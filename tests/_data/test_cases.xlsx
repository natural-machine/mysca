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disonhowe/Projects/mysca/tests/_data/"/>
    </mc:Choice>
  </mc:AlternateContent>
  <xr:revisionPtr revIDLastSave="0" documentId="13_ncr:1_{229CC183-3281-054B-B80D-B7A8F67530AA}" xr6:coauthVersionLast="47" xr6:coauthVersionMax="47" xr10:uidLastSave="{00000000-0000-0000-0000-000000000000}"/>
  <bookViews>
    <workbookView xWindow="0" yWindow="660" windowWidth="34560" windowHeight="21680" activeTab="5" xr2:uid="{285D1201-D1D9-274B-9388-15DBEF5E5AB7}"/>
  </bookViews>
  <sheets>
    <sheet name="msa" sheetId="1" r:id="rId1"/>
    <sheet name="Sheet2" sheetId="2" r:id="rId2"/>
    <sheet name="test_msa04" sheetId="3" r:id="rId3"/>
    <sheet name="test_msa05" sheetId="7" r:id="rId4"/>
    <sheet name="test_msa06" sheetId="8" r:id="rId5"/>
    <sheet name="test_msa07" sheetId="10" r:id="rId6"/>
    <sheet name="test_msa08" sheetId="11" r:id="rId7"/>
    <sheet name="test_msa07b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2" l="1" a="1"/>
  <c r="N15" i="12" s="1"/>
  <c r="CZ14" i="12" a="1"/>
  <c r="CZ14" i="12" s="1"/>
  <c r="CR14" i="12" a="1"/>
  <c r="DN14" i="12" s="1" a="1"/>
  <c r="DN14" i="12" s="1"/>
  <c r="O14" i="12"/>
  <c r="O14" i="12" a="1"/>
  <c r="S12" i="12"/>
  <c r="S13" i="12" s="1"/>
  <c r="R12" i="12"/>
  <c r="R13" i="12" s="1"/>
  <c r="Q12" i="12"/>
  <c r="Q13" i="12" s="1"/>
  <c r="P12" i="12"/>
  <c r="P13" i="12" s="1"/>
  <c r="O12" i="12"/>
  <c r="O13" i="12" s="1"/>
  <c r="O11" i="12" a="1"/>
  <c r="O11" i="12" s="1"/>
  <c r="CR9" i="12" a="1"/>
  <c r="CR9" i="12" s="1"/>
  <c r="CZ29" i="11" a="1"/>
  <c r="CZ29" i="11" s="1"/>
  <c r="N15" i="11" a="1"/>
  <c r="N15" i="11" s="1"/>
  <c r="CZ14" i="11" a="1"/>
  <c r="CZ14" i="11" s="1"/>
  <c r="CR14" i="11" a="1"/>
  <c r="CR14" i="11" s="1"/>
  <c r="DH14" i="11" s="1" a="1"/>
  <c r="DH14" i="11" s="1"/>
  <c r="O14" i="11" a="1"/>
  <c r="O14" i="11" s="1"/>
  <c r="S12" i="11"/>
  <c r="S13" i="11" s="1"/>
  <c r="R12" i="11"/>
  <c r="R13" i="11" s="1"/>
  <c r="Q12" i="11"/>
  <c r="Q13" i="11" s="1"/>
  <c r="P12" i="11"/>
  <c r="P13" i="11" s="1"/>
  <c r="O12" i="11"/>
  <c r="O13" i="11" s="1"/>
  <c r="O11" i="11" a="1"/>
  <c r="O11" i="11" s="1"/>
  <c r="CR9" i="11" a="1"/>
  <c r="CR9" i="11" s="1"/>
  <c r="CZ29" i="8" a="1"/>
  <c r="CZ29" i="8" s="1"/>
  <c r="CY10" i="7"/>
  <c r="CX10" i="7"/>
  <c r="CW10" i="7"/>
  <c r="CV10" i="7"/>
  <c r="CU10" i="7"/>
  <c r="CT10" i="7"/>
  <c r="CS10" i="7"/>
  <c r="CR10" i="7"/>
  <c r="DD14" i="7" a="1"/>
  <c r="DD14" i="7" s="1"/>
  <c r="CR14" i="7" a="1"/>
  <c r="CR14" i="7" s="1"/>
  <c r="DQ13" i="7" s="1" a="1"/>
  <c r="DQ13" i="7" s="1"/>
  <c r="CR9" i="7" a="1"/>
  <c r="CR9" i="7" s="1"/>
  <c r="CZ14" i="8" a="1"/>
  <c r="CZ14" i="8" s="1"/>
  <c r="CR14" i="8" a="1"/>
  <c r="CR14" i="8" s="1"/>
  <c r="DH13" i="8" s="1" a="1"/>
  <c r="DH13" i="8" s="1"/>
  <c r="CR9" i="8" a="1"/>
  <c r="CR9" i="8" s="1"/>
  <c r="CR9" i="10" a="1"/>
  <c r="CR9" i="10" s="1"/>
  <c r="N15" i="10" a="1"/>
  <c r="N15" i="10" s="1"/>
  <c r="CZ14" i="10" a="1"/>
  <c r="CZ14" i="10" s="1"/>
  <c r="CR14" i="10" a="1"/>
  <c r="CR14" i="10" s="1"/>
  <c r="O14" i="10" a="1"/>
  <c r="O14" i="10" s="1"/>
  <c r="S12" i="10"/>
  <c r="S13" i="10" s="1"/>
  <c r="R12" i="10"/>
  <c r="R13" i="10" s="1"/>
  <c r="Q12" i="10"/>
  <c r="Q13" i="10" s="1"/>
  <c r="P12" i="10"/>
  <c r="P13" i="10" s="1"/>
  <c r="O12" i="10"/>
  <c r="O13" i="10" s="1"/>
  <c r="O11" i="10" a="1"/>
  <c r="O11" i="10" s="1"/>
  <c r="N15" i="8" a="1"/>
  <c r="N15" i="8" s="1"/>
  <c r="O14" i="8" a="1"/>
  <c r="O14" i="8" s="1"/>
  <c r="S12" i="8"/>
  <c r="S13" i="8" s="1"/>
  <c r="R12" i="8"/>
  <c r="R13" i="8" s="1"/>
  <c r="Q12" i="8"/>
  <c r="Q13" i="8" s="1"/>
  <c r="P12" i="8"/>
  <c r="P13" i="8" s="1"/>
  <c r="O12" i="8"/>
  <c r="O13" i="8" s="1"/>
  <c r="O11" i="8" a="1"/>
  <c r="O11" i="8" s="1"/>
  <c r="N15" i="7" a="1"/>
  <c r="N15" i="7" s="1"/>
  <c r="O14" i="7" a="1"/>
  <c r="O14" i="7" s="1"/>
  <c r="AJ12" i="7"/>
  <c r="AJ13" i="7" s="1"/>
  <c r="AI12" i="7"/>
  <c r="AI13" i="7" s="1"/>
  <c r="AH12" i="7"/>
  <c r="AH13" i="7" s="1"/>
  <c r="AG12" i="7"/>
  <c r="AG13" i="7" s="1"/>
  <c r="AF12" i="7"/>
  <c r="AF13" i="7" s="1"/>
  <c r="AE12" i="7"/>
  <c r="AE13" i="7" s="1"/>
  <c r="AD12" i="7"/>
  <c r="AD13" i="7" s="1"/>
  <c r="AC12" i="7"/>
  <c r="AC13" i="7" s="1"/>
  <c r="AB12" i="7"/>
  <c r="AB13" i="7" s="1"/>
  <c r="AA12" i="7"/>
  <c r="AA13" i="7" s="1"/>
  <c r="Z12" i="7"/>
  <c r="Z13" i="7" s="1"/>
  <c r="Y12" i="7"/>
  <c r="Y13" i="7" s="1"/>
  <c r="X12" i="7"/>
  <c r="X13" i="7" s="1"/>
  <c r="W12" i="7"/>
  <c r="W13" i="7" s="1"/>
  <c r="V12" i="7"/>
  <c r="V13" i="7" s="1"/>
  <c r="U12" i="7"/>
  <c r="U13" i="7" s="1"/>
  <c r="T12" i="7"/>
  <c r="T13" i="7" s="1"/>
  <c r="S12" i="7"/>
  <c r="S13" i="7" s="1"/>
  <c r="R12" i="7"/>
  <c r="R13" i="7" s="1"/>
  <c r="Q12" i="7"/>
  <c r="Q13" i="7" s="1"/>
  <c r="P12" i="7"/>
  <c r="P13" i="7" s="1"/>
  <c r="O12" i="7"/>
  <c r="O13" i="7" s="1"/>
  <c r="O11" i="7" a="1"/>
  <c r="O11" i="7" s="1"/>
  <c r="N15" i="3" a="1"/>
  <c r="N15" i="3" s="1"/>
  <c r="O14" i="3" a="1"/>
  <c r="O14" i="3" s="1"/>
  <c r="AJ12" i="3"/>
  <c r="AJ13" i="3" s="1"/>
  <c r="AI12" i="3"/>
  <c r="AI13" i="3" s="1"/>
  <c r="AH12" i="3"/>
  <c r="AH13" i="3" s="1"/>
  <c r="AG12" i="3"/>
  <c r="AG13" i="3" s="1"/>
  <c r="AF12" i="3"/>
  <c r="AF13" i="3" s="1"/>
  <c r="AE12" i="3"/>
  <c r="AE13" i="3" s="1"/>
  <c r="AD12" i="3"/>
  <c r="AD13" i="3" s="1"/>
  <c r="AC12" i="3"/>
  <c r="AC13" i="3" s="1"/>
  <c r="AB12" i="3"/>
  <c r="AB13" i="3" s="1"/>
  <c r="AA12" i="3"/>
  <c r="AA13" i="3" s="1"/>
  <c r="Z12" i="3"/>
  <c r="Z13" i="3" s="1"/>
  <c r="Y12" i="3"/>
  <c r="Y13" i="3" s="1"/>
  <c r="X12" i="3"/>
  <c r="X13" i="3" s="1"/>
  <c r="W12" i="3"/>
  <c r="W13" i="3" s="1"/>
  <c r="V12" i="3"/>
  <c r="V13" i="3" s="1"/>
  <c r="U12" i="3"/>
  <c r="U13" i="3" s="1"/>
  <c r="T12" i="3"/>
  <c r="T13" i="3" s="1"/>
  <c r="S12" i="3"/>
  <c r="S13" i="3" s="1"/>
  <c r="R12" i="3"/>
  <c r="R13" i="3" s="1"/>
  <c r="Q12" i="3"/>
  <c r="Q13" i="3" s="1"/>
  <c r="P12" i="3"/>
  <c r="P13" i="3" s="1"/>
  <c r="O12" i="3"/>
  <c r="O13" i="3" s="1"/>
  <c r="O6" i="2"/>
  <c r="O7" i="2"/>
  <c r="O8" i="2"/>
  <c r="O9" i="2"/>
  <c r="O5" i="2"/>
  <c r="N6" i="2" a="1"/>
  <c r="N6" i="2" s="1"/>
  <c r="N7" i="2" a="1"/>
  <c r="N7" i="2" s="1"/>
  <c r="N8" i="2" a="1"/>
  <c r="N8" i="2"/>
  <c r="N9" i="2" a="1"/>
  <c r="N9" i="2" s="1"/>
  <c r="N5" i="2" a="1"/>
  <c r="N5" i="2" s="1"/>
  <c r="E10" i="2"/>
  <c r="E11" i="2" s="1"/>
  <c r="F10" i="2"/>
  <c r="F11" i="2" s="1"/>
  <c r="G10" i="2"/>
  <c r="G11" i="2" s="1"/>
  <c r="H10" i="2"/>
  <c r="H11" i="2" s="1"/>
  <c r="I10" i="2"/>
  <c r="I11" i="2" s="1"/>
  <c r="J10" i="2"/>
  <c r="J11" i="2" s="1"/>
  <c r="K10" i="2"/>
  <c r="K11" i="2" s="1"/>
  <c r="L10" i="2"/>
  <c r="L11" i="2" s="1"/>
  <c r="M10" i="2"/>
  <c r="M11" i="2" s="1"/>
  <c r="D10" i="2"/>
  <c r="D11" i="2" s="1"/>
  <c r="DQ13" i="12" l="1" a="1"/>
  <c r="DQ13" i="12" s="1"/>
  <c r="DS13" i="12" a="1"/>
  <c r="DS13" i="12" s="1"/>
  <c r="DT13" i="12" a="1"/>
  <c r="DT13" i="12" s="1"/>
  <c r="DU13" i="12" a="1"/>
  <c r="DU13" i="12" s="1"/>
  <c r="DU14" i="12" a="1"/>
  <c r="DU14" i="12" s="1"/>
  <c r="DV14" i="12" a="1"/>
  <c r="DV14" i="12" s="1"/>
  <c r="DM14" i="12" a="1"/>
  <c r="DM14" i="12" s="1"/>
  <c r="DP13" i="12" a="1"/>
  <c r="DP13" i="12" s="1"/>
  <c r="DW14" i="12" a="1"/>
  <c r="DW14" i="12" s="1"/>
  <c r="B13" i="12"/>
  <c r="L37" i="12" s="1" a="1"/>
  <c r="L37" i="12" s="1"/>
  <c r="J18" i="12" a="1"/>
  <c r="J18" i="12" s="1"/>
  <c r="K18" i="12" s="1"/>
  <c r="J37" i="12" a="1"/>
  <c r="J37" i="12" s="1"/>
  <c r="K37" i="12" s="1"/>
  <c r="J29" i="12" a="1"/>
  <c r="J29" i="12" s="1"/>
  <c r="K29" i="12" s="1"/>
  <c r="J34" i="12" a="1"/>
  <c r="J34" i="12" s="1"/>
  <c r="K34" i="12" s="1"/>
  <c r="J19" i="12" a="1"/>
  <c r="J19" i="12" s="1"/>
  <c r="K19" i="12" s="1"/>
  <c r="J36" i="12" a="1"/>
  <c r="J36" i="12" s="1"/>
  <c r="K36" i="12" s="1"/>
  <c r="J33" i="12" a="1"/>
  <c r="J33" i="12" s="1"/>
  <c r="K33" i="12" s="1"/>
  <c r="J26" i="12" a="1"/>
  <c r="J26" i="12" s="1"/>
  <c r="K26" i="12" s="1"/>
  <c r="J22" i="12" a="1"/>
  <c r="J22" i="12" s="1"/>
  <c r="K22" i="12" s="1"/>
  <c r="J20" i="12" a="1"/>
  <c r="J20" i="12" s="1"/>
  <c r="K20" i="12" s="1"/>
  <c r="J31" i="12" a="1"/>
  <c r="J31" i="12" s="1"/>
  <c r="K31" i="12" s="1"/>
  <c r="J23" i="12" a="1"/>
  <c r="J23" i="12" s="1"/>
  <c r="K23" i="12" s="1"/>
  <c r="J32" i="12" a="1"/>
  <c r="J32" i="12" s="1"/>
  <c r="K32" i="12" s="1"/>
  <c r="J24" i="12" a="1"/>
  <c r="J24" i="12" s="1"/>
  <c r="K24" i="12" s="1"/>
  <c r="J30" i="12" a="1"/>
  <c r="J30" i="12" s="1"/>
  <c r="K30" i="12" s="1"/>
  <c r="J21" i="12" a="1"/>
  <c r="J21" i="12" s="1"/>
  <c r="K21" i="12" s="1"/>
  <c r="J35" i="12" a="1"/>
  <c r="J35" i="12" s="1"/>
  <c r="K35" i="12" s="1"/>
  <c r="J27" i="12" a="1"/>
  <c r="J27" i="12" s="1"/>
  <c r="K27" i="12" s="1"/>
  <c r="DQ14" i="12" a="1"/>
  <c r="DQ14" i="12" s="1"/>
  <c r="DJ14" i="12" a="1"/>
  <c r="DJ14" i="12" s="1"/>
  <c r="DS14" i="12" a="1"/>
  <c r="DS14" i="12" s="1"/>
  <c r="DK14" i="12" a="1"/>
  <c r="DK14" i="12" s="1"/>
  <c r="DR13" i="12" a="1"/>
  <c r="DR13" i="12" s="1"/>
  <c r="DR14" i="12" a="1"/>
  <c r="DR14" i="12" s="1"/>
  <c r="DO14" i="12" a="1"/>
  <c r="DO14" i="12" s="1"/>
  <c r="DL13" i="12" a="1"/>
  <c r="DL13" i="12" s="1"/>
  <c r="CR14" i="12"/>
  <c r="DP14" i="12" s="1" a="1"/>
  <c r="DP14" i="12" s="1"/>
  <c r="J25" i="12" a="1"/>
  <c r="J25" i="12" s="1"/>
  <c r="K25" i="12" s="1"/>
  <c r="J28" i="12" a="1"/>
  <c r="J28" i="12" s="1"/>
  <c r="K28" i="12" s="1"/>
  <c r="J15" i="12" a="1"/>
  <c r="J15" i="12" s="1"/>
  <c r="K15" i="12" s="1"/>
  <c r="DM13" i="12" a="1"/>
  <c r="DM13" i="12" s="1"/>
  <c r="J16" i="12" a="1"/>
  <c r="J16" i="12" s="1"/>
  <c r="K16" i="12" s="1"/>
  <c r="DN13" i="12" a="1"/>
  <c r="DN13" i="12" s="1"/>
  <c r="J17" i="12" a="1"/>
  <c r="J17" i="12" s="1"/>
  <c r="K17" i="12" s="1"/>
  <c r="DV13" i="12" a="1"/>
  <c r="DV13" i="12" s="1"/>
  <c r="DW13" i="12" a="1"/>
  <c r="DW13" i="12" s="1"/>
  <c r="DI14" i="12" a="1"/>
  <c r="DI14" i="12" s="1"/>
  <c r="DO13" i="12" a="1"/>
  <c r="DO13" i="12" s="1"/>
  <c r="ES13" i="11" a="1"/>
  <c r="ES13" i="11" s="1"/>
  <c r="DU13" i="11" a="1"/>
  <c r="DU13" i="11" s="1"/>
  <c r="DV13" i="11" a="1"/>
  <c r="DV13" i="11" s="1"/>
  <c r="ER13" i="11" a="1"/>
  <c r="ER13" i="11" s="1"/>
  <c r="DM13" i="11" a="1"/>
  <c r="DM13" i="11" s="1"/>
  <c r="EM13" i="11" a="1"/>
  <c r="EM13" i="11" s="1"/>
  <c r="FJ13" i="11" a="1"/>
  <c r="FJ13" i="11" s="1"/>
  <c r="DR14" i="11" a="1"/>
  <c r="DR14" i="11" s="1"/>
  <c r="DN13" i="11" a="1"/>
  <c r="DN13" i="11" s="1"/>
  <c r="EN13" i="11" a="1"/>
  <c r="EN13" i="11" s="1"/>
  <c r="FD14" i="11" a="1"/>
  <c r="FD14" i="11" s="1"/>
  <c r="DP13" i="11" a="1"/>
  <c r="DP13" i="11" s="1"/>
  <c r="EO13" i="11" a="1"/>
  <c r="EO13" i="11" s="1"/>
  <c r="FO13" i="11" a="1"/>
  <c r="FO13" i="11" s="1"/>
  <c r="DS14" i="11" a="1"/>
  <c r="DS14" i="11" s="1"/>
  <c r="FE14" i="11" a="1"/>
  <c r="FE14" i="11" s="1"/>
  <c r="DS13" i="11" a="1"/>
  <c r="DS13" i="11" s="1"/>
  <c r="EP13" i="11" a="1"/>
  <c r="EP13" i="11" s="1"/>
  <c r="DV14" i="11" a="1"/>
  <c r="DV14" i="11" s="1"/>
  <c r="FK14" i="11" a="1"/>
  <c r="FK14" i="11" s="1"/>
  <c r="EI14" i="11" a="1"/>
  <c r="EI14" i="11" s="1"/>
  <c r="FN14" i="11" a="1"/>
  <c r="FN14" i="11" s="1"/>
  <c r="EL14" i="11" a="1"/>
  <c r="EL14" i="11" s="1"/>
  <c r="FO14" i="11" a="1"/>
  <c r="FO14" i="11" s="1"/>
  <c r="DW13" i="11" a="1"/>
  <c r="DW13" i="11" s="1"/>
  <c r="FE13" i="11" a="1"/>
  <c r="FE13" i="11" s="1"/>
  <c r="DI14" i="11" a="1"/>
  <c r="DI14" i="11" s="1"/>
  <c r="EN14" i="11" a="1"/>
  <c r="EN14" i="11" s="1"/>
  <c r="FP14" i="11" a="1"/>
  <c r="FP14" i="11" s="1"/>
  <c r="DH13" i="11" a="1"/>
  <c r="DH13" i="11" s="1"/>
  <c r="FF13" i="11" a="1"/>
  <c r="FF13" i="11" s="1"/>
  <c r="DJ14" i="11" a="1"/>
  <c r="DJ14" i="11" s="1"/>
  <c r="EO14" i="11" a="1"/>
  <c r="EO14" i="11" s="1"/>
  <c r="FQ14" i="11" a="1"/>
  <c r="FQ14" i="11" s="1"/>
  <c r="DK13" i="11" a="1"/>
  <c r="DK13" i="11" s="1"/>
  <c r="EF13" i="11" a="1"/>
  <c r="EF13" i="11" s="1"/>
  <c r="FH13" i="11" a="1"/>
  <c r="FH13" i="11" s="1"/>
  <c r="DO14" i="11" a="1"/>
  <c r="DO14" i="11" s="1"/>
  <c r="ET14" i="11" a="1"/>
  <c r="ET14" i="11" s="1"/>
  <c r="DL13" i="11" a="1"/>
  <c r="DL13" i="11" s="1"/>
  <c r="EH13" i="11" a="1"/>
  <c r="EH13" i="11" s="1"/>
  <c r="FI13" i="11" a="1"/>
  <c r="FI13" i="11" s="1"/>
  <c r="DQ14" i="11" a="1"/>
  <c r="DQ14" i="11" s="1"/>
  <c r="EU14" i="11" a="1"/>
  <c r="EU14" i="11" s="1"/>
  <c r="EK14" i="11" a="1"/>
  <c r="EK14" i="11" s="1"/>
  <c r="FL14" i="11" a="1"/>
  <c r="FL14" i="11" s="1"/>
  <c r="DQ13" i="11" a="1"/>
  <c r="DQ13" i="11" s="1"/>
  <c r="EI13" i="11" a="1"/>
  <c r="EI13" i="11" s="1"/>
  <c r="ET13" i="11" a="1"/>
  <c r="ET13" i="11" s="1"/>
  <c r="FM13" i="11" a="1"/>
  <c r="FM13" i="11" s="1"/>
  <c r="DL14" i="11" a="1"/>
  <c r="DL14" i="11" s="1"/>
  <c r="DW14" i="11" a="1"/>
  <c r="DW14" i="11" s="1"/>
  <c r="EP14" i="11" a="1"/>
  <c r="EP14" i="11" s="1"/>
  <c r="FF14" i="11" a="1"/>
  <c r="FF14" i="11" s="1"/>
  <c r="EJ13" i="11" a="1"/>
  <c r="EJ13" i="11" s="1"/>
  <c r="EU13" i="11" a="1"/>
  <c r="EU13" i="11" s="1"/>
  <c r="DM14" i="11" a="1"/>
  <c r="DM14" i="11" s="1"/>
  <c r="EF14" i="11" a="1"/>
  <c r="EF14" i="11" s="1"/>
  <c r="EQ14" i="11" a="1"/>
  <c r="EQ14" i="11" s="1"/>
  <c r="FG14" i="11" a="1"/>
  <c r="FG14" i="11" s="1"/>
  <c r="J18" i="11" a="1"/>
  <c r="J18" i="11" s="1"/>
  <c r="K18" i="11" s="1"/>
  <c r="DR13" i="11" a="1"/>
  <c r="DR13" i="11" s="1"/>
  <c r="EK13" i="11" a="1"/>
  <c r="EK13" i="11" s="1"/>
  <c r="FD13" i="11" a="1"/>
  <c r="FD13" i="11" s="1"/>
  <c r="FN13" i="11" a="1"/>
  <c r="FN13" i="11" s="1"/>
  <c r="DN14" i="11" a="1"/>
  <c r="DN14" i="11" s="1"/>
  <c r="EG14" i="11" a="1"/>
  <c r="EG14" i="11" s="1"/>
  <c r="ES14" i="11" a="1"/>
  <c r="ES14" i="11" s="1"/>
  <c r="FI14" i="11" a="1"/>
  <c r="FI14" i="11" s="1"/>
  <c r="J15" i="11" a="1"/>
  <c r="J15" i="11" s="1"/>
  <c r="K15" i="11" s="1"/>
  <c r="FB14" i="11" a="1"/>
  <c r="FB14" i="11" s="1"/>
  <c r="FJ14" i="11" a="1"/>
  <c r="FJ14" i="11" s="1"/>
  <c r="J35" i="11" a="1"/>
  <c r="J35" i="11" s="1"/>
  <c r="K35" i="11" s="1"/>
  <c r="J37" i="11" a="1"/>
  <c r="J37" i="11" s="1"/>
  <c r="K37" i="11" s="1"/>
  <c r="J33" i="11" a="1"/>
  <c r="J33" i="11" s="1"/>
  <c r="K33" i="11" s="1"/>
  <c r="J32" i="11" a="1"/>
  <c r="J32" i="11" s="1"/>
  <c r="K32" i="11" s="1"/>
  <c r="J29" i="11" a="1"/>
  <c r="J29" i="11" s="1"/>
  <c r="K29" i="11" s="1"/>
  <c r="J28" i="11" a="1"/>
  <c r="J28" i="11" s="1"/>
  <c r="K28" i="11" s="1"/>
  <c r="J36" i="11" a="1"/>
  <c r="J36" i="11" s="1"/>
  <c r="K36" i="11" s="1"/>
  <c r="J31" i="11" a="1"/>
  <c r="J31" i="11" s="1"/>
  <c r="K31" i="11" s="1"/>
  <c r="J34" i="11" a="1"/>
  <c r="J34" i="11" s="1"/>
  <c r="K34" i="11" s="1"/>
  <c r="J27" i="11" a="1"/>
  <c r="J27" i="11" s="1"/>
  <c r="K27" i="11" s="1"/>
  <c r="J30" i="11" a="1"/>
  <c r="J30" i="11" s="1"/>
  <c r="K30" i="11" s="1"/>
  <c r="J26" i="11" a="1"/>
  <c r="J26" i="11" s="1"/>
  <c r="K26" i="11" s="1"/>
  <c r="J25" i="11" a="1"/>
  <c r="J25" i="11" s="1"/>
  <c r="K25" i="11" s="1"/>
  <c r="J24" i="11" a="1"/>
  <c r="J24" i="11" s="1"/>
  <c r="K24" i="11" s="1"/>
  <c r="J21" i="11" a="1"/>
  <c r="J21" i="11" s="1"/>
  <c r="K21" i="11" s="1"/>
  <c r="J20" i="11" a="1"/>
  <c r="J20" i="11" s="1"/>
  <c r="K20" i="11" s="1"/>
  <c r="J22" i="11" a="1"/>
  <c r="J22" i="11" s="1"/>
  <c r="K22" i="11" s="1"/>
  <c r="J23" i="11" a="1"/>
  <c r="J23" i="11" s="1"/>
  <c r="K23" i="11" s="1"/>
  <c r="J17" i="11" a="1"/>
  <c r="J17" i="11" s="1"/>
  <c r="K17" i="11" s="1"/>
  <c r="J19" i="11" a="1"/>
  <c r="J19" i="11" s="1"/>
  <c r="K19" i="11" s="1"/>
  <c r="B13" i="11"/>
  <c r="L37" i="11" s="1" a="1"/>
  <c r="L37" i="11" s="1"/>
  <c r="DT14" i="11" a="1"/>
  <c r="DT14" i="11" s="1"/>
  <c r="EJ14" i="11" a="1"/>
  <c r="EJ14" i="11" s="1"/>
  <c r="J16" i="11" a="1"/>
  <c r="J16" i="11" s="1"/>
  <c r="K16" i="11" s="1"/>
  <c r="DI13" i="11" a="1"/>
  <c r="DI13" i="11" s="1"/>
  <c r="FC13" i="11" a="1"/>
  <c r="FC13" i="11" s="1"/>
  <c r="FK13" i="11" a="1"/>
  <c r="FK13" i="11" s="1"/>
  <c r="FP13" i="11" a="1"/>
  <c r="FP13" i="11" s="1"/>
  <c r="DK14" i="11" a="1"/>
  <c r="DK14" i="11" s="1"/>
  <c r="DP14" i="11" a="1"/>
  <c r="DP14" i="11" s="1"/>
  <c r="DU14" i="11" a="1"/>
  <c r="DU14" i="11" s="1"/>
  <c r="EH14" i="11" a="1"/>
  <c r="EH14" i="11" s="1"/>
  <c r="EM14" i="11" a="1"/>
  <c r="EM14" i="11" s="1"/>
  <c r="ER14" i="11" a="1"/>
  <c r="ER14" i="11" s="1"/>
  <c r="FC14" i="11" a="1"/>
  <c r="FC14" i="11" s="1"/>
  <c r="FH14" i="11" a="1"/>
  <c r="FH14" i="11" s="1"/>
  <c r="FM14" i="11" a="1"/>
  <c r="FM14" i="11" s="1"/>
  <c r="DJ13" i="11" a="1"/>
  <c r="DJ13" i="11" s="1"/>
  <c r="DO13" i="11" a="1"/>
  <c r="DO13" i="11" s="1"/>
  <c r="DT13" i="11" a="1"/>
  <c r="DT13" i="11" s="1"/>
  <c r="EG13" i="11" a="1"/>
  <c r="EG13" i="11" s="1"/>
  <c r="EL13" i="11" a="1"/>
  <c r="EL13" i="11" s="1"/>
  <c r="EQ13" i="11" a="1"/>
  <c r="EQ13" i="11" s="1"/>
  <c r="FB13" i="11" a="1"/>
  <c r="FB13" i="11" s="1"/>
  <c r="FG13" i="11" a="1"/>
  <c r="FG13" i="11" s="1"/>
  <c r="FL13" i="11" a="1"/>
  <c r="FL13" i="11" s="1"/>
  <c r="FQ13" i="11" a="1"/>
  <c r="FQ13" i="11" s="1"/>
  <c r="FO14" i="8" a="1"/>
  <c r="FO14" i="8" s="1"/>
  <c r="FJ14" i="8" a="1"/>
  <c r="FJ14" i="8" s="1"/>
  <c r="FE14" i="8" a="1"/>
  <c r="FE14" i="8" s="1"/>
  <c r="FQ14" i="8" a="1"/>
  <c r="FQ14" i="8" s="1"/>
  <c r="FL14" i="8" a="1"/>
  <c r="FL14" i="8" s="1"/>
  <c r="FG14" i="8" a="1"/>
  <c r="FG14" i="8" s="1"/>
  <c r="FP14" i="8" a="1"/>
  <c r="FP14" i="8" s="1"/>
  <c r="FK14" i="8" a="1"/>
  <c r="FK14" i="8" s="1"/>
  <c r="FF14" i="8" a="1"/>
  <c r="FF14" i="8" s="1"/>
  <c r="FN14" i="8" a="1"/>
  <c r="FN14" i="8" s="1"/>
  <c r="FI14" i="8" a="1"/>
  <c r="FI14" i="8" s="1"/>
  <c r="FD14" i="8" a="1"/>
  <c r="FD14" i="8" s="1"/>
  <c r="FM14" i="8" a="1"/>
  <c r="FM14" i="8" s="1"/>
  <c r="FH14" i="8" a="1"/>
  <c r="FH14" i="8" s="1"/>
  <c r="FC14" i="8" a="1"/>
  <c r="FC14" i="8" s="1"/>
  <c r="FB14" i="8" a="1"/>
  <c r="FB14" i="8" s="1"/>
  <c r="EU14" i="8" a="1"/>
  <c r="EU14" i="8" s="1"/>
  <c r="EP14" i="8" a="1"/>
  <c r="EP14" i="8" s="1"/>
  <c r="EK14" i="8" a="1"/>
  <c r="EK14" i="8" s="1"/>
  <c r="ET14" i="8" a="1"/>
  <c r="ET14" i="8" s="1"/>
  <c r="EO14" i="8" a="1"/>
  <c r="EO14" i="8" s="1"/>
  <c r="EJ14" i="8" a="1"/>
  <c r="EJ14" i="8" s="1"/>
  <c r="ES14" i="8" a="1"/>
  <c r="ES14" i="8" s="1"/>
  <c r="EN14" i="8" a="1"/>
  <c r="EN14" i="8" s="1"/>
  <c r="EI14" i="8" a="1"/>
  <c r="EI14" i="8" s="1"/>
  <c r="ER14" i="8" a="1"/>
  <c r="ER14" i="8" s="1"/>
  <c r="EM14" i="8" a="1"/>
  <c r="EM14" i="8" s="1"/>
  <c r="EH14" i="8" a="1"/>
  <c r="EH14" i="8" s="1"/>
  <c r="EQ14" i="8" a="1"/>
  <c r="EQ14" i="8" s="1"/>
  <c r="EL14" i="8" a="1"/>
  <c r="EL14" i="8" s="1"/>
  <c r="EG14" i="8" a="1"/>
  <c r="EG14" i="8" s="1"/>
  <c r="EF14" i="8" a="1"/>
  <c r="EF14" i="8" s="1"/>
  <c r="FO13" i="8" a="1"/>
  <c r="FO13" i="8" s="1"/>
  <c r="FK13" i="8" a="1"/>
  <c r="FK13" i="8" s="1"/>
  <c r="FJ13" i="8" a="1"/>
  <c r="FJ13" i="8" s="1"/>
  <c r="FF13" i="8" a="1"/>
  <c r="FF13" i="8" s="1"/>
  <c r="FE13" i="8" a="1"/>
  <c r="FE13" i="8" s="1"/>
  <c r="FP13" i="8" a="1"/>
  <c r="FP13" i="8" s="1"/>
  <c r="FQ13" i="8" a="1"/>
  <c r="FQ13" i="8" s="1"/>
  <c r="FL13" i="8" a="1"/>
  <c r="FL13" i="8" s="1"/>
  <c r="FG13" i="8" a="1"/>
  <c r="FG13" i="8" s="1"/>
  <c r="FN13" i="8" a="1"/>
  <c r="FN13" i="8" s="1"/>
  <c r="FI13" i="8" a="1"/>
  <c r="FI13" i="8" s="1"/>
  <c r="FD13" i="8" a="1"/>
  <c r="FD13" i="8" s="1"/>
  <c r="FM13" i="8" a="1"/>
  <c r="FM13" i="8" s="1"/>
  <c r="FH13" i="8" a="1"/>
  <c r="FH13" i="8" s="1"/>
  <c r="FC13" i="8" a="1"/>
  <c r="FC13" i="8" s="1"/>
  <c r="FB13" i="8" a="1"/>
  <c r="FB13" i="8" s="1"/>
  <c r="EU13" i="8" a="1"/>
  <c r="EU13" i="8" s="1"/>
  <c r="EP13" i="8" a="1"/>
  <c r="EP13" i="8" s="1"/>
  <c r="EK13" i="8" a="1"/>
  <c r="EK13" i="8" s="1"/>
  <c r="ET13" i="8" a="1"/>
  <c r="ET13" i="8" s="1"/>
  <c r="EO13" i="8" a="1"/>
  <c r="EO13" i="8" s="1"/>
  <c r="EJ13" i="8" a="1"/>
  <c r="EJ13" i="8" s="1"/>
  <c r="ES13" i="8" a="1"/>
  <c r="ES13" i="8" s="1"/>
  <c r="EN13" i="8" a="1"/>
  <c r="EN13" i="8" s="1"/>
  <c r="EI13" i="8" a="1"/>
  <c r="EI13" i="8" s="1"/>
  <c r="ER13" i="8" a="1"/>
  <c r="ER13" i="8" s="1"/>
  <c r="EM13" i="8" a="1"/>
  <c r="EM13" i="8" s="1"/>
  <c r="EH13" i="8" a="1"/>
  <c r="EH13" i="8" s="1"/>
  <c r="EQ13" i="8" a="1"/>
  <c r="EQ13" i="8" s="1"/>
  <c r="EL13" i="8" a="1"/>
  <c r="EL13" i="8" s="1"/>
  <c r="EG13" i="8" a="1"/>
  <c r="EG13" i="8" s="1"/>
  <c r="EF13" i="8" a="1"/>
  <c r="EF13" i="8" s="1"/>
  <c r="J15" i="10" a="1"/>
  <c r="J15" i="10" s="1"/>
  <c r="K15" i="10" s="1"/>
  <c r="J19" i="10" a="1"/>
  <c r="J19" i="10" s="1"/>
  <c r="K19" i="10" s="1"/>
  <c r="FV14" i="7" a="1"/>
  <c r="FV14" i="7" s="1"/>
  <c r="DT13" i="7" a="1"/>
  <c r="DT13" i="7" s="1"/>
  <c r="ER14" i="7" a="1"/>
  <c r="ER14" i="7" s="1"/>
  <c r="FX13" i="7" a="1"/>
  <c r="FX13" i="7" s="1"/>
  <c r="FS13" i="7" a="1"/>
  <c r="FS13" i="7" s="1"/>
  <c r="FN13" i="7" a="1"/>
  <c r="FN13" i="7" s="1"/>
  <c r="FI13" i="7" a="1"/>
  <c r="FI13" i="7" s="1"/>
  <c r="FD13" i="7" a="1"/>
  <c r="FD13" i="7" s="1"/>
  <c r="EY13" i="7" a="1"/>
  <c r="EY13" i="7" s="1"/>
  <c r="ET13" i="7" a="1"/>
  <c r="ET13" i="7" s="1"/>
  <c r="EO13" i="7" a="1"/>
  <c r="EO13" i="7" s="1"/>
  <c r="EJ13" i="7" a="1"/>
  <c r="EJ13" i="7" s="1"/>
  <c r="DS13" i="7" a="1"/>
  <c r="DS13" i="7" s="1"/>
  <c r="GA14" i="7" a="1"/>
  <c r="GA14" i="7" s="1"/>
  <c r="FQ14" i="7" a="1"/>
  <c r="FQ14" i="7" s="1"/>
  <c r="FL14" i="7" a="1"/>
  <c r="FL14" i="7" s="1"/>
  <c r="FG14" i="7" a="1"/>
  <c r="FG14" i="7" s="1"/>
  <c r="FB14" i="7" a="1"/>
  <c r="FB14" i="7" s="1"/>
  <c r="EW14" i="7" a="1"/>
  <c r="EW14" i="7" s="1"/>
  <c r="EM14" i="7" a="1"/>
  <c r="EM14" i="7" s="1"/>
  <c r="EH14" i="7" a="1"/>
  <c r="EH14" i="7" s="1"/>
  <c r="FA14" i="7" a="1"/>
  <c r="FA14" i="7" s="1"/>
  <c r="EQ14" i="7" a="1"/>
  <c r="EQ14" i="7" s="1"/>
  <c r="EG14" i="7" a="1"/>
  <c r="EG14" i="7" s="1"/>
  <c r="FW13" i="7" a="1"/>
  <c r="FW13" i="7" s="1"/>
  <c r="FR13" i="7" a="1"/>
  <c r="FR13" i="7" s="1"/>
  <c r="FM13" i="7" a="1"/>
  <c r="FM13" i="7" s="1"/>
  <c r="FH13" i="7" a="1"/>
  <c r="FH13" i="7" s="1"/>
  <c r="FC13" i="7" a="1"/>
  <c r="FC13" i="7" s="1"/>
  <c r="EX13" i="7" a="1"/>
  <c r="EX13" i="7" s="1"/>
  <c r="ES13" i="7" a="1"/>
  <c r="ES13" i="7" s="1"/>
  <c r="EN13" i="7" a="1"/>
  <c r="EN13" i="7" s="1"/>
  <c r="EI13" i="7" a="1"/>
  <c r="EI13" i="7" s="1"/>
  <c r="FU14" i="7" a="1"/>
  <c r="FU14" i="7" s="1"/>
  <c r="EV14" i="7" a="1"/>
  <c r="EV14" i="7" s="1"/>
  <c r="ED13" i="7" a="1"/>
  <c r="ED13" i="7" s="1"/>
  <c r="FZ14" i="7" a="1"/>
  <c r="FZ14" i="7" s="1"/>
  <c r="FK14" i="7" a="1"/>
  <c r="FK14" i="7" s="1"/>
  <c r="EL14" i="7" a="1"/>
  <c r="EL14" i="7" s="1"/>
  <c r="EC13" i="7" a="1"/>
  <c r="EC13" i="7" s="1"/>
  <c r="FY14" i="7" a="1"/>
  <c r="FY14" i="7" s="1"/>
  <c r="FT14" i="7" a="1"/>
  <c r="FT14" i="7" s="1"/>
  <c r="FO14" i="7" a="1"/>
  <c r="FO14" i="7" s="1"/>
  <c r="FJ14" i="7" a="1"/>
  <c r="FJ14" i="7" s="1"/>
  <c r="FE14" i="7" a="1"/>
  <c r="FE14" i="7" s="1"/>
  <c r="EZ14" i="7" a="1"/>
  <c r="EZ14" i="7" s="1"/>
  <c r="EU14" i="7" a="1"/>
  <c r="EU14" i="7" s="1"/>
  <c r="EP14" i="7" a="1"/>
  <c r="EP14" i="7" s="1"/>
  <c r="EK14" i="7" a="1"/>
  <c r="EK14" i="7" s="1"/>
  <c r="EF14" i="7" a="1"/>
  <c r="EF14" i="7" s="1"/>
  <c r="GA13" i="7" a="1"/>
  <c r="GA13" i="7" s="1"/>
  <c r="FV13" i="7" a="1"/>
  <c r="FV13" i="7" s="1"/>
  <c r="FQ13" i="7" a="1"/>
  <c r="FQ13" i="7" s="1"/>
  <c r="FL13" i="7" a="1"/>
  <c r="FL13" i="7" s="1"/>
  <c r="FG13" i="7" a="1"/>
  <c r="FG13" i="7" s="1"/>
  <c r="FB13" i="7" a="1"/>
  <c r="FB13" i="7" s="1"/>
  <c r="EW13" i="7" a="1"/>
  <c r="EW13" i="7" s="1"/>
  <c r="ER13" i="7" a="1"/>
  <c r="ER13" i="7" s="1"/>
  <c r="EM13" i="7" a="1"/>
  <c r="EM13" i="7" s="1"/>
  <c r="EH13" i="7" a="1"/>
  <c r="EH13" i="7" s="1"/>
  <c r="EE13" i="7" a="1"/>
  <c r="EE13" i="7" s="1"/>
  <c r="FP14" i="7" a="1"/>
  <c r="FP14" i="7" s="1"/>
  <c r="DZ13" i="7" a="1"/>
  <c r="DZ13" i="7" s="1"/>
  <c r="FF14" i="7" a="1"/>
  <c r="FF14" i="7" s="1"/>
  <c r="DY13" i="7" a="1"/>
  <c r="DY13" i="7" s="1"/>
  <c r="FX14" i="7" a="1"/>
  <c r="FX14" i="7" s="1"/>
  <c r="FS14" i="7" a="1"/>
  <c r="FS14" i="7" s="1"/>
  <c r="FN14" i="7" a="1"/>
  <c r="FN14" i="7" s="1"/>
  <c r="FI14" i="7" a="1"/>
  <c r="FI14" i="7" s="1"/>
  <c r="FD14" i="7" a="1"/>
  <c r="FD14" i="7" s="1"/>
  <c r="EY14" i="7" a="1"/>
  <c r="EY14" i="7" s="1"/>
  <c r="ET14" i="7" a="1"/>
  <c r="ET14" i="7" s="1"/>
  <c r="EO14" i="7" a="1"/>
  <c r="EO14" i="7" s="1"/>
  <c r="EJ14" i="7" a="1"/>
  <c r="EJ14" i="7" s="1"/>
  <c r="FZ13" i="7" a="1"/>
  <c r="FZ13" i="7" s="1"/>
  <c r="FU13" i="7" a="1"/>
  <c r="FU13" i="7" s="1"/>
  <c r="FP13" i="7" a="1"/>
  <c r="FP13" i="7" s="1"/>
  <c r="FK13" i="7" a="1"/>
  <c r="FK13" i="7" s="1"/>
  <c r="FF13" i="7" a="1"/>
  <c r="FF13" i="7" s="1"/>
  <c r="FA13" i="7" a="1"/>
  <c r="FA13" i="7" s="1"/>
  <c r="EV13" i="7" a="1"/>
  <c r="EV13" i="7" s="1"/>
  <c r="EQ13" i="7" a="1"/>
  <c r="EQ13" i="7" s="1"/>
  <c r="EL13" i="7" a="1"/>
  <c r="EL13" i="7" s="1"/>
  <c r="EG13" i="7" a="1"/>
  <c r="EG13" i="7" s="1"/>
  <c r="DX13" i="7" a="1"/>
  <c r="DX13" i="7" s="1"/>
  <c r="DU13" i="7" a="1"/>
  <c r="DU13" i="7" s="1"/>
  <c r="FW14" i="7" a="1"/>
  <c r="FW14" i="7" s="1"/>
  <c r="FR14" i="7" a="1"/>
  <c r="FR14" i="7" s="1"/>
  <c r="FM14" i="7" a="1"/>
  <c r="FM14" i="7" s="1"/>
  <c r="FH14" i="7" a="1"/>
  <c r="FH14" i="7" s="1"/>
  <c r="FC14" i="7" a="1"/>
  <c r="FC14" i="7" s="1"/>
  <c r="EX14" i="7" a="1"/>
  <c r="EX14" i="7" s="1"/>
  <c r="ES14" i="7" a="1"/>
  <c r="ES14" i="7" s="1"/>
  <c r="EN14" i="7" a="1"/>
  <c r="EN14" i="7" s="1"/>
  <c r="EI14" i="7" a="1"/>
  <c r="EI14" i="7" s="1"/>
  <c r="FY13" i="7" a="1"/>
  <c r="FY13" i="7" s="1"/>
  <c r="FT13" i="7" a="1"/>
  <c r="FT13" i="7" s="1"/>
  <c r="FO13" i="7" a="1"/>
  <c r="FO13" i="7" s="1"/>
  <c r="FJ13" i="7" a="1"/>
  <c r="FJ13" i="7" s="1"/>
  <c r="FE13" i="7" a="1"/>
  <c r="FE13" i="7" s="1"/>
  <c r="EZ13" i="7" a="1"/>
  <c r="EZ13" i="7" s="1"/>
  <c r="EU13" i="7" a="1"/>
  <c r="EU13" i="7" s="1"/>
  <c r="EP13" i="7" a="1"/>
  <c r="EP13" i="7" s="1"/>
  <c r="EK13" i="7" a="1"/>
  <c r="EK13" i="7" s="1"/>
  <c r="EF13" i="7" a="1"/>
  <c r="EF13" i="7" s="1"/>
  <c r="EB13" i="7" a="1"/>
  <c r="EB13" i="7" s="1"/>
  <c r="DW13" i="7" a="1"/>
  <c r="DW13" i="7" s="1"/>
  <c r="DR13" i="7" a="1"/>
  <c r="DR13" i="7" s="1"/>
  <c r="DY14" i="7" a="1"/>
  <c r="DY14" i="7" s="1"/>
  <c r="DT14" i="7" a="1"/>
  <c r="DT14" i="7" s="1"/>
  <c r="EA13" i="7" a="1"/>
  <c r="EA13" i="7" s="1"/>
  <c r="DV13" i="7" a="1"/>
  <c r="DV13" i="7" s="1"/>
  <c r="ED14" i="7" a="1"/>
  <c r="ED14" i="7" s="1"/>
  <c r="DP13" i="7" a="1"/>
  <c r="DP13" i="7" s="1"/>
  <c r="EE14" i="7" a="1"/>
  <c r="EE14" i="7" s="1"/>
  <c r="DZ14" i="7" a="1"/>
  <c r="DZ14" i="7" s="1"/>
  <c r="DU14" i="7" a="1"/>
  <c r="DU14" i="7" s="1"/>
  <c r="EC14" i="7" a="1"/>
  <c r="EC14" i="7" s="1"/>
  <c r="DX14" i="7" a="1"/>
  <c r="DX14" i="7" s="1"/>
  <c r="DS14" i="7" a="1"/>
  <c r="DS14" i="7" s="1"/>
  <c r="EB14" i="7" a="1"/>
  <c r="EB14" i="7" s="1"/>
  <c r="DW14" i="7" a="1"/>
  <c r="DW14" i="7" s="1"/>
  <c r="DR14" i="7" a="1"/>
  <c r="DR14" i="7" s="1"/>
  <c r="EA14" i="7" a="1"/>
  <c r="EA14" i="7" s="1"/>
  <c r="DV14" i="7" a="1"/>
  <c r="DV14" i="7" s="1"/>
  <c r="DQ14" i="7" a="1"/>
  <c r="DQ14" i="7" s="1"/>
  <c r="DP14" i="7" a="1"/>
  <c r="DP14" i="7" s="1"/>
  <c r="DH14" i="8" a="1"/>
  <c r="DH14" i="8" s="1"/>
  <c r="J36" i="10" a="1"/>
  <c r="J36" i="10" s="1"/>
  <c r="K36" i="10" s="1"/>
  <c r="J29" i="10" a="1"/>
  <c r="J29" i="10" s="1"/>
  <c r="K29" i="10" s="1"/>
  <c r="J28" i="10" a="1"/>
  <c r="J28" i="10" s="1"/>
  <c r="K28" i="10" s="1"/>
  <c r="J32" i="10" a="1"/>
  <c r="J32" i="10" s="1"/>
  <c r="K32" i="10" s="1"/>
  <c r="J30" i="10" a="1"/>
  <c r="J30" i="10" s="1"/>
  <c r="K30" i="10" s="1"/>
  <c r="J35" i="10" a="1"/>
  <c r="J35" i="10" s="1"/>
  <c r="K35" i="10" s="1"/>
  <c r="J33" i="10" a="1"/>
  <c r="J33" i="10" s="1"/>
  <c r="K33" i="10" s="1"/>
  <c r="J24" i="10" a="1"/>
  <c r="J24" i="10" s="1"/>
  <c r="K24" i="10" s="1"/>
  <c r="J37" i="10" a="1"/>
  <c r="J37" i="10" s="1"/>
  <c r="K37" i="10" s="1"/>
  <c r="J34" i="10" a="1"/>
  <c r="J34" i="10" s="1"/>
  <c r="K34" i="10" s="1"/>
  <c r="J26" i="10" a="1"/>
  <c r="J26" i="10" s="1"/>
  <c r="K26" i="10" s="1"/>
  <c r="J31" i="10" a="1"/>
  <c r="J31" i="10" s="1"/>
  <c r="K31" i="10" s="1"/>
  <c r="J18" i="10" a="1"/>
  <c r="J18" i="10" s="1"/>
  <c r="K18" i="10" s="1"/>
  <c r="J27" i="10" a="1"/>
  <c r="J27" i="10" s="1"/>
  <c r="K27" i="10" s="1"/>
  <c r="J20" i="10" a="1"/>
  <c r="J20" i="10" s="1"/>
  <c r="K20" i="10" s="1"/>
  <c r="J25" i="10" a="1"/>
  <c r="J25" i="10" s="1"/>
  <c r="K25" i="10" s="1"/>
  <c r="J22" i="10" a="1"/>
  <c r="J22" i="10" s="1"/>
  <c r="K22" i="10" s="1"/>
  <c r="J16" i="10" a="1"/>
  <c r="J16" i="10" s="1"/>
  <c r="K16" i="10" s="1"/>
  <c r="J17" i="10" a="1"/>
  <c r="J17" i="10" s="1"/>
  <c r="K17" i="10" s="1"/>
  <c r="J23" i="10" a="1"/>
  <c r="J23" i="10" s="1"/>
  <c r="K23" i="10" s="1"/>
  <c r="J21" i="10" a="1"/>
  <c r="J21" i="10" s="1"/>
  <c r="K21" i="10" s="1"/>
  <c r="DU13" i="10" a="1"/>
  <c r="DU13" i="10" s="1"/>
  <c r="DP13" i="10" a="1"/>
  <c r="DP13" i="10" s="1"/>
  <c r="DK13" i="10" a="1"/>
  <c r="DK13" i="10" s="1"/>
  <c r="DS14" i="10" a="1"/>
  <c r="DS14" i="10" s="1"/>
  <c r="DN14" i="10" a="1"/>
  <c r="DN14" i="10" s="1"/>
  <c r="DI14" i="10" a="1"/>
  <c r="DI14" i="10" s="1"/>
  <c r="DR13" i="10" a="1"/>
  <c r="DR13" i="10" s="1"/>
  <c r="DL13" i="10" a="1"/>
  <c r="DL13" i="10" s="1"/>
  <c r="DW14" i="10" a="1"/>
  <c r="DW14" i="10" s="1"/>
  <c r="DK14" i="10" a="1"/>
  <c r="DK14" i="10" s="1"/>
  <c r="DU14" i="10" a="1"/>
  <c r="DU14" i="10" s="1"/>
  <c r="DO14" i="10" a="1"/>
  <c r="DO14" i="10" s="1"/>
  <c r="DH14" i="10" a="1"/>
  <c r="DH14" i="10" s="1"/>
  <c r="DW13" i="10" a="1"/>
  <c r="DW13" i="10" s="1"/>
  <c r="DQ13" i="10" a="1"/>
  <c r="DQ13" i="10" s="1"/>
  <c r="DJ13" i="10" a="1"/>
  <c r="DJ13" i="10" s="1"/>
  <c r="DT14" i="10" a="1"/>
  <c r="DT14" i="10" s="1"/>
  <c r="DM14" i="10" a="1"/>
  <c r="DM14" i="10" s="1"/>
  <c r="DV13" i="10" a="1"/>
  <c r="DV13" i="10" s="1"/>
  <c r="DO13" i="10" a="1"/>
  <c r="DO13" i="10" s="1"/>
  <c r="DI13" i="10" a="1"/>
  <c r="DI13" i="10" s="1"/>
  <c r="DR14" i="10" a="1"/>
  <c r="DR14" i="10" s="1"/>
  <c r="DL14" i="10" a="1"/>
  <c r="DL14" i="10" s="1"/>
  <c r="DT13" i="10" a="1"/>
  <c r="DT13" i="10" s="1"/>
  <c r="DN13" i="10" a="1"/>
  <c r="DN13" i="10" s="1"/>
  <c r="DH13" i="10" a="1"/>
  <c r="DH13" i="10" s="1"/>
  <c r="DS13" i="10" a="1"/>
  <c r="DS13" i="10" s="1"/>
  <c r="DM13" i="10" a="1"/>
  <c r="DM13" i="10" s="1"/>
  <c r="DV14" i="10" a="1"/>
  <c r="DV14" i="10" s="1"/>
  <c r="DP14" i="10" a="1"/>
  <c r="DP14" i="10" s="1"/>
  <c r="DJ14" i="10" a="1"/>
  <c r="DJ14" i="10" s="1"/>
  <c r="DQ14" i="10" a="1"/>
  <c r="DQ14" i="10" s="1"/>
  <c r="B13" i="10"/>
  <c r="L15" i="10" s="1" a="1"/>
  <c r="L15" i="10" s="1"/>
  <c r="DP14" i="8" a="1"/>
  <c r="DP14" i="8" s="1"/>
  <c r="DM14" i="8" a="1"/>
  <c r="DM14" i="8" s="1"/>
  <c r="DL14" i="8" a="1"/>
  <c r="DL14" i="8" s="1"/>
  <c r="DK14" i="8" a="1"/>
  <c r="DK14" i="8" s="1"/>
  <c r="DW14" i="8" a="1"/>
  <c r="DW14" i="8" s="1"/>
  <c r="DV14" i="8" a="1"/>
  <c r="DV14" i="8" s="1"/>
  <c r="DU14" i="8" a="1"/>
  <c r="DU14" i="8" s="1"/>
  <c r="DR14" i="8" a="1"/>
  <c r="DR14" i="8" s="1"/>
  <c r="DQ14" i="8" a="1"/>
  <c r="DQ14" i="8" s="1"/>
  <c r="DT14" i="8" a="1"/>
  <c r="DT14" i="8" s="1"/>
  <c r="DO14" i="8" a="1"/>
  <c r="DO14" i="8" s="1"/>
  <c r="DJ14" i="8" a="1"/>
  <c r="DJ14" i="8" s="1"/>
  <c r="DS14" i="8" a="1"/>
  <c r="DS14" i="8" s="1"/>
  <c r="DN14" i="8" a="1"/>
  <c r="DN14" i="8" s="1"/>
  <c r="DI14" i="8" a="1"/>
  <c r="DI14" i="8" s="1"/>
  <c r="DW13" i="8" a="1"/>
  <c r="DW13" i="8" s="1"/>
  <c r="DV13" i="8" a="1"/>
  <c r="DV13" i="8" s="1"/>
  <c r="DU13" i="8" a="1"/>
  <c r="DU13" i="8" s="1"/>
  <c r="DT13" i="8" a="1"/>
  <c r="DT13" i="8" s="1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M13" i="8" a="1"/>
  <c r="DM13" i="8" s="1"/>
  <c r="DL13" i="8" a="1"/>
  <c r="DL13" i="8" s="1"/>
  <c r="DK13" i="8" a="1"/>
  <c r="DK13" i="8" s="1"/>
  <c r="DJ13" i="8" a="1"/>
  <c r="DJ13" i="8" s="1"/>
  <c r="DN13" i="8" a="1"/>
  <c r="DN13" i="8" s="1"/>
  <c r="DI13" i="8" a="1"/>
  <c r="DI13" i="8" s="1"/>
  <c r="J31" i="8" a="1"/>
  <c r="J31" i="8" s="1"/>
  <c r="K31" i="8" s="1"/>
  <c r="J36" i="8" a="1"/>
  <c r="J36" i="8" s="1"/>
  <c r="K36" i="8" s="1"/>
  <c r="J30" i="8" a="1"/>
  <c r="J30" i="8" s="1"/>
  <c r="K30" i="8" s="1"/>
  <c r="J29" i="8" a="1"/>
  <c r="J29" i="8" s="1"/>
  <c r="K29" i="8" s="1"/>
  <c r="J37" i="8" a="1"/>
  <c r="J37" i="8" s="1"/>
  <c r="K37" i="8" s="1"/>
  <c r="J32" i="8" a="1"/>
  <c r="J32" i="8" s="1"/>
  <c r="K32" i="8" s="1"/>
  <c r="J24" i="8" a="1"/>
  <c r="J24" i="8" s="1"/>
  <c r="K24" i="8" s="1"/>
  <c r="J23" i="8" a="1"/>
  <c r="J23" i="8" s="1"/>
  <c r="K23" i="8" s="1"/>
  <c r="J35" i="8" a="1"/>
  <c r="J35" i="8" s="1"/>
  <c r="K35" i="8" s="1"/>
  <c r="J28" i="8" a="1"/>
  <c r="J28" i="8" s="1"/>
  <c r="K28" i="8" s="1"/>
  <c r="J34" i="8" a="1"/>
  <c r="J34" i="8" s="1"/>
  <c r="K34" i="8" s="1"/>
  <c r="J33" i="8" a="1"/>
  <c r="J33" i="8" s="1"/>
  <c r="K33" i="8" s="1"/>
  <c r="J21" i="8" a="1"/>
  <c r="J21" i="8" s="1"/>
  <c r="K21" i="8" s="1"/>
  <c r="J20" i="8" a="1"/>
  <c r="J20" i="8" s="1"/>
  <c r="K20" i="8" s="1"/>
  <c r="J19" i="8" a="1"/>
  <c r="J19" i="8" s="1"/>
  <c r="K19" i="8" s="1"/>
  <c r="J26" i="8" a="1"/>
  <c r="J26" i="8" s="1"/>
  <c r="K26" i="8" s="1"/>
  <c r="J25" i="8" a="1"/>
  <c r="J25" i="8" s="1"/>
  <c r="K25" i="8" s="1"/>
  <c r="J27" i="8" a="1"/>
  <c r="J27" i="8" s="1"/>
  <c r="K27" i="8" s="1"/>
  <c r="J18" i="8" a="1"/>
  <c r="J18" i="8" s="1"/>
  <c r="K18" i="8" s="1"/>
  <c r="J17" i="8" a="1"/>
  <c r="J17" i="8" s="1"/>
  <c r="K17" i="8" s="1"/>
  <c r="J15" i="8" a="1"/>
  <c r="J15" i="8" s="1"/>
  <c r="K15" i="8" s="1"/>
  <c r="J16" i="8" a="1"/>
  <c r="J16" i="8" s="1"/>
  <c r="K16" i="8" s="1"/>
  <c r="J22" i="8" a="1"/>
  <c r="J22" i="8" s="1"/>
  <c r="K22" i="8" s="1"/>
  <c r="B13" i="8"/>
  <c r="L33" i="8" s="1" a="1"/>
  <c r="L33" i="8" s="1"/>
  <c r="B13" i="7"/>
  <c r="L25" i="7" s="1" a="1"/>
  <c r="L25" i="7" s="1"/>
  <c r="J24" i="7" a="1"/>
  <c r="J24" i="7" s="1"/>
  <c r="K24" i="7" s="1"/>
  <c r="J17" i="7" a="1"/>
  <c r="J17" i="7" s="1"/>
  <c r="K17" i="7" s="1"/>
  <c r="J22" i="7" a="1"/>
  <c r="J22" i="7" s="1"/>
  <c r="K22" i="7" s="1"/>
  <c r="J21" i="7" a="1"/>
  <c r="J21" i="7" s="1"/>
  <c r="K21" i="7" s="1"/>
  <c r="J31" i="7" a="1"/>
  <c r="J31" i="7" s="1"/>
  <c r="K31" i="7" s="1"/>
  <c r="J36" i="7" a="1"/>
  <c r="J36" i="7" s="1"/>
  <c r="K36" i="7" s="1"/>
  <c r="J30" i="7" a="1"/>
  <c r="J30" i="7" s="1"/>
  <c r="K30" i="7" s="1"/>
  <c r="J29" i="7" a="1"/>
  <c r="J29" i="7" s="1"/>
  <c r="K29" i="7" s="1"/>
  <c r="J37" i="7" a="1"/>
  <c r="J37" i="7" s="1"/>
  <c r="K37" i="7" s="1"/>
  <c r="J32" i="7" a="1"/>
  <c r="J32" i="7" s="1"/>
  <c r="K32" i="7" s="1"/>
  <c r="J35" i="7" a="1"/>
  <c r="J35" i="7" s="1"/>
  <c r="K35" i="7" s="1"/>
  <c r="J28" i="7" a="1"/>
  <c r="J28" i="7" s="1"/>
  <c r="K28" i="7" s="1"/>
  <c r="J34" i="7" a="1"/>
  <c r="J34" i="7" s="1"/>
  <c r="K34" i="7" s="1"/>
  <c r="J27" i="7" a="1"/>
  <c r="J27" i="7" s="1"/>
  <c r="K27" i="7" s="1"/>
  <c r="J23" i="7" a="1"/>
  <c r="J23" i="7" s="1"/>
  <c r="K23" i="7" s="1"/>
  <c r="J19" i="7" a="1"/>
  <c r="J19" i="7" s="1"/>
  <c r="K19" i="7" s="1"/>
  <c r="J26" i="7" a="1"/>
  <c r="J26" i="7" s="1"/>
  <c r="K26" i="7" s="1"/>
  <c r="J25" i="7" a="1"/>
  <c r="J25" i="7" s="1"/>
  <c r="K25" i="7" s="1"/>
  <c r="J33" i="7" a="1"/>
  <c r="J33" i="7" s="1"/>
  <c r="K33" i="7" s="1"/>
  <c r="J20" i="7" a="1"/>
  <c r="J20" i="7" s="1"/>
  <c r="K20" i="7" s="1"/>
  <c r="J16" i="7" a="1"/>
  <c r="J16" i="7" s="1"/>
  <c r="K16" i="7" s="1"/>
  <c r="J15" i="7" a="1"/>
  <c r="J15" i="7" s="1"/>
  <c r="K15" i="7" s="1"/>
  <c r="J18" i="7" a="1"/>
  <c r="J18" i="7" s="1"/>
  <c r="K18" i="7" s="1"/>
  <c r="O11" i="3" a="1"/>
  <c r="O11" i="3" s="1"/>
  <c r="M37" i="12" l="1"/>
  <c r="L32" i="12" a="1"/>
  <c r="L32" i="12" s="1"/>
  <c r="L25" i="12" a="1"/>
  <c r="L25" i="12" s="1"/>
  <c r="M25" i="12" s="1"/>
  <c r="L19" i="12" a="1"/>
  <c r="L19" i="12" s="1"/>
  <c r="M19" i="12" s="1"/>
  <c r="L35" i="12" a="1"/>
  <c r="L35" i="12" s="1"/>
  <c r="M35" i="12" s="1"/>
  <c r="L30" i="12" a="1"/>
  <c r="L30" i="12" s="1"/>
  <c r="M30" i="12" s="1"/>
  <c r="L26" i="12" a="1"/>
  <c r="L26" i="12" s="1"/>
  <c r="M26" i="12" s="1"/>
  <c r="L36" i="12" a="1"/>
  <c r="L36" i="12" s="1"/>
  <c r="M36" i="12" s="1"/>
  <c r="L17" i="12" a="1"/>
  <c r="L17" i="12" s="1"/>
  <c r="M17" i="12" s="1"/>
  <c r="L21" i="12" a="1"/>
  <c r="L21" i="12" s="1"/>
  <c r="M21" i="12" s="1"/>
  <c r="L18" i="12" a="1"/>
  <c r="L18" i="12" s="1"/>
  <c r="M18" i="12" s="1"/>
  <c r="L28" i="12" a="1"/>
  <c r="L28" i="12" s="1"/>
  <c r="M28" i="12" s="1"/>
  <c r="L15" i="12" a="1"/>
  <c r="L15" i="12" s="1"/>
  <c r="M15" i="12" s="1"/>
  <c r="DT14" i="12" a="1"/>
  <c r="DT14" i="12" s="1"/>
  <c r="L24" i="12" a="1"/>
  <c r="L24" i="12" s="1"/>
  <c r="M24" i="12" s="1"/>
  <c r="M32" i="12"/>
  <c r="DI13" i="12" a="1"/>
  <c r="DI13" i="12" s="1"/>
  <c r="DJ13" i="12" a="1"/>
  <c r="DJ13" i="12" s="1"/>
  <c r="DH13" i="12" a="1"/>
  <c r="DH13" i="12" s="1"/>
  <c r="DL14" i="12" a="1"/>
  <c r="DL14" i="12" s="1"/>
  <c r="L34" i="12" a="1"/>
  <c r="L34" i="12" s="1"/>
  <c r="M34" i="12" s="1"/>
  <c r="L20" i="12" a="1"/>
  <c r="L20" i="12" s="1"/>
  <c r="M20" i="12" s="1"/>
  <c r="L33" i="12" a="1"/>
  <c r="L33" i="12" s="1"/>
  <c r="M33" i="12" s="1"/>
  <c r="DK13" i="12" a="1"/>
  <c r="DK13" i="12" s="1"/>
  <c r="L29" i="12" a="1"/>
  <c r="L29" i="12" s="1"/>
  <c r="M29" i="12" s="1"/>
  <c r="L16" i="12" a="1"/>
  <c r="L16" i="12" s="1"/>
  <c r="M16" i="12" s="1"/>
  <c r="L27" i="12" a="1"/>
  <c r="L27" i="12" s="1"/>
  <c r="M27" i="12" s="1"/>
  <c r="DH14" i="12" a="1"/>
  <c r="DH14" i="12" s="1"/>
  <c r="L22" i="12" a="1"/>
  <c r="L22" i="12" s="1"/>
  <c r="M22" i="12" s="1"/>
  <c r="L31" i="12" a="1"/>
  <c r="L31" i="12" s="1"/>
  <c r="M31" i="12" s="1"/>
  <c r="L23" i="12" a="1"/>
  <c r="L23" i="12" s="1"/>
  <c r="M23" i="12" s="1"/>
  <c r="L24" i="11" a="1"/>
  <c r="L24" i="11" s="1"/>
  <c r="M24" i="11" s="1"/>
  <c r="L21" i="11" a="1"/>
  <c r="L21" i="11" s="1"/>
  <c r="M21" i="11" s="1"/>
  <c r="L18" i="11" a="1"/>
  <c r="L18" i="11" s="1"/>
  <c r="M18" i="11" s="1"/>
  <c r="L15" i="11" a="1"/>
  <c r="L15" i="11" s="1"/>
  <c r="M15" i="11" s="1"/>
  <c r="L32" i="11" a="1"/>
  <c r="L32" i="11" s="1"/>
  <c r="M32" i="11" s="1"/>
  <c r="L34" i="11" a="1"/>
  <c r="L34" i="11" s="1"/>
  <c r="M34" i="11" s="1"/>
  <c r="M37" i="11"/>
  <c r="L25" i="11" a="1"/>
  <c r="L25" i="11" s="1"/>
  <c r="M25" i="11" s="1"/>
  <c r="L29" i="11" a="1"/>
  <c r="L29" i="11" s="1"/>
  <c r="M29" i="11" s="1"/>
  <c r="L28" i="11" a="1"/>
  <c r="L28" i="11" s="1"/>
  <c r="M28" i="11" s="1"/>
  <c r="L31" i="11" a="1"/>
  <c r="L31" i="11" s="1"/>
  <c r="M31" i="11" s="1"/>
  <c r="L22" i="11" a="1"/>
  <c r="L22" i="11" s="1"/>
  <c r="M22" i="11" s="1"/>
  <c r="L30" i="11" a="1"/>
  <c r="L30" i="11" s="1"/>
  <c r="M30" i="11" s="1"/>
  <c r="L27" i="11" a="1"/>
  <c r="L27" i="11" s="1"/>
  <c r="M27" i="11" s="1"/>
  <c r="L17" i="11" a="1"/>
  <c r="L17" i="11" s="1"/>
  <c r="M17" i="11" s="1"/>
  <c r="L19" i="11" a="1"/>
  <c r="L19" i="11" s="1"/>
  <c r="M19" i="11" s="1"/>
  <c r="L26" i="11" a="1"/>
  <c r="L26" i="11" s="1"/>
  <c r="M26" i="11" s="1"/>
  <c r="L16" i="11" a="1"/>
  <c r="L16" i="11" s="1"/>
  <c r="M16" i="11" s="1"/>
  <c r="L33" i="11" a="1"/>
  <c r="L33" i="11" s="1"/>
  <c r="M33" i="11" s="1"/>
  <c r="L36" i="11" a="1"/>
  <c r="L36" i="11" s="1"/>
  <c r="M36" i="11" s="1"/>
  <c r="L35" i="11" a="1"/>
  <c r="L35" i="11" s="1"/>
  <c r="M35" i="11" s="1"/>
  <c r="L20" i="11" a="1"/>
  <c r="L20" i="11" s="1"/>
  <c r="M20" i="11" s="1"/>
  <c r="L23" i="11" a="1"/>
  <c r="L23" i="11" s="1"/>
  <c r="M23" i="11" s="1"/>
  <c r="L17" i="10" a="1"/>
  <c r="L17" i="10" s="1"/>
  <c r="M17" i="10" s="1"/>
  <c r="L20" i="10" a="1"/>
  <c r="L20" i="10" s="1"/>
  <c r="M20" i="10" s="1"/>
  <c r="L30" i="10" a="1"/>
  <c r="L30" i="10" s="1"/>
  <c r="M30" i="10" s="1"/>
  <c r="L32" i="10" a="1"/>
  <c r="L32" i="10" s="1"/>
  <c r="M32" i="10" s="1"/>
  <c r="M15" i="10"/>
  <c r="L29" i="10" a="1"/>
  <c r="L29" i="10" s="1"/>
  <c r="M29" i="10" s="1"/>
  <c r="L37" i="10" a="1"/>
  <c r="L37" i="10" s="1"/>
  <c r="M37" i="10" s="1"/>
  <c r="L16" i="10" a="1"/>
  <c r="L16" i="10" s="1"/>
  <c r="M16" i="10" s="1"/>
  <c r="L26" i="10" a="1"/>
  <c r="L26" i="10" s="1"/>
  <c r="M26" i="10" s="1"/>
  <c r="L28" i="10" a="1"/>
  <c r="L28" i="10" s="1"/>
  <c r="M28" i="10" s="1"/>
  <c r="L27" i="10" a="1"/>
  <c r="L27" i="10" s="1"/>
  <c r="M27" i="10" s="1"/>
  <c r="L33" i="10" a="1"/>
  <c r="L33" i="10" s="1"/>
  <c r="M33" i="10" s="1"/>
  <c r="L19" i="10" a="1"/>
  <c r="L19" i="10" s="1"/>
  <c r="M19" i="10" s="1"/>
  <c r="L24" i="10" a="1"/>
  <c r="L24" i="10" s="1"/>
  <c r="M24" i="10" s="1"/>
  <c r="L18" i="10" a="1"/>
  <c r="L18" i="10" s="1"/>
  <c r="M18" i="10" s="1"/>
  <c r="L21" i="10" a="1"/>
  <c r="L21" i="10" s="1"/>
  <c r="M21" i="10" s="1"/>
  <c r="L31" i="10" a="1"/>
  <c r="L31" i="10" s="1"/>
  <c r="M31" i="10" s="1"/>
  <c r="L22" i="10" a="1"/>
  <c r="L22" i="10" s="1"/>
  <c r="M22" i="10" s="1"/>
  <c r="L23" i="10" a="1"/>
  <c r="L23" i="10" s="1"/>
  <c r="M23" i="10" s="1"/>
  <c r="L35" i="10" a="1"/>
  <c r="L35" i="10" s="1"/>
  <c r="M35" i="10" s="1"/>
  <c r="L36" i="10" a="1"/>
  <c r="L36" i="10" s="1"/>
  <c r="M36" i="10" s="1"/>
  <c r="L25" i="10" a="1"/>
  <c r="L25" i="10" s="1"/>
  <c r="M25" i="10" s="1"/>
  <c r="L34" i="10" a="1"/>
  <c r="L34" i="10" s="1"/>
  <c r="M34" i="10" s="1"/>
  <c r="L24" i="8" a="1"/>
  <c r="L24" i="8" s="1"/>
  <c r="M24" i="8" s="1"/>
  <c r="M33" i="8"/>
  <c r="L16" i="8" a="1"/>
  <c r="L16" i="8" s="1"/>
  <c r="M16" i="8" s="1"/>
  <c r="L25" i="8" a="1"/>
  <c r="L25" i="8" s="1"/>
  <c r="M25" i="8" s="1"/>
  <c r="L18" i="8" a="1"/>
  <c r="L18" i="8" s="1"/>
  <c r="M18" i="8" s="1"/>
  <c r="L19" i="8" a="1"/>
  <c r="L19" i="8" s="1"/>
  <c r="M19" i="8" s="1"/>
  <c r="L26" i="8" a="1"/>
  <c r="L26" i="8" s="1"/>
  <c r="M26" i="8" s="1"/>
  <c r="L15" i="8" a="1"/>
  <c r="L15" i="8" s="1"/>
  <c r="M15" i="8" s="1"/>
  <c r="L20" i="8" a="1"/>
  <c r="L20" i="8" s="1"/>
  <c r="M20" i="8" s="1"/>
  <c r="L17" i="8" a="1"/>
  <c r="L17" i="8" s="1"/>
  <c r="M17" i="8" s="1"/>
  <c r="L29" i="8" a="1"/>
  <c r="L29" i="8" s="1"/>
  <c r="M29" i="8" s="1"/>
  <c r="L22" i="8" a="1"/>
  <c r="L22" i="8" s="1"/>
  <c r="M22" i="8" s="1"/>
  <c r="L37" i="8" a="1"/>
  <c r="L37" i="8" s="1"/>
  <c r="M37" i="8" s="1"/>
  <c r="L27" i="8" a="1"/>
  <c r="L27" i="8" s="1"/>
  <c r="M27" i="8" s="1"/>
  <c r="L23" i="8" a="1"/>
  <c r="L23" i="8" s="1"/>
  <c r="M23" i="8" s="1"/>
  <c r="L34" i="8" a="1"/>
  <c r="L34" i="8" s="1"/>
  <c r="M34" i="8" s="1"/>
  <c r="L28" i="8" a="1"/>
  <c r="L28" i="8" s="1"/>
  <c r="M28" i="8" s="1"/>
  <c r="L30" i="8" a="1"/>
  <c r="L30" i="8" s="1"/>
  <c r="M30" i="8" s="1"/>
  <c r="L31" i="8" a="1"/>
  <c r="L31" i="8" s="1"/>
  <c r="M31" i="8" s="1"/>
  <c r="L35" i="8" a="1"/>
  <c r="L35" i="8" s="1"/>
  <c r="M35" i="8" s="1"/>
  <c r="L21" i="8" a="1"/>
  <c r="L21" i="8" s="1"/>
  <c r="M21" i="8" s="1"/>
  <c r="L36" i="8" a="1"/>
  <c r="L36" i="8" s="1"/>
  <c r="M36" i="8" s="1"/>
  <c r="L32" i="8" a="1"/>
  <c r="L32" i="8" s="1"/>
  <c r="M32" i="8" s="1"/>
  <c r="L17" i="7" a="1"/>
  <c r="L17" i="7" s="1"/>
  <c r="M17" i="7" s="1"/>
  <c r="L20" i="7" a="1"/>
  <c r="L20" i="7" s="1"/>
  <c r="M20" i="7" s="1"/>
  <c r="M25" i="7"/>
  <c r="L29" i="7" a="1"/>
  <c r="L29" i="7" s="1"/>
  <c r="M29" i="7" s="1"/>
  <c r="L37" i="7" a="1"/>
  <c r="L37" i="7" s="1"/>
  <c r="M37" i="7" s="1"/>
  <c r="L34" i="7" a="1"/>
  <c r="L34" i="7" s="1"/>
  <c r="M34" i="7" s="1"/>
  <c r="L36" i="7" a="1"/>
  <c r="L36" i="7" s="1"/>
  <c r="M36" i="7" s="1"/>
  <c r="L32" i="7" a="1"/>
  <c r="L32" i="7" s="1"/>
  <c r="M32" i="7" s="1"/>
  <c r="L23" i="7" a="1"/>
  <c r="L23" i="7" s="1"/>
  <c r="M23" i="7" s="1"/>
  <c r="L19" i="7" a="1"/>
  <c r="L19" i="7" s="1"/>
  <c r="M19" i="7" s="1"/>
  <c r="L35" i="7" a="1"/>
  <c r="L35" i="7" s="1"/>
  <c r="M35" i="7" s="1"/>
  <c r="L15" i="7" a="1"/>
  <c r="L15" i="7" s="1"/>
  <c r="M15" i="7" s="1"/>
  <c r="L26" i="7" a="1"/>
  <c r="L26" i="7" s="1"/>
  <c r="M26" i="7" s="1"/>
  <c r="L31" i="7" a="1"/>
  <c r="L31" i="7" s="1"/>
  <c r="M31" i="7" s="1"/>
  <c r="L24" i="7" a="1"/>
  <c r="L24" i="7" s="1"/>
  <c r="M24" i="7" s="1"/>
  <c r="L16" i="7" a="1"/>
  <c r="L16" i="7" s="1"/>
  <c r="M16" i="7" s="1"/>
  <c r="L33" i="7" a="1"/>
  <c r="L33" i="7" s="1"/>
  <c r="M33" i="7" s="1"/>
  <c r="L18" i="7" a="1"/>
  <c r="L18" i="7" s="1"/>
  <c r="M18" i="7" s="1"/>
  <c r="L30" i="7" a="1"/>
  <c r="L30" i="7" s="1"/>
  <c r="M30" i="7" s="1"/>
  <c r="L28" i="7" a="1"/>
  <c r="L28" i="7" s="1"/>
  <c r="M28" i="7" s="1"/>
  <c r="L22" i="7" a="1"/>
  <c r="L22" i="7" s="1"/>
  <c r="M22" i="7" s="1"/>
  <c r="L27" i="7" a="1"/>
  <c r="L27" i="7" s="1"/>
  <c r="M27" i="7" s="1"/>
  <c r="L21" i="7" a="1"/>
  <c r="L21" i="7" s="1"/>
  <c r="M21" i="7" s="1"/>
  <c r="J25" i="3" a="1"/>
  <c r="J25" i="3" s="1"/>
  <c r="J30" i="3" a="1"/>
  <c r="J30" i="3" s="1"/>
  <c r="J35" i="3" a="1"/>
  <c r="J35" i="3" s="1"/>
  <c r="J26" i="3" a="1"/>
  <c r="J26" i="3" s="1"/>
  <c r="J31" i="3" a="1"/>
  <c r="J31" i="3" s="1"/>
  <c r="J36" i="3" a="1"/>
  <c r="J36" i="3" s="1"/>
  <c r="J27" i="3" a="1"/>
  <c r="J27" i="3" s="1"/>
  <c r="J32" i="3" a="1"/>
  <c r="J32" i="3" s="1"/>
  <c r="J37" i="3" a="1"/>
  <c r="J37" i="3" s="1"/>
  <c r="J28" i="3" a="1"/>
  <c r="J28" i="3" s="1"/>
  <c r="J33" i="3" a="1"/>
  <c r="J33" i="3" s="1"/>
  <c r="J29" i="3" a="1"/>
  <c r="J29" i="3" s="1"/>
  <c r="J34" i="3" a="1"/>
  <c r="J34" i="3" s="1"/>
  <c r="D15" i="12" l="1" a="1"/>
  <c r="D15" i="12" s="1"/>
  <c r="AQ14" i="12" a="1"/>
  <c r="AQ14" i="12" s="1"/>
  <c r="BP15" i="12" a="1"/>
  <c r="BQ14" i="12" a="1"/>
  <c r="BQ14" i="12" s="1"/>
  <c r="AP15" i="12" a="1"/>
  <c r="B14" i="12"/>
  <c r="D15" i="11" a="1"/>
  <c r="D15" i="11" s="1"/>
  <c r="BQ14" i="11" a="1"/>
  <c r="BQ14" i="11" s="1"/>
  <c r="B14" i="11"/>
  <c r="AQ14" i="11" a="1"/>
  <c r="AQ14" i="11" s="1"/>
  <c r="AP15" i="11" a="1"/>
  <c r="BP15" i="11" a="1"/>
  <c r="BP15" i="10" a="1"/>
  <c r="BQ14" i="10" a="1"/>
  <c r="BQ14" i="10" s="1"/>
  <c r="AP15" i="10" a="1"/>
  <c r="B14" i="10"/>
  <c r="AQ14" i="10" a="1"/>
  <c r="AQ14" i="10" s="1"/>
  <c r="D15" i="10" a="1"/>
  <c r="D15" i="10" s="1"/>
  <c r="D15" i="7" a="1"/>
  <c r="D15" i="7" s="1"/>
  <c r="D15" i="8" a="1"/>
  <c r="D15" i="8" s="1"/>
  <c r="BP15" i="8" a="1"/>
  <c r="B14" i="8"/>
  <c r="AP15" i="8" a="1"/>
  <c r="BQ14" i="8" a="1"/>
  <c r="BQ14" i="8" s="1"/>
  <c r="AQ14" i="8" a="1"/>
  <c r="AQ14" i="8" s="1"/>
  <c r="AP15" i="7" a="1"/>
  <c r="BP15" i="7" a="1"/>
  <c r="B14" i="7"/>
  <c r="BQ14" i="7" a="1"/>
  <c r="BQ14" i="7" s="1"/>
  <c r="AQ14" i="7" a="1"/>
  <c r="AQ14" i="7" s="1"/>
  <c r="BW21" i="7" l="1" a="1"/>
  <c r="BW21" i="7" s="1"/>
  <c r="CD28" i="7" a="1"/>
  <c r="CD28" i="7" s="1"/>
  <c r="BV20" i="7" a="1"/>
  <c r="BV20" i="7" s="1"/>
  <c r="CC27" i="7" a="1"/>
  <c r="CC27" i="7" s="1"/>
  <c r="CJ34" i="7" a="1"/>
  <c r="CJ34" i="7" s="1"/>
  <c r="BU19" i="7" a="1"/>
  <c r="BU19" i="7" s="1"/>
  <c r="CB26" i="7" a="1"/>
  <c r="CB26" i="7" s="1"/>
  <c r="CI33" i="7" a="1"/>
  <c r="CI33" i="7" s="1"/>
  <c r="BT18" i="7" a="1"/>
  <c r="BT18" i="7" s="1"/>
  <c r="CA25" i="7" a="1"/>
  <c r="CA25" i="7" s="1"/>
  <c r="CH32" i="7" a="1"/>
  <c r="CH32" i="7" s="1"/>
  <c r="BS17" i="7" a="1"/>
  <c r="BS17" i="7" s="1"/>
  <c r="BZ24" i="7" a="1"/>
  <c r="BZ24" i="7" s="1"/>
  <c r="CG31" i="7" a="1"/>
  <c r="CG31" i="7" s="1"/>
  <c r="BR16" i="7" a="1"/>
  <c r="BR16" i="7" s="1"/>
  <c r="BY23" i="7" a="1"/>
  <c r="BY23" i="7" s="1"/>
  <c r="CF30" i="7" a="1"/>
  <c r="CF30" i="7" s="1"/>
  <c r="BX22" i="7" a="1"/>
  <c r="BX22" i="7" s="1"/>
  <c r="CE29" i="7" a="1"/>
  <c r="CE29" i="7" s="1"/>
  <c r="AT16" i="7" a="1"/>
  <c r="AT16" i="7" s="1"/>
  <c r="BA16" i="7" a="1"/>
  <c r="BA16" i="7" s="1"/>
  <c r="BH16" i="7" a="1"/>
  <c r="BH16" i="7" s="1"/>
  <c r="AV17" i="7" a="1"/>
  <c r="AV17" i="7" s="1"/>
  <c r="BC17" i="7" a="1"/>
  <c r="BC17" i="7" s="1"/>
  <c r="BJ17" i="7" a="1"/>
  <c r="BJ17" i="7" s="1"/>
  <c r="AX18" i="7" a="1"/>
  <c r="AX18" i="7" s="1"/>
  <c r="BE18" i="7" a="1"/>
  <c r="BE18" i="7" s="1"/>
  <c r="AS19" i="7" a="1"/>
  <c r="AS19" i="7" s="1"/>
  <c r="AZ19" i="7" a="1"/>
  <c r="AZ19" i="7" s="1"/>
  <c r="BG19" i="7" a="1"/>
  <c r="BG19" i="7" s="1"/>
  <c r="AU20" i="7" a="1"/>
  <c r="AU20" i="7" s="1"/>
  <c r="BB20" i="7" a="1"/>
  <c r="BB20" i="7" s="1"/>
  <c r="BI20" i="7" a="1"/>
  <c r="BI20" i="7" s="1"/>
  <c r="AW21" i="7" a="1"/>
  <c r="AW21" i="7" s="1"/>
  <c r="BD21" i="7" a="1"/>
  <c r="BD21" i="7" s="1"/>
  <c r="AR22" i="7" a="1"/>
  <c r="AR22" i="7" s="1"/>
  <c r="AY22" i="7" a="1"/>
  <c r="AY22" i="7" s="1"/>
  <c r="BF22" i="7" a="1"/>
  <c r="BF22" i="7" s="1"/>
  <c r="AT23" i="7" a="1"/>
  <c r="AT23" i="7" s="1"/>
  <c r="BA23" i="7" a="1"/>
  <c r="BA23" i="7" s="1"/>
  <c r="BH23" i="7" a="1"/>
  <c r="BH23" i="7" s="1"/>
  <c r="AV24" i="7" a="1"/>
  <c r="AV24" i="7" s="1"/>
  <c r="BC24" i="7" a="1"/>
  <c r="BC24" i="7" s="1"/>
  <c r="BJ24" i="7" a="1"/>
  <c r="BJ24" i="7" s="1"/>
  <c r="AX25" i="7" a="1"/>
  <c r="AX25" i="7" s="1"/>
  <c r="BE25" i="7" a="1"/>
  <c r="BE25" i="7" s="1"/>
  <c r="AS26" i="7" a="1"/>
  <c r="AS26" i="7" s="1"/>
  <c r="AZ26" i="7" a="1"/>
  <c r="AZ26" i="7" s="1"/>
  <c r="BG26" i="7" a="1"/>
  <c r="BG26" i="7" s="1"/>
  <c r="AU27" i="7" a="1"/>
  <c r="AU27" i="7" s="1"/>
  <c r="BB27" i="7" a="1"/>
  <c r="BB27" i="7" s="1"/>
  <c r="BI27" i="7" a="1"/>
  <c r="BI27" i="7" s="1"/>
  <c r="AW28" i="7" a="1"/>
  <c r="AW28" i="7" s="1"/>
  <c r="BD28" i="7" a="1"/>
  <c r="BD28" i="7" s="1"/>
  <c r="AR29" i="7" a="1"/>
  <c r="AR29" i="7" s="1"/>
  <c r="AY29" i="7" a="1"/>
  <c r="AY29" i="7" s="1"/>
  <c r="BF29" i="7" a="1"/>
  <c r="BF29" i="7" s="1"/>
  <c r="AT30" i="7" a="1"/>
  <c r="AT30" i="7" s="1"/>
  <c r="BA30" i="7" a="1"/>
  <c r="BA30" i="7" s="1"/>
  <c r="BH30" i="7" a="1"/>
  <c r="BH30" i="7" s="1"/>
  <c r="AV31" i="7" a="1"/>
  <c r="AV31" i="7" s="1"/>
  <c r="BC31" i="7" a="1"/>
  <c r="BC31" i="7" s="1"/>
  <c r="BJ31" i="7" a="1"/>
  <c r="BJ31" i="7" s="1"/>
  <c r="AX32" i="7" a="1"/>
  <c r="AX32" i="7" s="1"/>
  <c r="BE32" i="7" a="1"/>
  <c r="BE32" i="7" s="1"/>
  <c r="AS33" i="7" a="1"/>
  <c r="AS33" i="7" s="1"/>
  <c r="AZ33" i="7" a="1"/>
  <c r="AZ33" i="7" s="1"/>
  <c r="BG33" i="7" a="1"/>
  <c r="BG33" i="7" s="1"/>
  <c r="AU34" i="7" a="1"/>
  <c r="AU34" i="7" s="1"/>
  <c r="BB34" i="7" a="1"/>
  <c r="BB34" i="7" s="1"/>
  <c r="BI34" i="7" a="1"/>
  <c r="BI34" i="7" s="1"/>
  <c r="AW20" i="7" a="1"/>
  <c r="AW20" i="7" s="1"/>
  <c r="AR21" i="7" a="1"/>
  <c r="AR21" i="7" s="1"/>
  <c r="AY21" i="7" a="1"/>
  <c r="AY21" i="7" s="1"/>
  <c r="BF21" i="7" a="1"/>
  <c r="BF21" i="7" s="1"/>
  <c r="AT22" i="7" a="1"/>
  <c r="AT22" i="7" s="1"/>
  <c r="BH22" i="7" a="1"/>
  <c r="BH22" i="7" s="1"/>
  <c r="BC23" i="7" a="1"/>
  <c r="BC23" i="7" s="1"/>
  <c r="BJ23" i="7" a="1"/>
  <c r="BJ23" i="7" s="1"/>
  <c r="AX24" i="7" a="1"/>
  <c r="AX24" i="7" s="1"/>
  <c r="BE24" i="7" a="1"/>
  <c r="BE24" i="7" s="1"/>
  <c r="AZ25" i="7" a="1"/>
  <c r="AZ25" i="7" s="1"/>
  <c r="BG25" i="7" a="1"/>
  <c r="BG25" i="7" s="1"/>
  <c r="BB26" i="7" a="1"/>
  <c r="BB26" i="7" s="1"/>
  <c r="AW27" i="7" a="1"/>
  <c r="AW27" i="7" s="1"/>
  <c r="AR28" i="7" a="1"/>
  <c r="AR28" i="7" s="1"/>
  <c r="AT29" i="7" a="1"/>
  <c r="AT29" i="7" s="1"/>
  <c r="AV30" i="7" a="1"/>
  <c r="AV30" i="7" s="1"/>
  <c r="BC30" i="7" a="1"/>
  <c r="BC30" i="7" s="1"/>
  <c r="AX31" i="7" a="1"/>
  <c r="AX31" i="7" s="1"/>
  <c r="AS32" i="7" a="1"/>
  <c r="AS32" i="7" s="1"/>
  <c r="AU33" i="7" a="1"/>
  <c r="AU33" i="7" s="1"/>
  <c r="BI33" i="7" a="1"/>
  <c r="BI33" i="7" s="1"/>
  <c r="BD34" i="7" a="1"/>
  <c r="BD34" i="7" s="1"/>
  <c r="BI19" i="7" a="1"/>
  <c r="BI19" i="7" s="1"/>
  <c r="AV23" i="7" a="1"/>
  <c r="AV23" i="7" s="1"/>
  <c r="AS25" i="7" a="1"/>
  <c r="AS25" i="7" s="1"/>
  <c r="AU26" i="7" a="1"/>
  <c r="AU26" i="7" s="1"/>
  <c r="BI26" i="7" a="1"/>
  <c r="BI26" i="7" s="1"/>
  <c r="BD27" i="7" a="1"/>
  <c r="BD27" i="7" s="1"/>
  <c r="BF28" i="7" a="1"/>
  <c r="BF28" i="7" s="1"/>
  <c r="BH29" i="7" a="1"/>
  <c r="BH29" i="7" s="1"/>
  <c r="BJ30" i="7" a="1"/>
  <c r="BJ30" i="7" s="1"/>
  <c r="BE31" i="7" a="1"/>
  <c r="BE31" i="7" s="1"/>
  <c r="AZ32" i="7" a="1"/>
  <c r="AZ32" i="7" s="1"/>
  <c r="BB33" i="7" a="1"/>
  <c r="BB33" i="7" s="1"/>
  <c r="AW34" i="7" a="1"/>
  <c r="AW34" i="7" s="1"/>
  <c r="AU16" i="7" a="1"/>
  <c r="AU16" i="7" s="1"/>
  <c r="BB16" i="7" a="1"/>
  <c r="BB16" i="7" s="1"/>
  <c r="BI16" i="7" a="1"/>
  <c r="BI16" i="7" s="1"/>
  <c r="AW17" i="7" a="1"/>
  <c r="AW17" i="7" s="1"/>
  <c r="BD17" i="7" a="1"/>
  <c r="BD17" i="7" s="1"/>
  <c r="AR18" i="7" a="1"/>
  <c r="AR18" i="7" s="1"/>
  <c r="AY18" i="7" a="1"/>
  <c r="AY18" i="7" s="1"/>
  <c r="BF18" i="7" a="1"/>
  <c r="BF18" i="7" s="1"/>
  <c r="AT19" i="7" a="1"/>
  <c r="AT19" i="7" s="1"/>
  <c r="BA19" i="7" a="1"/>
  <c r="BA19" i="7" s="1"/>
  <c r="BH19" i="7" a="1"/>
  <c r="BH19" i="7" s="1"/>
  <c r="AV20" i="7" a="1"/>
  <c r="AV20" i="7" s="1"/>
  <c r="BC20" i="7" a="1"/>
  <c r="BC20" i="7" s="1"/>
  <c r="BJ20" i="7" a="1"/>
  <c r="BJ20" i="7" s="1"/>
  <c r="AX21" i="7" a="1"/>
  <c r="AX21" i="7" s="1"/>
  <c r="BE21" i="7" a="1"/>
  <c r="BE21" i="7" s="1"/>
  <c r="AS22" i="7" a="1"/>
  <c r="AS22" i="7" s="1"/>
  <c r="AZ22" i="7" a="1"/>
  <c r="AZ22" i="7" s="1"/>
  <c r="BG22" i="7" a="1"/>
  <c r="BG22" i="7" s="1"/>
  <c r="AU23" i="7" a="1"/>
  <c r="AU23" i="7" s="1"/>
  <c r="BB23" i="7" a="1"/>
  <c r="BB23" i="7" s="1"/>
  <c r="BI23" i="7" a="1"/>
  <c r="BI23" i="7" s="1"/>
  <c r="AW24" i="7" a="1"/>
  <c r="AW24" i="7" s="1"/>
  <c r="BD24" i="7" a="1"/>
  <c r="BD24" i="7" s="1"/>
  <c r="AR25" i="7" a="1"/>
  <c r="AR25" i="7" s="1"/>
  <c r="AY25" i="7" a="1"/>
  <c r="AY25" i="7" s="1"/>
  <c r="BF25" i="7" a="1"/>
  <c r="BF25" i="7" s="1"/>
  <c r="AT26" i="7" a="1"/>
  <c r="AT26" i="7" s="1"/>
  <c r="BA26" i="7" a="1"/>
  <c r="BA26" i="7" s="1"/>
  <c r="BH26" i="7" a="1"/>
  <c r="BH26" i="7" s="1"/>
  <c r="AV27" i="7" a="1"/>
  <c r="AV27" i="7" s="1"/>
  <c r="BC27" i="7" a="1"/>
  <c r="BC27" i="7" s="1"/>
  <c r="BJ27" i="7" a="1"/>
  <c r="BJ27" i="7" s="1"/>
  <c r="AX28" i="7" a="1"/>
  <c r="AX28" i="7" s="1"/>
  <c r="BE28" i="7" a="1"/>
  <c r="BE28" i="7" s="1"/>
  <c r="AS29" i="7" a="1"/>
  <c r="AS29" i="7" s="1"/>
  <c r="AZ29" i="7" a="1"/>
  <c r="AZ29" i="7" s="1"/>
  <c r="BG29" i="7" a="1"/>
  <c r="BG29" i="7" s="1"/>
  <c r="AU30" i="7" a="1"/>
  <c r="AU30" i="7" s="1"/>
  <c r="BB30" i="7" a="1"/>
  <c r="BB30" i="7" s="1"/>
  <c r="BI30" i="7" a="1"/>
  <c r="BI30" i="7" s="1"/>
  <c r="AW31" i="7" a="1"/>
  <c r="AW31" i="7" s="1"/>
  <c r="BD31" i="7" a="1"/>
  <c r="BD31" i="7" s="1"/>
  <c r="AR32" i="7" a="1"/>
  <c r="AR32" i="7" s="1"/>
  <c r="AY32" i="7" a="1"/>
  <c r="AY32" i="7" s="1"/>
  <c r="BF32" i="7" a="1"/>
  <c r="BF32" i="7" s="1"/>
  <c r="AT33" i="7" a="1"/>
  <c r="AT33" i="7" s="1"/>
  <c r="BA33" i="7" a="1"/>
  <c r="BA33" i="7" s="1"/>
  <c r="BH33" i="7" a="1"/>
  <c r="BH33" i="7" s="1"/>
  <c r="AV34" i="7" a="1"/>
  <c r="AV34" i="7" s="1"/>
  <c r="BC34" i="7" a="1"/>
  <c r="BC34" i="7" s="1"/>
  <c r="BJ34" i="7" a="1"/>
  <c r="BJ34" i="7" s="1"/>
  <c r="AU19" i="7" a="1"/>
  <c r="AU19" i="7" s="1"/>
  <c r="AY28" i="7" a="1"/>
  <c r="AY28" i="7" s="1"/>
  <c r="BG32" i="7" a="1"/>
  <c r="BG32" i="7" s="1"/>
  <c r="BD29" i="7" a="1"/>
  <c r="BD29" i="7" s="1"/>
  <c r="AS34" i="7" a="1"/>
  <c r="AS34" i="7" s="1"/>
  <c r="BG18" i="7" a="1"/>
  <c r="BG18" i="7" s="1"/>
  <c r="AV16" i="7" a="1"/>
  <c r="AV16" i="7" s="1"/>
  <c r="BC16" i="7" a="1"/>
  <c r="BC16" i="7" s="1"/>
  <c r="BJ16" i="7" a="1"/>
  <c r="BJ16" i="7" s="1"/>
  <c r="AX17" i="7" a="1"/>
  <c r="AX17" i="7" s="1"/>
  <c r="BE17" i="7" a="1"/>
  <c r="BE17" i="7" s="1"/>
  <c r="AS18" i="7" a="1"/>
  <c r="AS18" i="7" s="1"/>
  <c r="AZ18" i="7" a="1"/>
  <c r="AZ18" i="7" s="1"/>
  <c r="BB19" i="7" a="1"/>
  <c r="BB19" i="7" s="1"/>
  <c r="BD20" i="7" a="1"/>
  <c r="BD20" i="7" s="1"/>
  <c r="BA22" i="7" a="1"/>
  <c r="BA22" i="7" s="1"/>
  <c r="BA29" i="7" a="1"/>
  <c r="BA29" i="7" s="1"/>
  <c r="AX33" i="7" a="1"/>
  <c r="AX33" i="7" s="1"/>
  <c r="AW16" i="7" a="1"/>
  <c r="AW16" i="7" s="1"/>
  <c r="BD16" i="7" a="1"/>
  <c r="BD16" i="7" s="1"/>
  <c r="AR17" i="7" a="1"/>
  <c r="AR17" i="7" s="1"/>
  <c r="AY17" i="7" a="1"/>
  <c r="AY17" i="7" s="1"/>
  <c r="BF17" i="7" a="1"/>
  <c r="BF17" i="7" s="1"/>
  <c r="AT18" i="7" a="1"/>
  <c r="AT18" i="7" s="1"/>
  <c r="BA18" i="7" a="1"/>
  <c r="BA18" i="7" s="1"/>
  <c r="BH18" i="7" a="1"/>
  <c r="BH18" i="7" s="1"/>
  <c r="AV19" i="7" a="1"/>
  <c r="AV19" i="7" s="1"/>
  <c r="BC19" i="7" a="1"/>
  <c r="BC19" i="7" s="1"/>
  <c r="BJ19" i="7" a="1"/>
  <c r="BJ19" i="7" s="1"/>
  <c r="AX20" i="7" a="1"/>
  <c r="AX20" i="7" s="1"/>
  <c r="BE20" i="7" a="1"/>
  <c r="BE20" i="7" s="1"/>
  <c r="AS21" i="7" a="1"/>
  <c r="AS21" i="7" s="1"/>
  <c r="AZ21" i="7" a="1"/>
  <c r="AZ21" i="7" s="1"/>
  <c r="BG21" i="7" a="1"/>
  <c r="BG21" i="7" s="1"/>
  <c r="AU22" i="7" a="1"/>
  <c r="AU22" i="7" s="1"/>
  <c r="BB22" i="7" a="1"/>
  <c r="BB22" i="7" s="1"/>
  <c r="BI22" i="7" a="1"/>
  <c r="BI22" i="7" s="1"/>
  <c r="AW23" i="7" a="1"/>
  <c r="AW23" i="7" s="1"/>
  <c r="BD23" i="7" a="1"/>
  <c r="BD23" i="7" s="1"/>
  <c r="AR24" i="7" a="1"/>
  <c r="AR24" i="7" s="1"/>
  <c r="AY24" i="7" a="1"/>
  <c r="AY24" i="7" s="1"/>
  <c r="BF24" i="7" a="1"/>
  <c r="BF24" i="7" s="1"/>
  <c r="AT25" i="7" a="1"/>
  <c r="AT25" i="7" s="1"/>
  <c r="BA25" i="7" a="1"/>
  <c r="BA25" i="7" s="1"/>
  <c r="BH25" i="7" a="1"/>
  <c r="BH25" i="7" s="1"/>
  <c r="AV26" i="7" a="1"/>
  <c r="AV26" i="7" s="1"/>
  <c r="BC26" i="7" a="1"/>
  <c r="BC26" i="7" s="1"/>
  <c r="BJ26" i="7" a="1"/>
  <c r="BJ26" i="7" s="1"/>
  <c r="AX27" i="7" a="1"/>
  <c r="AX27" i="7" s="1"/>
  <c r="BE27" i="7" a="1"/>
  <c r="BE27" i="7" s="1"/>
  <c r="AS28" i="7" a="1"/>
  <c r="AS28" i="7" s="1"/>
  <c r="AZ28" i="7" a="1"/>
  <c r="AZ28" i="7" s="1"/>
  <c r="BG28" i="7" a="1"/>
  <c r="BG28" i="7" s="1"/>
  <c r="AU29" i="7" a="1"/>
  <c r="AU29" i="7" s="1"/>
  <c r="BB29" i="7" a="1"/>
  <c r="BB29" i="7" s="1"/>
  <c r="BI29" i="7" a="1"/>
  <c r="BI29" i="7" s="1"/>
  <c r="AW30" i="7" a="1"/>
  <c r="AW30" i="7" s="1"/>
  <c r="BD30" i="7" a="1"/>
  <c r="BD30" i="7" s="1"/>
  <c r="AR31" i="7" a="1"/>
  <c r="AR31" i="7" s="1"/>
  <c r="AY31" i="7" a="1"/>
  <c r="AY31" i="7" s="1"/>
  <c r="BF31" i="7" a="1"/>
  <c r="BF31" i="7" s="1"/>
  <c r="AT32" i="7" a="1"/>
  <c r="AT32" i="7" s="1"/>
  <c r="BA32" i="7" a="1"/>
  <c r="BA32" i="7" s="1"/>
  <c r="BH32" i="7" a="1"/>
  <c r="BH32" i="7" s="1"/>
  <c r="AV33" i="7" a="1"/>
  <c r="AV33" i="7" s="1"/>
  <c r="BC33" i="7" a="1"/>
  <c r="BC33" i="7" s="1"/>
  <c r="BJ33" i="7" a="1"/>
  <c r="BJ33" i="7" s="1"/>
  <c r="AX34" i="7" a="1"/>
  <c r="AX34" i="7" s="1"/>
  <c r="BE34" i="7" a="1"/>
  <c r="BE34" i="7" s="1"/>
  <c r="BG17" i="7" a="1"/>
  <c r="BG17" i="7" s="1"/>
  <c r="BI18" i="7" a="1"/>
  <c r="BI18" i="7" s="1"/>
  <c r="AR20" i="7" a="1"/>
  <c r="AR20" i="7" s="1"/>
  <c r="BF20" i="7" a="1"/>
  <c r="BF20" i="7" s="1"/>
  <c r="BA21" i="7" a="1"/>
  <c r="BA21" i="7" s="1"/>
  <c r="AV22" i="7" a="1"/>
  <c r="AV22" i="7" s="1"/>
  <c r="BJ22" i="7" a="1"/>
  <c r="BJ22" i="7" s="1"/>
  <c r="BE23" i="7" a="1"/>
  <c r="BE23" i="7" s="1"/>
  <c r="BG24" i="7" a="1"/>
  <c r="BG24" i="7" s="1"/>
  <c r="BI25" i="7" a="1"/>
  <c r="BI25" i="7" s="1"/>
  <c r="BD26" i="7" a="1"/>
  <c r="BD26" i="7" s="1"/>
  <c r="AY27" i="7" a="1"/>
  <c r="AY27" i="7" s="1"/>
  <c r="AT28" i="7" a="1"/>
  <c r="AT28" i="7" s="1"/>
  <c r="AV29" i="7" a="1"/>
  <c r="AV29" i="7" s="1"/>
  <c r="BC29" i="7" a="1"/>
  <c r="BC29" i="7" s="1"/>
  <c r="AX30" i="7" a="1"/>
  <c r="AX30" i="7" s="1"/>
  <c r="BE30" i="7" a="1"/>
  <c r="BE30" i="7" s="1"/>
  <c r="AS31" i="7" a="1"/>
  <c r="AS31" i="7" s="1"/>
  <c r="BG31" i="7" a="1"/>
  <c r="BG31" i="7" s="1"/>
  <c r="AU32" i="7" a="1"/>
  <c r="AU32" i="7" s="1"/>
  <c r="BB32" i="7" a="1"/>
  <c r="BB32" i="7" s="1"/>
  <c r="AW33" i="7" a="1"/>
  <c r="AW33" i="7" s="1"/>
  <c r="BD33" i="7" a="1"/>
  <c r="BD33" i="7" s="1"/>
  <c r="AY34" i="7" a="1"/>
  <c r="AY34" i="7" s="1"/>
  <c r="AX16" i="7" a="1"/>
  <c r="AX16" i="7" s="1"/>
  <c r="BE16" i="7" a="1"/>
  <c r="BE16" i="7" s="1"/>
  <c r="AS17" i="7" a="1"/>
  <c r="AS17" i="7" s="1"/>
  <c r="AZ17" i="7" a="1"/>
  <c r="AZ17" i="7" s="1"/>
  <c r="AU18" i="7" a="1"/>
  <c r="AU18" i="7" s="1"/>
  <c r="BB18" i="7" a="1"/>
  <c r="BB18" i="7" s="1"/>
  <c r="AW19" i="7" a="1"/>
  <c r="AW19" i="7" s="1"/>
  <c r="BD19" i="7" a="1"/>
  <c r="BD19" i="7" s="1"/>
  <c r="AY20" i="7" a="1"/>
  <c r="AY20" i="7" s="1"/>
  <c r="AT21" i="7" a="1"/>
  <c r="AT21" i="7" s="1"/>
  <c r="BH21" i="7" a="1"/>
  <c r="BH21" i="7" s="1"/>
  <c r="BC22" i="7" a="1"/>
  <c r="BC22" i="7" s="1"/>
  <c r="AX23" i="7" a="1"/>
  <c r="AX23" i="7" s="1"/>
  <c r="AS24" i="7" a="1"/>
  <c r="AS24" i="7" s="1"/>
  <c r="AZ24" i="7" a="1"/>
  <c r="AZ24" i="7" s="1"/>
  <c r="AU25" i="7" a="1"/>
  <c r="AU25" i="7" s="1"/>
  <c r="BB25" i="7" a="1"/>
  <c r="BB25" i="7" s="1"/>
  <c r="AW26" i="7" a="1"/>
  <c r="AW26" i="7" s="1"/>
  <c r="AR27" i="7" a="1"/>
  <c r="AR27" i="7" s="1"/>
  <c r="BF27" i="7" a="1"/>
  <c r="BF27" i="7" s="1"/>
  <c r="BA28" i="7" a="1"/>
  <c r="BA28" i="7" s="1"/>
  <c r="BH28" i="7" a="1"/>
  <c r="BH28" i="7" s="1"/>
  <c r="BJ29" i="7" a="1"/>
  <c r="BJ29" i="7" s="1"/>
  <c r="AZ31" i="7" a="1"/>
  <c r="AZ31" i="7" s="1"/>
  <c r="BI32" i="7" a="1"/>
  <c r="BI32" i="7" s="1"/>
  <c r="AR34" i="7" a="1"/>
  <c r="AR34" i="7" s="1"/>
  <c r="BF34" i="7" a="1"/>
  <c r="BF34" i="7" s="1"/>
  <c r="AR16" i="7" a="1"/>
  <c r="AR16" i="7" s="1"/>
  <c r="AY16" i="7" a="1"/>
  <c r="AY16" i="7" s="1"/>
  <c r="BF16" i="7" a="1"/>
  <c r="BF16" i="7" s="1"/>
  <c r="AT17" i="7" a="1"/>
  <c r="AT17" i="7" s="1"/>
  <c r="BA17" i="7" a="1"/>
  <c r="BA17" i="7" s="1"/>
  <c r="BH17" i="7" a="1"/>
  <c r="BH17" i="7" s="1"/>
  <c r="AV18" i="7" a="1"/>
  <c r="AV18" i="7" s="1"/>
  <c r="BC18" i="7" a="1"/>
  <c r="BC18" i="7" s="1"/>
  <c r="BJ18" i="7" a="1"/>
  <c r="BJ18" i="7" s="1"/>
  <c r="AX19" i="7" a="1"/>
  <c r="AX19" i="7" s="1"/>
  <c r="BE19" i="7" a="1"/>
  <c r="BE19" i="7" s="1"/>
  <c r="AS20" i="7" a="1"/>
  <c r="AS20" i="7" s="1"/>
  <c r="AZ20" i="7" a="1"/>
  <c r="AZ20" i="7" s="1"/>
  <c r="BG20" i="7" a="1"/>
  <c r="BG20" i="7" s="1"/>
  <c r="AU21" i="7" a="1"/>
  <c r="AU21" i="7" s="1"/>
  <c r="BB21" i="7" a="1"/>
  <c r="BB21" i="7" s="1"/>
  <c r="BI21" i="7" a="1"/>
  <c r="BI21" i="7" s="1"/>
  <c r="AW22" i="7" a="1"/>
  <c r="AW22" i="7" s="1"/>
  <c r="BD22" i="7" a="1"/>
  <c r="BD22" i="7" s="1"/>
  <c r="AR23" i="7" a="1"/>
  <c r="AR23" i="7" s="1"/>
  <c r="AY23" i="7" a="1"/>
  <c r="AY23" i="7" s="1"/>
  <c r="BF23" i="7" a="1"/>
  <c r="BF23" i="7" s="1"/>
  <c r="AT24" i="7" a="1"/>
  <c r="AT24" i="7" s="1"/>
  <c r="BA24" i="7" a="1"/>
  <c r="BA24" i="7" s="1"/>
  <c r="BH24" i="7" a="1"/>
  <c r="BH24" i="7" s="1"/>
  <c r="AV25" i="7" a="1"/>
  <c r="AV25" i="7" s="1"/>
  <c r="BC25" i="7" a="1"/>
  <c r="BC25" i="7" s="1"/>
  <c r="BJ25" i="7" a="1"/>
  <c r="BJ25" i="7" s="1"/>
  <c r="AX26" i="7" a="1"/>
  <c r="AX26" i="7" s="1"/>
  <c r="BE26" i="7" a="1"/>
  <c r="BE26" i="7" s="1"/>
  <c r="AS27" i="7" a="1"/>
  <c r="AS27" i="7" s="1"/>
  <c r="AZ27" i="7" a="1"/>
  <c r="AZ27" i="7" s="1"/>
  <c r="BG27" i="7" a="1"/>
  <c r="BG27" i="7" s="1"/>
  <c r="AU28" i="7" a="1"/>
  <c r="AU28" i="7" s="1"/>
  <c r="BB28" i="7" a="1"/>
  <c r="BB28" i="7" s="1"/>
  <c r="BI28" i="7" a="1"/>
  <c r="BI28" i="7" s="1"/>
  <c r="AW29" i="7" a="1"/>
  <c r="AW29" i="7" s="1"/>
  <c r="AR30" i="7" a="1"/>
  <c r="AR30" i="7" s="1"/>
  <c r="AY30" i="7" a="1"/>
  <c r="AY30" i="7" s="1"/>
  <c r="BF30" i="7" a="1"/>
  <c r="BF30" i="7" s="1"/>
  <c r="AT31" i="7" a="1"/>
  <c r="AT31" i="7" s="1"/>
  <c r="BA31" i="7" a="1"/>
  <c r="BA31" i="7" s="1"/>
  <c r="BH31" i="7" a="1"/>
  <c r="BH31" i="7" s="1"/>
  <c r="AV32" i="7" a="1"/>
  <c r="AV32" i="7" s="1"/>
  <c r="BC32" i="7" a="1"/>
  <c r="BC32" i="7" s="1"/>
  <c r="BJ32" i="7" a="1"/>
  <c r="BJ32" i="7" s="1"/>
  <c r="BE33" i="7" a="1"/>
  <c r="BE33" i="7" s="1"/>
  <c r="AZ34" i="7" a="1"/>
  <c r="AZ34" i="7" s="1"/>
  <c r="BG34" i="7" a="1"/>
  <c r="BG34" i="7" s="1"/>
  <c r="AS16" i="7" a="1"/>
  <c r="AS16" i="7" s="1"/>
  <c r="AZ16" i="7" a="1"/>
  <c r="AZ16" i="7" s="1"/>
  <c r="BG16" i="7" a="1"/>
  <c r="BG16" i="7" s="1"/>
  <c r="AU17" i="7" a="1"/>
  <c r="AU17" i="7" s="1"/>
  <c r="BB17" i="7" a="1"/>
  <c r="BB17" i="7" s="1"/>
  <c r="BI17" i="7" a="1"/>
  <c r="BI17" i="7" s="1"/>
  <c r="AW18" i="7" a="1"/>
  <c r="AW18" i="7" s="1"/>
  <c r="BD18" i="7" a="1"/>
  <c r="BD18" i="7" s="1"/>
  <c r="AR19" i="7" a="1"/>
  <c r="AR19" i="7" s="1"/>
  <c r="AY19" i="7" a="1"/>
  <c r="AY19" i="7" s="1"/>
  <c r="BF19" i="7" a="1"/>
  <c r="BF19" i="7" s="1"/>
  <c r="AT20" i="7" a="1"/>
  <c r="AT20" i="7" s="1"/>
  <c r="BA20" i="7" a="1"/>
  <c r="BA20" i="7" s="1"/>
  <c r="BH20" i="7" a="1"/>
  <c r="BH20" i="7" s="1"/>
  <c r="AV21" i="7" a="1"/>
  <c r="AV21" i="7" s="1"/>
  <c r="BC21" i="7" a="1"/>
  <c r="BC21" i="7" s="1"/>
  <c r="BJ21" i="7" a="1"/>
  <c r="BJ21" i="7" s="1"/>
  <c r="AX22" i="7" a="1"/>
  <c r="AX22" i="7" s="1"/>
  <c r="BE22" i="7" a="1"/>
  <c r="BE22" i="7" s="1"/>
  <c r="AS23" i="7" a="1"/>
  <c r="AS23" i="7" s="1"/>
  <c r="AZ23" i="7" a="1"/>
  <c r="AZ23" i="7" s="1"/>
  <c r="BG23" i="7" a="1"/>
  <c r="BG23" i="7" s="1"/>
  <c r="AU24" i="7" a="1"/>
  <c r="AU24" i="7" s="1"/>
  <c r="BB24" i="7" a="1"/>
  <c r="BB24" i="7" s="1"/>
  <c r="BI24" i="7" a="1"/>
  <c r="BI24" i="7" s="1"/>
  <c r="AW25" i="7" a="1"/>
  <c r="AW25" i="7" s="1"/>
  <c r="BD25" i="7" a="1"/>
  <c r="BD25" i="7" s="1"/>
  <c r="AR26" i="7" a="1"/>
  <c r="AR26" i="7" s="1"/>
  <c r="AY26" i="7" a="1"/>
  <c r="AY26" i="7" s="1"/>
  <c r="BF26" i="7" a="1"/>
  <c r="BF26" i="7" s="1"/>
  <c r="AT27" i="7" a="1"/>
  <c r="AT27" i="7" s="1"/>
  <c r="BA27" i="7" a="1"/>
  <c r="BA27" i="7" s="1"/>
  <c r="BH27" i="7" a="1"/>
  <c r="BH27" i="7" s="1"/>
  <c r="AV28" i="7" a="1"/>
  <c r="AV28" i="7" s="1"/>
  <c r="BC28" i="7" a="1"/>
  <c r="BC28" i="7" s="1"/>
  <c r="BJ28" i="7" a="1"/>
  <c r="BJ28" i="7" s="1"/>
  <c r="AX29" i="7" a="1"/>
  <c r="AX29" i="7" s="1"/>
  <c r="BE29" i="7" a="1"/>
  <c r="BE29" i="7" s="1"/>
  <c r="AS30" i="7" a="1"/>
  <c r="AS30" i="7" s="1"/>
  <c r="AZ30" i="7" a="1"/>
  <c r="AZ30" i="7" s="1"/>
  <c r="BG30" i="7" a="1"/>
  <c r="BG30" i="7" s="1"/>
  <c r="AU31" i="7" a="1"/>
  <c r="AU31" i="7" s="1"/>
  <c r="BB31" i="7" a="1"/>
  <c r="BB31" i="7" s="1"/>
  <c r="BI31" i="7" a="1"/>
  <c r="BI31" i="7" s="1"/>
  <c r="AW32" i="7" a="1"/>
  <c r="AW32" i="7" s="1"/>
  <c r="BD32" i="7" a="1"/>
  <c r="BD32" i="7" s="1"/>
  <c r="AR33" i="7" a="1"/>
  <c r="AR33" i="7" s="1"/>
  <c r="AY33" i="7" a="1"/>
  <c r="AY33" i="7" s="1"/>
  <c r="BF33" i="7" a="1"/>
  <c r="BF33" i="7" s="1"/>
  <c r="AT34" i="7" a="1"/>
  <c r="AT34" i="7" s="1"/>
  <c r="BA34" i="7" a="1"/>
  <c r="BA34" i="7" s="1"/>
  <c r="BH34" i="7" a="1"/>
  <c r="BH34" i="7" s="1"/>
  <c r="AQ16" i="7" a="1"/>
  <c r="AQ16" i="7" s="1"/>
  <c r="AQ23" i="7" a="1"/>
  <c r="AQ23" i="7" s="1"/>
  <c r="AQ30" i="7" a="1"/>
  <c r="AQ30" i="7" s="1"/>
  <c r="AQ17" i="7" a="1"/>
  <c r="AQ17" i="7" s="1"/>
  <c r="AQ24" i="7" a="1"/>
  <c r="AQ24" i="7" s="1"/>
  <c r="AQ31" i="7" a="1"/>
  <c r="AQ31" i="7" s="1"/>
  <c r="AQ25" i="7" a="1"/>
  <c r="AQ25" i="7" s="1"/>
  <c r="AQ32" i="7" a="1"/>
  <c r="AQ32" i="7" s="1"/>
  <c r="AQ18" i="7" a="1"/>
  <c r="AQ18" i="7" s="1"/>
  <c r="AQ19" i="7" a="1"/>
  <c r="AQ19" i="7" s="1"/>
  <c r="AQ26" i="7" a="1"/>
  <c r="AQ26" i="7" s="1"/>
  <c r="AQ33" i="7" a="1"/>
  <c r="AQ33" i="7" s="1"/>
  <c r="AQ20" i="7" a="1"/>
  <c r="AQ20" i="7" s="1"/>
  <c r="AQ27" i="7" a="1"/>
  <c r="AQ27" i="7" s="1"/>
  <c r="AQ34" i="7" a="1"/>
  <c r="AQ34" i="7" s="1"/>
  <c r="AQ21" i="7" a="1"/>
  <c r="AQ21" i="7" s="1"/>
  <c r="AQ28" i="7" a="1"/>
  <c r="AQ28" i="7" s="1"/>
  <c r="AQ22" i="7" a="1"/>
  <c r="AQ22" i="7" s="1"/>
  <c r="AQ29" i="7" a="1"/>
  <c r="AQ29" i="7" s="1"/>
  <c r="BW21" i="12" a="1"/>
  <c r="BW21" i="12" s="1"/>
  <c r="CD28" i="12" a="1"/>
  <c r="CD28" i="12" s="1"/>
  <c r="BU19" i="12" a="1"/>
  <c r="BU19" i="12" s="1"/>
  <c r="BV20" i="12" a="1"/>
  <c r="BV20" i="12" s="1"/>
  <c r="CC27" i="12" a="1"/>
  <c r="CC27" i="12" s="1"/>
  <c r="CJ34" i="12" a="1"/>
  <c r="CJ34" i="12" s="1"/>
  <c r="CI33" i="12" a="1"/>
  <c r="CI33" i="12" s="1"/>
  <c r="CB26" i="12" a="1"/>
  <c r="CB26" i="12" s="1"/>
  <c r="BS17" i="12" a="1"/>
  <c r="BS17" i="12" s="1"/>
  <c r="BZ24" i="12" a="1"/>
  <c r="BZ24" i="12" s="1"/>
  <c r="CE29" i="12" a="1"/>
  <c r="CE29" i="12" s="1"/>
  <c r="CH32" i="12" a="1"/>
  <c r="CH32" i="12" s="1"/>
  <c r="BR16" i="12" a="1"/>
  <c r="BR16" i="12" s="1"/>
  <c r="CG31" i="12" a="1"/>
  <c r="CG31" i="12" s="1"/>
  <c r="CF30" i="12" a="1"/>
  <c r="CF30" i="12" s="1"/>
  <c r="BT18" i="12" a="1"/>
  <c r="BT18" i="12" s="1"/>
  <c r="BX22" i="12" a="1"/>
  <c r="BX22" i="12" s="1"/>
  <c r="BY23" i="12" a="1"/>
  <c r="BY23" i="12" s="1"/>
  <c r="CA25" i="12" a="1"/>
  <c r="CA25" i="12" s="1"/>
  <c r="AT16" i="12" a="1"/>
  <c r="AT16" i="12" s="1"/>
  <c r="BA16" i="12" a="1"/>
  <c r="BA16" i="12" s="1"/>
  <c r="BH16" i="12" a="1"/>
  <c r="BH16" i="12" s="1"/>
  <c r="AV17" i="12" a="1"/>
  <c r="AV17" i="12" s="1"/>
  <c r="BC17" i="12" a="1"/>
  <c r="BC17" i="12" s="1"/>
  <c r="BJ17" i="12" a="1"/>
  <c r="BJ17" i="12" s="1"/>
  <c r="AX18" i="12" a="1"/>
  <c r="AX18" i="12" s="1"/>
  <c r="BE18" i="12" a="1"/>
  <c r="BE18" i="12" s="1"/>
  <c r="AS19" i="12" a="1"/>
  <c r="AS19" i="12" s="1"/>
  <c r="AZ19" i="12" a="1"/>
  <c r="AZ19" i="12" s="1"/>
  <c r="BG19" i="12" a="1"/>
  <c r="BG19" i="12" s="1"/>
  <c r="AU20" i="12" a="1"/>
  <c r="AU20" i="12" s="1"/>
  <c r="BB20" i="12" a="1"/>
  <c r="BB20" i="12" s="1"/>
  <c r="BI20" i="12" a="1"/>
  <c r="BI20" i="12" s="1"/>
  <c r="AW21" i="12" a="1"/>
  <c r="AW21" i="12" s="1"/>
  <c r="BD21" i="12" a="1"/>
  <c r="BD21" i="12" s="1"/>
  <c r="AR22" i="12" a="1"/>
  <c r="AR22" i="12" s="1"/>
  <c r="AY22" i="12" a="1"/>
  <c r="AY22" i="12" s="1"/>
  <c r="BF22" i="12" a="1"/>
  <c r="BF22" i="12" s="1"/>
  <c r="AT23" i="12" a="1"/>
  <c r="AT23" i="12" s="1"/>
  <c r="BA23" i="12" a="1"/>
  <c r="BA23" i="12" s="1"/>
  <c r="BH23" i="12" a="1"/>
  <c r="BH23" i="12" s="1"/>
  <c r="AV24" i="12" a="1"/>
  <c r="AV24" i="12" s="1"/>
  <c r="BC24" i="12" a="1"/>
  <c r="BC24" i="12" s="1"/>
  <c r="BJ24" i="12" a="1"/>
  <c r="BJ24" i="12" s="1"/>
  <c r="AX25" i="12" a="1"/>
  <c r="AX25" i="12" s="1"/>
  <c r="BE25" i="12" a="1"/>
  <c r="BE25" i="12" s="1"/>
  <c r="AS26" i="12" a="1"/>
  <c r="AS26" i="12" s="1"/>
  <c r="AZ26" i="12" a="1"/>
  <c r="AZ26" i="12" s="1"/>
  <c r="BG26" i="12" a="1"/>
  <c r="BG26" i="12" s="1"/>
  <c r="AU27" i="12" a="1"/>
  <c r="AU27" i="12" s="1"/>
  <c r="BB27" i="12" a="1"/>
  <c r="BB27" i="12" s="1"/>
  <c r="BI27" i="12" a="1"/>
  <c r="BI27" i="12" s="1"/>
  <c r="AW28" i="12" a="1"/>
  <c r="AW28" i="12" s="1"/>
  <c r="BD28" i="12" a="1"/>
  <c r="BD28" i="12" s="1"/>
  <c r="AR29" i="12" a="1"/>
  <c r="AR29" i="12" s="1"/>
  <c r="AY29" i="12" a="1"/>
  <c r="AY29" i="12" s="1"/>
  <c r="BF29" i="12" a="1"/>
  <c r="BF29" i="12" s="1"/>
  <c r="AT30" i="12" a="1"/>
  <c r="AT30" i="12" s="1"/>
  <c r="BA30" i="12" a="1"/>
  <c r="BA30" i="12" s="1"/>
  <c r="BH30" i="12" a="1"/>
  <c r="BH30" i="12" s="1"/>
  <c r="AV31" i="12" a="1"/>
  <c r="AV31" i="12" s="1"/>
  <c r="BC31" i="12" a="1"/>
  <c r="BC31" i="12" s="1"/>
  <c r="BJ31" i="12" a="1"/>
  <c r="BJ31" i="12" s="1"/>
  <c r="AX32" i="12" a="1"/>
  <c r="AX32" i="12" s="1"/>
  <c r="BE32" i="12" a="1"/>
  <c r="BE32" i="12" s="1"/>
  <c r="AS33" i="12" a="1"/>
  <c r="AS33" i="12" s="1"/>
  <c r="AZ33" i="12" a="1"/>
  <c r="AZ33" i="12" s="1"/>
  <c r="BG33" i="12" a="1"/>
  <c r="BG33" i="12" s="1"/>
  <c r="AU34" i="12" a="1"/>
  <c r="AU34" i="12" s="1"/>
  <c r="BB34" i="12" a="1"/>
  <c r="BB34" i="12" s="1"/>
  <c r="BI34" i="12" a="1"/>
  <c r="BI34" i="12" s="1"/>
  <c r="BB23" i="12" a="1"/>
  <c r="BB23" i="12" s="1"/>
  <c r="BA26" i="12" a="1"/>
  <c r="BA26" i="12" s="1"/>
  <c r="BJ27" i="12" a="1"/>
  <c r="BJ27" i="12" s="1"/>
  <c r="AX28" i="12" a="1"/>
  <c r="AX28" i="12" s="1"/>
  <c r="BE28" i="12" a="1"/>
  <c r="BE28" i="12" s="1"/>
  <c r="AZ29" i="12" a="1"/>
  <c r="AZ29" i="12" s="1"/>
  <c r="BG29" i="12" a="1"/>
  <c r="BG29" i="12" s="1"/>
  <c r="AU30" i="12" a="1"/>
  <c r="AU30" i="12" s="1"/>
  <c r="BI30" i="12" a="1"/>
  <c r="BI30" i="12" s="1"/>
  <c r="BD31" i="12" a="1"/>
  <c r="BD31" i="12" s="1"/>
  <c r="AY32" i="12" a="1"/>
  <c r="AY32" i="12" s="1"/>
  <c r="AT33" i="12" a="1"/>
  <c r="AT33" i="12" s="1"/>
  <c r="BH33" i="12" a="1"/>
  <c r="BH33" i="12" s="1"/>
  <c r="BC34" i="12" a="1"/>
  <c r="BC34" i="12" s="1"/>
  <c r="AU16" i="12" a="1"/>
  <c r="AU16" i="12" s="1"/>
  <c r="BB16" i="12" a="1"/>
  <c r="BB16" i="12" s="1"/>
  <c r="BI16" i="12" a="1"/>
  <c r="BI16" i="12" s="1"/>
  <c r="AW17" i="12" a="1"/>
  <c r="AW17" i="12" s="1"/>
  <c r="BD17" i="12" a="1"/>
  <c r="BD17" i="12" s="1"/>
  <c r="AR18" i="12" a="1"/>
  <c r="AR18" i="12" s="1"/>
  <c r="AY18" i="12" a="1"/>
  <c r="AY18" i="12" s="1"/>
  <c r="BF18" i="12" a="1"/>
  <c r="BF18" i="12" s="1"/>
  <c r="AT19" i="12" a="1"/>
  <c r="AT19" i="12" s="1"/>
  <c r="BA19" i="12" a="1"/>
  <c r="BA19" i="12" s="1"/>
  <c r="BH19" i="12" a="1"/>
  <c r="BH19" i="12" s="1"/>
  <c r="AV20" i="12" a="1"/>
  <c r="AV20" i="12" s="1"/>
  <c r="BC20" i="12" a="1"/>
  <c r="BC20" i="12" s="1"/>
  <c r="BJ20" i="12" a="1"/>
  <c r="BJ20" i="12" s="1"/>
  <c r="AX21" i="12" a="1"/>
  <c r="AX21" i="12" s="1"/>
  <c r="BE21" i="12" a="1"/>
  <c r="BE21" i="12" s="1"/>
  <c r="AS22" i="12" a="1"/>
  <c r="AS22" i="12" s="1"/>
  <c r="AZ22" i="12" a="1"/>
  <c r="AZ22" i="12" s="1"/>
  <c r="BG22" i="12" a="1"/>
  <c r="BG22" i="12" s="1"/>
  <c r="AU23" i="12" a="1"/>
  <c r="AU23" i="12" s="1"/>
  <c r="BI23" i="12" a="1"/>
  <c r="BI23" i="12" s="1"/>
  <c r="AW24" i="12" a="1"/>
  <c r="AW24" i="12" s="1"/>
  <c r="BD24" i="12" a="1"/>
  <c r="BD24" i="12" s="1"/>
  <c r="AR25" i="12" a="1"/>
  <c r="AR25" i="12" s="1"/>
  <c r="AY25" i="12" a="1"/>
  <c r="AY25" i="12" s="1"/>
  <c r="BF25" i="12" a="1"/>
  <c r="BF25" i="12" s="1"/>
  <c r="AT26" i="12" a="1"/>
  <c r="AT26" i="12" s="1"/>
  <c r="BH26" i="12" a="1"/>
  <c r="BH26" i="12" s="1"/>
  <c r="AV27" i="12" a="1"/>
  <c r="AV27" i="12" s="1"/>
  <c r="BC27" i="12" a="1"/>
  <c r="BC27" i="12" s="1"/>
  <c r="AS29" i="12" a="1"/>
  <c r="AS29" i="12" s="1"/>
  <c r="BB30" i="12" a="1"/>
  <c r="BB30" i="12" s="1"/>
  <c r="AW31" i="12" a="1"/>
  <c r="AW31" i="12" s="1"/>
  <c r="AR32" i="12" a="1"/>
  <c r="AR32" i="12" s="1"/>
  <c r="BF32" i="12" a="1"/>
  <c r="BF32" i="12" s="1"/>
  <c r="BA33" i="12" a="1"/>
  <c r="BA33" i="12" s="1"/>
  <c r="AV34" i="12" a="1"/>
  <c r="AV34" i="12" s="1"/>
  <c r="BJ34" i="12" a="1"/>
  <c r="BJ34" i="12" s="1"/>
  <c r="AZ25" i="12" a="1"/>
  <c r="AZ25" i="12" s="1"/>
  <c r="BD27" i="12" a="1"/>
  <c r="BD27" i="12" s="1"/>
  <c r="AV16" i="12" a="1"/>
  <c r="AV16" i="12" s="1"/>
  <c r="BC16" i="12" a="1"/>
  <c r="BC16" i="12" s="1"/>
  <c r="BJ16" i="12" a="1"/>
  <c r="BJ16" i="12" s="1"/>
  <c r="AX17" i="12" a="1"/>
  <c r="AX17" i="12" s="1"/>
  <c r="BE17" i="12" a="1"/>
  <c r="BE17" i="12" s="1"/>
  <c r="AS18" i="12" a="1"/>
  <c r="AS18" i="12" s="1"/>
  <c r="AZ18" i="12" a="1"/>
  <c r="AZ18" i="12" s="1"/>
  <c r="BG18" i="12" a="1"/>
  <c r="BG18" i="12" s="1"/>
  <c r="AU19" i="12" a="1"/>
  <c r="AU19" i="12" s="1"/>
  <c r="BB19" i="12" a="1"/>
  <c r="BB19" i="12" s="1"/>
  <c r="BI19" i="12" a="1"/>
  <c r="BI19" i="12" s="1"/>
  <c r="AW20" i="12" a="1"/>
  <c r="AW20" i="12" s="1"/>
  <c r="BD20" i="12" a="1"/>
  <c r="BD20" i="12" s="1"/>
  <c r="AR21" i="12" a="1"/>
  <c r="AR21" i="12" s="1"/>
  <c r="AY21" i="12" a="1"/>
  <c r="AY21" i="12" s="1"/>
  <c r="BF21" i="12" a="1"/>
  <c r="BF21" i="12" s="1"/>
  <c r="AT22" i="12" a="1"/>
  <c r="AT22" i="12" s="1"/>
  <c r="BA22" i="12" a="1"/>
  <c r="BA22" i="12" s="1"/>
  <c r="BH22" i="12" a="1"/>
  <c r="BH22" i="12" s="1"/>
  <c r="AV23" i="12" a="1"/>
  <c r="AV23" i="12" s="1"/>
  <c r="BC23" i="12" a="1"/>
  <c r="BC23" i="12" s="1"/>
  <c r="BJ23" i="12" a="1"/>
  <c r="BJ23" i="12" s="1"/>
  <c r="AX24" i="12" a="1"/>
  <c r="AX24" i="12" s="1"/>
  <c r="AS25" i="12" a="1"/>
  <c r="AS25" i="12" s="1"/>
  <c r="AU26" i="12" a="1"/>
  <c r="AU26" i="12" s="1"/>
  <c r="BB26" i="12" a="1"/>
  <c r="BB26" i="12" s="1"/>
  <c r="BI26" i="12" a="1"/>
  <c r="BI26" i="12" s="1"/>
  <c r="AW16" i="12" a="1"/>
  <c r="AW16" i="12" s="1"/>
  <c r="BI17" i="12" a="1"/>
  <c r="BI17" i="12" s="1"/>
  <c r="BB18" i="12" a="1"/>
  <c r="BB18" i="12" s="1"/>
  <c r="BG20" i="12" a="1"/>
  <c r="BG20" i="12" s="1"/>
  <c r="AZ21" i="12" a="1"/>
  <c r="AZ21" i="12" s="1"/>
  <c r="AS23" i="12" a="1"/>
  <c r="AS23" i="12" s="1"/>
  <c r="BE23" i="12" a="1"/>
  <c r="BE23" i="12" s="1"/>
  <c r="BG24" i="12" a="1"/>
  <c r="BG24" i="12" s="1"/>
  <c r="BI25" i="12" a="1"/>
  <c r="BI25" i="12" s="1"/>
  <c r="AT28" i="12" a="1"/>
  <c r="AT28" i="12" s="1"/>
  <c r="BC28" i="12" a="1"/>
  <c r="BC28" i="12" s="1"/>
  <c r="AU29" i="12" a="1"/>
  <c r="AU29" i="12" s="1"/>
  <c r="BD29" i="12" a="1"/>
  <c r="BD29" i="12" s="1"/>
  <c r="AV30" i="12" a="1"/>
  <c r="AV30" i="12" s="1"/>
  <c r="BE30" i="12" a="1"/>
  <c r="BE30" i="12" s="1"/>
  <c r="AU31" i="12" a="1"/>
  <c r="AU31" i="12" s="1"/>
  <c r="BF31" i="12" a="1"/>
  <c r="BF31" i="12" s="1"/>
  <c r="AV32" i="12" a="1"/>
  <c r="AV32" i="12" s="1"/>
  <c r="BG32" i="12" a="1"/>
  <c r="BG32" i="12" s="1"/>
  <c r="AW33" i="12" a="1"/>
  <c r="AW33" i="12" s="1"/>
  <c r="BF33" i="12" a="1"/>
  <c r="BF33" i="12" s="1"/>
  <c r="AX34" i="12" a="1"/>
  <c r="AX34" i="12" s="1"/>
  <c r="BG34" i="12" a="1"/>
  <c r="BG34" i="12" s="1"/>
  <c r="BG31" i="12" a="1"/>
  <c r="BG31" i="12" s="1"/>
  <c r="AW19" i="12" a="1"/>
  <c r="AW19" i="12" s="1"/>
  <c r="BG28" i="12" a="1"/>
  <c r="BG28" i="12" s="1"/>
  <c r="AY31" i="12" a="1"/>
  <c r="AY31" i="12" s="1"/>
  <c r="AY33" i="12" a="1"/>
  <c r="AY33" i="12" s="1"/>
  <c r="AZ34" i="12" a="1"/>
  <c r="AZ34" i="12" s="1"/>
  <c r="AZ20" i="12" a="1"/>
  <c r="AZ20" i="12" s="1"/>
  <c r="BE22" i="12" a="1"/>
  <c r="BE22" i="12" s="1"/>
  <c r="AZ16" i="12" a="1"/>
  <c r="AZ16" i="12" s="1"/>
  <c r="BE26" i="12" a="1"/>
  <c r="BE26" i="12" s="1"/>
  <c r="BH28" i="12" a="1"/>
  <c r="BH28" i="12" s="1"/>
  <c r="BI31" i="12" a="1"/>
  <c r="BI31" i="12" s="1"/>
  <c r="BA34" i="12" a="1"/>
  <c r="BA34" i="12" s="1"/>
  <c r="BH18" i="12" a="1"/>
  <c r="BH18" i="12" s="1"/>
  <c r="AY23" i="12" a="1"/>
  <c r="AY23" i="12" s="1"/>
  <c r="AX27" i="12" a="1"/>
  <c r="AX27" i="12" s="1"/>
  <c r="BF17" i="12" a="1"/>
  <c r="BF17" i="12" s="1"/>
  <c r="BI22" i="12" a="1"/>
  <c r="BI22" i="12" s="1"/>
  <c r="BD25" i="12" a="1"/>
  <c r="BD25" i="12" s="1"/>
  <c r="AZ28" i="12" a="1"/>
  <c r="AZ28" i="12" s="1"/>
  <c r="BJ29" i="12" a="1"/>
  <c r="BJ29" i="12" s="1"/>
  <c r="BB32" i="12" a="1"/>
  <c r="BB32" i="12" s="1"/>
  <c r="BD34" i="12" a="1"/>
  <c r="BD34" i="12" s="1"/>
  <c r="BD16" i="12" a="1"/>
  <c r="BD16" i="12" s="1"/>
  <c r="BG21" i="12" a="1"/>
  <c r="BG21" i="12" s="1"/>
  <c r="BG16" i="12" a="1"/>
  <c r="BG16" i="12" s="1"/>
  <c r="AZ17" i="12" a="1"/>
  <c r="AZ17" i="12" s="1"/>
  <c r="BE19" i="12" a="1"/>
  <c r="BE19" i="12" s="1"/>
  <c r="AX20" i="12" a="1"/>
  <c r="AX20" i="12" s="1"/>
  <c r="BJ21" i="12" a="1"/>
  <c r="BJ21" i="12" s="1"/>
  <c r="BC22" i="12" a="1"/>
  <c r="BC22" i="12" s="1"/>
  <c r="AS27" i="12" a="1"/>
  <c r="AS27" i="12" s="1"/>
  <c r="BF28" i="12" a="1"/>
  <c r="BF28" i="12" s="1"/>
  <c r="AW30" i="12" a="1"/>
  <c r="AW30" i="12" s="1"/>
  <c r="AX31" i="12" a="1"/>
  <c r="AX31" i="12" s="1"/>
  <c r="BI33" i="12" a="1"/>
  <c r="BI33" i="12" s="1"/>
  <c r="AX30" i="12" a="1"/>
  <c r="AX30" i="12" s="1"/>
  <c r="BI32" i="12" a="1"/>
  <c r="BI32" i="12" s="1"/>
  <c r="AW27" i="12" a="1"/>
  <c r="AW27" i="12" s="1"/>
  <c r="AX19" i="12" a="1"/>
  <c r="AX19" i="12" s="1"/>
  <c r="BC21" i="12" a="1"/>
  <c r="BC21" i="12" s="1"/>
  <c r="BA24" i="12" a="1"/>
  <c r="BA24" i="12" s="1"/>
  <c r="BG27" i="12" a="1"/>
  <c r="BG27" i="12" s="1"/>
  <c r="BI29" i="12" a="1"/>
  <c r="BI29" i="12" s="1"/>
  <c r="BJ30" i="12" a="1"/>
  <c r="BJ30" i="12" s="1"/>
  <c r="BA32" i="12" a="1"/>
  <c r="BA32" i="12" s="1"/>
  <c r="AR34" i="12" a="1"/>
  <c r="AR34" i="12" s="1"/>
  <c r="AT21" i="12" a="1"/>
  <c r="AT21" i="12" s="1"/>
  <c r="AT25" i="12" a="1"/>
  <c r="AT25" i="12" s="1"/>
  <c r="AY19" i="12" a="1"/>
  <c r="AY19" i="12" s="1"/>
  <c r="BH27" i="12" a="1"/>
  <c r="BH27" i="12" s="1"/>
  <c r="BA29" i="12" a="1"/>
  <c r="BA29" i="12" s="1"/>
  <c r="BA31" i="12" a="1"/>
  <c r="BA31" i="12" s="1"/>
  <c r="AR33" i="12" a="1"/>
  <c r="AR33" i="12" s="1"/>
  <c r="AX16" i="12" a="1"/>
  <c r="AX16" i="12" s="1"/>
  <c r="BC18" i="12" a="1"/>
  <c r="BC18" i="12" s="1"/>
  <c r="AV19" i="12" a="1"/>
  <c r="AV19" i="12" s="1"/>
  <c r="BH20" i="12" a="1"/>
  <c r="BH20" i="12" s="1"/>
  <c r="BA21" i="12" a="1"/>
  <c r="BA21" i="12" s="1"/>
  <c r="BF23" i="12" a="1"/>
  <c r="BF23" i="12" s="1"/>
  <c r="AY24" i="12" a="1"/>
  <c r="AY24" i="12" s="1"/>
  <c r="BH24" i="12" a="1"/>
  <c r="BH24" i="12" s="1"/>
  <c r="BA25" i="12" a="1"/>
  <c r="BA25" i="12" s="1"/>
  <c r="BJ25" i="12" a="1"/>
  <c r="BJ25" i="12" s="1"/>
  <c r="BC26" i="12" a="1"/>
  <c r="BC26" i="12" s="1"/>
  <c r="BE27" i="12" a="1"/>
  <c r="BE27" i="12" s="1"/>
  <c r="AU28" i="12" a="1"/>
  <c r="AU28" i="12" s="1"/>
  <c r="AV29" i="12" a="1"/>
  <c r="AV29" i="12" s="1"/>
  <c r="BE29" i="12" a="1"/>
  <c r="BE29" i="12" s="1"/>
  <c r="BF30" i="12" a="1"/>
  <c r="BF30" i="12" s="1"/>
  <c r="AW32" i="12" a="1"/>
  <c r="AW32" i="12" s="1"/>
  <c r="BH32" i="12" a="1"/>
  <c r="BH32" i="12" s="1"/>
  <c r="AX33" i="12" a="1"/>
  <c r="AX33" i="12" s="1"/>
  <c r="AY34" i="12" a="1"/>
  <c r="AY34" i="12" s="1"/>
  <c r="BH34" i="12" a="1"/>
  <c r="BH34" i="12" s="1"/>
  <c r="AV28" i="12" a="1"/>
  <c r="AV28" i="12" s="1"/>
  <c r="AZ32" i="12" a="1"/>
  <c r="AZ32" i="12" s="1"/>
  <c r="BB17" i="12" a="1"/>
  <c r="BB17" i="12" s="1"/>
  <c r="AS21" i="12" a="1"/>
  <c r="AS21" i="12" s="1"/>
  <c r="BJ19" i="12" a="1"/>
  <c r="BJ19" i="12" s="1"/>
  <c r="BC25" i="12" a="1"/>
  <c r="BC25" i="12" s="1"/>
  <c r="AX29" i="12" a="1"/>
  <c r="AX29" i="12" s="1"/>
  <c r="AZ31" i="12" a="1"/>
  <c r="AZ31" i="12" s="1"/>
  <c r="BB33" i="12" a="1"/>
  <c r="BB33" i="12" s="1"/>
  <c r="AV18" i="12" a="1"/>
  <c r="AV18" i="12" s="1"/>
  <c r="BA20" i="12" a="1"/>
  <c r="BA20" i="12" s="1"/>
  <c r="AV26" i="12" a="1"/>
  <c r="AV26" i="12" s="1"/>
  <c r="AR20" i="12" a="1"/>
  <c r="AR20" i="12" s="1"/>
  <c r="BB24" i="12" a="1"/>
  <c r="BB24" i="12" s="1"/>
  <c r="BI28" i="12" a="1"/>
  <c r="BI28" i="12" s="1"/>
  <c r="AR31" i="12" a="1"/>
  <c r="AR31" i="12" s="1"/>
  <c r="AS32" i="12" a="1"/>
  <c r="AS32" i="12" s="1"/>
  <c r="AS34" i="12" a="1"/>
  <c r="AS34" i="12" s="1"/>
  <c r="AU21" i="12" a="1"/>
  <c r="AU21" i="12" s="1"/>
  <c r="AS24" i="12" a="1"/>
  <c r="AS24" i="12" s="1"/>
  <c r="BA17" i="12" a="1"/>
  <c r="BA17" i="12" s="1"/>
  <c r="AT18" i="12" a="1"/>
  <c r="AT18" i="12" s="1"/>
  <c r="BF19" i="12" a="1"/>
  <c r="BF19" i="12" s="1"/>
  <c r="AY20" i="12" a="1"/>
  <c r="AY20" i="12" s="1"/>
  <c r="BD22" i="12" a="1"/>
  <c r="BD22" i="12" s="1"/>
  <c r="AW23" i="12" a="1"/>
  <c r="AW23" i="12" s="1"/>
  <c r="AT27" i="12" a="1"/>
  <c r="AT27" i="12" s="1"/>
  <c r="AY16" i="12" a="1"/>
  <c r="AY16" i="12" s="1"/>
  <c r="AR17" i="12" a="1"/>
  <c r="AR17" i="12" s="1"/>
  <c r="BD18" i="12" a="1"/>
  <c r="BD18" i="12" s="1"/>
  <c r="BB21" i="12" a="1"/>
  <c r="BB21" i="12" s="1"/>
  <c r="AU22" i="12" a="1"/>
  <c r="AU22" i="12" s="1"/>
  <c r="BG23" i="12" a="1"/>
  <c r="BG23" i="12" s="1"/>
  <c r="AZ24" i="12" a="1"/>
  <c r="AZ24" i="12" s="1"/>
  <c r="BI24" i="12" a="1"/>
  <c r="BI24" i="12" s="1"/>
  <c r="BB25" i="12" a="1"/>
  <c r="BB25" i="12" s="1"/>
  <c r="AR26" i="12" a="1"/>
  <c r="AR26" i="12" s="1"/>
  <c r="BD26" i="12" a="1"/>
  <c r="BD26" i="12" s="1"/>
  <c r="BF27" i="12" a="1"/>
  <c r="BF27" i="12" s="1"/>
  <c r="AW29" i="12" a="1"/>
  <c r="AW29" i="12" s="1"/>
  <c r="BH29" i="12" a="1"/>
  <c r="BH29" i="12" s="1"/>
  <c r="BG30" i="12" a="1"/>
  <c r="BG30" i="12" s="1"/>
  <c r="BH31" i="12" a="1"/>
  <c r="BH31" i="12" s="1"/>
  <c r="BJ33" i="12" a="1"/>
  <c r="BJ33" i="12" s="1"/>
  <c r="AU18" i="12" a="1"/>
  <c r="AU18" i="12" s="1"/>
  <c r="AX23" i="12" a="1"/>
  <c r="AX23" i="12" s="1"/>
  <c r="AV22" i="12" a="1"/>
  <c r="AV22" i="12" s="1"/>
  <c r="AY28" i="12" a="1"/>
  <c r="AY28" i="12" s="1"/>
  <c r="AY30" i="12" a="1"/>
  <c r="AY30" i="12" s="1"/>
  <c r="BJ32" i="12" a="1"/>
  <c r="BJ32" i="12" s="1"/>
  <c r="AR24" i="12" a="1"/>
  <c r="AR24" i="12" s="1"/>
  <c r="AT17" i="12" a="1"/>
  <c r="AT17" i="12" s="1"/>
  <c r="AW22" i="12" a="1"/>
  <c r="AW22" i="12" s="1"/>
  <c r="BF26" i="12" a="1"/>
  <c r="BF26" i="12" s="1"/>
  <c r="AZ30" i="12" a="1"/>
  <c r="AZ30" i="12" s="1"/>
  <c r="BC33" i="12" a="1"/>
  <c r="BC33" i="12" s="1"/>
  <c r="AR16" i="12" a="1"/>
  <c r="AR16" i="12" s="1"/>
  <c r="AW18" i="12" a="1"/>
  <c r="AW18" i="12" s="1"/>
  <c r="BI18" i="12" a="1"/>
  <c r="BI18" i="12" s="1"/>
  <c r="AZ23" i="12" a="1"/>
  <c r="AZ23" i="12" s="1"/>
  <c r="AS17" i="12" a="1"/>
  <c r="AS17" i="12" s="1"/>
  <c r="AV25" i="12" a="1"/>
  <c r="AV25" i="12" s="1"/>
  <c r="BJ26" i="12" a="1"/>
  <c r="BJ26" i="12" s="1"/>
  <c r="BA28" i="12" a="1"/>
  <c r="BA28" i="12" s="1"/>
  <c r="BD32" i="12" a="1"/>
  <c r="BD32" i="12" s="1"/>
  <c r="AW34" i="12" a="1"/>
  <c r="AW34" i="12" s="1"/>
  <c r="BB28" i="12" a="1"/>
  <c r="BB28" i="12" s="1"/>
  <c r="AS30" i="12" a="1"/>
  <c r="AS30" i="12" s="1"/>
  <c r="BH17" i="12" a="1"/>
  <c r="BH17" i="12" s="1"/>
  <c r="BH25" i="12" a="1"/>
  <c r="BH25" i="12" s="1"/>
  <c r="BA27" i="12" a="1"/>
  <c r="BA27" i="12" s="1"/>
  <c r="AT32" i="12" a="1"/>
  <c r="AT32" i="12" s="1"/>
  <c r="BE20" i="12" a="1"/>
  <c r="BE20" i="12" s="1"/>
  <c r="BD30" i="12" a="1"/>
  <c r="BD30" i="12" s="1"/>
  <c r="BB22" i="12" a="1"/>
  <c r="BB22" i="12" s="1"/>
  <c r="AX26" i="12" a="1"/>
  <c r="AX26" i="12" s="1"/>
  <c r="AU32" i="12" a="1"/>
  <c r="AU32" i="12" s="1"/>
  <c r="BJ22" i="12" a="1"/>
  <c r="BJ22" i="12" s="1"/>
  <c r="BB29" i="12" a="1"/>
  <c r="BB29" i="12" s="1"/>
  <c r="AS28" i="12" a="1"/>
  <c r="AS28" i="12" s="1"/>
  <c r="AR23" i="12" a="1"/>
  <c r="AR23" i="12" s="1"/>
  <c r="AR19" i="12" a="1"/>
  <c r="AR19" i="12" s="1"/>
  <c r="AT31" i="12" a="1"/>
  <c r="AT31" i="12" s="1"/>
  <c r="AY17" i="12" a="1"/>
  <c r="AY17" i="12" s="1"/>
  <c r="BC19" i="12" a="1"/>
  <c r="BC19" i="12" s="1"/>
  <c r="AR30" i="12" a="1"/>
  <c r="AR30" i="12" s="1"/>
  <c r="BB31" i="12" a="1"/>
  <c r="BB31" i="12" s="1"/>
  <c r="AY27" i="12" a="1"/>
  <c r="AY27" i="12" s="1"/>
  <c r="AU33" i="12" a="1"/>
  <c r="AU33" i="12" s="1"/>
  <c r="AS20" i="12" a="1"/>
  <c r="AS20" i="12" s="1"/>
  <c r="BE34" i="12" a="1"/>
  <c r="BE34" i="12" s="1"/>
  <c r="BI21" i="12" a="1"/>
  <c r="BI21" i="12" s="1"/>
  <c r="AZ27" i="12" a="1"/>
  <c r="AZ27" i="12" s="1"/>
  <c r="AV33" i="12" a="1"/>
  <c r="AV33" i="12" s="1"/>
  <c r="BC30" i="12" a="1"/>
  <c r="BC30" i="12" s="1"/>
  <c r="AW26" i="12" a="1"/>
  <c r="AW26" i="12" s="1"/>
  <c r="AR28" i="12" a="1"/>
  <c r="AR28" i="12" s="1"/>
  <c r="BF24" i="12" a="1"/>
  <c r="BF24" i="12" s="1"/>
  <c r="BJ18" i="12" a="1"/>
  <c r="BJ18" i="12" s="1"/>
  <c r="AU17" i="12" a="1"/>
  <c r="AU17" i="12" s="1"/>
  <c r="BC29" i="12" a="1"/>
  <c r="BC29" i="12" s="1"/>
  <c r="AT34" i="12" a="1"/>
  <c r="AT34" i="12" s="1"/>
  <c r="BG17" i="12" a="1"/>
  <c r="BG17" i="12" s="1"/>
  <c r="BD23" i="12" a="1"/>
  <c r="BD23" i="12" s="1"/>
  <c r="AW25" i="12" a="1"/>
  <c r="AW25" i="12" s="1"/>
  <c r="AR27" i="12" a="1"/>
  <c r="AR27" i="12" s="1"/>
  <c r="BE31" i="12" a="1"/>
  <c r="BE31" i="12" s="1"/>
  <c r="AT24" i="12" a="1"/>
  <c r="AT24" i="12" s="1"/>
  <c r="AX22" i="12" a="1"/>
  <c r="AX22" i="12" s="1"/>
  <c r="BF34" i="12" a="1"/>
  <c r="BF34" i="12" s="1"/>
  <c r="AT29" i="12" a="1"/>
  <c r="AT29" i="12" s="1"/>
  <c r="BE24" i="12" a="1"/>
  <c r="BE24" i="12" s="1"/>
  <c r="BD33" i="12" a="1"/>
  <c r="BD33" i="12" s="1"/>
  <c r="BE33" i="12" a="1"/>
  <c r="BE33" i="12" s="1"/>
  <c r="AS31" i="12" a="1"/>
  <c r="AS31" i="12" s="1"/>
  <c r="AU25" i="12" a="1"/>
  <c r="AU25" i="12" s="1"/>
  <c r="BD19" i="12" a="1"/>
  <c r="BD19" i="12" s="1"/>
  <c r="BH21" i="12" a="1"/>
  <c r="BH21" i="12" s="1"/>
  <c r="BG25" i="12" a="1"/>
  <c r="BG25" i="12" s="1"/>
  <c r="AS16" i="12" a="1"/>
  <c r="AS16" i="12" s="1"/>
  <c r="BJ28" i="12" a="1"/>
  <c r="BJ28" i="12" s="1"/>
  <c r="AT20" i="12" a="1"/>
  <c r="AT20" i="12" s="1"/>
  <c r="AU24" i="12" a="1"/>
  <c r="AU24" i="12" s="1"/>
  <c r="BA18" i="12" a="1"/>
  <c r="BA18" i="12" s="1"/>
  <c r="BE16" i="12" a="1"/>
  <c r="BE16" i="12" s="1"/>
  <c r="BF20" i="12" a="1"/>
  <c r="BF20" i="12" s="1"/>
  <c r="BF16" i="12" a="1"/>
  <c r="BF16" i="12" s="1"/>
  <c r="AY26" i="12" a="1"/>
  <c r="AY26" i="12" s="1"/>
  <c r="BC32" i="12" a="1"/>
  <c r="BC32" i="12" s="1"/>
  <c r="AV21" i="12" a="1"/>
  <c r="AV21" i="12" s="1"/>
  <c r="AQ16" i="12" a="1"/>
  <c r="AQ16" i="12" s="1"/>
  <c r="AQ24" i="12" a="1"/>
  <c r="AQ24" i="12" s="1"/>
  <c r="AQ18" i="12" a="1"/>
  <c r="AQ18" i="12" s="1"/>
  <c r="AQ25" i="12" a="1"/>
  <c r="AQ25" i="12" s="1"/>
  <c r="AQ32" i="12" a="1"/>
  <c r="AQ32" i="12" s="1"/>
  <c r="AQ19" i="12" a="1"/>
  <c r="AQ19" i="12" s="1"/>
  <c r="AQ26" i="12" a="1"/>
  <c r="AQ26" i="12" s="1"/>
  <c r="AQ33" i="12" a="1"/>
  <c r="AQ33" i="12" s="1"/>
  <c r="AQ20" i="12" a="1"/>
  <c r="AQ20" i="12" s="1"/>
  <c r="AQ34" i="12" a="1"/>
  <c r="AQ34" i="12" s="1"/>
  <c r="AQ28" i="12" a="1"/>
  <c r="AQ28" i="12" s="1"/>
  <c r="AQ29" i="12" a="1"/>
  <c r="AQ29" i="12" s="1"/>
  <c r="AQ30" i="12" a="1"/>
  <c r="AQ30" i="12" s="1"/>
  <c r="AQ17" i="12" a="1"/>
  <c r="AQ17" i="12" s="1"/>
  <c r="AQ31" i="12" a="1"/>
  <c r="AQ31" i="12" s="1"/>
  <c r="AQ27" i="12" a="1"/>
  <c r="AQ27" i="12" s="1"/>
  <c r="AQ21" i="12" a="1"/>
  <c r="AQ21" i="12" s="1"/>
  <c r="AQ22" i="12" a="1"/>
  <c r="AQ22" i="12" s="1"/>
  <c r="AQ23" i="12" a="1"/>
  <c r="AQ23" i="12" s="1"/>
  <c r="BW21" i="10" a="1"/>
  <c r="BW21" i="10" s="1"/>
  <c r="CD28" i="10" a="1"/>
  <c r="CD28" i="10" s="1"/>
  <c r="CJ34" i="10" a="1"/>
  <c r="CJ34" i="10" s="1"/>
  <c r="CB26" i="10" a="1"/>
  <c r="CB26" i="10" s="1"/>
  <c r="BV20" i="10" a="1"/>
  <c r="BV20" i="10" s="1"/>
  <c r="CC27" i="10" a="1"/>
  <c r="CC27" i="10" s="1"/>
  <c r="BU19" i="10" a="1"/>
  <c r="BU19" i="10" s="1"/>
  <c r="CI33" i="10" a="1"/>
  <c r="CI33" i="10" s="1"/>
  <c r="BX22" i="10" a="1"/>
  <c r="BX22" i="10" s="1"/>
  <c r="CE29" i="10" a="1"/>
  <c r="CE29" i="10" s="1"/>
  <c r="BZ24" i="10" a="1"/>
  <c r="BZ24" i="10" s="1"/>
  <c r="BT18" i="10" a="1"/>
  <c r="BT18" i="10" s="1"/>
  <c r="BY23" i="10" a="1"/>
  <c r="BY23" i="10" s="1"/>
  <c r="BR16" i="10" a="1"/>
  <c r="BR16" i="10" s="1"/>
  <c r="CF30" i="10" a="1"/>
  <c r="CF30" i="10" s="1"/>
  <c r="CH32" i="10" a="1"/>
  <c r="CH32" i="10" s="1"/>
  <c r="CA25" i="10" a="1"/>
  <c r="CA25" i="10" s="1"/>
  <c r="CG31" i="10" a="1"/>
  <c r="CG31" i="10" s="1"/>
  <c r="BS17" i="10" a="1"/>
  <c r="BS17" i="10" s="1"/>
  <c r="AT16" i="10" a="1"/>
  <c r="AT16" i="10" s="1"/>
  <c r="BA16" i="10" a="1"/>
  <c r="BA16" i="10" s="1"/>
  <c r="BH16" i="10" a="1"/>
  <c r="BH16" i="10" s="1"/>
  <c r="AV17" i="10" a="1"/>
  <c r="AV17" i="10" s="1"/>
  <c r="BC17" i="10" a="1"/>
  <c r="BC17" i="10" s="1"/>
  <c r="BJ17" i="10" a="1"/>
  <c r="BJ17" i="10" s="1"/>
  <c r="AX18" i="10" a="1"/>
  <c r="AX18" i="10" s="1"/>
  <c r="BE18" i="10" a="1"/>
  <c r="BE18" i="10" s="1"/>
  <c r="AS19" i="10" a="1"/>
  <c r="AS19" i="10" s="1"/>
  <c r="AZ19" i="10" a="1"/>
  <c r="AZ19" i="10" s="1"/>
  <c r="BG19" i="10" a="1"/>
  <c r="BG19" i="10" s="1"/>
  <c r="AU20" i="10" a="1"/>
  <c r="AU20" i="10" s="1"/>
  <c r="BB20" i="10" a="1"/>
  <c r="BB20" i="10" s="1"/>
  <c r="BI20" i="10" a="1"/>
  <c r="BI20" i="10" s="1"/>
  <c r="AW21" i="10" a="1"/>
  <c r="AW21" i="10" s="1"/>
  <c r="BD21" i="10" a="1"/>
  <c r="BD21" i="10" s="1"/>
  <c r="AR22" i="10" a="1"/>
  <c r="AR22" i="10" s="1"/>
  <c r="AY22" i="10" a="1"/>
  <c r="AY22" i="10" s="1"/>
  <c r="BF22" i="10" a="1"/>
  <c r="BF22" i="10" s="1"/>
  <c r="AT23" i="10" a="1"/>
  <c r="AT23" i="10" s="1"/>
  <c r="BA23" i="10" a="1"/>
  <c r="BA23" i="10" s="1"/>
  <c r="BH23" i="10" a="1"/>
  <c r="BH23" i="10" s="1"/>
  <c r="AV24" i="10" a="1"/>
  <c r="AV24" i="10" s="1"/>
  <c r="BC24" i="10" a="1"/>
  <c r="BC24" i="10" s="1"/>
  <c r="BJ24" i="10" a="1"/>
  <c r="BJ24" i="10" s="1"/>
  <c r="AX25" i="10" a="1"/>
  <c r="AX25" i="10" s="1"/>
  <c r="BE25" i="10" a="1"/>
  <c r="BE25" i="10" s="1"/>
  <c r="AS26" i="10" a="1"/>
  <c r="AS26" i="10" s="1"/>
  <c r="AZ26" i="10" a="1"/>
  <c r="AZ26" i="10" s="1"/>
  <c r="BG26" i="10" a="1"/>
  <c r="BG26" i="10" s="1"/>
  <c r="AU27" i="10" a="1"/>
  <c r="AU27" i="10" s="1"/>
  <c r="BB27" i="10" a="1"/>
  <c r="BB27" i="10" s="1"/>
  <c r="BI27" i="10" a="1"/>
  <c r="BI27" i="10" s="1"/>
  <c r="AW28" i="10" a="1"/>
  <c r="AW28" i="10" s="1"/>
  <c r="BD28" i="10" a="1"/>
  <c r="BD28" i="10" s="1"/>
  <c r="AR29" i="10" a="1"/>
  <c r="AR29" i="10" s="1"/>
  <c r="AY29" i="10" a="1"/>
  <c r="AY29" i="10" s="1"/>
  <c r="BF29" i="10" a="1"/>
  <c r="BF29" i="10" s="1"/>
  <c r="AT30" i="10" a="1"/>
  <c r="AT30" i="10" s="1"/>
  <c r="BA30" i="10" a="1"/>
  <c r="BA30" i="10" s="1"/>
  <c r="BH30" i="10" a="1"/>
  <c r="BH30" i="10" s="1"/>
  <c r="AV31" i="10" a="1"/>
  <c r="AV31" i="10" s="1"/>
  <c r="BC31" i="10" a="1"/>
  <c r="BC31" i="10" s="1"/>
  <c r="BJ31" i="10" a="1"/>
  <c r="BJ31" i="10" s="1"/>
  <c r="AX32" i="10" a="1"/>
  <c r="AX32" i="10" s="1"/>
  <c r="BE32" i="10" a="1"/>
  <c r="BE32" i="10" s="1"/>
  <c r="AS33" i="10" a="1"/>
  <c r="AS33" i="10" s="1"/>
  <c r="AZ33" i="10" a="1"/>
  <c r="AZ33" i="10" s="1"/>
  <c r="BG33" i="10" a="1"/>
  <c r="BG33" i="10" s="1"/>
  <c r="AU34" i="10" a="1"/>
  <c r="AU34" i="10" s="1"/>
  <c r="BB34" i="10" a="1"/>
  <c r="BB34" i="10" s="1"/>
  <c r="BI34" i="10" a="1"/>
  <c r="BI34" i="10" s="1"/>
  <c r="BB26" i="10" a="1"/>
  <c r="BB26" i="10" s="1"/>
  <c r="AY28" i="10" a="1"/>
  <c r="AY28" i="10" s="1"/>
  <c r="BF18" i="10" a="1"/>
  <c r="BF18" i="10" s="1"/>
  <c r="BG22" i="10" a="1"/>
  <c r="BG22" i="10" s="1"/>
  <c r="BB23" i="10" a="1"/>
  <c r="BB23" i="10" s="1"/>
  <c r="AW24" i="10" a="1"/>
  <c r="AW24" i="10" s="1"/>
  <c r="AR25" i="10" a="1"/>
  <c r="AR25" i="10" s="1"/>
  <c r="BF25" i="10" a="1"/>
  <c r="BF25" i="10" s="1"/>
  <c r="BA26" i="10" a="1"/>
  <c r="BA26" i="10" s="1"/>
  <c r="BH26" i="10" a="1"/>
  <c r="BH26" i="10" s="1"/>
  <c r="BC27" i="10" a="1"/>
  <c r="BC27" i="10" s="1"/>
  <c r="AX28" i="10" a="1"/>
  <c r="AX28" i="10" s="1"/>
  <c r="BG29" i="10" a="1"/>
  <c r="BG29" i="10" s="1"/>
  <c r="BB30" i="10" a="1"/>
  <c r="BB30" i="10" s="1"/>
  <c r="AW31" i="10" a="1"/>
  <c r="AW31" i="10" s="1"/>
  <c r="AR32" i="10" a="1"/>
  <c r="AR32" i="10" s="1"/>
  <c r="BF32" i="10" a="1"/>
  <c r="BF32" i="10" s="1"/>
  <c r="BA33" i="10" a="1"/>
  <c r="BA33" i="10" s="1"/>
  <c r="AV34" i="10" a="1"/>
  <c r="AV34" i="10" s="1"/>
  <c r="BJ34" i="10" a="1"/>
  <c r="BJ34" i="10" s="1"/>
  <c r="BF21" i="10" a="1"/>
  <c r="BF21" i="10" s="1"/>
  <c r="AU16" i="10" a="1"/>
  <c r="AU16" i="10" s="1"/>
  <c r="BB16" i="10" a="1"/>
  <c r="BB16" i="10" s="1"/>
  <c r="BI16" i="10" a="1"/>
  <c r="BI16" i="10" s="1"/>
  <c r="AW17" i="10" a="1"/>
  <c r="AW17" i="10" s="1"/>
  <c r="BD17" i="10" a="1"/>
  <c r="BD17" i="10" s="1"/>
  <c r="AR18" i="10" a="1"/>
  <c r="AR18" i="10" s="1"/>
  <c r="AY18" i="10" a="1"/>
  <c r="AY18" i="10" s="1"/>
  <c r="AT19" i="10" a="1"/>
  <c r="AT19" i="10" s="1"/>
  <c r="BA19" i="10" a="1"/>
  <c r="BA19" i="10" s="1"/>
  <c r="BH19" i="10" a="1"/>
  <c r="BH19" i="10" s="1"/>
  <c r="AV20" i="10" a="1"/>
  <c r="AV20" i="10" s="1"/>
  <c r="BC20" i="10" a="1"/>
  <c r="BC20" i="10" s="1"/>
  <c r="BJ20" i="10" a="1"/>
  <c r="BJ20" i="10" s="1"/>
  <c r="AX21" i="10" a="1"/>
  <c r="AX21" i="10" s="1"/>
  <c r="BE21" i="10" a="1"/>
  <c r="BE21" i="10" s="1"/>
  <c r="AS22" i="10" a="1"/>
  <c r="AS22" i="10" s="1"/>
  <c r="AZ22" i="10" a="1"/>
  <c r="AZ22" i="10" s="1"/>
  <c r="AU23" i="10" a="1"/>
  <c r="AU23" i="10" s="1"/>
  <c r="BI23" i="10" a="1"/>
  <c r="BI23" i="10" s="1"/>
  <c r="BD24" i="10" a="1"/>
  <c r="BD24" i="10" s="1"/>
  <c r="AY25" i="10" a="1"/>
  <c r="AY25" i="10" s="1"/>
  <c r="AT26" i="10" a="1"/>
  <c r="AT26" i="10" s="1"/>
  <c r="AV27" i="10" a="1"/>
  <c r="AV27" i="10" s="1"/>
  <c r="BJ27" i="10" a="1"/>
  <c r="BJ27" i="10" s="1"/>
  <c r="BE28" i="10" a="1"/>
  <c r="BE28" i="10" s="1"/>
  <c r="AS29" i="10" a="1"/>
  <c r="AS29" i="10" s="1"/>
  <c r="AZ29" i="10" a="1"/>
  <c r="AZ29" i="10" s="1"/>
  <c r="AU30" i="10" a="1"/>
  <c r="AU30" i="10" s="1"/>
  <c r="BI30" i="10" a="1"/>
  <c r="BI30" i="10" s="1"/>
  <c r="BD31" i="10" a="1"/>
  <c r="BD31" i="10" s="1"/>
  <c r="AY32" i="10" a="1"/>
  <c r="AY32" i="10" s="1"/>
  <c r="AT33" i="10" a="1"/>
  <c r="AT33" i="10" s="1"/>
  <c r="BH33" i="10" a="1"/>
  <c r="BH33" i="10" s="1"/>
  <c r="BC34" i="10" a="1"/>
  <c r="BC34" i="10" s="1"/>
  <c r="AT22" i="10" a="1"/>
  <c r="AT22" i="10" s="1"/>
  <c r="AV16" i="10" a="1"/>
  <c r="AV16" i="10" s="1"/>
  <c r="BC16" i="10" a="1"/>
  <c r="BC16" i="10" s="1"/>
  <c r="BJ16" i="10" a="1"/>
  <c r="BJ16" i="10" s="1"/>
  <c r="AX17" i="10" a="1"/>
  <c r="AX17" i="10" s="1"/>
  <c r="BE17" i="10" a="1"/>
  <c r="BE17" i="10" s="1"/>
  <c r="AS18" i="10" a="1"/>
  <c r="AS18" i="10" s="1"/>
  <c r="AZ18" i="10" a="1"/>
  <c r="AZ18" i="10" s="1"/>
  <c r="BG18" i="10" a="1"/>
  <c r="BG18" i="10" s="1"/>
  <c r="AU19" i="10" a="1"/>
  <c r="AU19" i="10" s="1"/>
  <c r="BB19" i="10" a="1"/>
  <c r="BB19" i="10" s="1"/>
  <c r="BI19" i="10" a="1"/>
  <c r="BI19" i="10" s="1"/>
  <c r="AW20" i="10" a="1"/>
  <c r="AW20" i="10" s="1"/>
  <c r="BD20" i="10" a="1"/>
  <c r="BD20" i="10" s="1"/>
  <c r="AR21" i="10" a="1"/>
  <c r="AR21" i="10" s="1"/>
  <c r="AY21" i="10" a="1"/>
  <c r="AY21" i="10" s="1"/>
  <c r="BA22" i="10" a="1"/>
  <c r="BA22" i="10" s="1"/>
  <c r="BH22" i="10" a="1"/>
  <c r="BH22" i="10" s="1"/>
  <c r="AV23" i="10" a="1"/>
  <c r="AV23" i="10" s="1"/>
  <c r="BC23" i="10" a="1"/>
  <c r="BC23" i="10" s="1"/>
  <c r="BJ23" i="10" a="1"/>
  <c r="BJ23" i="10" s="1"/>
  <c r="AX24" i="10" a="1"/>
  <c r="AX24" i="10" s="1"/>
  <c r="BE24" i="10" a="1"/>
  <c r="BE24" i="10" s="1"/>
  <c r="AS25" i="10" a="1"/>
  <c r="AS25" i="10" s="1"/>
  <c r="AZ25" i="10" a="1"/>
  <c r="AZ25" i="10" s="1"/>
  <c r="BG25" i="10" a="1"/>
  <c r="BG25" i="10" s="1"/>
  <c r="BI26" i="10" a="1"/>
  <c r="BI26" i="10" s="1"/>
  <c r="AW27" i="10" a="1"/>
  <c r="AW27" i="10" s="1"/>
  <c r="AR28" i="10" a="1"/>
  <c r="AR28" i="10" s="1"/>
  <c r="BF16" i="10" a="1"/>
  <c r="BF16" i="10" s="1"/>
  <c r="AY17" i="10" a="1"/>
  <c r="AY17" i="10" s="1"/>
  <c r="AR19" i="10" a="1"/>
  <c r="AR19" i="10" s="1"/>
  <c r="BD19" i="10" a="1"/>
  <c r="BD19" i="10" s="1"/>
  <c r="BI21" i="10" a="1"/>
  <c r="BI21" i="10" s="1"/>
  <c r="BB22" i="10" a="1"/>
  <c r="BB22" i="10" s="1"/>
  <c r="AU24" i="10" a="1"/>
  <c r="AU24" i="10" s="1"/>
  <c r="BG24" i="10" a="1"/>
  <c r="BG24" i="10" s="1"/>
  <c r="BD27" i="10" a="1"/>
  <c r="BD27" i="10" s="1"/>
  <c r="BF28" i="10" a="1"/>
  <c r="BF28" i="10" s="1"/>
  <c r="AV29" i="10" a="1"/>
  <c r="AV29" i="10" s="1"/>
  <c r="BE29" i="10" a="1"/>
  <c r="BE29" i="10" s="1"/>
  <c r="AW30" i="10" a="1"/>
  <c r="AW30" i="10" s="1"/>
  <c r="BF30" i="10" a="1"/>
  <c r="BF30" i="10" s="1"/>
  <c r="AX31" i="10" a="1"/>
  <c r="AX31" i="10" s="1"/>
  <c r="BG31" i="10" a="1"/>
  <c r="BG31" i="10" s="1"/>
  <c r="AW32" i="10" a="1"/>
  <c r="AW32" i="10" s="1"/>
  <c r="BH32" i="10" a="1"/>
  <c r="BH32" i="10" s="1"/>
  <c r="AX33" i="10" a="1"/>
  <c r="AX33" i="10" s="1"/>
  <c r="BI33" i="10" a="1"/>
  <c r="BI33" i="10" s="1"/>
  <c r="AY34" i="10" a="1"/>
  <c r="AY34" i="10" s="1"/>
  <c r="BH34" i="10" a="1"/>
  <c r="BH34" i="10" s="1"/>
  <c r="AW23" i="10" a="1"/>
  <c r="AW23" i="10" s="1"/>
  <c r="BD26" i="10" a="1"/>
  <c r="BD26" i="10" s="1"/>
  <c r="BJ30" i="10" a="1"/>
  <c r="BJ30" i="10" s="1"/>
  <c r="BA34" i="10" a="1"/>
  <c r="BA34" i="10" s="1"/>
  <c r="AY16" i="10" a="1"/>
  <c r="AY16" i="10" s="1"/>
  <c r="AU22" i="10" a="1"/>
  <c r="AU22" i="10" s="1"/>
  <c r="AZ24" i="10" a="1"/>
  <c r="AZ24" i="10" s="1"/>
  <c r="BG27" i="10" a="1"/>
  <c r="BG27" i="10" s="1"/>
  <c r="BA31" i="10" a="1"/>
  <c r="BA31" i="10" s="1"/>
  <c r="AS34" i="10" a="1"/>
  <c r="AS34" i="10" s="1"/>
  <c r="AV26" i="10" a="1"/>
  <c r="AV26" i="10" s="1"/>
  <c r="AV18" i="10" a="1"/>
  <c r="AV18" i="10" s="1"/>
  <c r="BA20" i="10" a="1"/>
  <c r="BA20" i="10" s="1"/>
  <c r="AY23" i="10" a="1"/>
  <c r="AY23" i="10" s="1"/>
  <c r="AY27" i="10" a="1"/>
  <c r="AY27" i="10" s="1"/>
  <c r="AR30" i="10" a="1"/>
  <c r="AR30" i="10" s="1"/>
  <c r="BC32" i="10" a="1"/>
  <c r="BC32" i="10" s="1"/>
  <c r="AT17" i="10" a="1"/>
  <c r="AT17" i="10" s="1"/>
  <c r="BB24" i="10" a="1"/>
  <c r="BB24" i="10" s="1"/>
  <c r="AW16" i="10" a="1"/>
  <c r="AW16" i="10" s="1"/>
  <c r="BI17" i="10" a="1"/>
  <c r="BI17" i="10" s="1"/>
  <c r="BB18" i="10" a="1"/>
  <c r="BB18" i="10" s="1"/>
  <c r="BG20" i="10" a="1"/>
  <c r="BG20" i="10" s="1"/>
  <c r="AZ21" i="10" a="1"/>
  <c r="AZ21" i="10" s="1"/>
  <c r="AS23" i="10" a="1"/>
  <c r="AS23" i="10" s="1"/>
  <c r="BE23" i="10" a="1"/>
  <c r="BE23" i="10" s="1"/>
  <c r="BJ25" i="10" a="1"/>
  <c r="BJ25" i="10" s="1"/>
  <c r="AS27" i="10" a="1"/>
  <c r="AS27" i="10" s="1"/>
  <c r="AU28" i="10" a="1"/>
  <c r="AU28" i="10" s="1"/>
  <c r="BG30" i="10" a="1"/>
  <c r="BG30" i="10" s="1"/>
  <c r="BH31" i="10" a="1"/>
  <c r="BH31" i="10" s="1"/>
  <c r="BI32" i="10" a="1"/>
  <c r="BI32" i="10" s="1"/>
  <c r="BJ33" i="10" a="1"/>
  <c r="BJ33" i="10" s="1"/>
  <c r="BI24" i="10" a="1"/>
  <c r="BI24" i="10" s="1"/>
  <c r="BI31" i="10" a="1"/>
  <c r="BI31" i="10" s="1"/>
  <c r="AR17" i="10" a="1"/>
  <c r="AR17" i="10" s="1"/>
  <c r="AU26" i="10" a="1"/>
  <c r="AU26" i="10" s="1"/>
  <c r="AU18" i="10" a="1"/>
  <c r="AU18" i="10" s="1"/>
  <c r="AS21" i="10" a="1"/>
  <c r="AS21" i="10" s="1"/>
  <c r="AX27" i="10" a="1"/>
  <c r="AX27" i="10" s="1"/>
  <c r="BJ29" i="10" a="1"/>
  <c r="BJ29" i="10" s="1"/>
  <c r="BB32" i="10" a="1"/>
  <c r="BB32" i="10" s="1"/>
  <c r="AX19" i="10" a="1"/>
  <c r="AX19" i="10" s="1"/>
  <c r="AV22" i="10" a="1"/>
  <c r="AV22" i="10" s="1"/>
  <c r="AT25" i="10" a="1"/>
  <c r="AT25" i="10" s="1"/>
  <c r="BF26" i="10" a="1"/>
  <c r="BF26" i="10" s="1"/>
  <c r="BB29" i="10" a="1"/>
  <c r="BB29" i="10" s="1"/>
  <c r="AT32" i="10" a="1"/>
  <c r="AT32" i="10" s="1"/>
  <c r="BE34" i="10" a="1"/>
  <c r="BE34" i="10" s="1"/>
  <c r="AY19" i="10" a="1"/>
  <c r="AY19" i="10" s="1"/>
  <c r="AW26" i="10" a="1"/>
  <c r="AW26" i="10" s="1"/>
  <c r="BG16" i="10" a="1"/>
  <c r="BG16" i="10" s="1"/>
  <c r="AZ17" i="10" a="1"/>
  <c r="AZ17" i="10" s="1"/>
  <c r="BE19" i="10" a="1"/>
  <c r="BE19" i="10" s="1"/>
  <c r="AX20" i="10" a="1"/>
  <c r="AX20" i="10" s="1"/>
  <c r="BJ21" i="10" a="1"/>
  <c r="BJ21" i="10" s="1"/>
  <c r="BC22" i="10" a="1"/>
  <c r="BC22" i="10" s="1"/>
  <c r="BH24" i="10" a="1"/>
  <c r="BH24" i="10" s="1"/>
  <c r="BA25" i="10" a="1"/>
  <c r="BA25" i="10" s="1"/>
  <c r="BC26" i="10" a="1"/>
  <c r="BC26" i="10" s="1"/>
  <c r="BE27" i="10" a="1"/>
  <c r="BE27" i="10" s="1"/>
  <c r="BG28" i="10" a="1"/>
  <c r="BG28" i="10" s="1"/>
  <c r="AW29" i="10" a="1"/>
  <c r="AW29" i="10" s="1"/>
  <c r="BH29" i="10" a="1"/>
  <c r="BH29" i="10" s="1"/>
  <c r="AX30" i="10" a="1"/>
  <c r="AX30" i="10" s="1"/>
  <c r="AY31" i="10" a="1"/>
  <c r="AY31" i="10" s="1"/>
  <c r="AZ32" i="10" a="1"/>
  <c r="AZ32" i="10" s="1"/>
  <c r="AY33" i="10" a="1"/>
  <c r="AY33" i="10" s="1"/>
  <c r="AZ34" i="10" a="1"/>
  <c r="AZ34" i="10" s="1"/>
  <c r="AX29" i="10" a="1"/>
  <c r="AX29" i="10" s="1"/>
  <c r="BB33" i="10" a="1"/>
  <c r="BB33" i="10" s="1"/>
  <c r="BD18" i="10" a="1"/>
  <c r="BD18" i="10" s="1"/>
  <c r="BG23" i="10" a="1"/>
  <c r="BG23" i="10" s="1"/>
  <c r="AZ28" i="10" a="1"/>
  <c r="AZ28" i="10" s="1"/>
  <c r="AR31" i="10" a="1"/>
  <c r="AR31" i="10" s="1"/>
  <c r="BD34" i="10" a="1"/>
  <c r="BD34" i="10" s="1"/>
  <c r="AS17" i="10" a="1"/>
  <c r="AS17" i="10" s="1"/>
  <c r="BC21" i="10" a="1"/>
  <c r="BC21" i="10" s="1"/>
  <c r="AT21" i="10" a="1"/>
  <c r="AT21" i="10" s="1"/>
  <c r="BH27" i="10" a="1"/>
  <c r="BH27" i="10" s="1"/>
  <c r="BC30" i="10" a="1"/>
  <c r="BC30" i="10" s="1"/>
  <c r="AU33" i="10" a="1"/>
  <c r="AU33" i="10" s="1"/>
  <c r="AR20" i="10" a="1"/>
  <c r="AR20" i="10" s="1"/>
  <c r="BI22" i="10" a="1"/>
  <c r="BI22" i="10" s="1"/>
  <c r="AX16" i="10" a="1"/>
  <c r="AX16" i="10" s="1"/>
  <c r="BC18" i="10" a="1"/>
  <c r="BC18" i="10" s="1"/>
  <c r="AV19" i="10" a="1"/>
  <c r="AV19" i="10" s="1"/>
  <c r="BH20" i="10" a="1"/>
  <c r="BH20" i="10" s="1"/>
  <c r="BA21" i="10" a="1"/>
  <c r="BA21" i="10" s="1"/>
  <c r="BF23" i="10" a="1"/>
  <c r="BF23" i="10" s="1"/>
  <c r="AY24" i="10" a="1"/>
  <c r="AY24" i="10" s="1"/>
  <c r="AR26" i="10" a="1"/>
  <c r="AR26" i="10" s="1"/>
  <c r="AT27" i="10" a="1"/>
  <c r="AT27" i="10" s="1"/>
  <c r="AV28" i="10" a="1"/>
  <c r="AV28" i="10" s="1"/>
  <c r="AT18" i="10" a="1"/>
  <c r="AT18" i="10" s="1"/>
  <c r="BF19" i="10" a="1"/>
  <c r="BF19" i="10" s="1"/>
  <c r="AY20" i="10" a="1"/>
  <c r="AY20" i="10" s="1"/>
  <c r="BD22" i="10" a="1"/>
  <c r="BD22" i="10" s="1"/>
  <c r="BB25" i="10" a="1"/>
  <c r="BB25" i="10" s="1"/>
  <c r="BF27" i="10" a="1"/>
  <c r="BF27" i="10" s="1"/>
  <c r="BH28" i="10" a="1"/>
  <c r="BH28" i="10" s="1"/>
  <c r="BI29" i="10" a="1"/>
  <c r="BI29" i="10" s="1"/>
  <c r="AY30" i="10" a="1"/>
  <c r="AY30" i="10" s="1"/>
  <c r="BA32" i="10" a="1"/>
  <c r="BA32" i="10" s="1"/>
  <c r="BJ32" i="10" a="1"/>
  <c r="BJ32" i="10" s="1"/>
  <c r="AR34" i="10" a="1"/>
  <c r="AR34" i="10" s="1"/>
  <c r="AW19" i="10" a="1"/>
  <c r="AW19" i="10" s="1"/>
  <c r="BB21" i="10" a="1"/>
  <c r="BB21" i="10" s="1"/>
  <c r="BE22" i="10" a="1"/>
  <c r="BE22" i="10" s="1"/>
  <c r="BC25" i="10" a="1"/>
  <c r="BC25" i="10" s="1"/>
  <c r="BA29" i="10" a="1"/>
  <c r="BA29" i="10" s="1"/>
  <c r="AR33" i="10" a="1"/>
  <c r="AR33" i="10" s="1"/>
  <c r="AZ16" i="10" a="1"/>
  <c r="AZ16" i="10" s="1"/>
  <c r="BA24" i="10" a="1"/>
  <c r="BA24" i="10" s="1"/>
  <c r="BD25" i="10" a="1"/>
  <c r="BD25" i="10" s="1"/>
  <c r="BJ28" i="10" a="1"/>
  <c r="BJ28" i="10" s="1"/>
  <c r="AS31" i="10" a="1"/>
  <c r="AS31" i="10" s="1"/>
  <c r="AT34" i="10" a="1"/>
  <c r="AT34" i="10" s="1"/>
  <c r="BF17" i="10" a="1"/>
  <c r="BF17" i="10" s="1"/>
  <c r="AU25" i="10" a="1"/>
  <c r="AU25" i="10" s="1"/>
  <c r="BD16" i="10" a="1"/>
  <c r="BD16" i="10" s="1"/>
  <c r="BA17" i="10" a="1"/>
  <c r="BA17" i="10" s="1"/>
  <c r="AZ31" i="10" a="1"/>
  <c r="AZ31" i="10" s="1"/>
  <c r="BB17" i="10" a="1"/>
  <c r="BB17" i="10" s="1"/>
  <c r="AZ20" i="10" a="1"/>
  <c r="AZ20" i="10" s="1"/>
  <c r="AX23" i="10" a="1"/>
  <c r="AX23" i="10" s="1"/>
  <c r="BE26" i="10" a="1"/>
  <c r="BE26" i="10" s="1"/>
  <c r="BI28" i="10" a="1"/>
  <c r="BI28" i="10" s="1"/>
  <c r="AZ30" i="10" a="1"/>
  <c r="AZ30" i="10" s="1"/>
  <c r="AS32" i="10" a="1"/>
  <c r="AS32" i="10" s="1"/>
  <c r="BC33" i="10" a="1"/>
  <c r="BC33" i="10" s="1"/>
  <c r="BJ19" i="10" a="1"/>
  <c r="BJ19" i="10" s="1"/>
  <c r="BH18" i="10" a="1"/>
  <c r="BH18" i="10" s="1"/>
  <c r="AR24" i="10" a="1"/>
  <c r="AR24" i="10" s="1"/>
  <c r="BA28" i="10" a="1"/>
  <c r="BA28" i="10" s="1"/>
  <c r="BB31" i="10" a="1"/>
  <c r="BB31" i="10" s="1"/>
  <c r="BD33" i="10" a="1"/>
  <c r="BD33" i="10" s="1"/>
  <c r="AW22" i="10" a="1"/>
  <c r="AW22" i="10" s="1"/>
  <c r="AR16" i="10" a="1"/>
  <c r="AR16" i="10" s="1"/>
  <c r="BH21" i="10" a="1"/>
  <c r="BH21" i="10" s="1"/>
  <c r="AS24" i="10" a="1"/>
  <c r="AS24" i="10" s="1"/>
  <c r="BD29" i="10" a="1"/>
  <c r="BD29" i="10" s="1"/>
  <c r="BE31" i="10" a="1"/>
  <c r="BE31" i="10" s="1"/>
  <c r="AW33" i="10" a="1"/>
  <c r="AW33" i="10" s="1"/>
  <c r="AT24" i="10" a="1"/>
  <c r="AT24" i="10" s="1"/>
  <c r="AS30" i="10" a="1"/>
  <c r="AS30" i="10" s="1"/>
  <c r="BE33" i="10" a="1"/>
  <c r="BE33" i="10" s="1"/>
  <c r="AX22" i="10" a="1"/>
  <c r="AX22" i="10" s="1"/>
  <c r="AX26" i="10" a="1"/>
  <c r="AX26" i="10" s="1"/>
  <c r="BF33" i="10" a="1"/>
  <c r="BF33" i="10" s="1"/>
  <c r="BF24" i="10" a="1"/>
  <c r="BF24" i="10" s="1"/>
  <c r="AW34" i="10" a="1"/>
  <c r="AW34" i="10" s="1"/>
  <c r="BJ22" i="10" a="1"/>
  <c r="BJ22" i="10" s="1"/>
  <c r="BJ26" i="10" a="1"/>
  <c r="BJ26" i="10" s="1"/>
  <c r="BJ18" i="10" a="1"/>
  <c r="BJ18" i="10" s="1"/>
  <c r="BE30" i="10" a="1"/>
  <c r="BE30" i="10" s="1"/>
  <c r="AR27" i="10" a="1"/>
  <c r="AR27" i="10" s="1"/>
  <c r="AV21" i="10" a="1"/>
  <c r="AV21" i="10" s="1"/>
  <c r="BF34" i="10" a="1"/>
  <c r="BF34" i="10" s="1"/>
  <c r="BG21" i="10" a="1"/>
  <c r="BG21" i="10" s="1"/>
  <c r="BA27" i="10" a="1"/>
  <c r="BA27" i="10" s="1"/>
  <c r="BG34" i="10" a="1"/>
  <c r="BG34" i="10" s="1"/>
  <c r="BH17" i="10" a="1"/>
  <c r="BH17" i="10" s="1"/>
  <c r="AS20" i="10" a="1"/>
  <c r="AS20" i="10" s="1"/>
  <c r="BI25" i="10" a="1"/>
  <c r="BI25" i="10" s="1"/>
  <c r="AS28" i="10" a="1"/>
  <c r="AS28" i="10" s="1"/>
  <c r="AT28" i="10" a="1"/>
  <c r="AT28" i="10" s="1"/>
  <c r="AV30" i="10" a="1"/>
  <c r="AV30" i="10" s="1"/>
  <c r="BA18" i="10" a="1"/>
  <c r="BA18" i="10" s="1"/>
  <c r="BD30" i="10" a="1"/>
  <c r="BD30" i="10" s="1"/>
  <c r="BF20" i="10" a="1"/>
  <c r="BF20" i="10" s="1"/>
  <c r="AU21" i="10" a="1"/>
  <c r="AU21" i="10" s="1"/>
  <c r="BD32" i="10" a="1"/>
  <c r="BD32" i="10" s="1"/>
  <c r="AV25" i="10" a="1"/>
  <c r="AV25" i="10" s="1"/>
  <c r="AU29" i="10" a="1"/>
  <c r="AU29" i="10" s="1"/>
  <c r="AV33" i="10" a="1"/>
  <c r="AV33" i="10" s="1"/>
  <c r="BD23" i="10" a="1"/>
  <c r="BD23" i="10" s="1"/>
  <c r="AW18" i="10" a="1"/>
  <c r="AW18" i="10" s="1"/>
  <c r="BF31" i="10" a="1"/>
  <c r="BF31" i="10" s="1"/>
  <c r="AS16" i="10" a="1"/>
  <c r="AS16" i="10" s="1"/>
  <c r="BB28" i="10" a="1"/>
  <c r="BB28" i="10" s="1"/>
  <c r="AU32" i="10" a="1"/>
  <c r="AU32" i="10" s="1"/>
  <c r="BE20" i="10" a="1"/>
  <c r="BE20" i="10" s="1"/>
  <c r="AY26" i="10" a="1"/>
  <c r="AY26" i="10" s="1"/>
  <c r="BI18" i="10" a="1"/>
  <c r="BI18" i="10" s="1"/>
  <c r="BC28" i="10" a="1"/>
  <c r="BC28" i="10" s="1"/>
  <c r="BE16" i="10" a="1"/>
  <c r="BE16" i="10" s="1"/>
  <c r="AT29" i="10" a="1"/>
  <c r="AT29" i="10" s="1"/>
  <c r="AR23" i="10" a="1"/>
  <c r="AR23" i="10" s="1"/>
  <c r="AZ27" i="10" a="1"/>
  <c r="AZ27" i="10" s="1"/>
  <c r="BG32" i="10" a="1"/>
  <c r="BG32" i="10" s="1"/>
  <c r="BC19" i="10" a="1"/>
  <c r="BC19" i="10" s="1"/>
  <c r="AU31" i="10" a="1"/>
  <c r="AU31" i="10" s="1"/>
  <c r="BH25" i="10" a="1"/>
  <c r="BH25" i="10" s="1"/>
  <c r="AT20" i="10" a="1"/>
  <c r="AT20" i="10" s="1"/>
  <c r="AV32" i="10" a="1"/>
  <c r="AV32" i="10" s="1"/>
  <c r="AX34" i="10" a="1"/>
  <c r="AX34" i="10" s="1"/>
  <c r="AU17" i="10" a="1"/>
  <c r="AU17" i="10" s="1"/>
  <c r="AZ23" i="10" a="1"/>
  <c r="AZ23" i="10" s="1"/>
  <c r="AT31" i="10" a="1"/>
  <c r="AT31" i="10" s="1"/>
  <c r="AW25" i="10" a="1"/>
  <c r="AW25" i="10" s="1"/>
  <c r="BC29" i="10" a="1"/>
  <c r="BC29" i="10" s="1"/>
  <c r="BG17" i="10" a="1"/>
  <c r="BG17" i="10" s="1"/>
  <c r="AQ16" i="10" a="1"/>
  <c r="AQ16" i="10" s="1"/>
  <c r="AQ23" i="10" a="1"/>
  <c r="AQ23" i="10" s="1"/>
  <c r="AQ30" i="10" a="1"/>
  <c r="AQ30" i="10" s="1"/>
  <c r="AQ25" i="10" a="1"/>
  <c r="AQ25" i="10" s="1"/>
  <c r="AQ19" i="10" a="1"/>
  <c r="AQ19" i="10" s="1"/>
  <c r="AQ20" i="10" a="1"/>
  <c r="AQ20" i="10" s="1"/>
  <c r="AQ29" i="10" a="1"/>
  <c r="AQ29" i="10" s="1"/>
  <c r="AQ24" i="10" a="1"/>
  <c r="AQ24" i="10" s="1"/>
  <c r="AQ26" i="10" a="1"/>
  <c r="AQ26" i="10" s="1"/>
  <c r="AQ34" i="10" a="1"/>
  <c r="AQ34" i="10" s="1"/>
  <c r="AQ28" i="10" a="1"/>
  <c r="AQ28" i="10" s="1"/>
  <c r="AQ22" i="10" a="1"/>
  <c r="AQ22" i="10" s="1"/>
  <c r="AQ17" i="10" a="1"/>
  <c r="AQ17" i="10" s="1"/>
  <c r="AQ31" i="10" a="1"/>
  <c r="AQ31" i="10" s="1"/>
  <c r="AQ18" i="10" a="1"/>
  <c r="AQ18" i="10" s="1"/>
  <c r="AQ33" i="10" a="1"/>
  <c r="AQ33" i="10" s="1"/>
  <c r="AQ32" i="10" a="1"/>
  <c r="AQ32" i="10" s="1"/>
  <c r="AQ27" i="10" a="1"/>
  <c r="AQ27" i="10" s="1"/>
  <c r="AQ21" i="10" a="1"/>
  <c r="AQ21" i="10" s="1"/>
  <c r="BW21" i="11" a="1"/>
  <c r="BW21" i="11" s="1"/>
  <c r="CD28" i="11" a="1"/>
  <c r="CD28" i="11" s="1"/>
  <c r="BU19" i="11" a="1"/>
  <c r="BU19" i="11" s="1"/>
  <c r="CI33" i="11" a="1"/>
  <c r="CI33" i="11" s="1"/>
  <c r="BV20" i="11" a="1"/>
  <c r="BV20" i="11" s="1"/>
  <c r="CC27" i="11" a="1"/>
  <c r="CC27" i="11" s="1"/>
  <c r="CJ34" i="11" a="1"/>
  <c r="CJ34" i="11" s="1"/>
  <c r="CB26" i="11" a="1"/>
  <c r="CB26" i="11" s="1"/>
  <c r="BX22" i="11" a="1"/>
  <c r="BX22" i="11" s="1"/>
  <c r="CF30" i="11" a="1"/>
  <c r="CF30" i="11" s="1"/>
  <c r="BY23" i="11" a="1"/>
  <c r="BY23" i="11" s="1"/>
  <c r="CH32" i="11" a="1"/>
  <c r="CH32" i="11" s="1"/>
  <c r="BT18" i="11" a="1"/>
  <c r="BT18" i="11" s="1"/>
  <c r="CE29" i="11" a="1"/>
  <c r="CE29" i="11" s="1"/>
  <c r="CG31" i="11" a="1"/>
  <c r="CG31" i="11" s="1"/>
  <c r="BZ24" i="11" a="1"/>
  <c r="BZ24" i="11" s="1"/>
  <c r="BR16" i="11" a="1"/>
  <c r="BR16" i="11" s="1"/>
  <c r="CA25" i="11" a="1"/>
  <c r="CA25" i="11" s="1"/>
  <c r="BS17" i="11" a="1"/>
  <c r="BS17" i="11" s="1"/>
  <c r="AT16" i="11" a="1"/>
  <c r="AT16" i="11" s="1"/>
  <c r="BA16" i="11" a="1"/>
  <c r="BA16" i="11" s="1"/>
  <c r="BH16" i="11" a="1"/>
  <c r="BH16" i="11" s="1"/>
  <c r="AV17" i="11" a="1"/>
  <c r="AV17" i="11" s="1"/>
  <c r="BC17" i="11" a="1"/>
  <c r="BC17" i="11" s="1"/>
  <c r="BJ17" i="11" a="1"/>
  <c r="BJ17" i="11" s="1"/>
  <c r="AX18" i="11" a="1"/>
  <c r="AX18" i="11" s="1"/>
  <c r="BE18" i="11" a="1"/>
  <c r="BE18" i="11" s="1"/>
  <c r="AS19" i="11" a="1"/>
  <c r="AS19" i="11" s="1"/>
  <c r="AZ19" i="11" a="1"/>
  <c r="AZ19" i="11" s="1"/>
  <c r="BG19" i="11" a="1"/>
  <c r="BG19" i="11" s="1"/>
  <c r="AU20" i="11" a="1"/>
  <c r="AU20" i="11" s="1"/>
  <c r="BB20" i="11" a="1"/>
  <c r="BB20" i="11" s="1"/>
  <c r="BI20" i="11" a="1"/>
  <c r="BI20" i="11" s="1"/>
  <c r="AW21" i="11" a="1"/>
  <c r="AW21" i="11" s="1"/>
  <c r="BD21" i="11" a="1"/>
  <c r="BD21" i="11" s="1"/>
  <c r="AR22" i="11" a="1"/>
  <c r="AR22" i="11" s="1"/>
  <c r="AY22" i="11" a="1"/>
  <c r="AY22" i="11" s="1"/>
  <c r="BF22" i="11" a="1"/>
  <c r="BF22" i="11" s="1"/>
  <c r="AT23" i="11" a="1"/>
  <c r="AT23" i="11" s="1"/>
  <c r="BA23" i="11" a="1"/>
  <c r="BA23" i="11" s="1"/>
  <c r="BH23" i="11" a="1"/>
  <c r="BH23" i="11" s="1"/>
  <c r="AV24" i="11" a="1"/>
  <c r="AV24" i="11" s="1"/>
  <c r="BC24" i="11" a="1"/>
  <c r="BC24" i="11" s="1"/>
  <c r="BJ24" i="11" a="1"/>
  <c r="BJ24" i="11" s="1"/>
  <c r="AX25" i="11" a="1"/>
  <c r="AX25" i="11" s="1"/>
  <c r="BE25" i="11" a="1"/>
  <c r="BE25" i="11" s="1"/>
  <c r="AS26" i="11" a="1"/>
  <c r="AS26" i="11" s="1"/>
  <c r="AZ26" i="11" a="1"/>
  <c r="AZ26" i="11" s="1"/>
  <c r="BG26" i="11" a="1"/>
  <c r="BG26" i="11" s="1"/>
  <c r="AU27" i="11" a="1"/>
  <c r="AU27" i="11" s="1"/>
  <c r="BB27" i="11" a="1"/>
  <c r="BB27" i="11" s="1"/>
  <c r="BI27" i="11" a="1"/>
  <c r="BI27" i="11" s="1"/>
  <c r="AW28" i="11" a="1"/>
  <c r="AW28" i="11" s="1"/>
  <c r="BD28" i="11" a="1"/>
  <c r="BD28" i="11" s="1"/>
  <c r="AR29" i="11" a="1"/>
  <c r="AR29" i="11" s="1"/>
  <c r="AY29" i="11" a="1"/>
  <c r="AY29" i="11" s="1"/>
  <c r="BF29" i="11" a="1"/>
  <c r="BF29" i="11" s="1"/>
  <c r="AT30" i="11" a="1"/>
  <c r="AT30" i="11" s="1"/>
  <c r="BA30" i="11" a="1"/>
  <c r="BA30" i="11" s="1"/>
  <c r="BH30" i="11" a="1"/>
  <c r="BH30" i="11" s="1"/>
  <c r="AV31" i="11" a="1"/>
  <c r="AV31" i="11" s="1"/>
  <c r="BC31" i="11" a="1"/>
  <c r="BC31" i="11" s="1"/>
  <c r="BJ31" i="11" a="1"/>
  <c r="BJ31" i="11" s="1"/>
  <c r="AX32" i="11" a="1"/>
  <c r="AX32" i="11" s="1"/>
  <c r="BE32" i="11" a="1"/>
  <c r="BE32" i="11" s="1"/>
  <c r="AS33" i="11" a="1"/>
  <c r="AS33" i="11" s="1"/>
  <c r="AZ33" i="11" a="1"/>
  <c r="AZ33" i="11" s="1"/>
  <c r="BG33" i="11" a="1"/>
  <c r="BG33" i="11" s="1"/>
  <c r="AU34" i="11" a="1"/>
  <c r="AU34" i="11" s="1"/>
  <c r="BB34" i="11" a="1"/>
  <c r="BB34" i="11" s="1"/>
  <c r="BI34" i="11" a="1"/>
  <c r="BI34" i="11" s="1"/>
  <c r="AV27" i="11" a="1"/>
  <c r="AV27" i="11" s="1"/>
  <c r="BE28" i="11" a="1"/>
  <c r="BE28" i="11" s="1"/>
  <c r="AZ29" i="11" a="1"/>
  <c r="AZ29" i="11" s="1"/>
  <c r="AU30" i="11" a="1"/>
  <c r="AU30" i="11" s="1"/>
  <c r="BB30" i="11" a="1"/>
  <c r="BB30" i="11" s="1"/>
  <c r="AW31" i="11" a="1"/>
  <c r="AW31" i="11" s="1"/>
  <c r="BD31" i="11" a="1"/>
  <c r="BD31" i="11" s="1"/>
  <c r="AR32" i="11" a="1"/>
  <c r="AR32" i="11" s="1"/>
  <c r="AY32" i="11" a="1"/>
  <c r="AY32" i="11" s="1"/>
  <c r="BF32" i="11" a="1"/>
  <c r="BF32" i="11" s="1"/>
  <c r="AT33" i="11" a="1"/>
  <c r="AT33" i="11" s="1"/>
  <c r="BH33" i="11" a="1"/>
  <c r="BH33" i="11" s="1"/>
  <c r="AV34" i="11" a="1"/>
  <c r="AV34" i="11" s="1"/>
  <c r="BC34" i="11" a="1"/>
  <c r="BC34" i="11" s="1"/>
  <c r="BJ34" i="11" a="1"/>
  <c r="BJ34" i="11" s="1"/>
  <c r="AU16" i="11" a="1"/>
  <c r="AU16" i="11" s="1"/>
  <c r="BB16" i="11" a="1"/>
  <c r="BB16" i="11" s="1"/>
  <c r="BI16" i="11" a="1"/>
  <c r="BI16" i="11" s="1"/>
  <c r="AW17" i="11" a="1"/>
  <c r="AW17" i="11" s="1"/>
  <c r="BD17" i="11" a="1"/>
  <c r="BD17" i="11" s="1"/>
  <c r="AR18" i="11" a="1"/>
  <c r="AR18" i="11" s="1"/>
  <c r="AY18" i="11" a="1"/>
  <c r="AY18" i="11" s="1"/>
  <c r="BF18" i="11" a="1"/>
  <c r="BF18" i="11" s="1"/>
  <c r="AT19" i="11" a="1"/>
  <c r="AT19" i="11" s="1"/>
  <c r="BA19" i="11" a="1"/>
  <c r="BA19" i="11" s="1"/>
  <c r="BH19" i="11" a="1"/>
  <c r="BH19" i="11" s="1"/>
  <c r="AV20" i="11" a="1"/>
  <c r="AV20" i="11" s="1"/>
  <c r="BC20" i="11" a="1"/>
  <c r="BC20" i="11" s="1"/>
  <c r="BJ20" i="11" a="1"/>
  <c r="BJ20" i="11" s="1"/>
  <c r="AX21" i="11" a="1"/>
  <c r="AX21" i="11" s="1"/>
  <c r="BE21" i="11" a="1"/>
  <c r="BE21" i="11" s="1"/>
  <c r="AS22" i="11" a="1"/>
  <c r="AS22" i="11" s="1"/>
  <c r="AZ22" i="11" a="1"/>
  <c r="AZ22" i="11" s="1"/>
  <c r="BG22" i="11" a="1"/>
  <c r="BG22" i="11" s="1"/>
  <c r="AU23" i="11" a="1"/>
  <c r="AU23" i="11" s="1"/>
  <c r="BB23" i="11" a="1"/>
  <c r="BB23" i="11" s="1"/>
  <c r="BI23" i="11" a="1"/>
  <c r="BI23" i="11" s="1"/>
  <c r="AW24" i="11" a="1"/>
  <c r="AW24" i="11" s="1"/>
  <c r="BD24" i="11" a="1"/>
  <c r="BD24" i="11" s="1"/>
  <c r="AR25" i="11" a="1"/>
  <c r="AR25" i="11" s="1"/>
  <c r="AY25" i="11" a="1"/>
  <c r="AY25" i="11" s="1"/>
  <c r="BF25" i="11" a="1"/>
  <c r="BF25" i="11" s="1"/>
  <c r="AT26" i="11" a="1"/>
  <c r="AT26" i="11" s="1"/>
  <c r="BA26" i="11" a="1"/>
  <c r="BA26" i="11" s="1"/>
  <c r="BH26" i="11" a="1"/>
  <c r="BH26" i="11" s="1"/>
  <c r="BC27" i="11" a="1"/>
  <c r="BC27" i="11" s="1"/>
  <c r="BJ27" i="11" a="1"/>
  <c r="BJ27" i="11" s="1"/>
  <c r="AX28" i="11" a="1"/>
  <c r="AX28" i="11" s="1"/>
  <c r="AS29" i="11" a="1"/>
  <c r="AS29" i="11" s="1"/>
  <c r="BG29" i="11" a="1"/>
  <c r="BG29" i="11" s="1"/>
  <c r="BI30" i="11" a="1"/>
  <c r="BI30" i="11" s="1"/>
  <c r="BA33" i="11" a="1"/>
  <c r="BA33" i="11" s="1"/>
  <c r="AW16" i="11" a="1"/>
  <c r="AW16" i="11" s="1"/>
  <c r="BF16" i="11" a="1"/>
  <c r="BF16" i="11" s="1"/>
  <c r="AX17" i="11" a="1"/>
  <c r="AX17" i="11" s="1"/>
  <c r="BG17" i="11" a="1"/>
  <c r="BG17" i="11" s="1"/>
  <c r="AW18" i="11" a="1"/>
  <c r="AW18" i="11" s="1"/>
  <c r="BH18" i="11" a="1"/>
  <c r="BH18" i="11" s="1"/>
  <c r="AX19" i="11" a="1"/>
  <c r="AX19" i="11" s="1"/>
  <c r="BI19" i="11" a="1"/>
  <c r="BI19" i="11" s="1"/>
  <c r="AY20" i="11" a="1"/>
  <c r="AY20" i="11" s="1"/>
  <c r="BH20" i="11" a="1"/>
  <c r="BH20" i="11" s="1"/>
  <c r="AZ21" i="11" a="1"/>
  <c r="AZ21" i="11" s="1"/>
  <c r="AX22" i="11" a="1"/>
  <c r="AX22" i="11" s="1"/>
  <c r="BH22" i="11" a="1"/>
  <c r="BH22" i="11" s="1"/>
  <c r="BF23" i="11" a="1"/>
  <c r="BF23" i="11" s="1"/>
  <c r="AU25" i="11" a="1"/>
  <c r="AU25" i="11" s="1"/>
  <c r="BC26" i="11" a="1"/>
  <c r="BC26" i="11" s="1"/>
  <c r="BA27" i="11" a="1"/>
  <c r="BA27" i="11" s="1"/>
  <c r="AR28" i="11" a="1"/>
  <c r="AR28" i="11" s="1"/>
  <c r="BI28" i="11" a="1"/>
  <c r="BI28" i="11" s="1"/>
  <c r="AX30" i="11" a="1"/>
  <c r="AX30" i="11" s="1"/>
  <c r="BF31" i="11" a="1"/>
  <c r="BF31" i="11" s="1"/>
  <c r="BD32" i="11" a="1"/>
  <c r="BD32" i="11" s="1"/>
  <c r="AU33" i="11" a="1"/>
  <c r="AU33" i="11" s="1"/>
  <c r="AS34" i="11" a="1"/>
  <c r="AS34" i="11" s="1"/>
  <c r="AX31" i="11" a="1"/>
  <c r="AX31" i="11" s="1"/>
  <c r="AV32" i="11" a="1"/>
  <c r="AV32" i="11" s="1"/>
  <c r="BD33" i="11" a="1"/>
  <c r="BD33" i="11" s="1"/>
  <c r="BD34" i="11" a="1"/>
  <c r="BD34" i="11" s="1"/>
  <c r="BG24" i="11" a="1"/>
  <c r="BG24" i="11" s="1"/>
  <c r="AV26" i="11" a="1"/>
  <c r="AV26" i="11" s="1"/>
  <c r="BD27" i="11" a="1"/>
  <c r="BD27" i="11" s="1"/>
  <c r="AW32" i="11" a="1"/>
  <c r="AW32" i="11" s="1"/>
  <c r="BA20" i="11" a="1"/>
  <c r="BA20" i="11" s="1"/>
  <c r="AW25" i="11" a="1"/>
  <c r="AW25" i="11" s="1"/>
  <c r="AT28" i="11" a="1"/>
  <c r="AT28" i="11" s="1"/>
  <c r="BH31" i="11" a="1"/>
  <c r="BH31" i="11" s="1"/>
  <c r="AW33" i="11" a="1"/>
  <c r="AW33" i="11" s="1"/>
  <c r="AR23" i="11" a="1"/>
  <c r="AR23" i="11" s="1"/>
  <c r="BC29" i="11" a="1"/>
  <c r="BC29" i="11" s="1"/>
  <c r="AS30" i="11" a="1"/>
  <c r="AS30" i="11" s="1"/>
  <c r="BC16" i="11" a="1"/>
  <c r="BC16" i="11" s="1"/>
  <c r="AV28" i="11" a="1"/>
  <c r="AV28" i="11" s="1"/>
  <c r="AY33" i="11" a="1"/>
  <c r="AY33" i="11" s="1"/>
  <c r="BA25" i="11" a="1"/>
  <c r="BA25" i="11" s="1"/>
  <c r="AS32" i="11" a="1"/>
  <c r="AS32" i="11" s="1"/>
  <c r="AT17" i="11" a="1"/>
  <c r="AT17" i="11" s="1"/>
  <c r="BB24" i="11" a="1"/>
  <c r="BB24" i="11" s="1"/>
  <c r="BG28" i="11" a="1"/>
  <c r="BG28" i="11" s="1"/>
  <c r="BB33" i="11" a="1"/>
  <c r="BB33" i="11" s="1"/>
  <c r="BI21" i="11" a="1"/>
  <c r="BI21" i="11" s="1"/>
  <c r="AX23" i="11" a="1"/>
  <c r="AX23" i="11" s="1"/>
  <c r="BF24" i="11" a="1"/>
  <c r="BF24" i="11" s="1"/>
  <c r="BD25" i="11" a="1"/>
  <c r="BD25" i="11" s="1"/>
  <c r="AU26" i="11" a="1"/>
  <c r="AU26" i="11" s="1"/>
  <c r="AS27" i="11" a="1"/>
  <c r="AS27" i="11" s="1"/>
  <c r="BA28" i="11" a="1"/>
  <c r="BA28" i="11" s="1"/>
  <c r="BI29" i="11" a="1"/>
  <c r="BI29" i="11" s="1"/>
  <c r="BG30" i="11" a="1"/>
  <c r="BG30" i="11" s="1"/>
  <c r="AY23" i="11" a="1"/>
  <c r="AY23" i="11" s="1"/>
  <c r="AY31" i="11" a="1"/>
  <c r="AY31" i="11" s="1"/>
  <c r="BB21" i="11" a="1"/>
  <c r="BB21" i="11" s="1"/>
  <c r="BG25" i="11" a="1"/>
  <c r="BG25" i="11" s="1"/>
  <c r="BB29" i="11" a="1"/>
  <c r="BB29" i="11" s="1"/>
  <c r="AZ24" i="11" a="1"/>
  <c r="AZ24" i="11" s="1"/>
  <c r="AZ32" i="11" a="1"/>
  <c r="AZ32" i="11" s="1"/>
  <c r="BC30" i="11" a="1"/>
  <c r="BC30" i="11" s="1"/>
  <c r="AX34" i="11" a="1"/>
  <c r="AX34" i="11" s="1"/>
  <c r="AU19" i="11" a="1"/>
  <c r="AU19" i="11" s="1"/>
  <c r="BG27" i="11" a="1"/>
  <c r="BG27" i="11" s="1"/>
  <c r="AV19" i="11" a="1"/>
  <c r="AV19" i="11" s="1"/>
  <c r="BB32" i="11" a="1"/>
  <c r="BB32" i="11" s="1"/>
  <c r="AV16" i="11" a="1"/>
  <c r="AV16" i="11" s="1"/>
  <c r="AX16" i="11" a="1"/>
  <c r="AX16" i="11" s="1"/>
  <c r="BG16" i="11" a="1"/>
  <c r="BG16" i="11" s="1"/>
  <c r="AY17" i="11" a="1"/>
  <c r="AY17" i="11" s="1"/>
  <c r="BH17" i="11" a="1"/>
  <c r="BH17" i="11" s="1"/>
  <c r="AZ18" i="11" a="1"/>
  <c r="AZ18" i="11" s="1"/>
  <c r="BI18" i="11" a="1"/>
  <c r="BI18" i="11" s="1"/>
  <c r="AY19" i="11" a="1"/>
  <c r="AY19" i="11" s="1"/>
  <c r="BJ19" i="11" a="1"/>
  <c r="BJ19" i="11" s="1"/>
  <c r="AZ20" i="11" a="1"/>
  <c r="AZ20" i="11" s="1"/>
  <c r="AR21" i="11" a="1"/>
  <c r="AR21" i="11" s="1"/>
  <c r="BA21" i="11" a="1"/>
  <c r="BA21" i="11" s="1"/>
  <c r="BI22" i="11" a="1"/>
  <c r="BI22" i="11" s="1"/>
  <c r="BG23" i="11" a="1"/>
  <c r="BG23" i="11" s="1"/>
  <c r="AX24" i="11" a="1"/>
  <c r="AX24" i="11" s="1"/>
  <c r="AV25" i="11" a="1"/>
  <c r="AV25" i="11" s="1"/>
  <c r="BD26" i="11" a="1"/>
  <c r="BD26" i="11" s="1"/>
  <c r="AS28" i="11" a="1"/>
  <c r="AS28" i="11" s="1"/>
  <c r="BJ28" i="11" a="1"/>
  <c r="BJ28" i="11" s="1"/>
  <c r="BA29" i="11" a="1"/>
  <c r="BA29" i="11" s="1"/>
  <c r="AY30" i="11" a="1"/>
  <c r="AY30" i="11" s="1"/>
  <c r="BG31" i="11" a="1"/>
  <c r="BG31" i="11" s="1"/>
  <c r="AV33" i="11" a="1"/>
  <c r="AV33" i="11" s="1"/>
  <c r="AT34" i="11" a="1"/>
  <c r="AT34" i="11" s="1"/>
  <c r="BA22" i="11" a="1"/>
  <c r="BA22" i="11" s="1"/>
  <c r="BB28" i="11" a="1"/>
  <c r="BB28" i="11" s="1"/>
  <c r="BJ29" i="11" a="1"/>
  <c r="BJ29" i="11" s="1"/>
  <c r="BG32" i="11" a="1"/>
  <c r="BG32" i="11" s="1"/>
  <c r="BE33" i="11" a="1"/>
  <c r="BE33" i="11" s="1"/>
  <c r="BJ30" i="11" a="1"/>
  <c r="BJ30" i="11" s="1"/>
  <c r="BF33" i="11" a="1"/>
  <c r="BF33" i="11" s="1"/>
  <c r="AR31" i="11" a="1"/>
  <c r="AR31" i="11" s="1"/>
  <c r="AR16" i="11" a="1"/>
  <c r="AR16" i="11" s="1"/>
  <c r="BD29" i="11" a="1"/>
  <c r="BD29" i="11" s="1"/>
  <c r="BB31" i="11" a="1"/>
  <c r="BB31" i="11" s="1"/>
  <c r="AU18" i="11" a="1"/>
  <c r="AU18" i="11" s="1"/>
  <c r="AV22" i="11" a="1"/>
  <c r="AV22" i="11" s="1"/>
  <c r="AS25" i="11" a="1"/>
  <c r="AS25" i="11" s="1"/>
  <c r="BH27" i="11" a="1"/>
  <c r="BH27" i="11" s="1"/>
  <c r="BE16" i="11" a="1"/>
  <c r="BE16" i="11" s="1"/>
  <c r="BJ21" i="11" a="1"/>
  <c r="BJ21" i="11" s="1"/>
  <c r="AT27" i="11" a="1"/>
  <c r="AT27" i="11" s="1"/>
  <c r="AW34" i="11" a="1"/>
  <c r="AW34" i="11" s="1"/>
  <c r="BH25" i="11" a="1"/>
  <c r="BH25" i="11" s="1"/>
  <c r="AW27" i="11" a="1"/>
  <c r="AW27" i="11" s="1"/>
  <c r="AX33" i="11" a="1"/>
  <c r="AX33" i="11" s="1"/>
  <c r="BA31" i="11" a="1"/>
  <c r="BA31" i="11" s="1"/>
  <c r="AS17" i="11" a="1"/>
  <c r="AS17" i="11" s="1"/>
  <c r="BI33" i="11" a="1"/>
  <c r="BI33" i="11" s="1"/>
  <c r="AS24" i="11" a="1"/>
  <c r="AS24" i="11" s="1"/>
  <c r="BD16" i="11" a="1"/>
  <c r="BD16" i="11" s="1"/>
  <c r="AV21" i="11" a="1"/>
  <c r="AV21" i="11" s="1"/>
  <c r="BD23" i="11" a="1"/>
  <c r="BD23" i="11" s="1"/>
  <c r="AY27" i="11" a="1"/>
  <c r="AY27" i="11" s="1"/>
  <c r="AT31" i="11" a="1"/>
  <c r="AT31" i="11" s="1"/>
  <c r="BJ26" i="11" a="1"/>
  <c r="BJ26" i="11" s="1"/>
  <c r="AY16" i="11" a="1"/>
  <c r="AY16" i="11" s="1"/>
  <c r="BJ16" i="11" a="1"/>
  <c r="BJ16" i="11" s="1"/>
  <c r="AZ17" i="11" a="1"/>
  <c r="AZ17" i="11" s="1"/>
  <c r="BI17" i="11" a="1"/>
  <c r="BI17" i="11" s="1"/>
  <c r="BA18" i="11" a="1"/>
  <c r="BA18" i="11" s="1"/>
  <c r="BJ18" i="11" a="1"/>
  <c r="BJ18" i="11" s="1"/>
  <c r="BB19" i="11" a="1"/>
  <c r="BB19" i="11" s="1"/>
  <c r="AR20" i="11" a="1"/>
  <c r="AR20" i="11" s="1"/>
  <c r="AS21" i="11" a="1"/>
  <c r="AS21" i="11" s="1"/>
  <c r="BJ22" i="11" a="1"/>
  <c r="BJ22" i="11" s="1"/>
  <c r="AY24" i="11" a="1"/>
  <c r="AY24" i="11" s="1"/>
  <c r="BE26" i="11" a="1"/>
  <c r="BE26" i="11" s="1"/>
  <c r="AZ30" i="11" a="1"/>
  <c r="AZ30" i="11" s="1"/>
  <c r="BE34" i="11" a="1"/>
  <c r="BE34" i="11" s="1"/>
  <c r="BF26" i="11" a="1"/>
  <c r="BF26" i="11" s="1"/>
  <c r="BF34" i="11" a="1"/>
  <c r="BF34" i="11" s="1"/>
  <c r="BI32" i="11" a="1"/>
  <c r="BI32" i="11" s="1"/>
  <c r="AT18" i="11" a="1"/>
  <c r="AT18" i="11" s="1"/>
  <c r="BE20" i="11" a="1"/>
  <c r="BE20" i="11" s="1"/>
  <c r="AU22" i="11" a="1"/>
  <c r="AU22" i="11" s="1"/>
  <c r="BA24" i="11" a="1"/>
  <c r="BA24" i="11" s="1"/>
  <c r="AS31" i="11" a="1"/>
  <c r="AS31" i="11" s="1"/>
  <c r="BG34" i="11" a="1"/>
  <c r="BG34" i="11" s="1"/>
  <c r="BJ32" i="11" a="1"/>
  <c r="BJ32" i="11" s="1"/>
  <c r="BE17" i="11" a="1"/>
  <c r="BE17" i="11" s="1"/>
  <c r="AV30" i="11" a="1"/>
  <c r="AV30" i="11" s="1"/>
  <c r="BJ33" i="11" a="1"/>
  <c r="BJ33" i="11" s="1"/>
  <c r="AW29" i="11" a="1"/>
  <c r="AW29" i="11" s="1"/>
  <c r="AZ34" i="11" a="1"/>
  <c r="AZ34" i="11" s="1"/>
  <c r="BB22" i="11" a="1"/>
  <c r="BB22" i="11" s="1"/>
  <c r="AZ23" i="11" a="1"/>
  <c r="AZ23" i="11" s="1"/>
  <c r="BJ23" i="11" a="1"/>
  <c r="BJ23" i="11" s="1"/>
  <c r="BH24" i="11" a="1"/>
  <c r="BH24" i="11" s="1"/>
  <c r="AW26" i="11" a="1"/>
  <c r="AW26" i="11" s="1"/>
  <c r="BE27" i="11" a="1"/>
  <c r="BE27" i="11" s="1"/>
  <c r="BC28" i="11" a="1"/>
  <c r="BC28" i="11" s="1"/>
  <c r="AT29" i="11" a="1"/>
  <c r="AT29" i="11" s="1"/>
  <c r="AR30" i="11" a="1"/>
  <c r="AR30" i="11" s="1"/>
  <c r="AZ31" i="11" a="1"/>
  <c r="AZ31" i="11" s="1"/>
  <c r="BH32" i="11" a="1"/>
  <c r="BH32" i="11" s="1"/>
  <c r="AU28" i="11" a="1"/>
  <c r="AU28" i="11" s="1"/>
  <c r="BI31" i="11" a="1"/>
  <c r="BI31" i="11" s="1"/>
  <c r="BD19" i="11" a="1"/>
  <c r="BD19" i="11" s="1"/>
  <c r="AS23" i="11" a="1"/>
  <c r="AS23" i="11" s="1"/>
  <c r="AX27" i="11" a="1"/>
  <c r="AX27" i="11" s="1"/>
  <c r="BD22" i="11" a="1"/>
  <c r="BD22" i="11" s="1"/>
  <c r="BI26" i="11" a="1"/>
  <c r="BI26" i="11" s="1"/>
  <c r="AY34" i="11" a="1"/>
  <c r="AY34" i="11" s="1"/>
  <c r="AW20" i="11" a="1"/>
  <c r="AW20" i="11" s="1"/>
  <c r="BE29" i="11" a="1"/>
  <c r="BE29" i="11" s="1"/>
  <c r="AT32" i="11" a="1"/>
  <c r="AT32" i="11" s="1"/>
  <c r="AZ16" i="11" a="1"/>
  <c r="AZ16" i="11" s="1"/>
  <c r="AR17" i="11" a="1"/>
  <c r="AR17" i="11" s="1"/>
  <c r="BA17" i="11" a="1"/>
  <c r="BA17" i="11" s="1"/>
  <c r="AS18" i="11" a="1"/>
  <c r="AS18" i="11" s="1"/>
  <c r="BB18" i="11" a="1"/>
  <c r="BB18" i="11" s="1"/>
  <c r="AR19" i="11" a="1"/>
  <c r="AR19" i="11" s="1"/>
  <c r="BC19" i="11" a="1"/>
  <c r="BC19" i="11" s="1"/>
  <c r="AS20" i="11" a="1"/>
  <c r="AS20" i="11" s="1"/>
  <c r="BD20" i="11" a="1"/>
  <c r="BD20" i="11" s="1"/>
  <c r="AT21" i="11" a="1"/>
  <c r="AT21" i="11" s="1"/>
  <c r="BC21" i="11" a="1"/>
  <c r="BC21" i="11" s="1"/>
  <c r="AT22" i="11" a="1"/>
  <c r="AT22" i="11" s="1"/>
  <c r="BC18" i="11" a="1"/>
  <c r="BC18" i="11" s="1"/>
  <c r="BF28" i="11" a="1"/>
  <c r="BF28" i="11" s="1"/>
  <c r="BF21" i="11" a="1"/>
  <c r="BF21" i="11" s="1"/>
  <c r="AV29" i="11" a="1"/>
  <c r="AV29" i="11" s="1"/>
  <c r="BE19" i="11" a="1"/>
  <c r="BE19" i="11" s="1"/>
  <c r="BE30" i="11" a="1"/>
  <c r="BE30" i="11" s="1"/>
  <c r="BC22" i="11" a="1"/>
  <c r="BC22" i="11" s="1"/>
  <c r="AR24" i="11" a="1"/>
  <c r="AR24" i="11" s="1"/>
  <c r="BI24" i="11" a="1"/>
  <c r="BI24" i="11" s="1"/>
  <c r="AZ25" i="11" a="1"/>
  <c r="AZ25" i="11" s="1"/>
  <c r="AX26" i="11" a="1"/>
  <c r="AX26" i="11" s="1"/>
  <c r="BF27" i="11" a="1"/>
  <c r="BF27" i="11" s="1"/>
  <c r="AU29" i="11" a="1"/>
  <c r="AU29" i="11" s="1"/>
  <c r="BB17" i="11" a="1"/>
  <c r="BB17" i="11" s="1"/>
  <c r="AT20" i="11" a="1"/>
  <c r="AT20" i="11" s="1"/>
  <c r="AU21" i="11" a="1"/>
  <c r="AU21" i="11" s="1"/>
  <c r="BC23" i="11" a="1"/>
  <c r="BC23" i="11" s="1"/>
  <c r="BI25" i="11" a="1"/>
  <c r="BI25" i="11" s="1"/>
  <c r="BA32" i="11" a="1"/>
  <c r="BA32" i="11" s="1"/>
  <c r="AY26" i="11" a="1"/>
  <c r="AY26" i="11" s="1"/>
  <c r="BD30" i="11" a="1"/>
  <c r="BD30" i="11" s="1"/>
  <c r="AS16" i="11" a="1"/>
  <c r="AS16" i="11" s="1"/>
  <c r="BF20" i="11" a="1"/>
  <c r="BF20" i="11" s="1"/>
  <c r="BJ25" i="11" a="1"/>
  <c r="BJ25" i="11" s="1"/>
  <c r="BH34" i="11" a="1"/>
  <c r="BH34" i="11" s="1"/>
  <c r="AR33" i="11" a="1"/>
  <c r="AR33" i="11" s="1"/>
  <c r="BD18" i="11" a="1"/>
  <c r="BD18" i="11" s="1"/>
  <c r="BG21" i="11" a="1"/>
  <c r="BG21" i="11" s="1"/>
  <c r="BE22" i="11" a="1"/>
  <c r="BE22" i="11" s="1"/>
  <c r="AV23" i="11" a="1"/>
  <c r="AV23" i="11" s="1"/>
  <c r="AT24" i="11" a="1"/>
  <c r="AT24" i="11" s="1"/>
  <c r="BB25" i="11" a="1"/>
  <c r="BB25" i="11" s="1"/>
  <c r="AY28" i="11" a="1"/>
  <c r="AY28" i="11" s="1"/>
  <c r="BF19" i="11" a="1"/>
  <c r="BF19" i="11" s="1"/>
  <c r="BB26" i="11" a="1"/>
  <c r="BB26" i="11" s="1"/>
  <c r="AW23" i="11" a="1"/>
  <c r="AW23" i="11" s="1"/>
  <c r="BH29" i="11" a="1"/>
  <c r="BH29" i="11" s="1"/>
  <c r="AX20" i="11" a="1"/>
  <c r="AX20" i="11" s="1"/>
  <c r="BE23" i="11" a="1"/>
  <c r="BE23" i="11" s="1"/>
  <c r="AW30" i="11" a="1"/>
  <c r="AW30" i="11" s="1"/>
  <c r="AR27" i="11" a="1"/>
  <c r="AR27" i="11" s="1"/>
  <c r="BC33" i="11" a="1"/>
  <c r="BC33" i="11" s="1"/>
  <c r="AU17" i="11" a="1"/>
  <c r="AU17" i="11" s="1"/>
  <c r="BG20" i="11" a="1"/>
  <c r="BG20" i="11" s="1"/>
  <c r="AZ27" i="11" a="1"/>
  <c r="AZ27" i="11" s="1"/>
  <c r="AR34" i="11" a="1"/>
  <c r="AR34" i="11" s="1"/>
  <c r="AU24" i="11" a="1"/>
  <c r="AU24" i="11" s="1"/>
  <c r="BF30" i="11" a="1"/>
  <c r="BF30" i="11" s="1"/>
  <c r="BF17" i="11" a="1"/>
  <c r="BF17" i="11" s="1"/>
  <c r="AY21" i="11" a="1"/>
  <c r="AY21" i="11" s="1"/>
  <c r="AU31" i="11" a="1"/>
  <c r="AU31" i="11" s="1"/>
  <c r="BA34" i="11" a="1"/>
  <c r="BA34" i="11" s="1"/>
  <c r="AV18" i="11" a="1"/>
  <c r="AV18" i="11" s="1"/>
  <c r="AT25" i="11" a="1"/>
  <c r="AT25" i="11" s="1"/>
  <c r="BE31" i="11" a="1"/>
  <c r="BE31" i="11" s="1"/>
  <c r="AZ28" i="11" a="1"/>
  <c r="AZ28" i="11" s="1"/>
  <c r="BG18" i="11" a="1"/>
  <c r="BG18" i="11" s="1"/>
  <c r="AU32" i="11" a="1"/>
  <c r="AU32" i="11" s="1"/>
  <c r="AX29" i="11" a="1"/>
  <c r="AX29" i="11" s="1"/>
  <c r="BE24" i="11" a="1"/>
  <c r="BE24" i="11" s="1"/>
  <c r="BH21" i="11" a="1"/>
  <c r="BH21" i="11" s="1"/>
  <c r="AW22" i="11" a="1"/>
  <c r="AW22" i="11" s="1"/>
  <c r="BH28" i="11" a="1"/>
  <c r="BH28" i="11" s="1"/>
  <c r="BC25" i="11" a="1"/>
  <c r="BC25" i="11" s="1"/>
  <c r="AW19" i="11" a="1"/>
  <c r="AW19" i="11" s="1"/>
  <c r="AR26" i="11" a="1"/>
  <c r="AR26" i="11" s="1"/>
  <c r="BC32" i="11" a="1"/>
  <c r="BC32" i="11" s="1"/>
  <c r="AQ16" i="11" a="1"/>
  <c r="AQ16" i="11" s="1"/>
  <c r="AQ23" i="11" a="1"/>
  <c r="AQ23" i="11" s="1"/>
  <c r="AQ30" i="11" a="1"/>
  <c r="AQ30" i="11" s="1"/>
  <c r="AQ32" i="11" a="1"/>
  <c r="AQ32" i="11" s="1"/>
  <c r="AQ33" i="11" a="1"/>
  <c r="AQ33" i="11" s="1"/>
  <c r="AQ27" i="11" a="1"/>
  <c r="AQ27" i="11" s="1"/>
  <c r="AQ34" i="11" a="1"/>
  <c r="AQ34" i="11" s="1"/>
  <c r="AQ28" i="11" a="1"/>
  <c r="AQ28" i="11" s="1"/>
  <c r="AQ24" i="11" a="1"/>
  <c r="AQ24" i="11" s="1"/>
  <c r="AQ31" i="11" a="1"/>
  <c r="AQ31" i="11" s="1"/>
  <c r="AQ18" i="11" a="1"/>
  <c r="AQ18" i="11" s="1"/>
  <c r="AQ26" i="11" a="1"/>
  <c r="AQ26" i="11" s="1"/>
  <c r="AQ20" i="11" a="1"/>
  <c r="AQ20" i="11" s="1"/>
  <c r="AQ21" i="11" a="1"/>
  <c r="AQ21" i="11" s="1"/>
  <c r="AQ29" i="11" a="1"/>
  <c r="AQ29" i="11" s="1"/>
  <c r="AQ17" i="11" a="1"/>
  <c r="AQ17" i="11" s="1"/>
  <c r="AQ25" i="11" a="1"/>
  <c r="AQ25" i="11" s="1"/>
  <c r="AQ19" i="11" a="1"/>
  <c r="AQ19" i="11" s="1"/>
  <c r="AQ22" i="11" a="1"/>
  <c r="AQ22" i="11" s="1"/>
  <c r="BP15" i="12"/>
  <c r="BQ15" i="12" s="1" a="1"/>
  <c r="BQ15" i="12" s="1"/>
  <c r="AP15" i="12"/>
  <c r="BP15" i="11"/>
  <c r="BP15" i="10"/>
  <c r="BW21" i="8" a="1"/>
  <c r="BW21" i="8" s="1"/>
  <c r="CD28" i="8" a="1"/>
  <c r="CD28" i="8" s="1"/>
  <c r="BV20" i="8" a="1"/>
  <c r="BV20" i="8" s="1"/>
  <c r="CC27" i="8" a="1"/>
  <c r="CC27" i="8" s="1"/>
  <c r="CJ34" i="8" a="1"/>
  <c r="CJ34" i="8" s="1"/>
  <c r="BU19" i="8" a="1"/>
  <c r="BU19" i="8" s="1"/>
  <c r="CB26" i="8" a="1"/>
  <c r="CB26" i="8" s="1"/>
  <c r="CI33" i="8" a="1"/>
  <c r="CI33" i="8" s="1"/>
  <c r="BT18" i="8" a="1"/>
  <c r="BT18" i="8" s="1"/>
  <c r="CA25" i="8" a="1"/>
  <c r="CA25" i="8" s="1"/>
  <c r="CH32" i="8" a="1"/>
  <c r="CH32" i="8" s="1"/>
  <c r="BS17" i="8" a="1"/>
  <c r="BS17" i="8" s="1"/>
  <c r="BZ24" i="8" a="1"/>
  <c r="BZ24" i="8" s="1"/>
  <c r="CG31" i="8" a="1"/>
  <c r="CG31" i="8" s="1"/>
  <c r="BR16" i="8" a="1"/>
  <c r="BR16" i="8" s="1"/>
  <c r="BY23" i="8" a="1"/>
  <c r="BY23" i="8" s="1"/>
  <c r="CF30" i="8" a="1"/>
  <c r="CF30" i="8" s="1"/>
  <c r="BX22" i="8" a="1"/>
  <c r="BX22" i="8" s="1"/>
  <c r="CE29" i="8" a="1"/>
  <c r="CE29" i="8" s="1"/>
  <c r="BP15" i="8"/>
  <c r="AT16" i="8" a="1"/>
  <c r="AT16" i="8" s="1"/>
  <c r="BA16" i="8" a="1"/>
  <c r="BA16" i="8" s="1"/>
  <c r="BH16" i="8" a="1"/>
  <c r="BH16" i="8" s="1"/>
  <c r="AV17" i="8" a="1"/>
  <c r="AV17" i="8" s="1"/>
  <c r="BC17" i="8" a="1"/>
  <c r="BC17" i="8" s="1"/>
  <c r="BJ17" i="8" a="1"/>
  <c r="BJ17" i="8" s="1"/>
  <c r="AX18" i="8" a="1"/>
  <c r="AX18" i="8" s="1"/>
  <c r="BE18" i="8" a="1"/>
  <c r="BE18" i="8" s="1"/>
  <c r="AS19" i="8" a="1"/>
  <c r="AS19" i="8" s="1"/>
  <c r="AZ19" i="8" a="1"/>
  <c r="AZ19" i="8" s="1"/>
  <c r="BG19" i="8" a="1"/>
  <c r="BG19" i="8" s="1"/>
  <c r="AU20" i="8" a="1"/>
  <c r="AU20" i="8" s="1"/>
  <c r="BB20" i="8" a="1"/>
  <c r="BB20" i="8" s="1"/>
  <c r="BI20" i="8" a="1"/>
  <c r="BI20" i="8" s="1"/>
  <c r="AW21" i="8" a="1"/>
  <c r="AW21" i="8" s="1"/>
  <c r="BD21" i="8" a="1"/>
  <c r="BD21" i="8" s="1"/>
  <c r="AR22" i="8" a="1"/>
  <c r="AR22" i="8" s="1"/>
  <c r="AY22" i="8" a="1"/>
  <c r="AY22" i="8" s="1"/>
  <c r="BF22" i="8" a="1"/>
  <c r="BF22" i="8" s="1"/>
  <c r="AT23" i="8" a="1"/>
  <c r="AT23" i="8" s="1"/>
  <c r="BA23" i="8" a="1"/>
  <c r="BA23" i="8" s="1"/>
  <c r="BH23" i="8" a="1"/>
  <c r="BH23" i="8" s="1"/>
  <c r="AV24" i="8" a="1"/>
  <c r="AV24" i="8" s="1"/>
  <c r="BC24" i="8" a="1"/>
  <c r="BC24" i="8" s="1"/>
  <c r="BJ24" i="8" a="1"/>
  <c r="BJ24" i="8" s="1"/>
  <c r="AX25" i="8" a="1"/>
  <c r="AX25" i="8" s="1"/>
  <c r="BE25" i="8" a="1"/>
  <c r="BE25" i="8" s="1"/>
  <c r="AS26" i="8" a="1"/>
  <c r="AS26" i="8" s="1"/>
  <c r="AZ26" i="8" a="1"/>
  <c r="AZ26" i="8" s="1"/>
  <c r="BG26" i="8" a="1"/>
  <c r="BG26" i="8" s="1"/>
  <c r="AU27" i="8" a="1"/>
  <c r="AU27" i="8" s="1"/>
  <c r="BB27" i="8" a="1"/>
  <c r="BB27" i="8" s="1"/>
  <c r="BI27" i="8" a="1"/>
  <c r="BI27" i="8" s="1"/>
  <c r="AW28" i="8" a="1"/>
  <c r="AW28" i="8" s="1"/>
  <c r="BD28" i="8" a="1"/>
  <c r="BD28" i="8" s="1"/>
  <c r="AR29" i="8" a="1"/>
  <c r="AR29" i="8" s="1"/>
  <c r="AY29" i="8" a="1"/>
  <c r="AY29" i="8" s="1"/>
  <c r="BF29" i="8" a="1"/>
  <c r="BF29" i="8" s="1"/>
  <c r="AT30" i="8" a="1"/>
  <c r="AT30" i="8" s="1"/>
  <c r="BA30" i="8" a="1"/>
  <c r="BA30" i="8" s="1"/>
  <c r="BH30" i="8" a="1"/>
  <c r="BH30" i="8" s="1"/>
  <c r="AV31" i="8" a="1"/>
  <c r="AV31" i="8" s="1"/>
  <c r="BC31" i="8" a="1"/>
  <c r="BC31" i="8" s="1"/>
  <c r="BJ31" i="8" a="1"/>
  <c r="BJ31" i="8" s="1"/>
  <c r="AX32" i="8" a="1"/>
  <c r="AX32" i="8" s="1"/>
  <c r="BE32" i="8" a="1"/>
  <c r="BE32" i="8" s="1"/>
  <c r="AS33" i="8" a="1"/>
  <c r="AS33" i="8" s="1"/>
  <c r="AZ33" i="8" a="1"/>
  <c r="AZ33" i="8" s="1"/>
  <c r="BG33" i="8" a="1"/>
  <c r="BG33" i="8" s="1"/>
  <c r="AU34" i="8" a="1"/>
  <c r="AU34" i="8" s="1"/>
  <c r="BB34" i="8" a="1"/>
  <c r="BB34" i="8" s="1"/>
  <c r="BI34" i="8" a="1"/>
  <c r="BI34" i="8" s="1"/>
  <c r="AU16" i="8" a="1"/>
  <c r="AU16" i="8" s="1"/>
  <c r="BB16" i="8" a="1"/>
  <c r="BB16" i="8" s="1"/>
  <c r="BI16" i="8" a="1"/>
  <c r="BI16" i="8" s="1"/>
  <c r="AW17" i="8" a="1"/>
  <c r="AW17" i="8" s="1"/>
  <c r="BD17" i="8" a="1"/>
  <c r="BD17" i="8" s="1"/>
  <c r="AR18" i="8" a="1"/>
  <c r="AR18" i="8" s="1"/>
  <c r="AY18" i="8" a="1"/>
  <c r="AY18" i="8" s="1"/>
  <c r="BF18" i="8" a="1"/>
  <c r="BF18" i="8" s="1"/>
  <c r="AT19" i="8" a="1"/>
  <c r="AT19" i="8" s="1"/>
  <c r="BA19" i="8" a="1"/>
  <c r="BA19" i="8" s="1"/>
  <c r="BH19" i="8" a="1"/>
  <c r="BH19" i="8" s="1"/>
  <c r="AV20" i="8" a="1"/>
  <c r="AV20" i="8" s="1"/>
  <c r="BC20" i="8" a="1"/>
  <c r="BC20" i="8" s="1"/>
  <c r="BJ20" i="8" a="1"/>
  <c r="BJ20" i="8" s="1"/>
  <c r="AX21" i="8" a="1"/>
  <c r="AX21" i="8" s="1"/>
  <c r="BE21" i="8" a="1"/>
  <c r="BE21" i="8" s="1"/>
  <c r="AS22" i="8" a="1"/>
  <c r="AS22" i="8" s="1"/>
  <c r="AZ22" i="8" a="1"/>
  <c r="AZ22" i="8" s="1"/>
  <c r="BG22" i="8" a="1"/>
  <c r="BG22" i="8" s="1"/>
  <c r="AU23" i="8" a="1"/>
  <c r="AU23" i="8" s="1"/>
  <c r="BB23" i="8" a="1"/>
  <c r="BB23" i="8" s="1"/>
  <c r="BI23" i="8" a="1"/>
  <c r="BI23" i="8" s="1"/>
  <c r="AW24" i="8" a="1"/>
  <c r="AW24" i="8" s="1"/>
  <c r="BD24" i="8" a="1"/>
  <c r="BD24" i="8" s="1"/>
  <c r="AR25" i="8" a="1"/>
  <c r="AR25" i="8" s="1"/>
  <c r="AY25" i="8" a="1"/>
  <c r="AY25" i="8" s="1"/>
  <c r="BF25" i="8" a="1"/>
  <c r="BF25" i="8" s="1"/>
  <c r="AT26" i="8" a="1"/>
  <c r="AT26" i="8" s="1"/>
  <c r="BA26" i="8" a="1"/>
  <c r="BA26" i="8" s="1"/>
  <c r="BH26" i="8" a="1"/>
  <c r="BH26" i="8" s="1"/>
  <c r="AV27" i="8" a="1"/>
  <c r="AV27" i="8" s="1"/>
  <c r="BC27" i="8" a="1"/>
  <c r="BC27" i="8" s="1"/>
  <c r="BJ27" i="8" a="1"/>
  <c r="BJ27" i="8" s="1"/>
  <c r="AX28" i="8" a="1"/>
  <c r="AX28" i="8" s="1"/>
  <c r="BE28" i="8" a="1"/>
  <c r="BE28" i="8" s="1"/>
  <c r="AS29" i="8" a="1"/>
  <c r="AS29" i="8" s="1"/>
  <c r="AZ29" i="8" a="1"/>
  <c r="AZ29" i="8" s="1"/>
  <c r="BG29" i="8" a="1"/>
  <c r="BG29" i="8" s="1"/>
  <c r="AU30" i="8" a="1"/>
  <c r="AU30" i="8" s="1"/>
  <c r="BB30" i="8" a="1"/>
  <c r="BB30" i="8" s="1"/>
  <c r="BI30" i="8" a="1"/>
  <c r="BI30" i="8" s="1"/>
  <c r="AW31" i="8" a="1"/>
  <c r="AW31" i="8" s="1"/>
  <c r="BD31" i="8" a="1"/>
  <c r="BD31" i="8" s="1"/>
  <c r="AR32" i="8" a="1"/>
  <c r="AR32" i="8" s="1"/>
  <c r="AY32" i="8" a="1"/>
  <c r="AY32" i="8" s="1"/>
  <c r="BF32" i="8" a="1"/>
  <c r="BF32" i="8" s="1"/>
  <c r="AT33" i="8" a="1"/>
  <c r="AT33" i="8" s="1"/>
  <c r="BA33" i="8" a="1"/>
  <c r="BA33" i="8" s="1"/>
  <c r="BH33" i="8" a="1"/>
  <c r="BH33" i="8" s="1"/>
  <c r="AV34" i="8" a="1"/>
  <c r="AV34" i="8" s="1"/>
  <c r="BC34" i="8" a="1"/>
  <c r="BC34" i="8" s="1"/>
  <c r="BJ34" i="8" a="1"/>
  <c r="BJ34" i="8" s="1"/>
  <c r="AV16" i="8" a="1"/>
  <c r="AV16" i="8" s="1"/>
  <c r="BC16" i="8" a="1"/>
  <c r="BC16" i="8" s="1"/>
  <c r="BJ16" i="8" a="1"/>
  <c r="BJ16" i="8" s="1"/>
  <c r="AX17" i="8" a="1"/>
  <c r="AX17" i="8" s="1"/>
  <c r="BE17" i="8" a="1"/>
  <c r="BE17" i="8" s="1"/>
  <c r="AS18" i="8" a="1"/>
  <c r="AS18" i="8" s="1"/>
  <c r="AZ18" i="8" a="1"/>
  <c r="AZ18" i="8" s="1"/>
  <c r="BG18" i="8" a="1"/>
  <c r="BG18" i="8" s="1"/>
  <c r="AU19" i="8" a="1"/>
  <c r="AU19" i="8" s="1"/>
  <c r="BB19" i="8" a="1"/>
  <c r="BB19" i="8" s="1"/>
  <c r="BI19" i="8" a="1"/>
  <c r="BI19" i="8" s="1"/>
  <c r="AW20" i="8" a="1"/>
  <c r="AW20" i="8" s="1"/>
  <c r="BD20" i="8" a="1"/>
  <c r="BD20" i="8" s="1"/>
  <c r="AR21" i="8" a="1"/>
  <c r="AR21" i="8" s="1"/>
  <c r="AY21" i="8" a="1"/>
  <c r="AY21" i="8" s="1"/>
  <c r="BF21" i="8" a="1"/>
  <c r="BF21" i="8" s="1"/>
  <c r="AT22" i="8" a="1"/>
  <c r="AT22" i="8" s="1"/>
  <c r="BA22" i="8" a="1"/>
  <c r="BA22" i="8" s="1"/>
  <c r="BH22" i="8" a="1"/>
  <c r="BH22" i="8" s="1"/>
  <c r="AV23" i="8" a="1"/>
  <c r="AV23" i="8" s="1"/>
  <c r="BC23" i="8" a="1"/>
  <c r="BC23" i="8" s="1"/>
  <c r="BJ23" i="8" a="1"/>
  <c r="BJ23" i="8" s="1"/>
  <c r="AX24" i="8" a="1"/>
  <c r="AX24" i="8" s="1"/>
  <c r="BE24" i="8" a="1"/>
  <c r="BE24" i="8" s="1"/>
  <c r="AS25" i="8" a="1"/>
  <c r="AS25" i="8" s="1"/>
  <c r="AZ25" i="8" a="1"/>
  <c r="AZ25" i="8" s="1"/>
  <c r="BG25" i="8" a="1"/>
  <c r="BG25" i="8" s="1"/>
  <c r="AU26" i="8" a="1"/>
  <c r="AU26" i="8" s="1"/>
  <c r="BB26" i="8" a="1"/>
  <c r="BB26" i="8" s="1"/>
  <c r="BI26" i="8" a="1"/>
  <c r="BI26" i="8" s="1"/>
  <c r="AW27" i="8" a="1"/>
  <c r="AW27" i="8" s="1"/>
  <c r="BD27" i="8" a="1"/>
  <c r="BD27" i="8" s="1"/>
  <c r="AR28" i="8" a="1"/>
  <c r="AR28" i="8" s="1"/>
  <c r="AY28" i="8" a="1"/>
  <c r="AY28" i="8" s="1"/>
  <c r="BF28" i="8" a="1"/>
  <c r="BF28" i="8" s="1"/>
  <c r="AT29" i="8" a="1"/>
  <c r="AT29" i="8" s="1"/>
  <c r="BA29" i="8" a="1"/>
  <c r="BA29" i="8" s="1"/>
  <c r="BH29" i="8" a="1"/>
  <c r="BH29" i="8" s="1"/>
  <c r="AV30" i="8" a="1"/>
  <c r="AV30" i="8" s="1"/>
  <c r="BC30" i="8" a="1"/>
  <c r="BC30" i="8" s="1"/>
  <c r="BJ30" i="8" a="1"/>
  <c r="BJ30" i="8" s="1"/>
  <c r="AX31" i="8" a="1"/>
  <c r="AX31" i="8" s="1"/>
  <c r="BE31" i="8" a="1"/>
  <c r="BE31" i="8" s="1"/>
  <c r="AS32" i="8" a="1"/>
  <c r="AS32" i="8" s="1"/>
  <c r="AZ32" i="8" a="1"/>
  <c r="AZ32" i="8" s="1"/>
  <c r="BG32" i="8" a="1"/>
  <c r="BG32" i="8" s="1"/>
  <c r="AU33" i="8" a="1"/>
  <c r="AU33" i="8" s="1"/>
  <c r="BB33" i="8" a="1"/>
  <c r="BB33" i="8" s="1"/>
  <c r="BI33" i="8" a="1"/>
  <c r="BI33" i="8" s="1"/>
  <c r="AW34" i="8" a="1"/>
  <c r="AW34" i="8" s="1"/>
  <c r="BD34" i="8" a="1"/>
  <c r="BD34" i="8" s="1"/>
  <c r="AW16" i="8" a="1"/>
  <c r="AW16" i="8" s="1"/>
  <c r="BD16" i="8" a="1"/>
  <c r="BD16" i="8" s="1"/>
  <c r="AR17" i="8" a="1"/>
  <c r="AR17" i="8" s="1"/>
  <c r="AY17" i="8" a="1"/>
  <c r="AY17" i="8" s="1"/>
  <c r="BF17" i="8" a="1"/>
  <c r="BF17" i="8" s="1"/>
  <c r="AT18" i="8" a="1"/>
  <c r="AT18" i="8" s="1"/>
  <c r="BA18" i="8" a="1"/>
  <c r="BA18" i="8" s="1"/>
  <c r="BH18" i="8" a="1"/>
  <c r="BH18" i="8" s="1"/>
  <c r="AV19" i="8" a="1"/>
  <c r="AV19" i="8" s="1"/>
  <c r="BC19" i="8" a="1"/>
  <c r="BC19" i="8" s="1"/>
  <c r="BJ19" i="8" a="1"/>
  <c r="BJ19" i="8" s="1"/>
  <c r="AX20" i="8" a="1"/>
  <c r="AX20" i="8" s="1"/>
  <c r="BE20" i="8" a="1"/>
  <c r="BE20" i="8" s="1"/>
  <c r="AS21" i="8" a="1"/>
  <c r="AS21" i="8" s="1"/>
  <c r="AZ21" i="8" a="1"/>
  <c r="AZ21" i="8" s="1"/>
  <c r="BG21" i="8" a="1"/>
  <c r="BG21" i="8" s="1"/>
  <c r="AU22" i="8" a="1"/>
  <c r="AU22" i="8" s="1"/>
  <c r="BB22" i="8" a="1"/>
  <c r="BB22" i="8" s="1"/>
  <c r="BI22" i="8" a="1"/>
  <c r="BI22" i="8" s="1"/>
  <c r="AW23" i="8" a="1"/>
  <c r="AW23" i="8" s="1"/>
  <c r="BD23" i="8" a="1"/>
  <c r="BD23" i="8" s="1"/>
  <c r="AR24" i="8" a="1"/>
  <c r="AR24" i="8" s="1"/>
  <c r="AY24" i="8" a="1"/>
  <c r="AY24" i="8" s="1"/>
  <c r="BF24" i="8" a="1"/>
  <c r="BF24" i="8" s="1"/>
  <c r="AT25" i="8" a="1"/>
  <c r="AT25" i="8" s="1"/>
  <c r="BA25" i="8" a="1"/>
  <c r="BA25" i="8" s="1"/>
  <c r="BH25" i="8" a="1"/>
  <c r="BH25" i="8" s="1"/>
  <c r="AV26" i="8" a="1"/>
  <c r="AV26" i="8" s="1"/>
  <c r="BC26" i="8" a="1"/>
  <c r="BC26" i="8" s="1"/>
  <c r="BJ26" i="8" a="1"/>
  <c r="BJ26" i="8" s="1"/>
  <c r="AX27" i="8" a="1"/>
  <c r="AX27" i="8" s="1"/>
  <c r="BE27" i="8" a="1"/>
  <c r="BE27" i="8" s="1"/>
  <c r="AS28" i="8" a="1"/>
  <c r="AS28" i="8" s="1"/>
  <c r="AZ28" i="8" a="1"/>
  <c r="AZ28" i="8" s="1"/>
  <c r="BG28" i="8" a="1"/>
  <c r="BG28" i="8" s="1"/>
  <c r="AU29" i="8" a="1"/>
  <c r="AU29" i="8" s="1"/>
  <c r="BB29" i="8" a="1"/>
  <c r="BB29" i="8" s="1"/>
  <c r="BI29" i="8" a="1"/>
  <c r="BI29" i="8" s="1"/>
  <c r="AW30" i="8" a="1"/>
  <c r="AW30" i="8" s="1"/>
  <c r="BD30" i="8" a="1"/>
  <c r="BD30" i="8" s="1"/>
  <c r="AR31" i="8" a="1"/>
  <c r="AR31" i="8" s="1"/>
  <c r="AY31" i="8" a="1"/>
  <c r="AY31" i="8" s="1"/>
  <c r="BF31" i="8" a="1"/>
  <c r="BF31" i="8" s="1"/>
  <c r="AT32" i="8" a="1"/>
  <c r="AT32" i="8" s="1"/>
  <c r="BA32" i="8" a="1"/>
  <c r="BA32" i="8" s="1"/>
  <c r="BH32" i="8" a="1"/>
  <c r="BH32" i="8" s="1"/>
  <c r="AV33" i="8" a="1"/>
  <c r="AV33" i="8" s="1"/>
  <c r="BC33" i="8" a="1"/>
  <c r="BC33" i="8" s="1"/>
  <c r="BJ33" i="8" a="1"/>
  <c r="BJ33" i="8" s="1"/>
  <c r="AX34" i="8" a="1"/>
  <c r="AX34" i="8" s="1"/>
  <c r="BE34" i="8" a="1"/>
  <c r="BE34" i="8" s="1"/>
  <c r="AX16" i="8" a="1"/>
  <c r="AX16" i="8" s="1"/>
  <c r="BE16" i="8" a="1"/>
  <c r="BE16" i="8" s="1"/>
  <c r="AS17" i="8" a="1"/>
  <c r="AS17" i="8" s="1"/>
  <c r="AZ17" i="8" a="1"/>
  <c r="AZ17" i="8" s="1"/>
  <c r="BG17" i="8" a="1"/>
  <c r="BG17" i="8" s="1"/>
  <c r="AU18" i="8" a="1"/>
  <c r="AU18" i="8" s="1"/>
  <c r="BB18" i="8" a="1"/>
  <c r="BB18" i="8" s="1"/>
  <c r="BI18" i="8" a="1"/>
  <c r="BI18" i="8" s="1"/>
  <c r="AW19" i="8" a="1"/>
  <c r="AW19" i="8" s="1"/>
  <c r="BD19" i="8" a="1"/>
  <c r="BD19" i="8" s="1"/>
  <c r="AR20" i="8" a="1"/>
  <c r="AR20" i="8" s="1"/>
  <c r="AY20" i="8" a="1"/>
  <c r="AY20" i="8" s="1"/>
  <c r="BF20" i="8" a="1"/>
  <c r="BF20" i="8" s="1"/>
  <c r="AT21" i="8" a="1"/>
  <c r="AT21" i="8" s="1"/>
  <c r="BA21" i="8" a="1"/>
  <c r="BA21" i="8" s="1"/>
  <c r="BH21" i="8" a="1"/>
  <c r="BH21" i="8" s="1"/>
  <c r="AV22" i="8" a="1"/>
  <c r="AV22" i="8" s="1"/>
  <c r="BC22" i="8" a="1"/>
  <c r="BC22" i="8" s="1"/>
  <c r="BJ22" i="8" a="1"/>
  <c r="BJ22" i="8" s="1"/>
  <c r="AX23" i="8" a="1"/>
  <c r="AX23" i="8" s="1"/>
  <c r="BE23" i="8" a="1"/>
  <c r="BE23" i="8" s="1"/>
  <c r="AS24" i="8" a="1"/>
  <c r="AS24" i="8" s="1"/>
  <c r="AZ24" i="8" a="1"/>
  <c r="AZ24" i="8" s="1"/>
  <c r="BG24" i="8" a="1"/>
  <c r="BG24" i="8" s="1"/>
  <c r="AU25" i="8" a="1"/>
  <c r="AU25" i="8" s="1"/>
  <c r="BB25" i="8" a="1"/>
  <c r="BB25" i="8" s="1"/>
  <c r="BI25" i="8" a="1"/>
  <c r="BI25" i="8" s="1"/>
  <c r="AW26" i="8" a="1"/>
  <c r="AW26" i="8" s="1"/>
  <c r="BD26" i="8" a="1"/>
  <c r="BD26" i="8" s="1"/>
  <c r="AR16" i="8" a="1"/>
  <c r="AR16" i="8" s="1"/>
  <c r="AY16" i="8" a="1"/>
  <c r="AY16" i="8" s="1"/>
  <c r="BF16" i="8" a="1"/>
  <c r="BF16" i="8" s="1"/>
  <c r="AT17" i="8" a="1"/>
  <c r="AT17" i="8" s="1"/>
  <c r="BA17" i="8" a="1"/>
  <c r="BA17" i="8" s="1"/>
  <c r="BH17" i="8" a="1"/>
  <c r="BH17" i="8" s="1"/>
  <c r="AV18" i="8" a="1"/>
  <c r="AV18" i="8" s="1"/>
  <c r="BC18" i="8" a="1"/>
  <c r="BC18" i="8" s="1"/>
  <c r="BJ18" i="8" a="1"/>
  <c r="BJ18" i="8" s="1"/>
  <c r="AX19" i="8" a="1"/>
  <c r="AX19" i="8" s="1"/>
  <c r="BE19" i="8" a="1"/>
  <c r="BE19" i="8" s="1"/>
  <c r="AS20" i="8" a="1"/>
  <c r="AS20" i="8" s="1"/>
  <c r="AZ20" i="8" a="1"/>
  <c r="AZ20" i="8" s="1"/>
  <c r="BG20" i="8" a="1"/>
  <c r="BG20" i="8" s="1"/>
  <c r="AU21" i="8" a="1"/>
  <c r="AU21" i="8" s="1"/>
  <c r="BB21" i="8" a="1"/>
  <c r="BB21" i="8" s="1"/>
  <c r="BI21" i="8" a="1"/>
  <c r="BI21" i="8" s="1"/>
  <c r="AW22" i="8" a="1"/>
  <c r="AW22" i="8" s="1"/>
  <c r="BD22" i="8" a="1"/>
  <c r="BD22" i="8" s="1"/>
  <c r="AR23" i="8" a="1"/>
  <c r="AR23" i="8" s="1"/>
  <c r="AY23" i="8" a="1"/>
  <c r="AY23" i="8" s="1"/>
  <c r="BF23" i="8" a="1"/>
  <c r="BF23" i="8" s="1"/>
  <c r="AT24" i="8" a="1"/>
  <c r="AT24" i="8" s="1"/>
  <c r="BA24" i="8" a="1"/>
  <c r="BA24" i="8" s="1"/>
  <c r="BH24" i="8" a="1"/>
  <c r="BH24" i="8" s="1"/>
  <c r="AV25" i="8" a="1"/>
  <c r="AV25" i="8" s="1"/>
  <c r="BC25" i="8" a="1"/>
  <c r="BC25" i="8" s="1"/>
  <c r="BJ25" i="8" a="1"/>
  <c r="BJ25" i="8" s="1"/>
  <c r="AX26" i="8" a="1"/>
  <c r="AX26" i="8" s="1"/>
  <c r="BE26" i="8" a="1"/>
  <c r="BE26" i="8" s="1"/>
  <c r="AS27" i="8" a="1"/>
  <c r="AS27" i="8" s="1"/>
  <c r="AZ27" i="8" a="1"/>
  <c r="AZ27" i="8" s="1"/>
  <c r="BG27" i="8" a="1"/>
  <c r="BG27" i="8" s="1"/>
  <c r="AU28" i="8" a="1"/>
  <c r="AU28" i="8" s="1"/>
  <c r="BB28" i="8" a="1"/>
  <c r="BB28" i="8" s="1"/>
  <c r="BI28" i="8" a="1"/>
  <c r="BI28" i="8" s="1"/>
  <c r="AW29" i="8" a="1"/>
  <c r="AW29" i="8" s="1"/>
  <c r="BD29" i="8" a="1"/>
  <c r="BD29" i="8" s="1"/>
  <c r="AR30" i="8" a="1"/>
  <c r="AR30" i="8" s="1"/>
  <c r="AY30" i="8" a="1"/>
  <c r="AY30" i="8" s="1"/>
  <c r="AU17" i="8" a="1"/>
  <c r="AU17" i="8" s="1"/>
  <c r="AX22" i="8" a="1"/>
  <c r="AX22" i="8" s="1"/>
  <c r="AY27" i="8" a="1"/>
  <c r="AY27" i="8" s="1"/>
  <c r="BC28" i="8" a="1"/>
  <c r="BC28" i="8" s="1"/>
  <c r="BJ29" i="8" a="1"/>
  <c r="BJ29" i="8" s="1"/>
  <c r="AT31" i="8" a="1"/>
  <c r="AT31" i="8" s="1"/>
  <c r="AU32" i="8" a="1"/>
  <c r="AU32" i="8" s="1"/>
  <c r="AT34" i="8" a="1"/>
  <c r="AT34" i="8" s="1"/>
  <c r="AZ31" i="8" a="1"/>
  <c r="AZ31" i="8" s="1"/>
  <c r="BC32" i="8" a="1"/>
  <c r="BC32" i="8" s="1"/>
  <c r="AR19" i="8" a="1"/>
  <c r="AR19" i="8" s="1"/>
  <c r="AU24" i="8" a="1"/>
  <c r="AU24" i="8" s="1"/>
  <c r="AV32" i="8" a="1"/>
  <c r="AV32" i="8" s="1"/>
  <c r="AW33" i="8" a="1"/>
  <c r="AW33" i="8" s="1"/>
  <c r="BH20" i="8" a="1"/>
  <c r="BH20" i="8" s="1"/>
  <c r="AR26" i="8" a="1"/>
  <c r="AR26" i="8" s="1"/>
  <c r="BA27" i="8" a="1"/>
  <c r="BA27" i="8" s="1"/>
  <c r="BH28" i="8" a="1"/>
  <c r="BH28" i="8" s="1"/>
  <c r="AS30" i="8" a="1"/>
  <c r="AS30" i="8" s="1"/>
  <c r="AU31" i="8" a="1"/>
  <c r="AU31" i="8" s="1"/>
  <c r="AX33" i="8" a="1"/>
  <c r="AX33" i="8" s="1"/>
  <c r="AY34" i="8" a="1"/>
  <c r="AY34" i="8" s="1"/>
  <c r="BB17" i="8" a="1"/>
  <c r="BB17" i="8" s="1"/>
  <c r="BE22" i="8" a="1"/>
  <c r="BE22" i="8" s="1"/>
  <c r="AW32" i="8" a="1"/>
  <c r="AW32" i="8" s="1"/>
  <c r="AZ34" i="8" a="1"/>
  <c r="AZ34" i="8" s="1"/>
  <c r="AY33" i="8" a="1"/>
  <c r="AY33" i="8" s="1"/>
  <c r="AY19" i="8" a="1"/>
  <c r="AY19" i="8" s="1"/>
  <c r="BB24" i="8" a="1"/>
  <c r="BB24" i="8" s="1"/>
  <c r="BF27" i="8" a="1"/>
  <c r="BF27" i="8" s="1"/>
  <c r="BJ28" i="8" a="1"/>
  <c r="BJ28" i="8" s="1"/>
  <c r="AX30" i="8" a="1"/>
  <c r="AX30" i="8" s="1"/>
  <c r="AS16" i="8" a="1"/>
  <c r="AS16" i="8" s="1"/>
  <c r="AV21" i="8" a="1"/>
  <c r="AV21" i="8" s="1"/>
  <c r="AY26" i="8" a="1"/>
  <c r="AY26" i="8" s="1"/>
  <c r="BA31" i="8" a="1"/>
  <c r="BA31" i="8" s="1"/>
  <c r="BB32" i="8" a="1"/>
  <c r="BB32" i="8" s="1"/>
  <c r="BA34" i="8" a="1"/>
  <c r="BA34" i="8" s="1"/>
  <c r="BF19" i="8" a="1"/>
  <c r="BF19" i="8" s="1"/>
  <c r="BI24" i="8" a="1"/>
  <c r="BI24" i="8" s="1"/>
  <c r="BB31" i="8" a="1"/>
  <c r="BB31" i="8" s="1"/>
  <c r="BE33" i="8" a="1"/>
  <c r="BE33" i="8" s="1"/>
  <c r="BF34" i="8" a="1"/>
  <c r="BF34" i="8" s="1"/>
  <c r="AZ16" i="8" a="1"/>
  <c r="AZ16" i="8" s="1"/>
  <c r="BC21" i="8" a="1"/>
  <c r="BC21" i="8" s="1"/>
  <c r="BF26" i="8" a="1"/>
  <c r="BF26" i="8" s="1"/>
  <c r="AT28" i="8" a="1"/>
  <c r="AT28" i="8" s="1"/>
  <c r="AX29" i="8" a="1"/>
  <c r="AX29" i="8" s="1"/>
  <c r="BE30" i="8" a="1"/>
  <c r="BE30" i="8" s="1"/>
  <c r="BD32" i="8" a="1"/>
  <c r="BD32" i="8" s="1"/>
  <c r="BG34" i="8" a="1"/>
  <c r="BG34" i="8" s="1"/>
  <c r="AW18" i="8" a="1"/>
  <c r="AW18" i="8" s="1"/>
  <c r="AZ23" i="8" a="1"/>
  <c r="AZ23" i="8" s="1"/>
  <c r="BF30" i="8" a="1"/>
  <c r="BF30" i="8" s="1"/>
  <c r="BG31" i="8" a="1"/>
  <c r="BG31" i="8" s="1"/>
  <c r="BF33" i="8" a="1"/>
  <c r="BF33" i="8" s="1"/>
  <c r="AT20" i="8" a="1"/>
  <c r="AT20" i="8" s="1"/>
  <c r="AW25" i="8" a="1"/>
  <c r="AW25" i="8" s="1"/>
  <c r="AR27" i="8" a="1"/>
  <c r="AR27" i="8" s="1"/>
  <c r="BC29" i="8" a="1"/>
  <c r="BC29" i="8" s="1"/>
  <c r="BH31" i="8" a="1"/>
  <c r="BH31" i="8" s="1"/>
  <c r="BH34" i="8" a="1"/>
  <c r="BH34" i="8" s="1"/>
  <c r="BJ21" i="8" a="1"/>
  <c r="BJ21" i="8" s="1"/>
  <c r="BG30" i="8" a="1"/>
  <c r="BG30" i="8" s="1"/>
  <c r="BJ32" i="8" a="1"/>
  <c r="BJ32" i="8" s="1"/>
  <c r="BD18" i="8" a="1"/>
  <c r="BD18" i="8" s="1"/>
  <c r="BG23" i="8" a="1"/>
  <c r="BG23" i="8" s="1"/>
  <c r="BA28" i="8" a="1"/>
  <c r="BA28" i="8" s="1"/>
  <c r="BI31" i="8" a="1"/>
  <c r="BI31" i="8" s="1"/>
  <c r="AS31" i="8" a="1"/>
  <c r="AS31" i="8" s="1"/>
  <c r="AV28" i="8" a="1"/>
  <c r="AV28" i="8" s="1"/>
  <c r="BI32" i="8" a="1"/>
  <c r="BI32" i="8" s="1"/>
  <c r="BG16" i="8" a="1"/>
  <c r="BG16" i="8" s="1"/>
  <c r="AR34" i="8" a="1"/>
  <c r="AR34" i="8" s="1"/>
  <c r="AT27" i="8" a="1"/>
  <c r="AT27" i="8" s="1"/>
  <c r="BE29" i="8" a="1"/>
  <c r="BE29" i="8" s="1"/>
  <c r="AS34" i="8" a="1"/>
  <c r="AS34" i="8" s="1"/>
  <c r="BA20" i="8" a="1"/>
  <c r="BA20" i="8" s="1"/>
  <c r="BD25" i="8" a="1"/>
  <c r="BD25" i="8" s="1"/>
  <c r="AR33" i="8" a="1"/>
  <c r="AR33" i="8" s="1"/>
  <c r="BI17" i="8" a="1"/>
  <c r="BI17" i="8" s="1"/>
  <c r="AS23" i="8" a="1"/>
  <c r="AS23" i="8" s="1"/>
  <c r="BH27" i="8" a="1"/>
  <c r="BH27" i="8" s="1"/>
  <c r="AV29" i="8" a="1"/>
  <c r="AV29" i="8" s="1"/>
  <c r="AZ30" i="8" a="1"/>
  <c r="AZ30" i="8" s="1"/>
  <c r="BD33" i="8" a="1"/>
  <c r="BD33" i="8" s="1"/>
  <c r="AQ16" i="8" a="1"/>
  <c r="AQ16" i="8" s="1"/>
  <c r="AQ17" i="8" a="1"/>
  <c r="AQ17" i="8" s="1"/>
  <c r="AQ24" i="8" a="1"/>
  <c r="AQ24" i="8" s="1"/>
  <c r="AQ31" i="8" a="1"/>
  <c r="AQ31" i="8" s="1"/>
  <c r="AQ18" i="8" a="1"/>
  <c r="AQ18" i="8" s="1"/>
  <c r="AQ25" i="8" a="1"/>
  <c r="AQ25" i="8" s="1"/>
  <c r="AQ32" i="8" a="1"/>
  <c r="AQ32" i="8" s="1"/>
  <c r="AQ19" i="8" a="1"/>
  <c r="AQ19" i="8" s="1"/>
  <c r="AQ26" i="8" a="1"/>
  <c r="AQ26" i="8" s="1"/>
  <c r="AQ33" i="8" a="1"/>
  <c r="AQ33" i="8" s="1"/>
  <c r="AQ20" i="8" a="1"/>
  <c r="AQ20" i="8" s="1"/>
  <c r="AQ27" i="8" a="1"/>
  <c r="AQ27" i="8" s="1"/>
  <c r="AQ34" i="8" a="1"/>
  <c r="AQ34" i="8" s="1"/>
  <c r="AQ21" i="8" a="1"/>
  <c r="AQ21" i="8" s="1"/>
  <c r="AQ28" i="8" a="1"/>
  <c r="AQ28" i="8" s="1"/>
  <c r="AQ22" i="8" a="1"/>
  <c r="AQ22" i="8" s="1"/>
  <c r="AQ29" i="8" a="1"/>
  <c r="AQ29" i="8" s="1"/>
  <c r="AQ23" i="8" a="1"/>
  <c r="AQ23" i="8" s="1"/>
  <c r="AQ30" i="8" a="1"/>
  <c r="AQ30" i="8" s="1"/>
  <c r="BP15" i="7"/>
  <c r="AP15" i="11"/>
  <c r="AP15" i="10"/>
  <c r="AQ15" i="10" s="1" a="1"/>
  <c r="AQ15" i="10" s="1"/>
  <c r="AP15" i="8"/>
  <c r="AP15" i="7"/>
  <c r="AQ15" i="7" s="1" a="1"/>
  <c r="AQ15" i="7" s="1"/>
  <c r="BQ15" i="7" l="1" a="1"/>
  <c r="BQ15" i="7" s="1"/>
  <c r="AR15" i="7" a="1"/>
  <c r="AR15" i="7" s="1"/>
  <c r="AY15" i="7" a="1"/>
  <c r="AY15" i="7" s="1"/>
  <c r="BF15" i="7" a="1"/>
  <c r="BF15" i="7" s="1"/>
  <c r="AS15" i="7" a="1"/>
  <c r="AS15" i="7" s="1"/>
  <c r="AZ15" i="7" a="1"/>
  <c r="AZ15" i="7" s="1"/>
  <c r="BG15" i="7" a="1"/>
  <c r="BG15" i="7" s="1"/>
  <c r="AT15" i="7" a="1"/>
  <c r="AT15" i="7" s="1"/>
  <c r="BA15" i="7" a="1"/>
  <c r="BA15" i="7" s="1"/>
  <c r="BH15" i="7" a="1"/>
  <c r="BH15" i="7" s="1"/>
  <c r="AU15" i="7" a="1"/>
  <c r="AU15" i="7" s="1"/>
  <c r="BB15" i="7" a="1"/>
  <c r="BB15" i="7" s="1"/>
  <c r="BI15" i="7" a="1"/>
  <c r="BI15" i="7" s="1"/>
  <c r="AV15" i="7" a="1"/>
  <c r="AV15" i="7" s="1"/>
  <c r="BC15" i="7" a="1"/>
  <c r="BC15" i="7" s="1"/>
  <c r="BJ15" i="7" a="1"/>
  <c r="BJ15" i="7" s="1"/>
  <c r="AW15" i="7" a="1"/>
  <c r="AW15" i="7" s="1"/>
  <c r="BD15" i="7" a="1"/>
  <c r="BD15" i="7" s="1"/>
  <c r="AX15" i="7" a="1"/>
  <c r="AX15" i="7" s="1"/>
  <c r="BE15" i="7" a="1"/>
  <c r="BE15" i="7" s="1"/>
  <c r="AQ15" i="12" a="1"/>
  <c r="AQ15" i="12" s="1"/>
  <c r="AR15" i="12" a="1"/>
  <c r="AR15" i="12" s="1"/>
  <c r="AY15" i="12" a="1"/>
  <c r="AY15" i="12" s="1"/>
  <c r="BF15" i="12" a="1"/>
  <c r="BF15" i="12" s="1"/>
  <c r="AS15" i="12" a="1"/>
  <c r="AS15" i="12" s="1"/>
  <c r="AZ15" i="12" a="1"/>
  <c r="AZ15" i="12" s="1"/>
  <c r="BG15" i="12" a="1"/>
  <c r="BG15" i="12" s="1"/>
  <c r="AT15" i="12" a="1"/>
  <c r="AT15" i="12" s="1"/>
  <c r="BA15" i="12" a="1"/>
  <c r="BA15" i="12" s="1"/>
  <c r="BH15" i="12" a="1"/>
  <c r="BH15" i="12" s="1"/>
  <c r="BD15" i="12" a="1"/>
  <c r="BD15" i="12" s="1"/>
  <c r="AU15" i="12" a="1"/>
  <c r="AU15" i="12" s="1"/>
  <c r="BI15" i="12" a="1"/>
  <c r="BI15" i="12" s="1"/>
  <c r="BE15" i="12" a="1"/>
  <c r="BE15" i="12" s="1"/>
  <c r="AW15" i="12" a="1"/>
  <c r="AW15" i="12" s="1"/>
  <c r="AV15" i="12" a="1"/>
  <c r="AV15" i="12" s="1"/>
  <c r="BJ15" i="12" a="1"/>
  <c r="BJ15" i="12" s="1"/>
  <c r="AX15" i="12" a="1"/>
  <c r="AX15" i="12" s="1"/>
  <c r="BB15" i="12" a="1"/>
  <c r="BB15" i="12" s="1"/>
  <c r="BC15" i="12" a="1"/>
  <c r="BC15" i="12" s="1"/>
  <c r="BQ15" i="10" a="1"/>
  <c r="BQ15" i="10" s="1"/>
  <c r="AR15" i="10" a="1"/>
  <c r="AR15" i="10" s="1"/>
  <c r="AY15" i="10" a="1"/>
  <c r="AY15" i="10" s="1"/>
  <c r="BF15" i="10" a="1"/>
  <c r="BF15" i="10" s="1"/>
  <c r="AS15" i="10" a="1"/>
  <c r="AS15" i="10" s="1"/>
  <c r="AZ15" i="10" a="1"/>
  <c r="AZ15" i="10" s="1"/>
  <c r="BG15" i="10" a="1"/>
  <c r="BG15" i="10" s="1"/>
  <c r="BA15" i="10" a="1"/>
  <c r="BA15" i="10" s="1"/>
  <c r="BH15" i="10" a="1"/>
  <c r="BH15" i="10" s="1"/>
  <c r="AT15" i="10" a="1"/>
  <c r="AT15" i="10" s="1"/>
  <c r="AW15" i="10" a="1"/>
  <c r="AW15" i="10" s="1"/>
  <c r="BD15" i="10" a="1"/>
  <c r="BD15" i="10" s="1"/>
  <c r="AU15" i="10" a="1"/>
  <c r="AU15" i="10" s="1"/>
  <c r="AX15" i="10" a="1"/>
  <c r="AX15" i="10" s="1"/>
  <c r="BE15" i="10" a="1"/>
  <c r="BE15" i="10" s="1"/>
  <c r="AV15" i="10" a="1"/>
  <c r="AV15" i="10" s="1"/>
  <c r="BI15" i="10" a="1"/>
  <c r="BI15" i="10" s="1"/>
  <c r="BJ15" i="10" a="1"/>
  <c r="BJ15" i="10" s="1"/>
  <c r="BB15" i="10" a="1"/>
  <c r="BB15" i="10" s="1"/>
  <c r="BC15" i="10" a="1"/>
  <c r="BC15" i="10" s="1"/>
  <c r="BQ15" i="11" a="1"/>
  <c r="BQ15" i="11" s="1"/>
  <c r="AQ15" i="11" a="1"/>
  <c r="AQ15" i="11" s="1"/>
  <c r="AR15" i="11" a="1"/>
  <c r="AR15" i="11" s="1"/>
  <c r="AY15" i="11" a="1"/>
  <c r="AY15" i="11" s="1"/>
  <c r="BF15" i="11" a="1"/>
  <c r="BF15" i="11" s="1"/>
  <c r="AS15" i="11" a="1"/>
  <c r="AS15" i="11" s="1"/>
  <c r="AZ15" i="11" a="1"/>
  <c r="AZ15" i="11" s="1"/>
  <c r="BG15" i="11" a="1"/>
  <c r="BG15" i="11" s="1"/>
  <c r="AT15" i="11" a="1"/>
  <c r="AT15" i="11" s="1"/>
  <c r="AU15" i="11" a="1"/>
  <c r="AU15" i="11" s="1"/>
  <c r="AV15" i="11" a="1"/>
  <c r="AV15" i="11" s="1"/>
  <c r="BE15" i="11" a="1"/>
  <c r="BE15" i="11" s="1"/>
  <c r="AW15" i="11" a="1"/>
  <c r="AW15" i="11" s="1"/>
  <c r="BH15" i="11" a="1"/>
  <c r="BH15" i="11" s="1"/>
  <c r="AX15" i="11" a="1"/>
  <c r="AX15" i="11" s="1"/>
  <c r="BI15" i="11" a="1"/>
  <c r="BI15" i="11" s="1"/>
  <c r="BA15" i="11" a="1"/>
  <c r="BA15" i="11" s="1"/>
  <c r="BJ15" i="11" a="1"/>
  <c r="BJ15" i="11" s="1"/>
  <c r="BB15" i="11" a="1"/>
  <c r="BB15" i="11" s="1"/>
  <c r="BC15" i="11" a="1"/>
  <c r="BC15" i="11" s="1"/>
  <c r="BD15" i="11" a="1"/>
  <c r="BD15" i="11" s="1"/>
  <c r="AN23" i="12"/>
  <c r="AO23" i="12" s="1"/>
  <c r="AN21" i="12"/>
  <c r="AO21" i="12" s="1"/>
  <c r="AN19" i="12"/>
  <c r="AO19" i="12" s="1"/>
  <c r="AN17" i="12"/>
  <c r="AO17" i="12" s="1"/>
  <c r="AN34" i="12"/>
  <c r="AO34" i="12" s="1"/>
  <c r="AN27" i="12"/>
  <c r="AO27" i="12" s="1"/>
  <c r="AN29" i="12"/>
  <c r="AO29" i="12" s="1"/>
  <c r="AN22" i="12"/>
  <c r="AO22" i="12" s="1"/>
  <c r="AN25" i="12"/>
  <c r="AO25" i="12" s="1"/>
  <c r="AN32" i="12"/>
  <c r="AO32" i="12" s="1"/>
  <c r="AN20" i="12"/>
  <c r="AO20" i="12" s="1"/>
  <c r="AN31" i="12"/>
  <c r="AO31" i="12" s="1"/>
  <c r="AN28" i="12"/>
  <c r="AO28" i="12" s="1"/>
  <c r="AN33" i="12"/>
  <c r="AO33" i="12" s="1"/>
  <c r="AN26" i="12"/>
  <c r="AO26" i="12" s="1"/>
  <c r="AN18" i="12"/>
  <c r="AO18" i="12" s="1"/>
  <c r="AN30" i="12"/>
  <c r="AO30" i="12" s="1"/>
  <c r="AN16" i="12"/>
  <c r="AO16" i="12" s="1"/>
  <c r="AN24" i="12"/>
  <c r="AO24" i="12" s="1"/>
  <c r="BQ15" i="8" a="1"/>
  <c r="BQ15" i="8" s="1"/>
  <c r="AQ15" i="8" a="1"/>
  <c r="AQ15" i="8" s="1"/>
  <c r="AR15" i="8" a="1"/>
  <c r="AR15" i="8" s="1"/>
  <c r="AY15" i="8" a="1"/>
  <c r="AY15" i="8" s="1"/>
  <c r="BF15" i="8" a="1"/>
  <c r="BF15" i="8" s="1"/>
  <c r="AS15" i="8" a="1"/>
  <c r="AS15" i="8" s="1"/>
  <c r="AZ15" i="8" a="1"/>
  <c r="AZ15" i="8" s="1"/>
  <c r="BG15" i="8" a="1"/>
  <c r="BG15" i="8" s="1"/>
  <c r="AT15" i="8" a="1"/>
  <c r="AT15" i="8" s="1"/>
  <c r="BA15" i="8" a="1"/>
  <c r="BA15" i="8" s="1"/>
  <c r="BH15" i="8" a="1"/>
  <c r="BH15" i="8" s="1"/>
  <c r="AU15" i="8" a="1"/>
  <c r="AU15" i="8" s="1"/>
  <c r="BB15" i="8" a="1"/>
  <c r="BB15" i="8" s="1"/>
  <c r="BI15" i="8" a="1"/>
  <c r="BI15" i="8" s="1"/>
  <c r="BC15" i="8" a="1"/>
  <c r="BC15" i="8" s="1"/>
  <c r="BJ15" i="8" a="1"/>
  <c r="BJ15" i="8" s="1"/>
  <c r="AV15" i="8" a="1"/>
  <c r="AV15" i="8" s="1"/>
  <c r="AW15" i="8" a="1"/>
  <c r="AW15" i="8" s="1"/>
  <c r="BD15" i="8" a="1"/>
  <c r="BD15" i="8" s="1"/>
  <c r="AX15" i="8" a="1"/>
  <c r="AX15" i="8" s="1"/>
  <c r="BE15" i="8" a="1"/>
  <c r="BE15" i="8" s="1"/>
  <c r="AN21" i="11"/>
  <c r="AO21" i="11" s="1"/>
  <c r="AN31" i="11"/>
  <c r="AO31" i="11" s="1"/>
  <c r="AN29" i="11"/>
  <c r="AO29" i="11" s="1"/>
  <c r="AN25" i="11"/>
  <c r="AO25" i="11" s="1"/>
  <c r="AN26" i="11"/>
  <c r="AO26" i="11" s="1"/>
  <c r="AN22" i="11"/>
  <c r="AO22" i="11" s="1"/>
  <c r="AN17" i="11"/>
  <c r="AO17" i="11" s="1"/>
  <c r="AN19" i="11"/>
  <c r="AO19" i="11" s="1"/>
  <c r="AN23" i="11"/>
  <c r="AO23" i="11" s="1"/>
  <c r="AN33" i="11"/>
  <c r="AO33" i="11" s="1"/>
  <c r="AN28" i="11"/>
  <c r="AO28" i="11" s="1"/>
  <c r="AN16" i="11"/>
  <c r="AO16" i="11" s="1"/>
  <c r="AN20" i="11"/>
  <c r="AO20" i="11" s="1"/>
  <c r="AN32" i="11"/>
  <c r="AO32" i="11" s="1"/>
  <c r="AN24" i="11"/>
  <c r="AO24" i="11" s="1"/>
  <c r="AN18" i="11"/>
  <c r="AO18" i="11" s="1"/>
  <c r="AN27" i="11"/>
  <c r="AO27" i="11" s="1"/>
  <c r="AN34" i="11"/>
  <c r="AO34" i="11" s="1"/>
  <c r="AN30" i="11"/>
  <c r="AO30" i="11" s="1"/>
  <c r="AN31" i="10"/>
  <c r="AO31" i="10" s="1"/>
  <c r="AN22" i="10"/>
  <c r="AO22" i="10" s="1"/>
  <c r="AN16" i="10"/>
  <c r="AO16" i="10" s="1"/>
  <c r="AN21" i="10"/>
  <c r="AO21" i="10" s="1"/>
  <c r="AN19" i="10"/>
  <c r="AO19" i="10" s="1"/>
  <c r="AN23" i="10"/>
  <c r="AO23" i="10" s="1"/>
  <c r="AN25" i="10"/>
  <c r="AO25" i="10" s="1"/>
  <c r="AN18" i="10"/>
  <c r="AO18" i="10" s="1"/>
  <c r="AN32" i="10"/>
  <c r="AO32" i="10" s="1"/>
  <c r="AN28" i="10"/>
  <c r="AO28" i="10" s="1"/>
  <c r="AN34" i="10"/>
  <c r="AO34" i="10" s="1"/>
  <c r="AN20" i="10"/>
  <c r="AO20" i="10" s="1"/>
  <c r="AN29" i="10"/>
  <c r="AO29" i="10" s="1"/>
  <c r="AN33" i="10"/>
  <c r="AO33" i="10" s="1"/>
  <c r="AN27" i="10"/>
  <c r="AO27" i="10" s="1"/>
  <c r="AN26" i="10"/>
  <c r="AO26" i="10" s="1"/>
  <c r="AN30" i="10"/>
  <c r="AO30" i="10" s="1"/>
  <c r="AN24" i="10"/>
  <c r="AO24" i="10" s="1"/>
  <c r="AN17" i="10"/>
  <c r="AO17" i="10" s="1"/>
  <c r="AN33" i="8"/>
  <c r="AO33" i="8" s="1"/>
  <c r="AN34" i="8"/>
  <c r="AO34" i="8" s="1"/>
  <c r="AN29" i="8"/>
  <c r="AO29" i="8" s="1"/>
  <c r="AN24" i="8"/>
  <c r="AO24" i="8" s="1"/>
  <c r="AN28" i="8"/>
  <c r="AO28" i="8" s="1"/>
  <c r="AN20" i="8"/>
  <c r="AO20" i="8" s="1"/>
  <c r="AN25" i="8"/>
  <c r="AO25" i="8" s="1"/>
  <c r="AN22" i="8"/>
  <c r="AO22" i="8" s="1"/>
  <c r="AN31" i="8"/>
  <c r="AO31" i="8" s="1"/>
  <c r="AN26" i="8"/>
  <c r="AO26" i="8" s="1"/>
  <c r="AN30" i="8"/>
  <c r="AO30" i="8" s="1"/>
  <c r="AN21" i="8"/>
  <c r="AO21" i="8" s="1"/>
  <c r="AN23" i="8"/>
  <c r="AO23" i="8" s="1"/>
  <c r="AN16" i="8"/>
  <c r="AO16" i="8" s="1"/>
  <c r="AN27" i="8"/>
  <c r="AO27" i="8" s="1"/>
  <c r="AN18" i="8"/>
  <c r="AO18" i="8" s="1"/>
  <c r="AN17" i="8"/>
  <c r="AO17" i="8" s="1"/>
  <c r="AN19" i="8"/>
  <c r="AO19" i="8" s="1"/>
  <c r="AN32" i="8"/>
  <c r="AO32" i="8" s="1"/>
  <c r="AN24" i="7"/>
  <c r="AO24" i="7" s="1"/>
  <c r="AN22" i="7"/>
  <c r="AO22" i="7" s="1"/>
  <c r="AN18" i="7"/>
  <c r="AO18" i="7" s="1"/>
  <c r="AN16" i="7"/>
  <c r="AO16" i="7" s="1"/>
  <c r="AN25" i="7"/>
  <c r="AO25" i="7" s="1"/>
  <c r="AN30" i="7"/>
  <c r="AO30" i="7" s="1"/>
  <c r="AN32" i="7"/>
  <c r="AO32" i="7" s="1"/>
  <c r="AN29" i="7"/>
  <c r="AO29" i="7" s="1"/>
  <c r="AN19" i="7"/>
  <c r="AO19" i="7" s="1"/>
  <c r="AN20" i="7"/>
  <c r="AO20" i="7" s="1"/>
  <c r="AN33" i="7"/>
  <c r="AO33" i="7" s="1"/>
  <c r="AN28" i="7"/>
  <c r="AO28" i="7" s="1"/>
  <c r="AN17" i="7"/>
  <c r="AO17" i="7" s="1"/>
  <c r="AN26" i="7"/>
  <c r="AO26" i="7" s="1"/>
  <c r="AN23" i="7"/>
  <c r="AO23" i="7" s="1"/>
  <c r="AN31" i="7"/>
  <c r="AO31" i="7" s="1"/>
  <c r="AN21" i="7"/>
  <c r="AO21" i="7" s="1"/>
  <c r="AN27" i="7"/>
  <c r="AO27" i="7" s="1"/>
  <c r="AN34" i="7"/>
  <c r="AO34" i="7" s="1"/>
  <c r="AN15" i="12" l="1"/>
  <c r="AO15" i="12" s="1"/>
  <c r="AN15" i="11"/>
  <c r="AO15" i="11" s="1"/>
  <c r="AN15" i="10"/>
  <c r="AO15" i="10" s="1"/>
  <c r="AN15" i="8"/>
  <c r="AO15" i="8" s="1"/>
  <c r="AN15" i="7"/>
  <c r="AO15" i="7" s="1"/>
  <c r="S10" i="12" l="1" a="1"/>
  <c r="S10" i="12" s="1"/>
  <c r="S9" i="12" s="1"/>
  <c r="Q10" i="12" a="1"/>
  <c r="Q10" i="12" s="1"/>
  <c r="Q9" i="12" s="1"/>
  <c r="P10" i="12" a="1"/>
  <c r="P10" i="12" s="1"/>
  <c r="P9" i="12" s="1"/>
  <c r="O10" i="12" a="1"/>
  <c r="O10" i="12" s="1"/>
  <c r="O9" i="12" s="1"/>
  <c r="R10" i="12" a="1"/>
  <c r="R10" i="12" s="1"/>
  <c r="R9" i="12" s="1"/>
  <c r="Q10" i="11" a="1"/>
  <c r="Q10" i="11" s="1"/>
  <c r="Q9" i="11" s="1"/>
  <c r="R10" i="11" a="1"/>
  <c r="R10" i="11" s="1"/>
  <c r="R9" i="11" s="1"/>
  <c r="O10" i="11" a="1"/>
  <c r="O10" i="11" s="1"/>
  <c r="O9" i="11" s="1"/>
  <c r="S10" i="11" a="1"/>
  <c r="S10" i="11" s="1"/>
  <c r="S9" i="11" s="1"/>
  <c r="P10" i="11" a="1"/>
  <c r="P10" i="11" s="1"/>
  <c r="P9" i="11" s="1"/>
  <c r="R10" i="10" a="1"/>
  <c r="R10" i="10" s="1"/>
  <c r="R9" i="10" s="1"/>
  <c r="O10" i="10" a="1"/>
  <c r="O10" i="10" s="1"/>
  <c r="O9" i="10" s="1"/>
  <c r="P10" i="10" a="1"/>
  <c r="P10" i="10" s="1"/>
  <c r="P9" i="10" s="1"/>
  <c r="S10" i="10" a="1"/>
  <c r="S10" i="10" s="1"/>
  <c r="S9" i="10" s="1"/>
  <c r="Q10" i="10" a="1"/>
  <c r="Q10" i="10" s="1"/>
  <c r="Q9" i="10" s="1"/>
  <c r="O10" i="7" a="1"/>
  <c r="O10" i="7" s="1"/>
  <c r="O9" i="7" s="1"/>
  <c r="P10" i="7" a="1"/>
  <c r="P10" i="7" s="1"/>
  <c r="P9" i="7" s="1"/>
  <c r="W10" i="7" a="1"/>
  <c r="W10" i="7" s="1"/>
  <c r="W9" i="7" s="1"/>
  <c r="AI10" i="7" a="1"/>
  <c r="AI10" i="7" s="1"/>
  <c r="AI9" i="7" s="1"/>
  <c r="U10" i="7" a="1"/>
  <c r="U10" i="7" s="1"/>
  <c r="U9" i="7" s="1"/>
  <c r="AB10" i="7" a="1"/>
  <c r="AB10" i="7" s="1"/>
  <c r="AB9" i="7" s="1"/>
  <c r="Z10" i="7" a="1"/>
  <c r="Z10" i="7" s="1"/>
  <c r="Z9" i="7" s="1"/>
  <c r="AG10" i="7" a="1"/>
  <c r="AG10" i="7" s="1"/>
  <c r="AG9" i="7" s="1"/>
  <c r="AE10" i="7" a="1"/>
  <c r="AE10" i="7" s="1"/>
  <c r="AE9" i="7" s="1"/>
  <c r="S10" i="7" a="1"/>
  <c r="S10" i="7" s="1"/>
  <c r="S9" i="7" s="1"/>
  <c r="AJ10" i="7" a="1"/>
  <c r="AJ10" i="7" s="1"/>
  <c r="AJ9" i="7" s="1"/>
  <c r="X10" i="7" a="1"/>
  <c r="X10" i="7" s="1"/>
  <c r="X9" i="7" s="1"/>
  <c r="Q10" i="7" a="1"/>
  <c r="Q10" i="7" s="1"/>
  <c r="Q9" i="7" s="1"/>
  <c r="AC10" i="7" a="1"/>
  <c r="AC10" i="7" s="1"/>
  <c r="AC9" i="7" s="1"/>
  <c r="V10" i="7" a="1"/>
  <c r="V10" i="7" s="1"/>
  <c r="V9" i="7" s="1"/>
  <c r="AH10" i="7" a="1"/>
  <c r="AH10" i="7" s="1"/>
  <c r="AH9" i="7" s="1"/>
  <c r="AA10" i="7" a="1"/>
  <c r="AA10" i="7" s="1"/>
  <c r="AA9" i="7" s="1"/>
  <c r="T10" i="7" a="1"/>
  <c r="T10" i="7" s="1"/>
  <c r="T9" i="7" s="1"/>
  <c r="AF10" i="7" a="1"/>
  <c r="AF10" i="7" s="1"/>
  <c r="AF9" i="7" s="1"/>
  <c r="Y10" i="7" a="1"/>
  <c r="Y10" i="7" s="1"/>
  <c r="Y9" i="7" s="1"/>
  <c r="R10" i="7" a="1"/>
  <c r="R10" i="7" s="1"/>
  <c r="R9" i="7" s="1"/>
  <c r="AD10" i="7" a="1"/>
  <c r="AD10" i="7" s="1"/>
  <c r="AD9" i="7" s="1"/>
  <c r="O10" i="8" a="1"/>
  <c r="O10" i="8" s="1"/>
  <c r="O9" i="8" s="1"/>
  <c r="P10" i="8" a="1"/>
  <c r="P10" i="8" s="1"/>
  <c r="P9" i="8" s="1"/>
  <c r="Q10" i="8" a="1"/>
  <c r="Q10" i="8" s="1"/>
  <c r="Q9" i="8" s="1"/>
  <c r="R10" i="8" a="1"/>
  <c r="R10" i="8" s="1"/>
  <c r="R9" i="8" s="1"/>
  <c r="S10" i="8" a="1"/>
  <c r="S10" i="8" s="1"/>
  <c r="S9" i="8" s="1"/>
  <c r="CP15" i="12" l="1" a="1"/>
  <c r="H15" i="12" a="1"/>
  <c r="H15" i="12" s="1"/>
  <c r="B16" i="12"/>
  <c r="BT16" i="12" s="1" a="1"/>
  <c r="BT16" i="12" s="1"/>
  <c r="CY15" i="12" a="1"/>
  <c r="CY15" i="12" s="1"/>
  <c r="CQ11" i="12" a="1"/>
  <c r="CQ11" i="12" s="1"/>
  <c r="CR11" i="12" s="1" a="1"/>
  <c r="CR11" i="12" s="1"/>
  <c r="CY30" i="11" a="1"/>
  <c r="CY30" i="11" s="1"/>
  <c r="CY15" i="11" a="1"/>
  <c r="CY15" i="11" s="1"/>
  <c r="H15" i="11" a="1"/>
  <c r="H15" i="11" s="1"/>
  <c r="B16" i="11"/>
  <c r="BT16" i="11" s="1" a="1"/>
  <c r="BT16" i="11" s="1"/>
  <c r="CP15" i="11" a="1"/>
  <c r="CQ11" i="11" a="1"/>
  <c r="CQ11" i="11" s="1"/>
  <c r="CY30" i="8" a="1"/>
  <c r="CY30" i="8" s="1"/>
  <c r="DC15" i="7" a="1"/>
  <c r="CP15" i="7" a="1"/>
  <c r="CP15" i="7" s="1"/>
  <c r="CQ11" i="7" a="1"/>
  <c r="CQ11" i="7" s="1"/>
  <c r="CR11" i="7" s="1" a="1"/>
  <c r="CR11" i="7" s="1"/>
  <c r="CQ11" i="10" a="1"/>
  <c r="CQ11" i="10" s="1"/>
  <c r="CR11" i="10" s="1" a="1"/>
  <c r="CR11" i="10" s="1"/>
  <c r="CQ11" i="8" a="1"/>
  <c r="CQ11" i="8" s="1"/>
  <c r="CR11" i="8" s="1" a="1"/>
  <c r="CR11" i="8" s="1"/>
  <c r="CP15" i="8" a="1"/>
  <c r="CY15" i="8" a="1"/>
  <c r="CY15" i="8" s="1"/>
  <c r="B16" i="10"/>
  <c r="BT16" i="10" s="1" a="1"/>
  <c r="BT16" i="10" s="1"/>
  <c r="H15" i="10" a="1"/>
  <c r="H15" i="10" s="1"/>
  <c r="CY15" i="10" a="1"/>
  <c r="CY15" i="10" s="1"/>
  <c r="CP15" i="10" a="1"/>
  <c r="CP15" i="10" s="1"/>
  <c r="H15" i="7" a="1"/>
  <c r="H15" i="7" s="1"/>
  <c r="H15" i="8" a="1"/>
  <c r="H15" i="8" s="1"/>
  <c r="B16" i="8"/>
  <c r="BT16" i="8" s="1" a="1"/>
  <c r="BT16" i="8" s="1"/>
  <c r="B16" i="7"/>
  <c r="BT16" i="7" s="1" a="1"/>
  <c r="BT16" i="7" s="1"/>
  <c r="CJ18" i="7" l="1" a="1"/>
  <c r="CJ18" i="7" s="1"/>
  <c r="CI32" i="7" a="1"/>
  <c r="CI32" i="7" s="1"/>
  <c r="CE20" i="7" a="1"/>
  <c r="CE20" i="7" s="1"/>
  <c r="CI28" i="7" a="1"/>
  <c r="CI28" i="7" s="1"/>
  <c r="BX20" i="7" a="1"/>
  <c r="BX20" i="7" s="1"/>
  <c r="CB28" i="7" a="1"/>
  <c r="CB28" i="7" s="1"/>
  <c r="BT25" i="7" a="1"/>
  <c r="BT25" i="7" s="1"/>
  <c r="BV18" i="7" a="1"/>
  <c r="BV18" i="7" s="1"/>
  <c r="CH17" i="7" a="1"/>
  <c r="CH17" i="7" s="1"/>
  <c r="CC24" i="7" a="1"/>
  <c r="CC24" i="7" s="1"/>
  <c r="CH18" i="7" a="1"/>
  <c r="CH18" i="7" s="1"/>
  <c r="BS15" i="7" a="1"/>
  <c r="BS15" i="7" s="1"/>
  <c r="BZ32" i="7" a="1"/>
  <c r="BZ32" i="7" s="1"/>
  <c r="BW15" i="7" a="1"/>
  <c r="BW15" i="7" s="1"/>
  <c r="CF33" i="7" a="1"/>
  <c r="CF33" i="7" s="1"/>
  <c r="CD25" i="7" a="1"/>
  <c r="CD25" i="7" s="1"/>
  <c r="BR25" i="7" a="1"/>
  <c r="BR25" i="7" s="1"/>
  <c r="CC28" i="7" a="1"/>
  <c r="CC28" i="7" s="1"/>
  <c r="CF27" i="7" a="1"/>
  <c r="CF27" i="7" s="1"/>
  <c r="BS18" i="7" a="1"/>
  <c r="BS18" i="7" s="1"/>
  <c r="BZ23" i="7" a="1"/>
  <c r="BZ23" i="7" s="1"/>
  <c r="CC22" i="7" a="1"/>
  <c r="CC22" i="7" s="1"/>
  <c r="BR32" i="7" a="1"/>
  <c r="BR32" i="7" s="1"/>
  <c r="CI26" i="7" a="1"/>
  <c r="CI26" i="7" s="1"/>
  <c r="BZ17" i="7" a="1"/>
  <c r="BZ17" i="7" s="1"/>
  <c r="CH26" i="7" a="1"/>
  <c r="CH26" i="7" s="1"/>
  <c r="BU30" i="7" a="1"/>
  <c r="BU30" i="7" s="1"/>
  <c r="CB15" i="7" a="1"/>
  <c r="CB15" i="7" s="1"/>
  <c r="CI20" i="7" a="1"/>
  <c r="CI20" i="7" s="1"/>
  <c r="BT30" i="7" a="1"/>
  <c r="BT30" i="7" s="1"/>
  <c r="CG24" i="7" a="1"/>
  <c r="CG24" i="7" s="1"/>
  <c r="BU15" i="7" a="1"/>
  <c r="BU15" i="7" s="1"/>
  <c r="BZ30" i="7" a="1"/>
  <c r="BZ30" i="7" s="1"/>
  <c r="CJ24" i="7" a="1"/>
  <c r="CJ24" i="7" s="1"/>
  <c r="CD19" i="7" a="1"/>
  <c r="CD19" i="7" s="1"/>
  <c r="CH15" i="7" a="1"/>
  <c r="CH15" i="7" s="1"/>
  <c r="BW25" i="7" a="1"/>
  <c r="BW25" i="7" s="1"/>
  <c r="CG19" i="7" a="1"/>
  <c r="CG19" i="7" s="1"/>
  <c r="CD32" i="7" a="1"/>
  <c r="CD32" i="7" s="1"/>
  <c r="CA15" i="7" a="1"/>
  <c r="CA15" i="7" s="1"/>
  <c r="BT20" i="7" a="1"/>
  <c r="BT20" i="7" s="1"/>
  <c r="CG27" i="7" a="1"/>
  <c r="CG27" i="7" s="1"/>
  <c r="BV34" i="7" a="1"/>
  <c r="BV34" i="7" s="1"/>
  <c r="BT15" i="7" a="1"/>
  <c r="BT15" i="7" s="1"/>
  <c r="BS34" i="7" a="1"/>
  <c r="BS34" i="7" s="1"/>
  <c r="BT21" i="7" a="1"/>
  <c r="BT21" i="7" s="1"/>
  <c r="BY18" i="7" a="1"/>
  <c r="BY18" i="7" s="1"/>
  <c r="BZ20" i="7" a="1"/>
  <c r="BZ20" i="7" s="1"/>
  <c r="CH19" i="7" a="1"/>
  <c r="CH19" i="7" s="1"/>
  <c r="BS29" i="7" a="1"/>
  <c r="BS29" i="7" s="1"/>
  <c r="CI23" i="7" a="1"/>
  <c r="CI23" i="7" s="1"/>
  <c r="BS20" i="7" a="1"/>
  <c r="BS20" i="7" s="1"/>
  <c r="CE34" i="7" a="1"/>
  <c r="CE34" i="7" s="1"/>
  <c r="BW18" i="7" a="1"/>
  <c r="BW18" i="7" s="1"/>
  <c r="BV33" i="7" a="1"/>
  <c r="BV33" i="7" s="1"/>
  <c r="BR34" i="7" a="1"/>
  <c r="BR34" i="7" s="1"/>
  <c r="CD15" i="7" a="1"/>
  <c r="CD15" i="7" s="1"/>
  <c r="BR31" i="7" a="1"/>
  <c r="BR31" i="7" s="1"/>
  <c r="CF23" i="7" a="1"/>
  <c r="CF23" i="7" s="1"/>
  <c r="CE21" i="7" a="1"/>
  <c r="CE21" i="7" s="1"/>
  <c r="CB29" i="7" a="1"/>
  <c r="CB29" i="7" s="1"/>
  <c r="CA18" i="7" a="1"/>
  <c r="CA18" i="7" s="1"/>
  <c r="BT23" i="7" a="1"/>
  <c r="BT23" i="7" s="1"/>
  <c r="CH28" i="7" a="1"/>
  <c r="CH28" i="7" s="1"/>
  <c r="CF15" i="7" a="1"/>
  <c r="CF15" i="7" s="1"/>
  <c r="CH25" i="7" a="1"/>
  <c r="CH25" i="7" s="1"/>
  <c r="CD30" i="7" a="1"/>
  <c r="CD30" i="7" s="1"/>
  <c r="CB24" i="7" a="1"/>
  <c r="CB24" i="7" s="1"/>
  <c r="BY24" i="7" a="1"/>
  <c r="BY24" i="7" s="1"/>
  <c r="BS32" i="7" a="1"/>
  <c r="BS32" i="7" s="1"/>
  <c r="CJ17" i="7" a="1"/>
  <c r="CJ17" i="7" s="1"/>
  <c r="CB23" i="7" a="1"/>
  <c r="CB23" i="7" s="1"/>
  <c r="BQ31" i="7" a="1"/>
  <c r="BQ31" i="7" s="1"/>
  <c r="BY15" i="7" a="1"/>
  <c r="BY15" i="7" s="1"/>
  <c r="BW34" i="7" a="1"/>
  <c r="BW34" i="7" s="1"/>
  <c r="CF28" i="7" a="1"/>
  <c r="CF28" i="7" s="1"/>
  <c r="CD26" i="7" a="1"/>
  <c r="CD26" i="7" s="1"/>
  <c r="BZ19" i="7" a="1"/>
  <c r="BZ19" i="7" s="1"/>
  <c r="CF21" i="7" a="1"/>
  <c r="CF21" i="7" s="1"/>
  <c r="CJ30" i="7" a="1"/>
  <c r="CJ30" i="7" s="1"/>
  <c r="BX32" i="7" a="1"/>
  <c r="BX32" i="7" s="1"/>
  <c r="BQ29" i="7" a="1"/>
  <c r="BQ29" i="7" s="1"/>
  <c r="CJ15" i="7" a="1"/>
  <c r="CJ15" i="7" s="1"/>
  <c r="BT29" i="7" a="1"/>
  <c r="BT29" i="7" s="1"/>
  <c r="CC23" i="7" a="1"/>
  <c r="CC23" i="7" s="1"/>
  <c r="CA21" i="7" a="1"/>
  <c r="CA21" i="7" s="1"/>
  <c r="BT34" i="7" a="1"/>
  <c r="BT34" i="7" s="1"/>
  <c r="CI17" i="7" a="1"/>
  <c r="CI17" i="7" s="1"/>
  <c r="CG25" i="7" a="1"/>
  <c r="CG25" i="7" s="1"/>
  <c r="CA28" i="7" a="1"/>
  <c r="CA28" i="7" s="1"/>
  <c r="BQ28" i="7" a="1"/>
  <c r="BQ28" i="7" s="1"/>
  <c r="BR15" i="7" a="1"/>
  <c r="BR15" i="7" s="1"/>
  <c r="BW17" i="7" a="1"/>
  <c r="BW17" i="7" s="1"/>
  <c r="CH30" i="7" a="1"/>
  <c r="CH30" i="7" s="1"/>
  <c r="BX16" i="7" a="1"/>
  <c r="BX16" i="7" s="1"/>
  <c r="CJ28" i="7" a="1"/>
  <c r="CJ28" i="7" s="1"/>
  <c r="CH31" i="7" a="1"/>
  <c r="CH31" i="7" s="1"/>
  <c r="CD20" i="7" a="1"/>
  <c r="CD20" i="7" s="1"/>
  <c r="BX23" i="7" a="1"/>
  <c r="BX23" i="7" s="1"/>
  <c r="BV15" i="7" a="1"/>
  <c r="BV15" i="7" s="1"/>
  <c r="CC15" i="7" a="1"/>
  <c r="CC15" i="7" s="1"/>
  <c r="BV31" i="7" a="1"/>
  <c r="BV31" i="7" s="1"/>
  <c r="CF19" i="7" a="1"/>
  <c r="CF19" i="7" s="1"/>
  <c r="CH22" i="7" a="1"/>
  <c r="CH22" i="7" s="1"/>
  <c r="BU29" i="7" a="1"/>
  <c r="BU29" i="7" s="1"/>
  <c r="CE26" i="7" a="1"/>
  <c r="CE26" i="7" s="1"/>
  <c r="CG16" i="7" a="1"/>
  <c r="CG16" i="7" s="1"/>
  <c r="BU18" i="7" a="1"/>
  <c r="BU18" i="7" s="1"/>
  <c r="CI15" i="7" a="1"/>
  <c r="CI15" i="7" s="1"/>
  <c r="CG30" i="7" a="1"/>
  <c r="CG30" i="7" s="1"/>
  <c r="BS26" i="7" a="1"/>
  <c r="BS26" i="7" s="1"/>
  <c r="CE33" i="7" a="1"/>
  <c r="CE33" i="7" s="1"/>
  <c r="BU16" i="7" a="1"/>
  <c r="BU16" i="7" s="1"/>
  <c r="BR24" i="7" a="1"/>
  <c r="BR24" i="7" s="1"/>
  <c r="CB21" i="7" a="1"/>
  <c r="CB21" i="7" s="1"/>
  <c r="CC25" i="7" a="1"/>
  <c r="CC25" i="7" s="1"/>
  <c r="CJ31" i="7" a="1"/>
  <c r="CJ31" i="7" s="1"/>
  <c r="CG17" i="7" a="1"/>
  <c r="CG17" i="7" s="1"/>
  <c r="CG26" i="7" a="1"/>
  <c r="CG26" i="7" s="1"/>
  <c r="BY31" i="7" a="1"/>
  <c r="BY31" i="7" s="1"/>
  <c r="CD21" i="7" a="1"/>
  <c r="CD21" i="7" s="1"/>
  <c r="BV26" i="7" a="1"/>
  <c r="BV26" i="7" s="1"/>
  <c r="CG33" i="7" a="1"/>
  <c r="CG33" i="7" s="1"/>
  <c r="BS28" i="7" a="1"/>
  <c r="BS28" i="7" s="1"/>
  <c r="CA27" i="7" a="1"/>
  <c r="CA27" i="7" s="1"/>
  <c r="CC34" i="7" a="1"/>
  <c r="CC34" i="7" s="1"/>
  <c r="BY34" i="7" a="1"/>
  <c r="BY34" i="7" s="1"/>
  <c r="CF18" i="7" a="1"/>
  <c r="CF18" i="7" s="1"/>
  <c r="CE23" i="7" a="1"/>
  <c r="CE23" i="7" s="1"/>
  <c r="BU27" i="7" a="1"/>
  <c r="BU27" i="7" s="1"/>
  <c r="CF31" i="7" a="1"/>
  <c r="CF31" i="7" s="1"/>
  <c r="CA16" i="7" a="1"/>
  <c r="CA16" i="7" s="1"/>
  <c r="BS21" i="7" a="1"/>
  <c r="BS21" i="7" s="1"/>
  <c r="BZ18" i="7" a="1"/>
  <c r="BZ18" i="7" s="1"/>
  <c r="BU32" i="7" a="1"/>
  <c r="BU32" i="7" s="1"/>
  <c r="CB16" i="7" a="1"/>
  <c r="CB16" i="7" s="1"/>
  <c r="CI29" i="7" a="1"/>
  <c r="CI29" i="7" s="1"/>
  <c r="CA34" i="7" a="1"/>
  <c r="CA34" i="7" s="1"/>
  <c r="BV19" i="7" a="1"/>
  <c r="BV19" i="7" s="1"/>
  <c r="CG23" i="7" a="1"/>
  <c r="CG23" i="7" s="1"/>
  <c r="BW27" i="7" a="1"/>
  <c r="BW27" i="7" s="1"/>
  <c r="BV32" i="7" a="1"/>
  <c r="BV32" i="7" s="1"/>
  <c r="CC16" i="7" a="1"/>
  <c r="CC16" i="7" s="1"/>
  <c r="BY16" i="7" a="1"/>
  <c r="BY16" i="7" s="1"/>
  <c r="CA23" i="7" a="1"/>
  <c r="CA23" i="7" s="1"/>
  <c r="CI22" i="7" a="1"/>
  <c r="CI22" i="7" s="1"/>
  <c r="BU17" i="7" a="1"/>
  <c r="BU17" i="7" s="1"/>
  <c r="BZ29" i="7" a="1"/>
  <c r="BZ29" i="7" s="1"/>
  <c r="BV29" i="7" a="1"/>
  <c r="BV29" i="7" s="1"/>
  <c r="CE32" i="7" a="1"/>
  <c r="CE32" i="7" s="1"/>
  <c r="CB18" i="7" a="1"/>
  <c r="CB18" i="7" s="1"/>
  <c r="BR22" i="7" a="1"/>
  <c r="BR22" i="7" s="1"/>
  <c r="CC26" i="7" a="1"/>
  <c r="CC26" i="7" s="1"/>
  <c r="BU31" i="7" a="1"/>
  <c r="BU31" i="7" s="1"/>
  <c r="CD34" i="7" a="1"/>
  <c r="CD34" i="7" s="1"/>
  <c r="BY32" i="7" a="1"/>
  <c r="BY32" i="7" s="1"/>
  <c r="BR27" i="7" a="1"/>
  <c r="BR27" i="7" s="1"/>
  <c r="CA30" i="7" a="1"/>
  <c r="CA30" i="7" s="1"/>
  <c r="CF24" i="7" a="1"/>
  <c r="CF24" i="7" s="1"/>
  <c r="BX29" i="7" a="1"/>
  <c r="BX29" i="7" s="1"/>
  <c r="CG32" i="7" a="1"/>
  <c r="CG32" i="7" s="1"/>
  <c r="CD18" i="7" a="1"/>
  <c r="CD18" i="7" s="1"/>
  <c r="BT22" i="7" a="1"/>
  <c r="BT22" i="7" s="1"/>
  <c r="BS27" i="7" a="1"/>
  <c r="BS27" i="7" s="1"/>
  <c r="CB30" i="7" a="1"/>
  <c r="CB30" i="7" s="1"/>
  <c r="BX30" i="7" a="1"/>
  <c r="BX30" i="7" s="1"/>
  <c r="BX18" i="7" a="1"/>
  <c r="BX18" i="7" s="1"/>
  <c r="CF17" i="7" a="1"/>
  <c r="CF17" i="7" s="1"/>
  <c r="BT31" i="7" a="1"/>
  <c r="BT31" i="7" s="1"/>
  <c r="BW24" i="7" a="1"/>
  <c r="BW24" i="7" s="1"/>
  <c r="BS24" i="7" a="1"/>
  <c r="BS24" i="7" s="1"/>
  <c r="CB27" i="7" a="1"/>
  <c r="CB27" i="7" s="1"/>
  <c r="BT32" i="7" a="1"/>
  <c r="BT32" i="7" s="1"/>
  <c r="CH16" i="7" a="1"/>
  <c r="CH16" i="7" s="1"/>
  <c r="BZ21" i="7" a="1"/>
  <c r="BZ21" i="7" s="1"/>
  <c r="BR26" i="7" a="1"/>
  <c r="BR26" i="7" s="1"/>
  <c r="CA29" i="7" a="1"/>
  <c r="CA29" i="7" s="1"/>
  <c r="BV27" i="7" a="1"/>
  <c r="BV27" i="7" s="1"/>
  <c r="CH21" i="7" a="1"/>
  <c r="CH21" i="7" s="1"/>
  <c r="BX25" i="7" a="1"/>
  <c r="BX25" i="7" s="1"/>
  <c r="CC19" i="7" a="1"/>
  <c r="CC19" i="7" s="1"/>
  <c r="BU24" i="7" a="1"/>
  <c r="BU24" i="7" s="1"/>
  <c r="CD27" i="7" a="1"/>
  <c r="CD27" i="7" s="1"/>
  <c r="CC32" i="7" a="1"/>
  <c r="CC32" i="7" s="1"/>
  <c r="CJ16" i="7" a="1"/>
  <c r="CJ16" i="7" s="1"/>
  <c r="CI21" i="7" a="1"/>
  <c r="CI21" i="7" s="1"/>
  <c r="BY25" i="7" a="1"/>
  <c r="BY25" i="7" s="1"/>
  <c r="BU25" i="7" a="1"/>
  <c r="BU25" i="7" s="1"/>
  <c r="BR33" i="7" a="1"/>
  <c r="BR33" i="7" s="1"/>
  <c r="BX31" i="7" a="1"/>
  <c r="BX31" i="7" s="1"/>
  <c r="CJ25" i="7" a="1"/>
  <c r="CJ25" i="7" s="1"/>
  <c r="BT19" i="7" a="1"/>
  <c r="BT19" i="7" s="1"/>
  <c r="CI18" i="7" a="1"/>
  <c r="CI18" i="7" s="1"/>
  <c r="BY22" i="7" a="1"/>
  <c r="BY22" i="7" s="1"/>
  <c r="CJ26" i="7" a="1"/>
  <c r="CJ26" i="7" s="1"/>
  <c r="CB31" i="7" a="1"/>
  <c r="CB31" i="7" s="1"/>
  <c r="BW16" i="7" a="1"/>
  <c r="BW16" i="7" s="1"/>
  <c r="CH20" i="7" a="1"/>
  <c r="CH20" i="7" s="1"/>
  <c r="BX24" i="7" a="1"/>
  <c r="BX24" i="7" s="1"/>
  <c r="BS22" i="7" a="1"/>
  <c r="BS22" i="7" s="1"/>
  <c r="CE16" i="7" a="1"/>
  <c r="CE16" i="7" s="1"/>
  <c r="BU20" i="7" a="1"/>
  <c r="BU20" i="7" s="1"/>
  <c r="BU33" i="7" a="1"/>
  <c r="BU33" i="7" s="1"/>
  <c r="BR19" i="7" a="1"/>
  <c r="BR19" i="7" s="1"/>
  <c r="CA22" i="7" a="1"/>
  <c r="CA22" i="7" s="1"/>
  <c r="BZ27" i="7" a="1"/>
  <c r="BZ27" i="7" s="1"/>
  <c r="CI30" i="7" a="1"/>
  <c r="CI30" i="7" s="1"/>
  <c r="CF16" i="7" a="1"/>
  <c r="CF16" i="7" s="1"/>
  <c r="BU34" i="7" a="1"/>
  <c r="BU34" i="7" s="1"/>
  <c r="BR20" i="7" a="1"/>
  <c r="BR20" i="7" s="1"/>
  <c r="CH27" i="7" a="1"/>
  <c r="CH27" i="7" s="1"/>
  <c r="BU26" i="7" a="1"/>
  <c r="BU26" i="7" s="1"/>
  <c r="CG20" i="7" a="1"/>
  <c r="CG20" i="7" s="1"/>
  <c r="BS33" i="7" a="1"/>
  <c r="BS33" i="7" s="1"/>
  <c r="CA32" i="7" a="1"/>
  <c r="CA32" i="7" s="1"/>
  <c r="BV17" i="7" a="1"/>
  <c r="BV17" i="7" s="1"/>
  <c r="CG21" i="7" a="1"/>
  <c r="CG21" i="7" s="1"/>
  <c r="BY26" i="7" a="1"/>
  <c r="BY26" i="7" s="1"/>
  <c r="CH29" i="7" a="1"/>
  <c r="CH29" i="7" s="1"/>
  <c r="CG34" i="7" a="1"/>
  <c r="CG34" i="7" s="1"/>
  <c r="BT33" i="7" a="1"/>
  <c r="BT33" i="7" s="1"/>
  <c r="CI16" i="7" a="1"/>
  <c r="CI16" i="7" s="1"/>
  <c r="BW30" i="7" a="1"/>
  <c r="BW30" i="7" s="1"/>
  <c r="CH34" i="7" a="1"/>
  <c r="CH34" i="7" s="1"/>
  <c r="BR28" i="7" a="1"/>
  <c r="BR28" i="7" s="1"/>
  <c r="CJ32" i="7" a="1"/>
  <c r="CJ32" i="7" s="1"/>
  <c r="BX17" i="7" a="1"/>
  <c r="BX17" i="7" s="1"/>
  <c r="BW22" i="7" a="1"/>
  <c r="BW22" i="7" s="1"/>
  <c r="CF25" i="7" a="1"/>
  <c r="CF25" i="7" s="1"/>
  <c r="CE30" i="7" a="1"/>
  <c r="CE30" i="7" s="1"/>
  <c r="BR29" i="7" a="1"/>
  <c r="BR29" i="7" s="1"/>
  <c r="CC33" i="7" a="1"/>
  <c r="CC33" i="7" s="1"/>
  <c r="CE22" i="7" a="1"/>
  <c r="CE22" i="7" s="1"/>
  <c r="BR21" i="7" a="1"/>
  <c r="BR21" i="7" s="1"/>
  <c r="CF34" i="7" a="1"/>
  <c r="CF34" i="7" s="1"/>
  <c r="CI27" i="7" a="1"/>
  <c r="CI27" i="7" s="1"/>
  <c r="BX27" i="7" a="1"/>
  <c r="BX27" i="7" s="1"/>
  <c r="CI31" i="7" a="1"/>
  <c r="CI31" i="7" s="1"/>
  <c r="CD16" i="7" a="1"/>
  <c r="CD16" i="7" s="1"/>
  <c r="BV21" i="7" a="1"/>
  <c r="BV21" i="7" s="1"/>
  <c r="CE24" i="7" a="1"/>
  <c r="CE24" i="7" s="1"/>
  <c r="CD29" i="7" a="1"/>
  <c r="CD29" i="7" s="1"/>
  <c r="CJ27" i="7" a="1"/>
  <c r="CJ27" i="7" s="1"/>
  <c r="BW31" i="7" a="1"/>
  <c r="BW31" i="7" s="1"/>
  <c r="BT17" i="7" a="1"/>
  <c r="BT17" i="7" s="1"/>
  <c r="CC20" i="7" a="1"/>
  <c r="CC20" i="7" s="1"/>
  <c r="CB25" i="7" a="1"/>
  <c r="CB25" i="7" s="1"/>
  <c r="CH23" i="7" a="1"/>
  <c r="CH23" i="7" s="1"/>
  <c r="BZ28" i="7" a="1"/>
  <c r="BZ28" i="7" s="1"/>
  <c r="CB17" i="7" a="1"/>
  <c r="CB17" i="7" s="1"/>
  <c r="CG29" i="7" a="1"/>
  <c r="CG29" i="7" s="1"/>
  <c r="CC29" i="7" a="1"/>
  <c r="CC29" i="7" s="1"/>
  <c r="CF22" i="7" a="1"/>
  <c r="CF22" i="7" s="1"/>
  <c r="BU22" i="7" a="1"/>
  <c r="BU22" i="7" s="1"/>
  <c r="CF26" i="7" a="1"/>
  <c r="CF26" i="7" s="1"/>
  <c r="BV30" i="7" a="1"/>
  <c r="BV30" i="7" s="1"/>
  <c r="BS16" i="7" a="1"/>
  <c r="BS16" i="7" s="1"/>
  <c r="CB19" i="7" a="1"/>
  <c r="CB19" i="7" s="1"/>
  <c r="CA24" i="7" a="1"/>
  <c r="CA24" i="7" s="1"/>
  <c r="CG22" i="7" a="1"/>
  <c r="CG22" i="7" s="1"/>
  <c r="CG15" i="7" a="1"/>
  <c r="CG15" i="7" s="1"/>
  <c r="CA20" i="7" a="1"/>
  <c r="CA20" i="7" s="1"/>
  <c r="CJ23" i="7" a="1"/>
  <c r="CJ23" i="7" s="1"/>
  <c r="CC18" i="7" a="1"/>
  <c r="CC18" i="7" s="1"/>
  <c r="CE25" i="7" a="1"/>
  <c r="CE25" i="7" s="1"/>
  <c r="CJ19" i="7" a="1"/>
  <c r="CJ19" i="7" s="1"/>
  <c r="BY19" i="7" a="1"/>
  <c r="BY19" i="7" s="1"/>
  <c r="CE17" i="7" a="1"/>
  <c r="CE17" i="7" s="1"/>
  <c r="CD22" i="7" a="1"/>
  <c r="CD22" i="7" s="1"/>
  <c r="BT26" i="7" a="1"/>
  <c r="BT26" i="7" s="1"/>
  <c r="BS31" i="7" a="1"/>
  <c r="BS31" i="7" s="1"/>
  <c r="CB34" i="7" a="1"/>
  <c r="CB34" i="7" s="1"/>
  <c r="BY20" i="7" a="1"/>
  <c r="BY20" i="7" s="1"/>
  <c r="CE18" i="7" a="1"/>
  <c r="CE18" i="7" s="1"/>
  <c r="BW23" i="7" a="1"/>
  <c r="BW23" i="7" s="1"/>
  <c r="CA31" i="7" a="1"/>
  <c r="CA31" i="7" s="1"/>
  <c r="CD24" i="7" a="1"/>
  <c r="CD24" i="7" s="1"/>
  <c r="BW19" i="7" a="1"/>
  <c r="BW19" i="7" s="1"/>
  <c r="CC17" i="7" a="1"/>
  <c r="CC17" i="7" s="1"/>
  <c r="BR17" i="7" a="1"/>
  <c r="BR17" i="7" s="1"/>
  <c r="CC21" i="7" a="1"/>
  <c r="CC21" i="7" s="1"/>
  <c r="BS25" i="7" a="1"/>
  <c r="BS25" i="7" s="1"/>
  <c r="BR30" i="7" a="1"/>
  <c r="BR30" i="7" s="1"/>
  <c r="CA33" i="7" a="1"/>
  <c r="CA33" i="7" s="1"/>
  <c r="BX19" i="7" a="1"/>
  <c r="BX19" i="7" s="1"/>
  <c r="CD17" i="7" a="1"/>
  <c r="CD17" i="7" s="1"/>
  <c r="BQ32" i="7" a="1"/>
  <c r="BQ32" i="7" s="1"/>
  <c r="CE15" i="7" a="1"/>
  <c r="CE15" i="7" s="1"/>
  <c r="BZ34" i="7" a="1"/>
  <c r="BZ34" i="7" s="1"/>
  <c r="CG18" i="7" a="1"/>
  <c r="CG18" i="7" s="1"/>
  <c r="CB32" i="7" a="1"/>
  <c r="CB32" i="7" s="1"/>
  <c r="CB20" i="7" a="1"/>
  <c r="CB20" i="7" s="1"/>
  <c r="CB33" i="7" a="1"/>
  <c r="CB33" i="7" s="1"/>
  <c r="BX33" i="7" a="1"/>
  <c r="BX33" i="7" s="1"/>
  <c r="CD31" i="7" a="1"/>
  <c r="CD31" i="7" s="1"/>
  <c r="CA17" i="7" a="1"/>
  <c r="CA17" i="7" s="1"/>
  <c r="CJ20" i="7" a="1"/>
  <c r="CJ20" i="7" s="1"/>
  <c r="CI25" i="7" a="1"/>
  <c r="CI25" i="7" s="1"/>
  <c r="BY29" i="7" a="1"/>
  <c r="BY29" i="7" s="1"/>
  <c r="CJ33" i="7" a="1"/>
  <c r="CJ33" i="7" s="1"/>
  <c r="BY33" i="7" a="1"/>
  <c r="BY33" i="7" s="1"/>
  <c r="CE31" i="7" a="1"/>
  <c r="CE31" i="7" s="1"/>
  <c r="BX26" i="7" a="1"/>
  <c r="BX26" i="7" s="1"/>
  <c r="CA19" i="7" a="1"/>
  <c r="CA19" i="7" s="1"/>
  <c r="CE27" i="7" a="1"/>
  <c r="CE27" i="7" s="1"/>
  <c r="BW32" i="7" a="1"/>
  <c r="BW32" i="7" s="1"/>
  <c r="CC30" i="7" a="1"/>
  <c r="CC30" i="7" s="1"/>
  <c r="BZ16" i="7" a="1"/>
  <c r="BZ16" i="7" s="1"/>
  <c r="CI19" i="7" a="1"/>
  <c r="CI19" i="7" s="1"/>
  <c r="CH24" i="7" a="1"/>
  <c r="CH24" i="7" s="1"/>
  <c r="BX28" i="7" a="1"/>
  <c r="BX28" i="7" s="1"/>
  <c r="BW33" i="7" a="1"/>
  <c r="BW33" i="7" s="1"/>
  <c r="CC31" i="7" a="1"/>
  <c r="CC31" i="7" s="1"/>
  <c r="BQ25" i="7" a="1"/>
  <c r="BQ25" i="7" s="1"/>
  <c r="BZ15" i="7" a="1"/>
  <c r="BZ15" i="7" s="1"/>
  <c r="BW29" i="7" a="1"/>
  <c r="BW29" i="7" s="1"/>
  <c r="CF32" i="7" a="1"/>
  <c r="CF32" i="7" s="1"/>
  <c r="BY27" i="7" a="1"/>
  <c r="BY27" i="7" s="1"/>
  <c r="BS30" i="7" a="1"/>
  <c r="BS30" i="7" s="1"/>
  <c r="BY28" i="7" a="1"/>
  <c r="BY28" i="7" s="1"/>
  <c r="BU28" i="7" a="1"/>
  <c r="BU28" i="7" s="1"/>
  <c r="CA26" i="7" a="1"/>
  <c r="CA26" i="7" s="1"/>
  <c r="BZ31" i="7" a="1"/>
  <c r="BZ31" i="7" s="1"/>
  <c r="CI34" i="7" a="1"/>
  <c r="CI34" i="7" s="1"/>
  <c r="CF20" i="7" a="1"/>
  <c r="CF20" i="7" s="1"/>
  <c r="BV24" i="7" a="1"/>
  <c r="BV24" i="7" s="1"/>
  <c r="CG28" i="7" a="1"/>
  <c r="CG28" i="7" s="1"/>
  <c r="BV28" i="7" a="1"/>
  <c r="BV28" i="7" s="1"/>
  <c r="BY21" i="7" a="1"/>
  <c r="BY21" i="7" s="1"/>
  <c r="BU21" i="7" a="1"/>
  <c r="BU21" i="7" s="1"/>
  <c r="BZ33" i="7" a="1"/>
  <c r="BZ33" i="7" s="1"/>
  <c r="CB22" i="7" a="1"/>
  <c r="CB22" i="7" s="1"/>
  <c r="BT27" i="7" a="1"/>
  <c r="BT27" i="7" s="1"/>
  <c r="BZ25" i="7" a="1"/>
  <c r="BZ25" i="7" s="1"/>
  <c r="BY30" i="7" a="1"/>
  <c r="BY30" i="7" s="1"/>
  <c r="CH33" i="7" a="1"/>
  <c r="CH33" i="7" s="1"/>
  <c r="CE19" i="7" a="1"/>
  <c r="CE19" i="7" s="1"/>
  <c r="BU23" i="7" a="1"/>
  <c r="BU23" i="7" s="1"/>
  <c r="BT28" i="7" a="1"/>
  <c r="BT28" i="7" s="1"/>
  <c r="BZ26" i="7" a="1"/>
  <c r="BZ26" i="7" s="1"/>
  <c r="BQ18" i="7" a="1"/>
  <c r="BQ18" i="7" s="1"/>
  <c r="BX15" i="7" a="1"/>
  <c r="BX15" i="7" s="1"/>
  <c r="BT24" i="7" a="1"/>
  <c r="BT24" i="7" s="1"/>
  <c r="BZ22" i="7" a="1"/>
  <c r="BZ22" i="7" s="1"/>
  <c r="BV22" i="7" a="1"/>
  <c r="BV22" i="7" s="1"/>
  <c r="CI24" i="7" a="1"/>
  <c r="CI24" i="7" s="1"/>
  <c r="BV23" i="7" a="1"/>
  <c r="BV23" i="7" s="1"/>
  <c r="BR23" i="7" a="1"/>
  <c r="BR23" i="7" s="1"/>
  <c r="BX21" i="7" a="1"/>
  <c r="BX21" i="7" s="1"/>
  <c r="BW26" i="7" a="1"/>
  <c r="BW26" i="7" s="1"/>
  <c r="CF29" i="7" a="1"/>
  <c r="CF29" i="7" s="1"/>
  <c r="BX34" i="7" a="1"/>
  <c r="BX34" i="7" s="1"/>
  <c r="BS19" i="7" a="1"/>
  <c r="BS19" i="7" s="1"/>
  <c r="CD23" i="7" a="1"/>
  <c r="CD23" i="7" s="1"/>
  <c r="BS23" i="7" a="1"/>
  <c r="BS23" i="7" s="1"/>
  <c r="BV16" i="7" a="1"/>
  <c r="BV16" i="7" s="1"/>
  <c r="CJ29" i="7" a="1"/>
  <c r="CJ29" i="7" s="1"/>
  <c r="BW28" i="7" a="1"/>
  <c r="BW28" i="7" s="1"/>
  <c r="BY17" i="7" a="1"/>
  <c r="BY17" i="7" s="1"/>
  <c r="CJ21" i="7" a="1"/>
  <c r="CJ21" i="7" s="1"/>
  <c r="BW20" i="7" a="1"/>
  <c r="BW20" i="7" s="1"/>
  <c r="BV25" i="7" a="1"/>
  <c r="BV25" i="7" s="1"/>
  <c r="CE28" i="7" a="1"/>
  <c r="CE28" i="7" s="1"/>
  <c r="CD33" i="7" a="1"/>
  <c r="CD33" i="7" s="1"/>
  <c r="BR18" i="7" a="1"/>
  <c r="BR18" i="7" s="1"/>
  <c r="CJ22" i="7" a="1"/>
  <c r="CJ22" i="7" s="1"/>
  <c r="BQ24" i="7" a="1"/>
  <c r="BQ24" i="7" s="1"/>
  <c r="BQ22" i="7" a="1"/>
  <c r="BQ22" i="7" s="1"/>
  <c r="BQ17" i="7" a="1"/>
  <c r="BQ17" i="7" s="1"/>
  <c r="BQ27" i="7" a="1"/>
  <c r="BQ27" i="7" s="1"/>
  <c r="BQ30" i="7" a="1"/>
  <c r="BQ30" i="7" s="1"/>
  <c r="BQ20" i="7" a="1"/>
  <c r="BQ20" i="7" s="1"/>
  <c r="BQ21" i="7" a="1"/>
  <c r="BQ21" i="7" s="1"/>
  <c r="BQ33" i="7" a="1"/>
  <c r="BQ33" i="7" s="1"/>
  <c r="BQ23" i="7" a="1"/>
  <c r="BQ23" i="7" s="1"/>
  <c r="BQ26" i="7" a="1"/>
  <c r="BQ26" i="7" s="1"/>
  <c r="BQ34" i="7" a="1"/>
  <c r="BQ34" i="7" s="1"/>
  <c r="BQ19" i="7" a="1"/>
  <c r="BQ19" i="7" s="1"/>
  <c r="BQ16" i="7" a="1"/>
  <c r="BQ16" i="7" s="1"/>
  <c r="BR24" i="12" a="1"/>
  <c r="BR24" i="12" s="1"/>
  <c r="CB24" i="12" a="1"/>
  <c r="CB24" i="12" s="1"/>
  <c r="BY31" i="12" a="1"/>
  <c r="BY31" i="12" s="1"/>
  <c r="BY28" i="12" a="1"/>
  <c r="BY28" i="12" s="1"/>
  <c r="CE26" i="12" a="1"/>
  <c r="CE26" i="12" s="1"/>
  <c r="CF16" i="12" a="1"/>
  <c r="CF16" i="12" s="1"/>
  <c r="BU29" i="12" a="1"/>
  <c r="BU29" i="12" s="1"/>
  <c r="CJ25" i="12" a="1"/>
  <c r="CJ25" i="12" s="1"/>
  <c r="BT22" i="12" a="1"/>
  <c r="BT22" i="12" s="1"/>
  <c r="CH34" i="12" a="1"/>
  <c r="CH34" i="12" s="1"/>
  <c r="CJ18" i="12" a="1"/>
  <c r="CJ18" i="12" s="1"/>
  <c r="CA20" i="12" a="1"/>
  <c r="CA20" i="12" s="1"/>
  <c r="CB25" i="12" a="1"/>
  <c r="CB25" i="12" s="1"/>
  <c r="CD31" i="12" a="1"/>
  <c r="CD31" i="12" s="1"/>
  <c r="CF34" i="12" a="1"/>
  <c r="CF34" i="12" s="1"/>
  <c r="CH22" i="12" a="1"/>
  <c r="CH22" i="12" s="1"/>
  <c r="CG25" i="12" a="1"/>
  <c r="CG25" i="12" s="1"/>
  <c r="CA27" i="12" a="1"/>
  <c r="CA27" i="12" s="1"/>
  <c r="BS26" i="12" a="1"/>
  <c r="BS26" i="12" s="1"/>
  <c r="BT26" i="12" a="1"/>
  <c r="BT26" i="12" s="1"/>
  <c r="CF29" i="12" a="1"/>
  <c r="CF29" i="12" s="1"/>
  <c r="CG29" i="12" a="1"/>
  <c r="CG29" i="12" s="1"/>
  <c r="BZ33" i="12" a="1"/>
  <c r="BZ33" i="12" s="1"/>
  <c r="CG22" i="12" a="1"/>
  <c r="CG22" i="12" s="1"/>
  <c r="CI20" i="12" a="1"/>
  <c r="CI20" i="12" s="1"/>
  <c r="CA19" i="12" a="1"/>
  <c r="CA19" i="12" s="1"/>
  <c r="CJ17" i="12" a="1"/>
  <c r="CJ17" i="12" s="1"/>
  <c r="CD17" i="12" a="1"/>
  <c r="CD17" i="12" s="1"/>
  <c r="BU33" i="12" a="1"/>
  <c r="BU33" i="12" s="1"/>
  <c r="BQ29" i="12" a="1"/>
  <c r="BQ29" i="12" s="1"/>
  <c r="BX26" i="12" a="1"/>
  <c r="BX26" i="12" s="1"/>
  <c r="CH25" i="12" a="1"/>
  <c r="CH25" i="12" s="1"/>
  <c r="BZ19" i="12" a="1"/>
  <c r="BZ19" i="12" s="1"/>
  <c r="CD30" i="12" a="1"/>
  <c r="CD30" i="12" s="1"/>
  <c r="CD32" i="12" a="1"/>
  <c r="CD32" i="12" s="1"/>
  <c r="BX32" i="12" a="1"/>
  <c r="BX32" i="12" s="1"/>
  <c r="BQ32" i="12" a="1"/>
  <c r="BQ32" i="12" s="1"/>
  <c r="BY19" i="12" a="1"/>
  <c r="BY19" i="12" s="1"/>
  <c r="BU22" i="12" a="1"/>
  <c r="BU22" i="12" s="1"/>
  <c r="BV29" i="12" a="1"/>
  <c r="BV29" i="12" s="1"/>
  <c r="BS27" i="12" a="1"/>
  <c r="BS27" i="12" s="1"/>
  <c r="BR31" i="12" a="1"/>
  <c r="BR31" i="12" s="1"/>
  <c r="CA31" i="12" a="1"/>
  <c r="CA31" i="12" s="1"/>
  <c r="BV15" i="12" a="1"/>
  <c r="BV15" i="12" s="1"/>
  <c r="BU25" i="12" a="1"/>
  <c r="BU25" i="12" s="1"/>
  <c r="CE27" i="12" a="1"/>
  <c r="CE27" i="12" s="1"/>
  <c r="BT20" i="12" a="1"/>
  <c r="BT20" i="12" s="1"/>
  <c r="CB22" i="12" a="1"/>
  <c r="CB22" i="12" s="1"/>
  <c r="CE28" i="12" a="1"/>
  <c r="CE28" i="12" s="1"/>
  <c r="BT25" i="12" a="1"/>
  <c r="BT25" i="12" s="1"/>
  <c r="BQ26" i="12" a="1"/>
  <c r="BQ26" i="12" s="1"/>
  <c r="CC24" i="12" a="1"/>
  <c r="CC24" i="12" s="1"/>
  <c r="BR20" i="12" a="1"/>
  <c r="BR20" i="12" s="1"/>
  <c r="CE30" i="12" a="1"/>
  <c r="CE30" i="12" s="1"/>
  <c r="BW33" i="12" a="1"/>
  <c r="BW33" i="12" s="1"/>
  <c r="CC33" i="12" a="1"/>
  <c r="CC33" i="12" s="1"/>
  <c r="BT27" i="12" a="1"/>
  <c r="BT27" i="12" s="1"/>
  <c r="BU24" i="12" a="1"/>
  <c r="BU24" i="12" s="1"/>
  <c r="CA29" i="12" a="1"/>
  <c r="CA29" i="12" s="1"/>
  <c r="CE23" i="12" a="1"/>
  <c r="CE23" i="12" s="1"/>
  <c r="BW24" i="12" a="1"/>
  <c r="BW24" i="12" s="1"/>
  <c r="BZ28" i="12" a="1"/>
  <c r="BZ28" i="12" s="1"/>
  <c r="CG26" i="12" a="1"/>
  <c r="CG26" i="12" s="1"/>
  <c r="CE31" i="12" a="1"/>
  <c r="CE31" i="12" s="1"/>
  <c r="BW15" i="12" a="1"/>
  <c r="BW15" i="12" s="1"/>
  <c r="BR32" i="12" a="1"/>
  <c r="BR32" i="12" s="1"/>
  <c r="CB33" i="12" a="1"/>
  <c r="CB33" i="12" s="1"/>
  <c r="CJ23" i="12" a="1"/>
  <c r="CJ23" i="12" s="1"/>
  <c r="BT19" i="12" a="1"/>
  <c r="BT19" i="12" s="1"/>
  <c r="CF19" i="12" a="1"/>
  <c r="CF19" i="12" s="1"/>
  <c r="CD21" i="12" a="1"/>
  <c r="CD21" i="12" s="1"/>
  <c r="CG15" i="12" a="1"/>
  <c r="CG15" i="12" s="1"/>
  <c r="CA15" i="12" a="1"/>
  <c r="CA15" i="12" s="1"/>
  <c r="CF15" i="12" a="1"/>
  <c r="CF15" i="12" s="1"/>
  <c r="CG21" i="12" a="1"/>
  <c r="CG21" i="12" s="1"/>
  <c r="BV16" i="12" a="1"/>
  <c r="BV16" i="12" s="1"/>
  <c r="BS19" i="12" a="1"/>
  <c r="BS19" i="12" s="1"/>
  <c r="BS25" i="12" a="1"/>
  <c r="BS25" i="12" s="1"/>
  <c r="CJ16" i="12" a="1"/>
  <c r="CJ16" i="12" s="1"/>
  <c r="BY24" i="12" a="1"/>
  <c r="BY24" i="12" s="1"/>
  <c r="BY15" i="12" a="1"/>
  <c r="BY15" i="12" s="1"/>
  <c r="CI32" i="12" a="1"/>
  <c r="CI32" i="12" s="1"/>
  <c r="CJ24" i="12" a="1"/>
  <c r="CJ24" i="12" s="1"/>
  <c r="BR33" i="12" a="1"/>
  <c r="BR33" i="12" s="1"/>
  <c r="CG33" i="12" a="1"/>
  <c r="CG33" i="12" s="1"/>
  <c r="BX28" i="12" a="1"/>
  <c r="BX28" i="12" s="1"/>
  <c r="CG20" i="12" a="1"/>
  <c r="CG20" i="12" s="1"/>
  <c r="BV18" i="12" a="1"/>
  <c r="BV18" i="12" s="1"/>
  <c r="BU28" i="12" a="1"/>
  <c r="BU28" i="12" s="1"/>
  <c r="BR27" i="12" a="1"/>
  <c r="BR27" i="12" s="1"/>
  <c r="BW25" i="12" a="1"/>
  <c r="BW25" i="12" s="1"/>
  <c r="CC28" i="12" a="1"/>
  <c r="CC28" i="12" s="1"/>
  <c r="CB19" i="12" a="1"/>
  <c r="CB19" i="12" s="1"/>
  <c r="CG32" i="12" a="1"/>
  <c r="CG32" i="12" s="1"/>
  <c r="CI25" i="12" a="1"/>
  <c r="CI25" i="12" s="1"/>
  <c r="CG28" i="12" a="1"/>
  <c r="CG28" i="12" s="1"/>
  <c r="BW28" i="12" a="1"/>
  <c r="BW28" i="12" s="1"/>
  <c r="CE17" i="12" a="1"/>
  <c r="CE17" i="12" s="1"/>
  <c r="CG23" i="12" a="1"/>
  <c r="CG23" i="12" s="1"/>
  <c r="BU23" i="12" a="1"/>
  <c r="BU23" i="12" s="1"/>
  <c r="BZ31" i="12" a="1"/>
  <c r="BZ31" i="12" s="1"/>
  <c r="CC34" i="12" a="1"/>
  <c r="CC34" i="12" s="1"/>
  <c r="CD25" i="12" a="1"/>
  <c r="CD25" i="12" s="1"/>
  <c r="CA16" i="12" a="1"/>
  <c r="CA16" i="12" s="1"/>
  <c r="CF20" i="12" a="1"/>
  <c r="CF20" i="12" s="1"/>
  <c r="CC15" i="12" a="1"/>
  <c r="CC15" i="12" s="1"/>
  <c r="CE15" i="12" a="1"/>
  <c r="CE15" i="12" s="1"/>
  <c r="BZ16" i="12" a="1"/>
  <c r="BZ16" i="12" s="1"/>
  <c r="CD22" i="12" a="1"/>
  <c r="CD22" i="12" s="1"/>
  <c r="CH29" i="12" a="1"/>
  <c r="CH29" i="12" s="1"/>
  <c r="BY26" i="12" a="1"/>
  <c r="BY26" i="12" s="1"/>
  <c r="CJ20" i="12" a="1"/>
  <c r="CJ20" i="12" s="1"/>
  <c r="CC29" i="12" a="1"/>
  <c r="CC29" i="12" s="1"/>
  <c r="BT30" i="12" a="1"/>
  <c r="BT30" i="12" s="1"/>
  <c r="CA24" i="12" a="1"/>
  <c r="CA24" i="12" s="1"/>
  <c r="CF33" i="12" a="1"/>
  <c r="CF33" i="12" s="1"/>
  <c r="CB18" i="12" a="1"/>
  <c r="CB18" i="12" s="1"/>
  <c r="BW18" i="12" a="1"/>
  <c r="BW18" i="12" s="1"/>
  <c r="CD24" i="12" a="1"/>
  <c r="CD24" i="12" s="1"/>
  <c r="CD26" i="12" a="1"/>
  <c r="CD26" i="12" s="1"/>
  <c r="CD27" i="12" a="1"/>
  <c r="CD27" i="12" s="1"/>
  <c r="BT17" i="12" a="1"/>
  <c r="BT17" i="12" s="1"/>
  <c r="BT23" i="12" a="1"/>
  <c r="BT23" i="12" s="1"/>
  <c r="BZ18" i="12" a="1"/>
  <c r="BZ18" i="12" s="1"/>
  <c r="CJ28" i="12" a="1"/>
  <c r="CJ28" i="12" s="1"/>
  <c r="BR18" i="12" a="1"/>
  <c r="BR18" i="12" s="1"/>
  <c r="CI28" i="12" a="1"/>
  <c r="CI28" i="12" s="1"/>
  <c r="CA22" i="12" a="1"/>
  <c r="CA22" i="12" s="1"/>
  <c r="BV32" i="12" a="1"/>
  <c r="BV32" i="12" s="1"/>
  <c r="CJ32" i="12" a="1"/>
  <c r="CJ32" i="12" s="1"/>
  <c r="BZ32" i="12" a="1"/>
  <c r="BZ32" i="12" s="1"/>
  <c r="BT15" i="12" a="1"/>
  <c r="BT15" i="12" s="1"/>
  <c r="BU15" i="12" a="1"/>
  <c r="BU15" i="12" s="1"/>
  <c r="BY20" i="12" a="1"/>
  <c r="BY20" i="12" s="1"/>
  <c r="BX33" i="12" a="1"/>
  <c r="BX33" i="12" s="1"/>
  <c r="CA26" i="12" a="1"/>
  <c r="CA26" i="12" s="1"/>
  <c r="BX30" i="12" a="1"/>
  <c r="BX30" i="12" s="1"/>
  <c r="CD34" i="12" a="1"/>
  <c r="CD34" i="12" s="1"/>
  <c r="CD29" i="12" a="1"/>
  <c r="CD29" i="12" s="1"/>
  <c r="CG19" i="12" a="1"/>
  <c r="CG19" i="12" s="1"/>
  <c r="BS24" i="12" a="1"/>
  <c r="BS24" i="12" s="1"/>
  <c r="BV19" i="12" a="1"/>
  <c r="BV19" i="12" s="1"/>
  <c r="CE24" i="12" a="1"/>
  <c r="CE24" i="12" s="1"/>
  <c r="BW23" i="12" a="1"/>
  <c r="BW23" i="12" s="1"/>
  <c r="CI26" i="12" a="1"/>
  <c r="CI26" i="12" s="1"/>
  <c r="BW30" i="12" a="1"/>
  <c r="BW30" i="12" s="1"/>
  <c r="CA23" i="12" a="1"/>
  <c r="CA23" i="12" s="1"/>
  <c r="CA32" i="12" a="1"/>
  <c r="CA32" i="12" s="1"/>
  <c r="BS30" i="12" a="1"/>
  <c r="BS30" i="12" s="1"/>
  <c r="CB23" i="12" a="1"/>
  <c r="CB23" i="12" s="1"/>
  <c r="BX20" i="12" a="1"/>
  <c r="BX20" i="12" s="1"/>
  <c r="BV23" i="12" a="1"/>
  <c r="BV23" i="12" s="1"/>
  <c r="CC26" i="12" a="1"/>
  <c r="CC26" i="12" s="1"/>
  <c r="BU27" i="12" a="1"/>
  <c r="BU27" i="12" s="1"/>
  <c r="BW26" i="12" a="1"/>
  <c r="BW26" i="12" s="1"/>
  <c r="BR30" i="12" a="1"/>
  <c r="BR30" i="12" s="1"/>
  <c r="BT33" i="12" a="1"/>
  <c r="BT33" i="12" s="1"/>
  <c r="CB15" i="12" a="1"/>
  <c r="CB15" i="12" s="1"/>
  <c r="BR15" i="12" a="1"/>
  <c r="BR15" i="12" s="1"/>
  <c r="CJ30" i="12" a="1"/>
  <c r="CJ30" i="12" s="1"/>
  <c r="BX29" i="12" a="1"/>
  <c r="BX29" i="12" s="1"/>
  <c r="BX21" i="12" a="1"/>
  <c r="BX21" i="12" s="1"/>
  <c r="BY34" i="12" a="1"/>
  <c r="BY34" i="12" s="1"/>
  <c r="BX17" i="12" a="1"/>
  <c r="BX17" i="12" s="1"/>
  <c r="BZ21" i="12" a="1"/>
  <c r="BZ21" i="12" s="1"/>
  <c r="CG30" i="12" a="1"/>
  <c r="CG30" i="12" s="1"/>
  <c r="CI18" i="12" a="1"/>
  <c r="CI18" i="12" s="1"/>
  <c r="BS21" i="12" a="1"/>
  <c r="BS21" i="12" s="1"/>
  <c r="CB30" i="12" a="1"/>
  <c r="CB30" i="12" s="1"/>
  <c r="BV28" i="12" a="1"/>
  <c r="BV28" i="12" s="1"/>
  <c r="BT29" i="12" a="1"/>
  <c r="BT29" i="12" s="1"/>
  <c r="CI17" i="12" a="1"/>
  <c r="CI17" i="12" s="1"/>
  <c r="BX18" i="12" a="1"/>
  <c r="BX18" i="12" s="1"/>
  <c r="CC22" i="12" a="1"/>
  <c r="CC22" i="12" s="1"/>
  <c r="BT32" i="12" a="1"/>
  <c r="BT32" i="12" s="1"/>
  <c r="BY18" i="12" a="1"/>
  <c r="BY18" i="12" s="1"/>
  <c r="BT31" i="12" a="1"/>
  <c r="BT31" i="12" s="1"/>
  <c r="CE32" i="12" a="1"/>
  <c r="CE32" i="12" s="1"/>
  <c r="BR17" i="12" a="1"/>
  <c r="BR17" i="12" s="1"/>
  <c r="BR22" i="12" a="1"/>
  <c r="BR22" i="12" s="1"/>
  <c r="BT21" i="12" a="1"/>
  <c r="BT21" i="12" s="1"/>
  <c r="CJ19" i="12" a="1"/>
  <c r="CJ19" i="12" s="1"/>
  <c r="BV27" i="12" a="1"/>
  <c r="BV27" i="12" s="1"/>
  <c r="CH15" i="12" a="1"/>
  <c r="CH15" i="12" s="1"/>
  <c r="CJ15" i="12" a="1"/>
  <c r="CJ15" i="12" s="1"/>
  <c r="BX31" i="12" a="1"/>
  <c r="BX31" i="12" s="1"/>
  <c r="BX34" i="12" a="1"/>
  <c r="BX34" i="12" s="1"/>
  <c r="BU16" i="12" a="1"/>
  <c r="BU16" i="12" s="1"/>
  <c r="CH31" i="12" a="1"/>
  <c r="CH31" i="12" s="1"/>
  <c r="CA30" i="12" a="1"/>
  <c r="CA30" i="12" s="1"/>
  <c r="CA28" i="12" a="1"/>
  <c r="CA28" i="12" s="1"/>
  <c r="CD33" i="12" a="1"/>
  <c r="CD33" i="12" s="1"/>
  <c r="BZ25" i="12" a="1"/>
  <c r="BZ25" i="12" s="1"/>
  <c r="BT24" i="12" a="1"/>
  <c r="BT24" i="12" s="1"/>
  <c r="BR25" i="12" a="1"/>
  <c r="BR25" i="12" s="1"/>
  <c r="BY27" i="12" a="1"/>
  <c r="BY27" i="12" s="1"/>
  <c r="BU34" i="12" a="1"/>
  <c r="BU34" i="12" s="1"/>
  <c r="CI29" i="12" a="1"/>
  <c r="CI29" i="12" s="1"/>
  <c r="CB31" i="12" a="1"/>
  <c r="CB31" i="12" s="1"/>
  <c r="BZ17" i="12" a="1"/>
  <c r="BZ17" i="12" s="1"/>
  <c r="CH27" i="12" a="1"/>
  <c r="CH27" i="12" s="1"/>
  <c r="CF21" i="12" a="1"/>
  <c r="CF21" i="12" s="1"/>
  <c r="BZ20" i="12" a="1"/>
  <c r="BZ20" i="12" s="1"/>
  <c r="CB27" i="12" a="1"/>
  <c r="CB27" i="12" s="1"/>
  <c r="CF26" i="12" a="1"/>
  <c r="CF26" i="12" s="1"/>
  <c r="CH16" i="12" a="1"/>
  <c r="CH16" i="12" s="1"/>
  <c r="BW34" i="12" a="1"/>
  <c r="BW34" i="12" s="1"/>
  <c r="BU17" i="12" a="1"/>
  <c r="BU17" i="12" s="1"/>
  <c r="BS22" i="12" a="1"/>
  <c r="BS22" i="12" s="1"/>
  <c r="BU26" i="12" a="1"/>
  <c r="BU26" i="12" s="1"/>
  <c r="BV33" i="12" a="1"/>
  <c r="BV33" i="12" s="1"/>
  <c r="CG18" i="12" a="1"/>
  <c r="CG18" i="12" s="1"/>
  <c r="CI31" i="12" a="1"/>
  <c r="CI31" i="12" s="1"/>
  <c r="BX24" i="12" a="1"/>
  <c r="BX24" i="12" s="1"/>
  <c r="BZ30" i="12" a="1"/>
  <c r="BZ30" i="12" s="1"/>
  <c r="BY22" i="12" a="1"/>
  <c r="BY22" i="12" s="1"/>
  <c r="BS16" i="12" a="1"/>
  <c r="BS16" i="12" s="1"/>
  <c r="CC25" i="12" a="1"/>
  <c r="CC25" i="12" s="1"/>
  <c r="CA33" i="12" a="1"/>
  <c r="CA33" i="12" s="1"/>
  <c r="CD23" i="12" a="1"/>
  <c r="CD23" i="12" s="1"/>
  <c r="CI16" i="12" a="1"/>
  <c r="CI16" i="12" s="1"/>
  <c r="BS31" i="12" a="1"/>
  <c r="BS31" i="12" s="1"/>
  <c r="BX25" i="12" a="1"/>
  <c r="BX25" i="12" s="1"/>
  <c r="BS20" i="12" a="1"/>
  <c r="BS20" i="12" s="1"/>
  <c r="BX19" i="12" a="1"/>
  <c r="BX19" i="12" s="1"/>
  <c r="CH26" i="12" a="1"/>
  <c r="CH26" i="12" s="1"/>
  <c r="BS18" i="12" a="1"/>
  <c r="BS18" i="12" s="1"/>
  <c r="BW19" i="12" a="1"/>
  <c r="BW19" i="12" s="1"/>
  <c r="BV26" i="12" a="1"/>
  <c r="BV26" i="12" s="1"/>
  <c r="CI30" i="12" a="1"/>
  <c r="CI30" i="12" s="1"/>
  <c r="BU31" i="12" a="1"/>
  <c r="BU31" i="12" s="1"/>
  <c r="CF28" i="12" a="1"/>
  <c r="CF28" i="12" s="1"/>
  <c r="CF31" i="12" a="1"/>
  <c r="CF31" i="12" s="1"/>
  <c r="CH23" i="12" a="1"/>
  <c r="CH23" i="12" s="1"/>
  <c r="CJ22" i="12" a="1"/>
  <c r="CJ22" i="12" s="1"/>
  <c r="CD16" i="12" a="1"/>
  <c r="CD16" i="12" s="1"/>
  <c r="CI19" i="12" a="1"/>
  <c r="CI19" i="12" s="1"/>
  <c r="CE20" i="12" a="1"/>
  <c r="CE20" i="12" s="1"/>
  <c r="BS33" i="12" a="1"/>
  <c r="BS33" i="12" s="1"/>
  <c r="BX27" i="12" a="1"/>
  <c r="BX27" i="12" s="1"/>
  <c r="BV17" i="12" a="1"/>
  <c r="BV17" i="12" s="1"/>
  <c r="CA21" i="12" a="1"/>
  <c r="CA21" i="12" s="1"/>
  <c r="CD18" i="12" a="1"/>
  <c r="CD18" i="12" s="1"/>
  <c r="BZ22" i="12" a="1"/>
  <c r="BZ22" i="12" s="1"/>
  <c r="CB32" i="12" a="1"/>
  <c r="CB32" i="12" s="1"/>
  <c r="CF32" i="12" a="1"/>
  <c r="CF32" i="12" s="1"/>
  <c r="BS15" i="12" a="1"/>
  <c r="BS15" i="12" s="1"/>
  <c r="BY17" i="12" a="1"/>
  <c r="BY17" i="12" s="1"/>
  <c r="CE21" i="12" a="1"/>
  <c r="CE21" i="12" s="1"/>
  <c r="CG34" i="12" a="1"/>
  <c r="CG34" i="12" s="1"/>
  <c r="CH30" i="12" a="1"/>
  <c r="CH30" i="12" s="1"/>
  <c r="BY30" i="12" a="1"/>
  <c r="BY30" i="12" s="1"/>
  <c r="CA34" i="12" a="1"/>
  <c r="CA34" i="12" s="1"/>
  <c r="BW27" i="12" a="1"/>
  <c r="BW27" i="12" s="1"/>
  <c r="CI24" i="12" a="1"/>
  <c r="CI24" i="12" s="1"/>
  <c r="BY25" i="12" a="1"/>
  <c r="BY25" i="12" s="1"/>
  <c r="BT28" i="12" a="1"/>
  <c r="BT28" i="12" s="1"/>
  <c r="CC30" i="12" a="1"/>
  <c r="CC30" i="12" s="1"/>
  <c r="CH18" i="12" a="1"/>
  <c r="CH18" i="12" s="1"/>
  <c r="CE18" i="12" a="1"/>
  <c r="CE18" i="12" s="1"/>
  <c r="CG17" i="12" a="1"/>
  <c r="CG17" i="12" s="1"/>
  <c r="CJ26" i="12" a="1"/>
  <c r="CJ26" i="12" s="1"/>
  <c r="BS29" i="12" a="1"/>
  <c r="BS29" i="12" s="1"/>
  <c r="BU21" i="12" a="1"/>
  <c r="BU21" i="12" s="1"/>
  <c r="CI27" i="12" a="1"/>
  <c r="CI27" i="12" s="1"/>
  <c r="BV21" i="12" a="1"/>
  <c r="BV21" i="12" s="1"/>
  <c r="BS28" i="12" a="1"/>
  <c r="BS28" i="12" s="1"/>
  <c r="BX16" i="12" a="1"/>
  <c r="BX16" i="12" s="1"/>
  <c r="BV25" i="12" a="1"/>
  <c r="BV25" i="12" s="1"/>
  <c r="BW17" i="12" a="1"/>
  <c r="BW17" i="12" s="1"/>
  <c r="CG27" i="12" a="1"/>
  <c r="CG27" i="12" s="1"/>
  <c r="BW20" i="12" a="1"/>
  <c r="BW20" i="12" s="1"/>
  <c r="BY32" i="12" a="1"/>
  <c r="BY32" i="12" s="1"/>
  <c r="BW16" i="12" a="1"/>
  <c r="BW16" i="12" s="1"/>
  <c r="BZ27" i="12" a="1"/>
  <c r="BZ27" i="12" s="1"/>
  <c r="BZ34" i="12" a="1"/>
  <c r="BZ34" i="12" s="1"/>
  <c r="BR29" i="12" a="1"/>
  <c r="BR29" i="12" s="1"/>
  <c r="CB17" i="12" a="1"/>
  <c r="CB17" i="12" s="1"/>
  <c r="BZ15" i="12" a="1"/>
  <c r="BZ15" i="12" s="1"/>
  <c r="CG16" i="12" a="1"/>
  <c r="CG16" i="12" s="1"/>
  <c r="BU32" i="12" a="1"/>
  <c r="BU32" i="12" s="1"/>
  <c r="BQ28" i="12" a="1"/>
  <c r="BQ28" i="12" s="1"/>
  <c r="CD15" i="12" a="1"/>
  <c r="CD15" i="12" s="1"/>
  <c r="BY16" i="12" a="1"/>
  <c r="BY16" i="12" s="1"/>
  <c r="CB16" i="12" a="1"/>
  <c r="CB16" i="12" s="1"/>
  <c r="BS23" i="12" a="1"/>
  <c r="BS23" i="12" s="1"/>
  <c r="CE25" i="12" a="1"/>
  <c r="CE25" i="12" s="1"/>
  <c r="CG24" i="12" a="1"/>
  <c r="CG24" i="12" s="1"/>
  <c r="CF17" i="12" a="1"/>
  <c r="CF17" i="12" s="1"/>
  <c r="BW31" i="12" a="1"/>
  <c r="BW31" i="12" s="1"/>
  <c r="CH17" i="12" a="1"/>
  <c r="CH17" i="12" s="1"/>
  <c r="BV30" i="12" a="1"/>
  <c r="BV30" i="12" s="1"/>
  <c r="CE22" i="12" a="1"/>
  <c r="CE22" i="12" s="1"/>
  <c r="CB34" i="12" a="1"/>
  <c r="CB34" i="12" s="1"/>
  <c r="CJ33" i="12" a="1"/>
  <c r="CJ33" i="12" s="1"/>
  <c r="BW32" i="12" a="1"/>
  <c r="BW32" i="12" s="1"/>
  <c r="CD20" i="12" a="1"/>
  <c r="CD20" i="12" s="1"/>
  <c r="CB21" i="12" a="1"/>
  <c r="CB21" i="12" s="1"/>
  <c r="CI23" i="12" a="1"/>
  <c r="CI23" i="12" s="1"/>
  <c r="BS34" i="12" a="1"/>
  <c r="BS34" i="12" s="1"/>
  <c r="CF22" i="12" a="1"/>
  <c r="CF22" i="12" s="1"/>
  <c r="CB29" i="12" a="1"/>
  <c r="CB29" i="12" s="1"/>
  <c r="BR23" i="12" a="1"/>
  <c r="BR23" i="12" s="1"/>
  <c r="CC16" i="12" a="1"/>
  <c r="CC16" i="12" s="1"/>
  <c r="CE33" i="12" a="1"/>
  <c r="CE33" i="12" s="1"/>
  <c r="CH33" i="12" a="1"/>
  <c r="CH33" i="12" s="1"/>
  <c r="CC21" i="12" a="1"/>
  <c r="CC21" i="12" s="1"/>
  <c r="CC31" i="12" a="1"/>
  <c r="CC31" i="12" s="1"/>
  <c r="BW29" i="12" a="1"/>
  <c r="BW29" i="12" s="1"/>
  <c r="BW22" i="12" a="1"/>
  <c r="BW22" i="12" s="1"/>
  <c r="CH19" i="12" a="1"/>
  <c r="CH19" i="12" s="1"/>
  <c r="BQ34" i="12" a="1"/>
  <c r="BQ34" i="12" s="1"/>
  <c r="CI15" i="12" a="1"/>
  <c r="CI15" i="12" s="1"/>
  <c r="CA18" i="12" a="1"/>
  <c r="CA18" i="12" s="1"/>
  <c r="BU30" i="12" a="1"/>
  <c r="BU30" i="12" s="1"/>
  <c r="CC18" i="12" a="1"/>
  <c r="CC18" i="12" s="1"/>
  <c r="CB20" i="12" a="1"/>
  <c r="CB20" i="12" s="1"/>
  <c r="CD19" i="12" a="1"/>
  <c r="CD19" i="12" s="1"/>
  <c r="CH20" i="12" a="1"/>
  <c r="CH20" i="12" s="1"/>
  <c r="CF25" i="12" a="1"/>
  <c r="CF25" i="12" s="1"/>
  <c r="BT34" i="12" a="1"/>
  <c r="BT34" i="12" s="1"/>
  <c r="BS32" i="12" a="1"/>
  <c r="BS32" i="12" s="1"/>
  <c r="CE34" i="12" a="1"/>
  <c r="CE34" i="12" s="1"/>
  <c r="BY29" i="12" a="1"/>
  <c r="BY29" i="12" s="1"/>
  <c r="BX23" i="12" a="1"/>
  <c r="BX23" i="12" s="1"/>
  <c r="CI21" i="12" a="1"/>
  <c r="CI21" i="12" s="1"/>
  <c r="BY21" i="12" a="1"/>
  <c r="BY21" i="12" s="1"/>
  <c r="CF23" i="12" a="1"/>
  <c r="CF23" i="12" s="1"/>
  <c r="CF18" i="12" a="1"/>
  <c r="CF18" i="12" s="1"/>
  <c r="CF24" i="12" a="1"/>
  <c r="CF24" i="12" s="1"/>
  <c r="CC17" i="12" a="1"/>
  <c r="CC17" i="12" s="1"/>
  <c r="CH21" i="12" a="1"/>
  <c r="CH21" i="12" s="1"/>
  <c r="BR26" i="12" a="1"/>
  <c r="BR26" i="12" s="1"/>
  <c r="BV34" i="12" a="1"/>
  <c r="BV34" i="12" s="1"/>
  <c r="CF27" i="12" a="1"/>
  <c r="CF27" i="12" s="1"/>
  <c r="BR21" i="12" a="1"/>
  <c r="BR21" i="12" s="1"/>
  <c r="CH24" i="12" a="1"/>
  <c r="CH24" i="12" s="1"/>
  <c r="BZ26" i="12" a="1"/>
  <c r="BZ26" i="12" s="1"/>
  <c r="BZ23" i="12" a="1"/>
  <c r="BZ23" i="12" s="1"/>
  <c r="BU20" i="12" a="1"/>
  <c r="BU20" i="12" s="1"/>
  <c r="BQ20" i="12" a="1"/>
  <c r="BQ20" i="12" s="1"/>
  <c r="BX15" i="12" a="1"/>
  <c r="BX15" i="12" s="1"/>
  <c r="CI22" i="12" a="1"/>
  <c r="CI22" i="12" s="1"/>
  <c r="BV31" i="12" a="1"/>
  <c r="BV31" i="12" s="1"/>
  <c r="CC32" i="12" a="1"/>
  <c r="CC32" i="12" s="1"/>
  <c r="CJ21" i="12" a="1"/>
  <c r="CJ21" i="12" s="1"/>
  <c r="BR28" i="12" a="1"/>
  <c r="BR28" i="12" s="1"/>
  <c r="CJ29" i="12" a="1"/>
  <c r="CJ29" i="12" s="1"/>
  <c r="CC20" i="12" a="1"/>
  <c r="CC20" i="12" s="1"/>
  <c r="CH28" i="12" a="1"/>
  <c r="CH28" i="12" s="1"/>
  <c r="CI34" i="12" a="1"/>
  <c r="CI34" i="12" s="1"/>
  <c r="CE19" i="12" a="1"/>
  <c r="CE19" i="12" s="1"/>
  <c r="BV24" i="12" a="1"/>
  <c r="BV24" i="12" s="1"/>
  <c r="BU18" i="12" a="1"/>
  <c r="BU18" i="12" s="1"/>
  <c r="CA17" i="12" a="1"/>
  <c r="CA17" i="12" s="1"/>
  <c r="BZ29" i="12" a="1"/>
  <c r="BZ29" i="12" s="1"/>
  <c r="BR19" i="12" a="1"/>
  <c r="BR19" i="12" s="1"/>
  <c r="CC23" i="12" a="1"/>
  <c r="CC23" i="12" s="1"/>
  <c r="BY33" i="12" a="1"/>
  <c r="BY33" i="12" s="1"/>
  <c r="BV22" i="12" a="1"/>
  <c r="BV22" i="12" s="1"/>
  <c r="CE16" i="12" a="1"/>
  <c r="CE16" i="12" s="1"/>
  <c r="CC19" i="12" a="1"/>
  <c r="CC19" i="12" s="1"/>
  <c r="CJ27" i="12" a="1"/>
  <c r="CJ27" i="12" s="1"/>
  <c r="BR34" i="12" a="1"/>
  <c r="BR34" i="12" s="1"/>
  <c r="CJ31" i="12" a="1"/>
  <c r="CJ31" i="12" s="1"/>
  <c r="CB28" i="12" a="1"/>
  <c r="CB28" i="12" s="1"/>
  <c r="BQ21" i="12" a="1"/>
  <c r="BQ21" i="12" s="1"/>
  <c r="BQ25" i="12" a="1"/>
  <c r="BQ25" i="12" s="1"/>
  <c r="BQ27" i="12" a="1"/>
  <c r="BQ27" i="12" s="1"/>
  <c r="BQ18" i="12" a="1"/>
  <c r="BQ18" i="12" s="1"/>
  <c r="BQ30" i="12" a="1"/>
  <c r="BQ30" i="12" s="1"/>
  <c r="BQ31" i="12" a="1"/>
  <c r="BQ31" i="12" s="1"/>
  <c r="BQ33" i="12" a="1"/>
  <c r="BQ33" i="12" s="1"/>
  <c r="BQ24" i="12" a="1"/>
  <c r="BQ24" i="12" s="1"/>
  <c r="BQ23" i="12" a="1"/>
  <c r="BQ23" i="12" s="1"/>
  <c r="BQ17" i="12" a="1"/>
  <c r="BQ17" i="12" s="1"/>
  <c r="BQ19" i="12" a="1"/>
  <c r="BQ19" i="12" s="1"/>
  <c r="BQ22" i="12" a="1"/>
  <c r="BQ22" i="12" s="1"/>
  <c r="BQ16" i="12" a="1"/>
  <c r="BQ16" i="12" s="1"/>
  <c r="CI31" i="10" a="1"/>
  <c r="CI31" i="10" s="1"/>
  <c r="CD15" i="10" a="1"/>
  <c r="CD15" i="10" s="1"/>
  <c r="CF15" i="10" a="1"/>
  <c r="CF15" i="10" s="1"/>
  <c r="CI20" i="10" a="1"/>
  <c r="CI20" i="10" s="1"/>
  <c r="CE33" i="10" a="1"/>
  <c r="CE33" i="10" s="1"/>
  <c r="CE23" i="10" a="1"/>
  <c r="CE23" i="10" s="1"/>
  <c r="BT20" i="10" a="1"/>
  <c r="BT20" i="10" s="1"/>
  <c r="BU25" i="10" a="1"/>
  <c r="BU25" i="10" s="1"/>
  <c r="BU23" i="10" a="1"/>
  <c r="BU23" i="10" s="1"/>
  <c r="BR18" i="10" a="1"/>
  <c r="BR18" i="10" s="1"/>
  <c r="BR26" i="10" a="1"/>
  <c r="BR26" i="10" s="1"/>
  <c r="BY31" i="10" a="1"/>
  <c r="BY31" i="10" s="1"/>
  <c r="CB15" i="10" a="1"/>
  <c r="CB15" i="10" s="1"/>
  <c r="BS25" i="10" a="1"/>
  <c r="BS25" i="10" s="1"/>
  <c r="CH15" i="10" a="1"/>
  <c r="CH15" i="10" s="1"/>
  <c r="BV16" i="10" a="1"/>
  <c r="BV16" i="10" s="1"/>
  <c r="BS15" i="10" a="1"/>
  <c r="BS15" i="10" s="1"/>
  <c r="BU18" i="10" a="1"/>
  <c r="BU18" i="10" s="1"/>
  <c r="CD32" i="10" a="1"/>
  <c r="CD32" i="10" s="1"/>
  <c r="BT21" i="10" a="1"/>
  <c r="BT21" i="10" s="1"/>
  <c r="BX15" i="10" a="1"/>
  <c r="BX15" i="10" s="1"/>
  <c r="CB20" i="10" a="1"/>
  <c r="CB20" i="10" s="1"/>
  <c r="BX17" i="10" a="1"/>
  <c r="BX17" i="10" s="1"/>
  <c r="CG28" i="10" a="1"/>
  <c r="CG28" i="10" s="1"/>
  <c r="CD19" i="10" a="1"/>
  <c r="CD19" i="10" s="1"/>
  <c r="BY27" i="10" a="1"/>
  <c r="BY27" i="10" s="1"/>
  <c r="BT30" i="10" a="1"/>
  <c r="BT30" i="10" s="1"/>
  <c r="CG24" i="10" a="1"/>
  <c r="CG24" i="10" s="1"/>
  <c r="CE27" i="10" a="1"/>
  <c r="CE27" i="10" s="1"/>
  <c r="BT24" i="10" a="1"/>
  <c r="BT24" i="10" s="1"/>
  <c r="CF23" i="10" a="1"/>
  <c r="CF23" i="10" s="1"/>
  <c r="BY16" i="10" a="1"/>
  <c r="BY16" i="10" s="1"/>
  <c r="BY17" i="10" a="1"/>
  <c r="BY17" i="10" s="1"/>
  <c r="BT28" i="10" a="1"/>
  <c r="BT28" i="10" s="1"/>
  <c r="BX19" i="10" a="1"/>
  <c r="BX19" i="10" s="1"/>
  <c r="BZ17" i="10" a="1"/>
  <c r="BZ17" i="10" s="1"/>
  <c r="BT32" i="10" a="1"/>
  <c r="BT32" i="10" s="1"/>
  <c r="CF28" i="10" a="1"/>
  <c r="CF28" i="10" s="1"/>
  <c r="BS24" i="10" a="1"/>
  <c r="BS24" i="10" s="1"/>
  <c r="CB33" i="10" a="1"/>
  <c r="CB33" i="10" s="1"/>
  <c r="CB32" i="10" a="1"/>
  <c r="CB32" i="10" s="1"/>
  <c r="BS18" i="10" a="1"/>
  <c r="BS18" i="10" s="1"/>
  <c r="BY34" i="10" a="1"/>
  <c r="BY34" i="10" s="1"/>
  <c r="BT33" i="10" a="1"/>
  <c r="BT33" i="10" s="1"/>
  <c r="BQ22" i="10" a="1"/>
  <c r="BQ22" i="10" s="1"/>
  <c r="CJ23" i="10" a="1"/>
  <c r="CJ23" i="10" s="1"/>
  <c r="CC34" i="10" a="1"/>
  <c r="CC34" i="10" s="1"/>
  <c r="CF29" i="10" a="1"/>
  <c r="CF29" i="10" s="1"/>
  <c r="BV27" i="10" a="1"/>
  <c r="BV27" i="10" s="1"/>
  <c r="BQ21" i="10" a="1"/>
  <c r="BQ21" i="10" s="1"/>
  <c r="BV31" i="10" a="1"/>
  <c r="BV31" i="10" s="1"/>
  <c r="BS29" i="10" a="1"/>
  <c r="BS29" i="10" s="1"/>
  <c r="CC24" i="10" a="1"/>
  <c r="CC24" i="10" s="1"/>
  <c r="BS22" i="10" a="1"/>
  <c r="BS22" i="10" s="1"/>
  <c r="BQ34" i="10" a="1"/>
  <c r="BQ34" i="10" s="1"/>
  <c r="BS26" i="10" a="1"/>
  <c r="BS26" i="10" s="1"/>
  <c r="BR34" i="10" a="1"/>
  <c r="BR34" i="10" s="1"/>
  <c r="BZ19" i="10" a="1"/>
  <c r="BZ19" i="10" s="1"/>
  <c r="CF26" i="10" a="1"/>
  <c r="CF26" i="10" s="1"/>
  <c r="CE21" i="10" a="1"/>
  <c r="CE21" i="10" s="1"/>
  <c r="BU21" i="10" a="1"/>
  <c r="BU21" i="10" s="1"/>
  <c r="BZ33" i="10" a="1"/>
  <c r="BZ33" i="10" s="1"/>
  <c r="BW30" i="10" a="1"/>
  <c r="BW30" i="10" s="1"/>
  <c r="CF22" i="10" a="1"/>
  <c r="CF22" i="10" s="1"/>
  <c r="BW23" i="10" a="1"/>
  <c r="BW23" i="10" s="1"/>
  <c r="BU24" i="10" a="1"/>
  <c r="BU24" i="10" s="1"/>
  <c r="CI19" i="10" a="1"/>
  <c r="CI19" i="10" s="1"/>
  <c r="BT31" i="10" a="1"/>
  <c r="BT31" i="10" s="1"/>
  <c r="BR28" i="10" a="1"/>
  <c r="BR28" i="10" s="1"/>
  <c r="CI17" i="10" a="1"/>
  <c r="CI17" i="10" s="1"/>
  <c r="CH27" i="10" a="1"/>
  <c r="CH27" i="10" s="1"/>
  <c r="CB16" i="10" a="1"/>
  <c r="CB16" i="10" s="1"/>
  <c r="CA28" i="10" a="1"/>
  <c r="CA28" i="10" s="1"/>
  <c r="BW28" i="10" a="1"/>
  <c r="BW28" i="10" s="1"/>
  <c r="BR31" i="10" a="1"/>
  <c r="BR31" i="10" s="1"/>
  <c r="CC17" i="10" a="1"/>
  <c r="CC17" i="10" s="1"/>
  <c r="CJ26" i="10" a="1"/>
  <c r="CJ26" i="10" s="1"/>
  <c r="BS34" i="10" a="1"/>
  <c r="BS34" i="10" s="1"/>
  <c r="CI26" i="10" a="1"/>
  <c r="CI26" i="10" s="1"/>
  <c r="BU32" i="10" a="1"/>
  <c r="BU32" i="10" s="1"/>
  <c r="CD27" i="10" a="1"/>
  <c r="CD27" i="10" s="1"/>
  <c r="CF33" i="10" a="1"/>
  <c r="CF33" i="10" s="1"/>
  <c r="BU22" i="10" a="1"/>
  <c r="BU22" i="10" s="1"/>
  <c r="BW34" i="10" a="1"/>
  <c r="BW34" i="10" s="1"/>
  <c r="CC32" i="10" a="1"/>
  <c r="CC32" i="10" s="1"/>
  <c r="BT23" i="10" a="1"/>
  <c r="BT23" i="10" s="1"/>
  <c r="CG23" i="10" a="1"/>
  <c r="CG23" i="10" s="1"/>
  <c r="BS31" i="10" a="1"/>
  <c r="BS31" i="10" s="1"/>
  <c r="CH17" i="10" a="1"/>
  <c r="CH17" i="10" s="1"/>
  <c r="CG17" i="10" a="1"/>
  <c r="CG17" i="10" s="1"/>
  <c r="CI30" i="10" a="1"/>
  <c r="CI30" i="10" s="1"/>
  <c r="CG27" i="10" a="1"/>
  <c r="CG27" i="10" s="1"/>
  <c r="CJ31" i="10" a="1"/>
  <c r="CJ31" i="10" s="1"/>
  <c r="CG34" i="10" a="1"/>
  <c r="CG34" i="10" s="1"/>
  <c r="CH25" i="10" a="1"/>
  <c r="CH25" i="10" s="1"/>
  <c r="CG33" i="10" a="1"/>
  <c r="CG33" i="10" s="1"/>
  <c r="BZ34" i="10" a="1"/>
  <c r="BZ34" i="10" s="1"/>
  <c r="CJ17" i="10" a="1"/>
  <c r="CJ17" i="10" s="1"/>
  <c r="CA27" i="10" a="1"/>
  <c r="CA27" i="10" s="1"/>
  <c r="CB21" i="10" a="1"/>
  <c r="CB21" i="10" s="1"/>
  <c r="BW20" i="10" a="1"/>
  <c r="BW20" i="10" s="1"/>
  <c r="BZ27" i="10" a="1"/>
  <c r="BZ27" i="10" s="1"/>
  <c r="BY25" i="10" a="1"/>
  <c r="BY25" i="10" s="1"/>
  <c r="CC18" i="10" a="1"/>
  <c r="CC18" i="10" s="1"/>
  <c r="CG26" i="10" a="1"/>
  <c r="CG26" i="10" s="1"/>
  <c r="CJ21" i="10" a="1"/>
  <c r="CJ21" i="10" s="1"/>
  <c r="CJ15" i="10" a="1"/>
  <c r="CJ15" i="10" s="1"/>
  <c r="BY15" i="10" a="1"/>
  <c r="BY15" i="10" s="1"/>
  <c r="CF20" i="10" a="1"/>
  <c r="CF20" i="10" s="1"/>
  <c r="CH31" i="10" a="1"/>
  <c r="CH31" i="10" s="1"/>
  <c r="CC30" i="10" a="1"/>
  <c r="CC30" i="10" s="1"/>
  <c r="BX20" i="10" a="1"/>
  <c r="BX20" i="10" s="1"/>
  <c r="CB23" i="10" a="1"/>
  <c r="CB23" i="10" s="1"/>
  <c r="BT25" i="10" a="1"/>
  <c r="BT25" i="10" s="1"/>
  <c r="CJ24" i="10" a="1"/>
  <c r="CJ24" i="10" s="1"/>
  <c r="BR33" i="10" a="1"/>
  <c r="BR33" i="10" s="1"/>
  <c r="BW18" i="10" a="1"/>
  <c r="BW18" i="10" s="1"/>
  <c r="CA33" i="10" a="1"/>
  <c r="CA33" i="10" s="1"/>
  <c r="CF24" i="10" a="1"/>
  <c r="CF24" i="10" s="1"/>
  <c r="CI16" i="10" a="1"/>
  <c r="CI16" i="10" s="1"/>
  <c r="CH21" i="10" a="1"/>
  <c r="CH21" i="10" s="1"/>
  <c r="CA23" i="10" a="1"/>
  <c r="CA23" i="10" s="1"/>
  <c r="CA24" i="10" a="1"/>
  <c r="CA24" i="10" s="1"/>
  <c r="BX29" i="10" a="1"/>
  <c r="BX29" i="10" s="1"/>
  <c r="CB18" i="10" a="1"/>
  <c r="CB18" i="10" s="1"/>
  <c r="CC28" i="10" a="1"/>
  <c r="CC28" i="10" s="1"/>
  <c r="BY28" i="10" a="1"/>
  <c r="BY28" i="10" s="1"/>
  <c r="CJ33" i="10" a="1"/>
  <c r="CJ33" i="10" s="1"/>
  <c r="CH29" i="10" a="1"/>
  <c r="CH29" i="10" s="1"/>
  <c r="CD29" i="10" a="1"/>
  <c r="CD29" i="10" s="1"/>
  <c r="CD21" i="10" a="1"/>
  <c r="CD21" i="10" s="1"/>
  <c r="CD18" i="10" a="1"/>
  <c r="CD18" i="10" s="1"/>
  <c r="BV15" i="10" a="1"/>
  <c r="BV15" i="10" s="1"/>
  <c r="BW15" i="10" a="1"/>
  <c r="BW15" i="10" s="1"/>
  <c r="CF16" i="10" a="1"/>
  <c r="CF16" i="10" s="1"/>
  <c r="BV32" i="10" a="1"/>
  <c r="BV32" i="10" s="1"/>
  <c r="BZ18" i="10" a="1"/>
  <c r="BZ18" i="10" s="1"/>
  <c r="BR19" i="10" a="1"/>
  <c r="BR19" i="10" s="1"/>
  <c r="BY18" i="10" a="1"/>
  <c r="BY18" i="10" s="1"/>
  <c r="CD26" i="10" a="1"/>
  <c r="CD26" i="10" s="1"/>
  <c r="CG19" i="10" a="1"/>
  <c r="CG19" i="10" s="1"/>
  <c r="CG21" i="10" a="1"/>
  <c r="CG21" i="10" s="1"/>
  <c r="BZ16" i="10" a="1"/>
  <c r="BZ16" i="10" s="1"/>
  <c r="BZ22" i="10" a="1"/>
  <c r="BZ22" i="10" s="1"/>
  <c r="CF27" i="10" a="1"/>
  <c r="CF27" i="10" s="1"/>
  <c r="CD34" i="10" a="1"/>
  <c r="CD34" i="10" s="1"/>
  <c r="BU29" i="10" a="1"/>
  <c r="BU29" i="10" s="1"/>
  <c r="BX18" i="10" a="1"/>
  <c r="BX18" i="10" s="1"/>
  <c r="BU28" i="10" a="1"/>
  <c r="BU28" i="10" s="1"/>
  <c r="BZ23" i="10" a="1"/>
  <c r="BZ23" i="10" s="1"/>
  <c r="BY21" i="10" a="1"/>
  <c r="BY21" i="10" s="1"/>
  <c r="CJ18" i="10" a="1"/>
  <c r="CJ18" i="10" s="1"/>
  <c r="BW31" i="10" a="1"/>
  <c r="BW31" i="10" s="1"/>
  <c r="CB31" i="10" a="1"/>
  <c r="CB31" i="10" s="1"/>
  <c r="BT29" i="10" a="1"/>
  <c r="BT29" i="10" s="1"/>
  <c r="BR24" i="10" a="1"/>
  <c r="BR24" i="10" s="1"/>
  <c r="CA16" i="10" a="1"/>
  <c r="CA16" i="10" s="1"/>
  <c r="CI24" i="10" a="1"/>
  <c r="CI24" i="10" s="1"/>
  <c r="BU15" i="10" a="1"/>
  <c r="BU15" i="10" s="1"/>
  <c r="BR15" i="10" a="1"/>
  <c r="BR15" i="10" s="1"/>
  <c r="BY24" i="10" a="1"/>
  <c r="BY24" i="10" s="1"/>
  <c r="BU31" i="10" a="1"/>
  <c r="BU31" i="10" s="1"/>
  <c r="CD20" i="10" a="1"/>
  <c r="CD20" i="10" s="1"/>
  <c r="BW16" i="10" a="1"/>
  <c r="BW16" i="10" s="1"/>
  <c r="CC16" i="10" a="1"/>
  <c r="CC16" i="10" s="1"/>
  <c r="BV21" i="10" a="1"/>
  <c r="BV21" i="10" s="1"/>
  <c r="CC33" i="10" a="1"/>
  <c r="CC33" i="10" s="1"/>
  <c r="BU26" i="10" a="1"/>
  <c r="BU26" i="10" s="1"/>
  <c r="CI29" i="10" a="1"/>
  <c r="CI29" i="10" s="1"/>
  <c r="BW17" i="10" a="1"/>
  <c r="BW17" i="10" s="1"/>
  <c r="CB22" i="10" a="1"/>
  <c r="CB22" i="10" s="1"/>
  <c r="BU34" i="10" a="1"/>
  <c r="BU34" i="10" s="1"/>
  <c r="CH34" i="10" a="1"/>
  <c r="CH34" i="10" s="1"/>
  <c r="BV22" i="10" a="1"/>
  <c r="BV22" i="10" s="1"/>
  <c r="BV19" i="10" a="1"/>
  <c r="BV19" i="10" s="1"/>
  <c r="CF31" i="10" a="1"/>
  <c r="CF31" i="10" s="1"/>
  <c r="CA29" i="10" a="1"/>
  <c r="CA29" i="10" s="1"/>
  <c r="CE26" i="10" a="1"/>
  <c r="CE26" i="10" s="1"/>
  <c r="CF25" i="10" a="1"/>
  <c r="CF25" i="10" s="1"/>
  <c r="BX34" i="10" a="1"/>
  <c r="BX34" i="10" s="1"/>
  <c r="BX32" i="10" a="1"/>
  <c r="BX32" i="10" s="1"/>
  <c r="CE20" i="10" a="1"/>
  <c r="CE20" i="10" s="1"/>
  <c r="BY20" i="10" a="1"/>
  <c r="BY20" i="10" s="1"/>
  <c r="BX24" i="10" a="1"/>
  <c r="BX24" i="10" s="1"/>
  <c r="CA15" i="10" a="1"/>
  <c r="CA15" i="10" s="1"/>
  <c r="CC15" i="10" a="1"/>
  <c r="CC15" i="10" s="1"/>
  <c r="BS32" i="10" a="1"/>
  <c r="BS32" i="10" s="1"/>
  <c r="BV29" i="10" a="1"/>
  <c r="BV29" i="10" s="1"/>
  <c r="BZ29" i="10" a="1"/>
  <c r="BZ29" i="10" s="1"/>
  <c r="CG16" i="10" a="1"/>
  <c r="CG16" i="10" s="1"/>
  <c r="BR21" i="10" a="1"/>
  <c r="BR21" i="10" s="1"/>
  <c r="CB29" i="10" a="1"/>
  <c r="CB29" i="10" s="1"/>
  <c r="CD23" i="10" a="1"/>
  <c r="CD23" i="10" s="1"/>
  <c r="CJ16" i="10" a="1"/>
  <c r="CJ16" i="10" s="1"/>
  <c r="BX16" i="10" a="1"/>
  <c r="BX16" i="10" s="1"/>
  <c r="CE28" i="10" a="1"/>
  <c r="CE28" i="10" s="1"/>
  <c r="CB17" i="10" a="1"/>
  <c r="CB17" i="10" s="1"/>
  <c r="BR29" i="10" a="1"/>
  <c r="BR29" i="10" s="1"/>
  <c r="BS27" i="10" a="1"/>
  <c r="BS27" i="10" s="1"/>
  <c r="BR30" i="10" a="1"/>
  <c r="BR30" i="10" s="1"/>
  <c r="CF21" i="10" a="1"/>
  <c r="CF21" i="10" s="1"/>
  <c r="BW32" i="10" a="1"/>
  <c r="BW32" i="10" s="1"/>
  <c r="CD31" i="10" a="1"/>
  <c r="CD31" i="10" s="1"/>
  <c r="CC19" i="10" a="1"/>
  <c r="CC19" i="10" s="1"/>
  <c r="CC20" i="10" a="1"/>
  <c r="CC20" i="10" s="1"/>
  <c r="BW19" i="10" a="1"/>
  <c r="BW19" i="10" s="1"/>
  <c r="BU27" i="10" a="1"/>
  <c r="BU27" i="10" s="1"/>
  <c r="CC25" i="10" a="1"/>
  <c r="CC25" i="10" s="1"/>
  <c r="CF17" i="10" a="1"/>
  <c r="CF17" i="10" s="1"/>
  <c r="BU30" i="10" a="1"/>
  <c r="BU30" i="10" s="1"/>
  <c r="BT15" i="10" a="1"/>
  <c r="BT15" i="10" s="1"/>
  <c r="CE34" i="10" a="1"/>
  <c r="CE34" i="10" s="1"/>
  <c r="CG18" i="10" a="1"/>
  <c r="CG18" i="10" s="1"/>
  <c r="CI22" i="10" a="1"/>
  <c r="CI22" i="10" s="1"/>
  <c r="CI23" i="10" a="1"/>
  <c r="CI23" i="10" s="1"/>
  <c r="CD25" i="10" a="1"/>
  <c r="CD25" i="10" s="1"/>
  <c r="CA30" i="10" a="1"/>
  <c r="CA30" i="10" s="1"/>
  <c r="BW33" i="10" a="1"/>
  <c r="BW33" i="10" s="1"/>
  <c r="CB25" i="10" a="1"/>
  <c r="CB25" i="10" s="1"/>
  <c r="CH33" i="10" a="1"/>
  <c r="CH33" i="10" s="1"/>
  <c r="CB28" i="10" a="1"/>
  <c r="CB28" i="10" s="1"/>
  <c r="CB34" i="10" a="1"/>
  <c r="CB34" i="10" s="1"/>
  <c r="BS16" i="10" a="1"/>
  <c r="BS16" i="10" s="1"/>
  <c r="CH23" i="10" a="1"/>
  <c r="CH23" i="10" s="1"/>
  <c r="CH28" i="10" a="1"/>
  <c r="CH28" i="10" s="1"/>
  <c r="CC21" i="10" a="1"/>
  <c r="CC21" i="10" s="1"/>
  <c r="CJ30" i="10" a="1"/>
  <c r="CJ30" i="10" s="1"/>
  <c r="CI32" i="10" a="1"/>
  <c r="CI32" i="10" s="1"/>
  <c r="BT26" i="10" a="1"/>
  <c r="BT26" i="10" s="1"/>
  <c r="BY30" i="10" a="1"/>
  <c r="BY30" i="10" s="1"/>
  <c r="BX31" i="10" a="1"/>
  <c r="BX31" i="10" s="1"/>
  <c r="BY19" i="10" a="1"/>
  <c r="BY19" i="10" s="1"/>
  <c r="BR22" i="10" a="1"/>
  <c r="BR22" i="10" s="1"/>
  <c r="CD16" i="10" a="1"/>
  <c r="CD16" i="10" s="1"/>
  <c r="CH24" i="10" a="1"/>
  <c r="CH24" i="10" s="1"/>
  <c r="CD24" i="10" a="1"/>
  <c r="CD24" i="10" s="1"/>
  <c r="BS20" i="10" a="1"/>
  <c r="BS20" i="10" s="1"/>
  <c r="BY26" i="10" a="1"/>
  <c r="BY26" i="10" s="1"/>
  <c r="CD33" i="10" a="1"/>
  <c r="CD33" i="10" s="1"/>
  <c r="CJ27" i="10" a="1"/>
  <c r="CJ27" i="10" s="1"/>
  <c r="BY29" i="10" a="1"/>
  <c r="BY29" i="10" s="1"/>
  <c r="CI18" i="10" a="1"/>
  <c r="CI18" i="10" s="1"/>
  <c r="CE18" i="10" a="1"/>
  <c r="CE18" i="10" s="1"/>
  <c r="BT17" i="10" a="1"/>
  <c r="BT17" i="10" s="1"/>
  <c r="BY32" i="10" a="1"/>
  <c r="BY32" i="10" s="1"/>
  <c r="CE22" i="10" a="1"/>
  <c r="CE22" i="10" s="1"/>
  <c r="CJ20" i="10" a="1"/>
  <c r="CJ20" i="10" s="1"/>
  <c r="CC29" i="10" a="1"/>
  <c r="CC29" i="10" s="1"/>
  <c r="BV30" i="10" a="1"/>
  <c r="BV30" i="10" s="1"/>
  <c r="BR27" i="10" a="1"/>
  <c r="BR27" i="10" s="1"/>
  <c r="CH16" i="10" a="1"/>
  <c r="CH16" i="10" s="1"/>
  <c r="CB19" i="10" a="1"/>
  <c r="CB19" i="10" s="1"/>
  <c r="CJ25" i="10" a="1"/>
  <c r="CJ25" i="10" s="1"/>
  <c r="CA19" i="10" a="1"/>
  <c r="CA19" i="10" s="1"/>
  <c r="CG15" i="10" a="1"/>
  <c r="CG15" i="10" s="1"/>
  <c r="BY33" i="10" a="1"/>
  <c r="BY33" i="10" s="1"/>
  <c r="CG29" i="10" a="1"/>
  <c r="CG29" i="10" s="1"/>
  <c r="CH18" i="10" a="1"/>
  <c r="CH18" i="10" s="1"/>
  <c r="BT22" i="10" a="1"/>
  <c r="BT22" i="10" s="1"/>
  <c r="BS30" i="10" a="1"/>
  <c r="BS30" i="10" s="1"/>
  <c r="BU20" i="10" a="1"/>
  <c r="BU20" i="10" s="1"/>
  <c r="BW27" i="10" a="1"/>
  <c r="BW27" i="10" s="1"/>
  <c r="BX27" i="10" a="1"/>
  <c r="BX27" i="10" s="1"/>
  <c r="CG22" i="10" a="1"/>
  <c r="CG22" i="10" s="1"/>
  <c r="BS23" i="10" a="1"/>
  <c r="BS23" i="10" s="1"/>
  <c r="BV24" i="10" a="1"/>
  <c r="BV24" i="10" s="1"/>
  <c r="BZ28" i="10" a="1"/>
  <c r="BZ28" i="10" s="1"/>
  <c r="BW22" i="10" a="1"/>
  <c r="BW22" i="10" s="1"/>
  <c r="BV23" i="10" a="1"/>
  <c r="BV23" i="10" s="1"/>
  <c r="CE19" i="10" a="1"/>
  <c r="CE19" i="10" s="1"/>
  <c r="CA26" i="10" a="1"/>
  <c r="CA26" i="10" s="1"/>
  <c r="BX33" i="10" a="1"/>
  <c r="BX33" i="10" s="1"/>
  <c r="CG32" i="10" a="1"/>
  <c r="CG32" i="10" s="1"/>
  <c r="CJ19" i="10" a="1"/>
  <c r="CJ19" i="10" s="1"/>
  <c r="CE32" i="10" a="1"/>
  <c r="CE32" i="10" s="1"/>
  <c r="BV25" i="10" a="1"/>
  <c r="BV25" i="10" s="1"/>
  <c r="CF34" i="10" a="1"/>
  <c r="CF34" i="10" s="1"/>
  <c r="CG25" i="10" a="1"/>
  <c r="CG25" i="10" s="1"/>
  <c r="BS28" i="10" a="1"/>
  <c r="BS28" i="10" s="1"/>
  <c r="BZ25" i="10" a="1"/>
  <c r="BZ25" i="10" s="1"/>
  <c r="CA22" i="10" a="1"/>
  <c r="CA22" i="10" s="1"/>
  <c r="CF18" i="10" a="1"/>
  <c r="CF18" i="10" s="1"/>
  <c r="BX25" i="10" a="1"/>
  <c r="BX25" i="10" s="1"/>
  <c r="CA32" i="10" a="1"/>
  <c r="CA32" i="10" s="1"/>
  <c r="CG30" i="10" a="1"/>
  <c r="CG30" i="10" s="1"/>
  <c r="CF19" i="10" a="1"/>
  <c r="CF19" i="10" s="1"/>
  <c r="CI15" i="10" a="1"/>
  <c r="CI15" i="10" s="1"/>
  <c r="BV26" i="10" a="1"/>
  <c r="BV26" i="10" s="1"/>
  <c r="BW24" i="10" a="1"/>
  <c r="BW24" i="10" s="1"/>
  <c r="BX26" i="10" a="1"/>
  <c r="BX26" i="10" s="1"/>
  <c r="CH22" i="10" a="1"/>
  <c r="CH22" i="10" s="1"/>
  <c r="CA17" i="10" a="1"/>
  <c r="CA17" i="10" s="1"/>
  <c r="CH20" i="10" a="1"/>
  <c r="CH20" i="10" s="1"/>
  <c r="CE17" i="10" a="1"/>
  <c r="CE17" i="10" s="1"/>
  <c r="BR17" i="10" a="1"/>
  <c r="BR17" i="10" s="1"/>
  <c r="CD17" i="10" a="1"/>
  <c r="CD17" i="10" s="1"/>
  <c r="CG20" i="10" a="1"/>
  <c r="CG20" i="10" s="1"/>
  <c r="BS19" i="10" a="1"/>
  <c r="BS19" i="10" s="1"/>
  <c r="CE30" i="10" a="1"/>
  <c r="CE30" i="10" s="1"/>
  <c r="BT34" i="10" a="1"/>
  <c r="BT34" i="10" s="1"/>
  <c r="BZ32" i="10" a="1"/>
  <c r="BZ32" i="10" s="1"/>
  <c r="BW25" i="10" a="1"/>
  <c r="BW25" i="10" s="1"/>
  <c r="BX21" i="10" a="1"/>
  <c r="BX21" i="10" s="1"/>
  <c r="BV33" i="10" a="1"/>
  <c r="BV33" i="10" s="1"/>
  <c r="CE31" i="10" a="1"/>
  <c r="CE31" i="10" s="1"/>
  <c r="CD22" i="10" a="1"/>
  <c r="CD22" i="10" s="1"/>
  <c r="CB27" i="10" a="1"/>
  <c r="CB27" i="10" s="1"/>
  <c r="CI21" i="10" a="1"/>
  <c r="CI21" i="10" s="1"/>
  <c r="CJ22" i="10" a="1"/>
  <c r="CJ22" i="10" s="1"/>
  <c r="CB30" i="10" a="1"/>
  <c r="CB30" i="10" s="1"/>
  <c r="CC26" i="10" a="1"/>
  <c r="CC26" i="10" s="1"/>
  <c r="CC31" i="10" a="1"/>
  <c r="CC31" i="10" s="1"/>
  <c r="BZ15" i="10" a="1"/>
  <c r="BZ15" i="10" s="1"/>
  <c r="BX23" i="10" a="1"/>
  <c r="BX23" i="10" s="1"/>
  <c r="BT19" i="10" a="1"/>
  <c r="BT19" i="10" s="1"/>
  <c r="CE16" i="10" a="1"/>
  <c r="CE16" i="10" s="1"/>
  <c r="CH30" i="10" a="1"/>
  <c r="CH30" i="10" s="1"/>
  <c r="BZ31" i="10" a="1"/>
  <c r="BZ31" i="10" s="1"/>
  <c r="BZ30" i="10" a="1"/>
  <c r="BZ30" i="10" s="1"/>
  <c r="BV34" i="10" a="1"/>
  <c r="BV34" i="10" s="1"/>
  <c r="BR20" i="10" a="1"/>
  <c r="BR20" i="10" s="1"/>
  <c r="BR32" i="10" a="1"/>
  <c r="BR32" i="10" s="1"/>
  <c r="CA21" i="10" a="1"/>
  <c r="CA21" i="10" s="1"/>
  <c r="BW29" i="10" a="1"/>
  <c r="BW29" i="10" s="1"/>
  <c r="BZ20" i="10" a="1"/>
  <c r="BZ20" i="10" s="1"/>
  <c r="CA34" i="10" a="1"/>
  <c r="CA34" i="10" s="1"/>
  <c r="CF32" i="10" a="1"/>
  <c r="CF32" i="10" s="1"/>
  <c r="BV18" i="10" a="1"/>
  <c r="BV18" i="10" s="1"/>
  <c r="BU16" i="10" a="1"/>
  <c r="BU16" i="10" s="1"/>
  <c r="CA20" i="10" a="1"/>
  <c r="CA20" i="10" s="1"/>
  <c r="BS33" i="10" a="1"/>
  <c r="BS33" i="10" s="1"/>
  <c r="BV28" i="10" a="1"/>
  <c r="BV28" i="10" s="1"/>
  <c r="BY22" i="10" a="1"/>
  <c r="BY22" i="10" s="1"/>
  <c r="BW26" i="10" a="1"/>
  <c r="BW26" i="10" s="1"/>
  <c r="CJ29" i="10" a="1"/>
  <c r="CJ29" i="10" s="1"/>
  <c r="BR25" i="10" a="1"/>
  <c r="BR25" i="10" s="1"/>
  <c r="CB24" i="10" a="1"/>
  <c r="CB24" i="10" s="1"/>
  <c r="BZ26" i="10" a="1"/>
  <c r="BZ26" i="10" s="1"/>
  <c r="BQ24" i="10" a="1"/>
  <c r="BQ24" i="10" s="1"/>
  <c r="CE15" i="10" a="1"/>
  <c r="CE15" i="10" s="1"/>
  <c r="BZ21" i="10" a="1"/>
  <c r="BZ21" i="10" s="1"/>
  <c r="CE24" i="10" a="1"/>
  <c r="CE24" i="10" s="1"/>
  <c r="CJ28" i="10" a="1"/>
  <c r="CJ28" i="10" s="1"/>
  <c r="CE25" i="10" a="1"/>
  <c r="CE25" i="10" s="1"/>
  <c r="BR23" i="10" a="1"/>
  <c r="BR23" i="10" s="1"/>
  <c r="CA18" i="10" a="1"/>
  <c r="CA18" i="10" s="1"/>
  <c r="BX28" i="10" a="1"/>
  <c r="BX28" i="10" s="1"/>
  <c r="BX30" i="10" a="1"/>
  <c r="BX30" i="10" s="1"/>
  <c r="CI34" i="10" a="1"/>
  <c r="CI34" i="10" s="1"/>
  <c r="CA31" i="10" a="1"/>
  <c r="CA31" i="10" s="1"/>
  <c r="CJ32" i="10" a="1"/>
  <c r="CJ32" i="10" s="1"/>
  <c r="CC23" i="10" a="1"/>
  <c r="CC23" i="10" s="1"/>
  <c r="BS21" i="10" a="1"/>
  <c r="BS21" i="10" s="1"/>
  <c r="CH26" i="10" a="1"/>
  <c r="CH26" i="10" s="1"/>
  <c r="CC22" i="10" a="1"/>
  <c r="CC22" i="10" s="1"/>
  <c r="BU33" i="10" a="1"/>
  <c r="BU33" i="10" s="1"/>
  <c r="CI25" i="10" a="1"/>
  <c r="CI25" i="10" s="1"/>
  <c r="CI27" i="10" a="1"/>
  <c r="CI27" i="10" s="1"/>
  <c r="BT27" i="10" a="1"/>
  <c r="BT27" i="10" s="1"/>
  <c r="BV17" i="10" a="1"/>
  <c r="BV17" i="10" s="1"/>
  <c r="BU17" i="10" a="1"/>
  <c r="BU17" i="10" s="1"/>
  <c r="CD30" i="10" a="1"/>
  <c r="CD30" i="10" s="1"/>
  <c r="CH19" i="10" a="1"/>
  <c r="CH19" i="10" s="1"/>
  <c r="CI28" i="10" a="1"/>
  <c r="CI28" i="10" s="1"/>
  <c r="BQ20" i="10" a="1"/>
  <c r="BQ20" i="10" s="1"/>
  <c r="BQ33" i="10" a="1"/>
  <c r="BQ33" i="10" s="1"/>
  <c r="BQ26" i="10" a="1"/>
  <c r="BQ26" i="10" s="1"/>
  <c r="BQ32" i="10" a="1"/>
  <c r="BQ32" i="10" s="1"/>
  <c r="BQ30" i="10" a="1"/>
  <c r="BQ30" i="10" s="1"/>
  <c r="BQ31" i="10" a="1"/>
  <c r="BQ31" i="10" s="1"/>
  <c r="BQ28" i="10" a="1"/>
  <c r="BQ28" i="10" s="1"/>
  <c r="BQ27" i="10" a="1"/>
  <c r="BQ27" i="10" s="1"/>
  <c r="BQ17" i="10" a="1"/>
  <c r="BQ17" i="10" s="1"/>
  <c r="BQ19" i="10" a="1"/>
  <c r="BQ19" i="10" s="1"/>
  <c r="BQ23" i="10" a="1"/>
  <c r="BQ23" i="10" s="1"/>
  <c r="BQ25" i="10" a="1"/>
  <c r="BQ25" i="10" s="1"/>
  <c r="BQ29" i="10" a="1"/>
  <c r="BQ29" i="10" s="1"/>
  <c r="BQ18" i="10" a="1"/>
  <c r="BQ18" i="10" s="1"/>
  <c r="BQ16" i="10" a="1"/>
  <c r="BQ16" i="10" s="1"/>
  <c r="BQ18" i="11" a="1"/>
  <c r="BQ18" i="11" s="1"/>
  <c r="BQ17" i="11" a="1"/>
  <c r="BQ17" i="11" s="1"/>
  <c r="BU15" i="11" a="1"/>
  <c r="BU15" i="11" s="1"/>
  <c r="BV31" i="11" a="1"/>
  <c r="BV31" i="11" s="1"/>
  <c r="BZ30" i="11" a="1"/>
  <c r="BZ30" i="11" s="1"/>
  <c r="CD32" i="11" a="1"/>
  <c r="CD32" i="11" s="1"/>
  <c r="BS26" i="11" a="1"/>
  <c r="BS26" i="11" s="1"/>
  <c r="CH18" i="11" a="1"/>
  <c r="CH18" i="11" s="1"/>
  <c r="BT24" i="11" a="1"/>
  <c r="BT24" i="11" s="1"/>
  <c r="CD16" i="11" a="1"/>
  <c r="CD16" i="11" s="1"/>
  <c r="BX17" i="11" a="1"/>
  <c r="BX17" i="11" s="1"/>
  <c r="BT30" i="11" a="1"/>
  <c r="BT30" i="11" s="1"/>
  <c r="BV29" i="11" a="1"/>
  <c r="BV29" i="11" s="1"/>
  <c r="BQ32" i="11" a="1"/>
  <c r="BQ32" i="11" s="1"/>
  <c r="CF27" i="11" a="1"/>
  <c r="CF27" i="11" s="1"/>
  <c r="BV15" i="11" a="1"/>
  <c r="BV15" i="11" s="1"/>
  <c r="BY20" i="11" a="1"/>
  <c r="BY20" i="11" s="1"/>
  <c r="CI21" i="11" a="1"/>
  <c r="CI21" i="11" s="1"/>
  <c r="CG21" i="11" a="1"/>
  <c r="CG21" i="11" s="1"/>
  <c r="BX15" i="11" a="1"/>
  <c r="BX15" i="11" s="1"/>
  <c r="CJ33" i="11" a="1"/>
  <c r="CJ33" i="11" s="1"/>
  <c r="BZ19" i="11" a="1"/>
  <c r="BZ19" i="11" s="1"/>
  <c r="CF15" i="11" a="1"/>
  <c r="CF15" i="11" s="1"/>
  <c r="CE24" i="11" a="1"/>
  <c r="CE24" i="11" s="1"/>
  <c r="CF33" i="11" a="1"/>
  <c r="CF33" i="11" s="1"/>
  <c r="BW15" i="11" a="1"/>
  <c r="BW15" i="11" s="1"/>
  <c r="CI19" i="11" a="1"/>
  <c r="CI19" i="11" s="1"/>
  <c r="CF26" i="11" a="1"/>
  <c r="CF26" i="11" s="1"/>
  <c r="BX26" i="11" a="1"/>
  <c r="BX26" i="11" s="1"/>
  <c r="CD31" i="11" a="1"/>
  <c r="CD31" i="11" s="1"/>
  <c r="BS30" i="11" a="1"/>
  <c r="BS30" i="11" s="1"/>
  <c r="BY17" i="11" a="1"/>
  <c r="BY17" i="11" s="1"/>
  <c r="CF17" i="11" a="1"/>
  <c r="CF17" i="11" s="1"/>
  <c r="BT21" i="11" a="1"/>
  <c r="BT21" i="11" s="1"/>
  <c r="CF20" i="11" a="1"/>
  <c r="CF20" i="11" s="1"/>
  <c r="BZ23" i="11" a="1"/>
  <c r="BZ23" i="11" s="1"/>
  <c r="BS32" i="11" a="1"/>
  <c r="BS32" i="11" s="1"/>
  <c r="BW20" i="11" a="1"/>
  <c r="BW20" i="11" s="1"/>
  <c r="CJ21" i="11" a="1"/>
  <c r="CJ21" i="11" s="1"/>
  <c r="CE17" i="11" a="1"/>
  <c r="CE17" i="11" s="1"/>
  <c r="CH15" i="11" a="1"/>
  <c r="CH15" i="11" s="1"/>
  <c r="CI32" i="11" a="1"/>
  <c r="CI32" i="11" s="1"/>
  <c r="CB19" i="11" a="1"/>
  <c r="CB19" i="11" s="1"/>
  <c r="CA17" i="11" a="1"/>
  <c r="CA17" i="11" s="1"/>
  <c r="CB20" i="11" a="1"/>
  <c r="CB20" i="11" s="1"/>
  <c r="BR23" i="11" a="1"/>
  <c r="BR23" i="11" s="1"/>
  <c r="CA18" i="11" a="1"/>
  <c r="CA18" i="11" s="1"/>
  <c r="CJ20" i="11" a="1"/>
  <c r="CJ20" i="11" s="1"/>
  <c r="CF23" i="11" a="1"/>
  <c r="CF23" i="11" s="1"/>
  <c r="CC24" i="11" a="1"/>
  <c r="CC24" i="11" s="1"/>
  <c r="BR20" i="11" a="1"/>
  <c r="BR20" i="11" s="1"/>
  <c r="CH24" i="11" a="1"/>
  <c r="CH24" i="11" s="1"/>
  <c r="CJ30" i="11" a="1"/>
  <c r="CJ30" i="11" s="1"/>
  <c r="CJ29" i="11" a="1"/>
  <c r="CJ29" i="11" s="1"/>
  <c r="CG29" i="11" a="1"/>
  <c r="CG29" i="11" s="1"/>
  <c r="BV25" i="11" a="1"/>
  <c r="BV25" i="11" s="1"/>
  <c r="BW27" i="11" a="1"/>
  <c r="BW27" i="11" s="1"/>
  <c r="BW16" i="11" a="1"/>
  <c r="BW16" i="11" s="1"/>
  <c r="CF22" i="11" a="1"/>
  <c r="CF22" i="11" s="1"/>
  <c r="CH17" i="11" a="1"/>
  <c r="CH17" i="11" s="1"/>
  <c r="CE30" i="11" a="1"/>
  <c r="CE30" i="11" s="1"/>
  <c r="BX28" i="11" a="1"/>
  <c r="BX28" i="11" s="1"/>
  <c r="CE27" i="11" a="1"/>
  <c r="CE27" i="11" s="1"/>
  <c r="CJ31" i="11" a="1"/>
  <c r="CJ31" i="11" s="1"/>
  <c r="CG30" i="11" a="1"/>
  <c r="CG30" i="11" s="1"/>
  <c r="BW18" i="11" a="1"/>
  <c r="BW18" i="11" s="1"/>
  <c r="CJ16" i="11" a="1"/>
  <c r="CJ16" i="11" s="1"/>
  <c r="BT31" i="11" a="1"/>
  <c r="BT31" i="11" s="1"/>
  <c r="CD24" i="11" a="1"/>
  <c r="CD24" i="11" s="1"/>
  <c r="BS34" i="11" a="1"/>
  <c r="BS34" i="11" s="1"/>
  <c r="BZ33" i="11" a="1"/>
  <c r="BZ33" i="11" s="1"/>
  <c r="BX19" i="11" a="1"/>
  <c r="BX19" i="11" s="1"/>
  <c r="CC17" i="11" a="1"/>
  <c r="CC17" i="11" s="1"/>
  <c r="BS25" i="11" a="1"/>
  <c r="BS25" i="11" s="1"/>
  <c r="BY16" i="11" a="1"/>
  <c r="BY16" i="11" s="1"/>
  <c r="BU23" i="11" a="1"/>
  <c r="BU23" i="11" s="1"/>
  <c r="CC18" i="11" a="1"/>
  <c r="CC18" i="11" s="1"/>
  <c r="CG26" i="11" a="1"/>
  <c r="CG26" i="11" s="1"/>
  <c r="BX23" i="11" a="1"/>
  <c r="BX23" i="11" s="1"/>
  <c r="BT28" i="11" a="1"/>
  <c r="BT28" i="11" s="1"/>
  <c r="BU30" i="11" a="1"/>
  <c r="BU30" i="11" s="1"/>
  <c r="CB31" i="11" a="1"/>
  <c r="CB31" i="11" s="1"/>
  <c r="CA19" i="11" a="1"/>
  <c r="CA19" i="11" s="1"/>
  <c r="BU21" i="11" a="1"/>
  <c r="BU21" i="11" s="1"/>
  <c r="BW28" i="11" a="1"/>
  <c r="BW28" i="11" s="1"/>
  <c r="BW32" i="11" a="1"/>
  <c r="BW32" i="11" s="1"/>
  <c r="BR19" i="11" a="1"/>
  <c r="BR19" i="11" s="1"/>
  <c r="BV34" i="11" a="1"/>
  <c r="BV34" i="11" s="1"/>
  <c r="CG20" i="11" a="1"/>
  <c r="CG20" i="11" s="1"/>
  <c r="BR18" i="11" a="1"/>
  <c r="BR18" i="11" s="1"/>
  <c r="BT27" i="11" a="1"/>
  <c r="BT27" i="11" s="1"/>
  <c r="CD21" i="11" a="1"/>
  <c r="CD21" i="11" s="1"/>
  <c r="BR34" i="11" a="1"/>
  <c r="BR34" i="11" s="1"/>
  <c r="CE33" i="11" a="1"/>
  <c r="CE33" i="11" s="1"/>
  <c r="BR25" i="11" a="1"/>
  <c r="BR25" i="11" s="1"/>
  <c r="CC26" i="11" a="1"/>
  <c r="CC26" i="11" s="1"/>
  <c r="CC30" i="11" a="1"/>
  <c r="CC30" i="11" s="1"/>
  <c r="BR17" i="11" a="1"/>
  <c r="BR17" i="11" s="1"/>
  <c r="BT23" i="11" a="1"/>
  <c r="BT23" i="11" s="1"/>
  <c r="CA31" i="11" a="1"/>
  <c r="CA31" i="11" s="1"/>
  <c r="BV26" i="11" a="1"/>
  <c r="BV26" i="11" s="1"/>
  <c r="CE28" i="11" a="1"/>
  <c r="CE28" i="11" s="1"/>
  <c r="BX16" i="11" a="1"/>
  <c r="BX16" i="11" s="1"/>
  <c r="BZ25" i="11" a="1"/>
  <c r="BZ25" i="11" s="1"/>
  <c r="CI25" i="11" a="1"/>
  <c r="CI25" i="11" s="1"/>
  <c r="CA16" i="11" a="1"/>
  <c r="CA16" i="11" s="1"/>
  <c r="CI24" i="11" a="1"/>
  <c r="CI24" i="11" s="1"/>
  <c r="BT34" i="11" a="1"/>
  <c r="BT34" i="11" s="1"/>
  <c r="CH19" i="11" a="1"/>
  <c r="CH19" i="11" s="1"/>
  <c r="BZ17" i="11" a="1"/>
  <c r="BZ17" i="11" s="1"/>
  <c r="CF28" i="11" a="1"/>
  <c r="CF28" i="11" s="1"/>
  <c r="CE20" i="11" a="1"/>
  <c r="CE20" i="11" s="1"/>
  <c r="CJ17" i="11" a="1"/>
  <c r="CJ17" i="11" s="1"/>
  <c r="CA27" i="11" a="1"/>
  <c r="CA27" i="11" s="1"/>
  <c r="BZ34" i="11" a="1"/>
  <c r="BZ34" i="11" s="1"/>
  <c r="CB23" i="11" a="1"/>
  <c r="CB23" i="11" s="1"/>
  <c r="CG16" i="11" a="1"/>
  <c r="CG16" i="11" s="1"/>
  <c r="BX24" i="11" a="1"/>
  <c r="BX24" i="11" s="1"/>
  <c r="CE34" i="11" a="1"/>
  <c r="CE34" i="11" s="1"/>
  <c r="BU24" i="11" a="1"/>
  <c r="BU24" i="11" s="1"/>
  <c r="CG32" i="11" a="1"/>
  <c r="CG32" i="11" s="1"/>
  <c r="CI20" i="11" a="1"/>
  <c r="CI20" i="11" s="1"/>
  <c r="CG28" i="11" a="1"/>
  <c r="CG28" i="11" s="1"/>
  <c r="CA26" i="11" a="1"/>
  <c r="CA26" i="11" s="1"/>
  <c r="CJ24" i="11" a="1"/>
  <c r="CJ24" i="11" s="1"/>
  <c r="CB15" i="11" a="1"/>
  <c r="CB15" i="11" s="1"/>
  <c r="CC15" i="11" a="1"/>
  <c r="CC15" i="11" s="1"/>
  <c r="BZ21" i="11" a="1"/>
  <c r="BZ21" i="11" s="1"/>
  <c r="BX29" i="11" a="1"/>
  <c r="BX29" i="11" s="1"/>
  <c r="CD27" i="11" a="1"/>
  <c r="CD27" i="11" s="1"/>
  <c r="CB24" i="11" a="1"/>
  <c r="CB24" i="11" s="1"/>
  <c r="BX21" i="11" a="1"/>
  <c r="BX21" i="11" s="1"/>
  <c r="BS27" i="11" a="1"/>
  <c r="BS27" i="11" s="1"/>
  <c r="CG19" i="11" a="1"/>
  <c r="CG19" i="11" s="1"/>
  <c r="CB33" i="11" a="1"/>
  <c r="CB33" i="11" s="1"/>
  <c r="BT17" i="11" a="1"/>
  <c r="BT17" i="11" s="1"/>
  <c r="CB30" i="11" a="1"/>
  <c r="CB30" i="11" s="1"/>
  <c r="CA28" i="11" a="1"/>
  <c r="CA28" i="11" s="1"/>
  <c r="CE31" i="11" a="1"/>
  <c r="CE31" i="11" s="1"/>
  <c r="CH21" i="11" a="1"/>
  <c r="CH21" i="11" s="1"/>
  <c r="CG33" i="11" a="1"/>
  <c r="CG33" i="11" s="1"/>
  <c r="CH34" i="11" a="1"/>
  <c r="CH34" i="11" s="1"/>
  <c r="BR30" i="11" a="1"/>
  <c r="BR30" i="11" s="1"/>
  <c r="CB18" i="11" a="1"/>
  <c r="CB18" i="11" s="1"/>
  <c r="CG34" i="11" a="1"/>
  <c r="CG34" i="11" s="1"/>
  <c r="BY18" i="11" a="1"/>
  <c r="BY18" i="11" s="1"/>
  <c r="CI28" i="11" a="1"/>
  <c r="CI28" i="11" s="1"/>
  <c r="BX32" i="11" a="1"/>
  <c r="BX32" i="11" s="1"/>
  <c r="CC25" i="11" a="1"/>
  <c r="CC25" i="11" s="1"/>
  <c r="BZ16" i="11" a="1"/>
  <c r="BZ16" i="11" s="1"/>
  <c r="CA22" i="11" a="1"/>
  <c r="CA22" i="11" s="1"/>
  <c r="BT15" i="11" a="1"/>
  <c r="BT15" i="11" s="1"/>
  <c r="BR15" i="11" a="1"/>
  <c r="BR15" i="11" s="1"/>
  <c r="BX33" i="11" a="1"/>
  <c r="BX33" i="11" s="1"/>
  <c r="BV33" i="11" a="1"/>
  <c r="BV33" i="11" s="1"/>
  <c r="CD20" i="11" a="1"/>
  <c r="CD20" i="11" s="1"/>
  <c r="BU22" i="11" a="1"/>
  <c r="BU22" i="11" s="1"/>
  <c r="BU16" i="11" a="1"/>
  <c r="BU16" i="11" s="1"/>
  <c r="CD29" i="11" a="1"/>
  <c r="CD29" i="11" s="1"/>
  <c r="CJ22" i="11" a="1"/>
  <c r="CJ22" i="11" s="1"/>
  <c r="BS18" i="11" a="1"/>
  <c r="BS18" i="11" s="1"/>
  <c r="CG17" i="11" a="1"/>
  <c r="CG17" i="11" s="1"/>
  <c r="BY25" i="11" a="1"/>
  <c r="BY25" i="11" s="1"/>
  <c r="BV21" i="11" a="1"/>
  <c r="BV21" i="11" s="1"/>
  <c r="CH29" i="11" a="1"/>
  <c r="CH29" i="11" s="1"/>
  <c r="BT20" i="11" a="1"/>
  <c r="BT20" i="11" s="1"/>
  <c r="CA23" i="11" a="1"/>
  <c r="CA23" i="11" s="1"/>
  <c r="BY33" i="11" a="1"/>
  <c r="BY33" i="11" s="1"/>
  <c r="CH31" i="11" a="1"/>
  <c r="CH31" i="11" s="1"/>
  <c r="CC34" i="11" a="1"/>
  <c r="CC34" i="11" s="1"/>
  <c r="BS24" i="11" a="1"/>
  <c r="BS24" i="11" s="1"/>
  <c r="CI26" i="11" a="1"/>
  <c r="CI26" i="11" s="1"/>
  <c r="BW19" i="11" a="1"/>
  <c r="BW19" i="11" s="1"/>
  <c r="BU27" i="11" a="1"/>
  <c r="BU27" i="11" s="1"/>
  <c r="CD34" i="11" a="1"/>
  <c r="CD34" i="11" s="1"/>
  <c r="CC21" i="11" a="1"/>
  <c r="CC21" i="11" s="1"/>
  <c r="CF32" i="11" a="1"/>
  <c r="CF32" i="11" s="1"/>
  <c r="BX20" i="11" a="1"/>
  <c r="BX20" i="11" s="1"/>
  <c r="CA15" i="11" a="1"/>
  <c r="CA15" i="11" s="1"/>
  <c r="CJ15" i="11" a="1"/>
  <c r="CJ15" i="11" s="1"/>
  <c r="BY24" i="11" a="1"/>
  <c r="BY24" i="11" s="1"/>
  <c r="CB21" i="11" a="1"/>
  <c r="CB21" i="11" s="1"/>
  <c r="BR32" i="11" a="1"/>
  <c r="BR32" i="11" s="1"/>
  <c r="CJ28" i="11" a="1"/>
  <c r="CJ28" i="11" s="1"/>
  <c r="CA33" i="11" a="1"/>
  <c r="CA33" i="11" s="1"/>
  <c r="CJ25" i="11" a="1"/>
  <c r="CJ25" i="11" s="1"/>
  <c r="CB25" i="11" a="1"/>
  <c r="CB25" i="11" s="1"/>
  <c r="CI30" i="11" a="1"/>
  <c r="CI30" i="11" s="1"/>
  <c r="BU18" i="11" a="1"/>
  <c r="BU18" i="11" s="1"/>
  <c r="BU33" i="11" a="1"/>
  <c r="BU33" i="11" s="1"/>
  <c r="CB22" i="11" a="1"/>
  <c r="CB22" i="11" s="1"/>
  <c r="BU34" i="11" a="1"/>
  <c r="BU34" i="11" s="1"/>
  <c r="CC22" i="11" a="1"/>
  <c r="CC22" i="11" s="1"/>
  <c r="BX18" i="11" a="1"/>
  <c r="BX18" i="11" s="1"/>
  <c r="BU28" i="11" a="1"/>
  <c r="BU28" i="11" s="1"/>
  <c r="CD23" i="11" a="1"/>
  <c r="CD23" i="11" s="1"/>
  <c r="BS29" i="11" a="1"/>
  <c r="BS29" i="11" s="1"/>
  <c r="BS20" i="11" a="1"/>
  <c r="BS20" i="11" s="1"/>
  <c r="CG25" i="11" a="1"/>
  <c r="CG25" i="11" s="1"/>
  <c r="CF34" i="11" a="1"/>
  <c r="CF34" i="11" s="1"/>
  <c r="BR22" i="11" a="1"/>
  <c r="BR22" i="11" s="1"/>
  <c r="CH22" i="11" a="1"/>
  <c r="CH22" i="11" s="1"/>
  <c r="BV22" i="11" a="1"/>
  <c r="BV22" i="11" s="1"/>
  <c r="BZ22" i="11" a="1"/>
  <c r="BZ22" i="11" s="1"/>
  <c r="CG15" i="11" a="1"/>
  <c r="CG15" i="11" s="1"/>
  <c r="CJ18" i="11" a="1"/>
  <c r="CJ18" i="11" s="1"/>
  <c r="BV30" i="11" a="1"/>
  <c r="BV30" i="11" s="1"/>
  <c r="CB32" i="11" a="1"/>
  <c r="CB32" i="11" s="1"/>
  <c r="CH26" i="11" a="1"/>
  <c r="CH26" i="11" s="1"/>
  <c r="BT25" i="11" a="1"/>
  <c r="BT25" i="11" s="1"/>
  <c r="BZ18" i="11" a="1"/>
  <c r="BZ18" i="11" s="1"/>
  <c r="CG23" i="11" a="1"/>
  <c r="CG23" i="11" s="1"/>
  <c r="CA34" i="11" a="1"/>
  <c r="CA34" i="11" s="1"/>
  <c r="CF25" i="11" a="1"/>
  <c r="CF25" i="11" s="1"/>
  <c r="BY30" i="11" a="1"/>
  <c r="BY30" i="11" s="1"/>
  <c r="BX31" i="11" a="1"/>
  <c r="BX31" i="11" s="1"/>
  <c r="CE22" i="11" a="1"/>
  <c r="CE22" i="11" s="1"/>
  <c r="BR29" i="11" a="1"/>
  <c r="BR29" i="11" s="1"/>
  <c r="CB17" i="11" a="1"/>
  <c r="CB17" i="11" s="1"/>
  <c r="CE26" i="11" a="1"/>
  <c r="CE26" i="11" s="1"/>
  <c r="BV19" i="11" a="1"/>
  <c r="BV19" i="11" s="1"/>
  <c r="BW22" i="11" a="1"/>
  <c r="BW22" i="11" s="1"/>
  <c r="CI23" i="11" a="1"/>
  <c r="CI23" i="11" s="1"/>
  <c r="BW30" i="11" a="1"/>
  <c r="BW30" i="11" s="1"/>
  <c r="CE32" i="11" a="1"/>
  <c r="CE32" i="11" s="1"/>
  <c r="BU29" i="11" a="1"/>
  <c r="BU29" i="11" s="1"/>
  <c r="CH16" i="11" a="1"/>
  <c r="CH16" i="11" s="1"/>
  <c r="BT33" i="11" a="1"/>
  <c r="BT33" i="11" s="1"/>
  <c r="CD33" i="11" a="1"/>
  <c r="CD33" i="11" s="1"/>
  <c r="BW17" i="11" a="1"/>
  <c r="BW17" i="11" s="1"/>
  <c r="BZ15" i="11" a="1"/>
  <c r="BZ15" i="11" s="1"/>
  <c r="BY21" i="11" a="1"/>
  <c r="BY21" i="11" s="1"/>
  <c r="CE21" i="11" a="1"/>
  <c r="CE21" i="11" s="1"/>
  <c r="CA30" i="11" a="1"/>
  <c r="CA30" i="11" s="1"/>
  <c r="BZ31" i="11" a="1"/>
  <c r="BZ31" i="11" s="1"/>
  <c r="CI31" i="11" a="1"/>
  <c r="CI31" i="11" s="1"/>
  <c r="CC20" i="11" a="1"/>
  <c r="CC20" i="11" s="1"/>
  <c r="BU25" i="11" a="1"/>
  <c r="BU25" i="11" s="1"/>
  <c r="CB34" i="11" a="1"/>
  <c r="CB34" i="11" s="1"/>
  <c r="CA24" i="11" a="1"/>
  <c r="CA24" i="11" s="1"/>
  <c r="CH23" i="11" a="1"/>
  <c r="CH23" i="11" s="1"/>
  <c r="CF16" i="11" a="1"/>
  <c r="CF16" i="11" s="1"/>
  <c r="BS21" i="11" a="1"/>
  <c r="BS21" i="11" s="1"/>
  <c r="BY28" i="11" a="1"/>
  <c r="BY28" i="11" s="1"/>
  <c r="CD26" i="11" a="1"/>
  <c r="CD26" i="11" s="1"/>
  <c r="CF18" i="11" a="1"/>
  <c r="CF18" i="11" s="1"/>
  <c r="CJ19" i="11" a="1"/>
  <c r="CJ19" i="11" s="1"/>
  <c r="CB27" i="11" a="1"/>
  <c r="CB27" i="11" s="1"/>
  <c r="BV28" i="11" a="1"/>
  <c r="BV28" i="11" s="1"/>
  <c r="BS28" i="11" a="1"/>
  <c r="BS28" i="11" s="1"/>
  <c r="CJ27" i="11" a="1"/>
  <c r="CJ27" i="11" s="1"/>
  <c r="CI29" i="11" a="1"/>
  <c r="CI29" i="11" s="1"/>
  <c r="BT22" i="11" a="1"/>
  <c r="BT22" i="11" s="1"/>
  <c r="BR26" i="11" a="1"/>
  <c r="BR26" i="11" s="1"/>
  <c r="CG27" i="11" a="1"/>
  <c r="CG27" i="11" s="1"/>
  <c r="BY34" i="11" a="1"/>
  <c r="BY34" i="11" s="1"/>
  <c r="CD30" i="11" a="1"/>
  <c r="CD30" i="11" s="1"/>
  <c r="BY32" i="11" a="1"/>
  <c r="BY32" i="11" s="1"/>
  <c r="CF24" i="11" a="1"/>
  <c r="CF24" i="11" s="1"/>
  <c r="CB16" i="11" a="1"/>
  <c r="CB16" i="11" s="1"/>
  <c r="BR31" i="11" a="1"/>
  <c r="BR31" i="11" s="1"/>
  <c r="BX25" i="11" a="1"/>
  <c r="BX25" i="11" s="1"/>
  <c r="BR21" i="11" a="1"/>
  <c r="BR21" i="11" s="1"/>
  <c r="CE19" i="11" a="1"/>
  <c r="CE19" i="11" s="1"/>
  <c r="BW34" i="11" a="1"/>
  <c r="BW34" i="11" s="1"/>
  <c r="BS23" i="11" a="1"/>
  <c r="BS23" i="11" s="1"/>
  <c r="BY29" i="11" a="1"/>
  <c r="BY29" i="11" s="1"/>
  <c r="CC19" i="11" a="1"/>
  <c r="CC19" i="11" s="1"/>
  <c r="CE18" i="11" a="1"/>
  <c r="CE18" i="11" s="1"/>
  <c r="CH28" i="11" a="1"/>
  <c r="CH28" i="11" s="1"/>
  <c r="BY27" i="11" a="1"/>
  <c r="BY27" i="11" s="1"/>
  <c r="BZ29" i="11" a="1"/>
  <c r="BZ29" i="11" s="1"/>
  <c r="BW23" i="11" a="1"/>
  <c r="BW23" i="11" s="1"/>
  <c r="BR28" i="11" a="1"/>
  <c r="BR28" i="11" s="1"/>
  <c r="CJ32" i="11" a="1"/>
  <c r="CJ32" i="11" s="1"/>
  <c r="BY22" i="11" a="1"/>
  <c r="BY22" i="11" s="1"/>
  <c r="BW26" i="11" a="1"/>
  <c r="BW26" i="11" s="1"/>
  <c r="BU31" i="11" a="1"/>
  <c r="BU31" i="11" s="1"/>
  <c r="CG22" i="11" a="1"/>
  <c r="CG22" i="11" s="1"/>
  <c r="CC33" i="11" a="1"/>
  <c r="CC33" i="11" s="1"/>
  <c r="CF21" i="11" a="1"/>
  <c r="CF21" i="11" s="1"/>
  <c r="BY15" i="11" a="1"/>
  <c r="BY15" i="11" s="1"/>
  <c r="CE23" i="11" a="1"/>
  <c r="CE23" i="11" s="1"/>
  <c r="CI18" i="11" a="1"/>
  <c r="CI18" i="11" s="1"/>
  <c r="CE15" i="11" a="1"/>
  <c r="CE15" i="11" s="1"/>
  <c r="BW29" i="11" a="1"/>
  <c r="BW29" i="11" s="1"/>
  <c r="BV27" i="11" a="1"/>
  <c r="BV27" i="11" s="1"/>
  <c r="BX30" i="11" a="1"/>
  <c r="BX30" i="11" s="1"/>
  <c r="BV16" i="11" a="1"/>
  <c r="BV16" i="11" s="1"/>
  <c r="CH27" i="11" a="1"/>
  <c r="CH27" i="11" s="1"/>
  <c r="BU20" i="11" a="1"/>
  <c r="BU20" i="11" s="1"/>
  <c r="CG18" i="11" a="1"/>
  <c r="CG18" i="11" s="1"/>
  <c r="BY19" i="11" a="1"/>
  <c r="BY19" i="11" s="1"/>
  <c r="BZ32" i="11" a="1"/>
  <c r="BZ32" i="11" s="1"/>
  <c r="BW25" i="11" a="1"/>
  <c r="BW25" i="11" s="1"/>
  <c r="BV24" i="11" a="1"/>
  <c r="BV24" i="11" s="1"/>
  <c r="CD18" i="11" a="1"/>
  <c r="CD18" i="11" s="1"/>
  <c r="CD19" i="11" a="1"/>
  <c r="CD19" i="11" s="1"/>
  <c r="CF19" i="11" a="1"/>
  <c r="CF19" i="11" s="1"/>
  <c r="BY31" i="11" a="1"/>
  <c r="BY31" i="11" s="1"/>
  <c r="BW24" i="11" a="1"/>
  <c r="BW24" i="11" s="1"/>
  <c r="CD22" i="11" a="1"/>
  <c r="CD22" i="11" s="1"/>
  <c r="BU26" i="11" a="1"/>
  <c r="BU26" i="11" s="1"/>
  <c r="CF31" i="11" a="1"/>
  <c r="CF31" i="11" s="1"/>
  <c r="BV17" i="11" a="1"/>
  <c r="BV17" i="11" s="1"/>
  <c r="BU17" i="11" a="1"/>
  <c r="BU17" i="11" s="1"/>
  <c r="BV18" i="11" a="1"/>
  <c r="BV18" i="11" s="1"/>
  <c r="CD17" i="11" a="1"/>
  <c r="CD17" i="11" s="1"/>
  <c r="BR27" i="11" a="1"/>
  <c r="BR27" i="11" s="1"/>
  <c r="CC31" i="11" a="1"/>
  <c r="CC31" i="11" s="1"/>
  <c r="CI15" i="11" a="1"/>
  <c r="CI15" i="11" s="1"/>
  <c r="BS31" i="11" a="1"/>
  <c r="BS31" i="11" s="1"/>
  <c r="BS22" i="11" a="1"/>
  <c r="BS22" i="11" s="1"/>
  <c r="CD25" i="11" a="1"/>
  <c r="CD25" i="11" s="1"/>
  <c r="CH30" i="11" a="1"/>
  <c r="CH30" i="11" s="1"/>
  <c r="BV32" i="11" a="1"/>
  <c r="BV32" i="11" s="1"/>
  <c r="CC28" i="11" a="1"/>
  <c r="CC28" i="11" s="1"/>
  <c r="BW31" i="11" a="1"/>
  <c r="BW31" i="11" s="1"/>
  <c r="BX34" i="11" a="1"/>
  <c r="BX34" i="11" s="1"/>
  <c r="CI34" i="11" a="1"/>
  <c r="CI34" i="11" s="1"/>
  <c r="CH25" i="11" a="1"/>
  <c r="CH25" i="11" s="1"/>
  <c r="BS19" i="11" a="1"/>
  <c r="BS19" i="11" s="1"/>
  <c r="CB29" i="11" a="1"/>
  <c r="CB29" i="11" s="1"/>
  <c r="CG24" i="11" a="1"/>
  <c r="CG24" i="11" s="1"/>
  <c r="CA29" i="11" a="1"/>
  <c r="CA29" i="11" s="1"/>
  <c r="CB28" i="11" a="1"/>
  <c r="CB28" i="11" s="1"/>
  <c r="BT19" i="11" a="1"/>
  <c r="BT19" i="11" s="1"/>
  <c r="BU32" i="11" a="1"/>
  <c r="BU32" i="11" s="1"/>
  <c r="BS33" i="11" a="1"/>
  <c r="BS33" i="11" s="1"/>
  <c r="CC29" i="11" a="1"/>
  <c r="CC29" i="11" s="1"/>
  <c r="CH20" i="11" a="1"/>
  <c r="CH20" i="11" s="1"/>
  <c r="CJ23" i="11" a="1"/>
  <c r="CJ23" i="11" s="1"/>
  <c r="CA32" i="11" a="1"/>
  <c r="CA32" i="11" s="1"/>
  <c r="CC23" i="11" a="1"/>
  <c r="CC23" i="11" s="1"/>
  <c r="CI17" i="11" a="1"/>
  <c r="CI17" i="11" s="1"/>
  <c r="BZ26" i="11" a="1"/>
  <c r="BZ26" i="11" s="1"/>
  <c r="BR33" i="11" a="1"/>
  <c r="BR33" i="11" s="1"/>
  <c r="BS15" i="11" a="1"/>
  <c r="BS15" i="11" s="1"/>
  <c r="BQ26" i="11" a="1"/>
  <c r="BQ26" i="11" s="1"/>
  <c r="CD15" i="11" a="1"/>
  <c r="CD15" i="11" s="1"/>
  <c r="BX27" i="11" a="1"/>
  <c r="BX27" i="11" s="1"/>
  <c r="CI16" i="11" a="1"/>
  <c r="CI16" i="11" s="1"/>
  <c r="CE16" i="11" a="1"/>
  <c r="CE16" i="11" s="1"/>
  <c r="CE25" i="11" a="1"/>
  <c r="CE25" i="11" s="1"/>
  <c r="BT32" i="11" a="1"/>
  <c r="BT32" i="11" s="1"/>
  <c r="BZ27" i="11" a="1"/>
  <c r="BZ27" i="11" s="1"/>
  <c r="BT26" i="11" a="1"/>
  <c r="BT26" i="11" s="1"/>
  <c r="BY26" i="11" a="1"/>
  <c r="BY26" i="11" s="1"/>
  <c r="CF29" i="11" a="1"/>
  <c r="CF29" i="11" s="1"/>
  <c r="CA21" i="11" a="1"/>
  <c r="CA21" i="11" s="1"/>
  <c r="CI22" i="11" a="1"/>
  <c r="CI22" i="11" s="1"/>
  <c r="BZ20" i="11" a="1"/>
  <c r="BZ20" i="11" s="1"/>
  <c r="CC32" i="11" a="1"/>
  <c r="CC32" i="11" s="1"/>
  <c r="CC16" i="11" a="1"/>
  <c r="CC16" i="11" s="1"/>
  <c r="BZ28" i="11" a="1"/>
  <c r="BZ28" i="11" s="1"/>
  <c r="BT29" i="11" a="1"/>
  <c r="BT29" i="11" s="1"/>
  <c r="CA20" i="11" a="1"/>
  <c r="CA20" i="11" s="1"/>
  <c r="CI27" i="11" a="1"/>
  <c r="CI27" i="11" s="1"/>
  <c r="CJ26" i="11" a="1"/>
  <c r="CJ26" i="11" s="1"/>
  <c r="BW33" i="11" a="1"/>
  <c r="BW33" i="11" s="1"/>
  <c r="CH33" i="11" a="1"/>
  <c r="CH33" i="11" s="1"/>
  <c r="BS16" i="11" a="1"/>
  <c r="BS16" i="11" s="1"/>
  <c r="BV23" i="11" a="1"/>
  <c r="BV23" i="11" s="1"/>
  <c r="BR24" i="11" a="1"/>
  <c r="BR24" i="11" s="1"/>
  <c r="BQ31" i="11" a="1"/>
  <c r="BQ31" i="11" s="1"/>
  <c r="BQ29" i="11" a="1"/>
  <c r="BQ29" i="11" s="1"/>
  <c r="BQ24" i="11" a="1"/>
  <c r="BQ24" i="11" s="1"/>
  <c r="BQ27" i="11" a="1"/>
  <c r="BQ27" i="11" s="1"/>
  <c r="BQ30" i="11" a="1"/>
  <c r="BQ30" i="11" s="1"/>
  <c r="BQ21" i="11" a="1"/>
  <c r="BQ21" i="11" s="1"/>
  <c r="BQ25" i="11" a="1"/>
  <c r="BQ25" i="11" s="1"/>
  <c r="BQ19" i="11" a="1"/>
  <c r="BQ19" i="11" s="1"/>
  <c r="BQ28" i="11" a="1"/>
  <c r="BQ28" i="11" s="1"/>
  <c r="BQ34" i="11" a="1"/>
  <c r="BQ34" i="11" s="1"/>
  <c r="BQ23" i="11" a="1"/>
  <c r="BQ23" i="11" s="1"/>
  <c r="BQ20" i="11" a="1"/>
  <c r="BQ20" i="11" s="1"/>
  <c r="BQ22" i="11" a="1"/>
  <c r="BQ22" i="11" s="1"/>
  <c r="BQ33" i="11" a="1"/>
  <c r="BQ33" i="11" s="1"/>
  <c r="BQ16" i="11" a="1"/>
  <c r="BQ16" i="11" s="1"/>
  <c r="DF38" i="12" a="1"/>
  <c r="DF38" i="12" s="1"/>
  <c r="DF35" i="12" a="1"/>
  <c r="DF35" i="12" s="1"/>
  <c r="DF32" i="12" a="1"/>
  <c r="DF32" i="12" s="1"/>
  <c r="DF29" i="12" a="1"/>
  <c r="DF29" i="12" s="1"/>
  <c r="DF39" i="12" a="1"/>
  <c r="DF39" i="12" s="1"/>
  <c r="DG16" i="12" a="1"/>
  <c r="DG16" i="12" s="1"/>
  <c r="DF23" i="12" a="1"/>
  <c r="DF23" i="12" s="1"/>
  <c r="DG31" i="12" a="1"/>
  <c r="DG31" i="12" s="1"/>
  <c r="DF31" i="12" a="1"/>
  <c r="DF31" i="12" s="1"/>
  <c r="DF30" i="12" a="1"/>
  <c r="DF30" i="12" s="1"/>
  <c r="DG29" i="12" a="1"/>
  <c r="DG29" i="12" s="1"/>
  <c r="DG37" i="12" a="1"/>
  <c r="DG37" i="12" s="1"/>
  <c r="DG32" i="12" a="1"/>
  <c r="DG32" i="12" s="1"/>
  <c r="DG38" i="12" a="1"/>
  <c r="DG38" i="12" s="1"/>
  <c r="DG28" i="12" a="1"/>
  <c r="DG28" i="12" s="1"/>
  <c r="DF36" i="12" a="1"/>
  <c r="DF36" i="12" s="1"/>
  <c r="DF28" i="12" a="1"/>
  <c r="DF28" i="12" s="1"/>
  <c r="DF20" i="12" a="1"/>
  <c r="DF20" i="12" s="1"/>
  <c r="DG34" i="12" a="1"/>
  <c r="DG34" i="12" s="1"/>
  <c r="DF33" i="12" a="1"/>
  <c r="DF33" i="12" s="1"/>
  <c r="DG23" i="12" a="1"/>
  <c r="DG23" i="12" s="1"/>
  <c r="DF37" i="12" a="1"/>
  <c r="DF37" i="12" s="1"/>
  <c r="DF34" i="12" a="1"/>
  <c r="DF34" i="12" s="1"/>
  <c r="DF27" i="12" a="1"/>
  <c r="DF27" i="12" s="1"/>
  <c r="DG19" i="12" a="1"/>
  <c r="DG19" i="12" s="1"/>
  <c r="DG26" i="12" a="1"/>
  <c r="DG26" i="12" s="1"/>
  <c r="DG22" i="12" a="1"/>
  <c r="DG22" i="12" s="1"/>
  <c r="DF26" i="12" a="1"/>
  <c r="DF26" i="12" s="1"/>
  <c r="DF22" i="12" a="1"/>
  <c r="DF22" i="12" s="1"/>
  <c r="DF21" i="12" a="1"/>
  <c r="DF21" i="12" s="1"/>
  <c r="DG17" i="12" a="1"/>
  <c r="DG17" i="12" s="1"/>
  <c r="DF25" i="12" a="1"/>
  <c r="DF25" i="12" s="1"/>
  <c r="CP15" i="12"/>
  <c r="DG20" i="12" s="1" a="1"/>
  <c r="DG20" i="12" s="1"/>
  <c r="DF24" i="12" a="1"/>
  <c r="DF24" i="12" s="1"/>
  <c r="CF19" i="8" a="1"/>
  <c r="CF19" i="8" s="1"/>
  <c r="BQ29" i="8" a="1"/>
  <c r="BQ29" i="8" s="1"/>
  <c r="CI15" i="8" a="1"/>
  <c r="CI15" i="8" s="1"/>
  <c r="CB15" i="8" a="1"/>
  <c r="CB15" i="8" s="1"/>
  <c r="CH15" i="8" a="1"/>
  <c r="CH15" i="8" s="1"/>
  <c r="CC23" i="8" a="1"/>
  <c r="CC23" i="8" s="1"/>
  <c r="CE33" i="8" a="1"/>
  <c r="CE33" i="8" s="1"/>
  <c r="BV18" i="8" a="1"/>
  <c r="BV18" i="8" s="1"/>
  <c r="CD26" i="8" a="1"/>
  <c r="CD26" i="8" s="1"/>
  <c r="CA21" i="8" a="1"/>
  <c r="CA21" i="8" s="1"/>
  <c r="CJ18" i="8" a="1"/>
  <c r="CJ18" i="8" s="1"/>
  <c r="BX16" i="8" a="1"/>
  <c r="BX16" i="8" s="1"/>
  <c r="BW15" i="8" a="1"/>
  <c r="BW15" i="8" s="1"/>
  <c r="CC15" i="8" a="1"/>
  <c r="CC15" i="8" s="1"/>
  <c r="CI32" i="8" a="1"/>
  <c r="CI32" i="8" s="1"/>
  <c r="BU33" i="8" a="1"/>
  <c r="BU33" i="8" s="1"/>
  <c r="CF27" i="8" a="1"/>
  <c r="CF27" i="8" s="1"/>
  <c r="BU16" i="8" a="1"/>
  <c r="BU16" i="8" s="1"/>
  <c r="CC22" i="8" a="1"/>
  <c r="CC22" i="8" s="1"/>
  <c r="BT21" i="8" a="1"/>
  <c r="BT21" i="8" s="1"/>
  <c r="CE20" i="8" a="1"/>
  <c r="CE20" i="8" s="1"/>
  <c r="BQ18" i="8" a="1"/>
  <c r="BQ18" i="8" s="1"/>
  <c r="BW17" i="8" a="1"/>
  <c r="BW17" i="8" s="1"/>
  <c r="BQ31" i="8" a="1"/>
  <c r="BQ31" i="8" s="1"/>
  <c r="CF28" i="8" a="1"/>
  <c r="CF28" i="8" s="1"/>
  <c r="BV15" i="8" a="1"/>
  <c r="BV15" i="8" s="1"/>
  <c r="BS22" i="8" a="1"/>
  <c r="BS22" i="8" s="1"/>
  <c r="CB28" i="8" a="1"/>
  <c r="CB28" i="8" s="1"/>
  <c r="CG19" i="8" a="1"/>
  <c r="CG19" i="8" s="1"/>
  <c r="CE16" i="8" a="1"/>
  <c r="CE16" i="8" s="1"/>
  <c r="BY24" i="8" a="1"/>
  <c r="BY24" i="8" s="1"/>
  <c r="BV31" i="8" a="1"/>
  <c r="BV31" i="8" s="1"/>
  <c r="BS18" i="8" a="1"/>
  <c r="BS18" i="8" s="1"/>
  <c r="CC24" i="8" a="1"/>
  <c r="CC24" i="8" s="1"/>
  <c r="BS26" i="8" a="1"/>
  <c r="BS26" i="8" s="1"/>
  <c r="BR32" i="8" a="1"/>
  <c r="BR32" i="8" s="1"/>
  <c r="BU29" i="8" a="1"/>
  <c r="BU29" i="8" s="1"/>
  <c r="CA15" i="8" a="1"/>
  <c r="CA15" i="8" s="1"/>
  <c r="CI20" i="8" a="1"/>
  <c r="CI20" i="8" s="1"/>
  <c r="CH26" i="8" a="1"/>
  <c r="CH26" i="8" s="1"/>
  <c r="CF33" i="8" a="1"/>
  <c r="CF33" i="8" s="1"/>
  <c r="BS15" i="8" a="1"/>
  <c r="BS15" i="8" s="1"/>
  <c r="BS34" i="8" a="1"/>
  <c r="BS34" i="8" s="1"/>
  <c r="CE21" i="8" a="1"/>
  <c r="CE21" i="8" s="1"/>
  <c r="CA18" i="8" a="1"/>
  <c r="CA18" i="8" s="1"/>
  <c r="CD15" i="8" a="1"/>
  <c r="CD15" i="8" s="1"/>
  <c r="CD30" i="8" a="1"/>
  <c r="CD30" i="8" s="1"/>
  <c r="BU20" i="8" a="1"/>
  <c r="BU20" i="8" s="1"/>
  <c r="CI17" i="8" a="1"/>
  <c r="CI17" i="8" s="1"/>
  <c r="CF15" i="8" a="1"/>
  <c r="CF15" i="8" s="1"/>
  <c r="BX20" i="8" a="1"/>
  <c r="BX20" i="8" s="1"/>
  <c r="CH17" i="8" a="1"/>
  <c r="CH17" i="8" s="1"/>
  <c r="BU30" i="8" a="1"/>
  <c r="BU30" i="8" s="1"/>
  <c r="CG24" i="8" a="1"/>
  <c r="CG24" i="8" s="1"/>
  <c r="BT23" i="8" a="1"/>
  <c r="BT23" i="8" s="1"/>
  <c r="CJ30" i="8" a="1"/>
  <c r="CJ30" i="8" s="1"/>
  <c r="CG16" i="8" a="1"/>
  <c r="CG16" i="8" s="1"/>
  <c r="BV34" i="8" a="1"/>
  <c r="BV34" i="8" s="1"/>
  <c r="BS20" i="8" a="1"/>
  <c r="BS20" i="8" s="1"/>
  <c r="CB23" i="8" a="1"/>
  <c r="CB23" i="8" s="1"/>
  <c r="CA28" i="8" a="1"/>
  <c r="CA28" i="8" s="1"/>
  <c r="CJ31" i="8" a="1"/>
  <c r="CJ31" i="8" s="1"/>
  <c r="CG17" i="8" a="1"/>
  <c r="CG17" i="8" s="1"/>
  <c r="BT30" i="8" a="1"/>
  <c r="BT30" i="8" s="1"/>
  <c r="CE34" i="8" a="1"/>
  <c r="CE34" i="8" s="1"/>
  <c r="BZ19" i="8" a="1"/>
  <c r="BZ19" i="8" s="1"/>
  <c r="BR24" i="8" a="1"/>
  <c r="BR24" i="8" s="1"/>
  <c r="CC28" i="8" a="1"/>
  <c r="CC28" i="8" s="1"/>
  <c r="BS32" i="8" a="1"/>
  <c r="BS32" i="8" s="1"/>
  <c r="CH31" i="8" a="1"/>
  <c r="CH31" i="8" s="1"/>
  <c r="BR25" i="8" a="1"/>
  <c r="BR25" i="8" s="1"/>
  <c r="CD19" i="8" a="1"/>
  <c r="CD19" i="8" s="1"/>
  <c r="CJ17" i="8" a="1"/>
  <c r="CJ17" i="8" s="1"/>
  <c r="CG25" i="8" a="1"/>
  <c r="CG25" i="8" s="1"/>
  <c r="CC25" i="8" a="1"/>
  <c r="CC25" i="8" s="1"/>
  <c r="BS29" i="8" a="1"/>
  <c r="BS29" i="8" s="1"/>
  <c r="BR34" i="8" a="1"/>
  <c r="BR34" i="8" s="1"/>
  <c r="BY18" i="8" a="1"/>
  <c r="BY18" i="8" s="1"/>
  <c r="BX23" i="8" a="1"/>
  <c r="BX23" i="8" s="1"/>
  <c r="CG26" i="8" a="1"/>
  <c r="CG26" i="8" s="1"/>
  <c r="BY31" i="8" a="1"/>
  <c r="BY31" i="8" s="1"/>
  <c r="CJ24" i="8" a="1"/>
  <c r="CJ24" i="8" s="1"/>
  <c r="CB29" i="8" a="1"/>
  <c r="CB29" i="8" s="1"/>
  <c r="BT34" i="8" a="1"/>
  <c r="BT34" i="8" s="1"/>
  <c r="CH18" i="8" a="1"/>
  <c r="CH18" i="8" s="1"/>
  <c r="BZ23" i="8" a="1"/>
  <c r="BZ23" i="8" s="1"/>
  <c r="CI26" i="8" a="1"/>
  <c r="CI26" i="8" s="1"/>
  <c r="CE26" i="8" a="1"/>
  <c r="CE26" i="8" s="1"/>
  <c r="CH19" i="8" a="1"/>
  <c r="CH19" i="8" s="1"/>
  <c r="BV33" i="8" a="1"/>
  <c r="BV33" i="8" s="1"/>
  <c r="CD32" i="8" a="1"/>
  <c r="CD32" i="8" s="1"/>
  <c r="CD20" i="8" a="1"/>
  <c r="CD20" i="8" s="1"/>
  <c r="BZ20" i="8" a="1"/>
  <c r="BZ20" i="8" s="1"/>
  <c r="CI23" i="8" a="1"/>
  <c r="CI23" i="8" s="1"/>
  <c r="CH28" i="8" a="1"/>
  <c r="CH28" i="8" s="1"/>
  <c r="BX32" i="8" a="1"/>
  <c r="BX32" i="8" s="1"/>
  <c r="BU18" i="8" a="1"/>
  <c r="BU18" i="8" s="1"/>
  <c r="CD21" i="8" a="1"/>
  <c r="CD21" i="8" s="1"/>
  <c r="BV26" i="8" a="1"/>
  <c r="BV26" i="8" s="1"/>
  <c r="CJ28" i="8" a="1"/>
  <c r="CJ28" i="8" s="1"/>
  <c r="BZ32" i="8" a="1"/>
  <c r="BZ32" i="8" s="1"/>
  <c r="BW18" i="8" a="1"/>
  <c r="BW18" i="8" s="1"/>
  <c r="CF21" i="8" a="1"/>
  <c r="CF21" i="8" s="1"/>
  <c r="CB21" i="8" a="1"/>
  <c r="CB21" i="8" s="1"/>
  <c r="CG33" i="8" a="1"/>
  <c r="CG33" i="8" s="1"/>
  <c r="BS28" i="8" a="1"/>
  <c r="BS28" i="8" s="1"/>
  <c r="CA27" i="8" a="1"/>
  <c r="CA27" i="8" s="1"/>
  <c r="CC34" i="8" a="1"/>
  <c r="CC34" i="8" s="1"/>
  <c r="BY34" i="8" a="1"/>
  <c r="BY34" i="8" s="1"/>
  <c r="CF18" i="8" a="1"/>
  <c r="CF18" i="8" s="1"/>
  <c r="CE23" i="8" a="1"/>
  <c r="CE23" i="8" s="1"/>
  <c r="BU27" i="8" a="1"/>
  <c r="BU27" i="8" s="1"/>
  <c r="CF31" i="8" a="1"/>
  <c r="CF31" i="8" s="1"/>
  <c r="CA16" i="8" a="1"/>
  <c r="CA16" i="8" s="1"/>
  <c r="BS21" i="8" a="1"/>
  <c r="BS21" i="8" s="1"/>
  <c r="BY15" i="8" a="1"/>
  <c r="BY15" i="8" s="1"/>
  <c r="BZ17" i="8" a="1"/>
  <c r="BZ17" i="8" s="1"/>
  <c r="BZ30" i="8" a="1"/>
  <c r="BZ30" i="8" s="1"/>
  <c r="BZ18" i="8" a="1"/>
  <c r="BZ18" i="8" s="1"/>
  <c r="BU32" i="8" a="1"/>
  <c r="BU32" i="8" s="1"/>
  <c r="CB16" i="8" a="1"/>
  <c r="CB16" i="8" s="1"/>
  <c r="CI29" i="8" a="1"/>
  <c r="CI29" i="8" s="1"/>
  <c r="CA34" i="8" a="1"/>
  <c r="CA34" i="8" s="1"/>
  <c r="BV19" i="8" a="1"/>
  <c r="BV19" i="8" s="1"/>
  <c r="CG23" i="8" a="1"/>
  <c r="CG23" i="8" s="1"/>
  <c r="BW27" i="8" a="1"/>
  <c r="BW27" i="8" s="1"/>
  <c r="BV32" i="8" a="1"/>
  <c r="BV32" i="8" s="1"/>
  <c r="CC16" i="8" a="1"/>
  <c r="CC16" i="8" s="1"/>
  <c r="BY16" i="8" a="1"/>
  <c r="BY16" i="8" s="1"/>
  <c r="CA23" i="8" a="1"/>
  <c r="CA23" i="8" s="1"/>
  <c r="CI22" i="8" a="1"/>
  <c r="CI22" i="8" s="1"/>
  <c r="BU17" i="8" a="1"/>
  <c r="BU17" i="8" s="1"/>
  <c r="BZ29" i="8" a="1"/>
  <c r="BZ29" i="8" s="1"/>
  <c r="BV29" i="8" a="1"/>
  <c r="BV29" i="8" s="1"/>
  <c r="CE32" i="8" a="1"/>
  <c r="CE32" i="8" s="1"/>
  <c r="CB18" i="8" a="1"/>
  <c r="CB18" i="8" s="1"/>
  <c r="BR22" i="8" a="1"/>
  <c r="BR22" i="8" s="1"/>
  <c r="CC26" i="8" a="1"/>
  <c r="CC26" i="8" s="1"/>
  <c r="BU31" i="8" a="1"/>
  <c r="BU31" i="8" s="1"/>
  <c r="CD34" i="8" a="1"/>
  <c r="CD34" i="8" s="1"/>
  <c r="CJ15" i="8" a="1"/>
  <c r="CJ15" i="8" s="1"/>
  <c r="BR31" i="8" a="1"/>
  <c r="BR31" i="8" s="1"/>
  <c r="BW25" i="8" a="1"/>
  <c r="BW25" i="8" s="1"/>
  <c r="BY32" i="8" a="1"/>
  <c r="BY32" i="8" s="1"/>
  <c r="BR27" i="8" a="1"/>
  <c r="BR27" i="8" s="1"/>
  <c r="CA30" i="8" a="1"/>
  <c r="CA30" i="8" s="1"/>
  <c r="CF24" i="8" a="1"/>
  <c r="CF24" i="8" s="1"/>
  <c r="BX29" i="8" a="1"/>
  <c r="BX29" i="8" s="1"/>
  <c r="CG32" i="8" a="1"/>
  <c r="CG32" i="8" s="1"/>
  <c r="CD18" i="8" a="1"/>
  <c r="CD18" i="8" s="1"/>
  <c r="BT22" i="8" a="1"/>
  <c r="BT22" i="8" s="1"/>
  <c r="BS27" i="8" a="1"/>
  <c r="BS27" i="8" s="1"/>
  <c r="CB30" i="8" a="1"/>
  <c r="CB30" i="8" s="1"/>
  <c r="BX30" i="8" a="1"/>
  <c r="BX30" i="8" s="1"/>
  <c r="BX18" i="8" a="1"/>
  <c r="BX18" i="8" s="1"/>
  <c r="CF17" i="8" a="1"/>
  <c r="CF17" i="8" s="1"/>
  <c r="BT31" i="8" a="1"/>
  <c r="BT31" i="8" s="1"/>
  <c r="BW24" i="8" a="1"/>
  <c r="BW24" i="8" s="1"/>
  <c r="BS24" i="8" a="1"/>
  <c r="BS24" i="8" s="1"/>
  <c r="CB27" i="8" a="1"/>
  <c r="CB27" i="8" s="1"/>
  <c r="BT32" i="8" a="1"/>
  <c r="BT32" i="8" s="1"/>
  <c r="CH16" i="8" a="1"/>
  <c r="CH16" i="8" s="1"/>
  <c r="BZ21" i="8" a="1"/>
  <c r="BZ21" i="8" s="1"/>
  <c r="BR26" i="8" a="1"/>
  <c r="BR26" i="8" s="1"/>
  <c r="CA29" i="8" a="1"/>
  <c r="CA29" i="8" s="1"/>
  <c r="BU15" i="8" a="1"/>
  <c r="BU15" i="8" s="1"/>
  <c r="BR15" i="8" a="1"/>
  <c r="BR15" i="8" s="1"/>
  <c r="CH25" i="8" a="1"/>
  <c r="CH25" i="8" s="1"/>
  <c r="BT20" i="8" a="1"/>
  <c r="BT20" i="8" s="1"/>
  <c r="BV27" i="8" a="1"/>
  <c r="BV27" i="8" s="1"/>
  <c r="CH21" i="8" a="1"/>
  <c r="CH21" i="8" s="1"/>
  <c r="BX25" i="8" a="1"/>
  <c r="BX25" i="8" s="1"/>
  <c r="CC19" i="8" a="1"/>
  <c r="CC19" i="8" s="1"/>
  <c r="BU24" i="8" a="1"/>
  <c r="BU24" i="8" s="1"/>
  <c r="CD27" i="8" a="1"/>
  <c r="CD27" i="8" s="1"/>
  <c r="CC32" i="8" a="1"/>
  <c r="CC32" i="8" s="1"/>
  <c r="CJ16" i="8" a="1"/>
  <c r="CJ16" i="8" s="1"/>
  <c r="CI21" i="8" a="1"/>
  <c r="CI21" i="8" s="1"/>
  <c r="BY25" i="8" a="1"/>
  <c r="BY25" i="8" s="1"/>
  <c r="BU25" i="8" a="1"/>
  <c r="BU25" i="8" s="1"/>
  <c r="BR33" i="8" a="1"/>
  <c r="BR33" i="8" s="1"/>
  <c r="BX31" i="8" a="1"/>
  <c r="BX31" i="8" s="1"/>
  <c r="CJ25" i="8" a="1"/>
  <c r="CJ25" i="8" s="1"/>
  <c r="BT19" i="8" a="1"/>
  <c r="BT19" i="8" s="1"/>
  <c r="CI18" i="8" a="1"/>
  <c r="CI18" i="8" s="1"/>
  <c r="BY22" i="8" a="1"/>
  <c r="BY22" i="8" s="1"/>
  <c r="CJ26" i="8" a="1"/>
  <c r="CJ26" i="8" s="1"/>
  <c r="CB31" i="8" a="1"/>
  <c r="CB31" i="8" s="1"/>
  <c r="BW16" i="8" a="1"/>
  <c r="BW16" i="8" s="1"/>
  <c r="CH20" i="8" a="1"/>
  <c r="CH20" i="8" s="1"/>
  <c r="BX24" i="8" a="1"/>
  <c r="BX24" i="8" s="1"/>
  <c r="BR19" i="8" a="1"/>
  <c r="BR19" i="8" s="1"/>
  <c r="CA22" i="8" a="1"/>
  <c r="CA22" i="8" s="1"/>
  <c r="BZ27" i="8" a="1"/>
  <c r="BZ27" i="8" s="1"/>
  <c r="CI30" i="8" a="1"/>
  <c r="CI30" i="8" s="1"/>
  <c r="CF16" i="8" a="1"/>
  <c r="CF16" i="8" s="1"/>
  <c r="BU34" i="8" a="1"/>
  <c r="BU34" i="8" s="1"/>
  <c r="BR20" i="8" a="1"/>
  <c r="BR20" i="8" s="1"/>
  <c r="CH27" i="8" a="1"/>
  <c r="CH27" i="8" s="1"/>
  <c r="BU26" i="8" a="1"/>
  <c r="BU26" i="8" s="1"/>
  <c r="CG20" i="8" a="1"/>
  <c r="CG20" i="8" s="1"/>
  <c r="BS33" i="8" a="1"/>
  <c r="BS33" i="8" s="1"/>
  <c r="CA32" i="8" a="1"/>
  <c r="CA32" i="8" s="1"/>
  <c r="BV17" i="8" a="1"/>
  <c r="BV17" i="8" s="1"/>
  <c r="CG21" i="8" a="1"/>
  <c r="CG21" i="8" s="1"/>
  <c r="BY26" i="8" a="1"/>
  <c r="BY26" i="8" s="1"/>
  <c r="CH29" i="8" a="1"/>
  <c r="CH29" i="8" s="1"/>
  <c r="CG34" i="8" a="1"/>
  <c r="CG34" i="8" s="1"/>
  <c r="BT33" i="8" a="1"/>
  <c r="BT33" i="8" s="1"/>
  <c r="CG30" i="8" a="1"/>
  <c r="CG30" i="8" s="1"/>
  <c r="BW34" i="8" a="1"/>
  <c r="BW34" i="8" s="1"/>
  <c r="CI28" i="8" a="1"/>
  <c r="CI28" i="8" s="1"/>
  <c r="CI16" i="8" a="1"/>
  <c r="CI16" i="8" s="1"/>
  <c r="BW30" i="8" a="1"/>
  <c r="BW30" i="8" s="1"/>
  <c r="CH34" i="8" a="1"/>
  <c r="CH34" i="8" s="1"/>
  <c r="BR28" i="8" a="1"/>
  <c r="BR28" i="8" s="1"/>
  <c r="CJ32" i="8" a="1"/>
  <c r="CJ32" i="8" s="1"/>
  <c r="BX17" i="8" a="1"/>
  <c r="BX17" i="8" s="1"/>
  <c r="BW22" i="8" a="1"/>
  <c r="BW22" i="8" s="1"/>
  <c r="CF25" i="8" a="1"/>
  <c r="CF25" i="8" s="1"/>
  <c r="CE30" i="8" a="1"/>
  <c r="CE30" i="8" s="1"/>
  <c r="BR29" i="8" a="1"/>
  <c r="BR29" i="8" s="1"/>
  <c r="CC33" i="8" a="1"/>
  <c r="CC33" i="8" s="1"/>
  <c r="CE22" i="8" a="1"/>
  <c r="CE22" i="8" s="1"/>
  <c r="BR21" i="8" a="1"/>
  <c r="BR21" i="8" s="1"/>
  <c r="CF34" i="8" a="1"/>
  <c r="CF34" i="8" s="1"/>
  <c r="CI27" i="8" a="1"/>
  <c r="CI27" i="8" s="1"/>
  <c r="BX27" i="8" a="1"/>
  <c r="BX27" i="8" s="1"/>
  <c r="CI31" i="8" a="1"/>
  <c r="CI31" i="8" s="1"/>
  <c r="CD16" i="8" a="1"/>
  <c r="CD16" i="8" s="1"/>
  <c r="BV21" i="8" a="1"/>
  <c r="BV21" i="8" s="1"/>
  <c r="CE24" i="8" a="1"/>
  <c r="CE24" i="8" s="1"/>
  <c r="CD29" i="8" a="1"/>
  <c r="CD29" i="8" s="1"/>
  <c r="CJ27" i="8" a="1"/>
  <c r="CJ27" i="8" s="1"/>
  <c r="BT15" i="8" a="1"/>
  <c r="BT15" i="8" s="1"/>
  <c r="CD25" i="8" a="1"/>
  <c r="CD25" i="8" s="1"/>
  <c r="BT29" i="8" a="1"/>
  <c r="BT29" i="8" s="1"/>
  <c r="CF23" i="8" a="1"/>
  <c r="CF23" i="8" s="1"/>
  <c r="CH30" i="8" a="1"/>
  <c r="CH30" i="8" s="1"/>
  <c r="BT25" i="8" a="1"/>
  <c r="BT25" i="8" s="1"/>
  <c r="CB24" i="8" a="1"/>
  <c r="CB24" i="8" s="1"/>
  <c r="CH22" i="8" a="1"/>
  <c r="CH22" i="8" s="1"/>
  <c r="CG27" i="8" a="1"/>
  <c r="CG27" i="8" s="1"/>
  <c r="BW31" i="8" a="1"/>
  <c r="BW31" i="8" s="1"/>
  <c r="BT17" i="8" a="1"/>
  <c r="BT17" i="8" s="1"/>
  <c r="CC20" i="8" a="1"/>
  <c r="CC20" i="8" s="1"/>
  <c r="CB25" i="8" a="1"/>
  <c r="CB25" i="8" s="1"/>
  <c r="CH23" i="8" a="1"/>
  <c r="CH23" i="8" s="1"/>
  <c r="BZ28" i="8" a="1"/>
  <c r="BZ28" i="8" s="1"/>
  <c r="CB17" i="8" a="1"/>
  <c r="CB17" i="8" s="1"/>
  <c r="CG29" i="8" a="1"/>
  <c r="CG29" i="8" s="1"/>
  <c r="CC29" i="8" a="1"/>
  <c r="CC29" i="8" s="1"/>
  <c r="CF22" i="8" a="1"/>
  <c r="CF22" i="8" s="1"/>
  <c r="BU22" i="8" a="1"/>
  <c r="BU22" i="8" s="1"/>
  <c r="CF26" i="8" a="1"/>
  <c r="CF26" i="8" s="1"/>
  <c r="BV30" i="8" a="1"/>
  <c r="BV30" i="8" s="1"/>
  <c r="BS16" i="8" a="1"/>
  <c r="BS16" i="8" s="1"/>
  <c r="CB19" i="8" a="1"/>
  <c r="CB19" i="8" s="1"/>
  <c r="CA24" i="8" a="1"/>
  <c r="CA24" i="8" s="1"/>
  <c r="CG22" i="8" a="1"/>
  <c r="CG22" i="8" s="1"/>
  <c r="CG15" i="8" a="1"/>
  <c r="CG15" i="8" s="1"/>
  <c r="CA20" i="8" a="1"/>
  <c r="CA20" i="8" s="1"/>
  <c r="CJ23" i="8" a="1"/>
  <c r="CJ23" i="8" s="1"/>
  <c r="CC18" i="8" a="1"/>
  <c r="CC18" i="8" s="1"/>
  <c r="CE25" i="8" a="1"/>
  <c r="CE25" i="8" s="1"/>
  <c r="CJ19" i="8" a="1"/>
  <c r="CJ19" i="8" s="1"/>
  <c r="BY19" i="8" a="1"/>
  <c r="BY19" i="8" s="1"/>
  <c r="CE17" i="8" a="1"/>
  <c r="CE17" i="8" s="1"/>
  <c r="CD22" i="8" a="1"/>
  <c r="CD22" i="8" s="1"/>
  <c r="BT26" i="8" a="1"/>
  <c r="BT26" i="8" s="1"/>
  <c r="BS31" i="8" a="1"/>
  <c r="BS31" i="8" s="1"/>
  <c r="CB34" i="8" a="1"/>
  <c r="CB34" i="8" s="1"/>
  <c r="BY20" i="8" a="1"/>
  <c r="BY20" i="8" s="1"/>
  <c r="CE18" i="8" a="1"/>
  <c r="CE18" i="8" s="1"/>
  <c r="BW23" i="8" a="1"/>
  <c r="BW23" i="8" s="1"/>
  <c r="CA31" i="8" a="1"/>
  <c r="CA31" i="8" s="1"/>
  <c r="CD24" i="8" a="1"/>
  <c r="CD24" i="8" s="1"/>
  <c r="BW19" i="8" a="1"/>
  <c r="BW19" i="8" s="1"/>
  <c r="CC17" i="8" a="1"/>
  <c r="CC17" i="8" s="1"/>
  <c r="BR17" i="8" a="1"/>
  <c r="BR17" i="8" s="1"/>
  <c r="CC21" i="8" a="1"/>
  <c r="CC21" i="8" s="1"/>
  <c r="BS25" i="8" a="1"/>
  <c r="BS25" i="8" s="1"/>
  <c r="BR30" i="8" a="1"/>
  <c r="BR30" i="8" s="1"/>
  <c r="CA33" i="8" a="1"/>
  <c r="CA33" i="8" s="1"/>
  <c r="BX19" i="8" a="1"/>
  <c r="BX19" i="8" s="1"/>
  <c r="CD17" i="8" a="1"/>
  <c r="CD17" i="8" s="1"/>
  <c r="CE15" i="8" a="1"/>
  <c r="CE15" i="8" s="1"/>
  <c r="BZ34" i="8" a="1"/>
  <c r="BZ34" i="8" s="1"/>
  <c r="CG18" i="8" a="1"/>
  <c r="CG18" i="8" s="1"/>
  <c r="CB32" i="8" a="1"/>
  <c r="CB32" i="8" s="1"/>
  <c r="CB20" i="8" a="1"/>
  <c r="CB20" i="8" s="1"/>
  <c r="CB33" i="8" a="1"/>
  <c r="CB33" i="8" s="1"/>
  <c r="BX33" i="8" a="1"/>
  <c r="BX33" i="8" s="1"/>
  <c r="CD31" i="8" a="1"/>
  <c r="CD31" i="8" s="1"/>
  <c r="CA17" i="8" a="1"/>
  <c r="CA17" i="8" s="1"/>
  <c r="CJ20" i="8" a="1"/>
  <c r="CJ20" i="8" s="1"/>
  <c r="CI25" i="8" a="1"/>
  <c r="CI25" i="8" s="1"/>
  <c r="BY29" i="8" a="1"/>
  <c r="BY29" i="8" s="1"/>
  <c r="CJ33" i="8" a="1"/>
  <c r="CJ33" i="8" s="1"/>
  <c r="BY33" i="8" a="1"/>
  <c r="BY33" i="8" s="1"/>
  <c r="CE31" i="8" a="1"/>
  <c r="CE31" i="8" s="1"/>
  <c r="BX26" i="8" a="1"/>
  <c r="BX26" i="8" s="1"/>
  <c r="CA19" i="8" a="1"/>
  <c r="CA19" i="8" s="1"/>
  <c r="CE27" i="8" a="1"/>
  <c r="CE27" i="8" s="1"/>
  <c r="BW32" i="8" a="1"/>
  <c r="BW32" i="8" s="1"/>
  <c r="CC30" i="8" a="1"/>
  <c r="CC30" i="8" s="1"/>
  <c r="BZ16" i="8" a="1"/>
  <c r="BZ16" i="8" s="1"/>
  <c r="CI19" i="8" a="1"/>
  <c r="CI19" i="8" s="1"/>
  <c r="CH24" i="8" a="1"/>
  <c r="CH24" i="8" s="1"/>
  <c r="BX28" i="8" a="1"/>
  <c r="BX28" i="8" s="1"/>
  <c r="BW33" i="8" a="1"/>
  <c r="BW33" i="8" s="1"/>
  <c r="CC31" i="8" a="1"/>
  <c r="CC31" i="8" s="1"/>
  <c r="BZ15" i="8" a="1"/>
  <c r="BZ15" i="8" s="1"/>
  <c r="BW29" i="8" a="1"/>
  <c r="BW29" i="8" s="1"/>
  <c r="CF32" i="8" a="1"/>
  <c r="CF32" i="8" s="1"/>
  <c r="BY27" i="8" a="1"/>
  <c r="BY27" i="8" s="1"/>
  <c r="BS30" i="8" a="1"/>
  <c r="BS30" i="8" s="1"/>
  <c r="BY28" i="8" a="1"/>
  <c r="BY28" i="8" s="1"/>
  <c r="BU28" i="8" a="1"/>
  <c r="BU28" i="8" s="1"/>
  <c r="CA26" i="8" a="1"/>
  <c r="CA26" i="8" s="1"/>
  <c r="BZ31" i="8" a="1"/>
  <c r="BZ31" i="8" s="1"/>
  <c r="CI34" i="8" a="1"/>
  <c r="CI34" i="8" s="1"/>
  <c r="CF20" i="8" a="1"/>
  <c r="CF20" i="8" s="1"/>
  <c r="BV24" i="8" a="1"/>
  <c r="BV24" i="8" s="1"/>
  <c r="CG28" i="8" a="1"/>
  <c r="CG28" i="8" s="1"/>
  <c r="BV28" i="8" a="1"/>
  <c r="BV28" i="8" s="1"/>
  <c r="BY21" i="8" a="1"/>
  <c r="BY21" i="8" s="1"/>
  <c r="BU21" i="8" a="1"/>
  <c r="BU21" i="8" s="1"/>
  <c r="BZ33" i="8" a="1"/>
  <c r="BZ33" i="8" s="1"/>
  <c r="CB22" i="8" a="1"/>
  <c r="CB22" i="8" s="1"/>
  <c r="BT27" i="8" a="1"/>
  <c r="BT27" i="8" s="1"/>
  <c r="BZ25" i="8" a="1"/>
  <c r="BZ25" i="8" s="1"/>
  <c r="BY30" i="8" a="1"/>
  <c r="BY30" i="8" s="1"/>
  <c r="CH33" i="8" a="1"/>
  <c r="CH33" i="8" s="1"/>
  <c r="CE19" i="8" a="1"/>
  <c r="CE19" i="8" s="1"/>
  <c r="BU23" i="8" a="1"/>
  <c r="BU23" i="8" s="1"/>
  <c r="BT28" i="8" a="1"/>
  <c r="BT28" i="8" s="1"/>
  <c r="BZ26" i="8" a="1"/>
  <c r="BZ26" i="8" s="1"/>
  <c r="BQ25" i="8" a="1"/>
  <c r="BQ25" i="8" s="1"/>
  <c r="BX15" i="8" a="1"/>
  <c r="BX15" i="8" s="1"/>
  <c r="BT24" i="8" a="1"/>
  <c r="BT24" i="8" s="1"/>
  <c r="BZ22" i="8" a="1"/>
  <c r="BZ22" i="8" s="1"/>
  <c r="BV22" i="8" a="1"/>
  <c r="BV22" i="8" s="1"/>
  <c r="CI24" i="8" a="1"/>
  <c r="CI24" i="8" s="1"/>
  <c r="BV23" i="8" a="1"/>
  <c r="BV23" i="8" s="1"/>
  <c r="BR23" i="8" a="1"/>
  <c r="BR23" i="8" s="1"/>
  <c r="BX21" i="8" a="1"/>
  <c r="BX21" i="8" s="1"/>
  <c r="BW26" i="8" a="1"/>
  <c r="BW26" i="8" s="1"/>
  <c r="CF29" i="8" a="1"/>
  <c r="CF29" i="8" s="1"/>
  <c r="BX34" i="8" a="1"/>
  <c r="BX34" i="8" s="1"/>
  <c r="BS19" i="8" a="1"/>
  <c r="BS19" i="8" s="1"/>
  <c r="CD23" i="8" a="1"/>
  <c r="CD23" i="8" s="1"/>
  <c r="BS23" i="8" a="1"/>
  <c r="BS23" i="8" s="1"/>
  <c r="BV16" i="8" a="1"/>
  <c r="BV16" i="8" s="1"/>
  <c r="CJ29" i="8" a="1"/>
  <c r="CJ29" i="8" s="1"/>
  <c r="BW28" i="8" a="1"/>
  <c r="BW28" i="8" s="1"/>
  <c r="BY17" i="8" a="1"/>
  <c r="BY17" i="8" s="1"/>
  <c r="CJ21" i="8" a="1"/>
  <c r="CJ21" i="8" s="1"/>
  <c r="BW20" i="8" a="1"/>
  <c r="BW20" i="8" s="1"/>
  <c r="BV25" i="8" a="1"/>
  <c r="BV25" i="8" s="1"/>
  <c r="CE28" i="8" a="1"/>
  <c r="CE28" i="8" s="1"/>
  <c r="CD33" i="8" a="1"/>
  <c r="CD33" i="8" s="1"/>
  <c r="BR18" i="8" a="1"/>
  <c r="BR18" i="8" s="1"/>
  <c r="CJ22" i="8" a="1"/>
  <c r="CJ22" i="8" s="1"/>
  <c r="BQ24" i="8" a="1"/>
  <c r="BQ24" i="8" s="1"/>
  <c r="BQ22" i="8" a="1"/>
  <c r="BQ22" i="8" s="1"/>
  <c r="BQ17" i="8" a="1"/>
  <c r="BQ17" i="8" s="1"/>
  <c r="BQ28" i="8" a="1"/>
  <c r="BQ28" i="8" s="1"/>
  <c r="BQ30" i="8" a="1"/>
  <c r="BQ30" i="8" s="1"/>
  <c r="BQ21" i="8" a="1"/>
  <c r="BQ21" i="8" s="1"/>
  <c r="BQ20" i="8" a="1"/>
  <c r="BQ20" i="8" s="1"/>
  <c r="BQ33" i="8" a="1"/>
  <c r="BQ33" i="8" s="1"/>
  <c r="BQ23" i="8" a="1"/>
  <c r="BQ23" i="8" s="1"/>
  <c r="BQ26" i="8" a="1"/>
  <c r="BQ26" i="8" s="1"/>
  <c r="BQ34" i="8" a="1"/>
  <c r="BQ34" i="8" s="1"/>
  <c r="BQ19" i="8" a="1"/>
  <c r="BQ19" i="8" s="1"/>
  <c r="BQ16" i="8" a="1"/>
  <c r="BQ16" i="8" s="1"/>
  <c r="BQ32" i="8" a="1"/>
  <c r="BQ32" i="8" s="1"/>
  <c r="BQ27" i="8" a="1"/>
  <c r="BQ27" i="8" s="1"/>
  <c r="CR11" i="11" a="1"/>
  <c r="CR11" i="11" s="1"/>
  <c r="DF36" i="11" a="1"/>
  <c r="DF36" i="11" s="1"/>
  <c r="EZ35" i="11" a="1"/>
  <c r="EZ35" i="11" s="1"/>
  <c r="EZ37" i="11" a="1"/>
  <c r="EZ37" i="11" s="1"/>
  <c r="EZ38" i="11" a="1"/>
  <c r="EZ38" i="11" s="1"/>
  <c r="ED35" i="11" a="1"/>
  <c r="ED35" i="11" s="1"/>
  <c r="ED39" i="11" a="1"/>
  <c r="ED39" i="11" s="1"/>
  <c r="DF37" i="11" a="1"/>
  <c r="DF37" i="11" s="1"/>
  <c r="DF34" i="11" a="1"/>
  <c r="DF34" i="11" s="1"/>
  <c r="EZ33" i="11" a="1"/>
  <c r="EZ33" i="11" s="1"/>
  <c r="DF38" i="11" a="1"/>
  <c r="DF38" i="11" s="1"/>
  <c r="ED36" i="11" a="1"/>
  <c r="ED36" i="11" s="1"/>
  <c r="DF39" i="11" a="1"/>
  <c r="DF39" i="11" s="1"/>
  <c r="ED30" i="11" a="1"/>
  <c r="ED30" i="11" s="1"/>
  <c r="ED38" i="11" a="1"/>
  <c r="ED38" i="11" s="1"/>
  <c r="EZ34" i="11" a="1"/>
  <c r="EZ34" i="11" s="1"/>
  <c r="EZ32" i="11" a="1"/>
  <c r="EZ32" i="11" s="1"/>
  <c r="DF28" i="11" a="1"/>
  <c r="DF28" i="11" s="1"/>
  <c r="EZ39" i="11" a="1"/>
  <c r="EZ39" i="11" s="1"/>
  <c r="EZ36" i="11" a="1"/>
  <c r="EZ36" i="11" s="1"/>
  <c r="DF35" i="11" a="1"/>
  <c r="DF35" i="11" s="1"/>
  <c r="DF30" i="11" a="1"/>
  <c r="DF30" i="11" s="1"/>
  <c r="EZ31" i="11" a="1"/>
  <c r="EZ31" i="11" s="1"/>
  <c r="DF33" i="11" a="1"/>
  <c r="DF33" i="11" s="1"/>
  <c r="ED32" i="11" a="1"/>
  <c r="ED32" i="11" s="1"/>
  <c r="DF32" i="11" a="1"/>
  <c r="DF32" i="11" s="1"/>
  <c r="ED33" i="11" a="1"/>
  <c r="ED33" i="11" s="1"/>
  <c r="FA37" i="11" a="1"/>
  <c r="FA37" i="11" s="1"/>
  <c r="ED37" i="11" a="1"/>
  <c r="ED37" i="11" s="1"/>
  <c r="ED34" i="11" a="1"/>
  <c r="ED34" i="11" s="1"/>
  <c r="DF29" i="11" a="1"/>
  <c r="DF29" i="11" s="1"/>
  <c r="EZ27" i="11" a="1"/>
  <c r="EZ27" i="11" s="1"/>
  <c r="EZ26" i="11" a="1"/>
  <c r="EZ26" i="11" s="1"/>
  <c r="DF25" i="11" a="1"/>
  <c r="DF25" i="11" s="1"/>
  <c r="EZ28" i="11" a="1"/>
  <c r="EZ28" i="11" s="1"/>
  <c r="EZ30" i="11" a="1"/>
  <c r="EZ30" i="11" s="1"/>
  <c r="EZ29" i="11" a="1"/>
  <c r="EZ29" i="11" s="1"/>
  <c r="ED28" i="11" a="1"/>
  <c r="ED28" i="11" s="1"/>
  <c r="ED31" i="11" a="1"/>
  <c r="ED31" i="11" s="1"/>
  <c r="EZ25" i="11" a="1"/>
  <c r="EZ25" i="11" s="1"/>
  <c r="ED27" i="11" a="1"/>
  <c r="ED27" i="11" s="1"/>
  <c r="DF31" i="11" a="1"/>
  <c r="DF31" i="11" s="1"/>
  <c r="EE23" i="11" a="1"/>
  <c r="EE23" i="11" s="1"/>
  <c r="ED29" i="11" a="1"/>
  <c r="ED29" i="11" s="1"/>
  <c r="ED25" i="11" a="1"/>
  <c r="ED25" i="11" s="1"/>
  <c r="DF24" i="11" a="1"/>
  <c r="DF24" i="11" s="1"/>
  <c r="DF23" i="11" a="1"/>
  <c r="DF23" i="11" s="1"/>
  <c r="DF27" i="11" a="1"/>
  <c r="DF27" i="11" s="1"/>
  <c r="ED26" i="11" a="1"/>
  <c r="ED26" i="11" s="1"/>
  <c r="DF26" i="11" a="1"/>
  <c r="DF26" i="11" s="1"/>
  <c r="ED24" i="11" a="1"/>
  <c r="ED24" i="11" s="1"/>
  <c r="ED23" i="11" a="1"/>
  <c r="ED23" i="11" s="1"/>
  <c r="EZ23" i="11" a="1"/>
  <c r="EZ23" i="11" s="1"/>
  <c r="DF20" i="11" a="1"/>
  <c r="DF20" i="11" s="1"/>
  <c r="EZ24" i="11" a="1"/>
  <c r="EZ24" i="11" s="1"/>
  <c r="EZ22" i="11" a="1"/>
  <c r="EZ22" i="11" s="1"/>
  <c r="ED22" i="11" a="1"/>
  <c r="ED22" i="11" s="1"/>
  <c r="DF22" i="11" a="1"/>
  <c r="DF22" i="11" s="1"/>
  <c r="ED20" i="11" a="1"/>
  <c r="ED20" i="11" s="1"/>
  <c r="DF21" i="11" a="1"/>
  <c r="DF21" i="11" s="1"/>
  <c r="ED21" i="11" a="1"/>
  <c r="ED21" i="11" s="1"/>
  <c r="EZ21" i="11" a="1"/>
  <c r="EZ21" i="11" s="1"/>
  <c r="CP15" i="11"/>
  <c r="DG35" i="11" s="1" a="1"/>
  <c r="DG35" i="11" s="1"/>
  <c r="EZ20" i="11" a="1"/>
  <c r="EZ20" i="11" s="1"/>
  <c r="EZ26" i="8" a="1"/>
  <c r="EZ26" i="8" s="1"/>
  <c r="EZ22" i="8" a="1"/>
  <c r="EZ22" i="8" s="1"/>
  <c r="FA21" i="8" a="1"/>
  <c r="FA21" i="8" s="1"/>
  <c r="FA17" i="8" a="1"/>
  <c r="FA17" i="8" s="1"/>
  <c r="FA39" i="8" a="1"/>
  <c r="FA39" i="8" s="1"/>
  <c r="FA38" i="8" a="1"/>
  <c r="FA38" i="8" s="1"/>
  <c r="EZ34" i="8" a="1"/>
  <c r="EZ34" i="8" s="1"/>
  <c r="EZ30" i="8" a="1"/>
  <c r="EZ30" i="8" s="1"/>
  <c r="FA29" i="8" a="1"/>
  <c r="FA29" i="8" s="1"/>
  <c r="EZ38" i="8" a="1"/>
  <c r="EZ38" i="8" s="1"/>
  <c r="FA37" i="8" a="1"/>
  <c r="FA37" i="8" s="1"/>
  <c r="FA33" i="8" a="1"/>
  <c r="FA33" i="8" s="1"/>
  <c r="EZ21" i="8" a="1"/>
  <c r="EZ21" i="8" s="1"/>
  <c r="EZ28" i="8" a="1"/>
  <c r="EZ28" i="8" s="1"/>
  <c r="EZ24" i="8" a="1"/>
  <c r="EZ24" i="8" s="1"/>
  <c r="EZ36" i="8" a="1"/>
  <c r="EZ36" i="8" s="1"/>
  <c r="EZ32" i="8" a="1"/>
  <c r="EZ32" i="8" s="1"/>
  <c r="FA31" i="8" a="1"/>
  <c r="FA31" i="8" s="1"/>
  <c r="FA27" i="8" a="1"/>
  <c r="FA27" i="8" s="1"/>
  <c r="FA23" i="8" a="1"/>
  <c r="FA23" i="8" s="1"/>
  <c r="EZ31" i="8" a="1"/>
  <c r="EZ31" i="8" s="1"/>
  <c r="EZ27" i="8" a="1"/>
  <c r="EZ27" i="8" s="1"/>
  <c r="EZ29" i="8" a="1"/>
  <c r="EZ29" i="8" s="1"/>
  <c r="EZ23" i="8" a="1"/>
  <c r="EZ23" i="8" s="1"/>
  <c r="FA22" i="8" a="1"/>
  <c r="FA22" i="8" s="1"/>
  <c r="FA32" i="8" a="1"/>
  <c r="FA32" i="8" s="1"/>
  <c r="FA26" i="8" a="1"/>
  <c r="FA26" i="8" s="1"/>
  <c r="FA18" i="8" a="1"/>
  <c r="FA18" i="8" s="1"/>
  <c r="EZ39" i="8" a="1"/>
  <c r="EZ39" i="8" s="1"/>
  <c r="EZ35" i="8" a="1"/>
  <c r="EZ35" i="8" s="1"/>
  <c r="FA28" i="8" a="1"/>
  <c r="FA28" i="8" s="1"/>
  <c r="FA24" i="8" a="1"/>
  <c r="FA24" i="8" s="1"/>
  <c r="FA34" i="8" a="1"/>
  <c r="FA34" i="8" s="1"/>
  <c r="EZ20" i="8" a="1"/>
  <c r="EZ20" i="8" s="1"/>
  <c r="FA16" i="8" a="1"/>
  <c r="FA16" i="8" s="1"/>
  <c r="EZ37" i="8" a="1"/>
  <c r="EZ37" i="8" s="1"/>
  <c r="FA19" i="8" a="1"/>
  <c r="FA19" i="8" s="1"/>
  <c r="EZ33" i="8" a="1"/>
  <c r="EZ33" i="8" s="1"/>
  <c r="EZ25" i="8" a="1"/>
  <c r="EZ25" i="8" s="1"/>
  <c r="FA36" i="8" a="1"/>
  <c r="FA36" i="8" s="1"/>
  <c r="CP15" i="8"/>
  <c r="FA25" i="8" s="1" a="1"/>
  <c r="FA25" i="8" s="1"/>
  <c r="EE38" i="8" a="1"/>
  <c r="EE38" i="8" s="1"/>
  <c r="ED37" i="8" a="1"/>
  <c r="ED37" i="8" s="1"/>
  <c r="ED29" i="8" a="1"/>
  <c r="ED29" i="8" s="1"/>
  <c r="EE22" i="8" a="1"/>
  <c r="EE22" i="8" s="1"/>
  <c r="ED21" i="8" a="1"/>
  <c r="ED21" i="8" s="1"/>
  <c r="ED20" i="8" a="1"/>
  <c r="ED20" i="8" s="1"/>
  <c r="EE39" i="8" a="1"/>
  <c r="EE39" i="8" s="1"/>
  <c r="ED38" i="8" a="1"/>
  <c r="ED38" i="8" s="1"/>
  <c r="EE31" i="8" a="1"/>
  <c r="EE31" i="8" s="1"/>
  <c r="EE18" i="8" a="1"/>
  <c r="EE18" i="8" s="1"/>
  <c r="EE32" i="8" a="1"/>
  <c r="EE32" i="8" s="1"/>
  <c r="ED31" i="8" a="1"/>
  <c r="ED31" i="8" s="1"/>
  <c r="ED30" i="8" a="1"/>
  <c r="ED30" i="8" s="1"/>
  <c r="EE24" i="8" a="1"/>
  <c r="EE24" i="8" s="1"/>
  <c r="EE23" i="8" a="1"/>
  <c r="EE23" i="8" s="1"/>
  <c r="ED22" i="8" a="1"/>
  <c r="ED22" i="8" s="1"/>
  <c r="ED39" i="8" a="1"/>
  <c r="ED39" i="8" s="1"/>
  <c r="ED23" i="8" a="1"/>
  <c r="ED23" i="8" s="1"/>
  <c r="EE17" i="8" a="1"/>
  <c r="EE17" i="8" s="1"/>
  <c r="EE34" i="8" a="1"/>
  <c r="EE34" i="8" s="1"/>
  <c r="EE33" i="8" a="1"/>
  <c r="EE33" i="8" s="1"/>
  <c r="ED32" i="8" a="1"/>
  <c r="ED32" i="8" s="1"/>
  <c r="ED24" i="8" a="1"/>
  <c r="ED24" i="8" s="1"/>
  <c r="ED33" i="8" a="1"/>
  <c r="ED33" i="8" s="1"/>
  <c r="EE26" i="8" a="1"/>
  <c r="EE26" i="8" s="1"/>
  <c r="ED34" i="8" a="1"/>
  <c r="ED34" i="8" s="1"/>
  <c r="EE27" i="8" a="1"/>
  <c r="EE27" i="8" s="1"/>
  <c r="ED26" i="8" a="1"/>
  <c r="ED26" i="8" s="1"/>
  <c r="ED25" i="8" a="1"/>
  <c r="ED25" i="8" s="1"/>
  <c r="EE36" i="8" a="1"/>
  <c r="EE36" i="8" s="1"/>
  <c r="EE16" i="8" a="1"/>
  <c r="EE16" i="8" s="1"/>
  <c r="EE37" i="8" a="1"/>
  <c r="EE37" i="8" s="1"/>
  <c r="ED36" i="8" a="1"/>
  <c r="ED36" i="8" s="1"/>
  <c r="ED35" i="8" a="1"/>
  <c r="ED35" i="8" s="1"/>
  <c r="EE29" i="8" a="1"/>
  <c r="EE29" i="8" s="1"/>
  <c r="EE28" i="8" a="1"/>
  <c r="EE28" i="8" s="1"/>
  <c r="ED27" i="8" a="1"/>
  <c r="ED27" i="8" s="1"/>
  <c r="EE19" i="8" a="1"/>
  <c r="EE19" i="8" s="1"/>
  <c r="ED28" i="8" a="1"/>
  <c r="ED28" i="8" s="1"/>
  <c r="EE21" i="8" a="1"/>
  <c r="EE21" i="8" s="1"/>
  <c r="DN375" i="7" a="1"/>
  <c r="DN375" i="7" s="1"/>
  <c r="DO375" i="7" a="1"/>
  <c r="DO375" i="7" s="1"/>
  <c r="DN16" i="7" a="1"/>
  <c r="DN16" i="7" s="1"/>
  <c r="DO18" i="7" a="1"/>
  <c r="DO18" i="7" s="1"/>
  <c r="DN21" i="7" a="1"/>
  <c r="DN21" i="7" s="1"/>
  <c r="DO23" i="7" a="1"/>
  <c r="DO23" i="7" s="1"/>
  <c r="DN26" i="7" a="1"/>
  <c r="DN26" i="7" s="1"/>
  <c r="DO28" i="7" a="1"/>
  <c r="DO28" i="7" s="1"/>
  <c r="DN31" i="7" a="1"/>
  <c r="DN31" i="7" s="1"/>
  <c r="DO33" i="7" a="1"/>
  <c r="DO33" i="7" s="1"/>
  <c r="DN36" i="7" a="1"/>
  <c r="DN36" i="7" s="1"/>
  <c r="DO38" i="7" a="1"/>
  <c r="DO38" i="7" s="1"/>
  <c r="DN41" i="7" a="1"/>
  <c r="DN41" i="7" s="1"/>
  <c r="DO43" i="7" a="1"/>
  <c r="DO43" i="7" s="1"/>
  <c r="DN46" i="7" a="1"/>
  <c r="DN46" i="7" s="1"/>
  <c r="DO48" i="7" a="1"/>
  <c r="DO48" i="7" s="1"/>
  <c r="DN51" i="7" a="1"/>
  <c r="DN51" i="7" s="1"/>
  <c r="DO53" i="7" a="1"/>
  <c r="DO53" i="7" s="1"/>
  <c r="DN56" i="7" a="1"/>
  <c r="DN56" i="7" s="1"/>
  <c r="DO58" i="7" a="1"/>
  <c r="DO58" i="7" s="1"/>
  <c r="DN61" i="7" a="1"/>
  <c r="DN61" i="7" s="1"/>
  <c r="DO63" i="7" a="1"/>
  <c r="DO63" i="7" s="1"/>
  <c r="DN66" i="7" a="1"/>
  <c r="DN66" i="7" s="1"/>
  <c r="DO68" i="7" a="1"/>
  <c r="DO68" i="7" s="1"/>
  <c r="DN71" i="7" a="1"/>
  <c r="DN71" i="7" s="1"/>
  <c r="DO73" i="7" a="1"/>
  <c r="DO73" i="7" s="1"/>
  <c r="DN76" i="7" a="1"/>
  <c r="DN76" i="7" s="1"/>
  <c r="DO78" i="7" a="1"/>
  <c r="DO78" i="7" s="1"/>
  <c r="DN81" i="7" a="1"/>
  <c r="DN81" i="7" s="1"/>
  <c r="DO83" i="7" a="1"/>
  <c r="DO83" i="7" s="1"/>
  <c r="DN86" i="7" a="1"/>
  <c r="DN86" i="7" s="1"/>
  <c r="DO88" i="7" a="1"/>
  <c r="DO88" i="7" s="1"/>
  <c r="DN91" i="7" a="1"/>
  <c r="DN91" i="7" s="1"/>
  <c r="DO93" i="7" a="1"/>
  <c r="DO93" i="7" s="1"/>
  <c r="DN96" i="7" a="1"/>
  <c r="DN96" i="7" s="1"/>
  <c r="DO98" i="7" a="1"/>
  <c r="DO98" i="7" s="1"/>
  <c r="DN101" i="7" a="1"/>
  <c r="DN101" i="7" s="1"/>
  <c r="DO103" i="7" a="1"/>
  <c r="DO103" i="7" s="1"/>
  <c r="DN106" i="7" a="1"/>
  <c r="DN106" i="7" s="1"/>
  <c r="DO108" i="7" a="1"/>
  <c r="DO108" i="7" s="1"/>
  <c r="DN111" i="7" a="1"/>
  <c r="DN111" i="7" s="1"/>
  <c r="DO113" i="7" a="1"/>
  <c r="DO113" i="7" s="1"/>
  <c r="DN116" i="7" a="1"/>
  <c r="DN116" i="7" s="1"/>
  <c r="DO118" i="7" a="1"/>
  <c r="DO118" i="7" s="1"/>
  <c r="DN121" i="7" a="1"/>
  <c r="DN121" i="7" s="1"/>
  <c r="DO123" i="7" a="1"/>
  <c r="DO123" i="7" s="1"/>
  <c r="DN126" i="7" a="1"/>
  <c r="DN126" i="7" s="1"/>
  <c r="DO128" i="7" a="1"/>
  <c r="DO128" i="7" s="1"/>
  <c r="DN131" i="7" a="1"/>
  <c r="DN131" i="7" s="1"/>
  <c r="DO133" i="7" a="1"/>
  <c r="DO133" i="7" s="1"/>
  <c r="DN136" i="7" a="1"/>
  <c r="DN136" i="7" s="1"/>
  <c r="DO138" i="7" a="1"/>
  <c r="DO138" i="7" s="1"/>
  <c r="DN141" i="7" a="1"/>
  <c r="DN141" i="7" s="1"/>
  <c r="DO143" i="7" a="1"/>
  <c r="DO143" i="7" s="1"/>
  <c r="DN146" i="7" a="1"/>
  <c r="DN146" i="7" s="1"/>
  <c r="DO148" i="7" a="1"/>
  <c r="DO148" i="7" s="1"/>
  <c r="DN151" i="7" a="1"/>
  <c r="DN151" i="7" s="1"/>
  <c r="DO153" i="7" a="1"/>
  <c r="DO153" i="7" s="1"/>
  <c r="DO16" i="7" a="1"/>
  <c r="DO16" i="7" s="1"/>
  <c r="DN19" i="7" a="1"/>
  <c r="DN19" i="7" s="1"/>
  <c r="DO21" i="7" a="1"/>
  <c r="DO21" i="7" s="1"/>
  <c r="DN24" i="7" a="1"/>
  <c r="DN24" i="7" s="1"/>
  <c r="DO26" i="7" a="1"/>
  <c r="DO26" i="7" s="1"/>
  <c r="DN29" i="7" a="1"/>
  <c r="DN29" i="7" s="1"/>
  <c r="DO31" i="7" a="1"/>
  <c r="DO31" i="7" s="1"/>
  <c r="DN34" i="7" a="1"/>
  <c r="DN34" i="7" s="1"/>
  <c r="DO36" i="7" a="1"/>
  <c r="DO36" i="7" s="1"/>
  <c r="DN39" i="7" a="1"/>
  <c r="DN39" i="7" s="1"/>
  <c r="DO41" i="7" a="1"/>
  <c r="DO41" i="7" s="1"/>
  <c r="DN44" i="7" a="1"/>
  <c r="DN44" i="7" s="1"/>
  <c r="DO46" i="7" a="1"/>
  <c r="DO46" i="7" s="1"/>
  <c r="DN49" i="7" a="1"/>
  <c r="DN49" i="7" s="1"/>
  <c r="DO51" i="7" a="1"/>
  <c r="DO51" i="7" s="1"/>
  <c r="DN54" i="7" a="1"/>
  <c r="DN54" i="7" s="1"/>
  <c r="DO56" i="7" a="1"/>
  <c r="DO56" i="7" s="1"/>
  <c r="DN59" i="7" a="1"/>
  <c r="DN59" i="7" s="1"/>
  <c r="DO61" i="7" a="1"/>
  <c r="DO61" i="7" s="1"/>
  <c r="DN64" i="7" a="1"/>
  <c r="DN64" i="7" s="1"/>
  <c r="DO66" i="7" a="1"/>
  <c r="DO66" i="7" s="1"/>
  <c r="DN69" i="7" a="1"/>
  <c r="DN69" i="7" s="1"/>
  <c r="DO71" i="7" a="1"/>
  <c r="DO71" i="7" s="1"/>
  <c r="DN74" i="7" a="1"/>
  <c r="DN74" i="7" s="1"/>
  <c r="DO76" i="7" a="1"/>
  <c r="DO76" i="7" s="1"/>
  <c r="DN79" i="7" a="1"/>
  <c r="DN79" i="7" s="1"/>
  <c r="DO81" i="7" a="1"/>
  <c r="DO81" i="7" s="1"/>
  <c r="DN84" i="7" a="1"/>
  <c r="DN84" i="7" s="1"/>
  <c r="DO86" i="7" a="1"/>
  <c r="DO86" i="7" s="1"/>
  <c r="DN89" i="7" a="1"/>
  <c r="DN89" i="7" s="1"/>
  <c r="DO91" i="7" a="1"/>
  <c r="DO91" i="7" s="1"/>
  <c r="DN94" i="7" a="1"/>
  <c r="DN94" i="7" s="1"/>
  <c r="DO96" i="7" a="1"/>
  <c r="DO96" i="7" s="1"/>
  <c r="DN99" i="7" a="1"/>
  <c r="DN99" i="7" s="1"/>
  <c r="DO101" i="7" a="1"/>
  <c r="DO101" i="7" s="1"/>
  <c r="DN104" i="7" a="1"/>
  <c r="DN104" i="7" s="1"/>
  <c r="DO106" i="7" a="1"/>
  <c r="DO106" i="7" s="1"/>
  <c r="DN109" i="7" a="1"/>
  <c r="DN109" i="7" s="1"/>
  <c r="DO111" i="7" a="1"/>
  <c r="DO111" i="7" s="1"/>
  <c r="DN114" i="7" a="1"/>
  <c r="DN114" i="7" s="1"/>
  <c r="DO116" i="7" a="1"/>
  <c r="DO116" i="7" s="1"/>
  <c r="DN119" i="7" a="1"/>
  <c r="DN119" i="7" s="1"/>
  <c r="DO121" i="7" a="1"/>
  <c r="DO121" i="7" s="1"/>
  <c r="DN124" i="7" a="1"/>
  <c r="DN124" i="7" s="1"/>
  <c r="DO126" i="7" a="1"/>
  <c r="DO126" i="7" s="1"/>
  <c r="DN129" i="7" a="1"/>
  <c r="DN129" i="7" s="1"/>
  <c r="DO131" i="7" a="1"/>
  <c r="DO131" i="7" s="1"/>
  <c r="DN134" i="7" a="1"/>
  <c r="DN134" i="7" s="1"/>
  <c r="DO136" i="7" a="1"/>
  <c r="DO136" i="7" s="1"/>
  <c r="DN139" i="7" a="1"/>
  <c r="DN139" i="7" s="1"/>
  <c r="DO141" i="7" a="1"/>
  <c r="DO141" i="7" s="1"/>
  <c r="DN144" i="7" a="1"/>
  <c r="DN144" i="7" s="1"/>
  <c r="DO146" i="7" a="1"/>
  <c r="DO146" i="7" s="1"/>
  <c r="DN149" i="7" a="1"/>
  <c r="DN149" i="7" s="1"/>
  <c r="DO151" i="7" a="1"/>
  <c r="DO151" i="7" s="1"/>
  <c r="DN154" i="7" a="1"/>
  <c r="DN154" i="7" s="1"/>
  <c r="DN17" i="7" a="1"/>
  <c r="DN17" i="7" s="1"/>
  <c r="DO27" i="7" a="1"/>
  <c r="DO27" i="7" s="1"/>
  <c r="DN38" i="7" a="1"/>
  <c r="DN38" i="7" s="1"/>
  <c r="DN42" i="7" a="1"/>
  <c r="DN42" i="7" s="1"/>
  <c r="DO52" i="7" a="1"/>
  <c r="DO52" i="7" s="1"/>
  <c r="DN63" i="7" a="1"/>
  <c r="DN63" i="7" s="1"/>
  <c r="DN67" i="7" a="1"/>
  <c r="DN67" i="7" s="1"/>
  <c r="DO77" i="7" a="1"/>
  <c r="DO77" i="7" s="1"/>
  <c r="DN88" i="7" a="1"/>
  <c r="DN88" i="7" s="1"/>
  <c r="DN92" i="7" a="1"/>
  <c r="DN92" i="7" s="1"/>
  <c r="DO102" i="7" a="1"/>
  <c r="DO102" i="7" s="1"/>
  <c r="DN113" i="7" a="1"/>
  <c r="DN113" i="7" s="1"/>
  <c r="DN117" i="7" a="1"/>
  <c r="DN117" i="7" s="1"/>
  <c r="DO127" i="7" a="1"/>
  <c r="DO127" i="7" s="1"/>
  <c r="DN138" i="7" a="1"/>
  <c r="DN138" i="7" s="1"/>
  <c r="DN142" i="7" a="1"/>
  <c r="DN142" i="7" s="1"/>
  <c r="DO152" i="7" a="1"/>
  <c r="DO152" i="7" s="1"/>
  <c r="DO158" i="7" a="1"/>
  <c r="DO158" i="7" s="1"/>
  <c r="DO161" i="7" a="1"/>
  <c r="DO161" i="7" s="1"/>
  <c r="DN167" i="7" a="1"/>
  <c r="DN167" i="7" s="1"/>
  <c r="DO172" i="7" a="1"/>
  <c r="DO172" i="7" s="1"/>
  <c r="DN178" i="7" a="1"/>
  <c r="DN178" i="7" s="1"/>
  <c r="DO183" i="7" a="1"/>
  <c r="DO183" i="7" s="1"/>
  <c r="DO186" i="7" a="1"/>
  <c r="DO186" i="7" s="1"/>
  <c r="DN192" i="7" a="1"/>
  <c r="DN192" i="7" s="1"/>
  <c r="DO197" i="7" a="1"/>
  <c r="DO197" i="7" s="1"/>
  <c r="DN203" i="7" a="1"/>
  <c r="DN203" i="7" s="1"/>
  <c r="DO208" i="7" a="1"/>
  <c r="DO208" i="7" s="1"/>
  <c r="DO211" i="7" a="1"/>
  <c r="DO211" i="7" s="1"/>
  <c r="DN217" i="7" a="1"/>
  <c r="DN217" i="7" s="1"/>
  <c r="DO222" i="7" a="1"/>
  <c r="DO222" i="7" s="1"/>
  <c r="DN228" i="7" a="1"/>
  <c r="DN228" i="7" s="1"/>
  <c r="DO230" i="7" a="1"/>
  <c r="DO230" i="7" s="1"/>
  <c r="DN233" i="7" a="1"/>
  <c r="DN233" i="7" s="1"/>
  <c r="DO235" i="7" a="1"/>
  <c r="DO235" i="7" s="1"/>
  <c r="DN238" i="7" a="1"/>
  <c r="DN238" i="7" s="1"/>
  <c r="DO240" i="7" a="1"/>
  <c r="DO240" i="7" s="1"/>
  <c r="DN243" i="7" a="1"/>
  <c r="DN243" i="7" s="1"/>
  <c r="DO245" i="7" a="1"/>
  <c r="DO245" i="7" s="1"/>
  <c r="DN248" i="7" a="1"/>
  <c r="DN248" i="7" s="1"/>
  <c r="DO250" i="7" a="1"/>
  <c r="DO250" i="7" s="1"/>
  <c r="DN253" i="7" a="1"/>
  <c r="DN253" i="7" s="1"/>
  <c r="DO255" i="7" a="1"/>
  <c r="DO255" i="7" s="1"/>
  <c r="DN258" i="7" a="1"/>
  <c r="DN258" i="7" s="1"/>
  <c r="DO260" i="7" a="1"/>
  <c r="DO260" i="7" s="1"/>
  <c r="DN263" i="7" a="1"/>
  <c r="DN263" i="7" s="1"/>
  <c r="DO265" i="7" a="1"/>
  <c r="DO265" i="7" s="1"/>
  <c r="DN268" i="7" a="1"/>
  <c r="DN268" i="7" s="1"/>
  <c r="DO270" i="7" a="1"/>
  <c r="DO270" i="7" s="1"/>
  <c r="DN273" i="7" a="1"/>
  <c r="DN273" i="7" s="1"/>
  <c r="DO275" i="7" a="1"/>
  <c r="DO275" i="7" s="1"/>
  <c r="DO20" i="7" a="1"/>
  <c r="DO20" i="7" s="1"/>
  <c r="DO24" i="7" a="1"/>
  <c r="DO24" i="7" s="1"/>
  <c r="DN35" i="7" a="1"/>
  <c r="DN35" i="7" s="1"/>
  <c r="DO45" i="7" a="1"/>
  <c r="DO45" i="7" s="1"/>
  <c r="DO49" i="7" a="1"/>
  <c r="DO49" i="7" s="1"/>
  <c r="DN60" i="7" a="1"/>
  <c r="DN60" i="7" s="1"/>
  <c r="DO70" i="7" a="1"/>
  <c r="DO70" i="7" s="1"/>
  <c r="DO74" i="7" a="1"/>
  <c r="DO74" i="7" s="1"/>
  <c r="DN85" i="7" a="1"/>
  <c r="DN85" i="7" s="1"/>
  <c r="DO95" i="7" a="1"/>
  <c r="DO95" i="7" s="1"/>
  <c r="DO99" i="7" a="1"/>
  <c r="DO99" i="7" s="1"/>
  <c r="DN110" i="7" a="1"/>
  <c r="DN110" i="7" s="1"/>
  <c r="DO120" i="7" a="1"/>
  <c r="DO120" i="7" s="1"/>
  <c r="DO124" i="7" a="1"/>
  <c r="DO124" i="7" s="1"/>
  <c r="DN135" i="7" a="1"/>
  <c r="DN135" i="7" s="1"/>
  <c r="DO145" i="7" a="1"/>
  <c r="DO145" i="7" s="1"/>
  <c r="DO149" i="7" a="1"/>
  <c r="DO149" i="7" s="1"/>
  <c r="DN156" i="7" a="1"/>
  <c r="DN156" i="7" s="1"/>
  <c r="DN159" i="7" a="1"/>
  <c r="DN159" i="7" s="1"/>
  <c r="DO164" i="7" a="1"/>
  <c r="DO164" i="7" s="1"/>
  <c r="DN170" i="7" a="1"/>
  <c r="DN170" i="7" s="1"/>
  <c r="DO175" i="7" a="1"/>
  <c r="DO175" i="7" s="1"/>
  <c r="DN181" i="7" a="1"/>
  <c r="DN181" i="7" s="1"/>
  <c r="DN184" i="7" a="1"/>
  <c r="DN184" i="7" s="1"/>
  <c r="DO189" i="7" a="1"/>
  <c r="DO189" i="7" s="1"/>
  <c r="DN195" i="7" a="1"/>
  <c r="DN195" i="7" s="1"/>
  <c r="DO200" i="7" a="1"/>
  <c r="DO200" i="7" s="1"/>
  <c r="DN206" i="7" a="1"/>
  <c r="DN206" i="7" s="1"/>
  <c r="DN209" i="7" a="1"/>
  <c r="DN209" i="7" s="1"/>
  <c r="DO214" i="7" a="1"/>
  <c r="DO214" i="7" s="1"/>
  <c r="DN220" i="7" a="1"/>
  <c r="DN220" i="7" s="1"/>
  <c r="DO225" i="7" a="1"/>
  <c r="DO225" i="7" s="1"/>
  <c r="DO17" i="7" a="1"/>
  <c r="DO17" i="7" s="1"/>
  <c r="DN28" i="7" a="1"/>
  <c r="DN28" i="7" s="1"/>
  <c r="DN32" i="7" a="1"/>
  <c r="DN32" i="7" s="1"/>
  <c r="DO42" i="7" a="1"/>
  <c r="DO42" i="7" s="1"/>
  <c r="DN53" i="7" a="1"/>
  <c r="DN53" i="7" s="1"/>
  <c r="DN57" i="7" a="1"/>
  <c r="DN57" i="7" s="1"/>
  <c r="DO67" i="7" a="1"/>
  <c r="DO67" i="7" s="1"/>
  <c r="DN78" i="7" a="1"/>
  <c r="DN78" i="7" s="1"/>
  <c r="DN82" i="7" a="1"/>
  <c r="DN82" i="7" s="1"/>
  <c r="DO92" i="7" a="1"/>
  <c r="DO92" i="7" s="1"/>
  <c r="DN103" i="7" a="1"/>
  <c r="DN103" i="7" s="1"/>
  <c r="DN107" i="7" a="1"/>
  <c r="DN107" i="7" s="1"/>
  <c r="DO117" i="7" a="1"/>
  <c r="DO117" i="7" s="1"/>
  <c r="DN128" i="7" a="1"/>
  <c r="DN128" i="7" s="1"/>
  <c r="DN132" i="7" a="1"/>
  <c r="DN132" i="7" s="1"/>
  <c r="DO142" i="7" a="1"/>
  <c r="DO142" i="7" s="1"/>
  <c r="DN153" i="7" a="1"/>
  <c r="DN153" i="7" s="1"/>
  <c r="DO156" i="7" a="1"/>
  <c r="DO156" i="7" s="1"/>
  <c r="DN162" i="7" a="1"/>
  <c r="DN162" i="7" s="1"/>
  <c r="DO167" i="7" a="1"/>
  <c r="DO167" i="7" s="1"/>
  <c r="DN173" i="7" a="1"/>
  <c r="DN173" i="7" s="1"/>
  <c r="DO178" i="7" a="1"/>
  <c r="DO178" i="7" s="1"/>
  <c r="DO181" i="7" a="1"/>
  <c r="DO181" i="7" s="1"/>
  <c r="DN187" i="7" a="1"/>
  <c r="DN187" i="7" s="1"/>
  <c r="DO192" i="7" a="1"/>
  <c r="DO192" i="7" s="1"/>
  <c r="DN198" i="7" a="1"/>
  <c r="DN198" i="7" s="1"/>
  <c r="DO203" i="7" a="1"/>
  <c r="DO203" i="7" s="1"/>
  <c r="DO206" i="7" a="1"/>
  <c r="DO206" i="7" s="1"/>
  <c r="DN212" i="7" a="1"/>
  <c r="DN212" i="7" s="1"/>
  <c r="DO217" i="7" a="1"/>
  <c r="DO217" i="7" s="1"/>
  <c r="DN223" i="7" a="1"/>
  <c r="DN223" i="7" s="1"/>
  <c r="DO228" i="7" a="1"/>
  <c r="DO228" i="7" s="1"/>
  <c r="DN231" i="7" a="1"/>
  <c r="DN231" i="7" s="1"/>
  <c r="DO233" i="7" a="1"/>
  <c r="DO233" i="7" s="1"/>
  <c r="DN236" i="7" a="1"/>
  <c r="DN236" i="7" s="1"/>
  <c r="DO238" i="7" a="1"/>
  <c r="DO238" i="7" s="1"/>
  <c r="DN25" i="7" a="1"/>
  <c r="DN25" i="7" s="1"/>
  <c r="DO35" i="7" a="1"/>
  <c r="DO35" i="7" s="1"/>
  <c r="DO39" i="7" a="1"/>
  <c r="DO39" i="7" s="1"/>
  <c r="DN50" i="7" a="1"/>
  <c r="DN50" i="7" s="1"/>
  <c r="DO60" i="7" a="1"/>
  <c r="DO60" i="7" s="1"/>
  <c r="DO64" i="7" a="1"/>
  <c r="DO64" i="7" s="1"/>
  <c r="DN75" i="7" a="1"/>
  <c r="DN75" i="7" s="1"/>
  <c r="DO85" i="7" a="1"/>
  <c r="DO85" i="7" s="1"/>
  <c r="DO89" i="7" a="1"/>
  <c r="DO89" i="7" s="1"/>
  <c r="DN100" i="7" a="1"/>
  <c r="DN100" i="7" s="1"/>
  <c r="DO110" i="7" a="1"/>
  <c r="DO110" i="7" s="1"/>
  <c r="DO114" i="7" a="1"/>
  <c r="DO114" i="7" s="1"/>
  <c r="DN125" i="7" a="1"/>
  <c r="DN125" i="7" s="1"/>
  <c r="DO135" i="7" a="1"/>
  <c r="DO135" i="7" s="1"/>
  <c r="DO139" i="7" a="1"/>
  <c r="DO139" i="7" s="1"/>
  <c r="DN150" i="7" a="1"/>
  <c r="DN150" i="7" s="1"/>
  <c r="DO159" i="7" a="1"/>
  <c r="DO159" i="7" s="1"/>
  <c r="DN165" i="7" a="1"/>
  <c r="DN165" i="7" s="1"/>
  <c r="DO170" i="7" a="1"/>
  <c r="DO170" i="7" s="1"/>
  <c r="DN176" i="7" a="1"/>
  <c r="DN176" i="7" s="1"/>
  <c r="DN179" i="7" a="1"/>
  <c r="DN179" i="7" s="1"/>
  <c r="DO184" i="7" a="1"/>
  <c r="DO184" i="7" s="1"/>
  <c r="DN190" i="7" a="1"/>
  <c r="DN190" i="7" s="1"/>
  <c r="DO195" i="7" a="1"/>
  <c r="DO195" i="7" s="1"/>
  <c r="DN18" i="7" a="1"/>
  <c r="DN18" i="7" s="1"/>
  <c r="DN22" i="7" a="1"/>
  <c r="DN22" i="7" s="1"/>
  <c r="DO32" i="7" a="1"/>
  <c r="DO32" i="7" s="1"/>
  <c r="DN43" i="7" a="1"/>
  <c r="DN43" i="7" s="1"/>
  <c r="DN47" i="7" a="1"/>
  <c r="DN47" i="7" s="1"/>
  <c r="DO57" i="7" a="1"/>
  <c r="DO57" i="7" s="1"/>
  <c r="DN68" i="7" a="1"/>
  <c r="DN68" i="7" s="1"/>
  <c r="DN72" i="7" a="1"/>
  <c r="DN72" i="7" s="1"/>
  <c r="DO82" i="7" a="1"/>
  <c r="DO82" i="7" s="1"/>
  <c r="DN93" i="7" a="1"/>
  <c r="DN93" i="7" s="1"/>
  <c r="DN97" i="7" a="1"/>
  <c r="DN97" i="7" s="1"/>
  <c r="DO107" i="7" a="1"/>
  <c r="DO107" i="7" s="1"/>
  <c r="DN118" i="7" a="1"/>
  <c r="DN118" i="7" s="1"/>
  <c r="DN122" i="7" a="1"/>
  <c r="DN122" i="7" s="1"/>
  <c r="DO132" i="7" a="1"/>
  <c r="DO132" i="7" s="1"/>
  <c r="DO25" i="7" a="1"/>
  <c r="DO25" i="7" s="1"/>
  <c r="DO29" i="7" a="1"/>
  <c r="DO29" i="7" s="1"/>
  <c r="DN40" i="7" a="1"/>
  <c r="DN40" i="7" s="1"/>
  <c r="DO50" i="7" a="1"/>
  <c r="DO50" i="7" s="1"/>
  <c r="DO54" i="7" a="1"/>
  <c r="DO54" i="7" s="1"/>
  <c r="DN65" i="7" a="1"/>
  <c r="DN65" i="7" s="1"/>
  <c r="DO75" i="7" a="1"/>
  <c r="DO75" i="7" s="1"/>
  <c r="DO79" i="7" a="1"/>
  <c r="DO79" i="7" s="1"/>
  <c r="DN90" i="7" a="1"/>
  <c r="DN90" i="7" s="1"/>
  <c r="DO100" i="7" a="1"/>
  <c r="DO100" i="7" s="1"/>
  <c r="DO104" i="7" a="1"/>
  <c r="DO104" i="7" s="1"/>
  <c r="DN115" i="7" a="1"/>
  <c r="DN115" i="7" s="1"/>
  <c r="DO125" i="7" a="1"/>
  <c r="DO125" i="7" s="1"/>
  <c r="DO129" i="7" a="1"/>
  <c r="DO129" i="7" s="1"/>
  <c r="DO22" i="7" a="1"/>
  <c r="DO22" i="7" s="1"/>
  <c r="DN33" i="7" a="1"/>
  <c r="DN33" i="7" s="1"/>
  <c r="DN37" i="7" a="1"/>
  <c r="DN37" i="7" s="1"/>
  <c r="DO47" i="7" a="1"/>
  <c r="DO47" i="7" s="1"/>
  <c r="DN58" i="7" a="1"/>
  <c r="DN58" i="7" s="1"/>
  <c r="DN62" i="7" a="1"/>
  <c r="DN62" i="7" s="1"/>
  <c r="DO72" i="7" a="1"/>
  <c r="DO72" i="7" s="1"/>
  <c r="DN83" i="7" a="1"/>
  <c r="DN83" i="7" s="1"/>
  <c r="DN87" i="7" a="1"/>
  <c r="DN87" i="7" s="1"/>
  <c r="DO97" i="7" a="1"/>
  <c r="DO97" i="7" s="1"/>
  <c r="DN108" i="7" a="1"/>
  <c r="DN108" i="7" s="1"/>
  <c r="DN112" i="7" a="1"/>
  <c r="DN112" i="7" s="1"/>
  <c r="DO122" i="7" a="1"/>
  <c r="DO122" i="7" s="1"/>
  <c r="DN133" i="7" a="1"/>
  <c r="DN133" i="7" s="1"/>
  <c r="DN20" i="7" a="1"/>
  <c r="DN20" i="7" s="1"/>
  <c r="DO30" i="7" a="1"/>
  <c r="DO30" i="7" s="1"/>
  <c r="DO34" i="7" a="1"/>
  <c r="DO34" i="7" s="1"/>
  <c r="DN45" i="7" a="1"/>
  <c r="DN45" i="7" s="1"/>
  <c r="DO55" i="7" a="1"/>
  <c r="DO55" i="7" s="1"/>
  <c r="DO59" i="7" a="1"/>
  <c r="DO59" i="7" s="1"/>
  <c r="DN70" i="7" a="1"/>
  <c r="DN70" i="7" s="1"/>
  <c r="DO80" i="7" a="1"/>
  <c r="DO80" i="7" s="1"/>
  <c r="DO84" i="7" a="1"/>
  <c r="DO84" i="7" s="1"/>
  <c r="DN95" i="7" a="1"/>
  <c r="DN95" i="7" s="1"/>
  <c r="DO105" i="7" a="1"/>
  <c r="DO105" i="7" s="1"/>
  <c r="DO109" i="7" a="1"/>
  <c r="DO109" i="7" s="1"/>
  <c r="DN120" i="7" a="1"/>
  <c r="DN120" i="7" s="1"/>
  <c r="DO130" i="7" a="1"/>
  <c r="DO130" i="7" s="1"/>
  <c r="DO134" i="7" a="1"/>
  <c r="DO134" i="7" s="1"/>
  <c r="DO19" i="7" a="1"/>
  <c r="DO19" i="7" s="1"/>
  <c r="DN55" i="7" a="1"/>
  <c r="DN55" i="7" s="1"/>
  <c r="DO90" i="7" a="1"/>
  <c r="DO90" i="7" s="1"/>
  <c r="DO144" i="7" a="1"/>
  <c r="DO144" i="7" s="1"/>
  <c r="DO150" i="7" a="1"/>
  <c r="DO150" i="7" s="1"/>
  <c r="DO155" i="7" a="1"/>
  <c r="DO155" i="7" s="1"/>
  <c r="DO160" i="7" a="1"/>
  <c r="DO160" i="7" s="1"/>
  <c r="DO165" i="7" a="1"/>
  <c r="DO165" i="7" s="1"/>
  <c r="DO169" i="7" a="1"/>
  <c r="DO169" i="7" s="1"/>
  <c r="DO174" i="7" a="1"/>
  <c r="DO174" i="7" s="1"/>
  <c r="DO179" i="7" a="1"/>
  <c r="DO179" i="7" s="1"/>
  <c r="DO221" i="7" a="1"/>
  <c r="DO221" i="7" s="1"/>
  <c r="DN225" i="7" a="1"/>
  <c r="DN225" i="7" s="1"/>
  <c r="DO232" i="7" a="1"/>
  <c r="DO232" i="7" s="1"/>
  <c r="DO236" i="7" a="1"/>
  <c r="DO236" i="7" s="1"/>
  <c r="DN249" i="7" a="1"/>
  <c r="DN249" i="7" s="1"/>
  <c r="DO254" i="7" a="1"/>
  <c r="DO254" i="7" s="1"/>
  <c r="DN260" i="7" a="1"/>
  <c r="DN260" i="7" s="1"/>
  <c r="DO268" i="7" a="1"/>
  <c r="DO268" i="7" s="1"/>
  <c r="DN274" i="7" a="1"/>
  <c r="DN274" i="7" s="1"/>
  <c r="DO37" i="7" a="1"/>
  <c r="DO37" i="7" s="1"/>
  <c r="DN73" i="7" a="1"/>
  <c r="DN73" i="7" s="1"/>
  <c r="DN127" i="7" a="1"/>
  <c r="DN127" i="7" s="1"/>
  <c r="DN157" i="7" a="1"/>
  <c r="DN157" i="7" s="1"/>
  <c r="DO188" i="7" a="1"/>
  <c r="DO188" i="7" s="1"/>
  <c r="DO193" i="7" a="1"/>
  <c r="DO193" i="7" s="1"/>
  <c r="DN202" i="7" a="1"/>
  <c r="DN202" i="7" s="1"/>
  <c r="DO205" i="7" a="1"/>
  <c r="DO205" i="7" s="1"/>
  <c r="DN210" i="7" a="1"/>
  <c r="DN210" i="7" s="1"/>
  <c r="DO213" i="7" a="1"/>
  <c r="DO213" i="7" s="1"/>
  <c r="DN218" i="7" a="1"/>
  <c r="DN218" i="7" s="1"/>
  <c r="DN226" i="7" a="1"/>
  <c r="DN226" i="7" s="1"/>
  <c r="DO229" i="7" a="1"/>
  <c r="DO229" i="7" s="1"/>
  <c r="DN240" i="7" a="1"/>
  <c r="DN240" i="7" s="1"/>
  <c r="DO243" i="7" a="1"/>
  <c r="DO243" i="7" s="1"/>
  <c r="DO246" i="7" a="1"/>
  <c r="DO246" i="7" s="1"/>
  <c r="DN252" i="7" a="1"/>
  <c r="DN252" i="7" s="1"/>
  <c r="DO257" i="7" a="1"/>
  <c r="DO257" i="7" s="1"/>
  <c r="DN266" i="7" a="1"/>
  <c r="DN266" i="7" s="1"/>
  <c r="DO271" i="7" a="1"/>
  <c r="DO271" i="7" s="1"/>
  <c r="DN277" i="7" a="1"/>
  <c r="DN277" i="7" s="1"/>
  <c r="DO279" i="7" a="1"/>
  <c r="DO279" i="7" s="1"/>
  <c r="DN282" i="7" a="1"/>
  <c r="DN282" i="7" s="1"/>
  <c r="DO284" i="7" a="1"/>
  <c r="DO284" i="7" s="1"/>
  <c r="DN287" i="7" a="1"/>
  <c r="DN287" i="7" s="1"/>
  <c r="DO289" i="7" a="1"/>
  <c r="DO289" i="7" s="1"/>
  <c r="DN292" i="7" a="1"/>
  <c r="DN292" i="7" s="1"/>
  <c r="DO294" i="7" a="1"/>
  <c r="DO294" i="7" s="1"/>
  <c r="DN297" i="7" a="1"/>
  <c r="DN297" i="7" s="1"/>
  <c r="DO299" i="7" a="1"/>
  <c r="DO299" i="7" s="1"/>
  <c r="DN302" i="7" a="1"/>
  <c r="DN302" i="7" s="1"/>
  <c r="DO304" i="7" a="1"/>
  <c r="DO304" i="7" s="1"/>
  <c r="DN307" i="7" a="1"/>
  <c r="DN307" i="7" s="1"/>
  <c r="DO309" i="7" a="1"/>
  <c r="DO309" i="7" s="1"/>
  <c r="DN312" i="7" a="1"/>
  <c r="DN312" i="7" s="1"/>
  <c r="DO314" i="7" a="1"/>
  <c r="DO314" i="7" s="1"/>
  <c r="DN317" i="7" a="1"/>
  <c r="DN317" i="7" s="1"/>
  <c r="DO319" i="7" a="1"/>
  <c r="DO319" i="7" s="1"/>
  <c r="DN322" i="7" a="1"/>
  <c r="DN322" i="7" s="1"/>
  <c r="DO324" i="7" a="1"/>
  <c r="DO324" i="7" s="1"/>
  <c r="DN327" i="7" a="1"/>
  <c r="DN327" i="7" s="1"/>
  <c r="DO329" i="7" a="1"/>
  <c r="DO329" i="7" s="1"/>
  <c r="DN332" i="7" a="1"/>
  <c r="DN332" i="7" s="1"/>
  <c r="DO334" i="7" a="1"/>
  <c r="DO334" i="7" s="1"/>
  <c r="DN337" i="7" a="1"/>
  <c r="DN337" i="7" s="1"/>
  <c r="DO339" i="7" a="1"/>
  <c r="DO339" i="7" s="1"/>
  <c r="DN342" i="7" a="1"/>
  <c r="DN342" i="7" s="1"/>
  <c r="DO344" i="7" a="1"/>
  <c r="DO344" i="7" s="1"/>
  <c r="DN347" i="7" a="1"/>
  <c r="DN347" i="7" s="1"/>
  <c r="DO349" i="7" a="1"/>
  <c r="DO349" i="7" s="1"/>
  <c r="DN352" i="7" a="1"/>
  <c r="DN352" i="7" s="1"/>
  <c r="DO354" i="7" a="1"/>
  <c r="DO354" i="7" s="1"/>
  <c r="DN357" i="7" a="1"/>
  <c r="DN357" i="7" s="1"/>
  <c r="DO359" i="7" a="1"/>
  <c r="DO359" i="7" s="1"/>
  <c r="DN362" i="7" a="1"/>
  <c r="DN362" i="7" s="1"/>
  <c r="DO364" i="7" a="1"/>
  <c r="DO364" i="7" s="1"/>
  <c r="DN367" i="7" a="1"/>
  <c r="DN367" i="7" s="1"/>
  <c r="DO369" i="7" a="1"/>
  <c r="DO369" i="7" s="1"/>
  <c r="DN372" i="7" a="1"/>
  <c r="DN372" i="7" s="1"/>
  <c r="DO374" i="7" a="1"/>
  <c r="DO374" i="7" s="1"/>
  <c r="DO40" i="7" a="1"/>
  <c r="DO40" i="7" s="1"/>
  <c r="DO94" i="7" a="1"/>
  <c r="DO94" i="7" s="1"/>
  <c r="DN130" i="7" a="1"/>
  <c r="DN130" i="7" s="1"/>
  <c r="DN140" i="7" a="1"/>
  <c r="DN140" i="7" s="1"/>
  <c r="DN145" i="7" a="1"/>
  <c r="DN145" i="7" s="1"/>
  <c r="DN161" i="7" a="1"/>
  <c r="DN161" i="7" s="1"/>
  <c r="DN166" i="7" a="1"/>
  <c r="DN166" i="7" s="1"/>
  <c r="DN171" i="7" a="1"/>
  <c r="DN171" i="7" s="1"/>
  <c r="DN175" i="7" a="1"/>
  <c r="DN175" i="7" s="1"/>
  <c r="DN180" i="7" a="1"/>
  <c r="DN180" i="7" s="1"/>
  <c r="DN185" i="7" a="1"/>
  <c r="DN185" i="7" s="1"/>
  <c r="DN189" i="7" a="1"/>
  <c r="DN189" i="7" s="1"/>
  <c r="DN194" i="7" a="1"/>
  <c r="DN194" i="7" s="1"/>
  <c r="DO198" i="7" a="1"/>
  <c r="DO198" i="7" s="1"/>
  <c r="DN214" i="7" a="1"/>
  <c r="DN214" i="7" s="1"/>
  <c r="DN222" i="7" a="1"/>
  <c r="DN222" i="7" s="1"/>
  <c r="DO226" i="7" a="1"/>
  <c r="DO226" i="7" s="1"/>
  <c r="DN237" i="7" a="1"/>
  <c r="DN237" i="7" s="1"/>
  <c r="DO249" i="7" a="1"/>
  <c r="DO249" i="7" s="1"/>
  <c r="DN255" i="7" a="1"/>
  <c r="DN255" i="7" s="1"/>
  <c r="DO263" i="7" a="1"/>
  <c r="DO263" i="7" s="1"/>
  <c r="DN269" i="7" a="1"/>
  <c r="DN269" i="7" s="1"/>
  <c r="DO274" i="7" a="1"/>
  <c r="DO274" i="7" s="1"/>
  <c r="DN23" i="7" a="1"/>
  <c r="DN23" i="7" s="1"/>
  <c r="DN77" i="7" a="1"/>
  <c r="DN77" i="7" s="1"/>
  <c r="DO112" i="7" a="1"/>
  <c r="DO112" i="7" s="1"/>
  <c r="DN147" i="7" a="1"/>
  <c r="DN147" i="7" s="1"/>
  <c r="DN152" i="7" a="1"/>
  <c r="DN152" i="7" s="1"/>
  <c r="DO157" i="7" a="1"/>
  <c r="DO157" i="7" s="1"/>
  <c r="DO162" i="7" a="1"/>
  <c r="DO162" i="7" s="1"/>
  <c r="DO166" i="7" a="1"/>
  <c r="DO166" i="7" s="1"/>
  <c r="DO171" i="7" a="1"/>
  <c r="DO171" i="7" s="1"/>
  <c r="DO176" i="7" a="1"/>
  <c r="DO176" i="7" s="1"/>
  <c r="DN199" i="7" a="1"/>
  <c r="DN199" i="7" s="1"/>
  <c r="DO202" i="7" a="1"/>
  <c r="DO202" i="7" s="1"/>
  <c r="DN207" i="7" a="1"/>
  <c r="DN207" i="7" s="1"/>
  <c r="DO210" i="7" a="1"/>
  <c r="DO210" i="7" s="1"/>
  <c r="DN215" i="7" a="1"/>
  <c r="DN215" i="7" s="1"/>
  <c r="DO218" i="7" a="1"/>
  <c r="DO218" i="7" s="1"/>
  <c r="DN230" i="7" a="1"/>
  <c r="DN230" i="7" s="1"/>
  <c r="DN234" i="7" a="1"/>
  <c r="DN234" i="7" s="1"/>
  <c r="DN241" i="7" a="1"/>
  <c r="DN241" i="7" s="1"/>
  <c r="DN244" i="7" a="1"/>
  <c r="DN244" i="7" s="1"/>
  <c r="DN247" i="7" a="1"/>
  <c r="DN247" i="7" s="1"/>
  <c r="DO252" i="7" a="1"/>
  <c r="DO252" i="7" s="1"/>
  <c r="DN261" i="7" a="1"/>
  <c r="DN261" i="7" s="1"/>
  <c r="DO266" i="7" a="1"/>
  <c r="DO266" i="7" s="1"/>
  <c r="DN272" i="7" a="1"/>
  <c r="DN272" i="7" s="1"/>
  <c r="DO277" i="7" a="1"/>
  <c r="DO277" i="7" s="1"/>
  <c r="DN280" i="7" a="1"/>
  <c r="DN280" i="7" s="1"/>
  <c r="DO282" i="7" a="1"/>
  <c r="DO282" i="7" s="1"/>
  <c r="DN285" i="7" a="1"/>
  <c r="DN285" i="7" s="1"/>
  <c r="DO287" i="7" a="1"/>
  <c r="DO287" i="7" s="1"/>
  <c r="DN290" i="7" a="1"/>
  <c r="DN290" i="7" s="1"/>
  <c r="DO292" i="7" a="1"/>
  <c r="DO292" i="7" s="1"/>
  <c r="DN295" i="7" a="1"/>
  <c r="DN295" i="7" s="1"/>
  <c r="DO297" i="7" a="1"/>
  <c r="DO297" i="7" s="1"/>
  <c r="DN300" i="7" a="1"/>
  <c r="DN300" i="7" s="1"/>
  <c r="DO302" i="7" a="1"/>
  <c r="DO302" i="7" s="1"/>
  <c r="DN305" i="7" a="1"/>
  <c r="DN305" i="7" s="1"/>
  <c r="DO307" i="7" a="1"/>
  <c r="DO307" i="7" s="1"/>
  <c r="DN310" i="7" a="1"/>
  <c r="DN310" i="7" s="1"/>
  <c r="DO312" i="7" a="1"/>
  <c r="DO312" i="7" s="1"/>
  <c r="DN315" i="7" a="1"/>
  <c r="DN315" i="7" s="1"/>
  <c r="DO317" i="7" a="1"/>
  <c r="DO317" i="7" s="1"/>
  <c r="DN320" i="7" a="1"/>
  <c r="DN320" i="7" s="1"/>
  <c r="DO322" i="7" a="1"/>
  <c r="DO322" i="7" s="1"/>
  <c r="DN325" i="7" a="1"/>
  <c r="DN325" i="7" s="1"/>
  <c r="DO327" i="7" a="1"/>
  <c r="DO327" i="7" s="1"/>
  <c r="DN330" i="7" a="1"/>
  <c r="DN330" i="7" s="1"/>
  <c r="DO332" i="7" a="1"/>
  <c r="DO332" i="7" s="1"/>
  <c r="DN335" i="7" a="1"/>
  <c r="DN335" i="7" s="1"/>
  <c r="DO337" i="7" a="1"/>
  <c r="DO337" i="7" s="1"/>
  <c r="DN340" i="7" a="1"/>
  <c r="DN340" i="7" s="1"/>
  <c r="DO342" i="7" a="1"/>
  <c r="DO342" i="7" s="1"/>
  <c r="DN345" i="7" a="1"/>
  <c r="DN345" i="7" s="1"/>
  <c r="DO347" i="7" a="1"/>
  <c r="DO347" i="7" s="1"/>
  <c r="DN350" i="7" a="1"/>
  <c r="DN350" i="7" s="1"/>
  <c r="DO352" i="7" a="1"/>
  <c r="DO352" i="7" s="1"/>
  <c r="DN355" i="7" a="1"/>
  <c r="DN355" i="7" s="1"/>
  <c r="DO357" i="7" a="1"/>
  <c r="DO357" i="7" s="1"/>
  <c r="DN360" i="7" a="1"/>
  <c r="DN360" i="7" s="1"/>
  <c r="DO362" i="7" a="1"/>
  <c r="DO362" i="7" s="1"/>
  <c r="DN365" i="7" a="1"/>
  <c r="DN365" i="7" s="1"/>
  <c r="DO367" i="7" a="1"/>
  <c r="DO367" i="7" s="1"/>
  <c r="DN370" i="7" a="1"/>
  <c r="DN370" i="7" s="1"/>
  <c r="DO372" i="7" a="1"/>
  <c r="DO372" i="7" s="1"/>
  <c r="DO44" i="7" a="1"/>
  <c r="DO44" i="7" s="1"/>
  <c r="DN80" i="7" a="1"/>
  <c r="DN80" i="7" s="1"/>
  <c r="DO115" i="7" a="1"/>
  <c r="DO115" i="7" s="1"/>
  <c r="DO140" i="7" a="1"/>
  <c r="DO140" i="7" s="1"/>
  <c r="DO180" i="7" a="1"/>
  <c r="DO180" i="7" s="1"/>
  <c r="DO185" i="7" a="1"/>
  <c r="DO185" i="7" s="1"/>
  <c r="DO190" i="7" a="1"/>
  <c r="DO190" i="7" s="1"/>
  <c r="DO194" i="7" a="1"/>
  <c r="DO194" i="7" s="1"/>
  <c r="DN219" i="7" a="1"/>
  <c r="DN219" i="7" s="1"/>
  <c r="DN227" i="7" a="1"/>
  <c r="DN227" i="7" s="1"/>
  <c r="DO237" i="7" a="1"/>
  <c r="DO237" i="7" s="1"/>
  <c r="DN250" i="7" a="1"/>
  <c r="DN250" i="7" s="1"/>
  <c r="DO258" i="7" a="1"/>
  <c r="DO258" i="7" s="1"/>
  <c r="DN264" i="7" a="1"/>
  <c r="DN264" i="7" s="1"/>
  <c r="DO269" i="7" a="1"/>
  <c r="DO269" i="7" s="1"/>
  <c r="DN275" i="7" a="1"/>
  <c r="DN275" i="7" s="1"/>
  <c r="DN27" i="7" a="1"/>
  <c r="DN27" i="7" s="1"/>
  <c r="DO62" i="7" a="1"/>
  <c r="DO62" i="7" s="1"/>
  <c r="DN98" i="7" a="1"/>
  <c r="DN98" i="7" s="1"/>
  <c r="DO147" i="7" a="1"/>
  <c r="DO147" i="7" s="1"/>
  <c r="DN158" i="7" a="1"/>
  <c r="DN158" i="7" s="1"/>
  <c r="DN163" i="7" a="1"/>
  <c r="DN163" i="7" s="1"/>
  <c r="DN168" i="7" a="1"/>
  <c r="DN168" i="7" s="1"/>
  <c r="DN172" i="7" a="1"/>
  <c r="DN172" i="7" s="1"/>
  <c r="DN177" i="7" a="1"/>
  <c r="DN177" i="7" s="1"/>
  <c r="DN182" i="7" a="1"/>
  <c r="DN182" i="7" s="1"/>
  <c r="DO199" i="7" a="1"/>
  <c r="DO199" i="7" s="1"/>
  <c r="DN204" i="7" a="1"/>
  <c r="DN204" i="7" s="1"/>
  <c r="DO207" i="7" a="1"/>
  <c r="DO207" i="7" s="1"/>
  <c r="DN211" i="7" a="1"/>
  <c r="DN211" i="7" s="1"/>
  <c r="DO215" i="7" a="1"/>
  <c r="DO215" i="7" s="1"/>
  <c r="DO223" i="7" a="1"/>
  <c r="DO223" i="7" s="1"/>
  <c r="DO234" i="7" a="1"/>
  <c r="DO234" i="7" s="1"/>
  <c r="DO241" i="7" a="1"/>
  <c r="DO241" i="7" s="1"/>
  <c r="DO244" i="7" a="1"/>
  <c r="DO244" i="7" s="1"/>
  <c r="DO247" i="7" a="1"/>
  <c r="DO247" i="7" s="1"/>
  <c r="DN256" i="7" a="1"/>
  <c r="DN256" i="7" s="1"/>
  <c r="DO261" i="7" a="1"/>
  <c r="DO261" i="7" s="1"/>
  <c r="DN267" i="7" a="1"/>
  <c r="DN267" i="7" s="1"/>
  <c r="DO272" i="7" a="1"/>
  <c r="DO272" i="7" s="1"/>
  <c r="DN278" i="7" a="1"/>
  <c r="DN278" i="7" s="1"/>
  <c r="DO280" i="7" a="1"/>
  <c r="DO280" i="7" s="1"/>
  <c r="DN283" i="7" a="1"/>
  <c r="DN283" i="7" s="1"/>
  <c r="DO285" i="7" a="1"/>
  <c r="DO285" i="7" s="1"/>
  <c r="DN288" i="7" a="1"/>
  <c r="DN288" i="7" s="1"/>
  <c r="DO290" i="7" a="1"/>
  <c r="DO290" i="7" s="1"/>
  <c r="DN293" i="7" a="1"/>
  <c r="DN293" i="7" s="1"/>
  <c r="DO295" i="7" a="1"/>
  <c r="DO295" i="7" s="1"/>
  <c r="DN298" i="7" a="1"/>
  <c r="DN298" i="7" s="1"/>
  <c r="DO300" i="7" a="1"/>
  <c r="DO300" i="7" s="1"/>
  <c r="DN303" i="7" a="1"/>
  <c r="DN303" i="7" s="1"/>
  <c r="DO305" i="7" a="1"/>
  <c r="DO305" i="7" s="1"/>
  <c r="DN308" i="7" a="1"/>
  <c r="DN308" i="7" s="1"/>
  <c r="DO310" i="7" a="1"/>
  <c r="DO310" i="7" s="1"/>
  <c r="DN313" i="7" a="1"/>
  <c r="DN313" i="7" s="1"/>
  <c r="DO315" i="7" a="1"/>
  <c r="DO315" i="7" s="1"/>
  <c r="DN318" i="7" a="1"/>
  <c r="DN318" i="7" s="1"/>
  <c r="DO320" i="7" a="1"/>
  <c r="DO320" i="7" s="1"/>
  <c r="DN323" i="7" a="1"/>
  <c r="DN323" i="7" s="1"/>
  <c r="DO325" i="7" a="1"/>
  <c r="DO325" i="7" s="1"/>
  <c r="DN328" i="7" a="1"/>
  <c r="DN328" i="7" s="1"/>
  <c r="DO330" i="7" a="1"/>
  <c r="DO330" i="7" s="1"/>
  <c r="DN333" i="7" a="1"/>
  <c r="DN333" i="7" s="1"/>
  <c r="DO335" i="7" a="1"/>
  <c r="DO335" i="7" s="1"/>
  <c r="DN338" i="7" a="1"/>
  <c r="DN338" i="7" s="1"/>
  <c r="DO340" i="7" a="1"/>
  <c r="DO340" i="7" s="1"/>
  <c r="DN343" i="7" a="1"/>
  <c r="DN343" i="7" s="1"/>
  <c r="DO345" i="7" a="1"/>
  <c r="DO345" i="7" s="1"/>
  <c r="DN348" i="7" a="1"/>
  <c r="DN348" i="7" s="1"/>
  <c r="DO350" i="7" a="1"/>
  <c r="DO350" i="7" s="1"/>
  <c r="DN353" i="7" a="1"/>
  <c r="DN353" i="7" s="1"/>
  <c r="DO355" i="7" a="1"/>
  <c r="DO355" i="7" s="1"/>
  <c r="DN358" i="7" a="1"/>
  <c r="DN358" i="7" s="1"/>
  <c r="DO360" i="7" a="1"/>
  <c r="DO360" i="7" s="1"/>
  <c r="DN363" i="7" a="1"/>
  <c r="DN363" i="7" s="1"/>
  <c r="DO365" i="7" a="1"/>
  <c r="DO365" i="7" s="1"/>
  <c r="DN368" i="7" a="1"/>
  <c r="DN368" i="7" s="1"/>
  <c r="DO370" i="7" a="1"/>
  <c r="DO370" i="7" s="1"/>
  <c r="DN373" i="7" a="1"/>
  <c r="DN373" i="7" s="1"/>
  <c r="DN30" i="7" a="1"/>
  <c r="DN30" i="7" s="1"/>
  <c r="DO65" i="7" a="1"/>
  <c r="DO65" i="7" s="1"/>
  <c r="DO119" i="7" a="1"/>
  <c r="DO119" i="7" s="1"/>
  <c r="DO154" i="7" a="1"/>
  <c r="DO154" i="7" s="1"/>
  <c r="DN186" i="7" a="1"/>
  <c r="DN186" i="7" s="1"/>
  <c r="DN191" i="7" a="1"/>
  <c r="DN191" i="7" s="1"/>
  <c r="DN196" i="7" a="1"/>
  <c r="DN196" i="7" s="1"/>
  <c r="DO219" i="7" a="1"/>
  <c r="DO219" i="7" s="1"/>
  <c r="DN224" i="7" a="1"/>
  <c r="DN224" i="7" s="1"/>
  <c r="DO227" i="7" a="1"/>
  <c r="DO227" i="7" s="1"/>
  <c r="DO231" i="7" a="1"/>
  <c r="DO231" i="7" s="1"/>
  <c r="DO253" i="7" a="1"/>
  <c r="DO253" i="7" s="1"/>
  <c r="DN259" i="7" a="1"/>
  <c r="DN259" i="7" s="1"/>
  <c r="DO264" i="7" a="1"/>
  <c r="DO264" i="7" s="1"/>
  <c r="DN270" i="7" a="1"/>
  <c r="DN270" i="7" s="1"/>
  <c r="DN48" i="7" a="1"/>
  <c r="DN48" i="7" s="1"/>
  <c r="DN102" i="7" a="1"/>
  <c r="DN102" i="7" s="1"/>
  <c r="DN137" i="7" a="1"/>
  <c r="DN137" i="7" s="1"/>
  <c r="DN143" i="7" a="1"/>
  <c r="DN143" i="7" s="1"/>
  <c r="DN148" i="7" a="1"/>
  <c r="DN148" i="7" s="1"/>
  <c r="DO163" i="7" a="1"/>
  <c r="DO163" i="7" s="1"/>
  <c r="DO168" i="7" a="1"/>
  <c r="DO168" i="7" s="1"/>
  <c r="DO173" i="7" a="1"/>
  <c r="DO173" i="7" s="1"/>
  <c r="DO177" i="7" a="1"/>
  <c r="DO177" i="7" s="1"/>
  <c r="DO182" i="7" a="1"/>
  <c r="DO182" i="7" s="1"/>
  <c r="DO187" i="7" a="1"/>
  <c r="DO187" i="7" s="1"/>
  <c r="DO191" i="7" a="1"/>
  <c r="DO191" i="7" s="1"/>
  <c r="DO196" i="7" a="1"/>
  <c r="DO196" i="7" s="1"/>
  <c r="DN200" i="7" a="1"/>
  <c r="DN200" i="7" s="1"/>
  <c r="DO204" i="7" a="1"/>
  <c r="DO204" i="7" s="1"/>
  <c r="DN208" i="7" a="1"/>
  <c r="DN208" i="7" s="1"/>
  <c r="DO212" i="7" a="1"/>
  <c r="DO212" i="7" s="1"/>
  <c r="DN216" i="7" a="1"/>
  <c r="DN216" i="7" s="1"/>
  <c r="DO220" i="7" a="1"/>
  <c r="DO220" i="7" s="1"/>
  <c r="DN235" i="7" a="1"/>
  <c r="DN235" i="7" s="1"/>
  <c r="DN239" i="7" a="1"/>
  <c r="DN239" i="7" s="1"/>
  <c r="DN242" i="7" a="1"/>
  <c r="DN242" i="7" s="1"/>
  <c r="DN245" i="7" a="1"/>
  <c r="DN245" i="7" s="1"/>
  <c r="DN251" i="7" a="1"/>
  <c r="DN251" i="7" s="1"/>
  <c r="DO256" i="7" a="1"/>
  <c r="DO256" i="7" s="1"/>
  <c r="DN262" i="7" a="1"/>
  <c r="DN262" i="7" s="1"/>
  <c r="DO267" i="7" a="1"/>
  <c r="DO267" i="7" s="1"/>
  <c r="DN276" i="7" a="1"/>
  <c r="DN276" i="7" s="1"/>
  <c r="DO278" i="7" a="1"/>
  <c r="DO278" i="7" s="1"/>
  <c r="DN281" i="7" a="1"/>
  <c r="DN281" i="7" s="1"/>
  <c r="DO283" i="7" a="1"/>
  <c r="DO283" i="7" s="1"/>
  <c r="DN286" i="7" a="1"/>
  <c r="DN286" i="7" s="1"/>
  <c r="DO288" i="7" a="1"/>
  <c r="DO288" i="7" s="1"/>
  <c r="DN291" i="7" a="1"/>
  <c r="DN291" i="7" s="1"/>
  <c r="DO293" i="7" a="1"/>
  <c r="DO293" i="7" s="1"/>
  <c r="DN296" i="7" a="1"/>
  <c r="DN296" i="7" s="1"/>
  <c r="DO298" i="7" a="1"/>
  <c r="DO298" i="7" s="1"/>
  <c r="DN301" i="7" a="1"/>
  <c r="DN301" i="7" s="1"/>
  <c r="DO303" i="7" a="1"/>
  <c r="DO303" i="7" s="1"/>
  <c r="DN306" i="7" a="1"/>
  <c r="DN306" i="7" s="1"/>
  <c r="DO308" i="7" a="1"/>
  <c r="DO308" i="7" s="1"/>
  <c r="DN311" i="7" a="1"/>
  <c r="DN311" i="7" s="1"/>
  <c r="DO313" i="7" a="1"/>
  <c r="DO313" i="7" s="1"/>
  <c r="DN316" i="7" a="1"/>
  <c r="DN316" i="7" s="1"/>
  <c r="DO318" i="7" a="1"/>
  <c r="DO318" i="7" s="1"/>
  <c r="DN321" i="7" a="1"/>
  <c r="DN321" i="7" s="1"/>
  <c r="DO323" i="7" a="1"/>
  <c r="DO323" i="7" s="1"/>
  <c r="DN326" i="7" a="1"/>
  <c r="DN326" i="7" s="1"/>
  <c r="DO328" i="7" a="1"/>
  <c r="DO328" i="7" s="1"/>
  <c r="DN331" i="7" a="1"/>
  <c r="DN331" i="7" s="1"/>
  <c r="DO333" i="7" a="1"/>
  <c r="DO333" i="7" s="1"/>
  <c r="DN336" i="7" a="1"/>
  <c r="DN336" i="7" s="1"/>
  <c r="DO338" i="7" a="1"/>
  <c r="DO338" i="7" s="1"/>
  <c r="DN341" i="7" a="1"/>
  <c r="DN341" i="7" s="1"/>
  <c r="DO343" i="7" a="1"/>
  <c r="DO343" i="7" s="1"/>
  <c r="DN346" i="7" a="1"/>
  <c r="DN346" i="7" s="1"/>
  <c r="DO348" i="7" a="1"/>
  <c r="DO348" i="7" s="1"/>
  <c r="DN351" i="7" a="1"/>
  <c r="DN351" i="7" s="1"/>
  <c r="DO353" i="7" a="1"/>
  <c r="DO353" i="7" s="1"/>
  <c r="DN356" i="7" a="1"/>
  <c r="DN356" i="7" s="1"/>
  <c r="DO358" i="7" a="1"/>
  <c r="DO358" i="7" s="1"/>
  <c r="DN361" i="7" a="1"/>
  <c r="DN361" i="7" s="1"/>
  <c r="DO363" i="7" a="1"/>
  <c r="DO363" i="7" s="1"/>
  <c r="DN366" i="7" a="1"/>
  <c r="DN366" i="7" s="1"/>
  <c r="DO368" i="7" a="1"/>
  <c r="DO368" i="7" s="1"/>
  <c r="DN371" i="7" a="1"/>
  <c r="DN371" i="7" s="1"/>
  <c r="DO373" i="7" a="1"/>
  <c r="DO373" i="7" s="1"/>
  <c r="DO69" i="7" a="1"/>
  <c r="DO69" i="7" s="1"/>
  <c r="DN105" i="7" a="1"/>
  <c r="DN105" i="7" s="1"/>
  <c r="DN155" i="7" a="1"/>
  <c r="DN155" i="7" s="1"/>
  <c r="DN160" i="7" a="1"/>
  <c r="DN160" i="7" s="1"/>
  <c r="DN164" i="7" a="1"/>
  <c r="DN164" i="7" s="1"/>
  <c r="DN169" i="7" a="1"/>
  <c r="DN169" i="7" s="1"/>
  <c r="DN174" i="7" a="1"/>
  <c r="DN174" i="7" s="1"/>
  <c r="DN201" i="7" a="1"/>
  <c r="DN201" i="7" s="1"/>
  <c r="DO216" i="7" a="1"/>
  <c r="DO216" i="7" s="1"/>
  <c r="DO224" i="7" a="1"/>
  <c r="DO224" i="7" s="1"/>
  <c r="DN232" i="7" a="1"/>
  <c r="DN232" i="7" s="1"/>
  <c r="DO248" i="7" a="1"/>
  <c r="DO248" i="7" s="1"/>
  <c r="DN254" i="7" a="1"/>
  <c r="DN254" i="7" s="1"/>
  <c r="DO259" i="7" a="1"/>
  <c r="DO259" i="7" s="1"/>
  <c r="DN265" i="7" a="1"/>
  <c r="DN265" i="7" s="1"/>
  <c r="DO273" i="7" a="1"/>
  <c r="DO273" i="7" s="1"/>
  <c r="DN197" i="7" a="1"/>
  <c r="DN197" i="7" s="1"/>
  <c r="DO209" i="7" a="1"/>
  <c r="DO209" i="7" s="1"/>
  <c r="DN213" i="7" a="1"/>
  <c r="DN213" i="7" s="1"/>
  <c r="DN52" i="7" a="1"/>
  <c r="DN52" i="7" s="1"/>
  <c r="DO87" i="7" a="1"/>
  <c r="DO87" i="7" s="1"/>
  <c r="DN123" i="7" a="1"/>
  <c r="DN123" i="7" s="1"/>
  <c r="DO137" i="7" a="1"/>
  <c r="DO137" i="7" s="1"/>
  <c r="DN183" i="7" a="1"/>
  <c r="DN183" i="7" s="1"/>
  <c r="DN188" i="7" a="1"/>
  <c r="DN188" i="7" s="1"/>
  <c r="DN193" i="7" a="1"/>
  <c r="DN193" i="7" s="1"/>
  <c r="DO201" i="7" a="1"/>
  <c r="DO201" i="7" s="1"/>
  <c r="DO276" i="7" a="1"/>
  <c r="DO276" i="7" s="1"/>
  <c r="DO301" i="7" a="1"/>
  <c r="DO301" i="7" s="1"/>
  <c r="DO326" i="7" a="1"/>
  <c r="DO326" i="7" s="1"/>
  <c r="DO351" i="7" a="1"/>
  <c r="DO351" i="7" s="1"/>
  <c r="DO251" i="7" a="1"/>
  <c r="DO251" i="7" s="1"/>
  <c r="DN279" i="7" a="1"/>
  <c r="DN279" i="7" s="1"/>
  <c r="DN329" i="7" a="1"/>
  <c r="DN329" i="7" s="1"/>
  <c r="DN354" i="7" a="1"/>
  <c r="DN354" i="7" s="1"/>
  <c r="DO281" i="7" a="1"/>
  <c r="DO281" i="7" s="1"/>
  <c r="DO356" i="7" a="1"/>
  <c r="DO356" i="7" s="1"/>
  <c r="DO296" i="7" a="1"/>
  <c r="DO296" i="7" s="1"/>
  <c r="DN205" i="7" a="1"/>
  <c r="DN205" i="7" s="1"/>
  <c r="DN304" i="7" a="1"/>
  <c r="DN304" i="7" s="1"/>
  <c r="DO306" i="7" a="1"/>
  <c r="DO306" i="7" s="1"/>
  <c r="DN324" i="7" a="1"/>
  <c r="DN324" i="7" s="1"/>
  <c r="DN221" i="7" a="1"/>
  <c r="DN221" i="7" s="1"/>
  <c r="DO331" i="7" a="1"/>
  <c r="DO331" i="7" s="1"/>
  <c r="DN257" i="7" a="1"/>
  <c r="DN257" i="7" s="1"/>
  <c r="DN284" i="7" a="1"/>
  <c r="DN284" i="7" s="1"/>
  <c r="DN309" i="7" a="1"/>
  <c r="DN309" i="7" s="1"/>
  <c r="DN334" i="7" a="1"/>
  <c r="DN334" i="7" s="1"/>
  <c r="DN359" i="7" a="1"/>
  <c r="DN359" i="7" s="1"/>
  <c r="DN229" i="7" a="1"/>
  <c r="DN229" i="7" s="1"/>
  <c r="DO286" i="7" a="1"/>
  <c r="DO286" i="7" s="1"/>
  <c r="DO311" i="7" a="1"/>
  <c r="DO311" i="7" s="1"/>
  <c r="DO336" i="7" a="1"/>
  <c r="DO336" i="7" s="1"/>
  <c r="DO361" i="7" a="1"/>
  <c r="DO361" i="7" s="1"/>
  <c r="DO262" i="7" a="1"/>
  <c r="DO262" i="7" s="1"/>
  <c r="DN289" i="7" a="1"/>
  <c r="DN289" i="7" s="1"/>
  <c r="DN314" i="7" a="1"/>
  <c r="DN314" i="7" s="1"/>
  <c r="DN339" i="7" a="1"/>
  <c r="DN339" i="7" s="1"/>
  <c r="DN364" i="7" a="1"/>
  <c r="DN364" i="7" s="1"/>
  <c r="DO291" i="7" a="1"/>
  <c r="DO291" i="7" s="1"/>
  <c r="DO316" i="7" a="1"/>
  <c r="DO316" i="7" s="1"/>
  <c r="DO341" i="7" a="1"/>
  <c r="DO341" i="7" s="1"/>
  <c r="DO366" i="7" a="1"/>
  <c r="DO366" i="7" s="1"/>
  <c r="DN319" i="7" a="1"/>
  <c r="DN319" i="7" s="1"/>
  <c r="DO242" i="7" a="1"/>
  <c r="DO242" i="7" s="1"/>
  <c r="DO371" i="7" a="1"/>
  <c r="DO371" i="7" s="1"/>
  <c r="DN374" i="7" a="1"/>
  <c r="DN374" i="7" s="1"/>
  <c r="DN246" i="7" a="1"/>
  <c r="DN246" i="7" s="1"/>
  <c r="DO239" i="7" a="1"/>
  <c r="DO239" i="7" s="1"/>
  <c r="DN294" i="7" a="1"/>
  <c r="DN294" i="7" s="1"/>
  <c r="DN369" i="7" a="1"/>
  <c r="DN369" i="7" s="1"/>
  <c r="DO321" i="7" a="1"/>
  <c r="DO321" i="7" s="1"/>
  <c r="DN349" i="7" a="1"/>
  <c r="DN349" i="7" s="1"/>
  <c r="DN344" i="7" a="1"/>
  <c r="DN344" i="7" s="1"/>
  <c r="DN271" i="7" a="1"/>
  <c r="DN271" i="7" s="1"/>
  <c r="DN299" i="7" a="1"/>
  <c r="DN299" i="7" s="1"/>
  <c r="DO346" i="7" a="1"/>
  <c r="DO346" i="7" s="1"/>
  <c r="DN15" i="7" a="1"/>
  <c r="DN15" i="7" s="1"/>
  <c r="CY47" i="7" s="1" a="1"/>
  <c r="CY47" i="7" s="1"/>
  <c r="DO15" i="7" a="1"/>
  <c r="DO15" i="7" s="1"/>
  <c r="DC15" i="7"/>
  <c r="DG16" i="8" a="1"/>
  <c r="DG16" i="8" s="1"/>
  <c r="DG21" i="8" a="1"/>
  <c r="DG21" i="8" s="1"/>
  <c r="DG26" i="8" a="1"/>
  <c r="DG26" i="8" s="1"/>
  <c r="DG31" i="8" a="1"/>
  <c r="DG31" i="8" s="1"/>
  <c r="DG36" i="8" a="1"/>
  <c r="DG36" i="8" s="1"/>
  <c r="DG17" i="8" a="1"/>
  <c r="DG17" i="8" s="1"/>
  <c r="DG22" i="8" a="1"/>
  <c r="DG22" i="8" s="1"/>
  <c r="DG27" i="8" a="1"/>
  <c r="DG27" i="8" s="1"/>
  <c r="DG32" i="8" a="1"/>
  <c r="DG32" i="8" s="1"/>
  <c r="DG37" i="8" a="1"/>
  <c r="DG37" i="8" s="1"/>
  <c r="DG18" i="8" a="1"/>
  <c r="DG18" i="8" s="1"/>
  <c r="DG23" i="8" a="1"/>
  <c r="DG23" i="8" s="1"/>
  <c r="DG28" i="8" a="1"/>
  <c r="DG28" i="8" s="1"/>
  <c r="DG33" i="8" a="1"/>
  <c r="DG33" i="8" s="1"/>
  <c r="DG38" i="8" a="1"/>
  <c r="DG38" i="8" s="1"/>
  <c r="DG19" i="8" a="1"/>
  <c r="DG19" i="8" s="1"/>
  <c r="DG24" i="8" a="1"/>
  <c r="DG24" i="8" s="1"/>
  <c r="DG29" i="8" a="1"/>
  <c r="DG29" i="8" s="1"/>
  <c r="DG34" i="8" a="1"/>
  <c r="DG34" i="8" s="1"/>
  <c r="DG39" i="8" a="1"/>
  <c r="DG39" i="8" s="1"/>
  <c r="DG15" i="10" a="1"/>
  <c r="DG15" i="10" s="1"/>
  <c r="DG16" i="10" a="1"/>
  <c r="DG16" i="10" s="1"/>
  <c r="DG21" i="10" a="1"/>
  <c r="DG21" i="10" s="1"/>
  <c r="DG26" i="10" a="1"/>
  <c r="DG26" i="10" s="1"/>
  <c r="DG31" i="10" a="1"/>
  <c r="DG31" i="10" s="1"/>
  <c r="DG36" i="10" a="1"/>
  <c r="DG36" i="10" s="1"/>
  <c r="DG17" i="10" a="1"/>
  <c r="DG17" i="10" s="1"/>
  <c r="DG22" i="10" a="1"/>
  <c r="DG22" i="10" s="1"/>
  <c r="DG27" i="10" a="1"/>
  <c r="DG27" i="10" s="1"/>
  <c r="DG32" i="10" a="1"/>
  <c r="DG32" i="10" s="1"/>
  <c r="DG37" i="10" a="1"/>
  <c r="DG37" i="10" s="1"/>
  <c r="DG18" i="10" a="1"/>
  <c r="DG18" i="10" s="1"/>
  <c r="DG23" i="10" a="1"/>
  <c r="DG23" i="10" s="1"/>
  <c r="DG28" i="10" a="1"/>
  <c r="DG28" i="10" s="1"/>
  <c r="DG33" i="10" a="1"/>
  <c r="DG33" i="10" s="1"/>
  <c r="DG38" i="10" a="1"/>
  <c r="DG38" i="10" s="1"/>
  <c r="DG19" i="10" a="1"/>
  <c r="DG19" i="10" s="1"/>
  <c r="DG24" i="10" a="1"/>
  <c r="DG24" i="10" s="1"/>
  <c r="DG29" i="10" a="1"/>
  <c r="DG29" i="10" s="1"/>
  <c r="DG34" i="10" a="1"/>
  <c r="DG34" i="10" s="1"/>
  <c r="DG39" i="10" a="1"/>
  <c r="DG39" i="10" s="1"/>
  <c r="DG20" i="10" a="1"/>
  <c r="DG20" i="10" s="1"/>
  <c r="DG25" i="10" a="1"/>
  <c r="DG25" i="10" s="1"/>
  <c r="DG30" i="10" a="1"/>
  <c r="DG30" i="10" s="1"/>
  <c r="DG35" i="10" a="1"/>
  <c r="DG35" i="10" s="1"/>
  <c r="DF21" i="8" a="1"/>
  <c r="DF21" i="8" s="1"/>
  <c r="DF26" i="8" a="1"/>
  <c r="DF26" i="8" s="1"/>
  <c r="DF31" i="8" a="1"/>
  <c r="DF31" i="8" s="1"/>
  <c r="DF36" i="8" a="1"/>
  <c r="DF36" i="8" s="1"/>
  <c r="DF22" i="8" a="1"/>
  <c r="DF22" i="8" s="1"/>
  <c r="DF27" i="8" a="1"/>
  <c r="DF27" i="8" s="1"/>
  <c r="DF32" i="8" a="1"/>
  <c r="DF32" i="8" s="1"/>
  <c r="DF37" i="8" a="1"/>
  <c r="DF37" i="8" s="1"/>
  <c r="DF23" i="8" a="1"/>
  <c r="DF23" i="8" s="1"/>
  <c r="DF28" i="8" a="1"/>
  <c r="DF28" i="8" s="1"/>
  <c r="DF33" i="8" a="1"/>
  <c r="DF33" i="8" s="1"/>
  <c r="DF38" i="8" a="1"/>
  <c r="DF38" i="8" s="1"/>
  <c r="DF24" i="8" a="1"/>
  <c r="DF24" i="8" s="1"/>
  <c r="DF29" i="8" a="1"/>
  <c r="DF29" i="8" s="1"/>
  <c r="DF34" i="8" a="1"/>
  <c r="DF34" i="8" s="1"/>
  <c r="DF39" i="8" a="1"/>
  <c r="DF39" i="8" s="1"/>
  <c r="DF20" i="8" a="1"/>
  <c r="DF20" i="8" s="1"/>
  <c r="DF25" i="8" a="1"/>
  <c r="DF25" i="8" s="1"/>
  <c r="DF30" i="8" a="1"/>
  <c r="DF30" i="8" s="1"/>
  <c r="DF35" i="8" a="1"/>
  <c r="DF35" i="8" s="1"/>
  <c r="DF38" i="10" a="1"/>
  <c r="DF38" i="10" s="1"/>
  <c r="DF39" i="10" a="1"/>
  <c r="DF39" i="10" s="1"/>
  <c r="DF31" i="10" a="1"/>
  <c r="DF31" i="10" s="1"/>
  <c r="DF37" i="10" a="1"/>
  <c r="DF37" i="10" s="1"/>
  <c r="DF34" i="10" a="1"/>
  <c r="DF34" i="10" s="1"/>
  <c r="DF29" i="10" a="1"/>
  <c r="DF29" i="10" s="1"/>
  <c r="DF36" i="10" a="1"/>
  <c r="DF36" i="10" s="1"/>
  <c r="DF35" i="10" a="1"/>
  <c r="DF35" i="10" s="1"/>
  <c r="DF33" i="10" a="1"/>
  <c r="DF33" i="10" s="1"/>
  <c r="DF32" i="10" a="1"/>
  <c r="DF32" i="10" s="1"/>
  <c r="DF28" i="10" a="1"/>
  <c r="DF28" i="10" s="1"/>
  <c r="DF30" i="10" a="1"/>
  <c r="DF30" i="10" s="1"/>
  <c r="DF26" i="10" a="1"/>
  <c r="DF26" i="10" s="1"/>
  <c r="DF23" i="10" a="1"/>
  <c r="DF23" i="10" s="1"/>
  <c r="DF27" i="10" a="1"/>
  <c r="DF27" i="10" s="1"/>
  <c r="DF19" i="10" a="1"/>
  <c r="DF19" i="10" s="1"/>
  <c r="DF24" i="10" a="1"/>
  <c r="DF24" i="10" s="1"/>
  <c r="DF21" i="10" a="1"/>
  <c r="DF21" i="10" s="1"/>
  <c r="DF22" i="10" a="1"/>
  <c r="DF22" i="10" s="1"/>
  <c r="DF20" i="10" a="1"/>
  <c r="DF20" i="10" s="1"/>
  <c r="DF25" i="10" a="1"/>
  <c r="DF25" i="10" s="1"/>
  <c r="DF16" i="10" a="1"/>
  <c r="DF16" i="10" s="1"/>
  <c r="DF15" i="10" a="1"/>
  <c r="DF15" i="10" s="1"/>
  <c r="DF17" i="10" a="1"/>
  <c r="DF17" i="10" s="1"/>
  <c r="DF18" i="10" a="1"/>
  <c r="DF18" i="10" s="1"/>
  <c r="K35" i="3"/>
  <c r="J24" i="3" a="1"/>
  <c r="J24" i="3" s="1"/>
  <c r="K24" i="3" s="1"/>
  <c r="K33" i="3"/>
  <c r="K28" i="3"/>
  <c r="K32" i="3"/>
  <c r="K30" i="3"/>
  <c r="K25" i="3"/>
  <c r="J22" i="3" a="1"/>
  <c r="J22" i="3" s="1"/>
  <c r="K22" i="3" s="1"/>
  <c r="K37" i="3"/>
  <c r="K34" i="3"/>
  <c r="J19" i="3" a="1"/>
  <c r="J19" i="3" s="1"/>
  <c r="K19" i="3" s="1"/>
  <c r="K27" i="3"/>
  <c r="K26" i="3"/>
  <c r="J20" i="3" a="1"/>
  <c r="J20" i="3" s="1"/>
  <c r="K20" i="3" s="1"/>
  <c r="K36" i="3"/>
  <c r="J21" i="3" a="1"/>
  <c r="J21" i="3" s="1"/>
  <c r="K21" i="3" s="1"/>
  <c r="K31" i="3"/>
  <c r="J23" i="3" a="1"/>
  <c r="J23" i="3" s="1"/>
  <c r="K23" i="3" s="1"/>
  <c r="K29" i="3"/>
  <c r="J17" i="3" a="1"/>
  <c r="J17" i="3" s="1"/>
  <c r="K17" i="3" s="1"/>
  <c r="J16" i="3" a="1"/>
  <c r="J16" i="3" s="1"/>
  <c r="K16" i="3" s="1"/>
  <c r="J18" i="3" a="1"/>
  <c r="J18" i="3" s="1"/>
  <c r="K18" i="3" s="1"/>
  <c r="J15" i="3" a="1"/>
  <c r="J15" i="3" s="1"/>
  <c r="K15" i="3" s="1"/>
  <c r="B13" i="3"/>
  <c r="L23" i="3" s="1" a="1"/>
  <c r="L23" i="3" s="1"/>
  <c r="BN15" i="12" l="1"/>
  <c r="BO15" i="12" s="1"/>
  <c r="BN22" i="12"/>
  <c r="BO22" i="12" s="1"/>
  <c r="BN34" i="12"/>
  <c r="BO34" i="12" s="1"/>
  <c r="BN19" i="12"/>
  <c r="BO19" i="12" s="1"/>
  <c r="BN16" i="12"/>
  <c r="BO16" i="12" s="1"/>
  <c r="DG36" i="12" a="1"/>
  <c r="DG36" i="12" s="1"/>
  <c r="DG24" i="12" a="1"/>
  <c r="DG24" i="12" s="1"/>
  <c r="DG18" i="12" a="1"/>
  <c r="DG18" i="12" s="1"/>
  <c r="DG39" i="12" a="1"/>
  <c r="DG39" i="12" s="1"/>
  <c r="BN18" i="12"/>
  <c r="BO18" i="12" s="1"/>
  <c r="BN21" i="12"/>
  <c r="BO21" i="12" s="1"/>
  <c r="DG33" i="12" a="1"/>
  <c r="DG33" i="12" s="1"/>
  <c r="DG27" i="12" a="1"/>
  <c r="DG27" i="12" s="1"/>
  <c r="DG21" i="12" a="1"/>
  <c r="DG21" i="12" s="1"/>
  <c r="BN28" i="12"/>
  <c r="BO28" i="12" s="1"/>
  <c r="BN24" i="12"/>
  <c r="BO24" i="12" s="1"/>
  <c r="BN25" i="12"/>
  <c r="BO25" i="12" s="1"/>
  <c r="BN20" i="12"/>
  <c r="BO20" i="12" s="1"/>
  <c r="DF15" i="12" a="1"/>
  <c r="DF15" i="12" s="1"/>
  <c r="BN30" i="12"/>
  <c r="BO30" i="12" s="1"/>
  <c r="BN26" i="12"/>
  <c r="BO26" i="12" s="1"/>
  <c r="BN32" i="12"/>
  <c r="BO32" i="12" s="1"/>
  <c r="BN27" i="12"/>
  <c r="BO27" i="12" s="1"/>
  <c r="BN23" i="12"/>
  <c r="BO23" i="12" s="1"/>
  <c r="BN17" i="12"/>
  <c r="BO17" i="12" s="1"/>
  <c r="BN29" i="12"/>
  <c r="BO29" i="12" s="1"/>
  <c r="BN31" i="12"/>
  <c r="BO31" i="12" s="1"/>
  <c r="BN33" i="12"/>
  <c r="BO33" i="12" s="1"/>
  <c r="DF19" i="12" a="1"/>
  <c r="DF19" i="12" s="1"/>
  <c r="DF17" i="12" a="1"/>
  <c r="DF17" i="12" s="1"/>
  <c r="DG25" i="12" a="1"/>
  <c r="DG25" i="12" s="1"/>
  <c r="DG15" i="12" a="1"/>
  <c r="DG15" i="12" s="1"/>
  <c r="DG35" i="12" a="1"/>
  <c r="DG35" i="12" s="1"/>
  <c r="DF18" i="12" a="1"/>
  <c r="DF18" i="12" s="1"/>
  <c r="DF16" i="12" a="1"/>
  <c r="DF16" i="12" s="1"/>
  <c r="DG30" i="12" a="1"/>
  <c r="DG30" i="12" s="1"/>
  <c r="DF19" i="8" a="1"/>
  <c r="DF19" i="8" s="1"/>
  <c r="DG16" i="11" a="1"/>
  <c r="DG16" i="11" s="1"/>
  <c r="DG18" i="11" a="1"/>
  <c r="DG18" i="11" s="1"/>
  <c r="DG23" i="11" a="1"/>
  <c r="DG23" i="11" s="1"/>
  <c r="EE26" i="11" a="1"/>
  <c r="EE26" i="11" s="1"/>
  <c r="EE16" i="11" a="1"/>
  <c r="EE16" i="11" s="1"/>
  <c r="EE39" i="11" a="1"/>
  <c r="EE39" i="11" s="1"/>
  <c r="EE32" i="11" a="1"/>
  <c r="EE32" i="11" s="1"/>
  <c r="EE37" i="11" a="1"/>
  <c r="EE37" i="11" s="1"/>
  <c r="FA22" i="11" a="1"/>
  <c r="FA22" i="11" s="1"/>
  <c r="FA18" i="11" a="1"/>
  <c r="FA18" i="11" s="1"/>
  <c r="EE19" i="11" a="1"/>
  <c r="EE19" i="11" s="1"/>
  <c r="DG17" i="11" a="1"/>
  <c r="DG17" i="11" s="1"/>
  <c r="FA27" i="11" a="1"/>
  <c r="FA27" i="11" s="1"/>
  <c r="FA28" i="11" a="1"/>
  <c r="FA28" i="11" s="1"/>
  <c r="FA36" i="11" a="1"/>
  <c r="FA36" i="11" s="1"/>
  <c r="DG39" i="11" a="1"/>
  <c r="DG39" i="11" s="1"/>
  <c r="FA38" i="11" a="1"/>
  <c r="FA38" i="11" s="1"/>
  <c r="FA21" i="11" a="1"/>
  <c r="FA21" i="11" s="1"/>
  <c r="DG26" i="11" a="1"/>
  <c r="DG26" i="11" s="1"/>
  <c r="FA32" i="11" a="1"/>
  <c r="FA32" i="11" s="1"/>
  <c r="DG32" i="11" a="1"/>
  <c r="DG32" i="11" s="1"/>
  <c r="EE36" i="11" a="1"/>
  <c r="EE36" i="11" s="1"/>
  <c r="DF17" i="8" a="1"/>
  <c r="DF17" i="8" s="1"/>
  <c r="EE29" i="11" a="1"/>
  <c r="EE29" i="11" s="1"/>
  <c r="DG33" i="11" a="1"/>
  <c r="DG33" i="11" s="1"/>
  <c r="DG34" i="11" a="1"/>
  <c r="DG34" i="11" s="1"/>
  <c r="EE17" i="11" a="1"/>
  <c r="EE17" i="11" s="1"/>
  <c r="EE22" i="11" a="1"/>
  <c r="EE22" i="11" s="1"/>
  <c r="FA24" i="11" a="1"/>
  <c r="FA24" i="11" s="1"/>
  <c r="DG31" i="11" a="1"/>
  <c r="DG31" i="11" s="1"/>
  <c r="FA31" i="11" a="1"/>
  <c r="FA31" i="11" s="1"/>
  <c r="EE38" i="11" a="1"/>
  <c r="EE38" i="11" s="1"/>
  <c r="EE18" i="11" a="1"/>
  <c r="EE18" i="11" s="1"/>
  <c r="FA17" i="11" a="1"/>
  <c r="FA17" i="11" s="1"/>
  <c r="DG24" i="11" a="1"/>
  <c r="DG24" i="11" s="1"/>
  <c r="EE27" i="11" a="1"/>
  <c r="EE27" i="11" s="1"/>
  <c r="EE31" i="11" a="1"/>
  <c r="EE31" i="11" s="1"/>
  <c r="DG38" i="11" a="1"/>
  <c r="DG38" i="11" s="1"/>
  <c r="DG19" i="11" a="1"/>
  <c r="DG19" i="11" s="1"/>
  <c r="EE24" i="11" a="1"/>
  <c r="EE24" i="11" s="1"/>
  <c r="FA33" i="11" a="1"/>
  <c r="FA33" i="11" s="1"/>
  <c r="FA39" i="11" a="1"/>
  <c r="FA39" i="11" s="1"/>
  <c r="DG21" i="11" a="1"/>
  <c r="DG21" i="11" s="1"/>
  <c r="DG28" i="11" a="1"/>
  <c r="DG28" i="11" s="1"/>
  <c r="EE34" i="11" a="1"/>
  <c r="EE34" i="11" s="1"/>
  <c r="FA29" i="11" a="1"/>
  <c r="FA29" i="11" s="1"/>
  <c r="DG37" i="11" a="1"/>
  <c r="DG37" i="11" s="1"/>
  <c r="FA19" i="11" a="1"/>
  <c r="FA19" i="11" s="1"/>
  <c r="FA16" i="11" a="1"/>
  <c r="FA16" i="11" s="1"/>
  <c r="FA23" i="11" a="1"/>
  <c r="FA23" i="11" s="1"/>
  <c r="FA26" i="11" a="1"/>
  <c r="FA26" i="11" s="1"/>
  <c r="EE28" i="11" a="1"/>
  <c r="EE28" i="11" s="1"/>
  <c r="EE33" i="11" a="1"/>
  <c r="EE33" i="11" s="1"/>
  <c r="FA34" i="11" a="1"/>
  <c r="FA34" i="11" s="1"/>
  <c r="EE21" i="11" a="1"/>
  <c r="EE21" i="11" s="1"/>
  <c r="DG22" i="11" a="1"/>
  <c r="DG22" i="11" s="1"/>
  <c r="DG27" i="11" a="1"/>
  <c r="DG27" i="11" s="1"/>
  <c r="DG29" i="11" a="1"/>
  <c r="DG29" i="11" s="1"/>
  <c r="DG36" i="11" a="1"/>
  <c r="DG36" i="11" s="1"/>
  <c r="DG35" i="8" a="1"/>
  <c r="DG35" i="8" s="1"/>
  <c r="DG30" i="8" a="1"/>
  <c r="DG30" i="8" s="1"/>
  <c r="DG25" i="8" a="1"/>
  <c r="DG25" i="8" s="1"/>
  <c r="DF18" i="8" a="1"/>
  <c r="DF18" i="8" s="1"/>
  <c r="DF16" i="8" a="1"/>
  <c r="DF16" i="8" s="1"/>
  <c r="DG20" i="8" a="1"/>
  <c r="DG20" i="8" s="1"/>
  <c r="DF15" i="8" a="1"/>
  <c r="DF15" i="8" s="1"/>
  <c r="DG15" i="8" a="1"/>
  <c r="DG15" i="8" s="1"/>
  <c r="EZ18" i="11" a="1"/>
  <c r="EZ18" i="11" s="1"/>
  <c r="EE20" i="11" a="1"/>
  <c r="EE20" i="11" s="1"/>
  <c r="ED16" i="8" a="1"/>
  <c r="ED16" i="8" s="1"/>
  <c r="ED16" i="11" a="1"/>
  <c r="ED16" i="11" s="1"/>
  <c r="ED17" i="11" a="1"/>
  <c r="ED17" i="11" s="1"/>
  <c r="DF15" i="11" a="1"/>
  <c r="DF15" i="11" s="1"/>
  <c r="DF18" i="11" a="1"/>
  <c r="DF18" i="11" s="1"/>
  <c r="EZ16" i="11" a="1"/>
  <c r="EZ16" i="11" s="1"/>
  <c r="ED15" i="11" a="1"/>
  <c r="ED15" i="11" s="1"/>
  <c r="DF17" i="11" a="1"/>
  <c r="DF17" i="11" s="1"/>
  <c r="FA25" i="11" a="1"/>
  <c r="FA25" i="11" s="1"/>
  <c r="EE15" i="11" a="1"/>
  <c r="EE15" i="11" s="1"/>
  <c r="DG20" i="11" a="1"/>
  <c r="DG20" i="11" s="1"/>
  <c r="EE25" i="11" a="1"/>
  <c r="EE25" i="11" s="1"/>
  <c r="FA30" i="11" a="1"/>
  <c r="FA30" i="11" s="1"/>
  <c r="DF16" i="11" a="1"/>
  <c r="DF16" i="11" s="1"/>
  <c r="DG15" i="11" a="1"/>
  <c r="DG15" i="11" s="1"/>
  <c r="EZ19" i="11" a="1"/>
  <c r="EZ19" i="11" s="1"/>
  <c r="EE35" i="11" a="1"/>
  <c r="EE35" i="11" s="1"/>
  <c r="DG30" i="11" a="1"/>
  <c r="DG30" i="11" s="1"/>
  <c r="ED18" i="11" a="1"/>
  <c r="ED18" i="11" s="1"/>
  <c r="EZ15" i="11" a="1"/>
  <c r="EZ15" i="11" s="1"/>
  <c r="DF19" i="11" a="1"/>
  <c r="DF19" i="11" s="1"/>
  <c r="DG25" i="11" a="1"/>
  <c r="DG25" i="11" s="1"/>
  <c r="FA35" i="11" a="1"/>
  <c r="FA35" i="11" s="1"/>
  <c r="BN24" i="11"/>
  <c r="BO24" i="11" s="1"/>
  <c r="BN18" i="11"/>
  <c r="BO18" i="11" s="1"/>
  <c r="BN33" i="11"/>
  <c r="BO33" i="11" s="1"/>
  <c r="BN20" i="11"/>
  <c r="BO20" i="11" s="1"/>
  <c r="BN28" i="11"/>
  <c r="BO28" i="11" s="1"/>
  <c r="BN19" i="11"/>
  <c r="BO19" i="11" s="1"/>
  <c r="BN15" i="11"/>
  <c r="BO15" i="11" s="1"/>
  <c r="BN25" i="11"/>
  <c r="BO25" i="11" s="1"/>
  <c r="BN21" i="11"/>
  <c r="BO21" i="11" s="1"/>
  <c r="BN34" i="11"/>
  <c r="BO34" i="11" s="1"/>
  <c r="BN29" i="11"/>
  <c r="BO29" i="11" s="1"/>
  <c r="BN17" i="11"/>
  <c r="BO17" i="11" s="1"/>
  <c r="BN27" i="11"/>
  <c r="BO27" i="11" s="1"/>
  <c r="BN16" i="11"/>
  <c r="BO16" i="11" s="1"/>
  <c r="BN22" i="11"/>
  <c r="BO22" i="11" s="1"/>
  <c r="BN32" i="11"/>
  <c r="BO32" i="11" s="1"/>
  <c r="BN31" i="11"/>
  <c r="BO31" i="11" s="1"/>
  <c r="EZ17" i="11" a="1"/>
  <c r="EZ17" i="11" s="1"/>
  <c r="FA20" i="11" a="1"/>
  <c r="FA20" i="11" s="1"/>
  <c r="FA15" i="11" a="1"/>
  <c r="FA15" i="11" s="1"/>
  <c r="BN30" i="11"/>
  <c r="BO30" i="11" s="1"/>
  <c r="BN23" i="11"/>
  <c r="BO23" i="11" s="1"/>
  <c r="BN26" i="11"/>
  <c r="BO26" i="11" s="1"/>
  <c r="ED19" i="11" a="1"/>
  <c r="ED19" i="11" s="1"/>
  <c r="EE30" i="11" a="1"/>
  <c r="EE30" i="11" s="1"/>
  <c r="ED18" i="8" a="1"/>
  <c r="ED18" i="8" s="1"/>
  <c r="FA20" i="8" a="1"/>
  <c r="FA20" i="8" s="1"/>
  <c r="EZ19" i="8" a="1"/>
  <c r="EZ19" i="8" s="1"/>
  <c r="ED19" i="8" a="1"/>
  <c r="ED19" i="8" s="1"/>
  <c r="EE25" i="8" a="1"/>
  <c r="EE25" i="8" s="1"/>
  <c r="EE20" i="8" a="1"/>
  <c r="EE20" i="8" s="1"/>
  <c r="EZ15" i="8" a="1"/>
  <c r="EZ15" i="8" s="1"/>
  <c r="EZ17" i="8" a="1"/>
  <c r="EZ17" i="8" s="1"/>
  <c r="FA15" i="8" a="1"/>
  <c r="FA15" i="8" s="1"/>
  <c r="FA30" i="8" a="1"/>
  <c r="FA30" i="8" s="1"/>
  <c r="EZ16" i="8" a="1"/>
  <c r="EZ16" i="8" s="1"/>
  <c r="EE35" i="8" a="1"/>
  <c r="EE35" i="8" s="1"/>
  <c r="EE15" i="8" a="1"/>
  <c r="EE15" i="8" s="1"/>
  <c r="EE30" i="8" a="1"/>
  <c r="EE30" i="8" s="1"/>
  <c r="EZ18" i="8" a="1"/>
  <c r="EZ18" i="8" s="1"/>
  <c r="ED15" i="8" a="1"/>
  <c r="ED15" i="8" s="1"/>
  <c r="FA35" i="8" a="1"/>
  <c r="FA35" i="8" s="1"/>
  <c r="ED17" i="8" a="1"/>
  <c r="ED17" i="8" s="1"/>
  <c r="BN15" i="10"/>
  <c r="BO15" i="10" s="1"/>
  <c r="BN17" i="10"/>
  <c r="BO17" i="10" s="1"/>
  <c r="BN16" i="10"/>
  <c r="BO16" i="10" s="1"/>
  <c r="BN29" i="10"/>
  <c r="BO29" i="10" s="1"/>
  <c r="BN34" i="10"/>
  <c r="BO34" i="10" s="1"/>
  <c r="BN21" i="10"/>
  <c r="BO21" i="10" s="1"/>
  <c r="BN30" i="10"/>
  <c r="BO30" i="10" s="1"/>
  <c r="BN31" i="10"/>
  <c r="BO31" i="10" s="1"/>
  <c r="BN25" i="10"/>
  <c r="BO25" i="10" s="1"/>
  <c r="BN27" i="10"/>
  <c r="BO27" i="10" s="1"/>
  <c r="BN32" i="10"/>
  <c r="BO32" i="10" s="1"/>
  <c r="BN26" i="10"/>
  <c r="BO26" i="10" s="1"/>
  <c r="BN20" i="10"/>
  <c r="BO20" i="10" s="1"/>
  <c r="BN28" i="10"/>
  <c r="BO28" i="10" s="1"/>
  <c r="BN22" i="10"/>
  <c r="BO22" i="10" s="1"/>
  <c r="BN33" i="10"/>
  <c r="BO33" i="10" s="1"/>
  <c r="BN23" i="10"/>
  <c r="BO23" i="10" s="1"/>
  <c r="BN24" i="10"/>
  <c r="BO24" i="10" s="1"/>
  <c r="BN19" i="10"/>
  <c r="BO19" i="10" s="1"/>
  <c r="BN18" i="10"/>
  <c r="BO18" i="10" s="1"/>
  <c r="BN16" i="8"/>
  <c r="BO16" i="8" s="1"/>
  <c r="BN17" i="8"/>
  <c r="BO17" i="8" s="1"/>
  <c r="BN15" i="8"/>
  <c r="BO15" i="8" s="1"/>
  <c r="BN18" i="8"/>
  <c r="BO18" i="8" s="1"/>
  <c r="BN28" i="8"/>
  <c r="BO28" i="8" s="1"/>
  <c r="BN19" i="8"/>
  <c r="BO19" i="8" s="1"/>
  <c r="BN21" i="8"/>
  <c r="BO21" i="8" s="1"/>
  <c r="BN33" i="8"/>
  <c r="BO33" i="8" s="1"/>
  <c r="BN26" i="8"/>
  <c r="BO26" i="8" s="1"/>
  <c r="BN20" i="8"/>
  <c r="BO20" i="8" s="1"/>
  <c r="BN30" i="8"/>
  <c r="BO30" i="8" s="1"/>
  <c r="BN25" i="8"/>
  <c r="BO25" i="8" s="1"/>
  <c r="BN22" i="8"/>
  <c r="BO22" i="8" s="1"/>
  <c r="BN27" i="8"/>
  <c r="BO27" i="8" s="1"/>
  <c r="BN29" i="8"/>
  <c r="BO29" i="8" s="1"/>
  <c r="BN31" i="8"/>
  <c r="BO31" i="8" s="1"/>
  <c r="BN23" i="8"/>
  <c r="BO23" i="8" s="1"/>
  <c r="BN32" i="8"/>
  <c r="BO32" i="8" s="1"/>
  <c r="BN34" i="8"/>
  <c r="BO34" i="8" s="1"/>
  <c r="BN24" i="8"/>
  <c r="BO24" i="8" s="1"/>
  <c r="BN15" i="7"/>
  <c r="BO15" i="7" s="1"/>
  <c r="BN16" i="7"/>
  <c r="BO16" i="7" s="1"/>
  <c r="BN18" i="7"/>
  <c r="BO18" i="7" s="1"/>
  <c r="BN22" i="7"/>
  <c r="BO22" i="7" s="1"/>
  <c r="BN24" i="7"/>
  <c r="BO24" i="7" s="1"/>
  <c r="BN17" i="7"/>
  <c r="BO17" i="7" s="1"/>
  <c r="BN21" i="7"/>
  <c r="BO21" i="7" s="1"/>
  <c r="BN25" i="7"/>
  <c r="BO25" i="7" s="1"/>
  <c r="BN28" i="7"/>
  <c r="BO28" i="7" s="1"/>
  <c r="BN27" i="7"/>
  <c r="BO27" i="7" s="1"/>
  <c r="BN34" i="7"/>
  <c r="BO34" i="7" s="1"/>
  <c r="BN32" i="7"/>
  <c r="BO32" i="7" s="1"/>
  <c r="BN29" i="7"/>
  <c r="BO29" i="7" s="1"/>
  <c r="BN26" i="7"/>
  <c r="BO26" i="7" s="1"/>
  <c r="BN33" i="7"/>
  <c r="BO33" i="7" s="1"/>
  <c r="BN20" i="7"/>
  <c r="BO20" i="7" s="1"/>
  <c r="BN23" i="7"/>
  <c r="BO23" i="7" s="1"/>
  <c r="BN30" i="7"/>
  <c r="BO30" i="7" s="1"/>
  <c r="BN31" i="7"/>
  <c r="BO31" i="7" s="1"/>
  <c r="BN19" i="7"/>
  <c r="BO19" i="7" s="1"/>
  <c r="L37" i="3" a="1"/>
  <c r="L37" i="3" s="1"/>
  <c r="M37" i="3" s="1"/>
  <c r="L18" i="3" a="1"/>
  <c r="L18" i="3" s="1"/>
  <c r="M18" i="3" s="1"/>
  <c r="L34" i="3" a="1"/>
  <c r="L34" i="3" s="1"/>
  <c r="M34" i="3" s="1"/>
  <c r="L31" i="3" a="1"/>
  <c r="L31" i="3" s="1"/>
  <c r="M31" i="3" s="1"/>
  <c r="L16" i="3" a="1"/>
  <c r="L16" i="3" s="1"/>
  <c r="M16" i="3" s="1"/>
  <c r="L25" i="3" a="1"/>
  <c r="L25" i="3" s="1"/>
  <c r="M25" i="3" s="1"/>
  <c r="L26" i="3" a="1"/>
  <c r="L26" i="3" s="1"/>
  <c r="M26" i="3" s="1"/>
  <c r="L30" i="3" a="1"/>
  <c r="L30" i="3" s="1"/>
  <c r="M30" i="3" s="1"/>
  <c r="L28" i="3" a="1"/>
  <c r="L28" i="3" s="1"/>
  <c r="M28" i="3" s="1"/>
  <c r="L33" i="3" a="1"/>
  <c r="L33" i="3" s="1"/>
  <c r="M33" i="3" s="1"/>
  <c r="L15" i="3" a="1"/>
  <c r="L15" i="3" s="1"/>
  <c r="M15" i="3" s="1"/>
  <c r="L20" i="3" a="1"/>
  <c r="L20" i="3" s="1"/>
  <c r="M20" i="3" s="1"/>
  <c r="L17" i="3" a="1"/>
  <c r="L17" i="3" s="1"/>
  <c r="M17" i="3" s="1"/>
  <c r="L29" i="3" a="1"/>
  <c r="L29" i="3" s="1"/>
  <c r="M29" i="3" s="1"/>
  <c r="L32" i="3" a="1"/>
  <c r="L32" i="3" s="1"/>
  <c r="M32" i="3" s="1"/>
  <c r="L19" i="3" a="1"/>
  <c r="L19" i="3" s="1"/>
  <c r="M19" i="3" s="1"/>
  <c r="L27" i="3" a="1"/>
  <c r="L27" i="3" s="1"/>
  <c r="M27" i="3" s="1"/>
  <c r="L21" i="3" a="1"/>
  <c r="L21" i="3" s="1"/>
  <c r="M21" i="3" s="1"/>
  <c r="L35" i="3" a="1"/>
  <c r="L35" i="3" s="1"/>
  <c r="M35" i="3" s="1"/>
  <c r="L24" i="3" a="1"/>
  <c r="L24" i="3" s="1"/>
  <c r="M24" i="3" s="1"/>
  <c r="M23" i="3"/>
  <c r="L36" i="3" a="1"/>
  <c r="L36" i="3" s="1"/>
  <c r="M36" i="3" s="1"/>
  <c r="L22" i="3" a="1"/>
  <c r="L22" i="3" s="1"/>
  <c r="M22" i="3" s="1"/>
  <c r="DW39" i="8" l="1" a="1"/>
  <c r="DW39" i="8" s="1"/>
  <c r="DO33" i="8" a="1"/>
  <c r="DO33" i="8" s="1"/>
  <c r="DV26" i="8" a="1"/>
  <c r="DV26" i="8" s="1"/>
  <c r="DN20" i="8" a="1"/>
  <c r="DN20" i="8" s="1"/>
  <c r="DW38" i="8" a="1"/>
  <c r="DW38" i="8" s="1"/>
  <c r="DO32" i="8" a="1"/>
  <c r="DO32" i="8" s="1"/>
  <c r="DV25" i="8" a="1"/>
  <c r="DV25" i="8" s="1"/>
  <c r="DN19" i="8" a="1"/>
  <c r="DN19" i="8" s="1"/>
  <c r="DW37" i="8" a="1"/>
  <c r="DW37" i="8" s="1"/>
  <c r="DO31" i="8" a="1"/>
  <c r="DO31" i="8" s="1"/>
  <c r="DV24" i="8" a="1"/>
  <c r="DV24" i="8" s="1"/>
  <c r="DN18" i="8" a="1"/>
  <c r="DN18" i="8" s="1"/>
  <c r="DW36" i="8" a="1"/>
  <c r="DW36" i="8" s="1"/>
  <c r="DO30" i="8" a="1"/>
  <c r="DO30" i="8" s="1"/>
  <c r="DV23" i="8" a="1"/>
  <c r="DV23" i="8" s="1"/>
  <c r="DN17" i="8" a="1"/>
  <c r="DN17" i="8" s="1"/>
  <c r="DW35" i="8" a="1"/>
  <c r="DW35" i="8" s="1"/>
  <c r="DO29" i="8" a="1"/>
  <c r="DO29" i="8" s="1"/>
  <c r="DV22" i="8" a="1"/>
  <c r="DV22" i="8" s="1"/>
  <c r="DN16" i="8" a="1"/>
  <c r="DN16" i="8" s="1"/>
  <c r="DP34" i="8" a="1"/>
  <c r="DP34" i="8" s="1"/>
  <c r="DW27" i="8" a="1"/>
  <c r="DW27" i="8" s="1"/>
  <c r="DO21" i="8" a="1"/>
  <c r="DO21" i="8" s="1"/>
  <c r="DQ39" i="8" a="1"/>
  <c r="DQ39" i="8" s="1"/>
  <c r="DI33" i="8" a="1"/>
  <c r="DI33" i="8" s="1"/>
  <c r="DP26" i="8" a="1"/>
  <c r="DP26" i="8" s="1"/>
  <c r="DW19" i="8" a="1"/>
  <c r="DW19" i="8" s="1"/>
  <c r="DP39" i="8" a="1"/>
  <c r="DP39" i="8" s="1"/>
  <c r="DW32" i="8" a="1"/>
  <c r="DW32" i="8" s="1"/>
  <c r="DO26" i="8" a="1"/>
  <c r="DO26" i="8" s="1"/>
  <c r="DV19" i="8" a="1"/>
  <c r="DV19" i="8" s="1"/>
  <c r="DP38" i="8" a="1"/>
  <c r="DP38" i="8" s="1"/>
  <c r="DW31" i="8" a="1"/>
  <c r="DW31" i="8" s="1"/>
  <c r="DO25" i="8" a="1"/>
  <c r="DO25" i="8" s="1"/>
  <c r="DV18" i="8" a="1"/>
  <c r="DV18" i="8" s="1"/>
  <c r="DP37" i="8" a="1"/>
  <c r="DP37" i="8" s="1"/>
  <c r="DW30" i="8" a="1"/>
  <c r="DW30" i="8" s="1"/>
  <c r="DO24" i="8" a="1"/>
  <c r="DO24" i="8" s="1"/>
  <c r="DV17" i="8" a="1"/>
  <c r="DV17" i="8" s="1"/>
  <c r="DP36" i="8" a="1"/>
  <c r="DP36" i="8" s="1"/>
  <c r="DW29" i="8" a="1"/>
  <c r="DW29" i="8" s="1"/>
  <c r="DO23" i="8" a="1"/>
  <c r="DO23" i="8" s="1"/>
  <c r="DV16" i="8" a="1"/>
  <c r="DV16" i="8" s="1"/>
  <c r="DP35" i="8" a="1"/>
  <c r="DP35" i="8" s="1"/>
  <c r="DW28" i="8" a="1"/>
  <c r="DW28" i="8" s="1"/>
  <c r="DO22" i="8" a="1"/>
  <c r="DO22" i="8" s="1"/>
  <c r="DV15" i="8" a="1"/>
  <c r="DV15" i="8" s="1"/>
  <c r="DI34" i="8" a="1"/>
  <c r="DI34" i="8" s="1"/>
  <c r="DP27" i="8" a="1"/>
  <c r="DP27" i="8" s="1"/>
  <c r="DW20" i="8" a="1"/>
  <c r="DW20" i="8" s="1"/>
  <c r="DJ39" i="8" a="1"/>
  <c r="DJ39" i="8" s="1"/>
  <c r="DQ32" i="8" a="1"/>
  <c r="DQ32" i="8" s="1"/>
  <c r="DI26" i="8" a="1"/>
  <c r="DI26" i="8" s="1"/>
  <c r="DP19" i="8" a="1"/>
  <c r="DP19" i="8" s="1"/>
  <c r="DI39" i="8" a="1"/>
  <c r="DI39" i="8" s="1"/>
  <c r="DP32" i="8" a="1"/>
  <c r="DP32" i="8" s="1"/>
  <c r="DW25" i="8" a="1"/>
  <c r="DW25" i="8" s="1"/>
  <c r="DO19" i="8" a="1"/>
  <c r="DO19" i="8" s="1"/>
  <c r="DI38" i="8" a="1"/>
  <c r="DI38" i="8" s="1"/>
  <c r="DP31" i="8" a="1"/>
  <c r="DP31" i="8" s="1"/>
  <c r="DW24" i="8" a="1"/>
  <c r="DW24" i="8" s="1"/>
  <c r="DO18" i="8" a="1"/>
  <c r="DO18" i="8" s="1"/>
  <c r="DI37" i="8" a="1"/>
  <c r="DI37" i="8" s="1"/>
  <c r="DP30" i="8" a="1"/>
  <c r="DP30" i="8" s="1"/>
  <c r="DW23" i="8" a="1"/>
  <c r="DW23" i="8" s="1"/>
  <c r="DO17" i="8" a="1"/>
  <c r="DO17" i="8" s="1"/>
  <c r="DI36" i="8" a="1"/>
  <c r="DI36" i="8" s="1"/>
  <c r="DP29" i="8" a="1"/>
  <c r="DP29" i="8" s="1"/>
  <c r="DW22" i="8" a="1"/>
  <c r="DW22" i="8" s="1"/>
  <c r="DO16" i="8" a="1"/>
  <c r="DO16" i="8" s="1"/>
  <c r="DI35" i="8" a="1"/>
  <c r="DI35" i="8" s="1"/>
  <c r="DP28" i="8" a="1"/>
  <c r="DP28" i="8" s="1"/>
  <c r="DW21" i="8" a="1"/>
  <c r="DW21" i="8" s="1"/>
  <c r="DO15" i="8" a="1"/>
  <c r="DO15" i="8" s="1"/>
  <c r="DQ33" i="8" a="1"/>
  <c r="DQ33" i="8" s="1"/>
  <c r="DI27" i="8" a="1"/>
  <c r="DI27" i="8" s="1"/>
  <c r="DP20" i="8" a="1"/>
  <c r="DP20" i="8" s="1"/>
  <c r="DR38" i="8" a="1"/>
  <c r="DR38" i="8" s="1"/>
  <c r="DJ32" i="8" a="1"/>
  <c r="DJ32" i="8" s="1"/>
  <c r="DQ25" i="8" a="1"/>
  <c r="DQ25" i="8" s="1"/>
  <c r="DI19" i="8" a="1"/>
  <c r="DI19" i="8" s="1"/>
  <c r="DQ38" i="8" a="1"/>
  <c r="DQ38" i="8" s="1"/>
  <c r="DI32" i="8" a="1"/>
  <c r="DI32" i="8" s="1"/>
  <c r="DP25" i="8" a="1"/>
  <c r="DP25" i="8" s="1"/>
  <c r="DW18" i="8" a="1"/>
  <c r="DW18" i="8" s="1"/>
  <c r="DQ37" i="8" a="1"/>
  <c r="DQ37" i="8" s="1"/>
  <c r="DI31" i="8" a="1"/>
  <c r="DI31" i="8" s="1"/>
  <c r="DP24" i="8" a="1"/>
  <c r="DP24" i="8" s="1"/>
  <c r="DW17" i="8" a="1"/>
  <c r="DW17" i="8" s="1"/>
  <c r="DQ36" i="8" a="1"/>
  <c r="DQ36" i="8" s="1"/>
  <c r="DI30" i="8" a="1"/>
  <c r="DI30" i="8" s="1"/>
  <c r="DP23" i="8" a="1"/>
  <c r="DP23" i="8" s="1"/>
  <c r="DW16" i="8" a="1"/>
  <c r="DW16" i="8" s="1"/>
  <c r="DQ35" i="8" a="1"/>
  <c r="DQ35" i="8" s="1"/>
  <c r="DI29" i="8" a="1"/>
  <c r="DI29" i="8" s="1"/>
  <c r="DP22" i="8" a="1"/>
  <c r="DP22" i="8" s="1"/>
  <c r="DW15" i="8" a="1"/>
  <c r="DW15" i="8" s="1"/>
  <c r="DQ34" i="8" a="1"/>
  <c r="DQ34" i="8" s="1"/>
  <c r="DI28" i="8" a="1"/>
  <c r="DI28" i="8" s="1"/>
  <c r="DP21" i="8" a="1"/>
  <c r="DP21" i="8" s="1"/>
  <c r="DR39" i="8" a="1"/>
  <c r="DR39" i="8" s="1"/>
  <c r="DJ33" i="8" a="1"/>
  <c r="DJ33" i="8" s="1"/>
  <c r="DQ26" i="8" a="1"/>
  <c r="DQ26" i="8" s="1"/>
  <c r="DI20" i="8" a="1"/>
  <c r="DI20" i="8" s="1"/>
  <c r="DK38" i="8" a="1"/>
  <c r="DK38" i="8" s="1"/>
  <c r="DR31" i="8" a="1"/>
  <c r="DR31" i="8" s="1"/>
  <c r="DJ25" i="8" a="1"/>
  <c r="DJ25" i="8" s="1"/>
  <c r="DQ18" i="8" a="1"/>
  <c r="DQ18" i="8" s="1"/>
  <c r="DJ38" i="8" a="1"/>
  <c r="DJ38" i="8" s="1"/>
  <c r="DQ31" i="8" a="1"/>
  <c r="DQ31" i="8" s="1"/>
  <c r="DI25" i="8" a="1"/>
  <c r="DI25" i="8" s="1"/>
  <c r="DP18" i="8" a="1"/>
  <c r="DP18" i="8" s="1"/>
  <c r="DJ37" i="8" a="1"/>
  <c r="DJ37" i="8" s="1"/>
  <c r="DQ30" i="8" a="1"/>
  <c r="DQ30" i="8" s="1"/>
  <c r="DI24" i="8" a="1"/>
  <c r="DI24" i="8" s="1"/>
  <c r="DP17" i="8" a="1"/>
  <c r="DP17" i="8" s="1"/>
  <c r="DJ36" i="8" a="1"/>
  <c r="DJ36" i="8" s="1"/>
  <c r="DQ29" i="8" a="1"/>
  <c r="DQ29" i="8" s="1"/>
  <c r="DI23" i="8" a="1"/>
  <c r="DI23" i="8" s="1"/>
  <c r="DP16" i="8" a="1"/>
  <c r="DP16" i="8" s="1"/>
  <c r="DJ35" i="8" a="1"/>
  <c r="DJ35" i="8" s="1"/>
  <c r="DQ28" i="8" a="1"/>
  <c r="DQ28" i="8" s="1"/>
  <c r="DI22" i="8" a="1"/>
  <c r="DI22" i="8" s="1"/>
  <c r="DP15" i="8" a="1"/>
  <c r="DP15" i="8" s="1"/>
  <c r="DJ34" i="8" a="1"/>
  <c r="DJ34" i="8" s="1"/>
  <c r="DQ27" i="8" a="1"/>
  <c r="DQ27" i="8" s="1"/>
  <c r="DI21" i="8" a="1"/>
  <c r="DI21" i="8" s="1"/>
  <c r="DK39" i="8" a="1"/>
  <c r="DK39" i="8" s="1"/>
  <c r="DR32" i="8" a="1"/>
  <c r="DR32" i="8" s="1"/>
  <c r="DJ26" i="8" a="1"/>
  <c r="DJ26" i="8" s="1"/>
  <c r="DQ19" i="8" a="1"/>
  <c r="DQ19" i="8" s="1"/>
  <c r="DS37" i="8" a="1"/>
  <c r="DS37" i="8" s="1"/>
  <c r="DK31" i="8" a="1"/>
  <c r="DK31" i="8" s="1"/>
  <c r="DR24" i="8" a="1"/>
  <c r="DR24" i="8" s="1"/>
  <c r="DJ18" i="8" a="1"/>
  <c r="DJ18" i="8" s="1"/>
  <c r="DR37" i="8" a="1"/>
  <c r="DR37" i="8" s="1"/>
  <c r="DJ31" i="8" a="1"/>
  <c r="DJ31" i="8" s="1"/>
  <c r="DQ24" i="8" a="1"/>
  <c r="DQ24" i="8" s="1"/>
  <c r="DI18" i="8" a="1"/>
  <c r="DI18" i="8" s="1"/>
  <c r="DR36" i="8" a="1"/>
  <c r="DR36" i="8" s="1"/>
  <c r="DJ30" i="8" a="1"/>
  <c r="DJ30" i="8" s="1"/>
  <c r="DQ23" i="8" a="1"/>
  <c r="DQ23" i="8" s="1"/>
  <c r="DI17" i="8" a="1"/>
  <c r="DI17" i="8" s="1"/>
  <c r="DR35" i="8" a="1"/>
  <c r="DR35" i="8" s="1"/>
  <c r="DJ29" i="8" a="1"/>
  <c r="DJ29" i="8" s="1"/>
  <c r="DQ22" i="8" a="1"/>
  <c r="DQ22" i="8" s="1"/>
  <c r="DI16" i="8" a="1"/>
  <c r="DI16" i="8" s="1"/>
  <c r="DR34" i="8" a="1"/>
  <c r="DR34" i="8" s="1"/>
  <c r="DJ28" i="8" a="1"/>
  <c r="DJ28" i="8" s="1"/>
  <c r="DQ21" i="8" a="1"/>
  <c r="DQ21" i="8" s="1"/>
  <c r="DI15" i="8" a="1"/>
  <c r="DI15" i="8" s="1"/>
  <c r="DR33" i="8" a="1"/>
  <c r="DR33" i="8" s="1"/>
  <c r="DJ27" i="8" a="1"/>
  <c r="DJ27" i="8" s="1"/>
  <c r="DQ20" i="8" a="1"/>
  <c r="DQ20" i="8" s="1"/>
  <c r="DS38" i="8" a="1"/>
  <c r="DS38" i="8" s="1"/>
  <c r="DK32" i="8" a="1"/>
  <c r="DK32" i="8" s="1"/>
  <c r="DR25" i="8" a="1"/>
  <c r="DR25" i="8" s="1"/>
  <c r="DJ19" i="8" a="1"/>
  <c r="DJ19" i="8" s="1"/>
  <c r="DL37" i="8" a="1"/>
  <c r="DL37" i="8" s="1"/>
  <c r="DS30" i="8" a="1"/>
  <c r="DS30" i="8" s="1"/>
  <c r="DK24" i="8" a="1"/>
  <c r="DK24" i="8" s="1"/>
  <c r="DR17" i="8" a="1"/>
  <c r="DR17" i="8" s="1"/>
  <c r="DK37" i="8" a="1"/>
  <c r="DK37" i="8" s="1"/>
  <c r="DR30" i="8" a="1"/>
  <c r="DR30" i="8" s="1"/>
  <c r="DJ24" i="8" a="1"/>
  <c r="DJ24" i="8" s="1"/>
  <c r="DQ17" i="8" a="1"/>
  <c r="DQ17" i="8" s="1"/>
  <c r="DK36" i="8" a="1"/>
  <c r="DK36" i="8" s="1"/>
  <c r="DR29" i="8" a="1"/>
  <c r="DR29" i="8" s="1"/>
  <c r="DJ23" i="8" a="1"/>
  <c r="DJ23" i="8" s="1"/>
  <c r="DQ16" i="8" a="1"/>
  <c r="DQ16" i="8" s="1"/>
  <c r="DK35" i="8" a="1"/>
  <c r="DK35" i="8" s="1"/>
  <c r="DR28" i="8" a="1"/>
  <c r="DR28" i="8" s="1"/>
  <c r="DJ22" i="8" a="1"/>
  <c r="DJ22" i="8" s="1"/>
  <c r="DQ15" i="8" a="1"/>
  <c r="DQ15" i="8" s="1"/>
  <c r="DK34" i="8" a="1"/>
  <c r="DK34" i="8" s="1"/>
  <c r="DR27" i="8" a="1"/>
  <c r="DR27" i="8" s="1"/>
  <c r="DJ21" i="8" a="1"/>
  <c r="DJ21" i="8" s="1"/>
  <c r="DS39" i="8" a="1"/>
  <c r="DS39" i="8" s="1"/>
  <c r="DK33" i="8" a="1"/>
  <c r="DK33" i="8" s="1"/>
  <c r="DR26" i="8" a="1"/>
  <c r="DR26" i="8" s="1"/>
  <c r="DJ20" i="8" a="1"/>
  <c r="DJ20" i="8" s="1"/>
  <c r="DL38" i="8" a="1"/>
  <c r="DL38" i="8" s="1"/>
  <c r="DS31" i="8" a="1"/>
  <c r="DS31" i="8" s="1"/>
  <c r="DK25" i="8" a="1"/>
  <c r="DK25" i="8" s="1"/>
  <c r="DR18" i="8" a="1"/>
  <c r="DR18" i="8" s="1"/>
  <c r="DT36" i="8" a="1"/>
  <c r="DT36" i="8" s="1"/>
  <c r="DL30" i="8" a="1"/>
  <c r="DL30" i="8" s="1"/>
  <c r="DS23" i="8" a="1"/>
  <c r="DS23" i="8" s="1"/>
  <c r="DK17" i="8" a="1"/>
  <c r="DK17" i="8" s="1"/>
  <c r="DS36" i="8" a="1"/>
  <c r="DS36" i="8" s="1"/>
  <c r="DK30" i="8" a="1"/>
  <c r="DK30" i="8" s="1"/>
  <c r="DR23" i="8" a="1"/>
  <c r="DR23" i="8" s="1"/>
  <c r="DJ17" i="8" a="1"/>
  <c r="DJ17" i="8" s="1"/>
  <c r="DS35" i="8" a="1"/>
  <c r="DS35" i="8" s="1"/>
  <c r="DK29" i="8" a="1"/>
  <c r="DK29" i="8" s="1"/>
  <c r="DR22" i="8" a="1"/>
  <c r="DR22" i="8" s="1"/>
  <c r="DJ16" i="8" a="1"/>
  <c r="DJ16" i="8" s="1"/>
  <c r="DS34" i="8" a="1"/>
  <c r="DS34" i="8" s="1"/>
  <c r="DK28" i="8" a="1"/>
  <c r="DK28" i="8" s="1"/>
  <c r="DR21" i="8" a="1"/>
  <c r="DR21" i="8" s="1"/>
  <c r="DJ15" i="8" a="1"/>
  <c r="DJ15" i="8" s="1"/>
  <c r="DS33" i="8" a="1"/>
  <c r="DS33" i="8" s="1"/>
  <c r="DK27" i="8" a="1"/>
  <c r="DK27" i="8" s="1"/>
  <c r="DR20" i="8" a="1"/>
  <c r="DR20" i="8" s="1"/>
  <c r="DL39" i="8" a="1"/>
  <c r="DL39" i="8" s="1"/>
  <c r="DS32" i="8" a="1"/>
  <c r="DS32" i="8" s="1"/>
  <c r="DK26" i="8" a="1"/>
  <c r="DK26" i="8" s="1"/>
  <c r="DR19" i="8" a="1"/>
  <c r="DR19" i="8" s="1"/>
  <c r="DT37" i="8" a="1"/>
  <c r="DT37" i="8" s="1"/>
  <c r="DL31" i="8" a="1"/>
  <c r="DL31" i="8" s="1"/>
  <c r="DS24" i="8" a="1"/>
  <c r="DS24" i="8" s="1"/>
  <c r="DK18" i="8" a="1"/>
  <c r="DK18" i="8" s="1"/>
  <c r="DM36" i="8" a="1"/>
  <c r="DM36" i="8" s="1"/>
  <c r="DT29" i="8" a="1"/>
  <c r="DT29" i="8" s="1"/>
  <c r="DL23" i="8" a="1"/>
  <c r="DL23" i="8" s="1"/>
  <c r="DS16" i="8" a="1"/>
  <c r="DS16" i="8" s="1"/>
  <c r="DL36" i="8" a="1"/>
  <c r="DL36" i="8" s="1"/>
  <c r="DS29" i="8" a="1"/>
  <c r="DS29" i="8" s="1"/>
  <c r="DK23" i="8" a="1"/>
  <c r="DK23" i="8" s="1"/>
  <c r="DR16" i="8" a="1"/>
  <c r="DR16" i="8" s="1"/>
  <c r="DL35" i="8" a="1"/>
  <c r="DL35" i="8" s="1"/>
  <c r="DS28" i="8" a="1"/>
  <c r="DS28" i="8" s="1"/>
  <c r="DK22" i="8" a="1"/>
  <c r="DK22" i="8" s="1"/>
  <c r="DR15" i="8" a="1"/>
  <c r="DR15" i="8" s="1"/>
  <c r="DL34" i="8" a="1"/>
  <c r="DL34" i="8" s="1"/>
  <c r="DS27" i="8" a="1"/>
  <c r="DS27" i="8" s="1"/>
  <c r="DK21" i="8" a="1"/>
  <c r="DK21" i="8" s="1"/>
  <c r="DT39" i="8" a="1"/>
  <c r="DT39" i="8" s="1"/>
  <c r="DL33" i="8" a="1"/>
  <c r="DL33" i="8" s="1"/>
  <c r="DS26" i="8" a="1"/>
  <c r="DS26" i="8" s="1"/>
  <c r="DK20" i="8" a="1"/>
  <c r="DK20" i="8" s="1"/>
  <c r="DT38" i="8" a="1"/>
  <c r="DT38" i="8" s="1"/>
  <c r="DL32" i="8" a="1"/>
  <c r="DL32" i="8" s="1"/>
  <c r="DS25" i="8" a="1"/>
  <c r="DS25" i="8" s="1"/>
  <c r="DK19" i="8" a="1"/>
  <c r="DK19" i="8" s="1"/>
  <c r="DM37" i="8" a="1"/>
  <c r="DM37" i="8" s="1"/>
  <c r="DT30" i="8" a="1"/>
  <c r="DT30" i="8" s="1"/>
  <c r="DL24" i="8" a="1"/>
  <c r="DL24" i="8" s="1"/>
  <c r="DS17" i="8" a="1"/>
  <c r="DS17" i="8" s="1"/>
  <c r="DU35" i="8" a="1"/>
  <c r="DU35" i="8" s="1"/>
  <c r="DM29" i="8" a="1"/>
  <c r="DM29" i="8" s="1"/>
  <c r="DT22" i="8" a="1"/>
  <c r="DT22" i="8" s="1"/>
  <c r="DL16" i="8" a="1"/>
  <c r="DL16" i="8" s="1"/>
  <c r="DT35" i="8" a="1"/>
  <c r="DT35" i="8" s="1"/>
  <c r="DL29" i="8" a="1"/>
  <c r="DL29" i="8" s="1"/>
  <c r="DS22" i="8" a="1"/>
  <c r="DS22" i="8" s="1"/>
  <c r="DK16" i="8" a="1"/>
  <c r="DK16" i="8" s="1"/>
  <c r="DT34" i="8" a="1"/>
  <c r="DT34" i="8" s="1"/>
  <c r="DL28" i="8" a="1"/>
  <c r="DL28" i="8" s="1"/>
  <c r="DS21" i="8" a="1"/>
  <c r="DS21" i="8" s="1"/>
  <c r="DK15" i="8" a="1"/>
  <c r="DK15" i="8" s="1"/>
  <c r="DT33" i="8" a="1"/>
  <c r="DT33" i="8" s="1"/>
  <c r="DL27" i="8" a="1"/>
  <c r="DL27" i="8" s="1"/>
  <c r="DS20" i="8" a="1"/>
  <c r="DS20" i="8" s="1"/>
  <c r="DM39" i="8" a="1"/>
  <c r="DM39" i="8" s="1"/>
  <c r="DT32" i="8" a="1"/>
  <c r="DT32" i="8" s="1"/>
  <c r="DL26" i="8" a="1"/>
  <c r="DL26" i="8" s="1"/>
  <c r="DS19" i="8" a="1"/>
  <c r="DS19" i="8" s="1"/>
  <c r="DM38" i="8" a="1"/>
  <c r="DM38" i="8" s="1"/>
  <c r="DT31" i="8" a="1"/>
  <c r="DT31" i="8" s="1"/>
  <c r="DL25" i="8" a="1"/>
  <c r="DL25" i="8" s="1"/>
  <c r="DS18" i="8" a="1"/>
  <c r="DS18" i="8" s="1"/>
  <c r="DU36" i="8" a="1"/>
  <c r="DU36" i="8" s="1"/>
  <c r="DM30" i="8" a="1"/>
  <c r="DM30" i="8" s="1"/>
  <c r="DT23" i="8" a="1"/>
  <c r="DT23" i="8" s="1"/>
  <c r="DL17" i="8" a="1"/>
  <c r="DL17" i="8" s="1"/>
  <c r="DN35" i="8" a="1"/>
  <c r="DN35" i="8" s="1"/>
  <c r="DU28" i="8" a="1"/>
  <c r="DU28" i="8" s="1"/>
  <c r="DM22" i="8" a="1"/>
  <c r="DM22" i="8" s="1"/>
  <c r="DT15" i="8" a="1"/>
  <c r="DT15" i="8" s="1"/>
  <c r="DM35" i="8" a="1"/>
  <c r="DM35" i="8" s="1"/>
  <c r="DT28" i="8" a="1"/>
  <c r="DT28" i="8" s="1"/>
  <c r="DL22" i="8" a="1"/>
  <c r="DL22" i="8" s="1"/>
  <c r="DS15" i="8" a="1"/>
  <c r="DS15" i="8" s="1"/>
  <c r="DM34" i="8" a="1"/>
  <c r="DM34" i="8" s="1"/>
  <c r="DT27" i="8" a="1"/>
  <c r="DT27" i="8" s="1"/>
  <c r="DL21" i="8" a="1"/>
  <c r="DL21" i="8" s="1"/>
  <c r="DU39" i="8" a="1"/>
  <c r="DU39" i="8" s="1"/>
  <c r="DM33" i="8" a="1"/>
  <c r="DM33" i="8" s="1"/>
  <c r="DT26" i="8" a="1"/>
  <c r="DT26" i="8" s="1"/>
  <c r="DL20" i="8" a="1"/>
  <c r="DL20" i="8" s="1"/>
  <c r="DU38" i="8" a="1"/>
  <c r="DU38" i="8" s="1"/>
  <c r="DM32" i="8" a="1"/>
  <c r="DM32" i="8" s="1"/>
  <c r="DT25" i="8" a="1"/>
  <c r="DT25" i="8" s="1"/>
  <c r="DL19" i="8" a="1"/>
  <c r="DL19" i="8" s="1"/>
  <c r="DU37" i="8" a="1"/>
  <c r="DU37" i="8" s="1"/>
  <c r="DM31" i="8" a="1"/>
  <c r="DM31" i="8" s="1"/>
  <c r="DT24" i="8" a="1"/>
  <c r="DT24" i="8" s="1"/>
  <c r="DL18" i="8" a="1"/>
  <c r="DL18" i="8" s="1"/>
  <c r="DN36" i="8" a="1"/>
  <c r="DN36" i="8" s="1"/>
  <c r="DU29" i="8" a="1"/>
  <c r="DU29" i="8" s="1"/>
  <c r="DM23" i="8" a="1"/>
  <c r="DM23" i="8" s="1"/>
  <c r="DT16" i="8" a="1"/>
  <c r="DT16" i="8" s="1"/>
  <c r="DV34" i="8" a="1"/>
  <c r="DV34" i="8" s="1"/>
  <c r="DN28" i="8" a="1"/>
  <c r="DN28" i="8" s="1"/>
  <c r="DU21" i="8" a="1"/>
  <c r="DU21" i="8" s="1"/>
  <c r="DM15" i="8" a="1"/>
  <c r="DM15" i="8" s="1"/>
  <c r="DU34" i="8" a="1"/>
  <c r="DU34" i="8" s="1"/>
  <c r="DM28" i="8" a="1"/>
  <c r="DM28" i="8" s="1"/>
  <c r="DT21" i="8" a="1"/>
  <c r="DT21" i="8" s="1"/>
  <c r="DL15" i="8" a="1"/>
  <c r="DL15" i="8" s="1"/>
  <c r="DU33" i="8" a="1"/>
  <c r="DU33" i="8" s="1"/>
  <c r="DM27" i="8" a="1"/>
  <c r="DM27" i="8" s="1"/>
  <c r="DT20" i="8" a="1"/>
  <c r="DT20" i="8" s="1"/>
  <c r="DN39" i="8" a="1"/>
  <c r="DN39" i="8" s="1"/>
  <c r="DU32" i="8" a="1"/>
  <c r="DU32" i="8" s="1"/>
  <c r="DM26" i="8" a="1"/>
  <c r="DM26" i="8" s="1"/>
  <c r="DT19" i="8" a="1"/>
  <c r="DT19" i="8" s="1"/>
  <c r="DN38" i="8" a="1"/>
  <c r="DN38" i="8" s="1"/>
  <c r="DU31" i="8" a="1"/>
  <c r="DU31" i="8" s="1"/>
  <c r="DM25" i="8" a="1"/>
  <c r="DM25" i="8" s="1"/>
  <c r="DT18" i="8" a="1"/>
  <c r="DT18" i="8" s="1"/>
  <c r="DN37" i="8" a="1"/>
  <c r="DN37" i="8" s="1"/>
  <c r="DU30" i="8" a="1"/>
  <c r="DU30" i="8" s="1"/>
  <c r="DM24" i="8" a="1"/>
  <c r="DM24" i="8" s="1"/>
  <c r="DT17" i="8" a="1"/>
  <c r="DT17" i="8" s="1"/>
  <c r="DV35" i="8" a="1"/>
  <c r="DV35" i="8" s="1"/>
  <c r="DN29" i="8" a="1"/>
  <c r="DN29" i="8" s="1"/>
  <c r="DU22" i="8" a="1"/>
  <c r="DU22" i="8" s="1"/>
  <c r="DM16" i="8" a="1"/>
  <c r="DM16" i="8" s="1"/>
  <c r="DO34" i="8" a="1"/>
  <c r="DO34" i="8" s="1"/>
  <c r="DV27" i="8" a="1"/>
  <c r="DV27" i="8" s="1"/>
  <c r="DN21" i="8" a="1"/>
  <c r="DN21" i="8" s="1"/>
  <c r="DN34" i="8" a="1"/>
  <c r="DN34" i="8" s="1"/>
  <c r="DU27" i="8" a="1"/>
  <c r="DU27" i="8" s="1"/>
  <c r="DM21" i="8" a="1"/>
  <c r="DM21" i="8" s="1"/>
  <c r="DV39" i="8" a="1"/>
  <c r="DV39" i="8" s="1"/>
  <c r="DN33" i="8" a="1"/>
  <c r="DN33" i="8" s="1"/>
  <c r="DU26" i="8" a="1"/>
  <c r="DU26" i="8" s="1"/>
  <c r="DM20" i="8" a="1"/>
  <c r="DM20" i="8" s="1"/>
  <c r="DV38" i="8" a="1"/>
  <c r="DV38" i="8" s="1"/>
  <c r="DN32" i="8" a="1"/>
  <c r="DN32" i="8" s="1"/>
  <c r="DU25" i="8" a="1"/>
  <c r="DU25" i="8" s="1"/>
  <c r="DM19" i="8" a="1"/>
  <c r="DM19" i="8" s="1"/>
  <c r="DV37" i="8" a="1"/>
  <c r="DV37" i="8" s="1"/>
  <c r="DN31" i="8" a="1"/>
  <c r="DN31" i="8" s="1"/>
  <c r="DU24" i="8" a="1"/>
  <c r="DU24" i="8" s="1"/>
  <c r="DM18" i="8" a="1"/>
  <c r="DM18" i="8" s="1"/>
  <c r="DV36" i="8" a="1"/>
  <c r="DV36" i="8" s="1"/>
  <c r="DN30" i="8" a="1"/>
  <c r="DN30" i="8" s="1"/>
  <c r="DU23" i="8" a="1"/>
  <c r="DU23" i="8" s="1"/>
  <c r="DM17" i="8" a="1"/>
  <c r="DM17" i="8" s="1"/>
  <c r="DO35" i="8" a="1"/>
  <c r="DO35" i="8" s="1"/>
  <c r="DV28" i="8" a="1"/>
  <c r="DV28" i="8" s="1"/>
  <c r="DN22" i="8" a="1"/>
  <c r="DN22" i="8" s="1"/>
  <c r="DU15" i="8" a="1"/>
  <c r="DU15" i="8" s="1"/>
  <c r="DW33" i="8" a="1"/>
  <c r="DW33" i="8" s="1"/>
  <c r="DO27" i="8" a="1"/>
  <c r="DO27" i="8" s="1"/>
  <c r="DV20" i="8" a="1"/>
  <c r="DV20" i="8" s="1"/>
  <c r="DV33" i="8" a="1"/>
  <c r="DV33" i="8" s="1"/>
  <c r="DN27" i="8" a="1"/>
  <c r="DN27" i="8" s="1"/>
  <c r="DU20" i="8" a="1"/>
  <c r="DU20" i="8" s="1"/>
  <c r="DO39" i="8" a="1"/>
  <c r="DO39" i="8" s="1"/>
  <c r="DV32" i="8" a="1"/>
  <c r="DV32" i="8" s="1"/>
  <c r="DN26" i="8" a="1"/>
  <c r="DN26" i="8" s="1"/>
  <c r="DU19" i="8" a="1"/>
  <c r="DU19" i="8" s="1"/>
  <c r="DO38" i="8" a="1"/>
  <c r="DO38" i="8" s="1"/>
  <c r="DV31" i="8" a="1"/>
  <c r="DV31" i="8" s="1"/>
  <c r="DN25" i="8" a="1"/>
  <c r="DN25" i="8" s="1"/>
  <c r="DU18" i="8" a="1"/>
  <c r="DU18" i="8" s="1"/>
  <c r="DO37" i="8" a="1"/>
  <c r="DO37" i="8" s="1"/>
  <c r="DV30" i="8" a="1"/>
  <c r="DV30" i="8" s="1"/>
  <c r="DN24" i="8" a="1"/>
  <c r="DN24" i="8" s="1"/>
  <c r="DU17" i="8" a="1"/>
  <c r="DU17" i="8" s="1"/>
  <c r="DO36" i="8" a="1"/>
  <c r="DO36" i="8" s="1"/>
  <c r="DV29" i="8" a="1"/>
  <c r="DV29" i="8" s="1"/>
  <c r="DN23" i="8" a="1"/>
  <c r="DN23" i="8" s="1"/>
  <c r="DU16" i="8" a="1"/>
  <c r="DU16" i="8" s="1"/>
  <c r="DW34" i="8" a="1"/>
  <c r="DW34" i="8" s="1"/>
  <c r="DO28" i="8" a="1"/>
  <c r="DO28" i="8" s="1"/>
  <c r="DV21" i="8" a="1"/>
  <c r="DV21" i="8" s="1"/>
  <c r="DN15" i="8" a="1"/>
  <c r="DN15" i="8" s="1"/>
  <c r="DP33" i="8" a="1"/>
  <c r="DP33" i="8" s="1"/>
  <c r="DW26" i="8" a="1"/>
  <c r="DW26" i="8" s="1"/>
  <c r="DO20" i="8" a="1"/>
  <c r="DO20" i="8" s="1"/>
  <c r="DH39" i="8" a="1"/>
  <c r="DH39" i="8" s="1"/>
  <c r="DH22" i="8" a="1"/>
  <c r="DH22" i="8" s="1"/>
  <c r="DH32" i="8" a="1"/>
  <c r="DH32" i="8" s="1"/>
  <c r="DH35" i="8" a="1"/>
  <c r="DH35" i="8" s="1"/>
  <c r="DH25" i="8" a="1"/>
  <c r="DH25" i="8" s="1"/>
  <c r="DH28" i="8" a="1"/>
  <c r="DH28" i="8" s="1"/>
  <c r="DH18" i="8" a="1"/>
  <c r="DH18" i="8" s="1"/>
  <c r="DH21" i="8" a="1"/>
  <c r="DH21" i="8" s="1"/>
  <c r="DH38" i="8" a="1"/>
  <c r="DH38" i="8" s="1"/>
  <c r="DH34" i="8" a="1"/>
  <c r="DH34" i="8" s="1"/>
  <c r="DH31" i="8" a="1"/>
  <c r="DH31" i="8" s="1"/>
  <c r="DH27" i="8" a="1"/>
  <c r="DH27" i="8" s="1"/>
  <c r="DH24" i="8" a="1"/>
  <c r="DH24" i="8" s="1"/>
  <c r="DH20" i="8" a="1"/>
  <c r="DH20" i="8" s="1"/>
  <c r="DH17" i="8" a="1"/>
  <c r="DH17" i="8" s="1"/>
  <c r="DH33" i="8" a="1"/>
  <c r="DH33" i="8" s="1"/>
  <c r="DH37" i="8" a="1"/>
  <c r="DH37" i="8" s="1"/>
  <c r="DH26" i="8" a="1"/>
  <c r="DH26" i="8" s="1"/>
  <c r="DH30" i="8" a="1"/>
  <c r="DH30" i="8" s="1"/>
  <c r="DH19" i="8" a="1"/>
  <c r="DH19" i="8" s="1"/>
  <c r="DH23" i="8" a="1"/>
  <c r="DH23" i="8" s="1"/>
  <c r="DH16" i="8" a="1"/>
  <c r="DH16" i="8" s="1"/>
  <c r="DH36" i="8" a="1"/>
  <c r="DH36" i="8" s="1"/>
  <c r="DH29" i="8" a="1"/>
  <c r="DH29" i="8" s="1"/>
  <c r="DH15" i="8" a="1"/>
  <c r="DH15" i="8" s="1"/>
  <c r="DQ15" i="7" a="1"/>
  <c r="DQ15" i="7" s="1"/>
  <c r="EZ16" i="7" a="1"/>
  <c r="EZ16" i="7" s="1"/>
  <c r="DX18" i="7" a="1"/>
  <c r="DX18" i="7" s="1"/>
  <c r="ET16" i="7" a="1"/>
  <c r="ET16" i="7" s="1"/>
  <c r="EB15" i="7" a="1"/>
  <c r="EB15" i="7" s="1"/>
  <c r="EN17" i="7" a="1"/>
  <c r="EN17" i="7" s="1"/>
  <c r="FT21" i="7" a="1"/>
  <c r="FT21" i="7" s="1"/>
  <c r="EO18" i="7" a="1"/>
  <c r="EO18" i="7" s="1"/>
  <c r="EC20" i="7" a="1"/>
  <c r="EC20" i="7" s="1"/>
  <c r="DT15" i="7" a="1"/>
  <c r="DT15" i="7" s="1"/>
  <c r="ED17" i="7" a="1"/>
  <c r="ED17" i="7" s="1"/>
  <c r="FU21" i="7" a="1"/>
  <c r="FU21" i="7" s="1"/>
  <c r="ER19" i="7" a="1"/>
  <c r="ER19" i="7" s="1"/>
  <c r="EX19" i="7" a="1"/>
  <c r="EX19" i="7" s="1"/>
  <c r="ED23" i="7" a="1"/>
  <c r="ED23" i="7" s="1"/>
  <c r="EN26" i="7" a="1"/>
  <c r="EN26" i="7" s="1"/>
  <c r="FW27" i="7" a="1"/>
  <c r="FW27" i="7" s="1"/>
  <c r="DV15" i="7" a="1"/>
  <c r="DV15" i="7" s="1"/>
  <c r="DV18" i="7" a="1"/>
  <c r="DV18" i="7" s="1"/>
  <c r="EM23" i="7" a="1"/>
  <c r="EM23" i="7" s="1"/>
  <c r="FW17" i="7" a="1"/>
  <c r="FW17" i="7" s="1"/>
  <c r="FL20" i="7" a="1"/>
  <c r="FL20" i="7" s="1"/>
  <c r="FL24" i="7" a="1"/>
  <c r="FL24" i="7" s="1"/>
  <c r="FX26" i="7" a="1"/>
  <c r="FX26" i="7" s="1"/>
  <c r="EP16" i="7" a="1"/>
  <c r="EP16" i="7" s="1"/>
  <c r="FQ21" i="7" a="1"/>
  <c r="FQ21" i="7" s="1"/>
  <c r="DZ15" i="7" a="1"/>
  <c r="DZ15" i="7" s="1"/>
  <c r="FC18" i="7" a="1"/>
  <c r="FC18" i="7" s="1"/>
  <c r="EQ25" i="7" a="1"/>
  <c r="EQ25" i="7" s="1"/>
  <c r="FC30" i="7" a="1"/>
  <c r="FC30" i="7" s="1"/>
  <c r="FJ33" i="7" a="1"/>
  <c r="FJ33" i="7" s="1"/>
  <c r="ER36" i="7" a="1"/>
  <c r="ER36" i="7" s="1"/>
  <c r="FI21" i="7" a="1"/>
  <c r="FI21" i="7" s="1"/>
  <c r="EX24" i="7" a="1"/>
  <c r="EX24" i="7" s="1"/>
  <c r="GA27" i="7" a="1"/>
  <c r="GA27" i="7" s="1"/>
  <c r="DY30" i="7" a="1"/>
  <c r="DY30" i="7" s="1"/>
  <c r="ED15" i="7" a="1"/>
  <c r="ED15" i="7" s="1"/>
  <c r="FR20" i="7" a="1"/>
  <c r="FR20" i="7" s="1"/>
  <c r="ES27" i="7" a="1"/>
  <c r="ES27" i="7" s="1"/>
  <c r="EQ32" i="7" a="1"/>
  <c r="EQ32" i="7" s="1"/>
  <c r="EA22" i="7" a="1"/>
  <c r="EA22" i="7" s="1"/>
  <c r="DQ25" i="7" a="1"/>
  <c r="DQ25" i="7" s="1"/>
  <c r="EX28" i="7" a="1"/>
  <c r="EX28" i="7" s="1"/>
  <c r="FD15" i="7" a="1"/>
  <c r="FD15" i="7" s="1"/>
  <c r="FJ19" i="7" a="1"/>
  <c r="FJ19" i="7" s="1"/>
  <c r="FA29" i="7" a="1"/>
  <c r="FA29" i="7" s="1"/>
  <c r="FG33" i="7" a="1"/>
  <c r="FG33" i="7" s="1"/>
  <c r="FX36" i="7" a="1"/>
  <c r="FX36" i="7" s="1"/>
  <c r="EV38" i="7" a="1"/>
  <c r="EV38" i="7" s="1"/>
  <c r="DT40" i="7" a="1"/>
  <c r="DT40" i="7" s="1"/>
  <c r="FM23" i="7" a="1"/>
  <c r="FM23" i="7" s="1"/>
  <c r="EA28" i="7" a="1"/>
  <c r="EA28" i="7" s="1"/>
  <c r="FF31" i="7" a="1"/>
  <c r="FF31" i="7" s="1"/>
  <c r="EE35" i="7" a="1"/>
  <c r="EE35" i="7" s="1"/>
  <c r="EU20" i="7" a="1"/>
  <c r="EU20" i="7" s="1"/>
  <c r="FX29" i="7" a="1"/>
  <c r="FX29" i="7" s="1"/>
  <c r="FP33" i="7" a="1"/>
  <c r="FP33" i="7" s="1"/>
  <c r="EB37" i="7" a="1"/>
  <c r="EB37" i="7" s="1"/>
  <c r="ED22" i="7" a="1"/>
  <c r="ED22" i="7" s="1"/>
  <c r="DQ26" i="7" a="1"/>
  <c r="DQ26" i="7" s="1"/>
  <c r="FC29" i="7" a="1"/>
  <c r="FC29" i="7" s="1"/>
  <c r="FX17" i="7" a="1"/>
  <c r="FX17" i="7" s="1"/>
  <c r="ER21" i="7" a="1"/>
  <c r="ER21" i="7" s="1"/>
  <c r="FD17" i="7" a="1"/>
  <c r="FD17" i="7" s="1"/>
  <c r="ET31" i="7" a="1"/>
  <c r="ET31" i="7" s="1"/>
  <c r="FF37" i="7" a="1"/>
  <c r="FF37" i="7" s="1"/>
  <c r="FD39" i="7" a="1"/>
  <c r="FD39" i="7" s="1"/>
  <c r="EI42" i="7" a="1"/>
  <c r="EI42" i="7" s="1"/>
  <c r="FL44" i="7" a="1"/>
  <c r="FL44" i="7" s="1"/>
  <c r="EJ46" i="7" a="1"/>
  <c r="EJ46" i="7" s="1"/>
  <c r="DV25" i="7" a="1"/>
  <c r="DV25" i="7" s="1"/>
  <c r="EM30" i="7" a="1"/>
  <c r="EM30" i="7" s="1"/>
  <c r="DW34" i="7" a="1"/>
  <c r="DW34" i="7" s="1"/>
  <c r="EV40" i="7" a="1"/>
  <c r="EV40" i="7" s="1"/>
  <c r="FF20" i="7" a="1"/>
  <c r="FF20" i="7" s="1"/>
  <c r="EP30" i="7" a="1"/>
  <c r="EP30" i="7" s="1"/>
  <c r="FP36" i="7" a="1"/>
  <c r="FP36" i="7" s="1"/>
  <c r="EF39" i="7" a="1"/>
  <c r="EF39" i="7" s="1"/>
  <c r="FI41" i="7" a="1"/>
  <c r="FI41" i="7" s="1"/>
  <c r="ER44" i="7" a="1"/>
  <c r="ER44" i="7" s="1"/>
  <c r="DW19" i="7" a="1"/>
  <c r="DW19" i="7" s="1"/>
  <c r="ED28" i="7" a="1"/>
  <c r="ED28" i="7" s="1"/>
  <c r="FD33" i="7" a="1"/>
  <c r="FD33" i="7" s="1"/>
  <c r="FP37" i="7" a="1"/>
  <c r="FP37" i="7" s="1"/>
  <c r="FM20" i="7" a="1"/>
  <c r="FM20" i="7" s="1"/>
  <c r="EF19" i="7" a="1"/>
  <c r="EF19" i="7" s="1"/>
  <c r="FE24" i="7" a="1"/>
  <c r="FE24" i="7" s="1"/>
  <c r="FD32" i="7" a="1"/>
  <c r="FD32" i="7" s="1"/>
  <c r="ES37" i="7" a="1"/>
  <c r="ES37" i="7" s="1"/>
  <c r="EX26" i="7" a="1"/>
  <c r="EX26" i="7" s="1"/>
  <c r="EI35" i="7" a="1"/>
  <c r="EI35" i="7" s="1"/>
  <c r="FM41" i="7" a="1"/>
  <c r="FM41" i="7" s="1"/>
  <c r="DQ47" i="7" a="1"/>
  <c r="DQ47" i="7" s="1"/>
  <c r="EZ48" i="7" a="1"/>
  <c r="EZ48" i="7" s="1"/>
  <c r="DX50" i="7" a="1"/>
  <c r="DX50" i="7" s="1"/>
  <c r="EF21" i="7" a="1"/>
  <c r="EF21" i="7" s="1"/>
  <c r="FN34" i="7" a="1"/>
  <c r="FN34" i="7" s="1"/>
  <c r="FK39" i="7" a="1"/>
  <c r="FK39" i="7" s="1"/>
  <c r="FC43" i="7" a="1"/>
  <c r="FC43" i="7" s="1"/>
  <c r="ER46" i="7" a="1"/>
  <c r="ER46" i="7" s="1"/>
  <c r="FL31" i="7" a="1"/>
  <c r="FL31" i="7" s="1"/>
  <c r="ED37" i="7" a="1"/>
  <c r="ED37" i="7" s="1"/>
  <c r="EL43" i="7" a="1"/>
  <c r="EL43" i="7" s="1"/>
  <c r="FA47" i="7" a="1"/>
  <c r="FA47" i="7" s="1"/>
  <c r="DY49" i="7" a="1"/>
  <c r="DY49" i="7" s="1"/>
  <c r="FH50" i="7" a="1"/>
  <c r="FH50" i="7" s="1"/>
  <c r="EK25" i="7" a="1"/>
  <c r="EK25" i="7" s="1"/>
  <c r="FQ35" i="7" a="1"/>
  <c r="FQ35" i="7" s="1"/>
  <c r="FN39" i="7" a="1"/>
  <c r="FN39" i="7" s="1"/>
  <c r="EB44" i="7" a="1"/>
  <c r="EB44" i="7" s="1"/>
  <c r="EC18" i="7" a="1"/>
  <c r="EC18" i="7" s="1"/>
  <c r="FN32" i="7" a="1"/>
  <c r="FN32" i="7" s="1"/>
  <c r="FQ29" i="7" a="1"/>
  <c r="FQ29" i="7" s="1"/>
  <c r="EA36" i="7" a="1"/>
  <c r="EA36" i="7" s="1"/>
  <c r="DX43" i="7" a="1"/>
  <c r="DX43" i="7" s="1"/>
  <c r="EP47" i="7" a="1"/>
  <c r="EP47" i="7" s="1"/>
  <c r="FR33" i="7" a="1"/>
  <c r="FR33" i="7" s="1"/>
  <c r="FO41" i="7" a="1"/>
  <c r="FO41" i="7" s="1"/>
  <c r="DT48" i="7" a="1"/>
  <c r="DT48" i="7" s="1"/>
  <c r="DV56" i="7" a="1"/>
  <c r="DV56" i="7" s="1"/>
  <c r="EC59" i="7" a="1"/>
  <c r="EC59" i="7" s="1"/>
  <c r="FO28" i="7" a="1"/>
  <c r="FO28" i="7" s="1"/>
  <c r="EZ38" i="7" a="1"/>
  <c r="EZ38" i="7" s="1"/>
  <c r="EW43" i="7" a="1"/>
  <c r="EW43" i="7" s="1"/>
  <c r="EO48" i="7" a="1"/>
  <c r="EO48" i="7" s="1"/>
  <c r="EY50" i="7" a="1"/>
  <c r="EY50" i="7" s="1"/>
  <c r="EX52" i="7" a="1"/>
  <c r="EX52" i="7" s="1"/>
  <c r="EE28" i="7" a="1"/>
  <c r="EE28" i="7" s="1"/>
  <c r="FU38" i="7" a="1"/>
  <c r="FU38" i="7" s="1"/>
  <c r="EV46" i="7" a="1"/>
  <c r="EV46" i="7" s="1"/>
  <c r="EO55" i="7" a="1"/>
  <c r="EO55" i="7" s="1"/>
  <c r="DW21" i="7" a="1"/>
  <c r="DW21" i="7" s="1"/>
  <c r="FD38" i="7" a="1"/>
  <c r="FD38" i="7" s="1"/>
  <c r="FX43" i="7" a="1"/>
  <c r="FX43" i="7" s="1"/>
  <c r="FJ48" i="7" a="1"/>
  <c r="FJ48" i="7" s="1"/>
  <c r="FT50" i="7" a="1"/>
  <c r="FT50" i="7" s="1"/>
  <c r="FH34" i="7" a="1"/>
  <c r="FH34" i="7" s="1"/>
  <c r="EP36" i="7" a="1"/>
  <c r="EP36" i="7" s="1"/>
  <c r="FA43" i="7" a="1"/>
  <c r="FA43" i="7" s="1"/>
  <c r="FN20" i="7" a="1"/>
  <c r="FN20" i="7" s="1"/>
  <c r="EQ43" i="7" a="1"/>
  <c r="EQ43" i="7" s="1"/>
  <c r="FW51" i="7" a="1"/>
  <c r="FW51" i="7" s="1"/>
  <c r="DS56" i="7" a="1"/>
  <c r="DS56" i="7" s="1"/>
  <c r="FE58" i="7" a="1"/>
  <c r="FE58" i="7" s="1"/>
  <c r="FY62" i="7" a="1"/>
  <c r="FY62" i="7" s="1"/>
  <c r="DU66" i="7" a="1"/>
  <c r="DU66" i="7" s="1"/>
  <c r="FJ25" i="7" a="1"/>
  <c r="FJ25" i="7" s="1"/>
  <c r="EO45" i="7" a="1"/>
  <c r="EO45" i="7" s="1"/>
  <c r="DW52" i="7" a="1"/>
  <c r="DW52" i="7" s="1"/>
  <c r="EU55" i="7" a="1"/>
  <c r="EU55" i="7" s="1"/>
  <c r="EQ59" i="7" a="1"/>
  <c r="EQ59" i="7" s="1"/>
  <c r="FM61" i="7" a="1"/>
  <c r="FM61" i="7" s="1"/>
  <c r="DZ33" i="7" a="1"/>
  <c r="DZ33" i="7" s="1"/>
  <c r="ER43" i="7" a="1"/>
  <c r="ER43" i="7" s="1"/>
  <c r="EP49" i="7" a="1"/>
  <c r="EP49" i="7" s="1"/>
  <c r="FO53" i="7" a="1"/>
  <c r="FO53" i="7" s="1"/>
  <c r="FB57" i="7" a="1"/>
  <c r="FB57" i="7" s="1"/>
  <c r="EQ61" i="7" a="1"/>
  <c r="EQ61" i="7" s="1"/>
  <c r="EX64" i="7" a="1"/>
  <c r="EX64" i="7" s="1"/>
  <c r="FQ33" i="7" a="1"/>
  <c r="FQ33" i="7" s="1"/>
  <c r="EQ47" i="7" a="1"/>
  <c r="EQ47" i="7" s="1"/>
  <c r="FG52" i="7" a="1"/>
  <c r="FG52" i="7" s="1"/>
  <c r="FU56" i="7" a="1"/>
  <c r="FU56" i="7" s="1"/>
  <c r="DV60" i="7" a="1"/>
  <c r="DV60" i="7" s="1"/>
  <c r="DW63" i="7" a="1"/>
  <c r="DW63" i="7" s="1"/>
  <c r="EQ40" i="7" a="1"/>
  <c r="EQ40" i="7" s="1"/>
  <c r="EZ40" i="7" a="1"/>
  <c r="EZ40" i="7" s="1"/>
  <c r="EW49" i="7" a="1"/>
  <c r="EW49" i="7" s="1"/>
  <c r="GA54" i="7" a="1"/>
  <c r="GA54" i="7" s="1"/>
  <c r="EK58" i="7" a="1"/>
  <c r="EK58" i="7" s="1"/>
  <c r="FB61" i="7" a="1"/>
  <c r="FB61" i="7" s="1"/>
  <c r="DZ34" i="7" a="1"/>
  <c r="DZ34" i="7" s="1"/>
  <c r="EH49" i="7" a="1"/>
  <c r="EH49" i="7" s="1"/>
  <c r="EF55" i="7" a="1"/>
  <c r="EF55" i="7" s="1"/>
  <c r="EU60" i="7" a="1"/>
  <c r="EU60" i="7" s="1"/>
  <c r="EA65" i="7" a="1"/>
  <c r="EA65" i="7" s="1"/>
  <c r="FR68" i="7" a="1"/>
  <c r="FR68" i="7" s="1"/>
  <c r="FN70" i="7" a="1"/>
  <c r="FN70" i="7" s="1"/>
  <c r="EL72" i="7" a="1"/>
  <c r="EL72" i="7" s="1"/>
  <c r="FU73" i="7" a="1"/>
  <c r="FU73" i="7" s="1"/>
  <c r="FT42" i="7" a="1"/>
  <c r="FT42" i="7" s="1"/>
  <c r="FR51" i="7" a="1"/>
  <c r="FR51" i="7" s="1"/>
  <c r="EY56" i="7" a="1"/>
  <c r="EY56" i="7" s="1"/>
  <c r="DU63" i="7" a="1"/>
  <c r="DU63" i="7" s="1"/>
  <c r="EX66" i="7" a="1"/>
  <c r="EX66" i="7" s="1"/>
  <c r="FO29" i="7" a="1"/>
  <c r="FO29" i="7" s="1"/>
  <c r="EI49" i="7" a="1"/>
  <c r="EI49" i="7" s="1"/>
  <c r="FI55" i="7" a="1"/>
  <c r="FI55" i="7" s="1"/>
  <c r="ER61" i="7" a="1"/>
  <c r="ER61" i="7" s="1"/>
  <c r="DR66" i="7" a="1"/>
  <c r="DR66" i="7" s="1"/>
  <c r="EL69" i="7" a="1"/>
  <c r="EL69" i="7" s="1"/>
  <c r="DR71" i="7" a="1"/>
  <c r="DR71" i="7" s="1"/>
  <c r="FA72" i="7" a="1"/>
  <c r="FA72" i="7" s="1"/>
  <c r="DY74" i="7" a="1"/>
  <c r="DY74" i="7" s="1"/>
  <c r="EV41" i="7" a="1"/>
  <c r="EV41" i="7" s="1"/>
  <c r="GA53" i="7" a="1"/>
  <c r="GA53" i="7" s="1"/>
  <c r="EV58" i="7" a="1"/>
  <c r="EV58" i="7" s="1"/>
  <c r="FN63" i="7" a="1"/>
  <c r="FN63" i="7" s="1"/>
  <c r="FX66" i="7" a="1"/>
  <c r="FX66" i="7" s="1"/>
  <c r="EF42" i="7" a="1"/>
  <c r="EF42" i="7" s="1"/>
  <c r="FU51" i="7" a="1"/>
  <c r="FU51" i="7" s="1"/>
  <c r="DU41" i="7" a="1"/>
  <c r="DU41" i="7" s="1"/>
  <c r="EF52" i="7" a="1"/>
  <c r="EF52" i="7" s="1"/>
  <c r="FL57" i="7" a="1"/>
  <c r="FL57" i="7" s="1"/>
  <c r="EN63" i="7" a="1"/>
  <c r="EN63" i="7" s="1"/>
  <c r="EF67" i="7" a="1"/>
  <c r="EF67" i="7" s="1"/>
  <c r="FD69" i="7" a="1"/>
  <c r="FD69" i="7" s="1"/>
  <c r="EB71" i="7" a="1"/>
  <c r="EB71" i="7" s="1"/>
  <c r="FK72" i="7" a="1"/>
  <c r="FK72" i="7" s="1"/>
  <c r="FW49" i="7" a="1"/>
  <c r="FW49" i="7" s="1"/>
  <c r="EP59" i="7" a="1"/>
  <c r="EP59" i="7" s="1"/>
  <c r="FY65" i="7" a="1"/>
  <c r="FY65" i="7" s="1"/>
  <c r="ED70" i="7" a="1"/>
  <c r="ED70" i="7" s="1"/>
  <c r="EG74" i="7" a="1"/>
  <c r="EG74" i="7" s="1"/>
  <c r="EF83" i="7" a="1"/>
  <c r="EF83" i="7" s="1"/>
  <c r="DQ87" i="7" a="1"/>
  <c r="DQ87" i="7" s="1"/>
  <c r="DX90" i="7" a="1"/>
  <c r="DX90" i="7" s="1"/>
  <c r="FB92" i="7" a="1"/>
  <c r="FB92" i="7" s="1"/>
  <c r="FR52" i="7" a="1"/>
  <c r="FR52" i="7" s="1"/>
  <c r="EQ62" i="7" a="1"/>
  <c r="EQ62" i="7" s="1"/>
  <c r="FN67" i="7" a="1"/>
  <c r="FN67" i="7" s="1"/>
  <c r="FI74" i="7" a="1"/>
  <c r="FI74" i="7" s="1"/>
  <c r="EW76" i="7" a="1"/>
  <c r="EW76" i="7" s="1"/>
  <c r="EK78" i="7" a="1"/>
  <c r="EK78" i="7" s="1"/>
  <c r="DZ80" i="7" a="1"/>
  <c r="DZ80" i="7" s="1"/>
  <c r="FY81" i="7" a="1"/>
  <c r="FY81" i="7" s="1"/>
  <c r="FM83" i="7" a="1"/>
  <c r="FM83" i="7" s="1"/>
  <c r="FU86" i="7" a="1"/>
  <c r="FU86" i="7" s="1"/>
  <c r="DQ90" i="7" a="1"/>
  <c r="DQ90" i="7" s="1"/>
  <c r="GA42" i="7" a="1"/>
  <c r="GA42" i="7" s="1"/>
  <c r="FV56" i="7" a="1"/>
  <c r="FV56" i="7" s="1"/>
  <c r="ES64" i="7" a="1"/>
  <c r="ES64" i="7" s="1"/>
  <c r="EB69" i="7" a="1"/>
  <c r="EB69" i="7" s="1"/>
  <c r="FE73" i="7" a="1"/>
  <c r="FE73" i="7" s="1"/>
  <c r="FO80" i="7" a="1"/>
  <c r="FO80" i="7" s="1"/>
  <c r="DU86" i="7" a="1"/>
  <c r="DU86" i="7" s="1"/>
  <c r="EB89" i="7" a="1"/>
  <c r="EB89" i="7" s="1"/>
  <c r="EA92" i="7" a="1"/>
  <c r="EA92" i="7" s="1"/>
  <c r="FJ93" i="7" a="1"/>
  <c r="FJ93" i="7" s="1"/>
  <c r="GA33" i="7" a="1"/>
  <c r="GA33" i="7" s="1"/>
  <c r="FT54" i="7" a="1"/>
  <c r="FT54" i="7" s="1"/>
  <c r="FM62" i="7" a="1"/>
  <c r="FM62" i="7" s="1"/>
  <c r="FW69" i="7" a="1"/>
  <c r="FW69" i="7" s="1"/>
  <c r="EE75" i="7" a="1"/>
  <c r="EE75" i="7" s="1"/>
  <c r="DT77" i="7" a="1"/>
  <c r="DT77" i="7" s="1"/>
  <c r="FS78" i="7" a="1"/>
  <c r="FS78" i="7" s="1"/>
  <c r="FG80" i="7" a="1"/>
  <c r="FG80" i="7" s="1"/>
  <c r="EV82" i="7" a="1"/>
  <c r="EV82" i="7" s="1"/>
  <c r="FE84" i="7" a="1"/>
  <c r="FE84" i="7" s="1"/>
  <c r="GA21" i="7" a="1"/>
  <c r="GA21" i="7" s="1"/>
  <c r="FU54" i="7" a="1"/>
  <c r="FU54" i="7" s="1"/>
  <c r="EZ65" i="7" a="1"/>
  <c r="EZ65" i="7" s="1"/>
  <c r="EP69" i="7" a="1"/>
  <c r="EP69" i="7" s="1"/>
  <c r="FI57" i="7" a="1"/>
  <c r="FI57" i="7" s="1"/>
  <c r="EZ64" i="7" a="1"/>
  <c r="EZ64" i="7" s="1"/>
  <c r="FP69" i="7" a="1"/>
  <c r="FP69" i="7" s="1"/>
  <c r="DX15" i="7" a="1"/>
  <c r="DX15" i="7" s="1"/>
  <c r="FG16" i="7" a="1"/>
  <c r="FG16" i="7" s="1"/>
  <c r="DR15" i="7" a="1"/>
  <c r="DR15" i="7" s="1"/>
  <c r="FA16" i="7" a="1"/>
  <c r="FA16" i="7" s="1"/>
  <c r="EK15" i="7" a="1"/>
  <c r="EK15" i="7" s="1"/>
  <c r="EW17" i="7" a="1"/>
  <c r="EW17" i="7" s="1"/>
  <c r="DX22" i="7" a="1"/>
  <c r="DX22" i="7" s="1"/>
  <c r="EW18" i="7" a="1"/>
  <c r="EW18" i="7" s="1"/>
  <c r="EK20" i="7" a="1"/>
  <c r="EK20" i="7" s="1"/>
  <c r="EC15" i="7" a="1"/>
  <c r="EC15" i="7" s="1"/>
  <c r="EO17" i="7" a="1"/>
  <c r="EO17" i="7" s="1"/>
  <c r="DR22" i="7" a="1"/>
  <c r="DR22" i="7" s="1"/>
  <c r="EZ19" i="7" a="1"/>
  <c r="EZ19" i="7" s="1"/>
  <c r="FK19" i="7" a="1"/>
  <c r="FK19" i="7" s="1"/>
  <c r="EL23" i="7" a="1"/>
  <c r="EL23" i="7" s="1"/>
  <c r="EU26" i="7" a="1"/>
  <c r="EU26" i="7" s="1"/>
  <c r="DS28" i="7" a="1"/>
  <c r="DS28" i="7" s="1"/>
  <c r="EI15" i="7" a="1"/>
  <c r="EI15" i="7" s="1"/>
  <c r="ET18" i="7" a="1"/>
  <c r="ET18" i="7" s="1"/>
  <c r="EU23" i="7" a="1"/>
  <c r="EU23" i="7" s="1"/>
  <c r="EJ18" i="7" a="1"/>
  <c r="EJ18" i="7" s="1"/>
  <c r="FU20" i="7" a="1"/>
  <c r="FU20" i="7" s="1"/>
  <c r="GA24" i="7" a="1"/>
  <c r="GA24" i="7" s="1"/>
  <c r="DT27" i="7" a="1"/>
  <c r="DT27" i="7" s="1"/>
  <c r="FE16" i="7" a="1"/>
  <c r="FE16" i="7" s="1"/>
  <c r="FZ21" i="7" a="1"/>
  <c r="FZ21" i="7" s="1"/>
  <c r="EA15" i="7" a="1"/>
  <c r="EA15" i="7" s="1"/>
  <c r="FT18" i="7" a="1"/>
  <c r="FT18" i="7" s="1"/>
  <c r="EZ25" i="7" a="1"/>
  <c r="EZ25" i="7" s="1"/>
  <c r="FR30" i="7" a="1"/>
  <c r="FR30" i="7" s="1"/>
  <c r="FY33" i="7" a="1"/>
  <c r="FY33" i="7" s="1"/>
  <c r="EY36" i="7" a="1"/>
  <c r="EY36" i="7" s="1"/>
  <c r="FV21" i="7" a="1"/>
  <c r="FV21" i="7" s="1"/>
  <c r="FG24" i="7" a="1"/>
  <c r="FG24" i="7" s="1"/>
  <c r="DX28" i="7" a="1"/>
  <c r="DX28" i="7" s="1"/>
  <c r="EN30" i="7" a="1"/>
  <c r="EN30" i="7" s="1"/>
  <c r="FW15" i="7" a="1"/>
  <c r="FW15" i="7" s="1"/>
  <c r="DV21" i="7" a="1"/>
  <c r="DV21" i="7" s="1"/>
  <c r="EY29" i="7" a="1"/>
  <c r="EY29" i="7" s="1"/>
  <c r="FF32" i="7" a="1"/>
  <c r="FF32" i="7" s="1"/>
  <c r="EL22" i="7" a="1"/>
  <c r="EL22" i="7" s="1"/>
  <c r="DZ25" i="7" a="1"/>
  <c r="DZ25" i="7" s="1"/>
  <c r="FF28" i="7" a="1"/>
  <c r="FF28" i="7" s="1"/>
  <c r="DS16" i="7" a="1"/>
  <c r="DS16" i="7" s="1"/>
  <c r="DS20" i="7" a="1"/>
  <c r="DS20" i="7" s="1"/>
  <c r="FK29" i="7" a="1"/>
  <c r="FK29" i="7" s="1"/>
  <c r="FO33" i="7" a="1"/>
  <c r="FO33" i="7" s="1"/>
  <c r="DT37" i="7" a="1"/>
  <c r="DT37" i="7" s="1"/>
  <c r="FC38" i="7" a="1"/>
  <c r="FC38" i="7" s="1"/>
  <c r="FM16" i="7" a="1"/>
  <c r="FM16" i="7" s="1"/>
  <c r="DT24" i="7" a="1"/>
  <c r="DT24" i="7" s="1"/>
  <c r="EK28" i="7" a="1"/>
  <c r="EK28" i="7" s="1"/>
  <c r="FQ31" i="7" a="1"/>
  <c r="FQ31" i="7" s="1"/>
  <c r="EM35" i="7" a="1"/>
  <c r="EM35" i="7" s="1"/>
  <c r="FJ20" i="7" a="1"/>
  <c r="FJ20" i="7" s="1"/>
  <c r="ER30" i="7" a="1"/>
  <c r="ER30" i="7" s="1"/>
  <c r="DV34" i="7" a="1"/>
  <c r="DV34" i="7" s="1"/>
  <c r="EI37" i="7" a="1"/>
  <c r="EI37" i="7" s="1"/>
  <c r="EV22" i="7" a="1"/>
  <c r="EV22" i="7" s="1"/>
  <c r="EE26" i="7" a="1"/>
  <c r="EE26" i="7" s="1"/>
  <c r="DW30" i="7" a="1"/>
  <c r="DW30" i="7" s="1"/>
  <c r="EK18" i="7" a="1"/>
  <c r="EK18" i="7" s="1"/>
  <c r="EM22" i="7" a="1"/>
  <c r="EM22" i="7" s="1"/>
  <c r="EM18" i="7" a="1"/>
  <c r="EM18" i="7" s="1"/>
  <c r="FI31" i="7" a="1"/>
  <c r="FI31" i="7" s="1"/>
  <c r="FW37" i="7" a="1"/>
  <c r="FW37" i="7" s="1"/>
  <c r="FL39" i="7" a="1"/>
  <c r="FL39" i="7" s="1"/>
  <c r="EX42" i="7" a="1"/>
  <c r="EX42" i="7" s="1"/>
  <c r="FS44" i="7" a="1"/>
  <c r="FS44" i="7" s="1"/>
  <c r="EQ46" i="7" a="1"/>
  <c r="EQ46" i="7" s="1"/>
  <c r="EU25" i="7" a="1"/>
  <c r="EU25" i="7" s="1"/>
  <c r="FQ30" i="7" a="1"/>
  <c r="FQ30" i="7" s="1"/>
  <c r="FL34" i="7" a="1"/>
  <c r="FL34" i="7" s="1"/>
  <c r="FD40" i="7" a="1"/>
  <c r="FD40" i="7" s="1"/>
  <c r="DY21" i="7" a="1"/>
  <c r="DY21" i="7" s="1"/>
  <c r="FF30" i="7" a="1"/>
  <c r="FF30" i="7" s="1"/>
  <c r="FZ36" i="7" a="1"/>
  <c r="FZ36" i="7" s="1"/>
  <c r="EN39" i="7" a="1"/>
  <c r="EN39" i="7" s="1"/>
  <c r="FX41" i="7" a="1"/>
  <c r="FX41" i="7" s="1"/>
  <c r="EY44" i="7" a="1"/>
  <c r="EY44" i="7" s="1"/>
  <c r="FD19" i="7" a="1"/>
  <c r="FD19" i="7" s="1"/>
  <c r="ES28" i="7" a="1"/>
  <c r="ES28" i="7" s="1"/>
  <c r="DX34" i="7" a="1"/>
  <c r="DX34" i="7" s="1"/>
  <c r="EH40" i="7" a="1"/>
  <c r="EH40" i="7" s="1"/>
  <c r="FD21" i="7" a="1"/>
  <c r="FD21" i="7" s="1"/>
  <c r="FN19" i="7" a="1"/>
  <c r="FN19" i="7" s="1"/>
  <c r="EJ25" i="7" a="1"/>
  <c r="EJ25" i="7" s="1"/>
  <c r="FP32" i="7" a="1"/>
  <c r="FP32" i="7" s="1"/>
  <c r="FT37" i="7" a="1"/>
  <c r="FT37" i="7" s="1"/>
  <c r="DX27" i="7" a="1"/>
  <c r="DX27" i="7" s="1"/>
  <c r="EX35" i="7" a="1"/>
  <c r="EX35" i="7" s="1"/>
  <c r="EG42" i="7" a="1"/>
  <c r="EG42" i="7" s="1"/>
  <c r="DX47" i="7" a="1"/>
  <c r="DX47" i="7" s="1"/>
  <c r="FG48" i="7" a="1"/>
  <c r="FG48" i="7" s="1"/>
  <c r="EE50" i="7" a="1"/>
  <c r="EE50" i="7" s="1"/>
  <c r="DT23" i="7" a="1"/>
  <c r="DT23" i="7" s="1"/>
  <c r="DR35" i="7" a="1"/>
  <c r="DR35" i="7" s="1"/>
  <c r="FW39" i="7" a="1"/>
  <c r="FW39" i="7" s="1"/>
  <c r="FU43" i="7" a="1"/>
  <c r="FU43" i="7" s="1"/>
  <c r="FG46" i="7" a="1"/>
  <c r="FG46" i="7" s="1"/>
  <c r="DU32" i="7" a="1"/>
  <c r="DU32" i="7" s="1"/>
  <c r="DW38" i="7" a="1"/>
  <c r="DW38" i="7" s="1"/>
  <c r="FM43" i="7" a="1"/>
  <c r="FM43" i="7" s="1"/>
  <c r="FH47" i="7" a="1"/>
  <c r="FH47" i="7" s="1"/>
  <c r="EF49" i="7" a="1"/>
  <c r="EF49" i="7" s="1"/>
  <c r="FO50" i="7" a="1"/>
  <c r="FO50" i="7" s="1"/>
  <c r="FZ25" i="7" a="1"/>
  <c r="FZ25" i="7" s="1"/>
  <c r="DV36" i="7" a="1"/>
  <c r="DV36" i="7" s="1"/>
  <c r="FY39" i="7" a="1"/>
  <c r="FY39" i="7" s="1"/>
  <c r="ES44" i="7" a="1"/>
  <c r="ES44" i="7" s="1"/>
  <c r="EW20" i="7" a="1"/>
  <c r="EW20" i="7" s="1"/>
  <c r="EA17" i="7" a="1"/>
  <c r="EA17" i="7" s="1"/>
  <c r="EC30" i="7" a="1"/>
  <c r="EC30" i="7" s="1"/>
  <c r="FT36" i="7" a="1"/>
  <c r="FT36" i="7" s="1"/>
  <c r="EY43" i="7" a="1"/>
  <c r="EY43" i="7" s="1"/>
  <c r="EW47" i="7" a="1"/>
  <c r="EW47" i="7" s="1"/>
  <c r="EB34" i="7" a="1"/>
  <c r="EB34" i="7" s="1"/>
  <c r="DS42" i="7" a="1"/>
  <c r="DS42" i="7" s="1"/>
  <c r="DY52" i="7" a="1"/>
  <c r="DY52" i="7" s="1"/>
  <c r="EK56" i="7" a="1"/>
  <c r="EK56" i="7" s="1"/>
  <c r="ER59" i="7" a="1"/>
  <c r="ER59" i="7" s="1"/>
  <c r="EW29" i="7" a="1"/>
  <c r="EW29" i="7" s="1"/>
  <c r="ER39" i="7" a="1"/>
  <c r="ER39" i="7" s="1"/>
  <c r="FW43" i="7" a="1"/>
  <c r="FW43" i="7" s="1"/>
  <c r="EX48" i="7" a="1"/>
  <c r="EX48" i="7" s="1"/>
  <c r="FJ50" i="7" a="1"/>
  <c r="FJ50" i="7" s="1"/>
  <c r="FF52" i="7" a="1"/>
  <c r="FF52" i="7" s="1"/>
  <c r="ED30" i="7" a="1"/>
  <c r="ED30" i="7" s="1"/>
  <c r="DZ39" i="7" a="1"/>
  <c r="DZ39" i="7" s="1"/>
  <c r="FS46" i="7" a="1"/>
  <c r="FS46" i="7" s="1"/>
  <c r="FD55" i="7" a="1"/>
  <c r="FD55" i="7" s="1"/>
  <c r="FO22" i="7" a="1"/>
  <c r="FO22" i="7" s="1"/>
  <c r="ES39" i="7" a="1"/>
  <c r="ES39" i="7" s="1"/>
  <c r="DZ44" i="7" a="1"/>
  <c r="DZ44" i="7" s="1"/>
  <c r="FS48" i="7" a="1"/>
  <c r="FS48" i="7" s="1"/>
  <c r="DT51" i="7" a="1"/>
  <c r="DT51" i="7" s="1"/>
  <c r="DY35" i="7" a="1"/>
  <c r="DY35" i="7" s="1"/>
  <c r="FK36" i="7" a="1"/>
  <c r="FK36" i="7" s="1"/>
  <c r="EF44" i="7" a="1"/>
  <c r="EF44" i="7" s="1"/>
  <c r="EZ23" i="7" a="1"/>
  <c r="EZ23" i="7" s="1"/>
  <c r="FN43" i="7" a="1"/>
  <c r="FN43" i="7" s="1"/>
  <c r="EI52" i="7" a="1"/>
  <c r="EI52" i="7" s="1"/>
  <c r="EJ56" i="7" a="1"/>
  <c r="EJ56" i="7" s="1"/>
  <c r="FM58" i="7" a="1"/>
  <c r="FM58" i="7" s="1"/>
  <c r="EC63" i="7" a="1"/>
  <c r="EC63" i="7" s="1"/>
  <c r="EJ66" i="7" a="1"/>
  <c r="EJ66" i="7" s="1"/>
  <c r="FM27" i="7" a="1"/>
  <c r="FM27" i="7" s="1"/>
  <c r="FG45" i="7" a="1"/>
  <c r="FG45" i="7" s="1"/>
  <c r="EU52" i="7" a="1"/>
  <c r="EU52" i="7" s="1"/>
  <c r="FM55" i="7" a="1"/>
  <c r="FM55" i="7" s="1"/>
  <c r="EY59" i="7" a="1"/>
  <c r="EY59" i="7" s="1"/>
  <c r="DQ62" i="7" a="1"/>
  <c r="DQ62" i="7" s="1"/>
  <c r="EU34" i="7" a="1"/>
  <c r="EU34" i="7" s="1"/>
  <c r="FO43" i="7" a="1"/>
  <c r="FO43" i="7" s="1"/>
  <c r="DZ50" i="7" a="1"/>
  <c r="DZ50" i="7" s="1"/>
  <c r="DW54" i="7" a="1"/>
  <c r="DW54" i="7" s="1"/>
  <c r="FS57" i="7" a="1"/>
  <c r="FS57" i="7" s="1"/>
  <c r="FF61" i="7" a="1"/>
  <c r="FF61" i="7" s="1"/>
  <c r="FM64" i="7" a="1"/>
  <c r="FM64" i="7" s="1"/>
  <c r="EV34" i="7" a="1"/>
  <c r="EV34" i="7" s="1"/>
  <c r="FF47" i="7" a="1"/>
  <c r="FF47" i="7" s="1"/>
  <c r="GA52" i="7" a="1"/>
  <c r="GA52" i="7" s="1"/>
  <c r="DS57" i="7" a="1"/>
  <c r="DS57" i="7" s="1"/>
  <c r="ED60" i="7" a="1"/>
  <c r="ED60" i="7" s="1"/>
  <c r="EL63" i="7" a="1"/>
  <c r="EL63" i="7" s="1"/>
  <c r="FQ40" i="7" a="1"/>
  <c r="FQ40" i="7" s="1"/>
  <c r="EZ42" i="7" a="1"/>
  <c r="EZ42" i="7" s="1"/>
  <c r="FK49" i="7" a="1"/>
  <c r="FK49" i="7" s="1"/>
  <c r="EQ55" i="7" a="1"/>
  <c r="EQ55" i="7" s="1"/>
  <c r="ES58" i="7" a="1"/>
  <c r="ES58" i="7" s="1"/>
  <c r="FQ61" i="7" a="1"/>
  <c r="FQ61" i="7" s="1"/>
  <c r="EN35" i="7" a="1"/>
  <c r="EN35" i="7" s="1"/>
  <c r="DS50" i="7" a="1"/>
  <c r="DS50" i="7" s="1"/>
  <c r="FG55" i="7" a="1"/>
  <c r="FG55" i="7" s="1"/>
  <c r="FR60" i="7" a="1"/>
  <c r="FR60" i="7" s="1"/>
  <c r="ER65" i="7" a="1"/>
  <c r="ER65" i="7" s="1"/>
  <c r="DV69" i="7" a="1"/>
  <c r="DV69" i="7" s="1"/>
  <c r="FU70" i="7" a="1"/>
  <c r="FU70" i="7" s="1"/>
  <c r="ES72" i="7" a="1"/>
  <c r="ES72" i="7" s="1"/>
  <c r="DQ74" i="7" a="1"/>
  <c r="DQ74" i="7" s="1"/>
  <c r="EP43" i="7" a="1"/>
  <c r="EP43" i="7" s="1"/>
  <c r="EA52" i="7" a="1"/>
  <c r="EA52" i="7" s="1"/>
  <c r="ED57" i="7" a="1"/>
  <c r="ED57" i="7" s="1"/>
  <c r="EH63" i="7" a="1"/>
  <c r="EH63" i="7" s="1"/>
  <c r="FF66" i="7" a="1"/>
  <c r="FF66" i="7" s="1"/>
  <c r="FC31" i="7" a="1"/>
  <c r="FC31" i="7" s="1"/>
  <c r="FJ49" i="7" a="1"/>
  <c r="FJ49" i="7" s="1"/>
  <c r="EN56" i="7" a="1"/>
  <c r="EN56" i="7" s="1"/>
  <c r="FC61" i="7" a="1"/>
  <c r="FC61" i="7" s="1"/>
  <c r="FG66" i="7" a="1"/>
  <c r="FG66" i="7" s="1"/>
  <c r="FA69" i="7" a="1"/>
  <c r="FA69" i="7" s="1"/>
  <c r="DY71" i="7" a="1"/>
  <c r="DY71" i="7" s="1"/>
  <c r="FH72" i="7" a="1"/>
  <c r="FH72" i="7" s="1"/>
  <c r="EF74" i="7" a="1"/>
  <c r="EF74" i="7" s="1"/>
  <c r="EZ43" i="7" a="1"/>
  <c r="EZ43" i="7" s="1"/>
  <c r="EC54" i="7" a="1"/>
  <c r="EC54" i="7" s="1"/>
  <c r="FI58" i="7" a="1"/>
  <c r="FI58" i="7" s="1"/>
  <c r="FX63" i="7" a="1"/>
  <c r="FX63" i="7" s="1"/>
  <c r="DU67" i="7" a="1"/>
  <c r="DU67" i="7" s="1"/>
  <c r="FZ42" i="7" a="1"/>
  <c r="FZ42" i="7" s="1"/>
  <c r="FK52" i="7" a="1"/>
  <c r="FK52" i="7" s="1"/>
  <c r="EW42" i="7" a="1"/>
  <c r="EW42" i="7" s="1"/>
  <c r="FM52" i="7" a="1"/>
  <c r="FM52" i="7" s="1"/>
  <c r="FY57" i="7" a="1"/>
  <c r="FY57" i="7" s="1"/>
  <c r="FR63" i="7" a="1"/>
  <c r="FR63" i="7" s="1"/>
  <c r="EN67" i="7" a="1"/>
  <c r="EN67" i="7" s="1"/>
  <c r="FK69" i="7" a="1"/>
  <c r="FK69" i="7" s="1"/>
  <c r="EI71" i="7" a="1"/>
  <c r="EI71" i="7" s="1"/>
  <c r="FR72" i="7" a="1"/>
  <c r="FR72" i="7" s="1"/>
  <c r="EX50" i="7" a="1"/>
  <c r="EX50" i="7" s="1"/>
  <c r="FL59" i="7" a="1"/>
  <c r="FL59" i="7" s="1"/>
  <c r="EB66" i="7" a="1"/>
  <c r="EB66" i="7" s="1"/>
  <c r="FW70" i="7" a="1"/>
  <c r="FW70" i="7" s="1"/>
  <c r="EP74" i="7" a="1"/>
  <c r="EP74" i="7" s="1"/>
  <c r="DR84" i="7" a="1"/>
  <c r="DR84" i="7" s="1"/>
  <c r="DY87" i="7" a="1"/>
  <c r="DY87" i="7" s="1"/>
  <c r="EF90" i="7" a="1"/>
  <c r="EF90" i="7" s="1"/>
  <c r="FI92" i="7" a="1"/>
  <c r="FI92" i="7" s="1"/>
  <c r="DX54" i="7" a="1"/>
  <c r="DX54" i="7" s="1"/>
  <c r="FH62" i="7" a="1"/>
  <c r="FH62" i="7" s="1"/>
  <c r="EB68" i="7" a="1"/>
  <c r="EB68" i="7" s="1"/>
  <c r="FQ74" i="7" a="1"/>
  <c r="FQ74" i="7" s="1"/>
  <c r="FE76" i="7" a="1"/>
  <c r="FE76" i="7" s="1"/>
  <c r="ES78" i="7" a="1"/>
  <c r="ES78" i="7" s="1"/>
  <c r="EH80" i="7" a="1"/>
  <c r="EH80" i="7" s="1"/>
  <c r="DV82" i="7" a="1"/>
  <c r="DV82" i="7" s="1"/>
  <c r="FU83" i="7" a="1"/>
  <c r="FU83" i="7" s="1"/>
  <c r="DR87" i="7" a="1"/>
  <c r="DR87" i="7" s="1"/>
  <c r="DY90" i="7" a="1"/>
  <c r="DY90" i="7" s="1"/>
  <c r="FT43" i="7" a="1"/>
  <c r="FT43" i="7" s="1"/>
  <c r="FW57" i="7" a="1"/>
  <c r="FW57" i="7" s="1"/>
  <c r="FW64" i="7" a="1"/>
  <c r="FW64" i="7" s="1"/>
  <c r="EN69" i="7" a="1"/>
  <c r="EN69" i="7" s="1"/>
  <c r="FP73" i="7" a="1"/>
  <c r="FP73" i="7" s="1"/>
  <c r="FA81" i="7" a="1"/>
  <c r="FA81" i="7" s="1"/>
  <c r="EJ86" i="7" a="1"/>
  <c r="EJ86" i="7" s="1"/>
  <c r="EQ89" i="7" a="1"/>
  <c r="EQ89" i="7" s="1"/>
  <c r="EH92" i="7" a="1"/>
  <c r="EH92" i="7" s="1"/>
  <c r="FQ93" i="7" a="1"/>
  <c r="FQ93" i="7" s="1"/>
  <c r="FV37" i="7" a="1"/>
  <c r="FV37" i="7" s="1"/>
  <c r="EZ55" i="7" a="1"/>
  <c r="EZ55" i="7" s="1"/>
  <c r="DS63" i="7" a="1"/>
  <c r="DS63" i="7" s="1"/>
  <c r="DV70" i="7" a="1"/>
  <c r="DV70" i="7" s="1"/>
  <c r="EN75" i="7" a="1"/>
  <c r="EN75" i="7" s="1"/>
  <c r="EB77" i="7" a="1"/>
  <c r="EB77" i="7" s="1"/>
  <c r="GA78" i="7" a="1"/>
  <c r="GA78" i="7" s="1"/>
  <c r="FP80" i="7" a="1"/>
  <c r="FP80" i="7" s="1"/>
  <c r="FD82" i="7" a="1"/>
  <c r="FD82" i="7" s="1"/>
  <c r="FT84" i="7" a="1"/>
  <c r="FT84" i="7" s="1"/>
  <c r="EM28" i="7" a="1"/>
  <c r="EM28" i="7" s="1"/>
  <c r="EE55" i="7" a="1"/>
  <c r="EE55" i="7" s="1"/>
  <c r="DS66" i="7" a="1"/>
  <c r="DS66" i="7" s="1"/>
  <c r="DR25" i="7" a="1"/>
  <c r="DR25" i="7" s="1"/>
  <c r="EM58" i="7" a="1"/>
  <c r="EM58" i="7" s="1"/>
  <c r="FO64" i="7" a="1"/>
  <c r="FO64" i="7" s="1"/>
  <c r="FZ69" i="7" a="1"/>
  <c r="FZ69" i="7" s="1"/>
  <c r="DS74" i="7" a="1"/>
  <c r="DS74" i="7" s="1"/>
  <c r="FO82" i="7" a="1"/>
  <c r="FO82" i="7" s="1"/>
  <c r="FJ86" i="7" a="1"/>
  <c r="FJ86" i="7" s="1"/>
  <c r="FQ89" i="7" a="1"/>
  <c r="FQ89" i="7" s="1"/>
  <c r="EY92" i="7" a="1"/>
  <c r="EY92" i="7" s="1"/>
  <c r="EX59" i="7" a="1"/>
  <c r="EX59" i="7" s="1"/>
  <c r="EJ71" i="7" a="1"/>
  <c r="EJ71" i="7" s="1"/>
  <c r="FR77" i="7" a="1"/>
  <c r="FR77" i="7" s="1"/>
  <c r="EH82" i="7" a="1"/>
  <c r="EH82" i="7" s="1"/>
  <c r="FS86" i="7" a="1"/>
  <c r="FS86" i="7" s="1"/>
  <c r="EU91" i="7" a="1"/>
  <c r="EU91" i="7" s="1"/>
  <c r="DU94" i="7" a="1"/>
  <c r="DU94" i="7" s="1"/>
  <c r="FL52" i="7" a="1"/>
  <c r="FL52" i="7" s="1"/>
  <c r="EW65" i="7" a="1"/>
  <c r="EW65" i="7" s="1"/>
  <c r="DS75" i="7" a="1"/>
  <c r="DS75" i="7" s="1"/>
  <c r="ES79" i="7" a="1"/>
  <c r="ES79" i="7" s="1"/>
  <c r="FT83" i="7" a="1"/>
  <c r="FT83" i="7" s="1"/>
  <c r="FE88" i="7" a="1"/>
  <c r="FE88" i="7" s="1"/>
  <c r="DW95" i="7" a="1"/>
  <c r="DW95" i="7" s="1"/>
  <c r="FM38" i="7" a="1"/>
  <c r="FM38" i="7" s="1"/>
  <c r="DQ59" i="7" a="1"/>
  <c r="DQ59" i="7" s="1"/>
  <c r="ER68" i="7" a="1"/>
  <c r="ER68" i="7" s="1"/>
  <c r="FE74" i="7" a="1"/>
  <c r="FE74" i="7" s="1"/>
  <c r="ET79" i="7" a="1"/>
  <c r="ET79" i="7" s="1"/>
  <c r="FJ83" i="7" a="1"/>
  <c r="FJ83" i="7" s="1"/>
  <c r="EJ88" i="7" a="1"/>
  <c r="EJ88" i="7" s="1"/>
  <c r="EB93" i="7" a="1"/>
  <c r="EB93" i="7" s="1"/>
  <c r="GA94" i="7" a="1"/>
  <c r="GA94" i="7" s="1"/>
  <c r="FJ61" i="7" a="1"/>
  <c r="FJ61" i="7" s="1"/>
  <c r="ED73" i="7" a="1"/>
  <c r="ED73" i="7" s="1"/>
  <c r="EV78" i="7" a="1"/>
  <c r="EV78" i="7" s="1"/>
  <c r="FW82" i="7" a="1"/>
  <c r="FW82" i="7" s="1"/>
  <c r="EE15" i="7" a="1"/>
  <c r="EE15" i="7" s="1"/>
  <c r="FN16" i="7" a="1"/>
  <c r="FN16" i="7" s="1"/>
  <c r="DY15" i="7" a="1"/>
  <c r="DY15" i="7" s="1"/>
  <c r="FH16" i="7" a="1"/>
  <c r="FH16" i="7" s="1"/>
  <c r="EV15" i="7" a="1"/>
  <c r="EV15" i="7" s="1"/>
  <c r="FF17" i="7" a="1"/>
  <c r="FF17" i="7" s="1"/>
  <c r="EF22" i="7" a="1"/>
  <c r="EF22" i="7" s="1"/>
  <c r="FE18" i="7" a="1"/>
  <c r="FE18" i="7" s="1"/>
  <c r="ES20" i="7" a="1"/>
  <c r="ES20" i="7" s="1"/>
  <c r="EN15" i="7" a="1"/>
  <c r="EN15" i="7" s="1"/>
  <c r="EX17" i="7" a="1"/>
  <c r="EX17" i="7" s="1"/>
  <c r="EG22" i="7" a="1"/>
  <c r="EG22" i="7" s="1"/>
  <c r="FI19" i="7" a="1"/>
  <c r="FI19" i="7" s="1"/>
  <c r="FU19" i="7" a="1"/>
  <c r="FU19" i="7" s="1"/>
  <c r="EF24" i="7" a="1"/>
  <c r="EF24" i="7" s="1"/>
  <c r="FB26" i="7" a="1"/>
  <c r="FB26" i="7" s="1"/>
  <c r="DZ28" i="7" a="1"/>
  <c r="DZ28" i="7" s="1"/>
  <c r="EX15" i="7" a="1"/>
  <c r="EX15" i="7" s="1"/>
  <c r="FA19" i="7" a="1"/>
  <c r="FA19" i="7" s="1"/>
  <c r="FC23" i="7" a="1"/>
  <c r="FC23" i="7" s="1"/>
  <c r="EU18" i="7" a="1"/>
  <c r="EU18" i="7" s="1"/>
  <c r="DU21" i="7" a="1"/>
  <c r="DU21" i="7" s="1"/>
  <c r="EE25" i="7" a="1"/>
  <c r="EE25" i="7" s="1"/>
  <c r="EA27" i="7" a="1"/>
  <c r="EA27" i="7" s="1"/>
  <c r="FR16" i="7" a="1"/>
  <c r="FR16" i="7" s="1"/>
  <c r="DZ22" i="7" a="1"/>
  <c r="DZ22" i="7" s="1"/>
  <c r="EP15" i="7" a="1"/>
  <c r="EP15" i="7" s="1"/>
  <c r="DX19" i="7" a="1"/>
  <c r="DX19" i="7" s="1"/>
  <c r="FK25" i="7" a="1"/>
  <c r="FK25" i="7" s="1"/>
  <c r="DV31" i="7" a="1"/>
  <c r="DV31" i="7" s="1"/>
  <c r="EC34" i="7" a="1"/>
  <c r="EC34" i="7" s="1"/>
  <c r="FF36" i="7" a="1"/>
  <c r="FF36" i="7" s="1"/>
  <c r="DV22" i="7" a="1"/>
  <c r="DV22" i="7" s="1"/>
  <c r="FP24" i="7" a="1"/>
  <c r="FP24" i="7" s="1"/>
  <c r="EF28" i="7" a="1"/>
  <c r="EF28" i="7" s="1"/>
  <c r="EV30" i="7" a="1"/>
  <c r="EV30" i="7" s="1"/>
  <c r="EJ16" i="7" a="1"/>
  <c r="EJ16" i="7" s="1"/>
  <c r="DX23" i="7" a="1"/>
  <c r="DX23" i="7" s="1"/>
  <c r="FN29" i="7" a="1"/>
  <c r="FN29" i="7" s="1"/>
  <c r="FU32" i="7" a="1"/>
  <c r="FU32" i="7" s="1"/>
  <c r="EX22" i="7" a="1"/>
  <c r="EX22" i="7" s="1"/>
  <c r="FC25" i="7" a="1"/>
  <c r="FC25" i="7" s="1"/>
  <c r="FN28" i="7" a="1"/>
  <c r="FN28" i="7" s="1"/>
  <c r="EK16" i="7" a="1"/>
  <c r="EK16" i="7" s="1"/>
  <c r="EN20" i="7" a="1"/>
  <c r="EN20" i="7" s="1"/>
  <c r="EE30" i="7" a="1"/>
  <c r="EE30" i="7" s="1"/>
  <c r="FW33" i="7" a="1"/>
  <c r="FW33" i="7" s="1"/>
  <c r="EA37" i="7" a="1"/>
  <c r="EA37" i="7" s="1"/>
  <c r="FJ38" i="7" a="1"/>
  <c r="FJ38" i="7" s="1"/>
  <c r="EK17" i="7" a="1"/>
  <c r="EK17" i="7" s="1"/>
  <c r="EI24" i="7" a="1"/>
  <c r="EI24" i="7" s="1"/>
  <c r="EV28" i="7" a="1"/>
  <c r="EV28" i="7" s="1"/>
  <c r="FZ31" i="7" a="1"/>
  <c r="FZ31" i="7" s="1"/>
  <c r="EU35" i="7" a="1"/>
  <c r="EU35" i="7" s="1"/>
  <c r="GA20" i="7" a="1"/>
  <c r="GA20" i="7" s="1"/>
  <c r="FM30" i="7" a="1"/>
  <c r="FM30" i="7" s="1"/>
  <c r="ED34" i="7" a="1"/>
  <c r="ED34" i="7" s="1"/>
  <c r="EP37" i="7" a="1"/>
  <c r="EP37" i="7" s="1"/>
  <c r="FN22" i="7" a="1"/>
  <c r="FN22" i="7" s="1"/>
  <c r="EQ26" i="7" a="1"/>
  <c r="EQ26" i="7" s="1"/>
  <c r="EI30" i="7" a="1"/>
  <c r="EI30" i="7" s="1"/>
  <c r="FJ15" i="7" a="1"/>
  <c r="FJ15" i="7" s="1"/>
  <c r="FD22" i="7" a="1"/>
  <c r="FD22" i="7" s="1"/>
  <c r="DZ20" i="7" a="1"/>
  <c r="DZ20" i="7" s="1"/>
  <c r="FL33" i="7" a="1"/>
  <c r="FL33" i="7" s="1"/>
  <c r="DU38" i="7" a="1"/>
  <c r="DU38" i="7" s="1"/>
  <c r="FT39" i="7" a="1"/>
  <c r="FT39" i="7" s="1"/>
  <c r="FM42" i="7" a="1"/>
  <c r="FM42" i="7" s="1"/>
  <c r="FZ44" i="7" a="1"/>
  <c r="FZ44" i="7" s="1"/>
  <c r="EX46" i="7" a="1"/>
  <c r="EX46" i="7" s="1"/>
  <c r="DU27" i="7" a="1"/>
  <c r="DU27" i="7" s="1"/>
  <c r="EH31" i="7" a="1"/>
  <c r="EH31" i="7" s="1"/>
  <c r="DU35" i="7" a="1"/>
  <c r="DU35" i="7" s="1"/>
  <c r="FS40" i="7" a="1"/>
  <c r="FS40" i="7" s="1"/>
  <c r="FA21" i="7" a="1"/>
  <c r="FA21" i="7" s="1"/>
  <c r="EU31" i="7" a="1"/>
  <c r="EU31" i="7" s="1"/>
  <c r="EF37" i="7" a="1"/>
  <c r="EF37" i="7" s="1"/>
  <c r="EW39" i="7" a="1"/>
  <c r="EW39" i="7" s="1"/>
  <c r="DU42" i="7" a="1"/>
  <c r="DU42" i="7" s="1"/>
  <c r="FF44" i="7" a="1"/>
  <c r="FF44" i="7" s="1"/>
  <c r="EE20" i="7" a="1"/>
  <c r="EE20" i="7" s="1"/>
  <c r="FK28" i="7" a="1"/>
  <c r="FK28" i="7" s="1"/>
  <c r="EH34" i="7" a="1"/>
  <c r="EH34" i="7" s="1"/>
  <c r="EP40" i="7" a="1"/>
  <c r="EP40" i="7" s="1"/>
  <c r="DU22" i="7" a="1"/>
  <c r="DU22" i="7" s="1"/>
  <c r="EP23" i="7" a="1"/>
  <c r="EP23" i="7" s="1"/>
  <c r="FY25" i="7" a="1"/>
  <c r="FY25" i="7" s="1"/>
  <c r="GA32" i="7" a="1"/>
  <c r="GA32" i="7" s="1"/>
  <c r="DQ38" i="7" a="1"/>
  <c r="DQ38" i="7" s="1"/>
  <c r="EY27" i="7" a="1"/>
  <c r="EY27" i="7" s="1"/>
  <c r="EH36" i="7" a="1"/>
  <c r="EH36" i="7" s="1"/>
  <c r="ES42" i="7" a="1"/>
  <c r="ES42" i="7" s="1"/>
  <c r="EE47" i="7" a="1"/>
  <c r="EE47" i="7" s="1"/>
  <c r="FN48" i="7" a="1"/>
  <c r="FN48" i="7" s="1"/>
  <c r="EL50" i="7" a="1"/>
  <c r="EL50" i="7" s="1"/>
  <c r="FB24" i="7" a="1"/>
  <c r="FB24" i="7" s="1"/>
  <c r="FO35" i="7" a="1"/>
  <c r="FO35" i="7" s="1"/>
  <c r="DW40" i="7" a="1"/>
  <c r="DW40" i="7" s="1"/>
  <c r="EA44" i="7" a="1"/>
  <c r="EA44" i="7" s="1"/>
  <c r="ED16" i="7" a="1"/>
  <c r="ED16" i="7" s="1"/>
  <c r="EO32" i="7" a="1"/>
  <c r="EO32" i="7" s="1"/>
  <c r="EI38" i="7" a="1"/>
  <c r="EI38" i="7" s="1"/>
  <c r="DS44" i="7" a="1"/>
  <c r="DS44" i="7" s="1"/>
  <c r="FO47" i="7" a="1"/>
  <c r="FO47" i="7" s="1"/>
  <c r="EM49" i="7" a="1"/>
  <c r="EM49" i="7" s="1"/>
  <c r="FV50" i="7" a="1"/>
  <c r="FV50" i="7" s="1"/>
  <c r="DV28" i="7" a="1"/>
  <c r="DV28" i="7" s="1"/>
  <c r="EJ36" i="7" a="1"/>
  <c r="EJ36" i="7" s="1"/>
  <c r="DX40" i="7" a="1"/>
  <c r="DX40" i="7" s="1"/>
  <c r="FA44" i="7" a="1"/>
  <c r="FA44" i="7" s="1"/>
  <c r="FX23" i="7" a="1"/>
  <c r="FX23" i="7" s="1"/>
  <c r="FK18" i="7" a="1"/>
  <c r="FK18" i="7" s="1"/>
  <c r="EB31" i="7" a="1"/>
  <c r="EB31" i="7" s="1"/>
  <c r="DV37" i="7" a="1"/>
  <c r="DV37" i="7" s="1"/>
  <c r="FP43" i="7" a="1"/>
  <c r="FP43" i="7" s="1"/>
  <c r="FD47" i="7" a="1"/>
  <c r="FD47" i="7" s="1"/>
  <c r="GA34" i="7" a="1"/>
  <c r="GA34" i="7" s="1"/>
  <c r="EL42" i="7" a="1"/>
  <c r="EL42" i="7" s="1"/>
  <c r="FV52" i="7" a="1"/>
  <c r="FV52" i="7" s="1"/>
  <c r="EZ56" i="7" a="1"/>
  <c r="EZ56" i="7" s="1"/>
  <c r="FG59" i="7" a="1"/>
  <c r="FG59" i="7" s="1"/>
  <c r="FY31" i="7" a="1"/>
  <c r="FY31" i="7" s="1"/>
  <c r="FH39" i="7" a="1"/>
  <c r="FH39" i="7" s="1"/>
  <c r="DY44" i="7" a="1"/>
  <c r="DY44" i="7" s="1"/>
  <c r="FI48" i="7" a="1"/>
  <c r="FI48" i="7" s="1"/>
  <c r="FS50" i="7" a="1"/>
  <c r="FS50" i="7" s="1"/>
  <c r="FN52" i="7" a="1"/>
  <c r="FN52" i="7" s="1"/>
  <c r="FT30" i="7" a="1"/>
  <c r="FT30" i="7" s="1"/>
  <c r="GA39" i="7" a="1"/>
  <c r="GA39" i="7" s="1"/>
  <c r="EO47" i="7" a="1"/>
  <c r="EO47" i="7" s="1"/>
  <c r="FS55" i="7" a="1"/>
  <c r="FS55" i="7" s="1"/>
  <c r="EM26" i="7" a="1"/>
  <c r="EM26" i="7" s="1"/>
  <c r="FI39" i="7" a="1"/>
  <c r="FI39" i="7" s="1"/>
  <c r="EN44" i="7" a="1"/>
  <c r="EN44" i="7" s="1"/>
  <c r="DS49" i="7" a="1"/>
  <c r="DS49" i="7" s="1"/>
  <c r="EC51" i="7" a="1"/>
  <c r="EC51" i="7" s="1"/>
  <c r="FW35" i="7" a="1"/>
  <c r="FW35" i="7" s="1"/>
  <c r="ET37" i="7" a="1"/>
  <c r="ET37" i="7" s="1"/>
  <c r="FR44" i="7" a="1"/>
  <c r="FR44" i="7" s="1"/>
  <c r="FS29" i="7" a="1"/>
  <c r="FS29" i="7" s="1"/>
  <c r="FP46" i="7" a="1"/>
  <c r="FP46" i="7" s="1"/>
  <c r="ES52" i="7" a="1"/>
  <c r="ES52" i="7" s="1"/>
  <c r="ES56" i="7" a="1"/>
  <c r="ES56" i="7" s="1"/>
  <c r="FU58" i="7" a="1"/>
  <c r="FU58" i="7" s="1"/>
  <c r="ER63" i="7" a="1"/>
  <c r="ER63" i="7" s="1"/>
  <c r="EY66" i="7" a="1"/>
  <c r="EY66" i="7" s="1"/>
  <c r="FL28" i="7" a="1"/>
  <c r="FL28" i="7" s="1"/>
  <c r="GA45" i="7" a="1"/>
  <c r="GA45" i="7" s="1"/>
  <c r="FZ52" i="7" a="1"/>
  <c r="FZ52" i="7" s="1"/>
  <c r="FV55" i="7" a="1"/>
  <c r="FV55" i="7" s="1"/>
  <c r="FH59" i="7" a="1"/>
  <c r="FH59" i="7" s="1"/>
  <c r="DY62" i="7" a="1"/>
  <c r="DY62" i="7" s="1"/>
  <c r="DY37" i="7" a="1"/>
  <c r="DY37" i="7" s="1"/>
  <c r="DX44" i="7" a="1"/>
  <c r="DX44" i="7" s="1"/>
  <c r="EN50" i="7" a="1"/>
  <c r="EN50" i="7" s="1"/>
  <c r="EF54" i="7" a="1"/>
  <c r="EF54" i="7" s="1"/>
  <c r="DQ58" i="7" a="1"/>
  <c r="DQ58" i="7" s="1"/>
  <c r="FU61" i="7" a="1"/>
  <c r="FU61" i="7" s="1"/>
  <c r="DQ65" i="7" a="1"/>
  <c r="DQ65" i="7" s="1"/>
  <c r="FY35" i="7" a="1"/>
  <c r="FY35" i="7" s="1"/>
  <c r="ER48" i="7" a="1"/>
  <c r="ER48" i="7" s="1"/>
  <c r="EV53" i="7" a="1"/>
  <c r="EV53" i="7" s="1"/>
  <c r="EK57" i="7" a="1"/>
  <c r="EK57" i="7" s="1"/>
  <c r="EL60" i="7" a="1"/>
  <c r="EL60" i="7" s="1"/>
  <c r="ET63" i="7" a="1"/>
  <c r="ET63" i="7" s="1"/>
  <c r="FF41" i="7" a="1"/>
  <c r="FF41" i="7" s="1"/>
  <c r="FX42" i="7" a="1"/>
  <c r="FX42" i="7" s="1"/>
  <c r="EU50" i="7" a="1"/>
  <c r="EU50" i="7" s="1"/>
  <c r="FQ55" i="7" a="1"/>
  <c r="FQ55" i="7" s="1"/>
  <c r="FR58" i="7" a="1"/>
  <c r="FR58" i="7" s="1"/>
  <c r="DU62" i="7" a="1"/>
  <c r="DU62" i="7" s="1"/>
  <c r="EU37" i="7" a="1"/>
  <c r="EU37" i="7" s="1"/>
  <c r="FQ51" i="7" a="1"/>
  <c r="FQ51" i="7" s="1"/>
  <c r="FT55" i="7" a="1"/>
  <c r="FT55" i="7" s="1"/>
  <c r="DR61" i="7" a="1"/>
  <c r="DR61" i="7" s="1"/>
  <c r="FA65" i="7" a="1"/>
  <c r="FA65" i="7" s="1"/>
  <c r="EK69" i="7" a="1"/>
  <c r="EK69" i="7" s="1"/>
  <c r="DQ71" i="7" a="1"/>
  <c r="DQ71" i="7" s="1"/>
  <c r="EZ72" i="7" a="1"/>
  <c r="EZ72" i="7" s="1"/>
  <c r="DX74" i="7" a="1"/>
  <c r="DX74" i="7" s="1"/>
  <c r="DQ44" i="7" a="1"/>
  <c r="DQ44" i="7" s="1"/>
  <c r="EQ52" i="7" a="1"/>
  <c r="EQ52" i="7" s="1"/>
  <c r="EI58" i="7" a="1"/>
  <c r="EI58" i="7" s="1"/>
  <c r="FM63" i="7" a="1"/>
  <c r="FM63" i="7" s="1"/>
  <c r="FO66" i="7" a="1"/>
  <c r="FO66" i="7" s="1"/>
  <c r="EK33" i="7" a="1"/>
  <c r="EK33" i="7" s="1"/>
  <c r="DT50" i="7" a="1"/>
  <c r="DT50" i="7" s="1"/>
  <c r="FN56" i="7" a="1"/>
  <c r="FN56" i="7" s="1"/>
  <c r="FZ61" i="7" a="1"/>
  <c r="FZ61" i="7" s="1"/>
  <c r="FA67" i="7" a="1"/>
  <c r="FA67" i="7" s="1"/>
  <c r="FH69" i="7" a="1"/>
  <c r="FH69" i="7" s="1"/>
  <c r="EF71" i="7" a="1"/>
  <c r="EF71" i="7" s="1"/>
  <c r="FO72" i="7" a="1"/>
  <c r="FO72" i="7" s="1"/>
  <c r="EM74" i="7" a="1"/>
  <c r="EM74" i="7" s="1"/>
  <c r="DU44" i="7" a="1"/>
  <c r="DU44" i="7" s="1"/>
  <c r="EQ54" i="7" a="1"/>
  <c r="EQ54" i="7" s="1"/>
  <c r="EK59" i="7" a="1"/>
  <c r="EK59" i="7" s="1"/>
  <c r="ED64" i="7" a="1"/>
  <c r="ED64" i="7" s="1"/>
  <c r="EC67" i="7" a="1"/>
  <c r="EC67" i="7" s="1"/>
  <c r="EB45" i="7" a="1"/>
  <c r="EB45" i="7" s="1"/>
  <c r="EF53" i="7" a="1"/>
  <c r="EF53" i="7" s="1"/>
  <c r="EB43" i="7" a="1"/>
  <c r="EB43" i="7" s="1"/>
  <c r="EL53" i="7" a="1"/>
  <c r="EL53" i="7" s="1"/>
  <c r="EB58" i="7" a="1"/>
  <c r="EB58" i="7" s="1"/>
  <c r="DX64" i="7" a="1"/>
  <c r="DX64" i="7" s="1"/>
  <c r="EV67" i="7" a="1"/>
  <c r="EV67" i="7" s="1"/>
  <c r="FR69" i="7" a="1"/>
  <c r="FR69" i="7" s="1"/>
  <c r="EP71" i="7" a="1"/>
  <c r="EP71" i="7" s="1"/>
  <c r="FY72" i="7" a="1"/>
  <c r="FY72" i="7" s="1"/>
  <c r="EH51" i="7" a="1"/>
  <c r="EH51" i="7" s="1"/>
  <c r="EN60" i="7" a="1"/>
  <c r="EN60" i="7" s="1"/>
  <c r="EN66" i="7" a="1"/>
  <c r="EN66" i="7" s="1"/>
  <c r="DV71" i="7" a="1"/>
  <c r="DV71" i="7" s="1"/>
  <c r="EY74" i="7" a="1"/>
  <c r="EY74" i="7" s="1"/>
  <c r="EG84" i="7" a="1"/>
  <c r="EG84" i="7" s="1"/>
  <c r="EN87" i="7" a="1"/>
  <c r="EN87" i="7" s="1"/>
  <c r="EU90" i="7" a="1"/>
  <c r="EU90" i="7" s="1"/>
  <c r="FP92" i="7" a="1"/>
  <c r="FP92" i="7" s="1"/>
  <c r="FS54" i="7" a="1"/>
  <c r="FS54" i="7" s="1"/>
  <c r="DQ63" i="7" a="1"/>
  <c r="DQ63" i="7" s="1"/>
  <c r="FA68" i="7" a="1"/>
  <c r="FA68" i="7" s="1"/>
  <c r="FY74" i="7" a="1"/>
  <c r="FY74" i="7" s="1"/>
  <c r="FM76" i="7" a="1"/>
  <c r="FM76" i="7" s="1"/>
  <c r="FB78" i="7" a="1"/>
  <c r="FB78" i="7" s="1"/>
  <c r="EP80" i="7" a="1"/>
  <c r="EP80" i="7" s="1"/>
  <c r="ED82" i="7" a="1"/>
  <c r="ED82" i="7" s="1"/>
  <c r="DZ84" i="7" a="1"/>
  <c r="DZ84" i="7" s="1"/>
  <c r="EG87" i="7" a="1"/>
  <c r="EG87" i="7" s="1"/>
  <c r="EN90" i="7" a="1"/>
  <c r="EN90" i="7" s="1"/>
  <c r="FK48" i="7" a="1"/>
  <c r="FK48" i="7" s="1"/>
  <c r="ED58" i="7" a="1"/>
  <c r="ED58" i="7" s="1"/>
  <c r="DX65" i="7" a="1"/>
  <c r="DX65" i="7" s="1"/>
  <c r="EY69" i="7" a="1"/>
  <c r="EY69" i="7" s="1"/>
  <c r="FY73" i="7" a="1"/>
  <c r="FY73" i="7" s="1"/>
  <c r="EM82" i="7" a="1"/>
  <c r="EM82" i="7" s="1"/>
  <c r="EY86" i="7" a="1"/>
  <c r="EY86" i="7" s="1"/>
  <c r="FF89" i="7" a="1"/>
  <c r="FF89" i="7" s="1"/>
  <c r="EO92" i="7" a="1"/>
  <c r="EO92" i="7" s="1"/>
  <c r="FX93" i="7" a="1"/>
  <c r="FX93" i="7" s="1"/>
  <c r="FT41" i="7" a="1"/>
  <c r="FT41" i="7" s="1"/>
  <c r="FB56" i="7" a="1"/>
  <c r="FB56" i="7" s="1"/>
  <c r="EM63" i="7" a="1"/>
  <c r="EM63" i="7" s="1"/>
  <c r="FC70" i="7" a="1"/>
  <c r="FC70" i="7" s="1"/>
  <c r="EV75" i="7" a="1"/>
  <c r="EV75" i="7" s="1"/>
  <c r="EJ77" i="7" a="1"/>
  <c r="EJ77" i="7" s="1"/>
  <c r="DX79" i="7" a="1"/>
  <c r="DX79" i="7" s="1"/>
  <c r="FX80" i="7" a="1"/>
  <c r="FX80" i="7" s="1"/>
  <c r="FL82" i="7" a="1"/>
  <c r="FL82" i="7" s="1"/>
  <c r="DX85" i="7" a="1"/>
  <c r="DX85" i="7" s="1"/>
  <c r="DT34" i="7" a="1"/>
  <c r="DT34" i="7" s="1"/>
  <c r="FC57" i="7" a="1"/>
  <c r="FC57" i="7" s="1"/>
  <c r="EE66" i="7" a="1"/>
  <c r="EE66" i="7" s="1"/>
  <c r="DY29" i="7" a="1"/>
  <c r="DY29" i="7" s="1"/>
  <c r="GA58" i="7" a="1"/>
  <c r="GA58" i="7" s="1"/>
  <c r="ED65" i="7" a="1"/>
  <c r="ED65" i="7" s="1"/>
  <c r="EV70" i="7" a="1"/>
  <c r="EV70" i="7" s="1"/>
  <c r="EB74" i="7" a="1"/>
  <c r="EB74" i="7" s="1"/>
  <c r="FA83" i="7" a="1"/>
  <c r="FA83" i="7" s="1"/>
  <c r="FY86" i="7" a="1"/>
  <c r="FY86" i="7" s="1"/>
  <c r="DU90" i="7" a="1"/>
  <c r="DU90" i="7" s="1"/>
  <c r="FF92" i="7" a="1"/>
  <c r="FF92" i="7" s="1"/>
  <c r="DQ60" i="7" a="1"/>
  <c r="DQ60" i="7" s="1"/>
  <c r="EY71" i="7" a="1"/>
  <c r="EY71" i="7" s="1"/>
  <c r="DS78" i="7" a="1"/>
  <c r="DS78" i="7" s="1"/>
  <c r="ES82" i="7" a="1"/>
  <c r="ES82" i="7" s="1"/>
  <c r="EE87" i="7" a="1"/>
  <c r="EE87" i="7" s="1"/>
  <c r="FE91" i="7" a="1"/>
  <c r="FE91" i="7" s="1"/>
  <c r="EC94" i="7" a="1"/>
  <c r="EC94" i="7" s="1"/>
  <c r="EK54" i="7" a="1"/>
  <c r="EK54" i="7" s="1"/>
  <c r="FE66" i="7" a="1"/>
  <c r="FE66" i="7" s="1"/>
  <c r="EF75" i="7" a="1"/>
  <c r="EF75" i="7" s="1"/>
  <c r="DU80" i="7" a="1"/>
  <c r="DU80" i="7" s="1"/>
  <c r="EI84" i="7" a="1"/>
  <c r="EI84" i="7" s="1"/>
  <c r="FO88" i="7" a="1"/>
  <c r="FO88" i="7" s="1"/>
  <c r="ED95" i="7" a="1"/>
  <c r="ED95" i="7" s="1"/>
  <c r="DQ41" i="7" a="1"/>
  <c r="DQ41" i="7" s="1"/>
  <c r="EA60" i="7" a="1"/>
  <c r="EA60" i="7" s="1"/>
  <c r="DX69" i="7" a="1"/>
  <c r="DX69" i="7" s="1"/>
  <c r="EG75" i="7" a="1"/>
  <c r="EG75" i="7" s="1"/>
  <c r="FG79" i="7" a="1"/>
  <c r="FG79" i="7" s="1"/>
  <c r="DW84" i="7" a="1"/>
  <c r="DW84" i="7" s="1"/>
  <c r="FQ88" i="7" a="1"/>
  <c r="FQ88" i="7" s="1"/>
  <c r="EJ93" i="7" a="1"/>
  <c r="EJ93" i="7" s="1"/>
  <c r="FT31" i="7" a="1"/>
  <c r="FT31" i="7" s="1"/>
  <c r="FF62" i="7" a="1"/>
  <c r="FF62" i="7" s="1"/>
  <c r="ER73" i="7" a="1"/>
  <c r="ER73" i="7" s="1"/>
  <c r="FG78" i="7" a="1"/>
  <c r="FG78" i="7" s="1"/>
  <c r="DW83" i="7" a="1"/>
  <c r="DW83" i="7" s="1"/>
  <c r="FF87" i="7" a="1"/>
  <c r="FF87" i="7" s="1"/>
  <c r="DQ92" i="7" a="1"/>
  <c r="DQ92" i="7" s="1"/>
  <c r="EE96" i="7" a="1"/>
  <c r="EE96" i="7" s="1"/>
  <c r="EO57" i="7" a="1"/>
  <c r="EO57" i="7" s="1"/>
  <c r="FL67" i="7" a="1"/>
  <c r="FL67" i="7" s="1"/>
  <c r="EW52" i="7" a="1"/>
  <c r="EW52" i="7" s="1"/>
  <c r="EB64" i="7" a="1"/>
  <c r="EB64" i="7" s="1"/>
  <c r="FJ71" i="7" a="1"/>
  <c r="FJ71" i="7" s="1"/>
  <c r="EY76" i="7" a="1"/>
  <c r="EY76" i="7" s="1"/>
  <c r="FZ80" i="7" a="1"/>
  <c r="FZ80" i="7" s="1"/>
  <c r="DS86" i="7" a="1"/>
  <c r="DS86" i="7" s="1"/>
  <c r="EP90" i="7" a="1"/>
  <c r="EP90" i="7" s="1"/>
  <c r="EU93" i="7" a="1"/>
  <c r="EU93" i="7" s="1"/>
  <c r="EZ62" i="7" a="1"/>
  <c r="EZ62" i="7" s="1"/>
  <c r="DX75" i="7" a="1"/>
  <c r="DX75" i="7" s="1"/>
  <c r="DS81" i="7" a="1"/>
  <c r="DS81" i="7" s="1"/>
  <c r="DW87" i="7" a="1"/>
  <c r="DW87" i="7" s="1"/>
  <c r="EO95" i="7" a="1"/>
  <c r="EO95" i="7" s="1"/>
  <c r="FS101" i="7" a="1"/>
  <c r="FS101" i="7" s="1"/>
  <c r="FZ104" i="7" a="1"/>
  <c r="FZ104" i="7" s="1"/>
  <c r="DV108" i="7" a="1"/>
  <c r="DV108" i="7" s="1"/>
  <c r="EC111" i="7" a="1"/>
  <c r="EC111" i="7" s="1"/>
  <c r="GA55" i="7" a="1"/>
  <c r="GA55" i="7" s="1"/>
  <c r="EL15" i="7" a="1"/>
  <c r="EL15" i="7" s="1"/>
  <c r="FU16" i="7" a="1"/>
  <c r="FU16" i="7" s="1"/>
  <c r="EF15" i="7" a="1"/>
  <c r="EF15" i="7" s="1"/>
  <c r="FO16" i="7" a="1"/>
  <c r="FO16" i="7" s="1"/>
  <c r="FE15" i="7" a="1"/>
  <c r="FE15" i="7" s="1"/>
  <c r="FQ17" i="7" a="1"/>
  <c r="FQ17" i="7" s="1"/>
  <c r="EU22" i="7" a="1"/>
  <c r="EU22" i="7" s="1"/>
  <c r="FM18" i="7" a="1"/>
  <c r="FM18" i="7" s="1"/>
  <c r="FA20" i="7" a="1"/>
  <c r="FA20" i="7" s="1"/>
  <c r="EW15" i="7" a="1"/>
  <c r="EW15" i="7" s="1"/>
  <c r="FI17" i="7" a="1"/>
  <c r="FI17" i="7" s="1"/>
  <c r="GA17" i="7" a="1"/>
  <c r="GA17" i="7" s="1"/>
  <c r="FQ19" i="7" a="1"/>
  <c r="FQ19" i="7" s="1"/>
  <c r="DW20" i="7" a="1"/>
  <c r="DW20" i="7" s="1"/>
  <c r="EN24" i="7" a="1"/>
  <c r="EN24" i="7" s="1"/>
  <c r="FI26" i="7" a="1"/>
  <c r="FI26" i="7" s="1"/>
  <c r="EG28" i="7" a="1"/>
  <c r="EG28" i="7" s="1"/>
  <c r="FK15" i="7" a="1"/>
  <c r="FK15" i="7" s="1"/>
  <c r="FV19" i="7" a="1"/>
  <c r="FV19" i="7" s="1"/>
  <c r="FK23" i="7" a="1"/>
  <c r="FK23" i="7" s="1"/>
  <c r="FG18" i="7" a="1"/>
  <c r="FG18" i="7" s="1"/>
  <c r="ED21" i="7" a="1"/>
  <c r="ED21" i="7" s="1"/>
  <c r="ET25" i="7" a="1"/>
  <c r="ET25" i="7" s="1"/>
  <c r="EH27" i="7" a="1"/>
  <c r="EH27" i="7" s="1"/>
  <c r="DV17" i="7" a="1"/>
  <c r="DV17" i="7" s="1"/>
  <c r="EI22" i="7" a="1"/>
  <c r="EI22" i="7" s="1"/>
  <c r="FC15" i="7" a="1"/>
  <c r="FC15" i="7" s="1"/>
  <c r="EP19" i="7" a="1"/>
  <c r="EP19" i="7" s="1"/>
  <c r="FT25" i="7" a="1"/>
  <c r="FT25" i="7" s="1"/>
  <c r="EK31" i="7" a="1"/>
  <c r="EK31" i="7" s="1"/>
  <c r="ER34" i="7" a="1"/>
  <c r="ER34" i="7" s="1"/>
  <c r="FM36" i="7" a="1"/>
  <c r="FM36" i="7" s="1"/>
  <c r="EK22" i="7" a="1"/>
  <c r="EK22" i="7" s="1"/>
  <c r="DY25" i="7" a="1"/>
  <c r="DY25" i="7" s="1"/>
  <c r="EO28" i="7" a="1"/>
  <c r="EO28" i="7" s="1"/>
  <c r="FK30" i="7" a="1"/>
  <c r="FK30" i="7" s="1"/>
  <c r="EB18" i="7" a="1"/>
  <c r="EB18" i="7" s="1"/>
  <c r="ES23" i="7" a="1"/>
  <c r="ES23" i="7" s="1"/>
  <c r="DR30" i="7" a="1"/>
  <c r="DR30" i="7" s="1"/>
  <c r="FF16" i="7" a="1"/>
  <c r="FF16" i="7" s="1"/>
  <c r="FL22" i="7" a="1"/>
  <c r="FL22" i="7" s="1"/>
  <c r="EC26" i="7" a="1"/>
  <c r="EC26" i="7" s="1"/>
  <c r="FV28" i="7" a="1"/>
  <c r="FV28" i="7" s="1"/>
  <c r="GA16" i="7" a="1"/>
  <c r="GA16" i="7" s="1"/>
  <c r="FG20" i="7" a="1"/>
  <c r="FG20" i="7" s="1"/>
  <c r="EQ30" i="7" a="1"/>
  <c r="EQ30" i="7" s="1"/>
  <c r="EK34" i="7" a="1"/>
  <c r="EK34" i="7" s="1"/>
  <c r="EH37" i="7" a="1"/>
  <c r="EH37" i="7" s="1"/>
  <c r="FQ38" i="7" a="1"/>
  <c r="FQ38" i="7" s="1"/>
  <c r="FM17" i="7" a="1"/>
  <c r="FM17" i="7" s="1"/>
  <c r="EU24" i="7" a="1"/>
  <c r="EU24" i="7" s="1"/>
  <c r="FH28" i="7" a="1"/>
  <c r="FH28" i="7" s="1"/>
  <c r="DX32" i="7" a="1"/>
  <c r="DX32" i="7" s="1"/>
  <c r="FT35" i="7" a="1"/>
  <c r="FT35" i="7" s="1"/>
  <c r="EK21" i="7" a="1"/>
  <c r="EK21" i="7" s="1"/>
  <c r="FV30" i="7" a="1"/>
  <c r="FV30" i="7" s="1"/>
  <c r="EL34" i="7" a="1"/>
  <c r="EL34" i="7" s="1"/>
  <c r="EW37" i="7" a="1"/>
  <c r="EW37" i="7" s="1"/>
  <c r="DS23" i="7" a="1"/>
  <c r="DS23" i="7" s="1"/>
  <c r="FE26" i="7" a="1"/>
  <c r="FE26" i="7" s="1"/>
  <c r="FB30" i="7" a="1"/>
  <c r="FB30" i="7" s="1"/>
  <c r="EU16" i="7" a="1"/>
  <c r="EU16" i="7" s="1"/>
  <c r="FT22" i="7" a="1"/>
  <c r="FT22" i="7" s="1"/>
  <c r="EY20" i="7" a="1"/>
  <c r="EY20" i="7" s="1"/>
  <c r="EF34" i="7" a="1"/>
  <c r="EF34" i="7" s="1"/>
  <c r="EC38" i="7" a="1"/>
  <c r="EC38" i="7" s="1"/>
  <c r="DQ40" i="7" a="1"/>
  <c r="DQ40" i="7" s="1"/>
  <c r="DQ43" i="7" a="1"/>
  <c r="DQ43" i="7" s="1"/>
  <c r="DV45" i="7" a="1"/>
  <c r="DV45" i="7" s="1"/>
  <c r="FE46" i="7" a="1"/>
  <c r="FE46" i="7" s="1"/>
  <c r="EL27" i="7" a="1"/>
  <c r="EL27" i="7" s="1"/>
  <c r="FJ31" i="7" a="1"/>
  <c r="FJ31" i="7" s="1"/>
  <c r="EF35" i="7" a="1"/>
  <c r="EF35" i="7" s="1"/>
  <c r="DW41" i="7" a="1"/>
  <c r="DW41" i="7" s="1"/>
  <c r="DT22" i="7" a="1"/>
  <c r="DT22" i="7" s="1"/>
  <c r="EY32" i="7" a="1"/>
  <c r="EY32" i="7" s="1"/>
  <c r="FG37" i="7" a="1"/>
  <c r="FG37" i="7" s="1"/>
  <c r="FE39" i="7" a="1"/>
  <c r="FE39" i="7" s="1"/>
  <c r="EJ42" i="7" a="1"/>
  <c r="EJ42" i="7" s="1"/>
  <c r="FM44" i="7" a="1"/>
  <c r="FM44" i="7" s="1"/>
  <c r="DZ21" i="7" a="1"/>
  <c r="DZ21" i="7" s="1"/>
  <c r="FZ28" i="7" a="1"/>
  <c r="FZ28" i="7" s="1"/>
  <c r="FM34" i="7" a="1"/>
  <c r="FM34" i="7" s="1"/>
  <c r="FE40" i="7" a="1"/>
  <c r="FE40" i="7" s="1"/>
  <c r="FB22" i="7" a="1"/>
  <c r="FB22" i="7" s="1"/>
  <c r="FA24" i="7" a="1"/>
  <c r="FA24" i="7" s="1"/>
  <c r="EY26" i="7" a="1"/>
  <c r="EY26" i="7" s="1"/>
  <c r="EC33" i="7" a="1"/>
  <c r="EC33" i="7" s="1"/>
  <c r="DY38" i="7" a="1"/>
  <c r="DY38" i="7" s="1"/>
  <c r="DT28" i="7" a="1"/>
  <c r="DT28" i="7" s="1"/>
  <c r="EV36" i="7" a="1"/>
  <c r="EV36" i="7" s="1"/>
  <c r="FV42" i="7" a="1"/>
  <c r="FV42" i="7" s="1"/>
  <c r="EL47" i="7" a="1"/>
  <c r="EL47" i="7" s="1"/>
  <c r="FU48" i="7" a="1"/>
  <c r="FU48" i="7" s="1"/>
  <c r="ES50" i="7" a="1"/>
  <c r="ES50" i="7" s="1"/>
  <c r="EG25" i="7" a="1"/>
  <c r="EG25" i="7" s="1"/>
  <c r="DS36" i="7" a="1"/>
  <c r="DS36" i="7" s="1"/>
  <c r="EI40" i="7" a="1"/>
  <c r="EI40" i="7" s="1"/>
  <c r="EI44" i="7" a="1"/>
  <c r="EI44" i="7" s="1"/>
  <c r="EV20" i="7" a="1"/>
  <c r="EV20" i="7" s="1"/>
  <c r="EF33" i="7" a="1"/>
  <c r="EF33" i="7" s="1"/>
  <c r="ES40" i="7" a="1"/>
  <c r="ES40" i="7" s="1"/>
  <c r="FJ45" i="7" a="1"/>
  <c r="FJ45" i="7" s="1"/>
  <c r="FV47" i="7" a="1"/>
  <c r="FV47" i="7" s="1"/>
  <c r="ET49" i="7" a="1"/>
  <c r="ET49" i="7" s="1"/>
  <c r="DR51" i="7" a="1"/>
  <c r="DR51" i="7" s="1"/>
  <c r="EK29" i="7" a="1"/>
  <c r="EK29" i="7" s="1"/>
  <c r="EZ36" i="7" a="1"/>
  <c r="EZ36" i="7" s="1"/>
  <c r="EJ40" i="7" a="1"/>
  <c r="EJ40" i="7" s="1"/>
  <c r="FI44" i="7" a="1"/>
  <c r="FI44" i="7" s="1"/>
  <c r="EM25" i="7" a="1"/>
  <c r="EM25" i="7" s="1"/>
  <c r="FR19" i="7" a="1"/>
  <c r="FR19" i="7" s="1"/>
  <c r="ED32" i="7" a="1"/>
  <c r="ED32" i="7" s="1"/>
  <c r="EK37" i="7" a="1"/>
  <c r="EK37" i="7" s="1"/>
  <c r="FY43" i="7" a="1"/>
  <c r="FY43" i="7" s="1"/>
  <c r="FK47" i="7" a="1"/>
  <c r="FK47" i="7" s="1"/>
  <c r="EO35" i="7" a="1"/>
  <c r="EO35" i="7" s="1"/>
  <c r="FA42" i="7" a="1"/>
  <c r="FA42" i="7" s="1"/>
  <c r="FH53" i="7" a="1"/>
  <c r="FH53" i="7" s="1"/>
  <c r="FH56" i="7" a="1"/>
  <c r="FH56" i="7" s="1"/>
  <c r="FO59" i="7" a="1"/>
  <c r="FO59" i="7" s="1"/>
  <c r="EZ32" i="7" a="1"/>
  <c r="EZ32" i="7" s="1"/>
  <c r="EE40" i="7" a="1"/>
  <c r="EE40" i="7" s="1"/>
  <c r="FK44" i="7" a="1"/>
  <c r="FK44" i="7" s="1"/>
  <c r="FR48" i="7" a="1"/>
  <c r="FR48" i="7" s="1"/>
  <c r="DS51" i="7" a="1"/>
  <c r="DS51" i="7" s="1"/>
  <c r="FW52" i="7" a="1"/>
  <c r="FW52" i="7" s="1"/>
  <c r="ER31" i="7" a="1"/>
  <c r="ER31" i="7" s="1"/>
  <c r="EY40" i="7" a="1"/>
  <c r="EY40" i="7" s="1"/>
  <c r="EY47" i="7" a="1"/>
  <c r="EY47" i="7" s="1"/>
  <c r="DW56" i="7" a="1"/>
  <c r="DW56" i="7" s="1"/>
  <c r="EI28" i="7" a="1"/>
  <c r="EI28" i="7" s="1"/>
  <c r="DS40" i="7" a="1"/>
  <c r="DS40" i="7" s="1"/>
  <c r="EA45" i="7" a="1"/>
  <c r="EA45" i="7" s="1"/>
  <c r="EB49" i="7" a="1"/>
  <c r="EB49" i="7" s="1"/>
  <c r="EN51" i="7" a="1"/>
  <c r="EN51" i="7" s="1"/>
  <c r="FE36" i="7" a="1"/>
  <c r="FE36" i="7" s="1"/>
  <c r="EQ38" i="7" a="1"/>
  <c r="EQ38" i="7" s="1"/>
  <c r="DS45" i="7" a="1"/>
  <c r="DS45" i="7" s="1"/>
  <c r="EC32" i="7" a="1"/>
  <c r="EC32" i="7" s="1"/>
  <c r="DV47" i="7" a="1"/>
  <c r="DV47" i="7" s="1"/>
  <c r="FD52" i="7" a="1"/>
  <c r="FD52" i="7" s="1"/>
  <c r="FK56" i="7" a="1"/>
  <c r="FK56" i="7" s="1"/>
  <c r="EZ60" i="7" a="1"/>
  <c r="EZ60" i="7" s="1"/>
  <c r="FG63" i="7" a="1"/>
  <c r="FG63" i="7" s="1"/>
  <c r="FN66" i="7" a="1"/>
  <c r="FN66" i="7" s="1"/>
  <c r="FZ29" i="7" a="1"/>
  <c r="FZ29" i="7" s="1"/>
  <c r="EF46" i="7" a="1"/>
  <c r="EF46" i="7" s="1"/>
  <c r="DY53" i="7" a="1"/>
  <c r="DY53" i="7" s="1"/>
  <c r="EB56" i="7" a="1"/>
  <c r="EB56" i="7" s="1"/>
  <c r="FP59" i="7" a="1"/>
  <c r="FP59" i="7" s="1"/>
  <c r="EN62" i="7" a="1"/>
  <c r="EN62" i="7" s="1"/>
  <c r="FI37" i="7" a="1"/>
  <c r="FI37" i="7" s="1"/>
  <c r="ET44" i="7" a="1"/>
  <c r="ET44" i="7" s="1"/>
  <c r="DV51" i="7" a="1"/>
  <c r="DV51" i="7" s="1"/>
  <c r="EW54" i="7" a="1"/>
  <c r="EW54" i="7" s="1"/>
  <c r="DZ58" i="7" a="1"/>
  <c r="DZ58" i="7" s="1"/>
  <c r="DR62" i="7" a="1"/>
  <c r="DR62" i="7" s="1"/>
  <c r="DY65" i="7" a="1"/>
  <c r="DY65" i="7" s="1"/>
  <c r="ET36" i="7" a="1"/>
  <c r="ET36" i="7" s="1"/>
  <c r="FF48" i="7" a="1"/>
  <c r="FF48" i="7" s="1"/>
  <c r="FZ53" i="7" a="1"/>
  <c r="FZ53" i="7" s="1"/>
  <c r="ET57" i="7" a="1"/>
  <c r="ET57" i="7" s="1"/>
  <c r="FB60" i="7" a="1"/>
  <c r="FB60" i="7" s="1"/>
  <c r="FO21" i="7" a="1"/>
  <c r="FO21" i="7" s="1"/>
  <c r="FP42" i="7" a="1"/>
  <c r="FP42" i="7" s="1"/>
  <c r="FZ43" i="7" a="1"/>
  <c r="FZ43" i="7" s="1"/>
  <c r="FI50" i="7" a="1"/>
  <c r="FI50" i="7" s="1"/>
  <c r="FZ55" i="7" a="1"/>
  <c r="FZ55" i="7" s="1"/>
  <c r="FZ58" i="7" a="1"/>
  <c r="FZ58" i="7" s="1"/>
  <c r="EJ62" i="7" a="1"/>
  <c r="EJ62" i="7" s="1"/>
  <c r="EG39" i="7" a="1"/>
  <c r="EG39" i="7" s="1"/>
  <c r="DV52" i="7" a="1"/>
  <c r="DV52" i="7" s="1"/>
  <c r="FM56" i="7" a="1"/>
  <c r="FM56" i="7" s="1"/>
  <c r="ED61" i="7" a="1"/>
  <c r="ED61" i="7" s="1"/>
  <c r="FJ65" i="7" a="1"/>
  <c r="FJ65" i="7" s="1"/>
  <c r="EZ69" i="7" a="1"/>
  <c r="EZ69" i="7" s="1"/>
  <c r="DX71" i="7" a="1"/>
  <c r="DX71" i="7" s="1"/>
  <c r="FG72" i="7" a="1"/>
  <c r="FG72" i="7" s="1"/>
  <c r="EE74" i="7" a="1"/>
  <c r="EE74" i="7" s="1"/>
  <c r="FC44" i="7" a="1"/>
  <c r="FC44" i="7" s="1"/>
  <c r="FI52" i="7" a="1"/>
  <c r="FI52" i="7" s="1"/>
  <c r="FH58" i="7" a="1"/>
  <c r="FH58" i="7" s="1"/>
  <c r="FV63" i="7" a="1"/>
  <c r="FV63" i="7" s="1"/>
  <c r="FW66" i="7" a="1"/>
  <c r="FW66" i="7" s="1"/>
  <c r="FE35" i="7" a="1"/>
  <c r="FE35" i="7" s="1"/>
  <c r="FP50" i="7" a="1"/>
  <c r="FP50" i="7" s="1"/>
  <c r="GA56" i="7" a="1"/>
  <c r="GA56" i="7" s="1"/>
  <c r="EL62" i="7" a="1"/>
  <c r="EL62" i="7" s="1"/>
  <c r="FI67" i="7" a="1"/>
  <c r="FI67" i="7" s="1"/>
  <c r="FO69" i="7" a="1"/>
  <c r="FO69" i="7" s="1"/>
  <c r="EM71" i="7" a="1"/>
  <c r="EM71" i="7" s="1"/>
  <c r="FV72" i="7" a="1"/>
  <c r="FV72" i="7" s="1"/>
  <c r="ET74" i="7" a="1"/>
  <c r="ET74" i="7" s="1"/>
  <c r="FD45" i="7" a="1"/>
  <c r="FD45" i="7" s="1"/>
  <c r="FR54" i="7" a="1"/>
  <c r="FR54" i="7" s="1"/>
  <c r="FJ59" i="7" a="1"/>
  <c r="FJ59" i="7" s="1"/>
  <c r="EM64" i="7" a="1"/>
  <c r="EM64" i="7" s="1"/>
  <c r="EK67" i="7" a="1"/>
  <c r="EK67" i="7" s="1"/>
  <c r="DZ46" i="7" a="1"/>
  <c r="DZ46" i="7" s="1"/>
  <c r="EW53" i="7" a="1"/>
  <c r="EW53" i="7" s="1"/>
  <c r="FG43" i="7" a="1"/>
  <c r="FG43" i="7" s="1"/>
  <c r="FB53" i="7" a="1"/>
  <c r="FB53" i="7" s="1"/>
  <c r="EN58" i="7" a="1"/>
  <c r="EN58" i="7" s="1"/>
  <c r="EG64" i="7" a="1"/>
  <c r="EG64" i="7" s="1"/>
  <c r="DR68" i="7" a="1"/>
  <c r="DR68" i="7" s="1"/>
  <c r="FY69" i="7" a="1"/>
  <c r="FY69" i="7" s="1"/>
  <c r="EW71" i="7" a="1"/>
  <c r="EW71" i="7" s="1"/>
  <c r="DU73" i="7" a="1"/>
  <c r="DU73" i="7" s="1"/>
  <c r="FO51" i="7" a="1"/>
  <c r="FO51" i="7" s="1"/>
  <c r="FE60" i="7" a="1"/>
  <c r="FE60" i="7" s="1"/>
  <c r="FZ66" i="7" a="1"/>
  <c r="FZ66" i="7" s="1"/>
  <c r="FC71" i="7" a="1"/>
  <c r="FC71" i="7" s="1"/>
  <c r="FH74" i="7" a="1"/>
  <c r="FH74" i="7" s="1"/>
  <c r="EV84" i="7" a="1"/>
  <c r="EV84" i="7" s="1"/>
  <c r="FC87" i="7" a="1"/>
  <c r="FC87" i="7" s="1"/>
  <c r="FJ90" i="7" a="1"/>
  <c r="FJ90" i="7" s="1"/>
  <c r="FF33" i="7" a="1"/>
  <c r="FF33" i="7" s="1"/>
  <c r="ED56" i="7" a="1"/>
  <c r="ED56" i="7" s="1"/>
  <c r="DQ64" i="7" a="1"/>
  <c r="DQ64" i="7" s="1"/>
  <c r="FO68" i="7" a="1"/>
  <c r="FO68" i="7" s="1"/>
  <c r="DV75" i="7" a="1"/>
  <c r="DV75" i="7" s="1"/>
  <c r="FU76" i="7" a="1"/>
  <c r="FU76" i="7" s="1"/>
  <c r="FJ78" i="7" a="1"/>
  <c r="FJ78" i="7" s="1"/>
  <c r="EX80" i="7" a="1"/>
  <c r="EX80" i="7" s="1"/>
  <c r="EL82" i="7" a="1"/>
  <c r="EL82" i="7" s="1"/>
  <c r="EO84" i="7" a="1"/>
  <c r="EO84" i="7" s="1"/>
  <c r="EV87" i="7" a="1"/>
  <c r="EV87" i="7" s="1"/>
  <c r="FC90" i="7" a="1"/>
  <c r="FC90" i="7" s="1"/>
  <c r="EQ49" i="7" a="1"/>
  <c r="EQ49" i="7" s="1"/>
  <c r="FQ58" i="7" a="1"/>
  <c r="FQ58" i="7" s="1"/>
  <c r="EL65" i="7" a="1"/>
  <c r="EL65" i="7" s="1"/>
  <c r="EG70" i="7" a="1"/>
  <c r="EG70" i="7" s="1"/>
  <c r="DW74" i="7" a="1"/>
  <c r="DW74" i="7" s="1"/>
  <c r="DY83" i="7" a="1"/>
  <c r="DY83" i="7" s="1"/>
  <c r="FN86" i="7" a="1"/>
  <c r="FN86" i="7" s="1"/>
  <c r="FU89" i="7" a="1"/>
  <c r="FU89" i="7" s="1"/>
  <c r="EV92" i="7" a="1"/>
  <c r="EV92" i="7" s="1"/>
  <c r="DT94" i="7" a="1"/>
  <c r="DT94" i="7" s="1"/>
  <c r="GA43" i="7" a="1"/>
  <c r="GA43" i="7" s="1"/>
  <c r="EG57" i="7" a="1"/>
  <c r="EG57" i="7" s="1"/>
  <c r="EV64" i="7" a="1"/>
  <c r="EV64" i="7" s="1"/>
  <c r="FM70" i="7" a="1"/>
  <c r="FM70" i="7" s="1"/>
  <c r="FD75" i="7" a="1"/>
  <c r="FD75" i="7" s="1"/>
  <c r="ER77" i="7" a="1"/>
  <c r="ER77" i="7" s="1"/>
  <c r="EG79" i="7" a="1"/>
  <c r="EG79" i="7" s="1"/>
  <c r="DU81" i="7" a="1"/>
  <c r="DU81" i="7" s="1"/>
  <c r="FT82" i="7" a="1"/>
  <c r="FT82" i="7" s="1"/>
  <c r="EF85" i="7" a="1"/>
  <c r="EF85" i="7" s="1"/>
  <c r="EL39" i="7" a="1"/>
  <c r="EL39" i="7" s="1"/>
  <c r="EE58" i="7" a="1"/>
  <c r="EE58" i="7" s="1"/>
  <c r="FD66" i="7" a="1"/>
  <c r="FD66" i="7" s="1"/>
  <c r="FU36" i="7" a="1"/>
  <c r="FU36" i="7" s="1"/>
  <c r="FC59" i="7" a="1"/>
  <c r="FC59" i="7" s="1"/>
  <c r="EQ65" i="7" a="1"/>
  <c r="EQ65" i="7" s="1"/>
  <c r="FF70" i="7" a="1"/>
  <c r="FF70" i="7" s="1"/>
  <c r="EK74" i="7" a="1"/>
  <c r="EK74" i="7" s="1"/>
  <c r="DV84" i="7" a="1"/>
  <c r="DV84" i="7" s="1"/>
  <c r="EC87" i="7" a="1"/>
  <c r="EC87" i="7" s="1"/>
  <c r="EJ90" i="7" a="1"/>
  <c r="EJ90" i="7" s="1"/>
  <c r="EM38" i="7" a="1"/>
  <c r="EM38" i="7" s="1"/>
  <c r="DW61" i="7" a="1"/>
  <c r="DW61" i="7" s="1"/>
  <c r="DV72" i="7" a="1"/>
  <c r="DV72" i="7" s="1"/>
  <c r="EF78" i="7" a="1"/>
  <c r="EF78" i="7" s="1"/>
  <c r="FG82" i="7" a="1"/>
  <c r="FG82" i="7" s="1"/>
  <c r="FN87" i="7" a="1"/>
  <c r="FN87" i="7" s="1"/>
  <c r="FZ91" i="7" a="1"/>
  <c r="FZ91" i="7" s="1"/>
  <c r="EK94" i="7" a="1"/>
  <c r="EK94" i="7" s="1"/>
  <c r="ER55" i="7" a="1"/>
  <c r="ER55" i="7" s="1"/>
  <c r="EL67" i="7" a="1"/>
  <c r="EL67" i="7" s="1"/>
  <c r="FE75" i="7" a="1"/>
  <c r="FE75" i="7" s="1"/>
  <c r="EG80" i="7" a="1"/>
  <c r="EG80" i="7" s="1"/>
  <c r="ET84" i="7" a="1"/>
  <c r="ET84" i="7" s="1"/>
  <c r="FZ88" i="7" a="1"/>
  <c r="FZ88" i="7" s="1"/>
  <c r="EK95" i="7" a="1"/>
  <c r="EK95" i="7" s="1"/>
  <c r="FG44" i="7" a="1"/>
  <c r="FG44" i="7" s="1"/>
  <c r="DZ61" i="7" a="1"/>
  <c r="DZ61" i="7" s="1"/>
  <c r="FI69" i="7" a="1"/>
  <c r="FI69" i="7" s="1"/>
  <c r="ER75" i="7" a="1"/>
  <c r="ER75" i="7" s="1"/>
  <c r="FS79" i="7" a="1"/>
  <c r="FS79" i="7" s="1"/>
  <c r="DS85" i="7" a="1"/>
  <c r="DS85" i="7" s="1"/>
  <c r="DZ89" i="7" a="1"/>
  <c r="DZ89" i="7" s="1"/>
  <c r="ER93" i="7" a="1"/>
  <c r="ER93" i="7" s="1"/>
  <c r="EL35" i="7" a="1"/>
  <c r="EL35" i="7" s="1"/>
  <c r="FJ63" i="7" a="1"/>
  <c r="FJ63" i="7" s="1"/>
  <c r="ER74" i="7" a="1"/>
  <c r="ER74" i="7" s="1"/>
  <c r="EI79" i="7" a="1"/>
  <c r="EI79" i="7" s="1"/>
  <c r="EK83" i="7" a="1"/>
  <c r="EK83" i="7" s="1"/>
  <c r="ES15" i="7" a="1"/>
  <c r="ES15" i="7" s="1"/>
  <c r="DQ17" i="7" a="1"/>
  <c r="DQ17" i="7" s="1"/>
  <c r="EM15" i="7" a="1"/>
  <c r="EM15" i="7" s="1"/>
  <c r="FV16" i="7" a="1"/>
  <c r="FV16" i="7" s="1"/>
  <c r="FP15" i="7" a="1"/>
  <c r="FP15" i="7" s="1"/>
  <c r="DW18" i="7" a="1"/>
  <c r="DW18" i="7" s="1"/>
  <c r="FJ22" i="7" a="1"/>
  <c r="FJ22" i="7" s="1"/>
  <c r="FU18" i="7" a="1"/>
  <c r="FU18" i="7" s="1"/>
  <c r="FP20" i="7" a="1"/>
  <c r="FP20" i="7" s="1"/>
  <c r="FF15" i="7" a="1"/>
  <c r="FF15" i="7" s="1"/>
  <c r="FR17" i="7" a="1"/>
  <c r="FR17" i="7" s="1"/>
  <c r="DZ18" i="7" a="1"/>
  <c r="DZ18" i="7" s="1"/>
  <c r="FY19" i="7" a="1"/>
  <c r="FY19" i="7" s="1"/>
  <c r="EQ20" i="7" a="1"/>
  <c r="EQ20" i="7" s="1"/>
  <c r="FC24" i="7" a="1"/>
  <c r="FC24" i="7" s="1"/>
  <c r="FP26" i="7" a="1"/>
  <c r="FP26" i="7" s="1"/>
  <c r="EN28" i="7" a="1"/>
  <c r="EN28" i="7" s="1"/>
  <c r="FX15" i="7" a="1"/>
  <c r="FX15" i="7" s="1"/>
  <c r="EH20" i="7" a="1"/>
  <c r="EH20" i="7" s="1"/>
  <c r="FS23" i="7" a="1"/>
  <c r="FS23" i="7" s="1"/>
  <c r="FR18" i="7" a="1"/>
  <c r="FR18" i="7" s="1"/>
  <c r="FG21" i="7" a="1"/>
  <c r="FG21" i="7" s="1"/>
  <c r="FI25" i="7" a="1"/>
  <c r="FI25" i="7" s="1"/>
  <c r="EO27" i="7" a="1"/>
  <c r="EO27" i="7" s="1"/>
  <c r="EI17" i="7" a="1"/>
  <c r="EI17" i="7" s="1"/>
  <c r="EZ22" i="7" a="1"/>
  <c r="EZ22" i="7" s="1"/>
  <c r="FR15" i="7" a="1"/>
  <c r="FR15" i="7" s="1"/>
  <c r="FE19" i="7" a="1"/>
  <c r="FE19" i="7" s="1"/>
  <c r="EJ26" i="7" a="1"/>
  <c r="EJ26" i="7" s="1"/>
  <c r="EZ31" i="7" a="1"/>
  <c r="EZ31" i="7" s="1"/>
  <c r="FG34" i="7" a="1"/>
  <c r="FG34" i="7" s="1"/>
  <c r="FB15" i="7" a="1"/>
  <c r="FB15" i="7" s="1"/>
  <c r="EW22" i="7" a="1"/>
  <c r="EW22" i="7" s="1"/>
  <c r="EH25" i="7" a="1"/>
  <c r="EH25" i="7" s="1"/>
  <c r="EW28" i="7" a="1"/>
  <c r="EW28" i="7" s="1"/>
  <c r="FZ30" i="7" a="1"/>
  <c r="FZ30" i="7" s="1"/>
  <c r="EQ18" i="7" a="1"/>
  <c r="EQ18" i="7" s="1"/>
  <c r="DR24" i="7" a="1"/>
  <c r="DR24" i="7" s="1"/>
  <c r="EG30" i="7" a="1"/>
  <c r="EG30" i="7" s="1"/>
  <c r="FZ16" i="7" a="1"/>
  <c r="FZ16" i="7" s="1"/>
  <c r="FW22" i="7" a="1"/>
  <c r="FW22" i="7" s="1"/>
  <c r="ET26" i="7" a="1"/>
  <c r="ET26" i="7" s="1"/>
  <c r="DT29" i="7" a="1"/>
  <c r="DT29" i="7" s="1"/>
  <c r="EO15" i="7" a="1"/>
  <c r="EO15" i="7" s="1"/>
  <c r="FZ20" i="7" a="1"/>
  <c r="FZ20" i="7" s="1"/>
  <c r="FL30" i="7" a="1"/>
  <c r="FL30" i="7" s="1"/>
  <c r="ES34" i="7" a="1"/>
  <c r="ES34" i="7" s="1"/>
  <c r="EO37" i="7" a="1"/>
  <c r="EO37" i="7" s="1"/>
  <c r="FX38" i="7" a="1"/>
  <c r="FX38" i="7" s="1"/>
  <c r="ED18" i="7" a="1"/>
  <c r="ED18" i="7" s="1"/>
  <c r="FJ24" i="7" a="1"/>
  <c r="FJ24" i="7" s="1"/>
  <c r="FS28" i="7" a="1"/>
  <c r="FS28" i="7" s="1"/>
  <c r="EG32" i="7" a="1"/>
  <c r="EG32" i="7" s="1"/>
  <c r="DQ36" i="7" a="1"/>
  <c r="DQ36" i="7" s="1"/>
  <c r="EB25" i="7" a="1"/>
  <c r="EB25" i="7" s="1"/>
  <c r="EE31" i="7" a="1"/>
  <c r="EE31" i="7" s="1"/>
  <c r="ET34" i="7" a="1"/>
  <c r="ET34" i="7" s="1"/>
  <c r="FD37" i="7" a="1"/>
  <c r="FD37" i="7" s="1"/>
  <c r="EJ23" i="7" a="1"/>
  <c r="EJ23" i="7" s="1"/>
  <c r="FO27" i="7" a="1"/>
  <c r="FO27" i="7" s="1"/>
  <c r="DU31" i="7" a="1"/>
  <c r="DU31" i="7" s="1"/>
  <c r="EY17" i="7" a="1"/>
  <c r="EY17" i="7" s="1"/>
  <c r="FV23" i="7" a="1"/>
  <c r="FV23" i="7" s="1"/>
  <c r="ER22" i="7" a="1"/>
  <c r="ER22" i="7" s="1"/>
  <c r="EP34" i="7" a="1"/>
  <c r="EP34" i="7" s="1"/>
  <c r="EK38" i="7" a="1"/>
  <c r="EK38" i="7" s="1"/>
  <c r="DY40" i="7" a="1"/>
  <c r="DY40" i="7" s="1"/>
  <c r="EF43" i="7" a="1"/>
  <c r="EF43" i="7" s="1"/>
  <c r="EC45" i="7" a="1"/>
  <c r="EC45" i="7" s="1"/>
  <c r="FL46" i="7" a="1"/>
  <c r="FL46" i="7" s="1"/>
  <c r="FF27" i="7" a="1"/>
  <c r="FF27" i="7" s="1"/>
  <c r="FU31" i="7" a="1"/>
  <c r="FU31" i="7" s="1"/>
  <c r="EZ35" i="7" a="1"/>
  <c r="EZ35" i="7" s="1"/>
  <c r="EL41" i="7" a="1"/>
  <c r="EL41" i="7" s="1"/>
  <c r="FA22" i="7" a="1"/>
  <c r="FA22" i="7" s="1"/>
  <c r="FX32" i="7" a="1"/>
  <c r="FX32" i="7" s="1"/>
  <c r="FY37" i="7" a="1"/>
  <c r="FY37" i="7" s="1"/>
  <c r="FM39" i="7" a="1"/>
  <c r="FM39" i="7" s="1"/>
  <c r="EY42" i="7" a="1"/>
  <c r="EY42" i="7" s="1"/>
  <c r="FT44" i="7" a="1"/>
  <c r="FT44" i="7" s="1"/>
  <c r="FX22" i="7" a="1"/>
  <c r="FX22" i="7" s="1"/>
  <c r="ED29" i="7" a="1"/>
  <c r="ED29" i="7" s="1"/>
  <c r="FW34" i="7" a="1"/>
  <c r="FW34" i="7" s="1"/>
  <c r="FT40" i="7" a="1"/>
  <c r="FT40" i="7" s="1"/>
  <c r="GA22" i="7" a="1"/>
  <c r="GA22" i="7" s="1"/>
  <c r="FU24" i="7" a="1"/>
  <c r="FU24" i="7" s="1"/>
  <c r="FS26" i="7" a="1"/>
  <c r="FS26" i="7" s="1"/>
  <c r="EW33" i="7" a="1"/>
  <c r="EW33" i="7" s="1"/>
  <c r="EG38" i="7" a="1"/>
  <c r="EG38" i="7" s="1"/>
  <c r="EQ28" i="7" a="1"/>
  <c r="EQ28" i="7" s="1"/>
  <c r="FL36" i="7" a="1"/>
  <c r="FL36" i="7" s="1"/>
  <c r="EK43" i="7" a="1"/>
  <c r="EK43" i="7" s="1"/>
  <c r="ES47" i="7" a="1"/>
  <c r="ES47" i="7" s="1"/>
  <c r="DQ49" i="7" a="1"/>
  <c r="DQ49" i="7" s="1"/>
  <c r="EZ50" i="7" a="1"/>
  <c r="EZ50" i="7" s="1"/>
  <c r="FE27" i="7" a="1"/>
  <c r="FE27" i="7" s="1"/>
  <c r="EI36" i="7" a="1"/>
  <c r="EI36" i="7" s="1"/>
  <c r="FB40" i="7" a="1"/>
  <c r="FB40" i="7" s="1"/>
  <c r="EZ44" i="7" a="1"/>
  <c r="EZ44" i="7" s="1"/>
  <c r="EO21" i="7" a="1"/>
  <c r="EO21" i="7" s="1"/>
  <c r="FN33" i="7" a="1"/>
  <c r="FN33" i="7" s="1"/>
  <c r="FX40" i="7" a="1"/>
  <c r="FX40" i="7" s="1"/>
  <c r="FY45" i="7" a="1"/>
  <c r="FY45" i="7" s="1"/>
  <c r="DR48" i="7" a="1"/>
  <c r="DR48" i="7" s="1"/>
  <c r="FA49" i="7" a="1"/>
  <c r="FA49" i="7" s="1"/>
  <c r="DY51" i="7" a="1"/>
  <c r="DY51" i="7" s="1"/>
  <c r="FE29" i="7" a="1"/>
  <c r="FE29" i="7" s="1"/>
  <c r="FN36" i="7" a="1"/>
  <c r="FN36" i="7" s="1"/>
  <c r="FO40" i="7" a="1"/>
  <c r="FO40" i="7" s="1"/>
  <c r="FQ44" i="7" a="1"/>
  <c r="FQ44" i="7" s="1"/>
  <c r="DU26" i="7" a="1"/>
  <c r="DU26" i="7" s="1"/>
  <c r="FO20" i="7" a="1"/>
  <c r="FO20" i="7" s="1"/>
  <c r="EV32" i="7" a="1"/>
  <c r="EV32" i="7" s="1"/>
  <c r="EN38" i="7" a="1"/>
  <c r="EN38" i="7" s="1"/>
  <c r="FF45" i="7" a="1"/>
  <c r="FF45" i="7" s="1"/>
  <c r="FR47" i="7" a="1"/>
  <c r="FR47" i="7" s="1"/>
  <c r="FN35" i="7" a="1"/>
  <c r="FN35" i="7" s="1"/>
  <c r="ES43" i="7" a="1"/>
  <c r="ES43" i="7" s="1"/>
  <c r="FP53" i="7" a="1"/>
  <c r="FP53" i="7" s="1"/>
  <c r="FW56" i="7" a="1"/>
  <c r="FW56" i="7" s="1"/>
  <c r="DS60" i="7" a="1"/>
  <c r="DS60" i="7" s="1"/>
  <c r="DU33" i="7" a="1"/>
  <c r="DU33" i="7" s="1"/>
  <c r="EX40" i="7" a="1"/>
  <c r="EX40" i="7" s="1"/>
  <c r="FW44" i="7" a="1"/>
  <c r="FW44" i="7" s="1"/>
  <c r="GA48" i="7" a="1"/>
  <c r="GA48" i="7" s="1"/>
  <c r="EB51" i="7" a="1"/>
  <c r="EB51" i="7" s="1"/>
  <c r="DT53" i="7" a="1"/>
  <c r="DT53" i="7" s="1"/>
  <c r="FB32" i="7" a="1"/>
  <c r="FB32" i="7" s="1"/>
  <c r="EM42" i="7" a="1"/>
  <c r="EM42" i="7" s="1"/>
  <c r="DR52" i="7" a="1"/>
  <c r="DR52" i="7" s="1"/>
  <c r="EL56" i="7" a="1"/>
  <c r="EL56" i="7" s="1"/>
  <c r="GA28" i="7" a="1"/>
  <c r="GA28" i="7" s="1"/>
  <c r="FP40" i="7" a="1"/>
  <c r="FP40" i="7" s="1"/>
  <c r="FM45" i="7" a="1"/>
  <c r="FM45" i="7" s="1"/>
  <c r="EK49" i="7" a="1"/>
  <c r="EK49" i="7" s="1"/>
  <c r="EW51" i="7" a="1"/>
  <c r="EW51" i="7" s="1"/>
  <c r="DQ20" i="7" a="1"/>
  <c r="DQ20" i="7" s="1"/>
  <c r="EI39" i="7" a="1"/>
  <c r="EI39" i="7" s="1"/>
  <c r="FP45" i="7" a="1"/>
  <c r="FP45" i="7" s="1"/>
  <c r="FV32" i="7" a="1"/>
  <c r="FV32" i="7" s="1"/>
  <c r="EK47" i="7" a="1"/>
  <c r="EK47" i="7" s="1"/>
  <c r="FP52" i="7" a="1"/>
  <c r="FP52" i="7" s="1"/>
  <c r="DQ57" i="7" a="1"/>
  <c r="DQ57" i="7" s="1"/>
  <c r="FH60" i="7" a="1"/>
  <c r="FH60" i="7" s="1"/>
  <c r="FO63" i="7" a="1"/>
  <c r="FO63" i="7" s="1"/>
  <c r="FV66" i="7" a="1"/>
  <c r="FV66" i="7" s="1"/>
  <c r="EA31" i="7" a="1"/>
  <c r="EA31" i="7" s="1"/>
  <c r="FE47" i="7" a="1"/>
  <c r="FE47" i="7" s="1"/>
  <c r="EI53" i="7" a="1"/>
  <c r="EI53" i="7" s="1"/>
  <c r="FC56" i="7" a="1"/>
  <c r="FC56" i="7" s="1"/>
  <c r="FX59" i="7" a="1"/>
  <c r="FX59" i="7" s="1"/>
  <c r="FC62" i="7" a="1"/>
  <c r="FC62" i="7" s="1"/>
  <c r="DZ38" i="7" a="1"/>
  <c r="DZ38" i="7" s="1"/>
  <c r="FN44" i="7" a="1"/>
  <c r="FN44" i="7" s="1"/>
  <c r="EJ51" i="7" a="1"/>
  <c r="EJ51" i="7" s="1"/>
  <c r="FF54" i="7" a="1"/>
  <c r="FF54" i="7" s="1"/>
  <c r="EH58" i="7" a="1"/>
  <c r="EH58" i="7" s="1"/>
  <c r="EG62" i="7" a="1"/>
  <c r="EG62" i="7" s="1"/>
  <c r="EN65" i="7" a="1"/>
  <c r="EN65" i="7" s="1"/>
  <c r="EB38" i="7" a="1"/>
  <c r="EB38" i="7" s="1"/>
  <c r="FX48" i="7" a="1"/>
  <c r="FX48" i="7" s="1"/>
  <c r="EO54" i="7" a="1"/>
  <c r="EO54" i="7" s="1"/>
  <c r="FK57" i="7" a="1"/>
  <c r="FK57" i="7" s="1"/>
  <c r="FQ60" i="7" a="1"/>
  <c r="FQ60" i="7" s="1"/>
  <c r="FU27" i="7" a="1"/>
  <c r="FU27" i="7" s="1"/>
  <c r="EA43" i="7" a="1"/>
  <c r="EA43" i="7" s="1"/>
  <c r="EG44" i="7" a="1"/>
  <c r="EG44" i="7" s="1"/>
  <c r="FY50" i="7" a="1"/>
  <c r="FY50" i="7" s="1"/>
  <c r="DX56" i="7" a="1"/>
  <c r="DX56" i="7" s="1"/>
  <c r="DW59" i="7" a="1"/>
  <c r="DW59" i="7" s="1"/>
  <c r="EY62" i="7" a="1"/>
  <c r="EY62" i="7" s="1"/>
  <c r="DU40" i="7" a="1"/>
  <c r="DU40" i="7" s="1"/>
  <c r="EO52" i="7" a="1"/>
  <c r="EO52" i="7" s="1"/>
  <c r="FZ56" i="7" a="1"/>
  <c r="FZ56" i="7" s="1"/>
  <c r="EO61" i="7" a="1"/>
  <c r="EO61" i="7" s="1"/>
  <c r="FS65" i="7" a="1"/>
  <c r="FS65" i="7" s="1"/>
  <c r="FG69" i="7" a="1"/>
  <c r="FG69" i="7" s="1"/>
  <c r="EE71" i="7" a="1"/>
  <c r="EE71" i="7" s="1"/>
  <c r="FN72" i="7" a="1"/>
  <c r="FN72" i="7" s="1"/>
  <c r="EL74" i="7" a="1"/>
  <c r="EL74" i="7" s="1"/>
  <c r="DX45" i="7" a="1"/>
  <c r="DX45" i="7" s="1"/>
  <c r="FX52" i="7" a="1"/>
  <c r="FX52" i="7" s="1"/>
  <c r="DV59" i="7" a="1"/>
  <c r="DV59" i="7" s="1"/>
  <c r="EC64" i="7" a="1"/>
  <c r="EC64" i="7" s="1"/>
  <c r="DT67" i="7" a="1"/>
  <c r="DT67" i="7" s="1"/>
  <c r="FM37" i="7" a="1"/>
  <c r="FM37" i="7" s="1"/>
  <c r="ED51" i="7" a="1"/>
  <c r="ED51" i="7" s="1"/>
  <c r="DV58" i="7" a="1"/>
  <c r="DV58" i="7" s="1"/>
  <c r="EU63" i="7" a="1"/>
  <c r="EU63" i="7" s="1"/>
  <c r="FQ67" i="7" a="1"/>
  <c r="FQ67" i="7" s="1"/>
  <c r="FV69" i="7" a="1"/>
  <c r="FV69" i="7" s="1"/>
  <c r="ET71" i="7" a="1"/>
  <c r="ET71" i="7" s="1"/>
  <c r="DR73" i="7" a="1"/>
  <c r="DR73" i="7" s="1"/>
  <c r="GA19" i="7" a="1"/>
  <c r="GA19" i="7" s="1"/>
  <c r="DT46" i="7" a="1"/>
  <c r="DT46" i="7" s="1"/>
  <c r="DT55" i="7" a="1"/>
  <c r="DT55" i="7" s="1"/>
  <c r="FU59" i="7" a="1"/>
  <c r="FU59" i="7" s="1"/>
  <c r="FD64" i="7" a="1"/>
  <c r="FD64" i="7" s="1"/>
  <c r="ES67" i="7" a="1"/>
  <c r="ES67" i="7" s="1"/>
  <c r="ER47" i="7" a="1"/>
  <c r="ER47" i="7" s="1"/>
  <c r="FL53" i="7" a="1"/>
  <c r="FL53" i="7" s="1"/>
  <c r="EH44" i="7" a="1"/>
  <c r="EH44" i="7" s="1"/>
  <c r="FR53" i="7" a="1"/>
  <c r="FR53" i="7" s="1"/>
  <c r="FA58" i="7" a="1"/>
  <c r="FA58" i="7" s="1"/>
  <c r="EP64" i="7" a="1"/>
  <c r="EP64" i="7" s="1"/>
  <c r="DZ68" i="7" a="1"/>
  <c r="DZ68" i="7" s="1"/>
  <c r="DU70" i="7" a="1"/>
  <c r="DU70" i="7" s="1"/>
  <c r="FD71" i="7" a="1"/>
  <c r="FD71" i="7" s="1"/>
  <c r="DR20" i="7" a="1"/>
  <c r="DR20" i="7" s="1"/>
  <c r="EK52" i="7" a="1"/>
  <c r="EK52" i="7" s="1"/>
  <c r="EG61" i="7" a="1"/>
  <c r="EG61" i="7" s="1"/>
  <c r="EA67" i="7" a="1"/>
  <c r="EA67" i="7" s="1"/>
  <c r="FM71" i="7" a="1"/>
  <c r="FM71" i="7" s="1"/>
  <c r="ET75" i="7" a="1"/>
  <c r="ET75" i="7" s="1"/>
  <c r="FK84" i="7" a="1"/>
  <c r="FK84" i="7" s="1"/>
  <c r="FR87" i="7" a="1"/>
  <c r="FR87" i="7" s="1"/>
  <c r="FY90" i="7" a="1"/>
  <c r="FY90" i="7" s="1"/>
  <c r="DR36" i="7" a="1"/>
  <c r="DR36" i="7" s="1"/>
  <c r="EW56" i="7" a="1"/>
  <c r="EW56" i="7" s="1"/>
  <c r="EF64" i="7" a="1"/>
  <c r="EF64" i="7" s="1"/>
  <c r="FJ69" i="7" a="1"/>
  <c r="FJ69" i="7" s="1"/>
  <c r="ED75" i="7" a="1"/>
  <c r="ED75" i="7" s="1"/>
  <c r="DS77" i="7" a="1"/>
  <c r="DS77" i="7" s="1"/>
  <c r="FR78" i="7" a="1"/>
  <c r="FR78" i="7" s="1"/>
  <c r="FF80" i="7" a="1"/>
  <c r="FF80" i="7" s="1"/>
  <c r="EU82" i="7" a="1"/>
  <c r="EU82" i="7" s="1"/>
  <c r="FD84" i="7" a="1"/>
  <c r="FD84" i="7" s="1"/>
  <c r="FK87" i="7" a="1"/>
  <c r="FK87" i="7" s="1"/>
  <c r="FR90" i="7" a="1"/>
  <c r="FR90" i="7" s="1"/>
  <c r="FZ49" i="7" a="1"/>
  <c r="FZ49" i="7" s="1"/>
  <c r="DZ59" i="7" a="1"/>
  <c r="DZ59" i="7" s="1"/>
  <c r="EY65" i="7" a="1"/>
  <c r="EY65" i="7" s="1"/>
  <c r="EQ70" i="7" a="1"/>
  <c r="EQ70" i="7" s="1"/>
  <c r="EH74" i="7" a="1"/>
  <c r="EH74" i="7" s="1"/>
  <c r="FV83" i="7" a="1"/>
  <c r="FV83" i="7" s="1"/>
  <c r="FV86" i="7" a="1"/>
  <c r="FV86" i="7" s="1"/>
  <c r="DR90" i="7" a="1"/>
  <c r="DR90" i="7" s="1"/>
  <c r="FC92" i="7" a="1"/>
  <c r="FC92" i="7" s="1"/>
  <c r="EA94" i="7" a="1"/>
  <c r="EA94" i="7" s="1"/>
  <c r="FV44" i="7" a="1"/>
  <c r="FV44" i="7" s="1"/>
  <c r="EZ57" i="7" a="1"/>
  <c r="EZ57" i="7" s="1"/>
  <c r="FI64" i="7" a="1"/>
  <c r="FI64" i="7" s="1"/>
  <c r="EU71" i="7" a="1"/>
  <c r="EU71" i="7" s="1"/>
  <c r="FL75" i="7" a="1"/>
  <c r="FL75" i="7" s="1"/>
  <c r="EZ77" i="7" a="1"/>
  <c r="EZ77" i="7" s="1"/>
  <c r="EO79" i="7" a="1"/>
  <c r="EO79" i="7" s="1"/>
  <c r="EC81" i="7" a="1"/>
  <c r="EC81" i="7" s="1"/>
  <c r="DQ83" i="7" a="1"/>
  <c r="DQ83" i="7" s="1"/>
  <c r="EU85" i="7" a="1"/>
  <c r="EU85" i="7" s="1"/>
  <c r="FA40" i="7" a="1"/>
  <c r="FA40" i="7" s="1"/>
  <c r="FB58" i="7" a="1"/>
  <c r="FB58" i="7" s="1"/>
  <c r="DR67" i="7" a="1"/>
  <c r="DR67" i="7" s="1"/>
  <c r="FO39" i="7" a="1"/>
  <c r="FO39" i="7" s="1"/>
  <c r="FW59" i="7" a="1"/>
  <c r="FW59" i="7" s="1"/>
  <c r="FI66" i="7" a="1"/>
  <c r="FI66" i="7" s="1"/>
  <c r="EZ15" i="7" a="1"/>
  <c r="EZ15" i="7" s="1"/>
  <c r="DX17" i="7" a="1"/>
  <c r="DX17" i="7" s="1"/>
  <c r="ET15" i="7" a="1"/>
  <c r="ET15" i="7" s="1"/>
  <c r="DR17" i="7" a="1"/>
  <c r="DR17" i="7" s="1"/>
  <c r="FY15" i="7" a="1"/>
  <c r="FY15" i="7" s="1"/>
  <c r="EF18" i="7" a="1"/>
  <c r="EF18" i="7" s="1"/>
  <c r="FY22" i="7" a="1"/>
  <c r="FY22" i="7" s="1"/>
  <c r="DS19" i="7" a="1"/>
  <c r="DS19" i="7" s="1"/>
  <c r="DT21" i="7" a="1"/>
  <c r="DT21" i="7" s="1"/>
  <c r="FQ15" i="7" a="1"/>
  <c r="FQ15" i="7" s="1"/>
  <c r="DY18" i="7" a="1"/>
  <c r="DY18" i="7" s="1"/>
  <c r="EH18" i="7" a="1"/>
  <c r="EH18" i="7" s="1"/>
  <c r="DV20" i="7" a="1"/>
  <c r="DV20" i="7" s="1"/>
  <c r="FB20" i="7" a="1"/>
  <c r="FB20" i="7" s="1"/>
  <c r="FK24" i="7" a="1"/>
  <c r="FK24" i="7" s="1"/>
  <c r="FW26" i="7" a="1"/>
  <c r="FW26" i="7" s="1"/>
  <c r="EU28" i="7" a="1"/>
  <c r="EU28" i="7" s="1"/>
  <c r="EB16" i="7" a="1"/>
  <c r="EB16" i="7" s="1"/>
  <c r="DS21" i="7" a="1"/>
  <c r="DS21" i="7" s="1"/>
  <c r="GA23" i="7" a="1"/>
  <c r="GA23" i="7" s="1"/>
  <c r="DQ19" i="7" a="1"/>
  <c r="DQ19" i="7" s="1"/>
  <c r="EQ22" i="7" a="1"/>
  <c r="EQ22" i="7" s="1"/>
  <c r="FX25" i="7" a="1"/>
  <c r="FX25" i="7" s="1"/>
  <c r="EV27" i="7" a="1"/>
  <c r="EV27" i="7" s="1"/>
  <c r="EV17" i="7" a="1"/>
  <c r="EV17" i="7" s="1"/>
  <c r="FI22" i="7" a="1"/>
  <c r="FI22" i="7" s="1"/>
  <c r="DT16" i="7" a="1"/>
  <c r="DT16" i="7" s="1"/>
  <c r="FT19" i="7" a="1"/>
  <c r="FT19" i="7" s="1"/>
  <c r="FA26" i="7" a="1"/>
  <c r="FA26" i="7" s="1"/>
  <c r="FO31" i="7" a="1"/>
  <c r="FO31" i="7" s="1"/>
  <c r="FV34" i="7" a="1"/>
  <c r="FV34" i="7" s="1"/>
  <c r="EY16" i="7" a="1"/>
  <c r="EY16" i="7" s="1"/>
  <c r="FK22" i="7" a="1"/>
  <c r="FK22" i="7" s="1"/>
  <c r="FB25" i="7" a="1"/>
  <c r="FB25" i="7" s="1"/>
  <c r="FE28" i="7" a="1"/>
  <c r="FE28" i="7" s="1"/>
  <c r="ED31" i="7" a="1"/>
  <c r="ED31" i="7" s="1"/>
  <c r="FI18" i="7" a="1"/>
  <c r="FI18" i="7" s="1"/>
  <c r="EM24" i="7" a="1"/>
  <c r="EM24" i="7" s="1"/>
  <c r="EO30" i="7" a="1"/>
  <c r="EO30" i="7" s="1"/>
  <c r="EJ17" i="7" a="1"/>
  <c r="EJ17" i="7" s="1"/>
  <c r="DY23" i="7" a="1"/>
  <c r="DY23" i="7" s="1"/>
  <c r="FD26" i="7" a="1"/>
  <c r="FD26" i="7" s="1"/>
  <c r="EB29" i="7" a="1"/>
  <c r="EB29" i="7" s="1"/>
  <c r="DU16" i="7" a="1"/>
  <c r="DU16" i="7" s="1"/>
  <c r="EJ21" i="7" a="1"/>
  <c r="EJ21" i="7" s="1"/>
  <c r="FU30" i="7" a="1"/>
  <c r="FU30" i="7" s="1"/>
  <c r="FA34" i="7" a="1"/>
  <c r="FA34" i="7" s="1"/>
  <c r="EV37" i="7" a="1"/>
  <c r="EV37" i="7" s="1"/>
  <c r="DT39" i="7" a="1"/>
  <c r="DT39" i="7" s="1"/>
  <c r="FB18" i="7" a="1"/>
  <c r="FB18" i="7" s="1"/>
  <c r="FW24" i="7" a="1"/>
  <c r="FW24" i="7" s="1"/>
  <c r="DU29" i="7" a="1"/>
  <c r="DU29" i="7" s="1"/>
  <c r="ER32" i="7" a="1"/>
  <c r="ER32" i="7" s="1"/>
  <c r="EF36" i="7" a="1"/>
  <c r="EF36" i="7" s="1"/>
  <c r="FD25" i="7" a="1"/>
  <c r="FD25" i="7" s="1"/>
  <c r="EN31" i="7" a="1"/>
  <c r="EN31" i="7" s="1"/>
  <c r="FB34" i="7" a="1"/>
  <c r="FB34" i="7" s="1"/>
  <c r="FK37" i="7" a="1"/>
  <c r="FK37" i="7" s="1"/>
  <c r="EY23" i="7" a="1"/>
  <c r="EY23" i="7" s="1"/>
  <c r="FZ27" i="7" a="1"/>
  <c r="FZ27" i="7" s="1"/>
  <c r="EO31" i="7" a="1"/>
  <c r="EO31" i="7" s="1"/>
  <c r="DS18" i="7" a="1"/>
  <c r="DS18" i="7" s="1"/>
  <c r="DZ24" i="7" a="1"/>
  <c r="DZ24" i="7" s="1"/>
  <c r="FH23" i="7" a="1"/>
  <c r="FH23" i="7" s="1"/>
  <c r="EZ34" i="7" a="1"/>
  <c r="EZ34" i="7" s="1"/>
  <c r="ES38" i="7" a="1"/>
  <c r="ES38" i="7" s="1"/>
  <c r="EN40" i="7" a="1"/>
  <c r="EN40" i="7" s="1"/>
  <c r="EU43" i="7" a="1"/>
  <c r="EU43" i="7" s="1"/>
  <c r="EJ45" i="7" a="1"/>
  <c r="EJ45" i="7" s="1"/>
  <c r="EX16" i="7" a="1"/>
  <c r="EX16" i="7" s="1"/>
  <c r="FV27" i="7" a="1"/>
  <c r="FV27" i="7" s="1"/>
  <c r="DW32" i="7" a="1"/>
  <c r="DW32" i="7" s="1"/>
  <c r="FJ35" i="7" a="1"/>
  <c r="FJ35" i="7" s="1"/>
  <c r="FA41" i="7" a="1"/>
  <c r="FA41" i="7" s="1"/>
  <c r="FI23" i="7" a="1"/>
  <c r="FI23" i="7" s="1"/>
  <c r="EH33" i="7" a="1"/>
  <c r="EH33" i="7" s="1"/>
  <c r="DV38" i="7" a="1"/>
  <c r="DV38" i="7" s="1"/>
  <c r="FU39" i="7" a="1"/>
  <c r="FU39" i="7" s="1"/>
  <c r="FN42" i="7" a="1"/>
  <c r="FN42" i="7" s="1"/>
  <c r="GA44" i="7" a="1"/>
  <c r="GA44" i="7" s="1"/>
  <c r="DW24" i="7" a="1"/>
  <c r="DW24" i="7" s="1"/>
  <c r="EU29" i="7" a="1"/>
  <c r="EU29" i="7" s="1"/>
  <c r="DV35" i="7" a="1"/>
  <c r="DV35" i="7" s="1"/>
  <c r="DX41" i="7" a="1"/>
  <c r="DX41" i="7" s="1"/>
  <c r="EO23" i="7" a="1"/>
  <c r="EO23" i="7" s="1"/>
  <c r="EX25" i="7" a="1"/>
  <c r="EX25" i="7" s="1"/>
  <c r="DY27" i="7" a="1"/>
  <c r="DY27" i="7" s="1"/>
  <c r="DQ34" i="7" a="1"/>
  <c r="DQ34" i="7" s="1"/>
  <c r="EP38" i="7" a="1"/>
  <c r="EP38" i="7" s="1"/>
  <c r="FQ28" i="7" a="1"/>
  <c r="FQ28" i="7" s="1"/>
  <c r="GA36" i="7" a="1"/>
  <c r="GA36" i="7" s="1"/>
  <c r="FB43" i="7" a="1"/>
  <c r="FB43" i="7" s="1"/>
  <c r="EZ47" i="7" a="1"/>
  <c r="EZ47" i="7" s="1"/>
  <c r="DX49" i="7" a="1"/>
  <c r="DX49" i="7" s="1"/>
  <c r="FG50" i="7" a="1"/>
  <c r="FG50" i="7" s="1"/>
  <c r="DU28" i="7" a="1"/>
  <c r="DU28" i="7" s="1"/>
  <c r="ER37" i="7" a="1"/>
  <c r="ER37" i="7" s="1"/>
  <c r="FN40" i="7" a="1"/>
  <c r="FN40" i="7" s="1"/>
  <c r="FH44" i="7" a="1"/>
  <c r="FH44" i="7" s="1"/>
  <c r="DZ23" i="7" a="1"/>
  <c r="DZ23" i="7" s="1"/>
  <c r="DR34" i="7" a="1"/>
  <c r="DR34" i="7" s="1"/>
  <c r="DY41" i="7" a="1"/>
  <c r="DY41" i="7" s="1"/>
  <c r="EK46" i="7" a="1"/>
  <c r="EK46" i="7" s="1"/>
  <c r="DY48" i="7" a="1"/>
  <c r="DY48" i="7" s="1"/>
  <c r="FH49" i="7" a="1"/>
  <c r="FH49" i="7" s="1"/>
  <c r="EF51" i="7" a="1"/>
  <c r="EF51" i="7" s="1"/>
  <c r="DT30" i="7" a="1"/>
  <c r="DT30" i="7" s="1"/>
  <c r="FH37" i="7" a="1"/>
  <c r="FH37" i="7" s="1"/>
  <c r="FY40" i="7" a="1"/>
  <c r="FY40" i="7" s="1"/>
  <c r="FY44" i="7" a="1"/>
  <c r="FY44" i="7" s="1"/>
  <c r="FF26" i="7" a="1"/>
  <c r="FF26" i="7" s="1"/>
  <c r="FL21" i="7" a="1"/>
  <c r="FL21" i="7" s="1"/>
  <c r="FQ32" i="7" a="1"/>
  <c r="FQ32" i="7" s="1"/>
  <c r="EC40" i="7" a="1"/>
  <c r="EC40" i="7" s="1"/>
  <c r="FU45" i="7" a="1"/>
  <c r="FU45" i="7" s="1"/>
  <c r="FY47" i="7" a="1"/>
  <c r="FY47" i="7" s="1"/>
  <c r="FA37" i="7" a="1"/>
  <c r="FA37" i="7" s="1"/>
  <c r="FH43" i="7" a="1"/>
  <c r="FH43" i="7" s="1"/>
  <c r="DT54" i="7" a="1"/>
  <c r="DT54" i="7" s="1"/>
  <c r="EA57" i="7" a="1"/>
  <c r="EA57" i="7" s="1"/>
  <c r="EH60" i="7" a="1"/>
  <c r="EH60" i="7" s="1"/>
  <c r="EP33" i="7" a="1"/>
  <c r="EP33" i="7" s="1"/>
  <c r="FM40" i="7" a="1"/>
  <c r="FM40" i="7" s="1"/>
  <c r="DZ45" i="7" a="1"/>
  <c r="DZ45" i="7" s="1"/>
  <c r="EA49" i="7" a="1"/>
  <c r="EA49" i="7" s="1"/>
  <c r="EK51" i="7" a="1"/>
  <c r="EK51" i="7" s="1"/>
  <c r="EB53" i="7" a="1"/>
  <c r="EB53" i="7" s="1"/>
  <c r="ET33" i="7" a="1"/>
  <c r="ET33" i="7" s="1"/>
  <c r="FB42" i="7" a="1"/>
  <c r="FB42" i="7" s="1"/>
  <c r="FO52" i="7" a="1"/>
  <c r="FO52" i="7" s="1"/>
  <c r="ET56" i="7" a="1"/>
  <c r="ET56" i="7" s="1"/>
  <c r="FW30" i="7" a="1"/>
  <c r="FW30" i="7" s="1"/>
  <c r="DT41" i="7" a="1"/>
  <c r="DT41" i="7" s="1"/>
  <c r="EL46" i="7" a="1"/>
  <c r="EL46" i="7" s="1"/>
  <c r="EV49" i="7" a="1"/>
  <c r="EV49" i="7" s="1"/>
  <c r="FE51" i="7" a="1"/>
  <c r="FE51" i="7" s="1"/>
  <c r="FI24" i="7" a="1"/>
  <c r="FI24" i="7" s="1"/>
  <c r="EY39" i="7" a="1"/>
  <c r="EY39" i="7" s="1"/>
  <c r="DR46" i="7" a="1"/>
  <c r="DR46" i="7" s="1"/>
  <c r="EZ37" i="7" a="1"/>
  <c r="EZ37" i="7" s="1"/>
  <c r="FS47" i="7" a="1"/>
  <c r="FS47" i="7" s="1"/>
  <c r="DX53" i="7" a="1"/>
  <c r="DX53" i="7" s="1"/>
  <c r="DZ57" i="7" a="1"/>
  <c r="DZ57" i="7" s="1"/>
  <c r="FW60" i="7" a="1"/>
  <c r="FW60" i="7" s="1"/>
  <c r="DS64" i="7" a="1"/>
  <c r="DS64" i="7" s="1"/>
  <c r="DZ67" i="7" a="1"/>
  <c r="DZ67" i="7" s="1"/>
  <c r="FY32" i="7" a="1"/>
  <c r="FY32" i="7" s="1"/>
  <c r="EQ48" i="7" a="1"/>
  <c r="EQ48" i="7" s="1"/>
  <c r="EU53" i="7" a="1"/>
  <c r="EU53" i="7" s="1"/>
  <c r="FT56" i="7" a="1"/>
  <c r="FT56" i="7" s="1"/>
  <c r="DU60" i="7" a="1"/>
  <c r="DU60" i="7" s="1"/>
  <c r="FR62" i="7" a="1"/>
  <c r="FR62" i="7" s="1"/>
  <c r="FE38" i="7" a="1"/>
  <c r="FE38" i="7" s="1"/>
  <c r="DT45" i="7" a="1"/>
  <c r="DT45" i="7" s="1"/>
  <c r="EZ51" i="7" a="1"/>
  <c r="EZ51" i="7" s="1"/>
  <c r="FX54" i="7" a="1"/>
  <c r="FX54" i="7" s="1"/>
  <c r="EP58" i="7" a="1"/>
  <c r="EP58" i="7" s="1"/>
  <c r="EV62" i="7" a="1"/>
  <c r="EV62" i="7" s="1"/>
  <c r="FC65" i="7" a="1"/>
  <c r="FC65" i="7" s="1"/>
  <c r="EC41" i="7" a="1"/>
  <c r="EC41" i="7" s="1"/>
  <c r="FF49" i="7" a="1"/>
  <c r="FF49" i="7" s="1"/>
  <c r="FG54" i="7" a="1"/>
  <c r="FG54" i="7" s="1"/>
  <c r="FO58" i="7" a="1"/>
  <c r="FO58" i="7" s="1"/>
  <c r="DU61" i="7" a="1"/>
  <c r="DU61" i="7" s="1"/>
  <c r="DX29" i="7" a="1"/>
  <c r="DX29" i="7" s="1"/>
  <c r="FQ43" i="7" a="1"/>
  <c r="FQ43" i="7" s="1"/>
  <c r="FU44" i="7" a="1"/>
  <c r="FU44" i="7" s="1"/>
  <c r="FF51" i="7" a="1"/>
  <c r="FF51" i="7" s="1"/>
  <c r="EG56" i="7" a="1"/>
  <c r="EG56" i="7" s="1"/>
  <c r="EE59" i="7" a="1"/>
  <c r="EE59" i="7" s="1"/>
  <c r="FN62" i="7" a="1"/>
  <c r="FN62" i="7" s="1"/>
  <c r="FG40" i="7" a="1"/>
  <c r="FG40" i="7" s="1"/>
  <c r="FH52" i="7" a="1"/>
  <c r="FH52" i="7" s="1"/>
  <c r="FD57" i="7" a="1"/>
  <c r="FD57" i="7" s="1"/>
  <c r="FL61" i="7" a="1"/>
  <c r="FL61" i="7" s="1"/>
  <c r="FH67" i="7" a="1"/>
  <c r="FH67" i="7" s="1"/>
  <c r="FN69" i="7" a="1"/>
  <c r="FN69" i="7" s="1"/>
  <c r="EL71" i="7" a="1"/>
  <c r="EL71" i="7" s="1"/>
  <c r="FU72" i="7" a="1"/>
  <c r="FU72" i="7" s="1"/>
  <c r="ES74" i="7" a="1"/>
  <c r="ES74" i="7" s="1"/>
  <c r="FA45" i="7" a="1"/>
  <c r="FA45" i="7" s="1"/>
  <c r="EQ53" i="7" a="1"/>
  <c r="EQ53" i="7" s="1"/>
  <c r="EU59" i="7" a="1"/>
  <c r="EU59" i="7" s="1"/>
  <c r="FC64" i="7" a="1"/>
  <c r="FC64" i="7" s="1"/>
  <c r="EB67" i="7" a="1"/>
  <c r="EB67" i="7" s="1"/>
  <c r="DV40" i="7" a="1"/>
  <c r="DV40" i="7" s="1"/>
  <c r="FB51" i="7" a="1"/>
  <c r="FB51" i="7" s="1"/>
  <c r="FT58" i="7" a="1"/>
  <c r="FT58" i="7" s="1"/>
  <c r="FE63" i="7" a="1"/>
  <c r="FE63" i="7" s="1"/>
  <c r="FY67" i="7" a="1"/>
  <c r="FY67" i="7" s="1"/>
  <c r="DR70" i="7" a="1"/>
  <c r="DR70" i="7" s="1"/>
  <c r="FA71" i="7" a="1"/>
  <c r="FA71" i="7" s="1"/>
  <c r="DY73" i="7" a="1"/>
  <c r="DY73" i="7" s="1"/>
  <c r="ER24" i="7" a="1"/>
  <c r="ER24" i="7" s="1"/>
  <c r="EW46" i="7" a="1"/>
  <c r="EW46" i="7" s="1"/>
  <c r="EI55" i="7" a="1"/>
  <c r="EI55" i="7" s="1"/>
  <c r="FG60" i="7" a="1"/>
  <c r="FG60" i="7" s="1"/>
  <c r="DT65" i="7" a="1"/>
  <c r="DT65" i="7" s="1"/>
  <c r="EE68" i="7" a="1"/>
  <c r="EE68" i="7" s="1"/>
  <c r="FQ47" i="7" a="1"/>
  <c r="FQ47" i="7" s="1"/>
  <c r="ER54" i="7" a="1"/>
  <c r="ER54" i="7" s="1"/>
  <c r="FO45" i="7" a="1"/>
  <c r="FO45" i="7" s="1"/>
  <c r="EH54" i="7" a="1"/>
  <c r="EH54" i="7" s="1"/>
  <c r="FB59" i="7" a="1"/>
  <c r="FB59" i="7" s="1"/>
  <c r="EY64" i="7" a="1"/>
  <c r="EY64" i="7" s="1"/>
  <c r="EH68" i="7" a="1"/>
  <c r="EH68" i="7" s="1"/>
  <c r="EB70" i="7" a="1"/>
  <c r="EB70" i="7" s="1"/>
  <c r="FK71" i="7" a="1"/>
  <c r="FK71" i="7" s="1"/>
  <c r="FR26" i="7" a="1"/>
  <c r="FR26" i="7" s="1"/>
  <c r="EG53" i="7" a="1"/>
  <c r="EG53" i="7" s="1"/>
  <c r="EW61" i="7" a="1"/>
  <c r="EW61" i="7" s="1"/>
  <c r="FB67" i="7" a="1"/>
  <c r="FB67" i="7" s="1"/>
  <c r="EU72" i="7" a="1"/>
  <c r="EU72" i="7" s="1"/>
  <c r="EF76" i="7" a="1"/>
  <c r="EF76" i="7" s="1"/>
  <c r="FZ84" i="7" a="1"/>
  <c r="FZ84" i="7" s="1"/>
  <c r="DV88" i="7" a="1"/>
  <c r="DV88" i="7" s="1"/>
  <c r="EC91" i="7" a="1"/>
  <c r="EC91" i="7" s="1"/>
  <c r="FY38" i="7" a="1"/>
  <c r="FY38" i="7" s="1"/>
  <c r="EC57" i="7" a="1"/>
  <c r="EC57" i="7" s="1"/>
  <c r="FG64" i="7" a="1"/>
  <c r="FG64" i="7" s="1"/>
  <c r="FT69" i="7" a="1"/>
  <c r="FT69" i="7" s="1"/>
  <c r="EL75" i="7" a="1"/>
  <c r="EL75" i="7" s="1"/>
  <c r="EA77" i="7" a="1"/>
  <c r="EA77" i="7" s="1"/>
  <c r="FZ78" i="7" a="1"/>
  <c r="FZ78" i="7" s="1"/>
  <c r="FN80" i="7" a="1"/>
  <c r="FN80" i="7" s="1"/>
  <c r="FC82" i="7" a="1"/>
  <c r="FC82" i="7" s="1"/>
  <c r="FS84" i="7" a="1"/>
  <c r="FS84" i="7" s="1"/>
  <c r="FZ87" i="7" a="1"/>
  <c r="FZ87" i="7" s="1"/>
  <c r="DV91" i="7" a="1"/>
  <c r="DV91" i="7" s="1"/>
  <c r="FF50" i="7" a="1"/>
  <c r="FF50" i="7" s="1"/>
  <c r="ET59" i="7" a="1"/>
  <c r="ET59" i="7" s="1"/>
  <c r="EO66" i="7" a="1"/>
  <c r="EO66" i="7" s="1"/>
  <c r="FX70" i="7" a="1"/>
  <c r="FX70" i="7" s="1"/>
  <c r="EQ74" i="7" a="1"/>
  <c r="EQ74" i="7" s="1"/>
  <c r="DS84" i="7" a="1"/>
  <c r="DS84" i="7" s="1"/>
  <c r="DZ87" i="7" a="1"/>
  <c r="DZ87" i="7" s="1"/>
  <c r="EG90" i="7" a="1"/>
  <c r="EG90" i="7" s="1"/>
  <c r="FJ92" i="7" a="1"/>
  <c r="FJ92" i="7" s="1"/>
  <c r="EH94" i="7" a="1"/>
  <c r="EH94" i="7" s="1"/>
  <c r="FD46" i="7" a="1"/>
  <c r="FD46" i="7" s="1"/>
  <c r="FX57" i="7" a="1"/>
  <c r="FX57" i="7" s="1"/>
  <c r="FN65" i="7" a="1"/>
  <c r="FN65" i="7" s="1"/>
  <c r="FE71" i="7" a="1"/>
  <c r="FE71" i="7" s="1"/>
  <c r="FT75" i="7" a="1"/>
  <c r="FT75" i="7" s="1"/>
  <c r="FI77" i="7" a="1"/>
  <c r="FI77" i="7" s="1"/>
  <c r="EW79" i="7" a="1"/>
  <c r="EW79" i="7" s="1"/>
  <c r="EK81" i="7" a="1"/>
  <c r="EK81" i="7" s="1"/>
  <c r="DZ83" i="7" a="1"/>
  <c r="DZ83" i="7" s="1"/>
  <c r="FJ85" i="7" a="1"/>
  <c r="FJ85" i="7" s="1"/>
  <c r="EE44" i="7" a="1"/>
  <c r="EE44" i="7" s="1"/>
  <c r="ED59" i="7" a="1"/>
  <c r="ED59" i="7" s="1"/>
  <c r="EE67" i="7" a="1"/>
  <c r="EE67" i="7" s="1"/>
  <c r="EH45" i="7" a="1"/>
  <c r="EH45" i="7" s="1"/>
  <c r="EE60" i="7" a="1"/>
  <c r="EE60" i="7" s="1"/>
  <c r="FG15" i="7" a="1"/>
  <c r="FG15" i="7" s="1"/>
  <c r="EE17" i="7" a="1"/>
  <c r="EE17" i="7" s="1"/>
  <c r="FA15" i="7" a="1"/>
  <c r="FA15" i="7" s="1"/>
  <c r="DY17" i="7" a="1"/>
  <c r="DY17" i="7" s="1"/>
  <c r="DW16" i="7" a="1"/>
  <c r="DW16" i="7" s="1"/>
  <c r="DR19" i="7" a="1"/>
  <c r="DR19" i="7" s="1"/>
  <c r="EC23" i="7" a="1"/>
  <c r="EC23" i="7" s="1"/>
  <c r="EA19" i="7" a="1"/>
  <c r="EA19" i="7" s="1"/>
  <c r="EI21" i="7" a="1"/>
  <c r="EI21" i="7" s="1"/>
  <c r="FZ15" i="7" a="1"/>
  <c r="FZ15" i="7" s="1"/>
  <c r="FV18" i="7" a="1"/>
  <c r="FV18" i="7" s="1"/>
  <c r="EP18" i="7" a="1"/>
  <c r="EP18" i="7" s="1"/>
  <c r="DU15" i="7" a="1"/>
  <c r="DU15" i="7" s="1"/>
  <c r="FK20" i="7" a="1"/>
  <c r="FK20" i="7" s="1"/>
  <c r="FZ24" i="7" a="1"/>
  <c r="FZ24" i="7" s="1"/>
  <c r="DS27" i="7" a="1"/>
  <c r="DS27" i="7" s="1"/>
  <c r="FB28" i="7" a="1"/>
  <c r="FB28" i="7" s="1"/>
  <c r="EO16" i="7" a="1"/>
  <c r="EO16" i="7" s="1"/>
  <c r="EM21" i="7" a="1"/>
  <c r="EM21" i="7" s="1"/>
  <c r="DX24" i="7" a="1"/>
  <c r="DX24" i="7" s="1"/>
  <c r="ED19" i="7" a="1"/>
  <c r="ED19" i="7" s="1"/>
  <c r="FQ22" i="7" a="1"/>
  <c r="FQ22" i="7" s="1"/>
  <c r="DT26" i="7" a="1"/>
  <c r="DT26" i="7" s="1"/>
  <c r="FC27" i="7" a="1"/>
  <c r="FC27" i="7" s="1"/>
  <c r="FK17" i="7" a="1"/>
  <c r="FK17" i="7" s="1"/>
  <c r="EF23" i="7" a="1"/>
  <c r="EF23" i="7" s="1"/>
  <c r="EG16" i="7" a="1"/>
  <c r="EG16" i="7" s="1"/>
  <c r="EA20" i="7" a="1"/>
  <c r="EA20" i="7" s="1"/>
  <c r="FK26" i="7" a="1"/>
  <c r="FK26" i="7" s="1"/>
  <c r="DS32" i="7" a="1"/>
  <c r="DS32" i="7" s="1"/>
  <c r="DZ35" i="7" a="1"/>
  <c r="DZ35" i="7" s="1"/>
  <c r="FY16" i="7" a="1"/>
  <c r="FY16" i="7" s="1"/>
  <c r="FV22" i="7" a="1"/>
  <c r="FV22" i="7" s="1"/>
  <c r="DR26" i="7" a="1"/>
  <c r="DR26" i="7" s="1"/>
  <c r="FM28" i="7" a="1"/>
  <c r="FM28" i="7" s="1"/>
  <c r="ES31" i="7" a="1"/>
  <c r="ES31" i="7" s="1"/>
  <c r="FX18" i="7" a="1"/>
  <c r="FX18" i="7" s="1"/>
  <c r="EI25" i="7" a="1"/>
  <c r="EI25" i="7" s="1"/>
  <c r="FD30" i="7" a="1"/>
  <c r="FD30" i="7" s="1"/>
  <c r="FC17" i="7" a="1"/>
  <c r="FC17" i="7" s="1"/>
  <c r="EI23" i="7" a="1"/>
  <c r="EI23" i="7" s="1"/>
  <c r="FU26" i="7" a="1"/>
  <c r="FU26" i="7" s="1"/>
  <c r="EJ29" i="7" a="1"/>
  <c r="EJ29" i="7" s="1"/>
  <c r="DW17" i="7" a="1"/>
  <c r="DW17" i="7" s="1"/>
  <c r="ES22" i="7" a="1"/>
  <c r="ES22" i="7" s="1"/>
  <c r="DS31" i="7" a="1"/>
  <c r="DS31" i="7" s="1"/>
  <c r="FI34" i="7" a="1"/>
  <c r="FI34" i="7" s="1"/>
  <c r="FC37" i="7" a="1"/>
  <c r="FC37" i="7" s="1"/>
  <c r="EA39" i="7" a="1"/>
  <c r="EA39" i="7" s="1"/>
  <c r="FB21" i="7" a="1"/>
  <c r="FB21" i="7" s="1"/>
  <c r="EA25" i="7" a="1"/>
  <c r="EA25" i="7" s="1"/>
  <c r="EE29" i="7" a="1"/>
  <c r="EE29" i="7" s="1"/>
  <c r="FA32" i="7" a="1"/>
  <c r="FA32" i="7" s="1"/>
  <c r="EU36" i="7" a="1"/>
  <c r="EU36" i="7" s="1"/>
  <c r="FO25" i="7" a="1"/>
  <c r="FO25" i="7" s="1"/>
  <c r="EH32" i="7" a="1"/>
  <c r="EH32" i="7" s="1"/>
  <c r="EV35" i="7" a="1"/>
  <c r="EV35" i="7" s="1"/>
  <c r="FR37" i="7" a="1"/>
  <c r="FR37" i="7" s="1"/>
  <c r="FN23" i="7" a="1"/>
  <c r="FN23" i="7" s="1"/>
  <c r="EB28" i="7" a="1"/>
  <c r="EB28" i="7" s="1"/>
  <c r="EX31" i="7" a="1"/>
  <c r="EX31" i="7" s="1"/>
  <c r="ER18" i="7" a="1"/>
  <c r="ER18" i="7" s="1"/>
  <c r="FR24" i="7" a="1"/>
  <c r="FR24" i="7" s="1"/>
  <c r="FN24" i="7" a="1"/>
  <c r="FN24" i="7" s="1"/>
  <c r="FU34" i="7" a="1"/>
  <c r="FU34" i="7" s="1"/>
  <c r="FA38" i="7" a="1"/>
  <c r="FA38" i="7" s="1"/>
  <c r="FC40" i="7" a="1"/>
  <c r="FC40" i="7" s="1"/>
  <c r="FJ43" i="7" a="1"/>
  <c r="FJ43" i="7" s="1"/>
  <c r="EQ45" i="7" a="1"/>
  <c r="EQ45" i="7" s="1"/>
  <c r="DV19" i="7" a="1"/>
  <c r="DV19" i="7" s="1"/>
  <c r="EC28" i="7" a="1"/>
  <c r="EC28" i="7" s="1"/>
  <c r="EL32" i="7" a="1"/>
  <c r="EL32" i="7" s="1"/>
  <c r="DT36" i="7" a="1"/>
  <c r="DT36" i="7" s="1"/>
  <c r="FP41" i="7" a="1"/>
  <c r="FP41" i="7" s="1"/>
  <c r="FO24" i="7" a="1"/>
  <c r="FO24" i="7" s="1"/>
  <c r="ES33" i="7" a="1"/>
  <c r="ES33" i="7" s="1"/>
  <c r="ED38" i="7" a="1"/>
  <c r="ED38" i="7" s="1"/>
  <c r="DR40" i="7" a="1"/>
  <c r="DR40" i="7" s="1"/>
  <c r="DR43" i="7" a="1"/>
  <c r="DR43" i="7" s="1"/>
  <c r="DW45" i="7" a="1"/>
  <c r="DW45" i="7" s="1"/>
  <c r="ET24" i="7" a="1"/>
  <c r="ET24" i="7" s="1"/>
  <c r="FI29" i="7" a="1"/>
  <c r="FI29" i="7" s="1"/>
  <c r="EG35" i="7" a="1"/>
  <c r="EG35" i="7" s="1"/>
  <c r="EM41" i="7" a="1"/>
  <c r="EM41" i="7" s="1"/>
  <c r="FJ23" i="7" a="1"/>
  <c r="FJ23" i="7" s="1"/>
  <c r="DT18" i="7" a="1"/>
  <c r="DT18" i="7" s="1"/>
  <c r="EW27" i="7" a="1"/>
  <c r="EW27" i="7" s="1"/>
  <c r="EA34" i="7" a="1"/>
  <c r="EA34" i="7" s="1"/>
  <c r="FN15" i="7" a="1"/>
  <c r="FN15" i="7" s="1"/>
  <c r="EL17" i="7" a="1"/>
  <c r="EL17" i="7" s="1"/>
  <c r="FH15" i="7" a="1"/>
  <c r="FH15" i="7" s="1"/>
  <c r="EF17" i="7" a="1"/>
  <c r="EF17" i="7" s="1"/>
  <c r="EH16" i="7" a="1"/>
  <c r="EH16" i="7" s="1"/>
  <c r="FO19" i="7" a="1"/>
  <c r="FO19" i="7" s="1"/>
  <c r="ER23" i="7" a="1"/>
  <c r="ER23" i="7" s="1"/>
  <c r="EI19" i="7" a="1"/>
  <c r="EI19" i="7" s="1"/>
  <c r="EX21" i="7" a="1"/>
  <c r="EX21" i="7" s="1"/>
  <c r="DZ16" i="7" a="1"/>
  <c r="DZ16" i="7" s="1"/>
  <c r="FH19" i="7" a="1"/>
  <c r="FH19" i="7" s="1"/>
  <c r="EX18" i="7" a="1"/>
  <c r="EX18" i="7" s="1"/>
  <c r="EI18" i="7" a="1"/>
  <c r="EI18" i="7" s="1"/>
  <c r="FT20" i="7" a="1"/>
  <c r="FT20" i="7" s="1"/>
  <c r="ED25" i="7" a="1"/>
  <c r="ED25" i="7" s="1"/>
  <c r="DZ27" i="7" a="1"/>
  <c r="DZ27" i="7" s="1"/>
  <c r="FI28" i="7" a="1"/>
  <c r="FI28" i="7" s="1"/>
  <c r="FD16" i="7" a="1"/>
  <c r="FD16" i="7" s="1"/>
  <c r="EV21" i="7" a="1"/>
  <c r="EV21" i="7" s="1"/>
  <c r="EV24" i="7" a="1"/>
  <c r="EV24" i="7" s="1"/>
  <c r="EO19" i="7" a="1"/>
  <c r="EO19" i="7" s="1"/>
  <c r="FZ22" i="7" a="1"/>
  <c r="FZ22" i="7" s="1"/>
  <c r="EA26" i="7" a="1"/>
  <c r="EA26" i="7" s="1"/>
  <c r="FJ27" i="7" a="1"/>
  <c r="FJ27" i="7" s="1"/>
  <c r="FH18" i="7" a="1"/>
  <c r="FH18" i="7" s="1"/>
  <c r="EN23" i="7" a="1"/>
  <c r="EN23" i="7" s="1"/>
  <c r="EV16" i="7" a="1"/>
  <c r="EV16" i="7" s="1"/>
  <c r="EO20" i="7" a="1"/>
  <c r="EO20" i="7" s="1"/>
  <c r="DQ27" i="7" a="1"/>
  <c r="DQ27" i="7" s="1"/>
  <c r="EA32" i="7" a="1"/>
  <c r="EA32" i="7" s="1"/>
  <c r="EH35" i="7" a="1"/>
  <c r="EH35" i="7" s="1"/>
  <c r="EG17" i="7" a="1"/>
  <c r="EG17" i="7" s="1"/>
  <c r="DU23" i="7" a="1"/>
  <c r="DU23" i="7" s="1"/>
  <c r="EB26" i="7" a="1"/>
  <c r="EB26" i="7" s="1"/>
  <c r="FU28" i="7" a="1"/>
  <c r="FU28" i="7" s="1"/>
  <c r="FH31" i="7" a="1"/>
  <c r="FH31" i="7" s="1"/>
  <c r="DZ19" i="7" a="1"/>
  <c r="DZ19" i="7" s="1"/>
  <c r="ER25" i="7" a="1"/>
  <c r="ER25" i="7" s="1"/>
  <c r="FS30" i="7" a="1"/>
  <c r="FS30" i="7" s="1"/>
  <c r="FT17" i="7" a="1"/>
  <c r="FT17" i="7" s="1"/>
  <c r="ET23" i="7" a="1"/>
  <c r="ET23" i="7" s="1"/>
  <c r="EK27" i="7" a="1"/>
  <c r="EK27" i="7" s="1"/>
  <c r="ER29" i="7" a="1"/>
  <c r="ER29" i="7" s="1"/>
  <c r="EP17" i="7" a="1"/>
  <c r="EP17" i="7" s="1"/>
  <c r="DQ23" i="7" a="1"/>
  <c r="DQ23" i="7" s="1"/>
  <c r="EM31" i="7" a="1"/>
  <c r="EM31" i="7" s="1"/>
  <c r="FC35" i="7" a="1"/>
  <c r="FC35" i="7" s="1"/>
  <c r="FJ37" i="7" a="1"/>
  <c r="FJ37" i="7" s="1"/>
  <c r="EH39" i="7" a="1"/>
  <c r="EH39" i="7" s="1"/>
  <c r="FS21" i="7" a="1"/>
  <c r="FS21" i="7" s="1"/>
  <c r="EN25" i="7" a="1"/>
  <c r="EN25" i="7" s="1"/>
  <c r="EP29" i="7" a="1"/>
  <c r="EP29" i="7" s="1"/>
  <c r="DS33" i="7" a="1"/>
  <c r="DS33" i="7" s="1"/>
  <c r="FJ36" i="7" a="1"/>
  <c r="FJ36" i="7" s="1"/>
  <c r="FO26" i="7" a="1"/>
  <c r="FO26" i="7" s="1"/>
  <c r="FK32" i="7" a="1"/>
  <c r="FK32" i="7" s="1"/>
  <c r="FD35" i="7" a="1"/>
  <c r="FD35" i="7" s="1"/>
  <c r="EQ15" i="7" a="1"/>
  <c r="EQ15" i="7" s="1"/>
  <c r="DU24" i="7" a="1"/>
  <c r="DU24" i="7" s="1"/>
  <c r="EL28" i="7" a="1"/>
  <c r="EL28" i="7" s="1"/>
  <c r="FG31" i="7" a="1"/>
  <c r="FG31" i="7" s="1"/>
  <c r="FP18" i="7" a="1"/>
  <c r="FP18" i="7" s="1"/>
  <c r="FG25" i="7" a="1"/>
  <c r="FG25" i="7" s="1"/>
  <c r="FM25" i="7" a="1"/>
  <c r="FM25" i="7" s="1"/>
  <c r="ED35" i="7" a="1"/>
  <c r="ED35" i="7" s="1"/>
  <c r="FI38" i="7" a="1"/>
  <c r="FI38" i="7" s="1"/>
  <c r="FK40" i="7" a="1"/>
  <c r="FK40" i="7" s="1"/>
  <c r="FR43" i="7" a="1"/>
  <c r="FR43" i="7" s="1"/>
  <c r="EX45" i="7" a="1"/>
  <c r="EX45" i="7" s="1"/>
  <c r="FC19" i="7" a="1"/>
  <c r="FC19" i="7" s="1"/>
  <c r="ER28" i="7" a="1"/>
  <c r="ER28" i="7" s="1"/>
  <c r="EW32" i="7" a="1"/>
  <c r="EW32" i="7" s="1"/>
  <c r="EC36" i="7" a="1"/>
  <c r="EC36" i="7" s="1"/>
  <c r="DT42" i="7" a="1"/>
  <c r="DT42" i="7" s="1"/>
  <c r="DX25" i="7" a="1"/>
  <c r="DX25" i="7" s="1"/>
  <c r="FM33" i="7" a="1"/>
  <c r="FM33" i="7" s="1"/>
  <c r="EL38" i="7" a="1"/>
  <c r="EL38" i="7" s="1"/>
  <c r="DZ40" i="7" a="1"/>
  <c r="DZ40" i="7" s="1"/>
  <c r="EG43" i="7" a="1"/>
  <c r="EG43" i="7" s="1"/>
  <c r="ED45" i="7" a="1"/>
  <c r="ED45" i="7" s="1"/>
  <c r="FT24" i="7" a="1"/>
  <c r="FT24" i="7" s="1"/>
  <c r="EI31" i="7" a="1"/>
  <c r="EI31" i="7" s="1"/>
  <c r="FA35" i="7" a="1"/>
  <c r="FA35" i="7" s="1"/>
  <c r="FB41" i="7" a="1"/>
  <c r="FB41" i="7" s="1"/>
  <c r="EA24" i="7" a="1"/>
  <c r="EA24" i="7" s="1"/>
  <c r="FL18" i="7" a="1"/>
  <c r="FL18" i="7" s="1"/>
  <c r="EZ29" i="7" a="1"/>
  <c r="EZ29" i="7" s="1"/>
  <c r="FF34" i="7" a="1"/>
  <c r="FF34" i="7" s="1"/>
  <c r="DR18" i="7" a="1"/>
  <c r="DR18" i="7" s="1"/>
  <c r="FH30" i="7" a="1"/>
  <c r="FH30" i="7" s="1"/>
  <c r="FS37" i="7" a="1"/>
  <c r="FS37" i="7" s="1"/>
  <c r="DR44" i="7" a="1"/>
  <c r="DR44" i="7" s="1"/>
  <c r="FN47" i="7" a="1"/>
  <c r="FN47" i="7" s="1"/>
  <c r="EL49" i="7" a="1"/>
  <c r="EL49" i="7" s="1"/>
  <c r="FU50" i="7" a="1"/>
  <c r="FU50" i="7" s="1"/>
  <c r="FD29" i="7" a="1"/>
  <c r="FD29" i="7" s="1"/>
  <c r="EU38" i="7" a="1"/>
  <c r="EU38" i="7" s="1"/>
  <c r="ER41" i="7" a="1"/>
  <c r="ER41" i="7" s="1"/>
  <c r="FX44" i="7" a="1"/>
  <c r="FX44" i="7" s="1"/>
  <c r="EE27" i="7" a="1"/>
  <c r="EE27" i="7" s="1"/>
  <c r="EX34" i="7" a="1"/>
  <c r="EX34" i="7" s="1"/>
  <c r="FN41" i="7" a="1"/>
  <c r="FN41" i="7" s="1"/>
  <c r="FO46" i="7" a="1"/>
  <c r="FO46" i="7" s="1"/>
  <c r="EM48" i="7" a="1"/>
  <c r="EM48" i="7" s="1"/>
  <c r="FV49" i="7" a="1"/>
  <c r="FV49" i="7" s="1"/>
  <c r="ET51" i="7" a="1"/>
  <c r="ET51" i="7" s="1"/>
  <c r="FN30" i="7" a="1"/>
  <c r="FN30" i="7" s="1"/>
  <c r="EW38" i="7" a="1"/>
  <c r="EW38" i="7" s="1"/>
  <c r="FE41" i="7" a="1"/>
  <c r="FE41" i="7" s="1"/>
  <c r="EM45" i="7" a="1"/>
  <c r="EM45" i="7" s="1"/>
  <c r="EZ28" i="7" a="1"/>
  <c r="EZ28" i="7" s="1"/>
  <c r="EQ23" i="7" a="1"/>
  <c r="EQ23" i="7" s="1"/>
  <c r="EN33" i="7" a="1"/>
  <c r="EN33" i="7" s="1"/>
  <c r="FR40" i="7" a="1"/>
  <c r="FR40" i="7" s="1"/>
  <c r="EN46" i="7" a="1"/>
  <c r="EN46" i="7" s="1"/>
  <c r="DT25" i="7" a="1"/>
  <c r="DT25" i="7" s="1"/>
  <c r="FO38" i="7" a="1"/>
  <c r="FO38" i="7" s="1"/>
  <c r="EW44" i="7" a="1"/>
  <c r="EW44" i="7" s="1"/>
  <c r="EX54" i="7" a="1"/>
  <c r="EX54" i="7" s="1"/>
  <c r="FE57" i="7" a="1"/>
  <c r="FE57" i="7" s="1"/>
  <c r="FY18" i="7" a="1"/>
  <c r="FY18" i="7" s="1"/>
  <c r="FE34" i="7" a="1"/>
  <c r="FE34" i="7" s="1"/>
  <c r="EJ41" i="7" a="1"/>
  <c r="EJ41" i="7" s="1"/>
  <c r="EU46" i="7" a="1"/>
  <c r="EU46" i="7" s="1"/>
  <c r="EU49" i="7" a="1"/>
  <c r="EU49" i="7" s="1"/>
  <c r="FD51" i="7" a="1"/>
  <c r="FD51" i="7" s="1"/>
  <c r="ER53" i="7" a="1"/>
  <c r="ER53" i="7" s="1"/>
  <c r="DX35" i="7" a="1"/>
  <c r="DX35" i="7" s="1"/>
  <c r="EI43" i="7" a="1"/>
  <c r="EI43" i="7" s="1"/>
  <c r="FQ53" i="7" a="1"/>
  <c r="FQ53" i="7" s="1"/>
  <c r="FX56" i="7" a="1"/>
  <c r="FX56" i="7" s="1"/>
  <c r="FC32" i="7" a="1"/>
  <c r="FC32" i="7" s="1"/>
  <c r="EZ41" i="7" a="1"/>
  <c r="EZ41" i="7" s="1"/>
  <c r="DT47" i="7" a="1"/>
  <c r="DT47" i="7" s="1"/>
  <c r="FP49" i="7" a="1"/>
  <c r="FP49" i="7" s="1"/>
  <c r="EX27" i="7" a="1"/>
  <c r="EX27" i="7" s="1"/>
  <c r="FR29" i="7" a="1"/>
  <c r="FR29" i="7" s="1"/>
  <c r="EA41" i="7" a="1"/>
  <c r="EA41" i="7" s="1"/>
  <c r="FX46" i="7" a="1"/>
  <c r="FX46" i="7" s="1"/>
  <c r="DQ39" i="7" a="1"/>
  <c r="DQ39" i="7" s="1"/>
  <c r="FT48" i="7" a="1"/>
  <c r="FT48" i="7" s="1"/>
  <c r="FD53" i="7" a="1"/>
  <c r="FD53" i="7" s="1"/>
  <c r="ER57" i="7" a="1"/>
  <c r="ER57" i="7" s="1"/>
  <c r="EP61" i="7" a="1"/>
  <c r="EP61" i="7" s="1"/>
  <c r="EW64" i="7" a="1"/>
  <c r="EW64" i="7" s="1"/>
  <c r="FD67" i="7" a="1"/>
  <c r="FD67" i="7" s="1"/>
  <c r="EB35" i="7" a="1"/>
  <c r="EB35" i="7" s="1"/>
  <c r="EO49" i="7" a="1"/>
  <c r="EO49" i="7" s="1"/>
  <c r="FY53" i="7" a="1"/>
  <c r="FY53" i="7" s="1"/>
  <c r="EJ57" i="7" a="1"/>
  <c r="EJ57" i="7" s="1"/>
  <c r="EK60" i="7" a="1"/>
  <c r="EK60" i="7" s="1"/>
  <c r="EK63" i="7" a="1"/>
  <c r="EK63" i="7" s="1"/>
  <c r="EX39" i="7" a="1"/>
  <c r="EX39" i="7" s="1"/>
  <c r="EG46" i="7" a="1"/>
  <c r="EG46" i="7" s="1"/>
  <c r="FX51" i="7" a="1"/>
  <c r="FX51" i="7" s="1"/>
  <c r="EM55" i="7" a="1"/>
  <c r="EM55" i="7" s="1"/>
  <c r="FF58" i="7" a="1"/>
  <c r="FF58" i="7" s="1"/>
  <c r="FZ62" i="7" a="1"/>
  <c r="FZ62" i="7" s="1"/>
  <c r="DV66" i="7" a="1"/>
  <c r="DV66" i="7" s="1"/>
  <c r="EP42" i="7" a="1"/>
  <c r="EP42" i="7" s="1"/>
  <c r="FD50" i="7" a="1"/>
  <c r="FD50" i="7" s="1"/>
  <c r="DV55" i="7" a="1"/>
  <c r="DV55" i="7" s="1"/>
  <c r="DT59" i="7" a="1"/>
  <c r="DT59" i="7" s="1"/>
  <c r="EY61" i="7" a="1"/>
  <c r="EY61" i="7" s="1"/>
  <c r="EY34" i="7" a="1"/>
  <c r="EY34" i="7" s="1"/>
  <c r="EO22" i="7" a="1"/>
  <c r="EO22" i="7" s="1"/>
  <c r="EG47" i="7" a="1"/>
  <c r="EG47" i="7" s="1"/>
  <c r="EC52" i="7" a="1"/>
  <c r="EC52" i="7" s="1"/>
  <c r="FP56" i="7" a="1"/>
  <c r="FP56" i="7" s="1"/>
  <c r="EG60" i="7" a="1"/>
  <c r="EG60" i="7" s="1"/>
  <c r="DZ63" i="7" a="1"/>
  <c r="DZ63" i="7" s="1"/>
  <c r="DZ42" i="7" a="1"/>
  <c r="DZ42" i="7" s="1"/>
  <c r="EC53" i="7" a="1"/>
  <c r="EC53" i="7" s="1"/>
  <c r="ET58" i="7" a="1"/>
  <c r="ET58" i="7" s="1"/>
  <c r="EK62" i="7" a="1"/>
  <c r="EK62" i="7" s="1"/>
  <c r="FX67" i="7" a="1"/>
  <c r="FX67" i="7" s="1"/>
  <c r="DQ70" i="7" a="1"/>
  <c r="DQ70" i="7" s="1"/>
  <c r="EZ71" i="7" a="1"/>
  <c r="EZ71" i="7" s="1"/>
  <c r="DX73" i="7" a="1"/>
  <c r="DX73" i="7" s="1"/>
  <c r="EW23" i="7" a="1"/>
  <c r="EW23" i="7" s="1"/>
  <c r="EJ47" i="7" a="1"/>
  <c r="EJ47" i="7" s="1"/>
  <c r="EA54" i="7" a="1"/>
  <c r="EA54" i="7" s="1"/>
  <c r="FT59" i="7" a="1"/>
  <c r="FT59" i="7" s="1"/>
  <c r="DS65" i="7" a="1"/>
  <c r="DS65" i="7" s="1"/>
  <c r="ER67" i="7" a="1"/>
  <c r="ER67" i="7" s="1"/>
  <c r="FU42" i="7" a="1"/>
  <c r="FU42" i="7" s="1"/>
  <c r="ES53" i="7" a="1"/>
  <c r="ES53" i="7" s="1"/>
  <c r="EV59" i="7" a="1"/>
  <c r="EV59" i="7" s="1"/>
  <c r="DU64" i="7" a="1"/>
  <c r="DU64" i="7" s="1"/>
  <c r="ED68" i="7" a="1"/>
  <c r="ED68" i="7" s="1"/>
  <c r="EF70" i="7" a="1"/>
  <c r="EF70" i="7" s="1"/>
  <c r="FO71" i="7" a="1"/>
  <c r="FO71" i="7" s="1"/>
  <c r="EM73" i="7" a="1"/>
  <c r="EM73" i="7" s="1"/>
  <c r="EN34" i="7" a="1"/>
  <c r="EN34" i="7" s="1"/>
  <c r="EV50" i="7" a="1"/>
  <c r="EV50" i="7" s="1"/>
  <c r="DZ56" i="7" a="1"/>
  <c r="DZ56" i="7" s="1"/>
  <c r="FP61" i="7" a="1"/>
  <c r="FP61" i="7" s="1"/>
  <c r="ET65" i="7" a="1"/>
  <c r="ET65" i="7" s="1"/>
  <c r="EE69" i="7" a="1"/>
  <c r="EE69" i="7" s="1"/>
  <c r="FC48" i="7" a="1"/>
  <c r="FC48" i="7" s="1"/>
  <c r="FF25" i="7" a="1"/>
  <c r="FF25" i="7" s="1"/>
  <c r="FJ46" i="7" a="1"/>
  <c r="FJ46" i="7" s="1"/>
  <c r="FA55" i="7" a="1"/>
  <c r="FA55" i="7" s="1"/>
  <c r="FY60" i="7" a="1"/>
  <c r="FY60" i="7" s="1"/>
  <c r="FY64" i="7" a="1"/>
  <c r="FY64" i="7" s="1"/>
  <c r="EX68" i="7" a="1"/>
  <c r="EX68" i="7" s="1"/>
  <c r="EP70" i="7" a="1"/>
  <c r="EP70" i="7" s="1"/>
  <c r="FY71" i="7" a="1"/>
  <c r="FY71" i="7" s="1"/>
  <c r="FA33" i="7" a="1"/>
  <c r="FA33" i="7" s="1"/>
  <c r="EA55" i="7" a="1"/>
  <c r="EA55" i="7" s="1"/>
  <c r="GA62" i="7" a="1"/>
  <c r="GA62" i="7" s="1"/>
  <c r="EO68" i="7" a="1"/>
  <c r="EO68" i="7" s="1"/>
  <c r="EA73" i="7" a="1"/>
  <c r="EA73" i="7" s="1"/>
  <c r="FO77" i="7" a="1"/>
  <c r="FO77" i="7" s="1"/>
  <c r="ES85" i="7" a="1"/>
  <c r="ES85" i="7" s="1"/>
  <c r="EZ88" i="7" a="1"/>
  <c r="EZ88" i="7" s="1"/>
  <c r="FG91" i="7" a="1"/>
  <c r="FG91" i="7" s="1"/>
  <c r="FK41" i="7" a="1"/>
  <c r="FK41" i="7" s="1"/>
  <c r="EY58" i="7" a="1"/>
  <c r="EY58" i="7" s="1"/>
  <c r="DW65" i="7" a="1"/>
  <c r="DW65" i="7" s="1"/>
  <c r="FL70" i="7" a="1"/>
  <c r="FL70" i="7" s="1"/>
  <c r="FC75" i="7" a="1"/>
  <c r="FC75" i="7" s="1"/>
  <c r="EQ77" i="7" a="1"/>
  <c r="EQ77" i="7" s="1"/>
  <c r="EE79" i="7" a="1"/>
  <c r="EE79" i="7" s="1"/>
  <c r="DT81" i="7" a="1"/>
  <c r="DT81" i="7" s="1"/>
  <c r="FS82" i="7" a="1"/>
  <c r="FS82" i="7" s="1"/>
  <c r="EL85" i="7" a="1"/>
  <c r="EL85" i="7" s="1"/>
  <c r="ES88" i="7" a="1"/>
  <c r="ES88" i="7" s="1"/>
  <c r="EZ91" i="7" a="1"/>
  <c r="EZ91" i="7" s="1"/>
  <c r="FV51" i="7" a="1"/>
  <c r="FV51" i="7" s="1"/>
  <c r="EH61" i="7" a="1"/>
  <c r="EH61" i="7" s="1"/>
  <c r="ED67" i="7" a="1"/>
  <c r="ED67" i="7" s="1"/>
  <c r="FP71" i="7" a="1"/>
  <c r="FP71" i="7" s="1"/>
  <c r="EM75" i="7" a="1"/>
  <c r="EM75" i="7" s="1"/>
  <c r="EW84" i="7" a="1"/>
  <c r="EW84" i="7" s="1"/>
  <c r="FD87" i="7" a="1"/>
  <c r="FD87" i="7" s="1"/>
  <c r="FK90" i="7" a="1"/>
  <c r="FK90" i="7" s="1"/>
  <c r="FX92" i="7" a="1"/>
  <c r="FX92" i="7" s="1"/>
  <c r="EV94" i="7" a="1"/>
  <c r="EV94" i="7" s="1"/>
  <c r="FL48" i="7" a="1"/>
  <c r="FL48" i="7" s="1"/>
  <c r="EW59" i="7" a="1"/>
  <c r="EW59" i="7" s="1"/>
  <c r="ER66" i="7" a="1"/>
  <c r="ER66" i="7" s="1"/>
  <c r="EK72" i="7" a="1"/>
  <c r="EK72" i="7" s="1"/>
  <c r="DZ76" i="7" a="1"/>
  <c r="DZ76" i="7" s="1"/>
  <c r="FY77" i="7" a="1"/>
  <c r="FY77" i="7" s="1"/>
  <c r="FM79" i="7" a="1"/>
  <c r="FM79" i="7" s="1"/>
  <c r="FB81" i="7" a="1"/>
  <c r="FB81" i="7" s="1"/>
  <c r="EP83" i="7" a="1"/>
  <c r="EP83" i="7" s="1"/>
  <c r="EC86" i="7" a="1"/>
  <c r="EC86" i="7" s="1"/>
  <c r="ER49" i="7" a="1"/>
  <c r="ER49" i="7" s="1"/>
  <c r="DQ61" i="7" a="1"/>
  <c r="DQ61" i="7" s="1"/>
  <c r="FE67" i="7" a="1"/>
  <c r="FE67" i="7" s="1"/>
  <c r="EI50" i="7" a="1"/>
  <c r="EI50" i="7" s="1"/>
  <c r="DX61" i="7" a="1"/>
  <c r="DX61" i="7" s="1"/>
  <c r="FU15" i="7" a="1"/>
  <c r="FU15" i="7" s="1"/>
  <c r="ES17" i="7" a="1"/>
  <c r="ES17" i="7" s="1"/>
  <c r="FO15" i="7" a="1"/>
  <c r="FO15" i="7" s="1"/>
  <c r="EM17" i="7" a="1"/>
  <c r="EM17" i="7" s="1"/>
  <c r="EQ16" i="7" a="1"/>
  <c r="EQ16" i="7" s="1"/>
  <c r="EZ20" i="7" a="1"/>
  <c r="EZ20" i="7" s="1"/>
  <c r="FG23" i="7" a="1"/>
  <c r="FG23" i="7" s="1"/>
  <c r="EQ19" i="7" a="1"/>
  <c r="EQ19" i="7" s="1"/>
  <c r="FM21" i="7" a="1"/>
  <c r="FM21" i="7" s="1"/>
  <c r="EI16" i="7" a="1"/>
  <c r="EI16" i="7" s="1"/>
  <c r="ET20" i="7" a="1"/>
  <c r="ET20" i="7" s="1"/>
  <c r="FF18" i="7" a="1"/>
  <c r="FF18" i="7" s="1"/>
  <c r="ES18" i="7" a="1"/>
  <c r="ES18" i="7" s="1"/>
  <c r="EC21" i="7" a="1"/>
  <c r="EC21" i="7" s="1"/>
  <c r="ES25" i="7" a="1"/>
  <c r="ES25" i="7" s="1"/>
  <c r="EG27" i="7" a="1"/>
  <c r="EG27" i="7" s="1"/>
  <c r="FP28" i="7" a="1"/>
  <c r="FP28" i="7" s="1"/>
  <c r="FQ16" i="7" a="1"/>
  <c r="FQ16" i="7" s="1"/>
  <c r="FP21" i="7" a="1"/>
  <c r="FP21" i="7" s="1"/>
  <c r="FD24" i="7" a="1"/>
  <c r="FD24" i="7" s="1"/>
  <c r="FB19" i="7" a="1"/>
  <c r="FB19" i="7" s="1"/>
  <c r="DW23" i="7" a="1"/>
  <c r="DW23" i="7" s="1"/>
  <c r="EH26" i="7" a="1"/>
  <c r="EH26" i="7" s="1"/>
  <c r="DW15" i="7" a="1"/>
  <c r="DW15" i="7" s="1"/>
  <c r="DY20" i="7" a="1"/>
  <c r="DY20" i="7" s="1"/>
  <c r="EV23" i="7" a="1"/>
  <c r="EV23" i="7" s="1"/>
  <c r="FI16" i="7" a="1"/>
  <c r="FI16" i="7" s="1"/>
  <c r="FD20" i="7" a="1"/>
  <c r="FD20" i="7" s="1"/>
  <c r="ER27" i="7" a="1"/>
  <c r="ER27" i="7" s="1"/>
  <c r="EP32" i="7" a="1"/>
  <c r="EP32" i="7" s="1"/>
  <c r="EW35" i="7" a="1"/>
  <c r="EW35" i="7" s="1"/>
  <c r="FB17" i="7" a="1"/>
  <c r="FB17" i="7" s="1"/>
  <c r="EH23" i="7" a="1"/>
  <c r="EH23" i="7" s="1"/>
  <c r="ES26" i="7" a="1"/>
  <c r="ES26" i="7" s="1"/>
  <c r="DR29" i="7" a="1"/>
  <c r="DR29" i="7" s="1"/>
  <c r="FW31" i="7" a="1"/>
  <c r="FW31" i="7" s="1"/>
  <c r="ES19" i="7" a="1"/>
  <c r="ES19" i="7" s="1"/>
  <c r="FL25" i="7" a="1"/>
  <c r="FL25" i="7" s="1"/>
  <c r="DW31" i="7" a="1"/>
  <c r="DW31" i="7" s="1"/>
  <c r="ET19" i="7" a="1"/>
  <c r="ET19" i="7" s="1"/>
  <c r="FF23" i="7" a="1"/>
  <c r="FF23" i="7" s="1"/>
  <c r="FL27" i="7" a="1"/>
  <c r="FL27" i="7" s="1"/>
  <c r="FG29" i="7" a="1"/>
  <c r="FG29" i="7" s="1"/>
  <c r="FE17" i="7" a="1"/>
  <c r="FE17" i="7" s="1"/>
  <c r="EY25" i="7" a="1"/>
  <c r="EY25" i="7" s="1"/>
  <c r="FJ32" i="7" a="1"/>
  <c r="FJ32" i="7" s="1"/>
  <c r="FK35" i="7" a="1"/>
  <c r="FK35" i="7" s="1"/>
  <c r="FQ37" i="7" a="1"/>
  <c r="FQ37" i="7" s="1"/>
  <c r="EO39" i="7" a="1"/>
  <c r="EO39" i="7" s="1"/>
  <c r="EC22" i="7" a="1"/>
  <c r="EC22" i="7" s="1"/>
  <c r="GA25" i="7" a="1"/>
  <c r="GA25" i="7" s="1"/>
  <c r="FW29" i="7" a="1"/>
  <c r="FW29" i="7" s="1"/>
  <c r="FX33" i="7" a="1"/>
  <c r="FX33" i="7" s="1"/>
  <c r="DV16" i="7" a="1"/>
  <c r="DV16" i="7" s="1"/>
  <c r="GA26" i="7" a="1"/>
  <c r="GA26" i="7" s="1"/>
  <c r="DT33" i="7" a="1"/>
  <c r="DT33" i="7" s="1"/>
  <c r="DY36" i="7" a="1"/>
  <c r="DY36" i="7" s="1"/>
  <c r="FP16" i="7" a="1"/>
  <c r="FP16" i="7" s="1"/>
  <c r="EJ24" i="7" a="1"/>
  <c r="EJ24" i="7" s="1"/>
  <c r="EY28" i="7" a="1"/>
  <c r="EY28" i="7" s="1"/>
  <c r="FR31" i="7" a="1"/>
  <c r="FR31" i="7" s="1"/>
  <c r="EE19" i="7" a="1"/>
  <c r="EE19" i="7" s="1"/>
  <c r="FV25" i="7" a="1"/>
  <c r="FV25" i="7" s="1"/>
  <c r="FH26" i="7" a="1"/>
  <c r="FH26" i="7" s="1"/>
  <c r="EP35" i="7" a="1"/>
  <c r="EP35" i="7" s="1"/>
  <c r="FR38" i="7" a="1"/>
  <c r="FR38" i="7" s="1"/>
  <c r="FZ40" i="7" a="1"/>
  <c r="FZ40" i="7" s="1"/>
  <c r="DV44" i="7" a="1"/>
  <c r="DV44" i="7" s="1"/>
  <c r="FE45" i="7" a="1"/>
  <c r="FE45" i="7" s="1"/>
  <c r="DX21" i="7" a="1"/>
  <c r="DX21" i="7" s="1"/>
  <c r="FG28" i="7" a="1"/>
  <c r="FG28" i="7" s="1"/>
  <c r="FI32" i="7" a="1"/>
  <c r="FI32" i="7" s="1"/>
  <c r="EW36" i="7" a="1"/>
  <c r="EW36" i="7" s="1"/>
  <c r="EB42" i="7" a="1"/>
  <c r="EB42" i="7" s="1"/>
  <c r="EV25" i="7" a="1"/>
  <c r="EV25" i="7" s="1"/>
  <c r="EG34" i="7" a="1"/>
  <c r="EG34" i="7" s="1"/>
  <c r="ET38" i="7" a="1"/>
  <c r="ET38" i="7" s="1"/>
  <c r="EO40" i="7" a="1"/>
  <c r="EO40" i="7" s="1"/>
  <c r="EV43" i="7" a="1"/>
  <c r="EV43" i="7" s="1"/>
  <c r="EK45" i="7" a="1"/>
  <c r="EK45" i="7" s="1"/>
  <c r="EC25" i="7" a="1"/>
  <c r="EC25" i="7" s="1"/>
  <c r="EV31" i="7" a="1"/>
  <c r="EV31" i="7" s="1"/>
  <c r="FM35" i="7" a="1"/>
  <c r="FM35" i="7" s="1"/>
  <c r="FQ41" i="7" a="1"/>
  <c r="FQ41" i="7" s="1"/>
  <c r="FS25" i="7" a="1"/>
  <c r="FS25" i="7" s="1"/>
  <c r="EH19" i="7" a="1"/>
  <c r="EH19" i="7" s="1"/>
  <c r="FP29" i="7" a="1"/>
  <c r="FP29" i="7" s="1"/>
  <c r="FP34" i="7" a="1"/>
  <c r="FP34" i="7" s="1"/>
  <c r="EG19" i="7" a="1"/>
  <c r="EG19" i="7" s="1"/>
  <c r="DQ31" i="7" a="1"/>
  <c r="DQ31" i="7" s="1"/>
  <c r="DS38" i="7" a="1"/>
  <c r="DS38" i="7" s="1"/>
  <c r="FI45" i="7" a="1"/>
  <c r="FI45" i="7" s="1"/>
  <c r="FU47" i="7" a="1"/>
  <c r="FU47" i="7" s="1"/>
  <c r="ES49" i="7" a="1"/>
  <c r="ES49" i="7" s="1"/>
  <c r="DQ51" i="7" a="1"/>
  <c r="DQ51" i="7" s="1"/>
  <c r="GA29" i="7" a="1"/>
  <c r="GA29" i="7" s="1"/>
  <c r="FF38" i="7" a="1"/>
  <c r="FF38" i="7" s="1"/>
  <c r="FD41" i="7" a="1"/>
  <c r="FD41" i="7" s="1"/>
  <c r="DU45" i="7" a="1"/>
  <c r="DU45" i="7" s="1"/>
  <c r="FH27" i="7" a="1"/>
  <c r="FH27" i="7" s="1"/>
  <c r="FO34" i="7" a="1"/>
  <c r="FO34" i="7" s="1"/>
  <c r="FZ41" i="7" a="1"/>
  <c r="FZ41" i="7" s="1"/>
  <c r="FV46" i="7" a="1"/>
  <c r="FV46" i="7" s="1"/>
  <c r="ET48" i="7" a="1"/>
  <c r="ET48" i="7" s="1"/>
  <c r="DR50" i="7" a="1"/>
  <c r="DR50" i="7" s="1"/>
  <c r="EN16" i="7" a="1"/>
  <c r="EN16" i="7" s="1"/>
  <c r="EQ31" i="7" a="1"/>
  <c r="EQ31" i="7" s="1"/>
  <c r="FG38" i="7" a="1"/>
  <c r="FG38" i="7" s="1"/>
  <c r="DY42" i="7" a="1"/>
  <c r="DY42" i="7" s="1"/>
  <c r="EU45" i="7" a="1"/>
  <c r="EU45" i="7" s="1"/>
  <c r="FX28" i="7" a="1"/>
  <c r="FX28" i="7" s="1"/>
  <c r="FV24" i="7" a="1"/>
  <c r="FV24" i="7" s="1"/>
  <c r="FE33" i="7" a="1"/>
  <c r="FE33" i="7" s="1"/>
  <c r="EN41" i="7" a="1"/>
  <c r="EN41" i="7" s="1"/>
  <c r="FC46" i="7" a="1"/>
  <c r="FC46" i="7" s="1"/>
  <c r="EQ27" i="7" a="1"/>
  <c r="EQ27" i="7" s="1"/>
  <c r="DY39" i="7" a="1"/>
  <c r="DY39" i="7" s="1"/>
  <c r="DY45" i="7" a="1"/>
  <c r="DY45" i="7" s="1"/>
  <c r="FM54" i="7" a="1"/>
  <c r="FM54" i="7" s="1"/>
  <c r="FT57" i="7" a="1"/>
  <c r="FT57" i="7" s="1"/>
  <c r="FY20" i="7" a="1"/>
  <c r="FY20" i="7" s="1"/>
  <c r="DQ35" i="7" a="1"/>
  <c r="DQ35" i="7" s="1"/>
  <c r="EY41" i="7" a="1"/>
  <c r="EY41" i="7" s="1"/>
  <c r="FF46" i="7" a="1"/>
  <c r="FF46" i="7" s="1"/>
  <c r="FD49" i="7" a="1"/>
  <c r="FD49" i="7" s="1"/>
  <c r="FL51" i="7" a="1"/>
  <c r="FL51" i="7" s="1"/>
  <c r="EZ53" i="7" a="1"/>
  <c r="EZ53" i="7" s="1"/>
  <c r="ES35" i="7" a="1"/>
  <c r="ES35" i="7" s="1"/>
  <c r="FI43" i="7" a="1"/>
  <c r="FI43" i="7" s="1"/>
  <c r="DU54" i="7" a="1"/>
  <c r="DU54" i="7" s="1"/>
  <c r="EB57" i="7" a="1"/>
  <c r="EB57" i="7" s="1"/>
  <c r="DV33" i="7" a="1"/>
  <c r="DV33" i="7" s="1"/>
  <c r="FS41" i="7" a="1"/>
  <c r="FS41" i="7" s="1"/>
  <c r="ED47" i="7" a="1"/>
  <c r="ED47" i="7" s="1"/>
  <c r="FY49" i="7" a="1"/>
  <c r="FY49" i="7" s="1"/>
  <c r="EJ28" i="7" a="1"/>
  <c r="EJ28" i="7" s="1"/>
  <c r="EX30" i="7" a="1"/>
  <c r="EX30" i="7" s="1"/>
  <c r="FG41" i="7" a="1"/>
  <c r="FG41" i="7" s="1"/>
  <c r="DW47" i="7" a="1"/>
  <c r="DW47" i="7" s="1"/>
  <c r="ET39" i="7" a="1"/>
  <c r="ET39" i="7" s="1"/>
  <c r="DW49" i="7" a="1"/>
  <c r="DW49" i="7" s="1"/>
  <c r="FW53" i="7" a="1"/>
  <c r="FW53" i="7" s="1"/>
  <c r="FA57" i="7" a="1"/>
  <c r="FA57" i="7" s="1"/>
  <c r="FE61" i="7" a="1"/>
  <c r="FE61" i="7" s="1"/>
  <c r="FL64" i="7" a="1"/>
  <c r="FL64" i="7" s="1"/>
  <c r="FS67" i="7" a="1"/>
  <c r="FS67" i="7" s="1"/>
  <c r="ES36" i="7" a="1"/>
  <c r="ES36" i="7" s="1"/>
  <c r="FC49" i="7" a="1"/>
  <c r="FC49" i="7" s="1"/>
  <c r="EE54" i="7" a="1"/>
  <c r="EE54" i="7" s="1"/>
  <c r="FJ57" i="7" a="1"/>
  <c r="FJ57" i="7" s="1"/>
  <c r="ES60" i="7" a="1"/>
  <c r="ES60" i="7" s="1"/>
  <c r="EZ63" i="7" a="1"/>
  <c r="EZ63" i="7" s="1"/>
  <c r="FV39" i="7" a="1"/>
  <c r="FV39" i="7" s="1"/>
  <c r="FA46" i="7" a="1"/>
  <c r="FA46" i="7" s="1"/>
  <c r="EJ52" i="7" a="1"/>
  <c r="EJ52" i="7" s="1"/>
  <c r="EV55" i="7" a="1"/>
  <c r="EV55" i="7" s="1"/>
  <c r="FN58" i="7" a="1"/>
  <c r="FN58" i="7" s="1"/>
  <c r="ED63" i="7" a="1"/>
  <c r="ED63" i="7" s="1"/>
  <c r="EL18" i="7" a="1"/>
  <c r="EL18" i="7" s="1"/>
  <c r="DZ43" i="7" a="1"/>
  <c r="DZ43" i="7" s="1"/>
  <c r="FR50" i="7" a="1"/>
  <c r="FR50" i="7" s="1"/>
  <c r="EW55" i="7" a="1"/>
  <c r="EW55" i="7" s="1"/>
  <c r="EB59" i="7" a="1"/>
  <c r="EB59" i="7" s="1"/>
  <c r="FN61" i="7" a="1"/>
  <c r="FN61" i="7" s="1"/>
  <c r="FZ35" i="7" a="1"/>
  <c r="FZ35" i="7" s="1"/>
  <c r="FV26" i="7" a="1"/>
  <c r="FV26" i="7" s="1"/>
  <c r="EV47" i="7" a="1"/>
  <c r="EV47" i="7" s="1"/>
  <c r="EZ52" i="7" a="1"/>
  <c r="EZ52" i="7" s="1"/>
  <c r="FY56" i="7" a="1"/>
  <c r="FY56" i="7" s="1"/>
  <c r="EO60" i="7" a="1"/>
  <c r="EO60" i="7" s="1"/>
  <c r="EO63" i="7" a="1"/>
  <c r="EO63" i="7" s="1"/>
  <c r="EN43" i="7" a="1"/>
  <c r="EN43" i="7" s="1"/>
  <c r="FG53" i="7" a="1"/>
  <c r="FG53" i="7" s="1"/>
  <c r="FG58" i="7" a="1"/>
  <c r="FG58" i="7" s="1"/>
  <c r="EG63" i="7" a="1"/>
  <c r="EG63" i="7" s="1"/>
  <c r="DU68" i="7" a="1"/>
  <c r="DU68" i="7" s="1"/>
  <c r="DX70" i="7" a="1"/>
  <c r="DX70" i="7" s="1"/>
  <c r="FG71" i="7" a="1"/>
  <c r="FG71" i="7" s="1"/>
  <c r="EE73" i="7" a="1"/>
  <c r="EE73" i="7" s="1"/>
  <c r="EV29" i="7" a="1"/>
  <c r="EV29" i="7" s="1"/>
  <c r="DZ48" i="7" a="1"/>
  <c r="DZ48" i="7" s="1"/>
  <c r="FQ54" i="7" a="1"/>
  <c r="FQ54" i="7" s="1"/>
  <c r="FF60" i="7" a="1"/>
  <c r="FF60" i="7" s="1"/>
  <c r="EJ65" i="7" a="1"/>
  <c r="EJ65" i="7" s="1"/>
  <c r="EZ67" i="7" a="1"/>
  <c r="EZ67" i="7" s="1"/>
  <c r="DT44" i="7" a="1"/>
  <c r="DT44" i="7" s="1"/>
  <c r="FK53" i="7" a="1"/>
  <c r="FK53" i="7" s="1"/>
  <c r="DW60" i="7" a="1"/>
  <c r="DW60" i="7" s="1"/>
  <c r="EL64" i="7" a="1"/>
  <c r="EL64" i="7" s="1"/>
  <c r="EM68" i="7" a="1"/>
  <c r="EM68" i="7" s="1"/>
  <c r="EM70" i="7" a="1"/>
  <c r="EM70" i="7" s="1"/>
  <c r="FV71" i="7" a="1"/>
  <c r="FV71" i="7" s="1"/>
  <c r="ET73" i="7" a="1"/>
  <c r="ET73" i="7" s="1"/>
  <c r="FS36" i="7" a="1"/>
  <c r="FS36" i="7" s="1"/>
  <c r="FS51" i="7" a="1"/>
  <c r="FS51" i="7" s="1"/>
  <c r="FA56" i="7" a="1"/>
  <c r="FA56" i="7" s="1"/>
  <c r="EB62" i="7" a="1"/>
  <c r="EB62" i="7" s="1"/>
  <c r="FL65" i="7" a="1"/>
  <c r="FL65" i="7" s="1"/>
  <c r="ET69" i="7" a="1"/>
  <c r="ET69" i="7" s="1"/>
  <c r="FZ48" i="7" a="1"/>
  <c r="FZ48" i="7" s="1"/>
  <c r="EY30" i="7" a="1"/>
  <c r="EY30" i="7" s="1"/>
  <c r="EK48" i="7" a="1"/>
  <c r="EK48" i="7" s="1"/>
  <c r="DQ56" i="7" a="1"/>
  <c r="DQ56" i="7" s="1"/>
  <c r="DY61" i="7" a="1"/>
  <c r="DY61" i="7" s="1"/>
  <c r="EF65" i="7" a="1"/>
  <c r="EF65" i="7" s="1"/>
  <c r="FF68" i="7" a="1"/>
  <c r="FF68" i="7" s="1"/>
  <c r="EW70" i="7" a="1"/>
  <c r="EW70" i="7" s="1"/>
  <c r="DU72" i="7" a="1"/>
  <c r="DU72" i="7" s="1"/>
  <c r="FH35" i="7" a="1"/>
  <c r="FH35" i="7" s="1"/>
  <c r="EX55" i="7" a="1"/>
  <c r="EX55" i="7" s="1"/>
  <c r="EY63" i="7" a="1"/>
  <c r="EY63" i="7" s="1"/>
  <c r="EZ68" i="7" a="1"/>
  <c r="EZ68" i="7" s="1"/>
  <c r="EJ73" i="7" a="1"/>
  <c r="EJ73" i="7" s="1"/>
  <c r="FA78" i="7" a="1"/>
  <c r="FA78" i="7" s="1"/>
  <c r="FA85" i="7" a="1"/>
  <c r="FA85" i="7" s="1"/>
  <c r="FH88" i="7" a="1"/>
  <c r="FH88" i="7" s="1"/>
  <c r="FO91" i="7" a="1"/>
  <c r="FO91" i="7" s="1"/>
  <c r="FN45" i="7" a="1"/>
  <c r="FN45" i="7" s="1"/>
  <c r="ES59" i="7" a="1"/>
  <c r="ES59" i="7" s="1"/>
  <c r="FM65" i="7" a="1"/>
  <c r="FM65" i="7" s="1"/>
  <c r="EH71" i="7" a="1"/>
  <c r="EH71" i="7" s="1"/>
  <c r="FK75" i="7" a="1"/>
  <c r="FK75" i="7" s="1"/>
  <c r="EY77" i="7" a="1"/>
  <c r="EY77" i="7" s="1"/>
  <c r="EN79" i="7" a="1"/>
  <c r="EN79" i="7" s="1"/>
  <c r="EB81" i="7" a="1"/>
  <c r="EB81" i="7" s="1"/>
  <c r="GA82" i="7" a="1"/>
  <c r="GA82" i="7" s="1"/>
  <c r="ET85" i="7" a="1"/>
  <c r="ET85" i="7" s="1"/>
  <c r="FA88" i="7" a="1"/>
  <c r="FA88" i="7" s="1"/>
  <c r="FH91" i="7" a="1"/>
  <c r="FH91" i="7" s="1"/>
  <c r="EM52" i="7" a="1"/>
  <c r="EM52" i="7" s="1"/>
  <c r="EZ61" i="7" a="1"/>
  <c r="EZ61" i="7" s="1"/>
  <c r="EP67" i="7" a="1"/>
  <c r="EP67" i="7" s="1"/>
  <c r="FZ71" i="7" a="1"/>
  <c r="FZ71" i="7" s="1"/>
  <c r="DY76" i="7" a="1"/>
  <c r="DY76" i="7" s="1"/>
  <c r="FL84" i="7" a="1"/>
  <c r="FL84" i="7" s="1"/>
  <c r="FS87" i="7" a="1"/>
  <c r="FS87" i="7" s="1"/>
  <c r="FZ90" i="7" a="1"/>
  <c r="FZ90" i="7" s="1"/>
  <c r="DT93" i="7" a="1"/>
  <c r="DT93" i="7" s="1"/>
  <c r="FC94" i="7" a="1"/>
  <c r="FC94" i="7" s="1"/>
  <c r="GA49" i="7" a="1"/>
  <c r="GA49" i="7" s="1"/>
  <c r="FN59" i="7" a="1"/>
  <c r="FN59" i="7" s="1"/>
  <c r="FQ66" i="7" a="1"/>
  <c r="FQ66" i="7" s="1"/>
  <c r="DS73" i="7" a="1"/>
  <c r="DS73" i="7" s="1"/>
  <c r="EH76" i="7" a="1"/>
  <c r="EH76" i="7" s="1"/>
  <c r="DV78" i="7" a="1"/>
  <c r="DV78" i="7" s="1"/>
  <c r="FU79" i="7" a="1"/>
  <c r="FU79" i="7" s="1"/>
  <c r="FJ81" i="7" a="1"/>
  <c r="FJ81" i="7" s="1"/>
  <c r="EX83" i="7" a="1"/>
  <c r="EX83" i="7" s="1"/>
  <c r="ER86" i="7" a="1"/>
  <c r="ER86" i="7" s="1"/>
  <c r="EB50" i="7" a="1"/>
  <c r="EB50" i="7" s="1"/>
  <c r="FD61" i="7" a="1"/>
  <c r="FD61" i="7" s="1"/>
  <c r="FR67" i="7" a="1"/>
  <c r="FR67" i="7" s="1"/>
  <c r="FB52" i="7" a="1"/>
  <c r="FB52" i="7" s="1"/>
  <c r="FI61" i="7" a="1"/>
  <c r="FI61" i="7" s="1"/>
  <c r="DQ16" i="7" a="1"/>
  <c r="DQ16" i="7" s="1"/>
  <c r="EZ17" i="7" a="1"/>
  <c r="EZ17" i="7" s="1"/>
  <c r="FV15" i="7" a="1"/>
  <c r="FV15" i="7" s="1"/>
  <c r="ET17" i="7" a="1"/>
  <c r="ET17" i="7" s="1"/>
  <c r="FB16" i="7" a="1"/>
  <c r="FB16" i="7" s="1"/>
  <c r="FH20" i="7" a="1"/>
  <c r="FH20" i="7" s="1"/>
  <c r="FO23" i="7" a="1"/>
  <c r="FO23" i="7" s="1"/>
  <c r="EY19" i="7" a="1"/>
  <c r="EY19" i="7" s="1"/>
  <c r="DQ22" i="7" a="1"/>
  <c r="DQ22" i="7" s="1"/>
  <c r="ER16" i="7" a="1"/>
  <c r="ER16" i="7" s="1"/>
  <c r="FI20" i="7" a="1"/>
  <c r="FI20" i="7" s="1"/>
  <c r="FN18" i="7" a="1"/>
  <c r="FN18" i="7" s="1"/>
  <c r="FD18" i="7" a="1"/>
  <c r="FD18" i="7" s="1"/>
  <c r="EL21" i="7" a="1"/>
  <c r="EL21" i="7" s="1"/>
  <c r="FH25" i="7" a="1"/>
  <c r="FH25" i="7" s="1"/>
  <c r="EN27" i="7" a="1"/>
  <c r="EN27" i="7" s="1"/>
  <c r="FW28" i="7" a="1"/>
  <c r="FW28" i="7" s="1"/>
  <c r="DS17" i="7" a="1"/>
  <c r="DS17" i="7" s="1"/>
  <c r="FY21" i="7" a="1"/>
  <c r="FY21" i="7" s="1"/>
  <c r="FS24" i="7" a="1"/>
  <c r="FS24" i="7" s="1"/>
  <c r="FL19" i="7" a="1"/>
  <c r="FL19" i="7" s="1"/>
  <c r="EE23" i="7" a="1"/>
  <c r="EE23" i="7" s="1"/>
  <c r="EO26" i="7" a="1"/>
  <c r="EO26" i="7" s="1"/>
  <c r="EJ15" i="7" a="1"/>
  <c r="EJ15" i="7" s="1"/>
  <c r="EI20" i="7" a="1"/>
  <c r="EI20" i="7" s="1"/>
  <c r="FD23" i="7" a="1"/>
  <c r="FD23" i="7" s="1"/>
  <c r="FX16" i="7" a="1"/>
  <c r="FX16" i="7" s="1"/>
  <c r="FQ20" i="7" a="1"/>
  <c r="FQ20" i="7" s="1"/>
  <c r="EX29" i="7" a="1"/>
  <c r="EX29" i="7" s="1"/>
  <c r="FE32" i="7" a="1"/>
  <c r="FE32" i="7" s="1"/>
  <c r="FL35" i="7" a="1"/>
  <c r="FL35" i="7" s="1"/>
  <c r="FS17" i="7" a="1"/>
  <c r="FS17" i="7" s="1"/>
  <c r="FE23" i="7" a="1"/>
  <c r="FE23" i="7" s="1"/>
  <c r="FT26" i="7" a="1"/>
  <c r="FT26" i="7" s="1"/>
  <c r="EA29" i="7" a="1"/>
  <c r="EA29" i="7" s="1"/>
  <c r="DT32" i="7" a="1"/>
  <c r="DT32" i="7" s="1"/>
  <c r="FF19" i="7" a="1"/>
  <c r="FF19" i="7" s="1"/>
  <c r="FU25" i="7" a="1"/>
  <c r="FU25" i="7" s="1"/>
  <c r="EL31" i="7" a="1"/>
  <c r="EL31" i="7" s="1"/>
  <c r="ED20" i="7" a="1"/>
  <c r="ED20" i="7" s="1"/>
  <c r="FQ23" i="7" a="1"/>
  <c r="FQ23" i="7" s="1"/>
  <c r="FT27" i="7" a="1"/>
  <c r="FT27" i="7" s="1"/>
  <c r="FV29" i="7" a="1"/>
  <c r="FV29" i="7" s="1"/>
  <c r="EH15" i="7" a="1"/>
  <c r="EH15" i="7" s="1"/>
  <c r="FN25" i="7" a="1"/>
  <c r="FN25" i="7" s="1"/>
  <c r="FS32" i="7" a="1"/>
  <c r="FS32" i="7" s="1"/>
  <c r="FS35" i="7" a="1"/>
  <c r="FS35" i="7" s="1"/>
  <c r="FX37" i="7" a="1"/>
  <c r="FX37" i="7" s="1"/>
  <c r="EV39" i="7" a="1"/>
  <c r="EV39" i="7" s="1"/>
  <c r="ET22" i="7" a="1"/>
  <c r="ET22" i="7" s="1"/>
  <c r="ED26" i="7" a="1"/>
  <c r="ED26" i="7" s="1"/>
  <c r="DV30" i="7" a="1"/>
  <c r="DV30" i="7" s="1"/>
  <c r="DU34" i="7" a="1"/>
  <c r="DU34" i="7" s="1"/>
  <c r="EE18" i="7" a="1"/>
  <c r="EE18" i="7" s="1"/>
  <c r="ED27" i="7" a="1"/>
  <c r="ED27" i="7" s="1"/>
  <c r="EB33" i="7" a="1"/>
  <c r="EB33" i="7" s="1"/>
  <c r="EN36" i="7" a="1"/>
  <c r="EN36" i="7" s="1"/>
  <c r="FP17" i="7" a="1"/>
  <c r="FP17" i="7" s="1"/>
  <c r="EZ24" i="7" a="1"/>
  <c r="EZ24" i="7" s="1"/>
  <c r="FJ28" i="7" a="1"/>
  <c r="FJ28" i="7" s="1"/>
  <c r="GA31" i="7" a="1"/>
  <c r="GA31" i="7" s="1"/>
  <c r="EW19" i="7" a="1"/>
  <c r="EW19" i="7" s="1"/>
  <c r="DW26" i="7" a="1"/>
  <c r="DW26" i="7" s="1"/>
  <c r="EA30" i="7" a="1"/>
  <c r="EA30" i="7" s="1"/>
  <c r="FI35" i="7" a="1"/>
  <c r="FI35" i="7" s="1"/>
  <c r="FZ38" i="7" a="1"/>
  <c r="FZ38" i="7" s="1"/>
  <c r="ED41" i="7" a="1"/>
  <c r="ED41" i="7" s="1"/>
  <c r="EC44" i="7" a="1"/>
  <c r="EC44" i="7" s="1"/>
  <c r="FL45" i="7" a="1"/>
  <c r="FL45" i="7" s="1"/>
  <c r="EZ21" i="7" a="1"/>
  <c r="EZ21" i="7" s="1"/>
  <c r="FY28" i="7" a="1"/>
  <c r="FY28" i="7" s="1"/>
  <c r="FW32" i="7" a="1"/>
  <c r="FW32" i="7" s="1"/>
  <c r="DW37" i="7" a="1"/>
  <c r="DW37" i="7" s="1"/>
  <c r="EQ42" i="7" a="1"/>
  <c r="EQ42" i="7" s="1"/>
  <c r="FR25" i="7" a="1"/>
  <c r="FR25" i="7" s="1"/>
  <c r="EQ34" i="7" a="1"/>
  <c r="EQ34" i="7" s="1"/>
  <c r="FB38" i="7" a="1"/>
  <c r="FB38" i="7" s="1"/>
  <c r="EW40" i="7" a="1"/>
  <c r="EW40" i="7" s="1"/>
  <c r="FD43" i="7" a="1"/>
  <c r="FD43" i="7" s="1"/>
  <c r="ER45" i="7" a="1"/>
  <c r="ER45" i="7" s="1"/>
  <c r="EW25" i="7" a="1"/>
  <c r="EW25" i="7" s="1"/>
  <c r="FK31" i="7" a="1"/>
  <c r="FK31" i="7" s="1"/>
  <c r="DU36" i="7" a="1"/>
  <c r="DU36" i="7" s="1"/>
  <c r="FY41" i="7" a="1"/>
  <c r="FY41" i="7" s="1"/>
  <c r="DY26" i="7" a="1"/>
  <c r="DY26" i="7" s="1"/>
  <c r="EM20" i="7" a="1"/>
  <c r="EM20" i="7" s="1"/>
  <c r="DS30" i="7" a="1"/>
  <c r="DS30" i="7" s="1"/>
  <c r="EA35" i="7" a="1"/>
  <c r="EA35" i="7" s="1"/>
  <c r="EJ20" i="7" a="1"/>
  <c r="EJ20" i="7" s="1"/>
  <c r="FE31" i="7" a="1"/>
  <c r="FE31" i="7" s="1"/>
  <c r="EF40" i="7" a="1"/>
  <c r="EF40" i="7" s="1"/>
  <c r="FX45" i="7" a="1"/>
  <c r="FX45" i="7" s="1"/>
  <c r="DQ48" i="7" a="1"/>
  <c r="DQ48" i="7" s="1"/>
  <c r="EZ49" i="7" a="1"/>
  <c r="EZ49" i="7" s="1"/>
  <c r="DX51" i="7" a="1"/>
  <c r="DX51" i="7" s="1"/>
  <c r="EP31" i="7" a="1"/>
  <c r="EP31" i="7" s="1"/>
  <c r="FP38" i="7" a="1"/>
  <c r="FP38" i="7" s="1"/>
  <c r="DX42" i="7" a="1"/>
  <c r="DX42" i="7" s="1"/>
  <c r="EL45" i="7" a="1"/>
  <c r="EL45" i="7" s="1"/>
  <c r="ET28" i="7" a="1"/>
  <c r="ET28" i="7" s="1"/>
  <c r="DS35" i="7" a="1"/>
  <c r="DS35" i="7" s="1"/>
  <c r="EH42" i="7" a="1"/>
  <c r="EH42" i="7" s="1"/>
  <c r="DR47" i="7" a="1"/>
  <c r="DR47" i="7" s="1"/>
  <c r="FA48" i="7" a="1"/>
  <c r="FA48" i="7" s="1"/>
  <c r="DY50" i="7" a="1"/>
  <c r="DY50" i="7" s="1"/>
  <c r="DU18" i="7" a="1"/>
  <c r="DU18" i="7" s="1"/>
  <c r="FH32" i="7" a="1"/>
  <c r="FH32" i="7" s="1"/>
  <c r="FT38" i="7" a="1"/>
  <c r="FT38" i="7" s="1"/>
  <c r="EK42" i="7" a="1"/>
  <c r="EK42" i="7" s="1"/>
  <c r="FC45" i="7" a="1"/>
  <c r="FC45" i="7" s="1"/>
  <c r="EL29" i="7" a="1"/>
  <c r="EL29" i="7" s="1"/>
  <c r="FE25" i="7" a="1"/>
  <c r="FE25" i="7" s="1"/>
  <c r="FT33" i="7" a="1"/>
  <c r="FT33" i="7" s="1"/>
  <c r="EX41" i="7" a="1"/>
  <c r="EX41" i="7" s="1"/>
  <c r="FR46" i="7" a="1"/>
  <c r="FR46" i="7" s="1"/>
  <c r="DW28" i="7" a="1"/>
  <c r="DW28" i="7" s="1"/>
  <c r="FZ39" i="7" a="1"/>
  <c r="FZ39" i="7" s="1"/>
  <c r="FK45" i="7" a="1"/>
  <c r="FK45" i="7" s="1"/>
  <c r="DQ55" i="7" a="1"/>
  <c r="DQ55" i="7" s="1"/>
  <c r="DX58" i="7" a="1"/>
  <c r="DX58" i="7" s="1"/>
  <c r="FF22" i="7" a="1"/>
  <c r="FF22" i="7" s="1"/>
  <c r="EB36" i="7" a="1"/>
  <c r="EB36" i="7" s="1"/>
  <c r="FR41" i="7" a="1"/>
  <c r="FR41" i="7" s="1"/>
  <c r="DS47" i="7" a="1"/>
  <c r="DS47" i="7" s="1"/>
  <c r="FM49" i="7" a="1"/>
  <c r="FM49" i="7" s="1"/>
  <c r="FT51" i="7" a="1"/>
  <c r="FT51" i="7" s="1"/>
  <c r="FI53" i="7" a="1"/>
  <c r="FI53" i="7" s="1"/>
  <c r="FR35" i="7" a="1"/>
  <c r="FR35" i="7" s="1"/>
  <c r="EM44" i="7" a="1"/>
  <c r="EM44" i="7" s="1"/>
  <c r="EJ54" i="7" a="1"/>
  <c r="EJ54" i="7" s="1"/>
  <c r="EQ57" i="7" a="1"/>
  <c r="EQ57" i="7" s="1"/>
  <c r="EU33" i="7" a="1"/>
  <c r="EU33" i="7" s="1"/>
  <c r="DW42" i="7" a="1"/>
  <c r="DW42" i="7" s="1"/>
  <c r="FW47" i="7" a="1"/>
  <c r="FW47" i="7" s="1"/>
  <c r="DW50" i="7" a="1"/>
  <c r="DW50" i="7" s="1"/>
  <c r="EJ30" i="7" a="1"/>
  <c r="EJ30" i="7" s="1"/>
  <c r="FD31" i="7" a="1"/>
  <c r="FD31" i="7" s="1"/>
  <c r="FV41" i="7" a="1"/>
  <c r="FV41" i="7" s="1"/>
  <c r="FP47" i="7" a="1"/>
  <c r="FP47" i="7" s="1"/>
  <c r="FS39" i="7" a="1"/>
  <c r="FS39" i="7" s="1"/>
  <c r="FR49" i="7" a="1"/>
  <c r="FR49" i="7" s="1"/>
  <c r="DV54" i="7" a="1"/>
  <c r="DV54" i="7" s="1"/>
  <c r="FR57" i="7" a="1"/>
  <c r="FR57" i="7" s="1"/>
  <c r="FT61" i="7" a="1"/>
  <c r="FT61" i="7" s="1"/>
  <c r="GA64" i="7" a="1"/>
  <c r="GA64" i="7" s="1"/>
  <c r="DW68" i="7" a="1"/>
  <c r="DW68" i="7" s="1"/>
  <c r="EL40" i="7" a="1"/>
  <c r="EL40" i="7" s="1"/>
  <c r="FS49" i="7" a="1"/>
  <c r="FS49" i="7" s="1"/>
  <c r="EN54" i="7" a="1"/>
  <c r="EN54" i="7" s="1"/>
  <c r="GA57" i="7" a="1"/>
  <c r="GA57" i="7" s="1"/>
  <c r="FA60" i="7" a="1"/>
  <c r="FA60" i="7" s="1"/>
  <c r="EY21" i="7" a="1"/>
  <c r="EY21" i="7" s="1"/>
  <c r="EM40" i="7" a="1"/>
  <c r="EM40" i="7" s="1"/>
  <c r="FQ46" i="7" a="1"/>
  <c r="FQ46" i="7" s="1"/>
  <c r="FE52" i="7" a="1"/>
  <c r="FE52" i="7" s="1"/>
  <c r="FE55" i="7" a="1"/>
  <c r="FE55" i="7" s="1"/>
  <c r="EZ59" i="7" a="1"/>
  <c r="EZ59" i="7" s="1"/>
  <c r="ES63" i="7" a="1"/>
  <c r="ES63" i="7" s="1"/>
  <c r="FK21" i="7" a="1"/>
  <c r="FK21" i="7" s="1"/>
  <c r="FH45" i="7" a="1"/>
  <c r="FH45" i="7" s="1"/>
  <c r="DW51" i="7" a="1"/>
  <c r="DW51" i="7" s="1"/>
  <c r="FN55" i="7" a="1"/>
  <c r="FN55" i="7" s="1"/>
  <c r="EJ59" i="7" a="1"/>
  <c r="EJ59" i="7" s="1"/>
  <c r="FV61" i="7" a="1"/>
  <c r="FV61" i="7" s="1"/>
  <c r="FH36" i="7" a="1"/>
  <c r="FH36" i="7" s="1"/>
  <c r="FQ34" i="7" a="1"/>
  <c r="FQ34" i="7" s="1"/>
  <c r="FM47" i="7" a="1"/>
  <c r="FM47" i="7" s="1"/>
  <c r="FT52" i="7" a="1"/>
  <c r="FT52" i="7" s="1"/>
  <c r="EE57" i="7" a="1"/>
  <c r="EE57" i="7" s="1"/>
  <c r="EW60" i="7" a="1"/>
  <c r="EW60" i="7" s="1"/>
  <c r="FD63" i="7" a="1"/>
  <c r="FD63" i="7" s="1"/>
  <c r="FB44" i="7" a="1"/>
  <c r="FB44" i="7" s="1"/>
  <c r="FV53" i="7" a="1"/>
  <c r="FV53" i="7" s="1"/>
  <c r="FS58" i="7" a="1"/>
  <c r="FS58" i="7" s="1"/>
  <c r="FU63" i="7" a="1"/>
  <c r="FU63" i="7" s="1"/>
  <c r="EC68" i="7" a="1"/>
  <c r="EC68" i="7" s="1"/>
  <c r="EE70" i="7" a="1"/>
  <c r="EE70" i="7" s="1"/>
  <c r="FN71" i="7" a="1"/>
  <c r="FN71" i="7" s="1"/>
  <c r="EL73" i="7" a="1"/>
  <c r="EL73" i="7" s="1"/>
  <c r="FB35" i="7" a="1"/>
  <c r="FB35" i="7" s="1"/>
  <c r="FI49" i="7" a="1"/>
  <c r="FI49" i="7" s="1"/>
  <c r="DS55" i="7" a="1"/>
  <c r="DS55" i="7" s="1"/>
  <c r="FO61" i="7" a="1"/>
  <c r="FO61" i="7" s="1"/>
  <c r="FK65" i="7" a="1"/>
  <c r="FK65" i="7" s="1"/>
  <c r="FZ68" i="7" a="1"/>
  <c r="FZ68" i="7" s="1"/>
  <c r="FD44" i="7" a="1"/>
  <c r="FD44" i="7" s="1"/>
  <c r="EB54" i="7" a="1"/>
  <c r="EB54" i="7" s="1"/>
  <c r="EI60" i="7" a="1"/>
  <c r="EI60" i="7" s="1"/>
  <c r="EU64" i="7" a="1"/>
  <c r="EU64" i="7" s="1"/>
  <c r="EU68" i="7" a="1"/>
  <c r="EU68" i="7" s="1"/>
  <c r="ET70" i="7" a="1"/>
  <c r="ET70" i="7" s="1"/>
  <c r="DR72" i="7" a="1"/>
  <c r="DR72" i="7" s="1"/>
  <c r="FA73" i="7" a="1"/>
  <c r="FA73" i="7" s="1"/>
  <c r="FN37" i="7" a="1"/>
  <c r="FN37" i="7" s="1"/>
  <c r="EB52" i="7" a="1"/>
  <c r="EB52" i="7" s="1"/>
  <c r="FO56" i="7" a="1"/>
  <c r="FO56" i="7" s="1"/>
  <c r="EM62" i="7" a="1"/>
  <c r="EM62" i="7" s="1"/>
  <c r="EA66" i="7" a="1"/>
  <c r="EA66" i="7" s="1"/>
  <c r="FN31" i="7" a="1"/>
  <c r="FN31" i="7" s="1"/>
  <c r="EN49" i="7" a="1"/>
  <c r="EN49" i="7" s="1"/>
  <c r="EK32" i="7" a="1"/>
  <c r="EK32" i="7" s="1"/>
  <c r="DV49" i="7" a="1"/>
  <c r="DV49" i="7" s="1"/>
  <c r="EF56" i="7" a="1"/>
  <c r="EF56" i="7" s="1"/>
  <c r="EK61" i="7" a="1"/>
  <c r="EK61" i="7" s="1"/>
  <c r="EO65" i="7" a="1"/>
  <c r="EO65" i="7" s="1"/>
  <c r="FN68" i="7" a="1"/>
  <c r="FN68" i="7" s="1"/>
  <c r="FD70" i="7" a="1"/>
  <c r="FD70" i="7" s="1"/>
  <c r="EB72" i="7" a="1"/>
  <c r="EB72" i="7" s="1"/>
  <c r="EQ37" i="7" a="1"/>
  <c r="EQ37" i="7" s="1"/>
  <c r="EA56" i="7" a="1"/>
  <c r="EA56" i="7" s="1"/>
  <c r="EE64" i="7" a="1"/>
  <c r="EE64" i="7" s="1"/>
  <c r="FY68" i="7" a="1"/>
  <c r="FY68" i="7" s="1"/>
  <c r="EU73" i="7" a="1"/>
  <c r="EU73" i="7" s="1"/>
  <c r="EM79" i="7" a="1"/>
  <c r="EM79" i="7" s="1"/>
  <c r="FP85" i="7" a="1"/>
  <c r="FP85" i="7" s="1"/>
  <c r="FW88" i="7" a="1"/>
  <c r="FW88" i="7" s="1"/>
  <c r="DS92" i="7" a="1"/>
  <c r="DS92" i="7" s="1"/>
  <c r="EP46" i="7" a="1"/>
  <c r="EP46" i="7" s="1"/>
  <c r="EP60" i="7" a="1"/>
  <c r="EP60" i="7" s="1"/>
  <c r="FZ65" i="7" a="1"/>
  <c r="FZ65" i="7" s="1"/>
  <c r="ER71" i="7" a="1"/>
  <c r="ER71" i="7" s="1"/>
  <c r="FS75" i="7" a="1"/>
  <c r="FS75" i="7" s="1"/>
  <c r="FG77" i="7" a="1"/>
  <c r="FG77" i="7" s="1"/>
  <c r="EV79" i="7" a="1"/>
  <c r="EV79" i="7" s="1"/>
  <c r="EJ81" i="7" a="1"/>
  <c r="EJ81" i="7" s="1"/>
  <c r="DX83" i="7" a="1"/>
  <c r="DX83" i="7" s="1"/>
  <c r="FI85" i="7" a="1"/>
  <c r="FI85" i="7" s="1"/>
  <c r="FP88" i="7" a="1"/>
  <c r="FP88" i="7" s="1"/>
  <c r="FW91" i="7" a="1"/>
  <c r="FW91" i="7" s="1"/>
  <c r="EH53" i="7" a="1"/>
  <c r="EH53" i="7" s="1"/>
  <c r="DR63" i="7" a="1"/>
  <c r="DR63" i="7" s="1"/>
  <c r="FC67" i="7" a="1"/>
  <c r="FC67" i="7" s="1"/>
  <c r="DX16" i="7" a="1"/>
  <c r="DX16" i="7" s="1"/>
  <c r="FG17" i="7" a="1"/>
  <c r="FG17" i="7" s="1"/>
  <c r="DR16" i="7" a="1"/>
  <c r="DR16" i="7" s="1"/>
  <c r="FA17" i="7" a="1"/>
  <c r="FA17" i="7" s="1"/>
  <c r="FK16" i="7" a="1"/>
  <c r="FK16" i="7" s="1"/>
  <c r="FW20" i="7" a="1"/>
  <c r="FW20" i="7" s="1"/>
  <c r="DS24" i="7" a="1"/>
  <c r="DS24" i="7" s="1"/>
  <c r="FG19" i="7" a="1"/>
  <c r="FG19" i="7" s="1"/>
  <c r="DY22" i="7" a="1"/>
  <c r="DY22" i="7" s="1"/>
  <c r="FC16" i="7" a="1"/>
  <c r="FC16" i="7" s="1"/>
  <c r="FX20" i="7" a="1"/>
  <c r="FX20" i="7" s="1"/>
  <c r="FW18" i="7" a="1"/>
  <c r="FW18" i="7" s="1"/>
  <c r="FQ18" i="7" a="1"/>
  <c r="FQ18" i="7" s="1"/>
  <c r="EP22" i="7" a="1"/>
  <c r="EP22" i="7" s="1"/>
  <c r="FW25" i="7" a="1"/>
  <c r="FW25" i="7" s="1"/>
  <c r="EU27" i="7" a="1"/>
  <c r="EU27" i="7" s="1"/>
  <c r="DS29" i="7" a="1"/>
  <c r="DS29" i="7" s="1"/>
  <c r="EH17" i="7" a="1"/>
  <c r="EH17" i="7" s="1"/>
  <c r="DW22" i="7" a="1"/>
  <c r="DW22" i="7" s="1"/>
  <c r="DW25" i="7" a="1"/>
  <c r="DW25" i="7" s="1"/>
  <c r="FW19" i="7" a="1"/>
  <c r="FW19" i="7" s="1"/>
  <c r="DY24" i="7" a="1"/>
  <c r="DY24" i="7" s="1"/>
  <c r="EV26" i="7" a="1"/>
  <c r="EV26" i="7" s="1"/>
  <c r="EY15" i="7" a="1"/>
  <c r="EY15" i="7" s="1"/>
  <c r="FV20" i="7" a="1"/>
  <c r="FV20" i="7" s="1"/>
  <c r="FL23" i="7" a="1"/>
  <c r="FL23" i="7" s="1"/>
  <c r="EU15" i="7" a="1"/>
  <c r="EU15" i="7" s="1"/>
  <c r="DQ21" i="7" a="1"/>
  <c r="DQ21" i="7" s="1"/>
  <c r="FM29" i="7" a="1"/>
  <c r="FM29" i="7" s="1"/>
  <c r="FT32" i="7" a="1"/>
  <c r="FT32" i="7" s="1"/>
  <c r="GA35" i="7" a="1"/>
  <c r="GA35" i="7" s="1"/>
  <c r="DY19" i="7" a="1"/>
  <c r="DY19" i="7" s="1"/>
  <c r="FP23" i="7" a="1"/>
  <c r="FP23" i="7" s="1"/>
  <c r="EJ27" i="7" a="1"/>
  <c r="EJ27" i="7" s="1"/>
  <c r="EI29" i="7" a="1"/>
  <c r="EI29" i="7" s="1"/>
  <c r="EI32" i="7" a="1"/>
  <c r="EI32" i="7" s="1"/>
  <c r="FZ19" i="7" a="1"/>
  <c r="FZ19" i="7" s="1"/>
  <c r="EK26" i="7" a="1"/>
  <c r="EK26" i="7" s="1"/>
  <c r="FA31" i="7" a="1"/>
  <c r="FA31" i="7" s="1"/>
  <c r="EH21" i="7" a="1"/>
  <c r="EH21" i="7" s="1"/>
  <c r="EC24" i="7" a="1"/>
  <c r="EC24" i="7" s="1"/>
  <c r="DQ28" i="7" a="1"/>
  <c r="DQ28" i="7" s="1"/>
  <c r="DZ30" i="7" a="1"/>
  <c r="DZ30" i="7" s="1"/>
  <c r="FJ16" i="7" a="1"/>
  <c r="FJ16" i="7" s="1"/>
  <c r="EZ26" i="7" a="1"/>
  <c r="EZ26" i="7" s="1"/>
  <c r="EA33" i="7" a="1"/>
  <c r="EA33" i="7" s="1"/>
  <c r="DX36" i="7" a="1"/>
  <c r="DX36" i="7" s="1"/>
  <c r="DT38" i="7" a="1"/>
  <c r="DT38" i="7" s="1"/>
  <c r="FC39" i="7" a="1"/>
  <c r="FC39" i="7" s="1"/>
  <c r="FM22" i="7" a="1"/>
  <c r="FM22" i="7" s="1"/>
  <c r="EP26" i="7" a="1"/>
  <c r="EP26" i="7" s="1"/>
  <c r="FA30" i="7" a="1"/>
  <c r="FA30" i="7" s="1"/>
  <c r="FJ34" i="7" a="1"/>
  <c r="FJ34" i="7" s="1"/>
  <c r="DU19" i="7" a="1"/>
  <c r="DU19" i="7" s="1"/>
  <c r="EP27" i="7" a="1"/>
  <c r="EP27" i="7" s="1"/>
  <c r="EJ33" i="7" a="1"/>
  <c r="EJ33" i="7" s="1"/>
  <c r="FC36" i="7" a="1"/>
  <c r="FC36" i="7" s="1"/>
  <c r="FJ18" i="7" a="1"/>
  <c r="FJ18" i="7" s="1"/>
  <c r="FM24" i="7" a="1"/>
  <c r="FM24" i="7" s="1"/>
  <c r="FT28" i="7" a="1"/>
  <c r="FT28" i="7" s="1"/>
  <c r="DY32" i="7" a="1"/>
  <c r="DY32" i="7" s="1"/>
  <c r="FS19" i="7" a="1"/>
  <c r="FS19" i="7" s="1"/>
  <c r="EI26" i="7" a="1"/>
  <c r="EI26" i="7" s="1"/>
  <c r="FE30" i="7" a="1"/>
  <c r="FE30" i="7" s="1"/>
  <c r="FU35" i="7" a="1"/>
  <c r="FU35" i="7" s="1"/>
  <c r="DW39" i="7" a="1"/>
  <c r="DW39" i="7" s="1"/>
  <c r="ES41" i="7" a="1"/>
  <c r="ES41" i="7" s="1"/>
  <c r="EJ44" i="7" a="1"/>
  <c r="EJ44" i="7" s="1"/>
  <c r="FS45" i="7" a="1"/>
  <c r="FS45" i="7" s="1"/>
  <c r="DS22" i="7" a="1"/>
  <c r="DS22" i="7" s="1"/>
  <c r="EC29" i="7" a="1"/>
  <c r="EC29" i="7" s="1"/>
  <c r="DW33" i="7" a="1"/>
  <c r="DW33" i="7" s="1"/>
  <c r="EN37" i="7" a="1"/>
  <c r="EN37" i="7" s="1"/>
  <c r="FF42" i="7" a="1"/>
  <c r="FF42" i="7" s="1"/>
  <c r="DX26" i="7" a="1"/>
  <c r="DX26" i="7" s="1"/>
  <c r="FC34" i="7" a="1"/>
  <c r="FC34" i="7" s="1"/>
  <c r="FK38" i="7" a="1"/>
  <c r="FK38" i="7" s="1"/>
  <c r="FL40" i="7" a="1"/>
  <c r="FL40" i="7" s="1"/>
  <c r="FS43" i="7" a="1"/>
  <c r="FS43" i="7" s="1"/>
  <c r="EY45" i="7" a="1"/>
  <c r="EY45" i="7" s="1"/>
  <c r="FM26" i="7" a="1"/>
  <c r="FM26" i="7" s="1"/>
  <c r="FV31" i="7" a="1"/>
  <c r="FV31" i="7" s="1"/>
  <c r="EO36" i="7" a="1"/>
  <c r="EO36" i="7" s="1"/>
  <c r="EC42" i="7" a="1"/>
  <c r="EC42" i="7" s="1"/>
  <c r="DW27" i="7" a="1"/>
  <c r="DW27" i="7" s="1"/>
  <c r="FN21" i="7" a="1"/>
  <c r="FN21" i="7" s="1"/>
  <c r="FI30" i="7" a="1"/>
  <c r="FI30" i="7" s="1"/>
  <c r="ET35" i="7" a="1"/>
  <c r="ET35" i="7" s="1"/>
  <c r="EE21" i="7" a="1"/>
  <c r="EE21" i="7" s="1"/>
  <c r="DR32" i="7" a="1"/>
  <c r="DR32" i="7" s="1"/>
  <c r="ER40" i="7" a="1"/>
  <c r="ER40" i="7" s="1"/>
  <c r="EB46" i="7" a="1"/>
  <c r="EB46" i="7" s="1"/>
  <c r="DX48" i="7" a="1"/>
  <c r="DX48" i="7" s="1"/>
  <c r="FG49" i="7" a="1"/>
  <c r="FG49" i="7" s="1"/>
  <c r="EE51" i="7" a="1"/>
  <c r="EE51" i="7" s="1"/>
  <c r="EN32" i="7" a="1"/>
  <c r="EN32" i="7" s="1"/>
  <c r="DR39" i="7" a="1"/>
  <c r="DR39" i="7" s="1"/>
  <c r="FC42" i="7" a="1"/>
  <c r="FC42" i="7" s="1"/>
  <c r="ET45" i="7" a="1"/>
  <c r="ET45" i="7" s="1"/>
  <c r="FR28" i="7" a="1"/>
  <c r="FR28" i="7" s="1"/>
  <c r="EJ35" i="7" a="1"/>
  <c r="EJ35" i="7" s="1"/>
  <c r="ET42" i="7" a="1"/>
  <c r="ET42" i="7" s="1"/>
  <c r="DY47" i="7" a="1"/>
  <c r="DY47" i="7" s="1"/>
  <c r="FH48" i="7" a="1"/>
  <c r="FH48" i="7" s="1"/>
  <c r="EF50" i="7" a="1"/>
  <c r="EF50" i="7" s="1"/>
  <c r="EU19" i="7" a="1"/>
  <c r="EU19" i="7" s="1"/>
  <c r="DR33" i="7" a="1"/>
  <c r="DR33" i="7" s="1"/>
  <c r="DS39" i="7" a="1"/>
  <c r="DS39" i="7" s="1"/>
  <c r="FO42" i="7" a="1"/>
  <c r="FO42" i="7" s="1"/>
  <c r="FR45" i="7" a="1"/>
  <c r="FR45" i="7" s="1"/>
  <c r="EE16" i="7" a="1"/>
  <c r="EE16" i="7" s="1"/>
  <c r="FN17" i="7" a="1"/>
  <c r="FN17" i="7" s="1"/>
  <c r="DY16" i="7" a="1"/>
  <c r="DY16" i="7" s="1"/>
  <c r="FH17" i="7" a="1"/>
  <c r="FH17" i="7" s="1"/>
  <c r="FT16" i="7" a="1"/>
  <c r="FT16" i="7" s="1"/>
  <c r="EA21" i="7" a="1"/>
  <c r="EA21" i="7" s="1"/>
  <c r="EH24" i="7" a="1"/>
  <c r="EH24" i="7" s="1"/>
  <c r="FP19" i="7" a="1"/>
  <c r="FP19" i="7" s="1"/>
  <c r="EN22" i="7" a="1"/>
  <c r="EN22" i="7" s="1"/>
  <c r="FL16" i="7" a="1"/>
  <c r="FL16" i="7" s="1"/>
  <c r="EB21" i="7" a="1"/>
  <c r="EB21" i="7" s="1"/>
  <c r="DT19" i="7" a="1"/>
  <c r="DT19" i="7" s="1"/>
  <c r="GA18" i="7" a="1"/>
  <c r="GA18" i="7" s="1"/>
  <c r="FG22" i="7" a="1"/>
  <c r="FG22" i="7" s="1"/>
  <c r="DS26" i="7" a="1"/>
  <c r="DS26" i="7" s="1"/>
  <c r="FB27" i="7" a="1"/>
  <c r="FB27" i="7" s="1"/>
  <c r="DZ29" i="7" a="1"/>
  <c r="DZ29" i="7" s="1"/>
  <c r="EU17" i="7" a="1"/>
  <c r="EU17" i="7" s="1"/>
  <c r="EH22" i="7" a="1"/>
  <c r="EH22" i="7" s="1"/>
  <c r="EL25" i="7" a="1"/>
  <c r="EL25" i="7" s="1"/>
  <c r="DX20" i="7" a="1"/>
  <c r="DX20" i="7" s="1"/>
  <c r="EG24" i="7" a="1"/>
  <c r="EG24" i="7" s="1"/>
  <c r="FC26" i="7" a="1"/>
  <c r="FC26" i="7" s="1"/>
  <c r="FL15" i="7" a="1"/>
  <c r="FL15" i="7" s="1"/>
  <c r="EN21" i="7" a="1"/>
  <c r="EN21" i="7" s="1"/>
  <c r="FT23" i="7" a="1"/>
  <c r="FT23" i="7" s="1"/>
  <c r="FT15" i="7" a="1"/>
  <c r="FT15" i="7" s="1"/>
  <c r="ES21" i="7" a="1"/>
  <c r="ES21" i="7" s="1"/>
  <c r="DQ30" i="7" a="1"/>
  <c r="DQ30" i="7" s="1"/>
  <c r="DX33" i="7" a="1"/>
  <c r="DX33" i="7" s="1"/>
  <c r="DW36" i="7" a="1"/>
  <c r="DW36" i="7" s="1"/>
  <c r="DR21" i="7" a="1"/>
  <c r="DR21" i="7" s="1"/>
  <c r="FZ23" i="7" a="1"/>
  <c r="FZ23" i="7" s="1"/>
  <c r="FA27" i="7" a="1"/>
  <c r="FA27" i="7" s="1"/>
  <c r="EQ29" i="7" a="1"/>
  <c r="EQ29" i="7" s="1"/>
  <c r="EX32" i="7" a="1"/>
  <c r="EX32" i="7" s="1"/>
  <c r="EB20" i="7" a="1"/>
  <c r="EB20" i="7" s="1"/>
  <c r="FL26" i="7" a="1"/>
  <c r="FL26" i="7" s="1"/>
  <c r="FP31" i="7" a="1"/>
  <c r="FP31" i="7" s="1"/>
  <c r="EU21" i="7" a="1"/>
  <c r="EU21" i="7" s="1"/>
  <c r="EY24" i="7" a="1"/>
  <c r="EY24" i="7" s="1"/>
  <c r="DY28" i="7" a="1"/>
  <c r="DY28" i="7" s="1"/>
  <c r="EH30" i="7" a="1"/>
  <c r="EH30" i="7" s="1"/>
  <c r="FA18" i="7" a="1"/>
  <c r="FA18" i="7" s="1"/>
  <c r="FN26" i="7" a="1"/>
  <c r="FN26" i="7" s="1"/>
  <c r="EI33" i="7" a="1"/>
  <c r="EI33" i="7" s="1"/>
  <c r="EM36" i="7" a="1"/>
  <c r="EM36" i="7" s="1"/>
  <c r="EA38" i="7" a="1"/>
  <c r="EA38" i="7" s="1"/>
  <c r="FJ39" i="7" a="1"/>
  <c r="FJ39" i="7" s="1"/>
  <c r="DR23" i="7" a="1"/>
  <c r="DR23" i="7" s="1"/>
  <c r="EZ27" i="7" a="1"/>
  <c r="EZ27" i="7" s="1"/>
  <c r="DT31" i="7" a="1"/>
  <c r="DT31" i="7" s="1"/>
  <c r="FR34" i="7" a="1"/>
  <c r="FR34" i="7" s="1"/>
  <c r="EL19" i="7" a="1"/>
  <c r="EL19" i="7" s="1"/>
  <c r="FD27" i="7" a="1"/>
  <c r="FD27" i="7" s="1"/>
  <c r="ER33" i="7" a="1"/>
  <c r="ER33" i="7" s="1"/>
  <c r="FR36" i="7" a="1"/>
  <c r="FR36" i="7" s="1"/>
  <c r="EM19" i="7" a="1"/>
  <c r="EM19" i="7" s="1"/>
  <c r="FX24" i="7" a="1"/>
  <c r="FX24" i="7" s="1"/>
  <c r="DV29" i="7" a="1"/>
  <c r="DV29" i="7" s="1"/>
  <c r="EJ32" i="7" a="1"/>
  <c r="EJ32" i="7" s="1"/>
  <c r="EF20" i="7" a="1"/>
  <c r="EF20" i="7" s="1"/>
  <c r="EW26" i="7" a="1"/>
  <c r="EW26" i="7" s="1"/>
  <c r="FP30" i="7" a="1"/>
  <c r="FP30" i="7" s="1"/>
  <c r="EL36" i="7" a="1"/>
  <c r="EL36" i="7" s="1"/>
  <c r="EE39" i="7" a="1"/>
  <c r="EE39" i="7" s="1"/>
  <c r="FH41" i="7" a="1"/>
  <c r="FH41" i="7" s="1"/>
  <c r="EQ44" i="7" a="1"/>
  <c r="EQ44" i="7" s="1"/>
  <c r="FZ45" i="7" a="1"/>
  <c r="FZ45" i="7" s="1"/>
  <c r="EK23" i="7" a="1"/>
  <c r="EK23" i="7" s="1"/>
  <c r="ET29" i="7" a="1"/>
  <c r="ET29" i="7" s="1"/>
  <c r="EG33" i="7" a="1"/>
  <c r="EG33" i="7" s="1"/>
  <c r="EX37" i="7" a="1"/>
  <c r="EX37" i="7" s="1"/>
  <c r="FI15" i="7" a="1"/>
  <c r="FI15" i="7" s="1"/>
  <c r="ER26" i="7" a="1"/>
  <c r="ER26" i="7" s="1"/>
  <c r="EQ35" i="7" a="1"/>
  <c r="EQ35" i="7" s="1"/>
  <c r="FS38" i="7" a="1"/>
  <c r="FS38" i="7" s="1"/>
  <c r="GA40" i="7" a="1"/>
  <c r="GA40" i="7" s="1"/>
  <c r="DW44" i="7" a="1"/>
  <c r="DW44" i="7" s="1"/>
  <c r="FM15" i="7" a="1"/>
  <c r="FM15" i="7" s="1"/>
  <c r="DV27" i="7" a="1"/>
  <c r="DV27" i="7" s="1"/>
  <c r="DZ32" i="7" a="1"/>
  <c r="DZ32" i="7" s="1"/>
  <c r="EX36" i="7" a="1"/>
  <c r="EX36" i="7" s="1"/>
  <c r="ER42" i="7" a="1"/>
  <c r="ER42" i="7" s="1"/>
  <c r="DZ17" i="7" a="1"/>
  <c r="DZ17" i="7" s="1"/>
  <c r="EE22" i="7" a="1"/>
  <c r="EE22" i="7" s="1"/>
  <c r="DZ31" i="7" a="1"/>
  <c r="DZ31" i="7" s="1"/>
  <c r="FF35" i="7" a="1"/>
  <c r="FF35" i="7" s="1"/>
  <c r="EB22" i="7" a="1"/>
  <c r="EB22" i="7" s="1"/>
  <c r="EV33" i="7" a="1"/>
  <c r="EV33" i="7" s="1"/>
  <c r="FW40" i="7" a="1"/>
  <c r="FW40" i="7" s="1"/>
  <c r="EY46" i="7" a="1"/>
  <c r="EY46" i="7" s="1"/>
  <c r="EL16" i="7" a="1"/>
  <c r="EL16" i="7" s="1"/>
  <c r="FU17" i="7" a="1"/>
  <c r="FU17" i="7" s="1"/>
  <c r="EF16" i="7" a="1"/>
  <c r="EF16" i="7" s="1"/>
  <c r="FO17" i="7" a="1"/>
  <c r="FO17" i="7" s="1"/>
  <c r="DT17" i="7" a="1"/>
  <c r="DT17" i="7" s="1"/>
  <c r="EP21" i="7" a="1"/>
  <c r="EP21" i="7" s="1"/>
  <c r="FZ17" i="7" a="1"/>
  <c r="FZ17" i="7" s="1"/>
  <c r="FX19" i="7" a="1"/>
  <c r="FX19" i="7" s="1"/>
  <c r="FC22" i="7" a="1"/>
  <c r="FC22" i="7" s="1"/>
  <c r="FW16" i="7" a="1"/>
  <c r="FW16" i="7" s="1"/>
  <c r="EQ21" i="7" a="1"/>
  <c r="EQ21" i="7" s="1"/>
  <c r="EB19" i="7" a="1"/>
  <c r="EB19" i="7" s="1"/>
  <c r="EC19" i="7" a="1"/>
  <c r="EC19" i="7" s="1"/>
  <c r="FP22" i="7" a="1"/>
  <c r="FP22" i="7" s="1"/>
  <c r="DZ26" i="7" a="1"/>
  <c r="DZ26" i="7" s="1"/>
  <c r="FI27" i="7" a="1"/>
  <c r="FI27" i="7" s="1"/>
  <c r="EG29" i="7" a="1"/>
  <c r="EG29" i="7" s="1"/>
  <c r="FJ17" i="7" a="1"/>
  <c r="FJ17" i="7" s="1"/>
  <c r="EY22" i="7" a="1"/>
  <c r="EY22" i="7" s="1"/>
  <c r="FA25" i="7" a="1"/>
  <c r="FA25" i="7" s="1"/>
  <c r="ER20" i="7" a="1"/>
  <c r="ER20" i="7" s="1"/>
  <c r="EO24" i="7" a="1"/>
  <c r="EO24" i="7" s="1"/>
  <c r="FJ26" i="7" a="1"/>
  <c r="FJ26" i="7" s="1"/>
  <c r="GA15" i="7" a="1"/>
  <c r="GA15" i="7" s="1"/>
  <c r="EW21" i="7" a="1"/>
  <c r="EW21" i="7" s="1"/>
  <c r="DQ24" i="7" a="1"/>
  <c r="DQ24" i="7" s="1"/>
  <c r="EA18" i="7" a="1"/>
  <c r="EA18" i="7" s="1"/>
  <c r="FU22" i="7" a="1"/>
  <c r="FU22" i="7" s="1"/>
  <c r="EF30" i="7" a="1"/>
  <c r="EF30" i="7" s="1"/>
  <c r="EM33" i="7" a="1"/>
  <c r="EM33" i="7" s="1"/>
  <c r="ED36" i="7" a="1"/>
  <c r="ED36" i="7" s="1"/>
  <c r="EG21" i="7" a="1"/>
  <c r="EG21" i="7" s="1"/>
  <c r="EB24" i="7" a="1"/>
  <c r="EB24" i="7" s="1"/>
  <c r="FK27" i="7" a="1"/>
  <c r="FK27" i="7" s="1"/>
  <c r="FF29" i="7" a="1"/>
  <c r="FF29" i="7" s="1"/>
  <c r="FM32" i="7" a="1"/>
  <c r="FM32" i="7" s="1"/>
  <c r="EP20" i="7" a="1"/>
  <c r="EP20" i="7" s="1"/>
  <c r="DR27" i="7" a="1"/>
  <c r="DR27" i="7" s="1"/>
  <c r="FX31" i="7" a="1"/>
  <c r="FX31" i="7" s="1"/>
  <c r="FJ21" i="7" a="1"/>
  <c r="FJ21" i="7" s="1"/>
  <c r="FH24" i="7" a="1"/>
  <c r="FH24" i="7" s="1"/>
  <c r="EH28" i="7" a="1"/>
  <c r="EH28" i="7" s="1"/>
  <c r="EW30" i="7" a="1"/>
  <c r="EW30" i="7" s="1"/>
  <c r="FZ18" i="7" a="1"/>
  <c r="FZ18" i="7" s="1"/>
  <c r="FZ26" i="7" a="1"/>
  <c r="FZ26" i="7" s="1"/>
  <c r="EQ33" i="7" a="1"/>
  <c r="EQ33" i="7" s="1"/>
  <c r="FB36" i="7" a="1"/>
  <c r="FB36" i="7" s="1"/>
  <c r="EH38" i="7" a="1"/>
  <c r="EH38" i="7" s="1"/>
  <c r="FQ39" i="7" a="1"/>
  <c r="FQ39" i="7" s="1"/>
  <c r="EG23" i="7" a="1"/>
  <c r="EG23" i="7" s="1"/>
  <c r="FN27" i="7" a="1"/>
  <c r="FN27" i="7" s="1"/>
  <c r="EC31" i="7" a="1"/>
  <c r="EC31" i="7" s="1"/>
  <c r="FZ34" i="7" a="1"/>
  <c r="FZ34" i="7" s="1"/>
  <c r="FM19" i="7" a="1"/>
  <c r="FM19" i="7" s="1"/>
  <c r="FB29" i="7" a="1"/>
  <c r="FB29" i="7" s="1"/>
  <c r="EZ33" i="7" a="1"/>
  <c r="EZ33" i="7" s="1"/>
  <c r="FY36" i="7" a="1"/>
  <c r="FY36" i="7" s="1"/>
  <c r="FC21" i="7" a="1"/>
  <c r="FC21" i="7" s="1"/>
  <c r="EO25" i="7" a="1"/>
  <c r="EO25" i="7" s="1"/>
  <c r="EF29" i="7" a="1"/>
  <c r="EF29" i="7" s="1"/>
  <c r="EA16" i="7" a="1"/>
  <c r="EA16" i="7" s="1"/>
  <c r="EX20" i="7" a="1"/>
  <c r="EX20" i="7" s="1"/>
  <c r="FG27" i="7" a="1"/>
  <c r="FG27" i="7" s="1"/>
  <c r="DR31" i="7" a="1"/>
  <c r="DR31" i="7" s="1"/>
  <c r="FO36" i="7" a="1"/>
  <c r="FO36" i="7" s="1"/>
  <c r="EM39" i="7" a="1"/>
  <c r="EM39" i="7" s="1"/>
  <c r="FW41" i="7" a="1"/>
  <c r="FW41" i="7" s="1"/>
  <c r="EX44" i="7" a="1"/>
  <c r="EX44" i="7" s="1"/>
  <c r="DV46" i="7" a="1"/>
  <c r="DV46" i="7" s="1"/>
  <c r="DV24" i="7" a="1"/>
  <c r="DV24" i="7" s="1"/>
  <c r="FH29" i="7" a="1"/>
  <c r="FH29" i="7" s="1"/>
  <c r="FC33" i="7" a="1"/>
  <c r="FC33" i="7" s="1"/>
  <c r="FO37" i="7" a="1"/>
  <c r="FO37" i="7" s="1"/>
  <c r="FS16" i="7" a="1"/>
  <c r="FS16" i="7" s="1"/>
  <c r="FY29" i="7" a="1"/>
  <c r="FY29" i="7" s="1"/>
  <c r="FV35" i="7" a="1"/>
  <c r="FV35" i="7" s="1"/>
  <c r="GA38" i="7" a="1"/>
  <c r="GA38" i="7" s="1"/>
  <c r="EE41" i="7" a="1"/>
  <c r="EE41" i="7" s="1"/>
  <c r="ED44" i="7" a="1"/>
  <c r="ED44" i="7" s="1"/>
  <c r="FL17" i="7" a="1"/>
  <c r="FL17" i="7" s="1"/>
  <c r="EM27" i="7" a="1"/>
  <c r="EM27" i="7" s="1"/>
  <c r="EM32" i="7" a="1"/>
  <c r="EM32" i="7" s="1"/>
  <c r="DX37" i="7" a="1"/>
  <c r="DX37" i="7" s="1"/>
  <c r="FG42" i="7" a="1"/>
  <c r="FG42" i="7" s="1"/>
  <c r="FY17" i="7" a="1"/>
  <c r="FY17" i="7" s="1"/>
  <c r="ES16" i="7" a="1"/>
  <c r="ES16" i="7" s="1"/>
  <c r="DQ18" i="7" a="1"/>
  <c r="DQ18" i="7" s="1"/>
  <c r="EM16" i="7" a="1"/>
  <c r="EM16" i="7" s="1"/>
  <c r="DS15" i="7" a="1"/>
  <c r="DS15" i="7" s="1"/>
  <c r="EC17" i="7" a="1"/>
  <c r="EC17" i="7" s="1"/>
  <c r="FE21" i="7" a="1"/>
  <c r="FE21" i="7" s="1"/>
  <c r="EG18" i="7" a="1"/>
  <c r="EG18" i="7" s="1"/>
  <c r="DU20" i="7" a="1"/>
  <c r="DU20" i="7" s="1"/>
  <c r="FR22" i="7" a="1"/>
  <c r="FR22" i="7" s="1"/>
  <c r="DU17" i="7" a="1"/>
  <c r="DU17" i="7" s="1"/>
  <c r="FF21" i="7" a="1"/>
  <c r="FF21" i="7" s="1"/>
  <c r="EJ19" i="7" a="1"/>
  <c r="EJ19" i="7" s="1"/>
  <c r="EN19" i="7" a="1"/>
  <c r="EN19" i="7" s="1"/>
  <c r="DV23" i="7" a="1"/>
  <c r="DV23" i="7" s="1"/>
  <c r="EG26" i="7" a="1"/>
  <c r="EG26" i="7" s="1"/>
  <c r="FP27" i="7" a="1"/>
  <c r="FP27" i="7" s="1"/>
  <c r="EN29" i="7" a="1"/>
  <c r="EN29" i="7" s="1"/>
  <c r="FV17" i="7" a="1"/>
  <c r="FV17" i="7" s="1"/>
  <c r="FH22" i="7" a="1"/>
  <c r="FH22" i="7" s="1"/>
  <c r="FP25" i="7" a="1"/>
  <c r="FP25" i="7" s="1"/>
  <c r="FC20" i="7" a="1"/>
  <c r="FC20" i="7" s="1"/>
  <c r="EW24" i="7" a="1"/>
  <c r="EW24" i="7" s="1"/>
  <c r="FQ26" i="7" a="1"/>
  <c r="FQ26" i="7" s="1"/>
  <c r="EC16" i="7" a="1"/>
  <c r="EC16" i="7" s="1"/>
  <c r="FH21" i="7" a="1"/>
  <c r="FH21" i="7" s="1"/>
  <c r="EP24" i="7" a="1"/>
  <c r="EP24" i="7" s="1"/>
  <c r="EN18" i="7" a="1"/>
  <c r="EN18" i="7" s="1"/>
  <c r="FY24" i="7" a="1"/>
  <c r="FY24" i="7" s="1"/>
  <c r="EU30" i="7" a="1"/>
  <c r="EU30" i="7" s="1"/>
  <c r="FB33" i="7" a="1"/>
  <c r="FB33" i="7" s="1"/>
  <c r="EK36" i="7" a="1"/>
  <c r="EK36" i="7" s="1"/>
  <c r="ET21" i="7" a="1"/>
  <c r="ET21" i="7" s="1"/>
  <c r="EL24" i="7" a="1"/>
  <c r="EL24" i="7" s="1"/>
  <c r="FS27" i="7" a="1"/>
  <c r="FS27" i="7" s="1"/>
  <c r="FU29" i="7" a="1"/>
  <c r="FU29" i="7" s="1"/>
  <c r="DQ33" i="7" a="1"/>
  <c r="DQ33" i="7" s="1"/>
  <c r="FE20" i="7" a="1"/>
  <c r="FE20" i="7" s="1"/>
  <c r="EB27" i="7" a="1"/>
  <c r="EB27" i="7" s="1"/>
  <c r="EB32" i="7" a="1"/>
  <c r="EB32" i="7" s="1"/>
  <c r="FW21" i="7" a="1"/>
  <c r="FW21" i="7" s="1"/>
  <c r="FQ24" i="7" a="1"/>
  <c r="FQ24" i="7" s="1"/>
  <c r="EP28" i="7" a="1"/>
  <c r="EP28" i="7" s="1"/>
  <c r="EG15" i="7" a="1"/>
  <c r="EG15" i="7" s="1"/>
  <c r="EK19" i="7" a="1"/>
  <c r="EK19" i="7" s="1"/>
  <c r="EC27" i="7" a="1"/>
  <c r="EC27" i="7" s="1"/>
  <c r="EY33" i="7" a="1"/>
  <c r="EY33" i="7" s="1"/>
  <c r="FQ36" i="7" a="1"/>
  <c r="FQ36" i="7" s="1"/>
  <c r="EO38" i="7" a="1"/>
  <c r="EO38" i="7" s="1"/>
  <c r="FX39" i="7" a="1"/>
  <c r="FX39" i="7" s="1"/>
  <c r="EX23" i="7" a="1"/>
  <c r="EX23" i="7" s="1"/>
  <c r="FY27" i="7" a="1"/>
  <c r="FY27" i="7" s="1"/>
  <c r="EW31" i="7" a="1"/>
  <c r="EW31" i="7" s="1"/>
  <c r="DW35" i="7" a="1"/>
  <c r="DW35" i="7" s="1"/>
  <c r="DT20" i="7" a="1"/>
  <c r="DT20" i="7" s="1"/>
  <c r="FL29" i="7" a="1"/>
  <c r="FL29" i="7" s="1"/>
  <c r="FH33" i="7" a="1"/>
  <c r="FH33" i="7" s="1"/>
  <c r="DU37" i="7" a="1"/>
  <c r="DU37" i="7" s="1"/>
  <c r="FX21" i="7" a="1"/>
  <c r="FX21" i="7" s="1"/>
  <c r="FQ25" i="7" a="1"/>
  <c r="FQ25" i="7" s="1"/>
  <c r="ES29" i="7" a="1"/>
  <c r="ES29" i="7" s="1"/>
  <c r="EQ17" i="7" a="1"/>
  <c r="EQ17" i="7" s="1"/>
  <c r="FS20" i="7" a="1"/>
  <c r="FS20" i="7" s="1"/>
  <c r="ER15" i="7" a="1"/>
  <c r="ER15" i="7" s="1"/>
  <c r="EG31" i="7" a="1"/>
  <c r="EG31" i="7" s="1"/>
  <c r="EE37" i="7" a="1"/>
  <c r="EE37" i="7" s="1"/>
  <c r="EU39" i="7" a="1"/>
  <c r="EU39" i="7" s="1"/>
  <c r="EA42" i="7" a="1"/>
  <c r="EA42" i="7" s="1"/>
  <c r="FE44" i="7" a="1"/>
  <c r="FE44" i="7" s="1"/>
  <c r="EC46" i="7" a="1"/>
  <c r="EC46" i="7" s="1"/>
  <c r="ES24" i="7" a="1"/>
  <c r="ES24" i="7" s="1"/>
  <c r="FT29" i="7" a="1"/>
  <c r="FT29" i="7" s="1"/>
  <c r="FV33" i="7" a="1"/>
  <c r="FV33" i="7" s="1"/>
  <c r="EG40" i="7" a="1"/>
  <c r="EG40" i="7" s="1"/>
  <c r="EV18" i="7" a="1"/>
  <c r="EV18" i="7" s="1"/>
  <c r="EB30" i="7" a="1"/>
  <c r="EB30" i="7" s="1"/>
  <c r="FG36" i="7" a="1"/>
  <c r="FG36" i="7" s="1"/>
  <c r="DX39" i="7" a="1"/>
  <c r="DX39" i="7" s="1"/>
  <c r="ET41" i="7" a="1"/>
  <c r="ET41" i="7" s="1"/>
  <c r="EK44" i="7" a="1"/>
  <c r="EK44" i="7" s="1"/>
  <c r="EY18" i="7" a="1"/>
  <c r="EY18" i="7" s="1"/>
  <c r="FX27" i="7" a="1"/>
  <c r="FX27" i="7" s="1"/>
  <c r="FL32" i="7" a="1"/>
  <c r="FL32" i="7" s="1"/>
  <c r="EY37" i="7" a="1"/>
  <c r="EY37" i="7" s="1"/>
  <c r="EG20" i="7" a="1"/>
  <c r="EG20" i="7" s="1"/>
  <c r="EZ18" i="7" a="1"/>
  <c r="EZ18" i="7" s="1"/>
  <c r="EE24" i="7" a="1"/>
  <c r="EE24" i="7" s="1"/>
  <c r="ES32" i="7" a="1"/>
  <c r="ES32" i="7" s="1"/>
  <c r="DR37" i="7" a="1"/>
  <c r="DR37" i="7" s="1"/>
  <c r="EF25" i="7" a="1"/>
  <c r="EF25" i="7" s="1"/>
  <c r="EW34" i="7" a="1"/>
  <c r="EW34" i="7" s="1"/>
  <c r="FC41" i="7" a="1"/>
  <c r="FC41" i="7" s="1"/>
  <c r="FU46" i="7" a="1"/>
  <c r="FU46" i="7" s="1"/>
  <c r="ES48" i="7" a="1"/>
  <c r="ES48" i="7" s="1"/>
  <c r="DQ50" i="7" a="1"/>
  <c r="DQ50" i="7" s="1"/>
  <c r="EL20" i="7" a="1"/>
  <c r="EL20" i="7" s="1"/>
  <c r="EE33" i="7" a="1"/>
  <c r="EE33" i="7" s="1"/>
  <c r="EZ39" i="7" a="1"/>
  <c r="EZ39" i="7" s="1"/>
  <c r="ET43" i="7" a="1"/>
  <c r="ET43" i="7" s="1"/>
  <c r="DU46" i="7" a="1"/>
  <c r="DU46" i="7" s="1"/>
  <c r="DX31" i="7" a="1"/>
  <c r="DX31" i="7" s="1"/>
  <c r="DQ37" i="7" a="1"/>
  <c r="DQ37" i="7" s="1"/>
  <c r="DU43" i="7" a="1"/>
  <c r="DU43" i="7" s="1"/>
  <c r="ET47" i="7" a="1"/>
  <c r="ET47" i="7" s="1"/>
  <c r="DR49" i="7" a="1"/>
  <c r="DR49" i="7" s="1"/>
  <c r="FA50" i="7" a="1"/>
  <c r="FA50" i="7" s="1"/>
  <c r="FF24" i="7" a="1"/>
  <c r="FF24" i="7" s="1"/>
  <c r="EK35" i="7" a="1"/>
  <c r="EK35" i="7" s="1"/>
  <c r="FA39" i="7" a="1"/>
  <c r="FA39" i="7" s="1"/>
  <c r="FV43" i="7" a="1"/>
  <c r="FV43" i="7" s="1"/>
  <c r="FH46" i="7" a="1"/>
  <c r="FH46" i="7" s="1"/>
  <c r="DV32" i="7" a="1"/>
  <c r="DV32" i="7" s="1"/>
  <c r="EO29" i="7" a="1"/>
  <c r="EO29" i="7" s="1"/>
  <c r="FX35" i="7" a="1"/>
  <c r="FX35" i="7" s="1"/>
  <c r="FR42" i="7" a="1"/>
  <c r="FR42" i="7" s="1"/>
  <c r="EI47" i="7" a="1"/>
  <c r="EI47" i="7" s="1"/>
  <c r="EU32" i="7" a="1"/>
  <c r="EU32" i="7" s="1"/>
  <c r="EG41" i="7" a="1"/>
  <c r="EG41" i="7" s="1"/>
  <c r="EX47" i="7" a="1"/>
  <c r="EX47" i="7" s="1"/>
  <c r="FR55" i="7" a="1"/>
  <c r="FR55" i="7" s="1"/>
  <c r="FY58" i="7" a="1"/>
  <c r="FY58" i="7" s="1"/>
  <c r="ET27" i="7" a="1"/>
  <c r="ET27" i="7" s="1"/>
  <c r="EF38" i="7" a="1"/>
  <c r="EF38" i="7" s="1"/>
  <c r="EH43" i="7" a="1"/>
  <c r="EH43" i="7" s="1"/>
  <c r="ED48" i="7" a="1"/>
  <c r="ED48" i="7" s="1"/>
  <c r="EP50" i="7" a="1"/>
  <c r="EP50" i="7" s="1"/>
  <c r="EP52" i="7" a="1"/>
  <c r="EP52" i="7" s="1"/>
  <c r="EP25" i="7" a="1"/>
  <c r="EP25" i="7" s="1"/>
  <c r="EJ38" i="7" a="1"/>
  <c r="EJ38" i="7" s="1"/>
  <c r="EI46" i="7" a="1"/>
  <c r="EI46" i="7" s="1"/>
  <c r="DZ55" i="7" a="1"/>
  <c r="DZ55" i="7" s="1"/>
  <c r="EB17" i="7" a="1"/>
  <c r="EB17" i="7" s="1"/>
  <c r="FW36" i="7" a="1"/>
  <c r="FW36" i="7" s="1"/>
  <c r="EX43" i="7" a="1"/>
  <c r="EX43" i="7" s="1"/>
  <c r="EY48" i="7" a="1"/>
  <c r="EY48" i="7" s="1"/>
  <c r="FK50" i="7" a="1"/>
  <c r="FK50" i="7" s="1"/>
  <c r="EM34" i="7" a="1"/>
  <c r="EM34" i="7" s="1"/>
  <c r="EC35" i="7" a="1"/>
  <c r="EC35" i="7" s="1"/>
  <c r="EO43" i="7" a="1"/>
  <c r="EO43" i="7" s="1"/>
  <c r="ER17" i="7" a="1"/>
  <c r="ER17" i="7" s="1"/>
  <c r="DW43" i="7" a="1"/>
  <c r="DW43" i="7" s="1"/>
  <c r="EI51" i="7" a="1"/>
  <c r="EI51" i="7" s="1"/>
  <c r="FU55" i="7" a="1"/>
  <c r="FU55" i="7" s="1"/>
  <c r="EW58" i="7" a="1"/>
  <c r="EW58" i="7" s="1"/>
  <c r="FJ62" i="7" a="1"/>
  <c r="FJ62" i="7" s="1"/>
  <c r="FQ65" i="7" a="1"/>
  <c r="FQ65" i="7" s="1"/>
  <c r="FA23" i="7" a="1"/>
  <c r="FA23" i="7" s="1"/>
  <c r="FJ44" i="7" a="1"/>
  <c r="FJ44" i="7" s="1"/>
  <c r="FK51" i="7" a="1"/>
  <c r="FK51" i="7" s="1"/>
  <c r="EL55" i="7" a="1"/>
  <c r="EL55" i="7" s="1"/>
  <c r="EI59" i="7" a="1"/>
  <c r="EI59" i="7" s="1"/>
  <c r="EX61" i="7" a="1"/>
  <c r="EX61" i="7" s="1"/>
  <c r="EE32" i="7" a="1"/>
  <c r="EE32" i="7" s="1"/>
  <c r="DY43" i="7" a="1"/>
  <c r="DY43" i="7" s="1"/>
  <c r="DZ49" i="7" a="1"/>
  <c r="DZ49" i="7" s="1"/>
  <c r="FE53" i="7" a="1"/>
  <c r="FE53" i="7" s="1"/>
  <c r="ES57" i="7" a="1"/>
  <c r="ES57" i="7" s="1"/>
  <c r="EB61" i="7" a="1"/>
  <c r="EB61" i="7" s="1"/>
  <c r="EI64" i="7" a="1"/>
  <c r="EI64" i="7" s="1"/>
  <c r="EF32" i="7" a="1"/>
  <c r="EF32" i="7" s="1"/>
  <c r="DZ47" i="7" a="1"/>
  <c r="DZ47" i="7" s="1"/>
  <c r="EV52" i="7" a="1"/>
  <c r="EV52" i="7" s="1"/>
  <c r="FD56" i="7" a="1"/>
  <c r="FD56" i="7" s="1"/>
  <c r="FY59" i="7" a="1"/>
  <c r="FY59" i="7" s="1"/>
  <c r="FS62" i="7" a="1"/>
  <c r="FS62" i="7" s="1"/>
  <c r="DV39" i="7" a="1"/>
  <c r="DV39" i="7" s="1"/>
  <c r="EA40" i="7" a="1"/>
  <c r="EA40" i="7" s="1"/>
  <c r="FM48" i="7" a="1"/>
  <c r="FM48" i="7" s="1"/>
  <c r="FJ54" i="7" a="1"/>
  <c r="FJ54" i="7" s="1"/>
  <c r="EC58" i="7" a="1"/>
  <c r="EC58" i="7" s="1"/>
  <c r="EM61" i="7" a="1"/>
  <c r="EM61" i="7" s="1"/>
  <c r="FR32" i="7" a="1"/>
  <c r="FR32" i="7" s="1"/>
  <c r="FL47" i="7" a="1"/>
  <c r="FL47" i="7" s="1"/>
  <c r="DR55" i="7" a="1"/>
  <c r="DR55" i="7" s="1"/>
  <c r="DT60" i="7" a="1"/>
  <c r="DT60" i="7" s="1"/>
  <c r="FT64" i="7" a="1"/>
  <c r="FT64" i="7" s="1"/>
  <c r="FJ68" i="7" a="1"/>
  <c r="FJ68" i="7" s="1"/>
  <c r="FG70" i="7" a="1"/>
  <c r="FG70" i="7" s="1"/>
  <c r="EE72" i="7" a="1"/>
  <c r="EE72" i="7" s="1"/>
  <c r="FN73" i="7" a="1"/>
  <c r="FN73" i="7" s="1"/>
  <c r="EQ41" i="7" a="1"/>
  <c r="EQ41" i="7" s="1"/>
  <c r="EX51" i="7" a="1"/>
  <c r="EX51" i="7" s="1"/>
  <c r="DY56" i="7" a="1"/>
  <c r="DY56" i="7" s="1"/>
  <c r="FU62" i="7" a="1"/>
  <c r="FU62" i="7" s="1"/>
  <c r="EP66" i="7" a="1"/>
  <c r="EP66" i="7" s="1"/>
  <c r="EQ24" i="7" a="1"/>
  <c r="EQ24" i="7" s="1"/>
  <c r="FY48" i="7" a="1"/>
  <c r="FY48" i="7" s="1"/>
  <c r="ET55" i="7" a="1"/>
  <c r="ET55" i="7" s="1"/>
  <c r="EF61" i="7" a="1"/>
  <c r="EF61" i="7" s="1"/>
  <c r="FT65" i="7" a="1"/>
  <c r="FT65" i="7" s="1"/>
  <c r="DW69" i="7" a="1"/>
  <c r="DW69" i="7" s="1"/>
  <c r="FV70" i="7" a="1"/>
  <c r="FV70" i="7" s="1"/>
  <c r="ET72" i="7" a="1"/>
  <c r="ET72" i="7" s="1"/>
  <c r="DR74" i="7" a="1"/>
  <c r="DR74" i="7" s="1"/>
  <c r="FU40" i="7" a="1"/>
  <c r="FU40" i="7" s="1"/>
  <c r="EE53" i="7" a="1"/>
  <c r="EE53" i="7" s="1"/>
  <c r="EJ58" i="7" a="1"/>
  <c r="EJ58" i="7" s="1"/>
  <c r="EI63" i="7" a="1"/>
  <c r="EI63" i="7" s="1"/>
  <c r="FP66" i="7" a="1"/>
  <c r="FP66" i="7" s="1"/>
  <c r="FV40" i="7" a="1"/>
  <c r="FV40" i="7" s="1"/>
  <c r="FC51" i="7" a="1"/>
  <c r="FC51" i="7" s="1"/>
  <c r="FF39" i="7" a="1"/>
  <c r="FF39" i="7" s="1"/>
  <c r="FI51" i="7" a="1"/>
  <c r="FI51" i="7" s="1"/>
  <c r="EX57" i="7" a="1"/>
  <c r="EX57" i="7" s="1"/>
  <c r="ER62" i="7" a="1"/>
  <c r="ER62" i="7" s="1"/>
  <c r="EL66" i="7" a="1"/>
  <c r="EL66" i="7" s="1"/>
  <c r="EW69" i="7" a="1"/>
  <c r="EW69" i="7" s="1"/>
  <c r="DU71" i="7" a="1"/>
  <c r="DU71" i="7" s="1"/>
  <c r="FD72" i="7" a="1"/>
  <c r="FD72" i="7" s="1"/>
  <c r="ED49" i="7" a="1"/>
  <c r="ED49" i="7" s="1"/>
  <c r="DY59" i="7" a="1"/>
  <c r="DY59" i="7" s="1"/>
  <c r="EX65" i="7" a="1"/>
  <c r="EX65" i="7" s="1"/>
  <c r="DT70" i="7" a="1"/>
  <c r="DT70" i="7" s="1"/>
  <c r="DV74" i="7" a="1"/>
  <c r="DV74" i="7" s="1"/>
  <c r="ET82" i="7" a="1"/>
  <c r="ET82" i="7" s="1"/>
  <c r="FM86" i="7" a="1"/>
  <c r="FM86" i="7" s="1"/>
  <c r="FT89" i="7" a="1"/>
  <c r="FT89" i="7" s="1"/>
  <c r="EU92" i="7" a="1"/>
  <c r="EU92" i="7" s="1"/>
  <c r="EL52" i="7" a="1"/>
  <c r="EL52" i="7" s="1"/>
  <c r="DW62" i="7" a="1"/>
  <c r="DW62" i="7" s="1"/>
  <c r="GA66" i="7" a="1"/>
  <c r="GA66" i="7" s="1"/>
  <c r="GA72" i="7" a="1"/>
  <c r="GA72" i="7" s="1"/>
  <c r="EO76" i="7" a="1"/>
  <c r="EO76" i="7" s="1"/>
  <c r="EC78" i="7" a="1"/>
  <c r="EC78" i="7" s="1"/>
  <c r="DQ80" i="7" a="1"/>
  <c r="DQ80" i="7" s="1"/>
  <c r="FQ81" i="7" a="1"/>
  <c r="FQ81" i="7" s="1"/>
  <c r="FE83" i="7" a="1"/>
  <c r="FE83" i="7" s="1"/>
  <c r="FF86" i="7" a="1"/>
  <c r="FF86" i="7" s="1"/>
  <c r="FM89" i="7" a="1"/>
  <c r="FM89" i="7" s="1"/>
  <c r="FL41" i="7" a="1"/>
  <c r="FL41" i="7" s="1"/>
  <c r="EE56" i="7" a="1"/>
  <c r="EE56" i="7" s="1"/>
  <c r="DR64" i="7" a="1"/>
  <c r="DR64" i="7" s="1"/>
  <c r="DQ69" i="7" a="1"/>
  <c r="DQ69" i="7" s="1"/>
  <c r="FU23" i="7" a="1"/>
  <c r="FU23" i="7" s="1"/>
  <c r="EE49" i="7" a="1"/>
  <c r="EE49" i="7" s="1"/>
  <c r="EC43" i="7" a="1"/>
  <c r="EC43" i="7" s="1"/>
  <c r="EF47" i="7" a="1"/>
  <c r="EF47" i="7" s="1"/>
  <c r="FU37" i="7" a="1"/>
  <c r="FU37" i="7" s="1"/>
  <c r="EF26" i="7" a="1"/>
  <c r="EF26" i="7" s="1"/>
  <c r="EB47" i="7" a="1"/>
  <c r="EB47" i="7" s="1"/>
  <c r="DY55" i="7" a="1"/>
  <c r="DY55" i="7" s="1"/>
  <c r="FZ37" i="7" a="1"/>
  <c r="FZ37" i="7" s="1"/>
  <c r="DQ52" i="7" a="1"/>
  <c r="DQ52" i="7" s="1"/>
  <c r="FW45" i="7" a="1"/>
  <c r="FW45" i="7" s="1"/>
  <c r="EN42" i="7" a="1"/>
  <c r="EN42" i="7" s="1"/>
  <c r="FU33" i="7" a="1"/>
  <c r="FU33" i="7" s="1"/>
  <c r="DZ41" i="7" a="1"/>
  <c r="DZ41" i="7" s="1"/>
  <c r="EO58" i="7" a="1"/>
  <c r="EO58" i="7" s="1"/>
  <c r="FI40" i="7" a="1"/>
  <c r="FI40" i="7" s="1"/>
  <c r="EA59" i="7" a="1"/>
  <c r="EA59" i="7" s="1"/>
  <c r="FX47" i="7" a="1"/>
  <c r="FX47" i="7" s="1"/>
  <c r="FX60" i="7" a="1"/>
  <c r="FX60" i="7" s="1"/>
  <c r="FA51" i="7" a="1"/>
  <c r="FA51" i="7" s="1"/>
  <c r="FD62" i="7" a="1"/>
  <c r="FD62" i="7" s="1"/>
  <c r="DU53" i="7" a="1"/>
  <c r="DU53" i="7" s="1"/>
  <c r="EM29" i="7" a="1"/>
  <c r="EM29" i="7" s="1"/>
  <c r="EK64" i="7" a="1"/>
  <c r="EK64" i="7" s="1"/>
  <c r="DX72" i="7" a="1"/>
  <c r="DX72" i="7" s="1"/>
  <c r="EG55" i="7" a="1"/>
  <c r="EG55" i="7" s="1"/>
  <c r="FS18" i="7" a="1"/>
  <c r="FS18" i="7" s="1"/>
  <c r="FV64" i="7" a="1"/>
  <c r="FV64" i="7" s="1"/>
  <c r="EM72" i="7" a="1"/>
  <c r="EM72" i="7" s="1"/>
  <c r="EF57" i="7" a="1"/>
  <c r="EF57" i="7" s="1"/>
  <c r="FL38" i="7" a="1"/>
  <c r="FL38" i="7" s="1"/>
  <c r="FF56" i="7" a="1"/>
  <c r="FF56" i="7" s="1"/>
  <c r="EH69" i="7" a="1"/>
  <c r="EH69" i="7" s="1"/>
  <c r="FR56" i="7" a="1"/>
  <c r="FR56" i="7" s="1"/>
  <c r="FX73" i="7" a="1"/>
  <c r="FX73" i="7" s="1"/>
  <c r="DZ92" i="7" a="1"/>
  <c r="DZ92" i="7" s="1"/>
  <c r="FM66" i="7" a="1"/>
  <c r="FM66" i="7" s="1"/>
  <c r="FD79" i="7" a="1"/>
  <c r="FD79" i="7" s="1"/>
  <c r="EQ86" i="7" a="1"/>
  <c r="EQ86" i="7" s="1"/>
  <c r="EJ63" i="7" a="1"/>
  <c r="EJ63" i="7" s="1"/>
  <c r="FV76" i="7" a="1"/>
  <c r="FV76" i="7" s="1"/>
  <c r="ET88" i="7" a="1"/>
  <c r="ET88" i="7" s="1"/>
  <c r="FC93" i="7" a="1"/>
  <c r="FC93" i="7" s="1"/>
  <c r="EQ60" i="7" a="1"/>
  <c r="EQ60" i="7" s="1"/>
  <c r="FR74" i="7" a="1"/>
  <c r="FR74" i="7" s="1"/>
  <c r="FK78" i="7" a="1"/>
  <c r="FK78" i="7" s="1"/>
  <c r="FF83" i="7" a="1"/>
  <c r="FF83" i="7" s="1"/>
  <c r="EN53" i="7" a="1"/>
  <c r="EN53" i="7" s="1"/>
  <c r="EC69" i="7" a="1"/>
  <c r="EC69" i="7" s="1"/>
  <c r="FG67" i="7" a="1"/>
  <c r="FG67" i="7" s="1"/>
  <c r="EG73" i="7" a="1"/>
  <c r="EG73" i="7" s="1"/>
  <c r="EF81" i="7" a="1"/>
  <c r="EF81" i="7" s="1"/>
  <c r="FG87" i="7" a="1"/>
  <c r="FG87" i="7" s="1"/>
  <c r="EO91" i="7" a="1"/>
  <c r="EO91" i="7" s="1"/>
  <c r="DU56" i="7" a="1"/>
  <c r="DU56" i="7" s="1"/>
  <c r="DS71" i="7" a="1"/>
  <c r="DS71" i="7" s="1"/>
  <c r="DT79" i="7" a="1"/>
  <c r="DT79" i="7" s="1"/>
  <c r="EO85" i="7" a="1"/>
  <c r="EO85" i="7" s="1"/>
  <c r="DZ90" i="7" a="1"/>
  <c r="DZ90" i="7" s="1"/>
  <c r="ES94" i="7" a="1"/>
  <c r="ES94" i="7" s="1"/>
  <c r="FC60" i="7" a="1"/>
  <c r="FC60" i="7" s="1"/>
  <c r="EQ73" i="7" a="1"/>
  <c r="EQ73" i="7" s="1"/>
  <c r="FF78" i="7" a="1"/>
  <c r="FF78" i="7" s="1"/>
  <c r="FQ84" i="7" a="1"/>
  <c r="FQ84" i="7" s="1"/>
  <c r="GA90" i="7" a="1"/>
  <c r="GA90" i="7" s="1"/>
  <c r="ED96" i="7" a="1"/>
  <c r="ED96" i="7" s="1"/>
  <c r="ER58" i="7" a="1"/>
  <c r="ER58" i="7" s="1"/>
  <c r="DT71" i="7" a="1"/>
  <c r="DT71" i="7" s="1"/>
  <c r="ET77" i="7" a="1"/>
  <c r="ET77" i="7" s="1"/>
  <c r="FV82" i="7" a="1"/>
  <c r="FV82" i="7" s="1"/>
  <c r="EK89" i="7" a="1"/>
  <c r="EK89" i="7" s="1"/>
  <c r="FY93" i="7" a="1"/>
  <c r="FY93" i="7" s="1"/>
  <c r="FZ57" i="7" a="1"/>
  <c r="FZ57" i="7" s="1"/>
  <c r="FT71" i="7" a="1"/>
  <c r="FT71" i="7" s="1"/>
  <c r="FI79" i="7" a="1"/>
  <c r="FI79" i="7" s="1"/>
  <c r="FR84" i="7" a="1"/>
  <c r="FR84" i="7" s="1"/>
  <c r="EW90" i="7" a="1"/>
  <c r="EW90" i="7" s="1"/>
  <c r="EZ95" i="7" a="1"/>
  <c r="EZ95" i="7" s="1"/>
  <c r="DR53" i="7" a="1"/>
  <c r="DR53" i="7" s="1"/>
  <c r="EM66" i="7" a="1"/>
  <c r="EM66" i="7" s="1"/>
  <c r="EC49" i="7" a="1"/>
  <c r="EC49" i="7" s="1"/>
  <c r="EP63" i="7" a="1"/>
  <c r="EP63" i="7" s="1"/>
  <c r="EQ71" i="7" a="1"/>
  <c r="EQ71" i="7" s="1"/>
  <c r="FK76" i="7" a="1"/>
  <c r="FK76" i="7" s="1"/>
  <c r="EO81" i="7" a="1"/>
  <c r="EO81" i="7" s="1"/>
  <c r="FC86" i="7" a="1"/>
  <c r="FC86" i="7" s="1"/>
  <c r="EP91" i="7" a="1"/>
  <c r="EP91" i="7" s="1"/>
  <c r="EN48" i="7" a="1"/>
  <c r="EN48" i="7" s="1"/>
  <c r="FL66" i="7" a="1"/>
  <c r="FL66" i="7" s="1"/>
  <c r="EE78" i="7" a="1"/>
  <c r="EE78" i="7" s="1"/>
  <c r="FS83" i="7" a="1"/>
  <c r="FS83" i="7" s="1"/>
  <c r="EI91" i="7" a="1"/>
  <c r="EI91" i="7" s="1"/>
  <c r="ER99" i="7" a="1"/>
  <c r="ER99" i="7" s="1"/>
  <c r="EG104" i="7" a="1"/>
  <c r="EG104" i="7" s="1"/>
  <c r="FC107" i="7" a="1"/>
  <c r="FC107" i="7" s="1"/>
  <c r="FY110" i="7" a="1"/>
  <c r="FY110" i="7" s="1"/>
  <c r="DW58" i="7" a="1"/>
  <c r="DW58" i="7" s="1"/>
  <c r="FM75" i="7" a="1"/>
  <c r="FM75" i="7" s="1"/>
  <c r="EP81" i="7" a="1"/>
  <c r="EP81" i="7" s="1"/>
  <c r="EW89" i="7" a="1"/>
  <c r="EW89" i="7" s="1"/>
  <c r="FV94" i="7" a="1"/>
  <c r="FV94" i="7" s="1"/>
  <c r="DR98" i="7" a="1"/>
  <c r="DR98" i="7" s="1"/>
  <c r="FQ99" i="7" a="1"/>
  <c r="FQ99" i="7" s="1"/>
  <c r="FL101" i="7" a="1"/>
  <c r="FL101" i="7" s="1"/>
  <c r="FS104" i="7" a="1"/>
  <c r="FS104" i="7" s="1"/>
  <c r="FZ107" i="7" a="1"/>
  <c r="FZ107" i="7" s="1"/>
  <c r="DV111" i="7" a="1"/>
  <c r="DV111" i="7" s="1"/>
  <c r="EQ113" i="7" a="1"/>
  <c r="EQ113" i="7" s="1"/>
  <c r="DX59" i="7" a="1"/>
  <c r="DX59" i="7" s="1"/>
  <c r="DZ74" i="7" a="1"/>
  <c r="DZ74" i="7" s="1"/>
  <c r="EG86" i="7" a="1"/>
  <c r="EG86" i="7" s="1"/>
  <c r="FS90" i="7" a="1"/>
  <c r="FS90" i="7" s="1"/>
  <c r="DS96" i="7" a="1"/>
  <c r="DS96" i="7" s="1"/>
  <c r="FY102" i="7" a="1"/>
  <c r="FY102" i="7" s="1"/>
  <c r="DU106" i="7" a="1"/>
  <c r="DU106" i="7" s="1"/>
  <c r="EB109" i="7" a="1"/>
  <c r="EB109" i="7" s="1"/>
  <c r="EI112" i="7" a="1"/>
  <c r="EI112" i="7" s="1"/>
  <c r="DT73" i="7" a="1"/>
  <c r="DT73" i="7" s="1"/>
  <c r="FX78" i="7" a="1"/>
  <c r="FX78" i="7" s="1"/>
  <c r="EL83" i="7" a="1"/>
  <c r="EL83" i="7" s="1"/>
  <c r="EL90" i="7" a="1"/>
  <c r="EL90" i="7" s="1"/>
  <c r="FC96" i="7" a="1"/>
  <c r="FC96" i="7" s="1"/>
  <c r="EQ98" i="7" a="1"/>
  <c r="EQ98" i="7" s="1"/>
  <c r="EF100" i="7" a="1"/>
  <c r="EF100" i="7" s="1"/>
  <c r="EN102" i="7" a="1"/>
  <c r="EN102" i="7" s="1"/>
  <c r="EU105" i="7" a="1"/>
  <c r="EU105" i="7" s="1"/>
  <c r="FB108" i="7" a="1"/>
  <c r="FB108" i="7" s="1"/>
  <c r="FI111" i="7" a="1"/>
  <c r="FI111" i="7" s="1"/>
  <c r="EF60" i="7" a="1"/>
  <c r="EF60" i="7" s="1"/>
  <c r="EA76" i="7" a="1"/>
  <c r="EA76" i="7" s="1"/>
  <c r="EQ82" i="7" a="1"/>
  <c r="EQ82" i="7" s="1"/>
  <c r="DT63" i="7" a="1"/>
  <c r="DT63" i="7" s="1"/>
  <c r="DX78" i="7" a="1"/>
  <c r="DX78" i="7" s="1"/>
  <c r="FX84" i="7" a="1"/>
  <c r="FX84" i="7" s="1"/>
  <c r="EX93" i="7" a="1"/>
  <c r="EX93" i="7" s="1"/>
  <c r="EY100" i="7" a="1"/>
  <c r="EY100" i="7" s="1"/>
  <c r="ED104" i="7" a="1"/>
  <c r="ED104" i="7" s="1"/>
  <c r="EK107" i="7" a="1"/>
  <c r="EK107" i="7" s="1"/>
  <c r="ER110" i="7" a="1"/>
  <c r="ER110" i="7" s="1"/>
  <c r="FK66" i="7" a="1"/>
  <c r="FK66" i="7" s="1"/>
  <c r="GA80" i="7" a="1"/>
  <c r="GA80" i="7" s="1"/>
  <c r="EZ92" i="7" a="1"/>
  <c r="EZ92" i="7" s="1"/>
  <c r="DT98" i="7" a="1"/>
  <c r="DT98" i="7" s="1"/>
  <c r="EP102" i="7" a="1"/>
  <c r="EP102" i="7" s="1"/>
  <c r="FS106" i="7" a="1"/>
  <c r="FS106" i="7" s="1"/>
  <c r="DV112" i="7" a="1"/>
  <c r="DV112" i="7" s="1"/>
  <c r="DY115" i="7" a="1"/>
  <c r="DY115" i="7" s="1"/>
  <c r="FX116" i="7" a="1"/>
  <c r="FX116" i="7" s="1"/>
  <c r="FM118" i="7" a="1"/>
  <c r="FM118" i="7" s="1"/>
  <c r="FA120" i="7" a="1"/>
  <c r="FA120" i="7" s="1"/>
  <c r="FC122" i="7" a="1"/>
  <c r="FC122" i="7" s="1"/>
  <c r="FJ125" i="7" a="1"/>
  <c r="FJ125" i="7" s="1"/>
  <c r="FQ128" i="7" a="1"/>
  <c r="FQ128" i="7" s="1"/>
  <c r="FX131" i="7" a="1"/>
  <c r="FX131" i="7" s="1"/>
  <c r="EN72" i="7" a="1"/>
  <c r="EN72" i="7" s="1"/>
  <c r="FX86" i="7" a="1"/>
  <c r="FX86" i="7" s="1"/>
  <c r="ER96" i="7" a="1"/>
  <c r="ER96" i="7" s="1"/>
  <c r="FH100" i="7" a="1"/>
  <c r="FH100" i="7" s="1"/>
  <c r="EL106" i="7" a="1"/>
  <c r="EL106" i="7" s="1"/>
  <c r="FB110" i="7" a="1"/>
  <c r="FB110" i="7" s="1"/>
  <c r="EJ116" i="7" a="1"/>
  <c r="EJ116" i="7" s="1"/>
  <c r="FA123" i="7" a="1"/>
  <c r="FA123" i="7" s="1"/>
  <c r="FH126" i="7" a="1"/>
  <c r="FH126" i="7" s="1"/>
  <c r="FO129" i="7" a="1"/>
  <c r="FO129" i="7" s="1"/>
  <c r="FV132" i="7" a="1"/>
  <c r="FV132" i="7" s="1"/>
  <c r="ET134" i="7" a="1"/>
  <c r="ET134" i="7" s="1"/>
  <c r="FX69" i="7" a="1"/>
  <c r="FX69" i="7" s="1"/>
  <c r="FI84" i="7" a="1"/>
  <c r="FI84" i="7" s="1"/>
  <c r="DZ94" i="7" a="1"/>
  <c r="DZ94" i="7" s="1"/>
  <c r="EH99" i="7" a="1"/>
  <c r="EH99" i="7" s="1"/>
  <c r="FG104" i="7" a="1"/>
  <c r="FG104" i="7" s="1"/>
  <c r="FY108" i="7" a="1"/>
  <c r="FY108" i="7" s="1"/>
  <c r="DY113" i="7" a="1"/>
  <c r="DY113" i="7" s="1"/>
  <c r="EY115" i="7" a="1"/>
  <c r="EY115" i="7" s="1"/>
  <c r="EM117" i="7" a="1"/>
  <c r="EM117" i="7" s="1"/>
  <c r="EA119" i="7" a="1"/>
  <c r="EA119" i="7" s="1"/>
  <c r="GA120" i="7" a="1"/>
  <c r="GA120" i="7" s="1"/>
  <c r="EE123" i="7" a="1"/>
  <c r="EE123" i="7" s="1"/>
  <c r="EL126" i="7" a="1"/>
  <c r="EL126" i="7" s="1"/>
  <c r="FF64" i="7" a="1"/>
  <c r="FF64" i="7" s="1"/>
  <c r="GA79" i="7" a="1"/>
  <c r="GA79" i="7" s="1"/>
  <c r="DS95" i="7" a="1"/>
  <c r="DS95" i="7" s="1"/>
  <c r="EW100" i="7" a="1"/>
  <c r="EW100" i="7" s="1"/>
  <c r="DT105" i="7" a="1"/>
  <c r="DT105" i="7" s="1"/>
  <c r="EH110" i="7" a="1"/>
  <c r="EH110" i="7" s="1"/>
  <c r="EQ115" i="7" a="1"/>
  <c r="EQ115" i="7" s="1"/>
  <c r="EM123" i="7" a="1"/>
  <c r="EM123" i="7" s="1"/>
  <c r="ET126" i="7" a="1"/>
  <c r="ET126" i="7" s="1"/>
  <c r="FA129" i="7" a="1"/>
  <c r="FA129" i="7" s="1"/>
  <c r="FH132" i="7" a="1"/>
  <c r="FH132" i="7" s="1"/>
  <c r="EN134" i="7" a="1"/>
  <c r="EN134" i="7" s="1"/>
  <c r="DX67" i="7" a="1"/>
  <c r="DX67" i="7" s="1"/>
  <c r="FQ83" i="7" a="1"/>
  <c r="FQ83" i="7" s="1"/>
  <c r="EI92" i="7" a="1"/>
  <c r="EI92" i="7" s="1"/>
  <c r="EI99" i="7" a="1"/>
  <c r="EI99" i="7" s="1"/>
  <c r="DT74" i="7" a="1"/>
  <c r="DT74" i="7" s="1"/>
  <c r="ED86" i="7" a="1"/>
  <c r="ED86" i="7" s="1"/>
  <c r="FT94" i="7" a="1"/>
  <c r="FT94" i="7" s="1"/>
  <c r="GA99" i="7" a="1"/>
  <c r="GA99" i="7" s="1"/>
  <c r="DY105" i="7" a="1"/>
  <c r="DY105" i="7" s="1"/>
  <c r="EO109" i="7" a="1"/>
  <c r="EO109" i="7" s="1"/>
  <c r="GA113" i="7" a="1"/>
  <c r="GA113" i="7" s="1"/>
  <c r="GA115" i="7" a="1"/>
  <c r="GA115" i="7" s="1"/>
  <c r="FO117" i="7" a="1"/>
  <c r="FO117" i="7" s="1"/>
  <c r="FC119" i="7" a="1"/>
  <c r="FC119" i="7" s="1"/>
  <c r="ER121" i="7" a="1"/>
  <c r="ER121" i="7" s="1"/>
  <c r="DX124" i="7" a="1"/>
  <c r="DX124" i="7" s="1"/>
  <c r="EE127" i="7" a="1"/>
  <c r="EE127" i="7" s="1"/>
  <c r="FV75" i="7" a="1"/>
  <c r="FV75" i="7" s="1"/>
  <c r="DY98" i="7" a="1"/>
  <c r="DY98" i="7" s="1"/>
  <c r="EX107" i="7" a="1"/>
  <c r="EX107" i="7" s="1"/>
  <c r="EP114" i="7" a="1"/>
  <c r="EP114" i="7" s="1"/>
  <c r="FR119" i="7" a="1"/>
  <c r="FR119" i="7" s="1"/>
  <c r="DT125" i="7" a="1"/>
  <c r="DT125" i="7" s="1"/>
  <c r="EE130" i="7" a="1"/>
  <c r="EE130" i="7" s="1"/>
  <c r="FN51" i="7" a="1"/>
  <c r="FN51" i="7" s="1"/>
  <c r="EZ83" i="7" a="1"/>
  <c r="EZ83" i="7" s="1"/>
  <c r="EE99" i="7" a="1"/>
  <c r="EE99" i="7" s="1"/>
  <c r="DW106" i="7" a="1"/>
  <c r="DW106" i="7" s="1"/>
  <c r="ES112" i="7" a="1"/>
  <c r="ES112" i="7" s="1"/>
  <c r="DS117" i="7" a="1"/>
  <c r="DS117" i="7" s="1"/>
  <c r="FF122" i="7" a="1"/>
  <c r="FF122" i="7" s="1"/>
  <c r="ER84" i="7" a="1"/>
  <c r="ER84" i="7" s="1"/>
  <c r="FP97" i="7" a="1"/>
  <c r="FP97" i="7" s="1"/>
  <c r="FR105" i="7" a="1"/>
  <c r="FR105" i="7" s="1"/>
  <c r="ES115" i="7" a="1"/>
  <c r="ES115" i="7" s="1"/>
  <c r="FU120" i="7" a="1"/>
  <c r="FU120" i="7" s="1"/>
  <c r="ES125" i="7" a="1"/>
  <c r="ES125" i="7" s="1"/>
  <c r="FU80" i="7" a="1"/>
  <c r="FU80" i="7" s="1"/>
  <c r="EA97" i="7" a="1"/>
  <c r="EA97" i="7" s="1"/>
  <c r="FY104" i="7" a="1"/>
  <c r="FY104" i="7" s="1"/>
  <c r="DT111" i="7" a="1"/>
  <c r="DT111" i="7" s="1"/>
  <c r="DU116" i="7" a="1"/>
  <c r="DU116" i="7" s="1"/>
  <c r="EJ121" i="7" a="1"/>
  <c r="EJ121" i="7" s="1"/>
  <c r="DV79" i="7" a="1"/>
  <c r="DV79" i="7" s="1"/>
  <c r="DZ78" i="7" a="1"/>
  <c r="DZ78" i="7" s="1"/>
  <c r="DQ84" i="7" a="1"/>
  <c r="DQ84" i="7" s="1"/>
  <c r="EL98" i="7" a="1"/>
  <c r="EL98" i="7" s="1"/>
  <c r="FT103" i="7" a="1"/>
  <c r="FT103" i="7" s="1"/>
  <c r="FK59" i="7" a="1"/>
  <c r="FK59" i="7" s="1"/>
  <c r="EP99" i="7" a="1"/>
  <c r="EP99" i="7" s="1"/>
  <c r="FH110" i="7" a="1"/>
  <c r="FH110" i="7" s="1"/>
  <c r="DW118" i="7" a="1"/>
  <c r="DW118" i="7" s="1"/>
  <c r="EQ125" i="7" a="1"/>
  <c r="EQ125" i="7" s="1"/>
  <c r="ES131" i="7" a="1"/>
  <c r="ES131" i="7" s="1"/>
  <c r="FY135" i="7" a="1"/>
  <c r="FY135" i="7" s="1"/>
  <c r="EW137" i="7" a="1"/>
  <c r="EW137" i="7" s="1"/>
  <c r="DU139" i="7" a="1"/>
  <c r="DU139" i="7" s="1"/>
  <c r="FD140" i="7" a="1"/>
  <c r="FD140" i="7" s="1"/>
  <c r="DT84" i="7" a="1"/>
  <c r="DT84" i="7" s="1"/>
  <c r="ES105" i="7" a="1"/>
  <c r="ES105" i="7" s="1"/>
  <c r="FZ114" i="7" a="1"/>
  <c r="FZ114" i="7" s="1"/>
  <c r="EL122" i="7" a="1"/>
  <c r="EL122" i="7" s="1"/>
  <c r="DZ128" i="7" a="1"/>
  <c r="DZ128" i="7" s="1"/>
  <c r="EH132" i="7" a="1"/>
  <c r="EH132" i="7" s="1"/>
  <c r="EV42" i="7" a="1"/>
  <c r="EV42" i="7" s="1"/>
  <c r="ET95" i="7" a="1"/>
  <c r="ET95" i="7" s="1"/>
  <c r="FR106" i="7" a="1"/>
  <c r="FR106" i="7" s="1"/>
  <c r="FA115" i="7" a="1"/>
  <c r="FA115" i="7" s="1"/>
  <c r="EV123" i="7" a="1"/>
  <c r="EV123" i="7" s="1"/>
  <c r="EX128" i="7" a="1"/>
  <c r="EX128" i="7" s="1"/>
  <c r="DQ134" i="7" a="1"/>
  <c r="DQ134" i="7" s="1"/>
  <c r="EX136" i="7" a="1"/>
  <c r="EX136" i="7" s="1"/>
  <c r="DQ99" i="7" a="1"/>
  <c r="DQ99" i="7" s="1"/>
  <c r="EO112" i="7" a="1"/>
  <c r="EO112" i="7" s="1"/>
  <c r="FA119" i="7" a="1"/>
  <c r="FA119" i="7" s="1"/>
  <c r="FZ126" i="7" a="1"/>
  <c r="FZ126" i="7" s="1"/>
  <c r="FG130" i="7" a="1"/>
  <c r="FG130" i="7" s="1"/>
  <c r="EB134" i="7" a="1"/>
  <c r="EB134" i="7" s="1"/>
  <c r="DW94" i="7" a="1"/>
  <c r="DW94" i="7" s="1"/>
  <c r="FC69" i="7" a="1"/>
  <c r="FC69" i="7" s="1"/>
  <c r="FD99" i="7" a="1"/>
  <c r="FD99" i="7" s="1"/>
  <c r="EX90" i="7" a="1"/>
  <c r="EX90" i="7" s="1"/>
  <c r="FS103" i="7" a="1"/>
  <c r="FS103" i="7" s="1"/>
  <c r="EN115" i="7" a="1"/>
  <c r="EN115" i="7" s="1"/>
  <c r="FW122" i="7" a="1"/>
  <c r="FW122" i="7" s="1"/>
  <c r="FV128" i="7" a="1"/>
  <c r="FV128" i="7" s="1"/>
  <c r="FN134" i="7" a="1"/>
  <c r="FN134" i="7" s="1"/>
  <c r="DY99" i="7" a="1"/>
  <c r="DY99" i="7" s="1"/>
  <c r="FC116" i="7" a="1"/>
  <c r="FC116" i="7" s="1"/>
  <c r="FD128" i="7" a="1"/>
  <c r="FD128" i="7" s="1"/>
  <c r="DT135" i="7" a="1"/>
  <c r="DT135" i="7" s="1"/>
  <c r="EM137" i="7" a="1"/>
  <c r="EM137" i="7" s="1"/>
  <c r="EO139" i="7" a="1"/>
  <c r="EO139" i="7" s="1"/>
  <c r="ED142" i="7" a="1"/>
  <c r="ED142" i="7" s="1"/>
  <c r="FM143" i="7" a="1"/>
  <c r="FM143" i="7" s="1"/>
  <c r="EK145" i="7" a="1"/>
  <c r="EK145" i="7" s="1"/>
  <c r="FT146" i="7" a="1"/>
  <c r="FT146" i="7" s="1"/>
  <c r="ER148" i="7" a="1"/>
  <c r="ER148" i="7" s="1"/>
  <c r="GA149" i="7" a="1"/>
  <c r="GA149" i="7" s="1"/>
  <c r="EY151" i="7" a="1"/>
  <c r="EY151" i="7" s="1"/>
  <c r="DW153" i="7" a="1"/>
  <c r="DW153" i="7" s="1"/>
  <c r="FF154" i="7" a="1"/>
  <c r="FF154" i="7" s="1"/>
  <c r="EQ88" i="7" a="1"/>
  <c r="EQ88" i="7" s="1"/>
  <c r="FN107" i="7" a="1"/>
  <c r="FN107" i="7" s="1"/>
  <c r="FZ117" i="7" a="1"/>
  <c r="FZ117" i="7" s="1"/>
  <c r="EU126" i="7" a="1"/>
  <c r="EU126" i="7" s="1"/>
  <c r="EU132" i="7" a="1"/>
  <c r="EU132" i="7" s="1"/>
  <c r="FB140" i="7" a="1"/>
  <c r="FB140" i="7" s="1"/>
  <c r="EL104" i="7" a="1"/>
  <c r="EL104" i="7" s="1"/>
  <c r="FA121" i="7" a="1"/>
  <c r="FA121" i="7" s="1"/>
  <c r="EQ129" i="7" a="1"/>
  <c r="EQ129" i="7" s="1"/>
  <c r="GA135" i="7" a="1"/>
  <c r="GA135" i="7" s="1"/>
  <c r="FU137" i="7" a="1"/>
  <c r="FU137" i="7" s="1"/>
  <c r="EU140" i="7" a="1"/>
  <c r="EU140" i="7" s="1"/>
  <c r="FG142" i="7" a="1"/>
  <c r="FG142" i="7" s="1"/>
  <c r="EE144" i="7" a="1"/>
  <c r="EE144" i="7" s="1"/>
  <c r="FN145" i="7" a="1"/>
  <c r="FN145" i="7" s="1"/>
  <c r="EL147" i="7" a="1"/>
  <c r="EL147" i="7" s="1"/>
  <c r="FU148" i="7" a="1"/>
  <c r="FU148" i="7" s="1"/>
  <c r="ES150" i="7" a="1"/>
  <c r="ES150" i="7" s="1"/>
  <c r="DQ152" i="7" a="1"/>
  <c r="DQ152" i="7" s="1"/>
  <c r="EZ153" i="7" a="1"/>
  <c r="EZ153" i="7" s="1"/>
  <c r="FL63" i="7" a="1"/>
  <c r="FL63" i="7" s="1"/>
  <c r="FW107" i="7" a="1"/>
  <c r="FW107" i="7" s="1"/>
  <c r="EA123" i="7" a="1"/>
  <c r="EA123" i="7" s="1"/>
  <c r="ED129" i="7" a="1"/>
  <c r="ED129" i="7" s="1"/>
  <c r="FE134" i="7" a="1"/>
  <c r="FE134" i="7" s="1"/>
  <c r="ES141" i="7" a="1"/>
  <c r="ES141" i="7" s="1"/>
  <c r="EN109" i="7" a="1"/>
  <c r="EN109" i="7" s="1"/>
  <c r="FM120" i="7" a="1"/>
  <c r="FM120" i="7" s="1"/>
  <c r="FS108" i="7" a="1"/>
  <c r="FS108" i="7" s="1"/>
  <c r="FJ121" i="7" a="1"/>
  <c r="FJ121" i="7" s="1"/>
  <c r="EE128" i="7" a="1"/>
  <c r="EE128" i="7" s="1"/>
  <c r="ED136" i="7" a="1"/>
  <c r="ED136" i="7" s="1"/>
  <c r="DV138" i="7" a="1"/>
  <c r="DV138" i="7" s="1"/>
  <c r="FU140" i="7" a="1"/>
  <c r="FU140" i="7" s="1"/>
  <c r="FQ142" i="7" a="1"/>
  <c r="FQ142" i="7" s="1"/>
  <c r="EO144" i="7" a="1"/>
  <c r="EO144" i="7" s="1"/>
  <c r="FX145" i="7" a="1"/>
  <c r="FX145" i="7" s="1"/>
  <c r="EV147" i="7" a="1"/>
  <c r="EV147" i="7" s="1"/>
  <c r="DT149" i="7" a="1"/>
  <c r="DT149" i="7" s="1"/>
  <c r="FC150" i="7" a="1"/>
  <c r="FC150" i="7" s="1"/>
  <c r="EN84" i="7" a="1"/>
  <c r="EN84" i="7" s="1"/>
  <c r="EX122" i="7" a="1"/>
  <c r="EX122" i="7" s="1"/>
  <c r="FG136" i="7" a="1"/>
  <c r="FG136" i="7" s="1"/>
  <c r="FR141" i="7" a="1"/>
  <c r="FR141" i="7" s="1"/>
  <c r="EC147" i="7" a="1"/>
  <c r="EC147" i="7" s="1"/>
  <c r="EZ155" i="7" a="1"/>
  <c r="EZ155" i="7" s="1"/>
  <c r="EX157" i="7" a="1"/>
  <c r="EX157" i="7" s="1"/>
  <c r="EM159" i="7" a="1"/>
  <c r="EM159" i="7" s="1"/>
  <c r="EA161" i="7" a="1"/>
  <c r="EA161" i="7" s="1"/>
  <c r="FZ162" i="7" a="1"/>
  <c r="FZ162" i="7" s="1"/>
  <c r="FO164" i="7" a="1"/>
  <c r="FO164" i="7" s="1"/>
  <c r="FC166" i="7" a="1"/>
  <c r="FC166" i="7" s="1"/>
  <c r="EQ168" i="7" a="1"/>
  <c r="EQ168" i="7" s="1"/>
  <c r="EF170" i="7" a="1"/>
  <c r="EF170" i="7" s="1"/>
  <c r="DT172" i="7" a="1"/>
  <c r="DT172" i="7" s="1"/>
  <c r="FS173" i="7" a="1"/>
  <c r="FS173" i="7" s="1"/>
  <c r="FH175" i="7" a="1"/>
  <c r="FH175" i="7" s="1"/>
  <c r="EV177" i="7" a="1"/>
  <c r="EV177" i="7" s="1"/>
  <c r="FL118" i="7" a="1"/>
  <c r="FL118" i="7" s="1"/>
  <c r="FB130" i="7" a="1"/>
  <c r="FB130" i="7" s="1"/>
  <c r="DW138" i="7" a="1"/>
  <c r="DW138" i="7" s="1"/>
  <c r="ET144" i="7" a="1"/>
  <c r="ET144" i="7" s="1"/>
  <c r="FP149" i="7" a="1"/>
  <c r="FP149" i="7" s="1"/>
  <c r="EI153" i="7" a="1"/>
  <c r="EI153" i="7" s="1"/>
  <c r="FA155" i="7" a="1"/>
  <c r="FA155" i="7" s="1"/>
  <c r="ES165" i="7" a="1"/>
  <c r="ES165" i="7" s="1"/>
  <c r="EL176" i="7" a="1"/>
  <c r="EL176" i="7" s="1"/>
  <c r="FK181" i="7" a="1"/>
  <c r="FK181" i="7" s="1"/>
  <c r="FR184" i="7" a="1"/>
  <c r="FR184" i="7" s="1"/>
  <c r="FY187" i="7" a="1"/>
  <c r="FY187" i="7" s="1"/>
  <c r="DU191" i="7" a="1"/>
  <c r="DU191" i="7" s="1"/>
  <c r="EB194" i="7" a="1"/>
  <c r="EB194" i="7" s="1"/>
  <c r="EI197" i="7" a="1"/>
  <c r="EI197" i="7" s="1"/>
  <c r="EP200" i="7" a="1"/>
  <c r="EP200" i="7" s="1"/>
  <c r="ED202" i="7" a="1"/>
  <c r="ED202" i="7" s="1"/>
  <c r="FM203" i="7" a="1"/>
  <c r="FM203" i="7" s="1"/>
  <c r="EH111" i="7" a="1"/>
  <c r="EH111" i="7" s="1"/>
  <c r="EP131" i="7" a="1"/>
  <c r="EP131" i="7" s="1"/>
  <c r="EJ139" i="7" a="1"/>
  <c r="EJ139" i="7" s="1"/>
  <c r="EI144" i="7" a="1"/>
  <c r="EI144" i="7" s="1"/>
  <c r="FE149" i="7" a="1"/>
  <c r="FE149" i="7" s="1"/>
  <c r="FE156" i="7" a="1"/>
  <c r="FE156" i="7" s="1"/>
  <c r="ET158" i="7" a="1"/>
  <c r="ET158" i="7" s="1"/>
  <c r="EH160" i="7" a="1"/>
  <c r="EH160" i="7" s="1"/>
  <c r="DV162" i="7" a="1"/>
  <c r="DV162" i="7" s="1"/>
  <c r="FV163" i="7" a="1"/>
  <c r="FV163" i="7" s="1"/>
  <c r="FJ165" i="7" a="1"/>
  <c r="FJ165" i="7" s="1"/>
  <c r="EX167" i="7" a="1"/>
  <c r="EX167" i="7" s="1"/>
  <c r="EM169" i="7" a="1"/>
  <c r="EM169" i="7" s="1"/>
  <c r="EA171" i="7" a="1"/>
  <c r="EA171" i="7" s="1"/>
  <c r="FZ172" i="7" a="1"/>
  <c r="FZ172" i="7" s="1"/>
  <c r="FO174" i="7" a="1"/>
  <c r="FO174" i="7" s="1"/>
  <c r="FC176" i="7" a="1"/>
  <c r="FC176" i="7" s="1"/>
  <c r="EQ178" i="7" a="1"/>
  <c r="EQ178" i="7" s="1"/>
  <c r="EM101" i="7" a="1"/>
  <c r="EM101" i="7" s="1"/>
  <c r="EG121" i="7" a="1"/>
  <c r="EG121" i="7" s="1"/>
  <c r="EW131" i="7" a="1"/>
  <c r="EW131" i="7" s="1"/>
  <c r="GA140" i="7" a="1"/>
  <c r="GA140" i="7" s="1"/>
  <c r="EC146" i="7" a="1"/>
  <c r="EC146" i="7" s="1"/>
  <c r="FK151" i="7" a="1"/>
  <c r="FK151" i="7" s="1"/>
  <c r="DV154" i="7" a="1"/>
  <c r="DV154" i="7" s="1"/>
  <c r="DX159" i="7" a="1"/>
  <c r="DX159" i="7" s="1"/>
  <c r="DQ170" i="7" a="1"/>
  <c r="DQ170" i="7" s="1"/>
  <c r="FY179" i="7" a="1"/>
  <c r="FY179" i="7" s="1"/>
  <c r="DU183" i="7" a="1"/>
  <c r="DU183" i="7" s="1"/>
  <c r="EB186" i="7" a="1"/>
  <c r="EB186" i="7" s="1"/>
  <c r="EI189" i="7" a="1"/>
  <c r="EI189" i="7" s="1"/>
  <c r="EP192" i="7" a="1"/>
  <c r="EP192" i="7" s="1"/>
  <c r="EW195" i="7" a="1"/>
  <c r="EW195" i="7" s="1"/>
  <c r="FJ72" i="7" a="1"/>
  <c r="FJ72" i="7" s="1"/>
  <c r="FH122" i="7" a="1"/>
  <c r="FH122" i="7" s="1"/>
  <c r="EX134" i="7" a="1"/>
  <c r="EX134" i="7" s="1"/>
  <c r="ER140" i="7" a="1"/>
  <c r="ER140" i="7" s="1"/>
  <c r="ER105" i="7" a="1"/>
  <c r="ER105" i="7" s="1"/>
  <c r="EX96" i="7" a="1"/>
  <c r="EX96" i="7" s="1"/>
  <c r="EP121" i="7" a="1"/>
  <c r="EP121" i="7" s="1"/>
  <c r="EO132" i="7" a="1"/>
  <c r="EO132" i="7" s="1"/>
  <c r="EJ140" i="7" a="1"/>
  <c r="EJ140" i="7" s="1"/>
  <c r="FW145" i="7" a="1"/>
  <c r="FW145" i="7" s="1"/>
  <c r="ET151" i="7" a="1"/>
  <c r="ET151" i="7" s="1"/>
  <c r="DV157" i="7" a="1"/>
  <c r="DV157" i="7" s="1"/>
  <c r="FV158" i="7" a="1"/>
  <c r="FV158" i="7" s="1"/>
  <c r="FJ160" i="7" a="1"/>
  <c r="FJ160" i="7" s="1"/>
  <c r="EX162" i="7" a="1"/>
  <c r="EX162" i="7" s="1"/>
  <c r="EM164" i="7" a="1"/>
  <c r="EM164" i="7" s="1"/>
  <c r="EA166" i="7" a="1"/>
  <c r="EA166" i="7" s="1"/>
  <c r="FZ167" i="7" a="1"/>
  <c r="FZ167" i="7" s="1"/>
  <c r="FO169" i="7" a="1"/>
  <c r="FO169" i="7" s="1"/>
  <c r="FC171" i="7" a="1"/>
  <c r="FC171" i="7" s="1"/>
  <c r="EQ173" i="7" a="1"/>
  <c r="EQ173" i="7" s="1"/>
  <c r="EF175" i="7" a="1"/>
  <c r="EF175" i="7" s="1"/>
  <c r="DT177" i="7" a="1"/>
  <c r="DT177" i="7" s="1"/>
  <c r="FG135" i="7" a="1"/>
  <c r="FG135" i="7" s="1"/>
  <c r="DZ143" i="7" a="1"/>
  <c r="DZ143" i="7" s="1"/>
  <c r="EP150" i="7" a="1"/>
  <c r="EP150" i="7" s="1"/>
  <c r="EQ156" i="7" a="1"/>
  <c r="EQ156" i="7" s="1"/>
  <c r="EG161" i="7" a="1"/>
  <c r="EG161" i="7" s="1"/>
  <c r="EJ118" i="7" a="1"/>
  <c r="EJ118" i="7" s="1"/>
  <c r="FC136" i="7" a="1"/>
  <c r="FC136" i="7" s="1"/>
  <c r="FL144" i="7" a="1"/>
  <c r="FL144" i="7" s="1"/>
  <c r="EH152" i="7" a="1"/>
  <c r="EH152" i="7" s="1"/>
  <c r="ES157" i="7" a="1"/>
  <c r="ES157" i="7" s="1"/>
  <c r="EE122" i="7" a="1"/>
  <c r="EE122" i="7" s="1"/>
  <c r="EL137" i="7" a="1"/>
  <c r="EL137" i="7" s="1"/>
  <c r="DS153" i="7" a="1"/>
  <c r="DS153" i="7" s="1"/>
  <c r="FF158" i="7" a="1"/>
  <c r="FF158" i="7" s="1"/>
  <c r="DQ121" i="7" a="1"/>
  <c r="DQ121" i="7" s="1"/>
  <c r="FZ141" i="7" a="1"/>
  <c r="FZ141" i="7" s="1"/>
  <c r="FA148" i="7" a="1"/>
  <c r="FA148" i="7" s="1"/>
  <c r="FK153" i="7" a="1"/>
  <c r="FK153" i="7" s="1"/>
  <c r="DS109" i="7" a="1"/>
  <c r="DS109" i="7" s="1"/>
  <c r="DV116" i="7" a="1"/>
  <c r="DV116" i="7" s="1"/>
  <c r="FQ138" i="7" a="1"/>
  <c r="FQ138" i="7" s="1"/>
  <c r="FL146" i="7" a="1"/>
  <c r="FL146" i="7" s="1"/>
  <c r="DU151" i="7" a="1"/>
  <c r="DU151" i="7" s="1"/>
  <c r="DT141" i="7" a="1"/>
  <c r="DT141" i="7" s="1"/>
  <c r="EP153" i="7" a="1"/>
  <c r="EP153" i="7" s="1"/>
  <c r="EV160" i="7" a="1"/>
  <c r="EV160" i="7" s="1"/>
  <c r="FF165" i="7" a="1"/>
  <c r="FF165" i="7" s="1"/>
  <c r="FW170" i="7" a="1"/>
  <c r="FW170" i="7" s="1"/>
  <c r="EX175" i="7" a="1"/>
  <c r="EX175" i="7" s="1"/>
  <c r="FF179" i="7" a="1"/>
  <c r="FF179" i="7" s="1"/>
  <c r="DZ183" i="7" a="1"/>
  <c r="DZ183" i="7" s="1"/>
  <c r="EV186" i="7" a="1"/>
  <c r="EV186" i="7" s="1"/>
  <c r="EY190" i="7" a="1"/>
  <c r="EY190" i="7" s="1"/>
  <c r="DS194" i="7" a="1"/>
  <c r="DS194" i="7" s="1"/>
  <c r="EO197" i="7" a="1"/>
  <c r="EO197" i="7" s="1"/>
  <c r="EU111" i="7" a="1"/>
  <c r="EU111" i="7" s="1"/>
  <c r="DV142" i="7" a="1"/>
  <c r="DV142" i="7" s="1"/>
  <c r="EV154" i="7" a="1"/>
  <c r="EV154" i="7" s="1"/>
  <c r="FI162" i="7" a="1"/>
  <c r="FI162" i="7" s="1"/>
  <c r="FT167" i="7" a="1"/>
  <c r="FT167" i="7" s="1"/>
  <c r="EK173" i="7" a="1"/>
  <c r="EK173" i="7" s="1"/>
  <c r="EC178" i="7" a="1"/>
  <c r="EC178" i="7" s="1"/>
  <c r="ET182" i="7" a="1"/>
  <c r="ET182" i="7" s="1"/>
  <c r="FP185" i="7" a="1"/>
  <c r="FP185" i="7" s="1"/>
  <c r="ES189" i="7" a="1"/>
  <c r="ES189" i="7" s="1"/>
  <c r="EM193" i="7" a="1"/>
  <c r="EM193" i="7" s="1"/>
  <c r="FB31" i="7" a="1"/>
  <c r="FB31" i="7" s="1"/>
  <c r="FN49" i="7" a="1"/>
  <c r="FN49" i="7" s="1"/>
  <c r="FP44" i="7" a="1"/>
  <c r="FP44" i="7" s="1"/>
  <c r="EM47" i="7" a="1"/>
  <c r="EM47" i="7" s="1"/>
  <c r="ED39" i="7" a="1"/>
  <c r="ED39" i="7" s="1"/>
  <c r="FR27" i="7" a="1"/>
  <c r="FR27" i="7" s="1"/>
  <c r="DU48" i="7" a="1"/>
  <c r="DU48" i="7" s="1"/>
  <c r="EN55" i="7" a="1"/>
  <c r="EN55" i="7" s="1"/>
  <c r="DS41" i="7" a="1"/>
  <c r="DS41" i="7" s="1"/>
  <c r="DZ52" i="7" a="1"/>
  <c r="DZ52" i="7" s="1"/>
  <c r="FA53" i="7" a="1"/>
  <c r="FA53" i="7" s="1"/>
  <c r="FE42" i="7" a="1"/>
  <c r="FE42" i="7" s="1"/>
  <c r="FA28" i="7" a="1"/>
  <c r="FA28" i="7" s="1"/>
  <c r="EW41" i="7" a="1"/>
  <c r="EW41" i="7" s="1"/>
  <c r="EA61" i="7" a="1"/>
  <c r="EA61" i="7" s="1"/>
  <c r="GA41" i="7" a="1"/>
  <c r="GA41" i="7" s="1"/>
  <c r="EC60" i="7" a="1"/>
  <c r="EC60" i="7" s="1"/>
  <c r="EB48" i="7" a="1"/>
  <c r="EB48" i="7" s="1"/>
  <c r="FK62" i="7" a="1"/>
  <c r="FK62" i="7" s="1"/>
  <c r="FY51" i="7" a="1"/>
  <c r="FY51" i="7" s="1"/>
  <c r="FZ33" i="7" a="1"/>
  <c r="FZ33" i="7" s="1"/>
  <c r="EO53" i="7" a="1"/>
  <c r="EO53" i="7" s="1"/>
  <c r="EP41" i="7" a="1"/>
  <c r="EP41" i="7" s="1"/>
  <c r="ET64" i="7" a="1"/>
  <c r="ET64" i="7" s="1"/>
  <c r="DQ73" i="7" a="1"/>
  <c r="DQ73" i="7" s="1"/>
  <c r="ES55" i="7" a="1"/>
  <c r="ES55" i="7" s="1"/>
  <c r="EE42" i="7" a="1"/>
  <c r="EE42" i="7" s="1"/>
  <c r="EB65" i="7" a="1"/>
  <c r="EB65" i="7" s="1"/>
  <c r="EF73" i="7" a="1"/>
  <c r="EF73" i="7" s="1"/>
  <c r="FG57" i="7" a="1"/>
  <c r="FG57" i="7" s="1"/>
  <c r="EH48" i="7" a="1"/>
  <c r="EH48" i="7" s="1"/>
  <c r="FS56" i="7" a="1"/>
  <c r="FS56" i="7" s="1"/>
  <c r="EI70" i="7" a="1"/>
  <c r="EI70" i="7" s="1"/>
  <c r="EW57" i="7" a="1"/>
  <c r="EW57" i="7" s="1"/>
  <c r="DR77" i="7" a="1"/>
  <c r="DR77" i="7" s="1"/>
  <c r="EG92" i="7" a="1"/>
  <c r="EG92" i="7" s="1"/>
  <c r="FB70" i="7" a="1"/>
  <c r="FB70" i="7" s="1"/>
  <c r="FL79" i="7" a="1"/>
  <c r="FL79" i="7" s="1"/>
  <c r="ED88" i="7" a="1"/>
  <c r="ED88" i="7" s="1"/>
  <c r="FB63" i="7" a="1"/>
  <c r="FB63" i="7" s="1"/>
  <c r="FH77" i="7" a="1"/>
  <c r="FH77" i="7" s="1"/>
  <c r="FI88" i="7" a="1"/>
  <c r="FI88" i="7" s="1"/>
  <c r="EO94" i="7" a="1"/>
  <c r="EO94" i="7" s="1"/>
  <c r="FK60" i="7" a="1"/>
  <c r="FK60" i="7" s="1"/>
  <c r="FZ74" i="7" a="1"/>
  <c r="FZ74" i="7" s="1"/>
  <c r="FE79" i="7" a="1"/>
  <c r="FE79" i="7" s="1"/>
  <c r="FN83" i="7" a="1"/>
  <c r="FN83" i="7" s="1"/>
  <c r="ED54" i="7" a="1"/>
  <c r="ED54" i="7" s="1"/>
  <c r="DT49" i="7" a="1"/>
  <c r="DT49" i="7" s="1"/>
  <c r="FU67" i="7" a="1"/>
  <c r="FU67" i="7" s="1"/>
  <c r="EP73" i="7" a="1"/>
  <c r="EP73" i="7" s="1"/>
  <c r="DR82" i="7" a="1"/>
  <c r="DR82" i="7" s="1"/>
  <c r="FO87" i="7" a="1"/>
  <c r="FO87" i="7" s="1"/>
  <c r="FD91" i="7" a="1"/>
  <c r="FD91" i="7" s="1"/>
  <c r="FG56" i="7" a="1"/>
  <c r="FG56" i="7" s="1"/>
  <c r="FF73" i="7" a="1"/>
  <c r="FF73" i="7" s="1"/>
  <c r="FF79" i="7" a="1"/>
  <c r="FF79" i="7" s="1"/>
  <c r="FL85" i="7" a="1"/>
  <c r="FL85" i="7" s="1"/>
  <c r="ET90" i="7" a="1"/>
  <c r="ET90" i="7" s="1"/>
  <c r="FA94" i="7" a="1"/>
  <c r="FA94" i="7" s="1"/>
  <c r="FG61" i="7" a="1"/>
  <c r="FG61" i="7" s="1"/>
  <c r="EA74" i="7" a="1"/>
  <c r="EA74" i="7" s="1"/>
  <c r="EH79" i="7" a="1"/>
  <c r="EH79" i="7" s="1"/>
  <c r="EC85" i="7" a="1"/>
  <c r="EC85" i="7" s="1"/>
  <c r="EJ91" i="7" a="1"/>
  <c r="EJ91" i="7" s="1"/>
  <c r="EK96" i="7" a="1"/>
  <c r="EK96" i="7" s="1"/>
  <c r="FH61" i="7" a="1"/>
  <c r="FH61" i="7" s="1"/>
  <c r="EK71" i="7" a="1"/>
  <c r="EK71" i="7" s="1"/>
  <c r="FS77" i="7" a="1"/>
  <c r="FS77" i="7" s="1"/>
  <c r="EJ83" i="7" a="1"/>
  <c r="EJ83" i="7" s="1"/>
  <c r="EA90" i="7" a="1"/>
  <c r="EA90" i="7" s="1"/>
  <c r="DV94" i="7" a="1"/>
  <c r="DV94" i="7" s="1"/>
  <c r="DR59" i="7" a="1"/>
  <c r="DR59" i="7" s="1"/>
  <c r="EQ72" i="7" a="1"/>
  <c r="EQ72" i="7" s="1"/>
  <c r="FV79" i="7" a="1"/>
  <c r="FV79" i="7" s="1"/>
  <c r="DT85" i="7" a="1"/>
  <c r="DT85" i="7" s="1"/>
  <c r="FG90" i="7" a="1"/>
  <c r="FG90" i="7" s="1"/>
  <c r="FG95" i="7" a="1"/>
  <c r="FG95" i="7" s="1"/>
  <c r="ES54" i="7" a="1"/>
  <c r="ES54" i="7" s="1"/>
  <c r="FJ66" i="7" a="1"/>
  <c r="FJ66" i="7" s="1"/>
  <c r="EJ50" i="7" a="1"/>
  <c r="EJ50" i="7" s="1"/>
  <c r="FS63" i="7" a="1"/>
  <c r="FS63" i="7" s="1"/>
  <c r="GA71" i="7" a="1"/>
  <c r="GA71" i="7" s="1"/>
  <c r="DY77" i="7" a="1"/>
  <c r="DY77" i="7" s="1"/>
  <c r="GA81" i="7" a="1"/>
  <c r="GA81" i="7" s="1"/>
  <c r="FZ86" i="7" a="1"/>
  <c r="FZ86" i="7" s="1"/>
  <c r="FK91" i="7" a="1"/>
  <c r="FK91" i="7" s="1"/>
  <c r="EW50" i="7" a="1"/>
  <c r="EW50" i="7" s="1"/>
  <c r="EF69" i="7" a="1"/>
  <c r="EF69" i="7" s="1"/>
  <c r="FU78" i="7" a="1"/>
  <c r="FU78" i="7" s="1"/>
  <c r="EC84" i="7" a="1"/>
  <c r="EC84" i="7" s="1"/>
  <c r="FB91" i="7" a="1"/>
  <c r="FB91" i="7" s="1"/>
  <c r="ED100" i="7" a="1"/>
  <c r="ED100" i="7" s="1"/>
  <c r="EV104" i="7" a="1"/>
  <c r="EV104" i="7" s="1"/>
  <c r="FR107" i="7" a="1"/>
  <c r="FR107" i="7" s="1"/>
  <c r="EK111" i="7" a="1"/>
  <c r="EK111" i="7" s="1"/>
  <c r="FU60" i="7" a="1"/>
  <c r="FU60" i="7" s="1"/>
  <c r="DV76" i="7" a="1"/>
  <c r="DV76" i="7" s="1"/>
  <c r="DS82" i="7" a="1"/>
  <c r="DS82" i="7" s="1"/>
  <c r="FL89" i="7" a="1"/>
  <c r="FL89" i="7" s="1"/>
  <c r="EL96" i="7" a="1"/>
  <c r="EL96" i="7" s="1"/>
  <c r="DZ98" i="7" a="1"/>
  <c r="DZ98" i="7" s="1"/>
  <c r="FY99" i="7" a="1"/>
  <c r="FY99" i="7" s="1"/>
  <c r="FT101" i="7" a="1"/>
  <c r="FT101" i="7" s="1"/>
  <c r="GA104" i="7" a="1"/>
  <c r="GA104" i="7" s="1"/>
  <c r="DW108" i="7" a="1"/>
  <c r="DW108" i="7" s="1"/>
  <c r="ED111" i="7" a="1"/>
  <c r="ED111" i="7" s="1"/>
  <c r="EX113" i="7" a="1"/>
  <c r="EX113" i="7" s="1"/>
  <c r="FZ59" i="7" a="1"/>
  <c r="FZ59" i="7" s="1"/>
  <c r="EA75" i="7" a="1"/>
  <c r="EA75" i="7" s="1"/>
  <c r="FA86" i="7" a="1"/>
  <c r="FA86" i="7" s="1"/>
  <c r="DW91" i="7" a="1"/>
  <c r="DW91" i="7" s="1"/>
  <c r="EB96" i="7" a="1"/>
  <c r="EB96" i="7" s="1"/>
  <c r="EC103" i="7" a="1"/>
  <c r="EC103" i="7" s="1"/>
  <c r="EJ106" i="7" a="1"/>
  <c r="EJ106" i="7" s="1"/>
  <c r="EQ109" i="7" a="1"/>
  <c r="EQ109" i="7" s="1"/>
  <c r="EX112" i="7" a="1"/>
  <c r="EX112" i="7" s="1"/>
  <c r="FQ73" i="7" a="1"/>
  <c r="FQ73" i="7" s="1"/>
  <c r="ED79" i="7" a="1"/>
  <c r="ED79" i="7" s="1"/>
  <c r="FD83" i="7" a="1"/>
  <c r="FD83" i="7" s="1"/>
  <c r="EP92" i="7" a="1"/>
  <c r="EP92" i="7" s="1"/>
  <c r="FK96" i="7" a="1"/>
  <c r="FK96" i="7" s="1"/>
  <c r="EZ98" i="7" a="1"/>
  <c r="EZ98" i="7" s="1"/>
  <c r="EN100" i="7" a="1"/>
  <c r="EN100" i="7" s="1"/>
  <c r="FC102" i="7" a="1"/>
  <c r="FC102" i="7" s="1"/>
  <c r="FJ105" i="7" a="1"/>
  <c r="FJ105" i="7" s="1"/>
  <c r="FQ108" i="7" a="1"/>
  <c r="FQ108" i="7" s="1"/>
  <c r="FX111" i="7" a="1"/>
  <c r="FX111" i="7" s="1"/>
  <c r="DV61" i="7" a="1"/>
  <c r="DV61" i="7" s="1"/>
  <c r="EU76" i="7" a="1"/>
  <c r="EU76" i="7" s="1"/>
  <c r="EM83" i="7" a="1"/>
  <c r="EM83" i="7" s="1"/>
  <c r="FT63" i="7" a="1"/>
  <c r="FT63" i="7" s="1"/>
  <c r="FL78" i="7" a="1"/>
  <c r="FL78" i="7" s="1"/>
  <c r="EG85" i="7" a="1"/>
  <c r="EG85" i="7" s="1"/>
  <c r="EA95" i="7" a="1"/>
  <c r="EA95" i="7" s="1"/>
  <c r="EK101" i="7" a="1"/>
  <c r="EK101" i="7" s="1"/>
  <c r="ES104" i="7" a="1"/>
  <c r="ES104" i="7" s="1"/>
  <c r="EZ107" i="7" a="1"/>
  <c r="EZ107" i="7" s="1"/>
  <c r="FG110" i="7" a="1"/>
  <c r="FG110" i="7" s="1"/>
  <c r="FW68" i="7" a="1"/>
  <c r="FW68" i="7" s="1"/>
  <c r="DZ82" i="7" a="1"/>
  <c r="DZ82" i="7" s="1"/>
  <c r="FY92" i="7" a="1"/>
  <c r="FY92" i="7" s="1"/>
  <c r="EF98" i="7" a="1"/>
  <c r="EF98" i="7" s="1"/>
  <c r="FA102" i="7" a="1"/>
  <c r="FA102" i="7" s="1"/>
  <c r="ER107" i="7" a="1"/>
  <c r="ER107" i="7" s="1"/>
  <c r="EG112" i="7" a="1"/>
  <c r="EG112" i="7" s="1"/>
  <c r="EG115" i="7" a="1"/>
  <c r="EG115" i="7" s="1"/>
  <c r="DU117" i="7" a="1"/>
  <c r="DU117" i="7" s="1"/>
  <c r="FU118" i="7" a="1"/>
  <c r="FU118" i="7" s="1"/>
  <c r="FI120" i="7" a="1"/>
  <c r="FI120" i="7" s="1"/>
  <c r="FR122" i="7" a="1"/>
  <c r="FR122" i="7" s="1"/>
  <c r="FY125" i="7" a="1"/>
  <c r="FY125" i="7" s="1"/>
  <c r="DU129" i="7" a="1"/>
  <c r="DU129" i="7" s="1"/>
  <c r="EB132" i="7" a="1"/>
  <c r="EB132" i="7" s="1"/>
  <c r="DW73" i="7" a="1"/>
  <c r="DW73" i="7" s="1"/>
  <c r="EB88" i="7" a="1"/>
  <c r="EB88" i="7" s="1"/>
  <c r="FE96" i="7" a="1"/>
  <c r="FE96" i="7" s="1"/>
  <c r="EI101" i="7" a="1"/>
  <c r="EI101" i="7" s="1"/>
  <c r="FI106" i="7" a="1"/>
  <c r="FI106" i="7" s="1"/>
  <c r="FO110" i="7" a="1"/>
  <c r="FO110" i="7" s="1"/>
  <c r="DV117" i="7" a="1"/>
  <c r="DV117" i="7" s="1"/>
  <c r="FP123" i="7" a="1"/>
  <c r="FP123" i="7" s="1"/>
  <c r="FW126" i="7" a="1"/>
  <c r="FW126" i="7" s="1"/>
  <c r="DS130" i="7" a="1"/>
  <c r="DS130" i="7" s="1"/>
  <c r="DR133" i="7" a="1"/>
  <c r="DR133" i="7" s="1"/>
  <c r="FA134" i="7" a="1"/>
  <c r="FA134" i="7" s="1"/>
  <c r="FS70" i="7" a="1"/>
  <c r="FS70" i="7" s="1"/>
  <c r="EY85" i="7" a="1"/>
  <c r="EY85" i="7" s="1"/>
  <c r="EU94" i="7" a="1"/>
  <c r="EU94" i="7" s="1"/>
  <c r="FU99" i="7" a="1"/>
  <c r="FU99" i="7" s="1"/>
  <c r="DS105" i="7" a="1"/>
  <c r="DS105" i="7" s="1"/>
  <c r="DY109" i="7" a="1"/>
  <c r="DY109" i="7" s="1"/>
  <c r="ES113" i="7" a="1"/>
  <c r="ES113" i="7" s="1"/>
  <c r="FG115" i="7" a="1"/>
  <c r="FG115" i="7" s="1"/>
  <c r="EU117" i="7" a="1"/>
  <c r="EU117" i="7" s="1"/>
  <c r="EI119" i="7" a="1"/>
  <c r="EI119" i="7" s="1"/>
  <c r="DX121" i="7" a="1"/>
  <c r="DX121" i="7" s="1"/>
  <c r="ET123" i="7" a="1"/>
  <c r="ET123" i="7" s="1"/>
  <c r="FA126" i="7" a="1"/>
  <c r="FA126" i="7" s="1"/>
  <c r="FU65" i="7" a="1"/>
  <c r="FU65" i="7" s="1"/>
  <c r="FB80" i="7" a="1"/>
  <c r="FB80" i="7" s="1"/>
  <c r="EI95" i="7" a="1"/>
  <c r="EI95" i="7" s="1"/>
  <c r="FI100" i="7" a="1"/>
  <c r="FI100" i="7" s="1"/>
  <c r="EQ105" i="7" a="1"/>
  <c r="EQ105" i="7" s="1"/>
  <c r="ES110" i="7" a="1"/>
  <c r="ES110" i="7" s="1"/>
  <c r="EC116" i="7" a="1"/>
  <c r="EC116" i="7" s="1"/>
  <c r="FB123" i="7" a="1"/>
  <c r="FB123" i="7" s="1"/>
  <c r="FI126" i="7" a="1"/>
  <c r="FI126" i="7" s="1"/>
  <c r="FP129" i="7" a="1"/>
  <c r="FP129" i="7" s="1"/>
  <c r="FW132" i="7" a="1"/>
  <c r="FW132" i="7" s="1"/>
  <c r="EU134" i="7" a="1"/>
  <c r="EU134" i="7" s="1"/>
  <c r="FL71" i="7" a="1"/>
  <c r="FL71" i="7" s="1"/>
  <c r="FJ84" i="7" a="1"/>
  <c r="FJ84" i="7" s="1"/>
  <c r="EF94" i="7" a="1"/>
  <c r="EF94" i="7" s="1"/>
  <c r="EW99" i="7" a="1"/>
  <c r="EW99" i="7" s="1"/>
  <c r="EI75" i="7" a="1"/>
  <c r="EI75" i="7" s="1"/>
  <c r="FH86" i="7" a="1"/>
  <c r="FH86" i="7" s="1"/>
  <c r="DZ95" i="7" a="1"/>
  <c r="DZ95" i="7" s="1"/>
  <c r="EO100" i="7" a="1"/>
  <c r="EO100" i="7" s="1"/>
  <c r="EV105" i="7" a="1"/>
  <c r="EV105" i="7" s="1"/>
  <c r="FL109" i="7" a="1"/>
  <c r="FL109" i="7" s="1"/>
  <c r="DY114" i="7" a="1"/>
  <c r="DY114" i="7" s="1"/>
  <c r="DX116" i="7" a="1"/>
  <c r="DX116" i="7" s="1"/>
  <c r="FW117" i="7" a="1"/>
  <c r="FW117" i="7" s="1"/>
  <c r="FK119" i="7" a="1"/>
  <c r="FK119" i="7" s="1"/>
  <c r="EZ121" i="7" a="1"/>
  <c r="EZ121" i="7" s="1"/>
  <c r="EM124" i="7" a="1"/>
  <c r="EM124" i="7" s="1"/>
  <c r="ET127" i="7" a="1"/>
  <c r="ET127" i="7" s="1"/>
  <c r="FT76" i="7" a="1"/>
  <c r="FT76" i="7" s="1"/>
  <c r="FQ98" i="7" a="1"/>
  <c r="FQ98" i="7" s="1"/>
  <c r="FG108" i="7" a="1"/>
  <c r="FG108" i="7" s="1"/>
  <c r="FB114" i="7" a="1"/>
  <c r="FB114" i="7" s="1"/>
  <c r="DS120" i="7" a="1"/>
  <c r="DS120" i="7" s="1"/>
  <c r="EE125" i="7" a="1"/>
  <c r="EE125" i="7" s="1"/>
  <c r="EN130" i="7" a="1"/>
  <c r="EN130" i="7" s="1"/>
  <c r="FP55" i="7" a="1"/>
  <c r="FP55" i="7" s="1"/>
  <c r="EH85" i="7" a="1"/>
  <c r="EH85" i="7" s="1"/>
  <c r="EX100" i="7" a="1"/>
  <c r="EX100" i="7" s="1"/>
  <c r="EO106" i="7" a="1"/>
  <c r="EO106" i="7" s="1"/>
  <c r="FK112" i="7" a="1"/>
  <c r="FK112" i="7" s="1"/>
  <c r="FF117" i="7" a="1"/>
  <c r="FF117" i="7" s="1"/>
  <c r="EI56" i="7" a="1"/>
  <c r="EI56" i="7" s="1"/>
  <c r="EI85" i="7" a="1"/>
  <c r="EI85" i="7" s="1"/>
  <c r="FV98" i="7" a="1"/>
  <c r="FV98" i="7" s="1"/>
  <c r="FH106" i="7" a="1"/>
  <c r="FH106" i="7" s="1"/>
  <c r="FD115" i="7" a="1"/>
  <c r="FD115" i="7" s="1"/>
  <c r="DU121" i="7" a="1"/>
  <c r="DU121" i="7" s="1"/>
  <c r="FP125" i="7" a="1"/>
  <c r="FP125" i="7" s="1"/>
  <c r="FW81" i="7" a="1"/>
  <c r="FW81" i="7" s="1"/>
  <c r="EX97" i="7" a="1"/>
  <c r="EX97" i="7" s="1"/>
  <c r="EH105" i="7" a="1"/>
  <c r="EH105" i="7" s="1"/>
  <c r="EJ111" i="7" a="1"/>
  <c r="EJ111" i="7" s="1"/>
  <c r="EG116" i="7" a="1"/>
  <c r="EG116" i="7" s="1"/>
  <c r="EW121" i="7" a="1"/>
  <c r="EW121" i="7" s="1"/>
  <c r="DT80" i="7" a="1"/>
  <c r="DT80" i="7" s="1"/>
  <c r="DZ79" i="7" a="1"/>
  <c r="DZ79" i="7" s="1"/>
  <c r="EN86" i="7" a="1"/>
  <c r="EN86" i="7" s="1"/>
  <c r="FD98" i="7" a="1"/>
  <c r="FD98" i="7" s="1"/>
  <c r="EC104" i="7" a="1"/>
  <c r="EC104" i="7" s="1"/>
  <c r="DU65" i="7" a="1"/>
  <c r="DU65" i="7" s="1"/>
  <c r="FX99" i="7" a="1"/>
  <c r="FX99" i="7" s="1"/>
  <c r="DY111" i="7" a="1"/>
  <c r="DY111" i="7" s="1"/>
  <c r="EM118" i="7" a="1"/>
  <c r="EM118" i="7" s="1"/>
  <c r="FF125" i="7" a="1"/>
  <c r="FF125" i="7" s="1"/>
  <c r="FD131" i="7" a="1"/>
  <c r="FD131" i="7" s="1"/>
  <c r="DU136" i="7" a="1"/>
  <c r="DU136" i="7" s="1"/>
  <c r="FD137" i="7" a="1"/>
  <c r="FD137" i="7" s="1"/>
  <c r="EB139" i="7" a="1"/>
  <c r="EB139" i="7" s="1"/>
  <c r="FK140" i="7" a="1"/>
  <c r="FK140" i="7" s="1"/>
  <c r="FD86" i="7" a="1"/>
  <c r="FD86" i="7" s="1"/>
  <c r="EN106" i="7" a="1"/>
  <c r="EN106" i="7" s="1"/>
  <c r="EJ115" i="7" a="1"/>
  <c r="EJ115" i="7" s="1"/>
  <c r="FA122" i="7" a="1"/>
  <c r="FA122" i="7" s="1"/>
  <c r="EW128" i="7" a="1"/>
  <c r="EW128" i="7" s="1"/>
  <c r="FC132" i="7" a="1"/>
  <c r="FC132" i="7" s="1"/>
  <c r="FA54" i="7" a="1"/>
  <c r="FA54" i="7" s="1"/>
  <c r="FI96" i="7" a="1"/>
  <c r="FI96" i="7" s="1"/>
  <c r="EL107" i="7" a="1"/>
  <c r="EL107" i="7" s="1"/>
  <c r="EI117" i="7" a="1"/>
  <c r="EI117" i="7" s="1"/>
  <c r="FJ123" i="7" a="1"/>
  <c r="FJ123" i="7" s="1"/>
  <c r="FR128" i="7" a="1"/>
  <c r="FR128" i="7" s="1"/>
  <c r="ES134" i="7" a="1"/>
  <c r="ES134" i="7" s="1"/>
  <c r="FD54" i="7" a="1"/>
  <c r="FD54" i="7" s="1"/>
  <c r="DS100" i="7" a="1"/>
  <c r="DS100" i="7" s="1"/>
  <c r="EW113" i="7" a="1"/>
  <c r="EW113" i="7" s="1"/>
  <c r="FQ119" i="7" a="1"/>
  <c r="FQ119" i="7" s="1"/>
  <c r="DZ127" i="7" a="1"/>
  <c r="DZ127" i="7" s="1"/>
  <c r="DQ131" i="7" a="1"/>
  <c r="DQ131" i="7" s="1"/>
  <c r="EK134" i="7" a="1"/>
  <c r="EK134" i="7" s="1"/>
  <c r="FE95" i="7" a="1"/>
  <c r="FE95" i="7" s="1"/>
  <c r="FL74" i="7" a="1"/>
  <c r="FL74" i="7" s="1"/>
  <c r="DY100" i="7" a="1"/>
  <c r="DY100" i="7" s="1"/>
  <c r="EW93" i="7" a="1"/>
  <c r="EW93" i="7" s="1"/>
  <c r="EK104" i="7" a="1"/>
  <c r="EK104" i="7" s="1"/>
  <c r="FI115" i="7" a="1"/>
  <c r="FI115" i="7" s="1"/>
  <c r="EZ123" i="7" a="1"/>
  <c r="EZ123" i="7" s="1"/>
  <c r="EF129" i="7" a="1"/>
  <c r="EF129" i="7" s="1"/>
  <c r="FX134" i="7" a="1"/>
  <c r="FX134" i="7" s="1"/>
  <c r="DT101" i="7" a="1"/>
  <c r="DT101" i="7" s="1"/>
  <c r="DY117" i="7" a="1"/>
  <c r="DY117" i="7" s="1"/>
  <c r="FU128" i="7" a="1"/>
  <c r="FU128" i="7" s="1"/>
  <c r="EF135" i="7" a="1"/>
  <c r="EF135" i="7" s="1"/>
  <c r="EU137" i="7" a="1"/>
  <c r="EU137" i="7" s="1"/>
  <c r="FL139" i="7" a="1"/>
  <c r="FL139" i="7" s="1"/>
  <c r="EK142" i="7" a="1"/>
  <c r="EK142" i="7" s="1"/>
  <c r="FT143" i="7" a="1"/>
  <c r="FT143" i="7" s="1"/>
  <c r="ER145" i="7" a="1"/>
  <c r="ER145" i="7" s="1"/>
  <c r="GA146" i="7" a="1"/>
  <c r="GA146" i="7" s="1"/>
  <c r="EY148" i="7" a="1"/>
  <c r="EY148" i="7" s="1"/>
  <c r="DW150" i="7" a="1"/>
  <c r="DW150" i="7" s="1"/>
  <c r="FF151" i="7" a="1"/>
  <c r="FF151" i="7" s="1"/>
  <c r="ED153" i="7" a="1"/>
  <c r="ED153" i="7" s="1"/>
  <c r="FM154" i="7" a="1"/>
  <c r="FM154" i="7" s="1"/>
  <c r="FB90" i="7" a="1"/>
  <c r="FB90" i="7" s="1"/>
  <c r="EV108" i="7" a="1"/>
  <c r="EV108" i="7" s="1"/>
  <c r="EU118" i="7" a="1"/>
  <c r="EU118" i="7" s="1"/>
  <c r="DX127" i="7" a="1"/>
  <c r="DX127" i="7" s="1"/>
  <c r="FJ132" i="7" a="1"/>
  <c r="FJ132" i="7" s="1"/>
  <c r="FQ140" i="7" a="1"/>
  <c r="FQ140" i="7" s="1"/>
  <c r="EE109" i="7" a="1"/>
  <c r="EE109" i="7" s="1"/>
  <c r="FZ121" i="7" a="1"/>
  <c r="FZ121" i="7" s="1"/>
  <c r="FI129" i="7" a="1"/>
  <c r="FI129" i="7" s="1"/>
  <c r="DY136" i="7" a="1"/>
  <c r="DY136" i="7" s="1"/>
  <c r="DR138" i="7" a="1"/>
  <c r="DR138" i="7" s="1"/>
  <c r="FJ140" i="7" a="1"/>
  <c r="FJ140" i="7" s="1"/>
  <c r="FN142" i="7" a="1"/>
  <c r="FN142" i="7" s="1"/>
  <c r="EL144" i="7" a="1"/>
  <c r="EL144" i="7" s="1"/>
  <c r="FU145" i="7" a="1"/>
  <c r="FU145" i="7" s="1"/>
  <c r="ES147" i="7" a="1"/>
  <c r="ES147" i="7" s="1"/>
  <c r="DQ149" i="7" a="1"/>
  <c r="DQ149" i="7" s="1"/>
  <c r="EZ150" i="7" a="1"/>
  <c r="EZ150" i="7" s="1"/>
  <c r="DX152" i="7" a="1"/>
  <c r="DX152" i="7" s="1"/>
  <c r="FG153" i="7" a="1"/>
  <c r="FG153" i="7" s="1"/>
  <c r="FZ70" i="7" a="1"/>
  <c r="FZ70" i="7" s="1"/>
  <c r="EX108" i="7" a="1"/>
  <c r="EX108" i="7" s="1"/>
  <c r="EX123" i="7" a="1"/>
  <c r="EX123" i="7" s="1"/>
  <c r="ED130" i="7" a="1"/>
  <c r="ED130" i="7" s="1"/>
  <c r="FR134" i="7" a="1"/>
  <c r="FR134" i="7" s="1"/>
  <c r="ER51" i="7" a="1"/>
  <c r="ER51" i="7" s="1"/>
  <c r="FA110" i="7" a="1"/>
  <c r="FA110" i="7" s="1"/>
  <c r="FH57" i="7" a="1"/>
  <c r="FH57" i="7" s="1"/>
  <c r="EC110" i="7" a="1"/>
  <c r="EC110" i="7" s="1"/>
  <c r="EC122" i="7" a="1"/>
  <c r="EC122" i="7" s="1"/>
  <c r="DS129" i="7" a="1"/>
  <c r="DS129" i="7" s="1"/>
  <c r="EM136" i="7" a="1"/>
  <c r="EM136" i="7" s="1"/>
  <c r="ED138" i="7" a="1"/>
  <c r="ED138" i="7" s="1"/>
  <c r="DY141" i="7" a="1"/>
  <c r="DY141" i="7" s="1"/>
  <c r="FX142" i="7" a="1"/>
  <c r="FX142" i="7" s="1"/>
  <c r="EV144" i="7" a="1"/>
  <c r="EV144" i="7" s="1"/>
  <c r="DT146" i="7" a="1"/>
  <c r="DT146" i="7" s="1"/>
  <c r="FC147" i="7" a="1"/>
  <c r="FC147" i="7" s="1"/>
  <c r="EA149" i="7" a="1"/>
  <c r="EA149" i="7" s="1"/>
  <c r="FJ150" i="7" a="1"/>
  <c r="FJ150" i="7" s="1"/>
  <c r="FM88" i="7" a="1"/>
  <c r="FM88" i="7" s="1"/>
  <c r="DQ123" i="7" a="1"/>
  <c r="DQ123" i="7" s="1"/>
  <c r="EH137" i="7" a="1"/>
  <c r="EH137" i="7" s="1"/>
  <c r="EN142" i="7" a="1"/>
  <c r="EN142" i="7" s="1"/>
  <c r="FV147" i="7" a="1"/>
  <c r="FV147" i="7" s="1"/>
  <c r="FI155" i="7" a="1"/>
  <c r="FI155" i="7" s="1"/>
  <c r="FF157" i="7" a="1"/>
  <c r="FF157" i="7" s="1"/>
  <c r="EU159" i="7" a="1"/>
  <c r="EU159" i="7" s="1"/>
  <c r="EI161" i="7" a="1"/>
  <c r="EI161" i="7" s="1"/>
  <c r="DW163" i="7" a="1"/>
  <c r="DW163" i="7" s="1"/>
  <c r="FW164" i="7" a="1"/>
  <c r="FW164" i="7" s="1"/>
  <c r="FK166" i="7" a="1"/>
  <c r="FK166" i="7" s="1"/>
  <c r="EY168" i="7" a="1"/>
  <c r="EY168" i="7" s="1"/>
  <c r="EN170" i="7" a="1"/>
  <c r="EN170" i="7" s="1"/>
  <c r="EB172" i="7" a="1"/>
  <c r="EB172" i="7" s="1"/>
  <c r="GA173" i="7" a="1"/>
  <c r="GA173" i="7" s="1"/>
  <c r="FP175" i="7" a="1"/>
  <c r="FP175" i="7" s="1"/>
  <c r="FA77" i="7" a="1"/>
  <c r="FA77" i="7" s="1"/>
  <c r="FB119" i="7" a="1"/>
  <c r="FB119" i="7" s="1"/>
  <c r="DS131" i="7" a="1"/>
  <c r="DS131" i="7" s="1"/>
  <c r="FI138" i="7" a="1"/>
  <c r="FI138" i="7" s="1"/>
  <c r="FD144" i="7" a="1"/>
  <c r="FD144" i="7" s="1"/>
  <c r="FZ149" i="7" a="1"/>
  <c r="FZ149" i="7" s="1"/>
  <c r="ET153" i="7" a="1"/>
  <c r="ET153" i="7" s="1"/>
  <c r="FR155" i="7" a="1"/>
  <c r="FR155" i="7" s="1"/>
  <c r="EE166" i="7" a="1"/>
  <c r="EE166" i="7" s="1"/>
  <c r="DX177" i="7" a="1"/>
  <c r="DX177" i="7" s="1"/>
  <c r="FZ181" i="7" a="1"/>
  <c r="FZ181" i="7" s="1"/>
  <c r="DV185" i="7" a="1"/>
  <c r="DV185" i="7" s="1"/>
  <c r="EC188" i="7" a="1"/>
  <c r="EC188" i="7" s="1"/>
  <c r="EJ191" i="7" a="1"/>
  <c r="EJ191" i="7" s="1"/>
  <c r="EQ194" i="7" a="1"/>
  <c r="EQ194" i="7" s="1"/>
  <c r="EX197" i="7" a="1"/>
  <c r="EX197" i="7" s="1"/>
  <c r="FE200" i="7" a="1"/>
  <c r="FE200" i="7" s="1"/>
  <c r="EK202" i="7" a="1"/>
  <c r="EK202" i="7" s="1"/>
  <c r="FT203" i="7" a="1"/>
  <c r="FT203" i="7" s="1"/>
  <c r="EF112" i="7" a="1"/>
  <c r="EF112" i="7" s="1"/>
  <c r="FS131" i="7" a="1"/>
  <c r="FS131" i="7" s="1"/>
  <c r="FG139" i="7" a="1"/>
  <c r="FG139" i="7" s="1"/>
  <c r="FP144" i="7" a="1"/>
  <c r="FP144" i="7" s="1"/>
  <c r="EM150" i="7" a="1"/>
  <c r="EM150" i="7" s="1"/>
  <c r="FM156" i="7" a="1"/>
  <c r="FM156" i="7" s="1"/>
  <c r="FB158" i="7" a="1"/>
  <c r="FB158" i="7" s="1"/>
  <c r="EP160" i="7" a="1"/>
  <c r="EP160" i="7" s="1"/>
  <c r="ED162" i="7" a="1"/>
  <c r="ED162" i="7" s="1"/>
  <c r="DS164" i="7" a="1"/>
  <c r="DS164" i="7" s="1"/>
  <c r="FR165" i="7" a="1"/>
  <c r="FR165" i="7" s="1"/>
  <c r="FF167" i="7" a="1"/>
  <c r="FF167" i="7" s="1"/>
  <c r="EU169" i="7" a="1"/>
  <c r="EU169" i="7" s="1"/>
  <c r="EI171" i="7" a="1"/>
  <c r="EI171" i="7" s="1"/>
  <c r="DW173" i="7" a="1"/>
  <c r="DW173" i="7" s="1"/>
  <c r="FW174" i="7" a="1"/>
  <c r="FW174" i="7" s="1"/>
  <c r="FK176" i="7" a="1"/>
  <c r="FK176" i="7" s="1"/>
  <c r="EY178" i="7" a="1"/>
  <c r="EY178" i="7" s="1"/>
  <c r="FK102" i="7" a="1"/>
  <c r="FK102" i="7" s="1"/>
  <c r="FF123" i="7" a="1"/>
  <c r="FF123" i="7" s="1"/>
  <c r="FT131" i="7" a="1"/>
  <c r="FT131" i="7" s="1"/>
  <c r="EM141" i="7" a="1"/>
  <c r="EM141" i="7" s="1"/>
  <c r="FV146" i="7" a="1"/>
  <c r="FV146" i="7" s="1"/>
  <c r="DU152" i="7" a="1"/>
  <c r="DU152" i="7" s="1"/>
  <c r="EG154" i="7" a="1"/>
  <c r="EG154" i="7" s="1"/>
  <c r="FU159" i="7" a="1"/>
  <c r="FU159" i="7" s="1"/>
  <c r="FN170" i="7" a="1"/>
  <c r="FN170" i="7" s="1"/>
  <c r="EC180" i="7" a="1"/>
  <c r="EC180" i="7" s="1"/>
  <c r="EJ183" i="7" a="1"/>
  <c r="EJ183" i="7" s="1"/>
  <c r="EQ186" i="7" a="1"/>
  <c r="EQ186" i="7" s="1"/>
  <c r="EX189" i="7" a="1"/>
  <c r="EX189" i="7" s="1"/>
  <c r="FE192" i="7" a="1"/>
  <c r="FE192" i="7" s="1"/>
  <c r="FL195" i="7" a="1"/>
  <c r="FL195" i="7" s="1"/>
  <c r="FC79" i="7" a="1"/>
  <c r="FC79" i="7" s="1"/>
  <c r="EC123" i="7" a="1"/>
  <c r="EC123" i="7" s="1"/>
  <c r="FU134" i="7" a="1"/>
  <c r="FU134" i="7" s="1"/>
  <c r="FO140" i="7" a="1"/>
  <c r="FO140" i="7" s="1"/>
  <c r="EX73" i="7" a="1"/>
  <c r="EX73" i="7" s="1"/>
  <c r="FB98" i="7" a="1"/>
  <c r="FB98" i="7" s="1"/>
  <c r="ED122" i="7" a="1"/>
  <c r="ED122" i="7" s="1"/>
  <c r="FQ132" i="7" a="1"/>
  <c r="FQ132" i="7" s="1"/>
  <c r="EV140" i="7" a="1"/>
  <c r="EV140" i="7" s="1"/>
  <c r="DV146" i="7" a="1"/>
  <c r="DV146" i="7" s="1"/>
  <c r="FD151" i="7" a="1"/>
  <c r="FD151" i="7" s="1"/>
  <c r="ED157" i="7" a="1"/>
  <c r="ED157" i="7" s="1"/>
  <c r="DS159" i="7" a="1"/>
  <c r="DS159" i="7" s="1"/>
  <c r="FR160" i="7" a="1"/>
  <c r="FR160" i="7" s="1"/>
  <c r="FF162" i="7" a="1"/>
  <c r="FF162" i="7" s="1"/>
  <c r="EU164" i="7" a="1"/>
  <c r="EU164" i="7" s="1"/>
  <c r="EI166" i="7" a="1"/>
  <c r="EI166" i="7" s="1"/>
  <c r="DW168" i="7" a="1"/>
  <c r="DW168" i="7" s="1"/>
  <c r="FW169" i="7" a="1"/>
  <c r="FW169" i="7" s="1"/>
  <c r="FK171" i="7" a="1"/>
  <c r="FK171" i="7" s="1"/>
  <c r="EY173" i="7" a="1"/>
  <c r="EY173" i="7" s="1"/>
  <c r="EN175" i="7" a="1"/>
  <c r="EN175" i="7" s="1"/>
  <c r="EY83" i="7" a="1"/>
  <c r="EY83" i="7" s="1"/>
  <c r="DZ136" i="7" a="1"/>
  <c r="DZ136" i="7" s="1"/>
  <c r="DS145" i="7" a="1"/>
  <c r="DS145" i="7" s="1"/>
  <c r="FE150" i="7" a="1"/>
  <c r="FE150" i="7" s="1"/>
  <c r="FC156" i="7" a="1"/>
  <c r="FC156" i="7" s="1"/>
  <c r="FS161" i="7" a="1"/>
  <c r="FS161" i="7" s="1"/>
  <c r="ES119" i="7" a="1"/>
  <c r="ES119" i="7" s="1"/>
  <c r="FX136" i="7" a="1"/>
  <c r="FX136" i="7" s="1"/>
  <c r="EI145" i="7" a="1"/>
  <c r="EI145" i="7" s="1"/>
  <c r="EV152" i="7" a="1"/>
  <c r="EV152" i="7" s="1"/>
  <c r="FR157" i="7" a="1"/>
  <c r="FR157" i="7" s="1"/>
  <c r="FA36" i="7" a="1"/>
  <c r="FA36" i="7" s="1"/>
  <c r="FU49" i="7" a="1"/>
  <c r="FU49" i="7" s="1"/>
  <c r="FB45" i="7" a="1"/>
  <c r="FB45" i="7" s="1"/>
  <c r="EF48" i="7" a="1"/>
  <c r="EF48" i="7" s="1"/>
  <c r="EQ39" i="7" a="1"/>
  <c r="EQ39" i="7" s="1"/>
  <c r="DQ29" i="7" a="1"/>
  <c r="DQ29" i="7" s="1"/>
  <c r="DX30" i="7" a="1"/>
  <c r="DX30" i="7" s="1"/>
  <c r="FC55" i="7" a="1"/>
  <c r="FC55" i="7" s="1"/>
  <c r="DV42" i="7" a="1"/>
  <c r="DV42" i="7" s="1"/>
  <c r="EH52" i="7" a="1"/>
  <c r="EH52" i="7" s="1"/>
  <c r="EY54" i="7" a="1"/>
  <c r="EY54" i="7" s="1"/>
  <c r="FS42" i="7" a="1"/>
  <c r="FS42" i="7" s="1"/>
  <c r="ED33" i="7" a="1"/>
  <c r="ED33" i="7" s="1"/>
  <c r="FK42" i="7" a="1"/>
  <c r="FK42" i="7" s="1"/>
  <c r="DX62" i="7" a="1"/>
  <c r="DX62" i="7" s="1"/>
  <c r="EP44" i="7" a="1"/>
  <c r="EP44" i="7" s="1"/>
  <c r="FP60" i="7" a="1"/>
  <c r="FP60" i="7" s="1"/>
  <c r="FW48" i="7" a="1"/>
  <c r="FW48" i="7" s="1"/>
  <c r="FA63" i="7" a="1"/>
  <c r="FA63" i="7" s="1"/>
  <c r="DX52" i="7" a="1"/>
  <c r="DX52" i="7" s="1"/>
  <c r="DZ37" i="7" a="1"/>
  <c r="DZ37" i="7" s="1"/>
  <c r="DR54" i="7" a="1"/>
  <c r="DR54" i="7" s="1"/>
  <c r="DR45" i="7" a="1"/>
  <c r="DR45" i="7" s="1"/>
  <c r="FK64" i="7" a="1"/>
  <c r="FK64" i="7" s="1"/>
  <c r="ES73" i="7" a="1"/>
  <c r="ES73" i="7" s="1"/>
  <c r="FH55" i="7" a="1"/>
  <c r="FH55" i="7" s="1"/>
  <c r="ET46" i="7" a="1"/>
  <c r="ET46" i="7" s="1"/>
  <c r="ES65" i="7" a="1"/>
  <c r="ES65" i="7" s="1"/>
  <c r="FH73" i="7" a="1"/>
  <c r="FH73" i="7" s="1"/>
  <c r="FV57" i="7" a="1"/>
  <c r="FV57" i="7" s="1"/>
  <c r="EA50" i="7" a="1"/>
  <c r="EA50" i="7" s="1"/>
  <c r="DW57" i="7" a="1"/>
  <c r="DW57" i="7" s="1"/>
  <c r="FK70" i="7" a="1"/>
  <c r="FK70" i="7" s="1"/>
  <c r="FP58" i="7" a="1"/>
  <c r="FP58" i="7" s="1"/>
  <c r="DY80" i="7" a="1"/>
  <c r="DY80" i="7" s="1"/>
  <c r="EN92" i="7" a="1"/>
  <c r="EN92" i="7" s="1"/>
  <c r="DZ72" i="7" a="1"/>
  <c r="DZ72" i="7" s="1"/>
  <c r="FT79" i="7" a="1"/>
  <c r="FT79" i="7" s="1"/>
  <c r="DT89" i="7" a="1"/>
  <c r="DT89" i="7" s="1"/>
  <c r="FQ63" i="7" a="1"/>
  <c r="FQ63" i="7" s="1"/>
  <c r="ET78" i="7" a="1"/>
  <c r="ET78" i="7" s="1"/>
  <c r="FX88" i="7" a="1"/>
  <c r="FX88" i="7" s="1"/>
  <c r="FJ94" i="7" a="1"/>
  <c r="FJ94" i="7" s="1"/>
  <c r="FA61" i="7" a="1"/>
  <c r="FA61" i="7" s="1"/>
  <c r="DW75" i="7" a="1"/>
  <c r="DW75" i="7" s="1"/>
  <c r="DS80" i="7" a="1"/>
  <c r="DS80" i="7" s="1"/>
  <c r="FW83" i="7" a="1"/>
  <c r="FW83" i="7" s="1"/>
  <c r="EZ54" i="7" a="1"/>
  <c r="EZ54" i="7" s="1"/>
  <c r="DS53" i="7" a="1"/>
  <c r="DS53" i="7" s="1"/>
  <c r="EI68" i="7" a="1"/>
  <c r="EI68" i="7" s="1"/>
  <c r="EY73" i="7" a="1"/>
  <c r="EY73" i="7" s="1"/>
  <c r="EK84" i="7" a="1"/>
  <c r="EK84" i="7" s="1"/>
  <c r="DS88" i="7" a="1"/>
  <c r="DS88" i="7" s="1"/>
  <c r="FS91" i="7" a="1"/>
  <c r="FS91" i="7" s="1"/>
  <c r="EH57" i="7" a="1"/>
  <c r="EH57" i="7" s="1"/>
  <c r="FT73" i="7" a="1"/>
  <c r="FT73" i="7" s="1"/>
  <c r="FR79" i="7" a="1"/>
  <c r="FR79" i="7" s="1"/>
  <c r="FW85" i="7" a="1"/>
  <c r="FW85" i="7" s="1"/>
  <c r="FE90" i="7" a="1"/>
  <c r="FE90" i="7" s="1"/>
  <c r="FI94" i="7" a="1"/>
  <c r="FI94" i="7" s="1"/>
  <c r="DV62" i="7" a="1"/>
  <c r="DV62" i="7" s="1"/>
  <c r="EO74" i="7" a="1"/>
  <c r="EO74" i="7" s="1"/>
  <c r="EU80" i="7" a="1"/>
  <c r="EU80" i="7" s="1"/>
  <c r="EZ85" i="7" a="1"/>
  <c r="EZ85" i="7" s="1"/>
  <c r="FQ91" i="7" a="1"/>
  <c r="FQ91" i="7" s="1"/>
  <c r="EB23" i="7" a="1"/>
  <c r="EB23" i="7" s="1"/>
  <c r="ED62" i="7" a="1"/>
  <c r="ED62" i="7" s="1"/>
  <c r="FB71" i="7" a="1"/>
  <c r="FB71" i="7" s="1"/>
  <c r="DT78" i="7" a="1"/>
  <c r="DT78" i="7" s="1"/>
  <c r="EV83" i="7" a="1"/>
  <c r="EV83" i="7" s="1"/>
  <c r="EK90" i="7" a="1"/>
  <c r="EK90" i="7" s="1"/>
  <c r="ED94" i="7" a="1"/>
  <c r="ED94" i="7" s="1"/>
  <c r="FD59" i="7" a="1"/>
  <c r="FD59" i="7" s="1"/>
  <c r="FS74" i="7" a="1"/>
  <c r="FS74" i="7" s="1"/>
  <c r="EJ80" i="7" a="1"/>
  <c r="EJ80" i="7" s="1"/>
  <c r="EQ85" i="7" a="1"/>
  <c r="EQ85" i="7" s="1"/>
  <c r="FQ90" i="7" a="1"/>
  <c r="FQ90" i="7" s="1"/>
  <c r="FN95" i="7" a="1"/>
  <c r="FN95" i="7" s="1"/>
  <c r="FF55" i="7" a="1"/>
  <c r="FF55" i="7" s="1"/>
  <c r="DV67" i="7" a="1"/>
  <c r="DV67" i="7" s="1"/>
  <c r="EU51" i="7" a="1"/>
  <c r="EU51" i="7" s="1"/>
  <c r="FZ64" i="7" a="1"/>
  <c r="FZ64" i="7" s="1"/>
  <c r="EG72" i="7" a="1"/>
  <c r="EG72" i="7" s="1"/>
  <c r="EL77" i="7" a="1"/>
  <c r="EL77" i="7" s="1"/>
  <c r="EB82" i="7" a="1"/>
  <c r="EB82" i="7" s="1"/>
  <c r="EL87" i="7" a="1"/>
  <c r="EL87" i="7" s="1"/>
  <c r="FU91" i="7" a="1"/>
  <c r="FU91" i="7" s="1"/>
  <c r="EG52" i="7" a="1"/>
  <c r="EG52" i="7" s="1"/>
  <c r="FM69" i="7" a="1"/>
  <c r="FM69" i="7" s="1"/>
  <c r="EX79" i="7" a="1"/>
  <c r="EX79" i="7" s="1"/>
  <c r="DU85" i="7" a="1"/>
  <c r="DU85" i="7" s="1"/>
  <c r="DQ93" i="7" a="1"/>
  <c r="DQ93" i="7" s="1"/>
  <c r="GA100" i="7" a="1"/>
  <c r="GA100" i="7" s="1"/>
  <c r="FK104" i="7" a="1"/>
  <c r="FK104" i="7" s="1"/>
  <c r="ED108" i="7" a="1"/>
  <c r="ED108" i="7" s="1"/>
  <c r="EZ111" i="7" a="1"/>
  <c r="EZ111" i="7" s="1"/>
  <c r="EW63" i="7" a="1"/>
  <c r="EW63" i="7" s="1"/>
  <c r="EN76" i="7" a="1"/>
  <c r="EN76" i="7" s="1"/>
  <c r="FC83" i="7" a="1"/>
  <c r="FC83" i="7" s="1"/>
  <c r="FO90" i="7" a="1"/>
  <c r="FO90" i="7" s="1"/>
  <c r="ET96" i="7" a="1"/>
  <c r="ET96" i="7" s="1"/>
  <c r="EH98" i="7" a="1"/>
  <c r="EH98" i="7" s="1"/>
  <c r="DV100" i="7" a="1"/>
  <c r="DV100" i="7" s="1"/>
  <c r="DX102" i="7" a="1"/>
  <c r="DX102" i="7" s="1"/>
  <c r="EE105" i="7" a="1"/>
  <c r="EE105" i="7" s="1"/>
  <c r="EL108" i="7" a="1"/>
  <c r="EL108" i="7" s="1"/>
  <c r="ES111" i="7" a="1"/>
  <c r="ES111" i="7" s="1"/>
  <c r="FE113" i="7" a="1"/>
  <c r="FE113" i="7" s="1"/>
  <c r="FV60" i="7" a="1"/>
  <c r="FV60" i="7" s="1"/>
  <c r="EN77" i="7" a="1"/>
  <c r="EN77" i="7" s="1"/>
  <c r="FQ86" i="7" a="1"/>
  <c r="FQ86" i="7" s="1"/>
  <c r="EN91" i="7" a="1"/>
  <c r="EN91" i="7" s="1"/>
  <c r="GA96" i="7" a="1"/>
  <c r="GA96" i="7" s="1"/>
  <c r="EK103" i="7" a="1"/>
  <c r="EK103" i="7" s="1"/>
  <c r="ER106" i="7" a="1"/>
  <c r="ER106" i="7" s="1"/>
  <c r="EY109" i="7" a="1"/>
  <c r="EY109" i="7" s="1"/>
  <c r="FC28" i="7" a="1"/>
  <c r="FC28" i="7" s="1"/>
  <c r="EC74" i="7" a="1"/>
  <c r="EC74" i="7" s="1"/>
  <c r="FA79" i="7" a="1"/>
  <c r="FA79" i="7" s="1"/>
  <c r="FZ83" i="7" a="1"/>
  <c r="FZ83" i="7" s="1"/>
  <c r="FS92" i="7" a="1"/>
  <c r="FS92" i="7" s="1"/>
  <c r="FS96" i="7" a="1"/>
  <c r="FS96" i="7" s="1"/>
  <c r="FH98" i="7" a="1"/>
  <c r="FH98" i="7" s="1"/>
  <c r="EV100" i="7" a="1"/>
  <c r="EV100" i="7" s="1"/>
  <c r="FR102" i="7" a="1"/>
  <c r="FR102" i="7" s="1"/>
  <c r="FY105" i="7" a="1"/>
  <c r="FY105" i="7" s="1"/>
  <c r="DU109" i="7" a="1"/>
  <c r="DU109" i="7" s="1"/>
  <c r="EB112" i="7" a="1"/>
  <c r="EB112" i="7" s="1"/>
  <c r="FX61" i="7" a="1"/>
  <c r="FX61" i="7" s="1"/>
  <c r="FL76" i="7" a="1"/>
  <c r="FL76" i="7" s="1"/>
  <c r="EI45" i="7" a="1"/>
  <c r="EI45" i="7" s="1"/>
  <c r="FA64" i="7" a="1"/>
  <c r="FA64" i="7" s="1"/>
  <c r="DS79" i="7" a="1"/>
  <c r="DS79" i="7" s="1"/>
  <c r="EW85" i="7" a="1"/>
  <c r="EW85" i="7" s="1"/>
  <c r="EJ95" i="7" a="1"/>
  <c r="EJ95" i="7" s="1"/>
  <c r="FA101" i="7" a="1"/>
  <c r="FA101" i="7" s="1"/>
  <c r="FH104" i="7" a="1"/>
  <c r="FH104" i="7" s="1"/>
  <c r="FO107" i="7" a="1"/>
  <c r="FO107" i="7" s="1"/>
  <c r="FV110" i="7" a="1"/>
  <c r="FV110" i="7" s="1"/>
  <c r="FS69" i="7" a="1"/>
  <c r="FS69" i="7" s="1"/>
  <c r="FB82" i="7" a="1"/>
  <c r="FB82" i="7" s="1"/>
  <c r="EG93" i="7" a="1"/>
  <c r="EG93" i="7" s="1"/>
  <c r="FR98" i="7" a="1"/>
  <c r="FR98" i="7" s="1"/>
  <c r="FN102" i="7" a="1"/>
  <c r="FN102" i="7" s="1"/>
  <c r="DQ108" i="7" a="1"/>
  <c r="DQ108" i="7" s="1"/>
  <c r="FD112" i="7" a="1"/>
  <c r="FD112" i="7" s="1"/>
  <c r="EO115" i="7" a="1"/>
  <c r="EO115" i="7" s="1"/>
  <c r="ED117" i="7" a="1"/>
  <c r="ED117" i="7" s="1"/>
  <c r="DR119" i="7" a="1"/>
  <c r="DR119" i="7" s="1"/>
  <c r="FQ120" i="7" a="1"/>
  <c r="FQ120" i="7" s="1"/>
  <c r="FZ122" i="7" a="1"/>
  <c r="FZ122" i="7" s="1"/>
  <c r="DV126" i="7" a="1"/>
  <c r="DV126" i="7" s="1"/>
  <c r="EC129" i="7" a="1"/>
  <c r="EC129" i="7" s="1"/>
  <c r="EJ132" i="7" a="1"/>
  <c r="EJ132" i="7" s="1"/>
  <c r="EN74" i="7" a="1"/>
  <c r="EN74" i="7" s="1"/>
  <c r="FC88" i="7" a="1"/>
  <c r="FC88" i="7" s="1"/>
  <c r="FQ96" i="7" a="1"/>
  <c r="FQ96" i="7" s="1"/>
  <c r="EU101" i="7" a="1"/>
  <c r="EU101" i="7" s="1"/>
  <c r="FT106" i="7" a="1"/>
  <c r="FT106" i="7" s="1"/>
  <c r="EA111" i="7" a="1"/>
  <c r="EA111" i="7" s="1"/>
  <c r="FS117" i="7" a="1"/>
  <c r="FS117" i="7" s="1"/>
  <c r="DT124" i="7" a="1"/>
  <c r="DT124" i="7" s="1"/>
  <c r="EA127" i="7" a="1"/>
  <c r="EA127" i="7" s="1"/>
  <c r="EH130" i="7" a="1"/>
  <c r="EH130" i="7" s="1"/>
  <c r="DY133" i="7" a="1"/>
  <c r="DY133" i="7" s="1"/>
  <c r="FH134" i="7" a="1"/>
  <c r="FH134" i="7" s="1"/>
  <c r="FR73" i="7" a="1"/>
  <c r="FR73" i="7" s="1"/>
  <c r="ET86" i="7" a="1"/>
  <c r="ET86" i="7" s="1"/>
  <c r="FL95" i="7" a="1"/>
  <c r="FL95" i="7" s="1"/>
  <c r="DU100" i="7" a="1"/>
  <c r="DU100" i="7" s="1"/>
  <c r="ED105" i="7" a="1"/>
  <c r="ED105" i="7" s="1"/>
  <c r="EV109" i="7" a="1"/>
  <c r="EV109" i="7" s="1"/>
  <c r="FM113" i="7" a="1"/>
  <c r="FM113" i="7" s="1"/>
  <c r="FO115" i="7" a="1"/>
  <c r="FO115" i="7" s="1"/>
  <c r="FC117" i="7" a="1"/>
  <c r="FC117" i="7" s="1"/>
  <c r="ER119" i="7" a="1"/>
  <c r="ER119" i="7" s="1"/>
  <c r="EF121" i="7" a="1"/>
  <c r="EF121" i="7" s="1"/>
  <c r="FI123" i="7" a="1"/>
  <c r="FI123" i="7" s="1"/>
  <c r="FP126" i="7" a="1"/>
  <c r="FP126" i="7" s="1"/>
  <c r="DW67" i="7" a="1"/>
  <c r="DW67" i="7" s="1"/>
  <c r="DR81" i="7" a="1"/>
  <c r="DR81" i="7" s="1"/>
  <c r="EW95" i="7" a="1"/>
  <c r="EW95" i="7" s="1"/>
  <c r="DW101" i="7" a="1"/>
  <c r="DW101" i="7" s="1"/>
  <c r="GA105" i="7" a="1"/>
  <c r="GA105" i="7" s="1"/>
  <c r="FE110" i="7" a="1"/>
  <c r="FE110" i="7" s="1"/>
  <c r="FZ116" i="7" a="1"/>
  <c r="FZ116" i="7" s="1"/>
  <c r="FQ123" i="7" a="1"/>
  <c r="FQ123" i="7" s="1"/>
  <c r="FX126" i="7" a="1"/>
  <c r="FX126" i="7" s="1"/>
  <c r="DT130" i="7" a="1"/>
  <c r="DT130" i="7" s="1"/>
  <c r="DS133" i="7" a="1"/>
  <c r="DS133" i="7" s="1"/>
  <c r="FB134" i="7" a="1"/>
  <c r="FB134" i="7" s="1"/>
  <c r="DU75" i="7" a="1"/>
  <c r="DU75" i="7" s="1"/>
  <c r="EB85" i="7" a="1"/>
  <c r="EB85" i="7" s="1"/>
  <c r="EW94" i="7" a="1"/>
  <c r="EW94" i="7" s="1"/>
  <c r="EG37" i="7" a="1"/>
  <c r="EG37" i="7" s="1"/>
  <c r="EK76" i="7" a="1"/>
  <c r="EK76" i="7" s="1"/>
  <c r="EB87" i="7" a="1"/>
  <c r="EB87" i="7" s="1"/>
  <c r="EN95" i="7" a="1"/>
  <c r="EN95" i="7" s="1"/>
  <c r="FA100" i="7" a="1"/>
  <c r="FA100" i="7" s="1"/>
  <c r="FG105" i="7" a="1"/>
  <c r="FG105" i="7" s="1"/>
  <c r="FY109" i="7" a="1"/>
  <c r="FY109" i="7" s="1"/>
  <c r="ER114" i="7" a="1"/>
  <c r="ER114" i="7" s="1"/>
  <c r="EF116" i="7" a="1"/>
  <c r="EF116" i="7" s="1"/>
  <c r="DT118" i="7" a="1"/>
  <c r="DT118" i="7" s="1"/>
  <c r="FT119" i="7" a="1"/>
  <c r="FT119" i="7" s="1"/>
  <c r="FH121" i="7" a="1"/>
  <c r="FH121" i="7" s="1"/>
  <c r="FB124" i="7" a="1"/>
  <c r="FB124" i="7" s="1"/>
  <c r="FI127" i="7" a="1"/>
  <c r="FI127" i="7" s="1"/>
  <c r="FJ80" i="7" a="1"/>
  <c r="FJ80" i="7" s="1"/>
  <c r="ED99" i="7" a="1"/>
  <c r="ED99" i="7" s="1"/>
  <c r="GA108" i="7" a="1"/>
  <c r="GA108" i="7" s="1"/>
  <c r="ER115" i="7" a="1"/>
  <c r="ER115" i="7" s="1"/>
  <c r="FT120" i="7" a="1"/>
  <c r="FT120" i="7" s="1"/>
  <c r="FB125" i="7" a="1"/>
  <c r="FB125" i="7" s="1"/>
  <c r="EY130" i="7" a="1"/>
  <c r="EY130" i="7" s="1"/>
  <c r="EL59" i="7" a="1"/>
  <c r="EL59" i="7" s="1"/>
  <c r="FU85" i="7" a="1"/>
  <c r="FU85" i="7" s="1"/>
  <c r="EA101" i="7" a="1"/>
  <c r="EA101" i="7" s="1"/>
  <c r="FE106" i="7" a="1"/>
  <c r="FE106" i="7" s="1"/>
  <c r="DQ113" i="7" a="1"/>
  <c r="DQ113" i="7" s="1"/>
  <c r="FQ117" i="7" a="1"/>
  <c r="FQ117" i="7" s="1"/>
  <c r="EM59" i="7" a="1"/>
  <c r="EM59" i="7" s="1"/>
  <c r="FB87" i="7" a="1"/>
  <c r="FB87" i="7" s="1"/>
  <c r="FC99" i="7" a="1"/>
  <c r="FC99" i="7" s="1"/>
  <c r="GA106" i="7" a="1"/>
  <c r="GA106" i="7" s="1"/>
  <c r="ET116" i="7" a="1"/>
  <c r="ET116" i="7" s="1"/>
  <c r="FV121" i="7" a="1"/>
  <c r="FV121" i="7" s="1"/>
  <c r="EB126" i="7" a="1"/>
  <c r="EB126" i="7" s="1"/>
  <c r="FG83" i="7" a="1"/>
  <c r="FG83" i="7" s="1"/>
  <c r="FQ97" i="7" a="1"/>
  <c r="FQ97" i="7" s="1"/>
  <c r="EY105" i="7" a="1"/>
  <c r="EY105" i="7" s="1"/>
  <c r="FE111" i="7" a="1"/>
  <c r="FE111" i="7" s="1"/>
  <c r="FT116" i="7" a="1"/>
  <c r="FT116" i="7" s="1"/>
  <c r="FI121" i="7" a="1"/>
  <c r="FI121" i="7" s="1"/>
  <c r="FR82" i="7" a="1"/>
  <c r="FR82" i="7" s="1"/>
  <c r="DW80" i="7" a="1"/>
  <c r="DW80" i="7" s="1"/>
  <c r="FV87" i="7" a="1"/>
  <c r="FV87" i="7" s="1"/>
  <c r="EO99" i="7" a="1"/>
  <c r="EO99" i="7" s="1"/>
  <c r="FN104" i="7" a="1"/>
  <c r="FN104" i="7" s="1"/>
  <c r="EJ76" i="7" a="1"/>
  <c r="EJ76" i="7" s="1"/>
  <c r="EP100" i="7" a="1"/>
  <c r="EP100" i="7" s="1"/>
  <c r="EV111" i="7" a="1"/>
  <c r="EV111" i="7" s="1"/>
  <c r="FC118" i="7" a="1"/>
  <c r="FC118" i="7" s="1"/>
  <c r="FT125" i="7" a="1"/>
  <c r="FT125" i="7" s="1"/>
  <c r="FN131" i="7" a="1"/>
  <c r="FN131" i="7" s="1"/>
  <c r="EB136" i="7" a="1"/>
  <c r="EB136" i="7" s="1"/>
  <c r="FK137" i="7" a="1"/>
  <c r="FK137" i="7" s="1"/>
  <c r="EI139" i="7" a="1"/>
  <c r="EI139" i="7" s="1"/>
  <c r="FR140" i="7" a="1"/>
  <c r="FR140" i="7" s="1"/>
  <c r="FU87" i="7" a="1"/>
  <c r="FU87" i="7" s="1"/>
  <c r="FQ106" i="7" a="1"/>
  <c r="FQ106" i="7" s="1"/>
  <c r="FT115" i="7" a="1"/>
  <c r="FT115" i="7" s="1"/>
  <c r="DT123" i="7" a="1"/>
  <c r="DT123" i="7" s="1"/>
  <c r="FG128" i="7" a="1"/>
  <c r="FG128" i="7" s="1"/>
  <c r="FM132" i="7" a="1"/>
  <c r="FM132" i="7" s="1"/>
  <c r="EP65" i="7" a="1"/>
  <c r="EP65" i="7" s="1"/>
  <c r="EK97" i="7" a="1"/>
  <c r="EK97" i="7" s="1"/>
  <c r="FM107" i="7" a="1"/>
  <c r="FM107" i="7" s="1"/>
  <c r="EZ117" i="7" a="1"/>
  <c r="EZ117" i="7" s="1"/>
  <c r="FV123" i="7" a="1"/>
  <c r="FV123" i="7" s="1"/>
  <c r="DR129" i="7" a="1"/>
  <c r="DR129" i="7" s="1"/>
  <c r="FC134" i="7" a="1"/>
  <c r="FC134" i="7" s="1"/>
  <c r="FN60" i="7" a="1"/>
  <c r="FN60" i="7" s="1"/>
  <c r="ES100" i="7" a="1"/>
  <c r="ES100" i="7" s="1"/>
  <c r="FQ113" i="7" a="1"/>
  <c r="FQ113" i="7" s="1"/>
  <c r="DX122" i="7" a="1"/>
  <c r="DX122" i="7" s="1"/>
  <c r="FL127" i="7" a="1"/>
  <c r="FL127" i="7" s="1"/>
  <c r="EA131" i="7" a="1"/>
  <c r="EA131" i="7" s="1"/>
  <c r="FL134" i="7" a="1"/>
  <c r="FL134" i="7" s="1"/>
  <c r="FP96" i="7" a="1"/>
  <c r="FP96" i="7" s="1"/>
  <c r="FP76" i="7" a="1"/>
  <c r="FP76" i="7" s="1"/>
  <c r="FB100" i="7" a="1"/>
  <c r="FB100" i="7" s="1"/>
  <c r="FP95" i="7" a="1"/>
  <c r="FP95" i="7" s="1"/>
  <c r="EA106" i="7" a="1"/>
  <c r="EA106" i="7" s="1"/>
  <c r="FY115" i="7" a="1"/>
  <c r="FY115" i="7" s="1"/>
  <c r="EE124" i="7" a="1"/>
  <c r="EE124" i="7" s="1"/>
  <c r="EZ130" i="7" a="1"/>
  <c r="EZ130" i="7" s="1"/>
  <c r="ED135" i="7" a="1"/>
  <c r="ED135" i="7" s="1"/>
  <c r="FZ101" i="7" a="1"/>
  <c r="FZ101" i="7" s="1"/>
  <c r="EW117" i="7" a="1"/>
  <c r="EW117" i="7" s="1"/>
  <c r="EO129" i="7" a="1"/>
  <c r="EO129" i="7" s="1"/>
  <c r="ER135" i="7" a="1"/>
  <c r="ER135" i="7" s="1"/>
  <c r="FC137" i="7" a="1"/>
  <c r="FC137" i="7" s="1"/>
  <c r="GA139" i="7" a="1"/>
  <c r="GA139" i="7" s="1"/>
  <c r="ER142" i="7" a="1"/>
  <c r="ER142" i="7" s="1"/>
  <c r="GA143" i="7" a="1"/>
  <c r="GA143" i="7" s="1"/>
  <c r="EY145" i="7" a="1"/>
  <c r="EY145" i="7" s="1"/>
  <c r="DW147" i="7" a="1"/>
  <c r="DW147" i="7" s="1"/>
  <c r="FF148" i="7" a="1"/>
  <c r="FF148" i="7" s="1"/>
  <c r="ED150" i="7" a="1"/>
  <c r="ED150" i="7" s="1"/>
  <c r="FM151" i="7" a="1"/>
  <c r="FM151" i="7" s="1"/>
  <c r="EK153" i="7" a="1"/>
  <c r="EK153" i="7" s="1"/>
  <c r="FT154" i="7" a="1"/>
  <c r="FT154" i="7" s="1"/>
  <c r="FL92" i="7" a="1"/>
  <c r="FL92" i="7" s="1"/>
  <c r="ED109" i="7" a="1"/>
  <c r="ED109" i="7" s="1"/>
  <c r="FL119" i="7" a="1"/>
  <c r="FL119" i="7" s="1"/>
  <c r="ES127" i="7" a="1"/>
  <c r="ES127" i="7" s="1"/>
  <c r="EC133" i="7" a="1"/>
  <c r="EC133" i="7" s="1"/>
  <c r="EC141" i="7" a="1"/>
  <c r="EC141" i="7" s="1"/>
  <c r="FP109" i="7" a="1"/>
  <c r="FP109" i="7" s="1"/>
  <c r="EQ122" i="7" a="1"/>
  <c r="EQ122" i="7" s="1"/>
  <c r="FX129" i="7" a="1"/>
  <c r="FX129" i="7" s="1"/>
  <c r="EH136" i="7" a="1"/>
  <c r="EH136" i="7" s="1"/>
  <c r="DZ138" i="7" a="1"/>
  <c r="DZ138" i="7" s="1"/>
  <c r="DV141" i="7" a="1"/>
  <c r="DV141" i="7" s="1"/>
  <c r="FU142" i="7" a="1"/>
  <c r="FU142" i="7" s="1"/>
  <c r="ES144" i="7" a="1"/>
  <c r="ES144" i="7" s="1"/>
  <c r="DQ146" i="7" a="1"/>
  <c r="DQ146" i="7" s="1"/>
  <c r="EZ147" i="7" a="1"/>
  <c r="EZ147" i="7" s="1"/>
  <c r="DX149" i="7" a="1"/>
  <c r="DX149" i="7" s="1"/>
  <c r="FG150" i="7" a="1"/>
  <c r="FG150" i="7" s="1"/>
  <c r="EE152" i="7" a="1"/>
  <c r="EE152" i="7" s="1"/>
  <c r="FN153" i="7" a="1"/>
  <c r="FN153" i="7" s="1"/>
  <c r="FH75" i="7" a="1"/>
  <c r="FH75" i="7" s="1"/>
  <c r="EF111" i="7" a="1"/>
  <c r="EF111" i="7" s="1"/>
  <c r="FR123" i="7" a="1"/>
  <c r="FR123" i="7" s="1"/>
  <c r="ES130" i="7" a="1"/>
  <c r="ES130" i="7" s="1"/>
  <c r="DV135" i="7" a="1"/>
  <c r="DV135" i="7" s="1"/>
  <c r="FI75" i="7" a="1"/>
  <c r="FI75" i="7" s="1"/>
  <c r="EZ112" i="7" a="1"/>
  <c r="EZ112" i="7" s="1"/>
  <c r="EG67" i="7" a="1"/>
  <c r="EG67" i="7" s="1"/>
  <c r="FT110" i="7" a="1"/>
  <c r="FT110" i="7" s="1"/>
  <c r="FX122" i="7" a="1"/>
  <c r="FX122" i="7" s="1"/>
  <c r="EZ131" i="7" a="1"/>
  <c r="EZ131" i="7" s="1"/>
  <c r="EV136" i="7" a="1"/>
  <c r="EV136" i="7" s="1"/>
  <c r="EL138" i="7" a="1"/>
  <c r="EL138" i="7" s="1"/>
  <c r="EN141" i="7" a="1"/>
  <c r="EN141" i="7" s="1"/>
  <c r="DT143" i="7" a="1"/>
  <c r="DT143" i="7" s="1"/>
  <c r="FC144" i="7" a="1"/>
  <c r="FC144" i="7" s="1"/>
  <c r="EA146" i="7" a="1"/>
  <c r="EA146" i="7" s="1"/>
  <c r="FJ147" i="7" a="1"/>
  <c r="FJ147" i="7" s="1"/>
  <c r="EH149" i="7" a="1"/>
  <c r="EH149" i="7" s="1"/>
  <c r="FQ150" i="7" a="1"/>
  <c r="FQ150" i="7" s="1"/>
  <c r="DU92" i="7" a="1"/>
  <c r="DU92" i="7" s="1"/>
  <c r="FC123" i="7" a="1"/>
  <c r="FC123" i="7" s="1"/>
  <c r="ET137" i="7" a="1"/>
  <c r="ET137" i="7" s="1"/>
  <c r="EX142" i="7" a="1"/>
  <c r="EX142" i="7" s="1"/>
  <c r="DU148" i="7" a="1"/>
  <c r="DU148" i="7" s="1"/>
  <c r="FZ155" i="7" a="1"/>
  <c r="FZ155" i="7" s="1"/>
  <c r="FO157" i="7" a="1"/>
  <c r="FO157" i="7" s="1"/>
  <c r="FC159" i="7" a="1"/>
  <c r="FC159" i="7" s="1"/>
  <c r="EQ161" i="7" a="1"/>
  <c r="EQ161" i="7" s="1"/>
  <c r="EF163" i="7" a="1"/>
  <c r="EF163" i="7" s="1"/>
  <c r="DT165" i="7" a="1"/>
  <c r="DT165" i="7" s="1"/>
  <c r="FS166" i="7" a="1"/>
  <c r="FS166" i="7" s="1"/>
  <c r="FH168" i="7" a="1"/>
  <c r="FH168" i="7" s="1"/>
  <c r="EV170" i="7" a="1"/>
  <c r="EV170" i="7" s="1"/>
  <c r="EJ172" i="7" a="1"/>
  <c r="EJ172" i="7" s="1"/>
  <c r="DY174" i="7" a="1"/>
  <c r="DY174" i="7" s="1"/>
  <c r="FX175" i="7" a="1"/>
  <c r="FX175" i="7" s="1"/>
  <c r="DV92" i="7" a="1"/>
  <c r="DV92" i="7" s="1"/>
  <c r="EM120" i="7" a="1"/>
  <c r="EM120" i="7" s="1"/>
  <c r="FP131" i="7" a="1"/>
  <c r="FP131" i="7" s="1"/>
  <c r="FU138" i="7" a="1"/>
  <c r="FU138" i="7" s="1"/>
  <c r="DZ145" i="7" a="1"/>
  <c r="DZ145" i="7" s="1"/>
  <c r="FH150" i="7" a="1"/>
  <c r="FH150" i="7" s="1"/>
  <c r="FC153" i="7" a="1"/>
  <c r="FC153" i="7" s="1"/>
  <c r="DX156" i="7" a="1"/>
  <c r="DX156" i="7" s="1"/>
  <c r="DQ167" i="7" a="1"/>
  <c r="DQ167" i="7" s="1"/>
  <c r="FU177" i="7" a="1"/>
  <c r="FU177" i="7" s="1"/>
  <c r="ED182" i="7" a="1"/>
  <c r="ED182" i="7" s="1"/>
  <c r="EK185" i="7" a="1"/>
  <c r="EK185" i="7" s="1"/>
  <c r="ER188" i="7" a="1"/>
  <c r="ER188" i="7" s="1"/>
  <c r="EY191" i="7" a="1"/>
  <c r="EY191" i="7" s="1"/>
  <c r="FF194" i="7" a="1"/>
  <c r="FF194" i="7" s="1"/>
  <c r="FM197" i="7" a="1"/>
  <c r="FM197" i="7" s="1"/>
  <c r="FT200" i="7" a="1"/>
  <c r="FT200" i="7" s="1"/>
  <c r="ER202" i="7" a="1"/>
  <c r="ER202" i="7" s="1"/>
  <c r="GA203" i="7" a="1"/>
  <c r="GA203" i="7" s="1"/>
  <c r="DW115" i="7" a="1"/>
  <c r="DW115" i="7" s="1"/>
  <c r="FE132" i="7" a="1"/>
  <c r="FE132" i="7" s="1"/>
  <c r="DS140" i="7" a="1"/>
  <c r="DS140" i="7" s="1"/>
  <c r="FZ144" i="7" a="1"/>
  <c r="FZ144" i="7" s="1"/>
  <c r="EW150" i="7" a="1"/>
  <c r="EW150" i="7" s="1"/>
  <c r="FV156" i="7" a="1"/>
  <c r="FV156" i="7" s="1"/>
  <c r="FJ158" i="7" a="1"/>
  <c r="FJ158" i="7" s="1"/>
  <c r="EX160" i="7" a="1"/>
  <c r="EX160" i="7" s="1"/>
  <c r="EM162" i="7" a="1"/>
  <c r="EM162" i="7" s="1"/>
  <c r="EA164" i="7" a="1"/>
  <c r="EA164" i="7" s="1"/>
  <c r="FZ165" i="7" a="1"/>
  <c r="FZ165" i="7" s="1"/>
  <c r="FO167" i="7" a="1"/>
  <c r="FO167" i="7" s="1"/>
  <c r="FC169" i="7" a="1"/>
  <c r="FC169" i="7" s="1"/>
  <c r="EQ171" i="7" a="1"/>
  <c r="EQ171" i="7" s="1"/>
  <c r="EF173" i="7" a="1"/>
  <c r="EF173" i="7" s="1"/>
  <c r="DT175" i="7" a="1"/>
  <c r="DT175" i="7" s="1"/>
  <c r="FS176" i="7" a="1"/>
  <c r="FS176" i="7" s="1"/>
  <c r="FH178" i="7" a="1"/>
  <c r="FH178" i="7" s="1"/>
  <c r="DQ104" i="7" a="1"/>
  <c r="DQ104" i="7" s="1"/>
  <c r="EF124" i="7" a="1"/>
  <c r="EF124" i="7" s="1"/>
  <c r="EG132" i="7" a="1"/>
  <c r="EG132" i="7" s="1"/>
  <c r="EX141" i="7" a="1"/>
  <c r="EX141" i="7" s="1"/>
  <c r="DU147" i="7" a="1"/>
  <c r="DU147" i="7" s="1"/>
  <c r="EF152" i="7" a="1"/>
  <c r="EF152" i="7" s="1"/>
  <c r="EP154" i="7" a="1"/>
  <c r="EP154" i="7" s="1"/>
  <c r="FG160" i="7" a="1"/>
  <c r="FG160" i="7" s="1"/>
  <c r="EZ171" i="7" a="1"/>
  <c r="EZ171" i="7" s="1"/>
  <c r="ER180" i="7" a="1"/>
  <c r="ER180" i="7" s="1"/>
  <c r="EY183" i="7" a="1"/>
  <c r="EY183" i="7" s="1"/>
  <c r="FF186" i="7" a="1"/>
  <c r="FF186" i="7" s="1"/>
  <c r="FM189" i="7" a="1"/>
  <c r="FM189" i="7" s="1"/>
  <c r="FT192" i="7" a="1"/>
  <c r="FT192" i="7" s="1"/>
  <c r="GA195" i="7" a="1"/>
  <c r="GA195" i="7" s="1"/>
  <c r="FW95" i="7" a="1"/>
  <c r="FW95" i="7" s="1"/>
  <c r="EJ125" i="7" a="1"/>
  <c r="EJ125" i="7" s="1"/>
  <c r="EV135" i="7" a="1"/>
  <c r="EV135" i="7" s="1"/>
  <c r="EA141" i="7" a="1"/>
  <c r="EA141" i="7" s="1"/>
  <c r="FM93" i="7" a="1"/>
  <c r="FM93" i="7" s="1"/>
  <c r="EO103" i="7" a="1"/>
  <c r="EO103" i="7" s="1"/>
  <c r="FU122" i="7" a="1"/>
  <c r="FU122" i="7" s="1"/>
  <c r="FF134" i="7" a="1"/>
  <c r="FF134" i="7" s="1"/>
  <c r="FG140" i="7" a="1"/>
  <c r="FG140" i="7" s="1"/>
  <c r="FO146" i="7" a="1"/>
  <c r="FO146" i="7" s="1"/>
  <c r="DU155" i="7" a="1"/>
  <c r="DU155" i="7" s="1"/>
  <c r="EM157" i="7" a="1"/>
  <c r="EM157" i="7" s="1"/>
  <c r="EA159" i="7" a="1"/>
  <c r="EA159" i="7" s="1"/>
  <c r="FZ160" i="7" a="1"/>
  <c r="FZ160" i="7" s="1"/>
  <c r="FO162" i="7" a="1"/>
  <c r="FO162" i="7" s="1"/>
  <c r="FC164" i="7" a="1"/>
  <c r="FC164" i="7" s="1"/>
  <c r="EQ166" i="7" a="1"/>
  <c r="EQ166" i="7" s="1"/>
  <c r="EF168" i="7" a="1"/>
  <c r="EF168" i="7" s="1"/>
  <c r="DT170" i="7" a="1"/>
  <c r="DT170" i="7" s="1"/>
  <c r="FS171" i="7" a="1"/>
  <c r="FS171" i="7" s="1"/>
  <c r="FH173" i="7" a="1"/>
  <c r="FH173" i="7" s="1"/>
  <c r="EV175" i="7" a="1"/>
  <c r="EV175" i="7" s="1"/>
  <c r="FJ100" i="7" a="1"/>
  <c r="FJ100" i="7" s="1"/>
  <c r="EZ136" i="7" a="1"/>
  <c r="EZ136" i="7" s="1"/>
  <c r="FA145" i="7" a="1"/>
  <c r="FA145" i="7" s="1"/>
  <c r="EF151" i="7" a="1"/>
  <c r="EF151" i="7" s="1"/>
  <c r="DQ157" i="7" a="1"/>
  <c r="DQ157" i="7" s="1"/>
  <c r="DT162" i="7" a="1"/>
  <c r="DT162" i="7" s="1"/>
  <c r="DR126" i="7" a="1"/>
  <c r="DR126" i="7" s="1"/>
  <c r="FF137" i="7" a="1"/>
  <c r="FF137" i="7" s="1"/>
  <c r="FB145" i="7" a="1"/>
  <c r="FB145" i="7" s="1"/>
  <c r="FL152" i="7" a="1"/>
  <c r="FL152" i="7" s="1"/>
  <c r="DS158" i="7" a="1"/>
  <c r="DS158" i="7" s="1"/>
  <c r="FS15" i="7" a="1"/>
  <c r="FS15" i="7" s="1"/>
  <c r="FN50" i="7" a="1"/>
  <c r="FN50" i="7" s="1"/>
  <c r="FQ45" i="7" a="1"/>
  <c r="FQ45" i="7" s="1"/>
  <c r="FO48" i="7" a="1"/>
  <c r="FO48" i="7" s="1"/>
  <c r="EU41" i="7" a="1"/>
  <c r="EU41" i="7" s="1"/>
  <c r="DY33" i="7" a="1"/>
  <c r="DY33" i="7" s="1"/>
  <c r="FO30" i="7" a="1"/>
  <c r="FO30" i="7" s="1"/>
  <c r="EP57" i="7" a="1"/>
  <c r="EP57" i="7" s="1"/>
  <c r="FQ42" i="7" a="1"/>
  <c r="FQ42" i="7" s="1"/>
  <c r="EJ53" i="7" a="1"/>
  <c r="EJ53" i="7" s="1"/>
  <c r="FN54" i="7" a="1"/>
  <c r="FN54" i="7" s="1"/>
  <c r="FI46" i="7" a="1"/>
  <c r="FI46" i="7" s="1"/>
  <c r="DS34" i="7" a="1"/>
  <c r="DS34" i="7" s="1"/>
  <c r="EA48" i="7" a="1"/>
  <c r="EA48" i="7" s="1"/>
  <c r="EF62" i="7" a="1"/>
  <c r="EF62" i="7" s="1"/>
  <c r="FE48" i="7" a="1"/>
  <c r="FE48" i="7" s="1"/>
  <c r="DT61" i="7" a="1"/>
  <c r="DT61" i="7" s="1"/>
  <c r="FM51" i="7" a="1"/>
  <c r="FM51" i="7" s="1"/>
  <c r="FP63" i="7" a="1"/>
  <c r="FP63" i="7" s="1"/>
  <c r="FP54" i="7" a="1"/>
  <c r="FP54" i="7" s="1"/>
  <c r="FL37" i="7" a="1"/>
  <c r="FL37" i="7" s="1"/>
  <c r="EX56" i="7" a="1"/>
  <c r="EX56" i="7" s="1"/>
  <c r="EW45" i="7" a="1"/>
  <c r="EW45" i="7" s="1"/>
  <c r="FP67" i="7" a="1"/>
  <c r="FP67" i="7" s="1"/>
  <c r="EZ73" i="7" a="1"/>
  <c r="EZ73" i="7" s="1"/>
  <c r="FF59" i="7" a="1"/>
  <c r="FF59" i="7" s="1"/>
  <c r="EC48" i="7" a="1"/>
  <c r="EC48" i="7" s="1"/>
  <c r="DV68" i="7" a="1"/>
  <c r="DV68" i="7" s="1"/>
  <c r="FO73" i="7" a="1"/>
  <c r="FO73" i="7" s="1"/>
  <c r="FT60" i="7" a="1"/>
  <c r="FT60" i="7" s="1"/>
  <c r="FW50" i="7" a="1"/>
  <c r="FW50" i="7" s="1"/>
  <c r="FM59" i="7" a="1"/>
  <c r="FM59" i="7" s="1"/>
  <c r="FR70" i="7" a="1"/>
  <c r="FR70" i="7" s="1"/>
  <c r="FG62" i="7" a="1"/>
  <c r="FG62" i="7" s="1"/>
  <c r="FV80" i="7" a="1"/>
  <c r="FV80" i="7" s="1"/>
  <c r="ET40" i="7" a="1"/>
  <c r="ET40" i="7" s="1"/>
  <c r="EJ72" i="7" a="1"/>
  <c r="EJ72" i="7" s="1"/>
  <c r="FW80" i="7" a="1"/>
  <c r="FW80" i="7" s="1"/>
  <c r="EI89" i="7" a="1"/>
  <c r="EI89" i="7" s="1"/>
  <c r="FC66" i="7" a="1"/>
  <c r="FC66" i="7" s="1"/>
  <c r="EF79" i="7" a="1"/>
  <c r="EF79" i="7" s="1"/>
  <c r="EV90" i="7" a="1"/>
  <c r="EV90" i="7" s="1"/>
  <c r="FQ94" i="7" a="1"/>
  <c r="FQ94" i="7" s="1"/>
  <c r="EC62" i="7" a="1"/>
  <c r="EC62" i="7" s="1"/>
  <c r="DQ76" i="7" a="1"/>
  <c r="DQ76" i="7" s="1"/>
  <c r="EA80" i="7" a="1"/>
  <c r="EA80" i="7" s="1"/>
  <c r="EA84" i="7" a="1"/>
  <c r="EA84" i="7" s="1"/>
  <c r="DZ60" i="7" a="1"/>
  <c r="DZ60" i="7" s="1"/>
  <c r="EK55" i="7" a="1"/>
  <c r="EK55" i="7" s="1"/>
  <c r="FH68" i="7" a="1"/>
  <c r="FH68" i="7" s="1"/>
  <c r="FJ73" i="7" a="1"/>
  <c r="FJ73" i="7" s="1"/>
  <c r="EZ84" i="7" a="1"/>
  <c r="EZ84" i="7" s="1"/>
  <c r="EH88" i="7" a="1"/>
  <c r="EH88" i="7" s="1"/>
  <c r="DW92" i="7" a="1"/>
  <c r="DW92" i="7" s="1"/>
  <c r="EQ58" i="7" a="1"/>
  <c r="EQ58" i="7" s="1"/>
  <c r="FO74" i="7" a="1"/>
  <c r="FO74" i="7" s="1"/>
  <c r="EF80" i="7" a="1"/>
  <c r="EF80" i="7" s="1"/>
  <c r="DY86" i="7" a="1"/>
  <c r="DY86" i="7" s="1"/>
  <c r="DY92" i="7" a="1"/>
  <c r="DY92" i="7" s="1"/>
  <c r="FR94" i="7" a="1"/>
  <c r="FR94" i="7" s="1"/>
  <c r="FE62" i="7" a="1"/>
  <c r="FE62" i="7" s="1"/>
  <c r="FD74" i="7" a="1"/>
  <c r="FD74" i="7" s="1"/>
  <c r="FH80" i="7" a="1"/>
  <c r="FH80" i="7" s="1"/>
  <c r="FM85" i="7" a="1"/>
  <c r="FM85" i="7" s="1"/>
  <c r="GA91" i="7" a="1"/>
  <c r="GA91" i="7" s="1"/>
  <c r="FS31" i="7" a="1"/>
  <c r="FS31" i="7" s="1"/>
  <c r="EB63" i="7" a="1"/>
  <c r="EB63" i="7" s="1"/>
  <c r="FS71" i="7" a="1"/>
  <c r="FS71" i="7" s="1"/>
  <c r="EH78" i="7" a="1"/>
  <c r="EH78" i="7" s="1"/>
  <c r="FC85" i="7" a="1"/>
  <c r="FC85" i="7" s="1"/>
  <c r="FF90" i="7" a="1"/>
  <c r="FF90" i="7" s="1"/>
  <c r="EL94" i="7" a="1"/>
  <c r="EL94" i="7" s="1"/>
  <c r="EB60" i="7" a="1"/>
  <c r="EB60" i="7" s="1"/>
  <c r="DT75" i="7" a="1"/>
  <c r="DT75" i="7" s="1"/>
  <c r="EV80" i="7" a="1"/>
  <c r="EV80" i="7" s="1"/>
  <c r="FN85" i="7" a="1"/>
  <c r="FN85" i="7" s="1"/>
  <c r="DQ91" i="7" a="1"/>
  <c r="DQ91" i="7" s="1"/>
  <c r="FU95" i="7" a="1"/>
  <c r="FU95" i="7" s="1"/>
  <c r="EH56" i="7" a="1"/>
  <c r="EH56" i="7" s="1"/>
  <c r="ET67" i="7" a="1"/>
  <c r="ET67" i="7" s="1"/>
  <c r="DQ54" i="7" a="1"/>
  <c r="DQ54" i="7" s="1"/>
  <c r="EU66" i="7" a="1"/>
  <c r="EU66" i="7" s="1"/>
  <c r="EX72" i="7" a="1"/>
  <c r="EX72" i="7" s="1"/>
  <c r="EX77" i="7" a="1"/>
  <c r="EX77" i="7" s="1"/>
  <c r="FA82" i="7" a="1"/>
  <c r="FA82" i="7" s="1"/>
  <c r="DT88" i="7" a="1"/>
  <c r="DT88" i="7" s="1"/>
  <c r="EE92" i="7" a="1"/>
  <c r="EE92" i="7" s="1"/>
  <c r="FS53" i="7" a="1"/>
  <c r="FS53" i="7" s="1"/>
  <c r="EA71" i="7" a="1"/>
  <c r="EA71" i="7" s="1"/>
  <c r="FP79" i="7" a="1"/>
  <c r="FP79" i="7" s="1"/>
  <c r="EK85" i="7" a="1"/>
  <c r="EK85" i="7" s="1"/>
  <c r="DU95" i="7" a="1"/>
  <c r="DU95" i="7" s="1"/>
  <c r="FD101" i="7" a="1"/>
  <c r="FD101" i="7" s="1"/>
  <c r="DW105" i="7" a="1"/>
  <c r="DW105" i="7" s="1"/>
  <c r="ES108" i="7" a="1"/>
  <c r="ES108" i="7" s="1"/>
  <c r="FO111" i="7" a="1"/>
  <c r="FO111" i="7" s="1"/>
  <c r="EV65" i="7" a="1"/>
  <c r="EV65" i="7" s="1"/>
  <c r="FJ76" i="7" a="1"/>
  <c r="FJ76" i="7" s="1"/>
  <c r="ED84" i="7" a="1"/>
  <c r="ED84" i="7" s="1"/>
  <c r="DU91" i="7" a="1"/>
  <c r="DU91" i="7" s="1"/>
  <c r="FB96" i="7" a="1"/>
  <c r="FB96" i="7" s="1"/>
  <c r="EP98" i="7" a="1"/>
  <c r="EP98" i="7" s="1"/>
  <c r="EE100" i="7" a="1"/>
  <c r="EE100" i="7" s="1"/>
  <c r="EM102" i="7" a="1"/>
  <c r="EM102" i="7" s="1"/>
  <c r="ET105" i="7" a="1"/>
  <c r="ET105" i="7" s="1"/>
  <c r="FA108" i="7" a="1"/>
  <c r="FA108" i="7" s="1"/>
  <c r="FH111" i="7" a="1"/>
  <c r="FH111" i="7" s="1"/>
  <c r="FL113" i="7" a="1"/>
  <c r="FL113" i="7" s="1"/>
  <c r="FP62" i="7" a="1"/>
  <c r="FP62" i="7" s="1"/>
  <c r="EY79" i="7" a="1"/>
  <c r="EY79" i="7" s="1"/>
  <c r="DX87" i="7" a="1"/>
  <c r="DX87" i="7" s="1"/>
  <c r="FC91" i="7" a="1"/>
  <c r="FC91" i="7" s="1"/>
  <c r="FM97" i="7" a="1"/>
  <c r="FM97" i="7" s="1"/>
  <c r="EZ103" i="7" a="1"/>
  <c r="EZ103" i="7" s="1"/>
  <c r="FG106" i="7" a="1"/>
  <c r="FG106" i="7" s="1"/>
  <c r="FN109" i="7" a="1"/>
  <c r="FN109" i="7" s="1"/>
  <c r="EQ36" i="7" a="1"/>
  <c r="EQ36" i="7" s="1"/>
  <c r="EX74" i="7" a="1"/>
  <c r="EX74" i="7" s="1"/>
  <c r="FW79" i="7" a="1"/>
  <c r="FW79" i="7" s="1"/>
  <c r="EE84" i="7" a="1"/>
  <c r="EE84" i="7" s="1"/>
  <c r="ET93" i="7" a="1"/>
  <c r="ET93" i="7" s="1"/>
  <c r="DQ97" i="7" a="1"/>
  <c r="DQ97" i="7" s="1"/>
  <c r="FP98" i="7" a="1"/>
  <c r="FP98" i="7" s="1"/>
  <c r="FD100" i="7" a="1"/>
  <c r="FD100" i="7" s="1"/>
  <c r="DV103" i="7" a="1"/>
  <c r="DV103" i="7" s="1"/>
  <c r="EC106" i="7" a="1"/>
  <c r="EC106" i="7" s="1"/>
  <c r="EJ109" i="7" a="1"/>
  <c r="EJ109" i="7" s="1"/>
  <c r="EQ112" i="7" a="1"/>
  <c r="EQ112" i="7" s="1"/>
  <c r="FK63" i="7" a="1"/>
  <c r="FK63" i="7" s="1"/>
  <c r="DW77" i="7" a="1"/>
  <c r="DW77" i="7" s="1"/>
  <c r="FI47" i="7" a="1"/>
  <c r="FI47" i="7" s="1"/>
  <c r="DY67" i="7" a="1"/>
  <c r="DY67" i="7" s="1"/>
  <c r="EK80" i="7" a="1"/>
  <c r="EK80" i="7" s="1"/>
  <c r="EO86" i="7" a="1"/>
  <c r="EO86" i="7" s="1"/>
  <c r="EU95" i="7" a="1"/>
  <c r="EU95" i="7" s="1"/>
  <c r="FP101" i="7" a="1"/>
  <c r="FP101" i="7" s="1"/>
  <c r="FW104" i="7" a="1"/>
  <c r="FW104" i="7" s="1"/>
  <c r="DS108" i="7" a="1"/>
  <c r="DS108" i="7" s="1"/>
  <c r="DZ111" i="7" a="1"/>
  <c r="DZ111" i="7" s="1"/>
  <c r="EV71" i="7" a="1"/>
  <c r="EV71" i="7" s="1"/>
  <c r="EB83" i="7" a="1"/>
  <c r="EB83" i="7" s="1"/>
  <c r="FA93" i="7" a="1"/>
  <c r="FA93" i="7" s="1"/>
  <c r="DS99" i="7" a="1"/>
  <c r="DS99" i="7" s="1"/>
  <c r="FZ102" i="7" a="1"/>
  <c r="FZ102" i="7" s="1"/>
  <c r="EN108" i="7" a="1"/>
  <c r="EN108" i="7" s="1"/>
  <c r="FO112" i="7" a="1"/>
  <c r="FO112" i="7" s="1"/>
  <c r="EW115" i="7" a="1"/>
  <c r="EW115" i="7" s="1"/>
  <c r="EL117" i="7" a="1"/>
  <c r="EL117" i="7" s="1"/>
  <c r="DZ119" i="7" a="1"/>
  <c r="DZ119" i="7" s="1"/>
  <c r="FY120" i="7" a="1"/>
  <c r="FY120" i="7" s="1"/>
  <c r="ED123" i="7" a="1"/>
  <c r="ED123" i="7" s="1"/>
  <c r="EK126" i="7" a="1"/>
  <c r="EK126" i="7" s="1"/>
  <c r="ER129" i="7" a="1"/>
  <c r="ER129" i="7" s="1"/>
  <c r="EY132" i="7" a="1"/>
  <c r="EY132" i="7" s="1"/>
  <c r="GA74" i="7" a="1"/>
  <c r="GA74" i="7" s="1"/>
  <c r="DS89" i="7" a="1"/>
  <c r="DS89" i="7" s="1"/>
  <c r="DT97" i="7" a="1"/>
  <c r="DT97" i="7" s="1"/>
  <c r="FR101" i="7" a="1"/>
  <c r="FR101" i="7" s="1"/>
  <c r="DU107" i="7" a="1"/>
  <c r="DU107" i="7" s="1"/>
  <c r="EX111" i="7" a="1"/>
  <c r="EX111" i="7" s="1"/>
  <c r="FE118" i="7" a="1"/>
  <c r="FE118" i="7" s="1"/>
  <c r="EI124" i="7" a="1"/>
  <c r="EI124" i="7" s="1"/>
  <c r="EP127" i="7" a="1"/>
  <c r="EP127" i="7" s="1"/>
  <c r="EW130" i="7" a="1"/>
  <c r="EW130" i="7" s="1"/>
  <c r="EF133" i="7" a="1"/>
  <c r="EF133" i="7" s="1"/>
  <c r="FO134" i="7" a="1"/>
  <c r="FO134" i="7" s="1"/>
  <c r="EZ75" i="7" a="1"/>
  <c r="EZ75" i="7" s="1"/>
  <c r="EM87" i="7" a="1"/>
  <c r="EM87" i="7" s="1"/>
  <c r="FZ95" i="7" a="1"/>
  <c r="FZ95" i="7" s="1"/>
  <c r="EI100" i="7" a="1"/>
  <c r="EI100" i="7" s="1"/>
  <c r="FC105" i="7" a="1"/>
  <c r="FC105" i="7" s="1"/>
  <c r="FS109" i="7" a="1"/>
  <c r="FS109" i="7" s="1"/>
  <c r="FV113" i="7" a="1"/>
  <c r="FV113" i="7" s="1"/>
  <c r="FW115" i="7" a="1"/>
  <c r="FW115" i="7" s="1"/>
  <c r="FK117" i="7" a="1"/>
  <c r="FK117" i="7" s="1"/>
  <c r="EZ119" i="7" a="1"/>
  <c r="EZ119" i="7" s="1"/>
  <c r="EN121" i="7" a="1"/>
  <c r="EN121" i="7" s="1"/>
  <c r="FX123" i="7" a="1"/>
  <c r="FX123" i="7" s="1"/>
  <c r="DT127" i="7" a="1"/>
  <c r="DT127" i="7" s="1"/>
  <c r="FW67" i="7" a="1"/>
  <c r="FW67" i="7" s="1"/>
  <c r="FD81" i="7" a="1"/>
  <c r="FD81" i="7" s="1"/>
  <c r="FU96" i="7" a="1"/>
  <c r="FU96" i="7" s="1"/>
  <c r="EJ101" i="7" a="1"/>
  <c r="EJ101" i="7" s="1"/>
  <c r="EM106" i="7" a="1"/>
  <c r="EM106" i="7" s="1"/>
  <c r="FP110" i="7" a="1"/>
  <c r="FP110" i="7" s="1"/>
  <c r="FL117" i="7" a="1"/>
  <c r="FL117" i="7" s="1"/>
  <c r="DU124" i="7" a="1"/>
  <c r="DU124" i="7" s="1"/>
  <c r="EB127" i="7" a="1"/>
  <c r="EB127" i="7" s="1"/>
  <c r="EI130" i="7" a="1"/>
  <c r="EI130" i="7" s="1"/>
  <c r="DZ133" i="7" a="1"/>
  <c r="DZ133" i="7" s="1"/>
  <c r="FI134" i="7" a="1"/>
  <c r="FI134" i="7" s="1"/>
  <c r="FG75" i="7" a="1"/>
  <c r="FG75" i="7" s="1"/>
  <c r="DW86" i="7" a="1"/>
  <c r="DW86" i="7" s="1"/>
  <c r="DT96" i="7" a="1"/>
  <c r="DT96" i="7" s="1"/>
  <c r="EM43" i="7" a="1"/>
  <c r="EM43" i="7" s="1"/>
  <c r="EV77" i="7" a="1"/>
  <c r="EV77" i="7" s="1"/>
  <c r="FA87" i="7" a="1"/>
  <c r="FA87" i="7" s="1"/>
  <c r="EY96" i="7" a="1"/>
  <c r="EY96" i="7" s="1"/>
  <c r="EB101" i="7" a="1"/>
  <c r="EB101" i="7" s="1"/>
  <c r="FS105" i="7" a="1"/>
  <c r="FS105" i="7" s="1"/>
  <c r="FU110" i="7" a="1"/>
  <c r="FU110" i="7" s="1"/>
  <c r="EZ114" i="7" a="1"/>
  <c r="EZ114" i="7" s="1"/>
  <c r="EN116" i="7" a="1"/>
  <c r="EN116" i="7" s="1"/>
  <c r="EB118" i="7" a="1"/>
  <c r="EB118" i="7" s="1"/>
  <c r="DQ120" i="7" a="1"/>
  <c r="DQ120" i="7" s="1"/>
  <c r="FP121" i="7" a="1"/>
  <c r="FP121" i="7" s="1"/>
  <c r="FQ124" i="7" a="1"/>
  <c r="FQ124" i="7" s="1"/>
  <c r="FX127" i="7" a="1"/>
  <c r="FX127" i="7" s="1"/>
  <c r="EZ87" i="7" a="1"/>
  <c r="EZ87" i="7" s="1"/>
  <c r="EY99" i="7" a="1"/>
  <c r="EY99" i="7" s="1"/>
  <c r="DX110" i="7" a="1"/>
  <c r="DX110" i="7" s="1"/>
  <c r="FC115" i="7" a="1"/>
  <c r="FC115" i="7" s="1"/>
  <c r="DT121" i="7" a="1"/>
  <c r="DT121" i="7" s="1"/>
  <c r="FO125" i="7" a="1"/>
  <c r="FO125" i="7" s="1"/>
  <c r="FH130" i="7" a="1"/>
  <c r="FH130" i="7" s="1"/>
  <c r="EU61" i="7" a="1"/>
  <c r="EU61" i="7" s="1"/>
  <c r="FL86" i="7" a="1"/>
  <c r="FL86" i="7" s="1"/>
  <c r="ES101" i="7" a="1"/>
  <c r="ES101" i="7" s="1"/>
  <c r="EE107" i="7" a="1"/>
  <c r="EE107" i="7" s="1"/>
  <c r="EE113" i="7" a="1"/>
  <c r="EE113" i="7" s="1"/>
  <c r="FG118" i="7" a="1"/>
  <c r="FG118" i="7" s="1"/>
  <c r="EN64" i="7" a="1"/>
  <c r="EN64" i="7" s="1"/>
  <c r="DX89" i="7" a="1"/>
  <c r="DX89" i="7" s="1"/>
  <c r="FW99" i="7" a="1"/>
  <c r="FW99" i="7" s="1"/>
  <c r="ER108" i="7" a="1"/>
  <c r="ER108" i="7" s="1"/>
  <c r="FF116" i="7" a="1"/>
  <c r="FF116" i="7" s="1"/>
  <c r="DW122" i="7" a="1"/>
  <c r="DW122" i="7" s="1"/>
  <c r="EL37" i="7" a="1"/>
  <c r="EL37" i="7" s="1"/>
  <c r="FA84" i="7" a="1"/>
  <c r="FA84" i="7" s="1"/>
  <c r="EC98" i="7" a="1"/>
  <c r="EC98" i="7" s="1"/>
  <c r="DX106" i="7" a="1"/>
  <c r="DX106" i="7" s="1"/>
  <c r="FY111" i="7" a="1"/>
  <c r="FY111" i="7" s="1"/>
  <c r="DT117" i="7" a="1"/>
  <c r="DT117" i="7" s="1"/>
  <c r="EJ122" i="7" a="1"/>
  <c r="EJ122" i="7" s="1"/>
  <c r="FR83" i="7" a="1"/>
  <c r="FR83" i="7" s="1"/>
  <c r="FX81" i="7" a="1"/>
  <c r="FX81" i="7" s="1"/>
  <c r="EL89" i="7" a="1"/>
  <c r="EL89" i="7" s="1"/>
  <c r="FK99" i="7" a="1"/>
  <c r="FK99" i="7" s="1"/>
  <c r="DU105" i="7" a="1"/>
  <c r="DU105" i="7" s="1"/>
  <c r="EA78" i="7" a="1"/>
  <c r="EA78" i="7" s="1"/>
  <c r="FX100" i="7" a="1"/>
  <c r="FX100" i="7" s="1"/>
  <c r="FZ111" i="7" a="1"/>
  <c r="FZ111" i="7" s="1"/>
  <c r="FX118" i="7" a="1"/>
  <c r="FX118" i="7" s="1"/>
  <c r="EV126" i="7" a="1"/>
  <c r="EV126" i="7" s="1"/>
  <c r="DX132" i="7" a="1"/>
  <c r="DX132" i="7" s="1"/>
  <c r="EI136" i="7" a="1"/>
  <c r="EI136" i="7" s="1"/>
  <c r="FR137" i="7" a="1"/>
  <c r="FR137" i="7" s="1"/>
  <c r="EP139" i="7" a="1"/>
  <c r="EP139" i="7" s="1"/>
  <c r="FY140" i="7" a="1"/>
  <c r="FY140" i="7" s="1"/>
  <c r="FT88" i="7" a="1"/>
  <c r="FT88" i="7" s="1"/>
  <c r="FJ107" i="7" a="1"/>
  <c r="FJ107" i="7" s="1"/>
  <c r="DY116" i="7" a="1"/>
  <c r="DY116" i="7" s="1"/>
  <c r="DY124" i="7" a="1"/>
  <c r="DY124" i="7" s="1"/>
  <c r="DQ129" i="7" a="1"/>
  <c r="DQ129" i="7" s="1"/>
  <c r="FX132" i="7" a="1"/>
  <c r="FX132" i="7" s="1"/>
  <c r="FF74" i="7" a="1"/>
  <c r="FF74" i="7" s="1"/>
  <c r="FW97" i="7" a="1"/>
  <c r="FW97" i="7" s="1"/>
  <c r="FE108" i="7" a="1"/>
  <c r="FE108" i="7" s="1"/>
  <c r="FP117" i="7" a="1"/>
  <c r="FP117" i="7" s="1"/>
  <c r="DZ124" i="7" a="1"/>
  <c r="DZ124" i="7" s="1"/>
  <c r="EM129" i="7" a="1"/>
  <c r="EM129" i="7" s="1"/>
  <c r="FT134" i="7" a="1"/>
  <c r="FT134" i="7" s="1"/>
  <c r="EV69" i="7" a="1"/>
  <c r="EV69" i="7" s="1"/>
  <c r="FX101" i="7" a="1"/>
  <c r="FX101" i="7" s="1"/>
  <c r="DZ114" i="7" a="1"/>
  <c r="DZ114" i="7" s="1"/>
  <c r="EM122" i="7" a="1"/>
  <c r="EM122" i="7" s="1"/>
  <c r="FY127" i="7" a="1"/>
  <c r="FY127" i="7" s="1"/>
  <c r="EK131" i="7" a="1"/>
  <c r="EK131" i="7" s="1"/>
  <c r="EB135" i="7" a="1"/>
  <c r="EB135" i="7" s="1"/>
  <c r="EM97" i="7" a="1"/>
  <c r="EM97" i="7" s="1"/>
  <c r="FH78" i="7" a="1"/>
  <c r="FH78" i="7" s="1"/>
  <c r="EV102" i="7" a="1"/>
  <c r="EV102" i="7" s="1"/>
  <c r="EN96" i="7" a="1"/>
  <c r="EN96" i="7" s="1"/>
  <c r="EK108" i="7" a="1"/>
  <c r="EK108" i="7" s="1"/>
  <c r="EX116" i="7" a="1"/>
  <c r="EX116" i="7" s="1"/>
  <c r="ES124" i="7" a="1"/>
  <c r="ES124" i="7" s="1"/>
  <c r="FH131" i="7" a="1"/>
  <c r="FH131" i="7" s="1"/>
  <c r="ES135" i="7" a="1"/>
  <c r="ES135" i="7" s="1"/>
  <c r="FS102" i="7" a="1"/>
  <c r="FS102" i="7" s="1"/>
  <c r="FY117" i="7" a="1"/>
  <c r="FY117" i="7" s="1"/>
  <c r="FD129" i="7" a="1"/>
  <c r="FD129" i="7" s="1"/>
  <c r="FN135" i="7" a="1"/>
  <c r="FN135" i="7" s="1"/>
  <c r="FL137" i="7" a="1"/>
  <c r="FL137" i="7" s="1"/>
  <c r="EE140" i="7" a="1"/>
  <c r="EE140" i="7" s="1"/>
  <c r="EY142" i="7" a="1"/>
  <c r="EY142" i="7" s="1"/>
  <c r="DW144" i="7" a="1"/>
  <c r="DW144" i="7" s="1"/>
  <c r="FF145" i="7" a="1"/>
  <c r="FF145" i="7" s="1"/>
  <c r="ED147" i="7" a="1"/>
  <c r="ED147" i="7" s="1"/>
  <c r="FM148" i="7" a="1"/>
  <c r="FM148" i="7" s="1"/>
  <c r="EK150" i="7" a="1"/>
  <c r="EK150" i="7" s="1"/>
  <c r="FT151" i="7" a="1"/>
  <c r="FT151" i="7" s="1"/>
  <c r="ER153" i="7" a="1"/>
  <c r="ER153" i="7" s="1"/>
  <c r="GA154" i="7" a="1"/>
  <c r="GA154" i="7" s="1"/>
  <c r="FY96" i="7" a="1"/>
  <c r="FY96" i="7" s="1"/>
  <c r="EX110" i="7" a="1"/>
  <c r="EX110" i="7" s="1"/>
  <c r="EE120" i="7" a="1"/>
  <c r="EE120" i="7" s="1"/>
  <c r="DU128" i="7" a="1"/>
  <c r="DU128" i="7" s="1"/>
  <c r="FF133" i="7" a="1"/>
  <c r="FF133" i="7" s="1"/>
  <c r="ER141" i="7" a="1"/>
  <c r="ER141" i="7" s="1"/>
  <c r="EZ110" i="7" a="1"/>
  <c r="EZ110" i="7" s="1"/>
  <c r="FN122" i="7" a="1"/>
  <c r="FN122" i="7" s="1"/>
  <c r="FI130" i="7" a="1"/>
  <c r="FI130" i="7" s="1"/>
  <c r="ES136" i="7" a="1"/>
  <c r="ES136" i="7" s="1"/>
  <c r="EH138" i="7" a="1"/>
  <c r="EH138" i="7" s="1"/>
  <c r="EK141" i="7" a="1"/>
  <c r="EK141" i="7" s="1"/>
  <c r="DQ143" i="7" a="1"/>
  <c r="DQ143" i="7" s="1"/>
  <c r="EZ144" i="7" a="1"/>
  <c r="EZ144" i="7" s="1"/>
  <c r="DX146" i="7" a="1"/>
  <c r="DX146" i="7" s="1"/>
  <c r="FG147" i="7" a="1"/>
  <c r="FG147" i="7" s="1"/>
  <c r="EE149" i="7" a="1"/>
  <c r="EE149" i="7" s="1"/>
  <c r="FN150" i="7" a="1"/>
  <c r="FN150" i="7" s="1"/>
  <c r="EL152" i="7" a="1"/>
  <c r="EL152" i="7" s="1"/>
  <c r="FU153" i="7" a="1"/>
  <c r="FU153" i="7" s="1"/>
  <c r="EQ83" i="7" a="1"/>
  <c r="EQ83" i="7" s="1"/>
  <c r="DS113" i="7" a="1"/>
  <c r="DS113" i="7" s="1"/>
  <c r="ED124" i="7" a="1"/>
  <c r="ED124" i="7" s="1"/>
  <c r="FJ130" i="7" a="1"/>
  <c r="FJ130" i="7" s="1"/>
  <c r="FF135" i="7" a="1"/>
  <c r="FF135" i="7" s="1"/>
  <c r="EX94" i="7" a="1"/>
  <c r="EX94" i="7" s="1"/>
  <c r="DT113" i="7" a="1"/>
  <c r="DT113" i="7" s="1"/>
  <c r="EP77" i="7" a="1"/>
  <c r="EP77" i="7" s="1"/>
  <c r="EQ111" i="7" a="1"/>
  <c r="EQ111" i="7" s="1"/>
  <c r="EJ123" i="7" a="1"/>
  <c r="EJ123" i="7" s="1"/>
  <c r="DV132" i="7" a="1"/>
  <c r="DV132" i="7" s="1"/>
  <c r="FF136" i="7" a="1"/>
  <c r="FF136" i="7" s="1"/>
  <c r="ET138" i="7" a="1"/>
  <c r="ET138" i="7" s="1"/>
  <c r="FC141" i="7" a="1"/>
  <c r="FC141" i="7" s="1"/>
  <c r="EA143" i="7" a="1"/>
  <c r="EA143" i="7" s="1"/>
  <c r="FJ144" i="7" a="1"/>
  <c r="FJ144" i="7" s="1"/>
  <c r="EH146" i="7" a="1"/>
  <c r="EH146" i="7" s="1"/>
  <c r="FQ147" i="7" a="1"/>
  <c r="FQ147" i="7" s="1"/>
  <c r="EO149" i="7" a="1"/>
  <c r="EO149" i="7" s="1"/>
  <c r="FX150" i="7" a="1"/>
  <c r="FX150" i="7" s="1"/>
  <c r="EC95" i="7" a="1"/>
  <c r="EC95" i="7" s="1"/>
  <c r="DS124" i="7" a="1"/>
  <c r="DS124" i="7" s="1"/>
  <c r="EJ138" i="7" a="1"/>
  <c r="EJ138" i="7" s="1"/>
  <c r="EF143" i="7" a="1"/>
  <c r="EF143" i="7" s="1"/>
  <c r="FB148" i="7" a="1"/>
  <c r="FB148" i="7" s="1"/>
  <c r="DW156" i="7" a="1"/>
  <c r="DW156" i="7" s="1"/>
  <c r="FW157" i="7" a="1"/>
  <c r="FW157" i="7" s="1"/>
  <c r="FK159" i="7" a="1"/>
  <c r="FK159" i="7" s="1"/>
  <c r="EY161" i="7" a="1"/>
  <c r="EY161" i="7" s="1"/>
  <c r="EN163" i="7" a="1"/>
  <c r="EN163" i="7" s="1"/>
  <c r="EB165" i="7" a="1"/>
  <c r="EB165" i="7" s="1"/>
  <c r="GA166" i="7" a="1"/>
  <c r="GA166" i="7" s="1"/>
  <c r="FP168" i="7" a="1"/>
  <c r="FP168" i="7" s="1"/>
  <c r="FD170" i="7" a="1"/>
  <c r="FD170" i="7" s="1"/>
  <c r="ER172" i="7" a="1"/>
  <c r="ER172" i="7" s="1"/>
  <c r="EG174" i="7" a="1"/>
  <c r="EG174" i="7" s="1"/>
  <c r="DU176" i="7" a="1"/>
  <c r="DU176" i="7" s="1"/>
  <c r="FW100" i="7" a="1"/>
  <c r="FW100" i="7" s="1"/>
  <c r="DR121" i="7" a="1"/>
  <c r="DR121" i="7" s="1"/>
  <c r="EA132" i="7" a="1"/>
  <c r="EA132" i="7" s="1"/>
  <c r="EG139" i="7" a="1"/>
  <c r="EG139" i="7" s="1"/>
  <c r="EJ145" i="7" a="1"/>
  <c r="EJ145" i="7" s="1"/>
  <c r="FR150" i="7" a="1"/>
  <c r="FR150" i="7" s="1"/>
  <c r="FL153" i="7" a="1"/>
  <c r="FL153" i="7" s="1"/>
  <c r="FU156" i="7" a="1"/>
  <c r="FU156" i="7" s="1"/>
  <c r="FN167" i="7" a="1"/>
  <c r="FN167" i="7" s="1"/>
  <c r="FG178" i="7" a="1"/>
  <c r="FG178" i="7" s="1"/>
  <c r="EL182" i="7" a="1"/>
  <c r="EL182" i="7" s="1"/>
  <c r="ES185" i="7" a="1"/>
  <c r="ES185" i="7" s="1"/>
  <c r="EZ188" i="7" a="1"/>
  <c r="EZ188" i="7" s="1"/>
  <c r="FG191" i="7" a="1"/>
  <c r="FG191" i="7" s="1"/>
  <c r="FN194" i="7" a="1"/>
  <c r="FN194" i="7" s="1"/>
  <c r="FU197" i="7" a="1"/>
  <c r="FU197" i="7" s="1"/>
  <c r="GA200" i="7" a="1"/>
  <c r="GA200" i="7" s="1"/>
  <c r="EY202" i="7" a="1"/>
  <c r="EY202" i="7" s="1"/>
  <c r="DW204" i="7" a="1"/>
  <c r="DW204" i="7" s="1"/>
  <c r="EY116" i="7" a="1"/>
  <c r="EY116" i="7" s="1"/>
  <c r="FM133" i="7" a="1"/>
  <c r="FM133" i="7" s="1"/>
  <c r="ED140" i="7" a="1"/>
  <c r="ED140" i="7" s="1"/>
  <c r="FH145" i="7" a="1"/>
  <c r="FH145" i="7" s="1"/>
  <c r="DS151" i="7" a="1"/>
  <c r="DS151" i="7" s="1"/>
  <c r="DS157" i="7" a="1"/>
  <c r="DS157" i="7" s="1"/>
  <c r="FR158" i="7" a="1"/>
  <c r="FR158" i="7" s="1"/>
  <c r="FF160" i="7" a="1"/>
  <c r="FF160" i="7" s="1"/>
  <c r="EU162" i="7" a="1"/>
  <c r="EU162" i="7" s="1"/>
  <c r="EI164" i="7" a="1"/>
  <c r="EI164" i="7" s="1"/>
  <c r="DW166" i="7" a="1"/>
  <c r="DW166" i="7" s="1"/>
  <c r="FW167" i="7" a="1"/>
  <c r="FW167" i="7" s="1"/>
  <c r="FK169" i="7" a="1"/>
  <c r="FK169" i="7" s="1"/>
  <c r="EY171" i="7" a="1"/>
  <c r="EY171" i="7" s="1"/>
  <c r="EN173" i="7" a="1"/>
  <c r="EN173" i="7" s="1"/>
  <c r="EB175" i="7" a="1"/>
  <c r="EB175" i="7" s="1"/>
  <c r="GA176" i="7" a="1"/>
  <c r="GA176" i="7" s="1"/>
  <c r="FP178" i="7" a="1"/>
  <c r="FP178" i="7" s="1"/>
  <c r="EN105" i="7" a="1"/>
  <c r="EN105" i="7" s="1"/>
  <c r="FJ124" i="7" a="1"/>
  <c r="FJ124" i="7" s="1"/>
  <c r="DT133" i="7" a="1"/>
  <c r="DT133" i="7" s="1"/>
  <c r="EF142" i="7" a="1"/>
  <c r="EF142" i="7" s="1"/>
  <c r="FB147" i="7" a="1"/>
  <c r="FB147" i="7" s="1"/>
  <c r="EO152" i="7" a="1"/>
  <c r="EO152" i="7" s="1"/>
  <c r="FA154" i="7" a="1"/>
  <c r="FA154" i="7" s="1"/>
  <c r="ES161" i="7" a="1"/>
  <c r="ES161" i="7" s="1"/>
  <c r="EL172" i="7" a="1"/>
  <c r="EL172" i="7" s="1"/>
  <c r="EZ180" i="7" a="1"/>
  <c r="EZ180" i="7" s="1"/>
  <c r="FG183" i="7" a="1"/>
  <c r="FG183" i="7" s="1"/>
  <c r="FN186" i="7" a="1"/>
  <c r="FN186" i="7" s="1"/>
  <c r="FU189" i="7" a="1"/>
  <c r="FU189" i="7" s="1"/>
  <c r="DQ193" i="7" a="1"/>
  <c r="DQ193" i="7" s="1"/>
  <c r="DX196" i="7" a="1"/>
  <c r="DX196" i="7" s="1"/>
  <c r="DW103" i="7" a="1"/>
  <c r="DW103" i="7" s="1"/>
  <c r="EN126" i="7" a="1"/>
  <c r="EN126" i="7" s="1"/>
  <c r="FM135" i="7" a="1"/>
  <c r="FM135" i="7" s="1"/>
  <c r="FV141" i="7" a="1"/>
  <c r="FV141" i="7" s="1"/>
  <c r="EL58" i="7" a="1"/>
  <c r="EL58" i="7" s="1"/>
  <c r="EY104" i="7" a="1"/>
  <c r="EY104" i="7" s="1"/>
  <c r="EK123" i="7" a="1"/>
  <c r="EK123" i="7" s="1"/>
  <c r="FA135" i="7" a="1"/>
  <c r="FA135" i="7" s="1"/>
  <c r="DS141" i="7" a="1"/>
  <c r="DS141" i="7" s="1"/>
  <c r="FY146" i="7" a="1"/>
  <c r="FY146" i="7" s="1"/>
  <c r="EV155" i="7" a="1"/>
  <c r="EV155" i="7" s="1"/>
  <c r="EU157" i="7" a="1"/>
  <c r="EU157" i="7" s="1"/>
  <c r="EI159" i="7" a="1"/>
  <c r="EI159" i="7" s="1"/>
  <c r="DW161" i="7" a="1"/>
  <c r="DW161" i="7" s="1"/>
  <c r="FW162" i="7" a="1"/>
  <c r="FW162" i="7" s="1"/>
  <c r="FK164" i="7" a="1"/>
  <c r="FK164" i="7" s="1"/>
  <c r="EY166" i="7" a="1"/>
  <c r="EY166" i="7" s="1"/>
  <c r="EN168" i="7" a="1"/>
  <c r="EN168" i="7" s="1"/>
  <c r="EB170" i="7" a="1"/>
  <c r="EB170" i="7" s="1"/>
  <c r="GA171" i="7" a="1"/>
  <c r="GA171" i="7" s="1"/>
  <c r="FP173" i="7" a="1"/>
  <c r="FP173" i="7" s="1"/>
  <c r="FD175" i="7" a="1"/>
  <c r="FD175" i="7" s="1"/>
  <c r="ED106" i="7" a="1"/>
  <c r="ED106" i="7" s="1"/>
  <c r="EG137" i="7" a="1"/>
  <c r="EG137" i="7" s="1"/>
  <c r="FP145" i="7" a="1"/>
  <c r="FP145" i="7" s="1"/>
  <c r="EU151" i="7" a="1"/>
  <c r="EU151" i="7" s="1"/>
  <c r="EE157" i="7" a="1"/>
  <c r="EE157" i="7" s="1"/>
  <c r="ES162" i="7" a="1"/>
  <c r="ES162" i="7" s="1"/>
  <c r="FU126" i="7" a="1"/>
  <c r="FU126" i="7" s="1"/>
  <c r="FH138" i="7" a="1"/>
  <c r="FH138" i="7" s="1"/>
  <c r="FS145" i="7" a="1"/>
  <c r="FS145" i="7" s="1"/>
  <c r="EV153" i="7" a="1"/>
  <c r="EV153" i="7" s="1"/>
  <c r="FS158" i="7" a="1"/>
  <c r="FS158" i="7" s="1"/>
  <c r="FR23" i="7" a="1"/>
  <c r="FR23" i="7" s="1"/>
  <c r="EL51" i="7" a="1"/>
  <c r="EL51" i="7" s="1"/>
  <c r="FW23" i="7" a="1"/>
  <c r="FW23" i="7" s="1"/>
  <c r="FV48" i="7" a="1"/>
  <c r="FV48" i="7" s="1"/>
  <c r="ED43" i="7" a="1"/>
  <c r="ED43" i="7" s="1"/>
  <c r="EO34" i="7" a="1"/>
  <c r="EO34" i="7" s="1"/>
  <c r="EJ31" i="7" a="1"/>
  <c r="EJ31" i="7" s="1"/>
  <c r="EF58" i="7" a="1"/>
  <c r="EF58" i="7" s="1"/>
  <c r="DS43" i="7" a="1"/>
  <c r="DS43" i="7" s="1"/>
  <c r="FX53" i="7" a="1"/>
  <c r="FX53" i="7" s="1"/>
  <c r="FV54" i="7" a="1"/>
  <c r="FV54" i="7" s="1"/>
  <c r="DV48" i="7" a="1"/>
  <c r="DV48" i="7" s="1"/>
  <c r="FS34" i="7" a="1"/>
  <c r="FS34" i="7" s="1"/>
  <c r="DU50" i="7" a="1"/>
  <c r="DU50" i="7" s="1"/>
  <c r="EU62" i="7" a="1"/>
  <c r="EU62" i="7" s="1"/>
  <c r="FC50" i="7" a="1"/>
  <c r="FC50" i="7" s="1"/>
  <c r="EI61" i="7" a="1"/>
  <c r="EI61" i="7" s="1"/>
  <c r="FQ52" i="7" a="1"/>
  <c r="FQ52" i="7" s="1"/>
  <c r="DT64" i="7" a="1"/>
  <c r="DT64" i="7" s="1"/>
  <c r="FW55" i="7" a="1"/>
  <c r="FW55" i="7" s="1"/>
  <c r="FH38" i="7" a="1"/>
  <c r="FH38" i="7" s="1"/>
  <c r="EN57" i="7" a="1"/>
  <c r="EN57" i="7" s="1"/>
  <c r="FW46" i="7" a="1"/>
  <c r="FW46" i="7" s="1"/>
  <c r="EK68" i="7" a="1"/>
  <c r="EK68" i="7" s="1"/>
  <c r="FG73" i="7" a="1"/>
  <c r="FG73" i="7" s="1"/>
  <c r="EA62" i="7" a="1"/>
  <c r="EA62" i="7" s="1"/>
  <c r="FB48" i="7" a="1"/>
  <c r="FB48" i="7" s="1"/>
  <c r="FC68" i="7" a="1"/>
  <c r="FC68" i="7" s="1"/>
  <c r="FV73" i="7" a="1"/>
  <c r="FV73" i="7" s="1"/>
  <c r="FL62" i="7" a="1"/>
  <c r="FL62" i="7" s="1"/>
  <c r="EG51" i="7" a="1"/>
  <c r="EG51" i="7" s="1"/>
  <c r="EV61" i="7" a="1"/>
  <c r="EV61" i="7" s="1"/>
  <c r="FY70" i="7" a="1"/>
  <c r="FY70" i="7" s="1"/>
  <c r="ER64" i="7" a="1"/>
  <c r="ER64" i="7" s="1"/>
  <c r="FH81" i="7" a="1"/>
  <c r="FH81" i="7" s="1"/>
  <c r="GA47" i="7" a="1"/>
  <c r="GA47" i="7" s="1"/>
  <c r="FQ72" i="7" a="1"/>
  <c r="FQ72" i="7" s="1"/>
  <c r="ER81" i="7" a="1"/>
  <c r="ER81" i="7" s="1"/>
  <c r="EX89" i="7" a="1"/>
  <c r="EX89" i="7" s="1"/>
  <c r="FO67" i="7" a="1"/>
  <c r="FO67" i="7" s="1"/>
  <c r="DR80" i="7" a="1"/>
  <c r="DR80" i="7" s="1"/>
  <c r="ED91" i="7" a="1"/>
  <c r="ED91" i="7" s="1"/>
  <c r="FX94" i="7" a="1"/>
  <c r="FX94" i="7" s="1"/>
  <c r="ES62" i="7" a="1"/>
  <c r="ES62" i="7" s="1"/>
  <c r="EP76" i="7" a="1"/>
  <c r="EP76" i="7" s="1"/>
  <c r="EI80" i="7" a="1"/>
  <c r="EI80" i="7" s="1"/>
  <c r="EP84" i="7" a="1"/>
  <c r="EP84" i="7" s="1"/>
  <c r="ET62" i="7" a="1"/>
  <c r="ET62" i="7" s="1"/>
  <c r="DR56" i="7" a="1"/>
  <c r="DR56" i="7" s="1"/>
  <c r="FU68" i="7" a="1"/>
  <c r="FU68" i="7" s="1"/>
  <c r="FS73" i="7" a="1"/>
  <c r="FS73" i="7" s="1"/>
  <c r="FH84" i="7" a="1"/>
  <c r="FH84" i="7" s="1"/>
  <c r="EW88" i="7" a="1"/>
  <c r="EW88" i="7" s="1"/>
  <c r="ED92" i="7" a="1"/>
  <c r="ED92" i="7" s="1"/>
  <c r="FB62" i="7" a="1"/>
  <c r="FB62" i="7" s="1"/>
  <c r="DQ75" i="7" a="1"/>
  <c r="DQ75" i="7" s="1"/>
  <c r="ES80" i="7" a="1"/>
  <c r="ES80" i="7" s="1"/>
  <c r="EK86" i="7" a="1"/>
  <c r="EK86" i="7" s="1"/>
  <c r="ES92" i="7" a="1"/>
  <c r="ES92" i="7" s="1"/>
  <c r="FZ94" i="7" a="1"/>
  <c r="FZ94" i="7" s="1"/>
  <c r="EA63" i="7" a="1"/>
  <c r="EA63" i="7" s="1"/>
  <c r="FP74" i="7" a="1"/>
  <c r="FP74" i="7" s="1"/>
  <c r="DV81" i="7" a="1"/>
  <c r="DV81" i="7" s="1"/>
  <c r="FI86" i="7" a="1"/>
  <c r="FI86" i="7" s="1"/>
  <c r="EJ92" i="7" a="1"/>
  <c r="EJ92" i="7" s="1"/>
  <c r="FB47" i="7" a="1"/>
  <c r="FB47" i="7" s="1"/>
  <c r="FH63" i="7" a="1"/>
  <c r="FH63" i="7" s="1"/>
  <c r="DW72" i="7" a="1"/>
  <c r="DW72" i="7" s="1"/>
  <c r="FT78" i="7" a="1"/>
  <c r="FT78" i="7" s="1"/>
  <c r="FZ85" i="7" a="1"/>
  <c r="FZ85" i="7" s="1"/>
  <c r="EA91" i="7" a="1"/>
  <c r="EA91" i="7" s="1"/>
  <c r="ET94" i="7" a="1"/>
  <c r="ET94" i="7" s="1"/>
  <c r="FD60" i="7" a="1"/>
  <c r="FD60" i="7" s="1"/>
  <c r="FF75" i="7" a="1"/>
  <c r="FF75" i="7" s="1"/>
  <c r="DW81" i="7" a="1"/>
  <c r="DW81" i="7" s="1"/>
  <c r="EM86" i="7" a="1"/>
  <c r="EM86" i="7" s="1"/>
  <c r="EM91" i="7" a="1"/>
  <c r="EM91" i="7" s="1"/>
  <c r="DQ96" i="7" a="1"/>
  <c r="DQ96" i="7" s="1"/>
  <c r="FQ56" i="7" a="1"/>
  <c r="FQ56" i="7" s="1"/>
  <c r="DY68" i="7" a="1"/>
  <c r="DY68" i="7" s="1"/>
  <c r="FH54" i="7" a="1"/>
  <c r="FH54" i="7" s="1"/>
  <c r="FR66" i="7" a="1"/>
  <c r="FR66" i="7" s="1"/>
  <c r="FM72" i="7" a="1"/>
  <c r="FM72" i="7" s="1"/>
  <c r="FL77" i="7" a="1"/>
  <c r="FL77" i="7" s="1"/>
  <c r="FN82" i="7" a="1"/>
  <c r="FN82" i="7" s="1"/>
  <c r="EE88" i="7" a="1"/>
  <c r="EE88" i="7" s="1"/>
  <c r="FH92" i="7" a="1"/>
  <c r="FH92" i="7" s="1"/>
  <c r="FY55" i="7" a="1"/>
  <c r="FY55" i="7" s="1"/>
  <c r="FF71" i="7" a="1"/>
  <c r="FF71" i="7" s="1"/>
  <c r="DX80" i="7" a="1"/>
  <c r="DX80" i="7" s="1"/>
  <c r="FV85" i="7" a="1"/>
  <c r="FV85" i="7" s="1"/>
  <c r="EF95" i="7" a="1"/>
  <c r="EF95" i="7" s="1"/>
  <c r="GA101" i="7" a="1"/>
  <c r="GA101" i="7" s="1"/>
  <c r="EL105" i="7" a="1"/>
  <c r="EL105" i="7" s="1"/>
  <c r="FH108" i="7" a="1"/>
  <c r="FH108" i="7" s="1"/>
  <c r="DS112" i="7" a="1"/>
  <c r="DS112" i="7" s="1"/>
  <c r="FS66" i="7" a="1"/>
  <c r="FS66" i="7" s="1"/>
  <c r="GA76" i="7" a="1"/>
  <c r="GA76" i="7" s="1"/>
  <c r="EX84" i="7" a="1"/>
  <c r="EX84" i="7" s="1"/>
  <c r="EM92" i="7" a="1"/>
  <c r="EM92" i="7" s="1"/>
  <c r="FJ96" i="7" a="1"/>
  <c r="FJ96" i="7" s="1"/>
  <c r="EX98" i="7" a="1"/>
  <c r="EX98" i="7" s="1"/>
  <c r="EM100" i="7" a="1"/>
  <c r="EM100" i="7" s="1"/>
  <c r="FB102" i="7" a="1"/>
  <c r="FB102" i="7" s="1"/>
  <c r="FI105" i="7" a="1"/>
  <c r="FI105" i="7" s="1"/>
  <c r="FP108" i="7" a="1"/>
  <c r="FP108" i="7" s="1"/>
  <c r="FW111" i="7" a="1"/>
  <c r="FW111" i="7" s="1"/>
  <c r="FS113" i="7" a="1"/>
  <c r="FS113" i="7" s="1"/>
  <c r="EF66" i="7" a="1"/>
  <c r="EF66" i="7" s="1"/>
  <c r="DY81" i="7" a="1"/>
  <c r="DY81" i="7" s="1"/>
  <c r="FI87" i="7" a="1"/>
  <c r="FI87" i="7" s="1"/>
  <c r="FT91" i="7" a="1"/>
  <c r="FT91" i="7" s="1"/>
  <c r="EY98" i="7" a="1"/>
  <c r="EY98" i="7" s="1"/>
  <c r="FO103" i="7" a="1"/>
  <c r="FO103" i="7" s="1"/>
  <c r="FV106" i="7" a="1"/>
  <c r="FV106" i="7" s="1"/>
  <c r="DR110" i="7" a="1"/>
  <c r="DR110" i="7" s="1"/>
  <c r="ED40" i="7" a="1"/>
  <c r="ED40" i="7" s="1"/>
  <c r="FT74" i="7" a="1"/>
  <c r="FT74" i="7" s="1"/>
  <c r="EC80" i="7" a="1"/>
  <c r="EC80" i="7" s="1"/>
  <c r="EY84" i="7" a="1"/>
  <c r="EY84" i="7" s="1"/>
  <c r="FF93" i="7" a="1"/>
  <c r="FF93" i="7" s="1"/>
  <c r="DY97" i="7" a="1"/>
  <c r="DY97" i="7" s="1"/>
  <c r="FX98" i="7" a="1"/>
  <c r="FX98" i="7" s="1"/>
  <c r="FL100" i="7" a="1"/>
  <c r="FL100" i="7" s="1"/>
  <c r="ED103" i="7" a="1"/>
  <c r="ED103" i="7" s="1"/>
  <c r="EK106" i="7" a="1"/>
  <c r="EK106" i="7" s="1"/>
  <c r="ER109" i="7" a="1"/>
  <c r="ER109" i="7" s="1"/>
  <c r="EY112" i="7" a="1"/>
  <c r="EY112" i="7" s="1"/>
  <c r="DR65" i="7" a="1"/>
  <c r="DR65" i="7" s="1"/>
  <c r="EO77" i="7" a="1"/>
  <c r="EO77" i="7" s="1"/>
  <c r="EY49" i="7" a="1"/>
  <c r="EY49" i="7" s="1"/>
  <c r="FM67" i="7" a="1"/>
  <c r="FM67" i="7" s="1"/>
  <c r="FY80" i="7" a="1"/>
  <c r="FY80" i="7" s="1"/>
  <c r="FE86" i="7" a="1"/>
  <c r="FE86" i="7" s="1"/>
  <c r="FD95" i="7" a="1"/>
  <c r="FD95" i="7" s="1"/>
  <c r="DT102" i="7" a="1"/>
  <c r="DT102" i="7" s="1"/>
  <c r="EA105" i="7" a="1"/>
  <c r="EA105" i="7" s="1"/>
  <c r="EH108" i="7" a="1"/>
  <c r="EH108" i="7" s="1"/>
  <c r="EO111" i="7" a="1"/>
  <c r="EO111" i="7" s="1"/>
  <c r="FX74" i="7" a="1"/>
  <c r="FX74" i="7" s="1"/>
  <c r="FK83" i="7" a="1"/>
  <c r="FK83" i="7" s="1"/>
  <c r="FT93" i="7" a="1"/>
  <c r="FT93" i="7" s="1"/>
  <c r="EG99" i="7" a="1"/>
  <c r="EG99" i="7" s="1"/>
  <c r="DZ103" i="7" a="1"/>
  <c r="DZ103" i="7" s="1"/>
  <c r="EY108" i="7" a="1"/>
  <c r="EY108" i="7" s="1"/>
  <c r="DX113" i="7" a="1"/>
  <c r="DX113" i="7" s="1"/>
  <c r="FF115" i="7" a="1"/>
  <c r="FF115" i="7" s="1"/>
  <c r="ET117" i="7" a="1"/>
  <c r="ET117" i="7" s="1"/>
  <c r="EH119" i="7" a="1"/>
  <c r="EH119" i="7" s="1"/>
  <c r="DW121" i="7" a="1"/>
  <c r="DW121" i="7" s="1"/>
  <c r="ES123" i="7" a="1"/>
  <c r="ES123" i="7" s="1"/>
  <c r="EZ126" i="7" a="1"/>
  <c r="EZ126" i="7" s="1"/>
  <c r="FG129" i="7" a="1"/>
  <c r="FG129" i="7" s="1"/>
  <c r="FN132" i="7" a="1"/>
  <c r="FN132" i="7" s="1"/>
  <c r="DR76" i="7" a="1"/>
  <c r="DR76" i="7" s="1"/>
  <c r="ED90" i="7" a="1"/>
  <c r="ED90" i="7" s="1"/>
  <c r="FG97" i="7" a="1"/>
  <c r="FG97" i="7" s="1"/>
  <c r="EQ102" i="7" a="1"/>
  <c r="EQ102" i="7" s="1"/>
  <c r="EF107" i="7" a="1"/>
  <c r="EF107" i="7" s="1"/>
  <c r="DW112" i="7" a="1"/>
  <c r="DW112" i="7" s="1"/>
  <c r="EQ119" i="7" a="1"/>
  <c r="EQ119" i="7" s="1"/>
  <c r="EQ124" i="7" a="1"/>
  <c r="EQ124" i="7" s="1"/>
  <c r="EX127" i="7" a="1"/>
  <c r="EX127" i="7" s="1"/>
  <c r="FE130" i="7" a="1"/>
  <c r="FE130" i="7" s="1"/>
  <c r="EM133" i="7" a="1"/>
  <c r="EM133" i="7" s="1"/>
  <c r="FV134" i="7" a="1"/>
  <c r="FV134" i="7" s="1"/>
  <c r="FC76" i="7" a="1"/>
  <c r="FC76" i="7" s="1"/>
  <c r="EG88" i="7" a="1"/>
  <c r="EG88" i="7" s="1"/>
  <c r="ES96" i="7" a="1"/>
  <c r="ES96" i="7" s="1"/>
  <c r="FV100" i="7" a="1"/>
  <c r="FV100" i="7" s="1"/>
  <c r="FN105" i="7" a="1"/>
  <c r="FN105" i="7" s="1"/>
  <c r="DQ111" i="7" a="1"/>
  <c r="DQ111" i="7" s="1"/>
  <c r="EE114" i="7" a="1"/>
  <c r="EE114" i="7" s="1"/>
  <c r="DT116" i="7" a="1"/>
  <c r="DT116" i="7" s="1"/>
  <c r="FT117" i="7" a="1"/>
  <c r="FT117" i="7" s="1"/>
  <c r="FH119" i="7" a="1"/>
  <c r="FH119" i="7" s="1"/>
  <c r="EV121" i="7" a="1"/>
  <c r="EV121" i="7" s="1"/>
  <c r="EB124" i="7" a="1"/>
  <c r="EB124" i="7" s="1"/>
  <c r="EI127" i="7" a="1"/>
  <c r="EI127" i="7" s="1"/>
  <c r="DT69" i="7" a="1"/>
  <c r="DT69" i="7" s="1"/>
  <c r="EC82" i="7" a="1"/>
  <c r="EC82" i="7" s="1"/>
  <c r="DU97" i="7" a="1"/>
  <c r="DU97" i="7" s="1"/>
  <c r="EV101" i="7" a="1"/>
  <c r="EV101" i="7" s="1"/>
  <c r="FW106" i="7" a="1"/>
  <c r="FW106" i="7" s="1"/>
  <c r="EB111" i="7" a="1"/>
  <c r="EB111" i="7" s="1"/>
  <c r="EX118" i="7" a="1"/>
  <c r="EX118" i="7" s="1"/>
  <c r="EC124" i="7" a="1"/>
  <c r="EC124" i="7" s="1"/>
  <c r="EJ127" i="7" a="1"/>
  <c r="EJ127" i="7" s="1"/>
  <c r="EQ130" i="7" a="1"/>
  <c r="EQ130" i="7" s="1"/>
  <c r="EG133" i="7" a="1"/>
  <c r="EG133" i="7" s="1"/>
  <c r="FP134" i="7" a="1"/>
  <c r="FP134" i="7" s="1"/>
  <c r="EC76" i="7" a="1"/>
  <c r="EC76" i="7" s="1"/>
  <c r="FB86" i="7" a="1"/>
  <c r="FB86" i="7" s="1"/>
  <c r="EH96" i="7" a="1"/>
  <c r="EH96" i="7" s="1"/>
  <c r="FL55" i="7" a="1"/>
  <c r="FL55" i="7" s="1"/>
  <c r="DR78" i="7" a="1"/>
  <c r="DR78" i="7" s="1"/>
  <c r="EP88" i="7" a="1"/>
  <c r="EP88" i="7" s="1"/>
  <c r="FL96" i="7" a="1"/>
  <c r="FL96" i="7" s="1"/>
  <c r="EN101" i="7" a="1"/>
  <c r="EN101" i="7" s="1"/>
  <c r="DS106" i="7" a="1"/>
  <c r="DS106" i="7" s="1"/>
  <c r="EG111" i="7" a="1"/>
  <c r="EG111" i="7" s="1"/>
  <c r="FH114" i="7" a="1"/>
  <c r="FH114" i="7" s="1"/>
  <c r="EV116" i="7" a="1"/>
  <c r="EV116" i="7" s="1"/>
  <c r="EK118" i="7" a="1"/>
  <c r="EK118" i="7" s="1"/>
  <c r="DY120" i="7" a="1"/>
  <c r="DY120" i="7" s="1"/>
  <c r="FX121" i="7" a="1"/>
  <c r="FX121" i="7" s="1"/>
  <c r="DU125" i="7" a="1"/>
  <c r="DU125" i="7" s="1"/>
  <c r="EB128" i="7" a="1"/>
  <c r="EB128" i="7" s="1"/>
  <c r="EM88" i="7" a="1"/>
  <c r="EM88" i="7" s="1"/>
  <c r="EB100" i="7" a="1"/>
  <c r="EB100" i="7" s="1"/>
  <c r="EP110" i="7" a="1"/>
  <c r="EP110" i="7" s="1"/>
  <c r="EE116" i="7" a="1"/>
  <c r="EE116" i="7" s="1"/>
  <c r="FG121" i="7" a="1"/>
  <c r="FG121" i="7" s="1"/>
  <c r="EA126" i="7" a="1"/>
  <c r="EA126" i="7" s="1"/>
  <c r="FQ130" i="7" a="1"/>
  <c r="FQ130" i="7" s="1"/>
  <c r="DZ64" i="7" a="1"/>
  <c r="DZ64" i="7" s="1"/>
  <c r="EN88" i="7" a="1"/>
  <c r="EN88" i="7" s="1"/>
  <c r="FK101" i="7" a="1"/>
  <c r="FK101" i="7" s="1"/>
  <c r="DY108" i="7" a="1"/>
  <c r="DY108" i="7" s="1"/>
  <c r="EU113" i="7" a="1"/>
  <c r="EU113" i="7" s="1"/>
  <c r="FR118" i="7" a="1"/>
  <c r="FR118" i="7" s="1"/>
  <c r="EV66" i="7" a="1"/>
  <c r="EV66" i="7" s="1"/>
  <c r="FJ89" i="7" a="1"/>
  <c r="FJ89" i="7" s="1"/>
  <c r="EC100" i="7" a="1"/>
  <c r="EC100" i="7" s="1"/>
  <c r="FJ108" i="7" a="1"/>
  <c r="FJ108" i="7" s="1"/>
  <c r="FS116" i="7" a="1"/>
  <c r="FS116" i="7" s="1"/>
  <c r="EI122" i="7" a="1"/>
  <c r="EI122" i="7" s="1"/>
  <c r="EA47" i="7" a="1"/>
  <c r="EA47" i="7" s="1"/>
  <c r="EA86" i="7" a="1"/>
  <c r="EA86" i="7" s="1"/>
  <c r="EF99" i="7" a="1"/>
  <c r="EF99" i="7" s="1"/>
  <c r="ES106" i="7" a="1"/>
  <c r="ES106" i="7" s="1"/>
  <c r="DR113" i="7" a="1"/>
  <c r="DR113" i="7" s="1"/>
  <c r="FU117" i="7" a="1"/>
  <c r="FU117" i="7" s="1"/>
  <c r="FG122" i="7" a="1"/>
  <c r="FG122" i="7" s="1"/>
  <c r="EE38" i="7" a="1"/>
  <c r="EE38" i="7" s="1"/>
  <c r="FB84" i="7" a="1"/>
  <c r="FB84" i="7" s="1"/>
  <c r="DV90" i="7" a="1"/>
  <c r="DV90" i="7" s="1"/>
  <c r="DR100" i="7" a="1"/>
  <c r="DR100" i="7" s="1"/>
  <c r="FF105" i="7" a="1"/>
  <c r="FF105" i="7" s="1"/>
  <c r="ER85" i="7" a="1"/>
  <c r="ER85" i="7" s="1"/>
  <c r="FQ101" i="7" a="1"/>
  <c r="FQ101" i="7" s="1"/>
  <c r="EM112" i="7" a="1"/>
  <c r="EM112" i="7" s="1"/>
  <c r="ED119" i="7" a="1"/>
  <c r="ED119" i="7" s="1"/>
  <c r="FJ126" i="7" a="1"/>
  <c r="FJ126" i="7" s="1"/>
  <c r="EO133" i="7" a="1"/>
  <c r="EO133" i="7" s="1"/>
  <c r="EP136" i="7" a="1"/>
  <c r="EP136" i="7" s="1"/>
  <c r="FY137" i="7" a="1"/>
  <c r="FY137" i="7" s="1"/>
  <c r="EW139" i="7" a="1"/>
  <c r="EW139" i="7" s="1"/>
  <c r="DU141" i="7" a="1"/>
  <c r="DU141" i="7" s="1"/>
  <c r="GA93" i="7" a="1"/>
  <c r="GA93" i="7" s="1"/>
  <c r="EF108" i="7" a="1"/>
  <c r="EF108" i="7" s="1"/>
  <c r="EO116" i="7" a="1"/>
  <c r="EO116" i="7" s="1"/>
  <c r="FA124" i="7" a="1"/>
  <c r="FA124" i="7" s="1"/>
  <c r="EA129" i="7" a="1"/>
  <c r="EA129" i="7" s="1"/>
  <c r="DV133" i="7" a="1"/>
  <c r="DV133" i="7" s="1"/>
  <c r="EV76" i="7" a="1"/>
  <c r="EV76" i="7" s="1"/>
  <c r="FZ98" i="7" a="1"/>
  <c r="FZ98" i="7" s="1"/>
  <c r="DZ109" i="7" a="1"/>
  <c r="DZ109" i="7" s="1"/>
  <c r="DZ118" i="7" a="1"/>
  <c r="DZ118" i="7" s="1"/>
  <c r="EN124" i="7" a="1"/>
  <c r="EN124" i="7" s="1"/>
  <c r="EA130" i="7" a="1"/>
  <c r="EA130" i="7" s="1"/>
  <c r="EI135" i="7" a="1"/>
  <c r="EI135" i="7" s="1"/>
  <c r="FG74" i="7" a="1"/>
  <c r="FG74" i="7" s="1"/>
  <c r="FI103" i="7" a="1"/>
  <c r="FI103" i="7" s="1"/>
  <c r="FU115" i="7" a="1"/>
  <c r="FU115" i="7" s="1"/>
  <c r="FB122" i="7" a="1"/>
  <c r="FB122" i="7" s="1"/>
  <c r="EA128" i="7" a="1"/>
  <c r="EA128" i="7" s="1"/>
  <c r="EV131" i="7" a="1"/>
  <c r="EV131" i="7" s="1"/>
  <c r="EQ135" i="7" a="1"/>
  <c r="EQ135" i="7" s="1"/>
  <c r="FX97" i="7" a="1"/>
  <c r="FX97" i="7" s="1"/>
  <c r="FD80" i="7" a="1"/>
  <c r="FD80" i="7" s="1"/>
  <c r="EJ48" i="7" a="1"/>
  <c r="EJ48" i="7" s="1"/>
  <c r="EY97" i="7" a="1"/>
  <c r="EY97" i="7" s="1"/>
  <c r="EF109" i="7" a="1"/>
  <c r="EF109" i="7" s="1"/>
  <c r="FH117" i="7" a="1"/>
  <c r="FH117" i="7" s="1"/>
  <c r="FE124" i="7" a="1"/>
  <c r="FE124" i="7" s="1"/>
  <c r="DR132" i="7" a="1"/>
  <c r="DR132" i="7" s="1"/>
  <c r="EF45" i="7" a="1"/>
  <c r="EF45" i="7" s="1"/>
  <c r="DT107" i="7" a="1"/>
  <c r="DT107" i="7" s="1"/>
  <c r="ER118" i="7" a="1"/>
  <c r="ER118" i="7" s="1"/>
  <c r="FU129" i="7" a="1"/>
  <c r="FU129" i="7" s="1"/>
  <c r="FX135" i="7" a="1"/>
  <c r="FX135" i="7" s="1"/>
  <c r="FT137" i="7" a="1"/>
  <c r="FT137" i="7" s="1"/>
  <c r="ET140" i="7" a="1"/>
  <c r="ET140" i="7" s="1"/>
  <c r="FF142" i="7" a="1"/>
  <c r="FF142" i="7" s="1"/>
  <c r="ED144" i="7" a="1"/>
  <c r="ED144" i="7" s="1"/>
  <c r="FM145" i="7" a="1"/>
  <c r="FM145" i="7" s="1"/>
  <c r="EK147" i="7" a="1"/>
  <c r="EK147" i="7" s="1"/>
  <c r="FT148" i="7" a="1"/>
  <c r="FT148" i="7" s="1"/>
  <c r="ER150" i="7" a="1"/>
  <c r="ER150" i="7" s="1"/>
  <c r="GA151" i="7" a="1"/>
  <c r="GA151" i="7" s="1"/>
  <c r="EY153" i="7" a="1"/>
  <c r="EY153" i="7" s="1"/>
  <c r="DW155" i="7" a="1"/>
  <c r="DW155" i="7" s="1"/>
  <c r="DZ99" i="7" a="1"/>
  <c r="DZ99" i="7" s="1"/>
  <c r="DX111" i="7" a="1"/>
  <c r="DX111" i="7" s="1"/>
  <c r="FC120" i="7" a="1"/>
  <c r="FC120" i="7" s="1"/>
  <c r="FE128" i="7" a="1"/>
  <c r="FE128" i="7" s="1"/>
  <c r="FD134" i="7" a="1"/>
  <c r="FD134" i="7" s="1"/>
  <c r="DY63" i="7" a="1"/>
  <c r="DY63" i="7" s="1"/>
  <c r="FN111" i="7" a="1"/>
  <c r="FN111" i="7" s="1"/>
  <c r="DZ123" i="7" a="1"/>
  <c r="DZ123" i="7" s="1"/>
  <c r="ED131" i="7" a="1"/>
  <c r="ED131" i="7" s="1"/>
  <c r="FB136" i="7" a="1"/>
  <c r="FB136" i="7" s="1"/>
  <c r="EQ138" i="7" a="1"/>
  <c r="EQ138" i="7" s="1"/>
  <c r="EZ141" i="7" a="1"/>
  <c r="EZ141" i="7" s="1"/>
  <c r="DX143" i="7" a="1"/>
  <c r="DX143" i="7" s="1"/>
  <c r="FG144" i="7" a="1"/>
  <c r="FG144" i="7" s="1"/>
  <c r="EE146" i="7" a="1"/>
  <c r="EE146" i="7" s="1"/>
  <c r="FN147" i="7" a="1"/>
  <c r="FN147" i="7" s="1"/>
  <c r="EL149" i="7" a="1"/>
  <c r="EL149" i="7" s="1"/>
  <c r="FU150" i="7" a="1"/>
  <c r="FU150" i="7" s="1"/>
  <c r="ES152" i="7" a="1"/>
  <c r="ES152" i="7" s="1"/>
  <c r="DQ154" i="7" a="1"/>
  <c r="DQ154" i="7" s="1"/>
  <c r="EH86" i="7" a="1"/>
  <c r="EH86" i="7" s="1"/>
  <c r="EZ113" i="7" a="1"/>
  <c r="EZ113" i="7" s="1"/>
  <c r="EV124" i="7" a="1"/>
  <c r="EV124" i="7" s="1"/>
  <c r="FX130" i="7" a="1"/>
  <c r="FX130" i="7" s="1"/>
  <c r="FP135" i="7" a="1"/>
  <c r="FP135" i="7" s="1"/>
  <c r="EE98" i="7" a="1"/>
  <c r="EE98" i="7" s="1"/>
  <c r="DW114" i="7" a="1"/>
  <c r="DW114" i="7" s="1"/>
  <c r="EG81" i="7" a="1"/>
  <c r="EG81" i="7" s="1"/>
  <c r="DU112" i="7" a="1"/>
  <c r="DU112" i="7" s="1"/>
  <c r="FD123" i="7" a="1"/>
  <c r="FD123" i="7" s="1"/>
  <c r="FS132" i="7" a="1"/>
  <c r="FS132" i="7" s="1"/>
  <c r="FN136" i="7" a="1"/>
  <c r="FN136" i="7" s="1"/>
  <c r="FB138" i="7" a="1"/>
  <c r="FB138" i="7" s="1"/>
  <c r="FJ141" i="7" a="1"/>
  <c r="FJ141" i="7" s="1"/>
  <c r="EH143" i="7" a="1"/>
  <c r="EH143" i="7" s="1"/>
  <c r="FQ144" i="7" a="1"/>
  <c r="FQ144" i="7" s="1"/>
  <c r="EO146" i="7" a="1"/>
  <c r="EO146" i="7" s="1"/>
  <c r="FX147" i="7" a="1"/>
  <c r="FX147" i="7" s="1"/>
  <c r="EV149" i="7" a="1"/>
  <c r="EV149" i="7" s="1"/>
  <c r="DT151" i="7" a="1"/>
  <c r="DT151" i="7" s="1"/>
  <c r="EP97" i="7" a="1"/>
  <c r="EP97" i="7" s="1"/>
  <c r="EF126" i="7" a="1"/>
  <c r="EF126" i="7" s="1"/>
  <c r="EU138" i="7" a="1"/>
  <c r="EU138" i="7" s="1"/>
  <c r="EP143" i="7" a="1"/>
  <c r="EP143" i="7" s="1"/>
  <c r="FL148" i="7" a="1"/>
  <c r="FL148" i="7" s="1"/>
  <c r="EF156" i="7" a="1"/>
  <c r="EF156" i="7" s="1"/>
  <c r="DT158" i="7" a="1"/>
  <c r="DT158" i="7" s="1"/>
  <c r="FS159" i="7" a="1"/>
  <c r="FS159" i="7" s="1"/>
  <c r="EK30" i="7" a="1"/>
  <c r="EK30" i="7" s="1"/>
  <c r="ES51" i="7" a="1"/>
  <c r="ES51" i="7" s="1"/>
  <c r="EL30" i="7" a="1"/>
  <c r="EL30" i="7" s="1"/>
  <c r="FO49" i="7" a="1"/>
  <c r="FO49" i="7" s="1"/>
  <c r="FE43" i="7" a="1"/>
  <c r="FE43" i="7" s="1"/>
  <c r="ER35" i="7" a="1"/>
  <c r="ER35" i="7" s="1"/>
  <c r="EY38" i="7" a="1"/>
  <c r="EY38" i="7" s="1"/>
  <c r="EU58" i="7" a="1"/>
  <c r="EU58" i="7" s="1"/>
  <c r="DX46" i="7" a="1"/>
  <c r="DX46" i="7" s="1"/>
  <c r="EV19" i="7" a="1"/>
  <c r="EV19" i="7" s="1"/>
  <c r="FI56" i="7" a="1"/>
  <c r="FI56" i="7" s="1"/>
  <c r="EG48" i="7" a="1"/>
  <c r="EG48" i="7" s="1"/>
  <c r="FR39" i="7" a="1"/>
  <c r="FR39" i="7" s="1"/>
  <c r="EK50" i="7" a="1"/>
  <c r="EK50" i="7" s="1"/>
  <c r="EH64" i="7" a="1"/>
  <c r="EH64" i="7" s="1"/>
  <c r="FQ50" i="7" a="1"/>
  <c r="FQ50" i="7" s="1"/>
  <c r="DV63" i="7" a="1"/>
  <c r="DV63" i="7" s="1"/>
  <c r="DZ53" i="7" a="1"/>
  <c r="DZ53" i="7" s="1"/>
  <c r="FR65" i="7" a="1"/>
  <c r="FR65" i="7" s="1"/>
  <c r="EC56" i="7" a="1"/>
  <c r="EC56" i="7" s="1"/>
  <c r="EU44" i="7" a="1"/>
  <c r="EU44" i="7" s="1"/>
  <c r="FO57" i="7" a="1"/>
  <c r="FO57" i="7" s="1"/>
  <c r="FU52" i="7" a="1"/>
  <c r="FU52" i="7" s="1"/>
  <c r="ES68" i="7" a="1"/>
  <c r="ES68" i="7" s="1"/>
  <c r="EZ74" i="7" a="1"/>
  <c r="EZ74" i="7" s="1"/>
  <c r="EX62" i="7" a="1"/>
  <c r="EX62" i="7" s="1"/>
  <c r="ED53" i="7" a="1"/>
  <c r="ED53" i="7" s="1"/>
  <c r="FK68" i="7" a="1"/>
  <c r="FK68" i="7" s="1"/>
  <c r="EI27" i="7" a="1"/>
  <c r="EI27" i="7" s="1"/>
  <c r="FW62" i="7" a="1"/>
  <c r="FW62" i="7" s="1"/>
  <c r="FR21" i="7" a="1"/>
  <c r="FR21" i="7" s="1"/>
  <c r="FS61" i="7" a="1"/>
  <c r="FS61" i="7" s="1"/>
  <c r="FR71" i="7" a="1"/>
  <c r="FR71" i="7" s="1"/>
  <c r="DV65" i="7" a="1"/>
  <c r="DV65" i="7" s="1"/>
  <c r="ED85" i="7" a="1"/>
  <c r="ED85" i="7" s="1"/>
  <c r="EG49" i="7" a="1"/>
  <c r="EG49" i="7" s="1"/>
  <c r="EU75" i="7" a="1"/>
  <c r="EU75" i="7" s="1"/>
  <c r="EZ81" i="7" a="1"/>
  <c r="EZ81" i="7" s="1"/>
  <c r="EK91" i="7" a="1"/>
  <c r="EK91" i="7" s="1"/>
  <c r="DQ68" i="7" a="1"/>
  <c r="DQ68" i="7" s="1"/>
  <c r="EH84" i="7" a="1"/>
  <c r="EH84" i="7" s="1"/>
  <c r="ES91" i="7" a="1"/>
  <c r="ES91" i="7" s="1"/>
  <c r="DT95" i="7" a="1"/>
  <c r="DT95" i="7" s="1"/>
  <c r="GA65" i="7" a="1"/>
  <c r="GA65" i="7" s="1"/>
  <c r="EX76" i="7" a="1"/>
  <c r="EX76" i="7" s="1"/>
  <c r="EQ80" i="7" a="1"/>
  <c r="EQ80" i="7" s="1"/>
  <c r="FY85" i="7" a="1"/>
  <c r="FY85" i="7" s="1"/>
  <c r="FC63" i="7" a="1"/>
  <c r="FC63" i="7" s="1"/>
  <c r="EO56" i="7" a="1"/>
  <c r="EO56" i="7" s="1"/>
  <c r="DU69" i="7" a="1"/>
  <c r="DU69" i="7" s="1"/>
  <c r="EV74" i="7" a="1"/>
  <c r="EV74" i="7" s="1"/>
  <c r="FW84" i="7" a="1"/>
  <c r="FW84" i="7" s="1"/>
  <c r="FL88" i="7" a="1"/>
  <c r="FL88" i="7" s="1"/>
  <c r="EK92" i="7" a="1"/>
  <c r="EK92" i="7" s="1"/>
  <c r="FF63" i="7" a="1"/>
  <c r="FF63" i="7" s="1"/>
  <c r="EC75" i="7" a="1"/>
  <c r="EC75" i="7" s="1"/>
  <c r="FE80" i="7" a="1"/>
  <c r="FE80" i="7" s="1"/>
  <c r="EV86" i="7" a="1"/>
  <c r="EV86" i="7" s="1"/>
  <c r="FU92" i="7" a="1"/>
  <c r="FU92" i="7" s="1"/>
  <c r="FS22" i="7" a="1"/>
  <c r="FS22" i="7" s="1"/>
  <c r="GA63" i="7" a="1"/>
  <c r="GA63" i="7" s="1"/>
  <c r="FQ75" i="7" a="1"/>
  <c r="FQ75" i="7" s="1"/>
  <c r="EH81" i="7" a="1"/>
  <c r="EH81" i="7" s="1"/>
  <c r="DU87" i="7" a="1"/>
  <c r="DU87" i="7" s="1"/>
  <c r="FD92" i="7" a="1"/>
  <c r="FD92" i="7" s="1"/>
  <c r="FP48" i="7" a="1"/>
  <c r="FP48" i="7" s="1"/>
  <c r="EQ64" i="7" a="1"/>
  <c r="EQ64" i="7" s="1"/>
  <c r="FI72" i="7" a="1"/>
  <c r="FI72" i="7" s="1"/>
  <c r="DU79" i="7" a="1"/>
  <c r="DU79" i="7" s="1"/>
  <c r="DZ86" i="7" a="1"/>
  <c r="DZ86" i="7" s="1"/>
  <c r="EL91" i="7" a="1"/>
  <c r="EL91" i="7" s="1"/>
  <c r="FB94" i="7" a="1"/>
  <c r="FB94" i="7" s="1"/>
  <c r="DW64" i="7" a="1"/>
  <c r="DW64" i="7" s="1"/>
  <c r="FR75" i="7" a="1"/>
  <c r="FR75" i="7" s="1"/>
  <c r="EI81" i="7" a="1"/>
  <c r="EI81" i="7" s="1"/>
  <c r="FW86" i="7" a="1"/>
  <c r="FW86" i="7" s="1"/>
  <c r="EW91" i="7" a="1"/>
  <c r="EW91" i="7" s="1"/>
  <c r="DX96" i="7" a="1"/>
  <c r="DX96" i="7" s="1"/>
  <c r="DS58" i="7" a="1"/>
  <c r="DS58" i="7" s="1"/>
  <c r="EV68" i="7" a="1"/>
  <c r="EV68" i="7" s="1"/>
  <c r="FO55" i="7" a="1"/>
  <c r="FO55" i="7" s="1"/>
  <c r="FT67" i="7" a="1"/>
  <c r="FT67" i="7" s="1"/>
  <c r="EI73" i="7" a="1"/>
  <c r="EI73" i="7" s="1"/>
  <c r="EN78" i="7" a="1"/>
  <c r="EN78" i="7" s="1"/>
  <c r="FZ82" i="7" a="1"/>
  <c r="FZ82" i="7" s="1"/>
  <c r="EO88" i="7" a="1"/>
  <c r="EO88" i="7" s="1"/>
  <c r="FR92" i="7" a="1"/>
  <c r="FR92" i="7" s="1"/>
  <c r="DT58" i="7" a="1"/>
  <c r="DT58" i="7" s="1"/>
  <c r="EN73" i="7" a="1"/>
  <c r="EN73" i="7" s="1"/>
  <c r="ER80" i="7" a="1"/>
  <c r="ER80" i="7" s="1"/>
  <c r="FP86" i="7" a="1"/>
  <c r="FP86" i="7" s="1"/>
  <c r="EX95" i="7" a="1"/>
  <c r="EX95" i="7" s="1"/>
  <c r="EE102" i="7" a="1"/>
  <c r="EE102" i="7" s="1"/>
  <c r="FA105" i="7" a="1"/>
  <c r="FA105" i="7" s="1"/>
  <c r="FW108" i="7" a="1"/>
  <c r="FW108" i="7" s="1"/>
  <c r="EH112" i="7" a="1"/>
  <c r="EH112" i="7" s="1"/>
  <c r="EU67" i="7" a="1"/>
  <c r="EU67" i="7" s="1"/>
  <c r="FD77" i="7" a="1"/>
  <c r="FD77" i="7" s="1"/>
  <c r="FN84" i="7" a="1"/>
  <c r="FN84" i="7" s="1"/>
  <c r="FA92" i="7" a="1"/>
  <c r="FA92" i="7" s="1"/>
  <c r="FR96" i="7" a="1"/>
  <c r="FR96" i="7" s="1"/>
  <c r="FG98" i="7" a="1"/>
  <c r="FG98" i="7" s="1"/>
  <c r="EU100" i="7" a="1"/>
  <c r="EU100" i="7" s="1"/>
  <c r="FQ102" i="7" a="1"/>
  <c r="FQ102" i="7" s="1"/>
  <c r="FX105" i="7" a="1"/>
  <c r="FX105" i="7" s="1"/>
  <c r="DT109" i="7" a="1"/>
  <c r="DT109" i="7" s="1"/>
  <c r="EA112" i="7" a="1"/>
  <c r="EA112" i="7" s="1"/>
  <c r="FZ113" i="7" a="1"/>
  <c r="FZ113" i="7" s="1"/>
  <c r="EW67" i="7" a="1"/>
  <c r="EW67" i="7" s="1"/>
  <c r="FL81" i="7" a="1"/>
  <c r="FL81" i="7" s="1"/>
  <c r="FX87" i="7" a="1"/>
  <c r="FX87" i="7" s="1"/>
  <c r="DX92" i="7" a="1"/>
  <c r="DX92" i="7" s="1"/>
  <c r="EK99" i="7" a="1"/>
  <c r="EK99" i="7" s="1"/>
  <c r="DS104" i="7" a="1"/>
  <c r="DS104" i="7" s="1"/>
  <c r="DZ107" i="7" a="1"/>
  <c r="DZ107" i="7" s="1"/>
  <c r="EG110" i="7" a="1"/>
  <c r="EG110" i="7" s="1"/>
  <c r="DU49" i="7" a="1"/>
  <c r="DU49" i="7" s="1"/>
  <c r="EW75" i="7" a="1"/>
  <c r="EW75" i="7" s="1"/>
  <c r="EW80" i="7" a="1"/>
  <c r="EW80" i="7" s="1"/>
  <c r="FP84" i="7" a="1"/>
  <c r="FP84" i="7" s="1"/>
  <c r="FS93" i="7" a="1"/>
  <c r="FS93" i="7" s="1"/>
  <c r="EG97" i="7" a="1"/>
  <c r="EG97" i="7" s="1"/>
  <c r="DU99" i="7" a="1"/>
  <c r="DU99" i="7" s="1"/>
  <c r="FU100" i="7" a="1"/>
  <c r="FU100" i="7" s="1"/>
  <c r="ES103" i="7" a="1"/>
  <c r="ES103" i="7" s="1"/>
  <c r="EZ106" i="7" a="1"/>
  <c r="EZ106" i="7" s="1"/>
  <c r="FG109" i="7" a="1"/>
  <c r="FG109" i="7" s="1"/>
  <c r="FF112" i="7" a="1"/>
  <c r="FF112" i="7" s="1"/>
  <c r="FH65" i="7" a="1"/>
  <c r="FH65" i="7" s="1"/>
  <c r="DQ78" i="7" a="1"/>
  <c r="DQ78" i="7" s="1"/>
  <c r="FG51" i="7" a="1"/>
  <c r="FG51" i="7" s="1"/>
  <c r="EJ68" i="7" a="1"/>
  <c r="EJ68" i="7" s="1"/>
  <c r="EE81" i="7" a="1"/>
  <c r="EE81" i="7" s="1"/>
  <c r="EY87" i="7" a="1"/>
  <c r="EY87" i="7" s="1"/>
  <c r="FO95" i="7" a="1"/>
  <c r="FO95" i="7" s="1"/>
  <c r="EI102" i="7" a="1"/>
  <c r="EI102" i="7" s="1"/>
  <c r="EP105" i="7" a="1"/>
  <c r="EP105" i="7" s="1"/>
  <c r="EW108" i="7" a="1"/>
  <c r="EW108" i="7" s="1"/>
  <c r="FD111" i="7" a="1"/>
  <c r="FD111" i="7" s="1"/>
  <c r="EY75" i="7" a="1"/>
  <c r="EY75" i="7" s="1"/>
  <c r="EX85" i="7" a="1"/>
  <c r="EX85" i="7" s="1"/>
  <c r="DY94" i="7" a="1"/>
  <c r="DY94" i="7" s="1"/>
  <c r="FF99" i="7" a="1"/>
  <c r="FF99" i="7" s="1"/>
  <c r="EW103" i="7" a="1"/>
  <c r="EW103" i="7" s="1"/>
  <c r="FK108" i="7" a="1"/>
  <c r="FK108" i="7" s="1"/>
  <c r="ER113" i="7" a="1"/>
  <c r="ER113" i="7" s="1"/>
  <c r="FN115" i="7" a="1"/>
  <c r="FN115" i="7" s="1"/>
  <c r="FB117" i="7" a="1"/>
  <c r="FB117" i="7" s="1"/>
  <c r="EP119" i="7" a="1"/>
  <c r="EP119" i="7" s="1"/>
  <c r="EE121" i="7" a="1"/>
  <c r="EE121" i="7" s="1"/>
  <c r="FH123" i="7" a="1"/>
  <c r="FH123" i="7" s="1"/>
  <c r="FO126" i="7" a="1"/>
  <c r="FO126" i="7" s="1"/>
  <c r="FV129" i="7" a="1"/>
  <c r="FV129" i="7" s="1"/>
  <c r="EV45" i="7" a="1"/>
  <c r="EV45" i="7" s="1"/>
  <c r="EC77" i="7" a="1"/>
  <c r="EC77" i="7" s="1"/>
  <c r="DS91" i="7" a="1"/>
  <c r="DS91" i="7" s="1"/>
  <c r="FR97" i="7" a="1"/>
  <c r="FR97" i="7" s="1"/>
  <c r="GA102" i="7" a="1"/>
  <c r="GA102" i="7" s="1"/>
  <c r="ES107" i="7" a="1"/>
  <c r="ES107" i="7" s="1"/>
  <c r="FP112" i="7" a="1"/>
  <c r="FP112" i="7" s="1"/>
  <c r="EC120" i="7" a="1"/>
  <c r="EC120" i="7" s="1"/>
  <c r="FF124" i="7" a="1"/>
  <c r="FF124" i="7" s="1"/>
  <c r="FM127" i="7" a="1"/>
  <c r="FM127" i="7" s="1"/>
  <c r="FT130" i="7" a="1"/>
  <c r="FT130" i="7" s="1"/>
  <c r="ET133" i="7" a="1"/>
  <c r="ET133" i="7" s="1"/>
  <c r="DR135" i="7" a="1"/>
  <c r="DR135" i="7" s="1"/>
  <c r="FM77" i="7" a="1"/>
  <c r="FM77" i="7" s="1"/>
  <c r="ER89" i="7" a="1"/>
  <c r="ER89" i="7" s="1"/>
  <c r="FG96" i="7" a="1"/>
  <c r="FG96" i="7" s="1"/>
  <c r="DV101" i="7" a="1"/>
  <c r="DV101" i="7" s="1"/>
  <c r="FZ105" i="7" a="1"/>
  <c r="FZ105" i="7" s="1"/>
  <c r="EN111" i="7" a="1"/>
  <c r="EN111" i="7" s="1"/>
  <c r="EN114" i="7" a="1"/>
  <c r="EN114" i="7" s="1"/>
  <c r="EB116" i="7" a="1"/>
  <c r="EB116" i="7" s="1"/>
  <c r="DQ118" i="7" a="1"/>
  <c r="DQ118" i="7" s="1"/>
  <c r="FP119" i="7" a="1"/>
  <c r="FP119" i="7" s="1"/>
  <c r="FD121" i="7" a="1"/>
  <c r="FD121" i="7" s="1"/>
  <c r="EJ124" i="7" a="1"/>
  <c r="EJ124" i="7" s="1"/>
  <c r="EQ127" i="7" a="1"/>
  <c r="EQ127" i="7" s="1"/>
  <c r="ER72" i="7" a="1"/>
  <c r="ER72" i="7" s="1"/>
  <c r="FD85" i="7" a="1"/>
  <c r="FD85" i="7" s="1"/>
  <c r="FH97" i="7" a="1"/>
  <c r="FH97" i="7" s="1"/>
  <c r="FI101" i="7" a="1"/>
  <c r="FI101" i="7" s="1"/>
  <c r="DW107" i="7" a="1"/>
  <c r="DW107" i="7" s="1"/>
  <c r="FL111" i="7" a="1"/>
  <c r="FL111" i="7" s="1"/>
  <c r="EJ119" i="7" a="1"/>
  <c r="EJ119" i="7" s="1"/>
  <c r="ER124" i="7" a="1"/>
  <c r="ER124" i="7" s="1"/>
  <c r="EY127" i="7" a="1"/>
  <c r="EY127" i="7" s="1"/>
  <c r="FF130" i="7" a="1"/>
  <c r="FF130" i="7" s="1"/>
  <c r="EN133" i="7" a="1"/>
  <c r="EN133" i="7" s="1"/>
  <c r="FW134" i="7" a="1"/>
  <c r="FW134" i="7" s="1"/>
  <c r="FO76" i="7" a="1"/>
  <c r="FO76" i="7" s="1"/>
  <c r="GA86" i="7" a="1"/>
  <c r="GA86" i="7" s="1"/>
  <c r="EV96" i="7" a="1"/>
  <c r="EV96" i="7" s="1"/>
  <c r="EN59" i="7" a="1"/>
  <c r="EN59" i="7" s="1"/>
  <c r="EX78" i="7" a="1"/>
  <c r="EX78" i="7" s="1"/>
  <c r="FR88" i="7" a="1"/>
  <c r="FR88" i="7" s="1"/>
  <c r="FX96" i="7" a="1"/>
  <c r="FX96" i="7" s="1"/>
  <c r="FN101" i="7" a="1"/>
  <c r="FN101" i="7" s="1"/>
  <c r="EP106" i="7" a="1"/>
  <c r="EP106" i="7" s="1"/>
  <c r="ER111" i="7" a="1"/>
  <c r="ER111" i="7" s="1"/>
  <c r="FP114" i="7" a="1"/>
  <c r="FP114" i="7" s="1"/>
  <c r="FD116" i="7" a="1"/>
  <c r="FD116" i="7" s="1"/>
  <c r="ES118" i="7" a="1"/>
  <c r="ES118" i="7" s="1"/>
  <c r="EG120" i="7" a="1"/>
  <c r="EG120" i="7" s="1"/>
  <c r="DU122" i="7" a="1"/>
  <c r="DU122" i="7" s="1"/>
  <c r="EC125" i="7" a="1"/>
  <c r="EC125" i="7" s="1"/>
  <c r="EJ128" i="7" a="1"/>
  <c r="EJ128" i="7" s="1"/>
  <c r="FV88" i="7" a="1"/>
  <c r="FV88" i="7" s="1"/>
  <c r="FP100" i="7" a="1"/>
  <c r="FP100" i="7" s="1"/>
  <c r="FI110" i="7" a="1"/>
  <c r="FI110" i="7" s="1"/>
  <c r="EP116" i="7" a="1"/>
  <c r="EP116" i="7" s="1"/>
  <c r="FR121" i="7" a="1"/>
  <c r="FR121" i="7" s="1"/>
  <c r="DW127" i="7" a="1"/>
  <c r="DW127" i="7" s="1"/>
  <c r="DZ131" i="7" a="1"/>
  <c r="DZ131" i="7" s="1"/>
  <c r="ET66" i="7" a="1"/>
  <c r="ET66" i="7" s="1"/>
  <c r="FI89" i="7" a="1"/>
  <c r="FI89" i="7" s="1"/>
  <c r="FE102" i="7" a="1"/>
  <c r="FE102" i="7" s="1"/>
  <c r="EQ108" i="7" a="1"/>
  <c r="EQ108" i="7" s="1"/>
  <c r="FI113" i="7" a="1"/>
  <c r="FI113" i="7" s="1"/>
  <c r="ET119" i="7" a="1"/>
  <c r="ET119" i="7" s="1"/>
  <c r="FP72" i="7" a="1"/>
  <c r="FP72" i="7" s="1"/>
  <c r="ES90" i="7" a="1"/>
  <c r="ES90" i="7" s="1"/>
  <c r="EZ100" i="7" a="1"/>
  <c r="EZ100" i="7" s="1"/>
  <c r="ET110" i="7" a="1"/>
  <c r="ET110" i="7" s="1"/>
  <c r="EG117" i="7" a="1"/>
  <c r="EG117" i="7" s="1"/>
  <c r="ET122" i="7" a="1"/>
  <c r="ET122" i="7" s="1"/>
  <c r="EE52" i="7" a="1"/>
  <c r="EE52" i="7" s="1"/>
  <c r="FK89" i="7" a="1"/>
  <c r="FK89" i="7" s="1"/>
  <c r="EC101" i="7" a="1"/>
  <c r="EC101" i="7" s="1"/>
  <c r="FK106" i="7" a="1"/>
  <c r="FK106" i="7" s="1"/>
  <c r="EF113" i="7" a="1"/>
  <c r="EF113" i="7" s="1"/>
  <c r="DU118" i="7" a="1"/>
  <c r="DU118" i="7" s="1"/>
  <c r="EM37" i="7" a="1"/>
  <c r="EM37" i="7" s="1"/>
  <c r="EP53" i="7" a="1"/>
  <c r="EP53" i="7" s="1"/>
  <c r="FB39" i="7" a="1"/>
  <c r="FB39" i="7" s="1"/>
  <c r="FO92" i="7" a="1"/>
  <c r="FO92" i="7" s="1"/>
  <c r="EL100" i="7" a="1"/>
  <c r="EL100" i="7" s="1"/>
  <c r="FV105" i="7" a="1"/>
  <c r="FV105" i="7" s="1"/>
  <c r="FY89" i="7" a="1"/>
  <c r="FY89" i="7" s="1"/>
  <c r="FL102" i="7" a="1"/>
  <c r="FL102" i="7" s="1"/>
  <c r="DU113" i="7" a="1"/>
  <c r="DU113" i="7" s="1"/>
  <c r="FW120" i="7" a="1"/>
  <c r="FW120" i="7" s="1"/>
  <c r="FV126" i="7" a="1"/>
  <c r="FV126" i="7" s="1"/>
  <c r="FR133" i="7" a="1"/>
  <c r="FR133" i="7" s="1"/>
  <c r="EW136" i="7" a="1"/>
  <c r="EW136" i="7" s="1"/>
  <c r="DU138" i="7" a="1"/>
  <c r="DU138" i="7" s="1"/>
  <c r="FD139" i="7" a="1"/>
  <c r="FD139" i="7" s="1"/>
  <c r="EB141" i="7" a="1"/>
  <c r="EB141" i="7" s="1"/>
  <c r="FP94" i="7" a="1"/>
  <c r="FP94" i="7" s="1"/>
  <c r="FD108" i="7" a="1"/>
  <c r="FD108" i="7" s="1"/>
  <c r="FJ116" i="7" a="1"/>
  <c r="FJ116" i="7" s="1"/>
  <c r="FO124" i="7" a="1"/>
  <c r="FO124" i="7" s="1"/>
  <c r="EV129" i="7" a="1"/>
  <c r="EV129" i="7" s="1"/>
  <c r="EE133" i="7" a="1"/>
  <c r="EE133" i="7" s="1"/>
  <c r="EL80" i="7" a="1"/>
  <c r="EL80" i="7" s="1"/>
  <c r="EQ99" i="7" a="1"/>
  <c r="EQ99" i="7" s="1"/>
  <c r="EZ109" i="7" a="1"/>
  <c r="EZ109" i="7" s="1"/>
  <c r="EP118" i="7" a="1"/>
  <c r="EP118" i="7" s="1"/>
  <c r="FU125" i="7" a="1"/>
  <c r="FU125" i="7" s="1"/>
  <c r="EU130" i="7" a="1"/>
  <c r="EU130" i="7" s="1"/>
  <c r="EX135" i="7" a="1"/>
  <c r="EX135" i="7" s="1"/>
  <c r="EW78" i="7" a="1"/>
  <c r="EW78" i="7" s="1"/>
  <c r="FB104" i="7" a="1"/>
  <c r="FB104" i="7" s="1"/>
  <c r="DZ116" i="7" a="1"/>
  <c r="DZ116" i="7" s="1"/>
  <c r="DU123" i="7" a="1"/>
  <c r="DU123" i="7" s="1"/>
  <c r="FH128" i="7" a="1"/>
  <c r="FH128" i="7" s="1"/>
  <c r="FF131" i="7" a="1"/>
  <c r="FF131" i="7" s="1"/>
  <c r="FI54" i="7" a="1"/>
  <c r="FI54" i="7" s="1"/>
  <c r="ER98" i="7" a="1"/>
  <c r="ER98" i="7" s="1"/>
  <c r="EL84" i="7" a="1"/>
  <c r="EL84" i="7" s="1"/>
  <c r="EU57" i="7" a="1"/>
  <c r="EU57" i="7" s="1"/>
  <c r="DQ98" i="7" a="1"/>
  <c r="DQ98" i="7" s="1"/>
  <c r="DW110" i="7" a="1"/>
  <c r="DW110" i="7" s="1"/>
  <c r="FX117" i="7" a="1"/>
  <c r="FX117" i="7" s="1"/>
  <c r="DW125" i="7" a="1"/>
  <c r="DW125" i="7" s="1"/>
  <c r="EM132" i="7" a="1"/>
  <c r="EM132" i="7" s="1"/>
  <c r="ES61" i="7" a="1"/>
  <c r="ES61" i="7" s="1"/>
  <c r="EC109" i="7" a="1"/>
  <c r="EC109" i="7" s="1"/>
  <c r="EL119" i="7" a="1"/>
  <c r="EL119" i="7" s="1"/>
  <c r="EB131" i="7" a="1"/>
  <c r="EB131" i="7" s="1"/>
  <c r="DX136" i="7" a="1"/>
  <c r="DX136" i="7" s="1"/>
  <c r="DQ138" i="7" a="1"/>
  <c r="DQ138" i="7" s="1"/>
  <c r="FI140" i="7" a="1"/>
  <c r="FI140" i="7" s="1"/>
  <c r="FM142" i="7" a="1"/>
  <c r="FM142" i="7" s="1"/>
  <c r="EK144" i="7" a="1"/>
  <c r="EK144" i="7" s="1"/>
  <c r="FT145" i="7" a="1"/>
  <c r="FT145" i="7" s="1"/>
  <c r="ER147" i="7" a="1"/>
  <c r="ER147" i="7" s="1"/>
  <c r="GA148" i="7" a="1"/>
  <c r="GA148" i="7" s="1"/>
  <c r="EY150" i="7" a="1"/>
  <c r="EY150" i="7" s="1"/>
  <c r="DW152" i="7" a="1"/>
  <c r="DW152" i="7" s="1"/>
  <c r="FF153" i="7" a="1"/>
  <c r="FF153" i="7" s="1"/>
  <c r="ED155" i="7" a="1"/>
  <c r="ED155" i="7" s="1"/>
  <c r="EA100" i="7" a="1"/>
  <c r="EA100" i="7" s="1"/>
  <c r="EL112" i="7" a="1"/>
  <c r="EL112" i="7" s="1"/>
  <c r="DY121" i="7" a="1"/>
  <c r="DY121" i="7" s="1"/>
  <c r="DY129" i="7" a="1"/>
  <c r="DY129" i="7" s="1"/>
  <c r="FQ134" i="7" a="1"/>
  <c r="FQ134" i="7" s="1"/>
  <c r="EK79" i="7" a="1"/>
  <c r="EK79" i="7" s="1"/>
  <c r="ER112" i="7" a="1"/>
  <c r="ER112" i="7" s="1"/>
  <c r="EU124" i="7" a="1"/>
  <c r="EU124" i="7" s="1"/>
  <c r="ER131" i="7" a="1"/>
  <c r="ER131" i="7" s="1"/>
  <c r="FJ136" i="7" a="1"/>
  <c r="FJ136" i="7" s="1"/>
  <c r="EY138" i="7" a="1"/>
  <c r="EY138" i="7" s="1"/>
  <c r="FG141" i="7" a="1"/>
  <c r="FG141" i="7" s="1"/>
  <c r="EE143" i="7" a="1"/>
  <c r="EE143" i="7" s="1"/>
  <c r="FN144" i="7" a="1"/>
  <c r="FN144" i="7" s="1"/>
  <c r="EL146" i="7" a="1"/>
  <c r="EL146" i="7" s="1"/>
  <c r="FU147" i="7" a="1"/>
  <c r="FU147" i="7" s="1"/>
  <c r="ES149" i="7" a="1"/>
  <c r="ES149" i="7" s="1"/>
  <c r="DQ151" i="7" a="1"/>
  <c r="DQ151" i="7" s="1"/>
  <c r="EZ152" i="7" a="1"/>
  <c r="EZ152" i="7" s="1"/>
  <c r="DX154" i="7" a="1"/>
  <c r="DX154" i="7" s="1"/>
  <c r="FM90" i="7" a="1"/>
  <c r="FM90" i="7" s="1"/>
  <c r="DS114" i="7" a="1"/>
  <c r="DS114" i="7" s="1"/>
  <c r="FR124" i="7" a="1"/>
  <c r="FR124" i="7" s="1"/>
  <c r="FK131" i="7" a="1"/>
  <c r="FK131" i="7" s="1"/>
  <c r="DT139" i="7" a="1"/>
  <c r="DT139" i="7" s="1"/>
  <c r="EM99" i="7" a="1"/>
  <c r="EM99" i="7" s="1"/>
  <c r="FA114" i="7" a="1"/>
  <c r="FA114" i="7" s="1"/>
  <c r="FU84" i="7" a="1"/>
  <c r="FU84" i="7" s="1"/>
  <c r="EB113" i="7" a="1"/>
  <c r="EB113" i="7" s="1"/>
  <c r="GA123" i="7" a="1"/>
  <c r="GA123" i="7" s="1"/>
  <c r="DU133" i="7" a="1"/>
  <c r="DU133" i="7" s="1"/>
  <c r="FV136" i="7" a="1"/>
  <c r="FV136" i="7" s="1"/>
  <c r="FJ138" i="7" a="1"/>
  <c r="FJ138" i="7" s="1"/>
  <c r="FQ141" i="7" a="1"/>
  <c r="FQ141" i="7" s="1"/>
  <c r="EO143" i="7" a="1"/>
  <c r="EO143" i="7" s="1"/>
  <c r="FX144" i="7" a="1"/>
  <c r="FX144" i="7" s="1"/>
  <c r="EV146" i="7" a="1"/>
  <c r="EV146" i="7" s="1"/>
  <c r="DT148" i="7" a="1"/>
  <c r="DT148" i="7" s="1"/>
  <c r="FC149" i="7" a="1"/>
  <c r="FC149" i="7" s="1"/>
  <c r="EA151" i="7" a="1"/>
  <c r="EA151" i="7" s="1"/>
  <c r="FO100" i="7" a="1"/>
  <c r="FO100" i="7" s="1"/>
  <c r="FG126" i="7" a="1"/>
  <c r="FG126" i="7" s="1"/>
  <c r="DV139" i="7" a="1"/>
  <c r="DV139" i="7" s="1"/>
  <c r="FW143" i="7" a="1"/>
  <c r="FW143" i="7" s="1"/>
  <c r="ET149" i="7" a="1"/>
  <c r="ET149" i="7" s="1"/>
  <c r="EN156" i="7" a="1"/>
  <c r="EN156" i="7" s="1"/>
  <c r="EB158" i="7" a="1"/>
  <c r="EB158" i="7" s="1"/>
  <c r="GA159" i="7" a="1"/>
  <c r="GA159" i="7" s="1"/>
  <c r="FK33" i="7" a="1"/>
  <c r="FK33" i="7" s="1"/>
  <c r="EH29" i="7" a="1"/>
  <c r="EH29" i="7" s="1"/>
  <c r="FJ30" i="7" a="1"/>
  <c r="FJ30" i="7" s="1"/>
  <c r="EM50" i="7" a="1"/>
  <c r="EM50" i="7" s="1"/>
  <c r="EE45" i="7" a="1"/>
  <c r="EE45" i="7" s="1"/>
  <c r="FG35" i="7" a="1"/>
  <c r="FG35" i="7" s="1"/>
  <c r="EU40" i="7" a="1"/>
  <c r="EU40" i="7" s="1"/>
  <c r="FJ58" i="7" a="1"/>
  <c r="FJ58" i="7" s="1"/>
  <c r="EC47" i="7" a="1"/>
  <c r="EC47" i="7" s="1"/>
  <c r="ED24" i="7" a="1"/>
  <c r="ED24" i="7" s="1"/>
  <c r="FF57" i="7" a="1"/>
  <c r="FF57" i="7" s="1"/>
  <c r="EP48" i="7" a="1"/>
  <c r="EP48" i="7" s="1"/>
  <c r="EU42" i="7" a="1"/>
  <c r="EU42" i="7" s="1"/>
  <c r="DU51" i="7" a="1"/>
  <c r="DU51" i="7" s="1"/>
  <c r="EE65" i="7" a="1"/>
  <c r="EE65" i="7" s="1"/>
  <c r="EY51" i="7" a="1"/>
  <c r="EY51" i="7" s="1"/>
  <c r="FQ27" i="7" a="1"/>
  <c r="FQ27" i="7" s="1"/>
  <c r="EK53" i="7" a="1"/>
  <c r="EK53" i="7" s="1"/>
  <c r="FB23" i="7" a="1"/>
  <c r="FB23" i="7" s="1"/>
  <c r="EM56" i="7" a="1"/>
  <c r="EM56" i="7" s="1"/>
  <c r="DZ36" i="7" a="1"/>
  <c r="DZ36" i="7" s="1"/>
  <c r="DU58" i="7" a="1"/>
  <c r="DU58" i="7" s="1"/>
  <c r="DZ54" i="7" a="1"/>
  <c r="DZ54" i="7" s="1"/>
  <c r="FB68" i="7" a="1"/>
  <c r="FB68" i="7" s="1"/>
  <c r="FI36" i="7" a="1"/>
  <c r="FI36" i="7" s="1"/>
  <c r="FI62" i="7" a="1"/>
  <c r="FI62" i="7" s="1"/>
  <c r="EP54" i="7" a="1"/>
  <c r="EP54" i="7" s="1"/>
  <c r="FS68" i="7" a="1"/>
  <c r="FS68" i="7" s="1"/>
  <c r="EX38" i="7" a="1"/>
  <c r="EX38" i="7" s="1"/>
  <c r="DX63" i="7" a="1"/>
  <c r="DX63" i="7" s="1"/>
  <c r="FT34" i="7" a="1"/>
  <c r="FT34" i="7" s="1"/>
  <c r="EE62" i="7" a="1"/>
  <c r="EE62" i="7" s="1"/>
  <c r="EI72" i="7" a="1"/>
  <c r="EI72" i="7" s="1"/>
  <c r="EI65" i="7" a="1"/>
  <c r="EI65" i="7" s="1"/>
  <c r="DT86" i="7" a="1"/>
  <c r="DT86" i="7" s="1"/>
  <c r="FP51" i="7" a="1"/>
  <c r="FP51" i="7" s="1"/>
  <c r="GA75" i="7" a="1"/>
  <c r="GA75" i="7" s="1"/>
  <c r="FI81" i="7" a="1"/>
  <c r="FI81" i="7" s="1"/>
  <c r="DR28" i="7" a="1"/>
  <c r="DR28" i="7" s="1"/>
  <c r="FD68" i="7" a="1"/>
  <c r="FD68" i="7" s="1"/>
  <c r="GA84" i="7" a="1"/>
  <c r="GA84" i="7" s="1"/>
  <c r="FA91" i="7" a="1"/>
  <c r="FA91" i="7" s="1"/>
  <c r="GA30" i="7" a="1"/>
  <c r="GA30" i="7" s="1"/>
  <c r="DQ67" i="7" a="1"/>
  <c r="DQ67" i="7" s="1"/>
  <c r="FF76" i="7" a="1"/>
  <c r="FF76" i="7" s="1"/>
  <c r="EY80" i="7" a="1"/>
  <c r="EY80" i="7" s="1"/>
  <c r="FG86" i="7" a="1"/>
  <c r="FG86" i="7" s="1"/>
  <c r="DV64" i="7" a="1"/>
  <c r="DV64" i="7" s="1"/>
  <c r="DU57" i="7" a="1"/>
  <c r="DU57" i="7" s="1"/>
  <c r="EG69" i="7" a="1"/>
  <c r="EG69" i="7" s="1"/>
  <c r="DR75" i="7" a="1"/>
  <c r="DR75" i="7" s="1"/>
  <c r="EA85" i="7" a="1"/>
  <c r="EA85" i="7" s="1"/>
  <c r="GA88" i="7" a="1"/>
  <c r="GA88" i="7" s="1"/>
  <c r="ER92" i="7" a="1"/>
  <c r="ER92" i="7" s="1"/>
  <c r="FZ63" i="7" a="1"/>
  <c r="FZ63" i="7" s="1"/>
  <c r="EQ75" i="7" a="1"/>
  <c r="EQ75" i="7" s="1"/>
  <c r="FS80" i="7" a="1"/>
  <c r="FS80" i="7" s="1"/>
  <c r="DY88" i="7" a="1"/>
  <c r="DY88" i="7" s="1"/>
  <c r="DR93" i="7" a="1"/>
  <c r="DR93" i="7" s="1"/>
  <c r="EZ30" i="7" a="1"/>
  <c r="EZ30" i="7" s="1"/>
  <c r="EO64" i="7" a="1"/>
  <c r="EO64" i="7" s="1"/>
  <c r="ER76" i="7" a="1"/>
  <c r="ER76" i="7" s="1"/>
  <c r="FT81" i="7" a="1"/>
  <c r="FT81" i="7" s="1"/>
  <c r="EF87" i="7" a="1"/>
  <c r="EF87" i="7" s="1"/>
  <c r="FM92" i="7" a="1"/>
  <c r="FM92" i="7" s="1"/>
  <c r="FQ49" i="7" a="1"/>
  <c r="FQ49" i="7" s="1"/>
  <c r="FP64" i="7" a="1"/>
  <c r="FP64" i="7" s="1"/>
  <c r="FX72" i="7" a="1"/>
  <c r="FX72" i="7" s="1"/>
  <c r="DV80" i="7" a="1"/>
  <c r="DV80" i="7" s="1"/>
  <c r="EL86" i="7" a="1"/>
  <c r="EL86" i="7" s="1"/>
  <c r="EV91" i="7" a="1"/>
  <c r="EV91" i="7" s="1"/>
  <c r="FK94" i="7" a="1"/>
  <c r="FK94" i="7" s="1"/>
  <c r="FQ64" i="7" a="1"/>
  <c r="FQ64" i="7" s="1"/>
  <c r="DU76" i="7" a="1"/>
  <c r="DU76" i="7" s="1"/>
  <c r="EW81" i="7" a="1"/>
  <c r="EW81" i="7" s="1"/>
  <c r="EI87" i="7" a="1"/>
  <c r="EI87" i="7" s="1"/>
  <c r="FR91" i="7" a="1"/>
  <c r="FR91" i="7" s="1"/>
  <c r="DS25" i="7" a="1"/>
  <c r="DS25" i="7" s="1"/>
  <c r="FC58" i="7" a="1"/>
  <c r="FC58" i="7" s="1"/>
  <c r="DY69" i="7" a="1"/>
  <c r="DY69" i="7" s="1"/>
  <c r="DT57" i="7" a="1"/>
  <c r="DT57" i="7" s="1"/>
  <c r="EG68" i="7" a="1"/>
  <c r="EG68" i="7" s="1"/>
  <c r="EI74" i="7" a="1"/>
  <c r="EI74" i="7" s="1"/>
  <c r="EY78" i="7" a="1"/>
  <c r="EY78" i="7" s="1"/>
  <c r="EC83" i="7" a="1"/>
  <c r="EC83" i="7" s="1"/>
  <c r="EY88" i="7" a="1"/>
  <c r="EY88" i="7" s="1"/>
  <c r="FZ92" i="7" a="1"/>
  <c r="FZ92" i="7" s="1"/>
  <c r="FX58" i="7" a="1"/>
  <c r="FX58" i="7" s="1"/>
  <c r="FK73" i="7" a="1"/>
  <c r="FK73" i="7" s="1"/>
  <c r="FL80" i="7" a="1"/>
  <c r="FL80" i="7" s="1"/>
  <c r="FH87" i="7" a="1"/>
  <c r="FH87" i="7" s="1"/>
  <c r="FI95" i="7" a="1"/>
  <c r="FI95" i="7" s="1"/>
  <c r="ET102" i="7" a="1"/>
  <c r="ET102" i="7" s="1"/>
  <c r="FP105" i="7" a="1"/>
  <c r="FP105" i="7" s="1"/>
  <c r="EA109" i="7" a="1"/>
  <c r="EA109" i="7" s="1"/>
  <c r="EW112" i="7" a="1"/>
  <c r="EW112" i="7" s="1"/>
  <c r="FZ67" i="7" a="1"/>
  <c r="FZ67" i="7" s="1"/>
  <c r="FZ77" i="7" a="1"/>
  <c r="FZ77" i="7" s="1"/>
  <c r="EN85" i="7" a="1"/>
  <c r="EN85" i="7" s="1"/>
  <c r="ES93" i="7" a="1"/>
  <c r="ES93" i="7" s="1"/>
  <c r="FZ96" i="7" a="1"/>
  <c r="FZ96" i="7" s="1"/>
  <c r="FO98" i="7" a="1"/>
  <c r="FO98" i="7" s="1"/>
  <c r="FC100" i="7" a="1"/>
  <c r="FC100" i="7" s="1"/>
  <c r="DU103" i="7" a="1"/>
  <c r="DU103" i="7" s="1"/>
  <c r="EB106" i="7" a="1"/>
  <c r="EB106" i="7" s="1"/>
  <c r="EI109" i="7" a="1"/>
  <c r="EI109" i="7" s="1"/>
  <c r="EP112" i="7" a="1"/>
  <c r="EP112" i="7" s="1"/>
  <c r="DV114" i="7" a="1"/>
  <c r="DV114" i="7" s="1"/>
  <c r="FG68" i="7" a="1"/>
  <c r="FG68" i="7" s="1"/>
  <c r="EO82" i="7" a="1"/>
  <c r="EO82" i="7" s="1"/>
  <c r="EF88" i="7" a="1"/>
  <c r="EF88" i="7" s="1"/>
  <c r="DU93" i="7" a="1"/>
  <c r="DU93" i="7" s="1"/>
  <c r="DW100" i="7" a="1"/>
  <c r="DW100" i="7" s="1"/>
  <c r="EH104" i="7" a="1"/>
  <c r="EH104" i="7" s="1"/>
  <c r="EO107" i="7" a="1"/>
  <c r="EO107" i="7" s="1"/>
  <c r="EV110" i="7" a="1"/>
  <c r="EV110" i="7" s="1"/>
  <c r="GA59" i="7" a="1"/>
  <c r="GA59" i="7" s="1"/>
  <c r="FN75" i="7" a="1"/>
  <c r="FN75" i="7" s="1"/>
  <c r="FQ80" i="7" a="1"/>
  <c r="FQ80" i="7" s="1"/>
  <c r="FH85" i="7" a="1"/>
  <c r="FH85" i="7" s="1"/>
  <c r="DR94" i="7" a="1"/>
  <c r="DR94" i="7" s="1"/>
  <c r="EO97" i="7" a="1"/>
  <c r="EO97" i="7" s="1"/>
  <c r="EC99" i="7" a="1"/>
  <c r="EC99" i="7" s="1"/>
  <c r="DR101" i="7" a="1"/>
  <c r="DR101" i="7" s="1"/>
  <c r="FH103" i="7" a="1"/>
  <c r="FH103" i="7" s="1"/>
  <c r="FO106" i="7" a="1"/>
  <c r="FO106" i="7" s="1"/>
  <c r="FV109" i="7" a="1"/>
  <c r="FV109" i="7" s="1"/>
  <c r="FD28" i="7" a="1"/>
  <c r="FD28" i="7" s="1"/>
  <c r="FU66" i="7" a="1"/>
  <c r="FU66" i="7" s="1"/>
  <c r="EM78" i="7" a="1"/>
  <c r="EM78" i="7" s="1"/>
  <c r="DW53" i="7" a="1"/>
  <c r="DW53" i="7" s="1"/>
  <c r="FX68" i="7" a="1"/>
  <c r="FX68" i="7" s="1"/>
  <c r="EY81" i="7" a="1"/>
  <c r="EY81" i="7" s="1"/>
  <c r="FQ87" i="7" a="1"/>
  <c r="FQ87" i="7" s="1"/>
  <c r="FX95" i="7" a="1"/>
  <c r="FX95" i="7" s="1"/>
  <c r="EX102" i="7" a="1"/>
  <c r="EX102" i="7" s="1"/>
  <c r="FE105" i="7" a="1"/>
  <c r="FE105" i="7" s="1"/>
  <c r="FL108" i="7" a="1"/>
  <c r="FL108" i="7" s="1"/>
  <c r="FS111" i="7" a="1"/>
  <c r="FS111" i="7" s="1"/>
  <c r="FZ75" i="7" a="1"/>
  <c r="FZ75" i="7" s="1"/>
  <c r="DR86" i="7" a="1"/>
  <c r="DR86" i="7" s="1"/>
  <c r="DQ95" i="7" a="1"/>
  <c r="DQ95" i="7" s="1"/>
  <c r="FS99" i="7" a="1"/>
  <c r="FS99" i="7" s="1"/>
  <c r="FF104" i="7" a="1"/>
  <c r="FF104" i="7" s="1"/>
  <c r="FV108" i="7" a="1"/>
  <c r="FV108" i="7" s="1"/>
  <c r="FA113" i="7" a="1"/>
  <c r="FA113" i="7" s="1"/>
  <c r="FV115" i="7" a="1"/>
  <c r="FV115" i="7" s="1"/>
  <c r="FJ117" i="7" a="1"/>
  <c r="FJ117" i="7" s="1"/>
  <c r="EY119" i="7" a="1"/>
  <c r="EY119" i="7" s="1"/>
  <c r="EM121" i="7" a="1"/>
  <c r="EM121" i="7" s="1"/>
  <c r="FW123" i="7" a="1"/>
  <c r="FW123" i="7" s="1"/>
  <c r="DS127" i="7" a="1"/>
  <c r="DS127" i="7" s="1"/>
  <c r="DZ130" i="7" a="1"/>
  <c r="DZ130" i="7" s="1"/>
  <c r="FB49" i="7" a="1"/>
  <c r="FB49" i="7" s="1"/>
  <c r="FO78" i="7" a="1"/>
  <c r="FO78" i="7" s="1"/>
  <c r="FN91" i="7" a="1"/>
  <c r="FN91" i="7" s="1"/>
  <c r="ET98" i="7" a="1"/>
  <c r="ET98" i="7" s="1"/>
  <c r="EM103" i="7" a="1"/>
  <c r="EM103" i="7" s="1"/>
  <c r="FE107" i="7" a="1"/>
  <c r="FE107" i="7" s="1"/>
  <c r="FY112" i="7" a="1"/>
  <c r="FY112" i="7" s="1"/>
  <c r="FZ120" i="7" a="1"/>
  <c r="FZ120" i="7" s="1"/>
  <c r="FU124" i="7" a="1"/>
  <c r="FU124" i="7" s="1"/>
  <c r="DQ128" i="7" a="1"/>
  <c r="DQ128" i="7" s="1"/>
  <c r="DX131" i="7" a="1"/>
  <c r="DX131" i="7" s="1"/>
  <c r="FA133" i="7" a="1"/>
  <c r="FA133" i="7" s="1"/>
  <c r="DY135" i="7" a="1"/>
  <c r="DY135" i="7" s="1"/>
  <c r="FP78" i="7" a="1"/>
  <c r="FP78" i="7" s="1"/>
  <c r="FS89" i="7" a="1"/>
  <c r="FS89" i="7" s="1"/>
  <c r="FT96" i="7" a="1"/>
  <c r="FT96" i="7" s="1"/>
  <c r="FH101" i="7" a="1"/>
  <c r="FH101" i="7" s="1"/>
  <c r="DZ106" i="7" a="1"/>
  <c r="DZ106" i="7" s="1"/>
  <c r="EY111" i="7" a="1"/>
  <c r="EY111" i="7" s="1"/>
  <c r="EV114" i="7" a="1"/>
  <c r="EV114" i="7" s="1"/>
  <c r="EK116" i="7" a="1"/>
  <c r="EK116" i="7" s="1"/>
  <c r="DY118" i="7" a="1"/>
  <c r="DY118" i="7" s="1"/>
  <c r="FX119" i="7" a="1"/>
  <c r="FX119" i="7" s="1"/>
  <c r="FM121" i="7" a="1"/>
  <c r="FM121" i="7" s="1"/>
  <c r="EY124" i="7" a="1"/>
  <c r="EY124" i="7" s="1"/>
  <c r="FF127" i="7" a="1"/>
  <c r="FF127" i="7" s="1"/>
  <c r="EU74" i="7" a="1"/>
  <c r="EU74" i="7" s="1"/>
  <c r="DV86" i="7" a="1"/>
  <c r="DV86" i="7" s="1"/>
  <c r="FS97" i="7" a="1"/>
  <c r="FS97" i="7" s="1"/>
  <c r="DU102" i="7" a="1"/>
  <c r="DU102" i="7" s="1"/>
  <c r="EI107" i="7" a="1"/>
  <c r="EI107" i="7" s="1"/>
  <c r="EK112" i="7" a="1"/>
  <c r="EK112" i="7" s="1"/>
  <c r="DV120" i="7" a="1"/>
  <c r="DV120" i="7" s="1"/>
  <c r="FG124" i="7" a="1"/>
  <c r="FG124" i="7" s="1"/>
  <c r="FN127" i="7" a="1"/>
  <c r="FN127" i="7" s="1"/>
  <c r="FU130" i="7" a="1"/>
  <c r="FU130" i="7" s="1"/>
  <c r="EU133" i="7" a="1"/>
  <c r="EU133" i="7" s="1"/>
  <c r="DS135" i="7" a="1"/>
  <c r="DS135" i="7" s="1"/>
  <c r="EH77" i="7" a="1"/>
  <c r="EH77" i="7" s="1"/>
  <c r="EU87" i="7" a="1"/>
  <c r="EU87" i="7" s="1"/>
  <c r="FH96" i="7" a="1"/>
  <c r="FH96" i="7" s="1"/>
  <c r="FY63" i="7" a="1"/>
  <c r="FY63" i="7" s="1"/>
  <c r="DY79" i="7" a="1"/>
  <c r="DY79" i="7" s="1"/>
  <c r="FC89" i="7" a="1"/>
  <c r="FC89" i="7" s="1"/>
  <c r="EZ97" i="7" a="1"/>
  <c r="EZ97" i="7" s="1"/>
  <c r="DZ102" i="7" a="1"/>
  <c r="DZ102" i="7" s="1"/>
  <c r="FC106" i="7" a="1"/>
  <c r="FC106" i="7" s="1"/>
  <c r="FQ111" i="7" a="1"/>
  <c r="FQ111" i="7" s="1"/>
  <c r="FX114" i="7" a="1"/>
  <c r="FX114" i="7" s="1"/>
  <c r="FM116" i="7" a="1"/>
  <c r="FM116" i="7" s="1"/>
  <c r="FA118" i="7" a="1"/>
  <c r="FA118" i="7" s="1"/>
  <c r="EO120" i="7" a="1"/>
  <c r="EO120" i="7" s="1"/>
  <c r="EK122" i="7" a="1"/>
  <c r="EK122" i="7" s="1"/>
  <c r="ER125" i="7" a="1"/>
  <c r="ER125" i="7" s="1"/>
  <c r="EG45" i="7" a="1"/>
  <c r="EG45" i="7" s="1"/>
  <c r="EB91" i="7" a="1"/>
  <c r="EB91" i="7" s="1"/>
  <c r="ER101" i="7" a="1"/>
  <c r="ER101" i="7" s="1"/>
  <c r="DR111" i="7" a="1"/>
  <c r="DR111" i="7" s="1"/>
  <c r="EF117" i="7" a="1"/>
  <c r="EF117" i="7" s="1"/>
  <c r="EF122" i="7" a="1"/>
  <c r="EF122" i="7" s="1"/>
  <c r="FG127" i="7" a="1"/>
  <c r="FG127" i="7" s="1"/>
  <c r="EI131" i="7" a="1"/>
  <c r="EI131" i="7" s="1"/>
  <c r="EO71" i="7" a="1"/>
  <c r="EO71" i="7" s="1"/>
  <c r="FM91" i="7" a="1"/>
  <c r="FM91" i="7" s="1"/>
  <c r="FV102" i="7" a="1"/>
  <c r="FV102" i="7" s="1"/>
  <c r="DQ109" i="7" a="1"/>
  <c r="DQ109" i="7" s="1"/>
  <c r="EQ114" i="7" a="1"/>
  <c r="EQ114" i="7" s="1"/>
  <c r="FF119" i="7" a="1"/>
  <c r="FF119" i="7" s="1"/>
  <c r="FY75" i="7" a="1"/>
  <c r="FY75" i="7" s="1"/>
  <c r="EE91" i="7" a="1"/>
  <c r="EE91" i="7" s="1"/>
  <c r="FQ100" i="7" a="1"/>
  <c r="FQ100" i="7" s="1"/>
  <c r="FL110" i="7" a="1"/>
  <c r="FL110" i="7" s="1"/>
  <c r="ES117" i="7" a="1"/>
  <c r="ES117" i="7" s="1"/>
  <c r="FQ122" i="7" a="1"/>
  <c r="FQ122" i="7" s="1"/>
  <c r="EP56" i="7" a="1"/>
  <c r="EP56" i="7" s="1"/>
  <c r="EG91" i="7" a="1"/>
  <c r="EG91" i="7" s="1"/>
  <c r="EY101" i="7" a="1"/>
  <c r="EY101" i="7" s="1"/>
  <c r="EJ107" i="7" a="1"/>
  <c r="EJ107" i="7" s="1"/>
  <c r="EV113" i="7" a="1"/>
  <c r="EV113" i="7" s="1"/>
  <c r="FH118" i="7" a="1"/>
  <c r="FH118" i="7" s="1"/>
  <c r="EQ56" i="7" a="1"/>
  <c r="EQ56" i="7" s="1"/>
  <c r="EV56" i="7" a="1"/>
  <c r="EV56" i="7" s="1"/>
  <c r="EG54" i="7" a="1"/>
  <c r="EG54" i="7" s="1"/>
  <c r="EN93" i="7" a="1"/>
  <c r="EN93" i="7" s="1"/>
  <c r="FE100" i="7" a="1"/>
  <c r="FE100" i="7" s="1"/>
  <c r="EE106" i="7" a="1"/>
  <c r="EE106" i="7" s="1"/>
  <c r="FX90" i="7" a="1"/>
  <c r="FX90" i="7" s="1"/>
  <c r="FE103" i="7" a="1"/>
  <c r="FE103" i="7" s="1"/>
  <c r="EO113" i="7" a="1"/>
  <c r="EO113" i="7" s="1"/>
  <c r="EB121" i="7" a="1"/>
  <c r="EB121" i="7" s="1"/>
  <c r="FJ127" i="7" a="1"/>
  <c r="FJ127" i="7" s="1"/>
  <c r="GA133" i="7" a="1"/>
  <c r="GA133" i="7" s="1"/>
  <c r="FD136" i="7" a="1"/>
  <c r="FD136" i="7" s="1"/>
  <c r="EB138" i="7" a="1"/>
  <c r="EB138" i="7" s="1"/>
  <c r="FK139" i="7" a="1"/>
  <c r="FK139" i="7" s="1"/>
  <c r="EI141" i="7" a="1"/>
  <c r="EI141" i="7" s="1"/>
  <c r="EJ97" i="7" a="1"/>
  <c r="EJ97" i="7" s="1"/>
  <c r="DV109" i="7" a="1"/>
  <c r="DV109" i="7" s="1"/>
  <c r="GA116" i="7" a="1"/>
  <c r="GA116" i="7" s="1"/>
  <c r="GA124" i="7" a="1"/>
  <c r="GA124" i="7" s="1"/>
  <c r="FF129" i="7" a="1"/>
  <c r="FF129" i="7" s="1"/>
  <c r="EP133" i="7" a="1"/>
  <c r="EP133" i="7" s="1"/>
  <c r="DU84" i="7" a="1"/>
  <c r="DU84" i="7" s="1"/>
  <c r="ER100" i="7" a="1"/>
  <c r="ER100" i="7" s="1"/>
  <c r="FZ109" i="7" a="1"/>
  <c r="FZ109" i="7" s="1"/>
  <c r="FZ118" i="7" a="1"/>
  <c r="FZ118" i="7" s="1"/>
  <c r="DX126" i="7" a="1"/>
  <c r="DX126" i="7" s="1"/>
  <c r="FP130" i="7" a="1"/>
  <c r="FP130" i="7" s="1"/>
  <c r="FE135" i="7" a="1"/>
  <c r="FE135" i="7" s="1"/>
  <c r="EM80" i="7" a="1"/>
  <c r="EM80" i="7" s="1"/>
  <c r="DV105" i="7" a="1"/>
  <c r="DV105" i="7" s="1"/>
  <c r="EU116" i="7" a="1"/>
  <c r="EU116" i="7" s="1"/>
  <c r="EI123" i="7" a="1"/>
  <c r="EI123" i="7" s="1"/>
  <c r="FT128" i="7" a="1"/>
  <c r="FT128" i="7" s="1"/>
  <c r="GA131" i="7" a="1"/>
  <c r="GA131" i="7" s="1"/>
  <c r="EH72" i="7" a="1"/>
  <c r="EH72" i="7" s="1"/>
  <c r="DR99" i="7" a="1"/>
  <c r="DR99" i="7" s="1"/>
  <c r="EH89" i="7" a="1"/>
  <c r="EH89" i="7" s="1"/>
  <c r="ER70" i="7" a="1"/>
  <c r="ER70" i="7" s="1"/>
  <c r="FC98" i="7" a="1"/>
  <c r="FC98" i="7" s="1"/>
  <c r="EY110" i="7" a="1"/>
  <c r="EY110" i="7" s="1"/>
  <c r="ED118" i="7" a="1"/>
  <c r="ED118" i="7" s="1"/>
  <c r="EK125" i="7" a="1"/>
  <c r="EK125" i="7" s="1"/>
  <c r="EW132" i="7" a="1"/>
  <c r="EW132" i="7" s="1"/>
  <c r="FM74" i="7" a="1"/>
  <c r="FM74" i="7" s="1"/>
  <c r="FO109" i="7" a="1"/>
  <c r="FO109" i="7" s="1"/>
  <c r="EA120" i="7" a="1"/>
  <c r="EA120" i="7" s="1"/>
  <c r="EQ131" i="7" a="1"/>
  <c r="EQ131" i="7" s="1"/>
  <c r="EG136" i="7" a="1"/>
  <c r="EG136" i="7" s="1"/>
  <c r="DY138" i="7" a="1"/>
  <c r="DY138" i="7" s="1"/>
  <c r="FX140" i="7" a="1"/>
  <c r="FX140" i="7" s="1"/>
  <c r="FT142" i="7" a="1"/>
  <c r="FT142" i="7" s="1"/>
  <c r="ER144" i="7" a="1"/>
  <c r="ER144" i="7" s="1"/>
  <c r="GA145" i="7" a="1"/>
  <c r="GA145" i="7" s="1"/>
  <c r="EY147" i="7" a="1"/>
  <c r="EY147" i="7" s="1"/>
  <c r="DW149" i="7" a="1"/>
  <c r="DW149" i="7" s="1"/>
  <c r="FF150" i="7" a="1"/>
  <c r="FF150" i="7" s="1"/>
  <c r="ED152" i="7" a="1"/>
  <c r="ED152" i="7" s="1"/>
  <c r="FM153" i="7" a="1"/>
  <c r="FM153" i="7" s="1"/>
  <c r="EK155" i="7" a="1"/>
  <c r="EK155" i="7" s="1"/>
  <c r="ED101" i="7" a="1"/>
  <c r="ED101" i="7" s="1"/>
  <c r="FW112" i="7" a="1"/>
  <c r="FW112" i="7" s="1"/>
  <c r="FY121" i="7" a="1"/>
  <c r="FY121" i="7" s="1"/>
  <c r="EP129" i="7" a="1"/>
  <c r="EP129" i="7" s="1"/>
  <c r="FC135" i="7" a="1"/>
  <c r="FC135" i="7" s="1"/>
  <c r="EX88" i="7" a="1"/>
  <c r="EX88" i="7" s="1"/>
  <c r="DR114" i="7" a="1"/>
  <c r="DR114" i="7" s="1"/>
  <c r="EA125" i="7" a="1"/>
  <c r="EA125" i="7" s="1"/>
  <c r="FJ131" i="7" a="1"/>
  <c r="FJ131" i="7" s="1"/>
  <c r="FS136" i="7" a="1"/>
  <c r="FS136" i="7" s="1"/>
  <c r="FG138" i="7" a="1"/>
  <c r="FG138" i="7" s="1"/>
  <c r="FN141" i="7" a="1"/>
  <c r="FN141" i="7" s="1"/>
  <c r="EL143" i="7" a="1"/>
  <c r="EL143" i="7" s="1"/>
  <c r="FU144" i="7" a="1"/>
  <c r="FU144" i="7" s="1"/>
  <c r="ES146" i="7" a="1"/>
  <c r="ES146" i="7" s="1"/>
  <c r="DQ148" i="7" a="1"/>
  <c r="DQ148" i="7" s="1"/>
  <c r="EZ149" i="7" a="1"/>
  <c r="EZ149" i="7" s="1"/>
  <c r="DX151" i="7" a="1"/>
  <c r="DX151" i="7" s="1"/>
  <c r="FG152" i="7" a="1"/>
  <c r="FG152" i="7" s="1"/>
  <c r="EE154" i="7" a="1"/>
  <c r="EE154" i="7" s="1"/>
  <c r="FT92" i="7" a="1"/>
  <c r="FT92" i="7" s="1"/>
  <c r="EL116" i="7" a="1"/>
  <c r="EL116" i="7" s="1"/>
  <c r="EY125" i="7" a="1"/>
  <c r="EY125" i="7" s="1"/>
  <c r="DQ132" i="7" a="1"/>
  <c r="DQ132" i="7" s="1"/>
  <c r="EQ139" i="7" a="1"/>
  <c r="EQ139" i="7" s="1"/>
  <c r="EK100" i="7" a="1"/>
  <c r="EK100" i="7" s="1"/>
  <c r="DV115" i="7" a="1"/>
  <c r="DV115" i="7" s="1"/>
  <c r="ED87" i="7" a="1"/>
  <c r="ED87" i="7" s="1"/>
  <c r="EI114" i="7" a="1"/>
  <c r="EI114" i="7" s="1"/>
  <c r="FD124" i="7" a="1"/>
  <c r="FD124" i="7" s="1"/>
  <c r="EK133" i="7" a="1"/>
  <c r="EK133" i="7" s="1"/>
  <c r="DS137" i="7" a="1"/>
  <c r="DS137" i="7" s="1"/>
  <c r="FS138" i="7" a="1"/>
  <c r="FS138" i="7" s="1"/>
  <c r="FX141" i="7" a="1"/>
  <c r="FX141" i="7" s="1"/>
  <c r="EV143" i="7" a="1"/>
  <c r="EV143" i="7" s="1"/>
  <c r="DT145" i="7" a="1"/>
  <c r="DT145" i="7" s="1"/>
  <c r="FC146" i="7" a="1"/>
  <c r="FC146" i="7" s="1"/>
  <c r="EA148" i="7" a="1"/>
  <c r="EA148" i="7" s="1"/>
  <c r="FJ149" i="7" a="1"/>
  <c r="FJ149" i="7" s="1"/>
  <c r="EH151" i="7" a="1"/>
  <c r="EH151" i="7" s="1"/>
  <c r="EZ102" i="7" a="1"/>
  <c r="EZ102" i="7" s="1"/>
  <c r="EC128" i="7" a="1"/>
  <c r="EC128" i="7" s="1"/>
  <c r="ES139" i="7" a="1"/>
  <c r="ES139" i="7" s="1"/>
  <c r="DV144" i="7" a="1"/>
  <c r="DV144" i="7" s="1"/>
  <c r="FD149" i="7" a="1"/>
  <c r="FD149" i="7" s="1"/>
  <c r="EV156" i="7" a="1"/>
  <c r="EV156" i="7" s="1"/>
  <c r="EJ158" i="7" a="1"/>
  <c r="EJ158" i="7" s="1"/>
  <c r="DY160" i="7" a="1"/>
  <c r="DY160" i="7" s="1"/>
  <c r="FX161" i="7" a="1"/>
  <c r="FX161" i="7" s="1"/>
  <c r="EC37" i="7" a="1"/>
  <c r="EC37" i="7" s="1"/>
  <c r="FG32" i="7" a="1"/>
  <c r="FG32" i="7" s="1"/>
  <c r="EI34" i="7" a="1"/>
  <c r="EI34" i="7" s="1"/>
  <c r="ET50" i="7" a="1"/>
  <c r="ET50" i="7" s="1"/>
  <c r="ED46" i="7" a="1"/>
  <c r="ED46" i="7" s="1"/>
  <c r="FH40" i="7" a="1"/>
  <c r="FH40" i="7" s="1"/>
  <c r="FJ40" i="7" a="1"/>
  <c r="FJ40" i="7" s="1"/>
  <c r="EW16" i="7" a="1"/>
  <c r="EW16" i="7" s="1"/>
  <c r="FJ47" i="7" a="1"/>
  <c r="FJ47" i="7" s="1"/>
  <c r="EE34" i="7" a="1"/>
  <c r="EE34" i="7" s="1"/>
  <c r="FU57" i="7" a="1"/>
  <c r="FU57" i="7" s="1"/>
  <c r="FE49" i="7" a="1"/>
  <c r="FE49" i="7" s="1"/>
  <c r="FJ42" i="7" a="1"/>
  <c r="FJ42" i="7" s="1"/>
  <c r="ET53" i="7" a="1"/>
  <c r="ET53" i="7" s="1"/>
  <c r="EM65" i="7" a="1"/>
  <c r="EM65" i="7" s="1"/>
  <c r="FN53" i="7" a="1"/>
  <c r="FN53" i="7" s="1"/>
  <c r="DW29" i="7" a="1"/>
  <c r="DW29" i="7" s="1"/>
  <c r="ED55" i="7" a="1"/>
  <c r="ED55" i="7" s="1"/>
  <c r="DV26" i="7" a="1"/>
  <c r="DV26" i="7" s="1"/>
  <c r="FW58" i="7" a="1"/>
  <c r="FW58" i="7" s="1"/>
  <c r="FN38" i="7" a="1"/>
  <c r="FN38" i="7" s="1"/>
  <c r="DY60" i="7" a="1"/>
  <c r="DY60" i="7" s="1"/>
  <c r="EM54" i="7" a="1"/>
  <c r="EM54" i="7" s="1"/>
  <c r="FU69" i="7" a="1"/>
  <c r="FU69" i="7" s="1"/>
  <c r="ER38" i="7" a="1"/>
  <c r="ER38" i="7" s="1"/>
  <c r="FU64" i="7" a="1"/>
  <c r="FU64" i="7" s="1"/>
  <c r="FC54" i="7" a="1"/>
  <c r="FC54" i="7" s="1"/>
  <c r="DY70" i="7" a="1"/>
  <c r="DY70" i="7" s="1"/>
  <c r="EK39" i="7" a="1"/>
  <c r="EK39" i="7" s="1"/>
  <c r="EK65" i="7" a="1"/>
  <c r="EK65" i="7" s="1"/>
  <c r="DR38" i="7" a="1"/>
  <c r="DR38" i="7" s="1"/>
  <c r="FH64" i="7" a="1"/>
  <c r="FH64" i="7" s="1"/>
  <c r="EP72" i="7" a="1"/>
  <c r="EP72" i="7" s="1"/>
  <c r="GA67" i="7" a="1"/>
  <c r="GA67" i="7" s="1"/>
  <c r="EI86" i="7" a="1"/>
  <c r="EI86" i="7" s="1"/>
  <c r="EY57" i="7" a="1"/>
  <c r="EY57" i="7" s="1"/>
  <c r="DX76" i="7" a="1"/>
  <c r="DX76" i="7" s="1"/>
  <c r="FK82" i="7" a="1"/>
  <c r="FK82" i="7" s="1"/>
  <c r="FY30" i="7" a="1"/>
  <c r="FY30" i="7" s="1"/>
  <c r="DW71" i="7" a="1"/>
  <c r="DW71" i="7" s="1"/>
  <c r="EE85" i="7" a="1"/>
  <c r="EE85" i="7" s="1"/>
  <c r="FP91" i="7" a="1"/>
  <c r="FP91" i="7" s="1"/>
  <c r="EH47" i="7" a="1"/>
  <c r="EH47" i="7" s="1"/>
  <c r="EF68" i="7" a="1"/>
  <c r="EF68" i="7" s="1"/>
  <c r="FN76" i="7" a="1"/>
  <c r="FN76" i="7" s="1"/>
  <c r="ES81" i="7" a="1"/>
  <c r="ES81" i="7" s="1"/>
  <c r="FO86" i="7" a="1"/>
  <c r="FO86" i="7" s="1"/>
  <c r="FX64" i="7" a="1"/>
  <c r="FX64" i="7" s="1"/>
  <c r="FO60" i="7" a="1"/>
  <c r="FO60" i="7" s="1"/>
  <c r="ER69" i="7" a="1"/>
  <c r="ER69" i="7" s="1"/>
  <c r="FO75" i="7" a="1"/>
  <c r="FO75" i="7" s="1"/>
  <c r="EP85" i="7" a="1"/>
  <c r="EP85" i="7" s="1"/>
  <c r="EE89" i="7" a="1"/>
  <c r="EE89" i="7" s="1"/>
  <c r="FF40" i="7" a="1"/>
  <c r="FF40" i="7" s="1"/>
  <c r="FN64" i="7" a="1"/>
  <c r="FN64" i="7" s="1"/>
  <c r="DS76" i="7" a="1"/>
  <c r="DS76" i="7" s="1"/>
  <c r="EU81" i="7" a="1"/>
  <c r="EU81" i="7" s="1"/>
  <c r="EI88" i="7" a="1"/>
  <c r="EI88" i="7" s="1"/>
  <c r="DZ93" i="7" a="1"/>
  <c r="DZ93" i="7" s="1"/>
  <c r="FY34" i="7" a="1"/>
  <c r="FY34" i="7" s="1"/>
  <c r="EC65" i="7" a="1"/>
  <c r="EC65" i="7" s="1"/>
  <c r="FD76" i="7" a="1"/>
  <c r="FD76" i="7" s="1"/>
  <c r="DU82" i="7" a="1"/>
  <c r="DU82" i="7" s="1"/>
  <c r="FE87" i="7" a="1"/>
  <c r="FE87" i="7" s="1"/>
  <c r="ER95" i="7" a="1"/>
  <c r="ER95" i="7" s="1"/>
  <c r="GA50" i="7" a="1"/>
  <c r="GA50" i="7" s="1"/>
  <c r="FD65" i="7" a="1"/>
  <c r="FD65" i="7" s="1"/>
  <c r="FI73" i="7" a="1"/>
  <c r="FI73" i="7" s="1"/>
  <c r="FI80" i="7" a="1"/>
  <c r="FI80" i="7" s="1"/>
  <c r="EW86" i="7" a="1"/>
  <c r="EW86" i="7" s="1"/>
  <c r="FF91" i="7" a="1"/>
  <c r="FF91" i="7" s="1"/>
  <c r="FS94" i="7" a="1"/>
  <c r="FS94" i="7" s="1"/>
  <c r="FX65" i="7" a="1"/>
  <c r="FX65" i="7" s="1"/>
  <c r="ET76" i="7" a="1"/>
  <c r="ET76" i="7" s="1"/>
  <c r="FV81" i="7" a="1"/>
  <c r="FV81" i="7" s="1"/>
  <c r="ET87" i="7" a="1"/>
  <c r="ET87" i="7" s="1"/>
  <c r="EB92" i="7" a="1"/>
  <c r="EB92" i="7" s="1"/>
  <c r="ET32" i="7" a="1"/>
  <c r="ET32" i="7" s="1"/>
  <c r="FM60" i="7" a="1"/>
  <c r="FM60" i="7" s="1"/>
  <c r="EU69" i="7" a="1"/>
  <c r="EU69" i="7" s="1"/>
  <c r="EA58" i="7" a="1"/>
  <c r="EA58" i="7" s="1"/>
  <c r="EY68" i="7" a="1"/>
  <c r="EY68" i="7" s="1"/>
  <c r="EW74" i="7" a="1"/>
  <c r="EW74" i="7" s="1"/>
  <c r="EA79" i="7" a="1"/>
  <c r="EA79" i="7" s="1"/>
  <c r="FP83" i="7" a="1"/>
  <c r="FP83" i="7" s="1"/>
  <c r="DU89" i="7" a="1"/>
  <c r="DU89" i="7" s="1"/>
  <c r="DW93" i="7" a="1"/>
  <c r="DW93" i="7" s="1"/>
  <c r="FV59" i="7" a="1"/>
  <c r="FV59" i="7" s="1"/>
  <c r="DU74" i="7" a="1"/>
  <c r="DU74" i="7" s="1"/>
  <c r="FK81" i="7" a="1"/>
  <c r="FK81" i="7" s="1"/>
  <c r="FW87" i="7" a="1"/>
  <c r="FW87" i="7" s="1"/>
  <c r="FR95" i="7" a="1"/>
  <c r="FR95" i="7" s="1"/>
  <c r="FI102" i="7" a="1"/>
  <c r="FI102" i="7" s="1"/>
  <c r="DT106" i="7" a="1"/>
  <c r="DT106" i="7" s="1"/>
  <c r="EP109" i="7" a="1"/>
  <c r="EP109" i="7" s="1"/>
  <c r="FX34" i="7" a="1"/>
  <c r="FX34" i="7" s="1"/>
  <c r="FI70" i="7" a="1"/>
  <c r="FI70" i="7" s="1"/>
  <c r="EI78" i="7" a="1"/>
  <c r="EI78" i="7" s="1"/>
  <c r="FF85" i="7" a="1"/>
  <c r="FF85" i="7" s="1"/>
  <c r="FE93" i="7" a="1"/>
  <c r="FE93" i="7" s="1"/>
  <c r="DX97" i="7" a="1"/>
  <c r="DX97" i="7" s="1"/>
  <c r="FW98" i="7" a="1"/>
  <c r="FW98" i="7" s="1"/>
  <c r="FK100" i="7" a="1"/>
  <c r="FK100" i="7" s="1"/>
  <c r="EJ103" i="7" a="1"/>
  <c r="EJ103" i="7" s="1"/>
  <c r="EQ106" i="7" a="1"/>
  <c r="EQ106" i="7" s="1"/>
  <c r="EX109" i="7" a="1"/>
  <c r="EX109" i="7" s="1"/>
  <c r="FE112" i="7" a="1"/>
  <c r="FE112" i="7" s="1"/>
  <c r="EC114" i="7" a="1"/>
  <c r="EC114" i="7" s="1"/>
  <c r="EI69" i="7" a="1"/>
  <c r="EI69" i="7" s="1"/>
  <c r="FF82" i="7" a="1"/>
  <c r="FF82" i="7" s="1"/>
  <c r="DR89" i="7" a="1"/>
  <c r="DR89" i="7" s="1"/>
  <c r="EF93" i="7" a="1"/>
  <c r="EF93" i="7" s="1"/>
  <c r="FT100" i="7" a="1"/>
  <c r="FT100" i="7" s="1"/>
  <c r="EW104" i="7" a="1"/>
  <c r="EW104" i="7" s="1"/>
  <c r="FD107" i="7" a="1"/>
  <c r="FD107" i="7" s="1"/>
  <c r="FK110" i="7" a="1"/>
  <c r="FK110" i="7" s="1"/>
  <c r="EX63" i="7" a="1"/>
  <c r="EX63" i="7" s="1"/>
  <c r="DW76" i="7" a="1"/>
  <c r="DW76" i="7" s="1"/>
  <c r="DZ81" i="7" a="1"/>
  <c r="DZ81" i="7" s="1"/>
  <c r="DQ86" i="7" a="1"/>
  <c r="DQ86" i="7" s="1"/>
  <c r="EE94" i="7" a="1"/>
  <c r="EE94" i="7" s="1"/>
  <c r="EW97" i="7" a="1"/>
  <c r="EW97" i="7" s="1"/>
  <c r="EL99" i="7" a="1"/>
  <c r="EL99" i="7" s="1"/>
  <c r="DZ101" i="7" a="1"/>
  <c r="DZ101" i="7" s="1"/>
  <c r="FW103" i="7" a="1"/>
  <c r="FW103" i="7" s="1"/>
  <c r="DS107" i="7" a="1"/>
  <c r="DS107" i="7" s="1"/>
  <c r="DZ110" i="7" a="1"/>
  <c r="DZ110" i="7" s="1"/>
  <c r="GA46" i="7" a="1"/>
  <c r="GA46" i="7" s="1"/>
  <c r="EA68" i="7" a="1"/>
  <c r="EA68" i="7" s="1"/>
  <c r="FY78" i="7" a="1"/>
  <c r="FY78" i="7" s="1"/>
  <c r="ET54" i="7" a="1"/>
  <c r="ET54" i="7" s="1"/>
  <c r="DS70" i="7" a="1"/>
  <c r="DS70" i="7" s="1"/>
  <c r="FS81" i="7" a="1"/>
  <c r="FS81" i="7" s="1"/>
  <c r="DU88" i="7" a="1"/>
  <c r="DU88" i="7" s="1"/>
  <c r="DV96" i="7" a="1"/>
  <c r="DV96" i="7" s="1"/>
  <c r="FF102" i="7" a="1"/>
  <c r="FF102" i="7" s="1"/>
  <c r="FM105" i="7" a="1"/>
  <c r="FM105" i="7" s="1"/>
  <c r="FT108" i="7" a="1"/>
  <c r="FT108" i="7" s="1"/>
  <c r="GA111" i="7" a="1"/>
  <c r="GA111" i="7" s="1"/>
  <c r="FB76" i="7" a="1"/>
  <c r="FB76" i="7" s="1"/>
  <c r="EK87" i="7" a="1"/>
  <c r="EK87" i="7" s="1"/>
  <c r="FK95" i="7" a="1"/>
  <c r="FK95" i="7" s="1"/>
  <c r="DT100" i="7" a="1"/>
  <c r="DT100" i="7" s="1"/>
  <c r="DR105" i="7" a="1"/>
  <c r="DR105" i="7" s="1"/>
  <c r="EH109" i="7" a="1"/>
  <c r="EH109" i="7" s="1"/>
  <c r="FU113" i="7" a="1"/>
  <c r="FU113" i="7" s="1"/>
  <c r="DS116" i="7" a="1"/>
  <c r="DS116" i="7" s="1"/>
  <c r="FR117" i="7" a="1"/>
  <c r="FR117" i="7" s="1"/>
  <c r="FG119" i="7" a="1"/>
  <c r="FG119" i="7" s="1"/>
  <c r="EU121" i="7" a="1"/>
  <c r="EU121" i="7" s="1"/>
  <c r="EA124" i="7" a="1"/>
  <c r="EA124" i="7" s="1"/>
  <c r="EH127" i="7" a="1"/>
  <c r="EH127" i="7" s="1"/>
  <c r="EO130" i="7" a="1"/>
  <c r="EO130" i="7" s="1"/>
  <c r="DV53" i="7" a="1"/>
  <c r="DV53" i="7" s="1"/>
  <c r="EP79" i="7" a="1"/>
  <c r="EP79" i="7" s="1"/>
  <c r="EF92" i="7" a="1"/>
  <c r="EF92" i="7" s="1"/>
  <c r="FE98" i="7" a="1"/>
  <c r="FE98" i="7" s="1"/>
  <c r="FJ103" i="7" a="1"/>
  <c r="FJ103" i="7" s="1"/>
  <c r="FP107" i="7" a="1"/>
  <c r="FP107" i="7" s="1"/>
  <c r="EH113" i="7" a="1"/>
  <c r="EH113" i="7" s="1"/>
  <c r="FL121" i="7" a="1"/>
  <c r="FL121" i="7" s="1"/>
  <c r="DY125" i="7" a="1"/>
  <c r="DY125" i="7" s="1"/>
  <c r="EF128" i="7" a="1"/>
  <c r="EF128" i="7" s="1"/>
  <c r="EM131" i="7" a="1"/>
  <c r="EM131" i="7" s="1"/>
  <c r="FH133" i="7" a="1"/>
  <c r="FH133" i="7" s="1"/>
  <c r="ET30" i="7" a="1"/>
  <c r="ET30" i="7" s="1"/>
  <c r="FZ79" i="7" a="1"/>
  <c r="FZ79" i="7" s="1"/>
  <c r="EE90" i="7" a="1"/>
  <c r="EE90" i="7" s="1"/>
  <c r="EH97" i="7" a="1"/>
  <c r="EH97" i="7" s="1"/>
  <c r="EG102" i="7" a="1"/>
  <c r="EG102" i="7" s="1"/>
  <c r="EW106" i="7" a="1"/>
  <c r="EW106" i="7" s="1"/>
  <c r="FK111" i="7" a="1"/>
  <c r="FK111" i="7" s="1"/>
  <c r="FD114" i="7" a="1"/>
  <c r="FD114" i="7" s="1"/>
  <c r="ES116" i="7" a="1"/>
  <c r="ES116" i="7" s="1"/>
  <c r="EG118" i="7" a="1"/>
  <c r="EG118" i="7" s="1"/>
  <c r="DU120" i="7" a="1"/>
  <c r="DU120" i="7" s="1"/>
  <c r="FU121" i="7" a="1"/>
  <c r="FU121" i="7" s="1"/>
  <c r="FN124" i="7" a="1"/>
  <c r="FN124" i="7" s="1"/>
  <c r="FU127" i="7" a="1"/>
  <c r="FU127" i="7" s="1"/>
  <c r="FB75" i="7" a="1"/>
  <c r="FB75" i="7" s="1"/>
  <c r="DV89" i="7" a="1"/>
  <c r="DV89" i="7" s="1"/>
  <c r="DV98" i="7" a="1"/>
  <c r="DV98" i="7" s="1"/>
  <c r="DQ103" i="7" a="1"/>
  <c r="DQ103" i="7" s="1"/>
  <c r="ET107" i="7" a="1"/>
  <c r="ET107" i="7" s="1"/>
  <c r="FQ112" i="7" a="1"/>
  <c r="FQ112" i="7" s="1"/>
  <c r="FS120" i="7" a="1"/>
  <c r="FS120" i="7" s="1"/>
  <c r="FV124" i="7" a="1"/>
  <c r="FV124" i="7" s="1"/>
  <c r="DR128" i="7" a="1"/>
  <c r="DR128" i="7" s="1"/>
  <c r="DY131" i="7" a="1"/>
  <c r="DY131" i="7" s="1"/>
  <c r="FB133" i="7" a="1"/>
  <c r="FB133" i="7" s="1"/>
  <c r="DZ135" i="7" a="1"/>
  <c r="DZ135" i="7" s="1"/>
  <c r="EP78" i="7" a="1"/>
  <c r="EP78" i="7" s="1"/>
  <c r="FT87" i="7" a="1"/>
  <c r="FT87" i="7" s="1"/>
  <c r="EI97" i="7" a="1"/>
  <c r="EI97" i="7" s="1"/>
  <c r="ES66" i="7" a="1"/>
  <c r="ES66" i="7" s="1"/>
  <c r="FK80" i="7" a="1"/>
  <c r="FK80" i="7" s="1"/>
  <c r="ER90" i="7" a="1"/>
  <c r="ER90" i="7" s="1"/>
  <c r="FK97" i="7" a="1"/>
  <c r="FK97" i="7" s="1"/>
  <c r="EK102" i="7" a="1"/>
  <c r="EK102" i="7" s="1"/>
  <c r="FZ106" i="7" a="1"/>
  <c r="FZ106" i="7" s="1"/>
  <c r="DQ112" i="7" a="1"/>
  <c r="DQ112" i="7" s="1"/>
  <c r="DU115" i="7" a="1"/>
  <c r="DU115" i="7" s="1"/>
  <c r="FU116" i="7" a="1"/>
  <c r="FU116" i="7" s="1"/>
  <c r="FI118" i="7" a="1"/>
  <c r="FI118" i="7" s="1"/>
  <c r="EW120" i="7" a="1"/>
  <c r="EW120" i="7" s="1"/>
  <c r="EZ122" i="7" a="1"/>
  <c r="EZ122" i="7" s="1"/>
  <c r="FG125" i="7" a="1"/>
  <c r="FG125" i="7" s="1"/>
  <c r="FJ51" i="7" a="1"/>
  <c r="FJ51" i="7" s="1"/>
  <c r="EW92" i="7" a="1"/>
  <c r="EW92" i="7" s="1"/>
  <c r="DR102" i="7" a="1"/>
  <c r="DR102" i="7" s="1"/>
  <c r="DZ112" i="7" a="1"/>
  <c r="DZ112" i="7" s="1"/>
  <c r="ER117" i="7" a="1"/>
  <c r="ER117" i="7" s="1"/>
  <c r="ES122" i="7" a="1"/>
  <c r="ES122" i="7" s="1"/>
  <c r="DS128" i="7" a="1"/>
  <c r="DS128" i="7" s="1"/>
  <c r="FF132" i="7" a="1"/>
  <c r="FF132" i="7" s="1"/>
  <c r="GA73" i="7" a="1"/>
  <c r="GA73" i="7" s="1"/>
  <c r="DY93" i="7" a="1"/>
  <c r="DY93" i="7" s="1"/>
  <c r="EE103" i="7" a="1"/>
  <c r="EE103" i="7" s="1"/>
  <c r="EG109" i="7" a="1"/>
  <c r="EG109" i="7" s="1"/>
  <c r="DS115" i="7" a="1"/>
  <c r="DS115" i="7" s="1"/>
  <c r="FS119" i="7" a="1"/>
  <c r="FS119" i="7" s="1"/>
  <c r="FY76" i="7" a="1"/>
  <c r="FY76" i="7" s="1"/>
  <c r="FY91" i="7" a="1"/>
  <c r="FY91" i="7" s="1"/>
  <c r="ET101" i="7" a="1"/>
  <c r="ET101" i="7" s="1"/>
  <c r="ED112" i="7" a="1"/>
  <c r="ED112" i="7" s="1"/>
  <c r="EH118" i="7" a="1"/>
  <c r="EH118" i="7" s="1"/>
  <c r="EP123" i="7" a="1"/>
  <c r="EP123" i="7" s="1"/>
  <c r="EW66" i="7" a="1"/>
  <c r="EW66" i="7" s="1"/>
  <c r="DR92" i="7" a="1"/>
  <c r="DR92" i="7" s="1"/>
  <c r="FO101" i="7" a="1"/>
  <c r="FO101" i="7" s="1"/>
  <c r="FA107" i="7" a="1"/>
  <c r="FA107" i="7" s="1"/>
  <c r="FJ113" i="7" a="1"/>
  <c r="FJ113" i="7" s="1"/>
  <c r="FT118" i="7" a="1"/>
  <c r="FT118" i="7" s="1"/>
  <c r="FE59" i="7" a="1"/>
  <c r="FE59" i="7" s="1"/>
  <c r="EW62" i="7" a="1"/>
  <c r="EW62" i="7" s="1"/>
  <c r="FX62" i="7" a="1"/>
  <c r="FX62" i="7" s="1"/>
  <c r="EM94" i="7" a="1"/>
  <c r="EM94" i="7" s="1"/>
  <c r="FY100" i="7" a="1"/>
  <c r="FY100" i="7" s="1"/>
  <c r="FP106" i="7" a="1"/>
  <c r="FP106" i="7" s="1"/>
  <c r="EC92" i="7" a="1"/>
  <c r="EC92" i="7" s="1"/>
  <c r="DY104" i="7" a="1"/>
  <c r="DY104" i="7" s="1"/>
  <c r="FI114" i="7" a="1"/>
  <c r="FI114" i="7" s="1"/>
  <c r="ES121" i="7" a="1"/>
  <c r="ES121" i="7" s="1"/>
  <c r="FW127" i="7" a="1"/>
  <c r="FW127" i="7" s="1"/>
  <c r="ER134" i="7" a="1"/>
  <c r="ER134" i="7" s="1"/>
  <c r="FK136" i="7" a="1"/>
  <c r="FK136" i="7" s="1"/>
  <c r="EI138" i="7" a="1"/>
  <c r="EI138" i="7" s="1"/>
  <c r="FR139" i="7" a="1"/>
  <c r="FR139" i="7" s="1"/>
  <c r="EP141" i="7" a="1"/>
  <c r="EP141" i="7" s="1"/>
  <c r="EN98" i="7" a="1"/>
  <c r="EN98" i="7" s="1"/>
  <c r="EW109" i="7" a="1"/>
  <c r="EW109" i="7" s="1"/>
  <c r="EW119" i="7" a="1"/>
  <c r="EW119" i="7" s="1"/>
  <c r="ED125" i="7" a="1"/>
  <c r="ED125" i="7" s="1"/>
  <c r="FQ129" i="7" a="1"/>
  <c r="FQ129" i="7" s="1"/>
  <c r="EY133" i="7" a="1"/>
  <c r="EY133" i="7" s="1"/>
  <c r="DR88" i="7" a="1"/>
  <c r="DR88" i="7" s="1"/>
  <c r="FZ100" i="7" a="1"/>
  <c r="FZ100" i="7" s="1"/>
  <c r="FB111" i="7" a="1"/>
  <c r="FB111" i="7" s="1"/>
  <c r="EX119" i="7" a="1"/>
  <c r="EX119" i="7" s="1"/>
  <c r="EJ126" i="7" a="1"/>
  <c r="EJ126" i="7" s="1"/>
  <c r="FZ130" i="7" a="1"/>
  <c r="FZ130" i="7" s="1"/>
  <c r="FL135" i="7" a="1"/>
  <c r="FL135" i="7" s="1"/>
  <c r="DX84" i="7" a="1"/>
  <c r="DX84" i="7" s="1"/>
  <c r="ET106" i="7" a="1"/>
  <c r="ET106" i="7" s="1"/>
  <c r="FK116" i="7" a="1"/>
  <c r="FK116" i="7" s="1"/>
  <c r="FY123" i="7" a="1"/>
  <c r="FY123" i="7" s="1"/>
  <c r="EB129" i="7" a="1"/>
  <c r="EB129" i="7" s="1"/>
  <c r="EI132" i="7" a="1"/>
  <c r="EI132" i="7" s="1"/>
  <c r="EZ76" i="7" a="1"/>
  <c r="EZ76" i="7" s="1"/>
  <c r="EX99" i="7" a="1"/>
  <c r="EX99" i="7" s="1"/>
  <c r="EO90" i="7" a="1"/>
  <c r="EO90" i="7" s="1"/>
  <c r="EH73" i="7" a="1"/>
  <c r="EH73" i="7" s="1"/>
  <c r="DZ100" i="7" a="1"/>
  <c r="DZ100" i="7" s="1"/>
  <c r="FM111" i="7" a="1"/>
  <c r="FM111" i="7" s="1"/>
  <c r="EY118" i="7" a="1"/>
  <c r="EY118" i="7" s="1"/>
  <c r="FX125" i="7" a="1"/>
  <c r="FX125" i="7" s="1"/>
  <c r="FR132" i="7" a="1"/>
  <c r="FR132" i="7" s="1"/>
  <c r="FI78" i="7" a="1"/>
  <c r="FI78" i="7" s="1"/>
  <c r="EW110" i="7" a="1"/>
  <c r="EW110" i="7" s="1"/>
  <c r="FM122" i="7" a="1"/>
  <c r="FM122" i="7" s="1"/>
  <c r="EQ132" i="7" a="1"/>
  <c r="EQ132" i="7" s="1"/>
  <c r="ER136" i="7" a="1"/>
  <c r="ER136" i="7" s="1"/>
  <c r="EG138" i="7" a="1"/>
  <c r="EG138" i="7" s="1"/>
  <c r="EJ141" i="7" a="1"/>
  <c r="EJ141" i="7" s="1"/>
  <c r="GA142" i="7" a="1"/>
  <c r="GA142" i="7" s="1"/>
  <c r="EY144" i="7" a="1"/>
  <c r="EY144" i="7" s="1"/>
  <c r="DW146" i="7" a="1"/>
  <c r="DW146" i="7" s="1"/>
  <c r="FF147" i="7" a="1"/>
  <c r="FF147" i="7" s="1"/>
  <c r="ED149" i="7" a="1"/>
  <c r="ED149" i="7" s="1"/>
  <c r="FM150" i="7" a="1"/>
  <c r="FM150" i="7" s="1"/>
  <c r="EK152" i="7" a="1"/>
  <c r="EK152" i="7" s="1"/>
  <c r="FT153" i="7" a="1"/>
  <c r="FT153" i="7" s="1"/>
  <c r="ER155" i="7" a="1"/>
  <c r="ER155" i="7" s="1"/>
  <c r="FT102" i="7" a="1"/>
  <c r="FT102" i="7" s="1"/>
  <c r="EY113" i="7" a="1"/>
  <c r="EY113" i="7" s="1"/>
  <c r="EP122" i="7" a="1"/>
  <c r="EP122" i="7" s="1"/>
  <c r="FE129" i="7" a="1"/>
  <c r="FE129" i="7" s="1"/>
  <c r="FO135" i="7" a="1"/>
  <c r="FO135" i="7" s="1"/>
  <c r="FL90" i="7" a="1"/>
  <c r="FL90" i="7" s="1"/>
  <c r="EY114" i="7" a="1"/>
  <c r="EY114" i="7" s="1"/>
  <c r="EX125" i="7" a="1"/>
  <c r="EX125" i="7" s="1"/>
  <c r="GA132" i="7" a="1"/>
  <c r="GA132" i="7" s="1"/>
  <c r="GA136" i="7" a="1"/>
  <c r="GA136" i="7" s="1"/>
  <c r="FO138" i="7" a="1"/>
  <c r="FO138" i="7" s="1"/>
  <c r="FU141" i="7" a="1"/>
  <c r="FU141" i="7" s="1"/>
  <c r="ES143" i="7" a="1"/>
  <c r="ES143" i="7" s="1"/>
  <c r="DQ145" i="7" a="1"/>
  <c r="DQ145" i="7" s="1"/>
  <c r="EZ146" i="7" a="1"/>
  <c r="EZ146" i="7" s="1"/>
  <c r="DX148" i="7" a="1"/>
  <c r="DX148" i="7" s="1"/>
  <c r="FG149" i="7" a="1"/>
  <c r="FG149" i="7" s="1"/>
  <c r="EE151" i="7" a="1"/>
  <c r="EE151" i="7" s="1"/>
  <c r="FN152" i="7" a="1"/>
  <c r="FN152" i="7" s="1"/>
  <c r="EL154" i="7" a="1"/>
  <c r="EL154" i="7" s="1"/>
  <c r="FV95" i="7" a="1"/>
  <c r="FV95" i="7" s="1"/>
  <c r="EA117" i="7" a="1"/>
  <c r="EA117" i="7" s="1"/>
  <c r="FQ125" i="7" a="1"/>
  <c r="FQ125" i="7" s="1"/>
  <c r="EF132" i="7" a="1"/>
  <c r="EF132" i="7" s="1"/>
  <c r="FF139" i="7" a="1"/>
  <c r="FF139" i="7" s="1"/>
  <c r="EL101" i="7" a="1"/>
  <c r="EL101" i="7" s="1"/>
  <c r="EU115" i="7" a="1"/>
  <c r="EU115" i="7" s="1"/>
  <c r="FA89" i="7" a="1"/>
  <c r="FA89" i="7" s="1"/>
  <c r="EA115" i="7" a="1"/>
  <c r="EA115" i="7" s="1"/>
  <c r="FY124" i="7" a="1"/>
  <c r="FY124" i="7" s="1"/>
  <c r="FN133" i="7" a="1"/>
  <c r="FN133" i="7" s="1"/>
  <c r="EA137" i="7" a="1"/>
  <c r="EA137" i="7" s="1"/>
  <c r="DW139" i="7" a="1"/>
  <c r="DW139" i="7" s="1"/>
  <c r="DT142" i="7" a="1"/>
  <c r="DT142" i="7" s="1"/>
  <c r="FC143" i="7" a="1"/>
  <c r="FC143" i="7" s="1"/>
  <c r="EA145" i="7" a="1"/>
  <c r="EA145" i="7" s="1"/>
  <c r="FJ146" i="7" a="1"/>
  <c r="FJ146" i="7" s="1"/>
  <c r="EH148" i="7" a="1"/>
  <c r="EH148" i="7" s="1"/>
  <c r="FQ149" i="7" a="1"/>
  <c r="FQ149" i="7" s="1"/>
  <c r="EO151" i="7" a="1"/>
  <c r="EO151" i="7" s="1"/>
  <c r="FO108" i="7" a="1"/>
  <c r="FO108" i="7" s="1"/>
  <c r="GA128" i="7" a="1"/>
  <c r="GA128" i="7" s="1"/>
  <c r="DR140" i="7" a="1"/>
  <c r="DR140" i="7" s="1"/>
  <c r="FO144" i="7" a="1"/>
  <c r="FO144" i="7" s="1"/>
  <c r="DZ150" i="7" a="1"/>
  <c r="DZ150" i="7" s="1"/>
  <c r="FD156" i="7" a="1"/>
  <c r="FD156" i="7" s="1"/>
  <c r="ER158" i="7" a="1"/>
  <c r="ER158" i="7" s="1"/>
  <c r="EG160" i="7" a="1"/>
  <c r="EG160" i="7" s="1"/>
  <c r="DU162" i="7" a="1"/>
  <c r="DU162" i="7" s="1"/>
  <c r="DV41" i="7" a="1"/>
  <c r="DV41" i="7" s="1"/>
  <c r="FZ32" i="7" a="1"/>
  <c r="FZ32" i="7" s="1"/>
  <c r="EY35" i="7" a="1"/>
  <c r="EY35" i="7" s="1"/>
  <c r="EM51" i="7" a="1"/>
  <c r="EM51" i="7" s="1"/>
  <c r="ES46" i="7" a="1"/>
  <c r="ES46" i="7" s="1"/>
  <c r="DR42" i="7" a="1"/>
  <c r="DR42" i="7" s="1"/>
  <c r="DR41" i="7" a="1"/>
  <c r="DR41" i="7" s="1"/>
  <c r="FY23" i="7" a="1"/>
  <c r="FY23" i="7" s="1"/>
  <c r="FT47" i="7" a="1"/>
  <c r="FT47" i="7" s="1"/>
  <c r="EE36" i="7" a="1"/>
  <c r="EE36" i="7" s="1"/>
  <c r="DR58" i="7" a="1"/>
  <c r="DR58" i="7" s="1"/>
  <c r="EH50" i="7" a="1"/>
  <c r="EH50" i="7" s="1"/>
  <c r="FY42" i="7" a="1"/>
  <c r="FY42" i="7" s="1"/>
  <c r="EV54" i="7" a="1"/>
  <c r="EV54" i="7" s="1"/>
  <c r="FB65" i="7" a="1"/>
  <c r="FB65" i="7" s="1"/>
  <c r="FE54" i="7" a="1"/>
  <c r="FE54" i="7" s="1"/>
  <c r="DU30" i="7" a="1"/>
  <c r="DU30" i="7" s="1"/>
  <c r="DT56" i="7" a="1"/>
  <c r="DT56" i="7" s="1"/>
  <c r="EF31" i="7" a="1"/>
  <c r="EF31" i="7" s="1"/>
  <c r="FA59" i="7" a="1"/>
  <c r="FA59" i="7" s="1"/>
  <c r="FG39" i="7" a="1"/>
  <c r="FG39" i="7" s="1"/>
  <c r="FL60" i="7" a="1"/>
  <c r="FL60" i="7" s="1"/>
  <c r="FB54" i="7" a="1"/>
  <c r="FB54" i="7" s="1"/>
  <c r="EL70" i="7" a="1"/>
  <c r="EL70" i="7" s="1"/>
  <c r="EJ39" i="7" a="1"/>
  <c r="EJ39" i="7" s="1"/>
  <c r="DQ66" i="7" a="1"/>
  <c r="DQ66" i="7" s="1"/>
  <c r="EH55" i="7" a="1"/>
  <c r="EH55" i="7" s="1"/>
  <c r="FA70" i="7" a="1"/>
  <c r="FA70" i="7" s="1"/>
  <c r="EB40" i="7" a="1"/>
  <c r="EB40" i="7" s="1"/>
  <c r="EI66" i="7" a="1"/>
  <c r="EI66" i="7" s="1"/>
  <c r="FV38" i="7" a="1"/>
  <c r="FV38" i="7" s="1"/>
  <c r="FF65" i="7" a="1"/>
  <c r="FF65" i="7" s="1"/>
  <c r="EW72" i="7" a="1"/>
  <c r="EW72" i="7" s="1"/>
  <c r="EA69" i="7" a="1"/>
  <c r="EA69" i="7" s="1"/>
  <c r="EX86" i="7" a="1"/>
  <c r="EX86" i="7" s="1"/>
  <c r="FJ60" i="7" a="1"/>
  <c r="FJ60" i="7" s="1"/>
  <c r="EG76" i="7" a="1"/>
  <c r="EG76" i="7" s="1"/>
  <c r="EG83" i="7" a="1"/>
  <c r="EG83" i="7" s="1"/>
  <c r="EB39" i="7" a="1"/>
  <c r="EB39" i="7" s="1"/>
  <c r="EV72" i="7" a="1"/>
  <c r="EV72" i="7" s="1"/>
  <c r="EM85" i="7" a="1"/>
  <c r="EM85" i="7" s="1"/>
  <c r="DT92" i="7" a="1"/>
  <c r="DT92" i="7" s="1"/>
  <c r="EP51" i="7" a="1"/>
  <c r="EP51" i="7" s="1"/>
  <c r="EQ68" i="7" a="1"/>
  <c r="EQ68" i="7" s="1"/>
  <c r="FW76" i="7" a="1"/>
  <c r="FW76" i="7" s="1"/>
  <c r="FR81" i="7" a="1"/>
  <c r="FR81" i="7" s="1"/>
  <c r="DS87" i="7" a="1"/>
  <c r="DS87" i="7" s="1"/>
  <c r="DZ65" i="7" a="1"/>
  <c r="DZ65" i="7" s="1"/>
  <c r="GA61" i="7" a="1"/>
  <c r="GA61" i="7" s="1"/>
  <c r="EN71" i="7" a="1"/>
  <c r="EN71" i="7" s="1"/>
  <c r="FA76" i="7" a="1"/>
  <c r="FA76" i="7" s="1"/>
  <c r="FE85" i="7" a="1"/>
  <c r="FE85" i="7" s="1"/>
  <c r="EM89" i="7" a="1"/>
  <c r="EM89" i="7" s="1"/>
  <c r="EV44" i="7" a="1"/>
  <c r="EV44" i="7" s="1"/>
  <c r="FV65" i="7" a="1"/>
  <c r="FV65" i="7" s="1"/>
  <c r="ED76" i="7" a="1"/>
  <c r="ED76" i="7" s="1"/>
  <c r="FF81" i="7" a="1"/>
  <c r="FF81" i="7" s="1"/>
  <c r="FD88" i="7" a="1"/>
  <c r="FD88" i="7" s="1"/>
  <c r="EI93" i="7" a="1"/>
  <c r="EI93" i="7" s="1"/>
  <c r="FH42" i="7" a="1"/>
  <c r="FH42" i="7" s="1"/>
  <c r="FJ67" i="7" a="1"/>
  <c r="FJ67" i="7" s="1"/>
  <c r="FR76" i="7" a="1"/>
  <c r="FR76" i="7" s="1"/>
  <c r="EI82" i="7" a="1"/>
  <c r="EI82" i="7" s="1"/>
  <c r="FY87" i="7" a="1"/>
  <c r="FY87" i="7" s="1"/>
  <c r="EY95" i="7" a="1"/>
  <c r="EY95" i="7" s="1"/>
  <c r="DT52" i="7" a="1"/>
  <c r="DT52" i="7" s="1"/>
  <c r="FW65" i="7" a="1"/>
  <c r="FW65" i="7" s="1"/>
  <c r="FW73" i="7" a="1"/>
  <c r="FW73" i="7" s="1"/>
  <c r="FT80" i="7" a="1"/>
  <c r="FT80" i="7" s="1"/>
  <c r="FT86" i="7" a="1"/>
  <c r="FT86" i="7" s="1"/>
  <c r="ET92" i="7" a="1"/>
  <c r="ET92" i="7" s="1"/>
  <c r="EE43" i="7" a="1"/>
  <c r="EE43" i="7" s="1"/>
  <c r="FK67" i="7" a="1"/>
  <c r="FK67" i="7" s="1"/>
  <c r="FG76" i="7" a="1"/>
  <c r="FG76" i="7" s="1"/>
  <c r="DX82" i="7" a="1"/>
  <c r="DX82" i="7" s="1"/>
  <c r="EA88" i="7" a="1"/>
  <c r="EA88" i="7" s="1"/>
  <c r="FE92" i="7" a="1"/>
  <c r="FE92" i="7" s="1"/>
  <c r="EF41" i="7" a="1"/>
  <c r="EF41" i="7" s="1"/>
  <c r="EC61" i="7" a="1"/>
  <c r="EC61" i="7" s="1"/>
  <c r="FQ70" i="7" a="1"/>
  <c r="FQ70" i="7" s="1"/>
  <c r="FK58" i="7" a="1"/>
  <c r="FK58" i="7" s="1"/>
  <c r="FB69" i="7" a="1"/>
  <c r="FB69" i="7" s="1"/>
  <c r="FK74" i="7" a="1"/>
  <c r="FK74" i="7" s="1"/>
  <c r="EL79" i="7" a="1"/>
  <c r="EL79" i="7" s="1"/>
  <c r="GA83" i="7" a="1"/>
  <c r="GA83" i="7" s="1"/>
  <c r="EO89" i="7" a="1"/>
  <c r="EO89" i="7" s="1"/>
  <c r="EE93" i="7" a="1"/>
  <c r="EE93" i="7" s="1"/>
  <c r="FK61" i="7" a="1"/>
  <c r="FK61" i="7" s="1"/>
  <c r="EP75" i="7" a="1"/>
  <c r="EP75" i="7" s="1"/>
  <c r="DQ82" i="7" a="1"/>
  <c r="DQ82" i="7" s="1"/>
  <c r="FJ88" i="7" a="1"/>
  <c r="FJ88" i="7" s="1"/>
  <c r="DR96" i="7" a="1"/>
  <c r="DR96" i="7" s="1"/>
  <c r="FX102" i="7" a="1"/>
  <c r="FX102" i="7" s="1"/>
  <c r="EI106" i="7" a="1"/>
  <c r="EI106" i="7" s="1"/>
  <c r="FE109" i="7" a="1"/>
  <c r="FE109" i="7" s="1"/>
  <c r="FK43" i="7" a="1"/>
  <c r="FK43" i="7" s="1"/>
  <c r="EC71" i="7" a="1"/>
  <c r="EC71" i="7" s="1"/>
  <c r="EZ78" i="7" a="1"/>
  <c r="EZ78" i="7" s="1"/>
  <c r="EZ86" i="7" a="1"/>
  <c r="EZ86" i="7" s="1"/>
  <c r="FR93" i="7" a="1"/>
  <c r="FR93" i="7" s="1"/>
  <c r="EF97" i="7" a="1"/>
  <c r="EF97" i="7" s="1"/>
  <c r="DT99" i="7" a="1"/>
  <c r="DT99" i="7" s="1"/>
  <c r="FS100" i="7" a="1"/>
  <c r="FS100" i="7" s="1"/>
  <c r="ER103" i="7" a="1"/>
  <c r="ER103" i="7" s="1"/>
  <c r="EY106" i="7" a="1"/>
  <c r="EY106" i="7" s="1"/>
  <c r="FF109" i="7" a="1"/>
  <c r="FF109" i="7" s="1"/>
  <c r="FL112" i="7" a="1"/>
  <c r="FL112" i="7" s="1"/>
  <c r="FG26" i="7" a="1"/>
  <c r="FG26" i="7" s="1"/>
  <c r="EJ70" i="7" a="1"/>
  <c r="EJ70" i="7" s="1"/>
  <c r="DR83" i="7" a="1"/>
  <c r="DR83" i="7" s="1"/>
  <c r="EG89" i="7" a="1"/>
  <c r="EG89" i="7" s="1"/>
  <c r="DV95" i="7" a="1"/>
  <c r="DV95" i="7" s="1"/>
  <c r="FE101" i="7" a="1"/>
  <c r="FE101" i="7" s="1"/>
  <c r="FL104" i="7" a="1"/>
  <c r="FL104" i="7" s="1"/>
  <c r="FS107" i="7" a="1"/>
  <c r="FS107" i="7" s="1"/>
  <c r="FZ110" i="7" a="1"/>
  <c r="FZ110" i="7" s="1"/>
  <c r="EJ64" i="7" a="1"/>
  <c r="EJ64" i="7" s="1"/>
  <c r="EQ76" i="7" a="1"/>
  <c r="EQ76" i="7" s="1"/>
  <c r="EQ81" i="7" a="1"/>
  <c r="EQ81" i="7" s="1"/>
  <c r="FR86" i="7" a="1"/>
  <c r="FR86" i="7" s="1"/>
  <c r="EP94" i="7" a="1"/>
  <c r="EP94" i="7" s="1"/>
  <c r="FE97" i="7" a="1"/>
  <c r="FE97" i="7" s="1"/>
  <c r="ET99" i="7" a="1"/>
  <c r="ET99" i="7" s="1"/>
  <c r="EH101" i="7" a="1"/>
  <c r="EH101" i="7" s="1"/>
  <c r="EA104" i="7" a="1"/>
  <c r="EA104" i="7" s="1"/>
  <c r="EH107" i="7" a="1"/>
  <c r="EH107" i="7" s="1"/>
  <c r="EO110" i="7" a="1"/>
  <c r="EO110" i="7" s="1"/>
  <c r="DZ51" i="7" a="1"/>
  <c r="DZ51" i="7" s="1"/>
  <c r="FT68" i="7" a="1"/>
  <c r="FT68" i="7" s="1"/>
  <c r="EJ79" i="7" a="1"/>
  <c r="EJ79" i="7" s="1"/>
  <c r="EP55" i="7" a="1"/>
  <c r="EP55" i="7" s="1"/>
  <c r="FW71" i="7" a="1"/>
  <c r="FW71" i="7" s="1"/>
  <c r="EX82" i="7" a="1"/>
  <c r="EX82" i="7" s="1"/>
  <c r="FS88" i="7" a="1"/>
  <c r="FS88" i="7" s="1"/>
  <c r="EG96" i="7" a="1"/>
  <c r="EG96" i="7" s="1"/>
  <c r="FU102" i="7" a="1"/>
  <c r="FU102" i="7" s="1"/>
  <c r="DQ106" i="7" a="1"/>
  <c r="DQ106" i="7" s="1"/>
  <c r="DX109" i="7" a="1"/>
  <c r="DX109" i="7" s="1"/>
  <c r="EE112" i="7" a="1"/>
  <c r="EE112" i="7" s="1"/>
  <c r="DZ77" i="7" a="1"/>
  <c r="DZ77" i="7" s="1"/>
  <c r="FM87" i="7" a="1"/>
  <c r="FM87" i="7" s="1"/>
  <c r="FY95" i="7" a="1"/>
  <c r="FY95" i="7" s="1"/>
  <c r="FG100" i="7" a="1"/>
  <c r="FG100" i="7" s="1"/>
  <c r="EO105" i="7" a="1"/>
  <c r="EO105" i="7" s="1"/>
  <c r="EU109" i="7" a="1"/>
  <c r="EU109" i="7" s="1"/>
  <c r="ED114" i="7" a="1"/>
  <c r="ED114" i="7" s="1"/>
  <c r="EA116" i="7" a="1"/>
  <c r="EA116" i="7" s="1"/>
  <c r="GA117" i="7" a="1"/>
  <c r="GA117" i="7" s="1"/>
  <c r="FO119" i="7" a="1"/>
  <c r="FO119" i="7" s="1"/>
  <c r="FC121" i="7" a="1"/>
  <c r="FC121" i="7" s="1"/>
  <c r="EP124" i="7" a="1"/>
  <c r="EP124" i="7" s="1"/>
  <c r="EW127" i="7" a="1"/>
  <c r="EW127" i="7" s="1"/>
  <c r="FD130" i="7" a="1"/>
  <c r="FD130" i="7" s="1"/>
  <c r="FK54" i="7" a="1"/>
  <c r="FK54" i="7" s="1"/>
  <c r="FY79" i="7" a="1"/>
  <c r="FY79" i="7" s="1"/>
  <c r="ER94" i="7" a="1"/>
  <c r="ER94" i="7" s="1"/>
  <c r="FS98" i="7" a="1"/>
  <c r="FS98" i="7" s="1"/>
  <c r="FU103" i="7" a="1"/>
  <c r="FU103" i="7" s="1"/>
  <c r="EB108" i="7" a="1"/>
  <c r="EB108" i="7" s="1"/>
  <c r="FB113" i="7" a="1"/>
  <c r="FB113" i="7" s="1"/>
  <c r="EG122" i="7" a="1"/>
  <c r="EG122" i="7" s="1"/>
  <c r="EN125" i="7" a="1"/>
  <c r="EN125" i="7" s="1"/>
  <c r="EU128" i="7" a="1"/>
  <c r="EU128" i="7" s="1"/>
  <c r="FB131" i="7" a="1"/>
  <c r="FB131" i="7" s="1"/>
  <c r="FO133" i="7" a="1"/>
  <c r="FO133" i="7" s="1"/>
  <c r="FT45" i="7" a="1"/>
  <c r="FT45" i="7" s="1"/>
  <c r="EZ80" i="7" a="1"/>
  <c r="EZ80" i="7" s="1"/>
  <c r="FH90" i="7" a="1"/>
  <c r="FH90" i="7" s="1"/>
  <c r="ET97" i="7" a="1"/>
  <c r="ET97" i="7" s="1"/>
  <c r="ER102" i="7" a="1"/>
  <c r="ER102" i="7" s="1"/>
  <c r="DV107" i="7" a="1"/>
  <c r="DV107" i="7" s="1"/>
  <c r="FV111" i="7" a="1"/>
  <c r="FV111" i="7" s="1"/>
  <c r="FM114" i="7" a="1"/>
  <c r="FM114" i="7" s="1"/>
  <c r="FA116" i="7" a="1"/>
  <c r="FA116" i="7" s="1"/>
  <c r="EO118" i="7" a="1"/>
  <c r="EO118" i="7" s="1"/>
  <c r="ED120" i="7" a="1"/>
  <c r="ED120" i="7" s="1"/>
  <c r="DR122" i="7" a="1"/>
  <c r="DR122" i="7" s="1"/>
  <c r="DR125" i="7" a="1"/>
  <c r="DR125" i="7" s="1"/>
  <c r="DY128" i="7" a="1"/>
  <c r="DY128" i="7" s="1"/>
  <c r="EB76" i="7" a="1"/>
  <c r="EB76" i="7" s="1"/>
  <c r="FI90" i="7" a="1"/>
  <c r="FI90" i="7" s="1"/>
  <c r="FI98" i="7" a="1"/>
  <c r="FI98" i="7" s="1"/>
  <c r="FA103" i="7" a="1"/>
  <c r="FA103" i="7" s="1"/>
  <c r="FQ107" i="7" a="1"/>
  <c r="FQ107" i="7" s="1"/>
  <c r="DZ113" i="7" a="1"/>
  <c r="DZ113" i="7" s="1"/>
  <c r="FE121" i="7" a="1"/>
  <c r="FE121" i="7" s="1"/>
  <c r="DZ125" i="7" a="1"/>
  <c r="DZ125" i="7" s="1"/>
  <c r="EG128" i="7" a="1"/>
  <c r="EG128" i="7" s="1"/>
  <c r="EN131" i="7" a="1"/>
  <c r="EN131" i="7" s="1"/>
  <c r="FI133" i="7" a="1"/>
  <c r="FI133" i="7" s="1"/>
  <c r="DY57" i="7" a="1"/>
  <c r="DY57" i="7" s="1"/>
  <c r="ER79" i="7" a="1"/>
  <c r="ER79" i="7" s="1"/>
  <c r="FG88" i="7" a="1"/>
  <c r="FG88" i="7" s="1"/>
  <c r="EU97" i="7" a="1"/>
  <c r="EU97" i="7" s="1"/>
  <c r="EH67" i="7" a="1"/>
  <c r="EH67" i="7" s="1"/>
  <c r="FX82" i="7" a="1"/>
  <c r="FX82" i="7" s="1"/>
  <c r="FT90" i="7" a="1"/>
  <c r="FT90" i="7" s="1"/>
  <c r="FY97" i="7" a="1"/>
  <c r="FY97" i="7" s="1"/>
  <c r="EW102" i="7" a="1"/>
  <c r="EW102" i="7" s="1"/>
  <c r="EY107" i="7" a="1"/>
  <c r="EY107" i="7" s="1"/>
  <c r="EC112" i="7" a="1"/>
  <c r="EC112" i="7" s="1"/>
  <c r="ED115" i="7" a="1"/>
  <c r="ED115" i="7" s="1"/>
  <c r="DR117" i="7" a="1"/>
  <c r="DR117" i="7" s="1"/>
  <c r="FQ118" i="7" a="1"/>
  <c r="FQ118" i="7" s="1"/>
  <c r="FF120" i="7" a="1"/>
  <c r="FF120" i="7" s="1"/>
  <c r="FO122" i="7" a="1"/>
  <c r="FO122" i="7" s="1"/>
  <c r="FV125" i="7" a="1"/>
  <c r="FV125" i="7" s="1"/>
  <c r="FK55" i="7" a="1"/>
  <c r="FK55" i="7" s="1"/>
  <c r="FI93" i="7" a="1"/>
  <c r="FI93" i="7" s="1"/>
  <c r="EJ102" i="7" a="1"/>
  <c r="EJ102" i="7" s="1"/>
  <c r="FJ112" i="7" a="1"/>
  <c r="FJ112" i="7" s="1"/>
  <c r="FE117" i="7" a="1"/>
  <c r="FE117" i="7" s="1"/>
  <c r="FP122" i="7" a="1"/>
  <c r="FP122" i="7" s="1"/>
  <c r="ED128" i="7" a="1"/>
  <c r="ED128" i="7" s="1"/>
  <c r="DW133" i="7" a="1"/>
  <c r="DW133" i="7" s="1"/>
  <c r="FX76" i="7" a="1"/>
  <c r="FX76" i="7" s="1"/>
  <c r="FF94" i="7" a="1"/>
  <c r="FF94" i="7" s="1"/>
  <c r="EU103" i="7" a="1"/>
  <c r="EU103" i="7" s="1"/>
  <c r="FA109" i="7" a="1"/>
  <c r="FA109" i="7" s="1"/>
  <c r="EE115" i="7" a="1"/>
  <c r="EE115" i="7" s="1"/>
  <c r="EU120" i="7" a="1"/>
  <c r="EU120" i="7" s="1"/>
  <c r="FV77" i="7" a="1"/>
  <c r="FV77" i="7" s="1"/>
  <c r="EX92" i="7" a="1"/>
  <c r="EX92" i="7" s="1"/>
  <c r="EL102" i="7" a="1"/>
  <c r="EL102" i="7" s="1"/>
  <c r="EV112" i="7" a="1"/>
  <c r="EV112" i="7" s="1"/>
  <c r="ET118" i="7" a="1"/>
  <c r="ET118" i="7" s="1"/>
  <c r="FZ123" i="7" a="1"/>
  <c r="FZ123" i="7" s="1"/>
  <c r="DZ70" i="7" a="1"/>
  <c r="DZ70" i="7" s="1"/>
  <c r="EC93" i="7" a="1"/>
  <c r="EC93" i="7" s="1"/>
  <c r="DV102" i="7" a="1"/>
  <c r="DV102" i="7" s="1"/>
  <c r="FU107" i="7" a="1"/>
  <c r="FU107" i="7" s="1"/>
  <c r="EF114" i="7" a="1"/>
  <c r="EF114" i="7" s="1"/>
  <c r="DV119" i="7" a="1"/>
  <c r="DV119" i="7" s="1"/>
  <c r="EP62" i="7" a="1"/>
  <c r="EP62" i="7" s="1"/>
  <c r="FA66" i="7" a="1"/>
  <c r="FA66" i="7" s="1"/>
  <c r="EH65" i="7" a="1"/>
  <c r="EH65" i="7" s="1"/>
  <c r="EM95" i="7" a="1"/>
  <c r="EM95" i="7" s="1"/>
  <c r="EF101" i="7" a="1"/>
  <c r="EF101" i="7" s="1"/>
  <c r="FH107" i="7" a="1"/>
  <c r="FH107" i="7" s="1"/>
  <c r="FO94" i="7" a="1"/>
  <c r="FO94" i="7" s="1"/>
  <c r="ED107" i="7" a="1"/>
  <c r="ED107" i="7" s="1"/>
  <c r="FY114" i="7" a="1"/>
  <c r="FY114" i="7" s="1"/>
  <c r="FN121" i="7" a="1"/>
  <c r="FN121" i="7" s="1"/>
  <c r="EK128" i="7" a="1"/>
  <c r="EK128" i="7" s="1"/>
  <c r="FS134" i="7" a="1"/>
  <c r="FS134" i="7" s="1"/>
  <c r="FR136" i="7" a="1"/>
  <c r="FR136" i="7" s="1"/>
  <c r="EP138" i="7" a="1"/>
  <c r="EP138" i="7" s="1"/>
  <c r="FY139" i="7" a="1"/>
  <c r="FY139" i="7" s="1"/>
  <c r="EW141" i="7" a="1"/>
  <c r="EW141" i="7" s="1"/>
  <c r="FY98" i="7" a="1"/>
  <c r="FY98" i="7" s="1"/>
  <c r="EL110" i="7" a="1"/>
  <c r="EL110" i="7" s="1"/>
  <c r="FN119" i="7" a="1"/>
  <c r="FN119" i="7" s="1"/>
  <c r="DU126" i="7" a="1"/>
  <c r="DU126" i="7" s="1"/>
  <c r="GA129" i="7" a="1"/>
  <c r="GA129" i="7" s="1"/>
  <c r="EA134" i="7" a="1"/>
  <c r="EA134" i="7" s="1"/>
  <c r="FU88" i="7" a="1"/>
  <c r="FU88" i="7" s="1"/>
  <c r="EQ101" i="7" a="1"/>
  <c r="EQ101" i="7" s="1"/>
  <c r="EP113" i="7" a="1"/>
  <c r="EP113" i="7" s="1"/>
  <c r="FE120" i="7" a="1"/>
  <c r="FE120" i="7" s="1"/>
  <c r="EX126" i="7" a="1"/>
  <c r="EX126" i="7" s="1"/>
  <c r="EU131" i="7" a="1"/>
  <c r="EU131" i="7" s="1"/>
  <c r="FS135" i="7" a="1"/>
  <c r="FS135" i="7" s="1"/>
  <c r="FK86" i="7" a="1"/>
  <c r="FK86" i="7" s="1"/>
  <c r="EM107" i="7" a="1"/>
  <c r="EM107" i="7" s="1"/>
  <c r="DQ117" i="7" a="1"/>
  <c r="DQ117" i="7" s="1"/>
  <c r="FP124" i="7" a="1"/>
  <c r="FP124" i="7" s="1"/>
  <c r="EW129" i="7" a="1"/>
  <c r="EW129" i="7" s="1"/>
  <c r="FD132" i="7" a="1"/>
  <c r="FD132" i="7" s="1"/>
  <c r="ER82" i="7" a="1"/>
  <c r="ER82" i="7" s="1"/>
  <c r="DS101" i="7" a="1"/>
  <c r="DS101" i="7" s="1"/>
  <c r="EI94" i="7" a="1"/>
  <c r="EI94" i="7" s="1"/>
  <c r="EK75" i="7" a="1"/>
  <c r="EK75" i="7" s="1"/>
  <c r="FF100" i="7" a="1"/>
  <c r="FF100" i="7" s="1"/>
  <c r="DY112" i="7" a="1"/>
  <c r="DY112" i="7" s="1"/>
  <c r="FO118" i="7" a="1"/>
  <c r="FO118" i="7" s="1"/>
  <c r="EP126" i="7" a="1"/>
  <c r="EP126" i="7" s="1"/>
  <c r="EA133" i="7" a="1"/>
  <c r="EA133" i="7" s="1"/>
  <c r="EY82" i="7" a="1"/>
  <c r="EY82" i="7" s="1"/>
  <c r="DU111" i="7" a="1"/>
  <c r="DU111" i="7" s="1"/>
  <c r="FN123" i="7" a="1"/>
  <c r="FN123" i="7" s="1"/>
  <c r="FZ132" i="7" a="1"/>
  <c r="FZ132" i="7" s="1"/>
  <c r="FA136" i="7" a="1"/>
  <c r="FA136" i="7" s="1"/>
  <c r="EO138" i="7" a="1"/>
  <c r="EO138" i="7" s="1"/>
  <c r="EY141" i="7" a="1"/>
  <c r="EY141" i="7" s="1"/>
  <c r="DW143" i="7" a="1"/>
  <c r="DW143" i="7" s="1"/>
  <c r="FF144" i="7" a="1"/>
  <c r="FF144" i="7" s="1"/>
  <c r="ED146" i="7" a="1"/>
  <c r="ED146" i="7" s="1"/>
  <c r="FM147" i="7" a="1"/>
  <c r="FM147" i="7" s="1"/>
  <c r="EK149" i="7" a="1"/>
  <c r="EK149" i="7" s="1"/>
  <c r="FT150" i="7" a="1"/>
  <c r="FT150" i="7" s="1"/>
  <c r="ER152" i="7" a="1"/>
  <c r="ER152" i="7" s="1"/>
  <c r="GA153" i="7" a="1"/>
  <c r="GA153" i="7" s="1"/>
  <c r="EY155" i="7" a="1"/>
  <c r="EY155" i="7" s="1"/>
  <c r="FB103" i="7" a="1"/>
  <c r="FB103" i="7" s="1"/>
  <c r="EX114" i="7" a="1"/>
  <c r="EX114" i="7" s="1"/>
  <c r="DY123" i="7" a="1"/>
  <c r="DY123" i="7" s="1"/>
  <c r="EC130" i="7" a="1"/>
  <c r="EC130" i="7" s="1"/>
  <c r="DS139" i="7" a="1"/>
  <c r="DS139" i="7" s="1"/>
  <c r="EQ94" i="7" a="1"/>
  <c r="EQ94" i="7" s="1"/>
  <c r="FL116" i="7" a="1"/>
  <c r="FL116" i="7" s="1"/>
  <c r="EC126" i="7" a="1"/>
  <c r="EC126" i="7" s="1"/>
  <c r="FG133" i="7" a="1"/>
  <c r="FG133" i="7" s="1"/>
  <c r="DX137" i="7" a="1"/>
  <c r="DX137" i="7" s="1"/>
  <c r="FW138" i="7" a="1"/>
  <c r="FW138" i="7" s="1"/>
  <c r="DQ142" i="7" a="1"/>
  <c r="DQ142" i="7" s="1"/>
  <c r="EZ143" i="7" a="1"/>
  <c r="EZ143" i="7" s="1"/>
  <c r="DX145" i="7" a="1"/>
  <c r="DX145" i="7" s="1"/>
  <c r="FG146" i="7" a="1"/>
  <c r="FG146" i="7" s="1"/>
  <c r="EE148" i="7" a="1"/>
  <c r="EE148" i="7" s="1"/>
  <c r="FN149" i="7" a="1"/>
  <c r="FN149" i="7" s="1"/>
  <c r="EL151" i="7" a="1"/>
  <c r="EL151" i="7" s="1"/>
  <c r="FU152" i="7" a="1"/>
  <c r="FU152" i="7" s="1"/>
  <c r="ES154" i="7" a="1"/>
  <c r="ES154" i="7" s="1"/>
  <c r="DR97" i="7" a="1"/>
  <c r="DR97" i="7" s="1"/>
  <c r="FD117" i="7" a="1"/>
  <c r="FD117" i="7" s="1"/>
  <c r="FB126" i="7" a="1"/>
  <c r="FB126" i="7" s="1"/>
  <c r="EV132" i="7" a="1"/>
  <c r="EV132" i="7" s="1"/>
  <c r="FU139" i="7" a="1"/>
  <c r="FU139" i="7" s="1"/>
  <c r="FL103" i="7" a="1"/>
  <c r="FL103" i="7" s="1"/>
  <c r="FX115" i="7" a="1"/>
  <c r="FX115" i="7" s="1"/>
  <c r="DY95" i="7" a="1"/>
  <c r="DY95" i="7" s="1"/>
  <c r="DQ116" i="7" a="1"/>
  <c r="DQ116" i="7" s="1"/>
  <c r="FE125" i="7" a="1"/>
  <c r="FE125" i="7" s="1"/>
  <c r="DT134" i="7" a="1"/>
  <c r="DT134" i="7" s="1"/>
  <c r="EJ137" i="7" a="1"/>
  <c r="EJ137" i="7" s="1"/>
  <c r="EL139" i="7" a="1"/>
  <c r="EL139" i="7" s="1"/>
  <c r="EA142" i="7" a="1"/>
  <c r="EA142" i="7" s="1"/>
  <c r="FJ143" i="7" a="1"/>
  <c r="FJ143" i="7" s="1"/>
  <c r="EH145" i="7" a="1"/>
  <c r="EH145" i="7" s="1"/>
  <c r="FQ146" i="7" a="1"/>
  <c r="FQ146" i="7" s="1"/>
  <c r="EO148" i="7" a="1"/>
  <c r="EO148" i="7" s="1"/>
  <c r="FX149" i="7" a="1"/>
  <c r="FX149" i="7" s="1"/>
  <c r="EV151" i="7" a="1"/>
  <c r="EV151" i="7" s="1"/>
  <c r="DS110" i="7" a="1"/>
  <c r="DS110" i="7" s="1"/>
  <c r="FN129" i="7" a="1"/>
  <c r="FN129" i="7" s="1"/>
  <c r="EC140" i="7" a="1"/>
  <c r="EC140" i="7" s="1"/>
  <c r="FY144" i="7" a="1"/>
  <c r="FY144" i="7" s="1"/>
  <c r="EJ150" i="7" a="1"/>
  <c r="EJ150" i="7" s="1"/>
  <c r="FL156" i="7" a="1"/>
  <c r="FL156" i="7" s="1"/>
  <c r="FA158" i="7" a="1"/>
  <c r="FA158" i="7" s="1"/>
  <c r="EO160" i="7" a="1"/>
  <c r="EO160" i="7" s="1"/>
  <c r="EC162" i="7" a="1"/>
  <c r="EC162" i="7" s="1"/>
  <c r="FL43" i="7" a="1"/>
  <c r="FL43" i="7" s="1"/>
  <c r="FE37" i="7" a="1"/>
  <c r="FE37" i="7" s="1"/>
  <c r="FP35" i="7" a="1"/>
  <c r="FP35" i="7" s="1"/>
  <c r="EJ22" i="7" a="1"/>
  <c r="EJ22" i="7" s="1"/>
  <c r="EF27" i="7" a="1"/>
  <c r="EF27" i="7" s="1"/>
  <c r="ED42" i="7" a="1"/>
  <c r="ED42" i="7" s="1"/>
  <c r="EL44" i="7" a="1"/>
  <c r="EL44" i="7" s="1"/>
  <c r="DU25" i="7" a="1"/>
  <c r="DU25" i="7" s="1"/>
  <c r="EJ49" i="7" a="1"/>
  <c r="EJ49" i="7" s="1"/>
  <c r="EJ37" i="7" a="1"/>
  <c r="EJ37" i="7" s="1"/>
  <c r="DQ32" i="7" a="1"/>
  <c r="DQ32" i="7" s="1"/>
  <c r="EQ50" i="7" a="1"/>
  <c r="EQ50" i="7" s="1"/>
  <c r="EO46" i="7" a="1"/>
  <c r="EO46" i="7" s="1"/>
  <c r="FW54" i="7" a="1"/>
  <c r="FW54" i="7" s="1"/>
  <c r="EO67" i="7" a="1"/>
  <c r="EO67" i="7" s="1"/>
  <c r="FO54" i="7" a="1"/>
  <c r="FO54" i="7" s="1"/>
  <c r="DU39" i="7" a="1"/>
  <c r="DU39" i="7" s="1"/>
  <c r="EU56" i="7" a="1"/>
  <c r="EU56" i="7" s="1"/>
  <c r="DQ42" i="7" a="1"/>
  <c r="DQ42" i="7" s="1"/>
  <c r="FI59" i="7" a="1"/>
  <c r="FI59" i="7" s="1"/>
  <c r="DW46" i="7" a="1"/>
  <c r="DW46" i="7" s="1"/>
  <c r="GA60" i="7" a="1"/>
  <c r="GA60" i="7" s="1"/>
  <c r="FQ57" i="7" a="1"/>
  <c r="FQ57" i="7" s="1"/>
  <c r="ES70" i="7" a="1"/>
  <c r="ES70" i="7" s="1"/>
  <c r="DS46" i="7" a="1"/>
  <c r="DS46" i="7" s="1"/>
  <c r="DZ66" i="7" a="1"/>
  <c r="DZ66" i="7" s="1"/>
  <c r="EH59" i="7" a="1"/>
  <c r="EH59" i="7" s="1"/>
  <c r="FH70" i="7" a="1"/>
  <c r="FH70" i="7" s="1"/>
  <c r="FZ46" i="7" a="1"/>
  <c r="FZ46" i="7" s="1"/>
  <c r="EQ66" i="7" a="1"/>
  <c r="EQ66" i="7" s="1"/>
  <c r="EE46" i="7" a="1"/>
  <c r="EE46" i="7" s="1"/>
  <c r="FO65" i="7" a="1"/>
  <c r="FO65" i="7" s="1"/>
  <c r="FG30" i="7" a="1"/>
  <c r="FG30" i="7" s="1"/>
  <c r="EM69" i="7" a="1"/>
  <c r="EM69" i="7" s="1"/>
  <c r="EK88" i="7" a="1"/>
  <c r="EK88" i="7" s="1"/>
  <c r="FZ60" i="7" a="1"/>
  <c r="FZ60" i="7" s="1"/>
  <c r="EI77" i="7" a="1"/>
  <c r="EI77" i="7" s="1"/>
  <c r="EO83" i="7" a="1"/>
  <c r="EO83" i="7" s="1"/>
  <c r="EO51" i="7" a="1"/>
  <c r="EO51" i="7" s="1"/>
  <c r="FF72" i="7" a="1"/>
  <c r="FF72" i="7" s="1"/>
  <c r="FB85" i="7" a="1"/>
  <c r="FB85" i="7" s="1"/>
  <c r="FQ92" i="7" a="1"/>
  <c r="FQ92" i="7" s="1"/>
  <c r="EN52" i="7" a="1"/>
  <c r="EN52" i="7" s="1"/>
  <c r="FP68" i="7" a="1"/>
  <c r="FP68" i="7" s="1"/>
  <c r="FQ77" i="7" a="1"/>
  <c r="FQ77" i="7" s="1"/>
  <c r="FZ81" i="7" a="1"/>
  <c r="FZ81" i="7" s="1"/>
  <c r="EH87" i="7" a="1"/>
  <c r="EH87" i="7" s="1"/>
  <c r="EQ67" i="7" a="1"/>
  <c r="EQ67" i="7" s="1"/>
  <c r="FA62" i="7" a="1"/>
  <c r="FA62" i="7" s="1"/>
  <c r="EX71" i="7" a="1"/>
  <c r="EX71" i="7" s="1"/>
  <c r="EM77" i="7" a="1"/>
  <c r="EM77" i="7" s="1"/>
  <c r="FT85" i="7" a="1"/>
  <c r="FT85" i="7" s="1"/>
  <c r="FB89" i="7" a="1"/>
  <c r="FB89" i="7" s="1"/>
  <c r="FL49" i="7" a="1"/>
  <c r="FL49" i="7" s="1"/>
  <c r="EG66" i="7" a="1"/>
  <c r="EG66" i="7" s="1"/>
  <c r="FQ76" i="7" a="1"/>
  <c r="FQ76" i="7" s="1"/>
  <c r="EI83" i="7" a="1"/>
  <c r="EI83" i="7" s="1"/>
  <c r="FN88" i="7" a="1"/>
  <c r="FN88" i="7" s="1"/>
  <c r="EQ93" i="7" a="1"/>
  <c r="EQ93" i="7" s="1"/>
  <c r="EA46" i="7" a="1"/>
  <c r="EA46" i="7" s="1"/>
  <c r="DT68" i="7" a="1"/>
  <c r="DT68" i="7" s="1"/>
  <c r="EF77" i="7" a="1"/>
  <c r="EF77" i="7" s="1"/>
  <c r="FH82" i="7" a="1"/>
  <c r="FH82" i="7" s="1"/>
  <c r="EU88" i="7" a="1"/>
  <c r="EU88" i="7" s="1"/>
  <c r="FF95" i="7" a="1"/>
  <c r="FF95" i="7" s="1"/>
  <c r="FC53" i="7" a="1"/>
  <c r="FC53" i="7" s="1"/>
  <c r="EK66" i="7" a="1"/>
  <c r="EK66" i="7" s="1"/>
  <c r="DT76" i="7" a="1"/>
  <c r="DT76" i="7" s="1"/>
  <c r="EV81" i="7" a="1"/>
  <c r="EV81" i="7" s="1"/>
  <c r="DV87" i="7" a="1"/>
  <c r="DV87" i="7" s="1"/>
  <c r="FV92" i="7" a="1"/>
  <c r="FV92" i="7" s="1"/>
  <c r="FO44" i="7" a="1"/>
  <c r="FO44" i="7" s="1"/>
  <c r="DX68" i="7" a="1"/>
  <c r="DX68" i="7" s="1"/>
  <c r="FS76" i="7" a="1"/>
  <c r="FS76" i="7" s="1"/>
  <c r="EJ82" i="7" a="1"/>
  <c r="EJ82" i="7" s="1"/>
  <c r="EV88" i="7" a="1"/>
  <c r="EV88" i="7" s="1"/>
  <c r="FN92" i="7" a="1"/>
  <c r="FN92" i="7" s="1"/>
  <c r="EJ43" i="7" a="1"/>
  <c r="EJ43" i="7" s="1"/>
  <c r="EH62" i="7" a="1"/>
  <c r="EH62" i="7" s="1"/>
  <c r="EO33" i="7" a="1"/>
  <c r="EO33" i="7" s="1"/>
  <c r="FR59" i="7" a="1"/>
  <c r="FR59" i="7" s="1"/>
  <c r="FQ69" i="7" a="1"/>
  <c r="FQ69" i="7" s="1"/>
  <c r="FW74" i="7" a="1"/>
  <c r="FW74" i="7" s="1"/>
  <c r="EZ79" i="7" a="1"/>
  <c r="EZ79" i="7" s="1"/>
  <c r="DY85" i="7" a="1"/>
  <c r="DY85" i="7" s="1"/>
  <c r="EZ89" i="7" a="1"/>
  <c r="EZ89" i="7" s="1"/>
  <c r="EM93" i="7" a="1"/>
  <c r="EM93" i="7" s="1"/>
  <c r="EV63" i="7" a="1"/>
  <c r="EV63" i="7" s="1"/>
  <c r="EM76" i="7" a="1"/>
  <c r="EM76" i="7" s="1"/>
  <c r="EK82" i="7" a="1"/>
  <c r="EK82" i="7" s="1"/>
  <c r="FY88" i="7" a="1"/>
  <c r="FY88" i="7" s="1"/>
  <c r="EA96" i="7" a="1"/>
  <c r="EA96" i="7" s="1"/>
  <c r="EB103" i="7" a="1"/>
  <c r="EB103" i="7" s="1"/>
  <c r="EX106" i="7" a="1"/>
  <c r="EX106" i="7" s="1"/>
  <c r="FM109" i="7" a="1"/>
  <c r="FM109" i="7" s="1"/>
  <c r="FK46" i="7" a="1"/>
  <c r="FK46" i="7" s="1"/>
  <c r="EY72" i="7" a="1"/>
  <c r="EY72" i="7" s="1"/>
  <c r="FW78" i="7" a="1"/>
  <c r="FW78" i="7" s="1"/>
  <c r="EP87" i="7" a="1"/>
  <c r="EP87" i="7" s="1"/>
  <c r="DQ94" i="7" a="1"/>
  <c r="DQ94" i="7" s="1"/>
  <c r="EN97" i="7" a="1"/>
  <c r="EN97" i="7" s="1"/>
  <c r="EB99" i="7" a="1"/>
  <c r="EB99" i="7" s="1"/>
  <c r="DQ101" i="7" a="1"/>
  <c r="DQ101" i="7" s="1"/>
  <c r="FG103" i="7" a="1"/>
  <c r="FG103" i="7" s="1"/>
  <c r="FN106" i="7" a="1"/>
  <c r="FN106" i="7" s="1"/>
  <c r="FU109" i="7" a="1"/>
  <c r="FU109" i="7" s="1"/>
  <c r="FS112" i="7" a="1"/>
  <c r="FS112" i="7" s="1"/>
  <c r="FL50" i="7" a="1"/>
  <c r="FL50" i="7" s="1"/>
  <c r="FI71" i="7" a="1"/>
  <c r="FI71" i="7" s="1"/>
  <c r="FY83" i="7" a="1"/>
  <c r="FY83" i="7" s="1"/>
  <c r="EY89" i="7" a="1"/>
  <c r="EY89" i="7" s="1"/>
  <c r="EG95" i="7" a="1"/>
  <c r="EG95" i="7" s="1"/>
  <c r="FM101" i="7" a="1"/>
  <c r="FM101" i="7" s="1"/>
  <c r="FT104" i="7" a="1"/>
  <c r="FT104" i="7" s="1"/>
  <c r="GA107" i="7" a="1"/>
  <c r="GA107" i="7" s="1"/>
  <c r="DW111" i="7" a="1"/>
  <c r="DW111" i="7" s="1"/>
  <c r="FG65" i="7" a="1"/>
  <c r="FG65" i="7" s="1"/>
  <c r="DV77" i="7" a="1"/>
  <c r="DV77" i="7" s="1"/>
  <c r="FM81" i="7" a="1"/>
  <c r="FM81" i="7" s="1"/>
  <c r="EA87" i="7" a="1"/>
  <c r="EA87" i="7" s="1"/>
  <c r="EZ94" i="7" a="1"/>
  <c r="EZ94" i="7" s="1"/>
  <c r="FN97" i="7" a="1"/>
  <c r="FN97" i="7" s="1"/>
  <c r="FB99" i="7" a="1"/>
  <c r="FB99" i="7" s="1"/>
  <c r="EP101" i="7" a="1"/>
  <c r="EP101" i="7" s="1"/>
  <c r="EP104" i="7" a="1"/>
  <c r="EP104" i="7" s="1"/>
  <c r="EW107" i="7" a="1"/>
  <c r="EW107" i="7" s="1"/>
  <c r="FD110" i="7" a="1"/>
  <c r="FD110" i="7" s="1"/>
  <c r="FC52" i="7" a="1"/>
  <c r="FC52" i="7" s="1"/>
  <c r="EJ69" i="7" a="1"/>
  <c r="EJ69" i="7" s="1"/>
  <c r="FB79" i="7" a="1"/>
  <c r="FB79" i="7" s="1"/>
  <c r="ER56" i="7" a="1"/>
  <c r="ER56" i="7" s="1"/>
  <c r="DZ73" i="7" a="1"/>
  <c r="DZ73" i="7" s="1"/>
  <c r="EA83" i="7" a="1"/>
  <c r="EA83" i="7" s="1"/>
  <c r="DW89" i="7" a="1"/>
  <c r="DW89" i="7" s="1"/>
  <c r="FF96" i="7" a="1"/>
  <c r="FF96" i="7" s="1"/>
  <c r="DY103" i="7" a="1"/>
  <c r="DY103" i="7" s="1"/>
  <c r="EF106" i="7" a="1"/>
  <c r="EF106" i="7" s="1"/>
  <c r="EM109" i="7" a="1"/>
  <c r="EM109" i="7" s="1"/>
  <c r="ET112" i="7" a="1"/>
  <c r="ET112" i="7" s="1"/>
  <c r="FK77" i="7" a="1"/>
  <c r="FK77" i="7" s="1"/>
  <c r="FB88" i="7" a="1"/>
  <c r="FB88" i="7" s="1"/>
  <c r="EQ96" i="7" a="1"/>
  <c r="EQ96" i="7" s="1"/>
  <c r="FR100" i="7" a="1"/>
  <c r="FR100" i="7" s="1"/>
  <c r="EZ105" i="7" a="1"/>
  <c r="EZ105" i="7" s="1"/>
  <c r="FN46" i="7" a="1"/>
  <c r="FN46" i="7" s="1"/>
  <c r="EC39" i="7" a="1"/>
  <c r="EC39" i="7" s="1"/>
  <c r="EI41" i="7" a="1"/>
  <c r="EI41" i="7" s="1"/>
  <c r="EA23" i="7" a="1"/>
  <c r="EA23" i="7" s="1"/>
  <c r="FJ29" i="7" a="1"/>
  <c r="FJ29" i="7" s="1"/>
  <c r="FI42" i="7" a="1"/>
  <c r="FI42" i="7" s="1"/>
  <c r="FV45" i="7" a="1"/>
  <c r="FV45" i="7" s="1"/>
  <c r="EL26" i="7" a="1"/>
  <c r="EL26" i="7" s="1"/>
  <c r="FX49" i="7" a="1"/>
  <c r="FX49" i="7" s="1"/>
  <c r="GA37" i="7" a="1"/>
  <c r="GA37" i="7" s="1"/>
  <c r="EJ34" i="7" a="1"/>
  <c r="EJ34" i="7" s="1"/>
  <c r="FB50" i="7" a="1"/>
  <c r="FB50" i="7" s="1"/>
  <c r="FZ47" i="7" a="1"/>
  <c r="FZ47" i="7" s="1"/>
  <c r="EC55" i="7" a="1"/>
  <c r="EC55" i="7" s="1"/>
  <c r="EL68" i="7" a="1"/>
  <c r="EL68" i="7" s="1"/>
  <c r="DU55" i="7" a="1"/>
  <c r="DU55" i="7" s="1"/>
  <c r="EB41" i="7" a="1"/>
  <c r="EB41" i="7" s="1"/>
  <c r="FL56" i="7" a="1"/>
  <c r="FL56" i="7" s="1"/>
  <c r="DQ46" i="7" a="1"/>
  <c r="DQ46" i="7" s="1"/>
  <c r="FQ59" i="7" a="1"/>
  <c r="FQ59" i="7" s="1"/>
  <c r="DS48" i="7" a="1"/>
  <c r="DS48" i="7" s="1"/>
  <c r="EE61" i="7" a="1"/>
  <c r="EE61" i="7" s="1"/>
  <c r="DU59" i="7" a="1"/>
  <c r="DU59" i="7" s="1"/>
  <c r="EZ70" i="7" a="1"/>
  <c r="EZ70" i="7" s="1"/>
  <c r="ER50" i="7" a="1"/>
  <c r="ER50" i="7" s="1"/>
  <c r="EH66" i="7" a="1"/>
  <c r="EH66" i="7" s="1"/>
  <c r="EV60" i="7" a="1"/>
  <c r="EV60" i="7" s="1"/>
  <c r="FO70" i="7" a="1"/>
  <c r="FO70" i="7" s="1"/>
  <c r="ER52" i="7" a="1"/>
  <c r="ER52" i="7" s="1"/>
  <c r="FH66" i="7" a="1"/>
  <c r="FH66" i="7" s="1"/>
  <c r="ED50" i="7" a="1"/>
  <c r="ED50" i="7" s="1"/>
  <c r="ED66" i="7" a="1"/>
  <c r="ED66" i="7" s="1"/>
  <c r="EK40" i="7" a="1"/>
  <c r="EK40" i="7" s="1"/>
  <c r="EX69" i="7" a="1"/>
  <c r="EX69" i="7" s="1"/>
  <c r="EA89" i="7" a="1"/>
  <c r="EA89" i="7" s="1"/>
  <c r="FR61" i="7" a="1"/>
  <c r="FR61" i="7" s="1"/>
  <c r="FP77" i="7" a="1"/>
  <c r="FP77" i="7" s="1"/>
  <c r="EW83" i="7" a="1"/>
  <c r="EW83" i="7" s="1"/>
  <c r="DY54" i="7" a="1"/>
  <c r="DY54" i="7" s="1"/>
  <c r="EB73" i="7" a="1"/>
  <c r="EB73" i="7" s="1"/>
  <c r="FQ85" i="7" a="1"/>
  <c r="FQ85" i="7" s="1"/>
  <c r="EA93" i="7" a="1"/>
  <c r="EA93" i="7" s="1"/>
  <c r="FS52" i="7" a="1"/>
  <c r="FS52" i="7" s="1"/>
  <c r="EO69" i="7" a="1"/>
  <c r="EO69" i="7" s="1"/>
  <c r="ED78" i="7" a="1"/>
  <c r="ED78" i="7" s="1"/>
  <c r="DW82" i="7" a="1"/>
  <c r="DW82" i="7" s="1"/>
  <c r="EW87" i="7" a="1"/>
  <c r="EW87" i="7" s="1"/>
  <c r="DS68" i="7" a="1"/>
  <c r="DS68" i="7" s="1"/>
  <c r="FQ62" i="7" a="1"/>
  <c r="FQ62" i="7" s="1"/>
  <c r="DT72" i="7" a="1"/>
  <c r="DT72" i="7" s="1"/>
  <c r="DY78" i="7" a="1"/>
  <c r="DY78" i="7" s="1"/>
  <c r="DX86" i="7" a="1"/>
  <c r="DX86" i="7" s="1"/>
  <c r="EY90" i="7" a="1"/>
  <c r="EY90" i="7" s="1"/>
  <c r="FX50" i="7" a="1"/>
  <c r="FX50" i="7" s="1"/>
  <c r="FY66" i="7" a="1"/>
  <c r="FY66" i="7" s="1"/>
  <c r="DQ77" i="7" a="1"/>
  <c r="DQ77" i="7" s="1"/>
  <c r="EU83" i="7" a="1"/>
  <c r="EU83" i="7" s="1"/>
  <c r="DY89" i="7" a="1"/>
  <c r="DY89" i="7" s="1"/>
  <c r="EY93" i="7" a="1"/>
  <c r="EY93" i="7" s="1"/>
  <c r="EV48" i="7" a="1"/>
  <c r="EV48" i="7" s="1"/>
  <c r="FL68" i="7" a="1"/>
  <c r="FL68" i="7" s="1"/>
  <c r="ES77" i="7" a="1"/>
  <c r="ES77" i="7" s="1"/>
  <c r="FU82" i="7" a="1"/>
  <c r="FU82" i="7" s="1"/>
  <c r="EU89" i="7" a="1"/>
  <c r="EU89" i="7" s="1"/>
  <c r="FM95" i="7" a="1"/>
  <c r="FM95" i="7" s="1"/>
  <c r="FZ54" i="7" a="1"/>
  <c r="FZ54" i="7" s="1"/>
  <c r="DS67" i="7" a="1"/>
  <c r="DS67" i="7" s="1"/>
  <c r="EE76" i="7" a="1"/>
  <c r="EE76" i="7" s="1"/>
  <c r="FG81" i="7" a="1"/>
  <c r="FG81" i="7" s="1"/>
  <c r="ES87" i="7" a="1"/>
  <c r="ES87" i="7" s="1"/>
  <c r="DS93" i="7" a="1"/>
  <c r="DS93" i="7" s="1"/>
  <c r="FC47" i="7" a="1"/>
  <c r="FC47" i="7" s="1"/>
  <c r="FM68" i="7" a="1"/>
  <c r="FM68" i="7" s="1"/>
  <c r="EU77" i="7" a="1"/>
  <c r="EU77" i="7" s="1"/>
  <c r="FX83" i="7" a="1"/>
  <c r="FX83" i="7" s="1"/>
  <c r="FF88" i="7" a="1"/>
  <c r="FF88" i="7" s="1"/>
  <c r="DX95" i="7" a="1"/>
  <c r="DX95" i="7" s="1"/>
  <c r="DQ45" i="7" a="1"/>
  <c r="DQ45" i="7" s="1"/>
  <c r="FO62" i="7" a="1"/>
  <c r="FO62" i="7" s="1"/>
  <c r="DS37" i="7" a="1"/>
  <c r="DS37" i="7" s="1"/>
  <c r="EM60" i="7" a="1"/>
  <c r="EM60" i="7" s="1"/>
  <c r="DW70" i="7" a="1"/>
  <c r="DW70" i="7" s="1"/>
  <c r="DY75" i="7" a="1"/>
  <c r="DY75" i="7" s="1"/>
  <c r="EB80" i="7" a="1"/>
  <c r="EB80" i="7" s="1"/>
  <c r="EV85" i="7" a="1"/>
  <c r="EV85" i="7" s="1"/>
  <c r="FV89" i="7" a="1"/>
  <c r="FV89" i="7" s="1"/>
  <c r="FD93" i="7" a="1"/>
  <c r="FD93" i="7" s="1"/>
  <c r="EA64" i="7" a="1"/>
  <c r="EA64" i="7" s="1"/>
  <c r="FI76" i="7" a="1"/>
  <c r="FI76" i="7" s="1"/>
  <c r="FE82" i="7" a="1"/>
  <c r="FE82" i="7" s="1"/>
  <c r="EF89" i="7" a="1"/>
  <c r="EF89" i="7" s="1"/>
  <c r="EJ96" i="7" a="1"/>
  <c r="EJ96" i="7" s="1"/>
  <c r="EQ103" i="7" a="1"/>
  <c r="EQ103" i="7" s="1"/>
  <c r="FF106" i="7" a="1"/>
  <c r="FF106" i="7" s="1"/>
  <c r="DQ110" i="7" a="1"/>
  <c r="DQ110" i="7" s="1"/>
  <c r="EU48" i="7" a="1"/>
  <c r="EU48" i="7" s="1"/>
  <c r="FZ72" i="7" a="1"/>
  <c r="FZ72" i="7" s="1"/>
  <c r="EC79" i="7" a="1"/>
  <c r="EC79" i="7" s="1"/>
  <c r="EC88" i="7" a="1"/>
  <c r="EC88" i="7" s="1"/>
  <c r="EB94" i="7" a="1"/>
  <c r="EB94" i="7" s="1"/>
  <c r="EV97" i="7" a="1"/>
  <c r="EV97" i="7" s="1"/>
  <c r="EJ99" i="7" a="1"/>
  <c r="EJ99" i="7" s="1"/>
  <c r="DY101" i="7" a="1"/>
  <c r="DY101" i="7" s="1"/>
  <c r="FV103" i="7" a="1"/>
  <c r="FV103" i="7" s="1"/>
  <c r="DR107" i="7" a="1"/>
  <c r="DR107" i="7" s="1"/>
  <c r="DY110" i="7" a="1"/>
  <c r="DY110" i="7" s="1"/>
  <c r="FZ112" i="7" a="1"/>
  <c r="FZ112" i="7" s="1"/>
  <c r="FA52" i="7" a="1"/>
  <c r="FA52" i="7" s="1"/>
  <c r="EC72" i="7" a="1"/>
  <c r="EC72" i="7" s="1"/>
  <c r="FO84" i="7" a="1"/>
  <c r="FO84" i="7" s="1"/>
  <c r="FN89" i="7" a="1"/>
  <c r="FN89" i="7" s="1"/>
  <c r="EP95" i="7" a="1"/>
  <c r="EP95" i="7" s="1"/>
  <c r="DQ102" i="7" a="1"/>
  <c r="DQ102" i="7" s="1"/>
  <c r="DX105" i="7" a="1"/>
  <c r="DX105" i="7" s="1"/>
  <c r="EE108" i="7" a="1"/>
  <c r="EE108" i="7" s="1"/>
  <c r="EL111" i="7" a="1"/>
  <c r="EL111" i="7" s="1"/>
  <c r="EX67" i="7" a="1"/>
  <c r="EX67" i="7" s="1"/>
  <c r="FJ77" i="7" a="1"/>
  <c r="FJ77" i="7" s="1"/>
  <c r="DT82" i="7" a="1"/>
  <c r="DT82" i="7" s="1"/>
  <c r="EQ87" i="7" a="1"/>
  <c r="EQ87" i="7" s="1"/>
  <c r="FM94" i="7" a="1"/>
  <c r="FM94" i="7" s="1"/>
  <c r="FV97" i="7" a="1"/>
  <c r="FV97" i="7" s="1"/>
  <c r="FJ99" i="7" a="1"/>
  <c r="FJ99" i="7" s="1"/>
  <c r="EX101" i="7" a="1"/>
  <c r="EX101" i="7" s="1"/>
  <c r="FE104" i="7" a="1"/>
  <c r="FE104" i="7" s="1"/>
  <c r="FL107" i="7" a="1"/>
  <c r="FL107" i="7" s="1"/>
  <c r="FS110" i="7" a="1"/>
  <c r="FS110" i="7" s="1"/>
  <c r="DS54" i="7" a="1"/>
  <c r="DS54" i="7" s="1"/>
  <c r="FC72" i="7" a="1"/>
  <c r="FC72" i="7" s="1"/>
  <c r="ED80" i="7" a="1"/>
  <c r="ED80" i="7" s="1"/>
  <c r="EV57" i="7" a="1"/>
  <c r="EV57" i="7" s="1"/>
  <c r="FZ73" i="7" a="1"/>
  <c r="FZ73" i="7" s="1"/>
  <c r="ER83" i="7" a="1"/>
  <c r="ER83" i="7" s="1"/>
  <c r="EB90" i="7" a="1"/>
  <c r="EB90" i="7" s="1"/>
  <c r="ER97" i="7" a="1"/>
  <c r="ER97" i="7" s="1"/>
  <c r="EN103" i="7" a="1"/>
  <c r="EN103" i="7" s="1"/>
  <c r="EU106" i="7" a="1"/>
  <c r="EU106" i="7" s="1"/>
  <c r="FB109" i="7" a="1"/>
  <c r="FB109" i="7" s="1"/>
  <c r="EX49" i="7" a="1"/>
  <c r="EX49" i="7" s="1"/>
  <c r="EB78" i="7" a="1"/>
  <c r="EB78" i="7" s="1"/>
  <c r="FR89" i="7" a="1"/>
  <c r="FR89" i="7" s="1"/>
  <c r="DS97" i="7" a="1"/>
  <c r="DS97" i="7" s="1"/>
  <c r="DU101" i="7" a="1"/>
  <c r="DU101" i="7" s="1"/>
  <c r="FL105" i="7" a="1"/>
  <c r="FL105" i="7" s="1"/>
  <c r="FG47" i="7" a="1"/>
  <c r="FG47" i="7" s="1"/>
  <c r="EP39" i="7" a="1"/>
  <c r="EP39" i="7" s="1"/>
  <c r="FD42" i="7" a="1"/>
  <c r="FD42" i="7" s="1"/>
  <c r="ES30" i="7" a="1"/>
  <c r="ES30" i="7" s="1"/>
  <c r="DY31" i="7" a="1"/>
  <c r="DY31" i="7" s="1"/>
  <c r="DY46" i="7" a="1"/>
  <c r="DY46" i="7" s="1"/>
  <c r="EH46" i="7" a="1"/>
  <c r="EH46" i="7" s="1"/>
  <c r="FS33" i="7" a="1"/>
  <c r="FS33" i="7" s="1"/>
  <c r="DV50" i="7" a="1"/>
  <c r="DV50" i="7" s="1"/>
  <c r="DV43" i="7" a="1"/>
  <c r="DV43" i="7" s="1"/>
  <c r="EG36" i="7" a="1"/>
  <c r="EG36" i="7" s="1"/>
  <c r="EK24" i="7" a="1"/>
  <c r="EK24" i="7" s="1"/>
  <c r="FH51" i="7" a="1"/>
  <c r="FH51" i="7" s="1"/>
  <c r="EI57" i="7" a="1"/>
  <c r="EI57" i="7" s="1"/>
  <c r="ET68" i="7" a="1"/>
  <c r="ET68" i="7" s="1"/>
  <c r="DR57" i="7" a="1"/>
  <c r="DR57" i="7" s="1"/>
  <c r="EO42" i="7" a="1"/>
  <c r="EO42" i="7" s="1"/>
  <c r="EX58" i="7" a="1"/>
  <c r="EX58" i="7" s="1"/>
  <c r="FB46" i="7" a="1"/>
  <c r="FB46" i="7" s="1"/>
  <c r="EJ61" i="7" a="1"/>
  <c r="EJ61" i="7" s="1"/>
  <c r="EI48" i="7" a="1"/>
  <c r="EI48" i="7" s="1"/>
  <c r="FV62" i="7" a="1"/>
  <c r="FV62" i="7" s="1"/>
  <c r="EG59" i="7" a="1"/>
  <c r="EG59" i="7" s="1"/>
  <c r="ES71" i="7" a="1"/>
  <c r="ES71" i="7" s="1"/>
  <c r="FM50" i="7" a="1"/>
  <c r="FM50" i="7" s="1"/>
  <c r="EJ67" i="7" a="1"/>
  <c r="EJ67" i="7" s="1"/>
  <c r="FS60" i="7" a="1"/>
  <c r="FS60" i="7" s="1"/>
  <c r="FH71" i="7" a="1"/>
  <c r="FH71" i="7" s="1"/>
  <c r="FJ52" i="7" a="1"/>
  <c r="FJ52" i="7" s="1"/>
  <c r="GA68" i="7" a="1"/>
  <c r="GA68" i="7" s="1"/>
  <c r="FE50" i="7" a="1"/>
  <c r="FE50" i="7" s="1"/>
  <c r="EP68" i="7" a="1"/>
  <c r="EP68" i="7" s="1"/>
  <c r="FJ41" i="7" a="1"/>
  <c r="FJ41" i="7" s="1"/>
  <c r="FE72" i="7" a="1"/>
  <c r="FE72" i="7" s="1"/>
  <c r="EP89" i="7" a="1"/>
  <c r="EP89" i="7" s="1"/>
  <c r="FS64" i="7" a="1"/>
  <c r="FS64" i="7" s="1"/>
  <c r="FX77" i="7" a="1"/>
  <c r="FX77" i="7" s="1"/>
  <c r="DW85" i="7" a="1"/>
  <c r="DW85" i="7" s="1"/>
  <c r="EB55" i="7" a="1"/>
  <c r="EB55" i="7" s="1"/>
  <c r="EK73" i="7" a="1"/>
  <c r="EK73" i="7" s="1"/>
  <c r="EO87" i="7" a="1"/>
  <c r="EO87" i="7" s="1"/>
  <c r="EH93" i="7" a="1"/>
  <c r="EH93" i="7" s="1"/>
  <c r="EM53" i="7" a="1"/>
  <c r="EM53" i="7" s="1"/>
  <c r="EA72" i="7" a="1"/>
  <c r="EA72" i="7" s="1"/>
  <c r="EL78" i="7" a="1"/>
  <c r="EL78" i="7" s="1"/>
  <c r="EE82" i="7" a="1"/>
  <c r="EE82" i="7" s="1"/>
  <c r="EU47" i="7" a="1"/>
  <c r="EU47" i="7" s="1"/>
  <c r="FE68" i="7" a="1"/>
  <c r="FE68" i="7" s="1"/>
  <c r="FI63" i="7" a="1"/>
  <c r="FI63" i="7" s="1"/>
  <c r="ED72" i="7" a="1"/>
  <c r="ED72" i="7" s="1"/>
  <c r="FV78" i="7" a="1"/>
  <c r="FV78" i="7" s="1"/>
  <c r="EF86" i="7" a="1"/>
  <c r="EF86" i="7" s="1"/>
  <c r="FN90" i="7" a="1"/>
  <c r="FN90" i="7" s="1"/>
  <c r="GA51" i="7" a="1"/>
  <c r="GA51" i="7" s="1"/>
  <c r="EN68" i="7" a="1"/>
  <c r="EN68" i="7" s="1"/>
  <c r="EE77" i="7" a="1"/>
  <c r="EE77" i="7" s="1"/>
  <c r="FH83" i="7" a="1"/>
  <c r="FH83" i="7" s="1"/>
  <c r="EJ89" i="7" a="1"/>
  <c r="EJ89" i="7" s="1"/>
  <c r="FG93" i="7" a="1"/>
  <c r="FG93" i="7" s="1"/>
  <c r="EL57" i="7" a="1"/>
  <c r="EL57" i="7" s="1"/>
  <c r="EQ69" i="7" a="1"/>
  <c r="EQ69" i="7" s="1"/>
  <c r="FE77" i="7" a="1"/>
  <c r="FE77" i="7" s="1"/>
  <c r="DV83" i="7" a="1"/>
  <c r="DV83" i="7" s="1"/>
  <c r="FP89" i="7" a="1"/>
  <c r="FP89" i="7" s="1"/>
  <c r="FT95" i="7" a="1"/>
  <c r="FT95" i="7" s="1"/>
  <c r="FB55" i="7" a="1"/>
  <c r="FB55" i="7" s="1"/>
  <c r="EM67" i="7" a="1"/>
  <c r="EM67" i="7" s="1"/>
  <c r="ES76" i="7" a="1"/>
  <c r="ES76" i="7" s="1"/>
  <c r="FU81" i="7" a="1"/>
  <c r="FU81" i="7" s="1"/>
  <c r="FP87" i="7" a="1"/>
  <c r="FP87" i="7" s="1"/>
  <c r="EZ93" i="7" a="1"/>
  <c r="EZ93" i="7" s="1"/>
  <c r="DU52" i="7" a="1"/>
  <c r="DU52" i="7" s="1"/>
  <c r="FL69" i="7" a="1"/>
  <c r="FL69" i="7" s="1"/>
  <c r="FF77" i="7" a="1"/>
  <c r="FF77" i="7" s="1"/>
  <c r="EJ84" i="7" a="1"/>
  <c r="EJ84" i="7" s="1"/>
  <c r="EV89" i="7" a="1"/>
  <c r="EV89" i="7" s="1"/>
  <c r="EE95" i="7" a="1"/>
  <c r="EE95" i="7" s="1"/>
  <c r="EM46" i="7" a="1"/>
  <c r="EM46" i="7" s="1"/>
  <c r="EE63" i="7" a="1"/>
  <c r="EE63" i="7" s="1"/>
  <c r="FU41" i="7" a="1"/>
  <c r="FU41" i="7" s="1"/>
  <c r="EN61" i="7" a="1"/>
  <c r="EN61" i="7" s="1"/>
  <c r="EN70" i="7" a="1"/>
  <c r="EN70" i="7" s="1"/>
  <c r="EX75" i="7" a="1"/>
  <c r="EX75" i="7" s="1"/>
  <c r="EN80" i="7" a="1"/>
  <c r="EN80" i="7" s="1"/>
  <c r="FS85" i="7" a="1"/>
  <c r="FS85" i="7" s="1"/>
  <c r="EZ90" i="7" a="1"/>
  <c r="EZ90" i="7" s="1"/>
  <c r="FK34" i="7" a="1"/>
  <c r="FK34" i="7" s="1"/>
  <c r="FR64" i="7" a="1"/>
  <c r="FR64" i="7" s="1"/>
  <c r="EK77" i="7" a="1"/>
  <c r="EK77" i="7" s="1"/>
  <c r="FY82" i="7" a="1"/>
  <c r="FY82" i="7" s="1"/>
  <c r="DS90" i="7" a="1"/>
  <c r="DS90" i="7" s="1"/>
  <c r="DW97" i="7" a="1"/>
  <c r="DW97" i="7" s="1"/>
  <c r="EY103" i="7" a="1"/>
  <c r="EY103" i="7" s="1"/>
  <c r="FU106" i="7" a="1"/>
  <c r="FU106" i="7" s="1"/>
  <c r="EF110" i="7" a="1"/>
  <c r="EF110" i="7" s="1"/>
  <c r="EY52" i="7" a="1"/>
  <c r="EY52" i="7" s="1"/>
  <c r="FN74" i="7" a="1"/>
  <c r="FN74" i="7" s="1"/>
  <c r="FQ79" i="7" a="1"/>
  <c r="FQ79" i="7" s="1"/>
  <c r="ER88" i="7" a="1"/>
  <c r="ER88" i="7" s="1"/>
  <c r="EN94" i="7" a="1"/>
  <c r="EN94" i="7" s="1"/>
  <c r="FD97" i="7" a="1"/>
  <c r="FD97" i="7" s="1"/>
  <c r="ES99" i="7" a="1"/>
  <c r="ES99" i="7" s="1"/>
  <c r="EG101" i="7" a="1"/>
  <c r="EG101" i="7" s="1"/>
  <c r="DZ104" i="7" a="1"/>
  <c r="DZ104" i="7" s="1"/>
  <c r="EG107" i="7" a="1"/>
  <c r="EG107" i="7" s="1"/>
  <c r="EN110" i="7" a="1"/>
  <c r="EN110" i="7" s="1"/>
  <c r="DV113" i="7" a="1"/>
  <c r="DV113" i="7" s="1"/>
  <c r="FU53" i="7" a="1"/>
  <c r="FU53" i="7" s="1"/>
  <c r="FB72" i="7" a="1"/>
  <c r="FB72" i="7" s="1"/>
  <c r="DV85" i="7" a="1"/>
  <c r="DV85" i="7" s="1"/>
  <c r="DT90" i="7" a="1"/>
  <c r="DT90" i="7" s="1"/>
  <c r="FA95" i="7" a="1"/>
  <c r="FA95" i="7" s="1"/>
  <c r="EF102" i="7" a="1"/>
  <c r="EF102" i="7" s="1"/>
  <c r="EM105" i="7" a="1"/>
  <c r="EM105" i="7" s="1"/>
  <c r="ET108" i="7" a="1"/>
  <c r="ET108" i="7" s="1"/>
  <c r="FA111" i="7" a="1"/>
  <c r="FA111" i="7" s="1"/>
  <c r="EK70" i="7" a="1"/>
  <c r="EK70" i="7" s="1"/>
  <c r="GA77" i="7" a="1"/>
  <c r="GA77" i="7" s="1"/>
  <c r="EP82" i="7" a="1"/>
  <c r="EP82" i="7" s="1"/>
  <c r="FJ87" i="7" a="1"/>
  <c r="FJ87" i="7" s="1"/>
  <c r="FW94" i="7" a="1"/>
  <c r="FW94" i="7" s="1"/>
  <c r="DS98" i="7" a="1"/>
  <c r="DS98" i="7" s="1"/>
  <c r="FR99" i="7" a="1"/>
  <c r="FR99" i="7" s="1"/>
  <c r="FF101" i="7" a="1"/>
  <c r="FF101" i="7" s="1"/>
  <c r="FM104" i="7" a="1"/>
  <c r="FM104" i="7" s="1"/>
  <c r="FT107" i="7" a="1"/>
  <c r="FT107" i="7" s="1"/>
  <c r="GA110" i="7" a="1"/>
  <c r="GA110" i="7" s="1"/>
  <c r="DX55" i="7" a="1"/>
  <c r="DX55" i="7" s="1"/>
  <c r="FU74" i="7" a="1"/>
  <c r="FU74" i="7" s="1"/>
  <c r="ET81" i="7" a="1"/>
  <c r="ET81" i="7" s="1"/>
  <c r="EO59" i="7" a="1"/>
  <c r="EO59" i="7" s="1"/>
  <c r="EJ74" i="7" a="1"/>
  <c r="EJ74" i="7" s="1"/>
  <c r="FL83" i="7" a="1"/>
  <c r="FL83" i="7" s="1"/>
  <c r="EQ90" i="7" a="1"/>
  <c r="EQ90" i="7" s="1"/>
  <c r="ED98" i="7" a="1"/>
  <c r="ED98" i="7" s="1"/>
  <c r="FC103" i="7" a="1"/>
  <c r="FC103" i="7" s="1"/>
  <c r="FJ106" i="7" a="1"/>
  <c r="FJ106" i="7" s="1"/>
  <c r="FQ109" i="7" a="1"/>
  <c r="FQ109" i="7" s="1"/>
  <c r="FE56" i="7" a="1"/>
  <c r="FE56" i="7" s="1"/>
  <c r="FN78" i="7" a="1"/>
  <c r="FN78" i="7" s="1"/>
  <c r="FD90" i="7" a="1"/>
  <c r="FD90" i="7" s="1"/>
  <c r="EE97" i="7" a="1"/>
  <c r="EE97" i="7" s="1"/>
  <c r="FG101" i="7" a="1"/>
  <c r="FG101" i="7" s="1"/>
  <c r="FW105" i="7" a="1"/>
  <c r="FW105" i="7" s="1"/>
  <c r="EE48" i="7" a="1"/>
  <c r="EE48" i="7" s="1"/>
  <c r="EH41" i="7" a="1"/>
  <c r="EH41" i="7" s="1"/>
  <c r="FW42" i="7" a="1"/>
  <c r="FW42" i="7" s="1"/>
  <c r="EX33" i="7" a="1"/>
  <c r="EX33" i="7" s="1"/>
  <c r="FM31" i="7" a="1"/>
  <c r="FM31" i="7" s="1"/>
  <c r="FY46" i="7" a="1"/>
  <c r="FY46" i="7" s="1"/>
  <c r="EN47" i="7" a="1"/>
  <c r="EN47" i="7" s="1"/>
  <c r="FV36" i="7" a="1"/>
  <c r="FV36" i="7" s="1"/>
  <c r="EG50" i="7" a="1"/>
  <c r="EG50" i="7" s="1"/>
  <c r="EN45" i="7" a="1"/>
  <c r="EN45" i="7" s="1"/>
  <c r="FD36" i="7" a="1"/>
  <c r="FD36" i="7" s="1"/>
  <c r="FX30" i="7" a="1"/>
  <c r="FX30" i="7" s="1"/>
  <c r="ET52" i="7" a="1"/>
  <c r="ET52" i="7" s="1"/>
  <c r="DY58" i="7" a="1"/>
  <c r="DY58" i="7" s="1"/>
  <c r="FI68" i="7" a="1"/>
  <c r="FI68" i="7" s="1"/>
  <c r="FV58" i="7" a="1"/>
  <c r="FV58" i="7" s="1"/>
  <c r="FL42" i="7" a="1"/>
  <c r="FL42" i="7" s="1"/>
  <c r="ET60" i="7" a="1"/>
  <c r="ET60" i="7" s="1"/>
  <c r="FT46" i="7" a="1"/>
  <c r="FT46" i="7" s="1"/>
  <c r="DZ62" i="7" a="1"/>
  <c r="DZ62" i="7" s="1"/>
  <c r="EW48" i="7" a="1"/>
  <c r="EW48" i="7" s="1"/>
  <c r="FO18" i="7" a="1"/>
  <c r="FO18" i="7" s="1"/>
  <c r="FS59" i="7" a="1"/>
  <c r="FS59" i="7" s="1"/>
  <c r="FU71" i="7" a="1"/>
  <c r="FU71" i="7" s="1"/>
  <c r="EA51" i="7" a="1"/>
  <c r="EA51" i="7" s="1"/>
  <c r="ED69" i="7" a="1"/>
  <c r="ED69" i="7" s="1"/>
  <c r="DS61" i="7" a="1"/>
  <c r="DS61" i="7" s="1"/>
  <c r="DY72" i="7" a="1"/>
  <c r="DY72" i="7" s="1"/>
  <c r="FY52" i="7" a="1"/>
  <c r="FY52" i="7" s="1"/>
  <c r="EL33" i="7" a="1"/>
  <c r="EL33" i="7" s="1"/>
  <c r="FZ50" i="7" a="1"/>
  <c r="FZ50" i="7" s="1"/>
  <c r="FV68" i="7" a="1"/>
  <c r="FV68" i="7" s="1"/>
  <c r="FD48" i="7" a="1"/>
  <c r="FD48" i="7" s="1"/>
  <c r="FD73" i="7" a="1"/>
  <c r="FD73" i="7" s="1"/>
  <c r="FE89" i="7" a="1"/>
  <c r="FE89" i="7" s="1"/>
  <c r="EC66" i="7" a="1"/>
  <c r="EC66" i="7" s="1"/>
  <c r="DU78" i="7" a="1"/>
  <c r="DU78" i="7" s="1"/>
  <c r="FX85" i="7" a="1"/>
  <c r="FX85" i="7" s="1"/>
  <c r="EY55" i="7" a="1"/>
  <c r="EY55" i="7" s="1"/>
  <c r="EV73" i="7" a="1"/>
  <c r="EV73" i="7" s="1"/>
  <c r="DW88" i="7" a="1"/>
  <c r="DW88" i="7" s="1"/>
  <c r="EO93" i="7" a="1"/>
  <c r="EO93" i="7" s="1"/>
  <c r="FM53" i="7" a="1"/>
  <c r="FM53" i="7" s="1"/>
  <c r="FB74" i="7" a="1"/>
  <c r="FB74" i="7" s="1"/>
  <c r="EU78" i="7" a="1"/>
  <c r="EU78" i="7" s="1"/>
  <c r="EN82" i="7" a="1"/>
  <c r="EN82" i="7" s="1"/>
  <c r="EQ51" i="7" a="1"/>
  <c r="EQ51" i="7" s="1"/>
  <c r="FQ68" i="7" a="1"/>
  <c r="FQ68" i="7" s="1"/>
  <c r="DY64" i="7" a="1"/>
  <c r="DY64" i="7" s="1"/>
  <c r="FW72" i="7" a="1"/>
  <c r="FW72" i="7" s="1"/>
  <c r="FH79" i="7" a="1"/>
  <c r="FH79" i="7" s="1"/>
  <c r="EU86" i="7" a="1"/>
  <c r="EU86" i="7" s="1"/>
  <c r="FV90" i="7" a="1"/>
  <c r="FV90" i="7" s="1"/>
  <c r="EY53" i="7" a="1"/>
  <c r="EY53" i="7" s="1"/>
  <c r="FF69" i="7" a="1"/>
  <c r="FF69" i="7" s="1"/>
  <c r="FE78" i="7" a="1"/>
  <c r="FE78" i="7" s="1"/>
  <c r="ES84" i="7" a="1"/>
  <c r="ES84" i="7" s="1"/>
  <c r="ET89" i="7" a="1"/>
  <c r="ET89" i="7" s="1"/>
  <c r="FO93" i="7" a="1"/>
  <c r="FO93" i="7" s="1"/>
  <c r="FP57" i="7" a="1"/>
  <c r="FP57" i="7" s="1"/>
  <c r="EO72" i="7" a="1"/>
  <c r="EO72" i="7" s="1"/>
  <c r="EG78" i="7" a="1"/>
  <c r="EG78" i="7" s="1"/>
  <c r="FI83" i="7" a="1"/>
  <c r="FI83" i="7" s="1"/>
  <c r="FZ89" i="7" a="1"/>
  <c r="FZ89" i="7" s="1"/>
  <c r="GA95" i="7" a="1"/>
  <c r="GA95" i="7" s="1"/>
  <c r="FJ56" i="7" a="1"/>
  <c r="FJ56" i="7" s="1"/>
  <c r="EH70" i="7" a="1"/>
  <c r="EH70" i="7" s="1"/>
  <c r="DU77" i="7" a="1"/>
  <c r="DU77" i="7" s="1"/>
  <c r="EW82" i="7" a="1"/>
  <c r="EW82" i="7" s="1"/>
  <c r="GA87" i="7" a="1"/>
  <c r="GA87" i="7" s="1"/>
  <c r="FH93" i="7" a="1"/>
  <c r="FH93" i="7" s="1"/>
  <c r="DQ53" i="7" a="1"/>
  <c r="DQ53" i="7" s="1"/>
  <c r="GA69" i="7" a="1"/>
  <c r="GA69" i="7" s="1"/>
  <c r="FT77" i="7" a="1"/>
  <c r="FT77" i="7" s="1"/>
  <c r="EU84" i="7" a="1"/>
  <c r="EU84" i="7" s="1"/>
  <c r="FG89" i="7" a="1"/>
  <c r="FG89" i="7" s="1"/>
  <c r="EL95" i="7" a="1"/>
  <c r="EL95" i="7" s="1"/>
  <c r="FQ48" i="7" a="1"/>
  <c r="FQ48" i="7" s="1"/>
  <c r="EG65" i="7" a="1"/>
  <c r="EG65" i="7" s="1"/>
  <c r="FM46" i="7" a="1"/>
  <c r="FM46" i="7" s="1"/>
  <c r="FW61" i="7" a="1"/>
  <c r="FW61" i="7" s="1"/>
  <c r="FE70" i="7" a="1"/>
  <c r="FE70" i="7" s="1"/>
  <c r="FJ75" i="7" a="1"/>
  <c r="FJ75" i="7" s="1"/>
  <c r="FA80" i="7" a="1"/>
  <c r="FA80" i="7" s="1"/>
  <c r="EE86" i="7" a="1"/>
  <c r="EE86" i="7" s="1"/>
  <c r="FU90" i="7" a="1"/>
  <c r="FU90" i="7" s="1"/>
  <c r="FP39" i="7" a="1"/>
  <c r="FP39" i="7" s="1"/>
  <c r="EU65" i="7" a="1"/>
  <c r="EU65" i="7" s="1"/>
  <c r="FC77" i="7" a="1"/>
  <c r="FC77" i="7" s="1"/>
  <c r="EE83" i="7" a="1"/>
  <c r="EE83" i="7" s="1"/>
  <c r="EH90" i="7" a="1"/>
  <c r="EH90" i="7" s="1"/>
  <c r="FT97" i="7" a="1"/>
  <c r="FT97" i="7" s="1"/>
  <c r="FN103" i="7" a="1"/>
  <c r="FN103" i="7" s="1"/>
  <c r="DY107" i="7" a="1"/>
  <c r="DY107" i="7" s="1"/>
  <c r="EU110" i="7" a="1"/>
  <c r="EU110" i="7" s="1"/>
  <c r="FT53" i="7" a="1"/>
  <c r="FT53" i="7" s="1"/>
  <c r="DZ75" i="7" a="1"/>
  <c r="DZ75" i="7" s="1"/>
  <c r="FM80" i="7" a="1"/>
  <c r="FM80" i="7" s="1"/>
  <c r="FK88" i="7" a="1"/>
  <c r="FK88" i="7" s="1"/>
  <c r="EY94" i="7" a="1"/>
  <c r="EY94" i="7" s="1"/>
  <c r="FL97" i="7" a="1"/>
  <c r="FL97" i="7" s="1"/>
  <c r="FA99" i="7" a="1"/>
  <c r="FA99" i="7" s="1"/>
  <c r="EO101" i="7" a="1"/>
  <c r="EO101" i="7" s="1"/>
  <c r="EO104" i="7" a="1"/>
  <c r="EO104" i="7" s="1"/>
  <c r="EV107" i="7" a="1"/>
  <c r="EV107" i="7" s="1"/>
  <c r="FC110" i="7" a="1"/>
  <c r="FC110" i="7" s="1"/>
  <c r="EC113" i="7" a="1"/>
  <c r="EC113" i="7" s="1"/>
  <c r="DW55" i="7" a="1"/>
  <c r="DW55" i="7" s="1"/>
  <c r="EO73" i="7" a="1"/>
  <c r="EO73" i="7" s="1"/>
  <c r="FG85" i="7" a="1"/>
  <c r="FG85" i="7" s="1"/>
  <c r="EI90" i="7" a="1"/>
  <c r="EI90" i="7" s="1"/>
  <c r="FJ95" i="7" a="1"/>
  <c r="FJ95" i="7" s="1"/>
  <c r="EU102" i="7" a="1"/>
  <c r="EU102" i="7" s="1"/>
  <c r="FB105" i="7" a="1"/>
  <c r="FB105" i="7" s="1"/>
  <c r="FI108" i="7" a="1"/>
  <c r="FI108" i="7" s="1"/>
  <c r="FP111" i="7" a="1"/>
  <c r="FP111" i="7" s="1"/>
  <c r="FJ70" i="7" a="1"/>
  <c r="FJ70" i="7" s="1"/>
  <c r="EJ78" i="7" a="1"/>
  <c r="EJ78" i="7" s="1"/>
  <c r="FJ82" i="7" a="1"/>
  <c r="FJ82" i="7" s="1"/>
  <c r="DQ88" i="7" a="1"/>
  <c r="DQ88" i="7" s="1"/>
  <c r="EM96" i="7" a="1"/>
  <c r="EM96" i="7" s="1"/>
  <c r="EA98" i="7" a="1"/>
  <c r="EA98" i="7" s="1"/>
  <c r="FZ99" i="7" a="1"/>
  <c r="FZ99" i="7" s="1"/>
  <c r="FU101" i="7" a="1"/>
  <c r="FU101" i="7" s="1"/>
  <c r="DQ105" i="7" a="1"/>
  <c r="DQ105" i="7" s="1"/>
  <c r="DX108" i="7" a="1"/>
  <c r="DX108" i="7" s="1"/>
  <c r="EE111" i="7" a="1"/>
  <c r="EE111" i="7" s="1"/>
  <c r="DX57" i="7" a="1"/>
  <c r="DX57" i="7" s="1"/>
  <c r="EB75" i="7" a="1"/>
  <c r="EB75" i="7" s="1"/>
  <c r="FN81" i="7" a="1"/>
  <c r="FN81" i="7" s="1"/>
  <c r="ER60" i="7" a="1"/>
  <c r="ER60" i="7" s="1"/>
  <c r="FA75" i="7" a="1"/>
  <c r="FA75" i="7" s="1"/>
  <c r="EM84" i="7" a="1"/>
  <c r="EM84" i="7" s="1"/>
  <c r="ET91" i="7" a="1"/>
  <c r="ET91" i="7" s="1"/>
  <c r="GA98" i="7" a="1"/>
  <c r="GA98" i="7" s="1"/>
  <c r="FR103" i="7" a="1"/>
  <c r="FR103" i="7" s="1"/>
  <c r="FY106" i="7" a="1"/>
  <c r="FY106" i="7" s="1"/>
  <c r="DU110" i="7" a="1"/>
  <c r="DU110" i="7" s="1"/>
  <c r="EF63" i="7" a="1"/>
  <c r="EF63" i="7" s="1"/>
  <c r="FX79" i="7" a="1"/>
  <c r="FX79" i="7" s="1"/>
  <c r="DR91" i="7" a="1"/>
  <c r="DR91" i="7" s="1"/>
  <c r="ES97" i="7" a="1"/>
  <c r="ES97" i="7" s="1"/>
  <c r="DS102" i="7" a="1"/>
  <c r="DS102" i="7" s="1"/>
  <c r="DY106" i="7" a="1"/>
  <c r="DY106" i="7" s="1"/>
  <c r="EL48" i="7" a="1"/>
  <c r="EL48" i="7" s="1"/>
  <c r="DT43" i="7" a="1"/>
  <c r="DT43" i="7" s="1"/>
  <c r="EZ46" i="7" a="1"/>
  <c r="EZ46" i="7" s="1"/>
  <c r="DT35" i="7" a="1"/>
  <c r="DT35" i="7" s="1"/>
  <c r="FE22" i="7" a="1"/>
  <c r="FE22" i="7" s="1"/>
  <c r="DU47" i="7" a="1"/>
  <c r="DU47" i="7" s="1"/>
  <c r="EI54" i="7" a="1"/>
  <c r="EI54" i="7" s="1"/>
  <c r="FB37" i="7" a="1"/>
  <c r="FB37" i="7" s="1"/>
  <c r="EV51" i="7" a="1"/>
  <c r="EV51" i="7" s="1"/>
  <c r="EZ45" i="7" a="1"/>
  <c r="EZ45" i="7" s="1"/>
  <c r="EK41" i="7" a="1"/>
  <c r="EK41" i="7" s="1"/>
  <c r="EY31" i="7" a="1"/>
  <c r="EY31" i="7" s="1"/>
  <c r="DX38" i="7" a="1"/>
  <c r="DX38" i="7" s="1"/>
  <c r="EG58" i="7" a="1"/>
  <c r="EG58" i="7" s="1"/>
  <c r="FI33" i="7" a="1"/>
  <c r="FI33" i="7" s="1"/>
  <c r="DS59" i="7" a="1"/>
  <c r="DS59" i="7" s="1"/>
  <c r="EP45" i="7" a="1"/>
  <c r="EP45" i="7" s="1"/>
  <c r="FI60" i="7" a="1"/>
  <c r="FI60" i="7" s="1"/>
  <c r="FT49" i="7" a="1"/>
  <c r="FT49" i="7" s="1"/>
  <c r="EO62" i="7" a="1"/>
  <c r="EO62" i="7" s="1"/>
  <c r="DS52" i="7" a="1"/>
  <c r="DS52" i="7" s="1"/>
  <c r="FY26" i="7" a="1"/>
  <c r="FY26" i="7" s="1"/>
  <c r="FY61" i="7" a="1"/>
  <c r="FY61" i="7" s="1"/>
  <c r="DQ72" i="7" a="1"/>
  <c r="DQ72" i="7" s="1"/>
  <c r="FJ53" i="7" a="1"/>
  <c r="FJ53" i="7" s="1"/>
  <c r="ES69" i="7" a="1"/>
  <c r="ES69" i="7" s="1"/>
  <c r="FW63" i="7" a="1"/>
  <c r="FW63" i="7" s="1"/>
  <c r="EF72" i="7" a="1"/>
  <c r="EF72" i="7" s="1"/>
  <c r="FX55" i="7" a="1"/>
  <c r="FX55" i="7" s="1"/>
  <c r="FD34" i="7" a="1"/>
  <c r="FD34" i="7" s="1"/>
  <c r="EU54" i="7" a="1"/>
  <c r="EU54" i="7" s="1"/>
  <c r="DZ69" i="7" a="1"/>
  <c r="DZ69" i="7" s="1"/>
  <c r="FF53" i="7" a="1"/>
  <c r="FF53" i="7" s="1"/>
  <c r="FM73" i="7" a="1"/>
  <c r="FM73" i="7" s="1"/>
  <c r="ER91" i="7" a="1"/>
  <c r="ER91" i="7" s="1"/>
  <c r="FB66" i="7" a="1"/>
  <c r="FB66" i="7" s="1"/>
  <c r="DW79" i="7" a="1"/>
  <c r="DW79" i="7" s="1"/>
  <c r="EB86" i="7" a="1"/>
  <c r="EB86" i="7" s="1"/>
  <c r="DX60" i="7" a="1"/>
  <c r="DX60" i="7" s="1"/>
  <c r="FA74" i="7" a="1"/>
  <c r="FA74" i="7" s="1"/>
  <c r="EL88" i="7" a="1"/>
  <c r="EL88" i="7" s="1"/>
  <c r="EV93" i="7" a="1"/>
  <c r="EV93" i="7" s="1"/>
  <c r="EZ58" i="7" a="1"/>
  <c r="EZ58" i="7" s="1"/>
  <c r="FJ74" i="7" a="1"/>
  <c r="FJ74" i="7" s="1"/>
  <c r="FC78" i="7" a="1"/>
  <c r="FC78" i="7" s="1"/>
  <c r="EH83" i="7" a="1"/>
  <c r="EH83" i="7" s="1"/>
  <c r="FZ51" i="7" a="1"/>
  <c r="FZ51" i="7" s="1"/>
  <c r="DR69" i="7" a="1"/>
  <c r="DR69" i="7" s="1"/>
  <c r="FT66" i="7" a="1"/>
  <c r="FT66" i="7" s="1"/>
  <c r="DV73" i="7" a="1"/>
  <c r="DV73" i="7" s="1"/>
  <c r="ET80" i="7" a="1"/>
  <c r="ET80" i="7" s="1"/>
  <c r="ER87" i="7" a="1"/>
  <c r="ER87" i="7" s="1"/>
  <c r="DZ91" i="7" a="1"/>
  <c r="DZ91" i="7" s="1"/>
  <c r="FY54" i="7" a="1"/>
  <c r="FY54" i="7" s="1"/>
  <c r="EC70" i="7" a="1"/>
  <c r="EC70" i="7" s="1"/>
  <c r="FQ78" i="7" a="1"/>
  <c r="FQ78" i="7" s="1"/>
  <c r="DR85" i="7" a="1"/>
  <c r="DR85" i="7" s="1"/>
  <c r="FD89" i="7" a="1"/>
  <c r="FD89" i="7" s="1"/>
  <c r="FW93" i="7" a="1"/>
  <c r="FW93" i="7" s="1"/>
  <c r="DR60" i="7" a="1"/>
  <c r="DR60" i="7" s="1"/>
  <c r="EC73" i="7" a="1"/>
  <c r="EC73" i="7" s="1"/>
  <c r="ER78" i="7" a="1"/>
  <c r="ER78" i="7" s="1"/>
  <c r="FF84" i="7" a="1"/>
  <c r="FF84" i="7" s="1"/>
  <c r="FP90" i="7" a="1"/>
  <c r="FP90" i="7" s="1"/>
  <c r="DW96" i="7" a="1"/>
  <c r="DW96" i="7" s="1"/>
  <c r="EM57" i="7" a="1"/>
  <c r="EM57" i="7" s="1"/>
  <c r="FP70" i="7" a="1"/>
  <c r="FP70" i="7" s="1"/>
  <c r="EG77" i="7" a="1"/>
  <c r="EG77" i="7" s="1"/>
  <c r="FI82" i="7" a="1"/>
  <c r="FI82" i="7" s="1"/>
  <c r="DZ88" i="7" a="1"/>
  <c r="DZ88" i="7" s="1"/>
  <c r="FP93" i="7" a="1"/>
  <c r="FP93" i="7" s="1"/>
  <c r="EL54" i="7" a="1"/>
  <c r="EL54" i="7" s="1"/>
  <c r="EX70" i="7" a="1"/>
  <c r="EX70" i="7" s="1"/>
  <c r="EU79" i="7" a="1"/>
  <c r="EU79" i="7" s="1"/>
  <c r="FG84" i="7" a="1"/>
  <c r="FG84" i="7" s="1"/>
  <c r="GA89" i="7" a="1"/>
  <c r="GA89" i="7" s="1"/>
  <c r="ES95" i="7" a="1"/>
  <c r="ES95" i="7" s="1"/>
  <c r="ED52" i="7" a="1"/>
  <c r="ED52" i="7" s="1"/>
  <c r="FE65" i="7" a="1"/>
  <c r="FE65" i="7" s="1"/>
  <c r="DW48" i="7" a="1"/>
  <c r="DW48" i="7" s="1"/>
  <c r="FT62" i="7" a="1"/>
  <c r="FT62" i="7" s="1"/>
  <c r="FT70" i="7" a="1"/>
  <c r="FT70" i="7" s="1"/>
  <c r="FX75" i="7" a="1"/>
  <c r="FX75" i="7" s="1"/>
  <c r="EA81" i="7" a="1"/>
  <c r="EA81" i="7" s="1"/>
  <c r="EP86" i="7" a="1"/>
  <c r="EP86" i="7" s="1"/>
  <c r="EF91" i="7" a="1"/>
  <c r="EF91" i="7" s="1"/>
  <c r="FF43" i="7" a="1"/>
  <c r="FF43" i="7" s="1"/>
  <c r="DY66" i="7" a="1"/>
  <c r="DY66" i="7" s="1"/>
  <c r="FW77" i="7" a="1"/>
  <c r="FW77" i="7" s="1"/>
  <c r="FB83" i="7" a="1"/>
  <c r="FB83" i="7" s="1"/>
  <c r="DT91" i="7" a="1"/>
  <c r="DT91" i="7" s="1"/>
  <c r="FF98" i="7" a="1"/>
  <c r="FF98" i="7" s="1"/>
  <c r="DR104" i="7" a="1"/>
  <c r="DR104" i="7" s="1"/>
  <c r="EN107" i="7" a="1"/>
  <c r="EN107" i="7" s="1"/>
  <c r="FJ110" i="7" a="1"/>
  <c r="FJ110" i="7" s="1"/>
  <c r="FL54" i="7" a="1"/>
  <c r="FL54" i="7" s="1"/>
  <c r="ES75" i="7" a="1"/>
  <c r="ES75" i="7" s="1"/>
  <c r="DX81" i="7" a="1"/>
  <c r="DX81" i="7" s="1"/>
  <c r="DQ89" i="7" a="1"/>
  <c r="DQ89" i="7" s="1"/>
  <c r="FL94" i="7" a="1"/>
  <c r="FL94" i="7" s="1"/>
  <c r="FU97" i="7" a="1"/>
  <c r="FU97" i="7" s="1"/>
  <c r="FI99" i="7" a="1"/>
  <c r="FI99" i="7" s="1"/>
  <c r="EW101" i="7" a="1"/>
  <c r="EW101" i="7" s="1"/>
  <c r="FD104" i="7" a="1"/>
  <c r="FD104" i="7" s="1"/>
  <c r="FK107" i="7" a="1"/>
  <c r="FK107" i="7" s="1"/>
  <c r="FR110" i="7" a="1"/>
  <c r="FR110" i="7" s="1"/>
  <c r="EJ113" i="7" a="1"/>
  <c r="EJ113" i="7" s="1"/>
  <c r="DV57" i="7" a="1"/>
  <c r="DV57" i="7" s="1"/>
  <c r="FL73" i="7" a="1"/>
  <c r="FL73" i="7" s="1"/>
  <c r="GA85" i="7" a="1"/>
  <c r="GA85" i="7" s="1"/>
  <c r="FA90" i="7" a="1"/>
  <c r="FA90" i="7" s="1"/>
  <c r="FS95" i="7" a="1"/>
  <c r="FS95" i="7" s="1"/>
  <c r="FJ102" i="7" a="1"/>
  <c r="FJ102" i="7" s="1"/>
  <c r="FQ105" i="7" a="1"/>
  <c r="FQ105" i="7" s="1"/>
  <c r="FX108" i="7" a="1"/>
  <c r="FX108" i="7" s="1"/>
  <c r="DT112" i="7" a="1"/>
  <c r="DT112" i="7" s="1"/>
  <c r="ED71" i="7" a="1"/>
  <c r="ED71" i="7" s="1"/>
  <c r="FD78" i="7" a="1"/>
  <c r="FD78" i="7" s="1"/>
  <c r="DS83" i="7" a="1"/>
  <c r="DS83" i="7" s="1"/>
  <c r="FO89" i="7" a="1"/>
  <c r="FO89" i="7" s="1"/>
  <c r="EU96" i="7" a="1"/>
  <c r="EU96" i="7" s="1"/>
  <c r="EI98" i="7" a="1"/>
  <c r="EI98" i="7" s="1"/>
  <c r="DX100" i="7" a="1"/>
  <c r="DX100" i="7" s="1"/>
  <c r="DY102" i="7" a="1"/>
  <c r="DY102" i="7" s="1"/>
  <c r="EF105" i="7" a="1"/>
  <c r="EF105" i="7" s="1"/>
  <c r="EM108" i="7" a="1"/>
  <c r="EM108" i="7" s="1"/>
  <c r="ET111" i="7" a="1"/>
  <c r="ET111" i="7" s="1"/>
  <c r="EF59" i="7" a="1"/>
  <c r="EF59" i="7" s="1"/>
  <c r="FP75" i="7" a="1"/>
  <c r="FP75" i="7" s="1"/>
  <c r="DY82" i="7" a="1"/>
  <c r="DY82" i="7" s="1"/>
  <c r="EI62" i="7" a="1"/>
  <c r="EI62" i="7" s="1"/>
  <c r="FW75" i="7" a="1"/>
  <c r="FW75" i="7" s="1"/>
  <c r="FC84" i="7" a="1"/>
  <c r="FC84" i="7" s="1"/>
  <c r="EL93" i="7" a="1"/>
  <c r="EL93" i="7" s="1"/>
  <c r="FM99" i="7" a="1"/>
  <c r="FM99" i="7" s="1"/>
  <c r="DV104" i="7" a="1"/>
  <c r="DV104" i="7" s="1"/>
  <c r="EC107" i="7" a="1"/>
  <c r="EC107" i="7" s="1"/>
  <c r="EJ110" i="7" a="1"/>
  <c r="EJ110" i="7" s="1"/>
  <c r="FI65" i="7" a="1"/>
  <c r="FI65" i="7" s="1"/>
  <c r="EO80" i="7" a="1"/>
  <c r="EO80" i="7" s="1"/>
  <c r="EQ91" i="7" a="1"/>
  <c r="EQ91" i="7" s="1"/>
  <c r="FF97" i="7" a="1"/>
  <c r="FF97" i="7" s="1"/>
  <c r="ED102" i="7" a="1"/>
  <c r="ED102" i="7" s="1"/>
  <c r="EV106" i="7" a="1"/>
  <c r="EV106" i="7" s="1"/>
  <c r="FU111" i="7" a="1"/>
  <c r="FU111" i="7" s="1"/>
  <c r="DQ115" i="7" a="1"/>
  <c r="DQ115" i="7" s="1"/>
  <c r="FP116" i="7" a="1"/>
  <c r="FP116" i="7" s="1"/>
  <c r="FD118" i="7" a="1"/>
  <c r="FD118" i="7" s="1"/>
  <c r="ES120" i="7" a="1"/>
  <c r="ES120" i="7" s="1"/>
  <c r="EN122" i="7" a="1"/>
  <c r="EN122" i="7" s="1"/>
  <c r="EU125" i="7" a="1"/>
  <c r="EU125" i="7" s="1"/>
  <c r="FB128" i="7" a="1"/>
  <c r="FB128" i="7" s="1"/>
  <c r="FI131" i="7" a="1"/>
  <c r="FI131" i="7" s="1"/>
  <c r="FV67" i="7" a="1"/>
  <c r="FV67" i="7" s="1"/>
  <c r="ES86" i="7" a="1"/>
  <c r="ES86" i="7" s="1"/>
  <c r="EF96" i="7" a="1"/>
  <c r="EF96" i="7" s="1"/>
  <c r="ET100" i="7" a="1"/>
  <c r="ET100" i="7" s="1"/>
  <c r="EC105" i="7" a="1"/>
  <c r="EC105" i="7" s="1"/>
  <c r="EQ110" i="7" a="1"/>
  <c r="EQ110" i="7" s="1"/>
  <c r="EX115" i="7" a="1"/>
  <c r="EX115" i="7" s="1"/>
  <c r="EL123" i="7" a="1"/>
  <c r="EL123" i="7" s="1"/>
  <c r="ES126" i="7" a="1"/>
  <c r="ES126" i="7" s="1"/>
  <c r="EZ129" i="7" a="1"/>
  <c r="EZ129" i="7" s="1"/>
  <c r="FG132" i="7" a="1"/>
  <c r="FG132" i="7" s="1"/>
  <c r="EM134" i="7" a="1"/>
  <c r="EM134" i="7" s="1"/>
  <c r="DS69" i="7" a="1"/>
  <c r="DS69" i="7" s="1"/>
  <c r="EF84" i="7" a="1"/>
  <c r="EF84" i="7" s="1"/>
  <c r="FU93" i="7" a="1"/>
  <c r="FU93" i="7" s="1"/>
  <c r="DV99" i="7" a="1"/>
  <c r="DV99" i="7" s="1"/>
  <c r="FK103" i="7" a="1"/>
  <c r="FK103" i="7" s="1"/>
  <c r="FM108" i="7" a="1"/>
  <c r="FM108" i="7" s="1"/>
  <c r="GA112" i="7" a="1"/>
  <c r="GA112" i="7" s="1"/>
  <c r="EP115" i="7" a="1"/>
  <c r="EP115" i="7" s="1"/>
  <c r="EE117" i="7" a="1"/>
  <c r="EE117" i="7" s="1"/>
  <c r="DS119" i="7" a="1"/>
  <c r="DS119" i="7" s="1"/>
  <c r="FR120" i="7" a="1"/>
  <c r="FR120" i="7" s="1"/>
  <c r="GA122" i="7" a="1"/>
  <c r="GA122" i="7" s="1"/>
  <c r="DW126" i="7" a="1"/>
  <c r="DW126" i="7" s="1"/>
  <c r="EQ63" i="7" a="1"/>
  <c r="EQ63" i="7" s="1"/>
  <c r="EQ79" i="7" a="1"/>
  <c r="EQ79" i="7" s="1"/>
  <c r="FN94" i="7" a="1"/>
  <c r="FN94" i="7" s="1"/>
  <c r="FV99" i="7" a="1"/>
  <c r="FV99" i="7" s="1"/>
  <c r="FR104" i="7" a="1"/>
  <c r="FR104" i="7" s="1"/>
  <c r="FT109" i="7" a="1"/>
  <c r="FT109" i="7" s="1"/>
  <c r="FE114" i="7" a="1"/>
  <c r="FE114" i="7" s="1"/>
  <c r="DX123" i="7" a="1"/>
  <c r="DX123" i="7" s="1"/>
  <c r="EE126" i="7" a="1"/>
  <c r="EE126" i="7" s="1"/>
  <c r="EL129" i="7" a="1"/>
  <c r="EL129" i="7" s="1"/>
  <c r="ES132" i="7" a="1"/>
  <c r="ES132" i="7" s="1"/>
  <c r="EG134" i="7" a="1"/>
  <c r="EG134" i="7" s="1"/>
  <c r="DT66" i="7" a="1"/>
  <c r="DT66" i="7" s="1"/>
  <c r="EN83" i="7" a="1"/>
  <c r="EN83" i="7" s="1"/>
  <c r="EX91" i="7" a="1"/>
  <c r="EX91" i="7" s="1"/>
  <c r="DX99" i="7" a="1"/>
  <c r="DX99" i="7" s="1"/>
  <c r="EW73" i="7" a="1"/>
  <c r="EW73" i="7" s="1"/>
  <c r="FO85" i="7" a="1"/>
  <c r="FO85" i="7" s="1"/>
  <c r="FD94" i="7" a="1"/>
  <c r="FD94" i="7" s="1"/>
  <c r="FN99" i="7" a="1"/>
  <c r="FN99" i="7" s="1"/>
  <c r="EZ104" i="7" a="1"/>
  <c r="EZ104" i="7" s="1"/>
  <c r="DR109" i="7" a="1"/>
  <c r="DR109" i="7" s="1"/>
  <c r="FG113" i="7" a="1"/>
  <c r="FG113" i="7" s="1"/>
  <c r="FR115" i="7" a="1"/>
  <c r="FR115" i="7" s="1"/>
  <c r="FG117" i="7" a="1"/>
  <c r="FG117" i="7" s="1"/>
  <c r="EU119" i="7" a="1"/>
  <c r="EU119" i="7" s="1"/>
  <c r="EI121" i="7" a="1"/>
  <c r="EI121" i="7" s="1"/>
  <c r="FT123" i="7" a="1"/>
  <c r="FT123" i="7" s="1"/>
  <c r="GA126" i="7" a="1"/>
  <c r="GA126" i="7" s="1"/>
  <c r="FV74" i="7" a="1"/>
  <c r="FV74" i="7" s="1"/>
  <c r="FO97" i="7" a="1"/>
  <c r="FO97" i="7" s="1"/>
  <c r="DV106" i="7" a="1"/>
  <c r="DV106" i="7" s="1"/>
  <c r="EA114" i="7" a="1"/>
  <c r="EA114" i="7" s="1"/>
  <c r="FE119" i="7" a="1"/>
  <c r="FE119" i="7" s="1"/>
  <c r="FS124" i="7" a="1"/>
  <c r="FS124" i="7" s="1"/>
  <c r="DV130" i="7" a="1"/>
  <c r="DV130" i="7" s="1"/>
  <c r="ES45" i="7" a="1"/>
  <c r="ES45" i="7" s="1"/>
  <c r="EZ82" i="7" a="1"/>
  <c r="EZ82" i="7" s="1"/>
  <c r="EW98" i="7" a="1"/>
  <c r="EW98" i="7" s="1"/>
  <c r="EW105" i="7" a="1"/>
  <c r="EW105" i="7" s="1"/>
  <c r="FT111" i="7" a="1"/>
  <c r="FT111" i="7" s="1"/>
  <c r="FR116" i="7" a="1"/>
  <c r="FR116" i="7" s="1"/>
  <c r="DV122" i="7" a="1"/>
  <c r="DV122" i="7" s="1"/>
  <c r="FQ82" i="7" a="1"/>
  <c r="FQ82" i="7" s="1"/>
  <c r="DZ97" i="7" a="1"/>
  <c r="DZ97" i="7" s="1"/>
  <c r="EX105" i="7" a="1"/>
  <c r="EX105" i="7" s="1"/>
  <c r="FQ114" i="7" a="1"/>
  <c r="FQ114" i="7" s="1"/>
  <c r="EH120" i="7" a="1"/>
  <c r="EH120" i="7" s="1"/>
  <c r="EH125" i="7" a="1"/>
  <c r="EH125" i="7" s="1"/>
  <c r="FO79" i="7" a="1"/>
  <c r="FO79" i="7" s="1"/>
  <c r="FO96" i="7" a="1"/>
  <c r="FO96" i="7" s="1"/>
  <c r="FI104" i="7" a="1"/>
  <c r="FI104" i="7" s="1"/>
  <c r="FM110" i="7" a="1"/>
  <c r="FM110" i="7" s="1"/>
  <c r="FS115" i="7" a="1"/>
  <c r="FS115" i="7" s="1"/>
  <c r="DV121" i="7" a="1"/>
  <c r="DV121" i="7" s="1"/>
  <c r="EI76" i="7" a="1"/>
  <c r="EI76" i="7" s="1"/>
  <c r="DX77" i="7" a="1"/>
  <c r="DX77" i="7" s="1"/>
  <c r="DU83" i="7" a="1"/>
  <c r="DU83" i="7" s="1"/>
  <c r="FB97" i="7" a="1"/>
  <c r="FB97" i="7" s="1"/>
  <c r="EI103" i="7" a="1"/>
  <c r="EI103" i="7" s="1"/>
  <c r="EX53" i="7" a="1"/>
  <c r="EX53" i="7" s="1"/>
  <c r="EM98" i="7" a="1"/>
  <c r="EM98" i="7" s="1"/>
  <c r="EK110" i="7" a="1"/>
  <c r="EK110" i="7" s="1"/>
  <c r="EX117" i="7" a="1"/>
  <c r="EX117" i="7" s="1"/>
  <c r="FU123" i="7" a="1"/>
  <c r="FU123" i="7" s="1"/>
  <c r="FO130" i="7" a="1"/>
  <c r="FO130" i="7" s="1"/>
  <c r="FR135" i="7" a="1"/>
  <c r="FR135" i="7" s="1"/>
  <c r="EP137" i="7" a="1"/>
  <c r="EP137" i="7" s="1"/>
  <c r="FY138" i="7" a="1"/>
  <c r="FY138" i="7" s="1"/>
  <c r="EW140" i="7" a="1"/>
  <c r="EW140" i="7" s="1"/>
  <c r="EG82" i="7" a="1"/>
  <c r="EG82" i="7" s="1"/>
  <c r="FA104" i="7" a="1"/>
  <c r="FA104" i="7" s="1"/>
  <c r="DX114" i="7" a="1"/>
  <c r="DX114" i="7" s="1"/>
  <c r="EX121" i="7" a="1"/>
  <c r="EX121" i="7" s="1"/>
  <c r="EL127" i="7" a="1"/>
  <c r="EL127" i="7" s="1"/>
  <c r="FY131" i="7" a="1"/>
  <c r="FY131" i="7" s="1"/>
  <c r="EP135" i="7" a="1"/>
  <c r="EP135" i="7" s="1"/>
  <c r="DS94" i="7" a="1"/>
  <c r="DS94" i="7" s="1"/>
  <c r="EB104" i="7" a="1"/>
  <c r="EB104" i="7" s="1"/>
  <c r="EK115" i="7" a="1"/>
  <c r="EK115" i="7" s="1"/>
  <c r="DT122" i="7" a="1"/>
  <c r="DT122" i="7" s="1"/>
  <c r="EL128" i="7" a="1"/>
  <c r="EL128" i="7" s="1"/>
  <c r="FS133" i="7" a="1"/>
  <c r="FS133" i="7" s="1"/>
  <c r="EQ136" i="7" a="1"/>
  <c r="EQ136" i="7" s="1"/>
  <c r="EO98" i="7" a="1"/>
  <c r="EO98" i="7" s="1"/>
  <c r="DR112" i="7" a="1"/>
  <c r="DR112" i="7" s="1"/>
  <c r="EK119" i="7" a="1"/>
  <c r="EK119" i="7" s="1"/>
  <c r="FM126" i="7" a="1"/>
  <c r="FM126" i="7" s="1"/>
  <c r="EL130" i="7" a="1"/>
  <c r="EL130" i="7" s="1"/>
  <c r="EZ133" i="7" a="1"/>
  <c r="EZ133" i="7" s="1"/>
  <c r="EQ92" i="7" a="1"/>
  <c r="EQ92" i="7" s="1"/>
  <c r="EL61" i="7" a="1"/>
  <c r="EL61" i="7" s="1"/>
  <c r="ES98" i="7" a="1"/>
  <c r="ES98" i="7" s="1"/>
  <c r="EN89" i="7" a="1"/>
  <c r="EN89" i="7" s="1"/>
  <c r="EP103" i="7" a="1"/>
  <c r="EP103" i="7" s="1"/>
  <c r="DX115" i="7" a="1"/>
  <c r="DX115" i="7" s="1"/>
  <c r="FI122" i="7" a="1"/>
  <c r="FI122" i="7" s="1"/>
  <c r="FA128" i="7" a="1"/>
  <c r="FA128" i="7" s="1"/>
  <c r="EW134" i="7" a="1"/>
  <c r="EW134" i="7" s="1"/>
  <c r="GA97" i="7" a="1"/>
  <c r="GA97" i="7" s="1"/>
  <c r="FL115" i="7" a="1"/>
  <c r="FL115" i="7" s="1"/>
  <c r="EO128" i="7" a="1"/>
  <c r="EO128" i="7" s="1"/>
  <c r="EZ134" i="7" a="1"/>
  <c r="EZ134" i="7" s="1"/>
  <c r="EE137" i="7" a="1"/>
  <c r="EE137" i="7" s="1"/>
  <c r="DZ139" i="7" a="1"/>
  <c r="DZ139" i="7" s="1"/>
  <c r="DW142" i="7" a="1"/>
  <c r="DW142" i="7" s="1"/>
  <c r="FF143" i="7" a="1"/>
  <c r="FF143" i="7" s="1"/>
  <c r="ED145" i="7" a="1"/>
  <c r="ED145" i="7" s="1"/>
  <c r="FM146" i="7" a="1"/>
  <c r="FM146" i="7" s="1"/>
  <c r="EK148" i="7" a="1"/>
  <c r="EK148" i="7" s="1"/>
  <c r="FT149" i="7" a="1"/>
  <c r="FT149" i="7" s="1"/>
  <c r="ER151" i="7" a="1"/>
  <c r="ER151" i="7" s="1"/>
  <c r="GA152" i="7" a="1"/>
  <c r="GA152" i="7" s="1"/>
  <c r="EY154" i="7" a="1"/>
  <c r="EY154" i="7" s="1"/>
  <c r="EO75" i="7" a="1"/>
  <c r="EO75" i="7" s="1"/>
  <c r="DX107" i="7" a="1"/>
  <c r="DX107" i="7" s="1"/>
  <c r="FA117" i="7" a="1"/>
  <c r="FA117" i="7" s="1"/>
  <c r="EW125" i="7" a="1"/>
  <c r="EW125" i="7" s="1"/>
  <c r="EE132" i="7" a="1"/>
  <c r="EE132" i="7" s="1"/>
  <c r="EM140" i="7" a="1"/>
  <c r="EM140" i="7" s="1"/>
  <c r="EE101" i="7" a="1"/>
  <c r="EE101" i="7" s="1"/>
  <c r="FK120" i="7" a="1"/>
  <c r="FK120" i="7" s="1"/>
  <c r="EQ128" i="7" a="1"/>
  <c r="EQ128" i="7" s="1"/>
  <c r="ET135" i="7" a="1"/>
  <c r="ET135" i="7" s="1"/>
  <c r="FM137" i="7" a="1"/>
  <c r="FM137" i="7" s="1"/>
  <c r="EF140" i="7" a="1"/>
  <c r="EF140" i="7" s="1"/>
  <c r="EZ142" i="7" a="1"/>
  <c r="EZ142" i="7" s="1"/>
  <c r="DX144" i="7" a="1"/>
  <c r="DX144" i="7" s="1"/>
  <c r="FG145" i="7" a="1"/>
  <c r="FG145" i="7" s="1"/>
  <c r="EE147" i="7" a="1"/>
  <c r="EE147" i="7" s="1"/>
  <c r="FN148" i="7" a="1"/>
  <c r="FN148" i="7" s="1"/>
  <c r="EL150" i="7" a="1"/>
  <c r="EL150" i="7" s="1"/>
  <c r="FU151" i="7" a="1"/>
  <c r="FU151" i="7" s="1"/>
  <c r="ES153" i="7" a="1"/>
  <c r="ES153" i="7" s="1"/>
  <c r="EO50" i="7" a="1"/>
  <c r="EO50" i="7" s="1"/>
  <c r="EA107" i="7" a="1"/>
  <c r="EA107" i="7" s="1"/>
  <c r="ER122" i="7" a="1"/>
  <c r="ER122" i="7" s="1"/>
  <c r="FW128" i="7" a="1"/>
  <c r="FW128" i="7" s="1"/>
  <c r="FR109" i="7" a="1"/>
  <c r="FR109" i="7" s="1"/>
  <c r="EN118" i="7" a="1"/>
  <c r="EN118" i="7" s="1"/>
  <c r="FE127" i="7" a="1"/>
  <c r="FE127" i="7" s="1"/>
  <c r="EB84" i="7" a="1"/>
  <c r="EB84" i="7" s="1"/>
  <c r="EK109" i="7" a="1"/>
  <c r="EK109" i="7" s="1"/>
  <c r="FZ125" i="7" a="1"/>
  <c r="FZ125" i="7" s="1"/>
  <c r="EC50" i="7" a="1"/>
  <c r="EC50" i="7" s="1"/>
  <c r="EU98" i="7" a="1"/>
  <c r="EU98" i="7" s="1"/>
  <c r="FU114" i="7" a="1"/>
  <c r="FU114" i="7" s="1"/>
  <c r="FB120" i="7" a="1"/>
  <c r="FB120" i="7" s="1"/>
  <c r="FH76" i="7" a="1"/>
  <c r="FH76" i="7" s="1"/>
  <c r="EJ104" i="7" a="1"/>
  <c r="EJ104" i="7" s="1"/>
  <c r="EO125" i="7" a="1"/>
  <c r="EO125" i="7" s="1"/>
  <c r="DS134" i="7" a="1"/>
  <c r="DS134" i="7" s="1"/>
  <c r="FI97" i="7" a="1"/>
  <c r="FI97" i="7" s="1"/>
  <c r="EP93" i="7" a="1"/>
  <c r="EP93" i="7" s="1"/>
  <c r="EN112" i="7" a="1"/>
  <c r="EN112" i="7" s="1"/>
  <c r="EE119" i="7" a="1"/>
  <c r="EE119" i="7" s="1"/>
  <c r="ET61" i="7" a="1"/>
  <c r="ET61" i="7" s="1"/>
  <c r="FH113" i="7" a="1"/>
  <c r="FH113" i="7" s="1"/>
  <c r="EX133" i="7" a="1"/>
  <c r="EX133" i="7" s="1"/>
  <c r="FX104" i="7" a="1"/>
  <c r="FX104" i="7" s="1"/>
  <c r="DQ79" i="7" a="1"/>
  <c r="DQ79" i="7" s="1"/>
  <c r="EB114" i="7" a="1"/>
  <c r="EB114" i="7" s="1"/>
  <c r="EG94" i="7" a="1"/>
  <c r="EG94" i="7" s="1"/>
  <c r="EF115" i="7" a="1"/>
  <c r="EF115" i="7" s="1"/>
  <c r="EU70" i="7" a="1"/>
  <c r="EU70" i="7" s="1"/>
  <c r="DW109" i="7" a="1"/>
  <c r="DW109" i="7" s="1"/>
  <c r="DS122" i="7" a="1"/>
  <c r="DS122" i="7" s="1"/>
  <c r="EB137" i="7" a="1"/>
  <c r="EB137" i="7" s="1"/>
  <c r="DQ100" i="7" a="1"/>
  <c r="DQ100" i="7" s="1"/>
  <c r="FK126" i="7" a="1"/>
  <c r="FK126" i="7" s="1"/>
  <c r="FW101" i="7" a="1"/>
  <c r="FW101" i="7" s="1"/>
  <c r="EZ127" i="7" a="1"/>
  <c r="EZ127" i="7" s="1"/>
  <c r="GA109" i="7" a="1"/>
  <c r="GA109" i="7" s="1"/>
  <c r="DQ130" i="7" a="1"/>
  <c r="DQ130" i="7" s="1"/>
  <c r="FY94" i="7" a="1"/>
  <c r="FY94" i="7" s="1"/>
  <c r="EH114" i="7" a="1"/>
  <c r="EH114" i="7" s="1"/>
  <c r="FR85" i="7" a="1"/>
  <c r="FR85" i="7" s="1"/>
  <c r="DX134" i="7" a="1"/>
  <c r="DX134" i="7" s="1"/>
  <c r="ED143" i="7" a="1"/>
  <c r="ED143" i="7" s="1"/>
  <c r="DW148" i="7" a="1"/>
  <c r="DW148" i="7" s="1"/>
  <c r="DW154" i="7" a="1"/>
  <c r="DW154" i="7" s="1"/>
  <c r="EH116" i="7" a="1"/>
  <c r="EH116" i="7" s="1"/>
  <c r="FQ95" i="7" a="1"/>
  <c r="FQ95" i="7" s="1"/>
  <c r="DU135" i="7" a="1"/>
  <c r="DU135" i="7" s="1"/>
  <c r="FG143" i="7" a="1"/>
  <c r="FG143" i="7" s="1"/>
  <c r="EZ148" i="7" a="1"/>
  <c r="EZ148" i="7" s="1"/>
  <c r="EZ154" i="7" a="1"/>
  <c r="EZ154" i="7" s="1"/>
  <c r="ER128" i="7" a="1"/>
  <c r="ER128" i="7" s="1"/>
  <c r="FA106" i="7" a="1"/>
  <c r="FA106" i="7" s="1"/>
  <c r="EN117" i="7" a="1"/>
  <c r="EN117" i="7" s="1"/>
  <c r="ER137" i="7" a="1"/>
  <c r="ER137" i="7" s="1"/>
  <c r="FJ142" i="7" a="1"/>
  <c r="FJ142" i="7" s="1"/>
  <c r="EH147" i="7" a="1"/>
  <c r="EH147" i="7" s="1"/>
  <c r="FQ151" i="7" a="1"/>
  <c r="FQ151" i="7" s="1"/>
  <c r="EZ140" i="7" a="1"/>
  <c r="EZ140" i="7" s="1"/>
  <c r="FT156" i="7" a="1"/>
  <c r="FT156" i="7" s="1"/>
  <c r="DS161" i="7" a="1"/>
  <c r="DS161" i="7" s="1"/>
  <c r="EH164" i="7" a="1"/>
  <c r="EH164" i="7" s="1"/>
  <c r="DY167" i="7" a="1"/>
  <c r="DY167" i="7" s="1"/>
  <c r="ET169" i="7" a="1"/>
  <c r="ET169" i="7" s="1"/>
  <c r="FO171" i="7" a="1"/>
  <c r="FO171" i="7" s="1"/>
  <c r="FE174" i="7" a="1"/>
  <c r="FE174" i="7" s="1"/>
  <c r="FZ176" i="7" a="1"/>
  <c r="FZ176" i="7" s="1"/>
  <c r="FQ121" i="7" a="1"/>
  <c r="FQ121" i="7" s="1"/>
  <c r="DX135" i="7" a="1"/>
  <c r="DX135" i="7" s="1"/>
  <c r="FB143" i="7" a="1"/>
  <c r="FB143" i="7" s="1"/>
  <c r="DT152" i="7" a="1"/>
  <c r="DT152" i="7" s="1"/>
  <c r="FR154" i="7" a="1"/>
  <c r="FR154" i="7" s="1"/>
  <c r="EZ168" i="7" a="1"/>
  <c r="EZ168" i="7" s="1"/>
  <c r="EQ180" i="7" a="1"/>
  <c r="EQ180" i="7" s="1"/>
  <c r="EN184" i="7" a="1"/>
  <c r="EN184" i="7" s="1"/>
  <c r="EH189" i="7" a="1"/>
  <c r="EH189" i="7" s="1"/>
  <c r="EE193" i="7" a="1"/>
  <c r="EE193" i="7" s="1"/>
  <c r="DY198" i="7" a="1"/>
  <c r="DY198" i="7" s="1"/>
  <c r="EY201" i="7" a="1"/>
  <c r="EY201" i="7" s="1"/>
  <c r="EY203" i="7" a="1"/>
  <c r="EY203" i="7" s="1"/>
  <c r="EY122" i="7" a="1"/>
  <c r="EY122" i="7" s="1"/>
  <c r="EX137" i="7" a="1"/>
  <c r="EX137" i="7" s="1"/>
  <c r="FR145" i="7" a="1"/>
  <c r="FR145" i="7" s="1"/>
  <c r="FJ155" i="7" a="1"/>
  <c r="FJ155" i="7" s="1"/>
  <c r="EC158" i="7" a="1"/>
  <c r="EC158" i="7" s="1"/>
  <c r="DT161" i="7" a="1"/>
  <c r="DT161" i="7" s="1"/>
  <c r="EO163" i="7" a="1"/>
  <c r="EO163" i="7" s="1"/>
  <c r="EF166" i="7" a="1"/>
  <c r="EF166" i="7" s="1"/>
  <c r="FA168" i="7" a="1"/>
  <c r="FA168" i="7" s="1"/>
  <c r="FV170" i="7" a="1"/>
  <c r="FV170" i="7" s="1"/>
  <c r="FL173" i="7" a="1"/>
  <c r="FL173" i="7" s="1"/>
  <c r="DV176" i="7" a="1"/>
  <c r="DV176" i="7" s="1"/>
  <c r="FX178" i="7" a="1"/>
  <c r="FX178" i="7" s="1"/>
  <c r="EJ114" i="7" a="1"/>
  <c r="EJ114" i="7" s="1"/>
  <c r="FC130" i="7" a="1"/>
  <c r="FC130" i="7" s="1"/>
  <c r="DV143" i="7" a="1"/>
  <c r="DV143" i="7" s="1"/>
  <c r="EB150" i="7" a="1"/>
  <c r="EB150" i="7" s="1"/>
  <c r="FJ154" i="7" a="1"/>
  <c r="FJ154" i="7" s="1"/>
  <c r="EL165" i="7" a="1"/>
  <c r="EL165" i="7" s="1"/>
  <c r="EL179" i="7" a="1"/>
  <c r="EL179" i="7" s="1"/>
  <c r="EO184" i="7" a="1"/>
  <c r="EO184" i="7" s="1"/>
  <c r="EL188" i="7" a="1"/>
  <c r="EL188" i="7" s="1"/>
  <c r="EF193" i="7" a="1"/>
  <c r="EF193" i="7" s="1"/>
  <c r="EJ197" i="7" a="1"/>
  <c r="EJ197" i="7" s="1"/>
  <c r="EX120" i="7" a="1"/>
  <c r="EX120" i="7" s="1"/>
  <c r="EY137" i="7" a="1"/>
  <c r="EY137" i="7" s="1"/>
  <c r="FH89" i="7" a="1"/>
  <c r="FH89" i="7" s="1"/>
  <c r="FT105" i="7" a="1"/>
  <c r="FT105" i="7" s="1"/>
  <c r="ES128" i="7" a="1"/>
  <c r="ES128" i="7" s="1"/>
  <c r="FW139" i="7" a="1"/>
  <c r="FW139" i="7" s="1"/>
  <c r="EM148" i="7" a="1"/>
  <c r="EM148" i="7" s="1"/>
  <c r="FA156" i="7" a="1"/>
  <c r="FA156" i="7" s="1"/>
  <c r="EQ159" i="7" a="1"/>
  <c r="EQ159" i="7" s="1"/>
  <c r="FL161" i="7" a="1"/>
  <c r="FL161" i="7" s="1"/>
  <c r="DV164" i="7" a="1"/>
  <c r="DV164" i="7" s="1"/>
  <c r="FX166" i="7" a="1"/>
  <c r="FX166" i="7" s="1"/>
  <c r="EH169" i="7" a="1"/>
  <c r="EH169" i="7" s="1"/>
  <c r="DY172" i="7" a="1"/>
  <c r="DY172" i="7" s="1"/>
  <c r="ET174" i="7" a="1"/>
  <c r="ET174" i="7" s="1"/>
  <c r="FO176" i="7" a="1"/>
  <c r="FO176" i="7" s="1"/>
  <c r="FI139" i="7" a="1"/>
  <c r="FI139" i="7" s="1"/>
  <c r="EM149" i="7" a="1"/>
  <c r="EM149" i="7" s="1"/>
  <c r="ER157" i="7" a="1"/>
  <c r="ER157" i="7" s="1"/>
  <c r="FS163" i="7" a="1"/>
  <c r="FS163" i="7" s="1"/>
  <c r="EE135" i="7" a="1"/>
  <c r="EE135" i="7" s="1"/>
  <c r="FE146" i="7" a="1"/>
  <c r="FE146" i="7" s="1"/>
  <c r="DS156" i="7" a="1"/>
  <c r="DS156" i="7" s="1"/>
  <c r="EG124" i="7" a="1"/>
  <c r="EG124" i="7" s="1"/>
  <c r="EN138" i="7" a="1"/>
  <c r="EN138" i="7" s="1"/>
  <c r="EC154" i="7" a="1"/>
  <c r="EC154" i="7" s="1"/>
  <c r="EI160" i="7" a="1"/>
  <c r="EI160" i="7" s="1"/>
  <c r="FM130" i="7" a="1"/>
  <c r="FM130" i="7" s="1"/>
  <c r="FV145" i="7" a="1"/>
  <c r="FV145" i="7" s="1"/>
  <c r="FK150" i="7" a="1"/>
  <c r="FK150" i="7" s="1"/>
  <c r="FG156" i="7" a="1"/>
  <c r="FG156" i="7" s="1"/>
  <c r="EI129" i="7" a="1"/>
  <c r="EI129" i="7" s="1"/>
  <c r="EN135" i="7" a="1"/>
  <c r="EN135" i="7" s="1"/>
  <c r="FI145" i="7" a="1"/>
  <c r="FI145" i="7" s="1"/>
  <c r="EX150" i="7" a="1"/>
  <c r="EX150" i="7" s="1"/>
  <c r="EX140" i="7" a="1"/>
  <c r="EX140" i="7" s="1"/>
  <c r="FP153" i="7" a="1"/>
  <c r="FP153" i="7" s="1"/>
  <c r="FY160" i="7" a="1"/>
  <c r="FY160" i="7" s="1"/>
  <c r="FG166" i="7" a="1"/>
  <c r="FG166" i="7" s="1"/>
  <c r="DX172" i="7" a="1"/>
  <c r="DX172" i="7" s="1"/>
  <c r="EX177" i="7" a="1"/>
  <c r="EX177" i="7" s="1"/>
  <c r="FW180" i="7" a="1"/>
  <c r="FW180" i="7" s="1"/>
  <c r="FY184" i="7" a="1"/>
  <c r="FY184" i="7" s="1"/>
  <c r="FK188" i="7" a="1"/>
  <c r="FK188" i="7" s="1"/>
  <c r="EV192" i="7" a="1"/>
  <c r="EV192" i="7" s="1"/>
  <c r="EY196" i="7" a="1"/>
  <c r="EY196" i="7" s="1"/>
  <c r="FE199" i="7" a="1"/>
  <c r="FE199" i="7" s="1"/>
  <c r="EY140" i="7" a="1"/>
  <c r="EY140" i="7" s="1"/>
  <c r="EQ152" i="7" a="1"/>
  <c r="EQ152" i="7" s="1"/>
  <c r="EM163" i="7" a="1"/>
  <c r="EM163" i="7" s="1"/>
  <c r="FV168" i="7" a="1"/>
  <c r="FV168" i="7" s="1"/>
  <c r="EZ174" i="7" a="1"/>
  <c r="EZ174" i="7" s="1"/>
  <c r="EW179" i="7" a="1"/>
  <c r="EW179" i="7" s="1"/>
  <c r="FJ183" i="7" a="1"/>
  <c r="FJ183" i="7" s="1"/>
  <c r="FV187" i="7" a="1"/>
  <c r="FV187" i="7" s="1"/>
  <c r="EX191" i="7" a="1"/>
  <c r="EX191" i="7" s="1"/>
  <c r="ES195" i="7" a="1"/>
  <c r="ES195" i="7" s="1"/>
  <c r="FC126" i="7" a="1"/>
  <c r="FC126" i="7" s="1"/>
  <c r="EB145" i="7" a="1"/>
  <c r="EB145" i="7" s="1"/>
  <c r="FL155" i="7" a="1"/>
  <c r="FL155" i="7" s="1"/>
  <c r="EA163" i="7" a="1"/>
  <c r="EA163" i="7" s="1"/>
  <c r="FU167" i="7" a="1"/>
  <c r="FU167" i="7" s="1"/>
  <c r="FX172" i="7" a="1"/>
  <c r="FX172" i="7" s="1"/>
  <c r="EY177" i="7" a="1"/>
  <c r="EY177" i="7" s="1"/>
  <c r="FE181" i="7" a="1"/>
  <c r="FE181" i="7" s="1"/>
  <c r="DY185" i="7" a="1"/>
  <c r="DY185" i="7" s="1"/>
  <c r="ET103" i="7" a="1"/>
  <c r="ET103" i="7" s="1"/>
  <c r="FT136" i="7" a="1"/>
  <c r="FT136" i="7" s="1"/>
  <c r="EW154" i="7" a="1"/>
  <c r="EW154" i="7" s="1"/>
  <c r="FQ159" i="7" a="1"/>
  <c r="FQ159" i="7" s="1"/>
  <c r="EJ166" i="7" a="1"/>
  <c r="EJ166" i="7" s="1"/>
  <c r="FL171" i="7" a="1"/>
  <c r="FL171" i="7" s="1"/>
  <c r="EZ177" i="7" a="1"/>
  <c r="EZ177" i="7" s="1"/>
  <c r="FP180" i="7" a="1"/>
  <c r="FP180" i="7" s="1"/>
  <c r="FA184" i="7" a="1"/>
  <c r="FA184" i="7" s="1"/>
  <c r="FK98" i="7" a="1"/>
  <c r="FK98" i="7" s="1"/>
  <c r="FC138" i="7" a="1"/>
  <c r="FC138" i="7" s="1"/>
  <c r="EP149" i="7" a="1"/>
  <c r="EP149" i="7" s="1"/>
  <c r="EO159" i="7" a="1"/>
  <c r="EO159" i="7" s="1"/>
  <c r="FQ135" i="7" a="1"/>
  <c r="FQ135" i="7" s="1"/>
  <c r="FS153" i="7" a="1"/>
  <c r="FS153" i="7" s="1"/>
  <c r="FV159" i="7" a="1"/>
  <c r="FV159" i="7" s="1"/>
  <c r="FV135" i="7" a="1"/>
  <c r="FV135" i="7" s="1"/>
  <c r="FZ146" i="7" a="1"/>
  <c r="FZ146" i="7" s="1"/>
  <c r="EA156" i="7" a="1"/>
  <c r="EA156" i="7" s="1"/>
  <c r="FG163" i="7" a="1"/>
  <c r="FG163" i="7" s="1"/>
  <c r="GA168" i="7" a="1"/>
  <c r="GA168" i="7" s="1"/>
  <c r="ER174" i="7" a="1"/>
  <c r="ER174" i="7" s="1"/>
  <c r="FK179" i="7" a="1"/>
  <c r="FK179" i="7" s="1"/>
  <c r="EV183" i="7" a="1"/>
  <c r="EV183" i="7" s="1"/>
  <c r="EH187" i="7" a="1"/>
  <c r="EH187" i="7" s="1"/>
  <c r="DU146" i="7" a="1"/>
  <c r="DU146" i="7" s="1"/>
  <c r="FZ163" i="7" a="1"/>
  <c r="FZ163" i="7" s="1"/>
  <c r="FH169" i="7" a="1"/>
  <c r="FH169" i="7" s="1"/>
  <c r="FF175" i="7" a="1"/>
  <c r="FF175" i="7" s="1"/>
  <c r="DR180" i="7" a="1"/>
  <c r="DR180" i="7" s="1"/>
  <c r="FT185" i="7" a="1"/>
  <c r="FT185" i="7" s="1"/>
  <c r="FL190" i="7" a="1"/>
  <c r="FL190" i="7" s="1"/>
  <c r="DY195" i="7" a="1"/>
  <c r="DY195" i="7" s="1"/>
  <c r="EH199" i="7" a="1"/>
  <c r="EH199" i="7" s="1"/>
  <c r="DQ203" i="7" a="1"/>
  <c r="DQ203" i="7" s="1"/>
  <c r="FN110" i="7" a="1"/>
  <c r="FN110" i="7" s="1"/>
  <c r="EV118" i="7" a="1"/>
  <c r="EV118" i="7" s="1"/>
  <c r="FT127" i="7" a="1"/>
  <c r="FT127" i="7" s="1"/>
  <c r="DZ85" i="7" a="1"/>
  <c r="DZ85" i="7" s="1"/>
  <c r="FH109" i="7" a="1"/>
  <c r="FH109" i="7" s="1"/>
  <c r="ED126" i="7" a="1"/>
  <c r="ED126" i="7" s="1"/>
  <c r="EJ55" i="7" a="1"/>
  <c r="EJ55" i="7" s="1"/>
  <c r="FT98" i="7" a="1"/>
  <c r="FT98" i="7" s="1"/>
  <c r="DR115" i="7" a="1"/>
  <c r="DR115" i="7" s="1"/>
  <c r="FJ120" i="7" a="1"/>
  <c r="FJ120" i="7" s="1"/>
  <c r="ED77" i="7" a="1"/>
  <c r="ED77" i="7" s="1"/>
  <c r="EU104" i="7" a="1"/>
  <c r="EU104" i="7" s="1"/>
  <c r="FD125" i="7" a="1"/>
  <c r="FD125" i="7" s="1"/>
  <c r="DZ134" i="7" a="1"/>
  <c r="DZ134" i="7" s="1"/>
  <c r="DW98" i="7" a="1"/>
  <c r="DW98" i="7" s="1"/>
  <c r="FL93" i="7" a="1"/>
  <c r="FL93" i="7" s="1"/>
  <c r="FU112" i="7" a="1"/>
  <c r="FU112" i="7" s="1"/>
  <c r="EM119" i="7" a="1"/>
  <c r="EM119" i="7" s="1"/>
  <c r="DX66" i="7" a="1"/>
  <c r="DX66" i="7" s="1"/>
  <c r="FX113" i="7" a="1"/>
  <c r="FX113" i="7" s="1"/>
  <c r="FY133" i="7" a="1"/>
  <c r="FY133" i="7" s="1"/>
  <c r="EG105" i="7" a="1"/>
  <c r="EG105" i="7" s="1"/>
  <c r="FN79" i="7" a="1"/>
  <c r="FN79" i="7" s="1"/>
  <c r="FF114" i="7" a="1"/>
  <c r="FF114" i="7" s="1"/>
  <c r="FG94" i="7" a="1"/>
  <c r="FG94" i="7" s="1"/>
  <c r="FE115" i="7" a="1"/>
  <c r="FE115" i="7" s="1"/>
  <c r="EL76" i="7" a="1"/>
  <c r="EL76" i="7" s="1"/>
  <c r="FW38" i="7" a="1"/>
  <c r="FW38" i="7" s="1"/>
  <c r="EG123" i="7" a="1"/>
  <c r="EG123" i="7" s="1"/>
  <c r="EI137" i="7" a="1"/>
  <c r="EI137" i="7" s="1"/>
  <c r="EQ100" i="7" a="1"/>
  <c r="EQ100" i="7" s="1"/>
  <c r="DY127" i="7" a="1"/>
  <c r="DY127" i="7" s="1"/>
  <c r="EO102" i="7" a="1"/>
  <c r="EO102" i="7" s="1"/>
  <c r="FK127" i="7" a="1"/>
  <c r="FK127" i="7" s="1"/>
  <c r="EM110" i="7" a="1"/>
  <c r="EM110" i="7" s="1"/>
  <c r="EB130" i="7" a="1"/>
  <c r="EB130" i="7" s="1"/>
  <c r="EI96" i="7" a="1"/>
  <c r="EI96" i="7" s="1"/>
  <c r="FR114" i="7" a="1"/>
  <c r="FR114" i="7" s="1"/>
  <c r="FK92" i="7" a="1"/>
  <c r="FK92" i="7" s="1"/>
  <c r="EO134" i="7" a="1"/>
  <c r="EO134" i="7" s="1"/>
  <c r="EK143" i="7" a="1"/>
  <c r="EK143" i="7" s="1"/>
  <c r="ED148" i="7" a="1"/>
  <c r="ED148" i="7" s="1"/>
  <c r="ED154" i="7" a="1"/>
  <c r="ED154" i="7" s="1"/>
  <c r="FG116" i="7" a="1"/>
  <c r="FG116" i="7" s="1"/>
  <c r="DX98" i="7" a="1"/>
  <c r="DX98" i="7" s="1"/>
  <c r="EG135" i="7" a="1"/>
  <c r="EG135" i="7" s="1"/>
  <c r="FN143" i="7" a="1"/>
  <c r="FN143" i="7" s="1"/>
  <c r="FG148" i="7" a="1"/>
  <c r="FG148" i="7" s="1"/>
  <c r="FG154" i="7" a="1"/>
  <c r="FG154" i="7" s="1"/>
  <c r="FF128" i="7" a="1"/>
  <c r="FF128" i="7" s="1"/>
  <c r="EB107" i="7" a="1"/>
  <c r="EB107" i="7" s="1"/>
  <c r="GA119" i="7" a="1"/>
  <c r="GA119" i="7" s="1"/>
  <c r="EZ137" i="7" a="1"/>
  <c r="EZ137" i="7" s="1"/>
  <c r="FQ143" i="7" a="1"/>
  <c r="FQ143" i="7" s="1"/>
  <c r="EO147" i="7" a="1"/>
  <c r="EO147" i="7" s="1"/>
  <c r="FX151" i="7" a="1"/>
  <c r="FX151" i="7" s="1"/>
  <c r="FW140" i="7" a="1"/>
  <c r="FW140" i="7" s="1"/>
  <c r="DR157" i="7" a="1"/>
  <c r="DR157" i="7" s="1"/>
  <c r="FH161" i="7" a="1"/>
  <c r="FH161" i="7" s="1"/>
  <c r="EP164" i="7" a="1"/>
  <c r="EP164" i="7" s="1"/>
  <c r="EG167" i="7" a="1"/>
  <c r="EG167" i="7" s="1"/>
  <c r="FB169" i="7" a="1"/>
  <c r="FB169" i="7" s="1"/>
  <c r="FW171" i="7" a="1"/>
  <c r="FW171" i="7" s="1"/>
  <c r="FM174" i="7" a="1"/>
  <c r="FM174" i="7" s="1"/>
  <c r="DW177" i="7" a="1"/>
  <c r="DW177" i="7" s="1"/>
  <c r="DR123" i="7" a="1"/>
  <c r="DR123" i="7" s="1"/>
  <c r="DQ136" i="7" a="1"/>
  <c r="DQ136" i="7" s="1"/>
  <c r="FL143" i="7" a="1"/>
  <c r="FL143" i="7" s="1"/>
  <c r="EC152" i="7" a="1"/>
  <c r="EC152" i="7" s="1"/>
  <c r="DQ155" i="7" a="1"/>
  <c r="DQ155" i="7" s="1"/>
  <c r="EL169" i="7" a="1"/>
  <c r="EL169" i="7" s="1"/>
  <c r="FF180" i="7" a="1"/>
  <c r="FF180" i="7" s="1"/>
  <c r="FC184" i="7" a="1"/>
  <c r="FC184" i="7" s="1"/>
  <c r="EW189" i="7" a="1"/>
  <c r="EW189" i="7" s="1"/>
  <c r="ET193" i="7" a="1"/>
  <c r="ET193" i="7" s="1"/>
  <c r="EN198" i="7" a="1"/>
  <c r="EN198" i="7" s="1"/>
  <c r="FF201" i="7" a="1"/>
  <c r="FF201" i="7" s="1"/>
  <c r="FF203" i="7" a="1"/>
  <c r="FF203" i="7" s="1"/>
  <c r="DV123" i="7" a="1"/>
  <c r="DV123" i="7" s="1"/>
  <c r="FI137" i="7" a="1"/>
  <c r="FI137" i="7" s="1"/>
  <c r="EN146" i="7" a="1"/>
  <c r="EN146" i="7" s="1"/>
  <c r="GA155" i="7" a="1"/>
  <c r="GA155" i="7" s="1"/>
  <c r="EK158" i="7" a="1"/>
  <c r="EK158" i="7" s="1"/>
  <c r="EB161" i="7" a="1"/>
  <c r="EB161" i="7" s="1"/>
  <c r="EW163" i="7" a="1"/>
  <c r="EW163" i="7" s="1"/>
  <c r="EN166" i="7" a="1"/>
  <c r="EN166" i="7" s="1"/>
  <c r="FI168" i="7" a="1"/>
  <c r="FI168" i="7" s="1"/>
  <c r="DS171" i="7" a="1"/>
  <c r="DS171" i="7" s="1"/>
  <c r="FT173" i="7" a="1"/>
  <c r="FT173" i="7" s="1"/>
  <c r="ED176" i="7" a="1"/>
  <c r="ED176" i="7" s="1"/>
  <c r="DU179" i="7" a="1"/>
  <c r="DU179" i="7" s="1"/>
  <c r="FK115" i="7" a="1"/>
  <c r="FK115" i="7" s="1"/>
  <c r="DU131" i="7" a="1"/>
  <c r="DU131" i="7" s="1"/>
  <c r="FO143" i="7" a="1"/>
  <c r="FO143" i="7" s="1"/>
  <c r="FI150" i="7" a="1"/>
  <c r="FI150" i="7" s="1"/>
  <c r="FS154" i="7" a="1"/>
  <c r="FS154" i="7" s="1"/>
  <c r="DX166" i="7" a="1"/>
  <c r="DX166" i="7" s="1"/>
  <c r="FJ179" i="7" a="1"/>
  <c r="FJ179" i="7" s="1"/>
  <c r="FD184" i="7" a="1"/>
  <c r="FD184" i="7" s="1"/>
  <c r="FA188" i="7" a="1"/>
  <c r="FA188" i="7" s="1"/>
  <c r="EU193" i="7" a="1"/>
  <c r="EU193" i="7" s="1"/>
  <c r="EY197" i="7" a="1"/>
  <c r="EY197" i="7" s="1"/>
  <c r="EK121" i="7" a="1"/>
  <c r="EK121" i="7" s="1"/>
  <c r="FJ137" i="7" a="1"/>
  <c r="FJ137" i="7" s="1"/>
  <c r="FJ97" i="7" a="1"/>
  <c r="FJ97" i="7" s="1"/>
  <c r="FX106" i="7" a="1"/>
  <c r="FX106" i="7" s="1"/>
  <c r="FO128" i="7" a="1"/>
  <c r="FO128" i="7" s="1"/>
  <c r="DW140" i="7" a="1"/>
  <c r="DW140" i="7" s="1"/>
  <c r="EW148" i="7" a="1"/>
  <c r="EW148" i="7" s="1"/>
  <c r="FI156" i="7" a="1"/>
  <c r="FI156" i="7" s="1"/>
  <c r="EY159" i="7" a="1"/>
  <c r="EY159" i="7" s="1"/>
  <c r="FT161" i="7" a="1"/>
  <c r="FT161" i="7" s="1"/>
  <c r="ED164" i="7" a="1"/>
  <c r="ED164" i="7" s="1"/>
  <c r="DU167" i="7" a="1"/>
  <c r="DU167" i="7" s="1"/>
  <c r="EP169" i="7" a="1"/>
  <c r="EP169" i="7" s="1"/>
  <c r="EG172" i="7" a="1"/>
  <c r="EG172" i="7" s="1"/>
  <c r="FB174" i="7" a="1"/>
  <c r="FB174" i="7" s="1"/>
  <c r="FW176" i="7" a="1"/>
  <c r="FW176" i="7" s="1"/>
  <c r="FZ139" i="7" a="1"/>
  <c r="FZ139" i="7" s="1"/>
  <c r="FB149" i="7" a="1"/>
  <c r="FB149" i="7" s="1"/>
  <c r="FD157" i="7" a="1"/>
  <c r="FD157" i="7" s="1"/>
  <c r="FI164" i="7" a="1"/>
  <c r="FI164" i="7" s="1"/>
  <c r="FH135" i="7" a="1"/>
  <c r="FH135" i="7" s="1"/>
  <c r="EB147" i="7" a="1"/>
  <c r="EB147" i="7" s="1"/>
  <c r="ED156" i="7" a="1"/>
  <c r="ED156" i="7" s="1"/>
  <c r="DS126" i="7" a="1"/>
  <c r="DS126" i="7" s="1"/>
  <c r="FJ139" i="7" a="1"/>
  <c r="FJ139" i="7" s="1"/>
  <c r="EU154" i="7" a="1"/>
  <c r="EU154" i="7" s="1"/>
  <c r="EU160" i="7" a="1"/>
  <c r="EU160" i="7" s="1"/>
  <c r="DW132" i="7" a="1"/>
  <c r="DW132" i="7" s="1"/>
  <c r="DZ146" i="7" a="1"/>
  <c r="DZ146" i="7" s="1"/>
  <c r="FZ150" i="7" a="1"/>
  <c r="FZ150" i="7" s="1"/>
  <c r="DU157" i="7" a="1"/>
  <c r="DU157" i="7" s="1"/>
  <c r="FN130" i="7" a="1"/>
  <c r="FN130" i="7" s="1"/>
  <c r="FU135" i="7" a="1"/>
  <c r="FU135" i="7" s="1"/>
  <c r="EF146" i="7" a="1"/>
  <c r="EF146" i="7" s="1"/>
  <c r="FO150" i="7" a="1"/>
  <c r="FO150" i="7" s="1"/>
  <c r="FA141" i="7" a="1"/>
  <c r="FA141" i="7" s="1"/>
  <c r="DY154" i="7" a="1"/>
  <c r="DY154" i="7" s="1"/>
  <c r="EO161" i="7" a="1"/>
  <c r="EO161" i="7" s="1"/>
  <c r="EI167" i="7" a="1"/>
  <c r="EI167" i="7" s="1"/>
  <c r="FK172" i="7" a="1"/>
  <c r="FK172" i="7" s="1"/>
  <c r="FR177" i="7" a="1"/>
  <c r="FR177" i="7" s="1"/>
  <c r="EC181" i="7" a="1"/>
  <c r="EC181" i="7" s="1"/>
  <c r="DX185" i="7" a="1"/>
  <c r="DX185" i="7" s="1"/>
  <c r="DZ189" i="7" a="1"/>
  <c r="DZ189" i="7" s="1"/>
  <c r="FW192" i="7" a="1"/>
  <c r="FW192" i="7" s="1"/>
  <c r="FH196" i="7" a="1"/>
  <c r="FH196" i="7" s="1"/>
  <c r="FU75" i="7" a="1"/>
  <c r="FU75" i="7" s="1"/>
  <c r="DW141" i="7" a="1"/>
  <c r="DW141" i="7" s="1"/>
  <c r="FP154" i="7" a="1"/>
  <c r="FP154" i="7" s="1"/>
  <c r="GA163" i="7" a="1"/>
  <c r="GA163" i="7" s="1"/>
  <c r="DX169" i="7" a="1"/>
  <c r="DX169" i="7" s="1"/>
  <c r="FY174" i="7" a="1"/>
  <c r="FY174" i="7" s="1"/>
  <c r="FG179" i="7" a="1"/>
  <c r="FG179" i="7" s="1"/>
  <c r="GA183" i="7" a="1"/>
  <c r="GA183" i="7" s="1"/>
  <c r="EB188" i="7" a="1"/>
  <c r="EB188" i="7" s="1"/>
  <c r="FY191" i="7" a="1"/>
  <c r="FY191" i="7" s="1"/>
  <c r="FJ195" i="7" a="1"/>
  <c r="FJ195" i="7" s="1"/>
  <c r="DW128" i="7" a="1"/>
  <c r="DW128" i="7" s="1"/>
  <c r="EX145" i="7" a="1"/>
  <c r="EX145" i="7" s="1"/>
  <c r="EL156" i="7" a="1"/>
  <c r="EL156" i="7" s="1"/>
  <c r="FB163" i="7" a="1"/>
  <c r="FB163" i="7" s="1"/>
  <c r="DX168" i="7" a="1"/>
  <c r="DX168" i="7" s="1"/>
  <c r="EL173" i="7" a="1"/>
  <c r="EL173" i="7" s="1"/>
  <c r="FS177" i="7" a="1"/>
  <c r="FS177" i="7" s="1"/>
  <c r="FN181" i="7" a="1"/>
  <c r="FN181" i="7" s="1"/>
  <c r="EP185" i="7" a="1"/>
  <c r="EP185" i="7" s="1"/>
  <c r="DT108" i="7" a="1"/>
  <c r="DT108" i="7" s="1"/>
  <c r="DT138" i="7" a="1"/>
  <c r="DT138" i="7" s="1"/>
  <c r="FQ154" i="7" a="1"/>
  <c r="FQ154" i="7" s="1"/>
  <c r="DV160" i="7" a="1"/>
  <c r="DV160" i="7" s="1"/>
  <c r="FW166" i="7" a="1"/>
  <c r="FW166" i="7" s="1"/>
  <c r="EN172" i="7" a="1"/>
  <c r="EN172" i="7" s="1"/>
  <c r="FJ177" i="7" a="1"/>
  <c r="FJ177" i="7" s="1"/>
  <c r="DV181" i="7" a="1"/>
  <c r="DV181" i="7" s="1"/>
  <c r="DQ185" i="7" a="1"/>
  <c r="DQ185" i="7" s="1"/>
  <c r="DU108" i="7" a="1"/>
  <c r="DU108" i="7" s="1"/>
  <c r="EA140" i="7" a="1"/>
  <c r="EA140" i="7" s="1"/>
  <c r="EF150" i="7" a="1"/>
  <c r="EF150" i="7" s="1"/>
  <c r="FR159" i="7" a="1"/>
  <c r="FR159" i="7" s="1"/>
  <c r="EO136" i="7" a="1"/>
  <c r="EO136" i="7" s="1"/>
  <c r="EH154" i="7" a="1"/>
  <c r="EH154" i="7" s="1"/>
  <c r="DW160" i="7" a="1"/>
  <c r="DW160" i="7" s="1"/>
  <c r="EY136" i="7" a="1"/>
  <c r="EY136" i="7" s="1"/>
  <c r="FP147" i="7" a="1"/>
  <c r="FP147" i="7" s="1"/>
  <c r="FT157" i="7" a="1"/>
  <c r="FT157" i="7" s="1"/>
  <c r="DW164" i="7" a="1"/>
  <c r="DW164" i="7" s="1"/>
  <c r="EB169" i="7" a="1"/>
  <c r="EB169" i="7" s="1"/>
  <c r="FD174" i="7" a="1"/>
  <c r="FD174" i="7" s="1"/>
  <c r="DZ180" i="7" a="1"/>
  <c r="DZ180" i="7" s="1"/>
  <c r="FN183" i="7" a="1"/>
  <c r="FN183" i="7" s="1"/>
  <c r="EY187" i="7" a="1"/>
  <c r="EY187" i="7" s="1"/>
  <c r="DY151" i="7" a="1"/>
  <c r="DY151" i="7" s="1"/>
  <c r="FJ164" i="7" a="1"/>
  <c r="FJ164" i="7" s="1"/>
  <c r="DS170" i="7" a="1"/>
  <c r="DS170" i="7" s="1"/>
  <c r="DQ176" i="7" a="1"/>
  <c r="DQ176" i="7" s="1"/>
  <c r="ED180" i="7" a="1"/>
  <c r="ED180" i="7" s="1"/>
  <c r="EY186" i="7" a="1"/>
  <c r="EY186" i="7" s="1"/>
  <c r="FV190" i="7" a="1"/>
  <c r="FV190" i="7" s="1"/>
  <c r="FE195" i="7" a="1"/>
  <c r="FE195" i="7" s="1"/>
  <c r="EY199" i="7" a="1"/>
  <c r="EY199" i="7" s="1"/>
  <c r="EF203" i="7" a="1"/>
  <c r="EF203" i="7" s="1"/>
  <c r="EM111" i="7" a="1"/>
  <c r="EM111" i="7" s="1"/>
  <c r="FW119" i="7" a="1"/>
  <c r="FW119" i="7" s="1"/>
  <c r="DX128" i="7" a="1"/>
  <c r="DX128" i="7" s="1"/>
  <c r="FH94" i="7" a="1"/>
  <c r="FH94" i="7" s="1"/>
  <c r="DT110" i="7" a="1"/>
  <c r="DT110" i="7" s="1"/>
  <c r="FJ128" i="7" a="1"/>
  <c r="FJ128" i="7" s="1"/>
  <c r="DS62" i="7" a="1"/>
  <c r="DS62" i="7" s="1"/>
  <c r="FD102" i="7" a="1"/>
  <c r="FD102" i="7" s="1"/>
  <c r="DZ115" i="7" a="1"/>
  <c r="DZ115" i="7" s="1"/>
  <c r="DZ122" i="7" a="1"/>
  <c r="DZ122" i="7" s="1"/>
  <c r="FN77" i="7" a="1"/>
  <c r="FN77" i="7" s="1"/>
  <c r="EC108" i="7" a="1"/>
  <c r="EC108" i="7" s="1"/>
  <c r="FL125" i="7" a="1"/>
  <c r="FL125" i="7" s="1"/>
  <c r="FL58" i="7" a="1"/>
  <c r="FL58" i="7" s="1"/>
  <c r="EJ98" i="7" a="1"/>
  <c r="EJ98" i="7" s="1"/>
  <c r="FA98" i="7" a="1"/>
  <c r="FA98" i="7" s="1"/>
  <c r="ED113" i="7" a="1"/>
  <c r="ED113" i="7" s="1"/>
  <c r="FN120" i="7" a="1"/>
  <c r="FN120" i="7" s="1"/>
  <c r="FE69" i="7" a="1"/>
  <c r="FE69" i="7" s="1"/>
  <c r="DS118" i="7" a="1"/>
  <c r="DS118" i="7" s="1"/>
  <c r="EE134" i="7" a="1"/>
  <c r="EE134" i="7" s="1"/>
  <c r="EA110" i="7" a="1"/>
  <c r="EA110" i="7" s="1"/>
  <c r="FR80" i="7" a="1"/>
  <c r="FR80" i="7" s="1"/>
  <c r="FS118" i="7" a="1"/>
  <c r="FS118" i="7" s="1"/>
  <c r="EB95" i="7" a="1"/>
  <c r="EB95" i="7" s="1"/>
  <c r="FI119" i="7" a="1"/>
  <c r="FI119" i="7" s="1"/>
  <c r="EB79" i="7" a="1"/>
  <c r="EB79" i="7" s="1"/>
  <c r="EQ95" i="7" a="1"/>
  <c r="EQ95" i="7" s="1"/>
  <c r="EU123" i="7" a="1"/>
  <c r="EU123" i="7" s="1"/>
  <c r="EW138" i="7" a="1"/>
  <c r="EW138" i="7" s="1"/>
  <c r="FM102" i="7" a="1"/>
  <c r="FM102" i="7" s="1"/>
  <c r="EK130" i="7" a="1"/>
  <c r="EK130" i="7" s="1"/>
  <c r="FP102" i="7" a="1"/>
  <c r="FP102" i="7" s="1"/>
  <c r="FO131" i="7" a="1"/>
  <c r="FO131" i="7" s="1"/>
  <c r="FQ110" i="7" a="1"/>
  <c r="FQ110" i="7" s="1"/>
  <c r="FO132" i="7" a="1"/>
  <c r="FO132" i="7" s="1"/>
  <c r="FV96" i="7" a="1"/>
  <c r="FV96" i="7" s="1"/>
  <c r="EL121" i="7" a="1"/>
  <c r="EL121" i="7" s="1"/>
  <c r="EJ94" i="7" a="1"/>
  <c r="EJ94" i="7" s="1"/>
  <c r="FI136" i="7" a="1"/>
  <c r="FI136" i="7" s="1"/>
  <c r="ER143" i="7" a="1"/>
  <c r="ER143" i="7" s="1"/>
  <c r="ER149" i="7" a="1"/>
  <c r="ER149" i="7" s="1"/>
  <c r="EK154" i="7" a="1"/>
  <c r="EK154" i="7" s="1"/>
  <c r="ER123" i="7" a="1"/>
  <c r="ER123" i="7" s="1"/>
  <c r="EA99" i="7" a="1"/>
  <c r="EA99" i="7" s="1"/>
  <c r="EF137" i="7" a="1"/>
  <c r="EF137" i="7" s="1"/>
  <c r="FU143" i="7" a="1"/>
  <c r="FU143" i="7" s="1"/>
  <c r="FU149" i="7" a="1"/>
  <c r="FU149" i="7" s="1"/>
  <c r="FN154" i="7" a="1"/>
  <c r="FN154" i="7" s="1"/>
  <c r="FK132" i="7" a="1"/>
  <c r="FK132" i="7" s="1"/>
  <c r="FC108" i="7" a="1"/>
  <c r="FC108" i="7" s="1"/>
  <c r="EQ120" i="7" a="1"/>
  <c r="EQ120" i="7" s="1"/>
  <c r="FH137" i="7" a="1"/>
  <c r="FH137" i="7" s="1"/>
  <c r="FX143" i="7" a="1"/>
  <c r="FX143" i="7" s="1"/>
  <c r="EV148" i="7" a="1"/>
  <c r="EV148" i="7" s="1"/>
  <c r="FF67" i="7" a="1"/>
  <c r="FF67" i="7" s="1"/>
  <c r="EV141" i="7" a="1"/>
  <c r="EV141" i="7" s="1"/>
  <c r="DZ157" i="7" a="1"/>
  <c r="DZ157" i="7" s="1"/>
  <c r="FP161" i="7" a="1"/>
  <c r="FP161" i="7" s="1"/>
  <c r="EX164" i="7" a="1"/>
  <c r="EX164" i="7" s="1"/>
  <c r="EO167" i="7" a="1"/>
  <c r="EO167" i="7" s="1"/>
  <c r="FJ169" i="7" a="1"/>
  <c r="FJ169" i="7" s="1"/>
  <c r="FA172" i="7" a="1"/>
  <c r="FA172" i="7" s="1"/>
  <c r="FV174" i="7" a="1"/>
  <c r="FV174" i="7" s="1"/>
  <c r="EF177" i="7" a="1"/>
  <c r="EF177" i="7" s="1"/>
  <c r="DV124" i="7" a="1"/>
  <c r="DV124" i="7" s="1"/>
  <c r="EE136" i="7" a="1"/>
  <c r="EE136" i="7" s="1"/>
  <c r="DR146" i="7" a="1"/>
  <c r="DR146" i="7" s="1"/>
  <c r="EN152" i="7" a="1"/>
  <c r="EN152" i="7" s="1"/>
  <c r="DZ155" i="7" a="1"/>
  <c r="DZ155" i="7" s="1"/>
  <c r="DX170" i="7" a="1"/>
  <c r="DX170" i="7" s="1"/>
  <c r="FN180" i="7" a="1"/>
  <c r="FN180" i="7" s="1"/>
  <c r="FH185" i="7" a="1"/>
  <c r="FH185" i="7" s="1"/>
  <c r="FL189" i="7" a="1"/>
  <c r="FL189" i="7" s="1"/>
  <c r="FI193" i="7" a="1"/>
  <c r="FI193" i="7" s="1"/>
  <c r="FC198" i="7" a="1"/>
  <c r="FC198" i="7" s="1"/>
  <c r="FM201" i="7" a="1"/>
  <c r="FM201" i="7" s="1"/>
  <c r="FJ55" i="7" a="1"/>
  <c r="FJ55" i="7" s="1"/>
  <c r="EG126" i="7" a="1"/>
  <c r="EG126" i="7" s="1"/>
  <c r="EK138" i="7" a="1"/>
  <c r="EK138" i="7" s="1"/>
  <c r="EX146" i="7" a="1"/>
  <c r="EX146" i="7" s="1"/>
  <c r="DY156" i="7" a="1"/>
  <c r="DY156" i="7" s="1"/>
  <c r="FZ158" i="7" a="1"/>
  <c r="FZ158" i="7" s="1"/>
  <c r="EJ161" i="7" a="1"/>
  <c r="EJ161" i="7" s="1"/>
  <c r="FE163" i="7" a="1"/>
  <c r="FE163" i="7" s="1"/>
  <c r="EV166" i="7" a="1"/>
  <c r="EV166" i="7" s="1"/>
  <c r="FQ168" i="7" a="1"/>
  <c r="FQ168" i="7" s="1"/>
  <c r="FH171" i="7" a="1"/>
  <c r="FH171" i="7" s="1"/>
  <c r="DR174" i="7" a="1"/>
  <c r="DR174" i="7" s="1"/>
  <c r="EM176" i="7" a="1"/>
  <c r="EM176" i="7" s="1"/>
  <c r="EC179" i="7" a="1"/>
  <c r="EC179" i="7" s="1"/>
  <c r="EO117" i="7" a="1"/>
  <c r="EO117" i="7" s="1"/>
  <c r="EC135" i="7" a="1"/>
  <c r="EC135" i="7" s="1"/>
  <c r="FY143" i="7" a="1"/>
  <c r="FY143" i="7" s="1"/>
  <c r="FS150" i="7" a="1"/>
  <c r="FS150" i="7" s="1"/>
  <c r="EA155" i="7" a="1"/>
  <c r="EA155" i="7" s="1"/>
  <c r="FU166" i="7" a="1"/>
  <c r="FU166" i="7" s="1"/>
  <c r="FO180" i="7" a="1"/>
  <c r="FO180" i="7" s="1"/>
  <c r="FS184" i="7" a="1"/>
  <c r="FS184" i="7" s="1"/>
  <c r="FP188" i="7" a="1"/>
  <c r="FP188" i="7" s="1"/>
  <c r="FJ193" i="7" a="1"/>
  <c r="FJ193" i="7" s="1"/>
  <c r="FG197" i="7" a="1"/>
  <c r="FG197" i="7" s="1"/>
  <c r="FT126" i="7" a="1"/>
  <c r="FT126" i="7" s="1"/>
  <c r="EZ138" i="7" a="1"/>
  <c r="EZ138" i="7" s="1"/>
  <c r="FO99" i="7" a="1"/>
  <c r="FO99" i="7" s="1"/>
  <c r="EI108" i="7" a="1"/>
  <c r="EI108" i="7" s="1"/>
  <c r="DR130" i="7" a="1"/>
  <c r="DR130" i="7" s="1"/>
  <c r="DY142" i="7" a="1"/>
  <c r="DY142" i="7" s="1"/>
  <c r="DS149" i="7" a="1"/>
  <c r="DS149" i="7" s="1"/>
  <c r="FQ156" i="7" a="1"/>
  <c r="FQ156" i="7" s="1"/>
  <c r="FH159" i="7" a="1"/>
  <c r="FH159" i="7" s="1"/>
  <c r="DR162" i="7" a="1"/>
  <c r="DR162" i="7" s="1"/>
  <c r="FS164" i="7" a="1"/>
  <c r="FS164" i="7" s="1"/>
  <c r="EC167" i="7" a="1"/>
  <c r="EC167" i="7" s="1"/>
  <c r="EX169" i="7" a="1"/>
  <c r="EX169" i="7" s="1"/>
  <c r="EO172" i="7" a="1"/>
  <c r="EO172" i="7" s="1"/>
  <c r="FJ174" i="7" a="1"/>
  <c r="FJ174" i="7" s="1"/>
  <c r="EJ108" i="7" a="1"/>
  <c r="EJ108" i="7" s="1"/>
  <c r="EK140" i="7" a="1"/>
  <c r="EK140" i="7" s="1"/>
  <c r="FS149" i="7" a="1"/>
  <c r="FS149" i="7" s="1"/>
  <c r="EF158" i="7" a="1"/>
  <c r="EF158" i="7" s="1"/>
  <c r="DW66" i="7" a="1"/>
  <c r="DW66" i="7" s="1"/>
  <c r="DR139" i="7" a="1"/>
  <c r="DR139" i="7" s="1"/>
  <c r="DR148" i="7" a="1"/>
  <c r="DR148" i="7" s="1"/>
  <c r="DT157" i="7" a="1"/>
  <c r="DT157" i="7" s="1"/>
  <c r="FS127" i="7" a="1"/>
  <c r="FS127" i="7" s="1"/>
  <c r="EL140" i="7" a="1"/>
  <c r="EL140" i="7" s="1"/>
  <c r="EB155" i="7" a="1"/>
  <c r="EB155" i="7" s="1"/>
  <c r="EY67" i="7" a="1"/>
  <c r="EY67" i="7" s="1"/>
  <c r="EK135" i="7" a="1"/>
  <c r="EK135" i="7" s="1"/>
  <c r="EQ146" i="7" a="1"/>
  <c r="EQ146" i="7" s="1"/>
  <c r="EW151" i="7" a="1"/>
  <c r="EW151" i="7" s="1"/>
  <c r="EG157" i="7" a="1"/>
  <c r="EG157" i="7" s="1"/>
  <c r="FW90" i="7" a="1"/>
  <c r="FW90" i="7" s="1"/>
  <c r="EL136" i="7" a="1"/>
  <c r="EL136" i="7" s="1"/>
  <c r="EU146" i="7" a="1"/>
  <c r="EU146" i="7" s="1"/>
  <c r="FC73" i="7" a="1"/>
  <c r="FC73" i="7" s="1"/>
  <c r="DR142" i="7" a="1"/>
  <c r="DR142" i="7" s="1"/>
  <c r="EQ154" i="7" a="1"/>
  <c r="EQ154" i="7" s="1"/>
  <c r="FC161" i="7" a="1"/>
  <c r="FC161" i="7" s="1"/>
  <c r="EU167" i="7" a="1"/>
  <c r="EU167" i="7" s="1"/>
  <c r="FW172" i="7" a="1"/>
  <c r="FW172" i="7" s="1"/>
  <c r="DQ178" i="7" a="1"/>
  <c r="DQ178" i="7" s="1"/>
  <c r="EL181" i="7" a="1"/>
  <c r="EL181" i="7" s="1"/>
  <c r="EO185" i="7" a="1"/>
  <c r="EO185" i="7" s="1"/>
  <c r="ER189" i="7" a="1"/>
  <c r="ER189" i="7" s="1"/>
  <c r="EC193" i="7" a="1"/>
  <c r="EC193" i="7" s="1"/>
  <c r="FZ196" i="7" a="1"/>
  <c r="FZ196" i="7" s="1"/>
  <c r="EU107" i="7" a="1"/>
  <c r="EU107" i="7" s="1"/>
  <c r="DR143" i="7" a="1"/>
  <c r="DR143" i="7" s="1"/>
  <c r="DU156" i="7" a="1"/>
  <c r="DU156" i="7" s="1"/>
  <c r="EE164" i="7" a="1"/>
  <c r="EE164" i="7" s="1"/>
  <c r="EW169" i="7" a="1"/>
  <c r="EW169" i="7" s="1"/>
  <c r="DZ175" i="7" a="1"/>
  <c r="DZ175" i="7" s="1"/>
  <c r="EN180" i="7" a="1"/>
  <c r="EN180" i="7" s="1"/>
  <c r="EQ184" i="7" a="1"/>
  <c r="EQ184" i="7" s="1"/>
  <c r="EK188" i="7" a="1"/>
  <c r="EK188" i="7" s="1"/>
  <c r="EN192" i="7" a="1"/>
  <c r="EN192" i="7" s="1"/>
  <c r="FS195" i="7" a="1"/>
  <c r="FS195" i="7" s="1"/>
  <c r="EN129" i="7" a="1"/>
  <c r="EN129" i="7" s="1"/>
  <c r="FP146" i="7" a="1"/>
  <c r="FP146" i="7" s="1"/>
  <c r="EV157" i="7" a="1"/>
  <c r="EV157" i="7" s="1"/>
  <c r="FP163" i="7" a="1"/>
  <c r="FP163" i="7" s="1"/>
  <c r="EK168" i="7" a="1"/>
  <c r="EK168" i="7" s="1"/>
  <c r="EZ173" i="7" a="1"/>
  <c r="EZ173" i="7" s="1"/>
  <c r="DT178" i="7" a="1"/>
  <c r="DT178" i="7" s="1"/>
  <c r="DT182" i="7" a="1"/>
  <c r="DT182" i="7" s="1"/>
  <c r="FQ185" i="7" a="1"/>
  <c r="FQ185" i="7" s="1"/>
  <c r="FG111" i="7" a="1"/>
  <c r="FG111" i="7" s="1"/>
  <c r="FB139" i="7" a="1"/>
  <c r="FB139" i="7" s="1"/>
  <c r="EC155" i="7" a="1"/>
  <c r="EC155" i="7" s="1"/>
  <c r="EZ160" i="7" a="1"/>
  <c r="EZ160" i="7" s="1"/>
  <c r="DW167" i="7" a="1"/>
  <c r="DW167" i="7" s="1"/>
  <c r="EY172" i="7" a="1"/>
  <c r="EY172" i="7" s="1"/>
  <c r="ED178" i="7" a="1"/>
  <c r="ED178" i="7" s="1"/>
  <c r="EE181" i="7" a="1"/>
  <c r="EE181" i="7" s="1"/>
  <c r="EH185" i="7" a="1"/>
  <c r="EH185" i="7" s="1"/>
  <c r="FR111" i="7" a="1"/>
  <c r="FR111" i="7" s="1"/>
  <c r="FK141" i="7" a="1"/>
  <c r="FK141" i="7" s="1"/>
  <c r="EQ151" i="7" a="1"/>
  <c r="EQ151" i="7" s="1"/>
  <c r="EL160" i="7" a="1"/>
  <c r="EL160" i="7" s="1"/>
  <c r="ED139" i="7" a="1"/>
  <c r="ED139" i="7" s="1"/>
  <c r="FB154" i="7" a="1"/>
  <c r="FB154" i="7" s="1"/>
  <c r="EM160" i="7" a="1"/>
  <c r="EM160" i="7" s="1"/>
  <c r="DZ137" i="7" a="1"/>
  <c r="DZ137" i="7" s="1"/>
  <c r="EI150" i="7" a="1"/>
  <c r="EI150" i="7" s="1"/>
  <c r="DZ158" i="7" a="1"/>
  <c r="DZ158" i="7" s="1"/>
  <c r="EK164" i="7" a="1"/>
  <c r="EK164" i="7" s="1"/>
  <c r="DR170" i="7" a="1"/>
  <c r="DR170" i="7" s="1"/>
  <c r="ET175" i="7" a="1"/>
  <c r="ET175" i="7" s="1"/>
  <c r="FA180" i="7" a="1"/>
  <c r="FA180" i="7" s="1"/>
  <c r="FW183" i="7" a="1"/>
  <c r="FW183" i="7" s="1"/>
  <c r="FH187" i="7" a="1"/>
  <c r="FH187" i="7" s="1"/>
  <c r="FB152" i="7" a="1"/>
  <c r="FB152" i="7" s="1"/>
  <c r="DQ165" i="7" a="1"/>
  <c r="DQ165" i="7" s="1"/>
  <c r="EM170" i="7" a="1"/>
  <c r="EM170" i="7" s="1"/>
  <c r="EI176" i="7" a="1"/>
  <c r="EI176" i="7" s="1"/>
  <c r="FH180" i="7" a="1"/>
  <c r="FH180" i="7" s="1"/>
  <c r="FK186" i="7" a="1"/>
  <c r="FK186" i="7" s="1"/>
  <c r="EP191" i="7" a="1"/>
  <c r="EP191" i="7" s="1"/>
  <c r="FO195" i="7" a="1"/>
  <c r="FO195" i="7" s="1"/>
  <c r="EL200" i="7" a="1"/>
  <c r="EL200" i="7" s="1"/>
  <c r="EU203" i="7" a="1"/>
  <c r="EU203" i="7" s="1"/>
  <c r="FJ111" i="7" a="1"/>
  <c r="FJ111" i="7" s="1"/>
  <c r="DT120" i="7" a="1"/>
  <c r="DT120" i="7" s="1"/>
  <c r="EM128" i="7" a="1"/>
  <c r="EM128" i="7" s="1"/>
  <c r="DR95" i="7" a="1"/>
  <c r="DR95" i="7" s="1"/>
  <c r="EE110" i="7" a="1"/>
  <c r="EE110" i="7" s="1"/>
  <c r="FY128" i="7" a="1"/>
  <c r="FY128" i="7" s="1"/>
  <c r="FE64" i="7" a="1"/>
  <c r="FE64" i="7" s="1"/>
  <c r="FO102" i="7" a="1"/>
  <c r="FO102" i="7" s="1"/>
  <c r="EH115" i="7" a="1"/>
  <c r="EH115" i="7" s="1"/>
  <c r="EO122" i="7" a="1"/>
  <c r="EO122" i="7" s="1"/>
  <c r="EO78" i="7" a="1"/>
  <c r="EO78" i="7" s="1"/>
  <c r="EP108" i="7" a="1"/>
  <c r="EP108" i="7" s="1"/>
  <c r="GA125" i="7" a="1"/>
  <c r="GA125" i="7" s="1"/>
  <c r="EX60" i="7" a="1"/>
  <c r="EX60" i="7" s="1"/>
  <c r="EV98" i="7" a="1"/>
  <c r="EV98" i="7" s="1"/>
  <c r="FL98" i="7" a="1"/>
  <c r="FL98" i="7" s="1"/>
  <c r="EM113" i="7" a="1"/>
  <c r="EM113" i="7" s="1"/>
  <c r="FV120" i="7" a="1"/>
  <c r="FV120" i="7" s="1"/>
  <c r="EG71" i="7" a="1"/>
  <c r="EG71" i="7" s="1"/>
  <c r="EE118" i="7" a="1"/>
  <c r="EE118" i="7" s="1"/>
  <c r="DY34" i="7" a="1"/>
  <c r="DY34" i="7" s="1"/>
  <c r="DS111" i="7" a="1"/>
  <c r="DS111" i="7" s="1"/>
  <c r="FP81" i="7" a="1"/>
  <c r="FP81" i="7" s="1"/>
  <c r="DU119" i="7" a="1"/>
  <c r="DU119" i="7" s="1"/>
  <c r="DU96" i="7" a="1"/>
  <c r="DU96" i="7" s="1"/>
  <c r="FU119" i="7" a="1"/>
  <c r="FU119" i="7" s="1"/>
  <c r="EE80" i="7" a="1"/>
  <c r="EE80" i="7" s="1"/>
  <c r="DY96" i="7" a="1"/>
  <c r="DY96" i="7" s="1"/>
  <c r="FG123" i="7" a="1"/>
  <c r="FG123" i="7" s="1"/>
  <c r="FD138" i="7" a="1"/>
  <c r="FD138" i="7" s="1"/>
  <c r="FF103" i="7" a="1"/>
  <c r="FF103" i="7" s="1"/>
  <c r="FY130" i="7" a="1"/>
  <c r="FY130" i="7" s="1"/>
  <c r="EH103" i="7" a="1"/>
  <c r="EH103" i="7" s="1"/>
  <c r="DY132" i="7" a="1"/>
  <c r="DY132" i="7" s="1"/>
  <c r="FF111" i="7" a="1"/>
  <c r="FF111" i="7" s="1"/>
  <c r="FY132" i="7" a="1"/>
  <c r="FY132" i="7" s="1"/>
  <c r="FZ97" i="7" a="1"/>
  <c r="FZ97" i="7" s="1"/>
  <c r="FB121" i="7" a="1"/>
  <c r="FB121" i="7" s="1"/>
  <c r="FH95" i="7" a="1"/>
  <c r="FH95" i="7" s="1"/>
  <c r="FQ136" i="7" a="1"/>
  <c r="FQ136" i="7" s="1"/>
  <c r="EY143" i="7" a="1"/>
  <c r="EY143" i="7" s="1"/>
  <c r="EY149" i="7" a="1"/>
  <c r="EY149" i="7" s="1"/>
  <c r="ER154" i="7" a="1"/>
  <c r="ER154" i="7" s="1"/>
  <c r="FO123" i="7" a="1"/>
  <c r="FO123" i="7" s="1"/>
  <c r="EG100" i="7" a="1"/>
  <c r="EG100" i="7" s="1"/>
  <c r="EN137" i="7" a="1"/>
  <c r="EN137" i="7" s="1"/>
  <c r="DQ144" i="7" a="1"/>
  <c r="DQ144" i="7" s="1"/>
  <c r="DQ150" i="7" a="1"/>
  <c r="DQ150" i="7" s="1"/>
  <c r="FU154" i="7" a="1"/>
  <c r="FU154" i="7" s="1"/>
  <c r="DQ133" i="7" a="1"/>
  <c r="DQ133" i="7" s="1"/>
  <c r="FN116" i="7" a="1"/>
  <c r="FN116" i="7" s="1"/>
  <c r="FP120" i="7" a="1"/>
  <c r="FP120" i="7" s="1"/>
  <c r="FP137" i="7" a="1"/>
  <c r="FP137" i="7" s="1"/>
  <c r="DT144" i="7" a="1"/>
  <c r="DT144" i="7" s="1"/>
  <c r="FC148" i="7" a="1"/>
  <c r="FC148" i="7" s="1"/>
  <c r="FS114" i="7" a="1"/>
  <c r="FS114" i="7" s="1"/>
  <c r="FH141" i="7" a="1"/>
  <c r="FH141" i="7" s="1"/>
  <c r="EH157" i="7" a="1"/>
  <c r="EH157" i="7" s="1"/>
  <c r="EK162" i="7" a="1"/>
  <c r="EK162" i="7" s="1"/>
  <c r="FF164" i="7" a="1"/>
  <c r="FF164" i="7" s="1"/>
  <c r="EW167" i="7" a="1"/>
  <c r="EW167" i="7" s="1"/>
  <c r="FR169" i="7" a="1"/>
  <c r="FR169" i="7" s="1"/>
  <c r="FI172" i="7" a="1"/>
  <c r="FI172" i="7" s="1"/>
  <c r="DS175" i="7" a="1"/>
  <c r="DS175" i="7" s="1"/>
  <c r="EN177" i="7" a="1"/>
  <c r="EN177" i="7" s="1"/>
  <c r="EB125" i="7" a="1"/>
  <c r="EB125" i="7" s="1"/>
  <c r="FU136" i="7" a="1"/>
  <c r="FU136" i="7" s="1"/>
  <c r="EB146" i="7" a="1"/>
  <c r="EB146" i="7" s="1"/>
  <c r="EW152" i="7" a="1"/>
  <c r="EW152" i="7" s="1"/>
  <c r="EQ155" i="7" a="1"/>
  <c r="EQ155" i="7" s="1"/>
  <c r="FU170" i="7" a="1"/>
  <c r="FU170" i="7" s="1"/>
  <c r="DR181" i="7" a="1"/>
  <c r="DR181" i="7" s="1"/>
  <c r="FW185" i="7" a="1"/>
  <c r="FW185" i="7" s="1"/>
  <c r="GA189" i="7" a="1"/>
  <c r="GA189" i="7" s="1"/>
  <c r="FX193" i="7" a="1"/>
  <c r="FX193" i="7" s="1"/>
  <c r="FR198" i="7" a="1"/>
  <c r="FR198" i="7" s="1"/>
  <c r="FT201" i="7" a="1"/>
  <c r="FT201" i="7" s="1"/>
  <c r="GA70" i="7" a="1"/>
  <c r="GA70" i="7" s="1"/>
  <c r="FI128" i="7" a="1"/>
  <c r="FI128" i="7" s="1"/>
  <c r="EV138" i="7" a="1"/>
  <c r="EV138" i="7" s="1"/>
  <c r="EF147" i="7" a="1"/>
  <c r="EF147" i="7" s="1"/>
  <c r="EG156" i="7" a="1"/>
  <c r="EG156" i="7" s="1"/>
  <c r="DW159" i="7" a="1"/>
  <c r="DW159" i="7" s="1"/>
  <c r="ER161" i="7" a="1"/>
  <c r="ER161" i="7" s="1"/>
  <c r="FM163" i="7" a="1"/>
  <c r="FM163" i="7" s="1"/>
  <c r="FD166" i="7" a="1"/>
  <c r="FD166" i="7" s="1"/>
  <c r="FY168" i="7" a="1"/>
  <c r="FY168" i="7" s="1"/>
  <c r="FP171" i="7" a="1"/>
  <c r="FP171" i="7" s="1"/>
  <c r="DZ174" i="7" a="1"/>
  <c r="DZ174" i="7" s="1"/>
  <c r="EU176" i="7" a="1"/>
  <c r="EU176" i="7" s="1"/>
  <c r="EK179" i="7" a="1"/>
  <c r="EK179" i="7" s="1"/>
  <c r="FP118" i="7" a="1"/>
  <c r="FP118" i="7" s="1"/>
  <c r="DR136" i="7" a="1"/>
  <c r="DR136" i="7" s="1"/>
  <c r="EU144" i="7" a="1"/>
  <c r="EU144" i="7" s="1"/>
  <c r="FA151" i="7" a="1"/>
  <c r="FA151" i="7" s="1"/>
  <c r="ES155" i="7" a="1"/>
  <c r="ES155" i="7" s="1"/>
  <c r="FG167" i="7" a="1"/>
  <c r="FG167" i="7" s="1"/>
  <c r="DS181" i="7" a="1"/>
  <c r="DS181" i="7" s="1"/>
  <c r="DW185" i="7" a="1"/>
  <c r="DW185" i="7" s="1"/>
  <c r="DT189" i="7" a="1"/>
  <c r="DT189" i="7" s="1"/>
  <c r="FY193" i="7" a="1"/>
  <c r="FY193" i="7" s="1"/>
  <c r="FV197" i="7" a="1"/>
  <c r="FV197" i="7" s="1"/>
  <c r="EK127" i="7" a="1"/>
  <c r="EK127" i="7" s="1"/>
  <c r="FL138" i="7" a="1"/>
  <c r="FL138" i="7" s="1"/>
  <c r="EE104" i="7" a="1"/>
  <c r="EE104" i="7" s="1"/>
  <c r="ES109" i="7" a="1"/>
  <c r="ES109" i="7" s="1"/>
  <c r="EP130" i="7" a="1"/>
  <c r="EP130" i="7" s="1"/>
  <c r="EI142" i="7" a="1"/>
  <c r="EI142" i="7" s="1"/>
  <c r="EC149" i="7" a="1"/>
  <c r="EC149" i="7" s="1"/>
  <c r="FY156" i="7" a="1"/>
  <c r="FY156" i="7" s="1"/>
  <c r="FP159" i="7" a="1"/>
  <c r="FP159" i="7" s="1"/>
  <c r="DZ162" i="7" a="1"/>
  <c r="DZ162" i="7" s="1"/>
  <c r="GA164" i="7" a="1"/>
  <c r="GA164" i="7" s="1"/>
  <c r="EK167" i="7" a="1"/>
  <c r="EK167" i="7" s="1"/>
  <c r="FF169" i="7" a="1"/>
  <c r="FF169" i="7" s="1"/>
  <c r="EW172" i="7" a="1"/>
  <c r="EW172" i="7" s="1"/>
  <c r="FR174" i="7" a="1"/>
  <c r="FR174" i="7" s="1"/>
  <c r="FT113" i="7" a="1"/>
  <c r="FT113" i="7" s="1"/>
  <c r="DQ141" i="7" a="1"/>
  <c r="DQ141" i="7" s="1"/>
  <c r="DY150" i="7" a="1"/>
  <c r="DY150" i="7" s="1"/>
  <c r="EQ158" i="7" a="1"/>
  <c r="EQ158" i="7" s="1"/>
  <c r="FM100" i="7" a="1"/>
  <c r="FM100" i="7" s="1"/>
  <c r="EN139" i="7" a="1"/>
  <c r="EN139" i="7" s="1"/>
  <c r="EI148" i="7" a="1"/>
  <c r="EI148" i="7" s="1"/>
  <c r="EF157" i="7" a="1"/>
  <c r="EF157" i="7" s="1"/>
  <c r="EZ128" i="7" a="1"/>
  <c r="EZ128" i="7" s="1"/>
  <c r="FH140" i="7" a="1"/>
  <c r="FH140" i="7" s="1"/>
  <c r="EO155" i="7" a="1"/>
  <c r="EO155" i="7" s="1"/>
  <c r="FA96" i="7" a="1"/>
  <c r="FA96" i="7" s="1"/>
  <c r="FE136" i="7" a="1"/>
  <c r="FE136" i="7" s="1"/>
  <c r="FH146" i="7" a="1"/>
  <c r="FH146" i="7" s="1"/>
  <c r="FP151" i="7" a="1"/>
  <c r="FP151" i="7" s="1"/>
  <c r="DV158" i="7" a="1"/>
  <c r="DV158" i="7" s="1"/>
  <c r="EH102" i="7" a="1"/>
  <c r="EH102" i="7" s="1"/>
  <c r="EA138" i="7" a="1"/>
  <c r="EA138" i="7" s="1"/>
  <c r="DR147" i="7" a="1"/>
  <c r="DR147" i="7" s="1"/>
  <c r="EL103" i="7" a="1"/>
  <c r="EL103" i="7" s="1"/>
  <c r="EU142" i="7" a="1"/>
  <c r="EU142" i="7" s="1"/>
  <c r="DV155" i="7" a="1"/>
  <c r="DV155" i="7" s="1"/>
  <c r="DS162" i="7" a="1"/>
  <c r="DS162" i="7" s="1"/>
  <c r="DV168" i="7" a="1"/>
  <c r="DV168" i="7" s="1"/>
  <c r="EX173" i="7" a="1"/>
  <c r="EX173" i="7" s="1"/>
  <c r="EM178" i="7" a="1"/>
  <c r="EM178" i="7" s="1"/>
  <c r="FC181" i="7" a="1"/>
  <c r="FC181" i="7" s="1"/>
  <c r="FF185" i="7" a="1"/>
  <c r="FF185" i="7" s="1"/>
  <c r="FA189" i="7" a="1"/>
  <c r="FA189" i="7" s="1"/>
  <c r="EL193" i="7" a="1"/>
  <c r="EL193" i="7" s="1"/>
  <c r="DX197" i="7" a="1"/>
  <c r="DX197" i="7" s="1"/>
  <c r="FR113" i="7" a="1"/>
  <c r="FR113" i="7" s="1"/>
  <c r="EJ144" i="7" a="1"/>
  <c r="EJ144" i="7" s="1"/>
  <c r="EK156" i="7" a="1"/>
  <c r="EK156" i="7" s="1"/>
  <c r="ES164" i="7" a="1"/>
  <c r="ES164" i="7" s="1"/>
  <c r="FI169" i="7" a="1"/>
  <c r="FI169" i="7" s="1"/>
  <c r="FZ175" i="7" a="1"/>
  <c r="FZ175" i="7" s="1"/>
  <c r="FE180" i="7" a="1"/>
  <c r="FE180" i="7" s="1"/>
  <c r="EZ184" i="7" a="1"/>
  <c r="EZ184" i="7" s="1"/>
  <c r="FC188" i="7" a="1"/>
  <c r="FC188" i="7" s="1"/>
  <c r="EW192" i="7" a="1"/>
  <c r="EW192" i="7" s="1"/>
  <c r="DZ196" i="7" a="1"/>
  <c r="DZ196" i="7" s="1"/>
  <c r="EV130" i="7" a="1"/>
  <c r="EV130" i="7" s="1"/>
  <c r="EU148" i="7" a="1"/>
  <c r="EU148" i="7" s="1"/>
  <c r="FL157" i="7" a="1"/>
  <c r="FL157" i="7" s="1"/>
  <c r="DQ164" i="7" a="1"/>
  <c r="DQ164" i="7" s="1"/>
  <c r="EW168" i="7" a="1"/>
  <c r="EW168" i="7" s="1"/>
  <c r="FM173" i="7" a="1"/>
  <c r="FM173" i="7" s="1"/>
  <c r="EN178" i="7" a="1"/>
  <c r="EN178" i="7" s="1"/>
  <c r="EK182" i="7" a="1"/>
  <c r="EK182" i="7" s="1"/>
  <c r="DW186" i="7" a="1"/>
  <c r="DW186" i="7" s="1"/>
  <c r="FN114" i="7" a="1"/>
  <c r="FN114" i="7" s="1"/>
  <c r="FE140" i="7" a="1"/>
  <c r="FE140" i="7" s="1"/>
  <c r="DV156" i="7" a="1"/>
  <c r="DV156" i="7" s="1"/>
  <c r="GA160" i="7" a="1"/>
  <c r="GA160" i="7" s="1"/>
  <c r="FX167" i="7" a="1"/>
  <c r="FX167" i="7" s="1"/>
  <c r="EO173" i="7" a="1"/>
  <c r="EO173" i="7" s="1"/>
  <c r="EX178" i="7" a="1"/>
  <c r="EX178" i="7" s="1"/>
  <c r="FW181" i="7" a="1"/>
  <c r="FW181" i="7" s="1"/>
  <c r="EY185" i="7" a="1"/>
  <c r="EY185" i="7" s="1"/>
  <c r="DX117" i="7" a="1"/>
  <c r="DX117" i="7" s="1"/>
  <c r="DZ142" i="7" a="1"/>
  <c r="DZ142" i="7" s="1"/>
  <c r="EA152" i="7" a="1"/>
  <c r="EA152" i="7" s="1"/>
  <c r="FA160" i="7" a="1"/>
  <c r="FA160" i="7" s="1"/>
  <c r="FC139" i="7" a="1"/>
  <c r="FC139" i="7" s="1"/>
  <c r="FV154" i="7" a="1"/>
  <c r="FV154" i="7" s="1"/>
  <c r="ES83" i="7" a="1"/>
  <c r="ES83" i="7" s="1"/>
  <c r="FB137" i="7" a="1"/>
  <c r="FB137" i="7" s="1"/>
  <c r="FW151" i="7" a="1"/>
  <c r="FW151" i="7" s="1"/>
  <c r="FG158" i="7" a="1"/>
  <c r="FG158" i="7" s="1"/>
  <c r="FL164" i="7" a="1"/>
  <c r="FL164" i="7" s="1"/>
  <c r="EC170" i="7" a="1"/>
  <c r="EC170" i="7" s="1"/>
  <c r="FE175" i="7" a="1"/>
  <c r="FE175" i="7" s="1"/>
  <c r="FR180" i="7" a="1"/>
  <c r="FR180" i="7" s="1"/>
  <c r="EC184" i="7" a="1"/>
  <c r="EC184" i="7" s="1"/>
  <c r="EX81" i="7" a="1"/>
  <c r="EX81" i="7" s="1"/>
  <c r="EC153" i="7" a="1"/>
  <c r="EC153" i="7" s="1"/>
  <c r="EM165" i="7" a="1"/>
  <c r="EM165" i="7" s="1"/>
  <c r="FF170" i="7" a="1"/>
  <c r="FF170" i="7" s="1"/>
  <c r="ED177" i="7" a="1"/>
  <c r="ED177" i="7" s="1"/>
  <c r="DW181" i="7" a="1"/>
  <c r="DW181" i="7" s="1"/>
  <c r="EP187" i="7" a="1"/>
  <c r="EP187" i="7" s="1"/>
  <c r="FA191" i="7" a="1"/>
  <c r="FA191" i="7" s="1"/>
  <c r="EI196" i="7" a="1"/>
  <c r="EI196" i="7" s="1"/>
  <c r="ET200" i="7" a="1"/>
  <c r="ET200" i="7" s="1"/>
  <c r="FJ203" i="7" a="1"/>
  <c r="FJ203" i="7" s="1"/>
  <c r="EU114" i="7" a="1"/>
  <c r="EU114" i="7" s="1"/>
  <c r="EB120" i="7" a="1"/>
  <c r="EB120" i="7" s="1"/>
  <c r="FL130" i="7" a="1"/>
  <c r="FL130" i="7" s="1"/>
  <c r="EH95" i="7" a="1"/>
  <c r="EH95" i="7" s="1"/>
  <c r="FK113" i="7" a="1"/>
  <c r="FK113" i="7" s="1"/>
  <c r="DV129" i="7" a="1"/>
  <c r="DV129" i="7" s="1"/>
  <c r="DQ81" i="7" a="1"/>
  <c r="DQ81" i="7" s="1"/>
  <c r="EA103" i="7" a="1"/>
  <c r="EA103" i="7" s="1"/>
  <c r="FI116" i="7" a="1"/>
  <c r="FI116" i="7" s="1"/>
  <c r="FD122" i="7" a="1"/>
  <c r="FD122" i="7" s="1"/>
  <c r="DX91" i="7" a="1"/>
  <c r="DX91" i="7" s="1"/>
  <c r="EL109" i="7" a="1"/>
  <c r="EL109" i="7" s="1"/>
  <c r="EV128" i="7" a="1"/>
  <c r="EV128" i="7" s="1"/>
  <c r="DT62" i="7" a="1"/>
  <c r="DT62" i="7" s="1"/>
  <c r="EW68" i="7" a="1"/>
  <c r="EW68" i="7" s="1"/>
  <c r="EN99" i="7" a="1"/>
  <c r="EN99" i="7" s="1"/>
  <c r="EL115" i="7" a="1"/>
  <c r="EL115" i="7" s="1"/>
  <c r="DS121" i="7" a="1"/>
  <c r="DS121" i="7" s="1"/>
  <c r="DX94" i="7" a="1"/>
  <c r="DX94" i="7" s="1"/>
  <c r="DT119" i="7" a="1"/>
  <c r="DT119" i="7" s="1"/>
  <c r="FU77" i="7" a="1"/>
  <c r="FU77" i="7" s="1"/>
  <c r="EI111" i="7" a="1"/>
  <c r="EI111" i="7" s="1"/>
  <c r="FK93" i="7" a="1"/>
  <c r="FK93" i="7" s="1"/>
  <c r="EG119" i="7" a="1"/>
  <c r="EG119" i="7" s="1"/>
  <c r="FG102" i="7" a="1"/>
  <c r="FG102" i="7" s="1"/>
  <c r="EV120" i="7" a="1"/>
  <c r="EV120" i="7" s="1"/>
  <c r="DZ96" i="7" a="1"/>
  <c r="DZ96" i="7" s="1"/>
  <c r="FD96" i="7" a="1"/>
  <c r="FD96" i="7" s="1"/>
  <c r="FP128" i="7" a="1"/>
  <c r="FP128" i="7" s="1"/>
  <c r="FK138" i="7" a="1"/>
  <c r="FK138" i="7" s="1"/>
  <c r="EW111" i="7" a="1"/>
  <c r="EW111" i="7" s="1"/>
  <c r="EJ131" i="7" a="1"/>
  <c r="EJ131" i="7" s="1"/>
  <c r="FP113" i="7" a="1"/>
  <c r="FP113" i="7" s="1"/>
  <c r="ET132" i="7" a="1"/>
  <c r="ET132" i="7" s="1"/>
  <c r="EJ117" i="7" a="1"/>
  <c r="EJ117" i="7" s="1"/>
  <c r="EH133" i="7" a="1"/>
  <c r="EH133" i="7" s="1"/>
  <c r="ED81" i="7" a="1"/>
  <c r="ED81" i="7" s="1"/>
  <c r="FW121" i="7" a="1"/>
  <c r="FW121" i="7" s="1"/>
  <c r="FV112" i="7" a="1"/>
  <c r="FV112" i="7" s="1"/>
  <c r="FZ136" i="7" a="1"/>
  <c r="FZ136" i="7" s="1"/>
  <c r="FM144" i="7" a="1"/>
  <c r="FM144" i="7" s="1"/>
  <c r="FF149" i="7" a="1"/>
  <c r="FF149" i="7" s="1"/>
  <c r="FF155" i="7" a="1"/>
  <c r="FF155" i="7" s="1"/>
  <c r="DW124" i="7" a="1"/>
  <c r="DW124" i="7" s="1"/>
  <c r="DR118" i="7" a="1"/>
  <c r="DR118" i="7" s="1"/>
  <c r="EV137" i="7" a="1"/>
  <c r="EV137" i="7" s="1"/>
  <c r="EE145" i="7" a="1"/>
  <c r="EE145" i="7" s="1"/>
  <c r="DX150" i="7" a="1"/>
  <c r="DX150" i="7" s="1"/>
  <c r="EJ100" i="7" a="1"/>
  <c r="EJ100" i="7" s="1"/>
  <c r="ED133" i="7" a="1"/>
  <c r="ED133" i="7" s="1"/>
  <c r="DV118" i="7" a="1"/>
  <c r="DV118" i="7" s="1"/>
  <c r="DQ126" i="7" a="1"/>
  <c r="DQ126" i="7" s="1"/>
  <c r="FX137" i="7" a="1"/>
  <c r="FX137" i="7" s="1"/>
  <c r="EA144" i="7" a="1"/>
  <c r="EA144" i="7" s="1"/>
  <c r="FJ148" i="7" a="1"/>
  <c r="FJ148" i="7" s="1"/>
  <c r="EB117" i="7" a="1"/>
  <c r="EB117" i="7" s="1"/>
  <c r="EU145" i="7" a="1"/>
  <c r="EU145" i="7" s="1"/>
  <c r="EP157" i="7" a="1"/>
  <c r="EP157" i="7" s="1"/>
  <c r="ET162" i="7" a="1"/>
  <c r="ET162" i="7" s="1"/>
  <c r="EJ165" i="7" a="1"/>
  <c r="EJ165" i="7" s="1"/>
  <c r="FE167" i="7" a="1"/>
  <c r="FE167" i="7" s="1"/>
  <c r="FZ169" i="7" a="1"/>
  <c r="FZ169" i="7" s="1"/>
  <c r="FQ172" i="7" a="1"/>
  <c r="FQ172" i="7" s="1"/>
  <c r="EA175" i="7" a="1"/>
  <c r="EA175" i="7" s="1"/>
  <c r="FZ103" i="7" a="1"/>
  <c r="FZ103" i="7" s="1"/>
  <c r="FI125" i="7" a="1"/>
  <c r="FI125" i="7" s="1"/>
  <c r="DV137" i="7" a="1"/>
  <c r="DV137" i="7" s="1"/>
  <c r="FI146" i="7" a="1"/>
  <c r="FI146" i="7" s="1"/>
  <c r="FH152" i="7" a="1"/>
  <c r="FH152" i="7" s="1"/>
  <c r="FG157" i="7" a="1"/>
  <c r="FG157" i="7" s="1"/>
  <c r="FG171" i="7" a="1"/>
  <c r="FG171" i="7" s="1"/>
  <c r="EG181" i="7" a="1"/>
  <c r="EG181" i="7" s="1"/>
  <c r="EA186" i="7" a="1"/>
  <c r="EA186" i="7" s="1"/>
  <c r="DX190" i="7" a="1"/>
  <c r="DX190" i="7" s="1"/>
  <c r="DR195" i="7" a="1"/>
  <c r="DR195" i="7" s="1"/>
  <c r="DV199" i="7" a="1"/>
  <c r="DV199" i="7" s="1"/>
  <c r="GA201" i="7" a="1"/>
  <c r="GA201" i="7" s="1"/>
  <c r="FB77" i="7" a="1"/>
  <c r="FB77" i="7" s="1"/>
  <c r="DT129" i="7" a="1"/>
  <c r="DT129" i="7" s="1"/>
  <c r="FA140" i="7" a="1"/>
  <c r="FA140" i="7" s="1"/>
  <c r="EP147" i="7" a="1"/>
  <c r="EP147" i="7" s="1"/>
  <c r="EO156" i="7" a="1"/>
  <c r="EO156" i="7" s="1"/>
  <c r="EF159" i="7" a="1"/>
  <c r="EF159" i="7" s="1"/>
  <c r="FA161" i="7" a="1"/>
  <c r="FA161" i="7" s="1"/>
  <c r="EQ164" i="7" a="1"/>
  <c r="EQ164" i="7" s="1"/>
  <c r="FL166" i="7" a="1"/>
  <c r="FL166" i="7" s="1"/>
  <c r="DV169" i="7" a="1"/>
  <c r="DV169" i="7" s="1"/>
  <c r="FX171" i="7" a="1"/>
  <c r="FX171" i="7" s="1"/>
  <c r="EH174" i="7" a="1"/>
  <c r="EH174" i="7" s="1"/>
  <c r="DY177" i="7" a="1"/>
  <c r="DY177" i="7" s="1"/>
  <c r="ET179" i="7" a="1"/>
  <c r="ET179" i="7" s="1"/>
  <c r="FD119" i="7" a="1"/>
  <c r="FD119" i="7" s="1"/>
  <c r="EF136" i="7" a="1"/>
  <c r="EF136" i="7" s="1"/>
  <c r="FE144" i="7" a="1"/>
  <c r="FE144" i="7" s="1"/>
  <c r="EX152" i="7" a="1"/>
  <c r="EX152" i="7" s="1"/>
  <c r="FB155" i="7" a="1"/>
  <c r="FB155" i="7" s="1"/>
  <c r="ES168" i="7" a="1"/>
  <c r="ES168" i="7" s="1"/>
  <c r="EH181" i="7" a="1"/>
  <c r="EH181" i="7" s="1"/>
  <c r="EE185" i="7" a="1"/>
  <c r="EE185" i="7" s="1"/>
  <c r="DY190" i="7" a="1"/>
  <c r="DY190" i="7" s="1"/>
  <c r="EC194" i="7" a="1"/>
  <c r="EC194" i="7" s="1"/>
  <c r="DZ198" i="7" a="1"/>
  <c r="DZ198" i="7" s="1"/>
  <c r="FR127" i="7" a="1"/>
  <c r="FR127" i="7" s="1"/>
  <c r="EK139" i="7" a="1"/>
  <c r="EK139" i="7" s="1"/>
  <c r="FB73" i="7" a="1"/>
  <c r="FB73" i="7" s="1"/>
  <c r="FF110" i="7" a="1"/>
  <c r="FF110" i="7" s="1"/>
  <c r="EF131" i="7" a="1"/>
  <c r="EF131" i="7" s="1"/>
  <c r="FP142" i="7" a="1"/>
  <c r="FP142" i="7" s="1"/>
  <c r="FV149" i="7" a="1"/>
  <c r="FV149" i="7" s="1"/>
  <c r="FC157" i="7" a="1"/>
  <c r="FC157" i="7" s="1"/>
  <c r="FX159" i="7" a="1"/>
  <c r="FX159" i="7" s="1"/>
  <c r="EH162" i="7" a="1"/>
  <c r="EH162" i="7" s="1"/>
  <c r="DY165" i="7" a="1"/>
  <c r="DY165" i="7" s="1"/>
  <c r="ET167" i="7" a="1"/>
  <c r="ET167" i="7" s="1"/>
  <c r="EJ170" i="7" a="1"/>
  <c r="EJ170" i="7" s="1"/>
  <c r="FE172" i="7" a="1"/>
  <c r="FE172" i="7" s="1"/>
  <c r="FZ174" i="7" a="1"/>
  <c r="FZ174" i="7" s="1"/>
  <c r="EI118" i="7" a="1"/>
  <c r="EI118" i="7" s="1"/>
  <c r="EH141" i="7" a="1"/>
  <c r="EH141" i="7" s="1"/>
  <c r="FL151" i="7" a="1"/>
  <c r="FL151" i="7" s="1"/>
  <c r="EG159" i="7" a="1"/>
  <c r="EG159" i="7" s="1"/>
  <c r="FC112" i="7" a="1"/>
  <c r="FC112" i="7" s="1"/>
  <c r="DR141" i="7" a="1"/>
  <c r="DR141" i="7" s="1"/>
  <c r="EX148" i="7" a="1"/>
  <c r="EX148" i="7" s="1"/>
  <c r="DT159" i="7" a="1"/>
  <c r="DT159" i="7" s="1"/>
  <c r="EH129" i="7" a="1"/>
  <c r="EH129" i="7" s="1"/>
  <c r="FE141" i="7" a="1"/>
  <c r="FE141" i="7" s="1"/>
  <c r="EE156" i="7" a="1"/>
  <c r="EE156" i="7" s="1"/>
  <c r="EX104" i="7" a="1"/>
  <c r="EX104" i="7" s="1"/>
  <c r="FG137" i="7" a="1"/>
  <c r="FG137" i="7" s="1"/>
  <c r="EG147" i="7" a="1"/>
  <c r="EG147" i="7" s="1"/>
  <c r="FA152" i="7" a="1"/>
  <c r="FA152" i="7" s="1"/>
  <c r="EX87" i="7" a="1"/>
  <c r="EX87" i="7" s="1"/>
  <c r="FO104" i="7" a="1"/>
  <c r="FO104" i="7" s="1"/>
  <c r="EV139" i="7" a="1"/>
  <c r="EV139" i="7" s="1"/>
  <c r="EI147" i="7" a="1"/>
  <c r="EI147" i="7" s="1"/>
  <c r="FW110" i="7" a="1"/>
  <c r="FW110" i="7" s="1"/>
  <c r="EN143" i="7" a="1"/>
  <c r="EN143" i="7" s="1"/>
  <c r="ET155" i="7" a="1"/>
  <c r="ET155" i="7" s="1"/>
  <c r="EG162" i="7" a="1"/>
  <c r="EG162" i="7" s="1"/>
  <c r="EH168" i="7" a="1"/>
  <c r="EH168" i="7" s="1"/>
  <c r="FJ173" i="7" a="1"/>
  <c r="FJ173" i="7" s="1"/>
  <c r="FF178" i="7" a="1"/>
  <c r="FF178" i="7" s="1"/>
  <c r="DS182" i="7" a="1"/>
  <c r="DS182" i="7" s="1"/>
  <c r="FO185" i="7" a="1"/>
  <c r="FO185" i="7" s="1"/>
  <c r="FR189" i="7" a="1"/>
  <c r="FR189" i="7" s="1"/>
  <c r="FD193" i="7" a="1"/>
  <c r="FD193" i="7" s="1"/>
  <c r="FP197" i="7" a="1"/>
  <c r="FP197" i="7" s="1"/>
  <c r="DX119" i="7" a="1"/>
  <c r="DX119" i="7" s="1"/>
  <c r="FY145" i="7" a="1"/>
  <c r="FY145" i="7" s="1"/>
  <c r="FB156" i="7" a="1"/>
  <c r="FB156" i="7" s="1"/>
  <c r="FE164" i="7" a="1"/>
  <c r="FE164" i="7" s="1"/>
  <c r="EX170" i="7" a="1"/>
  <c r="EX170" i="7" s="1"/>
  <c r="EA176" i="7" a="1"/>
  <c r="EA176" i="7" s="1"/>
  <c r="DU181" i="7" a="1"/>
  <c r="DU181" i="7" s="1"/>
  <c r="FQ184" i="7" a="1"/>
  <c r="FQ184" i="7" s="1"/>
  <c r="FT188" i="7" a="1"/>
  <c r="FT188" i="7" s="1"/>
  <c r="FF192" i="7" a="1"/>
  <c r="FF192" i="7" s="1"/>
  <c r="EQ196" i="7" a="1"/>
  <c r="EQ196" i="7" s="1"/>
  <c r="FG131" i="7" a="1"/>
  <c r="FG131" i="7" s="1"/>
  <c r="EP151" i="7" a="1"/>
  <c r="EP151" i="7" s="1"/>
  <c r="DR158" i="7" a="1"/>
  <c r="DR158" i="7" s="1"/>
  <c r="EF164" i="7" a="1"/>
  <c r="EF164" i="7" s="1"/>
  <c r="DY169" i="7" a="1"/>
  <c r="DY169" i="7" s="1"/>
  <c r="FY173" i="7" a="1"/>
  <c r="FY173" i="7" s="1"/>
  <c r="FS178" i="7" a="1"/>
  <c r="FS178" i="7" s="1"/>
  <c r="EU182" i="7" a="1"/>
  <c r="EU182" i="7" s="1"/>
  <c r="EF186" i="7" a="1"/>
  <c r="EF186" i="7" s="1"/>
  <c r="FO116" i="7" a="1"/>
  <c r="FO116" i="7" s="1"/>
  <c r="FD142" i="7" a="1"/>
  <c r="FD142" i="7" s="1"/>
  <c r="EM156" i="7" a="1"/>
  <c r="EM156" i="7" s="1"/>
  <c r="ED161" i="7" a="1"/>
  <c r="ED161" i="7" s="1"/>
  <c r="DY168" i="7" a="1"/>
  <c r="DY168" i="7" s="1"/>
  <c r="FA173" i="7" a="1"/>
  <c r="FA173" i="7" s="1"/>
  <c r="FJ178" i="7" a="1"/>
  <c r="FJ178" i="7" s="1"/>
  <c r="EC182" i="7" a="1"/>
  <c r="EC182" i="7" s="1"/>
  <c r="FZ185" i="7" a="1"/>
  <c r="FZ185" i="7" s="1"/>
  <c r="EC119" i="7" a="1"/>
  <c r="EC119" i="7" s="1"/>
  <c r="FE142" i="7" a="1"/>
  <c r="FE142" i="7" s="1"/>
  <c r="EU152" i="7" a="1"/>
  <c r="EU152" i="7" s="1"/>
  <c r="FP160" i="7" a="1"/>
  <c r="FP160" i="7" s="1"/>
  <c r="EE141" i="7" a="1"/>
  <c r="EE141" i="7" s="1"/>
  <c r="EF155" i="7" a="1"/>
  <c r="EF155" i="7" s="1"/>
  <c r="FN98" i="7" a="1"/>
  <c r="FN98" i="7" s="1"/>
  <c r="EH140" i="7" a="1"/>
  <c r="EH140" i="7" s="1"/>
  <c r="FC152" i="7" a="1"/>
  <c r="FC152" i="7" s="1"/>
  <c r="FW158" i="7" a="1"/>
  <c r="FW158" i="7" s="1"/>
  <c r="EN165" i="7" a="1"/>
  <c r="EN165" i="7" s="1"/>
  <c r="FP170" i="7" a="1"/>
  <c r="FP170" i="7" s="1"/>
  <c r="EG176" i="7" a="1"/>
  <c r="EG176" i="7" s="1"/>
  <c r="EY181" i="7" a="1"/>
  <c r="EY181" i="7" s="1"/>
  <c r="EL184" i="7" a="1"/>
  <c r="EL184" i="7" s="1"/>
  <c r="FU104" i="7" a="1"/>
  <c r="FU104" i="7" s="1"/>
  <c r="FU155" i="7" a="1"/>
  <c r="FU155" i="7" s="1"/>
  <c r="FD165" i="7" a="1"/>
  <c r="FD165" i="7" s="1"/>
  <c r="FZ170" i="7" a="1"/>
  <c r="FZ170" i="7" s="1"/>
  <c r="EU177" i="7" a="1"/>
  <c r="EU177" i="7" s="1"/>
  <c r="EJ181" i="7" a="1"/>
  <c r="EJ181" i="7" s="1"/>
  <c r="FB187" i="7" a="1"/>
  <c r="FB187" i="7" s="1"/>
  <c r="FT191" i="7" a="1"/>
  <c r="FT191" i="7" s="1"/>
  <c r="ES196" i="7" a="1"/>
  <c r="ES196" i="7" s="1"/>
  <c r="FB200" i="7" a="1"/>
  <c r="FB200" i="7" s="1"/>
  <c r="FY203" i="7" a="1"/>
  <c r="FY203" i="7" s="1"/>
  <c r="FC114" i="7" a="1"/>
  <c r="FC114" i="7" s="1"/>
  <c r="EK120" i="7" a="1"/>
  <c r="EK120" i="7" s="1"/>
  <c r="GA130" i="7" a="1"/>
  <c r="GA130" i="7" s="1"/>
  <c r="EV95" i="7" a="1"/>
  <c r="EV95" i="7" s="1"/>
  <c r="DT114" i="7" a="1"/>
  <c r="DT114" i="7" s="1"/>
  <c r="EK129" i="7" a="1"/>
  <c r="EK129" i="7" s="1"/>
  <c r="FM82" i="7" a="1"/>
  <c r="FM82" i="7" s="1"/>
  <c r="EX103" i="7" a="1"/>
  <c r="EX103" i="7" s="1"/>
  <c r="FQ116" i="7" a="1"/>
  <c r="FQ116" i="7" s="1"/>
  <c r="FL122" i="7" a="1"/>
  <c r="FL122" i="7" s="1"/>
  <c r="FX91" i="7" a="1"/>
  <c r="FX91" i="7" s="1"/>
  <c r="FI109" i="7" a="1"/>
  <c r="FI109" i="7" s="1"/>
  <c r="FK128" i="7" a="1"/>
  <c r="FK128" i="7" s="1"/>
  <c r="FJ64" i="7" a="1"/>
  <c r="FJ64" i="7" s="1"/>
  <c r="DZ71" i="7" a="1"/>
  <c r="DZ71" i="7" s="1"/>
  <c r="EZ99" i="7" a="1"/>
  <c r="EZ99" i="7" s="1"/>
  <c r="ET115" i="7" a="1"/>
  <c r="ET115" i="7" s="1"/>
  <c r="EA121" i="7" a="1"/>
  <c r="EA121" i="7" s="1"/>
  <c r="FE94" i="7" a="1"/>
  <c r="FE94" i="7" s="1"/>
  <c r="EF119" i="7" a="1"/>
  <c r="EF119" i="7" s="1"/>
  <c r="FM78" i="7" a="1"/>
  <c r="FM78" i="7" s="1"/>
  <c r="FC111" i="7" a="1"/>
  <c r="FC111" i="7" s="1"/>
  <c r="FC95" i="7" a="1"/>
  <c r="FC95" i="7" s="1"/>
  <c r="DW120" i="7" a="1"/>
  <c r="DW120" i="7" s="1"/>
  <c r="FW102" i="7" a="1"/>
  <c r="FW102" i="7" s="1"/>
  <c r="FH120" i="7" a="1"/>
  <c r="FH120" i="7" s="1"/>
  <c r="EZ96" i="7" a="1"/>
  <c r="EZ96" i="7" s="1"/>
  <c r="EC97" i="7" a="1"/>
  <c r="EC97" i="7" s="1"/>
  <c r="DZ129" i="7" a="1"/>
  <c r="DZ129" i="7" s="1"/>
  <c r="FR138" i="7" a="1"/>
  <c r="FR138" i="7" s="1"/>
  <c r="FN112" i="7" a="1"/>
  <c r="FN112" i="7" s="1"/>
  <c r="FE131" i="7" a="1"/>
  <c r="FE131" i="7" s="1"/>
  <c r="ET114" i="7" a="1"/>
  <c r="ET114" i="7" s="1"/>
  <c r="FJ133" i="7" a="1"/>
  <c r="FJ133" i="7" s="1"/>
  <c r="EQ118" i="7" a="1"/>
  <c r="EQ118" i="7" s="1"/>
  <c r="EQ133" i="7" a="1"/>
  <c r="EQ133" i="7" s="1"/>
  <c r="DT83" i="7" a="1"/>
  <c r="DT83" i="7" s="1"/>
  <c r="EB122" i="7" a="1"/>
  <c r="EB122" i="7" s="1"/>
  <c r="DQ114" i="7" a="1"/>
  <c r="DQ114" i="7" s="1"/>
  <c r="DW137" i="7" a="1"/>
  <c r="DW137" i="7" s="1"/>
  <c r="FT144" i="7" a="1"/>
  <c r="FT144" i="7" s="1"/>
  <c r="FM149" i="7" a="1"/>
  <c r="FM149" i="7" s="1"/>
  <c r="FM155" i="7" a="1"/>
  <c r="FM155" i="7" s="1"/>
  <c r="ET124" i="7" a="1"/>
  <c r="ET124" i="7" s="1"/>
  <c r="FW118" i="7" a="1"/>
  <c r="FW118" i="7" s="1"/>
  <c r="FE137" i="7" a="1"/>
  <c r="FE137" i="7" s="1"/>
  <c r="EL145" i="7" a="1"/>
  <c r="EL145" i="7" s="1"/>
  <c r="EE150" i="7" a="1"/>
  <c r="EE150" i="7" s="1"/>
  <c r="EB102" i="7" a="1"/>
  <c r="EB102" i="7" s="1"/>
  <c r="FK133" i="7" a="1"/>
  <c r="FK133" i="7" s="1"/>
  <c r="EZ118" i="7" a="1"/>
  <c r="EZ118" i="7" s="1"/>
  <c r="EM126" i="7" a="1"/>
  <c r="EM126" i="7" s="1"/>
  <c r="FA139" i="7" a="1"/>
  <c r="FA139" i="7" s="1"/>
  <c r="EH144" i="7" a="1"/>
  <c r="EH144" i="7" s="1"/>
  <c r="FQ148" i="7" a="1"/>
  <c r="FQ148" i="7" s="1"/>
  <c r="FK118" i="7" a="1"/>
  <c r="FK118" i="7" s="1"/>
  <c r="FE145" i="7" a="1"/>
  <c r="FE145" i="7" s="1"/>
  <c r="FI158" i="7" a="1"/>
  <c r="FI158" i="7" s="1"/>
  <c r="FB162" i="7" a="1"/>
  <c r="FB162" i="7" s="1"/>
  <c r="ER165" i="7" a="1"/>
  <c r="ER165" i="7" s="1"/>
  <c r="FM167" i="7" a="1"/>
  <c r="FM167" i="7" s="1"/>
  <c r="DW170" i="7" a="1"/>
  <c r="DW170" i="7" s="1"/>
  <c r="FY172" i="7" a="1"/>
  <c r="FY172" i="7" s="1"/>
  <c r="EI175" i="7" a="1"/>
  <c r="EI175" i="7" s="1"/>
  <c r="EI105" i="7" a="1"/>
  <c r="EI105" i="7" s="1"/>
  <c r="EF127" i="7" a="1"/>
  <c r="EF127" i="7" s="1"/>
  <c r="FV137" i="7" a="1"/>
  <c r="FV137" i="7" s="1"/>
  <c r="FS146" i="7" a="1"/>
  <c r="FS146" i="7" s="1"/>
  <c r="FQ152" i="7" a="1"/>
  <c r="FQ152" i="7" s="1"/>
  <c r="ES158" i="7" a="1"/>
  <c r="ES158" i="7" s="1"/>
  <c r="ES172" i="7" a="1"/>
  <c r="ES172" i="7" s="1"/>
  <c r="EV181" i="7" a="1"/>
  <c r="EV181" i="7" s="1"/>
  <c r="EP186" i="7" a="1"/>
  <c r="EP186" i="7" s="1"/>
  <c r="EM190" i="7" a="1"/>
  <c r="EM190" i="7" s="1"/>
  <c r="EG195" i="7" a="1"/>
  <c r="EG195" i="7" s="1"/>
  <c r="EK199" i="7" a="1"/>
  <c r="EK199" i="7" s="1"/>
  <c r="DW202" i="7" a="1"/>
  <c r="DW202" i="7" s="1"/>
  <c r="FW92" i="7" a="1"/>
  <c r="FW92" i="7" s="1"/>
  <c r="ET129" i="7" a="1"/>
  <c r="ET129" i="7" s="1"/>
  <c r="FN140" i="7" a="1"/>
  <c r="FN140" i="7" s="1"/>
  <c r="FW147" i="7" a="1"/>
  <c r="FW147" i="7" s="1"/>
  <c r="EW156" i="7" a="1"/>
  <c r="EW156" i="7" s="1"/>
  <c r="EN159" i="7" a="1"/>
  <c r="EN159" i="7" s="1"/>
  <c r="FI161" i="7" a="1"/>
  <c r="FI161" i="7" s="1"/>
  <c r="EY164" i="7" a="1"/>
  <c r="EY164" i="7" s="1"/>
  <c r="FT166" i="7" a="1"/>
  <c r="FT166" i="7" s="1"/>
  <c r="ED169" i="7" a="1"/>
  <c r="ED169" i="7" s="1"/>
  <c r="DU172" i="7" a="1"/>
  <c r="DU172" i="7" s="1"/>
  <c r="EP174" i="7" a="1"/>
  <c r="EP174" i="7" s="1"/>
  <c r="EG177" i="7" a="1"/>
  <c r="EG177" i="7" s="1"/>
  <c r="FB179" i="7" a="1"/>
  <c r="FB179" i="7" s="1"/>
  <c r="ER120" i="7" a="1"/>
  <c r="ER120" i="7" s="1"/>
  <c r="DY137" i="7" a="1"/>
  <c r="DY137" i="7" s="1"/>
  <c r="EM145" i="7" a="1"/>
  <c r="EM145" i="7" s="1"/>
  <c r="FI152" i="7" a="1"/>
  <c r="FI152" i="7" s="1"/>
  <c r="FS155" i="7" a="1"/>
  <c r="FS155" i="7" s="1"/>
  <c r="EE169" i="7" a="1"/>
  <c r="EE169" i="7" s="1"/>
  <c r="EW181" i="7" a="1"/>
  <c r="EW181" i="7" s="1"/>
  <c r="ET185" i="7" a="1"/>
  <c r="ET185" i="7" s="1"/>
  <c r="EN190" i="7" a="1"/>
  <c r="EN190" i="7" s="1"/>
  <c r="ER194" i="7" a="1"/>
  <c r="ER194" i="7" s="1"/>
  <c r="FM57" i="7" a="1"/>
  <c r="FM57" i="7" s="1"/>
  <c r="FL128" i="7" a="1"/>
  <c r="FL128" i="7" s="1"/>
  <c r="FH139" i="7" a="1"/>
  <c r="FH139" i="7" s="1"/>
  <c r="EL81" i="7" a="1"/>
  <c r="EL81" i="7" s="1"/>
  <c r="FI112" i="7" a="1"/>
  <c r="FI112" i="7" s="1"/>
  <c r="FA131" i="7" a="1"/>
  <c r="FA131" i="7" s="1"/>
  <c r="FZ142" i="7" a="1"/>
  <c r="FZ142" i="7" s="1"/>
  <c r="DU150" i="7" a="1"/>
  <c r="DU150" i="7" s="1"/>
  <c r="FK157" i="7" a="1"/>
  <c r="FK157" i="7" s="1"/>
  <c r="DU160" i="7" a="1"/>
  <c r="DU160" i="7" s="1"/>
  <c r="EP162" i="7" a="1"/>
  <c r="EP162" i="7" s="1"/>
  <c r="EG165" i="7" a="1"/>
  <c r="EG165" i="7" s="1"/>
  <c r="FB167" i="7" a="1"/>
  <c r="FB167" i="7" s="1"/>
  <c r="ER170" i="7" a="1"/>
  <c r="ER170" i="7" s="1"/>
  <c r="FM172" i="7" a="1"/>
  <c r="FM172" i="7" s="1"/>
  <c r="DW175" i="7" a="1"/>
  <c r="DW175" i="7" s="1"/>
  <c r="EF123" i="7" a="1"/>
  <c r="EF123" i="7" s="1"/>
  <c r="FD141" i="7" a="1"/>
  <c r="FD141" i="7" s="1"/>
  <c r="DR152" i="7" a="1"/>
  <c r="DR152" i="7" s="1"/>
  <c r="ER159" i="7" a="1"/>
  <c r="ER159" i="7" s="1"/>
  <c r="EV115" i="7" a="1"/>
  <c r="EV115" i="7" s="1"/>
  <c r="FY141" i="7" a="1"/>
  <c r="FY141" i="7" s="1"/>
  <c r="DU149" i="7" a="1"/>
  <c r="DU149" i="7" s="1"/>
  <c r="ES159" i="7" a="1"/>
  <c r="ES159" i="7" s="1"/>
  <c r="FK130" i="7" a="1"/>
  <c r="FK130" i="7" s="1"/>
  <c r="EB143" i="7" a="1"/>
  <c r="EB143" i="7" s="1"/>
  <c r="ES156" i="7" a="1"/>
  <c r="ES156" i="7" s="1"/>
  <c r="FM106" i="7" a="1"/>
  <c r="FM106" i="7" s="1"/>
  <c r="ER138" i="7" a="1"/>
  <c r="ER138" i="7" s="1"/>
  <c r="FO147" i="7" a="1"/>
  <c r="FO147" i="7" s="1"/>
  <c r="FO152" i="7" a="1"/>
  <c r="FO152" i="7" s="1"/>
  <c r="FJ104" i="7" a="1"/>
  <c r="FJ104" i="7" s="1"/>
  <c r="EQ117" i="7" a="1"/>
  <c r="EQ117" i="7" s="1"/>
  <c r="FO139" i="7" a="1"/>
  <c r="FO139" i="7" s="1"/>
  <c r="EX147" i="7" a="1"/>
  <c r="EX147" i="7" s="1"/>
  <c r="EM116" i="7" a="1"/>
  <c r="EM116" i="7" s="1"/>
  <c r="EC144" i="7" a="1"/>
  <c r="EC144" i="7" s="1"/>
  <c r="FK155" i="7" a="1"/>
  <c r="FK155" i="7" s="1"/>
  <c r="EV162" i="7" a="1"/>
  <c r="EV162" i="7" s="1"/>
  <c r="FG168" i="7" a="1"/>
  <c r="FG168" i="7" s="1"/>
  <c r="DX174" i="7" a="1"/>
  <c r="DX174" i="7" s="1"/>
  <c r="FR178" i="7" a="1"/>
  <c r="FR178" i="7" s="1"/>
  <c r="EJ182" i="7" a="1"/>
  <c r="EJ182" i="7" s="1"/>
  <c r="DV186" i="7" a="1"/>
  <c r="DV186" i="7" s="1"/>
  <c r="EH190" i="7" a="1"/>
  <c r="EH190" i="7" s="1"/>
  <c r="EK194" i="7" a="1"/>
  <c r="EK194" i="7" s="1"/>
  <c r="DV198" i="7" a="1"/>
  <c r="DV198" i="7" s="1"/>
  <c r="EQ121" i="7" a="1"/>
  <c r="EQ121" i="7" s="1"/>
  <c r="EJ146" i="7" a="1"/>
  <c r="EJ146" i="7" s="1"/>
  <c r="FW156" i="7" a="1"/>
  <c r="FW156" i="7" s="1"/>
  <c r="DV165" i="7" a="1"/>
  <c r="DV165" i="7" s="1"/>
  <c r="FJ170" i="7" a="1"/>
  <c r="FJ170" i="7" s="1"/>
  <c r="EZ176" i="7" a="1"/>
  <c r="EZ176" i="7" s="1"/>
  <c r="EU181" i="7" a="1"/>
  <c r="EU181" i="7" s="1"/>
  <c r="FZ184" i="7" a="1"/>
  <c r="FZ184" i="7" s="1"/>
  <c r="DR189" i="7" a="1"/>
  <c r="DR189" i="7" s="1"/>
  <c r="FO192" i="7" a="1"/>
  <c r="FO192" i="7" s="1"/>
  <c r="EZ196" i="7" a="1"/>
  <c r="EZ196" i="7" s="1"/>
  <c r="FQ133" i="7" a="1"/>
  <c r="FQ133" i="7" s="1"/>
  <c r="DZ152" i="7" a="1"/>
  <c r="DZ152" i="7" s="1"/>
  <c r="EY158" i="7" a="1"/>
  <c r="EY158" i="7" s="1"/>
  <c r="ET164" i="7" a="1"/>
  <c r="ET164" i="7" s="1"/>
  <c r="EJ169" i="7" a="1"/>
  <c r="EJ169" i="7" s="1"/>
  <c r="FA174" i="7" a="1"/>
  <c r="FA174" i="7" s="1"/>
  <c r="EB179" i="7" a="1"/>
  <c r="EB179" i="7" s="1"/>
  <c r="FL182" i="7" a="1"/>
  <c r="FL182" i="7" s="1"/>
  <c r="EW186" i="7" a="1"/>
  <c r="EW186" i="7" s="1"/>
  <c r="EB119" i="7" a="1"/>
  <c r="EB119" i="7" s="1"/>
  <c r="DS143" i="7" a="1"/>
  <c r="DS143" i="7" s="1"/>
  <c r="FH156" i="7" a="1"/>
  <c r="FH156" i="7" s="1"/>
  <c r="FK114" i="7" a="1"/>
  <c r="FK114" i="7" s="1"/>
  <c r="FK121" i="7" a="1"/>
  <c r="FK121" i="7" s="1"/>
  <c r="EE131" i="7" a="1"/>
  <c r="EE131" i="7" s="1"/>
  <c r="EU99" i="7" a="1"/>
  <c r="EU99" i="7" s="1"/>
  <c r="EM114" i="7" a="1"/>
  <c r="EM114" i="7" s="1"/>
  <c r="FQ131" i="7" a="1"/>
  <c r="FQ131" i="7" s="1"/>
  <c r="ED83" i="7" a="1"/>
  <c r="ED83" i="7" s="1"/>
  <c r="FF107" i="7" a="1"/>
  <c r="FF107" i="7" s="1"/>
  <c r="FY116" i="7" a="1"/>
  <c r="FY116" i="7" s="1"/>
  <c r="EG125" i="7" a="1"/>
  <c r="EG125" i="7" s="1"/>
  <c r="GA92" i="7" a="1"/>
  <c r="GA92" i="7" s="1"/>
  <c r="EI113" i="7" a="1"/>
  <c r="EI113" i="7" s="1"/>
  <c r="FS128" i="7" a="1"/>
  <c r="FS128" i="7" s="1"/>
  <c r="FC80" i="7" a="1"/>
  <c r="FC80" i="7" s="1"/>
  <c r="FX71" i="7" a="1"/>
  <c r="FX71" i="7" s="1"/>
  <c r="FH102" i="7" a="1"/>
  <c r="FH102" i="7" s="1"/>
  <c r="FB115" i="7" a="1"/>
  <c r="FB115" i="7" s="1"/>
  <c r="DS123" i="7" a="1"/>
  <c r="DS123" i="7" s="1"/>
  <c r="FB95" i="7" a="1"/>
  <c r="FB95" i="7" s="1"/>
  <c r="EB123" i="7" a="1"/>
  <c r="EB123" i="7" s="1"/>
  <c r="FK79" i="7" a="1"/>
  <c r="FK79" i="7" s="1"/>
  <c r="FQ115" i="7" a="1"/>
  <c r="FQ115" i="7" s="1"/>
  <c r="EP96" i="7" a="1"/>
  <c r="EP96" i="7" s="1"/>
  <c r="EL124" i="7" a="1"/>
  <c r="EL124" i="7" s="1"/>
  <c r="EF103" i="7" a="1"/>
  <c r="EF103" i="7" s="1"/>
  <c r="EZ66" i="7" a="1"/>
  <c r="EZ66" i="7" s="1"/>
  <c r="FW96" i="7" a="1"/>
  <c r="FW96" i="7" s="1"/>
  <c r="FI107" i="7" a="1"/>
  <c r="FI107" i="7" s="1"/>
  <c r="DY130" i="7" a="1"/>
  <c r="DY130" i="7" s="1"/>
  <c r="DU140" i="7" a="1"/>
  <c r="DU140" i="7" s="1"/>
  <c r="DW113" i="7" a="1"/>
  <c r="DW113" i="7" s="1"/>
  <c r="EJ134" i="7" a="1"/>
  <c r="EJ134" i="7" s="1"/>
  <c r="FJ114" i="7" a="1"/>
  <c r="FJ114" i="7" s="1"/>
  <c r="FZ135" i="7" a="1"/>
  <c r="FZ135" i="7" s="1"/>
  <c r="FJ118" i="7" a="1"/>
  <c r="FJ118" i="7" s="1"/>
  <c r="DY84" i="7" a="1"/>
  <c r="DY84" i="7" s="1"/>
  <c r="FM84" i="7" a="1"/>
  <c r="FM84" i="7" s="1"/>
  <c r="FQ126" i="7" a="1"/>
  <c r="FQ126" i="7" s="1"/>
  <c r="EW114" i="7" a="1"/>
  <c r="EW114" i="7" s="1"/>
  <c r="EX138" i="7" a="1"/>
  <c r="EX138" i="7" s="1"/>
  <c r="GA144" i="7" a="1"/>
  <c r="GA144" i="7" s="1"/>
  <c r="GA150" i="7" a="1"/>
  <c r="GA150" i="7" s="1"/>
  <c r="FT155" i="7" a="1"/>
  <c r="FT155" i="7" s="1"/>
  <c r="ER130" i="7" a="1"/>
  <c r="ER130" i="7" s="1"/>
  <c r="EN119" i="7" a="1"/>
  <c r="EN119" i="7" s="1"/>
  <c r="EA139" i="7" a="1"/>
  <c r="EA139" i="7" s="1"/>
  <c r="ES145" i="7" a="1"/>
  <c r="ES145" i="7" s="1"/>
  <c r="ES151" i="7" a="1"/>
  <c r="ES151" i="7" s="1"/>
  <c r="EQ104" i="7" a="1"/>
  <c r="EQ104" i="7" s="1"/>
  <c r="EC134" i="7" a="1"/>
  <c r="EC134" i="7" s="1"/>
  <c r="EO119" i="7" a="1"/>
  <c r="EO119" i="7" s="1"/>
  <c r="FF126" i="7" a="1"/>
  <c r="FF126" i="7" s="1"/>
  <c r="FP139" i="7" a="1"/>
  <c r="FP139" i="7" s="1"/>
  <c r="EO145" i="7" a="1"/>
  <c r="EO145" i="7" s="1"/>
  <c r="FX148" i="7" a="1"/>
  <c r="FX148" i="7" s="1"/>
  <c r="EV119" i="7" a="1"/>
  <c r="EV119" i="7" s="1"/>
  <c r="EM146" i="7" a="1"/>
  <c r="EM146" i="7" s="1"/>
  <c r="FQ158" i="7" a="1"/>
  <c r="FQ158" i="7" s="1"/>
  <c r="FJ162" i="7" a="1"/>
  <c r="FJ162" i="7" s="1"/>
  <c r="FA165" i="7" a="1"/>
  <c r="FA165" i="7" s="1"/>
  <c r="FV167" i="7" a="1"/>
  <c r="FV167" i="7" s="1"/>
  <c r="FL170" i="7" a="1"/>
  <c r="FL170" i="7" s="1"/>
  <c r="DV173" i="7" a="1"/>
  <c r="DV173" i="7" s="1"/>
  <c r="EQ175" i="7" a="1"/>
  <c r="EQ175" i="7" s="1"/>
  <c r="EG106" i="7" a="1"/>
  <c r="EG106" i="7" s="1"/>
  <c r="FH127" i="7" a="1"/>
  <c r="FH127" i="7" s="1"/>
  <c r="ET139" i="7" a="1"/>
  <c r="ET139" i="7" s="1"/>
  <c r="FA147" i="7" a="1"/>
  <c r="FA147" i="7" s="1"/>
  <c r="FZ152" i="7" a="1"/>
  <c r="FZ152" i="7" s="1"/>
  <c r="EE159" i="7" a="1"/>
  <c r="EE159" i="7" s="1"/>
  <c r="EE173" i="7" a="1"/>
  <c r="EE173" i="7" s="1"/>
  <c r="FA182" i="7" a="1"/>
  <c r="FA182" i="7" s="1"/>
  <c r="FE186" i="7" a="1"/>
  <c r="FE186" i="7" s="1"/>
  <c r="FB190" i="7" a="1"/>
  <c r="FB190" i="7" s="1"/>
  <c r="EV195" i="7" a="1"/>
  <c r="EV195" i="7" s="1"/>
  <c r="ES199" i="7" a="1"/>
  <c r="ES199" i="7" s="1"/>
  <c r="FF202" i="7" a="1"/>
  <c r="FF202" i="7" s="1"/>
  <c r="FE99" i="7" a="1"/>
  <c r="FE99" i="7" s="1"/>
  <c r="FS129" i="7" a="1"/>
  <c r="FS129" i="7" s="1"/>
  <c r="DZ141" i="7" a="1"/>
  <c r="DZ141" i="7" s="1"/>
  <c r="DV148" i="7" a="1"/>
  <c r="DV148" i="7" s="1"/>
  <c r="EA157" i="7" a="1"/>
  <c r="EA157" i="7" s="1"/>
  <c r="EV159" i="7" a="1"/>
  <c r="EV159" i="7" s="1"/>
  <c r="FQ161" i="7" a="1"/>
  <c r="FQ161" i="7" s="1"/>
  <c r="FH164" i="7" a="1"/>
  <c r="FH164" i="7" s="1"/>
  <c r="DR167" i="7" a="1"/>
  <c r="DR167" i="7" s="1"/>
  <c r="FS169" i="7" a="1"/>
  <c r="FS169" i="7" s="1"/>
  <c r="EC172" i="7" a="1"/>
  <c r="EC172" i="7" s="1"/>
  <c r="EX174" i="7" a="1"/>
  <c r="EX174" i="7" s="1"/>
  <c r="EO177" i="7" a="1"/>
  <c r="EO177" i="7" s="1"/>
  <c r="FY84" i="7" a="1"/>
  <c r="FY84" i="7" s="1"/>
  <c r="EI125" i="7" a="1"/>
  <c r="EI125" i="7" s="1"/>
  <c r="EK137" i="7" a="1"/>
  <c r="EK137" i="7" s="1"/>
  <c r="EW145" i="7" a="1"/>
  <c r="EW145" i="7" s="1"/>
  <c r="FR152" i="7" a="1"/>
  <c r="FR152" i="7" s="1"/>
  <c r="DQ156" i="7" a="1"/>
  <c r="DQ156" i="7" s="1"/>
  <c r="DX173" i="7" a="1"/>
  <c r="DX173" i="7" s="1"/>
  <c r="FL181" i="7" a="1"/>
  <c r="FL181" i="7" s="1"/>
  <c r="FI185" i="7" a="1"/>
  <c r="FI185" i="7" s="1"/>
  <c r="FC190" i="7" a="1"/>
  <c r="FC190" i="7" s="1"/>
  <c r="EZ194" i="7" a="1"/>
  <c r="EZ194" i="7" s="1"/>
  <c r="FD106" i="7" a="1"/>
  <c r="FD106" i="7" s="1"/>
  <c r="EX129" i="7" a="1"/>
  <c r="EX129" i="7" s="1"/>
  <c r="FS139" i="7" a="1"/>
  <c r="FS139" i="7" s="1"/>
  <c r="FX89" i="7" a="1"/>
  <c r="FX89" i="7" s="1"/>
  <c r="DW116" i="7" a="1"/>
  <c r="DW116" i="7" s="1"/>
  <c r="DW136" i="7" a="1"/>
  <c r="DW136" i="7" s="1"/>
  <c r="FH143" i="7" a="1"/>
  <c r="FH143" i="7" s="1"/>
  <c r="FB150" i="7" a="1"/>
  <c r="FB150" i="7" s="1"/>
  <c r="FS157" i="7" a="1"/>
  <c r="FS157" i="7" s="1"/>
  <c r="EC160" i="7" a="1"/>
  <c r="EC160" i="7" s="1"/>
  <c r="DT163" i="7" a="1"/>
  <c r="DT163" i="7" s="1"/>
  <c r="EO165" i="7" a="1"/>
  <c r="EO165" i="7" s="1"/>
  <c r="FJ167" i="7" a="1"/>
  <c r="FJ167" i="7" s="1"/>
  <c r="FA170" i="7" a="1"/>
  <c r="FA170" i="7" s="1"/>
  <c r="FV172" i="7" a="1"/>
  <c r="FV172" i="7" s="1"/>
  <c r="FL175" i="7" a="1"/>
  <c r="FL175" i="7" s="1"/>
  <c r="DR124" i="7" a="1"/>
  <c r="DR124" i="7" s="1"/>
  <c r="EG142" i="7" a="1"/>
  <c r="EG142" i="7" s="1"/>
  <c r="FK152" i="7" a="1"/>
  <c r="FK152" i="7" s="1"/>
  <c r="DT160" i="7" a="1"/>
  <c r="DT160" i="7" s="1"/>
  <c r="FD127" i="7" a="1"/>
  <c r="FD127" i="7" s="1"/>
  <c r="FR142" i="7" a="1"/>
  <c r="FR142" i="7" s="1"/>
  <c r="EQ150" i="7" a="1"/>
  <c r="EQ150" i="7" s="1"/>
  <c r="EI67" i="7" a="1"/>
  <c r="EI67" i="7" s="1"/>
  <c r="EL131" i="7" a="1"/>
  <c r="EL131" i="7" s="1"/>
  <c r="DU145" i="7" a="1"/>
  <c r="DU145" i="7" s="1"/>
  <c r="FF156" i="7" a="1"/>
  <c r="FF156" i="7" s="1"/>
  <c r="FR112" i="7" a="1"/>
  <c r="FR112" i="7" s="1"/>
  <c r="FM138" i="7" a="1"/>
  <c r="FM138" i="7" s="1"/>
  <c r="DS148" i="7" a="1"/>
  <c r="DS148" i="7" s="1"/>
  <c r="EW153" i="7" a="1"/>
  <c r="EW153" i="7" s="1"/>
  <c r="FT112" i="7" a="1"/>
  <c r="FT112" i="7" s="1"/>
  <c r="FB118" i="7" a="1"/>
  <c r="FB118" i="7" s="1"/>
  <c r="DZ140" i="7" a="1"/>
  <c r="DZ140" i="7" s="1"/>
  <c r="DY148" i="7" a="1"/>
  <c r="DY148" i="7" s="1"/>
  <c r="EO121" i="7" a="1"/>
  <c r="EO121" i="7" s="1"/>
  <c r="FH144" i="7" a="1"/>
  <c r="FH144" i="7" s="1"/>
  <c r="DR156" i="7" a="1"/>
  <c r="DR156" i="7" s="1"/>
  <c r="DZ163" i="7" a="1"/>
  <c r="DZ163" i="7" s="1"/>
  <c r="FU168" i="7" a="1"/>
  <c r="FU168" i="7" s="1"/>
  <c r="EL174" i="7" a="1"/>
  <c r="EL174" i="7" s="1"/>
  <c r="DQ179" i="7" a="1"/>
  <c r="DQ179" i="7" s="1"/>
  <c r="ES182" i="7" a="1"/>
  <c r="ES182" i="7" s="1"/>
  <c r="EE186" i="7" a="1"/>
  <c r="EE186" i="7" s="1"/>
  <c r="FH190" i="7" a="1"/>
  <c r="FH190" i="7" s="1"/>
  <c r="ET194" i="7" a="1"/>
  <c r="ET194" i="7" s="1"/>
  <c r="EE198" i="7" a="1"/>
  <c r="EE198" i="7" s="1"/>
  <c r="FY122" i="7" a="1"/>
  <c r="FY122" i="7" s="1"/>
  <c r="FD147" i="7" a="1"/>
  <c r="FD147" i="7" s="1"/>
  <c r="EB157" i="7" a="1"/>
  <c r="EB157" i="7" s="1"/>
  <c r="EH165" i="7" a="1"/>
  <c r="EH165" i="7" s="1"/>
  <c r="DX171" i="7" a="1"/>
  <c r="DX171" i="7" s="1"/>
  <c r="FM176" i="7" a="1"/>
  <c r="FM176" i="7" s="1"/>
  <c r="FD181" i="7" a="1"/>
  <c r="FD181" i="7" s="1"/>
  <c r="EG185" i="7" a="1"/>
  <c r="EG185" i="7" s="1"/>
  <c r="EA189" i="7" a="1"/>
  <c r="EA189" i="7" s="1"/>
  <c r="DU193" i="7" a="1"/>
  <c r="DU193" i="7" s="1"/>
  <c r="FI196" i="7" a="1"/>
  <c r="FI196" i="7" s="1"/>
  <c r="ES137" i="7" a="1"/>
  <c r="ES137" i="7" s="1"/>
  <c r="ET152" i="7" a="1"/>
  <c r="ET152" i="7" s="1"/>
  <c r="EK159" i="7" a="1"/>
  <c r="EK159" i="7" s="1"/>
  <c r="FT164" i="7" a="1"/>
  <c r="FT164" i="7" s="1"/>
  <c r="DZ170" i="7" a="1"/>
  <c r="DZ170" i="7" s="1"/>
  <c r="FL174" i="7" a="1"/>
  <c r="FL174" i="7" s="1"/>
  <c r="EN179" i="7" a="1"/>
  <c r="EN179" i="7" s="1"/>
  <c r="FU182" i="7" a="1"/>
  <c r="FU182" i="7" s="1"/>
  <c r="FG186" i="7" a="1"/>
  <c r="FG186" i="7" s="1"/>
  <c r="EY123" i="7" a="1"/>
  <c r="EY123" i="7" s="1"/>
  <c r="EW143" i="7" a="1"/>
  <c r="EW143" i="7" s="1"/>
  <c r="FX156" i="7" a="1"/>
  <c r="FX156" i="7" s="1"/>
  <c r="FT114" i="7" a="1"/>
  <c r="FT114" i="7" s="1"/>
  <c r="FT121" i="7" a="1"/>
  <c r="FT121" i="7" s="1"/>
  <c r="ET131" i="7" a="1"/>
  <c r="ET131" i="7" s="1"/>
  <c r="FG99" i="7" a="1"/>
  <c r="FG99" i="7" s="1"/>
  <c r="FL114" i="7" a="1"/>
  <c r="FL114" i="7" s="1"/>
  <c r="DU132" i="7" a="1"/>
  <c r="DU132" i="7" s="1"/>
  <c r="FO83" i="7" a="1"/>
  <c r="FO83" i="7" s="1"/>
  <c r="DR108" i="7" a="1"/>
  <c r="DR108" i="7" s="1"/>
  <c r="DW117" i="7" a="1"/>
  <c r="DW117" i="7" s="1"/>
  <c r="EV125" i="7" a="1"/>
  <c r="EV125" i="7" s="1"/>
  <c r="FV93" i="7" a="1"/>
  <c r="FV93" i="7" s="1"/>
  <c r="FC113" i="7" a="1"/>
  <c r="FC113" i="7" s="1"/>
  <c r="DW129" i="7" a="1"/>
  <c r="DW129" i="7" s="1"/>
  <c r="FE81" i="7" a="1"/>
  <c r="FE81" i="7" s="1"/>
  <c r="FL72" i="7" a="1"/>
  <c r="FL72" i="7" s="1"/>
  <c r="DT103" i="7" a="1"/>
  <c r="DT103" i="7" s="1"/>
  <c r="FJ115" i="7" a="1"/>
  <c r="FJ115" i="7" s="1"/>
  <c r="EH123" i="7" a="1"/>
  <c r="EH123" i="7" s="1"/>
  <c r="DV97" i="7" a="1"/>
  <c r="DV97" i="7" s="1"/>
  <c r="FL123" i="7" a="1"/>
  <c r="FL123" i="7" s="1"/>
  <c r="FO81" i="7" a="1"/>
  <c r="FO81" i="7" s="1"/>
  <c r="DR116" i="7" a="1"/>
  <c r="DR116" i="7" s="1"/>
  <c r="FN96" i="7" a="1"/>
  <c r="FN96" i="7" s="1"/>
  <c r="FI124" i="7" a="1"/>
  <c r="FI124" i="7" s="1"/>
  <c r="FQ103" i="7" a="1"/>
  <c r="FQ103" i="7" s="1"/>
  <c r="EA70" i="7" a="1"/>
  <c r="EA70" i="7" s="1"/>
  <c r="ED97" i="7" a="1"/>
  <c r="ED97" i="7" s="1"/>
  <c r="EA108" i="7" a="1"/>
  <c r="EA108" i="7" s="1"/>
  <c r="ET130" i="7" a="1"/>
  <c r="ET130" i="7" s="1"/>
  <c r="EB140" i="7" a="1"/>
  <c r="EB140" i="7" s="1"/>
  <c r="FO113" i="7" a="1"/>
  <c r="FO113" i="7" s="1"/>
  <c r="FK134" i="7" a="1"/>
  <c r="FK134" i="7" s="1"/>
  <c r="GA114" i="7" a="1"/>
  <c r="GA114" i="7" s="1"/>
  <c r="DV136" i="7" a="1"/>
  <c r="DV136" i="7" s="1"/>
  <c r="GA118" i="7" a="1"/>
  <c r="GA118" i="7" s="1"/>
  <c r="FK85" i="7" a="1"/>
  <c r="FK85" i="7" s="1"/>
  <c r="DX88" i="7" a="1"/>
  <c r="DX88" i="7" s="1"/>
  <c r="ER127" i="7" a="1"/>
  <c r="ER127" i="7" s="1"/>
  <c r="EM115" i="7" a="1"/>
  <c r="EM115" i="7" s="1"/>
  <c r="FF138" i="7" a="1"/>
  <c r="FF138" i="7" s="1"/>
  <c r="DW145" i="7" a="1"/>
  <c r="DW145" i="7" s="1"/>
  <c r="DW151" i="7" a="1"/>
  <c r="DW151" i="7" s="1"/>
  <c r="EY70" i="7" a="1"/>
  <c r="EY70" i="7" s="1"/>
  <c r="FW130" i="7" a="1"/>
  <c r="FW130" i="7" s="1"/>
  <c r="FM119" i="7" a="1"/>
  <c r="FM119" i="7" s="1"/>
  <c r="EX139" i="7" a="1"/>
  <c r="EX139" i="7" s="1"/>
  <c r="EZ145" i="7" a="1"/>
  <c r="EZ145" i="7" s="1"/>
  <c r="EZ151" i="7" a="1"/>
  <c r="EZ151" i="7" s="1"/>
  <c r="FK105" i="7" a="1"/>
  <c r="FK105" i="7" s="1"/>
  <c r="DY140" i="7" a="1"/>
  <c r="DY140" i="7" s="1"/>
  <c r="EI120" i="7" a="1"/>
  <c r="EI120" i="7" s="1"/>
  <c r="EG127" i="7" a="1"/>
  <c r="EG127" i="7" s="1"/>
  <c r="DT140" i="7" a="1"/>
  <c r="DT140" i="7" s="1"/>
  <c r="EV145" i="7" a="1"/>
  <c r="EV145" i="7" s="1"/>
  <c r="DT150" i="7" a="1"/>
  <c r="DT150" i="7" s="1"/>
  <c r="EJ120" i="7" a="1"/>
  <c r="EJ120" i="7" s="1"/>
  <c r="EW146" i="7" a="1"/>
  <c r="EW146" i="7" s="1"/>
  <c r="FY158" i="7" a="1"/>
  <c r="FY158" i="7" s="1"/>
  <c r="FR162" i="7" a="1"/>
  <c r="FR162" i="7" s="1"/>
  <c r="FI165" i="7" a="1"/>
  <c r="FI165" i="7" s="1"/>
  <c r="DS168" i="7" a="1"/>
  <c r="DS168" i="7" s="1"/>
  <c r="FT170" i="7" a="1"/>
  <c r="FT170" i="7" s="1"/>
  <c r="ED173" i="7" a="1"/>
  <c r="ED173" i="7" s="1"/>
  <c r="EY175" i="7" a="1"/>
  <c r="EY175" i="7" s="1"/>
  <c r="DV110" i="7" a="1"/>
  <c r="DV110" i="7" s="1"/>
  <c r="FC128" i="7" a="1"/>
  <c r="FC128" i="7" s="1"/>
  <c r="FQ139" i="7" a="1"/>
  <c r="FQ139" i="7" s="1"/>
  <c r="FK147" i="7" a="1"/>
  <c r="FK147" i="7" s="1"/>
  <c r="DZ153" i="7" a="1"/>
  <c r="DZ153" i="7" s="1"/>
  <c r="DQ160" i="7" a="1"/>
  <c r="DQ160" i="7" s="1"/>
  <c r="DQ174" i="7" a="1"/>
  <c r="DQ174" i="7" s="1"/>
  <c r="FP182" i="7" a="1"/>
  <c r="FP182" i="7" s="1"/>
  <c r="FT186" i="7" a="1"/>
  <c r="FT186" i="7" s="1"/>
  <c r="FQ190" i="7" a="1"/>
  <c r="FQ190" i="7" s="1"/>
  <c r="FK195" i="7" a="1"/>
  <c r="FK195" i="7" s="1"/>
  <c r="FH199" i="7" a="1"/>
  <c r="FH199" i="7" s="1"/>
  <c r="FM202" i="7" a="1"/>
  <c r="FM202" i="7" s="1"/>
  <c r="GA103" i="7" a="1"/>
  <c r="GA103" i="7" s="1"/>
  <c r="DT131" i="7" a="1"/>
  <c r="DT131" i="7" s="1"/>
  <c r="FI141" i="7" a="1"/>
  <c r="FI141" i="7" s="1"/>
  <c r="FO148" i="7" a="1"/>
  <c r="FO148" i="7" s="1"/>
  <c r="EI157" i="7" a="1"/>
  <c r="EI157" i="7" s="1"/>
  <c r="FD159" i="7" a="1"/>
  <c r="FD159" i="7" s="1"/>
  <c r="FY161" i="7" a="1"/>
  <c r="FY161" i="7" s="1"/>
  <c r="FP164" i="7" a="1"/>
  <c r="FP164" i="7" s="1"/>
  <c r="DZ167" i="7" a="1"/>
  <c r="DZ167" i="7" s="1"/>
  <c r="GA169" i="7" a="1"/>
  <c r="GA169" i="7" s="1"/>
  <c r="EK172" i="7" a="1"/>
  <c r="EK172" i="7" s="1"/>
  <c r="FF174" i="7" a="1"/>
  <c r="FF174" i="7" s="1"/>
  <c r="EW177" i="7" a="1"/>
  <c r="EW177" i="7" s="1"/>
  <c r="DV93" i="7" a="1"/>
  <c r="DV93" i="7" s="1"/>
  <c r="FM125" i="7" a="1"/>
  <c r="FM125" i="7" s="1"/>
  <c r="FW137" i="7" a="1"/>
  <c r="FW137" i="7" s="1"/>
  <c r="DS146" i="7" a="1"/>
  <c r="DS146" i="7" s="1"/>
  <c r="DR153" i="7" a="1"/>
  <c r="DR153" i="7" s="1"/>
  <c r="FN156" i="7" a="1"/>
  <c r="FN156" i="7" s="1"/>
  <c r="FU173" i="7" a="1"/>
  <c r="FU173" i="7" s="1"/>
  <c r="GA181" i="7" a="1"/>
  <c r="GA181" i="7" s="1"/>
  <c r="FX185" i="7" a="1"/>
  <c r="FX185" i="7" s="1"/>
  <c r="FR190" i="7" a="1"/>
  <c r="FR190" i="7" s="1"/>
  <c r="FO194" i="7" a="1"/>
  <c r="FO194" i="7" s="1"/>
  <c r="FY107" i="7" a="1"/>
  <c r="FY107" i="7" s="1"/>
  <c r="FT129" i="7" a="1"/>
  <c r="FT129" i="7" s="1"/>
  <c r="EG140" i="7" a="1"/>
  <c r="EG140" i="7" s="1"/>
  <c r="EW96" i="7" a="1"/>
  <c r="EW96" i="7" s="1"/>
  <c r="FI117" i="7" a="1"/>
  <c r="FI117" i="7" s="1"/>
  <c r="DQ137" i="7" a="1"/>
  <c r="DQ137" i="7" s="1"/>
  <c r="FR143" i="7" a="1"/>
  <c r="FR143" i="7" s="1"/>
  <c r="FL150" i="7" a="1"/>
  <c r="FL150" i="7" s="1"/>
  <c r="GA157" i="7" a="1"/>
  <c r="GA157" i="7" s="1"/>
  <c r="EK160" i="7" a="1"/>
  <c r="EK160" i="7" s="1"/>
  <c r="EB163" i="7" a="1"/>
  <c r="EB163" i="7" s="1"/>
  <c r="EW165" i="7" a="1"/>
  <c r="EW165" i="7" s="1"/>
  <c r="FR167" i="7" a="1"/>
  <c r="FR167" i="7" s="1"/>
  <c r="FI170" i="7" a="1"/>
  <c r="FI170" i="7" s="1"/>
  <c r="DS173" i="7" a="1"/>
  <c r="DS173" i="7" s="1"/>
  <c r="FT175" i="7" a="1"/>
  <c r="FT175" i="7" s="1"/>
  <c r="FZ124" i="7" a="1"/>
  <c r="FZ124" i="7" s="1"/>
  <c r="EW142" i="7" a="1"/>
  <c r="EW142" i="7" s="1"/>
  <c r="FY152" i="7" a="1"/>
  <c r="FY152" i="7" s="1"/>
  <c r="EF160" i="7" a="1"/>
  <c r="EF160" i="7" s="1"/>
  <c r="EY128" i="7" a="1"/>
  <c r="EY128" i="7" s="1"/>
  <c r="ET143" i="7" a="1"/>
  <c r="ET143" i="7" s="1"/>
  <c r="FY150" i="7" a="1"/>
  <c r="FY150" i="7" s="1"/>
  <c r="EJ87" i="7" a="1"/>
  <c r="EJ87" i="7" s="1"/>
  <c r="DT132" i="7" a="1"/>
  <c r="DT132" i="7" s="1"/>
  <c r="EN149" i="7" a="1"/>
  <c r="EN149" i="7" s="1"/>
  <c r="FR156" i="7" a="1"/>
  <c r="FR156" i="7" s="1"/>
  <c r="EL114" i="7" a="1"/>
  <c r="EL114" i="7" s="1"/>
  <c r="DV140" i="7" a="1"/>
  <c r="DV140" i="7" s="1"/>
  <c r="EJ148" i="7" a="1"/>
  <c r="EJ148" i="7" s="1"/>
  <c r="DR154" i="7" a="1"/>
  <c r="DR154" i="7" s="1"/>
  <c r="EO114" i="7" a="1"/>
  <c r="EO114" i="7" s="1"/>
  <c r="EM125" i="7" a="1"/>
  <c r="EM125" i="7" s="1"/>
  <c r="FL141" i="7" a="1"/>
  <c r="FL141" i="7" s="1"/>
  <c r="EN148" i="7" a="1"/>
  <c r="EN148" i="7" s="1"/>
  <c r="FK124" i="7" a="1"/>
  <c r="FK124" i="7" s="1"/>
  <c r="DV145" i="7" a="1"/>
  <c r="DV145" i="7" s="1"/>
  <c r="EX158" i="7" a="1"/>
  <c r="EX158" i="7" s="1"/>
  <c r="EL163" i="7" a="1"/>
  <c r="EL163" i="7" s="1"/>
  <c r="DW169" i="7" a="1"/>
  <c r="DW169" i="7" s="1"/>
  <c r="EY174" i="7" a="1"/>
  <c r="EY174" i="7" s="1"/>
  <c r="EA179" i="7" a="1"/>
  <c r="EA179" i="7" s="1"/>
  <c r="FK182" i="7" a="1"/>
  <c r="FK182" i="7" s="1"/>
  <c r="FW186" i="7" a="1"/>
  <c r="FW186" i="7" s="1"/>
  <c r="FZ190" i="7" a="1"/>
  <c r="FZ190" i="7" s="1"/>
  <c r="FK194" i="7" a="1"/>
  <c r="FK194" i="7" s="1"/>
  <c r="EM198" i="7" a="1"/>
  <c r="EM198" i="7" s="1"/>
  <c r="EE129" i="7" a="1"/>
  <c r="EE129" i="7" s="1"/>
  <c r="EG149" i="7" a="1"/>
  <c r="EG149" i="7" s="1"/>
  <c r="DQ158" i="7" a="1"/>
  <c r="DQ158" i="7" s="1"/>
  <c r="FG165" i="7" a="1"/>
  <c r="FG165" i="7" s="1"/>
  <c r="EK171" i="7" a="1"/>
  <c r="EK171" i="7" s="1"/>
  <c r="FY176" i="7" a="1"/>
  <c r="FY176" i="7" s="1"/>
  <c r="FM181" i="7" a="1"/>
  <c r="FM181" i="7" s="1"/>
  <c r="EX185" i="7" a="1"/>
  <c r="EX185" i="7" s="1"/>
  <c r="EJ189" i="7" a="1"/>
  <c r="EJ189" i="7" s="1"/>
  <c r="EV193" i="7" a="1"/>
  <c r="EV193" i="7" s="1"/>
  <c r="FR196" i="7" a="1"/>
  <c r="FR196" i="7" s="1"/>
  <c r="FZ137" i="7" a="1"/>
  <c r="FZ137" i="7" s="1"/>
  <c r="FP152" i="7" a="1"/>
  <c r="FP152" i="7" s="1"/>
  <c r="EJ160" i="7" a="1"/>
  <c r="EJ160" i="7" s="1"/>
  <c r="EV165" i="7" a="1"/>
  <c r="EV165" i="7" s="1"/>
  <c r="EK170" i="7" a="1"/>
  <c r="EK170" i="7" s="1"/>
  <c r="FB175" i="7" a="1"/>
  <c r="FB175" i="7" s="1"/>
  <c r="FP179" i="7" a="1"/>
  <c r="FP179" i="7" s="1"/>
  <c r="EA183" i="7" a="1"/>
  <c r="EA183" i="7" s="1"/>
  <c r="FX186" i="7" a="1"/>
  <c r="FX186" i="7" s="1"/>
  <c r="FX124" i="7" a="1"/>
  <c r="FX124" i="7" s="1"/>
  <c r="FZ145" i="7" a="1"/>
  <c r="FZ145" i="7" s="1"/>
  <c r="EC157" i="7" a="1"/>
  <c r="EC157" i="7" s="1"/>
  <c r="EI116" i="7" a="1"/>
  <c r="EI116" i="7" s="1"/>
  <c r="DQ122" i="7" a="1"/>
  <c r="DQ122" i="7" s="1"/>
  <c r="FD58" i="7" a="1"/>
  <c r="FD58" i="7" s="1"/>
  <c r="FT99" i="7" a="1"/>
  <c r="FT99" i="7" s="1"/>
  <c r="EV122" i="7" a="1"/>
  <c r="EV122" i="7" s="1"/>
  <c r="EC132" i="7" a="1"/>
  <c r="EC132" i="7" s="1"/>
  <c r="FV91" i="7" a="1"/>
  <c r="FV91" i="7" s="1"/>
  <c r="EO108" i="7" a="1"/>
  <c r="EO108" i="7" s="1"/>
  <c r="EW118" i="7" a="1"/>
  <c r="EW118" i="7" s="1"/>
  <c r="FK125" i="7" a="1"/>
  <c r="FK125" i="7" s="1"/>
  <c r="FU98" i="7" a="1"/>
  <c r="FU98" i="7" s="1"/>
  <c r="FW113" i="7" a="1"/>
  <c r="FW113" i="7" s="1"/>
  <c r="FC131" i="7" a="1"/>
  <c r="FC131" i="7" s="1"/>
  <c r="EF82" i="7" a="1"/>
  <c r="EF82" i="7" s="1"/>
  <c r="ET83" i="7" a="1"/>
  <c r="ET83" i="7" s="1"/>
  <c r="EG103" i="7" a="1"/>
  <c r="EG103" i="7" s="1"/>
  <c r="DZ117" i="7" a="1"/>
  <c r="DZ117" i="7" s="1"/>
  <c r="EW123" i="7" a="1"/>
  <c r="EW123" i="7" s="1"/>
  <c r="FM103" i="7" a="1"/>
  <c r="FM103" i="7" s="1"/>
  <c r="EK124" i="7" a="1"/>
  <c r="EK124" i="7" s="1"/>
  <c r="EO96" i="7" a="1"/>
  <c r="EO96" i="7" s="1"/>
  <c r="EQ116" i="7" a="1"/>
  <c r="EQ116" i="7" s="1"/>
  <c r="EV103" i="7" a="1"/>
  <c r="EV103" i="7" s="1"/>
  <c r="FT124" i="7" a="1"/>
  <c r="FT124" i="7" s="1"/>
  <c r="DZ108" i="7" a="1"/>
  <c r="DZ108" i="7" s="1"/>
  <c r="ED74" i="7" a="1"/>
  <c r="ED74" i="7" s="1"/>
  <c r="FB101" i="7" a="1"/>
  <c r="FB101" i="7" s="1"/>
  <c r="ET109" i="7" a="1"/>
  <c r="ET109" i="7" s="1"/>
  <c r="EH135" i="7" a="1"/>
  <c r="EH135" i="7" s="1"/>
  <c r="EI140" i="7" a="1"/>
  <c r="EI140" i="7" s="1"/>
  <c r="DX120" i="7" a="1"/>
  <c r="DX120" i="7" s="1"/>
  <c r="DQ135" i="7" a="1"/>
  <c r="DQ135" i="7" s="1"/>
  <c r="FX120" i="7" a="1"/>
  <c r="FX120" i="7" s="1"/>
  <c r="EC136" i="7" a="1"/>
  <c r="EC136" i="7" s="1"/>
  <c r="DS125" i="7" a="1"/>
  <c r="DS125" i="7" s="1"/>
  <c r="ED89" i="7" a="1"/>
  <c r="ED89" i="7" s="1"/>
  <c r="DX101" i="7" a="1"/>
  <c r="DX101" i="7" s="1"/>
  <c r="FC127" i="7" a="1"/>
  <c r="FC127" i="7" s="1"/>
  <c r="FL124" i="7" a="1"/>
  <c r="FL124" i="7" s="1"/>
  <c r="FN138" i="7" a="1"/>
  <c r="FN138" i="7" s="1"/>
  <c r="EK146" i="7" a="1"/>
  <c r="EK146" i="7" s="1"/>
  <c r="ED151" i="7" a="1"/>
  <c r="ED151" i="7" s="1"/>
  <c r="EF104" i="7" a="1"/>
  <c r="EF104" i="7" s="1"/>
  <c r="EC131" i="7" a="1"/>
  <c r="EC131" i="7" s="1"/>
  <c r="FR126" i="7" a="1"/>
  <c r="FR126" i="7" s="1"/>
  <c r="FM139" i="7" a="1"/>
  <c r="FM139" i="7" s="1"/>
  <c r="FN146" i="7" a="1"/>
  <c r="FN146" i="7" s="1"/>
  <c r="FG151" i="7" a="1"/>
  <c r="FG151" i="7" s="1"/>
  <c r="EF120" i="7" a="1"/>
  <c r="EF120" i="7" s="1"/>
  <c r="EN140" i="7" a="1"/>
  <c r="EN140" i="7" s="1"/>
  <c r="FA97" i="7" a="1"/>
  <c r="FA97" i="7" s="1"/>
  <c r="FV127" i="7" a="1"/>
  <c r="FV127" i="7" s="1"/>
  <c r="EQ140" i="7" a="1"/>
  <c r="EQ140" i="7" s="1"/>
  <c r="FC145" i="7" a="1"/>
  <c r="FC145" i="7" s="1"/>
  <c r="EA150" i="7" a="1"/>
  <c r="EA150" i="7" s="1"/>
  <c r="EO131" i="7" a="1"/>
  <c r="EO131" i="7" s="1"/>
  <c r="DS147" i="7" a="1"/>
  <c r="DS147" i="7" s="1"/>
  <c r="DV159" i="7" a="1"/>
  <c r="DV159" i="7" s="1"/>
  <c r="EV163" i="7" a="1"/>
  <c r="EV163" i="7" s="1"/>
  <c r="FQ165" i="7" a="1"/>
  <c r="FQ165" i="7" s="1"/>
  <c r="EA168" i="7" a="1"/>
  <c r="EA168" i="7" s="1"/>
  <c r="DR171" i="7" a="1"/>
  <c r="DR171" i="7" s="1"/>
  <c r="EM173" i="7" a="1"/>
  <c r="EM173" i="7" s="1"/>
  <c r="EC176" i="7" a="1"/>
  <c r="EC176" i="7" s="1"/>
  <c r="FX110" i="7" a="1"/>
  <c r="FX110" i="7" s="1"/>
  <c r="ES129" i="7" a="1"/>
  <c r="ES129" i="7" s="1"/>
  <c r="FM140" i="7" a="1"/>
  <c r="FM140" i="7" s="1"/>
  <c r="EG148" i="7" a="1"/>
  <c r="EG148" i="7" s="1"/>
  <c r="FW153" i="7" a="1"/>
  <c r="FW153" i="7" s="1"/>
  <c r="FN160" i="7" a="1"/>
  <c r="FN160" i="7" s="1"/>
  <c r="FN174" i="7" a="1"/>
  <c r="FN174" i="7" s="1"/>
  <c r="DT183" i="7" a="1"/>
  <c r="DT183" i="7" s="1"/>
  <c r="DQ187" i="7" a="1"/>
  <c r="DQ187" i="7" s="1"/>
  <c r="FV191" i="7" a="1"/>
  <c r="FV191" i="7" s="1"/>
  <c r="FZ195" i="7" a="1"/>
  <c r="FZ195" i="7" s="1"/>
  <c r="FW199" i="7" a="1"/>
  <c r="FW199" i="7" s="1"/>
  <c r="FT202" i="7" a="1"/>
  <c r="FT202" i="7" s="1"/>
  <c r="EJ105" i="7" a="1"/>
  <c r="EJ105" i="7" s="1"/>
  <c r="DW134" i="7" a="1"/>
  <c r="DW134" i="7" s="1"/>
  <c r="FS141" i="7" a="1"/>
  <c r="FS141" i="7" s="1"/>
  <c r="FY148" i="7" a="1"/>
  <c r="FY148" i="7" s="1"/>
  <c r="EQ157" i="7" a="1"/>
  <c r="EQ157" i="7" s="1"/>
  <c r="FL159" i="7" a="1"/>
  <c r="FL159" i="7" s="1"/>
  <c r="FC162" i="7" a="1"/>
  <c r="FC162" i="7" s="1"/>
  <c r="FX164" i="7" a="1"/>
  <c r="FX164" i="7" s="1"/>
  <c r="EH167" i="7" a="1"/>
  <c r="EH167" i="7" s="1"/>
  <c r="DY170" i="7" a="1"/>
  <c r="DY170" i="7" s="1"/>
  <c r="ET172" i="7" a="1"/>
  <c r="ET172" i="7" s="1"/>
  <c r="EJ175" i="7" a="1"/>
  <c r="EJ175" i="7" s="1"/>
  <c r="FE177" i="7" a="1"/>
  <c r="FE177" i="7" s="1"/>
  <c r="FC97" i="7" a="1"/>
  <c r="FC97" i="7" s="1"/>
  <c r="EH126" i="7" a="1"/>
  <c r="EH126" i="7" s="1"/>
  <c r="DX138" i="7" a="1"/>
  <c r="DX138" i="7" s="1"/>
  <c r="FL147" i="7" a="1"/>
  <c r="FL147" i="7" s="1"/>
  <c r="EA153" i="7" a="1"/>
  <c r="EA153" i="7" s="1"/>
  <c r="EZ157" i="7" a="1"/>
  <c r="EZ157" i="7" s="1"/>
  <c r="FG174" i="7" a="1"/>
  <c r="FG174" i="7" s="1"/>
  <c r="DX182" i="7" a="1"/>
  <c r="DX182" i="7" s="1"/>
  <c r="DR187" i="7" a="1"/>
  <c r="DR187" i="7" s="1"/>
  <c r="DV191" i="7" a="1"/>
  <c r="DV191" i="7" s="1"/>
  <c r="DS195" i="7" a="1"/>
  <c r="DS195" i="7" s="1"/>
  <c r="FZ108" i="7" a="1"/>
  <c r="FZ108" i="7" s="1"/>
  <c r="EJ130" i="7" a="1"/>
  <c r="EJ130" i="7" s="1"/>
  <c r="DU142" i="7" a="1"/>
  <c r="DU142" i="7" s="1"/>
  <c r="EK98" i="7" a="1"/>
  <c r="EK98" i="7" s="1"/>
  <c r="EL118" i="7" a="1"/>
  <c r="EL118" i="7" s="1"/>
  <c r="EC137" i="7" a="1"/>
  <c r="EC137" i="7" s="1"/>
  <c r="EN144" i="7" a="1"/>
  <c r="EN144" i="7" s="1"/>
  <c r="FN155" i="7" a="1"/>
  <c r="FN155" i="7" s="1"/>
  <c r="DY158" i="7" a="1"/>
  <c r="DY158" i="7" s="1"/>
  <c r="ET160" i="7" a="1"/>
  <c r="ET160" i="7" s="1"/>
  <c r="EJ163" i="7" a="1"/>
  <c r="EJ163" i="7" s="1"/>
  <c r="FE165" i="7" a="1"/>
  <c r="FE165" i="7" s="1"/>
  <c r="EV168" i="7" a="1"/>
  <c r="EV168" i="7" s="1"/>
  <c r="FQ170" i="7" a="1"/>
  <c r="FQ170" i="7" s="1"/>
  <c r="EA173" i="7" a="1"/>
  <c r="EA173" i="7" s="1"/>
  <c r="DR176" i="7" a="1"/>
  <c r="DR176" i="7" s="1"/>
  <c r="ET128" i="7" a="1"/>
  <c r="ET128" i="7" s="1"/>
  <c r="FW146" i="7" a="1"/>
  <c r="FW146" i="7" s="1"/>
  <c r="EF153" i="7" a="1"/>
  <c r="EF153" i="7" s="1"/>
  <c r="ES160" i="7" a="1"/>
  <c r="ES160" i="7" s="1"/>
  <c r="EG129" i="7" a="1"/>
  <c r="EG129" i="7" s="1"/>
  <c r="FI143" i="7" a="1"/>
  <c r="FI143" i="7" s="1"/>
  <c r="FJ153" i="7" a="1"/>
  <c r="FJ153" i="7" s="1"/>
  <c r="FN100" i="7" a="1"/>
  <c r="FN100" i="7" s="1"/>
  <c r="FP132" i="7" a="1"/>
  <c r="FP132" i="7" s="1"/>
  <c r="EG151" i="7" a="1"/>
  <c r="EG151" i="7" s="1"/>
  <c r="ET157" i="7" a="1"/>
  <c r="ET157" i="7" s="1"/>
  <c r="FH115" i="7" a="1"/>
  <c r="FH115" i="7" s="1"/>
  <c r="EO141" i="7" a="1"/>
  <c r="EO141" i="7" s="1"/>
  <c r="FR148" i="7" a="1"/>
  <c r="FR148" i="7" s="1"/>
  <c r="FK154" i="7" a="1"/>
  <c r="FK154" i="7" s="1"/>
  <c r="FZ115" i="7" a="1"/>
  <c r="FZ115" i="7" s="1"/>
  <c r="DV127" i="7" a="1"/>
  <c r="DV127" i="7" s="1"/>
  <c r="EM142" i="7" a="1"/>
  <c r="EM142" i="7" s="1"/>
  <c r="FE148" i="7" a="1"/>
  <c r="FE148" i="7" s="1"/>
  <c r="DX129" i="7" a="1"/>
  <c r="DX129" i="7" s="1"/>
  <c r="DZ147" i="7" a="1"/>
  <c r="DZ147" i="7" s="1"/>
  <c r="FN158" i="7" a="1"/>
  <c r="FN158" i="7" s="1"/>
  <c r="EZ163" i="7" a="1"/>
  <c r="EZ163" i="7" s="1"/>
  <c r="EI169" i="7" a="1"/>
  <c r="EI169" i="7" s="1"/>
  <c r="FK174" i="7" a="1"/>
  <c r="FK174" i="7" s="1"/>
  <c r="EM179" i="7" a="1"/>
  <c r="EM179" i="7" s="1"/>
  <c r="ER183" i="7" a="1"/>
  <c r="ER183" i="7" s="1"/>
  <c r="EC187" i="7" a="1"/>
  <c r="EC187" i="7" s="1"/>
  <c r="DX191" i="7" a="1"/>
  <c r="DX191" i="7" s="1"/>
  <c r="EA195" i="7" a="1"/>
  <c r="EA195" i="7" s="1"/>
  <c r="EU198" i="7" a="1"/>
  <c r="EU198" i="7" s="1"/>
  <c r="EZ132" i="7" a="1"/>
  <c r="EZ132" i="7" s="1"/>
  <c r="FK149" i="7" a="1"/>
  <c r="FK149" i="7" s="1"/>
  <c r="EI158" i="7" a="1"/>
  <c r="EI158" i="7" s="1"/>
  <c r="FT165" i="7" a="1"/>
  <c r="FT165" i="7" s="1"/>
  <c r="EW171" i="7" a="1"/>
  <c r="EW171" i="7" s="1"/>
  <c r="EL177" i="7" a="1"/>
  <c r="EL177" i="7" s="1"/>
  <c r="FV181" i="7" a="1"/>
  <c r="FV181" i="7" s="1"/>
  <c r="FG185" i="7" a="1"/>
  <c r="FG185" i="7" s="1"/>
  <c r="FJ189" i="7" a="1"/>
  <c r="FJ189" i="7" s="1"/>
  <c r="FM193" i="7" a="1"/>
  <c r="FM193" i="7" s="1"/>
  <c r="EB97" i="7" a="1"/>
  <c r="EB97" i="7" s="1"/>
  <c r="FA138" i="7" a="1"/>
  <c r="FA138" i="7" s="1"/>
  <c r="DY153" i="7" a="1"/>
  <c r="DY153" i="7" s="1"/>
  <c r="EY160" i="7" a="1"/>
  <c r="EY160" i="7" s="1"/>
  <c r="FH165" i="7" a="1"/>
  <c r="FH165" i="7" s="1"/>
  <c r="FX170" i="7" a="1"/>
  <c r="FX170" i="7" s="1"/>
  <c r="FM175" i="7" a="1"/>
  <c r="FM175" i="7" s="1"/>
  <c r="DW180" i="7" a="1"/>
  <c r="DW180" i="7" s="1"/>
  <c r="FB183" i="7" a="1"/>
  <c r="FB183" i="7" s="1"/>
  <c r="ED187" i="7" a="1"/>
  <c r="ED187" i="7" s="1"/>
  <c r="FE126" i="7" a="1"/>
  <c r="FE126" i="7" s="1"/>
  <c r="ET146" i="7" a="1"/>
  <c r="ET146" i="7" s="1"/>
  <c r="EM158" i="7" a="1"/>
  <c r="EM158" i="7" s="1"/>
  <c r="ER116" i="7" a="1"/>
  <c r="ER116" i="7" s="1"/>
  <c r="DY122" i="7" a="1"/>
  <c r="DY122" i="7" s="1"/>
  <c r="EJ60" i="7" a="1"/>
  <c r="EJ60" i="7" s="1"/>
  <c r="EH100" i="7" a="1"/>
  <c r="EH100" i="7" s="1"/>
  <c r="FK122" i="7" a="1"/>
  <c r="FK122" i="7" s="1"/>
  <c r="ER132" i="7" a="1"/>
  <c r="ER132" i="7" s="1"/>
  <c r="FG92" i="7" a="1"/>
  <c r="FG92" i="7" s="1"/>
  <c r="EZ108" i="7" a="1"/>
  <c r="EZ108" i="7" s="1"/>
  <c r="FF118" i="7" a="1"/>
  <c r="FF118" i="7" s="1"/>
  <c r="FS125" i="7" a="1"/>
  <c r="FS125" i="7" s="1"/>
  <c r="DW99" i="7" a="1"/>
  <c r="DW99" i="7" s="1"/>
  <c r="DU114" i="7" a="1"/>
  <c r="DU114" i="7" s="1"/>
  <c r="FR131" i="7" a="1"/>
  <c r="FR131" i="7" s="1"/>
  <c r="FP82" i="7" a="1"/>
  <c r="FP82" i="7" s="1"/>
  <c r="EQ84" i="7" a="1"/>
  <c r="EQ84" i="7" s="1"/>
  <c r="FD103" i="7" a="1"/>
  <c r="FD103" i="7" s="1"/>
  <c r="EH117" i="7" a="1"/>
  <c r="EH117" i="7" s="1"/>
  <c r="FE123" i="7" a="1"/>
  <c r="FE123" i="7" s="1"/>
  <c r="DT104" i="7" a="1"/>
  <c r="DT104" i="7" s="1"/>
  <c r="FH124" i="7" a="1"/>
  <c r="FH124" i="7" s="1"/>
  <c r="FM96" i="7" a="1"/>
  <c r="FM96" i="7" s="1"/>
  <c r="FE116" i="7" a="1"/>
  <c r="FE116" i="7" s="1"/>
  <c r="FP103" i="7" a="1"/>
  <c r="FP103" i="7" s="1"/>
  <c r="DV125" i="7" a="1"/>
  <c r="DV125" i="7" s="1"/>
  <c r="FC109" i="7" a="1"/>
  <c r="FC109" i="7" s="1"/>
  <c r="EH75" i="7" a="1"/>
  <c r="EH75" i="7" s="1"/>
  <c r="FV101" i="7" a="1"/>
  <c r="FV101" i="7" s="1"/>
  <c r="FX109" i="7" a="1"/>
  <c r="FX109" i="7" s="1"/>
  <c r="EW135" i="7" a="1"/>
  <c r="EW135" i="7" s="1"/>
  <c r="EP140" i="7" a="1"/>
  <c r="EP140" i="7" s="1"/>
  <c r="EN120" i="7" a="1"/>
  <c r="EN120" i="7" s="1"/>
  <c r="EA135" i="7" a="1"/>
  <c r="EA135" i="7" s="1"/>
  <c r="ED121" i="7" a="1"/>
  <c r="ED121" i="7" s="1"/>
  <c r="EJ136" i="7" a="1"/>
  <c r="EJ136" i="7" s="1"/>
  <c r="ET125" i="7" a="1"/>
  <c r="ET125" i="7" s="1"/>
  <c r="EC90" i="7" a="1"/>
  <c r="EC90" i="7" s="1"/>
  <c r="FC101" i="7" a="1"/>
  <c r="FC101" i="7" s="1"/>
  <c r="FP127" i="7" a="1"/>
  <c r="FP127" i="7" s="1"/>
  <c r="DX125" i="7" a="1"/>
  <c r="DX125" i="7" s="1"/>
  <c r="FV138" i="7" a="1"/>
  <c r="FV138" i="7" s="1"/>
  <c r="ER146" i="7" a="1"/>
  <c r="ER146" i="7" s="1"/>
  <c r="EK151" i="7" a="1"/>
  <c r="EK151" i="7" s="1"/>
  <c r="FV104" i="7" a="1"/>
  <c r="FV104" i="7" s="1"/>
  <c r="FW131" i="7" a="1"/>
  <c r="FW131" i="7" s="1"/>
  <c r="EC127" i="7" a="1"/>
  <c r="EC127" i="7" s="1"/>
  <c r="DQ140" i="7" a="1"/>
  <c r="DQ140" i="7" s="1"/>
  <c r="FU146" i="7" a="1"/>
  <c r="FU146" i="7" s="1"/>
  <c r="FN151" i="7" a="1"/>
  <c r="FN151" i="7" s="1"/>
  <c r="FL120" i="7" a="1"/>
  <c r="FL120" i="7" s="1"/>
  <c r="FC140" i="7" a="1"/>
  <c r="FC140" i="7" s="1"/>
  <c r="EY102" i="7" a="1"/>
  <c r="EY102" i="7" s="1"/>
  <c r="EH134" i="7" a="1"/>
  <c r="EH134" i="7" s="1"/>
  <c r="FF140" i="7" a="1"/>
  <c r="FF140" i="7" s="1"/>
  <c r="FJ145" i="7" a="1"/>
  <c r="FJ145" i="7" s="1"/>
  <c r="EH150" i="7" a="1"/>
  <c r="EH150" i="7" s="1"/>
  <c r="FA132" i="7" a="1"/>
  <c r="FA132" i="7" s="1"/>
  <c r="DR151" i="7" a="1"/>
  <c r="DR151" i="7" s="1"/>
  <c r="ED159" i="7" a="1"/>
  <c r="ED159" i="7" s="1"/>
  <c r="FD163" i="7" a="1"/>
  <c r="FD163" i="7" s="1"/>
  <c r="FY165" i="7" a="1"/>
  <c r="FY165" i="7" s="1"/>
  <c r="EI168" i="7" a="1"/>
  <c r="EI168" i="7" s="1"/>
  <c r="DZ171" i="7" a="1"/>
  <c r="DZ171" i="7" s="1"/>
  <c r="EU173" i="7" a="1"/>
  <c r="EU173" i="7" s="1"/>
  <c r="EK176" i="7" a="1"/>
  <c r="EK176" i="7" s="1"/>
  <c r="EK113" i="7" a="1"/>
  <c r="EK113" i="7" s="1"/>
  <c r="EF130" i="7" a="1"/>
  <c r="EF130" i="7" s="1"/>
  <c r="EL141" i="7" a="1"/>
  <c r="EL141" i="7" s="1"/>
  <c r="EQ148" i="7" a="1"/>
  <c r="EQ148" i="7" s="1"/>
  <c r="DU154" i="7" a="1"/>
  <c r="DU154" i="7" s="1"/>
  <c r="EZ116" i="7" a="1"/>
  <c r="EZ116" i="7" s="1"/>
  <c r="EX124" i="7" a="1"/>
  <c r="EX124" i="7" s="1"/>
  <c r="FB64" i="7" a="1"/>
  <c r="FB64" i="7" s="1"/>
  <c r="DW104" i="7" a="1"/>
  <c r="DW104" i="7" s="1"/>
  <c r="FS122" i="7" a="1"/>
  <c r="FS122" i="7" s="1"/>
  <c r="FV133" i="7" a="1"/>
  <c r="FV133" i="7" s="1"/>
  <c r="EK93" i="7" a="1"/>
  <c r="EK93" i="7" s="1"/>
  <c r="DX112" i="7" a="1"/>
  <c r="DX112" i="7" s="1"/>
  <c r="FN118" i="7" a="1"/>
  <c r="FN118" i="7" s="1"/>
  <c r="EN128" i="7" a="1"/>
  <c r="EN128" i="7" s="1"/>
  <c r="EV99" i="7" a="1"/>
  <c r="EV99" i="7" s="1"/>
  <c r="EH122" i="7" a="1"/>
  <c r="EH122" i="7" s="1"/>
  <c r="FZ131" i="7" a="1"/>
  <c r="FZ131" i="7" s="1"/>
  <c r="ES89" i="7" a="1"/>
  <c r="ES89" i="7" s="1"/>
  <c r="FV84" i="7" a="1"/>
  <c r="FV84" i="7" s="1"/>
  <c r="FV107" i="7" a="1"/>
  <c r="FV107" i="7" s="1"/>
  <c r="EP117" i="7" a="1"/>
  <c r="EP117" i="7" s="1"/>
  <c r="DZ126" i="7" a="1"/>
  <c r="DZ126" i="7" s="1"/>
  <c r="EB105" i="7" a="1"/>
  <c r="EB105" i="7" s="1"/>
  <c r="EP128" i="7" a="1"/>
  <c r="EP128" i="7" s="1"/>
  <c r="EQ97" i="7" a="1"/>
  <c r="EQ97" i="7" s="1"/>
  <c r="FG120" i="7" a="1"/>
  <c r="FG120" i="7" s="1"/>
  <c r="DU104" i="7" a="1"/>
  <c r="DU104" i="7" s="1"/>
  <c r="FS72" i="7" a="1"/>
  <c r="FS72" i="7" s="1"/>
  <c r="FW109" i="7" a="1"/>
  <c r="FW109" i="7" s="1"/>
  <c r="EO70" i="7" a="1"/>
  <c r="EO70" i="7" s="1"/>
  <c r="EA102" i="7" a="1"/>
  <c r="EA102" i="7" s="1"/>
  <c r="EI115" i="7" a="1"/>
  <c r="EI115" i="7" s="1"/>
  <c r="FD135" i="7" a="1"/>
  <c r="FD135" i="7" s="1"/>
  <c r="EY60" i="7" a="1"/>
  <c r="EY60" i="7" s="1"/>
  <c r="FD120" i="7" a="1"/>
  <c r="FD120" i="7" s="1"/>
  <c r="DW90" i="7" a="1"/>
  <c r="DW90" i="7" s="1"/>
  <c r="EY121" i="7" a="1"/>
  <c r="EY121" i="7" s="1"/>
  <c r="EC89" i="7" a="1"/>
  <c r="EC89" i="7" s="1"/>
  <c r="FH125" i="7" a="1"/>
  <c r="FH125" i="7" s="1"/>
  <c r="EZ101" i="7" a="1"/>
  <c r="EZ101" i="7" s="1"/>
  <c r="DW102" i="7" a="1"/>
  <c r="DW102" i="7" s="1"/>
  <c r="EJ133" i="7" a="1"/>
  <c r="EJ133" i="7" s="1"/>
  <c r="FN125" i="7" a="1"/>
  <c r="FN125" i="7" s="1"/>
  <c r="FF141" i="7" a="1"/>
  <c r="FF141" i="7" s="1"/>
  <c r="EY146" i="7" a="1"/>
  <c r="EY146" i="7" s="1"/>
  <c r="EY152" i="7" a="1"/>
  <c r="EY152" i="7" s="1"/>
  <c r="FH105" i="7" a="1"/>
  <c r="FH105" i="7" s="1"/>
  <c r="EH139" i="7" a="1"/>
  <c r="EH139" i="7" s="1"/>
  <c r="FO127" i="7" a="1"/>
  <c r="FO127" i="7" s="1"/>
  <c r="DX142" i="7" a="1"/>
  <c r="DX142" i="7" s="1"/>
  <c r="DQ147" i="7" a="1"/>
  <c r="DQ147" i="7" s="1"/>
  <c r="DQ153" i="7" a="1"/>
  <c r="DQ153" i="7" s="1"/>
  <c r="DZ121" i="7" a="1"/>
  <c r="DZ121" i="7" s="1"/>
  <c r="FZ140" i="7" a="1"/>
  <c r="FZ140" i="7" s="1"/>
  <c r="FY103" i="7" a="1"/>
  <c r="FY103" i="7" s="1"/>
  <c r="EM135" i="7" a="1"/>
  <c r="EM135" i="7" s="1"/>
  <c r="EH142" i="7" a="1"/>
  <c r="EH142" i="7" s="1"/>
  <c r="FQ145" i="7" a="1"/>
  <c r="FQ145" i="7" s="1"/>
  <c r="EO150" i="7" a="1"/>
  <c r="EO150" i="7" s="1"/>
  <c r="FM134" i="7" a="1"/>
  <c r="FM134" i="7" s="1"/>
  <c r="EB151" i="7" a="1"/>
  <c r="EB151" i="7" s="1"/>
  <c r="EW160" i="7" a="1"/>
  <c r="EW160" i="7" s="1"/>
  <c r="FL163" i="7" a="1"/>
  <c r="FL163" i="7" s="1"/>
  <c r="DV166" i="7" a="1"/>
  <c r="DV166" i="7" s="1"/>
  <c r="FX168" i="7" a="1"/>
  <c r="FX168" i="7" s="1"/>
  <c r="EH171" i="7" a="1"/>
  <c r="EH171" i="7" s="1"/>
  <c r="FC173" i="7" a="1"/>
  <c r="FC173" i="7" s="1"/>
  <c r="ET176" i="7" a="1"/>
  <c r="ET176" i="7" s="1"/>
  <c r="EG114" i="7" a="1"/>
  <c r="EG114" i="7" s="1"/>
  <c r="FB132" i="7" a="1"/>
  <c r="FB132" i="7" s="1"/>
  <c r="DS142" i="7" a="1"/>
  <c r="DS142" i="7" s="1"/>
  <c r="DY149" i="7" a="1"/>
  <c r="DY149" i="7" s="1"/>
  <c r="EF154" i="7" a="1"/>
  <c r="EF154" i="7" s="1"/>
  <c r="EL162" i="7" a="1"/>
  <c r="EL162" i="7" s="1"/>
  <c r="ES179" i="7" a="1"/>
  <c r="ES179" i="7" s="1"/>
  <c r="EX183" i="7" a="1"/>
  <c r="EX183" i="7" s="1"/>
  <c r="EU187" i="7" a="1"/>
  <c r="EU187" i="7" s="1"/>
  <c r="EO192" i="7" a="1"/>
  <c r="EO192" i="7" s="1"/>
  <c r="EL196" i="7" a="1"/>
  <c r="EL196" i="7" s="1"/>
  <c r="DW201" i="7" a="1"/>
  <c r="DW201" i="7" s="1"/>
  <c r="DW203" i="7" a="1"/>
  <c r="DW203" i="7" s="1"/>
  <c r="FB107" i="7" a="1"/>
  <c r="FB107" i="7" s="1"/>
  <c r="EU135" i="7" a="1"/>
  <c r="EU135" i="7" s="1"/>
  <c r="FK142" i="7" a="1"/>
  <c r="FK142" i="7" s="1"/>
  <c r="EC151" i="7" a="1"/>
  <c r="EC151" i="7" s="1"/>
  <c r="FH157" i="7" a="1"/>
  <c r="FH157" i="7" s="1"/>
  <c r="DR160" i="7" a="1"/>
  <c r="DR160" i="7" s="1"/>
  <c r="FS162" i="7" a="1"/>
  <c r="FS162" i="7" s="1"/>
  <c r="EC165" i="7" a="1"/>
  <c r="EC165" i="7" s="1"/>
  <c r="DT168" i="7" a="1"/>
  <c r="DT168" i="7" s="1"/>
  <c r="EO170" i="7" a="1"/>
  <c r="EO170" i="7" s="1"/>
  <c r="FJ172" i="7" a="1"/>
  <c r="FJ172" i="7" s="1"/>
  <c r="FA175" i="7" a="1"/>
  <c r="FA175" i="7" s="1"/>
  <c r="FV177" i="7" a="1"/>
  <c r="FV177" i="7" s="1"/>
  <c r="FG107" i="7" a="1"/>
  <c r="FG107" i="7" s="1"/>
  <c r="FQ127" i="7" a="1"/>
  <c r="FQ127" i="7" s="1"/>
  <c r="DX139" i="7" a="1"/>
  <c r="DX139" i="7" s="1"/>
  <c r="FD148" i="7" a="1"/>
  <c r="FD148" i="7" s="1"/>
  <c r="EU153" i="7" a="1"/>
  <c r="EU153" i="7" s="1"/>
  <c r="EE162" i="7" a="1"/>
  <c r="EE162" i="7" s="1"/>
  <c r="EE176" i="7" a="1"/>
  <c r="EE176" i="7" s="1"/>
  <c r="FB182" i="7" a="1"/>
  <c r="FB182" i="7" s="1"/>
  <c r="EV187" i="7" a="1"/>
  <c r="EV187" i="7" s="1"/>
  <c r="ES191" i="7" a="1"/>
  <c r="ES191" i="7" s="1"/>
  <c r="EM196" i="7" a="1"/>
  <c r="EM196" i="7" s="1"/>
  <c r="EK114" i="7" a="1"/>
  <c r="EK114" i="7" s="1"/>
  <c r="EX131" i="7" a="1"/>
  <c r="EX131" i="7" s="1"/>
  <c r="FL142" i="7" a="1"/>
  <c r="FL142" i="7" s="1"/>
  <c r="FJ101" i="7" a="1"/>
  <c r="FJ101" i="7" s="1"/>
  <c r="EO124" i="7" a="1"/>
  <c r="EO124" i="7" s="1"/>
  <c r="GA137" i="7" a="1"/>
  <c r="GA137" i="7" s="1"/>
  <c r="EF145" i="7" a="1"/>
  <c r="EF145" i="7" s="1"/>
  <c r="DT156" i="7" a="1"/>
  <c r="DT156" i="7" s="1"/>
  <c r="EO158" i="7" a="1"/>
  <c r="EO158" i="7" s="1"/>
  <c r="EF161" i="7" a="1"/>
  <c r="EF161" i="7" s="1"/>
  <c r="FA163" i="7" a="1"/>
  <c r="FA163" i="7" s="1"/>
  <c r="FV165" i="7" a="1"/>
  <c r="FV165" i="7" s="1"/>
  <c r="FL168" i="7" a="1"/>
  <c r="FL168" i="7" s="1"/>
  <c r="DV171" i="7" a="1"/>
  <c r="DV171" i="7" s="1"/>
  <c r="FX173" i="7" a="1"/>
  <c r="FX173" i="7" s="1"/>
  <c r="EH176" i="7" a="1"/>
  <c r="EH176" i="7" s="1"/>
  <c r="FI132" i="7" a="1"/>
  <c r="FI132" i="7" s="1"/>
  <c r="FI147" i="7" a="1"/>
  <c r="FI147" i="7" s="1"/>
  <c r="EB154" i="7" a="1"/>
  <c r="EB154" i="7" s="1"/>
  <c r="FG162" i="7" a="1"/>
  <c r="FG162" i="7" s="1"/>
  <c r="FA130" i="7" a="1"/>
  <c r="FA130" i="7" s="1"/>
  <c r="EF144" i="7" a="1"/>
  <c r="EF144" i="7" s="1"/>
  <c r="FH154" i="7" a="1"/>
  <c r="FH154" i="7" s="1"/>
  <c r="FN108" i="7" a="1"/>
  <c r="FN108" i="7" s="1"/>
  <c r="FG134" i="7" a="1"/>
  <c r="FG134" i="7" s="1"/>
  <c r="DS152" i="7" a="1"/>
  <c r="DS152" i="7" s="1"/>
  <c r="EU158" i="7" a="1"/>
  <c r="EU158" i="7" s="1"/>
  <c r="EN123" i="7" a="1"/>
  <c r="EN123" i="7" s="1"/>
  <c r="EU143" i="7" a="1"/>
  <c r="EU143" i="7" s="1"/>
  <c r="FH149" i="7" a="1"/>
  <c r="FH149" i="7" s="1"/>
  <c r="FD155" i="7" a="1"/>
  <c r="FD155" i="7" s="1"/>
  <c r="EO123" i="7" a="1"/>
  <c r="EO123" i="7" s="1"/>
  <c r="EY129" i="7" a="1"/>
  <c r="EY129" i="7" s="1"/>
  <c r="EM144" i="7" a="1"/>
  <c r="EM144" i="7" s="1"/>
  <c r="EB149" i="7" a="1"/>
  <c r="EB149" i="7" s="1"/>
  <c r="EK136" i="7" a="1"/>
  <c r="EK136" i="7" s="1"/>
  <c r="FS148" i="7" a="1"/>
  <c r="FS148" i="7" s="1"/>
  <c r="EZ159" i="7" a="1"/>
  <c r="EZ159" i="7" s="1"/>
  <c r="ER164" i="7" a="1"/>
  <c r="ER164" i="7" s="1"/>
  <c r="DV170" i="7" a="1"/>
  <c r="DV170" i="7" s="1"/>
  <c r="EN176" i="7" a="1"/>
  <c r="EN176" i="7" s="1"/>
  <c r="DV180" i="7" a="1"/>
  <c r="DV180" i="7" s="1"/>
  <c r="FR183" i="7" a="1"/>
  <c r="FR183" i="7" s="1"/>
  <c r="FD187" i="7" a="1"/>
  <c r="FD187" i="7" s="1"/>
  <c r="FF191" i="7" a="1"/>
  <c r="FF191" i="7" s="1"/>
  <c r="FA195" i="7" a="1"/>
  <c r="FA195" i="7" s="1"/>
  <c r="DY199" i="7" a="1"/>
  <c r="DY199" i="7" s="1"/>
  <c r="FJ134" i="7" a="1"/>
  <c r="FJ134" i="7" s="1"/>
  <c r="FA150" i="7" a="1"/>
  <c r="FA150" i="7" s="1"/>
  <c r="DU159" i="7" a="1"/>
  <c r="DU159" i="7" s="1"/>
  <c r="FV166" i="7" a="1"/>
  <c r="FV166" i="7" s="1"/>
  <c r="EX172" i="7" a="1"/>
  <c r="EX172" i="7" s="1"/>
  <c r="DR178" i="7" a="1"/>
  <c r="DR178" i="7" s="1"/>
  <c r="FC182" i="7" a="1"/>
  <c r="FC182" i="7" s="1"/>
  <c r="EN186" i="7" a="1"/>
  <c r="EN186" i="7" s="1"/>
  <c r="DZ190" i="7" a="1"/>
  <c r="DZ190" i="7" s="1"/>
  <c r="EL194" i="7" a="1"/>
  <c r="EL194" i="7" s="1"/>
  <c r="DY119" i="7" a="1"/>
  <c r="DY119" i="7" s="1"/>
  <c r="DX141" i="7" a="1"/>
  <c r="DX141" i="7" s="1"/>
  <c r="FQ153" i="7" a="1"/>
  <c r="FQ153" i="7" s="1"/>
  <c r="EP161" i="7" a="1"/>
  <c r="EP161" i="7" s="1"/>
  <c r="EW166" i="7" a="1"/>
  <c r="EW166" i="7" s="1"/>
  <c r="EL171" i="7" a="1"/>
  <c r="EL171" i="7" s="1"/>
  <c r="FA176" i="7" a="1"/>
  <c r="FA176" i="7" s="1"/>
  <c r="EW180" i="7" a="1"/>
  <c r="EW180" i="7" s="1"/>
  <c r="DQ184" i="7" a="1"/>
  <c r="DQ184" i="7" s="1"/>
  <c r="FE187" i="7" a="1"/>
  <c r="FE187" i="7" s="1"/>
  <c r="FL131" i="7" a="1"/>
  <c r="FL131" i="7" s="1"/>
  <c r="FL149" i="7" a="1"/>
  <c r="FL149" i="7" s="1"/>
  <c r="FH116" i="7" a="1"/>
  <c r="FH116" i="7" s="1"/>
  <c r="FM124" i="7" a="1"/>
  <c r="FM124" i="7" s="1"/>
  <c r="FP65" i="7" a="1"/>
  <c r="FP65" i="7" s="1"/>
  <c r="EI104" i="7" a="1"/>
  <c r="EI104" i="7" s="1"/>
  <c r="DW123" i="7" a="1"/>
  <c r="DW123" i="7" s="1"/>
  <c r="DR134" i="7" a="1"/>
  <c r="DR134" i="7" s="1"/>
  <c r="FB93" i="7" a="1"/>
  <c r="FB93" i="7" s="1"/>
  <c r="EJ112" i="7" a="1"/>
  <c r="EJ112" i="7" s="1"/>
  <c r="FV118" i="7" a="1"/>
  <c r="FV118" i="7" s="1"/>
  <c r="FO32" i="7" a="1"/>
  <c r="FO32" i="7" s="1"/>
  <c r="FH99" i="7" a="1"/>
  <c r="FH99" i="7" s="1"/>
  <c r="EW122" i="7" a="1"/>
  <c r="EW122" i="7" s="1"/>
  <c r="ED132" i="7" a="1"/>
  <c r="ED132" i="7" s="1"/>
  <c r="FW89" i="7" a="1"/>
  <c r="FW89" i="7" s="1"/>
  <c r="EJ85" i="7" a="1"/>
  <c r="EJ85" i="7" s="1"/>
  <c r="EU108" i="7" a="1"/>
  <c r="EU108" i="7" s="1"/>
  <c r="EY117" i="7" a="1"/>
  <c r="EY117" i="7" s="1"/>
  <c r="EO126" i="7" a="1"/>
  <c r="EO126" i="7" s="1"/>
  <c r="FO105" i="7" a="1"/>
  <c r="FO105" i="7" s="1"/>
  <c r="EJ129" i="7" a="1"/>
  <c r="EJ129" i="7" s="1"/>
  <c r="EB98" i="7" a="1"/>
  <c r="EB98" i="7" s="1"/>
  <c r="EH121" i="7" a="1"/>
  <c r="EH121" i="7" s="1"/>
  <c r="EN104" i="7" a="1"/>
  <c r="EN104" i="7" s="1"/>
  <c r="FZ76" i="7" a="1"/>
  <c r="FZ76" i="7" s="1"/>
  <c r="EB110" i="7" a="1"/>
  <c r="EB110" i="7" s="1"/>
  <c r="FQ71" i="7" a="1"/>
  <c r="FQ71" i="7" s="1"/>
  <c r="DS103" i="7" a="1"/>
  <c r="DS103" i="7" s="1"/>
  <c r="EZ115" i="7" a="1"/>
  <c r="EZ115" i="7" s="1"/>
  <c r="FK135" i="7" a="1"/>
  <c r="FK135" i="7" s="1"/>
  <c r="DS72" i="7" a="1"/>
  <c r="DS72" i="7" s="1"/>
  <c r="EC121" i="7" a="1"/>
  <c r="EC121" i="7" s="1"/>
  <c r="EH91" i="7" a="1"/>
  <c r="EH91" i="7" s="1"/>
  <c r="FO121" i="7" a="1"/>
  <c r="FO121" i="7" s="1"/>
  <c r="FU94" i="7" a="1"/>
  <c r="FU94" i="7" s="1"/>
  <c r="EY126" i="7" a="1"/>
  <c r="EY126" i="7" s="1"/>
  <c r="FY101" i="7" a="1"/>
  <c r="FY101" i="7" s="1"/>
  <c r="DR103" i="7" a="1"/>
  <c r="DR103" i="7" s="1"/>
  <c r="ES133" i="7" a="1"/>
  <c r="ES133" i="7" s="1"/>
  <c r="DT128" i="7" a="1"/>
  <c r="DT128" i="7" s="1"/>
  <c r="FM141" i="7" a="1"/>
  <c r="FM141" i="7" s="1"/>
  <c r="FF146" i="7" a="1"/>
  <c r="FF146" i="7" s="1"/>
  <c r="FF152" i="7" a="1"/>
  <c r="FF152" i="7" s="1"/>
  <c r="EH106" i="7" a="1"/>
  <c r="EH106" i="7" s="1"/>
  <c r="FE139" i="7" a="1"/>
  <c r="FE139" i="7" s="1"/>
  <c r="DV128" i="7" a="1"/>
  <c r="DV128" i="7" s="1"/>
  <c r="EE142" i="7" a="1"/>
  <c r="EE142" i="7" s="1"/>
  <c r="DX147" i="7" a="1"/>
  <c r="DX147" i="7" s="1"/>
  <c r="DX153" i="7" a="1"/>
  <c r="DX153" i="7" s="1"/>
  <c r="GA121" i="7" a="1"/>
  <c r="GA121" i="7" s="1"/>
  <c r="ED141" i="7" a="1"/>
  <c r="ED141" i="7" s="1"/>
  <c r="EK105" i="7" a="1"/>
  <c r="EK105" i="7" s="1"/>
  <c r="EY135" i="7" a="1"/>
  <c r="EY135" i="7" s="1"/>
  <c r="EO142" i="7" a="1"/>
  <c r="EO142" i="7" s="1"/>
  <c r="FX146" i="7" a="1"/>
  <c r="FX146" i="7" s="1"/>
  <c r="EV150" i="7" a="1"/>
  <c r="EV150" i="7" s="1"/>
  <c r="DX118" i="7" a="1"/>
  <c r="DX118" i="7" s="1"/>
  <c r="DQ125" i="7" a="1"/>
  <c r="DQ125" i="7" s="1"/>
  <c r="FC81" i="7" a="1"/>
  <c r="FC81" i="7" s="1"/>
  <c r="ET104" i="7" a="1"/>
  <c r="ET104" i="7" s="1"/>
  <c r="FC125" i="7" a="1"/>
  <c r="FC125" i="7" s="1"/>
  <c r="DY134" i="7" a="1"/>
  <c r="DY134" i="7" s="1"/>
  <c r="DU98" i="7" a="1"/>
  <c r="DU98" i="7" s="1"/>
  <c r="EU112" i="7" a="1"/>
  <c r="EU112" i="7" s="1"/>
  <c r="EL120" i="7" a="1"/>
  <c r="EL120" i="7" s="1"/>
  <c r="EO41" i="7" a="1"/>
  <c r="EO41" i="7" s="1"/>
  <c r="FX103" i="7" a="1"/>
  <c r="FX103" i="7" s="1"/>
  <c r="FE122" i="7" a="1"/>
  <c r="FE122" i="7" s="1"/>
  <c r="FP133" i="7" a="1"/>
  <c r="FP133" i="7" s="1"/>
  <c r="EM90" i="7" a="1"/>
  <c r="EM90" i="7" s="1"/>
  <c r="FI91" i="7" a="1"/>
  <c r="FI91" i="7" s="1"/>
  <c r="FF108" i="7" a="1"/>
  <c r="FF108" i="7" s="1"/>
  <c r="FY118" i="7" a="1"/>
  <c r="FY118" i="7" s="1"/>
  <c r="FD126" i="7" a="1"/>
  <c r="FD126" i="7" s="1"/>
  <c r="FX112" i="7" a="1"/>
  <c r="FX112" i="7" s="1"/>
  <c r="FM129" i="7" a="1"/>
  <c r="FM129" i="7" s="1"/>
  <c r="EM104" i="7" a="1"/>
  <c r="EM104" i="7" s="1"/>
  <c r="ET121" i="7" a="1"/>
  <c r="ET121" i="7" s="1"/>
  <c r="FM112" i="7" a="1"/>
  <c r="FM112" i="7" s="1"/>
  <c r="DW78" i="7" a="1"/>
  <c r="DW78" i="7" s="1"/>
  <c r="ES114" i="7" a="1"/>
  <c r="ES114" i="7" s="1"/>
  <c r="FT72" i="7" a="1"/>
  <c r="FT72" i="7" s="1"/>
  <c r="FX107" i="7" a="1"/>
  <c r="FX107" i="7" s="1"/>
  <c r="FP115" i="7" a="1"/>
  <c r="FP115" i="7" s="1"/>
  <c r="FY136" i="7" a="1"/>
  <c r="FY136" i="7" s="1"/>
  <c r="FC74" i="7" a="1"/>
  <c r="FC74" i="7" s="1"/>
  <c r="EI126" i="7" a="1"/>
  <c r="EI126" i="7" s="1"/>
  <c r="EL92" i="7" a="1"/>
  <c r="EL92" i="7" s="1"/>
  <c r="FY126" i="7" a="1"/>
  <c r="FY126" i="7" s="1"/>
  <c r="EC96" i="7" a="1"/>
  <c r="EC96" i="7" s="1"/>
  <c r="FH129" i="7" a="1"/>
  <c r="FH129" i="7" s="1"/>
  <c r="ES102" i="7" a="1"/>
  <c r="ES102" i="7" s="1"/>
  <c r="FA112" i="7" a="1"/>
  <c r="FA112" i="7" s="1"/>
  <c r="DU134" i="7" a="1"/>
  <c r="DU134" i="7" s="1"/>
  <c r="ER133" i="7" a="1"/>
  <c r="ER133" i="7" s="1"/>
  <c r="FT141" i="7" a="1"/>
  <c r="FT141" i="7" s="1"/>
  <c r="FT147" i="7" a="1"/>
  <c r="FT147" i="7" s="1"/>
  <c r="FM152" i="7" a="1"/>
  <c r="FM152" i="7" s="1"/>
  <c r="FW114" i="7" a="1"/>
  <c r="FW114" i="7" s="1"/>
  <c r="FT139" i="7" a="1"/>
  <c r="FT139" i="7" s="1"/>
  <c r="FX133" i="7" a="1"/>
  <c r="FX133" i="7" s="1"/>
  <c r="EL142" i="7" a="1"/>
  <c r="EL142" i="7" s="1"/>
  <c r="EL148" i="7" a="1"/>
  <c r="EL148" i="7" s="1"/>
  <c r="EE153" i="7" a="1"/>
  <c r="EE153" i="7" s="1"/>
  <c r="FS126" i="7" a="1"/>
  <c r="FS126" i="7" s="1"/>
  <c r="ER104" i="7" a="1"/>
  <c r="ER104" i="7" s="1"/>
  <c r="EQ107" i="7" a="1"/>
  <c r="EQ107" i="7" s="1"/>
  <c r="FI135" i="7" a="1"/>
  <c r="FI135" i="7" s="1"/>
  <c r="EV142" i="7" a="1"/>
  <c r="EV142" i="7" s="1"/>
  <c r="DT147" i="7" a="1"/>
  <c r="DT147" i="7" s="1"/>
  <c r="FC151" i="7" a="1"/>
  <c r="FC151" i="7" s="1"/>
  <c r="ET136" i="7" a="1"/>
  <c r="ET136" i="7" s="1"/>
  <c r="FS151" i="7" a="1"/>
  <c r="FS151" i="7" s="1"/>
  <c r="EF118" i="7" a="1"/>
  <c r="EF118" i="7" s="1"/>
  <c r="EF125" i="7" a="1"/>
  <c r="EF125" i="7" s="1"/>
  <c r="EA82" i="7" a="1"/>
  <c r="EA82" i="7" s="1"/>
  <c r="FQ104" i="7" a="1"/>
  <c r="FQ104" i="7" s="1"/>
  <c r="FR125" i="7" a="1"/>
  <c r="FR125" i="7" s="1"/>
  <c r="EF134" i="7" a="1"/>
  <c r="EF134" i="7" s="1"/>
  <c r="EG98" i="7" a="1"/>
  <c r="EG98" i="7" s="1"/>
  <c r="FG112" i="7" a="1"/>
  <c r="FG112" i="7" s="1"/>
  <c r="ET120" i="7" a="1"/>
  <c r="ET120" i="7" s="1"/>
  <c r="EA53" i="7" a="1"/>
  <c r="EA53" i="7" s="1"/>
  <c r="DX104" i="7" a="1"/>
  <c r="DX104" i="7" s="1"/>
  <c r="FT122" i="7" a="1"/>
  <c r="FT122" i="7" s="1"/>
  <c r="FW133" i="7" a="1"/>
  <c r="FW133" i="7" s="1"/>
  <c r="DY91" i="7" a="1"/>
  <c r="DY91" i="7" s="1"/>
  <c r="DX93" i="7" a="1"/>
  <c r="DX93" i="7" s="1"/>
  <c r="FR108" i="7" a="1"/>
  <c r="FR108" i="7" s="1"/>
  <c r="DW119" i="7" a="1"/>
  <c r="DW119" i="7" s="1"/>
  <c r="FL126" i="7" a="1"/>
  <c r="FL126" i="7" s="1"/>
  <c r="ET113" i="7" a="1"/>
  <c r="ET113" i="7" s="1"/>
  <c r="FW129" i="7" a="1"/>
  <c r="FW129" i="7" s="1"/>
  <c r="FC104" i="7" a="1"/>
  <c r="FC104" i="7" s="1"/>
  <c r="FS121" i="7" a="1"/>
  <c r="FS121" i="7" s="1"/>
  <c r="FY113" i="7" a="1"/>
  <c r="FY113" i="7" s="1"/>
  <c r="DR79" i="7" a="1"/>
  <c r="DR79" i="7" s="1"/>
  <c r="DT115" i="7" a="1"/>
  <c r="DT115" i="7" s="1"/>
  <c r="EJ75" i="7" a="1"/>
  <c r="EJ75" i="7" s="1"/>
  <c r="EG108" i="7" a="1"/>
  <c r="EG108" i="7" s="1"/>
  <c r="EC117" i="7" a="1"/>
  <c r="EC117" i="7" s="1"/>
  <c r="DU137" i="7" a="1"/>
  <c r="DU137" i="7" s="1"/>
  <c r="EQ78" i="7" a="1"/>
  <c r="EQ78" i="7" s="1"/>
  <c r="EW126" i="7" a="1"/>
  <c r="EW126" i="7" s="1"/>
  <c r="ED93" i="7" a="1"/>
  <c r="ED93" i="7" s="1"/>
  <c r="EM127" i="7" a="1"/>
  <c r="EM127" i="7" s="1"/>
  <c r="EL97" i="7" a="1"/>
  <c r="EL97" i="7" s="1"/>
  <c r="FR129" i="7" a="1"/>
  <c r="FR129" i="7" s="1"/>
  <c r="EO44" i="7" a="1"/>
  <c r="EO44" i="7" s="1"/>
  <c r="EG113" i="7" a="1"/>
  <c r="EG113" i="7" s="1"/>
  <c r="ED134" i="7" a="1"/>
  <c r="ED134" i="7" s="1"/>
  <c r="FU133" i="7" a="1"/>
  <c r="FU133" i="7" s="1"/>
  <c r="GA141" i="7" a="1"/>
  <c r="GA141" i="7" s="1"/>
  <c r="GA147" i="7" a="1"/>
  <c r="GA147" i="7" s="1"/>
  <c r="FT152" i="7" a="1"/>
  <c r="FT152" i="7" s="1"/>
  <c r="FM115" i="7" a="1"/>
  <c r="FM115" i="7" s="1"/>
  <c r="DX140" i="7" a="1"/>
  <c r="DX140" i="7" s="1"/>
  <c r="EP134" i="7" a="1"/>
  <c r="EP134" i="7" s="1"/>
  <c r="ES142" i="7" a="1"/>
  <c r="ES142" i="7" s="1"/>
  <c r="ES148" i="7" a="1"/>
  <c r="ES148" i="7" s="1"/>
  <c r="EL153" i="7" a="1"/>
  <c r="EL153" i="7" s="1"/>
  <c r="EU127" i="7" a="1"/>
  <c r="EU127" i="7" s="1"/>
  <c r="DZ105" i="7" a="1"/>
  <c r="DZ105" i="7" s="1"/>
  <c r="FV116" i="7" a="1"/>
  <c r="FV116" i="7" s="1"/>
  <c r="DS136" i="7" a="1"/>
  <c r="DS136" i="7" s="1"/>
  <c r="FC142" i="7" a="1"/>
  <c r="FC142" i="7" s="1"/>
  <c r="EA147" i="7" a="1"/>
  <c r="EA147" i="7" s="1"/>
  <c r="FJ151" i="7" a="1"/>
  <c r="FJ151" i="7" s="1"/>
  <c r="EO135" i="7" a="1"/>
  <c r="EO135" i="7" s="1"/>
  <c r="EC169" i="7" a="1"/>
  <c r="EC169" i="7" s="1"/>
  <c r="EL133" i="7" a="1"/>
  <c r="EL133" i="7" s="1"/>
  <c r="FU163" i="7" a="1"/>
  <c r="FU163" i="7" s="1"/>
  <c r="DZ192" i="7" a="1"/>
  <c r="DZ192" i="7" s="1"/>
  <c r="EK203" i="7" a="1"/>
  <c r="EK203" i="7" s="1"/>
  <c r="EU149" i="7" a="1"/>
  <c r="EU149" i="7" s="1"/>
  <c r="DY163" i="7" a="1"/>
  <c r="DY163" i="7" s="1"/>
  <c r="FB172" i="7" a="1"/>
  <c r="FB172" i="7" s="1"/>
  <c r="EP111" i="7" a="1"/>
  <c r="EP111" i="7" s="1"/>
  <c r="EJ153" i="7" a="1"/>
  <c r="EJ153" i="7" s="1"/>
  <c r="FV183" i="7" a="1"/>
  <c r="FV183" i="7" s="1"/>
  <c r="FB112" i="7" a="1"/>
  <c r="FB112" i="7" s="1"/>
  <c r="DT87" i="7" a="1"/>
  <c r="DT87" i="7" s="1"/>
  <c r="FW155" i="7" a="1"/>
  <c r="FW155" i="7" s="1"/>
  <c r="FQ163" i="7" a="1"/>
  <c r="FQ163" i="7" s="1"/>
  <c r="EI173" i="7" a="1"/>
  <c r="EI173" i="7" s="1"/>
  <c r="EF148" i="7" a="1"/>
  <c r="EF148" i="7" s="1"/>
  <c r="FZ143" i="7" a="1"/>
  <c r="FZ143" i="7" s="1"/>
  <c r="EA136" i="7" a="1"/>
  <c r="EA136" i="7" s="1"/>
  <c r="FS142" i="7" a="1"/>
  <c r="FS142" i="7" s="1"/>
  <c r="DT126" i="7" a="1"/>
  <c r="DT126" i="7" s="1"/>
  <c r="EY134" i="7" a="1"/>
  <c r="EY134" i="7" s="1"/>
  <c r="EH166" i="7" a="1"/>
  <c r="EH166" i="7" s="1"/>
  <c r="FA183" i="7" a="1"/>
  <c r="FA183" i="7" s="1"/>
  <c r="DQ196" i="7" a="1"/>
  <c r="DQ196" i="7" s="1"/>
  <c r="FO158" i="7" a="1"/>
  <c r="FO158" i="7" s="1"/>
  <c r="FI178" i="7" a="1"/>
  <c r="FI178" i="7" s="1"/>
  <c r="FV193" i="7" a="1"/>
  <c r="FV193" i="7" s="1"/>
  <c r="DX155" i="7" a="1"/>
  <c r="DX155" i="7" s="1"/>
  <c r="EO176" i="7" a="1"/>
  <c r="EO176" i="7" s="1"/>
  <c r="EW77" i="7" a="1"/>
  <c r="EW77" i="7" s="1"/>
  <c r="FB159" i="7" a="1"/>
  <c r="FB159" i="7" s="1"/>
  <c r="FX169" i="7" a="1"/>
  <c r="FX169" i="7" s="1"/>
  <c r="DS179" i="7" a="1"/>
  <c r="DS179" i="7" s="1"/>
  <c r="FK183" i="7" a="1"/>
  <c r="FK183" i="7" s="1"/>
  <c r="EI128" i="7" a="1"/>
  <c r="EI128" i="7" s="1"/>
  <c r="FH147" i="7" a="1"/>
  <c r="FH147" i="7" s="1"/>
  <c r="EV117" i="7" a="1"/>
  <c r="EV117" i="7" s="1"/>
  <c r="FR151" i="7" a="1"/>
  <c r="FR151" i="7" s="1"/>
  <c r="DR120" i="7" a="1"/>
  <c r="DR120" i="7" s="1"/>
  <c r="FA146" i="7" a="1"/>
  <c r="FA146" i="7" s="1"/>
  <c r="EH161" i="7" a="1"/>
  <c r="EH161" i="7" s="1"/>
  <c r="GA170" i="7" a="1"/>
  <c r="GA170" i="7" s="1"/>
  <c r="ER178" i="7" a="1"/>
  <c r="ER178" i="7" s="1"/>
  <c r="EJ185" i="7" a="1"/>
  <c r="EJ185" i="7" s="1"/>
  <c r="FO141" i="7" a="1"/>
  <c r="FO141" i="7" s="1"/>
  <c r="FR166" i="7" a="1"/>
  <c r="FR166" i="7" s="1"/>
  <c r="DU175" i="7" a="1"/>
  <c r="DU175" i="7" s="1"/>
  <c r="DX184" i="7" a="1"/>
  <c r="DX184" i="7" s="1"/>
  <c r="EG190" i="7" a="1"/>
  <c r="EG190" i="7" s="1"/>
  <c r="DQ198" i="7" a="1"/>
  <c r="DQ198" i="7" s="1"/>
  <c r="EC204" i="7" a="1"/>
  <c r="EC204" i="7" s="1"/>
  <c r="FL205" i="7" a="1"/>
  <c r="FL205" i="7" s="1"/>
  <c r="EJ207" i="7" a="1"/>
  <c r="EJ207" i="7" s="1"/>
  <c r="FS208" i="7" a="1"/>
  <c r="FS208" i="7" s="1"/>
  <c r="EQ210" i="7" a="1"/>
  <c r="EQ210" i="7" s="1"/>
  <c r="FZ211" i="7" a="1"/>
  <c r="FZ211" i="7" s="1"/>
  <c r="EX213" i="7" a="1"/>
  <c r="EX213" i="7" s="1"/>
  <c r="DV215" i="7" a="1"/>
  <c r="DV215" i="7" s="1"/>
  <c r="FE216" i="7" a="1"/>
  <c r="FE216" i="7" s="1"/>
  <c r="FP141" i="7" a="1"/>
  <c r="FP141" i="7" s="1"/>
  <c r="EL161" i="7" a="1"/>
  <c r="EL161" i="7" s="1"/>
  <c r="FG170" i="7" a="1"/>
  <c r="FG170" i="7" s="1"/>
  <c r="ET180" i="7" a="1"/>
  <c r="ET180" i="7" s="1"/>
  <c r="EB187" i="7" a="1"/>
  <c r="EB187" i="7" s="1"/>
  <c r="DS193" i="7" a="1"/>
  <c r="DS193" i="7" s="1"/>
  <c r="FN196" i="7" a="1"/>
  <c r="FN196" i="7" s="1"/>
  <c r="EZ199" i="7" a="1"/>
  <c r="EZ199" i="7" s="1"/>
  <c r="DY203" i="7" a="1"/>
  <c r="DY203" i="7" s="1"/>
  <c r="FE143" i="7" a="1"/>
  <c r="FE143" i="7" s="1"/>
  <c r="FH162" i="7" a="1"/>
  <c r="FH162" i="7" s="1"/>
  <c r="FT172" i="7" a="1"/>
  <c r="FT172" i="7" s="1"/>
  <c r="FB178" i="7" a="1"/>
  <c r="FB178" i="7" s="1"/>
  <c r="EH183" i="7" a="1"/>
  <c r="EH183" i="7" s="1"/>
  <c r="DY189" i="7" a="1"/>
  <c r="DY189" i="7" s="1"/>
  <c r="ED193" i="7" a="1"/>
  <c r="ED193" i="7" s="1"/>
  <c r="DY197" i="7" a="1"/>
  <c r="DY197" i="7" s="1"/>
  <c r="FC200" i="7" a="1"/>
  <c r="FC200" i="7" s="1"/>
  <c r="FZ203" i="7" a="1"/>
  <c r="FZ203" i="7" s="1"/>
  <c r="FF205" i="7" a="1"/>
  <c r="FF205" i="7" s="1"/>
  <c r="ED207" i="7" a="1"/>
  <c r="ED207" i="7" s="1"/>
  <c r="FM208" i="7" a="1"/>
  <c r="FM208" i="7" s="1"/>
  <c r="FS147" i="7" a="1"/>
  <c r="FS147" i="7" s="1"/>
  <c r="DS165" i="7" a="1"/>
  <c r="DS165" i="7" s="1"/>
  <c r="DU170" i="7" a="1"/>
  <c r="DU170" i="7" s="1"/>
  <c r="EK178" i="7" a="1"/>
  <c r="EK178" i="7" s="1"/>
  <c r="FS182" i="7" a="1"/>
  <c r="FS182" i="7" s="1"/>
  <c r="EM188" i="7" a="1"/>
  <c r="EM188" i="7" s="1"/>
  <c r="FA192" i="7" a="1"/>
  <c r="FA192" i="7" s="1"/>
  <c r="FT197" i="7" a="1"/>
  <c r="FT197" i="7" s="1"/>
  <c r="FQ201" i="7" a="1"/>
  <c r="FQ201" i="7" s="1"/>
  <c r="FM136" i="7" a="1"/>
  <c r="FM136" i="7" s="1"/>
  <c r="ED158" i="7" a="1"/>
  <c r="ED158" i="7" s="1"/>
  <c r="ES169" i="7" a="1"/>
  <c r="ES169" i="7" s="1"/>
  <c r="EM147" i="7" a="1"/>
  <c r="EM147" i="7" s="1"/>
  <c r="FR163" i="7" a="1"/>
  <c r="FR163" i="7" s="1"/>
  <c r="ES176" i="7" a="1"/>
  <c r="ES176" i="7" s="1"/>
  <c r="EW182" i="7" a="1"/>
  <c r="EW182" i="7" s="1"/>
  <c r="FU187" i="7" a="1"/>
  <c r="FU187" i="7" s="1"/>
  <c r="FN192" i="7" a="1"/>
  <c r="FN192" i="7" s="1"/>
  <c r="FU195" i="7" a="1"/>
  <c r="FU195" i="7" s="1"/>
  <c r="FL199" i="7" a="1"/>
  <c r="FL199" i="7" s="1"/>
  <c r="EQ203" i="7" a="1"/>
  <c r="EQ203" i="7" s="1"/>
  <c r="EW159" i="7" a="1"/>
  <c r="EW159" i="7" s="1"/>
  <c r="ER173" i="7" a="1"/>
  <c r="ER173" i="7" s="1"/>
  <c r="FJ181" i="7" a="1"/>
  <c r="FJ181" i="7" s="1"/>
  <c r="FD191" i="7" a="1"/>
  <c r="FD191" i="7" s="1"/>
  <c r="FB146" i="7" a="1"/>
  <c r="FB146" i="7" s="1"/>
  <c r="DU171" i="7" a="1"/>
  <c r="DU171" i="7" s="1"/>
  <c r="DY182" i="7" a="1"/>
  <c r="DY182" i="7" s="1"/>
  <c r="EN189" i="7" a="1"/>
  <c r="EN189" i="7" s="1"/>
  <c r="GA196" i="7" a="1"/>
  <c r="GA196" i="7" s="1"/>
  <c r="EX159" i="7" a="1"/>
  <c r="EX159" i="7" s="1"/>
  <c r="DS174" i="7" a="1"/>
  <c r="DS174" i="7" s="1"/>
  <c r="EU183" i="7" a="1"/>
  <c r="EU183" i="7" s="1"/>
  <c r="EA191" i="7" a="1"/>
  <c r="EA191" i="7" s="1"/>
  <c r="EE197" i="7" a="1"/>
  <c r="EE197" i="7" s="1"/>
  <c r="FV150" i="7" a="1"/>
  <c r="FV150" i="7" s="1"/>
  <c r="ER167" i="7" a="1"/>
  <c r="ER167" i="7" s="1"/>
  <c r="EF178" i="7" a="1"/>
  <c r="EF178" i="7" s="1"/>
  <c r="FU186" i="7" a="1"/>
  <c r="FU186" i="7" s="1"/>
  <c r="FJ194" i="7" a="1"/>
  <c r="FJ194" i="7" s="1"/>
  <c r="FP156" i="7" a="1"/>
  <c r="FP156" i="7" s="1"/>
  <c r="ES177" i="7" a="1"/>
  <c r="ES177" i="7" s="1"/>
  <c r="EC185" i="7" a="1"/>
  <c r="EC185" i="7" s="1"/>
  <c r="FI191" i="7" a="1"/>
  <c r="FI191" i="7" s="1"/>
  <c r="FZ138" i="7" a="1"/>
  <c r="FZ138" i="7" s="1"/>
  <c r="FQ164" i="7" a="1"/>
  <c r="FQ164" i="7" s="1"/>
  <c r="DX175" i="7" a="1"/>
  <c r="DX175" i="7" s="1"/>
  <c r="EI185" i="7" a="1"/>
  <c r="EI185" i="7" s="1"/>
  <c r="EC192" i="7" a="1"/>
  <c r="EC192" i="7" s="1"/>
  <c r="DX157" i="7" a="1"/>
  <c r="DX157" i="7" s="1"/>
  <c r="DY173" i="7" a="1"/>
  <c r="DY173" i="7" s="1"/>
  <c r="EF183" i="7" a="1"/>
  <c r="EF183" i="7" s="1"/>
  <c r="GA190" i="7" a="1"/>
  <c r="GA190" i="7" s="1"/>
  <c r="GA158" i="7" a="1"/>
  <c r="GA158" i="7" s="1"/>
  <c r="FH174" i="7" a="1"/>
  <c r="FH174" i="7" s="1"/>
  <c r="FD185" i="7" a="1"/>
  <c r="FD185" i="7" s="1"/>
  <c r="DQ192" i="7" a="1"/>
  <c r="DQ192" i="7" s="1"/>
  <c r="FQ160" i="7" a="1"/>
  <c r="FQ160" i="7" s="1"/>
  <c r="FC177" i="7" a="1"/>
  <c r="FC177" i="7" s="1"/>
  <c r="EK187" i="7" a="1"/>
  <c r="EK187" i="7" s="1"/>
  <c r="DR193" i="7" a="1"/>
  <c r="DR193" i="7" s="1"/>
  <c r="DR159" i="7" a="1"/>
  <c r="DR159" i="7" s="1"/>
  <c r="EI170" i="7" a="1"/>
  <c r="EI170" i="7" s="1"/>
  <c r="FW179" i="7" a="1"/>
  <c r="FW179" i="7" s="1"/>
  <c r="FA127" i="7" a="1"/>
  <c r="FA127" i="7" s="1"/>
  <c r="FE179" i="7" a="1"/>
  <c r="FE179" i="7" s="1"/>
  <c r="EG198" i="7" a="1"/>
  <c r="EG198" i="7" s="1"/>
  <c r="DS204" i="7" a="1"/>
  <c r="DS204" i="7" s="1"/>
  <c r="FW144" i="7" a="1"/>
  <c r="FW144" i="7" s="1"/>
  <c r="EI193" i="7" a="1"/>
  <c r="EI193" i="7" s="1"/>
  <c r="EG201" i="7" a="1"/>
  <c r="EG201" i="7" s="1"/>
  <c r="EU206" i="7" a="1"/>
  <c r="EU206" i="7" s="1"/>
  <c r="FR171" i="7" a="1"/>
  <c r="FR171" i="7" s="1"/>
  <c r="FS194" i="7" a="1"/>
  <c r="FS194" i="7" s="1"/>
  <c r="FE201" i="7" a="1"/>
  <c r="FE201" i="7" s="1"/>
  <c r="FG206" i="7" a="1"/>
  <c r="FG206" i="7" s="1"/>
  <c r="EH175" i="7" a="1"/>
  <c r="EH175" i="7" s="1"/>
  <c r="EI195" i="7" a="1"/>
  <c r="EI195" i="7" s="1"/>
  <c r="FR201" i="7" a="1"/>
  <c r="FR201" i="7" s="1"/>
  <c r="EV206" i="7" a="1"/>
  <c r="EV206" i="7" s="1"/>
  <c r="ED160" i="7" a="1"/>
  <c r="ED160" i="7" s="1"/>
  <c r="EM195" i="7" a="1"/>
  <c r="EM195" i="7" s="1"/>
  <c r="FI203" i="7" a="1"/>
  <c r="FI203" i="7" s="1"/>
  <c r="FJ207" i="7" a="1"/>
  <c r="FJ207" i="7" s="1"/>
  <c r="GA210" i="7" a="1"/>
  <c r="GA210" i="7" s="1"/>
  <c r="ES170" i="7" a="1"/>
  <c r="ES170" i="7" s="1"/>
  <c r="EK193" i="7" a="1"/>
  <c r="EK193" i="7" s="1"/>
  <c r="EK200" i="7" a="1"/>
  <c r="EK200" i="7" s="1"/>
  <c r="DZ205" i="7" a="1"/>
  <c r="DZ205" i="7" s="1"/>
  <c r="FS168" i="7" a="1"/>
  <c r="FS168" i="7" s="1"/>
  <c r="FR192" i="7" a="1"/>
  <c r="FR192" i="7" s="1"/>
  <c r="FM200" i="7" a="1"/>
  <c r="FM200" i="7" s="1"/>
  <c r="EV205" i="7" a="1"/>
  <c r="EV205" i="7" s="1"/>
  <c r="FO166" i="7" a="1"/>
  <c r="FO166" i="7" s="1"/>
  <c r="EL192" i="7" a="1"/>
  <c r="EL192" i="7" s="1"/>
  <c r="DV202" i="7" a="1"/>
  <c r="DV202" i="7" s="1"/>
  <c r="FJ206" i="7" a="1"/>
  <c r="FJ206" i="7" s="1"/>
  <c r="FF177" i="7" a="1"/>
  <c r="FF177" i="7" s="1"/>
  <c r="FC196" i="7" a="1"/>
  <c r="FC196" i="7" s="1"/>
  <c r="EX201" i="7" a="1"/>
  <c r="EX201" i="7" s="1"/>
  <c r="FX160" i="7" a="1"/>
  <c r="FX160" i="7" s="1"/>
  <c r="EW161" i="7" a="1"/>
  <c r="EW161" i="7" s="1"/>
  <c r="EN197" i="7" a="1"/>
  <c r="EN197" i="7" s="1"/>
  <c r="FL201" i="7" a="1"/>
  <c r="FL201" i="7" s="1"/>
  <c r="DQ183" i="7" a="1"/>
  <c r="DQ183" i="7" s="1"/>
  <c r="DT209" i="7" a="1"/>
  <c r="DT209" i="7" s="1"/>
  <c r="EK213" i="7" a="1"/>
  <c r="EK213" i="7" s="1"/>
  <c r="FH219" i="7" a="1"/>
  <c r="FH219" i="7" s="1"/>
  <c r="FO222" i="7" a="1"/>
  <c r="FO222" i="7" s="1"/>
  <c r="FV225" i="7" a="1"/>
  <c r="FV225" i="7" s="1"/>
  <c r="DR229" i="7" a="1"/>
  <c r="DR229" i="7" s="1"/>
  <c r="DY232" i="7" a="1"/>
  <c r="DY232" i="7" s="1"/>
  <c r="DU234" i="7" a="1"/>
  <c r="DU234" i="7" s="1"/>
  <c r="FD235" i="7" a="1"/>
  <c r="FD235" i="7" s="1"/>
  <c r="EB237" i="7" a="1"/>
  <c r="EB237" i="7" s="1"/>
  <c r="DX206" i="7" a="1"/>
  <c r="DX206" i="7" s="1"/>
  <c r="EE211" i="7" a="1"/>
  <c r="EE211" i="7" s="1"/>
  <c r="EK214" i="7" a="1"/>
  <c r="EK214" i="7" s="1"/>
  <c r="DY216" i="7" a="1"/>
  <c r="DY216" i="7" s="1"/>
  <c r="EG218" i="7" a="1"/>
  <c r="EG218" i="7" s="1"/>
  <c r="EN221" i="7" a="1"/>
  <c r="EN221" i="7" s="1"/>
  <c r="FO199" i="7" a="1"/>
  <c r="FO199" i="7" s="1"/>
  <c r="EF212" i="7" a="1"/>
  <c r="EF212" i="7" s="1"/>
  <c r="FS218" i="7" a="1"/>
  <c r="FS218" i="7" s="1"/>
  <c r="FZ221" i="7" a="1"/>
  <c r="FZ221" i="7" s="1"/>
  <c r="DV225" i="7" a="1"/>
  <c r="DV225" i="7" s="1"/>
  <c r="DT191" i="7" a="1"/>
  <c r="DT191" i="7" s="1"/>
  <c r="EW209" i="7" a="1"/>
  <c r="EW209" i="7" s="1"/>
  <c r="EG212" i="7" a="1"/>
  <c r="EG212" i="7" s="1"/>
  <c r="DX215" i="7" a="1"/>
  <c r="DX215" i="7" s="1"/>
  <c r="FW216" i="7" a="1"/>
  <c r="FW216" i="7" s="1"/>
  <c r="FQ219" i="7" a="1"/>
  <c r="FQ219" i="7" s="1"/>
  <c r="EJ143" i="7" a="1"/>
  <c r="EJ143" i="7" s="1"/>
  <c r="DY207" i="7" a="1"/>
  <c r="DY207" i="7" s="1"/>
  <c r="ER212" i="7" a="1"/>
  <c r="ER212" i="7" s="1"/>
  <c r="FE218" i="7" a="1"/>
  <c r="FE218" i="7" s="1"/>
  <c r="FL221" i="7" a="1"/>
  <c r="FL221" i="7" s="1"/>
  <c r="FN206" i="7" a="1"/>
  <c r="FN206" i="7" s="1"/>
  <c r="DX212" i="7" a="1"/>
  <c r="DX212" i="7" s="1"/>
  <c r="DY215" i="7" a="1"/>
  <c r="DY215" i="7" s="1"/>
  <c r="FX216" i="7" a="1"/>
  <c r="FX216" i="7" s="1"/>
  <c r="FR219" i="7" a="1"/>
  <c r="FR219" i="7" s="1"/>
  <c r="FY222" i="7" a="1"/>
  <c r="FY222" i="7" s="1"/>
  <c r="DU226" i="7" a="1"/>
  <c r="DU226" i="7" s="1"/>
  <c r="EZ204" i="7" a="1"/>
  <c r="EZ204" i="7" s="1"/>
  <c r="FC210" i="7" a="1"/>
  <c r="FC210" i="7" s="1"/>
  <c r="ET217" i="7" a="1"/>
  <c r="ET217" i="7" s="1"/>
  <c r="FA220" i="7" a="1"/>
  <c r="FA220" i="7" s="1"/>
  <c r="EZ165" i="7" a="1"/>
  <c r="EZ165" i="7" s="1"/>
  <c r="FN209" i="7" a="1"/>
  <c r="FN209" i="7" s="1"/>
  <c r="EF214" i="7" a="1"/>
  <c r="EF214" i="7" s="1"/>
  <c r="DT216" i="7" a="1"/>
  <c r="DT216" i="7" s="1"/>
  <c r="EJ218" i="7" a="1"/>
  <c r="EJ218" i="7" s="1"/>
  <c r="EQ221" i="7" a="1"/>
  <c r="EQ221" i="7" s="1"/>
  <c r="FC193" i="7" a="1"/>
  <c r="FC193" i="7" s="1"/>
  <c r="FN208" i="7" a="1"/>
  <c r="FN208" i="7" s="1"/>
  <c r="DZ212" i="7" a="1"/>
  <c r="DZ212" i="7" s="1"/>
  <c r="FO218" i="7" a="1"/>
  <c r="FO218" i="7" s="1"/>
  <c r="FV221" i="7" a="1"/>
  <c r="FV221" i="7" s="1"/>
  <c r="FR202" i="7" a="1"/>
  <c r="FR202" i="7" s="1"/>
  <c r="GA211" i="7" a="1"/>
  <c r="GA211" i="7" s="1"/>
  <c r="DS215" i="7" a="1"/>
  <c r="DS215" i="7" s="1"/>
  <c r="FG196" i="7" a="1"/>
  <c r="FG196" i="7" s="1"/>
  <c r="ES209" i="7" a="1"/>
  <c r="ES209" i="7" s="1"/>
  <c r="EL212" i="7" a="1"/>
  <c r="EL212" i="7" s="1"/>
  <c r="FA218" i="7" a="1"/>
  <c r="FA218" i="7" s="1"/>
  <c r="FH221" i="7" a="1"/>
  <c r="FH221" i="7" s="1"/>
  <c r="EB215" i="7" a="1"/>
  <c r="EB215" i="7" s="1"/>
  <c r="FJ223" i="7" a="1"/>
  <c r="FJ223" i="7" s="1"/>
  <c r="EN227" i="7" a="1"/>
  <c r="EN227" i="7" s="1"/>
  <c r="FJ230" i="7" a="1"/>
  <c r="FJ230" i="7" s="1"/>
  <c r="FP234" i="7" a="1"/>
  <c r="FP234" i="7" s="1"/>
  <c r="EN208" i="7" a="1"/>
  <c r="EN208" i="7" s="1"/>
  <c r="FN219" i="7" a="1"/>
  <c r="FN219" i="7" s="1"/>
  <c r="FJ225" i="7" a="1"/>
  <c r="FJ225" i="7" s="1"/>
  <c r="EB229" i="7" a="1"/>
  <c r="EB229" i="7" s="1"/>
  <c r="EX232" i="7" a="1"/>
  <c r="EX232" i="7" s="1"/>
  <c r="EG236" i="7" a="1"/>
  <c r="EG236" i="7" s="1"/>
  <c r="ES238" i="7" a="1"/>
  <c r="ES238" i="7" s="1"/>
  <c r="DQ240" i="7" a="1"/>
  <c r="DQ240" i="7" s="1"/>
  <c r="ED215" i="7" a="1"/>
  <c r="ED215" i="7" s="1"/>
  <c r="FY224" i="7" a="1"/>
  <c r="FY224" i="7" s="1"/>
  <c r="ES229" i="7" a="1"/>
  <c r="ES229" i="7" s="1"/>
  <c r="FG232" i="7" a="1"/>
  <c r="FG232" i="7" s="1"/>
  <c r="DZ236" i="7" a="1"/>
  <c r="DZ236" i="7" s="1"/>
  <c r="EH217" i="7" a="1"/>
  <c r="EH217" i="7" s="1"/>
  <c r="EH225" i="7" a="1"/>
  <c r="EH225" i="7" s="1"/>
  <c r="ER228" i="7" a="1"/>
  <c r="ER228" i="7" s="1"/>
  <c r="FN231" i="7" a="1"/>
  <c r="FN231" i="7" s="1"/>
  <c r="DV235" i="7" a="1"/>
  <c r="DV235" i="7" s="1"/>
  <c r="FV237" i="7" a="1"/>
  <c r="FV237" i="7" s="1"/>
  <c r="ET239" i="7" a="1"/>
  <c r="ET239" i="7" s="1"/>
  <c r="FC208" i="7" a="1"/>
  <c r="FC208" i="7" s="1"/>
  <c r="EZ221" i="7" a="1"/>
  <c r="EZ221" i="7" s="1"/>
  <c r="ED226" i="7" a="1"/>
  <c r="ED226" i="7" s="1"/>
  <c r="FR229" i="7" a="1"/>
  <c r="FR229" i="7" s="1"/>
  <c r="FF233" i="7" a="1"/>
  <c r="FF233" i="7" s="1"/>
  <c r="EF237" i="7" a="1"/>
  <c r="EF237" i="7" s="1"/>
  <c r="EH220" i="7" a="1"/>
  <c r="EH220" i="7" s="1"/>
  <c r="EW226" i="7" a="1"/>
  <c r="EW226" i="7" s="1"/>
  <c r="DV229" i="7" a="1"/>
  <c r="DV229" i="7" s="1"/>
  <c r="EJ232" i="7" a="1"/>
  <c r="EJ232" i="7" s="1"/>
  <c r="EQ236" i="7" a="1"/>
  <c r="EQ236" i="7" s="1"/>
  <c r="EU238" i="7" a="1"/>
  <c r="EU238" i="7" s="1"/>
  <c r="DS240" i="7" a="1"/>
  <c r="DS240" i="7" s="1"/>
  <c r="GA215" i="7" a="1"/>
  <c r="GA215" i="7" s="1"/>
  <c r="DV224" i="7" a="1"/>
  <c r="DV224" i="7" s="1"/>
  <c r="DW229" i="7" a="1"/>
  <c r="DW229" i="7" s="1"/>
  <c r="ES232" i="7" a="1"/>
  <c r="ES232" i="7" s="1"/>
  <c r="FI235" i="7" a="1"/>
  <c r="FI235" i="7" s="1"/>
  <c r="EV216" i="7" a="1"/>
  <c r="EV216" i="7" s="1"/>
  <c r="EG224" i="7" a="1"/>
  <c r="EG224" i="7" s="1"/>
  <c r="FH227" i="7" a="1"/>
  <c r="FH227" i="7" s="1"/>
  <c r="DS231" i="7" a="1"/>
  <c r="DS231" i="7" s="1"/>
  <c r="EH234" i="7" a="1"/>
  <c r="EH234" i="7" s="1"/>
  <c r="FC237" i="7" a="1"/>
  <c r="FC237" i="7" s="1"/>
  <c r="EA239" i="7" a="1"/>
  <c r="EA239" i="7" s="1"/>
  <c r="EP205" i="7" a="1"/>
  <c r="EP205" i="7" s="1"/>
  <c r="EW222" i="7" a="1"/>
  <c r="EW222" i="7" s="1"/>
  <c r="FI226" i="7" a="1"/>
  <c r="FI226" i="7" s="1"/>
  <c r="EH230" i="7" a="1"/>
  <c r="EH230" i="7" s="1"/>
  <c r="FW233" i="7" a="1"/>
  <c r="FW233" i="7" s="1"/>
  <c r="FO207" i="7" a="1"/>
  <c r="FO207" i="7" s="1"/>
  <c r="DU222" i="7" a="1"/>
  <c r="DU222" i="7" s="1"/>
  <c r="DR227" i="7" a="1"/>
  <c r="DR227" i="7" s="1"/>
  <c r="EY230" i="7" a="1"/>
  <c r="EY230" i="7" s="1"/>
  <c r="EL233" i="7" a="1"/>
  <c r="EL233" i="7" s="1"/>
  <c r="FW236" i="7" a="1"/>
  <c r="FW236" i="7" s="1"/>
  <c r="FX214" i="7" a="1"/>
  <c r="FX214" i="7" s="1"/>
  <c r="FH223" i="7" a="1"/>
  <c r="FH223" i="7" s="1"/>
  <c r="EB227" i="7" a="1"/>
  <c r="EB227" i="7" s="1"/>
  <c r="EI230" i="7" a="1"/>
  <c r="EI230" i="7" s="1"/>
  <c r="EJ234" i="7" a="1"/>
  <c r="EJ234" i="7" s="1"/>
  <c r="DY208" i="7" a="1"/>
  <c r="DY208" i="7" s="1"/>
  <c r="FU226" i="7" a="1"/>
  <c r="FU226" i="7" s="1"/>
  <c r="EY238" i="7" a="1"/>
  <c r="EY238" i="7" s="1"/>
  <c r="FC242" i="7" a="1"/>
  <c r="FC242" i="7" s="1"/>
  <c r="FJ245" i="7" a="1"/>
  <c r="FJ245" i="7" s="1"/>
  <c r="FQ248" i="7" a="1"/>
  <c r="FQ248" i="7" s="1"/>
  <c r="FX251" i="7" a="1"/>
  <c r="FX251" i="7" s="1"/>
  <c r="FT253" i="7" a="1"/>
  <c r="FT253" i="7" s="1"/>
  <c r="ER255" i="7" a="1"/>
  <c r="ER255" i="7" s="1"/>
  <c r="GA256" i="7" a="1"/>
  <c r="GA256" i="7" s="1"/>
  <c r="FG234" i="7" a="1"/>
  <c r="FG234" i="7" s="1"/>
  <c r="EG242" i="7" a="1"/>
  <c r="EG242" i="7" s="1"/>
  <c r="EN245" i="7" a="1"/>
  <c r="EN245" i="7" s="1"/>
  <c r="EU248" i="7" a="1"/>
  <c r="EU248" i="7" s="1"/>
  <c r="FB251" i="7" a="1"/>
  <c r="FB251" i="7" s="1"/>
  <c r="EO232" i="7" a="1"/>
  <c r="EO232" i="7" s="1"/>
  <c r="FB240" i="7" a="1"/>
  <c r="FB240" i="7" s="1"/>
  <c r="FI243" i="7" a="1"/>
  <c r="FI243" i="7" s="1"/>
  <c r="FP246" i="7" a="1"/>
  <c r="FP246" i="7" s="1"/>
  <c r="FW249" i="7" a="1"/>
  <c r="FW249" i="7" s="1"/>
  <c r="FU252" i="7" a="1"/>
  <c r="FU252" i="7" s="1"/>
  <c r="ES254" i="7" a="1"/>
  <c r="ES254" i="7" s="1"/>
  <c r="DQ256" i="7" a="1"/>
  <c r="DQ256" i="7" s="1"/>
  <c r="DZ213" i="7" a="1"/>
  <c r="DZ213" i="7" s="1"/>
  <c r="EH235" i="7" a="1"/>
  <c r="EH235" i="7" s="1"/>
  <c r="FL242" i="7" a="1"/>
  <c r="FL242" i="7" s="1"/>
  <c r="FS245" i="7" a="1"/>
  <c r="FS245" i="7" s="1"/>
  <c r="FZ248" i="7" a="1"/>
  <c r="FZ248" i="7" s="1"/>
  <c r="DV252" i="7" a="1"/>
  <c r="DV252" i="7" s="1"/>
  <c r="FT235" i="7" a="1"/>
  <c r="FT235" i="7" s="1"/>
  <c r="EK241" i="7" a="1"/>
  <c r="EK241" i="7" s="1"/>
  <c r="ER244" i="7" a="1"/>
  <c r="ER244" i="7" s="1"/>
  <c r="EY247" i="7" a="1"/>
  <c r="EY247" i="7" s="1"/>
  <c r="FK227" i="7" a="1"/>
  <c r="FK227" i="7" s="1"/>
  <c r="FZ240" i="7" a="1"/>
  <c r="FZ240" i="7" s="1"/>
  <c r="DV244" i="7" a="1"/>
  <c r="DV244" i="7" s="1"/>
  <c r="EC247" i="7" a="1"/>
  <c r="EC247" i="7" s="1"/>
  <c r="EJ250" i="7" a="1"/>
  <c r="EJ250" i="7" s="1"/>
  <c r="DT225" i="7" a="1"/>
  <c r="DT225" i="7" s="1"/>
  <c r="DW239" i="7" a="1"/>
  <c r="DW239" i="7" s="1"/>
  <c r="FU242" i="7" a="1"/>
  <c r="FU242" i="7" s="1"/>
  <c r="DQ246" i="7" a="1"/>
  <c r="DQ246" i="7" s="1"/>
  <c r="DX249" i="7" a="1"/>
  <c r="DX249" i="7" s="1"/>
  <c r="EE252" i="7" a="1"/>
  <c r="EE252" i="7" s="1"/>
  <c r="FV234" i="7" a="1"/>
  <c r="FV234" i="7" s="1"/>
  <c r="DU242" i="7" a="1"/>
  <c r="DU242" i="7" s="1"/>
  <c r="EB245" i="7" a="1"/>
  <c r="EB245" i="7" s="1"/>
  <c r="EI248" i="7" a="1"/>
  <c r="EI248" i="7" s="1"/>
  <c r="FT220" i="7" a="1"/>
  <c r="FT220" i="7" s="1"/>
  <c r="FE237" i="7" a="1"/>
  <c r="FE237" i="7" s="1"/>
  <c r="EC242" i="7" a="1"/>
  <c r="EC242" i="7" s="1"/>
  <c r="EJ245" i="7" a="1"/>
  <c r="EJ245" i="7" s="1"/>
  <c r="EQ248" i="7" a="1"/>
  <c r="EQ248" i="7" s="1"/>
  <c r="DX232" i="7" a="1"/>
  <c r="DX232" i="7" s="1"/>
  <c r="DV231" i="7" a="1"/>
  <c r="DV231" i="7" s="1"/>
  <c r="EA241" i="7" a="1"/>
  <c r="EA241" i="7" s="1"/>
  <c r="EH244" i="7" a="1"/>
  <c r="EH244" i="7" s="1"/>
  <c r="EY240" i="7" a="1"/>
  <c r="EY240" i="7" s="1"/>
  <c r="EL249" i="7" a="1"/>
  <c r="EL249" i="7" s="1"/>
  <c r="FA254" i="7" a="1"/>
  <c r="FA254" i="7" s="1"/>
  <c r="EN244" i="7" a="1"/>
  <c r="EN244" i="7" s="1"/>
  <c r="EP254" i="7" a="1"/>
  <c r="EP254" i="7" s="1"/>
  <c r="FO256" i="7" a="1"/>
  <c r="FO256" i="7" s="1"/>
  <c r="FA258" i="7" a="1"/>
  <c r="FA258" i="7" s="1"/>
  <c r="DY260" i="7" a="1"/>
  <c r="DY260" i="7" s="1"/>
  <c r="FH261" i="7" a="1"/>
  <c r="FH261" i="7" s="1"/>
  <c r="EF263" i="7" a="1"/>
  <c r="EF263" i="7" s="1"/>
  <c r="FO264" i="7" a="1"/>
  <c r="FO264" i="7" s="1"/>
  <c r="EM266" i="7" a="1"/>
  <c r="EM266" i="7" s="1"/>
  <c r="FV267" i="7" a="1"/>
  <c r="FV267" i="7" s="1"/>
  <c r="ET269" i="7" a="1"/>
  <c r="ET269" i="7" s="1"/>
  <c r="DR271" i="7" a="1"/>
  <c r="DR271" i="7" s="1"/>
  <c r="FA272" i="7" a="1"/>
  <c r="FA272" i="7" s="1"/>
  <c r="DY274" i="7" a="1"/>
  <c r="DY274" i="7" s="1"/>
  <c r="FH275" i="7" a="1"/>
  <c r="FH275" i="7" s="1"/>
  <c r="EQ246" i="7" a="1"/>
  <c r="EQ246" i="7" s="1"/>
  <c r="FP251" i="7" a="1"/>
  <c r="FP251" i="7" s="1"/>
  <c r="FJ236" i="7" a="1"/>
  <c r="FJ236" i="7" s="1"/>
  <c r="DW248" i="7" a="1"/>
  <c r="DW248" i="7" s="1"/>
  <c r="FX254" i="7" a="1"/>
  <c r="FX254" i="7" s="1"/>
  <c r="EN257" i="7" a="1"/>
  <c r="EN257" i="7" s="1"/>
  <c r="FW258" i="7" a="1"/>
  <c r="FW258" i="7" s="1"/>
  <c r="EU260" i="7" a="1"/>
  <c r="EU260" i="7" s="1"/>
  <c r="DS262" i="7" a="1"/>
  <c r="DS262" i="7" s="1"/>
  <c r="FB263" i="7" a="1"/>
  <c r="FB263" i="7" s="1"/>
  <c r="DZ265" i="7" a="1"/>
  <c r="DZ265" i="7" s="1"/>
  <c r="FI266" i="7" a="1"/>
  <c r="FI266" i="7" s="1"/>
  <c r="EG268" i="7" a="1"/>
  <c r="EG268" i="7" s="1"/>
  <c r="FO229" i="7" a="1"/>
  <c r="FO229" i="7" s="1"/>
  <c r="FP248" i="7" a="1"/>
  <c r="FP248" i="7" s="1"/>
  <c r="EP253" i="7" a="1"/>
  <c r="EP253" i="7" s="1"/>
  <c r="EM242" i="7" a="1"/>
  <c r="EM242" i="7" s="1"/>
  <c r="FQ250" i="7" a="1"/>
  <c r="FQ250" i="7" s="1"/>
  <c r="EH255" i="7" a="1"/>
  <c r="EH255" i="7" s="1"/>
  <c r="FC257" i="7" a="1"/>
  <c r="FC257" i="7" s="1"/>
  <c r="EA259" i="7" a="1"/>
  <c r="EA259" i="7" s="1"/>
  <c r="FJ260" i="7" a="1"/>
  <c r="FJ260" i="7" s="1"/>
  <c r="EH262" i="7" a="1"/>
  <c r="EH262" i="7" s="1"/>
  <c r="FQ263" i="7" a="1"/>
  <c r="FQ263" i="7" s="1"/>
  <c r="EO265" i="7" a="1"/>
  <c r="EO265" i="7" s="1"/>
  <c r="FX266" i="7" a="1"/>
  <c r="FX266" i="7" s="1"/>
  <c r="EV268" i="7" a="1"/>
  <c r="EV268" i="7" s="1"/>
  <c r="EJ237" i="7" a="1"/>
  <c r="EJ237" i="7" s="1"/>
  <c r="FV248" i="7" a="1"/>
  <c r="FV248" i="7" s="1"/>
  <c r="DY254" i="7" a="1"/>
  <c r="DY254" i="7" s="1"/>
  <c r="FQ242" i="7" a="1"/>
  <c r="FQ242" i="7" s="1"/>
  <c r="EQ250" i="7" a="1"/>
  <c r="EQ250" i="7" s="1"/>
  <c r="DZ254" i="7" a="1"/>
  <c r="DZ254" i="7" s="1"/>
  <c r="FI256" i="7" a="1"/>
  <c r="FI256" i="7" s="1"/>
  <c r="FD258" i="7" a="1"/>
  <c r="FD258" i="7" s="1"/>
  <c r="EB260" i="7" a="1"/>
  <c r="EB260" i="7" s="1"/>
  <c r="FK261" i="7" a="1"/>
  <c r="FK261" i="7" s="1"/>
  <c r="EI263" i="7" a="1"/>
  <c r="EI263" i="7" s="1"/>
  <c r="FR264" i="7" a="1"/>
  <c r="FR264" i="7" s="1"/>
  <c r="EP266" i="7" a="1"/>
  <c r="EP266" i="7" s="1"/>
  <c r="EK240" i="7" a="1"/>
  <c r="EK240" i="7" s="1"/>
  <c r="EG249" i="7" a="1"/>
  <c r="EG249" i="7" s="1"/>
  <c r="EA257" i="7" a="1"/>
  <c r="EA257" i="7" s="1"/>
  <c r="FV246" i="7" a="1"/>
  <c r="FV246" i="7" s="1"/>
  <c r="FA252" i="7" a="1"/>
  <c r="FA252" i="7" s="1"/>
  <c r="FO255" i="7" a="1"/>
  <c r="FO255" i="7" s="1"/>
  <c r="FZ257" i="7" a="1"/>
  <c r="FZ257" i="7" s="1"/>
  <c r="EX259" i="7" a="1"/>
  <c r="EX259" i="7" s="1"/>
  <c r="FZ225" i="7" a="1"/>
  <c r="FZ225" i="7" s="1"/>
  <c r="DU248" i="7" a="1"/>
  <c r="DU248" i="7" s="1"/>
  <c r="FI253" i="7" a="1"/>
  <c r="FI253" i="7" s="1"/>
  <c r="FC256" i="7" a="1"/>
  <c r="FC256" i="7" s="1"/>
  <c r="EZ258" i="7" a="1"/>
  <c r="EZ258" i="7" s="1"/>
  <c r="DX260" i="7" a="1"/>
  <c r="DX260" i="7" s="1"/>
  <c r="FG261" i="7" a="1"/>
  <c r="FG261" i="7" s="1"/>
  <c r="EE263" i="7" a="1"/>
  <c r="EE263" i="7" s="1"/>
  <c r="FN264" i="7" a="1"/>
  <c r="FN264" i="7" s="1"/>
  <c r="EL266" i="7" a="1"/>
  <c r="EL266" i="7" s="1"/>
  <c r="FF261" i="7" a="1"/>
  <c r="FF261" i="7" s="1"/>
  <c r="FE267" i="7" a="1"/>
  <c r="FE267" i="7" s="1"/>
  <c r="EO140" i="7" a="1"/>
  <c r="EO140" i="7" s="1"/>
  <c r="EK169" i="7" a="1"/>
  <c r="EK169" i="7" s="1"/>
  <c r="FL133" i="7" a="1"/>
  <c r="FL133" i="7" s="1"/>
  <c r="FG164" i="7" a="1"/>
  <c r="FG164" i="7" s="1"/>
  <c r="FD192" i="7" a="1"/>
  <c r="FD192" i="7" s="1"/>
  <c r="ER203" i="7" a="1"/>
  <c r="ER203" i="7" s="1"/>
  <c r="FV151" i="7" a="1"/>
  <c r="FV151" i="7" s="1"/>
  <c r="EG163" i="7" a="1"/>
  <c r="EG163" i="7" s="1"/>
  <c r="FR172" i="7" a="1"/>
  <c r="FR172" i="7" s="1"/>
  <c r="EL113" i="7" a="1"/>
  <c r="EL113" i="7" s="1"/>
  <c r="FD153" i="7" a="1"/>
  <c r="FD153" i="7" s="1"/>
  <c r="DZ184" i="7" a="1"/>
  <c r="DZ184" i="7" s="1"/>
  <c r="FB116" i="7" a="1"/>
  <c r="FB116" i="7" s="1"/>
  <c r="FN93" i="7" a="1"/>
  <c r="FN93" i="7" s="1"/>
  <c r="EB156" i="7" a="1"/>
  <c r="EB156" i="7" s="1"/>
  <c r="FY163" i="7" a="1"/>
  <c r="FY163" i="7" s="1"/>
  <c r="DU174" i="7" a="1"/>
  <c r="DU174" i="7" s="1"/>
  <c r="FP148" i="7" a="1"/>
  <c r="FP148" i="7" s="1"/>
  <c r="EW144" i="7" a="1"/>
  <c r="EW144" i="7" s="1"/>
  <c r="DS138" i="7" a="1"/>
  <c r="DS138" i="7" s="1"/>
  <c r="DR144" i="7" a="1"/>
  <c r="DR144" i="7" s="1"/>
  <c r="FM128" i="7" a="1"/>
  <c r="FM128" i="7" s="1"/>
  <c r="EQ137" i="7" a="1"/>
  <c r="EQ137" i="7" s="1"/>
  <c r="ET166" i="7" a="1"/>
  <c r="ET166" i="7" s="1"/>
  <c r="EH184" i="7" a="1"/>
  <c r="EH184" i="7" s="1"/>
  <c r="EH196" i="7" a="1"/>
  <c r="EH196" i="7" s="1"/>
  <c r="FA159" i="7" a="1"/>
  <c r="FA159" i="7" s="1"/>
  <c r="DR179" i="7" a="1"/>
  <c r="DR179" i="7" s="1"/>
  <c r="FC194" i="7" a="1"/>
  <c r="FC194" i="7" s="1"/>
  <c r="EU155" i="7" a="1"/>
  <c r="EU155" i="7" s="1"/>
  <c r="FN176" i="7" a="1"/>
  <c r="FN176" i="7" s="1"/>
  <c r="FJ98" i="7" a="1"/>
  <c r="FJ98" i="7" s="1"/>
  <c r="FE161" i="7" a="1"/>
  <c r="FE161" i="7" s="1"/>
  <c r="EL170" i="7" a="1"/>
  <c r="EL170" i="7" s="1"/>
  <c r="ED179" i="7" a="1"/>
  <c r="ED179" i="7" s="1"/>
  <c r="DR184" i="7" a="1"/>
  <c r="DR184" i="7" s="1"/>
  <c r="FB129" i="7" a="1"/>
  <c r="FB129" i="7" s="1"/>
  <c r="DZ148" i="7" a="1"/>
  <c r="DZ148" i="7" s="1"/>
  <c r="FM123" i="7" a="1"/>
  <c r="FM123" i="7" s="1"/>
  <c r="FA153" i="7" a="1"/>
  <c r="FA153" i="7" s="1"/>
  <c r="EA122" i="7" a="1"/>
  <c r="EA122" i="7" s="1"/>
  <c r="FW152" i="7" a="1"/>
  <c r="FW152" i="7" s="1"/>
  <c r="FW161" i="7" a="1"/>
  <c r="FW161" i="7" s="1"/>
  <c r="FQ171" i="7" a="1"/>
  <c r="FQ171" i="7" s="1"/>
  <c r="FL178" i="7" a="1"/>
  <c r="FL178" i="7" s="1"/>
  <c r="FK185" i="7" a="1"/>
  <c r="FK185" i="7" s="1"/>
  <c r="FA143" i="7" a="1"/>
  <c r="FA143" i="7" s="1"/>
  <c r="EY167" i="7" a="1"/>
  <c r="EY167" i="7" s="1"/>
  <c r="EL175" i="7" a="1"/>
  <c r="EL175" i="7" s="1"/>
  <c r="EM184" i="7" a="1"/>
  <c r="EM184" i="7" s="1"/>
  <c r="DT192" i="7" a="1"/>
  <c r="DT192" i="7" s="1"/>
  <c r="EA198" i="7" a="1"/>
  <c r="EA198" i="7" s="1"/>
  <c r="EJ204" i="7" a="1"/>
  <c r="EJ204" i="7" s="1"/>
  <c r="FS205" i="7" a="1"/>
  <c r="FS205" i="7" s="1"/>
  <c r="EQ207" i="7" a="1"/>
  <c r="EQ207" i="7" s="1"/>
  <c r="FZ208" i="7" a="1"/>
  <c r="FZ208" i="7" s="1"/>
  <c r="EX210" i="7" a="1"/>
  <c r="EX210" i="7" s="1"/>
  <c r="DV212" i="7" a="1"/>
  <c r="DV212" i="7" s="1"/>
  <c r="FE213" i="7" a="1"/>
  <c r="FE213" i="7" s="1"/>
  <c r="EC215" i="7" a="1"/>
  <c r="EC215" i="7" s="1"/>
  <c r="FL216" i="7" a="1"/>
  <c r="FL216" i="7" s="1"/>
  <c r="EQ144" i="7" a="1"/>
  <c r="EQ144" i="7" s="1"/>
  <c r="FG161" i="7" a="1"/>
  <c r="FG161" i="7" s="1"/>
  <c r="FD171" i="7" a="1"/>
  <c r="FD171" i="7" s="1"/>
  <c r="FT180" i="7" a="1"/>
  <c r="FT180" i="7" s="1"/>
  <c r="EQ187" i="7" a="1"/>
  <c r="EQ187" i="7" s="1"/>
  <c r="EX193" i="7" a="1"/>
  <c r="EX193" i="7" s="1"/>
  <c r="FX196" i="7" a="1"/>
  <c r="FX196" i="7" s="1"/>
  <c r="FI199" i="7" a="1"/>
  <c r="FI199" i="7" s="1"/>
  <c r="EN203" i="7" a="1"/>
  <c r="EN203" i="7" s="1"/>
  <c r="FI148" i="7" a="1"/>
  <c r="FI148" i="7" s="1"/>
  <c r="FJ163" i="7" a="1"/>
  <c r="FJ163" i="7" s="1"/>
  <c r="EC173" i="7" a="1"/>
  <c r="EC173" i="7" s="1"/>
  <c r="FQ178" i="7" a="1"/>
  <c r="FQ178" i="7" s="1"/>
  <c r="EW183" i="7" a="1"/>
  <c r="EW183" i="7" s="1"/>
  <c r="FD189" i="7" a="1"/>
  <c r="FD189" i="7" s="1"/>
  <c r="EO193" i="7" a="1"/>
  <c r="EO193" i="7" s="1"/>
  <c r="EH197" i="7" a="1"/>
  <c r="EH197" i="7" s="1"/>
  <c r="FK200" i="7" a="1"/>
  <c r="FK200" i="7" s="1"/>
  <c r="ED204" i="7" a="1"/>
  <c r="ED204" i="7" s="1"/>
  <c r="FM205" i="7" a="1"/>
  <c r="FM205" i="7" s="1"/>
  <c r="EK207" i="7" a="1"/>
  <c r="EK207" i="7" s="1"/>
  <c r="FT208" i="7" a="1"/>
  <c r="FT208" i="7" s="1"/>
  <c r="EX149" i="7" a="1"/>
  <c r="EX149" i="7" s="1"/>
  <c r="FK165" i="7" a="1"/>
  <c r="FK165" i="7" s="1"/>
  <c r="EQ170" i="7" a="1"/>
  <c r="EQ170" i="7" s="1"/>
  <c r="FC178" i="7" a="1"/>
  <c r="FC178" i="7" s="1"/>
  <c r="DW183" i="7" a="1"/>
  <c r="DW183" i="7" s="1"/>
  <c r="FF188" i="7" a="1"/>
  <c r="FF188" i="7" s="1"/>
  <c r="DT193" i="7" a="1"/>
  <c r="DT193" i="7" s="1"/>
  <c r="EK198" i="7" a="1"/>
  <c r="EK198" i="7" s="1"/>
  <c r="DU202" i="7" a="1"/>
  <c r="DU202" i="7" s="1"/>
  <c r="FT138" i="7" a="1"/>
  <c r="FT138" i="7" s="1"/>
  <c r="FI160" i="7" a="1"/>
  <c r="FI160" i="7" s="1"/>
  <c r="DQ107" i="7" a="1"/>
  <c r="DQ107" i="7" s="1"/>
  <c r="EB148" i="7" a="1"/>
  <c r="EB148" i="7" s="1"/>
  <c r="EB164" i="7" a="1"/>
  <c r="EB164" i="7" s="1"/>
  <c r="FL176" i="7" a="1"/>
  <c r="FL176" i="7" s="1"/>
  <c r="FJ182" i="7" a="1"/>
  <c r="FJ182" i="7" s="1"/>
  <c r="EO188" i="7" a="1"/>
  <c r="EO188" i="7" s="1"/>
  <c r="DX193" i="7" a="1"/>
  <c r="DX193" i="7" s="1"/>
  <c r="EC196" i="7" a="1"/>
  <c r="EC196" i="7" s="1"/>
  <c r="FT199" i="7" a="1"/>
  <c r="FT199" i="7" s="1"/>
  <c r="FN203" i="7" a="1"/>
  <c r="FN203" i="7" s="1"/>
  <c r="FB161" i="7" a="1"/>
  <c r="FB161" i="7" s="1"/>
  <c r="FZ173" i="7" a="1"/>
  <c r="FZ173" i="7" s="1"/>
  <c r="ER182" i="7" a="1"/>
  <c r="ER182" i="7" s="1"/>
  <c r="FS191" i="7" a="1"/>
  <c r="FS191" i="7" s="1"/>
  <c r="FY147" i="7" a="1"/>
  <c r="FY147" i="7" s="1"/>
  <c r="EV171" i="7" a="1"/>
  <c r="EV171" i="7" s="1"/>
  <c r="EV182" i="7" a="1"/>
  <c r="EV182" i="7" s="1"/>
  <c r="FT189" i="7" a="1"/>
  <c r="FT189" i="7" s="1"/>
  <c r="ED197" i="7" a="1"/>
  <c r="ED197" i="7" s="1"/>
  <c r="FU162" i="7" a="1"/>
  <c r="FU162" i="7" s="1"/>
  <c r="EV174" i="7" a="1"/>
  <c r="EV174" i="7" s="1"/>
  <c r="FQ183" i="7" a="1"/>
  <c r="FQ183" i="7" s="1"/>
  <c r="ER192" i="7" a="1"/>
  <c r="ER192" i="7" s="1"/>
  <c r="FX197" i="7" a="1"/>
  <c r="FX197" i="7" s="1"/>
  <c r="EM152" i="7" a="1"/>
  <c r="EM152" i="7" s="1"/>
  <c r="DR168" i="7" a="1"/>
  <c r="DR168" i="7" s="1"/>
  <c r="GA178" i="7" a="1"/>
  <c r="GA178" i="7" s="1"/>
  <c r="FT187" i="7" a="1"/>
  <c r="FT187" i="7" s="1"/>
  <c r="FY194" i="7" a="1"/>
  <c r="FY194" i="7" s="1"/>
  <c r="FM159" i="7" a="1"/>
  <c r="FM159" i="7" s="1"/>
  <c r="FT177" i="7" a="1"/>
  <c r="FT177" i="7" s="1"/>
  <c r="FB185" i="7" a="1"/>
  <c r="FB185" i="7" s="1"/>
  <c r="ET192" i="7" a="1"/>
  <c r="ET192" i="7" s="1"/>
  <c r="EQ142" i="7" a="1"/>
  <c r="EQ142" i="7" s="1"/>
  <c r="FS165" i="7" a="1"/>
  <c r="FS165" i="7" s="1"/>
  <c r="FC175" i="7" a="1"/>
  <c r="FC175" i="7" s="1"/>
  <c r="FC185" i="7" a="1"/>
  <c r="FC185" i="7" s="1"/>
  <c r="FK192" i="7" a="1"/>
  <c r="FK192" i="7" s="1"/>
  <c r="FV161" i="7" a="1"/>
  <c r="FV161" i="7" s="1"/>
  <c r="FG173" i="7" a="1"/>
  <c r="FG173" i="7" s="1"/>
  <c r="EG184" i="7" a="1"/>
  <c r="EG184" i="7" s="1"/>
  <c r="ED191" i="7" a="1"/>
  <c r="ED191" i="7" s="1"/>
  <c r="EY162" i="7" a="1"/>
  <c r="EY162" i="7" s="1"/>
  <c r="FD176" i="7" a="1"/>
  <c r="FD176" i="7" s="1"/>
  <c r="DQ186" i="7" a="1"/>
  <c r="DQ186" i="7" s="1"/>
  <c r="EH192" i="7" a="1"/>
  <c r="EH192" i="7" s="1"/>
  <c r="ET161" i="7" a="1"/>
  <c r="ET161" i="7" s="1"/>
  <c r="EE179" i="7" a="1"/>
  <c r="EE179" i="7" s="1"/>
  <c r="FI187" i="7" a="1"/>
  <c r="FI187" i="7" s="1"/>
  <c r="FF113" i="7" a="1"/>
  <c r="FF113" i="7" s="1"/>
  <c r="FS160" i="7" a="1"/>
  <c r="FS160" i="7" s="1"/>
  <c r="FR170" i="7" a="1"/>
  <c r="FR170" i="7" s="1"/>
  <c r="EJ180" i="7" a="1"/>
  <c r="EJ180" i="7" s="1"/>
  <c r="FQ137" i="7" a="1"/>
  <c r="FQ137" i="7" s="1"/>
  <c r="DR182" i="7" a="1"/>
  <c r="DR182" i="7" s="1"/>
  <c r="EV198" i="7" a="1"/>
  <c r="EV198" i="7" s="1"/>
  <c r="EE204" i="7" a="1"/>
  <c r="EE204" i="7" s="1"/>
  <c r="FX163" i="7" a="1"/>
  <c r="FX163" i="7" s="1"/>
  <c r="FE193" i="7" a="1"/>
  <c r="FE193" i="7" s="1"/>
  <c r="FO201" i="7" a="1"/>
  <c r="FO201" i="7" s="1"/>
  <c r="DQ207" i="7" a="1"/>
  <c r="DQ207" i="7" s="1"/>
  <c r="EP173" i="7" a="1"/>
  <c r="EP173" i="7" s="1"/>
  <c r="FD195" i="7" a="1"/>
  <c r="FD195" i="7" s="1"/>
  <c r="FA202" i="7" a="1"/>
  <c r="FA202" i="7" s="1"/>
  <c r="FQ206" i="7" a="1"/>
  <c r="FQ206" i="7" s="1"/>
  <c r="FQ176" i="7" a="1"/>
  <c r="FQ176" i="7" s="1"/>
  <c r="EX196" i="7" a="1"/>
  <c r="EX196" i="7" s="1"/>
  <c r="DR202" i="7" a="1"/>
  <c r="DR202" i="7" s="1"/>
  <c r="DR207" i="7" a="1"/>
  <c r="DR207" i="7" s="1"/>
  <c r="FD162" i="7" a="1"/>
  <c r="FD162" i="7" s="1"/>
  <c r="FM195" i="7" a="1"/>
  <c r="FM195" i="7" s="1"/>
  <c r="FV203" i="7" a="1"/>
  <c r="FV203" i="7" s="1"/>
  <c r="EF208" i="7" a="1"/>
  <c r="EF208" i="7" s="1"/>
  <c r="DZ211" i="7" a="1"/>
  <c r="DZ211" i="7" s="1"/>
  <c r="DQ172" i="7" a="1"/>
  <c r="DQ172" i="7" s="1"/>
  <c r="FO193" i="7" a="1"/>
  <c r="FO193" i="7" s="1"/>
  <c r="EY200" i="7" a="1"/>
  <c r="EY200" i="7" s="1"/>
  <c r="FG205" i="7" a="1"/>
  <c r="FG205" i="7" s="1"/>
  <c r="ET170" i="7" a="1"/>
  <c r="ET170" i="7" s="1"/>
  <c r="EP193" i="7" a="1"/>
  <c r="EP193" i="7" s="1"/>
  <c r="FX200" i="7" a="1"/>
  <c r="FX200" i="7" s="1"/>
  <c r="DR206" i="7" a="1"/>
  <c r="DR206" i="7" s="1"/>
  <c r="EU170" i="7" a="1"/>
  <c r="EU170" i="7" s="1"/>
  <c r="GA192" i="7" a="1"/>
  <c r="GA192" i="7" s="1"/>
  <c r="EG202" i="7" a="1"/>
  <c r="EG202" i="7" s="1"/>
  <c r="EF207" i="7" a="1"/>
  <c r="EF207" i="7" s="1"/>
  <c r="FV178" i="7" a="1"/>
  <c r="FV178" i="7" s="1"/>
  <c r="DS197" i="7" a="1"/>
  <c r="DS197" i="7" s="1"/>
  <c r="DS203" i="7" a="1"/>
  <c r="DS203" i="7" s="1"/>
  <c r="EH163" i="7" a="1"/>
  <c r="EH163" i="7" s="1"/>
  <c r="EI163" i="7" a="1"/>
  <c r="EI163" i="7" s="1"/>
  <c r="FE197" i="7" a="1"/>
  <c r="FE197" i="7" s="1"/>
  <c r="FH202" i="7" a="1"/>
  <c r="FH202" i="7" s="1"/>
  <c r="FL187" i="7" a="1"/>
  <c r="FL187" i="7" s="1"/>
  <c r="EI209" i="7" a="1"/>
  <c r="EI209" i="7" s="1"/>
  <c r="EU213" i="7" a="1"/>
  <c r="EU213" i="7" s="1"/>
  <c r="FW219" i="7" a="1"/>
  <c r="FW219" i="7" s="1"/>
  <c r="DS223" i="7" a="1"/>
  <c r="DS223" i="7" s="1"/>
  <c r="DZ226" i="7" a="1"/>
  <c r="DZ226" i="7" s="1"/>
  <c r="EG229" i="7" a="1"/>
  <c r="EG229" i="7" s="1"/>
  <c r="EN232" i="7" a="1"/>
  <c r="EN232" i="7" s="1"/>
  <c r="EB234" i="7" a="1"/>
  <c r="EB234" i="7" s="1"/>
  <c r="FK235" i="7" a="1"/>
  <c r="FK235" i="7" s="1"/>
  <c r="EI237" i="7" a="1"/>
  <c r="EI237" i="7" s="1"/>
  <c r="FC206" i="7" a="1"/>
  <c r="FC206" i="7" s="1"/>
  <c r="EO211" i="7" a="1"/>
  <c r="EO211" i="7" s="1"/>
  <c r="ES214" i="7" a="1"/>
  <c r="ES214" i="7" s="1"/>
  <c r="EG216" i="7" a="1"/>
  <c r="EG216" i="7" s="1"/>
  <c r="EV218" i="7" a="1"/>
  <c r="EV218" i="7" s="1"/>
  <c r="FC221" i="7" a="1"/>
  <c r="FC221" i="7" s="1"/>
  <c r="ES200" i="7" a="1"/>
  <c r="ES200" i="7" s="1"/>
  <c r="EP212" i="7" a="1"/>
  <c r="EP212" i="7" s="1"/>
  <c r="GA218" i="7" a="1"/>
  <c r="GA218" i="7" s="1"/>
  <c r="DW222" i="7" a="1"/>
  <c r="DW222" i="7" s="1"/>
  <c r="ED225" i="7" a="1"/>
  <c r="ED225" i="7" s="1"/>
  <c r="ED198" i="7" a="1"/>
  <c r="ED198" i="7" s="1"/>
  <c r="FV209" i="7" a="1"/>
  <c r="FV209" i="7" s="1"/>
  <c r="FA212" i="7" a="1"/>
  <c r="FA212" i="7" s="1"/>
  <c r="EF215" i="7" a="1"/>
  <c r="EF215" i="7" s="1"/>
  <c r="DT217" i="7" a="1"/>
  <c r="DT217" i="7" s="1"/>
  <c r="DU220" i="7" a="1"/>
  <c r="DU220" i="7" s="1"/>
  <c r="ER171" i="7" a="1"/>
  <c r="ER171" i="7" s="1"/>
  <c r="FY207" i="7" a="1"/>
  <c r="FY207" i="7" s="1"/>
  <c r="FB212" i="7" a="1"/>
  <c r="FB212" i="7" s="1"/>
  <c r="FM218" i="7" a="1"/>
  <c r="FM218" i="7" s="1"/>
  <c r="FT221" i="7" a="1"/>
  <c r="FT221" i="7" s="1"/>
  <c r="DZ207" i="7" a="1"/>
  <c r="DZ207" i="7" s="1"/>
  <c r="EH212" i="7" a="1"/>
  <c r="EH212" i="7" s="1"/>
  <c r="EG215" i="7" a="1"/>
  <c r="EG215" i="7" s="1"/>
  <c r="DU217" i="7" a="1"/>
  <c r="DU217" i="7" s="1"/>
  <c r="DV220" i="7" a="1"/>
  <c r="DV220" i="7" s="1"/>
  <c r="EC223" i="7" a="1"/>
  <c r="EC223" i="7" s="1"/>
  <c r="EJ226" i="7" a="1"/>
  <c r="EJ226" i="7" s="1"/>
  <c r="EE205" i="7" a="1"/>
  <c r="EE205" i="7" s="1"/>
  <c r="FN210" i="7" a="1"/>
  <c r="FN210" i="7" s="1"/>
  <c r="FI217" i="7" a="1"/>
  <c r="FI217" i="7" s="1"/>
  <c r="FP220" i="7" a="1"/>
  <c r="FP220" i="7" s="1"/>
  <c r="GA172" i="7" a="1"/>
  <c r="GA172" i="7" s="1"/>
  <c r="ET211" i="7" a="1"/>
  <c r="ET211" i="7" s="1"/>
  <c r="EN214" i="7" a="1"/>
  <c r="EN214" i="7" s="1"/>
  <c r="EB216" i="7" a="1"/>
  <c r="EB216" i="7" s="1"/>
  <c r="ER218" i="7" a="1"/>
  <c r="ER218" i="7" s="1"/>
  <c r="EY221" i="7" a="1"/>
  <c r="EY221" i="7" s="1"/>
  <c r="DW195" i="7" a="1"/>
  <c r="DW195" i="7" s="1"/>
  <c r="EB209" i="7" a="1"/>
  <c r="EB209" i="7" s="1"/>
  <c r="EU212" i="7" a="1"/>
  <c r="EU212" i="7" s="1"/>
  <c r="DS219" i="7" a="1"/>
  <c r="DS219" i="7" s="1"/>
  <c r="DZ222" i="7" a="1"/>
  <c r="DZ222" i="7" s="1"/>
  <c r="ES203" i="7" a="1"/>
  <c r="ES203" i="7" s="1"/>
  <c r="EK212" i="7" a="1"/>
  <c r="EK212" i="7" s="1"/>
  <c r="EA215" i="7" a="1"/>
  <c r="EA215" i="7" s="1"/>
  <c r="FG198" i="7" a="1"/>
  <c r="FG198" i="7" s="1"/>
  <c r="FD209" i="7" a="1"/>
  <c r="FD209" i="7" s="1"/>
  <c r="EV212" i="7" a="1"/>
  <c r="EV212" i="7" s="1"/>
  <c r="FP218" i="7" a="1"/>
  <c r="FP218" i="7" s="1"/>
  <c r="FW221" i="7" a="1"/>
  <c r="FW221" i="7" s="1"/>
  <c r="FJ215" i="7" a="1"/>
  <c r="FJ215" i="7" s="1"/>
  <c r="FS223" i="7" a="1"/>
  <c r="FS223" i="7" s="1"/>
  <c r="EV227" i="7" a="1"/>
  <c r="EV227" i="7" s="1"/>
  <c r="FR230" i="7" a="1"/>
  <c r="FR230" i="7" s="1"/>
  <c r="DT235" i="7" a="1"/>
  <c r="DT235" i="7" s="1"/>
  <c r="EB210" i="7" a="1"/>
  <c r="EB210" i="7" s="1"/>
  <c r="FQ221" i="7" a="1"/>
  <c r="FQ221" i="7" s="1"/>
  <c r="FS225" i="7" a="1"/>
  <c r="FS225" i="7" s="1"/>
  <c r="EJ229" i="7" a="1"/>
  <c r="EJ229" i="7" s="1"/>
  <c r="FV232" i="7" a="1"/>
  <c r="FV232" i="7" s="1"/>
  <c r="EV236" i="7" a="1"/>
  <c r="EV236" i="7" s="1"/>
  <c r="EZ238" i="7" a="1"/>
  <c r="EZ238" i="7" s="1"/>
  <c r="DX240" i="7" a="1"/>
  <c r="DX240" i="7" s="1"/>
  <c r="FR216" i="7" a="1"/>
  <c r="FR216" i="7" s="1"/>
  <c r="FA225" i="7" a="1"/>
  <c r="FA225" i="7" s="1"/>
  <c r="FA229" i="7" a="1"/>
  <c r="FA229" i="7" s="1"/>
  <c r="FO232" i="7" a="1"/>
  <c r="FO232" i="7" s="1"/>
  <c r="EO236" i="7" a="1"/>
  <c r="EO236" i="7" s="1"/>
  <c r="FY218" i="7" a="1"/>
  <c r="FY218" i="7" s="1"/>
  <c r="EQ225" i="7" a="1"/>
  <c r="EQ225" i="7" s="1"/>
  <c r="EZ228" i="7" a="1"/>
  <c r="EZ228" i="7" s="1"/>
  <c r="FV231" i="7" a="1"/>
  <c r="FV231" i="7" s="1"/>
  <c r="EK235" i="7" a="1"/>
  <c r="EK235" i="7" s="1"/>
  <c r="DR238" i="7" a="1"/>
  <c r="DR238" i="7" s="1"/>
  <c r="FA239" i="7" a="1"/>
  <c r="FA239" i="7" s="1"/>
  <c r="EM210" i="7" a="1"/>
  <c r="EM210" i="7" s="1"/>
  <c r="FX221" i="7" a="1"/>
  <c r="FX221" i="7" s="1"/>
  <c r="EM226" i="7" a="1"/>
  <c r="EM226" i="7" s="1"/>
  <c r="GA229" i="7" a="1"/>
  <c r="GA229" i="7" s="1"/>
  <c r="FU233" i="7" a="1"/>
  <c r="FU233" i="7" s="1"/>
  <c r="EO169" i="7" a="1"/>
  <c r="EO169" i="7" s="1"/>
  <c r="FK220" i="7" a="1"/>
  <c r="FK220" i="7" s="1"/>
  <c r="DY227" i="7" a="1"/>
  <c r="DY227" i="7" s="1"/>
  <c r="FS229" i="7" a="1"/>
  <c r="FS229" i="7" s="1"/>
  <c r="FX232" i="7" a="1"/>
  <c r="FX232" i="7" s="1"/>
  <c r="FF236" i="7" a="1"/>
  <c r="FF236" i="7" s="1"/>
  <c r="FB238" i="7" a="1"/>
  <c r="FB238" i="7" s="1"/>
  <c r="DZ240" i="7" a="1"/>
  <c r="DZ240" i="7" s="1"/>
  <c r="GA216" i="7" a="1"/>
  <c r="GA216" i="7" s="1"/>
  <c r="EF224" i="7" a="1"/>
  <c r="EF224" i="7" s="1"/>
  <c r="EE229" i="7" a="1"/>
  <c r="EE229" i="7" s="1"/>
  <c r="FA232" i="7" a="1"/>
  <c r="FA232" i="7" s="1"/>
  <c r="FX235" i="7" a="1"/>
  <c r="FX235" i="7" s="1"/>
  <c r="DQ217" i="7" a="1"/>
  <c r="DQ217" i="7" s="1"/>
  <c r="EZ224" i="7" a="1"/>
  <c r="EZ224" i="7" s="1"/>
  <c r="FP227" i="7" a="1"/>
  <c r="FP227" i="7" s="1"/>
  <c r="EA231" i="7" a="1"/>
  <c r="EA231" i="7" s="1"/>
  <c r="FE234" i="7" a="1"/>
  <c r="FE234" i="7" s="1"/>
  <c r="FJ237" i="7" a="1"/>
  <c r="FJ237" i="7" s="1"/>
  <c r="EH239" i="7" a="1"/>
  <c r="EH239" i="7" s="1"/>
  <c r="FQ208" i="7" a="1"/>
  <c r="FQ208" i="7" s="1"/>
  <c r="DY223" i="7" a="1"/>
  <c r="DY223" i="7" s="1"/>
  <c r="FR226" i="7" a="1"/>
  <c r="FR226" i="7" s="1"/>
  <c r="EP230" i="7" a="1"/>
  <c r="EP230" i="7" s="1"/>
  <c r="EA234" i="7" a="1"/>
  <c r="EA234" i="7" s="1"/>
  <c r="DR209" i="7" a="1"/>
  <c r="DR209" i="7" s="1"/>
  <c r="EX222" i="7" a="1"/>
  <c r="EX222" i="7" s="1"/>
  <c r="EJ227" i="7" a="1"/>
  <c r="EJ227" i="7" s="1"/>
  <c r="FG230" i="7" a="1"/>
  <c r="FG230" i="7" s="1"/>
  <c r="FA233" i="7" a="1"/>
  <c r="FA233" i="7" s="1"/>
  <c r="EA237" i="7" a="1"/>
  <c r="EA237" i="7" s="1"/>
  <c r="ED216" i="7" a="1"/>
  <c r="ED216" i="7" s="1"/>
  <c r="FQ223" i="7" a="1"/>
  <c r="FQ223" i="7" s="1"/>
  <c r="EK227" i="7" a="1"/>
  <c r="EK227" i="7" s="1"/>
  <c r="EQ230" i="7" a="1"/>
  <c r="EQ230" i="7" s="1"/>
  <c r="EY234" i="7" a="1"/>
  <c r="EY234" i="7" s="1"/>
  <c r="EM212" i="7" a="1"/>
  <c r="EM212" i="7" s="1"/>
  <c r="FL228" i="7" a="1"/>
  <c r="FL228" i="7" s="1"/>
  <c r="FZ238" i="7" a="1"/>
  <c r="FZ238" i="7" s="1"/>
  <c r="FR242" i="7" a="1"/>
  <c r="FR242" i="7" s="1"/>
  <c r="FY245" i="7" a="1"/>
  <c r="FY245" i="7" s="1"/>
  <c r="DU249" i="7" a="1"/>
  <c r="DU249" i="7" s="1"/>
  <c r="EB252" i="7" a="1"/>
  <c r="EB252" i="7" s="1"/>
  <c r="GA253" i="7" a="1"/>
  <c r="GA253" i="7" s="1"/>
  <c r="EY255" i="7" a="1"/>
  <c r="EY255" i="7" s="1"/>
  <c r="DW257" i="7" a="1"/>
  <c r="DW257" i="7" s="1"/>
  <c r="EA235" i="7" a="1"/>
  <c r="EA235" i="7" s="1"/>
  <c r="EV242" i="7" a="1"/>
  <c r="EV242" i="7" s="1"/>
  <c r="FC245" i="7" a="1"/>
  <c r="FC245" i="7" s="1"/>
  <c r="FJ248" i="7" a="1"/>
  <c r="FJ248" i="7" s="1"/>
  <c r="FQ251" i="7" a="1"/>
  <c r="FQ251" i="7" s="1"/>
  <c r="DQ233" i="7" a="1"/>
  <c r="DQ233" i="7" s="1"/>
  <c r="FQ240" i="7" a="1"/>
  <c r="FQ240" i="7" s="1"/>
  <c r="FX243" i="7" a="1"/>
  <c r="FX243" i="7" s="1"/>
  <c r="DT247" i="7" a="1"/>
  <c r="DT247" i="7" s="1"/>
  <c r="EA250" i="7" a="1"/>
  <c r="EA250" i="7" s="1"/>
  <c r="DQ253" i="7" a="1"/>
  <c r="DQ253" i="7" s="1"/>
  <c r="EZ254" i="7" a="1"/>
  <c r="EZ254" i="7" s="1"/>
  <c r="DX256" i="7" a="1"/>
  <c r="DX256" i="7" s="1"/>
  <c r="EE216" i="7" a="1"/>
  <c r="EE216" i="7" s="1"/>
  <c r="EW237" i="7" a="1"/>
  <c r="EW237" i="7" s="1"/>
  <c r="GA242" i="7" a="1"/>
  <c r="GA242" i="7" s="1"/>
  <c r="DW246" i="7" a="1"/>
  <c r="DW246" i="7" s="1"/>
  <c r="ED249" i="7" a="1"/>
  <c r="ED249" i="7" s="1"/>
  <c r="EK252" i="7" a="1"/>
  <c r="EK252" i="7" s="1"/>
  <c r="ET236" i="7" a="1"/>
  <c r="ET236" i="7" s="1"/>
  <c r="EZ241" i="7" a="1"/>
  <c r="EZ241" i="7" s="1"/>
  <c r="FG244" i="7" a="1"/>
  <c r="FG244" i="7" s="1"/>
  <c r="FN247" i="7" a="1"/>
  <c r="FN247" i="7" s="1"/>
  <c r="EN228" i="7" a="1"/>
  <c r="EN228" i="7" s="1"/>
  <c r="ED241" i="7" a="1"/>
  <c r="ED241" i="7" s="1"/>
  <c r="EK244" i="7" a="1"/>
  <c r="EK244" i="7" s="1"/>
  <c r="ER247" i="7" a="1"/>
  <c r="ER247" i="7" s="1"/>
  <c r="EY250" i="7" a="1"/>
  <c r="EY250" i="7" s="1"/>
  <c r="ES226" i="7" a="1"/>
  <c r="ES226" i="7" s="1"/>
  <c r="EX239" i="7" a="1"/>
  <c r="EX239" i="7" s="1"/>
  <c r="DR243" i="7" a="1"/>
  <c r="DR243" i="7" s="1"/>
  <c r="DY246" i="7" a="1"/>
  <c r="DY246" i="7" s="1"/>
  <c r="EF249" i="7" a="1"/>
  <c r="EF249" i="7" s="1"/>
  <c r="EM252" i="7" a="1"/>
  <c r="EM252" i="7" s="1"/>
  <c r="DV237" i="7" a="1"/>
  <c r="DV237" i="7" s="1"/>
  <c r="EJ242" i="7" a="1"/>
  <c r="EJ242" i="7" s="1"/>
  <c r="EQ245" i="7" a="1"/>
  <c r="EQ245" i="7" s="1"/>
  <c r="EX248" i="7" a="1"/>
  <c r="EX248" i="7" s="1"/>
  <c r="FF222" i="7" a="1"/>
  <c r="FF222" i="7" s="1"/>
  <c r="GA237" i="7" a="1"/>
  <c r="GA237" i="7" s="1"/>
  <c r="ER242" i="7" a="1"/>
  <c r="ER242" i="7" s="1"/>
  <c r="EY245" i="7" a="1"/>
  <c r="EY245" i="7" s="1"/>
  <c r="FF248" i="7" a="1"/>
  <c r="FF248" i="7" s="1"/>
  <c r="FL232" i="7" a="1"/>
  <c r="FL232" i="7" s="1"/>
  <c r="FJ231" i="7" a="1"/>
  <c r="FJ231" i="7" s="1"/>
  <c r="EP241" i="7" a="1"/>
  <c r="EP241" i="7" s="1"/>
  <c r="EW244" i="7" a="1"/>
  <c r="EW244" i="7" s="1"/>
  <c r="DQ241" i="7" a="1"/>
  <c r="DQ241" i="7" s="1"/>
  <c r="FK250" i="7" a="1"/>
  <c r="FK250" i="7" s="1"/>
  <c r="FK254" i="7" a="1"/>
  <c r="FK254" i="7" s="1"/>
  <c r="EO247" i="7" a="1"/>
  <c r="EO247" i="7" s="1"/>
  <c r="FB254" i="7" a="1"/>
  <c r="FB254" i="7" s="1"/>
  <c r="FX256" i="7" a="1"/>
  <c r="FX256" i="7" s="1"/>
  <c r="FH258" i="7" a="1"/>
  <c r="FH258" i="7" s="1"/>
  <c r="EF260" i="7" a="1"/>
  <c r="EF260" i="7" s="1"/>
  <c r="FO261" i="7" a="1"/>
  <c r="FO261" i="7" s="1"/>
  <c r="EM263" i="7" a="1"/>
  <c r="EM263" i="7" s="1"/>
  <c r="FV264" i="7" a="1"/>
  <c r="FV264" i="7" s="1"/>
  <c r="ET266" i="7" a="1"/>
  <c r="ET266" i="7" s="1"/>
  <c r="DR268" i="7" a="1"/>
  <c r="DR268" i="7" s="1"/>
  <c r="FA269" i="7" a="1"/>
  <c r="FA269" i="7" s="1"/>
  <c r="DY271" i="7" a="1"/>
  <c r="DY271" i="7" s="1"/>
  <c r="FH272" i="7" a="1"/>
  <c r="FH272" i="7" s="1"/>
  <c r="EF274" i="7" a="1"/>
  <c r="EF274" i="7" s="1"/>
  <c r="FO275" i="7" a="1"/>
  <c r="FO275" i="7" s="1"/>
  <c r="FM246" i="7" a="1"/>
  <c r="FM246" i="7" s="1"/>
  <c r="DS252" i="7" a="1"/>
  <c r="DS252" i="7" s="1"/>
  <c r="ER238" i="7" a="1"/>
  <c r="ER238" i="7" s="1"/>
  <c r="ES248" i="7" a="1"/>
  <c r="ES248" i="7" s="1"/>
  <c r="DV255" i="7" a="1"/>
  <c r="DV255" i="7" s="1"/>
  <c r="EU257" i="7" a="1"/>
  <c r="EU257" i="7" s="1"/>
  <c r="DS259" i="7" a="1"/>
  <c r="DS259" i="7" s="1"/>
  <c r="FB260" i="7" a="1"/>
  <c r="FB260" i="7" s="1"/>
  <c r="DZ262" i="7" a="1"/>
  <c r="DZ262" i="7" s="1"/>
  <c r="FI263" i="7" a="1"/>
  <c r="FI263" i="7" s="1"/>
  <c r="EG265" i="7" a="1"/>
  <c r="EG265" i="7" s="1"/>
  <c r="FP266" i="7" a="1"/>
  <c r="FP266" i="7" s="1"/>
  <c r="EN268" i="7" a="1"/>
  <c r="EN268" i="7" s="1"/>
  <c r="FM232" i="7" a="1"/>
  <c r="FM232" i="7" s="1"/>
  <c r="EA249" i="7" a="1"/>
  <c r="EA249" i="7" s="1"/>
  <c r="FB253" i="7" a="1"/>
  <c r="FB253" i="7" s="1"/>
  <c r="FP242" i="7" a="1"/>
  <c r="FP242" i="7" s="1"/>
  <c r="DT251" i="7" a="1"/>
  <c r="DT251" i="7" s="1"/>
  <c r="EQ255" i="7" a="1"/>
  <c r="EQ255" i="7" s="1"/>
  <c r="FJ257" i="7" a="1"/>
  <c r="FJ257" i="7" s="1"/>
  <c r="EH259" i="7" a="1"/>
  <c r="EH259" i="7" s="1"/>
  <c r="FQ260" i="7" a="1"/>
  <c r="FQ260" i="7" s="1"/>
  <c r="EO262" i="7" a="1"/>
  <c r="EO262" i="7" s="1"/>
  <c r="FX263" i="7" a="1"/>
  <c r="FX263" i="7" s="1"/>
  <c r="EV265" i="7" a="1"/>
  <c r="EV265" i="7" s="1"/>
  <c r="DT267" i="7" a="1"/>
  <c r="DT267" i="7" s="1"/>
  <c r="FC268" i="7" a="1"/>
  <c r="FC268" i="7" s="1"/>
  <c r="FR238" i="7" a="1"/>
  <c r="FR238" i="7" s="1"/>
  <c r="EB249" i="7" a="1"/>
  <c r="EB249" i="7" s="1"/>
  <c r="EI254" i="7" a="1"/>
  <c r="EI254" i="7" s="1"/>
  <c r="EI243" i="7" a="1"/>
  <c r="EI243" i="7" s="1"/>
  <c r="FF250" i="7" a="1"/>
  <c r="FF250" i="7" s="1"/>
  <c r="FE254" i="7" a="1"/>
  <c r="FE254" i="7" s="1"/>
  <c r="FR256" i="7" a="1"/>
  <c r="FR256" i="7" s="1"/>
  <c r="FI151" i="7" a="1"/>
  <c r="FI151" i="7" s="1"/>
  <c r="EP171" i="7" a="1"/>
  <c r="EP171" i="7" s="1"/>
  <c r="DV134" i="7" a="1"/>
  <c r="DV134" i="7" s="1"/>
  <c r="EZ175" i="7" a="1"/>
  <c r="EZ175" i="7" s="1"/>
  <c r="FS192" i="7" a="1"/>
  <c r="FS192" i="7" s="1"/>
  <c r="FB106" i="7" a="1"/>
  <c r="FB106" i="7" s="1"/>
  <c r="DR155" i="7" a="1"/>
  <c r="DR155" i="7" s="1"/>
  <c r="DU165" i="7" a="1"/>
  <c r="DU165" i="7" s="1"/>
  <c r="EV173" i="7" a="1"/>
  <c r="EV173" i="7" s="1"/>
  <c r="FN126" i="7" a="1"/>
  <c r="FN126" i="7" s="1"/>
  <c r="FO153" i="7" a="1"/>
  <c r="FO153" i="7" s="1"/>
  <c r="EG187" i="7" a="1"/>
  <c r="EG187" i="7" s="1"/>
  <c r="EC118" i="7" a="1"/>
  <c r="EC118" i="7" s="1"/>
  <c r="FZ119" i="7" a="1"/>
  <c r="FZ119" i="7" s="1"/>
  <c r="EJ156" i="7" a="1"/>
  <c r="EJ156" i="7" s="1"/>
  <c r="FM165" i="7" a="1"/>
  <c r="FM165" i="7" s="1"/>
  <c r="EC174" i="7" a="1"/>
  <c r="EC174" i="7" s="1"/>
  <c r="FY153" i="7" a="1"/>
  <c r="FY153" i="7" s="1"/>
  <c r="DY146" i="7" a="1"/>
  <c r="DY146" i="7" s="1"/>
  <c r="FO151" i="7" a="1"/>
  <c r="FO151" i="7" s="1"/>
  <c r="EG144" i="7" a="1"/>
  <c r="EG144" i="7" s="1"/>
  <c r="GA127" i="7" a="1"/>
  <c r="GA127" i="7" s="1"/>
  <c r="FS137" i="7" a="1"/>
  <c r="FS137" i="7" s="1"/>
  <c r="FV169" i="7" a="1"/>
  <c r="FV169" i="7" s="1"/>
  <c r="EY184" i="7" a="1"/>
  <c r="EY184" i="7" s="1"/>
  <c r="DQ199" i="7" a="1"/>
  <c r="DQ199" i="7" s="1"/>
  <c r="EC161" i="7" a="1"/>
  <c r="EC161" i="7" s="1"/>
  <c r="EB182" i="7" a="1"/>
  <c r="EB182" i="7" s="1"/>
  <c r="FT194" i="7" a="1"/>
  <c r="FT194" i="7" s="1"/>
  <c r="FL160" i="7" a="1"/>
  <c r="FL160" i="7" s="1"/>
  <c r="EB177" i="7" a="1"/>
  <c r="EB177" i="7" s="1"/>
  <c r="EX130" i="7" a="1"/>
  <c r="EX130" i="7" s="1"/>
  <c r="DW162" i="7" a="1"/>
  <c r="DW162" i="7" s="1"/>
  <c r="EY170" i="7" a="1"/>
  <c r="EY170" i="7" s="1"/>
  <c r="EX179" i="7" a="1"/>
  <c r="EX179" i="7" s="1"/>
  <c r="EA184" i="7" a="1"/>
  <c r="EA184" i="7" s="1"/>
  <c r="FR130" i="7" a="1"/>
  <c r="FR130" i="7" s="1"/>
  <c r="FZ148" i="7" a="1"/>
  <c r="FZ148" i="7" s="1"/>
  <c r="EP125" i="7" a="1"/>
  <c r="EP125" i="7" s="1"/>
  <c r="EW155" i="7" a="1"/>
  <c r="EW155" i="7" s="1"/>
  <c r="ED127" i="7" a="1"/>
  <c r="ED127" i="7" s="1"/>
  <c r="EH153" i="7" a="1"/>
  <c r="EH153" i="7" s="1"/>
  <c r="FA162" i="7" a="1"/>
  <c r="FA162" i="7" s="1"/>
  <c r="DR172" i="7" a="1"/>
  <c r="DR172" i="7" s="1"/>
  <c r="EG179" i="7" a="1"/>
  <c r="EG179" i="7" s="1"/>
  <c r="DZ186" i="7" a="1"/>
  <c r="DZ186" i="7" s="1"/>
  <c r="EP144" i="7" a="1"/>
  <c r="EP144" i="7" s="1"/>
  <c r="FQ167" i="7" a="1"/>
  <c r="FQ167" i="7" s="1"/>
  <c r="FO177" i="7" a="1"/>
  <c r="FO177" i="7" s="1"/>
  <c r="DR185" i="7" a="1"/>
  <c r="DR185" i="7" s="1"/>
  <c r="EY192" i="7" a="1"/>
  <c r="EY192" i="7" s="1"/>
  <c r="ER198" i="7" a="1"/>
  <c r="ER198" i="7" s="1"/>
  <c r="EQ204" i="7" a="1"/>
  <c r="EQ204" i="7" s="1"/>
  <c r="FZ205" i="7" a="1"/>
  <c r="FZ205" i="7" s="1"/>
  <c r="EX207" i="7" a="1"/>
  <c r="EX207" i="7" s="1"/>
  <c r="DV209" i="7" a="1"/>
  <c r="DV209" i="7" s="1"/>
  <c r="FE210" i="7" a="1"/>
  <c r="FE210" i="7" s="1"/>
  <c r="EC212" i="7" a="1"/>
  <c r="EC212" i="7" s="1"/>
  <c r="FL213" i="7" a="1"/>
  <c r="FL213" i="7" s="1"/>
  <c r="EJ215" i="7" a="1"/>
  <c r="EJ215" i="7" s="1"/>
  <c r="FS216" i="7" a="1"/>
  <c r="FS216" i="7" s="1"/>
  <c r="FR147" i="7" a="1"/>
  <c r="FR147" i="7" s="1"/>
  <c r="GA161" i="7" a="1"/>
  <c r="GA161" i="7" s="1"/>
  <c r="FU171" i="7" a="1"/>
  <c r="FU171" i="7" s="1"/>
  <c r="DX181" i="7" a="1"/>
  <c r="DX181" i="7" s="1"/>
  <c r="FC187" i="7" a="1"/>
  <c r="FC187" i="7" s="1"/>
  <c r="FH193" i="7" a="1"/>
  <c r="FH193" i="7" s="1"/>
  <c r="DW197" i="7" a="1"/>
  <c r="DW197" i="7" s="1"/>
  <c r="FQ199" i="7" a="1"/>
  <c r="FQ199" i="7" s="1"/>
  <c r="FC203" i="7" a="1"/>
  <c r="FC203" i="7" s="1"/>
  <c r="EN150" i="7" a="1"/>
  <c r="EN150" i="7" s="1"/>
  <c r="DU164" i="7" a="1"/>
  <c r="DU164" i="7" s="1"/>
  <c r="EW173" i="7" a="1"/>
  <c r="EW173" i="7" s="1"/>
  <c r="DW179" i="7" a="1"/>
  <c r="DW179" i="7" s="1"/>
  <c r="EB184" i="7" a="1"/>
  <c r="EB184" i="7" s="1"/>
  <c r="FO189" i="7" a="1"/>
  <c r="FO189" i="7" s="1"/>
  <c r="FS193" i="7" a="1"/>
  <c r="FS193" i="7" s="1"/>
  <c r="ER197" i="7" a="1"/>
  <c r="ER197" i="7" s="1"/>
  <c r="FS200" i="7" a="1"/>
  <c r="FS200" i="7" s="1"/>
  <c r="EK204" i="7" a="1"/>
  <c r="EK204" i="7" s="1"/>
  <c r="FT205" i="7" a="1"/>
  <c r="FT205" i="7" s="1"/>
  <c r="ER207" i="7" a="1"/>
  <c r="ER207" i="7" s="1"/>
  <c r="GA208" i="7" a="1"/>
  <c r="GA208" i="7" s="1"/>
  <c r="FY151" i="7" a="1"/>
  <c r="FY151" i="7" s="1"/>
  <c r="DR166" i="7" a="1"/>
  <c r="DR166" i="7" s="1"/>
  <c r="DT171" i="7" a="1"/>
  <c r="DT171" i="7" s="1"/>
  <c r="DX179" i="7" a="1"/>
  <c r="DX179" i="7" s="1"/>
  <c r="EL183" i="7" a="1"/>
  <c r="EL183" i="7" s="1"/>
  <c r="FQ188" i="7" a="1"/>
  <c r="FQ188" i="7" s="1"/>
  <c r="EY193" i="7" a="1"/>
  <c r="EY193" i="7" s="1"/>
  <c r="ET198" i="7" a="1"/>
  <c r="ET198" i="7" s="1"/>
  <c r="EJ202" i="7" a="1"/>
  <c r="EJ202" i="7" s="1"/>
  <c r="FK143" i="7" a="1"/>
  <c r="FK143" i="7" s="1"/>
  <c r="DV161" i="7" a="1"/>
  <c r="DV161" i="7" s="1"/>
  <c r="FZ93" i="7" a="1"/>
  <c r="FZ93" i="7" s="1"/>
  <c r="DR149" i="7" a="1"/>
  <c r="DR149" i="7" s="1"/>
  <c r="EW164" i="7" a="1"/>
  <c r="EW164" i="7" s="1"/>
  <c r="EP177" i="7" a="1"/>
  <c r="EP177" i="7" s="1"/>
  <c r="FY182" i="7" a="1"/>
  <c r="FY182" i="7" s="1"/>
  <c r="FS188" i="7" a="1"/>
  <c r="FS188" i="7" s="1"/>
  <c r="EH193" i="7" a="1"/>
  <c r="EH193" i="7" s="1"/>
  <c r="EN196" i="7" a="1"/>
  <c r="EN196" i="7" s="1"/>
  <c r="EX200" i="7" a="1"/>
  <c r="EX200" i="7" s="1"/>
  <c r="DR204" i="7" a="1"/>
  <c r="DR204" i="7" s="1"/>
  <c r="FQ162" i="7" a="1"/>
  <c r="FQ162" i="7" s="1"/>
  <c r="EQ174" i="7" a="1"/>
  <c r="EQ174" i="7" s="1"/>
  <c r="FN182" i="7" a="1"/>
  <c r="FN182" i="7" s="1"/>
  <c r="EM192" i="7" a="1"/>
  <c r="EM192" i="7" s="1"/>
  <c r="EF149" i="7" a="1"/>
  <c r="EF149" i="7" s="1"/>
  <c r="DS172" i="7" a="1"/>
  <c r="DS172" i="7" s="1"/>
  <c r="DY183" i="7" a="1"/>
  <c r="DY183" i="7" s="1"/>
  <c r="FE190" i="7" a="1"/>
  <c r="FE190" i="7" s="1"/>
  <c r="DX103" i="7" a="1"/>
  <c r="DX103" i="7" s="1"/>
  <c r="EX163" i="7" a="1"/>
  <c r="EX163" i="7" s="1"/>
  <c r="GA174" i="7" a="1"/>
  <c r="GA174" i="7" s="1"/>
  <c r="EW184" i="7" a="1"/>
  <c r="EW184" i="7" s="1"/>
  <c r="FX192" i="7" a="1"/>
  <c r="FX192" i="7" s="1"/>
  <c r="FD198" i="7" a="1"/>
  <c r="FD198" i="7" s="1"/>
  <c r="FE153" i="7" a="1"/>
  <c r="FE153" i="7" s="1"/>
  <c r="FC168" i="7" a="1"/>
  <c r="FC168" i="7" s="1"/>
  <c r="ER179" i="7" a="1"/>
  <c r="ER179" i="7" s="1"/>
  <c r="FD188" i="7" a="1"/>
  <c r="FD188" i="7" s="1"/>
  <c r="ET195" i="7" a="1"/>
  <c r="ET195" i="7" s="1"/>
  <c r="EE161" i="7" a="1"/>
  <c r="EE161" i="7" s="1"/>
  <c r="EU179" i="7" a="1"/>
  <c r="EU179" i="7" s="1"/>
  <c r="EG186" i="7" a="1"/>
  <c r="EG186" i="7" s="1"/>
  <c r="FK193" i="7" a="1"/>
  <c r="FK193" i="7" s="1"/>
  <c r="ET145" i="7" a="1"/>
  <c r="ET145" i="7" s="1"/>
  <c r="ER166" i="7" a="1"/>
  <c r="ER166" i="7" s="1"/>
  <c r="DW176" i="7" a="1"/>
  <c r="DW176" i="7" s="1"/>
  <c r="FC186" i="7" a="1"/>
  <c r="FC186" i="7" s="1"/>
  <c r="FZ192" i="7" a="1"/>
  <c r="FZ192" i="7" s="1"/>
  <c r="DV163" i="7" a="1"/>
  <c r="DV163" i="7" s="1"/>
  <c r="DY175" i="7" a="1"/>
  <c r="DY175" i="7" s="1"/>
  <c r="FE184" i="7" a="1"/>
  <c r="FE184" i="7" s="1"/>
  <c r="FJ191" i="7" a="1"/>
  <c r="FJ191" i="7" s="1"/>
  <c r="FF163" i="7" a="1"/>
  <c r="FF163" i="7" s="1"/>
  <c r="FB177" i="7" a="1"/>
  <c r="FB177" i="7" s="1"/>
  <c r="EJ186" i="7" a="1"/>
  <c r="EJ186" i="7" s="1"/>
  <c r="FM192" i="7" a="1"/>
  <c r="FM192" i="7" s="1"/>
  <c r="EZ162" i="7" a="1"/>
  <c r="EZ162" i="7" s="1"/>
  <c r="EY179" i="7" a="1"/>
  <c r="EY179" i="7" s="1"/>
  <c r="EF188" i="7" a="1"/>
  <c r="EF188" i="7" s="1"/>
  <c r="FO120" i="7" a="1"/>
  <c r="FO120" i="7" s="1"/>
  <c r="EU161" i="7" a="1"/>
  <c r="EU161" i="7" s="1"/>
  <c r="EI172" i="7" a="1"/>
  <c r="EI172" i="7" s="1"/>
  <c r="FC180" i="7" a="1"/>
  <c r="FC180" i="7" s="1"/>
  <c r="EQ141" i="7" a="1"/>
  <c r="EQ141" i="7" s="1"/>
  <c r="EQ185" i="7" a="1"/>
  <c r="EQ185" i="7" s="1"/>
  <c r="FX198" i="7" a="1"/>
  <c r="FX198" i="7" s="1"/>
  <c r="EO204" i="7" a="1"/>
  <c r="EO204" i="7" s="1"/>
  <c r="FT174" i="7" a="1"/>
  <c r="FT174" i="7" s="1"/>
  <c r="DV194" i="7" a="1"/>
  <c r="DV194" i="7" s="1"/>
  <c r="DQ202" i="7" a="1"/>
  <c r="DQ202" i="7" s="1"/>
  <c r="EA207" i="7" a="1"/>
  <c r="EA207" i="7" s="1"/>
  <c r="ET178" i="7" a="1"/>
  <c r="ET178" i="7" s="1"/>
  <c r="DU196" i="7" a="1"/>
  <c r="DU196" i="7" s="1"/>
  <c r="DX203" i="7" a="1"/>
  <c r="DX203" i="7" s="1"/>
  <c r="EM207" i="7" a="1"/>
  <c r="EM207" i="7" s="1"/>
  <c r="DV182" i="7" a="1"/>
  <c r="DV182" i="7" s="1"/>
  <c r="FT196" i="7" a="1"/>
  <c r="FT196" i="7" s="1"/>
  <c r="EO202" i="7" a="1"/>
  <c r="EO202" i="7" s="1"/>
  <c r="EB207" i="7" a="1"/>
  <c r="EB207" i="7" s="1"/>
  <c r="FA164" i="7" a="1"/>
  <c r="FA164" i="7" s="1"/>
  <c r="DV196" i="7" a="1"/>
  <c r="DV196" i="7" s="1"/>
  <c r="DU204" i="7" a="1"/>
  <c r="DU204" i="7" s="1"/>
  <c r="EP208" i="7" a="1"/>
  <c r="EP208" i="7" s="1"/>
  <c r="EI211" i="7" a="1"/>
  <c r="EI211" i="7" s="1"/>
  <c r="EK175" i="7" a="1"/>
  <c r="EK175" i="7" s="1"/>
  <c r="DY194" i="7" a="1"/>
  <c r="DY194" i="7" s="1"/>
  <c r="FL200" i="7" a="1"/>
  <c r="FL200" i="7" s="1"/>
  <c r="FQ205" i="7" a="1"/>
  <c r="FQ205" i="7" s="1"/>
  <c r="FV173" i="7" a="1"/>
  <c r="FV173" i="7" s="1"/>
  <c r="EG194" i="7" a="1"/>
  <c r="EG194" i="7" s="1"/>
  <c r="EJ201" i="7" a="1"/>
  <c r="EJ201" i="7" s="1"/>
  <c r="EB206" i="7" a="1"/>
  <c r="EB206" i="7" s="1"/>
  <c r="EP172" i="7" a="1"/>
  <c r="EP172" i="7" s="1"/>
  <c r="FP193" i="7" a="1"/>
  <c r="FP193" i="7" s="1"/>
  <c r="FD202" i="7" a="1"/>
  <c r="FD202" i="7" s="1"/>
  <c r="EP207" i="7" a="1"/>
  <c r="EP207" i="7" s="1"/>
  <c r="EK180" i="7" a="1"/>
  <c r="EK180" i="7" s="1"/>
  <c r="EM197" i="7" a="1"/>
  <c r="EM197" i="7" s="1"/>
  <c r="EP203" i="7" a="1"/>
  <c r="EP203" i="7" s="1"/>
  <c r="DZ165" i="7" a="1"/>
  <c r="DZ165" i="7" s="1"/>
  <c r="EL167" i="7" a="1"/>
  <c r="EL167" i="7" s="1"/>
  <c r="FW197" i="7" a="1"/>
  <c r="FW197" i="7" s="1"/>
  <c r="DT203" i="7" a="1"/>
  <c r="DT203" i="7" s="1"/>
  <c r="EX190" i="7" a="1"/>
  <c r="EX190" i="7" s="1"/>
  <c r="FR209" i="7" a="1"/>
  <c r="FR209" i="7" s="1"/>
  <c r="FD213" i="7" a="1"/>
  <c r="FD213" i="7" s="1"/>
  <c r="EA220" i="7" a="1"/>
  <c r="EA220" i="7" s="1"/>
  <c r="EH223" i="7" a="1"/>
  <c r="EH223" i="7" s="1"/>
  <c r="EO226" i="7" a="1"/>
  <c r="EO226" i="7" s="1"/>
  <c r="EV229" i="7" a="1"/>
  <c r="EV229" i="7" s="1"/>
  <c r="FC232" i="7" a="1"/>
  <c r="FC232" i="7" s="1"/>
  <c r="EI234" i="7" a="1"/>
  <c r="EI234" i="7" s="1"/>
  <c r="FR235" i="7" a="1"/>
  <c r="FR235" i="7" s="1"/>
  <c r="FW135" i="7" a="1"/>
  <c r="FW135" i="7" s="1"/>
  <c r="ET207" i="7" a="1"/>
  <c r="ET207" i="7" s="1"/>
  <c r="EZ211" i="7" a="1"/>
  <c r="EZ211" i="7" s="1"/>
  <c r="FA214" i="7" a="1"/>
  <c r="FA214" i="7" s="1"/>
  <c r="EO216" i="7" a="1"/>
  <c r="EO216" i="7" s="1"/>
  <c r="FK218" i="7" a="1"/>
  <c r="FK218" i="7" s="1"/>
  <c r="FR221" i="7" a="1"/>
  <c r="FR221" i="7" s="1"/>
  <c r="FN201" i="7" a="1"/>
  <c r="FN201" i="7" s="1"/>
  <c r="FJ212" i="7" a="1"/>
  <c r="FJ212" i="7" s="1"/>
  <c r="EE219" i="7" a="1"/>
  <c r="EE219" i="7" s="1"/>
  <c r="EL222" i="7" a="1"/>
  <c r="EL222" i="7" s="1"/>
  <c r="ES225" i="7" a="1"/>
  <c r="ES225" i="7" s="1"/>
  <c r="FP199" i="7" a="1"/>
  <c r="FP199" i="7" s="1"/>
  <c r="DU210" i="7" a="1"/>
  <c r="DU210" i="7" s="1"/>
  <c r="FU212" i="7" a="1"/>
  <c r="FU212" i="7" s="1"/>
  <c r="EN215" i="7" a="1"/>
  <c r="EN215" i="7" s="1"/>
  <c r="EB217" i="7" a="1"/>
  <c r="EB217" i="7" s="1"/>
  <c r="EJ220" i="7" a="1"/>
  <c r="EJ220" i="7" s="1"/>
  <c r="EH179" i="7" a="1"/>
  <c r="EH179" i="7" s="1"/>
  <c r="EG208" i="7" a="1"/>
  <c r="EG208" i="7" s="1"/>
  <c r="FK212" i="7" a="1"/>
  <c r="FK212" i="7" s="1"/>
  <c r="DQ219" i="7" a="1"/>
  <c r="DQ219" i="7" s="1"/>
  <c r="DX222" i="7" a="1"/>
  <c r="DX222" i="7" s="1"/>
  <c r="FC207" i="7" a="1"/>
  <c r="FC207" i="7" s="1"/>
  <c r="ES212" i="7" a="1"/>
  <c r="ES212" i="7" s="1"/>
  <c r="EO215" i="7" a="1"/>
  <c r="EO215" i="7" s="1"/>
  <c r="ED217" i="7" a="1"/>
  <c r="ED217" i="7" s="1"/>
  <c r="ED220" i="7" a="1"/>
  <c r="ED220" i="7" s="1"/>
  <c r="EK223" i="7" a="1"/>
  <c r="EK223" i="7" s="1"/>
  <c r="ER226" i="7" a="1"/>
  <c r="ER226" i="7" s="1"/>
  <c r="EH206" i="7" a="1"/>
  <c r="EH206" i="7" s="1"/>
  <c r="FX210" i="7" a="1"/>
  <c r="FX210" i="7" s="1"/>
  <c r="FX217" i="7" a="1"/>
  <c r="FX217" i="7" s="1"/>
  <c r="DT221" i="7" a="1"/>
  <c r="DT221" i="7" s="1"/>
  <c r="FA193" i="7" a="1"/>
  <c r="FA193" i="7" s="1"/>
  <c r="FD211" i="7" a="1"/>
  <c r="FD211" i="7" s="1"/>
  <c r="EV214" i="7" a="1"/>
  <c r="EV214" i="7" s="1"/>
  <c r="EK216" i="7" a="1"/>
  <c r="EK216" i="7" s="1"/>
  <c r="FG218" i="7" a="1"/>
  <c r="FG218" i="7" s="1"/>
  <c r="FN221" i="7" a="1"/>
  <c r="FN221" i="7" s="1"/>
  <c r="FF197" i="7" a="1"/>
  <c r="FF197" i="7" s="1"/>
  <c r="EO209" i="7" a="1"/>
  <c r="EO209" i="7" s="1"/>
  <c r="FD212" i="7" a="1"/>
  <c r="FD212" i="7" s="1"/>
  <c r="EH219" i="7" a="1"/>
  <c r="EH219" i="7" s="1"/>
  <c r="EO222" i="7" a="1"/>
  <c r="EO222" i="7" s="1"/>
  <c r="EN205" i="7" a="1"/>
  <c r="EN205" i="7" s="1"/>
  <c r="FO212" i="7" a="1"/>
  <c r="FO212" i="7" s="1"/>
  <c r="EI215" i="7" a="1"/>
  <c r="EI215" i="7" s="1"/>
  <c r="EF200" i="7" a="1"/>
  <c r="EF200" i="7" s="1"/>
  <c r="FP209" i="7" a="1"/>
  <c r="FP209" i="7" s="1"/>
  <c r="FF212" i="7" a="1"/>
  <c r="FF212" i="7" s="1"/>
  <c r="DT219" i="7" a="1"/>
  <c r="DT219" i="7" s="1"/>
  <c r="EA222" i="7" a="1"/>
  <c r="EA222" i="7" s="1"/>
  <c r="EL216" i="7" a="1"/>
  <c r="EL216" i="7" s="1"/>
  <c r="EB224" i="7" a="1"/>
  <c r="EB224" i="7" s="1"/>
  <c r="FD227" i="7" a="1"/>
  <c r="FD227" i="7" s="1"/>
  <c r="FZ230" i="7" a="1"/>
  <c r="FZ230" i="7" s="1"/>
  <c r="EQ235" i="7" a="1"/>
  <c r="EQ235" i="7" s="1"/>
  <c r="DR211" i="7" a="1"/>
  <c r="DR211" i="7" s="1"/>
  <c r="EI222" i="7" a="1"/>
  <c r="EI222" i="7" s="1"/>
  <c r="FN226" i="7" a="1"/>
  <c r="FN226" i="7" s="1"/>
  <c r="ED230" i="7" a="1"/>
  <c r="ED230" i="7" s="1"/>
  <c r="DZ233" i="7" a="1"/>
  <c r="DZ233" i="7" s="1"/>
  <c r="FS236" i="7" a="1"/>
  <c r="FS236" i="7" s="1"/>
  <c r="FG238" i="7" a="1"/>
  <c r="FG238" i="7" s="1"/>
  <c r="EE240" i="7" a="1"/>
  <c r="EE240" i="7" s="1"/>
  <c r="DX218" i="7" a="1"/>
  <c r="DX218" i="7" s="1"/>
  <c r="FT225" i="7" a="1"/>
  <c r="FT225" i="7" s="1"/>
  <c r="FI229" i="7" a="1"/>
  <c r="FI229" i="7" s="1"/>
  <c r="DS233" i="7" a="1"/>
  <c r="DS233" i="7" s="1"/>
  <c r="FL236" i="7" a="1"/>
  <c r="FL236" i="7" s="1"/>
  <c r="EQ219" i="7" a="1"/>
  <c r="EQ219" i="7" s="1"/>
  <c r="FK225" i="7" a="1"/>
  <c r="FK225" i="7" s="1"/>
  <c r="FH228" i="7" a="1"/>
  <c r="FH228" i="7" s="1"/>
  <c r="DS232" i="7" a="1"/>
  <c r="DS232" i="7" s="1"/>
  <c r="EZ235" i="7" a="1"/>
  <c r="EZ235" i="7" s="1"/>
  <c r="DY238" i="7" a="1"/>
  <c r="DY238" i="7" s="1"/>
  <c r="FH239" i="7" a="1"/>
  <c r="FH239" i="7" s="1"/>
  <c r="EB211" i="7" a="1"/>
  <c r="EB211" i="7" s="1"/>
  <c r="FN222" i="7" a="1"/>
  <c r="FN222" i="7" s="1"/>
  <c r="EV226" i="7" a="1"/>
  <c r="EV226" i="7" s="1"/>
  <c r="DX230" i="7" a="1"/>
  <c r="DX230" i="7" s="1"/>
  <c r="DY234" i="7" a="1"/>
  <c r="DY234" i="7" s="1"/>
  <c r="FK201" i="7" a="1"/>
  <c r="FK201" i="7" s="1"/>
  <c r="DX221" i="7" a="1"/>
  <c r="DX221" i="7" s="1"/>
  <c r="EH227" i="7" a="1"/>
  <c r="EH227" i="7" s="1"/>
  <c r="FM230" i="7" a="1"/>
  <c r="FM230" i="7" s="1"/>
  <c r="EJ233" i="7" a="1"/>
  <c r="EJ233" i="7" s="1"/>
  <c r="FU236" i="7" a="1"/>
  <c r="FU236" i="7" s="1"/>
  <c r="FI238" i="7" a="1"/>
  <c r="FI238" i="7" s="1"/>
  <c r="EG240" i="7" a="1"/>
  <c r="EG240" i="7" s="1"/>
  <c r="FR217" i="7" a="1"/>
  <c r="FR217" i="7" s="1"/>
  <c r="EP224" i="7" a="1"/>
  <c r="EP224" i="7" s="1"/>
  <c r="EM229" i="7" a="1"/>
  <c r="EM229" i="7" s="1"/>
  <c r="FI232" i="7" a="1"/>
  <c r="FI232" i="7" s="1"/>
  <c r="EJ236" i="7" a="1"/>
  <c r="EJ236" i="7" s="1"/>
  <c r="EP217" i="7" a="1"/>
  <c r="EP217" i="7" s="1"/>
  <c r="FI224" i="7" a="1"/>
  <c r="FI224" i="7" s="1"/>
  <c r="ED228" i="7" a="1"/>
  <c r="ED228" i="7" s="1"/>
  <c r="ER231" i="7" a="1"/>
  <c r="ER231" i="7" s="1"/>
  <c r="FT234" i="7" a="1"/>
  <c r="FT234" i="7" s="1"/>
  <c r="FQ237" i="7" a="1"/>
  <c r="FQ237" i="7" s="1"/>
  <c r="EO239" i="7" a="1"/>
  <c r="EO239" i="7" s="1"/>
  <c r="FQ209" i="7" a="1"/>
  <c r="FQ209" i="7" s="1"/>
  <c r="EJ223" i="7" a="1"/>
  <c r="EJ223" i="7" s="1"/>
  <c r="EA227" i="7" a="1"/>
  <c r="EA227" i="7" s="1"/>
  <c r="EX230" i="7" a="1"/>
  <c r="EX230" i="7" s="1"/>
  <c r="EX234" i="7" a="1"/>
  <c r="EX234" i="7" s="1"/>
  <c r="FH210" i="7" a="1"/>
  <c r="FH210" i="7" s="1"/>
  <c r="FV222" i="7" a="1"/>
  <c r="FV222" i="7" s="1"/>
  <c r="ES227" i="7" a="1"/>
  <c r="ES227" i="7" s="1"/>
  <c r="FO230" i="7" a="1"/>
  <c r="FO230" i="7" s="1"/>
  <c r="FP233" i="7" a="1"/>
  <c r="FP233" i="7" s="1"/>
  <c r="EP237" i="7" a="1"/>
  <c r="EP237" i="7" s="1"/>
  <c r="DX217" i="7" a="1"/>
  <c r="DX217" i="7" s="1"/>
  <c r="FZ223" i="7" a="1"/>
  <c r="FZ223" i="7" s="1"/>
  <c r="FB227" i="7" a="1"/>
  <c r="FB227" i="7" s="1"/>
  <c r="FX230" i="7" a="1"/>
  <c r="FX230" i="7" s="1"/>
  <c r="FN234" i="7" a="1"/>
  <c r="FN234" i="7" s="1"/>
  <c r="DY213" i="7" a="1"/>
  <c r="DY213" i="7" s="1"/>
  <c r="EI229" i="7" a="1"/>
  <c r="EI229" i="7" s="1"/>
  <c r="EK239" i="7" a="1"/>
  <c r="EK239" i="7" s="1"/>
  <c r="DV243" i="7" a="1"/>
  <c r="DV243" i="7" s="1"/>
  <c r="EC246" i="7" a="1"/>
  <c r="EC246" i="7" s="1"/>
  <c r="EJ249" i="7" a="1"/>
  <c r="EJ249" i="7" s="1"/>
  <c r="EQ252" i="7" a="1"/>
  <c r="EQ252" i="7" s="1"/>
  <c r="DW254" i="7" a="1"/>
  <c r="DW254" i="7" s="1"/>
  <c r="FF255" i="7" a="1"/>
  <c r="FF255" i="7" s="1"/>
  <c r="EN212" i="7" a="1"/>
  <c r="EN212" i="7" s="1"/>
  <c r="FR237" i="7" a="1"/>
  <c r="FR237" i="7" s="1"/>
  <c r="FK242" i="7" a="1"/>
  <c r="FK242" i="7" s="1"/>
  <c r="FR245" i="7" a="1"/>
  <c r="FR245" i="7" s="1"/>
  <c r="FY248" i="7" a="1"/>
  <c r="FY248" i="7" s="1"/>
  <c r="DU252" i="7" a="1"/>
  <c r="DU252" i="7" s="1"/>
  <c r="FB233" i="7" a="1"/>
  <c r="FB233" i="7" s="1"/>
  <c r="DU241" i="7" a="1"/>
  <c r="DU241" i="7" s="1"/>
  <c r="EB244" i="7" a="1"/>
  <c r="EB244" i="7" s="1"/>
  <c r="EI247" i="7" a="1"/>
  <c r="EI247" i="7" s="1"/>
  <c r="EP250" i="7" a="1"/>
  <c r="EP250" i="7" s="1"/>
  <c r="DX253" i="7" a="1"/>
  <c r="DX253" i="7" s="1"/>
  <c r="FG254" i="7" a="1"/>
  <c r="FG254" i="7" s="1"/>
  <c r="EE256" i="7" a="1"/>
  <c r="EE256" i="7" s="1"/>
  <c r="DQ218" i="7" a="1"/>
  <c r="DQ218" i="7" s="1"/>
  <c r="EI238" i="7" a="1"/>
  <c r="EI238" i="7" s="1"/>
  <c r="EE243" i="7" a="1"/>
  <c r="EE243" i="7" s="1"/>
  <c r="EL246" i="7" a="1"/>
  <c r="EL246" i="7" s="1"/>
  <c r="ES249" i="7" a="1"/>
  <c r="ES249" i="7" s="1"/>
  <c r="EZ252" i="7" a="1"/>
  <c r="EZ252" i="7" s="1"/>
  <c r="EX237" i="7" a="1"/>
  <c r="EX237" i="7" s="1"/>
  <c r="FH241" i="7" a="1"/>
  <c r="FH241" i="7" s="1"/>
  <c r="FO244" i="7" a="1"/>
  <c r="FO244" i="7" s="1"/>
  <c r="FV247" i="7" a="1"/>
  <c r="FV247" i="7" s="1"/>
  <c r="FV228" i="7" a="1"/>
  <c r="FV228" i="7" s="1"/>
  <c r="ES241" i="7" a="1"/>
  <c r="ES241" i="7" s="1"/>
  <c r="EZ244" i="7" a="1"/>
  <c r="EZ244" i="7" s="1"/>
  <c r="FG247" i="7" a="1"/>
  <c r="FG247" i="7" s="1"/>
  <c r="FN250" i="7" a="1"/>
  <c r="FN250" i="7" s="1"/>
  <c r="EB230" i="7" a="1"/>
  <c r="EB230" i="7" s="1"/>
  <c r="FT239" i="7" a="1"/>
  <c r="FT239" i="7" s="1"/>
  <c r="EG243" i="7" a="1"/>
  <c r="EG243" i="7" s="1"/>
  <c r="EN246" i="7" a="1"/>
  <c r="EN246" i="7" s="1"/>
  <c r="EU249" i="7" a="1"/>
  <c r="EU249" i="7" s="1"/>
  <c r="FB252" i="7" a="1"/>
  <c r="FB252" i="7" s="1"/>
  <c r="FD237" i="7" a="1"/>
  <c r="FD237" i="7" s="1"/>
  <c r="EY242" i="7" a="1"/>
  <c r="EY242" i="7" s="1"/>
  <c r="FF245" i="7" a="1"/>
  <c r="FF245" i="7" s="1"/>
  <c r="FM248" i="7" a="1"/>
  <c r="FM248" i="7" s="1"/>
  <c r="FI223" i="7" a="1"/>
  <c r="FI223" i="7" s="1"/>
  <c r="EQ238" i="7" a="1"/>
  <c r="EQ238" i="7" s="1"/>
  <c r="FG242" i="7" a="1"/>
  <c r="FG242" i="7" s="1"/>
  <c r="FN245" i="7" a="1"/>
  <c r="FN245" i="7" s="1"/>
  <c r="FU248" i="7" a="1"/>
  <c r="FU248" i="7" s="1"/>
  <c r="ER234" i="7" a="1"/>
  <c r="ER234" i="7" s="1"/>
  <c r="EG232" i="7" a="1"/>
  <c r="EG232" i="7" s="1"/>
  <c r="FE241" i="7" a="1"/>
  <c r="FE241" i="7" s="1"/>
  <c r="FL244" i="7" a="1"/>
  <c r="FL244" i="7" s="1"/>
  <c r="EO241" i="7" a="1"/>
  <c r="EO241" i="7" s="1"/>
  <c r="FY250" i="7" a="1"/>
  <c r="FY250" i="7" s="1"/>
  <c r="ED257" i="7" a="1"/>
  <c r="ED257" i="7" s="1"/>
  <c r="FK247" i="7" a="1"/>
  <c r="FK247" i="7" s="1"/>
  <c r="FW254" i="7" a="1"/>
  <c r="FW254" i="7" s="1"/>
  <c r="DV257" i="7" a="1"/>
  <c r="DV257" i="7" s="1"/>
  <c r="FO258" i="7" a="1"/>
  <c r="FO258" i="7" s="1"/>
  <c r="EM260" i="7" a="1"/>
  <c r="EM260" i="7" s="1"/>
  <c r="FV261" i="7" a="1"/>
  <c r="FV261" i="7" s="1"/>
  <c r="ET263" i="7" a="1"/>
  <c r="ET263" i="7" s="1"/>
  <c r="DR265" i="7" a="1"/>
  <c r="DR265" i="7" s="1"/>
  <c r="FA266" i="7" a="1"/>
  <c r="FA266" i="7" s="1"/>
  <c r="DY268" i="7" a="1"/>
  <c r="DY268" i="7" s="1"/>
  <c r="FH269" i="7" a="1"/>
  <c r="FH269" i="7" s="1"/>
  <c r="EF271" i="7" a="1"/>
  <c r="EF271" i="7" s="1"/>
  <c r="FO272" i="7" a="1"/>
  <c r="FO272" i="7" s="1"/>
  <c r="EM274" i="7" a="1"/>
  <c r="EM274" i="7" s="1"/>
  <c r="FV275" i="7" a="1"/>
  <c r="FV275" i="7" s="1"/>
  <c r="DX247" i="7" a="1"/>
  <c r="DX247" i="7" s="1"/>
  <c r="EG252" i="7" a="1"/>
  <c r="EG252" i="7" s="1"/>
  <c r="FF239" i="7" a="1"/>
  <c r="FF239" i="7" s="1"/>
  <c r="EM250" i="7" a="1"/>
  <c r="EM250" i="7" s="1"/>
  <c r="EG255" i="7" a="1"/>
  <c r="EG255" i="7" s="1"/>
  <c r="FB257" i="7" a="1"/>
  <c r="FB257" i="7" s="1"/>
  <c r="DZ259" i="7" a="1"/>
  <c r="DZ259" i="7" s="1"/>
  <c r="FI260" i="7" a="1"/>
  <c r="FI260" i="7" s="1"/>
  <c r="EG262" i="7" a="1"/>
  <c r="EG262" i="7" s="1"/>
  <c r="FP263" i="7" a="1"/>
  <c r="FP263" i="7" s="1"/>
  <c r="EN265" i="7" a="1"/>
  <c r="EN265" i="7" s="1"/>
  <c r="FW266" i="7" a="1"/>
  <c r="FW266" i="7" s="1"/>
  <c r="EU268" i="7" a="1"/>
  <c r="EU268" i="7" s="1"/>
  <c r="DS235" i="7" a="1"/>
  <c r="DS235" i="7" s="1"/>
  <c r="EP249" i="7" a="1"/>
  <c r="EP249" i="7" s="1"/>
  <c r="DV254" i="7" a="1"/>
  <c r="DV254" i="7" s="1"/>
  <c r="FS244" i="7" a="1"/>
  <c r="FS244" i="7" s="1"/>
  <c r="EG251" i="7" a="1"/>
  <c r="EG251" i="7" s="1"/>
  <c r="FB255" i="7" a="1"/>
  <c r="FB255" i="7" s="1"/>
  <c r="FQ257" i="7" a="1"/>
  <c r="FQ257" i="7" s="1"/>
  <c r="EO259" i="7" a="1"/>
  <c r="EO259" i="7" s="1"/>
  <c r="FX260" i="7" a="1"/>
  <c r="FX260" i="7" s="1"/>
  <c r="EV262" i="7" a="1"/>
  <c r="EV262" i="7" s="1"/>
  <c r="DT264" i="7" a="1"/>
  <c r="DT264" i="7" s="1"/>
  <c r="FC265" i="7" a="1"/>
  <c r="FC265" i="7" s="1"/>
  <c r="EA267" i="7" a="1"/>
  <c r="EA267" i="7" s="1"/>
  <c r="FJ268" i="7" a="1"/>
  <c r="FJ268" i="7" s="1"/>
  <c r="DU240" i="7" a="1"/>
  <c r="DU240" i="7" s="1"/>
  <c r="EQ249" i="7" a="1"/>
  <c r="EQ249" i="7" s="1"/>
  <c r="EU254" i="7" a="1"/>
  <c r="EU254" i="7" s="1"/>
  <c r="DY244" i="7" a="1"/>
  <c r="DY244" i="7" s="1"/>
  <c r="FR250" i="7" a="1"/>
  <c r="FR250" i="7" s="1"/>
  <c r="FQ254" i="7" a="1"/>
  <c r="FQ254" i="7" s="1"/>
  <c r="DR257" i="7" a="1"/>
  <c r="DR257" i="7" s="1"/>
  <c r="EH155" i="7" a="1"/>
  <c r="EH155" i="7" s="1"/>
  <c r="EX171" i="7" a="1"/>
  <c r="EX171" i="7" s="1"/>
  <c r="EC142" i="7" a="1"/>
  <c r="EC142" i="7" s="1"/>
  <c r="FI179" i="7" a="1"/>
  <c r="FI179" i="7" s="1"/>
  <c r="DW193" i="7" a="1"/>
  <c r="DW193" i="7" s="1"/>
  <c r="FU108" i="7" a="1"/>
  <c r="FU108" i="7" s="1"/>
  <c r="EI155" i="7" a="1"/>
  <c r="EI155" i="7" s="1"/>
  <c r="EK165" i="7" a="1"/>
  <c r="EK165" i="7" s="1"/>
  <c r="FD173" i="7" a="1"/>
  <c r="FD173" i="7" s="1"/>
  <c r="EH128" i="7" a="1"/>
  <c r="EH128" i="7" s="1"/>
  <c r="FX153" i="7" a="1"/>
  <c r="FX153" i="7" s="1"/>
  <c r="FK187" i="7" a="1"/>
  <c r="FK187" i="7" s="1"/>
  <c r="DQ119" i="7" a="1"/>
  <c r="DQ119" i="7" s="1"/>
  <c r="ER126" i="7" a="1"/>
  <c r="ER126" i="7" s="1"/>
  <c r="ER156" i="7" a="1"/>
  <c r="ER156" i="7" s="1"/>
  <c r="DS166" i="7" a="1"/>
  <c r="DS166" i="7" s="1"/>
  <c r="EK174" i="7" a="1"/>
  <c r="EK174" i="7" s="1"/>
  <c r="FW154" i="7" a="1"/>
  <c r="FW154" i="7" s="1"/>
  <c r="EP146" i="7" a="1"/>
  <c r="EP146" i="7" s="1"/>
  <c r="EI152" i="7" a="1"/>
  <c r="EI152" i="7" s="1"/>
  <c r="EN145" i="7" a="1"/>
  <c r="EN145" i="7" s="1"/>
  <c r="FS130" i="7" a="1"/>
  <c r="FS130" i="7" s="1"/>
  <c r="GA138" i="7" a="1"/>
  <c r="GA138" i="7" s="1"/>
  <c r="DW171" i="7" a="1"/>
  <c r="DW171" i="7" s="1"/>
  <c r="FH184" i="7" a="1"/>
  <c r="FH184" i="7" s="1"/>
  <c r="EG199" i="7" a="1"/>
  <c r="EG199" i="7" s="1"/>
  <c r="FR161" i="7" a="1"/>
  <c r="FR161" i="7" s="1"/>
  <c r="FT182" i="7" a="1"/>
  <c r="FT182" i="7" s="1"/>
  <c r="EJ195" i="7" a="1"/>
  <c r="EJ195" i="7" s="1"/>
  <c r="EI162" i="7" a="1"/>
  <c r="EI162" i="7" s="1"/>
  <c r="EM177" i="7" a="1"/>
  <c r="EM177" i="7" s="1"/>
  <c r="FT132" i="7" a="1"/>
  <c r="FT132" i="7" s="1"/>
  <c r="FL162" i="7" a="1"/>
  <c r="FL162" i="7" s="1"/>
  <c r="FK170" i="7" a="1"/>
  <c r="FK170" i="7" s="1"/>
  <c r="FH179" i="7" a="1"/>
  <c r="FH179" i="7" s="1"/>
  <c r="ER184" i="7" a="1"/>
  <c r="ER184" i="7" s="1"/>
  <c r="FM131" i="7" a="1"/>
  <c r="FM131" i="7" s="1"/>
  <c r="FS152" i="7" a="1"/>
  <c r="FS152" i="7" s="1"/>
  <c r="FC129" i="7" a="1"/>
  <c r="FC129" i="7" s="1"/>
  <c r="DZ156" i="7" a="1"/>
  <c r="DZ156" i="7" s="1"/>
  <c r="FK129" i="7" a="1"/>
  <c r="FK129" i="7" s="1"/>
  <c r="FB153" i="7" a="1"/>
  <c r="FB153" i="7" s="1"/>
  <c r="ED163" i="7" a="1"/>
  <c r="ED163" i="7" s="1"/>
  <c r="EE172" i="7" a="1"/>
  <c r="EE172" i="7" s="1"/>
  <c r="FA179" i="7" a="1"/>
  <c r="FA179" i="7" s="1"/>
  <c r="EI186" i="7" a="1"/>
  <c r="EI186" i="7" s="1"/>
  <c r="FZ156" i="7" a="1"/>
  <c r="FZ156" i="7" s="1"/>
  <c r="DZ168" i="7" a="1"/>
  <c r="DZ168" i="7" s="1"/>
  <c r="GA177" i="7" a="1"/>
  <c r="GA177" i="7" s="1"/>
  <c r="ED185" i="7" a="1"/>
  <c r="ED185" i="7" s="1"/>
  <c r="FI192" i="7" a="1"/>
  <c r="FI192" i="7" s="1"/>
  <c r="FA198" i="7" a="1"/>
  <c r="FA198" i="7" s="1"/>
  <c r="EX204" i="7" a="1"/>
  <c r="EX204" i="7" s="1"/>
  <c r="DV206" i="7" a="1"/>
  <c r="DV206" i="7" s="1"/>
  <c r="FE207" i="7" a="1"/>
  <c r="FE207" i="7" s="1"/>
  <c r="EC209" i="7" a="1"/>
  <c r="EC209" i="7" s="1"/>
  <c r="FL210" i="7" a="1"/>
  <c r="FL210" i="7" s="1"/>
  <c r="EJ212" i="7" a="1"/>
  <c r="EJ212" i="7" s="1"/>
  <c r="FS213" i="7" a="1"/>
  <c r="FS213" i="7" s="1"/>
  <c r="EQ215" i="7" a="1"/>
  <c r="EQ215" i="7" s="1"/>
  <c r="FZ216" i="7" a="1"/>
  <c r="FZ216" i="7" s="1"/>
  <c r="FH148" i="7" a="1"/>
  <c r="FH148" i="7" s="1"/>
  <c r="EN162" i="7" a="1"/>
  <c r="EN162" i="7" s="1"/>
  <c r="EZ172" i="7" a="1"/>
  <c r="EZ172" i="7" s="1"/>
  <c r="EZ181" i="7" a="1"/>
  <c r="EZ181" i="7" s="1"/>
  <c r="GA187" i="7" a="1"/>
  <c r="GA187" i="7" s="1"/>
  <c r="EA194" i="7" a="1"/>
  <c r="EA194" i="7" s="1"/>
  <c r="EQ197" i="7" a="1"/>
  <c r="EQ197" i="7" s="1"/>
  <c r="FY199" i="7" a="1"/>
  <c r="FY199" i="7" s="1"/>
  <c r="FR203" i="7" a="1"/>
  <c r="FR203" i="7" s="1"/>
  <c r="FD152" i="7" a="1"/>
  <c r="FD152" i="7" s="1"/>
  <c r="DQ166" i="7" a="1"/>
  <c r="DQ166" i="7" s="1"/>
  <c r="DW174" i="7" a="1"/>
  <c r="DW174" i="7" s="1"/>
  <c r="EJ179" i="7" a="1"/>
  <c r="EJ179" i="7" s="1"/>
  <c r="EF185" i="7" a="1"/>
  <c r="EF185" i="7" s="1"/>
  <c r="DW190" i="7" a="1"/>
  <c r="DW190" i="7" s="1"/>
  <c r="DR194" i="7" a="1"/>
  <c r="DR194" i="7" s="1"/>
  <c r="DS198" i="7" a="1"/>
  <c r="DS198" i="7" s="1"/>
  <c r="EE201" i="7" a="1"/>
  <c r="EE201" i="7" s="1"/>
  <c r="ER204" i="7" a="1"/>
  <c r="ER204" i="7" s="1"/>
  <c r="GA205" i="7" a="1"/>
  <c r="GA205" i="7" s="1"/>
  <c r="EY207" i="7" a="1"/>
  <c r="EY207" i="7" s="1"/>
  <c r="DW209" i="7" a="1"/>
  <c r="DW209" i="7" s="1"/>
  <c r="DS154" i="7" a="1"/>
  <c r="DS154" i="7" s="1"/>
  <c r="EK166" i="7" a="1"/>
  <c r="EK166" i="7" s="1"/>
  <c r="EN171" i="7" a="1"/>
  <c r="EN171" i="7" s="1"/>
  <c r="EO179" i="7" a="1"/>
  <c r="EO179" i="7" s="1"/>
  <c r="FL183" i="7" a="1"/>
  <c r="FL183" i="7" s="1"/>
  <c r="EK189" i="7" a="1"/>
  <c r="EK189" i="7" s="1"/>
  <c r="ED194" i="7" a="1"/>
  <c r="ED194" i="7" s="1"/>
  <c r="FL198" i="7" a="1"/>
  <c r="FL198" i="7" s="1"/>
  <c r="FG202" i="7" a="1"/>
  <c r="FG202" i="7" s="1"/>
  <c r="EQ145" i="7" a="1"/>
  <c r="EQ145" i="7" s="1"/>
  <c r="DX162" i="7" a="1"/>
  <c r="DX162" i="7" s="1"/>
  <c r="FM98" i="7" a="1"/>
  <c r="FM98" i="7" s="1"/>
  <c r="FR149" i="7" a="1"/>
  <c r="FR149" i="7" s="1"/>
  <c r="EA165" i="7" a="1"/>
  <c r="EA165" i="7" s="1"/>
  <c r="FD177" i="7" a="1"/>
  <c r="FD177" i="7" s="1"/>
  <c r="FC183" i="7" a="1"/>
  <c r="FC183" i="7" s="1"/>
  <c r="FH189" i="7" a="1"/>
  <c r="FH189" i="7" s="1"/>
  <c r="FB193" i="7" a="1"/>
  <c r="FB193" i="7" s="1"/>
  <c r="FS196" i="7" a="1"/>
  <c r="FS196" i="7" s="1"/>
  <c r="FF200" i="7" a="1"/>
  <c r="FF200" i="7" s="1"/>
  <c r="EC115" i="7" a="1"/>
  <c r="EC115" i="7" s="1"/>
  <c r="ET163" i="7" a="1"/>
  <c r="ET163" i="7" s="1"/>
  <c r="FU174" i="7" a="1"/>
  <c r="FU174" i="7" s="1"/>
  <c r="EQ183" i="7" a="1"/>
  <c r="EQ183" i="7" s="1"/>
  <c r="FV192" i="7" a="1"/>
  <c r="FV192" i="7" s="1"/>
  <c r="EJ152" i="7" a="1"/>
  <c r="EJ152" i="7" s="1"/>
  <c r="ES173" i="7" a="1"/>
  <c r="ES173" i="7" s="1"/>
  <c r="DW184" i="7" a="1"/>
  <c r="DW184" i="7" s="1"/>
  <c r="FT190" i="7" a="1"/>
  <c r="FT190" i="7" s="1"/>
  <c r="EZ124" i="7" a="1"/>
  <c r="EZ124" i="7" s="1"/>
  <c r="DY164" i="7" a="1"/>
  <c r="DY164" i="7" s="1"/>
  <c r="EV176" i="7" a="1"/>
  <c r="EV176" i="7" s="1"/>
  <c r="FT184" i="7" a="1"/>
  <c r="FT184" i="7" s="1"/>
  <c r="EA193" i="7" a="1"/>
  <c r="EA193" i="7" s="1"/>
  <c r="FP198" i="7" a="1"/>
  <c r="FP198" i="7" s="1"/>
  <c r="FO154" i="7" a="1"/>
  <c r="FO154" i="7" s="1"/>
  <c r="FE169" i="7" a="1"/>
  <c r="FE169" i="7" s="1"/>
  <c r="FM179" i="7" a="1"/>
  <c r="FM179" i="7" s="1"/>
  <c r="EB189" i="7" a="1"/>
  <c r="EB189" i="7" s="1"/>
  <c r="DR196" i="7" a="1"/>
  <c r="DR196" i="7" s="1"/>
  <c r="FO161" i="7" a="1"/>
  <c r="FO161" i="7" s="1"/>
  <c r="FS179" i="7" a="1"/>
  <c r="FS179" i="7" s="1"/>
  <c r="FV186" i="7" a="1"/>
  <c r="FV186" i="7" s="1"/>
  <c r="FZ193" i="7" a="1"/>
  <c r="FZ193" i="7" s="1"/>
  <c r="EJ151" i="7" a="1"/>
  <c r="EJ151" i="7" s="1"/>
  <c r="DS167" i="7" a="1"/>
  <c r="DS167" i="7" s="1"/>
  <c r="DU177" i="7" a="1"/>
  <c r="DU177" i="7" s="1"/>
  <c r="FW187" i="7" a="1"/>
  <c r="FW187" i="7" s="1"/>
  <c r="EG193" i="7" a="1"/>
  <c r="EG193" i="7" s="1"/>
  <c r="EG164" i="7" a="1"/>
  <c r="EG164" i="7" s="1"/>
  <c r="DX176" i="7" a="1"/>
  <c r="DX176" i="7" s="1"/>
  <c r="EH186" i="7" a="1"/>
  <c r="EH186" i="7" s="1"/>
  <c r="GA191" i="7" a="1"/>
  <c r="GA191" i="7" s="1"/>
  <c r="EJ164" i="7" a="1"/>
  <c r="EJ164" i="7" s="1"/>
  <c r="FY177" i="7" a="1"/>
  <c r="FY177" i="7" s="1"/>
  <c r="FH186" i="7" a="1"/>
  <c r="FH186" i="7" s="1"/>
  <c r="EZ120" i="7" a="1"/>
  <c r="EZ120" i="7" s="1"/>
  <c r="EC163" i="7" a="1"/>
  <c r="EC163" i="7" s="1"/>
  <c r="EI180" i="7" a="1"/>
  <c r="EI180" i="7" s="1"/>
  <c r="ES188" i="7" a="1"/>
  <c r="ES188" i="7" s="1"/>
  <c r="EV127" i="7" a="1"/>
  <c r="EV127" i="7" s="1"/>
  <c r="FZ161" i="7" a="1"/>
  <c r="FZ161" i="7" s="1"/>
  <c r="FO172" i="7" a="1"/>
  <c r="FO172" i="7" s="1"/>
  <c r="FZ180" i="7" a="1"/>
  <c r="FZ180" i="7" s="1"/>
  <c r="FE151" i="7" a="1"/>
  <c r="FE151" i="7" s="1"/>
  <c r="FJ186" i="7" a="1"/>
  <c r="FJ186" i="7" s="1"/>
  <c r="EB199" i="7" a="1"/>
  <c r="EB199" i="7" s="1"/>
  <c r="FV204" i="7" a="1"/>
  <c r="FV204" i="7" s="1"/>
  <c r="FP176" i="7" a="1"/>
  <c r="FP176" i="7" s="1"/>
  <c r="FC195" i="7" a="1"/>
  <c r="FC195" i="7" s="1"/>
  <c r="EC202" i="7" a="1"/>
  <c r="EC202" i="7" s="1"/>
  <c r="FH207" i="7" a="1"/>
  <c r="FH207" i="7" s="1"/>
  <c r="DQ181" i="7" a="1"/>
  <c r="DQ181" i="7" s="1"/>
  <c r="EP196" i="7" a="1"/>
  <c r="EP196" i="7" s="1"/>
  <c r="EW203" i="7" a="1"/>
  <c r="EW203" i="7" s="1"/>
  <c r="EW207" i="7" a="1"/>
  <c r="EW207" i="7" s="1"/>
  <c r="EO183" i="7" a="1"/>
  <c r="EO183" i="7" s="1"/>
  <c r="EW197" i="7" a="1"/>
  <c r="EW197" i="7" s="1"/>
  <c r="FB202" i="7" a="1"/>
  <c r="FB202" i="7" s="1"/>
  <c r="EN207" i="7" a="1"/>
  <c r="EN207" i="7" s="1"/>
  <c r="FF166" i="7" a="1"/>
  <c r="FF166" i="7" s="1"/>
  <c r="FU196" i="7" a="1"/>
  <c r="FU196" i="7" s="1"/>
  <c r="ES204" i="7" a="1"/>
  <c r="ES204" i="7" s="1"/>
  <c r="FB208" i="7" a="1"/>
  <c r="FB208" i="7" s="1"/>
  <c r="FC211" i="7" a="1"/>
  <c r="FC211" i="7" s="1"/>
  <c r="GA179" i="7" a="1"/>
  <c r="GA179" i="7" s="1"/>
  <c r="FN195" i="7" a="1"/>
  <c r="FN195" i="7" s="1"/>
  <c r="DY201" i="7" a="1"/>
  <c r="DY201" i="7" s="1"/>
  <c r="EM206" i="7" a="1"/>
  <c r="EM206" i="7" s="1"/>
  <c r="FO175" i="7" a="1"/>
  <c r="FO175" i="7" s="1"/>
  <c r="FB194" i="7" a="1"/>
  <c r="FB194" i="7" s="1"/>
  <c r="EW201" i="7" a="1"/>
  <c r="EW201" i="7" s="1"/>
  <c r="EN206" i="7" a="1"/>
  <c r="EN206" i="7" s="1"/>
  <c r="EJ177" i="7" a="1"/>
  <c r="EJ177" i="7" s="1"/>
  <c r="EP195" i="7" a="1"/>
  <c r="EP195" i="7" s="1"/>
  <c r="FQ202" i="7" a="1"/>
  <c r="FQ202" i="7" s="1"/>
  <c r="FB207" i="7" a="1"/>
  <c r="FB207" i="7" s="1"/>
  <c r="EP181" i="7" a="1"/>
  <c r="EP181" i="7" s="1"/>
  <c r="EO198" i="7" a="1"/>
  <c r="EO198" i="7" s="1"/>
  <c r="FA203" i="7" a="1"/>
  <c r="FA203" i="7" s="1"/>
  <c r="FS170" i="7" a="1"/>
  <c r="FS170" i="7" s="1"/>
  <c r="FH177" i="7" a="1"/>
  <c r="FH177" i="7" s="1"/>
  <c r="EC198" i="7" a="1"/>
  <c r="EC198" i="7" s="1"/>
  <c r="EE203" i="7" a="1"/>
  <c r="EE203" i="7" s="1"/>
  <c r="EJ194" i="7" a="1"/>
  <c r="EJ194" i="7" s="1"/>
  <c r="DS210" i="7" a="1"/>
  <c r="DS210" i="7" s="1"/>
  <c r="FV213" i="7" a="1"/>
  <c r="FV213" i="7" s="1"/>
  <c r="EP220" i="7" a="1"/>
  <c r="EP220" i="7" s="1"/>
  <c r="EW223" i="7" a="1"/>
  <c r="EW223" i="7" s="1"/>
  <c r="FD226" i="7" a="1"/>
  <c r="FD226" i="7" s="1"/>
  <c r="FK229" i="7" a="1"/>
  <c r="FK229" i="7" s="1"/>
  <c r="FR232" i="7" a="1"/>
  <c r="FR232" i="7" s="1"/>
  <c r="EP234" i="7" a="1"/>
  <c r="EP234" i="7" s="1"/>
  <c r="FY235" i="7" a="1"/>
  <c r="FY235" i="7" s="1"/>
  <c r="EY169" i="7" a="1"/>
  <c r="EY169" i="7" s="1"/>
  <c r="FQ207" i="7" a="1"/>
  <c r="FQ207" i="7" s="1"/>
  <c r="FJ211" i="7" a="1"/>
  <c r="FJ211" i="7" s="1"/>
  <c r="FI214" i="7" a="1"/>
  <c r="FI214" i="7" s="1"/>
  <c r="EW216" i="7" a="1"/>
  <c r="EW216" i="7" s="1"/>
  <c r="FZ218" i="7" a="1"/>
  <c r="FZ218" i="7" s="1"/>
  <c r="DV222" i="7" a="1"/>
  <c r="DV222" i="7" s="1"/>
  <c r="EV202" i="7" a="1"/>
  <c r="EV202" i="7" s="1"/>
  <c r="FT212" i="7" a="1"/>
  <c r="FT212" i="7" s="1"/>
  <c r="ET219" i="7" a="1"/>
  <c r="ET219" i="7" s="1"/>
  <c r="FA222" i="7" a="1"/>
  <c r="FA222" i="7" s="1"/>
  <c r="FH225" i="7" a="1"/>
  <c r="FH225" i="7" s="1"/>
  <c r="EC201" i="7" a="1"/>
  <c r="EC201" i="7" s="1"/>
  <c r="EF210" i="7" a="1"/>
  <c r="EF210" i="7" s="1"/>
  <c r="EM213" i="7" a="1"/>
  <c r="EM213" i="7" s="1"/>
  <c r="EV215" i="7" a="1"/>
  <c r="EV215" i="7" s="1"/>
  <c r="EK217" i="7" a="1"/>
  <c r="EK217" i="7" s="1"/>
  <c r="ER220" i="7" a="1"/>
  <c r="ER220" i="7" s="1"/>
  <c r="DZ185" i="7" a="1"/>
  <c r="DZ185" i="7" s="1"/>
  <c r="EU208" i="7" a="1"/>
  <c r="EU208" i="7" s="1"/>
  <c r="DT213" i="7" a="1"/>
  <c r="DT213" i="7" s="1"/>
  <c r="EF219" i="7" a="1"/>
  <c r="EF219" i="7" s="1"/>
  <c r="EM222" i="7" a="1"/>
  <c r="EM222" i="7" s="1"/>
  <c r="FI208" i="7" a="1"/>
  <c r="FI208" i="7" s="1"/>
  <c r="FV212" i="7" a="1"/>
  <c r="FV212" i="7" s="1"/>
  <c r="EW215" i="7" a="1"/>
  <c r="EW215" i="7" s="1"/>
  <c r="EL217" i="7" a="1"/>
  <c r="EL217" i="7" s="1"/>
  <c r="ES220" i="7" a="1"/>
  <c r="ES220" i="7" s="1"/>
  <c r="EZ223" i="7" a="1"/>
  <c r="EZ223" i="7" s="1"/>
  <c r="FG226" i="7" a="1"/>
  <c r="FG226" i="7" s="1"/>
  <c r="EG207" i="7" a="1"/>
  <c r="EG207" i="7" s="1"/>
  <c r="DX211" i="7" a="1"/>
  <c r="DX211" i="7" s="1"/>
  <c r="EB218" i="7" a="1"/>
  <c r="EB218" i="7" s="1"/>
  <c r="EI221" i="7" a="1"/>
  <c r="EI221" i="7" s="1"/>
  <c r="DV195" i="7" a="1"/>
  <c r="DV195" i="7" s="1"/>
  <c r="FO211" i="7" a="1"/>
  <c r="FO211" i="7" s="1"/>
  <c r="FD214" i="7" a="1"/>
  <c r="FD214" i="7" s="1"/>
  <c r="ES216" i="7" a="1"/>
  <c r="ES216" i="7" s="1"/>
  <c r="FV218" i="7" a="1"/>
  <c r="FV218" i="7" s="1"/>
  <c r="DR222" i="7" a="1"/>
  <c r="DR222" i="7" s="1"/>
  <c r="DT200" i="7" a="1"/>
  <c r="DT200" i="7" s="1"/>
  <c r="FC209" i="7" a="1"/>
  <c r="FC209" i="7" s="1"/>
  <c r="FX212" i="7" a="1"/>
  <c r="FX212" i="7" s="1"/>
  <c r="EW219" i="7" a="1"/>
  <c r="EW219" i="7" s="1"/>
  <c r="FD222" i="7" a="1"/>
  <c r="FD222" i="7" s="1"/>
  <c r="FW205" i="7" a="1"/>
  <c r="FW205" i="7" s="1"/>
  <c r="DX213" i="7" a="1"/>
  <c r="DX213" i="7" s="1"/>
  <c r="ER215" i="7" a="1"/>
  <c r="ER215" i="7" s="1"/>
  <c r="EZ201" i="7" a="1"/>
  <c r="EZ201" i="7" s="1"/>
  <c r="GA209" i="7" a="1"/>
  <c r="GA209" i="7" s="1"/>
  <c r="FP212" i="7" a="1"/>
  <c r="FP212" i="7" s="1"/>
  <c r="EI219" i="7" a="1"/>
  <c r="EI219" i="7" s="1"/>
  <c r="EP222" i="7" a="1"/>
  <c r="EP222" i="7" s="1"/>
  <c r="EF217" i="7" a="1"/>
  <c r="EF217" i="7" s="1"/>
  <c r="EU224" i="7" a="1"/>
  <c r="EU224" i="7" s="1"/>
  <c r="FL227" i="7" a="1"/>
  <c r="FL227" i="7" s="1"/>
  <c r="FT231" i="7" a="1"/>
  <c r="FT231" i="7" s="1"/>
  <c r="FF235" i="7" a="1"/>
  <c r="FF235" i="7" s="1"/>
  <c r="EI213" i="7" a="1"/>
  <c r="EI213" i="7" s="1"/>
  <c r="FG222" i="7" a="1"/>
  <c r="FG222" i="7" s="1"/>
  <c r="FM227" i="7" a="1"/>
  <c r="FM227" i="7" s="1"/>
  <c r="GA230" i="7" a="1"/>
  <c r="GA230" i="7" s="1"/>
  <c r="EO233" i="7" a="1"/>
  <c r="EO233" i="7" s="1"/>
  <c r="DW237" i="7" a="1"/>
  <c r="DW237" i="7" s="1"/>
  <c r="FN238" i="7" a="1"/>
  <c r="FN238" i="7" s="1"/>
  <c r="EL240" i="7" a="1"/>
  <c r="EL240" i="7" s="1"/>
  <c r="EP219" i="7" a="1"/>
  <c r="EP219" i="7" s="1"/>
  <c r="DR226" i="7" a="1"/>
  <c r="DR226" i="7" s="1"/>
  <c r="FQ229" i="7" a="1"/>
  <c r="FQ229" i="7" s="1"/>
  <c r="EH233" i="7" a="1"/>
  <c r="EH233" i="7" s="1"/>
  <c r="GA236" i="7" a="1"/>
  <c r="GA236" i="7" s="1"/>
  <c r="FO219" i="7" a="1"/>
  <c r="FO219" i="7" s="1"/>
  <c r="DS226" i="7" a="1"/>
  <c r="DS226" i="7" s="1"/>
  <c r="FP228" i="7" a="1"/>
  <c r="FP228" i="7" s="1"/>
  <c r="EA232" i="7" a="1"/>
  <c r="EA232" i="7" s="1"/>
  <c r="FO235" i="7" a="1"/>
  <c r="FO235" i="7" s="1"/>
  <c r="EF238" i="7" a="1"/>
  <c r="EF238" i="7" s="1"/>
  <c r="FO239" i="7" a="1"/>
  <c r="FO239" i="7" s="1"/>
  <c r="FH212" i="7" a="1"/>
  <c r="FH212" i="7" s="1"/>
  <c r="DU223" i="7" a="1"/>
  <c r="DU223" i="7" s="1"/>
  <c r="FP226" i="7" a="1"/>
  <c r="FP226" i="7" s="1"/>
  <c r="EF230" i="7" a="1"/>
  <c r="EF230" i="7" s="1"/>
  <c r="EN234" i="7" a="1"/>
  <c r="EN234" i="7" s="1"/>
  <c r="FF209" i="7" a="1"/>
  <c r="FF209" i="7" s="1"/>
  <c r="FA221" i="7" a="1"/>
  <c r="FA221" i="7" s="1"/>
  <c r="EY227" i="7" a="1"/>
  <c r="EY227" i="7" s="1"/>
  <c r="FU230" i="7" a="1"/>
  <c r="FU230" i="7" s="1"/>
  <c r="EY233" i="7" a="1"/>
  <c r="EY233" i="7" s="1"/>
  <c r="DY237" i="7" a="1"/>
  <c r="DY237" i="7" s="1"/>
  <c r="FP238" i="7" a="1"/>
  <c r="FP238" i="7" s="1"/>
  <c r="EN240" i="7" a="1"/>
  <c r="EN240" i="7" s="1"/>
  <c r="FH218" i="7" a="1"/>
  <c r="FH218" i="7" s="1"/>
  <c r="ET225" i="7" a="1"/>
  <c r="ET225" i="7" s="1"/>
  <c r="EU229" i="7" a="1"/>
  <c r="EU229" i="7" s="1"/>
  <c r="FQ232" i="7" a="1"/>
  <c r="FQ232" i="7" s="1"/>
  <c r="EY236" i="7" a="1"/>
  <c r="EY236" i="7" s="1"/>
  <c r="FS217" i="7" a="1"/>
  <c r="FS217" i="7" s="1"/>
  <c r="FS224" i="7" a="1"/>
  <c r="FS224" i="7" s="1"/>
  <c r="EL228" i="7" a="1"/>
  <c r="EL228" i="7" s="1"/>
  <c r="EZ231" i="7" a="1"/>
  <c r="EZ231" i="7" s="1"/>
  <c r="DX235" i="7" a="1"/>
  <c r="DX235" i="7" s="1"/>
  <c r="FX237" i="7" a="1"/>
  <c r="FX237" i="7" s="1"/>
  <c r="EV239" i="7" a="1"/>
  <c r="EV239" i="7" s="1"/>
  <c r="FG210" i="7" a="1"/>
  <c r="FG210" i="7" s="1"/>
  <c r="EV223" i="7" a="1"/>
  <c r="EV223" i="7" s="1"/>
  <c r="FQ227" i="7" a="1"/>
  <c r="FQ227" i="7" s="1"/>
  <c r="EB231" i="7" a="1"/>
  <c r="EB231" i="7" s="1"/>
  <c r="FM234" i="7" a="1"/>
  <c r="FM234" i="7" s="1"/>
  <c r="GA212" i="7" a="1"/>
  <c r="GA212" i="7" s="1"/>
  <c r="FG223" i="7" a="1"/>
  <c r="FG223" i="7" s="1"/>
  <c r="FA227" i="7" a="1"/>
  <c r="FA227" i="7" s="1"/>
  <c r="FW230" i="7" a="1"/>
  <c r="FW230" i="7" s="1"/>
  <c r="DT234" i="7" a="1"/>
  <c r="DT234" i="7" s="1"/>
  <c r="FM182" i="7" a="1"/>
  <c r="FM182" i="7" s="1"/>
  <c r="EW217" i="7" a="1"/>
  <c r="EW217" i="7" s="1"/>
  <c r="EI224" i="7" a="1"/>
  <c r="EI224" i="7" s="1"/>
  <c r="FJ227" i="7" a="1"/>
  <c r="FJ227" i="7" s="1"/>
  <c r="DU231" i="7" a="1"/>
  <c r="DU231" i="7" s="1"/>
  <c r="DR235" i="7" a="1"/>
  <c r="DR235" i="7" s="1"/>
  <c r="ES187" i="7" a="1"/>
  <c r="ES187" i="7" s="1"/>
  <c r="FW229" i="7" a="1"/>
  <c r="FW229" i="7" s="1"/>
  <c r="FL239" i="7" a="1"/>
  <c r="FL239" i="7" s="1"/>
  <c r="EK243" i="7" a="1"/>
  <c r="EK243" i="7" s="1"/>
  <c r="ER246" i="7" a="1"/>
  <c r="ER246" i="7" s="1"/>
  <c r="EY249" i="7" a="1"/>
  <c r="EY249" i="7" s="1"/>
  <c r="FF252" i="7" a="1"/>
  <c r="FF252" i="7" s="1"/>
  <c r="ED254" i="7" a="1"/>
  <c r="ED254" i="7" s="1"/>
  <c r="FM255" i="7" a="1"/>
  <c r="FM255" i="7" s="1"/>
  <c r="FI215" i="7" a="1"/>
  <c r="FI215" i="7" s="1"/>
  <c r="FD238" i="7" a="1"/>
  <c r="FD238" i="7" s="1"/>
  <c r="FZ242" i="7" a="1"/>
  <c r="FZ242" i="7" s="1"/>
  <c r="DV246" i="7" a="1"/>
  <c r="DV246" i="7" s="1"/>
  <c r="EC249" i="7" a="1"/>
  <c r="EC249" i="7" s="1"/>
  <c r="EJ252" i="7" a="1"/>
  <c r="EJ252" i="7" s="1"/>
  <c r="FM235" i="7" a="1"/>
  <c r="FM235" i="7" s="1"/>
  <c r="EJ241" i="7" a="1"/>
  <c r="EJ241" i="7" s="1"/>
  <c r="EQ244" i="7" a="1"/>
  <c r="EQ244" i="7" s="1"/>
  <c r="EX247" i="7" a="1"/>
  <c r="EX247" i="7" s="1"/>
  <c r="FE250" i="7" a="1"/>
  <c r="FE250" i="7" s="1"/>
  <c r="EE253" i="7" a="1"/>
  <c r="EE253" i="7" s="1"/>
  <c r="FN254" i="7" a="1"/>
  <c r="FN254" i="7" s="1"/>
  <c r="EL256" i="7" a="1"/>
  <c r="EL256" i="7" s="1"/>
  <c r="EA224" i="7" a="1"/>
  <c r="EA224" i="7" s="1"/>
  <c r="DU239" i="7" a="1"/>
  <c r="DU239" i="7" s="1"/>
  <c r="EM243" i="7" a="1"/>
  <c r="EM243" i="7" s="1"/>
  <c r="ET246" i="7" a="1"/>
  <c r="ET246" i="7" s="1"/>
  <c r="FA249" i="7" a="1"/>
  <c r="FA249" i="7" s="1"/>
  <c r="EB222" i="7" a="1"/>
  <c r="EB222" i="7" s="1"/>
  <c r="FT237" i="7" a="1"/>
  <c r="FT237" i="7" s="1"/>
  <c r="FW241" i="7" a="1"/>
  <c r="FW241" i="7" s="1"/>
  <c r="DS245" i="7" a="1"/>
  <c r="DS245" i="7" s="1"/>
  <c r="DZ248" i="7" a="1"/>
  <c r="DZ248" i="7" s="1"/>
  <c r="EY229" i="7" a="1"/>
  <c r="EY229" i="7" s="1"/>
  <c r="FA241" i="7" a="1"/>
  <c r="FA241" i="7" s="1"/>
  <c r="FH244" i="7" a="1"/>
  <c r="FH244" i="7" s="1"/>
  <c r="FO247" i="7" a="1"/>
  <c r="FO247" i="7" s="1"/>
  <c r="FV250" i="7" a="1"/>
  <c r="FV250" i="7" s="1"/>
  <c r="EM231" i="7" a="1"/>
  <c r="EM231" i="7" s="1"/>
  <c r="EI240" i="7" a="1"/>
  <c r="EI240" i="7" s="1"/>
  <c r="EV243" i="7" a="1"/>
  <c r="EV243" i="7" s="1"/>
  <c r="FC246" i="7" a="1"/>
  <c r="FC246" i="7" s="1"/>
  <c r="FJ249" i="7" a="1"/>
  <c r="FJ249" i="7" s="1"/>
  <c r="FI252" i="7" a="1"/>
  <c r="FI252" i="7" s="1"/>
  <c r="EP238" i="7" a="1"/>
  <c r="EP238" i="7" s="1"/>
  <c r="FN242" i="7" a="1"/>
  <c r="FN242" i="7" s="1"/>
  <c r="FU245" i="7" a="1"/>
  <c r="FU245" i="7" s="1"/>
  <c r="DQ249" i="7" a="1"/>
  <c r="DQ249" i="7" s="1"/>
  <c r="ES224" i="7" a="1"/>
  <c r="ES224" i="7" s="1"/>
  <c r="FM238" i="7" a="1"/>
  <c r="FM238" i="7" s="1"/>
  <c r="FO242" i="7" a="1"/>
  <c r="FO242" i="7" s="1"/>
  <c r="FV245" i="7" a="1"/>
  <c r="FV245" i="7" s="1"/>
  <c r="DR249" i="7" a="1"/>
  <c r="DR249" i="7" s="1"/>
  <c r="DU215" i="7" a="1"/>
  <c r="DU215" i="7" s="1"/>
  <c r="FZ233" i="7" a="1"/>
  <c r="FZ233" i="7" s="1"/>
  <c r="FT241" i="7" a="1"/>
  <c r="FT241" i="7" s="1"/>
  <c r="GA244" i="7" a="1"/>
  <c r="GA244" i="7" s="1"/>
  <c r="FR241" i="7" a="1"/>
  <c r="FR241" i="7" s="1"/>
  <c r="EB251" i="7" a="1"/>
  <c r="EB251" i="7" s="1"/>
  <c r="FR210" i="7" a="1"/>
  <c r="FR210" i="7" s="1"/>
  <c r="DV248" i="7" a="1"/>
  <c r="DV248" i="7" s="1"/>
  <c r="DU255" i="7" a="1"/>
  <c r="DU255" i="7" s="1"/>
  <c r="EM257" i="7" a="1"/>
  <c r="EM257" i="7" s="1"/>
  <c r="FV258" i="7" a="1"/>
  <c r="FV258" i="7" s="1"/>
  <c r="ET260" i="7" a="1"/>
  <c r="ET260" i="7" s="1"/>
  <c r="DR262" i="7" a="1"/>
  <c r="DR262" i="7" s="1"/>
  <c r="FA263" i="7" a="1"/>
  <c r="FA263" i="7" s="1"/>
  <c r="DY265" i="7" a="1"/>
  <c r="DY265" i="7" s="1"/>
  <c r="FH266" i="7" a="1"/>
  <c r="FH266" i="7" s="1"/>
  <c r="EF268" i="7" a="1"/>
  <c r="EF268" i="7" s="1"/>
  <c r="FO269" i="7" a="1"/>
  <c r="FO269" i="7" s="1"/>
  <c r="EM271" i="7" a="1"/>
  <c r="EM271" i="7" s="1"/>
  <c r="FV272" i="7" a="1"/>
  <c r="FV272" i="7" s="1"/>
  <c r="ET274" i="7" a="1"/>
  <c r="ET274" i="7" s="1"/>
  <c r="DR276" i="7" a="1"/>
  <c r="DR276" i="7" s="1"/>
  <c r="FO248" i="7" a="1"/>
  <c r="FO248" i="7" s="1"/>
  <c r="EU252" i="7" a="1"/>
  <c r="EU252" i="7" s="1"/>
  <c r="FF240" i="7" a="1"/>
  <c r="FF240" i="7" s="1"/>
  <c r="FB250" i="7" a="1"/>
  <c r="FB250" i="7" s="1"/>
  <c r="EP255" i="7" a="1"/>
  <c r="EP255" i="7" s="1"/>
  <c r="FI257" i="7" a="1"/>
  <c r="FI257" i="7" s="1"/>
  <c r="EG259" i="7" a="1"/>
  <c r="EG259" i="7" s="1"/>
  <c r="FP260" i="7" a="1"/>
  <c r="FP260" i="7" s="1"/>
  <c r="EN262" i="7" a="1"/>
  <c r="EN262" i="7" s="1"/>
  <c r="FW263" i="7" a="1"/>
  <c r="FW263" i="7" s="1"/>
  <c r="EU265" i="7" a="1"/>
  <c r="EU265" i="7" s="1"/>
  <c r="DS267" i="7" a="1"/>
  <c r="DS267" i="7" s="1"/>
  <c r="FB268" i="7" a="1"/>
  <c r="FB268" i="7" s="1"/>
  <c r="EC237" i="7" a="1"/>
  <c r="EC237" i="7" s="1"/>
  <c r="FE249" i="7" a="1"/>
  <c r="FE249" i="7" s="1"/>
  <c r="EH254" i="7" a="1"/>
  <c r="EH254" i="7" s="1"/>
  <c r="EK245" i="7" a="1"/>
  <c r="EK245" i="7" s="1"/>
  <c r="FJ252" i="7" a="1"/>
  <c r="FJ252" i="7" s="1"/>
  <c r="FK255" i="7" a="1"/>
  <c r="FK255" i="7" s="1"/>
  <c r="FX257" i="7" a="1"/>
  <c r="FX257" i="7" s="1"/>
  <c r="EV259" i="7" a="1"/>
  <c r="EV259" i="7" s="1"/>
  <c r="DT261" i="7" a="1"/>
  <c r="DT261" i="7" s="1"/>
  <c r="FC262" i="7" a="1"/>
  <c r="FC262" i="7" s="1"/>
  <c r="EA264" i="7" a="1"/>
  <c r="EA264" i="7" s="1"/>
  <c r="FJ265" i="7" a="1"/>
  <c r="FJ265" i="7" s="1"/>
  <c r="EH267" i="7" a="1"/>
  <c r="EH267" i="7" s="1"/>
  <c r="FQ268" i="7" a="1"/>
  <c r="FQ268" i="7" s="1"/>
  <c r="FM240" i="7" a="1"/>
  <c r="FM240" i="7" s="1"/>
  <c r="FF249" i="7" a="1"/>
  <c r="FF249" i="7" s="1"/>
  <c r="DZ257" i="7" a="1"/>
  <c r="DZ257" i="7" s="1"/>
  <c r="EL245" i="7" a="1"/>
  <c r="EL245" i="7" s="1"/>
  <c r="DU251" i="7" a="1"/>
  <c r="DU251" i="7" s="1"/>
  <c r="FZ254" i="7" a="1"/>
  <c r="FZ254" i="7" s="1"/>
  <c r="EP257" i="7" a="1"/>
  <c r="EP257" i="7" s="1"/>
  <c r="FE160" i="7" a="1"/>
  <c r="FE160" i="7" s="1"/>
  <c r="FF171" i="7" a="1"/>
  <c r="FF171" i="7" s="1"/>
  <c r="FV142" i="7" a="1"/>
  <c r="FV142" i="7" s="1"/>
  <c r="FX179" i="7" a="1"/>
  <c r="FX179" i="7" s="1"/>
  <c r="ED196" i="7" a="1"/>
  <c r="ED196" i="7" s="1"/>
  <c r="EA118" i="7" a="1"/>
  <c r="EA118" i="7" s="1"/>
  <c r="EY157" i="7" a="1"/>
  <c r="EY157" i="7" s="1"/>
  <c r="ET165" i="7" a="1"/>
  <c r="ET165" i="7" s="1"/>
  <c r="ER175" i="7" a="1"/>
  <c r="ER175" i="7" s="1"/>
  <c r="EU129" i="7" a="1"/>
  <c r="EU129" i="7" s="1"/>
  <c r="EL158" i="7" a="1"/>
  <c r="EL158" i="7" s="1"/>
  <c r="FZ187" i="7" a="1"/>
  <c r="FZ187" i="7" s="1"/>
  <c r="DV131" i="7" a="1"/>
  <c r="DV131" i="7" s="1"/>
  <c r="DQ127" i="7" a="1"/>
  <c r="DQ127" i="7" s="1"/>
  <c r="EG158" i="7" a="1"/>
  <c r="EG158" i="7" s="1"/>
  <c r="FH166" i="7" a="1"/>
  <c r="FH166" i="7" s="1"/>
  <c r="DZ176" i="7" a="1"/>
  <c r="DZ176" i="7" s="1"/>
  <c r="DY155" i="7" a="1"/>
  <c r="DY155" i="7" s="1"/>
  <c r="ET154" i="7" a="1"/>
  <c r="ET154" i="7" s="1"/>
  <c r="EG153" i="7" a="1"/>
  <c r="EG153" i="7" s="1"/>
  <c r="DV149" i="7" a="1"/>
  <c r="DV149" i="7" s="1"/>
  <c r="EL132" i="7" a="1"/>
  <c r="EL132" i="7" s="1"/>
  <c r="EP148" i="7" a="1"/>
  <c r="EP148" i="7" s="1"/>
  <c r="FJ171" i="7" a="1"/>
  <c r="FJ171" i="7" s="1"/>
  <c r="EL187" i="7" a="1"/>
  <c r="EL187" i="7" s="1"/>
  <c r="EO199" i="7" a="1"/>
  <c r="EO199" i="7" s="1"/>
  <c r="DU166" i="7" a="1"/>
  <c r="DU166" i="7" s="1"/>
  <c r="DR183" i="7" a="1"/>
  <c r="DR183" i="7" s="1"/>
  <c r="FG114" i="7" a="1"/>
  <c r="FG114" i="7" s="1"/>
  <c r="EW162" i="7" a="1"/>
  <c r="EW162" i="7" s="1"/>
  <c r="EF180" i="7" a="1"/>
  <c r="EF180" i="7" s="1"/>
  <c r="FB135" i="7" a="1"/>
  <c r="FB135" i="7" s="1"/>
  <c r="EP163" i="7" a="1"/>
  <c r="EP163" i="7" s="1"/>
  <c r="FA171" i="7" a="1"/>
  <c r="FA171" i="7" s="1"/>
  <c r="FQ179" i="7" a="1"/>
  <c r="FQ179" i="7" s="1"/>
  <c r="DX186" i="7" a="1"/>
  <c r="DX186" i="7" s="1"/>
  <c r="FU132" i="7" a="1"/>
  <c r="FU132" i="7" s="1"/>
  <c r="EB153" i="7" a="1"/>
  <c r="EB153" i="7" s="1"/>
  <c r="FU131" i="7" a="1"/>
  <c r="FU131" i="7" s="1"/>
  <c r="EP156" i="7" a="1"/>
  <c r="EP156" i="7" s="1"/>
  <c r="DR131" i="7" a="1"/>
  <c r="DR131" i="7" s="1"/>
  <c r="FV153" i="7" a="1"/>
  <c r="FV153" i="7" s="1"/>
  <c r="ES163" i="7" a="1"/>
  <c r="ES163" i="7" s="1"/>
  <c r="FD172" i="7" a="1"/>
  <c r="FD172" i="7" s="1"/>
  <c r="FH181" i="7" a="1"/>
  <c r="FH181" i="7" s="1"/>
  <c r="ER186" i="7" a="1"/>
  <c r="ER186" i="7" s="1"/>
  <c r="FA157" i="7" a="1"/>
  <c r="FA157" i="7" s="1"/>
  <c r="ET168" i="7" a="1"/>
  <c r="ET168" i="7" s="1"/>
  <c r="EH178" i="7" a="1"/>
  <c r="EH178" i="7" s="1"/>
  <c r="ER185" i="7" a="1"/>
  <c r="ER185" i="7" s="1"/>
  <c r="EB193" i="7" a="1"/>
  <c r="EB193" i="7" s="1"/>
  <c r="GA198" i="7" a="1"/>
  <c r="GA198" i="7" s="1"/>
  <c r="FE204" i="7" a="1"/>
  <c r="FE204" i="7" s="1"/>
  <c r="EC206" i="7" a="1"/>
  <c r="EC206" i="7" s="1"/>
  <c r="FL207" i="7" a="1"/>
  <c r="FL207" i="7" s="1"/>
  <c r="EJ209" i="7" a="1"/>
  <c r="EJ209" i="7" s="1"/>
  <c r="FS210" i="7" a="1"/>
  <c r="FS210" i="7" s="1"/>
  <c r="EQ212" i="7" a="1"/>
  <c r="EQ212" i="7" s="1"/>
  <c r="FZ213" i="7" a="1"/>
  <c r="FZ213" i="7" s="1"/>
  <c r="EX215" i="7" a="1"/>
  <c r="EX215" i="7" s="1"/>
  <c r="DV217" i="7" a="1"/>
  <c r="DV217" i="7" s="1"/>
  <c r="EW149" i="7" a="1"/>
  <c r="EW149" i="7" s="1"/>
  <c r="DS163" i="7" a="1"/>
  <c r="DS163" i="7" s="1"/>
  <c r="ES174" i="7" a="1"/>
  <c r="ES174" i="7" s="1"/>
  <c r="FE182" i="7" a="1"/>
  <c r="FE182" i="7" s="1"/>
  <c r="DZ188" i="7" a="1"/>
  <c r="DZ188" i="7" s="1"/>
  <c r="EM194" i="7" a="1"/>
  <c r="EM194" i="7" s="1"/>
  <c r="FA197" i="7" a="1"/>
  <c r="FA197" i="7" s="1"/>
  <c r="DV200" i="7" a="1"/>
  <c r="DV200" i="7" s="1"/>
  <c r="DV204" i="7" a="1"/>
  <c r="DV204" i="7" s="1"/>
  <c r="EM153" i="7" a="1"/>
  <c r="EM153" i="7" s="1"/>
  <c r="EE167" i="7" a="1"/>
  <c r="EE167" i="7" s="1"/>
  <c r="FP174" i="7" a="1"/>
  <c r="FP174" i="7" s="1"/>
  <c r="FR179" i="7" a="1"/>
  <c r="FR179" i="7" s="1"/>
  <c r="EU185" i="7" a="1"/>
  <c r="EU185" i="7" s="1"/>
  <c r="EI190" i="7" a="1"/>
  <c r="EI190" i="7" s="1"/>
  <c r="EW194" i="7" a="1"/>
  <c r="EW194" i="7" s="1"/>
  <c r="EB198" i="7" a="1"/>
  <c r="EB198" i="7" s="1"/>
  <c r="ET201" i="7" a="1"/>
  <c r="ET201" i="7" s="1"/>
  <c r="EY204" i="7" a="1"/>
  <c r="EY204" i="7" s="1"/>
  <c r="DW206" i="7" a="1"/>
  <c r="DW206" i="7" s="1"/>
  <c r="FF207" i="7" a="1"/>
  <c r="FF207" i="7" s="1"/>
  <c r="ED209" i="7" a="1"/>
  <c r="ED209" i="7" s="1"/>
  <c r="FE154" i="7" a="1"/>
  <c r="FE154" i="7" s="1"/>
  <c r="FE166" i="7" a="1"/>
  <c r="FE166" i="7" s="1"/>
  <c r="FE171" i="7" a="1"/>
  <c r="FE171" i="7" s="1"/>
  <c r="FD179" i="7" a="1"/>
  <c r="FD179" i="7" s="1"/>
  <c r="FY183" i="7" a="1"/>
  <c r="FY183" i="7" s="1"/>
  <c r="EU189" i="7" a="1"/>
  <c r="EU189" i="7" s="1"/>
  <c r="EN194" i="7" a="1"/>
  <c r="EN194" i="7" s="1"/>
  <c r="FU198" i="7" a="1"/>
  <c r="FU198" i="7" s="1"/>
  <c r="FV202" i="7" a="1"/>
  <c r="FV202" i="7" s="1"/>
  <c r="EG146" i="7" a="1"/>
  <c r="EG146" i="7" s="1"/>
  <c r="FM162" i="7" a="1"/>
  <c r="FM162" i="7" s="1"/>
  <c r="FS123" i="7" a="1"/>
  <c r="FS123" i="7" s="1"/>
  <c r="EB152" i="7" a="1"/>
  <c r="EB152" i="7" s="1"/>
  <c r="FO165" i="7" a="1"/>
  <c r="FO165" i="7" s="1"/>
  <c r="FW177" i="7" a="1"/>
  <c r="FW177" i="7" s="1"/>
  <c r="FP183" i="7" a="1"/>
  <c r="FP183" i="7" s="1"/>
  <c r="EB190" i="7" a="1"/>
  <c r="EB190" i="7" s="1"/>
  <c r="FL193" i="7" a="1"/>
  <c r="FL193" i="7" s="1"/>
  <c r="DR197" i="7" a="1"/>
  <c r="DR197" i="7" s="1"/>
  <c r="FV200" i="7" a="1"/>
  <c r="FV200" i="7" s="1"/>
  <c r="EC102" i="7" a="1"/>
  <c r="EC102" i="7" s="1"/>
  <c r="FB164" i="7" a="1"/>
  <c r="FB164" i="7" s="1"/>
  <c r="FU175" i="7" a="1"/>
  <c r="FU175" i="7" s="1"/>
  <c r="EU184" i="7" a="1"/>
  <c r="EU184" i="7" s="1"/>
  <c r="DZ193" i="7" a="1"/>
  <c r="DZ193" i="7" s="1"/>
  <c r="FG155" i="7" a="1"/>
  <c r="FG155" i="7" s="1"/>
  <c r="FX174" i="7" a="1"/>
  <c r="FX174" i="7" s="1"/>
  <c r="EV184" i="7" a="1"/>
  <c r="EV184" i="7" s="1"/>
  <c r="DZ191" i="7" a="1"/>
  <c r="DZ191" i="7" s="1"/>
  <c r="DW130" i="7" a="1"/>
  <c r="DW130" i="7" s="1"/>
  <c r="EE165" i="7" a="1"/>
  <c r="EE165" i="7" s="1"/>
  <c r="FV176" i="7" a="1"/>
  <c r="FV176" i="7" s="1"/>
  <c r="EB185" i="7" a="1"/>
  <c r="EB185" i="7" s="1"/>
  <c r="ER193" i="7" a="1"/>
  <c r="ER193" i="7" s="1"/>
  <c r="EF199" i="7" a="1"/>
  <c r="EF199" i="7" s="1"/>
  <c r="FV157" i="7" a="1"/>
  <c r="FV157" i="7" s="1"/>
  <c r="FC170" i="7" a="1"/>
  <c r="FC170" i="7" s="1"/>
  <c r="FQ180" i="7" a="1"/>
  <c r="FQ180" i="7" s="1"/>
  <c r="EO189" i="7" a="1"/>
  <c r="EO189" i="7" s="1"/>
  <c r="EF196" i="7" a="1"/>
  <c r="EF196" i="7" s="1"/>
  <c r="EQ162" i="7" a="1"/>
  <c r="EQ162" i="7" s="1"/>
  <c r="EA180" i="7" a="1"/>
  <c r="EA180" i="7" s="1"/>
  <c r="FA187" i="7" a="1"/>
  <c r="FA187" i="7" s="1"/>
  <c r="EF194" i="7" a="1"/>
  <c r="EF194" i="7" s="1"/>
  <c r="EP152" i="7" a="1"/>
  <c r="EP152" i="7" s="1"/>
  <c r="DU168" i="7" a="1"/>
  <c r="DU168" i="7" s="1"/>
  <c r="ET177" i="7" a="1"/>
  <c r="ET177" i="7" s="1"/>
  <c r="FH188" i="7" a="1"/>
  <c r="FH188" i="7" s="1"/>
  <c r="EY120" i="7" a="1"/>
  <c r="EY120" i="7" s="1"/>
  <c r="FR164" i="7" a="1"/>
  <c r="FR164" i="7" s="1"/>
  <c r="DV177" i="7" a="1"/>
  <c r="DV177" i="7" s="1"/>
  <c r="FD186" i="7" a="1"/>
  <c r="FD186" i="7" s="1"/>
  <c r="EI110" i="7" a="1"/>
  <c r="EI110" i="7" s="1"/>
  <c r="FV164" i="7" a="1"/>
  <c r="FV164" i="7" s="1"/>
  <c r="EO178" i="7" a="1"/>
  <c r="EO178" i="7" s="1"/>
  <c r="FX187" i="7" a="1"/>
  <c r="FX187" i="7" s="1"/>
  <c r="EO127" i="7" a="1"/>
  <c r="EO127" i="7" s="1"/>
  <c r="DX167" i="7" a="1"/>
  <c r="DX167" i="7" s="1"/>
  <c r="FX181" i="7" a="1"/>
  <c r="FX181" i="7" s="1"/>
  <c r="GA188" i="7" a="1"/>
  <c r="GA188" i="7" s="1"/>
  <c r="EN132" i="7" a="1"/>
  <c r="EN132" i="7" s="1"/>
  <c r="EL164" i="7" a="1"/>
  <c r="EL164" i="7" s="1"/>
  <c r="EI174" i="7" a="1"/>
  <c r="EI174" i="7" s="1"/>
  <c r="EI181" i="7" a="1"/>
  <c r="EI181" i="7" s="1"/>
  <c r="DT136" i="7" a="1"/>
  <c r="DT136" i="7" s="1"/>
  <c r="EX188" i="7" a="1"/>
  <c r="EX188" i="7" s="1"/>
  <c r="FS199" i="7" a="1"/>
  <c r="FS199" i="7" s="1"/>
  <c r="DU205" i="7" a="1"/>
  <c r="DU205" i="7" s="1"/>
  <c r="DY178" i="7" a="1"/>
  <c r="DY178" i="7" s="1"/>
  <c r="EA197" i="7" a="1"/>
  <c r="EA197" i="7" s="1"/>
  <c r="EN202" i="7" a="1"/>
  <c r="EN202" i="7" s="1"/>
  <c r="FR207" i="7" a="1"/>
  <c r="FR207" i="7" s="1"/>
  <c r="DU182" i="7" a="1"/>
  <c r="DU182" i="7" s="1"/>
  <c r="EC197" i="7" a="1"/>
  <c r="EC197" i="7" s="1"/>
  <c r="FH203" i="7" a="1"/>
  <c r="FH203" i="7" s="1"/>
  <c r="FI207" i="7" a="1"/>
  <c r="FI207" i="7" s="1"/>
  <c r="FL185" i="7" a="1"/>
  <c r="FL185" i="7" s="1"/>
  <c r="EX198" i="7" a="1"/>
  <c r="EX198" i="7" s="1"/>
  <c r="FL202" i="7" a="1"/>
  <c r="FL202" i="7" s="1"/>
  <c r="FU207" i="7" a="1"/>
  <c r="FU207" i="7" s="1"/>
  <c r="FO173" i="7" a="1"/>
  <c r="FO173" i="7" s="1"/>
  <c r="DU198" i="7" a="1"/>
  <c r="DU198" i="7" s="1"/>
  <c r="FC204" i="7" a="1"/>
  <c r="FC204" i="7" s="1"/>
  <c r="DX209" i="7" a="1"/>
  <c r="DX209" i="7" s="1"/>
  <c r="FM211" i="7" a="1"/>
  <c r="FM211" i="7" s="1"/>
  <c r="EN182" i="7" a="1"/>
  <c r="EN182" i="7" s="1"/>
  <c r="DW196" i="7" a="1"/>
  <c r="DW196" i="7" s="1"/>
  <c r="EV201" i="7" a="1"/>
  <c r="EV201" i="7" s="1"/>
  <c r="EW206" i="7" a="1"/>
  <c r="EW206" i="7" s="1"/>
  <c r="FT178" i="7" a="1"/>
  <c r="FT178" i="7" s="1"/>
  <c r="DT195" i="7" a="1"/>
  <c r="DT195" i="7" s="1"/>
  <c r="ES202" i="7" a="1"/>
  <c r="ES202" i="7" s="1"/>
  <c r="FU206" i="7" a="1"/>
  <c r="FU206" i="7" s="1"/>
  <c r="FU178" i="7" a="1"/>
  <c r="FU178" i="7" s="1"/>
  <c r="FQ195" i="7" a="1"/>
  <c r="FQ195" i="7" s="1"/>
  <c r="EC203" i="7" a="1"/>
  <c r="EC203" i="7" s="1"/>
  <c r="DX208" i="7" a="1"/>
  <c r="DX208" i="7" s="1"/>
  <c r="FH182" i="7" a="1"/>
  <c r="FH182" i="7" s="1"/>
  <c r="FQ198" i="7" a="1"/>
  <c r="FQ198" i="7" s="1"/>
  <c r="FX203" i="7" a="1"/>
  <c r="FX203" i="7" s="1"/>
  <c r="EJ174" i="7" a="1"/>
  <c r="EJ174" i="7" s="1"/>
  <c r="EM180" i="7" a="1"/>
  <c r="EM180" i="7" s="1"/>
  <c r="FF198" i="7" a="1"/>
  <c r="FF198" i="7" s="1"/>
  <c r="FB203" i="7" a="1"/>
  <c r="FB203" i="7" s="1"/>
  <c r="FB195" i="7" a="1"/>
  <c r="FB195" i="7" s="1"/>
  <c r="EY210" i="7" a="1"/>
  <c r="EY210" i="7" s="1"/>
  <c r="EX217" i="7" a="1"/>
  <c r="EX217" i="7" s="1"/>
  <c r="FE220" i="7" a="1"/>
  <c r="FE220" i="7" s="1"/>
  <c r="FL223" i="7" a="1"/>
  <c r="FL223" i="7" s="1"/>
  <c r="FS226" i="7" a="1"/>
  <c r="FS226" i="7" s="1"/>
  <c r="FZ229" i="7" a="1"/>
  <c r="FZ229" i="7" s="1"/>
  <c r="FY232" i="7" a="1"/>
  <c r="FY232" i="7" s="1"/>
  <c r="EW234" i="7" a="1"/>
  <c r="EW234" i="7" s="1"/>
  <c r="DU236" i="7" a="1"/>
  <c r="DU236" i="7" s="1"/>
  <c r="DU184" i="7" a="1"/>
  <c r="DU184" i="7" s="1"/>
  <c r="ES208" i="7" a="1"/>
  <c r="ES208" i="7" s="1"/>
  <c r="FU211" i="7" a="1"/>
  <c r="FU211" i="7" s="1"/>
  <c r="FQ214" i="7" a="1"/>
  <c r="FQ214" i="7" s="1"/>
  <c r="FF216" i="7" a="1"/>
  <c r="FF216" i="7" s="1"/>
  <c r="DW219" i="7" a="1"/>
  <c r="DW219" i="7" s="1"/>
  <c r="ED222" i="7" a="1"/>
  <c r="ED222" i="7" s="1"/>
  <c r="DV203" i="7" a="1"/>
  <c r="DV203" i="7" s="1"/>
  <c r="DS213" i="7" a="1"/>
  <c r="DS213" i="7" s="1"/>
  <c r="FI219" i="7" a="1"/>
  <c r="FI219" i="7" s="1"/>
  <c r="FP222" i="7" a="1"/>
  <c r="FP222" i="7" s="1"/>
  <c r="FW225" i="7" a="1"/>
  <c r="FW225" i="7" s="1"/>
  <c r="FV201" i="7" a="1"/>
  <c r="FV201" i="7" s="1"/>
  <c r="EP210" i="7" a="1"/>
  <c r="EP210" i="7" s="1"/>
  <c r="FO213" i="7" a="1"/>
  <c r="FO213" i="7" s="1"/>
  <c r="FD215" i="7" a="1"/>
  <c r="FD215" i="7" s="1"/>
  <c r="EZ217" i="7" a="1"/>
  <c r="EZ217" i="7" s="1"/>
  <c r="FG220" i="7" a="1"/>
  <c r="FG220" i="7" s="1"/>
  <c r="EI191" i="7" a="1"/>
  <c r="EI191" i="7" s="1"/>
  <c r="FH208" i="7" a="1"/>
  <c r="FH208" i="7" s="1"/>
  <c r="ED213" i="7" a="1"/>
  <c r="ED213" i="7" s="1"/>
  <c r="EU219" i="7" a="1"/>
  <c r="EU219" i="7" s="1"/>
  <c r="FB222" i="7" a="1"/>
  <c r="FB222" i="7" s="1"/>
  <c r="FX208" i="7" a="1"/>
  <c r="FX208" i="7" s="1"/>
  <c r="EE213" i="7" a="1"/>
  <c r="EE213" i="7" s="1"/>
  <c r="FF215" i="7" a="1"/>
  <c r="FF215" i="7" s="1"/>
  <c r="FA217" i="7" a="1"/>
  <c r="FA217" i="7" s="1"/>
  <c r="FH220" i="7" a="1"/>
  <c r="FH220" i="7" s="1"/>
  <c r="FO223" i="7" a="1"/>
  <c r="FO223" i="7" s="1"/>
  <c r="FV226" i="7" a="1"/>
  <c r="FV226" i="7" s="1"/>
  <c r="DQ208" i="7" a="1"/>
  <c r="DQ208" i="7" s="1"/>
  <c r="EH211" i="7" a="1"/>
  <c r="EH211" i="7" s="1"/>
  <c r="EQ218" i="7" a="1"/>
  <c r="EQ218" i="7" s="1"/>
  <c r="EX221" i="7" a="1"/>
  <c r="EX221" i="7" s="1"/>
  <c r="EL199" i="7" a="1"/>
  <c r="EL199" i="7" s="1"/>
  <c r="FY211" i="7" a="1"/>
  <c r="FY211" i="7" s="1"/>
  <c r="FM214" i="7" a="1"/>
  <c r="FM214" i="7" s="1"/>
  <c r="FA216" i="7" a="1"/>
  <c r="FA216" i="7" s="1"/>
  <c r="DZ219" i="7" a="1"/>
  <c r="DZ219" i="7" s="1"/>
  <c r="EG222" i="7" a="1"/>
  <c r="EG222" i="7" s="1"/>
  <c r="DY202" i="7" a="1"/>
  <c r="DY202" i="7" s="1"/>
  <c r="FY209" i="7" a="1"/>
  <c r="FY209" i="7" s="1"/>
  <c r="DW213" i="7" a="1"/>
  <c r="DW213" i="7" s="1"/>
  <c r="FL219" i="7" a="1"/>
  <c r="FL219" i="7" s="1"/>
  <c r="FS222" i="7" a="1"/>
  <c r="FS222" i="7" s="1"/>
  <c r="FW206" i="7" a="1"/>
  <c r="FW206" i="7" s="1"/>
  <c r="FA213" i="7" a="1"/>
  <c r="FA213" i="7" s="1"/>
  <c r="EZ215" i="7" a="1"/>
  <c r="EZ215" i="7" s="1"/>
  <c r="DZ202" i="7" a="1"/>
  <c r="DZ202" i="7" s="1"/>
  <c r="EK210" i="7" a="1"/>
  <c r="EK210" i="7" s="1"/>
  <c r="FY212" i="7" a="1"/>
  <c r="FY212" i="7" s="1"/>
  <c r="EX219" i="7" a="1"/>
  <c r="EX219" i="7" s="1"/>
  <c r="FE222" i="7" a="1"/>
  <c r="FE222" i="7" s="1"/>
  <c r="DV218" i="7" a="1"/>
  <c r="DV218" i="7" s="1"/>
  <c r="FE224" i="7" a="1"/>
  <c r="FE224" i="7" s="1"/>
  <c r="FF228" i="7" a="1"/>
  <c r="FF228" i="7" s="1"/>
  <c r="DQ232" i="7" a="1"/>
  <c r="DQ232" i="7" s="1"/>
  <c r="FU235" i="7" a="1"/>
  <c r="FU235" i="7" s="1"/>
  <c r="DR214" i="7" a="1"/>
  <c r="DR214" i="7" s="1"/>
  <c r="DR223" i="7" a="1"/>
  <c r="DR223" i="7" s="1"/>
  <c r="FU227" i="7" a="1"/>
  <c r="FU227" i="7" s="1"/>
  <c r="DX231" i="7" a="1"/>
  <c r="DX231" i="7" s="1"/>
  <c r="FL233" i="7" a="1"/>
  <c r="FL233" i="7" s="1"/>
  <c r="EL237" i="7" a="1"/>
  <c r="EL237" i="7" s="1"/>
  <c r="FU238" i="7" a="1"/>
  <c r="FU238" i="7" s="1"/>
  <c r="ES240" i="7" a="1"/>
  <c r="ES240" i="7" s="1"/>
  <c r="EF220" i="7" a="1"/>
  <c r="EF220" i="7" s="1"/>
  <c r="EB226" i="7" a="1"/>
  <c r="EB226" i="7" s="1"/>
  <c r="FY229" i="7" a="1"/>
  <c r="FY229" i="7" s="1"/>
  <c r="FE233" i="7" a="1"/>
  <c r="FE233" i="7" s="1"/>
  <c r="EE237" i="7" a="1"/>
  <c r="EE237" i="7" s="1"/>
  <c r="EG220" i="7" a="1"/>
  <c r="EG220" i="7" s="1"/>
  <c r="EC226" i="7" a="1"/>
  <c r="EC226" i="7" s="1"/>
  <c r="FX228" i="7" a="1"/>
  <c r="FX228" i="7" s="1"/>
  <c r="EI232" i="7" a="1"/>
  <c r="EI232" i="7" s="1"/>
  <c r="DS236" i="7" a="1"/>
  <c r="DS236" i="7" s="1"/>
  <c r="EM238" i="7" a="1"/>
  <c r="EM238" i="7" s="1"/>
  <c r="FV239" i="7" a="1"/>
  <c r="FV239" i="7" s="1"/>
  <c r="DZ214" i="7" a="1"/>
  <c r="DZ214" i="7" s="1"/>
  <c r="EG223" i="7" a="1"/>
  <c r="EG223" i="7" s="1"/>
  <c r="FY226" i="7" a="1"/>
  <c r="FY226" i="7" s="1"/>
  <c r="EN230" i="7" a="1"/>
  <c r="EN230" i="7" s="1"/>
  <c r="FC234" i="7" a="1"/>
  <c r="FC234" i="7" s="1"/>
  <c r="EV210" i="7" a="1"/>
  <c r="EV210" i="7" s="1"/>
  <c r="FN223" i="7" a="1"/>
  <c r="FN223" i="7" s="1"/>
  <c r="FG227" i="7" a="1"/>
  <c r="FG227" i="7" s="1"/>
  <c r="DR231" i="7" a="1"/>
  <c r="DR231" i="7" s="1"/>
  <c r="FN233" i="7" a="1"/>
  <c r="FN233" i="7" s="1"/>
  <c r="EN237" i="7" a="1"/>
  <c r="EN237" i="7" s="1"/>
  <c r="FW238" i="7" a="1"/>
  <c r="FW238" i="7" s="1"/>
  <c r="FB192" i="7" a="1"/>
  <c r="FB192" i="7" s="1"/>
  <c r="DU219" i="7" a="1"/>
  <c r="DU219" i="7" s="1"/>
  <c r="FM225" i="7" a="1"/>
  <c r="FM225" i="7" s="1"/>
  <c r="FC229" i="7" a="1"/>
  <c r="FC229" i="7" s="1"/>
  <c r="EC233" i="7" a="1"/>
  <c r="EC233" i="7" s="1"/>
  <c r="FN236" i="7" a="1"/>
  <c r="FN236" i="7" s="1"/>
  <c r="EF218" i="7" a="1"/>
  <c r="EF218" i="7" s="1"/>
  <c r="DR225" i="7" a="1"/>
  <c r="DR225" i="7" s="1"/>
  <c r="ET228" i="7" a="1"/>
  <c r="ET228" i="7" s="1"/>
  <c r="FH231" i="7" a="1"/>
  <c r="FH231" i="7" s="1"/>
  <c r="EM235" i="7" a="1"/>
  <c r="EM235" i="7" s="1"/>
  <c r="DT238" i="7" a="1"/>
  <c r="DT238" i="7" s="1"/>
  <c r="FC239" i="7" a="1"/>
  <c r="FC239" i="7" s="1"/>
  <c r="EN211" i="7" a="1"/>
  <c r="EN211" i="7" s="1"/>
  <c r="FP223" i="7" a="1"/>
  <c r="FP223" i="7" s="1"/>
  <c r="FY227" i="7" a="1"/>
  <c r="FY227" i="7" s="1"/>
  <c r="EJ231" i="7" a="1"/>
  <c r="EJ231" i="7" s="1"/>
  <c r="DQ235" i="7" a="1"/>
  <c r="DQ235" i="7" s="1"/>
  <c r="FK213" i="7" a="1"/>
  <c r="FK213" i="7" s="1"/>
  <c r="ER224" i="7" a="1"/>
  <c r="ER224" i="7" s="1"/>
  <c r="DW228" i="7" a="1"/>
  <c r="DW228" i="7" s="1"/>
  <c r="EK231" i="7" a="1"/>
  <c r="EK231" i="7" s="1"/>
  <c r="EQ234" i="7" a="1"/>
  <c r="EQ234" i="7" s="1"/>
  <c r="EX195" i="7" a="1"/>
  <c r="EX195" i="7" s="1"/>
  <c r="EM218" i="7" a="1"/>
  <c r="EM218" i="7" s="1"/>
  <c r="EC225" i="7" a="1"/>
  <c r="EC225" i="7" s="1"/>
  <c r="FR227" i="7" a="1"/>
  <c r="FR227" i="7" s="1"/>
  <c r="EC231" i="7" a="1"/>
  <c r="EC231" i="7" s="1"/>
  <c r="EG235" i="7" a="1"/>
  <c r="EG235" i="7" s="1"/>
  <c r="EG200" i="7" a="1"/>
  <c r="EG200" i="7" s="1"/>
  <c r="EZ230" i="7" a="1"/>
  <c r="EZ230" i="7" s="1"/>
  <c r="DW240" i="7" a="1"/>
  <c r="DW240" i="7" s="1"/>
  <c r="EZ243" i="7" a="1"/>
  <c r="EZ243" i="7" s="1"/>
  <c r="FG246" i="7" a="1"/>
  <c r="FG246" i="7" s="1"/>
  <c r="FN249" i="7" a="1"/>
  <c r="FN249" i="7" s="1"/>
  <c r="FM252" i="7" a="1"/>
  <c r="FM252" i="7" s="1"/>
  <c r="EK254" i="7" a="1"/>
  <c r="EK254" i="7" s="1"/>
  <c r="FT255" i="7" a="1"/>
  <c r="FT255" i="7" s="1"/>
  <c r="GA217" i="7" a="1"/>
  <c r="GA217" i="7" s="1"/>
  <c r="EP239" i="7" a="1"/>
  <c r="EP239" i="7" s="1"/>
  <c r="ED243" i="7" a="1"/>
  <c r="ED243" i="7" s="1"/>
  <c r="EK246" i="7" a="1"/>
  <c r="EK246" i="7" s="1"/>
  <c r="ER249" i="7" a="1"/>
  <c r="ER249" i="7" s="1"/>
  <c r="EY252" i="7" a="1"/>
  <c r="EY252" i="7" s="1"/>
  <c r="EM236" i="7" a="1"/>
  <c r="EM236" i="7" s="1"/>
  <c r="EY241" i="7" a="1"/>
  <c r="EY241" i="7" s="1"/>
  <c r="FF244" i="7" a="1"/>
  <c r="FF244" i="7" s="1"/>
  <c r="FM247" i="7" a="1"/>
  <c r="FM247" i="7" s="1"/>
  <c r="FT250" i="7" a="1"/>
  <c r="FT250" i="7" s="1"/>
  <c r="EL253" i="7" a="1"/>
  <c r="EL253" i="7" s="1"/>
  <c r="FU254" i="7" a="1"/>
  <c r="FU254" i="7" s="1"/>
  <c r="ES256" i="7" a="1"/>
  <c r="ES256" i="7" s="1"/>
  <c r="FV224" i="7" a="1"/>
  <c r="FV224" i="7" s="1"/>
  <c r="FR239" i="7" a="1"/>
  <c r="FR239" i="7" s="1"/>
  <c r="FB243" i="7" a="1"/>
  <c r="FB243" i="7" s="1"/>
  <c r="FM160" i="7" a="1"/>
  <c r="FM160" i="7" s="1"/>
  <c r="FK173" i="7" a="1"/>
  <c r="FK173" i="7" s="1"/>
  <c r="DU143" i="7" a="1"/>
  <c r="DU143" i="7" s="1"/>
  <c r="EB180" i="7" a="1"/>
  <c r="EB180" i="7" s="1"/>
  <c r="FA196" i="7" a="1"/>
  <c r="FA196" i="7" s="1"/>
  <c r="EP120" i="7" a="1"/>
  <c r="EP120" i="7" s="1"/>
  <c r="FP157" i="7" a="1"/>
  <c r="FP157" i="7" s="1"/>
  <c r="FB165" i="7" a="1"/>
  <c r="FB165" i="7" s="1"/>
  <c r="FI175" i="7" a="1"/>
  <c r="FI175" i="7" s="1"/>
  <c r="EG130" i="7" a="1"/>
  <c r="EG130" i="7" s="1"/>
  <c r="DQ163" i="7" a="1"/>
  <c r="DQ163" i="7" s="1"/>
  <c r="ED188" i="7" a="1"/>
  <c r="ED188" i="7" s="1"/>
  <c r="EK132" i="7" a="1"/>
  <c r="EK132" i="7" s="1"/>
  <c r="FZ127" i="7" a="1"/>
  <c r="FZ127" i="7" s="1"/>
  <c r="EW158" i="7" a="1"/>
  <c r="EW158" i="7" s="1"/>
  <c r="FP166" i="7" a="1"/>
  <c r="FP166" i="7" s="1"/>
  <c r="EP176" i="7" a="1"/>
  <c r="EP176" i="7" s="1"/>
  <c r="EN155" i="7" a="1"/>
  <c r="EN155" i="7" s="1"/>
  <c r="FX154" i="7" a="1"/>
  <c r="FX154" i="7" s="1"/>
  <c r="FZ153" i="7" a="1"/>
  <c r="FZ153" i="7" s="1"/>
  <c r="FW149" i="7" a="1"/>
  <c r="FW149" i="7" s="1"/>
  <c r="FC133" i="7" a="1"/>
  <c r="FC133" i="7" s="1"/>
  <c r="FI149" i="7" a="1"/>
  <c r="FI149" i="7" s="1"/>
  <c r="FV171" i="7" a="1"/>
  <c r="FV171" i="7" s="1"/>
  <c r="DS188" i="7" a="1"/>
  <c r="DS188" i="7" s="1"/>
  <c r="EW199" i="7" a="1"/>
  <c r="EW199" i="7" s="1"/>
  <c r="DV167" i="7" a="1"/>
  <c r="DV167" i="7" s="1"/>
  <c r="ES183" i="7" a="1"/>
  <c r="ES183" i="7" s="1"/>
  <c r="FF121" i="7" a="1"/>
  <c r="FF121" i="7" s="1"/>
  <c r="FX162" i="7" a="1"/>
  <c r="FX162" i="7" s="1"/>
  <c r="FX180" i="7" a="1"/>
  <c r="FX180" i="7" s="1"/>
  <c r="EN136" i="7" a="1"/>
  <c r="EN136" i="7" s="1"/>
  <c r="DT164" i="7" a="1"/>
  <c r="DT164" i="7" s="1"/>
  <c r="FN173" i="7" a="1"/>
  <c r="FN173" i="7" s="1"/>
  <c r="FZ179" i="7" a="1"/>
  <c r="FZ179" i="7" s="1"/>
  <c r="EO186" i="7" a="1"/>
  <c r="EO186" i="7" s="1"/>
  <c r="FT133" i="7" a="1"/>
  <c r="FT133" i="7" s="1"/>
  <c r="EE155" i="7" a="1"/>
  <c r="EE155" i="7" s="1"/>
  <c r="DX133" i="7" a="1"/>
  <c r="DX133" i="7" s="1"/>
  <c r="FN157" i="7" a="1"/>
  <c r="FN157" i="7" s="1"/>
  <c r="GA134" i="7" a="1"/>
  <c r="GA134" i="7" s="1"/>
  <c r="EI154" i="7" a="1"/>
  <c r="EI154" i="7" s="1"/>
  <c r="EY165" i="7" a="1"/>
  <c r="EY165" i="7" s="1"/>
  <c r="FP172" i="7" a="1"/>
  <c r="FP172" i="7" s="1"/>
  <c r="FY181" i="7" a="1"/>
  <c r="FY181" i="7" s="1"/>
  <c r="FA186" i="7" a="1"/>
  <c r="FA186" i="7" s="1"/>
  <c r="FD158" i="7" a="1"/>
  <c r="FD158" i="7" s="1"/>
  <c r="FM168" i="7" a="1"/>
  <c r="FM168" i="7" s="1"/>
  <c r="FA178" i="7" a="1"/>
  <c r="FA178" i="7" s="1"/>
  <c r="FE185" i="7" a="1"/>
  <c r="FE185" i="7" s="1"/>
  <c r="EN193" i="7" a="1"/>
  <c r="EN193" i="7" s="1"/>
  <c r="FJ200" i="7" a="1"/>
  <c r="FJ200" i="7" s="1"/>
  <c r="FL204" i="7" a="1"/>
  <c r="FL204" i="7" s="1"/>
  <c r="EJ206" i="7" a="1"/>
  <c r="EJ206" i="7" s="1"/>
  <c r="FS207" i="7" a="1"/>
  <c r="FS207" i="7" s="1"/>
  <c r="EQ209" i="7" a="1"/>
  <c r="EQ209" i="7" s="1"/>
  <c r="FZ210" i="7" a="1"/>
  <c r="FZ210" i="7" s="1"/>
  <c r="EX212" i="7" a="1"/>
  <c r="EX212" i="7" s="1"/>
  <c r="DV214" i="7" a="1"/>
  <c r="DV214" i="7" s="1"/>
  <c r="FE215" i="7" a="1"/>
  <c r="FE215" i="7" s="1"/>
  <c r="EC217" i="7" a="1"/>
  <c r="EC217" i="7" s="1"/>
  <c r="DZ151" i="7" a="1"/>
  <c r="DZ151" i="7" s="1"/>
  <c r="EK163" i="7" a="1"/>
  <c r="EK163" i="7" s="1"/>
  <c r="FG175" i="7" a="1"/>
  <c r="FG175" i="7" s="1"/>
  <c r="FR182" i="7" a="1"/>
  <c r="FR182" i="7" s="1"/>
  <c r="FE188" i="7" a="1"/>
  <c r="FE188" i="7" s="1"/>
  <c r="FG194" i="7" a="1"/>
  <c r="FG194" i="7" s="1"/>
  <c r="FJ197" i="7" a="1"/>
  <c r="FJ197" i="7" s="1"/>
  <c r="ED200" i="7" a="1"/>
  <c r="ED200" i="7" s="1"/>
  <c r="EY91" i="7" a="1"/>
  <c r="EY91" i="7" s="1"/>
  <c r="EJ155" i="7" a="1"/>
  <c r="EJ155" i="7" s="1"/>
  <c r="FA167" i="7" a="1"/>
  <c r="FA167" i="7" s="1"/>
  <c r="DV175" i="7" a="1"/>
  <c r="DV175" i="7" s="1"/>
  <c r="DS180" i="7" a="1"/>
  <c r="DS180" i="7" s="1"/>
  <c r="DY186" i="7" a="1"/>
  <c r="DY186" i="7" s="1"/>
  <c r="ES190" i="7" a="1"/>
  <c r="ES190" i="7" s="1"/>
  <c r="FH194" i="7" a="1"/>
  <c r="FH194" i="7" s="1"/>
  <c r="FB198" i="7" a="1"/>
  <c r="FB198" i="7" s="1"/>
  <c r="FI201" i="7" a="1"/>
  <c r="FI201" i="7" s="1"/>
  <c r="FF204" i="7" a="1"/>
  <c r="FF204" i="7" s="1"/>
  <c r="ED206" i="7" a="1"/>
  <c r="ED206" i="7" s="1"/>
  <c r="FM207" i="7" a="1"/>
  <c r="FM207" i="7" s="1"/>
  <c r="FJ91" i="7" a="1"/>
  <c r="FJ91" i="7" s="1"/>
  <c r="FX155" i="7" a="1"/>
  <c r="FX155" i="7" s="1"/>
  <c r="FY166" i="7" a="1"/>
  <c r="FY166" i="7" s="1"/>
  <c r="EH172" i="7" a="1"/>
  <c r="EH172" i="7" s="1"/>
  <c r="EH180" i="7" a="1"/>
  <c r="EH180" i="7" s="1"/>
  <c r="FP184" i="7" a="1"/>
  <c r="FP184" i="7" s="1"/>
  <c r="FE189" i="7" a="1"/>
  <c r="FE189" i="7" s="1"/>
  <c r="FR194" i="7" a="1"/>
  <c r="FR194" i="7" s="1"/>
  <c r="EA199" i="7" a="1"/>
  <c r="EA199" i="7" s="1"/>
  <c r="DZ203" i="7" a="1"/>
  <c r="DZ203" i="7" s="1"/>
  <c r="DV147" i="7" a="1"/>
  <c r="DV147" i="7" s="1"/>
  <c r="FK163" i="7" a="1"/>
  <c r="FK163" i="7" s="1"/>
  <c r="DU127" i="7" a="1"/>
  <c r="DU127" i="7" s="1"/>
  <c r="FV152" i="7" a="1"/>
  <c r="FV152" i="7" s="1"/>
  <c r="GA167" i="7" a="1"/>
  <c r="GA167" i="7" s="1"/>
  <c r="EP178" i="7" a="1"/>
  <c r="EP178" i="7" s="1"/>
  <c r="ET184" i="7" a="1"/>
  <c r="ET184" i="7" s="1"/>
  <c r="EL190" i="7" a="1"/>
  <c r="EL190" i="7" s="1"/>
  <c r="FW193" i="7" a="1"/>
  <c r="FW193" i="7" s="1"/>
  <c r="EB197" i="7" a="1"/>
  <c r="EB197" i="7" s="1"/>
  <c r="DZ201" i="7" a="1"/>
  <c r="DZ201" i="7" s="1"/>
  <c r="FL129" i="7" a="1"/>
  <c r="FL129" i="7" s="1"/>
  <c r="FL165" i="7" a="1"/>
  <c r="FL165" i="7" s="1"/>
  <c r="EQ176" i="7" a="1"/>
  <c r="EQ176" i="7" s="1"/>
  <c r="FN184" i="7" a="1"/>
  <c r="FN184" i="7" s="1"/>
  <c r="FE194" i="7" a="1"/>
  <c r="FE194" i="7" s="1"/>
  <c r="FJ157" i="7" a="1"/>
  <c r="FJ157" i="7" s="1"/>
  <c r="EU175" i="7" a="1"/>
  <c r="EU175" i="7" s="1"/>
  <c r="EA185" i="7" a="1"/>
  <c r="EA185" i="7" s="1"/>
  <c r="EN191" i="7" a="1"/>
  <c r="EN191" i="7" s="1"/>
  <c r="EI134" i="7" a="1"/>
  <c r="EI134" i="7" s="1"/>
  <c r="FQ166" i="7" a="1"/>
  <c r="FQ166" i="7" s="1"/>
  <c r="EQ177" i="7" a="1"/>
  <c r="EQ177" i="7" s="1"/>
  <c r="EW185" i="7" a="1"/>
  <c r="EW185" i="7" s="1"/>
  <c r="FG193" i="7" a="1"/>
  <c r="FG193" i="7" s="1"/>
  <c r="FG199" i="7" a="1"/>
  <c r="FG199" i="7" s="1"/>
  <c r="ER160" i="7" a="1"/>
  <c r="ER160" i="7" s="1"/>
  <c r="EB171" i="7" a="1"/>
  <c r="EB171" i="7" s="1"/>
  <c r="ET181" i="7" a="1"/>
  <c r="ET181" i="7" s="1"/>
  <c r="FG189" i="7" a="1"/>
  <c r="FG189" i="7" s="1"/>
  <c r="FI197" i="7" a="1"/>
  <c r="FI197" i="7" s="1"/>
  <c r="FY162" i="7" a="1"/>
  <c r="FY162" i="7" s="1"/>
  <c r="EX180" i="7" a="1"/>
  <c r="EX180" i="7" s="1"/>
  <c r="DY188" i="7" a="1"/>
  <c r="DY188" i="7" s="1"/>
  <c r="EU194" i="7" a="1"/>
  <c r="EU194" i="7" s="1"/>
  <c r="FH153" i="7" a="1"/>
  <c r="FH153" i="7" s="1"/>
  <c r="FE168" i="7" a="1"/>
  <c r="FE168" i="7" s="1"/>
  <c r="DY179" i="7" a="1"/>
  <c r="DY179" i="7" s="1"/>
  <c r="FW188" i="7" a="1"/>
  <c r="FW188" i="7" s="1"/>
  <c r="EN127" i="7" a="1"/>
  <c r="EN127" i="7" s="1"/>
  <c r="FW165" i="7" a="1"/>
  <c r="FW165" i="7" s="1"/>
  <c r="EL178" i="7" a="1"/>
  <c r="EL178" i="7" s="1"/>
  <c r="FY186" i="7" a="1"/>
  <c r="FY186" i="7" s="1"/>
  <c r="ED137" i="7" a="1"/>
  <c r="ED137" i="7" s="1"/>
  <c r="EQ165" i="7" a="1"/>
  <c r="EQ165" i="7" s="1"/>
  <c r="DZ179" i="7" a="1"/>
  <c r="DZ179" i="7" s="1"/>
  <c r="EE188" i="7" a="1"/>
  <c r="EE188" i="7" s="1"/>
  <c r="DZ132" i="7" a="1"/>
  <c r="DZ132" i="7" s="1"/>
  <c r="FH167" i="7" a="1"/>
  <c r="FH167" i="7" s="1"/>
  <c r="EI182" i="7" a="1"/>
  <c r="EI182" i="7" s="1"/>
  <c r="EV189" i="7" a="1"/>
  <c r="EV189" i="7" s="1"/>
  <c r="EO137" i="7" a="1"/>
  <c r="EO137" i="7" s="1"/>
  <c r="FY164" i="7" a="1"/>
  <c r="FY164" i="7" s="1"/>
  <c r="FI174" i="7" a="1"/>
  <c r="FI174" i="7" s="1"/>
  <c r="FG181" i="7" a="1"/>
  <c r="FG181" i="7" s="1"/>
  <c r="EI156" i="7" a="1"/>
  <c r="EI156" i="7" s="1"/>
  <c r="DS190" i="7" a="1"/>
  <c r="DS190" i="7" s="1"/>
  <c r="EH200" i="7" a="1"/>
  <c r="EH200" i="7" s="1"/>
  <c r="EG205" i="7" a="1"/>
  <c r="EG205" i="7" s="1"/>
  <c r="FK180" i="7" a="1"/>
  <c r="FK180" i="7" s="1"/>
  <c r="EV197" i="7" a="1"/>
  <c r="EV197" i="7" s="1"/>
  <c r="FK202" i="7" a="1"/>
  <c r="FK202" i="7" s="1"/>
  <c r="DS208" i="7" a="1"/>
  <c r="DS208" i="7" s="1"/>
  <c r="EN183" i="7" a="1"/>
  <c r="EN183" i="7" s="1"/>
  <c r="FO197" i="7" a="1"/>
  <c r="FO197" i="7" s="1"/>
  <c r="DT204" i="7" a="1"/>
  <c r="DT204" i="7" s="1"/>
  <c r="EE208" i="7" a="1"/>
  <c r="EE208" i="7" s="1"/>
  <c r="FQ186" i="7" a="1"/>
  <c r="FQ186" i="7" s="1"/>
  <c r="FM198" i="7" a="1"/>
  <c r="FM198" i="7" s="1"/>
  <c r="FY202" i="7" a="1"/>
  <c r="FY202" i="7" s="1"/>
  <c r="DT208" i="7" a="1"/>
  <c r="DT208" i="7" s="1"/>
  <c r="EC177" i="7" a="1"/>
  <c r="EC177" i="7" s="1"/>
  <c r="EI198" i="7" a="1"/>
  <c r="EI198" i="7" s="1"/>
  <c r="DY205" i="7" a="1"/>
  <c r="DY205" i="7" s="1"/>
  <c r="EH209" i="7" a="1"/>
  <c r="EH209" i="7" s="1"/>
  <c r="FW211" i="7" a="1"/>
  <c r="FW211" i="7" s="1"/>
  <c r="EP183" i="7" a="1"/>
  <c r="EP183" i="7" s="1"/>
  <c r="EZ197" i="7" a="1"/>
  <c r="EZ197" i="7" s="1"/>
  <c r="FG201" i="7" a="1"/>
  <c r="FG201" i="7" s="1"/>
  <c r="FI206" i="7" a="1"/>
  <c r="FI206" i="7" s="1"/>
  <c r="DQ180" i="7" a="1"/>
  <c r="DQ180" i="7" s="1"/>
  <c r="EN195" i="7" a="1"/>
  <c r="EN195" i="7" s="1"/>
  <c r="FP202" i="7" a="1"/>
  <c r="FP202" i="7" s="1"/>
  <c r="DT207" i="7" a="1"/>
  <c r="DT207" i="7" s="1"/>
  <c r="DT180" i="7" a="1"/>
  <c r="DT180" i="7" s="1"/>
  <c r="EB196" i="7" a="1"/>
  <c r="EB196" i="7" s="1"/>
  <c r="DY204" i="7" a="1"/>
  <c r="DY204" i="7" s="1"/>
  <c r="EH208" i="7" a="1"/>
  <c r="EH208" i="7" s="1"/>
  <c r="DU186" i="7" a="1"/>
  <c r="DU186" i="7" s="1"/>
  <c r="EX199" i="7" a="1"/>
  <c r="EX199" i="7" s="1"/>
  <c r="DZ204" i="7" a="1"/>
  <c r="DZ204" i="7" s="1"/>
  <c r="FG177" i="7" a="1"/>
  <c r="FG177" i="7" s="1"/>
  <c r="DT184" i="7" a="1"/>
  <c r="DT184" i="7" s="1"/>
  <c r="DW199" i="7" a="1"/>
  <c r="DW199" i="7" s="1"/>
  <c r="FO203" i="7" a="1"/>
  <c r="FO203" i="7" s="1"/>
  <c r="FZ197" i="7" a="1"/>
  <c r="FZ197" i="7" s="1"/>
  <c r="FT210" i="7" a="1"/>
  <c r="FT210" i="7" s="1"/>
  <c r="FF217" i="7" a="1"/>
  <c r="FF217" i="7" s="1"/>
  <c r="FM220" i="7" a="1"/>
  <c r="FM220" i="7" s="1"/>
  <c r="FT223" i="7" a="1"/>
  <c r="FT223" i="7" s="1"/>
  <c r="GA226" i="7" a="1"/>
  <c r="GA226" i="7" s="1"/>
  <c r="DW230" i="7" a="1"/>
  <c r="DW230" i="7" s="1"/>
  <c r="DU233" i="7" a="1"/>
  <c r="DU233" i="7" s="1"/>
  <c r="FD234" i="7" a="1"/>
  <c r="FD234" i="7" s="1"/>
  <c r="EB236" i="7" a="1"/>
  <c r="EB236" i="7" s="1"/>
  <c r="DV193" i="7" a="1"/>
  <c r="DV193" i="7" s="1"/>
  <c r="FR208" i="7" a="1"/>
  <c r="FR208" i="7" s="1"/>
  <c r="DT212" i="7" a="1"/>
  <c r="DT212" i="7" s="1"/>
  <c r="FY214" i="7" a="1"/>
  <c r="FY214" i="7" s="1"/>
  <c r="FN216" i="7" a="1"/>
  <c r="FN216" i="7" s="1"/>
  <c r="EL219" i="7" a="1"/>
  <c r="EL219" i="7" s="1"/>
  <c r="ES222" i="7" a="1"/>
  <c r="ES222" i="7" s="1"/>
  <c r="FB205" i="7" a="1"/>
  <c r="FB205" i="7" s="1"/>
  <c r="EB213" i="7" a="1"/>
  <c r="EB213" i="7" s="1"/>
  <c r="FX219" i="7" a="1"/>
  <c r="FX219" i="7" s="1"/>
  <c r="DT223" i="7" a="1"/>
  <c r="DT223" i="7" s="1"/>
  <c r="EA226" i="7" a="1"/>
  <c r="EA226" i="7" s="1"/>
  <c r="FP203" i="7" a="1"/>
  <c r="FP203" i="7" s="1"/>
  <c r="FA210" i="7" a="1"/>
  <c r="FA210" i="7" s="1"/>
  <c r="FX213" i="7" a="1"/>
  <c r="FX213" i="7" s="1"/>
  <c r="FM215" i="7" a="1"/>
  <c r="FM215" i="7" s="1"/>
  <c r="FO217" i="7" a="1"/>
  <c r="FO217" i="7" s="1"/>
  <c r="FV220" i="7" a="1"/>
  <c r="FV220" i="7" s="1"/>
  <c r="FM194" i="7" a="1"/>
  <c r="FM194" i="7" s="1"/>
  <c r="DZ209" i="7" a="1"/>
  <c r="DZ209" i="7" s="1"/>
  <c r="EN213" i="7" a="1"/>
  <c r="EN213" i="7" s="1"/>
  <c r="FJ219" i="7" a="1"/>
  <c r="FJ219" i="7" s="1"/>
  <c r="FQ222" i="7" a="1"/>
  <c r="FQ222" i="7" s="1"/>
  <c r="EM209" i="7" a="1"/>
  <c r="EM209" i="7" s="1"/>
  <c r="FY213" i="7" a="1"/>
  <c r="FY213" i="7" s="1"/>
  <c r="FN215" i="7" a="1"/>
  <c r="FN215" i="7" s="1"/>
  <c r="FP217" i="7" a="1"/>
  <c r="FP217" i="7" s="1"/>
  <c r="FW220" i="7" a="1"/>
  <c r="FW220" i="7" s="1"/>
  <c r="DS224" i="7" a="1"/>
  <c r="DS224" i="7" s="1"/>
  <c r="DZ227" i="7" a="1"/>
  <c r="DZ227" i="7" s="1"/>
  <c r="EV208" i="7" a="1"/>
  <c r="EV208" i="7" s="1"/>
  <c r="ES211" i="7" a="1"/>
  <c r="ES211" i="7" s="1"/>
  <c r="EY218" i="7" a="1"/>
  <c r="EY218" i="7" s="1"/>
  <c r="FF221" i="7" a="1"/>
  <c r="FF221" i="7" s="1"/>
  <c r="DS200" i="7" a="1"/>
  <c r="DS200" i="7" s="1"/>
  <c r="DY212" i="7" a="1"/>
  <c r="DY212" i="7" s="1"/>
  <c r="FU214" i="7" a="1"/>
  <c r="FU214" i="7" s="1"/>
  <c r="FI216" i="7" a="1"/>
  <c r="FI216" i="7" s="1"/>
  <c r="EO219" i="7" a="1"/>
  <c r="EO219" i="7" s="1"/>
  <c r="EV222" i="7" a="1"/>
  <c r="EV222" i="7" s="1"/>
  <c r="FJ202" i="7" a="1"/>
  <c r="FJ202" i="7" s="1"/>
  <c r="DY210" i="7" a="1"/>
  <c r="DY210" i="7" s="1"/>
  <c r="EG213" i="7" a="1"/>
  <c r="EG213" i="7" s="1"/>
  <c r="FT219" i="7" a="1"/>
  <c r="FT219" i="7" s="1"/>
  <c r="EP155" i="7" a="1"/>
  <c r="EP155" i="7" s="1"/>
  <c r="FG207" i="7" a="1"/>
  <c r="FG207" i="7" s="1"/>
  <c r="FJ213" i="7" a="1"/>
  <c r="FJ213" i="7" s="1"/>
  <c r="FH215" i="7" a="1"/>
  <c r="FH215" i="7" s="1"/>
  <c r="FS202" i="7" a="1"/>
  <c r="FS202" i="7" s="1"/>
  <c r="FF210" i="7" a="1"/>
  <c r="FF210" i="7" s="1"/>
  <c r="EH213" i="7" a="1"/>
  <c r="EH213" i="7" s="1"/>
  <c r="FF219" i="7" a="1"/>
  <c r="FF219" i="7" s="1"/>
  <c r="FM222" i="7" a="1"/>
  <c r="FM222" i="7" s="1"/>
  <c r="FW218" i="7" a="1"/>
  <c r="FW218" i="7" s="1"/>
  <c r="DW225" i="7" a="1"/>
  <c r="DW225" i="7" s="1"/>
  <c r="ER229" i="7" a="1"/>
  <c r="ER229" i="7" s="1"/>
  <c r="FF232" i="7" a="1"/>
  <c r="FF232" i="7" s="1"/>
  <c r="DY236" i="7" a="1"/>
  <c r="DY236" i="7" s="1"/>
  <c r="EZ214" i="7" a="1"/>
  <c r="EZ214" i="7" s="1"/>
  <c r="EP223" i="7" a="1"/>
  <c r="EP223" i="7" s="1"/>
  <c r="DR228" i="7" a="1"/>
  <c r="DR228" i="7" s="1"/>
  <c r="EF231" i="7" a="1"/>
  <c r="EF231" i="7" s="1"/>
  <c r="GA233" i="7" a="1"/>
  <c r="GA233" i="7" s="1"/>
  <c r="ES237" i="7" a="1"/>
  <c r="ES237" i="7" s="1"/>
  <c r="DQ239" i="7" a="1"/>
  <c r="DQ239" i="7" s="1"/>
  <c r="FQ189" i="7" a="1"/>
  <c r="FQ189" i="7" s="1"/>
  <c r="FD220" i="7" a="1"/>
  <c r="FD220" i="7" s="1"/>
  <c r="EL226" i="7" a="1"/>
  <c r="EL226" i="7" s="1"/>
  <c r="DV230" i="7" a="1"/>
  <c r="DV230" i="7" s="1"/>
  <c r="FT233" i="7" a="1"/>
  <c r="FT233" i="7" s="1"/>
  <c r="FY197" i="7" a="1"/>
  <c r="FY197" i="7" s="1"/>
  <c r="DW221" i="7" a="1"/>
  <c r="DW221" i="7" s="1"/>
  <c r="FF226" i="7" a="1"/>
  <c r="FF226" i="7" s="1"/>
  <c r="DU229" i="7" a="1"/>
  <c r="DU229" i="7" s="1"/>
  <c r="EQ232" i="7" a="1"/>
  <c r="EQ232" i="7" s="1"/>
  <c r="EH236" i="7" a="1"/>
  <c r="EH236" i="7" s="1"/>
  <c r="ET238" i="7" a="1"/>
  <c r="ET238" i="7" s="1"/>
  <c r="DR240" i="7" a="1"/>
  <c r="DR240" i="7" s="1"/>
  <c r="FH214" i="7" a="1"/>
  <c r="FH214" i="7" s="1"/>
  <c r="ET223" i="7" a="1"/>
  <c r="ET223" i="7" s="1"/>
  <c r="DX227" i="7" a="1"/>
  <c r="DX227" i="7" s="1"/>
  <c r="EV230" i="7" a="1"/>
  <c r="EV230" i="7" s="1"/>
  <c r="FZ234" i="7" a="1"/>
  <c r="FZ234" i="7" s="1"/>
  <c r="DR212" i="7" a="1"/>
  <c r="DR212" i="7" s="1"/>
  <c r="EE224" i="7" a="1"/>
  <c r="EE224" i="7" s="1"/>
  <c r="FO227" i="7" a="1"/>
  <c r="FO227" i="7" s="1"/>
  <c r="DZ231" i="7" a="1"/>
  <c r="DZ231" i="7" s="1"/>
  <c r="DR234" i="7" a="1"/>
  <c r="DR234" i="7" s="1"/>
  <c r="EU237" i="7" a="1"/>
  <c r="EU237" i="7" s="1"/>
  <c r="DS239" i="7" a="1"/>
  <c r="DS239" i="7" s="1"/>
  <c r="FH198" i="7" a="1"/>
  <c r="FH198" i="7" s="1"/>
  <c r="FV219" i="7" a="1"/>
  <c r="FV219" i="7" s="1"/>
  <c r="EE226" i="7" a="1"/>
  <c r="EE226" i="7" s="1"/>
  <c r="FT229" i="7" a="1"/>
  <c r="FT229" i="7" s="1"/>
  <c r="ER233" i="7" a="1"/>
  <c r="ER233" i="7" s="1"/>
  <c r="DR237" i="7" a="1"/>
  <c r="DR237" i="7" s="1"/>
  <c r="FI218" i="7" a="1"/>
  <c r="FI218" i="7" s="1"/>
  <c r="EA225" i="7" a="1"/>
  <c r="EA225" i="7" s="1"/>
  <c r="FB228" i="7" a="1"/>
  <c r="FB228" i="7" s="1"/>
  <c r="FP231" i="7" a="1"/>
  <c r="FP231" i="7" s="1"/>
  <c r="FB235" i="7" a="1"/>
  <c r="FB235" i="7" s="1"/>
  <c r="EA238" i="7" a="1"/>
  <c r="EA238" i="7" s="1"/>
  <c r="FJ239" i="7" a="1"/>
  <c r="FJ239" i="7" s="1"/>
  <c r="EB212" i="7" a="1"/>
  <c r="EB212" i="7" s="1"/>
  <c r="FY223" i="7" a="1"/>
  <c r="FY223" i="7" s="1"/>
  <c r="DV228" i="7" a="1"/>
  <c r="DV228" i="7" s="1"/>
  <c r="ED232" i="7" a="1"/>
  <c r="ED232" i="7" s="1"/>
  <c r="EF235" i="7" a="1"/>
  <c r="EF235" i="7" s="1"/>
  <c r="EI214" i="7" a="1"/>
  <c r="EI214" i="7" s="1"/>
  <c r="FA224" i="7" a="1"/>
  <c r="FA224" i="7" s="1"/>
  <c r="EE228" i="7" a="1"/>
  <c r="EE228" i="7" s="1"/>
  <c r="ES231" i="7" a="1"/>
  <c r="ES231" i="7" s="1"/>
  <c r="FF234" i="7" a="1"/>
  <c r="FF234" i="7" s="1"/>
  <c r="FC199" i="7" a="1"/>
  <c r="FC199" i="7" s="1"/>
  <c r="FE219" i="7" a="1"/>
  <c r="FE219" i="7" s="1"/>
  <c r="FF225" i="7" a="1"/>
  <c r="FF225" i="7" s="1"/>
  <c r="FZ227" i="7" a="1"/>
  <c r="FZ227" i="7" s="1"/>
  <c r="DW232" i="7" a="1"/>
  <c r="DW232" i="7" s="1"/>
  <c r="EV235" i="7" a="1"/>
  <c r="EV235" i="7" s="1"/>
  <c r="ET187" i="7" a="1"/>
  <c r="ET187" i="7" s="1"/>
  <c r="DW231" i="7" a="1"/>
  <c r="DW231" i="7" s="1"/>
  <c r="FA240" i="7" a="1"/>
  <c r="FA240" i="7" s="1"/>
  <c r="FH243" i="7" a="1"/>
  <c r="FH243" i="7" s="1"/>
  <c r="FO246" i="7" a="1"/>
  <c r="FO246" i="7" s="1"/>
  <c r="FV249" i="7" a="1"/>
  <c r="FV249" i="7" s="1"/>
  <c r="FT252" i="7" a="1"/>
  <c r="FT252" i="7" s="1"/>
  <c r="ER254" i="7" a="1"/>
  <c r="ER254" i="7" s="1"/>
  <c r="GA255" i="7" a="1"/>
  <c r="GA255" i="7" s="1"/>
  <c r="FO221" i="7" a="1"/>
  <c r="FO221" i="7" s="1"/>
  <c r="EB240" i="7" a="1"/>
  <c r="EB240" i="7" s="1"/>
  <c r="ES243" i="7" a="1"/>
  <c r="ES243" i="7" s="1"/>
  <c r="EZ246" i="7" a="1"/>
  <c r="EZ246" i="7" s="1"/>
  <c r="FG249" i="7" a="1"/>
  <c r="FG249" i="7" s="1"/>
  <c r="DS220" i="7" a="1"/>
  <c r="DS220" i="7" s="1"/>
  <c r="FX236" i="7" a="1"/>
  <c r="FX236" i="7" s="1"/>
  <c r="FN241" i="7" a="1"/>
  <c r="FN241" i="7" s="1"/>
  <c r="FU244" i="7" a="1"/>
  <c r="FU244" i="7" s="1"/>
  <c r="DQ248" i="7" a="1"/>
  <c r="DQ248" i="7" s="1"/>
  <c r="DX251" i="7" a="1"/>
  <c r="DX251" i="7" s="1"/>
  <c r="ES253" i="7" a="1"/>
  <c r="ES253" i="7" s="1"/>
  <c r="DQ255" i="7" a="1"/>
  <c r="DQ255" i="7" s="1"/>
  <c r="EZ256" i="7" a="1"/>
  <c r="EZ256" i="7" s="1"/>
  <c r="EX225" i="7" a="1"/>
  <c r="EX225" i="7" s="1"/>
  <c r="FJ240" i="7" a="1"/>
  <c r="FJ240" i="7" s="1"/>
  <c r="FQ243" i="7" a="1"/>
  <c r="FQ243" i="7" s="1"/>
  <c r="FV160" i="7" a="1"/>
  <c r="FV160" i="7" s="1"/>
  <c r="EO174" i="7" a="1"/>
  <c r="EO174" i="7" s="1"/>
  <c r="EI149" i="7" a="1"/>
  <c r="EI149" i="7" s="1"/>
  <c r="EI183" i="7" a="1"/>
  <c r="EI183" i="7" s="1"/>
  <c r="FP196" i="7" a="1"/>
  <c r="FP196" i="7" s="1"/>
  <c r="EV134" i="7" a="1"/>
  <c r="EV134" i="7" s="1"/>
  <c r="FX157" i="7" a="1"/>
  <c r="FX157" i="7" s="1"/>
  <c r="EP167" i="7" a="1"/>
  <c r="EP167" i="7" s="1"/>
  <c r="FQ175" i="7" a="1"/>
  <c r="FQ175" i="7" s="1"/>
  <c r="FX138" i="7" a="1"/>
  <c r="FX138" i="7" s="1"/>
  <c r="FN163" i="7" a="1"/>
  <c r="FN163" i="7" s="1"/>
  <c r="EK191" i="7" a="1"/>
  <c r="EK191" i="7" s="1"/>
  <c r="FL136" i="7" a="1"/>
  <c r="FL136" i="7" s="1"/>
  <c r="FO137" i="7" a="1"/>
  <c r="FO137" i="7" s="1"/>
  <c r="FE158" i="7" a="1"/>
  <c r="FE158" i="7" s="1"/>
  <c r="FD168" i="7" a="1"/>
  <c r="FD168" i="7" s="1"/>
  <c r="EX176" i="7" a="1"/>
  <c r="EX176" i="7" s="1"/>
  <c r="DU161" i="7" a="1"/>
  <c r="DU161" i="7" s="1"/>
  <c r="FC155" i="7" a="1"/>
  <c r="FC155" i="7" s="1"/>
  <c r="FE157" i="7" a="1"/>
  <c r="FE157" i="7" s="1"/>
  <c r="EC150" i="7" a="1"/>
  <c r="EC150" i="7" s="1"/>
  <c r="FP143" i="7" a="1"/>
  <c r="FP143" i="7" s="1"/>
  <c r="FH151" i="7" a="1"/>
  <c r="FH151" i="7" s="1"/>
  <c r="EM175" i="7" a="1"/>
  <c r="EM175" i="7" s="1"/>
  <c r="EJ188" i="7" a="1"/>
  <c r="EJ188" i="7" s="1"/>
  <c r="FE133" i="7" a="1"/>
  <c r="FE133" i="7" s="1"/>
  <c r="FI167" i="7" a="1"/>
  <c r="FI167" i="7" s="1"/>
  <c r="FY185" i="7" a="1"/>
  <c r="FY185" i="7" s="1"/>
  <c r="EQ123" i="7" a="1"/>
  <c r="EQ123" i="7" s="1"/>
  <c r="FU165" i="7" a="1"/>
  <c r="FU165" i="7" s="1"/>
  <c r="ED181" i="7" a="1"/>
  <c r="ED181" i="7" s="1"/>
  <c r="FW148" i="7" a="1"/>
  <c r="FW148" i="7" s="1"/>
  <c r="FU164" i="7" a="1"/>
  <c r="FU164" i="7" s="1"/>
  <c r="EB174" i="7" a="1"/>
  <c r="EB174" i="7" s="1"/>
  <c r="DX180" i="7" a="1"/>
  <c r="DX180" i="7" s="1"/>
  <c r="EX186" i="7" a="1"/>
  <c r="EX186" i="7" s="1"/>
  <c r="FY134" i="7" a="1"/>
  <c r="FY134" i="7" s="1"/>
  <c r="FO155" i="7" a="1"/>
  <c r="FO155" i="7" s="1"/>
  <c r="FZ134" i="7" a="1"/>
  <c r="FZ134" i="7" s="1"/>
  <c r="DX158" i="7" a="1"/>
  <c r="DX158" i="7" s="1"/>
  <c r="FP140" i="7" a="1"/>
  <c r="FP140" i="7" s="1"/>
  <c r="FC154" i="7" a="1"/>
  <c r="FC154" i="7" s="1"/>
  <c r="EO166" i="7" a="1"/>
  <c r="EO166" i="7" s="1"/>
  <c r="FE173" i="7" a="1"/>
  <c r="FE173" i="7" s="1"/>
  <c r="DW182" i="7" a="1"/>
  <c r="DW182" i="7" s="1"/>
  <c r="FR186" i="7" a="1"/>
  <c r="FR186" i="7" s="1"/>
  <c r="FF159" i="7" a="1"/>
  <c r="FF159" i="7" s="1"/>
  <c r="DT169" i="7" a="1"/>
  <c r="DT169" i="7" s="1"/>
  <c r="FN178" i="7" a="1"/>
  <c r="FN178" i="7" s="1"/>
  <c r="FP187" i="7" a="1"/>
  <c r="FP187" i="7" s="1"/>
  <c r="FR193" i="7" a="1"/>
  <c r="FR193" i="7" s="1"/>
  <c r="FR200" i="7" a="1"/>
  <c r="FR200" i="7" s="1"/>
  <c r="FS204" i="7" a="1"/>
  <c r="FS204" i="7" s="1"/>
  <c r="EQ206" i="7" a="1"/>
  <c r="EQ206" i="7" s="1"/>
  <c r="FZ207" i="7" a="1"/>
  <c r="FZ207" i="7" s="1"/>
  <c r="EX209" i="7" a="1"/>
  <c r="EX209" i="7" s="1"/>
  <c r="DV211" i="7" a="1"/>
  <c r="DV211" i="7" s="1"/>
  <c r="FE212" i="7" a="1"/>
  <c r="FE212" i="7" s="1"/>
  <c r="EC214" i="7" a="1"/>
  <c r="EC214" i="7" s="1"/>
  <c r="FL215" i="7" a="1"/>
  <c r="FL215" i="7" s="1"/>
  <c r="EJ217" i="7" a="1"/>
  <c r="EJ217" i="7" s="1"/>
  <c r="FD154" i="7" a="1"/>
  <c r="FD154" i="7" s="1"/>
  <c r="EN164" i="7" a="1"/>
  <c r="EN164" i="7" s="1"/>
  <c r="FE176" i="7" a="1"/>
  <c r="FE176" i="7" s="1"/>
  <c r="FI183" i="7" a="1"/>
  <c r="FI183" i="7" s="1"/>
  <c r="ET189" i="7" a="1"/>
  <c r="ET189" i="7" s="1"/>
  <c r="FQ194" i="7" a="1"/>
  <c r="FQ194" i="7" s="1"/>
  <c r="FS197" i="7" a="1"/>
  <c r="FS197" i="7" s="1"/>
  <c r="FZ200" i="7" a="1"/>
  <c r="FZ200" i="7" s="1"/>
  <c r="FU105" i="7" a="1"/>
  <c r="FU105" i="7" s="1"/>
  <c r="EA158" i="7" a="1"/>
  <c r="EA158" i="7" s="1"/>
  <c r="EU168" i="7" a="1"/>
  <c r="EU168" i="7" s="1"/>
  <c r="EP175" i="7" a="1"/>
  <c r="EP175" i="7" s="1"/>
  <c r="FI180" i="7" a="1"/>
  <c r="FI180" i="7" s="1"/>
  <c r="EL186" i="7" a="1"/>
  <c r="EL186" i="7" s="1"/>
  <c r="FM190" i="7" a="1"/>
  <c r="FM190" i="7" s="1"/>
  <c r="GA194" i="7" a="1"/>
  <c r="GA194" i="7" s="1"/>
  <c r="FK198" i="7" a="1"/>
  <c r="FK198" i="7" s="1"/>
  <c r="FX201" i="7" a="1"/>
  <c r="FX201" i="7" s="1"/>
  <c r="FM204" i="7" a="1"/>
  <c r="FM204" i="7" s="1"/>
  <c r="EK206" i="7" a="1"/>
  <c r="EK206" i="7" s="1"/>
  <c r="FT207" i="7" a="1"/>
  <c r="FT207" i="7" s="1"/>
  <c r="DR106" i="7" a="1"/>
  <c r="DR106" i="7" s="1"/>
  <c r="EX156" i="7" a="1"/>
  <c r="EX156" i="7" s="1"/>
  <c r="EF167" i="7" a="1"/>
  <c r="EF167" i="7" s="1"/>
  <c r="FU172" i="7" a="1"/>
  <c r="FU172" i="7" s="1"/>
  <c r="EU180" i="7" a="1"/>
  <c r="EU180" i="7" s="1"/>
  <c r="DT185" i="7" a="1"/>
  <c r="DT185" i="7" s="1"/>
  <c r="FY189" i="7" a="1"/>
  <c r="FY189" i="7" s="1"/>
  <c r="DQ195" i="7" a="1"/>
  <c r="DQ195" i="7" s="1"/>
  <c r="ER199" i="7" a="1"/>
  <c r="ER199" i="7" s="1"/>
  <c r="EO203" i="7" a="1"/>
  <c r="EO203" i="7" s="1"/>
  <c r="FA149" i="7" a="1"/>
  <c r="FA149" i="7" s="1"/>
  <c r="DX164" i="7" a="1"/>
  <c r="DX164" i="7" s="1"/>
  <c r="FJ129" i="7" a="1"/>
  <c r="FJ129" i="7" s="1"/>
  <c r="FJ156" i="7" a="1"/>
  <c r="FJ156" i="7" s="1"/>
  <c r="EZ169" i="7" a="1"/>
  <c r="EZ169" i="7" s="1"/>
  <c r="FE178" i="7" a="1"/>
  <c r="FE178" i="7" s="1"/>
  <c r="FG184" i="7" a="1"/>
  <c r="FG184" i="7" s="1"/>
  <c r="FF190" i="7" a="1"/>
  <c r="FF190" i="7" s="1"/>
  <c r="EP194" i="7" a="1"/>
  <c r="EP194" i="7" s="1"/>
  <c r="EL197" i="7" a="1"/>
  <c r="EL197" i="7" s="1"/>
  <c r="EO201" i="7" a="1"/>
  <c r="EO201" i="7" s="1"/>
  <c r="EF138" i="7" a="1"/>
  <c r="EF138" i="7" s="1"/>
  <c r="EC166" i="7" a="1"/>
  <c r="EC166" i="7" s="1"/>
  <c r="FT176" i="7" a="1"/>
  <c r="FT176" i="7" s="1"/>
  <c r="EV185" i="7" a="1"/>
  <c r="EV185" i="7" s="1"/>
  <c r="EC195" i="7" a="1"/>
  <c r="EC195" i="7" s="1"/>
  <c r="EQ160" i="7" a="1"/>
  <c r="EQ160" i="7" s="1"/>
  <c r="FV175" i="7" a="1"/>
  <c r="FV175" i="7" s="1"/>
  <c r="FR185" i="7" a="1"/>
  <c r="FR185" i="7" s="1"/>
  <c r="FE191" i="7" a="1"/>
  <c r="FE191" i="7" s="1"/>
  <c r="EJ142" i="7" a="1"/>
  <c r="EJ142" i="7" s="1"/>
  <c r="DQ168" i="7" a="1"/>
  <c r="DQ168" i="7" s="1"/>
  <c r="FQ177" i="7" a="1"/>
  <c r="FQ177" i="7" s="1"/>
  <c r="EZ187" i="7" a="1"/>
  <c r="EZ187" i="7" s="1"/>
  <c r="EE194" i="7" a="1"/>
  <c r="EE194" i="7" s="1"/>
  <c r="FU199" i="7" a="1"/>
  <c r="FU199" i="7" s="1"/>
  <c r="DZ161" i="7" a="1"/>
  <c r="DZ161" i="7" s="1"/>
  <c r="FB171" i="7" a="1"/>
  <c r="FB171" i="7" s="1"/>
  <c r="DZ182" i="7" a="1"/>
  <c r="DZ182" i="7" s="1"/>
  <c r="FV189" i="7" a="1"/>
  <c r="FV189" i="7" s="1"/>
  <c r="FJ109" i="7" a="1"/>
  <c r="FJ109" i="7" s="1"/>
  <c r="EY163" i="7" a="1"/>
  <c r="EY163" i="7" s="1"/>
  <c r="EB181" i="7" a="1"/>
  <c r="EB181" i="7" s="1"/>
  <c r="EP188" i="7" a="1"/>
  <c r="EP188" i="7" s="1"/>
  <c r="FL194" i="7" a="1"/>
  <c r="FL194" i="7" s="1"/>
  <c r="DS155" i="7" a="1"/>
  <c r="DS155" i="7" s="1"/>
  <c r="EF169" i="7" a="1"/>
  <c r="EF169" i="7" s="1"/>
  <c r="FT179" i="7" a="1"/>
  <c r="FT179" i="7" s="1"/>
  <c r="EC189" i="7" a="1"/>
  <c r="EC189" i="7" s="1"/>
  <c r="EY131" i="7" a="1"/>
  <c r="EY131" i="7" s="1"/>
  <c r="ES166" i="7" a="1"/>
  <c r="ES166" i="7" s="1"/>
  <c r="FK178" i="7" a="1"/>
  <c r="FK178" i="7" s="1"/>
  <c r="EJ187" i="7" a="1"/>
  <c r="EJ187" i="7" s="1"/>
  <c r="ET142" i="7" a="1"/>
  <c r="ET142" i="7" s="1"/>
  <c r="EX166" i="7" a="1"/>
  <c r="EX166" i="7" s="1"/>
  <c r="FV179" i="7" a="1"/>
  <c r="FV179" i="7" s="1"/>
  <c r="FJ188" i="7" a="1"/>
  <c r="FJ188" i="7" s="1"/>
  <c r="EN147" i="7" a="1"/>
  <c r="EN147" i="7" s="1"/>
  <c r="FQ169" i="7" a="1"/>
  <c r="FQ169" i="7" s="1"/>
  <c r="FZ182" i="7" a="1"/>
  <c r="FZ182" i="7" s="1"/>
  <c r="FK189" i="7" a="1"/>
  <c r="FK189" i="7" s="1"/>
  <c r="ER139" i="7" a="1"/>
  <c r="ER139" i="7" s="1"/>
  <c r="EX165" i="7" a="1"/>
  <c r="EX165" i="7" s="1"/>
  <c r="EG175" i="7" a="1"/>
  <c r="EG175" i="7" s="1"/>
  <c r="EM183" i="7" a="1"/>
  <c r="EM183" i="7" s="1"/>
  <c r="DY162" i="7" a="1"/>
  <c r="DY162" i="7" s="1"/>
  <c r="FA190" i="7" a="1"/>
  <c r="FA190" i="7" s="1"/>
  <c r="DT201" i="7" a="1"/>
  <c r="DT201" i="7" s="1"/>
  <c r="FN205" i="7" a="1"/>
  <c r="FN205" i="7" s="1"/>
  <c r="DX183" i="7" a="1"/>
  <c r="DX183" i="7" s="1"/>
  <c r="GA197" i="7" a="1"/>
  <c r="GA197" i="7" s="1"/>
  <c r="EJ203" i="7" a="1"/>
  <c r="EJ203" i="7" s="1"/>
  <c r="EE138" i="7" a="1"/>
  <c r="EE138" i="7" s="1"/>
  <c r="ES184" i="7" a="1"/>
  <c r="ES184" i="7" s="1"/>
  <c r="DT198" i="7" a="1"/>
  <c r="DT198" i="7" s="1"/>
  <c r="EF204" i="7" a="1"/>
  <c r="EF204" i="7" s="1"/>
  <c r="EO208" i="7" a="1"/>
  <c r="EO208" i="7" s="1"/>
  <c r="DR188" i="7" a="1"/>
  <c r="DR188" i="7" s="1"/>
  <c r="FZ198" i="7" a="1"/>
  <c r="FZ198" i="7" s="1"/>
  <c r="FU203" i="7" a="1"/>
  <c r="FU203" i="7" s="1"/>
  <c r="FA208" i="7" a="1"/>
  <c r="FA208" i="7" s="1"/>
  <c r="EU178" i="7" a="1"/>
  <c r="EU178" i="7" s="1"/>
  <c r="FN198" i="7" a="1"/>
  <c r="FN198" i="7" s="1"/>
  <c r="EI205" i="7" a="1"/>
  <c r="EI205" i="7" s="1"/>
  <c r="ER209" i="7" a="1"/>
  <c r="ER209" i="7" s="1"/>
  <c r="DU212" i="7" a="1"/>
  <c r="DU212" i="7" s="1"/>
  <c r="FK184" i="7" a="1"/>
  <c r="FK184" i="7" s="1"/>
  <c r="FQ197" i="7" a="1"/>
  <c r="FQ197" i="7" s="1"/>
  <c r="DS202" i="7" a="1"/>
  <c r="DS202" i="7" s="1"/>
  <c r="EE207" i="7" a="1"/>
  <c r="EE207" i="7" s="1"/>
  <c r="FL184" i="7" a="1"/>
  <c r="FL184" i="7" s="1"/>
  <c r="FV196" i="7" a="1"/>
  <c r="FV196" i="7" s="1"/>
  <c r="EM203" i="7" a="1"/>
  <c r="EM203" i="7" s="1"/>
  <c r="FA207" i="7" a="1"/>
  <c r="FA207" i="7" s="1"/>
  <c r="EO181" i="7" a="1"/>
  <c r="EO181" i="7" s="1"/>
  <c r="FC197" i="7" a="1"/>
  <c r="FC197" i="7" s="1"/>
  <c r="EI204" i="7" a="1"/>
  <c r="EI204" i="7" s="1"/>
  <c r="FZ128" i="7" a="1"/>
  <c r="FZ128" i="7" s="1"/>
  <c r="EG188" i="7" a="1"/>
  <c r="EG188" i="7" s="1"/>
  <c r="FM199" i="7" a="1"/>
  <c r="FM199" i="7" s="1"/>
  <c r="FG204" i="7" a="1"/>
  <c r="FG204" i="7" s="1"/>
  <c r="FY178" i="7" a="1"/>
  <c r="FY178" i="7" s="1"/>
  <c r="EH188" i="7" a="1"/>
  <c r="EH188" i="7" s="1"/>
  <c r="EM199" i="7" a="1"/>
  <c r="EM199" i="7" s="1"/>
  <c r="EA204" i="7" a="1"/>
  <c r="EA204" i="7" s="1"/>
  <c r="FV198" i="7" a="1"/>
  <c r="FV198" i="7" s="1"/>
  <c r="ED211" i="7" a="1"/>
  <c r="ED211" i="7" s="1"/>
  <c r="FU217" i="7" a="1"/>
  <c r="FU217" i="7" s="1"/>
  <c r="DQ221" i="7" a="1"/>
  <c r="DQ221" i="7" s="1"/>
  <c r="DX224" i="7" a="1"/>
  <c r="DX224" i="7" s="1"/>
  <c r="EE227" i="7" a="1"/>
  <c r="EE227" i="7" s="1"/>
  <c r="EL230" i="7" a="1"/>
  <c r="EL230" i="7" s="1"/>
  <c r="EB233" i="7" a="1"/>
  <c r="EB233" i="7" s="1"/>
  <c r="FK234" i="7" a="1"/>
  <c r="FK234" i="7" s="1"/>
  <c r="EI236" i="7" a="1"/>
  <c r="EI236" i="7" s="1"/>
  <c r="FT195" i="7" a="1"/>
  <c r="FT195" i="7" s="1"/>
  <c r="EV209" i="7" a="1"/>
  <c r="EV209" i="7" s="1"/>
  <c r="EE212" i="7" a="1"/>
  <c r="EE212" i="7" s="1"/>
  <c r="DW215" i="7" a="1"/>
  <c r="DW215" i="7" s="1"/>
  <c r="FV216" i="7" a="1"/>
  <c r="FV216" i="7" s="1"/>
  <c r="FA219" i="7" a="1"/>
  <c r="FA219" i="7" s="1"/>
  <c r="FH222" i="7" a="1"/>
  <c r="FH222" i="7" s="1"/>
  <c r="DX207" i="7" a="1"/>
  <c r="DX207" i="7" s="1"/>
  <c r="EV213" i="7" a="1"/>
  <c r="EV213" i="7" s="1"/>
  <c r="EB220" i="7" a="1"/>
  <c r="EB220" i="7" s="1"/>
  <c r="EI223" i="7" a="1"/>
  <c r="EI223" i="7" s="1"/>
  <c r="EP226" i="7" a="1"/>
  <c r="EP226" i="7" s="1"/>
  <c r="EV204" i="7" a="1"/>
  <c r="EV204" i="7" s="1"/>
  <c r="FK210" i="7" a="1"/>
  <c r="FK210" i="7" s="1"/>
  <c r="DU214" i="7" a="1"/>
  <c r="DU214" i="7" s="1"/>
  <c r="FU215" i="7" a="1"/>
  <c r="FU215" i="7" s="1"/>
  <c r="DS218" i="7" a="1"/>
  <c r="DS218" i="7" s="1"/>
  <c r="DZ221" i="7" a="1"/>
  <c r="DZ221" i="7" s="1"/>
  <c r="DS196" i="7" a="1"/>
  <c r="DS196" i="7" s="1"/>
  <c r="FJ209" i="7" a="1"/>
  <c r="FJ209" i="7" s="1"/>
  <c r="EW213" i="7" a="1"/>
  <c r="EW213" i="7" s="1"/>
  <c r="FY219" i="7" a="1"/>
  <c r="FY219" i="7" s="1"/>
  <c r="EN185" i="7" a="1"/>
  <c r="EN185" i="7" s="1"/>
  <c r="EY209" i="7" a="1"/>
  <c r="EY209" i="7" s="1"/>
  <c r="DW214" i="7" a="1"/>
  <c r="DW214" i="7" s="1"/>
  <c r="FV215" i="7" a="1"/>
  <c r="FV215" i="7" s="1"/>
  <c r="DT218" i="7" a="1"/>
  <c r="DT218" i="7" s="1"/>
  <c r="EA221" i="7" a="1"/>
  <c r="EA221" i="7" s="1"/>
  <c r="EH224" i="7" a="1"/>
  <c r="EH224" i="7" s="1"/>
  <c r="EU150" i="7" a="1"/>
  <c r="EU150" i="7" s="1"/>
  <c r="EA209" i="7" a="1"/>
  <c r="EA209" i="7" s="1"/>
  <c r="FC212" i="7" a="1"/>
  <c r="FC212" i="7" s="1"/>
  <c r="FN218" i="7" a="1"/>
  <c r="FN218" i="7" s="1"/>
  <c r="FU221" i="7" a="1"/>
  <c r="FU221" i="7" s="1"/>
  <c r="EP201" i="7" a="1"/>
  <c r="EP201" i="7" s="1"/>
  <c r="EI212" i="7" a="1"/>
  <c r="EI212" i="7" s="1"/>
  <c r="DR215" i="7" a="1"/>
  <c r="DR215" i="7" s="1"/>
  <c r="FQ216" i="7" a="1"/>
  <c r="FQ216" i="7" s="1"/>
  <c r="FD219" i="7" a="1"/>
  <c r="FD219" i="7" s="1"/>
  <c r="FK222" i="7" a="1"/>
  <c r="FK222" i="7" s="1"/>
  <c r="FI204" i="7" a="1"/>
  <c r="FI204" i="7" s="1"/>
  <c r="EI210" i="7" a="1"/>
  <c r="EI210" i="7" s="1"/>
  <c r="EP213" i="7" a="1"/>
  <c r="EP213" i="7" s="1"/>
  <c r="DX220" i="7" a="1"/>
  <c r="DX220" i="7" s="1"/>
  <c r="FQ174" i="7" a="1"/>
  <c r="FQ174" i="7" s="1"/>
  <c r="EL208" i="7" a="1"/>
  <c r="EL208" i="7" s="1"/>
  <c r="DQ214" i="7" a="1"/>
  <c r="DQ214" i="7" s="1"/>
  <c r="FP215" i="7" a="1"/>
  <c r="FP215" i="7" s="1"/>
  <c r="FJ204" i="7" a="1"/>
  <c r="FJ204" i="7" s="1"/>
  <c r="DQ211" i="7" a="1"/>
  <c r="DQ211" i="7" s="1"/>
  <c r="ER213" i="7" a="1"/>
  <c r="ER213" i="7" s="1"/>
  <c r="FU219" i="7" a="1"/>
  <c r="FU219" i="7" s="1"/>
  <c r="DQ223" i="7" a="1"/>
  <c r="DQ223" i="7" s="1"/>
  <c r="EJ219" i="7" a="1"/>
  <c r="EJ219" i="7" s="1"/>
  <c r="EY225" i="7" a="1"/>
  <c r="EY225" i="7" s="1"/>
  <c r="EZ229" i="7" a="1"/>
  <c r="EZ229" i="7" s="1"/>
  <c r="FN232" i="7" a="1"/>
  <c r="FN232" i="7" s="1"/>
  <c r="EN236" i="7" a="1"/>
  <c r="EN236" i="7" s="1"/>
  <c r="FQ215" i="7" a="1"/>
  <c r="FQ215" i="7" s="1"/>
  <c r="EL224" i="7" a="1"/>
  <c r="EL224" i="7" s="1"/>
  <c r="DZ228" i="7" a="1"/>
  <c r="DZ228" i="7" s="1"/>
  <c r="EN231" i="7" a="1"/>
  <c r="EN231" i="7" s="1"/>
  <c r="EE234" i="7" a="1"/>
  <c r="EE234" i="7" s="1"/>
  <c r="EZ237" i="7" a="1"/>
  <c r="EZ237" i="7" s="1"/>
  <c r="DX239" i="7" a="1"/>
  <c r="DX239" i="7" s="1"/>
  <c r="DS201" i="7" a="1"/>
  <c r="DS201" i="7" s="1"/>
  <c r="ET221" i="7" a="1"/>
  <c r="ET221" i="7" s="1"/>
  <c r="EU226" i="7" a="1"/>
  <c r="EU226" i="7" s="1"/>
  <c r="EE230" i="7" a="1"/>
  <c r="EE230" i="7" s="1"/>
  <c r="DX234" i="7" a="1"/>
  <c r="DX234" i="7" s="1"/>
  <c r="EL204" i="7" a="1"/>
  <c r="EL204" i="7" s="1"/>
  <c r="EJ222" i="7" a="1"/>
  <c r="EJ222" i="7" s="1"/>
  <c r="DW227" i="7" a="1"/>
  <c r="DW227" i="7" s="1"/>
  <c r="EC229" i="7" a="1"/>
  <c r="EC229" i="7" s="1"/>
  <c r="FW232" i="7" a="1"/>
  <c r="FW232" i="7" s="1"/>
  <c r="FE236" i="7" a="1"/>
  <c r="FE236" i="7" s="1"/>
  <c r="FA238" i="7" a="1"/>
  <c r="FA238" i="7" s="1"/>
  <c r="DY240" i="7" a="1"/>
  <c r="DY240" i="7" s="1"/>
  <c r="FY215" i="7" a="1"/>
  <c r="FY215" i="7" s="1"/>
  <c r="FC223" i="7" a="1"/>
  <c r="FC223" i="7" s="1"/>
  <c r="EP227" i="7" a="1"/>
  <c r="EP227" i="7" s="1"/>
  <c r="FD230" i="7" a="1"/>
  <c r="FD230" i="7" s="1"/>
  <c r="ED235" i="7" a="1"/>
  <c r="ED235" i="7" s="1"/>
  <c r="ET213" i="7" a="1"/>
  <c r="ET213" i="7" s="1"/>
  <c r="EO224" i="7" a="1"/>
  <c r="EO224" i="7" s="1"/>
  <c r="FW227" i="7" a="1"/>
  <c r="FW227" i="7" s="1"/>
  <c r="EH231" i="7" a="1"/>
  <c r="EH231" i="7" s="1"/>
  <c r="EG234" i="7" a="1"/>
  <c r="EG234" i="7" s="1"/>
  <c r="FB237" i="7" a="1"/>
  <c r="FB237" i="7" s="1"/>
  <c r="DZ239" i="7" a="1"/>
  <c r="DZ239" i="7" s="1"/>
  <c r="EH202" i="7" a="1"/>
  <c r="EH202" i="7" s="1"/>
  <c r="EC221" i="7" a="1"/>
  <c r="EC221" i="7" s="1"/>
  <c r="EN226" i="7" a="1"/>
  <c r="EN226" i="7" s="1"/>
  <c r="DQ230" i="7" a="1"/>
  <c r="DQ230" i="7" s="1"/>
  <c r="FG233" i="7" a="1"/>
  <c r="FG233" i="7" s="1"/>
  <c r="EG237" i="7" a="1"/>
  <c r="EG237" i="7" s="1"/>
  <c r="EY219" i="7" a="1"/>
  <c r="EY219" i="7" s="1"/>
  <c r="EK225" i="7" a="1"/>
  <c r="EK225" i="7" s="1"/>
  <c r="FJ228" i="7" a="1"/>
  <c r="FJ228" i="7" s="1"/>
  <c r="FX231" i="7" a="1"/>
  <c r="FX231" i="7" s="1"/>
  <c r="FQ235" i="7" a="1"/>
  <c r="FQ235" i="7" s="1"/>
  <c r="EH238" i="7" a="1"/>
  <c r="EH238" i="7" s="1"/>
  <c r="FQ239" i="7" a="1"/>
  <c r="FQ239" i="7" s="1"/>
  <c r="FW214" i="7" a="1"/>
  <c r="FW214" i="7" s="1"/>
  <c r="EQ224" i="7" a="1"/>
  <c r="EQ224" i="7" s="1"/>
  <c r="GA228" i="7" a="1"/>
  <c r="GA228" i="7" s="1"/>
  <c r="EL232" i="7" a="1"/>
  <c r="EL232" i="7" s="1"/>
  <c r="EU235" i="7" a="1"/>
  <c r="EU235" i="7" s="1"/>
  <c r="FA215" i="7" a="1"/>
  <c r="FA215" i="7" s="1"/>
  <c r="FK224" i="7" a="1"/>
  <c r="FK224" i="7" s="1"/>
  <c r="EM228" i="7" a="1"/>
  <c r="EM228" i="7" s="1"/>
  <c r="FA231" i="7" a="1"/>
  <c r="FA231" i="7" s="1"/>
  <c r="FU234" i="7" a="1"/>
  <c r="FU234" i="7" s="1"/>
  <c r="DT206" i="7" a="1"/>
  <c r="DT206" i="7" s="1"/>
  <c r="FT163" i="7" a="1"/>
  <c r="FT163" i="7" s="1"/>
  <c r="EW174" i="7" a="1"/>
  <c r="EW174" i="7" s="1"/>
  <c r="EN151" i="7" a="1"/>
  <c r="EN151" i="7" s="1"/>
  <c r="FM183" i="7" a="1"/>
  <c r="FM183" i="7" s="1"/>
  <c r="DT197" i="7" a="1"/>
  <c r="DT197" i="7" s="1"/>
  <c r="FJ135" i="7" a="1"/>
  <c r="FJ135" i="7" s="1"/>
  <c r="DU158" i="7" a="1"/>
  <c r="DU158" i="7" s="1"/>
  <c r="EB168" i="7" a="1"/>
  <c r="EB168" i="7" s="1"/>
  <c r="FY175" i="7" a="1"/>
  <c r="FY175" i="7" s="1"/>
  <c r="EU139" i="7" a="1"/>
  <c r="EU139" i="7" s="1"/>
  <c r="EZ164" i="7" a="1"/>
  <c r="EZ164" i="7" s="1"/>
  <c r="FH191" i="7" a="1"/>
  <c r="FH191" i="7" s="1"/>
  <c r="FW136" i="7" a="1"/>
  <c r="FW136" i="7" s="1"/>
  <c r="FP138" i="7" a="1"/>
  <c r="FP138" i="7" s="1"/>
  <c r="FM158" i="7" a="1"/>
  <c r="FM158" i="7" s="1"/>
  <c r="FT168" i="7" a="1"/>
  <c r="FT168" i="7" s="1"/>
  <c r="FF176" i="7" a="1"/>
  <c r="FF176" i="7" s="1"/>
  <c r="FT162" i="7" a="1"/>
  <c r="FT162" i="7" s="1"/>
  <c r="FP155" i="7" a="1"/>
  <c r="FP155" i="7" s="1"/>
  <c r="EH159" i="7" a="1"/>
  <c r="EH159" i="7" s="1"/>
  <c r="ET150" i="7" a="1"/>
  <c r="ET150" i="7" s="1"/>
  <c r="FB144" i="7" a="1"/>
  <c r="FB144" i="7" s="1"/>
  <c r="DV153" i="7" a="1"/>
  <c r="DV153" i="7" s="1"/>
  <c r="EY176" i="7" a="1"/>
  <c r="EY176" i="7" s="1"/>
  <c r="ET188" i="7" a="1"/>
  <c r="ET188" i="7" s="1"/>
  <c r="EZ135" i="7" a="1"/>
  <c r="EZ135" i="7" s="1"/>
  <c r="FJ168" i="7" a="1"/>
  <c r="FJ168" i="7" s="1"/>
  <c r="FO186" i="7" a="1"/>
  <c r="FO186" i="7" s="1"/>
  <c r="FW124" i="7" a="1"/>
  <c r="FW124" i="7" s="1"/>
  <c r="FI166" i="7" a="1"/>
  <c r="FI166" i="7" s="1"/>
  <c r="EM181" i="7" a="1"/>
  <c r="EM181" i="7" s="1"/>
  <c r="EX153" i="7" a="1"/>
  <c r="EX153" i="7" s="1"/>
  <c r="DW165" i="7" a="1"/>
  <c r="DW165" i="7" s="1"/>
  <c r="EN174" i="7" a="1"/>
  <c r="EN174" i="7" s="1"/>
  <c r="EO180" i="7" a="1"/>
  <c r="EO180" i="7" s="1"/>
  <c r="FP186" i="7" a="1"/>
  <c r="FP186" i="7" s="1"/>
  <c r="DR137" i="7" a="1"/>
  <c r="DR137" i="7" s="1"/>
  <c r="EW157" i="7" a="1"/>
  <c r="EW157" i="7" s="1"/>
  <c r="FH142" i="7" a="1"/>
  <c r="FH142" i="7" s="1"/>
  <c r="EN158" i="7" a="1"/>
  <c r="EN158" i="7" s="1"/>
  <c r="EG141" i="7" a="1"/>
  <c r="EG141" i="7" s="1"/>
  <c r="EG155" i="7" a="1"/>
  <c r="EG155" i="7" s="1"/>
  <c r="FA166" i="7" a="1"/>
  <c r="FA166" i="7" s="1"/>
  <c r="FQ173" i="7" a="1"/>
  <c r="FQ173" i="7" s="1"/>
  <c r="EO182" i="7" a="1"/>
  <c r="EO182" i="7" s="1"/>
  <c r="DY187" i="7" a="1"/>
  <c r="DY187" i="7" s="1"/>
  <c r="DX160" i="7" a="1"/>
  <c r="DX160" i="7" s="1"/>
  <c r="EG171" i="7" a="1"/>
  <c r="EG171" i="7" s="1"/>
  <c r="DT179" i="7" a="1"/>
  <c r="DT179" i="7" s="1"/>
  <c r="EI188" i="7" a="1"/>
  <c r="EI188" i="7" s="1"/>
  <c r="DQ194" i="7" a="1"/>
  <c r="DQ194" i="7" s="1"/>
  <c r="DV201" i="7" a="1"/>
  <c r="DV201" i="7" s="1"/>
  <c r="FZ204" i="7" a="1"/>
  <c r="FZ204" i="7" s="1"/>
  <c r="EX206" i="7" a="1"/>
  <c r="EX206" i="7" s="1"/>
  <c r="DV208" i="7" a="1"/>
  <c r="DV208" i="7" s="1"/>
  <c r="FE209" i="7" a="1"/>
  <c r="FE209" i="7" s="1"/>
  <c r="EC211" i="7" a="1"/>
  <c r="EC211" i="7" s="1"/>
  <c r="FL212" i="7" a="1"/>
  <c r="FL212" i="7" s="1"/>
  <c r="EJ214" i="7" a="1"/>
  <c r="EJ214" i="7" s="1"/>
  <c r="FS215" i="7" a="1"/>
  <c r="FS215" i="7" s="1"/>
  <c r="FL87" i="7" a="1"/>
  <c r="FL87" i="7" s="1"/>
  <c r="EU156" i="7" a="1"/>
  <c r="EU156" i="7" s="1"/>
  <c r="DR165" i="7" a="1"/>
  <c r="DR165" i="7" s="1"/>
  <c r="EH177" i="7" a="1"/>
  <c r="EH177" i="7" s="1"/>
  <c r="FX183" i="7" a="1"/>
  <c r="FX183" i="7" s="1"/>
  <c r="FX189" i="7" a="1"/>
  <c r="FX189" i="7" s="1"/>
  <c r="DZ195" i="7" a="1"/>
  <c r="DZ195" i="7" s="1"/>
  <c r="DR198" i="7" a="1"/>
  <c r="DR198" i="7" s="1"/>
  <c r="EL201" i="7" a="1"/>
  <c r="EL201" i="7" s="1"/>
  <c r="EA113" i="7" a="1"/>
  <c r="EA113" i="7" s="1"/>
  <c r="EB160" i="7" a="1"/>
  <c r="EB160" i="7" s="1"/>
  <c r="FM169" i="7" a="1"/>
  <c r="FM169" i="7" s="1"/>
  <c r="FJ175" i="7" a="1"/>
  <c r="FJ175" i="7" s="1"/>
  <c r="FU180" i="7" a="1"/>
  <c r="FU180" i="7" s="1"/>
  <c r="FL186" i="7" a="1"/>
  <c r="FL186" i="7" s="1"/>
  <c r="FW190" i="7" a="1"/>
  <c r="FW190" i="7" s="1"/>
  <c r="EB195" i="7" a="1"/>
  <c r="EB195" i="7" s="1"/>
  <c r="FT198" i="7" a="1"/>
  <c r="FT198" i="7" s="1"/>
  <c r="EB202" i="7" a="1"/>
  <c r="EB202" i="7" s="1"/>
  <c r="FT204" i="7" a="1"/>
  <c r="FT204" i="7" s="1"/>
  <c r="ER206" i="7" a="1"/>
  <c r="ER206" i="7" s="1"/>
  <c r="GA207" i="7" a="1"/>
  <c r="GA207" i="7" s="1"/>
  <c r="EN113" i="7" a="1"/>
  <c r="EN113" i="7" s="1"/>
  <c r="FK158" i="7" a="1"/>
  <c r="FK158" i="7" s="1"/>
  <c r="FS167" i="7" a="1"/>
  <c r="FS167" i="7" s="1"/>
  <c r="EG173" i="7" a="1"/>
  <c r="EG173" i="7" s="1"/>
  <c r="FJ180" i="7" a="1"/>
  <c r="FJ180" i="7" s="1"/>
  <c r="FJ185" i="7" a="1"/>
  <c r="FJ185" i="7" s="1"/>
  <c r="FD190" i="7" a="1"/>
  <c r="FD190" i="7" s="1"/>
  <c r="FG195" i="7" a="1"/>
  <c r="FG195" i="7" s="1"/>
  <c r="FJ199" i="7" a="1"/>
  <c r="FJ199" i="7" s="1"/>
  <c r="FD203" i="7" a="1"/>
  <c r="FD203" i="7" s="1"/>
  <c r="EI151" i="7" a="1"/>
  <c r="EI151" i="7" s="1"/>
  <c r="FM164" i="7" a="1"/>
  <c r="FM164" i="7" s="1"/>
  <c r="FV131" i="7" a="1"/>
  <c r="FV131" i="7" s="1"/>
  <c r="EJ157" i="7" a="1"/>
  <c r="EJ157" i="7" s="1"/>
  <c r="ES171" i="7" a="1"/>
  <c r="ES171" i="7" s="1"/>
  <c r="FW178" i="7" a="1"/>
  <c r="FW178" i="7" s="1"/>
  <c r="FV184" i="7" a="1"/>
  <c r="FV184" i="7" s="1"/>
  <c r="FP190" i="7" a="1"/>
  <c r="FP190" i="7" s="1"/>
  <c r="FA194" i="7" a="1"/>
  <c r="FA194" i="7" s="1"/>
  <c r="EU197" i="7" a="1"/>
  <c r="EU197" i="7" s="1"/>
  <c r="FD201" i="7" a="1"/>
  <c r="FD201" i="7" s="1"/>
  <c r="FW141" i="7" a="1"/>
  <c r="FW141" i="7" s="1"/>
  <c r="FY167" i="7" a="1"/>
  <c r="FY167" i="7" s="1"/>
  <c r="FK177" i="7" a="1"/>
  <c r="FK177" i="7" s="1"/>
  <c r="EX187" i="7" a="1"/>
  <c r="EX187" i="7" s="1"/>
  <c r="EQ195" i="7" a="1"/>
  <c r="EQ195" i="7" s="1"/>
  <c r="DX161" i="7" a="1"/>
  <c r="DX161" i="7" s="1"/>
  <c r="FU176" i="7" a="1"/>
  <c r="FU176" i="7" s="1"/>
  <c r="EU186" i="7" a="1"/>
  <c r="EU186" i="7" s="1"/>
  <c r="FG192" i="7" a="1"/>
  <c r="FG192" i="7" s="1"/>
  <c r="DR145" i="7" a="1"/>
  <c r="DR145" i="7" s="1"/>
  <c r="FB168" i="7" a="1"/>
  <c r="FB168" i="7" s="1"/>
  <c r="EE178" i="7" a="1"/>
  <c r="EE178" i="7" s="1"/>
  <c r="DX188" i="7" a="1"/>
  <c r="DX188" i="7" s="1"/>
  <c r="ES194" i="7" a="1"/>
  <c r="ES194" i="7" s="1"/>
  <c r="EP107" i="7" a="1"/>
  <c r="EP107" i="7" s="1"/>
  <c r="FM161" i="7" a="1"/>
  <c r="FM161" i="7" s="1"/>
  <c r="FB173" i="7" a="1"/>
  <c r="FB173" i="7" s="1"/>
  <c r="EX182" i="7" a="1"/>
  <c r="EX182" i="7" s="1"/>
  <c r="FG190" i="7" a="1"/>
  <c r="FG190" i="7" s="1"/>
  <c r="DZ120" i="7" a="1"/>
  <c r="DZ120" i="7" s="1"/>
  <c r="FN164" i="7" a="1"/>
  <c r="FN164" i="7" s="1"/>
  <c r="FS181" i="7" a="1"/>
  <c r="FS181" i="7" s="1"/>
  <c r="FG188" i="7" a="1"/>
  <c r="FG188" i="7" s="1"/>
  <c r="EF195" i="7" a="1"/>
  <c r="EF195" i="7" s="1"/>
  <c r="FS156" i="7" a="1"/>
  <c r="FS156" i="7" s="1"/>
  <c r="FG169" i="7" a="1"/>
  <c r="FG169" i="7" s="1"/>
  <c r="EY180" i="7" a="1"/>
  <c r="EY180" i="7" s="1"/>
  <c r="EQ189" i="7" a="1"/>
  <c r="EQ189" i="7" s="1"/>
  <c r="EQ134" i="7" a="1"/>
  <c r="EQ134" i="7" s="1"/>
  <c r="DT167" i="7" a="1"/>
  <c r="DT167" i="7" s="1"/>
  <c r="EV179" i="7" a="1"/>
  <c r="EV179" i="7" s="1"/>
  <c r="EQ188" i="7" a="1"/>
  <c r="EQ188" i="7" s="1"/>
  <c r="FL145" i="7" a="1"/>
  <c r="FL145" i="7" s="1"/>
  <c r="FD167" i="7" a="1"/>
  <c r="FD167" i="7" s="1"/>
  <c r="FB180" i="7" a="1"/>
  <c r="FB180" i="7" s="1"/>
  <c r="EE189" i="7" a="1"/>
  <c r="EE189" i="7" s="1"/>
  <c r="FK148" i="7" a="1"/>
  <c r="FK148" i="7" s="1"/>
  <c r="FN171" i="7" a="1"/>
  <c r="FN171" i="7" s="1"/>
  <c r="FE183" i="7" a="1"/>
  <c r="FE183" i="7" s="1"/>
  <c r="DR190" i="7" a="1"/>
  <c r="DR190" i="7" s="1"/>
  <c r="FY142" i="7" a="1"/>
  <c r="FY142" i="7" s="1"/>
  <c r="DT166" i="7" a="1"/>
  <c r="DT166" i="7" s="1"/>
  <c r="FK175" i="7" a="1"/>
  <c r="FK175" i="7" s="1"/>
  <c r="FF183" i="7" a="1"/>
  <c r="FF183" i="7" s="1"/>
  <c r="DZ166" i="7" a="1"/>
  <c r="DZ166" i="7" s="1"/>
  <c r="DW192" i="7" a="1"/>
  <c r="DW192" i="7" s="1"/>
  <c r="EQ201" i="7" a="1"/>
  <c r="EQ201" i="7" s="1"/>
  <c r="FX205" i="7" a="1"/>
  <c r="FX205" i="7" s="1"/>
  <c r="EP184" i="7" a="1"/>
  <c r="EP184" i="7" s="1"/>
  <c r="FI198" i="7" a="1"/>
  <c r="FI198" i="7" s="1"/>
  <c r="FA204" i="7" a="1"/>
  <c r="FA204" i="7" s="1"/>
  <c r="DV152" i="7" a="1"/>
  <c r="DV152" i="7" s="1"/>
  <c r="EL189" i="7" a="1"/>
  <c r="EL189" i="7" s="1"/>
  <c r="EH198" i="7" a="1"/>
  <c r="EH198" i="7" s="1"/>
  <c r="EP204" i="7" a="1"/>
  <c r="EP204" i="7" s="1"/>
  <c r="FV208" i="7" a="1"/>
  <c r="FV208" i="7" s="1"/>
  <c r="FL188" i="7" a="1"/>
  <c r="FL188" i="7" s="1"/>
  <c r="EE199" i="7" a="1"/>
  <c r="EE199" i="7" s="1"/>
  <c r="EG204" i="7" a="1"/>
  <c r="EG204" i="7" s="1"/>
  <c r="FK208" i="7" a="1"/>
  <c r="FK208" i="7" s="1"/>
  <c r="FJ184" i="7" a="1"/>
  <c r="FJ184" i="7" s="1"/>
  <c r="DY200" i="7" a="1"/>
  <c r="DY200" i="7" s="1"/>
  <c r="EU205" i="7" a="1"/>
  <c r="EU205" i="7" s="1"/>
  <c r="FB209" i="7" a="1"/>
  <c r="FB209" i="7" s="1"/>
  <c r="EO212" i="7" a="1"/>
  <c r="EO212" i="7" s="1"/>
  <c r="FN185" i="7" a="1"/>
  <c r="FN185" i="7" s="1"/>
  <c r="EL198" i="7" a="1"/>
  <c r="EL198" i="7" s="1"/>
  <c r="EF202" i="7" a="1"/>
  <c r="EF202" i="7" s="1"/>
  <c r="EO207" i="7" a="1"/>
  <c r="EO207" i="7" s="1"/>
  <c r="DS186" i="7" a="1"/>
  <c r="DS186" i="7" s="1"/>
  <c r="EK197" i="7" a="1"/>
  <c r="EK197" i="7" s="1"/>
  <c r="EZ203" i="7" a="1"/>
  <c r="EZ203" i="7" s="1"/>
  <c r="FK207" i="7" a="1"/>
  <c r="FK207" i="7" s="1"/>
  <c r="FH183" i="7" a="1"/>
  <c r="FH183" i="7" s="1"/>
  <c r="FR197" i="7" a="1"/>
  <c r="FR197" i="7" s="1"/>
  <c r="EU204" i="7" a="1"/>
  <c r="EU204" i="7" s="1"/>
  <c r="EM154" i="7" a="1"/>
  <c r="EM154" i="7" s="1"/>
  <c r="DQ189" i="7" a="1"/>
  <c r="DQ189" i="7" s="1"/>
  <c r="GA199" i="7" a="1"/>
  <c r="GA199" i="7" s="1"/>
  <c r="FQ204" i="7" a="1"/>
  <c r="FQ204" i="7" s="1"/>
  <c r="EQ181" i="7" a="1"/>
  <c r="EQ181" i="7" s="1"/>
  <c r="DY191" i="7" a="1"/>
  <c r="DY191" i="7" s="1"/>
  <c r="FB199" i="7" a="1"/>
  <c r="FB199" i="7" s="1"/>
  <c r="FH204" i="7" a="1"/>
  <c r="FH204" i="7" s="1"/>
  <c r="FD199" i="7" a="1"/>
  <c r="FD199" i="7" s="1"/>
  <c r="EY211" i="7" a="1"/>
  <c r="EY211" i="7" s="1"/>
  <c r="DY218" i="7" a="1"/>
  <c r="DY218" i="7" s="1"/>
  <c r="EF221" i="7" a="1"/>
  <c r="EF221" i="7" s="1"/>
  <c r="EM224" i="7" a="1"/>
  <c r="EM224" i="7" s="1"/>
  <c r="ET227" i="7" a="1"/>
  <c r="ET227" i="7" s="1"/>
  <c r="FA230" i="7" a="1"/>
  <c r="FA230" i="7" s="1"/>
  <c r="EI233" i="7" a="1"/>
  <c r="EI233" i="7" s="1"/>
  <c r="FR234" i="7" a="1"/>
  <c r="FR234" i="7" s="1"/>
  <c r="EP236" i="7" a="1"/>
  <c r="EP236" i="7" s="1"/>
  <c r="DV197" i="7" a="1"/>
  <c r="DV197" i="7" s="1"/>
  <c r="FH209" i="7" a="1"/>
  <c r="FH209" i="7" s="1"/>
  <c r="EZ212" i="7" a="1"/>
  <c r="EZ212" i="7" s="1"/>
  <c r="EE215" i="7" a="1"/>
  <c r="EE215" i="7" s="1"/>
  <c r="DS217" i="7" a="1"/>
  <c r="DS217" i="7" s="1"/>
  <c r="FP219" i="7" a="1"/>
  <c r="FP219" i="7" s="1"/>
  <c r="FW222" i="7" a="1"/>
  <c r="FW222" i="7" s="1"/>
  <c r="EU207" i="7" a="1"/>
  <c r="EU207" i="7" s="1"/>
  <c r="FF213" i="7" a="1"/>
  <c r="FF213" i="7" s="1"/>
  <c r="EQ220" i="7" a="1"/>
  <c r="EQ220" i="7" s="1"/>
  <c r="EX223" i="7" a="1"/>
  <c r="EX223" i="7" s="1"/>
  <c r="FE226" i="7" a="1"/>
  <c r="FE226" i="7" s="1"/>
  <c r="DT205" i="7" a="1"/>
  <c r="DT205" i="7" s="1"/>
  <c r="FV210" i="7" a="1"/>
  <c r="FV210" i="7" s="1"/>
  <c r="ED214" i="7" a="1"/>
  <c r="ED214" i="7" s="1"/>
  <c r="DR216" i="7" a="1"/>
  <c r="DR216" i="7" s="1"/>
  <c r="EH218" i="7" a="1"/>
  <c r="EH218" i="7" s="1"/>
  <c r="EO221" i="7" a="1"/>
  <c r="EO221" i="7" s="1"/>
  <c r="EF198" i="7" a="1"/>
  <c r="EF198" i="7" s="1"/>
  <c r="FW209" i="7" a="1"/>
  <c r="FW209" i="7" s="1"/>
  <c r="FG213" i="7" a="1"/>
  <c r="FG213" i="7" s="1"/>
  <c r="EC220" i="7" a="1"/>
  <c r="EC220" i="7" s="1"/>
  <c r="EW193" i="7" a="1"/>
  <c r="EW193" i="7" s="1"/>
  <c r="DW210" i="7" a="1"/>
  <c r="DW210" i="7" s="1"/>
  <c r="EE214" i="7" a="1"/>
  <c r="EE214" i="7" s="1"/>
  <c r="DS216" i="7" a="1"/>
  <c r="DS216" i="7" s="1"/>
  <c r="EI218" i="7" a="1"/>
  <c r="EI218" i="7" s="1"/>
  <c r="EP221" i="7" a="1"/>
  <c r="EP221" i="7" s="1"/>
  <c r="EW224" i="7" a="1"/>
  <c r="EW224" i="7" s="1"/>
  <c r="FW163" i="7" a="1"/>
  <c r="FW163" i="7" s="1"/>
  <c r="EN209" i="7" a="1"/>
  <c r="EN209" i="7" s="1"/>
  <c r="FM212" i="7" a="1"/>
  <c r="FM212" i="7" s="1"/>
  <c r="DR219" i="7" a="1"/>
  <c r="DR219" i="7" s="1"/>
  <c r="DY222" i="7" a="1"/>
  <c r="DY222" i="7" s="1"/>
  <c r="DX202" i="7" a="1"/>
  <c r="DX202" i="7" s="1"/>
  <c r="ET212" i="7" a="1"/>
  <c r="ET212" i="7" s="1"/>
  <c r="DZ215" i="7" a="1"/>
  <c r="DZ215" i="7" s="1"/>
  <c r="FY216" i="7" a="1"/>
  <c r="FY216" i="7" s="1"/>
  <c r="FS219" i="7" a="1"/>
  <c r="FS219" i="7" s="1"/>
  <c r="FZ222" i="7" a="1"/>
  <c r="FZ222" i="7" s="1"/>
  <c r="EF205" i="7" a="1"/>
  <c r="EF205" i="7" s="1"/>
  <c r="ET210" i="7" a="1"/>
  <c r="ET210" i="7" s="1"/>
  <c r="FR213" i="7" a="1"/>
  <c r="FR213" i="7" s="1"/>
  <c r="EM220" i="7" a="1"/>
  <c r="EM220" i="7" s="1"/>
  <c r="DR192" i="7" a="1"/>
  <c r="DR192" i="7" s="1"/>
  <c r="DQ209" i="7" a="1"/>
  <c r="DQ209" i="7" s="1"/>
  <c r="DY214" i="7" a="1"/>
  <c r="DY214" i="7" s="1"/>
  <c r="FX215" i="7" a="1"/>
  <c r="FX215" i="7" s="1"/>
  <c r="EO205" i="7" a="1"/>
  <c r="EO205" i="7" s="1"/>
  <c r="EA211" i="7" a="1"/>
  <c r="EA211" i="7" s="1"/>
  <c r="FB213" i="7" a="1"/>
  <c r="FB213" i="7" s="1"/>
  <c r="DY220" i="7" a="1"/>
  <c r="DY220" i="7" s="1"/>
  <c r="FE155" i="7" a="1"/>
  <c r="FE155" i="7" s="1"/>
  <c r="FM219" i="7" a="1"/>
  <c r="FM219" i="7" s="1"/>
  <c r="FI225" i="7" a="1"/>
  <c r="FI225" i="7" s="1"/>
  <c r="FH229" i="7" a="1"/>
  <c r="FH229" i="7" s="1"/>
  <c r="DR233" i="7" a="1"/>
  <c r="DR233" i="7" s="1"/>
  <c r="FC236" i="7" a="1"/>
  <c r="FC236" i="7" s="1"/>
  <c r="EM216" i="7" a="1"/>
  <c r="EM216" i="7" s="1"/>
  <c r="EV224" i="7" a="1"/>
  <c r="EV224" i="7" s="1"/>
  <c r="EH228" i="7" a="1"/>
  <c r="EH228" i="7" s="1"/>
  <c r="EV231" i="7" a="1"/>
  <c r="EV231" i="7" s="1"/>
  <c r="ET234" i="7" a="1"/>
  <c r="ET234" i="7" s="1"/>
  <c r="FG237" i="7" a="1"/>
  <c r="FG237" i="7" s="1"/>
  <c r="EE239" i="7" a="1"/>
  <c r="EE239" i="7" s="1"/>
  <c r="FX206" i="7" a="1"/>
  <c r="FX206" i="7" s="1"/>
  <c r="FL222" i="7" a="1"/>
  <c r="FL222" i="7" s="1"/>
  <c r="FO226" i="7" a="1"/>
  <c r="FO226" i="7" s="1"/>
  <c r="EM230" i="7" a="1"/>
  <c r="EM230" i="7" s="1"/>
  <c r="EM234" i="7" a="1"/>
  <c r="EM234" i="7" s="1"/>
  <c r="EU209" i="7" a="1"/>
  <c r="EU209" i="7" s="1"/>
  <c r="ER223" i="7" a="1"/>
  <c r="ER223" i="7" s="1"/>
  <c r="EG227" i="7" a="1"/>
  <c r="EG227" i="7" s="1"/>
  <c r="FT230" i="7" a="1"/>
  <c r="FT230" i="7" s="1"/>
  <c r="EA233" i="7" a="1"/>
  <c r="EA233" i="7" s="1"/>
  <c r="FT236" i="7" a="1"/>
  <c r="FT236" i="7" s="1"/>
  <c r="FH238" i="7" a="1"/>
  <c r="FH238" i="7" s="1"/>
  <c r="EF240" i="7" a="1"/>
  <c r="EF240" i="7" s="1"/>
  <c r="ET216" i="7" a="1"/>
  <c r="ET216" i="7" s="1"/>
  <c r="FM223" i="7" a="1"/>
  <c r="FM223" i="7" s="1"/>
  <c r="EX227" i="7" a="1"/>
  <c r="EX227" i="7" s="1"/>
  <c r="FL230" i="7" a="1"/>
  <c r="FL230" i="7" s="1"/>
  <c r="ES235" i="7" a="1"/>
  <c r="ES235" i="7" s="1"/>
  <c r="FO214" i="7" a="1"/>
  <c r="FO214" i="7" s="1"/>
  <c r="EY224" i="7" a="1"/>
  <c r="EY224" i="7" s="1"/>
  <c r="DT228" i="7" a="1"/>
  <c r="DT228" i="7" s="1"/>
  <c r="EP231" i="7" a="1"/>
  <c r="EP231" i="7" s="1"/>
  <c r="EV234" i="7" a="1"/>
  <c r="EV234" i="7" s="1"/>
  <c r="FI237" i="7" a="1"/>
  <c r="FI237" i="7" s="1"/>
  <c r="EG239" i="7" a="1"/>
  <c r="EG239" i="7" s="1"/>
  <c r="FU204" i="7" a="1"/>
  <c r="FU204" i="7" s="1"/>
  <c r="DS222" i="7" a="1"/>
  <c r="DS222" i="7" s="1"/>
  <c r="EX226" i="7" a="1"/>
  <c r="EX226" i="7" s="1"/>
  <c r="DY230" i="7" a="1"/>
  <c r="DY230" i="7" s="1"/>
  <c r="FV233" i="7" a="1"/>
  <c r="FV233" i="7" s="1"/>
  <c r="GA193" i="7" a="1"/>
  <c r="GA193" i="7" s="1"/>
  <c r="FL220" i="7" a="1"/>
  <c r="FL220" i="7" s="1"/>
  <c r="EU225" i="7" a="1"/>
  <c r="EU225" i="7" s="1"/>
  <c r="FR228" i="7" a="1"/>
  <c r="FR228" i="7" s="1"/>
  <c r="DU232" i="7" a="1"/>
  <c r="DU232" i="7" s="1"/>
  <c r="EC236" i="7" a="1"/>
  <c r="EC236" i="7" s="1"/>
  <c r="EO238" i="7" a="1"/>
  <c r="EO238" i="7" s="1"/>
  <c r="FX239" i="7" a="1"/>
  <c r="FX239" i="7" s="1"/>
  <c r="ET215" i="7" a="1"/>
  <c r="ET215" i="7" s="1"/>
  <c r="FJ224" i="7" a="1"/>
  <c r="FJ224" i="7" s="1"/>
  <c r="DX229" i="7" a="1"/>
  <c r="DX229" i="7" s="1"/>
  <c r="ET232" i="7" a="1"/>
  <c r="ET232" i="7" s="1"/>
  <c r="FJ235" i="7" a="1"/>
  <c r="FJ235" i="7" s="1"/>
  <c r="DX216" i="7" a="1"/>
  <c r="DX216" i="7" s="1"/>
  <c r="FU224" i="7" a="1"/>
  <c r="FU224" i="7" s="1"/>
  <c r="EU228" i="7" a="1"/>
  <c r="EU228" i="7" s="1"/>
  <c r="FI231" i="7" a="1"/>
  <c r="FI231" i="7" s="1"/>
  <c r="DY235" i="7" a="1"/>
  <c r="DY235" i="7" s="1"/>
  <c r="FP207" i="7" a="1"/>
  <c r="FP207" i="7" s="1"/>
  <c r="FS220" i="7" a="1"/>
  <c r="FS220" i="7" s="1"/>
  <c r="DX226" i="7" a="1"/>
  <c r="DX226" i="7" s="1"/>
  <c r="DQ229" i="7" a="1"/>
  <c r="DQ229" i="7" s="1"/>
  <c r="EM232" i="7" a="1"/>
  <c r="EM232" i="7" s="1"/>
  <c r="DW236" i="7" a="1"/>
  <c r="DW236" i="7" s="1"/>
  <c r="FB215" i="7" a="1"/>
  <c r="FB215" i="7" s="1"/>
  <c r="EU233" i="7" a="1"/>
  <c r="EU233" i="7" s="1"/>
  <c r="DT241" i="7" a="1"/>
  <c r="DT241" i="7" s="1"/>
  <c r="EA244" i="7" a="1"/>
  <c r="EA244" i="7" s="1"/>
  <c r="EH247" i="7" a="1"/>
  <c r="EH247" i="7" s="1"/>
  <c r="EO250" i="7" a="1"/>
  <c r="EO250" i="7" s="1"/>
  <c r="DW253" i="7" a="1"/>
  <c r="DW253" i="7" s="1"/>
  <c r="FF254" i="7" a="1"/>
  <c r="FF254" i="7" s="1"/>
  <c r="ED256" i="7" a="1"/>
  <c r="ED256" i="7" s="1"/>
  <c r="EW225" i="7" a="1"/>
  <c r="EW225" i="7" s="1"/>
  <c r="FI240" i="7" a="1"/>
  <c r="FI240" i="7" s="1"/>
  <c r="FP243" i="7" a="1"/>
  <c r="FP243" i="7" s="1"/>
  <c r="FW246" i="7" a="1"/>
  <c r="FW246" i="7" s="1"/>
  <c r="DS250" i="7" a="1"/>
  <c r="DS250" i="7" s="1"/>
  <c r="EN223" i="7" a="1"/>
  <c r="EN223" i="7" s="1"/>
  <c r="FS237" i="7" a="1"/>
  <c r="FS237" i="7" s="1"/>
  <c r="DZ242" i="7" a="1"/>
  <c r="DZ242" i="7" s="1"/>
  <c r="EG245" i="7" a="1"/>
  <c r="EG245" i="7" s="1"/>
  <c r="EN248" i="7" a="1"/>
  <c r="EN248" i="7" s="1"/>
  <c r="EU251" i="7" a="1"/>
  <c r="EU251" i="7" s="1"/>
  <c r="FG253" i="7" a="1"/>
  <c r="FG253" i="7" s="1"/>
  <c r="EE255" i="7" a="1"/>
  <c r="EE255" i="7" s="1"/>
  <c r="FN256" i="7" a="1"/>
  <c r="FN256" i="7" s="1"/>
  <c r="EQ229" i="7" a="1"/>
  <c r="EQ229" i="7" s="1"/>
  <c r="EC241" i="7" a="1"/>
  <c r="EC241" i="7" s="1"/>
  <c r="EJ244" i="7" a="1"/>
  <c r="EJ244" i="7" s="1"/>
  <c r="DR164" i="7" a="1"/>
  <c r="DR164" i="7" s="1"/>
  <c r="FB176" i="7" a="1"/>
  <c r="FB176" i="7" s="1"/>
  <c r="EX151" i="7" a="1"/>
  <c r="EX151" i="7" s="1"/>
  <c r="FU183" i="7" a="1"/>
  <c r="FU183" i="7" s="1"/>
  <c r="EA200" i="7" a="1"/>
  <c r="EA200" i="7" s="1"/>
  <c r="EU136" i="7" a="1"/>
  <c r="EU136" i="7" s="1"/>
  <c r="FT159" i="7" a="1"/>
  <c r="FT159" i="7" s="1"/>
  <c r="EJ168" i="7" a="1"/>
  <c r="EJ168" i="7" s="1"/>
  <c r="FM177" i="7" a="1"/>
  <c r="FM177" i="7" s="1"/>
  <c r="EP142" i="7" a="1"/>
  <c r="EP142" i="7" s="1"/>
  <c r="ES175" i="7" a="1"/>
  <c r="ES175" i="7" s="1"/>
  <c r="FW191" i="7" a="1"/>
  <c r="FW191" i="7" s="1"/>
  <c r="FB142" i="7" a="1"/>
  <c r="FB142" i="7" s="1"/>
  <c r="EC139" i="7" a="1"/>
  <c r="EC139" i="7" s="1"/>
  <c r="FB160" i="7" a="1"/>
  <c r="FB160" i="7" s="1"/>
  <c r="DR169" i="7" a="1"/>
  <c r="DR169" i="7" s="1"/>
  <c r="FY129" i="7" a="1"/>
  <c r="FY129" i="7" s="1"/>
  <c r="DU163" i="7" a="1"/>
  <c r="DU163" i="7" s="1"/>
  <c r="FL106" i="7" a="1"/>
  <c r="FL106" i="7" s="1"/>
  <c r="ET159" i="7" a="1"/>
  <c r="ET159" i="7" s="1"/>
  <c r="FY154" i="7" a="1"/>
  <c r="FY154" i="7" s="1"/>
  <c r="FS144" i="7" a="1"/>
  <c r="FS144" i="7" s="1"/>
  <c r="EJ159" i="7" a="1"/>
  <c r="EJ159" i="7" s="1"/>
  <c r="EA177" i="7" a="1"/>
  <c r="EA177" i="7" s="1"/>
  <c r="EO191" i="7" a="1"/>
  <c r="EO191" i="7" s="1"/>
  <c r="FP136" i="7" a="1"/>
  <c r="FP136" i="7" s="1"/>
  <c r="EM172" i="7" a="1"/>
  <c r="EM172" i="7" s="1"/>
  <c r="DU187" i="7" a="1"/>
  <c r="DU187" i="7" s="1"/>
  <c r="DY139" i="7" a="1"/>
  <c r="DY139" i="7" s="1"/>
  <c r="EJ167" i="7" a="1"/>
  <c r="EJ167" i="7" s="1"/>
  <c r="FS183" i="7" a="1"/>
  <c r="FS183" i="7" s="1"/>
  <c r="FR153" i="7" a="1"/>
  <c r="FR153" i="7" s="1"/>
  <c r="EI165" i="7" a="1"/>
  <c r="EI165" i="7" s="1"/>
  <c r="EC175" i="7" a="1"/>
  <c r="EC175" i="7" s="1"/>
  <c r="FG180" i="7" a="1"/>
  <c r="FG180" i="7" s="1"/>
  <c r="DV187" i="7" a="1"/>
  <c r="DV187" i="7" s="1"/>
  <c r="EX143" i="7" a="1"/>
  <c r="EX143" i="7" s="1"/>
  <c r="FM157" i="7" a="1"/>
  <c r="FM157" i="7" s="1"/>
  <c r="DY143" i="7" a="1"/>
  <c r="DY143" i="7" s="1"/>
  <c r="FU158" i="7" a="1"/>
  <c r="FU158" i="7" s="1"/>
  <c r="EB142" i="7" a="1"/>
  <c r="EB142" i="7" s="1"/>
  <c r="EX155" i="7" a="1"/>
  <c r="EX155" i="7" s="1"/>
  <c r="FN166" i="7" a="1"/>
  <c r="FN166" i="7" s="1"/>
  <c r="EE174" i="7" a="1"/>
  <c r="EE174" i="7" s="1"/>
  <c r="FF182" i="7" a="1"/>
  <c r="FF182" i="7" s="1"/>
  <c r="EZ125" i="7" a="1"/>
  <c r="EZ125" i="7" s="1"/>
  <c r="EK161" i="7" a="1"/>
  <c r="EK161" i="7" s="1"/>
  <c r="FT171" i="7" a="1"/>
  <c r="FT171" i="7" s="1"/>
  <c r="EI179" i="7" a="1"/>
  <c r="EI179" i="7" s="1"/>
  <c r="EU188" i="7" a="1"/>
  <c r="EU188" i="7" s="1"/>
  <c r="EV194" i="7" a="1"/>
  <c r="EV194" i="7" s="1"/>
  <c r="ES201" i="7" a="1"/>
  <c r="ES201" i="7" s="1"/>
  <c r="DV205" i="7" a="1"/>
  <c r="DV205" i="7" s="1"/>
  <c r="FE206" i="7" a="1"/>
  <c r="FE206" i="7" s="1"/>
  <c r="EC208" i="7" a="1"/>
  <c r="EC208" i="7" s="1"/>
  <c r="FL209" i="7" a="1"/>
  <c r="FL209" i="7" s="1"/>
  <c r="EJ211" i="7" a="1"/>
  <c r="EJ211" i="7" s="1"/>
  <c r="FS212" i="7" a="1"/>
  <c r="FS212" i="7" s="1"/>
  <c r="EQ214" i="7" a="1"/>
  <c r="EQ214" i="7" s="1"/>
  <c r="FZ215" i="7" a="1"/>
  <c r="FZ215" i="7" s="1"/>
  <c r="FM117" i="7" a="1"/>
  <c r="FM117" i="7" s="1"/>
  <c r="GA156" i="7" a="1"/>
  <c r="GA156" i="7" s="1"/>
  <c r="GA165" i="7" a="1"/>
  <c r="GA165" i="7" s="1"/>
  <c r="DU178" i="7" a="1"/>
  <c r="DU178" i="7" s="1"/>
  <c r="FB184" i="7" a="1"/>
  <c r="FB184" i="7" s="1"/>
  <c r="ER190" i="7" a="1"/>
  <c r="ER190" i="7" s="1"/>
  <c r="EK195" i="7" a="1"/>
  <c r="EK195" i="7" s="1"/>
  <c r="EJ198" i="7" a="1"/>
  <c r="EJ198" i="7" s="1"/>
  <c r="FA201" i="7" a="1"/>
  <c r="FA201" i="7" s="1"/>
  <c r="FN117" i="7" a="1"/>
  <c r="FN117" i="7" s="1"/>
  <c r="FD160" i="7" a="1"/>
  <c r="FD160" i="7" s="1"/>
  <c r="EP170" i="7" a="1"/>
  <c r="EP170" i="7" s="1"/>
  <c r="DS176" i="7" a="1"/>
  <c r="DS176" i="7" s="1"/>
  <c r="DY181" i="7" a="1"/>
  <c r="DY181" i="7" s="1"/>
  <c r="GA186" i="7" a="1"/>
  <c r="GA186" i="7" s="1"/>
  <c r="EQ191" i="7" a="1"/>
  <c r="EQ191" i="7" s="1"/>
  <c r="EL195" i="7" a="1"/>
  <c r="EL195" i="7" s="1"/>
  <c r="DR199" i="7" a="1"/>
  <c r="DR199" i="7" s="1"/>
  <c r="EQ202" i="7" a="1"/>
  <c r="EQ202" i="7" s="1"/>
  <c r="GA204" i="7" a="1"/>
  <c r="GA204" i="7" s="1"/>
  <c r="EY206" i="7" a="1"/>
  <c r="EY206" i="7" s="1"/>
  <c r="DW208" i="7" a="1"/>
  <c r="DW208" i="7" s="1"/>
  <c r="FV117" i="7" a="1"/>
  <c r="FV117" i="7" s="1"/>
  <c r="EC159" i="7" a="1"/>
  <c r="EC159" i="7" s="1"/>
  <c r="ED168" i="7" a="1"/>
  <c r="ED168" i="7" s="1"/>
  <c r="FR173" i="7" a="1"/>
  <c r="FR173" i="7" s="1"/>
  <c r="FV180" i="7" a="1"/>
  <c r="FV180" i="7" s="1"/>
  <c r="FV185" i="7" a="1"/>
  <c r="FV185" i="7" s="1"/>
  <c r="FN190" i="7" a="1"/>
  <c r="FN190" i="7" s="1"/>
  <c r="EA196" i="7" a="1"/>
  <c r="EA196" i="7" s="1"/>
  <c r="FR199" i="7" a="1"/>
  <c r="FR199" i="7" s="1"/>
  <c r="FS203" i="7" a="1"/>
  <c r="FS203" i="7" s="1"/>
  <c r="FZ151" i="7" a="1"/>
  <c r="FZ151" i="7" s="1"/>
  <c r="DX165" i="7" a="1"/>
  <c r="DX165" i="7" s="1"/>
  <c r="FT135" i="7" a="1"/>
  <c r="FT135" i="7" s="1"/>
  <c r="FQ157" i="7" a="1"/>
  <c r="FQ157" i="7" s="1"/>
  <c r="FG172" i="7" a="1"/>
  <c r="FG172" i="7" s="1"/>
  <c r="DY180" i="7" a="1"/>
  <c r="DY180" i="7" s="1"/>
  <c r="EL185" i="7" a="1"/>
  <c r="EL185" i="7" s="1"/>
  <c r="DQ191" i="7" a="1"/>
  <c r="DQ191" i="7" s="1"/>
  <c r="FV194" i="7" a="1"/>
  <c r="FV194" i="7" s="1"/>
  <c r="FD197" i="7" a="1"/>
  <c r="FD197" i="7" s="1"/>
  <c r="FS201" i="7" a="1"/>
  <c r="FS201" i="7" s="1"/>
  <c r="EM143" i="7" a="1"/>
  <c r="EM143" i="7" s="1"/>
  <c r="EP168" i="7" a="1"/>
  <c r="EP168" i="7" s="1"/>
  <c r="DZ178" i="7" a="1"/>
  <c r="DZ178" i="7" s="1"/>
  <c r="DV188" i="7" a="1"/>
  <c r="DV188" i="7" s="1"/>
  <c r="FH195" i="7" a="1"/>
  <c r="FH195" i="7" s="1"/>
  <c r="EF162" i="7" a="1"/>
  <c r="EF162" i="7" s="1"/>
  <c r="EB178" i="7" a="1"/>
  <c r="EB178" i="7" s="1"/>
  <c r="FS186" i="7" a="1"/>
  <c r="FS186" i="7" s="1"/>
  <c r="EQ193" i="7" a="1"/>
  <c r="EQ193" i="7" s="1"/>
  <c r="EC148" i="7" a="1"/>
  <c r="EC148" i="7" s="1"/>
  <c r="DS169" i="7" a="1"/>
  <c r="DS169" i="7" s="1"/>
  <c r="FD178" i="7" a="1"/>
  <c r="FD178" i="7" s="1"/>
  <c r="FU188" i="7" a="1"/>
  <c r="FU188" i="7" s="1"/>
  <c r="ED195" i="7" a="1"/>
  <c r="ED195" i="7" s="1"/>
  <c r="FC124" i="7" a="1"/>
  <c r="FC124" i="7" s="1"/>
  <c r="EJ162" i="7" a="1"/>
  <c r="EJ162" i="7" s="1"/>
  <c r="DT174" i="7" a="1"/>
  <c r="DT174" i="7" s="1"/>
  <c r="ED184" i="7" a="1"/>
  <c r="ED184" i="7" s="1"/>
  <c r="FX191" i="7" a="1"/>
  <c r="FX191" i="7" s="1"/>
  <c r="DY126" i="7" a="1"/>
  <c r="DY126" i="7" s="1"/>
  <c r="ES167" i="7" a="1"/>
  <c r="ES167" i="7" s="1"/>
  <c r="FV182" i="7" a="1"/>
  <c r="FV182" i="7" s="1"/>
  <c r="FV188" i="7" a="1"/>
  <c r="FV188" i="7" s="1"/>
  <c r="EW196" i="7" a="1"/>
  <c r="EW196" i="7" s="1"/>
  <c r="FY157" i="7" a="1"/>
  <c r="FY157" i="7" s="1"/>
  <c r="ED170" i="7" a="1"/>
  <c r="ED170" i="7" s="1"/>
  <c r="EX181" i="7" a="1"/>
  <c r="EX181" i="7" s="1"/>
  <c r="FW189" i="7" a="1"/>
  <c r="FW189" i="7" s="1"/>
  <c r="EF139" i="7" a="1"/>
  <c r="EF139" i="7" s="1"/>
  <c r="EG169" i="7" a="1"/>
  <c r="EG169" i="7" s="1"/>
  <c r="FU179" i="7" a="1"/>
  <c r="FU179" i="7" s="1"/>
  <c r="FI188" i="7" a="1"/>
  <c r="FI188" i="7" s="1"/>
  <c r="DY147" i="7" a="1"/>
  <c r="DY147" i="7" s="1"/>
  <c r="FF168" i="7" a="1"/>
  <c r="FF168" i="7" s="1"/>
  <c r="FY180" i="7" a="1"/>
  <c r="FY180" i="7" s="1"/>
  <c r="FZ189" i="7" a="1"/>
  <c r="FZ189" i="7" s="1"/>
  <c r="DT154" i="7" a="1"/>
  <c r="DT154" i="7" s="1"/>
  <c r="FN172" i="7" a="1"/>
  <c r="FN172" i="7" s="1"/>
  <c r="FZ183" i="7" a="1"/>
  <c r="FZ183" i="7" s="1"/>
  <c r="EE190" i="7" a="1"/>
  <c r="EE190" i="7" s="1"/>
  <c r="EB144" i="7" a="1"/>
  <c r="EB144" i="7" s="1"/>
  <c r="EZ166" i="7" a="1"/>
  <c r="EZ166" i="7" s="1"/>
  <c r="EF176" i="7" a="1"/>
  <c r="EF176" i="7" s="1"/>
  <c r="DS184" i="7" a="1"/>
  <c r="DS184" i="7" s="1"/>
  <c r="FP167" i="7" a="1"/>
  <c r="FP167" i="7" s="1"/>
  <c r="DU194" i="7" a="1"/>
  <c r="DU194" i="7" s="1"/>
  <c r="EZ202" i="7" a="1"/>
  <c r="EZ202" i="7" s="1"/>
  <c r="ET206" i="7" a="1"/>
  <c r="ET206" i="7" s="1"/>
  <c r="FO187" i="7" a="1"/>
  <c r="FO187" i="7" s="1"/>
  <c r="EP199" i="7" a="1"/>
  <c r="EP199" i="7" s="1"/>
  <c r="FK204" i="7" a="1"/>
  <c r="FK204" i="7" s="1"/>
  <c r="EY156" i="7" a="1"/>
  <c r="EY156" i="7" s="1"/>
  <c r="DT190" i="7" a="1"/>
  <c r="DT190" i="7" s="1"/>
  <c r="FY198" i="7" a="1"/>
  <c r="FY198" i="7" s="1"/>
  <c r="FB204" i="7" a="1"/>
  <c r="FB204" i="7" s="1"/>
  <c r="DU209" i="7" a="1"/>
  <c r="DU209" i="7" s="1"/>
  <c r="EG192" i="7" a="1"/>
  <c r="EG192" i="7" s="1"/>
  <c r="ET199" i="7" a="1"/>
  <c r="ET199" i="7" s="1"/>
  <c r="FN204" i="7" a="1"/>
  <c r="FN204" i="7" s="1"/>
  <c r="FW208" i="7" a="1"/>
  <c r="FW208" i="7" s="1"/>
  <c r="FM185" i="7" a="1"/>
  <c r="FM185" i="7" s="1"/>
  <c r="FW200" i="7" a="1"/>
  <c r="FW200" i="7" s="1"/>
  <c r="DQ206" i="7" a="1"/>
  <c r="DQ206" i="7" s="1"/>
  <c r="FK209" i="7" a="1"/>
  <c r="FK209" i="7" s="1"/>
  <c r="DQ124" i="7" a="1"/>
  <c r="DQ124" i="7" s="1"/>
  <c r="DW187" i="7" a="1"/>
  <c r="DW187" i="7" s="1"/>
  <c r="EY198" i="7" a="1"/>
  <c r="EY198" i="7" s="1"/>
  <c r="FC202" i="7" a="1"/>
  <c r="FC202" i="7" s="1"/>
  <c r="FV207" i="7" a="1"/>
  <c r="FV207" i="7" s="1"/>
  <c r="DX187" i="7" a="1"/>
  <c r="DX187" i="7" s="1"/>
  <c r="DW198" i="7" a="1"/>
  <c r="DW198" i="7" s="1"/>
  <c r="FL203" i="7" a="1"/>
  <c r="FL203" i="7" s="1"/>
  <c r="FW207" i="7" a="1"/>
  <c r="FW207" i="7" s="1"/>
  <c r="FM184" i="7" a="1"/>
  <c r="FM184" i="7" s="1"/>
  <c r="DX198" i="7" a="1"/>
  <c r="DX198" i="7" s="1"/>
  <c r="DQ205" i="7" a="1"/>
  <c r="DQ205" i="7" s="1"/>
  <c r="EP158" i="7" a="1"/>
  <c r="EP158" i="7" s="1"/>
  <c r="EK190" i="7" a="1"/>
  <c r="EK190" i="7" s="1"/>
  <c r="EB200" i="7" a="1"/>
  <c r="EB200" i="7" s="1"/>
  <c r="EM205" i="7" a="1"/>
  <c r="EM205" i="7" s="1"/>
  <c r="FI182" i="7" a="1"/>
  <c r="FI182" i="7" s="1"/>
  <c r="FR191" i="7" a="1"/>
  <c r="FR191" i="7" s="1"/>
  <c r="DR200" i="7" a="1"/>
  <c r="DR200" i="7" s="1"/>
  <c r="FR204" i="7" a="1"/>
  <c r="FR204" i="7" s="1"/>
  <c r="EM202" i="7" a="1"/>
  <c r="EM202" i="7" s="1"/>
  <c r="FT211" i="7" a="1"/>
  <c r="FT211" i="7" s="1"/>
  <c r="EN218" i="7" a="1"/>
  <c r="EN218" i="7" s="1"/>
  <c r="EU221" i="7" a="1"/>
  <c r="EU221" i="7" s="1"/>
  <c r="FB224" i="7" a="1"/>
  <c r="FB224" i="7" s="1"/>
  <c r="FI227" i="7" a="1"/>
  <c r="FI227" i="7" s="1"/>
  <c r="FP230" i="7" a="1"/>
  <c r="FP230" i="7" s="1"/>
  <c r="EP233" i="7" a="1"/>
  <c r="EP233" i="7" s="1"/>
  <c r="FY234" i="7" a="1"/>
  <c r="FY234" i="7" s="1"/>
  <c r="EW236" i="7" a="1"/>
  <c r="EW236" i="7" s="1"/>
  <c r="FN199" i="7" a="1"/>
  <c r="FN199" i="7" s="1"/>
  <c r="EE210" i="7" a="1"/>
  <c r="EE210" i="7" s="1"/>
  <c r="DR213" i="7" a="1"/>
  <c r="DR213" i="7" s="1"/>
  <c r="EM215" i="7" a="1"/>
  <c r="EM215" i="7" s="1"/>
  <c r="EA217" i="7" a="1"/>
  <c r="EA217" i="7" s="1"/>
  <c r="DT220" i="7" a="1"/>
  <c r="DT220" i="7" s="1"/>
  <c r="EX161" i="7" a="1"/>
  <c r="EX161" i="7" s="1"/>
  <c r="FX207" i="7" a="1"/>
  <c r="FX207" i="7" s="1"/>
  <c r="ER217" i="7" a="1"/>
  <c r="ER217" i="7" s="1"/>
  <c r="EY220" i="7" a="1"/>
  <c r="EY220" i="7" s="1"/>
  <c r="FF223" i="7" a="1"/>
  <c r="FF223" i="7" s="1"/>
  <c r="FM226" i="7" a="1"/>
  <c r="FM226" i="7" s="1"/>
  <c r="EF206" i="7" a="1"/>
  <c r="EF206" i="7" s="1"/>
  <c r="DU211" i="7" a="1"/>
  <c r="DU211" i="7" s="1"/>
  <c r="EL214" i="7" a="1"/>
  <c r="EL214" i="7" s="1"/>
  <c r="DZ216" i="7" a="1"/>
  <c r="DZ216" i="7" s="1"/>
  <c r="EW218" i="7" a="1"/>
  <c r="EW218" i="7" s="1"/>
  <c r="FD221" i="7" a="1"/>
  <c r="FD221" i="7" s="1"/>
  <c r="DX199" i="7" a="1"/>
  <c r="DX199" i="7" s="1"/>
  <c r="EG210" i="7" a="1"/>
  <c r="EG210" i="7" s="1"/>
  <c r="FP213" i="7" a="1"/>
  <c r="FP213" i="7" s="1"/>
  <c r="EK220" i="7" a="1"/>
  <c r="EK220" i="7" s="1"/>
  <c r="EP198" i="7" a="1"/>
  <c r="EP198" i="7" s="1"/>
  <c r="ER210" i="7" a="1"/>
  <c r="ER210" i="7" s="1"/>
  <c r="EM214" i="7" a="1"/>
  <c r="EM214" i="7" s="1"/>
  <c r="EA216" i="7" a="1"/>
  <c r="EA216" i="7" s="1"/>
  <c r="EX218" i="7" a="1"/>
  <c r="EX218" i="7" s="1"/>
  <c r="FE221" i="7" a="1"/>
  <c r="FE221" i="7" s="1"/>
  <c r="FL224" i="7" a="1"/>
  <c r="FL224" i="7" s="1"/>
  <c r="DU189" i="7" a="1"/>
  <c r="DU189" i="7" s="1"/>
  <c r="EZ209" i="7" a="1"/>
  <c r="EZ209" i="7" s="1"/>
  <c r="FW212" i="7" a="1"/>
  <c r="FW212" i="7" s="1"/>
  <c r="EG219" i="7" a="1"/>
  <c r="EG219" i="7" s="1"/>
  <c r="EN222" i="7" a="1"/>
  <c r="EN222" i="7" s="1"/>
  <c r="FU205" i="7" a="1"/>
  <c r="FU205" i="7" s="1"/>
  <c r="FN212" i="7" a="1"/>
  <c r="FN212" i="7" s="1"/>
  <c r="EH215" i="7" a="1"/>
  <c r="EH215" i="7" s="1"/>
  <c r="DW217" i="7" a="1"/>
  <c r="DW217" i="7" s="1"/>
  <c r="GA219" i="7" a="1"/>
  <c r="GA219" i="7" s="1"/>
  <c r="DW223" i="7" a="1"/>
  <c r="DW223" i="7" s="1"/>
  <c r="FV205" i="7" a="1"/>
  <c r="FV205" i="7" s="1"/>
  <c r="FD210" i="7" a="1"/>
  <c r="FD210" i="7" s="1"/>
  <c r="EU217" i="7" a="1"/>
  <c r="EU217" i="7" s="1"/>
  <c r="FB220" i="7" a="1"/>
  <c r="FB220" i="7" s="1"/>
  <c r="FT193" i="7" a="1"/>
  <c r="FT193" i="7" s="1"/>
  <c r="FO209" i="7" a="1"/>
  <c r="FO209" i="7" s="1"/>
  <c r="EG214" i="7" a="1"/>
  <c r="EG214" i="7" s="1"/>
  <c r="DU216" i="7" a="1"/>
  <c r="DU216" i="7" s="1"/>
  <c r="ES206" i="7" a="1"/>
  <c r="ES206" i="7" s="1"/>
  <c r="EL211" i="7" a="1"/>
  <c r="EL211" i="7" s="1"/>
  <c r="FT213" i="7" a="1"/>
  <c r="FT213" i="7" s="1"/>
  <c r="EN220" i="7" a="1"/>
  <c r="EN220" i="7" s="1"/>
  <c r="DQ201" i="7" a="1"/>
  <c r="DQ201" i="7" s="1"/>
  <c r="DZ220" i="7" a="1"/>
  <c r="DZ220" i="7" s="1"/>
  <c r="DQ226" i="7" a="1"/>
  <c r="DQ226" i="7" s="1"/>
  <c r="FP229" i="7" a="1"/>
  <c r="FP229" i="7" s="1"/>
  <c r="EG233" i="7" a="1"/>
  <c r="EG233" i="7" s="1"/>
  <c r="FZ236" i="7" a="1"/>
  <c r="FZ236" i="7" s="1"/>
  <c r="FM216" i="7" a="1"/>
  <c r="FM216" i="7" s="1"/>
  <c r="FF224" i="7" a="1"/>
  <c r="FF224" i="7" s="1"/>
  <c r="EP228" i="7" a="1"/>
  <c r="EP228" i="7" s="1"/>
  <c r="FD231" i="7" a="1"/>
  <c r="FD231" i="7" s="1"/>
  <c r="FI234" i="7" a="1"/>
  <c r="FI234" i="7" s="1"/>
  <c r="FN237" i="7" a="1"/>
  <c r="FN237" i="7" s="1"/>
  <c r="EL239" i="7" a="1"/>
  <c r="EL239" i="7" s="1"/>
  <c r="ET209" i="7" a="1"/>
  <c r="ET209" i="7" s="1"/>
  <c r="EF223" i="7" a="1"/>
  <c r="EF223" i="7" s="1"/>
  <c r="FX226" i="7" a="1"/>
  <c r="FX226" i="7" s="1"/>
  <c r="EU230" i="7" a="1"/>
  <c r="EU230" i="7" s="1"/>
  <c r="FB234" i="7" a="1"/>
  <c r="FB234" i="7" s="1"/>
  <c r="ES213" i="7" a="1"/>
  <c r="ES213" i="7" s="1"/>
  <c r="FV223" i="7" a="1"/>
  <c r="FV223" i="7" s="1"/>
  <c r="FF227" i="7" a="1"/>
  <c r="FF227" i="7" s="1"/>
  <c r="DQ231" i="7" a="1"/>
  <c r="DQ231" i="7" s="1"/>
  <c r="EX233" i="7" a="1"/>
  <c r="EX233" i="7" s="1"/>
  <c r="DX237" i="7" a="1"/>
  <c r="DX237" i="7" s="1"/>
  <c r="FO238" i="7" a="1"/>
  <c r="FO238" i="7" s="1"/>
  <c r="EM240" i="7" a="1"/>
  <c r="EM240" i="7" s="1"/>
  <c r="EN217" i="7" a="1"/>
  <c r="EN217" i="7" s="1"/>
  <c r="FW223" i="7" a="1"/>
  <c r="FW223" i="7" s="1"/>
  <c r="EJ228" i="7" a="1"/>
  <c r="EJ228" i="7" s="1"/>
  <c r="ER232" i="7" a="1"/>
  <c r="ER232" i="7" s="1"/>
  <c r="FH235" i="7" a="1"/>
  <c r="FH235" i="7" s="1"/>
  <c r="EL215" i="7" a="1"/>
  <c r="EL215" i="7" s="1"/>
  <c r="FH224" i="7" a="1"/>
  <c r="FH224" i="7" s="1"/>
  <c r="EK228" i="7" a="1"/>
  <c r="EK228" i="7" s="1"/>
  <c r="EY231" i="7" a="1"/>
  <c r="EY231" i="7" s="1"/>
  <c r="FS234" i="7" a="1"/>
  <c r="FS234" i="7" s="1"/>
  <c r="FP237" i="7" a="1"/>
  <c r="FP237" i="7" s="1"/>
  <c r="EN239" i="7" a="1"/>
  <c r="EN239" i="7" s="1"/>
  <c r="FP208" i="7" a="1"/>
  <c r="FP208" i="7" s="1"/>
  <c r="EQ222" i="7" a="1"/>
  <c r="EQ222" i="7" s="1"/>
  <c r="FH226" i="7" a="1"/>
  <c r="FH226" i="7" s="1"/>
  <c r="EG230" i="7" a="1"/>
  <c r="EG230" i="7" s="1"/>
  <c r="DZ234" i="7" a="1"/>
  <c r="DZ234" i="7" s="1"/>
  <c r="ES207" i="7" a="1"/>
  <c r="ES207" i="7" s="1"/>
  <c r="FB221" i="7" a="1"/>
  <c r="FB221" i="7" s="1"/>
  <c r="FD225" i="7" a="1"/>
  <c r="FD225" i="7" s="1"/>
  <c r="FZ228" i="7" a="1"/>
  <c r="FZ228" i="7" s="1"/>
  <c r="EC232" i="7" a="1"/>
  <c r="EC232" i="7" s="1"/>
  <c r="ER236" i="7" a="1"/>
  <c r="ER236" i="7" s="1"/>
  <c r="EV238" i="7" a="1"/>
  <c r="EV238" i="7" s="1"/>
  <c r="DT240" i="7" a="1"/>
  <c r="DT240" i="7" s="1"/>
  <c r="FB216" i="7" a="1"/>
  <c r="FB216" i="7" s="1"/>
  <c r="EL225" i="7" a="1"/>
  <c r="EL225" i="7" s="1"/>
  <c r="EF229" i="7" a="1"/>
  <c r="EF229" i="7" s="1"/>
  <c r="FB232" i="7" a="1"/>
  <c r="FB232" i="7" s="1"/>
  <c r="DV236" i="7" a="1"/>
  <c r="DV236" i="7" s="1"/>
  <c r="FC216" i="7" a="1"/>
  <c r="FC216" i="7" s="1"/>
  <c r="DS225" i="7" a="1"/>
  <c r="DS225" i="7" s="1"/>
  <c r="FC228" i="7" a="1"/>
  <c r="FC228" i="7" s="1"/>
  <c r="FQ231" i="7" a="1"/>
  <c r="FQ231" i="7" s="1"/>
  <c r="EN235" i="7" a="1"/>
  <c r="EN235" i="7" s="1"/>
  <c r="DS209" i="7" a="1"/>
  <c r="DS209" i="7" s="1"/>
  <c r="EK221" i="7" a="1"/>
  <c r="EK221" i="7" s="1"/>
  <c r="EG226" i="7" a="1"/>
  <c r="EG226" i="7" s="1"/>
  <c r="DY229" i="7" a="1"/>
  <c r="DY229" i="7" s="1"/>
  <c r="EU232" i="7" a="1"/>
  <c r="EU232" i="7" s="1"/>
  <c r="EL236" i="7" a="1"/>
  <c r="EL236" i="7" s="1"/>
  <c r="FD217" i="7" a="1"/>
  <c r="FD217" i="7" s="1"/>
  <c r="FL235" i="7" a="1"/>
  <c r="FL235" i="7" s="1"/>
  <c r="EI241" i="7" a="1"/>
  <c r="EI241" i="7" s="1"/>
  <c r="EP244" i="7" a="1"/>
  <c r="EP244" i="7" s="1"/>
  <c r="EW247" i="7" a="1"/>
  <c r="EW247" i="7" s="1"/>
  <c r="FD250" i="7" a="1"/>
  <c r="FD250" i="7" s="1"/>
  <c r="ED253" i="7" a="1"/>
  <c r="ED253" i="7" s="1"/>
  <c r="FM254" i="7" a="1"/>
  <c r="FM254" i="7" s="1"/>
  <c r="EK256" i="7" a="1"/>
  <c r="EK256" i="7" s="1"/>
  <c r="DY228" i="7" a="1"/>
  <c r="DY228" i="7" s="1"/>
  <c r="FX240" i="7" a="1"/>
  <c r="FX240" i="7" s="1"/>
  <c r="DT244" i="7" a="1"/>
  <c r="DT244" i="7" s="1"/>
  <c r="EA247" i="7" a="1"/>
  <c r="EA247" i="7" s="1"/>
  <c r="EH250" i="7" a="1"/>
  <c r="EH250" i="7" s="1"/>
  <c r="DZ224" i="7" a="1"/>
  <c r="DZ224" i="7" s="1"/>
  <c r="ED238" i="7" a="1"/>
  <c r="ED238" i="7" s="1"/>
  <c r="EO242" i="7" a="1"/>
  <c r="EO242" i="7" s="1"/>
  <c r="EV245" i="7" a="1"/>
  <c r="EV245" i="7" s="1"/>
  <c r="FC248" i="7" a="1"/>
  <c r="FC248" i="7" s="1"/>
  <c r="FJ251" i="7" a="1"/>
  <c r="FJ251" i="7" s="1"/>
  <c r="FN253" i="7" a="1"/>
  <c r="FN253" i="7" s="1"/>
  <c r="EL255" i="7" a="1"/>
  <c r="EL255" i="7" s="1"/>
  <c r="FU256" i="7" a="1"/>
  <c r="FU256" i="7" s="1"/>
  <c r="DT230" i="7" a="1"/>
  <c r="DT230" i="7" s="1"/>
  <c r="ER241" i="7" a="1"/>
  <c r="ER241" i="7" s="1"/>
  <c r="EY244" i="7" a="1"/>
  <c r="EY244" i="7" s="1"/>
  <c r="DZ164" i="7" a="1"/>
  <c r="DZ164" i="7" s="1"/>
  <c r="FJ176" i="7" a="1"/>
  <c r="FJ176" i="7" s="1"/>
  <c r="EO154" i="7" a="1"/>
  <c r="EO154" i="7" s="1"/>
  <c r="DY184" i="7" a="1"/>
  <c r="DY184" i="7" s="1"/>
  <c r="ED201" i="7" a="1"/>
  <c r="ED201" i="7" s="1"/>
  <c r="FH136" i="7" a="1"/>
  <c r="FH136" i="7" s="1"/>
  <c r="DZ160" i="7" a="1"/>
  <c r="DZ160" i="7" s="1"/>
  <c r="ER168" i="7" a="1"/>
  <c r="ER168" i="7" s="1"/>
  <c r="DS178" i="7" a="1"/>
  <c r="DS178" i="7" s="1"/>
  <c r="FW142" i="7" a="1"/>
  <c r="FW142" i="7" s="1"/>
  <c r="DQ177" i="7" a="1"/>
  <c r="DQ177" i="7" s="1"/>
  <c r="EA192" i="7" a="1"/>
  <c r="EA192" i="7" s="1"/>
  <c r="FN57" i="7" a="1"/>
  <c r="FN57" i="7" s="1"/>
  <c r="EZ139" i="7" a="1"/>
  <c r="EZ139" i="7" s="1"/>
  <c r="EN161" i="7" a="1"/>
  <c r="EN161" i="7" s="1"/>
  <c r="DZ169" i="7" a="1"/>
  <c r="DZ169" i="7" s="1"/>
  <c r="FZ133" i="7" a="1"/>
  <c r="FZ133" i="7" s="1"/>
  <c r="FH163" i="7" a="1"/>
  <c r="FH163" i="7" s="1"/>
  <c r="FH112" i="7" a="1"/>
  <c r="FH112" i="7" s="1"/>
  <c r="FG159" i="7" a="1"/>
  <c r="FG159" i="7" s="1"/>
  <c r="FQ155" i="7" a="1"/>
  <c r="FQ155" i="7" s="1"/>
  <c r="DY145" i="7" a="1"/>
  <c r="DY145" i="7" s="1"/>
  <c r="FO159" i="7" a="1"/>
  <c r="FO159" i="7" s="1"/>
  <c r="EK177" i="7" a="1"/>
  <c r="EK177" i="7" s="1"/>
  <c r="FP191" i="7" a="1"/>
  <c r="FP191" i="7" s="1"/>
  <c r="DQ139" i="7" a="1"/>
  <c r="DQ139" i="7" s="1"/>
  <c r="DZ173" i="7" a="1"/>
  <c r="DZ173" i="7" s="1"/>
  <c r="FM187" i="7" a="1"/>
  <c r="FM187" i="7" s="1"/>
  <c r="FB141" i="7" a="1"/>
  <c r="FB141" i="7" s="1"/>
  <c r="EV167" i="7" a="1"/>
  <c r="EV167" i="7" s="1"/>
  <c r="EI184" i="7" a="1"/>
  <c r="EI184" i="7" s="1"/>
  <c r="EA154" i="7" a="1"/>
  <c r="EA154" i="7" s="1"/>
  <c r="DY166" i="7" a="1"/>
  <c r="DY166" i="7" s="1"/>
  <c r="EO175" i="7" a="1"/>
  <c r="EO175" i="7" s="1"/>
  <c r="FD182" i="7" a="1"/>
  <c r="FD182" i="7" s="1"/>
  <c r="EE187" i="7" a="1"/>
  <c r="EE187" i="7" s="1"/>
  <c r="FV143" i="7" a="1"/>
  <c r="FV143" i="7" s="1"/>
  <c r="DW158" i="7" a="1"/>
  <c r="DW158" i="7" s="1"/>
  <c r="FR144" i="7" a="1"/>
  <c r="FR144" i="7" s="1"/>
  <c r="DZ159" i="7" a="1"/>
  <c r="DZ159" i="7" s="1"/>
  <c r="FI142" i="7" a="1"/>
  <c r="FI142" i="7" s="1"/>
  <c r="FV155" i="7" a="1"/>
  <c r="FV155" i="7" s="1"/>
  <c r="EB167" i="7" a="1"/>
  <c r="EB167" i="7" s="1"/>
  <c r="ER176" i="7" a="1"/>
  <c r="ER176" i="7" s="1"/>
  <c r="FO182" i="7" a="1"/>
  <c r="FO182" i="7" s="1"/>
  <c r="FV130" i="7" a="1"/>
  <c r="FV130" i="7" s="1"/>
  <c r="FF161" i="7" a="1"/>
  <c r="FF161" i="7" s="1"/>
  <c r="EF172" i="7" a="1"/>
  <c r="EF172" i="7" s="1"/>
  <c r="EZ179" i="7" a="1"/>
  <c r="EZ179" i="7" s="1"/>
  <c r="FY188" i="7" a="1"/>
  <c r="FY188" i="7" s="1"/>
  <c r="FZ194" i="7" a="1"/>
  <c r="FZ194" i="7" s="1"/>
  <c r="FH201" i="7" a="1"/>
  <c r="FH201" i="7" s="1"/>
  <c r="EC205" i="7" a="1"/>
  <c r="EC205" i="7" s="1"/>
  <c r="FL206" i="7" a="1"/>
  <c r="FL206" i="7" s="1"/>
  <c r="EJ208" i="7" a="1"/>
  <c r="EJ208" i="7" s="1"/>
  <c r="FS209" i="7" a="1"/>
  <c r="FS209" i="7" s="1"/>
  <c r="EQ211" i="7" a="1"/>
  <c r="EQ211" i="7" s="1"/>
  <c r="FZ212" i="7" a="1"/>
  <c r="FZ212" i="7" s="1"/>
  <c r="EX214" i="7" a="1"/>
  <c r="EX214" i="7" s="1"/>
  <c r="DV216" i="7" a="1"/>
  <c r="DV216" i="7" s="1"/>
  <c r="EU122" i="7" a="1"/>
  <c r="EU122" i="7" s="1"/>
  <c r="FB157" i="7" a="1"/>
  <c r="FB157" i="7" s="1"/>
  <c r="FB166" i="7" a="1"/>
  <c r="FB166" i="7" s="1"/>
  <c r="EJ178" i="7" a="1"/>
  <c r="EJ178" i="7" s="1"/>
  <c r="FO184" i="7" a="1"/>
  <c r="FO184" i="7" s="1"/>
  <c r="EF191" i="7" a="1"/>
  <c r="EF191" i="7" s="1"/>
  <c r="EU195" i="7" a="1"/>
  <c r="EU195" i="7" s="1"/>
  <c r="ES198" i="7" a="1"/>
  <c r="ES198" i="7" s="1"/>
  <c r="FP201" i="7" a="1"/>
  <c r="FP201" i="7" s="1"/>
  <c r="DW131" i="7" a="1"/>
  <c r="DW131" i="7" s="1"/>
  <c r="DR161" i="7" a="1"/>
  <c r="DR161" i="7" s="1"/>
  <c r="FH170" i="7" a="1"/>
  <c r="FH170" i="7" s="1"/>
  <c r="EJ176" i="7" a="1"/>
  <c r="EJ176" i="7" s="1"/>
  <c r="EK181" i="7" a="1"/>
  <c r="EK181" i="7" s="1"/>
  <c r="FF187" i="7" a="1"/>
  <c r="FF187" i="7" s="1"/>
  <c r="FB191" i="7" a="1"/>
  <c r="FB191" i="7" s="1"/>
  <c r="FF195" i="7" a="1"/>
  <c r="FF195" i="7" s="1"/>
  <c r="EI199" i="7" a="1"/>
  <c r="EI199" i="7" s="1"/>
  <c r="FN202" i="7" a="1"/>
  <c r="FN202" i="7" s="1"/>
  <c r="DW205" i="7" a="1"/>
  <c r="DW205" i="7" s="1"/>
  <c r="FF206" i="7" a="1"/>
  <c r="FF206" i="7" s="1"/>
  <c r="ED208" i="7" a="1"/>
  <c r="ED208" i="7" s="1"/>
  <c r="FJ122" i="7" a="1"/>
  <c r="FJ122" i="7" s="1"/>
  <c r="FJ159" i="7" a="1"/>
  <c r="FJ159" i="7" s="1"/>
  <c r="EX168" i="7" a="1"/>
  <c r="EX168" i="7" s="1"/>
  <c r="EU174" i="7" a="1"/>
  <c r="EU174" i="7" s="1"/>
  <c r="DZ181" i="7" a="1"/>
  <c r="DZ181" i="7" s="1"/>
  <c r="FM186" i="7" a="1"/>
  <c r="FM186" i="7" s="1"/>
  <c r="DW191" i="7" a="1"/>
  <c r="DW191" i="7" s="1"/>
  <c r="FE196" i="7" a="1"/>
  <c r="FE196" i="7" s="1"/>
  <c r="FZ199" i="7" a="1"/>
  <c r="FZ199" i="7" s="1"/>
  <c r="FL91" i="7" a="1"/>
  <c r="FL91" i="7" s="1"/>
  <c r="FE152" i="7" a="1"/>
  <c r="FE152" i="7" s="1"/>
  <c r="EP165" i="7" a="1"/>
  <c r="EP165" i="7" s="1"/>
  <c r="DT137" i="7" a="1"/>
  <c r="DT137" i="7" s="1"/>
  <c r="EP159" i="7" a="1"/>
  <c r="EP159" i="7" s="1"/>
  <c r="DR173" i="7" a="1"/>
  <c r="DR173" i="7" s="1"/>
  <c r="EL180" i="7" a="1"/>
  <c r="EL180" i="7" s="1"/>
  <c r="EZ185" i="7" a="1"/>
  <c r="EZ185" i="7" s="1"/>
  <c r="EU191" i="7" a="1"/>
  <c r="EU191" i="7" s="1"/>
  <c r="DU195" i="7" a="1"/>
  <c r="DU195" i="7" s="1"/>
  <c r="FN197" i="7" a="1"/>
  <c r="FN197" i="7" s="1"/>
  <c r="EE202" i="7" a="1"/>
  <c r="EE202" i="7" s="1"/>
  <c r="FP150" i="7" a="1"/>
  <c r="FP150" i="7" s="1"/>
  <c r="DQ169" i="7" a="1"/>
  <c r="DQ169" i="7" s="1"/>
  <c r="EV178" i="7" a="1"/>
  <c r="EV178" i="7" s="1"/>
  <c r="FR188" i="7" a="1"/>
  <c r="FR188" i="7" s="1"/>
  <c r="FW195" i="7" a="1"/>
  <c r="FW195" i="7" s="1"/>
  <c r="EU163" i="7" a="1"/>
  <c r="EU163" i="7" s="1"/>
  <c r="FZ178" i="7" a="1"/>
  <c r="FZ178" i="7" s="1"/>
  <c r="EA187" i="7" a="1"/>
  <c r="EA187" i="7" s="1"/>
  <c r="FF193" i="7" a="1"/>
  <c r="FF193" i="7" s="1"/>
  <c r="FL154" i="7" a="1"/>
  <c r="FL154" i="7" s="1"/>
  <c r="EA170" i="7" a="1"/>
  <c r="EA170" i="7" s="1"/>
  <c r="EQ179" i="7" a="1"/>
  <c r="EQ179" i="7" s="1"/>
  <c r="DW189" i="7" a="1"/>
  <c r="DW189" i="7" s="1"/>
  <c r="FX195" i="7" a="1"/>
  <c r="FX195" i="7" s="1"/>
  <c r="DX130" i="7" a="1"/>
  <c r="DX130" i="7" s="1"/>
  <c r="FV162" i="7" a="1"/>
  <c r="FV162" i="7" s="1"/>
  <c r="DQ175" i="7" a="1"/>
  <c r="DQ175" i="7" s="1"/>
  <c r="FU184" i="7" a="1"/>
  <c r="FU184" i="7" s="1"/>
  <c r="EB192" i="7" a="1"/>
  <c r="EB192" i="7" s="1"/>
  <c r="EL134" i="7" a="1"/>
  <c r="EL134" i="7" s="1"/>
  <c r="DW172" i="7" a="1"/>
  <c r="DW172" i="7" s="1"/>
  <c r="ED183" i="7" a="1"/>
  <c r="ED183" i="7" s="1"/>
  <c r="EP189" i="7" a="1"/>
  <c r="EP189" i="7" s="1"/>
  <c r="FL196" i="7" a="1"/>
  <c r="FL196" i="7" s="1"/>
  <c r="FX158" i="7" a="1"/>
  <c r="FX158" i="7" s="1"/>
  <c r="EC171" i="7" a="1"/>
  <c r="EC171" i="7" s="1"/>
  <c r="FT181" i="7" a="1"/>
  <c r="FT181" i="7" s="1"/>
  <c r="EC190" i="7" a="1"/>
  <c r="EC190" i="7" s="1"/>
  <c r="FV140" i="7" a="1"/>
  <c r="FV140" i="7" s="1"/>
  <c r="FP169" i="7" a="1"/>
  <c r="FP169" i="7" s="1"/>
  <c r="FS180" i="7" a="1"/>
  <c r="FS180" i="7" s="1"/>
  <c r="FX188" i="7" a="1"/>
  <c r="FX188" i="7" s="1"/>
  <c r="DS150" i="7" a="1"/>
  <c r="DS150" i="7" s="1"/>
  <c r="EH170" i="7" a="1"/>
  <c r="EH170" i="7" s="1"/>
  <c r="FB181" i="7" a="1"/>
  <c r="FB181" i="7" s="1"/>
  <c r="ED190" i="7" a="1"/>
  <c r="ED190" i="7" s="1"/>
  <c r="EC156" i="7" a="1"/>
  <c r="EC156" i="7" s="1"/>
  <c r="EH173" i="7" a="1"/>
  <c r="EH173" i="7" s="1"/>
  <c r="FF184" i="7" a="1"/>
  <c r="FF184" i="7" s="1"/>
  <c r="EW190" i="7" a="1"/>
  <c r="EW190" i="7" s="1"/>
  <c r="FO145" i="7" a="1"/>
  <c r="FO145" i="7" s="1"/>
  <c r="EA167" i="7" a="1"/>
  <c r="EA167" i="7" s="1"/>
  <c r="FI176" i="7" a="1"/>
  <c r="FI176" i="7" s="1"/>
  <c r="EK184" i="7" a="1"/>
  <c r="EK184" i="7" s="1"/>
  <c r="FU169" i="7" a="1"/>
  <c r="FU169" i="7" s="1"/>
  <c r="FP194" i="7" a="1"/>
  <c r="FP194" i="7" s="1"/>
  <c r="FW202" i="7" a="1"/>
  <c r="FW202" i="7" s="1"/>
  <c r="FD206" i="7" a="1"/>
  <c r="FD206" i="7" s="1"/>
  <c r="EY188" i="7" a="1"/>
  <c r="EY188" i="7" s="1"/>
  <c r="DU200" i="7" a="1"/>
  <c r="DU200" i="7" s="1"/>
  <c r="FW204" i="7" a="1"/>
  <c r="FW204" i="7" s="1"/>
  <c r="FZ159" i="7" a="1"/>
  <c r="FZ159" i="7" s="1"/>
  <c r="FO190" i="7" a="1"/>
  <c r="FO190" i="7" s="1"/>
  <c r="ED199" i="7" a="1"/>
  <c r="ED199" i="7" s="1"/>
  <c r="DX205" i="7" a="1"/>
  <c r="DX205" i="7" s="1"/>
  <c r="EG209" i="7" a="1"/>
  <c r="EG209" i="7" s="1"/>
  <c r="EJ193" i="7" a="1"/>
  <c r="EJ193" i="7" s="1"/>
  <c r="FV199" i="7" a="1"/>
  <c r="FV199" i="7" s="1"/>
  <c r="FX204" i="7" a="1"/>
  <c r="FX204" i="7" s="1"/>
  <c r="FA209" i="7" a="1"/>
  <c r="FA209" i="7" s="1"/>
  <c r="DU190" i="7" a="1"/>
  <c r="DU190" i="7" s="1"/>
  <c r="EI201" i="7" a="1"/>
  <c r="EI201" i="7" s="1"/>
  <c r="EA206" i="7" a="1"/>
  <c r="EA206" i="7" s="1"/>
  <c r="DT210" i="7" a="1"/>
  <c r="DT210" i="7" s="1"/>
  <c r="FX139" i="7" a="1"/>
  <c r="FX139" i="7" s="1"/>
  <c r="DT188" i="7" a="1"/>
  <c r="DT188" i="7" s="1"/>
  <c r="FO198" i="7" a="1"/>
  <c r="FO198" i="7" s="1"/>
  <c r="FZ202" i="7" a="1"/>
  <c r="FZ202" i="7" s="1"/>
  <c r="FB127" i="7" a="1"/>
  <c r="FB127" i="7" s="1"/>
  <c r="DU188" i="7" a="1"/>
  <c r="DU188" i="7" s="1"/>
  <c r="EZ198" i="7" a="1"/>
  <c r="EZ198" i="7" s="1"/>
  <c r="FW203" i="7" a="1"/>
  <c r="FW203" i="7" s="1"/>
  <c r="FX128" i="7" a="1"/>
  <c r="FX128" i="7" s="1"/>
  <c r="DT186" i="7" a="1"/>
  <c r="DT186" i="7" s="1"/>
  <c r="DU199" i="7" a="1"/>
  <c r="DU199" i="7" s="1"/>
  <c r="EA205" i="7" a="1"/>
  <c r="EA205" i="7" s="1"/>
  <c r="FU160" i="7" a="1"/>
  <c r="FU160" i="7" s="1"/>
  <c r="FQ191" i="7" a="1"/>
  <c r="FQ191" i="7" s="1"/>
  <c r="EO200" i="7" a="1"/>
  <c r="EO200" i="7" s="1"/>
  <c r="EW205" i="7" a="1"/>
  <c r="EW205" i="7" s="1"/>
  <c r="FO183" i="7" a="1"/>
  <c r="FO183" i="7" s="1"/>
  <c r="EZ193" i="7" a="1"/>
  <c r="EZ193" i="7" s="1"/>
  <c r="EC200" i="7" a="1"/>
  <c r="EC200" i="7" s="1"/>
  <c r="DS205" i="7" a="1"/>
  <c r="DS205" i="7" s="1"/>
  <c r="DU203" i="7" a="1"/>
  <c r="DU203" i="7" s="1"/>
  <c r="ED212" i="7" a="1"/>
  <c r="ED212" i="7" s="1"/>
  <c r="FC218" i="7" a="1"/>
  <c r="FC218" i="7" s="1"/>
  <c r="FJ221" i="7" a="1"/>
  <c r="FJ221" i="7" s="1"/>
  <c r="FQ224" i="7" a="1"/>
  <c r="FQ224" i="7" s="1"/>
  <c r="FX227" i="7" a="1"/>
  <c r="FX227" i="7" s="1"/>
  <c r="DT231" i="7" a="1"/>
  <c r="DT231" i="7" s="1"/>
  <c r="EW233" i="7" a="1"/>
  <c r="EW233" i="7" s="1"/>
  <c r="DU235" i="7" a="1"/>
  <c r="DU235" i="7" s="1"/>
  <c r="FD236" i="7" a="1"/>
  <c r="FD236" i="7" s="1"/>
  <c r="ER200" i="7" a="1"/>
  <c r="ER200" i="7" s="1"/>
  <c r="EO210" i="7" a="1"/>
  <c r="EO210" i="7" s="1"/>
  <c r="EL213" i="7" a="1"/>
  <c r="EL213" i="7" s="1"/>
  <c r="EU215" i="7" a="1"/>
  <c r="EU215" i="7" s="1"/>
  <c r="EI217" i="7" a="1"/>
  <c r="EI217" i="7" s="1"/>
  <c r="EI220" i="7" a="1"/>
  <c r="EI220" i="7" s="1"/>
  <c r="DW178" i="7" a="1"/>
  <c r="DW178" i="7" s="1"/>
  <c r="EB208" i="7" a="1"/>
  <c r="EB208" i="7" s="1"/>
  <c r="FG217" i="7" a="1"/>
  <c r="FG217" i="7" s="1"/>
  <c r="FN220" i="7" a="1"/>
  <c r="FN220" i="7" s="1"/>
  <c r="FU223" i="7" a="1"/>
  <c r="FU223" i="7" s="1"/>
  <c r="DQ227" i="7" a="1"/>
  <c r="DQ227" i="7" s="1"/>
  <c r="FK206" i="7" a="1"/>
  <c r="FK206" i="7" s="1"/>
  <c r="EF211" i="7" a="1"/>
  <c r="EF211" i="7" s="1"/>
  <c r="ET214" i="7" a="1"/>
  <c r="ET214" i="7" s="1"/>
  <c r="EH216" i="7" a="1"/>
  <c r="EH216" i="7" s="1"/>
  <c r="FL218" i="7" a="1"/>
  <c r="FL218" i="7" s="1"/>
  <c r="FS221" i="7" a="1"/>
  <c r="FS221" i="7" s="1"/>
  <c r="EF201" i="7" a="1"/>
  <c r="EF201" i="7" s="1"/>
  <c r="FB210" i="7" a="1"/>
  <c r="FB210" i="7" s="1"/>
  <c r="ES217" i="7" a="1"/>
  <c r="ES217" i="7" s="1"/>
  <c r="EZ220" i="7" a="1"/>
  <c r="EZ220" i="7" s="1"/>
  <c r="DQ200" i="7" a="1"/>
  <c r="DQ200" i="7" s="1"/>
  <c r="FM210" i="7" a="1"/>
  <c r="FM210" i="7" s="1"/>
  <c r="EU214" i="7" a="1"/>
  <c r="EU214" i="7" s="1"/>
  <c r="EI216" i="7" a="1"/>
  <c r="EI216" i="7" s="1"/>
  <c r="FF218" i="7" a="1"/>
  <c r="FF218" i="7" s="1"/>
  <c r="FM221" i="7" a="1"/>
  <c r="FM221" i="7" s="1"/>
  <c r="FT224" i="7" a="1"/>
  <c r="FT224" i="7" s="1"/>
  <c r="EL191" i="7" a="1"/>
  <c r="EL191" i="7" s="1"/>
  <c r="FM209" i="7" a="1"/>
  <c r="FM209" i="7" s="1"/>
  <c r="DU213" i="7" a="1"/>
  <c r="DU213" i="7" s="1"/>
  <c r="EV219" i="7" a="1"/>
  <c r="EV219" i="7" s="1"/>
  <c r="FC222" i="7" a="1"/>
  <c r="FC222" i="7" s="1"/>
  <c r="FO206" i="7" a="1"/>
  <c r="FO206" i="7" s="1"/>
  <c r="EF213" i="7" a="1"/>
  <c r="EF213" i="7" s="1"/>
  <c r="EP215" i="7" a="1"/>
  <c r="EP215" i="7" s="1"/>
  <c r="EE217" i="7" a="1"/>
  <c r="EE217" i="7" s="1"/>
  <c r="EE220" i="7" a="1"/>
  <c r="EE220" i="7" s="1"/>
  <c r="EL223" i="7" a="1"/>
  <c r="EL223" i="7" s="1"/>
  <c r="EP206" i="7" a="1"/>
  <c r="EP206" i="7" s="1"/>
  <c r="FO210" i="7" a="1"/>
  <c r="FO210" i="7" s="1"/>
  <c r="FJ217" i="7" a="1"/>
  <c r="FJ217" i="7" s="1"/>
  <c r="FQ220" i="7" a="1"/>
  <c r="FQ220" i="7" s="1"/>
  <c r="DX195" i="7" a="1"/>
  <c r="DX195" i="7" s="1"/>
  <c r="DZ210" i="7" a="1"/>
  <c r="DZ210" i="7" s="1"/>
  <c r="EO214" i="7" a="1"/>
  <c r="EO214" i="7" s="1"/>
  <c r="EM167" i="7" a="1"/>
  <c r="EM167" i="7" s="1"/>
  <c r="EI207" i="7" a="1"/>
  <c r="EI207" i="7" s="1"/>
  <c r="EV211" i="7" a="1"/>
  <c r="EV211" i="7" s="1"/>
  <c r="EV217" i="7" a="1"/>
  <c r="EV217" i="7" s="1"/>
  <c r="FC220" i="7" a="1"/>
  <c r="FC220" i="7" s="1"/>
  <c r="FE203" i="7" a="1"/>
  <c r="FE203" i="7" s="1"/>
  <c r="GA220" i="7" a="1"/>
  <c r="GA220" i="7" s="1"/>
  <c r="EK226" i="7" a="1"/>
  <c r="EK226" i="7" s="1"/>
  <c r="FX229" i="7" a="1"/>
  <c r="FX229" i="7" s="1"/>
  <c r="EV233" i="7" a="1"/>
  <c r="EV233" i="7" s="1"/>
  <c r="ED237" i="7" a="1"/>
  <c r="ED237" i="7" s="1"/>
  <c r="EG217" i="7" a="1"/>
  <c r="EG217" i="7" s="1"/>
  <c r="FO224" i="7" a="1"/>
  <c r="FO224" i="7" s="1"/>
  <c r="EX228" i="7" a="1"/>
  <c r="EX228" i="7" s="1"/>
  <c r="FL231" i="7" a="1"/>
  <c r="FL231" i="7" s="1"/>
  <c r="FX234" i="7" a="1"/>
  <c r="FX234" i="7" s="1"/>
  <c r="FU237" i="7" a="1"/>
  <c r="FU237" i="7" s="1"/>
  <c r="ES239" i="7" a="1"/>
  <c r="ES239" i="7" s="1"/>
  <c r="EL210" i="7" a="1"/>
  <c r="EL210" i="7" s="1"/>
  <c r="EQ223" i="7" a="1"/>
  <c r="EQ223" i="7" s="1"/>
  <c r="DV227" i="7" a="1"/>
  <c r="DV227" i="7" s="1"/>
  <c r="FC230" i="7" a="1"/>
  <c r="FC230" i="7" s="1"/>
  <c r="FQ234" i="7" a="1"/>
  <c r="FQ234" i="7" s="1"/>
  <c r="DS214" i="7" a="1"/>
  <c r="DS214" i="7" s="1"/>
  <c r="ED224" i="7" a="1"/>
  <c r="ED224" i="7" s="1"/>
  <c r="FN227" i="7" a="1"/>
  <c r="FN227" i="7" s="1"/>
  <c r="DY231" i="7" a="1"/>
  <c r="DY231" i="7" s="1"/>
  <c r="FM233" i="7" a="1"/>
  <c r="FM233" i="7" s="1"/>
  <c r="EM237" i="7" a="1"/>
  <c r="EM237" i="7" s="1"/>
  <c r="FV238" i="7" a="1"/>
  <c r="FV238" i="7" s="1"/>
  <c r="ET240" i="7" a="1"/>
  <c r="ET240" i="7" s="1"/>
  <c r="FL217" i="7" a="1"/>
  <c r="FL217" i="7" s="1"/>
  <c r="DU224" i="7" a="1"/>
  <c r="DU224" i="7" s="1"/>
  <c r="ED229" i="7" a="1"/>
  <c r="ED229" i="7" s="1"/>
  <c r="EZ232" i="7" a="1"/>
  <c r="EZ232" i="7" s="1"/>
  <c r="FW235" i="7" a="1"/>
  <c r="FW235" i="7" s="1"/>
  <c r="EU216" i="7" a="1"/>
  <c r="EU216" i="7" s="1"/>
  <c r="DQ225" i="7" a="1"/>
  <c r="DQ225" i="7" s="1"/>
  <c r="ES228" i="7" a="1"/>
  <c r="ES228" i="7" s="1"/>
  <c r="FG231" i="7" a="1"/>
  <c r="FG231" i="7" s="1"/>
  <c r="DW235" i="7" a="1"/>
  <c r="DW235" i="7" s="1"/>
  <c r="FW237" i="7" a="1"/>
  <c r="FW237" i="7" s="1"/>
  <c r="EU239" i="7" a="1"/>
  <c r="EU239" i="7" s="1"/>
  <c r="FG209" i="7" a="1"/>
  <c r="FG209" i="7" s="1"/>
  <c r="FT222" i="7" a="1"/>
  <c r="FT222" i="7" s="1"/>
  <c r="FQ226" i="7" a="1"/>
  <c r="FQ226" i="7" s="1"/>
  <c r="EO230" i="7" a="1"/>
  <c r="EO230" i="7" s="1"/>
  <c r="EO234" i="7" a="1"/>
  <c r="EO234" i="7" s="1"/>
  <c r="EM211" i="7" a="1"/>
  <c r="EM211" i="7" s="1"/>
  <c r="DT222" i="7" a="1"/>
  <c r="DT222" i="7" s="1"/>
  <c r="DV226" i="7" a="1"/>
  <c r="DV226" i="7" s="1"/>
  <c r="FD229" i="7" a="1"/>
  <c r="FD229" i="7" s="1"/>
  <c r="DV233" i="7" a="1"/>
  <c r="DV233" i="7" s="1"/>
  <c r="FG236" i="7" a="1"/>
  <c r="FG236" i="7" s="1"/>
  <c r="FC238" i="7" a="1"/>
  <c r="FC238" i="7" s="1"/>
  <c r="EA240" i="7" a="1"/>
  <c r="EA240" i="7" s="1"/>
  <c r="FT217" i="7" a="1"/>
  <c r="FT217" i="7" s="1"/>
  <c r="FN225" i="7" a="1"/>
  <c r="FN225" i="7" s="1"/>
  <c r="EN229" i="7" a="1"/>
  <c r="EN229" i="7" s="1"/>
  <c r="FJ232" i="7" a="1"/>
  <c r="FJ232" i="7" s="1"/>
  <c r="EK236" i="7" a="1"/>
  <c r="EK236" i="7" s="1"/>
  <c r="DR217" i="7" a="1"/>
  <c r="DR217" i="7" s="1"/>
  <c r="EB225" i="7" a="1"/>
  <c r="EB225" i="7" s="1"/>
  <c r="FK228" i="7" a="1"/>
  <c r="FK228" i="7" s="1"/>
  <c r="FY231" i="7" a="1"/>
  <c r="FY231" i="7" s="1"/>
  <c r="FC235" i="7" a="1"/>
  <c r="FC235" i="7" s="1"/>
  <c r="DQ210" i="7" a="1"/>
  <c r="DQ210" i="7" s="1"/>
  <c r="FI221" i="7" a="1"/>
  <c r="FI221" i="7" s="1"/>
  <c r="EQ226" i="7" a="1"/>
  <c r="EQ226" i="7" s="1"/>
  <c r="FF229" i="7" a="1"/>
  <c r="FF229" i="7" s="1"/>
  <c r="GA232" i="7" a="1"/>
  <c r="GA232" i="7" s="1"/>
  <c r="FA236" i="7" a="1"/>
  <c r="FA236" i="7" s="1"/>
  <c r="FG219" i="7" a="1"/>
  <c r="FG219" i="7" s="1"/>
  <c r="EF236" i="7" a="1"/>
  <c r="EF236" i="7" s="1"/>
  <c r="EX241" i="7" a="1"/>
  <c r="EX241" i="7" s="1"/>
  <c r="FE244" i="7" a="1"/>
  <c r="FE244" i="7" s="1"/>
  <c r="FL247" i="7" a="1"/>
  <c r="FL247" i="7" s="1"/>
  <c r="FS250" i="7" a="1"/>
  <c r="FS250" i="7" s="1"/>
  <c r="EK253" i="7" a="1"/>
  <c r="EK253" i="7" s="1"/>
  <c r="FT254" i="7" a="1"/>
  <c r="FT254" i="7" s="1"/>
  <c r="ER256" i="7" a="1"/>
  <c r="ER256" i="7" s="1"/>
  <c r="FM228" i="7" a="1"/>
  <c r="FM228" i="7" s="1"/>
  <c r="EB241" i="7" a="1"/>
  <c r="EB241" i="7" s="1"/>
  <c r="EI244" i="7" a="1"/>
  <c r="EI244" i="7" s="1"/>
  <c r="EP247" i="7" a="1"/>
  <c r="EP247" i="7" s="1"/>
  <c r="EW250" i="7" a="1"/>
  <c r="EW250" i="7" s="1"/>
  <c r="FN224" i="7" a="1"/>
  <c r="FN224" i="7" s="1"/>
  <c r="FE238" i="7" a="1"/>
  <c r="FE238" i="7" s="1"/>
  <c r="FD242" i="7" a="1"/>
  <c r="FD242" i="7" s="1"/>
  <c r="FK245" i="7" a="1"/>
  <c r="FK245" i="7" s="1"/>
  <c r="FR248" i="7" a="1"/>
  <c r="FR248" i="7" s="1"/>
  <c r="FY251" i="7" a="1"/>
  <c r="FY251" i="7" s="1"/>
  <c r="FU253" i="7" a="1"/>
  <c r="FU253" i="7" s="1"/>
  <c r="ES255" i="7" a="1"/>
  <c r="ES255" i="7" s="1"/>
  <c r="DQ257" i="7" a="1"/>
  <c r="DQ257" i="7" s="1"/>
  <c r="FH230" i="7" a="1"/>
  <c r="FH230" i="7" s="1"/>
  <c r="FG241" i="7" a="1"/>
  <c r="FG241" i="7" s="1"/>
  <c r="ED166" i="7" a="1"/>
  <c r="ED166" i="7" s="1"/>
  <c r="FR176" i="7" a="1"/>
  <c r="FR176" i="7" s="1"/>
  <c r="EX154" i="7" a="1"/>
  <c r="EX154" i="7" s="1"/>
  <c r="EF187" i="7" a="1"/>
  <c r="EF187" i="7" s="1"/>
  <c r="EK201" i="7" a="1"/>
  <c r="EK201" i="7" s="1"/>
  <c r="FA142" i="7" a="1"/>
  <c r="FA142" i="7" s="1"/>
  <c r="FO160" i="7" a="1"/>
  <c r="FO160" i="7" s="1"/>
  <c r="EG170" i="7" a="1"/>
  <c r="EG170" i="7" s="1"/>
  <c r="EA178" i="7" a="1"/>
  <c r="EA178" i="7" s="1"/>
  <c r="ET148" i="7" a="1"/>
  <c r="ET148" i="7" s="1"/>
  <c r="FN177" i="7" a="1"/>
  <c r="FN177" i="7" s="1"/>
  <c r="EH195" i="7" a="1"/>
  <c r="EH195" i="7" s="1"/>
  <c r="FJ79" i="7" a="1"/>
  <c r="FJ79" i="7" s="1"/>
  <c r="EX144" i="7" a="1"/>
  <c r="EX144" i="7" s="1"/>
  <c r="EV161" i="7" a="1"/>
  <c r="EV161" i="7" s="1"/>
  <c r="FY170" i="7" a="1"/>
  <c r="FY170" i="7" s="1"/>
  <c r="EM138" i="7" a="1"/>
  <c r="EM138" i="7" s="1"/>
  <c r="FZ129" i="7" a="1"/>
  <c r="FZ129" i="7" s="1"/>
  <c r="FW116" i="7" a="1"/>
  <c r="FW116" i="7" s="1"/>
  <c r="FV119" i="7" a="1"/>
  <c r="FV119" i="7" s="1"/>
  <c r="EH156" i="7" a="1"/>
  <c r="EH156" i="7" s="1"/>
  <c r="FV148" i="7" a="1"/>
  <c r="FV148" i="7" s="1"/>
  <c r="DS160" i="7" a="1"/>
  <c r="DS160" i="7" s="1"/>
  <c r="FO179" i="7" a="1"/>
  <c r="FO179" i="7" s="1"/>
  <c r="DV192" i="7" a="1"/>
  <c r="DV192" i="7" s="1"/>
  <c r="DV150" i="7" a="1"/>
  <c r="DV150" i="7" s="1"/>
  <c r="EA174" i="7" a="1"/>
  <c r="EA174" i="7" s="1"/>
  <c r="DQ190" i="7" a="1"/>
  <c r="DQ190" i="7" s="1"/>
  <c r="FS143" i="7" a="1"/>
  <c r="FS143" i="7" s="1"/>
  <c r="DY171" i="7" a="1"/>
  <c r="DY171" i="7" s="1"/>
  <c r="FI184" i="7" a="1"/>
  <c r="FI184" i="7" s="1"/>
  <c r="EZ158" i="7" a="1"/>
  <c r="EZ158" i="7" s="1"/>
  <c r="EL168" i="7" a="1"/>
  <c r="EL168" i="7" s="1"/>
  <c r="FN175" i="7" a="1"/>
  <c r="FN175" i="7" s="1"/>
  <c r="DS183" i="7" a="1"/>
  <c r="DS183" i="7" s="1"/>
  <c r="EN187" i="7" a="1"/>
  <c r="EN187" i="7" s="1"/>
  <c r="FK144" i="7" a="1"/>
  <c r="FK144" i="7" s="1"/>
  <c r="FC158" i="7" a="1"/>
  <c r="FC158" i="7" s="1"/>
  <c r="FR146" i="7" a="1"/>
  <c r="FR146" i="7" s="1"/>
  <c r="FE159" i="7" a="1"/>
  <c r="FE159" i="7" s="1"/>
  <c r="EC143" i="7" a="1"/>
  <c r="EC143" i="7" s="1"/>
  <c r="FW159" i="7" a="1"/>
  <c r="FW159" i="7" s="1"/>
  <c r="EN167" i="7" a="1"/>
  <c r="EN167" i="7" s="1"/>
  <c r="EE177" i="7" a="1"/>
  <c r="EE177" i="7" s="1"/>
  <c r="FX182" i="7" a="1"/>
  <c r="FX182" i="7" s="1"/>
  <c r="FA137" i="7" a="1"/>
  <c r="FA137" i="7" s="1"/>
  <c r="FE162" i="7" a="1"/>
  <c r="FE162" i="7" s="1"/>
  <c r="FS172" i="7" a="1"/>
  <c r="FS172" i="7" s="1"/>
  <c r="FN179" i="7" a="1"/>
  <c r="FN179" i="7" s="1"/>
  <c r="DX189" i="7" a="1"/>
  <c r="DX189" i="7" s="1"/>
  <c r="FM196" i="7" a="1"/>
  <c r="FM196" i="7" s="1"/>
  <c r="FW201" i="7" a="1"/>
  <c r="FW201" i="7" s="1"/>
  <c r="EJ205" i="7" a="1"/>
  <c r="EJ205" i="7" s="1"/>
  <c r="FS206" i="7" a="1"/>
  <c r="FS206" i="7" s="1"/>
  <c r="EQ208" i="7" a="1"/>
  <c r="EQ208" i="7" s="1"/>
  <c r="FZ209" i="7" a="1"/>
  <c r="FZ209" i="7" s="1"/>
  <c r="EX211" i="7" a="1"/>
  <c r="EX211" i="7" s="1"/>
  <c r="DV213" i="7" a="1"/>
  <c r="DV213" i="7" s="1"/>
  <c r="FE214" i="7" a="1"/>
  <c r="FE214" i="7" s="1"/>
  <c r="EC216" i="7" a="1"/>
  <c r="EC216" i="7" s="1"/>
  <c r="FA125" i="7" a="1"/>
  <c r="FA125" i="7" s="1"/>
  <c r="FH158" i="7" a="1"/>
  <c r="FH158" i="7" s="1"/>
  <c r="ED167" i="7" a="1"/>
  <c r="ED167" i="7" s="1"/>
  <c r="FO178" i="7" a="1"/>
  <c r="FO178" i="7" s="1"/>
  <c r="FU185" i="7" a="1"/>
  <c r="FU185" i="7" s="1"/>
  <c r="FK191" i="7" a="1"/>
  <c r="FK191" i="7" s="1"/>
  <c r="FY195" i="7" a="1"/>
  <c r="FY195" i="7" s="1"/>
  <c r="FJ198" i="7" a="1"/>
  <c r="FJ198" i="7" s="1"/>
  <c r="DT202" i="7" a="1"/>
  <c r="DT202" i="7" s="1"/>
  <c r="DW135" i="7" a="1"/>
  <c r="DW135" i="7" s="1"/>
  <c r="EM161" i="7" a="1"/>
  <c r="EM161" i="7" s="1"/>
  <c r="DQ171" i="7" a="1"/>
  <c r="DQ171" i="7" s="1"/>
  <c r="FG176" i="7" a="1"/>
  <c r="FG176" i="7" s="1"/>
  <c r="FO181" i="7" a="1"/>
  <c r="FO181" i="7" s="1"/>
  <c r="FQ187" i="7" a="1"/>
  <c r="FQ187" i="7" s="1"/>
  <c r="DU192" i="7" a="1"/>
  <c r="DU192" i="7" s="1"/>
  <c r="FP195" i="7" a="1"/>
  <c r="FP195" i="7" s="1"/>
  <c r="FA199" i="7" a="1"/>
  <c r="FA199" i="7" s="1"/>
  <c r="DR203" i="7" a="1"/>
  <c r="DR203" i="7" s="1"/>
  <c r="ED205" i="7" a="1"/>
  <c r="ED205" i="7" s="1"/>
  <c r="FM206" i="7" a="1"/>
  <c r="FM206" i="7" s="1"/>
  <c r="EK208" i="7" a="1"/>
  <c r="EK208" i="7" s="1"/>
  <c r="EI133" i="7" a="1"/>
  <c r="EI133" i="7" s="1"/>
  <c r="FH160" i="7" a="1"/>
  <c r="FH160" i="7" s="1"/>
  <c r="FR168" i="7" a="1"/>
  <c r="FR168" i="7" s="1"/>
  <c r="DT176" i="7" a="1"/>
  <c r="DT176" i="7" s="1"/>
  <c r="EN181" i="7" a="1"/>
  <c r="EN181" i="7" s="1"/>
  <c r="ER187" i="7" a="1"/>
  <c r="ER187" i="7" s="1"/>
  <c r="EH191" i="7" a="1"/>
  <c r="EH191" i="7" s="1"/>
  <c r="FO196" i="7" a="1"/>
  <c r="FO196" i="7" s="1"/>
  <c r="DW200" i="7" a="1"/>
  <c r="DW200" i="7" s="1"/>
  <c r="FD113" i="7" a="1"/>
  <c r="FD113" i="7" s="1"/>
  <c r="EN153" i="7" a="1"/>
  <c r="EN153" i="7" s="1"/>
  <c r="EL166" i="7" a="1"/>
  <c r="EL166" i="7" s="1"/>
  <c r="EC138" i="7" a="1"/>
  <c r="EC138" i="7" s="1"/>
  <c r="DY161" i="7" a="1"/>
  <c r="DY161" i="7" s="1"/>
  <c r="FW173" i="7" a="1"/>
  <c r="FW173" i="7" s="1"/>
  <c r="FL180" i="7" a="1"/>
  <c r="FL180" i="7" s="1"/>
  <c r="GA185" i="7" a="1"/>
  <c r="GA185" i="7" s="1"/>
  <c r="FO191" i="7" a="1"/>
  <c r="FO191" i="7" s="1"/>
  <c r="EE195" i="7" a="1"/>
  <c r="EE195" i="7" s="1"/>
  <c r="EW198" i="7" a="1"/>
  <c r="EW198" i="7" s="1"/>
  <c r="ET202" i="7" a="1"/>
  <c r="ET202" i="7" s="1"/>
  <c r="EG152" i="7" a="1"/>
  <c r="EG152" i="7" s="1"/>
  <c r="FA169" i="7" a="1"/>
  <c r="FA169" i="7" s="1"/>
  <c r="DU180" i="7" a="1"/>
  <c r="DU180" i="7" s="1"/>
  <c r="DV189" i="7" a="1"/>
  <c r="DV189" i="7" s="1"/>
  <c r="FJ196" i="7" a="1"/>
  <c r="FJ196" i="7" s="1"/>
  <c r="ED165" i="7" a="1"/>
  <c r="ED165" i="7" s="1"/>
  <c r="EP179" i="7" a="1"/>
  <c r="EP179" i="7" s="1"/>
  <c r="FS187" i="7" a="1"/>
  <c r="FS187" i="7" s="1"/>
  <c r="DZ194" i="7" a="1"/>
  <c r="DZ194" i="7" s="1"/>
  <c r="FH155" i="7" a="1"/>
  <c r="FH155" i="7" s="1"/>
  <c r="FB170" i="7" a="1"/>
  <c r="FB170" i="7" s="1"/>
  <c r="ES180" i="7" a="1"/>
  <c r="ES180" i="7" s="1"/>
  <c r="FF189" i="7" a="1"/>
  <c r="FF189" i="7" s="1"/>
  <c r="EE196" i="7" a="1"/>
  <c r="EE196" i="7" s="1"/>
  <c r="FO136" i="7" a="1"/>
  <c r="FO136" i="7" s="1"/>
  <c r="FD164" i="7" a="1"/>
  <c r="FD164" i="7" s="1"/>
  <c r="EW175" i="7" a="1"/>
  <c r="EW175" i="7" s="1"/>
  <c r="FA185" i="7" a="1"/>
  <c r="FA185" i="7" s="1"/>
  <c r="ES192" i="7" a="1"/>
  <c r="ES192" i="7" s="1"/>
  <c r="DU144" i="7" a="1"/>
  <c r="DU144" i="7" s="1"/>
  <c r="DU173" i="7" a="1"/>
  <c r="DU173" i="7" s="1"/>
  <c r="EZ183" i="7" a="1"/>
  <c r="EZ183" i="7" s="1"/>
  <c r="EP190" i="7" a="1"/>
  <c r="EP190" i="7" s="1"/>
  <c r="EF197" i="7" a="1"/>
  <c r="EF197" i="7" s="1"/>
  <c r="FN159" i="7" a="1"/>
  <c r="FN159" i="7" s="1"/>
  <c r="FI171" i="7" a="1"/>
  <c r="FI171" i="7" s="1"/>
  <c r="EG182" i="7" a="1"/>
  <c r="EG182" i="7" s="1"/>
  <c r="ET190" i="7" a="1"/>
  <c r="ET190" i="7" s="1"/>
  <c r="DZ144" i="7" a="1"/>
  <c r="DZ144" i="7" s="1"/>
  <c r="EE170" i="7" a="1"/>
  <c r="EE170" i="7" s="1"/>
  <c r="EF181" i="7" a="1"/>
  <c r="EF181" i="7" s="1"/>
  <c r="ED189" i="7" a="1"/>
  <c r="ED189" i="7" s="1"/>
  <c r="FJ152" i="7" a="1"/>
  <c r="FJ152" i="7" s="1"/>
  <c r="EF171" i="7" a="1"/>
  <c r="EF171" i="7" s="1"/>
  <c r="EH182" i="7" a="1"/>
  <c r="EH182" i="7" s="1"/>
  <c r="EV190" i="7" a="1"/>
  <c r="EV190" i="7" s="1"/>
  <c r="EK157" i="7" a="1"/>
  <c r="EK157" i="7" s="1"/>
  <c r="FI173" i="7" a="1"/>
  <c r="FI173" i="7" s="1"/>
  <c r="EM185" i="7" a="1"/>
  <c r="EM185" i="7" s="1"/>
  <c r="DR191" i="7" a="1"/>
  <c r="DR191" i="7" s="1"/>
  <c r="EM166" i="7" a="1"/>
  <c r="EM166" i="7" s="1"/>
  <c r="FV114" i="7" a="1"/>
  <c r="FV114" i="7" s="1"/>
  <c r="FI154" i="7" a="1"/>
  <c r="FI154" i="7" s="1"/>
  <c r="FJ187" i="7" a="1"/>
  <c r="FJ187" i="7" s="1"/>
  <c r="ER201" i="7" a="1"/>
  <c r="ER201" i="7" s="1"/>
  <c r="EG143" i="7" a="1"/>
  <c r="EG143" i="7" s="1"/>
  <c r="FW160" i="7" a="1"/>
  <c r="FW160" i="7" s="1"/>
  <c r="EW170" i="7" a="1"/>
  <c r="EW170" i="7" s="1"/>
  <c r="EI178" i="7" a="1"/>
  <c r="EI178" i="7" s="1"/>
  <c r="DZ149" i="7" a="1"/>
  <c r="DZ149" i="7" s="1"/>
  <c r="EZ178" i="7" a="1"/>
  <c r="EZ178" i="7" s="1"/>
  <c r="FB196" i="7" a="1"/>
  <c r="FB196" i="7" s="1"/>
  <c r="DQ85" i="7" a="1"/>
  <c r="DQ85" i="7" s="1"/>
  <c r="EP145" i="7" a="1"/>
  <c r="EP145" i="7" s="1"/>
  <c r="FD161" i="7" a="1"/>
  <c r="FD161" i="7" s="1"/>
  <c r="ED171" i="7" a="1"/>
  <c r="ED171" i="7" s="1"/>
  <c r="EM139" i="7" a="1"/>
  <c r="EM139" i="7" s="1"/>
  <c r="EH131" i="7" a="1"/>
  <c r="EH131" i="7" s="1"/>
  <c r="FJ119" i="7" a="1"/>
  <c r="FJ119" i="7" s="1"/>
  <c r="EH124" i="7" a="1"/>
  <c r="EH124" i="7" s="1"/>
  <c r="ET156" i="7" a="1"/>
  <c r="ET156" i="7" s="1"/>
  <c r="EQ149" i="7" a="1"/>
  <c r="EQ149" i="7" s="1"/>
  <c r="FK160" i="7" a="1"/>
  <c r="FK160" i="7" s="1"/>
  <c r="EE180" i="7" a="1"/>
  <c r="EE180" i="7" s="1"/>
  <c r="EE192" i="7" a="1"/>
  <c r="EE192" i="7" s="1"/>
  <c r="FW150" i="7" a="1"/>
  <c r="FW150" i="7" s="1"/>
  <c r="EM174" i="7" a="1"/>
  <c r="EM174" i="7" s="1"/>
  <c r="EQ190" i="7" a="1"/>
  <c r="EQ190" i="7" s="1"/>
  <c r="FI144" i="7" a="1"/>
  <c r="FI144" i="7" s="1"/>
  <c r="FY171" i="7" a="1"/>
  <c r="FY171" i="7" s="1"/>
  <c r="GA184" i="7" a="1"/>
  <c r="GA184" i="7" s="1"/>
  <c r="FP158" i="7" a="1"/>
  <c r="FP158" i="7" s="1"/>
  <c r="FK168" i="7" a="1"/>
  <c r="FK168" i="7" s="1"/>
  <c r="GA175" i="7" a="1"/>
  <c r="GA175" i="7" s="1"/>
  <c r="EB183" i="7" a="1"/>
  <c r="EB183" i="7" s="1"/>
  <c r="EW187" i="7" a="1"/>
  <c r="EW187" i="7" s="1"/>
  <c r="EC145" i="7" a="1"/>
  <c r="EC145" i="7" s="1"/>
  <c r="FT158" i="7" a="1"/>
  <c r="FT158" i="7" s="1"/>
  <c r="FO149" i="7" a="1"/>
  <c r="FO149" i="7" s="1"/>
  <c r="FD105" i="7" a="1"/>
  <c r="FD105" i="7" s="1"/>
  <c r="FD143" i="7" a="1"/>
  <c r="FD143" i="7" s="1"/>
  <c r="EA160" i="7" a="1"/>
  <c r="EA160" i="7" s="1"/>
  <c r="EC168" i="7" a="1"/>
  <c r="EC168" i="7" s="1"/>
  <c r="FL177" i="7" a="1"/>
  <c r="FL177" i="7" s="1"/>
  <c r="DV183" i="7" a="1"/>
  <c r="DV183" i="7" s="1"/>
  <c r="FE138" i="7" a="1"/>
  <c r="FE138" i="7" s="1"/>
  <c r="DR163" i="7" a="1"/>
  <c r="DR163" i="7" s="1"/>
  <c r="EB173" i="7" a="1"/>
  <c r="EB173" i="7" s="1"/>
  <c r="EA182" i="7" a="1"/>
  <c r="EA182" i="7" s="1"/>
  <c r="FC189" i="7" a="1"/>
  <c r="FC189" i="7" s="1"/>
  <c r="FW196" i="7" a="1"/>
  <c r="FW196" i="7" s="1"/>
  <c r="EA202" i="7" a="1"/>
  <c r="EA202" i="7" s="1"/>
  <c r="EQ205" i="7" a="1"/>
  <c r="EQ205" i="7" s="1"/>
  <c r="FZ206" i="7" a="1"/>
  <c r="FZ206" i="7" s="1"/>
  <c r="EX208" i="7" a="1"/>
  <c r="EX208" i="7" s="1"/>
  <c r="DV210" i="7" a="1"/>
  <c r="DV210" i="7" s="1"/>
  <c r="FE211" i="7" a="1"/>
  <c r="FE211" i="7" s="1"/>
  <c r="EC213" i="7" a="1"/>
  <c r="EC213" i="7" s="1"/>
  <c r="FL214" i="7" a="1"/>
  <c r="FL214" i="7" s="1"/>
  <c r="EJ216" i="7" a="1"/>
  <c r="EJ216" i="7" s="1"/>
  <c r="FN128" i="7" a="1"/>
  <c r="FN128" i="7" s="1"/>
  <c r="EB159" i="7" a="1"/>
  <c r="EB159" i="7" s="1"/>
  <c r="EZ167" i="7" a="1"/>
  <c r="EZ167" i="7" s="1"/>
  <c r="DV179" i="7" a="1"/>
  <c r="DV179" i="7" s="1"/>
  <c r="EK186" i="7" a="1"/>
  <c r="EK186" i="7" s="1"/>
  <c r="FU191" i="7" a="1"/>
  <c r="FU191" i="7" s="1"/>
  <c r="DY196" i="7" a="1"/>
  <c r="DY196" i="7" s="1"/>
  <c r="FS198" i="7" a="1"/>
  <c r="FS198" i="7" s="1"/>
  <c r="EI202" i="7" a="1"/>
  <c r="EI202" i="7" s="1"/>
  <c r="FN137" i="7" a="1"/>
  <c r="FN137" i="7" s="1"/>
  <c r="FJ161" i="7" a="1"/>
  <c r="FJ161" i="7" s="1"/>
  <c r="EJ171" i="7" a="1"/>
  <c r="EJ171" i="7" s="1"/>
  <c r="FX176" i="7" a="1"/>
  <c r="FX176" i="7" s="1"/>
  <c r="DQ182" i="7" a="1"/>
  <c r="DQ182" i="7" s="1"/>
  <c r="DQ188" i="7" a="1"/>
  <c r="DQ188" i="7" s="1"/>
  <c r="EF192" i="7" a="1"/>
  <c r="EF192" i="7" s="1"/>
  <c r="EJ196" i="7" a="1"/>
  <c r="EJ196" i="7" s="1"/>
  <c r="EE200" i="7" a="1"/>
  <c r="EE200" i="7" s="1"/>
  <c r="EG203" i="7" a="1"/>
  <c r="EG203" i="7" s="1"/>
  <c r="EK205" i="7" a="1"/>
  <c r="EK205" i="7" s="1"/>
  <c r="FT206" i="7" a="1"/>
  <c r="FT206" i="7" s="1"/>
  <c r="ER208" i="7" a="1"/>
  <c r="ER208" i="7" s="1"/>
  <c r="EL135" i="7" a="1"/>
  <c r="EL135" i="7" s="1"/>
  <c r="FK161" i="7" a="1"/>
  <c r="FK161" i="7" s="1"/>
  <c r="EA169" i="7" a="1"/>
  <c r="EA169" i="7" s="1"/>
  <c r="FH176" i="7" a="1"/>
  <c r="FH176" i="7" s="1"/>
  <c r="FA181" i="7" a="1"/>
  <c r="FA181" i="7" s="1"/>
  <c r="FG187" i="7" a="1"/>
  <c r="FG187" i="7" s="1"/>
  <c r="ER191" i="7" a="1"/>
  <c r="ER191" i="7" s="1"/>
  <c r="ES197" i="7" a="1"/>
  <c r="ES197" i="7" s="1"/>
  <c r="DX201" i="7" a="1"/>
  <c r="DX201" i="7" s="1"/>
  <c r="FW125" i="7" a="1"/>
  <c r="FW125" i="7" s="1"/>
  <c r="EL155" i="7" a="1"/>
  <c r="EL155" i="7" s="1"/>
  <c r="FZ166" i="7" a="1"/>
  <c r="FZ166" i="7" s="1"/>
  <c r="EE139" i="7" a="1"/>
  <c r="EE139" i="7" s="1"/>
  <c r="FN161" i="7" a="1"/>
  <c r="FN161" i="7" s="1"/>
  <c r="ED175" i="7" a="1"/>
  <c r="ED175" i="7" s="1"/>
  <c r="GA180" i="7" a="1"/>
  <c r="GA180" i="7" s="1"/>
  <c r="EC186" i="7" a="1"/>
  <c r="EC186" i="7" s="1"/>
  <c r="FZ191" i="7" a="1"/>
  <c r="FZ191" i="7" s="1"/>
  <c r="EO195" i="7" a="1"/>
  <c r="EO195" i="7" s="1"/>
  <c r="FW198" i="7" a="1"/>
  <c r="FW198" i="7" s="1"/>
  <c r="FI202" i="7" a="1"/>
  <c r="FI202" i="7" s="1"/>
  <c r="EO153" i="7" a="1"/>
  <c r="EO153" i="7" s="1"/>
  <c r="EZ170" i="7" a="1"/>
  <c r="EZ170" i="7" s="1"/>
  <c r="EP180" i="7" a="1"/>
  <c r="EP180" i="7" s="1"/>
  <c r="EM189" i="7" a="1"/>
  <c r="EM189" i="7" s="1"/>
  <c r="ED116" i="7" a="1"/>
  <c r="ED116" i="7" s="1"/>
  <c r="FN165" i="7" a="1"/>
  <c r="FN165" i="7" s="1"/>
  <c r="FL179" i="7" a="1"/>
  <c r="FL179" i="7" s="1"/>
  <c r="DW188" i="7" a="1"/>
  <c r="DW188" i="7" s="1"/>
  <c r="FI194" i="7" a="1"/>
  <c r="FI194" i="7" s="1"/>
  <c r="FO156" i="7" a="1"/>
  <c r="FO156" i="7" s="1"/>
  <c r="DV172" i="7" a="1"/>
  <c r="DV172" i="7" s="1"/>
  <c r="EA181" i="7" a="1"/>
  <c r="EA181" i="7" s="1"/>
  <c r="EA190" i="7" a="1"/>
  <c r="EA190" i="7" s="1"/>
  <c r="EV196" i="7" a="1"/>
  <c r="EV196" i="7" s="1"/>
  <c r="ES138" i="7" a="1"/>
  <c r="ES138" i="7" s="1"/>
  <c r="EF165" i="7" a="1"/>
  <c r="EF165" i="7" s="1"/>
  <c r="FW175" i="7" a="1"/>
  <c r="FW175" i="7" s="1"/>
  <c r="FS185" i="7" a="1"/>
  <c r="FS185" i="7" s="1"/>
  <c r="FH192" i="7" a="1"/>
  <c r="FH192" i="7" s="1"/>
  <c r="FK146" i="7" a="1"/>
  <c r="FK146" i="7" s="1"/>
  <c r="FC174" i="7" a="1"/>
  <c r="FC174" i="7" s="1"/>
  <c r="FT183" i="7" a="1"/>
  <c r="FT183" i="7" s="1"/>
  <c r="FX190" i="7" a="1"/>
  <c r="FX190" i="7" s="1"/>
  <c r="FK109" i="7" a="1"/>
  <c r="FK109" i="7" s="1"/>
  <c r="FU161" i="7" a="1"/>
  <c r="FU161" i="7" s="1"/>
  <c r="EA172" i="7" a="1"/>
  <c r="EA172" i="7" s="1"/>
  <c r="EY182" i="7" a="1"/>
  <c r="EY182" i="7" s="1"/>
  <c r="FI190" i="7" a="1"/>
  <c r="FI190" i="7" s="1"/>
  <c r="FK145" i="7" a="1"/>
  <c r="FK145" i="7" s="1"/>
  <c r="FO170" i="7" a="1"/>
  <c r="FO170" i="7" s="1"/>
  <c r="FU181" i="7" a="1"/>
  <c r="FU181" i="7" s="1"/>
  <c r="FI189" i="7" a="1"/>
  <c r="FI189" i="7" s="1"/>
  <c r="DT155" i="7" a="1"/>
  <c r="DT155" i="7" s="1"/>
  <c r="FM171" i="7" a="1"/>
  <c r="FM171" i="7" s="1"/>
  <c r="FD183" i="7" a="1"/>
  <c r="FD183" i="7" s="1"/>
  <c r="FK190" i="7" a="1"/>
  <c r="FK190" i="7" s="1"/>
  <c r="EE158" i="7" a="1"/>
  <c r="EE158" i="7" s="1"/>
  <c r="EF174" i="7" a="1"/>
  <c r="EF174" i="7" s="1"/>
  <c r="DR186" i="7" a="1"/>
  <c r="DR186" i="7" s="1"/>
  <c r="FM191" i="7" a="1"/>
  <c r="FM191" i="7" s="1"/>
  <c r="EU166" i="7" a="1"/>
  <c r="EU166" i="7" s="1"/>
  <c r="EW116" i="7" a="1"/>
  <c r="EW116" i="7" s="1"/>
  <c r="EZ161" i="7" a="1"/>
  <c r="EZ161" i="7" s="1"/>
  <c r="FO188" i="7" a="1"/>
  <c r="FO188" i="7" s="1"/>
  <c r="GA202" i="7" a="1"/>
  <c r="GA202" i="7" s="1"/>
  <c r="EQ143" i="7" a="1"/>
  <c r="EQ143" i="7" s="1"/>
  <c r="FK162" i="7" a="1"/>
  <c r="FK162" i="7" s="1"/>
  <c r="FE170" i="7" a="1"/>
  <c r="FE170" i="7" s="1"/>
  <c r="FL99" i="7" a="1"/>
  <c r="FL99" i="7" s="1"/>
  <c r="EJ149" i="7" a="1"/>
  <c r="EJ149" i="7" s="1"/>
  <c r="EM182" i="7" a="1"/>
  <c r="EM182" i="7" s="1"/>
  <c r="FQ196" i="7" a="1"/>
  <c r="FQ196" i="7" s="1"/>
  <c r="FP99" i="7" a="1"/>
  <c r="FP99" i="7" s="1"/>
  <c r="EU147" i="7" a="1"/>
  <c r="EU147" i="7" s="1"/>
  <c r="ER163" i="7" a="1"/>
  <c r="ER163" i="7" s="1"/>
  <c r="EM171" i="7" a="1"/>
  <c r="EM171" i="7" s="1"/>
  <c r="ET147" i="7" a="1"/>
  <c r="ET147" i="7" s="1"/>
  <c r="DS132" i="7" a="1"/>
  <c r="DS132" i="7" s="1"/>
  <c r="EV133" i="7" a="1"/>
  <c r="EV133" i="7" s="1"/>
  <c r="DR127" i="7" a="1"/>
  <c r="DR127" i="7" s="1"/>
  <c r="FY119" i="7" a="1"/>
  <c r="FY119" i="7" s="1"/>
  <c r="FY149" i="7" a="1"/>
  <c r="FY149" i="7" s="1"/>
  <c r="FO163" i="7" a="1"/>
  <c r="FO163" i="7" s="1"/>
  <c r="EV180" i="7" a="1"/>
  <c r="EV180" i="7" s="1"/>
  <c r="ER195" i="7" a="1"/>
  <c r="ER195" i="7" s="1"/>
  <c r="EM151" i="7" a="1"/>
  <c r="EM151" i="7" s="1"/>
  <c r="FI177" i="7" a="1"/>
  <c r="FI177" i="7" s="1"/>
  <c r="EZ190" i="7" a="1"/>
  <c r="EZ190" i="7" s="1"/>
  <c r="EQ153" i="7" a="1"/>
  <c r="EQ153" i="7" s="1"/>
  <c r="DZ172" i="7" a="1"/>
  <c r="DZ172" i="7" s="1"/>
  <c r="EM187" i="7" a="1"/>
  <c r="EM187" i="7" s="1"/>
  <c r="DY159" i="7" a="1"/>
  <c r="DY159" i="7" s="1"/>
  <c r="FW168" i="7" a="1"/>
  <c r="FW168" i="7" s="1"/>
  <c r="EB176" i="7" a="1"/>
  <c r="EB176" i="7" s="1"/>
  <c r="EK183" i="7" a="1"/>
  <c r="EK183" i="7" s="1"/>
  <c r="EN81" i="7" a="1"/>
  <c r="EN81" i="7" s="1"/>
  <c r="FD145" i="7" a="1"/>
  <c r="FD145" i="7" s="1"/>
  <c r="FP104" i="7" a="1"/>
  <c r="FP104" i="7" s="1"/>
  <c r="FD150" i="7" a="1"/>
  <c r="FD150" i="7" s="1"/>
  <c r="FD109" i="7" a="1"/>
  <c r="FD109" i="7" s="1"/>
  <c r="FV144" i="7" a="1"/>
  <c r="FV144" i="7" s="1"/>
  <c r="EN160" i="7" a="1"/>
  <c r="EN160" i="7" s="1"/>
  <c r="EO168" i="7" a="1"/>
  <c r="EO168" i="7" s="1"/>
  <c r="FX177" i="7" a="1"/>
  <c r="FX177" i="7" s="1"/>
  <c r="EE183" i="7" a="1"/>
  <c r="EE183" i="7" s="1"/>
  <c r="FN139" i="7" a="1"/>
  <c r="FN139" i="7" s="1"/>
  <c r="FX165" i="7" a="1"/>
  <c r="FX165" i="7" s="1"/>
  <c r="ET173" i="7" a="1"/>
  <c r="ET173" i="7" s="1"/>
  <c r="EP182" i="7" a="1"/>
  <c r="EP182" i="7" s="1"/>
  <c r="FN189" i="7" a="1"/>
  <c r="FN189" i="7" s="1"/>
  <c r="EG197" i="7" a="1"/>
  <c r="EG197" i="7" s="1"/>
  <c r="EP202" i="7" a="1"/>
  <c r="EP202" i="7" s="1"/>
  <c r="EX205" i="7" a="1"/>
  <c r="EX205" i="7" s="1"/>
  <c r="DV207" i="7" a="1"/>
  <c r="DV207" i="7" s="1"/>
  <c r="FE208" i="7" a="1"/>
  <c r="FE208" i="7" s="1"/>
  <c r="EC210" i="7" a="1"/>
  <c r="EC210" i="7" s="1"/>
  <c r="FL211" i="7" a="1"/>
  <c r="FL211" i="7" s="1"/>
  <c r="EJ213" i="7" a="1"/>
  <c r="EJ213" i="7" s="1"/>
  <c r="FS214" i="7" a="1"/>
  <c r="FS214" i="7" s="1"/>
  <c r="EQ216" i="7" a="1"/>
  <c r="EQ216" i="7" s="1"/>
  <c r="EB133" i="7" a="1"/>
  <c r="EB133" i="7" s="1"/>
  <c r="FI159" i="7" a="1"/>
  <c r="FI159" i="7" s="1"/>
  <c r="FO168" i="7" a="1"/>
  <c r="FO168" i="7" s="1"/>
  <c r="FC179" i="7" a="1"/>
  <c r="FC179" i="7" s="1"/>
  <c r="EZ186" i="7" a="1"/>
  <c r="EZ186" i="7" s="1"/>
  <c r="ED192" i="7" a="1"/>
  <c r="ED192" i="7" s="1"/>
  <c r="ET196" i="7" a="1"/>
  <c r="ET196" i="7" s="1"/>
  <c r="DZ199" i="7" a="1"/>
  <c r="DZ199" i="7" s="1"/>
  <c r="EX202" i="7" a="1"/>
  <c r="EX202" i="7" s="1"/>
  <c r="FT140" i="7" a="1"/>
  <c r="FT140" i="7" s="1"/>
  <c r="DQ162" i="7" a="1"/>
  <c r="DQ162" i="7" s="1"/>
  <c r="FZ171" i="7" a="1"/>
  <c r="FZ171" i="7" s="1"/>
  <c r="FA177" i="7" a="1"/>
  <c r="FA177" i="7" s="1"/>
  <c r="EE182" i="7" a="1"/>
  <c r="EE182" i="7" s="1"/>
  <c r="EV188" i="7" a="1"/>
  <c r="EV188" i="7" s="1"/>
  <c r="FJ192" i="7" a="1"/>
  <c r="FJ192" i="7" s="1"/>
  <c r="EU196" i="7" a="1"/>
  <c r="EU196" i="7" s="1"/>
  <c r="EM200" i="7" a="1"/>
  <c r="EM200" i="7" s="1"/>
  <c r="EV203" i="7" a="1"/>
  <c r="EV203" i="7" s="1"/>
  <c r="ER205" i="7" a="1"/>
  <c r="ER205" i="7" s="1"/>
  <c r="GA206" i="7" a="1"/>
  <c r="GA206" i="7" s="1"/>
  <c r="EY208" i="7" a="1"/>
  <c r="EY208" i="7" s="1"/>
  <c r="FV139" i="7" a="1"/>
  <c r="FV139" i="7" s="1"/>
  <c r="EQ163" i="7" a="1"/>
  <c r="EQ163" i="7" s="1"/>
  <c r="ER169" i="7" a="1"/>
  <c r="ER169" i="7" s="1"/>
  <c r="EI177" i="7" a="1"/>
  <c r="EI177" i="7" s="1"/>
  <c r="EF182" i="7" a="1"/>
  <c r="EF182" i="7" s="1"/>
  <c r="FR187" i="7" a="1"/>
  <c r="FR187" i="7" s="1"/>
  <c r="FL191" i="7" a="1"/>
  <c r="FL191" i="7" s="1"/>
  <c r="FB197" i="7" a="1"/>
  <c r="FB197" i="7" s="1"/>
  <c r="EM201" i="7" a="1"/>
  <c r="EM201" i="7" s="1"/>
  <c r="EG131" i="7" a="1"/>
  <c r="EG131" i="7" s="1"/>
  <c r="DW157" i="7" a="1"/>
  <c r="DW157" i="7" s="1"/>
  <c r="FC167" i="7" a="1"/>
  <c r="FC167" i="7" s="1"/>
  <c r="EF141" i="7" a="1"/>
  <c r="EF141" i="7" s="1"/>
  <c r="EA162" i="7" a="1"/>
  <c r="EA162" i="7" s="1"/>
  <c r="FR175" i="7" a="1"/>
  <c r="FR175" i="7" s="1"/>
  <c r="FF181" i="7" a="1"/>
  <c r="FF181" i="7" s="1"/>
  <c r="DT187" i="7" a="1"/>
  <c r="DT187" i="7" s="1"/>
  <c r="DY192" i="7" a="1"/>
  <c r="DY192" i="7" s="1"/>
  <c r="EY195" i="7" a="1"/>
  <c r="EY195" i="7" s="1"/>
  <c r="EC199" i="7" a="1"/>
  <c r="EC199" i="7" s="1"/>
  <c r="FX202" i="7" a="1"/>
  <c r="FX202" i="7" s="1"/>
  <c r="EN154" i="7" a="1"/>
  <c r="EN154" i="7" s="1"/>
  <c r="EU172" i="7" a="1"/>
  <c r="EU172" i="7" s="1"/>
  <c r="DT181" i="7" a="1"/>
  <c r="DT181" i="7" s="1"/>
  <c r="FB189" i="7" a="1"/>
  <c r="FB189" i="7" s="1"/>
  <c r="EW124" i="7" a="1"/>
  <c r="EW124" i="7" s="1"/>
  <c r="EQ167" i="7" a="1"/>
  <c r="EQ167" i="7" s="1"/>
  <c r="ES181" i="7" a="1"/>
  <c r="ES181" i="7" s="1"/>
  <c r="EN188" i="7" a="1"/>
  <c r="EN188" i="7" s="1"/>
  <c r="FX194" i="7" a="1"/>
  <c r="FX194" i="7" s="1"/>
  <c r="FU157" i="7" a="1"/>
  <c r="FU157" i="7" s="1"/>
  <c r="EV172" i="7" a="1"/>
  <c r="EV172" i="7" s="1"/>
  <c r="FQ181" i="7" a="1"/>
  <c r="FQ181" i="7" s="1"/>
  <c r="EO190" i="7" a="1"/>
  <c r="EO190" i="7" s="1"/>
  <c r="FK196" i="7" a="1"/>
  <c r="FK196" i="7" s="1"/>
  <c r="ES140" i="7" a="1"/>
  <c r="ES140" i="7" s="1"/>
  <c r="FP165" i="7" a="1"/>
  <c r="FP165" i="7" s="1"/>
  <c r="DS177" i="7" a="1"/>
  <c r="DS177" i="7" s="1"/>
  <c r="ED186" i="7" a="1"/>
  <c r="ED186" i="7" s="1"/>
  <c r="FY192" i="7" a="1"/>
  <c r="FY192" i="7" s="1"/>
  <c r="FZ154" i="7" a="1"/>
  <c r="FZ154" i="7" s="1"/>
  <c r="DR175" i="7" a="1"/>
  <c r="DR175" i="7" s="1"/>
  <c r="EE184" i="7" a="1"/>
  <c r="EE184" i="7" s="1"/>
  <c r="EB191" i="7" a="1"/>
  <c r="EB191" i="7" s="1"/>
  <c r="EQ126" i="7" a="1"/>
  <c r="EQ126" i="7" s="1"/>
  <c r="FC163" i="7" a="1"/>
  <c r="FC163" i="7" s="1"/>
  <c r="FF172" i="7" a="1"/>
  <c r="FF172" i="7" s="1"/>
  <c r="EF184" i="7" a="1"/>
  <c r="EF184" i="7" s="1"/>
  <c r="FY190" i="7" a="1"/>
  <c r="FY190" i="7" s="1"/>
  <c r="FB151" i="7" a="1"/>
  <c r="FB151" i="7" s="1"/>
  <c r="EE171" i="7" a="1"/>
  <c r="EE171" i="7" s="1"/>
  <c r="EZ182" i="7" a="1"/>
  <c r="EZ182" i="7" s="1"/>
  <c r="EU190" i="7" a="1"/>
  <c r="EU190" i="7" s="1"/>
  <c r="DY157" i="7" a="1"/>
  <c r="DY157" i="7" s="1"/>
  <c r="ED172" i="7" a="1"/>
  <c r="ED172" i="7" s="1"/>
  <c r="EJ184" i="7" a="1"/>
  <c r="EJ184" i="7" s="1"/>
  <c r="EE191" i="7" a="1"/>
  <c r="EE191" i="7" s="1"/>
  <c r="DQ159" i="7" a="1"/>
  <c r="DQ159" i="7" s="1"/>
  <c r="EE175" i="7" a="1"/>
  <c r="EE175" i="7" s="1"/>
  <c r="EM186" i="7" a="1"/>
  <c r="EM186" i="7" s="1"/>
  <c r="EI192" i="7" a="1"/>
  <c r="EI192" i="7" s="1"/>
  <c r="DU169" i="7" a="1"/>
  <c r="DU169" i="7" s="1"/>
  <c r="EK117" i="7" a="1"/>
  <c r="EK117" i="7" s="1"/>
  <c r="DX163" i="7" a="1"/>
  <c r="DX163" i="7" s="1"/>
  <c r="DS189" i="7" a="1"/>
  <c r="DS189" i="7" s="1"/>
  <c r="ED203" i="7" a="1"/>
  <c r="ED203" i="7" s="1"/>
  <c r="DY144" i="7" a="1"/>
  <c r="DY144" i="7" s="1"/>
  <c r="GA162" i="7" a="1"/>
  <c r="GA162" i="7" s="1"/>
  <c r="FM170" i="7" a="1"/>
  <c r="FM170" i="7" s="1"/>
  <c r="ED110" i="7" a="1"/>
  <c r="ED110" i="7" s="1"/>
  <c r="DR150" i="7" a="1"/>
  <c r="DR150" i="7" s="1"/>
  <c r="FQ182" i="7" a="1"/>
  <c r="FQ182" i="7" s="1"/>
  <c r="DU197" i="7" a="1"/>
  <c r="DU197" i="7" s="1"/>
  <c r="EM81" i="7" a="1"/>
  <c r="EM81" i="7" s="1"/>
  <c r="FE147" i="7" a="1"/>
  <c r="FE147" i="7" s="1"/>
  <c r="FI163" i="7" a="1"/>
  <c r="FI163" i="7" s="1"/>
  <c r="EU171" i="7" a="1"/>
  <c r="EU171" i="7" s="1"/>
  <c r="FZ147" i="7" a="1"/>
  <c r="FZ147" i="7" s="1"/>
  <c r="FL132" i="7" a="1"/>
  <c r="FL132" i="7" s="1"/>
  <c r="EJ135" i="7" a="1"/>
  <c r="EJ135" i="7" s="1"/>
  <c r="DU130" i="7" a="1"/>
  <c r="DU130" i="7" s="1"/>
  <c r="EL125" i="7" a="1"/>
  <c r="EL125" i="7" s="1"/>
  <c r="EG150" i="7" a="1"/>
  <c r="EG150" i="7" s="1"/>
  <c r="EU165" i="7" a="1"/>
  <c r="EU165" i="7" s="1"/>
  <c r="FM180" i="7" a="1"/>
  <c r="FM180" i="7" s="1"/>
  <c r="FR195" i="7" a="1"/>
  <c r="FR195" i="7" s="1"/>
  <c r="DY152" i="7" a="1"/>
  <c r="DY152" i="7" s="1"/>
  <c r="EW178" i="7" a="1"/>
  <c r="EW178" i="7" s="1"/>
  <c r="EG191" i="7" a="1"/>
  <c r="EG191" i="7" s="1"/>
  <c r="DZ154" i="7" a="1"/>
  <c r="DZ154" i="7" s="1"/>
  <c r="FL172" i="7" a="1"/>
  <c r="FL172" i="7" s="1"/>
  <c r="FN187" i="7" a="1"/>
  <c r="FN187" i="7" s="1"/>
  <c r="EL159" i="7" a="1"/>
  <c r="EL159" i="7" s="1"/>
  <c r="FL169" i="7" a="1"/>
  <c r="FL169" i="7" s="1"/>
  <c r="DR177" i="7" a="1"/>
  <c r="DR177" i="7" s="1"/>
  <c r="ET183" i="7" a="1"/>
  <c r="ET183" i="7" s="1"/>
  <c r="FK123" i="7" a="1"/>
  <c r="FK123" i="7" s="1"/>
  <c r="EJ147" i="7" a="1"/>
  <c r="EJ147" i="7" s="1"/>
  <c r="FO114" i="7" a="1"/>
  <c r="FO114" i="7" s="1"/>
  <c r="DV151" i="7" a="1"/>
  <c r="DV151" i="7" s="1"/>
  <c r="EB115" i="7" a="1"/>
  <c r="EB115" i="7" s="1"/>
  <c r="EG145" i="7" a="1"/>
  <c r="EG145" i="7" s="1"/>
  <c r="FC160" i="7" a="1"/>
  <c r="FC160" i="7" s="1"/>
  <c r="FN168" i="7" a="1"/>
  <c r="FN168" i="7" s="1"/>
  <c r="EG178" i="7" a="1"/>
  <c r="EG178" i="7" s="1"/>
  <c r="DS185" i="7" a="1"/>
  <c r="DS185" i="7" s="1"/>
  <c r="FL140" i="7" a="1"/>
  <c r="FL140" i="7" s="1"/>
  <c r="EG166" i="7" a="1"/>
  <c r="EG166" i="7" s="1"/>
  <c r="DV174" i="7" a="1"/>
  <c r="DV174" i="7" s="1"/>
  <c r="EG183" i="7" a="1"/>
  <c r="EG183" i="7" s="1"/>
  <c r="DV190" i="7" a="1"/>
  <c r="DV190" i="7" s="1"/>
  <c r="EP197" i="7" a="1"/>
  <c r="EP197" i="7" s="1"/>
  <c r="FE202" i="7" a="1"/>
  <c r="FE202" i="7" s="1"/>
  <c r="FE205" i="7" a="1"/>
  <c r="FE205" i="7" s="1"/>
  <c r="EC207" i="7" a="1"/>
  <c r="EC207" i="7" s="1"/>
  <c r="FL208" i="7" a="1"/>
  <c r="FL208" i="7" s="1"/>
  <c r="EJ210" i="7" a="1"/>
  <c r="EJ210" i="7" s="1"/>
  <c r="FS211" i="7" a="1"/>
  <c r="FS211" i="7" s="1"/>
  <c r="EQ213" i="7" a="1"/>
  <c r="EQ213" i="7" s="1"/>
  <c r="FZ214" i="7" a="1"/>
  <c r="FZ214" i="7" s="1"/>
  <c r="EX216" i="7" a="1"/>
  <c r="EX216" i="7" s="1"/>
  <c r="FS140" i="7" a="1"/>
  <c r="FS140" i="7" s="1"/>
  <c r="DQ161" i="7" a="1"/>
  <c r="DQ161" i="7" s="1"/>
  <c r="EQ169" i="7" a="1"/>
  <c r="EQ169" i="7" s="1"/>
  <c r="EG180" i="7" a="1"/>
  <c r="EG180" i="7" s="1"/>
  <c r="FZ186" i="7" a="1"/>
  <c r="FZ186" i="7" s="1"/>
  <c r="EZ192" i="7" a="1"/>
  <c r="EZ192" i="7" s="1"/>
  <c r="FD196" i="7" a="1"/>
  <c r="FD196" i="7" s="1"/>
  <c r="EQ199" i="7" a="1"/>
  <c r="EQ199" i="7" s="1"/>
  <c r="FU202" i="7" a="1"/>
  <c r="FU202" i="7" s="1"/>
  <c r="FO142" i="7" a="1"/>
  <c r="FO142" i="7" s="1"/>
  <c r="EO162" i="7" a="1"/>
  <c r="EO162" i="7" s="1"/>
  <c r="FC172" i="7" a="1"/>
  <c r="FC172" i="7" s="1"/>
  <c r="FP177" i="7" a="1"/>
  <c r="FP177" i="7" s="1"/>
  <c r="EQ182" i="7" a="1"/>
  <c r="EQ182" i="7" s="1"/>
  <c r="FZ188" i="7" a="1"/>
  <c r="FZ188" i="7" s="1"/>
  <c r="FU192" i="7" a="1"/>
  <c r="FU192" i="7" s="1"/>
  <c r="FY196" i="7" a="1"/>
  <c r="FY196" i="7" s="1"/>
  <c r="EU200" i="7" a="1"/>
  <c r="EU200" i="7" s="1"/>
  <c r="FK203" i="7" a="1"/>
  <c r="FK203" i="7" s="1"/>
  <c r="EY205" i="7" a="1"/>
  <c r="EY205" i="7" s="1"/>
  <c r="DW207" i="7" a="1"/>
  <c r="DW207" i="7" s="1"/>
  <c r="FF208" i="7" a="1"/>
  <c r="FF208" i="7" s="1"/>
  <c r="FA144" i="7" a="1"/>
  <c r="FA144" i="7" s="1"/>
  <c r="EO164" i="7" a="1"/>
  <c r="EO164" i="7" s="1"/>
  <c r="FN169" i="7" a="1"/>
  <c r="FN169" i="7" s="1"/>
  <c r="DV178" i="7" a="1"/>
  <c r="DV178" i="7" s="1"/>
  <c r="FG182" i="7" a="1"/>
  <c r="FG182" i="7" s="1"/>
  <c r="EA188" i="7" a="1"/>
  <c r="EA188" i="7" s="1"/>
  <c r="EQ192" i="7" a="1"/>
  <c r="EQ192" i="7" s="1"/>
  <c r="FK197" i="7" a="1"/>
  <c r="FK197" i="7" s="1"/>
  <c r="FB201" i="7" a="1"/>
  <c r="FB201" i="7" s="1"/>
  <c r="EW133" i="7" a="1"/>
  <c r="EW133" i="7" s="1"/>
  <c r="FI157" i="7" a="1"/>
  <c r="FI157" i="7" s="1"/>
  <c r="EE168" i="7" a="1"/>
  <c r="EE168" i="7" s="1"/>
  <c r="DS144" i="7" a="1"/>
  <c r="DS144" i="7" s="1"/>
  <c r="ER162" i="7" a="1"/>
  <c r="ER162" i="7" s="1"/>
  <c r="DY176" i="7" a="1"/>
  <c r="DY176" i="7" s="1"/>
  <c r="FR181" i="7" a="1"/>
  <c r="FR181" i="7" s="1"/>
  <c r="EI187" i="7" a="1"/>
  <c r="EI187" i="7" s="1"/>
  <c r="FC192" i="7" a="1"/>
  <c r="FC192" i="7" s="1"/>
  <c r="FI195" i="7" a="1"/>
  <c r="FI195" i="7" s="1"/>
  <c r="EU199" i="7" a="1"/>
  <c r="EU199" i="7" s="1"/>
  <c r="EB203" i="7" a="1"/>
  <c r="EB203" i="7" s="1"/>
  <c r="FK156" i="7" a="1"/>
  <c r="FK156" i="7" s="1"/>
  <c r="DQ173" i="7" a="1"/>
  <c r="DQ173" i="7" s="1"/>
  <c r="ER181" i="7" a="1"/>
  <c r="ER181" i="7" s="1"/>
  <c r="FS189" i="7" a="1"/>
  <c r="FS189" i="7" s="1"/>
  <c r="FD133" i="7" a="1"/>
  <c r="FD133" i="7" s="1"/>
  <c r="FD169" i="7" a="1"/>
  <c r="FD169" i="7" s="1"/>
  <c r="FP181" i="7" a="1"/>
  <c r="FP181" i="7" s="1"/>
  <c r="FB188" i="7" a="1"/>
  <c r="FB188" i="7" s="1"/>
  <c r="ER196" i="7" a="1"/>
  <c r="ER196" i="7" s="1"/>
  <c r="FL158" i="7" a="1"/>
  <c r="FL158" i="7" s="1"/>
  <c r="DT173" i="7" a="1"/>
  <c r="DT173" i="7" s="1"/>
  <c r="EC183" i="7" a="1"/>
  <c r="EC183" i="7" s="1"/>
  <c r="FU190" i="7" a="1"/>
  <c r="FU190" i="7" s="1"/>
  <c r="DQ197" i="7" a="1"/>
  <c r="DQ197" i="7" s="1"/>
  <c r="FD146" i="7" a="1"/>
  <c r="FD146" i="7" s="1"/>
  <c r="EP166" i="7" a="1"/>
  <c r="EP166" i="7" s="1"/>
  <c r="ER177" i="7" a="1"/>
  <c r="ER177" i="7" s="1"/>
  <c r="FB186" i="7" a="1"/>
  <c r="FB186" i="7" s="1"/>
  <c r="ES193" i="7" a="1"/>
  <c r="ES193" i="7" s="1"/>
  <c r="FY155" i="7" a="1"/>
  <c r="FY155" i="7" s="1"/>
  <c r="EW176" i="7" a="1"/>
  <c r="EW176" i="7" s="1"/>
  <c r="EX184" i="7" a="1"/>
  <c r="EX184" i="7" s="1"/>
  <c r="ET191" i="7" a="1"/>
  <c r="ET191" i="7" s="1"/>
  <c r="EM130" i="7" a="1"/>
  <c r="EM130" i="7" s="1"/>
  <c r="EC164" i="7" a="1"/>
  <c r="EC164" i="7" s="1"/>
  <c r="FF173" i="7" a="1"/>
  <c r="FF173" i="7" s="1"/>
  <c r="FW184" i="7" a="1"/>
  <c r="FW184" i="7" s="1"/>
  <c r="EC191" i="7" a="1"/>
  <c r="EC191" i="7" s="1"/>
  <c r="FI153" i="7" a="1"/>
  <c r="FI153" i="7" s="1"/>
  <c r="FH172" i="7" a="1"/>
  <c r="FH172" i="7" s="1"/>
  <c r="FW182" i="7" a="1"/>
  <c r="FW182" i="7" s="1"/>
  <c r="FJ190" i="7" a="1"/>
  <c r="FJ190" i="7" s="1"/>
  <c r="FZ157" i="7" a="1"/>
  <c r="FZ157" i="7" s="1"/>
  <c r="ED174" i="7" a="1"/>
  <c r="ED174" i="7" s="1"/>
  <c r="FX184" i="7" a="1"/>
  <c r="FX184" i="7" s="1"/>
  <c r="EV191" i="7" a="1"/>
  <c r="EV191" i="7" s="1"/>
  <c r="FY159" i="7" a="1"/>
  <c r="FY159" i="7" s="1"/>
  <c r="DZ177" i="7" a="1"/>
  <c r="DZ177" i="7" s="1"/>
  <c r="DS187" i="7" a="1"/>
  <c r="DS187" i="7" s="1"/>
  <c r="EX192" i="7" a="1"/>
  <c r="EX192" i="7" s="1"/>
  <c r="EQ147" i="7" a="1"/>
  <c r="EQ147" i="7" s="1"/>
  <c r="FN113" i="7" a="1"/>
  <c r="FN113" i="7" s="1"/>
  <c r="FP206" i="7" a="1"/>
  <c r="FP206" i="7" s="1"/>
  <c r="DY206" i="7" a="1"/>
  <c r="DY206" i="7" s="1"/>
  <c r="EH205" i="7" a="1"/>
  <c r="EH205" i="7" s="1"/>
  <c r="FI200" i="7" a="1"/>
  <c r="FI200" i="7" s="1"/>
  <c r="FO202" i="7" a="1"/>
  <c r="FO202" i="7" s="1"/>
  <c r="EE160" i="7" a="1"/>
  <c r="EE160" i="7" s="1"/>
  <c r="EJ154" i="7" a="1"/>
  <c r="EJ154" i="7" s="1"/>
  <c r="FP204" i="7" a="1"/>
  <c r="FP204" i="7" s="1"/>
  <c r="FH205" i="7" a="1"/>
  <c r="FH205" i="7" s="1"/>
  <c r="FY200" i="7" a="1"/>
  <c r="FY200" i="7" s="1"/>
  <c r="EQ200" i="7" a="1"/>
  <c r="EQ200" i="7" s="1"/>
  <c r="FR212" i="7" a="1"/>
  <c r="FR212" i="7" s="1"/>
  <c r="EB228" i="7" a="1"/>
  <c r="EB228" i="7" s="1"/>
  <c r="EP235" i="7" a="1"/>
  <c r="EP235" i="7" s="1"/>
  <c r="FN213" i="7" a="1"/>
  <c r="FN213" i="7" s="1"/>
  <c r="FU220" i="7" a="1"/>
  <c r="FU220" i="7" s="1"/>
  <c r="DR221" i="7" a="1"/>
  <c r="DR221" i="7" s="1"/>
  <c r="DY209" i="7" a="1"/>
  <c r="DY209" i="7" s="1"/>
  <c r="FT218" i="7" a="1"/>
  <c r="FT218" i="7" s="1"/>
  <c r="FB211" i="7" a="1"/>
  <c r="FB211" i="7" s="1"/>
  <c r="DW211" i="7" a="1"/>
  <c r="DW211" i="7" s="1"/>
  <c r="EN219" i="7" a="1"/>
  <c r="EN219" i="7" s="1"/>
  <c r="FX209" i="7" a="1"/>
  <c r="FX209" i="7" s="1"/>
  <c r="ED223" i="7" a="1"/>
  <c r="ED223" i="7" s="1"/>
  <c r="EM217" i="7" a="1"/>
  <c r="EM217" i="7" s="1"/>
  <c r="DU208" i="7" a="1"/>
  <c r="DU208" i="7" s="1"/>
  <c r="FH197" i="7" a="1"/>
  <c r="FH197" i="7" s="1"/>
  <c r="FP189" i="7" a="1"/>
  <c r="FP189" i="7" s="1"/>
  <c r="FR220" i="7" a="1"/>
  <c r="FR220" i="7" s="1"/>
  <c r="FW226" i="7" a="1"/>
  <c r="FW226" i="7" s="1"/>
  <c r="FE217" i="7" a="1"/>
  <c r="FE217" i="7" s="1"/>
  <c r="EH232" i="7" a="1"/>
  <c r="EH232" i="7" s="1"/>
  <c r="DS211" i="7" a="1"/>
  <c r="DS211" i="7" s="1"/>
  <c r="FM231" i="7" a="1"/>
  <c r="FM231" i="7" s="1"/>
  <c r="FV227" i="7" a="1"/>
  <c r="FV227" i="7" s="1"/>
  <c r="FH237" i="7" a="1"/>
  <c r="FH237" i="7" s="1"/>
  <c r="EX224" i="7" a="1"/>
  <c r="EX224" i="7" s="1"/>
  <c r="FM236" i="7" a="1"/>
  <c r="FM236" i="7" s="1"/>
  <c r="FO231" i="7" a="1"/>
  <c r="FO231" i="7" s="1"/>
  <c r="FP239" i="7" a="1"/>
  <c r="FP239" i="7" s="1"/>
  <c r="EW230" i="7" a="1"/>
  <c r="EW230" i="7" s="1"/>
  <c r="FE223" i="7" a="1"/>
  <c r="FE223" i="7" s="1"/>
  <c r="FV236" i="7" a="1"/>
  <c r="FV236" i="7" s="1"/>
  <c r="EO220" i="7" a="1"/>
  <c r="EO220" i="7" s="1"/>
  <c r="EZ236" i="7" a="1"/>
  <c r="EZ236" i="7" s="1"/>
  <c r="EW229" i="7" a="1"/>
  <c r="EW229" i="7" s="1"/>
  <c r="EU220" i="7" a="1"/>
  <c r="EU220" i="7" s="1"/>
  <c r="EA230" i="7" a="1"/>
  <c r="EA230" i="7" s="1"/>
  <c r="EO225" i="7" a="1"/>
  <c r="EO225" i="7" s="1"/>
  <c r="DX245" i="7" a="1"/>
  <c r="DX245" i="7" s="1"/>
  <c r="ER253" i="7" a="1"/>
  <c r="ER253" i="7" s="1"/>
  <c r="DR224" i="7" a="1"/>
  <c r="DR224" i="7" s="1"/>
  <c r="DY245" i="7" a="1"/>
  <c r="DY245" i="7" s="1"/>
  <c r="EF228" i="7" a="1"/>
  <c r="EF228" i="7" s="1"/>
  <c r="ED246" i="7" a="1"/>
  <c r="ED246" i="7" s="1"/>
  <c r="DQ254" i="7" a="1"/>
  <c r="DQ254" i="7" s="1"/>
  <c r="EI226" i="7" a="1"/>
  <c r="EI226" i="7" s="1"/>
  <c r="EO245" i="7" a="1"/>
  <c r="EO245" i="7" s="1"/>
  <c r="EI250" i="7" a="1"/>
  <c r="EI250" i="7" s="1"/>
  <c r="EL231" i="7" a="1"/>
  <c r="EL231" i="7" s="1"/>
  <c r="EA242" i="7" a="1"/>
  <c r="EA242" i="7" s="1"/>
  <c r="EE246" i="7" a="1"/>
  <c r="EE246" i="7" s="1"/>
  <c r="EV220" i="7" a="1"/>
  <c r="EV220" i="7" s="1"/>
  <c r="EI242" i="7" a="1"/>
  <c r="EI242" i="7" s="1"/>
  <c r="EF246" i="7" a="1"/>
  <c r="EF246" i="7" s="1"/>
  <c r="DZ251" i="7" a="1"/>
  <c r="DZ251" i="7" s="1"/>
  <c r="GA235" i="7" a="1"/>
  <c r="GA235" i="7" s="1"/>
  <c r="EQ242" i="7" a="1"/>
  <c r="EQ242" i="7" s="1"/>
  <c r="EK247" i="7" a="1"/>
  <c r="EK247" i="7" s="1"/>
  <c r="EH251" i="7" a="1"/>
  <c r="EH251" i="7" s="1"/>
  <c r="EB239" i="7" a="1"/>
  <c r="EB239" i="7" s="1"/>
  <c r="FS243" i="7" a="1"/>
  <c r="FS243" i="7" s="1"/>
  <c r="FP247" i="7" a="1"/>
  <c r="FP247" i="7" s="1"/>
  <c r="EV228" i="7" a="1"/>
  <c r="EV228" i="7" s="1"/>
  <c r="EF241" i="7" a="1"/>
  <c r="EF241" i="7" s="1"/>
  <c r="DZ246" i="7" a="1"/>
  <c r="DZ246" i="7" s="1"/>
  <c r="FR225" i="7" a="1"/>
  <c r="FR225" i="7" s="1"/>
  <c r="FE228" i="7" a="1"/>
  <c r="FE228" i="7" s="1"/>
  <c r="EU242" i="7" a="1"/>
  <c r="EU242" i="7" s="1"/>
  <c r="GA225" i="7" a="1"/>
  <c r="GA225" i="7" s="1"/>
  <c r="EP251" i="7" a="1"/>
  <c r="EP251" i="7" s="1"/>
  <c r="FE239" i="7" a="1"/>
  <c r="FE239" i="7" s="1"/>
  <c r="FJ253" i="7" a="1"/>
  <c r="FJ253" i="7" s="1"/>
  <c r="FH257" i="7" a="1"/>
  <c r="FH257" i="7" s="1"/>
  <c r="FH259" i="7" a="1"/>
  <c r="FH259" i="7" s="1"/>
  <c r="DY262" i="7" a="1"/>
  <c r="DY262" i="7" s="1"/>
  <c r="DY264" i="7" a="1"/>
  <c r="DY264" i="7" s="1"/>
  <c r="DY266" i="7" a="1"/>
  <c r="DY266" i="7" s="1"/>
  <c r="FA268" i="7" a="1"/>
  <c r="FA268" i="7" s="1"/>
  <c r="FA270" i="7" a="1"/>
  <c r="FA270" i="7" s="1"/>
  <c r="DR273" i="7" a="1"/>
  <c r="DR273" i="7" s="1"/>
  <c r="DR275" i="7" a="1"/>
  <c r="DR275" i="7" s="1"/>
  <c r="FG245" i="7" a="1"/>
  <c r="FG245" i="7" s="1"/>
  <c r="FV253" i="7" a="1"/>
  <c r="FV253" i="7" s="1"/>
  <c r="FH245" i="7" a="1"/>
  <c r="FH245" i="7" s="1"/>
  <c r="FA255" i="7" a="1"/>
  <c r="FA255" i="7" s="1"/>
  <c r="EG258" i="7" a="1"/>
  <c r="EG258" i="7" s="1"/>
  <c r="EG260" i="7" a="1"/>
  <c r="EG260" i="7" s="1"/>
  <c r="FI262" i="7" a="1"/>
  <c r="FI262" i="7" s="1"/>
  <c r="FI264" i="7" a="1"/>
  <c r="FI264" i="7" s="1"/>
  <c r="DZ267" i="7" a="1"/>
  <c r="DZ267" i="7" s="1"/>
  <c r="DZ269" i="7" a="1"/>
  <c r="DZ269" i="7" s="1"/>
  <c r="FN246" i="7" a="1"/>
  <c r="FN246" i="7" s="1"/>
  <c r="EG257" i="7" a="1"/>
  <c r="EG257" i="7" s="1"/>
  <c r="EY248" i="7" a="1"/>
  <c r="EY248" i="7" s="1"/>
  <c r="FV255" i="7" a="1"/>
  <c r="FV255" i="7" s="1"/>
  <c r="EV258" i="7" a="1"/>
  <c r="EV258" i="7" s="1"/>
  <c r="EV260" i="7" a="1"/>
  <c r="EV260" i="7" s="1"/>
  <c r="FX262" i="7" a="1"/>
  <c r="FX262" i="7" s="1"/>
  <c r="FX264" i="7" a="1"/>
  <c r="FX264" i="7" s="1"/>
  <c r="EO267" i="7" a="1"/>
  <c r="EO267" i="7" s="1"/>
  <c r="EO269" i="7" a="1"/>
  <c r="EO269" i="7" s="1"/>
  <c r="FT246" i="7" a="1"/>
  <c r="FT246" i="7" s="1"/>
  <c r="ET224" i="7" a="1"/>
  <c r="ET224" i="7" s="1"/>
  <c r="ET249" i="7" a="1"/>
  <c r="ET249" i="7" s="1"/>
  <c r="DZ255" i="7" a="1"/>
  <c r="DZ255" i="7" s="1"/>
  <c r="FY257" i="7" a="1"/>
  <c r="FY257" i="7" s="1"/>
  <c r="FD259" i="7" a="1"/>
  <c r="FD259" i="7" s="1"/>
  <c r="EI261" i="7" a="1"/>
  <c r="EI261" i="7" s="1"/>
  <c r="FY262" i="7" a="1"/>
  <c r="FY262" i="7" s="1"/>
  <c r="FD264" i="7" a="1"/>
  <c r="FD264" i="7" s="1"/>
  <c r="EI266" i="7" a="1"/>
  <c r="EI266" i="7" s="1"/>
  <c r="FN240" i="7" a="1"/>
  <c r="FN240" i="7" s="1"/>
  <c r="FK249" i="7" a="1"/>
  <c r="FK249" i="7" s="1"/>
  <c r="FY230" i="7" a="1"/>
  <c r="FY230" i="7" s="1"/>
  <c r="EJ248" i="7" a="1"/>
  <c r="EJ248" i="7" s="1"/>
  <c r="FZ253" i="7" a="1"/>
  <c r="FZ253" i="7" s="1"/>
  <c r="FJ256" i="7" a="1"/>
  <c r="FJ256" i="7" s="1"/>
  <c r="FL258" i="7" a="1"/>
  <c r="FL258" i="7" s="1"/>
  <c r="EQ260" i="7" a="1"/>
  <c r="EQ260" i="7" s="1"/>
  <c r="EZ245" i="7" a="1"/>
  <c r="EZ245" i="7" s="1"/>
  <c r="FD252" i="7" a="1"/>
  <c r="FD252" i="7" s="1"/>
  <c r="DZ256" i="7" a="1"/>
  <c r="DZ256" i="7" s="1"/>
  <c r="EL258" i="7" a="1"/>
  <c r="EL258" i="7" s="1"/>
  <c r="DQ260" i="7" a="1"/>
  <c r="DQ260" i="7" s="1"/>
  <c r="FN261" i="7" a="1"/>
  <c r="FN261" i="7" s="1"/>
  <c r="ES263" i="7" a="1"/>
  <c r="ES263" i="7" s="1"/>
  <c r="DX265" i="7" a="1"/>
  <c r="DX265" i="7" s="1"/>
  <c r="FJ244" i="7" a="1"/>
  <c r="FJ244" i="7" s="1"/>
  <c r="FE263" i="7" a="1"/>
  <c r="FE263" i="7" s="1"/>
  <c r="DS270" i="7" a="1"/>
  <c r="DS270" i="7" s="1"/>
  <c r="FR273" i="7" a="1"/>
  <c r="FR273" i="7" s="1"/>
  <c r="EM279" i="7" a="1"/>
  <c r="EM279" i="7" s="1"/>
  <c r="DU284" i="7" a="1"/>
  <c r="DU284" i="7" s="1"/>
  <c r="EB287" i="7" a="1"/>
  <c r="EB287" i="7" s="1"/>
  <c r="EI290" i="7" a="1"/>
  <c r="EI290" i="7" s="1"/>
  <c r="EP293" i="7" a="1"/>
  <c r="EP293" i="7" s="1"/>
  <c r="FG266" i="7" a="1"/>
  <c r="FG266" i="7" s="1"/>
  <c r="FK271" i="7" a="1"/>
  <c r="FK271" i="7" s="1"/>
  <c r="EH275" i="7" a="1"/>
  <c r="EH275" i="7" s="1"/>
  <c r="EY277" i="7" a="1"/>
  <c r="EY277" i="7" s="1"/>
  <c r="EN279" i="7" a="1"/>
  <c r="EN279" i="7" s="1"/>
  <c r="EB281" i="7" a="1"/>
  <c r="EB281" i="7" s="1"/>
  <c r="FY283" i="7" a="1"/>
  <c r="FY283" i="7" s="1"/>
  <c r="DU287" i="7" a="1"/>
  <c r="DU287" i="7" s="1"/>
  <c r="DW262" i="7" a="1"/>
  <c r="DW262" i="7" s="1"/>
  <c r="FF267" i="7" a="1"/>
  <c r="FF267" i="7" s="1"/>
  <c r="FT271" i="7" a="1"/>
  <c r="FT271" i="7" s="1"/>
  <c r="EQ275" i="7" a="1"/>
  <c r="EQ275" i="7" s="1"/>
  <c r="FM282" i="7" a="1"/>
  <c r="FM282" i="7" s="1"/>
  <c r="FT285" i="7" a="1"/>
  <c r="FT285" i="7" s="1"/>
  <c r="GA288" i="7" a="1"/>
  <c r="GA288" i="7" s="1"/>
  <c r="DW292" i="7" a="1"/>
  <c r="DW292" i="7" s="1"/>
  <c r="EW254" i="7" a="1"/>
  <c r="EW254" i="7" s="1"/>
  <c r="EC270" i="7" a="1"/>
  <c r="EC270" i="7" s="1"/>
  <c r="DQ274" i="7" a="1"/>
  <c r="DQ274" i="7" s="1"/>
  <c r="FN276" i="7" a="1"/>
  <c r="FN276" i="7" s="1"/>
  <c r="FC278" i="7" a="1"/>
  <c r="FC278" i="7" s="1"/>
  <c r="EQ280" i="7" a="1"/>
  <c r="EQ280" i="7" s="1"/>
  <c r="FU282" i="7" a="1"/>
  <c r="FU282" i="7" s="1"/>
  <c r="DQ247" i="7" a="1"/>
  <c r="DQ247" i="7" s="1"/>
  <c r="EY262" i="7" a="1"/>
  <c r="EY262" i="7" s="1"/>
  <c r="ER268" i="7" a="1"/>
  <c r="ER268" i="7" s="1"/>
  <c r="EK272" i="7" a="1"/>
  <c r="EK272" i="7" s="1"/>
  <c r="FS275" i="7" a="1"/>
  <c r="FS275" i="7" s="1"/>
  <c r="FV282" i="7" a="1"/>
  <c r="FV282" i="7" s="1"/>
  <c r="ET245" i="7" a="1"/>
  <c r="ET245" i="7" s="1"/>
  <c r="FN269" i="7" a="1"/>
  <c r="FN269" i="7" s="1"/>
  <c r="EK273" i="7" a="1"/>
  <c r="EK273" i="7" s="1"/>
  <c r="EY276" i="7" a="1"/>
  <c r="EY276" i="7" s="1"/>
  <c r="EN278" i="7" a="1"/>
  <c r="EN278" i="7" s="1"/>
  <c r="EB280" i="7" a="1"/>
  <c r="EB280" i="7" s="1"/>
  <c r="ER282" i="7" a="1"/>
  <c r="ER282" i="7" s="1"/>
  <c r="DU238" i="7" a="1"/>
  <c r="DU238" i="7" s="1"/>
  <c r="FE262" i="7" a="1"/>
  <c r="FE262" i="7" s="1"/>
  <c r="ES268" i="7" a="1"/>
  <c r="ES268" i="7" s="1"/>
  <c r="EL272" i="7" a="1"/>
  <c r="EL272" i="7" s="1"/>
  <c r="FT275" i="7" a="1"/>
  <c r="FT275" i="7" s="1"/>
  <c r="FH282" i="7" a="1"/>
  <c r="FH282" i="7" s="1"/>
  <c r="EE250" i="7" a="1"/>
  <c r="EE250" i="7" s="1"/>
  <c r="EB269" i="7" a="1"/>
  <c r="EB269" i="7" s="1"/>
  <c r="EL273" i="7" a="1"/>
  <c r="EL273" i="7" s="1"/>
  <c r="EZ276" i="7" a="1"/>
  <c r="EZ276" i="7" s="1"/>
  <c r="EO278" i="7" a="1"/>
  <c r="EO278" i="7" s="1"/>
  <c r="EC280" i="7" a="1"/>
  <c r="EC280" i="7" s="1"/>
  <c r="ES282" i="7" a="1"/>
  <c r="ES282" i="7" s="1"/>
  <c r="EZ285" i="7" a="1"/>
  <c r="EZ285" i="7" s="1"/>
  <c r="FT243" i="7" a="1"/>
  <c r="FT243" i="7" s="1"/>
  <c r="DV263" i="7" a="1"/>
  <c r="DV263" i="7" s="1"/>
  <c r="FR268" i="7" a="1"/>
  <c r="FR268" i="7" s="1"/>
  <c r="EW272" i="7" a="1"/>
  <c r="EW272" i="7" s="1"/>
  <c r="DT276" i="7" a="1"/>
  <c r="DT276" i="7" s="1"/>
  <c r="FX282" i="7" a="1"/>
  <c r="FX282" i="7" s="1"/>
  <c r="EH249" i="7" a="1"/>
  <c r="EH249" i="7" s="1"/>
  <c r="FI269" i="7" a="1"/>
  <c r="FI269" i="7" s="1"/>
  <c r="EW273" i="7" a="1"/>
  <c r="EW273" i="7" s="1"/>
  <c r="FB276" i="7" a="1"/>
  <c r="FB276" i="7" s="1"/>
  <c r="FS267" i="7" a="1"/>
  <c r="FS267" i="7" s="1"/>
  <c r="FJ271" i="7" a="1"/>
  <c r="FJ271" i="7" s="1"/>
  <c r="EG275" i="7" a="1"/>
  <c r="EG275" i="7" s="1"/>
  <c r="FF277" i="7" a="1"/>
  <c r="FF277" i="7" s="1"/>
  <c r="EU279" i="7" a="1"/>
  <c r="EU279" i="7" s="1"/>
  <c r="EI281" i="7" a="1"/>
  <c r="EI281" i="7" s="1"/>
  <c r="EB284" i="7" a="1"/>
  <c r="EB284" i="7" s="1"/>
  <c r="EW275" i="7" a="1"/>
  <c r="EW275" i="7" s="1"/>
  <c r="EW287" i="7" a="1"/>
  <c r="EW287" i="7" s="1"/>
  <c r="EJ291" i="7" a="1"/>
  <c r="EJ291" i="7" s="1"/>
  <c r="FH294" i="7" a="1"/>
  <c r="FH294" i="7" s="1"/>
  <c r="FO297" i="7" a="1"/>
  <c r="FO297" i="7" s="1"/>
  <c r="GA299" i="7" a="1"/>
  <c r="GA299" i="7" s="1"/>
  <c r="EY301" i="7" a="1"/>
  <c r="EY301" i="7" s="1"/>
  <c r="DW303" i="7" a="1"/>
  <c r="DW303" i="7" s="1"/>
  <c r="FF304" i="7" a="1"/>
  <c r="FF304" i="7" s="1"/>
  <c r="ED306" i="7" a="1"/>
  <c r="ED306" i="7" s="1"/>
  <c r="FM307" i="7" a="1"/>
  <c r="FM307" i="7" s="1"/>
  <c r="EK309" i="7" a="1"/>
  <c r="EK309" i="7" s="1"/>
  <c r="FT310" i="7" a="1"/>
  <c r="FT310" i="7" s="1"/>
  <c r="ER312" i="7" a="1"/>
  <c r="ER312" i="7" s="1"/>
  <c r="GA313" i="7" a="1"/>
  <c r="GA313" i="7" s="1"/>
  <c r="EY315" i="7" a="1"/>
  <c r="EY315" i="7" s="1"/>
  <c r="DW317" i="7" a="1"/>
  <c r="DW317" i="7" s="1"/>
  <c r="FF318" i="7" a="1"/>
  <c r="FF318" i="7" s="1"/>
  <c r="ED320" i="7" a="1"/>
  <c r="ED320" i="7" s="1"/>
  <c r="FM321" i="7" a="1"/>
  <c r="FM321" i="7" s="1"/>
  <c r="EK323" i="7" a="1"/>
  <c r="EK323" i="7" s="1"/>
  <c r="FT324" i="7" a="1"/>
  <c r="FT324" i="7" s="1"/>
  <c r="FX274" i="7" a="1"/>
  <c r="FX274" i="7" s="1"/>
  <c r="FW283" i="7" a="1"/>
  <c r="FW283" i="7" s="1"/>
  <c r="EX288" i="7" a="1"/>
  <c r="EX288" i="7" s="1"/>
  <c r="EI292" i="7" a="1"/>
  <c r="EI292" i="7" s="1"/>
  <c r="DQ296" i="7" a="1"/>
  <c r="DQ296" i="7" s="1"/>
  <c r="EQ256" i="7" a="1"/>
  <c r="EQ256" i="7" s="1"/>
  <c r="EG282" i="7" a="1"/>
  <c r="EG282" i="7" s="1"/>
  <c r="FG288" i="7" a="1"/>
  <c r="FG288" i="7" s="1"/>
  <c r="EA292" i="7" a="1"/>
  <c r="EA292" i="7" s="1"/>
  <c r="EQ295" i="7" a="1"/>
  <c r="EQ295" i="7" s="1"/>
  <c r="EX298" i="7" a="1"/>
  <c r="EX298" i="7" s="1"/>
  <c r="EL300" i="7" a="1"/>
  <c r="EL300" i="7" s="1"/>
  <c r="FU301" i="7" a="1"/>
  <c r="FU301" i="7" s="1"/>
  <c r="ES303" i="7" a="1"/>
  <c r="ES303" i="7" s="1"/>
  <c r="DQ305" i="7" a="1"/>
  <c r="DQ305" i="7" s="1"/>
  <c r="EZ306" i="7" a="1"/>
  <c r="EZ306" i="7" s="1"/>
  <c r="DX308" i="7" a="1"/>
  <c r="DX308" i="7" s="1"/>
  <c r="FG309" i="7" a="1"/>
  <c r="FG309" i="7" s="1"/>
  <c r="EE311" i="7" a="1"/>
  <c r="EE311" i="7" s="1"/>
  <c r="FN312" i="7" a="1"/>
  <c r="FN312" i="7" s="1"/>
  <c r="EL314" i="7" a="1"/>
  <c r="EL314" i="7" s="1"/>
  <c r="FU315" i="7" a="1"/>
  <c r="FU315" i="7" s="1"/>
  <c r="ES317" i="7" a="1"/>
  <c r="ES317" i="7" s="1"/>
  <c r="DQ319" i="7" a="1"/>
  <c r="DQ319" i="7" s="1"/>
  <c r="EZ320" i="7" a="1"/>
  <c r="EZ320" i="7" s="1"/>
  <c r="DX322" i="7" a="1"/>
  <c r="DX322" i="7" s="1"/>
  <c r="FI271" i="7" a="1"/>
  <c r="FI271" i="7" s="1"/>
  <c r="EZ283" i="7" a="1"/>
  <c r="EZ283" i="7" s="1"/>
  <c r="FH288" i="7" a="1"/>
  <c r="FH288" i="7" s="1"/>
  <c r="ES292" i="7" a="1"/>
  <c r="ES292" i="7" s="1"/>
  <c r="EY295" i="7" a="1"/>
  <c r="EY295" i="7" s="1"/>
  <c r="FF298" i="7" a="1"/>
  <c r="FF298" i="7" s="1"/>
  <c r="FK282" i="7" a="1"/>
  <c r="FK282" i="7" s="1"/>
  <c r="EZ287" i="7" a="1"/>
  <c r="EZ287" i="7" s="1"/>
  <c r="EL291" i="7" a="1"/>
  <c r="EL291" i="7" s="1"/>
  <c r="FJ294" i="7" a="1"/>
  <c r="FJ294" i="7" s="1"/>
  <c r="FQ297" i="7" a="1"/>
  <c r="FQ297" i="7" s="1"/>
  <c r="FV299" i="7" a="1"/>
  <c r="FV299" i="7" s="1"/>
  <c r="ET301" i="7" a="1"/>
  <c r="ET301" i="7" s="1"/>
  <c r="DR303" i="7" a="1"/>
  <c r="DR303" i="7" s="1"/>
  <c r="FA304" i="7" a="1"/>
  <c r="FA304" i="7" s="1"/>
  <c r="DY306" i="7" a="1"/>
  <c r="DY306" i="7" s="1"/>
  <c r="FH307" i="7" a="1"/>
  <c r="FH307" i="7" s="1"/>
  <c r="EF309" i="7" a="1"/>
  <c r="EF309" i="7" s="1"/>
  <c r="FO310" i="7" a="1"/>
  <c r="FO310" i="7" s="1"/>
  <c r="DX271" i="7" a="1"/>
  <c r="DX271" i="7" s="1"/>
  <c r="FD280" i="7" a="1"/>
  <c r="FD280" i="7" s="1"/>
  <c r="DZ288" i="7" a="1"/>
  <c r="DZ288" i="7" s="1"/>
  <c r="EV291" i="7" a="1"/>
  <c r="EV291" i="7" s="1"/>
  <c r="EZ295" i="7" a="1"/>
  <c r="EZ295" i="7" s="1"/>
  <c r="FG298" i="7" a="1"/>
  <c r="FG298" i="7" s="1"/>
  <c r="DY281" i="7" a="1"/>
  <c r="DY281" i="7" s="1"/>
  <c r="FK287" i="7" a="1"/>
  <c r="FK287" i="7" s="1"/>
  <c r="EW291" i="7" a="1"/>
  <c r="EW291" i="7" s="1"/>
  <c r="FK294" i="7" a="1"/>
  <c r="FK294" i="7" s="1"/>
  <c r="FR297" i="7" a="1"/>
  <c r="FR297" i="7" s="1"/>
  <c r="FW299" i="7" a="1"/>
  <c r="FW299" i="7" s="1"/>
  <c r="EU301" i="7" a="1"/>
  <c r="EU301" i="7" s="1"/>
  <c r="DS303" i="7" a="1"/>
  <c r="DS303" i="7" s="1"/>
  <c r="FB304" i="7" a="1"/>
  <c r="FB304" i="7" s="1"/>
  <c r="DZ306" i="7" a="1"/>
  <c r="DZ306" i="7" s="1"/>
  <c r="FI307" i="7" a="1"/>
  <c r="FI307" i="7" s="1"/>
  <c r="EG309" i="7" a="1"/>
  <c r="EG309" i="7" s="1"/>
  <c r="FP310" i="7" a="1"/>
  <c r="FP310" i="7" s="1"/>
  <c r="EN312" i="7" a="1"/>
  <c r="EN312" i="7" s="1"/>
  <c r="EB254" i="7" a="1"/>
  <c r="EB254" i="7" s="1"/>
  <c r="DW277" i="7" a="1"/>
  <c r="DW277" i="7" s="1"/>
  <c r="DZ284" i="7" a="1"/>
  <c r="DZ284" i="7" s="1"/>
  <c r="DZ289" i="7" a="1"/>
  <c r="DZ289" i="7" s="1"/>
  <c r="FM292" i="7" a="1"/>
  <c r="FM292" i="7" s="1"/>
  <c r="EB296" i="7" a="1"/>
  <c r="EB296" i="7" s="1"/>
  <c r="EU250" i="7" a="1"/>
  <c r="EU250" i="7" s="1"/>
  <c r="EU282" i="7" a="1"/>
  <c r="EU282" i="7" s="1"/>
  <c r="FB288" i="7" a="1"/>
  <c r="FB288" i="7" s="1"/>
  <c r="EE292" i="7" a="1"/>
  <c r="EE292" i="7" s="1"/>
  <c r="EM295" i="7" a="1"/>
  <c r="EM295" i="7" s="1"/>
  <c r="ET298" i="7" a="1"/>
  <c r="ET298" i="7" s="1"/>
  <c r="EH300" i="7" a="1"/>
  <c r="EH300" i="7" s="1"/>
  <c r="FQ301" i="7" a="1"/>
  <c r="FQ301" i="7" s="1"/>
  <c r="EO303" i="7" a="1"/>
  <c r="EO303" i="7" s="1"/>
  <c r="FX304" i="7" a="1"/>
  <c r="FX304" i="7" s="1"/>
  <c r="EV306" i="7" a="1"/>
  <c r="EV306" i="7" s="1"/>
  <c r="DT308" i="7" a="1"/>
  <c r="DT308" i="7" s="1"/>
  <c r="FC309" i="7" a="1"/>
  <c r="FC309" i="7" s="1"/>
  <c r="EA311" i="7" a="1"/>
  <c r="EA311" i="7" s="1"/>
  <c r="EX278" i="7" a="1"/>
  <c r="EX278" i="7" s="1"/>
  <c r="FZ285" i="7" a="1"/>
  <c r="FZ285" i="7" s="1"/>
  <c r="EH290" i="7" a="1"/>
  <c r="EH290" i="7" s="1"/>
  <c r="FD293" i="7" a="1"/>
  <c r="FD293" i="7" s="1"/>
  <c r="FO296" i="7" a="1"/>
  <c r="FO296" i="7" s="1"/>
  <c r="EP271" i="7" a="1"/>
  <c r="EP271" i="7" s="1"/>
  <c r="FQ285" i="7" a="1"/>
  <c r="FQ285" i="7" s="1"/>
  <c r="FL262" i="7" a="1"/>
  <c r="FL262" i="7" s="1"/>
  <c r="ES279" i="7" a="1"/>
  <c r="ES279" i="7" s="1"/>
  <c r="EB286" i="7" a="1"/>
  <c r="EB286" i="7" s="1"/>
  <c r="FG268" i="7" a="1"/>
  <c r="FG268" i="7" s="1"/>
  <c r="EX285" i="7" a="1"/>
  <c r="EX285" i="7" s="1"/>
  <c r="FQ272" i="7" a="1"/>
  <c r="FQ272" i="7" s="1"/>
  <c r="EO281" i="7" a="1"/>
  <c r="EO281" i="7" s="1"/>
  <c r="FW288" i="7" a="1"/>
  <c r="FW288" i="7" s="1"/>
  <c r="EH292" i="7" a="1"/>
  <c r="EH292" i="7" s="1"/>
  <c r="FL295" i="7" a="1"/>
  <c r="FL295" i="7" s="1"/>
  <c r="FS298" i="7" a="1"/>
  <c r="FS298" i="7" s="1"/>
  <c r="DV301" i="7" a="1"/>
  <c r="DV301" i="7" s="1"/>
  <c r="EB307" i="7" a="1"/>
  <c r="EB307" i="7" s="1"/>
  <c r="EX314" i="7" a="1"/>
  <c r="EX314" i="7" s="1"/>
  <c r="FW318" i="7" a="1"/>
  <c r="FW318" i="7" s="1"/>
  <c r="DS326" i="7" a="1"/>
  <c r="DS326" i="7" s="1"/>
  <c r="DZ329" i="7" a="1"/>
  <c r="DZ329" i="7" s="1"/>
  <c r="EG332" i="7" a="1"/>
  <c r="EG332" i="7" s="1"/>
  <c r="EN335" i="7" a="1"/>
  <c r="EN335" i="7" s="1"/>
  <c r="EU338" i="7" a="1"/>
  <c r="EU338" i="7" s="1"/>
  <c r="FB341" i="7" a="1"/>
  <c r="FB341" i="7" s="1"/>
  <c r="FI344" i="7" a="1"/>
  <c r="FI344" i="7" s="1"/>
  <c r="FP347" i="7" a="1"/>
  <c r="FP347" i="7" s="1"/>
  <c r="FU349" i="7" a="1"/>
  <c r="FU349" i="7" s="1"/>
  <c r="ES351" i="7" a="1"/>
  <c r="ES351" i="7" s="1"/>
  <c r="DQ353" i="7" a="1"/>
  <c r="DQ353" i="7" s="1"/>
  <c r="EZ354" i="7" a="1"/>
  <c r="EZ354" i="7" s="1"/>
  <c r="DX356" i="7" a="1"/>
  <c r="DX356" i="7" s="1"/>
  <c r="FG357" i="7" a="1"/>
  <c r="FG357" i="7" s="1"/>
  <c r="EE359" i="7" a="1"/>
  <c r="EE359" i="7" s="1"/>
  <c r="FN360" i="7" a="1"/>
  <c r="FN360" i="7" s="1"/>
  <c r="DX292" i="7" a="1"/>
  <c r="DX292" i="7" s="1"/>
  <c r="EI312" i="7" a="1"/>
  <c r="EI312" i="7" s="1"/>
  <c r="FY315" i="7" a="1"/>
  <c r="FY315" i="7" s="1"/>
  <c r="EM320" i="7" a="1"/>
  <c r="EM320" i="7" s="1"/>
  <c r="EN323" i="7" a="1"/>
  <c r="EN323" i="7" s="1"/>
  <c r="EB325" i="7" a="1"/>
  <c r="EB325" i="7" s="1"/>
  <c r="EC328" i="7" a="1"/>
  <c r="EC328" i="7" s="1"/>
  <c r="EJ331" i="7" a="1"/>
  <c r="EJ331" i="7" s="1"/>
  <c r="EQ334" i="7" a="1"/>
  <c r="EQ334" i="7" s="1"/>
  <c r="EX337" i="7" a="1"/>
  <c r="EX337" i="7" s="1"/>
  <c r="FE340" i="7" a="1"/>
  <c r="FE340" i="7" s="1"/>
  <c r="FL343" i="7" a="1"/>
  <c r="FL343" i="7" s="1"/>
  <c r="FS346" i="7" a="1"/>
  <c r="FS346" i="7" s="1"/>
  <c r="DY292" i="7" a="1"/>
  <c r="DY292" i="7" s="1"/>
  <c r="FY302" i="7" a="1"/>
  <c r="FY302" i="7" s="1"/>
  <c r="EP308" i="7" a="1"/>
  <c r="EP308" i="7" s="1"/>
  <c r="EP315" i="7" a="1"/>
  <c r="EP315" i="7" s="1"/>
  <c r="FO319" i="7" a="1"/>
  <c r="FO319" i="7" s="1"/>
  <c r="FU326" i="7" a="1"/>
  <c r="FU326" i="7" s="1"/>
  <c r="DQ330" i="7" a="1"/>
  <c r="DQ330" i="7" s="1"/>
  <c r="DX333" i="7" a="1"/>
  <c r="DX333" i="7" s="1"/>
  <c r="EE336" i="7" a="1"/>
  <c r="EE336" i="7" s="1"/>
  <c r="EL339" i="7" a="1"/>
  <c r="EL339" i="7" s="1"/>
  <c r="ES342" i="7" a="1"/>
  <c r="ES342" i="7" s="1"/>
  <c r="EZ345" i="7" a="1"/>
  <c r="EZ345" i="7" s="1"/>
  <c r="FG348" i="7" a="1"/>
  <c r="FG348" i="7" s="1"/>
  <c r="EM350" i="7" a="1"/>
  <c r="EM350" i="7" s="1"/>
  <c r="FV351" i="7" a="1"/>
  <c r="FV351" i="7" s="1"/>
  <c r="ET353" i="7" a="1"/>
  <c r="ET353" i="7" s="1"/>
  <c r="FC289" i="7" a="1"/>
  <c r="FC289" i="7" s="1"/>
  <c r="FS311" i="7" a="1"/>
  <c r="FS311" i="7" s="1"/>
  <c r="FI315" i="7" a="1"/>
  <c r="FI315" i="7" s="1"/>
  <c r="FX319" i="7" a="1"/>
  <c r="FX319" i="7" s="1"/>
  <c r="DY323" i="7" a="1"/>
  <c r="DY323" i="7" s="1"/>
  <c r="FX324" i="7" a="1"/>
  <c r="FX324" i="7" s="1"/>
  <c r="FK327" i="7" a="1"/>
  <c r="FK327" i="7" s="1"/>
  <c r="FR330" i="7" a="1"/>
  <c r="FR330" i="7" s="1"/>
  <c r="FY333" i="7" a="1"/>
  <c r="FY333" i="7" s="1"/>
  <c r="DU337" i="7" a="1"/>
  <c r="DU337" i="7" s="1"/>
  <c r="EB340" i="7" a="1"/>
  <c r="EB340" i="7" s="1"/>
  <c r="EI343" i="7" a="1"/>
  <c r="EI343" i="7" s="1"/>
  <c r="EP346" i="7" a="1"/>
  <c r="EP346" i="7" s="1"/>
  <c r="EC302" i="7" a="1"/>
  <c r="EC302" i="7" s="1"/>
  <c r="FE307" i="7" a="1"/>
  <c r="FE307" i="7" s="1"/>
  <c r="EQ315" i="7" a="1"/>
  <c r="EQ315" i="7" s="1"/>
  <c r="FP319" i="7" a="1"/>
  <c r="FP319" i="7" s="1"/>
  <c r="FG326" i="7" a="1"/>
  <c r="FG326" i="7" s="1"/>
  <c r="FN329" i="7" a="1"/>
  <c r="FN329" i="7" s="1"/>
  <c r="FU332" i="7" a="1"/>
  <c r="FU332" i="7" s="1"/>
  <c r="DQ336" i="7" a="1"/>
  <c r="DQ336" i="7" s="1"/>
  <c r="DX339" i="7" a="1"/>
  <c r="DX339" i="7" s="1"/>
  <c r="EE342" i="7" a="1"/>
  <c r="EE342" i="7" s="1"/>
  <c r="FL300" i="7" a="1"/>
  <c r="FL300" i="7" s="1"/>
  <c r="FB314" i="7" a="1"/>
  <c r="FB314" i="7" s="1"/>
  <c r="FQ318" i="7" a="1"/>
  <c r="FQ318" i="7" s="1"/>
  <c r="FL322" i="7" a="1"/>
  <c r="FL322" i="7" s="1"/>
  <c r="FA324" i="7" a="1"/>
  <c r="FA324" i="7" s="1"/>
  <c r="DS327" i="7" a="1"/>
  <c r="DS327" i="7" s="1"/>
  <c r="DZ330" i="7" a="1"/>
  <c r="DZ330" i="7" s="1"/>
  <c r="EG333" i="7" a="1"/>
  <c r="EG333" i="7" s="1"/>
  <c r="EN336" i="7" a="1"/>
  <c r="EN336" i="7" s="1"/>
  <c r="EU339" i="7" a="1"/>
  <c r="EU339" i="7" s="1"/>
  <c r="FB342" i="7" a="1"/>
  <c r="FB342" i="7" s="1"/>
  <c r="FI345" i="7" a="1"/>
  <c r="FI345" i="7" s="1"/>
  <c r="FR300" i="7" a="1"/>
  <c r="FR300" i="7" s="1"/>
  <c r="FY306" i="7" a="1"/>
  <c r="FY306" i="7" s="1"/>
  <c r="FX311" i="7" a="1"/>
  <c r="FX311" i="7" s="1"/>
  <c r="FB315" i="7" a="1"/>
  <c r="FB315" i="7" s="1"/>
  <c r="FQ319" i="7" a="1"/>
  <c r="FQ319" i="7" s="1"/>
  <c r="FH326" i="7" a="1"/>
  <c r="FH326" i="7" s="1"/>
  <c r="FO329" i="7" a="1"/>
  <c r="FO329" i="7" s="1"/>
  <c r="FV332" i="7" a="1"/>
  <c r="FV332" i="7" s="1"/>
  <c r="DR336" i="7" a="1"/>
  <c r="DR336" i="7" s="1"/>
  <c r="DY339" i="7" a="1"/>
  <c r="DY339" i="7" s="1"/>
  <c r="EF342" i="7" a="1"/>
  <c r="EF342" i="7" s="1"/>
  <c r="EM345" i="7" a="1"/>
  <c r="EM345" i="7" s="1"/>
  <c r="ET348" i="7" a="1"/>
  <c r="ET348" i="7" s="1"/>
  <c r="FR299" i="7" a="1"/>
  <c r="FR299" i="7" s="1"/>
  <c r="FS316" i="7" a="1"/>
  <c r="FS316" i="7" s="1"/>
  <c r="EG321" i="7" a="1"/>
  <c r="EG321" i="7" s="1"/>
  <c r="FH323" i="7" a="1"/>
  <c r="FH323" i="7" s="1"/>
  <c r="EV325" i="7" a="1"/>
  <c r="EV325" i="7" s="1"/>
  <c r="FC328" i="7" a="1"/>
  <c r="FC328" i="7" s="1"/>
  <c r="FJ331" i="7" a="1"/>
  <c r="FJ331" i="7" s="1"/>
  <c r="FQ334" i="7" a="1"/>
  <c r="FQ334" i="7" s="1"/>
  <c r="FX337" i="7" a="1"/>
  <c r="FX337" i="7" s="1"/>
  <c r="DT341" i="7" a="1"/>
  <c r="DT341" i="7" s="1"/>
  <c r="EA344" i="7" a="1"/>
  <c r="EA344" i="7" s="1"/>
  <c r="ES290" i="7" a="1"/>
  <c r="ES290" i="7" s="1"/>
  <c r="DV303" i="7" a="1"/>
  <c r="DV303" i="7" s="1"/>
  <c r="EX308" i="7" a="1"/>
  <c r="EX308" i="7" s="1"/>
  <c r="FR312" i="7" a="1"/>
  <c r="FR312" i="7" s="1"/>
  <c r="EA317" i="7" a="1"/>
  <c r="EA317" i="7" s="1"/>
  <c r="EP321" i="7" a="1"/>
  <c r="EP321" i="7" s="1"/>
  <c r="DR328" i="7" a="1"/>
  <c r="DR328" i="7" s="1"/>
  <c r="DY331" i="7" a="1"/>
  <c r="DY331" i="7" s="1"/>
  <c r="EF334" i="7" a="1"/>
  <c r="EF334" i="7" s="1"/>
  <c r="EM337" i="7" a="1"/>
  <c r="EM337" i="7" s="1"/>
  <c r="ET340" i="7" a="1"/>
  <c r="ET340" i="7" s="1"/>
  <c r="FO293" i="7" a="1"/>
  <c r="FO293" i="7" s="1"/>
  <c r="FD314" i="7" a="1"/>
  <c r="FD314" i="7" s="1"/>
  <c r="DR319" i="7" a="1"/>
  <c r="DR319" i="7" s="1"/>
  <c r="FO322" i="7" a="1"/>
  <c r="FO322" i="7" s="1"/>
  <c r="FC324" i="7" a="1"/>
  <c r="FC324" i="7" s="1"/>
  <c r="DU327" i="7" a="1"/>
  <c r="DU327" i="7" s="1"/>
  <c r="EB330" i="7" a="1"/>
  <c r="EB330" i="7" s="1"/>
  <c r="EQ300" i="7" a="1"/>
  <c r="EQ300" i="7" s="1"/>
  <c r="FE306" i="7" a="1"/>
  <c r="FE306" i="7" s="1"/>
  <c r="FL311" i="7" a="1"/>
  <c r="FL311" i="7" s="1"/>
  <c r="EE293" i="7" a="1"/>
  <c r="EE293" i="7" s="1"/>
  <c r="FO314" i="7" a="1"/>
  <c r="FO314" i="7" s="1"/>
  <c r="EW299" i="7" a="1"/>
  <c r="EW299" i="7" s="1"/>
  <c r="FY305" i="7" a="1"/>
  <c r="FY305" i="7" s="1"/>
  <c r="EM311" i="7" a="1"/>
  <c r="EM311" i="7" s="1"/>
  <c r="FD295" i="7" a="1"/>
  <c r="FD295" i="7" s="1"/>
  <c r="FX312" i="7" a="1"/>
  <c r="FX312" i="7" s="1"/>
  <c r="EV317" i="7" a="1"/>
  <c r="EV317" i="7" s="1"/>
  <c r="FK321" i="7" a="1"/>
  <c r="FK321" i="7" s="1"/>
  <c r="DQ324" i="7" a="1"/>
  <c r="DQ324" i="7" s="1"/>
  <c r="FV325" i="7" a="1"/>
  <c r="FV325" i="7" s="1"/>
  <c r="DR329" i="7" a="1"/>
  <c r="DR329" i="7" s="1"/>
  <c r="DY332" i="7" a="1"/>
  <c r="DY332" i="7" s="1"/>
  <c r="EF335" i="7" a="1"/>
  <c r="EF335" i="7" s="1"/>
  <c r="EM338" i="7" a="1"/>
  <c r="EM338" i="7" s="1"/>
  <c r="ET341" i="7" a="1"/>
  <c r="ET341" i="7" s="1"/>
  <c r="FU324" i="7" a="1"/>
  <c r="FU324" i="7" s="1"/>
  <c r="DT336" i="7" a="1"/>
  <c r="DT336" i="7" s="1"/>
  <c r="FC345" i="7" a="1"/>
  <c r="FC345" i="7" s="1"/>
  <c r="EK350" i="7" a="1"/>
  <c r="EK350" i="7" s="1"/>
  <c r="FJ354" i="7" a="1"/>
  <c r="FJ354" i="7" s="1"/>
  <c r="EK358" i="7" a="1"/>
  <c r="EK358" i="7" s="1"/>
  <c r="FV361" i="7" a="1"/>
  <c r="FV361" i="7" s="1"/>
  <c r="ET363" i="7" a="1"/>
  <c r="ET363" i="7" s="1"/>
  <c r="DR365" i="7" a="1"/>
  <c r="DR365" i="7" s="1"/>
  <c r="FA366" i="7" a="1"/>
  <c r="FA366" i="7" s="1"/>
  <c r="DY368" i="7" a="1"/>
  <c r="DY368" i="7" s="1"/>
  <c r="FH369" i="7" a="1"/>
  <c r="FH369" i="7" s="1"/>
  <c r="EF371" i="7" a="1"/>
  <c r="EF371" i="7" s="1"/>
  <c r="FO372" i="7" a="1"/>
  <c r="FO372" i="7" s="1"/>
  <c r="EM374" i="7" a="1"/>
  <c r="EM374" i="7" s="1"/>
  <c r="FV375" i="7" a="1"/>
  <c r="FV375" i="7" s="1"/>
  <c r="EV331" i="7" a="1"/>
  <c r="EV331" i="7" s="1"/>
  <c r="EO342" i="7" a="1"/>
  <c r="EO342" i="7" s="1"/>
  <c r="EF348" i="7" a="1"/>
  <c r="EF348" i="7" s="1"/>
  <c r="FC352" i="7" a="1"/>
  <c r="FC352" i="7" s="1"/>
  <c r="EQ356" i="7" a="1"/>
  <c r="EQ356" i="7" s="1"/>
  <c r="DY360" i="7" a="1"/>
  <c r="DY360" i="7" s="1"/>
  <c r="DY326" i="7" a="1"/>
  <c r="DY326" i="7" s="1"/>
  <c r="FX152" i="7" a="1"/>
  <c r="FX152" i="7" s="1"/>
  <c r="FV122" i="7" a="1"/>
  <c r="FV122" i="7" s="1"/>
  <c r="EL207" i="7" a="1"/>
  <c r="EL207" i="7" s="1"/>
  <c r="EI206" i="7" a="1"/>
  <c r="EI206" i="7" s="1"/>
  <c r="FO205" i="7" a="1"/>
  <c r="FO205" i="7" s="1"/>
  <c r="EU201" i="7" a="1"/>
  <c r="EU201" i="7" s="1"/>
  <c r="EA203" i="7" a="1"/>
  <c r="EA203" i="7" s="1"/>
  <c r="FJ166" i="7" a="1"/>
  <c r="FJ166" i="7" s="1"/>
  <c r="FN162" i="7" a="1"/>
  <c r="FN162" i="7" s="1"/>
  <c r="EL205" i="7" a="1"/>
  <c r="EL205" i="7" s="1"/>
  <c r="FR205" i="7" a="1"/>
  <c r="FR205" i="7" s="1"/>
  <c r="EA201" i="7" a="1"/>
  <c r="EA201" i="7" s="1"/>
  <c r="FD200" i="7" a="1"/>
  <c r="FD200" i="7" s="1"/>
  <c r="EA213" i="7" a="1"/>
  <c r="EA213" i="7" s="1"/>
  <c r="EQ228" i="7" a="1"/>
  <c r="EQ228" i="7" s="1"/>
  <c r="EW235" i="7" a="1"/>
  <c r="EW235" i="7" s="1"/>
  <c r="FW213" i="7" a="1"/>
  <c r="FW213" i="7" s="1"/>
  <c r="DY221" i="7" a="1"/>
  <c r="DY221" i="7" s="1"/>
  <c r="EG221" i="7" a="1"/>
  <c r="EG221" i="7" s="1"/>
  <c r="EL209" i="7" a="1"/>
  <c r="EL209" i="7" s="1"/>
  <c r="DX219" i="7" a="1"/>
  <c r="DX219" i="7" s="1"/>
  <c r="DW212" i="7" a="1"/>
  <c r="DW212" i="7" s="1"/>
  <c r="ER211" i="7" a="1"/>
  <c r="ER211" i="7" s="1"/>
  <c r="FC219" i="7" a="1"/>
  <c r="FC219" i="7" s="1"/>
  <c r="DX210" i="7" a="1"/>
  <c r="DX210" i="7" s="1"/>
  <c r="ES223" i="7" a="1"/>
  <c r="ES223" i="7" s="1"/>
  <c r="FB217" i="7" a="1"/>
  <c r="FB217" i="7" s="1"/>
  <c r="EW208" i="7" a="1"/>
  <c r="EW208" i="7" s="1"/>
  <c r="FE198" i="7" a="1"/>
  <c r="FE198" i="7" s="1"/>
  <c r="DS192" i="7" a="1"/>
  <c r="DS192" i="7" s="1"/>
  <c r="DV221" i="7" a="1"/>
  <c r="DV221" i="7" s="1"/>
  <c r="DU227" i="7" a="1"/>
  <c r="DU227" i="7" s="1"/>
  <c r="EU218" i="7" a="1"/>
  <c r="EU218" i="7" s="1"/>
  <c r="EP232" i="7" a="1"/>
  <c r="EP232" i="7" s="1"/>
  <c r="FR211" i="7" a="1"/>
  <c r="FR211" i="7" s="1"/>
  <c r="EY232" i="7" a="1"/>
  <c r="EY232" i="7" s="1"/>
  <c r="DS228" i="7" a="1"/>
  <c r="DS228" i="7" s="1"/>
  <c r="FO237" i="7" a="1"/>
  <c r="FO237" i="7" s="1"/>
  <c r="GA224" i="7" a="1"/>
  <c r="GA224" i="7" s="1"/>
  <c r="DQ237" i="7" a="1"/>
  <c r="DQ237" i="7" s="1"/>
  <c r="FW231" i="7" a="1"/>
  <c r="FW231" i="7" s="1"/>
  <c r="FW239" i="7" a="1"/>
  <c r="FW239" i="7" s="1"/>
  <c r="FE230" i="7" a="1"/>
  <c r="FE230" i="7" s="1"/>
  <c r="DW224" i="7" a="1"/>
  <c r="DW224" i="7" s="1"/>
  <c r="DZ237" i="7" a="1"/>
  <c r="DZ237" i="7" s="1"/>
  <c r="EE221" i="7" a="1"/>
  <c r="EE221" i="7" s="1"/>
  <c r="FO236" i="7" a="1"/>
  <c r="FO236" i="7" s="1"/>
  <c r="FE229" i="7" a="1"/>
  <c r="FE229" i="7" s="1"/>
  <c r="EY222" i="7" a="1"/>
  <c r="EY222" i="7" s="1"/>
  <c r="EE232" i="7" a="1"/>
  <c r="EE232" i="7" s="1"/>
  <c r="DY226" i="7" a="1"/>
  <c r="DY226" i="7" s="1"/>
  <c r="EF245" i="7" a="1"/>
  <c r="EF245" i="7" s="1"/>
  <c r="EY253" i="7" a="1"/>
  <c r="EY253" i="7" s="1"/>
  <c r="EP229" i="7" a="1"/>
  <c r="EP229" i="7" s="1"/>
  <c r="FH246" i="7" a="1"/>
  <c r="FH246" i="7" s="1"/>
  <c r="FR231" i="7" a="1"/>
  <c r="FR231" i="7" s="1"/>
  <c r="ES246" i="7" a="1"/>
  <c r="ES246" i="7" s="1"/>
  <c r="DX254" i="7" a="1"/>
  <c r="DX254" i="7" s="1"/>
  <c r="EE231" i="7" a="1"/>
  <c r="EE231" i="7" s="1"/>
  <c r="FD245" i="7" a="1"/>
  <c r="FD245" i="7" s="1"/>
  <c r="EX250" i="7" a="1"/>
  <c r="EX250" i="7" s="1"/>
  <c r="FS231" i="7" a="1"/>
  <c r="FS231" i="7" s="1"/>
  <c r="EP242" i="7" a="1"/>
  <c r="EP242" i="7" s="1"/>
  <c r="EM246" i="7" a="1"/>
  <c r="EM246" i="7" s="1"/>
  <c r="FW224" i="7" a="1"/>
  <c r="FW224" i="7" s="1"/>
  <c r="EX242" i="7" a="1"/>
  <c r="EX242" i="7" s="1"/>
  <c r="EU246" i="7" a="1"/>
  <c r="EU246" i="7" s="1"/>
  <c r="EO251" i="7" a="1"/>
  <c r="EO251" i="7" s="1"/>
  <c r="EU236" i="7" a="1"/>
  <c r="EU236" i="7" s="1"/>
  <c r="FF242" i="7" a="1"/>
  <c r="FF242" i="7" s="1"/>
  <c r="EZ247" i="7" a="1"/>
  <c r="EZ247" i="7" s="1"/>
  <c r="EW251" i="7" a="1"/>
  <c r="EW251" i="7" s="1"/>
  <c r="FY239" i="7" a="1"/>
  <c r="FY239" i="7" s="1"/>
  <c r="DW244" i="7" a="1"/>
  <c r="DW244" i="7" s="1"/>
  <c r="DT248" i="7" a="1"/>
  <c r="DT248" i="7" s="1"/>
  <c r="DS229" i="7" a="1"/>
  <c r="DS229" i="7" s="1"/>
  <c r="EU241" i="7" a="1"/>
  <c r="EU241" i="7" s="1"/>
  <c r="EO246" i="7" a="1"/>
  <c r="EO246" i="7" s="1"/>
  <c r="FB226" i="7" a="1"/>
  <c r="FB226" i="7" s="1"/>
  <c r="ES230" i="7" a="1"/>
  <c r="ES230" i="7" s="1"/>
  <c r="FJ242" i="7" a="1"/>
  <c r="FJ242" i="7" s="1"/>
  <c r="FC231" i="7" a="1"/>
  <c r="FC231" i="7" s="1"/>
  <c r="FA251" i="7" a="1"/>
  <c r="FA251" i="7" s="1"/>
  <c r="DR241" i="7" a="1"/>
  <c r="DR241" i="7" s="1"/>
  <c r="EF254" i="7" a="1"/>
  <c r="EF254" i="7" s="1"/>
  <c r="FO257" i="7" a="1"/>
  <c r="FO257" i="7" s="1"/>
  <c r="FO259" i="7" a="1"/>
  <c r="FO259" i="7" s="1"/>
  <c r="EF262" i="7" a="1"/>
  <c r="EF262" i="7" s="1"/>
  <c r="EF264" i="7" a="1"/>
  <c r="EF264" i="7" s="1"/>
  <c r="EF266" i="7" a="1"/>
  <c r="EF266" i="7" s="1"/>
  <c r="FH268" i="7" a="1"/>
  <c r="FH268" i="7" s="1"/>
  <c r="FH270" i="7" a="1"/>
  <c r="FH270" i="7" s="1"/>
  <c r="DY273" i="7" a="1"/>
  <c r="DY273" i="7" s="1"/>
  <c r="DY275" i="7" a="1"/>
  <c r="DY275" i="7" s="1"/>
  <c r="DT246" i="7" a="1"/>
  <c r="DT246" i="7" s="1"/>
  <c r="DU254" i="7" a="1"/>
  <c r="DU254" i="7" s="1"/>
  <c r="DY247" i="7" a="1"/>
  <c r="DY247" i="7" s="1"/>
  <c r="FJ255" i="7" a="1"/>
  <c r="FJ255" i="7" s="1"/>
  <c r="EN258" i="7" a="1"/>
  <c r="EN258" i="7" s="1"/>
  <c r="EN260" i="7" a="1"/>
  <c r="EN260" i="7" s="1"/>
  <c r="FP262" i="7" a="1"/>
  <c r="FP262" i="7" s="1"/>
  <c r="FP264" i="7" a="1"/>
  <c r="FP264" i="7" s="1"/>
  <c r="EG267" i="7" a="1"/>
  <c r="EG267" i="7" s="1"/>
  <c r="EG269" i="7" a="1"/>
  <c r="EG269" i="7" s="1"/>
  <c r="ET248" i="7" a="1"/>
  <c r="ET248" i="7" s="1"/>
  <c r="FR223" i="7" a="1"/>
  <c r="FR223" i="7" s="1"/>
  <c r="DY250" i="7" a="1"/>
  <c r="DY250" i="7" s="1"/>
  <c r="DT256" i="7" a="1"/>
  <c r="DT256" i="7" s="1"/>
  <c r="FC258" i="7" a="1"/>
  <c r="FC258" i="7" s="1"/>
  <c r="FC260" i="7" a="1"/>
  <c r="FC260" i="7" s="1"/>
  <c r="DT263" i="7" a="1"/>
  <c r="DT263" i="7" s="1"/>
  <c r="DT265" i="7" a="1"/>
  <c r="DT265" i="7" s="1"/>
  <c r="EV267" i="7" a="1"/>
  <c r="EV267" i="7" s="1"/>
  <c r="EV269" i="7" a="1"/>
  <c r="EV269" i="7" s="1"/>
  <c r="EE247" i="7" a="1"/>
  <c r="EE247" i="7" s="1"/>
  <c r="ER230" i="7" a="1"/>
  <c r="ER230" i="7" s="1"/>
  <c r="FI249" i="7" a="1"/>
  <c r="FI249" i="7" s="1"/>
  <c r="EI255" i="7" a="1"/>
  <c r="EI255" i="7" s="1"/>
  <c r="DU258" i="7" a="1"/>
  <c r="DU258" i="7" s="1"/>
  <c r="FK259" i="7" a="1"/>
  <c r="FK259" i="7" s="1"/>
  <c r="EP261" i="7" a="1"/>
  <c r="EP261" i="7" s="1"/>
  <c r="DU263" i="7" a="1"/>
  <c r="DU263" i="7" s="1"/>
  <c r="FK264" i="7" a="1"/>
  <c r="FK264" i="7" s="1"/>
  <c r="EW266" i="7" a="1"/>
  <c r="EW266" i="7" s="1"/>
  <c r="FD241" i="7" a="1"/>
  <c r="FD241" i="7" s="1"/>
  <c r="FZ249" i="7" a="1"/>
  <c r="FZ249" i="7" s="1"/>
  <c r="EN233" i="7" a="1"/>
  <c r="EN233" i="7" s="1"/>
  <c r="ET250" i="7" a="1"/>
  <c r="ET250" i="7" s="1"/>
  <c r="EA254" i="7" a="1"/>
  <c r="EA254" i="7" s="1"/>
  <c r="FS256" i="7" a="1"/>
  <c r="FS256" i="7" s="1"/>
  <c r="FS258" i="7" a="1"/>
  <c r="FS258" i="7" s="1"/>
  <c r="EX260" i="7" a="1"/>
  <c r="EX260" i="7" s="1"/>
  <c r="FX245" i="7" a="1"/>
  <c r="FX245" i="7" s="1"/>
  <c r="FQ252" i="7" a="1"/>
  <c r="FQ252" i="7" s="1"/>
  <c r="EI256" i="7" a="1"/>
  <c r="EI256" i="7" s="1"/>
  <c r="ES258" i="7" a="1"/>
  <c r="ES258" i="7" s="1"/>
  <c r="EE260" i="7" a="1"/>
  <c r="EE260" i="7" s="1"/>
  <c r="FU261" i="7" a="1"/>
  <c r="FU261" i="7" s="1"/>
  <c r="EZ263" i="7" a="1"/>
  <c r="EZ263" i="7" s="1"/>
  <c r="EE265" i="7" a="1"/>
  <c r="EE265" i="7" s="1"/>
  <c r="EX249" i="7" a="1"/>
  <c r="EX249" i="7" s="1"/>
  <c r="GA263" i="7" a="1"/>
  <c r="GA263" i="7" s="1"/>
  <c r="EJ270" i="7" a="1"/>
  <c r="EJ270" i="7" s="1"/>
  <c r="DX274" i="7" a="1"/>
  <c r="DX274" i="7" s="1"/>
  <c r="DY280" i="7" a="1"/>
  <c r="DY280" i="7" s="1"/>
  <c r="EJ284" i="7" a="1"/>
  <c r="EJ284" i="7" s="1"/>
  <c r="EQ287" i="7" a="1"/>
  <c r="EQ287" i="7" s="1"/>
  <c r="EX290" i="7" a="1"/>
  <c r="EX290" i="7" s="1"/>
  <c r="FE293" i="7" a="1"/>
  <c r="FE293" i="7" s="1"/>
  <c r="EK267" i="7" a="1"/>
  <c r="EK267" i="7" s="1"/>
  <c r="DQ272" i="7" a="1"/>
  <c r="DQ272" i="7" s="1"/>
  <c r="EY275" i="7" a="1"/>
  <c r="EY275" i="7" s="1"/>
  <c r="FG277" i="7" a="1"/>
  <c r="FG277" i="7" s="1"/>
  <c r="EV279" i="7" a="1"/>
  <c r="EV279" i="7" s="1"/>
  <c r="EJ281" i="7" a="1"/>
  <c r="EJ281" i="7" s="1"/>
  <c r="EC284" i="7" a="1"/>
  <c r="EC284" i="7" s="1"/>
  <c r="FZ220" i="7" a="1"/>
  <c r="FZ220" i="7" s="1"/>
  <c r="EX262" i="7" a="1"/>
  <c r="EX262" i="7" s="1"/>
  <c r="EE268" i="7" a="1"/>
  <c r="EE268" i="7" s="1"/>
  <c r="DS272" i="7" a="1"/>
  <c r="DS272" i="7" s="1"/>
  <c r="FR275" i="7" a="1"/>
  <c r="FR275" i="7" s="1"/>
  <c r="DQ283" i="7" a="1"/>
  <c r="DQ283" i="7" s="1"/>
  <c r="DX286" i="7" a="1"/>
  <c r="DX286" i="7" s="1"/>
  <c r="EE289" i="7" a="1"/>
  <c r="EE289" i="7" s="1"/>
  <c r="EL292" i="7" a="1"/>
  <c r="EL292" i="7" s="1"/>
  <c r="FY255" i="7" a="1"/>
  <c r="FY255" i="7" s="1"/>
  <c r="FD270" i="7" a="1"/>
  <c r="FD270" i="7" s="1"/>
  <c r="EA274" i="7" a="1"/>
  <c r="EA274" i="7" s="1"/>
  <c r="FW276" i="7" a="1"/>
  <c r="FW276" i="7" s="1"/>
  <c r="FK278" i="7" a="1"/>
  <c r="FK278" i="7" s="1"/>
  <c r="EY280" i="7" a="1"/>
  <c r="EY280" i="7" s="1"/>
  <c r="DR283" i="7" a="1"/>
  <c r="DR283" i="7" s="1"/>
  <c r="FG248" i="7" a="1"/>
  <c r="FG248" i="7" s="1"/>
  <c r="FZ262" i="7" a="1"/>
  <c r="FZ262" i="7" s="1"/>
  <c r="FD268" i="7" a="1"/>
  <c r="FD268" i="7" s="1"/>
  <c r="EU272" i="7" a="1"/>
  <c r="EU272" i="7" s="1"/>
  <c r="FO276" i="7" a="1"/>
  <c r="FO276" i="7" s="1"/>
  <c r="DZ283" i="7" a="1"/>
  <c r="DZ283" i="7" s="1"/>
  <c r="FH248" i="7" a="1"/>
  <c r="FH248" i="7" s="1"/>
  <c r="FX269" i="7" a="1"/>
  <c r="FX269" i="7" s="1"/>
  <c r="EU273" i="7" a="1"/>
  <c r="EU273" i="7" s="1"/>
  <c r="FG276" i="7" a="1"/>
  <c r="FG276" i="7" s="1"/>
  <c r="EV278" i="7" a="1"/>
  <c r="EV278" i="7" s="1"/>
  <c r="EJ280" i="7" a="1"/>
  <c r="EJ280" i="7" s="1"/>
  <c r="FG282" i="7" a="1"/>
  <c r="FG282" i="7" s="1"/>
  <c r="FK241" i="7" a="1"/>
  <c r="FK241" i="7" s="1"/>
  <c r="GA262" i="7" a="1"/>
  <c r="GA262" i="7" s="1"/>
  <c r="FE268" i="7" a="1"/>
  <c r="FE268" i="7" s="1"/>
  <c r="EV272" i="7" a="1"/>
  <c r="EV272" i="7" s="1"/>
  <c r="DS276" i="7" a="1"/>
  <c r="DS276" i="7" s="1"/>
  <c r="FW282" i="7" a="1"/>
  <c r="FW282" i="7" s="1"/>
  <c r="EA251" i="7" a="1"/>
  <c r="EA251" i="7" s="1"/>
  <c r="FY269" i="7" a="1"/>
  <c r="FY269" i="7" s="1"/>
  <c r="EV273" i="7" a="1"/>
  <c r="EV273" i="7" s="1"/>
  <c r="FI276" i="7" a="1"/>
  <c r="FI276" i="7" s="1"/>
  <c r="EW278" i="7" a="1"/>
  <c r="EW278" i="7" s="1"/>
  <c r="EK280" i="7" a="1"/>
  <c r="EK280" i="7" s="1"/>
  <c r="FA282" i="7" a="1"/>
  <c r="FA282" i="7" s="1"/>
  <c r="FH285" i="7" a="1"/>
  <c r="FH285" i="7" s="1"/>
  <c r="FW245" i="7" a="1"/>
  <c r="FW245" i="7" s="1"/>
  <c r="ER263" i="7" a="1"/>
  <c r="ER263" i="7" s="1"/>
  <c r="EL269" i="7" a="1"/>
  <c r="EL269" i="7" s="1"/>
  <c r="FN272" i="7" a="1"/>
  <c r="FN272" i="7" s="1"/>
  <c r="FA276" i="7" a="1"/>
  <c r="FA276" i="7" s="1"/>
  <c r="EB283" i="7" a="1"/>
  <c r="EB283" i="7" s="1"/>
  <c r="EK251" i="7" a="1"/>
  <c r="EK251" i="7" s="1"/>
  <c r="FZ269" i="7" a="1"/>
  <c r="FZ269" i="7" s="1"/>
  <c r="FN273" i="7" a="1"/>
  <c r="FN273" i="7" s="1"/>
  <c r="FJ276" i="7" a="1"/>
  <c r="FJ276" i="7" s="1"/>
  <c r="EY268" i="7" a="1"/>
  <c r="EY268" i="7" s="1"/>
  <c r="GA271" i="7" a="1"/>
  <c r="GA271" i="7" s="1"/>
  <c r="EX275" i="7" a="1"/>
  <c r="EX275" i="7" s="1"/>
  <c r="FN277" i="7" a="1"/>
  <c r="FN277" i="7" s="1"/>
  <c r="FC279" i="7" a="1"/>
  <c r="FC279" i="7" s="1"/>
  <c r="EQ281" i="7" a="1"/>
  <c r="EQ281" i="7" s="1"/>
  <c r="EQ284" i="7" a="1"/>
  <c r="EQ284" i="7" s="1"/>
  <c r="FA279" i="7" a="1"/>
  <c r="FA279" i="7" s="1"/>
  <c r="FY287" i="7" a="1"/>
  <c r="FY287" i="7" s="1"/>
  <c r="FJ291" i="7" a="1"/>
  <c r="FJ291" i="7" s="1"/>
  <c r="FW294" i="7" a="1"/>
  <c r="FW294" i="7" s="1"/>
  <c r="DS298" i="7" a="1"/>
  <c r="DS298" i="7" s="1"/>
  <c r="DW300" i="7" a="1"/>
  <c r="DW300" i="7" s="1"/>
  <c r="FF301" i="7" a="1"/>
  <c r="FF301" i="7" s="1"/>
  <c r="ED303" i="7" a="1"/>
  <c r="ED303" i="7" s="1"/>
  <c r="FM304" i="7" a="1"/>
  <c r="FM304" i="7" s="1"/>
  <c r="EK306" i="7" a="1"/>
  <c r="EK306" i="7" s="1"/>
  <c r="FT307" i="7" a="1"/>
  <c r="FT307" i="7" s="1"/>
  <c r="ER309" i="7" a="1"/>
  <c r="ER309" i="7" s="1"/>
  <c r="GA310" i="7" a="1"/>
  <c r="GA310" i="7" s="1"/>
  <c r="EY312" i="7" a="1"/>
  <c r="EY312" i="7" s="1"/>
  <c r="DW314" i="7" a="1"/>
  <c r="DW314" i="7" s="1"/>
  <c r="FF315" i="7" a="1"/>
  <c r="FF315" i="7" s="1"/>
  <c r="ED317" i="7" a="1"/>
  <c r="ED317" i="7" s="1"/>
  <c r="FM318" i="7" a="1"/>
  <c r="FM318" i="7" s="1"/>
  <c r="EK320" i="7" a="1"/>
  <c r="EK320" i="7" s="1"/>
  <c r="FT321" i="7" a="1"/>
  <c r="FT321" i="7" s="1"/>
  <c r="ER323" i="7" a="1"/>
  <c r="ER323" i="7" s="1"/>
  <c r="GA324" i="7" a="1"/>
  <c r="GA324" i="7" s="1"/>
  <c r="ED276" i="7" a="1"/>
  <c r="ED276" i="7" s="1"/>
  <c r="EO284" i="7" a="1"/>
  <c r="EO284" i="7" s="1"/>
  <c r="FX288" i="7" a="1"/>
  <c r="FX288" i="7" s="1"/>
  <c r="FA292" i="7" a="1"/>
  <c r="FA292" i="7" s="1"/>
  <c r="DY296" i="7" a="1"/>
  <c r="DY296" i="7" s="1"/>
  <c r="ED259" i="7" a="1"/>
  <c r="ED259" i="7" s="1"/>
  <c r="FJ282" i="7" a="1"/>
  <c r="FJ282" i="7" s="1"/>
  <c r="FP288" i="7" a="1"/>
  <c r="FP288" i="7" s="1"/>
  <c r="ER292" i="7" a="1"/>
  <c r="ER292" i="7" s="1"/>
  <c r="FF295" i="7" a="1"/>
  <c r="FF295" i="7" s="1"/>
  <c r="FM298" i="7" a="1"/>
  <c r="FM298" i="7" s="1"/>
  <c r="ES300" i="7" a="1"/>
  <c r="ES300" i="7" s="1"/>
  <c r="DQ302" i="7" a="1"/>
  <c r="DQ302" i="7" s="1"/>
  <c r="EZ303" i="7" a="1"/>
  <c r="EZ303" i="7" s="1"/>
  <c r="DX305" i="7" a="1"/>
  <c r="DX305" i="7" s="1"/>
  <c r="FG306" i="7" a="1"/>
  <c r="FG306" i="7" s="1"/>
  <c r="EE308" i="7" a="1"/>
  <c r="EE308" i="7" s="1"/>
  <c r="FN309" i="7" a="1"/>
  <c r="FN309" i="7" s="1"/>
  <c r="EL311" i="7" a="1"/>
  <c r="EL311" i="7" s="1"/>
  <c r="FU312" i="7" a="1"/>
  <c r="FU312" i="7" s="1"/>
  <c r="ES314" i="7" a="1"/>
  <c r="ES314" i="7" s="1"/>
  <c r="DQ316" i="7" a="1"/>
  <c r="DQ316" i="7" s="1"/>
  <c r="EZ317" i="7" a="1"/>
  <c r="EZ317" i="7" s="1"/>
  <c r="DX319" i="7" a="1"/>
  <c r="DX319" i="7" s="1"/>
  <c r="FG320" i="7" a="1"/>
  <c r="FG320" i="7" s="1"/>
  <c r="EE322" i="7" a="1"/>
  <c r="EE322" i="7" s="1"/>
  <c r="FZ272" i="7" a="1"/>
  <c r="FZ272" i="7" s="1"/>
  <c r="EP284" i="7" a="1"/>
  <c r="EP284" i="7" s="1"/>
  <c r="FY288" i="7" a="1"/>
  <c r="FY288" i="7" s="1"/>
  <c r="FK292" i="7" a="1"/>
  <c r="FK292" i="7" s="1"/>
  <c r="FN295" i="7" a="1"/>
  <c r="FN295" i="7" s="1"/>
  <c r="FU298" i="7" a="1"/>
  <c r="FU298" i="7" s="1"/>
  <c r="EC283" i="7" a="1"/>
  <c r="EC283" i="7" s="1"/>
  <c r="GA287" i="7" a="1"/>
  <c r="GA287" i="7" s="1"/>
  <c r="EU291" i="7" a="1"/>
  <c r="EU291" i="7" s="1"/>
  <c r="FY294" i="7" a="1"/>
  <c r="FY294" i="7" s="1"/>
  <c r="DU298" i="7" a="1"/>
  <c r="DU298" i="7" s="1"/>
  <c r="DR300" i="7" a="1"/>
  <c r="DR300" i="7" s="1"/>
  <c r="FA301" i="7" a="1"/>
  <c r="FA301" i="7" s="1"/>
  <c r="DY303" i="7" a="1"/>
  <c r="DY303" i="7" s="1"/>
  <c r="FH304" i="7" a="1"/>
  <c r="FH304" i="7" s="1"/>
  <c r="EF306" i="7" a="1"/>
  <c r="EF306" i="7" s="1"/>
  <c r="FO307" i="7" a="1"/>
  <c r="FO307" i="7" s="1"/>
  <c r="EM309" i="7" a="1"/>
  <c r="EM309" i="7" s="1"/>
  <c r="FV310" i="7" a="1"/>
  <c r="FV310" i="7" s="1"/>
  <c r="FQ271" i="7" a="1"/>
  <c r="FQ271" i="7" s="1"/>
  <c r="DX281" i="7" a="1"/>
  <c r="DX281" i="7" s="1"/>
  <c r="EI288" i="7" a="1"/>
  <c r="EI288" i="7" s="1"/>
  <c r="FE291" i="7" a="1"/>
  <c r="FE291" i="7" s="1"/>
  <c r="FH295" i="7" a="1"/>
  <c r="FH295" i="7" s="1"/>
  <c r="FO298" i="7" a="1"/>
  <c r="FO298" i="7" s="1"/>
  <c r="ED283" i="7" a="1"/>
  <c r="ED283" i="7" s="1"/>
  <c r="DQ288" i="7" a="1"/>
  <c r="DQ288" i="7" s="1"/>
  <c r="FN291" i="7" a="1"/>
  <c r="FN291" i="7" s="1"/>
  <c r="FZ294" i="7" a="1"/>
  <c r="FZ294" i="7" s="1"/>
  <c r="DV298" i="7" a="1"/>
  <c r="DV298" i="7" s="1"/>
  <c r="DS300" i="7" a="1"/>
  <c r="DS300" i="7" s="1"/>
  <c r="FB301" i="7" a="1"/>
  <c r="FB301" i="7" s="1"/>
  <c r="DZ303" i="7" a="1"/>
  <c r="DZ303" i="7" s="1"/>
  <c r="FI304" i="7" a="1"/>
  <c r="FI304" i="7" s="1"/>
  <c r="EG306" i="7" a="1"/>
  <c r="EG306" i="7" s="1"/>
  <c r="FP307" i="7" a="1"/>
  <c r="FP307" i="7" s="1"/>
  <c r="EN309" i="7" a="1"/>
  <c r="EN309" i="7" s="1"/>
  <c r="FW310" i="7" a="1"/>
  <c r="FW310" i="7" s="1"/>
  <c r="EU312" i="7" a="1"/>
  <c r="EU312" i="7" s="1"/>
  <c r="FF257" i="7" a="1"/>
  <c r="FF257" i="7" s="1"/>
  <c r="EW277" i="7" a="1"/>
  <c r="EW277" i="7" s="1"/>
  <c r="EG285" i="7" a="1"/>
  <c r="EG285" i="7" s="1"/>
  <c r="EQ289" i="7" a="1"/>
  <c r="EQ289" i="7" s="1"/>
  <c r="FV292" i="7" a="1"/>
  <c r="FV292" i="7" s="1"/>
  <c r="EQ296" i="7" a="1"/>
  <c r="EQ296" i="7" s="1"/>
  <c r="FS254" i="7" a="1"/>
  <c r="FS254" i="7" s="1"/>
  <c r="EX284" i="7" a="1"/>
  <c r="EX284" i="7" s="1"/>
  <c r="FT288" i="7" a="1"/>
  <c r="FT288" i="7" s="1"/>
  <c r="EN292" i="7" a="1"/>
  <c r="EN292" i="7" s="1"/>
  <c r="FB295" i="7" a="1"/>
  <c r="FB295" i="7" s="1"/>
  <c r="FI298" i="7" a="1"/>
  <c r="FI298" i="7" s="1"/>
  <c r="EO300" i="7" a="1"/>
  <c r="EO300" i="7" s="1"/>
  <c r="FX301" i="7" a="1"/>
  <c r="FX301" i="7" s="1"/>
  <c r="EV303" i="7" a="1"/>
  <c r="EV303" i="7" s="1"/>
  <c r="DT305" i="7" a="1"/>
  <c r="DT305" i="7" s="1"/>
  <c r="FC306" i="7" a="1"/>
  <c r="FC306" i="7" s="1"/>
  <c r="EA308" i="7" a="1"/>
  <c r="EA308" i="7" s="1"/>
  <c r="FJ309" i="7" a="1"/>
  <c r="FJ309" i="7" s="1"/>
  <c r="EH311" i="7" a="1"/>
  <c r="EH311" i="7" s="1"/>
  <c r="FX278" i="7" a="1"/>
  <c r="FX278" i="7" s="1"/>
  <c r="EV286" i="7" a="1"/>
  <c r="EV286" i="7" s="1"/>
  <c r="EQ290" i="7" a="1"/>
  <c r="EQ290" i="7" s="1"/>
  <c r="FM293" i="7" a="1"/>
  <c r="FM293" i="7" s="1"/>
  <c r="DS297" i="7" a="1"/>
  <c r="DS297" i="7" s="1"/>
  <c r="FG272" i="7" a="1"/>
  <c r="FG272" i="7" s="1"/>
  <c r="DQ286" i="7" a="1"/>
  <c r="DQ286" i="7" s="1"/>
  <c r="EK264" i="7" a="1"/>
  <c r="EK264" i="7" s="1"/>
  <c r="FY279" i="7" a="1"/>
  <c r="FY279" i="7" s="1"/>
  <c r="EW286" i="7" a="1"/>
  <c r="EW286" i="7" s="1"/>
  <c r="DZ270" i="7" a="1"/>
  <c r="DZ270" i="7" s="1"/>
  <c r="FR285" i="7" a="1"/>
  <c r="FR285" i="7" s="1"/>
  <c r="DW274" i="7" a="1"/>
  <c r="DW274" i="7" s="1"/>
  <c r="FM281" i="7" a="1"/>
  <c r="FM281" i="7" s="1"/>
  <c r="EC289" i="7" a="1"/>
  <c r="EC289" i="7" s="1"/>
  <c r="EY292" i="7" a="1"/>
  <c r="EY292" i="7" s="1"/>
  <c r="GA295" i="7" a="1"/>
  <c r="GA295" i="7" s="1"/>
  <c r="ET289" i="7" a="1"/>
  <c r="ET289" i="7" s="1"/>
  <c r="DV302" i="7" a="1"/>
  <c r="DV302" i="7" s="1"/>
  <c r="EX307" i="7" a="1"/>
  <c r="EX307" i="7" s="1"/>
  <c r="FH314" i="7" a="1"/>
  <c r="FH314" i="7" s="1"/>
  <c r="EC319" i="7" a="1"/>
  <c r="EC319" i="7" s="1"/>
  <c r="EH326" i="7" a="1"/>
  <c r="EH326" i="7" s="1"/>
  <c r="EO329" i="7" a="1"/>
  <c r="EO329" i="7" s="1"/>
  <c r="EV332" i="7" a="1"/>
  <c r="EV332" i="7" s="1"/>
  <c r="FC335" i="7" a="1"/>
  <c r="FC335" i="7" s="1"/>
  <c r="FJ338" i="7" a="1"/>
  <c r="FJ338" i="7" s="1"/>
  <c r="FQ341" i="7" a="1"/>
  <c r="FQ341" i="7" s="1"/>
  <c r="FX344" i="7" a="1"/>
  <c r="FX344" i="7" s="1"/>
  <c r="DT348" i="7" a="1"/>
  <c r="DT348" i="7" s="1"/>
  <c r="DQ350" i="7" a="1"/>
  <c r="DQ350" i="7" s="1"/>
  <c r="EZ351" i="7" a="1"/>
  <c r="EZ351" i="7" s="1"/>
  <c r="DX353" i="7" a="1"/>
  <c r="DX353" i="7" s="1"/>
  <c r="FG354" i="7" a="1"/>
  <c r="FG354" i="7" s="1"/>
  <c r="EE356" i="7" a="1"/>
  <c r="EE356" i="7" s="1"/>
  <c r="FN357" i="7" a="1"/>
  <c r="FN357" i="7" s="1"/>
  <c r="EL359" i="7" a="1"/>
  <c r="EL359" i="7" s="1"/>
  <c r="FU360" i="7" a="1"/>
  <c r="FU360" i="7" s="1"/>
  <c r="FO292" i="7" a="1"/>
  <c r="FO292" i="7" s="1"/>
  <c r="EW312" i="7" a="1"/>
  <c r="EW312" i="7" s="1"/>
  <c r="EO316" i="7" a="1"/>
  <c r="EO316" i="7" s="1"/>
  <c r="FD320" i="7" a="1"/>
  <c r="FD320" i="7" s="1"/>
  <c r="EV323" i="7" a="1"/>
  <c r="EV323" i="7" s="1"/>
  <c r="EJ325" i="7" a="1"/>
  <c r="EJ325" i="7" s="1"/>
  <c r="ER328" i="7" a="1"/>
  <c r="ER328" i="7" s="1"/>
  <c r="EY331" i="7" a="1"/>
  <c r="EY331" i="7" s="1"/>
  <c r="FF334" i="7" a="1"/>
  <c r="FF334" i="7" s="1"/>
  <c r="FM337" i="7" a="1"/>
  <c r="FM337" i="7" s="1"/>
  <c r="FT340" i="7" a="1"/>
  <c r="FT340" i="7" s="1"/>
  <c r="GA343" i="7" a="1"/>
  <c r="GA343" i="7" s="1"/>
  <c r="DW347" i="7" a="1"/>
  <c r="DW347" i="7" s="1"/>
  <c r="FP292" i="7" a="1"/>
  <c r="FP292" i="7" s="1"/>
  <c r="EJ303" i="7" a="1"/>
  <c r="EJ303" i="7" s="1"/>
  <c r="FL308" i="7" a="1"/>
  <c r="FL308" i="7" s="1"/>
  <c r="FQ315" i="7" a="1"/>
  <c r="FQ315" i="7" s="1"/>
  <c r="DU320" i="7" a="1"/>
  <c r="DU320" i="7" s="1"/>
  <c r="DY327" i="7" a="1"/>
  <c r="DY327" i="7" s="1"/>
  <c r="EF330" i="7" a="1"/>
  <c r="EF330" i="7" s="1"/>
  <c r="EM333" i="7" a="1"/>
  <c r="EM333" i="7" s="1"/>
  <c r="ET336" i="7" a="1"/>
  <c r="ET336" i="7" s="1"/>
  <c r="FA339" i="7" a="1"/>
  <c r="FA339" i="7" s="1"/>
  <c r="FH342" i="7" a="1"/>
  <c r="FH342" i="7" s="1"/>
  <c r="FO345" i="7" a="1"/>
  <c r="FO345" i="7" s="1"/>
  <c r="FV348" i="7" a="1"/>
  <c r="FV348" i="7" s="1"/>
  <c r="ET350" i="7" a="1"/>
  <c r="ET350" i="7" s="1"/>
  <c r="DR352" i="7" a="1"/>
  <c r="DR352" i="7" s="1"/>
  <c r="FA353" i="7" a="1"/>
  <c r="FA353" i="7" s="1"/>
  <c r="FS290" i="7" a="1"/>
  <c r="FS290" i="7" s="1"/>
  <c r="DV312" i="7" a="1"/>
  <c r="DV312" i="7" s="1"/>
  <c r="FZ315" i="7" a="1"/>
  <c r="FZ315" i="7" s="1"/>
  <c r="EN320" i="7" a="1"/>
  <c r="EN320" i="7" s="1"/>
  <c r="EG323" i="7" a="1"/>
  <c r="EG323" i="7" s="1"/>
  <c r="DU325" i="7" a="1"/>
  <c r="DU325" i="7" s="1"/>
  <c r="FZ327" i="7" a="1"/>
  <c r="FZ327" i="7" s="1"/>
  <c r="DV331" i="7" a="1"/>
  <c r="DV331" i="7" s="1"/>
  <c r="EC334" i="7" a="1"/>
  <c r="EC334" i="7" s="1"/>
  <c r="EJ337" i="7" a="1"/>
  <c r="EJ337" i="7" s="1"/>
  <c r="EQ340" i="7" a="1"/>
  <c r="EQ340" i="7" s="1"/>
  <c r="EX343" i="7" a="1"/>
  <c r="EX343" i="7" s="1"/>
  <c r="DS289" i="7" a="1"/>
  <c r="DS289" i="7" s="1"/>
  <c r="FD302" i="7" a="1"/>
  <c r="FD302" i="7" s="1"/>
  <c r="DU308" i="7" a="1"/>
  <c r="DU308" i="7" s="1"/>
  <c r="FA315" i="7" a="1"/>
  <c r="FA315" i="7" s="1"/>
  <c r="DV320" i="7" a="1"/>
  <c r="DV320" i="7" s="1"/>
  <c r="FV326" i="7" a="1"/>
  <c r="FV326" i="7" s="1"/>
  <c r="DR330" i="7" a="1"/>
  <c r="DR330" i="7" s="1"/>
  <c r="DY333" i="7" a="1"/>
  <c r="DY333" i="7" s="1"/>
  <c r="EF336" i="7" a="1"/>
  <c r="EF336" i="7" s="1"/>
  <c r="EM339" i="7" a="1"/>
  <c r="EM339" i="7" s="1"/>
  <c r="ET342" i="7" a="1"/>
  <c r="ET342" i="7" s="1"/>
  <c r="FR301" i="7" a="1"/>
  <c r="FR301" i="7" s="1"/>
  <c r="FS314" i="7" a="1"/>
  <c r="FS314" i="7" s="1"/>
  <c r="EG319" i="7" a="1"/>
  <c r="EG319" i="7" s="1"/>
  <c r="FU322" i="7" a="1"/>
  <c r="FU322" i="7" s="1"/>
  <c r="FI324" i="7" a="1"/>
  <c r="FI324" i="7" s="1"/>
  <c r="EH327" i="7" a="1"/>
  <c r="EH327" i="7" s="1"/>
  <c r="EO330" i="7" a="1"/>
  <c r="EO330" i="7" s="1"/>
  <c r="EV333" i="7" a="1"/>
  <c r="EV333" i="7" s="1"/>
  <c r="FC336" i="7" a="1"/>
  <c r="FC336" i="7" s="1"/>
  <c r="FJ339" i="7" a="1"/>
  <c r="FJ339" i="7" s="1"/>
  <c r="FQ342" i="7" a="1"/>
  <c r="FQ342" i="7" s="1"/>
  <c r="FX345" i="7" a="1"/>
  <c r="FX345" i="7" s="1"/>
  <c r="EJ301" i="7" a="1"/>
  <c r="EJ301" i="7" s="1"/>
  <c r="EJ307" i="7" a="1"/>
  <c r="EJ307" i="7" s="1"/>
  <c r="EA312" i="7" a="1"/>
  <c r="EA312" i="7" s="1"/>
  <c r="FS315" i="7" a="1"/>
  <c r="FS315" i="7" s="1"/>
  <c r="EG320" i="7" a="1"/>
  <c r="EG320" i="7" s="1"/>
  <c r="FW326" i="7" a="1"/>
  <c r="FW326" i="7" s="1"/>
  <c r="DS330" i="7" a="1"/>
  <c r="DS330" i="7" s="1"/>
  <c r="DZ333" i="7" a="1"/>
  <c r="DZ333" i="7" s="1"/>
  <c r="EG336" i="7" a="1"/>
  <c r="EG336" i="7" s="1"/>
  <c r="EN339" i="7" a="1"/>
  <c r="EN339" i="7" s="1"/>
  <c r="EU342" i="7" a="1"/>
  <c r="EU342" i="7" s="1"/>
  <c r="FB345" i="7" a="1"/>
  <c r="FB345" i="7" s="1"/>
  <c r="FI348" i="7" a="1"/>
  <c r="FI348" i="7" s="1"/>
  <c r="EJ300" i="7" a="1"/>
  <c r="EJ300" i="7" s="1"/>
  <c r="DR317" i="7" a="1"/>
  <c r="DR317" i="7" s="1"/>
  <c r="EX321" i="7" a="1"/>
  <c r="EX321" i="7" s="1"/>
  <c r="FP323" i="7" a="1"/>
  <c r="FP323" i="7" s="1"/>
  <c r="FK325" i="7" a="1"/>
  <c r="FK325" i="7" s="1"/>
  <c r="FR328" i="7" a="1"/>
  <c r="FR328" i="7" s="1"/>
  <c r="FY331" i="7" a="1"/>
  <c r="FY331" i="7" s="1"/>
  <c r="DU335" i="7" a="1"/>
  <c r="DU335" i="7" s="1"/>
  <c r="EB338" i="7" a="1"/>
  <c r="EB338" i="7" s="1"/>
  <c r="EI341" i="7" a="1"/>
  <c r="EI341" i="7" s="1"/>
  <c r="EP344" i="7" a="1"/>
  <c r="EP344" i="7" s="1"/>
  <c r="EP292" i="7" a="1"/>
  <c r="EP292" i="7" s="1"/>
  <c r="EW303" i="7" a="1"/>
  <c r="EW303" i="7" s="1"/>
  <c r="FY308" i="7" a="1"/>
  <c r="FY308" i="7" s="1"/>
  <c r="DU313" i="7" a="1"/>
  <c r="DU313" i="7" s="1"/>
  <c r="FB317" i="7" a="1"/>
  <c r="FB317" i="7" s="1"/>
  <c r="FQ321" i="7" a="1"/>
  <c r="FQ321" i="7" s="1"/>
  <c r="EG328" i="7" a="1"/>
  <c r="EG328" i="7" s="1"/>
  <c r="EN331" i="7" a="1"/>
  <c r="EN331" i="7" s="1"/>
  <c r="EU334" i="7" a="1"/>
  <c r="EU334" i="7" s="1"/>
  <c r="FB337" i="7" a="1"/>
  <c r="FB337" i="7" s="1"/>
  <c r="EL157" i="7" a="1"/>
  <c r="EL157" i="7" s="1"/>
  <c r="ET171" i="7" a="1"/>
  <c r="ET171" i="7" s="1"/>
  <c r="EV207" i="7" a="1"/>
  <c r="EV207" i="7" s="1"/>
  <c r="EV164" i="7" a="1"/>
  <c r="EV164" i="7" s="1"/>
  <c r="FY205" i="7" a="1"/>
  <c r="FY205" i="7" s="1"/>
  <c r="ET205" i="7" a="1"/>
  <c r="ET205" i="7" s="1"/>
  <c r="EL203" i="7" a="1"/>
  <c r="EL203" i="7" s="1"/>
  <c r="FM188" i="7" a="1"/>
  <c r="FM188" i="7" s="1"/>
  <c r="FZ164" i="7" a="1"/>
  <c r="FZ164" i="7" s="1"/>
  <c r="ET141" i="7" a="1"/>
  <c r="ET141" i="7" s="1"/>
  <c r="DS206" i="7" a="1"/>
  <c r="DS206" i="7" s="1"/>
  <c r="FI205" i="7" a="1"/>
  <c r="FI205" i="7" s="1"/>
  <c r="FP200" i="7" a="1"/>
  <c r="FP200" i="7" s="1"/>
  <c r="FR218" i="7" a="1"/>
  <c r="FR218" i="7" s="1"/>
  <c r="EY228" i="7" a="1"/>
  <c r="EY228" i="7" s="1"/>
  <c r="FK236" i="7" a="1"/>
  <c r="FK236" i="7" s="1"/>
  <c r="DT214" i="7" a="1"/>
  <c r="DT214" i="7" s="1"/>
  <c r="DY193" i="7" a="1"/>
  <c r="DY193" i="7" s="1"/>
  <c r="EV221" i="7" a="1"/>
  <c r="EV221" i="7" s="1"/>
  <c r="EP211" i="7" a="1"/>
  <c r="EP211" i="7" s="1"/>
  <c r="EM219" i="7" a="1"/>
  <c r="EM219" i="7" s="1"/>
  <c r="FH217" i="7" a="1"/>
  <c r="FH217" i="7" s="1"/>
  <c r="FN211" i="7" a="1"/>
  <c r="FN211" i="7" s="1"/>
  <c r="DQ222" i="7" a="1"/>
  <c r="DQ222" i="7" s="1"/>
  <c r="EH210" i="7" a="1"/>
  <c r="EH210" i="7" s="1"/>
  <c r="FD207" i="7" a="1"/>
  <c r="FD207" i="7" s="1"/>
  <c r="FQ217" i="7" a="1"/>
  <c r="FQ217" i="7" s="1"/>
  <c r="FY210" i="7" a="1"/>
  <c r="FY210" i="7" s="1"/>
  <c r="EN199" i="7" a="1"/>
  <c r="EN199" i="7" s="1"/>
  <c r="FN207" i="7" a="1"/>
  <c r="FN207" i="7" s="1"/>
  <c r="ED221" i="7" a="1"/>
  <c r="ED221" i="7" s="1"/>
  <c r="DU230" i="7" a="1"/>
  <c r="DU230" i="7" s="1"/>
  <c r="FX218" i="7" a="1"/>
  <c r="FX218" i="7" s="1"/>
  <c r="EJ235" i="7" a="1"/>
  <c r="EJ235" i="7" s="1"/>
  <c r="FG212" i="7" a="1"/>
  <c r="FG212" i="7" s="1"/>
  <c r="EC235" i="7" a="1"/>
  <c r="EC235" i="7" s="1"/>
  <c r="EA228" i="7" a="1"/>
  <c r="EA228" i="7" s="1"/>
  <c r="DR239" i="7" a="1"/>
  <c r="DR239" i="7" s="1"/>
  <c r="FU225" i="7" a="1"/>
  <c r="FU225" i="7" s="1"/>
  <c r="FU216" i="7" a="1"/>
  <c r="FU216" i="7" s="1"/>
  <c r="DT232" i="7" a="1"/>
  <c r="DT232" i="7" s="1"/>
  <c r="DS212" i="7" a="1"/>
  <c r="DS212" i="7" s="1"/>
  <c r="EQ231" i="7" a="1"/>
  <c r="EQ231" i="7" s="1"/>
  <c r="EY226" i="7" a="1"/>
  <c r="EY226" i="7" s="1"/>
  <c r="EO237" i="7" a="1"/>
  <c r="EO237" i="7" s="1"/>
  <c r="FX225" i="7" a="1"/>
  <c r="FX225" i="7" s="1"/>
  <c r="DS237" i="7" a="1"/>
  <c r="DS237" i="7" s="1"/>
  <c r="DV232" i="7" a="1"/>
  <c r="DV232" i="7" s="1"/>
  <c r="FX222" i="7" a="1"/>
  <c r="FX222" i="7" s="1"/>
  <c r="EE233" i="7" a="1"/>
  <c r="EE233" i="7" s="1"/>
  <c r="FU232" i="7" a="1"/>
  <c r="FU232" i="7" s="1"/>
  <c r="EU245" i="7" a="1"/>
  <c r="EU245" i="7" s="1"/>
  <c r="FF253" i="7" a="1"/>
  <c r="FF253" i="7" s="1"/>
  <c r="ED231" i="7" a="1"/>
  <c r="ED231" i="7" s="1"/>
  <c r="FE247" i="7" a="1"/>
  <c r="FE247" i="7" s="1"/>
  <c r="ER237" i="7" a="1"/>
  <c r="ER237" i="7" s="1"/>
  <c r="FA246" i="7" a="1"/>
  <c r="FA246" i="7" s="1"/>
  <c r="EE254" i="7" a="1"/>
  <c r="EE254" i="7" s="1"/>
  <c r="EV232" i="7" a="1"/>
  <c r="EV232" i="7" s="1"/>
  <c r="FI246" i="7" a="1"/>
  <c r="FI246" i="7" s="1"/>
  <c r="FM250" i="7" a="1"/>
  <c r="FM250" i="7" s="1"/>
  <c r="DX233" i="7" a="1"/>
  <c r="DX233" i="7" s="1"/>
  <c r="FE242" i="7" a="1"/>
  <c r="FE242" i="7" s="1"/>
  <c r="FB246" i="7" a="1"/>
  <c r="FB246" i="7" s="1"/>
  <c r="FZ231" i="7" a="1"/>
  <c r="FZ231" i="7" s="1"/>
  <c r="FM242" i="7" a="1"/>
  <c r="FM242" i="7" s="1"/>
  <c r="FJ246" i="7" a="1"/>
  <c r="FJ246" i="7" s="1"/>
  <c r="FD251" i="7" a="1"/>
  <c r="FD251" i="7" s="1"/>
  <c r="EY237" i="7" a="1"/>
  <c r="EY237" i="7" s="1"/>
  <c r="FK243" i="7" a="1"/>
  <c r="FK243" i="7" s="1"/>
  <c r="FH247" i="7" a="1"/>
  <c r="FH247" i="7" s="1"/>
  <c r="FL251" i="7" a="1"/>
  <c r="FL251" i="7" s="1"/>
  <c r="EJ240" i="7" a="1"/>
  <c r="EJ240" i="7" s="1"/>
  <c r="EL244" i="7" a="1"/>
  <c r="EL244" i="7" s="1"/>
  <c r="DY249" i="7" a="1"/>
  <c r="DY249" i="7" s="1"/>
  <c r="FG229" i="7" a="1"/>
  <c r="FG229" i="7" s="1"/>
  <c r="FJ241" i="7" a="1"/>
  <c r="FJ241" i="7" s="1"/>
  <c r="FD246" i="7" a="1"/>
  <c r="FD246" i="7" s="1"/>
  <c r="FT227" i="7" a="1"/>
  <c r="FT227" i="7" s="1"/>
  <c r="EZ234" i="7" a="1"/>
  <c r="EZ234" i="7" s="1"/>
  <c r="FY242" i="7" a="1"/>
  <c r="FY242" i="7" s="1"/>
  <c r="ES234" i="7" a="1"/>
  <c r="ES234" i="7" s="1"/>
  <c r="FO251" i="7" a="1"/>
  <c r="FO251" i="7" s="1"/>
  <c r="EE242" i="7" a="1"/>
  <c r="EE242" i="7" s="1"/>
  <c r="EF255" i="7" a="1"/>
  <c r="EF255" i="7" s="1"/>
  <c r="FV257" i="7" a="1"/>
  <c r="FV257" i="7" s="1"/>
  <c r="FV259" i="7" a="1"/>
  <c r="FV259" i="7" s="1"/>
  <c r="EM262" i="7" a="1"/>
  <c r="EM262" i="7" s="1"/>
  <c r="EM264" i="7" a="1"/>
  <c r="EM264" i="7" s="1"/>
  <c r="FO266" i="7" a="1"/>
  <c r="FO266" i="7" s="1"/>
  <c r="FO268" i="7" a="1"/>
  <c r="FO268" i="7" s="1"/>
  <c r="FO270" i="7" a="1"/>
  <c r="FO270" i="7" s="1"/>
  <c r="EF273" i="7" a="1"/>
  <c r="EF273" i="7" s="1"/>
  <c r="EF275" i="7" a="1"/>
  <c r="EF275" i="7" s="1"/>
  <c r="DZ249" i="7" a="1"/>
  <c r="DZ249" i="7" s="1"/>
  <c r="EG254" i="7" a="1"/>
  <c r="EG254" i="7" s="1"/>
  <c r="EU247" i="7" a="1"/>
  <c r="EU247" i="7" s="1"/>
  <c r="FS255" i="7" a="1"/>
  <c r="FS255" i="7" s="1"/>
  <c r="EU258" i="7" a="1"/>
  <c r="EU258" i="7" s="1"/>
  <c r="FW260" i="7" a="1"/>
  <c r="FW260" i="7" s="1"/>
  <c r="FW262" i="7" a="1"/>
  <c r="FW262" i="7" s="1"/>
  <c r="FW264" i="7" a="1"/>
  <c r="FW264" i="7" s="1"/>
  <c r="EN267" i="7" a="1"/>
  <c r="EN267" i="7" s="1"/>
  <c r="EN269" i="7" a="1"/>
  <c r="EN269" i="7" s="1"/>
  <c r="FT249" i="7" a="1"/>
  <c r="FT249" i="7" s="1"/>
  <c r="EL227" i="7" a="1"/>
  <c r="EL227" i="7" s="1"/>
  <c r="EN250" i="7" a="1"/>
  <c r="EN250" i="7" s="1"/>
  <c r="EC256" i="7" a="1"/>
  <c r="EC256" i="7" s="1"/>
  <c r="FJ258" i="7" a="1"/>
  <c r="FJ258" i="7" s="1"/>
  <c r="EA261" i="7" a="1"/>
  <c r="EA261" i="7" s="1"/>
  <c r="EA263" i="7" a="1"/>
  <c r="EA263" i="7" s="1"/>
  <c r="EA265" i="7" a="1"/>
  <c r="EA265" i="7" s="1"/>
  <c r="FC267" i="7" a="1"/>
  <c r="FC267" i="7" s="1"/>
  <c r="FC269" i="7" a="1"/>
  <c r="FC269" i="7" s="1"/>
  <c r="FU249" i="7" a="1"/>
  <c r="FU249" i="7" s="1"/>
  <c r="EM233" i="7" a="1"/>
  <c r="EM233" i="7" s="1"/>
  <c r="FX249" i="7" a="1"/>
  <c r="FX249" i="7" s="1"/>
  <c r="ET255" i="7" a="1"/>
  <c r="ET255" i="7" s="1"/>
  <c r="EB258" i="7" a="1"/>
  <c r="EB258" i="7" s="1"/>
  <c r="FR259" i="7" a="1"/>
  <c r="FR259" i="7" s="1"/>
  <c r="EW261" i="7" a="1"/>
  <c r="EW261" i="7" s="1"/>
  <c r="EB263" i="7" a="1"/>
  <c r="EB263" i="7" s="1"/>
  <c r="FY264" i="7" a="1"/>
  <c r="FY264" i="7" s="1"/>
  <c r="FD266" i="7" a="1"/>
  <c r="FD266" i="7" s="1"/>
  <c r="DV242" i="7" a="1"/>
  <c r="DV242" i="7" s="1"/>
  <c r="ED250" i="7" a="1"/>
  <c r="ED250" i="7" s="1"/>
  <c r="FE235" i="7" a="1"/>
  <c r="FE235" i="7" s="1"/>
  <c r="FU250" i="7" a="1"/>
  <c r="FU250" i="7" s="1"/>
  <c r="FH254" i="7" a="1"/>
  <c r="FH254" i="7" s="1"/>
  <c r="DS257" i="7" a="1"/>
  <c r="DS257" i="7" s="1"/>
  <c r="FZ258" i="7" a="1"/>
  <c r="FZ258" i="7" s="1"/>
  <c r="FE260" i="7" a="1"/>
  <c r="FE260" i="7" s="1"/>
  <c r="DR247" i="7" a="1"/>
  <c r="DR247" i="7" s="1"/>
  <c r="EM253" i="7" a="1"/>
  <c r="EM253" i="7" s="1"/>
  <c r="ET256" i="7" a="1"/>
  <c r="ET256" i="7" s="1"/>
  <c r="FG258" i="7" a="1"/>
  <c r="FG258" i="7" s="1"/>
  <c r="EL260" i="7" a="1"/>
  <c r="EL260" i="7" s="1"/>
  <c r="DQ262" i="7" a="1"/>
  <c r="DQ262" i="7" s="1"/>
  <c r="FG263" i="7" a="1"/>
  <c r="FG263" i="7" s="1"/>
  <c r="EL265" i="7" a="1"/>
  <c r="EL265" i="7" s="1"/>
  <c r="EV253" i="7" a="1"/>
  <c r="EV253" i="7" s="1"/>
  <c r="EQ264" i="7" a="1"/>
  <c r="EQ264" i="7" s="1"/>
  <c r="FK270" i="7" a="1"/>
  <c r="FK270" i="7" s="1"/>
  <c r="EH274" i="7" a="1"/>
  <c r="EH274" i="7" s="1"/>
  <c r="FV280" i="7" a="1"/>
  <c r="FV280" i="7" s="1"/>
  <c r="EY284" i="7" a="1"/>
  <c r="EY284" i="7" s="1"/>
  <c r="FF287" i="7" a="1"/>
  <c r="FF287" i="7" s="1"/>
  <c r="FM290" i="7" a="1"/>
  <c r="FM290" i="7" s="1"/>
  <c r="FT293" i="7" a="1"/>
  <c r="FT293" i="7" s="1"/>
  <c r="FT267" i="7" a="1"/>
  <c r="FT267" i="7" s="1"/>
  <c r="EA272" i="7" a="1"/>
  <c r="EA272" i="7" s="1"/>
  <c r="FI275" i="7" a="1"/>
  <c r="FI275" i="7" s="1"/>
  <c r="FP277" i="7" a="1"/>
  <c r="FP277" i="7" s="1"/>
  <c r="FD279" i="7" a="1"/>
  <c r="FD279" i="7" s="1"/>
  <c r="ER281" i="7" a="1"/>
  <c r="ER281" i="7" s="1"/>
  <c r="ER284" i="7" a="1"/>
  <c r="ER284" i="7" s="1"/>
  <c r="DX236" i="7" a="1"/>
  <c r="DX236" i="7" s="1"/>
  <c r="FT262" i="7" a="1"/>
  <c r="FT262" i="7" s="1"/>
  <c r="EQ268" i="7" a="1"/>
  <c r="EQ268" i="7" s="1"/>
  <c r="EJ272" i="7" a="1"/>
  <c r="EJ272" i="7" s="1"/>
  <c r="DX276" i="7" a="1"/>
  <c r="DX276" i="7" s="1"/>
  <c r="DY283" i="7" a="1"/>
  <c r="DY283" i="7" s="1"/>
  <c r="EF286" i="7" a="1"/>
  <c r="EF286" i="7" s="1"/>
  <c r="EM289" i="7" a="1"/>
  <c r="EM289" i="7" s="1"/>
  <c r="ET292" i="7" a="1"/>
  <c r="ET292" i="7" s="1"/>
  <c r="EK257" i="7" a="1"/>
  <c r="EK257" i="7" s="1"/>
  <c r="FU270" i="7" a="1"/>
  <c r="FU270" i="7" s="1"/>
  <c r="ER274" i="7" a="1"/>
  <c r="ER274" i="7" s="1"/>
  <c r="DT277" i="7" a="1"/>
  <c r="DT277" i="7" s="1"/>
  <c r="FS278" i="7" a="1"/>
  <c r="FS278" i="7" s="1"/>
  <c r="FG280" i="7" a="1"/>
  <c r="FG280" i="7" s="1"/>
  <c r="EG283" i="7" a="1"/>
  <c r="EG283" i="7" s="1"/>
  <c r="GA249" i="7" a="1"/>
  <c r="GA249" i="7" s="1"/>
  <c r="EK263" i="7" a="1"/>
  <c r="EK263" i="7" s="1"/>
  <c r="DX269" i="7" a="1"/>
  <c r="DX269" i="7" s="1"/>
  <c r="FL272" i="7" a="1"/>
  <c r="FL272" i="7" s="1"/>
  <c r="FA277" i="7" a="1"/>
  <c r="FA277" i="7" s="1"/>
  <c r="EO283" i="7" a="1"/>
  <c r="EO283" i="7" s="1"/>
  <c r="FQ253" i="7" a="1"/>
  <c r="FQ253" i="7" s="1"/>
  <c r="ED270" i="7" a="1"/>
  <c r="ED270" i="7" s="1"/>
  <c r="FL273" i="7" a="1"/>
  <c r="FL273" i="7" s="1"/>
  <c r="FP276" i="7" a="1"/>
  <c r="FP276" i="7" s="1"/>
  <c r="FD278" i="7" a="1"/>
  <c r="FD278" i="7" s="1"/>
  <c r="ER280" i="7" a="1"/>
  <c r="ER280" i="7" s="1"/>
  <c r="FO282" i="7" a="1"/>
  <c r="FO282" i="7" s="1"/>
  <c r="EM247" i="7" a="1"/>
  <c r="EM247" i="7" s="1"/>
  <c r="EQ263" i="7" a="1"/>
  <c r="EQ263" i="7" s="1"/>
  <c r="EK269" i="7" a="1"/>
  <c r="EK269" i="7" s="1"/>
  <c r="FM272" i="7" a="1"/>
  <c r="FM272" i="7" s="1"/>
  <c r="FH276" i="7" a="1"/>
  <c r="FH276" i="7" s="1"/>
  <c r="EA283" i="7" a="1"/>
  <c r="EA283" i="7" s="1"/>
  <c r="EA252" i="7" a="1"/>
  <c r="EA252" i="7" s="1"/>
  <c r="EE270" i="7" a="1"/>
  <c r="EE270" i="7" s="1"/>
  <c r="FM273" i="7" a="1"/>
  <c r="FM273" i="7" s="1"/>
  <c r="FQ276" i="7" a="1"/>
  <c r="FQ276" i="7" s="1"/>
  <c r="FE278" i="7" a="1"/>
  <c r="FE278" i="7" s="1"/>
  <c r="ES280" i="7" a="1"/>
  <c r="ES280" i="7" s="1"/>
  <c r="FP282" i="7" a="1"/>
  <c r="FP282" i="7" s="1"/>
  <c r="FW285" i="7" a="1"/>
  <c r="FW285" i="7" s="1"/>
  <c r="DS249" i="7" a="1"/>
  <c r="DS249" i="7" s="1"/>
  <c r="FS263" i="7" a="1"/>
  <c r="FS263" i="7" s="1"/>
  <c r="EX269" i="7" a="1"/>
  <c r="EX269" i="7" s="1"/>
  <c r="FX272" i="7" a="1"/>
  <c r="FX272" i="7" s="1"/>
  <c r="EM277" i="7" a="1"/>
  <c r="EM277" i="7" s="1"/>
  <c r="EQ283" i="7" a="1"/>
  <c r="EQ283" i="7" s="1"/>
  <c r="EA253" i="7" a="1"/>
  <c r="EA253" i="7" s="1"/>
  <c r="EP270" i="7" a="1"/>
  <c r="EP270" i="7" s="1"/>
  <c r="FX273" i="7" a="1"/>
  <c r="FX273" i="7" s="1"/>
  <c r="FR276" i="7" a="1"/>
  <c r="FR276" i="7" s="1"/>
  <c r="FK268" i="7" a="1"/>
  <c r="FK268" i="7" s="1"/>
  <c r="DZ272" i="7" a="1"/>
  <c r="DZ272" i="7" s="1"/>
  <c r="FY275" i="7" a="1"/>
  <c r="FY275" i="7" s="1"/>
  <c r="FW277" i="7" a="1"/>
  <c r="FW277" i="7" s="1"/>
  <c r="FK279" i="7" a="1"/>
  <c r="FK279" i="7" s="1"/>
  <c r="EY281" i="7" a="1"/>
  <c r="EY281" i="7" s="1"/>
  <c r="FF284" i="7" a="1"/>
  <c r="FF284" i="7" s="1"/>
  <c r="EF282" i="7" a="1"/>
  <c r="EF282" i="7" s="1"/>
  <c r="EE288" i="7" a="1"/>
  <c r="EE288" i="7" s="1"/>
  <c r="DQ292" i="7" a="1"/>
  <c r="DQ292" i="7" s="1"/>
  <c r="EA295" i="7" a="1"/>
  <c r="EA295" i="7" s="1"/>
  <c r="EH298" i="7" a="1"/>
  <c r="EH298" i="7" s="1"/>
  <c r="ED300" i="7" a="1"/>
  <c r="ED300" i="7" s="1"/>
  <c r="FM301" i="7" a="1"/>
  <c r="FM301" i="7" s="1"/>
  <c r="EK303" i="7" a="1"/>
  <c r="EK303" i="7" s="1"/>
  <c r="FT304" i="7" a="1"/>
  <c r="FT304" i="7" s="1"/>
  <c r="ER306" i="7" a="1"/>
  <c r="ER306" i="7" s="1"/>
  <c r="GA307" i="7" a="1"/>
  <c r="GA307" i="7" s="1"/>
  <c r="EY309" i="7" a="1"/>
  <c r="EY309" i="7" s="1"/>
  <c r="DW311" i="7" a="1"/>
  <c r="DW311" i="7" s="1"/>
  <c r="FF312" i="7" a="1"/>
  <c r="FF312" i="7" s="1"/>
  <c r="ED314" i="7" a="1"/>
  <c r="ED314" i="7" s="1"/>
  <c r="FM315" i="7" a="1"/>
  <c r="FM315" i="7" s="1"/>
  <c r="EK317" i="7" a="1"/>
  <c r="EK317" i="7" s="1"/>
  <c r="FT318" i="7" a="1"/>
  <c r="FT318" i="7" s="1"/>
  <c r="ER320" i="7" a="1"/>
  <c r="ER320" i="7" s="1"/>
  <c r="GA321" i="7" a="1"/>
  <c r="GA321" i="7" s="1"/>
  <c r="EY323" i="7" a="1"/>
  <c r="EY323" i="7" s="1"/>
  <c r="DW325" i="7" a="1"/>
  <c r="DW325" i="7" s="1"/>
  <c r="EN277" i="7" a="1"/>
  <c r="EN277" i="7" s="1"/>
  <c r="DY285" i="7" a="1"/>
  <c r="DY285" i="7" s="1"/>
  <c r="EN289" i="7" a="1"/>
  <c r="EN289" i="7" s="1"/>
  <c r="FJ292" i="7" a="1"/>
  <c r="FJ292" i="7" s="1"/>
  <c r="EN296" i="7" a="1"/>
  <c r="EN296" i="7" s="1"/>
  <c r="EY261" i="7" a="1"/>
  <c r="EY261" i="7" s="1"/>
  <c r="FM284" i="7" a="1"/>
  <c r="FM284" i="7" s="1"/>
  <c r="DV289" i="7" a="1"/>
  <c r="DV289" i="7" s="1"/>
  <c r="FB292" i="7" a="1"/>
  <c r="FB292" i="7" s="1"/>
  <c r="FU295" i="7" a="1"/>
  <c r="FU295" i="7" s="1"/>
  <c r="DQ299" i="7" a="1"/>
  <c r="DQ299" i="7" s="1"/>
  <c r="EZ300" i="7" a="1"/>
  <c r="EZ300" i="7" s="1"/>
  <c r="DX302" i="7" a="1"/>
  <c r="DX302" i="7" s="1"/>
  <c r="FG303" i="7" a="1"/>
  <c r="FG303" i="7" s="1"/>
  <c r="EE305" i="7" a="1"/>
  <c r="EE305" i="7" s="1"/>
  <c r="FN306" i="7" a="1"/>
  <c r="FN306" i="7" s="1"/>
  <c r="EL308" i="7" a="1"/>
  <c r="EL308" i="7" s="1"/>
  <c r="FU309" i="7" a="1"/>
  <c r="FU309" i="7" s="1"/>
  <c r="ES311" i="7" a="1"/>
  <c r="ES311" i="7" s="1"/>
  <c r="DQ313" i="7" a="1"/>
  <c r="DQ313" i="7" s="1"/>
  <c r="EZ314" i="7" a="1"/>
  <c r="EZ314" i="7" s="1"/>
  <c r="DX316" i="7" a="1"/>
  <c r="DX316" i="7" s="1"/>
  <c r="FG317" i="7" a="1"/>
  <c r="FG317" i="7" s="1"/>
  <c r="EE319" i="7" a="1"/>
  <c r="EE319" i="7" s="1"/>
  <c r="FN320" i="7" a="1"/>
  <c r="FN320" i="7" s="1"/>
  <c r="EL322" i="7" a="1"/>
  <c r="EL322" i="7" s="1"/>
  <c r="FY274" i="7" a="1"/>
  <c r="FY274" i="7" s="1"/>
  <c r="FS284" i="7" a="1"/>
  <c r="FS284" i="7" s="1"/>
  <c r="DW289" i="7" a="1"/>
  <c r="DW289" i="7" s="1"/>
  <c r="DQ293" i="7" a="1"/>
  <c r="DQ293" i="7" s="1"/>
  <c r="FV295" i="7" a="1"/>
  <c r="FV295" i="7" s="1"/>
  <c r="FE261" i="7" a="1"/>
  <c r="FE261" i="7" s="1"/>
  <c r="FA283" i="7" a="1"/>
  <c r="FA283" i="7" s="1"/>
  <c r="DY288" i="7" a="1"/>
  <c r="DY288" i="7" s="1"/>
  <c r="FM291" i="7" a="1"/>
  <c r="FM291" i="7" s="1"/>
  <c r="EC295" i="7" a="1"/>
  <c r="EC295" i="7" s="1"/>
  <c r="EJ298" i="7" a="1"/>
  <c r="EJ298" i="7" s="1"/>
  <c r="DY300" i="7" a="1"/>
  <c r="DY300" i="7" s="1"/>
  <c r="FH301" i="7" a="1"/>
  <c r="FH301" i="7" s="1"/>
  <c r="EF303" i="7" a="1"/>
  <c r="EF303" i="7" s="1"/>
  <c r="FO304" i="7" a="1"/>
  <c r="FO304" i="7" s="1"/>
  <c r="EM306" i="7" a="1"/>
  <c r="EM306" i="7" s="1"/>
  <c r="FV307" i="7" a="1"/>
  <c r="FV307" i="7" s="1"/>
  <c r="ET309" i="7" a="1"/>
  <c r="ET309" i="7" s="1"/>
  <c r="DR311" i="7" a="1"/>
  <c r="DR311" i="7" s="1"/>
  <c r="DW273" i="7" a="1"/>
  <c r="DW273" i="7" s="1"/>
  <c r="EX281" i="7" a="1"/>
  <c r="EX281" i="7" s="1"/>
  <c r="EZ288" i="7" a="1"/>
  <c r="EZ288" i="7" s="1"/>
  <c r="DT292" i="7" a="1"/>
  <c r="DT292" i="7" s="1"/>
  <c r="FW295" i="7" a="1"/>
  <c r="FW295" i="7" s="1"/>
  <c r="EW249" i="7" a="1"/>
  <c r="EW249" i="7" s="1"/>
  <c r="FG283" i="7" a="1"/>
  <c r="FG283" i="7" s="1"/>
  <c r="EA288" i="7" a="1"/>
  <c r="EA288" i="7" s="1"/>
  <c r="FW291" i="7" a="1"/>
  <c r="FW291" i="7" s="1"/>
  <c r="ED295" i="7" a="1"/>
  <c r="ED295" i="7" s="1"/>
  <c r="EK298" i="7" a="1"/>
  <c r="EK298" i="7" s="1"/>
  <c r="DZ300" i="7" a="1"/>
  <c r="DZ300" i="7" s="1"/>
  <c r="FI301" i="7" a="1"/>
  <c r="FI301" i="7" s="1"/>
  <c r="EG303" i="7" a="1"/>
  <c r="EG303" i="7" s="1"/>
  <c r="FP304" i="7" a="1"/>
  <c r="FP304" i="7" s="1"/>
  <c r="EN306" i="7" a="1"/>
  <c r="EN306" i="7" s="1"/>
  <c r="FW307" i="7" a="1"/>
  <c r="FW307" i="7" s="1"/>
  <c r="EU309" i="7" a="1"/>
  <c r="EU309" i="7" s="1"/>
  <c r="DS311" i="7" a="1"/>
  <c r="DS311" i="7" s="1"/>
  <c r="FB312" i="7" a="1"/>
  <c r="FB312" i="7" s="1"/>
  <c r="ED260" i="7" a="1"/>
  <c r="ED260" i="7" s="1"/>
  <c r="DQ278" i="7" a="1"/>
  <c r="DQ278" i="7" s="1"/>
  <c r="ET285" i="7" a="1"/>
  <c r="ET285" i="7" s="1"/>
  <c r="FI289" i="7" a="1"/>
  <c r="FI289" i="7" s="1"/>
  <c r="DT293" i="7" a="1"/>
  <c r="DT293" i="7" s="1"/>
  <c r="FF296" i="7" a="1"/>
  <c r="FF296" i="7" s="1"/>
  <c r="EK262" i="7" a="1"/>
  <c r="EK262" i="7" s="1"/>
  <c r="GA284" i="7" a="1"/>
  <c r="GA284" i="7" s="1"/>
  <c r="DR289" i="7" a="1"/>
  <c r="DR289" i="7" s="1"/>
  <c r="FE292" i="7" a="1"/>
  <c r="FE292" i="7" s="1"/>
  <c r="FQ295" i="7" a="1"/>
  <c r="FQ295" i="7" s="1"/>
  <c r="FX298" i="7" a="1"/>
  <c r="FX298" i="7" s="1"/>
  <c r="EV300" i="7" a="1"/>
  <c r="EV300" i="7" s="1"/>
  <c r="DT302" i="7" a="1"/>
  <c r="DT302" i="7" s="1"/>
  <c r="FC303" i="7" a="1"/>
  <c r="FC303" i="7" s="1"/>
  <c r="EA305" i="7" a="1"/>
  <c r="EA305" i="7" s="1"/>
  <c r="FJ306" i="7" a="1"/>
  <c r="FJ306" i="7" s="1"/>
  <c r="EH308" i="7" a="1"/>
  <c r="EH308" i="7" s="1"/>
  <c r="FQ309" i="7" a="1"/>
  <c r="FQ309" i="7" s="1"/>
  <c r="EJ264" i="7" a="1"/>
  <c r="EJ264" i="7" s="1"/>
  <c r="ER279" i="7" a="1"/>
  <c r="ER279" i="7" s="1"/>
  <c r="FF286" i="7" a="1"/>
  <c r="FF286" i="7" s="1"/>
  <c r="EZ290" i="7" a="1"/>
  <c r="EZ290" i="7" s="1"/>
  <c r="EA294" i="7" a="1"/>
  <c r="EA294" i="7" s="1"/>
  <c r="EH297" i="7" a="1"/>
  <c r="EH297" i="7" s="1"/>
  <c r="EO273" i="7" a="1"/>
  <c r="EO273" i="7" s="1"/>
  <c r="EK286" i="7" a="1"/>
  <c r="EK286" i="7" s="1"/>
  <c r="EP269" i="7" a="1"/>
  <c r="EP269" i="7" s="1"/>
  <c r="EN280" i="7" a="1"/>
  <c r="EN280" i="7" s="1"/>
  <c r="FG286" i="7" a="1"/>
  <c r="FG286" i="7" s="1"/>
  <c r="EQ271" i="7" a="1"/>
  <c r="EQ271" i="7" s="1"/>
  <c r="EN286" i="7" a="1"/>
  <c r="EN286" i="7" s="1"/>
  <c r="FP274" i="7" a="1"/>
  <c r="FP274" i="7" s="1"/>
  <c r="EE282" i="7" a="1"/>
  <c r="EE282" i="7" s="1"/>
  <c r="EL289" i="7" a="1"/>
  <c r="EL289" i="7" s="1"/>
  <c r="FZ292" i="7" a="1"/>
  <c r="FZ292" i="7" s="1"/>
  <c r="EE296" i="7" a="1"/>
  <c r="EE296" i="7" s="1"/>
  <c r="DZ290" i="7" a="1"/>
  <c r="DZ290" i="7" s="1"/>
  <c r="EW302" i="7" a="1"/>
  <c r="EW302" i="7" s="1"/>
  <c r="FY307" i="7" a="1"/>
  <c r="FY307" i="7" s="1"/>
  <c r="FY314" i="7" a="1"/>
  <c r="FY314" i="7" s="1"/>
  <c r="EM319" i="7" a="1"/>
  <c r="EM319" i="7" s="1"/>
  <c r="EW326" i="7" a="1"/>
  <c r="EW326" i="7" s="1"/>
  <c r="FD329" i="7" a="1"/>
  <c r="FD329" i="7" s="1"/>
  <c r="FK332" i="7" a="1"/>
  <c r="FK332" i="7" s="1"/>
  <c r="FR335" i="7" a="1"/>
  <c r="FR335" i="7" s="1"/>
  <c r="FY338" i="7" a="1"/>
  <c r="FY338" i="7" s="1"/>
  <c r="DU342" i="7" a="1"/>
  <c r="DU342" i="7" s="1"/>
  <c r="EB345" i="7" a="1"/>
  <c r="EB345" i="7" s="1"/>
  <c r="EI348" i="7" a="1"/>
  <c r="EI348" i="7" s="1"/>
  <c r="DX350" i="7" a="1"/>
  <c r="DX350" i="7" s="1"/>
  <c r="FG351" i="7" a="1"/>
  <c r="FG351" i="7" s="1"/>
  <c r="EE353" i="7" a="1"/>
  <c r="EE353" i="7" s="1"/>
  <c r="FN354" i="7" a="1"/>
  <c r="FN354" i="7" s="1"/>
  <c r="EL356" i="7" a="1"/>
  <c r="EL356" i="7" s="1"/>
  <c r="FU357" i="7" a="1"/>
  <c r="FU357" i="7" s="1"/>
  <c r="ES359" i="7" a="1"/>
  <c r="ES359" i="7" s="1"/>
  <c r="DQ361" i="7" a="1"/>
  <c r="DQ361" i="7" s="1"/>
  <c r="DZ295" i="7" a="1"/>
  <c r="DZ295" i="7" s="1"/>
  <c r="FK312" i="7" a="1"/>
  <c r="FK312" i="7" s="1"/>
  <c r="FP316" i="7" a="1"/>
  <c r="FP316" i="7" s="1"/>
  <c r="DT321" i="7" a="1"/>
  <c r="DT321" i="7" s="1"/>
  <c r="FD323" i="7" a="1"/>
  <c r="FD323" i="7" s="1"/>
  <c r="ES325" i="7" a="1"/>
  <c r="ES325" i="7" s="1"/>
  <c r="EZ328" i="7" a="1"/>
  <c r="EZ328" i="7" s="1"/>
  <c r="FG331" i="7" a="1"/>
  <c r="FG331" i="7" s="1"/>
  <c r="FN334" i="7" a="1"/>
  <c r="FN334" i="7" s="1"/>
  <c r="FU337" i="7" a="1"/>
  <c r="FU337" i="7" s="1"/>
  <c r="DQ341" i="7" a="1"/>
  <c r="DQ341" i="7" s="1"/>
  <c r="DX344" i="7" a="1"/>
  <c r="DX344" i="7" s="1"/>
  <c r="EE347" i="7" a="1"/>
  <c r="EE347" i="7" s="1"/>
  <c r="EV293" i="7" a="1"/>
  <c r="EV293" i="7" s="1"/>
  <c r="FK303" i="7" a="1"/>
  <c r="FK303" i="7" s="1"/>
  <c r="EB309" i="7" a="1"/>
  <c r="EB309" i="7" s="1"/>
  <c r="EG316" i="7" a="1"/>
  <c r="EG316" i="7" s="1"/>
  <c r="EV320" i="7" a="1"/>
  <c r="EV320" i="7" s="1"/>
  <c r="EN327" i="7" a="1"/>
  <c r="EN327" i="7" s="1"/>
  <c r="EU330" i="7" a="1"/>
  <c r="EU330" i="7" s="1"/>
  <c r="FB333" i="7" a="1"/>
  <c r="FB333" i="7" s="1"/>
  <c r="FI336" i="7" a="1"/>
  <c r="FI336" i="7" s="1"/>
  <c r="FP339" i="7" a="1"/>
  <c r="FP339" i="7" s="1"/>
  <c r="FW342" i="7" a="1"/>
  <c r="FW342" i="7" s="1"/>
  <c r="DS346" i="7" a="1"/>
  <c r="DS346" i="7" s="1"/>
  <c r="DR349" i="7" a="1"/>
  <c r="DR349" i="7" s="1"/>
  <c r="FA350" i="7" a="1"/>
  <c r="FA350" i="7" s="1"/>
  <c r="DY352" i="7" a="1"/>
  <c r="DY352" i="7" s="1"/>
  <c r="FH353" i="7" a="1"/>
  <c r="FH353" i="7" s="1"/>
  <c r="FQ292" i="7" a="1"/>
  <c r="FQ292" i="7" s="1"/>
  <c r="EJ312" i="7" a="1"/>
  <c r="EJ312" i="7" s="1"/>
  <c r="DY316" i="7" a="1"/>
  <c r="DY316" i="7" s="1"/>
  <c r="FE320" i="7" a="1"/>
  <c r="FE320" i="7" s="1"/>
  <c r="EO323" i="7" a="1"/>
  <c r="EO323" i="7" s="1"/>
  <c r="EC325" i="7" a="1"/>
  <c r="EC325" i="7" s="1"/>
  <c r="ED328" i="7" a="1"/>
  <c r="ED328" i="7" s="1"/>
  <c r="EK331" i="7" a="1"/>
  <c r="EK331" i="7" s="1"/>
  <c r="ER334" i="7" a="1"/>
  <c r="ER334" i="7" s="1"/>
  <c r="EY337" i="7" a="1"/>
  <c r="EY337" i="7" s="1"/>
  <c r="FF340" i="7" a="1"/>
  <c r="FF340" i="7" s="1"/>
  <c r="FM343" i="7" a="1"/>
  <c r="FM343" i="7" s="1"/>
  <c r="EZ291" i="7" a="1"/>
  <c r="EZ291" i="7" s="1"/>
  <c r="FZ302" i="7" a="1"/>
  <c r="FZ302" i="7" s="1"/>
  <c r="EQ308" i="7" a="1"/>
  <c r="EQ308" i="7" s="1"/>
  <c r="FR315" i="7" a="1"/>
  <c r="FR315" i="7" s="1"/>
  <c r="EF320" i="7" a="1"/>
  <c r="EF320" i="7" s="1"/>
  <c r="DZ327" i="7" a="1"/>
  <c r="DZ327" i="7" s="1"/>
  <c r="EG330" i="7" a="1"/>
  <c r="EG330" i="7" s="1"/>
  <c r="EN333" i="7" a="1"/>
  <c r="EN333" i="7" s="1"/>
  <c r="EU336" i="7" a="1"/>
  <c r="EU336" i="7" s="1"/>
  <c r="FB339" i="7" a="1"/>
  <c r="FB339" i="7" s="1"/>
  <c r="FX287" i="7" a="1"/>
  <c r="FX287" i="7" s="1"/>
  <c r="ET311" i="7" a="1"/>
  <c r="ET311" i="7" s="1"/>
  <c r="DR315" i="7" a="1"/>
  <c r="DR315" i="7" s="1"/>
  <c r="EX319" i="7" a="1"/>
  <c r="EX319" i="7" s="1"/>
  <c r="DR323" i="7" a="1"/>
  <c r="DR323" i="7" s="1"/>
  <c r="FQ324" i="7" a="1"/>
  <c r="FQ324" i="7" s="1"/>
  <c r="EW327" i="7" a="1"/>
  <c r="EW327" i="7" s="1"/>
  <c r="FD330" i="7" a="1"/>
  <c r="FD330" i="7" s="1"/>
  <c r="FK333" i="7" a="1"/>
  <c r="FK333" i="7" s="1"/>
  <c r="FR336" i="7" a="1"/>
  <c r="FR336" i="7" s="1"/>
  <c r="FY339" i="7" a="1"/>
  <c r="FY339" i="7" s="1"/>
  <c r="DU343" i="7" a="1"/>
  <c r="DU343" i="7" s="1"/>
  <c r="EB346" i="7" a="1"/>
  <c r="EB346" i="7" s="1"/>
  <c r="EI302" i="7" a="1"/>
  <c r="EI302" i="7" s="1"/>
  <c r="FK307" i="7" a="1"/>
  <c r="FK307" i="7" s="1"/>
  <c r="EO312" i="7" a="1"/>
  <c r="EO312" i="7" s="1"/>
  <c r="DR316" i="7" a="1"/>
  <c r="DR316" i="7" s="1"/>
  <c r="EX320" i="7" a="1"/>
  <c r="EX320" i="7" s="1"/>
  <c r="EA327" i="7" a="1"/>
  <c r="EA327" i="7" s="1"/>
  <c r="EH330" i="7" a="1"/>
  <c r="EH330" i="7" s="1"/>
  <c r="EO333" i="7" a="1"/>
  <c r="EO333" i="7" s="1"/>
  <c r="EV336" i="7" a="1"/>
  <c r="EV336" i="7" s="1"/>
  <c r="FC339" i="7" a="1"/>
  <c r="FC339" i="7" s="1"/>
  <c r="FJ342" i="7" a="1"/>
  <c r="FJ342" i="7" s="1"/>
  <c r="FQ345" i="7" a="1"/>
  <c r="FQ345" i="7" s="1"/>
  <c r="FX348" i="7" a="1"/>
  <c r="FX348" i="7" s="1"/>
  <c r="EP301" i="7" a="1"/>
  <c r="EP301" i="7" s="1"/>
  <c r="EI317" i="7" a="1"/>
  <c r="EI317" i="7" s="1"/>
  <c r="FH321" i="7" a="1"/>
  <c r="FH321" i="7" s="1"/>
  <c r="FX323" i="7" a="1"/>
  <c r="FX323" i="7" s="1"/>
  <c r="FZ325" i="7" a="1"/>
  <c r="FZ325" i="7" s="1"/>
  <c r="DV329" i="7" a="1"/>
  <c r="DV329" i="7" s="1"/>
  <c r="EC332" i="7" a="1"/>
  <c r="EC332" i="7" s="1"/>
  <c r="EJ335" i="7" a="1"/>
  <c r="EJ335" i="7" s="1"/>
  <c r="EQ338" i="7" a="1"/>
  <c r="EQ338" i="7" s="1"/>
  <c r="EX341" i="7" a="1"/>
  <c r="EX341" i="7" s="1"/>
  <c r="FE344" i="7" a="1"/>
  <c r="FE344" i="7" s="1"/>
  <c r="FN293" i="7" a="1"/>
  <c r="FN293" i="7" s="1"/>
  <c r="FS303" i="7" a="1"/>
  <c r="FS303" i="7" s="1"/>
  <c r="EJ309" i="7" a="1"/>
  <c r="EJ309" i="7" s="1"/>
  <c r="EI313" i="7" a="1"/>
  <c r="EI313" i="7" s="1"/>
  <c r="FS317" i="7" a="1"/>
  <c r="FS317" i="7" s="1"/>
  <c r="EG322" i="7" a="1"/>
  <c r="EG322" i="7" s="1"/>
  <c r="EV328" i="7" a="1"/>
  <c r="EV328" i="7" s="1"/>
  <c r="FC331" i="7" a="1"/>
  <c r="FC331" i="7" s="1"/>
  <c r="FJ334" i="7" a="1"/>
  <c r="FJ334" i="7" s="1"/>
  <c r="FQ337" i="7" a="1"/>
  <c r="FQ337" i="7" s="1"/>
  <c r="FX340" i="7" a="1"/>
  <c r="FX340" i="7" s="1"/>
  <c r="EH158" i="7" a="1"/>
  <c r="EH158" i="7" s="1"/>
  <c r="EJ173" i="7" a="1"/>
  <c r="EJ173" i="7" s="1"/>
  <c r="DR208" i="7" a="1"/>
  <c r="DR208" i="7" s="1"/>
  <c r="EB166" i="7" a="1"/>
  <c r="EB166" i="7" s="1"/>
  <c r="DZ206" i="7" a="1"/>
  <c r="DZ206" i="7" s="1"/>
  <c r="FD205" i="7" a="1"/>
  <c r="FD205" i="7" s="1"/>
  <c r="EX203" i="7" a="1"/>
  <c r="EX203" i="7" s="1"/>
  <c r="EF190" i="7" a="1"/>
  <c r="EF190" i="7" s="1"/>
  <c r="FM166" i="7" a="1"/>
  <c r="FM166" i="7" s="1"/>
  <c r="EO157" i="7" a="1"/>
  <c r="EO157" i="7" s="1"/>
  <c r="EZ206" i="7" a="1"/>
  <c r="EZ206" i="7" s="1"/>
  <c r="EE206" i="7" a="1"/>
  <c r="EE206" i="7" s="1"/>
  <c r="EB201" i="7" a="1"/>
  <c r="EB201" i="7" s="1"/>
  <c r="DV219" i="7" a="1"/>
  <c r="DV219" i="7" s="1"/>
  <c r="FN228" i="7" a="1"/>
  <c r="FN228" i="7" s="1"/>
  <c r="FR236" i="7" a="1"/>
  <c r="FR236" i="7" s="1"/>
  <c r="EB214" i="7" a="1"/>
  <c r="EB214" i="7" s="1"/>
  <c r="EO194" i="7" a="1"/>
  <c r="EO194" i="7" s="1"/>
  <c r="FK221" i="7" a="1"/>
  <c r="FK221" i="7" s="1"/>
  <c r="FA211" i="7" a="1"/>
  <c r="FA211" i="7" s="1"/>
  <c r="FB219" i="7" a="1"/>
  <c r="FB219" i="7" s="1"/>
  <c r="FW217" i="7" a="1"/>
  <c r="FW217" i="7" s="1"/>
  <c r="FX211" i="7" a="1"/>
  <c r="FX211" i="7" s="1"/>
  <c r="EF222" i="7" a="1"/>
  <c r="EF222" i="7" s="1"/>
  <c r="ES210" i="7" a="1"/>
  <c r="ES210" i="7" s="1"/>
  <c r="EI208" i="7" a="1"/>
  <c r="EI208" i="7" s="1"/>
  <c r="DU218" i="7" a="1"/>
  <c r="DU218" i="7" s="1"/>
  <c r="DY211" i="7" a="1"/>
  <c r="DY211" i="7" s="1"/>
  <c r="FQ200" i="7" a="1"/>
  <c r="FQ200" i="7" s="1"/>
  <c r="EZ208" i="7" a="1"/>
  <c r="EZ208" i="7" s="1"/>
  <c r="ES221" i="7" a="1"/>
  <c r="ES221" i="7" s="1"/>
  <c r="EC230" i="7" a="1"/>
  <c r="EC230" i="7" s="1"/>
  <c r="EK219" i="7" a="1"/>
  <c r="EK219" i="7" s="1"/>
  <c r="EY235" i="7" a="1"/>
  <c r="EY235" i="7" s="1"/>
  <c r="FG214" i="7" a="1"/>
  <c r="FG214" i="7" s="1"/>
  <c r="ER235" i="7" a="1"/>
  <c r="ER235" i="7" s="1"/>
  <c r="EI228" i="7" a="1"/>
  <c r="EI228" i="7" s="1"/>
  <c r="DY239" i="7" a="1"/>
  <c r="DY239" i="7" s="1"/>
  <c r="DT226" i="7" a="1"/>
  <c r="DT226" i="7" s="1"/>
  <c r="EO217" i="7" a="1"/>
  <c r="EO217" i="7" s="1"/>
  <c r="EB232" i="7" a="1"/>
  <c r="EB232" i="7" s="1"/>
  <c r="FQ212" i="7" a="1"/>
  <c r="FQ212" i="7" s="1"/>
  <c r="EK232" i="7" a="1"/>
  <c r="EK232" i="7" s="1"/>
  <c r="EI227" i="7" a="1"/>
  <c r="EI227" i="7" s="1"/>
  <c r="EV237" i="7" a="1"/>
  <c r="EV237" i="7" s="1"/>
  <c r="DW226" i="7" a="1"/>
  <c r="DW226" i="7" s="1"/>
  <c r="EH237" i="7" a="1"/>
  <c r="EH237" i="7" s="1"/>
  <c r="FK232" i="7" a="1"/>
  <c r="FK232" i="7" s="1"/>
  <c r="DZ223" i="7" a="1"/>
  <c r="DZ223" i="7" s="1"/>
  <c r="ET233" i="7" a="1"/>
  <c r="ET233" i="7" s="1"/>
  <c r="FQ236" i="7" a="1"/>
  <c r="FQ236" i="7" s="1"/>
  <c r="DS247" i="7" a="1"/>
  <c r="DS247" i="7" s="1"/>
  <c r="FM253" i="7" a="1"/>
  <c r="FM253" i="7" s="1"/>
  <c r="FK231" i="7" a="1"/>
  <c r="FK231" i="7" s="1"/>
  <c r="FT247" i="7" a="1"/>
  <c r="FT247" i="7" s="1"/>
  <c r="GA238" i="7" a="1"/>
  <c r="GA238" i="7" s="1"/>
  <c r="DY248" i="7" a="1"/>
  <c r="DY248" i="7" s="1"/>
  <c r="EL254" i="7" a="1"/>
  <c r="EL254" i="7" s="1"/>
  <c r="EC234" i="7" a="1"/>
  <c r="EC234" i="7" s="1"/>
  <c r="FX246" i="7" a="1"/>
  <c r="FX246" i="7" s="1"/>
  <c r="DQ251" i="7" a="1"/>
  <c r="DQ251" i="7" s="1"/>
  <c r="FC233" i="7" a="1"/>
  <c r="FC233" i="7" s="1"/>
  <c r="FT242" i="7" a="1"/>
  <c r="FT242" i="7" s="1"/>
  <c r="FQ246" i="7" a="1"/>
  <c r="FQ246" i="7" s="1"/>
  <c r="EW232" i="7" a="1"/>
  <c r="EW232" i="7" s="1"/>
  <c r="DQ243" i="7" a="1"/>
  <c r="DQ243" i="7" s="1"/>
  <c r="FY246" i="7" a="1"/>
  <c r="FY246" i="7" s="1"/>
  <c r="FS251" i="7" a="1"/>
  <c r="FS251" i="7" s="1"/>
  <c r="FZ237" i="7" a="1"/>
  <c r="FZ237" i="7" s="1"/>
  <c r="FZ243" i="7" a="1"/>
  <c r="FZ243" i="7" s="1"/>
  <c r="FW247" i="7" a="1"/>
  <c r="FW247" i="7" s="1"/>
  <c r="GA251" i="7" a="1"/>
  <c r="GA251" i="7" s="1"/>
  <c r="EW240" i="7" a="1"/>
  <c r="EW240" i="7" s="1"/>
  <c r="ET244" i="7" a="1"/>
  <c r="ET244" i="7" s="1"/>
  <c r="EN249" i="7" a="1"/>
  <c r="EN249" i="7" s="1"/>
  <c r="FE232" i="7" a="1"/>
  <c r="FE232" i="7" s="1"/>
  <c r="FY241" i="7" a="1"/>
  <c r="FY241" i="7" s="1"/>
  <c r="FS246" i="7" a="1"/>
  <c r="FS246" i="7" s="1"/>
  <c r="DZ229" i="7" a="1"/>
  <c r="DZ229" i="7" s="1"/>
  <c r="DZ235" i="7" a="1"/>
  <c r="DZ235" i="7" s="1"/>
  <c r="EC243" i="7" a="1"/>
  <c r="EC243" i="7" s="1"/>
  <c r="FD239" i="7" a="1"/>
  <c r="FD239" i="7" s="1"/>
  <c r="DR252" i="7" a="1"/>
  <c r="DR252" i="7" s="1"/>
  <c r="DU243" i="7" a="1"/>
  <c r="DU243" i="7" s="1"/>
  <c r="EO255" i="7" a="1"/>
  <c r="EO255" i="7" s="1"/>
  <c r="DR258" i="7" a="1"/>
  <c r="DR258" i="7" s="1"/>
  <c r="DR260" i="7" a="1"/>
  <c r="DR260" i="7" s="1"/>
  <c r="ET262" i="7" a="1"/>
  <c r="ET262" i="7" s="1"/>
  <c r="ET264" i="7" a="1"/>
  <c r="ET264" i="7" s="1"/>
  <c r="FV266" i="7" a="1"/>
  <c r="FV266" i="7" s="1"/>
  <c r="FV268" i="7" a="1"/>
  <c r="FV268" i="7" s="1"/>
  <c r="FV270" i="7" a="1"/>
  <c r="FV270" i="7" s="1"/>
  <c r="EM273" i="7" a="1"/>
  <c r="EM273" i="7" s="1"/>
  <c r="EM275" i="7" a="1"/>
  <c r="EM275" i="7" s="1"/>
  <c r="EO249" i="7" a="1"/>
  <c r="EO249" i="7" s="1"/>
  <c r="FL254" i="7" a="1"/>
  <c r="FL254" i="7" s="1"/>
  <c r="FQ247" i="7" a="1"/>
  <c r="FQ247" i="7" s="1"/>
  <c r="DS256" i="7" a="1"/>
  <c r="DS256" i="7" s="1"/>
  <c r="FB258" i="7" a="1"/>
  <c r="FB258" i="7" s="1"/>
  <c r="DS261" i="7" a="1"/>
  <c r="DS261" i="7" s="1"/>
  <c r="DS263" i="7" a="1"/>
  <c r="DS263" i="7" s="1"/>
  <c r="DS265" i="7" a="1"/>
  <c r="DS265" i="7" s="1"/>
  <c r="EU267" i="7" a="1"/>
  <c r="EU267" i="7" s="1"/>
  <c r="EU269" i="7" a="1"/>
  <c r="EU269" i="7" s="1"/>
  <c r="DX250" i="7" a="1"/>
  <c r="DX250" i="7" s="1"/>
  <c r="EX238" i="7" a="1"/>
  <c r="EX238" i="7" s="1"/>
  <c r="FC250" i="7" a="1"/>
  <c r="FC250" i="7" s="1"/>
  <c r="EN256" i="7" a="1"/>
  <c r="EN256" i="7" s="1"/>
  <c r="FQ258" i="7" a="1"/>
  <c r="FQ258" i="7" s="1"/>
  <c r="EH261" i="7" a="1"/>
  <c r="EH261" i="7" s="1"/>
  <c r="EH263" i="7" a="1"/>
  <c r="EH263" i="7" s="1"/>
  <c r="EH265" i="7" a="1"/>
  <c r="EH265" i="7" s="1"/>
  <c r="FJ267" i="7" a="1"/>
  <c r="FJ267" i="7" s="1"/>
  <c r="EM227" i="7" a="1"/>
  <c r="EM227" i="7" s="1"/>
  <c r="ES251" i="7" a="1"/>
  <c r="ES251" i="7" s="1"/>
  <c r="EX235" i="7" a="1"/>
  <c r="EX235" i="7" s="1"/>
  <c r="EB250" i="7" a="1"/>
  <c r="EB250" i="7" s="1"/>
  <c r="FC255" i="7" a="1"/>
  <c r="FC255" i="7" s="1"/>
  <c r="EI258" i="7" a="1"/>
  <c r="EI258" i="7" s="1"/>
  <c r="FY259" i="7" a="1"/>
  <c r="FY259" i="7" s="1"/>
  <c r="FD261" i="7" a="1"/>
  <c r="FD261" i="7" s="1"/>
  <c r="EP263" i="7" a="1"/>
  <c r="EP263" i="7" s="1"/>
  <c r="DU265" i="7" a="1"/>
  <c r="DU265" i="7" s="1"/>
  <c r="FK266" i="7" a="1"/>
  <c r="FK266" i="7" s="1"/>
  <c r="ET242" i="7" a="1"/>
  <c r="ET242" i="7" s="1"/>
  <c r="ES250" i="7" a="1"/>
  <c r="ES250" i="7" s="1"/>
  <c r="FF237" i="7" a="1"/>
  <c r="FF237" i="7" s="1"/>
  <c r="DV251" i="7" a="1"/>
  <c r="DV251" i="7" s="1"/>
  <c r="FR254" i="7" a="1"/>
  <c r="FR254" i="7" s="1"/>
  <c r="EQ257" i="7" a="1"/>
  <c r="EQ257" i="7" s="1"/>
  <c r="DV259" i="7" a="1"/>
  <c r="DV259" i="7" s="1"/>
  <c r="FL260" i="7" a="1"/>
  <c r="FL260" i="7" s="1"/>
  <c r="EN247" i="7" a="1"/>
  <c r="EN247" i="7" s="1"/>
  <c r="EW253" i="7" a="1"/>
  <c r="EW253" i="7" s="1"/>
  <c r="FL256" i="7" a="1"/>
  <c r="FL256" i="7" s="1"/>
  <c r="FN258" i="7" a="1"/>
  <c r="FN258" i="7" s="1"/>
  <c r="ES260" i="7" a="1"/>
  <c r="ES260" i="7" s="1"/>
  <c r="DX262" i="7" a="1"/>
  <c r="DX262" i="7" s="1"/>
  <c r="FN263" i="7" a="1"/>
  <c r="FN263" i="7" s="1"/>
  <c r="ES265" i="7" a="1"/>
  <c r="ES265" i="7" s="1"/>
  <c r="EM254" i="7" a="1"/>
  <c r="EM254" i="7" s="1"/>
  <c r="FM264" i="7" a="1"/>
  <c r="FM264" i="7" s="1"/>
  <c r="DQ271" i="7" a="1"/>
  <c r="DQ271" i="7" s="1"/>
  <c r="EY274" i="7" a="1"/>
  <c r="EY274" i="7" s="1"/>
  <c r="FG281" i="7" a="1"/>
  <c r="FG281" i="7" s="1"/>
  <c r="FN284" i="7" a="1"/>
  <c r="FN284" i="7" s="1"/>
  <c r="FU287" i="7" a="1"/>
  <c r="FU287" i="7" s="1"/>
  <c r="DQ291" i="7" a="1"/>
  <c r="DQ291" i="7" s="1"/>
  <c r="FV240" i="7" a="1"/>
  <c r="FV240" i="7" s="1"/>
  <c r="DU268" i="7" a="1"/>
  <c r="DU268" i="7" s="1"/>
  <c r="ER272" i="7" a="1"/>
  <c r="ER272" i="7" s="1"/>
  <c r="FZ275" i="7" a="1"/>
  <c r="FZ275" i="7" s="1"/>
  <c r="FX277" i="7" a="1"/>
  <c r="FX277" i="7" s="1"/>
  <c r="FL279" i="7" a="1"/>
  <c r="FL279" i="7" s="1"/>
  <c r="EZ281" i="7" a="1"/>
  <c r="EZ281" i="7" s="1"/>
  <c r="FG284" i="7" a="1"/>
  <c r="FG284" i="7" s="1"/>
  <c r="DV245" i="7" a="1"/>
  <c r="DV245" i="7" s="1"/>
  <c r="EJ263" i="7" a="1"/>
  <c r="EJ263" i="7" s="1"/>
  <c r="DW269" i="7" a="1"/>
  <c r="DW269" i="7" s="1"/>
  <c r="FK272" i="7" a="1"/>
  <c r="FK272" i="7" s="1"/>
  <c r="FV276" i="7" a="1"/>
  <c r="FV276" i="7" s="1"/>
  <c r="EN283" i="7" a="1"/>
  <c r="EN283" i="7" s="1"/>
  <c r="EU286" i="7" a="1"/>
  <c r="EU286" i="7" s="1"/>
  <c r="FB289" i="7" a="1"/>
  <c r="FB289" i="7" s="1"/>
  <c r="FI292" i="7" a="1"/>
  <c r="FI292" i="7" s="1"/>
  <c r="FT257" i="7" a="1"/>
  <c r="FT257" i="7" s="1"/>
  <c r="DT271" i="7" a="1"/>
  <c r="DT271" i="7" s="1"/>
  <c r="FB274" i="7" a="1"/>
  <c r="FB274" i="7" s="1"/>
  <c r="EB277" i="7" a="1"/>
  <c r="EB277" i="7" s="1"/>
  <c r="GA278" i="7" a="1"/>
  <c r="GA278" i="7" s="1"/>
  <c r="FP280" i="7" a="1"/>
  <c r="FP280" i="7" s="1"/>
  <c r="EV283" i="7" a="1"/>
  <c r="EV283" i="7" s="1"/>
  <c r="FX250" i="7" a="1"/>
  <c r="FX250" i="7" s="1"/>
  <c r="FL263" i="7" a="1"/>
  <c r="FL263" i="7" s="1"/>
  <c r="EJ269" i="7" a="1"/>
  <c r="EJ269" i="7" s="1"/>
  <c r="EB273" i="7" a="1"/>
  <c r="EB273" i="7" s="1"/>
  <c r="EM278" i="7" a="1"/>
  <c r="EM278" i="7" s="1"/>
  <c r="FD283" i="7" a="1"/>
  <c r="FD283" i="7" s="1"/>
  <c r="EX254" i="7" a="1"/>
  <c r="EX254" i="7" s="1"/>
  <c r="EN270" i="7" a="1"/>
  <c r="EN270" i="7" s="1"/>
  <c r="EB274" i="7" a="1"/>
  <c r="EB274" i="7" s="1"/>
  <c r="FX276" i="7" a="1"/>
  <c r="FX276" i="7" s="1"/>
  <c r="FL278" i="7" a="1"/>
  <c r="FL278" i="7" s="1"/>
  <c r="EZ280" i="7" a="1"/>
  <c r="EZ280" i="7" s="1"/>
  <c r="DS283" i="7" a="1"/>
  <c r="DS283" i="7" s="1"/>
  <c r="FX248" i="7" a="1"/>
  <c r="FX248" i="7" s="1"/>
  <c r="FM263" i="7" a="1"/>
  <c r="FM263" i="7" s="1"/>
  <c r="EW269" i="7" a="1"/>
  <c r="EW269" i="7" s="1"/>
  <c r="FW272" i="7" a="1"/>
  <c r="FW272" i="7" s="1"/>
  <c r="ET277" i="7" a="1"/>
  <c r="ET277" i="7" s="1"/>
  <c r="EP283" i="7" a="1"/>
  <c r="EP283" i="7" s="1"/>
  <c r="DZ253" i="7" a="1"/>
  <c r="DZ253" i="7" s="1"/>
  <c r="EO270" i="7" a="1"/>
  <c r="EO270" i="7" s="1"/>
  <c r="FW273" i="7" a="1"/>
  <c r="FW273" i="7" s="1"/>
  <c r="FY276" i="7" a="1"/>
  <c r="FY276" i="7" s="1"/>
  <c r="FM278" i="7" a="1"/>
  <c r="FM278" i="7" s="1"/>
  <c r="FB280" i="7" a="1"/>
  <c r="FB280" i="7" s="1"/>
  <c r="DT283" i="7" a="1"/>
  <c r="DT283" i="7" s="1"/>
  <c r="EA286" i="7" a="1"/>
  <c r="EA286" i="7" s="1"/>
  <c r="EF250" i="7" a="1"/>
  <c r="EF250" i="7" s="1"/>
  <c r="ED264" i="7" a="1"/>
  <c r="ED264" i="7" s="1"/>
  <c r="FG269" i="7" a="1"/>
  <c r="FG269" i="7" s="1"/>
  <c r="ED273" i="7" a="1"/>
  <c r="ED273" i="7" s="1"/>
  <c r="DY278" i="7" a="1"/>
  <c r="DY278" i="7" s="1"/>
  <c r="FF283" i="7" a="1"/>
  <c r="FF283" i="7" s="1"/>
  <c r="DR254" i="7" a="1"/>
  <c r="DR254" i="7" s="1"/>
  <c r="FG270" i="7" a="1"/>
  <c r="FG270" i="7" s="1"/>
  <c r="ED274" i="7" a="1"/>
  <c r="ED274" i="7" s="1"/>
  <c r="FZ276" i="7" a="1"/>
  <c r="FZ276" i="7" s="1"/>
  <c r="EE269" i="7" a="1"/>
  <c r="EE269" i="7" s="1"/>
  <c r="EQ272" i="7" a="1"/>
  <c r="EQ272" i="7" s="1"/>
  <c r="EE276" i="7" a="1"/>
  <c r="EE276" i="7" s="1"/>
  <c r="DT278" i="7" a="1"/>
  <c r="DT278" i="7" s="1"/>
  <c r="FS279" i="7" a="1"/>
  <c r="FS279" i="7" s="1"/>
  <c r="FN281" i="7" a="1"/>
  <c r="FN281" i="7" s="1"/>
  <c r="FU284" i="7" a="1"/>
  <c r="FU284" i="7" s="1"/>
  <c r="ES283" i="7" a="1"/>
  <c r="ES283" i="7" s="1"/>
  <c r="EN288" i="7" a="1"/>
  <c r="EN288" i="7" s="1"/>
  <c r="DZ292" i="7" a="1"/>
  <c r="DZ292" i="7" s="1"/>
  <c r="EP295" i="7" a="1"/>
  <c r="EP295" i="7" s="1"/>
  <c r="EW298" i="7" a="1"/>
  <c r="EW298" i="7" s="1"/>
  <c r="EK300" i="7" a="1"/>
  <c r="EK300" i="7" s="1"/>
  <c r="FT301" i="7" a="1"/>
  <c r="FT301" i="7" s="1"/>
  <c r="ER303" i="7" a="1"/>
  <c r="ER303" i="7" s="1"/>
  <c r="GA304" i="7" a="1"/>
  <c r="GA304" i="7" s="1"/>
  <c r="EY306" i="7" a="1"/>
  <c r="EY306" i="7" s="1"/>
  <c r="DW308" i="7" a="1"/>
  <c r="DW308" i="7" s="1"/>
  <c r="FF309" i="7" a="1"/>
  <c r="FF309" i="7" s="1"/>
  <c r="ED311" i="7" a="1"/>
  <c r="ED311" i="7" s="1"/>
  <c r="FM312" i="7" a="1"/>
  <c r="FM312" i="7" s="1"/>
  <c r="EK314" i="7" a="1"/>
  <c r="EK314" i="7" s="1"/>
  <c r="FT315" i="7" a="1"/>
  <c r="FT315" i="7" s="1"/>
  <c r="ER317" i="7" a="1"/>
  <c r="ER317" i="7" s="1"/>
  <c r="GA318" i="7" a="1"/>
  <c r="GA318" i="7" s="1"/>
  <c r="EY320" i="7" a="1"/>
  <c r="EY320" i="7" s="1"/>
  <c r="DW322" i="7" a="1"/>
  <c r="DW322" i="7" s="1"/>
  <c r="FF323" i="7" a="1"/>
  <c r="FF323" i="7" s="1"/>
  <c r="ED325" i="7" a="1"/>
  <c r="ED325" i="7" s="1"/>
  <c r="FM277" i="7" a="1"/>
  <c r="FM277" i="7" s="1"/>
  <c r="FJ285" i="7" a="1"/>
  <c r="FJ285" i="7" s="1"/>
  <c r="FE289" i="7" a="1"/>
  <c r="FE289" i="7" s="1"/>
  <c r="GA292" i="7" a="1"/>
  <c r="GA292" i="7" s="1"/>
  <c r="FC296" i="7" a="1"/>
  <c r="FC296" i="7" s="1"/>
  <c r="EC263" i="7" a="1"/>
  <c r="EC263" i="7" s="1"/>
  <c r="FA285" i="7" a="1"/>
  <c r="FA285" i="7" s="1"/>
  <c r="EF289" i="7" a="1"/>
  <c r="EF289" i="7" s="1"/>
  <c r="FS292" i="7" a="1"/>
  <c r="FS292" i="7" s="1"/>
  <c r="DR296" i="7" a="1"/>
  <c r="DR296" i="7" s="1"/>
  <c r="DX299" i="7" a="1"/>
  <c r="DX299" i="7" s="1"/>
  <c r="FG300" i="7" a="1"/>
  <c r="FG300" i="7" s="1"/>
  <c r="EE302" i="7" a="1"/>
  <c r="EE302" i="7" s="1"/>
  <c r="FN303" i="7" a="1"/>
  <c r="FN303" i="7" s="1"/>
  <c r="EL305" i="7" a="1"/>
  <c r="EL305" i="7" s="1"/>
  <c r="FU306" i="7" a="1"/>
  <c r="FU306" i="7" s="1"/>
  <c r="ES308" i="7" a="1"/>
  <c r="ES308" i="7" s="1"/>
  <c r="DQ310" i="7" a="1"/>
  <c r="DQ310" i="7" s="1"/>
  <c r="EZ311" i="7" a="1"/>
  <c r="EZ311" i="7" s="1"/>
  <c r="DX313" i="7" a="1"/>
  <c r="DX313" i="7" s="1"/>
  <c r="FG314" i="7" a="1"/>
  <c r="FG314" i="7" s="1"/>
  <c r="EE316" i="7" a="1"/>
  <c r="EE316" i="7" s="1"/>
  <c r="FN317" i="7" a="1"/>
  <c r="FN317" i="7" s="1"/>
  <c r="EL319" i="7" a="1"/>
  <c r="EL319" i="7" s="1"/>
  <c r="FU320" i="7" a="1"/>
  <c r="FU320" i="7" s="1"/>
  <c r="EP240" i="7" a="1"/>
  <c r="EP240" i="7" s="1"/>
  <c r="EO277" i="7" a="1"/>
  <c r="EO277" i="7" s="1"/>
  <c r="EQ285" i="7" a="1"/>
  <c r="EQ285" i="7" s="1"/>
  <c r="EO289" i="7" a="1"/>
  <c r="EO289" i="7" s="1"/>
  <c r="DZ293" i="7" a="1"/>
  <c r="DZ293" i="7" s="1"/>
  <c r="DZ296" i="7" a="1"/>
  <c r="DZ296" i="7" s="1"/>
  <c r="ER265" i="7" a="1"/>
  <c r="ER265" i="7" s="1"/>
  <c r="DS284" i="7" a="1"/>
  <c r="DS284" i="7" s="1"/>
  <c r="EQ288" i="7" a="1"/>
  <c r="EQ288" i="7" s="1"/>
  <c r="FV291" i="7" a="1"/>
  <c r="FV291" i="7" s="1"/>
  <c r="ER295" i="7" a="1"/>
  <c r="ER295" i="7" s="1"/>
  <c r="EY298" i="7" a="1"/>
  <c r="EY298" i="7" s="1"/>
  <c r="EF300" i="7" a="1"/>
  <c r="EF300" i="7" s="1"/>
  <c r="FO301" i="7" a="1"/>
  <c r="FO301" i="7" s="1"/>
  <c r="EM303" i="7" a="1"/>
  <c r="EM303" i="7" s="1"/>
  <c r="FV304" i="7" a="1"/>
  <c r="FV304" i="7" s="1"/>
  <c r="ET306" i="7" a="1"/>
  <c r="ET306" i="7" s="1"/>
  <c r="DR308" i="7" a="1"/>
  <c r="DR308" i="7" s="1"/>
  <c r="FA309" i="7" a="1"/>
  <c r="FA309" i="7" s="1"/>
  <c r="DY311" i="7" a="1"/>
  <c r="DY311" i="7" s="1"/>
  <c r="FP273" i="7" a="1"/>
  <c r="FP273" i="7" s="1"/>
  <c r="GA281" i="7" a="1"/>
  <c r="GA281" i="7" s="1"/>
  <c r="FI288" i="7" a="1"/>
  <c r="FI288" i="7" s="1"/>
  <c r="EU292" i="7" a="1"/>
  <c r="EU292" i="7" s="1"/>
  <c r="EA296" i="7" a="1"/>
  <c r="EA296" i="7" s="1"/>
  <c r="FM259" i="7" a="1"/>
  <c r="FM259" i="7" s="1"/>
  <c r="DT284" i="7" a="1"/>
  <c r="DT284" i="7" s="1"/>
  <c r="ER288" i="7" a="1"/>
  <c r="ER288" i="7" s="1"/>
  <c r="EC292" i="7" a="1"/>
  <c r="EC292" i="7" s="1"/>
  <c r="ES295" i="7" a="1"/>
  <c r="ES295" i="7" s="1"/>
  <c r="EZ298" i="7" a="1"/>
  <c r="EZ298" i="7" s="1"/>
  <c r="EG300" i="7" a="1"/>
  <c r="EG300" i="7" s="1"/>
  <c r="FP301" i="7" a="1"/>
  <c r="FP301" i="7" s="1"/>
  <c r="EN303" i="7" a="1"/>
  <c r="EN303" i="7" s="1"/>
  <c r="FW304" i="7" a="1"/>
  <c r="FW304" i="7" s="1"/>
  <c r="EU306" i="7" a="1"/>
  <c r="EU306" i="7" s="1"/>
  <c r="DS308" i="7" a="1"/>
  <c r="DS308" i="7" s="1"/>
  <c r="FB309" i="7" a="1"/>
  <c r="FB309" i="7" s="1"/>
  <c r="DZ311" i="7" a="1"/>
  <c r="DZ311" i="7" s="1"/>
  <c r="FI312" i="7" a="1"/>
  <c r="FI312" i="7" s="1"/>
  <c r="GA261" i="7" a="1"/>
  <c r="GA261" i="7" s="1"/>
  <c r="EQ278" i="7" a="1"/>
  <c r="EQ278" i="7" s="1"/>
  <c r="FO285" i="7" a="1"/>
  <c r="FO285" i="7" s="1"/>
  <c r="FR289" i="7" a="1"/>
  <c r="FR289" i="7" s="1"/>
  <c r="EC293" i="7" a="1"/>
  <c r="EC293" i="7" s="1"/>
  <c r="FU296" i="7" a="1"/>
  <c r="FU296" i="7" s="1"/>
  <c r="FZ263" i="7" a="1"/>
  <c r="FZ263" i="7" s="1"/>
  <c r="EI285" i="7" a="1"/>
  <c r="EI285" i="7" s="1"/>
  <c r="EI289" i="7" a="1"/>
  <c r="EI289" i="7" s="1"/>
  <c r="DU293" i="7" a="1"/>
  <c r="DU293" i="7" s="1"/>
  <c r="DU296" i="7" a="1"/>
  <c r="DU296" i="7" s="1"/>
  <c r="DT299" i="7" a="1"/>
  <c r="DT299" i="7" s="1"/>
  <c r="FC300" i="7" a="1"/>
  <c r="FC300" i="7" s="1"/>
  <c r="EA302" i="7" a="1"/>
  <c r="EA302" i="7" s="1"/>
  <c r="FJ303" i="7" a="1"/>
  <c r="FJ303" i="7" s="1"/>
  <c r="EH305" i="7" a="1"/>
  <c r="EH305" i="7" s="1"/>
  <c r="FQ306" i="7" a="1"/>
  <c r="FQ306" i="7" s="1"/>
  <c r="EO308" i="7" a="1"/>
  <c r="EO308" i="7" s="1"/>
  <c r="FX309" i="7" a="1"/>
  <c r="FX309" i="7" s="1"/>
  <c r="FT265" i="7" a="1"/>
  <c r="FT265" i="7" s="1"/>
  <c r="FR279" i="7" a="1"/>
  <c r="FR279" i="7" s="1"/>
  <c r="FP286" i="7" a="1"/>
  <c r="FP286" i="7" s="1"/>
  <c r="FI290" i="7" a="1"/>
  <c r="FI290" i="7" s="1"/>
  <c r="EP294" i="7" a="1"/>
  <c r="EP294" i="7" s="1"/>
  <c r="EW297" i="7" a="1"/>
  <c r="EW297" i="7" s="1"/>
  <c r="FF274" i="7" a="1"/>
  <c r="FF274" i="7" s="1"/>
  <c r="FR286" i="7" a="1"/>
  <c r="FR286" i="7" s="1"/>
  <c r="DX270" i="7" a="1"/>
  <c r="DX270" i="7" s="1"/>
  <c r="FS280" i="7" a="1"/>
  <c r="FS280" i="7" s="1"/>
  <c r="DR287" i="7" a="1"/>
  <c r="DR287" i="7" s="1"/>
  <c r="EP273" i="7" a="1"/>
  <c r="EP273" i="7" s="1"/>
  <c r="EX286" i="7" a="1"/>
  <c r="EX286" i="7" s="1"/>
  <c r="DV276" i="7" a="1"/>
  <c r="DV276" i="7" s="1"/>
  <c r="FC282" i="7" a="1"/>
  <c r="FC282" i="7" s="1"/>
  <c r="FD289" i="7" a="1"/>
  <c r="FD289" i="7" s="1"/>
  <c r="EO293" i="7" a="1"/>
  <c r="EO293" i="7" s="1"/>
  <c r="EM296" i="7" a="1"/>
  <c r="EM296" i="7" s="1"/>
  <c r="EQ291" i="7" a="1"/>
  <c r="EQ291" i="7" s="1"/>
  <c r="FS302" i="7" a="1"/>
  <c r="FS302" i="7" s="1"/>
  <c r="EJ308" i="7" a="1"/>
  <c r="EJ308" i="7" s="1"/>
  <c r="EO315" i="7" a="1"/>
  <c r="EO315" i="7" s="1"/>
  <c r="FD319" i="7" a="1"/>
  <c r="FD319" i="7" s="1"/>
  <c r="FL326" i="7" a="1"/>
  <c r="FL326" i="7" s="1"/>
  <c r="FS329" i="7" a="1"/>
  <c r="FS329" i="7" s="1"/>
  <c r="FZ332" i="7" a="1"/>
  <c r="FZ332" i="7" s="1"/>
  <c r="DV336" i="7" a="1"/>
  <c r="DV336" i="7" s="1"/>
  <c r="EC339" i="7" a="1"/>
  <c r="EC339" i="7" s="1"/>
  <c r="EJ342" i="7" a="1"/>
  <c r="EJ342" i="7" s="1"/>
  <c r="EQ345" i="7" a="1"/>
  <c r="EQ345" i="7" s="1"/>
  <c r="EX348" i="7" a="1"/>
  <c r="EX348" i="7" s="1"/>
  <c r="EE350" i="7" a="1"/>
  <c r="EE350" i="7" s="1"/>
  <c r="FN351" i="7" a="1"/>
  <c r="FN351" i="7" s="1"/>
  <c r="EL353" i="7" a="1"/>
  <c r="EL353" i="7" s="1"/>
  <c r="FU354" i="7" a="1"/>
  <c r="FU354" i="7" s="1"/>
  <c r="ES356" i="7" a="1"/>
  <c r="ES356" i="7" s="1"/>
  <c r="DQ358" i="7" a="1"/>
  <c r="DQ358" i="7" s="1"/>
  <c r="EZ359" i="7" a="1"/>
  <c r="EZ359" i="7" s="1"/>
  <c r="DX361" i="7" a="1"/>
  <c r="DX361" i="7" s="1"/>
  <c r="FK295" i="7" a="1"/>
  <c r="FK295" i="7" s="1"/>
  <c r="FY312" i="7" a="1"/>
  <c r="FY312" i="7" s="1"/>
  <c r="DV317" i="7" a="1"/>
  <c r="DV317" i="7" s="1"/>
  <c r="EU321" i="7" a="1"/>
  <c r="EU321" i="7" s="1"/>
  <c r="FL323" i="7" a="1"/>
  <c r="FL323" i="7" s="1"/>
  <c r="FH325" i="7" a="1"/>
  <c r="FH325" i="7" s="1"/>
  <c r="FO328" i="7" a="1"/>
  <c r="FO328" i="7" s="1"/>
  <c r="FV331" i="7" a="1"/>
  <c r="FV331" i="7" s="1"/>
  <c r="DR335" i="7" a="1"/>
  <c r="DR335" i="7" s="1"/>
  <c r="DY338" i="7" a="1"/>
  <c r="DY338" i="7" s="1"/>
  <c r="EF341" i="7" a="1"/>
  <c r="EF341" i="7" s="1"/>
  <c r="EM344" i="7" a="1"/>
  <c r="EM344" i="7" s="1"/>
  <c r="ET347" i="7" a="1"/>
  <c r="ET347" i="7" s="1"/>
  <c r="DU294" i="7" a="1"/>
  <c r="DU294" i="7" s="1"/>
  <c r="DV304" i="7" a="1"/>
  <c r="DV304" i="7" s="1"/>
  <c r="EX309" i="7" a="1"/>
  <c r="EX309" i="7" s="1"/>
  <c r="EX316" i="7" a="1"/>
  <c r="EX316" i="7" s="1"/>
  <c r="FW320" i="7" a="1"/>
  <c r="FW320" i="7" s="1"/>
  <c r="FC327" i="7" a="1"/>
  <c r="FC327" i="7" s="1"/>
  <c r="FJ330" i="7" a="1"/>
  <c r="FJ330" i="7" s="1"/>
  <c r="FQ333" i="7" a="1"/>
  <c r="FQ333" i="7" s="1"/>
  <c r="FX336" i="7" a="1"/>
  <c r="FX336" i="7" s="1"/>
  <c r="DT340" i="7" a="1"/>
  <c r="DT340" i="7" s="1"/>
  <c r="EA343" i="7" a="1"/>
  <c r="EA343" i="7" s="1"/>
  <c r="EH346" i="7" a="1"/>
  <c r="EH346" i="7" s="1"/>
  <c r="DY349" i="7" a="1"/>
  <c r="DY349" i="7" s="1"/>
  <c r="FH350" i="7" a="1"/>
  <c r="FH350" i="7" s="1"/>
  <c r="EF352" i="7" a="1"/>
  <c r="EF352" i="7" s="1"/>
  <c r="FO353" i="7" a="1"/>
  <c r="FO353" i="7" s="1"/>
  <c r="EG295" i="7" a="1"/>
  <c r="EG295" i="7" s="1"/>
  <c r="EX312" i="7" a="1"/>
  <c r="EX312" i="7" s="1"/>
  <c r="EP316" i="7" a="1"/>
  <c r="EP316" i="7" s="1"/>
  <c r="FO320" i="7" a="1"/>
  <c r="FO320" i="7" s="1"/>
  <c r="EW323" i="7" a="1"/>
  <c r="EW323" i="7" s="1"/>
  <c r="EL325" i="7" a="1"/>
  <c r="EL325" i="7" s="1"/>
  <c r="EL328" i="7" a="1"/>
  <c r="EL328" i="7" s="1"/>
  <c r="ES331" i="7" a="1"/>
  <c r="ES331" i="7" s="1"/>
  <c r="EZ334" i="7" a="1"/>
  <c r="EZ334" i="7" s="1"/>
  <c r="FG337" i="7" a="1"/>
  <c r="FG337" i="7" s="1"/>
  <c r="FN340" i="7" a="1"/>
  <c r="FN340" i="7" s="1"/>
  <c r="FU343" i="7" a="1"/>
  <c r="FU343" i="7" s="1"/>
  <c r="EG292" i="7" a="1"/>
  <c r="EG292" i="7" s="1"/>
  <c r="EP303" i="7" a="1"/>
  <c r="EP303" i="7" s="1"/>
  <c r="FR308" i="7" a="1"/>
  <c r="FR308" i="7" s="1"/>
  <c r="EH316" i="7" a="1"/>
  <c r="EH316" i="7" s="1"/>
  <c r="EW320" i="7" a="1"/>
  <c r="EW320" i="7" s="1"/>
  <c r="EO327" i="7" a="1"/>
  <c r="EO327" i="7" s="1"/>
  <c r="EV330" i="7" a="1"/>
  <c r="EV330" i="7" s="1"/>
  <c r="FC333" i="7" a="1"/>
  <c r="FC333" i="7" s="1"/>
  <c r="FJ336" i="7" a="1"/>
  <c r="FJ336" i="7" s="1"/>
  <c r="FQ339" i="7" a="1"/>
  <c r="FQ339" i="7" s="1"/>
  <c r="FK289" i="7" a="1"/>
  <c r="FK289" i="7" s="1"/>
  <c r="FH311" i="7" a="1"/>
  <c r="FH311" i="7" s="1"/>
  <c r="EI315" i="7" a="1"/>
  <c r="EI315" i="7" s="1"/>
  <c r="FH319" i="7" a="1"/>
  <c r="FH319" i="7" s="1"/>
  <c r="DZ323" i="7" a="1"/>
  <c r="DZ323" i="7" s="1"/>
  <c r="FY324" i="7" a="1"/>
  <c r="FY324" i="7" s="1"/>
  <c r="FL327" i="7" a="1"/>
  <c r="FL327" i="7" s="1"/>
  <c r="FS330" i="7" a="1"/>
  <c r="FS330" i="7" s="1"/>
  <c r="FZ333" i="7" a="1"/>
  <c r="FZ333" i="7" s="1"/>
  <c r="DV337" i="7" a="1"/>
  <c r="DV337" i="7" s="1"/>
  <c r="EC340" i="7" a="1"/>
  <c r="EC340" i="7" s="1"/>
  <c r="EJ343" i="7" a="1"/>
  <c r="EJ343" i="7" s="1"/>
  <c r="EQ346" i="7" a="1"/>
  <c r="EQ346" i="7" s="1"/>
  <c r="FE302" i="7" a="1"/>
  <c r="FE302" i="7" s="1"/>
  <c r="DV308" i="7" a="1"/>
  <c r="DV308" i="7" s="1"/>
  <c r="FC312" i="7" a="1"/>
  <c r="FC312" i="7" s="1"/>
  <c r="EI316" i="7" a="1"/>
  <c r="EI316" i="7" s="1"/>
  <c r="FH320" i="7" a="1"/>
  <c r="FH320" i="7" s="1"/>
  <c r="EP327" i="7" a="1"/>
  <c r="EP327" i="7" s="1"/>
  <c r="EW330" i="7" a="1"/>
  <c r="EW330" i="7" s="1"/>
  <c r="FD333" i="7" a="1"/>
  <c r="FD333" i="7" s="1"/>
  <c r="FK336" i="7" a="1"/>
  <c r="FK336" i="7" s="1"/>
  <c r="FR339" i="7" a="1"/>
  <c r="FR339" i="7" s="1"/>
  <c r="FY342" i="7" a="1"/>
  <c r="FY342" i="7" s="1"/>
  <c r="DU346" i="7" a="1"/>
  <c r="DU346" i="7" s="1"/>
  <c r="DT349" i="7" a="1"/>
  <c r="DT349" i="7" s="1"/>
  <c r="FS301" i="7" a="1"/>
  <c r="FS301" i="7" s="1"/>
  <c r="FJ317" i="7" a="1"/>
  <c r="FJ317" i="7" s="1"/>
  <c r="FY321" i="7" a="1"/>
  <c r="FY321" i="7" s="1"/>
  <c r="DU324" i="7" a="1"/>
  <c r="DU324" i="7" s="1"/>
  <c r="ED326" i="7" a="1"/>
  <c r="ED326" i="7" s="1"/>
  <c r="EK329" i="7" a="1"/>
  <c r="EK329" i="7" s="1"/>
  <c r="ER332" i="7" a="1"/>
  <c r="ER332" i="7" s="1"/>
  <c r="EY335" i="7" a="1"/>
  <c r="EY335" i="7" s="1"/>
  <c r="FF338" i="7" a="1"/>
  <c r="FF338" i="7" s="1"/>
  <c r="FM341" i="7" a="1"/>
  <c r="FM341" i="7" s="1"/>
  <c r="FT344" i="7" a="1"/>
  <c r="FT344" i="7" s="1"/>
  <c r="EJ294" i="7" a="1"/>
  <c r="EJ294" i="7" s="1"/>
  <c r="EI304" i="7" a="1"/>
  <c r="EI304" i="7" s="1"/>
  <c r="FK309" i="7" a="1"/>
  <c r="FK309" i="7" s="1"/>
  <c r="EW313" i="7" a="1"/>
  <c r="EW313" i="7" s="1"/>
  <c r="DR318" i="7" a="1"/>
  <c r="DR318" i="7" s="1"/>
  <c r="FD325" i="7" a="1"/>
  <c r="FD325" i="7" s="1"/>
  <c r="FK167" i="7" a="1"/>
  <c r="FK167" i="7" s="1"/>
  <c r="FS174" i="7" a="1"/>
  <c r="FS174" i="7" s="1"/>
  <c r="EG189" i="7" a="1"/>
  <c r="EG189" i="7" s="1"/>
  <c r="EM168" i="7" a="1"/>
  <c r="EM168" i="7" s="1"/>
  <c r="EP209" i="7" a="1"/>
  <c r="EP209" i="7" s="1"/>
  <c r="FP205" i="7" a="1"/>
  <c r="FP205" i="7" s="1"/>
  <c r="FH206" i="7" a="1"/>
  <c r="FH206" i="7" s="1"/>
  <c r="FS190" i="7" a="1"/>
  <c r="FS190" i="7" s="1"/>
  <c r="FN188" i="7" a="1"/>
  <c r="FN188" i="7" s="1"/>
  <c r="FT160" i="7" a="1"/>
  <c r="FT160" i="7" s="1"/>
  <c r="EE163" i="7" a="1"/>
  <c r="EE163" i="7" s="1"/>
  <c r="EO206" i="7" a="1"/>
  <c r="EO206" i="7" s="1"/>
  <c r="EZ205" i="7" a="1"/>
  <c r="EZ205" i="7" s="1"/>
  <c r="ED219" i="7" a="1"/>
  <c r="ED219" i="7" s="1"/>
  <c r="EI231" i="7" a="1"/>
  <c r="EI231" i="7" s="1"/>
  <c r="FY236" i="7" a="1"/>
  <c r="FY236" i="7" s="1"/>
  <c r="FC215" i="7" a="1"/>
  <c r="FC215" i="7" s="1"/>
  <c r="FV195" i="7" a="1"/>
  <c r="FV195" i="7" s="1"/>
  <c r="DY224" i="7" a="1"/>
  <c r="DY224" i="7" s="1"/>
  <c r="FK211" i="7" a="1"/>
  <c r="FK211" i="7" s="1"/>
  <c r="GA221" i="7" a="1"/>
  <c r="GA221" i="7" s="1"/>
  <c r="EA218" i="7" a="1"/>
  <c r="EA218" i="7" s="1"/>
  <c r="FC214" i="7" a="1"/>
  <c r="FC214" i="7" s="1"/>
  <c r="EU222" i="7" a="1"/>
  <c r="EU222" i="7" s="1"/>
  <c r="EO213" i="7" a="1"/>
  <c r="EO213" i="7" s="1"/>
  <c r="FJ208" i="7" a="1"/>
  <c r="FJ208" i="7" s="1"/>
  <c r="ET220" i="7" a="1"/>
  <c r="ET220" i="7" s="1"/>
  <c r="EU211" i="7" a="1"/>
  <c r="EU211" i="7" s="1"/>
  <c r="EU210" i="7" a="1"/>
  <c r="EU210" i="7" s="1"/>
  <c r="FO208" i="7" a="1"/>
  <c r="FO208" i="7" s="1"/>
  <c r="FA206" i="7" a="1"/>
  <c r="FA206" i="7" s="1"/>
  <c r="ET230" i="7" a="1"/>
  <c r="ET230" i="7" s="1"/>
  <c r="FX224" i="7" a="1"/>
  <c r="FX224" i="7" s="1"/>
  <c r="FN235" i="7" a="1"/>
  <c r="FN235" i="7" s="1"/>
  <c r="FB223" i="7" a="1"/>
  <c r="FB223" i="7" s="1"/>
  <c r="FG235" i="7" a="1"/>
  <c r="FG235" i="7" s="1"/>
  <c r="EG231" i="7" a="1"/>
  <c r="EG231" i="7" s="1"/>
  <c r="EF239" i="7" a="1"/>
  <c r="EF239" i="7" s="1"/>
  <c r="EL229" i="7" a="1"/>
  <c r="EL229" i="7" s="1"/>
  <c r="FM217" i="7" a="1"/>
  <c r="FM217" i="7" s="1"/>
  <c r="EL235" i="7" a="1"/>
  <c r="EL235" i="7" s="1"/>
  <c r="EA214" i="7" a="1"/>
  <c r="EA214" i="7" s="1"/>
  <c r="FL234" i="7" a="1"/>
  <c r="FL234" i="7" s="1"/>
  <c r="ER227" i="7" a="1"/>
  <c r="ER227" i="7" s="1"/>
  <c r="FJ238" i="7" a="1"/>
  <c r="FJ238" i="7" s="1"/>
  <c r="EF226" i="7" a="1"/>
  <c r="EF226" i="7" s="1"/>
  <c r="FJ218" i="7" a="1"/>
  <c r="FJ218" i="7" s="1"/>
  <c r="FS232" i="7" a="1"/>
  <c r="FS232" i="7" s="1"/>
  <c r="EM223" i="7" a="1"/>
  <c r="EM223" i="7" s="1"/>
  <c r="FI233" i="7" a="1"/>
  <c r="FI233" i="7" s="1"/>
  <c r="EQ237" i="7" a="1"/>
  <c r="EQ237" i="7" s="1"/>
  <c r="GA247" i="7" a="1"/>
  <c r="GA247" i="7" s="1"/>
  <c r="EY254" i="7" a="1"/>
  <c r="EY254" i="7" s="1"/>
  <c r="DV234" i="7" a="1"/>
  <c r="DV234" i="7" s="1"/>
  <c r="DX248" i="7" a="1"/>
  <c r="DX248" i="7" s="1"/>
  <c r="EQ239" i="7" a="1"/>
  <c r="EQ239" i="7" s="1"/>
  <c r="DV249" i="7" a="1"/>
  <c r="DV249" i="7" s="1"/>
  <c r="DX255" i="7" a="1"/>
  <c r="DX255" i="7" s="1"/>
  <c r="FH234" i="7" a="1"/>
  <c r="FH234" i="7" s="1"/>
  <c r="EB247" i="7" a="1"/>
  <c r="EB247" i="7" s="1"/>
  <c r="DY251" i="7" a="1"/>
  <c r="DY251" i="7" s="1"/>
  <c r="EJ238" i="7" a="1"/>
  <c r="EJ238" i="7" s="1"/>
  <c r="DX243" i="7" a="1"/>
  <c r="DX243" i="7" s="1"/>
  <c r="DU247" i="7" a="1"/>
  <c r="DU247" i="7" s="1"/>
  <c r="ED234" i="7" a="1"/>
  <c r="ED234" i="7" s="1"/>
  <c r="DY243" i="7" a="1"/>
  <c r="DY243" i="7" s="1"/>
  <c r="DS248" i="7" a="1"/>
  <c r="DS248" i="7" s="1"/>
  <c r="DW252" i="7" a="1"/>
  <c r="DW252" i="7" s="1"/>
  <c r="EK238" i="7" a="1"/>
  <c r="EK238" i="7" s="1"/>
  <c r="ED244" i="7" a="1"/>
  <c r="ED244" i="7" s="1"/>
  <c r="EA248" i="7" a="1"/>
  <c r="EA248" i="7" s="1"/>
  <c r="FP252" i="7" a="1"/>
  <c r="FP252" i="7" s="1"/>
  <c r="FL240" i="7" a="1"/>
  <c r="FL240" i="7" s="1"/>
  <c r="FI244" i="7" a="1"/>
  <c r="FI244" i="7" s="1"/>
  <c r="FC249" i="7" a="1"/>
  <c r="FC249" i="7" s="1"/>
  <c r="EF233" i="7" a="1"/>
  <c r="EF233" i="7" s="1"/>
  <c r="DS243" i="7" a="1"/>
  <c r="DS243" i="7" s="1"/>
  <c r="DW247" i="7" a="1"/>
  <c r="DW247" i="7" s="1"/>
  <c r="EJ230" i="7" a="1"/>
  <c r="EJ230" i="7" s="1"/>
  <c r="EK237" i="7" a="1"/>
  <c r="EK237" i="7" s="1"/>
  <c r="ER243" i="7" a="1"/>
  <c r="ER243" i="7" s="1"/>
  <c r="FH242" i="7" a="1"/>
  <c r="FH242" i="7" s="1"/>
  <c r="EF252" i="7" a="1"/>
  <c r="EF252" i="7" s="1"/>
  <c r="EX243" i="7" a="1"/>
  <c r="EX243" i="7" s="1"/>
  <c r="EX255" i="7" a="1"/>
  <c r="EX255" i="7" s="1"/>
  <c r="DY258" i="7" a="1"/>
  <c r="DY258" i="7" s="1"/>
  <c r="FA260" i="7" a="1"/>
  <c r="FA260" i="7" s="1"/>
  <c r="FA262" i="7" a="1"/>
  <c r="FA262" i="7" s="1"/>
  <c r="FA264" i="7" a="1"/>
  <c r="FA264" i="7" s="1"/>
  <c r="DR267" i="7" a="1"/>
  <c r="DR267" i="7" s="1"/>
  <c r="DR269" i="7" a="1"/>
  <c r="DR269" i="7" s="1"/>
  <c r="ET271" i="7" a="1"/>
  <c r="ET271" i="7" s="1"/>
  <c r="ET273" i="7" a="1"/>
  <c r="ET273" i="7" s="1"/>
  <c r="ET275" i="7" a="1"/>
  <c r="ET275" i="7" s="1"/>
  <c r="FD249" i="7" a="1"/>
  <c r="FD249" i="7" s="1"/>
  <c r="EF257" i="7" a="1"/>
  <c r="EF257" i="7" s="1"/>
  <c r="FP250" i="7" a="1"/>
  <c r="FP250" i="7" s="1"/>
  <c r="EB256" i="7" a="1"/>
  <c r="EB256" i="7" s="1"/>
  <c r="FI258" i="7" a="1"/>
  <c r="FI258" i="7" s="1"/>
  <c r="DZ261" i="7" a="1"/>
  <c r="DZ261" i="7" s="1"/>
  <c r="DZ263" i="7" a="1"/>
  <c r="DZ263" i="7" s="1"/>
  <c r="FB265" i="7" a="1"/>
  <c r="FB265" i="7" s="1"/>
  <c r="FB267" i="7" a="1"/>
  <c r="FB267" i="7" s="1"/>
  <c r="DT215" i="7" a="1"/>
  <c r="DT215" i="7" s="1"/>
  <c r="ED251" i="7" a="1"/>
  <c r="ED251" i="7" s="1"/>
  <c r="GA239" i="7" a="1"/>
  <c r="GA239" i="7" s="1"/>
  <c r="FV252" i="7" a="1"/>
  <c r="FV252" i="7" s="1"/>
  <c r="EW256" i="7" a="1"/>
  <c r="EW256" i="7" s="1"/>
  <c r="FX258" i="7" a="1"/>
  <c r="FX258" i="7" s="1"/>
  <c r="EO261" i="7" a="1"/>
  <c r="EO261" i="7" s="1"/>
  <c r="EO263" i="7" a="1"/>
  <c r="EO263" i="7" s="1"/>
  <c r="FQ265" i="7" a="1"/>
  <c r="FQ265" i="7" s="1"/>
  <c r="FQ267" i="7" a="1"/>
  <c r="FQ267" i="7" s="1"/>
  <c r="EK230" i="7" a="1"/>
  <c r="EK230" i="7" s="1"/>
  <c r="FG251" i="7" a="1"/>
  <c r="FG251" i="7" s="1"/>
  <c r="FS238" i="7" a="1"/>
  <c r="FS238" i="7" s="1"/>
  <c r="EI251" i="7" a="1"/>
  <c r="EI251" i="7" s="1"/>
  <c r="FL255" i="7" a="1"/>
  <c r="FL255" i="7" s="1"/>
  <c r="EP258" i="7" a="1"/>
  <c r="EP258" i="7" s="1"/>
  <c r="DU260" i="7" a="1"/>
  <c r="DU260" i="7" s="1"/>
  <c r="FR261" i="7" a="1"/>
  <c r="FR261" i="7" s="1"/>
  <c r="EW263" i="7" a="1"/>
  <c r="EW263" i="7" s="1"/>
  <c r="EB265" i="7" a="1"/>
  <c r="EB265" i="7" s="1"/>
  <c r="FR266" i="7" a="1"/>
  <c r="FR266" i="7" s="1"/>
  <c r="FW242" i="7" a="1"/>
  <c r="FW242" i="7" s="1"/>
  <c r="FH250" i="7" a="1"/>
  <c r="FH250" i="7" s="1"/>
  <c r="FT238" i="7" a="1"/>
  <c r="FT238" i="7" s="1"/>
  <c r="EJ251" i="7" a="1"/>
  <c r="EJ251" i="7" s="1"/>
  <c r="DR255" i="7" a="1"/>
  <c r="DR255" i="7" s="1"/>
  <c r="EX257" i="7" a="1"/>
  <c r="EX257" i="7" s="1"/>
  <c r="EC259" i="7" a="1"/>
  <c r="EC259" i="7" s="1"/>
  <c r="FS260" i="7" a="1"/>
  <c r="FS260" i="7" s="1"/>
  <c r="FJ247" i="7" a="1"/>
  <c r="FJ247" i="7" s="1"/>
  <c r="EC254" i="7" a="1"/>
  <c r="EC254" i="7" s="1"/>
  <c r="FW256" i="7" a="1"/>
  <c r="FW256" i="7" s="1"/>
  <c r="FU258" i="7" a="1"/>
  <c r="FU258" i="7" s="1"/>
  <c r="EZ260" i="7" a="1"/>
  <c r="EZ260" i="7" s="1"/>
  <c r="EE262" i="7" a="1"/>
  <c r="EE262" i="7" s="1"/>
  <c r="FU263" i="7" a="1"/>
  <c r="FU263" i="7" s="1"/>
  <c r="EZ265" i="7" a="1"/>
  <c r="EZ265" i="7" s="1"/>
  <c r="FP255" i="7" a="1"/>
  <c r="FP255" i="7" s="1"/>
  <c r="EC265" i="7" a="1"/>
  <c r="EC265" i="7" s="1"/>
  <c r="EA271" i="7" a="1"/>
  <c r="EA271" i="7" s="1"/>
  <c r="FI274" i="7" a="1"/>
  <c r="FI274" i="7" s="1"/>
  <c r="FO281" i="7" a="1"/>
  <c r="FO281" i="7" s="1"/>
  <c r="FV284" i="7" a="1"/>
  <c r="FV284" i="7" s="1"/>
  <c r="DR288" i="7" a="1"/>
  <c r="DR288" i="7" s="1"/>
  <c r="DY291" i="7" a="1"/>
  <c r="DY291" i="7" s="1"/>
  <c r="FF246" i="7" a="1"/>
  <c r="FF246" i="7" s="1"/>
  <c r="EZ268" i="7" a="1"/>
  <c r="EZ268" i="7" s="1"/>
  <c r="FB272" i="7" a="1"/>
  <c r="FB272" i="7" s="1"/>
  <c r="EG276" i="7" a="1"/>
  <c r="EG276" i="7" s="1"/>
  <c r="DU278" i="7" a="1"/>
  <c r="DU278" i="7" s="1"/>
  <c r="FT279" i="7" a="1"/>
  <c r="FT279" i="7" s="1"/>
  <c r="FH281" i="7" a="1"/>
  <c r="FH281" i="7" s="1"/>
  <c r="FO284" i="7" a="1"/>
  <c r="FO284" i="7" s="1"/>
  <c r="GA246" i="7" a="1"/>
  <c r="GA246" i="7" s="1"/>
  <c r="FF263" i="7" a="1"/>
  <c r="FF263" i="7" s="1"/>
  <c r="EI269" i="7" a="1"/>
  <c r="EI269" i="7" s="1"/>
  <c r="DQ273" i="7" a="1"/>
  <c r="DQ273" i="7" s="1"/>
  <c r="FH277" i="7" a="1"/>
  <c r="FH277" i="7" s="1"/>
  <c r="FC283" i="7" a="1"/>
  <c r="FC283" i="7" s="1"/>
  <c r="FJ286" i="7" a="1"/>
  <c r="FJ286" i="7" s="1"/>
  <c r="FQ289" i="7" a="1"/>
  <c r="FQ289" i="7" s="1"/>
  <c r="FX292" i="7" a="1"/>
  <c r="FX292" i="7" s="1"/>
  <c r="ER259" i="7" a="1"/>
  <c r="ER259" i="7" s="1"/>
  <c r="EK271" i="7" a="1"/>
  <c r="EK271" i="7" s="1"/>
  <c r="FS274" i="7" a="1"/>
  <c r="FS274" i="7" s="1"/>
  <c r="EJ277" i="7" a="1"/>
  <c r="EJ277" i="7" s="1"/>
  <c r="DX279" i="7" a="1"/>
  <c r="DX279" i="7" s="1"/>
  <c r="FX280" i="7" a="1"/>
  <c r="FX280" i="7" s="1"/>
  <c r="FK283" i="7" a="1"/>
  <c r="FK283" i="7" s="1"/>
  <c r="FZ251" i="7" a="1"/>
  <c r="FZ251" i="7" s="1"/>
  <c r="DW264" i="7" a="1"/>
  <c r="DW264" i="7" s="1"/>
  <c r="FE269" i="7" a="1"/>
  <c r="FE269" i="7" s="1"/>
  <c r="ES273" i="7" a="1"/>
  <c r="ES273" i="7" s="1"/>
  <c r="DY279" i="7" a="1"/>
  <c r="DY279" i="7" s="1"/>
  <c r="FS283" i="7" a="1"/>
  <c r="FS283" i="7" s="1"/>
  <c r="EM255" i="7" a="1"/>
  <c r="EM255" i="7" s="1"/>
  <c r="FE270" i="7" a="1"/>
  <c r="FE270" i="7" s="1"/>
  <c r="ES274" i="7" a="1"/>
  <c r="ES274" i="7" s="1"/>
  <c r="DU277" i="7" a="1"/>
  <c r="DU277" i="7" s="1"/>
  <c r="FT278" i="7" a="1"/>
  <c r="FT278" i="7" s="1"/>
  <c r="FI280" i="7" a="1"/>
  <c r="FI280" i="7" s="1"/>
  <c r="EH283" i="7" a="1"/>
  <c r="EH283" i="7" s="1"/>
  <c r="DQ250" i="7" a="1"/>
  <c r="DQ250" i="7" s="1"/>
  <c r="EC264" i="7" a="1"/>
  <c r="EC264" i="7" s="1"/>
  <c r="FF269" i="7" a="1"/>
  <c r="FF269" i="7" s="1"/>
  <c r="EC273" i="7" a="1"/>
  <c r="EC273" i="7" s="1"/>
  <c r="EF278" i="7" a="1"/>
  <c r="EF278" i="7" s="1"/>
  <c r="FE283" i="7" a="1"/>
  <c r="FE283" i="7" s="1"/>
  <c r="FR253" i="7" a="1"/>
  <c r="FR253" i="7" s="1"/>
  <c r="FF270" i="7" a="1"/>
  <c r="FF270" i="7" s="1"/>
  <c r="EC274" i="7" a="1"/>
  <c r="EC274" i="7" s="1"/>
  <c r="DV277" i="7" a="1"/>
  <c r="DV277" i="7" s="1"/>
  <c r="FU278" i="7" a="1"/>
  <c r="FU278" i="7" s="1"/>
  <c r="FJ280" i="7" a="1"/>
  <c r="FJ280" i="7" s="1"/>
  <c r="EI283" i="7" a="1"/>
  <c r="EI283" i="7" s="1"/>
  <c r="EP286" i="7" a="1"/>
  <c r="EP286" i="7" s="1"/>
  <c r="FJ254" i="7" a="1"/>
  <c r="FJ254" i="7" s="1"/>
  <c r="FE264" i="7" a="1"/>
  <c r="FE264" i="7" s="1"/>
  <c r="FQ269" i="7" a="1"/>
  <c r="FQ269" i="7" s="1"/>
  <c r="EN273" i="7" a="1"/>
  <c r="EN273" i="7" s="1"/>
  <c r="FV278" i="7" a="1"/>
  <c r="FV278" i="7" s="1"/>
  <c r="FU283" i="7" a="1"/>
  <c r="FU283" i="7" s="1"/>
  <c r="EH256" i="7" a="1"/>
  <c r="EH256" i="7" s="1"/>
  <c r="FQ270" i="7" a="1"/>
  <c r="FQ270" i="7" s="1"/>
  <c r="EN274" i="7" a="1"/>
  <c r="EN274" i="7" s="1"/>
  <c r="FD244" i="7" a="1"/>
  <c r="FD244" i="7" s="1"/>
  <c r="EQ269" i="7" a="1"/>
  <c r="EQ269" i="7" s="1"/>
  <c r="FR272" i="7" a="1"/>
  <c r="FR272" i="7" s="1"/>
  <c r="EN276" i="7" a="1"/>
  <c r="EN276" i="7" s="1"/>
  <c r="EB278" i="7" a="1"/>
  <c r="EB278" i="7" s="1"/>
  <c r="GA279" i="7" a="1"/>
  <c r="GA279" i="7" s="1"/>
  <c r="FV281" i="7" a="1"/>
  <c r="FV281" i="7" s="1"/>
  <c r="DR285" i="7" a="1"/>
  <c r="DR285" i="7" s="1"/>
  <c r="EI284" i="7" a="1"/>
  <c r="EI284" i="7" s="1"/>
  <c r="FF288" i="7" a="1"/>
  <c r="FF288" i="7" s="1"/>
  <c r="EQ292" i="7" a="1"/>
  <c r="EQ292" i="7" s="1"/>
  <c r="FE295" i="7" a="1"/>
  <c r="FE295" i="7" s="1"/>
  <c r="FL298" i="7" a="1"/>
  <c r="FL298" i="7" s="1"/>
  <c r="ER300" i="7" a="1"/>
  <c r="ER300" i="7" s="1"/>
  <c r="GA301" i="7" a="1"/>
  <c r="GA301" i="7" s="1"/>
  <c r="EY303" i="7" a="1"/>
  <c r="EY303" i="7" s="1"/>
  <c r="DW305" i="7" a="1"/>
  <c r="DW305" i="7" s="1"/>
  <c r="FF306" i="7" a="1"/>
  <c r="FF306" i="7" s="1"/>
  <c r="ED308" i="7" a="1"/>
  <c r="ED308" i="7" s="1"/>
  <c r="FM309" i="7" a="1"/>
  <c r="FM309" i="7" s="1"/>
  <c r="EK311" i="7" a="1"/>
  <c r="EK311" i="7" s="1"/>
  <c r="FT312" i="7" a="1"/>
  <c r="FT312" i="7" s="1"/>
  <c r="ER314" i="7" a="1"/>
  <c r="ER314" i="7" s="1"/>
  <c r="GA315" i="7" a="1"/>
  <c r="GA315" i="7" s="1"/>
  <c r="EY317" i="7" a="1"/>
  <c r="EY317" i="7" s="1"/>
  <c r="DW319" i="7" a="1"/>
  <c r="DW319" i="7" s="1"/>
  <c r="FF320" i="7" a="1"/>
  <c r="FF320" i="7" s="1"/>
  <c r="ED322" i="7" a="1"/>
  <c r="ED322" i="7" s="1"/>
  <c r="FM323" i="7" a="1"/>
  <c r="FM323" i="7" s="1"/>
  <c r="EK325" i="7" a="1"/>
  <c r="EK325" i="7" s="1"/>
  <c r="EH278" i="7" a="1"/>
  <c r="EH278" i="7" s="1"/>
  <c r="FU285" i="7" a="1"/>
  <c r="FU285" i="7" s="1"/>
  <c r="EL290" i="7" a="1"/>
  <c r="EL290" i="7" s="1"/>
  <c r="DY293" i="7" a="1"/>
  <c r="DY293" i="7" s="1"/>
  <c r="FR296" i="7" a="1"/>
  <c r="FR296" i="7" s="1"/>
  <c r="DQ268" i="7" a="1"/>
  <c r="DQ268" i="7" s="1"/>
  <c r="FV285" i="7" a="1"/>
  <c r="FV285" i="7" s="1"/>
  <c r="EW289" i="7" a="1"/>
  <c r="EW289" i="7" s="1"/>
  <c r="EH293" i="7" a="1"/>
  <c r="EH293" i="7" s="1"/>
  <c r="EG296" i="7" a="1"/>
  <c r="EG296" i="7" s="1"/>
  <c r="EE299" i="7" a="1"/>
  <c r="EE299" i="7" s="1"/>
  <c r="FN300" i="7" a="1"/>
  <c r="FN300" i="7" s="1"/>
  <c r="EL302" i="7" a="1"/>
  <c r="EL302" i="7" s="1"/>
  <c r="FU303" i="7" a="1"/>
  <c r="FU303" i="7" s="1"/>
  <c r="ES305" i="7" a="1"/>
  <c r="ES305" i="7" s="1"/>
  <c r="DQ307" i="7" a="1"/>
  <c r="DQ307" i="7" s="1"/>
  <c r="EZ308" i="7" a="1"/>
  <c r="EZ308" i="7" s="1"/>
  <c r="DX310" i="7" a="1"/>
  <c r="DX310" i="7" s="1"/>
  <c r="FG311" i="7" a="1"/>
  <c r="FG311" i="7" s="1"/>
  <c r="EE313" i="7" a="1"/>
  <c r="EE313" i="7" s="1"/>
  <c r="FN314" i="7" a="1"/>
  <c r="FN314" i="7" s="1"/>
  <c r="EL316" i="7" a="1"/>
  <c r="EL316" i="7" s="1"/>
  <c r="FU317" i="7" a="1"/>
  <c r="FU317" i="7" s="1"/>
  <c r="ES319" i="7" a="1"/>
  <c r="ES319" i="7" s="1"/>
  <c r="DQ321" i="7" a="1"/>
  <c r="DQ321" i="7" s="1"/>
  <c r="FZ247" i="7" a="1"/>
  <c r="FZ247" i="7" s="1"/>
  <c r="FT277" i="7" a="1"/>
  <c r="FT277" i="7" s="1"/>
  <c r="FK285" i="7" a="1"/>
  <c r="FK285" i="7" s="1"/>
  <c r="FF289" i="7" a="1"/>
  <c r="FF289" i="7" s="1"/>
  <c r="EI293" i="7" a="1"/>
  <c r="EI293" i="7" s="1"/>
  <c r="EO296" i="7" a="1"/>
  <c r="EO296" i="7" s="1"/>
  <c r="FZ266" i="7" a="1"/>
  <c r="FZ266" i="7" s="1"/>
  <c r="EE285" i="7" a="1"/>
  <c r="EE285" i="7" s="1"/>
  <c r="FQ288" i="7" a="1"/>
  <c r="FQ288" i="7" s="1"/>
  <c r="EB292" i="7" a="1"/>
  <c r="EB292" i="7" s="1"/>
  <c r="FG295" i="7" a="1"/>
  <c r="FG295" i="7" s="1"/>
  <c r="FN298" i="7" a="1"/>
  <c r="FN298" i="7" s="1"/>
  <c r="EM300" i="7" a="1"/>
  <c r="EM300" i="7" s="1"/>
  <c r="FV301" i="7" a="1"/>
  <c r="FV301" i="7" s="1"/>
  <c r="ET303" i="7" a="1"/>
  <c r="ET303" i="7" s="1"/>
  <c r="DR305" i="7" a="1"/>
  <c r="DR305" i="7" s="1"/>
  <c r="FA306" i="7" a="1"/>
  <c r="FA306" i="7" s="1"/>
  <c r="DY308" i="7" a="1"/>
  <c r="DY308" i="7" s="1"/>
  <c r="FH309" i="7" a="1"/>
  <c r="FH309" i="7" s="1"/>
  <c r="EF311" i="7" a="1"/>
  <c r="EF311" i="7" s="1"/>
  <c r="DV275" i="7" a="1"/>
  <c r="DV275" i="7" s="1"/>
  <c r="EN282" i="7" a="1"/>
  <c r="EN282" i="7" s="1"/>
  <c r="DY289" i="7" a="1"/>
  <c r="DY289" i="7" s="1"/>
  <c r="FL292" i="7" a="1"/>
  <c r="FL292" i="7" s="1"/>
  <c r="EP296" i="7" a="1"/>
  <c r="EP296" i="7" s="1"/>
  <c r="FT263" i="7" a="1"/>
  <c r="FT263" i="7" s="1"/>
  <c r="EW284" i="7" a="1"/>
  <c r="EW284" i="7" s="1"/>
  <c r="FA288" i="7" a="1"/>
  <c r="FA288" i="7" s="1"/>
  <c r="EM292" i="7" a="1"/>
  <c r="EM292" i="7" s="1"/>
  <c r="FA295" i="7" a="1"/>
  <c r="FA295" i="7" s="1"/>
  <c r="FH298" i="7" a="1"/>
  <c r="FH298" i="7" s="1"/>
  <c r="EN300" i="7" a="1"/>
  <c r="EN300" i="7" s="1"/>
  <c r="FW301" i="7" a="1"/>
  <c r="FW301" i="7" s="1"/>
  <c r="EU303" i="7" a="1"/>
  <c r="EU303" i="7" s="1"/>
  <c r="DS305" i="7" a="1"/>
  <c r="DS305" i="7" s="1"/>
  <c r="FB306" i="7" a="1"/>
  <c r="FB306" i="7" s="1"/>
  <c r="DZ308" i="7" a="1"/>
  <c r="DZ308" i="7" s="1"/>
  <c r="FI309" i="7" a="1"/>
  <c r="FI309" i="7" s="1"/>
  <c r="EG311" i="7" a="1"/>
  <c r="EG311" i="7" s="1"/>
  <c r="FP312" i="7" a="1"/>
  <c r="FP312" i="7" s="1"/>
  <c r="FS265" i="7" a="1"/>
  <c r="FS265" i="7" s="1"/>
  <c r="FW278" i="7" a="1"/>
  <c r="FW278" i="7" s="1"/>
  <c r="FY285" i="7" a="1"/>
  <c r="FY285" i="7" s="1"/>
  <c r="DX290" i="7" a="1"/>
  <c r="DX290" i="7" s="1"/>
  <c r="FC293" i="7" a="1"/>
  <c r="FC293" i="7" s="1"/>
  <c r="DR297" i="7" a="1"/>
  <c r="DR297" i="7" s="1"/>
  <c r="ED269" i="7" a="1"/>
  <c r="ED269" i="7" s="1"/>
  <c r="FP285" i="7" a="1"/>
  <c r="FP285" i="7" s="1"/>
  <c r="EZ289" i="7" a="1"/>
  <c r="EZ289" i="7" s="1"/>
  <c r="EL293" i="7" a="1"/>
  <c r="EL293" i="7" s="1"/>
  <c r="EJ296" i="7" a="1"/>
  <c r="EJ296" i="7" s="1"/>
  <c r="EA299" i="7" a="1"/>
  <c r="EA299" i="7" s="1"/>
  <c r="FJ300" i="7" a="1"/>
  <c r="FJ300" i="7" s="1"/>
  <c r="EH302" i="7" a="1"/>
  <c r="EH302" i="7" s="1"/>
  <c r="FQ303" i="7" a="1"/>
  <c r="FQ303" i="7" s="1"/>
  <c r="EO305" i="7" a="1"/>
  <c r="EO305" i="7" s="1"/>
  <c r="FX306" i="7" a="1"/>
  <c r="FX306" i="7" s="1"/>
  <c r="EV308" i="7" a="1"/>
  <c r="EV308" i="7" s="1"/>
  <c r="DT310" i="7" a="1"/>
  <c r="DT310" i="7" s="1"/>
  <c r="EY267" i="7" a="1"/>
  <c r="EY267" i="7" s="1"/>
  <c r="EL280" i="7" a="1"/>
  <c r="EL280" i="7" s="1"/>
  <c r="GA286" i="7" a="1"/>
  <c r="GA286" i="7" s="1"/>
  <c r="FZ290" i="7" a="1"/>
  <c r="FZ290" i="7" s="1"/>
  <c r="FE294" i="7" a="1"/>
  <c r="FE294" i="7" s="1"/>
  <c r="FL297" i="7" a="1"/>
  <c r="FL297" i="7" s="1"/>
  <c r="EN275" i="7" a="1"/>
  <c r="EN275" i="7" s="1"/>
  <c r="DQ287" i="7" a="1"/>
  <c r="DQ287" i="7" s="1"/>
  <c r="FJ270" i="7" a="1"/>
  <c r="FJ270" i="7" s="1"/>
  <c r="EH281" i="7" a="1"/>
  <c r="EH281" i="7" s="1"/>
  <c r="FN287" i="7" a="1"/>
  <c r="FN287" i="7" s="1"/>
  <c r="FN274" i="7" a="1"/>
  <c r="FN274" i="7" s="1"/>
  <c r="FH286" i="7" a="1"/>
  <c r="FH286" i="7" s="1"/>
  <c r="FK276" i="7" a="1"/>
  <c r="FK276" i="7" s="1"/>
  <c r="DU283" i="7" a="1"/>
  <c r="DU283" i="7" s="1"/>
  <c r="FU289" i="7" a="1"/>
  <c r="FU289" i="7" s="1"/>
  <c r="EX293" i="7" a="1"/>
  <c r="EX293" i="7" s="1"/>
  <c r="FB296" i="7" a="1"/>
  <c r="FB296" i="7" s="1"/>
  <c r="FG292" i="7" a="1"/>
  <c r="FG292" i="7" s="1"/>
  <c r="EI303" i="7" a="1"/>
  <c r="EI303" i="7" s="1"/>
  <c r="FK308" i="7" a="1"/>
  <c r="FK308" i="7" s="1"/>
  <c r="FP315" i="7" a="1"/>
  <c r="FP315" i="7" s="1"/>
  <c r="DT320" i="7" a="1"/>
  <c r="DT320" i="7" s="1"/>
  <c r="GA326" i="7" a="1"/>
  <c r="GA326" i="7" s="1"/>
  <c r="DW330" i="7" a="1"/>
  <c r="DW330" i="7" s="1"/>
  <c r="ED333" i="7" a="1"/>
  <c r="ED333" i="7" s="1"/>
  <c r="EK336" i="7" a="1"/>
  <c r="EK336" i="7" s="1"/>
  <c r="ER339" i="7" a="1"/>
  <c r="ER339" i="7" s="1"/>
  <c r="EY342" i="7" a="1"/>
  <c r="EY342" i="7" s="1"/>
  <c r="FF345" i="7" a="1"/>
  <c r="FF345" i="7" s="1"/>
  <c r="FM348" i="7" a="1"/>
  <c r="FM348" i="7" s="1"/>
  <c r="EL350" i="7" a="1"/>
  <c r="EL350" i="7" s="1"/>
  <c r="FU351" i="7" a="1"/>
  <c r="FU351" i="7" s="1"/>
  <c r="ES353" i="7" a="1"/>
  <c r="ES353" i="7" s="1"/>
  <c r="DQ355" i="7" a="1"/>
  <c r="DQ355" i="7" s="1"/>
  <c r="EZ356" i="7" a="1"/>
  <c r="EZ356" i="7" s="1"/>
  <c r="DX358" i="7" a="1"/>
  <c r="DX358" i="7" s="1"/>
  <c r="FG359" i="7" a="1"/>
  <c r="FG359" i="7" s="1"/>
  <c r="EE361" i="7" a="1"/>
  <c r="EE361" i="7" s="1"/>
  <c r="EK296" i="7" a="1"/>
  <c r="EK296" i="7" s="1"/>
  <c r="EB313" i="7" a="1"/>
  <c r="EB313" i="7" s="1"/>
  <c r="EF317" i="7" a="1"/>
  <c r="EF317" i="7" s="1"/>
  <c r="FL321" i="7" a="1"/>
  <c r="FL321" i="7" s="1"/>
  <c r="EG168" i="7" a="1"/>
  <c r="EG168" i="7" s="1"/>
  <c r="DX178" i="7" a="1"/>
  <c r="DX178" i="7" s="1"/>
  <c r="EM191" i="7" a="1"/>
  <c r="EM191" i="7" s="1"/>
  <c r="FY169" i="7" a="1"/>
  <c r="FY169" i="7" s="1"/>
  <c r="DT153" i="7" a="1"/>
  <c r="DT153" i="7" s="1"/>
  <c r="EL206" i="7" a="1"/>
  <c r="EL206" i="7" s="1"/>
  <c r="FR206" i="7" a="1"/>
  <c r="FR206" i="7" s="1"/>
  <c r="FC191" i="7" a="1"/>
  <c r="FC191" i="7" s="1"/>
  <c r="EY189" i="7" a="1"/>
  <c r="EY189" i="7" s="1"/>
  <c r="FP162" i="7" a="1"/>
  <c r="FP162" i="7" s="1"/>
  <c r="FZ168" i="7" a="1"/>
  <c r="FZ168" i="7" s="1"/>
  <c r="EU141" i="7" a="1"/>
  <c r="EU141" i="7" s="1"/>
  <c r="FJ205" i="7" a="1"/>
  <c r="FJ205" i="7" s="1"/>
  <c r="ES219" i="7" a="1"/>
  <c r="ES219" i="7" s="1"/>
  <c r="EX231" i="7" a="1"/>
  <c r="EX231" i="7" s="1"/>
  <c r="DU237" i="7" a="1"/>
  <c r="DU237" i="7" s="1"/>
  <c r="FK215" i="7" a="1"/>
  <c r="FK215" i="7" s="1"/>
  <c r="DZ197" i="7" a="1"/>
  <c r="DZ197" i="7" s="1"/>
  <c r="EN224" i="7" a="1"/>
  <c r="EN224" i="7" s="1"/>
  <c r="FV211" i="7" a="1"/>
  <c r="FV211" i="7" s="1"/>
  <c r="EE222" i="7" a="1"/>
  <c r="EE222" i="7" s="1"/>
  <c r="EP218" i="7" a="1"/>
  <c r="EP218" i="7" s="1"/>
  <c r="FK214" i="7" a="1"/>
  <c r="FK214" i="7" s="1"/>
  <c r="FJ222" i="7" a="1"/>
  <c r="FJ222" i="7" s="1"/>
  <c r="EY213" i="7" a="1"/>
  <c r="EY213" i="7" s="1"/>
  <c r="FY208" i="7" a="1"/>
  <c r="FY208" i="7" s="1"/>
  <c r="FI220" i="7" a="1"/>
  <c r="FI220" i="7" s="1"/>
  <c r="FP211" i="7" a="1"/>
  <c r="FP211" i="7" s="1"/>
  <c r="FP210" i="7" a="1"/>
  <c r="FP210" i="7" s="1"/>
  <c r="EE209" i="7" a="1"/>
  <c r="EE209" i="7" s="1"/>
  <c r="EM208" i="7" a="1"/>
  <c r="EM208" i="7" s="1"/>
  <c r="FB230" i="7" a="1"/>
  <c r="FB230" i="7" s="1"/>
  <c r="EG225" i="7" a="1"/>
  <c r="EG225" i="7" s="1"/>
  <c r="DR236" i="7" a="1"/>
  <c r="DR236" i="7" s="1"/>
  <c r="FK223" i="7" a="1"/>
  <c r="FK223" i="7" s="1"/>
  <c r="FV235" i="7" a="1"/>
  <c r="FV235" i="7" s="1"/>
  <c r="EO231" i="7" a="1"/>
  <c r="EO231" i="7" s="1"/>
  <c r="EM239" i="7" a="1"/>
  <c r="EM239" i="7" s="1"/>
  <c r="ET229" i="7" a="1"/>
  <c r="ET229" i="7" s="1"/>
  <c r="EE218" i="7" a="1"/>
  <c r="EE218" i="7" s="1"/>
  <c r="FA235" i="7" a="1"/>
  <c r="FA235" i="7" s="1"/>
  <c r="ES215" i="7" a="1"/>
  <c r="ES215" i="7" s="1"/>
  <c r="GA234" i="7" a="1"/>
  <c r="GA234" i="7" s="1"/>
  <c r="EZ227" i="7" a="1"/>
  <c r="EZ227" i="7" s="1"/>
  <c r="FQ238" i="7" a="1"/>
  <c r="FQ238" i="7" s="1"/>
  <c r="EZ226" i="7" a="1"/>
  <c r="EZ226" i="7" s="1"/>
  <c r="EB219" i="7" a="1"/>
  <c r="EB219" i="7" s="1"/>
  <c r="DW233" i="7" a="1"/>
  <c r="DW233" i="7" s="1"/>
  <c r="FP225" i="7" a="1"/>
  <c r="FP225" i="7" s="1"/>
  <c r="FX233" i="7" a="1"/>
  <c r="FX233" i="7" s="1"/>
  <c r="FM237" i="7" a="1"/>
  <c r="FM237" i="7" s="1"/>
  <c r="EE248" i="7" a="1"/>
  <c r="EE248" i="7" s="1"/>
  <c r="GA254" i="7" a="1"/>
  <c r="GA254" i="7" s="1"/>
  <c r="ER240" i="7" a="1"/>
  <c r="ER240" i="7" s="1"/>
  <c r="EF248" i="7" a="1"/>
  <c r="EF248" i="7" s="1"/>
  <c r="FM239" i="7" a="1"/>
  <c r="FM239" i="7" s="1"/>
  <c r="EK249" i="7" a="1"/>
  <c r="EK249" i="7" s="1"/>
  <c r="EZ255" i="7" a="1"/>
  <c r="EZ255" i="7" s="1"/>
  <c r="FY240" i="7" a="1"/>
  <c r="FY240" i="7" s="1"/>
  <c r="EQ247" i="7" a="1"/>
  <c r="EQ247" i="7" s="1"/>
  <c r="EN251" i="7" a="1"/>
  <c r="EN251" i="7" s="1"/>
  <c r="FF238" i="7" a="1"/>
  <c r="FF238" i="7" s="1"/>
  <c r="EF243" i="7" a="1"/>
  <c r="EF243" i="7" s="1"/>
  <c r="EJ247" i="7" a="1"/>
  <c r="EJ247" i="7" s="1"/>
  <c r="FO234" i="7" a="1"/>
  <c r="FO234" i="7" s="1"/>
  <c r="EN243" i="7" a="1"/>
  <c r="EN243" i="7" s="1"/>
  <c r="EH248" i="7" a="1"/>
  <c r="EH248" i="7" s="1"/>
  <c r="EL252" i="7" a="1"/>
  <c r="EL252" i="7" s="1"/>
  <c r="FL238" i="7" a="1"/>
  <c r="FL238" i="7" s="1"/>
  <c r="ES244" i="7" a="1"/>
  <c r="ES244" i="7" s="1"/>
  <c r="EP248" i="7" a="1"/>
  <c r="EP248" i="7" s="1"/>
  <c r="FU213" i="7" a="1"/>
  <c r="FU213" i="7" s="1"/>
  <c r="GA240" i="7" a="1"/>
  <c r="GA240" i="7" s="1"/>
  <c r="FX244" i="7" a="1"/>
  <c r="FX244" i="7" s="1"/>
  <c r="FR249" i="7" a="1"/>
  <c r="FR249" i="7" s="1"/>
  <c r="FQ233" i="7" a="1"/>
  <c r="FQ233" i="7" s="1"/>
  <c r="EH243" i="7" a="1"/>
  <c r="EH243" i="7" s="1"/>
  <c r="EL247" i="7" a="1"/>
  <c r="EL247" i="7" s="1"/>
  <c r="EU231" i="7" a="1"/>
  <c r="EU231" i="7" s="1"/>
  <c r="EB238" i="7" a="1"/>
  <c r="EB238" i="7" s="1"/>
  <c r="FG243" i="7" a="1"/>
  <c r="FG243" i="7" s="1"/>
  <c r="FU243" i="7" a="1"/>
  <c r="FU243" i="7" s="1"/>
  <c r="DR253" i="7" a="1"/>
  <c r="DR253" i="7" s="1"/>
  <c r="FV243" i="7" a="1"/>
  <c r="FV243" i="7" s="1"/>
  <c r="FI255" i="7" a="1"/>
  <c r="FI255" i="7" s="1"/>
  <c r="EF258" i="7" a="1"/>
  <c r="EF258" i="7" s="1"/>
  <c r="FH260" i="7" a="1"/>
  <c r="FH260" i="7" s="1"/>
  <c r="FH262" i="7" a="1"/>
  <c r="FH262" i="7" s="1"/>
  <c r="FH264" i="7" a="1"/>
  <c r="FH264" i="7" s="1"/>
  <c r="DY267" i="7" a="1"/>
  <c r="DY267" i="7" s="1"/>
  <c r="DY269" i="7" a="1"/>
  <c r="DY269" i="7" s="1"/>
  <c r="FA271" i="7" a="1"/>
  <c r="FA271" i="7" s="1"/>
  <c r="FA273" i="7" a="1"/>
  <c r="FA273" i="7" s="1"/>
  <c r="FA275" i="7" a="1"/>
  <c r="FA275" i="7" s="1"/>
  <c r="FS249" i="7" a="1"/>
  <c r="FS249" i="7" s="1"/>
  <c r="EY214" i="7" a="1"/>
  <c r="EY214" i="7" s="1"/>
  <c r="DR251" i="7" a="1"/>
  <c r="DR251" i="7" s="1"/>
  <c r="EM256" i="7" a="1"/>
  <c r="EM256" i="7" s="1"/>
  <c r="FP258" i="7" a="1"/>
  <c r="FP258" i="7" s="1"/>
  <c r="EG261" i="7" a="1"/>
  <c r="EG261" i="7" s="1"/>
  <c r="EG263" i="7" a="1"/>
  <c r="EG263" i="7" s="1"/>
  <c r="FI265" i="7" a="1"/>
  <c r="FI265" i="7" s="1"/>
  <c r="FI267" i="7" a="1"/>
  <c r="FI267" i="7" s="1"/>
  <c r="FK226" i="7" a="1"/>
  <c r="FK226" i="7" s="1"/>
  <c r="ER251" i="7" a="1"/>
  <c r="ER251" i="7" s="1"/>
  <c r="FG240" i="7" a="1"/>
  <c r="FG240" i="7" s="1"/>
  <c r="DU253" i="7" a="1"/>
  <c r="DU253" i="7" s="1"/>
  <c r="FH256" i="7" a="1"/>
  <c r="FH256" i="7" s="1"/>
  <c r="DT259" i="7" a="1"/>
  <c r="DT259" i="7" s="1"/>
  <c r="EV261" i="7" a="1"/>
  <c r="EV261" i="7" s="1"/>
  <c r="EV263" i="7" a="1"/>
  <c r="EV263" i="7" s="1"/>
  <c r="FX265" i="7" a="1"/>
  <c r="FX265" i="7" s="1"/>
  <c r="FX267" i="7" a="1"/>
  <c r="FX267" i="7" s="1"/>
  <c r="FT232" i="7" a="1"/>
  <c r="FT232" i="7" s="1"/>
  <c r="FU251" i="7" a="1"/>
  <c r="FU251" i="7" s="1"/>
  <c r="DV240" i="7" a="1"/>
  <c r="DV240" i="7" s="1"/>
  <c r="EV251" i="7" a="1"/>
  <c r="EV251" i="7" s="1"/>
  <c r="FW255" i="7" a="1"/>
  <c r="FW255" i="7" s="1"/>
  <c r="EW258" i="7" a="1"/>
  <c r="EW258" i="7" s="1"/>
  <c r="EI260" i="7" a="1"/>
  <c r="EI260" i="7" s="1"/>
  <c r="FY261" i="7" a="1"/>
  <c r="FY261" i="7" s="1"/>
  <c r="FD263" i="7" a="1"/>
  <c r="FD263" i="7" s="1"/>
  <c r="EI265" i="7" a="1"/>
  <c r="EI265" i="7" s="1"/>
  <c r="FY266" i="7" a="1"/>
  <c r="FY266" i="7" s="1"/>
  <c r="FZ244" i="7" a="1"/>
  <c r="FZ244" i="7" s="1"/>
  <c r="EX252" i="7" a="1"/>
  <c r="EX252" i="7" s="1"/>
  <c r="FO240" i="7" a="1"/>
  <c r="FO240" i="7" s="1"/>
  <c r="EX251" i="7" a="1"/>
  <c r="EX251" i="7" s="1"/>
  <c r="EA255" i="7" a="1"/>
  <c r="EA255" i="7" s="1"/>
  <c r="FE257" i="7" a="1"/>
  <c r="FE257" i="7" s="1"/>
  <c r="EJ259" i="7" a="1"/>
  <c r="EJ259" i="7" s="1"/>
  <c r="EL221" i="7" a="1"/>
  <c r="EL221" i="7" s="1"/>
  <c r="EL248" i="7" a="1"/>
  <c r="EL248" i="7" s="1"/>
  <c r="EO254" i="7" a="1"/>
  <c r="EO254" i="7" s="1"/>
  <c r="DU257" i="7" a="1"/>
  <c r="DU257" i="7" s="1"/>
  <c r="DQ259" i="7" a="1"/>
  <c r="DQ259" i="7" s="1"/>
  <c r="FG260" i="7" a="1"/>
  <c r="FG260" i="7" s="1"/>
  <c r="EL262" i="7" a="1"/>
  <c r="EL262" i="7" s="1"/>
  <c r="DQ264" i="7" a="1"/>
  <c r="DQ264" i="7" s="1"/>
  <c r="FG265" i="7" a="1"/>
  <c r="FG265" i="7" s="1"/>
  <c r="EC257" i="7" a="1"/>
  <c r="EC257" i="7" s="1"/>
  <c r="EY265" i="7" a="1"/>
  <c r="EY265" i="7" s="1"/>
  <c r="ER271" i="7" a="1"/>
  <c r="ER271" i="7" s="1"/>
  <c r="FZ274" i="7" a="1"/>
  <c r="FZ274" i="7" s="1"/>
  <c r="DS282" i="7" a="1"/>
  <c r="DS282" i="7" s="1"/>
  <c r="DZ285" i="7" a="1"/>
  <c r="DZ285" i="7" s="1"/>
  <c r="EG288" i="7" a="1"/>
  <c r="EG288" i="7" s="1"/>
  <c r="EN291" i="7" a="1"/>
  <c r="EN291" i="7" s="1"/>
  <c r="EK248" i="7" a="1"/>
  <c r="EK248" i="7" s="1"/>
  <c r="FL268" i="7" a="1"/>
  <c r="FL268" i="7" s="1"/>
  <c r="FS272" i="7" a="1"/>
  <c r="FS272" i="7" s="1"/>
  <c r="EO276" i="7" a="1"/>
  <c r="EO276" i="7" s="1"/>
  <c r="EC278" i="7" a="1"/>
  <c r="EC278" i="7" s="1"/>
  <c r="DQ280" i="7" a="1"/>
  <c r="DQ280" i="7" s="1"/>
  <c r="FW281" i="7" a="1"/>
  <c r="FW281" i="7" s="1"/>
  <c r="DS285" i="7" a="1"/>
  <c r="DS285" i="7" s="1"/>
  <c r="FW250" i="7" a="1"/>
  <c r="FW250" i="7" s="1"/>
  <c r="DV264" i="7" a="1"/>
  <c r="DV264" i="7" s="1"/>
  <c r="FD269" i="7" a="1"/>
  <c r="FD269" i="7" s="1"/>
  <c r="EA273" i="7" a="1"/>
  <c r="EA273" i="7" s="1"/>
  <c r="ET278" i="7" a="1"/>
  <c r="ET278" i="7" s="1"/>
  <c r="FR283" i="7" a="1"/>
  <c r="FR283" i="7" s="1"/>
  <c r="FY286" i="7" a="1"/>
  <c r="FY286" i="7" s="1"/>
  <c r="DU290" i="7" a="1"/>
  <c r="DU290" i="7" s="1"/>
  <c r="EB293" i="7" a="1"/>
  <c r="EB293" i="7" s="1"/>
  <c r="DV267" i="7" a="1"/>
  <c r="DV267" i="7" s="1"/>
  <c r="EU271" i="7" a="1"/>
  <c r="EU271" i="7" s="1"/>
  <c r="EI275" i="7" a="1"/>
  <c r="EI275" i="7" s="1"/>
  <c r="ER277" i="7" a="1"/>
  <c r="ER277" i="7" s="1"/>
  <c r="EG279" i="7" a="1"/>
  <c r="EG279" i="7" s="1"/>
  <c r="DU281" i="7" a="1"/>
  <c r="DU281" i="7" s="1"/>
  <c r="FZ283" i="7" a="1"/>
  <c r="FZ283" i="7" s="1"/>
  <c r="FY252" i="7" a="1"/>
  <c r="FY252" i="7" s="1"/>
  <c r="EX264" i="7" a="1"/>
  <c r="EX264" i="7" s="1"/>
  <c r="DU270" i="7" a="1"/>
  <c r="DU270" i="7" s="1"/>
  <c r="FC273" i="7" a="1"/>
  <c r="FC273" i="7" s="1"/>
  <c r="FV279" i="7" a="1"/>
  <c r="FV279" i="7" s="1"/>
  <c r="DW284" i="7" a="1"/>
  <c r="DW284" i="7" s="1"/>
  <c r="ER257" i="7" a="1"/>
  <c r="ER257" i="7" s="1"/>
  <c r="DU271" i="7" a="1"/>
  <c r="DU271" i="7" s="1"/>
  <c r="FC274" i="7" a="1"/>
  <c r="FC274" i="7" s="1"/>
  <c r="EC277" i="7" a="1"/>
  <c r="EC277" i="7" s="1"/>
  <c r="DQ279" i="7" a="1"/>
  <c r="DQ279" i="7" s="1"/>
  <c r="FQ280" i="7" a="1"/>
  <c r="FQ280" i="7" s="1"/>
  <c r="EW283" i="7" a="1"/>
  <c r="EW283" i="7" s="1"/>
  <c r="FZ252" i="7" a="1"/>
  <c r="FZ252" i="7" s="1"/>
  <c r="EY264" i="7" a="1"/>
  <c r="EY264" i="7" s="1"/>
  <c r="FP269" i="7" a="1"/>
  <c r="FP269" i="7" s="1"/>
  <c r="FD273" i="7" a="1"/>
  <c r="FD273" i="7" s="1"/>
  <c r="DR279" i="7" a="1"/>
  <c r="DR279" i="7" s="1"/>
  <c r="FT283" i="7" a="1"/>
  <c r="FT283" i="7" s="1"/>
  <c r="FV256" i="7" a="1"/>
  <c r="FV256" i="7" s="1"/>
  <c r="FP270" i="7" a="1"/>
  <c r="FP270" i="7" s="1"/>
  <c r="FD274" i="7" a="1"/>
  <c r="FD274" i="7" s="1"/>
  <c r="ED277" i="7" a="1"/>
  <c r="ED277" i="7" s="1"/>
  <c r="DS279" i="7" a="1"/>
  <c r="DS279" i="7" s="1"/>
  <c r="FR280" i="7" a="1"/>
  <c r="FR280" i="7" s="1"/>
  <c r="EX283" i="7" a="1"/>
  <c r="EX283" i="7" s="1"/>
  <c r="FE286" i="7" a="1"/>
  <c r="FE286" i="7" s="1"/>
  <c r="EV255" i="7" a="1"/>
  <c r="EV255" i="7" s="1"/>
  <c r="GA264" i="7" a="1"/>
  <c r="GA264" i="7" s="1"/>
  <c r="DW270" i="7" a="1"/>
  <c r="DW270" i="7" s="1"/>
  <c r="FE273" i="7" a="1"/>
  <c r="FE273" i="7" s="1"/>
  <c r="FH279" i="7" a="1"/>
  <c r="FH279" i="7" s="1"/>
  <c r="DR284" i="7" a="1"/>
  <c r="DR284" i="7" s="1"/>
  <c r="DW258" i="7" a="1"/>
  <c r="DW258" i="7" s="1"/>
  <c r="DW271" i="7" a="1"/>
  <c r="DW271" i="7" s="1"/>
  <c r="FE274" i="7" a="1"/>
  <c r="FE274" i="7" s="1"/>
  <c r="FE246" i="7" a="1"/>
  <c r="FE246" i="7" s="1"/>
  <c r="FB269" i="7" a="1"/>
  <c r="FB269" i="7" s="1"/>
  <c r="DX273" i="7" a="1"/>
  <c r="DX273" i="7" s="1"/>
  <c r="EV276" i="7" a="1"/>
  <c r="EV276" i="7" s="1"/>
  <c r="EJ278" i="7" a="1"/>
  <c r="EJ278" i="7" s="1"/>
  <c r="DX280" i="7" a="1"/>
  <c r="DX280" i="7" s="1"/>
  <c r="DZ282" i="7" a="1"/>
  <c r="DZ282" i="7" s="1"/>
  <c r="EJ246" i="7" a="1"/>
  <c r="EJ246" i="7" s="1"/>
  <c r="FL284" i="7" a="1"/>
  <c r="FL284" i="7" s="1"/>
  <c r="FO288" i="7" a="1"/>
  <c r="FO288" i="7" s="1"/>
  <c r="FR292" i="7" a="1"/>
  <c r="FR292" i="7" s="1"/>
  <c r="FT295" i="7" a="1"/>
  <c r="FT295" i="7" s="1"/>
  <c r="GA298" i="7" a="1"/>
  <c r="GA298" i="7" s="1"/>
  <c r="EY300" i="7" a="1"/>
  <c r="EY300" i="7" s="1"/>
  <c r="DW302" i="7" a="1"/>
  <c r="DW302" i="7" s="1"/>
  <c r="FF303" i="7" a="1"/>
  <c r="FF303" i="7" s="1"/>
  <c r="ED305" i="7" a="1"/>
  <c r="ED305" i="7" s="1"/>
  <c r="FM306" i="7" a="1"/>
  <c r="FM306" i="7" s="1"/>
  <c r="EK308" i="7" a="1"/>
  <c r="EK308" i="7" s="1"/>
  <c r="FT309" i="7" a="1"/>
  <c r="FT309" i="7" s="1"/>
  <c r="ER311" i="7" a="1"/>
  <c r="ER311" i="7" s="1"/>
  <c r="GA312" i="7" a="1"/>
  <c r="GA312" i="7" s="1"/>
  <c r="EY314" i="7" a="1"/>
  <c r="EY314" i="7" s="1"/>
  <c r="DW316" i="7" a="1"/>
  <c r="DW316" i="7" s="1"/>
  <c r="FF317" i="7" a="1"/>
  <c r="FF317" i="7" s="1"/>
  <c r="ED319" i="7" a="1"/>
  <c r="ED319" i="7" s="1"/>
  <c r="FM320" i="7" a="1"/>
  <c r="FM320" i="7" s="1"/>
  <c r="EK322" i="7" a="1"/>
  <c r="EK322" i="7" s="1"/>
  <c r="FT323" i="7" a="1"/>
  <c r="FT323" i="7" s="1"/>
  <c r="ER325" i="7" a="1"/>
  <c r="ER325" i="7" s="1"/>
  <c r="FG278" i="7" a="1"/>
  <c r="FG278" i="7" s="1"/>
  <c r="ED286" i="7" a="1"/>
  <c r="ED286" i="7" s="1"/>
  <c r="EU290" i="7" a="1"/>
  <c r="EU290" i="7" s="1"/>
  <c r="FQ293" i="7" a="1"/>
  <c r="FQ293" i="7" s="1"/>
  <c r="DV297" i="7" a="1"/>
  <c r="DV297" i="7" s="1"/>
  <c r="EI270" i="7" a="1"/>
  <c r="EI270" i="7" s="1"/>
  <c r="DU286" i="7" a="1"/>
  <c r="DU286" i="7" s="1"/>
  <c r="FN289" i="7" a="1"/>
  <c r="FN289" i="7" s="1"/>
  <c r="EZ293" i="7" a="1"/>
  <c r="EZ293" i="7" s="1"/>
  <c r="EV296" i="7" a="1"/>
  <c r="EV296" i="7" s="1"/>
  <c r="EL299" i="7" a="1"/>
  <c r="EL299" i="7" s="1"/>
  <c r="FU300" i="7" a="1"/>
  <c r="FU300" i="7" s="1"/>
  <c r="ES302" i="7" a="1"/>
  <c r="ES302" i="7" s="1"/>
  <c r="DQ304" i="7" a="1"/>
  <c r="DQ304" i="7" s="1"/>
  <c r="EZ305" i="7" a="1"/>
  <c r="EZ305" i="7" s="1"/>
  <c r="DX307" i="7" a="1"/>
  <c r="DX307" i="7" s="1"/>
  <c r="FG308" i="7" a="1"/>
  <c r="FG308" i="7" s="1"/>
  <c r="EE310" i="7" a="1"/>
  <c r="EE310" i="7" s="1"/>
  <c r="FN311" i="7" a="1"/>
  <c r="FN311" i="7" s="1"/>
  <c r="EL313" i="7" a="1"/>
  <c r="EL313" i="7" s="1"/>
  <c r="FU314" i="7" a="1"/>
  <c r="FU314" i="7" s="1"/>
  <c r="ES316" i="7" a="1"/>
  <c r="ES316" i="7" s="1"/>
  <c r="DQ318" i="7" a="1"/>
  <c r="DQ318" i="7" s="1"/>
  <c r="EZ319" i="7" a="1"/>
  <c r="EZ319" i="7" s="1"/>
  <c r="DX321" i="7" a="1"/>
  <c r="DX321" i="7" s="1"/>
  <c r="EJ253" i="7" a="1"/>
  <c r="EJ253" i="7" s="1"/>
  <c r="EI278" i="7" a="1"/>
  <c r="EI278" i="7" s="1"/>
  <c r="EG286" i="7" a="1"/>
  <c r="EG286" i="7" s="1"/>
  <c r="FO289" i="7" a="1"/>
  <c r="FO289" i="7" s="1"/>
  <c r="ER293" i="7" a="1"/>
  <c r="ER293" i="7" s="1"/>
  <c r="FD296" i="7" a="1"/>
  <c r="FD296" i="7" s="1"/>
  <c r="EQ270" i="7" a="1"/>
  <c r="EQ270" i="7" s="1"/>
  <c r="FB285" i="7" a="1"/>
  <c r="FB285" i="7" s="1"/>
  <c r="DX289" i="7" a="1"/>
  <c r="DX289" i="7" s="1"/>
  <c r="FC292" i="7" a="1"/>
  <c r="FC292" i="7" s="1"/>
  <c r="FO295" i="7" a="1"/>
  <c r="FO295" i="7" s="1"/>
  <c r="FV298" i="7" a="1"/>
  <c r="FV298" i="7" s="1"/>
  <c r="ET300" i="7" a="1"/>
  <c r="ET300" i="7" s="1"/>
  <c r="DR302" i="7" a="1"/>
  <c r="DR302" i="7" s="1"/>
  <c r="FA303" i="7" a="1"/>
  <c r="FA303" i="7" s="1"/>
  <c r="DY305" i="7" a="1"/>
  <c r="DY305" i="7" s="1"/>
  <c r="FH306" i="7" a="1"/>
  <c r="FH306" i="7" s="1"/>
  <c r="EF308" i="7" a="1"/>
  <c r="EF308" i="7" s="1"/>
  <c r="FO309" i="7" a="1"/>
  <c r="FO309" i="7" s="1"/>
  <c r="EX240" i="7" a="1"/>
  <c r="EX240" i="7" s="1"/>
  <c r="EM276" i="7" a="1"/>
  <c r="EM276" i="7" s="1"/>
  <c r="FQ282" i="7" a="1"/>
  <c r="FQ282" i="7" s="1"/>
  <c r="EP289" i="7" a="1"/>
  <c r="EP289" i="7" s="1"/>
  <c r="ES293" i="7" a="1"/>
  <c r="ES293" i="7" s="1"/>
  <c r="FE296" i="7" a="1"/>
  <c r="FE296" i="7" s="1"/>
  <c r="EX265" i="7" a="1"/>
  <c r="EX265" i="7" s="1"/>
  <c r="ES285" i="7" a="1"/>
  <c r="ES285" i="7" s="1"/>
  <c r="FR288" i="7" a="1"/>
  <c r="FR288" i="7" s="1"/>
  <c r="FD292" i="7" a="1"/>
  <c r="FD292" i="7" s="1"/>
  <c r="FP295" i="7" a="1"/>
  <c r="FP295" i="7" s="1"/>
  <c r="FW298" i="7" a="1"/>
  <c r="FW298" i="7" s="1"/>
  <c r="EU300" i="7" a="1"/>
  <c r="EU300" i="7" s="1"/>
  <c r="DS302" i="7" a="1"/>
  <c r="DS302" i="7" s="1"/>
  <c r="FB303" i="7" a="1"/>
  <c r="FB303" i="7" s="1"/>
  <c r="DZ305" i="7" a="1"/>
  <c r="DZ305" i="7" s="1"/>
  <c r="FI306" i="7" a="1"/>
  <c r="FI306" i="7" s="1"/>
  <c r="EG308" i="7" a="1"/>
  <c r="EG308" i="7" s="1"/>
  <c r="FP309" i="7" a="1"/>
  <c r="FP309" i="7" s="1"/>
  <c r="EN311" i="7" a="1"/>
  <c r="EN311" i="7" s="1"/>
  <c r="FW312" i="7" a="1"/>
  <c r="FW312" i="7" s="1"/>
  <c r="EE267" i="7" a="1"/>
  <c r="EE267" i="7" s="1"/>
  <c r="EK279" i="7" a="1"/>
  <c r="EK279" i="7" s="1"/>
  <c r="ES286" i="7" a="1"/>
  <c r="ES286" i="7" s="1"/>
  <c r="EG290" i="7" a="1"/>
  <c r="EG290" i="7" s="1"/>
  <c r="DZ294" i="7" a="1"/>
  <c r="DZ294" i="7" s="1"/>
  <c r="EG297" i="7" a="1"/>
  <c r="EG297" i="7" s="1"/>
  <c r="EZ270" i="7" a="1"/>
  <c r="EZ270" i="7" s="1"/>
  <c r="DZ286" i="7" a="1"/>
  <c r="DZ286" i="7" s="1"/>
  <c r="FJ289" i="7" a="1"/>
  <c r="FJ289" i="7" s="1"/>
  <c r="EU293" i="7" a="1"/>
  <c r="EU293" i="7" s="1"/>
  <c r="EY296" i="7" a="1"/>
  <c r="EY296" i="7" s="1"/>
  <c r="EH299" i="7" a="1"/>
  <c r="EH299" i="7" s="1"/>
  <c r="FQ300" i="7" a="1"/>
  <c r="FQ300" i="7" s="1"/>
  <c r="EO302" i="7" a="1"/>
  <c r="EO302" i="7" s="1"/>
  <c r="FX303" i="7" a="1"/>
  <c r="FX303" i="7" s="1"/>
  <c r="EV305" i="7" a="1"/>
  <c r="EV305" i="7" s="1"/>
  <c r="DT307" i="7" a="1"/>
  <c r="DT307" i="7" s="1"/>
  <c r="FC308" i="7" a="1"/>
  <c r="FC308" i="7" s="1"/>
  <c r="EA310" i="7" a="1"/>
  <c r="EA310" i="7" s="1"/>
  <c r="GA269" i="7" a="1"/>
  <c r="GA269" i="7" s="1"/>
  <c r="FL280" i="7" a="1"/>
  <c r="FL280" i="7" s="1"/>
  <c r="EJ287" i="7" a="1"/>
  <c r="EJ287" i="7" s="1"/>
  <c r="EG291" i="7" a="1"/>
  <c r="EG291" i="7" s="1"/>
  <c r="FT294" i="7" a="1"/>
  <c r="FT294" i="7" s="1"/>
  <c r="GA297" i="7" a="1"/>
  <c r="GA297" i="7" s="1"/>
  <c r="FC276" i="7" a="1"/>
  <c r="FC276" i="7" s="1"/>
  <c r="EA287" i="7" a="1"/>
  <c r="EA287" i="7" s="1"/>
  <c r="DW272" i="7" a="1"/>
  <c r="DW272" i="7" s="1"/>
  <c r="FL281" i="7" a="1"/>
  <c r="FL281" i="7" s="1"/>
  <c r="DU288" i="7" a="1"/>
  <c r="DU288" i="7" s="1"/>
  <c r="EO275" i="7" a="1"/>
  <c r="EO275" i="7" s="1"/>
  <c r="FS286" i="7" a="1"/>
  <c r="FS286" i="7" s="1"/>
  <c r="EG277" i="7" a="1"/>
  <c r="EG277" i="7" s="1"/>
  <c r="FV283" i="7" a="1"/>
  <c r="FV283" i="7" s="1"/>
  <c r="DS290" i="7" a="1"/>
  <c r="DS290" i="7" s="1"/>
  <c r="FG293" i="7" a="1"/>
  <c r="FG293" i="7" s="1"/>
  <c r="FQ296" i="7" a="1"/>
  <c r="FQ296" i="7" s="1"/>
  <c r="EN293" i="7" a="1"/>
  <c r="EN293" i="7" s="1"/>
  <c r="FE303" i="7" a="1"/>
  <c r="FE303" i="7" s="1"/>
  <c r="DV309" i="7" a="1"/>
  <c r="DV309" i="7" s="1"/>
  <c r="DV316" i="7" a="1"/>
  <c r="DV316" i="7" s="1"/>
  <c r="EU320" i="7" a="1"/>
  <c r="EU320" i="7" s="1"/>
  <c r="DX327" i="7" a="1"/>
  <c r="DX327" i="7" s="1"/>
  <c r="EE330" i="7" a="1"/>
  <c r="EE330" i="7" s="1"/>
  <c r="EL333" i="7" a="1"/>
  <c r="EL333" i="7" s="1"/>
  <c r="ES336" i="7" a="1"/>
  <c r="ES336" i="7" s="1"/>
  <c r="EZ339" i="7" a="1"/>
  <c r="EZ339" i="7" s="1"/>
  <c r="FG342" i="7" a="1"/>
  <c r="FG342" i="7" s="1"/>
  <c r="FN345" i="7" a="1"/>
  <c r="FN345" i="7" s="1"/>
  <c r="FU348" i="7" a="1"/>
  <c r="FU348" i="7" s="1"/>
  <c r="ES350" i="7" a="1"/>
  <c r="ES350" i="7" s="1"/>
  <c r="DQ352" i="7" a="1"/>
  <c r="DQ352" i="7" s="1"/>
  <c r="EZ353" i="7" a="1"/>
  <c r="EZ353" i="7" s="1"/>
  <c r="DX355" i="7" a="1"/>
  <c r="DX355" i="7" s="1"/>
  <c r="FG356" i="7" a="1"/>
  <c r="FG356" i="7" s="1"/>
  <c r="EE358" i="7" a="1"/>
  <c r="EE358" i="7" s="1"/>
  <c r="FN359" i="7" a="1"/>
  <c r="FN359" i="7" s="1"/>
  <c r="EL361" i="7" a="1"/>
  <c r="EL361" i="7" s="1"/>
  <c r="EV298" i="7" a="1"/>
  <c r="EV298" i="7" s="1"/>
  <c r="EP313" i="7" a="1"/>
  <c r="EP313" i="7" s="1"/>
  <c r="EW317" i="7" a="1"/>
  <c r="EW317" i="7" s="1"/>
  <c r="FV321" i="7" a="1"/>
  <c r="FV321" i="7" s="1"/>
  <c r="EN169" i="7" a="1"/>
  <c r="EN169" i="7" s="1"/>
  <c r="DT196" i="7" a="1"/>
  <c r="DT196" i="7" s="1"/>
  <c r="DX192" i="7" a="1"/>
  <c r="DX192" i="7" s="1"/>
  <c r="EW191" i="7" a="1"/>
  <c r="EW191" i="7" s="1"/>
  <c r="EZ156" i="7" a="1"/>
  <c r="EZ156" i="7" s="1"/>
  <c r="FU209" i="7" a="1"/>
  <c r="FU209" i="7" s="1"/>
  <c r="DS207" i="7" a="1"/>
  <c r="DS207" i="7" s="1"/>
  <c r="DS199" i="7" a="1"/>
  <c r="DS199" i="7" s="1"/>
  <c r="EJ190" i="7" a="1"/>
  <c r="EJ190" i="7" s="1"/>
  <c r="DZ187" i="7" a="1"/>
  <c r="DZ187" i="7" s="1"/>
  <c r="EQ172" i="7" a="1"/>
  <c r="EQ172" i="7" s="1"/>
  <c r="DU185" i="7" a="1"/>
  <c r="DU185" i="7" s="1"/>
  <c r="EX132" i="7" a="1"/>
  <c r="EX132" i="7" s="1"/>
  <c r="FY221" i="7" a="1"/>
  <c r="FY221" i="7" s="1"/>
  <c r="FF231" i="7" a="1"/>
  <c r="FF231" i="7" s="1"/>
  <c r="EU202" i="7" a="1"/>
  <c r="EU202" i="7" s="1"/>
  <c r="FT215" i="7" a="1"/>
  <c r="FT215" i="7" s="1"/>
  <c r="FG208" i="7" a="1"/>
  <c r="FG208" i="7" s="1"/>
  <c r="FC224" i="7" a="1"/>
  <c r="FC224" i="7" s="1"/>
  <c r="FB214" i="7" a="1"/>
  <c r="FB214" i="7" s="1"/>
  <c r="ET222" i="7" a="1"/>
  <c r="ET222" i="7" s="1"/>
  <c r="FO220" i="7" a="1"/>
  <c r="FO220" i="7" s="1"/>
  <c r="FT214" i="7" a="1"/>
  <c r="FT214" i="7" s="1"/>
  <c r="DX225" i="7" a="1"/>
  <c r="DX225" i="7" s="1"/>
  <c r="FH213" i="7" a="1"/>
  <c r="FH213" i="7" s="1"/>
  <c r="EZ213" i="7" a="1"/>
  <c r="EZ213" i="7" s="1"/>
  <c r="FX220" i="7" a="1"/>
  <c r="FX220" i="7" s="1"/>
  <c r="FY217" i="7" a="1"/>
  <c r="FY217" i="7" s="1"/>
  <c r="EK211" i="7" a="1"/>
  <c r="EK211" i="7" s="1"/>
  <c r="FG211" i="7" a="1"/>
  <c r="FG211" i="7" s="1"/>
  <c r="FI211" i="7" a="1"/>
  <c r="FI211" i="7" s="1"/>
  <c r="FS233" i="7" a="1"/>
  <c r="FS233" i="7" s="1"/>
  <c r="EP225" i="7" a="1"/>
  <c r="EP225" i="7" s="1"/>
  <c r="DQ238" i="7" a="1"/>
  <c r="DQ238" i="7" s="1"/>
  <c r="DT224" i="7" a="1"/>
  <c r="DT224" i="7" s="1"/>
  <c r="EK215" i="7" a="1"/>
  <c r="EK215" i="7" s="1"/>
  <c r="EW231" i="7" a="1"/>
  <c r="EW231" i="7" s="1"/>
  <c r="FL167" i="7" a="1"/>
  <c r="FL167" i="7" s="1"/>
  <c r="FB229" i="7" a="1"/>
  <c r="FB229" i="7" s="1"/>
  <c r="DZ225" i="7" a="1"/>
  <c r="DZ225" i="7" s="1"/>
  <c r="FP235" i="7" a="1"/>
  <c r="FP235" i="7" s="1"/>
  <c r="DX223" i="7" a="1"/>
  <c r="DX223" i="7" s="1"/>
  <c r="EE235" i="7" a="1"/>
  <c r="EE235" i="7" s="1"/>
  <c r="FL229" i="7" a="1"/>
  <c r="FL229" i="7" s="1"/>
  <c r="FX238" i="7" a="1"/>
  <c r="FX238" i="7" s="1"/>
  <c r="FM229" i="7" a="1"/>
  <c r="FM229" i="7" s="1"/>
  <c r="EZ219" i="7" a="1"/>
  <c r="EZ219" i="7" s="1"/>
  <c r="FZ235" i="7" a="1"/>
  <c r="FZ235" i="7" s="1"/>
  <c r="FA226" i="7" a="1"/>
  <c r="FA226" i="7" s="1"/>
  <c r="FS235" i="7" a="1"/>
  <c r="FS235" i="7" s="1"/>
  <c r="EC238" i="7" a="1"/>
  <c r="EC238" i="7" s="1"/>
  <c r="EM248" i="7" a="1"/>
  <c r="EM248" i="7" s="1"/>
  <c r="DW255" i="7" a="1"/>
  <c r="DW255" i="7" s="1"/>
  <c r="EQ241" i="7" a="1"/>
  <c r="EQ241" i="7" s="1"/>
  <c r="FO249" i="7" a="1"/>
  <c r="FO249" i="7" s="1"/>
  <c r="EC240" i="7" a="1"/>
  <c r="EC240" i="7" s="1"/>
  <c r="EZ249" i="7" a="1"/>
  <c r="EZ249" i="7" s="1"/>
  <c r="FG255" i="7" a="1"/>
  <c r="FG255" i="7" s="1"/>
  <c r="FO241" i="7" a="1"/>
  <c r="FO241" i="7" s="1"/>
  <c r="FF247" i="7" a="1"/>
  <c r="FF247" i="7" s="1"/>
  <c r="FC251" i="7" a="1"/>
  <c r="FC251" i="7" s="1"/>
  <c r="DV239" i="7" a="1"/>
  <c r="DV239" i="7" s="1"/>
  <c r="EU243" i="7" a="1"/>
  <c r="EU243" i="7" s="1"/>
  <c r="EO248" i="7" a="1"/>
  <c r="EO248" i="7" s="1"/>
  <c r="EO235" i="7" a="1"/>
  <c r="EO235" i="7" s="1"/>
  <c r="FC243" i="7" a="1"/>
  <c r="FC243" i="7" s="1"/>
  <c r="EW248" i="7" a="1"/>
  <c r="EW248" i="7" s="1"/>
  <c r="ET252" i="7" a="1"/>
  <c r="ET252" i="7" s="1"/>
  <c r="FD240" i="7" a="1"/>
  <c r="FD240" i="7" s="1"/>
  <c r="FA244" i="7" a="1"/>
  <c r="FA244" i="7" s="1"/>
  <c r="FE248" i="7" a="1"/>
  <c r="FE248" i="7" s="1"/>
  <c r="FJ216" i="7" a="1"/>
  <c r="FJ216" i="7" s="1"/>
  <c r="EE241" i="7" a="1"/>
  <c r="EE241" i="7" s="1"/>
  <c r="DR246" i="7" a="1"/>
  <c r="DR246" i="7" s="1"/>
  <c r="DV250" i="7" a="1"/>
  <c r="DV250" i="7" s="1"/>
  <c r="DQ236" i="7" a="1"/>
  <c r="DQ236" i="7" s="1"/>
  <c r="EW243" i="7" a="1"/>
  <c r="EW243" i="7" s="1"/>
  <c r="ET247" i="7" a="1"/>
  <c r="ET247" i="7" s="1"/>
  <c r="FC217" i="7" a="1"/>
  <c r="FC217" i="7" s="1"/>
  <c r="FY238" i="7" a="1"/>
  <c r="FY238" i="7" s="1"/>
  <c r="FO243" i="7" a="1"/>
  <c r="FO243" i="7" s="1"/>
  <c r="FK244" i="7" a="1"/>
  <c r="FK244" i="7" s="1"/>
  <c r="EB253" i="7" a="1"/>
  <c r="EB253" i="7" s="1"/>
  <c r="ER248" i="7" a="1"/>
  <c r="ER248" i="7" s="1"/>
  <c r="FR255" i="7" a="1"/>
  <c r="FR255" i="7" s="1"/>
  <c r="EM258" i="7" a="1"/>
  <c r="EM258" i="7" s="1"/>
  <c r="FO260" i="7" a="1"/>
  <c r="FO260" i="7" s="1"/>
  <c r="FO262" i="7" a="1"/>
  <c r="FO262" i="7" s="1"/>
  <c r="EF265" i="7" a="1"/>
  <c r="EF265" i="7" s="1"/>
  <c r="EF267" i="7" a="1"/>
  <c r="EF267" i="7" s="1"/>
  <c r="EF269" i="7" a="1"/>
  <c r="EF269" i="7" s="1"/>
  <c r="FH271" i="7" a="1"/>
  <c r="FH271" i="7" s="1"/>
  <c r="FH273" i="7" a="1"/>
  <c r="FH273" i="7" s="1"/>
  <c r="DY276" i="7" a="1"/>
  <c r="DY276" i="7" s="1"/>
  <c r="DW250" i="7" a="1"/>
  <c r="DW250" i="7" s="1"/>
  <c r="EA223" i="7" a="1"/>
  <c r="EA223" i="7" s="1"/>
  <c r="FH252" i="7" a="1"/>
  <c r="FH252" i="7" s="1"/>
  <c r="EV256" i="7" a="1"/>
  <c r="EV256" i="7" s="1"/>
  <c r="EN259" i="7" a="1"/>
  <c r="EN259" i="7" s="1"/>
  <c r="EN261" i="7" a="1"/>
  <c r="EN261" i="7" s="1"/>
  <c r="EN263" i="7" a="1"/>
  <c r="EN263" i="7" s="1"/>
  <c r="FP265" i="7" a="1"/>
  <c r="FP265" i="7" s="1"/>
  <c r="FP267" i="7" a="1"/>
  <c r="FP267" i="7" s="1"/>
  <c r="EW238" i="7" a="1"/>
  <c r="EW238" i="7" s="1"/>
  <c r="FF251" i="7" a="1"/>
  <c r="FF251" i="7" s="1"/>
  <c r="EW241" i="7" a="1"/>
  <c r="EW241" i="7" s="1"/>
  <c r="EG253" i="7" a="1"/>
  <c r="EG253" i="7" s="1"/>
  <c r="FQ256" i="7" a="1"/>
  <c r="FQ256" i="7" s="1"/>
  <c r="FC259" i="7" a="1"/>
  <c r="FC259" i="7" s="1"/>
  <c r="FC261" i="7" a="1"/>
  <c r="FC261" i="7" s="1"/>
  <c r="FC263" i="7" a="1"/>
  <c r="FC263" i="7" s="1"/>
  <c r="DT266" i="7" a="1"/>
  <c r="DT266" i="7" s="1"/>
  <c r="DT268" i="7" a="1"/>
  <c r="DT268" i="7" s="1"/>
  <c r="DZ241" i="7" a="1"/>
  <c r="DZ241" i="7" s="1"/>
  <c r="DX252" i="7" a="1"/>
  <c r="DX252" i="7" s="1"/>
  <c r="GA241" i="7" a="1"/>
  <c r="GA241" i="7" s="1"/>
  <c r="FH251" i="7" a="1"/>
  <c r="FH251" i="7" s="1"/>
  <c r="DU256" i="7" a="1"/>
  <c r="DU256" i="7" s="1"/>
  <c r="FK258" i="7" a="1"/>
  <c r="FK258" i="7" s="1"/>
  <c r="EP260" i="7" a="1"/>
  <c r="EP260" i="7" s="1"/>
  <c r="DU262" i="7" a="1"/>
  <c r="DU262" i="7" s="1"/>
  <c r="FK263" i="7" a="1"/>
  <c r="FK263" i="7" s="1"/>
  <c r="EP265" i="7" a="1"/>
  <c r="EP265" i="7" s="1"/>
  <c r="DU267" i="7" a="1"/>
  <c r="DU267" i="7" s="1"/>
  <c r="ER245" i="7" a="1"/>
  <c r="ER245" i="7" s="1"/>
  <c r="FX252" i="7" a="1"/>
  <c r="FX252" i="7" s="1"/>
  <c r="EG241" i="7" a="1"/>
  <c r="EG241" i="7" s="1"/>
  <c r="FK251" i="7" a="1"/>
  <c r="FK251" i="7" s="1"/>
  <c r="EJ255" i="7" a="1"/>
  <c r="EJ255" i="7" s="1"/>
  <c r="FL257" i="7" a="1"/>
  <c r="FL257" i="7" s="1"/>
  <c r="EQ259" i="7" a="1"/>
  <c r="EQ259" i="7" s="1"/>
  <c r="EE236" i="7" a="1"/>
  <c r="EE236" i="7" s="1"/>
  <c r="DR250" i="7" a="1"/>
  <c r="DR250" i="7" s="1"/>
  <c r="FV254" i="7" a="1"/>
  <c r="FV254" i="7" s="1"/>
  <c r="ES257" i="7" a="1"/>
  <c r="ES257" i="7" s="1"/>
  <c r="DX259" i="7" a="1"/>
  <c r="DX259" i="7" s="1"/>
  <c r="FN260" i="7" a="1"/>
  <c r="FN260" i="7" s="1"/>
  <c r="ES262" i="7" a="1"/>
  <c r="ES262" i="7" s="1"/>
  <c r="DX264" i="7" a="1"/>
  <c r="DX264" i="7" s="1"/>
  <c r="FN265" i="7" a="1"/>
  <c r="FN265" i="7" s="1"/>
  <c r="FM257" i="7" a="1"/>
  <c r="FM257" i="7" s="1"/>
  <c r="FZ265" i="7" a="1"/>
  <c r="FZ265" i="7" s="1"/>
  <c r="FB271" i="7" a="1"/>
  <c r="FB271" i="7" s="1"/>
  <c r="EP275" i="7" a="1"/>
  <c r="EP275" i="7" s="1"/>
  <c r="EH282" i="7" a="1"/>
  <c r="EH282" i="7" s="1"/>
  <c r="EO285" i="7" a="1"/>
  <c r="EO285" i="7" s="1"/>
  <c r="EV288" i="7" a="1"/>
  <c r="EV288" i="7" s="1"/>
  <c r="FC291" i="7" a="1"/>
  <c r="FC291" i="7" s="1"/>
  <c r="FL249" i="7" a="1"/>
  <c r="FL249" i="7" s="1"/>
  <c r="ER269" i="7" a="1"/>
  <c r="ER269" i="7" s="1"/>
  <c r="EI273" i="7" a="1"/>
  <c r="EI273" i="7" s="1"/>
  <c r="EW276" i="7" a="1"/>
  <c r="EW276" i="7" s="1"/>
  <c r="EK278" i="7" a="1"/>
  <c r="EK278" i="7" s="1"/>
  <c r="DZ280" i="7" a="1"/>
  <c r="DZ280" i="7" s="1"/>
  <c r="EA282" i="7" a="1"/>
  <c r="EA282" i="7" s="1"/>
  <c r="EH285" i="7" a="1"/>
  <c r="EH285" i="7" s="1"/>
  <c r="FO252" i="7" a="1"/>
  <c r="FO252" i="7" s="1"/>
  <c r="ER264" i="7" a="1"/>
  <c r="ER264" i="7" s="1"/>
  <c r="FU269" i="7" a="1"/>
  <c r="FU269" i="7" s="1"/>
  <c r="ER273" i="7" a="1"/>
  <c r="ER273" i="7" s="1"/>
  <c r="EF279" i="7" a="1"/>
  <c r="EF279" i="7" s="1"/>
  <c r="DV284" i="7" a="1"/>
  <c r="DV284" i="7" s="1"/>
  <c r="EC287" i="7" a="1"/>
  <c r="EC287" i="7" s="1"/>
  <c r="EJ290" i="7" a="1"/>
  <c r="EJ290" i="7" s="1"/>
  <c r="EQ293" i="7" a="1"/>
  <c r="EQ293" i="7" s="1"/>
  <c r="EL267" i="7" a="1"/>
  <c r="EL267" i="7" s="1"/>
  <c r="FL271" i="7" a="1"/>
  <c r="FL271" i="7" s="1"/>
  <c r="EZ275" i="7" a="1"/>
  <c r="EZ275" i="7" s="1"/>
  <c r="EZ277" i="7" a="1"/>
  <c r="EZ277" i="7" s="1"/>
  <c r="EO279" i="7" a="1"/>
  <c r="EO279" i="7" s="1"/>
  <c r="EC281" i="7" a="1"/>
  <c r="EC281" i="7" s="1"/>
  <c r="ED284" i="7" a="1"/>
  <c r="ED284" i="7" s="1"/>
  <c r="FH253" i="7" a="1"/>
  <c r="FH253" i="7" s="1"/>
  <c r="FT264" i="7" a="1"/>
  <c r="FT264" i="7" s="1"/>
  <c r="EL270" i="7" a="1"/>
  <c r="EL270" i="7" s="1"/>
  <c r="FT273" i="7" a="1"/>
  <c r="FT273" i="7" s="1"/>
  <c r="FH280" i="7" a="1"/>
  <c r="FH280" i="7" s="1"/>
  <c r="EL284" i="7" a="1"/>
  <c r="EL284" i="7" s="1"/>
  <c r="GA258" i="7" a="1"/>
  <c r="GA258" i="7" s="1"/>
  <c r="EL271" i="7" a="1"/>
  <c r="EL271" i="7" s="1"/>
  <c r="FT274" i="7" a="1"/>
  <c r="FT274" i="7" s="1"/>
  <c r="EK277" i="7" a="1"/>
  <c r="EK277" i="7" s="1"/>
  <c r="DZ279" i="7" a="1"/>
  <c r="DZ279" i="7" s="1"/>
  <c r="FY280" i="7" a="1"/>
  <c r="FY280" i="7" s="1"/>
  <c r="FL283" i="7" a="1"/>
  <c r="FL283" i="7" s="1"/>
  <c r="FI254" i="7" a="1"/>
  <c r="FI254" i="7" s="1"/>
  <c r="FZ264" i="7" a="1"/>
  <c r="FZ264" i="7" s="1"/>
  <c r="DV270" i="7" a="1"/>
  <c r="DV270" i="7" s="1"/>
  <c r="FU273" i="7" a="1"/>
  <c r="FU273" i="7" s="1"/>
  <c r="FO279" i="7" a="1"/>
  <c r="FO279" i="7" s="1"/>
  <c r="DX284" i="7" a="1"/>
  <c r="DX284" i="7" s="1"/>
  <c r="EY258" i="7" a="1"/>
  <c r="EY258" i="7" s="1"/>
  <c r="DV271" i="7" a="1"/>
  <c r="DV271" i="7" s="1"/>
  <c r="FU274" i="7" a="1"/>
  <c r="FU274" i="7" s="1"/>
  <c r="EL277" i="7" a="1"/>
  <c r="EL277" i="7" s="1"/>
  <c r="EA279" i="7" a="1"/>
  <c r="EA279" i="7" s="1"/>
  <c r="FZ280" i="7" a="1"/>
  <c r="FZ280" i="7" s="1"/>
  <c r="FM283" i="7" a="1"/>
  <c r="FM283" i="7" s="1"/>
  <c r="FT286" i="7" a="1"/>
  <c r="FT286" i="7" s="1"/>
  <c r="EY257" i="7" a="1"/>
  <c r="EY257" i="7" s="1"/>
  <c r="EQ265" i="7" a="1"/>
  <c r="EQ265" i="7" s="1"/>
  <c r="EG270" i="7" a="1"/>
  <c r="EG270" i="7" s="1"/>
  <c r="DU274" i="7" a="1"/>
  <c r="DU274" i="7" s="1"/>
  <c r="ET280" i="7" a="1"/>
  <c r="ET280" i="7" s="1"/>
  <c r="EG284" i="7" a="1"/>
  <c r="EG284" i="7" s="1"/>
  <c r="FF259" i="7" a="1"/>
  <c r="FF259" i="7" s="1"/>
  <c r="EG271" i="7" a="1"/>
  <c r="EG271" i="7" s="1"/>
  <c r="DU275" i="7" a="1"/>
  <c r="DU275" i="7" s="1"/>
  <c r="FI250" i="7" a="1"/>
  <c r="FI250" i="7" s="1"/>
  <c r="FK269" i="7" a="1"/>
  <c r="FK269" i="7" s="1"/>
  <c r="EH273" i="7" a="1"/>
  <c r="EH273" i="7" s="1"/>
  <c r="FD276" i="7" a="1"/>
  <c r="FD276" i="7" s="1"/>
  <c r="ER278" i="7" a="1"/>
  <c r="ER278" i="7" s="1"/>
  <c r="EG280" i="7" a="1"/>
  <c r="EG280" i="7" s="1"/>
  <c r="EO282" i="7" a="1"/>
  <c r="EO282" i="7" s="1"/>
  <c r="DW263" i="7" a="1"/>
  <c r="DW263" i="7" s="1"/>
  <c r="DX285" i="7" a="1"/>
  <c r="DX285" i="7" s="1"/>
  <c r="DU289" i="7" a="1"/>
  <c r="DU289" i="7" s="1"/>
  <c r="DX293" i="7" a="1"/>
  <c r="DX293" i="7" s="1"/>
  <c r="DX296" i="7" a="1"/>
  <c r="DX296" i="7" s="1"/>
  <c r="DW299" i="7" a="1"/>
  <c r="DW299" i="7" s="1"/>
  <c r="FF300" i="7" a="1"/>
  <c r="FF300" i="7" s="1"/>
  <c r="ED302" i="7" a="1"/>
  <c r="ED302" i="7" s="1"/>
  <c r="FM303" i="7" a="1"/>
  <c r="FM303" i="7" s="1"/>
  <c r="EK305" i="7" a="1"/>
  <c r="EK305" i="7" s="1"/>
  <c r="FT306" i="7" a="1"/>
  <c r="FT306" i="7" s="1"/>
  <c r="ER308" i="7" a="1"/>
  <c r="ER308" i="7" s="1"/>
  <c r="GA309" i="7" a="1"/>
  <c r="GA309" i="7" s="1"/>
  <c r="EY311" i="7" a="1"/>
  <c r="EY311" i="7" s="1"/>
  <c r="DW313" i="7" a="1"/>
  <c r="DW313" i="7" s="1"/>
  <c r="FF314" i="7" a="1"/>
  <c r="FF314" i="7" s="1"/>
  <c r="ED316" i="7" a="1"/>
  <c r="ED316" i="7" s="1"/>
  <c r="FM317" i="7" a="1"/>
  <c r="FM317" i="7" s="1"/>
  <c r="EK319" i="7" a="1"/>
  <c r="EK319" i="7" s="1"/>
  <c r="FT320" i="7" a="1"/>
  <c r="FT320" i="7" s="1"/>
  <c r="ER322" i="7" a="1"/>
  <c r="ER322" i="7" s="1"/>
  <c r="GA323" i="7" a="1"/>
  <c r="GA323" i="7" s="1"/>
  <c r="FB231" i="7" a="1"/>
  <c r="FB231" i="7" s="1"/>
  <c r="EB279" i="7" a="1"/>
  <c r="EB279" i="7" s="1"/>
  <c r="FK286" i="7" a="1"/>
  <c r="FK286" i="7" s="1"/>
  <c r="FL290" i="7" a="1"/>
  <c r="FL290" i="7" s="1"/>
  <c r="ED294" i="7" a="1"/>
  <c r="ED294" i="7" s="1"/>
  <c r="EK297" i="7" a="1"/>
  <c r="EK297" i="7" s="1"/>
  <c r="FG271" i="7" a="1"/>
  <c r="FG271" i="7" s="1"/>
  <c r="EZ286" i="7" a="1"/>
  <c r="EZ286" i="7" s="1"/>
  <c r="FW289" i="7" a="1"/>
  <c r="FW289" i="7" s="1"/>
  <c r="FI293" i="7" a="1"/>
  <c r="FI293" i="7" s="1"/>
  <c r="FK296" i="7" a="1"/>
  <c r="FK296" i="7" s="1"/>
  <c r="ES299" i="7" a="1"/>
  <c r="ES299" i="7" s="1"/>
  <c r="DQ301" i="7" a="1"/>
  <c r="DQ301" i="7" s="1"/>
  <c r="EZ302" i="7" a="1"/>
  <c r="EZ302" i="7" s="1"/>
  <c r="DX304" i="7" a="1"/>
  <c r="DX304" i="7" s="1"/>
  <c r="FG305" i="7" a="1"/>
  <c r="FG305" i="7" s="1"/>
  <c r="EE307" i="7" a="1"/>
  <c r="EE307" i="7" s="1"/>
  <c r="FN308" i="7" a="1"/>
  <c r="FN308" i="7" s="1"/>
  <c r="EL310" i="7" a="1"/>
  <c r="EL310" i="7" s="1"/>
  <c r="FU311" i="7" a="1"/>
  <c r="FU311" i="7" s="1"/>
  <c r="ES313" i="7" a="1"/>
  <c r="ES313" i="7" s="1"/>
  <c r="DQ315" i="7" a="1"/>
  <c r="DQ315" i="7" s="1"/>
  <c r="EZ316" i="7" a="1"/>
  <c r="EZ316" i="7" s="1"/>
  <c r="DX318" i="7" a="1"/>
  <c r="DX318" i="7" s="1"/>
  <c r="FG319" i="7" a="1"/>
  <c r="FG319" i="7" s="1"/>
  <c r="EE321" i="7" a="1"/>
  <c r="EE321" i="7" s="1"/>
  <c r="DT257" i="7" a="1"/>
  <c r="DT257" i="7" s="1"/>
  <c r="FN278" i="7" a="1"/>
  <c r="FN278" i="7" s="1"/>
  <c r="EQ286" i="7" a="1"/>
  <c r="EQ286" i="7" s="1"/>
  <c r="FX289" i="7" a="1"/>
  <c r="FX289" i="7" s="1"/>
  <c r="FA293" i="7" a="1"/>
  <c r="FA293" i="7" s="1"/>
  <c r="FS296" i="7" a="1"/>
  <c r="FS296" i="7" s="1"/>
  <c r="EP272" i="7" a="1"/>
  <c r="EP272" i="7" s="1"/>
  <c r="FM285" i="7" a="1"/>
  <c r="FM285" i="7" s="1"/>
  <c r="EG289" i="7" a="1"/>
  <c r="EG289" i="7" s="1"/>
  <c r="FT292" i="7" a="1"/>
  <c r="FT292" i="7" s="1"/>
  <c r="DS296" i="7" a="1"/>
  <c r="DS296" i="7" s="1"/>
  <c r="DR299" i="7" a="1"/>
  <c r="DR299" i="7" s="1"/>
  <c r="FA300" i="7" a="1"/>
  <c r="FA300" i="7" s="1"/>
  <c r="DY302" i="7" a="1"/>
  <c r="DY302" i="7" s="1"/>
  <c r="FH303" i="7" a="1"/>
  <c r="FH303" i="7" s="1"/>
  <c r="EF305" i="7" a="1"/>
  <c r="EF305" i="7" s="1"/>
  <c r="FO306" i="7" a="1"/>
  <c r="FO306" i="7" s="1"/>
  <c r="EM308" i="7" a="1"/>
  <c r="EM308" i="7" s="1"/>
  <c r="FV309" i="7" a="1"/>
  <c r="FV309" i="7" s="1"/>
  <c r="EI249" i="7" a="1"/>
  <c r="EI249" i="7" s="1"/>
  <c r="GA276" i="7" a="1"/>
  <c r="GA276" i="7" s="1"/>
  <c r="FT284" i="7" a="1"/>
  <c r="FT284" i="7" s="1"/>
  <c r="FG289" i="7" a="1"/>
  <c r="FG289" i="7" s="1"/>
  <c r="FB293" i="7" a="1"/>
  <c r="FB293" i="7" s="1"/>
  <c r="FT296" i="7" a="1"/>
  <c r="FT296" i="7" s="1"/>
  <c r="DU269" i="7" a="1"/>
  <c r="DU269" i="7" s="1"/>
  <c r="FC285" i="7" a="1"/>
  <c r="FC285" i="7" s="1"/>
  <c r="EH289" i="7" a="1"/>
  <c r="EH289" i="7" s="1"/>
  <c r="FU292" i="7" a="1"/>
  <c r="FU292" i="7" s="1"/>
  <c r="DT296" i="7" a="1"/>
  <c r="DT296" i="7" s="1"/>
  <c r="DS299" i="7" a="1"/>
  <c r="DS299" i="7" s="1"/>
  <c r="FB300" i="7" a="1"/>
  <c r="FB300" i="7" s="1"/>
  <c r="DZ302" i="7" a="1"/>
  <c r="DZ302" i="7" s="1"/>
  <c r="FI303" i="7" a="1"/>
  <c r="FI303" i="7" s="1"/>
  <c r="EG305" i="7" a="1"/>
  <c r="EG305" i="7" s="1"/>
  <c r="FP306" i="7" a="1"/>
  <c r="FP306" i="7" s="1"/>
  <c r="EN308" i="7" a="1"/>
  <c r="EN308" i="7" s="1"/>
  <c r="FW309" i="7" a="1"/>
  <c r="FW309" i="7" s="1"/>
  <c r="EU311" i="7" a="1"/>
  <c r="EU311" i="7" s="1"/>
  <c r="DS313" i="7" a="1"/>
  <c r="DS313" i="7" s="1"/>
  <c r="EL268" i="7" a="1"/>
  <c r="EL268" i="7" s="1"/>
  <c r="FQ279" i="7" a="1"/>
  <c r="FQ279" i="7" s="1"/>
  <c r="FO286" i="7" a="1"/>
  <c r="FO286" i="7" s="1"/>
  <c r="FH290" i="7" a="1"/>
  <c r="FH290" i="7" s="1"/>
  <c r="EO294" i="7" a="1"/>
  <c r="EO294" i="7" s="1"/>
  <c r="EV297" i="7" a="1"/>
  <c r="EV297" i="7" s="1"/>
  <c r="EH271" i="7" a="1"/>
  <c r="EH271" i="7" s="1"/>
  <c r="EJ286" i="7" a="1"/>
  <c r="EJ286" i="7" s="1"/>
  <c r="GA289" i="7" a="1"/>
  <c r="GA289" i="7" s="1"/>
  <c r="FL293" i="7" a="1"/>
  <c r="FL293" i="7" s="1"/>
  <c r="FN296" i="7" a="1"/>
  <c r="FN296" i="7" s="1"/>
  <c r="EO299" i="7" a="1"/>
  <c r="EO299" i="7" s="1"/>
  <c r="FX300" i="7" a="1"/>
  <c r="FX300" i="7" s="1"/>
  <c r="EV302" i="7" a="1"/>
  <c r="EV302" i="7" s="1"/>
  <c r="DT304" i="7" a="1"/>
  <c r="DT304" i="7" s="1"/>
  <c r="FC305" i="7" a="1"/>
  <c r="FC305" i="7" s="1"/>
  <c r="EA307" i="7" a="1"/>
  <c r="EA307" i="7" s="1"/>
  <c r="FJ308" i="7" a="1"/>
  <c r="FJ308" i="7" s="1"/>
  <c r="EH310" i="7" a="1"/>
  <c r="EH310" i="7" s="1"/>
  <c r="FI270" i="7" a="1"/>
  <c r="FI270" i="7" s="1"/>
  <c r="EG281" i="7" a="1"/>
  <c r="EG281" i="7" s="1"/>
  <c r="ET287" i="7" a="1"/>
  <c r="ET287" i="7" s="1"/>
  <c r="EP291" i="7" a="1"/>
  <c r="EP291" i="7" s="1"/>
  <c r="DX295" i="7" a="1"/>
  <c r="DX295" i="7" s="1"/>
  <c r="EE298" i="7" a="1"/>
  <c r="EE298" i="7" s="1"/>
  <c r="DY277" i="7" a="1"/>
  <c r="DY277" i="7" s="1"/>
  <c r="EK287" i="7" a="1"/>
  <c r="EK287" i="7" s="1"/>
  <c r="FI272" i="7" a="1"/>
  <c r="FI272" i="7" s="1"/>
  <c r="DY282" i="7" a="1"/>
  <c r="DY282" i="7" s="1"/>
  <c r="EL288" i="7" a="1"/>
  <c r="EL288" i="7" s="1"/>
  <c r="EF277" i="7" a="1"/>
  <c r="EF277" i="7" s="1"/>
  <c r="EO252" i="7" a="1"/>
  <c r="EO252" i="7" s="1"/>
  <c r="FL277" i="7" a="1"/>
  <c r="FL277" i="7" s="1"/>
  <c r="FI285" i="7" a="1"/>
  <c r="FI285" i="7" s="1"/>
  <c r="EB290" i="7" a="1"/>
  <c r="EB290" i="7" s="1"/>
  <c r="FP293" i="7" a="1"/>
  <c r="FP293" i="7" s="1"/>
  <c r="DU297" i="7" a="1"/>
  <c r="DU297" i="7" s="1"/>
  <c r="DT294" i="7" a="1"/>
  <c r="DT294" i="7" s="1"/>
  <c r="DU304" i="7" a="1"/>
  <c r="DU304" i="7" s="1"/>
  <c r="EW309" i="7" a="1"/>
  <c r="EW309" i="7" s="1"/>
  <c r="EF316" i="7" a="1"/>
  <c r="EF316" i="7" s="1"/>
  <c r="FL320" i="7" a="1"/>
  <c r="FL320" i="7" s="1"/>
  <c r="EM327" i="7" a="1"/>
  <c r="EM327" i="7" s="1"/>
  <c r="ET330" i="7" a="1"/>
  <c r="ET330" i="7" s="1"/>
  <c r="FA333" i="7" a="1"/>
  <c r="FA333" i="7" s="1"/>
  <c r="FH336" i="7" a="1"/>
  <c r="FH336" i="7" s="1"/>
  <c r="FO339" i="7" a="1"/>
  <c r="FO339" i="7" s="1"/>
  <c r="FV342" i="7" a="1"/>
  <c r="FV342" i="7" s="1"/>
  <c r="DR346" i="7" a="1"/>
  <c r="DR346" i="7" s="1"/>
  <c r="DQ349" i="7" a="1"/>
  <c r="DQ349" i="7" s="1"/>
  <c r="EZ350" i="7" a="1"/>
  <c r="EZ350" i="7" s="1"/>
  <c r="DX352" i="7" a="1"/>
  <c r="DX352" i="7" s="1"/>
  <c r="FG353" i="7" a="1"/>
  <c r="FG353" i="7" s="1"/>
  <c r="EE355" i="7" a="1"/>
  <c r="EE355" i="7" s="1"/>
  <c r="FN356" i="7" a="1"/>
  <c r="FN356" i="7" s="1"/>
  <c r="EL358" i="7" a="1"/>
  <c r="EL358" i="7" s="1"/>
  <c r="FU359" i="7" a="1"/>
  <c r="FU359" i="7" s="1"/>
  <c r="ES361" i="7" a="1"/>
  <c r="ES361" i="7" s="1"/>
  <c r="FD299" i="7" a="1"/>
  <c r="FD299" i="7" s="1"/>
  <c r="FD313" i="7" a="1"/>
  <c r="FD313" i="7" s="1"/>
  <c r="FX317" i="7" a="1"/>
  <c r="FX317" i="7" s="1"/>
  <c r="EB322" i="7" a="1"/>
  <c r="EB322" i="7" s="1"/>
  <c r="FT169" i="7" a="1"/>
  <c r="FT169" i="7" s="1"/>
  <c r="EO196" i="7" a="1"/>
  <c r="EO196" i="7" s="1"/>
  <c r="FL192" i="7" a="1"/>
  <c r="FL192" i="7" s="1"/>
  <c r="FP192" i="7" a="1"/>
  <c r="FP192" i="7" s="1"/>
  <c r="EB162" i="7" a="1"/>
  <c r="EB162" i="7" s="1"/>
  <c r="EY139" i="7" a="1"/>
  <c r="EY139" i="7" s="1"/>
  <c r="EZ207" i="7" a="1"/>
  <c r="EZ207" i="7" s="1"/>
  <c r="EV199" i="7" a="1"/>
  <c r="EV199" i="7" s="1"/>
  <c r="EK192" i="7" a="1"/>
  <c r="EK192" i="7" s="1"/>
  <c r="EZ189" i="7" a="1"/>
  <c r="EZ189" i="7" s="1"/>
  <c r="FS175" i="7" a="1"/>
  <c r="FS175" i="7" s="1"/>
  <c r="EP132" i="7" a="1"/>
  <c r="EP132" i="7" s="1"/>
  <c r="EV169" i="7" a="1"/>
  <c r="EV169" i="7" s="1"/>
  <c r="EC222" i="7" a="1"/>
  <c r="EC222" i="7" s="1"/>
  <c r="FU231" i="7" a="1"/>
  <c r="FU231" i="7" s="1"/>
  <c r="EN204" i="7" a="1"/>
  <c r="EN204" i="7" s="1"/>
  <c r="DQ216" i="7" a="1"/>
  <c r="DQ216" i="7" s="1"/>
  <c r="EK209" i="7" a="1"/>
  <c r="EK209" i="7" s="1"/>
  <c r="FR224" i="7" a="1"/>
  <c r="FR224" i="7" s="1"/>
  <c r="FJ214" i="7" a="1"/>
  <c r="FJ214" i="7" s="1"/>
  <c r="FI222" i="7" a="1"/>
  <c r="FI222" i="7" s="1"/>
  <c r="DS221" i="7" a="1"/>
  <c r="DS221" i="7" s="1"/>
  <c r="DQ215" i="7" a="1"/>
  <c r="DQ215" i="7" s="1"/>
  <c r="EM225" i="7" a="1"/>
  <c r="EM225" i="7" s="1"/>
  <c r="FQ213" i="7" a="1"/>
  <c r="FQ213" i="7" s="1"/>
  <c r="FI213" i="7" a="1"/>
  <c r="FI213" i="7" s="1"/>
  <c r="EB221" i="7" a="1"/>
  <c r="EB221" i="7" s="1"/>
  <c r="EC218" i="7" a="1"/>
  <c r="EC218" i="7" s="1"/>
  <c r="FF211" i="7" a="1"/>
  <c r="FF211" i="7" s="1"/>
  <c r="FQ211" i="7" a="1"/>
  <c r="FQ211" i="7" s="1"/>
  <c r="EW212" i="7" a="1"/>
  <c r="EW212" i="7" s="1"/>
  <c r="DW234" i="7" a="1"/>
  <c r="DW234" i="7" s="1"/>
  <c r="EZ225" i="7" a="1"/>
  <c r="EZ225" i="7" s="1"/>
  <c r="DX238" i="7" a="1"/>
  <c r="DX238" i="7" s="1"/>
  <c r="EC224" i="7" a="1"/>
  <c r="EC224" i="7" s="1"/>
  <c r="FR215" i="7" a="1"/>
  <c r="FR215" i="7" s="1"/>
  <c r="FE231" i="7" a="1"/>
  <c r="FE231" i="7" s="1"/>
  <c r="EU192" i="7" a="1"/>
  <c r="EU192" i="7" s="1"/>
  <c r="FJ229" i="7" a="1"/>
  <c r="FJ229" i="7" s="1"/>
  <c r="EI225" i="7" a="1"/>
  <c r="EI225" i="7" s="1"/>
  <c r="DT236" i="7" a="1"/>
  <c r="DT236" i="7" s="1"/>
  <c r="EU223" i="7" a="1"/>
  <c r="EU223" i="7" s="1"/>
  <c r="ET235" i="7" a="1"/>
  <c r="ET235" i="7" s="1"/>
  <c r="FF230" i="7" a="1"/>
  <c r="FF230" i="7" s="1"/>
  <c r="DT239" i="7" a="1"/>
  <c r="DT239" i="7" s="1"/>
  <c r="FU229" i="7" a="1"/>
  <c r="FU229" i="7" s="1"/>
  <c r="DR220" i="7" a="1"/>
  <c r="DR220" i="7" s="1"/>
  <c r="ED236" i="7" a="1"/>
  <c r="ED236" i="7" s="1"/>
  <c r="FJ226" i="7" a="1"/>
  <c r="FJ226" i="7" s="1"/>
  <c r="FP236" i="7" a="1"/>
  <c r="FP236" i="7" s="1"/>
  <c r="FP240" i="7" a="1"/>
  <c r="FP240" i="7" s="1"/>
  <c r="FB248" i="7" a="1"/>
  <c r="FB248" i="7" s="1"/>
  <c r="ED255" i="7" a="1"/>
  <c r="ED255" i="7" s="1"/>
  <c r="FF241" i="7" a="1"/>
  <c r="FF241" i="7" s="1"/>
  <c r="FL250" i="7" a="1"/>
  <c r="FL250" i="7" s="1"/>
  <c r="FV241" i="7" a="1"/>
  <c r="FV241" i="7" s="1"/>
  <c r="FH249" i="7" a="1"/>
  <c r="FH249" i="7" s="1"/>
  <c r="FN255" i="7" a="1"/>
  <c r="FN255" i="7" s="1"/>
  <c r="DS242" i="7" a="1"/>
  <c r="DS242" i="7" s="1"/>
  <c r="FU247" i="7" a="1"/>
  <c r="FU247" i="7" s="1"/>
  <c r="FR251" i="7" a="1"/>
  <c r="FR251" i="7" s="1"/>
  <c r="ER239" i="7" a="1"/>
  <c r="ER239" i="7" s="1"/>
  <c r="FJ243" i="7" a="1"/>
  <c r="FJ243" i="7" s="1"/>
  <c r="FD248" i="7" a="1"/>
  <c r="FD248" i="7" s="1"/>
  <c r="FY237" i="7" a="1"/>
  <c r="FY237" i="7" s="1"/>
  <c r="FR243" i="7" a="1"/>
  <c r="FR243" i="7" s="1"/>
  <c r="FL248" i="7" a="1"/>
  <c r="FL248" i="7" s="1"/>
  <c r="FD216" i="7" a="1"/>
  <c r="FD216" i="7" s="1"/>
  <c r="FS240" i="7" a="1"/>
  <c r="FS240" i="7" s="1"/>
  <c r="FP244" i="7" a="1"/>
  <c r="FP244" i="7" s="1"/>
  <c r="FT248" i="7" a="1"/>
  <c r="FT248" i="7" s="1"/>
  <c r="EW220" i="7" a="1"/>
  <c r="EW220" i="7" s="1"/>
  <c r="EM241" i="7" a="1"/>
  <c r="EM241" i="7" s="1"/>
  <c r="EG246" i="7" a="1"/>
  <c r="EG246" i="7" s="1"/>
  <c r="EK250" i="7" a="1"/>
  <c r="EK250" i="7" s="1"/>
  <c r="FB236" i="7" a="1"/>
  <c r="FB236" i="7" s="1"/>
  <c r="FL243" i="7" a="1"/>
  <c r="FL243" i="7" s="1"/>
  <c r="FI247" i="7" a="1"/>
  <c r="FI247" i="7" s="1"/>
  <c r="EM221" i="7" a="1"/>
  <c r="EM221" i="7" s="1"/>
  <c r="FK239" i="7" a="1"/>
  <c r="FK239" i="7" s="1"/>
  <c r="DS244" i="7" a="1"/>
  <c r="DS244" i="7" s="1"/>
  <c r="EC245" i="7" a="1"/>
  <c r="EC245" i="7" s="1"/>
  <c r="EN253" i="7" a="1"/>
  <c r="EN253" i="7" s="1"/>
  <c r="FN248" i="7" a="1"/>
  <c r="FN248" i="7" s="1"/>
  <c r="DR256" i="7" a="1"/>
  <c r="DR256" i="7" s="1"/>
  <c r="ET258" i="7" a="1"/>
  <c r="ET258" i="7" s="1"/>
  <c r="FV260" i="7" a="1"/>
  <c r="FV260" i="7" s="1"/>
  <c r="FV262" i="7" a="1"/>
  <c r="FV262" i="7" s="1"/>
  <c r="EM265" i="7" a="1"/>
  <c r="EM265" i="7" s="1"/>
  <c r="EM267" i="7" a="1"/>
  <c r="EM267" i="7" s="1"/>
  <c r="EM269" i="7" a="1"/>
  <c r="EM269" i="7" s="1"/>
  <c r="FO271" i="7" a="1"/>
  <c r="FO271" i="7" s="1"/>
  <c r="FO273" i="7" a="1"/>
  <c r="FO273" i="7" s="1"/>
  <c r="EH229" i="7" a="1"/>
  <c r="EH229" i="7" s="1"/>
  <c r="EL250" i="7" a="1"/>
  <c r="EL250" i="7" s="1"/>
  <c r="EF232" i="7" a="1"/>
  <c r="EF232" i="7" s="1"/>
  <c r="FS252" i="7" a="1"/>
  <c r="FS252" i="7" s="1"/>
  <c r="FE256" i="7" a="1"/>
  <c r="FE256" i="7" s="1"/>
  <c r="EU259" i="7" a="1"/>
  <c r="EU259" i="7" s="1"/>
  <c r="EU261" i="7" a="1"/>
  <c r="EU261" i="7" s="1"/>
  <c r="EU263" i="7" a="1"/>
  <c r="EU263" i="7" s="1"/>
  <c r="FW265" i="7" a="1"/>
  <c r="FW265" i="7" s="1"/>
  <c r="FW267" i="7" a="1"/>
  <c r="FW267" i="7" s="1"/>
  <c r="DY241" i="7" a="1"/>
  <c r="DY241" i="7" s="1"/>
  <c r="FT251" i="7" a="1"/>
  <c r="FT251" i="7" s="1"/>
  <c r="FZ241" i="7" a="1"/>
  <c r="FZ241" i="7" s="1"/>
  <c r="FL253" i="7" a="1"/>
  <c r="FL253" i="7" s="1"/>
  <c r="FZ256" i="7" a="1"/>
  <c r="FZ256" i="7" s="1"/>
  <c r="FJ259" i="7" a="1"/>
  <c r="FJ259" i="7" s="1"/>
  <c r="FJ261" i="7" a="1"/>
  <c r="FJ261" i="7" s="1"/>
  <c r="FJ263" i="7" a="1"/>
  <c r="FJ263" i="7" s="1"/>
  <c r="EA266" i="7" a="1"/>
  <c r="EA266" i="7" s="1"/>
  <c r="EA268" i="7" a="1"/>
  <c r="EA268" i="7" s="1"/>
  <c r="FC241" i="7" a="1"/>
  <c r="FC241" i="7" s="1"/>
  <c r="EI252" i="7" a="1"/>
  <c r="EI252" i="7" s="1"/>
  <c r="ES242" i="7" a="1"/>
  <c r="ES242" i="7" s="1"/>
  <c r="FV251" i="7" a="1"/>
  <c r="FV251" i="7" s="1"/>
  <c r="EF256" i="7" a="1"/>
  <c r="EF256" i="7" s="1"/>
  <c r="FR258" i="7" a="1"/>
  <c r="FR258" i="7" s="1"/>
  <c r="EW260" i="7" a="1"/>
  <c r="EW260" i="7" s="1"/>
  <c r="EB262" i="7" a="1"/>
  <c r="EB262" i="7" s="1"/>
  <c r="FR263" i="7" a="1"/>
  <c r="FR263" i="7" s="1"/>
  <c r="EW265" i="7" a="1"/>
  <c r="EW265" i="7" s="1"/>
  <c r="EB267" i="7" a="1"/>
  <c r="EB267" i="7" s="1"/>
  <c r="FP245" i="7" a="1"/>
  <c r="FP245" i="7" s="1"/>
  <c r="ET253" i="7" a="1"/>
  <c r="ET253" i="7" s="1"/>
  <c r="EJ243" i="7" a="1"/>
  <c r="EJ243" i="7" s="1"/>
  <c r="FW251" i="7" a="1"/>
  <c r="FW251" i="7" s="1"/>
  <c r="EU255" i="7" a="1"/>
  <c r="EU255" i="7" s="1"/>
  <c r="FS257" i="7" a="1"/>
  <c r="FS257" i="7" s="1"/>
  <c r="FE259" i="7" a="1"/>
  <c r="FE259" i="7" s="1"/>
  <c r="DV238" i="7" a="1"/>
  <c r="DV238" i="7" s="1"/>
  <c r="EG250" i="7" a="1"/>
  <c r="EG250" i="7" s="1"/>
  <c r="DT255" i="7" a="1"/>
  <c r="DT255" i="7" s="1"/>
  <c r="EZ257" i="7" a="1"/>
  <c r="EZ257" i="7" s="1"/>
  <c r="EE259" i="7" a="1"/>
  <c r="EE259" i="7" s="1"/>
  <c r="FU260" i="7" a="1"/>
  <c r="FU260" i="7" s="1"/>
  <c r="EZ262" i="7" a="1"/>
  <c r="EZ262" i="7" s="1"/>
  <c r="EE264" i="7" a="1"/>
  <c r="EE264" i="7" s="1"/>
  <c r="FU265" i="7" a="1"/>
  <c r="FU265" i="7" s="1"/>
  <c r="EK259" i="7" a="1"/>
  <c r="EK259" i="7" s="1"/>
  <c r="EK266" i="7" a="1"/>
  <c r="EK266" i="7" s="1"/>
  <c r="FS271" i="7" a="1"/>
  <c r="FS271" i="7" s="1"/>
  <c r="FG275" i="7" a="1"/>
  <c r="FG275" i="7" s="1"/>
  <c r="EW282" i="7" a="1"/>
  <c r="EW282" i="7" s="1"/>
  <c r="FD285" i="7" a="1"/>
  <c r="FD285" i="7" s="1"/>
  <c r="FK288" i="7" a="1"/>
  <c r="FK288" i="7" s="1"/>
  <c r="FR291" i="7" a="1"/>
  <c r="FR291" i="7" s="1"/>
  <c r="FJ250" i="7" a="1"/>
  <c r="FJ250" i="7" s="1"/>
  <c r="FL269" i="7" a="1"/>
  <c r="FL269" i="7" s="1"/>
  <c r="EZ273" i="7" a="1"/>
  <c r="EZ273" i="7" s="1"/>
  <c r="FE276" i="7" a="1"/>
  <c r="FE276" i="7" s="1"/>
  <c r="ES278" i="7" a="1"/>
  <c r="ES278" i="7" s="1"/>
  <c r="EH280" i="7" a="1"/>
  <c r="EH280" i="7" s="1"/>
  <c r="EP282" i="7" a="1"/>
  <c r="EP282" i="7" s="1"/>
  <c r="EW285" i="7" a="1"/>
  <c r="EW285" i="7" s="1"/>
  <c r="FE253" i="7" a="1"/>
  <c r="FE253" i="7" s="1"/>
  <c r="FS264" i="7" a="1"/>
  <c r="FS264" i="7" s="1"/>
  <c r="DT270" i="7" a="1"/>
  <c r="DT270" i="7" s="1"/>
  <c r="FB273" i="7" a="1"/>
  <c r="FB273" i="7" s="1"/>
  <c r="DR280" i="7" a="1"/>
  <c r="DR280" i="7" s="1"/>
  <c r="EK284" i="7" a="1"/>
  <c r="EK284" i="7" s="1"/>
  <c r="ER287" i="7" a="1"/>
  <c r="ER287" i="7" s="1"/>
  <c r="EY290" i="7" a="1"/>
  <c r="EY290" i="7" s="1"/>
  <c r="FF293" i="7" a="1"/>
  <c r="FF293" i="7" s="1"/>
  <c r="FU267" i="7" a="1"/>
  <c r="FU267" i="7" s="1"/>
  <c r="EB272" i="7" a="1"/>
  <c r="EB272" i="7" s="1"/>
  <c r="FJ275" i="7" a="1"/>
  <c r="FJ275" i="7" s="1"/>
  <c r="FI277" i="7" a="1"/>
  <c r="FI277" i="7" s="1"/>
  <c r="EW279" i="7" a="1"/>
  <c r="EW279" i="7" s="1"/>
  <c r="EK281" i="7" a="1"/>
  <c r="EK281" i="7" s="1"/>
  <c r="ES284" i="7" a="1"/>
  <c r="ES284" i="7" s="1"/>
  <c r="FK256" i="7" a="1"/>
  <c r="FK256" i="7" s="1"/>
  <c r="EJ265" i="7" a="1"/>
  <c r="EJ265" i="7" s="1"/>
  <c r="EV270" i="7" a="1"/>
  <c r="EV270" i="7" s="1"/>
  <c r="DS274" i="7" a="1"/>
  <c r="DS274" i="7" s="1"/>
  <c r="ET281" i="7" a="1"/>
  <c r="ET281" i="7" s="1"/>
  <c r="ET284" i="7" a="1"/>
  <c r="ET284" i="7" s="1"/>
  <c r="EY260" i="7" a="1"/>
  <c r="EY260" i="7" s="1"/>
  <c r="EV271" i="7" a="1"/>
  <c r="EV271" i="7" s="1"/>
  <c r="DS275" i="7" a="1"/>
  <c r="DS275" i="7" s="1"/>
  <c r="ES277" i="7" a="1"/>
  <c r="ES277" i="7" s="1"/>
  <c r="EH279" i="7" a="1"/>
  <c r="EH279" i="7" s="1"/>
  <c r="DV281" i="7" a="1"/>
  <c r="DV281" i="7" s="1"/>
  <c r="GA283" i="7" a="1"/>
  <c r="GA283" i="7" s="1"/>
  <c r="DY256" i="7" a="1"/>
  <c r="DY256" i="7" s="1"/>
  <c r="EK265" i="7" a="1"/>
  <c r="EK265" i="7" s="1"/>
  <c r="EW270" i="7" a="1"/>
  <c r="EW270" i="7" s="1"/>
  <c r="DT274" i="7" a="1"/>
  <c r="DT274" i="7" s="1"/>
  <c r="FA280" i="7" a="1"/>
  <c r="FA280" i="7" s="1"/>
  <c r="EF284" i="7" a="1"/>
  <c r="EF284" i="7" s="1"/>
  <c r="DW260" i="7" a="1"/>
  <c r="DW260" i="7" s="1"/>
  <c r="EW271" i="7" a="1"/>
  <c r="EW271" i="7" s="1"/>
  <c r="DT275" i="7" a="1"/>
  <c r="DT275" i="7" s="1"/>
  <c r="EU277" i="7" a="1"/>
  <c r="EU277" i="7" s="1"/>
  <c r="EI279" i="7" a="1"/>
  <c r="EI279" i="7" s="1"/>
  <c r="DW281" i="7" a="1"/>
  <c r="DW281" i="7" s="1"/>
  <c r="DQ284" i="7" a="1"/>
  <c r="DQ284" i="7" s="1"/>
  <c r="DX287" i="7" a="1"/>
  <c r="DX287" i="7" s="1"/>
  <c r="DW259" i="7" a="1"/>
  <c r="DW259" i="7" s="1"/>
  <c r="FM265" i="7" a="1"/>
  <c r="FM265" i="7" s="1"/>
  <c r="EX270" i="7" a="1"/>
  <c r="EX270" i="7" s="1"/>
  <c r="EL274" i="7" a="1"/>
  <c r="EL274" i="7" s="1"/>
  <c r="EF281" i="7" a="1"/>
  <c r="EF281" i="7" s="1"/>
  <c r="EV284" i="7" a="1"/>
  <c r="EV284" i="7" s="1"/>
  <c r="FT266" i="7" a="1"/>
  <c r="FT266" i="7" s="1"/>
  <c r="EX271" i="7" a="1"/>
  <c r="EX271" i="7" s="1"/>
  <c r="EL275" i="7" a="1"/>
  <c r="EL275" i="7" s="1"/>
  <c r="FC252" i="7" a="1"/>
  <c r="FC252" i="7" s="1"/>
  <c r="DQ270" i="7" a="1"/>
  <c r="DQ270" i="7" s="1"/>
  <c r="EY273" i="7" a="1"/>
  <c r="EY273" i="7" s="1"/>
  <c r="FL276" i="7" a="1"/>
  <c r="FL276" i="7" s="1"/>
  <c r="EZ278" i="7" a="1"/>
  <c r="EZ278" i="7" s="1"/>
  <c r="EO280" i="7" a="1"/>
  <c r="EO280" i="7" s="1"/>
  <c r="FD282" i="7" a="1"/>
  <c r="FD282" i="7" s="1"/>
  <c r="FL264" i="7" a="1"/>
  <c r="FL264" i="7" s="1"/>
  <c r="EN285" i="7" a="1"/>
  <c r="EN285" i="7" s="1"/>
  <c r="EV289" i="7" a="1"/>
  <c r="EV289" i="7" s="1"/>
  <c r="EG293" i="7" a="1"/>
  <c r="EG293" i="7" s="1"/>
  <c r="EF296" i="7" a="1"/>
  <c r="EF296" i="7" s="1"/>
  <c r="ED299" i="7" a="1"/>
  <c r="ED299" i="7" s="1"/>
  <c r="FM300" i="7" a="1"/>
  <c r="FM300" i="7" s="1"/>
  <c r="EK302" i="7" a="1"/>
  <c r="EK302" i="7" s="1"/>
  <c r="FT303" i="7" a="1"/>
  <c r="FT303" i="7" s="1"/>
  <c r="ER305" i="7" a="1"/>
  <c r="ER305" i="7" s="1"/>
  <c r="GA306" i="7" a="1"/>
  <c r="GA306" i="7" s="1"/>
  <c r="EY308" i="7" a="1"/>
  <c r="EY308" i="7" s="1"/>
  <c r="DW310" i="7" a="1"/>
  <c r="DW310" i="7" s="1"/>
  <c r="FF311" i="7" a="1"/>
  <c r="FF311" i="7" s="1"/>
  <c r="ED313" i="7" a="1"/>
  <c r="ED313" i="7" s="1"/>
  <c r="FM314" i="7" a="1"/>
  <c r="FM314" i="7" s="1"/>
  <c r="EK316" i="7" a="1"/>
  <c r="EK316" i="7" s="1"/>
  <c r="FT317" i="7" a="1"/>
  <c r="FT317" i="7" s="1"/>
  <c r="ER319" i="7" a="1"/>
  <c r="ER319" i="7" s="1"/>
  <c r="GA320" i="7" a="1"/>
  <c r="GA320" i="7" s="1"/>
  <c r="EY322" i="7" a="1"/>
  <c r="EY322" i="7" s="1"/>
  <c r="DW324" i="7" a="1"/>
  <c r="DW324" i="7" s="1"/>
  <c r="ED261" i="7" a="1"/>
  <c r="ED261" i="7" s="1"/>
  <c r="FB279" i="7" a="1"/>
  <c r="FB279" i="7" s="1"/>
  <c r="FU286" i="7" a="1"/>
  <c r="FU286" i="7" s="1"/>
  <c r="FU290" i="7" a="1"/>
  <c r="FU290" i="7" s="1"/>
  <c r="ES294" i="7" a="1"/>
  <c r="ES294" i="7" s="1"/>
  <c r="EZ297" i="7" a="1"/>
  <c r="EZ297" i="7" s="1"/>
  <c r="EH272" i="7" a="1"/>
  <c r="EH272" i="7" s="1"/>
  <c r="FV286" i="7" a="1"/>
  <c r="FV286" i="7" s="1"/>
  <c r="ED290" i="7" a="1"/>
  <c r="ED290" i="7" s="1"/>
  <c r="FZ293" i="7" a="1"/>
  <c r="FZ293" i="7" s="1"/>
  <c r="FZ296" i="7" a="1"/>
  <c r="FZ296" i="7" s="1"/>
  <c r="EZ299" i="7" a="1"/>
  <c r="EZ299" i="7" s="1"/>
  <c r="DX301" i="7" a="1"/>
  <c r="DX301" i="7" s="1"/>
  <c r="FG302" i="7" a="1"/>
  <c r="FG302" i="7" s="1"/>
  <c r="EE304" i="7" a="1"/>
  <c r="EE304" i="7" s="1"/>
  <c r="FN305" i="7" a="1"/>
  <c r="FN305" i="7" s="1"/>
  <c r="EL307" i="7" a="1"/>
  <c r="EL307" i="7" s="1"/>
  <c r="FU308" i="7" a="1"/>
  <c r="FU308" i="7" s="1"/>
  <c r="ES310" i="7" a="1"/>
  <c r="ES310" i="7" s="1"/>
  <c r="DQ312" i="7" a="1"/>
  <c r="DQ312" i="7" s="1"/>
  <c r="EZ313" i="7" a="1"/>
  <c r="EZ313" i="7" s="1"/>
  <c r="DX315" i="7" a="1"/>
  <c r="DX315" i="7" s="1"/>
  <c r="FG316" i="7" a="1"/>
  <c r="FG316" i="7" s="1"/>
  <c r="EE318" i="7" a="1"/>
  <c r="EE318" i="7" s="1"/>
  <c r="FN319" i="7" a="1"/>
  <c r="FN319" i="7" s="1"/>
  <c r="EL321" i="7" a="1"/>
  <c r="EL321" i="7" s="1"/>
  <c r="EX263" i="7" a="1"/>
  <c r="EX263" i="7" s="1"/>
  <c r="EC279" i="7" a="1"/>
  <c r="EC279" i="7" s="1"/>
  <c r="FA286" i="7" a="1"/>
  <c r="FA286" i="7" s="1"/>
  <c r="DV290" i="7" a="1"/>
  <c r="DV290" i="7" s="1"/>
  <c r="FR293" i="7" a="1"/>
  <c r="FR293" i="7" s="1"/>
  <c r="DW297" i="7" a="1"/>
  <c r="DW297" i="7" s="1"/>
  <c r="FG273" i="7" a="1"/>
  <c r="FG273" i="7" s="1"/>
  <c r="DV286" i="7" a="1"/>
  <c r="DV286" i="7" s="1"/>
  <c r="EX289" i="7" a="1"/>
  <c r="EX289" i="7" s="1"/>
  <c r="DR293" i="7" a="1"/>
  <c r="DR293" i="7" s="1"/>
  <c r="EH296" i="7" a="1"/>
  <c r="EH296" i="7" s="1"/>
  <c r="DY299" i="7" a="1"/>
  <c r="DY299" i="7" s="1"/>
  <c r="FH300" i="7" a="1"/>
  <c r="FH300" i="7" s="1"/>
  <c r="EF302" i="7" a="1"/>
  <c r="EF302" i="7" s="1"/>
  <c r="FO303" i="7" a="1"/>
  <c r="FO303" i="7" s="1"/>
  <c r="EM305" i="7" a="1"/>
  <c r="EM305" i="7" s="1"/>
  <c r="FV306" i="7" a="1"/>
  <c r="FV306" i="7" s="1"/>
  <c r="ET308" i="7" a="1"/>
  <c r="ET308" i="7" s="1"/>
  <c r="DR310" i="7" a="1"/>
  <c r="DR310" i="7" s="1"/>
  <c r="DS254" i="7" a="1"/>
  <c r="DS254" i="7" s="1"/>
  <c r="EV277" i="7" a="1"/>
  <c r="EV277" i="7" s="1"/>
  <c r="EF285" i="7" a="1"/>
  <c r="EF285" i="7" s="1"/>
  <c r="DW290" i="7" a="1"/>
  <c r="DW290" i="7" s="1"/>
  <c r="FS293" i="7" a="1"/>
  <c r="FS293" i="7" s="1"/>
  <c r="DX297" i="7" a="1"/>
  <c r="DX297" i="7" s="1"/>
  <c r="EY270" i="7" a="1"/>
  <c r="EY270" i="7" s="1"/>
  <c r="FN285" i="7" a="1"/>
  <c r="FN285" i="7" s="1"/>
  <c r="EY289" i="7" a="1"/>
  <c r="EY289" i="7" s="1"/>
  <c r="DS293" i="7" a="1"/>
  <c r="DS293" i="7" s="1"/>
  <c r="EI296" i="7" a="1"/>
  <c r="EI296" i="7" s="1"/>
  <c r="DZ299" i="7" a="1"/>
  <c r="DZ299" i="7" s="1"/>
  <c r="FI300" i="7" a="1"/>
  <c r="FI300" i="7" s="1"/>
  <c r="EG302" i="7" a="1"/>
  <c r="EG302" i="7" s="1"/>
  <c r="FP303" i="7" a="1"/>
  <c r="FP303" i="7" s="1"/>
  <c r="EN305" i="7" a="1"/>
  <c r="EN305" i="7" s="1"/>
  <c r="FW306" i="7" a="1"/>
  <c r="FW306" i="7" s="1"/>
  <c r="EU308" i="7" a="1"/>
  <c r="EU308" i="7" s="1"/>
  <c r="DS310" i="7" a="1"/>
  <c r="DS310" i="7" s="1"/>
  <c r="FB311" i="7" a="1"/>
  <c r="FB311" i="7" s="1"/>
  <c r="DZ313" i="7" a="1"/>
  <c r="DZ313" i="7" s="1"/>
  <c r="FS269" i="7" a="1"/>
  <c r="FS269" i="7" s="1"/>
  <c r="EE280" i="7" a="1"/>
  <c r="EE280" i="7" s="1"/>
  <c r="FZ286" i="7" a="1"/>
  <c r="FZ286" i="7" s="1"/>
  <c r="FY290" i="7" a="1"/>
  <c r="FY290" i="7" s="1"/>
  <c r="FD294" i="7" a="1"/>
  <c r="FD294" i="7" s="1"/>
  <c r="FK297" i="7" a="1"/>
  <c r="FK297" i="7" s="1"/>
  <c r="EY272" i="7" a="1"/>
  <c r="EY272" i="7" s="1"/>
  <c r="DZ287" i="7" a="1"/>
  <c r="DZ287" i="7" s="1"/>
  <c r="DY290" i="7" a="1"/>
  <c r="DY290" i="7" s="1"/>
  <c r="FV293" i="7" a="1"/>
  <c r="FV293" i="7" s="1"/>
  <c r="FV296" i="7" a="1"/>
  <c r="FV296" i="7" s="1"/>
  <c r="EV299" i="7" a="1"/>
  <c r="EV299" i="7" s="1"/>
  <c r="DT301" i="7" a="1"/>
  <c r="DT301" i="7" s="1"/>
  <c r="FC302" i="7" a="1"/>
  <c r="FC302" i="7" s="1"/>
  <c r="EA304" i="7" a="1"/>
  <c r="EA304" i="7" s="1"/>
  <c r="FJ305" i="7" a="1"/>
  <c r="FJ305" i="7" s="1"/>
  <c r="EH307" i="7" a="1"/>
  <c r="EH307" i="7" s="1"/>
  <c r="FQ308" i="7" a="1"/>
  <c r="FQ308" i="7" s="1"/>
  <c r="EO310" i="7" a="1"/>
  <c r="EO310" i="7" s="1"/>
  <c r="FZ271" i="7" a="1"/>
  <c r="FZ271" i="7" s="1"/>
  <c r="EK283" i="7" a="1"/>
  <c r="EK283" i="7" s="1"/>
  <c r="FV287" i="7" a="1"/>
  <c r="FV287" i="7" s="1"/>
  <c r="FG291" i="7" a="1"/>
  <c r="FG291" i="7" s="1"/>
  <c r="EF295" i="7" a="1"/>
  <c r="EF295" i="7" s="1"/>
  <c r="EM298" i="7" a="1"/>
  <c r="EM298" i="7" s="1"/>
  <c r="EM280" i="7" a="1"/>
  <c r="EM280" i="7" s="1"/>
  <c r="FD287" i="7" a="1"/>
  <c r="FD287" i="7" s="1"/>
  <c r="DV274" i="7" a="1"/>
  <c r="DV274" i="7" s="1"/>
  <c r="FB282" i="7" a="1"/>
  <c r="FB282" i="7" s="1"/>
  <c r="EU288" i="7" a="1"/>
  <c r="EU288" i="7" s="1"/>
  <c r="ET279" i="7" a="1"/>
  <c r="ET279" i="7" s="1"/>
  <c r="EC261" i="7" a="1"/>
  <c r="EC261" i="7" s="1"/>
  <c r="EA278" i="7" a="1"/>
  <c r="EA278" i="7" s="1"/>
  <c r="DS286" i="7" a="1"/>
  <c r="DS286" i="7" s="1"/>
  <c r="EK290" i="7" a="1"/>
  <c r="EK290" i="7" s="1"/>
  <c r="EC294" i="7" a="1"/>
  <c r="EC294" i="7" s="1"/>
  <c r="EJ297" i="7" a="1"/>
  <c r="EJ297" i="7" s="1"/>
  <c r="EY294" i="7" a="1"/>
  <c r="EY294" i="7" s="1"/>
  <c r="EQ304" i="7" a="1"/>
  <c r="EQ304" i="7" s="1"/>
  <c r="FS309" i="7" a="1"/>
  <c r="FS309" i="7" s="1"/>
  <c r="EW316" i="7" a="1"/>
  <c r="EW316" i="7" s="1"/>
  <c r="FV320" i="7" a="1"/>
  <c r="FV320" i="7" s="1"/>
  <c r="FB327" i="7" a="1"/>
  <c r="FB327" i="7" s="1"/>
  <c r="FI330" i="7" a="1"/>
  <c r="FI330" i="7" s="1"/>
  <c r="FP333" i="7" a="1"/>
  <c r="FP333" i="7" s="1"/>
  <c r="FW336" i="7" a="1"/>
  <c r="FW336" i="7" s="1"/>
  <c r="DS340" i="7" a="1"/>
  <c r="DS340" i="7" s="1"/>
  <c r="DZ343" i="7" a="1"/>
  <c r="DZ343" i="7" s="1"/>
  <c r="EG346" i="7" a="1"/>
  <c r="EG346" i="7" s="1"/>
  <c r="DX349" i="7" a="1"/>
  <c r="DX349" i="7" s="1"/>
  <c r="FG350" i="7" a="1"/>
  <c r="FG350" i="7" s="1"/>
  <c r="EE352" i="7" a="1"/>
  <c r="EE352" i="7" s="1"/>
  <c r="FN353" i="7" a="1"/>
  <c r="FN353" i="7" s="1"/>
  <c r="EL355" i="7" a="1"/>
  <c r="EL355" i="7" s="1"/>
  <c r="FU356" i="7" a="1"/>
  <c r="FU356" i="7" s="1"/>
  <c r="ES358" i="7" a="1"/>
  <c r="ES358" i="7" s="1"/>
  <c r="DQ360" i="7" a="1"/>
  <c r="DQ360" i="7" s="1"/>
  <c r="EZ361" i="7" a="1"/>
  <c r="EZ361" i="7" s="1"/>
  <c r="DV300" i="7" a="1"/>
  <c r="DV300" i="7" s="1"/>
  <c r="FP313" i="7" a="1"/>
  <c r="FP313" i="7" s="1"/>
  <c r="EN318" i="7" a="1"/>
  <c r="EN318" i="7" s="1"/>
  <c r="ET322" i="7" a="1"/>
  <c r="ET322" i="7" s="1"/>
  <c r="EH324" i="7" a="1"/>
  <c r="EH324" i="7" s="1"/>
  <c r="FZ177" i="7" a="1"/>
  <c r="FZ177" i="7" s="1"/>
  <c r="ET197" i="7" a="1"/>
  <c r="ET197" i="7" s="1"/>
  <c r="EI200" i="7" a="1"/>
  <c r="EI200" i="7" s="1"/>
  <c r="DW194" i="7" a="1"/>
  <c r="DW194" i="7" s="1"/>
  <c r="FN193" i="7" a="1"/>
  <c r="FN193" i="7" s="1"/>
  <c r="EI146" i="7" a="1"/>
  <c r="EI146" i="7" s="1"/>
  <c r="ED210" i="7" a="1"/>
  <c r="ED210" i="7" s="1"/>
  <c r="FK199" i="7" a="1"/>
  <c r="FK199" i="7" s="1"/>
  <c r="DT199" i="7" a="1"/>
  <c r="DT199" i="7" s="1"/>
  <c r="DS191" i="7" a="1"/>
  <c r="DS191" i="7" s="1"/>
  <c r="FQ193" i="7" a="1"/>
  <c r="FQ193" i="7" s="1"/>
  <c r="EI143" i="7" a="1"/>
  <c r="EI143" i="7" s="1"/>
  <c r="EM204" i="7" a="1"/>
  <c r="EM204" i="7" s="1"/>
  <c r="EK222" i="7" a="1"/>
  <c r="EK222" i="7" s="1"/>
  <c r="FD233" i="7" a="1"/>
  <c r="FD233" i="7" s="1"/>
  <c r="DR205" i="7" a="1"/>
  <c r="DR205" i="7" s="1"/>
  <c r="EQ217" i="7" a="1"/>
  <c r="EQ217" i="7" s="1"/>
  <c r="FI209" i="7" a="1"/>
  <c r="FI209" i="7" s="1"/>
  <c r="EF227" i="7" a="1"/>
  <c r="EF227" i="7" s="1"/>
  <c r="FR214" i="7" a="1"/>
  <c r="FR214" i="7" s="1"/>
  <c r="FY201" i="7" a="1"/>
  <c r="FY201" i="7" s="1"/>
  <c r="EH221" i="7" a="1"/>
  <c r="EH221" i="7" s="1"/>
  <c r="ER216" i="7" a="1"/>
  <c r="ER216" i="7" s="1"/>
  <c r="FB225" i="7" a="1"/>
  <c r="FB225" i="7" s="1"/>
  <c r="FK219" i="7" a="1"/>
  <c r="FK219" i="7" s="1"/>
  <c r="GA213" i="7" a="1"/>
  <c r="GA213" i="7" s="1"/>
  <c r="FC165" i="7" a="1"/>
  <c r="FC165" i="7" s="1"/>
  <c r="EK218" i="7" a="1"/>
  <c r="EK218" i="7" s="1"/>
  <c r="EW214" i="7" a="1"/>
  <c r="EW214" i="7" s="1"/>
  <c r="DQ212" i="7" a="1"/>
  <c r="DQ212" i="7" s="1"/>
  <c r="EH222" i="7" a="1"/>
  <c r="EH222" i="7" s="1"/>
  <c r="EL234" i="7" a="1"/>
  <c r="EL234" i="7" s="1"/>
  <c r="FG228" i="7" a="1"/>
  <c r="FG228" i="7" s="1"/>
  <c r="EE238" i="7" a="1"/>
  <c r="EE238" i="7" s="1"/>
  <c r="EO227" i="7" a="1"/>
  <c r="EO227" i="7" s="1"/>
  <c r="EN216" i="7" a="1"/>
  <c r="EN216" i="7" s="1"/>
  <c r="DQ234" i="7" a="1"/>
  <c r="DQ234" i="7" s="1"/>
  <c r="FC201" i="7" a="1"/>
  <c r="FC201" i="7" s="1"/>
  <c r="FH232" i="7" a="1"/>
  <c r="FH232" i="7" s="1"/>
  <c r="FC225" i="7" a="1"/>
  <c r="FC225" i="7" s="1"/>
  <c r="DS238" i="7" a="1"/>
  <c r="DS238" i="7" s="1"/>
  <c r="FD223" i="7" a="1"/>
  <c r="FD223" i="7" s="1"/>
  <c r="FC213" i="7" a="1"/>
  <c r="FC213" i="7" s="1"/>
  <c r="FN230" i="7" a="1"/>
  <c r="FN230" i="7" s="1"/>
  <c r="EH240" i="7" a="1"/>
  <c r="EH240" i="7" s="1"/>
  <c r="DR230" i="7" a="1"/>
  <c r="DR230" i="7" s="1"/>
  <c r="EV225" i="7" a="1"/>
  <c r="EV225" i="7" s="1"/>
  <c r="ES236" i="7" a="1"/>
  <c r="ES236" i="7" s="1"/>
  <c r="FT226" i="7" a="1"/>
  <c r="FT226" i="7" s="1"/>
  <c r="DT237" i="7" a="1"/>
  <c r="DT237" i="7" s="1"/>
  <c r="FM241" i="7" a="1"/>
  <c r="FM241" i="7" s="1"/>
  <c r="DZ250" i="7" a="1"/>
  <c r="DZ250" i="7" s="1"/>
  <c r="EK255" i="7" a="1"/>
  <c r="EK255" i="7" s="1"/>
  <c r="FU241" i="7" a="1"/>
  <c r="FU241" i="7" s="1"/>
  <c r="GA250" i="7" a="1"/>
  <c r="GA250" i="7" s="1"/>
  <c r="FS242" i="7" a="1"/>
  <c r="FS242" i="7" s="1"/>
  <c r="EF251" i="7" a="1"/>
  <c r="EF251" i="7" s="1"/>
  <c r="FU255" i="7" a="1"/>
  <c r="FU255" i="7" s="1"/>
  <c r="EH242" i="7" a="1"/>
  <c r="EH242" i="7" s="1"/>
  <c r="DR248" i="7" a="1"/>
  <c r="DR248" i="7" s="1"/>
  <c r="EY223" i="7" a="1"/>
  <c r="EY223" i="7" s="1"/>
  <c r="FS239" i="7" a="1"/>
  <c r="FS239" i="7" s="1"/>
  <c r="FY243" i="7" a="1"/>
  <c r="FY243" i="7" s="1"/>
  <c r="FS248" i="7" a="1"/>
  <c r="FS248" i="7" s="1"/>
  <c r="FK238" i="7" a="1"/>
  <c r="FK238" i="7" s="1"/>
  <c r="FW244" i="7" a="1"/>
  <c r="FW244" i="7" s="1"/>
  <c r="GA248" i="7" a="1"/>
  <c r="GA248" i="7" s="1"/>
  <c r="ET218" i="7" a="1"/>
  <c r="ET218" i="7" s="1"/>
  <c r="DW241" i="7" a="1"/>
  <c r="DW241" i="7" s="1"/>
  <c r="DT245" i="7" a="1"/>
  <c r="DT245" i="7" s="1"/>
  <c r="FY249" i="7" a="1"/>
  <c r="FY249" i="7" s="1"/>
  <c r="EK224" i="7" a="1"/>
  <c r="EK224" i="7" s="1"/>
  <c r="FB241" i="7" a="1"/>
  <c r="FB241" i="7" s="1"/>
  <c r="EV246" i="7" a="1"/>
  <c r="EV246" i="7" s="1"/>
  <c r="EZ250" i="7" a="1"/>
  <c r="EZ250" i="7" s="1"/>
  <c r="EC239" i="7" a="1"/>
  <c r="EC239" i="7" s="1"/>
  <c r="GA243" i="7" a="1"/>
  <c r="GA243" i="7" s="1"/>
  <c r="FX247" i="7" a="1"/>
  <c r="FX247" i="7" s="1"/>
  <c r="EB223" i="7" a="1"/>
  <c r="EB223" i="7" s="1"/>
  <c r="EQ240" i="7" a="1"/>
  <c r="EQ240" i="7" s="1"/>
  <c r="EE245" i="7" a="1"/>
  <c r="EE245" i="7" s="1"/>
  <c r="FA245" i="7" a="1"/>
  <c r="FA245" i="7" s="1"/>
  <c r="FS253" i="7" a="1"/>
  <c r="FS253" i="7" s="1"/>
  <c r="FA250" i="7" a="1"/>
  <c r="FA250" i="7" s="1"/>
  <c r="EA256" i="7" a="1"/>
  <c r="EA256" i="7" s="1"/>
  <c r="DR259" i="7" a="1"/>
  <c r="DR259" i="7" s="1"/>
  <c r="DR261" i="7" a="1"/>
  <c r="DR261" i="7" s="1"/>
  <c r="DR263" i="7" a="1"/>
  <c r="DR263" i="7" s="1"/>
  <c r="ET265" i="7" a="1"/>
  <c r="ET265" i="7" s="1"/>
  <c r="ET267" i="7" a="1"/>
  <c r="ET267" i="7" s="1"/>
  <c r="FV269" i="7" a="1"/>
  <c r="FV269" i="7" s="1"/>
  <c r="FV271" i="7" a="1"/>
  <c r="FV271" i="7" s="1"/>
  <c r="FV273" i="7" a="1"/>
  <c r="FV273" i="7" s="1"/>
  <c r="FW234" i="7" a="1"/>
  <c r="FW234" i="7" s="1"/>
  <c r="FZ250" i="7" a="1"/>
  <c r="FZ250" i="7" s="1"/>
  <c r="DS241" i="7" a="1"/>
  <c r="DS241" i="7" s="1"/>
  <c r="DT253" i="7" a="1"/>
  <c r="DT253" i="7" s="1"/>
  <c r="FP256" i="7" a="1"/>
  <c r="FP256" i="7" s="1"/>
  <c r="FB259" i="7" a="1"/>
  <c r="FB259" i="7" s="1"/>
  <c r="FB261" i="7" a="1"/>
  <c r="FB261" i="7" s="1"/>
  <c r="DS264" i="7" a="1"/>
  <c r="DS264" i="7" s="1"/>
  <c r="DS266" i="7" a="1"/>
  <c r="DS266" i="7" s="1"/>
  <c r="DS268" i="7" a="1"/>
  <c r="DS268" i="7" s="1"/>
  <c r="EL242" i="7" a="1"/>
  <c r="EL242" i="7" s="1"/>
  <c r="DT252" i="7" a="1"/>
  <c r="DT252" i="7" s="1"/>
  <c r="FI245" i="7" a="1"/>
  <c r="FI245" i="7" s="1"/>
  <c r="FX253" i="7" a="1"/>
  <c r="FX253" i="7" s="1"/>
  <c r="EO257" i="7" a="1"/>
  <c r="EO257" i="7" s="1"/>
  <c r="FQ259" i="7" a="1"/>
  <c r="FQ259" i="7" s="1"/>
  <c r="FQ261" i="7" a="1"/>
  <c r="FQ261" i="7" s="1"/>
  <c r="EH264" i="7" a="1"/>
  <c r="EH264" i="7" s="1"/>
  <c r="EH266" i="7" a="1"/>
  <c r="EH266" i="7" s="1"/>
  <c r="EH268" i="7" a="1"/>
  <c r="EH268" i="7" s="1"/>
  <c r="FF243" i="7" a="1"/>
  <c r="FF243" i="7" s="1"/>
  <c r="EW252" i="7" a="1"/>
  <c r="EW252" i="7" s="1"/>
  <c r="EB246" i="7" a="1"/>
  <c r="EB246" i="7" s="1"/>
  <c r="DY252" i="7" a="1"/>
  <c r="DY252" i="7" s="1"/>
  <c r="EO256" i="7" a="1"/>
  <c r="EO256" i="7" s="1"/>
  <c r="FY258" i="7" a="1"/>
  <c r="FY258" i="7" s="1"/>
  <c r="FD260" i="7" a="1"/>
  <c r="FD260" i="7" s="1"/>
  <c r="EI262" i="7" a="1"/>
  <c r="EI262" i="7" s="1"/>
  <c r="FY263" i="7" a="1"/>
  <c r="FY263" i="7" s="1"/>
  <c r="FD265" i="7" a="1"/>
  <c r="FD265" i="7" s="1"/>
  <c r="EI267" i="7" a="1"/>
  <c r="EI267" i="7" s="1"/>
  <c r="EH246" i="7" a="1"/>
  <c r="EH246" i="7" s="1"/>
  <c r="FD253" i="7" a="1"/>
  <c r="FD253" i="7" s="1"/>
  <c r="FM243" i="7" a="1"/>
  <c r="FM243" i="7" s="1"/>
  <c r="DZ252" i="7" a="1"/>
  <c r="DZ252" i="7" s="1"/>
  <c r="FD255" i="7" a="1"/>
  <c r="FD255" i="7" s="1"/>
  <c r="DV258" i="7" a="1"/>
  <c r="DV258" i="7" s="1"/>
  <c r="FL259" i="7" a="1"/>
  <c r="FL259" i="7" s="1"/>
  <c r="EJ239" i="7" a="1"/>
  <c r="EJ239" i="7" s="1"/>
  <c r="EV250" i="7" a="1"/>
  <c r="EV250" i="7" s="1"/>
  <c r="EC255" i="7" a="1"/>
  <c r="EC255" i="7" s="1"/>
  <c r="FG257" i="7" a="1"/>
  <c r="FG257" i="7" s="1"/>
  <c r="EL259" i="7" a="1"/>
  <c r="EL259" i="7" s="1"/>
  <c r="DQ261" i="7" a="1"/>
  <c r="DQ261" i="7" s="1"/>
  <c r="FG262" i="7" a="1"/>
  <c r="FG262" i="7" s="1"/>
  <c r="EL264" i="7" a="1"/>
  <c r="EL264" i="7" s="1"/>
  <c r="DQ266" i="7" a="1"/>
  <c r="DQ266" i="7" s="1"/>
  <c r="FT260" i="7" a="1"/>
  <c r="FT260" i="7" s="1"/>
  <c r="GA266" i="7" a="1"/>
  <c r="GA266" i="7" s="1"/>
  <c r="EI272" i="7" a="1"/>
  <c r="EI272" i="7" s="1"/>
  <c r="FQ275" i="7" a="1"/>
  <c r="FQ275" i="7" s="1"/>
  <c r="FL282" i="7" a="1"/>
  <c r="FL282" i="7" s="1"/>
  <c r="FS285" i="7" a="1"/>
  <c r="FS285" i="7" s="1"/>
  <c r="FZ288" i="7" a="1"/>
  <c r="FZ288" i="7" s="1"/>
  <c r="DV292" i="7" a="1"/>
  <c r="DV292" i="7" s="1"/>
  <c r="FM251" i="7" a="1"/>
  <c r="FM251" i="7" s="1"/>
  <c r="EB270" i="7" a="1"/>
  <c r="EB270" i="7" s="1"/>
  <c r="FJ273" i="7" a="1"/>
  <c r="FJ273" i="7" s="1"/>
  <c r="FM276" i="7" a="1"/>
  <c r="FM276" i="7" s="1"/>
  <c r="FB278" i="7" a="1"/>
  <c r="FB278" i="7" s="1"/>
  <c r="EP280" i="7" a="1"/>
  <c r="EP280" i="7" s="1"/>
  <c r="FE282" i="7" a="1"/>
  <c r="FE282" i="7" s="1"/>
  <c r="FL285" i="7" a="1"/>
  <c r="FL285" i="7" s="1"/>
  <c r="EB255" i="7" a="1"/>
  <c r="EB255" i="7" s="1"/>
  <c r="ED265" i="7" a="1"/>
  <c r="ED265" i="7" s="1"/>
  <c r="EK270" i="7" a="1"/>
  <c r="EK270" i="7" s="1"/>
  <c r="FS273" i="7" a="1"/>
  <c r="FS273" i="7" s="1"/>
  <c r="FO280" i="7" a="1"/>
  <c r="FO280" i="7" s="1"/>
  <c r="EZ284" i="7" a="1"/>
  <c r="EZ284" i="7" s="1"/>
  <c r="FG287" i="7" a="1"/>
  <c r="FG287" i="7" s="1"/>
  <c r="FN290" i="7" a="1"/>
  <c r="FN290" i="7" s="1"/>
  <c r="FU293" i="7" a="1"/>
  <c r="FU293" i="7" s="1"/>
  <c r="DV268" i="7" a="1"/>
  <c r="DV268" i="7" s="1"/>
  <c r="ES272" i="7" a="1"/>
  <c r="ES272" i="7" s="1"/>
  <c r="GA275" i="7" a="1"/>
  <c r="GA275" i="7" s="1"/>
  <c r="FQ277" i="7" a="1"/>
  <c r="FQ277" i="7" s="1"/>
  <c r="FE279" i="7" a="1"/>
  <c r="FE279" i="7" s="1"/>
  <c r="ES281" i="7" a="1"/>
  <c r="ES281" i="7" s="1"/>
  <c r="FA284" i="7" a="1"/>
  <c r="FA284" i="7" s="1"/>
  <c r="ER258" i="7" a="1"/>
  <c r="ER258" i="7" s="1"/>
  <c r="FF265" i="7" a="1"/>
  <c r="FF265" i="7" s="1"/>
  <c r="FM270" i="7" a="1"/>
  <c r="FM270" i="7" s="1"/>
  <c r="EJ274" i="7" a="1"/>
  <c r="EJ274" i="7" s="1"/>
  <c r="FB281" i="7" a="1"/>
  <c r="FB281" i="7" s="1"/>
  <c r="FI284" i="7" a="1"/>
  <c r="FI284" i="7" s="1"/>
  <c r="DW267" i="7" a="1"/>
  <c r="DW267" i="7" s="1"/>
  <c r="FM271" i="7" a="1"/>
  <c r="FM271" i="7" s="1"/>
  <c r="EJ275" i="7" a="1"/>
  <c r="EJ275" i="7" s="1"/>
  <c r="FB277" i="7" a="1"/>
  <c r="FB277" i="7" s="1"/>
  <c r="EP279" i="7" a="1"/>
  <c r="EP279" i="7" s="1"/>
  <c r="ED281" i="7" a="1"/>
  <c r="ED281" i="7" s="1"/>
  <c r="EE284" i="7" a="1"/>
  <c r="EE284" i="7" s="1"/>
  <c r="GA257" i="7" a="1"/>
  <c r="GA257" i="7" s="1"/>
  <c r="FL265" i="7" a="1"/>
  <c r="FL265" i="7" s="1"/>
  <c r="FN270" i="7" a="1"/>
  <c r="FN270" i="7" s="1"/>
  <c r="EK274" i="7" a="1"/>
  <c r="EK274" i="7" s="1"/>
  <c r="EM281" i="7" a="1"/>
  <c r="EM281" i="7" s="1"/>
  <c r="EU284" i="7" a="1"/>
  <c r="EU284" i="7" s="1"/>
  <c r="FS266" i="7" a="1"/>
  <c r="FS266" i="7" s="1"/>
  <c r="FN271" i="7" a="1"/>
  <c r="FN271" i="7" s="1"/>
  <c r="EK275" i="7" a="1"/>
  <c r="EK275" i="7" s="1"/>
  <c r="FC277" i="7" a="1"/>
  <c r="FC277" i="7" s="1"/>
  <c r="EQ279" i="7" a="1"/>
  <c r="EQ279" i="7" s="1"/>
  <c r="EE281" i="7" a="1"/>
  <c r="EE281" i="7" s="1"/>
  <c r="DY284" i="7" a="1"/>
  <c r="DY284" i="7" s="1"/>
  <c r="EF287" i="7" a="1"/>
  <c r="EF287" i="7" s="1"/>
  <c r="FF260" i="7" a="1"/>
  <c r="FF260" i="7" s="1"/>
  <c r="EC266" i="7" a="1"/>
  <c r="EC266" i="7" s="1"/>
  <c r="FY270" i="7" a="1"/>
  <c r="FY270" i="7" s="1"/>
  <c r="EV274" i="7" a="1"/>
  <c r="EV274" i="7" s="1"/>
  <c r="FD281" i="7" a="1"/>
  <c r="FD281" i="7" s="1"/>
  <c r="FK284" i="7" a="1"/>
  <c r="FK284" i="7" s="1"/>
  <c r="EX267" i="7" a="1"/>
  <c r="EX267" i="7" s="1"/>
  <c r="FY271" i="7" a="1"/>
  <c r="FY271" i="7" s="1"/>
  <c r="EV275" i="7" a="1"/>
  <c r="EV275" i="7" s="1"/>
  <c r="DS255" i="7" a="1"/>
  <c r="DS255" i="7" s="1"/>
  <c r="EA270" i="7" a="1"/>
  <c r="EA270" i="7" s="1"/>
  <c r="FI273" i="7" a="1"/>
  <c r="FI273" i="7" s="1"/>
  <c r="FT276" i="7" a="1"/>
  <c r="FT276" i="7" s="1"/>
  <c r="FI278" i="7" a="1"/>
  <c r="FI278" i="7" s="1"/>
  <c r="EW280" i="7" a="1"/>
  <c r="EW280" i="7" s="1"/>
  <c r="FS282" i="7" a="1"/>
  <c r="FS282" i="7" s="1"/>
  <c r="FE266" i="7" a="1"/>
  <c r="FE266" i="7" s="1"/>
  <c r="EY285" i="7" a="1"/>
  <c r="EY285" i="7" s="1"/>
  <c r="FM289" i="7" a="1"/>
  <c r="FM289" i="7" s="1"/>
  <c r="EY293" i="7" a="1"/>
  <c r="EY293" i="7" s="1"/>
  <c r="EU296" i="7" a="1"/>
  <c r="EU296" i="7" s="1"/>
  <c r="EK299" i="7" a="1"/>
  <c r="EK299" i="7" s="1"/>
  <c r="FT300" i="7" a="1"/>
  <c r="FT300" i="7" s="1"/>
  <c r="ER302" i="7" a="1"/>
  <c r="ER302" i="7" s="1"/>
  <c r="GA303" i="7" a="1"/>
  <c r="GA303" i="7" s="1"/>
  <c r="EY305" i="7" a="1"/>
  <c r="EY305" i="7" s="1"/>
  <c r="DW307" i="7" a="1"/>
  <c r="DW307" i="7" s="1"/>
  <c r="FF308" i="7" a="1"/>
  <c r="FF308" i="7" s="1"/>
  <c r="ED310" i="7" a="1"/>
  <c r="ED310" i="7" s="1"/>
  <c r="FM311" i="7" a="1"/>
  <c r="FM311" i="7" s="1"/>
  <c r="EK313" i="7" a="1"/>
  <c r="EK313" i="7" s="1"/>
  <c r="FT314" i="7" a="1"/>
  <c r="FT314" i="7" s="1"/>
  <c r="ER316" i="7" a="1"/>
  <c r="ER316" i="7" s="1"/>
  <c r="GA317" i="7" a="1"/>
  <c r="GA317" i="7" s="1"/>
  <c r="EY319" i="7" a="1"/>
  <c r="EY319" i="7" s="1"/>
  <c r="DW321" i="7" a="1"/>
  <c r="DW321" i="7" s="1"/>
  <c r="FF322" i="7" a="1"/>
  <c r="FF322" i="7" s="1"/>
  <c r="ED324" i="7" a="1"/>
  <c r="ED324" i="7" s="1"/>
  <c r="DV265" i="7" a="1"/>
  <c r="DV265" i="7" s="1"/>
  <c r="DV280" i="7" a="1"/>
  <c r="DV280" i="7" s="1"/>
  <c r="DT287" i="7" a="1"/>
  <c r="DT287" i="7" s="1"/>
  <c r="EB291" i="7" a="1"/>
  <c r="EB291" i="7" s="1"/>
  <c r="FA294" i="7" a="1"/>
  <c r="FA294" i="7" s="1"/>
  <c r="FH297" i="7" a="1"/>
  <c r="FH297" i="7" s="1"/>
  <c r="FF273" i="7" a="1"/>
  <c r="FF273" i="7" s="1"/>
  <c r="DV287" i="7" a="1"/>
  <c r="DV287" i="7" s="1"/>
  <c r="EM290" i="7" a="1"/>
  <c r="EM290" i="7" s="1"/>
  <c r="DW294" i="7" a="1"/>
  <c r="DW294" i="7" s="1"/>
  <c r="ED297" i="7" a="1"/>
  <c r="ED297" i="7" s="1"/>
  <c r="FG299" i="7" a="1"/>
  <c r="FG299" i="7" s="1"/>
  <c r="EE301" i="7" a="1"/>
  <c r="EE301" i="7" s="1"/>
  <c r="FN302" i="7" a="1"/>
  <c r="FN302" i="7" s="1"/>
  <c r="EL304" i="7" a="1"/>
  <c r="EL304" i="7" s="1"/>
  <c r="FU305" i="7" a="1"/>
  <c r="FU305" i="7" s="1"/>
  <c r="ES307" i="7" a="1"/>
  <c r="ES307" i="7" s="1"/>
  <c r="DQ309" i="7" a="1"/>
  <c r="DQ309" i="7" s="1"/>
  <c r="EZ310" i="7" a="1"/>
  <c r="EZ310" i="7" s="1"/>
  <c r="DX312" i="7" a="1"/>
  <c r="DX312" i="7" s="1"/>
  <c r="FG313" i="7" a="1"/>
  <c r="FG313" i="7" s="1"/>
  <c r="EE315" i="7" a="1"/>
  <c r="EE315" i="7" s="1"/>
  <c r="FN316" i="7" a="1"/>
  <c r="FN316" i="7" s="1"/>
  <c r="EL318" i="7" a="1"/>
  <c r="EL318" i="7" s="1"/>
  <c r="FU319" i="7" a="1"/>
  <c r="FU319" i="7" s="1"/>
  <c r="ES321" i="7" a="1"/>
  <c r="ES321" i="7" s="1"/>
  <c r="DW265" i="7" a="1"/>
  <c r="DW265" i="7" s="1"/>
  <c r="FI279" i="7" a="1"/>
  <c r="FI279" i="7" s="1"/>
  <c r="FL286" i="7" a="1"/>
  <c r="FL286" i="7" s="1"/>
  <c r="EV290" i="7" a="1"/>
  <c r="EV290" i="7" s="1"/>
  <c r="EE294" i="7" a="1"/>
  <c r="EE294" i="7" s="1"/>
  <c r="EL297" i="7" a="1"/>
  <c r="EL297" i="7" s="1"/>
  <c r="EO274" i="7" a="1"/>
  <c r="EO274" i="7" s="1"/>
  <c r="FC286" i="7" a="1"/>
  <c r="FC286" i="7" s="1"/>
  <c r="FY289" i="7" a="1"/>
  <c r="FY289" i="7" s="1"/>
  <c r="EJ293" i="7" a="1"/>
  <c r="EJ293" i="7" s="1"/>
  <c r="EW296" i="7" a="1"/>
  <c r="EW296" i="7" s="1"/>
  <c r="EF299" i="7" a="1"/>
  <c r="EF299" i="7" s="1"/>
  <c r="FO300" i="7" a="1"/>
  <c r="FO300" i="7" s="1"/>
  <c r="EM302" i="7" a="1"/>
  <c r="EM302" i="7" s="1"/>
  <c r="FV303" i="7" a="1"/>
  <c r="FV303" i="7" s="1"/>
  <c r="ET305" i="7" a="1"/>
  <c r="ET305" i="7" s="1"/>
  <c r="DR307" i="7" a="1"/>
  <c r="DR307" i="7" s="1"/>
  <c r="FA308" i="7" a="1"/>
  <c r="FA308" i="7" s="1"/>
  <c r="DY310" i="7" a="1"/>
  <c r="DY310" i="7" s="1"/>
  <c r="EB257" i="7" a="1"/>
  <c r="EB257" i="7" s="1"/>
  <c r="FU277" i="7" a="1"/>
  <c r="FU277" i="7" s="1"/>
  <c r="ER285" i="7" a="1"/>
  <c r="ER285" i="7" s="1"/>
  <c r="EF290" i="7" a="1"/>
  <c r="EF290" i="7" s="1"/>
  <c r="DY294" i="7" a="1"/>
  <c r="DY294" i="7" s="1"/>
  <c r="EF297" i="7" a="1"/>
  <c r="EF297" i="7" s="1"/>
  <c r="DZ271" i="7" a="1"/>
  <c r="DZ271" i="7" s="1"/>
  <c r="DY286" i="7" a="1"/>
  <c r="DY286" i="7" s="1"/>
  <c r="FH289" i="7" a="1"/>
  <c r="FH289" i="7" s="1"/>
  <c r="EK293" i="7" a="1"/>
  <c r="EK293" i="7" s="1"/>
  <c r="EX296" i="7" a="1"/>
  <c r="EX296" i="7" s="1"/>
  <c r="EG299" i="7" a="1"/>
  <c r="EG299" i="7" s="1"/>
  <c r="FP300" i="7" a="1"/>
  <c r="FP300" i="7" s="1"/>
  <c r="EN302" i="7" a="1"/>
  <c r="EN302" i="7" s="1"/>
  <c r="FW303" i="7" a="1"/>
  <c r="FW303" i="7" s="1"/>
  <c r="EU305" i="7" a="1"/>
  <c r="EU305" i="7" s="1"/>
  <c r="DS307" i="7" a="1"/>
  <c r="DS307" i="7" s="1"/>
  <c r="FB308" i="7" a="1"/>
  <c r="FB308" i="7" s="1"/>
  <c r="DZ310" i="7" a="1"/>
  <c r="DZ310" i="7" s="1"/>
  <c r="FI311" i="7" a="1"/>
  <c r="FI311" i="7" s="1"/>
  <c r="EG313" i="7" a="1"/>
  <c r="EG313" i="7" s="1"/>
  <c r="FR271" i="7" a="1"/>
  <c r="FR271" i="7" s="1"/>
  <c r="FK280" i="7" a="1"/>
  <c r="FK280" i="7" s="1"/>
  <c r="FB287" i="7" a="1"/>
  <c r="FB287" i="7" s="1"/>
  <c r="EE291" i="7" a="1"/>
  <c r="EE291" i="7" s="1"/>
  <c r="FS294" i="7" a="1"/>
  <c r="FS294" i="7" s="1"/>
  <c r="FZ297" i="7" a="1"/>
  <c r="FZ297" i="7" s="1"/>
  <c r="EG273" i="7" a="1"/>
  <c r="EG273" i="7" s="1"/>
  <c r="EI287" i="7" a="1"/>
  <c r="EI287" i="7" s="1"/>
  <c r="EP290" i="7" a="1"/>
  <c r="EP290" i="7" s="1"/>
  <c r="DS294" i="7" a="1"/>
  <c r="DS294" i="7" s="1"/>
  <c r="DZ297" i="7" a="1"/>
  <c r="DZ297" i="7" s="1"/>
  <c r="FC299" i="7" a="1"/>
  <c r="FC299" i="7" s="1"/>
  <c r="EA301" i="7" a="1"/>
  <c r="EA301" i="7" s="1"/>
  <c r="FJ302" i="7" a="1"/>
  <c r="FJ302" i="7" s="1"/>
  <c r="EH304" i="7" a="1"/>
  <c r="EH304" i="7" s="1"/>
  <c r="FQ305" i="7" a="1"/>
  <c r="FQ305" i="7" s="1"/>
  <c r="EO307" i="7" a="1"/>
  <c r="EO307" i="7" s="1"/>
  <c r="FX308" i="7" a="1"/>
  <c r="FX308" i="7" s="1"/>
  <c r="EV310" i="7" a="1"/>
  <c r="EV310" i="7" s="1"/>
  <c r="FY273" i="7" a="1"/>
  <c r="FY273" i="7" s="1"/>
  <c r="FN283" i="7" a="1"/>
  <c r="FN283" i="7" s="1"/>
  <c r="DT288" i="7" a="1"/>
  <c r="DT288" i="7" s="1"/>
  <c r="FP291" i="7" a="1"/>
  <c r="FP291" i="7" s="1"/>
  <c r="EU295" i="7" a="1"/>
  <c r="EU295" i="7" s="1"/>
  <c r="FB298" i="7" a="1"/>
  <c r="FB298" i="7" s="1"/>
  <c r="FF281" i="7" a="1"/>
  <c r="FF281" i="7" s="1"/>
  <c r="FM287" i="7" a="1"/>
  <c r="FM287" i="7" s="1"/>
  <c r="DU276" i="7" a="1"/>
  <c r="DU276" i="7" s="1"/>
  <c r="FE284" i="7" a="1"/>
  <c r="FE284" i="7" s="1"/>
  <c r="EI246" i="7" a="1"/>
  <c r="EI246" i="7" s="1"/>
  <c r="FZ282" i="7" a="1"/>
  <c r="FZ282" i="7" s="1"/>
  <c r="FM262" i="7" a="1"/>
  <c r="FM262" i="7" s="1"/>
  <c r="FF278" i="7" a="1"/>
  <c r="FF278" i="7" s="1"/>
  <c r="EC286" i="7" a="1"/>
  <c r="EC286" i="7" s="1"/>
  <c r="ET290" i="7" a="1"/>
  <c r="ET290" i="7" s="1"/>
  <c r="ER294" i="7" a="1"/>
  <c r="ER294" i="7" s="1"/>
  <c r="EY297" i="7" a="1"/>
  <c r="EY297" i="7" s="1"/>
  <c r="FP296" i="7" a="1"/>
  <c r="FP296" i="7" s="1"/>
  <c r="FR304" i="7" a="1"/>
  <c r="FR304" i="7" s="1"/>
  <c r="EI310" i="7" a="1"/>
  <c r="EI310" i="7" s="1"/>
  <c r="FX316" i="7" a="1"/>
  <c r="FX316" i="7" s="1"/>
  <c r="EB321" i="7" a="1"/>
  <c r="EB321" i="7" s="1"/>
  <c r="FQ327" i="7" a="1"/>
  <c r="FQ327" i="7" s="1"/>
  <c r="FX330" i="7" a="1"/>
  <c r="FX330" i="7" s="1"/>
  <c r="DT334" i="7" a="1"/>
  <c r="DT334" i="7" s="1"/>
  <c r="EA337" i="7" a="1"/>
  <c r="EA337" i="7" s="1"/>
  <c r="EH340" i="7" a="1"/>
  <c r="EH340" i="7" s="1"/>
  <c r="EO343" i="7" a="1"/>
  <c r="EO343" i="7" s="1"/>
  <c r="EV346" i="7" a="1"/>
  <c r="EV346" i="7" s="1"/>
  <c r="EE349" i="7" a="1"/>
  <c r="EE349" i="7" s="1"/>
  <c r="FN350" i="7" a="1"/>
  <c r="FN350" i="7" s="1"/>
  <c r="EL352" i="7" a="1"/>
  <c r="EL352" i="7" s="1"/>
  <c r="FU353" i="7" a="1"/>
  <c r="FU353" i="7" s="1"/>
  <c r="ES355" i="7" a="1"/>
  <c r="ES355" i="7" s="1"/>
  <c r="DQ357" i="7" a="1"/>
  <c r="DQ357" i="7" s="1"/>
  <c r="EZ358" i="7" a="1"/>
  <c r="EZ358" i="7" s="1"/>
  <c r="DX360" i="7" a="1"/>
  <c r="DX360" i="7" s="1"/>
  <c r="FG361" i="7" a="1"/>
  <c r="FG361" i="7" s="1"/>
  <c r="EB301" i="7" a="1"/>
  <c r="EB301" i="7" s="1"/>
  <c r="DY314" i="7" a="1"/>
  <c r="DY314" i="7" s="1"/>
  <c r="FE318" i="7" a="1"/>
  <c r="FE318" i="7" s="1"/>
  <c r="FB322" i="7" a="1"/>
  <c r="FB322" i="7" s="1"/>
  <c r="ES178" i="7" a="1"/>
  <c r="ES178" i="7" s="1"/>
  <c r="FL197" i="7" a="1"/>
  <c r="FL197" i="7" s="1"/>
  <c r="EV200" i="7" a="1"/>
  <c r="EV200" i="7" s="1"/>
  <c r="EX194" i="7" a="1"/>
  <c r="EX194" i="7" s="1"/>
  <c r="DX194" i="7" a="1"/>
  <c r="DX194" i="7" s="1"/>
  <c r="DU153" i="7" a="1"/>
  <c r="DU153" i="7" s="1"/>
  <c r="EN210" i="7" a="1"/>
  <c r="EN210" i="7" s="1"/>
  <c r="DZ200" i="7" a="1"/>
  <c r="DZ200" i="7" s="1"/>
  <c r="FX199" i="7" a="1"/>
  <c r="FX199" i="7" s="1"/>
  <c r="FN191" i="7" a="1"/>
  <c r="FN191" i="7" s="1"/>
  <c r="EH194" i="7" a="1"/>
  <c r="EH194" i="7" s="1"/>
  <c r="EM155" i="7" a="1"/>
  <c r="EM155" i="7" s="1"/>
  <c r="DU207" i="7" a="1"/>
  <c r="DU207" i="7" s="1"/>
  <c r="EZ222" i="7" a="1"/>
  <c r="EZ222" i="7" s="1"/>
  <c r="FK233" i="7" a="1"/>
  <c r="FK233" i="7" s="1"/>
  <c r="FA205" i="7" a="1"/>
  <c r="FA205" i="7" s="1"/>
  <c r="EY217" i="7" a="1"/>
  <c r="EY217" i="7" s="1"/>
  <c r="FT209" i="7" a="1"/>
  <c r="FT209" i="7" s="1"/>
  <c r="EO171" i="7" a="1"/>
  <c r="EO171" i="7" s="1"/>
  <c r="GA214" i="7" a="1"/>
  <c r="GA214" i="7" s="1"/>
  <c r="EW202" i="7" a="1"/>
  <c r="EW202" i="7" s="1"/>
  <c r="EW221" i="7" a="1"/>
  <c r="EW221" i="7" s="1"/>
  <c r="EZ216" i="7" a="1"/>
  <c r="EZ216" i="7" s="1"/>
  <c r="FQ225" i="7" a="1"/>
  <c r="FQ225" i="7" s="1"/>
  <c r="FZ219" i="7" a="1"/>
  <c r="FZ219" i="7" s="1"/>
  <c r="DX214" i="7" a="1"/>
  <c r="DX214" i="7" s="1"/>
  <c r="FD180" i="7" a="1"/>
  <c r="FD180" i="7" s="1"/>
  <c r="EZ218" i="7" a="1"/>
  <c r="EZ218" i="7" s="1"/>
  <c r="FF214" i="7" a="1"/>
  <c r="FF214" i="7" s="1"/>
  <c r="EA212" i="7" a="1"/>
  <c r="EA212" i="7" s="1"/>
  <c r="EE223" i="7" a="1"/>
  <c r="EE223" i="7" s="1"/>
  <c r="FA234" i="7" a="1"/>
  <c r="FA234" i="7" s="1"/>
  <c r="FO228" i="7" a="1"/>
  <c r="FO228" i="7" s="1"/>
  <c r="EL238" i="7" a="1"/>
  <c r="EL238" i="7" s="1"/>
  <c r="EW227" i="7" a="1"/>
  <c r="EW227" i="7" s="1"/>
  <c r="FT216" i="7" a="1"/>
  <c r="FT216" i="7" s="1"/>
  <c r="EF234" i="7" a="1"/>
  <c r="EF234" i="7" s="1"/>
  <c r="FY206" i="7" a="1"/>
  <c r="FY206" i="7" s="1"/>
  <c r="FP232" i="7" a="1"/>
  <c r="FP232" i="7" s="1"/>
  <c r="FL225" i="7" a="1"/>
  <c r="FL225" i="7" s="1"/>
  <c r="DZ238" i="7" a="1"/>
  <c r="DZ238" i="7" s="1"/>
  <c r="FX223" i="7" a="1"/>
  <c r="FX223" i="7" s="1"/>
  <c r="EH214" i="7" a="1"/>
  <c r="EH214" i="7" s="1"/>
  <c r="FV230" i="7" a="1"/>
  <c r="FV230" i="7" s="1"/>
  <c r="EO240" i="7" a="1"/>
  <c r="EO240" i="7" s="1"/>
  <c r="DZ230" i="7" a="1"/>
  <c r="DZ230" i="7" s="1"/>
  <c r="FE225" i="7" a="1"/>
  <c r="FE225" i="7" s="1"/>
  <c r="FH236" i="7" a="1"/>
  <c r="FH236" i="7" s="1"/>
  <c r="DS227" i="7" a="1"/>
  <c r="DS227" i="7" s="1"/>
  <c r="GA182" i="7" a="1"/>
  <c r="GA182" i="7" s="1"/>
  <c r="DQ242" i="7" a="1"/>
  <c r="DQ242" i="7" s="1"/>
  <c r="DW251" i="7" a="1"/>
  <c r="DW251" i="7" s="1"/>
  <c r="DW256" i="7" a="1"/>
  <c r="DW256" i="7" s="1"/>
  <c r="DR242" i="7" a="1"/>
  <c r="DR242" i="7" s="1"/>
  <c r="EE251" i="7" a="1"/>
  <c r="EE251" i="7" s="1"/>
  <c r="DW243" i="7" a="1"/>
  <c r="DW243" i="7" s="1"/>
  <c r="EC252" i="7" a="1"/>
  <c r="EC252" i="7" s="1"/>
  <c r="FG256" i="7" a="1"/>
  <c r="FG256" i="7" s="1"/>
  <c r="EW242" i="7" a="1"/>
  <c r="EW242" i="7" s="1"/>
  <c r="EG248" i="7" a="1"/>
  <c r="EG248" i="7" s="1"/>
  <c r="DT227" i="7" a="1"/>
  <c r="DT227" i="7" s="1"/>
  <c r="ED240" i="7" a="1"/>
  <c r="ED240" i="7" s="1"/>
  <c r="EC244" i="7" a="1"/>
  <c r="EC244" i="7" s="1"/>
  <c r="DW249" i="7" a="1"/>
  <c r="DW249" i="7" s="1"/>
  <c r="EW239" i="7" a="1"/>
  <c r="EW239" i="7" s="1"/>
  <c r="EA245" i="7" a="1"/>
  <c r="EA245" i="7" s="1"/>
  <c r="EE249" i="7" a="1"/>
  <c r="EE249" i="7" s="1"/>
  <c r="EJ224" i="7" a="1"/>
  <c r="EJ224" i="7" s="1"/>
  <c r="EL241" i="7" a="1"/>
  <c r="EL241" i="7" s="1"/>
  <c r="EI245" i="7" a="1"/>
  <c r="EI245" i="7" s="1"/>
  <c r="EC250" i="7" a="1"/>
  <c r="EC250" i="7" s="1"/>
  <c r="EC227" i="7" a="1"/>
  <c r="EC227" i="7" s="1"/>
  <c r="FQ241" i="7" a="1"/>
  <c r="FQ241" i="7" s="1"/>
  <c r="FK246" i="7" a="1"/>
  <c r="FK246" i="7" s="1"/>
  <c r="EF209" i="7" a="1"/>
  <c r="EF209" i="7" s="1"/>
  <c r="EY239" i="7" a="1"/>
  <c r="EY239" i="7" s="1"/>
  <c r="EE244" i="7" a="1"/>
  <c r="EE244" i="7" s="1"/>
  <c r="EB248" i="7" a="1"/>
  <c r="EB248" i="7" s="1"/>
  <c r="GA223" i="7" a="1"/>
  <c r="GA223" i="7" s="1"/>
  <c r="EZ240" i="7" a="1"/>
  <c r="EZ240" i="7" s="1"/>
  <c r="EM245" i="7" a="1"/>
  <c r="EM245" i="7" s="1"/>
  <c r="DS246" i="7" a="1"/>
  <c r="DS246" i="7" s="1"/>
  <c r="DT254" i="7" a="1"/>
  <c r="DT254" i="7" s="1"/>
  <c r="ES252" i="7" a="1"/>
  <c r="ES252" i="7" s="1"/>
  <c r="EJ256" i="7" a="1"/>
  <c r="EJ256" i="7" s="1"/>
  <c r="DY259" i="7" a="1"/>
  <c r="DY259" i="7" s="1"/>
  <c r="DY261" i="7" a="1"/>
  <c r="DY261" i="7" s="1"/>
  <c r="DY263" i="7" a="1"/>
  <c r="DY263" i="7" s="1"/>
  <c r="FA265" i="7" a="1"/>
  <c r="FA265" i="7" s="1"/>
  <c r="FA267" i="7" a="1"/>
  <c r="FA267" i="7" s="1"/>
  <c r="DR270" i="7" a="1"/>
  <c r="DR270" i="7" s="1"/>
  <c r="DR272" i="7" a="1"/>
  <c r="DR272" i="7" s="1"/>
  <c r="DR274" i="7" a="1"/>
  <c r="DR274" i="7" s="1"/>
  <c r="FS241" i="7" a="1"/>
  <c r="FS241" i="7" s="1"/>
  <c r="EC251" i="7" a="1"/>
  <c r="EC251" i="7" s="1"/>
  <c r="EV241" i="7" a="1"/>
  <c r="EV241" i="7" s="1"/>
  <c r="FA253" i="7" a="1"/>
  <c r="FA253" i="7" s="1"/>
  <c r="FY256" i="7" a="1"/>
  <c r="FY256" i="7" s="1"/>
  <c r="FI259" i="7" a="1"/>
  <c r="FI259" i="7" s="1"/>
  <c r="FI261" i="7" a="1"/>
  <c r="FI261" i="7" s="1"/>
  <c r="DZ264" i="7" a="1"/>
  <c r="DZ264" i="7" s="1"/>
  <c r="DZ266" i="7" a="1"/>
  <c r="DZ266" i="7" s="1"/>
  <c r="DZ268" i="7" a="1"/>
  <c r="DZ268" i="7" s="1"/>
  <c r="EB243" i="7" a="1"/>
  <c r="EB243" i="7" s="1"/>
  <c r="EH252" i="7" a="1"/>
  <c r="EH252" i="7" s="1"/>
  <c r="EA246" i="7" a="1"/>
  <c r="EA246" i="7" s="1"/>
  <c r="ET254" i="7" a="1"/>
  <c r="ET254" i="7" s="1"/>
  <c r="EV257" i="7" a="1"/>
  <c r="EV257" i="7" s="1"/>
  <c r="FX259" i="7" a="1"/>
  <c r="FX259" i="7" s="1"/>
  <c r="FX261" i="7" a="1"/>
  <c r="FX261" i="7" s="1"/>
  <c r="EO264" i="7" a="1"/>
  <c r="EO264" i="7" s="1"/>
  <c r="EO266" i="7" a="1"/>
  <c r="EO266" i="7" s="1"/>
  <c r="EO268" i="7" a="1"/>
  <c r="EO268" i="7" s="1"/>
  <c r="DX244" i="7" a="1"/>
  <c r="DX244" i="7" s="1"/>
  <c r="FW252" i="7" a="1"/>
  <c r="FW252" i="7" s="1"/>
  <c r="EF247" i="7" a="1"/>
  <c r="EF247" i="7" s="1"/>
  <c r="FK252" i="7" a="1"/>
  <c r="FK252" i="7" s="1"/>
  <c r="EX256" i="7" a="1"/>
  <c r="EX256" i="7" s="1"/>
  <c r="DU259" i="7" a="1"/>
  <c r="DU259" i="7" s="1"/>
  <c r="FK260" i="7" a="1"/>
  <c r="FK260" i="7" s="1"/>
  <c r="EP262" i="7" a="1"/>
  <c r="EP262" i="7" s="1"/>
  <c r="DU264" i="7" a="1"/>
  <c r="DU264" i="7" s="1"/>
  <c r="FK265" i="7" a="1"/>
  <c r="FK265" i="7" s="1"/>
  <c r="EP267" i="7" a="1"/>
  <c r="EP267" i="7" s="1"/>
  <c r="EY246" i="7" a="1"/>
  <c r="EY246" i="7" s="1"/>
  <c r="FP253" i="7" a="1"/>
  <c r="FP253" i="7" s="1"/>
  <c r="DZ244" i="7" a="1"/>
  <c r="DZ244" i="7" s="1"/>
  <c r="EN252" i="7" a="1"/>
  <c r="EN252" i="7" s="1"/>
  <c r="FX255" i="7" a="1"/>
  <c r="FX255" i="7" s="1"/>
  <c r="EC258" i="7" a="1"/>
  <c r="EC258" i="7" s="1"/>
  <c r="FS259" i="7" a="1"/>
  <c r="FS259" i="7" s="1"/>
  <c r="FL241" i="7" a="1"/>
  <c r="FL241" i="7" s="1"/>
  <c r="EZ251" i="7" a="1"/>
  <c r="EZ251" i="7" s="1"/>
  <c r="EN255" i="7" a="1"/>
  <c r="EN255" i="7" s="1"/>
  <c r="FN257" i="7" a="1"/>
  <c r="FN257" i="7" s="1"/>
  <c r="ES259" i="7" a="1"/>
  <c r="ES259" i="7" s="1"/>
  <c r="DX261" i="7" a="1"/>
  <c r="DX261" i="7" s="1"/>
  <c r="FN262" i="7" a="1"/>
  <c r="FN262" i="7" s="1"/>
  <c r="ES264" i="7" a="1"/>
  <c r="ES264" i="7" s="1"/>
  <c r="DX266" i="7" a="1"/>
  <c r="DX266" i="7" s="1"/>
  <c r="EJ261" i="7" a="1"/>
  <c r="EJ261" i="7" s="1"/>
  <c r="ED268" i="7" a="1"/>
  <c r="ED268" i="7" s="1"/>
  <c r="EZ272" i="7" a="1"/>
  <c r="EZ272" i="7" s="1"/>
  <c r="DW276" i="7" a="1"/>
  <c r="DW276" i="7" s="1"/>
  <c r="GA282" i="7" a="1"/>
  <c r="GA282" i="7" s="1"/>
  <c r="DW286" i="7" a="1"/>
  <c r="DW286" i="7" s="1"/>
  <c r="ED289" i="7" a="1"/>
  <c r="ED289" i="7" s="1"/>
  <c r="EK292" i="7" a="1"/>
  <c r="EK292" i="7" s="1"/>
  <c r="EN254" i="7" a="1"/>
  <c r="EN254" i="7" s="1"/>
  <c r="ES270" i="7" a="1"/>
  <c r="ES270" i="7" s="1"/>
  <c r="GA273" i="7" a="1"/>
  <c r="GA273" i="7" s="1"/>
  <c r="FU276" i="7" a="1"/>
  <c r="FU276" i="7" s="1"/>
  <c r="FJ278" i="7" a="1"/>
  <c r="FJ278" i="7" s="1"/>
  <c r="EX280" i="7" a="1"/>
  <c r="EX280" i="7" s="1"/>
  <c r="FT282" i="7" a="1"/>
  <c r="FT282" i="7" s="1"/>
  <c r="FM178" i="7" a="1"/>
  <c r="FM178" i="7" s="1"/>
  <c r="EI203" i="7" a="1"/>
  <c r="EI203" i="7" s="1"/>
  <c r="FH200" i="7" a="1"/>
  <c r="FH200" i="7" s="1"/>
  <c r="FF199" i="7" a="1"/>
  <c r="FF199" i="7" s="1"/>
  <c r="EY194" i="7" a="1"/>
  <c r="EY194" i="7" s="1"/>
  <c r="EZ191" i="7" a="1"/>
  <c r="EZ191" i="7" s="1"/>
  <c r="EW210" i="7" a="1"/>
  <c r="EW210" i="7" s="1"/>
  <c r="DX204" i="7" a="1"/>
  <c r="DX204" i="7" s="1"/>
  <c r="EN200" i="7" a="1"/>
  <c r="EN200" i="7" s="1"/>
  <c r="EJ199" i="7" a="1"/>
  <c r="EJ199" i="7" s="1"/>
  <c r="FD194" i="7" a="1"/>
  <c r="FD194" i="7" s="1"/>
  <c r="FU193" i="7" a="1"/>
  <c r="FU193" i="7" s="1"/>
  <c r="EA208" i="7" a="1"/>
  <c r="EA208" i="7" s="1"/>
  <c r="DU225" i="7" a="1"/>
  <c r="DU225" i="7" s="1"/>
  <c r="FR233" i="7" a="1"/>
  <c r="FR233" i="7" s="1"/>
  <c r="EZ210" i="7" a="1"/>
  <c r="EZ210" i="7" s="1"/>
  <c r="FN217" i="7" a="1"/>
  <c r="FN217" i="7" s="1"/>
  <c r="FV217" i="7" a="1"/>
  <c r="FV217" i="7" s="1"/>
  <c r="DV184" i="7" a="1"/>
  <c r="DV184" i="7" s="1"/>
  <c r="EP216" i="7" a="1"/>
  <c r="EP216" i="7" s="1"/>
  <c r="EW204" i="7" a="1"/>
  <c r="EW204" i="7" s="1"/>
  <c r="EN201" i="7" a="1"/>
  <c r="EN201" i="7" s="1"/>
  <c r="FH216" i="7" a="1"/>
  <c r="FH216" i="7" s="1"/>
  <c r="EQ198" i="7" a="1"/>
  <c r="EQ198" i="7" s="1"/>
  <c r="DW220" i="7" a="1"/>
  <c r="DW220" i="7" s="1"/>
  <c r="EY215" i="7" a="1"/>
  <c r="EY215" i="7" s="1"/>
  <c r="ES186" i="7" a="1"/>
  <c r="ES186" i="7" s="1"/>
  <c r="DU221" i="7" a="1"/>
  <c r="DU221" i="7" s="1"/>
  <c r="FN214" i="7" a="1"/>
  <c r="FN214" i="7" s="1"/>
  <c r="FK217" i="7" a="1"/>
  <c r="FK217" i="7" s="1"/>
  <c r="EO223" i="7" a="1"/>
  <c r="EO223" i="7" s="1"/>
  <c r="EV158" i="7" a="1"/>
  <c r="EV158" i="7" s="1"/>
  <c r="FW228" i="7" a="1"/>
  <c r="FW228" i="7" s="1"/>
  <c r="EZ239" i="7" a="1"/>
  <c r="EZ239" i="7" s="1"/>
  <c r="FE227" i="7" a="1"/>
  <c r="FE227" i="7" s="1"/>
  <c r="FG224" i="7" a="1"/>
  <c r="FG224" i="7" s="1"/>
  <c r="EU234" i="7" a="1"/>
  <c r="EU234" i="7" s="1"/>
  <c r="ED218" i="7" a="1"/>
  <c r="ED218" i="7" s="1"/>
  <c r="DT233" i="7" a="1"/>
  <c r="DT233" i="7" s="1"/>
  <c r="FA228" i="7" a="1"/>
  <c r="FA228" i="7" s="1"/>
  <c r="EG238" i="7" a="1"/>
  <c r="EG238" i="7" s="1"/>
  <c r="FZ226" i="7" a="1"/>
  <c r="FZ226" i="7" s="1"/>
  <c r="FP214" i="7" a="1"/>
  <c r="FP214" i="7" s="1"/>
  <c r="EK233" i="7" a="1"/>
  <c r="EK233" i="7" s="1"/>
  <c r="DT194" i="7" a="1"/>
  <c r="DT194" i="7" s="1"/>
  <c r="FZ232" i="7" a="1"/>
  <c r="FZ232" i="7" s="1"/>
  <c r="FO225" i="7" a="1"/>
  <c r="FO225" i="7" s="1"/>
  <c r="FI210" i="7" a="1"/>
  <c r="FI210" i="7" s="1"/>
  <c r="FT228" i="7" a="1"/>
  <c r="FT228" i="7" s="1"/>
  <c r="EZ195" i="7" a="1"/>
  <c r="EZ195" i="7" s="1"/>
  <c r="DY242" i="7" a="1"/>
  <c r="DY242" i="7" s="1"/>
  <c r="EL251" i="7" a="1"/>
  <c r="EL251" i="7" s="1"/>
  <c r="EY256" i="7" a="1"/>
  <c r="EY256" i="7" s="1"/>
  <c r="FA243" i="7" a="1"/>
  <c r="FA243" i="7" s="1"/>
  <c r="EM251" i="7" a="1"/>
  <c r="EM251" i="7" s="1"/>
  <c r="EL243" i="7" a="1"/>
  <c r="EL243" i="7" s="1"/>
  <c r="ER252" i="7" a="1"/>
  <c r="ER252" i="7" s="1"/>
  <c r="DX257" i="7" a="1"/>
  <c r="DX257" i="7" s="1"/>
  <c r="DU244" i="7" a="1"/>
  <c r="DU244" i="7" s="1"/>
  <c r="EV248" i="7" a="1"/>
  <c r="EV248" i="7" s="1"/>
  <c r="EG228" i="7" a="1"/>
  <c r="EG228" i="7" s="1"/>
  <c r="EU240" i="7" a="1"/>
  <c r="EU240" i="7" s="1"/>
  <c r="EH245" i="7" a="1"/>
  <c r="EH245" i="7" s="1"/>
  <c r="DZ208" i="7" a="1"/>
  <c r="DZ208" i="7" s="1"/>
  <c r="EV240" i="7" a="1"/>
  <c r="EV240" i="7" s="1"/>
  <c r="EP245" i="7" a="1"/>
  <c r="EP245" i="7" s="1"/>
  <c r="EM249" i="7" a="1"/>
  <c r="EM249" i="7" s="1"/>
  <c r="GA231" i="7" a="1"/>
  <c r="GA231" i="7" s="1"/>
  <c r="ET241" i="7" a="1"/>
  <c r="ET241" i="7" s="1"/>
  <c r="EX245" i="7" a="1"/>
  <c r="EX245" i="7" s="1"/>
  <c r="ER250" i="7" a="1"/>
  <c r="ER250" i="7" s="1"/>
  <c r="EO228" i="7" a="1"/>
  <c r="EO228" i="7" s="1"/>
  <c r="FV242" i="7" a="1"/>
  <c r="FV242" i="7" s="1"/>
  <c r="FZ246" i="7" a="1"/>
  <c r="FZ246" i="7" s="1"/>
  <c r="FK216" i="7" a="1"/>
  <c r="FK216" i="7" s="1"/>
  <c r="FZ239" i="7" a="1"/>
  <c r="FZ239" i="7" s="1"/>
  <c r="EM244" i="7" a="1"/>
  <c r="EM244" i="7" s="1"/>
  <c r="DR210" i="7" a="1"/>
  <c r="DR210" i="7" s="1"/>
  <c r="FD224" i="7" a="1"/>
  <c r="FD224" i="7" s="1"/>
  <c r="FH240" i="7" a="1"/>
  <c r="FH240" i="7" s="1"/>
  <c r="FB245" i="7" a="1"/>
  <c r="FB245" i="7" s="1"/>
  <c r="EP246" i="7" a="1"/>
  <c r="EP246" i="7" s="1"/>
  <c r="GA222" i="7" a="1"/>
  <c r="GA222" i="7" s="1"/>
  <c r="FE252" i="7" a="1"/>
  <c r="FE252" i="7" s="1"/>
  <c r="EU256" i="7" a="1"/>
  <c r="EU256" i="7" s="1"/>
  <c r="EF259" i="7" a="1"/>
  <c r="EF259" i="7" s="1"/>
  <c r="EF261" i="7" a="1"/>
  <c r="EF261" i="7" s="1"/>
  <c r="FH263" i="7" a="1"/>
  <c r="FH263" i="7" s="1"/>
  <c r="FH265" i="7" a="1"/>
  <c r="FH265" i="7" s="1"/>
  <c r="FH267" i="7" a="1"/>
  <c r="FH267" i="7" s="1"/>
  <c r="DY270" i="7" a="1"/>
  <c r="DY270" i="7" s="1"/>
  <c r="DY272" i="7" a="1"/>
  <c r="DY272" i="7" s="1"/>
  <c r="FA274" i="7" a="1"/>
  <c r="FA274" i="7" s="1"/>
  <c r="EK242" i="7" a="1"/>
  <c r="EK242" i="7" s="1"/>
  <c r="EQ251" i="7" a="1"/>
  <c r="EQ251" i="7" s="1"/>
  <c r="EY243" i="7" a="1"/>
  <c r="EY243" i="7" s="1"/>
  <c r="FK253" i="7" a="1"/>
  <c r="FK253" i="7" s="1"/>
  <c r="FP257" i="7" a="1"/>
  <c r="FP257" i="7" s="1"/>
  <c r="FP259" i="7" a="1"/>
  <c r="FP259" i="7" s="1"/>
  <c r="FP261" i="7" a="1"/>
  <c r="FP261" i="7" s="1"/>
  <c r="EG264" i="7" a="1"/>
  <c r="EG264" i="7" s="1"/>
  <c r="EG266" i="7" a="1"/>
  <c r="EG266" i="7" s="1"/>
  <c r="FI268" i="7" a="1"/>
  <c r="FI268" i="7" s="1"/>
  <c r="FE243" i="7" a="1"/>
  <c r="FE243" i="7" s="1"/>
  <c r="EV252" i="7" a="1"/>
  <c r="EV252" i="7" s="1"/>
  <c r="DZ247" i="7" a="1"/>
  <c r="DZ247" i="7" s="1"/>
  <c r="FD254" i="7" a="1"/>
  <c r="FD254" i="7" s="1"/>
  <c r="DT258" i="7" a="1"/>
  <c r="DT258" i="7" s="1"/>
  <c r="DT260" i="7" a="1"/>
  <c r="DT260" i="7" s="1"/>
  <c r="DT262" i="7" a="1"/>
  <c r="DT262" i="7" s="1"/>
  <c r="EV264" i="7" a="1"/>
  <c r="EV264" i="7" s="1"/>
  <c r="EV266" i="7" a="1"/>
  <c r="EV266" i="7" s="1"/>
  <c r="FX268" i="7" a="1"/>
  <c r="FX268" i="7" s="1"/>
  <c r="EV244" i="7" a="1"/>
  <c r="EV244" i="7" s="1"/>
  <c r="EQ253" i="7" a="1"/>
  <c r="EQ253" i="7" s="1"/>
  <c r="FB247" i="7" a="1"/>
  <c r="FB247" i="7" s="1"/>
  <c r="DV253" i="7" a="1"/>
  <c r="DV253" i="7" s="1"/>
  <c r="EW257" i="7" a="1"/>
  <c r="EW257" i="7" s="1"/>
  <c r="EB259" i="7" a="1"/>
  <c r="EB259" i="7" s="1"/>
  <c r="FR260" i="7" a="1"/>
  <c r="FR260" i="7" s="1"/>
  <c r="EW262" i="7" a="1"/>
  <c r="EW262" i="7" s="1"/>
  <c r="EB264" i="7" a="1"/>
  <c r="EB264" i="7" s="1"/>
  <c r="FR265" i="7" a="1"/>
  <c r="FR265" i="7" s="1"/>
  <c r="EW267" i="7" a="1"/>
  <c r="EW267" i="7" s="1"/>
  <c r="FU246" i="7" a="1"/>
  <c r="FU246" i="7" s="1"/>
  <c r="EJ254" i="7" a="1"/>
  <c r="EJ254" i="7" s="1"/>
  <c r="FC244" i="7" a="1"/>
  <c r="FC244" i="7" s="1"/>
  <c r="FL252" i="7" a="1"/>
  <c r="FL252" i="7" s="1"/>
  <c r="DV256" i="7" a="1"/>
  <c r="DV256" i="7" s="1"/>
  <c r="EJ258" i="7" a="1"/>
  <c r="EJ258" i="7" s="1"/>
  <c r="FZ259" i="7" a="1"/>
  <c r="FZ259" i="7" s="1"/>
  <c r="ED242" i="7" a="1"/>
  <c r="ED242" i="7" s="1"/>
  <c r="FN251" i="7" a="1"/>
  <c r="FN251" i="7" s="1"/>
  <c r="EW255" i="7" a="1"/>
  <c r="EW255" i="7" s="1"/>
  <c r="FU257" i="7" a="1"/>
  <c r="FU257" i="7" s="1"/>
  <c r="EZ259" i="7" a="1"/>
  <c r="EZ259" i="7" s="1"/>
  <c r="EE261" i="7" a="1"/>
  <c r="EE261" i="7" s="1"/>
  <c r="FU262" i="7" a="1"/>
  <c r="FU262" i="7" s="1"/>
  <c r="EZ264" i="7" a="1"/>
  <c r="EZ264" i="7" s="1"/>
  <c r="EE266" i="7" a="1"/>
  <c r="EE266" i="7" s="1"/>
  <c r="DV262" i="7" a="1"/>
  <c r="DV262" i="7" s="1"/>
  <c r="EP268" i="7" a="1"/>
  <c r="EP268" i="7" s="1"/>
  <c r="FJ272" i="7" a="1"/>
  <c r="FJ272" i="7" s="1"/>
  <c r="EF276" i="7" a="1"/>
  <c r="EF276" i="7" s="1"/>
  <c r="EE283" i="7" a="1"/>
  <c r="EE283" i="7" s="1"/>
  <c r="EL286" i="7" a="1"/>
  <c r="EL286" i="7" s="1"/>
  <c r="ES289" i="7" a="1"/>
  <c r="ES289" i="7" s="1"/>
  <c r="EZ292" i="7" a="1"/>
  <c r="EZ292" i="7" s="1"/>
  <c r="FB256" i="7" a="1"/>
  <c r="FB256" i="7" s="1"/>
  <c r="FC270" i="7" a="1"/>
  <c r="FC270" i="7" s="1"/>
  <c r="DZ274" i="7" a="1"/>
  <c r="DZ274" i="7" s="1"/>
  <c r="DS277" i="7" a="1"/>
  <c r="DS277" i="7" s="1"/>
  <c r="FR278" i="7" a="1"/>
  <c r="FR278" i="7" s="1"/>
  <c r="FF280" i="7" a="1"/>
  <c r="FF280" i="7" s="1"/>
  <c r="DX283" i="7" a="1"/>
  <c r="DX283" i="7" s="1"/>
  <c r="EF179" i="7" a="1"/>
  <c r="EF179" i="7" s="1"/>
  <c r="ET203" i="7" a="1"/>
  <c r="ET203" i="7" s="1"/>
  <c r="FU200" i="7" a="1"/>
  <c r="FU200" i="7" s="1"/>
  <c r="DX200" i="7" a="1"/>
  <c r="DX200" i="7" s="1"/>
  <c r="FU194" i="7" a="1"/>
  <c r="FU194" i="7" s="1"/>
  <c r="EJ192" i="7" a="1"/>
  <c r="EJ192" i="7" s="1"/>
  <c r="FQ210" i="7" a="1"/>
  <c r="FQ210" i="7" s="1"/>
  <c r="EH204" i="7" a="1"/>
  <c r="EH204" i="7" s="1"/>
  <c r="EZ200" i="7" a="1"/>
  <c r="EZ200" i="7" s="1"/>
  <c r="FN200" i="7" a="1"/>
  <c r="FN200" i="7" s="1"/>
  <c r="EG196" i="7" a="1"/>
  <c r="EG196" i="7" s="1"/>
  <c r="EI194" i="7" a="1"/>
  <c r="EI194" i="7" s="1"/>
  <c r="FD208" i="7" a="1"/>
  <c r="FD208" i="7" s="1"/>
  <c r="EJ225" i="7" a="1"/>
  <c r="EJ225" i="7" s="1"/>
  <c r="FY233" i="7" a="1"/>
  <c r="FY233" i="7" s="1"/>
  <c r="FJ210" i="7" a="1"/>
  <c r="FJ210" i="7" s="1"/>
  <c r="DR218" i="7" a="1"/>
  <c r="DR218" i="7" s="1"/>
  <c r="DZ218" i="7" a="1"/>
  <c r="DZ218" i="7" s="1"/>
  <c r="EW188" i="7" a="1"/>
  <c r="EW188" i="7" s="1"/>
  <c r="EY216" i="7" a="1"/>
  <c r="EY216" i="7" s="1"/>
  <c r="EG206" i="7" a="1"/>
  <c r="EG206" i="7" s="1"/>
  <c r="EH203" i="7" a="1"/>
  <c r="EH203" i="7" s="1"/>
  <c r="FP216" i="7" a="1"/>
  <c r="FP216" i="7" s="1"/>
  <c r="FG200" i="7" a="1"/>
  <c r="FG200" i="7" s="1"/>
  <c r="EL220" i="7" a="1"/>
  <c r="EL220" i="7" s="1"/>
  <c r="FG215" i="7" a="1"/>
  <c r="FG215" i="7" s="1"/>
  <c r="EF189" i="7" a="1"/>
  <c r="EF189" i="7" s="1"/>
  <c r="EJ221" i="7" a="1"/>
  <c r="EJ221" i="7" s="1"/>
  <c r="FV214" i="7" a="1"/>
  <c r="FV214" i="7" s="1"/>
  <c r="FZ217" i="7" a="1"/>
  <c r="FZ217" i="7" s="1"/>
  <c r="FA223" i="7" a="1"/>
  <c r="FA223" i="7" s="1"/>
  <c r="DR201" i="7" a="1"/>
  <c r="DR201" i="7" s="1"/>
  <c r="DT229" i="7" a="1"/>
  <c r="DT229" i="7" s="1"/>
  <c r="FG239" i="7" a="1"/>
  <c r="FG239" i="7" s="1"/>
  <c r="EK229" i="7" a="1"/>
  <c r="EK229" i="7" s="1"/>
  <c r="FP224" i="7" a="1"/>
  <c r="FP224" i="7" s="1"/>
  <c r="FJ234" i="7" a="1"/>
  <c r="FJ234" i="7" s="1"/>
  <c r="FB218" i="7" a="1"/>
  <c r="FB218" i="7" s="1"/>
  <c r="EQ233" i="7" a="1"/>
  <c r="EQ233" i="7" s="1"/>
  <c r="FI228" i="7" a="1"/>
  <c r="FI228" i="7" s="1"/>
  <c r="EN238" i="7" a="1"/>
  <c r="EN238" i="7" s="1"/>
  <c r="EQ227" i="7" a="1"/>
  <c r="EQ227" i="7" s="1"/>
  <c r="DW216" i="7" a="1"/>
  <c r="DW216" i="7" s="1"/>
  <c r="EZ233" i="7" a="1"/>
  <c r="EZ233" i="7" s="1"/>
  <c r="EL202" i="7" a="1"/>
  <c r="EL202" i="7" s="1"/>
  <c r="ED233" i="7" a="1"/>
  <c r="ED233" i="7" s="1"/>
  <c r="FY225" i="7" a="1"/>
  <c r="FY225" i="7" s="1"/>
  <c r="EW211" i="7" a="1"/>
  <c r="EW211" i="7" s="1"/>
  <c r="FN229" i="7" a="1"/>
  <c r="FN229" i="7" s="1"/>
  <c r="FH211" i="7" a="1"/>
  <c r="FH211" i="7" s="1"/>
  <c r="EN242" i="7" a="1"/>
  <c r="EN242" i="7" s="1"/>
  <c r="ET251" i="7" a="1"/>
  <c r="ET251" i="7" s="1"/>
  <c r="FF256" i="7" a="1"/>
  <c r="FF256" i="7" s="1"/>
  <c r="EX244" i="7" a="1"/>
  <c r="EX244" i="7" s="1"/>
  <c r="FP221" i="7" a="1"/>
  <c r="FP221" i="7" s="1"/>
  <c r="ET243" i="7" a="1"/>
  <c r="ET243" i="7" s="1"/>
  <c r="FG252" i="7" a="1"/>
  <c r="FG252" i="7" s="1"/>
  <c r="EE257" i="7" a="1"/>
  <c r="EE257" i="7" s="1"/>
  <c r="FN244" i="7" a="1"/>
  <c r="FN244" i="7" s="1"/>
  <c r="FK248" i="7" a="1"/>
  <c r="FK248" i="7" s="1"/>
  <c r="FU228" i="7" a="1"/>
  <c r="FU228" i="7" s="1"/>
  <c r="FC240" i="7" a="1"/>
  <c r="FC240" i="7" s="1"/>
  <c r="EW245" i="7" a="1"/>
  <c r="EW245" i="7" s="1"/>
  <c r="FM213" i="7" a="1"/>
  <c r="FM213" i="7" s="1"/>
  <c r="FK240" i="7" a="1"/>
  <c r="FK240" i="7" s="1"/>
  <c r="FE245" i="7" a="1"/>
  <c r="FE245" i="7" s="1"/>
  <c r="FB249" i="7" a="1"/>
  <c r="FB249" i="7" s="1"/>
  <c r="FD232" i="7" a="1"/>
  <c r="FD232" i="7" s="1"/>
  <c r="FI241" i="7" a="1"/>
  <c r="FI241" i="7" s="1"/>
  <c r="FM245" i="7" a="1"/>
  <c r="FM245" i="7" s="1"/>
  <c r="FG250" i="7" a="1"/>
  <c r="FG250" i="7" s="1"/>
  <c r="FQ230" i="7" a="1"/>
  <c r="FQ230" i="7" s="1"/>
  <c r="DZ243" i="7" a="1"/>
  <c r="DZ243" i="7" s="1"/>
  <c r="ED247" i="7" a="1"/>
  <c r="ED247" i="7" s="1"/>
  <c r="FQ218" i="7" a="1"/>
  <c r="FQ218" i="7" s="1"/>
  <c r="FE240" i="7" a="1"/>
  <c r="FE240" i="7" s="1"/>
  <c r="FB244" i="7" a="1"/>
  <c r="FB244" i="7" s="1"/>
  <c r="ER214" i="7" a="1"/>
  <c r="ER214" i="7" s="1"/>
  <c r="FL226" i="7" a="1"/>
  <c r="FL226" i="7" s="1"/>
  <c r="FW240" i="7" a="1"/>
  <c r="FW240" i="7" s="1"/>
  <c r="FQ245" i="7" a="1"/>
  <c r="FQ245" i="7" s="1"/>
  <c r="FL246" i="7" a="1"/>
  <c r="FL246" i="7" s="1"/>
  <c r="EA229" i="7" a="1"/>
  <c r="EA229" i="7" s="1"/>
  <c r="FR252" i="7" a="1"/>
  <c r="FR252" i="7" s="1"/>
  <c r="FD256" i="7" a="1"/>
  <c r="FD256" i="7" s="1"/>
  <c r="EM259" i="7" a="1"/>
  <c r="EM259" i="7" s="1"/>
  <c r="EM261" i="7" a="1"/>
  <c r="EM261" i="7" s="1"/>
  <c r="FO263" i="7" a="1"/>
  <c r="FO263" i="7" s="1"/>
  <c r="FO265" i="7" a="1"/>
  <c r="FO265" i="7" s="1"/>
  <c r="FO267" i="7" a="1"/>
  <c r="FO267" i="7" s="1"/>
  <c r="EF270" i="7" a="1"/>
  <c r="EF270" i="7" s="1"/>
  <c r="EF272" i="7" a="1"/>
  <c r="EF272" i="7" s="1"/>
  <c r="FH274" i="7" a="1"/>
  <c r="FH274" i="7" s="1"/>
  <c r="FI242" i="7" a="1"/>
  <c r="FI242" i="7" s="1"/>
  <c r="FE251" i="7" a="1"/>
  <c r="FE251" i="7" s="1"/>
  <c r="DQ244" i="7" a="1"/>
  <c r="DQ244" i="7" s="1"/>
  <c r="FW253" i="7" a="1"/>
  <c r="FW253" i="7" s="1"/>
  <c r="FW257" i="7" a="1"/>
  <c r="FW257" i="7" s="1"/>
  <c r="FW259" i="7" a="1"/>
  <c r="FW259" i="7" s="1"/>
  <c r="FW261" i="7" a="1"/>
  <c r="FW261" i="7" s="1"/>
  <c r="EN264" i="7" a="1"/>
  <c r="EN264" i="7" s="1"/>
  <c r="EN266" i="7" a="1"/>
  <c r="EN266" i="7" s="1"/>
  <c r="FP268" i="7" a="1"/>
  <c r="FP268" i="7" s="1"/>
  <c r="DR244" i="7" a="1"/>
  <c r="DR244" i="7" s="1"/>
  <c r="EF253" i="7" a="1"/>
  <c r="EF253" i="7" s="1"/>
  <c r="EV247" i="7" a="1"/>
  <c r="EV247" i="7" s="1"/>
  <c r="FP254" i="7" a="1"/>
  <c r="FP254" i="7" s="1"/>
  <c r="EA258" i="7" a="1"/>
  <c r="EA258" i="7" s="1"/>
  <c r="EA260" i="7" a="1"/>
  <c r="EA260" i="7" s="1"/>
  <c r="EA262" i="7" a="1"/>
  <c r="EA262" i="7" s="1"/>
  <c r="FC264" i="7" a="1"/>
  <c r="FC264" i="7" s="1"/>
  <c r="FC266" i="7" a="1"/>
  <c r="FC266" i="7" s="1"/>
  <c r="DT269" i="7" a="1"/>
  <c r="DT269" i="7" s="1"/>
  <c r="FY244" i="7" a="1"/>
  <c r="FY244" i="7" s="1"/>
  <c r="FC253" i="7" a="1"/>
  <c r="FC253" i="7" s="1"/>
  <c r="FS247" i="7" a="1"/>
  <c r="FS247" i="7" s="1"/>
  <c r="EH253" i="7" a="1"/>
  <c r="EH253" i="7" s="1"/>
  <c r="FD257" i="7" a="1"/>
  <c r="FD257" i="7" s="1"/>
  <c r="EI259" i="7" a="1"/>
  <c r="EI259" i="7" s="1"/>
  <c r="FY260" i="7" a="1"/>
  <c r="FY260" i="7" s="1"/>
  <c r="FD262" i="7" a="1"/>
  <c r="FD262" i="7" s="1"/>
  <c r="EI264" i="7" a="1"/>
  <c r="EI264" i="7" s="1"/>
  <c r="FY265" i="7" a="1"/>
  <c r="FY265" i="7" s="1"/>
  <c r="FD267" i="7" a="1"/>
  <c r="FD267" i="7" s="1"/>
  <c r="FA248" i="7" a="1"/>
  <c r="FA248" i="7" s="1"/>
  <c r="EV254" i="7" a="1"/>
  <c r="EV254" i="7" s="1"/>
  <c r="EG247" i="7" a="1"/>
  <c r="EG247" i="7" s="1"/>
  <c r="DY253" i="7" a="1"/>
  <c r="DY253" i="7" s="1"/>
  <c r="EG256" i="7" a="1"/>
  <c r="EG256" i="7" s="1"/>
  <c r="EQ258" i="7" a="1"/>
  <c r="EQ258" i="7" s="1"/>
  <c r="DV260" i="7" a="1"/>
  <c r="DV260" i="7" s="1"/>
  <c r="FB242" i="7" a="1"/>
  <c r="FB242" i="7" s="1"/>
  <c r="DQ252" i="7" a="1"/>
  <c r="DQ252" i="7" s="1"/>
  <c r="FH255" i="7" a="1"/>
  <c r="FH255" i="7" s="1"/>
  <c r="DQ258" i="7" a="1"/>
  <c r="DQ258" i="7" s="1"/>
  <c r="FG259" i="7" a="1"/>
  <c r="FG259" i="7" s="1"/>
  <c r="EL261" i="7" a="1"/>
  <c r="EL261" i="7" s="1"/>
  <c r="DQ263" i="7" a="1"/>
  <c r="DQ263" i="7" s="1"/>
  <c r="FG264" i="7" a="1"/>
  <c r="FG264" i="7" s="1"/>
  <c r="ES266" i="7" a="1"/>
  <c r="ES266" i="7" s="1"/>
  <c r="ER262" i="7" a="1"/>
  <c r="ER262" i="7" s="1"/>
  <c r="FU268" i="7" a="1"/>
  <c r="FU268" i="7" s="1"/>
  <c r="GA272" i="7" a="1"/>
  <c r="GA272" i="7" s="1"/>
  <c r="DR277" i="7" a="1"/>
  <c r="DR277" i="7" s="1"/>
  <c r="EM283" i="7" a="1"/>
  <c r="EM283" i="7" s="1"/>
  <c r="ET286" i="7" a="1"/>
  <c r="ET286" i="7" s="1"/>
  <c r="FA289" i="7" a="1"/>
  <c r="FA289" i="7" s="1"/>
  <c r="FH292" i="7" a="1"/>
  <c r="FH292" i="7" s="1"/>
  <c r="EJ257" i="7" a="1"/>
  <c r="EJ257" i="7" s="1"/>
  <c r="FT270" i="7" a="1"/>
  <c r="FT270" i="7" s="1"/>
  <c r="EQ274" i="7" a="1"/>
  <c r="EQ274" i="7" s="1"/>
  <c r="EA277" i="7" a="1"/>
  <c r="EA277" i="7" s="1"/>
  <c r="FZ278" i="7" a="1"/>
  <c r="FZ278" i="7" s="1"/>
  <c r="FN280" i="7" a="1"/>
  <c r="FN280" i="7" s="1"/>
  <c r="EF283" i="7" a="1"/>
  <c r="EF283" i="7" s="1"/>
  <c r="FI186" i="7" a="1"/>
  <c r="FI186" i="7" s="1"/>
  <c r="FG203" i="7" a="1"/>
  <c r="FG203" i="7" s="1"/>
  <c r="ES205" i="7" a="1"/>
  <c r="ES205" i="7" s="1"/>
  <c r="DU201" i="7" a="1"/>
  <c r="DU201" i="7" s="1"/>
  <c r="EJ200" i="7" a="1"/>
  <c r="EJ200" i="7" s="1"/>
  <c r="FQ192" i="7" a="1"/>
  <c r="FQ192" i="7" s="1"/>
  <c r="EW147" i="7" a="1"/>
  <c r="EW147" i="7" s="1"/>
  <c r="FO204" i="7" a="1"/>
  <c r="FO204" i="7" s="1"/>
  <c r="ET204" i="7" a="1"/>
  <c r="ET204" i="7" s="1"/>
  <c r="FJ201" i="7" a="1"/>
  <c r="FJ201" i="7" s="1"/>
  <c r="FA200" i="7" a="1"/>
  <c r="FA200" i="7" s="1"/>
  <c r="EK196" i="7" a="1"/>
  <c r="EK196" i="7" s="1"/>
  <c r="EY212" i="7" a="1"/>
  <c r="EY212" i="7" s="1"/>
  <c r="ER225" i="7" a="1"/>
  <c r="ER225" i="7" s="1"/>
  <c r="EB235" i="7" a="1"/>
  <c r="EB235" i="7" s="1"/>
  <c r="FU210" i="7" a="1"/>
  <c r="FU210" i="7" s="1"/>
  <c r="EX220" i="7" a="1"/>
  <c r="EX220" i="7" s="1"/>
  <c r="EO218" i="7" a="1"/>
  <c r="EO218" i="7" s="1"/>
  <c r="ET208" i="7" a="1"/>
  <c r="ET208" i="7" s="1"/>
  <c r="FG216" i="7" a="1"/>
  <c r="FG216" i="7" s="1"/>
  <c r="FW210" i="7" a="1"/>
  <c r="FW210" i="7" s="1"/>
  <c r="EB205" i="7" a="1"/>
  <c r="EB205" i="7" s="1"/>
  <c r="FU218" i="7" a="1"/>
  <c r="FU218" i="7" s="1"/>
  <c r="FZ201" i="7" a="1"/>
  <c r="FZ201" i="7" s="1"/>
  <c r="FR222" i="7" a="1"/>
  <c r="FR222" i="7" s="1"/>
  <c r="FO215" i="7" a="1"/>
  <c r="FO215" i="7" s="1"/>
  <c r="FV206" i="7" a="1"/>
  <c r="FV206" i="7" s="1"/>
  <c r="ER221" i="7" a="1"/>
  <c r="ER221" i="7" s="1"/>
  <c r="FI181" i="7" a="1"/>
  <c r="FI181" i="7" s="1"/>
  <c r="DW218" i="7" a="1"/>
  <c r="DW218" i="7" s="1"/>
  <c r="ET226" i="7" a="1"/>
  <c r="ET226" i="7" s="1"/>
  <c r="EB204" i="7" a="1"/>
  <c r="EB204" i="7" s="1"/>
  <c r="DR232" i="7" a="1"/>
  <c r="DR232" i="7" s="1"/>
  <c r="FN239" i="7" a="1"/>
  <c r="FN239" i="7" s="1"/>
  <c r="FK230" i="7" a="1"/>
  <c r="FK230" i="7" s="1"/>
  <c r="FZ224" i="7" a="1"/>
  <c r="FZ224" i="7" s="1"/>
  <c r="ET237" i="7" a="1"/>
  <c r="ET237" i="7" s="1"/>
  <c r="ER219" i="7" a="1"/>
  <c r="ER219" i="7" s="1"/>
  <c r="EA236" i="7" a="1"/>
  <c r="EA236" i="7" s="1"/>
  <c r="FQ228" i="7" a="1"/>
  <c r="FQ228" i="7" s="1"/>
  <c r="FB239" i="7" a="1"/>
  <c r="FB239" i="7" s="1"/>
  <c r="DU228" i="7" a="1"/>
  <c r="DU228" i="7" s="1"/>
  <c r="ER222" i="7" a="1"/>
  <c r="ER222" i="7" s="1"/>
  <c r="FO233" i="7" a="1"/>
  <c r="FO233" i="7" s="1"/>
  <c r="EA219" i="7" a="1"/>
  <c r="EA219" i="7" s="1"/>
  <c r="ES233" i="7" a="1"/>
  <c r="ES233" i="7" s="1"/>
  <c r="FS228" i="7" a="1"/>
  <c r="FS228" i="7" s="1"/>
  <c r="DQ213" i="7" a="1"/>
  <c r="DQ213" i="7" s="1"/>
  <c r="FV229" i="7" a="1"/>
  <c r="FV229" i="7" s="1"/>
  <c r="DQ224" i="7" a="1"/>
  <c r="DQ224" i="7" s="1"/>
  <c r="FW243" i="7" a="1"/>
  <c r="FW243" i="7" s="1"/>
  <c r="FI251" i="7" a="1"/>
  <c r="FI251" i="7" s="1"/>
  <c r="FM256" i="7" a="1"/>
  <c r="FM256" i="7" s="1"/>
  <c r="FM244" i="7" a="1"/>
  <c r="FM244" i="7" s="1"/>
  <c r="EH226" i="7" a="1"/>
  <c r="EH226" i="7" s="1"/>
  <c r="DR245" i="7" a="1"/>
  <c r="DR245" i="7" s="1"/>
  <c r="FN252" i="7" a="1"/>
  <c r="FN252" i="7" s="1"/>
  <c r="EL257" i="7" a="1"/>
  <c r="EL257" i="7" s="1"/>
  <c r="FV244" i="7" a="1"/>
  <c r="FV244" i="7" s="1"/>
  <c r="FP249" i="7" a="1"/>
  <c r="FP249" i="7" s="1"/>
  <c r="EX229" i="7" a="1"/>
  <c r="EX229" i="7" s="1"/>
  <c r="FR240" i="7" a="1"/>
  <c r="FR240" i="7" s="1"/>
  <c r="FL245" i="7" a="1"/>
  <c r="FL245" i="7" s="1"/>
  <c r="EF216" i="7" a="1"/>
  <c r="EF216" i="7" s="1"/>
  <c r="FP241" i="7" a="1"/>
  <c r="FP241" i="7" s="1"/>
  <c r="FT245" i="7" a="1"/>
  <c r="FT245" i="7" s="1"/>
  <c r="FQ249" i="7" a="1"/>
  <c r="FQ249" i="7" s="1"/>
  <c r="DY233" i="7" a="1"/>
  <c r="DY233" i="7" s="1"/>
  <c r="FX241" i="7" a="1"/>
  <c r="FX241" i="7" s="1"/>
  <c r="FR246" i="7" a="1"/>
  <c r="FR246" i="7" s="1"/>
  <c r="FO250" i="7" a="1"/>
  <c r="FO250" i="7" s="1"/>
  <c r="ET231" i="7" a="1"/>
  <c r="ET231" i="7" s="1"/>
  <c r="EO243" i="7" a="1"/>
  <c r="EO243" i="7" s="1"/>
  <c r="ES247" i="7" a="1"/>
  <c r="ES247" i="7" s="1"/>
  <c r="ED227" i="7" a="1"/>
  <c r="ED227" i="7" s="1"/>
  <c r="FT240" i="7" a="1"/>
  <c r="FT240" i="7" s="1"/>
  <c r="FQ244" i="7" a="1"/>
  <c r="FQ244" i="7" s="1"/>
  <c r="DY217" i="7" a="1"/>
  <c r="DY217" i="7" s="1"/>
  <c r="EU227" i="7" a="1"/>
  <c r="EU227" i="7" s="1"/>
  <c r="DX242" i="7" a="1"/>
  <c r="DX242" i="7" s="1"/>
  <c r="DU246" i="7" a="1"/>
  <c r="DU246" i="7" s="1"/>
  <c r="FI248" i="7" a="1"/>
  <c r="FI248" i="7" s="1"/>
  <c r="FI236" i="7" a="1"/>
  <c r="FI236" i="7" s="1"/>
  <c r="DS253" i="7" a="1"/>
  <c r="DS253" i="7" s="1"/>
  <c r="ET257" i="7" a="1"/>
  <c r="ET257" i="7" s="1"/>
  <c r="ET259" i="7" a="1"/>
  <c r="ET259" i="7" s="1"/>
  <c r="ET261" i="7" a="1"/>
  <c r="ET261" i="7" s="1"/>
  <c r="FV263" i="7" a="1"/>
  <c r="FV263" i="7" s="1"/>
  <c r="FV265" i="7" a="1"/>
  <c r="FV265" i="7" s="1"/>
  <c r="EM268" i="7" a="1"/>
  <c r="EM268" i="7" s="1"/>
  <c r="EM270" i="7" a="1"/>
  <c r="EM270" i="7" s="1"/>
  <c r="EM272" i="7" a="1"/>
  <c r="EM272" i="7" s="1"/>
  <c r="FO274" i="7" a="1"/>
  <c r="FO274" i="7" s="1"/>
  <c r="EA243" i="7" a="1"/>
  <c r="EA243" i="7" s="1"/>
  <c r="EC253" i="7" a="1"/>
  <c r="EC253" i="7" s="1"/>
  <c r="EO244" i="7" a="1"/>
  <c r="EO244" i="7" s="1"/>
  <c r="EQ254" i="7" a="1"/>
  <c r="EQ254" i="7" s="1"/>
  <c r="DS258" i="7" a="1"/>
  <c r="DS258" i="7" s="1"/>
  <c r="DS260" i="7" a="1"/>
  <c r="DS260" i="7" s="1"/>
  <c r="EU262" i="7" a="1"/>
  <c r="EU262" i="7" s="1"/>
  <c r="EU264" i="7" a="1"/>
  <c r="EU264" i="7" s="1"/>
  <c r="EU266" i="7" a="1"/>
  <c r="EU266" i="7" s="1"/>
  <c r="FW268" i="7" a="1"/>
  <c r="FW268" i="7" s="1"/>
  <c r="EU244" i="7" a="1"/>
  <c r="EU244" i="7" s="1"/>
  <c r="FO254" i="7" a="1"/>
  <c r="FO254" i="7" s="1"/>
  <c r="FR247" i="7" a="1"/>
  <c r="FR247" i="7" s="1"/>
  <c r="FY254" i="7" a="1"/>
  <c r="FY254" i="7" s="1"/>
  <c r="EH258" i="7" a="1"/>
  <c r="EH258" i="7" s="1"/>
  <c r="EH260" i="7" a="1"/>
  <c r="EH260" i="7" s="1"/>
  <c r="FJ262" i="7" a="1"/>
  <c r="FJ262" i="7" s="1"/>
  <c r="FJ264" i="7" a="1"/>
  <c r="FJ264" i="7" s="1"/>
  <c r="FJ266" i="7" a="1"/>
  <c r="FJ266" i="7" s="1"/>
  <c r="EA269" i="7" a="1"/>
  <c r="EA269" i="7" s="1"/>
  <c r="FO245" i="7" a="1"/>
  <c r="FO245" i="7" s="1"/>
  <c r="EH257" i="7" a="1"/>
  <c r="EH257" i="7" s="1"/>
  <c r="ED248" i="7" a="1"/>
  <c r="ED248" i="7" s="1"/>
  <c r="FO253" i="7" a="1"/>
  <c r="FO253" i="7" s="1"/>
  <c r="FK257" i="7" a="1"/>
  <c r="FK257" i="7" s="1"/>
  <c r="EP259" i="7" a="1"/>
  <c r="EP259" i="7" s="1"/>
  <c r="DU261" i="7" a="1"/>
  <c r="DU261" i="7" s="1"/>
  <c r="FK262" i="7" a="1"/>
  <c r="FK262" i="7" s="1"/>
  <c r="EP264" i="7" a="1"/>
  <c r="EP264" i="7" s="1"/>
  <c r="DU266" i="7" a="1"/>
  <c r="DU266" i="7" s="1"/>
  <c r="FK267" i="7" a="1"/>
  <c r="FK267" i="7" s="1"/>
  <c r="FW248" i="7" a="1"/>
  <c r="FW248" i="7" s="1"/>
  <c r="EI257" i="7" a="1"/>
  <c r="EI257" i="7" s="1"/>
  <c r="FC247" i="7" a="1"/>
  <c r="FC247" i="7" s="1"/>
  <c r="EI253" i="7" a="1"/>
  <c r="EI253" i="7" s="1"/>
  <c r="EP256" i="7" a="1"/>
  <c r="EP256" i="7" s="1"/>
  <c r="EX258" i="7" a="1"/>
  <c r="EX258" i="7" s="1"/>
  <c r="EC260" i="7" a="1"/>
  <c r="EC260" i="7" s="1"/>
  <c r="DT243" i="7" a="1"/>
  <c r="DT243" i="7" s="1"/>
  <c r="ED252" i="7" a="1"/>
  <c r="ED252" i="7" s="1"/>
  <c r="FQ255" i="7" a="1"/>
  <c r="FQ255" i="7" s="1"/>
  <c r="DX258" i="7" a="1"/>
  <c r="DX258" i="7" s="1"/>
  <c r="FN259" i="7" a="1"/>
  <c r="FN259" i="7" s="1"/>
  <c r="ES261" i="7" a="1"/>
  <c r="ES261" i="7" s="1"/>
  <c r="DX263" i="7" a="1"/>
  <c r="DX263" i="7" s="1"/>
  <c r="FU264" i="7" a="1"/>
  <c r="FU264" i="7" s="1"/>
  <c r="FU240" i="7" a="1"/>
  <c r="FU240" i="7" s="1"/>
  <c r="FS262" i="7" a="1"/>
  <c r="FS262" i="7" s="1"/>
  <c r="DV269" i="7" a="1"/>
  <c r="DV269" i="7" s="1"/>
  <c r="DZ273" i="7" a="1"/>
  <c r="DZ273" i="7" s="1"/>
  <c r="FO277" i="7" a="1"/>
  <c r="FO277" i="7" s="1"/>
  <c r="FB283" i="7" a="1"/>
  <c r="FB283" i="7" s="1"/>
  <c r="FI286" i="7" a="1"/>
  <c r="FI286" i="7" s="1"/>
  <c r="FP289" i="7" a="1"/>
  <c r="FP289" i="7" s="1"/>
  <c r="FW292" i="7" a="1"/>
  <c r="FW292" i="7" s="1"/>
  <c r="EK258" i="7" a="1"/>
  <c r="EK258" i="7" s="1"/>
  <c r="DS271" i="7" a="1"/>
  <c r="DS271" i="7" s="1"/>
  <c r="FR274" i="7" a="1"/>
  <c r="FR274" i="7" s="1"/>
  <c r="EI277" i="7" a="1"/>
  <c r="EI277" i="7" s="1"/>
  <c r="DW279" i="7" a="1"/>
  <c r="DW279" i="7" s="1"/>
  <c r="FW280" i="7" a="1"/>
  <c r="FW280" i="7" s="1"/>
  <c r="EU283" i="7" a="1"/>
  <c r="EU283" i="7" s="1"/>
  <c r="EO187" i="7" a="1"/>
  <c r="EO187" i="7" s="1"/>
  <c r="FQ203" i="7" a="1"/>
  <c r="FQ203" i="7" s="1"/>
  <c r="FC205" i="7" a="1"/>
  <c r="FC205" i="7" s="1"/>
  <c r="EH201" i="7" a="1"/>
  <c r="EH201" i="7" s="1"/>
  <c r="EW200" i="7" a="1"/>
  <c r="EW200" i="7" s="1"/>
  <c r="FW194" i="7" a="1"/>
  <c r="FW194" i="7" s="1"/>
  <c r="EN157" i="7" a="1"/>
  <c r="EN157" i="7" s="1"/>
  <c r="FY204" i="7" a="1"/>
  <c r="FY204" i="7" s="1"/>
  <c r="FD204" i="7" a="1"/>
  <c r="FD204" i="7" s="1"/>
  <c r="FU201" i="7" a="1"/>
  <c r="FU201" i="7" s="1"/>
  <c r="FO200" i="7" a="1"/>
  <c r="FO200" i="7" s="1"/>
  <c r="FF196" i="7" a="1"/>
  <c r="FF196" i="7" s="1"/>
  <c r="FI212" i="7" a="1"/>
  <c r="FI212" i="7" s="1"/>
  <c r="FG225" i="7" a="1"/>
  <c r="FG225" i="7" s="1"/>
  <c r="EI235" i="7" a="1"/>
  <c r="EI235" i="7" s="1"/>
  <c r="DT211" i="7" a="1"/>
  <c r="DT211" i="7" s="1"/>
  <c r="FF220" i="7" a="1"/>
  <c r="FF220" i="7" s="1"/>
  <c r="FD218" i="7" a="1"/>
  <c r="FD218" i="7" s="1"/>
  <c r="FU208" i="7" a="1"/>
  <c r="FU208" i="7" s="1"/>
  <c r="FO216" i="7" a="1"/>
  <c r="FO216" i="7" s="1"/>
  <c r="EG211" i="7" a="1"/>
  <c r="EG211" i="7" s="1"/>
  <c r="FK205" i="7" a="1"/>
  <c r="FK205" i="7" s="1"/>
  <c r="DY219" i="7" a="1"/>
  <c r="DY219" i="7" s="1"/>
  <c r="DQ204" i="7" a="1"/>
  <c r="DQ204" i="7" s="1"/>
  <c r="DV223" i="7" a="1"/>
  <c r="DV223" i="7" s="1"/>
  <c r="FW215" i="7" a="1"/>
  <c r="FW215" i="7" s="1"/>
  <c r="EH207" i="7" a="1"/>
  <c r="EH207" i="7" s="1"/>
  <c r="FG221" i="7" a="1"/>
  <c r="FG221" i="7" s="1"/>
  <c r="ET186" i="7" a="1"/>
  <c r="ET186" i="7" s="1"/>
  <c r="EL218" i="7" a="1"/>
  <c r="EL218" i="7" s="1"/>
  <c r="FC226" i="7" a="1"/>
  <c r="FC226" i="7" s="1"/>
  <c r="FB206" i="7" a="1"/>
  <c r="FB206" i="7" s="1"/>
  <c r="DZ232" i="7" a="1"/>
  <c r="DZ232" i="7" s="1"/>
  <c r="FU239" i="7" a="1"/>
  <c r="FU239" i="7" s="1"/>
  <c r="FS230" i="7" a="1"/>
  <c r="FS230" i="7" s="1"/>
  <c r="DY225" i="7" a="1"/>
  <c r="DY225" i="7" s="1"/>
  <c r="FA237" i="7" a="1"/>
  <c r="FA237" i="7" s="1"/>
  <c r="FJ220" i="7" a="1"/>
  <c r="FJ220" i="7" s="1"/>
  <c r="EX236" i="7" a="1"/>
  <c r="EX236" i="7" s="1"/>
  <c r="FY228" i="7" a="1"/>
  <c r="FY228" i="7" s="1"/>
  <c r="FI239" i="7" a="1"/>
  <c r="FI239" i="7" s="1"/>
  <c r="EC228" i="7" a="1"/>
  <c r="EC228" i="7" s="1"/>
  <c r="FU222" i="7" a="1"/>
  <c r="FU222" i="7" s="1"/>
  <c r="DS234" i="7" a="1"/>
  <c r="DS234" i="7" s="1"/>
  <c r="DQ220" i="7" a="1"/>
  <c r="DQ220" i="7" s="1"/>
  <c r="FH233" i="7" a="1"/>
  <c r="FH233" i="7" s="1"/>
  <c r="EO229" i="7" a="1"/>
  <c r="EO229" i="7" s="1"/>
  <c r="EP214" i="7" a="1"/>
  <c r="EP214" i="7" s="1"/>
  <c r="DS230" i="7" a="1"/>
  <c r="DS230" i="7" s="1"/>
  <c r="FM224" i="7" a="1"/>
  <c r="FM224" i="7" s="1"/>
  <c r="FT244" i="7" a="1"/>
  <c r="FT244" i="7" s="1"/>
  <c r="GA252" i="7" a="1"/>
  <c r="GA252" i="7" s="1"/>
  <c r="FT256" i="7" a="1"/>
  <c r="FT256" i="7" s="1"/>
  <c r="DQ245" i="7" a="1"/>
  <c r="DQ245" i="7" s="1"/>
  <c r="FC227" i="7" a="1"/>
  <c r="FC227" i="7" s="1"/>
  <c r="FZ245" i="7" a="1"/>
  <c r="FZ245" i="7" s="1"/>
  <c r="EZ253" i="7" a="1"/>
  <c r="EZ253" i="7" s="1"/>
  <c r="DU206" i="7" a="1"/>
  <c r="DU206" i="7" s="1"/>
  <c r="DZ245" i="7" a="1"/>
  <c r="DZ245" i="7" s="1"/>
  <c r="DT250" i="7" a="1"/>
  <c r="DT250" i="7" s="1"/>
  <c r="FI230" i="7" a="1"/>
  <c r="FI230" i="7" s="1"/>
  <c r="DV241" i="7" a="1"/>
  <c r="DV241" i="7" s="1"/>
  <c r="GA245" i="7" a="1"/>
  <c r="GA245" i="7" s="1"/>
  <c r="ES218" i="7" a="1"/>
  <c r="ES218" i="7" s="1"/>
  <c r="DT242" i="7" a="1"/>
  <c r="DT242" i="7" s="1"/>
  <c r="DX246" i="7" a="1"/>
  <c r="DX246" i="7" s="1"/>
  <c r="DU250" i="7" a="1"/>
  <c r="DU250" i="7" s="1"/>
  <c r="FJ233" i="7" a="1"/>
  <c r="FJ233" i="7" s="1"/>
  <c r="EB242" i="7" a="1"/>
  <c r="EB242" i="7" s="1"/>
  <c r="DV247" i="7" a="1"/>
  <c r="DV247" i="7" s="1"/>
  <c r="DS251" i="7" a="1"/>
  <c r="DS251" i="7" s="1"/>
  <c r="EK234" i="7" a="1"/>
  <c r="EK234" i="7" s="1"/>
  <c r="FD243" i="7" a="1"/>
  <c r="FD243" i="7" s="1"/>
  <c r="FA247" i="7" a="1"/>
  <c r="FA247" i="7" s="1"/>
  <c r="FS227" i="7" a="1"/>
  <c r="FS227" i="7" s="1"/>
  <c r="DX241" i="7" a="1"/>
  <c r="DX241" i="7" s="1"/>
  <c r="DU245" i="7" a="1"/>
  <c r="DU245" i="7" s="1"/>
  <c r="FY220" i="7" a="1"/>
  <c r="FY220" i="7" s="1"/>
  <c r="DX228" i="7" a="1"/>
  <c r="DX228" i="7" s="1"/>
  <c r="EF242" i="7" a="1"/>
  <c r="EF242" i="7" s="1"/>
  <c r="EA210" i="7" a="1"/>
  <c r="EA210" i="7" s="1"/>
  <c r="DT249" i="7" a="1"/>
  <c r="DT249" i="7" s="1"/>
  <c r="DW238" i="7" a="1"/>
  <c r="DW238" i="7" s="1"/>
  <c r="EX253" i="7" a="1"/>
  <c r="EX253" i="7" s="1"/>
  <c r="FA257" i="7" a="1"/>
  <c r="FA257" i="7" s="1"/>
  <c r="FA259" i="7" a="1"/>
  <c r="FA259" i="7" s="1"/>
  <c r="FA261" i="7" a="1"/>
  <c r="FA261" i="7" s="1"/>
  <c r="DR264" i="7" a="1"/>
  <c r="DR264" i="7" s="1"/>
  <c r="DR266" i="7" a="1"/>
  <c r="DR266" i="7" s="1"/>
  <c r="ET268" i="7" a="1"/>
  <c r="ET268" i="7" s="1"/>
  <c r="ET270" i="7" a="1"/>
  <c r="ET270" i="7" s="1"/>
  <c r="ET272" i="7" a="1"/>
  <c r="ET272" i="7" s="1"/>
  <c r="FV274" i="7" a="1"/>
  <c r="FV274" i="7" s="1"/>
  <c r="ED245" i="7" a="1"/>
  <c r="ED245" i="7" s="1"/>
  <c r="EO253" i="7" a="1"/>
  <c r="EO253" i="7" s="1"/>
  <c r="FR244" i="7" a="1"/>
  <c r="FR244" i="7" s="1"/>
  <c r="FC254" i="7" a="1"/>
  <c r="FC254" i="7" s="1"/>
  <c r="DZ258" i="7" a="1"/>
  <c r="DZ258" i="7" s="1"/>
  <c r="DZ260" i="7" a="1"/>
  <c r="DZ260" i="7" s="1"/>
  <c r="FB262" i="7" a="1"/>
  <c r="FB262" i="7" s="1"/>
  <c r="FB264" i="7" a="1"/>
  <c r="FB264" i="7" s="1"/>
  <c r="FB266" i="7" a="1"/>
  <c r="FB266" i="7" s="1"/>
  <c r="DS269" i="7" a="1"/>
  <c r="DS269" i="7" s="1"/>
  <c r="EW246" i="7" a="1"/>
  <c r="EW246" i="7" s="1"/>
  <c r="DY257" i="7" a="1"/>
  <c r="DY257" i="7" s="1"/>
  <c r="EC248" i="7" a="1"/>
  <c r="EC248" i="7" s="1"/>
  <c r="DY255" i="7" a="1"/>
  <c r="DY255" i="7" s="1"/>
  <c r="EO258" i="7" a="1"/>
  <c r="EO258" i="7" s="1"/>
  <c r="EO260" i="7" a="1"/>
  <c r="EO260" i="7" s="1"/>
  <c r="FQ262" i="7" a="1"/>
  <c r="FQ262" i="7" s="1"/>
  <c r="FQ264" i="7" a="1"/>
  <c r="FQ264" i="7" s="1"/>
  <c r="FQ266" i="7" a="1"/>
  <c r="FQ266" i="7" s="1"/>
  <c r="EH269" i="7" a="1"/>
  <c r="EH269" i="7" s="1"/>
  <c r="EX246" i="7" a="1"/>
  <c r="EX246" i="7" s="1"/>
  <c r="DZ217" i="7" a="1"/>
  <c r="DZ217" i="7" s="1"/>
  <c r="EZ248" i="7" a="1"/>
  <c r="EZ248" i="7" s="1"/>
  <c r="FY253" i="7" a="1"/>
  <c r="FY253" i="7" s="1"/>
  <c r="FR257" i="7" a="1"/>
  <c r="FR257" i="7" s="1"/>
  <c r="EW259" i="7" a="1"/>
  <c r="EW259" i="7" s="1"/>
  <c r="EB261" i="7" a="1"/>
  <c r="EB261" i="7" s="1"/>
  <c r="FR262" i="7" a="1"/>
  <c r="FR262" i="7" s="1"/>
  <c r="EW264" i="7" a="1"/>
  <c r="EW264" i="7" s="1"/>
  <c r="EB266" i="7" a="1"/>
  <c r="EB266" i="7" s="1"/>
  <c r="GA227" i="7" a="1"/>
  <c r="GA227" i="7" s="1"/>
  <c r="EV249" i="7" a="1"/>
  <c r="EV249" i="7" s="1"/>
  <c r="EC219" i="7" a="1"/>
  <c r="EC219" i="7" s="1"/>
  <c r="FY247" i="7" a="1"/>
  <c r="FY247" i="7" s="1"/>
  <c r="EU253" i="7" a="1"/>
  <c r="EU253" i="7" s="1"/>
  <c r="FA256" i="7" a="1"/>
  <c r="FA256" i="7" s="1"/>
  <c r="FE258" i="7" a="1"/>
  <c r="FE258" i="7" s="1"/>
  <c r="EJ260" i="7" a="1"/>
  <c r="EJ260" i="7" s="1"/>
  <c r="DW245" i="7" a="1"/>
  <c r="DW245" i="7" s="1"/>
  <c r="EP252" i="7" a="1"/>
  <c r="EP252" i="7" s="1"/>
  <c r="FZ255" i="7" a="1"/>
  <c r="FZ255" i="7" s="1"/>
  <c r="EE258" i="7" a="1"/>
  <c r="EE258" i="7" s="1"/>
  <c r="FU259" i="7" a="1"/>
  <c r="FU259" i="7" s="1"/>
  <c r="EZ261" i="7" a="1"/>
  <c r="EZ261" i="7" s="1"/>
  <c r="EL263" i="7" a="1"/>
  <c r="EL263" i="7" s="1"/>
  <c r="DQ265" i="7" a="1"/>
  <c r="DQ265" i="7" s="1"/>
  <c r="FX242" i="7" a="1"/>
  <c r="FX242" i="7" s="1"/>
  <c r="ED263" i="7" a="1"/>
  <c r="ED263" i="7" s="1"/>
  <c r="FT269" i="7" a="1"/>
  <c r="FT269" i="7" s="1"/>
  <c r="EQ273" i="7" a="1"/>
  <c r="EQ273" i="7" s="1"/>
  <c r="FA278" i="7" a="1"/>
  <c r="FA278" i="7" s="1"/>
  <c r="FQ283" i="7" a="1"/>
  <c r="FQ283" i="7" s="1"/>
  <c r="FX286" i="7" a="1"/>
  <c r="FX286" i="7" s="1"/>
  <c r="DT290" i="7" a="1"/>
  <c r="DT290" i="7" s="1"/>
  <c r="EA293" i="7" a="1"/>
  <c r="EA293" i="7" s="1"/>
  <c r="FT259" i="7" a="1"/>
  <c r="FT259" i="7" s="1"/>
  <c r="EJ271" i="7" a="1"/>
  <c r="EJ271" i="7" s="1"/>
  <c r="DX275" i="7" a="1"/>
  <c r="DX275" i="7" s="1"/>
  <c r="EQ277" i="7" a="1"/>
  <c r="EQ277" i="7" s="1"/>
  <c r="EE279" i="7" a="1"/>
  <c r="EE279" i="7" s="1"/>
  <c r="DT281" i="7" a="1"/>
  <c r="DT281" i="7" s="1"/>
  <c r="FJ283" i="7" a="1"/>
  <c r="FJ283" i="7" s="1"/>
  <c r="FQ286" i="7" a="1"/>
  <c r="FQ286" i="7" s="1"/>
  <c r="FL261" i="7" a="1"/>
  <c r="FL261" i="7" s="1"/>
  <c r="DQ267" i="7" a="1"/>
  <c r="DQ267" i="7" s="1"/>
  <c r="FC271" i="7" a="1"/>
  <c r="FC271" i="7" s="1"/>
  <c r="DZ275" i="7" a="1"/>
  <c r="DZ275" i="7" s="1"/>
  <c r="EX282" i="7" a="1"/>
  <c r="EX282" i="7" s="1"/>
  <c r="FE285" i="7" a="1"/>
  <c r="FE285" i="7" s="1"/>
  <c r="FL288" i="7" a="1"/>
  <c r="FL288" i="7" s="1"/>
  <c r="FS291" i="7" a="1"/>
  <c r="FS291" i="7" s="1"/>
  <c r="FM249" i="7" a="1"/>
  <c r="FM249" i="7" s="1"/>
  <c r="FW269" i="7" a="1"/>
  <c r="FW269" i="7" s="1"/>
  <c r="FK273" i="7" a="1"/>
  <c r="FK273" i="7" s="1"/>
  <c r="FF276" i="7" a="1"/>
  <c r="FF276" i="7" s="1"/>
  <c r="EU278" i="7" a="1"/>
  <c r="EU278" i="7" s="1"/>
  <c r="EI280" i="7" a="1"/>
  <c r="EI280" i="7" s="1"/>
  <c r="FF282" i="7" a="1"/>
  <c r="FF282" i="7" s="1"/>
  <c r="ES245" i="7" a="1"/>
  <c r="ES245" i="7" s="1"/>
  <c r="EC262" i="7" a="1"/>
  <c r="EC262" i="7" s="1"/>
  <c r="FG267" i="7" a="1"/>
  <c r="FG267" i="7" s="1"/>
  <c r="DT272" i="7" a="1"/>
  <c r="DT272" i="7" s="1"/>
  <c r="FB275" i="7" a="1"/>
  <c r="FB275" i="7" s="1"/>
  <c r="FN282" i="7" a="1"/>
  <c r="FN282" i="7" s="1"/>
  <c r="EQ243" i="7" a="1"/>
  <c r="EQ243" i="7" s="1"/>
  <c r="FZ268" i="7" a="1"/>
  <c r="FZ268" i="7" s="1"/>
  <c r="DT273" i="7" a="1"/>
  <c r="DT273" i="7" s="1"/>
  <c r="EQ276" i="7" a="1"/>
  <c r="EQ276" i="7" s="1"/>
  <c r="EE278" i="7" a="1"/>
  <c r="EE278" i="7" s="1"/>
  <c r="DT280" i="7" a="1"/>
  <c r="DT280" i="7" s="1"/>
  <c r="EC282" i="7" a="1"/>
  <c r="EC282" i="7" s="1"/>
  <c r="DQ228" i="7" a="1"/>
  <c r="DQ228" i="7" s="1"/>
  <c r="ED262" i="7" a="1"/>
  <c r="ED262" i="7" s="1"/>
  <c r="FY267" i="7" a="1"/>
  <c r="FY267" i="7" s="1"/>
  <c r="DU272" i="7" a="1"/>
  <c r="DU272" i="7" s="1"/>
  <c r="FC275" i="7" a="1"/>
  <c r="FC275" i="7" s="1"/>
  <c r="EZ282" i="7" a="1"/>
  <c r="EZ282" i="7" s="1"/>
  <c r="FN243" i="7" a="1"/>
  <c r="FN243" i="7" s="1"/>
  <c r="GA268" i="7" a="1"/>
  <c r="GA268" i="7" s="1"/>
  <c r="DU273" i="7" a="1"/>
  <c r="DU273" i="7" s="1"/>
  <c r="ER276" i="7" a="1"/>
  <c r="ER276" i="7" s="1"/>
  <c r="EG278" i="7" a="1"/>
  <c r="EG278" i="7" s="1"/>
  <c r="DU280" i="7" a="1"/>
  <c r="DU280" i="7" s="1"/>
  <c r="ED282" i="7" a="1"/>
  <c r="ED282" i="7" s="1"/>
  <c r="EK285" i="7" a="1"/>
  <c r="EK285" i="7" s="1"/>
  <c r="DW242" i="7" a="1"/>
  <c r="DW242" i="7" s="1"/>
  <c r="FF262" i="7" a="1"/>
  <c r="FF262" i="7" s="1"/>
  <c r="FF268" i="7" a="1"/>
  <c r="FF268" i="7" s="1"/>
  <c r="DV272" i="7" a="1"/>
  <c r="DV272" i="7" s="1"/>
  <c r="FU275" i="7" a="1"/>
  <c r="FU275" i="7" s="1"/>
  <c r="FI282" i="7" a="1"/>
  <c r="FI282" i="7" s="1"/>
  <c r="FD247" i="7" a="1"/>
  <c r="FD247" i="7" s="1"/>
  <c r="EC269" i="7" a="1"/>
  <c r="EC269" i="7" s="1"/>
  <c r="DV273" i="7" a="1"/>
  <c r="DV273" i="7" s="1"/>
  <c r="ES276" i="7" a="1"/>
  <c r="ES276" i="7" s="1"/>
  <c r="EZ267" i="7" a="1"/>
  <c r="EZ267" i="7" s="1"/>
  <c r="EZ271" i="7" a="1"/>
  <c r="EZ271" i="7" s="1"/>
  <c r="DW275" i="7" a="1"/>
  <c r="DW275" i="7" s="1"/>
  <c r="EX277" i="7" a="1"/>
  <c r="EX277" i="7" s="1"/>
  <c r="EL279" i="7" a="1"/>
  <c r="EL279" i="7" s="1"/>
  <c r="EA281" i="7" a="1"/>
  <c r="EA281" i="7" s="1"/>
  <c r="FX283" i="7" a="1"/>
  <c r="FX283" i="7" s="1"/>
  <c r="EX273" i="7" a="1"/>
  <c r="EX273" i="7" s="1"/>
  <c r="EN287" i="7" a="1"/>
  <c r="EN287" i="7" s="1"/>
  <c r="DS291" i="7" a="1"/>
  <c r="DS291" i="7" s="1"/>
  <c r="EZ294" i="7" a="1"/>
  <c r="EZ294" i="7" s="1"/>
  <c r="FG297" i="7" a="1"/>
  <c r="FG297" i="7" s="1"/>
  <c r="FT299" i="7" a="1"/>
  <c r="FT299" i="7" s="1"/>
  <c r="ER301" i="7" a="1"/>
  <c r="ER301" i="7" s="1"/>
  <c r="GA302" i="7" a="1"/>
  <c r="GA302" i="7" s="1"/>
  <c r="EY304" i="7" a="1"/>
  <c r="EY304" i="7" s="1"/>
  <c r="DW306" i="7" a="1"/>
  <c r="DW306" i="7" s="1"/>
  <c r="FF307" i="7" a="1"/>
  <c r="FF307" i="7" s="1"/>
  <c r="ED309" i="7" a="1"/>
  <c r="ED309" i="7" s="1"/>
  <c r="FM310" i="7" a="1"/>
  <c r="FM310" i="7" s="1"/>
  <c r="EK312" i="7" a="1"/>
  <c r="EK312" i="7" s="1"/>
  <c r="FT313" i="7" a="1"/>
  <c r="FT313" i="7" s="1"/>
  <c r="ER315" i="7" a="1"/>
  <c r="ER315" i="7" s="1"/>
  <c r="GA316" i="7" a="1"/>
  <c r="GA316" i="7" s="1"/>
  <c r="EY318" i="7" a="1"/>
  <c r="EY318" i="7" s="1"/>
  <c r="DW320" i="7" a="1"/>
  <c r="DW320" i="7" s="1"/>
  <c r="FF321" i="7" a="1"/>
  <c r="FF321" i="7" s="1"/>
  <c r="ED323" i="7" a="1"/>
  <c r="ED323" i="7" s="1"/>
  <c r="FM324" i="7" a="1"/>
  <c r="FM324" i="7" s="1"/>
  <c r="EE274" i="7" a="1"/>
  <c r="EE274" i="7" s="1"/>
  <c r="EY283" i="7" a="1"/>
  <c r="EY283" i="7" s="1"/>
  <c r="EO288" i="7" a="1"/>
  <c r="EO288" i="7" s="1"/>
  <c r="DR292" i="7" a="1"/>
  <c r="DR292" i="7" s="1"/>
  <c r="FM295" i="7" a="1"/>
  <c r="FM295" i="7" s="1"/>
  <c r="FT298" i="7" a="1"/>
  <c r="FT298" i="7" s="1"/>
  <c r="FT281" i="7" a="1"/>
  <c r="FT281" i="7" s="1"/>
  <c r="EP288" i="7" a="1"/>
  <c r="EP288" i="7" s="1"/>
  <c r="FL291" i="7" a="1"/>
  <c r="FL291" i="7" s="1"/>
  <c r="EB295" i="7" a="1"/>
  <c r="EB295" i="7" s="1"/>
  <c r="EI298" i="7" a="1"/>
  <c r="EI298" i="7" s="1"/>
  <c r="EE300" i="7" a="1"/>
  <c r="EE300" i="7" s="1"/>
  <c r="FN301" i="7" a="1"/>
  <c r="FN301" i="7" s="1"/>
  <c r="EL303" i="7" a="1"/>
  <c r="EL303" i="7" s="1"/>
  <c r="FU304" i="7" a="1"/>
  <c r="FU304" i="7" s="1"/>
  <c r="ES306" i="7" a="1"/>
  <c r="ES306" i="7" s="1"/>
  <c r="DQ308" i="7" a="1"/>
  <c r="DQ308" i="7" s="1"/>
  <c r="EZ309" i="7" a="1"/>
  <c r="EZ309" i="7" s="1"/>
  <c r="DX311" i="7" a="1"/>
  <c r="DX311" i="7" s="1"/>
  <c r="FG312" i="7" a="1"/>
  <c r="FG312" i="7" s="1"/>
  <c r="EE314" i="7" a="1"/>
  <c r="EE314" i="7" s="1"/>
  <c r="FN315" i="7" a="1"/>
  <c r="FN315" i="7" s="1"/>
  <c r="EL317" i="7" a="1"/>
  <c r="EL317" i="7" s="1"/>
  <c r="FU318" i="7" a="1"/>
  <c r="FU318" i="7" s="1"/>
  <c r="ES320" i="7" a="1"/>
  <c r="ES320" i="7" s="1"/>
  <c r="DQ322" i="7" a="1"/>
  <c r="DQ322" i="7" s="1"/>
  <c r="GA270" i="7" a="1"/>
  <c r="GA270" i="7" s="1"/>
  <c r="EM282" i="7" a="1"/>
  <c r="EM282" i="7" s="1"/>
  <c r="EY288" i="7" a="1"/>
  <c r="EY288" i="7" s="1"/>
  <c r="EJ292" i="7" a="1"/>
  <c r="EJ292" i="7" s="1"/>
  <c r="EJ295" i="7" a="1"/>
  <c r="EJ295" i="7" s="1"/>
  <c r="EQ298" i="7" a="1"/>
  <c r="EQ298" i="7" s="1"/>
  <c r="FU281" i="7" a="1"/>
  <c r="FU281" i="7" s="1"/>
  <c r="EP287" i="7" a="1"/>
  <c r="EP287" i="7" s="1"/>
  <c r="DU291" i="7" a="1"/>
  <c r="DU291" i="7" s="1"/>
  <c r="EU294" i="7" a="1"/>
  <c r="EU294" i="7" s="1"/>
  <c r="FB297" i="7" a="1"/>
  <c r="FB297" i="7" s="1"/>
  <c r="FO299" i="7" a="1"/>
  <c r="FO299" i="7" s="1"/>
  <c r="EM301" i="7" a="1"/>
  <c r="EM301" i="7" s="1"/>
  <c r="FV302" i="7" a="1"/>
  <c r="FV302" i="7" s="1"/>
  <c r="ET304" i="7" a="1"/>
  <c r="ET304" i="7" s="1"/>
  <c r="DR306" i="7" a="1"/>
  <c r="DR306" i="7" s="1"/>
  <c r="FA307" i="7" a="1"/>
  <c r="FA307" i="7" s="1"/>
  <c r="DY309" i="7" a="1"/>
  <c r="DY309" i="7" s="1"/>
  <c r="FH310" i="7" a="1"/>
  <c r="FH310" i="7" s="1"/>
  <c r="FR269" i="7" a="1"/>
  <c r="FR269" i="7" s="1"/>
  <c r="ED280" i="7" a="1"/>
  <c r="ED280" i="7" s="1"/>
  <c r="FS287" i="7" a="1"/>
  <c r="FS287" i="7" s="1"/>
  <c r="EM291" i="7" a="1"/>
  <c r="EM291" i="7" s="1"/>
  <c r="EK295" i="7" a="1"/>
  <c r="EK295" i="7" s="1"/>
  <c r="ER298" i="7" a="1"/>
  <c r="ER298" i="7" s="1"/>
  <c r="FV277" i="7" a="1"/>
  <c r="FV277" i="7" s="1"/>
  <c r="EH287" i="7" a="1"/>
  <c r="EH287" i="7" s="1"/>
  <c r="DV291" i="7" a="1"/>
  <c r="DV291" i="7" s="1"/>
  <c r="EV294" i="7" a="1"/>
  <c r="EV294" i="7" s="1"/>
  <c r="FC297" i="7" a="1"/>
  <c r="FC297" i="7" s="1"/>
  <c r="FP299" i="7" a="1"/>
  <c r="FP299" i="7" s="1"/>
  <c r="EN301" i="7" a="1"/>
  <c r="EN301" i="7" s="1"/>
  <c r="FW302" i="7" a="1"/>
  <c r="FW302" i="7" s="1"/>
  <c r="EU304" i="7" a="1"/>
  <c r="EU304" i="7" s="1"/>
  <c r="DS306" i="7" a="1"/>
  <c r="DS306" i="7" s="1"/>
  <c r="FB307" i="7" a="1"/>
  <c r="FB307" i="7" s="1"/>
  <c r="DZ309" i="7" a="1"/>
  <c r="DZ309" i="7" s="1"/>
  <c r="FI310" i="7" a="1"/>
  <c r="FI310" i="7" s="1"/>
  <c r="EG312" i="7" a="1"/>
  <c r="EG312" i="7" s="1"/>
  <c r="EZ242" i="7" a="1"/>
  <c r="EZ242" i="7" s="1"/>
  <c r="EU276" i="7" a="1"/>
  <c r="EU276" i="7" s="1"/>
  <c r="FH283" i="7" a="1"/>
  <c r="FH283" i="7" s="1"/>
  <c r="DQ289" i="7" a="1"/>
  <c r="DQ289" i="7" s="1"/>
  <c r="EV292" i="7" a="1"/>
  <c r="EV292" i="7" s="1"/>
  <c r="FX295" i="7" a="1"/>
  <c r="FX295" i="7" s="1"/>
  <c r="FA242" i="7" a="1"/>
  <c r="FA242" i="7" s="1"/>
  <c r="DR282" i="7" a="1"/>
  <c r="DR282" i="7" s="1"/>
  <c r="ES288" i="7" a="1"/>
  <c r="ES288" i="7" s="1"/>
  <c r="FX291" i="7" a="1"/>
  <c r="FX291" i="7" s="1"/>
  <c r="EE295" i="7" a="1"/>
  <c r="EE295" i="7" s="1"/>
  <c r="EL298" i="7" a="1"/>
  <c r="EL298" i="7" s="1"/>
  <c r="EA300" i="7" a="1"/>
  <c r="EA300" i="7" s="1"/>
  <c r="FJ301" i="7" a="1"/>
  <c r="FJ301" i="7" s="1"/>
  <c r="EH303" i="7" a="1"/>
  <c r="EH303" i="7" s="1"/>
  <c r="FQ304" i="7" a="1"/>
  <c r="FQ304" i="7" s="1"/>
  <c r="EO306" i="7" a="1"/>
  <c r="EO306" i="7" s="1"/>
  <c r="FX307" i="7" a="1"/>
  <c r="FX307" i="7" s="1"/>
  <c r="EV309" i="7" a="1"/>
  <c r="EV309" i="7" s="1"/>
  <c r="DT311" i="7" a="1"/>
  <c r="DT311" i="7" s="1"/>
  <c r="DS278" i="7" a="1"/>
  <c r="DS278" i="7" s="1"/>
  <c r="FF285" i="7" a="1"/>
  <c r="FF285" i="7" s="1"/>
  <c r="FS289" i="7" a="1"/>
  <c r="FS289" i="7" s="1"/>
  <c r="EM293" i="7" a="1"/>
  <c r="EM293" i="7" s="1"/>
  <c r="FG296" i="7" a="1"/>
  <c r="FG296" i="7" s="1"/>
  <c r="EX268" i="7" a="1"/>
  <c r="EX268" i="7" s="1"/>
  <c r="DQ285" i="7" a="1"/>
  <c r="DQ285" i="7" s="1"/>
  <c r="FM260" i="7" a="1"/>
  <c r="FM260" i="7" s="1"/>
  <c r="DT279" i="7" a="1"/>
  <c r="DT279" i="7" s="1"/>
  <c r="DR286" i="7" a="1"/>
  <c r="DR286" i="7" s="1"/>
  <c r="EJ266" i="7" a="1"/>
  <c r="EJ266" i="7" s="1"/>
  <c r="EM285" i="7" a="1"/>
  <c r="EM285" i="7" s="1"/>
  <c r="DX272" i="7" a="1"/>
  <c r="DX272" i="7" s="1"/>
  <c r="FT280" i="7" a="1"/>
  <c r="FT280" i="7" s="1"/>
  <c r="FN288" i="7" a="1"/>
  <c r="FN288" i="7" s="1"/>
  <c r="FA291" i="7" a="1"/>
  <c r="FA291" i="7" s="1"/>
  <c r="EW295" i="7" a="1"/>
  <c r="EW295" i="7" s="1"/>
  <c r="FD298" i="7" a="1"/>
  <c r="FD298" i="7" s="1"/>
  <c r="FD300" i="7" a="1"/>
  <c r="FD300" i="7" s="1"/>
  <c r="GA285" i="7" a="1"/>
  <c r="GA285" i="7" s="1"/>
  <c r="EB271" i="7" a="1"/>
  <c r="EB271" i="7" s="1"/>
  <c r="FO287" i="7" a="1"/>
  <c r="FO287" i="7" s="1"/>
  <c r="ES269" i="7" a="1"/>
  <c r="ES269" i="7" s="1"/>
  <c r="FM279" i="7" a="1"/>
  <c r="FM279" i="7" s="1"/>
  <c r="EQ261" i="7" a="1"/>
  <c r="EQ261" i="7" s="1"/>
  <c r="FQ281" i="7" a="1"/>
  <c r="FQ281" i="7" s="1"/>
  <c r="FD272" i="7" a="1"/>
  <c r="FD272" i="7" s="1"/>
  <c r="EL281" i="7" a="1"/>
  <c r="EL281" i="7" s="1"/>
  <c r="FN266" i="7" a="1"/>
  <c r="FN266" i="7" s="1"/>
  <c r="FJ284" i="7" a="1"/>
  <c r="FJ284" i="7" s="1"/>
  <c r="EB276" i="7" a="1"/>
  <c r="EB276" i="7" s="1"/>
  <c r="EN284" i="7" a="1"/>
  <c r="EN284" i="7" s="1"/>
  <c r="ES267" i="7" a="1"/>
  <c r="ES267" i="7" s="1"/>
  <c r="FZ284" i="7" a="1"/>
  <c r="FZ284" i="7" s="1"/>
  <c r="EC276" i="7" a="1"/>
  <c r="EC276" i="7" s="1"/>
  <c r="DQ277" i="7" a="1"/>
  <c r="DQ277" i="7" s="1"/>
  <c r="ET283" i="7" a="1"/>
  <c r="ET283" i="7" s="1"/>
  <c r="FH293" i="7" a="1"/>
  <c r="FH293" i="7" s="1"/>
  <c r="ED301" i="7" a="1"/>
  <c r="ED301" i="7" s="1"/>
  <c r="ED307" i="7" a="1"/>
  <c r="ED307" i="7" s="1"/>
  <c r="DW312" i="7" a="1"/>
  <c r="DW312" i="7" s="1"/>
  <c r="DW318" i="7" a="1"/>
  <c r="DW318" i="7" s="1"/>
  <c r="GA322" i="7" a="1"/>
  <c r="GA322" i="7" s="1"/>
  <c r="FH287" i="7" a="1"/>
  <c r="FH287" i="7" s="1"/>
  <c r="EP298" i="7" a="1"/>
  <c r="EP298" i="7" s="1"/>
  <c r="EL294" i="7" a="1"/>
  <c r="EL294" i="7" s="1"/>
  <c r="EZ301" i="7" a="1"/>
  <c r="EZ301" i="7" s="1"/>
  <c r="EZ307" i="7" a="1"/>
  <c r="EZ307" i="7" s="1"/>
  <c r="ES312" i="7" a="1"/>
  <c r="ES312" i="7" s="1"/>
  <c r="ES318" i="7" a="1"/>
  <c r="ES318" i="7" s="1"/>
  <c r="FT268" i="7" a="1"/>
  <c r="FT268" i="7" s="1"/>
  <c r="EM294" i="7" a="1"/>
  <c r="EM294" i="7" s="1"/>
  <c r="DW287" i="7" a="1"/>
  <c r="DW287" i="7" s="1"/>
  <c r="EM299" i="7" a="1"/>
  <c r="EM299" i="7" s="1"/>
  <c r="EF304" i="7" a="1"/>
  <c r="EF304" i="7" s="1"/>
  <c r="EF310" i="7" a="1"/>
  <c r="EF310" i="7" s="1"/>
  <c r="ER286" i="7" a="1"/>
  <c r="ER286" i="7" s="1"/>
  <c r="EX272" i="7" a="1"/>
  <c r="EX272" i="7" s="1"/>
  <c r="DQ294" i="7" a="1"/>
  <c r="DQ294" i="7" s="1"/>
  <c r="EU302" i="7" a="1"/>
  <c r="EU302" i="7" s="1"/>
  <c r="EN307" i="7" a="1"/>
  <c r="EN307" i="7" s="1"/>
  <c r="EN313" i="7" a="1"/>
  <c r="EN313" i="7" s="1"/>
  <c r="FJ288" i="7" a="1"/>
  <c r="FJ288" i="7" s="1"/>
  <c r="EX274" i="7" a="1"/>
  <c r="EX274" i="7" s="1"/>
  <c r="FL294" i="7" a="1"/>
  <c r="FL294" i="7" s="1"/>
  <c r="FQ302" i="7" a="1"/>
  <c r="FQ302" i="7" s="1"/>
  <c r="FJ307" i="7" a="1"/>
  <c r="FJ307" i="7" s="1"/>
  <c r="EA284" i="7" a="1"/>
  <c r="EA284" i="7" s="1"/>
  <c r="EC296" i="7" a="1"/>
  <c r="EC296" i="7" s="1"/>
  <c r="EE277" i="7" a="1"/>
  <c r="EE277" i="7" s="1"/>
  <c r="EH284" i="7" a="1"/>
  <c r="EH284" i="7" s="1"/>
  <c r="FK290" i="7" a="1"/>
  <c r="FK290" i="7" s="1"/>
  <c r="DU299" i="7" a="1"/>
  <c r="DU299" i="7" s="1"/>
  <c r="FO317" i="7" a="1"/>
  <c r="FO317" i="7" s="1"/>
  <c r="EQ331" i="7" a="1"/>
  <c r="EQ331" i="7" s="1"/>
  <c r="EW340" i="7" a="1"/>
  <c r="EW340" i="7" s="1"/>
  <c r="FA347" i="7" a="1"/>
  <c r="FA347" i="7" s="1"/>
  <c r="FN352" i="7" a="1"/>
  <c r="FN352" i="7" s="1"/>
  <c r="EL357" i="7" a="1"/>
  <c r="EL357" i="7" s="1"/>
  <c r="EL287" i="7" a="1"/>
  <c r="EL287" i="7" s="1"/>
  <c r="FO318" i="7" a="1"/>
  <c r="FO318" i="7" s="1"/>
  <c r="EX324" i="7" a="1"/>
  <c r="EX324" i="7" s="1"/>
  <c r="FY327" i="7" a="1"/>
  <c r="FY327" i="7" s="1"/>
  <c r="FS332" i="7" a="1"/>
  <c r="FS332" i="7" s="1"/>
  <c r="FP336" i="7" a="1"/>
  <c r="FP336" i="7" s="1"/>
  <c r="FJ341" i="7" a="1"/>
  <c r="FJ341" i="7" s="1"/>
  <c r="FG345" i="7" a="1"/>
  <c r="FG345" i="7" s="1"/>
  <c r="EY291" i="7" a="1"/>
  <c r="EY291" i="7" s="1"/>
  <c r="FE305" i="7" a="1"/>
  <c r="FE305" i="7" s="1"/>
  <c r="FI314" i="7" a="1"/>
  <c r="FI314" i="7" s="1"/>
  <c r="EM321" i="7" a="1"/>
  <c r="EM321" i="7" s="1"/>
  <c r="FW328" i="7" a="1"/>
  <c r="FW328" i="7" s="1"/>
  <c r="GA332" i="7" a="1"/>
  <c r="GA332" i="7" s="1"/>
  <c r="FN337" i="7" a="1"/>
  <c r="FN337" i="7" s="1"/>
  <c r="FR341" i="7" a="1"/>
  <c r="FR341" i="7" s="1"/>
  <c r="FL346" i="7" a="1"/>
  <c r="FL346" i="7" s="1"/>
  <c r="FO349" i="7" a="1"/>
  <c r="FO349" i="7" s="1"/>
  <c r="FO351" i="7" a="1"/>
  <c r="FO351" i="7" s="1"/>
  <c r="EF354" i="7" a="1"/>
  <c r="EF354" i="7" s="1"/>
  <c r="EC301" i="7" a="1"/>
  <c r="EC301" i="7" s="1"/>
  <c r="EG317" i="7" a="1"/>
  <c r="EG317" i="7" s="1"/>
  <c r="EU322" i="7" a="1"/>
  <c r="EU322" i="7" s="1"/>
  <c r="FP324" i="7" a="1"/>
  <c r="FP324" i="7" s="1"/>
  <c r="EI329" i="7" a="1"/>
  <c r="EI329" i="7" s="1"/>
  <c r="EF333" i="7" a="1"/>
  <c r="EF333" i="7" s="1"/>
  <c r="DZ338" i="7" a="1"/>
  <c r="DZ338" i="7" s="1"/>
  <c r="ED342" i="7" a="1"/>
  <c r="ED342" i="7" s="1"/>
  <c r="EA346" i="7" a="1"/>
  <c r="EA346" i="7" s="1"/>
  <c r="FY304" i="7" a="1"/>
  <c r="FY304" i="7" s="1"/>
  <c r="EI314" i="7" a="1"/>
  <c r="EI314" i="7" s="1"/>
  <c r="EN321" i="7" a="1"/>
  <c r="EN321" i="7" s="1"/>
  <c r="FI328" i="7" a="1"/>
  <c r="FI328" i="7" s="1"/>
  <c r="FM332" i="7" a="1"/>
  <c r="FM332" i="7" s="1"/>
  <c r="EZ337" i="7" a="1"/>
  <c r="EZ337" i="7" s="1"/>
  <c r="FD341" i="7" a="1"/>
  <c r="FD341" i="7" s="1"/>
  <c r="DY312" i="7" a="1"/>
  <c r="DY312" i="7" s="1"/>
  <c r="EH317" i="7" a="1"/>
  <c r="EH317" i="7" s="1"/>
  <c r="FD322" i="7" a="1"/>
  <c r="FD322" i="7" s="1"/>
  <c r="EU325" i="7" a="1"/>
  <c r="EU325" i="7" s="1"/>
  <c r="EY329" i="7" a="1"/>
  <c r="EY329" i="7" s="1"/>
  <c r="EL334" i="7" a="1"/>
  <c r="EL334" i="7" s="1"/>
  <c r="EP338" i="7" a="1"/>
  <c r="EP338" i="7" s="1"/>
  <c r="EM342" i="7" a="1"/>
  <c r="EM342" i="7" s="1"/>
  <c r="EI294" i="7" a="1"/>
  <c r="EI294" i="7" s="1"/>
  <c r="FL305" i="7" a="1"/>
  <c r="FL305" i="7" s="1"/>
  <c r="DT313" i="7" a="1"/>
  <c r="DT313" i="7" s="1"/>
  <c r="EH318" i="7" a="1"/>
  <c r="EH318" i="7" s="1"/>
  <c r="ES326" i="7" a="1"/>
  <c r="ES326" i="7" s="1"/>
  <c r="EM331" i="7" a="1"/>
  <c r="EM331" i="7" s="1"/>
  <c r="EQ335" i="7" a="1"/>
  <c r="EQ335" i="7" s="1"/>
  <c r="EK340" i="7" a="1"/>
  <c r="EK340" i="7" s="1"/>
  <c r="EH344" i="7" a="1"/>
  <c r="EH344" i="7" s="1"/>
  <c r="EE348" i="7" a="1"/>
  <c r="EE348" i="7" s="1"/>
  <c r="FC314" i="7" a="1"/>
  <c r="FC314" i="7" s="1"/>
  <c r="DY320" i="7" a="1"/>
  <c r="DY320" i="7" s="1"/>
  <c r="EL324" i="7" a="1"/>
  <c r="EL324" i="7" s="1"/>
  <c r="EX327" i="7" a="1"/>
  <c r="EX327" i="7" s="1"/>
  <c r="EU331" i="7" a="1"/>
  <c r="EU331" i="7" s="1"/>
  <c r="EO336" i="7" a="1"/>
  <c r="EO336" i="7" s="1"/>
  <c r="EL340" i="7" a="1"/>
  <c r="EL340" i="7" s="1"/>
  <c r="EF345" i="7" a="1"/>
  <c r="EF345" i="7" s="1"/>
  <c r="EP300" i="7" a="1"/>
  <c r="EP300" i="7" s="1"/>
  <c r="EB308" i="7" a="1"/>
  <c r="EB308" i="7" s="1"/>
  <c r="FV314" i="7" a="1"/>
  <c r="FV314" i="7" s="1"/>
  <c r="FI320" i="7" a="1"/>
  <c r="FI320" i="7" s="1"/>
  <c r="FZ328" i="7" a="1"/>
  <c r="FZ328" i="7" s="1"/>
  <c r="FH332" i="7" a="1"/>
  <c r="FH332" i="7" s="1"/>
  <c r="EW336" i="7" a="1"/>
  <c r="EW336" i="7" s="1"/>
  <c r="EE340" i="7" a="1"/>
  <c r="EE340" i="7" s="1"/>
  <c r="EV295" i="7" a="1"/>
  <c r="EV295" i="7" s="1"/>
  <c r="FL315" i="7" a="1"/>
  <c r="FL315" i="7" s="1"/>
  <c r="EQ320" i="7" a="1"/>
  <c r="EQ320" i="7" s="1"/>
  <c r="ES323" i="7" a="1"/>
  <c r="ES323" i="7" s="1"/>
  <c r="EO325" i="7" a="1"/>
  <c r="EO325" i="7" s="1"/>
  <c r="FD328" i="7" a="1"/>
  <c r="FD328" i="7" s="1"/>
  <c r="EQ294" i="7" a="1"/>
  <c r="EQ294" i="7" s="1"/>
  <c r="FK304" i="7" a="1"/>
  <c r="FK304" i="7" s="1"/>
  <c r="EX310" i="7" a="1"/>
  <c r="EX310" i="7" s="1"/>
  <c r="DQ290" i="7" a="1"/>
  <c r="DQ290" i="7" s="1"/>
  <c r="EN314" i="7" a="1"/>
  <c r="EN314" i="7" s="1"/>
  <c r="FT297" i="7" a="1"/>
  <c r="FT297" i="7" s="1"/>
  <c r="EJ306" i="7" a="1"/>
  <c r="EJ306" i="7" s="1"/>
  <c r="FO311" i="7" a="1"/>
  <c r="FO311" i="7" s="1"/>
  <c r="FZ298" i="7" a="1"/>
  <c r="FZ298" i="7" s="1"/>
  <c r="EO314" i="7" a="1"/>
  <c r="EO314" i="7" s="1"/>
  <c r="DT319" i="7" a="1"/>
  <c r="DT319" i="7" s="1"/>
  <c r="FY322" i="7" a="1"/>
  <c r="FY322" i="7" s="1"/>
  <c r="FV324" i="7" a="1"/>
  <c r="FV324" i="7" s="1"/>
  <c r="FI327" i="7" a="1"/>
  <c r="FI327" i="7" s="1"/>
  <c r="DT331" i="7" a="1"/>
  <c r="DT331" i="7" s="1"/>
  <c r="EP334" i="7" a="1"/>
  <c r="EP334" i="7" s="1"/>
  <c r="FL337" i="7" a="1"/>
  <c r="FL337" i="7" s="1"/>
  <c r="DW341" i="7" a="1"/>
  <c r="DW341" i="7" s="1"/>
  <c r="DU323" i="7" a="1"/>
  <c r="DU323" i="7" s="1"/>
  <c r="FU336" i="7" a="1"/>
  <c r="FU336" i="7" s="1"/>
  <c r="DV346" i="7" a="1"/>
  <c r="DV346" i="7" s="1"/>
  <c r="EB351" i="7" a="1"/>
  <c r="EB351" i="7" s="1"/>
  <c r="FP355" i="7" a="1"/>
  <c r="FP355" i="7" s="1"/>
  <c r="FE359" i="7" a="1"/>
  <c r="FE359" i="7" s="1"/>
  <c r="FA362" i="7" a="1"/>
  <c r="FA362" i="7" s="1"/>
  <c r="EF364" i="7" a="1"/>
  <c r="EF364" i="7" s="1"/>
  <c r="FV365" i="7" a="1"/>
  <c r="FV365" i="7" s="1"/>
  <c r="FA367" i="7" a="1"/>
  <c r="FA367" i="7" s="1"/>
  <c r="EF369" i="7" a="1"/>
  <c r="EF369" i="7" s="1"/>
  <c r="FV370" i="7" a="1"/>
  <c r="FV370" i="7" s="1"/>
  <c r="FA372" i="7" a="1"/>
  <c r="FA372" i="7" s="1"/>
  <c r="EF374" i="7" a="1"/>
  <c r="EF374" i="7" s="1"/>
  <c r="FA313" i="7" a="1"/>
  <c r="FA313" i="7" s="1"/>
  <c r="EY333" i="7" a="1"/>
  <c r="EY333" i="7" s="1"/>
  <c r="FI343" i="7" a="1"/>
  <c r="FI343" i="7" s="1"/>
  <c r="EV349" i="7" a="1"/>
  <c r="EV349" i="7" s="1"/>
  <c r="EA354" i="7" a="1"/>
  <c r="EA354" i="7" s="1"/>
  <c r="FZ357" i="7" a="1"/>
  <c r="FZ357" i="7" s="1"/>
  <c r="FX314" i="7" a="1"/>
  <c r="FX314" i="7" s="1"/>
  <c r="EB333" i="7" a="1"/>
  <c r="EB333" i="7" s="1"/>
  <c r="FG344" i="7" a="1"/>
  <c r="FG344" i="7" s="1"/>
  <c r="FW348" i="7" a="1"/>
  <c r="FW348" i="7" s="1"/>
  <c r="EB353" i="7" a="1"/>
  <c r="EB353" i="7" s="1"/>
  <c r="DZ357" i="7" a="1"/>
  <c r="DZ357" i="7" s="1"/>
  <c r="FK360" i="7" a="1"/>
  <c r="FK360" i="7" s="1"/>
  <c r="FW362" i="7" a="1"/>
  <c r="FW362" i="7" s="1"/>
  <c r="EU364" i="7" a="1"/>
  <c r="EU364" i="7" s="1"/>
  <c r="DS366" i="7" a="1"/>
  <c r="DS366" i="7" s="1"/>
  <c r="FB367" i="7" a="1"/>
  <c r="FB367" i="7" s="1"/>
  <c r="DZ369" i="7" a="1"/>
  <c r="DZ369" i="7" s="1"/>
  <c r="FI370" i="7" a="1"/>
  <c r="FI370" i="7" s="1"/>
  <c r="EG372" i="7" a="1"/>
  <c r="EG372" i="7" s="1"/>
  <c r="FP373" i="7" a="1"/>
  <c r="FP373" i="7" s="1"/>
  <c r="EN375" i="7" a="1"/>
  <c r="EN375" i="7" s="1"/>
  <c r="FE325" i="7" a="1"/>
  <c r="FE325" i="7" s="1"/>
  <c r="ED338" i="7" a="1"/>
  <c r="ED338" i="7" s="1"/>
  <c r="EM346" i="7" a="1"/>
  <c r="EM346" i="7" s="1"/>
  <c r="EV351" i="7" a="1"/>
  <c r="EV351" i="7" s="1"/>
  <c r="FJ355" i="7" a="1"/>
  <c r="FJ355" i="7" s="1"/>
  <c r="EJ359" i="7" a="1"/>
  <c r="EJ359" i="7" s="1"/>
  <c r="FJ320" i="7" a="1"/>
  <c r="FJ320" i="7" s="1"/>
  <c r="EY336" i="7" a="1"/>
  <c r="EY336" i="7" s="1"/>
  <c r="EP345" i="7" a="1"/>
  <c r="EP345" i="7" s="1"/>
  <c r="FF349" i="7" a="1"/>
  <c r="FF349" i="7" s="1"/>
  <c r="DT354" i="7" a="1"/>
  <c r="DT354" i="7" s="1"/>
  <c r="FE357" i="7" a="1"/>
  <c r="FE357" i="7" s="1"/>
  <c r="EM361" i="7" a="1"/>
  <c r="EM361" i="7" s="1"/>
  <c r="EA363" i="7" a="1"/>
  <c r="EA363" i="7" s="1"/>
  <c r="FJ364" i="7" a="1"/>
  <c r="FJ364" i="7" s="1"/>
  <c r="EH366" i="7" a="1"/>
  <c r="EH366" i="7" s="1"/>
  <c r="FQ367" i="7" a="1"/>
  <c r="FQ367" i="7" s="1"/>
  <c r="EO369" i="7" a="1"/>
  <c r="EO369" i="7" s="1"/>
  <c r="FX370" i="7" a="1"/>
  <c r="FX370" i="7" s="1"/>
  <c r="FH330" i="7" a="1"/>
  <c r="FH330" i="7" s="1"/>
  <c r="FG341" i="7" a="1"/>
  <c r="FG341" i="7" s="1"/>
  <c r="FN347" i="7" a="1"/>
  <c r="FN347" i="7" s="1"/>
  <c r="FX351" i="7" a="1"/>
  <c r="FX351" i="7" s="1"/>
  <c r="FZ355" i="7" a="1"/>
  <c r="FZ355" i="7" s="1"/>
  <c r="FH359" i="7" a="1"/>
  <c r="FH359" i="7" s="1"/>
  <c r="EL323" i="7" a="1"/>
  <c r="EL323" i="7" s="1"/>
  <c r="EM335" i="7" a="1"/>
  <c r="EM335" i="7" s="1"/>
  <c r="FK344" i="7" a="1"/>
  <c r="FK344" i="7" s="1"/>
  <c r="EX350" i="7" a="1"/>
  <c r="EX350" i="7" s="1"/>
  <c r="FV354" i="7" a="1"/>
  <c r="FV354" i="7" s="1"/>
  <c r="EV358" i="7" a="1"/>
  <c r="EV358" i="7" s="1"/>
  <c r="FY361" i="7" a="1"/>
  <c r="FY361" i="7" s="1"/>
  <c r="EW363" i="7" a="1"/>
  <c r="EW363" i="7" s="1"/>
  <c r="DU365" i="7" a="1"/>
  <c r="DU365" i="7" s="1"/>
  <c r="FD366" i="7" a="1"/>
  <c r="FD366" i="7" s="1"/>
  <c r="EB368" i="7" a="1"/>
  <c r="EB368" i="7" s="1"/>
  <c r="FK369" i="7" a="1"/>
  <c r="FK369" i="7" s="1"/>
  <c r="EI371" i="7" a="1"/>
  <c r="EI371" i="7" s="1"/>
  <c r="FR372" i="7" a="1"/>
  <c r="FR372" i="7" s="1"/>
  <c r="EP374" i="7" a="1"/>
  <c r="EP374" i="7" s="1"/>
  <c r="FY375" i="7" a="1"/>
  <c r="FY375" i="7" s="1"/>
  <c r="EJ333" i="7" a="1"/>
  <c r="EJ333" i="7" s="1"/>
  <c r="EL343" i="7" a="1"/>
  <c r="EL343" i="7" s="1"/>
  <c r="EU348" i="7" a="1"/>
  <c r="EU348" i="7" s="1"/>
  <c r="FF352" i="7" a="1"/>
  <c r="FF352" i="7" s="1"/>
  <c r="FB356" i="7" a="1"/>
  <c r="FB356" i="7" s="1"/>
  <c r="EB360" i="7" a="1"/>
  <c r="EB360" i="7" s="1"/>
  <c r="FN325" i="7" a="1"/>
  <c r="FN325" i="7" s="1"/>
  <c r="FG336" i="7" a="1"/>
  <c r="FG336" i="7" s="1"/>
  <c r="FZ345" i="7" a="1"/>
  <c r="FZ345" i="7" s="1"/>
  <c r="FI350" i="7" a="1"/>
  <c r="FI350" i="7" s="1"/>
  <c r="EA355" i="7" a="1"/>
  <c r="EA355" i="7" s="1"/>
  <c r="FL358" i="7" a="1"/>
  <c r="FL358" i="7" s="1"/>
  <c r="DV362" i="7" a="1"/>
  <c r="DV362" i="7" s="1"/>
  <c r="FE363" i="7" a="1"/>
  <c r="FE363" i="7" s="1"/>
  <c r="EC365" i="7" a="1"/>
  <c r="EC365" i="7" s="1"/>
  <c r="FL366" i="7" a="1"/>
  <c r="FL366" i="7" s="1"/>
  <c r="EJ368" i="7" a="1"/>
  <c r="EJ368" i="7" s="1"/>
  <c r="FS369" i="7" a="1"/>
  <c r="FS369" i="7" s="1"/>
  <c r="FV318" i="7" a="1"/>
  <c r="FV318" i="7" s="1"/>
  <c r="DV335" i="7" a="1"/>
  <c r="DV335" i="7" s="1"/>
  <c r="FQ343" i="7" a="1"/>
  <c r="FQ343" i="7" s="1"/>
  <c r="GA348" i="7" a="1"/>
  <c r="GA348" i="7" s="1"/>
  <c r="EG353" i="7" a="1"/>
  <c r="EG353" i="7" s="1"/>
  <c r="FC319" i="7" a="1"/>
  <c r="FC319" i="7" s="1"/>
  <c r="EJ336" i="7" a="1"/>
  <c r="EJ336" i="7" s="1"/>
  <c r="EH345" i="7" a="1"/>
  <c r="EH345" i="7" s="1"/>
  <c r="ER349" i="7" a="1"/>
  <c r="ER349" i="7" s="1"/>
  <c r="FQ353" i="7" a="1"/>
  <c r="FQ353" i="7" s="1"/>
  <c r="FL324" i="7" a="1"/>
  <c r="FL324" i="7" s="1"/>
  <c r="EI339" i="7" a="1"/>
  <c r="EI339" i="7" s="1"/>
  <c r="EU346" i="7" a="1"/>
  <c r="EU346" i="7" s="1"/>
  <c r="EP325" i="7" a="1"/>
  <c r="EP325" i="7" s="1"/>
  <c r="FA335" i="7" a="1"/>
  <c r="FA335" i="7" s="1"/>
  <c r="EX345" i="7" a="1"/>
  <c r="EX345" i="7" s="1"/>
  <c r="FV333" i="7" a="1"/>
  <c r="FV333" i="7" s="1"/>
  <c r="EB343" i="7" a="1"/>
  <c r="EB343" i="7" s="1"/>
  <c r="ED348" i="7" a="1"/>
  <c r="ED348" i="7" s="1"/>
  <c r="FB352" i="7" a="1"/>
  <c r="FB352" i="7" s="1"/>
  <c r="FE356" i="7" a="1"/>
  <c r="FE356" i="7" s="1"/>
  <c r="EM360" i="7" a="1"/>
  <c r="EM360" i="7" s="1"/>
  <c r="FP360" i="7" a="1"/>
  <c r="FP360" i="7" s="1"/>
  <c r="GA373" i="7" a="1"/>
  <c r="GA373" i="7" s="1"/>
  <c r="FY354" i="7" a="1"/>
  <c r="FY354" i="7" s="1"/>
  <c r="FN364" i="7" a="1"/>
  <c r="FN364" i="7" s="1"/>
  <c r="EE370" i="7" a="1"/>
  <c r="EE370" i="7" s="1"/>
  <c r="DV371" i="7" a="1"/>
  <c r="DV371" i="7" s="1"/>
  <c r="EE374" i="7" a="1"/>
  <c r="EE374" i="7" s="1"/>
  <c r="FD359" i="7" a="1"/>
  <c r="FD359" i="7" s="1"/>
  <c r="DQ366" i="7" a="1"/>
  <c r="DQ366" i="7" s="1"/>
  <c r="EE286" i="7" a="1"/>
  <c r="EE286" i="7" s="1"/>
  <c r="ES271" i="7" a="1"/>
  <c r="ES271" i="7" s="1"/>
  <c r="DS288" i="7" a="1"/>
  <c r="DS288" i="7" s="1"/>
  <c r="FM269" i="7" a="1"/>
  <c r="FM269" i="7" s="1"/>
  <c r="FU279" i="7" a="1"/>
  <c r="FU279" i="7" s="1"/>
  <c r="FM261" i="7" a="1"/>
  <c r="FM261" i="7" s="1"/>
  <c r="DU282" i="7" a="1"/>
  <c r="DU282" i="7" s="1"/>
  <c r="FU272" i="7" a="1"/>
  <c r="FU272" i="7" s="1"/>
  <c r="EU281" i="7" a="1"/>
  <c r="EU281" i="7" s="1"/>
  <c r="ER267" i="7" a="1"/>
  <c r="ER267" i="7" s="1"/>
  <c r="FY284" i="7" a="1"/>
  <c r="FY284" i="7" s="1"/>
  <c r="EJ276" i="7" a="1"/>
  <c r="EJ276" i="7" s="1"/>
  <c r="FC284" i="7" a="1"/>
  <c r="FC284" i="7" s="1"/>
  <c r="FZ267" i="7" a="1"/>
  <c r="FZ267" i="7" s="1"/>
  <c r="ED285" i="7" a="1"/>
  <c r="ED285" i="7" s="1"/>
  <c r="EK276" i="7" a="1"/>
  <c r="EK276" i="7" s="1"/>
  <c r="DZ277" i="7" a="1"/>
  <c r="DZ277" i="7" s="1"/>
  <c r="FI283" i="7" a="1"/>
  <c r="FI283" i="7" s="1"/>
  <c r="FY293" i="7" a="1"/>
  <c r="FY293" i="7" s="1"/>
  <c r="EK301" i="7" a="1"/>
  <c r="EK301" i="7" s="1"/>
  <c r="EK307" i="7" a="1"/>
  <c r="EK307" i="7" s="1"/>
  <c r="ED312" i="7" a="1"/>
  <c r="ED312" i="7" s="1"/>
  <c r="ED318" i="7" a="1"/>
  <c r="ED318" i="7" s="1"/>
  <c r="DW323" i="7" a="1"/>
  <c r="DW323" i="7" s="1"/>
  <c r="FQ287" i="7" a="1"/>
  <c r="FQ287" i="7" s="1"/>
  <c r="FE298" i="7" a="1"/>
  <c r="FE298" i="7" s="1"/>
  <c r="ET294" i="7" a="1"/>
  <c r="ET294" i="7" s="1"/>
  <c r="FG301" i="7" a="1"/>
  <c r="FG301" i="7" s="1"/>
  <c r="FG307" i="7" a="1"/>
  <c r="FG307" i="7" s="1"/>
  <c r="EZ312" i="7" a="1"/>
  <c r="EZ312" i="7" s="1"/>
  <c r="EZ318" i="7" a="1"/>
  <c r="EZ318" i="7" s="1"/>
  <c r="FJ269" i="7" a="1"/>
  <c r="FJ269" i="7" s="1"/>
  <c r="FB294" i="7" a="1"/>
  <c r="FB294" i="7" s="1"/>
  <c r="EG287" i="7" a="1"/>
  <c r="EG287" i="7" s="1"/>
  <c r="ET299" i="7" a="1"/>
  <c r="ET299" i="7" s="1"/>
  <c r="EM304" i="7" a="1"/>
  <c r="EM304" i="7" s="1"/>
  <c r="EM310" i="7" a="1"/>
  <c r="EM310" i="7" s="1"/>
  <c r="FA287" i="7" a="1"/>
  <c r="FA287" i="7" s="1"/>
  <c r="EW274" i="7" a="1"/>
  <c r="EW274" i="7" s="1"/>
  <c r="EG294" i="7" a="1"/>
  <c r="EG294" i="7" s="1"/>
  <c r="FB302" i="7" a="1"/>
  <c r="FB302" i="7" s="1"/>
  <c r="EU307" i="7" a="1"/>
  <c r="EU307" i="7" s="1"/>
  <c r="EU313" i="7" a="1"/>
  <c r="EU313" i="7" s="1"/>
  <c r="FS288" i="7" a="1"/>
  <c r="FS288" i="7" s="1"/>
  <c r="DR278" i="7" a="1"/>
  <c r="DR278" i="7" s="1"/>
  <c r="GA294" i="7" a="1"/>
  <c r="GA294" i="7" s="1"/>
  <c r="FX302" i="7" a="1"/>
  <c r="FX302" i="7" s="1"/>
  <c r="FQ307" i="7" a="1"/>
  <c r="FQ307" i="7" s="1"/>
  <c r="FD284" i="7" a="1"/>
  <c r="FD284" i="7" s="1"/>
  <c r="ER296" i="7" a="1"/>
  <c r="ER296" i="7" s="1"/>
  <c r="FE277" i="7" a="1"/>
  <c r="FE277" i="7" s="1"/>
  <c r="DW285" i="7" a="1"/>
  <c r="DW285" i="7" s="1"/>
  <c r="DR291" i="7" a="1"/>
  <c r="DR291" i="7" s="1"/>
  <c r="EX299" i="7" a="1"/>
  <c r="EX299" i="7" s="1"/>
  <c r="DU318" i="7" a="1"/>
  <c r="DU318" i="7" s="1"/>
  <c r="FF331" i="7" a="1"/>
  <c r="FF331" i="7" s="1"/>
  <c r="FL340" i="7" a="1"/>
  <c r="FL340" i="7" s="1"/>
  <c r="EL349" i="7" a="1"/>
  <c r="EL349" i="7" s="1"/>
  <c r="FU352" i="7" a="1"/>
  <c r="FU352" i="7" s="1"/>
  <c r="ES357" i="7" a="1"/>
  <c r="ES357" i="7" s="1"/>
  <c r="FU288" i="7" a="1"/>
  <c r="FU288" i="7" s="1"/>
  <c r="DU319" i="7" a="1"/>
  <c r="DU319" i="7" s="1"/>
  <c r="FG324" i="7" a="1"/>
  <c r="FG324" i="7" s="1"/>
  <c r="DS329" i="7" a="1"/>
  <c r="DS329" i="7" s="1"/>
  <c r="DW333" i="7" a="1"/>
  <c r="DW333" i="7" s="1"/>
  <c r="DT337" i="7" a="1"/>
  <c r="DT337" i="7" s="1"/>
  <c r="FY341" i="7" a="1"/>
  <c r="FY341" i="7" s="1"/>
  <c r="FV345" i="7" a="1"/>
  <c r="FV345" i="7" s="1"/>
  <c r="FF294" i="7" a="1"/>
  <c r="FF294" i="7" s="1"/>
  <c r="DU306" i="7" a="1"/>
  <c r="DU306" i="7" s="1"/>
  <c r="FZ314" i="7" a="1"/>
  <c r="FZ314" i="7" s="1"/>
  <c r="FD321" i="7" a="1"/>
  <c r="FD321" i="7" s="1"/>
  <c r="EA329" i="7" a="1"/>
  <c r="EA329" i="7" s="1"/>
  <c r="DU334" i="7" a="1"/>
  <c r="DU334" i="7" s="1"/>
  <c r="DR338" i="7" a="1"/>
  <c r="DR338" i="7" s="1"/>
  <c r="DV342" i="7" a="1"/>
  <c r="DV342" i="7" s="1"/>
  <c r="GA346" i="7" a="1"/>
  <c r="GA346" i="7" s="1"/>
  <c r="FV349" i="7" a="1"/>
  <c r="FV349" i="7" s="1"/>
  <c r="EM352" i="7" a="1"/>
  <c r="EM352" i="7" s="1"/>
  <c r="EM354" i="7" a="1"/>
  <c r="EM354" i="7" s="1"/>
  <c r="EQ311" i="7" a="1"/>
  <c r="EQ311" i="7" s="1"/>
  <c r="EX317" i="7" a="1"/>
  <c r="EX317" i="7" s="1"/>
  <c r="FC322" i="7" a="1"/>
  <c r="FC322" i="7" s="1"/>
  <c r="ET325" i="7" a="1"/>
  <c r="ET325" i="7" s="1"/>
  <c r="EX329" i="7" a="1"/>
  <c r="EX329" i="7" s="1"/>
  <c r="EU333" i="7" a="1"/>
  <c r="EU333" i="7" s="1"/>
  <c r="EO338" i="7" a="1"/>
  <c r="EO338" i="7" s="1"/>
  <c r="EL342" i="7" a="1"/>
  <c r="EL342" i="7" s="1"/>
  <c r="EW293" i="7" a="1"/>
  <c r="EW293" i="7" s="1"/>
  <c r="EJ305" i="7" a="1"/>
  <c r="EJ305" i="7" s="1"/>
  <c r="FJ314" i="7" a="1"/>
  <c r="FJ314" i="7" s="1"/>
  <c r="FE321" i="7" a="1"/>
  <c r="FE321" i="7" s="1"/>
  <c r="FX328" i="7" a="1"/>
  <c r="FX328" i="7" s="1"/>
  <c r="FR333" i="7" a="1"/>
  <c r="FR333" i="7" s="1"/>
  <c r="FO337" i="7" a="1"/>
  <c r="FO337" i="7" s="1"/>
  <c r="FS341" i="7" a="1"/>
  <c r="FS341" i="7" s="1"/>
  <c r="EM312" i="7" a="1"/>
  <c r="EM312" i="7" s="1"/>
  <c r="FI317" i="7" a="1"/>
  <c r="FI317" i="7" s="1"/>
  <c r="EH323" i="7" a="1"/>
  <c r="EH323" i="7" s="1"/>
  <c r="FJ325" i="7" a="1"/>
  <c r="FJ325" i="7" s="1"/>
  <c r="FG329" i="7" a="1"/>
  <c r="FG329" i="7" s="1"/>
  <c r="FA334" i="7" a="1"/>
  <c r="FA334" i="7" s="1"/>
  <c r="FE338" i="7" a="1"/>
  <c r="FE338" i="7" s="1"/>
  <c r="EY343" i="7" a="1"/>
  <c r="EY343" i="7" s="1"/>
  <c r="FN294" i="7" a="1"/>
  <c r="FN294" i="7" s="1"/>
  <c r="EB306" i="7" a="1"/>
  <c r="EB306" i="7" s="1"/>
  <c r="EH313" i="7" a="1"/>
  <c r="EH313" i="7" s="1"/>
  <c r="FI318" i="7" a="1"/>
  <c r="FI318" i="7" s="1"/>
  <c r="FE327" i="7" a="1"/>
  <c r="FE327" i="7" s="1"/>
  <c r="FB331" i="7" a="1"/>
  <c r="FB331" i="7" s="1"/>
  <c r="FF335" i="7" a="1"/>
  <c r="FF335" i="7" s="1"/>
  <c r="ES340" i="7" a="1"/>
  <c r="ES340" i="7" s="1"/>
  <c r="EW344" i="7" a="1"/>
  <c r="EW344" i="7" s="1"/>
  <c r="ED288" i="7" a="1"/>
  <c r="ED288" i="7" s="1"/>
  <c r="DS315" i="7" a="1"/>
  <c r="DS315" i="7" s="1"/>
  <c r="EP320" i="7" a="1"/>
  <c r="EP320" i="7" s="1"/>
  <c r="ET324" i="7" a="1"/>
  <c r="ET324" i="7" s="1"/>
  <c r="FM327" i="7" a="1"/>
  <c r="FM327" i="7" s="1"/>
  <c r="EZ332" i="7" a="1"/>
  <c r="EZ332" i="7" s="1"/>
  <c r="FD336" i="7" a="1"/>
  <c r="FD336" i="7" s="1"/>
  <c r="FA340" i="7" a="1"/>
  <c r="FA340" i="7" s="1"/>
  <c r="EU345" i="7" a="1"/>
  <c r="EU345" i="7" s="1"/>
  <c r="FS300" i="7" a="1"/>
  <c r="FS300" i="7" s="1"/>
  <c r="DV310" i="7" a="1"/>
  <c r="DV310" i="7" s="1"/>
  <c r="EB315" i="7" a="1"/>
  <c r="EB315" i="7" s="1"/>
  <c r="FZ320" i="7" a="1"/>
  <c r="FZ320" i="7" s="1"/>
  <c r="ED329" i="7" a="1"/>
  <c r="ED329" i="7" s="1"/>
  <c r="FW332" i="7" a="1"/>
  <c r="FW332" i="7" s="1"/>
  <c r="FL336" i="7" a="1"/>
  <c r="FL336" i="7" s="1"/>
  <c r="FI340" i="7" a="1"/>
  <c r="FI340" i="7" s="1"/>
  <c r="DV296" i="7" a="1"/>
  <c r="DV296" i="7" s="1"/>
  <c r="FV315" i="7" a="1"/>
  <c r="FV315" i="7" s="1"/>
  <c r="FA320" i="7" a="1"/>
  <c r="FA320" i="7" s="1"/>
  <c r="FA323" i="7" a="1"/>
  <c r="FA323" i="7" s="1"/>
  <c r="EW325" i="7" a="1"/>
  <c r="EW325" i="7" s="1"/>
  <c r="FS328" i="7" a="1"/>
  <c r="FS328" i="7" s="1"/>
  <c r="DQ295" i="7" a="1"/>
  <c r="DQ295" i="7" s="1"/>
  <c r="DV305" i="7" a="1"/>
  <c r="DV305" i="7" s="1"/>
  <c r="FY310" i="7" a="1"/>
  <c r="FY310" i="7" s="1"/>
  <c r="FB290" i="7" a="1"/>
  <c r="FB290" i="7" s="1"/>
  <c r="FE314" i="7" a="1"/>
  <c r="FE314" i="7" s="1"/>
  <c r="FZ299" i="7" a="1"/>
  <c r="FZ299" i="7" s="1"/>
  <c r="FK306" i="7" a="1"/>
  <c r="FK306" i="7" s="1"/>
  <c r="DR312" i="7" a="1"/>
  <c r="DR312" i="7" s="1"/>
  <c r="DU300" i="7" a="1"/>
  <c r="DU300" i="7" s="1"/>
  <c r="FP314" i="7" a="1"/>
  <c r="FP314" i="7" s="1"/>
  <c r="EU319" i="7" a="1"/>
  <c r="EU319" i="7" s="1"/>
  <c r="DV323" i="7" a="1"/>
  <c r="DV323" i="7" s="1"/>
  <c r="DS325" i="7" a="1"/>
  <c r="DS325" i="7" s="1"/>
  <c r="FX327" i="7" a="1"/>
  <c r="FX327" i="7" s="1"/>
  <c r="EI331" i="7" a="1"/>
  <c r="EI331" i="7" s="1"/>
  <c r="FE334" i="7" a="1"/>
  <c r="FE334" i="7" s="1"/>
  <c r="GA337" i="7" a="1"/>
  <c r="GA337" i="7" s="1"/>
  <c r="EE341" i="7" a="1"/>
  <c r="EE341" i="7" s="1"/>
  <c r="DR326" i="7" a="1"/>
  <c r="DR326" i="7" s="1"/>
  <c r="DW338" i="7" a="1"/>
  <c r="DW338" i="7" s="1"/>
  <c r="EK346" i="7" a="1"/>
  <c r="EK346" i="7" s="1"/>
  <c r="FC351" i="7" a="1"/>
  <c r="FC351" i="7" s="1"/>
  <c r="DT356" i="7" a="1"/>
  <c r="DT356" i="7" s="1"/>
  <c r="FT359" i="7" a="1"/>
  <c r="FT359" i="7" s="1"/>
  <c r="FH362" i="7" a="1"/>
  <c r="FH362" i="7" s="1"/>
  <c r="EM364" i="7" a="1"/>
  <c r="EM364" i="7" s="1"/>
  <c r="DR366" i="7" a="1"/>
  <c r="DR366" i="7" s="1"/>
  <c r="FH367" i="7" a="1"/>
  <c r="FH367" i="7" s="1"/>
  <c r="EM369" i="7" a="1"/>
  <c r="EM369" i="7" s="1"/>
  <c r="DR371" i="7" a="1"/>
  <c r="DR371" i="7" s="1"/>
  <c r="FH372" i="7" a="1"/>
  <c r="FH372" i="7" s="1"/>
  <c r="ET374" i="7" a="1"/>
  <c r="ET374" i="7" s="1"/>
  <c r="FW314" i="7" a="1"/>
  <c r="FW314" i="7" s="1"/>
  <c r="EO334" i="7" a="1"/>
  <c r="EO334" i="7" s="1"/>
  <c r="FX343" i="7" a="1"/>
  <c r="FX343" i="7" s="1"/>
  <c r="FM349" i="7" a="1"/>
  <c r="FM349" i="7" s="1"/>
  <c r="ER354" i="7" a="1"/>
  <c r="ER354" i="7" s="1"/>
  <c r="ED358" i="7" a="1"/>
  <c r="ED358" i="7" s="1"/>
  <c r="FD316" i="7" a="1"/>
  <c r="FD316" i="7" s="1"/>
  <c r="EZ333" i="7" a="1"/>
  <c r="EZ333" i="7" s="1"/>
  <c r="FV344" i="7" a="1"/>
  <c r="FV344" i="7" s="1"/>
  <c r="ED349" i="7" a="1"/>
  <c r="ED349" i="7" s="1"/>
  <c r="FC353" i="7" a="1"/>
  <c r="FC353" i="7" s="1"/>
  <c r="EO357" i="7" a="1"/>
  <c r="EO357" i="7" s="1"/>
  <c r="FZ360" i="7" a="1"/>
  <c r="FZ360" i="7" s="1"/>
  <c r="DS363" i="7" a="1"/>
  <c r="DS363" i="7" s="1"/>
  <c r="FB364" i="7" a="1"/>
  <c r="FB364" i="7" s="1"/>
  <c r="DZ366" i="7" a="1"/>
  <c r="DZ366" i="7" s="1"/>
  <c r="FI367" i="7" a="1"/>
  <c r="FI367" i="7" s="1"/>
  <c r="EG369" i="7" a="1"/>
  <c r="EG369" i="7" s="1"/>
  <c r="FP370" i="7" a="1"/>
  <c r="FP370" i="7" s="1"/>
  <c r="EN372" i="7" a="1"/>
  <c r="EN372" i="7" s="1"/>
  <c r="FW373" i="7" a="1"/>
  <c r="FW373" i="7" s="1"/>
  <c r="EU375" i="7" a="1"/>
  <c r="EU375" i="7" s="1"/>
  <c r="FP327" i="7" a="1"/>
  <c r="FP327" i="7" s="1"/>
  <c r="DT339" i="7" a="1"/>
  <c r="DT339" i="7" s="1"/>
  <c r="FW346" i="7" a="1"/>
  <c r="FW346" i="7" s="1"/>
  <c r="FM351" i="7" a="1"/>
  <c r="FM351" i="7" s="1"/>
  <c r="FY355" i="7" a="1"/>
  <c r="FY355" i="7" s="1"/>
  <c r="EY359" i="7" a="1"/>
  <c r="EY359" i="7" s="1"/>
  <c r="FR323" i="7" a="1"/>
  <c r="FR323" i="7" s="1"/>
  <c r="EO337" i="7" a="1"/>
  <c r="EO337" i="7" s="1"/>
  <c r="FE345" i="7" a="1"/>
  <c r="FE345" i="7" s="1"/>
  <c r="FP349" i="7" a="1"/>
  <c r="FP349" i="7" s="1"/>
  <c r="EK354" i="7" a="1"/>
  <c r="EK354" i="7" s="1"/>
  <c r="FT357" i="7" a="1"/>
  <c r="FT357" i="7" s="1"/>
  <c r="FB361" i="7" a="1"/>
  <c r="FB361" i="7" s="1"/>
  <c r="EH363" i="7" a="1"/>
  <c r="EH363" i="7" s="1"/>
  <c r="FQ364" i="7" a="1"/>
  <c r="FQ364" i="7" s="1"/>
  <c r="EO366" i="7" a="1"/>
  <c r="EO366" i="7" s="1"/>
  <c r="FX367" i="7" a="1"/>
  <c r="FX367" i="7" s="1"/>
  <c r="EV369" i="7" a="1"/>
  <c r="EV369" i="7" s="1"/>
  <c r="DT371" i="7" a="1"/>
  <c r="DT371" i="7" s="1"/>
  <c r="GA331" i="7" a="1"/>
  <c r="GA331" i="7" s="1"/>
  <c r="FN342" i="7" a="1"/>
  <c r="FN342" i="7" s="1"/>
  <c r="FY347" i="7" a="1"/>
  <c r="FY347" i="7" s="1"/>
  <c r="ED352" i="7" a="1"/>
  <c r="ED352" i="7" s="1"/>
  <c r="ED356" i="7" a="1"/>
  <c r="ED356" i="7" s="1"/>
  <c r="FW359" i="7" a="1"/>
  <c r="FW359" i="7" s="1"/>
  <c r="DZ325" i="7" a="1"/>
  <c r="DZ325" i="7" s="1"/>
  <c r="FP335" i="7" a="1"/>
  <c r="FP335" i="7" s="1"/>
  <c r="FZ344" i="7" a="1"/>
  <c r="FZ344" i="7" s="1"/>
  <c r="FY350" i="7" a="1"/>
  <c r="FY350" i="7" s="1"/>
  <c r="DZ355" i="7" a="1"/>
  <c r="DZ355" i="7" s="1"/>
  <c r="FK358" i="7" a="1"/>
  <c r="FK358" i="7" s="1"/>
  <c r="DU362" i="7" a="1"/>
  <c r="DU362" i="7" s="1"/>
  <c r="FD363" i="7" a="1"/>
  <c r="FD363" i="7" s="1"/>
  <c r="EB365" i="7" a="1"/>
  <c r="EB365" i="7" s="1"/>
  <c r="FK366" i="7" a="1"/>
  <c r="FK366" i="7" s="1"/>
  <c r="EI368" i="7" a="1"/>
  <c r="EI368" i="7" s="1"/>
  <c r="FR369" i="7" a="1"/>
  <c r="FR369" i="7" s="1"/>
  <c r="EP371" i="7" a="1"/>
  <c r="EP371" i="7" s="1"/>
  <c r="FY372" i="7" a="1"/>
  <c r="FY372" i="7" s="1"/>
  <c r="EW374" i="7" a="1"/>
  <c r="EW374" i="7" s="1"/>
  <c r="EM315" i="7" a="1"/>
  <c r="EM315" i="7" s="1"/>
  <c r="FM333" i="7" a="1"/>
  <c r="FM333" i="7" s="1"/>
  <c r="FA343" i="7" a="1"/>
  <c r="FA343" i="7" s="1"/>
  <c r="FP348" i="7" a="1"/>
  <c r="FP348" i="7" s="1"/>
  <c r="FP352" i="7" a="1"/>
  <c r="FP352" i="7" s="1"/>
  <c r="FQ356" i="7" a="1"/>
  <c r="FQ356" i="7" s="1"/>
  <c r="EQ360" i="7" a="1"/>
  <c r="EQ360" i="7" s="1"/>
  <c r="EN326" i="7" a="1"/>
  <c r="EN326" i="7" s="1"/>
  <c r="DY337" i="7" a="1"/>
  <c r="DY337" i="7" s="1"/>
  <c r="ED346" i="7" a="1"/>
  <c r="ED346" i="7" s="1"/>
  <c r="FZ350" i="7" a="1"/>
  <c r="FZ350" i="7" s="1"/>
  <c r="EP355" i="7" a="1"/>
  <c r="EP355" i="7" s="1"/>
  <c r="GA358" i="7" a="1"/>
  <c r="GA358" i="7" s="1"/>
  <c r="EC362" i="7" a="1"/>
  <c r="EC362" i="7" s="1"/>
  <c r="FL363" i="7" a="1"/>
  <c r="FL363" i="7" s="1"/>
  <c r="EJ365" i="7" a="1"/>
  <c r="EJ365" i="7" s="1"/>
  <c r="FS366" i="7" a="1"/>
  <c r="FS366" i="7" s="1"/>
  <c r="EQ368" i="7" a="1"/>
  <c r="EQ368" i="7" s="1"/>
  <c r="FZ369" i="7" a="1"/>
  <c r="FZ369" i="7" s="1"/>
  <c r="EI320" i="7" a="1"/>
  <c r="EI320" i="7" s="1"/>
  <c r="ET335" i="7" a="1"/>
  <c r="ET335" i="7" s="1"/>
  <c r="DU344" i="7" a="1"/>
  <c r="DU344" i="7" s="1"/>
  <c r="EI349" i="7" a="1"/>
  <c r="EI349" i="7" s="1"/>
  <c r="EX353" i="7" a="1"/>
  <c r="EX353" i="7" s="1"/>
  <c r="FB321" i="7" a="1"/>
  <c r="FB321" i="7" s="1"/>
  <c r="FM336" i="7" a="1"/>
  <c r="FM336" i="7" s="1"/>
  <c r="EW345" i="7" a="1"/>
  <c r="EW345" i="7" s="1"/>
  <c r="FB349" i="7" a="1"/>
  <c r="FB349" i="7" s="1"/>
  <c r="DW354" i="7" a="1"/>
  <c r="DW354" i="7" s="1"/>
  <c r="EM286" i="7" a="1"/>
  <c r="EM286" i="7" s="1"/>
  <c r="EI274" i="7" a="1"/>
  <c r="EI274" i="7" s="1"/>
  <c r="EH288" i="7" a="1"/>
  <c r="EH288" i="7" s="1"/>
  <c r="FC272" i="7" a="1"/>
  <c r="FC272" i="7" s="1"/>
  <c r="DS280" i="7" a="1"/>
  <c r="DS280" i="7" s="1"/>
  <c r="DV266" i="7" a="1"/>
  <c r="DV266" i="7" s="1"/>
  <c r="EJ282" i="7" a="1"/>
  <c r="EJ282" i="7" s="1"/>
  <c r="FK275" i="7" a="1"/>
  <c r="FK275" i="7" s="1"/>
  <c r="FJ281" i="7" a="1"/>
  <c r="FJ281" i="7" s="1"/>
  <c r="FX270" i="7" a="1"/>
  <c r="FX270" i="7" s="1"/>
  <c r="EC285" i="7" a="1"/>
  <c r="EC285" i="7" s="1"/>
  <c r="FK277" i="7" a="1"/>
  <c r="FK277" i="7" s="1"/>
  <c r="FR284" i="7" a="1"/>
  <c r="FR284" i="7" s="1"/>
  <c r="EE271" i="7" a="1"/>
  <c r="EE271" i="7" s="1"/>
  <c r="EI239" i="7" a="1"/>
  <c r="EI239" i="7" s="1"/>
  <c r="FM258" i="7" a="1"/>
  <c r="FM258" i="7" s="1"/>
  <c r="EH277" i="7" a="1"/>
  <c r="EH277" i="7" s="1"/>
  <c r="GA267" i="7" a="1"/>
  <c r="GA267" i="7" s="1"/>
  <c r="DV294" i="7" a="1"/>
  <c r="DV294" i="7" s="1"/>
  <c r="EY302" i="7" a="1"/>
  <c r="EY302" i="7" s="1"/>
  <c r="ER307" i="7" a="1"/>
  <c r="ER307" i="7" s="1"/>
  <c r="ER313" i="7" a="1"/>
  <c r="ER313" i="7" s="1"/>
  <c r="EK318" i="7" a="1"/>
  <c r="EK318" i="7" s="1"/>
  <c r="EK324" i="7" a="1"/>
  <c r="EK324" i="7" s="1"/>
  <c r="DW288" i="7" a="1"/>
  <c r="DW288" i="7" s="1"/>
  <c r="EG274" i="7" a="1"/>
  <c r="EG274" i="7" s="1"/>
  <c r="FI294" i="7" a="1"/>
  <c r="FI294" i="7" s="1"/>
  <c r="FU302" i="7" a="1"/>
  <c r="FU302" i="7" s="1"/>
  <c r="FN307" i="7" a="1"/>
  <c r="FN307" i="7" s="1"/>
  <c r="FN313" i="7" a="1"/>
  <c r="FN313" i="7" s="1"/>
  <c r="FG318" i="7" a="1"/>
  <c r="FG318" i="7" s="1"/>
  <c r="DW280" i="7" a="1"/>
  <c r="DW280" i="7" s="1"/>
  <c r="FQ294" i="7" a="1"/>
  <c r="FQ294" i="7" s="1"/>
  <c r="EE290" i="7" a="1"/>
  <c r="EE290" i="7" s="1"/>
  <c r="FA299" i="7" a="1"/>
  <c r="FA299" i="7" s="1"/>
  <c r="FA305" i="7" a="1"/>
  <c r="FA305" i="7" s="1"/>
  <c r="ET310" i="7" a="1"/>
  <c r="ET310" i="7" s="1"/>
  <c r="EW290" i="7" a="1"/>
  <c r="EW290" i="7" s="1"/>
  <c r="FN275" i="7" a="1"/>
  <c r="FN275" i="7" s="1"/>
  <c r="FM296" i="7" a="1"/>
  <c r="FM296" i="7" s="1"/>
  <c r="FI302" i="7" a="1"/>
  <c r="FI302" i="7" s="1"/>
  <c r="FI308" i="7" a="1"/>
  <c r="FI308" i="7" s="1"/>
  <c r="FB313" i="7" a="1"/>
  <c r="FB313" i="7" s="1"/>
  <c r="FF291" i="7" a="1"/>
  <c r="FF291" i="7" s="1"/>
  <c r="EF280" i="7" a="1"/>
  <c r="EF280" i="7" s="1"/>
  <c r="EO297" i="7" a="1"/>
  <c r="EO297" i="7" s="1"/>
  <c r="DT303" i="7" a="1"/>
  <c r="DT303" i="7" s="1"/>
  <c r="DT309" i="7" a="1"/>
  <c r="DT309" i="7" s="1"/>
  <c r="EJ285" i="7" a="1"/>
  <c r="EJ285" i="7" s="1"/>
  <c r="FQ298" i="7" a="1"/>
  <c r="FQ298" i="7" s="1"/>
  <c r="DZ278" i="7" a="1"/>
  <c r="DZ278" i="7" s="1"/>
  <c r="EZ266" i="7" a="1"/>
  <c r="EZ266" i="7" s="1"/>
  <c r="EA291" i="7" a="1"/>
  <c r="EA291" i="7" s="1"/>
  <c r="EC305" i="7" a="1"/>
  <c r="EC305" i="7" s="1"/>
  <c r="EV318" i="7" a="1"/>
  <c r="EV318" i="7" s="1"/>
  <c r="FN331" i="7" a="1"/>
  <c r="FN331" i="7" s="1"/>
  <c r="GA340" i="7" a="1"/>
  <c r="GA340" i="7" s="1"/>
  <c r="ES349" i="7" a="1"/>
  <c r="ES349" i="7" s="1"/>
  <c r="DQ354" i="7" a="1"/>
  <c r="DQ354" i="7" s="1"/>
  <c r="EZ357" i="7" a="1"/>
  <c r="EZ357" i="7" s="1"/>
  <c r="EU289" i="7" a="1"/>
  <c r="EU289" i="7" s="1"/>
  <c r="EV319" i="7" a="1"/>
  <c r="EV319" i="7" s="1"/>
  <c r="FO324" i="7" a="1"/>
  <c r="FO324" i="7" s="1"/>
  <c r="EH329" i="7" a="1"/>
  <c r="EH329" i="7" s="1"/>
  <c r="EE333" i="7" a="1"/>
  <c r="EE333" i="7" s="1"/>
  <c r="EI337" i="7" a="1"/>
  <c r="EI337" i="7" s="1"/>
  <c r="EC342" i="7" a="1"/>
  <c r="EC342" i="7" s="1"/>
  <c r="DZ346" i="7" a="1"/>
  <c r="DZ346" i="7" s="1"/>
  <c r="FW296" i="7" a="1"/>
  <c r="FW296" i="7" s="1"/>
  <c r="EQ306" i="7" a="1"/>
  <c r="EQ306" i="7" s="1"/>
  <c r="DY315" i="7" a="1"/>
  <c r="DY315" i="7" s="1"/>
  <c r="DT322" i="7" a="1"/>
  <c r="DT322" i="7" s="1"/>
  <c r="EP329" i="7" a="1"/>
  <c r="EP329" i="7" s="1"/>
  <c r="EJ334" i="7" a="1"/>
  <c r="EJ334" i="7" s="1"/>
  <c r="EG338" i="7" a="1"/>
  <c r="EG338" i="7" s="1"/>
  <c r="EK342" i="7" a="1"/>
  <c r="EK342" i="7" s="1"/>
  <c r="DX347" i="7" a="1"/>
  <c r="DX347" i="7" s="1"/>
  <c r="DR350" i="7" a="1"/>
  <c r="DR350" i="7" s="1"/>
  <c r="ET352" i="7" a="1"/>
  <c r="ET352" i="7" s="1"/>
  <c r="ET354" i="7" a="1"/>
  <c r="ET354" i="7" s="1"/>
  <c r="FE311" i="7" a="1"/>
  <c r="FE311" i="7" s="1"/>
  <c r="FH317" i="7" a="1"/>
  <c r="FH317" i="7" s="1"/>
  <c r="FK322" i="7" a="1"/>
  <c r="FK322" i="7" s="1"/>
  <c r="FI325" i="7" a="1"/>
  <c r="FI325" i="7" s="1"/>
  <c r="FM329" i="7" a="1"/>
  <c r="FM329" i="7" s="1"/>
  <c r="FJ333" i="7" a="1"/>
  <c r="FJ333" i="7" s="1"/>
  <c r="FD338" i="7" a="1"/>
  <c r="FD338" i="7" s="1"/>
  <c r="FA342" i="7" a="1"/>
  <c r="FA342" i="7" s="1"/>
  <c r="EB294" i="7" a="1"/>
  <c r="EB294" i="7" s="1"/>
  <c r="FK305" i="7" a="1"/>
  <c r="FK305" i="7" s="1"/>
  <c r="DZ315" i="7" a="1"/>
  <c r="DZ315" i="7" s="1"/>
  <c r="FO321" i="7" a="1"/>
  <c r="FO321" i="7" s="1"/>
  <c r="EB329" i="7" a="1"/>
  <c r="EB329" i="7" s="1"/>
  <c r="DV334" i="7" a="1"/>
  <c r="DV334" i="7" s="1"/>
  <c r="DS338" i="7" a="1"/>
  <c r="DS338" i="7" s="1"/>
  <c r="DW342" i="7" a="1"/>
  <c r="DW342" i="7" s="1"/>
  <c r="FA312" i="7" a="1"/>
  <c r="FA312" i="7" s="1"/>
  <c r="FZ317" i="7" a="1"/>
  <c r="FZ317" i="7" s="1"/>
  <c r="EP323" i="7" a="1"/>
  <c r="EP323" i="7" s="1"/>
  <c r="FY325" i="7" a="1"/>
  <c r="FY325" i="7" s="1"/>
  <c r="FV329" i="7" a="1"/>
  <c r="FV329" i="7" s="1"/>
  <c r="FP334" i="7" a="1"/>
  <c r="FP334" i="7" s="1"/>
  <c r="FT338" i="7" a="1"/>
  <c r="FT338" i="7" s="1"/>
  <c r="FG343" i="7" a="1"/>
  <c r="FG343" i="7" s="1"/>
  <c r="ET296" i="7" a="1"/>
  <c r="ET296" i="7" s="1"/>
  <c r="EX306" i="7" a="1"/>
  <c r="EX306" i="7" s="1"/>
  <c r="EV313" i="7" a="1"/>
  <c r="EV313" i="7" s="1"/>
  <c r="FZ318" i="7" a="1"/>
  <c r="FZ318" i="7" s="1"/>
  <c r="FT327" i="7" a="1"/>
  <c r="FT327" i="7" s="1"/>
  <c r="FQ331" i="7" a="1"/>
  <c r="FQ331" i="7" s="1"/>
  <c r="FN335" i="7" a="1"/>
  <c r="FN335" i="7" s="1"/>
  <c r="FH340" i="7" a="1"/>
  <c r="FH340" i="7" s="1"/>
  <c r="FL344" i="7" a="1"/>
  <c r="FL344" i="7" s="1"/>
  <c r="FL289" i="7" a="1"/>
  <c r="FL289" i="7" s="1"/>
  <c r="EJ315" i="7" a="1"/>
  <c r="EJ315" i="7" s="1"/>
  <c r="FQ320" i="7" a="1"/>
  <c r="FQ320" i="7" s="1"/>
  <c r="FB324" i="7" a="1"/>
  <c r="FB324" i="7" s="1"/>
  <c r="FU327" i="7" a="1"/>
  <c r="FU327" i="7" s="1"/>
  <c r="FO332" i="7" a="1"/>
  <c r="FO332" i="7" s="1"/>
  <c r="FS336" i="7" a="1"/>
  <c r="FS336" i="7" s="1"/>
  <c r="FP340" i="7" a="1"/>
  <c r="FP340" i="7" s="1"/>
  <c r="FJ345" i="7" a="1"/>
  <c r="FJ345" i="7" s="1"/>
  <c r="FY301" i="7" a="1"/>
  <c r="FY301" i="7" s="1"/>
  <c r="EW310" i="7" a="1"/>
  <c r="EW310" i="7" s="1"/>
  <c r="FC315" i="7" a="1"/>
  <c r="FC315" i="7" s="1"/>
  <c r="DY321" i="7" a="1"/>
  <c r="DY321" i="7" s="1"/>
  <c r="EL329" i="7" a="1"/>
  <c r="EL329" i="7" s="1"/>
  <c r="EA333" i="7" a="1"/>
  <c r="EA333" i="7" s="1"/>
  <c r="GA336" i="7" a="1"/>
  <c r="GA336" i="7" s="1"/>
  <c r="EB341" i="7" a="1"/>
  <c r="EB341" i="7" s="1"/>
  <c r="EG298" i="7" a="1"/>
  <c r="EG298" i="7" s="1"/>
  <c r="EB316" i="7" a="1"/>
  <c r="EB316" i="7" s="1"/>
  <c r="FR320" i="7" a="1"/>
  <c r="FR320" i="7" s="1"/>
  <c r="FI323" i="7" a="1"/>
  <c r="FI323" i="7" s="1"/>
  <c r="FL325" i="7" a="1"/>
  <c r="FL325" i="7" s="1"/>
  <c r="DW329" i="7" a="1"/>
  <c r="DW329" i="7" s="1"/>
  <c r="FH296" i="7" a="1"/>
  <c r="FH296" i="7" s="1"/>
  <c r="EW305" i="7" a="1"/>
  <c r="EW305" i="7" s="1"/>
  <c r="EJ311" i="7" a="1"/>
  <c r="EJ311" i="7" s="1"/>
  <c r="FY291" i="7" a="1"/>
  <c r="FY291" i="7" s="1"/>
  <c r="DU315" i="7" a="1"/>
  <c r="DU315" i="7" s="1"/>
  <c r="DU301" i="7" a="1"/>
  <c r="DU301" i="7" s="1"/>
  <c r="DV307" i="7" a="1"/>
  <c r="DV307" i="7" s="1"/>
  <c r="EF312" i="7" a="1"/>
  <c r="EF312" i="7" s="1"/>
  <c r="EX300" i="7" a="1"/>
  <c r="EX300" i="7" s="1"/>
  <c r="DV315" i="7" a="1"/>
  <c r="DV315" i="7" s="1"/>
  <c r="FL319" i="7" a="1"/>
  <c r="FL319" i="7" s="1"/>
  <c r="EE323" i="7" a="1"/>
  <c r="EE323" i="7" s="1"/>
  <c r="EA325" i="7" a="1"/>
  <c r="EA325" i="7" s="1"/>
  <c r="EB328" i="7" a="1"/>
  <c r="EB328" i="7" s="1"/>
  <c r="EX331" i="7" a="1"/>
  <c r="EX331" i="7" s="1"/>
  <c r="FT334" i="7" a="1"/>
  <c r="FT334" i="7" s="1"/>
  <c r="DX338" i="7" a="1"/>
  <c r="DX338" i="7" s="1"/>
  <c r="FI341" i="7" a="1"/>
  <c r="FI341" i="7" s="1"/>
  <c r="FC326" i="7" a="1"/>
  <c r="FC326" i="7" s="1"/>
  <c r="FX338" i="7" a="1"/>
  <c r="FX338" i="7" s="1"/>
  <c r="EX346" i="7" a="1"/>
  <c r="EX346" i="7" s="1"/>
  <c r="FT351" i="7" a="1"/>
  <c r="FT351" i="7" s="1"/>
  <c r="EI356" i="7" a="1"/>
  <c r="EI356" i="7" s="1"/>
  <c r="EF360" i="7" a="1"/>
  <c r="EF360" i="7" s="1"/>
  <c r="FO362" i="7" a="1"/>
  <c r="FO362" i="7" s="1"/>
  <c r="ET364" i="7" a="1"/>
  <c r="ET364" i="7" s="1"/>
  <c r="DY366" i="7" a="1"/>
  <c r="DY366" i="7" s="1"/>
  <c r="FO367" i="7" a="1"/>
  <c r="FO367" i="7" s="1"/>
  <c r="ET369" i="7" a="1"/>
  <c r="ET369" i="7" s="1"/>
  <c r="DY371" i="7" a="1"/>
  <c r="DY371" i="7" s="1"/>
  <c r="FV372" i="7" a="1"/>
  <c r="FV372" i="7" s="1"/>
  <c r="FA374" i="7" a="1"/>
  <c r="FA374" i="7" s="1"/>
  <c r="EC317" i="7" a="1"/>
  <c r="EC317" i="7" s="1"/>
  <c r="FR334" i="7" a="1"/>
  <c r="FR334" i="7" s="1"/>
  <c r="EB344" i="7" a="1"/>
  <c r="EB344" i="7" s="1"/>
  <c r="FW349" i="7" a="1"/>
  <c r="FW349" i="7" s="1"/>
  <c r="FB354" i="7" a="1"/>
  <c r="FB354" i="7" s="1"/>
  <c r="FA358" i="7" a="1"/>
  <c r="FA358" i="7" s="1"/>
  <c r="FC318" i="7" a="1"/>
  <c r="FC318" i="7" s="1"/>
  <c r="DR334" i="7" a="1"/>
  <c r="DR334" i="7" s="1"/>
  <c r="DZ345" i="7" a="1"/>
  <c r="DZ345" i="7" s="1"/>
  <c r="EN349" i="7" a="1"/>
  <c r="EN349" i="7" s="1"/>
  <c r="FT353" i="7" a="1"/>
  <c r="FT353" i="7" s="1"/>
  <c r="FD357" i="7" a="1"/>
  <c r="FD357" i="7" s="1"/>
  <c r="ED361" i="7" a="1"/>
  <c r="ED361" i="7" s="1"/>
  <c r="DZ363" i="7" a="1"/>
  <c r="DZ363" i="7" s="1"/>
  <c r="FI364" i="7" a="1"/>
  <c r="FI364" i="7" s="1"/>
  <c r="EG366" i="7" a="1"/>
  <c r="EG366" i="7" s="1"/>
  <c r="FP367" i="7" a="1"/>
  <c r="FP367" i="7" s="1"/>
  <c r="EN369" i="7" a="1"/>
  <c r="EN369" i="7" s="1"/>
  <c r="FW370" i="7" a="1"/>
  <c r="FW370" i="7" s="1"/>
  <c r="EU372" i="7" a="1"/>
  <c r="EU372" i="7" s="1"/>
  <c r="DS374" i="7" a="1"/>
  <c r="DS374" i="7" s="1"/>
  <c r="FB375" i="7" a="1"/>
  <c r="FB375" i="7" s="1"/>
  <c r="EP328" i="7" a="1"/>
  <c r="EP328" i="7" s="1"/>
  <c r="EW339" i="7" a="1"/>
  <c r="EW339" i="7" s="1"/>
  <c r="EG347" i="7" a="1"/>
  <c r="EG347" i="7" s="1"/>
  <c r="FW351" i="7" a="1"/>
  <c r="FW351" i="7" s="1"/>
  <c r="EC356" i="7" a="1"/>
  <c r="EC356" i="7" s="1"/>
  <c r="FV359" i="7" a="1"/>
  <c r="FV359" i="7" s="1"/>
  <c r="EF326" i="7" a="1"/>
  <c r="EF326" i="7" s="1"/>
  <c r="FR337" i="7" a="1"/>
  <c r="FR337" i="7" s="1"/>
  <c r="FT345" i="7" a="1"/>
  <c r="FT345" i="7" s="1"/>
  <c r="DV350" i="7" a="1"/>
  <c r="DV350" i="7" s="1"/>
  <c r="EU354" i="7" a="1"/>
  <c r="EU354" i="7" s="1"/>
  <c r="EF358" i="7" a="1"/>
  <c r="EF358" i="7" s="1"/>
  <c r="FQ361" i="7" a="1"/>
  <c r="FQ361" i="7" s="1"/>
  <c r="EO363" i="7" a="1"/>
  <c r="EO363" i="7" s="1"/>
  <c r="FX364" i="7" a="1"/>
  <c r="FX364" i="7" s="1"/>
  <c r="EV366" i="7" a="1"/>
  <c r="EV366" i="7" s="1"/>
  <c r="DT368" i="7" a="1"/>
  <c r="DT368" i="7" s="1"/>
  <c r="FC369" i="7" a="1"/>
  <c r="FC369" i="7" s="1"/>
  <c r="EC315" i="7" a="1"/>
  <c r="EC315" i="7" s="1"/>
  <c r="FQ332" i="7" a="1"/>
  <c r="FQ332" i="7" s="1"/>
  <c r="DR343" i="7" a="1"/>
  <c r="DR343" i="7" s="1"/>
  <c r="EH348" i="7" a="1"/>
  <c r="EH348" i="7" s="1"/>
  <c r="EN352" i="7" a="1"/>
  <c r="EN352" i="7" s="1"/>
  <c r="FA356" i="7" a="1"/>
  <c r="FA356" i="7" s="1"/>
  <c r="EA360" i="7" a="1"/>
  <c r="EA360" i="7" s="1"/>
  <c r="EG326" i="7" a="1"/>
  <c r="EG326" i="7" s="1"/>
  <c r="FS337" i="7" a="1"/>
  <c r="FS337" i="7" s="1"/>
  <c r="ED345" i="7" a="1"/>
  <c r="ED345" i="7" s="1"/>
  <c r="EO351" i="7" a="1"/>
  <c r="EO351" i="7" s="1"/>
  <c r="EO355" i="7" a="1"/>
  <c r="EO355" i="7" s="1"/>
  <c r="FZ358" i="7" a="1"/>
  <c r="FZ358" i="7" s="1"/>
  <c r="EB362" i="7" a="1"/>
  <c r="EB362" i="7" s="1"/>
  <c r="FK363" i="7" a="1"/>
  <c r="FK363" i="7" s="1"/>
  <c r="EI365" i="7" a="1"/>
  <c r="EI365" i="7" s="1"/>
  <c r="FR366" i="7" a="1"/>
  <c r="FR366" i="7" s="1"/>
  <c r="EP368" i="7" a="1"/>
  <c r="EP368" i="7" s="1"/>
  <c r="FY369" i="7" a="1"/>
  <c r="FY369" i="7" s="1"/>
  <c r="EW371" i="7" a="1"/>
  <c r="EW371" i="7" s="1"/>
  <c r="DU373" i="7" a="1"/>
  <c r="DU373" i="7" s="1"/>
  <c r="FD374" i="7" a="1"/>
  <c r="FD374" i="7" s="1"/>
  <c r="EC316" i="7" a="1"/>
  <c r="EC316" i="7" s="1"/>
  <c r="DZ334" i="7" a="1"/>
  <c r="DZ334" i="7" s="1"/>
  <c r="FP343" i="7" a="1"/>
  <c r="FP343" i="7" s="1"/>
  <c r="FZ348" i="7" a="1"/>
  <c r="FZ348" i="7" s="1"/>
  <c r="DV353" i="7" a="1"/>
  <c r="DV353" i="7" s="1"/>
  <c r="DU357" i="7" a="1"/>
  <c r="DU357" i="7" s="1"/>
  <c r="FF360" i="7" a="1"/>
  <c r="FF360" i="7" s="1"/>
  <c r="FY326" i="7" a="1"/>
  <c r="FY326" i="7" s="1"/>
  <c r="EB339" i="7" a="1"/>
  <c r="EB339" i="7" s="1"/>
  <c r="FP346" i="7" a="1"/>
  <c r="FP346" i="7" s="1"/>
  <c r="EP351" i="7" a="1"/>
  <c r="EP351" i="7" s="1"/>
  <c r="FE355" i="7" a="1"/>
  <c r="FE355" i="7" s="1"/>
  <c r="EM359" i="7" a="1"/>
  <c r="EM359" i="7" s="1"/>
  <c r="EJ362" i="7" a="1"/>
  <c r="EJ362" i="7" s="1"/>
  <c r="FS363" i="7" a="1"/>
  <c r="FS363" i="7" s="1"/>
  <c r="EQ365" i="7" a="1"/>
  <c r="EQ365" i="7" s="1"/>
  <c r="FZ366" i="7" a="1"/>
  <c r="FZ366" i="7" s="1"/>
  <c r="EX368" i="7" a="1"/>
  <c r="EX368" i="7" s="1"/>
  <c r="DV370" i="7" a="1"/>
  <c r="DV370" i="7" s="1"/>
  <c r="EH322" i="7" a="1"/>
  <c r="EH322" i="7" s="1"/>
  <c r="FW335" i="7" a="1"/>
  <c r="FW335" i="7" s="1"/>
  <c r="EJ344" i="7" a="1"/>
  <c r="EJ344" i="7" s="1"/>
  <c r="FJ349" i="7" a="1"/>
  <c r="FJ349" i="7" s="1"/>
  <c r="FY353" i="7" a="1"/>
  <c r="FY353" i="7" s="1"/>
  <c r="DX324" i="7" a="1"/>
  <c r="DX324" i="7" s="1"/>
  <c r="DZ337" i="7" a="1"/>
  <c r="DZ337" i="7" s="1"/>
  <c r="FL345" i="7" a="1"/>
  <c r="FL345" i="7" s="1"/>
  <c r="FS349" i="7" a="1"/>
  <c r="FS349" i="7" s="1"/>
  <c r="EG354" i="7" a="1"/>
  <c r="EG354" i="7" s="1"/>
  <c r="FB286" i="7" a="1"/>
  <c r="FB286" i="7" s="1"/>
  <c r="EZ274" i="7" a="1"/>
  <c r="EZ274" i="7" s="1"/>
  <c r="EW288" i="7" a="1"/>
  <c r="EW288" i="7" s="1"/>
  <c r="FT272" i="7" a="1"/>
  <c r="FT272" i="7" s="1"/>
  <c r="EA280" i="7" a="1"/>
  <c r="EA280" i="7" s="1"/>
  <c r="ER266" i="7" a="1"/>
  <c r="ER266" i="7" s="1"/>
  <c r="EY282" i="7" a="1"/>
  <c r="EY282" i="7" s="1"/>
  <c r="DQ276" i="7" a="1"/>
  <c r="DQ276" i="7" s="1"/>
  <c r="FY281" i="7" a="1"/>
  <c r="FY281" i="7" s="1"/>
  <c r="ED271" i="7" a="1"/>
  <c r="ED271" i="7" s="1"/>
  <c r="EW228" i="7" a="1"/>
  <c r="EW228" i="7" s="1"/>
  <c r="FS277" i="7" a="1"/>
  <c r="FS277" i="7" s="1"/>
  <c r="DV285" i="7" a="1"/>
  <c r="DV285" i="7" s="1"/>
  <c r="EO271" i="7" a="1"/>
  <c r="EO271" i="7" s="1"/>
  <c r="EF244" i="7" a="1"/>
  <c r="EF244" i="7" s="1"/>
  <c r="EK260" i="7" a="1"/>
  <c r="EK260" i="7" s="1"/>
  <c r="EP277" i="7" a="1"/>
  <c r="EP277" i="7" s="1"/>
  <c r="EH270" i="7" a="1"/>
  <c r="EH270" i="7" s="1"/>
  <c r="EK294" i="7" a="1"/>
  <c r="EK294" i="7" s="1"/>
  <c r="FF302" i="7" a="1"/>
  <c r="FF302" i="7" s="1"/>
  <c r="EY307" i="7" a="1"/>
  <c r="EY307" i="7" s="1"/>
  <c r="EY313" i="7" a="1"/>
  <c r="EY313" i="7" s="1"/>
  <c r="ER318" i="7" a="1"/>
  <c r="ER318" i="7" s="1"/>
  <c r="ER324" i="7" a="1"/>
  <c r="ER324" i="7" s="1"/>
  <c r="EF288" i="7" a="1"/>
  <c r="EF288" i="7" s="1"/>
  <c r="FE275" i="7" a="1"/>
  <c r="FE275" i="7" s="1"/>
  <c r="FX294" i="7" a="1"/>
  <c r="FX294" i="7" s="1"/>
  <c r="DQ303" i="7" a="1"/>
  <c r="DQ303" i="7" s="1"/>
  <c r="FU307" i="7" a="1"/>
  <c r="FU307" i="7" s="1"/>
  <c r="FU313" i="7" a="1"/>
  <c r="FU313" i="7" s="1"/>
  <c r="FN318" i="7" a="1"/>
  <c r="FN318" i="7" s="1"/>
  <c r="FC280" i="7" a="1"/>
  <c r="FC280" i="7" s="1"/>
  <c r="DU295" i="7" a="1"/>
  <c r="DU295" i="7" s="1"/>
  <c r="EN290" i="7" a="1"/>
  <c r="EN290" i="7" s="1"/>
  <c r="FH299" i="7" a="1"/>
  <c r="FH299" i="7" s="1"/>
  <c r="FH305" i="7" a="1"/>
  <c r="FH305" i="7" s="1"/>
  <c r="FA310" i="7" a="1"/>
  <c r="FA310" i="7" s="1"/>
  <c r="FF290" i="7" a="1"/>
  <c r="FF290" i="7" s="1"/>
  <c r="ET276" i="7" a="1"/>
  <c r="ET276" i="7" s="1"/>
  <c r="DQ297" i="7" a="1"/>
  <c r="DQ297" i="7" s="1"/>
  <c r="FP302" i="7" a="1"/>
  <c r="FP302" i="7" s="1"/>
  <c r="FP308" i="7" a="1"/>
  <c r="FP308" i="7" s="1"/>
  <c r="FI313" i="7" a="1"/>
  <c r="FI313" i="7" s="1"/>
  <c r="FO291" i="7" a="1"/>
  <c r="FO291" i="7" s="1"/>
  <c r="FE281" i="7" a="1"/>
  <c r="FE281" i="7" s="1"/>
  <c r="FD297" i="7" a="1"/>
  <c r="FD297" i="7" s="1"/>
  <c r="EA303" i="7" a="1"/>
  <c r="EA303" i="7" s="1"/>
  <c r="EA309" i="7" a="1"/>
  <c r="EA309" i="7" s="1"/>
  <c r="EU285" i="7" a="1"/>
  <c r="EU285" i="7" s="1"/>
  <c r="EG244" i="7" a="1"/>
  <c r="EG244" i="7" s="1"/>
  <c r="EY278" i="7" a="1"/>
  <c r="EY278" i="7" s="1"/>
  <c r="FR267" i="7" a="1"/>
  <c r="FR267" i="7" s="1"/>
  <c r="ER291" i="7" a="1"/>
  <c r="ER291" i="7" s="1"/>
  <c r="FD305" i="7" a="1"/>
  <c r="FD305" i="7" s="1"/>
  <c r="FC321" i="7" a="1"/>
  <c r="FC321" i="7" s="1"/>
  <c r="DR332" i="7" a="1"/>
  <c r="DR332" i="7" s="1"/>
  <c r="DX341" i="7" a="1"/>
  <c r="DX341" i="7" s="1"/>
  <c r="EZ349" i="7" a="1"/>
  <c r="EZ349" i="7" s="1"/>
  <c r="DX354" i="7" a="1"/>
  <c r="DX354" i="7" s="1"/>
  <c r="FG358" i="7" a="1"/>
  <c r="FG358" i="7" s="1"/>
  <c r="FR290" i="7" a="1"/>
  <c r="FR290" i="7" s="1"/>
  <c r="FW319" i="7" a="1"/>
  <c r="FW319" i="7" s="1"/>
  <c r="FW324" i="7" a="1"/>
  <c r="FW324" i="7" s="1"/>
  <c r="EW329" i="7" a="1"/>
  <c r="EW329" i="7" s="1"/>
  <c r="ET333" i="7" a="1"/>
  <c r="ET333" i="7" s="1"/>
  <c r="EN338" i="7" a="1"/>
  <c r="EN338" i="7" s="1"/>
  <c r="ER342" i="7" a="1"/>
  <c r="ER342" i="7" s="1"/>
  <c r="EO346" i="7" a="1"/>
  <c r="EO346" i="7" s="1"/>
  <c r="EQ297" i="7" a="1"/>
  <c r="EQ297" i="7" s="1"/>
  <c r="FR306" i="7" a="1"/>
  <c r="FR306" i="7" s="1"/>
  <c r="FH316" i="7" a="1"/>
  <c r="FH316" i="7" s="1"/>
  <c r="FA325" i="7" a="1"/>
  <c r="FA325" i="7" s="1"/>
  <c r="FE329" i="7" a="1"/>
  <c r="FE329" i="7" s="1"/>
  <c r="EY334" i="7" a="1"/>
  <c r="EY334" i="7" s="1"/>
  <c r="EV338" i="7" a="1"/>
  <c r="EV338" i="7" s="1"/>
  <c r="EP343" i="7" a="1"/>
  <c r="EP343" i="7" s="1"/>
  <c r="EM347" i="7" a="1"/>
  <c r="EM347" i="7" s="1"/>
  <c r="DY350" i="7" a="1"/>
  <c r="DY350" i="7" s="1"/>
  <c r="FA352" i="7" a="1"/>
  <c r="FA352" i="7" s="1"/>
  <c r="FA354" i="7" a="1"/>
  <c r="FA354" i="7" s="1"/>
  <c r="FL312" i="7" a="1"/>
  <c r="FL312" i="7" s="1"/>
  <c r="FY317" i="7" a="1"/>
  <c r="FY317" i="7" s="1"/>
  <c r="FS322" i="7" a="1"/>
  <c r="FS322" i="7" s="1"/>
  <c r="FX325" i="7" a="1"/>
  <c r="FX325" i="7" s="1"/>
  <c r="FU329" i="7" a="1"/>
  <c r="FU329" i="7" s="1"/>
  <c r="FO334" i="7" a="1"/>
  <c r="FO334" i="7" s="1"/>
  <c r="FS338" i="7" a="1"/>
  <c r="FS338" i="7" s="1"/>
  <c r="FP342" i="7" a="1"/>
  <c r="FP342" i="7" s="1"/>
  <c r="FM294" i="7" a="1"/>
  <c r="FM294" i="7" s="1"/>
  <c r="DV306" i="7" a="1"/>
  <c r="DV306" i="7" s="1"/>
  <c r="FI316" i="7" a="1"/>
  <c r="FI316" i="7" s="1"/>
  <c r="DU322" i="7" a="1"/>
  <c r="DU322" i="7" s="1"/>
  <c r="EQ329" i="7" a="1"/>
  <c r="EQ329" i="7" s="1"/>
  <c r="EK334" i="7" a="1"/>
  <c r="EK334" i="7" s="1"/>
  <c r="EH338" i="7" a="1"/>
  <c r="EH338" i="7" s="1"/>
  <c r="GA290" i="7" a="1"/>
  <c r="GA290" i="7" s="1"/>
  <c r="FO312" i="7" a="1"/>
  <c r="FO312" i="7" s="1"/>
  <c r="DY318" i="7" a="1"/>
  <c r="DY318" i="7" s="1"/>
  <c r="EX323" i="7" a="1"/>
  <c r="EX323" i="7" s="1"/>
  <c r="EC326" i="7" a="1"/>
  <c r="EC326" i="7" s="1"/>
  <c r="DW331" i="7" a="1"/>
  <c r="DW331" i="7" s="1"/>
  <c r="DT335" i="7" a="1"/>
  <c r="DT335" i="7" s="1"/>
  <c r="DQ339" i="7" a="1"/>
  <c r="DQ339" i="7" s="1"/>
  <c r="FV343" i="7" a="1"/>
  <c r="FV343" i="7" s="1"/>
  <c r="DT297" i="7" a="1"/>
  <c r="DT297" i="7" s="1"/>
  <c r="EW308" i="7" a="1"/>
  <c r="EW308" i="7" s="1"/>
  <c r="FH313" i="7" a="1"/>
  <c r="FH313" i="7" s="1"/>
  <c r="DY319" i="7" a="1"/>
  <c r="DY319" i="7" s="1"/>
  <c r="DQ328" i="7" a="1"/>
  <c r="DQ328" i="7" s="1"/>
  <c r="DU332" i="7" a="1"/>
  <c r="DU332" i="7" s="1"/>
  <c r="FZ336" i="7" a="1"/>
  <c r="FZ336" i="7" s="1"/>
  <c r="FW340" i="7" a="1"/>
  <c r="FW340" i="7" s="1"/>
  <c r="GA344" i="7" a="1"/>
  <c r="GA344" i="7" s="1"/>
  <c r="DX291" i="7" a="1"/>
  <c r="DX291" i="7" s="1"/>
  <c r="ET315" i="7" a="1"/>
  <c r="ET315" i="7" s="1"/>
  <c r="EO322" i="7" a="1"/>
  <c r="EO322" i="7" s="1"/>
  <c r="FJ324" i="7" a="1"/>
  <c r="FJ324" i="7" s="1"/>
  <c r="DY328" i="7" a="1"/>
  <c r="DY328" i="7" s="1"/>
  <c r="DS333" i="7" a="1"/>
  <c r="DS333" i="7" s="1"/>
  <c r="DW337" i="7" a="1"/>
  <c r="DW337" i="7" s="1"/>
  <c r="FU341" i="7" a="1"/>
  <c r="FU341" i="7" s="1"/>
  <c r="FY345" i="7" a="1"/>
  <c r="FY345" i="7" s="1"/>
  <c r="EJ302" i="7" a="1"/>
  <c r="EJ302" i="7" s="1"/>
  <c r="FS310" i="7" a="1"/>
  <c r="FS310" i="7" s="1"/>
  <c r="DS316" i="7" a="1"/>
  <c r="DS316" i="7" s="1"/>
  <c r="FS325" i="7" a="1"/>
  <c r="FS325" i="7" s="1"/>
  <c r="FA329" i="7" a="1"/>
  <c r="FA329" i="7" s="1"/>
  <c r="EP333" i="7" a="1"/>
  <c r="EP333" i="7" s="1"/>
  <c r="DX337" i="7" a="1"/>
  <c r="DX337" i="7" s="1"/>
  <c r="EQ341" i="7" a="1"/>
  <c r="EQ341" i="7" s="1"/>
  <c r="FR298" i="7" a="1"/>
  <c r="FR298" i="7" s="1"/>
  <c r="FC316" i="7" a="1"/>
  <c r="FC316" i="7" s="1"/>
  <c r="EH321" i="7" a="1"/>
  <c r="EH321" i="7" s="1"/>
  <c r="FQ323" i="7" a="1"/>
  <c r="FQ323" i="7" s="1"/>
  <c r="GA325" i="7" a="1"/>
  <c r="GA325" i="7" s="1"/>
  <c r="EE329" i="7" a="1"/>
  <c r="EE329" i="7" s="1"/>
  <c r="EB297" i="7" a="1"/>
  <c r="EB297" i="7" s="1"/>
  <c r="FS305" i="7" a="1"/>
  <c r="FS305" i="7" s="1"/>
  <c r="EX311" i="7" a="1"/>
  <c r="EX311" i="7" s="1"/>
  <c r="FW293" i="7" a="1"/>
  <c r="FW293" i="7" s="1"/>
  <c r="EV315" i="7" a="1"/>
  <c r="EV315" i="7" s="1"/>
  <c r="EX301" i="7" a="1"/>
  <c r="EX301" i="7" s="1"/>
  <c r="EW307" i="7" a="1"/>
  <c r="EW307" i="7" s="1"/>
  <c r="ET312" i="7" a="1"/>
  <c r="ET312" i="7" s="1"/>
  <c r="FD301" i="7" a="1"/>
  <c r="FD301" i="7" s="1"/>
  <c r="EF315" i="7" a="1"/>
  <c r="EF315" i="7" s="1"/>
  <c r="FV319" i="7" a="1"/>
  <c r="FV319" i="7" s="1"/>
  <c r="EM323" i="7" a="1"/>
  <c r="EM323" i="7" s="1"/>
  <c r="EI325" i="7" a="1"/>
  <c r="EI325" i="7" s="1"/>
  <c r="EQ328" i="7" a="1"/>
  <c r="EQ328" i="7" s="1"/>
  <c r="FM331" i="7" a="1"/>
  <c r="FM331" i="7" s="1"/>
  <c r="DQ335" i="7" a="1"/>
  <c r="DQ335" i="7" s="1"/>
  <c r="FB338" i="7" a="1"/>
  <c r="FB338" i="7" s="1"/>
  <c r="FX341" i="7" a="1"/>
  <c r="FX341" i="7" s="1"/>
  <c r="EC327" i="7" a="1"/>
  <c r="EC327" i="7" s="1"/>
  <c r="EP339" i="7" a="1"/>
  <c r="EP339" i="7" s="1"/>
  <c r="FU346" i="7" a="1"/>
  <c r="FU346" i="7" s="1"/>
  <c r="DS352" i="7" a="1"/>
  <c r="DS352" i="7" s="1"/>
  <c r="EX356" i="7" a="1"/>
  <c r="EX356" i="7" s="1"/>
  <c r="EU360" i="7" a="1"/>
  <c r="EU360" i="7" s="1"/>
  <c r="FV362" i="7" a="1"/>
  <c r="FV362" i="7" s="1"/>
  <c r="FA364" i="7" a="1"/>
  <c r="FA364" i="7" s="1"/>
  <c r="EF366" i="7" a="1"/>
  <c r="EF366" i="7" s="1"/>
  <c r="FV367" i="7" a="1"/>
  <c r="FV367" i="7" s="1"/>
  <c r="FA369" i="7" a="1"/>
  <c r="FA369" i="7" s="1"/>
  <c r="EM371" i="7" a="1"/>
  <c r="EM371" i="7" s="1"/>
  <c r="DR373" i="7" a="1"/>
  <c r="DR373" i="7" s="1"/>
  <c r="FH374" i="7" a="1"/>
  <c r="FH374" i="7" s="1"/>
  <c r="FV317" i="7" a="1"/>
  <c r="FV317" i="7" s="1"/>
  <c r="EE335" i="7" a="1"/>
  <c r="EE335" i="7" s="1"/>
  <c r="EQ344" i="7" a="1"/>
  <c r="EQ344" i="7" s="1"/>
  <c r="EC350" i="7" a="1"/>
  <c r="EC350" i="7" s="1"/>
  <c r="FS354" i="7" a="1"/>
  <c r="FS354" i="7" s="1"/>
  <c r="FP358" i="7" a="1"/>
  <c r="FP358" i="7" s="1"/>
  <c r="FB320" i="7" a="1"/>
  <c r="FB320" i="7" s="1"/>
  <c r="DU336" i="7" a="1"/>
  <c r="DU336" i="7" s="1"/>
  <c r="EO345" i="7" a="1"/>
  <c r="EO345" i="7" s="1"/>
  <c r="FE349" i="7" a="1"/>
  <c r="FE349" i="7" s="1"/>
  <c r="DS354" i="7" a="1"/>
  <c r="DS354" i="7" s="1"/>
  <c r="FS357" i="7" a="1"/>
  <c r="FS357" i="7" s="1"/>
  <c r="FA361" i="7" a="1"/>
  <c r="FA361" i="7" s="1"/>
  <c r="EG363" i="7" a="1"/>
  <c r="EG363" i="7" s="1"/>
  <c r="FP364" i="7" a="1"/>
  <c r="FP364" i="7" s="1"/>
  <c r="EN366" i="7" a="1"/>
  <c r="EN366" i="7" s="1"/>
  <c r="FW367" i="7" a="1"/>
  <c r="FW367" i="7" s="1"/>
  <c r="EU369" i="7" a="1"/>
  <c r="EU369" i="7" s="1"/>
  <c r="DS371" i="7" a="1"/>
  <c r="DS371" i="7" s="1"/>
  <c r="FB372" i="7" a="1"/>
  <c r="FB372" i="7" s="1"/>
  <c r="DZ374" i="7" a="1"/>
  <c r="DZ374" i="7" s="1"/>
  <c r="FI375" i="7" a="1"/>
  <c r="FI375" i="7" s="1"/>
  <c r="GA328" i="7" a="1"/>
  <c r="GA328" i="7" s="1"/>
  <c r="FU339" i="7" a="1"/>
  <c r="FU339" i="7" s="1"/>
  <c r="EQ347" i="7" a="1"/>
  <c r="EQ347" i="7" s="1"/>
  <c r="EC352" i="7" a="1"/>
  <c r="EC352" i="7" s="1"/>
  <c r="ER356" i="7" a="1"/>
  <c r="ER356" i="7" s="1"/>
  <c r="DZ360" i="7" a="1"/>
  <c r="DZ360" i="7" s="1"/>
  <c r="FK326" i="7" a="1"/>
  <c r="FK326" i="7" s="1"/>
  <c r="EE338" i="7" a="1"/>
  <c r="EE338" i="7" s="1"/>
  <c r="FB346" i="7" a="1"/>
  <c r="FB346" i="7" s="1"/>
  <c r="EW350" i="7" a="1"/>
  <c r="EW350" i="7" s="1"/>
  <c r="FL354" i="7" a="1"/>
  <c r="FL354" i="7" s="1"/>
  <c r="EU358" i="7" a="1"/>
  <c r="EU358" i="7" s="1"/>
  <c r="FX361" i="7" a="1"/>
  <c r="FX361" i="7" s="1"/>
  <c r="EV363" i="7" a="1"/>
  <c r="EV363" i="7" s="1"/>
  <c r="DT365" i="7" a="1"/>
  <c r="DT365" i="7" s="1"/>
  <c r="FC366" i="7" a="1"/>
  <c r="FC366" i="7" s="1"/>
  <c r="EA368" i="7" a="1"/>
  <c r="EA368" i="7" s="1"/>
  <c r="FJ369" i="7" a="1"/>
  <c r="FJ369" i="7" s="1"/>
  <c r="DU316" i="7" a="1"/>
  <c r="DU316" i="7" s="1"/>
  <c r="EI333" i="7" a="1"/>
  <c r="EI333" i="7" s="1"/>
  <c r="EG343" i="7" a="1"/>
  <c r="EG343" i="7" s="1"/>
  <c r="FO348" i="7" a="1"/>
  <c r="FO348" i="7" s="1"/>
  <c r="FE352" i="7" a="1"/>
  <c r="FE352" i="7" s="1"/>
  <c r="FP356" i="7" a="1"/>
  <c r="FP356" i="7" s="1"/>
  <c r="EP360" i="7" a="1"/>
  <c r="EP360" i="7" s="1"/>
  <c r="FR326" i="7" a="1"/>
  <c r="FR326" i="7" s="1"/>
  <c r="EK338" i="7" a="1"/>
  <c r="EK338" i="7" s="1"/>
  <c r="FC346" i="7" a="1"/>
  <c r="FC346" i="7" s="1"/>
  <c r="FF351" i="7" a="1"/>
  <c r="FF351" i="7" s="1"/>
  <c r="FD355" i="7" a="1"/>
  <c r="FD355" i="7" s="1"/>
  <c r="ED359" i="7" a="1"/>
  <c r="ED359" i="7" s="1"/>
  <c r="EI362" i="7" a="1"/>
  <c r="EI362" i="7" s="1"/>
  <c r="FR363" i="7" a="1"/>
  <c r="FR363" i="7" s="1"/>
  <c r="EP365" i="7" a="1"/>
  <c r="EP365" i="7" s="1"/>
  <c r="FY366" i="7" a="1"/>
  <c r="FY366" i="7" s="1"/>
  <c r="EW368" i="7" a="1"/>
  <c r="EW368" i="7" s="1"/>
  <c r="DU370" i="7" a="1"/>
  <c r="DU370" i="7" s="1"/>
  <c r="FD371" i="7" a="1"/>
  <c r="FD371" i="7" s="1"/>
  <c r="EB373" i="7" a="1"/>
  <c r="EB373" i="7" s="1"/>
  <c r="FK374" i="7" a="1"/>
  <c r="FK374" i="7" s="1"/>
  <c r="FV316" i="7" a="1"/>
  <c r="FV316" i="7" s="1"/>
  <c r="FC334" i="7" a="1"/>
  <c r="FC334" i="7" s="1"/>
  <c r="DT344" i="7" a="1"/>
  <c r="DT344" i="7" s="1"/>
  <c r="EH349" i="7" a="1"/>
  <c r="EH349" i="7" s="1"/>
  <c r="EW353" i="7" a="1"/>
  <c r="EW353" i="7" s="1"/>
  <c r="EJ357" i="7" a="1"/>
  <c r="EJ357" i="7" s="1"/>
  <c r="DR361" i="7" a="1"/>
  <c r="DR361" i="7" s="1"/>
  <c r="DY329" i="7" a="1"/>
  <c r="DY329" i="7" s="1"/>
  <c r="FE339" i="7" a="1"/>
  <c r="FE339" i="7" s="1"/>
  <c r="EJ347" i="7" a="1"/>
  <c r="EJ347" i="7" s="1"/>
  <c r="FQ351" i="7" a="1"/>
  <c r="FQ351" i="7" s="1"/>
  <c r="FT355" i="7" a="1"/>
  <c r="FT355" i="7" s="1"/>
  <c r="FB359" i="7" a="1"/>
  <c r="FB359" i="7" s="1"/>
  <c r="EQ362" i="7" a="1"/>
  <c r="EQ362" i="7" s="1"/>
  <c r="FZ363" i="7" a="1"/>
  <c r="FZ363" i="7" s="1"/>
  <c r="EX365" i="7" a="1"/>
  <c r="EX365" i="7" s="1"/>
  <c r="DV367" i="7" a="1"/>
  <c r="DV367" i="7" s="1"/>
  <c r="FE368" i="7" a="1"/>
  <c r="FE368" i="7" s="1"/>
  <c r="EC370" i="7" a="1"/>
  <c r="EC370" i="7" s="1"/>
  <c r="ET323" i="7" a="1"/>
  <c r="ET323" i="7" s="1"/>
  <c r="FZ337" i="7" a="1"/>
  <c r="FZ337" i="7" s="1"/>
  <c r="EY344" i="7" a="1"/>
  <c r="EY344" i="7" s="1"/>
  <c r="GA349" i="7" a="1"/>
  <c r="GA349" i="7" s="1"/>
  <c r="EO354" i="7" a="1"/>
  <c r="EO354" i="7" s="1"/>
  <c r="FU325" i="7" a="1"/>
  <c r="FU325" i="7" s="1"/>
  <c r="FC337" i="7" a="1"/>
  <c r="FC337" i="7" s="1"/>
  <c r="GA345" i="7" a="1"/>
  <c r="GA345" i="7" s="1"/>
  <c r="FT258" i="7" a="1"/>
  <c r="FT258" i="7" s="1"/>
  <c r="FJ274" i="7" a="1"/>
  <c r="FJ274" i="7" s="1"/>
  <c r="FV290" i="7" a="1"/>
  <c r="FV290" i="7" s="1"/>
  <c r="DS273" i="7" a="1"/>
  <c r="DS273" i="7" s="1"/>
  <c r="FI281" i="7" a="1"/>
  <c r="FI281" i="7" s="1"/>
  <c r="FM266" i="7" a="1"/>
  <c r="FM266" i="7" s="1"/>
  <c r="FX284" i="7" a="1"/>
  <c r="FX284" i="7" s="1"/>
  <c r="EA276" i="7" a="1"/>
  <c r="EA276" i="7" s="1"/>
  <c r="EM284" i="7" a="1"/>
  <c r="EM284" i="7" s="1"/>
  <c r="EN271" i="7" a="1"/>
  <c r="EN271" i="7" s="1"/>
  <c r="DX267" i="7" a="1"/>
  <c r="DX267" i="7" s="1"/>
  <c r="GA277" i="7" a="1"/>
  <c r="GA277" i="7" s="1"/>
  <c r="EU287" i="7" a="1"/>
  <c r="EU287" i="7" s="1"/>
  <c r="FF271" i="7" a="1"/>
  <c r="FF271" i="7" s="1"/>
  <c r="FN267" i="7" a="1"/>
  <c r="FN267" i="7" s="1"/>
  <c r="FF266" i="7" a="1"/>
  <c r="FF266" i="7" s="1"/>
  <c r="FQ278" i="7" a="1"/>
  <c r="FQ278" i="7" s="1"/>
  <c r="EY271" i="7" a="1"/>
  <c r="EY271" i="7" s="1"/>
  <c r="FJ296" i="7" a="1"/>
  <c r="FJ296" i="7" s="1"/>
  <c r="FM302" i="7" a="1"/>
  <c r="FM302" i="7" s="1"/>
  <c r="FM308" i="7" a="1"/>
  <c r="FM308" i="7" s="1"/>
  <c r="FF313" i="7" a="1"/>
  <c r="FF313" i="7" s="1"/>
  <c r="FF319" i="7" a="1"/>
  <c r="FF319" i="7" s="1"/>
  <c r="EY324" i="7" a="1"/>
  <c r="EY324" i="7" s="1"/>
  <c r="ES291" i="7" a="1"/>
  <c r="ES291" i="7" s="1"/>
  <c r="FS276" i="7" a="1"/>
  <c r="FS276" i="7" s="1"/>
  <c r="ES297" i="7" a="1"/>
  <c r="ES297" i="7" s="1"/>
  <c r="DX303" i="7" a="1"/>
  <c r="DX303" i="7" s="1"/>
  <c r="DX309" i="7" a="1"/>
  <c r="DX309" i="7" s="1"/>
  <c r="DQ314" i="7" a="1"/>
  <c r="DQ314" i="7" s="1"/>
  <c r="DQ320" i="7" a="1"/>
  <c r="DQ320" i="7" s="1"/>
  <c r="DQ281" i="7" a="1"/>
  <c r="DQ281" i="7" s="1"/>
  <c r="ET297" i="7" a="1"/>
  <c r="ET297" i="7" s="1"/>
  <c r="FE290" i="7" a="1"/>
  <c r="FE290" i="7" s="1"/>
  <c r="FV300" i="7" a="1"/>
  <c r="FV300" i="7" s="1"/>
  <c r="FO305" i="7" a="1"/>
  <c r="FO305" i="7" s="1"/>
  <c r="FZ261" i="7" a="1"/>
  <c r="FZ261" i="7" s="1"/>
  <c r="FX290" i="7" a="1"/>
  <c r="FX290" i="7" s="1"/>
  <c r="EI286" i="7" a="1"/>
  <c r="EI286" i="7" s="1"/>
  <c r="DY297" i="7" a="1"/>
  <c r="DY297" i="7" s="1"/>
  <c r="DS304" i="7" a="1"/>
  <c r="DS304" i="7" s="1"/>
  <c r="FW308" i="7" a="1"/>
  <c r="FW308" i="7" s="1"/>
  <c r="EE273" i="7" a="1"/>
  <c r="EE273" i="7" s="1"/>
  <c r="DU292" i="7" a="1"/>
  <c r="DU292" i="7" s="1"/>
  <c r="ES287" i="7" a="1"/>
  <c r="ES287" i="7" s="1"/>
  <c r="FS297" i="7" a="1"/>
  <c r="FS297" i="7" s="1"/>
  <c r="EO304" i="7" a="1"/>
  <c r="EO304" i="7" s="1"/>
  <c r="EH309" i="7" a="1"/>
  <c r="EH309" i="7" s="1"/>
  <c r="EK288" i="7" a="1"/>
  <c r="EK288" i="7" s="1"/>
  <c r="EQ262" i="7" a="1"/>
  <c r="EQ262" i="7" s="1"/>
  <c r="DT285" i="7" a="1"/>
  <c r="DT285" i="7" s="1"/>
  <c r="EY269" i="7" a="1"/>
  <c r="EY269" i="7" s="1"/>
  <c r="FG294" i="7" a="1"/>
  <c r="FG294" i="7" s="1"/>
  <c r="FZ305" i="7" a="1"/>
  <c r="FZ305" i="7" s="1"/>
  <c r="DS322" i="7" a="1"/>
  <c r="DS322" i="7" s="1"/>
  <c r="EI334" i="7" a="1"/>
  <c r="EI334" i="7" s="1"/>
  <c r="EM341" i="7" a="1"/>
  <c r="EM341" i="7" s="1"/>
  <c r="FG349" i="7" a="1"/>
  <c r="FG349" i="7" s="1"/>
  <c r="EE354" i="7" a="1"/>
  <c r="EE354" i="7" s="1"/>
  <c r="FN358" i="7" a="1"/>
  <c r="FN358" i="7" s="1"/>
  <c r="FE301" i="7" a="1"/>
  <c r="FE301" i="7" s="1"/>
  <c r="EC320" i="7" a="1"/>
  <c r="EC320" i="7" s="1"/>
  <c r="DT325" i="7" a="1"/>
  <c r="DT325" i="7" s="1"/>
  <c r="FL329" i="7" a="1"/>
  <c r="FL329" i="7" s="1"/>
  <c r="FI333" i="7" a="1"/>
  <c r="FI333" i="7" s="1"/>
  <c r="FC338" i="7" a="1"/>
  <c r="FC338" i="7" s="1"/>
  <c r="EZ342" i="7" a="1"/>
  <c r="EZ342" i="7" s="1"/>
  <c r="FD346" i="7" a="1"/>
  <c r="FD346" i="7" s="1"/>
  <c r="DQ298" i="7" a="1"/>
  <c r="DQ298" i="7" s="1"/>
  <c r="EC307" i="7" a="1"/>
  <c r="EC307" i="7" s="1"/>
  <c r="FY316" i="7" a="1"/>
  <c r="FY316" i="7" s="1"/>
  <c r="FP325" i="7" a="1"/>
  <c r="FP325" i="7" s="1"/>
  <c r="FT329" i="7" a="1"/>
  <c r="FT329" i="7" s="1"/>
  <c r="FG334" i="7" a="1"/>
  <c r="FG334" i="7" s="1"/>
  <c r="FK338" i="7" a="1"/>
  <c r="FK338" i="7" s="1"/>
  <c r="FE343" i="7" a="1"/>
  <c r="FE343" i="7" s="1"/>
  <c r="FB347" i="7" a="1"/>
  <c r="FB347" i="7" s="1"/>
  <c r="EF350" i="7" a="1"/>
  <c r="EF350" i="7" s="1"/>
  <c r="FH352" i="7" a="1"/>
  <c r="FH352" i="7" s="1"/>
  <c r="FH354" i="7" a="1"/>
  <c r="FH354" i="7" s="1"/>
  <c r="FZ312" i="7" a="1"/>
  <c r="FZ312" i="7" s="1"/>
  <c r="EO318" i="7" a="1"/>
  <c r="EO318" i="7" s="1"/>
  <c r="DQ323" i="7" a="1"/>
  <c r="DQ323" i="7" s="1"/>
  <c r="EB326" i="7" a="1"/>
  <c r="EB326" i="7" s="1"/>
  <c r="DY330" i="7" a="1"/>
  <c r="DY330" i="7" s="1"/>
  <c r="DS335" i="7" a="1"/>
  <c r="DS335" i="7" s="1"/>
  <c r="DW339" i="7" a="1"/>
  <c r="DW339" i="7" s="1"/>
  <c r="DT343" i="7" a="1"/>
  <c r="DT343" i="7" s="1"/>
  <c r="FX296" i="7" a="1"/>
  <c r="FX296" i="7" s="1"/>
  <c r="EW306" i="7" a="1"/>
  <c r="EW306" i="7" s="1"/>
  <c r="FZ316" i="7" a="1"/>
  <c r="FZ316" i="7" s="1"/>
  <c r="FB325" i="7" a="1"/>
  <c r="FB325" i="7" s="1"/>
  <c r="FF329" i="7" a="1"/>
  <c r="FF329" i="7" s="1"/>
  <c r="ES334" i="7" a="1"/>
  <c r="ES334" i="7" s="1"/>
  <c r="EW338" i="7" a="1"/>
  <c r="EW338" i="7" s="1"/>
  <c r="FH291" i="7" a="1"/>
  <c r="FH291" i="7" s="1"/>
  <c r="DR313" i="7" a="1"/>
  <c r="DR313" i="7" s="1"/>
  <c r="EP318" i="7" a="1"/>
  <c r="EP318" i="7" s="1"/>
  <c r="FG323" i="7" a="1"/>
  <c r="FG323" i="7" s="1"/>
  <c r="ER326" i="7" a="1"/>
  <c r="ER326" i="7" s="1"/>
  <c r="EE331" i="7" a="1"/>
  <c r="EE331" i="7" s="1"/>
  <c r="EI335" i="7" a="1"/>
  <c r="EI335" i="7" s="1"/>
  <c r="EF339" i="7" a="1"/>
  <c r="EF339" i="7" s="1"/>
  <c r="DZ344" i="7" a="1"/>
  <c r="DZ344" i="7" s="1"/>
  <c r="FE297" i="7" a="1"/>
  <c r="FE297" i="7" s="1"/>
  <c r="FS308" i="7" a="1"/>
  <c r="FS308" i="7" s="1"/>
  <c r="FS313" i="7" a="1"/>
  <c r="FS313" i="7" s="1"/>
  <c r="EP319" i="7" a="1"/>
  <c r="EP319" i="7" s="1"/>
  <c r="EF328" i="7" a="1"/>
  <c r="EF328" i="7" s="1"/>
  <c r="EJ332" i="7" a="1"/>
  <c r="EJ332" i="7" s="1"/>
  <c r="ED337" i="7" a="1"/>
  <c r="ED337" i="7" s="1"/>
  <c r="EA341" i="7" a="1"/>
  <c r="EA341" i="7" s="1"/>
  <c r="DX345" i="7" a="1"/>
  <c r="DX345" i="7" s="1"/>
  <c r="FI291" i="7" a="1"/>
  <c r="FI291" i="7" s="1"/>
  <c r="FK315" i="7" a="1"/>
  <c r="FK315" i="7" s="1"/>
  <c r="EW322" i="7" a="1"/>
  <c r="EW322" i="7" s="1"/>
  <c r="FR324" i="7" a="1"/>
  <c r="FR324" i="7" s="1"/>
  <c r="EN328" i="7" a="1"/>
  <c r="EN328" i="7" s="1"/>
  <c r="EH333" i="7" a="1"/>
  <c r="EH333" i="7" s="1"/>
  <c r="EE337" i="7" a="1"/>
  <c r="EE337" i="7" s="1"/>
  <c r="DY342" i="7" a="1"/>
  <c r="DY342" i="7" s="1"/>
  <c r="EC346" i="7" a="1"/>
  <c r="EC346" i="7" s="1"/>
  <c r="FK302" i="7" a="1"/>
  <c r="FK302" i="7" s="1"/>
  <c r="EI311" i="7" a="1"/>
  <c r="EI311" i="7" s="1"/>
  <c r="EJ316" i="7" a="1"/>
  <c r="EJ316" i="7" s="1"/>
  <c r="DW326" i="7" a="1"/>
  <c r="DW326" i="7" s="1"/>
  <c r="FP329" i="7" a="1"/>
  <c r="FP329" i="7" s="1"/>
  <c r="FE333" i="7" a="1"/>
  <c r="FE333" i="7" s="1"/>
  <c r="DU338" i="7" a="1"/>
  <c r="DU338" i="7" s="1"/>
  <c r="FF341" i="7" a="1"/>
  <c r="FF341" i="7" s="1"/>
  <c r="EP299" i="7" a="1"/>
  <c r="EP299" i="7" s="1"/>
  <c r="DS317" i="7" a="1"/>
  <c r="DS317" i="7" s="1"/>
  <c r="FI321" i="7" a="1"/>
  <c r="FI321" i="7" s="1"/>
  <c r="FY323" i="7" a="1"/>
  <c r="FY323" i="7" s="1"/>
  <c r="DX326" i="7" a="1"/>
  <c r="DX326" i="7" s="1"/>
  <c r="ET329" i="7" a="1"/>
  <c r="ET329" i="7" s="1"/>
  <c r="FM297" i="7" a="1"/>
  <c r="FM297" i="7" s="1"/>
  <c r="EI306" i="7" a="1"/>
  <c r="EI306" i="7" s="1"/>
  <c r="FZ311" i="7" a="1"/>
  <c r="FZ311" i="7" s="1"/>
  <c r="DR295" i="7" a="1"/>
  <c r="DR295" i="7" s="1"/>
  <c r="FW315" i="7" a="1"/>
  <c r="FW315" i="7" s="1"/>
  <c r="DU302" i="7" a="1"/>
  <c r="DU302" i="7" s="1"/>
  <c r="FS307" i="7" a="1"/>
  <c r="FS307" i="7" s="1"/>
  <c r="FH312" i="7" a="1"/>
  <c r="FH312" i="7" s="1"/>
  <c r="EO311" i="7" a="1"/>
  <c r="EO311" i="7" s="1"/>
  <c r="EW315" i="7" a="1"/>
  <c r="EW315" i="7" s="1"/>
  <c r="EB320" i="7" a="1"/>
  <c r="EB320" i="7" s="1"/>
  <c r="EU323" i="7" a="1"/>
  <c r="EU323" i="7" s="1"/>
  <c r="EQ325" i="7" a="1"/>
  <c r="EQ325" i="7" s="1"/>
  <c r="FF328" i="7" a="1"/>
  <c r="FF328" i="7" s="1"/>
  <c r="FU331" i="7" a="1"/>
  <c r="FU331" i="7" s="1"/>
  <c r="EU335" i="7" a="1"/>
  <c r="EU335" i="7" s="1"/>
  <c r="FQ338" i="7" a="1"/>
  <c r="FQ338" i="7" s="1"/>
  <c r="EB342" i="7" a="1"/>
  <c r="EB342" i="7" s="1"/>
  <c r="EN329" i="7" a="1"/>
  <c r="EN329" i="7" s="1"/>
  <c r="FN339" i="7" a="1"/>
  <c r="FN339" i="7" s="1"/>
  <c r="DT347" i="7" a="1"/>
  <c r="DT347" i="7" s="1"/>
  <c r="EJ352" i="7" a="1"/>
  <c r="EJ352" i="7" s="1"/>
  <c r="FM356" i="7" a="1"/>
  <c r="FM356" i="7" s="1"/>
  <c r="FJ360" i="7" a="1"/>
  <c r="FJ360" i="7" s="1"/>
  <c r="DR363" i="7" a="1"/>
  <c r="DR363" i="7" s="1"/>
  <c r="FH364" i="7" a="1"/>
  <c r="FH364" i="7" s="1"/>
  <c r="EM366" i="7" a="1"/>
  <c r="EM366" i="7" s="1"/>
  <c r="DR368" i="7" a="1"/>
  <c r="DR368" i="7" s="1"/>
  <c r="FO369" i="7" a="1"/>
  <c r="FO369" i="7" s="1"/>
  <c r="ET371" i="7" a="1"/>
  <c r="ET371" i="7" s="1"/>
  <c r="DY373" i="7" a="1"/>
  <c r="DY373" i="7" s="1"/>
  <c r="FO374" i="7" a="1"/>
  <c r="FO374" i="7" s="1"/>
  <c r="EB319" i="7" a="1"/>
  <c r="EB319" i="7" s="1"/>
  <c r="FH335" i="7" a="1"/>
  <c r="FH335" i="7" s="1"/>
  <c r="FF344" i="7" a="1"/>
  <c r="FF344" i="7" s="1"/>
  <c r="FD350" i="7" a="1"/>
  <c r="FD350" i="7" s="1"/>
  <c r="DW355" i="7" a="1"/>
  <c r="DW355" i="7" s="1"/>
  <c r="DT359" i="7" a="1"/>
  <c r="DT359" i="7" s="1"/>
  <c r="FS321" i="7" a="1"/>
  <c r="FS321" i="7" s="1"/>
  <c r="EX336" i="7" a="1"/>
  <c r="EX336" i="7" s="1"/>
  <c r="FD345" i="7" a="1"/>
  <c r="FD345" i="7" s="1"/>
  <c r="DU350" i="7" a="1"/>
  <c r="DU350" i="7" s="1"/>
  <c r="EJ354" i="7" a="1"/>
  <c r="EJ354" i="7" s="1"/>
  <c r="DW358" i="7" a="1"/>
  <c r="DW358" i="7" s="1"/>
  <c r="FP361" i="7" a="1"/>
  <c r="FP361" i="7" s="1"/>
  <c r="EN363" i="7" a="1"/>
  <c r="EN363" i="7" s="1"/>
  <c r="FW364" i="7" a="1"/>
  <c r="FW364" i="7" s="1"/>
  <c r="EU366" i="7" a="1"/>
  <c r="EU366" i="7" s="1"/>
  <c r="DS368" i="7" a="1"/>
  <c r="DS368" i="7" s="1"/>
  <c r="FB369" i="7" a="1"/>
  <c r="FB369" i="7" s="1"/>
  <c r="DZ371" i="7" a="1"/>
  <c r="DZ371" i="7" s="1"/>
  <c r="FI372" i="7" a="1"/>
  <c r="FI372" i="7" s="1"/>
  <c r="EG374" i="7" a="1"/>
  <c r="EG374" i="7" s="1"/>
  <c r="ER260" i="7" a="1"/>
  <c r="ER260" i="7" s="1"/>
  <c r="GA274" i="7" a="1"/>
  <c r="GA274" i="7" s="1"/>
  <c r="DZ291" i="7" a="1"/>
  <c r="DZ291" i="7" s="1"/>
  <c r="EJ273" i="7" a="1"/>
  <c r="EJ273" i="7" s="1"/>
  <c r="FX281" i="7" a="1"/>
  <c r="FX281" i="7" s="1"/>
  <c r="EQ267" i="7" a="1"/>
  <c r="EQ267" i="7" s="1"/>
  <c r="EB285" i="7" a="1"/>
  <c r="EB285" i="7" s="1"/>
  <c r="EI276" i="7" a="1"/>
  <c r="EI276" i="7" s="1"/>
  <c r="FB284" i="7" a="1"/>
  <c r="FB284" i="7" s="1"/>
  <c r="FE271" i="7" a="1"/>
  <c r="FE271" i="7" s="1"/>
  <c r="FM267" i="7" a="1"/>
  <c r="FM267" i="7" s="1"/>
  <c r="DX278" i="7" a="1"/>
  <c r="DX278" i="7" s="1"/>
  <c r="FJ287" i="7" a="1"/>
  <c r="FJ287" i="7" s="1"/>
  <c r="FP271" i="7" a="1"/>
  <c r="FP271" i="7" s="1"/>
  <c r="EK268" i="7" a="1"/>
  <c r="EK268" i="7" s="1"/>
  <c r="EJ267" i="7" a="1"/>
  <c r="EJ267" i="7" s="1"/>
  <c r="FY278" i="7" a="1"/>
  <c r="FY278" i="7" s="1"/>
  <c r="EG272" i="7" a="1"/>
  <c r="EG272" i="7" s="1"/>
  <c r="FY296" i="7" a="1"/>
  <c r="FY296" i="7" s="1"/>
  <c r="FT302" i="7" a="1"/>
  <c r="FT302" i="7" s="1"/>
  <c r="FT308" i="7" a="1"/>
  <c r="FT308" i="7" s="1"/>
  <c r="FM313" i="7" a="1"/>
  <c r="FM313" i="7" s="1"/>
  <c r="FM319" i="7" a="1"/>
  <c r="FM319" i="7" s="1"/>
  <c r="FF324" i="7" a="1"/>
  <c r="FF324" i="7" s="1"/>
  <c r="FB291" i="7" a="1"/>
  <c r="FB291" i="7" s="1"/>
  <c r="FH278" i="7" a="1"/>
  <c r="FH278" i="7" s="1"/>
  <c r="FA297" i="7" a="1"/>
  <c r="FA297" i="7" s="1"/>
  <c r="EE303" i="7" a="1"/>
  <c r="EE303" i="7" s="1"/>
  <c r="EE309" i="7" a="1"/>
  <c r="EE309" i="7" s="1"/>
  <c r="DX314" i="7" a="1"/>
  <c r="DX314" i="7" s="1"/>
  <c r="DX320" i="7" a="1"/>
  <c r="DX320" i="7" s="1"/>
  <c r="EW281" i="7" a="1"/>
  <c r="EW281" i="7" s="1"/>
  <c r="FI297" i="7" a="1"/>
  <c r="FI297" i="7" s="1"/>
  <c r="FO290" i="7" a="1"/>
  <c r="FO290" i="7" s="1"/>
  <c r="DR301" i="7" a="1"/>
  <c r="DR301" i="7" s="1"/>
  <c r="FV305" i="7" a="1"/>
  <c r="FV305" i="7" s="1"/>
  <c r="EY263" i="7" a="1"/>
  <c r="EY263" i="7" s="1"/>
  <c r="ED291" i="7" a="1"/>
  <c r="ED291" i="7" s="1"/>
  <c r="FD286" i="7" a="1"/>
  <c r="FD286" i="7" s="1"/>
  <c r="EN297" i="7" a="1"/>
  <c r="EN297" i="7" s="1"/>
  <c r="DZ304" i="7" a="1"/>
  <c r="DZ304" i="7" s="1"/>
  <c r="DS309" i="7" a="1"/>
  <c r="DS309" i="7" s="1"/>
  <c r="FQ273" i="7" a="1"/>
  <c r="FQ273" i="7" s="1"/>
  <c r="ED292" i="7" a="1"/>
  <c r="ED292" i="7" s="1"/>
  <c r="FC287" i="7" a="1"/>
  <c r="FC287" i="7" s="1"/>
  <c r="DW298" i="7" a="1"/>
  <c r="DW298" i="7" s="1"/>
  <c r="EV304" i="7" a="1"/>
  <c r="EV304" i="7" s="1"/>
  <c r="EO309" i="7" a="1"/>
  <c r="EO309" i="7" s="1"/>
  <c r="ET288" i="7" a="1"/>
  <c r="ET288" i="7" s="1"/>
  <c r="ED266" i="7" a="1"/>
  <c r="ED266" i="7" s="1"/>
  <c r="EL285" i="7" a="1"/>
  <c r="EL285" i="7" s="1"/>
  <c r="FR270" i="7" a="1"/>
  <c r="FR270" i="7" s="1"/>
  <c r="FO294" i="7" a="1"/>
  <c r="FO294" i="7" s="1"/>
  <c r="EP306" i="7" a="1"/>
  <c r="EP306" i="7" s="1"/>
  <c r="EJ322" i="7" a="1"/>
  <c r="EJ322" i="7" s="1"/>
  <c r="EX334" i="7" a="1"/>
  <c r="EX334" i="7" s="1"/>
  <c r="FD343" i="7" a="1"/>
  <c r="FD343" i="7" s="1"/>
  <c r="FN349" i="7" a="1"/>
  <c r="FN349" i="7" s="1"/>
  <c r="EL354" i="7" a="1"/>
  <c r="EL354" i="7" s="1"/>
  <c r="FU358" i="7" a="1"/>
  <c r="FU358" i="7" s="1"/>
  <c r="EP311" i="7" a="1"/>
  <c r="EP311" i="7" s="1"/>
  <c r="FJ322" i="7" a="1"/>
  <c r="FJ322" i="7" s="1"/>
  <c r="FW325" i="7" a="1"/>
  <c r="FW325" i="7" s="1"/>
  <c r="GA329" i="7" a="1"/>
  <c r="GA329" i="7" s="1"/>
  <c r="FX333" i="7" a="1"/>
  <c r="FX333" i="7" s="1"/>
  <c r="FR338" i="7" a="1"/>
  <c r="FR338" i="7" s="1"/>
  <c r="FO342" i="7" a="1"/>
  <c r="FO342" i="7" s="1"/>
  <c r="FI347" i="7" a="1"/>
  <c r="FI347" i="7" s="1"/>
  <c r="DV299" i="7" a="1"/>
  <c r="DV299" i="7" s="1"/>
  <c r="FD307" i="7" a="1"/>
  <c r="FD307" i="7" s="1"/>
  <c r="EO317" i="7" a="1"/>
  <c r="EO317" i="7" s="1"/>
  <c r="DT326" i="7" a="1"/>
  <c r="DT326" i="7" s="1"/>
  <c r="FY330" i="7" a="1"/>
  <c r="FY330" i="7" s="1"/>
  <c r="FV334" i="7" a="1"/>
  <c r="FV334" i="7" s="1"/>
  <c r="FZ338" i="7" a="1"/>
  <c r="FZ338" i="7" s="1"/>
  <c r="FT343" i="7" a="1"/>
  <c r="FT343" i="7" s="1"/>
  <c r="FQ347" i="7" a="1"/>
  <c r="FQ347" i="7" s="1"/>
  <c r="FO350" i="7" a="1"/>
  <c r="FO350" i="7" s="1"/>
  <c r="FO352" i="7" a="1"/>
  <c r="FO352" i="7" s="1"/>
  <c r="FO354" i="7" a="1"/>
  <c r="FO354" i="7" s="1"/>
  <c r="EC313" i="7" a="1"/>
  <c r="EC313" i="7" s="1"/>
  <c r="FP318" i="7" a="1"/>
  <c r="FP318" i="7" s="1"/>
  <c r="FE323" i="7" a="1"/>
  <c r="FE323" i="7" s="1"/>
  <c r="EQ326" i="7" a="1"/>
  <c r="EQ326" i="7" s="1"/>
  <c r="EN330" i="7" a="1"/>
  <c r="EN330" i="7" s="1"/>
  <c r="EH335" i="7" a="1"/>
  <c r="EH335" i="7" s="1"/>
  <c r="EE339" i="7" a="1"/>
  <c r="EE339" i="7" s="1"/>
  <c r="DY344" i="7" a="1"/>
  <c r="DY344" i="7" s="1"/>
  <c r="EX297" i="7" a="1"/>
  <c r="EX297" i="7" s="1"/>
  <c r="FS306" i="7" a="1"/>
  <c r="FS306" i="7" s="1"/>
  <c r="DY317" i="7" a="1"/>
  <c r="DY317" i="7" s="1"/>
  <c r="FQ325" i="7" a="1"/>
  <c r="FQ325" i="7" s="1"/>
  <c r="FK330" i="7" a="1"/>
  <c r="FK330" i="7" s="1"/>
  <c r="FH334" i="7" a="1"/>
  <c r="FH334" i="7" s="1"/>
  <c r="FL338" i="7" a="1"/>
  <c r="FL338" i="7" s="1"/>
  <c r="FY292" i="7" a="1"/>
  <c r="FY292" i="7" s="1"/>
  <c r="EF313" i="7" a="1"/>
  <c r="EF313" i="7" s="1"/>
  <c r="FY319" i="7" a="1"/>
  <c r="FY319" i="7" s="1"/>
  <c r="FO323" i="7" a="1"/>
  <c r="FO323" i="7" s="1"/>
  <c r="EZ326" i="7" a="1"/>
  <c r="EZ326" i="7" s="1"/>
  <c r="ET331" i="7" a="1"/>
  <c r="ET331" i="7" s="1"/>
  <c r="EX335" i="7" a="1"/>
  <c r="EX335" i="7" s="1"/>
  <c r="ER340" i="7" a="1"/>
  <c r="ER340" i="7" s="1"/>
  <c r="EO344" i="7" a="1"/>
  <c r="EO344" i="7" s="1"/>
  <c r="EI299" i="7" a="1"/>
  <c r="EI299" i="7" s="1"/>
  <c r="EI309" i="7" a="1"/>
  <c r="EI309" i="7" s="1"/>
  <c r="EJ314" i="7" a="1"/>
  <c r="EJ314" i="7" s="1"/>
  <c r="FY320" i="7" a="1"/>
  <c r="FY320" i="7" s="1"/>
  <c r="EU328" i="7" a="1"/>
  <c r="EU328" i="7" s="1"/>
  <c r="EY332" i="7" a="1"/>
  <c r="EY332" i="7" s="1"/>
  <c r="EL337" i="7" a="1"/>
  <c r="EL337" i="7" s="1"/>
  <c r="EP341" i="7" a="1"/>
  <c r="EP341" i="7" s="1"/>
  <c r="EJ346" i="7" a="1"/>
  <c r="EJ346" i="7" s="1"/>
  <c r="DV293" i="7" a="1"/>
  <c r="DV293" i="7" s="1"/>
  <c r="EA316" i="7" a="1"/>
  <c r="EA316" i="7" s="1"/>
  <c r="FE322" i="7" a="1"/>
  <c r="FE322" i="7" s="1"/>
  <c r="FZ324" i="7" a="1"/>
  <c r="FZ324" i="7" s="1"/>
  <c r="ES329" i="7" a="1"/>
  <c r="ES329" i="7" s="1"/>
  <c r="EW333" i="7" a="1"/>
  <c r="EW333" i="7" s="1"/>
  <c r="ET337" i="7" a="1"/>
  <c r="ET337" i="7" s="1"/>
  <c r="EN342" i="7" a="1"/>
  <c r="EN342" i="7" s="1"/>
  <c r="ER346" i="7" a="1"/>
  <c r="ER346" i="7" s="1"/>
  <c r="FE304" i="7" a="1"/>
  <c r="FE304" i="7" s="1"/>
  <c r="EW311" i="7" a="1"/>
  <c r="EW311" i="7" s="1"/>
  <c r="ET316" i="7" a="1"/>
  <c r="ET316" i="7" s="1"/>
  <c r="EE326" i="7" a="1"/>
  <c r="EE326" i="7" s="1"/>
  <c r="DT330" i="7" a="1"/>
  <c r="DT330" i="7" s="1"/>
  <c r="FT333" i="7" a="1"/>
  <c r="FT333" i="7" s="1"/>
  <c r="EJ338" i="7" a="1"/>
  <c r="EJ338" i="7" s="1"/>
  <c r="FN341" i="7" a="1"/>
  <c r="FN341" i="7" s="1"/>
  <c r="FS299" i="7" a="1"/>
  <c r="FS299" i="7" s="1"/>
  <c r="EJ317" i="7" a="1"/>
  <c r="EJ317" i="7" s="1"/>
  <c r="FZ321" i="7" a="1"/>
  <c r="FZ321" i="7" s="1"/>
  <c r="DV324" i="7" a="1"/>
  <c r="DV324" i="7" s="1"/>
  <c r="EM326" i="7" a="1"/>
  <c r="EM326" i="7" s="1"/>
  <c r="FI329" i="7" a="1"/>
  <c r="FI329" i="7" s="1"/>
  <c r="FY299" i="7" a="1"/>
  <c r="FY299" i="7" s="1"/>
  <c r="DU307" i="7" a="1"/>
  <c r="DU307" i="7" s="1"/>
  <c r="EC312" i="7" a="1"/>
  <c r="EC312" i="7" s="1"/>
  <c r="FC295" i="7" a="1"/>
  <c r="FC295" i="7" s="1"/>
  <c r="EK289" i="7" a="1"/>
  <c r="EK289" i="7" s="1"/>
  <c r="EQ302" i="7" a="1"/>
  <c r="EQ302" i="7" s="1"/>
  <c r="EI308" i="7" a="1"/>
  <c r="EI308" i="7" s="1"/>
  <c r="FV312" i="7" a="1"/>
  <c r="FV312" i="7" s="1"/>
  <c r="FC311" i="7" a="1"/>
  <c r="FC311" i="7" s="1"/>
  <c r="FX315" i="7" a="1"/>
  <c r="FX315" i="7" s="1"/>
  <c r="FC320" i="7" a="1"/>
  <c r="FC320" i="7" s="1"/>
  <c r="FC323" i="7" a="1"/>
  <c r="FC323" i="7" s="1"/>
  <c r="EY325" i="7" a="1"/>
  <c r="EY325" i="7" s="1"/>
  <c r="FN328" i="7" a="1"/>
  <c r="FN328" i="7" s="1"/>
  <c r="EN332" i="7" a="1"/>
  <c r="EN332" i="7" s="1"/>
  <c r="FJ335" i="7" a="1"/>
  <c r="FJ335" i="7" s="1"/>
  <c r="DU339" i="7" a="1"/>
  <c r="DU339" i="7" s="1"/>
  <c r="EQ342" i="7" a="1"/>
  <c r="EQ342" i="7" s="1"/>
  <c r="FY329" i="7" a="1"/>
  <c r="FY329" i="7" s="1"/>
  <c r="EF340" i="7" a="1"/>
  <c r="EF340" i="7" s="1"/>
  <c r="EY347" i="7" a="1"/>
  <c r="EY347" i="7" s="1"/>
  <c r="FK352" i="7" a="1"/>
  <c r="FK352" i="7" s="1"/>
  <c r="DY357" i="7" a="1"/>
  <c r="DY357" i="7" s="1"/>
  <c r="FY360" i="7" a="1"/>
  <c r="FY360" i="7" s="1"/>
  <c r="DY363" i="7" a="1"/>
  <c r="DY363" i="7" s="1"/>
  <c r="FO364" i="7" a="1"/>
  <c r="FO364" i="7" s="1"/>
  <c r="ET366" i="7" a="1"/>
  <c r="ET366" i="7" s="1"/>
  <c r="EF368" i="7" a="1"/>
  <c r="EF368" i="7" s="1"/>
  <c r="FV369" i="7" a="1"/>
  <c r="FV369" i="7" s="1"/>
  <c r="FA371" i="7" a="1"/>
  <c r="FA371" i="7" s="1"/>
  <c r="EF373" i="7" a="1"/>
  <c r="EF373" i="7" s="1"/>
  <c r="FV374" i="7" a="1"/>
  <c r="FV374" i="7" s="1"/>
  <c r="EA321" i="7" a="1"/>
  <c r="EA321" i="7" s="1"/>
  <c r="FK337" i="7" a="1"/>
  <c r="FK337" i="7" s="1"/>
  <c r="EL346" i="7" a="1"/>
  <c r="EL346" i="7" s="1"/>
  <c r="DT351" i="7" a="1"/>
  <c r="DT351" i="7" s="1"/>
  <c r="ET355" i="7" a="1"/>
  <c r="ET355" i="7" s="1"/>
  <c r="EI359" i="7" a="1"/>
  <c r="EI359" i="7" s="1"/>
  <c r="EZ322" i="7" a="1"/>
  <c r="EZ322" i="7" s="1"/>
  <c r="FV336" i="7" a="1"/>
  <c r="FV336" i="7" s="1"/>
  <c r="FS345" i="7" a="1"/>
  <c r="FS345" i="7" s="1"/>
  <c r="EV350" i="7" a="1"/>
  <c r="EV350" i="7" s="1"/>
  <c r="FK354" i="7" a="1"/>
  <c r="FK354" i="7" s="1"/>
  <c r="ET358" i="7" a="1"/>
  <c r="ET358" i="7" s="1"/>
  <c r="FW361" i="7" a="1"/>
  <c r="FW361" i="7" s="1"/>
  <c r="EU363" i="7" a="1"/>
  <c r="EU363" i="7" s="1"/>
  <c r="DS365" i="7" a="1"/>
  <c r="DS365" i="7" s="1"/>
  <c r="FB366" i="7" a="1"/>
  <c r="FB366" i="7" s="1"/>
  <c r="DZ368" i="7" a="1"/>
  <c r="DZ368" i="7" s="1"/>
  <c r="FI369" i="7" a="1"/>
  <c r="FI369" i="7" s="1"/>
  <c r="EG371" i="7" a="1"/>
  <c r="EG371" i="7" s="1"/>
  <c r="FP372" i="7" a="1"/>
  <c r="FP372" i="7" s="1"/>
  <c r="EN374" i="7" a="1"/>
  <c r="EN374" i="7" s="1"/>
  <c r="FZ260" i="7" a="1"/>
  <c r="FZ260" i="7" s="1"/>
  <c r="FA281" i="7" a="1"/>
  <c r="FA281" i="7" s="1"/>
  <c r="EO291" i="7" a="1"/>
  <c r="EO291" i="7" s="1"/>
  <c r="DZ276" i="7" a="1"/>
  <c r="DZ276" i="7" s="1"/>
  <c r="EB282" i="7" a="1"/>
  <c r="EB282" i="7" s="1"/>
  <c r="FW270" i="7" a="1"/>
  <c r="FW270" i="7" s="1"/>
  <c r="EN225" i="7" a="1"/>
  <c r="EN225" i="7" s="1"/>
  <c r="FJ277" i="7" a="1"/>
  <c r="FJ277" i="7" s="1"/>
  <c r="FQ284" i="7" a="1"/>
  <c r="FQ284" i="7" s="1"/>
  <c r="EU274" i="7" a="1"/>
  <c r="EU274" i="7" s="1"/>
  <c r="DX268" i="7" a="1"/>
  <c r="DX268" i="7" s="1"/>
  <c r="EY279" i="7" a="1"/>
  <c r="EY279" i="7" s="1"/>
  <c r="FD228" i="7" a="1"/>
  <c r="FD228" i="7" s="1"/>
  <c r="FM274" i="7" a="1"/>
  <c r="FM274" i="7" s="1"/>
  <c r="EW268" i="7" a="1"/>
  <c r="EW268" i="7" s="1"/>
  <c r="ER270" i="7" a="1"/>
  <c r="ER270" i="7" s="1"/>
  <c r="DV279" i="7" a="1"/>
  <c r="DV279" i="7" s="1"/>
  <c r="DT286" i="7" a="1"/>
  <c r="DT286" i="7" s="1"/>
  <c r="EC297" i="7" a="1"/>
  <c r="EC297" i="7" s="1"/>
  <c r="DW304" i="7" a="1"/>
  <c r="DW304" i="7" s="1"/>
  <c r="GA308" i="7" a="1"/>
  <c r="GA308" i="7" s="1"/>
  <c r="GA314" i="7" a="1"/>
  <c r="GA314" i="7" s="1"/>
  <c r="FT319" i="7" a="1"/>
  <c r="FT319" i="7" s="1"/>
  <c r="FS268" i="7" a="1"/>
  <c r="FS268" i="7" s="1"/>
  <c r="FK291" i="7" a="1"/>
  <c r="FK291" i="7" s="1"/>
  <c r="EE287" i="7" a="1"/>
  <c r="EE287" i="7" s="1"/>
  <c r="FP297" i="7" a="1"/>
  <c r="FP297" i="7" s="1"/>
  <c r="ES304" i="7" a="1"/>
  <c r="ES304" i="7" s="1"/>
  <c r="EL309" i="7" a="1"/>
  <c r="EL309" i="7" s="1"/>
  <c r="EL315" i="7" a="1"/>
  <c r="EL315" i="7" s="1"/>
  <c r="EE320" i="7" a="1"/>
  <c r="EE320" i="7" s="1"/>
  <c r="EY287" i="7" a="1"/>
  <c r="EY287" i="7" s="1"/>
  <c r="FX297" i="7" a="1"/>
  <c r="FX297" i="7" s="1"/>
  <c r="FJ293" i="7" a="1"/>
  <c r="FJ293" i="7" s="1"/>
  <c r="DY301" i="7" a="1"/>
  <c r="DY301" i="7" s="1"/>
  <c r="DY307" i="7" a="1"/>
  <c r="DY307" i="7" s="1"/>
  <c r="ED267" i="7" a="1"/>
  <c r="ED267" i="7" s="1"/>
  <c r="EN294" i="7" a="1"/>
  <c r="EN294" i="7" s="1"/>
  <c r="FN286" i="7" a="1"/>
  <c r="FN286" i="7" s="1"/>
  <c r="EN299" i="7" a="1"/>
  <c r="EN299" i="7" s="1"/>
  <c r="EG304" i="7" a="1"/>
  <c r="EG304" i="7" s="1"/>
  <c r="EG310" i="7" a="1"/>
  <c r="EG310" i="7" s="1"/>
  <c r="ED275" i="7" a="1"/>
  <c r="ED275" i="7" s="1"/>
  <c r="DW295" i="7" a="1"/>
  <c r="DW295" i="7" s="1"/>
  <c r="FL287" i="7" a="1"/>
  <c r="FL287" i="7" s="1"/>
  <c r="FJ299" i="7" a="1"/>
  <c r="FJ299" i="7" s="1"/>
  <c r="FC304" i="7" a="1"/>
  <c r="FC304" i="7" s="1"/>
  <c r="FC310" i="7" a="1"/>
  <c r="FC310" i="7" s="1"/>
  <c r="EA289" i="7" a="1"/>
  <c r="EA289" i="7" s="1"/>
  <c r="DX282" i="7" a="1"/>
  <c r="DX282" i="7" s="1"/>
  <c r="EV285" i="7" a="1"/>
  <c r="EV285" i="7" s="1"/>
  <c r="DU279" i="7" a="1"/>
  <c r="DU279" i="7" s="1"/>
  <c r="DS295" i="7" a="1"/>
  <c r="DS295" i="7" s="1"/>
  <c r="FL306" i="7" a="1"/>
  <c r="FL306" i="7" s="1"/>
  <c r="EZ325" i="7" a="1"/>
  <c r="EZ325" i="7" s="1"/>
  <c r="FM334" i="7" a="1"/>
  <c r="FM334" i="7" s="1"/>
  <c r="FS343" i="7" a="1"/>
  <c r="FS343" i="7" s="1"/>
  <c r="FU350" i="7" a="1"/>
  <c r="FU350" i="7" s="1"/>
  <c r="ES354" i="7" a="1"/>
  <c r="ES354" i="7" s="1"/>
  <c r="DQ359" i="7" a="1"/>
  <c r="DQ359" i="7" s="1"/>
  <c r="FD311" i="7" a="1"/>
  <c r="FD311" i="7" s="1"/>
  <c r="FR322" i="7" a="1"/>
  <c r="FR322" i="7" s="1"/>
  <c r="EA326" i="7" a="1"/>
  <c r="EA326" i="7" s="1"/>
  <c r="DX330" i="7" a="1"/>
  <c r="DX330" i="7" s="1"/>
  <c r="EB334" i="7" a="1"/>
  <c r="EB334" i="7" s="1"/>
  <c r="DV339" i="7" a="1"/>
  <c r="DV339" i="7" s="1"/>
  <c r="DS343" i="7" a="1"/>
  <c r="DS343" i="7" s="1"/>
  <c r="FX347" i="7" a="1"/>
  <c r="FX347" i="7" s="1"/>
  <c r="EB300" i="7" a="1"/>
  <c r="EB300" i="7" s="1"/>
  <c r="FZ307" i="7" a="1"/>
  <c r="FZ307" i="7" s="1"/>
  <c r="FP317" i="7" a="1"/>
  <c r="FP317" i="7" s="1"/>
  <c r="EI326" i="7" a="1"/>
  <c r="EI326" i="7" s="1"/>
  <c r="EC331" i="7" a="1"/>
  <c r="EC331" i="7" s="1"/>
  <c r="DZ335" i="7" a="1"/>
  <c r="DZ335" i="7" s="1"/>
  <c r="ED339" i="7" a="1"/>
  <c r="ED339" i="7" s="1"/>
  <c r="DQ344" i="7" a="1"/>
  <c r="DQ344" i="7" s="1"/>
  <c r="DU348" i="7" a="1"/>
  <c r="DU348" i="7" s="1"/>
  <c r="FV350" i="7" a="1"/>
  <c r="FV350" i="7" s="1"/>
  <c r="FV352" i="7" a="1"/>
  <c r="FV352" i="7" s="1"/>
  <c r="FE287" i="7" a="1"/>
  <c r="FE287" i="7" s="1"/>
  <c r="EQ313" i="7" a="1"/>
  <c r="EQ313" i="7" s="1"/>
  <c r="DV319" i="7" a="1"/>
  <c r="DV319" i="7" s="1"/>
  <c r="FN323" i="7" a="1"/>
  <c r="FN323" i="7" s="1"/>
  <c r="FF326" i="7" a="1"/>
  <c r="FF326" i="7" s="1"/>
  <c r="FC330" i="7" a="1"/>
  <c r="FC330" i="7" s="1"/>
  <c r="EW335" i="7" a="1"/>
  <c r="EW335" i="7" s="1"/>
  <c r="ET339" i="7" a="1"/>
  <c r="ET339" i="7" s="1"/>
  <c r="EN344" i="7" a="1"/>
  <c r="EN344" i="7" s="1"/>
  <c r="DX298" i="7" a="1"/>
  <c r="DX298" i="7" s="1"/>
  <c r="EI307" i="7" a="1"/>
  <c r="EI307" i="7" s="1"/>
  <c r="EP317" i="7" a="1"/>
  <c r="EP317" i="7" s="1"/>
  <c r="DU326" i="7" a="1"/>
  <c r="DU326" i="7" s="1"/>
  <c r="FZ330" i="7" a="1"/>
  <c r="FZ330" i="7" s="1"/>
  <c r="FW334" i="7" a="1"/>
  <c r="FW334" i="7" s="1"/>
  <c r="GA338" i="7" a="1"/>
  <c r="GA338" i="7" s="1"/>
  <c r="EN295" i="7" a="1"/>
  <c r="EN295" i="7" s="1"/>
  <c r="ET313" i="7" a="1"/>
  <c r="ET313" i="7" s="1"/>
  <c r="EO320" i="7" a="1"/>
  <c r="EO320" i="7" s="1"/>
  <c r="FW323" i="7" a="1"/>
  <c r="FW323" i="7" s="1"/>
  <c r="FO326" i="7" a="1"/>
  <c r="FO326" i="7" s="1"/>
  <c r="FI331" i="7" a="1"/>
  <c r="FI331" i="7" s="1"/>
  <c r="FM335" i="7" a="1"/>
  <c r="FM335" i="7" s="1"/>
  <c r="EZ340" i="7" a="1"/>
  <c r="EZ340" i="7" s="1"/>
  <c r="FD344" i="7" a="1"/>
  <c r="FD344" i="7" s="1"/>
  <c r="FL299" i="7" a="1"/>
  <c r="FL299" i="7" s="1"/>
  <c r="FE309" i="7" a="1"/>
  <c r="FE309" i="7" s="1"/>
  <c r="ET314" i="7" a="1"/>
  <c r="ET314" i="7" s="1"/>
  <c r="EO321" i="7" a="1"/>
  <c r="EO321" i="7" s="1"/>
  <c r="FJ328" i="7" a="1"/>
  <c r="FJ328" i="7" s="1"/>
  <c r="FG332" i="7" a="1"/>
  <c r="FG332" i="7" s="1"/>
  <c r="FA337" i="7" a="1"/>
  <c r="FA337" i="7" s="1"/>
  <c r="FE341" i="7" a="1"/>
  <c r="FE341" i="7" s="1"/>
  <c r="EY346" i="7" a="1"/>
  <c r="EY346" i="7" s="1"/>
  <c r="EO295" i="7" a="1"/>
  <c r="EO295" i="7" s="1"/>
  <c r="FB316" i="7" a="1"/>
  <c r="FB316" i="7" s="1"/>
  <c r="FN322" i="7" a="1"/>
  <c r="FN322" i="7" s="1"/>
  <c r="DX325" i="7" a="1"/>
  <c r="DX325" i="7" s="1"/>
  <c r="FH329" i="7" a="1"/>
  <c r="FH329" i="7" s="1"/>
  <c r="FL333" i="7" a="1"/>
  <c r="FL333" i="7" s="1"/>
  <c r="FI337" i="7" a="1"/>
  <c r="FI337" i="7" s="1"/>
  <c r="FC342" i="7" a="1"/>
  <c r="FC342" i="7" s="1"/>
  <c r="EZ346" i="7" a="1"/>
  <c r="EZ346" i="7" s="1"/>
  <c r="DU305" i="7" a="1"/>
  <c r="DU305" i="7" s="1"/>
  <c r="FK311" i="7" a="1"/>
  <c r="FK311" i="7" s="1"/>
  <c r="FK316" i="7" a="1"/>
  <c r="FK316" i="7" s="1"/>
  <c r="ET326" i="7" a="1"/>
  <c r="ET326" i="7" s="1"/>
  <c r="EI330" i="7" a="1"/>
  <c r="EI330" i="7" s="1"/>
  <c r="DQ334" i="7" a="1"/>
  <c r="DQ334" i="7" s="1"/>
  <c r="EY338" i="7" a="1"/>
  <c r="EY338" i="7" s="1"/>
  <c r="DR342" i="7" a="1"/>
  <c r="DR342" i="7" s="1"/>
  <c r="FY300" i="7" a="1"/>
  <c r="FY300" i="7" s="1"/>
  <c r="ET317" i="7" a="1"/>
  <c r="ET317" i="7" s="1"/>
  <c r="DY322" i="7" a="1"/>
  <c r="DY322" i="7" s="1"/>
  <c r="EE324" i="7" a="1"/>
  <c r="EE324" i="7" s="1"/>
  <c r="FB326" i="7" a="1"/>
  <c r="FB326" i="7" s="1"/>
  <c r="FX329" i="7" a="1"/>
  <c r="FX329" i="7" s="1"/>
  <c r="EW301" i="7" a="1"/>
  <c r="EW301" i="7" s="1"/>
  <c r="EQ307" i="7" a="1"/>
  <c r="EQ307" i="7" s="1"/>
  <c r="EQ312" i="7" a="1"/>
  <c r="EQ312" i="7" s="1"/>
  <c r="DW296" i="7" a="1"/>
  <c r="DW296" i="7" s="1"/>
  <c r="DR290" i="7" a="1"/>
  <c r="DR290" i="7" s="1"/>
  <c r="FR302" i="7" a="1"/>
  <c r="FR302" i="7" s="1"/>
  <c r="FE308" i="7" a="1"/>
  <c r="FE308" i="7" s="1"/>
  <c r="DY313" i="7" a="1"/>
  <c r="DY313" i="7" s="1"/>
  <c r="FQ311" i="7" a="1"/>
  <c r="FQ311" i="7" s="1"/>
  <c r="EN316" i="7" a="1"/>
  <c r="EN316" i="7" s="1"/>
  <c r="DS321" i="7" a="1"/>
  <c r="DS321" i="7" s="1"/>
  <c r="FK323" i="7" a="1"/>
  <c r="FK323" i="7" s="1"/>
  <c r="FG325" i="7" a="1"/>
  <c r="FG325" i="7" s="1"/>
  <c r="EG329" i="7" a="1"/>
  <c r="EG329" i="7" s="1"/>
  <c r="FC332" i="7" a="1"/>
  <c r="FC332" i="7" s="1"/>
  <c r="FY335" i="7" a="1"/>
  <c r="FY335" i="7" s="1"/>
  <c r="EJ339" i="7" a="1"/>
  <c r="EJ339" i="7" s="1"/>
  <c r="FF342" i="7" a="1"/>
  <c r="FF342" i="7" s="1"/>
  <c r="EY330" i="7" a="1"/>
  <c r="EY330" i="7" s="1"/>
  <c r="EI342" i="7" a="1"/>
  <c r="EI342" i="7" s="1"/>
  <c r="FU347" i="7" a="1"/>
  <c r="FU347" i="7" s="1"/>
  <c r="EA353" i="7" a="1"/>
  <c r="EA353" i="7" s="1"/>
  <c r="EN357" i="7" a="1"/>
  <c r="EN357" i="7" s="1"/>
  <c r="EC361" i="7" a="1"/>
  <c r="EC361" i="7" s="1"/>
  <c r="EF363" i="7" a="1"/>
  <c r="EF363" i="7" s="1"/>
  <c r="FV364" i="7" a="1"/>
  <c r="FV364" i="7" s="1"/>
  <c r="FH366" i="7" a="1"/>
  <c r="FH366" i="7" s="1"/>
  <c r="EM368" i="7" a="1"/>
  <c r="EM368" i="7" s="1"/>
  <c r="DR370" i="7" a="1"/>
  <c r="DR370" i="7" s="1"/>
  <c r="FH371" i="7" a="1"/>
  <c r="FH371" i="7" s="1"/>
  <c r="EM373" i="7" a="1"/>
  <c r="EM373" i="7" s="1"/>
  <c r="DR375" i="7" a="1"/>
  <c r="DR375" i="7" s="1"/>
  <c r="FJ323" i="7" a="1"/>
  <c r="FJ323" i="7" s="1"/>
  <c r="EC338" i="7" a="1"/>
  <c r="EC338" i="7" s="1"/>
  <c r="FJ346" i="7" a="1"/>
  <c r="FJ346" i="7" s="1"/>
  <c r="EK351" i="7" a="1"/>
  <c r="EK351" i="7" s="1"/>
  <c r="FI355" i="7" a="1"/>
  <c r="FI355" i="7" s="1"/>
  <c r="EX359" i="7" a="1"/>
  <c r="EX359" i="7" s="1"/>
  <c r="EN324" i="7" a="1"/>
  <c r="EN324" i="7" s="1"/>
  <c r="EN337" i="7" a="1"/>
  <c r="EN337" i="7" s="1"/>
  <c r="DW346" i="7" a="1"/>
  <c r="DW346" i="7" s="1"/>
  <c r="FM350" i="7" a="1"/>
  <c r="FM350" i="7" s="1"/>
  <c r="GA354" i="7" a="1"/>
  <c r="GA354" i="7" s="1"/>
  <c r="FI358" i="7" a="1"/>
  <c r="FI358" i="7" s="1"/>
  <c r="DS362" i="7" a="1"/>
  <c r="DS362" i="7" s="1"/>
  <c r="FB363" i="7" a="1"/>
  <c r="FB363" i="7" s="1"/>
  <c r="DZ365" i="7" a="1"/>
  <c r="DZ365" i="7" s="1"/>
  <c r="FI366" i="7" a="1"/>
  <c r="FI366" i="7" s="1"/>
  <c r="EG368" i="7" a="1"/>
  <c r="EG368" i="7" s="1"/>
  <c r="FP369" i="7" a="1"/>
  <c r="FP369" i="7" s="1"/>
  <c r="EN371" i="7" a="1"/>
  <c r="EN371" i="7" s="1"/>
  <c r="FW372" i="7" a="1"/>
  <c r="FW372" i="7" s="1"/>
  <c r="EU374" i="7" a="1"/>
  <c r="EU374" i="7" s="1"/>
  <c r="EK261" i="7" a="1"/>
  <c r="EK261" i="7" s="1"/>
  <c r="FP281" i="7" a="1"/>
  <c r="FP281" i="7" s="1"/>
  <c r="FD291" i="7" a="1"/>
  <c r="FD291" i="7" s="1"/>
  <c r="EH276" i="7" a="1"/>
  <c r="EH276" i="7" s="1"/>
  <c r="EQ282" i="7" a="1"/>
  <c r="EQ282" i="7" s="1"/>
  <c r="EC271" i="7" a="1"/>
  <c r="EC271" i="7" s="1"/>
  <c r="FL237" i="7" a="1"/>
  <c r="FL237" i="7" s="1"/>
  <c r="FR277" i="7" a="1"/>
  <c r="FR277" i="7" s="1"/>
  <c r="DU285" i="7" a="1"/>
  <c r="DU285" i="7" s="1"/>
  <c r="FL274" i="7" a="1"/>
  <c r="FL274" i="7" s="1"/>
  <c r="EJ268" i="7" a="1"/>
  <c r="EJ268" i="7" s="1"/>
  <c r="FG279" i="7" a="1"/>
  <c r="FG279" i="7" s="1"/>
  <c r="ED239" i="7" a="1"/>
  <c r="ED239" i="7" s="1"/>
  <c r="FW274" i="7" a="1"/>
  <c r="FW274" i="7" s="1"/>
  <c r="DQ269" i="7" a="1"/>
  <c r="DQ269" i="7" s="1"/>
  <c r="FB270" i="7" a="1"/>
  <c r="FB270" i="7" s="1"/>
  <c r="ED279" i="7" a="1"/>
  <c r="ED279" i="7" s="1"/>
  <c r="EO286" i="7" a="1"/>
  <c r="EO286" i="7" s="1"/>
  <c r="ER297" i="7" a="1"/>
  <c r="ER297" i="7" s="1"/>
  <c r="ED304" i="7" a="1"/>
  <c r="ED304" i="7" s="1"/>
  <c r="DW309" i="7" a="1"/>
  <c r="DW309" i="7" s="1"/>
  <c r="DW315" i="7" a="1"/>
  <c r="DW315" i="7" s="1"/>
  <c r="GA319" i="7" a="1"/>
  <c r="GA319" i="7" s="1"/>
  <c r="EZ269" i="7" a="1"/>
  <c r="EZ269" i="7" s="1"/>
  <c r="FT291" i="7" a="1"/>
  <c r="FT291" i="7" s="1"/>
  <c r="EO287" i="7" a="1"/>
  <c r="EO287" i="7" s="1"/>
  <c r="DT298" i="7" a="1"/>
  <c r="DT298" i="7" s="1"/>
  <c r="EZ304" i="7" a="1"/>
  <c r="EZ304" i="7" s="1"/>
  <c r="ES309" i="7" a="1"/>
  <c r="ES309" i="7" s="1"/>
  <c r="ES315" i="7" a="1"/>
  <c r="ES315" i="7" s="1"/>
  <c r="EL320" i="7" a="1"/>
  <c r="EL320" i="7" s="1"/>
  <c r="FI287" i="7" a="1"/>
  <c r="FI287" i="7" s="1"/>
  <c r="EB298" i="7" a="1"/>
  <c r="EB298" i="7" s="1"/>
  <c r="GA293" i="7" a="1"/>
  <c r="GA293" i="7" s="1"/>
  <c r="EF301" i="7" a="1"/>
  <c r="EF301" i="7" s="1"/>
  <c r="EF307" i="7" a="1"/>
  <c r="EF307" i="7" s="1"/>
  <c r="EC268" i="7" a="1"/>
  <c r="EC268" i="7" s="1"/>
  <c r="FC294" i="7" a="1"/>
  <c r="FC294" i="7" s="1"/>
  <c r="DY287" i="7" a="1"/>
  <c r="DY287" i="7" s="1"/>
  <c r="EU299" i="7" a="1"/>
  <c r="EU299" i="7" s="1"/>
  <c r="EN304" i="7" a="1"/>
  <c r="EN304" i="7" s="1"/>
  <c r="EN310" i="7" a="1"/>
  <c r="EN310" i="7" s="1"/>
  <c r="FP275" i="7" a="1"/>
  <c r="FP275" i="7" s="1"/>
  <c r="EL295" i="7" a="1"/>
  <c r="EL295" i="7" s="1"/>
  <c r="EB288" i="7" a="1"/>
  <c r="EB288" i="7" s="1"/>
  <c r="FQ299" i="7" a="1"/>
  <c r="FQ299" i="7" s="1"/>
  <c r="FJ304" i="7" a="1"/>
  <c r="FJ304" i="7" s="1"/>
  <c r="FJ310" i="7" a="1"/>
  <c r="FJ310" i="7" s="1"/>
  <c r="ER289" i="7" a="1"/>
  <c r="ER289" i="7" s="1"/>
  <c r="EV282" i="7" a="1"/>
  <c r="EV282" i="7" s="1"/>
  <c r="FG285" i="7" a="1"/>
  <c r="FG285" i="7" s="1"/>
  <c r="EZ279" i="7" a="1"/>
  <c r="EZ279" i="7" s="1"/>
  <c r="EH295" i="7" a="1"/>
  <c r="EH295" i="7" s="1"/>
  <c r="FE310" i="7" a="1"/>
  <c r="FE310" i="7" s="1"/>
  <c r="FO325" i="7" a="1"/>
  <c r="FO325" i="7" s="1"/>
  <c r="FU334" i="7" a="1"/>
  <c r="FU334" i="7" s="1"/>
  <c r="DW344" i="7" a="1"/>
  <c r="DW344" i="7" s="1"/>
  <c r="DQ351" i="7" a="1"/>
  <c r="DQ351" i="7" s="1"/>
  <c r="EZ355" i="7" a="1"/>
  <c r="EZ355" i="7" s="1"/>
  <c r="DX359" i="7" a="1"/>
  <c r="DX359" i="7" s="1"/>
  <c r="FR311" i="7" a="1"/>
  <c r="FR311" i="7" s="1"/>
  <c r="FZ322" i="7" a="1"/>
  <c r="FZ322" i="7" s="1"/>
  <c r="EP326" i="7" a="1"/>
  <c r="EP326" i="7" s="1"/>
  <c r="EM330" i="7" a="1"/>
  <c r="EM330" i="7" s="1"/>
  <c r="EG335" i="7" a="1"/>
  <c r="EG335" i="7" s="1"/>
  <c r="EK339" i="7" a="1"/>
  <c r="EK339" i="7" s="1"/>
  <c r="EH343" i="7" a="1"/>
  <c r="EH343" i="7" s="1"/>
  <c r="EB348" i="7" a="1"/>
  <c r="EB348" i="7" s="1"/>
  <c r="FE300" i="7" a="1"/>
  <c r="FE300" i="7" s="1"/>
  <c r="FY309" i="7" a="1"/>
  <c r="FY309" i="7" s="1"/>
  <c r="DV318" i="7" a="1"/>
  <c r="DV318" i="7" s="1"/>
  <c r="EX326" i="7" a="1"/>
  <c r="EX326" i="7" s="1"/>
  <c r="ER331" i="7" a="1"/>
  <c r="ER331" i="7" s="1"/>
  <c r="EO335" i="7" a="1"/>
  <c r="EO335" i="7" s="1"/>
  <c r="EI340" i="7" a="1"/>
  <c r="EI340" i="7" s="1"/>
  <c r="EF344" i="7" a="1"/>
  <c r="EF344" i="7" s="1"/>
  <c r="EJ348" i="7" a="1"/>
  <c r="EJ348" i="7" s="1"/>
  <c r="DR351" i="7" a="1"/>
  <c r="DR351" i="7" s="1"/>
  <c r="DR353" i="7" a="1"/>
  <c r="DR353" i="7" s="1"/>
  <c r="FR295" i="7" a="1"/>
  <c r="FR295" i="7" s="1"/>
  <c r="FE313" i="7" a="1"/>
  <c r="FE313" i="7" s="1"/>
  <c r="EF319" i="7" a="1"/>
  <c r="EF319" i="7" s="1"/>
  <c r="FV323" i="7" a="1"/>
  <c r="FV323" i="7" s="1"/>
  <c r="FN326" i="7" a="1"/>
  <c r="FN326" i="7" s="1"/>
  <c r="FH331" i="7" a="1"/>
  <c r="FH331" i="7" s="1"/>
  <c r="FL335" i="7" a="1"/>
  <c r="FL335" i="7" s="1"/>
  <c r="FI339" i="7" a="1"/>
  <c r="FI339" i="7" s="1"/>
  <c r="FC344" i="7" a="1"/>
  <c r="FC344" i="7" s="1"/>
  <c r="FK299" i="7" a="1"/>
  <c r="FK299" i="7" s="1"/>
  <c r="EC309" i="7" a="1"/>
  <c r="EC309" i="7" s="1"/>
  <c r="FQ317" i="7" a="1"/>
  <c r="FQ317" i="7" s="1"/>
  <c r="EJ326" i="7" a="1"/>
  <c r="EJ326" i="7" s="1"/>
  <c r="ED331" i="7" a="1"/>
  <c r="ED331" i="7" s="1"/>
  <c r="EA335" i="7" a="1"/>
  <c r="EA335" i="7" s="1"/>
  <c r="DU340" i="7" a="1"/>
  <c r="DU340" i="7" s="1"/>
  <c r="FS295" i="7" a="1"/>
  <c r="FS295" i="7" s="1"/>
  <c r="DR314" i="7" a="1"/>
  <c r="DR314" i="7" s="1"/>
  <c r="FP320" i="7" a="1"/>
  <c r="FP320" i="7" s="1"/>
  <c r="DT324" i="7" a="1"/>
  <c r="DT324" i="7" s="1"/>
  <c r="GA327" i="7" a="1"/>
  <c r="GA327" i="7" s="1"/>
  <c r="FX331" i="7" a="1"/>
  <c r="FX331" i="7" s="1"/>
  <c r="FU335" i="7" a="1"/>
  <c r="FU335" i="7" s="1"/>
  <c r="FO340" i="7" a="1"/>
  <c r="FO340" i="7" s="1"/>
  <c r="FS344" i="7" a="1"/>
  <c r="FS344" i="7" s="1"/>
  <c r="DU303" i="7" a="1"/>
  <c r="DU303" i="7" s="1"/>
  <c r="DU310" i="7" a="1"/>
  <c r="DU310" i="7" s="1"/>
  <c r="FK314" i="7" a="1"/>
  <c r="FK314" i="7" s="1"/>
  <c r="FP321" i="7" a="1"/>
  <c r="FP321" i="7" s="1"/>
  <c r="FY328" i="7" a="1"/>
  <c r="FY328" i="7" s="1"/>
  <c r="FS333" i="7" a="1"/>
  <c r="FS333" i="7" s="1"/>
  <c r="FP337" i="7" a="1"/>
  <c r="FP337" i="7" s="1"/>
  <c r="FT341" i="7" a="1"/>
  <c r="FT341" i="7" s="1"/>
  <c r="FG346" i="7" a="1"/>
  <c r="FG346" i="7" s="1"/>
  <c r="FZ295" i="7" a="1"/>
  <c r="FZ295" i="7" s="1"/>
  <c r="DZ318" i="7" a="1"/>
  <c r="DZ318" i="7" s="1"/>
  <c r="FV322" i="7" a="1"/>
  <c r="FV322" i="7" s="1"/>
  <c r="EF325" i="7" a="1"/>
  <c r="EF325" i="7" s="1"/>
  <c r="FW329" i="7" a="1"/>
  <c r="FW329" i="7" s="1"/>
  <c r="GA333" i="7" a="1"/>
  <c r="GA333" i="7" s="1"/>
  <c r="FN338" i="7" a="1"/>
  <c r="FN338" i="7" s="1"/>
  <c r="FR342" i="7" a="1"/>
  <c r="FR342" i="7" s="1"/>
  <c r="EM288" i="7" a="1"/>
  <c r="EM288" i="7" s="1"/>
  <c r="EQ305" i="7" a="1"/>
  <c r="EQ305" i="7" s="1"/>
  <c r="FY311" i="7" a="1"/>
  <c r="FY311" i="7" s="1"/>
  <c r="EI318" i="7" a="1"/>
  <c r="EI318" i="7" s="1"/>
  <c r="FI326" i="7" a="1"/>
  <c r="FI326" i="7" s="1"/>
  <c r="EX330" i="7" a="1"/>
  <c r="EX330" i="7" s="1"/>
  <c r="FY334" i="7" a="1"/>
  <c r="FY334" i="7" s="1"/>
  <c r="FG338" i="7" a="1"/>
  <c r="FG338" i="7" s="1"/>
  <c r="EG342" i="7" a="1"/>
  <c r="EG342" i="7" s="1"/>
  <c r="EQ301" i="7" a="1"/>
  <c r="EQ301" i="7" s="1"/>
  <c r="FK317" i="7" a="1"/>
  <c r="FK317" i="7" s="1"/>
  <c r="EP322" i="7" a="1"/>
  <c r="EP322" i="7" s="1"/>
  <c r="EM324" i="7" a="1"/>
  <c r="EM324" i="7" s="1"/>
  <c r="FQ326" i="7" a="1"/>
  <c r="FQ326" i="7" s="1"/>
  <c r="EQ330" i="7" a="1"/>
  <c r="EQ330" i="7" s="1"/>
  <c r="FZ301" i="7" a="1"/>
  <c r="FZ301" i="7" s="1"/>
  <c r="FR307" i="7" a="1"/>
  <c r="FR307" i="7" s="1"/>
  <c r="FE312" i="7" a="1"/>
  <c r="FE312" i="7" s="1"/>
  <c r="EN298" i="7" a="1"/>
  <c r="EN298" i="7" s="1"/>
  <c r="EI291" i="7" a="1"/>
  <c r="EI291" i="7" s="1"/>
  <c r="EC303" i="7" a="1"/>
  <c r="EC303" i="7" s="1"/>
  <c r="DU309" i="7" a="1"/>
  <c r="DU309" i="7" s="1"/>
  <c r="FM288" i="7" a="1"/>
  <c r="FM288" i="7" s="1"/>
  <c r="DT312" i="7" a="1"/>
  <c r="DT312" i="7" s="1"/>
  <c r="FE316" i="7" a="1"/>
  <c r="FE316" i="7" s="1"/>
  <c r="EJ321" i="7" a="1"/>
  <c r="EJ321" i="7" s="1"/>
  <c r="FS323" i="7" a="1"/>
  <c r="FS323" i="7" s="1"/>
  <c r="DZ326" i="7" a="1"/>
  <c r="DZ326" i="7" s="1"/>
  <c r="EV329" i="7" a="1"/>
  <c r="EV329" i="7" s="1"/>
  <c r="FR332" i="7" a="1"/>
  <c r="FR332" i="7" s="1"/>
  <c r="EC336" i="7" a="1"/>
  <c r="EC336" i="7" s="1"/>
  <c r="EY339" i="7" a="1"/>
  <c r="EY339" i="7" s="1"/>
  <c r="EM313" i="7" a="1"/>
  <c r="EM313" i="7" s="1"/>
  <c r="EP331" i="7" a="1"/>
  <c r="EP331" i="7" s="1"/>
  <c r="FK342" i="7" a="1"/>
  <c r="FK342" i="7" s="1"/>
  <c r="EO348" i="7" a="1"/>
  <c r="EO348" i="7" s="1"/>
  <c r="ER353" i="7" a="1"/>
  <c r="ER353" i="7" s="1"/>
  <c r="FC357" i="7" a="1"/>
  <c r="FC357" i="7" s="1"/>
  <c r="ER361" i="7" a="1"/>
  <c r="ER361" i="7" s="1"/>
  <c r="EM363" i="7" a="1"/>
  <c r="EM363" i="7" s="1"/>
  <c r="DY365" i="7" a="1"/>
  <c r="DY365" i="7" s="1"/>
  <c r="FO366" i="7" a="1"/>
  <c r="FO366" i="7" s="1"/>
  <c r="ET368" i="7" a="1"/>
  <c r="ET368" i="7" s="1"/>
  <c r="DY370" i="7" a="1"/>
  <c r="DY370" i="7" s="1"/>
  <c r="FO371" i="7" a="1"/>
  <c r="FO371" i="7" s="1"/>
  <c r="ET373" i="7" a="1"/>
  <c r="ET373" i="7" s="1"/>
  <c r="DY375" i="7" a="1"/>
  <c r="DY375" i="7" s="1"/>
  <c r="EX325" i="7" a="1"/>
  <c r="EX325" i="7" s="1"/>
  <c r="FA338" i="7" a="1"/>
  <c r="FA338" i="7" s="1"/>
  <c r="EF347" i="7" a="1"/>
  <c r="EF347" i="7" s="1"/>
  <c r="EU351" i="7" a="1"/>
  <c r="EU351" i="7" s="1"/>
  <c r="FX355" i="7" a="1"/>
  <c r="FX355" i="7" s="1"/>
  <c r="FM359" i="7" a="1"/>
  <c r="FM359" i="7" s="1"/>
  <c r="FJ326" i="7" a="1"/>
  <c r="FJ326" i="7" s="1"/>
  <c r="EQ339" i="7" a="1"/>
  <c r="EQ339" i="7" s="1"/>
  <c r="FA346" i="7" a="1"/>
  <c r="FA346" i="7" s="1"/>
  <c r="FW350" i="7" a="1"/>
  <c r="FW350" i="7" s="1"/>
  <c r="EM355" i="7" a="1"/>
  <c r="EM355" i="7" s="1"/>
  <c r="FX358" i="7" a="1"/>
  <c r="FX358" i="7" s="1"/>
  <c r="DZ362" i="7" a="1"/>
  <c r="DZ362" i="7" s="1"/>
  <c r="FI363" i="7" a="1"/>
  <c r="FI363" i="7" s="1"/>
  <c r="EG365" i="7" a="1"/>
  <c r="EG365" i="7" s="1"/>
  <c r="FP366" i="7" a="1"/>
  <c r="FP366" i="7" s="1"/>
  <c r="EN368" i="7" a="1"/>
  <c r="EN368" i="7" s="1"/>
  <c r="FW369" i="7" a="1"/>
  <c r="FW369" i="7" s="1"/>
  <c r="EU371" i="7" a="1"/>
  <c r="EU371" i="7" s="1"/>
  <c r="DS373" i="7" a="1"/>
  <c r="DS373" i="7" s="1"/>
  <c r="FE265" i="7" a="1"/>
  <c r="FE265" i="7" s="1"/>
  <c r="DT282" i="7" a="1"/>
  <c r="DT282" i="7" s="1"/>
  <c r="DR294" i="7" a="1"/>
  <c r="DR294" i="7" s="1"/>
  <c r="EP276" i="7" a="1"/>
  <c r="EP276" i="7" s="1"/>
  <c r="FP284" i="7" a="1"/>
  <c r="FP284" i="7" s="1"/>
  <c r="FD271" i="7" a="1"/>
  <c r="FD271" i="7" s="1"/>
  <c r="FL267" i="7" a="1"/>
  <c r="FL267" i="7" s="1"/>
  <c r="FZ277" i="7" a="1"/>
  <c r="FZ277" i="7" s="1"/>
  <c r="EY259" i="7" a="1"/>
  <c r="EY259" i="7" s="1"/>
  <c r="EB275" i="7" a="1"/>
  <c r="EB275" i="7" s="1"/>
  <c r="FX271" i="7" a="1"/>
  <c r="FX271" i="7" s="1"/>
  <c r="FP279" i="7" a="1"/>
  <c r="FP279" i="7" s="1"/>
  <c r="DW261" i="7" a="1"/>
  <c r="DW261" i="7" s="1"/>
  <c r="EC275" i="7" a="1"/>
  <c r="EC275" i="7" s="1"/>
  <c r="EE272" i="7" a="1"/>
  <c r="EE272" i="7" s="1"/>
  <c r="FS270" i="7" a="1"/>
  <c r="FS270" i="7" s="1"/>
  <c r="FE280" i="7" a="1"/>
  <c r="FE280" i="7" s="1"/>
  <c r="EY286" i="7" a="1"/>
  <c r="EY286" i="7" s="1"/>
  <c r="ER299" i="7" a="1"/>
  <c r="ER299" i="7" s="1"/>
  <c r="EK304" i="7" a="1"/>
  <c r="EK304" i="7" s="1"/>
  <c r="EK310" i="7" a="1"/>
  <c r="EK310" i="7" s="1"/>
  <c r="ED315" i="7" a="1"/>
  <c r="ED315" i="7" s="1"/>
  <c r="ED321" i="7" a="1"/>
  <c r="ED321" i="7" s="1"/>
  <c r="FZ270" i="7" a="1"/>
  <c r="FZ270" i="7" s="1"/>
  <c r="FP294" i="7" a="1"/>
  <c r="FP294" i="7" s="1"/>
  <c r="EX287" i="7" a="1"/>
  <c r="EX287" i="7" s="1"/>
  <c r="FN299" i="7" a="1"/>
  <c r="FN299" i="7" s="1"/>
  <c r="FG304" i="7" a="1"/>
  <c r="FG304" i="7" s="1"/>
  <c r="FG310" i="7" a="1"/>
  <c r="FG310" i="7" s="1"/>
  <c r="EZ315" i="7" a="1"/>
  <c r="EZ315" i="7" s="1"/>
  <c r="EZ321" i="7" a="1"/>
  <c r="EZ321" i="7" s="1"/>
  <c r="FR287" i="7" a="1"/>
  <c r="FR287" i="7" s="1"/>
  <c r="FF275" i="7" a="1"/>
  <c r="FF275" i="7" s="1"/>
  <c r="DX294" i="7" a="1"/>
  <c r="DX294" i="7" s="1"/>
  <c r="ET302" i="7" a="1"/>
  <c r="ET302" i="7" s="1"/>
  <c r="EM307" i="7" a="1"/>
  <c r="EM307" i="7" s="1"/>
  <c r="EP278" i="7" a="1"/>
  <c r="EP278" i="7" s="1"/>
  <c r="FR294" i="7" a="1"/>
  <c r="FR294" i="7" s="1"/>
  <c r="FZ289" i="7" a="1"/>
  <c r="FZ289" i="7" s="1"/>
  <c r="FB299" i="7" a="1"/>
  <c r="FB299" i="7" s="1"/>
  <c r="FB305" i="7" a="1"/>
  <c r="FB305" i="7" s="1"/>
  <c r="EU310" i="7" a="1"/>
  <c r="EU310" i="7" s="1"/>
  <c r="DZ281" i="7" a="1"/>
  <c r="DZ281" i="7" s="1"/>
  <c r="ET295" i="7" a="1"/>
  <c r="ET295" i="7" s="1"/>
  <c r="FQ290" i="7" a="1"/>
  <c r="FQ290" i="7" s="1"/>
  <c r="FX299" i="7" a="1"/>
  <c r="FX299" i="7" s="1"/>
  <c r="FX305" i="7" a="1"/>
  <c r="FX305" i="7" s="1"/>
  <c r="FQ310" i="7" a="1"/>
  <c r="FQ310" i="7" s="1"/>
  <c r="EF292" i="7" a="1"/>
  <c r="EF292" i="7" s="1"/>
  <c r="FY282" i="7" a="1"/>
  <c r="FY282" i="7" s="1"/>
  <c r="EY251" i="7" a="1"/>
  <c r="EY251" i="7" s="1"/>
  <c r="FZ279" i="7" a="1"/>
  <c r="FZ279" i="7" s="1"/>
  <c r="FN297" i="7" a="1"/>
  <c r="FN297" i="7" s="1"/>
  <c r="DU311" i="7" a="1"/>
  <c r="DU311" i="7" s="1"/>
  <c r="DU328" i="7" a="1"/>
  <c r="DU328" i="7" s="1"/>
  <c r="DY335" i="7" a="1"/>
  <c r="DY335" i="7" s="1"/>
  <c r="EE344" i="7" a="1"/>
  <c r="EE344" i="7" s="1"/>
  <c r="DX351" i="7" a="1"/>
  <c r="DX351" i="7" s="1"/>
  <c r="FG355" i="7" a="1"/>
  <c r="FG355" i="7" s="1"/>
  <c r="EE360" i="7" a="1"/>
  <c r="EE360" i="7" s="1"/>
  <c r="DU312" i="7" a="1"/>
  <c r="DU312" i="7" s="1"/>
  <c r="DX323" i="7" a="1"/>
  <c r="DX323" i="7" s="1"/>
  <c r="FE326" i="7" a="1"/>
  <c r="FE326" i="7" s="1"/>
  <c r="FB330" i="7" a="1"/>
  <c r="FB330" i="7" s="1"/>
  <c r="EV335" i="7" a="1"/>
  <c r="EV335" i="7" s="1"/>
  <c r="ES339" i="7" a="1"/>
  <c r="ES339" i="7" s="1"/>
  <c r="EW343" i="7" a="1"/>
  <c r="EW343" i="7" s="1"/>
  <c r="EQ348" i="7" a="1"/>
  <c r="EQ348" i="7" s="1"/>
  <c r="FK301" i="7" a="1"/>
  <c r="FK301" i="7" s="1"/>
  <c r="EJ310" i="7" a="1"/>
  <c r="EJ310" i="7" s="1"/>
  <c r="EF318" i="7" a="1"/>
  <c r="EF318" i="7" s="1"/>
  <c r="FM326" i="7" a="1"/>
  <c r="FM326" i="7" s="1"/>
  <c r="EZ331" i="7" a="1"/>
  <c r="EZ331" i="7" s="1"/>
  <c r="FD335" i="7" a="1"/>
  <c r="FD335" i="7" s="1"/>
  <c r="EX340" i="7" a="1"/>
  <c r="EX340" i="7" s="1"/>
  <c r="EU344" i="7" a="1"/>
  <c r="EU344" i="7" s="1"/>
  <c r="EY348" i="7" a="1"/>
  <c r="EY348" i="7" s="1"/>
  <c r="DY351" i="7" a="1"/>
  <c r="DY351" i="7" s="1"/>
  <c r="DY353" i="7" a="1"/>
  <c r="DY353" i="7" s="1"/>
  <c r="EL296" i="7" a="1"/>
  <c r="EL296" i="7" s="1"/>
  <c r="DZ314" i="7" a="1"/>
  <c r="DZ314" i="7" s="1"/>
  <c r="EW319" i="7" a="1"/>
  <c r="EW319" i="7" s="1"/>
  <c r="DS324" i="7" a="1"/>
  <c r="DS324" i="7" s="1"/>
  <c r="DR327" i="7" a="1"/>
  <c r="DR327" i="7" s="1"/>
  <c r="FW331" i="7" a="1"/>
  <c r="FW331" i="7" s="1"/>
  <c r="GA335" i="7" a="1"/>
  <c r="GA335" i="7" s="1"/>
  <c r="FX339" i="7" a="1"/>
  <c r="FX339" i="7" s="1"/>
  <c r="FR344" i="7" a="1"/>
  <c r="FR344" i="7" s="1"/>
  <c r="EC300" i="7" a="1"/>
  <c r="EC300" i="7" s="1"/>
  <c r="FD309" i="7" a="1"/>
  <c r="FD309" i="7" s="1"/>
  <c r="EG318" i="7" a="1"/>
  <c r="EG318" i="7" s="1"/>
  <c r="EY326" i="7" a="1"/>
  <c r="EY326" i="7" s="1"/>
  <c r="EL331" i="7" a="1"/>
  <c r="EL331" i="7" s="1"/>
  <c r="EP335" i="7" a="1"/>
  <c r="EP335" i="7" s="1"/>
  <c r="EJ340" i="7" a="1"/>
  <c r="EJ340" i="7" s="1"/>
  <c r="ES296" i="7" a="1"/>
  <c r="ES296" i="7" s="1"/>
  <c r="EA314" i="7" a="1"/>
  <c r="EA314" i="7" s="1"/>
  <c r="DV321" i="7" a="1"/>
  <c r="DV321" i="7" s="1"/>
  <c r="EB324" i="7" a="1"/>
  <c r="EB324" i="7" s="1"/>
  <c r="DX328" i="7" a="1"/>
  <c r="DX328" i="7" s="1"/>
  <c r="EB332" i="7" a="1"/>
  <c r="EB332" i="7" s="1"/>
  <c r="DY336" i="7" a="1"/>
  <c r="DY336" i="7" s="1"/>
  <c r="DS341" i="7" a="1"/>
  <c r="DS341" i="7" s="1"/>
  <c r="DW345" i="7" a="1"/>
  <c r="DW345" i="7" s="1"/>
  <c r="EQ303" i="7" a="1"/>
  <c r="EQ303" i="7" s="1"/>
  <c r="EQ310" i="7" a="1"/>
  <c r="EQ310" i="7" s="1"/>
  <c r="EA315" i="7" a="1"/>
  <c r="EA315" i="7" s="1"/>
  <c r="DV322" i="7" a="1"/>
  <c r="DV322" i="7" s="1"/>
  <c r="EC329" i="7" a="1"/>
  <c r="EC329" i="7" s="1"/>
  <c r="DW334" i="7" a="1"/>
  <c r="DW334" i="7" s="1"/>
  <c r="DT338" i="7" a="1"/>
  <c r="DT338" i="7" s="1"/>
  <c r="DQ342" i="7" a="1"/>
  <c r="DQ342" i="7" s="1"/>
  <c r="FV346" i="7" a="1"/>
  <c r="FV346" i="7" s="1"/>
  <c r="EZ296" i="7" a="1"/>
  <c r="EZ296" i="7" s="1"/>
  <c r="EQ318" i="7" a="1"/>
  <c r="EQ318" i="7" s="1"/>
  <c r="DS323" i="7" a="1"/>
  <c r="DS323" i="7" s="1"/>
  <c r="EN325" i="7" a="1"/>
  <c r="EN325" i="7" s="1"/>
  <c r="EA330" i="7" a="1"/>
  <c r="EA330" i="7" s="1"/>
  <c r="DX334" i="7" a="1"/>
  <c r="DX334" i="7" s="1"/>
  <c r="DR339" i="7" a="1"/>
  <c r="DR339" i="7" s="1"/>
  <c r="DV343" i="7" a="1"/>
  <c r="DV343" i="7" s="1"/>
  <c r="EB289" i="7" a="1"/>
  <c r="EB289" i="7" s="1"/>
  <c r="FR305" i="7" a="1"/>
  <c r="FR305" i="7" s="1"/>
  <c r="EB312" i="7" a="1"/>
  <c r="EB312" i="7" s="1"/>
  <c r="FJ318" i="7" a="1"/>
  <c r="FJ318" i="7" s="1"/>
  <c r="FX326" i="7" a="1"/>
  <c r="FX326" i="7" s="1"/>
  <c r="FM330" i="7" a="1"/>
  <c r="FM330" i="7" s="1"/>
  <c r="EC335" i="7" a="1"/>
  <c r="EC335" i="7" s="1"/>
  <c r="FV338" i="7" a="1"/>
  <c r="FV338" i="7" s="1"/>
  <c r="EV342" i="7" a="1"/>
  <c r="EV342" i="7" s="1"/>
  <c r="FK313" i="7" a="1"/>
  <c r="FK313" i="7" s="1"/>
  <c r="EA318" i="7" a="1"/>
  <c r="EA318" i="7" s="1"/>
  <c r="EX322" i="7" a="1"/>
  <c r="EX322" i="7" s="1"/>
  <c r="EU324" i="7" a="1"/>
  <c r="EU324" i="7" s="1"/>
  <c r="EJ327" i="7" a="1"/>
  <c r="EJ327" i="7" s="1"/>
  <c r="FF330" i="7" a="1"/>
  <c r="FF330" i="7" s="1"/>
  <c r="EP302" i="7" a="1"/>
  <c r="EP302" i="7" s="1"/>
  <c r="EC308" i="7" a="1"/>
  <c r="EC308" i="7" s="1"/>
  <c r="FS312" i="7" a="1"/>
  <c r="FS312" i="7" s="1"/>
  <c r="FY298" i="7" a="1"/>
  <c r="FY298" i="7" s="1"/>
  <c r="FZ291" i="7" a="1"/>
  <c r="FZ291" i="7" s="1"/>
  <c r="FD303" i="7" a="1"/>
  <c r="FD303" i="7" s="1"/>
  <c r="EQ309" i="7" a="1"/>
  <c r="EQ309" i="7" s="1"/>
  <c r="FJ290" i="7" a="1"/>
  <c r="FJ290" i="7" s="1"/>
  <c r="EH312" i="7" a="1"/>
  <c r="EH312" i="7" s="1"/>
  <c r="FO316" i="7" a="1"/>
  <c r="FO316" i="7" s="1"/>
  <c r="ET321" i="7" a="1"/>
  <c r="ET321" i="7" s="1"/>
  <c r="DY324" i="7" a="1"/>
  <c r="DY324" i="7" s="1"/>
  <c r="EO326" i="7" a="1"/>
  <c r="EO326" i="7" s="1"/>
  <c r="FK329" i="7" a="1"/>
  <c r="FK329" i="7" s="1"/>
  <c r="DV333" i="7" a="1"/>
  <c r="DV333" i="7" s="1"/>
  <c r="ER336" i="7" a="1"/>
  <c r="ER336" i="7" s="1"/>
  <c r="FG339" i="7" a="1"/>
  <c r="FG339" i="7" s="1"/>
  <c r="FO315" i="7" a="1"/>
  <c r="FO315" i="7" s="1"/>
  <c r="FS331" i="7" a="1"/>
  <c r="FS331" i="7" s="1"/>
  <c r="FZ342" i="7" a="1"/>
  <c r="FZ342" i="7" s="1"/>
  <c r="FT348" i="7" a="1"/>
  <c r="FT348" i="7" s="1"/>
  <c r="FB353" i="7" a="1"/>
  <c r="FB353" i="7" s="1"/>
  <c r="FR357" i="7" a="1"/>
  <c r="FR357" i="7" s="1"/>
  <c r="FO361" i="7" a="1"/>
  <c r="FO361" i="7" s="1"/>
  <c r="FA363" i="7" a="1"/>
  <c r="FA363" i="7" s="1"/>
  <c r="EF365" i="7" a="1"/>
  <c r="EF365" i="7" s="1"/>
  <c r="FV366" i="7" a="1"/>
  <c r="FV366" i="7" s="1"/>
  <c r="FA368" i="7" a="1"/>
  <c r="FA368" i="7" s="1"/>
  <c r="EF370" i="7" a="1"/>
  <c r="EF370" i="7" s="1"/>
  <c r="FV371" i="7" a="1"/>
  <c r="FV371" i="7" s="1"/>
  <c r="FA373" i="7" a="1"/>
  <c r="FA373" i="7" s="1"/>
  <c r="EF375" i="7" a="1"/>
  <c r="EF375" i="7" s="1"/>
  <c r="FO327" i="7" a="1"/>
  <c r="FO327" i="7" s="1"/>
  <c r="DS339" i="7" a="1"/>
  <c r="DS339" i="7" s="1"/>
  <c r="EP347" i="7" a="1"/>
  <c r="EP347" i="7" s="1"/>
  <c r="FL351" i="7" a="1"/>
  <c r="FL351" i="7" s="1"/>
  <c r="EB356" i="7" a="1"/>
  <c r="EB356" i="7" s="1"/>
  <c r="EN360" i="7" a="1"/>
  <c r="EN360" i="7" s="1"/>
  <c r="ED327" i="7" a="1"/>
  <c r="ED327" i="7" s="1"/>
  <c r="FT339" i="7" a="1"/>
  <c r="FT339" i="7" s="1"/>
  <c r="DU347" i="7" a="1"/>
  <c r="DU347" i="7" s="1"/>
  <c r="EC351" i="7" a="1"/>
  <c r="EC351" i="7" s="1"/>
  <c r="FB355" i="7" a="1"/>
  <c r="FB355" i="7" s="1"/>
  <c r="EB359" i="7" a="1"/>
  <c r="EB359" i="7" s="1"/>
  <c r="EG362" i="7" a="1"/>
  <c r="EG362" i="7" s="1"/>
  <c r="FP363" i="7" a="1"/>
  <c r="FP363" i="7" s="1"/>
  <c r="EN365" i="7" a="1"/>
  <c r="EN365" i="7" s="1"/>
  <c r="FW366" i="7" a="1"/>
  <c r="FW366" i="7" s="1"/>
  <c r="EU368" i="7" a="1"/>
  <c r="EU368" i="7" s="1"/>
  <c r="DS370" i="7" a="1"/>
  <c r="DS370" i="7" s="1"/>
  <c r="FB371" i="7" a="1"/>
  <c r="FB371" i="7" s="1"/>
  <c r="DZ373" i="7" a="1"/>
  <c r="DZ373" i="7" s="1"/>
  <c r="GA265" i="7" a="1"/>
  <c r="GA265" i="7" s="1"/>
  <c r="EI282" i="7" a="1"/>
  <c r="EI282" i="7" s="1"/>
  <c r="EE225" i="7" a="1"/>
  <c r="EE225" i="7" s="1"/>
  <c r="EX276" i="7" a="1"/>
  <c r="EX276" i="7" s="1"/>
  <c r="EF225" i="7" a="1"/>
  <c r="EF225" i="7" s="1"/>
  <c r="FU271" i="7" a="1"/>
  <c r="FU271" i="7" s="1"/>
  <c r="DW268" i="7" a="1"/>
  <c r="DW268" i="7" s="1"/>
  <c r="DW278" i="7" a="1"/>
  <c r="DW278" i="7" s="1"/>
  <c r="DV261" i="7" a="1"/>
  <c r="DV261" i="7" s="1"/>
  <c r="ES275" i="7" a="1"/>
  <c r="ES275" i="7" s="1"/>
  <c r="ED272" i="7" a="1"/>
  <c r="ED272" i="7" s="1"/>
  <c r="FX279" i="7" a="1"/>
  <c r="FX279" i="7" s="1"/>
  <c r="EX261" i="7" a="1"/>
  <c r="EX261" i="7" s="1"/>
  <c r="FD275" i="7" a="1"/>
  <c r="FD275" i="7" s="1"/>
  <c r="EO272" i="7" a="1"/>
  <c r="EO272" i="7" s="1"/>
  <c r="EI271" i="7" a="1"/>
  <c r="EI271" i="7" s="1"/>
  <c r="FM280" i="7" a="1"/>
  <c r="FM280" i="7" s="1"/>
  <c r="ED287" i="7" a="1"/>
  <c r="ED287" i="7" s="1"/>
  <c r="EY299" i="7" a="1"/>
  <c r="EY299" i="7" s="1"/>
  <c r="ER304" i="7" a="1"/>
  <c r="ER304" i="7" s="1"/>
  <c r="ER310" i="7" a="1"/>
  <c r="ER310" i="7" s="1"/>
  <c r="EK315" i="7" a="1"/>
  <c r="EK315" i="7" s="1"/>
  <c r="EK321" i="7" a="1"/>
  <c r="EK321" i="7" s="1"/>
  <c r="FY272" i="7" a="1"/>
  <c r="FY272" i="7" s="1"/>
  <c r="DT295" i="7" a="1"/>
  <c r="DT295" i="7" s="1"/>
  <c r="FZ287" i="7" a="1"/>
  <c r="FZ287" i="7" s="1"/>
  <c r="FU299" i="7" a="1"/>
  <c r="FU299" i="7" s="1"/>
  <c r="FN304" i="7" a="1"/>
  <c r="FN304" i="7" s="1"/>
  <c r="FN310" i="7" a="1"/>
  <c r="FN310" i="7" s="1"/>
  <c r="FG315" i="7" a="1"/>
  <c r="FG315" i="7" s="1"/>
  <c r="FG321" i="7" a="1"/>
  <c r="FG321" i="7" s="1"/>
  <c r="DX288" i="7" a="1"/>
  <c r="DX288" i="7" s="1"/>
  <c r="EL276" i="7" a="1"/>
  <c r="EL276" i="7" s="1"/>
  <c r="EF294" i="7" a="1"/>
  <c r="EF294" i="7" s="1"/>
  <c r="FA302" i="7" a="1"/>
  <c r="FA302" i="7" s="1"/>
  <c r="ET307" i="7" a="1"/>
  <c r="ET307" i="7" s="1"/>
  <c r="FP278" i="7" a="1"/>
  <c r="FP278" i="7" s="1"/>
  <c r="DV295" i="7" a="1"/>
  <c r="DV295" i="7" s="1"/>
  <c r="EO290" i="7" a="1"/>
  <c r="EO290" i="7" s="1"/>
  <c r="FI299" i="7" a="1"/>
  <c r="FI299" i="7" s="1"/>
  <c r="FI305" i="7" a="1"/>
  <c r="FI305" i="7" s="1"/>
  <c r="FB310" i="7" a="1"/>
  <c r="FB310" i="7" s="1"/>
  <c r="DQ282" i="7" a="1"/>
  <c r="DQ282" i="7" s="1"/>
  <c r="FI295" i="7" a="1"/>
  <c r="FI295" i="7" s="1"/>
  <c r="DW291" i="7" a="1"/>
  <c r="DW291" i="7" s="1"/>
  <c r="DT300" i="7" a="1"/>
  <c r="DT300" i="7" s="1"/>
  <c r="DT306" i="7" a="1"/>
  <c r="DT306" i="7" s="1"/>
  <c r="FX310" i="7" a="1"/>
  <c r="FX310" i="7" s="1"/>
  <c r="EW292" i="7" a="1"/>
  <c r="EW292" i="7" s="1"/>
  <c r="FO283" i="7" a="1"/>
  <c r="FO283" i="7" s="1"/>
  <c r="FE255" i="7" a="1"/>
  <c r="FE255" i="7" s="1"/>
  <c r="EU280" i="7" a="1"/>
  <c r="EU280" i="7" s="1"/>
  <c r="FV297" i="7" a="1"/>
  <c r="FV297" i="7" s="1"/>
  <c r="FO313" i="7" a="1"/>
  <c r="FO313" i="7" s="1"/>
  <c r="EJ328" i="7" a="1"/>
  <c r="EJ328" i="7" s="1"/>
  <c r="EP337" i="7" a="1"/>
  <c r="EP337" i="7" s="1"/>
  <c r="ET344" i="7" a="1"/>
  <c r="ET344" i="7" s="1"/>
  <c r="EE351" i="7" a="1"/>
  <c r="EE351" i="7" s="1"/>
  <c r="FN355" i="7" a="1"/>
  <c r="FN355" i="7" s="1"/>
  <c r="EL360" i="7" a="1"/>
  <c r="EL360" i="7" s="1"/>
  <c r="EP314" i="7" a="1"/>
  <c r="EP314" i="7" s="1"/>
  <c r="EF323" i="7" a="1"/>
  <c r="EF323" i="7" s="1"/>
  <c r="FT326" i="7" a="1"/>
  <c r="FT326" i="7" s="1"/>
  <c r="FQ330" i="7" a="1"/>
  <c r="FQ330" i="7" s="1"/>
  <c r="FK335" i="7" a="1"/>
  <c r="FK335" i="7" s="1"/>
  <c r="FH339" i="7" a="1"/>
  <c r="FH339" i="7" s="1"/>
  <c r="FB344" i="7" a="1"/>
  <c r="FB344" i="7" s="1"/>
  <c r="FF348" i="7" a="1"/>
  <c r="FF348" i="7" s="1"/>
  <c r="EB302" i="7" a="1"/>
  <c r="EB302" i="7" s="1"/>
  <c r="FK310" i="7" a="1"/>
  <c r="FK310" i="7" s="1"/>
  <c r="EW318" i="7" a="1"/>
  <c r="EW318" i="7" s="1"/>
  <c r="FR327" i="7" a="1"/>
  <c r="FR327" i="7" s="1"/>
  <c r="FO331" i="7" a="1"/>
  <c r="FO331" i="7" s="1"/>
  <c r="FS335" i="7" a="1"/>
  <c r="FS335" i="7" s="1"/>
  <c r="EQ266" i="7" a="1"/>
  <c r="EQ266" i="7" s="1"/>
  <c r="FH284" i="7" a="1"/>
  <c r="FH284" i="7" s="1"/>
  <c r="EH241" i="7" a="1"/>
  <c r="EH241" i="7" s="1"/>
  <c r="FY277" i="7" a="1"/>
  <c r="FY277" i="7" s="1"/>
  <c r="FK237" i="7" a="1"/>
  <c r="FK237" i="7" s="1"/>
  <c r="FK274" i="7" a="1"/>
  <c r="FK274" i="7" s="1"/>
  <c r="EI268" i="7" a="1"/>
  <c r="EI268" i="7" s="1"/>
  <c r="EX279" i="7" a="1"/>
  <c r="EX279" i="7" s="1"/>
  <c r="ER261" i="7" a="1"/>
  <c r="ER261" i="7" s="1"/>
  <c r="FC281" i="7" a="1"/>
  <c r="FC281" i="7" s="1"/>
  <c r="EN272" i="7" a="1"/>
  <c r="EN272" i="7" s="1"/>
  <c r="EN281" i="7" a="1"/>
  <c r="EN281" i="7" s="1"/>
  <c r="FT261" i="7" a="1"/>
  <c r="FT261" i="7" s="1"/>
  <c r="FS281" i="7" a="1"/>
  <c r="FS281" i="7" s="1"/>
  <c r="FF272" i="7" a="1"/>
  <c r="FF272" i="7" s="1"/>
  <c r="FZ273" i="7" a="1"/>
  <c r="FZ273" i="7" s="1"/>
  <c r="FU280" i="7" a="1"/>
  <c r="FU280" i="7" s="1"/>
  <c r="FV289" i="7" a="1"/>
  <c r="FV289" i="7" s="1"/>
  <c r="FF299" i="7" a="1"/>
  <c r="FF299" i="7" s="1"/>
  <c r="FF305" i="7" a="1"/>
  <c r="FF305" i="7" s="1"/>
  <c r="EY310" i="7" a="1"/>
  <c r="EY310" i="7" s="1"/>
  <c r="EY316" i="7" a="1"/>
  <c r="EY316" i="7" s="1"/>
  <c r="ER321" i="7" a="1"/>
  <c r="ER321" i="7" s="1"/>
  <c r="EV280" i="7" a="1"/>
  <c r="EV280" i="7" s="1"/>
  <c r="EI295" i="7" a="1"/>
  <c r="EI295" i="7" s="1"/>
  <c r="FD290" i="7" a="1"/>
  <c r="FD290" i="7" s="1"/>
  <c r="DQ300" i="7" a="1"/>
  <c r="DQ300" i="7" s="1"/>
  <c r="DQ306" i="7" a="1"/>
  <c r="DQ306" i="7" s="1"/>
  <c r="FU310" i="7" a="1"/>
  <c r="FU310" i="7" s="1"/>
  <c r="FU316" i="7" a="1"/>
  <c r="FU316" i="7" s="1"/>
  <c r="FN321" i="7" a="1"/>
  <c r="FN321" i="7" s="1"/>
  <c r="FW290" i="7" a="1"/>
  <c r="FW290" i="7" s="1"/>
  <c r="FO278" i="7" a="1"/>
  <c r="FO278" i="7" s="1"/>
  <c r="FL296" i="7" a="1"/>
  <c r="FL296" i="7" s="1"/>
  <c r="FH302" i="7" a="1"/>
  <c r="FH302" i="7" s="1"/>
  <c r="FH308" i="7" a="1"/>
  <c r="FH308" i="7" s="1"/>
  <c r="EJ279" i="7" a="1"/>
  <c r="EJ279" i="7" s="1"/>
  <c r="EU297" i="7" a="1"/>
  <c r="EU297" i="7" s="1"/>
  <c r="FG290" i="7" a="1"/>
  <c r="FG290" i="7" s="1"/>
  <c r="FW300" i="7" a="1"/>
  <c r="FW300" i="7" s="1"/>
  <c r="FP305" i="7" a="1"/>
  <c r="FP305" i="7" s="1"/>
  <c r="FP311" i="7" a="1"/>
  <c r="FP311" i="7" s="1"/>
  <c r="FR282" i="7" a="1"/>
  <c r="FR282" i="7" s="1"/>
  <c r="ED298" i="7" a="1"/>
  <c r="ED298" i="7" s="1"/>
  <c r="EF291" i="7" a="1"/>
  <c r="EF291" i="7" s="1"/>
  <c r="EH301" i="7" a="1"/>
  <c r="EH301" i="7" s="1"/>
  <c r="EA306" i="7" a="1"/>
  <c r="EA306" i="7" s="1"/>
  <c r="EE275" i="7" a="1"/>
  <c r="EE275" i="7" s="1"/>
  <c r="FN292" i="7" a="1"/>
  <c r="FN292" i="7" s="1"/>
  <c r="FW287" i="7" a="1"/>
  <c r="FW287" i="7" s="1"/>
  <c r="FF258" i="7" a="1"/>
  <c r="FF258" i="7" s="1"/>
  <c r="DS287" i="7" a="1"/>
  <c r="DS287" i="7" s="1"/>
  <c r="DZ298" i="7" a="1"/>
  <c r="DZ298" i="7" s="1"/>
  <c r="FY313" i="7" a="1"/>
  <c r="FY313" i="7" s="1"/>
  <c r="EY328" i="7" a="1"/>
  <c r="EY328" i="7" s="1"/>
  <c r="FE337" i="7" a="1"/>
  <c r="FE337" i="7" s="1"/>
  <c r="FK346" i="7" a="1"/>
  <c r="FK346" i="7" s="1"/>
  <c r="EL351" i="7" a="1"/>
  <c r="EL351" i="7" s="1"/>
  <c r="FU355" i="7" a="1"/>
  <c r="FU355" i="7" s="1"/>
  <c r="ES360" i="7" a="1"/>
  <c r="ES360" i="7" s="1"/>
  <c r="FQ314" i="7" a="1"/>
  <c r="FQ314" i="7" s="1"/>
  <c r="FU323" i="7" a="1"/>
  <c r="FU323" i="7" s="1"/>
  <c r="DQ327" i="7" a="1"/>
  <c r="DQ327" i="7" s="1"/>
  <c r="DU331" i="7" a="1"/>
  <c r="DU331" i="7" s="1"/>
  <c r="FZ335" i="7" a="1"/>
  <c r="FZ335" i="7" s="1"/>
  <c r="FW339" i="7" a="1"/>
  <c r="FW339" i="7" s="1"/>
  <c r="FQ344" i="7" a="1"/>
  <c r="FQ344" i="7" s="1"/>
  <c r="FN348" i="7" a="1"/>
  <c r="FN348" i="7" s="1"/>
  <c r="EX302" i="7" a="1"/>
  <c r="EX302" i="7" s="1"/>
  <c r="DV311" i="7" a="1"/>
  <c r="DV311" i="7" s="1"/>
  <c r="FX318" i="7" a="1"/>
  <c r="FX318" i="7" s="1"/>
  <c r="DV328" i="7" a="1"/>
  <c r="DV328" i="7" s="1"/>
  <c r="DS332" i="7" a="1"/>
  <c r="DS332" i="7" s="1"/>
  <c r="DW336" i="7" a="1"/>
  <c r="DW336" i="7" s="1"/>
  <c r="FL266" i="7" a="1"/>
  <c r="FL266" i="7" s="1"/>
  <c r="FW284" i="7" a="1"/>
  <c r="FW284" i="7" s="1"/>
  <c r="EP243" i="7" a="1"/>
  <c r="EP243" i="7" s="1"/>
  <c r="DV278" i="7" a="1"/>
  <c r="DV278" i="7" s="1"/>
  <c r="EN241" i="7" a="1"/>
  <c r="EN241" i="7" s="1"/>
  <c r="DQ275" i="7" a="1"/>
  <c r="DQ275" i="7" s="1"/>
  <c r="FN268" i="7" a="1"/>
  <c r="FN268" i="7" s="1"/>
  <c r="FF279" i="7" a="1"/>
  <c r="FF279" i="7" s="1"/>
  <c r="FS261" i="7" a="1"/>
  <c r="FS261" i="7" s="1"/>
  <c r="FR281" i="7" a="1"/>
  <c r="FR281" i="7" s="1"/>
  <c r="FE272" i="7" a="1"/>
  <c r="FE272" i="7" s="1"/>
  <c r="EV281" i="7" a="1"/>
  <c r="EV281" i="7" s="1"/>
  <c r="EJ262" i="7" a="1"/>
  <c r="EJ262" i="7" s="1"/>
  <c r="DW282" i="7" a="1"/>
  <c r="DW282" i="7" s="1"/>
  <c r="FP272" i="7" a="1"/>
  <c r="FP272" i="7" s="1"/>
  <c r="EP274" i="7" a="1"/>
  <c r="EP274" i="7" s="1"/>
  <c r="DS281" i="7" a="1"/>
  <c r="DS281" i="7" s="1"/>
  <c r="EC290" i="7" a="1"/>
  <c r="EC290" i="7" s="1"/>
  <c r="FM299" i="7" a="1"/>
  <c r="FM299" i="7" s="1"/>
  <c r="FM305" i="7" a="1"/>
  <c r="FM305" i="7" s="1"/>
  <c r="FF310" i="7" a="1"/>
  <c r="FF310" i="7" s="1"/>
  <c r="FF316" i="7" a="1"/>
  <c r="FF316" i="7" s="1"/>
  <c r="EY321" i="7" a="1"/>
  <c r="EY321" i="7" s="1"/>
  <c r="GA280" i="7" a="1"/>
  <c r="GA280" i="7" s="1"/>
  <c r="EX295" i="7" a="1"/>
  <c r="EX295" i="7" s="1"/>
  <c r="DT291" i="7" a="1"/>
  <c r="DT291" i="7" s="1"/>
  <c r="DX300" i="7" a="1"/>
  <c r="DX300" i="7" s="1"/>
  <c r="DX306" i="7" a="1"/>
  <c r="DX306" i="7" s="1"/>
  <c r="DQ311" i="7" a="1"/>
  <c r="DQ311" i="7" s="1"/>
  <c r="DQ317" i="7" a="1"/>
  <c r="DQ317" i="7" s="1"/>
  <c r="FU321" i="7" a="1"/>
  <c r="FU321" i="7" s="1"/>
  <c r="EC291" i="7" a="1"/>
  <c r="EC291" i="7" s="1"/>
  <c r="DR281" i="7" a="1"/>
  <c r="DR281" i="7" s="1"/>
  <c r="GA296" i="7" a="1"/>
  <c r="GA296" i="7" s="1"/>
  <c r="FO302" i="7" a="1"/>
  <c r="FO302" i="7" s="1"/>
  <c r="FO308" i="7" a="1"/>
  <c r="FO308" i="7" s="1"/>
  <c r="FJ279" i="7" a="1"/>
  <c r="FJ279" i="7" s="1"/>
  <c r="FJ297" i="7" a="1"/>
  <c r="FJ297" i="7" s="1"/>
  <c r="FP290" i="7" a="1"/>
  <c r="FP290" i="7" s="1"/>
  <c r="DS301" i="7" a="1"/>
  <c r="DS301" i="7" s="1"/>
  <c r="FW305" i="7" a="1"/>
  <c r="FW305" i="7" s="1"/>
  <c r="FW311" i="7" a="1"/>
  <c r="FW311" i="7" s="1"/>
  <c r="EJ283" i="7" a="1"/>
  <c r="EJ283" i="7" s="1"/>
  <c r="ES298" i="7" a="1"/>
  <c r="ES298" i="7" s="1"/>
  <c r="EX291" i="7" a="1"/>
  <c r="EX291" i="7" s="1"/>
  <c r="EO301" i="7" a="1"/>
  <c r="EO301" i="7" s="1"/>
  <c r="EH306" i="7" a="1"/>
  <c r="EH306" i="7" s="1"/>
  <c r="FX275" i="7" a="1"/>
  <c r="FX275" i="7" s="1"/>
  <c r="ED293" i="7" a="1"/>
  <c r="ED293" i="7" s="1"/>
  <c r="EC288" i="7" a="1"/>
  <c r="EC288" i="7" s="1"/>
  <c r="FF264" i="7" a="1"/>
  <c r="FF264" i="7" s="1"/>
  <c r="EM287" i="7" a="1"/>
  <c r="EM287" i="7" s="1"/>
  <c r="EO298" i="7" a="1"/>
  <c r="EO298" i="7" s="1"/>
  <c r="EG314" i="7" a="1"/>
  <c r="EG314" i="7" s="1"/>
  <c r="FG328" i="7" a="1"/>
  <c r="FG328" i="7" s="1"/>
  <c r="FT337" i="7" a="1"/>
  <c r="FT337" i="7" s="1"/>
  <c r="FZ346" i="7" a="1"/>
  <c r="FZ346" i="7" s="1"/>
  <c r="ES352" i="7" a="1"/>
  <c r="ES352" i="7" s="1"/>
  <c r="DQ356" i="7" a="1"/>
  <c r="DQ356" i="7" s="1"/>
  <c r="EZ360" i="7" a="1"/>
  <c r="EZ360" i="7" s="1"/>
  <c r="EG315" i="7" a="1"/>
  <c r="EG315" i="7" s="1"/>
  <c r="DR324" i="7" a="1"/>
  <c r="DR324" i="7" s="1"/>
  <c r="EF327" i="7" a="1"/>
  <c r="EF327" i="7" s="1"/>
  <c r="EU270" i="7" a="1"/>
  <c r="EU270" i="7" s="1"/>
  <c r="EA285" i="7" a="1"/>
  <c r="EA285" i="7" s="1"/>
  <c r="FM268" i="7" a="1"/>
  <c r="FM268" i="7" s="1"/>
  <c r="ED278" i="7" a="1"/>
  <c r="ED278" i="7" s="1"/>
  <c r="GA259" i="7" a="1"/>
  <c r="GA259" i="7" s="1"/>
  <c r="EA275" i="7" a="1"/>
  <c r="EA275" i="7" s="1"/>
  <c r="FW271" i="7" a="1"/>
  <c r="FW271" i="7" s="1"/>
  <c r="FN279" i="7" a="1"/>
  <c r="FN279" i="7" s="1"/>
  <c r="DW266" i="7" a="1"/>
  <c r="DW266" i="7" s="1"/>
  <c r="DV282" i="7" a="1"/>
  <c r="DV282" i="7" s="1"/>
  <c r="EU275" i="7" a="1"/>
  <c r="EU275" i="7" s="1"/>
  <c r="FK281" i="7" a="1"/>
  <c r="FK281" i="7" s="1"/>
  <c r="EY266" i="7" a="1"/>
  <c r="EY266" i="7" s="1"/>
  <c r="EL282" i="7" a="1"/>
  <c r="EL282" i="7" s="1"/>
  <c r="FM275" i="7" a="1"/>
  <c r="FM275" i="7" s="1"/>
  <c r="FG274" i="7" a="1"/>
  <c r="FG274" i="7" s="1"/>
  <c r="DW283" i="7" a="1"/>
  <c r="DW283" i="7" s="1"/>
  <c r="FC290" i="7" a="1"/>
  <c r="FC290" i="7" s="1"/>
  <c r="GA300" i="7" a="1"/>
  <c r="GA300" i="7" s="1"/>
  <c r="FT305" i="7" a="1"/>
  <c r="FT305" i="7" s="1"/>
  <c r="FT311" i="7" a="1"/>
  <c r="FT311" i="7" s="1"/>
  <c r="FM316" i="7" a="1"/>
  <c r="FM316" i="7" s="1"/>
  <c r="FM322" i="7" a="1"/>
  <c r="FM322" i="7" s="1"/>
  <c r="EP281" i="7" a="1"/>
  <c r="EP281" i="7" s="1"/>
  <c r="FW297" i="7" a="1"/>
  <c r="FW297" i="7" s="1"/>
  <c r="EK291" i="7" a="1"/>
  <c r="EK291" i="7" s="1"/>
  <c r="EL301" i="7" a="1"/>
  <c r="EL301" i="7" s="1"/>
  <c r="EE306" i="7" a="1"/>
  <c r="EE306" i="7" s="1"/>
  <c r="EE312" i="7" a="1"/>
  <c r="EE312" i="7" s="1"/>
  <c r="DX317" i="7" a="1"/>
  <c r="DX317" i="7" s="1"/>
  <c r="FU266" i="7" a="1"/>
  <c r="FU266" i="7" s="1"/>
  <c r="FU291" i="7" a="1"/>
  <c r="FU291" i="7" s="1"/>
  <c r="FM286" i="7" a="1"/>
  <c r="FM286" i="7" s="1"/>
  <c r="EE297" i="7" a="1"/>
  <c r="EE297" i="7" s="1"/>
  <c r="DR304" i="7" a="1"/>
  <c r="DR304" i="7" s="1"/>
  <c r="FV308" i="7" a="1"/>
  <c r="FV308" i="7" s="1"/>
  <c r="FX285" i="7" a="1"/>
  <c r="FX285" i="7" s="1"/>
  <c r="FY297" i="7" a="1"/>
  <c r="FY297" i="7" s="1"/>
  <c r="ET293" i="7" a="1"/>
  <c r="ET293" i="7" s="1"/>
  <c r="DZ301" i="7" a="1"/>
  <c r="DZ301" i="7" s="1"/>
  <c r="DZ307" i="7" a="1"/>
  <c r="DZ307" i="7" s="1"/>
  <c r="DS312" i="7" a="1"/>
  <c r="DS312" i="7" s="1"/>
  <c r="FT287" i="7" a="1"/>
  <c r="FT287" i="7" s="1"/>
  <c r="FA298" i="7" a="1"/>
  <c r="FA298" i="7" s="1"/>
  <c r="EH294" i="7" a="1"/>
  <c r="EH294" i="7" s="1"/>
  <c r="EV301" i="7" a="1"/>
  <c r="EV301" i="7" s="1"/>
  <c r="EV307" i="7" a="1"/>
  <c r="EV307" i="7" s="1"/>
  <c r="DX277" i="7" a="1"/>
  <c r="DX277" i="7" s="1"/>
  <c r="FJ295" i="7" a="1"/>
  <c r="FJ295" i="7" s="1"/>
  <c r="FC288" i="7" a="1"/>
  <c r="FC288" i="7" s="1"/>
  <c r="ER283" i="7" a="1"/>
  <c r="ER283" i="7" s="1"/>
  <c r="FP287" i="7" a="1"/>
  <c r="FP287" i="7" s="1"/>
  <c r="EP297" i="7" a="1"/>
  <c r="EP297" i="7" s="1"/>
  <c r="EN317" i="7" a="1"/>
  <c r="EN317" i="7" s="1"/>
  <c r="FV328" i="7" a="1"/>
  <c r="FV328" i="7" s="1"/>
  <c r="DQ338" i="7" a="1"/>
  <c r="DQ338" i="7" s="1"/>
  <c r="ED347" i="7" a="1"/>
  <c r="ED347" i="7" s="1"/>
  <c r="EZ352" i="7" a="1"/>
  <c r="EZ352" i="7" s="1"/>
  <c r="DX357" i="7" a="1"/>
  <c r="DX357" i="7" s="1"/>
  <c r="FG360" i="7" a="1"/>
  <c r="FG360" i="7" s="1"/>
  <c r="EX315" i="7" a="1"/>
  <c r="EX315" i="7" s="1"/>
  <c r="DZ324" i="7" a="1"/>
  <c r="DZ324" i="7" s="1"/>
  <c r="EU327" i="7" a="1"/>
  <c r="EU327" i="7" s="1"/>
  <c r="EO332" i="7" a="1"/>
  <c r="EO332" i="7" s="1"/>
  <c r="EL336" i="7" a="1"/>
  <c r="EL336" i="7" s="1"/>
  <c r="EP340" i="7" a="1"/>
  <c r="EP340" i="7" s="1"/>
  <c r="EJ345" i="7" a="1"/>
  <c r="EJ345" i="7" s="1"/>
  <c r="FV288" i="7" a="1"/>
  <c r="FV288" i="7" s="1"/>
  <c r="FS304" i="7" a="1"/>
  <c r="FS304" i="7" s="1"/>
  <c r="FZ313" i="7" a="1"/>
  <c r="FZ313" i="7" s="1"/>
  <c r="FE319" i="7" a="1"/>
  <c r="FE319" i="7" s="1"/>
  <c r="ES328" i="7" a="1"/>
  <c r="ES328" i="7" s="1"/>
  <c r="EW332" i="7" a="1"/>
  <c r="EW332" i="7" s="1"/>
  <c r="EQ337" i="7" a="1"/>
  <c r="EQ337" i="7" s="1"/>
  <c r="EN341" i="7" a="1"/>
  <c r="EN341" i="7" s="1"/>
  <c r="ER345" i="7" a="1"/>
  <c r="ER345" i="7" s="1"/>
  <c r="FA349" i="7" a="1"/>
  <c r="FA349" i="7" s="1"/>
  <c r="FA351" i="7" a="1"/>
  <c r="FA351" i="7" s="1"/>
  <c r="DR354" i="7" a="1"/>
  <c r="DR354" i="7" s="1"/>
  <c r="FE299" i="7" a="1"/>
  <c r="FE299" i="7" s="1"/>
  <c r="EH315" i="7" a="1"/>
  <c r="EH315" i="7" s="1"/>
  <c r="EC322" i="7" a="1"/>
  <c r="EC322" i="7" s="1"/>
  <c r="EZ324" i="7" a="1"/>
  <c r="EZ324" i="7" s="1"/>
  <c r="FP328" i="7" a="1"/>
  <c r="FP328" i="7" s="1"/>
  <c r="FT332" i="7" a="1"/>
  <c r="FT332" i="7" s="1"/>
  <c r="FQ336" i="7" a="1"/>
  <c r="FQ336" i="7" s="1"/>
  <c r="FK341" i="7" a="1"/>
  <c r="FK341" i="7" s="1"/>
  <c r="FH345" i="7" a="1"/>
  <c r="FH345" i="7" s="1"/>
  <c r="EB304" i="7" a="1"/>
  <c r="EB304" i="7" s="1"/>
  <c r="EB311" i="7" a="1"/>
  <c r="EB311" i="7" s="1"/>
  <c r="EO319" i="7" a="1"/>
  <c r="EO319" i="7" s="1"/>
  <c r="EE328" i="7" a="1"/>
  <c r="EE328" i="7" s="1"/>
  <c r="EI332" i="7" a="1"/>
  <c r="EI332" i="7" s="1"/>
  <c r="EC337" i="7" a="1"/>
  <c r="EC337" i="7" s="1"/>
  <c r="DZ341" i="7" a="1"/>
  <c r="DZ341" i="7" s="1"/>
  <c r="EI300" i="7" a="1"/>
  <c r="EI300" i="7" s="1"/>
  <c r="FA316" i="7" a="1"/>
  <c r="FA316" i="7" s="1"/>
  <c r="EN322" i="7" a="1"/>
  <c r="EN322" i="7" s="1"/>
  <c r="EE325" i="7" a="1"/>
  <c r="EE325" i="7" s="1"/>
  <c r="DU329" i="7" a="1"/>
  <c r="DU329" i="7" s="1"/>
  <c r="DR333" i="7" a="1"/>
  <c r="DR333" i="7" s="1"/>
  <c r="FW337" i="7" a="1"/>
  <c r="FW337" i="7" s="1"/>
  <c r="GA341" i="7" a="1"/>
  <c r="GA341" i="7" s="1"/>
  <c r="ER290" i="7" a="1"/>
  <c r="ER290" i="7" s="1"/>
  <c r="FZ304" i="7" a="1"/>
  <c r="FZ304" i="7" s="1"/>
  <c r="FJ311" i="7" a="1"/>
  <c r="FJ311" i="7" s="1"/>
  <c r="FA317" i="7" a="1"/>
  <c r="FA317" i="7" s="1"/>
  <c r="DV326" i="7" a="1"/>
  <c r="DV326" i="7" s="1"/>
  <c r="GA330" i="7" a="1"/>
  <c r="GA330" i="7" s="1"/>
  <c r="FX334" i="7" a="1"/>
  <c r="FX334" i="7" s="1"/>
  <c r="FU338" i="7" a="1"/>
  <c r="FU338" i="7" s="1"/>
  <c r="FO343" i="7" a="1"/>
  <c r="FO343" i="7" s="1"/>
  <c r="FS347" i="7" a="1"/>
  <c r="FS347" i="7" s="1"/>
  <c r="DS314" i="7" a="1"/>
  <c r="DS314" i="7" s="1"/>
  <c r="FI319" i="7" a="1"/>
  <c r="FI319" i="7" s="1"/>
  <c r="EZ323" i="7" a="1"/>
  <c r="EZ323" i="7" s="1"/>
  <c r="DT327" i="7" a="1"/>
  <c r="DT327" i="7" s="1"/>
  <c r="DQ331" i="7" a="1"/>
  <c r="DQ331" i="7" s="1"/>
  <c r="FV335" i="7" a="1"/>
  <c r="FV335" i="7" s="1"/>
  <c r="FZ339" i="7" a="1"/>
  <c r="FZ339" i="7" s="1"/>
  <c r="FW343" i="7" a="1"/>
  <c r="FW343" i="7" s="1"/>
  <c r="FF297" i="7" a="1"/>
  <c r="FF297" i="7" s="1"/>
  <c r="EP307" i="7" a="1"/>
  <c r="EP307" i="7" s="1"/>
  <c r="EU314" i="7" a="1"/>
  <c r="EU314" i="7" s="1"/>
  <c r="FR319" i="7" a="1"/>
  <c r="FR319" i="7" s="1"/>
  <c r="FN327" i="7" a="1"/>
  <c r="FN327" i="7" s="1"/>
  <c r="EK332" i="7" a="1"/>
  <c r="EK332" i="7" s="1"/>
  <c r="DS336" i="7" a="1"/>
  <c r="DS336" i="7" s="1"/>
  <c r="FS339" i="7" a="1"/>
  <c r="FS339" i="7" s="1"/>
  <c r="DW293" i="7" a="1"/>
  <c r="DW293" i="7" s="1"/>
  <c r="DT315" i="7" a="1"/>
  <c r="DT315" i="7" s="1"/>
  <c r="FJ319" i="7" a="1"/>
  <c r="FJ319" i="7" s="1"/>
  <c r="EB323" i="7" a="1"/>
  <c r="EB323" i="7" s="1"/>
  <c r="DY325" i="7" a="1"/>
  <c r="DY325" i="7" s="1"/>
  <c r="DZ328" i="7" a="1"/>
  <c r="DZ328" i="7" s="1"/>
  <c r="EH291" i="7" a="1"/>
  <c r="EH291" i="7" s="1"/>
  <c r="FY303" i="7" a="1"/>
  <c r="FY303" i="7" s="1"/>
  <c r="FL309" i="7" a="1"/>
  <c r="FL309" i="7" s="1"/>
  <c r="DU314" i="7" a="1"/>
  <c r="DU314" i="7" s="1"/>
  <c r="FL313" i="7" a="1"/>
  <c r="FL313" i="7" s="1"/>
  <c r="FI296" i="7" a="1"/>
  <c r="FI296" i="7" s="1"/>
  <c r="EB305" i="7" a="1"/>
  <c r="EB305" i="7" s="1"/>
  <c r="FZ310" i="7" a="1"/>
  <c r="FZ310" i="7" s="1"/>
  <c r="ED296" i="7" a="1"/>
  <c r="ED296" i="7" s="1"/>
  <c r="EO313" i="7" a="1"/>
  <c r="EO313" i="7" s="1"/>
  <c r="EM318" i="7" a="1"/>
  <c r="EM318" i="7" s="1"/>
  <c r="FI322" i="7" a="1"/>
  <c r="FI322" i="7" s="1"/>
  <c r="FE324" i="7" a="1"/>
  <c r="FE324" i="7" s="1"/>
  <c r="EE327" i="7" a="1"/>
  <c r="EE327" i="7" s="1"/>
  <c r="FA330" i="7" a="1"/>
  <c r="FA330" i="7" s="1"/>
  <c r="FW333" i="7" a="1"/>
  <c r="FW333" i="7" s="1"/>
  <c r="EH337" i="7" a="1"/>
  <c r="EH337" i="7" s="1"/>
  <c r="FD340" i="7" a="1"/>
  <c r="FD340" i="7" s="1"/>
  <c r="ET320" i="7" a="1"/>
  <c r="ET320" i="7" s="1"/>
  <c r="ED335" i="7" a="1"/>
  <c r="ED335" i="7" s="1"/>
  <c r="EN345" i="7" a="1"/>
  <c r="EN345" i="7" s="1"/>
  <c r="EU350" i="7" a="1"/>
  <c r="EU350" i="7" s="1"/>
  <c r="ED355" i="7" a="1"/>
  <c r="ED355" i="7" s="1"/>
  <c r="EA359" i="7" a="1"/>
  <c r="EA359" i="7" s="1"/>
  <c r="EM362" i="7" a="1"/>
  <c r="EM362" i="7" s="1"/>
  <c r="DR364" i="7" a="1"/>
  <c r="DR364" i="7" s="1"/>
  <c r="FH365" i="7" a="1"/>
  <c r="FH365" i="7" s="1"/>
  <c r="EM367" i="7" a="1"/>
  <c r="EM367" i="7" s="1"/>
  <c r="DR369" i="7" a="1"/>
  <c r="DR369" i="7" s="1"/>
  <c r="FH370" i="7" a="1"/>
  <c r="FH370" i="7" s="1"/>
  <c r="EM372" i="7" a="1"/>
  <c r="EM372" i="7" s="1"/>
  <c r="DR374" i="7" a="1"/>
  <c r="DR374" i="7" s="1"/>
  <c r="FH375" i="7" a="1"/>
  <c r="FH375" i="7" s="1"/>
  <c r="DS331" i="7" a="1"/>
  <c r="DS331" i="7" s="1"/>
  <c r="EE343" i="7" a="1"/>
  <c r="EE343" i="7" s="1"/>
  <c r="FL270" i="7" a="1"/>
  <c r="FL270" i="7" s="1"/>
  <c r="EP285" i="7" a="1"/>
  <c r="EP285" i="7" s="1"/>
  <c r="FY268" i="7" a="1"/>
  <c r="FY268" i="7" s="1"/>
  <c r="EL278" i="7" a="1"/>
  <c r="EL278" i="7" s="1"/>
  <c r="GA260" i="7" a="1"/>
  <c r="GA260" i="7" s="1"/>
  <c r="ER275" i="7" a="1"/>
  <c r="ER275" i="7" s="1"/>
  <c r="EC272" i="7" a="1"/>
  <c r="EC272" i="7" s="1"/>
  <c r="FW279" i="7" a="1"/>
  <c r="FW279" i="7" s="1"/>
  <c r="EX266" i="7" a="1"/>
  <c r="EX266" i="7" s="1"/>
  <c r="EK282" i="7" a="1"/>
  <c r="EK282" i="7" s="1"/>
  <c r="FL275" i="7" a="1"/>
  <c r="FL275" i="7" s="1"/>
  <c r="FZ281" i="7" a="1"/>
  <c r="FZ281" i="7" s="1"/>
  <c r="EC267" i="7" a="1"/>
  <c r="EC267" i="7" s="1"/>
  <c r="ET282" i="7" a="1"/>
  <c r="ET282" i="7" s="1"/>
  <c r="FW275" i="7" a="1"/>
  <c r="FW275" i="7" s="1"/>
  <c r="FQ274" i="7" a="1"/>
  <c r="FQ274" i="7" s="1"/>
  <c r="EL283" i="7" a="1"/>
  <c r="EL283" i="7" s="1"/>
  <c r="FT290" i="7" a="1"/>
  <c r="FT290" i="7" s="1"/>
  <c r="DW301" i="7" a="1"/>
  <c r="DW301" i="7" s="1"/>
  <c r="GA305" i="7" a="1"/>
  <c r="GA305" i="7" s="1"/>
  <c r="GA311" i="7" a="1"/>
  <c r="GA311" i="7" s="1"/>
  <c r="FT316" i="7" a="1"/>
  <c r="FT316" i="7" s="1"/>
  <c r="FT322" i="7" a="1"/>
  <c r="FT322" i="7" s="1"/>
  <c r="DV283" i="7" a="1"/>
  <c r="DV283" i="7" s="1"/>
  <c r="EA298" i="7" a="1"/>
  <c r="EA298" i="7" s="1"/>
  <c r="ET291" i="7" a="1"/>
  <c r="ET291" i="7" s="1"/>
  <c r="ES301" i="7" a="1"/>
  <c r="ES301" i="7" s="1"/>
  <c r="EL306" i="7" a="1"/>
  <c r="EL306" i="7" s="1"/>
  <c r="EL312" i="7" a="1"/>
  <c r="EL312" i="7" s="1"/>
  <c r="EE317" i="7" a="1"/>
  <c r="EE317" i="7" s="1"/>
  <c r="EB268" i="7" a="1"/>
  <c r="EB268" i="7" s="1"/>
  <c r="DS292" i="7" a="1"/>
  <c r="DS292" i="7" s="1"/>
  <c r="FW286" i="7" a="1"/>
  <c r="FW286" i="7" s="1"/>
  <c r="EM297" i="7" a="1"/>
  <c r="EM297" i="7" s="1"/>
  <c r="DY304" i="7" a="1"/>
  <c r="DY304" i="7" s="1"/>
  <c r="DR309" i="7" a="1"/>
  <c r="DR309" i="7" s="1"/>
  <c r="EH286" i="7" a="1"/>
  <c r="EH286" i="7" s="1"/>
  <c r="EC298" i="7" a="1"/>
  <c r="EC298" i="7" s="1"/>
  <c r="FK293" i="7" a="1"/>
  <c r="FK293" i="7" s="1"/>
  <c r="EG301" i="7" a="1"/>
  <c r="EG301" i="7" s="1"/>
  <c r="EG307" i="7" a="1"/>
  <c r="EG307" i="7" s="1"/>
  <c r="DZ312" i="7" a="1"/>
  <c r="DZ312" i="7" s="1"/>
  <c r="EJ288" i="7" a="1"/>
  <c r="EJ288" i="7" s="1"/>
  <c r="FP298" i="7" a="1"/>
  <c r="FP298" i="7" s="1"/>
  <c r="EW294" i="7" a="1"/>
  <c r="EW294" i="7" s="1"/>
  <c r="FC301" i="7" a="1"/>
  <c r="FC301" i="7" s="1"/>
  <c r="FC307" i="7" a="1"/>
  <c r="FC307" i="7" s="1"/>
  <c r="FD277" i="7" a="1"/>
  <c r="FD277" i="7" s="1"/>
  <c r="FY295" i="7" a="1"/>
  <c r="FY295" i="7" s="1"/>
  <c r="ED258" i="7" a="1"/>
  <c r="ED258" i="7" s="1"/>
  <c r="FP283" i="7" a="1"/>
  <c r="FP283" i="7" s="1"/>
  <c r="DV288" i="7" a="1"/>
  <c r="DV288" i="7" s="1"/>
  <c r="FU297" i="7" a="1"/>
  <c r="FU297" i="7" s="1"/>
  <c r="FE317" i="7" a="1"/>
  <c r="FE317" i="7" s="1"/>
  <c r="EB331" i="7" a="1"/>
  <c r="EB331" i="7" s="1"/>
  <c r="EF338" i="7" a="1"/>
  <c r="EF338" i="7" s="1"/>
  <c r="EL347" i="7" a="1"/>
  <c r="EL347" i="7" s="1"/>
  <c r="FG352" i="7" a="1"/>
  <c r="FG352" i="7" s="1"/>
  <c r="EE357" i="7" a="1"/>
  <c r="EE357" i="7" s="1"/>
  <c r="FN361" i="7" a="1"/>
  <c r="FN361" i="7" s="1"/>
  <c r="FH315" i="7" a="1"/>
  <c r="FH315" i="7" s="1"/>
  <c r="EP324" i="7" a="1"/>
  <c r="EP324" i="7" s="1"/>
  <c r="FQ313" i="7" a="1"/>
  <c r="FQ313" i="7" s="1"/>
  <c r="FJ344" i="7" a="1"/>
  <c r="FJ344" i="7" s="1"/>
  <c r="FV353" i="7" a="1"/>
  <c r="FV353" i="7" s="1"/>
  <c r="EA324" i="7" a="1"/>
  <c r="EA324" i="7" s="1"/>
  <c r="FB336" i="7" a="1"/>
  <c r="FB336" i="7" s="1"/>
  <c r="FZ309" i="7" a="1"/>
  <c r="FZ309" i="7" s="1"/>
  <c r="DT332" i="7" a="1"/>
  <c r="DT332" i="7" s="1"/>
  <c r="FJ315" i="7" a="1"/>
  <c r="FJ315" i="7" s="1"/>
  <c r="FQ328" i="7" a="1"/>
  <c r="FQ328" i="7" s="1"/>
  <c r="EE345" i="7" a="1"/>
  <c r="EE345" i="7" s="1"/>
  <c r="EQ317" i="7" a="1"/>
  <c r="EQ317" i="7" s="1"/>
  <c r="EI338" i="7" a="1"/>
  <c r="EI338" i="7" s="1"/>
  <c r="FJ313" i="7" a="1"/>
  <c r="FJ313" i="7" s="1"/>
  <c r="EP330" i="7" a="1"/>
  <c r="EP330" i="7" s="1"/>
  <c r="FH343" i="7" a="1"/>
  <c r="FH343" i="7" s="1"/>
  <c r="DZ319" i="7" a="1"/>
  <c r="DZ319" i="7" s="1"/>
  <c r="FO335" i="7" a="1"/>
  <c r="FO335" i="7" s="1"/>
  <c r="FB318" i="7" a="1"/>
  <c r="FB318" i="7" s="1"/>
  <c r="FV327" i="7" a="1"/>
  <c r="FV327" i="7" s="1"/>
  <c r="DV313" i="7" a="1"/>
  <c r="DV313" i="7" s="1"/>
  <c r="FL304" i="7" a="1"/>
  <c r="FL304" i="7" s="1"/>
  <c r="DU317" i="7" a="1"/>
  <c r="DU317" i="7" s="1"/>
  <c r="DW327" i="7" a="1"/>
  <c r="DW327" i="7" s="1"/>
  <c r="FV339" i="7" a="1"/>
  <c r="FV339" i="7" s="1"/>
  <c r="DY345" i="7" a="1"/>
  <c r="DY345" i="7" s="1"/>
  <c r="DR362" i="7" a="1"/>
  <c r="DR362" i="7" s="1"/>
  <c r="EF367" i="7" a="1"/>
  <c r="EF367" i="7" s="1"/>
  <c r="FH373" i="7" a="1"/>
  <c r="FH373" i="7" s="1"/>
  <c r="FW341" i="7" a="1"/>
  <c r="FW341" i="7" s="1"/>
  <c r="EG357" i="7" a="1"/>
  <c r="EG357" i="7" s="1"/>
  <c r="FJ340" i="7" a="1"/>
  <c r="FJ340" i="7" s="1"/>
  <c r="FQ355" i="7" a="1"/>
  <c r="FQ355" i="7" s="1"/>
  <c r="FP362" i="7" a="1"/>
  <c r="FP362" i="7" s="1"/>
  <c r="EN367" i="7" a="1"/>
  <c r="EN367" i="7" s="1"/>
  <c r="FW371" i="7" a="1"/>
  <c r="FW371" i="7" s="1"/>
  <c r="EG375" i="7" a="1"/>
  <c r="EG375" i="7" s="1"/>
  <c r="EM332" i="7" a="1"/>
  <c r="EM332" i="7" s="1"/>
  <c r="EC344" i="7" a="1"/>
  <c r="EC344" i="7" s="1"/>
  <c r="DT353" i="7" a="1"/>
  <c r="DT353" i="7" s="1"/>
  <c r="GA357" i="7" a="1"/>
  <c r="GA357" i="7" s="1"/>
  <c r="FK318" i="7" a="1"/>
  <c r="FK318" i="7" s="1"/>
  <c r="FA341" i="7" a="1"/>
  <c r="FA341" i="7" s="1"/>
  <c r="ES348" i="7" a="1"/>
  <c r="ES348" i="7" s="1"/>
  <c r="EN355" i="7" a="1"/>
  <c r="EN355" i="7" s="1"/>
  <c r="DS360" i="7" a="1"/>
  <c r="DS360" i="7" s="1"/>
  <c r="DT363" i="7" a="1"/>
  <c r="DT363" i="7" s="1"/>
  <c r="EV365" i="7" a="1"/>
  <c r="EV365" i="7" s="1"/>
  <c r="EV367" i="7" a="1"/>
  <c r="EV367" i="7" s="1"/>
  <c r="FX369" i="7" a="1"/>
  <c r="FX369" i="7" s="1"/>
  <c r="EV324" i="7" a="1"/>
  <c r="EV324" i="7" s="1"/>
  <c r="FQ340" i="7" a="1"/>
  <c r="FQ340" i="7" s="1"/>
  <c r="EX349" i="7" a="1"/>
  <c r="EX349" i="7" s="1"/>
  <c r="EG355" i="7" a="1"/>
  <c r="EG355" i="7" s="1"/>
  <c r="FT360" i="7" a="1"/>
  <c r="FT360" i="7" s="1"/>
  <c r="FD331" i="7" a="1"/>
  <c r="FD331" i="7" s="1"/>
  <c r="EV344" i="7" a="1"/>
  <c r="EV344" i="7" s="1"/>
  <c r="FX352" i="7" a="1"/>
  <c r="FX352" i="7" s="1"/>
  <c r="FF357" i="7" a="1"/>
  <c r="FF357" i="7" s="1"/>
  <c r="EW362" i="7" a="1"/>
  <c r="EW362" i="7" s="1"/>
  <c r="EW364" i="7" a="1"/>
  <c r="EW364" i="7" s="1"/>
  <c r="EW366" i="7" a="1"/>
  <c r="EW366" i="7" s="1"/>
  <c r="FY368" i="7" a="1"/>
  <c r="FY368" i="7" s="1"/>
  <c r="FY370" i="7" a="1"/>
  <c r="FY370" i="7" s="1"/>
  <c r="EP373" i="7" a="1"/>
  <c r="EP373" i="7" s="1"/>
  <c r="EP375" i="7" a="1"/>
  <c r="EP375" i="7" s="1"/>
  <c r="EG331" i="7" a="1"/>
  <c r="EG331" i="7" s="1"/>
  <c r="ES346" i="7" a="1"/>
  <c r="ES346" i="7" s="1"/>
  <c r="EX351" i="7" a="1"/>
  <c r="EX351" i="7" s="1"/>
  <c r="FV357" i="7" a="1"/>
  <c r="FV357" i="7" s="1"/>
  <c r="FB319" i="7" a="1"/>
  <c r="FB319" i="7" s="1"/>
  <c r="EI336" i="7" a="1"/>
  <c r="EI336" i="7" s="1"/>
  <c r="FE348" i="7" a="1"/>
  <c r="FE348" i="7" s="1"/>
  <c r="DV354" i="7" a="1"/>
  <c r="DV354" i="7" s="1"/>
  <c r="DU360" i="7" a="1"/>
  <c r="DU360" i="7" s="1"/>
  <c r="DV363" i="7" a="1"/>
  <c r="DV363" i="7" s="1"/>
  <c r="DV365" i="7" a="1"/>
  <c r="DV365" i="7" s="1"/>
  <c r="EX367" i="7" a="1"/>
  <c r="EX367" i="7" s="1"/>
  <c r="EX369" i="7" a="1"/>
  <c r="EX369" i="7" s="1"/>
  <c r="FT325" i="7" a="1"/>
  <c r="FT325" i="7" s="1"/>
  <c r="EA342" i="7" a="1"/>
  <c r="EA342" i="7" s="1"/>
  <c r="EV348" i="7" a="1"/>
  <c r="EV348" i="7" s="1"/>
  <c r="EI355" i="7" a="1"/>
  <c r="EI355" i="7" s="1"/>
  <c r="EQ333" i="7" a="1"/>
  <c r="EQ333" i="7" s="1"/>
  <c r="EK347" i="7" a="1"/>
  <c r="EK347" i="7" s="1"/>
  <c r="FR351" i="7" a="1"/>
  <c r="FR351" i="7" s="1"/>
  <c r="DR321" i="7" a="1"/>
  <c r="DR321" i="7" s="1"/>
  <c r="FN336" i="7" a="1"/>
  <c r="FN336" i="7" s="1"/>
  <c r="EF346" i="7" a="1"/>
  <c r="EF346" i="7" s="1"/>
  <c r="DQ326" i="7" a="1"/>
  <c r="DQ326" i="7" s="1"/>
  <c r="DV338" i="7" a="1"/>
  <c r="DV338" i="7" s="1"/>
  <c r="EA319" i="7" a="1"/>
  <c r="EA319" i="7" s="1"/>
  <c r="EG337" i="7" a="1"/>
  <c r="EG337" i="7" s="1"/>
  <c r="FP345" i="7" a="1"/>
  <c r="FP345" i="7" s="1"/>
  <c r="EB350" i="7" a="1"/>
  <c r="EB350" i="7" s="1"/>
  <c r="FR354" i="7" a="1"/>
  <c r="FR354" i="7" s="1"/>
  <c r="FO358" i="7" a="1"/>
  <c r="FO358" i="7" s="1"/>
  <c r="DV357" i="7" a="1"/>
  <c r="DV357" i="7" s="1"/>
  <c r="DW373" i="7" a="1"/>
  <c r="DW373" i="7" s="1"/>
  <c r="DS349" i="7" a="1"/>
  <c r="DS349" i="7" s="1"/>
  <c r="DQ364" i="7" a="1"/>
  <c r="DQ364" i="7" s="1"/>
  <c r="FT369" i="7" a="1"/>
  <c r="FT369" i="7" s="1"/>
  <c r="EK371" i="7" a="1"/>
  <c r="EK371" i="7" s="1"/>
  <c r="FG374" i="7" a="1"/>
  <c r="FG374" i="7" s="1"/>
  <c r="FW360" i="7" a="1"/>
  <c r="FW360" i="7" s="1"/>
  <c r="EZ367" i="7" a="1"/>
  <c r="EZ367" i="7" s="1"/>
  <c r="FJ372" i="7" a="1"/>
  <c r="FJ372" i="7" s="1"/>
  <c r="FQ375" i="7" a="1"/>
  <c r="FQ375" i="7" s="1"/>
  <c r="EL371" i="7" a="1"/>
  <c r="EL371" i="7" s="1"/>
  <c r="EY370" i="7" a="1"/>
  <c r="EY370" i="7" s="1"/>
  <c r="EZ362" i="7" a="1"/>
  <c r="EZ362" i="7" s="1"/>
  <c r="DQ368" i="7" a="1"/>
  <c r="DQ368" i="7" s="1"/>
  <c r="FL372" i="7" a="1"/>
  <c r="FL372" i="7" s="1"/>
  <c r="FS375" i="7" a="1"/>
  <c r="FS375" i="7" s="1"/>
  <c r="DX371" i="7" a="1"/>
  <c r="DX371" i="7" s="1"/>
  <c r="ER363" i="7" a="1"/>
  <c r="ER363" i="7" s="1"/>
  <c r="FT368" i="7" a="1"/>
  <c r="FT368" i="7" s="1"/>
  <c r="ED373" i="7" a="1"/>
  <c r="ED373" i="7" s="1"/>
  <c r="EY353" i="7" a="1"/>
  <c r="EY353" i="7" s="1"/>
  <c r="FB351" i="7" a="1"/>
  <c r="FB351" i="7" s="1"/>
  <c r="EE364" i="7" a="1"/>
  <c r="EE364" i="7" s="1"/>
  <c r="FG369" i="7" a="1"/>
  <c r="FG369" i="7" s="1"/>
  <c r="FU373" i="7" a="1"/>
  <c r="FU373" i="7" s="1"/>
  <c r="DS356" i="7" a="1"/>
  <c r="DS356" i="7" s="1"/>
  <c r="DT373" i="7" a="1"/>
  <c r="DT373" i="7" s="1"/>
  <c r="EY363" i="7" a="1"/>
  <c r="EY363" i="7" s="1"/>
  <c r="FT365" i="7" a="1"/>
  <c r="FT365" i="7" s="1"/>
  <c r="EX371" i="7" a="1"/>
  <c r="EX371" i="7" s="1"/>
  <c r="FE374" i="7" a="1"/>
  <c r="FE374" i="7" s="1"/>
  <c r="EI358" i="7" a="1"/>
  <c r="EI358" i="7" s="1"/>
  <c r="FU365" i="7" a="1"/>
  <c r="FU365" i="7" s="1"/>
  <c r="EH371" i="7" a="1"/>
  <c r="EH371" i="7" s="1"/>
  <c r="FJ327" i="7" a="1"/>
  <c r="FJ327" i="7" s="1"/>
  <c r="EH314" i="7" a="1"/>
  <c r="EH314" i="7" s="1"/>
  <c r="FY344" i="7" a="1"/>
  <c r="FY344" i="7" s="1"/>
  <c r="DY354" i="7" a="1"/>
  <c r="DY354" i="7" s="1"/>
  <c r="EI324" i="7" a="1"/>
  <c r="EI324" i="7" s="1"/>
  <c r="FV337" i="7" a="1"/>
  <c r="FV337" i="7" s="1"/>
  <c r="EP310" i="7" a="1"/>
  <c r="EP310" i="7" s="1"/>
  <c r="EX332" i="7" a="1"/>
  <c r="EX332" i="7" s="1"/>
  <c r="DZ316" i="7" a="1"/>
  <c r="DZ316" i="7" s="1"/>
  <c r="EJ329" i="7" a="1"/>
  <c r="EJ329" i="7" s="1"/>
  <c r="ET345" i="7" a="1"/>
  <c r="ET345" i="7" s="1"/>
  <c r="FR317" i="7" a="1"/>
  <c r="FR317" i="7" s="1"/>
  <c r="EX338" i="7" a="1"/>
  <c r="EX338" i="7" s="1"/>
  <c r="EB314" i="7" a="1"/>
  <c r="EB314" i="7" s="1"/>
  <c r="FE330" i="7" a="1"/>
  <c r="FE330" i="7" s="1"/>
  <c r="DQ345" i="7" a="1"/>
  <c r="DQ345" i="7" s="1"/>
  <c r="EQ319" i="7" a="1"/>
  <c r="EQ319" i="7" s="1"/>
  <c r="EH336" i="7" a="1"/>
  <c r="EH336" i="7" s="1"/>
  <c r="FS318" i="7" a="1"/>
  <c r="FS318" i="7" s="1"/>
  <c r="EO328" i="7" a="1"/>
  <c r="EO328" i="7" s="1"/>
  <c r="EJ313" i="7" a="1"/>
  <c r="EJ313" i="7" s="1"/>
  <c r="EX305" i="7" a="1"/>
  <c r="EX305" i="7" s="1"/>
  <c r="FW317" i="7" a="1"/>
  <c r="FW317" i="7" s="1"/>
  <c r="ET327" i="7" a="1"/>
  <c r="ET327" i="7" s="1"/>
  <c r="DZ340" i="7" a="1"/>
  <c r="DZ340" i="7" s="1"/>
  <c r="FR345" i="7" a="1"/>
  <c r="FR345" i="7" s="1"/>
  <c r="DY362" i="7" a="1"/>
  <c r="DY362" i="7" s="1"/>
  <c r="ET367" i="7" a="1"/>
  <c r="ET367" i="7" s="1"/>
  <c r="FO373" i="7" a="1"/>
  <c r="FO373" i="7" s="1"/>
  <c r="ET343" i="7" a="1"/>
  <c r="ET343" i="7" s="1"/>
  <c r="EV357" i="7" a="1"/>
  <c r="EV357" i="7" s="1"/>
  <c r="EZ341" i="7" a="1"/>
  <c r="EZ341" i="7" s="1"/>
  <c r="DU356" i="7" a="1"/>
  <c r="DU356" i="7" s="1"/>
  <c r="FW363" i="7" a="1"/>
  <c r="FW363" i="7" s="1"/>
  <c r="EU367" i="7" a="1"/>
  <c r="EU367" i="7" s="1"/>
  <c r="DS372" i="7" a="1"/>
  <c r="DS372" i="7" s="1"/>
  <c r="FP375" i="7" a="1"/>
  <c r="FP375" i="7" s="1"/>
  <c r="FP332" i="7" a="1"/>
  <c r="FP332" i="7" s="1"/>
  <c r="ER344" i="7" a="1"/>
  <c r="ER344" i="7" s="1"/>
  <c r="EK353" i="7" a="1"/>
  <c r="EK353" i="7" s="1"/>
  <c r="EM358" i="7" a="1"/>
  <c r="EM358" i="7" s="1"/>
  <c r="EK327" i="7" a="1"/>
  <c r="EK327" i="7" s="1"/>
  <c r="DS342" i="7" a="1"/>
  <c r="DS342" i="7" s="1"/>
  <c r="FC348" i="7" a="1"/>
  <c r="FC348" i="7" s="1"/>
  <c r="FC355" i="7" a="1"/>
  <c r="FC355" i="7" s="1"/>
  <c r="EH360" i="7" a="1"/>
  <c r="EH360" i="7" s="1"/>
  <c r="FC363" i="7" a="1"/>
  <c r="FC363" i="7" s="1"/>
  <c r="FC365" i="7" a="1"/>
  <c r="FC365" i="7" s="1"/>
  <c r="FC367" i="7" a="1"/>
  <c r="FC367" i="7" s="1"/>
  <c r="DT370" i="7" a="1"/>
  <c r="DT370" i="7" s="1"/>
  <c r="FF325" i="7" a="1"/>
  <c r="FF325" i="7" s="1"/>
  <c r="EV343" i="7" a="1"/>
  <c r="EV343" i="7" s="1"/>
  <c r="FY349" i="7" a="1"/>
  <c r="FY349" i="7" s="1"/>
  <c r="EV355" i="7" a="1"/>
  <c r="EV355" i="7" s="1"/>
  <c r="EF361" i="7" a="1"/>
  <c r="EF361" i="7" s="1"/>
  <c r="DQ332" i="7" a="1"/>
  <c r="DQ332" i="7" s="1"/>
  <c r="FO346" i="7" a="1"/>
  <c r="FO346" i="7" s="1"/>
  <c r="ED353" i="7" a="1"/>
  <c r="ED353" i="7" s="1"/>
  <c r="DR358" i="7" a="1"/>
  <c r="DR358" i="7" s="1"/>
  <c r="FD362" i="7" a="1"/>
  <c r="FD362" i="7" s="1"/>
  <c r="FD364" i="7" a="1"/>
  <c r="FD364" i="7" s="1"/>
  <c r="DU367" i="7" a="1"/>
  <c r="DU367" i="7" s="1"/>
  <c r="DU369" i="7" a="1"/>
  <c r="DU369" i="7" s="1"/>
  <c r="DU371" i="7" a="1"/>
  <c r="DU371" i="7" s="1"/>
  <c r="EW373" i="7" a="1"/>
  <c r="EW373" i="7" s="1"/>
  <c r="EW375" i="7" a="1"/>
  <c r="EW375" i="7" s="1"/>
  <c r="ES335" i="7" a="1"/>
  <c r="ES335" i="7" s="1"/>
  <c r="FE346" i="7" a="1"/>
  <c r="FE346" i="7" s="1"/>
  <c r="FY351" i="7" a="1"/>
  <c r="FY351" i="7" s="1"/>
  <c r="DZ358" i="7" a="1"/>
  <c r="DZ358" i="7" s="1"/>
  <c r="FS320" i="7" a="1"/>
  <c r="FS320" i="7" s="1"/>
  <c r="DR340" i="7" a="1"/>
  <c r="DR340" i="7" s="1"/>
  <c r="FQ348" i="7" a="1"/>
  <c r="FQ348" i="7" s="1"/>
  <c r="EW354" i="7" a="1"/>
  <c r="EW354" i="7" s="1"/>
  <c r="EJ360" i="7" a="1"/>
  <c r="EJ360" i="7" s="1"/>
  <c r="EC363" i="7" a="1"/>
  <c r="EC363" i="7" s="1"/>
  <c r="FE365" i="7" a="1"/>
  <c r="FE365" i="7" s="1"/>
  <c r="FE367" i="7" a="1"/>
  <c r="FE367" i="7" s="1"/>
  <c r="FE369" i="7" a="1"/>
  <c r="FE369" i="7" s="1"/>
  <c r="EZ327" i="7" a="1"/>
  <c r="EZ327" i="7" s="1"/>
  <c r="FD342" i="7" a="1"/>
  <c r="FD342" i="7" s="1"/>
  <c r="DZ350" i="7" a="1"/>
  <c r="DZ350" i="7" s="1"/>
  <c r="EX355" i="7" a="1"/>
  <c r="EX355" i="7" s="1"/>
  <c r="FO333" i="7" a="1"/>
  <c r="FO333" i="7" s="1"/>
  <c r="EW347" i="7" a="1"/>
  <c r="EW347" i="7" s="1"/>
  <c r="EH352" i="7" a="1"/>
  <c r="EH352" i="7" s="1"/>
  <c r="EI322" i="7" a="1"/>
  <c r="EI322" i="7" s="1"/>
  <c r="EF337" i="7" a="1"/>
  <c r="EF337" i="7" s="1"/>
  <c r="FH346" i="7" a="1"/>
  <c r="FH346" i="7" s="1"/>
  <c r="EV326" i="7" a="1"/>
  <c r="EV326" i="7" s="1"/>
  <c r="ET338" i="7" a="1"/>
  <c r="ET338" i="7" s="1"/>
  <c r="DZ321" i="7" a="1"/>
  <c r="DZ321" i="7" s="1"/>
  <c r="FJ337" i="7" a="1"/>
  <c r="FJ337" i="7" s="1"/>
  <c r="DT346" i="7" a="1"/>
  <c r="DT346" i="7" s="1"/>
  <c r="FC350" i="7" a="1"/>
  <c r="FC350" i="7" s="1"/>
  <c r="DV355" i="7" a="1"/>
  <c r="DV355" i="7" s="1"/>
  <c r="DS359" i="7" a="1"/>
  <c r="DS359" i="7" s="1"/>
  <c r="ET357" i="7" a="1"/>
  <c r="ET357" i="7" s="1"/>
  <c r="EK373" i="7" a="1"/>
  <c r="EK373" i="7" s="1"/>
  <c r="DS350" i="7" a="1"/>
  <c r="DS350" i="7" s="1"/>
  <c r="ER364" i="7" a="1"/>
  <c r="ER364" i="7" s="1"/>
  <c r="FF370" i="7" a="1"/>
  <c r="FF370" i="7" s="1"/>
  <c r="EZ371" i="7" a="1"/>
  <c r="EZ371" i="7" s="1"/>
  <c r="FU374" i="7" a="1"/>
  <c r="FU374" i="7" s="1"/>
  <c r="DX362" i="7" a="1"/>
  <c r="DX362" i="7" s="1"/>
  <c r="GA367" i="7" a="1"/>
  <c r="GA367" i="7" s="1"/>
  <c r="FX372" i="7" a="1"/>
  <c r="FX372" i="7" s="1"/>
  <c r="FM362" i="7" a="1"/>
  <c r="FM362" i="7" s="1"/>
  <c r="FZ356" i="7" a="1"/>
  <c r="FZ356" i="7" s="1"/>
  <c r="EX347" i="7" a="1"/>
  <c r="EX347" i="7" s="1"/>
  <c r="GA362" i="7" a="1"/>
  <c r="GA362" i="7" s="1"/>
  <c r="ER368" i="7" a="1"/>
  <c r="ER368" i="7" s="1"/>
  <c r="FZ372" i="7" a="1"/>
  <c r="FZ372" i="7" s="1"/>
  <c r="FH347" i="7" a="1"/>
  <c r="FH347" i="7" s="1"/>
  <c r="EQ371" i="7" a="1"/>
  <c r="EQ371" i="7" s="1"/>
  <c r="FN363" i="7" a="1"/>
  <c r="FN363" i="7" s="1"/>
  <c r="EE369" i="7" a="1"/>
  <c r="EE369" i="7" s="1"/>
  <c r="ER373" i="7" a="1"/>
  <c r="ER373" i="7" s="1"/>
  <c r="DR356" i="7" a="1"/>
  <c r="DR356" i="7" s="1"/>
  <c r="EY354" i="7" a="1"/>
  <c r="EY354" i="7" s="1"/>
  <c r="FF364" i="7" a="1"/>
  <c r="FF364" i="7" s="1"/>
  <c r="DW370" i="7" a="1"/>
  <c r="DW370" i="7" s="1"/>
  <c r="DX374" i="7" a="1"/>
  <c r="DX374" i="7" s="1"/>
  <c r="EB358" i="7" a="1"/>
  <c r="EB358" i="7" s="1"/>
  <c r="EH373" i="7" a="1"/>
  <c r="EH373" i="7" s="1"/>
  <c r="DW365" i="7" a="1"/>
  <c r="DW365" i="7" s="1"/>
  <c r="ER367" i="7" a="1"/>
  <c r="ER367" i="7" s="1"/>
  <c r="FL371" i="7" a="1"/>
  <c r="FL371" i="7" s="1"/>
  <c r="FS374" i="7" a="1"/>
  <c r="FS374" i="7" s="1"/>
  <c r="DY359" i="7" a="1"/>
  <c r="DY359" i="7" s="1"/>
  <c r="EK366" i="7" a="1"/>
  <c r="EK366" i="7" s="1"/>
  <c r="DZ332" i="7" a="1"/>
  <c r="DZ332" i="7" s="1"/>
  <c r="EN319" i="7" a="1"/>
  <c r="EN319" i="7" s="1"/>
  <c r="EC345" i="7" a="1"/>
  <c r="EC345" i="7" s="1"/>
  <c r="DR298" i="7" a="1"/>
  <c r="DR298" i="7" s="1"/>
  <c r="EQ324" i="7" a="1"/>
  <c r="EQ324" i="7" s="1"/>
  <c r="DR341" i="7" a="1"/>
  <c r="DR341" i="7" s="1"/>
  <c r="FL310" i="7" a="1"/>
  <c r="FL310" i="7" s="1"/>
  <c r="FE335" i="7" a="1"/>
  <c r="FE335" i="7" s="1"/>
  <c r="EQ316" i="7" a="1"/>
  <c r="EQ316" i="7" s="1"/>
  <c r="EQ332" i="7" a="1"/>
  <c r="EQ332" i="7" s="1"/>
  <c r="DT289" i="7" a="1"/>
  <c r="DT289" i="7" s="1"/>
  <c r="EF322" i="7" a="1"/>
  <c r="EF322" i="7" s="1"/>
  <c r="FM338" i="7" a="1"/>
  <c r="FM338" i="7" s="1"/>
  <c r="FA318" i="7" a="1"/>
  <c r="FA318" i="7" s="1"/>
  <c r="FT330" i="7" a="1"/>
  <c r="FT330" i="7" s="1"/>
  <c r="FU294" i="7" a="1"/>
  <c r="FU294" i="7" s="1"/>
  <c r="FA319" i="7" a="1"/>
  <c r="FA319" i="7" s="1"/>
  <c r="DZ339" i="7" a="1"/>
  <c r="DZ339" i="7" s="1"/>
  <c r="EI319" i="7" a="1"/>
  <c r="EI319" i="7" s="1"/>
  <c r="FN330" i="7" a="1"/>
  <c r="FN330" i="7" s="1"/>
  <c r="EX313" i="7" a="1"/>
  <c r="EX313" i="7" s="1"/>
  <c r="FR309" i="7" a="1"/>
  <c r="FR309" i="7" s="1"/>
  <c r="EC318" i="7" a="1"/>
  <c r="EC318" i="7" s="1"/>
  <c r="FZ329" i="7" a="1"/>
  <c r="FZ329" i="7" s="1"/>
  <c r="EO340" i="7" a="1"/>
  <c r="EO340" i="7" s="1"/>
  <c r="EC349" i="7" a="1"/>
  <c r="EC349" i="7" s="1"/>
  <c r="EF362" i="7" a="1"/>
  <c r="EF362" i="7" s="1"/>
  <c r="FH368" i="7" a="1"/>
  <c r="FH368" i="7" s="1"/>
  <c r="FV373" i="7" a="1"/>
  <c r="FV373" i="7" s="1"/>
  <c r="EZ347" i="7" a="1"/>
  <c r="EZ347" i="7" s="1"/>
  <c r="FK357" i="7" a="1"/>
  <c r="FK357" i="7" s="1"/>
  <c r="FL342" i="7" a="1"/>
  <c r="FL342" i="7" s="1"/>
  <c r="EJ356" i="7" a="1"/>
  <c r="EJ356" i="7" s="1"/>
  <c r="DS364" i="7" a="1"/>
  <c r="DS364" i="7" s="1"/>
  <c r="FB368" i="7" a="1"/>
  <c r="FB368" i="7" s="1"/>
  <c r="DZ372" i="7" a="1"/>
  <c r="DZ372" i="7" s="1"/>
  <c r="FW375" i="7" a="1"/>
  <c r="FW375" i="7" s="1"/>
  <c r="FS334" i="7" a="1"/>
  <c r="FS334" i="7" s="1"/>
  <c r="DX346" i="7" a="1"/>
  <c r="DX346" i="7" s="1"/>
  <c r="EU353" i="7" a="1"/>
  <c r="EU353" i="7" s="1"/>
  <c r="FB358" i="7" a="1"/>
  <c r="FB358" i="7" s="1"/>
  <c r="DQ329" i="7" a="1"/>
  <c r="DQ329" i="7" s="1"/>
  <c r="FM342" i="7" a="1"/>
  <c r="FM342" i="7" s="1"/>
  <c r="EO349" i="7" a="1"/>
  <c r="EO349" i="7" s="1"/>
  <c r="FR355" i="7" a="1"/>
  <c r="FR355" i="7" s="1"/>
  <c r="EW360" i="7" a="1"/>
  <c r="EW360" i="7" s="1"/>
  <c r="FJ363" i="7" a="1"/>
  <c r="FJ363" i="7" s="1"/>
  <c r="FJ365" i="7" a="1"/>
  <c r="FJ365" i="7" s="1"/>
  <c r="FJ367" i="7" a="1"/>
  <c r="FJ367" i="7" s="1"/>
  <c r="EA370" i="7" a="1"/>
  <c r="EA370" i="7" s="1"/>
  <c r="EL327" i="7" a="1"/>
  <c r="EL327" i="7" s="1"/>
  <c r="FK343" i="7" a="1"/>
  <c r="FK343" i="7" s="1"/>
  <c r="EO350" i="7" a="1"/>
  <c r="EO350" i="7" s="1"/>
  <c r="FK355" i="7" a="1"/>
  <c r="FK355" i="7" s="1"/>
  <c r="EU361" i="7" a="1"/>
  <c r="EU361" i="7" s="1"/>
  <c r="ET332" i="7" a="1"/>
  <c r="ET332" i="7" s="1"/>
  <c r="DY347" i="7" a="1"/>
  <c r="DY347" i="7" s="1"/>
  <c r="EN353" i="7" a="1"/>
  <c r="EN353" i="7" s="1"/>
  <c r="EG358" i="7" a="1"/>
  <c r="EG358" i="7" s="1"/>
  <c r="FK362" i="7" a="1"/>
  <c r="FK362" i="7" s="1"/>
  <c r="FK364" i="7" a="1"/>
  <c r="FK364" i="7" s="1"/>
  <c r="EB367" i="7" a="1"/>
  <c r="EB367" i="7" s="1"/>
  <c r="EB369" i="7" a="1"/>
  <c r="EB369" i="7" s="1"/>
  <c r="EB371" i="7" a="1"/>
  <c r="EB371" i="7" s="1"/>
  <c r="FD373" i="7" a="1"/>
  <c r="FD373" i="7" s="1"/>
  <c r="FD375" i="7" a="1"/>
  <c r="FD375" i="7" s="1"/>
  <c r="FF336" i="7" a="1"/>
  <c r="FF336" i="7" s="1"/>
  <c r="FY346" i="7" a="1"/>
  <c r="FY346" i="7" s="1"/>
  <c r="EO352" i="7" a="1"/>
  <c r="EO352" i="7" s="1"/>
  <c r="EO358" i="7" a="1"/>
  <c r="EO358" i="7" s="1"/>
  <c r="FA321" i="7" a="1"/>
  <c r="FA321" i="7" s="1"/>
  <c r="EU340" i="7" a="1"/>
  <c r="EU340" i="7" s="1"/>
  <c r="DZ349" i="7" a="1"/>
  <c r="DZ349" i="7" s="1"/>
  <c r="FW354" i="7" a="1"/>
  <c r="FW354" i="7" s="1"/>
  <c r="EY360" i="7" a="1"/>
  <c r="EY360" i="7" s="1"/>
  <c r="EJ363" i="7" a="1"/>
  <c r="EJ363" i="7" s="1"/>
  <c r="FL365" i="7" a="1"/>
  <c r="FL365" i="7" s="1"/>
  <c r="FL367" i="7" a="1"/>
  <c r="FL367" i="7" s="1"/>
  <c r="FL369" i="7" a="1"/>
  <c r="FL369" i="7" s="1"/>
  <c r="DT328" i="7" a="1"/>
  <c r="DT328" i="7" s="1"/>
  <c r="DX343" i="7" a="1"/>
  <c r="DX343" i="7" s="1"/>
  <c r="EQ350" i="7" a="1"/>
  <c r="EQ350" i="7" s="1"/>
  <c r="FM355" i="7" a="1"/>
  <c r="FM355" i="7" s="1"/>
  <c r="EG334" i="7" a="1"/>
  <c r="EG334" i="7" s="1"/>
  <c r="FG347" i="7" a="1"/>
  <c r="FG347" i="7" s="1"/>
  <c r="EY352" i="7" a="1"/>
  <c r="EY352" i="7" s="1"/>
  <c r="FX322" i="7" a="1"/>
  <c r="FX322" i="7" s="1"/>
  <c r="FL339" i="7" a="1"/>
  <c r="FL339" i="7" s="1"/>
  <c r="DR347" i="7" a="1"/>
  <c r="DR347" i="7" s="1"/>
  <c r="DV327" i="7" a="1"/>
  <c r="DV327" i="7" s="1"/>
  <c r="FW338" i="7" a="1"/>
  <c r="FW338" i="7" s="1"/>
  <c r="EQ322" i="7" a="1"/>
  <c r="EQ322" i="7" s="1"/>
  <c r="EZ338" i="7" a="1"/>
  <c r="EZ338" i="7" s="1"/>
  <c r="EI346" i="7" a="1"/>
  <c r="EI346" i="7" s="1"/>
  <c r="FT350" i="7" a="1"/>
  <c r="FT350" i="7" s="1"/>
  <c r="EK355" i="7" a="1"/>
  <c r="EK355" i="7" s="1"/>
  <c r="EH359" i="7" a="1"/>
  <c r="EH359" i="7" s="1"/>
  <c r="FW357" i="7" a="1"/>
  <c r="FW357" i="7" s="1"/>
  <c r="EY373" i="7" a="1"/>
  <c r="EY373" i="7" s="1"/>
  <c r="GA352" i="7" a="1"/>
  <c r="GA352" i="7" s="1"/>
  <c r="ED365" i="7" a="1"/>
  <c r="ED365" i="7" s="1"/>
  <c r="DQ371" i="7" a="1"/>
  <c r="DQ371" i="7" s="1"/>
  <c r="FN371" i="7" a="1"/>
  <c r="FN371" i="7" s="1"/>
  <c r="DX375" i="7" a="1"/>
  <c r="DX375" i="7" s="1"/>
  <c r="EY362" i="7" a="1"/>
  <c r="EY362" i="7" s="1"/>
  <c r="EL368" i="7" a="1"/>
  <c r="EL368" i="7" s="1"/>
  <c r="EA373" i="7" a="1"/>
  <c r="EA373" i="7" s="1"/>
  <c r="EN347" i="7" a="1"/>
  <c r="EN347" i="7" s="1"/>
  <c r="FS359" i="7" a="1"/>
  <c r="FS359" i="7" s="1"/>
  <c r="EJ350" i="7" a="1"/>
  <c r="EJ350" i="7" s="1"/>
  <c r="EL363" i="7" a="1"/>
  <c r="EL363" i="7" s="1"/>
  <c r="FN368" i="7" a="1"/>
  <c r="FN368" i="7" s="1"/>
  <c r="EC373" i="7" a="1"/>
  <c r="EC373" i="7" s="1"/>
  <c r="ER350" i="7" a="1"/>
  <c r="ER350" i="7" s="1"/>
  <c r="FK350" i="7" a="1"/>
  <c r="FK350" i="7" s="1"/>
  <c r="ED364" i="7" a="1"/>
  <c r="ED364" i="7" s="1"/>
  <c r="FF369" i="7" a="1"/>
  <c r="FF369" i="7" s="1"/>
  <c r="FF373" i="7" a="1"/>
  <c r="FF373" i="7" s="1"/>
  <c r="FS356" i="7" a="1"/>
  <c r="FS356" i="7" s="1"/>
  <c r="ER355" i="7" a="1"/>
  <c r="ER355" i="7" s="1"/>
  <c r="DQ365" i="7" a="1"/>
  <c r="DQ365" i="7" s="1"/>
  <c r="ES370" i="7" a="1"/>
  <c r="ES370" i="7" s="1"/>
  <c r="EL374" i="7" a="1"/>
  <c r="EL374" i="7" s="1"/>
  <c r="FE358" i="7" a="1"/>
  <c r="FE358" i="7" s="1"/>
  <c r="EV373" i="7" a="1"/>
  <c r="EV373" i="7" s="1"/>
  <c r="EE366" i="7" a="1"/>
  <c r="EE366" i="7" s="1"/>
  <c r="GA368" i="7" a="1"/>
  <c r="GA368" i="7" s="1"/>
  <c r="FZ371" i="7" a="1"/>
  <c r="FZ371" i="7" s="1"/>
  <c r="DV375" i="7" a="1"/>
  <c r="DV375" i="7" s="1"/>
  <c r="EB361" i="7" a="1"/>
  <c r="EB361" i="7" s="1"/>
  <c r="FG366" i="7" a="1"/>
  <c r="FG366" i="7" s="1"/>
  <c r="FD332" i="7" a="1"/>
  <c r="FD332" i="7" s="1"/>
  <c r="EC321" i="7" a="1"/>
  <c r="EC321" i="7" s="1"/>
  <c r="EW346" i="7" a="1"/>
  <c r="EW346" i="7" s="1"/>
  <c r="FC298" i="7" a="1"/>
  <c r="FC298" i="7" s="1"/>
  <c r="FH324" i="7" a="1"/>
  <c r="FH324" i="7" s="1"/>
  <c r="EG341" i="7" a="1"/>
  <c r="EG341" i="7" s="1"/>
  <c r="FR313" i="7" a="1"/>
  <c r="FR313" i="7" s="1"/>
  <c r="FT335" i="7" a="1"/>
  <c r="FT335" i="7" s="1"/>
  <c r="FR316" i="7" a="1"/>
  <c r="FR316" i="7" s="1"/>
  <c r="FF332" i="7" a="1"/>
  <c r="FF332" i="7" s="1"/>
  <c r="EO292" i="7" a="1"/>
  <c r="EO292" i="7" s="1"/>
  <c r="FC325" i="7" a="1"/>
  <c r="FC325" i="7" s="1"/>
  <c r="DV340" i="7" a="1"/>
  <c r="DV340" i="7" s="1"/>
  <c r="FR318" i="7" a="1"/>
  <c r="FR318" i="7" s="1"/>
  <c r="EF331" i="7" a="1"/>
  <c r="EF331" i="7" s="1"/>
  <c r="FA296" i="7" a="1"/>
  <c r="FA296" i="7" s="1"/>
  <c r="EH320" i="7" a="1"/>
  <c r="EH320" i="7" s="1"/>
  <c r="EO339" i="7" a="1"/>
  <c r="EO339" i="7" s="1"/>
  <c r="DZ320" i="7" a="1"/>
  <c r="DZ320" i="7" s="1"/>
  <c r="FD288" i="7" a="1"/>
  <c r="FD288" i="7" s="1"/>
  <c r="FE288" i="7" a="1"/>
  <c r="FE288" i="7" s="1"/>
  <c r="EC310" i="7" a="1"/>
  <c r="EC310" i="7" s="1"/>
  <c r="FD318" i="7" a="1"/>
  <c r="FD318" i="7" s="1"/>
  <c r="ED330" i="7" a="1"/>
  <c r="ED330" i="7" s="1"/>
  <c r="FS340" i="7" a="1"/>
  <c r="FS340" i="7" s="1"/>
  <c r="FD349" i="7" a="1"/>
  <c r="FD349" i="7" s="1"/>
  <c r="ET362" i="7" a="1"/>
  <c r="ET362" i="7" s="1"/>
  <c r="FO368" i="7" a="1"/>
  <c r="FO368" i="7" s="1"/>
  <c r="DY374" i="7" a="1"/>
  <c r="DY374" i="7" s="1"/>
  <c r="FK347" i="7" a="1"/>
  <c r="FK347" i="7" s="1"/>
  <c r="FC360" i="7" a="1"/>
  <c r="FC360" i="7" s="1"/>
  <c r="GA342" i="7" a="1"/>
  <c r="GA342" i="7" s="1"/>
  <c r="EY356" i="7" a="1"/>
  <c r="EY356" i="7" s="1"/>
  <c r="DZ364" i="7" a="1"/>
  <c r="DZ364" i="7" s="1"/>
  <c r="FI368" i="7" a="1"/>
  <c r="FI368" i="7" s="1"/>
  <c r="EG373" i="7" a="1"/>
  <c r="EG373" i="7" s="1"/>
  <c r="FX313" i="7" a="1"/>
  <c r="FX313" i="7" s="1"/>
  <c r="EK335" i="7" a="1"/>
  <c r="EK335" i="7" s="1"/>
  <c r="EG348" i="7" a="1"/>
  <c r="EG348" i="7" s="1"/>
  <c r="FL353" i="7" a="1"/>
  <c r="FL353" i="7" s="1"/>
  <c r="FQ358" i="7" a="1"/>
  <c r="FQ358" i="7" s="1"/>
  <c r="FB329" i="7" a="1"/>
  <c r="FB329" i="7" s="1"/>
  <c r="ES344" i="7" a="1"/>
  <c r="ES344" i="7" s="1"/>
  <c r="FX350" i="7" a="1"/>
  <c r="FX350" i="7" s="1"/>
  <c r="DV356" i="7" a="1"/>
  <c r="DV356" i="7" s="1"/>
  <c r="FL360" i="7" a="1"/>
  <c r="FL360" i="7" s="1"/>
  <c r="FQ363" i="7" a="1"/>
  <c r="FQ363" i="7" s="1"/>
  <c r="FQ365" i="7" a="1"/>
  <c r="FQ365" i="7" s="1"/>
  <c r="EH368" i="7" a="1"/>
  <c r="EH368" i="7" s="1"/>
  <c r="EH370" i="7" a="1"/>
  <c r="EH370" i="7" s="1"/>
  <c r="FW327" i="7" a="1"/>
  <c r="FW327" i="7" s="1"/>
  <c r="FZ343" i="7" a="1"/>
  <c r="FZ343" i="7" s="1"/>
  <c r="FF350" i="7" a="1"/>
  <c r="FF350" i="7" s="1"/>
  <c r="DT357" i="7" a="1"/>
  <c r="DT357" i="7" s="1"/>
  <c r="FJ361" i="7" a="1"/>
  <c r="FJ361" i="7" s="1"/>
  <c r="EW334" i="7" a="1"/>
  <c r="EW334" i="7" s="1"/>
  <c r="EI347" i="7" a="1"/>
  <c r="EI347" i="7" s="1"/>
  <c r="FE353" i="7" a="1"/>
  <c r="FE353" i="7" s="1"/>
  <c r="FA359" i="7" a="1"/>
  <c r="FA359" i="7" s="1"/>
  <c r="FR362" i="7" a="1"/>
  <c r="FR362" i="7" s="1"/>
  <c r="FR364" i="7" a="1"/>
  <c r="FR364" i="7" s="1"/>
  <c r="EI367" i="7" a="1"/>
  <c r="EI367" i="7" s="1"/>
  <c r="EI369" i="7" a="1"/>
  <c r="EI369" i="7" s="1"/>
  <c r="FK371" i="7" a="1"/>
  <c r="FK371" i="7" s="1"/>
  <c r="FK373" i="7" a="1"/>
  <c r="FK373" i="7" s="1"/>
  <c r="FK375" i="7" a="1"/>
  <c r="FK375" i="7" s="1"/>
  <c r="EV337" i="7" a="1"/>
  <c r="EV337" i="7" s="1"/>
  <c r="EU347" i="7" a="1"/>
  <c r="EU347" i="7" s="1"/>
  <c r="FX353" i="7" a="1"/>
  <c r="FX353" i="7" s="1"/>
  <c r="FD358" i="7" a="1"/>
  <c r="FD358" i="7" s="1"/>
  <c r="FP322" i="7" a="1"/>
  <c r="FP322" i="7" s="1"/>
  <c r="EX342" i="7" a="1"/>
  <c r="EX342" i="7" s="1"/>
  <c r="EQ349" i="7" a="1"/>
  <c r="EQ349" i="7" s="1"/>
  <c r="EF356" i="7" a="1"/>
  <c r="EF356" i="7" s="1"/>
  <c r="FV360" i="7" a="1"/>
  <c r="FV360" i="7" s="1"/>
  <c r="EQ363" i="7" a="1"/>
  <c r="EQ363" i="7" s="1"/>
  <c r="FS365" i="7" a="1"/>
  <c r="FS365" i="7" s="1"/>
  <c r="FS367" i="7" a="1"/>
  <c r="FS367" i="7" s="1"/>
  <c r="EJ370" i="7" a="1"/>
  <c r="EJ370" i="7" s="1"/>
  <c r="FE328" i="7" a="1"/>
  <c r="FE328" i="7" s="1"/>
  <c r="EM343" i="7" a="1"/>
  <c r="EM343" i="7" s="1"/>
  <c r="FR350" i="7" a="1"/>
  <c r="FR350" i="7" s="1"/>
  <c r="DY356" i="7" a="1"/>
  <c r="DY356" i="7" s="1"/>
  <c r="ES338" i="7" a="1"/>
  <c r="ES338" i="7" s="1"/>
  <c r="FR347" i="7" a="1"/>
  <c r="FR347" i="7" s="1"/>
  <c r="FI352" i="7" a="1"/>
  <c r="FI352" i="7" s="1"/>
  <c r="FA327" i="7" a="1"/>
  <c r="FA327" i="7" s="1"/>
  <c r="DY340" i="7" a="1"/>
  <c r="DY340" i="7" s="1"/>
  <c r="EB347" i="7" a="1"/>
  <c r="EB347" i="7" s="1"/>
  <c r="EM329" i="7" a="1"/>
  <c r="EM329" i="7" s="1"/>
  <c r="FZ340" i="7" a="1"/>
  <c r="FZ340" i="7" s="1"/>
  <c r="EF324" i="7" a="1"/>
  <c r="EF324" i="7" s="1"/>
  <c r="FM339" i="7" a="1"/>
  <c r="FM339" i="7" s="1"/>
  <c r="FI346" i="7" a="1"/>
  <c r="FI346" i="7" s="1"/>
  <c r="DS351" i="7" a="1"/>
  <c r="DS351" i="7" s="1"/>
  <c r="FH355" i="7" a="1"/>
  <c r="FH355" i="7" s="1"/>
  <c r="EW359" i="7" a="1"/>
  <c r="EW359" i="7" s="1"/>
  <c r="FZ359" i="7" a="1"/>
  <c r="FZ359" i="7" s="1"/>
  <c r="FM373" i="7" a="1"/>
  <c r="FM373" i="7" s="1"/>
  <c r="EG356" i="7" a="1"/>
  <c r="EG356" i="7" s="1"/>
  <c r="EZ365" i="7" a="1"/>
  <c r="EZ365" i="7" s="1"/>
  <c r="FP357" i="7" a="1"/>
  <c r="FP357" i="7" s="1"/>
  <c r="DQ372" i="7" a="1"/>
  <c r="DQ372" i="7" s="1"/>
  <c r="EL375" i="7" a="1"/>
  <c r="EL375" i="7" s="1"/>
  <c r="FU362" i="7" a="1"/>
  <c r="FU362" i="7" s="1"/>
  <c r="FM368" i="7" a="1"/>
  <c r="FM368" i="7" s="1"/>
  <c r="EO373" i="7" a="1"/>
  <c r="EO373" i="7" s="1"/>
  <c r="EJ349" i="7" a="1"/>
  <c r="EJ349" i="7" s="1"/>
  <c r="FI360" i="7" a="1"/>
  <c r="FI360" i="7" s="1"/>
  <c r="EI352" i="7" a="1"/>
  <c r="EI352" i="7" s="1"/>
  <c r="FM363" i="7" a="1"/>
  <c r="FM363" i="7" s="1"/>
  <c r="ED369" i="7" a="1"/>
  <c r="ED369" i="7" s="1"/>
  <c r="EQ373" i="7" a="1"/>
  <c r="EQ373" i="7" s="1"/>
  <c r="EQ352" i="7" a="1"/>
  <c r="EQ352" i="7" s="1"/>
  <c r="ER351" i="7" a="1"/>
  <c r="ER351" i="7" s="1"/>
  <c r="EZ364" i="7" a="1"/>
  <c r="EZ364" i="7" s="1"/>
  <c r="DQ370" i="7" a="1"/>
  <c r="DQ370" i="7" s="1"/>
  <c r="FT373" i="7" a="1"/>
  <c r="FT373" i="7" s="1"/>
  <c r="EK357" i="7" a="1"/>
  <c r="EK357" i="7" s="1"/>
  <c r="EV356" i="7" a="1"/>
  <c r="EV356" i="7" s="1"/>
  <c r="ER365" i="7" a="1"/>
  <c r="ER365" i="7" s="1"/>
  <c r="FT370" i="7" a="1"/>
  <c r="FT370" i="7" s="1"/>
  <c r="EZ374" i="7" a="1"/>
  <c r="EZ374" i="7" s="1"/>
  <c r="DR359" i="7" a="1"/>
  <c r="DR359" i="7" s="1"/>
  <c r="FJ373" i="7" a="1"/>
  <c r="FJ373" i="7" s="1"/>
  <c r="FN367" i="7" a="1"/>
  <c r="FN367" i="7" s="1"/>
  <c r="FU370" i="7" a="1"/>
  <c r="FU370" i="7" s="1"/>
  <c r="EC372" i="7" a="1"/>
  <c r="EC372" i="7" s="1"/>
  <c r="EJ375" i="7" a="1"/>
  <c r="EJ375" i="7" s="1"/>
  <c r="FE361" i="7" a="1"/>
  <c r="FE361" i="7" s="1"/>
  <c r="DW367" i="7" a="1"/>
  <c r="DW367" i="7" s="1"/>
  <c r="ED336" i="7" a="1"/>
  <c r="ED336" i="7" s="1"/>
  <c r="EK328" i="7" a="1"/>
  <c r="EK328" i="7" s="1"/>
  <c r="EF349" i="7" a="1"/>
  <c r="EF349" i="7" s="1"/>
  <c r="EB299" i="7" a="1"/>
  <c r="EB299" i="7" s="1"/>
  <c r="EG327" i="7" a="1"/>
  <c r="EG327" i="7" s="1"/>
  <c r="EV341" i="7" a="1"/>
  <c r="EV341" i="7" s="1"/>
  <c r="EX318" i="7" a="1"/>
  <c r="EX318" i="7" s="1"/>
  <c r="FY336" i="7" a="1"/>
  <c r="FY336" i="7" s="1"/>
  <c r="EF321" i="7" a="1"/>
  <c r="EF321" i="7" s="1"/>
  <c r="FN332" i="7" a="1"/>
  <c r="FN332" i="7" s="1"/>
  <c r="FR303" i="7" a="1"/>
  <c r="FR303" i="7" s="1"/>
  <c r="FR325" i="7" a="1"/>
  <c r="FR325" i="7" s="1"/>
  <c r="EC343" i="7" a="1"/>
  <c r="EC343" i="7" s="1"/>
  <c r="EH319" i="7" a="1"/>
  <c r="EH319" i="7" s="1"/>
  <c r="EM334" i="7" a="1"/>
  <c r="EM334" i="7" s="1"/>
  <c r="EA297" i="7" a="1"/>
  <c r="EA297" i="7" s="1"/>
  <c r="EB327" i="7" a="1"/>
  <c r="EB327" i="7" s="1"/>
  <c r="FD339" i="7" a="1"/>
  <c r="FD339" i="7" s="1"/>
  <c r="FG322" i="7" a="1"/>
  <c r="FG322" i="7" s="1"/>
  <c r="EJ289" i="7" a="1"/>
  <c r="EJ289" i="7" s="1"/>
  <c r="EQ299" i="7" a="1"/>
  <c r="EQ299" i="7" s="1"/>
  <c r="FD310" i="7" a="1"/>
  <c r="FD310" i="7" s="1"/>
  <c r="EA322" i="7" a="1"/>
  <c r="EA322" i="7" s="1"/>
  <c r="EL330" i="7" a="1"/>
  <c r="EL330" i="7" s="1"/>
  <c r="EV316" i="7" a="1"/>
  <c r="EV316" i="7" s="1"/>
  <c r="DT350" i="7" a="1"/>
  <c r="DT350" i="7" s="1"/>
  <c r="FH363" i="7" a="1"/>
  <c r="FH363" i="7" s="1"/>
  <c r="FV368" i="7" a="1"/>
  <c r="FV368" i="7" s="1"/>
  <c r="EM375" i="7" a="1"/>
  <c r="EM375" i="7" s="1"/>
  <c r="FA348" i="7" a="1"/>
  <c r="FA348" i="7" s="1"/>
  <c r="FR360" i="7" a="1"/>
  <c r="FR360" i="7" s="1"/>
  <c r="FL347" i="7" a="1"/>
  <c r="FL347" i="7" s="1"/>
  <c r="FV356" i="7" a="1"/>
  <c r="FV356" i="7" s="1"/>
  <c r="EG364" i="7" a="1"/>
  <c r="EG364" i="7" s="1"/>
  <c r="FP368" i="7" a="1"/>
  <c r="FP368" i="7" s="1"/>
  <c r="EN373" i="7" a="1"/>
  <c r="EN373" i="7" s="1"/>
  <c r="DT316" i="7" a="1"/>
  <c r="DT316" i="7" s="1"/>
  <c r="FI335" i="7" a="1"/>
  <c r="FI335" i="7" s="1"/>
  <c r="ER348" i="7" a="1"/>
  <c r="ER348" i="7" s="1"/>
  <c r="EB354" i="7" a="1"/>
  <c r="EB354" i="7" s="1"/>
  <c r="DU359" i="7" a="1"/>
  <c r="DU359" i="7" s="1"/>
  <c r="DV330" i="7" a="1"/>
  <c r="DV330" i="7" s="1"/>
  <c r="FH344" i="7" a="1"/>
  <c r="FH344" i="7" s="1"/>
  <c r="ED351" i="7" a="1"/>
  <c r="ED351" i="7" s="1"/>
  <c r="EK356" i="7" a="1"/>
  <c r="EK356" i="7" s="1"/>
  <c r="GA360" i="7" a="1"/>
  <c r="GA360" i="7" s="1"/>
  <c r="FX363" i="7" a="1"/>
  <c r="FX363" i="7" s="1"/>
  <c r="FX365" i="7" a="1"/>
  <c r="FX365" i="7" s="1"/>
  <c r="EO368" i="7" a="1"/>
  <c r="EO368" i="7" s="1"/>
  <c r="EO370" i="7" a="1"/>
  <c r="EO370" i="7" s="1"/>
  <c r="EW328" i="7" a="1"/>
  <c r="EW328" i="7" s="1"/>
  <c r="ED344" i="7" a="1"/>
  <c r="ED344" i="7" s="1"/>
  <c r="FP350" i="7" a="1"/>
  <c r="FP350" i="7" s="1"/>
  <c r="EI357" i="7" a="1"/>
  <c r="EI357" i="7" s="1"/>
  <c r="EF314" i="7" a="1"/>
  <c r="EF314" i="7" s="1"/>
  <c r="FZ334" i="7" a="1"/>
  <c r="FZ334" i="7" s="1"/>
  <c r="ES347" i="7" a="1"/>
  <c r="ES347" i="7" s="1"/>
  <c r="DU354" i="7" a="1"/>
  <c r="DU354" i="7" s="1"/>
  <c r="FP359" i="7" a="1"/>
  <c r="FP359" i="7" s="1"/>
  <c r="FY362" i="7" a="1"/>
  <c r="FY362" i="7" s="1"/>
  <c r="FY364" i="7" a="1"/>
  <c r="FY364" i="7" s="1"/>
  <c r="EP367" i="7" a="1"/>
  <c r="EP367" i="7" s="1"/>
  <c r="EP369" i="7" a="1"/>
  <c r="EP369" i="7" s="1"/>
  <c r="FR371" i="7" a="1"/>
  <c r="FR371" i="7" s="1"/>
  <c r="FR373" i="7" a="1"/>
  <c r="FR373" i="7" s="1"/>
  <c r="FR375" i="7" a="1"/>
  <c r="FR375" i="7" s="1"/>
  <c r="FY337" i="7" a="1"/>
  <c r="FY337" i="7" s="1"/>
  <c r="FE347" i="7" a="1"/>
  <c r="FE347" i="7" s="1"/>
  <c r="ED354" i="7" a="1"/>
  <c r="ED354" i="7" s="1"/>
  <c r="FS358" i="7" a="1"/>
  <c r="FS358" i="7" s="1"/>
  <c r="FD324" i="7" a="1"/>
  <c r="FD324" i="7" s="1"/>
  <c r="FS342" i="7" a="1"/>
  <c r="FS342" i="7" s="1"/>
  <c r="FR349" i="7" a="1"/>
  <c r="FR349" i="7" s="1"/>
  <c r="EU356" i="7" a="1"/>
  <c r="EU356" i="7" s="1"/>
  <c r="DZ361" i="7" a="1"/>
  <c r="DZ361" i="7" s="1"/>
  <c r="EX363" i="7" a="1"/>
  <c r="EX363" i="7" s="1"/>
  <c r="FZ365" i="7" a="1"/>
  <c r="FZ365" i="7" s="1"/>
  <c r="FZ367" i="7" a="1"/>
  <c r="FZ367" i="7" s="1"/>
  <c r="EQ370" i="7" a="1"/>
  <c r="EQ370" i="7" s="1"/>
  <c r="EH331" i="7" a="1"/>
  <c r="EH331" i="7" s="1"/>
  <c r="FB343" i="7" a="1"/>
  <c r="FB343" i="7" s="1"/>
  <c r="EH351" i="7" a="1"/>
  <c r="EH351" i="7" s="1"/>
  <c r="EW314" i="7" a="1"/>
  <c r="EW314" i="7" s="1"/>
  <c r="FF339" i="7" a="1"/>
  <c r="FF339" i="7" s="1"/>
  <c r="EA348" i="7" a="1"/>
  <c r="EA348" i="7" s="1"/>
  <c r="FZ352" i="7" a="1"/>
  <c r="FZ352" i="7" s="1"/>
  <c r="EA328" i="7" a="1"/>
  <c r="EA328" i="7" s="1"/>
  <c r="FB340" i="7" a="1"/>
  <c r="FB340" i="7" s="1"/>
  <c r="DR348" i="7" a="1"/>
  <c r="DR348" i="7" s="1"/>
  <c r="FR329" i="7" a="1"/>
  <c r="FR329" i="7" s="1"/>
  <c r="ER341" i="7" a="1"/>
  <c r="ER341" i="7" s="1"/>
  <c r="FH327" i="7" a="1"/>
  <c r="FH327" i="7" s="1"/>
  <c r="FC340" i="7" a="1"/>
  <c r="FC340" i="7" s="1"/>
  <c r="FT346" i="7" a="1"/>
  <c r="FT346" i="7" s="1"/>
  <c r="EJ351" i="7" a="1"/>
  <c r="EJ351" i="7" s="1"/>
  <c r="FW355" i="7" a="1"/>
  <c r="FW355" i="7" s="1"/>
  <c r="FL359" i="7" a="1"/>
  <c r="FL359" i="7" s="1"/>
  <c r="ER360" i="7" a="1"/>
  <c r="ER360" i="7" s="1"/>
  <c r="ED374" i="7" a="1"/>
  <c r="ED374" i="7" s="1"/>
  <c r="EJ358" i="7" a="1"/>
  <c r="EJ358" i="7" s="1"/>
  <c r="GA365" i="7" a="1"/>
  <c r="GA365" i="7" s="1"/>
  <c r="DS347" i="7" a="1"/>
  <c r="DS347" i="7" s="1"/>
  <c r="EE372" i="7" a="1"/>
  <c r="EE372" i="7" s="1"/>
  <c r="EZ375" i="7" a="1"/>
  <c r="EZ375" i="7" s="1"/>
  <c r="EK363" i="7" a="1"/>
  <c r="EK363" i="7" s="1"/>
  <c r="DX369" i="7" a="1"/>
  <c r="DX369" i="7" s="1"/>
  <c r="FC373" i="7" a="1"/>
  <c r="FC373" i="7" s="1"/>
  <c r="EI351" i="7" a="1"/>
  <c r="EI351" i="7" s="1"/>
  <c r="EA361" i="7" a="1"/>
  <c r="EA361" i="7" s="1"/>
  <c r="EH354" i="7" a="1"/>
  <c r="EH354" i="7" s="1"/>
  <c r="DX364" i="7" a="1"/>
  <c r="DX364" i="7" s="1"/>
  <c r="EZ369" i="7" a="1"/>
  <c r="EZ369" i="7" s="1"/>
  <c r="FE373" i="7" a="1"/>
  <c r="FE373" i="7" s="1"/>
  <c r="EP354" i="7" a="1"/>
  <c r="EP354" i="7" s="1"/>
  <c r="EQ353" i="7" a="1"/>
  <c r="EQ353" i="7" s="1"/>
  <c r="GA364" i="7" a="1"/>
  <c r="GA364" i="7" s="1"/>
  <c r="ER370" i="7" a="1"/>
  <c r="ER370" i="7" s="1"/>
  <c r="DW374" i="7" a="1"/>
  <c r="DW374" i="7" s="1"/>
  <c r="FI357" i="7" a="1"/>
  <c r="FI357" i="7" s="1"/>
  <c r="EY358" i="7" a="1"/>
  <c r="EY358" i="7" s="1"/>
  <c r="FN365" i="7" a="1"/>
  <c r="FN365" i="7" s="1"/>
  <c r="FG371" i="7" a="1"/>
  <c r="FG371" i="7" s="1"/>
  <c r="FN374" i="7" a="1"/>
  <c r="FN374" i="7" s="1"/>
  <c r="EU359" i="7" a="1"/>
  <c r="EU359" i="7" s="1"/>
  <c r="FX373" i="7" a="1"/>
  <c r="FX373" i="7" s="1"/>
  <c r="EL369" i="7" a="1"/>
  <c r="EL369" i="7" s="1"/>
  <c r="FS350" i="7" a="1"/>
  <c r="FS350" i="7" s="1"/>
  <c r="EQ372" i="7" a="1"/>
  <c r="EQ372" i="7" s="1"/>
  <c r="EX375" i="7" a="1"/>
  <c r="EX375" i="7" s="1"/>
  <c r="DQ362" i="7" a="1"/>
  <c r="DQ362" i="7" s="1"/>
  <c r="ES367" i="7" a="1"/>
  <c r="ES367" i="7" s="1"/>
  <c r="FA336" i="7" a="1"/>
  <c r="FA336" i="7" s="1"/>
  <c r="FH328" i="7" a="1"/>
  <c r="FH328" i="7" s="1"/>
  <c r="EM349" i="7" a="1"/>
  <c r="EM349" i="7" s="1"/>
  <c r="FK300" i="7" a="1"/>
  <c r="FK300" i="7" s="1"/>
  <c r="EV327" i="7" a="1"/>
  <c r="EV327" i="7" s="1"/>
  <c r="FZ341" i="7" a="1"/>
  <c r="FZ341" i="7" s="1"/>
  <c r="FH318" i="7" a="1"/>
  <c r="FH318" i="7" s="1"/>
  <c r="ER337" i="7" a="1"/>
  <c r="ER337" i="7" s="1"/>
  <c r="EW321" i="7" a="1"/>
  <c r="EW321" i="7" s="1"/>
  <c r="ED334" i="7" a="1"/>
  <c r="ED334" i="7" s="1"/>
  <c r="EC304" i="7" a="1"/>
  <c r="EC304" i="7" s="1"/>
  <c r="EK326" i="7" a="1"/>
  <c r="EK326" i="7" s="1"/>
  <c r="ER343" i="7" a="1"/>
  <c r="ER343" i="7" s="1"/>
  <c r="FZ319" i="7" a="1"/>
  <c r="FZ319" i="7" s="1"/>
  <c r="FB334" i="7" a="1"/>
  <c r="FB334" i="7" s="1"/>
  <c r="EJ299" i="7" a="1"/>
  <c r="EJ299" i="7" s="1"/>
  <c r="EQ327" i="7" a="1"/>
  <c r="EQ327" i="7" s="1"/>
  <c r="DW340" i="7" a="1"/>
  <c r="DW340" i="7" s="1"/>
  <c r="FW322" i="7" a="1"/>
  <c r="FW322" i="7" s="1"/>
  <c r="EX292" i="7" a="1"/>
  <c r="EX292" i="7" s="1"/>
  <c r="EW300" i="7" a="1"/>
  <c r="EW300" i="7" s="1"/>
  <c r="FA311" i="7" a="1"/>
  <c r="FA311" i="7" s="1"/>
  <c r="ES322" i="7" a="1"/>
  <c r="ES322" i="7" s="1"/>
  <c r="FP330" i="7" a="1"/>
  <c r="FP330" i="7" s="1"/>
  <c r="EU318" i="7" a="1"/>
  <c r="EU318" i="7" s="1"/>
  <c r="FL350" i="7" a="1"/>
  <c r="FL350" i="7" s="1"/>
  <c r="FO363" i="7" a="1"/>
  <c r="FO363" i="7" s="1"/>
  <c r="DY369" i="7" a="1"/>
  <c r="DY369" i="7" s="1"/>
  <c r="ET375" i="7" a="1"/>
  <c r="ET375" i="7" s="1"/>
  <c r="FK348" i="7" a="1"/>
  <c r="FK348" i="7" s="1"/>
  <c r="DV361" i="7" a="1"/>
  <c r="DV361" i="7" s="1"/>
  <c r="FV347" i="7" a="1"/>
  <c r="FV347" i="7" s="1"/>
  <c r="EQ359" i="7" a="1"/>
  <c r="EQ359" i="7" s="1"/>
  <c r="EN364" i="7" a="1"/>
  <c r="EN364" i="7" s="1"/>
  <c r="FW368" i="7" a="1"/>
  <c r="FW368" i="7" s="1"/>
  <c r="EU373" i="7" a="1"/>
  <c r="EU373" i="7" s="1"/>
  <c r="DS318" i="7" a="1"/>
  <c r="DS318" i="7" s="1"/>
  <c r="EA336" i="7" a="1"/>
  <c r="EA336" i="7" s="1"/>
  <c r="FL348" i="7" a="1"/>
  <c r="FL348" i="7" s="1"/>
  <c r="FC354" i="7" a="1"/>
  <c r="FC354" i="7" s="1"/>
  <c r="EO360" i="7" a="1"/>
  <c r="EO360" i="7" s="1"/>
  <c r="DZ331" i="7" a="1"/>
  <c r="DZ331" i="7" s="1"/>
  <c r="FW344" i="7" a="1"/>
  <c r="FW344" i="7" s="1"/>
  <c r="EN351" i="7" a="1"/>
  <c r="EN351" i="7" s="1"/>
  <c r="FH356" i="7" a="1"/>
  <c r="FH356" i="7" s="1"/>
  <c r="DT362" i="7" a="1"/>
  <c r="DT362" i="7" s="1"/>
  <c r="DT364" i="7" a="1"/>
  <c r="DT364" i="7" s="1"/>
  <c r="DT366" i="7" a="1"/>
  <c r="DT366" i="7" s="1"/>
  <c r="EV368" i="7" a="1"/>
  <c r="EV368" i="7" s="1"/>
  <c r="EV370" i="7" a="1"/>
  <c r="EV370" i="7" s="1"/>
  <c r="FG333" i="7" a="1"/>
  <c r="FG333" i="7" s="1"/>
  <c r="FU345" i="7" a="1"/>
  <c r="FU345" i="7" s="1"/>
  <c r="DV351" i="7" a="1"/>
  <c r="DV351" i="7" s="1"/>
  <c r="EX357" i="7" a="1"/>
  <c r="EX357" i="7" s="1"/>
  <c r="EU317" i="7" a="1"/>
  <c r="EU317" i="7" s="1"/>
  <c r="FI338" i="7" a="1"/>
  <c r="FI338" i="7" s="1"/>
  <c r="DY348" i="7" a="1"/>
  <c r="DY348" i="7" s="1"/>
  <c r="EV354" i="7" a="1"/>
  <c r="EV354" i="7" s="1"/>
  <c r="DT360" i="7" a="1"/>
  <c r="DT360" i="7" s="1"/>
  <c r="DU363" i="7" a="1"/>
  <c r="DU363" i="7" s="1"/>
  <c r="EW365" i="7" a="1"/>
  <c r="EW365" i="7" s="1"/>
  <c r="EW367" i="7" a="1"/>
  <c r="EW367" i="7" s="1"/>
  <c r="EW369" i="7" a="1"/>
  <c r="EW369" i="7" s="1"/>
  <c r="FY371" i="7" a="1"/>
  <c r="FY371" i="7" s="1"/>
  <c r="FY373" i="7" a="1"/>
  <c r="FY373" i="7" s="1"/>
  <c r="EB318" i="7" a="1"/>
  <c r="EB318" i="7" s="1"/>
  <c r="EL338" i="7" a="1"/>
  <c r="EL338" i="7" s="1"/>
  <c r="FO347" i="7" a="1"/>
  <c r="FO347" i="7" s="1"/>
  <c r="EN354" i="7" a="1"/>
  <c r="EN354" i="7" s="1"/>
  <c r="DW359" i="7" a="1"/>
  <c r="DW359" i="7" s="1"/>
  <c r="FJ329" i="7" a="1"/>
  <c r="FJ329" i="7" s="1"/>
  <c r="DW343" i="7" a="1"/>
  <c r="DW343" i="7" s="1"/>
  <c r="EH350" i="7" a="1"/>
  <c r="EH350" i="7" s="1"/>
  <c r="FJ356" i="7" a="1"/>
  <c r="FJ356" i="7" s="1"/>
  <c r="EO361" i="7" a="1"/>
  <c r="EO361" i="7" s="1"/>
  <c r="DV364" i="7" a="1"/>
  <c r="DV364" i="7" s="1"/>
  <c r="DV366" i="7" a="1"/>
  <c r="DV366" i="7" s="1"/>
  <c r="DV368" i="7" a="1"/>
  <c r="DV368" i="7" s="1"/>
  <c r="EX370" i="7" a="1"/>
  <c r="EX370" i="7" s="1"/>
  <c r="FK331" i="7" a="1"/>
  <c r="FK331" i="7" s="1"/>
  <c r="EE346" i="7" a="1"/>
  <c r="EE346" i="7" s="1"/>
  <c r="EY351" i="7" a="1"/>
  <c r="EY351" i="7" s="1"/>
  <c r="EM316" i="7" a="1"/>
  <c r="EM316" i="7" s="1"/>
  <c r="EV340" i="7" a="1"/>
  <c r="EV340" i="7" s="1"/>
  <c r="EM348" i="7" a="1"/>
  <c r="EM348" i="7" s="1"/>
  <c r="EP353" i="7" a="1"/>
  <c r="EP353" i="7" s="1"/>
  <c r="FL328" i="7" a="1"/>
  <c r="FL328" i="7" s="1"/>
  <c r="FE342" i="7" a="1"/>
  <c r="FE342" i="7" s="1"/>
  <c r="EC348" i="7" a="1"/>
  <c r="EC348" i="7" s="1"/>
  <c r="ER330" i="7" a="1"/>
  <c r="ER330" i="7" s="1"/>
  <c r="FP341" i="7" a="1"/>
  <c r="FP341" i="7" s="1"/>
  <c r="EH328" i="7" a="1"/>
  <c r="EH328" i="7" s="1"/>
  <c r="DU341" i="7" a="1"/>
  <c r="DU341" i="7" s="1"/>
  <c r="EC347" i="7" a="1"/>
  <c r="EC347" i="7" s="1"/>
  <c r="FK351" i="7" a="1"/>
  <c r="FK351" i="7" s="1"/>
  <c r="EA356" i="7" a="1"/>
  <c r="EA356" i="7" s="1"/>
  <c r="GA359" i="7" a="1"/>
  <c r="GA359" i="7" s="1"/>
  <c r="EH361" i="7" a="1"/>
  <c r="EH361" i="7" s="1"/>
  <c r="ER374" i="7" a="1"/>
  <c r="ER374" i="7" s="1"/>
  <c r="FM358" i="7" a="1"/>
  <c r="FM358" i="7" s="1"/>
  <c r="EL366" i="7" a="1"/>
  <c r="EL366" i="7" s="1"/>
  <c r="EA350" i="7" a="1"/>
  <c r="EA350" i="7" s="1"/>
  <c r="ES372" i="7" a="1"/>
  <c r="ES372" i="7" s="1"/>
  <c r="FN375" i="7" a="1"/>
  <c r="FN375" i="7" s="1"/>
  <c r="FG363" i="7" a="1"/>
  <c r="FG363" i="7" s="1"/>
  <c r="EY369" i="7" a="1"/>
  <c r="EY369" i="7" s="1"/>
  <c r="FQ373" i="7" a="1"/>
  <c r="FQ373" i="7" s="1"/>
  <c r="EH353" i="7" a="1"/>
  <c r="EH353" i="7" s="1"/>
  <c r="GA361" i="7" a="1"/>
  <c r="GA361" i="7" s="1"/>
  <c r="EC355" i="7" a="1"/>
  <c r="EC355" i="7" s="1"/>
  <c r="EY364" i="7" a="1"/>
  <c r="EY364" i="7" s="1"/>
  <c r="GA369" i="7" a="1"/>
  <c r="GA369" i="7" s="1"/>
  <c r="FS373" i="7" a="1"/>
  <c r="FS373" i="7" s="1"/>
  <c r="EJ355" i="7" a="1"/>
  <c r="EJ355" i="7" s="1"/>
  <c r="DU358" i="7" a="1"/>
  <c r="DU358" i="7" s="1"/>
  <c r="EL365" i="7" a="1"/>
  <c r="EL365" i="7" s="1"/>
  <c r="FN370" i="7" a="1"/>
  <c r="FN370" i="7" s="1"/>
  <c r="EK374" i="7" a="1"/>
  <c r="EK374" i="7" s="1"/>
  <c r="EA358" i="7" a="1"/>
  <c r="EA358" i="7" s="1"/>
  <c r="EO359" i="7" a="1"/>
  <c r="EO359" i="7" s="1"/>
  <c r="ED366" i="7" a="1"/>
  <c r="ED366" i="7" s="1"/>
  <c r="FU371" i="7" a="1"/>
  <c r="FU371" i="7" s="1"/>
  <c r="DQ375" i="7" a="1"/>
  <c r="DQ375" i="7" s="1"/>
  <c r="EX361" i="7" a="1"/>
  <c r="EX361" i="7" s="1"/>
  <c r="EA374" i="7" a="1"/>
  <c r="EA374" i="7" s="1"/>
  <c r="DX370" i="7" a="1"/>
  <c r="DX370" i="7" s="1"/>
  <c r="FR352" i="7" a="1"/>
  <c r="FR352" i="7" s="1"/>
  <c r="FE372" i="7" a="1"/>
  <c r="FE372" i="7" s="1"/>
  <c r="FL375" i="7" a="1"/>
  <c r="FL375" i="7" s="1"/>
  <c r="ER362" i="7" a="1"/>
  <c r="ER362" i="7" s="1"/>
  <c r="FT367" i="7" a="1"/>
  <c r="FT367" i="7" s="1"/>
  <c r="EA340" i="7" a="1"/>
  <c r="EA340" i="7" s="1"/>
  <c r="EH332" i="7" a="1"/>
  <c r="EH332" i="7" s="1"/>
  <c r="ET349" i="7" a="1"/>
  <c r="ET349" i="7" s="1"/>
  <c r="EQ314" i="7" a="1"/>
  <c r="EQ314" i="7" s="1"/>
  <c r="FA328" i="7" a="1"/>
  <c r="FA328" i="7" s="1"/>
  <c r="DV345" i="7" a="1"/>
  <c r="DV345" i="7" s="1"/>
  <c r="FY318" i="7" a="1"/>
  <c r="FY318" i="7" s="1"/>
  <c r="EY340" i="7" a="1"/>
  <c r="EY340" i="7" s="1"/>
  <c r="FX321" i="7" a="1"/>
  <c r="FX321" i="7" s="1"/>
  <c r="EK337" i="7" a="1"/>
  <c r="EK337" i="7" s="1"/>
  <c r="FD304" i="7" a="1"/>
  <c r="FD304" i="7" s="1"/>
  <c r="ER329" i="7" a="1"/>
  <c r="ER329" i="7" s="1"/>
  <c r="EZ343" i="7" a="1"/>
  <c r="EZ343" i="7" s="1"/>
  <c r="EA323" i="7" a="1"/>
  <c r="EA323" i="7" s="1"/>
  <c r="FG335" i="7" a="1"/>
  <c r="FG335" i="7" s="1"/>
  <c r="EC306" i="7" a="1"/>
  <c r="EC306" i="7" s="1"/>
  <c r="FF327" i="7" a="1"/>
  <c r="FF327" i="7" s="1"/>
  <c r="FT289" i="7" a="1"/>
  <c r="FT289" i="7" s="1"/>
  <c r="DT323" i="7" a="1"/>
  <c r="DT323" i="7" s="1"/>
  <c r="FL302" i="7" a="1"/>
  <c r="FL302" i="7" s="1"/>
  <c r="FZ300" i="7" a="1"/>
  <c r="FZ300" i="7" s="1"/>
  <c r="GA291" i="7" a="1"/>
  <c r="GA291" i="7" s="1"/>
  <c r="FA322" i="7" a="1"/>
  <c r="FA322" i="7" s="1"/>
  <c r="EK333" i="7" a="1"/>
  <c r="EK333" i="7" s="1"/>
  <c r="FS319" i="7" a="1"/>
  <c r="FS319" i="7" s="1"/>
  <c r="FS353" i="7" a="1"/>
  <c r="FS353" i="7" s="1"/>
  <c r="FV363" i="7" a="1"/>
  <c r="FV363" i="7" s="1"/>
  <c r="EM370" i="7" a="1"/>
  <c r="EM370" i="7" s="1"/>
  <c r="FA375" i="7" a="1"/>
  <c r="FA375" i="7" s="1"/>
  <c r="DU349" i="7" a="1"/>
  <c r="DU349" i="7" s="1"/>
  <c r="EK361" i="7" a="1"/>
  <c r="EK361" i="7" s="1"/>
  <c r="DV348" i="7" a="1"/>
  <c r="DV348" i="7" s="1"/>
  <c r="FF359" i="7" a="1"/>
  <c r="FF359" i="7" s="1"/>
  <c r="EU365" i="7" a="1"/>
  <c r="EU365" i="7" s="1"/>
  <c r="DS369" i="7" a="1"/>
  <c r="DS369" i="7" s="1"/>
  <c r="FB373" i="7" a="1"/>
  <c r="FB373" i="7" s="1"/>
  <c r="EJ319" i="7" a="1"/>
  <c r="EJ319" i="7" s="1"/>
  <c r="DQ337" i="7" a="1"/>
  <c r="DQ337" i="7" s="1"/>
  <c r="DV349" i="7" a="1"/>
  <c r="DV349" i="7" s="1"/>
  <c r="FT354" i="7" a="1"/>
  <c r="FT354" i="7" s="1"/>
  <c r="FD360" i="7" a="1"/>
  <c r="FD360" i="7" s="1"/>
  <c r="EC333" i="7" a="1"/>
  <c r="EC333" i="7" s="1"/>
  <c r="EA345" i="7" a="1"/>
  <c r="EA345" i="7" s="1"/>
  <c r="FE351" i="7" a="1"/>
  <c r="FE351" i="7" s="1"/>
  <c r="FW356" i="7" a="1"/>
  <c r="FW356" i="7" s="1"/>
  <c r="EA362" i="7" a="1"/>
  <c r="EA362" i="7" s="1"/>
  <c r="EA364" i="7" a="1"/>
  <c r="EA364" i="7" s="1"/>
  <c r="EA366" i="7" a="1"/>
  <c r="EA366" i="7" s="1"/>
  <c r="FC368" i="7" a="1"/>
  <c r="FC368" i="7" s="1"/>
  <c r="FC370" i="7" a="1"/>
  <c r="FC370" i="7" s="1"/>
  <c r="DY334" i="7" a="1"/>
  <c r="DY334" i="7" s="1"/>
  <c r="DY346" i="7" a="1"/>
  <c r="DY346" i="7" s="1"/>
  <c r="EW351" i="7" a="1"/>
  <c r="EW351" i="7" s="1"/>
  <c r="FM357" i="7" a="1"/>
  <c r="FM357" i="7" s="1"/>
  <c r="FL318" i="7" a="1"/>
  <c r="FL318" i="7" s="1"/>
  <c r="EA339" i="7" a="1"/>
  <c r="EA339" i="7" s="1"/>
  <c r="FD348" i="7" a="1"/>
  <c r="FD348" i="7" s="1"/>
  <c r="FM354" i="7" a="1"/>
  <c r="FM354" i="7" s="1"/>
  <c r="EI360" i="7" a="1"/>
  <c r="EI360" i="7" s="1"/>
  <c r="EB363" i="7" a="1"/>
  <c r="EB363" i="7" s="1"/>
  <c r="FD365" i="7" a="1"/>
  <c r="FD365" i="7" s="1"/>
  <c r="FD367" i="7" a="1"/>
  <c r="FD367" i="7" s="1"/>
  <c r="FD369" i="7" a="1"/>
  <c r="FD369" i="7" s="1"/>
  <c r="DU372" i="7" a="1"/>
  <c r="DU372" i="7" s="1"/>
  <c r="DU374" i="7" a="1"/>
  <c r="DU374" i="7" s="1"/>
  <c r="EA320" i="7" a="1"/>
  <c r="EA320" i="7" s="1"/>
  <c r="FO338" i="7" a="1"/>
  <c r="FO338" i="7" s="1"/>
  <c r="FZ347" i="7" a="1"/>
  <c r="FZ347" i="7" s="1"/>
  <c r="FE354" i="7" a="1"/>
  <c r="FE354" i="7" s="1"/>
  <c r="ET359" i="7" a="1"/>
  <c r="ET359" i="7" s="1"/>
  <c r="EJ330" i="7" a="1"/>
  <c r="EJ330" i="7" s="1"/>
  <c r="FN344" i="7" a="1"/>
  <c r="FN344" i="7" s="1"/>
  <c r="EY350" i="7" a="1"/>
  <c r="EY350" i="7" s="1"/>
  <c r="FY356" i="7" a="1"/>
  <c r="FY356" i="7" s="1"/>
  <c r="FD361" i="7" a="1"/>
  <c r="FD361" i="7" s="1"/>
  <c r="EC364" i="7" a="1"/>
  <c r="EC364" i="7" s="1"/>
  <c r="EC366" i="7" a="1"/>
  <c r="EC366" i="7" s="1"/>
  <c r="EC368" i="7" a="1"/>
  <c r="EC368" i="7" s="1"/>
  <c r="FE370" i="7" a="1"/>
  <c r="FE370" i="7" s="1"/>
  <c r="DX332" i="7" a="1"/>
  <c r="DX332" i="7" s="1"/>
  <c r="ET346" i="7" a="1"/>
  <c r="ET346" i="7" s="1"/>
  <c r="FI351" i="7" a="1"/>
  <c r="FI351" i="7" s="1"/>
  <c r="FD317" i="7" a="1"/>
  <c r="FD317" i="7" s="1"/>
  <c r="FY340" i="7" a="1"/>
  <c r="FY340" i="7" s="1"/>
  <c r="FH348" i="7" a="1"/>
  <c r="FH348" i="7" s="1"/>
  <c r="EX354" i="7" a="1"/>
  <c r="EX354" i="7" s="1"/>
  <c r="FL331" i="7" a="1"/>
  <c r="FL331" i="7" s="1"/>
  <c r="FU342" i="7" a="1"/>
  <c r="FU342" i="7" s="1"/>
  <c r="EW348" i="7" a="1"/>
  <c r="EW348" i="7" s="1"/>
  <c r="FW330" i="7" a="1"/>
  <c r="FW330" i="7" s="1"/>
  <c r="EH342" i="7" a="1"/>
  <c r="EH342" i="7" s="1"/>
  <c r="FM328" i="7" a="1"/>
  <c r="FM328" i="7" s="1"/>
  <c r="ES341" i="7" a="1"/>
  <c r="ES341" i="7" s="1"/>
  <c r="FJ347" i="7" a="1"/>
  <c r="FJ347" i="7" s="1"/>
  <c r="EA352" i="7" a="1"/>
  <c r="EA352" i="7" s="1"/>
  <c r="EP356" i="7" a="1"/>
  <c r="EP356" i="7" s="1"/>
  <c r="FB360" i="7" a="1"/>
  <c r="FB360" i="7" s="1"/>
  <c r="EJ371" i="7" a="1"/>
  <c r="EJ371" i="7" s="1"/>
  <c r="FF374" i="7" a="1"/>
  <c r="FF374" i="7" s="1"/>
  <c r="DZ359" i="7" a="1"/>
  <c r="DZ359" i="7" s="1"/>
  <c r="FM366" i="7" a="1"/>
  <c r="FM366" i="7" s="1"/>
  <c r="DZ352" i="7" a="1"/>
  <c r="DZ352" i="7" s="1"/>
  <c r="FG372" i="7" a="1"/>
  <c r="FG372" i="7" s="1"/>
  <c r="EB349" i="7" a="1"/>
  <c r="EB349" i="7" s="1"/>
  <c r="DW364" i="7" a="1"/>
  <c r="DW364" i="7" s="1"/>
  <c r="FU369" i="7" a="1"/>
  <c r="FU369" i="7" s="1"/>
  <c r="DT374" i="7" a="1"/>
  <c r="DT374" i="7" s="1"/>
  <c r="FO355" i="7" a="1"/>
  <c r="FO355" i="7" s="1"/>
  <c r="DX363" i="7" a="1"/>
  <c r="DX363" i="7" s="1"/>
  <c r="FL356" i="7" a="1"/>
  <c r="FL356" i="7" s="1"/>
  <c r="FU364" i="7" a="1"/>
  <c r="FU364" i="7" s="1"/>
  <c r="EL370" i="7" a="1"/>
  <c r="EL370" i="7" s="1"/>
  <c r="DV374" i="7" a="1"/>
  <c r="DV374" i="7" s="1"/>
  <c r="FV355" i="7" a="1"/>
  <c r="FV355" i="7" s="1"/>
  <c r="EX358" i="7" a="1"/>
  <c r="EX358" i="7" s="1"/>
  <c r="FM365" i="7" a="1"/>
  <c r="FM365" i="7" s="1"/>
  <c r="EA371" i="7" a="1"/>
  <c r="EA371" i="7" s="1"/>
  <c r="EY374" i="7" a="1"/>
  <c r="EY374" i="7" s="1"/>
  <c r="ED360" i="7" a="1"/>
  <c r="ED360" i="7" s="1"/>
  <c r="FR359" i="7" a="1"/>
  <c r="FR359" i="7" s="1"/>
  <c r="EZ366" i="7" a="1"/>
  <c r="EZ366" i="7" s="1"/>
  <c r="DX372" i="7" a="1"/>
  <c r="DX372" i="7" s="1"/>
  <c r="EE375" i="7" a="1"/>
  <c r="EE375" i="7" s="1"/>
  <c r="ED371" i="7" a="1"/>
  <c r="ED371" i="7" s="1"/>
  <c r="EO374" i="7" a="1"/>
  <c r="EO374" i="7" s="1"/>
  <c r="EV371" i="7" a="1"/>
  <c r="EV371" i="7" s="1"/>
  <c r="FQ354" i="7" a="1"/>
  <c r="FQ354" i="7" s="1"/>
  <c r="FS372" i="7" a="1"/>
  <c r="FS372" i="7" s="1"/>
  <c r="FZ375" i="7" a="1"/>
  <c r="FZ375" i="7" s="1"/>
  <c r="FN362" i="7" a="1"/>
  <c r="FN362" i="7" s="1"/>
  <c r="EE368" i="7" a="1"/>
  <c r="EE368" i="7" s="1"/>
  <c r="EU341" i="7" a="1"/>
  <c r="EU341" i="7" s="1"/>
  <c r="FL332" i="7" a="1"/>
  <c r="FL332" i="7" s="1"/>
  <c r="FH349" i="7" a="1"/>
  <c r="FH349" i="7" s="1"/>
  <c r="FA314" i="7" a="1"/>
  <c r="FA314" i="7" s="1"/>
  <c r="DT329" i="7" a="1"/>
  <c r="DT329" i="7" s="1"/>
  <c r="EK345" i="7" a="1"/>
  <c r="EK345" i="7" s="1"/>
  <c r="FX320" i="7" a="1"/>
  <c r="FX320" i="7" s="1"/>
  <c r="FG340" i="7" a="1"/>
  <c r="FG340" i="7" s="1"/>
  <c r="EV322" i="7" a="1"/>
  <c r="EV322" i="7" s="1"/>
  <c r="ES337" i="7" a="1"/>
  <c r="ES337" i="7" s="1"/>
  <c r="EP305" i="7" a="1"/>
  <c r="EP305" i="7" s="1"/>
  <c r="EZ329" i="7" a="1"/>
  <c r="EZ329" i="7" s="1"/>
  <c r="DS344" i="7" a="1"/>
  <c r="DS344" i="7" s="1"/>
  <c r="EI323" i="7" a="1"/>
  <c r="EI323" i="7" s="1"/>
  <c r="DZ336" i="7" a="1"/>
  <c r="DZ336" i="7" s="1"/>
  <c r="FD306" i="7" a="1"/>
  <c r="FD306" i="7" s="1"/>
  <c r="FK328" i="7" a="1"/>
  <c r="FK328" i="7" s="1"/>
  <c r="FA290" i="7" a="1"/>
  <c r="FA290" i="7" s="1"/>
  <c r="EJ323" i="7" a="1"/>
  <c r="EJ323" i="7" s="1"/>
  <c r="EB303" i="7" a="1"/>
  <c r="EB303" i="7" s="1"/>
  <c r="FW313" i="7" a="1"/>
  <c r="FW313" i="7" s="1"/>
  <c r="FX293" i="7" a="1"/>
  <c r="FX293" i="7" s="1"/>
  <c r="FQ322" i="7" a="1"/>
  <c r="FQ322" i="7" s="1"/>
  <c r="ES333" i="7" a="1"/>
  <c r="ES333" i="7" s="1"/>
  <c r="FR321" i="7" a="1"/>
  <c r="FR321" i="7" s="1"/>
  <c r="EI354" i="7" a="1"/>
  <c r="EI354" i="7" s="1"/>
  <c r="DY364" i="7" a="1"/>
  <c r="DY364" i="7" s="1"/>
  <c r="ET370" i="7" a="1"/>
  <c r="ET370" i="7" s="1"/>
  <c r="FO375" i="7" a="1"/>
  <c r="FO375" i="7" s="1"/>
  <c r="EB352" i="7" a="1"/>
  <c r="EB352" i="7" s="1"/>
  <c r="FH361" i="7" a="1"/>
  <c r="FH361" i="7" s="1"/>
  <c r="EP348" i="7" a="1"/>
  <c r="EP348" i="7" s="1"/>
  <c r="DR360" i="7" a="1"/>
  <c r="DR360" i="7" s="1"/>
  <c r="FB365" i="7" a="1"/>
  <c r="FB365" i="7" s="1"/>
  <c r="DZ370" i="7" a="1"/>
  <c r="DZ370" i="7" s="1"/>
  <c r="FI373" i="7" a="1"/>
  <c r="FI373" i="7" s="1"/>
  <c r="DR320" i="7" a="1"/>
  <c r="DR320" i="7" s="1"/>
  <c r="EM340" i="7" a="1"/>
  <c r="EM340" i="7" s="1"/>
  <c r="EW349" i="7" a="1"/>
  <c r="EW349" i="7" s="1"/>
  <c r="EF355" i="7" a="1"/>
  <c r="EF355" i="7" s="1"/>
  <c r="FS360" i="7" a="1"/>
  <c r="FS360" i="7" s="1"/>
  <c r="FF333" i="7" a="1"/>
  <c r="FF333" i="7" s="1"/>
  <c r="FM346" i="7" a="1"/>
  <c r="FM346" i="7" s="1"/>
  <c r="DU352" i="7" a="1"/>
  <c r="DU352" i="7" s="1"/>
  <c r="EA357" i="7" a="1"/>
  <c r="EA357" i="7" s="1"/>
  <c r="EH362" i="7" a="1"/>
  <c r="EH362" i="7" s="1"/>
  <c r="EH364" i="7" a="1"/>
  <c r="EH364" i="7" s="1"/>
  <c r="FJ366" i="7" a="1"/>
  <c r="FJ366" i="7" s="1"/>
  <c r="FJ368" i="7" a="1"/>
  <c r="FJ368" i="7" s="1"/>
  <c r="FJ370" i="7" a="1"/>
  <c r="FJ370" i="7" s="1"/>
  <c r="EB336" i="7" a="1"/>
  <c r="EB336" i="7" s="1"/>
  <c r="EN346" i="7" a="1"/>
  <c r="EN346" i="7" s="1"/>
  <c r="DU353" i="7" a="1"/>
  <c r="DU353" i="7" s="1"/>
  <c r="DY358" i="7" a="1"/>
  <c r="DY358" i="7" s="1"/>
  <c r="ET319" i="7" a="1"/>
  <c r="ET319" i="7" s="1"/>
  <c r="DQ340" i="7" a="1"/>
  <c r="DQ340" i="7" s="1"/>
  <c r="EP349" i="7" a="1"/>
  <c r="EP349" i="7" s="1"/>
  <c r="FS355" i="7" a="1"/>
  <c r="FS355" i="7" s="1"/>
  <c r="EX360" i="7" a="1"/>
  <c r="EX360" i="7" s="1"/>
  <c r="EI363" i="7" a="1"/>
  <c r="EI363" i="7" s="1"/>
  <c r="FK365" i="7" a="1"/>
  <c r="FK365" i="7" s="1"/>
  <c r="FK367" i="7" a="1"/>
  <c r="FK367" i="7" s="1"/>
  <c r="EB370" i="7" a="1"/>
  <c r="EB370" i="7" s="1"/>
  <c r="EB372" i="7" a="1"/>
  <c r="EB372" i="7" s="1"/>
  <c r="EB374" i="7" a="1"/>
  <c r="EB374" i="7" s="1"/>
  <c r="DZ322" i="7" a="1"/>
  <c r="DZ322" i="7" s="1"/>
  <c r="FR340" i="7" a="1"/>
  <c r="FR340" i="7" s="1"/>
  <c r="EY349" i="7" a="1"/>
  <c r="EY349" i="7" s="1"/>
  <c r="DS355" i="7" a="1"/>
  <c r="DS355" i="7" s="1"/>
  <c r="FI359" i="7" a="1"/>
  <c r="FI359" i="7" s="1"/>
  <c r="FE331" i="7" a="1"/>
  <c r="FE331" i="7" s="1"/>
  <c r="DR345" i="7" a="1"/>
  <c r="DR345" i="7" s="1"/>
  <c r="DW352" i="7" a="1"/>
  <c r="DW352" i="7" s="1"/>
  <c r="EC357" i="7" a="1"/>
  <c r="EC357" i="7" s="1"/>
  <c r="FS361" i="7" a="1"/>
  <c r="FS361" i="7" s="1"/>
  <c r="EJ364" i="7" a="1"/>
  <c r="EJ364" i="7" s="1"/>
  <c r="EJ366" i="7" a="1"/>
  <c r="EJ366" i="7" s="1"/>
  <c r="FL368" i="7" a="1"/>
  <c r="FL368" i="7" s="1"/>
  <c r="FL370" i="7" a="1"/>
  <c r="FL370" i="7" s="1"/>
  <c r="FA332" i="7" a="1"/>
  <c r="FA332" i="7" s="1"/>
  <c r="FF346" i="7" a="1"/>
  <c r="FF346" i="7" s="1"/>
  <c r="FZ351" i="7" a="1"/>
  <c r="FZ351" i="7" s="1"/>
  <c r="EU326" i="7" a="1"/>
  <c r="EU326" i="7" s="1"/>
  <c r="EL341" i="7" a="1"/>
  <c r="EL341" i="7" s="1"/>
  <c r="FR348" i="7" a="1"/>
  <c r="FR348" i="7" s="1"/>
  <c r="FX354" i="7" a="1"/>
  <c r="FX354" i="7" s="1"/>
  <c r="ED332" i="7" a="1"/>
  <c r="ED332" i="7" s="1"/>
  <c r="DY343" i="7" a="1"/>
  <c r="DY343" i="7" s="1"/>
  <c r="FE315" i="7" a="1"/>
  <c r="FE315" i="7" s="1"/>
  <c r="EO331" i="7" a="1"/>
  <c r="EO331" i="7" s="1"/>
  <c r="EL344" i="7" a="1"/>
  <c r="EL344" i="7" s="1"/>
  <c r="ES330" i="7" a="1"/>
  <c r="ES330" i="7" s="1"/>
  <c r="FV341" i="7" a="1"/>
  <c r="FV341" i="7" s="1"/>
  <c r="FT347" i="7" a="1"/>
  <c r="FT347" i="7" s="1"/>
  <c r="ER352" i="7" a="1"/>
  <c r="ER352" i="7" s="1"/>
  <c r="FT356" i="7" a="1"/>
  <c r="FT356" i="7" s="1"/>
  <c r="FQ360" i="7" a="1"/>
  <c r="FQ360" i="7" s="1"/>
  <c r="EY371" i="7" a="1"/>
  <c r="EY371" i="7" s="1"/>
  <c r="FT374" i="7" a="1"/>
  <c r="FT374" i="7" s="1"/>
  <c r="FC359" i="7" a="1"/>
  <c r="FC359" i="7" s="1"/>
  <c r="DX367" i="7" a="1"/>
  <c r="DX367" i="7" s="1"/>
  <c r="DU355" i="7" a="1"/>
  <c r="DU355" i="7" s="1"/>
  <c r="FU372" i="7" a="1"/>
  <c r="FU372" i="7" s="1"/>
  <c r="EA351" i="7" a="1"/>
  <c r="EA351" i="7" s="1"/>
  <c r="ES364" i="7" a="1"/>
  <c r="ES364" i="7" s="1"/>
  <c r="EK370" i="7" a="1"/>
  <c r="EK370" i="7" s="1"/>
  <c r="EH374" i="7" a="1"/>
  <c r="EH374" i="7" s="1"/>
  <c r="EN356" i="7" a="1"/>
  <c r="EN356" i="7" s="1"/>
  <c r="FU363" i="7" a="1"/>
  <c r="FU363" i="7" s="1"/>
  <c r="ED357" i="7" a="1"/>
  <c r="ED357" i="7" s="1"/>
  <c r="EK365" i="7" a="1"/>
  <c r="EK365" i="7" s="1"/>
  <c r="FM370" i="7" a="1"/>
  <c r="FM370" i="7" s="1"/>
  <c r="EJ374" i="7" a="1"/>
  <c r="EJ374" i="7" s="1"/>
  <c r="EO356" i="7" a="1"/>
  <c r="EO356" i="7" s="1"/>
  <c r="FV358" i="7" a="1"/>
  <c r="FV358" i="7" s="1"/>
  <c r="DX366" i="7" a="1"/>
  <c r="DX366" i="7" s="1"/>
  <c r="FF371" i="7" a="1"/>
  <c r="FF371" i="7" s="1"/>
  <c r="FM374" i="7" a="1"/>
  <c r="FM374" i="7" s="1"/>
  <c r="DT361" i="7" a="1"/>
  <c r="DT361" i="7" s="1"/>
  <c r="FH360" i="7" a="1"/>
  <c r="FH360" i="7" s="1"/>
  <c r="GA366" i="7" a="1"/>
  <c r="GA366" i="7" s="1"/>
  <c r="EL372" i="7" a="1"/>
  <c r="EL372" i="7" s="1"/>
  <c r="ES375" i="7" a="1"/>
  <c r="ES375" i="7" s="1"/>
  <c r="ES371" i="7" a="1"/>
  <c r="ES371" i="7" s="1"/>
  <c r="FC374" i="7" a="1"/>
  <c r="FC374" i="7" s="1"/>
  <c r="FI354" i="7" a="1"/>
  <c r="FI354" i="7" s="1"/>
  <c r="DZ356" i="7" a="1"/>
  <c r="DZ356" i="7" s="1"/>
  <c r="DV373" i="7" a="1"/>
  <c r="DV373" i="7" s="1"/>
  <c r="FS348" i="7" a="1"/>
  <c r="FS348" i="7" s="1"/>
  <c r="ED363" i="7" a="1"/>
  <c r="ED363" i="7" s="1"/>
  <c r="FF368" i="7" a="1"/>
  <c r="FF368" i="7" s="1"/>
  <c r="DU345" i="7" a="1"/>
  <c r="DU345" i="7" s="1"/>
  <c r="EB337" i="7" a="1"/>
  <c r="EB337" i="7" s="1"/>
  <c r="EF351" i="7" a="1"/>
  <c r="EF351" i="7" s="1"/>
  <c r="FR314" i="7" a="1"/>
  <c r="FR314" i="7" s="1"/>
  <c r="EA332" i="7" a="1"/>
  <c r="EA332" i="7" s="1"/>
  <c r="ES345" i="7" a="1"/>
  <c r="ES345" i="7" s="1"/>
  <c r="FD327" i="7" a="1"/>
  <c r="FD327" i="7" s="1"/>
  <c r="FV340" i="7" a="1"/>
  <c r="FV340" i="7" s="1"/>
  <c r="EJ324" i="7" a="1"/>
  <c r="EJ324" i="7" s="1"/>
  <c r="FH337" i="7" a="1"/>
  <c r="FH337" i="7" s="1"/>
  <c r="FR310" i="7" a="1"/>
  <c r="FR310" i="7" s="1"/>
  <c r="FL330" i="7" a="1"/>
  <c r="FL330" i="7" s="1"/>
  <c r="DZ347" i="7" a="1"/>
  <c r="DZ347" i="7" s="1"/>
  <c r="EQ323" i="7" a="1"/>
  <c r="EQ323" i="7" s="1"/>
  <c r="EG339" i="7" a="1"/>
  <c r="EG339" i="7" s="1"/>
  <c r="FZ306" i="7" a="1"/>
  <c r="FZ306" i="7" s="1"/>
  <c r="FU330" i="7" a="1"/>
  <c r="FU330" i="7" s="1"/>
  <c r="FQ291" i="7" a="1"/>
  <c r="FQ291" i="7" s="1"/>
  <c r="FK324" i="7" a="1"/>
  <c r="FK324" i="7" s="1"/>
  <c r="EX303" i="7" a="1"/>
  <c r="EX303" i="7" s="1"/>
  <c r="FF292" i="7" a="1"/>
  <c r="FF292" i="7" s="1"/>
  <c r="DY295" i="7" a="1"/>
  <c r="DY295" i="7" s="1"/>
  <c r="EG324" i="7" a="1"/>
  <c r="EG324" i="7" s="1"/>
  <c r="FH333" i="7" a="1"/>
  <c r="FH333" i="7" s="1"/>
  <c r="EF332" i="7" a="1"/>
  <c r="EF332" i="7" s="1"/>
  <c r="FZ354" i="7" a="1"/>
  <c r="FZ354" i="7" s="1"/>
  <c r="EM365" i="7" a="1"/>
  <c r="EM365" i="7" s="1"/>
  <c r="FA370" i="7" a="1"/>
  <c r="FA370" i="7" s="1"/>
  <c r="EI328" i="7" a="1"/>
  <c r="EI328" i="7" s="1"/>
  <c r="FT352" i="7" a="1"/>
  <c r="FT352" i="7" s="1"/>
  <c r="FU328" i="7" a="1"/>
  <c r="FU328" i="7" s="1"/>
  <c r="FB348" i="7" a="1"/>
  <c r="FB348" i="7" s="1"/>
  <c r="EG360" i="7" a="1"/>
  <c r="EG360" i="7" s="1"/>
  <c r="FI365" i="7" a="1"/>
  <c r="FI365" i="7" s="1"/>
  <c r="EG370" i="7" a="1"/>
  <c r="EG370" i="7" s="1"/>
  <c r="FB374" i="7" a="1"/>
  <c r="FB374" i="7" s="1"/>
  <c r="EI321" i="7" a="1"/>
  <c r="EI321" i="7" s="1"/>
  <c r="EP342" i="7" a="1"/>
  <c r="EP342" i="7" s="1"/>
  <c r="FX349" i="7" a="1"/>
  <c r="FX349" i="7" s="1"/>
  <c r="EU355" i="7" a="1"/>
  <c r="EU355" i="7" s="1"/>
  <c r="DW361" i="7" a="1"/>
  <c r="DW361" i="7" s="1"/>
  <c r="DS334" i="7" a="1"/>
  <c r="DS334" i="7" s="1"/>
  <c r="DV347" i="7" a="1"/>
  <c r="DV347" i="7" s="1"/>
  <c r="EV352" i="7" a="1"/>
  <c r="EV352" i="7" s="1"/>
  <c r="EP357" i="7" a="1"/>
  <c r="EP357" i="7" s="1"/>
  <c r="EO362" i="7" a="1"/>
  <c r="EO362" i="7" s="1"/>
  <c r="EO364" i="7" a="1"/>
  <c r="EO364" i="7" s="1"/>
  <c r="FQ366" i="7" a="1"/>
  <c r="FQ366" i="7" s="1"/>
  <c r="FQ368" i="7" a="1"/>
  <c r="FQ368" i="7" s="1"/>
  <c r="FQ370" i="7" a="1"/>
  <c r="FQ370" i="7" s="1"/>
  <c r="FE336" i="7" a="1"/>
  <c r="FE336" i="7" s="1"/>
  <c r="FN346" i="7" a="1"/>
  <c r="FN346" i="7" s="1"/>
  <c r="EV353" i="7" a="1"/>
  <c r="EV353" i="7" s="1"/>
  <c r="EN358" i="7" a="1"/>
  <c r="EN358" i="7" s="1"/>
  <c r="FK320" i="7" a="1"/>
  <c r="FK320" i="7" s="1"/>
  <c r="ED341" i="7" a="1"/>
  <c r="ED341" i="7" s="1"/>
  <c r="FQ349" i="7" a="1"/>
  <c r="FQ349" i="7" s="1"/>
  <c r="DW356" i="7" a="1"/>
  <c r="DW356" i="7" s="1"/>
  <c r="FM360" i="7" a="1"/>
  <c r="FM360" i="7" s="1"/>
  <c r="EP363" i="7" a="1"/>
  <c r="EP363" i="7" s="1"/>
  <c r="FR365" i="7" a="1"/>
  <c r="FR365" i="7" s="1"/>
  <c r="FR367" i="7" a="1"/>
  <c r="FR367" i="7" s="1"/>
  <c r="EI370" i="7" a="1"/>
  <c r="EI370" i="7" s="1"/>
  <c r="EI372" i="7" a="1"/>
  <c r="EI372" i="7" s="1"/>
  <c r="EI374" i="7" a="1"/>
  <c r="EI374" i="7" s="1"/>
  <c r="FZ323" i="7" a="1"/>
  <c r="FZ323" i="7" s="1"/>
  <c r="EJ341" i="7" a="1"/>
  <c r="EJ341" i="7" s="1"/>
  <c r="FI349" i="7" a="1"/>
  <c r="FI349" i="7" s="1"/>
  <c r="EH355" i="7" a="1"/>
  <c r="EH355" i="7" s="1"/>
  <c r="FX359" i="7" a="1"/>
  <c r="FX359" i="7" s="1"/>
  <c r="DW332" i="7" a="1"/>
  <c r="DW332" i="7" s="1"/>
  <c r="EG345" i="7" a="1"/>
  <c r="EG345" i="7" s="1"/>
  <c r="EG352" i="7" a="1"/>
  <c r="EG352" i="7" s="1"/>
  <c r="ER357" i="7" a="1"/>
  <c r="ER357" i="7" s="1"/>
  <c r="FZ361" i="7" a="1"/>
  <c r="FZ361" i="7" s="1"/>
  <c r="EQ364" i="7" a="1"/>
  <c r="EQ364" i="7" s="1"/>
  <c r="EQ366" i="7" a="1"/>
  <c r="EQ366" i="7" s="1"/>
  <c r="FS368" i="7" a="1"/>
  <c r="FS368" i="7" s="1"/>
  <c r="FS370" i="7" a="1"/>
  <c r="FS370" i="7" s="1"/>
  <c r="FD334" i="7" a="1"/>
  <c r="FD334" i="7" s="1"/>
  <c r="DQ347" i="7" a="1"/>
  <c r="DQ347" i="7" s="1"/>
  <c r="EP352" i="7" a="1"/>
  <c r="EP352" i="7" s="1"/>
  <c r="FZ326" i="7" a="1"/>
  <c r="FZ326" i="7" s="1"/>
  <c r="FO341" i="7" a="1"/>
  <c r="FO341" i="7" s="1"/>
  <c r="EA349" i="7" a="1"/>
  <c r="EA349" i="7" s="1"/>
  <c r="EB355" i="7" a="1"/>
  <c r="EB355" i="7" s="1"/>
  <c r="FB332" i="7" a="1"/>
  <c r="FB332" i="7" s="1"/>
  <c r="EN343" i="7" a="1"/>
  <c r="EN343" i="7" s="1"/>
  <c r="EU316" i="7" a="1"/>
  <c r="EU316" i="7" s="1"/>
  <c r="EE332" i="7" a="1"/>
  <c r="EE332" i="7" s="1"/>
  <c r="FA344" i="7" a="1"/>
  <c r="FA344" i="7" s="1"/>
  <c r="DR331" i="7" a="1"/>
  <c r="DR331" i="7" s="1"/>
  <c r="FI342" i="7" a="1"/>
  <c r="FI342" i="7" s="1"/>
  <c r="DS348" i="7" a="1"/>
  <c r="DS348" i="7" s="1"/>
  <c r="FS352" i="7" a="1"/>
  <c r="FS352" i="7" s="1"/>
  <c r="EF357" i="7" a="1"/>
  <c r="EF357" i="7" s="1"/>
  <c r="DU361" i="7" a="1"/>
  <c r="DU361" i="7" s="1"/>
  <c r="FM371" i="7" a="1"/>
  <c r="FM371" i="7" s="1"/>
  <c r="DW375" i="7" a="1"/>
  <c r="DW375" i="7" s="1"/>
  <c r="FF361" i="7" a="1"/>
  <c r="FF361" i="7" s="1"/>
  <c r="EY367" i="7" a="1"/>
  <c r="EY367" i="7" s="1"/>
  <c r="DW357" i="7" a="1"/>
  <c r="DW357" i="7" s="1"/>
  <c r="DX373" i="7" a="1"/>
  <c r="DX373" i="7" s="1"/>
  <c r="DZ353" i="7" a="1"/>
  <c r="DZ353" i="7" s="1"/>
  <c r="FT364" i="7" a="1"/>
  <c r="FT364" i="7" s="1"/>
  <c r="FG370" i="7" a="1"/>
  <c r="FG370" i="7" s="1"/>
  <c r="EV374" i="7" a="1"/>
  <c r="EV374" i="7" s="1"/>
  <c r="EQ358" i="7" a="1"/>
  <c r="EQ358" i="7" s="1"/>
  <c r="FG364" i="7" a="1"/>
  <c r="FG364" i="7" s="1"/>
  <c r="FB357" i="7" a="1"/>
  <c r="FB357" i="7" s="1"/>
  <c r="FG365" i="7" a="1"/>
  <c r="FG365" i="7" s="1"/>
  <c r="EO371" i="7" a="1"/>
  <c r="EO371" i="7" s="1"/>
  <c r="EX374" i="7" a="1"/>
  <c r="EX374" i="7" s="1"/>
  <c r="FR356" i="7" a="1"/>
  <c r="FR356" i="7" s="1"/>
  <c r="EN359" i="7" a="1"/>
  <c r="EN359" i="7" s="1"/>
  <c r="EY366" i="7" a="1"/>
  <c r="EY366" i="7" s="1"/>
  <c r="FT371" i="7" a="1"/>
  <c r="FT371" i="7" s="1"/>
  <c r="GA374" i="7" a="1"/>
  <c r="GA374" i="7" s="1"/>
  <c r="EW361" i="7" a="1"/>
  <c r="EW361" i="7" s="1"/>
  <c r="FU361" i="7" a="1"/>
  <c r="FU361" i="7" s="1"/>
  <c r="EL367" i="7" a="1"/>
  <c r="EL367" i="7" s="1"/>
  <c r="EZ372" i="7" a="1"/>
  <c r="EZ372" i="7" s="1"/>
  <c r="FG375" i="7" a="1"/>
  <c r="FG375" i="7" s="1"/>
  <c r="FJ371" i="7" a="1"/>
  <c r="FJ371" i="7" s="1"/>
  <c r="FQ374" i="7" a="1"/>
  <c r="FQ374" i="7" s="1"/>
  <c r="EY355" i="7" a="1"/>
  <c r="EY355" i="7" s="1"/>
  <c r="FC356" i="7" a="1"/>
  <c r="FC356" i="7" s="1"/>
  <c r="EJ373" i="7" a="1"/>
  <c r="EJ373" i="7" s="1"/>
  <c r="FT349" i="7" a="1"/>
  <c r="FT349" i="7" s="1"/>
  <c r="EZ363" i="7" a="1"/>
  <c r="EZ363" i="7" s="1"/>
  <c r="DQ369" i="7" a="1"/>
  <c r="DQ369" i="7" s="1"/>
  <c r="EY345" i="7" a="1"/>
  <c r="EY345" i="7" s="1"/>
  <c r="FF337" i="7" a="1"/>
  <c r="FF337" i="7" s="1"/>
  <c r="EM351" i="7" a="1"/>
  <c r="EM351" i="7" s="1"/>
  <c r="FQ316" i="7" a="1"/>
  <c r="FQ316" i="7" s="1"/>
  <c r="EP332" i="7" a="1"/>
  <c r="EP332" i="7" s="1"/>
  <c r="FW345" i="7" a="1"/>
  <c r="FW345" i="7" s="1"/>
  <c r="FS327" i="7" a="1"/>
  <c r="FS327" i="7" s="1"/>
  <c r="EO341" i="7" a="1"/>
  <c r="EO341" i="7" s="1"/>
  <c r="ES324" i="7" a="1"/>
  <c r="ES324" i="7" s="1"/>
  <c r="EA338" i="7" a="1"/>
  <c r="EA338" i="7" s="1"/>
  <c r="EC311" i="7" a="1"/>
  <c r="EC311" i="7" s="1"/>
  <c r="DX331" i="7" a="1"/>
  <c r="DX331" i="7" s="1"/>
  <c r="EO347" i="7" a="1"/>
  <c r="EO347" i="7" s="1"/>
  <c r="EC324" i="7" a="1"/>
  <c r="EC324" i="7" s="1"/>
  <c r="EV339" i="7" a="1"/>
  <c r="EV339" i="7" s="1"/>
  <c r="FL307" i="7" a="1"/>
  <c r="FL307" i="7" s="1"/>
  <c r="FR331" i="7" a="1"/>
  <c r="FR331" i="7" s="1"/>
  <c r="FV294" i="7" a="1"/>
  <c r="FV294" i="7" s="1"/>
  <c r="FS324" i="7" a="1"/>
  <c r="FS324" i="7" s="1"/>
  <c r="EJ304" i="7" a="1"/>
  <c r="EJ304" i="7" s="1"/>
  <c r="EF293" i="7" a="1"/>
  <c r="EF293" i="7" s="1"/>
  <c r="EU298" i="7" a="1"/>
  <c r="EU298" i="7" s="1"/>
  <c r="EO324" i="7" a="1"/>
  <c r="EO324" i="7" s="1"/>
  <c r="EA334" i="7" a="1"/>
  <c r="EA334" i="7" s="1"/>
  <c r="FI332" i="7" a="1"/>
  <c r="FI332" i="7" s="1"/>
  <c r="FA355" i="7" a="1"/>
  <c r="FA355" i="7" s="1"/>
  <c r="ET365" i="7" a="1"/>
  <c r="ET365" i="7" s="1"/>
  <c r="FO370" i="7" a="1"/>
  <c r="FO370" i="7" s="1"/>
  <c r="FT328" i="7" a="1"/>
  <c r="FT328" i="7" s="1"/>
  <c r="DS353" i="7" a="1"/>
  <c r="DS353" i="7" s="1"/>
  <c r="EU329" i="7" a="1"/>
  <c r="EU329" i="7" s="1"/>
  <c r="FD351" i="7" a="1"/>
  <c r="FD351" i="7" s="1"/>
  <c r="EV360" i="7" a="1"/>
  <c r="EV360" i="7" s="1"/>
  <c r="FP365" i="7" a="1"/>
  <c r="FP365" i="7" s="1"/>
  <c r="EN370" i="7" a="1"/>
  <c r="EN370" i="7" s="1"/>
  <c r="FI374" i="7" a="1"/>
  <c r="FI374" i="7" s="1"/>
  <c r="EC323" i="7" a="1"/>
  <c r="EC323" i="7" s="1"/>
  <c r="DQ343" i="7" a="1"/>
  <c r="DQ343" i="7" s="1"/>
  <c r="ED350" i="7" a="1"/>
  <c r="ED350" i="7" s="1"/>
  <c r="FO356" i="7" a="1"/>
  <c r="FO356" i="7" s="1"/>
  <c r="ET361" i="7" a="1"/>
  <c r="ET361" i="7" s="1"/>
  <c r="EV334" i="7" a="1"/>
  <c r="EV334" i="7" s="1"/>
  <c r="EH347" i="7" a="1"/>
  <c r="EH347" i="7" s="1"/>
  <c r="FM352" i="7" a="1"/>
  <c r="FM352" i="7" s="1"/>
  <c r="FJ358" i="7" a="1"/>
  <c r="FJ358" i="7" s="1"/>
  <c r="EV362" i="7" a="1"/>
  <c r="EV362" i="7" s="1"/>
  <c r="EV364" i="7" a="1"/>
  <c r="EV364" i="7" s="1"/>
  <c r="FX366" i="7" a="1"/>
  <c r="FX366" i="7" s="1"/>
  <c r="FX368" i="7" a="1"/>
  <c r="FX368" i="7" s="1"/>
  <c r="DT318" i="7" a="1"/>
  <c r="DT318" i="7" s="1"/>
  <c r="DR337" i="7" a="1"/>
  <c r="DR337" i="7" s="1"/>
  <c r="FX346" i="7" a="1"/>
  <c r="FX346" i="7" s="1"/>
  <c r="FM353" i="7" a="1"/>
  <c r="FM353" i="7" s="1"/>
  <c r="FC358" i="7" a="1"/>
  <c r="FC358" i="7" s="1"/>
  <c r="ER327" i="7" a="1"/>
  <c r="ER327" i="7" s="1"/>
  <c r="DT342" i="7" a="1"/>
  <c r="DT342" i="7" s="1"/>
  <c r="DW350" i="7" a="1"/>
  <c r="DW350" i="7" s="1"/>
  <c r="ET356" i="7" a="1"/>
  <c r="ET356" i="7" s="1"/>
  <c r="DY361" i="7" a="1"/>
  <c r="DY361" i="7" s="1"/>
  <c r="FY363" i="7" a="1"/>
  <c r="FY363" i="7" s="1"/>
  <c r="FY365" i="7" a="1"/>
  <c r="FY365" i="7" s="1"/>
  <c r="FY367" i="7" a="1"/>
  <c r="FY367" i="7" s="1"/>
  <c r="EP370" i="7" a="1"/>
  <c r="EP370" i="7" s="1"/>
  <c r="EP372" i="7" a="1"/>
  <c r="EP372" i="7" s="1"/>
  <c r="FR374" i="7" a="1"/>
  <c r="FR374" i="7" s="1"/>
  <c r="FM325" i="7" a="1"/>
  <c r="FM325" i="7" s="1"/>
  <c r="FH341" i="7" a="1"/>
  <c r="FH341" i="7" s="1"/>
  <c r="FZ349" i="7" a="1"/>
  <c r="FZ349" i="7" s="1"/>
  <c r="EW355" i="7" a="1"/>
  <c r="EW355" i="7" s="1"/>
  <c r="EG361" i="7" a="1"/>
  <c r="EG361" i="7" s="1"/>
  <c r="EU332" i="7" a="1"/>
  <c r="EU332" i="7" s="1"/>
  <c r="EV345" i="7" a="1"/>
  <c r="EV345" i="7" s="1"/>
  <c r="EX352" i="7" a="1"/>
  <c r="EX352" i="7" s="1"/>
  <c r="FO357" i="7" a="1"/>
  <c r="FO357" i="7" s="1"/>
  <c r="EX362" i="7" a="1"/>
  <c r="EX362" i="7" s="1"/>
  <c r="EX364" i="7" a="1"/>
  <c r="EX364" i="7" s="1"/>
  <c r="EX366" i="7" a="1"/>
  <c r="EX366" i="7" s="1"/>
  <c r="FZ368" i="7" a="1"/>
  <c r="FZ368" i="7" s="1"/>
  <c r="FZ370" i="7" a="1"/>
  <c r="FZ370" i="7" s="1"/>
  <c r="ER338" i="7" a="1"/>
  <c r="ER338" i="7" s="1"/>
  <c r="EA347" i="7" a="1"/>
  <c r="EA347" i="7" s="1"/>
  <c r="FQ352" i="7" a="1"/>
  <c r="FQ352" i="7" s="1"/>
  <c r="EF329" i="7" a="1"/>
  <c r="EF329" i="7" s="1"/>
  <c r="FT342" i="7" a="1"/>
  <c r="FT342" i="7" s="1"/>
  <c r="EI350" i="7" a="1"/>
  <c r="EI350" i="7" s="1"/>
  <c r="EQ355" i="7" a="1"/>
  <c r="EQ355" i="7" s="1"/>
  <c r="DT333" i="7" a="1"/>
  <c r="DT333" i="7" s="1"/>
  <c r="FC343" i="7" a="1"/>
  <c r="FC343" i="7" s="1"/>
  <c r="FL317" i="7" a="1"/>
  <c r="FL317" i="7" s="1"/>
  <c r="ER333" i="7" a="1"/>
  <c r="ER333" i="7" s="1"/>
  <c r="FP344" i="7" a="1"/>
  <c r="FP344" i="7" s="1"/>
  <c r="DU333" i="7" a="1"/>
  <c r="DU333" i="7" s="1"/>
  <c r="FX342" i="7" a="1"/>
  <c r="FX342" i="7" s="1"/>
  <c r="EZ348" i="7" a="1"/>
  <c r="EZ348" i="7" s="1"/>
  <c r="EI353" i="7" a="1"/>
  <c r="EI353" i="7" s="1"/>
  <c r="EU357" i="7" a="1"/>
  <c r="EU357" i="7" s="1"/>
  <c r="EJ361" i="7" a="1"/>
  <c r="EJ361" i="7" s="1"/>
  <c r="GA371" i="7" a="1"/>
  <c r="GA371" i="7" s="1"/>
  <c r="EK375" i="7" a="1"/>
  <c r="EK375" i="7" s="1"/>
  <c r="DW362" i="7" a="1"/>
  <c r="DW362" i="7" s="1"/>
  <c r="FU367" i="7" a="1"/>
  <c r="FU367" i="7" s="1"/>
  <c r="FX357" i="7" a="1"/>
  <c r="FX357" i="7" s="1"/>
  <c r="EL373" i="7" a="1"/>
  <c r="EL373" i="7" s="1"/>
  <c r="EH356" i="7" a="1"/>
  <c r="EH356" i="7" s="1"/>
  <c r="EE365" i="7" a="1"/>
  <c r="EE365" i="7" s="1"/>
  <c r="FC371" i="7" a="1"/>
  <c r="FC371" i="7" s="1"/>
  <c r="FJ374" i="7" a="1"/>
  <c r="FJ374" i="7" s="1"/>
  <c r="FT358" i="7" a="1"/>
  <c r="FT358" i="7" s="1"/>
  <c r="ES365" i="7" a="1"/>
  <c r="ES365" i="7" s="1"/>
  <c r="DT358" i="7" a="1"/>
  <c r="DT358" i="7" s="1"/>
  <c r="DW366" i="7" a="1"/>
  <c r="DW366" i="7" s="1"/>
  <c r="FE371" i="7" a="1"/>
  <c r="FE371" i="7" s="1"/>
  <c r="FL374" i="7" a="1"/>
  <c r="FL374" i="7" s="1"/>
  <c r="FH357" i="7" a="1"/>
  <c r="FH357" i="7" s="1"/>
  <c r="EQ361" i="7" a="1"/>
  <c r="EQ361" i="7" s="1"/>
  <c r="FU366" i="7" a="1"/>
  <c r="FU366" i="7" s="1"/>
  <c r="DW372" i="7" a="1"/>
  <c r="DW372" i="7" s="1"/>
  <c r="ED375" i="7" a="1"/>
  <c r="ED375" i="7" s="1"/>
  <c r="EC371" i="7" a="1"/>
  <c r="EC371" i="7" s="1"/>
  <c r="EK362" i="7" a="1"/>
  <c r="EK362" i="7" s="1"/>
  <c r="FM367" i="7" a="1"/>
  <c r="FM367" i="7" s="1"/>
  <c r="FN372" i="7" a="1"/>
  <c r="FN372" i="7" s="1"/>
  <c r="FU375" i="7" a="1"/>
  <c r="FU375" i="7" s="1"/>
  <c r="FX371" i="7" a="1"/>
  <c r="FX371" i="7" s="1"/>
  <c r="DT375" i="7" a="1"/>
  <c r="DT375" i="7" s="1"/>
  <c r="EW356" i="7" a="1"/>
  <c r="EW356" i="7" s="1"/>
  <c r="FF358" i="7" a="1"/>
  <c r="FF358" i="7" s="1"/>
  <c r="EX373" i="7" a="1"/>
  <c r="EX373" i="7" s="1"/>
  <c r="FS351" i="7" a="1"/>
  <c r="FS351" i="7" s="1"/>
  <c r="GA363" i="7" a="1"/>
  <c r="GA363" i="7" s="1"/>
  <c r="ER369" i="7" a="1"/>
  <c r="ER369" i="7" s="1"/>
  <c r="EV287" i="7" a="1"/>
  <c r="EV287" i="7" s="1"/>
  <c r="FM340" i="7" a="1"/>
  <c r="FM340" i="7" s="1"/>
  <c r="ET351" i="7" a="1"/>
  <c r="ET351" i="7" s="1"/>
  <c r="DU321" i="7" a="1"/>
  <c r="DU321" i="7" s="1"/>
  <c r="FE332" i="7" a="1"/>
  <c r="FE332" i="7" s="1"/>
  <c r="EI301" i="7" a="1"/>
  <c r="EI301" i="7" s="1"/>
  <c r="DW328" i="7" a="1"/>
  <c r="DW328" i="7" s="1"/>
  <c r="DY298" i="7" a="1"/>
  <c r="DY298" i="7" s="1"/>
  <c r="DV325" i="7" a="1"/>
  <c r="DV325" i="7" s="1"/>
  <c r="EH341" i="7" a="1"/>
  <c r="EH341" i="7" s="1"/>
  <c r="EV311" i="7" a="1"/>
  <c r="EV311" i="7" s="1"/>
  <c r="EE334" i="7" a="1"/>
  <c r="EE334" i="7" s="1"/>
  <c r="FD347" i="7" a="1"/>
  <c r="FD347" i="7" s="1"/>
  <c r="EL326" i="7" a="1"/>
  <c r="EL326" i="7" s="1"/>
  <c r="FK339" i="7" a="1"/>
  <c r="FK339" i="7" s="1"/>
  <c r="EP312" i="7" a="1"/>
  <c r="EP312" i="7" s="1"/>
  <c r="DV332" i="7" a="1"/>
  <c r="DV332" i="7" s="1"/>
  <c r="FV313" i="7" a="1"/>
  <c r="FV313" i="7" s="1"/>
  <c r="DQ325" i="7" a="1"/>
  <c r="DQ325" i="7" s="1"/>
  <c r="FD308" i="7" a="1"/>
  <c r="FD308" i="7" s="1"/>
  <c r="EX294" i="7" a="1"/>
  <c r="EX294" i="7" s="1"/>
  <c r="EV312" i="7" a="1"/>
  <c r="EV312" i="7" s="1"/>
  <c r="EW324" i="7" a="1"/>
  <c r="EW324" i="7" s="1"/>
  <c r="EZ336" i="7" a="1"/>
  <c r="EZ336" i="7" s="1"/>
  <c r="FL334" i="7" a="1"/>
  <c r="FL334" i="7" s="1"/>
  <c r="DV358" i="7" a="1"/>
  <c r="DV358" i="7" s="1"/>
  <c r="FA365" i="7" a="1"/>
  <c r="FA365" i="7" s="1"/>
  <c r="DR372" i="7" a="1"/>
  <c r="DR372" i="7" s="1"/>
  <c r="EZ330" i="7" a="1"/>
  <c r="EZ330" i="7" s="1"/>
  <c r="EJ353" i="7" a="1"/>
  <c r="EJ353" i="7" s="1"/>
  <c r="DU330" i="7" a="1"/>
  <c r="DU330" i="7" s="1"/>
  <c r="DT352" i="7" a="1"/>
  <c r="DT352" i="7" s="1"/>
  <c r="EN362" i="7" a="1"/>
  <c r="EN362" i="7" s="1"/>
  <c r="FW365" i="7" a="1"/>
  <c r="FW365" i="7" s="1"/>
  <c r="EU370" i="7" a="1"/>
  <c r="EU370" i="7" s="1"/>
  <c r="FP374" i="7" a="1"/>
  <c r="FP374" i="7" s="1"/>
  <c r="DR325" i="7" a="1"/>
  <c r="DR325" i="7" s="1"/>
  <c r="EF343" i="7" a="1"/>
  <c r="EF343" i="7" s="1"/>
  <c r="EN350" i="7" a="1"/>
  <c r="EN350" i="7" s="1"/>
  <c r="DS357" i="7" a="1"/>
  <c r="DS357" i="7" s="1"/>
  <c r="FI361" i="7" a="1"/>
  <c r="FI361" i="7" s="1"/>
  <c r="EL335" i="7" a="1"/>
  <c r="EL335" i="7" s="1"/>
  <c r="FC347" i="7" a="1"/>
  <c r="FC347" i="7" s="1"/>
  <c r="FW352" i="7" a="1"/>
  <c r="FW352" i="7" s="1"/>
  <c r="FY358" i="7" a="1"/>
  <c r="FY358" i="7" s="1"/>
  <c r="FC362" i="7" a="1"/>
  <c r="FC362" i="7" s="1"/>
  <c r="FC364" i="7" a="1"/>
  <c r="FC364" i="7" s="1"/>
  <c r="DT367" i="7" a="1"/>
  <c r="DT367" i="7" s="1"/>
  <c r="DT369" i="7" a="1"/>
  <c r="DT369" i="7" s="1"/>
  <c r="DS320" i="7" a="1"/>
  <c r="DS320" i="7" s="1"/>
  <c r="EU337" i="7" a="1"/>
  <c r="EU337" i="7" s="1"/>
  <c r="ER347" i="7" a="1"/>
  <c r="ER347" i="7" s="1"/>
  <c r="FW353" i="7" a="1"/>
  <c r="FW353" i="7" s="1"/>
  <c r="FR358" i="7" a="1"/>
  <c r="FR358" i="7" s="1"/>
  <c r="DX329" i="7" a="1"/>
  <c r="DX329" i="7" s="1"/>
  <c r="EW342" i="7" a="1"/>
  <c r="EW342" i="7" s="1"/>
  <c r="EG350" i="7" a="1"/>
  <c r="EG350" i="7" s="1"/>
  <c r="FI356" i="7" a="1"/>
  <c r="FI356" i="7" s="1"/>
  <c r="EN361" i="7" a="1"/>
  <c r="EN361" i="7" s="1"/>
  <c r="DU364" i="7" a="1"/>
  <c r="DU364" i="7" s="1"/>
  <c r="DU366" i="7" a="1"/>
  <c r="DU366" i="7" s="1"/>
  <c r="DU368" i="7" a="1"/>
  <c r="DU368" i="7" s="1"/>
  <c r="EW370" i="7" a="1"/>
  <c r="EW370" i="7" s="1"/>
  <c r="EW372" i="7" a="1"/>
  <c r="EW372" i="7" s="1"/>
  <c r="FY374" i="7" a="1"/>
  <c r="FY374" i="7" s="1"/>
  <c r="ES327" i="7" a="1"/>
  <c r="ES327" i="7" s="1"/>
  <c r="DZ342" i="7" a="1"/>
  <c r="DZ342" i="7" s="1"/>
  <c r="EP350" i="7" a="1"/>
  <c r="EP350" i="7" s="1"/>
  <c r="FL355" i="7" a="1"/>
  <c r="FL355" i="7" s="1"/>
  <c r="EV361" i="7" a="1"/>
  <c r="EV361" i="7" s="1"/>
  <c r="FX332" i="7" a="1"/>
  <c r="FX332" i="7" s="1"/>
  <c r="FK345" i="7" a="1"/>
  <c r="FK345" i="7" s="1"/>
  <c r="FY352" i="7" a="1"/>
  <c r="FY352" i="7" s="1"/>
  <c r="DS358" i="7" a="1"/>
  <c r="DS358" i="7" s="1"/>
  <c r="FE362" i="7" a="1"/>
  <c r="FE362" i="7" s="1"/>
  <c r="FE364" i="7" a="1"/>
  <c r="FE364" i="7" s="1"/>
  <c r="FE366" i="7" a="1"/>
  <c r="FE366" i="7" s="1"/>
  <c r="DV369" i="7" a="1"/>
  <c r="DV369" i="7" s="1"/>
  <c r="EV314" i="7" a="1"/>
  <c r="EV314" i="7" s="1"/>
  <c r="FP338" i="7" a="1"/>
  <c r="FP338" i="7" s="1"/>
  <c r="EV347" i="7" a="1"/>
  <c r="EV347" i="7" s="1"/>
  <c r="DW353" i="7" a="1"/>
  <c r="DW353" i="7" s="1"/>
  <c r="FQ329" i="7" a="1"/>
  <c r="FQ329" i="7" s="1"/>
  <c r="EZ344" i="7" a="1"/>
  <c r="EZ344" i="7" s="1"/>
  <c r="FJ350" i="7" a="1"/>
  <c r="FJ350" i="7" s="1"/>
  <c r="FD315" i="7" a="1"/>
  <c r="FD315" i="7" s="1"/>
  <c r="FU333" i="7" a="1"/>
  <c r="FU333" i="7" s="1"/>
  <c r="FR343" i="7" a="1"/>
  <c r="FR343" i="7" s="1"/>
  <c r="ET318" i="7" a="1"/>
  <c r="ET318" i="7" s="1"/>
  <c r="EH334" i="7" a="1"/>
  <c r="EH334" i="7" s="1"/>
  <c r="DT345" i="7" a="1"/>
  <c r="DT345" i="7" s="1"/>
  <c r="EX333" i="7" a="1"/>
  <c r="EX333" i="7" s="1"/>
  <c r="EQ343" i="7" a="1"/>
  <c r="EQ343" i="7" s="1"/>
  <c r="FJ348" i="7" a="1"/>
  <c r="FJ348" i="7" s="1"/>
  <c r="FJ353" i="7" a="1"/>
  <c r="FJ353" i="7" s="1"/>
  <c r="FJ357" i="7" a="1"/>
  <c r="FJ357" i="7" s="1"/>
  <c r="EY361" i="7" a="1"/>
  <c r="EY361" i="7" s="1"/>
  <c r="ED372" i="7" a="1"/>
  <c r="ED372" i="7" s="1"/>
  <c r="EY375" i="7" a="1"/>
  <c r="EY375" i="7" s="1"/>
  <c r="ES362" i="7" a="1"/>
  <c r="ES362" i="7" s="1"/>
  <c r="EK368" i="7" a="1"/>
  <c r="EK368" i="7" s="1"/>
  <c r="EP358" i="7" a="1"/>
  <c r="EP358" i="7" s="1"/>
  <c r="EZ373" i="7" a="1"/>
  <c r="EZ373" i="7" s="1"/>
  <c r="FK356" i="7" a="1"/>
  <c r="FK356" i="7" s="1"/>
  <c r="FF365" i="7" a="1"/>
  <c r="FF365" i="7" s="1"/>
  <c r="FQ371" i="7" a="1"/>
  <c r="FQ371" i="7" s="1"/>
  <c r="FX374" i="7" a="1"/>
  <c r="FX374" i="7" s="1"/>
  <c r="EG359" i="7" a="1"/>
  <c r="EG359" i="7" s="1"/>
  <c r="FF366" i="7" a="1"/>
  <c r="FF366" i="7" s="1"/>
  <c r="DW360" i="7" a="1"/>
  <c r="DW360" i="7" s="1"/>
  <c r="ES366" i="7" a="1"/>
  <c r="ES366" i="7" s="1"/>
  <c r="FS371" i="7" a="1"/>
  <c r="FS371" i="7" s="1"/>
  <c r="FZ374" i="7" a="1"/>
  <c r="FZ374" i="7" s="1"/>
  <c r="FK359" i="7" a="1"/>
  <c r="FK359" i="7" s="1"/>
  <c r="FT361" i="7" a="1"/>
  <c r="FT361" i="7" s="1"/>
  <c r="EK367" i="7" a="1"/>
  <c r="EK367" i="7" s="1"/>
  <c r="EK372" i="7" a="1"/>
  <c r="EK372" i="7" s="1"/>
  <c r="ER375" i="7" a="1"/>
  <c r="ER375" i="7" s="1"/>
  <c r="ER371" i="7" a="1"/>
  <c r="ER371" i="7" s="1"/>
  <c r="FG362" i="7" a="1"/>
  <c r="FG362" i="7" s="1"/>
  <c r="DX368" i="7" a="1"/>
  <c r="DX368" i="7" s="1"/>
  <c r="DQ373" i="7" a="1"/>
  <c r="DQ373" i="7" s="1"/>
  <c r="EN348" i="7" a="1"/>
  <c r="EN348" i="7" s="1"/>
  <c r="EA372" i="7" a="1"/>
  <c r="EA372" i="7" s="1"/>
  <c r="EH375" i="7" a="1"/>
  <c r="EH375" i="7" s="1"/>
  <c r="EM357" i="7" a="1"/>
  <c r="EM357" i="7" s="1"/>
  <c r="EV359" i="7" a="1"/>
  <c r="EV359" i="7" s="1"/>
  <c r="FL373" i="7" a="1"/>
  <c r="FL373" i="7" s="1"/>
  <c r="FR353" i="7" a="1"/>
  <c r="FR353" i="7" s="1"/>
  <c r="EL364" i="7" a="1"/>
  <c r="EL364" i="7" s="1"/>
  <c r="FN369" i="7" a="1"/>
  <c r="FN369" i="7" s="1"/>
  <c r="EA290" i="7" a="1"/>
  <c r="EA290" i="7" s="1"/>
  <c r="FU340" i="7" a="1"/>
  <c r="FU340" i="7" s="1"/>
  <c r="FH351" i="7" a="1"/>
  <c r="FH351" i="7" s="1"/>
  <c r="EV321" i="7" a="1"/>
  <c r="EV321" i="7" s="1"/>
  <c r="DQ333" i="7" a="1"/>
  <c r="DQ333" i="7" s="1"/>
  <c r="FL301" i="7" a="1"/>
  <c r="FL301" i="7" s="1"/>
  <c r="ET328" i="7" a="1"/>
  <c r="ET328" i="7" s="1"/>
  <c r="FJ298" i="7" a="1"/>
  <c r="FJ298" i="7" s="1"/>
  <c r="EM325" i="7" a="1"/>
  <c r="EM325" i="7" s="1"/>
  <c r="EW341" i="7" a="1"/>
  <c r="EW341" i="7" s="1"/>
  <c r="FQ312" i="7" a="1"/>
  <c r="FQ312" i="7" s="1"/>
  <c r="ET334" i="7" a="1"/>
  <c r="ET334" i="7" s="1"/>
  <c r="DW348" i="7" a="1"/>
  <c r="DW348" i="7" s="1"/>
  <c r="FA326" i="7" a="1"/>
  <c r="FA326" i="7" s="1"/>
  <c r="ED340" i="7" a="1"/>
  <c r="ED340" i="7" s="1"/>
  <c r="FD312" i="7" a="1"/>
  <c r="FD312" i="7" s="1"/>
  <c r="ES332" i="7" a="1"/>
  <c r="ES332" i="7" s="1"/>
  <c r="EC314" i="7" a="1"/>
  <c r="EC314" i="7" s="1"/>
  <c r="EG325" i="7" a="1"/>
  <c r="EG325" i="7" s="1"/>
  <c r="FZ308" i="7" a="1"/>
  <c r="FZ308" i="7" s="1"/>
  <c r="EI297" i="7" a="1"/>
  <c r="EI297" i="7" s="1"/>
  <c r="FJ312" i="7" a="1"/>
  <c r="FJ312" i="7" s="1"/>
  <c r="FN324" i="7" a="1"/>
  <c r="FN324" i="7" s="1"/>
  <c r="FO336" i="7" a="1"/>
  <c r="FO336" i="7" s="1"/>
  <c r="FB335" i="7" a="1"/>
  <c r="FB335" i="7" s="1"/>
  <c r="FH358" i="7" a="1"/>
  <c r="FH358" i="7" s="1"/>
  <c r="FO365" i="7" a="1"/>
  <c r="FO365" i="7" s="1"/>
  <c r="DY372" i="7" a="1"/>
  <c r="DY372" i="7" s="1"/>
  <c r="EL332" i="7" a="1"/>
  <c r="EL332" i="7" s="1"/>
  <c r="FK353" i="7" a="1"/>
  <c r="FK353" i="7" s="1"/>
  <c r="FT331" i="7" a="1"/>
  <c r="FT331" i="7" s="1"/>
  <c r="EK352" i="7" a="1"/>
  <c r="EK352" i="7" s="1"/>
  <c r="EU362" i="7" a="1"/>
  <c r="EU362" i="7" s="1"/>
  <c r="DS367" i="7" a="1"/>
  <c r="DS367" i="7" s="1"/>
  <c r="FB370" i="7" a="1"/>
  <c r="FB370" i="7" s="1"/>
  <c r="FW374" i="7" a="1"/>
  <c r="FW374" i="7" s="1"/>
  <c r="FG330" i="7" a="1"/>
  <c r="FG330" i="7" s="1"/>
  <c r="EU343" i="7" a="1"/>
  <c r="EU343" i="7" s="1"/>
  <c r="FE350" i="7" a="1"/>
  <c r="FE350" i="7" s="1"/>
  <c r="EH357" i="7" a="1"/>
  <c r="EH357" i="7" s="1"/>
  <c r="DV314" i="7" a="1"/>
  <c r="DV314" i="7" s="1"/>
  <c r="FH338" i="7" a="1"/>
  <c r="FH338" i="7" s="1"/>
  <c r="FM347" i="7" a="1"/>
  <c r="FM347" i="7" s="1"/>
  <c r="EC353" i="7" a="1"/>
  <c r="EC353" i="7" s="1"/>
  <c r="EC359" i="7" a="1"/>
  <c r="EC359" i="7" s="1"/>
  <c r="FJ362" i="7" a="1"/>
  <c r="FJ362" i="7" s="1"/>
  <c r="EA365" i="7" a="1"/>
  <c r="EA365" i="7" s="1"/>
  <c r="EA367" i="7" a="1"/>
  <c r="EA367" i="7" s="1"/>
  <c r="EA369" i="7" a="1"/>
  <c r="EA369" i="7" s="1"/>
  <c r="EQ321" i="7" a="1"/>
  <c r="EQ321" i="7" s="1"/>
  <c r="EX339" i="7" a="1"/>
  <c r="EX339" i="7" s="1"/>
  <c r="FY348" i="7" a="1"/>
  <c r="FY348" i="7" s="1"/>
  <c r="EC354" i="7" a="1"/>
  <c r="EC354" i="7" s="1"/>
  <c r="DV359" i="7" a="1"/>
  <c r="DV359" i="7" s="1"/>
  <c r="FC329" i="7" a="1"/>
  <c r="FC329" i="7" s="1"/>
  <c r="FN343" i="7" a="1"/>
  <c r="FN343" i="7" s="1"/>
  <c r="FP351" i="7" a="1"/>
  <c r="FP351" i="7" s="1"/>
  <c r="FX356" i="7" a="1"/>
  <c r="FX356" i="7" s="1"/>
  <c r="FC361" i="7" a="1"/>
  <c r="FC361" i="7" s="1"/>
  <c r="EB364" i="7" a="1"/>
  <c r="EB364" i="7" s="1"/>
  <c r="EB366" i="7" a="1"/>
  <c r="EB366" i="7" s="1"/>
  <c r="FD368" i="7" a="1"/>
  <c r="FD368" i="7" s="1"/>
  <c r="FD370" i="7" a="1"/>
  <c r="FD370" i="7" s="1"/>
  <c r="FD372" i="7" a="1"/>
  <c r="FD372" i="7" s="1"/>
  <c r="DU375" i="7" a="1"/>
  <c r="DU375" i="7" s="1"/>
  <c r="DS328" i="7" a="1"/>
  <c r="DS328" i="7" s="1"/>
  <c r="EI344" i="7" a="1"/>
  <c r="EI344" i="7" s="1"/>
  <c r="FQ350" i="7" a="1"/>
  <c r="FQ350" i="7" s="1"/>
  <c r="GA355" i="7" a="1"/>
  <c r="GA355" i="7" s="1"/>
  <c r="FK361" i="7" a="1"/>
  <c r="FK361" i="7" s="1"/>
  <c r="FN333" i="7" a="1"/>
  <c r="FN333" i="7" s="1"/>
  <c r="GA347" i="7" a="1"/>
  <c r="GA347" i="7" s="1"/>
  <c r="EO353" i="7" a="1"/>
  <c r="EO353" i="7" s="1"/>
  <c r="EH358" i="7" a="1"/>
  <c r="EH358" i="7" s="1"/>
  <c r="FL362" i="7" a="1"/>
  <c r="FL362" i="7" s="1"/>
  <c r="FL364" i="7" a="1"/>
  <c r="FL364" i="7" s="1"/>
  <c r="EC367" i="7" a="1"/>
  <c r="EC367" i="7" s="1"/>
  <c r="EC369" i="7" a="1"/>
  <c r="EC369" i="7" s="1"/>
  <c r="FW316" i="7" a="1"/>
  <c r="FW316" i="7" s="1"/>
  <c r="EH339" i="7" a="1"/>
  <c r="EH339" i="7" s="1"/>
  <c r="FF347" i="7" a="1"/>
  <c r="FF347" i="7" s="1"/>
  <c r="FF354" i="7" a="1"/>
  <c r="FF354" i="7" s="1"/>
  <c r="EK330" i="7" a="1"/>
  <c r="EK330" i="7" s="1"/>
  <c r="FO344" i="7" a="1"/>
  <c r="FO344" i="7" s="1"/>
  <c r="GA350" i="7" a="1"/>
  <c r="GA350" i="7" s="1"/>
  <c r="DT317" i="7" a="1"/>
  <c r="DT317" i="7" s="1"/>
  <c r="DW335" i="7" a="1"/>
  <c r="DW335" i="7" s="1"/>
  <c r="DV344" i="7" a="1"/>
  <c r="DV344" i="7" s="1"/>
  <c r="FK319" i="7" a="1"/>
  <c r="FK319" i="7" s="1"/>
  <c r="FK334" i="7" a="1"/>
  <c r="FK334" i="7" s="1"/>
  <c r="EI345" i="7" a="1"/>
  <c r="EI345" i="7" s="1"/>
  <c r="EN334" i="7" a="1"/>
  <c r="EN334" i="7" s="1"/>
  <c r="FF343" i="7" a="1"/>
  <c r="FF343" i="7" s="1"/>
  <c r="EK349" i="7" a="1"/>
  <c r="EK349" i="7" s="1"/>
  <c r="GA353" i="7" a="1"/>
  <c r="GA353" i="7" s="1"/>
  <c r="FY357" i="7" a="1"/>
  <c r="FY357" i="7" s="1"/>
  <c r="GA351" i="7" a="1"/>
  <c r="GA351" i="7" s="1"/>
  <c r="ER372" i="7" a="1"/>
  <c r="ER372" i="7" s="1"/>
  <c r="FM375" i="7" a="1"/>
  <c r="FM375" i="7" s="1"/>
  <c r="FT362" i="7" a="1"/>
  <c r="FT362" i="7" s="1"/>
  <c r="FG368" i="7" a="1"/>
  <c r="FG368" i="7" s="1"/>
  <c r="EF359" i="7" a="1"/>
  <c r="EF359" i="7" s="1"/>
  <c r="FN373" i="7" a="1"/>
  <c r="FN373" i="7" s="1"/>
  <c r="FA357" i="7" a="1"/>
  <c r="FA357" i="7" s="1"/>
  <c r="ER366" i="7" a="1"/>
  <c r="ER366" i="7" s="1"/>
  <c r="DT372" i="7" a="1"/>
  <c r="DT372" i="7" s="1"/>
  <c r="EA375" i="7" a="1"/>
  <c r="EA375" i="7" s="1"/>
  <c r="FJ359" i="7" a="1"/>
  <c r="FJ359" i="7" s="1"/>
  <c r="DQ367" i="7" a="1"/>
  <c r="DQ367" i="7" s="1"/>
  <c r="FX360" i="7" a="1"/>
  <c r="FX360" i="7" s="1"/>
  <c r="FT366" i="7" a="1"/>
  <c r="FT366" i="7" s="1"/>
  <c r="DV372" i="7" a="1"/>
  <c r="DV372" i="7" s="1"/>
  <c r="EC375" i="7" a="1"/>
  <c r="EC375" i="7" s="1"/>
  <c r="EC360" i="7" a="1"/>
  <c r="EC360" i="7" s="1"/>
  <c r="EE362" i="7" a="1"/>
  <c r="EE362" i="7" s="1"/>
  <c r="FG367" i="7" a="1"/>
  <c r="FG367" i="7" s="1"/>
  <c r="EY372" i="7" a="1"/>
  <c r="EY372" i="7" s="1"/>
  <c r="FF375" i="7" a="1"/>
  <c r="FF375" i="7" s="1"/>
  <c r="FJ352" i="7" a="1"/>
  <c r="FJ352" i="7" s="1"/>
  <c r="DW363" i="7" a="1"/>
  <c r="DW363" i="7" s="1"/>
  <c r="EY368" i="7" a="1"/>
  <c r="EY368" i="7" s="1"/>
  <c r="EE373" i="7" a="1"/>
  <c r="EE373" i="7" s="1"/>
  <c r="FK349" i="7" a="1"/>
  <c r="FK349" i="7" s="1"/>
  <c r="EO372" i="7" a="1"/>
  <c r="EO372" i="7" s="1"/>
  <c r="EV375" i="7" a="1"/>
  <c r="EV375" i="7" s="1"/>
  <c r="EK360" i="7" a="1"/>
  <c r="EK360" i="7" s="1"/>
  <c r="FY359" i="7" a="1"/>
  <c r="FY359" i="7" s="1"/>
  <c r="FZ373" i="7" a="1"/>
  <c r="FZ373" i="7" s="1"/>
  <c r="FF355" i="7" a="1"/>
  <c r="FF355" i="7" s="1"/>
  <c r="FM364" i="7" a="1"/>
  <c r="FM364" i="7" s="1"/>
  <c r="ED370" i="7" a="1"/>
  <c r="ED370" i="7" s="1"/>
  <c r="EW304" i="7" a="1"/>
  <c r="EW304" i="7" s="1"/>
  <c r="DY341" i="7" a="1"/>
  <c r="DY341" i="7" s="1"/>
  <c r="EF353" i="7" a="1"/>
  <c r="EF353" i="7" s="1"/>
  <c r="FW321" i="7" a="1"/>
  <c r="FW321" i="7" s="1"/>
  <c r="DX336" i="7" a="1"/>
  <c r="DX336" i="7" s="1"/>
  <c r="FL303" i="7" a="1"/>
  <c r="FL303" i="7" s="1"/>
  <c r="FA331" i="7" a="1"/>
  <c r="FA331" i="7" s="1"/>
  <c r="EC299" i="7" a="1"/>
  <c r="EC299" i="7" s="1"/>
  <c r="EM328" i="7" a="1"/>
  <c r="EM328" i="7" s="1"/>
  <c r="FL341" i="7" a="1"/>
  <c r="FL341" i="7" s="1"/>
  <c r="FJ316" i="7" a="1"/>
  <c r="FJ316" i="7" s="1"/>
  <c r="FI334" i="7" a="1"/>
  <c r="FI334" i="7" s="1"/>
  <c r="EF298" i="7" a="1"/>
  <c r="EF298" i="7" s="1"/>
  <c r="FP326" i="7" a="1"/>
  <c r="FP326" i="7" s="1"/>
  <c r="EK343" i="7" a="1"/>
  <c r="EK343" i="7" s="1"/>
  <c r="DT314" i="7" a="1"/>
  <c r="DT314" i="7" s="1"/>
  <c r="ER335" i="7" a="1"/>
  <c r="ER335" i="7" s="1"/>
  <c r="EM314" i="7" a="1"/>
  <c r="EM314" i="7" s="1"/>
  <c r="EY327" i="7" a="1"/>
  <c r="EY327" i="7" s="1"/>
  <c r="EP309" i="7" a="1"/>
  <c r="EP309" i="7" s="1"/>
  <c r="FZ303" i="7" a="1"/>
  <c r="FZ303" i="7" s="1"/>
  <c r="EA313" i="7" a="1"/>
  <c r="EA313" i="7" s="1"/>
  <c r="FD326" i="7" a="1"/>
  <c r="FD326" i="7" s="1"/>
  <c r="DS337" i="7" a="1"/>
  <c r="DS337" i="7" s="1"/>
  <c r="ED343" i="7" a="1"/>
  <c r="ED343" i="7" s="1"/>
  <c r="FW358" i="7" a="1"/>
  <c r="FW358" i="7" s="1"/>
  <c r="DR367" i="7" a="1"/>
  <c r="DR367" i="7" s="1"/>
  <c r="EF372" i="7" a="1"/>
  <c r="EF372" i="7" s="1"/>
  <c r="DV341" i="7" a="1"/>
  <c r="DV341" i="7" s="1"/>
  <c r="FF356" i="7" a="1"/>
  <c r="FF356" i="7" s="1"/>
  <c r="FJ332" i="7" a="1"/>
  <c r="FJ332" i="7" s="1"/>
  <c r="EU352" i="7" a="1"/>
  <c r="EU352" i="7" s="1"/>
  <c r="FB362" i="7" a="1"/>
  <c r="FB362" i="7" s="1"/>
  <c r="DZ367" i="7" a="1"/>
  <c r="DZ367" i="7" s="1"/>
  <c r="FI371" i="7" a="1"/>
  <c r="FI371" i="7" s="1"/>
  <c r="DS375" i="7" a="1"/>
  <c r="DS375" i="7" s="1"/>
  <c r="EW331" i="7" a="1"/>
  <c r="EW331" i="7" s="1"/>
  <c r="FJ343" i="7" a="1"/>
  <c r="FJ343" i="7" s="1"/>
  <c r="DU351" i="7" a="1"/>
  <c r="DU351" i="7" s="1"/>
  <c r="EW357" i="7" a="1"/>
  <c r="EW357" i="7" s="1"/>
  <c r="FL316" i="7" a="1"/>
  <c r="FL316" i="7" s="1"/>
  <c r="FK340" i="7" a="1"/>
  <c r="FK340" i="7" s="1"/>
  <c r="FW347" i="7" a="1"/>
  <c r="FW347" i="7" s="1"/>
  <c r="FD353" i="7" a="1"/>
  <c r="FD353" i="7" s="1"/>
  <c r="ER359" i="7" a="1"/>
  <c r="ER359" i="7" s="1"/>
  <c r="FQ362" i="7" a="1"/>
  <c r="FQ362" i="7" s="1"/>
  <c r="EH365" i="7" a="1"/>
  <c r="EH365" i="7" s="1"/>
  <c r="EH367" i="7" a="1"/>
  <c r="EH367" i="7" s="1"/>
  <c r="EH369" i="7" a="1"/>
  <c r="EH369" i="7" s="1"/>
  <c r="DR322" i="7" a="1"/>
  <c r="DR322" i="7" s="1"/>
  <c r="GA339" i="7" a="1"/>
  <c r="GA339" i="7" s="1"/>
  <c r="DW349" i="7" a="1"/>
  <c r="DW349" i="7" s="1"/>
  <c r="FD354" i="7" a="1"/>
  <c r="FD354" i="7" s="1"/>
  <c r="EK359" i="7" a="1"/>
  <c r="EK359" i="7" s="1"/>
  <c r="EC330" i="7" a="1"/>
  <c r="EC330" i="7" s="1"/>
  <c r="DR344" i="7" a="1"/>
  <c r="DR344" i="7" s="1"/>
  <c r="DV352" i="7" a="1"/>
  <c r="DV352" i="7" s="1"/>
  <c r="EB357" i="7" a="1"/>
  <c r="EB357" i="7" s="1"/>
  <c r="FR361" i="7" a="1"/>
  <c r="FR361" i="7" s="1"/>
  <c r="EI364" i="7" a="1"/>
  <c r="EI364" i="7" s="1"/>
  <c r="EI366" i="7" a="1"/>
  <c r="EI366" i="7" s="1"/>
  <c r="FK368" i="7" a="1"/>
  <c r="FK368" i="7" s="1"/>
  <c r="FK370" i="7" a="1"/>
  <c r="FK370" i="7" s="1"/>
  <c r="FK372" i="7" a="1"/>
  <c r="FK372" i="7" s="1"/>
  <c r="EB375" i="7" a="1"/>
  <c r="EB375" i="7" s="1"/>
  <c r="EX328" i="7" a="1"/>
  <c r="EX328" i="7" s="1"/>
  <c r="EX344" i="7" a="1"/>
  <c r="EX344" i="7" s="1"/>
  <c r="DW351" i="7" a="1"/>
  <c r="DW351" i="7" s="1"/>
  <c r="EM356" i="7" a="1"/>
  <c r="EM356" i="7" s="1"/>
  <c r="EN315" i="7" a="1"/>
  <c r="EN315" i="7" s="1"/>
  <c r="GA334" i="7" a="1"/>
  <c r="GA334" i="7" s="1"/>
  <c r="DZ348" i="7" a="1"/>
  <c r="DZ348" i="7" s="1"/>
  <c r="FF353" i="7" a="1"/>
  <c r="FF353" i="7" s="1"/>
  <c r="EW358" i="7" a="1"/>
  <c r="EW358" i="7" s="1"/>
  <c r="FS362" i="7" a="1"/>
  <c r="FS362" i="7" s="1"/>
  <c r="FS364" i="7" a="1"/>
  <c r="FS364" i="7" s="1"/>
  <c r="EJ367" i="7" a="1"/>
  <c r="EJ367" i="7" s="1"/>
  <c r="EJ369" i="7" a="1"/>
  <c r="EJ369" i="7" s="1"/>
  <c r="EJ318" i="7" a="1"/>
  <c r="EJ318" i="7" s="1"/>
  <c r="DX340" i="7" a="1"/>
  <c r="DX340" i="7" s="1"/>
  <c r="DQ348" i="7" a="1"/>
  <c r="DQ348" i="7" s="1"/>
  <c r="FP354" i="7" a="1"/>
  <c r="FP354" i="7" s="1"/>
  <c r="FV330" i="7" a="1"/>
  <c r="FV330" i="7" s="1"/>
  <c r="DS345" i="7" a="1"/>
  <c r="DS345" i="7" s="1"/>
  <c r="DZ351" i="7" a="1"/>
  <c r="DZ351" i="7" s="1"/>
  <c r="DS319" i="7" a="1"/>
  <c r="DS319" i="7" s="1"/>
  <c r="FX335" i="7" a="1"/>
  <c r="FX335" i="7" s="1"/>
  <c r="EK344" i="7" a="1"/>
  <c r="EK344" i="7" s="1"/>
  <c r="FJ321" i="7" a="1"/>
  <c r="FJ321" i="7" s="1"/>
  <c r="DX335" i="7" a="1"/>
  <c r="DX335" i="7" s="1"/>
  <c r="FM345" i="7" a="1"/>
  <c r="FM345" i="7" s="1"/>
  <c r="EQ336" i="7" a="1"/>
  <c r="EQ336" i="7" s="1"/>
  <c r="EL345" i="7" a="1"/>
  <c r="EL345" i="7" s="1"/>
  <c r="EU349" i="7" a="1"/>
  <c r="EU349" i="7" s="1"/>
  <c r="DZ354" i="7" a="1"/>
  <c r="DZ354" i="7" s="1"/>
  <c r="EC358" i="7" a="1"/>
  <c r="EC358" i="7" s="1"/>
  <c r="FZ353" i="7" a="1"/>
  <c r="FZ353" i="7" s="1"/>
  <c r="FF372" i="7" a="1"/>
  <c r="FF372" i="7" s="1"/>
  <c r="GA375" i="7" a="1"/>
  <c r="GA375" i="7" s="1"/>
  <c r="EE363" i="7" a="1"/>
  <c r="EE363" i="7" s="1"/>
  <c r="DW369" i="7" a="1"/>
  <c r="DW369" i="7" s="1"/>
  <c r="EI361" i="7" a="1"/>
  <c r="EI361" i="7" s="1"/>
  <c r="DQ374" i="7" a="1"/>
  <c r="DQ374" i="7" s="1"/>
  <c r="DV360" i="7" a="1"/>
  <c r="DV360" i="7" s="1"/>
  <c r="FN366" i="7" a="1"/>
  <c r="FN366" i="7" s="1"/>
  <c r="EH372" i="7" a="1"/>
  <c r="EH372" i="7" s="1"/>
  <c r="EO375" i="7" a="1"/>
  <c r="EO375" i="7" s="1"/>
  <c r="FM361" i="7" a="1"/>
  <c r="FM361" i="7" s="1"/>
  <c r="ED368" i="7" a="1"/>
  <c r="ED368" i="7" s="1"/>
  <c r="EP361" i="7" a="1"/>
  <c r="EP361" i="7" s="1"/>
  <c r="EE367" i="7" a="1"/>
  <c r="EE367" i="7" s="1"/>
  <c r="EJ372" i="7" a="1"/>
  <c r="EJ372" i="7" s="1"/>
  <c r="EQ375" i="7" a="1"/>
  <c r="EQ375" i="7" s="1"/>
  <c r="FA360" i="7" a="1"/>
  <c r="FA360" i="7" s="1"/>
  <c r="FF362" i="7" a="1"/>
  <c r="FF362" i="7" s="1"/>
  <c r="DW368" i="7" a="1"/>
  <c r="DW368" i="7" s="1"/>
  <c r="FM372" i="7" a="1"/>
  <c r="FM372" i="7" s="1"/>
  <c r="FT375" i="7" a="1"/>
  <c r="FT375" i="7" s="1"/>
  <c r="EZ368" i="7" a="1"/>
  <c r="EZ368" i="7" s="1"/>
  <c r="ES363" i="7" a="1"/>
  <c r="ES363" i="7" s="1"/>
  <c r="FU368" i="7" a="1"/>
  <c r="FU368" i="7" s="1"/>
  <c r="ES373" i="7" a="1"/>
  <c r="ES373" i="7" s="1"/>
  <c r="FJ351" i="7" a="1"/>
  <c r="FJ351" i="7" s="1"/>
  <c r="FC372" i="7" a="1"/>
  <c r="FC372" i="7" s="1"/>
  <c r="FJ375" i="7" a="1"/>
  <c r="FJ375" i="7" s="1"/>
  <c r="EL362" i="7" a="1"/>
  <c r="EL362" i="7" s="1"/>
  <c r="FO360" i="7" a="1"/>
  <c r="FO360" i="7" s="1"/>
  <c r="EC374" i="7" a="1"/>
  <c r="EC374" i="7" s="1"/>
  <c r="GA356" i="7" a="1"/>
  <c r="GA356" i="7" s="1"/>
  <c r="DX365" i="7" a="1"/>
  <c r="DX365" i="7" s="1"/>
  <c r="EZ370" i="7" a="1"/>
  <c r="EZ370" i="7" s="1"/>
  <c r="EI305" i="7" a="1"/>
  <c r="EI305" i="7" s="1"/>
  <c r="FC341" i="7" a="1"/>
  <c r="FC341" i="7" s="1"/>
  <c r="EM353" i="7" a="1"/>
  <c r="EM353" i="7" s="1"/>
  <c r="EM322" i="7" a="1"/>
  <c r="EM322" i="7" s="1"/>
  <c r="EM336" i="7" a="1"/>
  <c r="EM336" i="7" s="1"/>
  <c r="EX304" i="7" a="1"/>
  <c r="EX304" i="7" s="1"/>
  <c r="FP331" i="7" a="1"/>
  <c r="FP331" i="7" s="1"/>
  <c r="FV311" i="7" a="1"/>
  <c r="FV311" i="7" s="1"/>
  <c r="FB328" i="7" a="1"/>
  <c r="FB328" i="7" s="1"/>
  <c r="DX342" i="7" a="1"/>
  <c r="DX342" i="7" s="1"/>
  <c r="DZ317" i="7" a="1"/>
  <c r="DZ317" i="7" s="1"/>
  <c r="EB335" i="7" a="1"/>
  <c r="EB335" i="7" s="1"/>
  <c r="FK298" i="7" a="1"/>
  <c r="FK298" i="7" s="1"/>
  <c r="EI327" i="7" a="1"/>
  <c r="EI327" i="7" s="1"/>
  <c r="ES343" i="7" a="1"/>
  <c r="ES343" i="7" s="1"/>
  <c r="FL314" i="7" a="1"/>
  <c r="FL314" i="7" s="1"/>
  <c r="EZ335" i="7" a="1"/>
  <c r="EZ335" i="7" s="1"/>
  <c r="EU315" i="7" a="1"/>
  <c r="EU315" i="7" s="1"/>
  <c r="FG327" i="7" a="1"/>
  <c r="FG327" i="7" s="1"/>
  <c r="EB310" i="7" a="1"/>
  <c r="EB310" i="7" s="1"/>
  <c r="EP304" i="7" a="1"/>
  <c r="EP304" i="7" s="1"/>
  <c r="FC313" i="7" a="1"/>
  <c r="FC313" i="7" s="1"/>
  <c r="FS326" i="7" a="1"/>
  <c r="FS326" i="7" s="1"/>
  <c r="EW337" i="7" a="1"/>
  <c r="EW337" i="7" s="1"/>
  <c r="FU344" i="7" a="1"/>
  <c r="FU344" i="7" s="1"/>
  <c r="EP359" i="7" a="1"/>
  <c r="EP359" i="7" s="1"/>
  <c r="DY367" i="7" a="1"/>
  <c r="DY367" i="7" s="1"/>
  <c r="ET372" i="7" a="1"/>
  <c r="ET372" i="7" s="1"/>
  <c r="EY341" i="7" a="1"/>
  <c r="EY341" i="7" s="1"/>
  <c r="DR357" i="7" a="1"/>
  <c r="DR357" i="7" s="1"/>
  <c r="EG340" i="7" a="1"/>
  <c r="EG340" i="7" s="1"/>
  <c r="FL352" i="7" a="1"/>
  <c r="FL352" i="7" s="1"/>
  <c r="FI362" i="7" a="1"/>
  <c r="FI362" i="7" s="1"/>
  <c r="EG367" i="7" a="1"/>
  <c r="EG367" i="7" s="1"/>
  <c r="FP371" i="7" a="1"/>
  <c r="FP371" i="7" s="1"/>
  <c r="DZ375" i="7" a="1"/>
  <c r="DZ375" i="7" s="1"/>
  <c r="FZ331" i="7" a="1"/>
  <c r="FZ331" i="7" s="1"/>
  <c r="FY343" i="7" a="1"/>
  <c r="FY343" i="7" s="1"/>
  <c r="FD352" i="7" a="1"/>
  <c r="FD352" i="7" s="1"/>
  <c r="FL357" i="7" a="1"/>
  <c r="FL357" i="7" s="1"/>
  <c r="EM317" i="7" a="1"/>
  <c r="EM317" i="7" s="1"/>
  <c r="EC341" i="7" a="1"/>
  <c r="EC341" i="7" s="1"/>
  <c r="DX348" i="7" a="1"/>
  <c r="DX348" i="7" s="1"/>
  <c r="DY355" i="7" a="1"/>
  <c r="DY355" i="7" s="1"/>
  <c r="FO359" i="7" a="1"/>
  <c r="FO359" i="7" s="1"/>
  <c r="FX362" i="7" a="1"/>
  <c r="FX362" i="7" s="1"/>
  <c r="EO365" i="7" a="1"/>
  <c r="EO365" i="7" s="1"/>
  <c r="EO367" i="7" a="1"/>
  <c r="EO367" i="7" s="1"/>
  <c r="FQ369" i="7" a="1"/>
  <c r="FQ369" i="7" s="1"/>
  <c r="FH322" i="7" a="1"/>
  <c r="FH322" i="7" s="1"/>
  <c r="EN340" i="7" a="1"/>
  <c r="EN340" i="7" s="1"/>
  <c r="EG349" i="7" a="1"/>
  <c r="EG349" i="7" s="1"/>
  <c r="DR355" i="7" a="1"/>
  <c r="DR355" i="7" s="1"/>
  <c r="FE360" i="7" a="1"/>
  <c r="FE360" i="7" s="1"/>
  <c r="EA331" i="7" a="1"/>
  <c r="EA331" i="7" s="1"/>
  <c r="EG344" i="7" a="1"/>
  <c r="EG344" i="7" s="1"/>
  <c r="EW352" i="7" a="1"/>
  <c r="EW352" i="7" s="1"/>
  <c r="EQ357" i="7" a="1"/>
  <c r="EQ357" i="7" s="1"/>
  <c r="EP362" i="7" a="1"/>
  <c r="EP362" i="7" s="1"/>
  <c r="EP364" i="7" a="1"/>
  <c r="EP364" i="7" s="1"/>
  <c r="EP366" i="7" a="1"/>
  <c r="EP366" i="7" s="1"/>
  <c r="FR368" i="7" a="1"/>
  <c r="FR368" i="7" s="1"/>
  <c r="FR370" i="7" a="1"/>
  <c r="FR370" i="7" s="1"/>
  <c r="EI373" i="7" a="1"/>
  <c r="EI373" i="7" s="1"/>
  <c r="EI375" i="7" a="1"/>
  <c r="EI375" i="7" s="1"/>
  <c r="FO330" i="7" a="1"/>
  <c r="FO330" i="7" s="1"/>
  <c r="FM344" i="7" a="1"/>
  <c r="FM344" i="7" s="1"/>
  <c r="EG351" i="7" a="1"/>
  <c r="EG351" i="7" s="1"/>
  <c r="EY357" i="7" a="1"/>
  <c r="EY357" i="7" s="1"/>
  <c r="FC317" i="7" a="1"/>
  <c r="FC317" i="7" s="1"/>
  <c r="FQ335" i="7" a="1"/>
  <c r="FQ335" i="7" s="1"/>
  <c r="EK348" i="7" a="1"/>
  <c r="EK348" i="7" s="1"/>
  <c r="FP353" i="7" a="1"/>
  <c r="FP353" i="7" s="1"/>
  <c r="FQ359" i="7" a="1"/>
  <c r="FQ359" i="7" s="1"/>
  <c r="FZ362" i="7" a="1"/>
  <c r="FZ362" i="7" s="1"/>
  <c r="FZ364" i="7" a="1"/>
  <c r="FZ364" i="7" s="1"/>
  <c r="EQ367" i="7" a="1"/>
  <c r="EQ367" i="7" s="1"/>
  <c r="EQ369" i="7" a="1"/>
  <c r="EQ369" i="7" s="1"/>
  <c r="EH325" i="7" a="1"/>
  <c r="EH325" i="7" s="1"/>
  <c r="EK341" i="7" a="1"/>
  <c r="EK341" i="7" s="1"/>
  <c r="EL348" i="7" a="1"/>
  <c r="EL348" i="7" s="1"/>
  <c r="DT355" i="7" a="1"/>
  <c r="DT355" i="7" s="1"/>
  <c r="FY332" i="7" a="1"/>
  <c r="FY332" i="7" s="1"/>
  <c r="FQ346" i="7" a="1"/>
  <c r="FQ346" i="7" s="1"/>
  <c r="EQ351" i="7" a="1"/>
  <c r="EQ351" i="7" s="1"/>
  <c r="EJ320" i="7" a="1"/>
  <c r="EJ320" i="7" s="1"/>
  <c r="EP336" i="7" a="1"/>
  <c r="EP336" i="7" s="1"/>
  <c r="DQ346" i="7" a="1"/>
  <c r="DQ346" i="7" s="1"/>
  <c r="FB323" i="7" a="1"/>
  <c r="FB323" i="7" s="1"/>
  <c r="FD337" i="7" a="1"/>
  <c r="FD337" i="7" s="1"/>
  <c r="EB317" i="7" a="1"/>
  <c r="EB317" i="7" s="1"/>
  <c r="FT336" i="7" a="1"/>
  <c r="FT336" i="7" s="1"/>
  <c r="FA345" i="7" a="1"/>
  <c r="FA345" i="7" s="1"/>
  <c r="FL349" i="7" a="1"/>
  <c r="FL349" i="7" s="1"/>
  <c r="EQ354" i="7" a="1"/>
  <c r="EQ354" i="7" s="1"/>
  <c r="ER358" i="7" a="1"/>
  <c r="ER358" i="7" s="1"/>
  <c r="FD356" i="7" a="1"/>
  <c r="FD356" i="7" s="1"/>
  <c r="FT372" i="7" a="1"/>
  <c r="FT372" i="7" s="1"/>
  <c r="FR346" i="7" a="1"/>
  <c r="FR346" i="7" s="1"/>
  <c r="FF363" i="7" a="1"/>
  <c r="FF363" i="7" s="1"/>
  <c r="ES369" i="7" a="1"/>
  <c r="ES369" i="7" s="1"/>
  <c r="FL361" i="7" a="1"/>
  <c r="FL361" i="7" s="1"/>
  <c r="ES374" i="7" a="1"/>
  <c r="ES374" i="7" s="1"/>
  <c r="ET360" i="7" a="1"/>
  <c r="ET360" i="7" s="1"/>
  <c r="ED367" i="7" a="1"/>
  <c r="ED367" i="7" s="1"/>
  <c r="EV372" i="7" a="1"/>
  <c r="EV372" i="7" s="1"/>
  <c r="FC375" i="7" a="1"/>
  <c r="FC375" i="7" s="1"/>
  <c r="DW371" i="7" a="1"/>
  <c r="DW371" i="7" s="1"/>
  <c r="FM369" i="7" a="1"/>
  <c r="FM369" i="7" s="1"/>
  <c r="ED362" i="7" a="1"/>
  <c r="ED362" i="7" s="1"/>
  <c r="FF367" i="7" a="1"/>
  <c r="FF367" i="7" s="1"/>
  <c r="EX372" i="7" a="1"/>
  <c r="EX372" i="7" s="1"/>
  <c r="FE375" i="7" a="1"/>
  <c r="FE375" i="7" s="1"/>
  <c r="DS361" i="7" a="1"/>
  <c r="DS361" i="7" s="1"/>
  <c r="DQ363" i="7" a="1"/>
  <c r="DQ363" i="7" s="1"/>
  <c r="ES368" i="7" a="1"/>
  <c r="ES368" i="7" s="1"/>
  <c r="GA372" i="7" a="1"/>
  <c r="GA372" i="7" s="1"/>
  <c r="FB350" i="7" a="1"/>
  <c r="FB350" i="7" s="1"/>
  <c r="FC349" i="7" a="1"/>
  <c r="FC349" i="7" s="1"/>
  <c r="FT363" i="7" a="1"/>
  <c r="FT363" i="7" s="1"/>
  <c r="EK369" i="7" a="1"/>
  <c r="EK369" i="7" s="1"/>
  <c r="FG373" i="7" a="1"/>
  <c r="FG373" i="7" s="1"/>
  <c r="FI353" i="7" a="1"/>
  <c r="FI353" i="7" s="1"/>
  <c r="FQ372" i="7" a="1"/>
  <c r="FQ372" i="7" s="1"/>
  <c r="FX375" i="7" a="1"/>
  <c r="FX375" i="7" s="1"/>
  <c r="EK364" i="7" a="1"/>
  <c r="EK364" i="7" s="1"/>
  <c r="EE371" i="7" a="1"/>
  <c r="EE371" i="7" s="1"/>
  <c r="EQ374" i="7" a="1"/>
  <c r="EQ374" i="7" s="1"/>
  <c r="FQ357" i="7" a="1"/>
  <c r="FQ357" i="7" s="1"/>
  <c r="EY365" i="7" a="1"/>
  <c r="EY365" i="7" s="1"/>
  <c r="GA370" i="7" a="1"/>
  <c r="GA370" i="7" s="1"/>
  <c r="DP16" i="7" a="1"/>
  <c r="DP16" i="7" s="1"/>
  <c r="DP114" i="7" a="1"/>
  <c r="DP114" i="7" s="1"/>
  <c r="DP212" i="7" a="1"/>
  <c r="DP212" i="7" s="1"/>
  <c r="DP310" i="7" a="1"/>
  <c r="DP310" i="7" s="1"/>
  <c r="DP45" i="7" a="1"/>
  <c r="DP45" i="7" s="1"/>
  <c r="DP143" i="7" a="1"/>
  <c r="DP143" i="7" s="1"/>
  <c r="DP241" i="7" a="1"/>
  <c r="DP241" i="7" s="1"/>
  <c r="DP339" i="7" a="1"/>
  <c r="DP339" i="7" s="1"/>
  <c r="DP32" i="7" a="1"/>
  <c r="DP32" i="7" s="1"/>
  <c r="DP130" i="7" a="1"/>
  <c r="DP130" i="7" s="1"/>
  <c r="DP228" i="7" a="1"/>
  <c r="DP228" i="7" s="1"/>
  <c r="DP326" i="7" a="1"/>
  <c r="DP326" i="7" s="1"/>
  <c r="DP61" i="7" a="1"/>
  <c r="DP61" i="7" s="1"/>
  <c r="DP159" i="7" a="1"/>
  <c r="DP159" i="7" s="1"/>
  <c r="DP257" i="7" a="1"/>
  <c r="DP257" i="7" s="1"/>
  <c r="DP355" i="7" a="1"/>
  <c r="DP355" i="7" s="1"/>
  <c r="DP97" i="7" a="1"/>
  <c r="DP97" i="7" s="1"/>
  <c r="DP195" i="7" a="1"/>
  <c r="DP195" i="7" s="1"/>
  <c r="DP293" i="7" a="1"/>
  <c r="DP293" i="7" s="1"/>
  <c r="DP21" i="7" a="1"/>
  <c r="DP21" i="7" s="1"/>
  <c r="DP119" i="7" a="1"/>
  <c r="DP119" i="7" s="1"/>
  <c r="DP217" i="7" a="1"/>
  <c r="DP217" i="7" s="1"/>
  <c r="DP315" i="7" a="1"/>
  <c r="DP315" i="7" s="1"/>
  <c r="DP29" i="7" a="1"/>
  <c r="DP29" i="7" s="1"/>
  <c r="DP127" i="7" a="1"/>
  <c r="DP127" i="7" s="1"/>
  <c r="DP232" i="7" a="1"/>
  <c r="DP232" i="7" s="1"/>
  <c r="DP23" i="7" a="1"/>
  <c r="DP23" i="7" s="1"/>
  <c r="DP121" i="7" a="1"/>
  <c r="DP121" i="7" s="1"/>
  <c r="DP219" i="7" a="1"/>
  <c r="DP219" i="7" s="1"/>
  <c r="DP317" i="7" a="1"/>
  <c r="DP317" i="7" s="1"/>
  <c r="DP52" i="7" a="1"/>
  <c r="DP52" i="7" s="1"/>
  <c r="DP150" i="7" a="1"/>
  <c r="DP150" i="7" s="1"/>
  <c r="DP248" i="7" a="1"/>
  <c r="DP248" i="7" s="1"/>
  <c r="DP346" i="7" a="1"/>
  <c r="DP346" i="7" s="1"/>
  <c r="DP39" i="7" a="1"/>
  <c r="DP39" i="7" s="1"/>
  <c r="DP137" i="7" a="1"/>
  <c r="DP137" i="7" s="1"/>
  <c r="DP235" i="7" a="1"/>
  <c r="DP235" i="7" s="1"/>
  <c r="DP333" i="7" a="1"/>
  <c r="DP333" i="7" s="1"/>
  <c r="DP68" i="7" a="1"/>
  <c r="DP68" i="7" s="1"/>
  <c r="DP166" i="7" a="1"/>
  <c r="DP166" i="7" s="1"/>
  <c r="DP264" i="7" a="1"/>
  <c r="DP264" i="7" s="1"/>
  <c r="DP362" i="7" a="1"/>
  <c r="DP362" i="7" s="1"/>
  <c r="DP104" i="7" a="1"/>
  <c r="DP104" i="7" s="1"/>
  <c r="DP202" i="7" a="1"/>
  <c r="DP202" i="7" s="1"/>
  <c r="DP300" i="7" a="1"/>
  <c r="DP300" i="7" s="1"/>
  <c r="DP28" i="7" a="1"/>
  <c r="DP28" i="7" s="1"/>
  <c r="DP126" i="7" a="1"/>
  <c r="DP126" i="7" s="1"/>
  <c r="DP224" i="7" a="1"/>
  <c r="DP224" i="7" s="1"/>
  <c r="DP322" i="7" a="1"/>
  <c r="DP322" i="7" s="1"/>
  <c r="DP36" i="7" a="1"/>
  <c r="DP36" i="7" s="1"/>
  <c r="DP134" i="7" a="1"/>
  <c r="DP134" i="7" s="1"/>
  <c r="DP246" i="7" a="1"/>
  <c r="DP246" i="7" s="1"/>
  <c r="DP30" i="7" a="1"/>
  <c r="DP30" i="7" s="1"/>
  <c r="DP128" i="7" a="1"/>
  <c r="DP128" i="7" s="1"/>
  <c r="DP226" i="7" a="1"/>
  <c r="DP226" i="7" s="1"/>
  <c r="DP324" i="7" a="1"/>
  <c r="DP324" i="7" s="1"/>
  <c r="DP59" i="7" a="1"/>
  <c r="DP59" i="7" s="1"/>
  <c r="DP157" i="7" a="1"/>
  <c r="DP157" i="7" s="1"/>
  <c r="DP255" i="7" a="1"/>
  <c r="DP255" i="7" s="1"/>
  <c r="DP353" i="7" a="1"/>
  <c r="DP353" i="7" s="1"/>
  <c r="DP46" i="7" a="1"/>
  <c r="DP46" i="7" s="1"/>
  <c r="DP144" i="7" a="1"/>
  <c r="DP144" i="7" s="1"/>
  <c r="DP242" i="7" a="1"/>
  <c r="DP242" i="7" s="1"/>
  <c r="DP340" i="7" a="1"/>
  <c r="DP340" i="7" s="1"/>
  <c r="DP75" i="7" a="1"/>
  <c r="DP75" i="7" s="1"/>
  <c r="DP173" i="7" a="1"/>
  <c r="DP173" i="7" s="1"/>
  <c r="DP271" i="7" a="1"/>
  <c r="DP271" i="7" s="1"/>
  <c r="DP369" i="7" a="1"/>
  <c r="DP369" i="7" s="1"/>
  <c r="DP111" i="7" a="1"/>
  <c r="DP111" i="7" s="1"/>
  <c r="DP209" i="7" a="1"/>
  <c r="DP209" i="7" s="1"/>
  <c r="DP307" i="7" a="1"/>
  <c r="DP307" i="7" s="1"/>
  <c r="DP35" i="7" a="1"/>
  <c r="DP35" i="7" s="1"/>
  <c r="DP133" i="7" a="1"/>
  <c r="DP133" i="7" s="1"/>
  <c r="DP231" i="7" a="1"/>
  <c r="DP231" i="7" s="1"/>
  <c r="DP329" i="7" a="1"/>
  <c r="DP329" i="7" s="1"/>
  <c r="DP43" i="7" a="1"/>
  <c r="DP43" i="7" s="1"/>
  <c r="DP141" i="7" a="1"/>
  <c r="DP141" i="7" s="1"/>
  <c r="DP253" i="7" a="1"/>
  <c r="DP253" i="7" s="1"/>
  <c r="DP37" i="7" a="1"/>
  <c r="DP37" i="7" s="1"/>
  <c r="DP135" i="7" a="1"/>
  <c r="DP135" i="7" s="1"/>
  <c r="DP233" i="7" a="1"/>
  <c r="DP233" i="7" s="1"/>
  <c r="DP331" i="7" a="1"/>
  <c r="DP331" i="7" s="1"/>
  <c r="DP66" i="7" a="1"/>
  <c r="DP66" i="7" s="1"/>
  <c r="DP164" i="7" a="1"/>
  <c r="DP164" i="7" s="1"/>
  <c r="DP262" i="7" a="1"/>
  <c r="DP262" i="7" s="1"/>
  <c r="DP360" i="7" a="1"/>
  <c r="DP360" i="7" s="1"/>
  <c r="DP53" i="7" a="1"/>
  <c r="DP53" i="7" s="1"/>
  <c r="DP151" i="7" a="1"/>
  <c r="DP151" i="7" s="1"/>
  <c r="DP249" i="7" a="1"/>
  <c r="DP249" i="7" s="1"/>
  <c r="DP347" i="7" a="1"/>
  <c r="DP347" i="7" s="1"/>
  <c r="DP82" i="7" a="1"/>
  <c r="DP82" i="7" s="1"/>
  <c r="DP180" i="7" a="1"/>
  <c r="DP180" i="7" s="1"/>
  <c r="DP278" i="7" a="1"/>
  <c r="DP278" i="7" s="1"/>
  <c r="DP20" i="7" a="1"/>
  <c r="DP20" i="7" s="1"/>
  <c r="DP118" i="7" a="1"/>
  <c r="DP118" i="7" s="1"/>
  <c r="DP216" i="7" a="1"/>
  <c r="DP216" i="7" s="1"/>
  <c r="DP314" i="7" a="1"/>
  <c r="DP314" i="7" s="1"/>
  <c r="DP42" i="7" a="1"/>
  <c r="DP42" i="7" s="1"/>
  <c r="DP140" i="7" a="1"/>
  <c r="DP140" i="7" s="1"/>
  <c r="DP238" i="7" a="1"/>
  <c r="DP238" i="7" s="1"/>
  <c r="DP336" i="7" a="1"/>
  <c r="DP336" i="7" s="1"/>
  <c r="DP50" i="7" a="1"/>
  <c r="DP50" i="7" s="1"/>
  <c r="DP148" i="7" a="1"/>
  <c r="DP148" i="7" s="1"/>
  <c r="DP267" i="7" a="1"/>
  <c r="DP267" i="7" s="1"/>
  <c r="DP44" i="7" a="1"/>
  <c r="DP44" i="7" s="1"/>
  <c r="DP142" i="7" a="1"/>
  <c r="DP142" i="7" s="1"/>
  <c r="DP240" i="7" a="1"/>
  <c r="DP240" i="7" s="1"/>
  <c r="DP338" i="7" a="1"/>
  <c r="DP338" i="7" s="1"/>
  <c r="DP73" i="7" a="1"/>
  <c r="DP73" i="7" s="1"/>
  <c r="DP171" i="7" a="1"/>
  <c r="DP171" i="7" s="1"/>
  <c r="DP269" i="7" a="1"/>
  <c r="DP269" i="7" s="1"/>
  <c r="DP367" i="7" a="1"/>
  <c r="DP367" i="7" s="1"/>
  <c r="DP60" i="7" a="1"/>
  <c r="DP60" i="7" s="1"/>
  <c r="DP158" i="7" a="1"/>
  <c r="DP158" i="7" s="1"/>
  <c r="DP256" i="7" a="1"/>
  <c r="DP256" i="7" s="1"/>
  <c r="DP354" i="7" a="1"/>
  <c r="DP354" i="7" s="1"/>
  <c r="DP89" i="7" a="1"/>
  <c r="DP89" i="7" s="1"/>
  <c r="DP187" i="7" a="1"/>
  <c r="DP187" i="7" s="1"/>
  <c r="DP285" i="7" a="1"/>
  <c r="DP285" i="7" s="1"/>
  <c r="DP27" i="7" a="1"/>
  <c r="DP27" i="7" s="1"/>
  <c r="DP125" i="7" a="1"/>
  <c r="DP125" i="7" s="1"/>
  <c r="DP223" i="7" a="1"/>
  <c r="DP223" i="7" s="1"/>
  <c r="DP321" i="7" a="1"/>
  <c r="DP321" i="7" s="1"/>
  <c r="DP49" i="7" a="1"/>
  <c r="DP49" i="7" s="1"/>
  <c r="DP147" i="7" a="1"/>
  <c r="DP147" i="7" s="1"/>
  <c r="DP245" i="7" a="1"/>
  <c r="DP245" i="7" s="1"/>
  <c r="DP343" i="7" a="1"/>
  <c r="DP343" i="7" s="1"/>
  <c r="DP57" i="7" a="1"/>
  <c r="DP57" i="7" s="1"/>
  <c r="DP155" i="7" a="1"/>
  <c r="DP155" i="7" s="1"/>
  <c r="DP281" i="7" a="1"/>
  <c r="DP281" i="7" s="1"/>
  <c r="DP51" i="7" a="1"/>
  <c r="DP51" i="7" s="1"/>
  <c r="DP149" i="7" a="1"/>
  <c r="DP149" i="7" s="1"/>
  <c r="DP247" i="7" a="1"/>
  <c r="DP247" i="7" s="1"/>
  <c r="DP345" i="7" a="1"/>
  <c r="DP345" i="7" s="1"/>
  <c r="DP80" i="7" a="1"/>
  <c r="DP80" i="7" s="1"/>
  <c r="DP178" i="7" a="1"/>
  <c r="DP178" i="7" s="1"/>
  <c r="DP276" i="7" a="1"/>
  <c r="DP276" i="7" s="1"/>
  <c r="DP374" i="7" a="1"/>
  <c r="DP374" i="7" s="1"/>
  <c r="DP67" i="7" a="1"/>
  <c r="DP67" i="7" s="1"/>
  <c r="DP165" i="7" a="1"/>
  <c r="DP165" i="7" s="1"/>
  <c r="DP263" i="7" a="1"/>
  <c r="DP263" i="7" s="1"/>
  <c r="DP361" i="7" a="1"/>
  <c r="DP361" i="7" s="1"/>
  <c r="DP96" i="7" a="1"/>
  <c r="DP96" i="7" s="1"/>
  <c r="DP194" i="7" a="1"/>
  <c r="DP194" i="7" s="1"/>
  <c r="DP292" i="7" a="1"/>
  <c r="DP292" i="7" s="1"/>
  <c r="DP34" i="7" a="1"/>
  <c r="DP34" i="7" s="1"/>
  <c r="DP132" i="7" a="1"/>
  <c r="DP132" i="7" s="1"/>
  <c r="DP230" i="7" a="1"/>
  <c r="DP230" i="7" s="1"/>
  <c r="DP328" i="7" a="1"/>
  <c r="DP328" i="7" s="1"/>
  <c r="DP56" i="7" a="1"/>
  <c r="DP56" i="7" s="1"/>
  <c r="DP154" i="7" a="1"/>
  <c r="DP154" i="7" s="1"/>
  <c r="DP252" i="7" a="1"/>
  <c r="DP252" i="7" s="1"/>
  <c r="DP350" i="7" a="1"/>
  <c r="DP350" i="7" s="1"/>
  <c r="DP64" i="7" a="1"/>
  <c r="DP64" i="7" s="1"/>
  <c r="DP162" i="7" a="1"/>
  <c r="DP162" i="7" s="1"/>
  <c r="DP288" i="7" a="1"/>
  <c r="DP288" i="7" s="1"/>
  <c r="DP58" i="7" a="1"/>
  <c r="DP58" i="7" s="1"/>
  <c r="DP156" i="7" a="1"/>
  <c r="DP156" i="7" s="1"/>
  <c r="DP254" i="7" a="1"/>
  <c r="DP254" i="7" s="1"/>
  <c r="DP352" i="7" a="1"/>
  <c r="DP352" i="7" s="1"/>
  <c r="DP87" i="7" a="1"/>
  <c r="DP87" i="7" s="1"/>
  <c r="DP185" i="7" a="1"/>
  <c r="DP185" i="7" s="1"/>
  <c r="DP283" i="7" a="1"/>
  <c r="DP283" i="7" s="1"/>
  <c r="DP239" i="7" a="1"/>
  <c r="DP239" i="7" s="1"/>
  <c r="DP74" i="7" a="1"/>
  <c r="DP74" i="7" s="1"/>
  <c r="DP172" i="7" a="1"/>
  <c r="DP172" i="7" s="1"/>
  <c r="DP270" i="7" a="1"/>
  <c r="DP270" i="7" s="1"/>
  <c r="DP368" i="7" a="1"/>
  <c r="DP368" i="7" s="1"/>
  <c r="DP103" i="7" a="1"/>
  <c r="DP103" i="7" s="1"/>
  <c r="DP201" i="7" a="1"/>
  <c r="DP201" i="7" s="1"/>
  <c r="DP299" i="7" a="1"/>
  <c r="DP299" i="7" s="1"/>
  <c r="DP41" i="7" a="1"/>
  <c r="DP41" i="7" s="1"/>
  <c r="DP139" i="7" a="1"/>
  <c r="DP139" i="7" s="1"/>
  <c r="DP237" i="7" a="1"/>
  <c r="DP237" i="7" s="1"/>
  <c r="DP335" i="7" a="1"/>
  <c r="DP335" i="7" s="1"/>
  <c r="DP63" i="7" a="1"/>
  <c r="DP63" i="7" s="1"/>
  <c r="DP161" i="7" a="1"/>
  <c r="DP161" i="7" s="1"/>
  <c r="DP259" i="7" a="1"/>
  <c r="DP259" i="7" s="1"/>
  <c r="DP357" i="7" a="1"/>
  <c r="DP357" i="7" s="1"/>
  <c r="DP71" i="7" a="1"/>
  <c r="DP71" i="7" s="1"/>
  <c r="DP169" i="7" a="1"/>
  <c r="DP169" i="7" s="1"/>
  <c r="DP295" i="7" a="1"/>
  <c r="DP295" i="7" s="1"/>
  <c r="DP65" i="7" a="1"/>
  <c r="DP65" i="7" s="1"/>
  <c r="DP163" i="7" a="1"/>
  <c r="DP163" i="7" s="1"/>
  <c r="DP261" i="7" a="1"/>
  <c r="DP261" i="7" s="1"/>
  <c r="DP359" i="7" a="1"/>
  <c r="DP359" i="7" s="1"/>
  <c r="DP94" i="7" a="1"/>
  <c r="DP94" i="7" s="1"/>
  <c r="DP192" i="7" a="1"/>
  <c r="DP192" i="7" s="1"/>
  <c r="DP290" i="7" a="1"/>
  <c r="DP290" i="7" s="1"/>
  <c r="DP302" i="7" a="1"/>
  <c r="DP302" i="7" s="1"/>
  <c r="DP81" i="7" a="1"/>
  <c r="DP81" i="7" s="1"/>
  <c r="DP179" i="7" a="1"/>
  <c r="DP179" i="7" s="1"/>
  <c r="DP277" i="7" a="1"/>
  <c r="DP277" i="7" s="1"/>
  <c r="DP375" i="7" a="1"/>
  <c r="DP375" i="7" s="1"/>
  <c r="DP110" i="7" a="1"/>
  <c r="DP110" i="7" s="1"/>
  <c r="DP208" i="7" a="1"/>
  <c r="DP208" i="7" s="1"/>
  <c r="DP306" i="7" a="1"/>
  <c r="DP306" i="7" s="1"/>
  <c r="DP48" i="7" a="1"/>
  <c r="DP48" i="7" s="1"/>
  <c r="DP146" i="7" a="1"/>
  <c r="DP146" i="7" s="1"/>
  <c r="DP244" i="7" a="1"/>
  <c r="DP244" i="7" s="1"/>
  <c r="DP342" i="7" a="1"/>
  <c r="DP342" i="7" s="1"/>
  <c r="DP70" i="7" a="1"/>
  <c r="DP70" i="7" s="1"/>
  <c r="DP168" i="7" a="1"/>
  <c r="DP168" i="7" s="1"/>
  <c r="DP266" i="7" a="1"/>
  <c r="DP266" i="7" s="1"/>
  <c r="DP364" i="7" a="1"/>
  <c r="DP364" i="7" s="1"/>
  <c r="DP78" i="7" a="1"/>
  <c r="DP78" i="7" s="1"/>
  <c r="DP176" i="7" a="1"/>
  <c r="DP176" i="7" s="1"/>
  <c r="DP309" i="7" a="1"/>
  <c r="DP309" i="7" s="1"/>
  <c r="DP72" i="7" a="1"/>
  <c r="DP72" i="7" s="1"/>
  <c r="DP170" i="7" a="1"/>
  <c r="DP170" i="7" s="1"/>
  <c r="DP268" i="7" a="1"/>
  <c r="DP268" i="7" s="1"/>
  <c r="DP366" i="7" a="1"/>
  <c r="DP366" i="7" s="1"/>
  <c r="DP101" i="7" a="1"/>
  <c r="DP101" i="7" s="1"/>
  <c r="DP199" i="7" a="1"/>
  <c r="DP199" i="7" s="1"/>
  <c r="DP297" i="7" a="1"/>
  <c r="DP297" i="7" s="1"/>
  <c r="DP330" i="7" a="1"/>
  <c r="DP330" i="7" s="1"/>
  <c r="DP88" i="7" a="1"/>
  <c r="DP88" i="7" s="1"/>
  <c r="DP186" i="7" a="1"/>
  <c r="DP186" i="7" s="1"/>
  <c r="DP284" i="7" a="1"/>
  <c r="DP284" i="7" s="1"/>
  <c r="DP19" i="7" a="1"/>
  <c r="DP19" i="7" s="1"/>
  <c r="DP117" i="7" a="1"/>
  <c r="DP117" i="7" s="1"/>
  <c r="DP215" i="7" a="1"/>
  <c r="DP215" i="7" s="1"/>
  <c r="DP313" i="7" a="1"/>
  <c r="DP313" i="7" s="1"/>
  <c r="DP55" i="7" a="1"/>
  <c r="DP55" i="7" s="1"/>
  <c r="DP153" i="7" a="1"/>
  <c r="DP153" i="7" s="1"/>
  <c r="DP251" i="7" a="1"/>
  <c r="DP251" i="7" s="1"/>
  <c r="DP349" i="7" a="1"/>
  <c r="DP349" i="7" s="1"/>
  <c r="DP77" i="7" a="1"/>
  <c r="DP77" i="7" s="1"/>
  <c r="DP175" i="7" a="1"/>
  <c r="DP175" i="7" s="1"/>
  <c r="DP273" i="7" a="1"/>
  <c r="DP273" i="7" s="1"/>
  <c r="DP371" i="7" a="1"/>
  <c r="DP371" i="7" s="1"/>
  <c r="DP85" i="7" a="1"/>
  <c r="DP85" i="7" s="1"/>
  <c r="DP183" i="7" a="1"/>
  <c r="DP183" i="7" s="1"/>
  <c r="DP323" i="7" a="1"/>
  <c r="DP323" i="7" s="1"/>
  <c r="DP79" i="7" a="1"/>
  <c r="DP79" i="7" s="1"/>
  <c r="DP177" i="7" a="1"/>
  <c r="DP177" i="7" s="1"/>
  <c r="DP275" i="7" a="1"/>
  <c r="DP275" i="7" s="1"/>
  <c r="DP373" i="7" a="1"/>
  <c r="DP373" i="7" s="1"/>
  <c r="DP108" i="7" a="1"/>
  <c r="DP108" i="7" s="1"/>
  <c r="DP206" i="7" a="1"/>
  <c r="DP206" i="7" s="1"/>
  <c r="DP304" i="7" a="1"/>
  <c r="DP304" i="7" s="1"/>
  <c r="DP351" i="7" a="1"/>
  <c r="DP351" i="7" s="1"/>
  <c r="DP95" i="7" a="1"/>
  <c r="DP95" i="7" s="1"/>
  <c r="DP193" i="7" a="1"/>
  <c r="DP193" i="7" s="1"/>
  <c r="DP291" i="7" a="1"/>
  <c r="DP291" i="7" s="1"/>
  <c r="DP26" i="7" a="1"/>
  <c r="DP26" i="7" s="1"/>
  <c r="DP124" i="7" a="1"/>
  <c r="DP124" i="7" s="1"/>
  <c r="DP222" i="7" a="1"/>
  <c r="DP222" i="7" s="1"/>
  <c r="DP320" i="7" a="1"/>
  <c r="DP320" i="7" s="1"/>
  <c r="DP62" i="7" a="1"/>
  <c r="DP62" i="7" s="1"/>
  <c r="DP160" i="7" a="1"/>
  <c r="DP160" i="7" s="1"/>
  <c r="DP258" i="7" a="1"/>
  <c r="DP258" i="7" s="1"/>
  <c r="DP356" i="7" a="1"/>
  <c r="DP356" i="7" s="1"/>
  <c r="DP84" i="7" a="1"/>
  <c r="DP84" i="7" s="1"/>
  <c r="DP182" i="7" a="1"/>
  <c r="DP182" i="7" s="1"/>
  <c r="DP280" i="7" a="1"/>
  <c r="DP280" i="7" s="1"/>
  <c r="DP274" i="7" a="1"/>
  <c r="DP274" i="7" s="1"/>
  <c r="DP92" i="7" a="1"/>
  <c r="DP92" i="7" s="1"/>
  <c r="DP197" i="7" a="1"/>
  <c r="DP197" i="7" s="1"/>
  <c r="DP358" i="7" a="1"/>
  <c r="DP358" i="7" s="1"/>
  <c r="DP86" i="7" a="1"/>
  <c r="DP86" i="7" s="1"/>
  <c r="DP184" i="7" a="1"/>
  <c r="DP184" i="7" s="1"/>
  <c r="DP282" i="7" a="1"/>
  <c r="DP282" i="7" s="1"/>
  <c r="DP17" i="7" a="1"/>
  <c r="DP17" i="7" s="1"/>
  <c r="DP115" i="7" a="1"/>
  <c r="DP115" i="7" s="1"/>
  <c r="DP213" i="7" a="1"/>
  <c r="DP213" i="7" s="1"/>
  <c r="DP311" i="7" a="1"/>
  <c r="DP311" i="7" s="1"/>
  <c r="DP372" i="7" a="1"/>
  <c r="DP372" i="7" s="1"/>
  <c r="DP102" i="7" a="1"/>
  <c r="DP102" i="7" s="1"/>
  <c r="DP200" i="7" a="1"/>
  <c r="DP200" i="7" s="1"/>
  <c r="DP298" i="7" a="1"/>
  <c r="DP298" i="7" s="1"/>
  <c r="DP33" i="7" a="1"/>
  <c r="DP33" i="7" s="1"/>
  <c r="DP131" i="7" a="1"/>
  <c r="DP131" i="7" s="1"/>
  <c r="DP229" i="7" a="1"/>
  <c r="DP229" i="7" s="1"/>
  <c r="DP327" i="7" a="1"/>
  <c r="DP327" i="7" s="1"/>
  <c r="DP69" i="7" a="1"/>
  <c r="DP69" i="7" s="1"/>
  <c r="DP167" i="7" a="1"/>
  <c r="DP167" i="7" s="1"/>
  <c r="DP265" i="7" a="1"/>
  <c r="DP265" i="7" s="1"/>
  <c r="DP363" i="7" a="1"/>
  <c r="DP363" i="7" s="1"/>
  <c r="DP91" i="7" a="1"/>
  <c r="DP91" i="7" s="1"/>
  <c r="DP189" i="7" a="1"/>
  <c r="DP189" i="7" s="1"/>
  <c r="DP287" i="7" a="1"/>
  <c r="DP287" i="7" s="1"/>
  <c r="DP316" i="7" a="1"/>
  <c r="DP316" i="7" s="1"/>
  <c r="DP99" i="7" a="1"/>
  <c r="DP99" i="7" s="1"/>
  <c r="DP204" i="7" a="1"/>
  <c r="DP204" i="7" s="1"/>
  <c r="DP93" i="7" a="1"/>
  <c r="DP93" i="7" s="1"/>
  <c r="DP191" i="7" a="1"/>
  <c r="DP191" i="7" s="1"/>
  <c r="DP289" i="7" a="1"/>
  <c r="DP289" i="7" s="1"/>
  <c r="DP24" i="7" a="1"/>
  <c r="DP24" i="7" s="1"/>
  <c r="DP122" i="7" a="1"/>
  <c r="DP122" i="7" s="1"/>
  <c r="DP220" i="7" a="1"/>
  <c r="DP220" i="7" s="1"/>
  <c r="DP318" i="7" a="1"/>
  <c r="DP318" i="7" s="1"/>
  <c r="DP190" i="7" a="1"/>
  <c r="DP190" i="7" s="1"/>
  <c r="DP109" i="7" a="1"/>
  <c r="DP109" i="7" s="1"/>
  <c r="DP207" i="7" a="1"/>
  <c r="DP207" i="7" s="1"/>
  <c r="DP305" i="7" a="1"/>
  <c r="DP305" i="7" s="1"/>
  <c r="DP40" i="7" a="1"/>
  <c r="DP40" i="7" s="1"/>
  <c r="DP138" i="7" a="1"/>
  <c r="DP138" i="7" s="1"/>
  <c r="DP236" i="7" a="1"/>
  <c r="DP236" i="7" s="1"/>
  <c r="DP334" i="7" a="1"/>
  <c r="DP334" i="7" s="1"/>
  <c r="DP76" i="7" a="1"/>
  <c r="DP76" i="7" s="1"/>
  <c r="DP174" i="7" a="1"/>
  <c r="DP174" i="7" s="1"/>
  <c r="DP272" i="7" a="1"/>
  <c r="DP272" i="7" s="1"/>
  <c r="DP370" i="7" a="1"/>
  <c r="DP370" i="7" s="1"/>
  <c r="DP98" i="7" a="1"/>
  <c r="DP98" i="7" s="1"/>
  <c r="DP196" i="7" a="1"/>
  <c r="DP196" i="7" s="1"/>
  <c r="DP294" i="7" a="1"/>
  <c r="DP294" i="7" s="1"/>
  <c r="DP337" i="7" a="1"/>
  <c r="DP337" i="7" s="1"/>
  <c r="DP106" i="7" a="1"/>
  <c r="DP106" i="7" s="1"/>
  <c r="DP211" i="7" a="1"/>
  <c r="DP211" i="7" s="1"/>
  <c r="DP100" i="7" a="1"/>
  <c r="DP100" i="7" s="1"/>
  <c r="DP198" i="7" a="1"/>
  <c r="DP198" i="7" s="1"/>
  <c r="DP296" i="7" a="1"/>
  <c r="DP296" i="7" s="1"/>
  <c r="DP31" i="7" a="1"/>
  <c r="DP31" i="7" s="1"/>
  <c r="DP129" i="7" a="1"/>
  <c r="DP129" i="7" s="1"/>
  <c r="DP227" i="7" a="1"/>
  <c r="DP227" i="7" s="1"/>
  <c r="DP325" i="7" a="1"/>
  <c r="DP325" i="7" s="1"/>
  <c r="DP18" i="7" a="1"/>
  <c r="DP18" i="7" s="1"/>
  <c r="DP116" i="7" a="1"/>
  <c r="DP116" i="7" s="1"/>
  <c r="DP214" i="7" a="1"/>
  <c r="DP214" i="7" s="1"/>
  <c r="DP312" i="7" a="1"/>
  <c r="DP312" i="7" s="1"/>
  <c r="DP47" i="7" a="1"/>
  <c r="DP47" i="7" s="1"/>
  <c r="DP145" i="7" a="1"/>
  <c r="DP145" i="7" s="1"/>
  <c r="DP243" i="7" a="1"/>
  <c r="DP243" i="7" s="1"/>
  <c r="DP341" i="7" a="1"/>
  <c r="DP341" i="7" s="1"/>
  <c r="DP83" i="7" a="1"/>
  <c r="DP83" i="7" s="1"/>
  <c r="DP181" i="7" a="1"/>
  <c r="DP181" i="7" s="1"/>
  <c r="DP279" i="7" a="1"/>
  <c r="DP279" i="7" s="1"/>
  <c r="DP260" i="7" a="1"/>
  <c r="DP260" i="7" s="1"/>
  <c r="DP105" i="7" a="1"/>
  <c r="DP105" i="7" s="1"/>
  <c r="DP203" i="7" a="1"/>
  <c r="DP203" i="7" s="1"/>
  <c r="DP301" i="7" a="1"/>
  <c r="DP301" i="7" s="1"/>
  <c r="DP365" i="7" a="1"/>
  <c r="DP365" i="7" s="1"/>
  <c r="DP113" i="7" a="1"/>
  <c r="DP113" i="7" s="1"/>
  <c r="DP218" i="7" a="1"/>
  <c r="DP218" i="7" s="1"/>
  <c r="DP107" i="7" a="1"/>
  <c r="DP107" i="7" s="1"/>
  <c r="DP205" i="7" a="1"/>
  <c r="DP205" i="7" s="1"/>
  <c r="DP303" i="7" a="1"/>
  <c r="DP303" i="7" s="1"/>
  <c r="DP38" i="7" a="1"/>
  <c r="DP38" i="7" s="1"/>
  <c r="DP136" i="7" a="1"/>
  <c r="DP136" i="7" s="1"/>
  <c r="DP234" i="7" a="1"/>
  <c r="DP234" i="7" s="1"/>
  <c r="DP332" i="7" a="1"/>
  <c r="DP332" i="7" s="1"/>
  <c r="DP25" i="7" a="1"/>
  <c r="DP25" i="7" s="1"/>
  <c r="DP123" i="7" a="1"/>
  <c r="DP123" i="7" s="1"/>
  <c r="DP221" i="7" a="1"/>
  <c r="DP221" i="7" s="1"/>
  <c r="DP319" i="7" a="1"/>
  <c r="DP319" i="7" s="1"/>
  <c r="DP54" i="7" a="1"/>
  <c r="DP54" i="7" s="1"/>
  <c r="DP152" i="7" a="1"/>
  <c r="DP152" i="7" s="1"/>
  <c r="DP250" i="7" a="1"/>
  <c r="DP250" i="7" s="1"/>
  <c r="DP348" i="7" a="1"/>
  <c r="DP348" i="7" s="1"/>
  <c r="DP90" i="7" a="1"/>
  <c r="DP90" i="7" s="1"/>
  <c r="DP188" i="7" a="1"/>
  <c r="DP188" i="7" s="1"/>
  <c r="DP286" i="7" a="1"/>
  <c r="DP286" i="7" s="1"/>
  <c r="DP344" i="7" a="1"/>
  <c r="DP344" i="7" s="1"/>
  <c r="DP112" i="7" a="1"/>
  <c r="DP112" i="7" s="1"/>
  <c r="DP210" i="7" a="1"/>
  <c r="DP210" i="7" s="1"/>
  <c r="DP308" i="7" a="1"/>
  <c r="DP308" i="7" s="1"/>
  <c r="DP22" i="7" a="1"/>
  <c r="DP22" i="7" s="1"/>
  <c r="DP120" i="7" a="1"/>
  <c r="DP120" i="7" s="1"/>
  <c r="DP225" i="7" a="1"/>
  <c r="DP225" i="7" s="1"/>
  <c r="DP15" i="7" a="1"/>
  <c r="DP15" i="7" s="1"/>
  <c r="DW39" i="12" a="1"/>
  <c r="DW39" i="12" s="1"/>
  <c r="DO33" i="12" a="1"/>
  <c r="DO33" i="12" s="1"/>
  <c r="DV26" i="12" a="1"/>
  <c r="DV26" i="12" s="1"/>
  <c r="DN20" i="12" a="1"/>
  <c r="DN20" i="12" s="1"/>
  <c r="DW38" i="12" a="1"/>
  <c r="DW38" i="12" s="1"/>
  <c r="DO32" i="12" a="1"/>
  <c r="DO32" i="12" s="1"/>
  <c r="DV25" i="12" a="1"/>
  <c r="DV25" i="12" s="1"/>
  <c r="DN19" i="12" a="1"/>
  <c r="DN19" i="12" s="1"/>
  <c r="DW37" i="12" a="1"/>
  <c r="DW37" i="12" s="1"/>
  <c r="DO31" i="12" a="1"/>
  <c r="DO31" i="12" s="1"/>
  <c r="DV24" i="12" a="1"/>
  <c r="DV24" i="12" s="1"/>
  <c r="DN18" i="12" a="1"/>
  <c r="DN18" i="12" s="1"/>
  <c r="DW36" i="12" a="1"/>
  <c r="DW36" i="12" s="1"/>
  <c r="DO30" i="12" a="1"/>
  <c r="DO30" i="12" s="1"/>
  <c r="DV23" i="12" a="1"/>
  <c r="DV23" i="12" s="1"/>
  <c r="DN17" i="12" a="1"/>
  <c r="DN17" i="12" s="1"/>
  <c r="DU37" i="12" a="1"/>
  <c r="DU37" i="12" s="1"/>
  <c r="DM31" i="12" a="1"/>
  <c r="DM31" i="12" s="1"/>
  <c r="DT24" i="12" a="1"/>
  <c r="DT24" i="12" s="1"/>
  <c r="DL18" i="12" a="1"/>
  <c r="DL18" i="12" s="1"/>
  <c r="DW26" i="12" a="1"/>
  <c r="DW26" i="12" s="1"/>
  <c r="DU36" i="12" a="1"/>
  <c r="DU36" i="12" s="1"/>
  <c r="DM30" i="12" a="1"/>
  <c r="DM30" i="12" s="1"/>
  <c r="DT23" i="12" a="1"/>
  <c r="DT23" i="12" s="1"/>
  <c r="DL17" i="12" a="1"/>
  <c r="DL17" i="12" s="1"/>
  <c r="DV27" i="12" a="1"/>
  <c r="DV27" i="12" s="1"/>
  <c r="DL30" i="12" a="1"/>
  <c r="DL30" i="12" s="1"/>
  <c r="DP39" i="12" a="1"/>
  <c r="DP39" i="12" s="1"/>
  <c r="DW32" i="12" a="1"/>
  <c r="DW32" i="12" s="1"/>
  <c r="DO26" i="12" a="1"/>
  <c r="DO26" i="12" s="1"/>
  <c r="DV19" i="12" a="1"/>
  <c r="DV19" i="12" s="1"/>
  <c r="DP38" i="12" a="1"/>
  <c r="DP38" i="12" s="1"/>
  <c r="DW31" i="12" a="1"/>
  <c r="DW31" i="12" s="1"/>
  <c r="DO25" i="12" a="1"/>
  <c r="DO25" i="12" s="1"/>
  <c r="DV18" i="12" a="1"/>
  <c r="DV18" i="12" s="1"/>
  <c r="DP37" i="12" a="1"/>
  <c r="DP37" i="12" s="1"/>
  <c r="DW30" i="12" a="1"/>
  <c r="DW30" i="12" s="1"/>
  <c r="DO24" i="12" a="1"/>
  <c r="DO24" i="12" s="1"/>
  <c r="DV17" i="12" a="1"/>
  <c r="DV17" i="12" s="1"/>
  <c r="DP36" i="12" a="1"/>
  <c r="DP36" i="12" s="1"/>
  <c r="DW29" i="12" a="1"/>
  <c r="DW29" i="12" s="1"/>
  <c r="DO23" i="12" a="1"/>
  <c r="DO23" i="12" s="1"/>
  <c r="DV16" i="12" a="1"/>
  <c r="DV16" i="12" s="1"/>
  <c r="DN37" i="12" a="1"/>
  <c r="DN37" i="12" s="1"/>
  <c r="DU30" i="12" a="1"/>
  <c r="DU30" i="12" s="1"/>
  <c r="DM24" i="12" a="1"/>
  <c r="DM24" i="12" s="1"/>
  <c r="DT17" i="12" a="1"/>
  <c r="DT17" i="12" s="1"/>
  <c r="DQ25" i="12" a="1"/>
  <c r="DQ25" i="12" s="1"/>
  <c r="DN36" i="12" a="1"/>
  <c r="DN36" i="12" s="1"/>
  <c r="DU29" i="12" a="1"/>
  <c r="DU29" i="12" s="1"/>
  <c r="DM23" i="12" a="1"/>
  <c r="DM23" i="12" s="1"/>
  <c r="DT16" i="12" a="1"/>
  <c r="DT16" i="12" s="1"/>
  <c r="DP26" i="12" a="1"/>
  <c r="DP26" i="12" s="1"/>
  <c r="DU28" i="12" a="1"/>
  <c r="DU28" i="12" s="1"/>
  <c r="DI39" i="12" a="1"/>
  <c r="DI39" i="12" s="1"/>
  <c r="DP32" i="12" a="1"/>
  <c r="DP32" i="12" s="1"/>
  <c r="DW25" i="12" a="1"/>
  <c r="DW25" i="12" s="1"/>
  <c r="DO19" i="12" a="1"/>
  <c r="DO19" i="12" s="1"/>
  <c r="DI38" i="12" a="1"/>
  <c r="DI38" i="12" s="1"/>
  <c r="DP31" i="12" a="1"/>
  <c r="DP31" i="12" s="1"/>
  <c r="DW24" i="12" a="1"/>
  <c r="DW24" i="12" s="1"/>
  <c r="DO18" i="12" a="1"/>
  <c r="DO18" i="12" s="1"/>
  <c r="DI37" i="12" a="1"/>
  <c r="DI37" i="12" s="1"/>
  <c r="DP30" i="12" a="1"/>
  <c r="DP30" i="12" s="1"/>
  <c r="DW23" i="12" a="1"/>
  <c r="DW23" i="12" s="1"/>
  <c r="DO17" i="12" a="1"/>
  <c r="DO17" i="12" s="1"/>
  <c r="DI36" i="12" a="1"/>
  <c r="DI36" i="12" s="1"/>
  <c r="DP29" i="12" a="1"/>
  <c r="DP29" i="12" s="1"/>
  <c r="DW22" i="12" a="1"/>
  <c r="DW22" i="12" s="1"/>
  <c r="DO16" i="12" a="1"/>
  <c r="DO16" i="12" s="1"/>
  <c r="DV36" i="12" a="1"/>
  <c r="DV36" i="12" s="1"/>
  <c r="DN30" i="12" a="1"/>
  <c r="DN30" i="12" s="1"/>
  <c r="DU23" i="12" a="1"/>
  <c r="DU23" i="12" s="1"/>
  <c r="DM17" i="12" a="1"/>
  <c r="DM17" i="12" s="1"/>
  <c r="DK24" i="12" a="1"/>
  <c r="DK24" i="12" s="1"/>
  <c r="DV35" i="12" a="1"/>
  <c r="DV35" i="12" s="1"/>
  <c r="DN29" i="12" a="1"/>
  <c r="DN29" i="12" s="1"/>
  <c r="DU22" i="12" a="1"/>
  <c r="DU22" i="12" s="1"/>
  <c r="DM16" i="12" a="1"/>
  <c r="DM16" i="12" s="1"/>
  <c r="DJ25" i="12" a="1"/>
  <c r="DJ25" i="12" s="1"/>
  <c r="DO27" i="12" a="1"/>
  <c r="DO27" i="12" s="1"/>
  <c r="DQ38" i="12" a="1"/>
  <c r="DQ38" i="12" s="1"/>
  <c r="DI32" i="12" a="1"/>
  <c r="DI32" i="12" s="1"/>
  <c r="DP25" i="12" a="1"/>
  <c r="DP25" i="12" s="1"/>
  <c r="DW18" i="12" a="1"/>
  <c r="DW18" i="12" s="1"/>
  <c r="DQ37" i="12" a="1"/>
  <c r="DQ37" i="12" s="1"/>
  <c r="DI31" i="12" a="1"/>
  <c r="DI31" i="12" s="1"/>
  <c r="DP24" i="12" a="1"/>
  <c r="DP24" i="12" s="1"/>
  <c r="DW17" i="12" a="1"/>
  <c r="DW17" i="12" s="1"/>
  <c r="DQ36" i="12" a="1"/>
  <c r="DQ36" i="12" s="1"/>
  <c r="DI30" i="12" a="1"/>
  <c r="DI30" i="12" s="1"/>
  <c r="DP23" i="12" a="1"/>
  <c r="DP23" i="12" s="1"/>
  <c r="DW16" i="12" a="1"/>
  <c r="DW16" i="12" s="1"/>
  <c r="DQ35" i="12" a="1"/>
  <c r="DQ35" i="12" s="1"/>
  <c r="DI29" i="12" a="1"/>
  <c r="DI29" i="12" s="1"/>
  <c r="DP22" i="12" a="1"/>
  <c r="DP22" i="12" s="1"/>
  <c r="DW15" i="12" a="1"/>
  <c r="DW15" i="12" s="1"/>
  <c r="DO36" i="12" a="1"/>
  <c r="DO36" i="12" s="1"/>
  <c r="DV29" i="12" a="1"/>
  <c r="DV29" i="12" s="1"/>
  <c r="DN23" i="12" a="1"/>
  <c r="DN23" i="12" s="1"/>
  <c r="DU16" i="12" a="1"/>
  <c r="DU16" i="12" s="1"/>
  <c r="DM22" i="12" a="1"/>
  <c r="DM22" i="12" s="1"/>
  <c r="DO35" i="12" a="1"/>
  <c r="DO35" i="12" s="1"/>
  <c r="DV28" i="12" a="1"/>
  <c r="DV28" i="12" s="1"/>
  <c r="DN22" i="12" a="1"/>
  <c r="DN22" i="12" s="1"/>
  <c r="DU15" i="12" a="1"/>
  <c r="DU15" i="12" s="1"/>
  <c r="DL23" i="12" a="1"/>
  <c r="DL23" i="12" s="1"/>
  <c r="DI26" i="12" a="1"/>
  <c r="DI26" i="12" s="1"/>
  <c r="DJ38" i="12" a="1"/>
  <c r="DJ38" i="12" s="1"/>
  <c r="DQ31" i="12" a="1"/>
  <c r="DQ31" i="12" s="1"/>
  <c r="DI25" i="12" a="1"/>
  <c r="DI25" i="12" s="1"/>
  <c r="DP18" i="12" a="1"/>
  <c r="DP18" i="12" s="1"/>
  <c r="DJ37" i="12" a="1"/>
  <c r="DJ37" i="12" s="1"/>
  <c r="DQ30" i="12" a="1"/>
  <c r="DQ30" i="12" s="1"/>
  <c r="DI24" i="12" a="1"/>
  <c r="DI24" i="12" s="1"/>
  <c r="DP17" i="12" a="1"/>
  <c r="DP17" i="12" s="1"/>
  <c r="DJ36" i="12" a="1"/>
  <c r="DJ36" i="12" s="1"/>
  <c r="DQ29" i="12" a="1"/>
  <c r="DQ29" i="12" s="1"/>
  <c r="DI23" i="12" a="1"/>
  <c r="DI23" i="12" s="1"/>
  <c r="DP16" i="12" a="1"/>
  <c r="DP16" i="12" s="1"/>
  <c r="DJ35" i="12" a="1"/>
  <c r="DJ35" i="12" s="1"/>
  <c r="DQ28" i="12" a="1"/>
  <c r="DQ28" i="12" s="1"/>
  <c r="DI22" i="12" a="1"/>
  <c r="DI22" i="12" s="1"/>
  <c r="DP15" i="12" a="1"/>
  <c r="DP15" i="12" s="1"/>
  <c r="DW35" i="12" a="1"/>
  <c r="DW35" i="12" s="1"/>
  <c r="DO29" i="12" a="1"/>
  <c r="DO29" i="12" s="1"/>
  <c r="DV22" i="12" a="1"/>
  <c r="DV22" i="12" s="1"/>
  <c r="DN16" i="12" a="1"/>
  <c r="DN16" i="12" s="1"/>
  <c r="DV20" i="12" a="1"/>
  <c r="DV20" i="12" s="1"/>
  <c r="DW34" i="12" a="1"/>
  <c r="DW34" i="12" s="1"/>
  <c r="DO28" i="12" a="1"/>
  <c r="DO28" i="12" s="1"/>
  <c r="DV21" i="12" a="1"/>
  <c r="DV21" i="12" s="1"/>
  <c r="DN15" i="12" a="1"/>
  <c r="DN15" i="12" s="1"/>
  <c r="DU21" i="12" a="1"/>
  <c r="DU21" i="12" s="1"/>
  <c r="DR24" i="12" a="1"/>
  <c r="DR24" i="12" s="1"/>
  <c r="DR37" i="12" a="1"/>
  <c r="DR37" i="12" s="1"/>
  <c r="DJ31" i="12" a="1"/>
  <c r="DJ31" i="12" s="1"/>
  <c r="DQ24" i="12" a="1"/>
  <c r="DQ24" i="12" s="1"/>
  <c r="DI18" i="12" a="1"/>
  <c r="DI18" i="12" s="1"/>
  <c r="DR36" i="12" a="1"/>
  <c r="DR36" i="12" s="1"/>
  <c r="DJ30" i="12" a="1"/>
  <c r="DJ30" i="12" s="1"/>
  <c r="DQ23" i="12" a="1"/>
  <c r="DQ23" i="12" s="1"/>
  <c r="DI17" i="12" a="1"/>
  <c r="DI17" i="12" s="1"/>
  <c r="DR35" i="12" a="1"/>
  <c r="DR35" i="12" s="1"/>
  <c r="DJ29" i="12" a="1"/>
  <c r="DJ29" i="12" s="1"/>
  <c r="DQ22" i="12" a="1"/>
  <c r="DQ22" i="12" s="1"/>
  <c r="DI16" i="12" a="1"/>
  <c r="DI16" i="12" s="1"/>
  <c r="DR34" i="12" a="1"/>
  <c r="DR34" i="12" s="1"/>
  <c r="DJ28" i="12" a="1"/>
  <c r="DJ28" i="12" s="1"/>
  <c r="DQ21" i="12" a="1"/>
  <c r="DQ21" i="12" s="1"/>
  <c r="DI15" i="12" a="1"/>
  <c r="DI15" i="12" s="1"/>
  <c r="DP35" i="12" a="1"/>
  <c r="DP35" i="12" s="1"/>
  <c r="DW28" i="12" a="1"/>
  <c r="DW28" i="12" s="1"/>
  <c r="DO22" i="12" a="1"/>
  <c r="DO22" i="12" s="1"/>
  <c r="DV15" i="12" a="1"/>
  <c r="DV15" i="12" s="1"/>
  <c r="DP19" i="12" a="1"/>
  <c r="DP19" i="12" s="1"/>
  <c r="DP34" i="12" a="1"/>
  <c r="DP34" i="12" s="1"/>
  <c r="DW27" i="12" a="1"/>
  <c r="DW27" i="12" s="1"/>
  <c r="DO21" i="12" a="1"/>
  <c r="DO21" i="12" s="1"/>
  <c r="DQ39" i="12" a="1"/>
  <c r="DQ39" i="12" s="1"/>
  <c r="DO20" i="12" a="1"/>
  <c r="DO20" i="12" s="1"/>
  <c r="DT22" i="12" a="1"/>
  <c r="DT22" i="12" s="1"/>
  <c r="DK37" i="12" a="1"/>
  <c r="DK37" i="12" s="1"/>
  <c r="DR30" i="12" a="1"/>
  <c r="DR30" i="12" s="1"/>
  <c r="DJ24" i="12" a="1"/>
  <c r="DJ24" i="12" s="1"/>
  <c r="DQ17" i="12" a="1"/>
  <c r="DQ17" i="12" s="1"/>
  <c r="DK36" i="12" a="1"/>
  <c r="DK36" i="12" s="1"/>
  <c r="DR29" i="12" a="1"/>
  <c r="DR29" i="12" s="1"/>
  <c r="DJ23" i="12" a="1"/>
  <c r="DJ23" i="12" s="1"/>
  <c r="DQ16" i="12" a="1"/>
  <c r="DQ16" i="12" s="1"/>
  <c r="DK35" i="12" a="1"/>
  <c r="DK35" i="12" s="1"/>
  <c r="DR28" i="12" a="1"/>
  <c r="DR28" i="12" s="1"/>
  <c r="DJ22" i="12" a="1"/>
  <c r="DJ22" i="12" s="1"/>
  <c r="DQ15" i="12" a="1"/>
  <c r="DQ15" i="12" s="1"/>
  <c r="DK34" i="12" a="1"/>
  <c r="DK34" i="12" s="1"/>
  <c r="DR27" i="12" a="1"/>
  <c r="DR27" i="12" s="1"/>
  <c r="DJ21" i="12" a="1"/>
  <c r="DJ21" i="12" s="1"/>
  <c r="DK38" i="12" a="1"/>
  <c r="DK38" i="12" s="1"/>
  <c r="DI35" i="12" a="1"/>
  <c r="DI35" i="12" s="1"/>
  <c r="DP28" i="12" a="1"/>
  <c r="DP28" i="12" s="1"/>
  <c r="DW21" i="12" a="1"/>
  <c r="DW21" i="12" s="1"/>
  <c r="DO15" i="12" a="1"/>
  <c r="DO15" i="12" s="1"/>
  <c r="DR17" i="12" a="1"/>
  <c r="DR17" i="12" s="1"/>
  <c r="DI34" i="12" a="1"/>
  <c r="DI34" i="12" s="1"/>
  <c r="DP27" i="12" a="1"/>
  <c r="DP27" i="12" s="1"/>
  <c r="DW20" i="12" a="1"/>
  <c r="DW20" i="12" s="1"/>
  <c r="DS37" i="12" a="1"/>
  <c r="DS37" i="12" s="1"/>
  <c r="DQ18" i="12" a="1"/>
  <c r="DQ18" i="12" s="1"/>
  <c r="DN21" i="12" a="1"/>
  <c r="DN21" i="12" s="1"/>
  <c r="DS36" i="12" a="1"/>
  <c r="DS36" i="12" s="1"/>
  <c r="DK30" i="12" a="1"/>
  <c r="DK30" i="12" s="1"/>
  <c r="DR23" i="12" a="1"/>
  <c r="DR23" i="12" s="1"/>
  <c r="DJ17" i="12" a="1"/>
  <c r="DJ17" i="12" s="1"/>
  <c r="DS35" i="12" a="1"/>
  <c r="DS35" i="12" s="1"/>
  <c r="DK29" i="12" a="1"/>
  <c r="DK29" i="12" s="1"/>
  <c r="DR22" i="12" a="1"/>
  <c r="DR22" i="12" s="1"/>
  <c r="DJ16" i="12" a="1"/>
  <c r="DJ16" i="12" s="1"/>
  <c r="DS34" i="12" a="1"/>
  <c r="DS34" i="12" s="1"/>
  <c r="DK28" i="12" a="1"/>
  <c r="DK28" i="12" s="1"/>
  <c r="DR21" i="12" a="1"/>
  <c r="DR21" i="12" s="1"/>
  <c r="DJ15" i="12" a="1"/>
  <c r="DJ15" i="12" s="1"/>
  <c r="DS33" i="12" a="1"/>
  <c r="DS33" i="12" s="1"/>
  <c r="DK27" i="12" a="1"/>
  <c r="DK27" i="12" s="1"/>
  <c r="DR20" i="12" a="1"/>
  <c r="DR20" i="12" s="1"/>
  <c r="DS23" i="12" a="1"/>
  <c r="DS23" i="12" s="1"/>
  <c r="DQ34" i="12" a="1"/>
  <c r="DQ34" i="12" s="1"/>
  <c r="DI28" i="12" a="1"/>
  <c r="DI28" i="12" s="1"/>
  <c r="DP21" i="12" a="1"/>
  <c r="DP21" i="12" s="1"/>
  <c r="DJ39" i="12" a="1"/>
  <c r="DJ39" i="12" s="1"/>
  <c r="DL16" i="12" a="1"/>
  <c r="DL16" i="12" s="1"/>
  <c r="DQ33" i="12" a="1"/>
  <c r="DQ33" i="12" s="1"/>
  <c r="DI27" i="12" a="1"/>
  <c r="DI27" i="12" s="1"/>
  <c r="DP20" i="12" a="1"/>
  <c r="DP20" i="12" s="1"/>
  <c r="DT36" i="12" a="1"/>
  <c r="DT36" i="12" s="1"/>
  <c r="DS16" i="12" a="1"/>
  <c r="DS16" i="12" s="1"/>
  <c r="DW19" i="12" a="1"/>
  <c r="DW19" i="12" s="1"/>
  <c r="DL36" i="12" a="1"/>
  <c r="DL36" i="12" s="1"/>
  <c r="DS29" i="12" a="1"/>
  <c r="DS29" i="12" s="1"/>
  <c r="DK23" i="12" a="1"/>
  <c r="DK23" i="12" s="1"/>
  <c r="DR16" i="12" a="1"/>
  <c r="DR16" i="12" s="1"/>
  <c r="DL35" i="12" a="1"/>
  <c r="DL35" i="12" s="1"/>
  <c r="DS28" i="12" a="1"/>
  <c r="DS28" i="12" s="1"/>
  <c r="DK22" i="12" a="1"/>
  <c r="DK22" i="12" s="1"/>
  <c r="DR15" i="12" a="1"/>
  <c r="DR15" i="12" s="1"/>
  <c r="DL34" i="12" a="1"/>
  <c r="DL34" i="12" s="1"/>
  <c r="DS27" i="12" a="1"/>
  <c r="DS27" i="12" s="1"/>
  <c r="DK21" i="12" a="1"/>
  <c r="DK21" i="12" s="1"/>
  <c r="DT39" i="12" a="1"/>
  <c r="DT39" i="12" s="1"/>
  <c r="DL33" i="12" a="1"/>
  <c r="DL33" i="12" s="1"/>
  <c r="DS26" i="12" a="1"/>
  <c r="DS26" i="12" s="1"/>
  <c r="DK20" i="12" a="1"/>
  <c r="DK20" i="12" s="1"/>
  <c r="DI19" i="12" a="1"/>
  <c r="DI19" i="12" s="1"/>
  <c r="DJ34" i="12" a="1"/>
  <c r="DJ34" i="12" s="1"/>
  <c r="DQ27" i="12" a="1"/>
  <c r="DQ27" i="12" s="1"/>
  <c r="DI21" i="12" a="1"/>
  <c r="DI21" i="12" s="1"/>
  <c r="DU35" i="12" a="1"/>
  <c r="DU35" i="12" s="1"/>
  <c r="DR39" i="12" a="1"/>
  <c r="DR39" i="12" s="1"/>
  <c r="DJ33" i="12" a="1"/>
  <c r="DJ33" i="12" s="1"/>
  <c r="DQ26" i="12" a="1"/>
  <c r="DQ26" i="12" s="1"/>
  <c r="DI20" i="12" a="1"/>
  <c r="DI20" i="12" s="1"/>
  <c r="DN35" i="12" a="1"/>
  <c r="DN35" i="12" s="1"/>
  <c r="DR38" i="12" a="1"/>
  <c r="DR38" i="12" s="1"/>
  <c r="DJ18" i="12" a="1"/>
  <c r="DJ18" i="12" s="1"/>
  <c r="DT35" i="12" a="1"/>
  <c r="DT35" i="12" s="1"/>
  <c r="DL29" i="12" a="1"/>
  <c r="DL29" i="12" s="1"/>
  <c r="DS22" i="12" a="1"/>
  <c r="DS22" i="12" s="1"/>
  <c r="DK16" i="12" a="1"/>
  <c r="DK16" i="12" s="1"/>
  <c r="DT34" i="12" a="1"/>
  <c r="DT34" i="12" s="1"/>
  <c r="DL28" i="12" a="1"/>
  <c r="DL28" i="12" s="1"/>
  <c r="DS21" i="12" a="1"/>
  <c r="DS21" i="12" s="1"/>
  <c r="DK15" i="12" a="1"/>
  <c r="DK15" i="12" s="1"/>
  <c r="DT33" i="12" a="1"/>
  <c r="DT33" i="12" s="1"/>
  <c r="DL27" i="12" a="1"/>
  <c r="DL27" i="12" s="1"/>
  <c r="DS20" i="12" a="1"/>
  <c r="DS20" i="12" s="1"/>
  <c r="DM39" i="12" a="1"/>
  <c r="DM39" i="12" s="1"/>
  <c r="DT32" i="12" a="1"/>
  <c r="DT32" i="12" s="1"/>
  <c r="DL26" i="12" a="1"/>
  <c r="DL26" i="12" s="1"/>
  <c r="DS19" i="12" a="1"/>
  <c r="DS19" i="12" s="1"/>
  <c r="DT15" i="12" a="1"/>
  <c r="DT15" i="12" s="1"/>
  <c r="DR33" i="12" a="1"/>
  <c r="DR33" i="12" s="1"/>
  <c r="DJ27" i="12" a="1"/>
  <c r="DJ27" i="12" s="1"/>
  <c r="DQ20" i="12" a="1"/>
  <c r="DQ20" i="12" s="1"/>
  <c r="DW33" i="12" a="1"/>
  <c r="DW33" i="12" s="1"/>
  <c r="DK39" i="12" a="1"/>
  <c r="DK39" i="12" s="1"/>
  <c r="DR32" i="12" a="1"/>
  <c r="DR32" i="12" s="1"/>
  <c r="DJ26" i="12" a="1"/>
  <c r="DJ26" i="12" s="1"/>
  <c r="DQ19" i="12" a="1"/>
  <c r="DQ19" i="12" s="1"/>
  <c r="DO34" i="12" a="1"/>
  <c r="DO34" i="12" s="1"/>
  <c r="DL37" i="12" a="1"/>
  <c r="DL37" i="12" s="1"/>
  <c r="DK17" i="12" a="1"/>
  <c r="DK17" i="12" s="1"/>
  <c r="DM35" i="12" a="1"/>
  <c r="DM35" i="12" s="1"/>
  <c r="DT28" i="12" a="1"/>
  <c r="DT28" i="12" s="1"/>
  <c r="DL22" i="12" a="1"/>
  <c r="DL22" i="12" s="1"/>
  <c r="DS15" i="12" a="1"/>
  <c r="DS15" i="12" s="1"/>
  <c r="DM34" i="12" a="1"/>
  <c r="DM34" i="12" s="1"/>
  <c r="DT27" i="12" a="1"/>
  <c r="DT27" i="12" s="1"/>
  <c r="DL21" i="12" a="1"/>
  <c r="DL21" i="12" s="1"/>
  <c r="DU39" i="12" a="1"/>
  <c r="DU39" i="12" s="1"/>
  <c r="DM33" i="12" a="1"/>
  <c r="DM33" i="12" s="1"/>
  <c r="DT26" i="12" a="1"/>
  <c r="DT26" i="12" s="1"/>
  <c r="DL20" i="12" a="1"/>
  <c r="DL20" i="12" s="1"/>
  <c r="DU38" i="12" a="1"/>
  <c r="DU38" i="12" s="1"/>
  <c r="DM32" i="12" a="1"/>
  <c r="DM32" i="12" s="1"/>
  <c r="DT25" i="12" a="1"/>
  <c r="DT25" i="12" s="1"/>
  <c r="DL19" i="12" a="1"/>
  <c r="DL19" i="12" s="1"/>
  <c r="DS39" i="12" a="1"/>
  <c r="DS39" i="12" s="1"/>
  <c r="DK33" i="12" a="1"/>
  <c r="DK33" i="12" s="1"/>
  <c r="DR26" i="12" a="1"/>
  <c r="DR26" i="12" s="1"/>
  <c r="DJ20" i="12" a="1"/>
  <c r="DJ20" i="12" s="1"/>
  <c r="DQ32" i="12" a="1"/>
  <c r="DQ32" i="12" s="1"/>
  <c r="DS38" i="12" a="1"/>
  <c r="DS38" i="12" s="1"/>
  <c r="DK32" i="12" a="1"/>
  <c r="DK32" i="12" s="1"/>
  <c r="DR25" i="12" a="1"/>
  <c r="DR25" i="12" s="1"/>
  <c r="DJ19" i="12" a="1"/>
  <c r="DJ19" i="12" s="1"/>
  <c r="DP33" i="12" a="1"/>
  <c r="DP33" i="12" s="1"/>
  <c r="DM36" i="12" a="1"/>
  <c r="DM36" i="12" s="1"/>
  <c r="DM15" i="12" a="1"/>
  <c r="DM15" i="12" s="1"/>
  <c r="DU34" i="12" a="1"/>
  <c r="DU34" i="12" s="1"/>
  <c r="DM28" i="12" a="1"/>
  <c r="DM28" i="12" s="1"/>
  <c r="DT21" i="12" a="1"/>
  <c r="DT21" i="12" s="1"/>
  <c r="DL15" i="12" a="1"/>
  <c r="DL15" i="12" s="1"/>
  <c r="DU33" i="12" a="1"/>
  <c r="DU33" i="12" s="1"/>
  <c r="DM27" i="12" a="1"/>
  <c r="DM27" i="12" s="1"/>
  <c r="DT20" i="12" a="1"/>
  <c r="DT20" i="12" s="1"/>
  <c r="DN39" i="12" a="1"/>
  <c r="DN39" i="12" s="1"/>
  <c r="DU32" i="12" a="1"/>
  <c r="DU32" i="12" s="1"/>
  <c r="DM26" i="12" a="1"/>
  <c r="DM26" i="12" s="1"/>
  <c r="DT19" i="12" a="1"/>
  <c r="DT19" i="12" s="1"/>
  <c r="DN38" i="12" a="1"/>
  <c r="DN38" i="12" s="1"/>
  <c r="DU31" i="12" a="1"/>
  <c r="DU31" i="12" s="1"/>
  <c r="DM25" i="12" a="1"/>
  <c r="DM25" i="12" s="1"/>
  <c r="DT18" i="12" a="1"/>
  <c r="DT18" i="12" s="1"/>
  <c r="DL39" i="12" a="1"/>
  <c r="DL39" i="12" s="1"/>
  <c r="DS32" i="12" a="1"/>
  <c r="DS32" i="12" s="1"/>
  <c r="DK26" i="12" a="1"/>
  <c r="DK26" i="12" s="1"/>
  <c r="DR19" i="12" a="1"/>
  <c r="DR19" i="12" s="1"/>
  <c r="DK31" i="12" a="1"/>
  <c r="DK31" i="12" s="1"/>
  <c r="DL38" i="12" a="1"/>
  <c r="DL38" i="12" s="1"/>
  <c r="DS31" i="12" a="1"/>
  <c r="DS31" i="12" s="1"/>
  <c r="DK25" i="12" a="1"/>
  <c r="DK25" i="12" s="1"/>
  <c r="DR18" i="12" a="1"/>
  <c r="DR18" i="12" s="1"/>
  <c r="DJ32" i="12" a="1"/>
  <c r="DJ32" i="12" s="1"/>
  <c r="DV34" i="12" a="1"/>
  <c r="DV34" i="12" s="1"/>
  <c r="DN34" i="12" a="1"/>
  <c r="DN34" i="12" s="1"/>
  <c r="DU27" i="12" a="1"/>
  <c r="DU27" i="12" s="1"/>
  <c r="DM21" i="12" a="1"/>
  <c r="DM21" i="12" s="1"/>
  <c r="DV39" i="12" a="1"/>
  <c r="DV39" i="12" s="1"/>
  <c r="DN33" i="12" a="1"/>
  <c r="DN33" i="12" s="1"/>
  <c r="DU26" i="12" a="1"/>
  <c r="DU26" i="12" s="1"/>
  <c r="DM20" i="12" a="1"/>
  <c r="DM20" i="12" s="1"/>
  <c r="DV38" i="12" a="1"/>
  <c r="DV38" i="12" s="1"/>
  <c r="DN32" i="12" a="1"/>
  <c r="DN32" i="12" s="1"/>
  <c r="DU25" i="12" a="1"/>
  <c r="DU25" i="12" s="1"/>
  <c r="DM19" i="12" a="1"/>
  <c r="DM19" i="12" s="1"/>
  <c r="DV37" i="12" a="1"/>
  <c r="DV37" i="12" s="1"/>
  <c r="DN31" i="12" a="1"/>
  <c r="DN31" i="12" s="1"/>
  <c r="DU24" i="12" a="1"/>
  <c r="DU24" i="12" s="1"/>
  <c r="DM18" i="12" a="1"/>
  <c r="DM18" i="12" s="1"/>
  <c r="DT38" i="12" a="1"/>
  <c r="DT38" i="12" s="1"/>
  <c r="DL32" i="12" a="1"/>
  <c r="DL32" i="12" s="1"/>
  <c r="DS25" i="12" a="1"/>
  <c r="DS25" i="12" s="1"/>
  <c r="DK19" i="12" a="1"/>
  <c r="DK19" i="12" s="1"/>
  <c r="DT29" i="12" a="1"/>
  <c r="DT29" i="12" s="1"/>
  <c r="DT37" i="12" a="1"/>
  <c r="DT37" i="12" s="1"/>
  <c r="DL31" i="12" a="1"/>
  <c r="DL31" i="12" s="1"/>
  <c r="DS24" i="12" a="1"/>
  <c r="DS24" i="12" s="1"/>
  <c r="DK18" i="12" a="1"/>
  <c r="DK18" i="12" s="1"/>
  <c r="DS30" i="12" a="1"/>
  <c r="DS30" i="12" s="1"/>
  <c r="DI33" i="12" a="1"/>
  <c r="DI33" i="12" s="1"/>
  <c r="DV33" i="12" a="1"/>
  <c r="DV33" i="12" s="1"/>
  <c r="DN27" i="12" a="1"/>
  <c r="DN27" i="12" s="1"/>
  <c r="DU20" i="12" a="1"/>
  <c r="DU20" i="12" s="1"/>
  <c r="DO39" i="12" a="1"/>
  <c r="DO39" i="12" s="1"/>
  <c r="DV32" i="12" a="1"/>
  <c r="DV32" i="12" s="1"/>
  <c r="DN26" i="12" a="1"/>
  <c r="DN26" i="12" s="1"/>
  <c r="DU19" i="12" a="1"/>
  <c r="DU19" i="12" s="1"/>
  <c r="DO38" i="12" a="1"/>
  <c r="DO38" i="12" s="1"/>
  <c r="DV31" i="12" a="1"/>
  <c r="DV31" i="12" s="1"/>
  <c r="DN25" i="12" a="1"/>
  <c r="DN25" i="12" s="1"/>
  <c r="DU18" i="12" a="1"/>
  <c r="DU18" i="12" s="1"/>
  <c r="DO37" i="12" a="1"/>
  <c r="DO37" i="12" s="1"/>
  <c r="DV30" i="12" a="1"/>
  <c r="DV30" i="12" s="1"/>
  <c r="DN24" i="12" a="1"/>
  <c r="DN24" i="12" s="1"/>
  <c r="DU17" i="12" a="1"/>
  <c r="DU17" i="12" s="1"/>
  <c r="DM38" i="12" a="1"/>
  <c r="DM38" i="12" s="1"/>
  <c r="DT31" i="12" a="1"/>
  <c r="DT31" i="12" s="1"/>
  <c r="DL25" i="12" a="1"/>
  <c r="DL25" i="12" s="1"/>
  <c r="DS18" i="12" a="1"/>
  <c r="DS18" i="12" s="1"/>
  <c r="DN28" i="12" a="1"/>
  <c r="DN28" i="12" s="1"/>
  <c r="DM37" i="12" a="1"/>
  <c r="DM37" i="12" s="1"/>
  <c r="DT30" i="12" a="1"/>
  <c r="DT30" i="12" s="1"/>
  <c r="DL24" i="12" a="1"/>
  <c r="DL24" i="12" s="1"/>
  <c r="DS17" i="12" a="1"/>
  <c r="DS17" i="12" s="1"/>
  <c r="DM29" i="12" a="1"/>
  <c r="DM29" i="12" s="1"/>
  <c r="DR31" i="12" a="1"/>
  <c r="DR31" i="12" s="1"/>
  <c r="DH16" i="12" a="1"/>
  <c r="DH16" i="12" s="1"/>
  <c r="DH26" i="12" a="1"/>
  <c r="DH26" i="12" s="1"/>
  <c r="DH23" i="12" a="1"/>
  <c r="DH23" i="12" s="1"/>
  <c r="DH33" i="12" a="1"/>
  <c r="DH33" i="12" s="1"/>
  <c r="DH30" i="12" a="1"/>
  <c r="DH30" i="12" s="1"/>
  <c r="DH20" i="12" a="1"/>
  <c r="DH20" i="12" s="1"/>
  <c r="DH37" i="12" a="1"/>
  <c r="DH37" i="12" s="1"/>
  <c r="DH27" i="12" a="1"/>
  <c r="DH27" i="12" s="1"/>
  <c r="DH17" i="12" a="1"/>
  <c r="DH17" i="12" s="1"/>
  <c r="DH34" i="12" a="1"/>
  <c r="DH34" i="12" s="1"/>
  <c r="DH24" i="12" a="1"/>
  <c r="DH24" i="12" s="1"/>
  <c r="DH29" i="12" a="1"/>
  <c r="DH29" i="12" s="1"/>
  <c r="DH31" i="12" a="1"/>
  <c r="DH31" i="12" s="1"/>
  <c r="DH21" i="12" a="1"/>
  <c r="DH21" i="12" s="1"/>
  <c r="DH38" i="12" a="1"/>
  <c r="DH38" i="12" s="1"/>
  <c r="DH28" i="12" a="1"/>
  <c r="DH28" i="12" s="1"/>
  <c r="DH36" i="12" a="1"/>
  <c r="DH36" i="12" s="1"/>
  <c r="DH35" i="12" a="1"/>
  <c r="DH35" i="12" s="1"/>
  <c r="DH18" i="12" a="1"/>
  <c r="DH18" i="12" s="1"/>
  <c r="DH22" i="12" a="1"/>
  <c r="DH22" i="12" s="1"/>
  <c r="DH25" i="12" a="1"/>
  <c r="DH25" i="12" s="1"/>
  <c r="DH32" i="12" a="1"/>
  <c r="DH32" i="12" s="1"/>
  <c r="DH39" i="12" a="1"/>
  <c r="DH39" i="12" s="1"/>
  <c r="DH19" i="12" a="1"/>
  <c r="DH19" i="12" s="1"/>
  <c r="DH15" i="12" a="1"/>
  <c r="DH15" i="12" s="1"/>
  <c r="DI15" i="11" a="1"/>
  <c r="DI15" i="11" s="1"/>
  <c r="DQ21" i="11" a="1"/>
  <c r="DQ21" i="11" s="1"/>
  <c r="DJ28" i="11" a="1"/>
  <c r="DJ28" i="11" s="1"/>
  <c r="DR34" i="11" a="1"/>
  <c r="DR34" i="11" s="1"/>
  <c r="DI16" i="11" a="1"/>
  <c r="DI16" i="11" s="1"/>
  <c r="DQ22" i="11" a="1"/>
  <c r="DQ22" i="11" s="1"/>
  <c r="DJ29" i="11" a="1"/>
  <c r="DJ29" i="11" s="1"/>
  <c r="DR35" i="11" a="1"/>
  <c r="DR35" i="11" s="1"/>
  <c r="DI17" i="11" a="1"/>
  <c r="DI17" i="11" s="1"/>
  <c r="DQ23" i="11" a="1"/>
  <c r="DQ23" i="11" s="1"/>
  <c r="DJ30" i="11" a="1"/>
  <c r="DJ30" i="11" s="1"/>
  <c r="DR36" i="11" a="1"/>
  <c r="DR36" i="11" s="1"/>
  <c r="DR17" i="11" a="1"/>
  <c r="DR17" i="11" s="1"/>
  <c r="DK24" i="11" a="1"/>
  <c r="DK24" i="11" s="1"/>
  <c r="DS30" i="11" a="1"/>
  <c r="DS30" i="11" s="1"/>
  <c r="DL37" i="11" a="1"/>
  <c r="DL37" i="11" s="1"/>
  <c r="DP35" i="11" a="1"/>
  <c r="DP35" i="11" s="1"/>
  <c r="DT30" i="11" a="1"/>
  <c r="DT30" i="11" s="1"/>
  <c r="DV36" i="11" a="1"/>
  <c r="DV36" i="11" s="1"/>
  <c r="DI18" i="11" a="1"/>
  <c r="DI18" i="11" s="1"/>
  <c r="DJ19" i="11" a="1"/>
  <c r="DJ19" i="11" s="1"/>
  <c r="DJ38" i="11" a="1"/>
  <c r="DJ38" i="11" s="1"/>
  <c r="DS39" i="11" a="1"/>
  <c r="DS39" i="11" s="1"/>
  <c r="DJ31" i="11" a="1"/>
  <c r="DJ31" i="11" s="1"/>
  <c r="DP32" i="11" a="1"/>
  <c r="DP32" i="11" s="1"/>
  <c r="DU16" i="11" a="1"/>
  <c r="DU16" i="11" s="1"/>
  <c r="DL39" i="11" a="1"/>
  <c r="DL39" i="11" s="1"/>
  <c r="DP15" i="11" a="1"/>
  <c r="DP15" i="11" s="1"/>
  <c r="DI22" i="11" a="1"/>
  <c r="DI22" i="11" s="1"/>
  <c r="DQ28" i="11" a="1"/>
  <c r="DQ28" i="11" s="1"/>
  <c r="DJ35" i="11" a="1"/>
  <c r="DJ35" i="11" s="1"/>
  <c r="DP16" i="11" a="1"/>
  <c r="DP16" i="11" s="1"/>
  <c r="DI23" i="11" a="1"/>
  <c r="DI23" i="11" s="1"/>
  <c r="DQ29" i="11" a="1"/>
  <c r="DQ29" i="11" s="1"/>
  <c r="DJ36" i="11" a="1"/>
  <c r="DJ36" i="11" s="1"/>
  <c r="DP17" i="11" a="1"/>
  <c r="DP17" i="11" s="1"/>
  <c r="DI24" i="11" a="1"/>
  <c r="DI24" i="11" s="1"/>
  <c r="DQ30" i="11" a="1"/>
  <c r="DQ30" i="11" s="1"/>
  <c r="DJ37" i="11" a="1"/>
  <c r="DJ37" i="11" s="1"/>
  <c r="DJ18" i="11" a="1"/>
  <c r="DJ18" i="11" s="1"/>
  <c r="DR24" i="11" a="1"/>
  <c r="DR24" i="11" s="1"/>
  <c r="DK31" i="11" a="1"/>
  <c r="DK31" i="11" s="1"/>
  <c r="DS37" i="11" a="1"/>
  <c r="DS37" i="11" s="1"/>
  <c r="DU36" i="11" a="1"/>
  <c r="DU36" i="11" s="1"/>
  <c r="DM37" i="11" a="1"/>
  <c r="DM37" i="11" s="1"/>
  <c r="DL38" i="11" a="1"/>
  <c r="DL38" i="11" s="1"/>
  <c r="DR19" i="11" a="1"/>
  <c r="DR19" i="11" s="1"/>
  <c r="DN22" i="11" a="1"/>
  <c r="DN22" i="11" s="1"/>
  <c r="DV15" i="11" a="1"/>
  <c r="DV15" i="11" s="1"/>
  <c r="DV35" i="11" a="1"/>
  <c r="DV35" i="11" s="1"/>
  <c r="DR33" i="11" a="1"/>
  <c r="DR33" i="11" s="1"/>
  <c r="DI35" i="11" a="1"/>
  <c r="DI35" i="11" s="1"/>
  <c r="DP18" i="11" a="1"/>
  <c r="DP18" i="11" s="1"/>
  <c r="DL25" i="11" a="1"/>
  <c r="DL25" i="11" s="1"/>
  <c r="DW15" i="11" a="1"/>
  <c r="DW15" i="11" s="1"/>
  <c r="DP22" i="11" a="1"/>
  <c r="DP22" i="11" s="1"/>
  <c r="DI29" i="11" a="1"/>
  <c r="DI29" i="11" s="1"/>
  <c r="DQ35" i="11" a="1"/>
  <c r="DQ35" i="11" s="1"/>
  <c r="DW16" i="11" a="1"/>
  <c r="DW16" i="11" s="1"/>
  <c r="DP23" i="11" a="1"/>
  <c r="DP23" i="11" s="1"/>
  <c r="DI30" i="11" a="1"/>
  <c r="DI30" i="11" s="1"/>
  <c r="DQ36" i="11" a="1"/>
  <c r="DQ36" i="11" s="1"/>
  <c r="DW17" i="11" a="1"/>
  <c r="DW17" i="11" s="1"/>
  <c r="DP24" i="11" a="1"/>
  <c r="DP24" i="11" s="1"/>
  <c r="DI31" i="11" a="1"/>
  <c r="DI31" i="11" s="1"/>
  <c r="DQ37" i="11" a="1"/>
  <c r="DQ37" i="11" s="1"/>
  <c r="DQ18" i="11" a="1"/>
  <c r="DQ18" i="11" s="1"/>
  <c r="DJ25" i="11" a="1"/>
  <c r="DJ25" i="11" s="1"/>
  <c r="DR31" i="11" a="1"/>
  <c r="DR31" i="11" s="1"/>
  <c r="DK38" i="11" a="1"/>
  <c r="DK38" i="11" s="1"/>
  <c r="DP39" i="11" a="1"/>
  <c r="DP39" i="11" s="1"/>
  <c r="DS15" i="11" a="1"/>
  <c r="DS15" i="11" s="1"/>
  <c r="DW20" i="11" a="1"/>
  <c r="DW20" i="11" s="1"/>
  <c r="DM21" i="11" a="1"/>
  <c r="DM21" i="11" s="1"/>
  <c r="DR25" i="11" a="1"/>
  <c r="DR25" i="11" s="1"/>
  <c r="DQ17" i="11" a="1"/>
  <c r="DQ17" i="11" s="1"/>
  <c r="DT17" i="11" a="1"/>
  <c r="DT17" i="11" s="1"/>
  <c r="DW34" i="11" a="1"/>
  <c r="DW34" i="11" s="1"/>
  <c r="DN36" i="11" a="1"/>
  <c r="DN36" i="11" s="1"/>
  <c r="DJ20" i="11" a="1"/>
  <c r="DJ20" i="11" s="1"/>
  <c r="DO35" i="11" a="1"/>
  <c r="DO35" i="11" s="1"/>
  <c r="DO16" i="11" a="1"/>
  <c r="DO16" i="11" s="1"/>
  <c r="DW22" i="11" a="1"/>
  <c r="DW22" i="11" s="1"/>
  <c r="DP29" i="11" a="1"/>
  <c r="DP29" i="11" s="1"/>
  <c r="DI36" i="11" a="1"/>
  <c r="DI36" i="11" s="1"/>
  <c r="DO17" i="11" a="1"/>
  <c r="DO17" i="11" s="1"/>
  <c r="DW23" i="11" a="1"/>
  <c r="DW23" i="11" s="1"/>
  <c r="DP30" i="11" a="1"/>
  <c r="DP30" i="11" s="1"/>
  <c r="DI37" i="11" a="1"/>
  <c r="DI37" i="11" s="1"/>
  <c r="DO18" i="11" a="1"/>
  <c r="DO18" i="11" s="1"/>
  <c r="DW24" i="11" a="1"/>
  <c r="DW24" i="11" s="1"/>
  <c r="DP31" i="11" a="1"/>
  <c r="DP31" i="11" s="1"/>
  <c r="DI38" i="11" a="1"/>
  <c r="DI38" i="11" s="1"/>
  <c r="DI19" i="11" a="1"/>
  <c r="DI19" i="11" s="1"/>
  <c r="DQ25" i="11" a="1"/>
  <c r="DQ25" i="11" s="1"/>
  <c r="DJ32" i="11" a="1"/>
  <c r="DJ32" i="11" s="1"/>
  <c r="DR38" i="11" a="1"/>
  <c r="DR38" i="11" s="1"/>
  <c r="DS17" i="11" a="1"/>
  <c r="DS17" i="11" s="1"/>
  <c r="DM17" i="11" a="1"/>
  <c r="DM17" i="11" s="1"/>
  <c r="DO19" i="11" a="1"/>
  <c r="DO19" i="11" s="1"/>
  <c r="DV22" i="11" a="1"/>
  <c r="DV22" i="11" s="1"/>
  <c r="DV28" i="11" a="1"/>
  <c r="DV28" i="11" s="1"/>
  <c r="DK19" i="11" a="1"/>
  <c r="DK19" i="11" s="1"/>
  <c r="DW25" i="11" a="1"/>
  <c r="DW25" i="11" s="1"/>
  <c r="DR37" i="11" a="1"/>
  <c r="DR37" i="11" s="1"/>
  <c r="DI39" i="11" a="1"/>
  <c r="DI39" i="11" s="1"/>
  <c r="DT21" i="11" a="1"/>
  <c r="DT21" i="11" s="1"/>
  <c r="DR18" i="11" a="1"/>
  <c r="DR18" i="11" s="1"/>
  <c r="DV16" i="11" a="1"/>
  <c r="DV16" i="11" s="1"/>
  <c r="DO23" i="11" a="1"/>
  <c r="DO23" i="11" s="1"/>
  <c r="DW29" i="11" a="1"/>
  <c r="DW29" i="11" s="1"/>
  <c r="DP36" i="11" a="1"/>
  <c r="DP36" i="11" s="1"/>
  <c r="DV17" i="11" a="1"/>
  <c r="DV17" i="11" s="1"/>
  <c r="DO24" i="11" a="1"/>
  <c r="DO24" i="11" s="1"/>
  <c r="DW30" i="11" a="1"/>
  <c r="DW30" i="11" s="1"/>
  <c r="DP37" i="11" a="1"/>
  <c r="DP37" i="11" s="1"/>
  <c r="DV18" i="11" a="1"/>
  <c r="DV18" i="11" s="1"/>
  <c r="DO25" i="11" a="1"/>
  <c r="DO25" i="11" s="1"/>
  <c r="DW31" i="11" a="1"/>
  <c r="DW31" i="11" s="1"/>
  <c r="DP38" i="11" a="1"/>
  <c r="DP38" i="11" s="1"/>
  <c r="DP19" i="11" a="1"/>
  <c r="DP19" i="11" s="1"/>
  <c r="DI26" i="11" a="1"/>
  <c r="DI26" i="11" s="1"/>
  <c r="DQ32" i="11" a="1"/>
  <c r="DQ32" i="11" s="1"/>
  <c r="DJ39" i="11" a="1"/>
  <c r="DJ39" i="11" s="1"/>
  <c r="DL24" i="11" a="1"/>
  <c r="DL24" i="11" s="1"/>
  <c r="DW18" i="11" a="1"/>
  <c r="DW18" i="11" s="1"/>
  <c r="DL29" i="11" a="1"/>
  <c r="DL29" i="11" s="1"/>
  <c r="DQ24" i="11" a="1"/>
  <c r="DQ24" i="11" s="1"/>
  <c r="DT31" i="11" a="1"/>
  <c r="DT31" i="11" s="1"/>
  <c r="DU20" i="11" a="1"/>
  <c r="DU20" i="11" s="1"/>
  <c r="DW35" i="11" a="1"/>
  <c r="DW35" i="11" s="1"/>
  <c r="DK39" i="11" a="1"/>
  <c r="DK39" i="11" s="1"/>
  <c r="DT16" i="11" a="1"/>
  <c r="DT16" i="11" s="1"/>
  <c r="DN23" i="11" a="1"/>
  <c r="DN23" i="11" s="1"/>
  <c r="DV21" i="11" a="1"/>
  <c r="DV21" i="11" s="1"/>
  <c r="DN17" i="11" a="1"/>
  <c r="DN17" i="11" s="1"/>
  <c r="DV23" i="11" a="1"/>
  <c r="DV23" i="11" s="1"/>
  <c r="DO30" i="11" a="1"/>
  <c r="DO30" i="11" s="1"/>
  <c r="DW36" i="11" a="1"/>
  <c r="DW36" i="11" s="1"/>
  <c r="DN18" i="11" a="1"/>
  <c r="DN18" i="11" s="1"/>
  <c r="DV24" i="11" a="1"/>
  <c r="DV24" i="11" s="1"/>
  <c r="DO31" i="11" a="1"/>
  <c r="DO31" i="11" s="1"/>
  <c r="DW37" i="11" a="1"/>
  <c r="DW37" i="11" s="1"/>
  <c r="DN19" i="11" a="1"/>
  <c r="DN19" i="11" s="1"/>
  <c r="DV25" i="11" a="1"/>
  <c r="DV25" i="11" s="1"/>
  <c r="DO32" i="11" a="1"/>
  <c r="DO32" i="11" s="1"/>
  <c r="DW38" i="11" a="1"/>
  <c r="DW38" i="11" s="1"/>
  <c r="DW19" i="11" a="1"/>
  <c r="DW19" i="11" s="1"/>
  <c r="DP26" i="11" a="1"/>
  <c r="DP26" i="11" s="1"/>
  <c r="DI33" i="11" a="1"/>
  <c r="DI33" i="11" s="1"/>
  <c r="DQ39" i="11" a="1"/>
  <c r="DQ39" i="11" s="1"/>
  <c r="DP27" i="11" a="1"/>
  <c r="DP27" i="11" s="1"/>
  <c r="DQ20" i="11" a="1"/>
  <c r="DQ20" i="11" s="1"/>
  <c r="DO33" i="11" a="1"/>
  <c r="DO33" i="11" s="1"/>
  <c r="DK26" i="11" a="1"/>
  <c r="DK26" i="11" s="1"/>
  <c r="DJ33" i="11" a="1"/>
  <c r="DJ33" i="11" s="1"/>
  <c r="DO22" i="11" a="1"/>
  <c r="DO22" i="11" s="1"/>
  <c r="DW39" i="11" a="1"/>
  <c r="DW39" i="11" s="1"/>
  <c r="DR16" i="11" a="1"/>
  <c r="DR16" i="11" s="1"/>
  <c r="DI20" i="11" a="1"/>
  <c r="DI20" i="11" s="1"/>
  <c r="DI25" i="11" a="1"/>
  <c r="DI25" i="11" s="1"/>
  <c r="DK25" i="11" a="1"/>
  <c r="DK25" i="11" s="1"/>
  <c r="DU17" i="11" a="1"/>
  <c r="DU17" i="11" s="1"/>
  <c r="DN24" i="11" a="1"/>
  <c r="DN24" i="11" s="1"/>
  <c r="DV30" i="11" a="1"/>
  <c r="DV30" i="11" s="1"/>
  <c r="DO37" i="11" a="1"/>
  <c r="DO37" i="11" s="1"/>
  <c r="DU18" i="11" a="1"/>
  <c r="DU18" i="11" s="1"/>
  <c r="DN25" i="11" a="1"/>
  <c r="DN25" i="11" s="1"/>
  <c r="DV31" i="11" a="1"/>
  <c r="DV31" i="11" s="1"/>
  <c r="DO38" i="11" a="1"/>
  <c r="DO38" i="11" s="1"/>
  <c r="DU19" i="11" a="1"/>
  <c r="DU19" i="11" s="1"/>
  <c r="DN26" i="11" a="1"/>
  <c r="DN26" i="11" s="1"/>
  <c r="DV32" i="11" a="1"/>
  <c r="DV32" i="11" s="1"/>
  <c r="DO39" i="11" a="1"/>
  <c r="DO39" i="11" s="1"/>
  <c r="DO20" i="11" a="1"/>
  <c r="DO20" i="11" s="1"/>
  <c r="DW26" i="11" a="1"/>
  <c r="DW26" i="11" s="1"/>
  <c r="DP33" i="11" a="1"/>
  <c r="DP33" i="11" s="1"/>
  <c r="DN15" i="11" a="1"/>
  <c r="DN15" i="11" s="1"/>
  <c r="DI32" i="11" a="1"/>
  <c r="DI32" i="11" s="1"/>
  <c r="DL22" i="11" a="1"/>
  <c r="DL22" i="11" s="1"/>
  <c r="DM16" i="11" a="1"/>
  <c r="DM16" i="11" s="1"/>
  <c r="DU27" i="11" a="1"/>
  <c r="DU27" i="11" s="1"/>
  <c r="DT35" i="11" a="1"/>
  <c r="DT35" i="11" s="1"/>
  <c r="DJ24" i="11" a="1"/>
  <c r="DJ24" i="11" s="1"/>
  <c r="DS38" i="11" a="1"/>
  <c r="DS38" i="11" s="1"/>
  <c r="DL18" i="11" a="1"/>
  <c r="DL18" i="11" s="1"/>
  <c r="DM23" i="11" a="1"/>
  <c r="DM23" i="11" s="1"/>
  <c r="DR26" i="11" a="1"/>
  <c r="DR26" i="11" s="1"/>
  <c r="DO28" i="11" a="1"/>
  <c r="DO28" i="11" s="1"/>
  <c r="DM18" i="11" a="1"/>
  <c r="DM18" i="11" s="1"/>
  <c r="DU24" i="11" a="1"/>
  <c r="DU24" i="11" s="1"/>
  <c r="DN31" i="11" a="1"/>
  <c r="DN31" i="11" s="1"/>
  <c r="DV37" i="11" a="1"/>
  <c r="DV37" i="11" s="1"/>
  <c r="DM19" i="11" a="1"/>
  <c r="DM19" i="11" s="1"/>
  <c r="DU25" i="11" a="1"/>
  <c r="DU25" i="11" s="1"/>
  <c r="DN32" i="11" a="1"/>
  <c r="DN32" i="11" s="1"/>
  <c r="DV38" i="11" a="1"/>
  <c r="DV38" i="11" s="1"/>
  <c r="DM20" i="11" a="1"/>
  <c r="DM20" i="11" s="1"/>
  <c r="DU26" i="11" a="1"/>
  <c r="DU26" i="11" s="1"/>
  <c r="DN33" i="11" a="1"/>
  <c r="DN33" i="11" s="1"/>
  <c r="DV39" i="11" a="1"/>
  <c r="DV39" i="11" s="1"/>
  <c r="DV20" i="11" a="1"/>
  <c r="DV20" i="11" s="1"/>
  <c r="DO27" i="11" a="1"/>
  <c r="DO27" i="11" s="1"/>
  <c r="DW33" i="11" a="1"/>
  <c r="DW33" i="11" s="1"/>
  <c r="DO15" i="11" a="1"/>
  <c r="DO15" i="11" s="1"/>
  <c r="DQ34" i="11" a="1"/>
  <c r="DQ34" i="11" s="1"/>
  <c r="DU23" i="11" a="1"/>
  <c r="DU23" i="11" s="1"/>
  <c r="DQ19" i="11" a="1"/>
  <c r="DQ19" i="11" s="1"/>
  <c r="DO29" i="11" a="1"/>
  <c r="DO29" i="11" s="1"/>
  <c r="DM38" i="11" a="1"/>
  <c r="DM38" i="11" s="1"/>
  <c r="DS25" i="11" a="1"/>
  <c r="DS25" i="11" s="1"/>
  <c r="DV26" i="11" a="1"/>
  <c r="DV26" i="11" s="1"/>
  <c r="DV19" i="11" a="1"/>
  <c r="DV19" i="11" s="1"/>
  <c r="DQ26" i="11" a="1"/>
  <c r="DQ26" i="11" s="1"/>
  <c r="DM28" i="11" a="1"/>
  <c r="DM28" i="11" s="1"/>
  <c r="DI34" i="11" a="1"/>
  <c r="DI34" i="11" s="1"/>
  <c r="DT18" i="11" a="1"/>
  <c r="DT18" i="11" s="1"/>
  <c r="DM25" i="11" a="1"/>
  <c r="DM25" i="11" s="1"/>
  <c r="DU31" i="11" a="1"/>
  <c r="DU31" i="11" s="1"/>
  <c r="DN38" i="11" a="1"/>
  <c r="DN38" i="11" s="1"/>
  <c r="DT19" i="11" a="1"/>
  <c r="DT19" i="11" s="1"/>
  <c r="DM26" i="11" a="1"/>
  <c r="DM26" i="11" s="1"/>
  <c r="DU32" i="11" a="1"/>
  <c r="DU32" i="11" s="1"/>
  <c r="DN39" i="11" a="1"/>
  <c r="DN39" i="11" s="1"/>
  <c r="DT20" i="11" a="1"/>
  <c r="DT20" i="11" s="1"/>
  <c r="DM27" i="11" a="1"/>
  <c r="DM27" i="11" s="1"/>
  <c r="DU33" i="11" a="1"/>
  <c r="DU33" i="11" s="1"/>
  <c r="DL15" i="11" a="1"/>
  <c r="DL15" i="11" s="1"/>
  <c r="DN21" i="11" a="1"/>
  <c r="DN21" i="11" s="1"/>
  <c r="DV27" i="11" a="1"/>
  <c r="DV27" i="11" s="1"/>
  <c r="DO34" i="11" a="1"/>
  <c r="DO34" i="11" s="1"/>
  <c r="DL17" i="11" a="1"/>
  <c r="DL17" i="11" s="1"/>
  <c r="DQ38" i="11" a="1"/>
  <c r="DQ38" i="11" s="1"/>
  <c r="DP25" i="11" a="1"/>
  <c r="DP25" i="11" s="1"/>
  <c r="DU22" i="11" a="1"/>
  <c r="DU22" i="11" s="1"/>
  <c r="DL32" i="11" a="1"/>
  <c r="DL32" i="11" s="1"/>
  <c r="DR39" i="11" a="1"/>
  <c r="DR39" i="11" s="1"/>
  <c r="DN27" i="11" a="1"/>
  <c r="DN27" i="11" s="1"/>
  <c r="DU30" i="11" a="1"/>
  <c r="DU30" i="11" s="1"/>
  <c r="DP21" i="11" a="1"/>
  <c r="DP21" i="11" s="1"/>
  <c r="DU29" i="11" a="1"/>
  <c r="DU29" i="11" s="1"/>
  <c r="DV29" i="11" a="1"/>
  <c r="DV29" i="11" s="1"/>
  <c r="DW21" i="11" a="1"/>
  <c r="DW21" i="11" s="1"/>
  <c r="DL19" i="11" a="1"/>
  <c r="DL19" i="11" s="1"/>
  <c r="DT25" i="11" a="1"/>
  <c r="DT25" i="11" s="1"/>
  <c r="DM32" i="11" a="1"/>
  <c r="DM32" i="11" s="1"/>
  <c r="DU38" i="11" a="1"/>
  <c r="DU38" i="11" s="1"/>
  <c r="DL20" i="11" a="1"/>
  <c r="DL20" i="11" s="1"/>
  <c r="DT26" i="11" a="1"/>
  <c r="DT26" i="11" s="1"/>
  <c r="DM33" i="11" a="1"/>
  <c r="DM33" i="11" s="1"/>
  <c r="DU39" i="11" a="1"/>
  <c r="DU39" i="11" s="1"/>
  <c r="DL21" i="11" a="1"/>
  <c r="DL21" i="11" s="1"/>
  <c r="DT27" i="11" a="1"/>
  <c r="DT27" i="11" s="1"/>
  <c r="DM34" i="11" a="1"/>
  <c r="DM34" i="11" s="1"/>
  <c r="DM15" i="11" a="1"/>
  <c r="DM15" i="11" s="1"/>
  <c r="DU21" i="11" a="1"/>
  <c r="DU21" i="11" s="1"/>
  <c r="DN28" i="11" a="1"/>
  <c r="DN28" i="11" s="1"/>
  <c r="DV34" i="11" a="1"/>
  <c r="DV34" i="11" s="1"/>
  <c r="DP20" i="11" a="1"/>
  <c r="DP20" i="11" s="1"/>
  <c r="DK16" i="11" a="1"/>
  <c r="DK16" i="11" s="1"/>
  <c r="DJ27" i="11" a="1"/>
  <c r="DJ27" i="11" s="1"/>
  <c r="DJ26" i="11" a="1"/>
  <c r="DJ26" i="11" s="1"/>
  <c r="DQ33" i="11" a="1"/>
  <c r="DQ33" i="11" s="1"/>
  <c r="DS18" i="11" a="1"/>
  <c r="DS18" i="11" s="1"/>
  <c r="DW28" i="11" a="1"/>
  <c r="DW28" i="11" s="1"/>
  <c r="DN16" i="11" a="1"/>
  <c r="DN16" i="11" s="1"/>
  <c r="DK23" i="11" a="1"/>
  <c r="DK23" i="11" s="1"/>
  <c r="DL31" i="11" a="1"/>
  <c r="DL31" i="11" s="1"/>
  <c r="DM31" i="11" a="1"/>
  <c r="DM31" i="11" s="1"/>
  <c r="DK30" i="11" a="1"/>
  <c r="DK30" i="11" s="1"/>
  <c r="DS19" i="11" a="1"/>
  <c r="DS19" i="11" s="1"/>
  <c r="DL26" i="11" a="1"/>
  <c r="DL26" i="11" s="1"/>
  <c r="DT32" i="11" a="1"/>
  <c r="DT32" i="11" s="1"/>
  <c r="DM39" i="11" a="1"/>
  <c r="DM39" i="11" s="1"/>
  <c r="DS20" i="11" a="1"/>
  <c r="DS20" i="11" s="1"/>
  <c r="DL27" i="11" a="1"/>
  <c r="DL27" i="11" s="1"/>
  <c r="DT33" i="11" a="1"/>
  <c r="DT33" i="11" s="1"/>
  <c r="DK15" i="11" a="1"/>
  <c r="DK15" i="11" s="1"/>
  <c r="DS21" i="11" a="1"/>
  <c r="DS21" i="11" s="1"/>
  <c r="DL28" i="11" a="1"/>
  <c r="DL28" i="11" s="1"/>
  <c r="DT34" i="11" a="1"/>
  <c r="DT34" i="11" s="1"/>
  <c r="DT15" i="11" a="1"/>
  <c r="DT15" i="11" s="1"/>
  <c r="DM22" i="11" a="1"/>
  <c r="DM22" i="11" s="1"/>
  <c r="DU28" i="11" a="1"/>
  <c r="DU28" i="11" s="1"/>
  <c r="DN35" i="11" a="1"/>
  <c r="DN35" i="11" s="1"/>
  <c r="DT23" i="11" a="1"/>
  <c r="DT23" i="11" s="1"/>
  <c r="DI21" i="11" a="1"/>
  <c r="DI21" i="11" s="1"/>
  <c r="DT28" i="11" a="1"/>
  <c r="DT28" i="11" s="1"/>
  <c r="DN29" i="11" a="1"/>
  <c r="DN29" i="11" s="1"/>
  <c r="DL36" i="11" a="1"/>
  <c r="DL36" i="11" s="1"/>
  <c r="DR23" i="11" a="1"/>
  <c r="DR23" i="11" s="1"/>
  <c r="DR30" i="11" a="1"/>
  <c r="DR30" i="11" s="1"/>
  <c r="DK18" i="11" a="1"/>
  <c r="DK18" i="11" s="1"/>
  <c r="DT24" i="11" a="1"/>
  <c r="DT24" i="11" s="1"/>
  <c r="DV33" i="11" a="1"/>
  <c r="DV33" i="11" s="1"/>
  <c r="DR32" i="11" a="1"/>
  <c r="DR32" i="11" s="1"/>
  <c r="DJ17" i="11" a="1"/>
  <c r="DJ17" i="11" s="1"/>
  <c r="DK20" i="11" a="1"/>
  <c r="DK20" i="11" s="1"/>
  <c r="DS26" i="11" a="1"/>
  <c r="DS26" i="11" s="1"/>
  <c r="DL33" i="11" a="1"/>
  <c r="DL33" i="11" s="1"/>
  <c r="DT39" i="11" a="1"/>
  <c r="DT39" i="11" s="1"/>
  <c r="DK21" i="11" a="1"/>
  <c r="DK21" i="11" s="1"/>
  <c r="DS27" i="11" a="1"/>
  <c r="DS27" i="11" s="1"/>
  <c r="DL34" i="11" a="1"/>
  <c r="DL34" i="11" s="1"/>
  <c r="DR15" i="11" a="1"/>
  <c r="DR15" i="11" s="1"/>
  <c r="DK22" i="11" a="1"/>
  <c r="DK22" i="11" s="1"/>
  <c r="DS28" i="11" a="1"/>
  <c r="DS28" i="11" s="1"/>
  <c r="DL35" i="11" a="1"/>
  <c r="DL35" i="11" s="1"/>
  <c r="DL16" i="11" a="1"/>
  <c r="DL16" i="11" s="1"/>
  <c r="DT22" i="11" a="1"/>
  <c r="DT22" i="11" s="1"/>
  <c r="DM29" i="11" a="1"/>
  <c r="DM29" i="11" s="1"/>
  <c r="DU35" i="11" a="1"/>
  <c r="DU35" i="11" s="1"/>
  <c r="DI27" i="11" a="1"/>
  <c r="DI27" i="11" s="1"/>
  <c r="DS22" i="11" a="1"/>
  <c r="DS22" i="11" s="1"/>
  <c r="DN30" i="11" a="1"/>
  <c r="DN30" i="11" s="1"/>
  <c r="DK32" i="11" a="1"/>
  <c r="DK32" i="11" s="1"/>
  <c r="DT38" i="11" a="1"/>
  <c r="DT38" i="11" s="1"/>
  <c r="DP28" i="11" a="1"/>
  <c r="DP28" i="11" s="1"/>
  <c r="DK33" i="11" a="1"/>
  <c r="DK33" i="11" s="1"/>
  <c r="DO21" i="11" a="1"/>
  <c r="DO21" i="11" s="1"/>
  <c r="DO26" i="11" a="1"/>
  <c r="DO26" i="11" s="1"/>
  <c r="DO36" i="11" a="1"/>
  <c r="DO36" i="11" s="1"/>
  <c r="DM35" i="11" a="1"/>
  <c r="DM35" i="11" s="1"/>
  <c r="DR20" i="11" a="1"/>
  <c r="DR20" i="11" s="1"/>
  <c r="DK27" i="11" a="1"/>
  <c r="DK27" i="11" s="1"/>
  <c r="DS33" i="11" a="1"/>
  <c r="DS33" i="11" s="1"/>
  <c r="DJ15" i="11" a="1"/>
  <c r="DJ15" i="11" s="1"/>
  <c r="DR21" i="11" a="1"/>
  <c r="DR21" i="11" s="1"/>
  <c r="DK28" i="11" a="1"/>
  <c r="DK28" i="11" s="1"/>
  <c r="DS34" i="11" a="1"/>
  <c r="DS34" i="11" s="1"/>
  <c r="DJ16" i="11" a="1"/>
  <c r="DJ16" i="11" s="1"/>
  <c r="DR22" i="11" a="1"/>
  <c r="DR22" i="11" s="1"/>
  <c r="DK29" i="11" a="1"/>
  <c r="DK29" i="11" s="1"/>
  <c r="DS35" i="11" a="1"/>
  <c r="DS35" i="11" s="1"/>
  <c r="DS16" i="11" a="1"/>
  <c r="DS16" i="11" s="1"/>
  <c r="DL23" i="11" a="1"/>
  <c r="DL23" i="11" s="1"/>
  <c r="DT29" i="11" a="1"/>
  <c r="DT29" i="11" s="1"/>
  <c r="DM36" i="11" a="1"/>
  <c r="DM36" i="11" s="1"/>
  <c r="DM30" i="11" a="1"/>
  <c r="DM30" i="11" s="1"/>
  <c r="DM24" i="11" a="1"/>
  <c r="DM24" i="11" s="1"/>
  <c r="DS31" i="11" a="1"/>
  <c r="DS31" i="11" s="1"/>
  <c r="DU34" i="11" a="1"/>
  <c r="DU34" i="11" s="1"/>
  <c r="DS32" i="11" a="1"/>
  <c r="DS32" i="11" s="1"/>
  <c r="DQ31" i="11" a="1"/>
  <c r="DQ31" i="11" s="1"/>
  <c r="DP34" i="11" a="1"/>
  <c r="DP34" i="11" s="1"/>
  <c r="DS24" i="11" a="1"/>
  <c r="DS24" i="11" s="1"/>
  <c r="DI28" i="11" a="1"/>
  <c r="DI28" i="11" s="1"/>
  <c r="DT37" i="11" a="1"/>
  <c r="DT37" i="11" s="1"/>
  <c r="DU37" i="11" a="1"/>
  <c r="DU37" i="11" s="1"/>
  <c r="DJ21" i="11" a="1"/>
  <c r="DJ21" i="11" s="1"/>
  <c r="DR27" i="11" a="1"/>
  <c r="DR27" i="11" s="1"/>
  <c r="DK34" i="11" a="1"/>
  <c r="DK34" i="11" s="1"/>
  <c r="DQ15" i="11" a="1"/>
  <c r="DQ15" i="11" s="1"/>
  <c r="DJ22" i="11" a="1"/>
  <c r="DJ22" i="11" s="1"/>
  <c r="DR28" i="11" a="1"/>
  <c r="DR28" i="11" s="1"/>
  <c r="DK35" i="11" a="1"/>
  <c r="DK35" i="11" s="1"/>
  <c r="DQ16" i="11" a="1"/>
  <c r="DQ16" i="11" s="1"/>
  <c r="DJ23" i="11" a="1"/>
  <c r="DJ23" i="11" s="1"/>
  <c r="DR29" i="11" a="1"/>
  <c r="DR29" i="11" s="1"/>
  <c r="DK36" i="11" a="1"/>
  <c r="DK36" i="11" s="1"/>
  <c r="DK17" i="11" a="1"/>
  <c r="DK17" i="11" s="1"/>
  <c r="DS23" i="11" a="1"/>
  <c r="DS23" i="11" s="1"/>
  <c r="DL30" i="11" a="1"/>
  <c r="DL30" i="11" s="1"/>
  <c r="DT36" i="11" a="1"/>
  <c r="DT36" i="11" s="1"/>
  <c r="DW32" i="11" a="1"/>
  <c r="DW32" i="11" s="1"/>
  <c r="DQ27" i="11" a="1"/>
  <c r="DQ27" i="11" s="1"/>
  <c r="DN34" i="11" a="1"/>
  <c r="DN34" i="11" s="1"/>
  <c r="DN37" i="11" a="1"/>
  <c r="DN37" i="11" s="1"/>
  <c r="DU15" i="11" a="1"/>
  <c r="DU15" i="11" s="1"/>
  <c r="DJ34" i="11" a="1"/>
  <c r="DJ34" i="11" s="1"/>
  <c r="DK37" i="11" a="1"/>
  <c r="DK37" i="11" s="1"/>
  <c r="DW27" i="11" a="1"/>
  <c r="DW27" i="11" s="1"/>
  <c r="DS29" i="11" a="1"/>
  <c r="DS29" i="11" s="1"/>
  <c r="DN20" i="11" a="1"/>
  <c r="DN20" i="11" s="1"/>
  <c r="DS36" i="11" a="1"/>
  <c r="DS36" i="11" s="1"/>
  <c r="DH16" i="11" a="1"/>
  <c r="DH16" i="11" s="1"/>
  <c r="DH19" i="11" a="1"/>
  <c r="DH19" i="11" s="1"/>
  <c r="DH23" i="11" a="1"/>
  <c r="DH23" i="11" s="1"/>
  <c r="DH20" i="11" a="1"/>
  <c r="DH20" i="11" s="1"/>
  <c r="DH30" i="11" a="1"/>
  <c r="DH30" i="11" s="1"/>
  <c r="DH27" i="11" a="1"/>
  <c r="DH27" i="11" s="1"/>
  <c r="DH37" i="11" a="1"/>
  <c r="DH37" i="11" s="1"/>
  <c r="DH34" i="11" a="1"/>
  <c r="DH34" i="11" s="1"/>
  <c r="DH39" i="11" a="1"/>
  <c r="DH39" i="11" s="1"/>
  <c r="DH21" i="11" a="1"/>
  <c r="DH21" i="11" s="1"/>
  <c r="DH17" i="11" a="1"/>
  <c r="DH17" i="11" s="1"/>
  <c r="DH28" i="11" a="1"/>
  <c r="DH28" i="11" s="1"/>
  <c r="DH24" i="11" a="1"/>
  <c r="DH24" i="11" s="1"/>
  <c r="DH35" i="11" a="1"/>
  <c r="DH35" i="11" s="1"/>
  <c r="DH31" i="11" a="1"/>
  <c r="DH31" i="11" s="1"/>
  <c r="DH22" i="11" a="1"/>
  <c r="DH22" i="11" s="1"/>
  <c r="DH38" i="11" a="1"/>
  <c r="DH38" i="11" s="1"/>
  <c r="DH29" i="11" a="1"/>
  <c r="DH29" i="11" s="1"/>
  <c r="DH32" i="11" a="1"/>
  <c r="DH32" i="11" s="1"/>
  <c r="DH36" i="11" a="1"/>
  <c r="DH36" i="11" s="1"/>
  <c r="DH26" i="11" a="1"/>
  <c r="DH26" i="11" s="1"/>
  <c r="DH33" i="11" a="1"/>
  <c r="DH33" i="11" s="1"/>
  <c r="DH25" i="11" a="1"/>
  <c r="DH25" i="11" s="1"/>
  <c r="DH18" i="11" a="1"/>
  <c r="DH18" i="11" s="1"/>
  <c r="DH15" i="11" a="1"/>
  <c r="DH15" i="11" s="1"/>
  <c r="EF15" i="11" s="1" a="1"/>
  <c r="EF15" i="11" s="1"/>
  <c r="DI15" i="10" a="1"/>
  <c r="DI15" i="10" s="1"/>
  <c r="DQ21" i="10" a="1"/>
  <c r="DQ21" i="10" s="1"/>
  <c r="DJ28" i="10" a="1"/>
  <c r="DJ28" i="10" s="1"/>
  <c r="DR34" i="10" a="1"/>
  <c r="DR34" i="10" s="1"/>
  <c r="DI16" i="10" a="1"/>
  <c r="DI16" i="10" s="1"/>
  <c r="DQ22" i="10" a="1"/>
  <c r="DQ22" i="10" s="1"/>
  <c r="DJ29" i="10" a="1"/>
  <c r="DJ29" i="10" s="1"/>
  <c r="DR35" i="10" a="1"/>
  <c r="DR35" i="10" s="1"/>
  <c r="DP17" i="10" a="1"/>
  <c r="DP17" i="10" s="1"/>
  <c r="DI24" i="10" a="1"/>
  <c r="DI24" i="10" s="1"/>
  <c r="DL15" i="10" a="1"/>
  <c r="DL15" i="10" s="1"/>
  <c r="DN21" i="10" a="1"/>
  <c r="DN21" i="10" s="1"/>
  <c r="DV27" i="10" a="1"/>
  <c r="DV27" i="10" s="1"/>
  <c r="DO34" i="10" a="1"/>
  <c r="DO34" i="10" s="1"/>
  <c r="DM16" i="10" a="1"/>
  <c r="DM16" i="10" s="1"/>
  <c r="DU22" i="10" a="1"/>
  <c r="DU22" i="10" s="1"/>
  <c r="DN29" i="10" a="1"/>
  <c r="DN29" i="10" s="1"/>
  <c r="DV35" i="10" a="1"/>
  <c r="DV35" i="10" s="1"/>
  <c r="DT17" i="10" a="1"/>
  <c r="DT17" i="10" s="1"/>
  <c r="DM24" i="10" a="1"/>
  <c r="DM24" i="10" s="1"/>
  <c r="DU30" i="10" a="1"/>
  <c r="DU30" i="10" s="1"/>
  <c r="DN37" i="10" a="1"/>
  <c r="DN37" i="10" s="1"/>
  <c r="DL29" i="10" a="1"/>
  <c r="DL29" i="10" s="1"/>
  <c r="DR36" i="10" a="1"/>
  <c r="DR36" i="10" s="1"/>
  <c r="DI25" i="10" a="1"/>
  <c r="DI25" i="10" s="1"/>
  <c r="DV19" i="10" a="1"/>
  <c r="DV19" i="10" s="1"/>
  <c r="DP38" i="10" a="1"/>
  <c r="DP38" i="10" s="1"/>
  <c r="DP15" i="10" a="1"/>
  <c r="DP15" i="10" s="1"/>
  <c r="DI22" i="10" a="1"/>
  <c r="DI22" i="10" s="1"/>
  <c r="DQ28" i="10" a="1"/>
  <c r="DQ28" i="10" s="1"/>
  <c r="DJ35" i="10" a="1"/>
  <c r="DJ35" i="10" s="1"/>
  <c r="DP16" i="10" a="1"/>
  <c r="DP16" i="10" s="1"/>
  <c r="DI23" i="10" a="1"/>
  <c r="DI23" i="10" s="1"/>
  <c r="DQ29" i="10" a="1"/>
  <c r="DQ29" i="10" s="1"/>
  <c r="DJ36" i="10" a="1"/>
  <c r="DJ36" i="10" s="1"/>
  <c r="DW17" i="10" a="1"/>
  <c r="DW17" i="10" s="1"/>
  <c r="DP24" i="10" a="1"/>
  <c r="DP24" i="10" s="1"/>
  <c r="DM15" i="10" a="1"/>
  <c r="DM15" i="10" s="1"/>
  <c r="DU21" i="10" a="1"/>
  <c r="DU21" i="10" s="1"/>
  <c r="DN28" i="10" a="1"/>
  <c r="DN28" i="10" s="1"/>
  <c r="DV34" i="10" a="1"/>
  <c r="DV34" i="10" s="1"/>
  <c r="DT16" i="10" a="1"/>
  <c r="DT16" i="10" s="1"/>
  <c r="DM23" i="10" a="1"/>
  <c r="DM23" i="10" s="1"/>
  <c r="DU29" i="10" a="1"/>
  <c r="DU29" i="10" s="1"/>
  <c r="DN36" i="10" a="1"/>
  <c r="DN36" i="10" s="1"/>
  <c r="DL18" i="10" a="1"/>
  <c r="DL18" i="10" s="1"/>
  <c r="DT24" i="10" a="1"/>
  <c r="DT24" i="10" s="1"/>
  <c r="DM31" i="10" a="1"/>
  <c r="DM31" i="10" s="1"/>
  <c r="DU37" i="10" a="1"/>
  <c r="DU37" i="10" s="1"/>
  <c r="DV32" i="10" a="1"/>
  <c r="DV32" i="10" s="1"/>
  <c r="DV39" i="10" a="1"/>
  <c r="DV39" i="10" s="1"/>
  <c r="DR30" i="10" a="1"/>
  <c r="DR30" i="10" s="1"/>
  <c r="DO26" i="10" a="1"/>
  <c r="DO26" i="10" s="1"/>
  <c r="DM21" i="10" a="1"/>
  <c r="DM21" i="10" s="1"/>
  <c r="DW15" i="10" a="1"/>
  <c r="DW15" i="10" s="1"/>
  <c r="DP22" i="10" a="1"/>
  <c r="DP22" i="10" s="1"/>
  <c r="DI29" i="10" a="1"/>
  <c r="DI29" i="10" s="1"/>
  <c r="DQ35" i="10" a="1"/>
  <c r="DQ35" i="10" s="1"/>
  <c r="DW16" i="10" a="1"/>
  <c r="DW16" i="10" s="1"/>
  <c r="DP23" i="10" a="1"/>
  <c r="DP23" i="10" s="1"/>
  <c r="DI30" i="10" a="1"/>
  <c r="DI30" i="10" s="1"/>
  <c r="DQ36" i="10" a="1"/>
  <c r="DQ36" i="10" s="1"/>
  <c r="DO18" i="10" a="1"/>
  <c r="DO18" i="10" s="1"/>
  <c r="DW24" i="10" a="1"/>
  <c r="DW24" i="10" s="1"/>
  <c r="DT15" i="10" a="1"/>
  <c r="DT15" i="10" s="1"/>
  <c r="DM22" i="10" a="1"/>
  <c r="DM22" i="10" s="1"/>
  <c r="DU28" i="10" a="1"/>
  <c r="DU28" i="10" s="1"/>
  <c r="DN35" i="10" a="1"/>
  <c r="DN35" i="10" s="1"/>
  <c r="DL17" i="10" a="1"/>
  <c r="DL17" i="10" s="1"/>
  <c r="DT23" i="10" a="1"/>
  <c r="DT23" i="10" s="1"/>
  <c r="DM30" i="10" a="1"/>
  <c r="DM30" i="10" s="1"/>
  <c r="DU36" i="10" a="1"/>
  <c r="DU36" i="10" s="1"/>
  <c r="DS18" i="10" a="1"/>
  <c r="DS18" i="10" s="1"/>
  <c r="DL25" i="10" a="1"/>
  <c r="DL25" i="10" s="1"/>
  <c r="DT31" i="10" a="1"/>
  <c r="DT31" i="10" s="1"/>
  <c r="DM38" i="10" a="1"/>
  <c r="DM38" i="10" s="1"/>
  <c r="DK36" i="10" a="1"/>
  <c r="DK36" i="10" s="1"/>
  <c r="DQ17" i="10" a="1"/>
  <c r="DQ17" i="10" s="1"/>
  <c r="DV33" i="10" a="1"/>
  <c r="DV33" i="10" s="1"/>
  <c r="DP31" i="10" a="1"/>
  <c r="DP31" i="10" s="1"/>
  <c r="DU27" i="10" a="1"/>
  <c r="DU27" i="10" s="1"/>
  <c r="DO16" i="10" a="1"/>
  <c r="DO16" i="10" s="1"/>
  <c r="DW22" i="10" a="1"/>
  <c r="DW22" i="10" s="1"/>
  <c r="DP29" i="10" a="1"/>
  <c r="DP29" i="10" s="1"/>
  <c r="DI36" i="10" a="1"/>
  <c r="DI36" i="10" s="1"/>
  <c r="DO17" i="10" a="1"/>
  <c r="DO17" i="10" s="1"/>
  <c r="DW23" i="10" a="1"/>
  <c r="DW23" i="10" s="1"/>
  <c r="DP30" i="10" a="1"/>
  <c r="DP30" i="10" s="1"/>
  <c r="DI37" i="10" a="1"/>
  <c r="DI37" i="10" s="1"/>
  <c r="DV18" i="10" a="1"/>
  <c r="DV18" i="10" s="1"/>
  <c r="DO25" i="10" a="1"/>
  <c r="DO25" i="10" s="1"/>
  <c r="DL16" i="10" a="1"/>
  <c r="DL16" i="10" s="1"/>
  <c r="DT22" i="10" a="1"/>
  <c r="DT22" i="10" s="1"/>
  <c r="DM29" i="10" a="1"/>
  <c r="DM29" i="10" s="1"/>
  <c r="DU35" i="10" a="1"/>
  <c r="DU35" i="10" s="1"/>
  <c r="DS17" i="10" a="1"/>
  <c r="DS17" i="10" s="1"/>
  <c r="DL24" i="10" a="1"/>
  <c r="DL24" i="10" s="1"/>
  <c r="DT30" i="10" a="1"/>
  <c r="DT30" i="10" s="1"/>
  <c r="DM37" i="10" a="1"/>
  <c r="DM37" i="10" s="1"/>
  <c r="DK19" i="10" a="1"/>
  <c r="DK19" i="10" s="1"/>
  <c r="DS25" i="10" a="1"/>
  <c r="DS25" i="10" s="1"/>
  <c r="DL32" i="10" a="1"/>
  <c r="DL32" i="10" s="1"/>
  <c r="DT38" i="10" a="1"/>
  <c r="DT38" i="10" s="1"/>
  <c r="DO39" i="10" a="1"/>
  <c r="DO39" i="10" s="1"/>
  <c r="DJ24" i="10" a="1"/>
  <c r="DJ24" i="10" s="1"/>
  <c r="DK37" i="10" a="1"/>
  <c r="DK37" i="10" s="1"/>
  <c r="DT34" i="10" a="1"/>
  <c r="DT34" i="10" s="1"/>
  <c r="DI32" i="10" a="1"/>
  <c r="DI32" i="10" s="1"/>
  <c r="DV16" i="10" a="1"/>
  <c r="DV16" i="10" s="1"/>
  <c r="DO23" i="10" a="1"/>
  <c r="DO23" i="10" s="1"/>
  <c r="DW29" i="10" a="1"/>
  <c r="DW29" i="10" s="1"/>
  <c r="DP36" i="10" a="1"/>
  <c r="DP36" i="10" s="1"/>
  <c r="DV17" i="10" a="1"/>
  <c r="DV17" i="10" s="1"/>
  <c r="DO24" i="10" a="1"/>
  <c r="DO24" i="10" s="1"/>
  <c r="DW30" i="10" a="1"/>
  <c r="DW30" i="10" s="1"/>
  <c r="DP37" i="10" a="1"/>
  <c r="DP37" i="10" s="1"/>
  <c r="DN19" i="10" a="1"/>
  <c r="DN19" i="10" s="1"/>
  <c r="DV25" i="10" a="1"/>
  <c r="DV25" i="10" s="1"/>
  <c r="DS16" i="10" a="1"/>
  <c r="DS16" i="10" s="1"/>
  <c r="DL23" i="10" a="1"/>
  <c r="DL23" i="10" s="1"/>
  <c r="DT29" i="10" a="1"/>
  <c r="DT29" i="10" s="1"/>
  <c r="DM36" i="10" a="1"/>
  <c r="DM36" i="10" s="1"/>
  <c r="DK18" i="10" a="1"/>
  <c r="DK18" i="10" s="1"/>
  <c r="DS24" i="10" a="1"/>
  <c r="DS24" i="10" s="1"/>
  <c r="DL31" i="10" a="1"/>
  <c r="DL31" i="10" s="1"/>
  <c r="DT37" i="10" a="1"/>
  <c r="DT37" i="10" s="1"/>
  <c r="DR19" i="10" a="1"/>
  <c r="DR19" i="10" s="1"/>
  <c r="DK26" i="10" a="1"/>
  <c r="DK26" i="10" s="1"/>
  <c r="DS32" i="10" a="1"/>
  <c r="DS32" i="10" s="1"/>
  <c r="DL39" i="10" a="1"/>
  <c r="DL39" i="10" s="1"/>
  <c r="DR16" i="10" a="1"/>
  <c r="DR16" i="10" s="1"/>
  <c r="DK30" i="10" a="1"/>
  <c r="DK30" i="10" s="1"/>
  <c r="DW18" i="10" a="1"/>
  <c r="DW18" i="10" s="1"/>
  <c r="DI38" i="10" a="1"/>
  <c r="DI38" i="10" s="1"/>
  <c r="DM35" i="10" a="1"/>
  <c r="DM35" i="10" s="1"/>
  <c r="DN17" i="10" a="1"/>
  <c r="DN17" i="10" s="1"/>
  <c r="DV23" i="10" a="1"/>
  <c r="DV23" i="10" s="1"/>
  <c r="DO30" i="10" a="1"/>
  <c r="DO30" i="10" s="1"/>
  <c r="DW36" i="10" a="1"/>
  <c r="DW36" i="10" s="1"/>
  <c r="DN18" i="10" a="1"/>
  <c r="DN18" i="10" s="1"/>
  <c r="DV24" i="10" a="1"/>
  <c r="DV24" i="10" s="1"/>
  <c r="DO31" i="10" a="1"/>
  <c r="DO31" i="10" s="1"/>
  <c r="DW37" i="10" a="1"/>
  <c r="DW37" i="10" s="1"/>
  <c r="DU19" i="10" a="1"/>
  <c r="DU19" i="10" s="1"/>
  <c r="DN26" i="10" a="1"/>
  <c r="DN26" i="10" s="1"/>
  <c r="DK17" i="10" a="1"/>
  <c r="DK17" i="10" s="1"/>
  <c r="DS23" i="10" a="1"/>
  <c r="DS23" i="10" s="1"/>
  <c r="DL30" i="10" a="1"/>
  <c r="DL30" i="10" s="1"/>
  <c r="DT36" i="10" a="1"/>
  <c r="DT36" i="10" s="1"/>
  <c r="DR18" i="10" a="1"/>
  <c r="DR18" i="10" s="1"/>
  <c r="DK25" i="10" a="1"/>
  <c r="DK25" i="10" s="1"/>
  <c r="DS31" i="10" a="1"/>
  <c r="DS31" i="10" s="1"/>
  <c r="DL38" i="10" a="1"/>
  <c r="DL38" i="10" s="1"/>
  <c r="DJ20" i="10" a="1"/>
  <c r="DJ20" i="10" s="1"/>
  <c r="DR26" i="10" a="1"/>
  <c r="DR26" i="10" s="1"/>
  <c r="DK33" i="10" a="1"/>
  <c r="DK33" i="10" s="1"/>
  <c r="DS39" i="10" a="1"/>
  <c r="DS39" i="10" s="1"/>
  <c r="DK23" i="10" a="1"/>
  <c r="DK23" i="10" s="1"/>
  <c r="DO33" i="10" a="1"/>
  <c r="DO33" i="10" s="1"/>
  <c r="DP25" i="10" a="1"/>
  <c r="DP25" i="10" s="1"/>
  <c r="DN20" i="10" a="1"/>
  <c r="DN20" i="10" s="1"/>
  <c r="DQ38" i="10" a="1"/>
  <c r="DQ38" i="10" s="1"/>
  <c r="DU17" i="10" a="1"/>
  <c r="DU17" i="10" s="1"/>
  <c r="DN24" i="10" a="1"/>
  <c r="DN24" i="10" s="1"/>
  <c r="DV30" i="10" a="1"/>
  <c r="DV30" i="10" s="1"/>
  <c r="DO37" i="10" a="1"/>
  <c r="DO37" i="10" s="1"/>
  <c r="DU18" i="10" a="1"/>
  <c r="DU18" i="10" s="1"/>
  <c r="DN25" i="10" a="1"/>
  <c r="DN25" i="10" s="1"/>
  <c r="DV31" i="10" a="1"/>
  <c r="DV31" i="10" s="1"/>
  <c r="DO38" i="10" a="1"/>
  <c r="DO38" i="10" s="1"/>
  <c r="DM20" i="10" a="1"/>
  <c r="DM20" i="10" s="1"/>
  <c r="DU26" i="10" a="1"/>
  <c r="DU26" i="10" s="1"/>
  <c r="DR17" i="10" a="1"/>
  <c r="DR17" i="10" s="1"/>
  <c r="DK24" i="10" a="1"/>
  <c r="DK24" i="10" s="1"/>
  <c r="DS30" i="10" a="1"/>
  <c r="DS30" i="10" s="1"/>
  <c r="DL37" i="10" a="1"/>
  <c r="DL37" i="10" s="1"/>
  <c r="DJ19" i="10" a="1"/>
  <c r="DJ19" i="10" s="1"/>
  <c r="DR25" i="10" a="1"/>
  <c r="DR25" i="10" s="1"/>
  <c r="DK32" i="10" a="1"/>
  <c r="DK32" i="10" s="1"/>
  <c r="DS38" i="10" a="1"/>
  <c r="DS38" i="10" s="1"/>
  <c r="DQ20" i="10" a="1"/>
  <c r="DQ20" i="10" s="1"/>
  <c r="DJ27" i="10" a="1"/>
  <c r="DJ27" i="10" s="1"/>
  <c r="DR33" i="10" a="1"/>
  <c r="DR33" i="10" s="1"/>
  <c r="DS15" i="10" a="1"/>
  <c r="DS15" i="10" s="1"/>
  <c r="DS29" i="10" a="1"/>
  <c r="DS29" i="10" s="1"/>
  <c r="DS36" i="10" a="1"/>
  <c r="DS36" i="10" s="1"/>
  <c r="DI31" i="10" a="1"/>
  <c r="DI31" i="10" s="1"/>
  <c r="DV26" i="10" a="1"/>
  <c r="DV26" i="10" s="1"/>
  <c r="DT21" i="10" a="1"/>
  <c r="DT21" i="10" s="1"/>
  <c r="DM18" i="10" a="1"/>
  <c r="DM18" i="10" s="1"/>
  <c r="DU24" i="10" a="1"/>
  <c r="DU24" i="10" s="1"/>
  <c r="DN31" i="10" a="1"/>
  <c r="DN31" i="10" s="1"/>
  <c r="DV37" i="10" a="1"/>
  <c r="DV37" i="10" s="1"/>
  <c r="DM19" i="10" a="1"/>
  <c r="DM19" i="10" s="1"/>
  <c r="DU25" i="10" a="1"/>
  <c r="DU25" i="10" s="1"/>
  <c r="DN32" i="10" a="1"/>
  <c r="DN32" i="10" s="1"/>
  <c r="DV38" i="10" a="1"/>
  <c r="DV38" i="10" s="1"/>
  <c r="DT20" i="10" a="1"/>
  <c r="DT20" i="10" s="1"/>
  <c r="DM27" i="10" a="1"/>
  <c r="DM27" i="10" s="1"/>
  <c r="DJ18" i="10" a="1"/>
  <c r="DJ18" i="10" s="1"/>
  <c r="DR24" i="10" a="1"/>
  <c r="DR24" i="10" s="1"/>
  <c r="DK31" i="10" a="1"/>
  <c r="DK31" i="10" s="1"/>
  <c r="DS37" i="10" a="1"/>
  <c r="DS37" i="10" s="1"/>
  <c r="DQ19" i="10" a="1"/>
  <c r="DQ19" i="10" s="1"/>
  <c r="DJ26" i="10" a="1"/>
  <c r="DJ26" i="10" s="1"/>
  <c r="DR32" i="10" a="1"/>
  <c r="DR32" i="10" s="1"/>
  <c r="DK39" i="10" a="1"/>
  <c r="DK39" i="10" s="1"/>
  <c r="DI21" i="10" a="1"/>
  <c r="DI21" i="10" s="1"/>
  <c r="DQ27" i="10" a="1"/>
  <c r="DQ27" i="10" s="1"/>
  <c r="DJ34" i="10" a="1"/>
  <c r="DJ34" i="10" s="1"/>
  <c r="DL22" i="10" a="1"/>
  <c r="DL22" i="10" s="1"/>
  <c r="DW32" i="10" a="1"/>
  <c r="DW32" i="10" s="1"/>
  <c r="DW39" i="10" a="1"/>
  <c r="DW39" i="10" s="1"/>
  <c r="DM34" i="10" a="1"/>
  <c r="DM34" i="10" s="1"/>
  <c r="DQ31" i="10" a="1"/>
  <c r="DQ31" i="10" s="1"/>
  <c r="DM28" i="10" a="1"/>
  <c r="DM28" i="10" s="1"/>
  <c r="DT18" i="10" a="1"/>
  <c r="DT18" i="10" s="1"/>
  <c r="DM25" i="10" a="1"/>
  <c r="DM25" i="10" s="1"/>
  <c r="DU31" i="10" a="1"/>
  <c r="DU31" i="10" s="1"/>
  <c r="DN38" i="10" a="1"/>
  <c r="DN38" i="10" s="1"/>
  <c r="DT19" i="10" a="1"/>
  <c r="DT19" i="10" s="1"/>
  <c r="DM26" i="10" a="1"/>
  <c r="DM26" i="10" s="1"/>
  <c r="DU32" i="10" a="1"/>
  <c r="DU32" i="10" s="1"/>
  <c r="DN39" i="10" a="1"/>
  <c r="DN39" i="10" s="1"/>
  <c r="DL21" i="10" a="1"/>
  <c r="DL21" i="10" s="1"/>
  <c r="DT27" i="10" a="1"/>
  <c r="DT27" i="10" s="1"/>
  <c r="DQ18" i="10" a="1"/>
  <c r="DQ18" i="10" s="1"/>
  <c r="DJ25" i="10" a="1"/>
  <c r="DJ25" i="10" s="1"/>
  <c r="DR31" i="10" a="1"/>
  <c r="DR31" i="10" s="1"/>
  <c r="DK38" i="10" a="1"/>
  <c r="DK38" i="10" s="1"/>
  <c r="DI20" i="10" a="1"/>
  <c r="DI20" i="10" s="1"/>
  <c r="DQ26" i="10" a="1"/>
  <c r="DQ26" i="10" s="1"/>
  <c r="DJ33" i="10" a="1"/>
  <c r="DJ33" i="10" s="1"/>
  <c r="DR39" i="10" a="1"/>
  <c r="DR39" i="10" s="1"/>
  <c r="DP21" i="10" a="1"/>
  <c r="DP21" i="10" s="1"/>
  <c r="DI28" i="10" a="1"/>
  <c r="DI28" i="10" s="1"/>
  <c r="DQ34" i="10" a="1"/>
  <c r="DQ34" i="10" s="1"/>
  <c r="DT28" i="10" a="1"/>
  <c r="DT28" i="10" s="1"/>
  <c r="DL36" i="10" a="1"/>
  <c r="DL36" i="10" s="1"/>
  <c r="DI18" i="10" a="1"/>
  <c r="DI18" i="10" s="1"/>
  <c r="DQ37" i="10" a="1"/>
  <c r="DQ37" i="10" s="1"/>
  <c r="DU34" i="10" a="1"/>
  <c r="DU34" i="10" s="1"/>
  <c r="DO32" i="10" a="1"/>
  <c r="DO32" i="10" s="1"/>
  <c r="DL19" i="10" a="1"/>
  <c r="DL19" i="10" s="1"/>
  <c r="DT25" i="10" a="1"/>
  <c r="DT25" i="10" s="1"/>
  <c r="DM32" i="10" a="1"/>
  <c r="DM32" i="10" s="1"/>
  <c r="DU38" i="10" a="1"/>
  <c r="DU38" i="10" s="1"/>
  <c r="DL20" i="10" a="1"/>
  <c r="DL20" i="10" s="1"/>
  <c r="DT26" i="10" a="1"/>
  <c r="DT26" i="10" s="1"/>
  <c r="DM33" i="10" a="1"/>
  <c r="DM33" i="10" s="1"/>
  <c r="DU39" i="10" a="1"/>
  <c r="DU39" i="10" s="1"/>
  <c r="DS21" i="10" a="1"/>
  <c r="DS21" i="10" s="1"/>
  <c r="DL28" i="10" a="1"/>
  <c r="DL28" i="10" s="1"/>
  <c r="DI19" i="10" a="1"/>
  <c r="DI19" i="10" s="1"/>
  <c r="DQ25" i="10" a="1"/>
  <c r="DQ25" i="10" s="1"/>
  <c r="DJ32" i="10" a="1"/>
  <c r="DJ32" i="10" s="1"/>
  <c r="DR38" i="10" a="1"/>
  <c r="DR38" i="10" s="1"/>
  <c r="DP20" i="10" a="1"/>
  <c r="DP20" i="10" s="1"/>
  <c r="DI27" i="10" a="1"/>
  <c r="DI27" i="10" s="1"/>
  <c r="DQ33" i="10" a="1"/>
  <c r="DQ33" i="10" s="1"/>
  <c r="DO15" i="10" a="1"/>
  <c r="DO15" i="10" s="1"/>
  <c r="DW21" i="10" a="1"/>
  <c r="DW21" i="10" s="1"/>
  <c r="DP28" i="10" a="1"/>
  <c r="DP28" i="10" s="1"/>
  <c r="DI35" i="10" a="1"/>
  <c r="DI35" i="10" s="1"/>
  <c r="DP32" i="10" a="1"/>
  <c r="DP32" i="10" s="1"/>
  <c r="DP39" i="10" a="1"/>
  <c r="DP39" i="10" s="1"/>
  <c r="DQ24" i="10" a="1"/>
  <c r="DQ24" i="10" s="1"/>
  <c r="DO19" i="10" a="1"/>
  <c r="DO19" i="10" s="1"/>
  <c r="DJ38" i="10" a="1"/>
  <c r="DJ38" i="10" s="1"/>
  <c r="DS35" i="10" a="1"/>
  <c r="DS35" i="10" s="1"/>
  <c r="DS19" i="10" a="1"/>
  <c r="DS19" i="10" s="1"/>
  <c r="DL26" i="10" a="1"/>
  <c r="DL26" i="10" s="1"/>
  <c r="DT32" i="10" a="1"/>
  <c r="DT32" i="10" s="1"/>
  <c r="DM39" i="10" a="1"/>
  <c r="DM39" i="10" s="1"/>
  <c r="DS20" i="10" a="1"/>
  <c r="DS20" i="10" s="1"/>
  <c r="DL27" i="10" a="1"/>
  <c r="DL27" i="10" s="1"/>
  <c r="DT33" i="10" a="1"/>
  <c r="DT33" i="10" s="1"/>
  <c r="DR15" i="10" a="1"/>
  <c r="DR15" i="10" s="1"/>
  <c r="DK22" i="10" a="1"/>
  <c r="DK22" i="10" s="1"/>
  <c r="DS28" i="10" a="1"/>
  <c r="DS28" i="10" s="1"/>
  <c r="DP19" i="10" a="1"/>
  <c r="DP19" i="10" s="1"/>
  <c r="DI26" i="10" a="1"/>
  <c r="DI26" i="10" s="1"/>
  <c r="DQ32" i="10" a="1"/>
  <c r="DQ32" i="10" s="1"/>
  <c r="DJ39" i="10" a="1"/>
  <c r="DJ39" i="10" s="1"/>
  <c r="DW20" i="10" a="1"/>
  <c r="DW20" i="10" s="1"/>
  <c r="DP27" i="10" a="1"/>
  <c r="DP27" i="10" s="1"/>
  <c r="DI34" i="10" a="1"/>
  <c r="DI34" i="10" s="1"/>
  <c r="DV15" i="10" a="1"/>
  <c r="DV15" i="10" s="1"/>
  <c r="DO22" i="10" a="1"/>
  <c r="DO22" i="10" s="1"/>
  <c r="DW28" i="10" a="1"/>
  <c r="DW28" i="10" s="1"/>
  <c r="DP35" i="10" a="1"/>
  <c r="DP35" i="10" s="1"/>
  <c r="DT35" i="10" a="1"/>
  <c r="DT35" i="10" s="1"/>
  <c r="DJ17" i="10" a="1"/>
  <c r="DJ17" i="10" s="1"/>
  <c r="DQ30" i="10" a="1"/>
  <c r="DQ30" i="10" s="1"/>
  <c r="DW25" i="10" a="1"/>
  <c r="DW25" i="10" s="1"/>
  <c r="DU20" i="10" a="1"/>
  <c r="DU20" i="10" s="1"/>
  <c r="DW38" i="10" a="1"/>
  <c r="DW38" i="10" s="1"/>
  <c r="DK20" i="10" a="1"/>
  <c r="DK20" i="10" s="1"/>
  <c r="DS26" i="10" a="1"/>
  <c r="DS26" i="10" s="1"/>
  <c r="DL33" i="10" a="1"/>
  <c r="DL33" i="10" s="1"/>
  <c r="DT39" i="10" a="1"/>
  <c r="DT39" i="10" s="1"/>
  <c r="DK21" i="10" a="1"/>
  <c r="DK21" i="10" s="1"/>
  <c r="DS27" i="10" a="1"/>
  <c r="DS27" i="10" s="1"/>
  <c r="DL34" i="10" a="1"/>
  <c r="DL34" i="10" s="1"/>
  <c r="DJ16" i="10" a="1"/>
  <c r="DJ16" i="10" s="1"/>
  <c r="DR22" i="10" a="1"/>
  <c r="DR22" i="10" s="1"/>
  <c r="DK29" i="10" a="1"/>
  <c r="DK29" i="10" s="1"/>
  <c r="DW19" i="10" a="1"/>
  <c r="DW19" i="10" s="1"/>
  <c r="DP26" i="10" a="1"/>
  <c r="DP26" i="10" s="1"/>
  <c r="DI33" i="10" a="1"/>
  <c r="DI33" i="10" s="1"/>
  <c r="DQ39" i="10" a="1"/>
  <c r="DQ39" i="10" s="1"/>
  <c r="DO21" i="10" a="1"/>
  <c r="DO21" i="10" s="1"/>
  <c r="DW27" i="10" a="1"/>
  <c r="DW27" i="10" s="1"/>
  <c r="DP34" i="10" a="1"/>
  <c r="DP34" i="10" s="1"/>
  <c r="DN16" i="10" a="1"/>
  <c r="DN16" i="10" s="1"/>
  <c r="DV22" i="10" a="1"/>
  <c r="DV22" i="10" s="1"/>
  <c r="DO29" i="10" a="1"/>
  <c r="DO29" i="10" s="1"/>
  <c r="DW35" i="10" a="1"/>
  <c r="DW35" i="10" s="1"/>
  <c r="DI39" i="10" a="1"/>
  <c r="DI39" i="10" s="1"/>
  <c r="DR23" i="10" a="1"/>
  <c r="DR23" i="10" s="1"/>
  <c r="DU33" i="10" a="1"/>
  <c r="DU33" i="10" s="1"/>
  <c r="DJ31" i="10" a="1"/>
  <c r="DJ31" i="10" s="1"/>
  <c r="DN27" i="10" a="1"/>
  <c r="DN27" i="10" s="1"/>
  <c r="DR20" i="10" a="1"/>
  <c r="DR20" i="10" s="1"/>
  <c r="DK27" i="10" a="1"/>
  <c r="DK27" i="10" s="1"/>
  <c r="DS33" i="10" a="1"/>
  <c r="DS33" i="10" s="1"/>
  <c r="DJ15" i="10" a="1"/>
  <c r="DJ15" i="10" s="1"/>
  <c r="DR21" i="10" a="1"/>
  <c r="DR21" i="10" s="1"/>
  <c r="DK28" i="10" a="1"/>
  <c r="DK28" i="10" s="1"/>
  <c r="DS34" i="10" a="1"/>
  <c r="DS34" i="10" s="1"/>
  <c r="DQ16" i="10" a="1"/>
  <c r="DQ16" i="10" s="1"/>
  <c r="DJ23" i="10" a="1"/>
  <c r="DJ23" i="10" s="1"/>
  <c r="DR29" i="10" a="1"/>
  <c r="DR29" i="10" s="1"/>
  <c r="DO20" i="10" a="1"/>
  <c r="DO20" i="10" s="1"/>
  <c r="DW26" i="10" a="1"/>
  <c r="DW26" i="10" s="1"/>
  <c r="DP33" i="10" a="1"/>
  <c r="DP33" i="10" s="1"/>
  <c r="DN15" i="10" a="1"/>
  <c r="DN15" i="10" s="1"/>
  <c r="DV21" i="10" a="1"/>
  <c r="DV21" i="10" s="1"/>
  <c r="DO28" i="10" a="1"/>
  <c r="DO28" i="10" s="1"/>
  <c r="DW34" i="10" a="1"/>
  <c r="DW34" i="10" s="1"/>
  <c r="DU16" i="10" a="1"/>
  <c r="DU16" i="10" s="1"/>
  <c r="DN23" i="10" a="1"/>
  <c r="DN23" i="10" s="1"/>
  <c r="DV29" i="10" a="1"/>
  <c r="DV29" i="10" s="1"/>
  <c r="DO36" i="10" a="1"/>
  <c r="DO36" i="10" s="1"/>
  <c r="DK16" i="10" a="1"/>
  <c r="DK16" i="10" s="1"/>
  <c r="DJ30" i="10" a="1"/>
  <c r="DJ30" i="10" s="1"/>
  <c r="DJ37" i="10" a="1"/>
  <c r="DJ37" i="10" s="1"/>
  <c r="DN34" i="10" a="1"/>
  <c r="DN34" i="10" s="1"/>
  <c r="DW31" i="10" a="1"/>
  <c r="DW31" i="10" s="1"/>
  <c r="DJ21" i="10" a="1"/>
  <c r="DJ21" i="10" s="1"/>
  <c r="DR27" i="10" a="1"/>
  <c r="DR27" i="10" s="1"/>
  <c r="DK34" i="10" a="1"/>
  <c r="DK34" i="10" s="1"/>
  <c r="DQ15" i="10" a="1"/>
  <c r="DQ15" i="10" s="1"/>
  <c r="DJ22" i="10" a="1"/>
  <c r="DJ22" i="10" s="1"/>
  <c r="DR28" i="10" a="1"/>
  <c r="DR28" i="10" s="1"/>
  <c r="DK35" i="10" a="1"/>
  <c r="DK35" i="10" s="1"/>
  <c r="DI17" i="10" a="1"/>
  <c r="DI17" i="10" s="1"/>
  <c r="DQ23" i="10" a="1"/>
  <c r="DQ23" i="10" s="1"/>
  <c r="DK15" i="10" a="1"/>
  <c r="DK15" i="10" s="1"/>
  <c r="DV20" i="10" a="1"/>
  <c r="DV20" i="10" s="1"/>
  <c r="DO27" i="10" a="1"/>
  <c r="DO27" i="10" s="1"/>
  <c r="DW33" i="10" a="1"/>
  <c r="DW33" i="10" s="1"/>
  <c r="DU15" i="10" a="1"/>
  <c r="DU15" i="10" s="1"/>
  <c r="DN22" i="10" a="1"/>
  <c r="DN22" i="10" s="1"/>
  <c r="DV28" i="10" a="1"/>
  <c r="DV28" i="10" s="1"/>
  <c r="DO35" i="10" a="1"/>
  <c r="DO35" i="10" s="1"/>
  <c r="DM17" i="10" a="1"/>
  <c r="DM17" i="10" s="1"/>
  <c r="DU23" i="10" a="1"/>
  <c r="DU23" i="10" s="1"/>
  <c r="DN30" i="10" a="1"/>
  <c r="DN30" i="10" s="1"/>
  <c r="DV36" i="10" a="1"/>
  <c r="DV36" i="10" s="1"/>
  <c r="DS22" i="10" a="1"/>
  <c r="DS22" i="10" s="1"/>
  <c r="DN33" i="10" a="1"/>
  <c r="DN33" i="10" s="1"/>
  <c r="DP18" i="10" a="1"/>
  <c r="DP18" i="10" s="1"/>
  <c r="DR37" i="10" a="1"/>
  <c r="DR37" i="10" s="1"/>
  <c r="DL35" i="10" a="1"/>
  <c r="DL35" i="10" s="1"/>
  <c r="DH16" i="10" a="1"/>
  <c r="DH16" i="10" s="1"/>
  <c r="DH33" i="10" a="1"/>
  <c r="DH33" i="10" s="1"/>
  <c r="DH23" i="10" a="1"/>
  <c r="DH23" i="10" s="1"/>
  <c r="DH20" i="10" a="1"/>
  <c r="DH20" i="10" s="1"/>
  <c r="DH30" i="10" a="1"/>
  <c r="DH30" i="10" s="1"/>
  <c r="DH27" i="10" a="1"/>
  <c r="DH27" i="10" s="1"/>
  <c r="DH37" i="10" a="1"/>
  <c r="DH37" i="10" s="1"/>
  <c r="DH34" i="10" a="1"/>
  <c r="DH34" i="10" s="1"/>
  <c r="DH17" i="10" a="1"/>
  <c r="DH17" i="10" s="1"/>
  <c r="DH21" i="10" a="1"/>
  <c r="DH21" i="10" s="1"/>
  <c r="DH24" i="10" a="1"/>
  <c r="DH24" i="10" s="1"/>
  <c r="DH28" i="10" a="1"/>
  <c r="DH28" i="10" s="1"/>
  <c r="DH31" i="10" a="1"/>
  <c r="DH31" i="10" s="1"/>
  <c r="DH35" i="10" a="1"/>
  <c r="DH35" i="10" s="1"/>
  <c r="DH38" i="10" a="1"/>
  <c r="DH38" i="10" s="1"/>
  <c r="DH22" i="10" a="1"/>
  <c r="DH22" i="10" s="1"/>
  <c r="DH18" i="10" a="1"/>
  <c r="DH18" i="10" s="1"/>
  <c r="DH29" i="10" a="1"/>
  <c r="DH29" i="10" s="1"/>
  <c r="DH25" i="10" a="1"/>
  <c r="DH25" i="10" s="1"/>
  <c r="DH36" i="10" a="1"/>
  <c r="DH36" i="10" s="1"/>
  <c r="DH32" i="10" a="1"/>
  <c r="DH32" i="10" s="1"/>
  <c r="DH39" i="10" a="1"/>
  <c r="DH39" i="10" s="1"/>
  <c r="DH19" i="10" a="1"/>
  <c r="DH19" i="10" s="1"/>
  <c r="DH26" i="10" a="1"/>
  <c r="DH26" i="10" s="1"/>
  <c r="DH15" i="10" a="1"/>
  <c r="DH15" i="10" s="1"/>
  <c r="CQ15" i="12" a="1"/>
  <c r="CQ15" i="12" s="1"/>
  <c r="CU15" i="12" a="1"/>
  <c r="CU15" i="12" s="1"/>
  <c r="DC15" i="12" s="1"/>
  <c r="CT18" i="12" a="1"/>
  <c r="CT18" i="12" s="1"/>
  <c r="DB18" i="12" s="1"/>
  <c r="CR16" i="12" a="1"/>
  <c r="CR16" i="12" s="1"/>
  <c r="CZ16" i="12" s="1"/>
  <c r="CQ19" i="12" a="1"/>
  <c r="CQ19" i="12" s="1"/>
  <c r="CS18" i="12" a="1"/>
  <c r="CS18" i="12" s="1"/>
  <c r="DA18" i="12" s="1"/>
  <c r="CU18" i="12" a="1"/>
  <c r="CU18" i="12" s="1"/>
  <c r="DC18" i="12" s="1"/>
  <c r="CT16" i="12" a="1"/>
  <c r="CT16" i="12" s="1"/>
  <c r="DB16" i="12" s="1"/>
  <c r="CT15" i="12" a="1"/>
  <c r="CT15" i="12" s="1"/>
  <c r="DB15" i="12" s="1"/>
  <c r="CS15" i="12" a="1"/>
  <c r="CS15" i="12" s="1"/>
  <c r="DA15" i="12" s="1"/>
  <c r="CQ17" i="12" a="1"/>
  <c r="CQ17" i="12" s="1"/>
  <c r="CR15" i="12" a="1"/>
  <c r="CR15" i="12" s="1"/>
  <c r="CZ15" i="12" s="1"/>
  <c r="CS17" i="12" a="1"/>
  <c r="CS17" i="12" s="1"/>
  <c r="DA17" i="12" s="1"/>
  <c r="CR19" i="12" a="1"/>
  <c r="CR19" i="12" s="1"/>
  <c r="CZ19" i="12" s="1"/>
  <c r="F15" i="12" a="1"/>
  <c r="F15" i="12" s="1"/>
  <c r="CR18" i="12" a="1"/>
  <c r="CR18" i="12" s="1"/>
  <c r="CZ18" i="12" s="1"/>
  <c r="CQ16" i="12" a="1"/>
  <c r="CQ16" i="12" s="1"/>
  <c r="CT17" i="12" a="1"/>
  <c r="CT17" i="12" s="1"/>
  <c r="DB17" i="12" s="1"/>
  <c r="CU16" i="12" a="1"/>
  <c r="CU16" i="12" s="1"/>
  <c r="DC16" i="12" s="1"/>
  <c r="CS16" i="12" a="1"/>
  <c r="CS16" i="12" s="1"/>
  <c r="DA16" i="12" s="1"/>
  <c r="CS19" i="12" a="1"/>
  <c r="CS19" i="12" s="1"/>
  <c r="DA19" i="12" s="1"/>
  <c r="CQ18" i="12" a="1"/>
  <c r="CQ18" i="12" s="1"/>
  <c r="CT19" i="12" a="1"/>
  <c r="CT19" i="12" s="1"/>
  <c r="DB19" i="12" s="1"/>
  <c r="CR17" i="12" a="1"/>
  <c r="CR17" i="12" s="1"/>
  <c r="CZ17" i="12" s="1"/>
  <c r="CU17" i="12" a="1"/>
  <c r="CU17" i="12" s="1"/>
  <c r="DC17" i="12" s="1"/>
  <c r="CU19" i="12" a="1"/>
  <c r="CU19" i="12" s="1"/>
  <c r="DC19" i="12" s="1"/>
  <c r="CQ15" i="11" a="1"/>
  <c r="CQ15" i="11" s="1"/>
  <c r="CR16" i="11" a="1"/>
  <c r="CR16" i="11" s="1"/>
  <c r="CT19" i="11" a="1"/>
  <c r="CT19" i="11" s="1"/>
  <c r="CR19" i="11" a="1"/>
  <c r="CR19" i="11" s="1"/>
  <c r="CT17" i="11" a="1"/>
  <c r="CT17" i="11" s="1"/>
  <c r="CQ16" i="11" a="1"/>
  <c r="CQ16" i="11" s="1"/>
  <c r="CU16" i="11" a="1"/>
  <c r="CU16" i="11" s="1"/>
  <c r="CT18" i="11" a="1"/>
  <c r="CT18" i="11" s="1"/>
  <c r="CR17" i="11" a="1"/>
  <c r="CR17" i="11" s="1"/>
  <c r="CS15" i="11" a="1"/>
  <c r="CS15" i="11" s="1"/>
  <c r="CQ19" i="11" a="1"/>
  <c r="CQ19" i="11" s="1"/>
  <c r="F15" i="11" a="1"/>
  <c r="F15" i="11" s="1"/>
  <c r="CU17" i="11" a="1"/>
  <c r="CU17" i="11" s="1"/>
  <c r="CS17" i="11" a="1"/>
  <c r="CS17" i="11" s="1"/>
  <c r="CR15" i="11" a="1"/>
  <c r="CR15" i="11" s="1"/>
  <c r="CS19" i="11" a="1"/>
  <c r="CS19" i="11" s="1"/>
  <c r="CT16" i="11" a="1"/>
  <c r="CT16" i="11" s="1"/>
  <c r="CQ17" i="11" a="1"/>
  <c r="CQ17" i="11" s="1"/>
  <c r="CS18" i="11" a="1"/>
  <c r="CS18" i="11" s="1"/>
  <c r="CT15" i="11" a="1"/>
  <c r="CT15" i="11" s="1"/>
  <c r="CU18" i="11" a="1"/>
  <c r="CU18" i="11" s="1"/>
  <c r="CU19" i="11" a="1"/>
  <c r="CU19" i="11" s="1"/>
  <c r="CS16" i="11" a="1"/>
  <c r="CS16" i="11" s="1"/>
  <c r="CR18" i="11" a="1"/>
  <c r="CR18" i="11" s="1"/>
  <c r="CQ18" i="11" a="1"/>
  <c r="CQ18" i="11" s="1"/>
  <c r="CU15" i="11" a="1"/>
  <c r="CU15" i="11" s="1"/>
  <c r="CX47" i="7" a="1"/>
  <c r="CX47" i="7" s="1"/>
  <c r="CQ15" i="10" a="1"/>
  <c r="CQ15" i="10" s="1"/>
  <c r="CQ16" i="10" a="1"/>
  <c r="CQ16" i="10" s="1"/>
  <c r="CQ17" i="10" a="1"/>
  <c r="CQ17" i="10" s="1"/>
  <c r="CQ18" i="10" a="1"/>
  <c r="CQ18" i="10" s="1"/>
  <c r="CQ19" i="10" a="1"/>
  <c r="CQ19" i="10" s="1"/>
  <c r="CQ15" i="8" a="1"/>
  <c r="CQ15" i="8" s="1"/>
  <c r="CQ16" i="8" a="1"/>
  <c r="CQ16" i="8" s="1"/>
  <c r="CQ17" i="8" a="1"/>
  <c r="CQ17" i="8" s="1"/>
  <c r="CQ18" i="8" a="1"/>
  <c r="CQ18" i="8" s="1"/>
  <c r="CQ19" i="8" a="1"/>
  <c r="CQ19" i="8" s="1"/>
  <c r="CQ15" i="7" a="1"/>
  <c r="CQ15" i="7" s="1"/>
  <c r="CQ27" i="7" a="1"/>
  <c r="CQ27" i="7" s="1"/>
  <c r="CQ20" i="7" a="1"/>
  <c r="CQ20" i="7" s="1"/>
  <c r="CQ32" i="7" a="1"/>
  <c r="CQ32" i="7" s="1"/>
  <c r="CQ25" i="7" a="1"/>
  <c r="CQ25" i="7" s="1"/>
  <c r="CQ18" i="7" a="1"/>
  <c r="CQ18" i="7" s="1"/>
  <c r="CQ30" i="7" a="1"/>
  <c r="CQ30" i="7" s="1"/>
  <c r="CQ23" i="7" a="1"/>
  <c r="CQ23" i="7" s="1"/>
  <c r="CQ16" i="7" a="1"/>
  <c r="CQ16" i="7" s="1"/>
  <c r="CQ28" i="7" a="1"/>
  <c r="CQ28" i="7" s="1"/>
  <c r="CQ21" i="7" a="1"/>
  <c r="CQ21" i="7" s="1"/>
  <c r="CQ33" i="7" a="1"/>
  <c r="CQ33" i="7" s="1"/>
  <c r="CQ26" i="7" a="1"/>
  <c r="CQ26" i="7" s="1"/>
  <c r="CQ19" i="7" a="1"/>
  <c r="CQ19" i="7" s="1"/>
  <c r="CQ31" i="7" a="1"/>
  <c r="CQ31" i="7" s="1"/>
  <c r="CQ24" i="7" a="1"/>
  <c r="CQ24" i="7" s="1"/>
  <c r="CQ17" i="7" a="1"/>
  <c r="CQ17" i="7" s="1"/>
  <c r="CQ29" i="7" a="1"/>
  <c r="CQ29" i="7" s="1"/>
  <c r="CQ22" i="7" a="1"/>
  <c r="CQ22" i="7" s="1"/>
  <c r="CY33" i="7" a="1"/>
  <c r="CY33" i="7" s="1"/>
  <c r="DK33" i="7" s="1"/>
  <c r="CX26" i="7" a="1"/>
  <c r="CX26" i="7" s="1"/>
  <c r="DJ26" i="7" s="1"/>
  <c r="CW19" i="7" a="1"/>
  <c r="CW19" i="7" s="1"/>
  <c r="DI19" i="7" s="1"/>
  <c r="CW31" i="7" a="1"/>
  <c r="CW31" i="7" s="1"/>
  <c r="DI31" i="7" s="1"/>
  <c r="CV24" i="7" a="1"/>
  <c r="CV24" i="7" s="1"/>
  <c r="DH24" i="7" s="1"/>
  <c r="CU17" i="7" a="1"/>
  <c r="CU17" i="7" s="1"/>
  <c r="DG17" i="7" s="1"/>
  <c r="CU29" i="7" a="1"/>
  <c r="CU29" i="7" s="1"/>
  <c r="DG29" i="7" s="1"/>
  <c r="CT22" i="7" a="1"/>
  <c r="CT22" i="7" s="1"/>
  <c r="DF22" i="7" s="1"/>
  <c r="CS15" i="7" a="1"/>
  <c r="CS15" i="7" s="1"/>
  <c r="DE15" i="7" s="1"/>
  <c r="CV28" i="7" a="1"/>
  <c r="CV28" i="7" s="1"/>
  <c r="DH28" i="7" s="1"/>
  <c r="CU21" i="7" a="1"/>
  <c r="CU21" i="7" s="1"/>
  <c r="DG21" i="7" s="1"/>
  <c r="CU33" i="7" a="1"/>
  <c r="CU33" i="7" s="1"/>
  <c r="DG33" i="7" s="1"/>
  <c r="CT26" i="7" a="1"/>
  <c r="CT26" i="7" s="1"/>
  <c r="DF26" i="7" s="1"/>
  <c r="CS19" i="7" a="1"/>
  <c r="CS19" i="7" s="1"/>
  <c r="DE19" i="7" s="1"/>
  <c r="CT33" i="7" a="1"/>
  <c r="CT33" i="7" s="1"/>
  <c r="DF33" i="7" s="1"/>
  <c r="CS26" i="7" a="1"/>
  <c r="CS26" i="7" s="1"/>
  <c r="DE26" i="7" s="1"/>
  <c r="CY18" i="7" a="1"/>
  <c r="CY18" i="7" s="1"/>
  <c r="DK18" i="7" s="1"/>
  <c r="CY30" i="7" a="1"/>
  <c r="CY30" i="7" s="1"/>
  <c r="DK30" i="7" s="1"/>
  <c r="CX23" i="7" a="1"/>
  <c r="CX23" i="7" s="1"/>
  <c r="DJ23" i="7" s="1"/>
  <c r="CW16" i="7" a="1"/>
  <c r="CW16" i="7" s="1"/>
  <c r="DI16" i="7" s="1"/>
  <c r="CW28" i="7" a="1"/>
  <c r="CW28" i="7" s="1"/>
  <c r="DI28" i="7" s="1"/>
  <c r="CV21" i="7" a="1"/>
  <c r="CV21" i="7" s="1"/>
  <c r="DH21" i="7" s="1"/>
  <c r="CT16" i="7" a="1"/>
  <c r="CT16" i="7" s="1"/>
  <c r="DF16" i="7" s="1"/>
  <c r="CX27" i="7" a="1"/>
  <c r="CX27" i="7" s="1"/>
  <c r="DJ27" i="7" s="1"/>
  <c r="CW20" i="7" a="1"/>
  <c r="CW20" i="7" s="1"/>
  <c r="DI20" i="7" s="1"/>
  <c r="CW32" i="7" a="1"/>
  <c r="CW32" i="7" s="1"/>
  <c r="DI32" i="7" s="1"/>
  <c r="CV25" i="7" a="1"/>
  <c r="CV25" i="7" s="1"/>
  <c r="DH25" i="7" s="1"/>
  <c r="CU18" i="7" a="1"/>
  <c r="CU18" i="7" s="1"/>
  <c r="DG18" i="7" s="1"/>
  <c r="CV32" i="7" a="1"/>
  <c r="CV32" i="7" s="1"/>
  <c r="DH32" i="7" s="1"/>
  <c r="CU25" i="7" a="1"/>
  <c r="CU25" i="7" s="1"/>
  <c r="DG25" i="7" s="1"/>
  <c r="CT18" i="7" a="1"/>
  <c r="CT18" i="7" s="1"/>
  <c r="DF18" i="7" s="1"/>
  <c r="CT30" i="7" a="1"/>
  <c r="CT30" i="7" s="1"/>
  <c r="DF30" i="7" s="1"/>
  <c r="CS23" i="7" a="1"/>
  <c r="CS23" i="7" s="1"/>
  <c r="DE23" i="7" s="1"/>
  <c r="CY15" i="7" a="1"/>
  <c r="CY15" i="7" s="1"/>
  <c r="DK15" i="7" s="1"/>
  <c r="CY27" i="7" a="1"/>
  <c r="CY27" i="7" s="1"/>
  <c r="DK27" i="7" s="1"/>
  <c r="CX20" i="7" a="1"/>
  <c r="CX20" i="7" s="1"/>
  <c r="DJ20" i="7" s="1"/>
  <c r="CY16" i="7" a="1"/>
  <c r="CY16" i="7" s="1"/>
  <c r="DK16" i="7" s="1"/>
  <c r="CS27" i="7" a="1"/>
  <c r="CS27" i="7" s="1"/>
  <c r="DE27" i="7" s="1"/>
  <c r="CY19" i="7" a="1"/>
  <c r="CY19" i="7" s="1"/>
  <c r="DK19" i="7" s="1"/>
  <c r="CY31" i="7" a="1"/>
  <c r="CY31" i="7" s="1"/>
  <c r="DK31" i="7" s="1"/>
  <c r="CX24" i="7" a="1"/>
  <c r="CX24" i="7" s="1"/>
  <c r="DJ24" i="7" s="1"/>
  <c r="CW17" i="7" a="1"/>
  <c r="CW17" i="7" s="1"/>
  <c r="DI17" i="7" s="1"/>
  <c r="CX31" i="7" a="1"/>
  <c r="CX31" i="7" s="1"/>
  <c r="DJ31" i="7" s="1"/>
  <c r="CW24" i="7" a="1"/>
  <c r="CW24" i="7" s="1"/>
  <c r="DI24" i="7" s="1"/>
  <c r="CV17" i="7" a="1"/>
  <c r="CV17" i="7" s="1"/>
  <c r="DH17" i="7" s="1"/>
  <c r="CV29" i="7" a="1"/>
  <c r="CV29" i="7" s="1"/>
  <c r="DH29" i="7" s="1"/>
  <c r="CU22" i="7" a="1"/>
  <c r="CU22" i="7" s="1"/>
  <c r="DG22" i="7" s="1"/>
  <c r="CT15" i="7" a="1"/>
  <c r="CT15" i="7" s="1"/>
  <c r="DF15" i="7" s="1"/>
  <c r="CT27" i="7" a="1"/>
  <c r="CT27" i="7" s="1"/>
  <c r="DF27" i="7" s="1"/>
  <c r="CS20" i="7" a="1"/>
  <c r="CS20" i="7" s="1"/>
  <c r="DE20" i="7" s="1"/>
  <c r="CV33" i="7" a="1"/>
  <c r="CV33" i="7" s="1"/>
  <c r="DH33" i="7" s="1"/>
  <c r="CU26" i="7" a="1"/>
  <c r="CU26" i="7" s="1"/>
  <c r="DG26" i="7" s="1"/>
  <c r="CT19" i="7" a="1"/>
  <c r="CT19" i="7" s="1"/>
  <c r="DF19" i="7" s="1"/>
  <c r="CT31" i="7" a="1"/>
  <c r="CT31" i="7" s="1"/>
  <c r="DF31" i="7" s="1"/>
  <c r="CS24" i="7" a="1"/>
  <c r="CS24" i="7" s="1"/>
  <c r="DE24" i="7" s="1"/>
  <c r="CS31" i="7" a="1"/>
  <c r="CS31" i="7" s="1"/>
  <c r="DE31" i="7" s="1"/>
  <c r="CY23" i="7" a="1"/>
  <c r="CY23" i="7" s="1"/>
  <c r="DK23" i="7" s="1"/>
  <c r="CX16" i="7" a="1"/>
  <c r="CX16" i="7" s="1"/>
  <c r="DJ16" i="7" s="1"/>
  <c r="CX28" i="7" a="1"/>
  <c r="CX28" i="7" s="1"/>
  <c r="DJ28" i="7" s="1"/>
  <c r="CW21" i="7" a="1"/>
  <c r="CW21" i="7" s="1"/>
  <c r="DI21" i="7" s="1"/>
  <c r="CW33" i="7" a="1"/>
  <c r="CW33" i="7" s="1"/>
  <c r="DI33" i="7" s="1"/>
  <c r="CV26" i="7" a="1"/>
  <c r="CV26" i="7" s="1"/>
  <c r="DH26" i="7" s="1"/>
  <c r="CU19" i="7" a="1"/>
  <c r="CU19" i="7" s="1"/>
  <c r="DG19" i="7" s="1"/>
  <c r="CX32" i="7" a="1"/>
  <c r="CX32" i="7" s="1"/>
  <c r="DJ32" i="7" s="1"/>
  <c r="CW25" i="7" a="1"/>
  <c r="CW25" i="7" s="1"/>
  <c r="DI25" i="7" s="1"/>
  <c r="CV18" i="7" a="1"/>
  <c r="CV18" i="7" s="1"/>
  <c r="DH18" i="7" s="1"/>
  <c r="CV30" i="7" a="1"/>
  <c r="CV30" i="7" s="1"/>
  <c r="DH30" i="7" s="1"/>
  <c r="CU23" i="7" a="1"/>
  <c r="CU23" i="7" s="1"/>
  <c r="DG23" i="7" s="1"/>
  <c r="CU30" i="7" a="1"/>
  <c r="CU30" i="7" s="1"/>
  <c r="DG30" i="7" s="1"/>
  <c r="CT23" i="7" a="1"/>
  <c r="CT23" i="7" s="1"/>
  <c r="DF23" i="7" s="1"/>
  <c r="CS16" i="7" a="1"/>
  <c r="CS16" i="7" s="1"/>
  <c r="DE16" i="7" s="1"/>
  <c r="CS28" i="7" a="1"/>
  <c r="CS28" i="7" s="1"/>
  <c r="DE28" i="7" s="1"/>
  <c r="CY20" i="7" a="1"/>
  <c r="CY20" i="7" s="1"/>
  <c r="DK20" i="7" s="1"/>
  <c r="CY32" i="7" a="1"/>
  <c r="CY32" i="7" s="1"/>
  <c r="DK32" i="7" s="1"/>
  <c r="CX25" i="7" a="1"/>
  <c r="CX25" i="7" s="1"/>
  <c r="DJ25" i="7" s="1"/>
  <c r="CW18" i="7" a="1"/>
  <c r="CW18" i="7" s="1"/>
  <c r="DI18" i="7" s="1"/>
  <c r="CS32" i="7" a="1"/>
  <c r="CS32" i="7" s="1"/>
  <c r="DE32" i="7" s="1"/>
  <c r="CY24" i="7" a="1"/>
  <c r="CY24" i="7" s="1"/>
  <c r="DK24" i="7" s="1"/>
  <c r="CX17" i="7" a="1"/>
  <c r="CX17" i="7" s="1"/>
  <c r="DJ17" i="7" s="1"/>
  <c r="CX29" i="7" a="1"/>
  <c r="CX29" i="7" s="1"/>
  <c r="DJ29" i="7" s="1"/>
  <c r="CW22" i="7" a="1"/>
  <c r="CW22" i="7" s="1"/>
  <c r="DI22" i="7" s="1"/>
  <c r="CW29" i="7" a="1"/>
  <c r="CW29" i="7" s="1"/>
  <c r="DI29" i="7" s="1"/>
  <c r="CV22" i="7" a="1"/>
  <c r="CV22" i="7" s="1"/>
  <c r="DH22" i="7" s="1"/>
  <c r="CU15" i="7" a="1"/>
  <c r="CU15" i="7" s="1"/>
  <c r="DG15" i="7" s="1"/>
  <c r="CU27" i="7" a="1"/>
  <c r="CU27" i="7" s="1"/>
  <c r="DG27" i="7" s="1"/>
  <c r="CT20" i="7" a="1"/>
  <c r="CT20" i="7" s="1"/>
  <c r="DF20" i="7" s="1"/>
  <c r="CT32" i="7" a="1"/>
  <c r="CT32" i="7" s="1"/>
  <c r="DF32" i="7" s="1"/>
  <c r="CS25" i="7" a="1"/>
  <c r="CS25" i="7" s="1"/>
  <c r="DE25" i="7" s="1"/>
  <c r="CY17" i="7" a="1"/>
  <c r="CY17" i="7" s="1"/>
  <c r="DK17" i="7" s="1"/>
  <c r="CU31" i="7" a="1"/>
  <c r="CU31" i="7" s="1"/>
  <c r="DG31" i="7" s="1"/>
  <c r="CT24" i="7" a="1"/>
  <c r="CT24" i="7" s="1"/>
  <c r="DF24" i="7" s="1"/>
  <c r="CS17" i="7" a="1"/>
  <c r="CS17" i="7" s="1"/>
  <c r="DE17" i="7" s="1"/>
  <c r="CS29" i="7" a="1"/>
  <c r="CS29" i="7" s="1"/>
  <c r="DE29" i="7" s="1"/>
  <c r="CY21" i="7" a="1"/>
  <c r="CY21" i="7" s="1"/>
  <c r="DK21" i="7" s="1"/>
  <c r="CY28" i="7" a="1"/>
  <c r="CY28" i="7" s="1"/>
  <c r="DK28" i="7" s="1"/>
  <c r="CX21" i="7" a="1"/>
  <c r="CX21" i="7" s="1"/>
  <c r="DJ21" i="7" s="1"/>
  <c r="CX33" i="7" a="1"/>
  <c r="CX33" i="7" s="1"/>
  <c r="DJ33" i="7" s="1"/>
  <c r="CW26" i="7" a="1"/>
  <c r="CW26" i="7" s="1"/>
  <c r="DI26" i="7" s="1"/>
  <c r="CV19" i="7" a="1"/>
  <c r="CV19" i="7" s="1"/>
  <c r="DH19" i="7" s="1"/>
  <c r="CV31" i="7" a="1"/>
  <c r="CV31" i="7" s="1"/>
  <c r="DH31" i="7" s="1"/>
  <c r="CU24" i="7" a="1"/>
  <c r="CU24" i="7" s="1"/>
  <c r="DG24" i="7" s="1"/>
  <c r="CT17" i="7" a="1"/>
  <c r="CT17" i="7" s="1"/>
  <c r="DF17" i="7" s="1"/>
  <c r="CW30" i="7" a="1"/>
  <c r="CW30" i="7" s="1"/>
  <c r="DI30" i="7" s="1"/>
  <c r="CV23" i="7" a="1"/>
  <c r="CV23" i="7" s="1"/>
  <c r="DH23" i="7" s="1"/>
  <c r="CU16" i="7" a="1"/>
  <c r="CU16" i="7" s="1"/>
  <c r="DG16" i="7" s="1"/>
  <c r="CU28" i="7" a="1"/>
  <c r="CU28" i="7" s="1"/>
  <c r="DG28" i="7" s="1"/>
  <c r="CT21" i="7" a="1"/>
  <c r="CT21" i="7" s="1"/>
  <c r="DF21" i="7" s="1"/>
  <c r="CT28" i="7" a="1"/>
  <c r="CT28" i="7" s="1"/>
  <c r="DF28" i="7" s="1"/>
  <c r="CS21" i="7" a="1"/>
  <c r="CS21" i="7" s="1"/>
  <c r="DE21" i="7" s="1"/>
  <c r="CS33" i="7" a="1"/>
  <c r="CS33" i="7" s="1"/>
  <c r="DE33" i="7" s="1"/>
  <c r="CY25" i="7" a="1"/>
  <c r="CY25" i="7" s="1"/>
  <c r="DK25" i="7" s="1"/>
  <c r="CX18" i="7" a="1"/>
  <c r="CX18" i="7" s="1"/>
  <c r="DJ18" i="7" s="1"/>
  <c r="CX30" i="7" a="1"/>
  <c r="CX30" i="7" s="1"/>
  <c r="DJ30" i="7" s="1"/>
  <c r="CW23" i="7" a="1"/>
  <c r="CW23" i="7" s="1"/>
  <c r="DI23" i="7" s="1"/>
  <c r="CV16" i="7" a="1"/>
  <c r="CV16" i="7" s="1"/>
  <c r="DH16" i="7" s="1"/>
  <c r="CY29" i="7" a="1"/>
  <c r="CY29" i="7" s="1"/>
  <c r="DK29" i="7" s="1"/>
  <c r="CX22" i="7" a="1"/>
  <c r="CX22" i="7" s="1"/>
  <c r="DJ22" i="7" s="1"/>
  <c r="CW15" i="7" a="1"/>
  <c r="CW15" i="7" s="1"/>
  <c r="DI15" i="7" s="1"/>
  <c r="CW27" i="7" a="1"/>
  <c r="CW27" i="7" s="1"/>
  <c r="DI27" i="7" s="1"/>
  <c r="CV20" i="7" a="1"/>
  <c r="CV20" i="7" s="1"/>
  <c r="DH20" i="7" s="1"/>
  <c r="CV27" i="7" a="1"/>
  <c r="CV27" i="7" s="1"/>
  <c r="DH27" i="7" s="1"/>
  <c r="CU20" i="7" a="1"/>
  <c r="CU20" i="7" s="1"/>
  <c r="DG20" i="7" s="1"/>
  <c r="CU32" i="7" a="1"/>
  <c r="CU32" i="7" s="1"/>
  <c r="DG32" i="7" s="1"/>
  <c r="CT25" i="7" a="1"/>
  <c r="CT25" i="7" s="1"/>
  <c r="DF25" i="7" s="1"/>
  <c r="CS18" i="7" a="1"/>
  <c r="CS18" i="7" s="1"/>
  <c r="DE18" i="7" s="1"/>
  <c r="CS30" i="7" a="1"/>
  <c r="CS30" i="7" s="1"/>
  <c r="DE30" i="7" s="1"/>
  <c r="CY22" i="7" a="1"/>
  <c r="CY22" i="7" s="1"/>
  <c r="DK22" i="7" s="1"/>
  <c r="CX15" i="7" a="1"/>
  <c r="CX15" i="7" s="1"/>
  <c r="DJ15" i="7" s="1"/>
  <c r="CT29" i="7" a="1"/>
  <c r="CT29" i="7" s="1"/>
  <c r="DF29" i="7" s="1"/>
  <c r="CS22" i="7" a="1"/>
  <c r="CS22" i="7" s="1"/>
  <c r="DE22" i="7" s="1"/>
  <c r="CV15" i="7" a="1"/>
  <c r="CV15" i="7" s="1"/>
  <c r="DH15" i="7" s="1"/>
  <c r="CY26" i="7" a="1"/>
  <c r="CY26" i="7" s="1"/>
  <c r="DK26" i="7" s="1"/>
  <c r="CX19" i="7" a="1"/>
  <c r="CX19" i="7" s="1"/>
  <c r="DJ19" i="7" s="1"/>
  <c r="CR16" i="7" a="1"/>
  <c r="CR16" i="7" s="1"/>
  <c r="CR28" i="7" a="1"/>
  <c r="CR28" i="7" s="1"/>
  <c r="CR21" i="7" a="1"/>
  <c r="CR21" i="7" s="1"/>
  <c r="CR33" i="7" a="1"/>
  <c r="CR33" i="7" s="1"/>
  <c r="CR26" i="7" a="1"/>
  <c r="CR26" i="7" s="1"/>
  <c r="CR19" i="7" a="1"/>
  <c r="CR19" i="7" s="1"/>
  <c r="CR31" i="7" a="1"/>
  <c r="CR31" i="7" s="1"/>
  <c r="CR24" i="7" a="1"/>
  <c r="CR24" i="7" s="1"/>
  <c r="CR17" i="7" a="1"/>
  <c r="CR17" i="7" s="1"/>
  <c r="CR29" i="7" a="1"/>
  <c r="CR29" i="7" s="1"/>
  <c r="CR22" i="7" a="1"/>
  <c r="CR22" i="7" s="1"/>
  <c r="CR20" i="7" a="1"/>
  <c r="CR20" i="7" s="1"/>
  <c r="CR27" i="7" a="1"/>
  <c r="CR27" i="7" s="1"/>
  <c r="CR25" i="7" a="1"/>
  <c r="CR25" i="7" s="1"/>
  <c r="CR32" i="7" a="1"/>
  <c r="CR32" i="7" s="1"/>
  <c r="CR30" i="7" a="1"/>
  <c r="CR30" i="7" s="1"/>
  <c r="CR18" i="7" a="1"/>
  <c r="CR18" i="7" s="1"/>
  <c r="CR23" i="7" a="1"/>
  <c r="CR23" i="7" s="1"/>
  <c r="CR15" i="7" a="1"/>
  <c r="CR15" i="7" s="1"/>
  <c r="CS15" i="10" a="1"/>
  <c r="CS15" i="10" s="1"/>
  <c r="DA15" i="10" s="1"/>
  <c r="CU17" i="10" a="1"/>
  <c r="CU17" i="10" s="1"/>
  <c r="DC17" i="10" s="1"/>
  <c r="CU16" i="10" a="1"/>
  <c r="CU16" i="10" s="1"/>
  <c r="DC16" i="10" s="1"/>
  <c r="CT19" i="10" a="1"/>
  <c r="CT19" i="10" s="1"/>
  <c r="DB19" i="10" s="1"/>
  <c r="CT18" i="10" a="1"/>
  <c r="CT18" i="10" s="1"/>
  <c r="DB18" i="10" s="1"/>
  <c r="CT16" i="10" a="1"/>
  <c r="CT16" i="10" s="1"/>
  <c r="DB16" i="10" s="1"/>
  <c r="CT15" i="10" a="1"/>
  <c r="CT15" i="10" s="1"/>
  <c r="DB15" i="10" s="1"/>
  <c r="CS18" i="10" a="1"/>
  <c r="CS18" i="10" s="1"/>
  <c r="DA18" i="10" s="1"/>
  <c r="CS17" i="10" a="1"/>
  <c r="CS17" i="10" s="1"/>
  <c r="DA17" i="10" s="1"/>
  <c r="CU19" i="10" a="1"/>
  <c r="CU19" i="10" s="1"/>
  <c r="DC19" i="10" s="1"/>
  <c r="CU18" i="10" a="1"/>
  <c r="CU18" i="10" s="1"/>
  <c r="DC18" i="10" s="1"/>
  <c r="CU15" i="10" a="1"/>
  <c r="CU15" i="10" s="1"/>
  <c r="DC15" i="10" s="1"/>
  <c r="CT17" i="10" a="1"/>
  <c r="CT17" i="10" s="1"/>
  <c r="DB17" i="10" s="1"/>
  <c r="CS19" i="10" a="1"/>
  <c r="CS19" i="10" s="1"/>
  <c r="DA19" i="10" s="1"/>
  <c r="CS16" i="10" a="1"/>
  <c r="CS16" i="10" s="1"/>
  <c r="DA16" i="10" s="1"/>
  <c r="CR16" i="10" a="1"/>
  <c r="CR16" i="10" s="1"/>
  <c r="CR17" i="10" a="1"/>
  <c r="CR17" i="10" s="1"/>
  <c r="CR18" i="10" a="1"/>
  <c r="CR18" i="10" s="1"/>
  <c r="CR19" i="10" a="1"/>
  <c r="CR19" i="10" s="1"/>
  <c r="CR15" i="10" a="1"/>
  <c r="CR15" i="10" s="1"/>
  <c r="CS15" i="8" a="1"/>
  <c r="CS15" i="8" s="1"/>
  <c r="CU17" i="8" a="1"/>
  <c r="CU17" i="8" s="1"/>
  <c r="CU16" i="8" a="1"/>
  <c r="CU16" i="8" s="1"/>
  <c r="CT19" i="8" a="1"/>
  <c r="CT19" i="8" s="1"/>
  <c r="CT18" i="8" a="1"/>
  <c r="CT18" i="8" s="1"/>
  <c r="CT16" i="8" a="1"/>
  <c r="CT16" i="8" s="1"/>
  <c r="CT15" i="8" a="1"/>
  <c r="CT15" i="8" s="1"/>
  <c r="CS18" i="8" a="1"/>
  <c r="CS18" i="8" s="1"/>
  <c r="CS17" i="8" a="1"/>
  <c r="CS17" i="8" s="1"/>
  <c r="CU19" i="8" a="1"/>
  <c r="CU19" i="8" s="1"/>
  <c r="CU18" i="8" a="1"/>
  <c r="CU18" i="8" s="1"/>
  <c r="CU15" i="8" a="1"/>
  <c r="CU15" i="8" s="1"/>
  <c r="CT17" i="8" a="1"/>
  <c r="CT17" i="8" s="1"/>
  <c r="CS19" i="8" a="1"/>
  <c r="CS19" i="8" s="1"/>
  <c r="CS16" i="8" a="1"/>
  <c r="CS16" i="8" s="1"/>
  <c r="CR16" i="8" a="1"/>
  <c r="CR16" i="8" s="1"/>
  <c r="CR17" i="8" a="1"/>
  <c r="CR17" i="8" s="1"/>
  <c r="CR18" i="8" a="1"/>
  <c r="CR18" i="8" s="1"/>
  <c r="CR19" i="8" a="1"/>
  <c r="CR19" i="8" s="1"/>
  <c r="CR15" i="8" a="1"/>
  <c r="CR15" i="8" s="1"/>
  <c r="F15" i="10" a="1"/>
  <c r="F15" i="10" s="1"/>
  <c r="F15" i="7" a="1"/>
  <c r="F15" i="7" s="1"/>
  <c r="F15" i="8" a="1"/>
  <c r="F15" i="8" s="1"/>
  <c r="D15" i="3" a="1"/>
  <c r="D15" i="3" s="1"/>
  <c r="AQ14" i="3" a="1"/>
  <c r="AQ14" i="3" s="1"/>
  <c r="B14" i="3"/>
  <c r="BQ14" i="3" a="1"/>
  <c r="BQ14" i="3" s="1"/>
  <c r="BP15" i="3" a="1"/>
  <c r="AP15" i="3" a="1"/>
  <c r="EU21" i="11" l="1" a="1"/>
  <c r="EU21" i="11" s="1"/>
  <c r="CX15" i="12" a="1"/>
  <c r="CX15" i="12" s="1"/>
  <c r="CX18" i="12" a="1"/>
  <c r="CX18" i="12" s="1"/>
  <c r="CX16" i="12" a="1"/>
  <c r="CX16" i="12" s="1"/>
  <c r="CX17" i="12" a="1"/>
  <c r="CX17" i="12" s="1"/>
  <c r="CX19" i="12" a="1"/>
  <c r="CX19" i="12" s="1"/>
  <c r="EP29" i="11" a="1"/>
  <c r="EP29" i="11" s="1"/>
  <c r="BW21" i="3" a="1"/>
  <c r="BW21" i="3" s="1"/>
  <c r="CD28" i="3" a="1"/>
  <c r="CD28" i="3" s="1"/>
  <c r="BV20" i="3" a="1"/>
  <c r="BV20" i="3" s="1"/>
  <c r="CC27" i="3" a="1"/>
  <c r="CC27" i="3" s="1"/>
  <c r="CJ34" i="3" a="1"/>
  <c r="CJ34" i="3" s="1"/>
  <c r="BU19" i="3" a="1"/>
  <c r="BU19" i="3" s="1"/>
  <c r="CB26" i="3" a="1"/>
  <c r="CB26" i="3" s="1"/>
  <c r="CI33" i="3" a="1"/>
  <c r="CI33" i="3" s="1"/>
  <c r="BY23" i="3" a="1"/>
  <c r="BY23" i="3" s="1"/>
  <c r="BT18" i="3" a="1"/>
  <c r="BT18" i="3" s="1"/>
  <c r="CA25" i="3" a="1"/>
  <c r="CA25" i="3" s="1"/>
  <c r="CH32" i="3" a="1"/>
  <c r="CH32" i="3" s="1"/>
  <c r="CF30" i="3" a="1"/>
  <c r="CF30" i="3" s="1"/>
  <c r="BS17" i="3" a="1"/>
  <c r="BS17" i="3" s="1"/>
  <c r="BZ24" i="3" a="1"/>
  <c r="BZ24" i="3" s="1"/>
  <c r="CG31" i="3" a="1"/>
  <c r="CG31" i="3" s="1"/>
  <c r="BR16" i="3" a="1"/>
  <c r="BR16" i="3" s="1"/>
  <c r="BX22" i="3" a="1"/>
  <c r="BX22" i="3" s="1"/>
  <c r="CE29" i="3" a="1"/>
  <c r="CE29" i="3" s="1"/>
  <c r="BP15" i="3"/>
  <c r="BJ34" i="3" a="1"/>
  <c r="BJ34" i="3" s="1"/>
  <c r="BC34" i="3" a="1"/>
  <c r="BC34" i="3" s="1"/>
  <c r="AV34" i="3" a="1"/>
  <c r="AV34" i="3" s="1"/>
  <c r="BH33" i="3" a="1"/>
  <c r="BH33" i="3" s="1"/>
  <c r="BA33" i="3" a="1"/>
  <c r="BA33" i="3" s="1"/>
  <c r="AT33" i="3" a="1"/>
  <c r="AT33" i="3" s="1"/>
  <c r="BF32" i="3" a="1"/>
  <c r="BF32" i="3" s="1"/>
  <c r="AY32" i="3" a="1"/>
  <c r="AY32" i="3" s="1"/>
  <c r="AR32" i="3" a="1"/>
  <c r="AR32" i="3" s="1"/>
  <c r="BD31" i="3" a="1"/>
  <c r="BD31" i="3" s="1"/>
  <c r="AW31" i="3" a="1"/>
  <c r="AW31" i="3" s="1"/>
  <c r="BI30" i="3" a="1"/>
  <c r="BI30" i="3" s="1"/>
  <c r="BB30" i="3" a="1"/>
  <c r="BB30" i="3" s="1"/>
  <c r="AU30" i="3" a="1"/>
  <c r="AU30" i="3" s="1"/>
  <c r="BG29" i="3" a="1"/>
  <c r="BG29" i="3" s="1"/>
  <c r="AZ29" i="3" a="1"/>
  <c r="AZ29" i="3" s="1"/>
  <c r="AS29" i="3" a="1"/>
  <c r="AS29" i="3" s="1"/>
  <c r="BE28" i="3" a="1"/>
  <c r="BE28" i="3" s="1"/>
  <c r="AX28" i="3" a="1"/>
  <c r="AX28" i="3" s="1"/>
  <c r="BJ27" i="3" a="1"/>
  <c r="BJ27" i="3" s="1"/>
  <c r="BC27" i="3" a="1"/>
  <c r="BC27" i="3" s="1"/>
  <c r="AV27" i="3" a="1"/>
  <c r="AV27" i="3" s="1"/>
  <c r="BH26" i="3" a="1"/>
  <c r="BH26" i="3" s="1"/>
  <c r="BA26" i="3" a="1"/>
  <c r="BA26" i="3" s="1"/>
  <c r="AT26" i="3" a="1"/>
  <c r="AT26" i="3" s="1"/>
  <c r="BF25" i="3" a="1"/>
  <c r="BF25" i="3" s="1"/>
  <c r="AY25" i="3" a="1"/>
  <c r="AY25" i="3" s="1"/>
  <c r="AR25" i="3" a="1"/>
  <c r="AR25" i="3" s="1"/>
  <c r="BD24" i="3" a="1"/>
  <c r="BD24" i="3" s="1"/>
  <c r="AW24" i="3" a="1"/>
  <c r="AW24" i="3" s="1"/>
  <c r="BI23" i="3" a="1"/>
  <c r="BI23" i="3" s="1"/>
  <c r="BB23" i="3" a="1"/>
  <c r="BB23" i="3" s="1"/>
  <c r="AU23" i="3" a="1"/>
  <c r="AU23" i="3" s="1"/>
  <c r="BG22" i="3" a="1"/>
  <c r="BG22" i="3" s="1"/>
  <c r="AZ22" i="3" a="1"/>
  <c r="AZ22" i="3" s="1"/>
  <c r="AS22" i="3" a="1"/>
  <c r="AS22" i="3" s="1"/>
  <c r="BE21" i="3" a="1"/>
  <c r="BE21" i="3" s="1"/>
  <c r="AX21" i="3" a="1"/>
  <c r="AX21" i="3" s="1"/>
  <c r="BJ20" i="3" a="1"/>
  <c r="BJ20" i="3" s="1"/>
  <c r="BC20" i="3" a="1"/>
  <c r="BC20" i="3" s="1"/>
  <c r="AV20" i="3" a="1"/>
  <c r="AV20" i="3" s="1"/>
  <c r="BH19" i="3" a="1"/>
  <c r="BH19" i="3" s="1"/>
  <c r="BA19" i="3" a="1"/>
  <c r="BA19" i="3" s="1"/>
  <c r="AT19" i="3" a="1"/>
  <c r="AT19" i="3" s="1"/>
  <c r="BF18" i="3" a="1"/>
  <c r="BF18" i="3" s="1"/>
  <c r="AY18" i="3" a="1"/>
  <c r="AY18" i="3" s="1"/>
  <c r="AR18" i="3" a="1"/>
  <c r="AR18" i="3" s="1"/>
  <c r="BD17" i="3" a="1"/>
  <c r="BD17" i="3" s="1"/>
  <c r="AW17" i="3" a="1"/>
  <c r="AW17" i="3" s="1"/>
  <c r="BI16" i="3" a="1"/>
  <c r="BI16" i="3" s="1"/>
  <c r="BB16" i="3" a="1"/>
  <c r="BB16" i="3" s="1"/>
  <c r="AU16" i="3" a="1"/>
  <c r="AU16" i="3" s="1"/>
  <c r="BI34" i="3" a="1"/>
  <c r="BI34" i="3" s="1"/>
  <c r="BB34" i="3" a="1"/>
  <c r="BB34" i="3" s="1"/>
  <c r="AU34" i="3" a="1"/>
  <c r="AU34" i="3" s="1"/>
  <c r="BG33" i="3" a="1"/>
  <c r="BG33" i="3" s="1"/>
  <c r="AZ33" i="3" a="1"/>
  <c r="AZ33" i="3" s="1"/>
  <c r="AS33" i="3" a="1"/>
  <c r="AS33" i="3" s="1"/>
  <c r="BE32" i="3" a="1"/>
  <c r="BE32" i="3" s="1"/>
  <c r="AX32" i="3" a="1"/>
  <c r="AX32" i="3" s="1"/>
  <c r="BJ31" i="3" a="1"/>
  <c r="BJ31" i="3" s="1"/>
  <c r="BC31" i="3" a="1"/>
  <c r="BC31" i="3" s="1"/>
  <c r="AV31" i="3" a="1"/>
  <c r="AV31" i="3" s="1"/>
  <c r="BH30" i="3" a="1"/>
  <c r="BH30" i="3" s="1"/>
  <c r="BA30" i="3" a="1"/>
  <c r="BA30" i="3" s="1"/>
  <c r="AT30" i="3" a="1"/>
  <c r="AT30" i="3" s="1"/>
  <c r="BF29" i="3" a="1"/>
  <c r="BF29" i="3" s="1"/>
  <c r="AY29" i="3" a="1"/>
  <c r="AY29" i="3" s="1"/>
  <c r="AR29" i="3" a="1"/>
  <c r="AR29" i="3" s="1"/>
  <c r="BD28" i="3" a="1"/>
  <c r="BD28" i="3" s="1"/>
  <c r="AW28" i="3" a="1"/>
  <c r="AW28" i="3" s="1"/>
  <c r="BI27" i="3" a="1"/>
  <c r="BI27" i="3" s="1"/>
  <c r="BB27" i="3" a="1"/>
  <c r="BB27" i="3" s="1"/>
  <c r="AU27" i="3" a="1"/>
  <c r="AU27" i="3" s="1"/>
  <c r="BG26" i="3" a="1"/>
  <c r="BG26" i="3" s="1"/>
  <c r="AZ26" i="3" a="1"/>
  <c r="AZ26" i="3" s="1"/>
  <c r="AS26" i="3" a="1"/>
  <c r="AS26" i="3" s="1"/>
  <c r="BE25" i="3" a="1"/>
  <c r="BE25" i="3" s="1"/>
  <c r="AX25" i="3" a="1"/>
  <c r="AX25" i="3" s="1"/>
  <c r="BJ24" i="3" a="1"/>
  <c r="BJ24" i="3" s="1"/>
  <c r="BC24" i="3" a="1"/>
  <c r="BC24" i="3" s="1"/>
  <c r="AV24" i="3" a="1"/>
  <c r="AV24" i="3" s="1"/>
  <c r="BH23" i="3" a="1"/>
  <c r="BH23" i="3" s="1"/>
  <c r="BA23" i="3" a="1"/>
  <c r="BA23" i="3" s="1"/>
  <c r="AT23" i="3" a="1"/>
  <c r="AT23" i="3" s="1"/>
  <c r="BF22" i="3" a="1"/>
  <c r="BF22" i="3" s="1"/>
  <c r="AY22" i="3" a="1"/>
  <c r="AY22" i="3" s="1"/>
  <c r="AR22" i="3" a="1"/>
  <c r="AR22" i="3" s="1"/>
  <c r="BD21" i="3" a="1"/>
  <c r="BD21" i="3" s="1"/>
  <c r="AW21" i="3" a="1"/>
  <c r="AW21" i="3" s="1"/>
  <c r="BI20" i="3" a="1"/>
  <c r="BI20" i="3" s="1"/>
  <c r="BB20" i="3" a="1"/>
  <c r="BB20" i="3" s="1"/>
  <c r="AU20" i="3" a="1"/>
  <c r="AU20" i="3" s="1"/>
  <c r="BG19" i="3" a="1"/>
  <c r="BG19" i="3" s="1"/>
  <c r="AZ19" i="3" a="1"/>
  <c r="AZ19" i="3" s="1"/>
  <c r="AS19" i="3" a="1"/>
  <c r="AS19" i="3" s="1"/>
  <c r="BE18" i="3" a="1"/>
  <c r="BE18" i="3" s="1"/>
  <c r="AX18" i="3" a="1"/>
  <c r="AX18" i="3" s="1"/>
  <c r="BJ17" i="3" a="1"/>
  <c r="BJ17" i="3" s="1"/>
  <c r="BC17" i="3" a="1"/>
  <c r="BC17" i="3" s="1"/>
  <c r="AV17" i="3" a="1"/>
  <c r="AV17" i="3" s="1"/>
  <c r="BH16" i="3" a="1"/>
  <c r="BH16" i="3" s="1"/>
  <c r="BA16" i="3" a="1"/>
  <c r="BA16" i="3" s="1"/>
  <c r="AT16" i="3" a="1"/>
  <c r="AT16" i="3" s="1"/>
  <c r="BH34" i="3" a="1"/>
  <c r="BH34" i="3" s="1"/>
  <c r="BA34" i="3" a="1"/>
  <c r="BA34" i="3" s="1"/>
  <c r="AT34" i="3" a="1"/>
  <c r="AT34" i="3" s="1"/>
  <c r="BF33" i="3" a="1"/>
  <c r="BF33" i="3" s="1"/>
  <c r="AY33" i="3" a="1"/>
  <c r="AY33" i="3" s="1"/>
  <c r="AR33" i="3" a="1"/>
  <c r="AR33" i="3" s="1"/>
  <c r="BD32" i="3" a="1"/>
  <c r="BD32" i="3" s="1"/>
  <c r="AW32" i="3" a="1"/>
  <c r="AW32" i="3" s="1"/>
  <c r="BI31" i="3" a="1"/>
  <c r="BI31" i="3" s="1"/>
  <c r="BB31" i="3" a="1"/>
  <c r="BB31" i="3" s="1"/>
  <c r="AU31" i="3" a="1"/>
  <c r="AU31" i="3" s="1"/>
  <c r="BG30" i="3" a="1"/>
  <c r="BG30" i="3" s="1"/>
  <c r="AZ30" i="3" a="1"/>
  <c r="AZ30" i="3" s="1"/>
  <c r="AS30" i="3" a="1"/>
  <c r="AS30" i="3" s="1"/>
  <c r="BE29" i="3" a="1"/>
  <c r="BE29" i="3" s="1"/>
  <c r="AX29" i="3" a="1"/>
  <c r="AX29" i="3" s="1"/>
  <c r="BJ28" i="3" a="1"/>
  <c r="BJ28" i="3" s="1"/>
  <c r="BC28" i="3" a="1"/>
  <c r="BC28" i="3" s="1"/>
  <c r="AV28" i="3" a="1"/>
  <c r="AV28" i="3" s="1"/>
  <c r="BH27" i="3" a="1"/>
  <c r="BH27" i="3" s="1"/>
  <c r="BA27" i="3" a="1"/>
  <c r="BA27" i="3" s="1"/>
  <c r="AT27" i="3" a="1"/>
  <c r="AT27" i="3" s="1"/>
  <c r="BF26" i="3" a="1"/>
  <c r="BF26" i="3" s="1"/>
  <c r="AY26" i="3" a="1"/>
  <c r="AY26" i="3" s="1"/>
  <c r="AR26" i="3" a="1"/>
  <c r="AR26" i="3" s="1"/>
  <c r="BD25" i="3" a="1"/>
  <c r="BD25" i="3" s="1"/>
  <c r="AW25" i="3" a="1"/>
  <c r="AW25" i="3" s="1"/>
  <c r="BI24" i="3" a="1"/>
  <c r="BI24" i="3" s="1"/>
  <c r="BB24" i="3" a="1"/>
  <c r="BB24" i="3" s="1"/>
  <c r="AU24" i="3" a="1"/>
  <c r="AU24" i="3" s="1"/>
  <c r="BG23" i="3" a="1"/>
  <c r="BG23" i="3" s="1"/>
  <c r="AZ23" i="3" a="1"/>
  <c r="AZ23" i="3" s="1"/>
  <c r="AS23" i="3" a="1"/>
  <c r="AS23" i="3" s="1"/>
  <c r="BE22" i="3" a="1"/>
  <c r="BE22" i="3" s="1"/>
  <c r="AX22" i="3" a="1"/>
  <c r="AX22" i="3" s="1"/>
  <c r="BJ21" i="3" a="1"/>
  <c r="BJ21" i="3" s="1"/>
  <c r="BC21" i="3" a="1"/>
  <c r="BC21" i="3" s="1"/>
  <c r="AV21" i="3" a="1"/>
  <c r="AV21" i="3" s="1"/>
  <c r="BH20" i="3" a="1"/>
  <c r="BH20" i="3" s="1"/>
  <c r="BA20" i="3" a="1"/>
  <c r="BA20" i="3" s="1"/>
  <c r="AT20" i="3" a="1"/>
  <c r="AT20" i="3" s="1"/>
  <c r="BF19" i="3" a="1"/>
  <c r="BF19" i="3" s="1"/>
  <c r="AY19" i="3" a="1"/>
  <c r="AY19" i="3" s="1"/>
  <c r="AR19" i="3" a="1"/>
  <c r="AR19" i="3" s="1"/>
  <c r="BD18" i="3" a="1"/>
  <c r="BD18" i="3" s="1"/>
  <c r="AW18" i="3" a="1"/>
  <c r="AW18" i="3" s="1"/>
  <c r="BI17" i="3" a="1"/>
  <c r="BI17" i="3" s="1"/>
  <c r="BB17" i="3" a="1"/>
  <c r="BB17" i="3" s="1"/>
  <c r="AU17" i="3" a="1"/>
  <c r="AU17" i="3" s="1"/>
  <c r="BG16" i="3" a="1"/>
  <c r="BG16" i="3" s="1"/>
  <c r="AZ16" i="3" a="1"/>
  <c r="AZ16" i="3" s="1"/>
  <c r="AS16" i="3" a="1"/>
  <c r="AS16" i="3" s="1"/>
  <c r="BG34" i="3" a="1"/>
  <c r="BG34" i="3" s="1"/>
  <c r="AZ34" i="3" a="1"/>
  <c r="AZ34" i="3" s="1"/>
  <c r="AS34" i="3" a="1"/>
  <c r="AS34" i="3" s="1"/>
  <c r="BE33" i="3" a="1"/>
  <c r="BE33" i="3" s="1"/>
  <c r="AX33" i="3" a="1"/>
  <c r="AX33" i="3" s="1"/>
  <c r="BJ32" i="3" a="1"/>
  <c r="BJ32" i="3" s="1"/>
  <c r="BC32" i="3" a="1"/>
  <c r="BC32" i="3" s="1"/>
  <c r="AV32" i="3" a="1"/>
  <c r="AV32" i="3" s="1"/>
  <c r="BH31" i="3" a="1"/>
  <c r="BH31" i="3" s="1"/>
  <c r="BA31" i="3" a="1"/>
  <c r="BA31" i="3" s="1"/>
  <c r="AT31" i="3" a="1"/>
  <c r="AT31" i="3" s="1"/>
  <c r="BF30" i="3" a="1"/>
  <c r="BF30" i="3" s="1"/>
  <c r="AY30" i="3" a="1"/>
  <c r="AY30" i="3" s="1"/>
  <c r="AR30" i="3" a="1"/>
  <c r="AR30" i="3" s="1"/>
  <c r="BD29" i="3" a="1"/>
  <c r="BD29" i="3" s="1"/>
  <c r="AW29" i="3" a="1"/>
  <c r="AW29" i="3" s="1"/>
  <c r="BI28" i="3" a="1"/>
  <c r="BI28" i="3" s="1"/>
  <c r="BB28" i="3" a="1"/>
  <c r="BB28" i="3" s="1"/>
  <c r="AU28" i="3" a="1"/>
  <c r="AU28" i="3" s="1"/>
  <c r="BG27" i="3" a="1"/>
  <c r="BG27" i="3" s="1"/>
  <c r="AZ27" i="3" a="1"/>
  <c r="AZ27" i="3" s="1"/>
  <c r="AS27" i="3" a="1"/>
  <c r="AS27" i="3" s="1"/>
  <c r="BE26" i="3" a="1"/>
  <c r="BE26" i="3" s="1"/>
  <c r="AX26" i="3" a="1"/>
  <c r="AX26" i="3" s="1"/>
  <c r="BJ25" i="3" a="1"/>
  <c r="BJ25" i="3" s="1"/>
  <c r="BC25" i="3" a="1"/>
  <c r="BC25" i="3" s="1"/>
  <c r="AV25" i="3" a="1"/>
  <c r="AV25" i="3" s="1"/>
  <c r="BH24" i="3" a="1"/>
  <c r="BH24" i="3" s="1"/>
  <c r="BA24" i="3" a="1"/>
  <c r="BA24" i="3" s="1"/>
  <c r="AT24" i="3" a="1"/>
  <c r="AT24" i="3" s="1"/>
  <c r="BF23" i="3" a="1"/>
  <c r="BF23" i="3" s="1"/>
  <c r="AY23" i="3" a="1"/>
  <c r="AY23" i="3" s="1"/>
  <c r="AR23" i="3" a="1"/>
  <c r="AR23" i="3" s="1"/>
  <c r="BD22" i="3" a="1"/>
  <c r="BD22" i="3" s="1"/>
  <c r="AW22" i="3" a="1"/>
  <c r="AW22" i="3" s="1"/>
  <c r="BI21" i="3" a="1"/>
  <c r="BI21" i="3" s="1"/>
  <c r="BB21" i="3" a="1"/>
  <c r="BB21" i="3" s="1"/>
  <c r="AU21" i="3" a="1"/>
  <c r="AU21" i="3" s="1"/>
  <c r="BG20" i="3" a="1"/>
  <c r="BG20" i="3" s="1"/>
  <c r="AZ20" i="3" a="1"/>
  <c r="AZ20" i="3" s="1"/>
  <c r="AS20" i="3" a="1"/>
  <c r="AS20" i="3" s="1"/>
  <c r="BE19" i="3" a="1"/>
  <c r="BE19" i="3" s="1"/>
  <c r="AX19" i="3" a="1"/>
  <c r="AX19" i="3" s="1"/>
  <c r="BJ18" i="3" a="1"/>
  <c r="BJ18" i="3" s="1"/>
  <c r="BC18" i="3" a="1"/>
  <c r="BC18" i="3" s="1"/>
  <c r="AV18" i="3" a="1"/>
  <c r="AV18" i="3" s="1"/>
  <c r="BH17" i="3" a="1"/>
  <c r="BH17" i="3" s="1"/>
  <c r="BA17" i="3" a="1"/>
  <c r="BA17" i="3" s="1"/>
  <c r="AT17" i="3" a="1"/>
  <c r="AT17" i="3" s="1"/>
  <c r="BF16" i="3" a="1"/>
  <c r="BF16" i="3" s="1"/>
  <c r="AY16" i="3" a="1"/>
  <c r="AY16" i="3" s="1"/>
  <c r="AR16" i="3" a="1"/>
  <c r="AR16" i="3" s="1"/>
  <c r="AT18" i="3" a="1"/>
  <c r="AT18" i="3" s="1"/>
  <c r="BD16" i="3" a="1"/>
  <c r="BD16" i="3" s="1"/>
  <c r="BF34" i="3" a="1"/>
  <c r="BF34" i="3" s="1"/>
  <c r="AY34" i="3" a="1"/>
  <c r="AY34" i="3" s="1"/>
  <c r="AR34" i="3" a="1"/>
  <c r="AR34" i="3" s="1"/>
  <c r="BD33" i="3" a="1"/>
  <c r="BD33" i="3" s="1"/>
  <c r="AW33" i="3" a="1"/>
  <c r="AW33" i="3" s="1"/>
  <c r="BI32" i="3" a="1"/>
  <c r="BI32" i="3" s="1"/>
  <c r="BB32" i="3" a="1"/>
  <c r="BB32" i="3" s="1"/>
  <c r="AU32" i="3" a="1"/>
  <c r="AU32" i="3" s="1"/>
  <c r="BG31" i="3" a="1"/>
  <c r="BG31" i="3" s="1"/>
  <c r="AZ31" i="3" a="1"/>
  <c r="AZ31" i="3" s="1"/>
  <c r="AS31" i="3" a="1"/>
  <c r="AS31" i="3" s="1"/>
  <c r="BE30" i="3" a="1"/>
  <c r="BE30" i="3" s="1"/>
  <c r="AX30" i="3" a="1"/>
  <c r="AX30" i="3" s="1"/>
  <c r="BJ29" i="3" a="1"/>
  <c r="BJ29" i="3" s="1"/>
  <c r="BC29" i="3" a="1"/>
  <c r="BC29" i="3" s="1"/>
  <c r="AV29" i="3" a="1"/>
  <c r="AV29" i="3" s="1"/>
  <c r="BH28" i="3" a="1"/>
  <c r="BH28" i="3" s="1"/>
  <c r="BA28" i="3" a="1"/>
  <c r="BA28" i="3" s="1"/>
  <c r="AT28" i="3" a="1"/>
  <c r="AT28" i="3" s="1"/>
  <c r="BF27" i="3" a="1"/>
  <c r="BF27" i="3" s="1"/>
  <c r="AY27" i="3" a="1"/>
  <c r="AY27" i="3" s="1"/>
  <c r="AR27" i="3" a="1"/>
  <c r="AR27" i="3" s="1"/>
  <c r="BD26" i="3" a="1"/>
  <c r="BD26" i="3" s="1"/>
  <c r="AW26" i="3" a="1"/>
  <c r="AW26" i="3" s="1"/>
  <c r="BI25" i="3" a="1"/>
  <c r="BI25" i="3" s="1"/>
  <c r="BB25" i="3" a="1"/>
  <c r="BB25" i="3" s="1"/>
  <c r="AU25" i="3" a="1"/>
  <c r="AU25" i="3" s="1"/>
  <c r="BG24" i="3" a="1"/>
  <c r="BG24" i="3" s="1"/>
  <c r="AZ24" i="3" a="1"/>
  <c r="AZ24" i="3" s="1"/>
  <c r="AS24" i="3" a="1"/>
  <c r="AS24" i="3" s="1"/>
  <c r="BE23" i="3" a="1"/>
  <c r="BE23" i="3" s="1"/>
  <c r="AX23" i="3" a="1"/>
  <c r="AX23" i="3" s="1"/>
  <c r="BJ22" i="3" a="1"/>
  <c r="BJ22" i="3" s="1"/>
  <c r="BC22" i="3" a="1"/>
  <c r="BC22" i="3" s="1"/>
  <c r="AV22" i="3" a="1"/>
  <c r="AV22" i="3" s="1"/>
  <c r="BH21" i="3" a="1"/>
  <c r="BH21" i="3" s="1"/>
  <c r="BA21" i="3" a="1"/>
  <c r="BA21" i="3" s="1"/>
  <c r="AT21" i="3" a="1"/>
  <c r="AT21" i="3" s="1"/>
  <c r="BF20" i="3" a="1"/>
  <c r="BF20" i="3" s="1"/>
  <c r="AY20" i="3" a="1"/>
  <c r="AY20" i="3" s="1"/>
  <c r="AR20" i="3" a="1"/>
  <c r="AR20" i="3" s="1"/>
  <c r="BD19" i="3" a="1"/>
  <c r="BD19" i="3" s="1"/>
  <c r="AW19" i="3" a="1"/>
  <c r="AW19" i="3" s="1"/>
  <c r="BI18" i="3" a="1"/>
  <c r="BI18" i="3" s="1"/>
  <c r="BB18" i="3" a="1"/>
  <c r="BB18" i="3" s="1"/>
  <c r="AU18" i="3" a="1"/>
  <c r="AU18" i="3" s="1"/>
  <c r="BG17" i="3" a="1"/>
  <c r="BG17" i="3" s="1"/>
  <c r="AZ17" i="3" a="1"/>
  <c r="AZ17" i="3" s="1"/>
  <c r="AS17" i="3" a="1"/>
  <c r="AS17" i="3" s="1"/>
  <c r="BE16" i="3" a="1"/>
  <c r="BE16" i="3" s="1"/>
  <c r="AX16" i="3" a="1"/>
  <c r="AX16" i="3" s="1"/>
  <c r="BA18" i="3" a="1"/>
  <c r="BA18" i="3" s="1"/>
  <c r="AR17" i="3" a="1"/>
  <c r="AR17" i="3" s="1"/>
  <c r="AW16" i="3" a="1"/>
  <c r="AW16" i="3" s="1"/>
  <c r="BE34" i="3" a="1"/>
  <c r="BE34" i="3" s="1"/>
  <c r="AX34" i="3" a="1"/>
  <c r="AX34" i="3" s="1"/>
  <c r="BJ33" i="3" a="1"/>
  <c r="BJ33" i="3" s="1"/>
  <c r="BC33" i="3" a="1"/>
  <c r="BC33" i="3" s="1"/>
  <c r="AV33" i="3" a="1"/>
  <c r="AV33" i="3" s="1"/>
  <c r="BH32" i="3" a="1"/>
  <c r="BH32" i="3" s="1"/>
  <c r="BA32" i="3" a="1"/>
  <c r="BA32" i="3" s="1"/>
  <c r="AT32" i="3" a="1"/>
  <c r="AT32" i="3" s="1"/>
  <c r="BF31" i="3" a="1"/>
  <c r="BF31" i="3" s="1"/>
  <c r="AY31" i="3" a="1"/>
  <c r="AY31" i="3" s="1"/>
  <c r="AR31" i="3" a="1"/>
  <c r="AR31" i="3" s="1"/>
  <c r="BD30" i="3" a="1"/>
  <c r="BD30" i="3" s="1"/>
  <c r="AW30" i="3" a="1"/>
  <c r="AW30" i="3" s="1"/>
  <c r="BI29" i="3" a="1"/>
  <c r="BI29" i="3" s="1"/>
  <c r="BB29" i="3" a="1"/>
  <c r="BB29" i="3" s="1"/>
  <c r="AU29" i="3" a="1"/>
  <c r="AU29" i="3" s="1"/>
  <c r="BG28" i="3" a="1"/>
  <c r="BG28" i="3" s="1"/>
  <c r="AZ28" i="3" a="1"/>
  <c r="AZ28" i="3" s="1"/>
  <c r="AS28" i="3" a="1"/>
  <c r="AS28" i="3" s="1"/>
  <c r="BE27" i="3" a="1"/>
  <c r="BE27" i="3" s="1"/>
  <c r="AX27" i="3" a="1"/>
  <c r="AX27" i="3" s="1"/>
  <c r="BJ26" i="3" a="1"/>
  <c r="BJ26" i="3" s="1"/>
  <c r="BC26" i="3" a="1"/>
  <c r="BC26" i="3" s="1"/>
  <c r="AV26" i="3" a="1"/>
  <c r="AV26" i="3" s="1"/>
  <c r="BH25" i="3" a="1"/>
  <c r="BH25" i="3" s="1"/>
  <c r="BA25" i="3" a="1"/>
  <c r="BA25" i="3" s="1"/>
  <c r="AT25" i="3" a="1"/>
  <c r="AT25" i="3" s="1"/>
  <c r="BF24" i="3" a="1"/>
  <c r="BF24" i="3" s="1"/>
  <c r="AY24" i="3" a="1"/>
  <c r="AY24" i="3" s="1"/>
  <c r="AR24" i="3" a="1"/>
  <c r="AR24" i="3" s="1"/>
  <c r="BD23" i="3" a="1"/>
  <c r="BD23" i="3" s="1"/>
  <c r="AW23" i="3" a="1"/>
  <c r="AW23" i="3" s="1"/>
  <c r="BI22" i="3" a="1"/>
  <c r="BI22" i="3" s="1"/>
  <c r="BB22" i="3" a="1"/>
  <c r="BB22" i="3" s="1"/>
  <c r="AU22" i="3" a="1"/>
  <c r="AU22" i="3" s="1"/>
  <c r="BG21" i="3" a="1"/>
  <c r="BG21" i="3" s="1"/>
  <c r="AZ21" i="3" a="1"/>
  <c r="AZ21" i="3" s="1"/>
  <c r="AS21" i="3" a="1"/>
  <c r="AS21" i="3" s="1"/>
  <c r="BE20" i="3" a="1"/>
  <c r="BE20" i="3" s="1"/>
  <c r="AX20" i="3" a="1"/>
  <c r="AX20" i="3" s="1"/>
  <c r="BJ19" i="3" a="1"/>
  <c r="BJ19" i="3" s="1"/>
  <c r="BC19" i="3" a="1"/>
  <c r="BC19" i="3" s="1"/>
  <c r="AV19" i="3" a="1"/>
  <c r="AV19" i="3" s="1"/>
  <c r="BH18" i="3" a="1"/>
  <c r="BH18" i="3" s="1"/>
  <c r="BF17" i="3" a="1"/>
  <c r="BF17" i="3" s="1"/>
  <c r="AY17" i="3" a="1"/>
  <c r="AY17" i="3" s="1"/>
  <c r="BD34" i="3" a="1"/>
  <c r="BD34" i="3" s="1"/>
  <c r="AW34" i="3" a="1"/>
  <c r="AW34" i="3" s="1"/>
  <c r="BI33" i="3" a="1"/>
  <c r="BI33" i="3" s="1"/>
  <c r="BB33" i="3" a="1"/>
  <c r="BB33" i="3" s="1"/>
  <c r="AU33" i="3" a="1"/>
  <c r="AU33" i="3" s="1"/>
  <c r="BG32" i="3" a="1"/>
  <c r="BG32" i="3" s="1"/>
  <c r="AZ32" i="3" a="1"/>
  <c r="AZ32" i="3" s="1"/>
  <c r="AS32" i="3" a="1"/>
  <c r="AS32" i="3" s="1"/>
  <c r="BE31" i="3" a="1"/>
  <c r="BE31" i="3" s="1"/>
  <c r="AX31" i="3" a="1"/>
  <c r="AX31" i="3" s="1"/>
  <c r="BJ30" i="3" a="1"/>
  <c r="BJ30" i="3" s="1"/>
  <c r="BC30" i="3" a="1"/>
  <c r="BC30" i="3" s="1"/>
  <c r="AV30" i="3" a="1"/>
  <c r="AV30" i="3" s="1"/>
  <c r="BH29" i="3" a="1"/>
  <c r="BH29" i="3" s="1"/>
  <c r="BA29" i="3" a="1"/>
  <c r="BA29" i="3" s="1"/>
  <c r="AT29" i="3" a="1"/>
  <c r="AT29" i="3" s="1"/>
  <c r="BF28" i="3" a="1"/>
  <c r="BF28" i="3" s="1"/>
  <c r="AY28" i="3" a="1"/>
  <c r="AY28" i="3" s="1"/>
  <c r="AR28" i="3" a="1"/>
  <c r="AR28" i="3" s="1"/>
  <c r="BD27" i="3" a="1"/>
  <c r="BD27" i="3" s="1"/>
  <c r="AW27" i="3" a="1"/>
  <c r="AW27" i="3" s="1"/>
  <c r="BI26" i="3" a="1"/>
  <c r="BI26" i="3" s="1"/>
  <c r="BB26" i="3" a="1"/>
  <c r="BB26" i="3" s="1"/>
  <c r="AU26" i="3" a="1"/>
  <c r="AU26" i="3" s="1"/>
  <c r="BG25" i="3" a="1"/>
  <c r="BG25" i="3" s="1"/>
  <c r="AZ25" i="3" a="1"/>
  <c r="AZ25" i="3" s="1"/>
  <c r="AS25" i="3" a="1"/>
  <c r="AS25" i="3" s="1"/>
  <c r="BE24" i="3" a="1"/>
  <c r="BE24" i="3" s="1"/>
  <c r="AX24" i="3" a="1"/>
  <c r="AX24" i="3" s="1"/>
  <c r="BJ23" i="3" a="1"/>
  <c r="BJ23" i="3" s="1"/>
  <c r="BC23" i="3" a="1"/>
  <c r="BC23" i="3" s="1"/>
  <c r="AV23" i="3" a="1"/>
  <c r="AV23" i="3" s="1"/>
  <c r="BH22" i="3" a="1"/>
  <c r="BH22" i="3" s="1"/>
  <c r="BA22" i="3" a="1"/>
  <c r="BA22" i="3" s="1"/>
  <c r="AT22" i="3" a="1"/>
  <c r="AT22" i="3" s="1"/>
  <c r="BF21" i="3" a="1"/>
  <c r="BF21" i="3" s="1"/>
  <c r="AY21" i="3" a="1"/>
  <c r="AY21" i="3" s="1"/>
  <c r="AR21" i="3" a="1"/>
  <c r="AR21" i="3" s="1"/>
  <c r="BD20" i="3" a="1"/>
  <c r="BD20" i="3" s="1"/>
  <c r="AW20" i="3" a="1"/>
  <c r="AW20" i="3" s="1"/>
  <c r="BI19" i="3" a="1"/>
  <c r="BI19" i="3" s="1"/>
  <c r="BB19" i="3" a="1"/>
  <c r="BB19" i="3" s="1"/>
  <c r="AU19" i="3" a="1"/>
  <c r="AU19" i="3" s="1"/>
  <c r="BG18" i="3" a="1"/>
  <c r="BG18" i="3" s="1"/>
  <c r="AZ18" i="3" a="1"/>
  <c r="AZ18" i="3" s="1"/>
  <c r="AS18" i="3" a="1"/>
  <c r="AS18" i="3" s="1"/>
  <c r="BE17" i="3" a="1"/>
  <c r="BE17" i="3" s="1"/>
  <c r="AX17" i="3" a="1"/>
  <c r="AX17" i="3" s="1"/>
  <c r="BJ16" i="3" a="1"/>
  <c r="BJ16" i="3" s="1"/>
  <c r="BC16" i="3" a="1"/>
  <c r="BC16" i="3" s="1"/>
  <c r="AV16" i="3" a="1"/>
  <c r="AV16" i="3" s="1"/>
  <c r="AQ34" i="3" a="1"/>
  <c r="AQ34" i="3" s="1"/>
  <c r="AQ27" i="3" a="1"/>
  <c r="AQ27" i="3" s="1"/>
  <c r="AQ20" i="3" a="1"/>
  <c r="AQ20" i="3" s="1"/>
  <c r="AQ33" i="3" a="1"/>
  <c r="AQ33" i="3" s="1"/>
  <c r="AQ26" i="3" a="1"/>
  <c r="AQ26" i="3" s="1"/>
  <c r="AQ19" i="3" a="1"/>
  <c r="AQ19" i="3" s="1"/>
  <c r="AQ32" i="3" a="1"/>
  <c r="AQ32" i="3" s="1"/>
  <c r="AQ25" i="3" a="1"/>
  <c r="AQ25" i="3" s="1"/>
  <c r="AQ18" i="3" a="1"/>
  <c r="AQ18" i="3" s="1"/>
  <c r="AQ31" i="3" a="1"/>
  <c r="AQ31" i="3" s="1"/>
  <c r="AQ24" i="3" a="1"/>
  <c r="AQ24" i="3" s="1"/>
  <c r="AQ17" i="3" a="1"/>
  <c r="AQ17" i="3" s="1"/>
  <c r="AQ30" i="3" a="1"/>
  <c r="AQ30" i="3" s="1"/>
  <c r="AQ23" i="3" a="1"/>
  <c r="AQ23" i="3" s="1"/>
  <c r="AQ16" i="3" a="1"/>
  <c r="AQ16" i="3" s="1"/>
  <c r="AQ29" i="3" a="1"/>
  <c r="AQ29" i="3" s="1"/>
  <c r="AQ22" i="3" a="1"/>
  <c r="AQ22" i="3" s="1"/>
  <c r="AQ28" i="3" a="1"/>
  <c r="AQ28" i="3" s="1"/>
  <c r="AQ21" i="3" a="1"/>
  <c r="AQ21" i="3" s="1"/>
  <c r="ET39" i="11" a="1"/>
  <c r="ET39" i="11" s="1"/>
  <c r="EL17" i="11" a="1"/>
  <c r="EL17" i="11" s="1"/>
  <c r="EF35" i="11" a="1"/>
  <c r="EF35" i="11" s="1"/>
  <c r="EQ28" i="11" a="1"/>
  <c r="EQ28" i="11" s="1"/>
  <c r="CX17" i="11" a="1"/>
  <c r="CX17" i="11" s="1"/>
  <c r="CX19" i="11" a="1"/>
  <c r="CX19" i="11" s="1"/>
  <c r="CX16" i="11" a="1"/>
  <c r="CX16" i="11" s="1"/>
  <c r="CX18" i="11" a="1"/>
  <c r="CX18" i="11" s="1"/>
  <c r="CX15" i="11" a="1"/>
  <c r="CX15" i="11" s="1"/>
  <c r="EH22" i="11" a="1"/>
  <c r="EH22" i="11" s="1"/>
  <c r="EP27" i="11" a="1"/>
  <c r="EP27" i="11" s="1"/>
  <c r="EP37" i="11" a="1"/>
  <c r="EP37" i="11" s="1"/>
  <c r="EO23" i="11" a="1"/>
  <c r="EO23" i="11" s="1"/>
  <c r="EP38" i="11" a="1"/>
  <c r="EP38" i="11" s="1"/>
  <c r="EP32" i="11" a="1"/>
  <c r="EP32" i="11" s="1"/>
  <c r="EI18" i="11" a="1"/>
  <c r="EI18" i="11" s="1"/>
  <c r="EF21" i="11" a="1"/>
  <c r="EF21" i="11" s="1"/>
  <c r="EN16" i="11" a="1"/>
  <c r="EN16" i="11" s="1"/>
  <c r="EJ35" i="11" a="1"/>
  <c r="EJ35" i="11" s="1"/>
  <c r="EM27" i="11" a="1"/>
  <c r="EM27" i="11" s="1"/>
  <c r="EJ29" i="11" a="1"/>
  <c r="EJ29" i="11" s="1"/>
  <c r="EP25" i="11" a="1"/>
  <c r="EP25" i="11" s="1"/>
  <c r="EL15" i="11" a="1"/>
  <c r="EL15" i="11" s="1"/>
  <c r="EG25" i="11" a="1"/>
  <c r="EG25" i="11" s="1"/>
  <c r="EO19" i="11" a="1"/>
  <c r="EO19" i="11" s="1"/>
  <c r="EH38" i="11" a="1"/>
  <c r="EH38" i="11" s="1"/>
  <c r="EP28" i="11" a="1"/>
  <c r="EP28" i="11" s="1"/>
  <c r="EQ16" i="11" a="1"/>
  <c r="EQ16" i="11" s="1"/>
  <c r="ET23" i="11" a="1"/>
  <c r="ET23" i="11" s="1"/>
  <c r="EQ26" i="11" a="1"/>
  <c r="EQ26" i="11" s="1"/>
  <c r="EG15" i="11" a="1"/>
  <c r="EG15" i="11" s="1"/>
  <c r="EH25" i="11" a="1"/>
  <c r="EH25" i="11" s="1"/>
  <c r="EG26" i="11" a="1"/>
  <c r="EG26" i="11" s="1"/>
  <c r="EO35" i="11" a="1"/>
  <c r="EO35" i="11" s="1"/>
  <c r="EO25" i="11" a="1"/>
  <c r="EO25" i="11" s="1"/>
  <c r="EH35" i="11" a="1"/>
  <c r="EH35" i="11" s="1"/>
  <c r="EF29" i="11" a="1"/>
  <c r="EF29" i="11" s="1"/>
  <c r="EF26" i="11" a="1"/>
  <c r="EF26" i="11" s="1"/>
  <c r="EI21" i="11" a="1"/>
  <c r="EI21" i="11" s="1"/>
  <c r="EJ39" i="11" a="1"/>
  <c r="EJ39" i="11" s="1"/>
  <c r="EF22" i="11" a="1"/>
  <c r="EF22" i="11" s="1"/>
  <c r="EQ17" i="11" a="1"/>
  <c r="EQ17" i="11" s="1"/>
  <c r="EU26" i="11" a="1"/>
  <c r="EU26" i="11" s="1"/>
  <c r="EH26" i="11" a="1"/>
  <c r="EH26" i="11" s="1"/>
  <c r="EI26" i="11" a="1"/>
  <c r="EI26" i="11" s="1"/>
  <c r="EG27" i="11" a="1"/>
  <c r="EG27" i="11" s="1"/>
  <c r="EL19" i="11" a="1"/>
  <c r="EL19" i="11" s="1"/>
  <c r="EK18" i="11" a="1"/>
  <c r="EK18" i="11" s="1"/>
  <c r="EM26" i="11" a="1"/>
  <c r="EM26" i="11" s="1"/>
  <c r="EG24" i="11" a="1"/>
  <c r="EG24" i="11" s="1"/>
  <c r="EL35" i="11" a="1"/>
  <c r="EL35" i="11" s="1"/>
  <c r="EN19" i="11" a="1"/>
  <c r="EN19" i="11" s="1"/>
  <c r="EH28" i="11" a="1"/>
  <c r="EH28" i="11" s="1"/>
  <c r="EK39" i="11" a="1"/>
  <c r="EK39" i="11" s="1"/>
  <c r="EP18" i="11" a="1"/>
  <c r="EP18" i="11" s="1"/>
  <c r="EO37" i="11" a="1"/>
  <c r="EO37" i="11" s="1"/>
  <c r="EM33" i="11" a="1"/>
  <c r="EM33" i="11" s="1"/>
  <c r="EO24" i="11" a="1"/>
  <c r="EO24" i="11" s="1"/>
  <c r="EM25" i="11" a="1"/>
  <c r="EM25" i="11" s="1"/>
  <c r="EH18" i="11" a="1"/>
  <c r="EH18" i="11" s="1"/>
  <c r="EN30" i="11" a="1"/>
  <c r="EN30" i="11" s="1"/>
  <c r="ER24" i="11" a="1"/>
  <c r="ER24" i="11" s="1"/>
  <c r="EN35" i="11" a="1"/>
  <c r="EN35" i="11" s="1"/>
  <c r="EN36" i="11" a="1"/>
  <c r="EN36" i="11" s="1"/>
  <c r="EF19" i="11" a="1"/>
  <c r="EF19" i="11" s="1"/>
  <c r="EF39" i="11" a="1"/>
  <c r="EF39" i="11" s="1"/>
  <c r="ER26" i="11" a="1"/>
  <c r="ER26" i="11" s="1"/>
  <c r="ET24" i="11" a="1"/>
  <c r="ET24" i="11" s="1"/>
  <c r="EG37" i="11" a="1"/>
  <c r="EG37" i="11" s="1"/>
  <c r="EJ16" i="11" a="1"/>
  <c r="EJ16" i="11" s="1"/>
  <c r="EH37" i="11" a="1"/>
  <c r="EH37" i="11" s="1"/>
  <c r="EF37" i="11" a="1"/>
  <c r="EF37" i="11" s="1"/>
  <c r="EH24" i="11" a="1"/>
  <c r="EH24" i="11" s="1"/>
  <c r="EH17" i="11" a="1"/>
  <c r="EH17" i="11" s="1"/>
  <c r="EF25" i="11" a="1"/>
  <c r="EF25" i="11" s="1"/>
  <c r="EH15" i="11" a="1"/>
  <c r="EH15" i="11" s="1"/>
  <c r="EF24" i="11" a="1"/>
  <c r="EF24" i="11" s="1"/>
  <c r="EI16" i="11" a="1"/>
  <c r="EI16" i="11" s="1"/>
  <c r="EQ36" i="11" a="1"/>
  <c r="EQ36" i="11" s="1"/>
  <c r="EN37" i="11" a="1"/>
  <c r="EN37" i="11" s="1"/>
  <c r="EH27" i="11" a="1"/>
  <c r="EH27" i="11" s="1"/>
  <c r="EG18" i="11" a="1"/>
  <c r="EG18" i="11" s="1"/>
  <c r="EO34" i="11" a="1"/>
  <c r="EO34" i="11" s="1"/>
  <c r="EI37" i="11" a="1"/>
  <c r="EI37" i="11" s="1"/>
  <c r="EI36" i="11" a="1"/>
  <c r="EI36" i="11" s="1"/>
  <c r="EQ31" i="11" a="1"/>
  <c r="EQ31" i="11" s="1"/>
  <c r="EF36" i="11" a="1"/>
  <c r="EF36" i="11" s="1"/>
  <c r="EM36" i="11" a="1"/>
  <c r="EM36" i="11" s="1"/>
  <c r="ES32" i="11" a="1"/>
  <c r="ES32" i="11" s="1"/>
  <c r="EI15" i="11" a="1"/>
  <c r="EI15" i="11" s="1"/>
  <c r="EP20" i="11" a="1"/>
  <c r="EP20" i="11" s="1"/>
  <c r="EK35" i="11" a="1"/>
  <c r="EK35" i="11" s="1"/>
  <c r="EO15" i="11" a="1"/>
  <c r="EO15" i="11" s="1"/>
  <c r="EQ33" i="11" a="1"/>
  <c r="EQ33" i="11" s="1"/>
  <c r="EU24" i="11" a="1"/>
  <c r="EU24" i="11" s="1"/>
  <c r="EG35" i="11" a="1"/>
  <c r="EG35" i="11" s="1"/>
  <c r="ES35" i="11" a="1"/>
  <c r="ES35" i="11" s="1"/>
  <c r="ET34" i="11" a="1"/>
  <c r="ET34" i="11" s="1"/>
  <c r="EK34" i="11" a="1"/>
  <c r="EK34" i="11" s="1"/>
  <c r="EK36" i="11" a="1"/>
  <c r="EK36" i="11" s="1"/>
  <c r="ES20" i="11" a="1"/>
  <c r="ES20" i="11" s="1"/>
  <c r="EL27" i="11" a="1"/>
  <c r="EL27" i="11" s="1"/>
  <c r="EH16" i="11" a="1"/>
  <c r="EH16" i="11" s="1"/>
  <c r="ER15" i="11" a="1"/>
  <c r="ER15" i="11" s="1"/>
  <c r="EP36" i="11" a="1"/>
  <c r="EP36" i="11" s="1"/>
  <c r="ET26" i="11" a="1"/>
  <c r="ET26" i="11" s="1"/>
  <c r="EN15" i="11" a="1"/>
  <c r="EN15" i="11" s="1"/>
  <c r="EH19" i="11" a="1"/>
  <c r="EH19" i="11" s="1"/>
  <c r="EH29" i="11" a="1"/>
  <c r="EH29" i="11" s="1"/>
  <c r="EJ27" i="11" a="1"/>
  <c r="EJ27" i="11" s="1"/>
  <c r="EJ19" i="11" a="1"/>
  <c r="EJ19" i="11" s="1"/>
  <c r="EM16" i="11" a="1"/>
  <c r="EM16" i="11" s="1"/>
  <c r="FI16" i="11" s="1" a="1"/>
  <c r="FI16" i="11" s="1"/>
  <c r="ER36" i="11" a="1"/>
  <c r="ER36" i="11" s="1"/>
  <c r="ET35" i="11" a="1"/>
  <c r="ET35" i="11" s="1"/>
  <c r="EQ22" i="11" a="1"/>
  <c r="EQ22" i="11" s="1"/>
  <c r="EQ35" i="11" a="1"/>
  <c r="EQ35" i="11" s="1"/>
  <c r="EO16" i="11" a="1"/>
  <c r="EO16" i="11" s="1"/>
  <c r="EP35" i="11" a="1"/>
  <c r="EP35" i="11" s="1"/>
  <c r="EO20" i="11" a="1"/>
  <c r="EO20" i="11" s="1"/>
  <c r="EJ26" i="11" a="1"/>
  <c r="EJ26" i="11" s="1"/>
  <c r="EF27" i="11" a="1"/>
  <c r="EF27" i="11" s="1"/>
  <c r="ET21" i="11" a="1"/>
  <c r="ET21" i="11" s="1"/>
  <c r="EI33" i="11" a="1"/>
  <c r="EI33" i="11" s="1"/>
  <c r="EN22" i="11" a="1"/>
  <c r="EN22" i="11" s="1"/>
  <c r="EL36" i="11" a="1"/>
  <c r="EL36" i="11" s="1"/>
  <c r="ES22" i="11" a="1"/>
  <c r="ES22" i="11" s="1"/>
  <c r="EJ25" i="11" a="1"/>
  <c r="EJ25" i="11" s="1"/>
  <c r="EO27" i="11" a="1"/>
  <c r="EO27" i="11" s="1"/>
  <c r="EK15" i="11" a="1"/>
  <c r="EK15" i="11" s="1"/>
  <c r="EI23" i="11" a="1"/>
  <c r="EI23" i="11" s="1"/>
  <c r="EM24" i="11" a="1"/>
  <c r="EM24" i="11" s="1"/>
  <c r="EO36" i="11" a="1"/>
  <c r="EO36" i="11" s="1"/>
  <c r="DB31" i="11"/>
  <c r="DB16" i="11"/>
  <c r="EM30" i="11" a="1"/>
  <c r="EM30" i="11" s="1"/>
  <c r="ET29" i="11" a="1"/>
  <c r="ET29" i="11" s="1"/>
  <c r="EU38" i="11" a="1"/>
  <c r="EU38" i="11" s="1"/>
  <c r="EQ21" i="11" a="1"/>
  <c r="EQ21" i="11" s="1"/>
  <c r="ER30" i="11" a="1"/>
  <c r="ER30" i="11" s="1"/>
  <c r="EI39" i="11" a="1"/>
  <c r="EI39" i="11" s="1"/>
  <c r="DA30" i="11"/>
  <c r="DA15" i="11"/>
  <c r="EO22" i="11" a="1"/>
  <c r="EO22" i="11" s="1"/>
  <c r="EK27" i="11" a="1"/>
  <c r="EK27" i="11" s="1"/>
  <c r="EU30" i="11" a="1"/>
  <c r="EU30" i="11" s="1"/>
  <c r="ES38" i="11" a="1"/>
  <c r="ES38" i="11" s="1"/>
  <c r="EM18" i="11" a="1"/>
  <c r="EM18" i="11" s="1"/>
  <c r="ES23" i="11" a="1"/>
  <c r="ES23" i="11" s="1"/>
  <c r="ET30" i="11" a="1"/>
  <c r="ET30" i="11" s="1"/>
  <c r="EG39" i="11" a="1"/>
  <c r="EG39" i="11" s="1"/>
  <c r="EQ20" i="11" a="1"/>
  <c r="EQ20" i="11" s="1"/>
  <c r="EL25" i="11" a="1"/>
  <c r="EL25" i="11" s="1"/>
  <c r="EN25" i="11" a="1"/>
  <c r="EN25" i="11" s="1"/>
  <c r="ER32" i="11" a="1"/>
  <c r="ER32" i="11" s="1"/>
  <c r="EI17" i="11" a="1"/>
  <c r="EI17" i="11" s="1"/>
  <c r="EF18" i="11" a="1"/>
  <c r="EF18" i="11" s="1"/>
  <c r="EU32" i="11" a="1"/>
  <c r="EU32" i="11" s="1"/>
  <c r="EF34" i="11" a="1"/>
  <c r="EF34" i="11" s="1"/>
  <c r="ES30" i="11" a="1"/>
  <c r="ES30" i="11" s="1"/>
  <c r="ER35" i="11" a="1"/>
  <c r="ER35" i="11" s="1"/>
  <c r="EO18" i="11" a="1"/>
  <c r="EO18" i="11" s="1"/>
  <c r="EP22" i="11" a="1"/>
  <c r="EP22" i="11" s="1"/>
  <c r="EG34" i="11" a="1"/>
  <c r="EG34" i="11" s="1"/>
  <c r="EU18" i="11" a="1"/>
  <c r="EU18" i="11" s="1"/>
  <c r="EM35" i="11" a="1"/>
  <c r="EM35" i="11" s="1"/>
  <c r="EI28" i="11" a="1"/>
  <c r="EI28" i="11" s="1"/>
  <c r="EP16" i="11" a="1"/>
  <c r="EP16" i="11" s="1"/>
  <c r="EK21" i="11" a="1"/>
  <c r="EK21" i="11" s="1"/>
  <c r="EQ39" i="11" a="1"/>
  <c r="EQ39" i="11" s="1"/>
  <c r="ET36" i="11" a="1"/>
  <c r="ET36" i="11" s="1"/>
  <c r="EG17" i="11" a="1"/>
  <c r="EG17" i="11" s="1"/>
  <c r="EL33" i="11" a="1"/>
  <c r="EL33" i="11" s="1"/>
  <c r="EK17" i="11" a="1"/>
  <c r="EK17" i="11" s="1"/>
  <c r="EN32" i="11" a="1"/>
  <c r="EN32" i="11" s="1"/>
  <c r="ET38" i="11" a="1"/>
  <c r="ET38" i="11" s="1"/>
  <c r="CZ32" i="11"/>
  <c r="CZ17" i="11"/>
  <c r="ER19" i="11" a="1"/>
  <c r="ER19" i="11" s="1"/>
  <c r="EM28" i="11" a="1"/>
  <c r="EM28" i="11" s="1"/>
  <c r="EP30" i="11" a="1"/>
  <c r="EP30" i="11" s="1"/>
  <c r="DC31" i="11"/>
  <c r="DC16" i="11"/>
  <c r="ER21" i="11" a="1"/>
  <c r="ER21" i="11" s="1"/>
  <c r="ET22" i="11" a="1"/>
  <c r="ET22" i="11" s="1"/>
  <c r="EQ32" i="11" a="1"/>
  <c r="EQ32" i="11" s="1"/>
  <c r="EM39" i="11" a="1"/>
  <c r="EM39" i="11" s="1"/>
  <c r="EI22" i="11" a="1"/>
  <c r="EI22" i="11" s="1"/>
  <c r="EJ24" i="11" a="1"/>
  <c r="EJ24" i="11" s="1"/>
  <c r="ER29" i="11" a="1"/>
  <c r="ER29" i="11" s="1"/>
  <c r="EU39" i="11" a="1"/>
  <c r="EU39" i="11" s="1"/>
  <c r="ET19" i="11" a="1"/>
  <c r="ET19" i="11" s="1"/>
  <c r="ER20" i="11" a="1"/>
  <c r="ER20" i="11" s="1"/>
  <c r="EG29" i="11" a="1"/>
  <c r="EG29" i="11" s="1"/>
  <c r="EL32" i="11" a="1"/>
  <c r="EL32" i="11" s="1"/>
  <c r="ES19" i="11" a="1"/>
  <c r="ES19" i="11" s="1"/>
  <c r="DC34" i="11"/>
  <c r="DC19" i="11"/>
  <c r="EJ31" i="11" a="1"/>
  <c r="EJ31" i="11" s="1"/>
  <c r="EQ34" i="11" a="1"/>
  <c r="EQ34" i="11" s="1"/>
  <c r="DC33" i="11"/>
  <c r="DC18" i="11"/>
  <c r="EG21" i="11" a="1"/>
  <c r="EG21" i="11" s="1"/>
  <c r="EN28" i="11" a="1"/>
  <c r="EN28" i="11" s="1"/>
  <c r="EQ25" i="11" a="1"/>
  <c r="EQ25" i="11" s="1"/>
  <c r="ER18" i="11" a="1"/>
  <c r="ER18" i="11" s="1"/>
  <c r="EU29" i="11" a="1"/>
  <c r="EU29" i="11" s="1"/>
  <c r="EU27" i="11" a="1"/>
  <c r="EU27" i="11" s="1"/>
  <c r="EK37" i="11" a="1"/>
  <c r="EK37" i="11" s="1"/>
  <c r="EL16" i="11" a="1"/>
  <c r="EL16" i="11" s="1"/>
  <c r="EP15" i="11" a="1"/>
  <c r="EP15" i="11" s="1"/>
  <c r="EI29" i="11" a="1"/>
  <c r="EI29" i="11" s="1"/>
  <c r="EN29" i="11" a="1"/>
  <c r="EN29" i="11" s="1"/>
  <c r="ET15" i="11" a="1"/>
  <c r="ET15" i="11" s="1"/>
  <c r="EN23" i="11" a="1"/>
  <c r="EN23" i="11" s="1"/>
  <c r="EL28" i="11" a="1"/>
  <c r="EL28" i="11" s="1"/>
  <c r="EH31" i="11" a="1"/>
  <c r="EH31" i="11" s="1"/>
  <c r="EH39" i="11" a="1"/>
  <c r="EH39" i="11" s="1"/>
  <c r="EJ22" i="11" a="1"/>
  <c r="EJ22" i="11" s="1"/>
  <c r="EK24" i="11" a="1"/>
  <c r="EK24" i="11" s="1"/>
  <c r="EH36" i="11" a="1"/>
  <c r="EH36" i="11" s="1"/>
  <c r="EL34" i="11" a="1"/>
  <c r="EL34" i="11" s="1"/>
  <c r="EU17" i="11" a="1"/>
  <c r="EU17" i="11" s="1"/>
  <c r="EN21" i="11" a="1"/>
  <c r="EN21" i="11" s="1"/>
  <c r="EK31" i="11" a="1"/>
  <c r="EK31" i="11" s="1"/>
  <c r="ET31" i="11" a="1"/>
  <c r="ET31" i="11" s="1"/>
  <c r="ER23" i="11" a="1"/>
  <c r="ER23" i="11" s="1"/>
  <c r="EJ32" i="11" a="1"/>
  <c r="EJ32" i="11" s="1"/>
  <c r="EH34" i="11" a="1"/>
  <c r="EH34" i="11" s="1"/>
  <c r="EF17" i="11" a="1"/>
  <c r="EF17" i="11" s="1"/>
  <c r="EU25" i="11" a="1"/>
  <c r="EU25" i="11" s="1"/>
  <c r="EO26" i="11" a="1"/>
  <c r="EO26" i="11" s="1"/>
  <c r="ES33" i="11" a="1"/>
  <c r="ES33" i="11" s="1"/>
  <c r="EG19" i="11" a="1"/>
  <c r="EG19" i="11" s="1"/>
  <c r="ET27" i="11" a="1"/>
  <c r="ET27" i="11" s="1"/>
  <c r="ER34" i="11" a="1"/>
  <c r="ER34" i="11" s="1"/>
  <c r="DB30" i="11"/>
  <c r="DB15" i="11"/>
  <c r="DA34" i="11"/>
  <c r="DA19" i="11"/>
  <c r="ES36" i="11" a="1"/>
  <c r="ES36" i="11" s="1"/>
  <c r="ET28" i="11" a="1"/>
  <c r="ET28" i="11" s="1"/>
  <c r="DA32" i="11"/>
  <c r="DA17" i="11"/>
  <c r="EK22" i="11" a="1"/>
  <c r="EK22" i="11" s="1"/>
  <c r="ET32" i="11" a="1"/>
  <c r="ET32" i="11" s="1"/>
  <c r="EO30" i="11" a="1"/>
  <c r="EO30" i="11" s="1"/>
  <c r="EL37" i="11" a="1"/>
  <c r="EL37" i="11" s="1"/>
  <c r="EQ27" i="11" a="1"/>
  <c r="EQ27" i="11" s="1"/>
  <c r="EU31" i="11" a="1"/>
  <c r="EU31" i="11" s="1"/>
  <c r="EH33" i="11" a="1"/>
  <c r="EH33" i="11" s="1"/>
  <c r="EG16" i="11" a="1"/>
  <c r="EG16" i="11" s="1"/>
  <c r="EL18" i="11" a="1"/>
  <c r="EL18" i="11" s="1"/>
  <c r="EO31" i="11" a="1"/>
  <c r="EO31" i="11" s="1"/>
  <c r="EJ38" i="11" a="1"/>
  <c r="EJ38" i="11" s="1"/>
  <c r="EN17" i="11" a="1"/>
  <c r="EN17" i="11" s="1"/>
  <c r="EH20" i="11" a="1"/>
  <c r="EH20" i="11" s="1"/>
  <c r="EO29" i="11" a="1"/>
  <c r="EO29" i="11" s="1"/>
  <c r="EN31" i="11" a="1"/>
  <c r="EN31" i="11" s="1"/>
  <c r="EK19" i="11" a="1"/>
  <c r="EK19" i="11" s="1"/>
  <c r="EF23" i="11" a="1"/>
  <c r="EF23" i="11" s="1"/>
  <c r="EP39" i="11" a="1"/>
  <c r="EP39" i="11" s="1"/>
  <c r="EP33" i="11" a="1"/>
  <c r="EP33" i="11" s="1"/>
  <c r="EP17" i="11" a="1"/>
  <c r="EP17" i="11" s="1"/>
  <c r="EI19" i="11" a="1"/>
  <c r="EI19" i="11" s="1"/>
  <c r="EN27" i="11" a="1"/>
  <c r="EN27" i="11" s="1"/>
  <c r="ES37" i="11" a="1"/>
  <c r="ES37" i="11" s="1"/>
  <c r="DC30" i="11"/>
  <c r="DC15" i="11"/>
  <c r="DA31" i="11"/>
  <c r="DA16" i="11"/>
  <c r="EG36" i="11" a="1"/>
  <c r="EG36" i="11" s="1"/>
  <c r="EI20" i="11" a="1"/>
  <c r="EI20" i="11" s="1"/>
  <c r="EU19" i="11" a="1"/>
  <c r="EU19" i="11" s="1"/>
  <c r="CZ30" i="11"/>
  <c r="CZ15" i="11"/>
  <c r="EG32" i="11" a="1"/>
  <c r="EG32" i="11" s="1"/>
  <c r="EJ21" i="11" a="1"/>
  <c r="EJ21" i="11" s="1"/>
  <c r="EM21" i="11" a="1"/>
  <c r="EM21" i="11" s="1"/>
  <c r="FI21" i="11" s="1" a="1"/>
  <c r="FI21" i="11" s="1"/>
  <c r="ER25" i="11" a="1"/>
  <c r="ER25" i="11" s="1"/>
  <c r="EM29" i="11" a="1"/>
  <c r="EM29" i="11" s="1"/>
  <c r="FI29" i="11" s="1" a="1"/>
  <c r="FI29" i="11" s="1"/>
  <c r="ER37" i="11" a="1"/>
  <c r="ER37" i="11" s="1"/>
  <c r="ER17" i="11" a="1"/>
  <c r="ER17" i="11" s="1"/>
  <c r="FN17" i="11" s="1" a="1"/>
  <c r="FN17" i="11" s="1"/>
  <c r="EP26" i="11" a="1"/>
  <c r="EP26" i="11" s="1"/>
  <c r="EM34" i="11" a="1"/>
  <c r="EM34" i="11" s="1"/>
  <c r="EO39" i="11" a="1"/>
  <c r="EO39" i="11" s="1"/>
  <c r="EP19" i="11" a="1"/>
  <c r="EP19" i="11" s="1"/>
  <c r="EJ33" i="11" a="1"/>
  <c r="EJ33" i="11" s="1"/>
  <c r="EH32" i="11" a="1"/>
  <c r="EH32" i="11" s="1"/>
  <c r="ER16" i="11" a="1"/>
  <c r="ER16" i="11" s="1"/>
  <c r="EU15" i="11" a="1"/>
  <c r="EU15" i="11" s="1"/>
  <c r="EF30" i="11" a="1"/>
  <c r="EF30" i="11" s="1"/>
  <c r="EK30" i="11" a="1"/>
  <c r="EK30" i="11" s="1"/>
  <c r="ET17" i="11" a="1"/>
  <c r="ET17" i="11" s="1"/>
  <c r="CZ34" i="11"/>
  <c r="CZ19" i="11"/>
  <c r="ES24" i="11" a="1"/>
  <c r="ES24" i="11" s="1"/>
  <c r="EG31" i="11" a="1"/>
  <c r="EG31" i="11" s="1"/>
  <c r="ER39" i="11" a="1"/>
  <c r="ER39" i="11" s="1"/>
  <c r="CZ31" i="11"/>
  <c r="CZ16" i="11"/>
  <c r="EI24" i="11" a="1"/>
  <c r="EI24" i="11" s="1"/>
  <c r="ES25" i="11" a="1"/>
  <c r="ES25" i="11" s="1"/>
  <c r="EG33" i="11" a="1"/>
  <c r="EG33" i="11" s="1"/>
  <c r="EU35" i="11" a="1"/>
  <c r="EU35" i="11" s="1"/>
  <c r="EF38" i="11" a="1"/>
  <c r="EF38" i="11" s="1"/>
  <c r="ES17" i="11" a="1"/>
  <c r="ES17" i="11" s="1"/>
  <c r="FO17" i="11" s="1" a="1"/>
  <c r="FO17" i="11" s="1"/>
  <c r="EU16" i="11" a="1"/>
  <c r="EU16" i="11" s="1"/>
  <c r="EO38" i="11" a="1"/>
  <c r="EO38" i="11" s="1"/>
  <c r="EQ37" i="11" a="1"/>
  <c r="EQ37" i="11" s="1"/>
  <c r="EJ23" i="11" a="1"/>
  <c r="EJ23" i="11" s="1"/>
  <c r="EJ28" i="11" a="1"/>
  <c r="EJ28" i="11" s="1"/>
  <c r="ET37" i="11" a="1"/>
  <c r="ET37" i="11" s="1"/>
  <c r="EQ18" i="11" a="1"/>
  <c r="EQ18" i="11" s="1"/>
  <c r="EI32" i="11" a="1"/>
  <c r="EI32" i="11" s="1"/>
  <c r="EQ38" i="11" a="1"/>
  <c r="EQ38" i="11" s="1"/>
  <c r="EJ15" i="11" a="1"/>
  <c r="EJ15" i="11" s="1"/>
  <c r="FF15" i="11" s="1" a="1"/>
  <c r="FF15" i="11" s="1"/>
  <c r="EL22" i="11" a="1"/>
  <c r="EL22" i="11" s="1"/>
  <c r="EG23" i="11" a="1"/>
  <c r="EG23" i="11" s="1"/>
  <c r="EO33" i="11" a="1"/>
  <c r="EO33" i="11" s="1"/>
  <c r="ES39" i="11" a="1"/>
  <c r="ES39" i="11" s="1"/>
  <c r="FO39" i="11" s="1" a="1"/>
  <c r="FO39" i="11" s="1"/>
  <c r="EP24" i="11" a="1"/>
  <c r="EP24" i="11" s="1"/>
  <c r="EH30" i="11" a="1"/>
  <c r="EH30" i="11" s="1"/>
  <c r="FD30" i="11" s="1" a="1"/>
  <c r="FD30" i="11" s="1"/>
  <c r="EI35" i="11" a="1"/>
  <c r="EI35" i="11" s="1"/>
  <c r="ES34" i="11" a="1"/>
  <c r="ES34" i="11" s="1"/>
  <c r="EL26" i="11" a="1"/>
  <c r="EL26" i="11" s="1"/>
  <c r="FH26" i="11" s="1" a="1"/>
  <c r="FH26" i="11" s="1"/>
  <c r="EI27" i="11" a="1"/>
  <c r="EI27" i="11" s="1"/>
  <c r="EM37" i="11" a="1"/>
  <c r="EM37" i="11" s="1"/>
  <c r="ES16" i="11" a="1"/>
  <c r="ES16" i="11" s="1"/>
  <c r="FO16" i="11" s="1" a="1"/>
  <c r="FO16" i="11" s="1"/>
  <c r="EN20" i="11" a="1"/>
  <c r="EN20" i="11" s="1"/>
  <c r="EG30" i="11" a="1"/>
  <c r="EG30" i="11" s="1"/>
  <c r="EP21" i="11" a="1"/>
  <c r="EP21" i="11" s="1"/>
  <c r="FL21" i="11" s="1" a="1"/>
  <c r="FL21" i="11" s="1"/>
  <c r="ES27" i="11" a="1"/>
  <c r="ES27" i="11" s="1"/>
  <c r="EQ15" i="11" a="1"/>
  <c r="EQ15" i="11" s="1"/>
  <c r="EU22" i="11" a="1"/>
  <c r="EU22" i="11" s="1"/>
  <c r="EG22" i="11" a="1"/>
  <c r="EG22" i="11" s="1"/>
  <c r="EM31" i="11" a="1"/>
  <c r="EM31" i="11" s="1"/>
  <c r="EG38" i="11" a="1"/>
  <c r="EG38" i="11" s="1"/>
  <c r="EQ19" i="11" a="1"/>
  <c r="EQ19" i="11" s="1"/>
  <c r="EK23" i="11" a="1"/>
  <c r="EK23" i="11" s="1"/>
  <c r="EO32" i="11" a="1"/>
  <c r="EO32" i="11" s="1"/>
  <c r="EN33" i="11" a="1"/>
  <c r="EN33" i="11" s="1"/>
  <c r="EF20" i="11" a="1"/>
  <c r="EF20" i="11" s="1"/>
  <c r="FB20" i="11" s="1" a="1"/>
  <c r="FB20" i="11" s="1"/>
  <c r="EN24" i="11" a="1"/>
  <c r="EN24" i="11" s="1"/>
  <c r="EI25" i="11" a="1"/>
  <c r="EI25" i="11" s="1"/>
  <c r="FE25" i="11" s="1" a="1"/>
  <c r="FE25" i="11" s="1"/>
  <c r="EM32" i="11" a="1"/>
  <c r="EM32" i="11" s="1"/>
  <c r="EF16" i="11" a="1"/>
  <c r="EF16" i="11" s="1"/>
  <c r="EK26" i="11" a="1"/>
  <c r="EK26" i="11" s="1"/>
  <c r="EL29" i="11" a="1"/>
  <c r="EL29" i="11" s="1"/>
  <c r="ES31" i="11" a="1"/>
  <c r="ES31" i="11" s="1"/>
  <c r="EN39" i="11" a="1"/>
  <c r="EN39" i="11" s="1"/>
  <c r="ET25" i="11" a="1"/>
  <c r="ET25" i="11" s="1"/>
  <c r="EQ24" i="11" a="1"/>
  <c r="EQ24" i="11" s="1"/>
  <c r="EJ34" i="11" a="1"/>
  <c r="EJ34" i="11" s="1"/>
  <c r="EU34" i="11" a="1"/>
  <c r="EU34" i="11" s="1"/>
  <c r="FQ34" i="11" s="1" a="1"/>
  <c r="FQ34" i="11" s="1"/>
  <c r="EF31" i="11" a="1"/>
  <c r="EF31" i="11" s="1"/>
  <c r="DA33" i="11"/>
  <c r="DA18" i="11"/>
  <c r="ES26" i="11" a="1"/>
  <c r="ES26" i="11" s="1"/>
  <c r="EQ29" i="11" a="1"/>
  <c r="EQ29" i="11" s="1"/>
  <c r="ES21" i="11" a="1"/>
  <c r="ES21" i="11" s="1"/>
  <c r="FO21" i="11" s="1" a="1"/>
  <c r="FO21" i="11" s="1"/>
  <c r="EJ30" i="11" a="1"/>
  <c r="EJ30" i="11" s="1"/>
  <c r="EM38" i="11" a="1"/>
  <c r="EM38" i="11" s="1"/>
  <c r="FI38" i="11" s="1" a="1"/>
  <c r="FI38" i="11" s="1"/>
  <c r="DB33" i="11"/>
  <c r="DB18" i="11"/>
  <c r="EJ36" i="11" a="1"/>
  <c r="EJ36" i="11" s="1"/>
  <c r="FF36" i="11" s="1" a="1"/>
  <c r="FF36" i="11" s="1"/>
  <c r="EF33" i="11" a="1"/>
  <c r="EF33" i="11" s="1"/>
  <c r="EG20" i="11" a="1"/>
  <c r="EG20" i="11" s="1"/>
  <c r="FC20" i="11" s="1" a="1"/>
  <c r="FC20" i="11" s="1"/>
  <c r="EP23" i="11" a="1"/>
  <c r="EP23" i="11" s="1"/>
  <c r="EK29" i="11" a="1"/>
  <c r="EK29" i="11" s="1"/>
  <c r="EL39" i="11" a="1"/>
  <c r="EL39" i="11" s="1"/>
  <c r="ET18" i="11" a="1"/>
  <c r="ET18" i="11" s="1"/>
  <c r="EM20" i="11" a="1"/>
  <c r="EM20" i="11" s="1"/>
  <c r="FI20" i="11" s="1" a="1"/>
  <c r="FI20" i="11" s="1"/>
  <c r="EI38" i="11" a="1"/>
  <c r="EI38" i="11" s="1"/>
  <c r="EF32" i="11" a="1"/>
  <c r="EF32" i="11" s="1"/>
  <c r="EO17" i="11" a="1"/>
  <c r="EO17" i="11" s="1"/>
  <c r="EJ20" i="11" a="1"/>
  <c r="EJ20" i="11" s="1"/>
  <c r="FF20" i="11" s="1" a="1"/>
  <c r="FF20" i="11" s="1"/>
  <c r="EL23" i="11" a="1"/>
  <c r="EL23" i="11" s="1"/>
  <c r="FH23" i="11" s="1" a="1"/>
  <c r="FH23" i="11" s="1"/>
  <c r="EL31" i="11" a="1"/>
  <c r="EL31" i="11" s="1"/>
  <c r="EU33" i="11" a="1"/>
  <c r="EU33" i="11" s="1"/>
  <c r="FQ33" i="11" s="1" a="1"/>
  <c r="FQ33" i="11" s="1"/>
  <c r="EM15" i="11" a="1"/>
  <c r="EM15" i="11" s="1"/>
  <c r="FI15" i="11" s="1" a="1"/>
  <c r="FI15" i="11" s="1"/>
  <c r="EL24" i="11" a="1"/>
  <c r="EL24" i="11" s="1"/>
  <c r="ET16" i="11" a="1"/>
  <c r="ET16" i="11" s="1"/>
  <c r="FP16" i="11" s="1" a="1"/>
  <c r="FP16" i="11" s="1"/>
  <c r="EU28" i="11" a="1"/>
  <c r="EU28" i="11" s="1"/>
  <c r="ER28" i="11" a="1"/>
  <c r="ER28" i="11" s="1"/>
  <c r="EN38" i="11" a="1"/>
  <c r="EN38" i="11" s="1"/>
  <c r="DC32" i="11"/>
  <c r="DC17" i="11"/>
  <c r="EP31" i="11" a="1"/>
  <c r="EP31" i="11" s="1"/>
  <c r="EK38" i="11" a="1"/>
  <c r="EK38" i="11" s="1"/>
  <c r="EK16" i="11" a="1"/>
  <c r="EK16" i="11" s="1"/>
  <c r="FG16" i="11" s="1" a="1"/>
  <c r="FG16" i="11" s="1"/>
  <c r="EM19" i="11" a="1"/>
  <c r="EM19" i="11" s="1"/>
  <c r="FI19" i="11" s="1" a="1"/>
  <c r="FI19" i="11" s="1"/>
  <c r="EF28" i="11" a="1"/>
  <c r="EF28" i="11" s="1"/>
  <c r="ES29" i="11" a="1"/>
  <c r="ES29" i="11" s="1"/>
  <c r="EK20" i="11" a="1"/>
  <c r="EK20" i="11" s="1"/>
  <c r="FG20" i="11" s="1" a="1"/>
  <c r="FG20" i="11" s="1"/>
  <c r="EM17" i="11" a="1"/>
  <c r="EM17" i="11" s="1"/>
  <c r="EI30" i="11" a="1"/>
  <c r="EI30" i="11" s="1"/>
  <c r="FE30" i="11" s="1" a="1"/>
  <c r="FE30" i="11" s="1"/>
  <c r="EL38" i="11" a="1"/>
  <c r="EL38" i="11" s="1"/>
  <c r="ET20" i="11" a="1"/>
  <c r="ET20" i="11" s="1"/>
  <c r="FP20" i="11" s="1" a="1"/>
  <c r="FP20" i="11" s="1"/>
  <c r="EQ23" i="11" a="1"/>
  <c r="EQ23" i="11" s="1"/>
  <c r="FM23" i="11" s="1" a="1"/>
  <c r="FM23" i="11" s="1"/>
  <c r="ER33" i="11" a="1"/>
  <c r="ER33" i="11" s="1"/>
  <c r="FN33" i="11" s="1" a="1"/>
  <c r="FN33" i="11" s="1"/>
  <c r="ET33" i="11" a="1"/>
  <c r="ET33" i="11" s="1"/>
  <c r="EJ17" i="11" a="1"/>
  <c r="EJ17" i="11" s="1"/>
  <c r="FF17" i="11" s="1" a="1"/>
  <c r="FF17" i="11" s="1"/>
  <c r="EH21" i="11" a="1"/>
  <c r="EH21" i="11" s="1"/>
  <c r="FD21" i="11" s="1" a="1"/>
  <c r="FD21" i="11" s="1"/>
  <c r="EQ30" i="11" a="1"/>
  <c r="EQ30" i="11" s="1"/>
  <c r="FM30" i="11" s="1" a="1"/>
  <c r="FM30" i="11" s="1"/>
  <c r="EI31" i="11" a="1"/>
  <c r="EI31" i="11" s="1"/>
  <c r="FE31" i="11" s="1" a="1"/>
  <c r="FE31" i="11" s="1"/>
  <c r="EL20" i="11" a="1"/>
  <c r="EL20" i="11" s="1"/>
  <c r="ER22" i="11" a="1"/>
  <c r="ER22" i="11" s="1"/>
  <c r="FN22" i="11" s="1" a="1"/>
  <c r="FN22" i="11" s="1"/>
  <c r="EK25" i="11" a="1"/>
  <c r="EK25" i="11" s="1"/>
  <c r="FG25" i="11" s="1" a="1"/>
  <c r="FG25" i="11" s="1"/>
  <c r="ER31" i="11" a="1"/>
  <c r="ER31" i="11" s="1"/>
  <c r="FN31" i="11" s="1" a="1"/>
  <c r="FN31" i="11" s="1"/>
  <c r="EN34" i="11" a="1"/>
  <c r="EN34" i="11" s="1"/>
  <c r="FJ34" i="11" s="1" a="1"/>
  <c r="FJ34" i="11" s="1"/>
  <c r="CZ33" i="11"/>
  <c r="CZ18" i="11"/>
  <c r="EN18" i="11" a="1"/>
  <c r="EN18" i="11" s="1"/>
  <c r="EL30" i="11" a="1"/>
  <c r="EL30" i="11" s="1"/>
  <c r="FH30" i="11" s="1" a="1"/>
  <c r="FH30" i="11" s="1"/>
  <c r="EU20" i="11" a="1"/>
  <c r="EU20" i="11" s="1"/>
  <c r="FQ20" i="11" s="1" a="1"/>
  <c r="FQ20" i="11" s="1"/>
  <c r="EK28" i="11" a="1"/>
  <c r="EK28" i="11" s="1"/>
  <c r="EU37" i="11" a="1"/>
  <c r="EU37" i="11" s="1"/>
  <c r="EJ18" i="11" a="1"/>
  <c r="EJ18" i="11" s="1"/>
  <c r="FF18" i="11" s="1" a="1"/>
  <c r="FF18" i="11" s="1"/>
  <c r="ES28" i="11" a="1"/>
  <c r="ES28" i="11" s="1"/>
  <c r="EU23" i="11" a="1"/>
  <c r="EU23" i="11" s="1"/>
  <c r="FQ23" i="11" s="1" a="1"/>
  <c r="FQ23" i="11" s="1"/>
  <c r="EG28" i="11" a="1"/>
  <c r="EG28" i="11" s="1"/>
  <c r="FC28" i="11" s="1" a="1"/>
  <c r="FC28" i="11" s="1"/>
  <c r="EO28" i="11" a="1"/>
  <c r="EO28" i="11" s="1"/>
  <c r="EO21" i="11" a="1"/>
  <c r="EO21" i="11" s="1"/>
  <c r="FK21" i="11" s="1" a="1"/>
  <c r="FK21" i="11" s="1"/>
  <c r="EL21" i="11" a="1"/>
  <c r="EL21" i="11" s="1"/>
  <c r="FH21" i="11" s="1" a="1"/>
  <c r="FH21" i="11" s="1"/>
  <c r="EM22" i="11" a="1"/>
  <c r="EM22" i="11" s="1"/>
  <c r="EK32" i="11" a="1"/>
  <c r="EK32" i="11" s="1"/>
  <c r="FG32" i="11" s="1" a="1"/>
  <c r="FG32" i="11" s="1"/>
  <c r="ER38" i="11" a="1"/>
  <c r="ER38" i="11" s="1"/>
  <c r="ES18" i="11" a="1"/>
  <c r="ES18" i="11" s="1"/>
  <c r="FO18" i="11" s="1" a="1"/>
  <c r="FO18" i="11" s="1"/>
  <c r="ER27" i="11" a="1"/>
  <c r="ER27" i="11" s="1"/>
  <c r="EU36" i="11" a="1"/>
  <c r="EU36" i="11" s="1"/>
  <c r="EK33" i="11" a="1"/>
  <c r="EK33" i="11" s="1"/>
  <c r="FG33" i="11" s="1" a="1"/>
  <c r="FG33" i="11" s="1"/>
  <c r="DB32" i="11"/>
  <c r="DB17" i="11"/>
  <c r="DB34" i="11"/>
  <c r="DB19" i="11"/>
  <c r="EN26" i="11" a="1"/>
  <c r="EN26" i="11" s="1"/>
  <c r="EJ37" i="11" a="1"/>
  <c r="EJ37" i="11" s="1"/>
  <c r="ES15" i="11" a="1"/>
  <c r="ES15" i="11" s="1"/>
  <c r="FO15" i="11" s="1" a="1"/>
  <c r="FO15" i="11" s="1"/>
  <c r="EH23" i="11" a="1"/>
  <c r="EH23" i="11" s="1"/>
  <c r="FD23" i="11" s="1" a="1"/>
  <c r="FD23" i="11" s="1"/>
  <c r="EM23" i="11" a="1"/>
  <c r="EM23" i="11" s="1"/>
  <c r="FI23" i="11" s="1" a="1"/>
  <c r="FI23" i="11" s="1"/>
  <c r="EP34" i="11" a="1"/>
  <c r="EP34" i="11" s="1"/>
  <c r="EI34" i="11" a="1"/>
  <c r="EI34" i="11" s="1"/>
  <c r="FE34" i="11" s="1" a="1"/>
  <c r="FE34" i="11" s="1"/>
  <c r="EK18" i="8" a="1"/>
  <c r="EK18" i="8" s="1"/>
  <c r="ES34" i="8" a="1"/>
  <c r="ES34" i="8" s="1"/>
  <c r="EM26" i="8" a="1"/>
  <c r="EM26" i="8" s="1"/>
  <c r="EG18" i="8" a="1"/>
  <c r="EG18" i="8" s="1"/>
  <c r="ET32" i="8" a="1"/>
  <c r="ET32" i="8" s="1"/>
  <c r="EN24" i="8" a="1"/>
  <c r="EN24" i="8" s="1"/>
  <c r="EH16" i="8" a="1"/>
  <c r="EH16" i="8" s="1"/>
  <c r="EU30" i="8" a="1"/>
  <c r="EU30" i="8" s="1"/>
  <c r="EO22" i="8" a="1"/>
  <c r="EO22" i="8" s="1"/>
  <c r="EH39" i="8" a="1"/>
  <c r="EH39" i="8" s="1"/>
  <c r="EQ30" i="8" a="1"/>
  <c r="EQ30" i="8" s="1"/>
  <c r="EP20" i="8" a="1"/>
  <c r="EP20" i="8" s="1"/>
  <c r="EI37" i="8" a="1"/>
  <c r="EI37" i="8" s="1"/>
  <c r="ER28" i="8" a="1"/>
  <c r="ER28" i="8" s="1"/>
  <c r="EL20" i="8" a="1"/>
  <c r="EL20" i="8" s="1"/>
  <c r="EJ35" i="8" a="1"/>
  <c r="EJ35" i="8" s="1"/>
  <c r="ES26" i="8" a="1"/>
  <c r="ES26" i="8" s="1"/>
  <c r="EM18" i="8" a="1"/>
  <c r="EM18" i="8" s="1"/>
  <c r="EP36" i="8" a="1"/>
  <c r="EP36" i="8" s="1"/>
  <c r="EJ28" i="8" a="1"/>
  <c r="EJ28" i="8" s="1"/>
  <c r="ES19" i="8" a="1"/>
  <c r="ES19" i="8" s="1"/>
  <c r="EL36" i="8" a="1"/>
  <c r="EL36" i="8" s="1"/>
  <c r="EP29" i="8" a="1"/>
  <c r="EP29" i="8" s="1"/>
  <c r="EJ21" i="8" a="1"/>
  <c r="EJ21" i="8" s="1"/>
  <c r="ER37" i="8" a="1"/>
  <c r="ER37" i="8" s="1"/>
  <c r="EL29" i="8" a="1"/>
  <c r="EL29" i="8" s="1"/>
  <c r="EP22" i="8" a="1"/>
  <c r="EP22" i="8" s="1"/>
  <c r="EI39" i="8" a="1"/>
  <c r="EI39" i="8" s="1"/>
  <c r="ER30" i="8" a="1"/>
  <c r="ER30" i="8" s="1"/>
  <c r="EL22" i="8" a="1"/>
  <c r="EL22" i="8" s="1"/>
  <c r="EP15" i="8" a="1"/>
  <c r="EP15" i="8" s="1"/>
  <c r="EI32" i="8" a="1"/>
  <c r="EI32" i="8" s="1"/>
  <c r="ER23" i="8" a="1"/>
  <c r="ER23" i="8" s="1"/>
  <c r="EL15" i="8" a="1"/>
  <c r="EL15" i="8" s="1"/>
  <c r="EO33" i="8" a="1"/>
  <c r="EO33" i="8" s="1"/>
  <c r="EI25" i="8" a="1"/>
  <c r="EI25" i="8" s="1"/>
  <c r="ER16" i="8" a="1"/>
  <c r="ER16" i="8" s="1"/>
  <c r="ET39" i="8" a="1"/>
  <c r="ET39" i="8" s="1"/>
  <c r="EN31" i="8" a="1"/>
  <c r="EN31" i="8" s="1"/>
  <c r="EH23" i="8" a="1"/>
  <c r="EH23" i="8" s="1"/>
  <c r="EU37" i="8" a="1"/>
  <c r="EU37" i="8" s="1"/>
  <c r="EO29" i="8" a="1"/>
  <c r="EO29" i="8" s="1"/>
  <c r="EI21" i="8" a="1"/>
  <c r="EI21" i="8" s="1"/>
  <c r="EQ37" i="8" a="1"/>
  <c r="EQ37" i="8" s="1"/>
  <c r="EP27" i="8" a="1"/>
  <c r="EP27" i="8" s="1"/>
  <c r="EJ19" i="8" a="1"/>
  <c r="EJ19" i="8" s="1"/>
  <c r="ER35" i="8" a="1"/>
  <c r="ER35" i="8" s="1"/>
  <c r="EL27" i="8" a="1"/>
  <c r="EL27" i="8" s="1"/>
  <c r="EK17" i="8" a="1"/>
  <c r="EK17" i="8" s="1"/>
  <c r="ES33" i="8" a="1"/>
  <c r="ES33" i="8" s="1"/>
  <c r="EM25" i="8" a="1"/>
  <c r="EM25" i="8" s="1"/>
  <c r="EG17" i="8" a="1"/>
  <c r="EG17" i="8" s="1"/>
  <c r="ET31" i="8" a="1"/>
  <c r="ET31" i="8" s="1"/>
  <c r="EN23" i="8" a="1"/>
  <c r="EN23" i="8" s="1"/>
  <c r="EH15" i="8" a="1"/>
  <c r="EH15" i="8" s="1"/>
  <c r="EK33" i="8" a="1"/>
  <c r="EK33" i="8" s="1"/>
  <c r="ET24" i="8" a="1"/>
  <c r="ET24" i="8" s="1"/>
  <c r="EN16" i="8" a="1"/>
  <c r="EN16" i="8" s="1"/>
  <c r="EG33" i="8" a="1"/>
  <c r="EG33" i="8" s="1"/>
  <c r="EK26" i="8" a="1"/>
  <c r="EK26" i="8" s="1"/>
  <c r="ET17" i="8" a="1"/>
  <c r="ET17" i="8" s="1"/>
  <c r="EM34" i="8" a="1"/>
  <c r="EM34" i="8" s="1"/>
  <c r="EG26" i="8" a="1"/>
  <c r="EG26" i="8" s="1"/>
  <c r="EK19" i="8" a="1"/>
  <c r="EK19" i="8" s="1"/>
  <c r="ES35" i="8" a="1"/>
  <c r="ES35" i="8" s="1"/>
  <c r="EM27" i="8" a="1"/>
  <c r="EM27" i="8" s="1"/>
  <c r="EG19" i="8" a="1"/>
  <c r="EG19" i="8" s="1"/>
  <c r="EJ37" i="8" a="1"/>
  <c r="EJ37" i="8" s="1"/>
  <c r="ES28" i="8" a="1"/>
  <c r="ES28" i="8" s="1"/>
  <c r="EM20" i="8" a="1"/>
  <c r="EM20" i="8" s="1"/>
  <c r="EP38" i="8" a="1"/>
  <c r="EP38" i="8" s="1"/>
  <c r="EJ30" i="8" a="1"/>
  <c r="EJ30" i="8" s="1"/>
  <c r="ES21" i="8" a="1"/>
  <c r="ES21" i="8" s="1"/>
  <c r="EL38" i="8" a="1"/>
  <c r="EL38" i="8" s="1"/>
  <c r="EO36" i="8" a="1"/>
  <c r="EO36" i="8" s="1"/>
  <c r="EI28" i="8" a="1"/>
  <c r="EI28" i="8" s="1"/>
  <c r="ER19" i="8" a="1"/>
  <c r="ER19" i="8" s="1"/>
  <c r="EP34" i="8" a="1"/>
  <c r="EP34" i="8" s="1"/>
  <c r="EJ26" i="8" a="1"/>
  <c r="EJ26" i="8" s="1"/>
  <c r="ES17" i="8" a="1"/>
  <c r="ES17" i="8" s="1"/>
  <c r="EL34" i="8" a="1"/>
  <c r="EL34" i="8" s="1"/>
  <c r="EK24" i="8" a="1"/>
  <c r="EK24" i="8" s="1"/>
  <c r="ET15" i="8" a="1"/>
  <c r="ET15" i="8" s="1"/>
  <c r="EM32" i="8" a="1"/>
  <c r="EM32" i="8" s="1"/>
  <c r="EG24" i="8" a="1"/>
  <c r="EG24" i="8" s="1"/>
  <c r="ET38" i="8" a="1"/>
  <c r="ET38" i="8" s="1"/>
  <c r="EN30" i="8" a="1"/>
  <c r="EN30" i="8" s="1"/>
  <c r="EH22" i="8" a="1"/>
  <c r="EH22" i="8" s="1"/>
  <c r="EU36" i="8" a="1"/>
  <c r="EU36" i="8" s="1"/>
  <c r="EO28" i="8" a="1"/>
  <c r="EO28" i="8" s="1"/>
  <c r="EI20" i="8" a="1"/>
  <c r="EI20" i="8" s="1"/>
  <c r="EQ36" i="8" a="1"/>
  <c r="EQ36" i="8" s="1"/>
  <c r="EU29" i="8" a="1"/>
  <c r="EU29" i="8" s="1"/>
  <c r="EO21" i="8" a="1"/>
  <c r="EO21" i="8" s="1"/>
  <c r="EH38" i="8" a="1"/>
  <c r="EH38" i="8" s="1"/>
  <c r="EQ29" i="8" a="1"/>
  <c r="EQ29" i="8" s="1"/>
  <c r="EU22" i="8" a="1"/>
  <c r="EU22" i="8" s="1"/>
  <c r="EN39" i="8" a="1"/>
  <c r="EN39" i="8" s="1"/>
  <c r="EH31" i="8" a="1"/>
  <c r="EH31" i="8" s="1"/>
  <c r="EQ22" i="8" a="1"/>
  <c r="EQ22" i="8" s="1"/>
  <c r="EU15" i="8" a="1"/>
  <c r="EU15" i="8" s="1"/>
  <c r="EN32" i="8" a="1"/>
  <c r="EN32" i="8" s="1"/>
  <c r="EH24" i="8" a="1"/>
  <c r="EH24" i="8" s="1"/>
  <c r="EQ15" i="8" a="1"/>
  <c r="EQ15" i="8" s="1"/>
  <c r="ET33" i="8" a="1"/>
  <c r="ET33" i="8" s="1"/>
  <c r="EN25" i="8" a="1"/>
  <c r="EN25" i="8" s="1"/>
  <c r="EH17" i="8" a="1"/>
  <c r="EH17" i="8" s="1"/>
  <c r="EK35" i="8" a="1"/>
  <c r="EK35" i="8" s="1"/>
  <c r="ET26" i="8" a="1"/>
  <c r="ET26" i="8" s="1"/>
  <c r="EN18" i="8" a="1"/>
  <c r="EN18" i="8" s="1"/>
  <c r="EG35" i="8" a="1"/>
  <c r="EG35" i="8" s="1"/>
  <c r="EJ33" i="8" a="1"/>
  <c r="EJ33" i="8" s="1"/>
  <c r="ES24" i="8" a="1"/>
  <c r="ES24" i="8" s="1"/>
  <c r="EM16" i="8" a="1"/>
  <c r="EM16" i="8" s="1"/>
  <c r="EK31" i="8" a="1"/>
  <c r="EK31" i="8" s="1"/>
  <c r="ET22" i="8" a="1"/>
  <c r="ET22" i="8" s="1"/>
  <c r="EM39" i="8" a="1"/>
  <c r="EM39" i="8" s="1"/>
  <c r="EG31" i="8" a="1"/>
  <c r="EG31" i="8" s="1"/>
  <c r="EU20" i="8" a="1"/>
  <c r="EU20" i="8" s="1"/>
  <c r="EN37" i="8" a="1"/>
  <c r="EN37" i="8" s="1"/>
  <c r="EH29" i="8" a="1"/>
  <c r="EH29" i="8" s="1"/>
  <c r="EQ20" i="8" a="1"/>
  <c r="EQ20" i="8" s="1"/>
  <c r="EO35" i="8" a="1"/>
  <c r="EO35" i="8" s="1"/>
  <c r="EI27" i="8" a="1"/>
  <c r="EI27" i="8" s="1"/>
  <c r="ER18" i="8" a="1"/>
  <c r="ER18" i="8" s="1"/>
  <c r="EP33" i="8" a="1"/>
  <c r="EP33" i="8" s="1"/>
  <c r="EJ25" i="8" a="1"/>
  <c r="EJ25" i="8" s="1"/>
  <c r="ES16" i="8" a="1"/>
  <c r="ES16" i="8" s="1"/>
  <c r="EL33" i="8" a="1"/>
  <c r="EL33" i="8" s="1"/>
  <c r="EP26" i="8" a="1"/>
  <c r="EP26" i="8" s="1"/>
  <c r="EJ18" i="8" a="1"/>
  <c r="EJ18" i="8" s="1"/>
  <c r="ER34" i="8" a="1"/>
  <c r="ER34" i="8" s="1"/>
  <c r="EL26" i="8" a="1"/>
  <c r="EL26" i="8" s="1"/>
  <c r="EP19" i="8" a="1"/>
  <c r="EP19" i="8" s="1"/>
  <c r="EI36" i="8" a="1"/>
  <c r="EI36" i="8" s="1"/>
  <c r="ER27" i="8" a="1"/>
  <c r="ER27" i="8" s="1"/>
  <c r="EL19" i="8" a="1"/>
  <c r="EL19" i="8" s="1"/>
  <c r="EO37" i="8" a="1"/>
  <c r="EO37" i="8" s="1"/>
  <c r="EI29" i="8" a="1"/>
  <c r="EI29" i="8" s="1"/>
  <c r="ER20" i="8" a="1"/>
  <c r="ER20" i="8" s="1"/>
  <c r="EU38" i="8" a="1"/>
  <c r="EU38" i="8" s="1"/>
  <c r="EO30" i="8" a="1"/>
  <c r="EO30" i="8" s="1"/>
  <c r="EI22" i="8" a="1"/>
  <c r="EI22" i="8" s="1"/>
  <c r="EQ38" i="8" a="1"/>
  <c r="EQ38" i="8" s="1"/>
  <c r="EU31" i="8" a="1"/>
  <c r="EU31" i="8" s="1"/>
  <c r="EO23" i="8" a="1"/>
  <c r="EO23" i="8" s="1"/>
  <c r="EI15" i="8" a="1"/>
  <c r="EI15" i="8" s="1"/>
  <c r="EQ31" i="8" a="1"/>
  <c r="EQ31" i="8" s="1"/>
  <c r="EK38" i="8" a="1"/>
  <c r="EK38" i="8" s="1"/>
  <c r="ET29" i="8" a="1"/>
  <c r="ET29" i="8" s="1"/>
  <c r="EN21" i="8" a="1"/>
  <c r="EN21" i="8" s="1"/>
  <c r="EG38" i="8" a="1"/>
  <c r="EG38" i="8" s="1"/>
  <c r="EU27" i="8" a="1"/>
  <c r="EU27" i="8" s="1"/>
  <c r="EO19" i="8" a="1"/>
  <c r="EO19" i="8" s="1"/>
  <c r="EH36" i="8" a="1"/>
  <c r="EH36" i="8" s="1"/>
  <c r="EQ27" i="8" a="1"/>
  <c r="EQ27" i="8" s="1"/>
  <c r="EP17" i="8" a="1"/>
  <c r="EP17" i="8" s="1"/>
  <c r="EI34" i="8" a="1"/>
  <c r="EI34" i="8" s="1"/>
  <c r="ER25" i="8" a="1"/>
  <c r="ER25" i="8" s="1"/>
  <c r="EL17" i="8" a="1"/>
  <c r="EL17" i="8" s="1"/>
  <c r="EJ32" i="8" a="1"/>
  <c r="EJ32" i="8" s="1"/>
  <c r="ES23" i="8" a="1"/>
  <c r="ES23" i="8" s="1"/>
  <c r="EM15" i="8" a="1"/>
  <c r="EM15" i="8" s="1"/>
  <c r="EK30" i="8" a="1"/>
  <c r="EK30" i="8" s="1"/>
  <c r="ET21" i="8" a="1"/>
  <c r="ET21" i="8" s="1"/>
  <c r="EM38" i="8" a="1"/>
  <c r="EM38" i="8" s="1"/>
  <c r="EG30" i="8" a="1"/>
  <c r="EG30" i="8" s="1"/>
  <c r="EK23" i="8" a="1"/>
  <c r="EK23" i="8" s="1"/>
  <c r="ES39" i="8" a="1"/>
  <c r="ES39" i="8" s="1"/>
  <c r="EM31" i="8" a="1"/>
  <c r="EM31" i="8" s="1"/>
  <c r="EG23" i="8" a="1"/>
  <c r="EG23" i="8" s="1"/>
  <c r="EK16" i="8" a="1"/>
  <c r="EK16" i="8" s="1"/>
  <c r="ES32" i="8" a="1"/>
  <c r="ES32" i="8" s="1"/>
  <c r="EM24" i="8" a="1"/>
  <c r="EM24" i="8" s="1"/>
  <c r="EG16" i="8" a="1"/>
  <c r="EG16" i="8" s="1"/>
  <c r="EJ34" i="8" a="1"/>
  <c r="EJ34" i="8" s="1"/>
  <c r="ES25" i="8" a="1"/>
  <c r="ES25" i="8" s="1"/>
  <c r="EM17" i="8" a="1"/>
  <c r="EM17" i="8" s="1"/>
  <c r="EP35" i="8" a="1"/>
  <c r="EP35" i="8" s="1"/>
  <c r="EJ27" i="8" a="1"/>
  <c r="EJ27" i="8" s="1"/>
  <c r="ES18" i="8" a="1"/>
  <c r="ES18" i="8" s="1"/>
  <c r="EL35" i="8" a="1"/>
  <c r="EL35" i="8" s="1"/>
  <c r="EP28" i="8" a="1"/>
  <c r="EP28" i="8" s="1"/>
  <c r="EJ20" i="8" a="1"/>
  <c r="EJ20" i="8" s="1"/>
  <c r="ER36" i="8" a="1"/>
  <c r="ER36" i="8" s="1"/>
  <c r="EL28" i="8" a="1"/>
  <c r="EL28" i="8" s="1"/>
  <c r="EU34" i="8" a="1"/>
  <c r="EU34" i="8" s="1"/>
  <c r="EO26" i="8" a="1"/>
  <c r="EO26" i="8" s="1"/>
  <c r="EI18" i="8" a="1"/>
  <c r="EI18" i="8" s="1"/>
  <c r="EQ34" i="8" a="1"/>
  <c r="EQ34" i="8" s="1"/>
  <c r="EP24" i="8" a="1"/>
  <c r="EP24" i="8" s="1"/>
  <c r="EJ16" i="8" a="1"/>
  <c r="EJ16" i="8" s="1"/>
  <c r="ER32" i="8" a="1"/>
  <c r="ER32" i="8" s="1"/>
  <c r="EL24" i="8" a="1"/>
  <c r="EL24" i="8" s="1"/>
  <c r="EJ39" i="8" a="1"/>
  <c r="EJ39" i="8" s="1"/>
  <c r="ES30" i="8" a="1"/>
  <c r="ES30" i="8" s="1"/>
  <c r="EM22" i="8" a="1"/>
  <c r="EM22" i="8" s="1"/>
  <c r="EK37" i="8" a="1"/>
  <c r="EK37" i="8" s="1"/>
  <c r="ET28" i="8" a="1"/>
  <c r="ET28" i="8" s="1"/>
  <c r="EN20" i="8" a="1"/>
  <c r="EN20" i="8" s="1"/>
  <c r="EG37" i="8" a="1"/>
  <c r="EG37" i="8" s="1"/>
  <c r="EU26" i="8" a="1"/>
  <c r="EU26" i="8" s="1"/>
  <c r="EO18" i="8" a="1"/>
  <c r="EO18" i="8" s="1"/>
  <c r="EH35" i="8" a="1"/>
  <c r="EH35" i="8" s="1"/>
  <c r="EQ26" i="8" a="1"/>
  <c r="EQ26" i="8" s="1"/>
  <c r="EU19" i="8" a="1"/>
  <c r="EU19" i="8" s="1"/>
  <c r="EN36" i="8" a="1"/>
  <c r="EN36" i="8" s="1"/>
  <c r="EH28" i="8" a="1"/>
  <c r="EH28" i="8" s="1"/>
  <c r="EQ19" i="8" a="1"/>
  <c r="EQ19" i="8" s="1"/>
  <c r="ET37" i="8" a="1"/>
  <c r="ET37" i="8" s="1"/>
  <c r="EN29" i="8" a="1"/>
  <c r="EN29" i="8" s="1"/>
  <c r="EH21" i="8" a="1"/>
  <c r="EH21" i="8" s="1"/>
  <c r="EK39" i="8" a="1"/>
  <c r="EK39" i="8" s="1"/>
  <c r="ET30" i="8" a="1"/>
  <c r="ET30" i="8" s="1"/>
  <c r="EN22" i="8" a="1"/>
  <c r="EN22" i="8" s="1"/>
  <c r="EG39" i="8" a="1"/>
  <c r="EG39" i="8" s="1"/>
  <c r="EK32" i="8" a="1"/>
  <c r="EK32" i="8" s="1"/>
  <c r="ET23" i="8" a="1"/>
  <c r="ET23" i="8" s="1"/>
  <c r="EN15" i="8" a="1"/>
  <c r="EN15" i="8" s="1"/>
  <c r="EG32" i="8" a="1"/>
  <c r="EG32" i="8" s="1"/>
  <c r="EK25" i="8" a="1"/>
  <c r="EK25" i="8" s="1"/>
  <c r="ET16" i="8" a="1"/>
  <c r="ET16" i="8" s="1"/>
  <c r="EM33" i="8" a="1"/>
  <c r="EM33" i="8" s="1"/>
  <c r="EG25" i="8" a="1"/>
  <c r="EG25" i="8" s="1"/>
  <c r="EP31" i="8" a="1"/>
  <c r="EP31" i="8" s="1"/>
  <c r="EJ23" i="8" a="1"/>
  <c r="EJ23" i="8" s="1"/>
  <c r="ER39" i="8" a="1"/>
  <c r="ER39" i="8" s="1"/>
  <c r="EL31" i="8" a="1"/>
  <c r="EL31" i="8" s="1"/>
  <c r="EK21" i="8" a="1"/>
  <c r="EK21" i="8" s="1"/>
  <c r="ES37" i="8" a="1"/>
  <c r="ES37" i="8" s="1"/>
  <c r="EM29" i="8" a="1"/>
  <c r="EM29" i="8" s="1"/>
  <c r="EG21" i="8" a="1"/>
  <c r="EG21" i="8" s="1"/>
  <c r="ET35" i="8" a="1"/>
  <c r="ET35" i="8" s="1"/>
  <c r="EN27" i="8" a="1"/>
  <c r="EN27" i="8" s="1"/>
  <c r="EH19" i="8" a="1"/>
  <c r="EH19" i="8" s="1"/>
  <c r="EU33" i="8" a="1"/>
  <c r="EU33" i="8" s="1"/>
  <c r="EO25" i="8" a="1"/>
  <c r="EO25" i="8" s="1"/>
  <c r="EI17" i="8" a="1"/>
  <c r="EI17" i="8" s="1"/>
  <c r="EQ33" i="8" a="1"/>
  <c r="EQ33" i="8" s="1"/>
  <c r="EP23" i="8" a="1"/>
  <c r="EP23" i="8" s="1"/>
  <c r="EJ15" i="8" a="1"/>
  <c r="EJ15" i="8" s="1"/>
  <c r="ER31" i="8" a="1"/>
  <c r="ER31" i="8" s="1"/>
  <c r="EL23" i="8" a="1"/>
  <c r="EL23" i="8" s="1"/>
  <c r="EP16" i="8" a="1"/>
  <c r="EP16" i="8" s="1"/>
  <c r="EI33" i="8" a="1"/>
  <c r="EI33" i="8" s="1"/>
  <c r="ER24" i="8" a="1"/>
  <c r="ER24" i="8" s="1"/>
  <c r="EL16" i="8" a="1"/>
  <c r="EL16" i="8" s="1"/>
  <c r="EO34" i="8" a="1"/>
  <c r="EO34" i="8" s="1"/>
  <c r="EI26" i="8" a="1"/>
  <c r="EI26" i="8" s="1"/>
  <c r="ER17" i="8" a="1"/>
  <c r="ER17" i="8" s="1"/>
  <c r="EU35" i="8" a="1"/>
  <c r="EU35" i="8" s="1"/>
  <c r="EO27" i="8" a="1"/>
  <c r="EO27" i="8" s="1"/>
  <c r="EI19" i="8" a="1"/>
  <c r="EI19" i="8" s="1"/>
  <c r="EQ35" i="8" a="1"/>
  <c r="EQ35" i="8" s="1"/>
  <c r="EU28" i="8" a="1"/>
  <c r="EU28" i="8" s="1"/>
  <c r="EO20" i="8" a="1"/>
  <c r="EO20" i="8" s="1"/>
  <c r="EH37" i="8" a="1"/>
  <c r="EH37" i="8" s="1"/>
  <c r="EQ28" i="8" a="1"/>
  <c r="EQ28" i="8" s="1"/>
  <c r="EU21" i="8" a="1"/>
  <c r="EU21" i="8" s="1"/>
  <c r="EN38" i="8" a="1"/>
  <c r="EN38" i="8" s="1"/>
  <c r="EH30" i="8" a="1"/>
  <c r="EH30" i="8" s="1"/>
  <c r="EQ21" i="8" a="1"/>
  <c r="EQ21" i="8" s="1"/>
  <c r="EK28" i="8" a="1"/>
  <c r="EK28" i="8" s="1"/>
  <c r="ET19" i="8" a="1"/>
  <c r="ET19" i="8" s="1"/>
  <c r="EM36" i="8" a="1"/>
  <c r="EM36" i="8" s="1"/>
  <c r="EG28" i="8" a="1"/>
  <c r="EG28" i="8" s="1"/>
  <c r="EU17" i="8" a="1"/>
  <c r="EU17" i="8" s="1"/>
  <c r="EN34" i="8" a="1"/>
  <c r="EN34" i="8" s="1"/>
  <c r="EH26" i="8" a="1"/>
  <c r="EH26" i="8" s="1"/>
  <c r="EQ17" i="8" a="1"/>
  <c r="EQ17" i="8" s="1"/>
  <c r="EO32" i="8" a="1"/>
  <c r="EO32" i="8" s="1"/>
  <c r="EI24" i="8" a="1"/>
  <c r="EI24" i="8" s="1"/>
  <c r="ER15" i="8" a="1"/>
  <c r="ER15" i="8" s="1"/>
  <c r="EP30" i="8" a="1"/>
  <c r="EP30" i="8" s="1"/>
  <c r="EJ22" i="8" a="1"/>
  <c r="EJ22" i="8" s="1"/>
  <c r="ER38" i="8" a="1"/>
  <c r="ER38" i="8" s="1"/>
  <c r="EL30" i="8" a="1"/>
  <c r="EL30" i="8" s="1"/>
  <c r="EK20" i="8" a="1"/>
  <c r="EK20" i="8" s="1"/>
  <c r="ES36" i="8" a="1"/>
  <c r="ES36" i="8" s="1"/>
  <c r="EM28" i="8" a="1"/>
  <c r="EM28" i="8" s="1"/>
  <c r="EG20" i="8" a="1"/>
  <c r="EG20" i="8" s="1"/>
  <c r="EJ38" i="8" a="1"/>
  <c r="EJ38" i="8" s="1"/>
  <c r="ES29" i="8" a="1"/>
  <c r="ES29" i="8" s="1"/>
  <c r="EM21" i="8" a="1"/>
  <c r="EM21" i="8" s="1"/>
  <c r="EP39" i="8" a="1"/>
  <c r="EP39" i="8" s="1"/>
  <c r="EJ31" i="8" a="1"/>
  <c r="EJ31" i="8" s="1"/>
  <c r="ES22" i="8" a="1"/>
  <c r="ES22" i="8" s="1"/>
  <c r="EL39" i="8" a="1"/>
  <c r="EL39" i="8" s="1"/>
  <c r="EP32" i="8" a="1"/>
  <c r="EP32" i="8" s="1"/>
  <c r="EJ24" i="8" a="1"/>
  <c r="EJ24" i="8" s="1"/>
  <c r="ES15" i="8" a="1"/>
  <c r="ES15" i="8" s="1"/>
  <c r="EL32" i="8" a="1"/>
  <c r="EL32" i="8" s="1"/>
  <c r="EP25" i="8" a="1"/>
  <c r="EP25" i="8" s="1"/>
  <c r="EJ17" i="8" a="1"/>
  <c r="EJ17" i="8" s="1"/>
  <c r="ER33" i="8" a="1"/>
  <c r="ER33" i="8" s="1"/>
  <c r="EL25" i="8" a="1"/>
  <c r="EL25" i="8" s="1"/>
  <c r="EP18" i="8" a="1"/>
  <c r="EP18" i="8" s="1"/>
  <c r="EI35" i="8" a="1"/>
  <c r="EI35" i="8" s="1"/>
  <c r="ER26" i="8" a="1"/>
  <c r="ER26" i="8" s="1"/>
  <c r="EL18" i="8" a="1"/>
  <c r="EL18" i="8" s="1"/>
  <c r="EU24" i="8" a="1"/>
  <c r="EU24" i="8" s="1"/>
  <c r="EO16" i="8" a="1"/>
  <c r="EO16" i="8" s="1"/>
  <c r="EH33" i="8" a="1"/>
  <c r="EH33" i="8" s="1"/>
  <c r="EQ24" i="8" a="1"/>
  <c r="EQ24" i="8" s="1"/>
  <c r="EO39" i="8" a="1"/>
  <c r="EO39" i="8" s="1"/>
  <c r="EI31" i="8" a="1"/>
  <c r="EI31" i="8" s="1"/>
  <c r="ER22" i="8" a="1"/>
  <c r="ER22" i="8" s="1"/>
  <c r="EP37" i="8" a="1"/>
  <c r="EP37" i="8" s="1"/>
  <c r="EJ29" i="8" a="1"/>
  <c r="EJ29" i="8" s="1"/>
  <c r="ES20" i="8" a="1"/>
  <c r="ES20" i="8" s="1"/>
  <c r="EL37" i="8" a="1"/>
  <c r="EL37" i="8" s="1"/>
  <c r="EK27" i="8" a="1"/>
  <c r="EK27" i="8" s="1"/>
  <c r="ET18" i="8" a="1"/>
  <c r="ET18" i="8" s="1"/>
  <c r="EM35" i="8" a="1"/>
  <c r="EM35" i="8" s="1"/>
  <c r="EG27" i="8" a="1"/>
  <c r="EG27" i="8" s="1"/>
  <c r="EU16" i="8" a="1"/>
  <c r="EU16" i="8" s="1"/>
  <c r="EN33" i="8" a="1"/>
  <c r="EN33" i="8" s="1"/>
  <c r="EH25" i="8" a="1"/>
  <c r="EH25" i="8" s="1"/>
  <c r="EQ16" i="8" a="1"/>
  <c r="EQ16" i="8" s="1"/>
  <c r="ET34" i="8" a="1"/>
  <c r="ET34" i="8" s="1"/>
  <c r="EN26" i="8" a="1"/>
  <c r="EN26" i="8" s="1"/>
  <c r="EH18" i="8" a="1"/>
  <c r="EH18" i="8" s="1"/>
  <c r="EK36" i="8" a="1"/>
  <c r="EK36" i="8" s="1"/>
  <c r="ET27" i="8" a="1"/>
  <c r="ET27" i="8" s="1"/>
  <c r="EN19" i="8" a="1"/>
  <c r="EN19" i="8" s="1"/>
  <c r="EG36" i="8" a="1"/>
  <c r="EG36" i="8" s="1"/>
  <c r="EK29" i="8" a="1"/>
  <c r="EK29" i="8" s="1"/>
  <c r="ET20" i="8" a="1"/>
  <c r="ET20" i="8" s="1"/>
  <c r="EM37" i="8" a="1"/>
  <c r="EM37" i="8" s="1"/>
  <c r="EG29" i="8" a="1"/>
  <c r="EG29" i="8" s="1"/>
  <c r="EK22" i="8" a="1"/>
  <c r="EK22" i="8" s="1"/>
  <c r="ES38" i="8" a="1"/>
  <c r="ES38" i="8" s="1"/>
  <c r="EM30" i="8" a="1"/>
  <c r="EM30" i="8" s="1"/>
  <c r="EG22" i="8" a="1"/>
  <c r="EG22" i="8" s="1"/>
  <c r="EK15" i="8" a="1"/>
  <c r="EK15" i="8" s="1"/>
  <c r="ES31" i="8" a="1"/>
  <c r="ES31" i="8" s="1"/>
  <c r="EM23" i="8" a="1"/>
  <c r="EM23" i="8" s="1"/>
  <c r="EG15" i="8" a="1"/>
  <c r="EG15" i="8" s="1"/>
  <c r="EP21" i="8" a="1"/>
  <c r="EP21" i="8" s="1"/>
  <c r="EI38" i="8" a="1"/>
  <c r="EI38" i="8" s="1"/>
  <c r="ER29" i="8" a="1"/>
  <c r="ER29" i="8" s="1"/>
  <c r="EL21" i="8" a="1"/>
  <c r="EL21" i="8" s="1"/>
  <c r="EJ36" i="8" a="1"/>
  <c r="EJ36" i="8" s="1"/>
  <c r="ES27" i="8" a="1"/>
  <c r="ES27" i="8" s="1"/>
  <c r="EM19" i="8" a="1"/>
  <c r="EM19" i="8" s="1"/>
  <c r="EK34" i="8" a="1"/>
  <c r="EK34" i="8" s="1"/>
  <c r="ET25" i="8" a="1"/>
  <c r="ET25" i="8" s="1"/>
  <c r="EN17" i="8" a="1"/>
  <c r="EN17" i="8" s="1"/>
  <c r="EG34" i="8" a="1"/>
  <c r="EG34" i="8" s="1"/>
  <c r="EU23" i="8" a="1"/>
  <c r="EU23" i="8" s="1"/>
  <c r="EO15" i="8" a="1"/>
  <c r="EO15" i="8" s="1"/>
  <c r="EH32" i="8" a="1"/>
  <c r="EH32" i="8" s="1"/>
  <c r="EQ23" i="8" a="1"/>
  <c r="EQ23" i="8" s="1"/>
  <c r="EO38" i="8" a="1"/>
  <c r="EO38" i="8" s="1"/>
  <c r="EI30" i="8" a="1"/>
  <c r="EI30" i="8" s="1"/>
  <c r="ER21" i="8" a="1"/>
  <c r="ER21" i="8" s="1"/>
  <c r="EU39" i="8" a="1"/>
  <c r="EU39" i="8" s="1"/>
  <c r="EO31" i="8" a="1"/>
  <c r="EO31" i="8" s="1"/>
  <c r="EI23" i="8" a="1"/>
  <c r="EI23" i="8" s="1"/>
  <c r="EQ39" i="8" a="1"/>
  <c r="EQ39" i="8" s="1"/>
  <c r="EU32" i="8" a="1"/>
  <c r="EU32" i="8" s="1"/>
  <c r="EO24" i="8" a="1"/>
  <c r="EO24" i="8" s="1"/>
  <c r="EI16" i="8" a="1"/>
  <c r="EI16" i="8" s="1"/>
  <c r="EQ32" i="8" a="1"/>
  <c r="EQ32" i="8" s="1"/>
  <c r="EU25" i="8" a="1"/>
  <c r="EU25" i="8" s="1"/>
  <c r="EO17" i="8" a="1"/>
  <c r="EO17" i="8" s="1"/>
  <c r="EH34" i="8" a="1"/>
  <c r="EH34" i="8" s="1"/>
  <c r="EQ25" i="8" a="1"/>
  <c r="EQ25" i="8" s="1"/>
  <c r="EU18" i="8" a="1"/>
  <c r="EU18" i="8" s="1"/>
  <c r="EN35" i="8" a="1"/>
  <c r="EN35" i="8" s="1"/>
  <c r="EH27" i="8" a="1"/>
  <c r="EH27" i="8" s="1"/>
  <c r="EQ18" i="8" a="1"/>
  <c r="EQ18" i="8" s="1"/>
  <c r="ET36" i="8" a="1"/>
  <c r="ET36" i="8" s="1"/>
  <c r="EN28" i="8" a="1"/>
  <c r="EN28" i="8" s="1"/>
  <c r="EH20" i="8" a="1"/>
  <c r="EH20" i="8" s="1"/>
  <c r="EF39" i="8" a="1"/>
  <c r="EF39" i="8" s="1"/>
  <c r="EF18" i="8" a="1"/>
  <c r="EF18" i="8" s="1"/>
  <c r="EF21" i="8" a="1"/>
  <c r="EF21" i="8" s="1"/>
  <c r="EF37" i="8" a="1"/>
  <c r="EF37" i="8" s="1"/>
  <c r="EF36" i="8" a="1"/>
  <c r="EF36" i="8" s="1"/>
  <c r="EF20" i="8" a="1"/>
  <c r="EF20" i="8" s="1"/>
  <c r="EF34" i="8" a="1"/>
  <c r="EF34" i="8" s="1"/>
  <c r="EF35" i="8" a="1"/>
  <c r="EF35" i="8" s="1"/>
  <c r="EF23" i="8" a="1"/>
  <c r="EF23" i="8" s="1"/>
  <c r="EF32" i="8" a="1"/>
  <c r="EF32" i="8" s="1"/>
  <c r="EF38" i="8" a="1"/>
  <c r="EF38" i="8" s="1"/>
  <c r="EF16" i="8" a="1"/>
  <c r="EF16" i="8" s="1"/>
  <c r="EF29" i="8" a="1"/>
  <c r="EF29" i="8" s="1"/>
  <c r="EF31" i="8" a="1"/>
  <c r="EF31" i="8" s="1"/>
  <c r="EF27" i="8" a="1"/>
  <c r="EF27" i="8" s="1"/>
  <c r="EF30" i="8" a="1"/>
  <c r="EF30" i="8" s="1"/>
  <c r="EF24" i="8" a="1"/>
  <c r="EF24" i="8" s="1"/>
  <c r="EF33" i="8" a="1"/>
  <c r="EF33" i="8" s="1"/>
  <c r="EF22" i="8" a="1"/>
  <c r="EF22" i="8" s="1"/>
  <c r="EF26" i="8" a="1"/>
  <c r="EF26" i="8" s="1"/>
  <c r="EF19" i="8" a="1"/>
  <c r="EF19" i="8" s="1"/>
  <c r="EF25" i="8" a="1"/>
  <c r="EF25" i="8" s="1"/>
  <c r="EF17" i="8" a="1"/>
  <c r="EF17" i="8" s="1"/>
  <c r="EF28" i="8" a="1"/>
  <c r="EF28" i="8" s="1"/>
  <c r="EF15" i="8" a="1"/>
  <c r="EF15" i="8" s="1"/>
  <c r="CZ34" i="8"/>
  <c r="CZ33" i="8"/>
  <c r="CZ32" i="8"/>
  <c r="CZ31" i="8"/>
  <c r="CZ30" i="8"/>
  <c r="DA18" i="8"/>
  <c r="DA33" i="8"/>
  <c r="DB19" i="8"/>
  <c r="DB34" i="8"/>
  <c r="DA19" i="8"/>
  <c r="DA34" i="8"/>
  <c r="DB17" i="8"/>
  <c r="DB32" i="8"/>
  <c r="DC16" i="8"/>
  <c r="DC31" i="8"/>
  <c r="DC17" i="8"/>
  <c r="DC32" i="8"/>
  <c r="DB18" i="8"/>
  <c r="DB33" i="8"/>
  <c r="DA15" i="8"/>
  <c r="DA30" i="8"/>
  <c r="DB15" i="8"/>
  <c r="DB30" i="8"/>
  <c r="DC15" i="8"/>
  <c r="DC30" i="8"/>
  <c r="DC18" i="8"/>
  <c r="DC33" i="8"/>
  <c r="DC19" i="8"/>
  <c r="DC34" i="8"/>
  <c r="DA16" i="8"/>
  <c r="DA31" i="8"/>
  <c r="DA17" i="8"/>
  <c r="DA32" i="8"/>
  <c r="DB16" i="8"/>
  <c r="DB31" i="8"/>
  <c r="DB16" i="7" a="1"/>
  <c r="DB16" i="7" s="1"/>
  <c r="DB22" i="7" a="1"/>
  <c r="DB22" i="7" s="1"/>
  <c r="DB32" i="7" a="1"/>
  <c r="DB32" i="7" s="1"/>
  <c r="DB29" i="7" a="1"/>
  <c r="DB29" i="7" s="1"/>
  <c r="DB17" i="7" a="1"/>
  <c r="DB17" i="7" s="1"/>
  <c r="DB26" i="7" a="1"/>
  <c r="DB26" i="7" s="1"/>
  <c r="DB23" i="7" a="1"/>
  <c r="DB23" i="7" s="1"/>
  <c r="DB30" i="7" a="1"/>
  <c r="DB30" i="7" s="1"/>
  <c r="DB25" i="7" a="1"/>
  <c r="DB25" i="7" s="1"/>
  <c r="DB33" i="7" a="1"/>
  <c r="DB33" i="7" s="1"/>
  <c r="DB18" i="7" a="1"/>
  <c r="DB18" i="7" s="1"/>
  <c r="DB20" i="7" a="1"/>
  <c r="DB20" i="7" s="1"/>
  <c r="DB27" i="7" a="1"/>
  <c r="DB27" i="7" s="1"/>
  <c r="DB19" i="7" a="1"/>
  <c r="DB19" i="7" s="1"/>
  <c r="DB24" i="7" a="1"/>
  <c r="DB24" i="7" s="1"/>
  <c r="DB31" i="7" a="1"/>
  <c r="DB31" i="7" s="1"/>
  <c r="DB28" i="7" a="1"/>
  <c r="DB28" i="7" s="1"/>
  <c r="DB21" i="7" a="1"/>
  <c r="DB21" i="7" s="1"/>
  <c r="DB15" i="7" a="1"/>
  <c r="DB15" i="7" s="1"/>
  <c r="CX17" i="8" a="1"/>
  <c r="CX17" i="8" s="1"/>
  <c r="CX19" i="8" a="1"/>
  <c r="CX19" i="8" s="1"/>
  <c r="CX18" i="8" a="1"/>
  <c r="CX18" i="8" s="1"/>
  <c r="CX16" i="8" a="1"/>
  <c r="CX16" i="8" s="1"/>
  <c r="CX15" i="8" a="1"/>
  <c r="CX15" i="8" s="1"/>
  <c r="CX19" i="10" a="1"/>
  <c r="CX19" i="10" s="1"/>
  <c r="CX18" i="10" a="1"/>
  <c r="CX18" i="10" s="1"/>
  <c r="CX17" i="10" a="1"/>
  <c r="CX17" i="10" s="1"/>
  <c r="CX16" i="10" a="1"/>
  <c r="CX16" i="10" s="1"/>
  <c r="CX15" i="10" a="1"/>
  <c r="CX15" i="10" s="1"/>
  <c r="DD24" i="7"/>
  <c r="DD31" i="7"/>
  <c r="DD21" i="7"/>
  <c r="DD27" i="7"/>
  <c r="DD16" i="7"/>
  <c r="DD32" i="7"/>
  <c r="DD28" i="7"/>
  <c r="DD17" i="7"/>
  <c r="DD22" i="7"/>
  <c r="DD29" i="7"/>
  <c r="DD18" i="7"/>
  <c r="DD33" i="7"/>
  <c r="DD23" i="7"/>
  <c r="DD30" i="7"/>
  <c r="DD25" i="7"/>
  <c r="DD19" i="7"/>
  <c r="DD20" i="7"/>
  <c r="DD26" i="7"/>
  <c r="DD15" i="7"/>
  <c r="CZ19" i="10"/>
  <c r="CZ17" i="10"/>
  <c r="CZ16" i="10"/>
  <c r="CZ18" i="10"/>
  <c r="CZ15" i="10"/>
  <c r="CZ17" i="8"/>
  <c r="CZ19" i="8"/>
  <c r="CZ18" i="8"/>
  <c r="CZ16" i="8"/>
  <c r="CZ15" i="8"/>
  <c r="AP15" i="3"/>
  <c r="AQ15" i="3" s="1" a="1"/>
  <c r="AQ15" i="3" s="1"/>
  <c r="FO28" i="11" l="1" a="1"/>
  <c r="FO28" i="11" s="1"/>
  <c r="FO31" i="11" a="1"/>
  <c r="FO31" i="11" s="1"/>
  <c r="FC22" i="11" a="1"/>
  <c r="FC22" i="11" s="1"/>
  <c r="FL24" i="11" a="1"/>
  <c r="FL24" i="11" s="1"/>
  <c r="FQ16" i="11" a="1"/>
  <c r="FQ16" i="11" s="1"/>
  <c r="FH16" i="11" a="1"/>
  <c r="FH16" i="11" s="1"/>
  <c r="FN30" i="11" a="1"/>
  <c r="FN30" i="11" s="1"/>
  <c r="FH29" i="11" a="1"/>
  <c r="FH29" i="11" s="1"/>
  <c r="FQ22" i="11" a="1"/>
  <c r="FQ22" i="11" s="1"/>
  <c r="FG30" i="11" a="1"/>
  <c r="FG30" i="11" s="1"/>
  <c r="FE28" i="11" a="1"/>
  <c r="FE28" i="11" s="1"/>
  <c r="FQ37" i="11" a="1"/>
  <c r="FQ37" i="11" s="1"/>
  <c r="FG38" i="11" a="1"/>
  <c r="FG38" i="11" s="1"/>
  <c r="FK17" i="11" a="1"/>
  <c r="FK17" i="11" s="1"/>
  <c r="FF30" i="11" a="1"/>
  <c r="FF30" i="11" s="1"/>
  <c r="FG26" i="11" a="1"/>
  <c r="FG26" i="11" s="1"/>
  <c r="FM15" i="11" a="1"/>
  <c r="FM15" i="11" s="1"/>
  <c r="FQ31" i="11" a="1"/>
  <c r="FQ31" i="11" s="1"/>
  <c r="FQ15" i="11" a="1"/>
  <c r="FQ15" i="11" s="1"/>
  <c r="FN16" i="11" a="1"/>
  <c r="FN16" i="11" s="1"/>
  <c r="FL39" i="11" a="1"/>
  <c r="FL39" i="11" s="1"/>
  <c r="FB27" i="11" a="1"/>
  <c r="FB27" i="11" s="1"/>
  <c r="FJ20" i="11" a="1"/>
  <c r="FJ20" i="11" s="1"/>
  <c r="FM38" i="11" a="1"/>
  <c r="FM38" i="11" s="1"/>
  <c r="FI18" i="11" a="1"/>
  <c r="FI18" i="11" s="1"/>
  <c r="FL19" i="11" a="1"/>
  <c r="FL19" i="11" s="1"/>
  <c r="FI22" i="11" a="1"/>
  <c r="FI22" i="11" s="1"/>
  <c r="FM18" i="11" a="1"/>
  <c r="FM18" i="11" s="1"/>
  <c r="FB17" i="11" a="1"/>
  <c r="FB17" i="11" s="1"/>
  <c r="FG17" i="11" a="1"/>
  <c r="FG17" i="11" s="1"/>
  <c r="FO30" i="11" a="1"/>
  <c r="FO30" i="11" s="1"/>
  <c r="FQ30" i="11" a="1"/>
  <c r="FQ30" i="11" s="1"/>
  <c r="FD16" i="11" a="1"/>
  <c r="FD16" i="11" s="1"/>
  <c r="FO32" i="11" a="1"/>
  <c r="FO32" i="11" s="1"/>
  <c r="FH24" i="11" a="1"/>
  <c r="FH24" i="11" s="1"/>
  <c r="FJ17" i="11" a="1"/>
  <c r="FJ17" i="11" s="1"/>
  <c r="FP15" i="11" a="1"/>
  <c r="FP15" i="11" s="1"/>
  <c r="FC17" i="11" a="1"/>
  <c r="FC17" i="11" s="1"/>
  <c r="FP31" i="11" a="1"/>
  <c r="FP31" i="11" s="1"/>
  <c r="FK38" i="11" a="1"/>
  <c r="FK38" i="11" s="1"/>
  <c r="FO37" i="11" a="1"/>
  <c r="FO37" i="11" s="1"/>
  <c r="FG31" i="11" a="1"/>
  <c r="FG31" i="11" s="1"/>
  <c r="FL15" i="11" a="1"/>
  <c r="FL15" i="11" s="1"/>
  <c r="FG21" i="11" a="1"/>
  <c r="FG21" i="11" s="1"/>
  <c r="FN32" i="11" a="1"/>
  <c r="FN32" i="11" s="1"/>
  <c r="FO22" i="11" a="1"/>
  <c r="FO22" i="11" s="1"/>
  <c r="FP17" i="11" a="1"/>
  <c r="FP17" i="11" s="1"/>
  <c r="FN25" i="11" a="1"/>
  <c r="FN25" i="11" s="1"/>
  <c r="FJ27" i="11" a="1"/>
  <c r="FJ27" i="11" s="1"/>
  <c r="FC16" i="11" a="1"/>
  <c r="FC16" i="11" s="1"/>
  <c r="FJ21" i="11" a="1"/>
  <c r="FJ21" i="11" s="1"/>
  <c r="FO19" i="11" a="1"/>
  <c r="FO19" i="11" s="1"/>
  <c r="FL16" i="11" a="1"/>
  <c r="FL16" i="11" s="1"/>
  <c r="FJ25" i="11" a="1"/>
  <c r="FJ25" i="11" s="1"/>
  <c r="FH36" i="11" a="1"/>
  <c r="FH36" i="11" s="1"/>
  <c r="FF19" i="11" a="1"/>
  <c r="FF19" i="11" s="1"/>
  <c r="FO35" i="11" a="1"/>
  <c r="FO35" i="11" s="1"/>
  <c r="FK34" i="11" a="1"/>
  <c r="FK34" i="11" s="1"/>
  <c r="FC37" i="11" a="1"/>
  <c r="FC37" i="11" s="1"/>
  <c r="FL18" i="11" a="1"/>
  <c r="FL18" i="11" s="1"/>
  <c r="FL28" i="11" a="1"/>
  <c r="FL28" i="11" s="1"/>
  <c r="FK23" i="11" a="1"/>
  <c r="FK23" i="11" s="1"/>
  <c r="FE19" i="11" a="1"/>
  <c r="FE19" i="11" s="1"/>
  <c r="FD33" i="11" a="1"/>
  <c r="FD33" i="11" s="1"/>
  <c r="FQ17" i="11" a="1"/>
  <c r="FQ17" i="11" s="1"/>
  <c r="FG37" i="11" a="1"/>
  <c r="FG37" i="11" s="1"/>
  <c r="FH32" i="11" a="1"/>
  <c r="FH32" i="11" s="1"/>
  <c r="FL30" i="11" a="1"/>
  <c r="FL30" i="11" s="1"/>
  <c r="FH25" i="11" a="1"/>
  <c r="FH25" i="11" s="1"/>
  <c r="FM21" i="11" a="1"/>
  <c r="FM21" i="11" s="1"/>
  <c r="FJ22" i="11" a="1"/>
  <c r="FJ22" i="11" s="1"/>
  <c r="FF27" i="11" a="1"/>
  <c r="FF27" i="11" s="1"/>
  <c r="FC35" i="11" a="1"/>
  <c r="FC35" i="11" s="1"/>
  <c r="FC18" i="11" a="1"/>
  <c r="FC18" i="11" s="1"/>
  <c r="FP24" i="11" a="1"/>
  <c r="FP24" i="11" s="1"/>
  <c r="FG39" i="11" a="1"/>
  <c r="FG39" i="11" s="1"/>
  <c r="FF39" i="11" a="1"/>
  <c r="FF39" i="11" s="1"/>
  <c r="FD38" i="11" a="1"/>
  <c r="FD38" i="11" s="1"/>
  <c r="FL37" i="11" a="1"/>
  <c r="FL37" i="11" s="1"/>
  <c r="FQ36" i="11" a="1"/>
  <c r="FQ36" i="11" s="1"/>
  <c r="FG28" i="11" a="1"/>
  <c r="FG28" i="11" s="1"/>
  <c r="FL31" i="11" a="1"/>
  <c r="FL31" i="11" s="1"/>
  <c r="FB32" i="11" a="1"/>
  <c r="FB32" i="11" s="1"/>
  <c r="FB16" i="11" a="1"/>
  <c r="FB16" i="11" s="1"/>
  <c r="FO27" i="11" a="1"/>
  <c r="FO27" i="11" s="1"/>
  <c r="FK33" i="11" a="1"/>
  <c r="FK33" i="11" s="1"/>
  <c r="FF21" i="11" a="1"/>
  <c r="FF21" i="11" s="1"/>
  <c r="FL17" i="11" a="1"/>
  <c r="FL17" i="11" s="1"/>
  <c r="FN34" i="11" a="1"/>
  <c r="FN34" i="11" s="1"/>
  <c r="FH34" i="11" a="1"/>
  <c r="FH34" i="11" s="1"/>
  <c r="FQ27" i="11" a="1"/>
  <c r="FQ27" i="11" s="1"/>
  <c r="FC29" i="11" a="1"/>
  <c r="FC29" i="11" s="1"/>
  <c r="FI28" i="11" a="1"/>
  <c r="FI28" i="11" s="1"/>
  <c r="FI35" i="11" a="1"/>
  <c r="FI35" i="11" s="1"/>
  <c r="FM20" i="11" a="1"/>
  <c r="FM20" i="11" s="1"/>
  <c r="FQ38" i="11" a="1"/>
  <c r="FQ38" i="11" s="1"/>
  <c r="FE33" i="11" a="1"/>
  <c r="FE33" i="11" s="1"/>
  <c r="FD29" i="11" a="1"/>
  <c r="FD29" i="11" s="1"/>
  <c r="FQ24" i="11" a="1"/>
  <c r="FQ24" i="11" s="1"/>
  <c r="FD27" i="11" a="1"/>
  <c r="FD27" i="11" s="1"/>
  <c r="FN26" i="11" a="1"/>
  <c r="FN26" i="11" s="1"/>
  <c r="FD28" i="11" a="1"/>
  <c r="FD28" i="11" s="1"/>
  <c r="FE21" i="11" a="1"/>
  <c r="FE21" i="11" s="1"/>
  <c r="FK19" i="11" a="1"/>
  <c r="FK19" i="11" s="1"/>
  <c r="FL27" i="11" a="1"/>
  <c r="FL27" i="11" s="1"/>
  <c r="FN27" i="11" a="1"/>
  <c r="FN27" i="11" s="1"/>
  <c r="FP33" i="11" a="1"/>
  <c r="FP33" i="11" s="1"/>
  <c r="FE38" i="11" a="1"/>
  <c r="FE38" i="11" s="1"/>
  <c r="FM29" i="11" a="1"/>
  <c r="FM29" i="11" s="1"/>
  <c r="FI32" i="11" a="1"/>
  <c r="FI32" i="11" s="1"/>
  <c r="FC23" i="11" a="1"/>
  <c r="FC23" i="11" s="1"/>
  <c r="FQ35" i="11" a="1"/>
  <c r="FQ35" i="11" s="1"/>
  <c r="FC32" i="11" a="1"/>
  <c r="FC32" i="11" s="1"/>
  <c r="FL33" i="11" a="1"/>
  <c r="FL33" i="11" s="1"/>
  <c r="FM27" i="11" a="1"/>
  <c r="FM27" i="11" s="1"/>
  <c r="FP27" i="11" a="1"/>
  <c r="FP27" i="11" s="1"/>
  <c r="FD36" i="11" a="1"/>
  <c r="FD36" i="11" s="1"/>
  <c r="FQ29" i="11" a="1"/>
  <c r="FQ29" i="11" s="1"/>
  <c r="FN20" i="11" a="1"/>
  <c r="FN20" i="11" s="1"/>
  <c r="FN19" i="11" a="1"/>
  <c r="FN19" i="11" s="1"/>
  <c r="FQ18" i="11" a="1"/>
  <c r="FQ18" i="11" s="1"/>
  <c r="FC39" i="11" a="1"/>
  <c r="FC39" i="11" s="1"/>
  <c r="FP29" i="11" a="1"/>
  <c r="FP29" i="11" s="1"/>
  <c r="FP21" i="11" a="1"/>
  <c r="FP21" i="11" s="1"/>
  <c r="FD19" i="11" a="1"/>
  <c r="FD19" i="11" s="1"/>
  <c r="FM33" i="11" a="1"/>
  <c r="FM33" i="11" s="1"/>
  <c r="FJ37" i="11" a="1"/>
  <c r="FJ37" i="11" s="1"/>
  <c r="FJ19" i="11" a="1"/>
  <c r="FJ19" i="11" s="1"/>
  <c r="FC25" i="11" a="1"/>
  <c r="FC25" i="11" s="1"/>
  <c r="FD22" i="11" a="1"/>
  <c r="FD22" i="11" s="1"/>
  <c r="FO26" i="11" a="1"/>
  <c r="FO26" i="11" s="1"/>
  <c r="FH22" i="11" a="1"/>
  <c r="FH22" i="11" s="1"/>
  <c r="FC33" i="11" a="1"/>
  <c r="FC33" i="11" s="1"/>
  <c r="FH37" i="11" a="1"/>
  <c r="FH37" i="11" s="1"/>
  <c r="FC19" i="11" a="1"/>
  <c r="FC19" i="11" s="1"/>
  <c r="FG24" i="11" a="1"/>
  <c r="FG24" i="11" s="1"/>
  <c r="FN18" i="11" a="1"/>
  <c r="FN18" i="11" s="1"/>
  <c r="FP19" i="11" a="1"/>
  <c r="FP19" i="11" s="1"/>
  <c r="FC34" i="11" a="1"/>
  <c r="FC34" i="11" s="1"/>
  <c r="FP30" i="11" a="1"/>
  <c r="FP30" i="11" s="1"/>
  <c r="FI30" i="11" a="1"/>
  <c r="FI30" i="11" s="1"/>
  <c r="FJ15" i="11" a="1"/>
  <c r="FJ15" i="11" s="1"/>
  <c r="FK15" i="11" a="1"/>
  <c r="FK15" i="11" s="1"/>
  <c r="FM36" i="11" a="1"/>
  <c r="FM36" i="11" s="1"/>
  <c r="FH35" i="11" a="1"/>
  <c r="FH35" i="11" s="1"/>
  <c r="FH15" i="11" a="1"/>
  <c r="FH15" i="11" s="1"/>
  <c r="FL34" i="11" a="1"/>
  <c r="FL34" i="11" s="1"/>
  <c r="FN38" i="11" a="1"/>
  <c r="FN38" i="11" s="1"/>
  <c r="FJ18" i="11" a="1"/>
  <c r="FJ18" i="11" s="1"/>
  <c r="FJ38" i="11" a="1"/>
  <c r="FJ38" i="11" s="1"/>
  <c r="FP18" i="11" a="1"/>
  <c r="FP18" i="11" s="1"/>
  <c r="FJ24" i="11" a="1"/>
  <c r="FJ24" i="11" s="1"/>
  <c r="FC30" i="11" a="1"/>
  <c r="FC30" i="11" s="1"/>
  <c r="FO25" i="11" a="1"/>
  <c r="FO25" i="11" s="1"/>
  <c r="FD32" i="11" a="1"/>
  <c r="FD32" i="11" s="1"/>
  <c r="FK30" i="11" a="1"/>
  <c r="FK30" i="11" s="1"/>
  <c r="FO33" i="11" a="1"/>
  <c r="FO33" i="11" s="1"/>
  <c r="FF22" i="11" a="1"/>
  <c r="FF22" i="11" s="1"/>
  <c r="FM25" i="11" a="1"/>
  <c r="FM25" i="11" s="1"/>
  <c r="FQ39" i="11" a="1"/>
  <c r="FQ39" i="11" s="1"/>
  <c r="FL22" i="11" a="1"/>
  <c r="FL22" i="11" s="1"/>
  <c r="FO23" i="11" a="1"/>
  <c r="FO23" i="11" s="1"/>
  <c r="FF26" i="11" a="1"/>
  <c r="FF26" i="11" s="1"/>
  <c r="FP26" i="11" a="1"/>
  <c r="FP26" i="11" s="1"/>
  <c r="FG35" i="11" a="1"/>
  <c r="FG35" i="11" s="1"/>
  <c r="FE16" i="11" a="1"/>
  <c r="FE16" i="11" s="1"/>
  <c r="FJ36" i="11" a="1"/>
  <c r="FJ36" i="11" s="1"/>
  <c r="FC24" i="11" a="1"/>
  <c r="FC24" i="11" s="1"/>
  <c r="FD35" i="11" a="1"/>
  <c r="FD35" i="11" s="1"/>
  <c r="FL25" i="11" a="1"/>
  <c r="FL25" i="11" s="1"/>
  <c r="FN28" i="11" a="1"/>
  <c r="FN28" i="11" s="1"/>
  <c r="FH39" i="11" a="1"/>
  <c r="FH39" i="11" s="1"/>
  <c r="FE24" i="11" a="1"/>
  <c r="FE24" i="11" s="1"/>
  <c r="FF33" i="11" a="1"/>
  <c r="FF33" i="11" s="1"/>
  <c r="FQ19" i="11" a="1"/>
  <c r="FQ19" i="11" s="1"/>
  <c r="FG19" i="11" a="1"/>
  <c r="FG19" i="11" s="1"/>
  <c r="FP32" i="11" a="1"/>
  <c r="FP32" i="11" s="1"/>
  <c r="FK26" i="11" a="1"/>
  <c r="FK26" i="11" s="1"/>
  <c r="FD39" i="11" a="1"/>
  <c r="FD39" i="11" s="1"/>
  <c r="FJ28" i="11" a="1"/>
  <c r="FJ28" i="11" s="1"/>
  <c r="FN29" i="11" a="1"/>
  <c r="FN29" i="11" s="1"/>
  <c r="FP38" i="11" a="1"/>
  <c r="FP38" i="11" s="1"/>
  <c r="FK18" i="11" a="1"/>
  <c r="FK18" i="11" s="1"/>
  <c r="FK20" i="11" a="1"/>
  <c r="FK20" i="11" s="1"/>
  <c r="FL36" i="11" a="1"/>
  <c r="FL36" i="11" s="1"/>
  <c r="FL20" i="11" a="1"/>
  <c r="FL20" i="11" s="1"/>
  <c r="FJ35" i="11" a="1"/>
  <c r="FJ35" i="11" s="1"/>
  <c r="FI26" i="11" a="1"/>
  <c r="FI26" i="11" s="1"/>
  <c r="FK25" i="11" a="1"/>
  <c r="FK25" i="11" s="1"/>
  <c r="FF29" i="11" a="1"/>
  <c r="FF29" i="11" s="1"/>
  <c r="FH38" i="11" a="1"/>
  <c r="FH38" i="11" s="1"/>
  <c r="FQ28" i="11" a="1"/>
  <c r="FQ28" i="11" s="1"/>
  <c r="FG29" i="11" a="1"/>
  <c r="FG29" i="11" s="1"/>
  <c r="FJ33" i="11" a="1"/>
  <c r="FJ33" i="11" s="1"/>
  <c r="FE32" i="11" a="1"/>
  <c r="FE32" i="11" s="1"/>
  <c r="FE20" i="11" a="1"/>
  <c r="FE20" i="11" s="1"/>
  <c r="FJ31" i="11" a="1"/>
  <c r="FJ31" i="11" s="1"/>
  <c r="FG22" i="11" a="1"/>
  <c r="FG22" i="11" s="1"/>
  <c r="FQ25" i="11" a="1"/>
  <c r="FQ25" i="11" s="1"/>
  <c r="FD31" i="11" a="1"/>
  <c r="FD31" i="11" s="1"/>
  <c r="FC21" i="11" a="1"/>
  <c r="FC21" i="11" s="1"/>
  <c r="FF24" i="11" a="1"/>
  <c r="FF24" i="11" s="1"/>
  <c r="FJ32" i="11" a="1"/>
  <c r="FJ32" i="11" s="1"/>
  <c r="FN35" i="11" a="1"/>
  <c r="FN35" i="11" s="1"/>
  <c r="FO38" i="11" a="1"/>
  <c r="FO38" i="11" s="1"/>
  <c r="FK36" i="11" a="1"/>
  <c r="FK36" i="11" s="1"/>
  <c r="FL35" i="11" a="1"/>
  <c r="FL35" i="11" s="1"/>
  <c r="FN15" i="11" a="1"/>
  <c r="FN15" i="11" s="1"/>
  <c r="FE15" i="11" a="1"/>
  <c r="FE15" i="11" s="1"/>
  <c r="FD15" i="11" a="1"/>
  <c r="FD15" i="11" s="1"/>
  <c r="FN24" i="11" a="1"/>
  <c r="FN24" i="11" s="1"/>
  <c r="FG18" i="11" a="1"/>
  <c r="FG18" i="11" s="1"/>
  <c r="FK35" i="11" a="1"/>
  <c r="FK35" i="11" s="1"/>
  <c r="FI27" i="11" a="1"/>
  <c r="FI27" i="11" s="1"/>
  <c r="FL29" i="11" a="1"/>
  <c r="FL29" i="11" s="1"/>
  <c r="FL23" i="11" a="1"/>
  <c r="FL23" i="11" s="1"/>
  <c r="FK32" i="11" a="1"/>
  <c r="FK32" i="11" s="1"/>
  <c r="FI37" i="11" a="1"/>
  <c r="FI37" i="11" s="1"/>
  <c r="FK39" i="11" a="1"/>
  <c r="FK39" i="11" s="1"/>
  <c r="FC36" i="11" a="1"/>
  <c r="FC36" i="11" s="1"/>
  <c r="FK29" i="11" a="1"/>
  <c r="FK29" i="11" s="1"/>
  <c r="FH28" i="11" a="1"/>
  <c r="FH28" i="11" s="1"/>
  <c r="FE22" i="11" a="1"/>
  <c r="FE22" i="11" s="1"/>
  <c r="FI24" i="11" a="1"/>
  <c r="FI24" i="11" s="1"/>
  <c r="FK16" i="11" a="1"/>
  <c r="FK16" i="11" s="1"/>
  <c r="FJ30" i="11" a="1"/>
  <c r="FJ30" i="11" s="1"/>
  <c r="FH19" i="11" a="1"/>
  <c r="FH19" i="11" s="1"/>
  <c r="FC26" i="11" a="1"/>
  <c r="FC26" i="11" s="1"/>
  <c r="FF35" i="11" a="1"/>
  <c r="FF35" i="11" s="1"/>
  <c r="FF37" i="11" a="1"/>
  <c r="FF37" i="11" s="1"/>
  <c r="FI17" i="11" a="1"/>
  <c r="FI17" i="11" s="1"/>
  <c r="FF34" i="11" a="1"/>
  <c r="FF34" i="11" s="1"/>
  <c r="FG23" i="11" a="1"/>
  <c r="FG23" i="11" s="1"/>
  <c r="FE27" i="11" a="1"/>
  <c r="FE27" i="11" s="1"/>
  <c r="FP37" i="11" a="1"/>
  <c r="FP37" i="11" s="1"/>
  <c r="FN39" i="11" a="1"/>
  <c r="FN39" i="11" s="1"/>
  <c r="FI34" i="11" a="1"/>
  <c r="FI34" i="11" s="1"/>
  <c r="FD20" i="11" a="1"/>
  <c r="FD20" i="11" s="1"/>
  <c r="FD34" i="11" a="1"/>
  <c r="FD34" i="11" s="1"/>
  <c r="FJ23" i="11" a="1"/>
  <c r="FJ23" i="11" s="1"/>
  <c r="FI39" i="11" a="1"/>
  <c r="FI39" i="11" s="1"/>
  <c r="FH33" i="11" a="1"/>
  <c r="FH33" i="11" s="1"/>
  <c r="FG27" i="11" a="1"/>
  <c r="FG27" i="11" s="1"/>
  <c r="FE23" i="11" a="1"/>
  <c r="FE23" i="11" s="1"/>
  <c r="FM35" i="11" a="1"/>
  <c r="FM35" i="11" s="1"/>
  <c r="FH27" i="11" a="1"/>
  <c r="FH27" i="11" s="1"/>
  <c r="FI36" i="11" a="1"/>
  <c r="FI36" i="11" s="1"/>
  <c r="FD17" i="11" a="1"/>
  <c r="FD17" i="11" s="1"/>
  <c r="FD18" i="11" a="1"/>
  <c r="FD18" i="11" s="1"/>
  <c r="FC27" i="11" a="1"/>
  <c r="FC27" i="11" s="1"/>
  <c r="FD25" i="11" a="1"/>
  <c r="FD25" i="11" s="1"/>
  <c r="FJ16" i="11" a="1"/>
  <c r="FJ16" i="11" s="1"/>
  <c r="FM28" i="11" a="1"/>
  <c r="FM28" i="11" s="1"/>
  <c r="FJ26" i="11" a="1"/>
  <c r="FJ26" i="11" s="1"/>
  <c r="FK28" i="11" a="1"/>
  <c r="FK28" i="11" s="1"/>
  <c r="FB33" i="11" a="1"/>
  <c r="FB33" i="11" s="1"/>
  <c r="FM24" i="11" a="1"/>
  <c r="FM24" i="11" s="1"/>
  <c r="FM19" i="11" a="1"/>
  <c r="FM19" i="11" s="1"/>
  <c r="FF28" i="11" a="1"/>
  <c r="FF28" i="11" s="1"/>
  <c r="FC31" i="11" a="1"/>
  <c r="FC31" i="11" s="1"/>
  <c r="FL26" i="11" a="1"/>
  <c r="FL26" i="11" s="1"/>
  <c r="FP28" i="11" a="1"/>
  <c r="FP28" i="11" s="1"/>
  <c r="FF32" i="11" a="1"/>
  <c r="FF32" i="11" s="1"/>
  <c r="FM34" i="11" a="1"/>
  <c r="FM34" i="11" s="1"/>
  <c r="FM32" i="11" a="1"/>
  <c r="FM32" i="11" s="1"/>
  <c r="FQ32" i="11" a="1"/>
  <c r="FQ32" i="11" s="1"/>
  <c r="FK22" i="11" a="1"/>
  <c r="FK22" i="11" s="1"/>
  <c r="FG15" i="11" a="1"/>
  <c r="FG15" i="11" s="1"/>
  <c r="FM22" i="11" a="1"/>
  <c r="FM22" i="11" s="1"/>
  <c r="FO20" i="11" a="1"/>
  <c r="FO20" i="11" s="1"/>
  <c r="FD24" i="11" a="1"/>
  <c r="FD24" i="11" s="1"/>
  <c r="FI25" i="11" a="1"/>
  <c r="FI25" i="11" s="1"/>
  <c r="FE26" i="11" a="1"/>
  <c r="FE26" i="11" s="1"/>
  <c r="FC15" i="11" a="1"/>
  <c r="FC15" i="11" s="1"/>
  <c r="FO29" i="11" a="1"/>
  <c r="FO29" i="11" s="1"/>
  <c r="FP25" i="11" a="1"/>
  <c r="FP25" i="11" s="1"/>
  <c r="FC38" i="11" a="1"/>
  <c r="FC38" i="11" s="1"/>
  <c r="FO34" i="11" a="1"/>
  <c r="FO34" i="11" s="1"/>
  <c r="FF23" i="11" a="1"/>
  <c r="FF23" i="11" s="1"/>
  <c r="FO24" i="11" a="1"/>
  <c r="FO24" i="11" s="1"/>
  <c r="FF38" i="11" a="1"/>
  <c r="FF38" i="11" s="1"/>
  <c r="FO36" i="11" a="1"/>
  <c r="FO36" i="11" s="1"/>
  <c r="FN23" i="11" a="1"/>
  <c r="FN23" i="11" s="1"/>
  <c r="FJ29" i="11" a="1"/>
  <c r="FJ29" i="11" s="1"/>
  <c r="FF31" i="11" a="1"/>
  <c r="FF31" i="11" s="1"/>
  <c r="FP22" i="11" a="1"/>
  <c r="FP22" i="11" s="1"/>
  <c r="FP36" i="11" a="1"/>
  <c r="FP36" i="11" s="1"/>
  <c r="FK27" i="11" a="1"/>
  <c r="FK27" i="11" s="1"/>
  <c r="FP35" i="11" a="1"/>
  <c r="FP35" i="11" s="1"/>
  <c r="FG36" i="11" a="1"/>
  <c r="FG36" i="11" s="1"/>
  <c r="FM31" i="11" a="1"/>
  <c r="FM31" i="11" s="1"/>
  <c r="FK24" i="11" a="1"/>
  <c r="FK24" i="11" s="1"/>
  <c r="FD26" i="11" a="1"/>
  <c r="FD26" i="11" s="1"/>
  <c r="FM26" i="11" a="1"/>
  <c r="FM26" i="11" s="1"/>
  <c r="FE18" i="11" a="1"/>
  <c r="FE18" i="11" s="1"/>
  <c r="FH17" i="11" a="1"/>
  <c r="FH17" i="11" s="1"/>
  <c r="FH20" i="11" a="1"/>
  <c r="FH20" i="11" s="1"/>
  <c r="FH31" i="11" a="1"/>
  <c r="FH31" i="11" s="1"/>
  <c r="FJ39" i="11" a="1"/>
  <c r="FJ39" i="11" s="1"/>
  <c r="FI31" i="11" a="1"/>
  <c r="FI31" i="11" s="1"/>
  <c r="FE35" i="11" a="1"/>
  <c r="FE35" i="11" s="1"/>
  <c r="FM37" i="11" a="1"/>
  <c r="FM37" i="11" s="1"/>
  <c r="FN37" i="11" a="1"/>
  <c r="FN37" i="11" s="1"/>
  <c r="FK31" i="11" a="1"/>
  <c r="FK31" i="11" s="1"/>
  <c r="FE29" i="11" a="1"/>
  <c r="FE29" i="11" s="1"/>
  <c r="FN21" i="11" a="1"/>
  <c r="FN21" i="11" s="1"/>
  <c r="FM39" i="11" a="1"/>
  <c r="FM39" i="11" s="1"/>
  <c r="FE17" i="11" a="1"/>
  <c r="FE17" i="11" s="1"/>
  <c r="FF25" i="11" a="1"/>
  <c r="FF25" i="11" s="1"/>
  <c r="FN36" i="11" a="1"/>
  <c r="FN36" i="11" s="1"/>
  <c r="FG34" i="11" a="1"/>
  <c r="FG34" i="11" s="1"/>
  <c r="FE36" i="11" a="1"/>
  <c r="FE36" i="11" s="1"/>
  <c r="FD37" i="11" a="1"/>
  <c r="FD37" i="11" s="1"/>
  <c r="FI33" i="11" a="1"/>
  <c r="FI33" i="11" s="1"/>
  <c r="FQ26" i="11" a="1"/>
  <c r="FQ26" i="11" s="1"/>
  <c r="FP23" i="11" a="1"/>
  <c r="FP23" i="11" s="1"/>
  <c r="FL32" i="11" a="1"/>
  <c r="FL32" i="11" s="1"/>
  <c r="FP39" i="11" a="1"/>
  <c r="FP39" i="11" s="1"/>
  <c r="FH18" i="11" a="1"/>
  <c r="FH18" i="11" s="1"/>
  <c r="FE39" i="11" a="1"/>
  <c r="FE39" i="11" s="1"/>
  <c r="FP34" i="11" a="1"/>
  <c r="FP34" i="11" s="1"/>
  <c r="FE37" i="11" a="1"/>
  <c r="FE37" i="11" s="1"/>
  <c r="FF16" i="11" a="1"/>
  <c r="FF16" i="11" s="1"/>
  <c r="FK37" i="11" a="1"/>
  <c r="FK37" i="11" s="1"/>
  <c r="FM17" i="11" a="1"/>
  <c r="FM17" i="11" s="1"/>
  <c r="FM16" i="11" a="1"/>
  <c r="FM16" i="11" s="1"/>
  <c r="FL38" i="11" a="1"/>
  <c r="FL38" i="11" s="1"/>
  <c r="FQ21" i="11" a="1"/>
  <c r="FQ21" i="11" s="1"/>
  <c r="FB22" i="11" a="1"/>
  <c r="FB22" i="11" s="1"/>
  <c r="FB38" i="11" a="1"/>
  <c r="FB38" i="11" s="1"/>
  <c r="FB30" i="11" a="1"/>
  <c r="FB30" i="11" s="1"/>
  <c r="FB39" i="11" a="1"/>
  <c r="FB39" i="11" s="1"/>
  <c r="FB26" i="11" a="1"/>
  <c r="FB26" i="11" s="1"/>
  <c r="FB19" i="11" a="1"/>
  <c r="FB19" i="11" s="1"/>
  <c r="FB29" i="11" a="1"/>
  <c r="FB29" i="11" s="1"/>
  <c r="FB23" i="11" a="1"/>
  <c r="FB23" i="11" s="1"/>
  <c r="FB24" i="11" a="1"/>
  <c r="FB24" i="11" s="1"/>
  <c r="FB31" i="11" a="1"/>
  <c r="FB31" i="11" s="1"/>
  <c r="FB25" i="11" a="1"/>
  <c r="FB25" i="11" s="1"/>
  <c r="FB34" i="11" a="1"/>
  <c r="FB34" i="11" s="1"/>
  <c r="FB36" i="11" a="1"/>
  <c r="FB36" i="11" s="1"/>
  <c r="FB21" i="11" a="1"/>
  <c r="FB21" i="11" s="1"/>
  <c r="FB35" i="11" a="1"/>
  <c r="FB35" i="11" s="1"/>
  <c r="FB18" i="11" a="1"/>
  <c r="FB18" i="11" s="1"/>
  <c r="FB37" i="11" a="1"/>
  <c r="FB37" i="11" s="1"/>
  <c r="FB28" i="11" a="1"/>
  <c r="FB28" i="11" s="1"/>
  <c r="FB15" i="11" a="1"/>
  <c r="FB15" i="11" s="1"/>
  <c r="BQ15" i="3" a="1"/>
  <c r="BQ15" i="3" s="1"/>
  <c r="BG15" i="3" a="1"/>
  <c r="BG15" i="3" s="1"/>
  <c r="AZ15" i="3" a="1"/>
  <c r="AZ15" i="3" s="1"/>
  <c r="AS15" i="3" a="1"/>
  <c r="AS15" i="3" s="1"/>
  <c r="BF15" i="3" a="1"/>
  <c r="BF15" i="3" s="1"/>
  <c r="AY15" i="3" a="1"/>
  <c r="AY15" i="3" s="1"/>
  <c r="AR15" i="3" a="1"/>
  <c r="AR15" i="3" s="1"/>
  <c r="AU15" i="3" a="1"/>
  <c r="AU15" i="3" s="1"/>
  <c r="BE15" i="3" a="1"/>
  <c r="BE15" i="3" s="1"/>
  <c r="AX15" i="3" a="1"/>
  <c r="AX15" i="3" s="1"/>
  <c r="BD15" i="3" a="1"/>
  <c r="BD15" i="3" s="1"/>
  <c r="AW15" i="3" a="1"/>
  <c r="AW15" i="3" s="1"/>
  <c r="BB15" i="3" a="1"/>
  <c r="BB15" i="3" s="1"/>
  <c r="BJ15" i="3" a="1"/>
  <c r="BJ15" i="3" s="1"/>
  <c r="BC15" i="3" a="1"/>
  <c r="BC15" i="3" s="1"/>
  <c r="AV15" i="3" a="1"/>
  <c r="AV15" i="3" s="1"/>
  <c r="BI15" i="3" a="1"/>
  <c r="BI15" i="3" s="1"/>
  <c r="BH15" i="3" a="1"/>
  <c r="BH15" i="3" s="1"/>
  <c r="BA15" i="3" a="1"/>
  <c r="BA15" i="3" s="1"/>
  <c r="AT15" i="3" a="1"/>
  <c r="AT15" i="3" s="1"/>
  <c r="FQ39" i="8" a="1"/>
  <c r="FQ39" i="8" s="1"/>
  <c r="FB19" i="8" a="1"/>
  <c r="FB19" i="8" s="1"/>
  <c r="FB38" i="8" a="1"/>
  <c r="FB38" i="8" s="1"/>
  <c r="FB39" i="8" a="1"/>
  <c r="FB39" i="8" s="1"/>
  <c r="FD20" i="8" a="1"/>
  <c r="FD20" i="8" s="1"/>
  <c r="FI19" i="8" a="1"/>
  <c r="FI19" i="8" s="1"/>
  <c r="FB34" i="8" a="1"/>
  <c r="FB34" i="8" s="1"/>
  <c r="FK24" i="8" a="1"/>
  <c r="FK24" i="8" s="1"/>
  <c r="FJ35" i="8" a="1"/>
  <c r="FJ35" i="8" s="1"/>
  <c r="FM39" i="8" a="1"/>
  <c r="FM39" i="8" s="1"/>
  <c r="FQ23" i="8" a="1"/>
  <c r="FQ23" i="8" s="1"/>
  <c r="FE38" i="8" a="1"/>
  <c r="FE38" i="8" s="1"/>
  <c r="FC29" i="8" a="1"/>
  <c r="FC29" i="8" s="1"/>
  <c r="FP34" i="8" a="1"/>
  <c r="FP34" i="8" s="1"/>
  <c r="FO20" i="8" a="1"/>
  <c r="FO20" i="8" s="1"/>
  <c r="FH18" i="8" a="1"/>
  <c r="FH18" i="8" s="1"/>
  <c r="FF24" i="8" a="1"/>
  <c r="FF24" i="8" s="1"/>
  <c r="FI28" i="8" a="1"/>
  <c r="FI28" i="8" s="1"/>
  <c r="FM17" i="8" a="1"/>
  <c r="FM17" i="8" s="1"/>
  <c r="FJ38" i="8" a="1"/>
  <c r="FJ38" i="8" s="1"/>
  <c r="FN17" i="8" a="1"/>
  <c r="FN17" i="8" s="1"/>
  <c r="FL23" i="8" a="1"/>
  <c r="FL23" i="8" s="1"/>
  <c r="FO37" i="8" a="1"/>
  <c r="FO37" i="8" s="1"/>
  <c r="FC32" i="8" a="1"/>
  <c r="FC32" i="8" s="1"/>
  <c r="FP37" i="8" a="1"/>
  <c r="FP37" i="8" s="1"/>
  <c r="FJ20" i="8" a="1"/>
  <c r="FJ20" i="8" s="1"/>
  <c r="FM34" i="8" a="1"/>
  <c r="FM34" i="8" s="1"/>
  <c r="FF27" i="8" a="1"/>
  <c r="FF27" i="8" s="1"/>
  <c r="FI31" i="8" a="1"/>
  <c r="FI31" i="8" s="1"/>
  <c r="FH17" i="8" a="1"/>
  <c r="FH17" i="8" s="1"/>
  <c r="FP29" i="8" a="1"/>
  <c r="FP29" i="8" s="1"/>
  <c r="FN20" i="8" a="1"/>
  <c r="FN20" i="8" s="1"/>
  <c r="FL26" i="8" a="1"/>
  <c r="FL26" i="8" s="1"/>
  <c r="FJ37" i="8" a="1"/>
  <c r="FJ37" i="8" s="1"/>
  <c r="FJ18" i="8" a="1"/>
  <c r="FJ18" i="8" s="1"/>
  <c r="FM22" i="8" a="1"/>
  <c r="FM22" i="8" s="1"/>
  <c r="FK28" i="8" a="1"/>
  <c r="FK28" i="8" s="1"/>
  <c r="FO17" i="8" a="1"/>
  <c r="FO17" i="8" s="1"/>
  <c r="FI20" i="8" a="1"/>
  <c r="FI20" i="8" s="1"/>
  <c r="FG26" i="8" a="1"/>
  <c r="FG26" i="8" s="1"/>
  <c r="FO33" i="8" a="1"/>
  <c r="FO33" i="8" s="1"/>
  <c r="FD23" i="8" a="1"/>
  <c r="FD23" i="8" s="1"/>
  <c r="FH22" i="8" a="1"/>
  <c r="FH22" i="8" s="1"/>
  <c r="FF28" i="8" a="1"/>
  <c r="FF28" i="8" s="1"/>
  <c r="FD39" i="8" a="1"/>
  <c r="FD39" i="8" s="1"/>
  <c r="FE23" i="8" a="1"/>
  <c r="FE23" i="8" s="1"/>
  <c r="FC34" i="8" a="1"/>
  <c r="FC34" i="8" s="1"/>
  <c r="FL21" i="8" a="1"/>
  <c r="FL21" i="8" s="1"/>
  <c r="FI37" i="8" a="1"/>
  <c r="FI37" i="8" s="1"/>
  <c r="FM16" i="8" a="1"/>
  <c r="FM16" i="8" s="1"/>
  <c r="FF29" i="8" a="1"/>
  <c r="FF29" i="8" s="1"/>
  <c r="FN26" i="8" a="1"/>
  <c r="FN26" i="8" s="1"/>
  <c r="FL32" i="8" a="1"/>
  <c r="FL32" i="8" s="1"/>
  <c r="FO36" i="8" a="1"/>
  <c r="FO36" i="8" s="1"/>
  <c r="FD26" i="8" a="1"/>
  <c r="FD26" i="8" s="1"/>
  <c r="FQ21" i="8" a="1"/>
  <c r="FQ21" i="8" s="1"/>
  <c r="FE26" i="8" a="1"/>
  <c r="FE26" i="8" s="1"/>
  <c r="FM33" i="8" a="1"/>
  <c r="FM33" i="8" s="1"/>
  <c r="FG21" i="8" a="1"/>
  <c r="FG21" i="8" s="1"/>
  <c r="FJ15" i="8" a="1"/>
  <c r="FJ15" i="8" s="1"/>
  <c r="FM19" i="8" a="1"/>
  <c r="FM19" i="8" s="1"/>
  <c r="FP28" i="8" a="1"/>
  <c r="FP28" i="8" s="1"/>
  <c r="FE18" i="8" a="1"/>
  <c r="FE18" i="8" s="1"/>
  <c r="FL35" i="8" a="1"/>
  <c r="FL35" i="8" s="1"/>
  <c r="FO39" i="8" a="1"/>
  <c r="FO39" i="8" s="1"/>
  <c r="FN25" i="8" a="1"/>
  <c r="FN25" i="8" s="1"/>
  <c r="FG38" i="8" a="1"/>
  <c r="FG38" i="8" s="1"/>
  <c r="FE29" i="8" a="1"/>
  <c r="FE29" i="8" s="1"/>
  <c r="FH33" i="8" a="1"/>
  <c r="FH33" i="8" s="1"/>
  <c r="FQ20" i="8" a="1"/>
  <c r="FQ20" i="8" s="1"/>
  <c r="FP26" i="8" a="1"/>
  <c r="FP26" i="8" s="1"/>
  <c r="FD31" i="8" a="1"/>
  <c r="FD31" i="8" s="1"/>
  <c r="FQ36" i="8" a="1"/>
  <c r="FQ36" i="8" s="1"/>
  <c r="FF26" i="8" a="1"/>
  <c r="FF26" i="8" s="1"/>
  <c r="FO28" i="8" a="1"/>
  <c r="FO28" i="8" s="1"/>
  <c r="FC33" i="8" a="1"/>
  <c r="FC33" i="8" s="1"/>
  <c r="FG17" i="8" a="1"/>
  <c r="FG17" i="8" s="1"/>
  <c r="FJ31" i="8" a="1"/>
  <c r="FJ31" i="8" s="1"/>
  <c r="FN30" i="8" a="1"/>
  <c r="FN30" i="8" s="1"/>
  <c r="FL36" i="8" a="1"/>
  <c r="FL36" i="8" s="1"/>
  <c r="FK22" i="8" a="1"/>
  <c r="FK22" i="8" s="1"/>
  <c r="FQ18" i="8" a="1"/>
  <c r="FQ18" i="8" s="1"/>
  <c r="FB17" i="8" a="1"/>
  <c r="FB17" i="8" s="1"/>
  <c r="FB29" i="8" a="1"/>
  <c r="FB29" i="8" s="1"/>
  <c r="FB21" i="8" a="1"/>
  <c r="FB21" i="8" s="1"/>
  <c r="FM25" i="8" a="1"/>
  <c r="FM25" i="8" s="1"/>
  <c r="FK31" i="8" a="1"/>
  <c r="FK31" i="8" s="1"/>
  <c r="FJ17" i="8" a="1"/>
  <c r="FJ17" i="8" s="1"/>
  <c r="FC15" i="8" a="1"/>
  <c r="FC15" i="8" s="1"/>
  <c r="FP20" i="8" a="1"/>
  <c r="FP20" i="8" s="1"/>
  <c r="FD25" i="8" a="1"/>
  <c r="FD25" i="8" s="1"/>
  <c r="FL37" i="8" a="1"/>
  <c r="FL37" i="8" s="1"/>
  <c r="FE35" i="8" a="1"/>
  <c r="FE35" i="8" s="1"/>
  <c r="FH39" i="8" a="1"/>
  <c r="FH39" i="8" s="1"/>
  <c r="FG20" i="8" a="1"/>
  <c r="FG20" i="8" s="1"/>
  <c r="FJ34" i="8" a="1"/>
  <c r="FJ34" i="8" s="1"/>
  <c r="FM28" i="8" a="1"/>
  <c r="FM28" i="8" s="1"/>
  <c r="FK34" i="8" a="1"/>
  <c r="FK34" i="8" s="1"/>
  <c r="FE17" i="8" a="1"/>
  <c r="FE17" i="8" s="1"/>
  <c r="FH31" i="8" a="1"/>
  <c r="FH31" i="8" s="1"/>
  <c r="FP23" i="8" a="1"/>
  <c r="FP23" i="8" s="1"/>
  <c r="FD28" i="8" a="1"/>
  <c r="FD28" i="8" s="1"/>
  <c r="FG37" i="8" a="1"/>
  <c r="FG37" i="8" s="1"/>
  <c r="FK26" i="8" a="1"/>
  <c r="FK26" i="8" s="1"/>
  <c r="FI17" i="8" a="1"/>
  <c r="FI17" i="8" s="1"/>
  <c r="FG23" i="8" a="1"/>
  <c r="FG23" i="8" s="1"/>
  <c r="FE34" i="8" a="1"/>
  <c r="FE34" i="8" s="1"/>
  <c r="FM31" i="8" a="1"/>
  <c r="FM31" i="8" s="1"/>
  <c r="FK37" i="8" a="1"/>
  <c r="FK37" i="8" s="1"/>
  <c r="FO16" i="8" a="1"/>
  <c r="FO16" i="8" s="1"/>
  <c r="FC31" i="8" a="1"/>
  <c r="FC31" i="8" s="1"/>
  <c r="FG35" i="8" a="1"/>
  <c r="FG35" i="8" s="1"/>
  <c r="FJ39" i="8" a="1"/>
  <c r="FJ39" i="8" s="1"/>
  <c r="FD22" i="8" a="1"/>
  <c r="FD22" i="8" s="1"/>
  <c r="FL34" i="8" a="1"/>
  <c r="FL34" i="8" s="1"/>
  <c r="FF37" i="8" a="1"/>
  <c r="FF37" i="8" s="1"/>
  <c r="FJ16" i="8" a="1"/>
  <c r="FJ16" i="8" s="1"/>
  <c r="FH27" i="8" a="1"/>
  <c r="FH27" i="8" s="1"/>
  <c r="FP39" i="8" a="1"/>
  <c r="FP39" i="8" s="1"/>
  <c r="FE39" i="8" a="1"/>
  <c r="FE39" i="8" s="1"/>
  <c r="FI18" i="8" a="1"/>
  <c r="FI18" i="8" s="1"/>
  <c r="FQ30" i="8" a="1"/>
  <c r="FQ30" i="8" s="1"/>
  <c r="FD34" i="8" a="1"/>
  <c r="FD34" i="8" s="1"/>
  <c r="FP25" i="8" a="1"/>
  <c r="FP25" i="8" s="1"/>
  <c r="FI23" i="8" a="1"/>
  <c r="FI23" i="8" s="1"/>
  <c r="FG29" i="8" a="1"/>
  <c r="FG29" i="8" s="1"/>
  <c r="FJ33" i="8" a="1"/>
  <c r="FJ33" i="8" s="1"/>
  <c r="FN22" i="8" a="1"/>
  <c r="FN22" i="8" s="1"/>
  <c r="FL18" i="8" a="1"/>
  <c r="FL18" i="8" s="1"/>
  <c r="FO22" i="8" a="1"/>
  <c r="FO22" i="8" s="1"/>
  <c r="FH30" i="8" a="1"/>
  <c r="FH30" i="8" s="1"/>
  <c r="FQ17" i="8" a="1"/>
  <c r="FQ17" i="8" s="1"/>
  <c r="FD37" i="8" a="1"/>
  <c r="FD37" i="8" s="1"/>
  <c r="FH16" i="8" a="1"/>
  <c r="FH16" i="8" s="1"/>
  <c r="FK25" i="8" a="1"/>
  <c r="FK25" i="8" s="1"/>
  <c r="FN39" i="8" a="1"/>
  <c r="FN39" i="8" s="1"/>
  <c r="FG32" i="8" a="1"/>
  <c r="FG32" i="8" s="1"/>
  <c r="FJ36" i="8" a="1"/>
  <c r="FJ36" i="8" s="1"/>
  <c r="FI22" i="8" a="1"/>
  <c r="FI22" i="8" s="1"/>
  <c r="FQ34" i="8" a="1"/>
  <c r="FQ34" i="8" s="1"/>
  <c r="FO25" i="8" a="1"/>
  <c r="FO25" i="8" s="1"/>
  <c r="FC30" i="8" a="1"/>
  <c r="FC30" i="8" s="1"/>
  <c r="FL17" i="8" a="1"/>
  <c r="FL17" i="8" s="1"/>
  <c r="FE15" i="8" a="1"/>
  <c r="FE15" i="8" s="1"/>
  <c r="FH19" i="8" a="1"/>
  <c r="FH19" i="8" s="1"/>
  <c r="FF25" i="8" a="1"/>
  <c r="FF25" i="8" s="1"/>
  <c r="FI39" i="8" a="1"/>
  <c r="FI39" i="8" s="1"/>
  <c r="FD17" i="8" a="1"/>
  <c r="FD17" i="8" s="1"/>
  <c r="FQ22" i="8" a="1"/>
  <c r="FQ22" i="8" s="1"/>
  <c r="FJ30" i="8" a="1"/>
  <c r="FJ30" i="8" s="1"/>
  <c r="FN19" i="8" a="1"/>
  <c r="FN19" i="8" s="1"/>
  <c r="FC19" i="8" a="1"/>
  <c r="FC19" i="8" s="1"/>
  <c r="FP24" i="8" a="1"/>
  <c r="FP24" i="8" s="1"/>
  <c r="FN35" i="8" a="1"/>
  <c r="FN35" i="8" s="1"/>
  <c r="FN16" i="8" a="1"/>
  <c r="FN16" i="8" s="1"/>
  <c r="FL22" i="8" a="1"/>
  <c r="FL22" i="8" s="1"/>
  <c r="FO26" i="8" a="1"/>
  <c r="FO26" i="8" s="1"/>
  <c r="FD16" i="8" a="1"/>
  <c r="FD16" i="8" s="1"/>
  <c r="FK17" i="8" a="1"/>
  <c r="FK17" i="8" s="1"/>
  <c r="FN21" i="8" a="1"/>
  <c r="FN21" i="8" s="1"/>
  <c r="FG34" i="8" a="1"/>
  <c r="FG34" i="8" s="1"/>
  <c r="FO31" i="8" a="1"/>
  <c r="FO31" i="8" s="1"/>
  <c r="FC36" i="8" a="1"/>
  <c r="FC36" i="8" s="1"/>
  <c r="FQ16" i="8" a="1"/>
  <c r="FQ16" i="8" s="1"/>
  <c r="FE31" i="8" a="1"/>
  <c r="FE31" i="8" s="1"/>
  <c r="FH25" i="8" a="1"/>
  <c r="FH25" i="8" s="1"/>
  <c r="FF31" i="8" a="1"/>
  <c r="FF31" i="8" s="1"/>
  <c r="FN38" i="8" a="1"/>
  <c r="FN38" i="8" s="1"/>
  <c r="FC28" i="8" a="1"/>
  <c r="FC28" i="8" s="1"/>
  <c r="FK20" i="8" a="1"/>
  <c r="FK20" i="8" s="1"/>
  <c r="FN24" i="8" a="1"/>
  <c r="FN24" i="8" s="1"/>
  <c r="FQ33" i="8" a="1"/>
  <c r="FQ33" i="8" s="1"/>
  <c r="FF23" i="8" a="1"/>
  <c r="FF23" i="8" s="1"/>
  <c r="FC39" i="8" a="1"/>
  <c r="FC39" i="8" s="1"/>
  <c r="FQ19" i="8" a="1"/>
  <c r="FQ19" i="8" s="1"/>
  <c r="FO30" i="8" a="1"/>
  <c r="FO30" i="8" s="1"/>
  <c r="FH28" i="8" a="1"/>
  <c r="FH28" i="8" s="1"/>
  <c r="FF34" i="8" a="1"/>
  <c r="FF34" i="8" s="1"/>
  <c r="FI38" i="8" a="1"/>
  <c r="FI38" i="8" s="1"/>
  <c r="FM27" i="8" a="1"/>
  <c r="FM27" i="8" s="1"/>
  <c r="FK23" i="8" a="1"/>
  <c r="FK23" i="8" s="1"/>
  <c r="FN27" i="8" a="1"/>
  <c r="FN27" i="8" s="1"/>
  <c r="FL33" i="8" a="1"/>
  <c r="FL33" i="8" s="1"/>
  <c r="FP22" i="8" a="1"/>
  <c r="FP22" i="8" s="1"/>
  <c r="FJ25" i="8" a="1"/>
  <c r="FJ25" i="8" s="1"/>
  <c r="FM29" i="8" a="1"/>
  <c r="FM29" i="8" s="1"/>
  <c r="FP38" i="8" a="1"/>
  <c r="FP38" i="8" s="1"/>
  <c r="FE28" i="8" a="1"/>
  <c r="FE28" i="8" s="1"/>
  <c r="FI27" i="8" a="1"/>
  <c r="FI27" i="8" s="1"/>
  <c r="FG33" i="8" a="1"/>
  <c r="FG33" i="8" s="1"/>
  <c r="FF19" i="8" a="1"/>
  <c r="FF19" i="8" s="1"/>
  <c r="FE25" i="8" a="1"/>
  <c r="FE25" i="8" s="1"/>
  <c r="FH29" i="8" a="1"/>
  <c r="FH29" i="8" s="1"/>
  <c r="FF35" i="8" a="1"/>
  <c r="FF35" i="8" s="1"/>
  <c r="FJ24" i="8" a="1"/>
  <c r="FJ24" i="8" s="1"/>
  <c r="FQ25" i="8" a="1"/>
  <c r="FQ25" i="8" s="1"/>
  <c r="FE30" i="8" a="1"/>
  <c r="FE30" i="8" s="1"/>
  <c r="FG15" i="8" a="1"/>
  <c r="FG15" i="8" s="1"/>
  <c r="FJ19" i="8" a="1"/>
  <c r="FJ19" i="8" s="1"/>
  <c r="FC27" i="8" a="1"/>
  <c r="FC27" i="8" s="1"/>
  <c r="FK39" i="8" a="1"/>
  <c r="FK39" i="8" s="1"/>
  <c r="FN33" i="8" a="1"/>
  <c r="FN33" i="8" s="1"/>
  <c r="FL39" i="8" a="1"/>
  <c r="FL39" i="8" s="1"/>
  <c r="FF22" i="8" a="1"/>
  <c r="FF22" i="8" s="1"/>
  <c r="FI36" i="8" a="1"/>
  <c r="FI36" i="8" s="1"/>
  <c r="FQ28" i="8" a="1"/>
  <c r="FQ28" i="8" s="1"/>
  <c r="FE33" i="8" a="1"/>
  <c r="FE33" i="8" s="1"/>
  <c r="FD19" i="8" a="1"/>
  <c r="FD19" i="8" s="1"/>
  <c r="FL31" i="8" a="1"/>
  <c r="FL31" i="8" s="1"/>
  <c r="FJ22" i="8" a="1"/>
  <c r="FJ22" i="8" s="1"/>
  <c r="FM26" i="8" a="1"/>
  <c r="FM26" i="8" s="1"/>
  <c r="FF39" i="8" a="1"/>
  <c r="FF39" i="8" s="1"/>
  <c r="FN36" i="8" a="1"/>
  <c r="FN36" i="8" s="1"/>
  <c r="FC16" i="8" a="1"/>
  <c r="FC16" i="8" s="1"/>
  <c r="FP21" i="8" a="1"/>
  <c r="FP21" i="8" s="1"/>
  <c r="FD36" i="8" a="1"/>
  <c r="FD36" i="8" s="1"/>
  <c r="FQ31" i="8" a="1"/>
  <c r="FQ31" i="8" s="1"/>
  <c r="FE36" i="8" a="1"/>
  <c r="FE36" i="8" s="1"/>
  <c r="FN18" i="8" a="1"/>
  <c r="FN18" i="8" s="1"/>
  <c r="FG31" i="8" a="1"/>
  <c r="FG31" i="8" s="1"/>
  <c r="FP33" i="8" a="1"/>
  <c r="FP33" i="8" s="1"/>
  <c r="FD38" i="8" a="1"/>
  <c r="FD38" i="8" s="1"/>
  <c r="FC24" i="8" a="1"/>
  <c r="FC24" i="8" s="1"/>
  <c r="FK36" i="8" a="1"/>
  <c r="FK36" i="8" s="1"/>
  <c r="FO35" i="8" a="1"/>
  <c r="FO35" i="8" s="1"/>
  <c r="FD15" i="8" a="1"/>
  <c r="FD15" i="8" s="1"/>
  <c r="FL27" i="8" a="1"/>
  <c r="FL27" i="8" s="1"/>
  <c r="FK33" i="8" a="1"/>
  <c r="FK33" i="8" s="1"/>
  <c r="FN37" i="8" a="1"/>
  <c r="FN37" i="8" s="1"/>
  <c r="FH20" i="8" a="1"/>
  <c r="FH20" i="8" s="1"/>
  <c r="FP32" i="8" a="1"/>
  <c r="FP32" i="8" s="1"/>
  <c r="FB32" i="8" a="1"/>
  <c r="FB32" i="8" s="1"/>
  <c r="FB22" i="8" a="1"/>
  <c r="FB22" i="8" s="1"/>
  <c r="FB23" i="8" a="1"/>
  <c r="FB23" i="8" s="1"/>
  <c r="FJ28" i="8" a="1"/>
  <c r="FJ28" i="8" s="1"/>
  <c r="FM32" i="8" a="1"/>
  <c r="FM32" i="8" s="1"/>
  <c r="FK38" i="8" a="1"/>
  <c r="FK38" i="8" s="1"/>
  <c r="FO27" i="8" a="1"/>
  <c r="FO27" i="8" s="1"/>
  <c r="FC22" i="8" a="1"/>
  <c r="FC22" i="8" s="1"/>
  <c r="FP27" i="8" a="1"/>
  <c r="FP27" i="8" s="1"/>
  <c r="FI35" i="8" a="1"/>
  <c r="FI35" i="8" s="1"/>
  <c r="FM24" i="8" a="1"/>
  <c r="FM24" i="8" s="1"/>
  <c r="FF17" i="8" a="1"/>
  <c r="FF17" i="8" s="1"/>
  <c r="FI21" i="8" a="1"/>
  <c r="FI21" i="8" s="1"/>
  <c r="FL30" i="8" a="1"/>
  <c r="FL30" i="8" s="1"/>
  <c r="FP19" i="8" a="1"/>
  <c r="FP19" i="8" s="1"/>
  <c r="FM35" i="8" a="1"/>
  <c r="FM35" i="8" s="1"/>
  <c r="FL16" i="8" a="1"/>
  <c r="FL16" i="8" s="1"/>
  <c r="FJ27" i="8" a="1"/>
  <c r="FJ27" i="8" s="1"/>
  <c r="FC25" i="8" a="1"/>
  <c r="FC25" i="8" s="1"/>
  <c r="FP30" i="8" a="1"/>
  <c r="FP30" i="8" s="1"/>
  <c r="FD35" i="8" a="1"/>
  <c r="FD35" i="8" s="1"/>
  <c r="FH24" i="8" a="1"/>
  <c r="FH24" i="8" s="1"/>
  <c r="FF20" i="8" a="1"/>
  <c r="FF20" i="8" s="1"/>
  <c r="FI24" i="8" a="1"/>
  <c r="FI24" i="8" s="1"/>
  <c r="FG30" i="8" a="1"/>
  <c r="FG30" i="8" s="1"/>
  <c r="FK19" i="8" a="1"/>
  <c r="FK19" i="8" s="1"/>
  <c r="FM38" i="8" a="1"/>
  <c r="FM38" i="8" s="1"/>
  <c r="FL19" i="8" a="1"/>
  <c r="FL19" i="8" s="1"/>
  <c r="FE27" i="8" a="1"/>
  <c r="FE27" i="8" s="1"/>
  <c r="FI16" i="8" a="1"/>
  <c r="FI16" i="8" s="1"/>
  <c r="FM15" i="8" a="1"/>
  <c r="FM15" i="8" s="1"/>
  <c r="FK21" i="8" a="1"/>
  <c r="FK21" i="8" s="1"/>
  <c r="FI32" i="8" a="1"/>
  <c r="FI32" i="8" s="1"/>
  <c r="FH38" i="8" a="1"/>
  <c r="FH38" i="8" s="1"/>
  <c r="FG19" i="8" a="1"/>
  <c r="FG19" i="8" s="1"/>
  <c r="FJ23" i="8" a="1"/>
  <c r="FJ23" i="8" s="1"/>
  <c r="FM37" i="8" a="1"/>
  <c r="FM37" i="8" s="1"/>
  <c r="FH15" i="8" a="1"/>
  <c r="FH15" i="8" s="1"/>
  <c r="FF21" i="8" a="1"/>
  <c r="FF21" i="8" s="1"/>
  <c r="FN28" i="8" a="1"/>
  <c r="FN28" i="8" s="1"/>
  <c r="FC18" i="8" a="1"/>
  <c r="FC18" i="8" s="1"/>
  <c r="FP36" i="8" a="1"/>
  <c r="FP36" i="8" s="1"/>
  <c r="FE16" i="8" a="1"/>
  <c r="FE16" i="8" s="1"/>
  <c r="FM23" i="8" a="1"/>
  <c r="FM23" i="8" s="1"/>
  <c r="FF36" i="8" a="1"/>
  <c r="FF36" i="8" s="1"/>
  <c r="FI30" i="8" a="1"/>
  <c r="FI30" i="8" s="1"/>
  <c r="FG36" i="8" a="1"/>
  <c r="FG36" i="8" s="1"/>
  <c r="FP18" i="8" a="1"/>
  <c r="FP18" i="8" s="1"/>
  <c r="FD33" i="8" a="1"/>
  <c r="FD33" i="8" s="1"/>
  <c r="FL25" i="8" a="1"/>
  <c r="FL25" i="8" s="1"/>
  <c r="FO29" i="8" a="1"/>
  <c r="FO29" i="8" s="1"/>
  <c r="FN15" i="8" a="1"/>
  <c r="FN15" i="8" s="1"/>
  <c r="FG28" i="8" a="1"/>
  <c r="FG28" i="8" s="1"/>
  <c r="FE19" i="8" a="1"/>
  <c r="FE19" i="8" s="1"/>
  <c r="FH23" i="8" a="1"/>
  <c r="FH23" i="8" s="1"/>
  <c r="FP35" i="8" a="1"/>
  <c r="FP35" i="8" s="1"/>
  <c r="FI33" i="8" a="1"/>
  <c r="FI33" i="8" s="1"/>
  <c r="FG39" i="8" a="1"/>
  <c r="FG39" i="8" s="1"/>
  <c r="FK18" i="8" a="1"/>
  <c r="FK18" i="8" s="1"/>
  <c r="FN32" i="8" a="1"/>
  <c r="FN32" i="8" s="1"/>
  <c r="FL28" i="8" a="1"/>
  <c r="FL28" i="8" s="1"/>
  <c r="FO32" i="8" a="1"/>
  <c r="FO32" i="8" s="1"/>
  <c r="FI15" i="8" a="1"/>
  <c r="FI15" i="8" s="1"/>
  <c r="FQ27" i="8" a="1"/>
  <c r="FQ27" i="8" s="1"/>
  <c r="FE22" i="8" a="1"/>
  <c r="FE22" i="8" s="1"/>
  <c r="FH26" i="8" a="1"/>
  <c r="FH26" i="8" s="1"/>
  <c r="FK35" i="8" a="1"/>
  <c r="FK35" i="8" s="1"/>
  <c r="FO24" i="8" a="1"/>
  <c r="FO24" i="8" s="1"/>
  <c r="FD24" i="8" a="1"/>
  <c r="FD24" i="8" s="1"/>
  <c r="FQ29" i="8" a="1"/>
  <c r="FQ29" i="8" s="1"/>
  <c r="FP15" i="8" a="1"/>
  <c r="FP15" i="8" s="1"/>
  <c r="FO21" i="8" a="1"/>
  <c r="FO21" i="8" s="1"/>
  <c r="FC26" i="8" a="1"/>
  <c r="FC26" i="8" s="1"/>
  <c r="FP31" i="8" a="1"/>
  <c r="FP31" i="8" s="1"/>
  <c r="FE21" i="8" a="1"/>
  <c r="FE21" i="8" s="1"/>
  <c r="FN23" i="8" a="1"/>
  <c r="FN23" i="8" s="1"/>
  <c r="FL29" i="8" a="1"/>
  <c r="FL29" i="8" s="1"/>
  <c r="FE37" i="8" a="1"/>
  <c r="FE37" i="8" s="1"/>
  <c r="FI26" i="8" a="1"/>
  <c r="FI26" i="8" s="1"/>
  <c r="FD32" i="8" a="1"/>
  <c r="FD32" i="8" s="1"/>
  <c r="FH21" i="8" a="1"/>
  <c r="FH21" i="8" s="1"/>
  <c r="FO38" i="8" a="1"/>
  <c r="FO38" i="8" s="1"/>
  <c r="FD18" i="8" a="1"/>
  <c r="FD18" i="8" s="1"/>
  <c r="FG27" i="8" a="1"/>
  <c r="FG27" i="8" s="1"/>
  <c r="FK16" i="8" a="1"/>
  <c r="FK16" i="8" s="1"/>
  <c r="FH32" i="8" a="1"/>
  <c r="FH32" i="8" s="1"/>
  <c r="FF38" i="8" a="1"/>
  <c r="FF38" i="8" s="1"/>
  <c r="FE24" i="8" a="1"/>
  <c r="FE24" i="8" s="1"/>
  <c r="FM21" i="8" a="1"/>
  <c r="FM21" i="8" s="1"/>
  <c r="FK27" i="8" a="1"/>
  <c r="FK27" i="8" s="1"/>
  <c r="FN31" i="8" a="1"/>
  <c r="FN31" i="8" s="1"/>
  <c r="FC21" i="8" a="1"/>
  <c r="FC21" i="8" s="1"/>
  <c r="FP16" i="8" a="1"/>
  <c r="FP16" i="8" s="1"/>
  <c r="FD21" i="8" a="1"/>
  <c r="FD21" i="8" s="1"/>
  <c r="FQ26" i="8" a="1"/>
  <c r="FQ26" i="8" s="1"/>
  <c r="FF16" i="8" a="1"/>
  <c r="FF16" i="8" s="1"/>
  <c r="FH35" i="8" a="1"/>
  <c r="FH35" i="8" s="1"/>
  <c r="FG16" i="8" a="1"/>
  <c r="FG16" i="8" s="1"/>
  <c r="FO23" i="8" a="1"/>
  <c r="FO23" i="8" s="1"/>
  <c r="FC38" i="8" a="1"/>
  <c r="FC38" i="8" s="1"/>
  <c r="FK30" i="8" a="1"/>
  <c r="FK30" i="8" s="1"/>
  <c r="FN34" i="8" a="1"/>
  <c r="FN34" i="8" s="1"/>
  <c r="FM20" i="8" a="1"/>
  <c r="FM20" i="8" s="1"/>
  <c r="FF33" i="8" a="1"/>
  <c r="FF33" i="8" s="1"/>
  <c r="FJ32" i="8" a="1"/>
  <c r="FJ32" i="8" s="1"/>
  <c r="FM36" i="8" a="1"/>
  <c r="FM36" i="8" s="1"/>
  <c r="FG24" i="8" a="1"/>
  <c r="FG24" i="8" s="1"/>
  <c r="FF30" i="8" a="1"/>
  <c r="FF30" i="8" s="1"/>
  <c r="FI34" i="8" a="1"/>
  <c r="FI34" i="8" s="1"/>
  <c r="FC17" i="8" a="1"/>
  <c r="FC17" i="8" s="1"/>
  <c r="FK29" i="8" a="1"/>
  <c r="FK29" i="8" s="1"/>
  <c r="FE32" i="8" a="1"/>
  <c r="FE32" i="8" s="1"/>
  <c r="FH36" i="8" a="1"/>
  <c r="FH36" i="8" s="1"/>
  <c r="FL20" i="8" a="1"/>
  <c r="FL20" i="8" s="1"/>
  <c r="FO34" i="8" a="1"/>
  <c r="FO34" i="8" s="1"/>
  <c r="FM18" i="8" a="1"/>
  <c r="FM18" i="8" s="1"/>
  <c r="FD27" i="8" a="1"/>
  <c r="FD27" i="8" s="1"/>
  <c r="FQ32" i="8" a="1"/>
  <c r="FQ32" i="8" s="1"/>
  <c r="FK15" i="8" a="1"/>
  <c r="FK15" i="8" s="1"/>
  <c r="FN29" i="8" a="1"/>
  <c r="FN29" i="8" s="1"/>
  <c r="FG22" i="8" a="1"/>
  <c r="FG22" i="8" s="1"/>
  <c r="FJ26" i="8" a="1"/>
  <c r="FJ26" i="8" s="1"/>
  <c r="FH37" i="8" a="1"/>
  <c r="FH37" i="8" s="1"/>
  <c r="FQ24" i="8" a="1"/>
  <c r="FQ24" i="8" s="1"/>
  <c r="FO15" i="8" a="1"/>
  <c r="FO15" i="8" s="1"/>
  <c r="FC20" i="8" a="1"/>
  <c r="FC20" i="8" s="1"/>
  <c r="FK32" i="8" a="1"/>
  <c r="FK32" i="8" s="1"/>
  <c r="FD30" i="8" a="1"/>
  <c r="FD30" i="8" s="1"/>
  <c r="FQ35" i="8" a="1"/>
  <c r="FQ35" i="8" s="1"/>
  <c r="FF15" i="8" a="1"/>
  <c r="FF15" i="8" s="1"/>
  <c r="FI29" i="8" a="1"/>
  <c r="FI29" i="8" s="1"/>
  <c r="FG25" i="8" a="1"/>
  <c r="FG25" i="8" s="1"/>
  <c r="FJ29" i="8" a="1"/>
  <c r="FJ29" i="8" s="1"/>
  <c r="FC37" i="8" a="1"/>
  <c r="FC37" i="8" s="1"/>
  <c r="FL24" i="8" a="1"/>
  <c r="FL24" i="8" s="1"/>
  <c r="FO18" i="8" a="1"/>
  <c r="FO18" i="8" s="1"/>
  <c r="FC23" i="8" a="1"/>
  <c r="FC23" i="8" s="1"/>
  <c r="FF32" i="8" a="1"/>
  <c r="FF32" i="8" s="1"/>
  <c r="FJ21" i="8" a="1"/>
  <c r="FJ21" i="8" s="1"/>
  <c r="FQ38" i="8" a="1"/>
  <c r="FQ38" i="8" s="1"/>
  <c r="FF18" i="8" a="1"/>
  <c r="FF18" i="8" s="1"/>
  <c r="FD29" i="8" a="1"/>
  <c r="FD29" i="8" s="1"/>
  <c r="FC35" i="8" a="1"/>
  <c r="FC35" i="8" s="1"/>
  <c r="FQ15" i="8" a="1"/>
  <c r="FQ15" i="8" s="1"/>
  <c r="FE20" i="8" a="1"/>
  <c r="FE20" i="8" s="1"/>
  <c r="FH34" i="8" a="1"/>
  <c r="FH34" i="8" s="1"/>
  <c r="FL38" i="8" a="1"/>
  <c r="FL38" i="8" s="1"/>
  <c r="FP17" i="8" a="1"/>
  <c r="FP17" i="8" s="1"/>
  <c r="FI25" i="8" a="1"/>
  <c r="FI25" i="8" s="1"/>
  <c r="FQ37" i="8" a="1"/>
  <c r="FQ37" i="8" s="1"/>
  <c r="FL15" i="8" a="1"/>
  <c r="FL15" i="8" s="1"/>
  <c r="FO19" i="8" a="1"/>
  <c r="FO19" i="8" s="1"/>
  <c r="FM30" i="8" a="1"/>
  <c r="FM30" i="8" s="1"/>
  <c r="FG18" i="8" a="1"/>
  <c r="FG18" i="8" s="1"/>
  <c r="FB24" i="8" a="1"/>
  <c r="FB24" i="8" s="1"/>
  <c r="FB27" i="8" a="1"/>
  <c r="FB27" i="8" s="1"/>
  <c r="FB36" i="8" a="1"/>
  <c r="FB36" i="8" s="1"/>
  <c r="FB28" i="8" a="1"/>
  <c r="FB28" i="8" s="1"/>
  <c r="FB31" i="8" a="1"/>
  <c r="FB31" i="8" s="1"/>
  <c r="FB37" i="8" a="1"/>
  <c r="FB37" i="8" s="1"/>
  <c r="FB25" i="8" a="1"/>
  <c r="FB25" i="8" s="1"/>
  <c r="FB16" i="8" a="1"/>
  <c r="FB16" i="8" s="1"/>
  <c r="FB18" i="8" a="1"/>
  <c r="FB18" i="8" s="1"/>
  <c r="FB26" i="8" a="1"/>
  <c r="FB26" i="8" s="1"/>
  <c r="FB33" i="8" a="1"/>
  <c r="FB33" i="8" s="1"/>
  <c r="FB35" i="8" a="1"/>
  <c r="FB35" i="8" s="1"/>
  <c r="FB30" i="8" a="1"/>
  <c r="FB30" i="8" s="1"/>
  <c r="FB20" i="8" a="1"/>
  <c r="FB20" i="8" s="1"/>
  <c r="FB15" i="8" a="1"/>
  <c r="FB15" i="8" s="1"/>
  <c r="AN25" i="3"/>
  <c r="AO25" i="3" s="1"/>
  <c r="AN22" i="3"/>
  <c r="AO22" i="3" s="1"/>
  <c r="AN18" i="3"/>
  <c r="AO18" i="3" s="1"/>
  <c r="AN19" i="3"/>
  <c r="AO19" i="3" s="1"/>
  <c r="AN23" i="3"/>
  <c r="AO23" i="3" s="1"/>
  <c r="AN30" i="3"/>
  <c r="AO30" i="3" s="1"/>
  <c r="AN33" i="3"/>
  <c r="AO33" i="3" s="1"/>
  <c r="AN21" i="3"/>
  <c r="AO21" i="3" s="1"/>
  <c r="AN29" i="3"/>
  <c r="AO29" i="3" s="1"/>
  <c r="AN28" i="3"/>
  <c r="AO28" i="3" s="1"/>
  <c r="AN27" i="3"/>
  <c r="AO27" i="3" s="1"/>
  <c r="AN17" i="3"/>
  <c r="AO17" i="3" s="1"/>
  <c r="AN26" i="3"/>
  <c r="AO26" i="3" s="1"/>
  <c r="AN34" i="3"/>
  <c r="AO34" i="3" s="1"/>
  <c r="AN16" i="3"/>
  <c r="AO16" i="3" s="1"/>
  <c r="AN20" i="3"/>
  <c r="AO20" i="3" s="1"/>
  <c r="AN32" i="3"/>
  <c r="AO32" i="3" s="1"/>
  <c r="AN31" i="3"/>
  <c r="AO31" i="3" s="1"/>
  <c r="AN24" i="3"/>
  <c r="AO24" i="3" s="1"/>
  <c r="FT36" i="11" l="1" a="1"/>
  <c r="FT36" i="11" s="1"/>
  <c r="FT16" i="11" a="1"/>
  <c r="FT16" i="11" s="1"/>
  <c r="FT32" i="11" a="1"/>
  <c r="FT32" i="11" s="1"/>
  <c r="FT19" i="11" a="1"/>
  <c r="FT19" i="11" s="1"/>
  <c r="FT27" i="11" a="1"/>
  <c r="FT27" i="11" s="1"/>
  <c r="FT20" i="11" a="1"/>
  <c r="FT20" i="11" s="1"/>
  <c r="FT22" i="11" a="1"/>
  <c r="FT22" i="11" s="1"/>
  <c r="FT26" i="11" a="1"/>
  <c r="FT26" i="11" s="1"/>
  <c r="FT37" i="11" a="1"/>
  <c r="FT37" i="11" s="1"/>
  <c r="FT35" i="11" a="1"/>
  <c r="FT35" i="11" s="1"/>
  <c r="FT21" i="11" a="1"/>
  <c r="FT21" i="11" s="1"/>
  <c r="FT18" i="11" a="1"/>
  <c r="FT18" i="11" s="1"/>
  <c r="FT31" i="11" a="1"/>
  <c r="FT31" i="11" s="1"/>
  <c r="FT34" i="11" a="1"/>
  <c r="FT34" i="11" s="1"/>
  <c r="FT38" i="11" a="1"/>
  <c r="FT38" i="11" s="1"/>
  <c r="FT29" i="11" a="1"/>
  <c r="FT29" i="11" s="1"/>
  <c r="FT25" i="11" a="1"/>
  <c r="FT25" i="11" s="1"/>
  <c r="FT30" i="11" a="1"/>
  <c r="FT30" i="11" s="1"/>
  <c r="FT39" i="11" a="1"/>
  <c r="FT39" i="11" s="1"/>
  <c r="FT23" i="11" a="1"/>
  <c r="FT23" i="11" s="1"/>
  <c r="FT28" i="11" a="1"/>
  <c r="FT28" i="11" s="1"/>
  <c r="FT33" i="11" a="1"/>
  <c r="FT33" i="11" s="1"/>
  <c r="FT24" i="11" a="1"/>
  <c r="FT24" i="11" s="1"/>
  <c r="FT17" i="11" a="1"/>
  <c r="FT17" i="11" s="1"/>
  <c r="FT15" i="11" a="1"/>
  <c r="FT15" i="11" s="1"/>
  <c r="FT33" i="8" a="1"/>
  <c r="FT33" i="8" s="1"/>
  <c r="FT20" i="8" a="1"/>
  <c r="FT20" i="8" s="1"/>
  <c r="FT28" i="8" a="1"/>
  <c r="FT28" i="8" s="1"/>
  <c r="FT36" i="8" a="1"/>
  <c r="FT36" i="8" s="1"/>
  <c r="FT26" i="8" a="1"/>
  <c r="FT26" i="8" s="1"/>
  <c r="FT25" i="8" a="1"/>
  <c r="FT25" i="8" s="1"/>
  <c r="FT31" i="8" a="1"/>
  <c r="FT31" i="8" s="1"/>
  <c r="FT30" i="8" a="1"/>
  <c r="FT30" i="8" s="1"/>
  <c r="FT35" i="8" a="1"/>
  <c r="FT35" i="8" s="1"/>
  <c r="FT27" i="8" a="1"/>
  <c r="FT27" i="8" s="1"/>
  <c r="FT34" i="8" a="1"/>
  <c r="FT34" i="8" s="1"/>
  <c r="FT24" i="8" a="1"/>
  <c r="FT24" i="8" s="1"/>
  <c r="FT21" i="8" a="1"/>
  <c r="FT21" i="8" s="1"/>
  <c r="FT23" i="8" a="1"/>
  <c r="FT23" i="8" s="1"/>
  <c r="FT29" i="8" a="1"/>
  <c r="FT29" i="8" s="1"/>
  <c r="FT39" i="8" a="1"/>
  <c r="FT39" i="8" s="1"/>
  <c r="FT18" i="8" a="1"/>
  <c r="FT18" i="8" s="1"/>
  <c r="FT16" i="8" a="1"/>
  <c r="FT16" i="8" s="1"/>
  <c r="FT22" i="8" a="1"/>
  <c r="FT22" i="8" s="1"/>
  <c r="FT17" i="8" a="1"/>
  <c r="FT17" i="8" s="1"/>
  <c r="FT38" i="8" a="1"/>
  <c r="FT38" i="8" s="1"/>
  <c r="FT32" i="8" a="1"/>
  <c r="FT32" i="8" s="1"/>
  <c r="FT19" i="8" a="1"/>
  <c r="FT19" i="8" s="1"/>
  <c r="FT37" i="8" a="1"/>
  <c r="FT37" i="8" s="1"/>
  <c r="FT15" i="8" a="1"/>
  <c r="FT15" i="8" s="1"/>
  <c r="AN15" i="3"/>
  <c r="AO15" i="3" s="1"/>
  <c r="O10" i="3" l="1" a="1"/>
  <c r="O10" i="3" s="1"/>
  <c r="O9" i="3" s="1"/>
  <c r="P10" i="3" a="1"/>
  <c r="P10" i="3" s="1"/>
  <c r="P9" i="3" s="1"/>
  <c r="W10" i="3" a="1"/>
  <c r="W10" i="3" s="1"/>
  <c r="W9" i="3" s="1"/>
  <c r="T10" i="3" a="1"/>
  <c r="T10" i="3" s="1"/>
  <c r="T9" i="3" s="1"/>
  <c r="U10" i="3" a="1"/>
  <c r="U10" i="3" s="1"/>
  <c r="U9" i="3" s="1"/>
  <c r="AB10" i="3" a="1"/>
  <c r="AB10" i="3" s="1"/>
  <c r="AB9" i="3" s="1"/>
  <c r="Z10" i="3" a="1"/>
  <c r="Z10" i="3" s="1"/>
  <c r="Z9" i="3" s="1"/>
  <c r="AG10" i="3" a="1"/>
  <c r="AG10" i="3" s="1"/>
  <c r="AG9" i="3" s="1"/>
  <c r="AE10" i="3" a="1"/>
  <c r="AE10" i="3" s="1"/>
  <c r="AE9" i="3" s="1"/>
  <c r="Y10" i="3" a="1"/>
  <c r="Y10" i="3" s="1"/>
  <c r="Y9" i="3" s="1"/>
  <c r="AJ10" i="3" a="1"/>
  <c r="AJ10" i="3" s="1"/>
  <c r="AJ9" i="3" s="1"/>
  <c r="AD10" i="3" a="1"/>
  <c r="AD10" i="3" s="1"/>
  <c r="AD9" i="3" s="1"/>
  <c r="Q10" i="3" a="1"/>
  <c r="Q10" i="3" s="1"/>
  <c r="Q9" i="3" s="1"/>
  <c r="AI10" i="3" a="1"/>
  <c r="AI10" i="3" s="1"/>
  <c r="AI9" i="3" s="1"/>
  <c r="V10" i="3" a="1"/>
  <c r="V10" i="3" s="1"/>
  <c r="V9" i="3" s="1"/>
  <c r="S10" i="3" a="1"/>
  <c r="S10" i="3" s="1"/>
  <c r="S9" i="3" s="1"/>
  <c r="AA10" i="3" a="1"/>
  <c r="AA10" i="3" s="1"/>
  <c r="AA9" i="3" s="1"/>
  <c r="X10" i="3" a="1"/>
  <c r="X10" i="3" s="1"/>
  <c r="X9" i="3" s="1"/>
  <c r="AF10" i="3" a="1"/>
  <c r="AF10" i="3" s="1"/>
  <c r="AF9" i="3" s="1"/>
  <c r="AC10" i="3" a="1"/>
  <c r="AC10" i="3" s="1"/>
  <c r="AC9" i="3" s="1"/>
  <c r="R10" i="3" a="1"/>
  <c r="R10" i="3" s="1"/>
  <c r="R9" i="3" s="1"/>
  <c r="AH10" i="3" a="1"/>
  <c r="AH10" i="3" s="1"/>
  <c r="AH9" i="3" s="1"/>
  <c r="BQ31" i="3" l="1" a="1"/>
  <c r="BQ31" i="3" s="1"/>
  <c r="H15" i="3" a="1"/>
  <c r="H15" i="3" s="1"/>
  <c r="B16" i="3"/>
  <c r="BT16" i="3" s="1" a="1"/>
  <c r="BT16" i="3" s="1"/>
  <c r="BQ29" i="3" l="1" a="1"/>
  <c r="BQ29" i="3" s="1"/>
  <c r="BQ21" i="3" a="1"/>
  <c r="BQ21" i="3" s="1"/>
  <c r="BV15" i="3" a="1"/>
  <c r="BV15" i="3" s="1"/>
  <c r="CI15" i="3" a="1"/>
  <c r="CI15" i="3" s="1"/>
  <c r="CI29" i="3" a="1"/>
  <c r="CI29" i="3" s="1"/>
  <c r="CD18" i="3" a="1"/>
  <c r="CD18" i="3" s="1"/>
  <c r="BY24" i="3" a="1"/>
  <c r="BY24" i="3" s="1"/>
  <c r="BV28" i="3" a="1"/>
  <c r="BV28" i="3" s="1"/>
  <c r="CG32" i="3" a="1"/>
  <c r="CG32" i="3" s="1"/>
  <c r="BW26" i="3" a="1"/>
  <c r="BW26" i="3" s="1"/>
  <c r="CD27" i="3" a="1"/>
  <c r="CD27" i="3" s="1"/>
  <c r="CH17" i="3" a="1"/>
  <c r="CH17" i="3" s="1"/>
  <c r="CC16" i="3" a="1"/>
  <c r="CC16" i="3" s="1"/>
  <c r="BS15" i="3" a="1"/>
  <c r="BS15" i="3" s="1"/>
  <c r="CJ27" i="3" a="1"/>
  <c r="CJ27" i="3" s="1"/>
  <c r="CF15" i="3" a="1"/>
  <c r="CF15" i="3" s="1"/>
  <c r="CG22" i="3" a="1"/>
  <c r="CG22" i="3" s="1"/>
  <c r="BW15" i="3" a="1"/>
  <c r="BW15" i="3" s="1"/>
  <c r="CI34" i="3" a="1"/>
  <c r="CI34" i="3" s="1"/>
  <c r="BY15" i="3" a="1"/>
  <c r="BY15" i="3" s="1"/>
  <c r="CG25" i="3" a="1"/>
  <c r="CG25" i="3" s="1"/>
  <c r="BV22" i="3" a="1"/>
  <c r="BV22" i="3" s="1"/>
  <c r="BR32" i="3" a="1"/>
  <c r="BR32" i="3" s="1"/>
  <c r="CJ29" i="3" a="1"/>
  <c r="CJ29" i="3" s="1"/>
  <c r="CA26" i="3" a="1"/>
  <c r="CA26" i="3" s="1"/>
  <c r="BS31" i="3" a="1"/>
  <c r="BS31" i="3" s="1"/>
  <c r="BT32" i="3" a="1"/>
  <c r="BT32" i="3" s="1"/>
  <c r="CB20" i="3" a="1"/>
  <c r="CB20" i="3" s="1"/>
  <c r="CF20" i="3" a="1"/>
  <c r="CF20" i="3" s="1"/>
  <c r="BW28" i="3" a="1"/>
  <c r="BW28" i="3" s="1"/>
  <c r="CG27" i="3" a="1"/>
  <c r="CG27" i="3" s="1"/>
  <c r="BX33" i="3" a="1"/>
  <c r="BX33" i="3" s="1"/>
  <c r="BZ21" i="3" a="1"/>
  <c r="BZ21" i="3" s="1"/>
  <c r="CJ21" i="3" a="1"/>
  <c r="CJ21" i="3" s="1"/>
  <c r="CJ25" i="3" a="1"/>
  <c r="CJ25" i="3" s="1"/>
  <c r="BZ19" i="3" a="1"/>
  <c r="BZ19" i="3" s="1"/>
  <c r="CA29" i="3" a="1"/>
  <c r="CA29" i="3" s="1"/>
  <c r="CF24" i="3" a="1"/>
  <c r="CF24" i="3" s="1"/>
  <c r="BW27" i="3" a="1"/>
  <c r="BW27" i="3" s="1"/>
  <c r="CI22" i="3" a="1"/>
  <c r="CI22" i="3" s="1"/>
  <c r="CD33" i="3" a="1"/>
  <c r="CD33" i="3" s="1"/>
  <c r="CC19" i="3" a="1"/>
  <c r="CC19" i="3" s="1"/>
  <c r="CJ16" i="3" a="1"/>
  <c r="CJ16" i="3" s="1"/>
  <c r="BX31" i="3" a="1"/>
  <c r="BX31" i="3" s="1"/>
  <c r="BU30" i="3" a="1"/>
  <c r="BU30" i="3" s="1"/>
  <c r="CF19" i="3" a="1"/>
  <c r="CF19" i="3" s="1"/>
  <c r="CA33" i="3" a="1"/>
  <c r="CA33" i="3" s="1"/>
  <c r="BU26" i="3" a="1"/>
  <c r="BU26" i="3" s="1"/>
  <c r="CJ22" i="3" a="1"/>
  <c r="CJ22" i="3" s="1"/>
  <c r="BS26" i="3" a="1"/>
  <c r="BS26" i="3" s="1"/>
  <c r="CA17" i="3" a="1"/>
  <c r="CA17" i="3" s="1"/>
  <c r="BS19" i="3" a="1"/>
  <c r="BS19" i="3" s="1"/>
  <c r="CG26" i="3" a="1"/>
  <c r="CG26" i="3" s="1"/>
  <c r="CI20" i="3" a="1"/>
  <c r="CI20" i="3" s="1"/>
  <c r="BZ31" i="3" a="1"/>
  <c r="BZ31" i="3" s="1"/>
  <c r="CD22" i="3" a="1"/>
  <c r="CD22" i="3" s="1"/>
  <c r="CJ19" i="3" a="1"/>
  <c r="CJ19" i="3" s="1"/>
  <c r="CD15" i="3" a="1"/>
  <c r="CD15" i="3" s="1"/>
  <c r="BZ20" i="3" a="1"/>
  <c r="BZ20" i="3" s="1"/>
  <c r="BV31" i="3" a="1"/>
  <c r="BV31" i="3" s="1"/>
  <c r="BV19" i="3" a="1"/>
  <c r="BV19" i="3" s="1"/>
  <c r="BW18" i="3" a="1"/>
  <c r="BW18" i="3" s="1"/>
  <c r="BT22" i="3" a="1"/>
  <c r="BT22" i="3" s="1"/>
  <c r="BW22" i="3" a="1"/>
  <c r="BW22" i="3" s="1"/>
  <c r="BT33" i="3" a="1"/>
  <c r="BT33" i="3" s="1"/>
  <c r="CI25" i="3" a="1"/>
  <c r="CI25" i="3" s="1"/>
  <c r="CF29" i="3" a="1"/>
  <c r="CF29" i="3" s="1"/>
  <c r="CF17" i="3" a="1"/>
  <c r="CF17" i="3" s="1"/>
  <c r="CH27" i="3" a="1"/>
  <c r="CH27" i="3" s="1"/>
  <c r="CD20" i="3" a="1"/>
  <c r="CD20" i="3" s="1"/>
  <c r="CG24" i="3" a="1"/>
  <c r="CG24" i="3" s="1"/>
  <c r="BX21" i="3" a="1"/>
  <c r="BX21" i="3" s="1"/>
  <c r="CJ26" i="3" a="1"/>
  <c r="CJ26" i="3" s="1"/>
  <c r="BT23" i="3" a="1"/>
  <c r="BT23" i="3" s="1"/>
  <c r="BW16" i="3" a="1"/>
  <c r="BW16" i="3" s="1"/>
  <c r="BU24" i="3" a="1"/>
  <c r="BU24" i="3" s="1"/>
  <c r="BX24" i="3" a="1"/>
  <c r="BX24" i="3" s="1"/>
  <c r="CA28" i="3" a="1"/>
  <c r="CA28" i="3" s="1"/>
  <c r="BR25" i="3" a="1"/>
  <c r="BR25" i="3" s="1"/>
  <c r="CG17" i="3" a="1"/>
  <c r="CG17" i="3" s="1"/>
  <c r="CD21" i="3" a="1"/>
  <c r="CD21" i="3" s="1"/>
  <c r="BZ30" i="3" a="1"/>
  <c r="BZ30" i="3" s="1"/>
  <c r="CC24" i="3" a="1"/>
  <c r="CC24" i="3" s="1"/>
  <c r="BS23" i="3" a="1"/>
  <c r="BS23" i="3" s="1"/>
  <c r="BY33" i="3" a="1"/>
  <c r="BY33" i="3" s="1"/>
  <c r="CJ32" i="3" a="1"/>
  <c r="CJ32" i="3" s="1"/>
  <c r="CD19" i="3" a="1"/>
  <c r="CD19" i="3" s="1"/>
  <c r="BU16" i="3" a="1"/>
  <c r="BU16" i="3" s="1"/>
  <c r="CG21" i="3" a="1"/>
  <c r="CG21" i="3" s="1"/>
  <c r="CJ17" i="3" a="1"/>
  <c r="CJ17" i="3" s="1"/>
  <c r="CH29" i="3" a="1"/>
  <c r="CH29" i="3" s="1"/>
  <c r="BS20" i="3" a="1"/>
  <c r="BS20" i="3" s="1"/>
  <c r="BX26" i="3" a="1"/>
  <c r="BX26" i="3" s="1"/>
  <c r="BX23" i="3" a="1"/>
  <c r="BX23" i="3" s="1"/>
  <c r="CH19" i="3" a="1"/>
  <c r="CH19" i="3" s="1"/>
  <c r="CH24" i="3" a="1"/>
  <c r="CH24" i="3" s="1"/>
  <c r="CA16" i="3" a="1"/>
  <c r="CA16" i="3" s="1"/>
  <c r="CB33" i="3" a="1"/>
  <c r="CB33" i="3" s="1"/>
  <c r="BW29" i="3" a="1"/>
  <c r="BW29" i="3" s="1"/>
  <c r="CG33" i="3" a="1"/>
  <c r="CG33" i="3" s="1"/>
  <c r="CD16" i="3" a="1"/>
  <c r="CD16" i="3" s="1"/>
  <c r="BZ23" i="3" a="1"/>
  <c r="BZ23" i="3" s="1"/>
  <c r="CE24" i="3" a="1"/>
  <c r="CE24" i="3" s="1"/>
  <c r="BS34" i="3" a="1"/>
  <c r="BS34" i="3" s="1"/>
  <c r="CB30" i="3" a="1"/>
  <c r="CB30" i="3" s="1"/>
  <c r="BU18" i="3" a="1"/>
  <c r="BU18" i="3" s="1"/>
  <c r="BS30" i="3" a="1"/>
  <c r="BS30" i="3" s="1"/>
  <c r="CD30" i="3" a="1"/>
  <c r="CD30" i="3" s="1"/>
  <c r="CA20" i="3" a="1"/>
  <c r="CA20" i="3" s="1"/>
  <c r="BY28" i="3" a="1"/>
  <c r="BY28" i="3" s="1"/>
  <c r="CA23" i="3" a="1"/>
  <c r="CA23" i="3" s="1"/>
  <c r="CA31" i="3" a="1"/>
  <c r="CA31" i="3" s="1"/>
  <c r="CA27" i="3" a="1"/>
  <c r="CA27" i="3" s="1"/>
  <c r="CB19" i="3" a="1"/>
  <c r="CB19" i="3" s="1"/>
  <c r="BR34" i="3" a="1"/>
  <c r="BR34" i="3" s="1"/>
  <c r="BY25" i="3" a="1"/>
  <c r="BY25" i="3" s="1"/>
  <c r="CC25" i="3" a="1"/>
  <c r="CC25" i="3" s="1"/>
  <c r="BX32" i="3" a="1"/>
  <c r="BX32" i="3" s="1"/>
  <c r="BX20" i="3" a="1"/>
  <c r="BX20" i="3" s="1"/>
  <c r="CI17" i="3" a="1"/>
  <c r="CI17" i="3" s="1"/>
  <c r="BV23" i="3" a="1"/>
  <c r="BV23" i="3" s="1"/>
  <c r="CC33" i="3" a="1"/>
  <c r="CC33" i="3" s="1"/>
  <c r="BY16" i="3" a="1"/>
  <c r="BY16" i="3" s="1"/>
  <c r="CB15" i="3" a="1"/>
  <c r="CB15" i="3" s="1"/>
  <c r="BX29" i="3" a="1"/>
  <c r="BX29" i="3" s="1"/>
  <c r="CG34" i="3" a="1"/>
  <c r="CG34" i="3" s="1"/>
  <c r="CA22" i="3" a="1"/>
  <c r="CA22" i="3" s="1"/>
  <c r="CD26" i="3" a="1"/>
  <c r="CD26" i="3" s="1"/>
  <c r="BU23" i="3" a="1"/>
  <c r="BU23" i="3" s="1"/>
  <c r="CJ28" i="3" a="1"/>
  <c r="CJ28" i="3" s="1"/>
  <c r="CF23" i="3" a="1"/>
  <c r="CF23" i="3" s="1"/>
  <c r="BZ28" i="3" a="1"/>
  <c r="BZ28" i="3" s="1"/>
  <c r="BR23" i="3" a="1"/>
  <c r="BR23" i="3" s="1"/>
  <c r="BR21" i="3" a="1"/>
  <c r="BR21" i="3" s="1"/>
  <c r="CB24" i="3" a="1"/>
  <c r="CB24" i="3" s="1"/>
  <c r="CE21" i="3" a="1"/>
  <c r="CE21" i="3" s="1"/>
  <c r="BX27" i="3" a="1"/>
  <c r="BX27" i="3" s="1"/>
  <c r="BX18" i="3" a="1"/>
  <c r="BX18" i="3" s="1"/>
  <c r="BV30" i="3" a="1"/>
  <c r="BV30" i="3" s="1"/>
  <c r="CG20" i="3" a="1"/>
  <c r="CG20" i="3" s="1"/>
  <c r="CB28" i="3" a="1"/>
  <c r="CB28" i="3" s="1"/>
  <c r="CH28" i="3" a="1"/>
  <c r="CH28" i="3" s="1"/>
  <c r="BU31" i="3" a="1"/>
  <c r="BU31" i="3" s="1"/>
  <c r="BR31" i="3" a="1"/>
  <c r="BR31" i="3" s="1"/>
  <c r="BU27" i="3" a="1"/>
  <c r="BU27" i="3" s="1"/>
  <c r="CG30" i="3" a="1"/>
  <c r="CG30" i="3" s="1"/>
  <c r="CJ18" i="3" a="1"/>
  <c r="CJ18" i="3" s="1"/>
  <c r="BS18" i="3" a="1"/>
  <c r="BS18" i="3" s="1"/>
  <c r="BX28" i="3" a="1"/>
  <c r="BX28" i="3" s="1"/>
  <c r="CG16" i="3" a="1"/>
  <c r="CG16" i="3" s="1"/>
  <c r="CA32" i="3" a="1"/>
  <c r="CA32" i="3" s="1"/>
  <c r="CJ15" i="3" a="1"/>
  <c r="CJ15" i="3" s="1"/>
  <c r="BQ20" i="3" a="1"/>
  <c r="BQ20" i="3" s="1"/>
  <c r="BU15" i="3" a="1"/>
  <c r="BU15" i="3" s="1"/>
  <c r="BR15" i="3" a="1"/>
  <c r="BR15" i="3" s="1"/>
  <c r="BU33" i="3" a="1"/>
  <c r="BU33" i="3" s="1"/>
  <c r="BV18" i="3" a="1"/>
  <c r="BV18" i="3" s="1"/>
  <c r="BX17" i="3" a="1"/>
  <c r="BX17" i="3" s="1"/>
  <c r="CA21" i="3" a="1"/>
  <c r="CA21" i="3" s="1"/>
  <c r="BR18" i="3" a="1"/>
  <c r="BR18" i="3" s="1"/>
  <c r="CJ33" i="3" a="1"/>
  <c r="CJ33" i="3" s="1"/>
  <c r="BT30" i="3" a="1"/>
  <c r="BT30" i="3" s="1"/>
  <c r="BW23" i="3" a="1"/>
  <c r="BW23" i="3" s="1"/>
  <c r="CF16" i="3" a="1"/>
  <c r="CF16" i="3" s="1"/>
  <c r="BZ34" i="3" a="1"/>
  <c r="BZ34" i="3" s="1"/>
  <c r="BX30" i="3" a="1"/>
  <c r="BX30" i="3" s="1"/>
  <c r="CB16" i="3" a="1"/>
  <c r="CB16" i="3" s="1"/>
  <c r="BU22" i="3" a="1"/>
  <c r="BU22" i="3" s="1"/>
  <c r="CI24" i="3" a="1"/>
  <c r="CI24" i="3" s="1"/>
  <c r="BS25" i="3" a="1"/>
  <c r="BS25" i="3" s="1"/>
  <c r="CF26" i="3" a="1"/>
  <c r="CF26" i="3" s="1"/>
  <c r="CI30" i="3" a="1"/>
  <c r="CI30" i="3" s="1"/>
  <c r="CE23" i="3" a="1"/>
  <c r="CE23" i="3" s="1"/>
  <c r="CE32" i="3" a="1"/>
  <c r="CE32" i="3" s="1"/>
  <c r="CH25" i="3" a="1"/>
  <c r="CH25" i="3" s="1"/>
  <c r="BR22" i="3" a="1"/>
  <c r="BR22" i="3" s="1"/>
  <c r="CF28" i="3" a="1"/>
  <c r="CF28" i="3" s="1"/>
  <c r="CD29" i="3" a="1"/>
  <c r="CD29" i="3" s="1"/>
  <c r="CC34" i="3" a="1"/>
  <c r="CC34" i="3" s="1"/>
  <c r="CD17" i="3" a="1"/>
  <c r="CD17" i="3" s="1"/>
  <c r="CH26" i="3" a="1"/>
  <c r="CH26" i="3" s="1"/>
  <c r="BQ28" i="3" a="1"/>
  <c r="BQ28" i="3" s="1"/>
  <c r="CH15" i="3" a="1"/>
  <c r="CH15" i="3" s="1"/>
  <c r="CC15" i="3" a="1"/>
  <c r="CC15" i="3" s="1"/>
  <c r="BR28" i="3" a="1"/>
  <c r="BR28" i="3" s="1"/>
  <c r="BZ27" i="3" a="1"/>
  <c r="BZ27" i="3" s="1"/>
  <c r="CH33" i="3" a="1"/>
  <c r="CH33" i="3" s="1"/>
  <c r="BX16" i="3" a="1"/>
  <c r="BX16" i="3" s="1"/>
  <c r="BY30" i="3" a="1"/>
  <c r="BY30" i="3" s="1"/>
  <c r="CG28" i="3" a="1"/>
  <c r="CG28" i="3" s="1"/>
  <c r="CJ24" i="3" a="1"/>
  <c r="CJ24" i="3" s="1"/>
  <c r="CG23" i="3" a="1"/>
  <c r="CG23" i="3" s="1"/>
  <c r="BT27" i="3" a="1"/>
  <c r="BT27" i="3" s="1"/>
  <c r="BY32" i="3" a="1"/>
  <c r="BY32" i="3" s="1"/>
  <c r="BU25" i="3" a="1"/>
  <c r="BU25" i="3" s="1"/>
  <c r="BU34" i="3" a="1"/>
  <c r="BU34" i="3" s="1"/>
  <c r="BR17" i="3" a="1"/>
  <c r="BR17" i="3" s="1"/>
  <c r="BR33" i="3" a="1"/>
  <c r="BR33" i="3" s="1"/>
  <c r="CI19" i="3" a="1"/>
  <c r="CI19" i="3" s="1"/>
  <c r="BY34" i="3" a="1"/>
  <c r="BY34" i="3" s="1"/>
  <c r="CF25" i="3" a="1"/>
  <c r="CF25" i="3" s="1"/>
  <c r="CB18" i="3" a="1"/>
  <c r="CB18" i="3" s="1"/>
  <c r="CB27" i="3" a="1"/>
  <c r="CB27" i="3" s="1"/>
  <c r="CE20" i="3" a="1"/>
  <c r="CE20" i="3" s="1"/>
  <c r="CH16" i="3" a="1"/>
  <c r="CH16" i="3" s="1"/>
  <c r="CC23" i="3" a="1"/>
  <c r="CC23" i="3" s="1"/>
  <c r="CI32" i="3" a="1"/>
  <c r="CI32" i="3" s="1"/>
  <c r="BZ29" i="3" a="1"/>
  <c r="BZ29" i="3" s="1"/>
  <c r="BQ33" i="3" a="1"/>
  <c r="BQ33" i="3" s="1"/>
  <c r="CA15" i="3" a="1"/>
  <c r="CA15" i="3" s="1"/>
  <c r="BY19" i="3" a="1"/>
  <c r="BY19" i="3" s="1"/>
  <c r="CH22" i="3" a="1"/>
  <c r="CH22" i="3" s="1"/>
  <c r="BU32" i="3" a="1"/>
  <c r="BU32" i="3" s="1"/>
  <c r="CE28" i="3" a="1"/>
  <c r="CE28" i="3" s="1"/>
  <c r="BX34" i="3" a="1"/>
  <c r="BX34" i="3" s="1"/>
  <c r="CA30" i="3" a="1"/>
  <c r="CA30" i="3" s="1"/>
  <c r="CD23" i="3" a="1"/>
  <c r="CD23" i="3" s="1"/>
  <c r="CG19" i="3" a="1"/>
  <c r="CG19" i="3" s="1"/>
  <c r="CE31" i="3" a="1"/>
  <c r="CE31" i="3" s="1"/>
  <c r="CE30" i="3" a="1"/>
  <c r="CE30" i="3" s="1"/>
  <c r="BV27" i="3" a="1"/>
  <c r="BV27" i="3" s="1"/>
  <c r="BR20" i="3" a="1"/>
  <c r="BR20" i="3" s="1"/>
  <c r="BR29" i="3" a="1"/>
  <c r="BR29" i="3" s="1"/>
  <c r="BS16" i="3" a="1"/>
  <c r="BS16" i="3" s="1"/>
  <c r="BU21" i="3" a="1"/>
  <c r="BU21" i="3" s="1"/>
  <c r="BR30" i="3" a="1"/>
  <c r="BR30" i="3" s="1"/>
  <c r="BV29" i="3" a="1"/>
  <c r="BV29" i="3" s="1"/>
  <c r="CC20" i="3" a="1"/>
  <c r="CC20" i="3" s="1"/>
  <c r="CE26" i="3" a="1"/>
  <c r="CE26" i="3" s="1"/>
  <c r="BY22" i="3" a="1"/>
  <c r="BY22" i="3" s="1"/>
  <c r="CI31" i="3" a="1"/>
  <c r="CI31" i="3" s="1"/>
  <c r="BV21" i="3" a="1"/>
  <c r="BV21" i="3" s="1"/>
  <c r="BZ18" i="3" a="1"/>
  <c r="BZ18" i="3" s="1"/>
  <c r="CF27" i="3" a="1"/>
  <c r="CF27" i="3" s="1"/>
  <c r="BW24" i="3" a="1"/>
  <c r="BW24" i="3" s="1"/>
  <c r="BT21" i="3" a="1"/>
  <c r="BT21" i="3" s="1"/>
  <c r="BQ26" i="3" a="1"/>
  <c r="BQ26" i="3" s="1"/>
  <c r="BT15" i="3" a="1"/>
  <c r="BT15" i="3" s="1"/>
  <c r="BZ16" i="3" a="1"/>
  <c r="BZ16" i="3" s="1"/>
  <c r="CE17" i="3" a="1"/>
  <c r="CE17" i="3" s="1"/>
  <c r="BR27" i="3" a="1"/>
  <c r="BR27" i="3" s="1"/>
  <c r="CB23" i="3" a="1"/>
  <c r="CB23" i="3" s="1"/>
  <c r="BU29" i="3" a="1"/>
  <c r="BU29" i="3" s="1"/>
  <c r="BX25" i="3" a="1"/>
  <c r="BX25" i="3" s="1"/>
  <c r="CA18" i="3" a="1"/>
  <c r="CA18" i="3" s="1"/>
  <c r="CB31" i="3" a="1"/>
  <c r="CB31" i="3" s="1"/>
  <c r="BY21" i="3" a="1"/>
  <c r="BY21" i="3" s="1"/>
  <c r="CB25" i="3" a="1"/>
  <c r="CB25" i="3" s="1"/>
  <c r="BS22" i="3" a="1"/>
  <c r="BS22" i="3" s="1"/>
  <c r="CE27" i="3" a="1"/>
  <c r="CE27" i="3" s="1"/>
  <c r="CH23" i="3" a="1"/>
  <c r="CH23" i="3" s="1"/>
  <c r="CC30" i="3" a="1"/>
  <c r="CC30" i="3" s="1"/>
  <c r="CA34" i="3" a="1"/>
  <c r="CA34" i="3" s="1"/>
  <c r="BW31" i="3" a="1"/>
  <c r="BW31" i="3" s="1"/>
  <c r="BS24" i="3" a="1"/>
  <c r="BS24" i="3" s="1"/>
  <c r="CD32" i="3" a="1"/>
  <c r="CD32" i="3" s="1"/>
  <c r="BY31" i="3" a="1"/>
  <c r="BY31" i="3" s="1"/>
  <c r="BV17" i="3" a="1"/>
  <c r="BV17" i="3" s="1"/>
  <c r="BW34" i="3" a="1"/>
  <c r="BW34" i="3" s="1"/>
  <c r="BT20" i="3" a="1"/>
  <c r="BT20" i="3" s="1"/>
  <c r="CG29" i="3" a="1"/>
  <c r="CG29" i="3" s="1"/>
  <c r="CC22" i="3" a="1"/>
  <c r="CC22" i="3" s="1"/>
  <c r="BT19" i="3" a="1"/>
  <c r="BT19" i="3" s="1"/>
  <c r="BQ19" i="3" a="1"/>
  <c r="BQ19" i="3" s="1"/>
  <c r="CG15" i="3" a="1"/>
  <c r="CG15" i="3" s="1"/>
  <c r="CC18" i="3" a="1"/>
  <c r="CC18" i="3" s="1"/>
  <c r="BV34" i="3" a="1"/>
  <c r="BV34" i="3" s="1"/>
  <c r="CH21" i="3" a="1"/>
  <c r="CH21" i="3" s="1"/>
  <c r="BY18" i="3" a="1"/>
  <c r="BY18" i="3" s="1"/>
  <c r="BR24" i="3" a="1"/>
  <c r="BR24" i="3" s="1"/>
  <c r="BU20" i="3" a="1"/>
  <c r="BU20" i="3" s="1"/>
  <c r="CD25" i="3" a="1"/>
  <c r="CD25" i="3" s="1"/>
  <c r="BU17" i="3" a="1"/>
  <c r="BU17" i="3" s="1"/>
  <c r="BV16" i="3" a="1"/>
  <c r="BV16" i="3" s="1"/>
  <c r="BY20" i="3" a="1"/>
  <c r="BY20" i="3" s="1"/>
  <c r="CI16" i="3" a="1"/>
  <c r="CI16" i="3" s="1"/>
  <c r="CB22" i="3" a="1"/>
  <c r="CB22" i="3" s="1"/>
  <c r="CE18" i="3" a="1"/>
  <c r="CE18" i="3" s="1"/>
  <c r="BZ25" i="3" a="1"/>
  <c r="BZ25" i="3" s="1"/>
  <c r="CF34" i="3" a="1"/>
  <c r="CF34" i="3" s="1"/>
  <c r="BT26" i="3" a="1"/>
  <c r="BT26" i="3" s="1"/>
  <c r="CI18" i="3" a="1"/>
  <c r="CI18" i="3" s="1"/>
  <c r="BS33" i="3" a="1"/>
  <c r="BS33" i="3" s="1"/>
  <c r="BV26" i="3" a="1"/>
  <c r="BV26" i="3" s="1"/>
  <c r="CC21" i="3" a="1"/>
  <c r="CC21" i="3" s="1"/>
  <c r="BT29" i="3" a="1"/>
  <c r="BT29" i="3" s="1"/>
  <c r="BX19" i="3" a="1"/>
  <c r="BX19" i="3" s="1"/>
  <c r="CD24" i="3" a="1"/>
  <c r="CD24" i="3" s="1"/>
  <c r="BZ17" i="3" a="1"/>
  <c r="BZ17" i="3" s="1"/>
  <c r="BW25" i="3" a="1"/>
  <c r="BW25" i="3" s="1"/>
  <c r="CI28" i="3" a="1"/>
  <c r="CI28" i="3" s="1"/>
  <c r="BS29" i="3" a="1"/>
  <c r="BS29" i="3" s="1"/>
  <c r="CE16" i="3" a="1"/>
  <c r="CE16" i="3" s="1"/>
  <c r="CE33" i="3" a="1"/>
  <c r="CE33" i="3" s="1"/>
  <c r="CH18" i="3" a="1"/>
  <c r="CH18" i="3" s="1"/>
  <c r="CF33" i="3" a="1"/>
  <c r="CF33" i="3" s="1"/>
  <c r="BS32" i="3" a="1"/>
  <c r="BS32" i="3" s="1"/>
  <c r="BT24" i="3" a="1"/>
  <c r="BT24" i="3" s="1"/>
  <c r="CF32" i="3" a="1"/>
  <c r="CF32" i="3" s="1"/>
  <c r="BV32" i="3" a="1"/>
  <c r="BV32" i="3" s="1"/>
  <c r="CB34" i="3" a="1"/>
  <c r="CB34" i="3" s="1"/>
  <c r="BY17" i="3" a="1"/>
  <c r="BY17" i="3" s="1"/>
  <c r="BR26" i="3" a="1"/>
  <c r="BR26" i="3" s="1"/>
  <c r="BW20" i="3" a="1"/>
  <c r="BW20" i="3" s="1"/>
  <c r="CC29" i="3" a="1"/>
  <c r="CC29" i="3" s="1"/>
  <c r="CJ20" i="3" a="1"/>
  <c r="CJ20" i="3" s="1"/>
  <c r="BS27" i="3" a="1"/>
  <c r="BS27" i="3" s="1"/>
  <c r="CI27" i="3" a="1"/>
  <c r="CI27" i="3" s="1"/>
  <c r="BS21" i="3" a="1"/>
  <c r="BS21" i="3" s="1"/>
  <c r="CE22" i="3" a="1"/>
  <c r="CE22" i="3" s="1"/>
  <c r="CJ23" i="3" a="1"/>
  <c r="CJ23" i="3" s="1"/>
  <c r="BT31" i="3" a="1"/>
  <c r="BT31" i="3" s="1"/>
  <c r="CA19" i="3" a="1"/>
  <c r="CA19" i="3" s="1"/>
  <c r="CA24" i="3" a="1"/>
  <c r="CA24" i="3" s="1"/>
  <c r="CC31" i="3" a="1"/>
  <c r="CC31" i="3" s="1"/>
  <c r="BQ32" i="3" a="1"/>
  <c r="BQ32" i="3" s="1"/>
  <c r="BQ25" i="3" a="1"/>
  <c r="BQ25" i="3" s="1"/>
  <c r="CI23" i="3" a="1"/>
  <c r="CI23" i="3" s="1"/>
  <c r="CE34" i="3" a="1"/>
  <c r="CE34" i="3" s="1"/>
  <c r="CH30" i="3" a="1"/>
  <c r="CH30" i="3" s="1"/>
  <c r="BY26" i="3" a="1"/>
  <c r="BY26" i="3" s="1"/>
  <c r="CB17" i="3" a="1"/>
  <c r="CB17" i="3" s="1"/>
  <c r="CI26" i="3" a="1"/>
  <c r="CI26" i="3" s="1"/>
  <c r="BT17" i="3" a="1"/>
  <c r="BT17" i="3" s="1"/>
  <c r="BZ22" i="3" a="1"/>
  <c r="BZ22" i="3" s="1"/>
  <c r="BV33" i="3" a="1"/>
  <c r="BV33" i="3" s="1"/>
  <c r="BY29" i="3" a="1"/>
  <c r="BY29" i="3" s="1"/>
  <c r="CH20" i="3" a="1"/>
  <c r="CH20" i="3" s="1"/>
  <c r="CI21" i="3" a="1"/>
  <c r="CI21" i="3" s="1"/>
  <c r="CH31" i="3" a="1"/>
  <c r="CH31" i="3" s="1"/>
  <c r="BW19" i="3" a="1"/>
  <c r="BW19" i="3" s="1"/>
  <c r="CH34" i="3" a="1"/>
  <c r="CH34" i="3" s="1"/>
  <c r="CF31" i="3" a="1"/>
  <c r="CF31" i="3" s="1"/>
  <c r="CF22" i="3" a="1"/>
  <c r="CF22" i="3" s="1"/>
  <c r="BT34" i="3" a="1"/>
  <c r="BT34" i="3" s="1"/>
  <c r="CE19" i="3" a="1"/>
  <c r="CE19" i="3" s="1"/>
  <c r="CG18" i="3" a="1"/>
  <c r="CG18" i="3" s="1"/>
  <c r="BW33" i="3" a="1"/>
  <c r="BW33" i="3" s="1"/>
  <c r="CC28" i="3" a="1"/>
  <c r="CC28" i="3" s="1"/>
  <c r="BW30" i="3" a="1"/>
  <c r="BW30" i="3" s="1"/>
  <c r="BZ26" i="3" a="1"/>
  <c r="BZ26" i="3" s="1"/>
  <c r="CE15" i="3" a="1"/>
  <c r="CE15" i="3" s="1"/>
  <c r="BZ15" i="3" a="1"/>
  <c r="BZ15" i="3" s="1"/>
  <c r="CB32" i="3" a="1"/>
  <c r="CB32" i="3" s="1"/>
  <c r="BQ18" i="3" a="1"/>
  <c r="BQ18" i="3" s="1"/>
  <c r="BX15" i="3" a="1"/>
  <c r="BX15" i="3" s="1"/>
  <c r="BY27" i="3" a="1"/>
  <c r="BY27" i="3" s="1"/>
  <c r="CF18" i="3" a="1"/>
  <c r="CF18" i="3" s="1"/>
  <c r="CB29" i="3" a="1"/>
  <c r="CB29" i="3" s="1"/>
  <c r="CE25" i="3" a="1"/>
  <c r="CE25" i="3" s="1"/>
  <c r="BZ32" i="3" a="1"/>
  <c r="BZ32" i="3" s="1"/>
  <c r="BV25" i="3" a="1"/>
  <c r="BV25" i="3" s="1"/>
  <c r="CF21" i="3" a="1"/>
  <c r="CF21" i="3" s="1"/>
  <c r="BW32" i="3" a="1"/>
  <c r="BW32" i="3" s="1"/>
  <c r="BW17" i="3" a="1"/>
  <c r="BW17" i="3" s="1"/>
  <c r="BS28" i="3" a="1"/>
  <c r="BS28" i="3" s="1"/>
  <c r="BV24" i="3" a="1"/>
  <c r="BV24" i="3" s="1"/>
  <c r="CJ30" i="3" a="1"/>
  <c r="CJ30" i="3" s="1"/>
  <c r="BR19" i="3" a="1"/>
  <c r="BR19" i="3" s="1"/>
  <c r="CD31" i="3" a="1"/>
  <c r="CD31" i="3" s="1"/>
  <c r="BU28" i="3" a="1"/>
  <c r="BU28" i="3" s="1"/>
  <c r="BZ33" i="3" a="1"/>
  <c r="BZ33" i="3" s="1"/>
  <c r="CC26" i="3" a="1"/>
  <c r="CC26" i="3" s="1"/>
  <c r="CC17" i="3" a="1"/>
  <c r="CC17" i="3" s="1"/>
  <c r="CD34" i="3" a="1"/>
  <c r="CD34" i="3" s="1"/>
  <c r="CC32" i="3" a="1"/>
  <c r="CC32" i="3" s="1"/>
  <c r="CB21" i="3" a="1"/>
  <c r="CB21" i="3" s="1"/>
  <c r="BT28" i="3" a="1"/>
  <c r="BT28" i="3" s="1"/>
  <c r="CJ31" i="3" a="1"/>
  <c r="CJ31" i="3" s="1"/>
  <c r="BT25" i="3" a="1"/>
  <c r="BT25" i="3" s="1"/>
  <c r="BQ24" i="3" a="1"/>
  <c r="BQ24" i="3" s="1"/>
  <c r="BQ22" i="3" a="1"/>
  <c r="BQ22" i="3" s="1"/>
  <c r="BQ17" i="3" a="1"/>
  <c r="BQ17" i="3" s="1"/>
  <c r="BQ30" i="3" a="1"/>
  <c r="BQ30" i="3" s="1"/>
  <c r="BQ34" i="3" a="1"/>
  <c r="BQ34" i="3" s="1"/>
  <c r="BQ23" i="3" a="1"/>
  <c r="BQ23" i="3" s="1"/>
  <c r="BQ27" i="3" a="1"/>
  <c r="BQ27" i="3" s="1"/>
  <c r="BQ16" i="3" a="1"/>
  <c r="BQ16" i="3" s="1"/>
  <c r="BN18" i="3" l="1"/>
  <c r="BO18" i="3" s="1"/>
  <c r="BN34" i="3"/>
  <c r="BO34" i="3" s="1"/>
  <c r="BN24" i="3"/>
  <c r="BO24" i="3" s="1"/>
  <c r="BN22" i="3"/>
  <c r="BO22" i="3" s="1"/>
  <c r="BN23" i="3"/>
  <c r="BO23" i="3" s="1"/>
  <c r="BN17" i="3"/>
  <c r="BO17" i="3" s="1"/>
  <c r="BN27" i="3"/>
  <c r="BO27" i="3" s="1"/>
  <c r="BN19" i="3"/>
  <c r="BO19" i="3" s="1"/>
  <c r="BN25" i="3"/>
  <c r="BO25" i="3" s="1"/>
  <c r="BN26" i="3"/>
  <c r="BO26" i="3" s="1"/>
  <c r="BN28" i="3"/>
  <c r="BO28" i="3" s="1"/>
  <c r="BN21" i="3"/>
  <c r="BO21" i="3" s="1"/>
  <c r="BN32" i="3"/>
  <c r="BO32" i="3" s="1"/>
  <c r="BN16" i="3"/>
  <c r="BO16" i="3" s="1"/>
  <c r="BN15" i="3"/>
  <c r="BO15" i="3" s="1"/>
  <c r="BN33" i="3"/>
  <c r="BO33" i="3" s="1"/>
  <c r="BN29" i="3"/>
  <c r="BO29" i="3" s="1"/>
  <c r="BN20" i="3"/>
  <c r="BO20" i="3" s="1"/>
  <c r="BN31" i="3"/>
  <c r="BO31" i="3" s="1"/>
  <c r="BN30" i="3"/>
  <c r="BO30" i="3" s="1"/>
  <c r="F15" i="3" l="1" a="1"/>
  <c r="F1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8BD2AE48-8889-B34F-A601-4F4BC51AC786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A99D91E3-9A0D-A940-8865-E1C769CE4761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8799F3F9-9620-1A41-866D-052EFCD8D534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B7097AAE-F858-594C-8B8B-DBA70E619423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907D7435-CC84-8949-A5CC-4A1E40F604B9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2888B2BB-117D-A04F-8D4B-82CF6C2758B3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6509084A-3B03-DD40-A040-B25DA0E1DEBE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243E0D83-846C-E84D-B553-53F6EE92070E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70227A6C-3017-FF41-927B-D5087DCE2059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07215916-E57D-2649-B8FC-DC0DCBBF671B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435C20CC-D276-164E-A75F-3CF4A0B1BC54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79BF1C8C-44A8-8043-BE54-946406A40E3F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<sst xmlns="http://schemas.openxmlformats.org/spreadsheetml/2006/main" count="1991" uniqueCount="66">
  <si>
    <t>A</t>
  </si>
  <si>
    <t>B</t>
  </si>
  <si>
    <t>C</t>
  </si>
  <si>
    <t>D</t>
  </si>
  <si>
    <t>E</t>
  </si>
  <si>
    <t>-</t>
  </si>
  <si>
    <t>F</t>
  </si>
  <si>
    <t>ROWTHRESH</t>
  </si>
  <si>
    <t>COLTHRESH</t>
  </si>
  <si>
    <t>KEEP COL?</t>
  </si>
  <si>
    <t>KEEP ROW?</t>
  </si>
  <si>
    <t>G</t>
  </si>
  <si>
    <t>H</t>
  </si>
  <si>
    <t>w</t>
  </si>
  <si>
    <t>count &lt; delta</t>
  </si>
  <si>
    <t>fi0</t>
  </si>
  <si>
    <t>REFERENCE</t>
  </si>
  <si>
    <t>REF SIM</t>
  </si>
  <si>
    <t>NEAR REF</t>
  </si>
  <si>
    <t>SEQNUM</t>
  </si>
  <si>
    <t>gap freq</t>
  </si>
  <si>
    <t>gap_truncation_thresh</t>
  </si>
  <si>
    <t>sequence_gap_thresh</t>
  </si>
  <si>
    <t>sequence_similarity_thresh</t>
  </si>
  <si>
    <t>reference_similarity_thresh</t>
  </si>
  <si>
    <t>position_gap_thresh</t>
  </si>
  <si>
    <t>RETAINED SEQS</t>
  </si>
  <si>
    <t>RETAINED POS</t>
  </si>
  <si>
    <t>NOTE:</t>
  </si>
  <si>
    <t>Corresponds to tests/data/msas/msa04.faa</t>
  </si>
  <si>
    <t>NPOS</t>
  </si>
  <si>
    <t>NSEQ</t>
  </si>
  <si>
    <t>REFIDX</t>
  </si>
  <si>
    <t>NPOSKEEP1</t>
  </si>
  <si>
    <t>NSEQKEEP1</t>
  </si>
  <si>
    <t>KEEP ROW</t>
  </si>
  <si>
    <t>IDX</t>
  </si>
  <si>
    <t>INITIAL WEIGHT COMPUTATION</t>
  </si>
  <si>
    <t>KEEP POS RND2</t>
  </si>
  <si>
    <t>NPOSKEEP2</t>
  </si>
  <si>
    <t>FINAL WEIGHT COMPUTATION</t>
  </si>
  <si>
    <t>KEEP POS RND1</t>
  </si>
  <si>
    <t>Corresponds to tests/data/msas/msa05.faa</t>
  </si>
  <si>
    <t>Corresponds to tests/data/msas/msa06.faa</t>
  </si>
  <si>
    <t>Corresponds to tests/data/msas/msa07.faa</t>
  </si>
  <si>
    <t>fia computation</t>
  </si>
  <si>
    <t>posidx</t>
  </si>
  <si>
    <t>lambda</t>
  </si>
  <si>
    <t>aa</t>
  </si>
  <si>
    <t>regularization denom</t>
  </si>
  <si>
    <t>fijab computation</t>
  </si>
  <si>
    <t>Dia computation</t>
  </si>
  <si>
    <t>qa:</t>
  </si>
  <si>
    <t>i</t>
  </si>
  <si>
    <t>a</t>
  </si>
  <si>
    <t>j/b</t>
  </si>
  <si>
    <t>AAs</t>
  </si>
  <si>
    <t>num</t>
  </si>
  <si>
    <t>Di</t>
  </si>
  <si>
    <t>gap</t>
  </si>
  <si>
    <t>q0hat,qahat</t>
  </si>
  <si>
    <t>Phiia computation</t>
  </si>
  <si>
    <t>Cijab computation</t>
  </si>
  <si>
    <t>SCA Cijab computation</t>
  </si>
  <si>
    <t>Frob</t>
  </si>
  <si>
    <t>Corresponds to tests/data/msas/msa08.faa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</si>
</sst>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0" fillId="2" borderId="0" xfId="0" applyFill="1"/>
    <xf numFmtId="49" fontId="2" fillId="0" borderId="0" xfId="0" applyNumberFormat="1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7" fillId="0" borderId="0" xfId="0" applyFont="1"/>
    <xf numFmtId="0" fontId="0" fillId="3" borderId="0" xfId="0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D29E-AD6A-1D49-BB1A-7C324467E994}">
  <dimension ref="A2:J13"/>
  <sheetViews>
    <sheetView workbookViewId="0">
      <selection activeCell="A2" sqref="A2"/>
    </sheetView>
  </sheetViews>
  <sheetFormatPr baseColWidth="10" defaultRowHeight="16" x14ac:dyDescent="0.2"/>
  <sheetData>
    <row r="2" spans="1:10" x14ac:dyDescent="0.2">
      <c r="A2" t="s">
        <v>1</v>
      </c>
      <c r="B2" t="s">
        <v>1</v>
      </c>
      <c r="C2" t="s">
        <v>1</v>
      </c>
      <c r="D2" t="s">
        <v>1</v>
      </c>
      <c r="E2" t="s">
        <v>2</v>
      </c>
      <c r="F2" t="s">
        <v>2</v>
      </c>
      <c r="G2" t="s">
        <v>3</v>
      </c>
      <c r="H2" t="s">
        <v>3</v>
      </c>
      <c r="I2" t="s">
        <v>3</v>
      </c>
      <c r="J2" t="s">
        <v>3</v>
      </c>
    </row>
    <row r="4" spans="1:10" x14ac:dyDescent="0.2">
      <c r="A4" t="s">
        <v>0</v>
      </c>
      <c r="B4" t="s">
        <v>0</v>
      </c>
      <c r="C4" t="s">
        <v>1</v>
      </c>
      <c r="D4" t="s">
        <v>1</v>
      </c>
      <c r="E4" t="s">
        <v>2</v>
      </c>
      <c r="F4" t="s">
        <v>5</v>
      </c>
      <c r="G4" t="s">
        <v>3</v>
      </c>
      <c r="H4" t="s">
        <v>3</v>
      </c>
      <c r="I4" t="s">
        <v>4</v>
      </c>
      <c r="J4" t="s">
        <v>4</v>
      </c>
    </row>
    <row r="5" spans="1:10" x14ac:dyDescent="0.2">
      <c r="A5" t="s">
        <v>0</v>
      </c>
      <c r="B5" t="s">
        <v>0</v>
      </c>
      <c r="C5" t="s">
        <v>1</v>
      </c>
      <c r="D5" t="s">
        <v>1</v>
      </c>
      <c r="E5" t="s">
        <v>2</v>
      </c>
      <c r="F5" t="s">
        <v>5</v>
      </c>
      <c r="G5" t="s">
        <v>3</v>
      </c>
      <c r="H5" t="s">
        <v>3</v>
      </c>
      <c r="I5" t="s">
        <v>4</v>
      </c>
      <c r="J5" t="s">
        <v>4</v>
      </c>
    </row>
    <row r="6" spans="1:10" x14ac:dyDescent="0.2">
      <c r="A6" t="s">
        <v>0</v>
      </c>
      <c r="B6" t="s">
        <v>0</v>
      </c>
      <c r="C6" t="s">
        <v>1</v>
      </c>
      <c r="D6" t="s">
        <v>1</v>
      </c>
      <c r="E6" t="s">
        <v>2</v>
      </c>
      <c r="F6" t="s">
        <v>5</v>
      </c>
      <c r="G6" t="s">
        <v>3</v>
      </c>
      <c r="H6" t="s">
        <v>3</v>
      </c>
      <c r="I6" t="s">
        <v>4</v>
      </c>
      <c r="J6" t="s">
        <v>4</v>
      </c>
    </row>
    <row r="7" spans="1:10" x14ac:dyDescent="0.2">
      <c r="A7" t="s">
        <v>0</v>
      </c>
      <c r="B7" t="s">
        <v>0</v>
      </c>
      <c r="C7" t="s">
        <v>1</v>
      </c>
      <c r="D7" t="s">
        <v>1</v>
      </c>
      <c r="E7" t="s">
        <v>2</v>
      </c>
      <c r="F7" t="s">
        <v>5</v>
      </c>
      <c r="G7" t="s">
        <v>3</v>
      </c>
      <c r="H7" t="s">
        <v>3</v>
      </c>
      <c r="I7" t="s">
        <v>4</v>
      </c>
      <c r="J7" t="s">
        <v>4</v>
      </c>
    </row>
    <row r="8" spans="1:10" x14ac:dyDescent="0.2">
      <c r="A8" t="s">
        <v>0</v>
      </c>
      <c r="B8" t="s">
        <v>0</v>
      </c>
      <c r="C8" t="s">
        <v>1</v>
      </c>
      <c r="D8" t="s">
        <v>1</v>
      </c>
      <c r="E8" t="s">
        <v>2</v>
      </c>
      <c r="F8" t="s">
        <v>5</v>
      </c>
      <c r="G8" t="s">
        <v>3</v>
      </c>
      <c r="H8" t="s">
        <v>3</v>
      </c>
      <c r="I8" t="s">
        <v>4</v>
      </c>
      <c r="J8" t="s">
        <v>4</v>
      </c>
    </row>
    <row r="9" spans="1:10" x14ac:dyDescent="0.2">
      <c r="A9" t="s">
        <v>0</v>
      </c>
      <c r="B9" t="s">
        <v>0</v>
      </c>
      <c r="C9" t="s">
        <v>1</v>
      </c>
      <c r="D9" t="s">
        <v>1</v>
      </c>
      <c r="E9" t="s">
        <v>2</v>
      </c>
      <c r="F9" t="s">
        <v>2</v>
      </c>
      <c r="G9" t="s">
        <v>3</v>
      </c>
      <c r="H9" t="s">
        <v>3</v>
      </c>
      <c r="I9" t="s">
        <v>4</v>
      </c>
      <c r="J9" t="s">
        <v>4</v>
      </c>
    </row>
    <row r="10" spans="1:10" x14ac:dyDescent="0.2">
      <c r="A10" t="s">
        <v>0</v>
      </c>
      <c r="B10" t="s">
        <v>0</v>
      </c>
      <c r="C10" t="s">
        <v>1</v>
      </c>
      <c r="D10" t="s">
        <v>1</v>
      </c>
      <c r="E10" t="s">
        <v>2</v>
      </c>
      <c r="F10" t="s">
        <v>2</v>
      </c>
      <c r="G10" t="s">
        <v>3</v>
      </c>
      <c r="H10" t="s">
        <v>3</v>
      </c>
      <c r="I10" t="s">
        <v>4</v>
      </c>
      <c r="J10" t="s">
        <v>4</v>
      </c>
    </row>
    <row r="12" spans="1:10" x14ac:dyDescent="0.2">
      <c r="A12" t="s">
        <v>0</v>
      </c>
      <c r="B12" t="s">
        <v>0</v>
      </c>
      <c r="C12" t="s">
        <v>1</v>
      </c>
      <c r="D12" t="s">
        <v>1</v>
      </c>
      <c r="E12" t="s">
        <v>2</v>
      </c>
      <c r="F12" t="s">
        <v>2</v>
      </c>
      <c r="G12" t="s">
        <v>3</v>
      </c>
      <c r="H12" t="s">
        <v>3</v>
      </c>
      <c r="I12" t="s">
        <v>4</v>
      </c>
      <c r="J12" t="s">
        <v>4</v>
      </c>
    </row>
    <row r="13" spans="1:10" x14ac:dyDescent="0.2">
      <c r="A13" t="s">
        <v>0</v>
      </c>
      <c r="B13" t="s">
        <v>5</v>
      </c>
      <c r="C13" t="s">
        <v>1</v>
      </c>
      <c r="D13" t="s">
        <v>5</v>
      </c>
      <c r="E13" t="s">
        <v>2</v>
      </c>
      <c r="F13" t="s">
        <v>5</v>
      </c>
      <c r="G13" t="s">
        <v>3</v>
      </c>
      <c r="H13" t="s">
        <v>5</v>
      </c>
      <c r="I13" t="s">
        <v>4</v>
      </c>
      <c r="J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25E6-B9AE-1F4D-AB20-777E117A17C8}">
  <dimension ref="A1:S28"/>
  <sheetViews>
    <sheetView zoomScale="83" workbookViewId="0">
      <selection activeCell="F23" sqref="F23:F24"/>
    </sheetView>
  </sheetViews>
  <sheetFormatPr baseColWidth="10" defaultRowHeight="16" x14ac:dyDescent="0.2"/>
  <sheetData>
    <row r="1" spans="1:19" x14ac:dyDescent="0.2">
      <c r="A1" t="s">
        <v>8</v>
      </c>
      <c r="B1">
        <v>0.4</v>
      </c>
    </row>
    <row r="2" spans="1:19" x14ac:dyDescent="0.2">
      <c r="A2" t="s">
        <v>7</v>
      </c>
      <c r="B2">
        <v>0.2</v>
      </c>
    </row>
    <row r="4" spans="1:19" x14ac:dyDescent="0.2">
      <c r="O4" t="s">
        <v>10</v>
      </c>
    </row>
    <row r="5" spans="1:19" x14ac:dyDescent="0.2">
      <c r="D5" s="1" t="s">
        <v>0</v>
      </c>
      <c r="E5" t="s">
        <v>0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6</v>
      </c>
      <c r="M5" t="s">
        <v>6</v>
      </c>
      <c r="N5" cm="1">
        <f t="array" ref="N5">SUMPRODUCT((D5:M5="-")*(D$11:M$11=TRUE))  / COUNTIF(D$11:M$11,TRUE)</f>
        <v>0.5</v>
      </c>
      <c r="O5" t="b">
        <f>N5&lt;$B$2</f>
        <v>0</v>
      </c>
    </row>
    <row r="6" spans="1:19" x14ac:dyDescent="0.2">
      <c r="D6" s="1" t="s">
        <v>0</v>
      </c>
      <c r="E6" t="s">
        <v>0</v>
      </c>
      <c r="F6" t="s">
        <v>2</v>
      </c>
      <c r="G6" t="s">
        <v>2</v>
      </c>
      <c r="H6" t="s">
        <v>3</v>
      </c>
      <c r="I6" t="s">
        <v>3</v>
      </c>
      <c r="J6" t="s">
        <v>4</v>
      </c>
      <c r="K6" t="s">
        <v>4</v>
      </c>
      <c r="L6" t="s">
        <v>5</v>
      </c>
      <c r="M6" t="s">
        <v>5</v>
      </c>
      <c r="N6" cm="1">
        <f t="array" ref="N6">SUMPRODUCT((D6:M6="-")*(D$11:M$11=TRUE))  / COUNTIF(D$11:M$11,TRUE)</f>
        <v>0.25</v>
      </c>
      <c r="O6" t="b">
        <f>N6&lt;$B$2</f>
        <v>0</v>
      </c>
    </row>
    <row r="7" spans="1:19" x14ac:dyDescent="0.2">
      <c r="D7" s="1" t="s">
        <v>5</v>
      </c>
      <c r="E7" t="s">
        <v>5</v>
      </c>
      <c r="F7" t="s">
        <v>2</v>
      </c>
      <c r="G7" t="s">
        <v>2</v>
      </c>
      <c r="H7" t="s">
        <v>3</v>
      </c>
      <c r="I7" t="s">
        <v>3</v>
      </c>
      <c r="J7" t="s">
        <v>4</v>
      </c>
      <c r="K7" t="s">
        <v>4</v>
      </c>
      <c r="L7" t="s">
        <v>6</v>
      </c>
      <c r="M7" t="s">
        <v>6</v>
      </c>
      <c r="N7" cm="1">
        <f t="array" ref="N7">SUMPRODUCT((D7:M7="-")*(D$11:M$11=TRUE))  / COUNTIF(D$11:M$11,TRUE)</f>
        <v>0.25</v>
      </c>
      <c r="O7" t="b">
        <f>N7&lt;$B$2</f>
        <v>0</v>
      </c>
    </row>
    <row r="8" spans="1:19" x14ac:dyDescent="0.2">
      <c r="D8" s="1" t="s">
        <v>0</v>
      </c>
      <c r="E8" t="s">
        <v>0</v>
      </c>
      <c r="F8" t="s">
        <v>2</v>
      </c>
      <c r="G8" t="s">
        <v>5</v>
      </c>
      <c r="H8" t="s">
        <v>5</v>
      </c>
      <c r="I8" t="s">
        <v>3</v>
      </c>
      <c r="J8" t="s">
        <v>4</v>
      </c>
      <c r="K8" t="s">
        <v>4</v>
      </c>
      <c r="L8" t="s">
        <v>6</v>
      </c>
      <c r="M8" t="s">
        <v>6</v>
      </c>
      <c r="N8" cm="1">
        <f t="array" ref="N8">SUMPRODUCT((D8:M8="-")*(D$11:M$11=TRUE))  / COUNTIF(D$11:M$11,TRUE)</f>
        <v>0</v>
      </c>
      <c r="O8" t="b">
        <f>N8&lt;$B$2</f>
        <v>1</v>
      </c>
      <c r="S8" s="1"/>
    </row>
    <row r="9" spans="1:19" x14ac:dyDescent="0.2">
      <c r="D9" s="1" t="s">
        <v>0</v>
      </c>
      <c r="E9" t="s">
        <v>5</v>
      </c>
      <c r="F9" t="s">
        <v>2</v>
      </c>
      <c r="G9" t="s">
        <v>5</v>
      </c>
      <c r="H9" t="s">
        <v>3</v>
      </c>
      <c r="I9" t="s">
        <v>5</v>
      </c>
      <c r="J9" t="s">
        <v>4</v>
      </c>
      <c r="K9" t="s">
        <v>5</v>
      </c>
      <c r="L9" t="s">
        <v>6</v>
      </c>
      <c r="M9" t="s">
        <v>5</v>
      </c>
      <c r="N9" cm="1">
        <f t="array" ref="N9">SUMPRODUCT((D9:M9="-")*(D$11:M$11=TRUE))  / COUNTIF(D$11:M$11,TRUE)</f>
        <v>0</v>
      </c>
      <c r="O9" t="b">
        <f>N9&lt;$B$2</f>
        <v>1</v>
      </c>
    </row>
    <row r="10" spans="1:19" x14ac:dyDescent="0.2">
      <c r="D10">
        <f>COUNTIF(D5:D9,"-") /COUNTA(D5:D9)</f>
        <v>0.2</v>
      </c>
      <c r="E10">
        <f t="shared" ref="E10:M10" si="0">COUNTIF(E5:E9,"-") /COUNTA(E5:E9)</f>
        <v>0.4</v>
      </c>
      <c r="F10">
        <f t="shared" si="0"/>
        <v>0.2</v>
      </c>
      <c r="G10">
        <f t="shared" si="0"/>
        <v>0.6</v>
      </c>
      <c r="H10">
        <f t="shared" si="0"/>
        <v>0.4</v>
      </c>
      <c r="I10">
        <f t="shared" si="0"/>
        <v>0.4</v>
      </c>
      <c r="J10">
        <f t="shared" si="0"/>
        <v>0.2</v>
      </c>
      <c r="K10">
        <f t="shared" si="0"/>
        <v>0.4</v>
      </c>
      <c r="L10">
        <f t="shared" si="0"/>
        <v>0.2</v>
      </c>
      <c r="M10">
        <f t="shared" si="0"/>
        <v>0.4</v>
      </c>
    </row>
    <row r="11" spans="1:19" x14ac:dyDescent="0.2">
      <c r="C11" t="s">
        <v>9</v>
      </c>
      <c r="D11" t="b">
        <f>D10&lt;$B$1</f>
        <v>1</v>
      </c>
      <c r="E11" t="b">
        <f t="shared" ref="E11:M11" si="1">E10&lt;$B$1</f>
        <v>0</v>
      </c>
      <c r="F11" t="b">
        <f t="shared" si="1"/>
        <v>1</v>
      </c>
      <c r="G11" t="b">
        <f t="shared" si="1"/>
        <v>0</v>
      </c>
      <c r="H11" t="b">
        <f t="shared" si="1"/>
        <v>0</v>
      </c>
      <c r="I11" t="b">
        <f t="shared" si="1"/>
        <v>0</v>
      </c>
      <c r="J11" t="b">
        <f t="shared" si="1"/>
        <v>1</v>
      </c>
      <c r="K11" t="b">
        <f t="shared" si="1"/>
        <v>0</v>
      </c>
      <c r="L11" t="b">
        <f t="shared" si="1"/>
        <v>1</v>
      </c>
      <c r="M11" t="b">
        <f t="shared" si="1"/>
        <v>0</v>
      </c>
    </row>
    <row r="20" spans="15:18" x14ac:dyDescent="0.2">
      <c r="Q20" s="1"/>
    </row>
    <row r="21" spans="15:18" x14ac:dyDescent="0.2">
      <c r="Q21" s="1"/>
    </row>
    <row r="22" spans="15:18" x14ac:dyDescent="0.2">
      <c r="O22" s="1"/>
      <c r="Q22" s="1"/>
    </row>
    <row r="28" spans="15:18" x14ac:dyDescent="0.2">
      <c r="R28" s="1"/>
    </row>
  </sheetData>
  <conditionalFormatting sqref="D5:M5">
    <cfRule type="expression" dxfId="43" priority="3" stopIfTrue="1">
      <formula>AND(#REF!&lt;$B$2, D$10&lt;$B$1)</formula>
    </cfRule>
  </conditionalFormatting>
  <conditionalFormatting sqref="D6:M9">
    <cfRule type="expression" dxfId="42" priority="1" stopIfTrue="1">
      <formula>AND($N6&lt;$B$2, D$10&lt;$B$1)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07A5-E7E9-0B4B-8A54-99AE42EEE807}">
  <dimension ref="A1:CJ141"/>
  <sheetViews>
    <sheetView topLeftCell="BH1" zoomScaleNormal="100" workbookViewId="0">
      <selection activeCell="J7" sqref="J7"/>
    </sheetView>
  </sheetViews>
  <sheetFormatPr baseColWidth="10" defaultRowHeight="16" x14ac:dyDescent="0.2"/>
  <cols>
    <col min="1" max="1" width="22.83203125" customWidth="1"/>
  </cols>
  <sheetData>
    <row r="1" spans="1:88" x14ac:dyDescent="0.2">
      <c r="A1" s="5" t="s">
        <v>21</v>
      </c>
      <c r="B1" s="5">
        <v>0.4</v>
      </c>
      <c r="E1" s="2" t="s">
        <v>28</v>
      </c>
      <c r="F1" s="2" t="s">
        <v>29</v>
      </c>
    </row>
    <row r="2" spans="1:88" x14ac:dyDescent="0.2">
      <c r="A2" s="5" t="s">
        <v>22</v>
      </c>
      <c r="B2" s="5">
        <v>0.2</v>
      </c>
    </row>
    <row r="3" spans="1:88" x14ac:dyDescent="0.2">
      <c r="A3" s="5" t="s">
        <v>24</v>
      </c>
      <c r="B3" s="5">
        <v>0.499</v>
      </c>
    </row>
    <row r="4" spans="1:88" x14ac:dyDescent="0.2">
      <c r="A4" s="5" t="s">
        <v>23</v>
      </c>
      <c r="B4" s="5">
        <v>1</v>
      </c>
    </row>
    <row r="5" spans="1:88" x14ac:dyDescent="0.2">
      <c r="A5" s="5" t="s">
        <v>25</v>
      </c>
      <c r="B5" s="5">
        <v>0.2</v>
      </c>
    </row>
    <row r="7" spans="1:88" x14ac:dyDescent="0.2">
      <c r="AL7" s="4"/>
    </row>
    <row r="8" spans="1:88" x14ac:dyDescent="0.2">
      <c r="A8" s="5" t="s">
        <v>31</v>
      </c>
      <c r="B8" s="5">
        <v>23</v>
      </c>
      <c r="AK8" s="4"/>
      <c r="AL8" s="7"/>
    </row>
    <row r="9" spans="1:88" x14ac:dyDescent="0.2">
      <c r="A9" s="5" t="s">
        <v>30</v>
      </c>
      <c r="B9" s="5">
        <v>22</v>
      </c>
      <c r="N9" s="11" t="s">
        <v>38</v>
      </c>
      <c r="O9" t="b">
        <f t="shared" ref="O9:AJ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T9" t="b">
        <f t="shared" ca="1" si="0"/>
        <v>1</v>
      </c>
      <c r="U9" t="b">
        <f t="shared" ca="1" si="0"/>
        <v>1</v>
      </c>
      <c r="V9" t="b">
        <f t="shared" ca="1" si="0"/>
        <v>1</v>
      </c>
      <c r="W9" t="b">
        <f t="shared" ca="1" si="0"/>
        <v>1</v>
      </c>
      <c r="X9" t="b">
        <f t="shared" ca="1" si="0"/>
        <v>1</v>
      </c>
      <c r="Y9" t="b">
        <f t="shared" ca="1" si="0"/>
        <v>0</v>
      </c>
      <c r="Z9" t="b">
        <f t="shared" ca="1" si="0"/>
        <v>1</v>
      </c>
      <c r="AA9" t="b">
        <f t="shared" ca="1" si="0"/>
        <v>1</v>
      </c>
      <c r="AB9" t="b">
        <f t="shared" ca="1" si="0"/>
        <v>1</v>
      </c>
      <c r="AC9" t="b">
        <f t="shared" ca="1" si="0"/>
        <v>1</v>
      </c>
      <c r="AD9" t="b">
        <f t="shared" ca="1" si="0"/>
        <v>1</v>
      </c>
      <c r="AE9" t="b">
        <f t="shared" ca="1" si="0"/>
        <v>0</v>
      </c>
      <c r="AF9" t="b">
        <f t="shared" ca="1" si="0"/>
        <v>0</v>
      </c>
      <c r="AG9" t="b">
        <f t="shared" ca="1" si="0"/>
        <v>1</v>
      </c>
      <c r="AH9" t="b">
        <f t="shared" ca="1" si="0"/>
        <v>1</v>
      </c>
      <c r="AI9" t="b">
        <f t="shared" ca="1" si="0"/>
        <v>1</v>
      </c>
      <c r="AJ9" t="b">
        <f t="shared" ca="1" si="0"/>
        <v>1</v>
      </c>
      <c r="AK9" s="4"/>
    </row>
    <row r="10" spans="1:88" x14ac:dyDescent="0.2">
      <c r="N10" s="8" t="s">
        <v>15</v>
      </c>
      <c r="O10" s="9" cm="1">
        <f t="array" aca="1" ref="O10" ca="1">1-SUMPRODUCT(OFFSET($AO$15,0,0,$B$14,1),1*(_xlfn._xlws.FILTER(OFFSET(O$15,0,0,$B$8,1),OFFSET($M$15,0,0,$B$8,1))&lt;&gt;"-"))/SUM(OFFSET($AO$15,0,0,$B$14,1))</f>
        <v>0</v>
      </c>
      <c r="P10" s="9" cm="1">
        <f t="array" aca="1" ref="P10" ca="1">1-SUMPRODUCT(OFFSET($AO$15,0,0,$B$14,1),1*(_xlfn._xlws.FILTER(OFFSET(P$15,0,0,$B$8,1),OFFSET($M$15,0,0,$B$8,1))&lt;&gt;"-"))/SUM(OFFSET($AO$15,0,0,$B$14,1))</f>
        <v>0</v>
      </c>
      <c r="Q10" s="9" cm="1">
        <f t="array" aca="1" ref="Q10" ca="1">1-SUMPRODUCT(OFFSET($AO$15,0,0,$B$14,1),1*(_xlfn._xlws.FILTER(OFFSET(Q$15,0,0,$B$8,1),OFFSET($M$15,0,0,$B$8,1))&lt;&gt;"-"))/SUM(OFFSET($AO$15,0,0,$B$14,1))</f>
        <v>0</v>
      </c>
      <c r="R10" s="9" cm="1">
        <f t="array" aca="1" ref="R10" ca="1">1-SUMPRODUCT(OFFSET($AO$15,0,0,$B$14,1),1*(_xlfn._xlws.FILTER(OFFSET(R$15,0,0,$B$8,1),OFFSET($M$15,0,0,$B$8,1))&lt;&gt;"-"))/SUM(OFFSET($AO$15,0,0,$B$14,1))</f>
        <v>0</v>
      </c>
      <c r="S10" s="9" cm="1">
        <f t="array" aca="1" ref="S10" ca="1">1-SUMPRODUCT(OFFSET($AO$15,0,0,$B$14,1),1*(_xlfn._xlws.FILTER(OFFSET(S$15,0,0,$B$8,1),OFFSET($M$15,0,0,$B$8,1))&lt;&gt;"-"))/SUM(OFFSET($AO$15,0,0,$B$14,1))</f>
        <v>0</v>
      </c>
      <c r="T10" s="9" cm="1">
        <f t="array" aca="1" ref="T10" ca="1">1-SUMPRODUCT(OFFSET($AO$15,0,0,$B$14,1),1*(_xlfn._xlws.FILTER(OFFSET(T$15,0,0,$B$8,1),OFFSET($M$15,0,0,$B$8,1))&lt;&gt;"-"))/SUM(OFFSET($AO$15,0,0,$B$14,1))</f>
        <v>0</v>
      </c>
      <c r="U10" s="9" cm="1">
        <f t="array" aca="1" ref="U10" ca="1">1-SUMPRODUCT(OFFSET($AO$15,0,0,$B$14,1),1*(_xlfn._xlws.FILTER(OFFSET(U$15,0,0,$B$8,1),OFFSET($M$15,0,0,$B$8,1))&lt;&gt;"-"))/SUM(OFFSET($AO$15,0,0,$B$14,1))</f>
        <v>0</v>
      </c>
      <c r="V10" s="9" cm="1">
        <f t="array" aca="1" ref="V10" ca="1">1-SUMPRODUCT(OFFSET($AO$15,0,0,$B$14,1),1*(_xlfn._xlws.FILTER(OFFSET(V$15,0,0,$B$8,1),OFFSET($M$15,0,0,$B$8,1))&lt;&gt;"-"))/SUM(OFFSET($AO$15,0,0,$B$14,1))</f>
        <v>0</v>
      </c>
      <c r="W10" s="9" cm="1">
        <f t="array" aca="1" ref="W10" ca="1">1-SUMPRODUCT(OFFSET($AO$15,0,0,$B$14,1),1*(_xlfn._xlws.FILTER(OFFSET(W$15,0,0,$B$8,1),OFFSET($M$15,0,0,$B$8,1))&lt;&gt;"-"))/SUM(OFFSET($AO$15,0,0,$B$14,1))</f>
        <v>0</v>
      </c>
      <c r="X10" s="9" cm="1">
        <f t="array" aca="1" ref="X10" ca="1">1-SUMPRODUCT(OFFSET($AO$15,0,0,$B$14,1),1*(_xlfn._xlws.FILTER(OFFSET(X$15,0,0,$B$8,1),OFFSET($M$15,0,0,$B$8,1))&lt;&gt;"-"))/SUM(OFFSET($AO$15,0,0,$B$14,1))</f>
        <v>0</v>
      </c>
      <c r="Y10" s="9" cm="1">
        <f t="array" aca="1" ref="Y10" ca="1">1-SUMPRODUCT(OFFSET($AO$15,0,0,$B$14,1),1*(_xlfn._xlws.FILTER(OFFSET(Y$15,0,0,$B$8,1),OFFSET($M$15,0,0,$B$8,1))&lt;&gt;"-"))/SUM(OFFSET($AO$15,0,0,$B$14,1))</f>
        <v>0.60000000000000009</v>
      </c>
      <c r="Z10" s="9" cm="1">
        <f t="array" aca="1" ref="Z10" ca="1">1-SUMPRODUCT(OFFSET($AO$15,0,0,$B$14,1),1*(_xlfn._xlws.FILTER(OFFSET(Z$15,0,0,$B$8,1),OFFSET($M$15,0,0,$B$8,1))&lt;&gt;"-"))/SUM(OFFSET($AO$15,0,0,$B$14,1))</f>
        <v>0</v>
      </c>
      <c r="AA10" s="9" cm="1">
        <f t="array" aca="1" ref="AA10" ca="1">1-SUMPRODUCT(OFFSET($AO$15,0,0,$B$14,1),1*(_xlfn._xlws.FILTER(OFFSET(AA$15,0,0,$B$8,1),OFFSET($M$15,0,0,$B$8,1))&lt;&gt;"-"))/SUM(OFFSET($AO$15,0,0,$B$14,1))</f>
        <v>0</v>
      </c>
      <c r="AB10" s="9" cm="1">
        <f t="array" aca="1" ref="AB10" ca="1">1-SUMPRODUCT(OFFSET($AO$15,0,0,$B$14,1),1*(_xlfn._xlws.FILTER(OFFSET(AB$15,0,0,$B$8,1),OFFSET($M$15,0,0,$B$8,1))&lt;&gt;"-"))/SUM(OFFSET($AO$15,0,0,$B$14,1))</f>
        <v>0</v>
      </c>
      <c r="AC10" s="9" cm="1">
        <f t="array" aca="1" ref="AC10" ca="1">1-SUMPRODUCT(OFFSET($AO$15,0,0,$B$14,1),1*(_xlfn._xlws.FILTER(OFFSET(AC$15,0,0,$B$8,1),OFFSET($M$15,0,0,$B$8,1))&lt;&gt;"-"))/SUM(OFFSET($AO$15,0,0,$B$14,1))</f>
        <v>0</v>
      </c>
      <c r="AD10" s="9" cm="1">
        <f t="array" aca="1" ref="AD10" ca="1">1-SUMPRODUCT(OFFSET($AO$15,0,0,$B$14,1),1*(_xlfn._xlws.FILTER(OFFSET(AD$15,0,0,$B$8,1),OFFSET($M$15,0,0,$B$8,1))&lt;&gt;"-"))/SUM(OFFSET($AO$15,0,0,$B$14,1))</f>
        <v>0</v>
      </c>
      <c r="AE10" s="9" cm="1">
        <f t="array" aca="1" ref="AE10" ca="1">1-SUMPRODUCT(OFFSET($AO$15,0,0,$B$14,1),1*(_xlfn._xlws.FILTER(OFFSET(AE$15,0,0,$B$8,1),OFFSET($M$15,0,0,$B$8,1))&lt;&gt;"-"))/SUM(OFFSET($AO$15,0,0,$B$14,1))</f>
        <v>1</v>
      </c>
      <c r="AF10" s="9" cm="1">
        <f t="array" aca="1" ref="AF10" ca="1">1-SUMPRODUCT(OFFSET($AO$15,0,0,$B$14,1),1*(_xlfn._xlws.FILTER(OFFSET(AF$15,0,0,$B$8,1),OFFSET($M$15,0,0,$B$8,1))&lt;&gt;"-"))/SUM(OFFSET($AO$15,0,0,$B$14,1))</f>
        <v>1</v>
      </c>
      <c r="AG10" s="9" cm="1">
        <f t="array" aca="1" ref="AG10" ca="1">1-SUMPRODUCT(OFFSET($AO$15,0,0,$B$14,1),1*(_xlfn._xlws.FILTER(OFFSET(AG$15,0,0,$B$8,1),OFFSET($M$15,0,0,$B$8,1))&lt;&gt;"-"))/SUM(OFFSET($AO$15,0,0,$B$14,1))</f>
        <v>0</v>
      </c>
      <c r="AH10" s="9" cm="1">
        <f t="array" aca="1" ref="AH10" ca="1">1-SUMPRODUCT(OFFSET($AO$15,0,0,$B$14,1),1*(_xlfn._xlws.FILTER(OFFSET(AH$15,0,0,$B$8,1),OFFSET($M$15,0,0,$B$8,1))&lt;&gt;"-"))/SUM(OFFSET($AO$15,0,0,$B$14,1))</f>
        <v>0</v>
      </c>
      <c r="AI10" s="9" cm="1">
        <f t="array" aca="1" ref="AI10" ca="1">1-SUMPRODUCT(OFFSET($AO$15,0,0,$B$14,1),1*(_xlfn._xlws.FILTER(OFFSET(AI$15,0,0,$B$8,1),OFFSET($M$15,0,0,$B$8,1))&lt;&gt;"-"))/SUM(OFFSET($AO$15,0,0,$B$14,1))</f>
        <v>0</v>
      </c>
      <c r="AJ10" s="9" cm="1">
        <f t="array" aca="1" ref="AJ10" ca="1">1-SUMPRODUCT(OFFSET($AO$15,0,0,$B$14,1),1*(_xlfn._xlws.FILTER(OFFSET(AJ$15,0,0,$B$8,1),OFFSET($M$15,0,0,$B$8,1))&lt;&gt;"-"))/SUM(OFFSET($AO$15,0,0,$B$14,1))</f>
        <v>0</v>
      </c>
      <c r="AK10" s="7"/>
    </row>
    <row r="11" spans="1:88" x14ac:dyDescent="0.2">
      <c r="A11" s="5" t="s">
        <v>32</v>
      </c>
      <c r="B11" s="5">
        <v>1</v>
      </c>
      <c r="N11" s="8" t="s">
        <v>16</v>
      </c>
      <c r="O11" s="9" t="str" cm="1">
        <f t="array" aca="1" ref="O11:AJ11" ca="1">OFFSET($O$15,$B$11,0,1,$B$9)</f>
        <v>G</v>
      </c>
      <c r="P11" s="9" t="str">
        <f ca="1"/>
        <v>G</v>
      </c>
      <c r="Q11" s="9" t="str">
        <f ca="1"/>
        <v>G</v>
      </c>
      <c r="R11" s="9" t="str">
        <f ca="1"/>
        <v>G</v>
      </c>
      <c r="S11" s="9" t="str">
        <f ca="1"/>
        <v>G</v>
      </c>
      <c r="T11" s="9" t="str">
        <f ca="1"/>
        <v>G</v>
      </c>
      <c r="U11" s="9" t="str">
        <f ca="1"/>
        <v>G</v>
      </c>
      <c r="V11" s="9" t="str">
        <f ca="1"/>
        <v>G</v>
      </c>
      <c r="W11" s="9" t="str">
        <f ca="1"/>
        <v>G</v>
      </c>
      <c r="X11" s="9" t="str">
        <f ca="1"/>
        <v>G</v>
      </c>
      <c r="Y11" s="9" t="str">
        <f ca="1"/>
        <v>A</v>
      </c>
      <c r="Z11" s="9" t="str">
        <f ca="1"/>
        <v>A</v>
      </c>
      <c r="AA11" s="9" t="str">
        <f ca="1"/>
        <v>B</v>
      </c>
      <c r="AB11" s="9" t="str">
        <f ca="1"/>
        <v>B</v>
      </c>
      <c r="AC11" s="9" t="str">
        <f ca="1"/>
        <v>C</v>
      </c>
      <c r="AD11" s="9" t="str">
        <f ca="1"/>
        <v>C</v>
      </c>
      <c r="AE11" s="9" t="str">
        <f ca="1"/>
        <v>-</v>
      </c>
      <c r="AF11" s="9" t="str">
        <f ca="1"/>
        <v>-</v>
      </c>
      <c r="AG11" s="9" t="str">
        <f ca="1"/>
        <v>D</v>
      </c>
      <c r="AH11" s="9" t="str">
        <f ca="1"/>
        <v>D</v>
      </c>
      <c r="AI11" s="9" t="str">
        <f ca="1"/>
        <v>E</v>
      </c>
      <c r="AJ11" s="9" t="str">
        <f ca="1"/>
        <v>E</v>
      </c>
      <c r="AK11" s="7"/>
    </row>
    <row r="12" spans="1:88" x14ac:dyDescent="0.2">
      <c r="N12" s="8" t="s">
        <v>20</v>
      </c>
      <c r="O12" s="12">
        <f t="shared" ref="O12:AJ12" ca="1" si="1">COUNTIF(OFFSET(O15,0,0,$B$8,1), "-") / COUNTA(OFFSET(O15,0,0,$B$8,1))</f>
        <v>8.6956521739130432E-2</v>
      </c>
      <c r="P12" s="9">
        <f t="shared" ca="1" si="1"/>
        <v>8.6956521739130432E-2</v>
      </c>
      <c r="Q12" s="9">
        <f t="shared" ca="1" si="1"/>
        <v>8.6956521739130432E-2</v>
      </c>
      <c r="R12" s="9">
        <f t="shared" ca="1" si="1"/>
        <v>8.6956521739130432E-2</v>
      </c>
      <c r="S12" s="9">
        <f t="shared" ca="1" si="1"/>
        <v>8.6956521739130432E-2</v>
      </c>
      <c r="T12" s="9">
        <f t="shared" ca="1" si="1"/>
        <v>8.6956521739130432E-2</v>
      </c>
      <c r="U12" s="9">
        <f t="shared" ca="1" si="1"/>
        <v>8.6956521739130432E-2</v>
      </c>
      <c r="V12" s="9">
        <f t="shared" ca="1" si="1"/>
        <v>8.6956521739130432E-2</v>
      </c>
      <c r="W12" s="9">
        <f t="shared" ca="1" si="1"/>
        <v>8.6956521739130432E-2</v>
      </c>
      <c r="X12" s="9">
        <f t="shared" ca="1" si="1"/>
        <v>8.6956521739130432E-2</v>
      </c>
      <c r="Y12" s="9">
        <f t="shared" ca="1" si="1"/>
        <v>0.2608695652173913</v>
      </c>
      <c r="Z12" s="9">
        <f t="shared" ca="1" si="1"/>
        <v>0</v>
      </c>
      <c r="AA12" s="9">
        <f t="shared" ca="1" si="1"/>
        <v>8.6956521739130432E-2</v>
      </c>
      <c r="AB12" s="9">
        <f t="shared" ca="1" si="1"/>
        <v>8.6956521739130432E-2</v>
      </c>
      <c r="AC12" s="9">
        <f t="shared" ca="1" si="1"/>
        <v>0</v>
      </c>
      <c r="AD12" s="9">
        <f t="shared" ca="1" si="1"/>
        <v>0</v>
      </c>
      <c r="AE12" s="9">
        <f t="shared" ca="1" si="1"/>
        <v>1</v>
      </c>
      <c r="AF12" s="9">
        <f t="shared" ca="1" si="1"/>
        <v>1</v>
      </c>
      <c r="AG12" s="9">
        <f t="shared" ca="1" si="1"/>
        <v>8.6956521739130432E-2</v>
      </c>
      <c r="AH12" s="9">
        <f t="shared" ca="1" si="1"/>
        <v>8.6956521739130432E-2</v>
      </c>
      <c r="AI12" s="9">
        <f t="shared" ca="1" si="1"/>
        <v>8.6956521739130432E-2</v>
      </c>
      <c r="AJ12" s="9">
        <f t="shared" ca="1" si="1"/>
        <v>8.6956521739130432E-2</v>
      </c>
      <c r="AK12" s="7"/>
    </row>
    <row r="13" spans="1:88" x14ac:dyDescent="0.2">
      <c r="A13" t="s">
        <v>33</v>
      </c>
      <c r="B13">
        <f ca="1">COUNTIF(OFFSET($O$13,0,0,1,$B$9),TRUE)</f>
        <v>20</v>
      </c>
      <c r="N13" s="8" t="s">
        <v>41</v>
      </c>
      <c r="O13" t="b">
        <f t="shared" ref="O13:AJ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T13" t="b">
        <f t="shared" ca="1" si="2"/>
        <v>1</v>
      </c>
      <c r="U13" t="b">
        <f t="shared" ca="1" si="2"/>
        <v>1</v>
      </c>
      <c r="V13" t="b">
        <f t="shared" ca="1" si="2"/>
        <v>1</v>
      </c>
      <c r="W13" t="b">
        <f t="shared" ca="1" si="2"/>
        <v>1</v>
      </c>
      <c r="X13" t="b">
        <f t="shared" ca="1" si="2"/>
        <v>1</v>
      </c>
      <c r="Y13" t="b">
        <f t="shared" ca="1" si="2"/>
        <v>1</v>
      </c>
      <c r="Z13" t="b">
        <f t="shared" ca="1" si="2"/>
        <v>1</v>
      </c>
      <c r="AA13" t="b">
        <f t="shared" ca="1" si="2"/>
        <v>1</v>
      </c>
      <c r="AB13" t="b">
        <f t="shared" ca="1" si="2"/>
        <v>1</v>
      </c>
      <c r="AC13" t="b">
        <f t="shared" ca="1" si="2"/>
        <v>1</v>
      </c>
      <c r="AD13" t="b">
        <f t="shared" ca="1" si="2"/>
        <v>1</v>
      </c>
      <c r="AE13" t="b">
        <f t="shared" ca="1" si="2"/>
        <v>0</v>
      </c>
      <c r="AF13" t="b">
        <f t="shared" ca="1" si="2"/>
        <v>0</v>
      </c>
      <c r="AG13" t="b">
        <f t="shared" ca="1" si="2"/>
        <v>1</v>
      </c>
      <c r="AH13" t="b">
        <f t="shared" ca="1" si="2"/>
        <v>1</v>
      </c>
      <c r="AI13" t="b">
        <f t="shared" ca="1" si="2"/>
        <v>1</v>
      </c>
      <c r="AJ13" t="b">
        <f t="shared" ca="1" si="2"/>
        <v>1</v>
      </c>
      <c r="AK13" s="7"/>
      <c r="AO13" s="13" t="s">
        <v>37</v>
      </c>
      <c r="BO13" s="13" t="s">
        <v>40</v>
      </c>
    </row>
    <row r="14" spans="1:88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AJ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>
        <v>5</v>
      </c>
      <c r="U14" s="13">
        <v>6</v>
      </c>
      <c r="V14" s="13">
        <v>7</v>
      </c>
      <c r="W14" s="13">
        <v>8</v>
      </c>
      <c r="X14" s="13">
        <v>9</v>
      </c>
      <c r="Y14" s="13">
        <v>10</v>
      </c>
      <c r="Z14" s="13">
        <v>11</v>
      </c>
      <c r="AA14" s="13">
        <v>12</v>
      </c>
      <c r="AB14" s="13">
        <v>13</v>
      </c>
      <c r="AC14" s="13">
        <v>14</v>
      </c>
      <c r="AD14" s="13">
        <v>15</v>
      </c>
      <c r="AE14" s="13">
        <v>16</v>
      </c>
      <c r="AF14" s="13">
        <v>17</v>
      </c>
      <c r="AG14" s="13">
        <v>18</v>
      </c>
      <c r="AH14" s="13">
        <v>19</v>
      </c>
      <c r="AI14" s="13">
        <v>20</v>
      </c>
      <c r="AJ14" s="13">
        <v>21</v>
      </c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</row>
    <row r="15" spans="1:88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0.25</v>
      </c>
      <c r="H15" s="10" cm="1">
        <f t="array" aca="1" ref="H15:H33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0.9</v>
      </c>
      <c r="K15" t="b">
        <f t="shared" ref="K15:K24" ca="1" si="3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4">AND(L15&lt;$B$2,K15)</f>
        <v>1</v>
      </c>
      <c r="N15" s="2" cm="1">
        <f t="array" ref="N15:N37">_xlfn.SEQUENCE($B$8, 1, 0, 1)</f>
        <v>0</v>
      </c>
      <c r="O15" s="12" t="s">
        <v>11</v>
      </c>
      <c r="P15" s="9" t="s">
        <v>11</v>
      </c>
      <c r="Q15" s="9" t="s">
        <v>11</v>
      </c>
      <c r="R15" s="9" t="s">
        <v>11</v>
      </c>
      <c r="S15" s="9" t="s">
        <v>11</v>
      </c>
      <c r="T15" s="9" t="s">
        <v>11</v>
      </c>
      <c r="U15" s="9" t="s">
        <v>11</v>
      </c>
      <c r="V15" s="9" t="s">
        <v>11</v>
      </c>
      <c r="W15" s="9" t="s">
        <v>11</v>
      </c>
      <c r="X15" s="9" t="s">
        <v>11</v>
      </c>
      <c r="Y15" s="9" t="s">
        <v>0</v>
      </c>
      <c r="Z15" s="9" t="s">
        <v>0</v>
      </c>
      <c r="AA15" s="9" t="s">
        <v>1</v>
      </c>
      <c r="AB15" s="9" t="s">
        <v>1</v>
      </c>
      <c r="AC15" s="9" t="s">
        <v>2</v>
      </c>
      <c r="AD15" s="9" t="s">
        <v>2</v>
      </c>
      <c r="AE15" s="9" t="s">
        <v>5</v>
      </c>
      <c r="AF15" s="9" t="s">
        <v>5</v>
      </c>
      <c r="AG15" s="9" t="s">
        <v>3</v>
      </c>
      <c r="AH15" s="9" t="s">
        <v>3</v>
      </c>
      <c r="AI15" s="9" t="s">
        <v>6</v>
      </c>
      <c r="AJ15" s="9" t="s">
        <v>11</v>
      </c>
      <c r="AK15" s="7"/>
      <c r="AN15">
        <f t="shared" ref="AN15:AN34" ca="1" si="5">COUNTIF(AQ15:BJ15,"&gt;="&amp;$B$4)</f>
        <v>4</v>
      </c>
      <c r="AO15" s="14">
        <f t="shared" ref="AO15:AO34" ca="1" si="6">1/AN15</f>
        <v>0.25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0.9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1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1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1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0.9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0.85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0.85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0.9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0.9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0.85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0.9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0.9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0.9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0.85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0.8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0.8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0.85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0.8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0.85</v>
      </c>
      <c r="BN15">
        <f t="shared" ref="BN15:BN34" ca="1" si="7">COUNTIF(BQ15:CJ15,"&gt;="&amp;$B$4)</f>
        <v>4</v>
      </c>
      <c r="BO15" s="14">
        <f t="shared" ref="BO15:BO34" ca="1" si="8">1/BN15</f>
        <v>0.25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0.89473684210526316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1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1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1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0.89473684210526316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0.84210526315789469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0.84210526315789469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0.89473684210526316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0.89473684210526316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0.84210526315789469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0.89473684210526316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0.89473684210526316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0.89473684210526316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0.89473684210526316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0.84210526315789469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0.84210526315789469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0.89473684210526316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0.84210526315789469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0.89473684210526316</v>
      </c>
    </row>
    <row r="16" spans="1:88" x14ac:dyDescent="0.2">
      <c r="A16" t="s">
        <v>39</v>
      </c>
      <c r="B16">
        <f ca="1">COUNTIF(OFFSET($O$9,0,0,1,$B$9),TRUE)</f>
        <v>19</v>
      </c>
      <c r="D16" s="10">
        <f ca="1"/>
        <v>1</v>
      </c>
      <c r="F16" s="10">
        <f ca="1"/>
        <v>0.1</v>
      </c>
      <c r="H16" s="10">
        <f ca="1"/>
        <v>1</v>
      </c>
      <c r="J16" cm="1">
        <f t="array" aca="1" ref="J16" ca="1">SUMPRODUCT((O16:AJ16=$O$11:$AJ$11)*(O$13:AJ$13=TRUE))  / COUNTIF(O$13:AJ$13,TRUE)</f>
        <v>1</v>
      </c>
      <c r="K16" t="b">
        <f t="shared" ca="1" si="3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4"/>
        <v>1</v>
      </c>
      <c r="N16" s="2">
        <v>1</v>
      </c>
      <c r="O16" s="12" t="s">
        <v>11</v>
      </c>
      <c r="P16" s="9" t="s">
        <v>11</v>
      </c>
      <c r="Q16" s="9" t="s">
        <v>11</v>
      </c>
      <c r="R16" s="9" t="s">
        <v>11</v>
      </c>
      <c r="S16" s="9" t="s">
        <v>11</v>
      </c>
      <c r="T16" s="9" t="s">
        <v>11</v>
      </c>
      <c r="U16" s="9" t="s">
        <v>11</v>
      </c>
      <c r="V16" s="9" t="s">
        <v>11</v>
      </c>
      <c r="W16" s="9" t="s">
        <v>11</v>
      </c>
      <c r="X16" s="9" t="s">
        <v>11</v>
      </c>
      <c r="Y16" s="9" t="s">
        <v>0</v>
      </c>
      <c r="Z16" s="9" t="s">
        <v>0</v>
      </c>
      <c r="AA16" s="9" t="s">
        <v>1</v>
      </c>
      <c r="AB16" s="9" t="s">
        <v>1</v>
      </c>
      <c r="AC16" s="9" t="s">
        <v>2</v>
      </c>
      <c r="AD16" s="9" t="s">
        <v>2</v>
      </c>
      <c r="AE16" s="9" t="s">
        <v>5</v>
      </c>
      <c r="AF16" s="9" t="s">
        <v>5</v>
      </c>
      <c r="AG16" s="9" t="s">
        <v>3</v>
      </c>
      <c r="AH16" s="9" t="s">
        <v>3</v>
      </c>
      <c r="AI16" s="9" t="s">
        <v>4</v>
      </c>
      <c r="AJ16" s="9" t="s">
        <v>4</v>
      </c>
      <c r="AK16" s="7"/>
      <c r="AN16">
        <f t="shared" ca="1" si="5"/>
        <v>7</v>
      </c>
      <c r="AO16" s="14">
        <f t="shared" ca="1" si="6"/>
        <v>0.14285714285714285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0.9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0.9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0.9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0.9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1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0.85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0.85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1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1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0.85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1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1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1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0.95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0.8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0.8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0.95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0.8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0.95</v>
      </c>
      <c r="BN16">
        <f t="shared" ca="1" si="7"/>
        <v>10</v>
      </c>
      <c r="BO16" s="14">
        <f t="shared" ca="1" si="8"/>
        <v>0.1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0.89473684210526316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0.89473684210526316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0.89473684210526316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0.89473684210526316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1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0.84210526315789469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0.84210526315789469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1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1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0.84210526315789469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1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1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1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1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0.84210526315789469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0.84210526315789469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1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0.84210526315789469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1</v>
      </c>
    </row>
    <row r="17" spans="4:88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0.9</v>
      </c>
      <c r="K17" t="b">
        <f t="shared" ca="1" si="3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4"/>
        <v>1</v>
      </c>
      <c r="N17" s="2">
        <v>2</v>
      </c>
      <c r="O17" s="12" t="s">
        <v>11</v>
      </c>
      <c r="P17" s="9" t="s">
        <v>11</v>
      </c>
      <c r="Q17" s="9" t="s">
        <v>11</v>
      </c>
      <c r="R17" s="9" t="s">
        <v>11</v>
      </c>
      <c r="S17" s="9" t="s">
        <v>11</v>
      </c>
      <c r="T17" s="9" t="s">
        <v>11</v>
      </c>
      <c r="U17" s="9" t="s">
        <v>11</v>
      </c>
      <c r="V17" s="9" t="s">
        <v>11</v>
      </c>
      <c r="W17" s="9" t="s">
        <v>11</v>
      </c>
      <c r="X17" s="9" t="s">
        <v>11</v>
      </c>
      <c r="Y17" s="9" t="s">
        <v>0</v>
      </c>
      <c r="Z17" s="9" t="s">
        <v>0</v>
      </c>
      <c r="AA17" s="9" t="s">
        <v>1</v>
      </c>
      <c r="AB17" s="9" t="s">
        <v>1</v>
      </c>
      <c r="AC17" s="9" t="s">
        <v>2</v>
      </c>
      <c r="AD17" s="9" t="s">
        <v>2</v>
      </c>
      <c r="AE17" s="9" t="s">
        <v>5</v>
      </c>
      <c r="AF17" s="9" t="s">
        <v>5</v>
      </c>
      <c r="AG17" s="9" t="s">
        <v>3</v>
      </c>
      <c r="AH17" s="9" t="s">
        <v>3</v>
      </c>
      <c r="AI17" s="9" t="s">
        <v>6</v>
      </c>
      <c r="AJ17" s="9" t="s">
        <v>11</v>
      </c>
      <c r="AK17" s="7"/>
      <c r="AN17">
        <f t="shared" ca="1" si="5"/>
        <v>4</v>
      </c>
      <c r="AO17" s="14">
        <f t="shared" ca="1" si="6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1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0.9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1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1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0.9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0.85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0.85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0.9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0.9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0.85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0.9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0.9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0.9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0.85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0.8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0.8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0.85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0.8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0.85</v>
      </c>
      <c r="BN17">
        <f t="shared" ca="1" si="7"/>
        <v>4</v>
      </c>
      <c r="BO17" s="14">
        <f t="shared" ca="1" si="8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1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0.89473684210526316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1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1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0.89473684210526316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0.84210526315789469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0.84210526315789469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0.89473684210526316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0.89473684210526316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0.84210526315789469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0.89473684210526316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0.89473684210526316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0.89473684210526316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0.89473684210526316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0.84210526315789469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0.84210526315789469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0.89473684210526316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0.84210526315789469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0.89473684210526316</v>
      </c>
    </row>
    <row r="18" spans="4:88" x14ac:dyDescent="0.2"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0.9</v>
      </c>
      <c r="K18" t="b">
        <f t="shared" ca="1" si="3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4"/>
        <v>1</v>
      </c>
      <c r="N18" s="2">
        <v>3</v>
      </c>
      <c r="O18" s="12" t="s">
        <v>11</v>
      </c>
      <c r="P18" s="9" t="s">
        <v>11</v>
      </c>
      <c r="Q18" s="9" t="s">
        <v>11</v>
      </c>
      <c r="R18" s="9" t="s">
        <v>11</v>
      </c>
      <c r="S18" s="9" t="s">
        <v>11</v>
      </c>
      <c r="T18" s="9" t="s">
        <v>11</v>
      </c>
      <c r="U18" s="9" t="s">
        <v>11</v>
      </c>
      <c r="V18" s="9" t="s">
        <v>11</v>
      </c>
      <c r="W18" s="9" t="s">
        <v>11</v>
      </c>
      <c r="X18" s="9" t="s">
        <v>11</v>
      </c>
      <c r="Y18" s="9" t="s">
        <v>0</v>
      </c>
      <c r="Z18" s="9" t="s">
        <v>0</v>
      </c>
      <c r="AA18" s="9" t="s">
        <v>1</v>
      </c>
      <c r="AB18" s="9" t="s">
        <v>1</v>
      </c>
      <c r="AC18" s="9" t="s">
        <v>2</v>
      </c>
      <c r="AD18" s="12" t="s">
        <v>2</v>
      </c>
      <c r="AE18" s="9" t="s">
        <v>5</v>
      </c>
      <c r="AF18" s="9" t="s">
        <v>5</v>
      </c>
      <c r="AG18" s="9" t="s">
        <v>3</v>
      </c>
      <c r="AH18" s="9" t="s">
        <v>3</v>
      </c>
      <c r="AI18" s="9" t="s">
        <v>6</v>
      </c>
      <c r="AJ18" s="9" t="s">
        <v>11</v>
      </c>
      <c r="AK18" s="7"/>
      <c r="AN18">
        <f t="shared" ca="1" si="5"/>
        <v>4</v>
      </c>
      <c r="AO18" s="14">
        <f t="shared" ca="1" si="6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1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0.9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1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1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0.9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0.85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0.85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0.9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0.9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0.85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0.9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0.9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0.9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0.85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0.8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0.8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0.85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0.8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0.85</v>
      </c>
      <c r="BN18">
        <f t="shared" ca="1" si="7"/>
        <v>4</v>
      </c>
      <c r="BO18" s="14">
        <f t="shared" ca="1" si="8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1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0.89473684210526316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1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1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0.89473684210526316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0.84210526315789469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0.84210526315789469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0.89473684210526316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0.89473684210526316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0.84210526315789469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0.89473684210526316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0.89473684210526316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0.89473684210526316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0.89473684210526316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0.84210526315789469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0.84210526315789469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0.89473684210526316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0.84210526315789469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0.89473684210526316</v>
      </c>
    </row>
    <row r="19" spans="4:88" x14ac:dyDescent="0.2">
      <c r="D19" s="10">
        <f ca="1"/>
        <v>4</v>
      </c>
      <c r="F19" s="10">
        <f ca="1"/>
        <v>0.25</v>
      </c>
      <c r="H19" s="10">
        <f ca="1"/>
        <v>4</v>
      </c>
      <c r="J19" cm="1">
        <f t="array" aca="1" ref="J19" ca="1">SUMPRODUCT((O19:AJ19=$O$11:$AJ$11)*(O$13:AJ$13=TRUE))  / COUNTIF(O$13:AJ$13,TRUE)</f>
        <v>0.9</v>
      </c>
      <c r="K19" t="b">
        <f t="shared" ca="1" si="3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4"/>
        <v>1</v>
      </c>
      <c r="N19" s="2">
        <v>4</v>
      </c>
      <c r="O19" s="12" t="s">
        <v>11</v>
      </c>
      <c r="P19" s="9" t="s">
        <v>11</v>
      </c>
      <c r="Q19" s="9" t="s">
        <v>11</v>
      </c>
      <c r="R19" s="9" t="s">
        <v>11</v>
      </c>
      <c r="S19" s="9" t="s">
        <v>11</v>
      </c>
      <c r="T19" s="9" t="s">
        <v>11</v>
      </c>
      <c r="U19" s="9" t="s">
        <v>11</v>
      </c>
      <c r="V19" s="9" t="s">
        <v>11</v>
      </c>
      <c r="W19" s="9" t="s">
        <v>11</v>
      </c>
      <c r="X19" s="9" t="s">
        <v>11</v>
      </c>
      <c r="Y19" s="9" t="s">
        <v>0</v>
      </c>
      <c r="Z19" s="9" t="s">
        <v>0</v>
      </c>
      <c r="AA19" s="9" t="s">
        <v>1</v>
      </c>
      <c r="AB19" s="9" t="s">
        <v>1</v>
      </c>
      <c r="AC19" s="9" t="s">
        <v>2</v>
      </c>
      <c r="AD19" s="9" t="s">
        <v>2</v>
      </c>
      <c r="AE19" s="9" t="s">
        <v>5</v>
      </c>
      <c r="AF19" s="9" t="s">
        <v>5</v>
      </c>
      <c r="AG19" s="9" t="s">
        <v>3</v>
      </c>
      <c r="AH19" s="9" t="s">
        <v>3</v>
      </c>
      <c r="AI19" s="9" t="s">
        <v>6</v>
      </c>
      <c r="AJ19" s="9" t="s">
        <v>11</v>
      </c>
      <c r="AK19" s="7"/>
      <c r="AN19">
        <f t="shared" ca="1" si="5"/>
        <v>4</v>
      </c>
      <c r="AO19" s="14">
        <f t="shared" ca="1" si="6"/>
        <v>0.25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1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0.9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1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1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0.9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0.85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0.85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0.9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0.9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0.85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0.9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0.9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0.9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0.85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0.8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0.8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0.85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0.8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0.85</v>
      </c>
      <c r="BN19">
        <f t="shared" ca="1" si="7"/>
        <v>4</v>
      </c>
      <c r="BO19" s="14">
        <f t="shared" ca="1" si="8"/>
        <v>0.25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1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0.89473684210526316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1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1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0.89473684210526316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0.84210526315789469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0.84210526315789469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0.89473684210526316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0.89473684210526316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0.84210526315789469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0.89473684210526316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0.89473684210526316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0.89473684210526316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0.89473684210526316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0.84210526315789469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0.84210526315789469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0.89473684210526316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0.84210526315789469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0.89473684210526316</v>
      </c>
    </row>
    <row r="20" spans="4:88" x14ac:dyDescent="0.2">
      <c r="D20" s="10">
        <f ca="1"/>
        <v>5</v>
      </c>
      <c r="F20" s="10">
        <f ca="1"/>
        <v>0.1</v>
      </c>
      <c r="H20" s="10">
        <f ca="1"/>
        <v>5</v>
      </c>
      <c r="J20" cm="1">
        <f t="array" aca="1" ref="J20" ca="1">SUMPRODUCT((O20:AJ20=$O$11:$AJ$11)*(O$13:AJ$13=TRUE))  / COUNTIF(O$13:AJ$13,TRUE)</f>
        <v>1</v>
      </c>
      <c r="K20" t="b">
        <f t="shared" ca="1" si="3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4"/>
        <v>1</v>
      </c>
      <c r="N20" s="2">
        <v>5</v>
      </c>
      <c r="O20" s="12" t="s">
        <v>11</v>
      </c>
      <c r="P20" s="9" t="s">
        <v>11</v>
      </c>
      <c r="Q20" s="9" t="s">
        <v>11</v>
      </c>
      <c r="R20" s="9" t="s">
        <v>11</v>
      </c>
      <c r="S20" s="9" t="s">
        <v>11</v>
      </c>
      <c r="T20" s="9" t="s">
        <v>11</v>
      </c>
      <c r="U20" s="9" t="s">
        <v>11</v>
      </c>
      <c r="V20" s="9" t="s">
        <v>11</v>
      </c>
      <c r="W20" s="9" t="s">
        <v>11</v>
      </c>
      <c r="X20" s="9" t="s">
        <v>11</v>
      </c>
      <c r="Y20" s="9" t="s">
        <v>0</v>
      </c>
      <c r="Z20" s="9" t="s">
        <v>0</v>
      </c>
      <c r="AA20" s="9" t="s">
        <v>1</v>
      </c>
      <c r="AB20" s="9" t="s">
        <v>1</v>
      </c>
      <c r="AC20" s="9" t="s">
        <v>2</v>
      </c>
      <c r="AD20" s="9" t="s">
        <v>2</v>
      </c>
      <c r="AE20" s="9" t="s">
        <v>5</v>
      </c>
      <c r="AF20" s="9" t="s">
        <v>5</v>
      </c>
      <c r="AG20" s="9" t="s">
        <v>3</v>
      </c>
      <c r="AH20" s="9" t="s">
        <v>3</v>
      </c>
      <c r="AI20" s="9" t="s">
        <v>4</v>
      </c>
      <c r="AJ20" s="9" t="s">
        <v>4</v>
      </c>
      <c r="AK20" s="7"/>
      <c r="AN20">
        <f t="shared" ca="1" si="5"/>
        <v>7</v>
      </c>
      <c r="AO20" s="14">
        <f t="shared" ca="1" si="6"/>
        <v>0.14285714285714285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0.9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1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0.9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0.9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0.9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0.85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0.85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1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1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0.85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1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1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1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0.95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0.8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0.8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0.95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0.8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0.95</v>
      </c>
      <c r="BN20">
        <f t="shared" ca="1" si="7"/>
        <v>10</v>
      </c>
      <c r="BO20" s="14">
        <f t="shared" ca="1" si="8"/>
        <v>0.1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0.89473684210526316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1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0.89473684210526316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0.89473684210526316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0.89473684210526316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0.84210526315789469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0.84210526315789469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1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1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0.84210526315789469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1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1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1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1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0.84210526315789469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0.84210526315789469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1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0.84210526315789469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1</v>
      </c>
    </row>
    <row r="21" spans="4:88" x14ac:dyDescent="0.2">
      <c r="D21" s="10">
        <f ca="1"/>
        <v>6</v>
      </c>
      <c r="F21" s="10">
        <f ca="1"/>
        <v>0.2</v>
      </c>
      <c r="H21" s="10">
        <f ca="1"/>
        <v>6</v>
      </c>
      <c r="J21" cm="1">
        <f t="array" aca="1" ref="J21" ca="1">SUMPRODUCT((O21:AJ21=$O$11:$AJ$11)*(O$13:AJ$13=TRUE))  / COUNTIF(O$13:AJ$13,TRUE)</f>
        <v>0.85</v>
      </c>
      <c r="K21" t="b">
        <f t="shared" ca="1" si="3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4"/>
        <v>1</v>
      </c>
      <c r="N21" s="2">
        <v>6</v>
      </c>
      <c r="O21" s="12" t="s">
        <v>11</v>
      </c>
      <c r="P21" s="9" t="s">
        <v>11</v>
      </c>
      <c r="Q21" s="9" t="s">
        <v>11</v>
      </c>
      <c r="R21" s="9" t="s">
        <v>11</v>
      </c>
      <c r="S21" s="9" t="s">
        <v>11</v>
      </c>
      <c r="T21" s="9" t="s">
        <v>11</v>
      </c>
      <c r="U21" s="9" t="s">
        <v>11</v>
      </c>
      <c r="V21" s="9" t="s">
        <v>11</v>
      </c>
      <c r="W21" s="9" t="s">
        <v>11</v>
      </c>
      <c r="X21" s="9" t="s">
        <v>11</v>
      </c>
      <c r="Y21" s="9" t="s">
        <v>0</v>
      </c>
      <c r="Z21" s="9" t="s">
        <v>2</v>
      </c>
      <c r="AA21" s="9" t="s">
        <v>1</v>
      </c>
      <c r="AB21" s="9" t="s">
        <v>1</v>
      </c>
      <c r="AC21" s="9" t="s">
        <v>2</v>
      </c>
      <c r="AD21" s="9" t="s">
        <v>2</v>
      </c>
      <c r="AE21" s="9" t="s">
        <v>5</v>
      </c>
      <c r="AF21" s="9" t="s">
        <v>5</v>
      </c>
      <c r="AG21" s="9" t="s">
        <v>3</v>
      </c>
      <c r="AH21" s="9" t="s">
        <v>3</v>
      </c>
      <c r="AI21" s="9" t="s">
        <v>11</v>
      </c>
      <c r="AJ21" s="9" t="s">
        <v>6</v>
      </c>
      <c r="AK21" s="7"/>
      <c r="AN21">
        <f t="shared" ca="1" si="5"/>
        <v>2</v>
      </c>
      <c r="AO21" s="14">
        <f t="shared" ca="1" si="6"/>
        <v>0.5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0.85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0.85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0.85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0.85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0.85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0.85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1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0.85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0.85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0.95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0.85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0.85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0.85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0.8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0.95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0.95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0.8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0.95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0.8</v>
      </c>
      <c r="BN21">
        <f t="shared" ca="1" si="7"/>
        <v>5</v>
      </c>
      <c r="BO21" s="14">
        <f t="shared" ca="1" si="8"/>
        <v>0.2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0.84210526315789469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0.84210526315789469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0.84210526315789469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0.84210526315789469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0.84210526315789469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0.84210526315789469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1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0.84210526315789469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0.84210526315789469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0.94736842105263153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0.84210526315789469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0.84210526315789469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0.84210526315789469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0.84210526315789469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1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1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0.84210526315789469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1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0.84210526315789469</v>
      </c>
    </row>
    <row r="22" spans="4:88" x14ac:dyDescent="0.2">
      <c r="D22" s="10">
        <f ca="1"/>
        <v>7</v>
      </c>
      <c r="F22" s="10">
        <f ca="1"/>
        <v>0.2</v>
      </c>
      <c r="H22" s="10">
        <f ca="1"/>
        <v>7</v>
      </c>
      <c r="J22" cm="1">
        <f t="array" aca="1" ref="J22" ca="1">SUMPRODUCT((O22:AJ22=$O$11:$AJ$11)*(O$13:AJ$13=TRUE))  / COUNTIF(O$13:AJ$13,TRUE)</f>
        <v>0.85</v>
      </c>
      <c r="K22" t="b">
        <f t="shared" ca="1" si="3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4"/>
        <v>1</v>
      </c>
      <c r="N22" s="2">
        <v>7</v>
      </c>
      <c r="O22" s="12" t="s">
        <v>11</v>
      </c>
      <c r="P22" s="9" t="s">
        <v>11</v>
      </c>
      <c r="Q22" s="9" t="s">
        <v>11</v>
      </c>
      <c r="R22" s="9" t="s">
        <v>11</v>
      </c>
      <c r="S22" s="9" t="s">
        <v>11</v>
      </c>
      <c r="T22" s="9" t="s">
        <v>11</v>
      </c>
      <c r="U22" s="9" t="s">
        <v>11</v>
      </c>
      <c r="V22" s="9" t="s">
        <v>11</v>
      </c>
      <c r="W22" s="9" t="s">
        <v>11</v>
      </c>
      <c r="X22" s="9" t="s">
        <v>11</v>
      </c>
      <c r="Y22" s="9" t="s">
        <v>0</v>
      </c>
      <c r="Z22" s="9" t="s">
        <v>2</v>
      </c>
      <c r="AA22" s="9" t="s">
        <v>1</v>
      </c>
      <c r="AB22" s="9" t="s">
        <v>1</v>
      </c>
      <c r="AC22" s="9" t="s">
        <v>2</v>
      </c>
      <c r="AD22" s="9" t="s">
        <v>2</v>
      </c>
      <c r="AE22" s="9" t="s">
        <v>5</v>
      </c>
      <c r="AF22" s="9" t="s">
        <v>5</v>
      </c>
      <c r="AG22" s="9" t="s">
        <v>3</v>
      </c>
      <c r="AH22" s="9" t="s">
        <v>3</v>
      </c>
      <c r="AI22" s="9" t="s">
        <v>11</v>
      </c>
      <c r="AJ22" s="9" t="s">
        <v>6</v>
      </c>
      <c r="AK22" s="7"/>
      <c r="AN22">
        <f t="shared" ca="1" si="5"/>
        <v>2</v>
      </c>
      <c r="AO22" s="14">
        <f t="shared" ca="1" si="6"/>
        <v>0.5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0.85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0.85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0.85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0.85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0.85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0.85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1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0.85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0.85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0.95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0.85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0.85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0.85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0.8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0.95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0.95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0.8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0.95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0.8</v>
      </c>
      <c r="BN22">
        <f t="shared" ca="1" si="7"/>
        <v>5</v>
      </c>
      <c r="BO22" s="14">
        <f t="shared" ca="1" si="8"/>
        <v>0.2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0.84210526315789469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0.84210526315789469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0.84210526315789469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0.84210526315789469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0.84210526315789469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0.84210526315789469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1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0.84210526315789469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0.84210526315789469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0.94736842105263153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0.84210526315789469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0.84210526315789469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0.84210526315789469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0.84210526315789469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1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1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0.84210526315789469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1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0.84210526315789469</v>
      </c>
    </row>
    <row r="23" spans="4:88" x14ac:dyDescent="0.2">
      <c r="D23" s="10">
        <f ca="1"/>
        <v>8</v>
      </c>
      <c r="F23" s="10">
        <f ca="1"/>
        <v>0.1</v>
      </c>
      <c r="H23" s="10">
        <f ca="1"/>
        <v>8</v>
      </c>
      <c r="J23" cm="1">
        <f t="array" aca="1" ref="J23" ca="1">SUMPRODUCT((O23:AJ23=$O$11:$AJ$11)*(O$13:AJ$13=TRUE))  / COUNTIF(O$13:AJ$13,TRUE)</f>
        <v>1</v>
      </c>
      <c r="K23" t="b">
        <f t="shared" ca="1" si="3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4"/>
        <v>1</v>
      </c>
      <c r="N23" s="2">
        <v>8</v>
      </c>
      <c r="O23" s="12" t="s">
        <v>11</v>
      </c>
      <c r="P23" s="9" t="s">
        <v>11</v>
      </c>
      <c r="Q23" s="9" t="s">
        <v>11</v>
      </c>
      <c r="R23" s="9" t="s">
        <v>11</v>
      </c>
      <c r="S23" s="9" t="s">
        <v>11</v>
      </c>
      <c r="T23" s="9" t="s">
        <v>11</v>
      </c>
      <c r="U23" s="9" t="s">
        <v>11</v>
      </c>
      <c r="V23" s="9" t="s">
        <v>11</v>
      </c>
      <c r="W23" s="9" t="s">
        <v>11</v>
      </c>
      <c r="X23" s="9" t="s">
        <v>11</v>
      </c>
      <c r="Y23" s="9" t="s">
        <v>0</v>
      </c>
      <c r="Z23" s="9" t="s">
        <v>0</v>
      </c>
      <c r="AA23" s="9" t="s">
        <v>1</v>
      </c>
      <c r="AB23" s="9" t="s">
        <v>1</v>
      </c>
      <c r="AC23" s="9" t="s">
        <v>2</v>
      </c>
      <c r="AD23" s="9" t="s">
        <v>2</v>
      </c>
      <c r="AE23" s="9" t="s">
        <v>5</v>
      </c>
      <c r="AF23" s="9" t="s">
        <v>5</v>
      </c>
      <c r="AG23" s="9" t="s">
        <v>3</v>
      </c>
      <c r="AH23" s="9" t="s">
        <v>3</v>
      </c>
      <c r="AI23" s="9" t="s">
        <v>4</v>
      </c>
      <c r="AJ23" s="9" t="s">
        <v>4</v>
      </c>
      <c r="AK23" s="7"/>
      <c r="AN23">
        <f t="shared" ca="1" si="5"/>
        <v>7</v>
      </c>
      <c r="AO23" s="14">
        <f t="shared" ca="1" si="6"/>
        <v>0.14285714285714285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0.9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1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0.9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0.9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0.9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1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0.85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0.85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1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0.85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1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1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1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0.95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0.8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0.8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0.95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0.8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0.95</v>
      </c>
      <c r="BN23">
        <f t="shared" ca="1" si="7"/>
        <v>10</v>
      </c>
      <c r="BO23" s="14">
        <f t="shared" ca="1" si="8"/>
        <v>0.1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0.89473684210526316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1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0.89473684210526316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0.89473684210526316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0.89473684210526316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1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0.84210526315789469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0.84210526315789469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1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0.84210526315789469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1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1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1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1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0.84210526315789469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0.84210526315789469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1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0.84210526315789469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1</v>
      </c>
    </row>
    <row r="24" spans="4:88" x14ac:dyDescent="0.2">
      <c r="D24" s="10">
        <f ca="1"/>
        <v>9</v>
      </c>
      <c r="F24" s="10">
        <f ca="1"/>
        <v>0.1</v>
      </c>
      <c r="H24" s="10">
        <f ca="1"/>
        <v>9</v>
      </c>
      <c r="J24" cm="1">
        <f t="array" aca="1" ref="J24" ca="1">SUMPRODUCT((O24:AJ24=$O$11:$AJ$11)*(O$13:AJ$13=TRUE))  / COUNTIF(O$13:AJ$13,TRUE)</f>
        <v>1</v>
      </c>
      <c r="K24" t="b">
        <f t="shared" ca="1" si="3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4"/>
        <v>1</v>
      </c>
      <c r="N24" s="2">
        <v>9</v>
      </c>
      <c r="O24" s="12" t="s">
        <v>11</v>
      </c>
      <c r="P24" s="9" t="s">
        <v>11</v>
      </c>
      <c r="Q24" s="9" t="s">
        <v>11</v>
      </c>
      <c r="R24" s="9" t="s">
        <v>11</v>
      </c>
      <c r="S24" s="9" t="s">
        <v>11</v>
      </c>
      <c r="T24" s="9" t="s">
        <v>11</v>
      </c>
      <c r="U24" s="9" t="s">
        <v>11</v>
      </c>
      <c r="V24" s="9" t="s">
        <v>11</v>
      </c>
      <c r="W24" s="9" t="s">
        <v>11</v>
      </c>
      <c r="X24" s="9" t="s">
        <v>11</v>
      </c>
      <c r="Y24" s="9" t="s">
        <v>0</v>
      </c>
      <c r="Z24" s="9" t="s">
        <v>0</v>
      </c>
      <c r="AA24" s="9" t="s">
        <v>1</v>
      </c>
      <c r="AB24" s="9" t="s">
        <v>1</v>
      </c>
      <c r="AC24" s="9" t="s">
        <v>2</v>
      </c>
      <c r="AD24" s="9" t="s">
        <v>2</v>
      </c>
      <c r="AE24" s="9" t="s">
        <v>5</v>
      </c>
      <c r="AF24" s="9" t="s">
        <v>5</v>
      </c>
      <c r="AG24" s="9" t="s">
        <v>3</v>
      </c>
      <c r="AH24" s="9" t="s">
        <v>3</v>
      </c>
      <c r="AI24" s="9" t="s">
        <v>4</v>
      </c>
      <c r="AJ24" s="9" t="s">
        <v>4</v>
      </c>
      <c r="AK24" s="7"/>
      <c r="AN24">
        <f t="shared" ca="1" si="5"/>
        <v>7</v>
      </c>
      <c r="AO24" s="14">
        <f t="shared" ca="1" si="6"/>
        <v>0.14285714285714285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0.9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1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0.9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0.9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0.9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1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0.85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0.85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1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0.85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1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1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1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0.95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0.8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0.95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0.8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0.95</v>
      </c>
      <c r="BN24">
        <f t="shared" ca="1" si="7"/>
        <v>10</v>
      </c>
      <c r="BO24" s="14">
        <f t="shared" ca="1" si="8"/>
        <v>0.1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0.89473684210526316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1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0.89473684210526316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0.89473684210526316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0.89473684210526316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1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0.84210526315789469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0.84210526315789469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1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0.84210526315789469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1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1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1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1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0.84210526315789469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0.84210526315789469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1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0.84210526315789469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1</v>
      </c>
    </row>
    <row r="25" spans="4:88" x14ac:dyDescent="0.2">
      <c r="D25" s="10">
        <f ca="1"/>
        <v>10</v>
      </c>
      <c r="F25" s="10">
        <f ca="1"/>
        <v>1</v>
      </c>
      <c r="H25" s="10">
        <f ca="1"/>
        <v>11</v>
      </c>
      <c r="J25" cm="1">
        <f t="array" aca="1" ref="J25" ca="1">SUMPRODUCT((O25:AJ25=$O$11:$AJ$11)*(O$13:AJ$13=TRUE))  / COUNTIF(O$13:AJ$13,TRUE)</f>
        <v>0.85</v>
      </c>
      <c r="K25" t="b">
        <f t="shared" ref="K25:K37" ca="1" si="9">J25&gt;=$B$3</f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4"/>
        <v>1</v>
      </c>
      <c r="N25" s="2">
        <v>10</v>
      </c>
      <c r="O25" s="12" t="s">
        <v>11</v>
      </c>
      <c r="P25" s="9" t="s">
        <v>11</v>
      </c>
      <c r="Q25" s="9" t="s">
        <v>11</v>
      </c>
      <c r="R25" s="9" t="s">
        <v>11</v>
      </c>
      <c r="S25" s="9" t="s">
        <v>11</v>
      </c>
      <c r="T25" s="9" t="s">
        <v>11</v>
      </c>
      <c r="U25" s="9" t="s">
        <v>11</v>
      </c>
      <c r="V25" s="9" t="s">
        <v>11</v>
      </c>
      <c r="W25" s="9" t="s">
        <v>11</v>
      </c>
      <c r="X25" s="9" t="s">
        <v>11</v>
      </c>
      <c r="Y25" s="9" t="s">
        <v>0</v>
      </c>
      <c r="Z25" s="9" t="s">
        <v>3</v>
      </c>
      <c r="AA25" s="9" t="s">
        <v>1</v>
      </c>
      <c r="AB25" s="9" t="s">
        <v>1</v>
      </c>
      <c r="AC25" s="9" t="s">
        <v>2</v>
      </c>
      <c r="AD25" s="9" t="s">
        <v>2</v>
      </c>
      <c r="AE25" s="9" t="s">
        <v>5</v>
      </c>
      <c r="AF25" s="9" t="s">
        <v>5</v>
      </c>
      <c r="AG25" s="9" t="s">
        <v>3</v>
      </c>
      <c r="AH25" s="9" t="s">
        <v>3</v>
      </c>
      <c r="AI25" s="9" t="s">
        <v>11</v>
      </c>
      <c r="AJ25" s="9" t="s">
        <v>6</v>
      </c>
      <c r="AK25" s="7"/>
      <c r="AN25">
        <f t="shared" ca="1" si="5"/>
        <v>1</v>
      </c>
      <c r="AO25" s="14">
        <f t="shared" ca="1" si="6"/>
        <v>1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0.85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0.85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0.85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0.85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0.85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0.85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0.95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0.95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0.85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0.85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0.85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0.85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0.85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0.8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0.9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0.9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0.8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0.9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0.8</v>
      </c>
      <c r="BN25">
        <f t="shared" ca="1" si="7"/>
        <v>1</v>
      </c>
      <c r="BO25" s="14">
        <f t="shared" ca="1" si="8"/>
        <v>1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0.84210526315789469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0.84210526315789469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0.84210526315789469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0.84210526315789469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0.84210526315789469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0.84210526315789469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0.94736842105263153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0.94736842105263153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0.84210526315789469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0.84210526315789469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0.84210526315789469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0.84210526315789469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0.84210526315789469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0.84210526315789469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0.94736842105263153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0.94736842105263153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0.84210526315789469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0.94736842105263153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0.84210526315789469</v>
      </c>
    </row>
    <row r="26" spans="4:88" x14ac:dyDescent="0.2">
      <c r="D26" s="10">
        <f ca="1"/>
        <v>11</v>
      </c>
      <c r="F26" s="10">
        <f ca="1"/>
        <v>0.1</v>
      </c>
      <c r="H26" s="10">
        <f ca="1"/>
        <v>12</v>
      </c>
      <c r="J26" cm="1">
        <f t="array" aca="1" ref="J26" ca="1">SUMPRODUCT((O26:AJ26=$O$11:$AJ$11)*(O$13:AJ$13=TRUE))  / COUNTIF(O$13:AJ$13,TRUE)</f>
        <v>1</v>
      </c>
      <c r="K26" t="b">
        <f t="shared" ca="1" si="9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4"/>
        <v>1</v>
      </c>
      <c r="N26" s="2">
        <v>11</v>
      </c>
      <c r="O26" s="12" t="s">
        <v>11</v>
      </c>
      <c r="P26" s="9" t="s">
        <v>11</v>
      </c>
      <c r="Q26" s="9" t="s">
        <v>11</v>
      </c>
      <c r="R26" s="9" t="s">
        <v>11</v>
      </c>
      <c r="S26" s="9" t="s">
        <v>11</v>
      </c>
      <c r="T26" s="9" t="s">
        <v>11</v>
      </c>
      <c r="U26" s="9" t="s">
        <v>11</v>
      </c>
      <c r="V26" s="9" t="s">
        <v>11</v>
      </c>
      <c r="W26" s="9" t="s">
        <v>11</v>
      </c>
      <c r="X26" s="9" t="s">
        <v>11</v>
      </c>
      <c r="Y26" s="9" t="s">
        <v>0</v>
      </c>
      <c r="Z26" s="9" t="s">
        <v>0</v>
      </c>
      <c r="AA26" s="9" t="s">
        <v>1</v>
      </c>
      <c r="AB26" s="9" t="s">
        <v>1</v>
      </c>
      <c r="AC26" s="9" t="s">
        <v>2</v>
      </c>
      <c r="AD26" s="9" t="s">
        <v>2</v>
      </c>
      <c r="AE26" s="9" t="s">
        <v>5</v>
      </c>
      <c r="AF26" s="9" t="s">
        <v>5</v>
      </c>
      <c r="AG26" s="9" t="s">
        <v>3</v>
      </c>
      <c r="AH26" s="9" t="s">
        <v>3</v>
      </c>
      <c r="AI26" s="9" t="s">
        <v>4</v>
      </c>
      <c r="AJ26" s="9" t="s">
        <v>4</v>
      </c>
      <c r="AK26" s="7"/>
      <c r="AN26">
        <f t="shared" ca="1" si="5"/>
        <v>7</v>
      </c>
      <c r="AO26" s="14">
        <f t="shared" ca="1" si="6"/>
        <v>0.14285714285714285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0.9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1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0.9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0.9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0.9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1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0.85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0.85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1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1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0.85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1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1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0.95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0.8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0.8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0.95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0.8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0.95</v>
      </c>
      <c r="BN26">
        <f t="shared" ca="1" si="7"/>
        <v>10</v>
      </c>
      <c r="BO26" s="14">
        <f t="shared" ca="1" si="8"/>
        <v>0.1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0.89473684210526316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1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0.89473684210526316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0.89473684210526316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0.89473684210526316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1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0.84210526315789469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0.84210526315789469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1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1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0.84210526315789469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1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1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1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0.84210526315789469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0.84210526315789469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1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0.84210526315789469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1</v>
      </c>
    </row>
    <row r="27" spans="4:88" x14ac:dyDescent="0.2">
      <c r="D27" s="10">
        <f ca="1"/>
        <v>12</v>
      </c>
      <c r="F27" s="10">
        <f ca="1"/>
        <v>0.1</v>
      </c>
      <c r="H27" s="10">
        <f ca="1"/>
        <v>13</v>
      </c>
      <c r="J27" cm="1">
        <f t="array" aca="1" ref="J27" ca="1">SUMPRODUCT((O27:AJ27=$O$11:$AJ$11)*(O$13:AJ$13=TRUE))  / COUNTIF(O$13:AJ$13,TRUE)</f>
        <v>1</v>
      </c>
      <c r="K27" t="b">
        <f t="shared" ca="1" si="9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4"/>
        <v>1</v>
      </c>
      <c r="N27" s="2">
        <v>12</v>
      </c>
      <c r="O27" s="12" t="s">
        <v>11</v>
      </c>
      <c r="P27" s="9" t="s">
        <v>11</v>
      </c>
      <c r="Q27" s="9" t="s">
        <v>11</v>
      </c>
      <c r="R27" s="9" t="s">
        <v>11</v>
      </c>
      <c r="S27" s="9" t="s">
        <v>11</v>
      </c>
      <c r="T27" s="9" t="s">
        <v>11</v>
      </c>
      <c r="U27" s="9" t="s">
        <v>11</v>
      </c>
      <c r="V27" s="9" t="s">
        <v>11</v>
      </c>
      <c r="W27" s="9" t="s">
        <v>11</v>
      </c>
      <c r="X27" s="9" t="s">
        <v>11</v>
      </c>
      <c r="Y27" s="9" t="s">
        <v>0</v>
      </c>
      <c r="Z27" s="9" t="s">
        <v>0</v>
      </c>
      <c r="AA27" s="9" t="s">
        <v>1</v>
      </c>
      <c r="AB27" s="9" t="s">
        <v>1</v>
      </c>
      <c r="AC27" s="9" t="s">
        <v>2</v>
      </c>
      <c r="AD27" s="9" t="s">
        <v>2</v>
      </c>
      <c r="AE27" s="9" t="s">
        <v>5</v>
      </c>
      <c r="AF27" s="9" t="s">
        <v>5</v>
      </c>
      <c r="AG27" s="9" t="s">
        <v>3</v>
      </c>
      <c r="AH27" s="9" t="s">
        <v>3</v>
      </c>
      <c r="AI27" s="9" t="s">
        <v>4</v>
      </c>
      <c r="AJ27" s="9" t="s">
        <v>4</v>
      </c>
      <c r="AK27" s="7"/>
      <c r="AN27">
        <f t="shared" ca="1" si="5"/>
        <v>7</v>
      </c>
      <c r="AO27" s="14">
        <f t="shared" ca="1" si="6"/>
        <v>0.14285714285714285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0.9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1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0.9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0.9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0.9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1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0.85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0.85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1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1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0.85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1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1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0.95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0.8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0.8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0.95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0.8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0.95</v>
      </c>
      <c r="BN27">
        <f t="shared" ca="1" si="7"/>
        <v>10</v>
      </c>
      <c r="BO27" s="14">
        <f t="shared" ca="1" si="8"/>
        <v>0.1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0.89473684210526316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1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0.89473684210526316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0.89473684210526316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0.89473684210526316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1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0.84210526315789469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0.84210526315789469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1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1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0.84210526315789469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1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1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1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0.84210526315789469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0.84210526315789469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1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0.84210526315789469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1</v>
      </c>
    </row>
    <row r="28" spans="4:88" x14ac:dyDescent="0.2">
      <c r="D28" s="10">
        <f ca="1"/>
        <v>13</v>
      </c>
      <c r="F28" s="10">
        <f ca="1"/>
        <v>0.1</v>
      </c>
      <c r="H28" s="10">
        <f ca="1"/>
        <v>14</v>
      </c>
      <c r="J28" cm="1">
        <f t="array" aca="1" ref="J28" ca="1">SUMPRODUCT((O28:AJ28=$O$11:$AJ$11)*(O$13:AJ$13=TRUE))  / COUNTIF(O$13:AJ$13,TRUE)</f>
        <v>1</v>
      </c>
      <c r="K28" t="b">
        <f t="shared" ca="1" si="9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4"/>
        <v>1</v>
      </c>
      <c r="N28" s="2">
        <v>13</v>
      </c>
      <c r="O28" s="12" t="s">
        <v>11</v>
      </c>
      <c r="P28" s="9" t="s">
        <v>11</v>
      </c>
      <c r="Q28" s="9" t="s">
        <v>11</v>
      </c>
      <c r="R28" s="9" t="s">
        <v>11</v>
      </c>
      <c r="S28" s="9" t="s">
        <v>11</v>
      </c>
      <c r="T28" s="9" t="s">
        <v>11</v>
      </c>
      <c r="U28" s="9" t="s">
        <v>11</v>
      </c>
      <c r="V28" s="9" t="s">
        <v>11</v>
      </c>
      <c r="W28" s="9" t="s">
        <v>11</v>
      </c>
      <c r="X28" s="9" t="s">
        <v>11</v>
      </c>
      <c r="Y28" s="9" t="s">
        <v>0</v>
      </c>
      <c r="Z28" s="9" t="s">
        <v>0</v>
      </c>
      <c r="AA28" s="9" t="s">
        <v>1</v>
      </c>
      <c r="AB28" s="9" t="s">
        <v>1</v>
      </c>
      <c r="AC28" s="9" t="s">
        <v>2</v>
      </c>
      <c r="AD28" s="9" t="s">
        <v>2</v>
      </c>
      <c r="AE28" s="9" t="s">
        <v>5</v>
      </c>
      <c r="AF28" s="9" t="s">
        <v>5</v>
      </c>
      <c r="AG28" s="9" t="s">
        <v>3</v>
      </c>
      <c r="AH28" s="9" t="s">
        <v>3</v>
      </c>
      <c r="AI28" s="9" t="s">
        <v>4</v>
      </c>
      <c r="AJ28" s="9" t="s">
        <v>4</v>
      </c>
      <c r="AK28" s="7"/>
      <c r="AN28">
        <f t="shared" ca="1" si="5"/>
        <v>7</v>
      </c>
      <c r="AO28" s="14">
        <f t="shared" ca="1" si="6"/>
        <v>0.14285714285714285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0.9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1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0.9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0.9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0.9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1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0.85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0.85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1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1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0.85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1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1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0.95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0.8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0.8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0.95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0.8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0.95</v>
      </c>
      <c r="BN28">
        <f t="shared" ca="1" si="7"/>
        <v>10</v>
      </c>
      <c r="BO28" s="14">
        <f t="shared" ca="1" si="8"/>
        <v>0.1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0.89473684210526316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1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0.89473684210526316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0.89473684210526316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0.89473684210526316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1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0.84210526315789469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0.84210526315789469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1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1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0.84210526315789469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1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1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1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0.84210526315789469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0.84210526315789469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1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0.84210526315789469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1</v>
      </c>
    </row>
    <row r="29" spans="4:88" x14ac:dyDescent="0.2">
      <c r="D29" s="10">
        <f ca="1"/>
        <v>14</v>
      </c>
      <c r="F29" s="10">
        <f ca="1"/>
        <v>0.1</v>
      </c>
      <c r="H29" s="10">
        <f ca="1"/>
        <v>15</v>
      </c>
      <c r="J29" cm="1">
        <f t="array" aca="1" ref="J29" ca="1">SUMPRODUCT((O29:AJ29=$O$11:$AJ$11)*(O$13:AJ$13=TRUE))  / COUNTIF(O$13:AJ$13,TRUE)</f>
        <v>0.95</v>
      </c>
      <c r="K29" t="b">
        <f t="shared" ca="1" si="9"/>
        <v>1</v>
      </c>
      <c r="L29" cm="1">
        <f t="array" aca="1" ref="L29" ca="1">SUM(
   1*(_xlfn._xlws.FILTER(OFFSET($O29,0,0,1,$B$9),OFFSET($O$13,0,0,1,$B$9)) = "-")
) / $B$13</f>
        <v>0.05</v>
      </c>
      <c r="M29" t="b">
        <f t="shared" ca="1" si="4"/>
        <v>1</v>
      </c>
      <c r="N29" s="2">
        <v>14</v>
      </c>
      <c r="O29" s="12" t="s">
        <v>11</v>
      </c>
      <c r="P29" s="9" t="s">
        <v>11</v>
      </c>
      <c r="Q29" s="9" t="s">
        <v>11</v>
      </c>
      <c r="R29" s="9" t="s">
        <v>11</v>
      </c>
      <c r="S29" s="9" t="s">
        <v>11</v>
      </c>
      <c r="T29" s="9" t="s">
        <v>11</v>
      </c>
      <c r="U29" s="9" t="s">
        <v>11</v>
      </c>
      <c r="V29" s="9" t="s">
        <v>11</v>
      </c>
      <c r="W29" s="9" t="s">
        <v>11</v>
      </c>
      <c r="X29" s="9" t="s">
        <v>11</v>
      </c>
      <c r="Y29" s="9" t="s">
        <v>5</v>
      </c>
      <c r="Z29" s="9" t="s">
        <v>0</v>
      </c>
      <c r="AA29" s="9" t="s">
        <v>1</v>
      </c>
      <c r="AB29" s="9" t="s">
        <v>1</v>
      </c>
      <c r="AC29" s="9" t="s">
        <v>2</v>
      </c>
      <c r="AD29" s="9" t="s">
        <v>2</v>
      </c>
      <c r="AE29" s="9" t="s">
        <v>5</v>
      </c>
      <c r="AF29" s="9" t="s">
        <v>5</v>
      </c>
      <c r="AG29" s="9" t="s">
        <v>3</v>
      </c>
      <c r="AH29" s="9" t="s">
        <v>3</v>
      </c>
      <c r="AI29" s="9" t="s">
        <v>4</v>
      </c>
      <c r="AJ29" s="9" t="s">
        <v>4</v>
      </c>
      <c r="AK29" s="7"/>
      <c r="AN29">
        <f t="shared" ca="1" si="5"/>
        <v>1</v>
      </c>
      <c r="AO29" s="14">
        <f t="shared" ca="1" si="6"/>
        <v>1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0.85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0.95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0.85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0.85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0.85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0.95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0.8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0.8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0.95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0.95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0.8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0.95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0.95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0.95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0.8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0.95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0.8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0.95</v>
      </c>
      <c r="BN29">
        <f t="shared" ca="1" si="7"/>
        <v>10</v>
      </c>
      <c r="BO29" s="14">
        <f t="shared" ca="1" si="8"/>
        <v>0.1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0.89473684210526316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1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0.89473684210526316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0.89473684210526316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0.89473684210526316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1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0.84210526315789469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0.84210526315789469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1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1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0.84210526315789469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1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1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1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0.84210526315789469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0.84210526315789469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1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0.84210526315789469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1</v>
      </c>
    </row>
    <row r="30" spans="4:88" x14ac:dyDescent="0.2">
      <c r="D30" s="10">
        <f ca="1"/>
        <v>15</v>
      </c>
      <c r="F30" s="10">
        <f ca="1"/>
        <v>0.2</v>
      </c>
      <c r="H30" s="10">
        <f ca="1"/>
        <v>18</v>
      </c>
      <c r="J30" cm="1">
        <f t="array" aca="1" ref="J30" ca="1">SUMPRODUCT((O30:AJ30=$O$11:$AJ$11)*(O$13:AJ$13=TRUE))  / COUNTIF(O$13:AJ$13,TRUE)</f>
        <v>0.8</v>
      </c>
      <c r="K30" t="b">
        <f t="shared" ca="1" si="9"/>
        <v>1</v>
      </c>
      <c r="L30" cm="1">
        <f t="array" aca="1" ref="L30" ca="1">SUM(
   1*(_xlfn._xlws.FILTER(OFFSET($O30,0,0,1,$B$9),OFFSET($O$13,0,0,1,$B$9)) = "-")
) / $B$13</f>
        <v>0.05</v>
      </c>
      <c r="M30" t="b">
        <f t="shared" ca="1" si="4"/>
        <v>1</v>
      </c>
      <c r="N30" s="2">
        <v>15</v>
      </c>
      <c r="O30" s="12" t="s">
        <v>11</v>
      </c>
      <c r="P30" s="9" t="s">
        <v>11</v>
      </c>
      <c r="Q30" s="9" t="s">
        <v>11</v>
      </c>
      <c r="R30" s="9" t="s">
        <v>11</v>
      </c>
      <c r="S30" s="9" t="s">
        <v>11</v>
      </c>
      <c r="T30" s="9" t="s">
        <v>11</v>
      </c>
      <c r="U30" s="9" t="s">
        <v>11</v>
      </c>
      <c r="V30" s="9" t="s">
        <v>11</v>
      </c>
      <c r="W30" s="9" t="s">
        <v>11</v>
      </c>
      <c r="X30" s="9" t="s">
        <v>11</v>
      </c>
      <c r="Y30" s="9" t="s">
        <v>5</v>
      </c>
      <c r="Z30" s="9" t="s">
        <v>2</v>
      </c>
      <c r="AA30" s="9" t="s">
        <v>1</v>
      </c>
      <c r="AB30" s="12" t="s">
        <v>1</v>
      </c>
      <c r="AC30" s="9" t="s">
        <v>2</v>
      </c>
      <c r="AD30" s="9" t="s">
        <v>2</v>
      </c>
      <c r="AE30" s="9" t="s">
        <v>5</v>
      </c>
      <c r="AF30" s="9" t="s">
        <v>5</v>
      </c>
      <c r="AG30" s="9" t="s">
        <v>3</v>
      </c>
      <c r="AH30" s="9" t="s">
        <v>3</v>
      </c>
      <c r="AI30" s="9" t="s">
        <v>11</v>
      </c>
      <c r="AJ30" s="9" t="s">
        <v>6</v>
      </c>
      <c r="AN30">
        <f t="shared" ca="1" si="5"/>
        <v>1</v>
      </c>
      <c r="AO30" s="14">
        <f t="shared" ca="1" si="6"/>
        <v>1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0.8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0.8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0.8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0.8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0.8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0.8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0.95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0.95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0.8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0.9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0.8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0.8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0.8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0.95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0.8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0.95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0.8</v>
      </c>
      <c r="BN30">
        <f t="shared" ca="1" si="7"/>
        <v>5</v>
      </c>
      <c r="BO30" s="14">
        <f t="shared" ca="1" si="8"/>
        <v>0.2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0.84210526315789469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0.84210526315789469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0.84210526315789469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0.84210526315789469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0.84210526315789469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0.84210526315789469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1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1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0.84210526315789469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0.84210526315789469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0.94736842105263153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0.84210526315789469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0.84210526315789469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0.84210526315789469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0.84210526315789469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1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0.84210526315789469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1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0.84210526315789469</v>
      </c>
    </row>
    <row r="31" spans="4:88" x14ac:dyDescent="0.2">
      <c r="D31" s="10">
        <f ca="1"/>
        <v>16</v>
      </c>
      <c r="F31" s="10">
        <f ca="1"/>
        <v>0.2</v>
      </c>
      <c r="H31" s="10">
        <f ca="1"/>
        <v>19</v>
      </c>
      <c r="J31" cm="1">
        <f t="array" aca="1" ref="J31" ca="1">SUMPRODUCT((O31:AJ31=$O$11:$AJ$11)*(O$13:AJ$13=TRUE))  / COUNTIF(O$13:AJ$13,TRUE)</f>
        <v>0.8</v>
      </c>
      <c r="K31" t="b">
        <f t="shared" ca="1" si="9"/>
        <v>1</v>
      </c>
      <c r="L31" cm="1">
        <f t="array" aca="1" ref="L31" ca="1">SUM(
   1*(_xlfn._xlws.FILTER(OFFSET($O31,0,0,1,$B$9),OFFSET($O$13,0,0,1,$B$9)) = "-")
) / $B$13</f>
        <v>0.05</v>
      </c>
      <c r="M31" t="b">
        <f t="shared" ca="1" si="4"/>
        <v>1</v>
      </c>
      <c r="N31" s="2">
        <v>16</v>
      </c>
      <c r="O31" s="12" t="s">
        <v>11</v>
      </c>
      <c r="P31" s="9" t="s">
        <v>11</v>
      </c>
      <c r="Q31" s="9" t="s">
        <v>11</v>
      </c>
      <c r="R31" s="9" t="s">
        <v>11</v>
      </c>
      <c r="S31" s="9" t="s">
        <v>11</v>
      </c>
      <c r="T31" s="9" t="s">
        <v>11</v>
      </c>
      <c r="U31" s="9" t="s">
        <v>11</v>
      </c>
      <c r="V31" s="9" t="s">
        <v>11</v>
      </c>
      <c r="W31" s="9" t="s">
        <v>11</v>
      </c>
      <c r="X31" s="9" t="s">
        <v>11</v>
      </c>
      <c r="Y31" s="9" t="s">
        <v>5</v>
      </c>
      <c r="Z31" s="9" t="s">
        <v>2</v>
      </c>
      <c r="AA31" s="9" t="s">
        <v>1</v>
      </c>
      <c r="AB31" s="12" t="s">
        <v>1</v>
      </c>
      <c r="AC31" s="9" t="s">
        <v>2</v>
      </c>
      <c r="AD31" s="9" t="s">
        <v>2</v>
      </c>
      <c r="AE31" s="9" t="s">
        <v>5</v>
      </c>
      <c r="AF31" s="9" t="s">
        <v>5</v>
      </c>
      <c r="AG31" s="9" t="s">
        <v>3</v>
      </c>
      <c r="AH31" s="9" t="s">
        <v>3</v>
      </c>
      <c r="AI31" s="9" t="s">
        <v>11</v>
      </c>
      <c r="AJ31" s="9" t="s">
        <v>6</v>
      </c>
      <c r="AN31">
        <f t="shared" ca="1" si="5"/>
        <v>1</v>
      </c>
      <c r="AO31" s="14">
        <f t="shared" ca="1" si="6"/>
        <v>1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0.8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0.8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0.8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0.8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0.8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0.8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0.95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0.95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0.8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0.8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0.9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0.8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0.8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0.8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0.8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0.95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0.8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0.95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0.8</v>
      </c>
      <c r="BN31">
        <f t="shared" ca="1" si="7"/>
        <v>5</v>
      </c>
      <c r="BO31" s="14">
        <f t="shared" ca="1" si="8"/>
        <v>0.2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0.84210526315789469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0.84210526315789469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0.84210526315789469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0.84210526315789469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0.84210526315789469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0.84210526315789469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1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1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0.84210526315789469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0.84210526315789469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0.94736842105263153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0.84210526315789469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0.84210526315789469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0.84210526315789469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0.84210526315789469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1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0.84210526315789469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1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0.84210526315789469</v>
      </c>
    </row>
    <row r="32" spans="4:88" x14ac:dyDescent="0.2">
      <c r="D32" s="10">
        <f ca="1"/>
        <v>17</v>
      </c>
      <c r="F32" s="10">
        <f ca="1"/>
        <v>0.1</v>
      </c>
      <c r="H32" s="10">
        <f ca="1"/>
        <v>20</v>
      </c>
      <c r="J32" cm="1">
        <f t="array" aca="1" ref="J32" ca="1">SUMPRODUCT((O32:AJ32=$O$11:$AJ$11)*(O$13:AJ$13=TRUE))  / COUNTIF(O$13:AJ$13,TRUE)</f>
        <v>0.95</v>
      </c>
      <c r="K32" t="b">
        <f t="shared" ca="1" si="9"/>
        <v>1</v>
      </c>
      <c r="L32" cm="1">
        <f t="array" aca="1" ref="L32" ca="1">SUM(
   1*(_xlfn._xlws.FILTER(OFFSET($O32,0,0,1,$B$9),OFFSET($O$13,0,0,1,$B$9)) = "-")
) / $B$13</f>
        <v>0.05</v>
      </c>
      <c r="M32" t="b">
        <f t="shared" ca="1" si="4"/>
        <v>1</v>
      </c>
      <c r="N32" s="2">
        <v>17</v>
      </c>
      <c r="O32" s="12" t="s">
        <v>11</v>
      </c>
      <c r="P32" s="9" t="s">
        <v>11</v>
      </c>
      <c r="Q32" s="9" t="s">
        <v>11</v>
      </c>
      <c r="R32" s="9" t="s">
        <v>11</v>
      </c>
      <c r="S32" s="9" t="s">
        <v>11</v>
      </c>
      <c r="T32" s="9" t="s">
        <v>11</v>
      </c>
      <c r="U32" s="9" t="s">
        <v>11</v>
      </c>
      <c r="V32" s="9" t="s">
        <v>11</v>
      </c>
      <c r="W32" s="9" t="s">
        <v>11</v>
      </c>
      <c r="X32" s="9" t="s">
        <v>11</v>
      </c>
      <c r="Y32" s="9" t="s">
        <v>5</v>
      </c>
      <c r="Z32" s="12" t="s">
        <v>0</v>
      </c>
      <c r="AA32" s="9" t="s">
        <v>1</v>
      </c>
      <c r="AB32" s="12" t="s">
        <v>1</v>
      </c>
      <c r="AC32" s="9" t="s">
        <v>2</v>
      </c>
      <c r="AD32" s="9" t="s">
        <v>2</v>
      </c>
      <c r="AE32" s="9" t="s">
        <v>5</v>
      </c>
      <c r="AF32" s="9" t="s">
        <v>5</v>
      </c>
      <c r="AG32" s="9" t="s">
        <v>3</v>
      </c>
      <c r="AH32" s="9" t="s">
        <v>3</v>
      </c>
      <c r="AI32" s="9" t="s">
        <v>4</v>
      </c>
      <c r="AJ32" s="9" t="s">
        <v>4</v>
      </c>
      <c r="AN32">
        <f t="shared" ca="1" si="5"/>
        <v>1</v>
      </c>
      <c r="AO32" s="14">
        <f t="shared" ca="1" si="6"/>
        <v>1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0.85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0.95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0.85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0.85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0.85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0.95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0.8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0.8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0.95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0.95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0.8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0.95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0.95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0.95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0.95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0.8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0.8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0.95</v>
      </c>
      <c r="BN32">
        <f t="shared" ca="1" si="7"/>
        <v>10</v>
      </c>
      <c r="BO32" s="14">
        <f t="shared" ca="1" si="8"/>
        <v>0.1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0.89473684210526316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1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0.89473684210526316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0.89473684210526316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0.89473684210526316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1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0.84210526315789469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0.84210526315789469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1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1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0.84210526315789469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1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1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1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1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0.84210526315789469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0.84210526315789469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0.84210526315789469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1</v>
      </c>
    </row>
    <row r="33" spans="4:88" x14ac:dyDescent="0.2">
      <c r="D33" s="10">
        <f ca="1"/>
        <v>18</v>
      </c>
      <c r="F33" s="10">
        <f ca="1"/>
        <v>0.2</v>
      </c>
      <c r="H33" s="10">
        <f ca="1"/>
        <v>21</v>
      </c>
      <c r="J33" cm="1">
        <f t="array" aca="1" ref="J33" ca="1">SUMPRODUCT((O33:AJ33=$O$11:$AJ$11)*(O$13:AJ$13=TRUE))  / COUNTIF(O$13:AJ$13,TRUE)</f>
        <v>0.8</v>
      </c>
      <c r="K33" t="b">
        <f t="shared" ca="1" si="9"/>
        <v>1</v>
      </c>
      <c r="L33" cm="1">
        <f t="array" aca="1" ref="L33" ca="1">SUM(
   1*(_xlfn._xlws.FILTER(OFFSET($O33,0,0,1,$B$9),OFFSET($O$13,0,0,1,$B$9)) = "-")
) / $B$13</f>
        <v>0.05</v>
      </c>
      <c r="M33" t="b">
        <f t="shared" ca="1" si="4"/>
        <v>1</v>
      </c>
      <c r="N33" s="2">
        <v>18</v>
      </c>
      <c r="O33" s="12" t="s">
        <v>11</v>
      </c>
      <c r="P33" s="9" t="s">
        <v>11</v>
      </c>
      <c r="Q33" s="9" t="s">
        <v>11</v>
      </c>
      <c r="R33" s="9" t="s">
        <v>11</v>
      </c>
      <c r="S33" s="9" t="s">
        <v>11</v>
      </c>
      <c r="T33" s="9" t="s">
        <v>11</v>
      </c>
      <c r="U33" s="9" t="s">
        <v>11</v>
      </c>
      <c r="V33" s="9" t="s">
        <v>11</v>
      </c>
      <c r="W33" s="9" t="s">
        <v>11</v>
      </c>
      <c r="X33" s="9" t="s">
        <v>11</v>
      </c>
      <c r="Y33" s="9" t="s">
        <v>5</v>
      </c>
      <c r="Z33" s="9" t="s">
        <v>2</v>
      </c>
      <c r="AA33" s="9" t="s">
        <v>1</v>
      </c>
      <c r="AB33" s="9" t="s">
        <v>1</v>
      </c>
      <c r="AC33" s="9" t="s">
        <v>2</v>
      </c>
      <c r="AD33" s="9" t="s">
        <v>2</v>
      </c>
      <c r="AE33" s="9" t="s">
        <v>5</v>
      </c>
      <c r="AF33" s="9" t="s">
        <v>5</v>
      </c>
      <c r="AG33" s="9" t="s">
        <v>3</v>
      </c>
      <c r="AH33" s="9" t="s">
        <v>3</v>
      </c>
      <c r="AI33" s="9" t="s">
        <v>11</v>
      </c>
      <c r="AJ33" s="9" t="s">
        <v>6</v>
      </c>
      <c r="AN33">
        <f t="shared" ca="1" si="5"/>
        <v>1</v>
      </c>
      <c r="AO33" s="14">
        <f t="shared" ca="1" si="6"/>
        <v>1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0.8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0.8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0.8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0.8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0.8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0.8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0.95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0.95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0.8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0.8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0.9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0.8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0.8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0.8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0.8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0.95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0.95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0.8</v>
      </c>
      <c r="BN33">
        <f t="shared" ca="1" si="7"/>
        <v>5</v>
      </c>
      <c r="BO33" s="14">
        <f t="shared" ca="1" si="8"/>
        <v>0.2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0.84210526315789469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0.84210526315789469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0.84210526315789469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0.84210526315789469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0.84210526315789469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0.84210526315789469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1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1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0.84210526315789469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0.84210526315789469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0.94736842105263153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0.84210526315789469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0.84210526315789469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0.84210526315789469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0.84210526315789469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1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1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0.84210526315789469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0.84210526315789469</v>
      </c>
    </row>
    <row r="34" spans="4:88" x14ac:dyDescent="0.2">
      <c r="D34" s="10">
        <f ca="1"/>
        <v>19</v>
      </c>
      <c r="F34" s="10">
        <f ca="1"/>
        <v>0.1</v>
      </c>
      <c r="J34" cm="1">
        <f t="array" aca="1" ref="J34" ca="1">SUMPRODUCT((O34:AJ34=$O$11:$AJ$11)*(O$13:AJ$13=TRUE))  / COUNTIF(O$13:AJ$13,TRUE)</f>
        <v>0.95</v>
      </c>
      <c r="K34" t="b">
        <f t="shared" ca="1" si="9"/>
        <v>1</v>
      </c>
      <c r="L34" cm="1">
        <f t="array" aca="1" ref="L34" ca="1">SUM(
   1*(_xlfn._xlws.FILTER(OFFSET($O34,0,0,1,$B$9),OFFSET($O$13,0,0,1,$B$9)) = "-")
) / $B$13</f>
        <v>0.05</v>
      </c>
      <c r="M34" t="b">
        <f t="shared" ca="1" si="4"/>
        <v>1</v>
      </c>
      <c r="N34" s="2">
        <v>19</v>
      </c>
      <c r="O34" s="12" t="s">
        <v>11</v>
      </c>
      <c r="P34" s="9" t="s">
        <v>11</v>
      </c>
      <c r="Q34" s="9" t="s">
        <v>11</v>
      </c>
      <c r="R34" s="9" t="s">
        <v>11</v>
      </c>
      <c r="S34" s="9" t="s">
        <v>11</v>
      </c>
      <c r="T34" s="9" t="s">
        <v>11</v>
      </c>
      <c r="U34" s="9" t="s">
        <v>11</v>
      </c>
      <c r="V34" s="9" t="s">
        <v>11</v>
      </c>
      <c r="W34" s="9" t="s">
        <v>11</v>
      </c>
      <c r="X34" s="9" t="s">
        <v>11</v>
      </c>
      <c r="Y34" s="9" t="s">
        <v>5</v>
      </c>
      <c r="Z34" s="9" t="s">
        <v>0</v>
      </c>
      <c r="AA34" s="9" t="s">
        <v>1</v>
      </c>
      <c r="AB34" s="9" t="s">
        <v>1</v>
      </c>
      <c r="AC34" s="9" t="s">
        <v>2</v>
      </c>
      <c r="AD34" s="9" t="s">
        <v>2</v>
      </c>
      <c r="AE34" s="9" t="s">
        <v>5</v>
      </c>
      <c r="AF34" s="9" t="s">
        <v>5</v>
      </c>
      <c r="AG34" s="9" t="s">
        <v>3</v>
      </c>
      <c r="AH34" s="9" t="s">
        <v>3</v>
      </c>
      <c r="AI34" s="9" t="s">
        <v>4</v>
      </c>
      <c r="AJ34" s="9" t="s">
        <v>4</v>
      </c>
      <c r="AN34">
        <f t="shared" ca="1" si="5"/>
        <v>1</v>
      </c>
      <c r="AO34" s="14">
        <f t="shared" ca="1" si="6"/>
        <v>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0.85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0.95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0.85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0.85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0.85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0.95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0.8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0.8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0.95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0.95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0.8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0.95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0.95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0.95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0.95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0.8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0.8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0.95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7"/>
        <v>10</v>
      </c>
      <c r="BO34" s="14">
        <f t="shared" ca="1" si="8"/>
        <v>0.1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0.89473684210526316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1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0.89473684210526316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0.89473684210526316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0.89473684210526316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1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0.84210526315789469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0.84210526315789469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1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1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0.84210526315789469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1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1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1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1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0.84210526315789469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0.84210526315789469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1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0.84210526315789469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</row>
    <row r="35" spans="4:88" x14ac:dyDescent="0.2">
      <c r="J35" cm="1">
        <f t="array" aca="1" ref="J35" ca="1">SUMPRODUCT((O35:AJ35=$O$11:$AJ$11)*(O$13:AJ$13=TRUE))  / COUNTIF(O$13:AJ$13,TRUE)</f>
        <v>0.1</v>
      </c>
      <c r="K35" t="b">
        <f t="shared" ca="1" si="9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4"/>
        <v>0</v>
      </c>
      <c r="N35" s="2">
        <v>20</v>
      </c>
      <c r="O35" s="12" t="s">
        <v>12</v>
      </c>
      <c r="P35" s="12" t="s">
        <v>12</v>
      </c>
      <c r="Q35" s="12" t="s">
        <v>12</v>
      </c>
      <c r="R35" s="12" t="s">
        <v>12</v>
      </c>
      <c r="S35" s="12" t="s">
        <v>12</v>
      </c>
      <c r="T35" s="12" t="s">
        <v>12</v>
      </c>
      <c r="U35" s="12" t="s">
        <v>12</v>
      </c>
      <c r="V35" s="12" t="s">
        <v>12</v>
      </c>
      <c r="W35" s="12" t="s">
        <v>12</v>
      </c>
      <c r="X35" s="12" t="s">
        <v>12</v>
      </c>
      <c r="Y35" s="12" t="s">
        <v>2</v>
      </c>
      <c r="Z35" s="12" t="s">
        <v>2</v>
      </c>
      <c r="AA35" s="12" t="s">
        <v>0</v>
      </c>
      <c r="AB35" s="12" t="s">
        <v>0</v>
      </c>
      <c r="AC35" s="12" t="s">
        <v>2</v>
      </c>
      <c r="AD35" s="12" t="s">
        <v>2</v>
      </c>
      <c r="AE35" s="12" t="s">
        <v>5</v>
      </c>
      <c r="AF35" s="12" t="s">
        <v>5</v>
      </c>
      <c r="AG35" s="12" t="s">
        <v>2</v>
      </c>
      <c r="AH35" s="12" t="s">
        <v>2</v>
      </c>
      <c r="AI35" s="12" t="s">
        <v>6</v>
      </c>
      <c r="AJ35" s="12" t="s">
        <v>6</v>
      </c>
    </row>
    <row r="36" spans="4:88" x14ac:dyDescent="0.2">
      <c r="J36" cm="1">
        <f t="array" aca="1" ref="J36" ca="1">SUMPRODUCT((O36:AJ36=$O$11:$AJ$11)*(O$13:AJ$13=TRUE))  / COUNTIF(O$13:AJ$13,TRUE)</f>
        <v>0.1</v>
      </c>
      <c r="K36" t="b">
        <f t="shared" ca="1" si="9"/>
        <v>0</v>
      </c>
      <c r="L36" cm="1">
        <f t="array" aca="1" ref="L36" ca="1">SUM(
   1*(_xlfn._xlws.FILTER(OFFSET($O36,0,0,1,$B$9),OFFSET($O$13,0,0,1,$B$9)) = "-")
) / $B$13</f>
        <v>0.8</v>
      </c>
      <c r="M36" t="b">
        <f t="shared" ca="1" si="4"/>
        <v>0</v>
      </c>
      <c r="N36" s="2">
        <v>21</v>
      </c>
      <c r="O36" s="12" t="s">
        <v>5</v>
      </c>
      <c r="P36" s="12" t="s">
        <v>5</v>
      </c>
      <c r="Q36" s="12" t="s">
        <v>5</v>
      </c>
      <c r="R36" s="12" t="s">
        <v>5</v>
      </c>
      <c r="S36" s="12" t="s">
        <v>5</v>
      </c>
      <c r="T36" s="12" t="s">
        <v>5</v>
      </c>
      <c r="U36" s="12" t="s">
        <v>5</v>
      </c>
      <c r="V36" s="12" t="s">
        <v>5</v>
      </c>
      <c r="W36" s="12" t="s">
        <v>5</v>
      </c>
      <c r="X36" s="12" t="s">
        <v>5</v>
      </c>
      <c r="Y36" s="12" t="s">
        <v>0</v>
      </c>
      <c r="Z36" s="12" t="s">
        <v>0</v>
      </c>
      <c r="AA36" s="12" t="s">
        <v>5</v>
      </c>
      <c r="AB36" s="12" t="s">
        <v>5</v>
      </c>
      <c r="AC36" s="12" t="s">
        <v>3</v>
      </c>
      <c r="AD36" s="12" t="s">
        <v>3</v>
      </c>
      <c r="AE36" s="9" t="s">
        <v>5</v>
      </c>
      <c r="AF36" s="9" t="s">
        <v>5</v>
      </c>
      <c r="AG36" s="12" t="s">
        <v>5</v>
      </c>
      <c r="AH36" s="12" t="s">
        <v>5</v>
      </c>
      <c r="AI36" s="12" t="s">
        <v>5</v>
      </c>
      <c r="AJ36" s="12" t="s">
        <v>5</v>
      </c>
    </row>
    <row r="37" spans="4:88" x14ac:dyDescent="0.2">
      <c r="J37" cm="1">
        <f t="array" aca="1" ref="J37" ca="1">SUMPRODUCT((O37:AJ37=$O$11:$AJ$11)*(O$13:AJ$13=TRUE))  / COUNTIF(O$13:AJ$13,TRUE)</f>
        <v>0.1</v>
      </c>
      <c r="K37" t="b">
        <f t="shared" ca="1" si="9"/>
        <v>0</v>
      </c>
      <c r="L37" cm="1">
        <f t="array" aca="1" ref="L37" ca="1">SUM(
   1*(_xlfn._xlws.FILTER(OFFSET($O37,0,0,1,$B$9),OFFSET($O$13,0,0,1,$B$9)) = "-")
) / $B$13</f>
        <v>0.8</v>
      </c>
      <c r="M37" t="b">
        <f t="shared" ca="1" si="4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5</v>
      </c>
      <c r="S37" s="12" t="s">
        <v>5</v>
      </c>
      <c r="T37" s="12" t="s">
        <v>5</v>
      </c>
      <c r="U37" s="12" t="s">
        <v>5</v>
      </c>
      <c r="V37" s="12" t="s">
        <v>5</v>
      </c>
      <c r="W37" s="12" t="s">
        <v>5</v>
      </c>
      <c r="X37" s="12" t="s">
        <v>5</v>
      </c>
      <c r="Y37" s="12" t="s">
        <v>0</v>
      </c>
      <c r="Z37" s="12" t="s">
        <v>0</v>
      </c>
      <c r="AA37" s="12" t="s">
        <v>5</v>
      </c>
      <c r="AB37" s="12" t="s">
        <v>5</v>
      </c>
      <c r="AC37" s="12" t="s">
        <v>3</v>
      </c>
      <c r="AD37" s="12" t="s">
        <v>3</v>
      </c>
      <c r="AE37" s="9" t="s">
        <v>5</v>
      </c>
      <c r="AF37" s="9" t="s">
        <v>5</v>
      </c>
      <c r="AG37" s="12" t="s">
        <v>5</v>
      </c>
      <c r="AH37" s="12" t="s">
        <v>5</v>
      </c>
      <c r="AI37" s="12" t="s">
        <v>5</v>
      </c>
      <c r="AJ37" s="12" t="s">
        <v>5</v>
      </c>
    </row>
    <row r="38" spans="4:88" x14ac:dyDescent="0.2">
      <c r="AK38" s="8"/>
      <c r="AL38" s="8"/>
      <c r="AM38" s="3"/>
    </row>
    <row r="39" spans="4:88" x14ac:dyDescent="0.2">
      <c r="AK39" s="8"/>
      <c r="AL39" s="8"/>
    </row>
    <row r="40" spans="4:88" x14ac:dyDescent="0.2">
      <c r="AK40" s="7"/>
      <c r="AL40" s="2"/>
    </row>
    <row r="41" spans="4:88" x14ac:dyDescent="0.2">
      <c r="AK41" s="2"/>
      <c r="AL41" s="2"/>
    </row>
    <row r="42" spans="4:88" x14ac:dyDescent="0.2">
      <c r="AK42" s="2"/>
      <c r="AL42" s="2"/>
    </row>
    <row r="43" spans="4:88" x14ac:dyDescent="0.2">
      <c r="AK43" s="2"/>
      <c r="AL43" s="2"/>
    </row>
    <row r="44" spans="4:88" x14ac:dyDescent="0.2">
      <c r="AK44" s="2"/>
      <c r="AL44" s="2"/>
    </row>
    <row r="45" spans="4:88" x14ac:dyDescent="0.2">
      <c r="AK45" s="2"/>
      <c r="AL45" s="2"/>
    </row>
    <row r="46" spans="4:88" x14ac:dyDescent="0.2">
      <c r="AK46" s="2"/>
      <c r="AL46" s="2"/>
    </row>
    <row r="47" spans="4:88" x14ac:dyDescent="0.2">
      <c r="AK47" s="2"/>
      <c r="AL47" s="2"/>
    </row>
    <row r="48" spans="4:88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phoneticPr fontId="1" type="noConversion"/>
  <conditionalFormatting sqref="K15:K37">
    <cfRule type="cellIs" dxfId="41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40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AJ9">
    <cfRule type="cellIs" dxfId="39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AJ13">
    <cfRule type="cellIs" dxfId="38" priority="9" operator="equal">
      <formula>FALSE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AJ37">
    <cfRule type="expression" dxfId="37" priority="51" stopIfTrue="1">
      <formula>AND($M15, O$13)</formula>
    </cfRule>
    <cfRule type="expression" dxfId="36" priority="52" stopIfTrue="1">
      <formula>NOT(AND($M15, O$13))</formula>
    </cfRule>
  </conditionalFormatting>
  <conditionalFormatting sqref="P11:AJ11">
    <cfRule type="expression" dxfId="35" priority="53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C2B2-7EC5-F44A-96E4-2358F8C495F2}">
  <dimension ref="A1:HD375"/>
  <sheetViews>
    <sheetView zoomScale="75" zoomScaleNormal="75" workbookViewId="0">
      <selection activeCell="L58" sqref="L58"/>
    </sheetView>
  </sheetViews>
  <sheetFormatPr baseColWidth="10" defaultRowHeight="16" x14ac:dyDescent="0.2"/>
  <cols>
    <col min="1" max="1" width="22.83203125" customWidth="1"/>
  </cols>
  <sheetData>
    <row r="1" spans="1:212" x14ac:dyDescent="0.2">
      <c r="A1" s="5" t="s">
        <v>21</v>
      </c>
      <c r="B1" s="5">
        <v>0.4</v>
      </c>
      <c r="E1" s="2" t="s">
        <v>28</v>
      </c>
      <c r="F1" s="2" t="s">
        <v>42</v>
      </c>
      <c r="L1" s="16" t="s">
        <v>56</v>
      </c>
      <c r="M1" s="16" t="s">
        <v>0</v>
      </c>
      <c r="N1" s="16" t="s">
        <v>1</v>
      </c>
      <c r="O1" s="16" t="s">
        <v>2</v>
      </c>
      <c r="P1" s="16" t="s">
        <v>3</v>
      </c>
      <c r="Q1" s="16" t="s">
        <v>4</v>
      </c>
      <c r="R1" s="16" t="s">
        <v>6</v>
      </c>
      <c r="S1" s="16" t="s">
        <v>11</v>
      </c>
      <c r="T1" s="16" t="s">
        <v>12</v>
      </c>
    </row>
    <row r="2" spans="1:212" x14ac:dyDescent="0.2">
      <c r="A2" s="5" t="s">
        <v>22</v>
      </c>
      <c r="B2" s="5">
        <v>0.2</v>
      </c>
      <c r="L2" s="16" t="s">
        <v>57</v>
      </c>
      <c r="M2" s="16">
        <v>8</v>
      </c>
      <c r="N2" s="16"/>
      <c r="O2" s="16"/>
      <c r="P2" s="16"/>
    </row>
    <row r="3" spans="1:212" x14ac:dyDescent="0.2">
      <c r="A3" s="5" t="s">
        <v>24</v>
      </c>
      <c r="B3" s="5">
        <v>0.499</v>
      </c>
    </row>
    <row r="4" spans="1:212" x14ac:dyDescent="0.2">
      <c r="A4" s="5" t="s">
        <v>23</v>
      </c>
      <c r="B4" s="5">
        <v>1</v>
      </c>
    </row>
    <row r="5" spans="1:212" x14ac:dyDescent="0.2">
      <c r="A5" s="5" t="s">
        <v>25</v>
      </c>
      <c r="B5" s="5">
        <v>0.2</v>
      </c>
    </row>
    <row r="7" spans="1:212" x14ac:dyDescent="0.2">
      <c r="AL7" s="4"/>
    </row>
    <row r="8" spans="1:212" x14ac:dyDescent="0.2">
      <c r="A8" s="5" t="s">
        <v>31</v>
      </c>
      <c r="B8" s="5">
        <v>23</v>
      </c>
      <c r="AK8" s="4"/>
      <c r="AL8" s="7"/>
    </row>
    <row r="9" spans="1:212" x14ac:dyDescent="0.2">
      <c r="A9" s="5" t="s">
        <v>30</v>
      </c>
      <c r="B9" s="5">
        <v>22</v>
      </c>
      <c r="N9" s="11" t="s">
        <v>38</v>
      </c>
      <c r="O9" t="b">
        <f t="shared" ref="O9:AJ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T9" t="b">
        <f t="shared" ca="1" si="0"/>
        <v>1</v>
      </c>
      <c r="U9" t="b">
        <f t="shared" ca="1" si="0"/>
        <v>1</v>
      </c>
      <c r="V9" t="b">
        <f t="shared" ca="1" si="0"/>
        <v>1</v>
      </c>
      <c r="W9" t="b">
        <f t="shared" ca="1" si="0"/>
        <v>1</v>
      </c>
      <c r="X9" t="b">
        <f t="shared" ca="1" si="0"/>
        <v>1</v>
      </c>
      <c r="Y9" t="b">
        <f t="shared" ca="1" si="0"/>
        <v>0</v>
      </c>
      <c r="Z9" t="b">
        <f t="shared" ca="1" si="0"/>
        <v>1</v>
      </c>
      <c r="AA9" t="b">
        <f t="shared" ca="1" si="0"/>
        <v>1</v>
      </c>
      <c r="AB9" t="b">
        <f t="shared" ca="1" si="0"/>
        <v>1</v>
      </c>
      <c r="AC9" t="b">
        <f t="shared" ca="1" si="0"/>
        <v>1</v>
      </c>
      <c r="AD9" t="b">
        <f t="shared" ca="1" si="0"/>
        <v>1</v>
      </c>
      <c r="AE9" t="b">
        <f t="shared" ca="1" si="0"/>
        <v>0</v>
      </c>
      <c r="AF9" t="b">
        <f t="shared" ca="1" si="0"/>
        <v>0</v>
      </c>
      <c r="AG9" t="b">
        <f t="shared" ca="1" si="0"/>
        <v>1</v>
      </c>
      <c r="AH9" t="b">
        <f t="shared" ca="1" si="0"/>
        <v>1</v>
      </c>
      <c r="AI9" t="b">
        <f t="shared" ca="1" si="0"/>
        <v>1</v>
      </c>
      <c r="AJ9" t="b">
        <f t="shared" ca="1" si="0"/>
        <v>1</v>
      </c>
      <c r="AK9" s="4"/>
      <c r="CR9" t="str" cm="1">
        <f t="array" aca="1" ref="CR9:CY9" ca="1">OFFSET($M$1,0,0,1,$M$2)</f>
        <v>A</v>
      </c>
      <c r="CS9" t="str">
        <f ca="1"/>
        <v>B</v>
      </c>
      <c r="CT9" t="str">
        <f ca="1"/>
        <v>C</v>
      </c>
      <c r="CU9" t="str">
        <f ca="1"/>
        <v>D</v>
      </c>
      <c r="CV9" t="str">
        <f ca="1"/>
        <v>E</v>
      </c>
      <c r="CW9" t="str">
        <f ca="1"/>
        <v>F</v>
      </c>
      <c r="CX9" t="str">
        <f ca="1"/>
        <v>G</v>
      </c>
      <c r="CY9" t="str">
        <f ca="1"/>
        <v>H</v>
      </c>
      <c r="DD9" s="13"/>
      <c r="DE9" s="9"/>
      <c r="DF9" s="9"/>
      <c r="DG9" s="9"/>
    </row>
    <row r="10" spans="1:212" x14ac:dyDescent="0.2">
      <c r="N10" s="8" t="s">
        <v>15</v>
      </c>
      <c r="O10" s="17" cm="1">
        <f t="array" aca="1" ref="O10" ca="1">1-SUMPRODUCT(OFFSET($AO$15,0,0,$B$14,1),1*(_xlfn._xlws.FILTER(OFFSET(O$15,0,0,$B$8,1),OFFSET($M$15,0,0,$B$8,1))&lt;&gt;"-"))/SUM(OFFSET($AO$15,0,0,$B$14,1))</f>
        <v>0</v>
      </c>
      <c r="P10" s="17" cm="1">
        <f t="array" aca="1" ref="P10" ca="1">1-SUMPRODUCT(OFFSET($AO$15,0,0,$B$14,1),1*(_xlfn._xlws.FILTER(OFFSET(P$15,0,0,$B$8,1),OFFSET($M$15,0,0,$B$8,1))&lt;&gt;"-"))/SUM(OFFSET($AO$15,0,0,$B$14,1))</f>
        <v>0</v>
      </c>
      <c r="Q10" s="17" cm="1">
        <f t="array" aca="1" ref="Q10" ca="1">1-SUMPRODUCT(OFFSET($AO$15,0,0,$B$14,1),1*(_xlfn._xlws.FILTER(OFFSET(Q$15,0,0,$B$8,1),OFFSET($M$15,0,0,$B$8,1))&lt;&gt;"-"))/SUM(OFFSET($AO$15,0,0,$B$14,1))</f>
        <v>0</v>
      </c>
      <c r="R10" s="17" cm="1">
        <f t="array" aca="1" ref="R10" ca="1">1-SUMPRODUCT(OFFSET($AO$15,0,0,$B$14,1),1*(_xlfn._xlws.FILTER(OFFSET(R$15,0,0,$B$8,1),OFFSET($M$15,0,0,$B$8,1))&lt;&gt;"-"))/SUM(OFFSET($AO$15,0,0,$B$14,1))</f>
        <v>0</v>
      </c>
      <c r="S10" s="17" cm="1">
        <f t="array" aca="1" ref="S10" ca="1">1-SUMPRODUCT(OFFSET($AO$15,0,0,$B$14,1),1*(_xlfn._xlws.FILTER(OFFSET(S$15,0,0,$B$8,1),OFFSET($M$15,0,0,$B$8,1))&lt;&gt;"-"))/SUM(OFFSET($AO$15,0,0,$B$14,1))</f>
        <v>0</v>
      </c>
      <c r="T10" s="17" cm="1">
        <f t="array" aca="1" ref="T10" ca="1">1-SUMPRODUCT(OFFSET($AO$15,0,0,$B$14,1),1*(_xlfn._xlws.FILTER(OFFSET(T$15,0,0,$B$8,1),OFFSET($M$15,0,0,$B$8,1))&lt;&gt;"-"))/SUM(OFFSET($AO$15,0,0,$B$14,1))</f>
        <v>0</v>
      </c>
      <c r="U10" s="17" cm="1">
        <f t="array" aca="1" ref="U10" ca="1">1-SUMPRODUCT(OFFSET($AO$15,0,0,$B$14,1),1*(_xlfn._xlws.FILTER(OFFSET(U$15,0,0,$B$8,1),OFFSET($M$15,0,0,$B$8,1))&lt;&gt;"-"))/SUM(OFFSET($AO$15,0,0,$B$14,1))</f>
        <v>0</v>
      </c>
      <c r="V10" s="17" cm="1">
        <f t="array" aca="1" ref="V10" ca="1">1-SUMPRODUCT(OFFSET($AO$15,0,0,$B$14,1),1*(_xlfn._xlws.FILTER(OFFSET(V$15,0,0,$B$8,1),OFFSET($M$15,0,0,$B$8,1))&lt;&gt;"-"))/SUM(OFFSET($AO$15,0,0,$B$14,1))</f>
        <v>0</v>
      </c>
      <c r="W10" s="17" cm="1">
        <f t="array" aca="1" ref="W10" ca="1">1-SUMPRODUCT(OFFSET($AO$15,0,0,$B$14,1),1*(_xlfn._xlws.FILTER(OFFSET(W$15,0,0,$B$8,1),OFFSET($M$15,0,0,$B$8,1))&lt;&gt;"-"))/SUM(OFFSET($AO$15,0,0,$B$14,1))</f>
        <v>0</v>
      </c>
      <c r="X10" s="17" cm="1">
        <f t="array" aca="1" ref="X10" ca="1">1-SUMPRODUCT(OFFSET($AO$15,0,0,$B$14,1),1*(_xlfn._xlws.FILTER(OFFSET(X$15,0,0,$B$8,1),OFFSET($M$15,0,0,$B$8,1))&lt;&gt;"-"))/SUM(OFFSET($AO$15,0,0,$B$14,1))</f>
        <v>0</v>
      </c>
      <c r="Y10" s="17" cm="1">
        <f t="array" aca="1" ref="Y10" ca="1">1-SUMPRODUCT(OFFSET($AO$15,0,0,$B$14,1),1*(_xlfn._xlws.FILTER(OFFSET(Y$15,0,0,$B$8,1),OFFSET($M$15,0,0,$B$8,1))&lt;&gt;"-"))/SUM(OFFSET($AO$15,0,0,$B$14,1))</f>
        <v>0.33333333333333326</v>
      </c>
      <c r="Z10" s="17" cm="1">
        <f t="array" aca="1" ref="Z10" ca="1">1-SUMPRODUCT(OFFSET($AO$15,0,0,$B$14,1),1*(_xlfn._xlws.FILTER(OFFSET(Z$15,0,0,$B$8,1),OFFSET($M$15,0,0,$B$8,1))&lt;&gt;"-"))/SUM(OFFSET($AO$15,0,0,$B$14,1))</f>
        <v>0</v>
      </c>
      <c r="AA10" s="17" cm="1">
        <f t="array" aca="1" ref="AA10" ca="1">1-SUMPRODUCT(OFFSET($AO$15,0,0,$B$14,1),1*(_xlfn._xlws.FILTER(OFFSET(AA$15,0,0,$B$8,1),OFFSET($M$15,0,0,$B$8,1))&lt;&gt;"-"))/SUM(OFFSET($AO$15,0,0,$B$14,1))</f>
        <v>0</v>
      </c>
      <c r="AB10" s="17" cm="1">
        <f t="array" aca="1" ref="AB10" ca="1">1-SUMPRODUCT(OFFSET($AO$15,0,0,$B$14,1),1*(_xlfn._xlws.FILTER(OFFSET(AB$15,0,0,$B$8,1),OFFSET($M$15,0,0,$B$8,1))&lt;&gt;"-"))/SUM(OFFSET($AO$15,0,0,$B$14,1))</f>
        <v>0</v>
      </c>
      <c r="AC10" s="17" cm="1">
        <f t="array" aca="1" ref="AC10" ca="1">1-SUMPRODUCT(OFFSET($AO$15,0,0,$B$14,1),1*(_xlfn._xlws.FILTER(OFFSET(AC$15,0,0,$B$8,1),OFFSET($M$15,0,0,$B$8,1))&lt;&gt;"-"))/SUM(OFFSET($AO$15,0,0,$B$14,1))</f>
        <v>0</v>
      </c>
      <c r="AD10" s="17" cm="1">
        <f t="array" aca="1" ref="AD10" ca="1">1-SUMPRODUCT(OFFSET($AO$15,0,0,$B$14,1),1*(_xlfn._xlws.FILTER(OFFSET(AD$15,0,0,$B$8,1),OFFSET($M$15,0,0,$B$8,1))&lt;&gt;"-"))/SUM(OFFSET($AO$15,0,0,$B$14,1))</f>
        <v>0</v>
      </c>
      <c r="AE10" s="17" cm="1">
        <f t="array" aca="1" ref="AE10" ca="1">1-SUMPRODUCT(OFFSET($AO$15,0,0,$B$14,1),1*(_xlfn._xlws.FILTER(OFFSET(AE$15,0,0,$B$8,1),OFFSET($M$15,0,0,$B$8,1))&lt;&gt;"-"))/SUM(OFFSET($AO$15,0,0,$B$14,1))</f>
        <v>1</v>
      </c>
      <c r="AF10" s="17" cm="1">
        <f t="array" aca="1" ref="AF10" ca="1">1-SUMPRODUCT(OFFSET($AO$15,0,0,$B$14,1),1*(_xlfn._xlws.FILTER(OFFSET(AF$15,0,0,$B$8,1),OFFSET($M$15,0,0,$B$8,1))&lt;&gt;"-"))/SUM(OFFSET($AO$15,0,0,$B$14,1))</f>
        <v>1</v>
      </c>
      <c r="AG10" s="17" cm="1">
        <f t="array" aca="1" ref="AG10" ca="1">1-SUMPRODUCT(OFFSET($AO$15,0,0,$B$14,1),1*(_xlfn._xlws.FILTER(OFFSET(AG$15,0,0,$B$8,1),OFFSET($M$15,0,0,$B$8,1))&lt;&gt;"-"))/SUM(OFFSET($AO$15,0,0,$B$14,1))</f>
        <v>0</v>
      </c>
      <c r="AH10" s="17" cm="1">
        <f t="array" aca="1" ref="AH10" ca="1">1-SUMPRODUCT(OFFSET($AO$15,0,0,$B$14,1),1*(_xlfn._xlws.FILTER(OFFSET(AH$15,0,0,$B$8,1),OFFSET($M$15,0,0,$B$8,1))&lt;&gt;"-"))/SUM(OFFSET($AO$15,0,0,$B$14,1))</f>
        <v>0</v>
      </c>
      <c r="AI10" s="17" cm="1">
        <f t="array" aca="1" ref="AI10" ca="1">1-SUMPRODUCT(OFFSET($AO$15,0,0,$B$14,1),1*(_xlfn._xlws.FILTER(OFFSET(AI$15,0,0,$B$8,1),OFFSET($M$15,0,0,$B$8,1))&lt;&gt;"-"))/SUM(OFFSET($AO$15,0,0,$B$14,1))</f>
        <v>0</v>
      </c>
      <c r="AJ10" s="17" cm="1">
        <f t="array" aca="1" ref="AJ10" ca="1">1-SUMPRODUCT(OFFSET($AO$15,0,0,$B$14,1),1*(_xlfn._xlws.FILTER(OFFSET(AJ$15,0,0,$B$8,1),OFFSET($M$15,0,0,$B$8,1))&lt;&gt;"-"))/SUM(OFFSET($AO$15,0,0,$B$14,1))</f>
        <v>0</v>
      </c>
      <c r="AK10" s="7"/>
      <c r="CQ10" s="2" t="s">
        <v>52</v>
      </c>
      <c r="CR10" s="5">
        <f t="shared" ref="CR10:CY10" si="1">1/8</f>
        <v>0.125</v>
      </c>
      <c r="CS10" s="5">
        <f t="shared" si="1"/>
        <v>0.125</v>
      </c>
      <c r="CT10" s="5">
        <f t="shared" si="1"/>
        <v>0.125</v>
      </c>
      <c r="CU10" s="5">
        <f t="shared" si="1"/>
        <v>0.125</v>
      </c>
      <c r="CV10" s="5">
        <f t="shared" si="1"/>
        <v>0.125</v>
      </c>
      <c r="CW10" s="5">
        <f t="shared" si="1"/>
        <v>0.125</v>
      </c>
      <c r="CX10" s="5">
        <f t="shared" si="1"/>
        <v>0.125</v>
      </c>
      <c r="CY10" s="5">
        <f t="shared" si="1"/>
        <v>0.125</v>
      </c>
      <c r="DD10" s="9"/>
      <c r="DE10" s="9"/>
      <c r="DF10" s="9"/>
      <c r="DG10" s="9"/>
    </row>
    <row r="11" spans="1:212" x14ac:dyDescent="0.2">
      <c r="A11" s="5" t="s">
        <v>32</v>
      </c>
      <c r="B11" s="5">
        <v>1</v>
      </c>
      <c r="N11" s="8" t="s">
        <v>16</v>
      </c>
      <c r="O11" s="9" t="str" cm="1">
        <f t="array" aca="1" ref="O11:AJ11" ca="1">OFFSET($O$15,$B$11,0,1,$B$9)</f>
        <v>G</v>
      </c>
      <c r="P11" s="9" t="str">
        <f ca="1"/>
        <v>G</v>
      </c>
      <c r="Q11" s="9" t="str">
        <f ca="1"/>
        <v>G</v>
      </c>
      <c r="R11" s="9" t="str">
        <f ca="1"/>
        <v>G</v>
      </c>
      <c r="S11" s="9" t="str">
        <f ca="1"/>
        <v>G</v>
      </c>
      <c r="T11" s="9" t="str">
        <f ca="1"/>
        <v>G</v>
      </c>
      <c r="U11" s="9" t="str">
        <f ca="1"/>
        <v>G</v>
      </c>
      <c r="V11" s="9" t="str">
        <f ca="1"/>
        <v>G</v>
      </c>
      <c r="W11" s="9" t="str">
        <f ca="1"/>
        <v>G</v>
      </c>
      <c r="X11" s="9" t="str">
        <f ca="1"/>
        <v>G</v>
      </c>
      <c r="Y11" s="9" t="str">
        <f ca="1"/>
        <v>A</v>
      </c>
      <c r="Z11" s="9" t="str">
        <f ca="1"/>
        <v>A</v>
      </c>
      <c r="AA11" s="9" t="str">
        <f ca="1"/>
        <v>B</v>
      </c>
      <c r="AB11" s="9" t="str">
        <f ca="1"/>
        <v>B</v>
      </c>
      <c r="AC11" s="9" t="str">
        <f ca="1"/>
        <v>C</v>
      </c>
      <c r="AD11" s="9" t="str">
        <f ca="1"/>
        <v>C</v>
      </c>
      <c r="AE11" s="9" t="str">
        <f ca="1"/>
        <v>-</v>
      </c>
      <c r="AF11" s="9" t="str">
        <f ca="1"/>
        <v>-</v>
      </c>
      <c r="AG11" s="9" t="str">
        <f ca="1"/>
        <v>D</v>
      </c>
      <c r="AH11" s="9" t="str">
        <f ca="1"/>
        <v>D</v>
      </c>
      <c r="AI11" s="9" t="str">
        <f ca="1"/>
        <v>E</v>
      </c>
      <c r="AJ11" s="9" t="str">
        <f ca="1"/>
        <v>E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</v>
      </c>
      <c r="CR11" s="1" cm="1">
        <f t="array" aca="1" ref="CR11:CY11" ca="1">(1-$CQ$11)*OFFSET($CR$10,0,0,1,$M$2)</f>
        <v>0.125</v>
      </c>
      <c r="CS11">
        <f ca="1"/>
        <v>0.125</v>
      </c>
      <c r="CT11">
        <f ca="1"/>
        <v>0.125</v>
      </c>
      <c r="CU11">
        <f ca="1"/>
        <v>0.125</v>
      </c>
      <c r="CV11">
        <f ca="1"/>
        <v>0.125</v>
      </c>
      <c r="CW11">
        <f ca="1"/>
        <v>0.125</v>
      </c>
      <c r="CX11">
        <f ca="1"/>
        <v>0.125</v>
      </c>
      <c r="CY11">
        <f ca="1"/>
        <v>0.125</v>
      </c>
      <c r="DP11" s="13" t="s">
        <v>48</v>
      </c>
    </row>
    <row r="12" spans="1:212" x14ac:dyDescent="0.2">
      <c r="N12" s="8" t="s">
        <v>20</v>
      </c>
      <c r="O12" s="12">
        <f t="shared" ref="O12:AJ12" ca="1" si="2">COUNTIF(OFFSET(O15,0,0,$B$8,1), "-") / COUNTA(OFFSET(O15,0,0,$B$8,1))</f>
        <v>8.6956521739130432E-2</v>
      </c>
      <c r="P12" s="9">
        <f t="shared" ca="1" si="2"/>
        <v>8.6956521739130432E-2</v>
      </c>
      <c r="Q12" s="9">
        <f t="shared" ca="1" si="2"/>
        <v>8.6956521739130432E-2</v>
      </c>
      <c r="R12" s="9">
        <f t="shared" ca="1" si="2"/>
        <v>8.6956521739130432E-2</v>
      </c>
      <c r="S12" s="9">
        <f t="shared" ca="1" si="2"/>
        <v>8.6956521739130432E-2</v>
      </c>
      <c r="T12" s="9">
        <f t="shared" ca="1" si="2"/>
        <v>8.6956521739130432E-2</v>
      </c>
      <c r="U12" s="9">
        <f t="shared" ca="1" si="2"/>
        <v>8.6956521739130432E-2</v>
      </c>
      <c r="V12" s="9">
        <f t="shared" ca="1" si="2"/>
        <v>8.6956521739130432E-2</v>
      </c>
      <c r="W12" s="9">
        <f t="shared" ca="1" si="2"/>
        <v>8.6956521739130432E-2</v>
      </c>
      <c r="X12" s="9">
        <f t="shared" ca="1" si="2"/>
        <v>8.6956521739130432E-2</v>
      </c>
      <c r="Y12" s="9">
        <f t="shared" ca="1" si="2"/>
        <v>0.2608695652173913</v>
      </c>
      <c r="Z12" s="9">
        <f t="shared" ca="1" si="2"/>
        <v>0</v>
      </c>
      <c r="AA12" s="9">
        <f t="shared" ca="1" si="2"/>
        <v>8.6956521739130432E-2</v>
      </c>
      <c r="AB12" s="9">
        <f t="shared" ca="1" si="2"/>
        <v>8.6956521739130432E-2</v>
      </c>
      <c r="AC12" s="9">
        <f t="shared" ca="1" si="2"/>
        <v>0</v>
      </c>
      <c r="AD12" s="9">
        <f t="shared" ca="1" si="2"/>
        <v>0</v>
      </c>
      <c r="AE12" s="9">
        <f t="shared" ca="1" si="2"/>
        <v>1</v>
      </c>
      <c r="AF12" s="9">
        <f t="shared" ca="1" si="2"/>
        <v>1</v>
      </c>
      <c r="AG12" s="9">
        <f t="shared" ca="1" si="2"/>
        <v>8.6956521739130432E-2</v>
      </c>
      <c r="AH12" s="9">
        <f t="shared" ca="1" si="2"/>
        <v>8.6956521739130432E-2</v>
      </c>
      <c r="AI12" s="9">
        <f t="shared" ca="1" si="2"/>
        <v>8.6956521739130432E-2</v>
      </c>
      <c r="AJ12" s="9">
        <f t="shared" ca="1" si="2"/>
        <v>8.6956521739130432E-2</v>
      </c>
      <c r="AK12" s="7"/>
      <c r="CQ12" s="2"/>
      <c r="DN12" s="4" t="s">
        <v>50</v>
      </c>
      <c r="DO12" s="4"/>
    </row>
    <row r="13" spans="1:212" x14ac:dyDescent="0.2">
      <c r="A13" t="s">
        <v>33</v>
      </c>
      <c r="B13">
        <f ca="1">COUNTIF(OFFSET($O$13,0,0,1,$B$9),TRUE)</f>
        <v>20</v>
      </c>
      <c r="N13" s="8" t="s">
        <v>41</v>
      </c>
      <c r="O13" t="b">
        <f t="shared" ref="O13:AJ13" ca="1" si="3">O12&lt;$B$1</f>
        <v>1</v>
      </c>
      <c r="P13" t="b">
        <f t="shared" ca="1" si="3"/>
        <v>1</v>
      </c>
      <c r="Q13" t="b">
        <f t="shared" ca="1" si="3"/>
        <v>1</v>
      </c>
      <c r="R13" t="b">
        <f t="shared" ca="1" si="3"/>
        <v>1</v>
      </c>
      <c r="S13" t="b">
        <f t="shared" ca="1" si="3"/>
        <v>1</v>
      </c>
      <c r="T13" t="b">
        <f t="shared" ca="1" si="3"/>
        <v>1</v>
      </c>
      <c r="U13" t="b">
        <f t="shared" ca="1" si="3"/>
        <v>1</v>
      </c>
      <c r="V13" t="b">
        <f t="shared" ca="1" si="3"/>
        <v>1</v>
      </c>
      <c r="W13" t="b">
        <f t="shared" ca="1" si="3"/>
        <v>1</v>
      </c>
      <c r="X13" t="b">
        <f t="shared" ca="1" si="3"/>
        <v>1</v>
      </c>
      <c r="Y13" t="b">
        <f t="shared" ca="1" si="3"/>
        <v>1</v>
      </c>
      <c r="Z13" t="b">
        <f t="shared" ca="1" si="3"/>
        <v>1</v>
      </c>
      <c r="AA13" t="b">
        <f t="shared" ca="1" si="3"/>
        <v>1</v>
      </c>
      <c r="AB13" t="b">
        <f t="shared" ca="1" si="3"/>
        <v>1</v>
      </c>
      <c r="AC13" t="b">
        <f t="shared" ca="1" si="3"/>
        <v>1</v>
      </c>
      <c r="AD13" t="b">
        <f t="shared" ca="1" si="3"/>
        <v>1</v>
      </c>
      <c r="AE13" t="b">
        <f t="shared" ca="1" si="3"/>
        <v>0</v>
      </c>
      <c r="AF13" t="b">
        <f t="shared" ca="1" si="3"/>
        <v>0</v>
      </c>
      <c r="AG13" t="b">
        <f t="shared" ca="1" si="3"/>
        <v>1</v>
      </c>
      <c r="AH13" t="b">
        <f t="shared" ca="1" si="3"/>
        <v>1</v>
      </c>
      <c r="AI13" t="b">
        <f t="shared" ca="1" si="3"/>
        <v>1</v>
      </c>
      <c r="AJ13" t="b">
        <f t="shared" ca="1" si="3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DC13" s="4" t="s">
        <v>51</v>
      </c>
      <c r="DD13" s="13" t="s">
        <v>48</v>
      </c>
      <c r="DN13" s="8"/>
      <c r="DO13" s="4" t="s">
        <v>54</v>
      </c>
      <c r="DP13" s="9" t="str" cm="1">
        <f t="array" aca="1" ref="DP13" ca="1">INDEX(_xlfn.ANCHORARRAY($CR$14), 1 + INT((COLUMNS($DP$13:DP$13) - 1) / COLUMNS(_xlfn.ANCHORARRAY($CR$14))))</f>
        <v>A</v>
      </c>
      <c r="DQ13" s="9" t="str" cm="1">
        <f t="array" aca="1" ref="DQ13" ca="1">INDEX(_xlfn.ANCHORARRAY($CR$14), 1 + INT((COLUMNS($DP$13:DQ$13) - 1) / COLUMNS(_xlfn.ANCHORARRAY($CR$14))))</f>
        <v>A</v>
      </c>
      <c r="DR13" s="9" t="str" cm="1">
        <f t="array" aca="1" ref="DR13" ca="1">INDEX(_xlfn.ANCHORARRAY($CR$14), 1 + INT((COLUMNS($DP$13:DR$13) - 1) / COLUMNS(_xlfn.ANCHORARRAY($CR$14))))</f>
        <v>A</v>
      </c>
      <c r="DS13" s="9" t="str" cm="1">
        <f t="array" aca="1" ref="DS13" ca="1">INDEX(_xlfn.ANCHORARRAY($CR$14), 1 + INT((COLUMNS($DP$13:DS$13) - 1) / COLUMNS(_xlfn.ANCHORARRAY($CR$14))))</f>
        <v>A</v>
      </c>
      <c r="DT13" s="9" t="str" cm="1">
        <f t="array" aca="1" ref="DT13" ca="1">INDEX(_xlfn.ANCHORARRAY($CR$14), 1 + INT((COLUMNS($DP$13:DT$13) - 1) / COLUMNS(_xlfn.ANCHORARRAY($CR$14))))</f>
        <v>A</v>
      </c>
      <c r="DU13" s="9" t="str" cm="1">
        <f t="array" aca="1" ref="DU13" ca="1">INDEX(_xlfn.ANCHORARRAY($CR$14), 1 + INT((COLUMNS($DP$13:DU$13) - 1) / COLUMNS(_xlfn.ANCHORARRAY($CR$14))))</f>
        <v>A</v>
      </c>
      <c r="DV13" s="9" t="str" cm="1">
        <f t="array" aca="1" ref="DV13" ca="1">INDEX(_xlfn.ANCHORARRAY($CR$14), 1 + INT((COLUMNS($DP$13:DV$13) - 1) / COLUMNS(_xlfn.ANCHORARRAY($CR$14))))</f>
        <v>A</v>
      </c>
      <c r="DW13" s="9" t="str" cm="1">
        <f t="array" aca="1" ref="DW13" ca="1">INDEX(_xlfn.ANCHORARRAY($CR$14), 1 + INT((COLUMNS($DP$13:DW$13) - 1) / COLUMNS(_xlfn.ANCHORARRAY($CR$14))))</f>
        <v>A</v>
      </c>
      <c r="DX13" s="9" t="str" cm="1">
        <f t="array" aca="1" ref="DX13" ca="1">INDEX(_xlfn.ANCHORARRAY($CR$14), 1 + INT((COLUMNS($DP$13:DX$13) - 1) / COLUMNS(_xlfn.ANCHORARRAY($CR$14))))</f>
        <v>B</v>
      </c>
      <c r="DY13" s="9" t="str" cm="1">
        <f t="array" aca="1" ref="DY13" ca="1">INDEX(_xlfn.ANCHORARRAY($CR$14), 1 + INT((COLUMNS($DP$13:DY$13) - 1) / COLUMNS(_xlfn.ANCHORARRAY($CR$14))))</f>
        <v>B</v>
      </c>
      <c r="DZ13" s="9" t="str" cm="1">
        <f t="array" aca="1" ref="DZ13" ca="1">INDEX(_xlfn.ANCHORARRAY($CR$14), 1 + INT((COLUMNS($DP$13:DZ$13) - 1) / COLUMNS(_xlfn.ANCHORARRAY($CR$14))))</f>
        <v>B</v>
      </c>
      <c r="EA13" s="9" t="str" cm="1">
        <f t="array" aca="1" ref="EA13" ca="1">INDEX(_xlfn.ANCHORARRAY($CR$14), 1 + INT((COLUMNS($DP$13:EA$13) - 1) / COLUMNS(_xlfn.ANCHORARRAY($CR$14))))</f>
        <v>B</v>
      </c>
      <c r="EB13" s="9" t="str" cm="1">
        <f t="array" aca="1" ref="EB13" ca="1">INDEX(_xlfn.ANCHORARRAY($CR$14), 1 + INT((COLUMNS($DP$13:EB$13) - 1) / COLUMNS(_xlfn.ANCHORARRAY($CR$14))))</f>
        <v>B</v>
      </c>
      <c r="EC13" s="9" t="str" cm="1">
        <f t="array" aca="1" ref="EC13" ca="1">INDEX(_xlfn.ANCHORARRAY($CR$14), 1 + INT((COLUMNS($DP$13:EC$13) - 1) / COLUMNS(_xlfn.ANCHORARRAY($CR$14))))</f>
        <v>B</v>
      </c>
      <c r="ED13" s="9" t="str" cm="1">
        <f t="array" aca="1" ref="ED13" ca="1">INDEX(_xlfn.ANCHORARRAY($CR$14), 1 + INT((COLUMNS($DP$13:ED$13) - 1) / COLUMNS(_xlfn.ANCHORARRAY($CR$14))))</f>
        <v>B</v>
      </c>
      <c r="EE13" s="9" t="str" cm="1">
        <f t="array" aca="1" ref="EE13" ca="1">INDEX(_xlfn.ANCHORARRAY($CR$14), 1 + INT((COLUMNS($DP$13:EE$13) - 1) / COLUMNS(_xlfn.ANCHORARRAY($CR$14))))</f>
        <v>B</v>
      </c>
      <c r="EF13" s="9" t="str" cm="1">
        <f t="array" aca="1" ref="EF13" ca="1">INDEX(_xlfn.ANCHORARRAY($CR$14), 1 + INT((COLUMNS($DP$13:EF$13) - 1) / COLUMNS(_xlfn.ANCHORARRAY($CR$14))))</f>
        <v>C</v>
      </c>
      <c r="EG13" s="9" t="str" cm="1">
        <f t="array" aca="1" ref="EG13" ca="1">INDEX(_xlfn.ANCHORARRAY($CR$14), 1 + INT((COLUMNS($DP$13:EG$13) - 1) / COLUMNS(_xlfn.ANCHORARRAY($CR$14))))</f>
        <v>C</v>
      </c>
      <c r="EH13" s="9" t="str" cm="1">
        <f t="array" aca="1" ref="EH13" ca="1">INDEX(_xlfn.ANCHORARRAY($CR$14), 1 + INT((COLUMNS($DP$13:EH$13) - 1) / COLUMNS(_xlfn.ANCHORARRAY($CR$14))))</f>
        <v>C</v>
      </c>
      <c r="EI13" s="9" t="str" cm="1">
        <f t="array" aca="1" ref="EI13" ca="1">INDEX(_xlfn.ANCHORARRAY($CR$14), 1 + INT((COLUMNS($DP$13:EI$13) - 1) / COLUMNS(_xlfn.ANCHORARRAY($CR$14))))</f>
        <v>C</v>
      </c>
      <c r="EJ13" s="9" t="str" cm="1">
        <f t="array" aca="1" ref="EJ13" ca="1">INDEX(_xlfn.ANCHORARRAY($CR$14), 1 + INT((COLUMNS($DP$13:EJ$13) - 1) / COLUMNS(_xlfn.ANCHORARRAY($CR$14))))</f>
        <v>C</v>
      </c>
      <c r="EK13" s="9" t="str" cm="1">
        <f t="array" aca="1" ref="EK13" ca="1">INDEX(_xlfn.ANCHORARRAY($CR$14), 1 + INT((COLUMNS($DP$13:EK$13) - 1) / COLUMNS(_xlfn.ANCHORARRAY($CR$14))))</f>
        <v>C</v>
      </c>
      <c r="EL13" s="9" t="str" cm="1">
        <f t="array" aca="1" ref="EL13" ca="1">INDEX(_xlfn.ANCHORARRAY($CR$14), 1 + INT((COLUMNS($DP$13:EL$13) - 1) / COLUMNS(_xlfn.ANCHORARRAY($CR$14))))</f>
        <v>C</v>
      </c>
      <c r="EM13" s="9" t="str" cm="1">
        <f t="array" aca="1" ref="EM13" ca="1">INDEX(_xlfn.ANCHORARRAY($CR$14), 1 + INT((COLUMNS($DP$13:EM$13) - 1) / COLUMNS(_xlfn.ANCHORARRAY($CR$14))))</f>
        <v>C</v>
      </c>
      <c r="EN13" s="9" t="str" cm="1">
        <f t="array" aca="1" ref="EN13" ca="1">INDEX(_xlfn.ANCHORARRAY($CR$14), 1 + INT((COLUMNS($DP$13:EN$13) - 1) / COLUMNS(_xlfn.ANCHORARRAY($CR$14))))</f>
        <v>D</v>
      </c>
      <c r="EO13" s="9" t="str" cm="1">
        <f t="array" aca="1" ref="EO13" ca="1">INDEX(_xlfn.ANCHORARRAY($CR$14), 1 + INT((COLUMNS($DP$13:EO$13) - 1) / COLUMNS(_xlfn.ANCHORARRAY($CR$14))))</f>
        <v>D</v>
      </c>
      <c r="EP13" s="9" t="str" cm="1">
        <f t="array" aca="1" ref="EP13" ca="1">INDEX(_xlfn.ANCHORARRAY($CR$14), 1 + INT((COLUMNS($DP$13:EP$13) - 1) / COLUMNS(_xlfn.ANCHORARRAY($CR$14))))</f>
        <v>D</v>
      </c>
      <c r="EQ13" s="9" t="str" cm="1">
        <f t="array" aca="1" ref="EQ13" ca="1">INDEX(_xlfn.ANCHORARRAY($CR$14), 1 + INT((COLUMNS($DP$13:EQ$13) - 1) / COLUMNS(_xlfn.ANCHORARRAY($CR$14))))</f>
        <v>D</v>
      </c>
      <c r="ER13" s="9" t="str" cm="1">
        <f t="array" aca="1" ref="ER13" ca="1">INDEX(_xlfn.ANCHORARRAY($CR$14), 1 + INT((COLUMNS($DP$13:ER$13) - 1) / COLUMNS(_xlfn.ANCHORARRAY($CR$14))))</f>
        <v>D</v>
      </c>
      <c r="ES13" s="9" t="str" cm="1">
        <f t="array" aca="1" ref="ES13" ca="1">INDEX(_xlfn.ANCHORARRAY($CR$14), 1 + INT((COLUMNS($DP$13:ES$13) - 1) / COLUMNS(_xlfn.ANCHORARRAY($CR$14))))</f>
        <v>D</v>
      </c>
      <c r="ET13" s="9" t="str" cm="1">
        <f t="array" aca="1" ref="ET13" ca="1">INDEX(_xlfn.ANCHORARRAY($CR$14), 1 + INT((COLUMNS($DP$13:ET$13) - 1) / COLUMNS(_xlfn.ANCHORARRAY($CR$14))))</f>
        <v>D</v>
      </c>
      <c r="EU13" s="9" t="str" cm="1">
        <f t="array" aca="1" ref="EU13" ca="1">INDEX(_xlfn.ANCHORARRAY($CR$14), 1 + INT((COLUMNS($DP$13:EU$13) - 1) / COLUMNS(_xlfn.ANCHORARRAY($CR$14))))</f>
        <v>D</v>
      </c>
      <c r="EV13" s="9" t="str" cm="1">
        <f t="array" aca="1" ref="EV13" ca="1">INDEX(_xlfn.ANCHORARRAY($CR$14), 1 + INT((COLUMNS($DP$13:EV$13) - 1) / COLUMNS(_xlfn.ANCHORARRAY($CR$14))))</f>
        <v>E</v>
      </c>
      <c r="EW13" s="9" t="str" cm="1">
        <f t="array" aca="1" ref="EW13" ca="1">INDEX(_xlfn.ANCHORARRAY($CR$14), 1 + INT((COLUMNS($DP$13:EW$13) - 1) / COLUMNS(_xlfn.ANCHORARRAY($CR$14))))</f>
        <v>E</v>
      </c>
      <c r="EX13" s="9" t="str" cm="1">
        <f t="array" aca="1" ref="EX13" ca="1">INDEX(_xlfn.ANCHORARRAY($CR$14), 1 + INT((COLUMNS($DP$13:EX$13) - 1) / COLUMNS(_xlfn.ANCHORARRAY($CR$14))))</f>
        <v>E</v>
      </c>
      <c r="EY13" s="9" t="str" cm="1">
        <f t="array" aca="1" ref="EY13" ca="1">INDEX(_xlfn.ANCHORARRAY($CR$14), 1 + INT((COLUMNS($DP$13:EY$13) - 1) / COLUMNS(_xlfn.ANCHORARRAY($CR$14))))</f>
        <v>E</v>
      </c>
      <c r="EZ13" s="9" t="str" cm="1">
        <f t="array" aca="1" ref="EZ13" ca="1">INDEX(_xlfn.ANCHORARRAY($CR$14), 1 + INT((COLUMNS($DP$13:EZ$13) - 1) / COLUMNS(_xlfn.ANCHORARRAY($CR$14))))</f>
        <v>E</v>
      </c>
      <c r="FA13" s="9" t="str" cm="1">
        <f t="array" aca="1" ref="FA13" ca="1">INDEX(_xlfn.ANCHORARRAY($CR$14), 1 + INT((COLUMNS($DP$13:FA$13) - 1) / COLUMNS(_xlfn.ANCHORARRAY($CR$14))))</f>
        <v>E</v>
      </c>
      <c r="FB13" s="9" t="str" cm="1">
        <f t="array" aca="1" ref="FB13" ca="1">INDEX(_xlfn.ANCHORARRAY($CR$14), 1 + INT((COLUMNS($DP$13:FB$13) - 1) / COLUMNS(_xlfn.ANCHORARRAY($CR$14))))</f>
        <v>E</v>
      </c>
      <c r="FC13" s="9" t="str" cm="1">
        <f t="array" aca="1" ref="FC13" ca="1">INDEX(_xlfn.ANCHORARRAY($CR$14), 1 + INT((COLUMNS($DP$13:FC$13) - 1) / COLUMNS(_xlfn.ANCHORARRAY($CR$14))))</f>
        <v>E</v>
      </c>
      <c r="FD13" s="9" t="str" cm="1">
        <f t="array" aca="1" ref="FD13" ca="1">INDEX(_xlfn.ANCHORARRAY($CR$14), 1 + INT((COLUMNS($DP$13:FD$13) - 1) / COLUMNS(_xlfn.ANCHORARRAY($CR$14))))</f>
        <v>F</v>
      </c>
      <c r="FE13" s="9" t="str" cm="1">
        <f t="array" aca="1" ref="FE13" ca="1">INDEX(_xlfn.ANCHORARRAY($CR$14), 1 + INT((COLUMNS($DP$13:FE$13) - 1) / COLUMNS(_xlfn.ANCHORARRAY($CR$14))))</f>
        <v>F</v>
      </c>
      <c r="FF13" s="9" t="str" cm="1">
        <f t="array" aca="1" ref="FF13" ca="1">INDEX(_xlfn.ANCHORARRAY($CR$14), 1 + INT((COLUMNS($DP$13:FF$13) - 1) / COLUMNS(_xlfn.ANCHORARRAY($CR$14))))</f>
        <v>F</v>
      </c>
      <c r="FG13" s="9" t="str" cm="1">
        <f t="array" aca="1" ref="FG13" ca="1">INDEX(_xlfn.ANCHORARRAY($CR$14), 1 + INT((COLUMNS($DP$13:FG$13) - 1) / COLUMNS(_xlfn.ANCHORARRAY($CR$14))))</f>
        <v>F</v>
      </c>
      <c r="FH13" s="9" t="str" cm="1">
        <f t="array" aca="1" ref="FH13" ca="1">INDEX(_xlfn.ANCHORARRAY($CR$14), 1 + INT((COLUMNS($DP$13:FH$13) - 1) / COLUMNS(_xlfn.ANCHORARRAY($CR$14))))</f>
        <v>F</v>
      </c>
      <c r="FI13" s="9" t="str" cm="1">
        <f t="array" aca="1" ref="FI13" ca="1">INDEX(_xlfn.ANCHORARRAY($CR$14), 1 + INT((COLUMNS($DP$13:FI$13) - 1) / COLUMNS(_xlfn.ANCHORARRAY($CR$14))))</f>
        <v>F</v>
      </c>
      <c r="FJ13" s="9" t="str" cm="1">
        <f t="array" aca="1" ref="FJ13" ca="1">INDEX(_xlfn.ANCHORARRAY($CR$14), 1 + INT((COLUMNS($DP$13:FJ$13) - 1) / COLUMNS(_xlfn.ANCHORARRAY($CR$14))))</f>
        <v>F</v>
      </c>
      <c r="FK13" s="9" t="str" cm="1">
        <f t="array" aca="1" ref="FK13" ca="1">INDEX(_xlfn.ANCHORARRAY($CR$14), 1 + INT((COLUMNS($DP$13:FK$13) - 1) / COLUMNS(_xlfn.ANCHORARRAY($CR$14))))</f>
        <v>F</v>
      </c>
      <c r="FL13" s="9" t="str" cm="1">
        <f t="array" aca="1" ref="FL13" ca="1">INDEX(_xlfn.ANCHORARRAY($CR$14), 1 + INT((COLUMNS($DP$13:FL$13) - 1) / COLUMNS(_xlfn.ANCHORARRAY($CR$14))))</f>
        <v>G</v>
      </c>
      <c r="FM13" s="9" t="str" cm="1">
        <f t="array" aca="1" ref="FM13" ca="1">INDEX(_xlfn.ANCHORARRAY($CR$14), 1 + INT((COLUMNS($DP$13:FM$13) - 1) / COLUMNS(_xlfn.ANCHORARRAY($CR$14))))</f>
        <v>G</v>
      </c>
      <c r="FN13" s="9" t="str" cm="1">
        <f t="array" aca="1" ref="FN13" ca="1">INDEX(_xlfn.ANCHORARRAY($CR$14), 1 + INT((COLUMNS($DP$13:FN$13) - 1) / COLUMNS(_xlfn.ANCHORARRAY($CR$14))))</f>
        <v>G</v>
      </c>
      <c r="FO13" s="9" t="str" cm="1">
        <f t="array" aca="1" ref="FO13" ca="1">INDEX(_xlfn.ANCHORARRAY($CR$14), 1 + INT((COLUMNS($DP$13:FO$13) - 1) / COLUMNS(_xlfn.ANCHORARRAY($CR$14))))</f>
        <v>G</v>
      </c>
      <c r="FP13" s="9" t="str" cm="1">
        <f t="array" aca="1" ref="FP13" ca="1">INDEX(_xlfn.ANCHORARRAY($CR$14), 1 + INT((COLUMNS($DP$13:FP$13) - 1) / COLUMNS(_xlfn.ANCHORARRAY($CR$14))))</f>
        <v>G</v>
      </c>
      <c r="FQ13" s="9" t="str" cm="1">
        <f t="array" aca="1" ref="FQ13" ca="1">INDEX(_xlfn.ANCHORARRAY($CR$14), 1 + INT((COLUMNS($DP$13:FQ$13) - 1) / COLUMNS(_xlfn.ANCHORARRAY($CR$14))))</f>
        <v>G</v>
      </c>
      <c r="FR13" s="9" t="str" cm="1">
        <f t="array" aca="1" ref="FR13" ca="1">INDEX(_xlfn.ANCHORARRAY($CR$14), 1 + INT((COLUMNS($DP$13:FR$13) - 1) / COLUMNS(_xlfn.ANCHORARRAY($CR$14))))</f>
        <v>G</v>
      </c>
      <c r="FS13" s="9" t="str" cm="1">
        <f t="array" aca="1" ref="FS13" ca="1">INDEX(_xlfn.ANCHORARRAY($CR$14), 1 + INT((COLUMNS($DP$13:FS$13) - 1) / COLUMNS(_xlfn.ANCHORARRAY($CR$14))))</f>
        <v>G</v>
      </c>
      <c r="FT13" s="9" t="str" cm="1">
        <f t="array" aca="1" ref="FT13" ca="1">INDEX(_xlfn.ANCHORARRAY($CR$14), 1 + INT((COLUMNS($DP$13:FT$13) - 1) / COLUMNS(_xlfn.ANCHORARRAY($CR$14))))</f>
        <v>H</v>
      </c>
      <c r="FU13" s="9" t="str" cm="1">
        <f t="array" aca="1" ref="FU13" ca="1">INDEX(_xlfn.ANCHORARRAY($CR$14), 1 + INT((COLUMNS($DP$13:FU$13) - 1) / COLUMNS(_xlfn.ANCHORARRAY($CR$14))))</f>
        <v>H</v>
      </c>
      <c r="FV13" s="9" t="str" cm="1">
        <f t="array" aca="1" ref="FV13" ca="1">INDEX(_xlfn.ANCHORARRAY($CR$14), 1 + INT((COLUMNS($DP$13:FV$13) - 1) / COLUMNS(_xlfn.ANCHORARRAY($CR$14))))</f>
        <v>H</v>
      </c>
      <c r="FW13" s="9" t="str" cm="1">
        <f t="array" aca="1" ref="FW13" ca="1">INDEX(_xlfn.ANCHORARRAY($CR$14), 1 + INT((COLUMNS($DP$13:FW$13) - 1) / COLUMNS(_xlfn.ANCHORARRAY($CR$14))))</f>
        <v>H</v>
      </c>
      <c r="FX13" s="9" t="str" cm="1">
        <f t="array" aca="1" ref="FX13" ca="1">INDEX(_xlfn.ANCHORARRAY($CR$14), 1 + INT((COLUMNS($DP$13:FX$13) - 1) / COLUMNS(_xlfn.ANCHORARRAY($CR$14))))</f>
        <v>H</v>
      </c>
      <c r="FY13" s="9" t="str" cm="1">
        <f t="array" aca="1" ref="FY13" ca="1">INDEX(_xlfn.ANCHORARRAY($CR$14), 1 + INT((COLUMNS($DP$13:FY$13) - 1) / COLUMNS(_xlfn.ANCHORARRAY($CR$14))))</f>
        <v>H</v>
      </c>
      <c r="FZ13" s="9" t="str" cm="1">
        <f t="array" aca="1" ref="FZ13" ca="1">INDEX(_xlfn.ANCHORARRAY($CR$14), 1 + INT((COLUMNS($DP$13:FZ$13) - 1) / COLUMNS(_xlfn.ANCHORARRAY($CR$14))))</f>
        <v>H</v>
      </c>
      <c r="GA13" s="9" t="str" cm="1">
        <f t="array" aca="1" ref="GA13" ca="1">INDEX(_xlfn.ANCHORARRAY($CR$14), 1 + INT((COLUMNS($DP$13:GA$13) - 1) / COLUMNS(_xlfn.ANCHORARRAY($CR$14))))</f>
        <v>H</v>
      </c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212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AJ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>
        <v>5</v>
      </c>
      <c r="U14" s="13">
        <v>6</v>
      </c>
      <c r="V14" s="13">
        <v>7</v>
      </c>
      <c r="W14" s="13">
        <v>8</v>
      </c>
      <c r="X14" s="13">
        <v>9</v>
      </c>
      <c r="Y14" s="13">
        <v>10</v>
      </c>
      <c r="Z14" s="13">
        <v>11</v>
      </c>
      <c r="AA14" s="13">
        <v>12</v>
      </c>
      <c r="AB14" s="13">
        <v>13</v>
      </c>
      <c r="AC14" s="13">
        <v>14</v>
      </c>
      <c r="AD14" s="13">
        <v>15</v>
      </c>
      <c r="AE14" s="13">
        <v>16</v>
      </c>
      <c r="AF14" s="13">
        <v>17</v>
      </c>
      <c r="AG14" s="13">
        <v>18</v>
      </c>
      <c r="AH14" s="13">
        <v>19</v>
      </c>
      <c r="AI14" s="13">
        <v>20</v>
      </c>
      <c r="AJ14" s="13">
        <v>21</v>
      </c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11</v>
      </c>
      <c r="BB14" s="2">
        <f ca="1"/>
        <v>12</v>
      </c>
      <c r="BC14" s="2">
        <f ca="1"/>
        <v>13</v>
      </c>
      <c r="BD14" s="2">
        <f ca="1"/>
        <v>14</v>
      </c>
      <c r="BE14" s="2">
        <f ca="1"/>
        <v>15</v>
      </c>
      <c r="BF14" s="2">
        <f ca="1"/>
        <v>16</v>
      </c>
      <c r="BG14" s="2">
        <f ca="1"/>
        <v>17</v>
      </c>
      <c r="BH14" s="2">
        <f ca="1"/>
        <v>18</v>
      </c>
      <c r="BI14" s="2">
        <f ca="1"/>
        <v>19</v>
      </c>
      <c r="BJ14" s="2">
        <f ca="1"/>
        <v>20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11</v>
      </c>
      <c r="CB14" s="2">
        <f ca="1"/>
        <v>12</v>
      </c>
      <c r="CC14" s="2">
        <f ca="1"/>
        <v>13</v>
      </c>
      <c r="CD14" s="2">
        <f ca="1"/>
        <v>14</v>
      </c>
      <c r="CE14" s="2">
        <f ca="1"/>
        <v>15</v>
      </c>
      <c r="CF14" s="2">
        <f ca="1"/>
        <v>16</v>
      </c>
      <c r="CG14" s="2">
        <f ca="1"/>
        <v>17</v>
      </c>
      <c r="CH14" s="2">
        <f ca="1"/>
        <v>18</v>
      </c>
      <c r="CI14" s="2">
        <f ca="1"/>
        <v>19</v>
      </c>
      <c r="CJ14" s="2">
        <f ca="1"/>
        <v>20</v>
      </c>
      <c r="CP14" s="4" t="s">
        <v>46</v>
      </c>
      <c r="CQ14" s="9" t="s">
        <v>5</v>
      </c>
      <c r="CR14" s="9" t="str" cm="1">
        <f t="array" aca="1" ref="CR14:CY14" ca="1">OFFSET($M$1,0,0,1,$M$2)</f>
        <v>A</v>
      </c>
      <c r="CS14" s="9" t="str">
        <f ca="1"/>
        <v>B</v>
      </c>
      <c r="CT14" s="9" t="str">
        <f ca="1"/>
        <v>C</v>
      </c>
      <c r="CU14" s="9" t="str">
        <f ca="1"/>
        <v>D</v>
      </c>
      <c r="CV14" t="str">
        <f ca="1"/>
        <v>E</v>
      </c>
      <c r="CW14" t="str">
        <f ca="1"/>
        <v>F</v>
      </c>
      <c r="CX14" t="str">
        <f ca="1"/>
        <v>G</v>
      </c>
      <c r="CY14" t="str">
        <f ca="1"/>
        <v>H</v>
      </c>
      <c r="DB14" s="13" t="s">
        <v>58</v>
      </c>
      <c r="DC14" s="4" t="s">
        <v>46</v>
      </c>
      <c r="DD14" s="9" t="str" cm="1">
        <f t="array" aca="1" ref="DD14:DK14" ca="1">OFFSET($M$1,0,0,1,$M$2)</f>
        <v>A</v>
      </c>
      <c r="DE14" s="9" t="str">
        <f ca="1"/>
        <v>B</v>
      </c>
      <c r="DF14" s="9" t="str">
        <f ca="1"/>
        <v>C</v>
      </c>
      <c r="DG14" s="9" t="str">
        <f ca="1"/>
        <v>D</v>
      </c>
      <c r="DH14" t="str">
        <f ca="1"/>
        <v>E</v>
      </c>
      <c r="DI14" t="str">
        <f ca="1"/>
        <v>F</v>
      </c>
      <c r="DJ14" t="str">
        <f ca="1"/>
        <v>G</v>
      </c>
      <c r="DK14" t="str">
        <f ca="1"/>
        <v>H</v>
      </c>
      <c r="DM14" s="4" t="s">
        <v>46</v>
      </c>
      <c r="DN14" s="4" t="s">
        <v>53</v>
      </c>
      <c r="DO14" s="4" t="s">
        <v>55</v>
      </c>
      <c r="DP14" s="15" t="str" cm="1">
        <f t="array" aca="1" ref="DP14" ca="1">INDEX(_xlfn.ANCHORARRAY($CR$14), 1 + MOD(COLUMNS($DP$14:DP$14) - 1, COLUMNS(_xlfn.ANCHORARRAY($CR$14))))</f>
        <v>A</v>
      </c>
      <c r="DQ14" s="15" t="str" cm="1">
        <f t="array" aca="1" ref="DQ14" ca="1">INDEX(_xlfn.ANCHORARRAY($CR$14), 1 + MOD(COLUMNS($DP$14:DQ$14) - 1, COLUMNS(_xlfn.ANCHORARRAY($CR$14))))</f>
        <v>B</v>
      </c>
      <c r="DR14" s="15" t="str" cm="1">
        <f t="array" aca="1" ref="DR14" ca="1">INDEX(_xlfn.ANCHORARRAY($CR$14), 1 + MOD(COLUMNS($DP$14:DR$14) - 1, COLUMNS(_xlfn.ANCHORARRAY($CR$14))))</f>
        <v>C</v>
      </c>
      <c r="DS14" s="15" t="str" cm="1">
        <f t="array" aca="1" ref="DS14" ca="1">INDEX(_xlfn.ANCHORARRAY($CR$14), 1 + MOD(COLUMNS($DP$14:DS$14) - 1, COLUMNS(_xlfn.ANCHORARRAY($CR$14))))</f>
        <v>D</v>
      </c>
      <c r="DT14" s="15" t="str" cm="1">
        <f t="array" aca="1" ref="DT14" ca="1">INDEX(_xlfn.ANCHORARRAY($CR$14), 1 + MOD(COLUMNS($DP$14:DT$14) - 1, COLUMNS(_xlfn.ANCHORARRAY($CR$14))))</f>
        <v>E</v>
      </c>
      <c r="DU14" s="15" t="str" cm="1">
        <f t="array" aca="1" ref="DU14" ca="1">INDEX(_xlfn.ANCHORARRAY($CR$14), 1 + MOD(COLUMNS($DP$14:DU$14) - 1, COLUMNS(_xlfn.ANCHORARRAY($CR$14))))</f>
        <v>F</v>
      </c>
      <c r="DV14" s="15" t="str" cm="1">
        <f t="array" aca="1" ref="DV14" ca="1">INDEX(_xlfn.ANCHORARRAY($CR$14), 1 + MOD(COLUMNS($DP$14:DV$14) - 1, COLUMNS(_xlfn.ANCHORARRAY($CR$14))))</f>
        <v>G</v>
      </c>
      <c r="DW14" s="15" t="str" cm="1">
        <f t="array" aca="1" ref="DW14" ca="1">INDEX(_xlfn.ANCHORARRAY($CR$14), 1 + MOD(COLUMNS($DP$14:DW$14) - 1, COLUMNS(_xlfn.ANCHORARRAY($CR$14))))</f>
        <v>H</v>
      </c>
      <c r="DX14" s="15" t="str" cm="1">
        <f t="array" aca="1" ref="DX14" ca="1">INDEX(_xlfn.ANCHORARRAY($CR$14), 1 + MOD(COLUMNS($DP$14:DX$14) - 1, COLUMNS(_xlfn.ANCHORARRAY($CR$14))))</f>
        <v>A</v>
      </c>
      <c r="DY14" s="15" t="str" cm="1">
        <f t="array" aca="1" ref="DY14" ca="1">INDEX(_xlfn.ANCHORARRAY($CR$14), 1 + MOD(COLUMNS($DP$14:DY$14) - 1, COLUMNS(_xlfn.ANCHORARRAY($CR$14))))</f>
        <v>B</v>
      </c>
      <c r="DZ14" s="15" t="str" cm="1">
        <f t="array" aca="1" ref="DZ14" ca="1">INDEX(_xlfn.ANCHORARRAY($CR$14), 1 + MOD(COLUMNS($DP$14:DZ$14) - 1, COLUMNS(_xlfn.ANCHORARRAY($CR$14))))</f>
        <v>C</v>
      </c>
      <c r="EA14" s="15" t="str" cm="1">
        <f t="array" aca="1" ref="EA14" ca="1">INDEX(_xlfn.ANCHORARRAY($CR$14), 1 + MOD(COLUMNS($DP$14:EA$14) - 1, COLUMNS(_xlfn.ANCHORARRAY($CR$14))))</f>
        <v>D</v>
      </c>
      <c r="EB14" s="15" t="str" cm="1">
        <f t="array" aca="1" ref="EB14" ca="1">INDEX(_xlfn.ANCHORARRAY($CR$14), 1 + MOD(COLUMNS($DP$14:EB$14) - 1, COLUMNS(_xlfn.ANCHORARRAY($CR$14))))</f>
        <v>E</v>
      </c>
      <c r="EC14" s="15" t="str" cm="1">
        <f t="array" aca="1" ref="EC14" ca="1">INDEX(_xlfn.ANCHORARRAY($CR$14), 1 + MOD(COLUMNS($DP$14:EC$14) - 1, COLUMNS(_xlfn.ANCHORARRAY($CR$14))))</f>
        <v>F</v>
      </c>
      <c r="ED14" s="15" t="str" cm="1">
        <f t="array" aca="1" ref="ED14" ca="1">INDEX(_xlfn.ANCHORARRAY($CR$14), 1 + MOD(COLUMNS($DP$14:ED$14) - 1, COLUMNS(_xlfn.ANCHORARRAY($CR$14))))</f>
        <v>G</v>
      </c>
      <c r="EE14" s="15" t="str" cm="1">
        <f t="array" aca="1" ref="EE14" ca="1">INDEX(_xlfn.ANCHORARRAY($CR$14), 1 + MOD(COLUMNS($DP$14:EE$14) - 1, COLUMNS(_xlfn.ANCHORARRAY($CR$14))))</f>
        <v>H</v>
      </c>
      <c r="EF14" s="15" t="str" cm="1">
        <f t="array" aca="1" ref="EF14" ca="1">INDEX(_xlfn.ANCHORARRAY($CR$14), 1 + MOD(COLUMNS($DP$14:EF$14) - 1, COLUMNS(_xlfn.ANCHORARRAY($CR$14))))</f>
        <v>A</v>
      </c>
      <c r="EG14" s="15" t="str" cm="1">
        <f t="array" aca="1" ref="EG14" ca="1">INDEX(_xlfn.ANCHORARRAY($CR$14), 1 + MOD(COLUMNS($DP$14:EG$14) - 1, COLUMNS(_xlfn.ANCHORARRAY($CR$14))))</f>
        <v>B</v>
      </c>
      <c r="EH14" s="15" t="str" cm="1">
        <f t="array" aca="1" ref="EH14" ca="1">INDEX(_xlfn.ANCHORARRAY($CR$14), 1 + MOD(COLUMNS($DP$14:EH$14) - 1, COLUMNS(_xlfn.ANCHORARRAY($CR$14))))</f>
        <v>C</v>
      </c>
      <c r="EI14" s="15" t="str" cm="1">
        <f t="array" aca="1" ref="EI14" ca="1">INDEX(_xlfn.ANCHORARRAY($CR$14), 1 + MOD(COLUMNS($DP$14:EI$14) - 1, COLUMNS(_xlfn.ANCHORARRAY($CR$14))))</f>
        <v>D</v>
      </c>
      <c r="EJ14" s="15" t="str" cm="1">
        <f t="array" aca="1" ref="EJ14" ca="1">INDEX(_xlfn.ANCHORARRAY($CR$14), 1 + MOD(COLUMNS($DP$14:EJ$14) - 1, COLUMNS(_xlfn.ANCHORARRAY($CR$14))))</f>
        <v>E</v>
      </c>
      <c r="EK14" s="15" t="str" cm="1">
        <f t="array" aca="1" ref="EK14" ca="1">INDEX(_xlfn.ANCHORARRAY($CR$14), 1 + MOD(COLUMNS($DP$14:EK$14) - 1, COLUMNS(_xlfn.ANCHORARRAY($CR$14))))</f>
        <v>F</v>
      </c>
      <c r="EL14" s="15" t="str" cm="1">
        <f t="array" aca="1" ref="EL14" ca="1">INDEX(_xlfn.ANCHORARRAY($CR$14), 1 + MOD(COLUMNS($DP$14:EL$14) - 1, COLUMNS(_xlfn.ANCHORARRAY($CR$14))))</f>
        <v>G</v>
      </c>
      <c r="EM14" s="15" t="str" cm="1">
        <f t="array" aca="1" ref="EM14" ca="1">INDEX(_xlfn.ANCHORARRAY($CR$14), 1 + MOD(COLUMNS($DP$14:EM$14) - 1, COLUMNS(_xlfn.ANCHORARRAY($CR$14))))</f>
        <v>H</v>
      </c>
      <c r="EN14" s="15" t="str" cm="1">
        <f t="array" aca="1" ref="EN14" ca="1">INDEX(_xlfn.ANCHORARRAY($CR$14), 1 + MOD(COLUMNS($DP$14:EN$14) - 1, COLUMNS(_xlfn.ANCHORARRAY($CR$14))))</f>
        <v>A</v>
      </c>
      <c r="EO14" s="15" t="str" cm="1">
        <f t="array" aca="1" ref="EO14" ca="1">INDEX(_xlfn.ANCHORARRAY($CR$14), 1 + MOD(COLUMNS($DP$14:EO$14) - 1, COLUMNS(_xlfn.ANCHORARRAY($CR$14))))</f>
        <v>B</v>
      </c>
      <c r="EP14" s="15" t="str" cm="1">
        <f t="array" aca="1" ref="EP14" ca="1">INDEX(_xlfn.ANCHORARRAY($CR$14), 1 + MOD(COLUMNS($DP$14:EP$14) - 1, COLUMNS(_xlfn.ANCHORARRAY($CR$14))))</f>
        <v>C</v>
      </c>
      <c r="EQ14" s="15" t="str" cm="1">
        <f t="array" aca="1" ref="EQ14" ca="1">INDEX(_xlfn.ANCHORARRAY($CR$14), 1 + MOD(COLUMNS($DP$14:EQ$14) - 1, COLUMNS(_xlfn.ANCHORARRAY($CR$14))))</f>
        <v>D</v>
      </c>
      <c r="ER14" s="15" t="str" cm="1">
        <f t="array" aca="1" ref="ER14" ca="1">INDEX(_xlfn.ANCHORARRAY($CR$14), 1 + MOD(COLUMNS($DP$14:ER$14) - 1, COLUMNS(_xlfn.ANCHORARRAY($CR$14))))</f>
        <v>E</v>
      </c>
      <c r="ES14" s="15" t="str" cm="1">
        <f t="array" aca="1" ref="ES14" ca="1">INDEX(_xlfn.ANCHORARRAY($CR$14), 1 + MOD(COLUMNS($DP$14:ES$14) - 1, COLUMNS(_xlfn.ANCHORARRAY($CR$14))))</f>
        <v>F</v>
      </c>
      <c r="ET14" s="15" t="str" cm="1">
        <f t="array" aca="1" ref="ET14" ca="1">INDEX(_xlfn.ANCHORARRAY($CR$14), 1 + MOD(COLUMNS($DP$14:ET$14) - 1, COLUMNS(_xlfn.ANCHORARRAY($CR$14))))</f>
        <v>G</v>
      </c>
      <c r="EU14" s="15" t="str" cm="1">
        <f t="array" aca="1" ref="EU14" ca="1">INDEX(_xlfn.ANCHORARRAY($CR$14), 1 + MOD(COLUMNS($DP$14:EU$14) - 1, COLUMNS(_xlfn.ANCHORARRAY($CR$14))))</f>
        <v>H</v>
      </c>
      <c r="EV14" s="15" t="str" cm="1">
        <f t="array" aca="1" ref="EV14" ca="1">INDEX(_xlfn.ANCHORARRAY($CR$14), 1 + MOD(COLUMNS($DP$14:EV$14) - 1, COLUMNS(_xlfn.ANCHORARRAY($CR$14))))</f>
        <v>A</v>
      </c>
      <c r="EW14" s="15" t="str" cm="1">
        <f t="array" aca="1" ref="EW14" ca="1">INDEX(_xlfn.ANCHORARRAY($CR$14), 1 + MOD(COLUMNS($DP$14:EW$14) - 1, COLUMNS(_xlfn.ANCHORARRAY($CR$14))))</f>
        <v>B</v>
      </c>
      <c r="EX14" s="15" t="str" cm="1">
        <f t="array" aca="1" ref="EX14" ca="1">INDEX(_xlfn.ANCHORARRAY($CR$14), 1 + MOD(COLUMNS($DP$14:EX$14) - 1, COLUMNS(_xlfn.ANCHORARRAY($CR$14))))</f>
        <v>C</v>
      </c>
      <c r="EY14" s="15" t="str" cm="1">
        <f t="array" aca="1" ref="EY14" ca="1">INDEX(_xlfn.ANCHORARRAY($CR$14), 1 + MOD(COLUMNS($DP$14:EY$14) - 1, COLUMNS(_xlfn.ANCHORARRAY($CR$14))))</f>
        <v>D</v>
      </c>
      <c r="EZ14" s="15" t="str" cm="1">
        <f t="array" aca="1" ref="EZ14" ca="1">INDEX(_xlfn.ANCHORARRAY($CR$14), 1 + MOD(COLUMNS($DP$14:EZ$14) - 1, COLUMNS(_xlfn.ANCHORARRAY($CR$14))))</f>
        <v>E</v>
      </c>
      <c r="FA14" s="15" t="str" cm="1">
        <f t="array" aca="1" ref="FA14" ca="1">INDEX(_xlfn.ANCHORARRAY($CR$14), 1 + MOD(COLUMNS($DP$14:FA$14) - 1, COLUMNS(_xlfn.ANCHORARRAY($CR$14))))</f>
        <v>F</v>
      </c>
      <c r="FB14" s="15" t="str" cm="1">
        <f t="array" aca="1" ref="FB14" ca="1">INDEX(_xlfn.ANCHORARRAY($CR$14), 1 + MOD(COLUMNS($DP$14:FB$14) - 1, COLUMNS(_xlfn.ANCHORARRAY($CR$14))))</f>
        <v>G</v>
      </c>
      <c r="FC14" s="15" t="str" cm="1">
        <f t="array" aca="1" ref="FC14" ca="1">INDEX(_xlfn.ANCHORARRAY($CR$14), 1 + MOD(COLUMNS($DP$14:FC$14) - 1, COLUMNS(_xlfn.ANCHORARRAY($CR$14))))</f>
        <v>H</v>
      </c>
      <c r="FD14" s="15" t="str" cm="1">
        <f t="array" aca="1" ref="FD14" ca="1">INDEX(_xlfn.ANCHORARRAY($CR$14), 1 + MOD(COLUMNS($DP$14:FD$14) - 1, COLUMNS(_xlfn.ANCHORARRAY($CR$14))))</f>
        <v>A</v>
      </c>
      <c r="FE14" s="15" t="str" cm="1">
        <f t="array" aca="1" ref="FE14" ca="1">INDEX(_xlfn.ANCHORARRAY($CR$14), 1 + MOD(COLUMNS($DP$14:FE$14) - 1, COLUMNS(_xlfn.ANCHORARRAY($CR$14))))</f>
        <v>B</v>
      </c>
      <c r="FF14" s="15" t="str" cm="1">
        <f t="array" aca="1" ref="FF14" ca="1">INDEX(_xlfn.ANCHORARRAY($CR$14), 1 + MOD(COLUMNS($DP$14:FF$14) - 1, COLUMNS(_xlfn.ANCHORARRAY($CR$14))))</f>
        <v>C</v>
      </c>
      <c r="FG14" s="15" t="str" cm="1">
        <f t="array" aca="1" ref="FG14" ca="1">INDEX(_xlfn.ANCHORARRAY($CR$14), 1 + MOD(COLUMNS($DP$14:FG$14) - 1, COLUMNS(_xlfn.ANCHORARRAY($CR$14))))</f>
        <v>D</v>
      </c>
      <c r="FH14" s="15" t="str" cm="1">
        <f t="array" aca="1" ref="FH14" ca="1">INDEX(_xlfn.ANCHORARRAY($CR$14), 1 + MOD(COLUMNS($DP$14:FH$14) - 1, COLUMNS(_xlfn.ANCHORARRAY($CR$14))))</f>
        <v>E</v>
      </c>
      <c r="FI14" s="15" t="str" cm="1">
        <f t="array" aca="1" ref="FI14" ca="1">INDEX(_xlfn.ANCHORARRAY($CR$14), 1 + MOD(COLUMNS($DP$14:FI$14) - 1, COLUMNS(_xlfn.ANCHORARRAY($CR$14))))</f>
        <v>F</v>
      </c>
      <c r="FJ14" s="15" t="str" cm="1">
        <f t="array" aca="1" ref="FJ14" ca="1">INDEX(_xlfn.ANCHORARRAY($CR$14), 1 + MOD(COLUMNS($DP$14:FJ$14) - 1, COLUMNS(_xlfn.ANCHORARRAY($CR$14))))</f>
        <v>G</v>
      </c>
      <c r="FK14" s="15" t="str" cm="1">
        <f t="array" aca="1" ref="FK14" ca="1">INDEX(_xlfn.ANCHORARRAY($CR$14), 1 + MOD(COLUMNS($DP$14:FK$14) - 1, COLUMNS(_xlfn.ANCHORARRAY($CR$14))))</f>
        <v>H</v>
      </c>
      <c r="FL14" s="15" t="str" cm="1">
        <f t="array" aca="1" ref="FL14" ca="1">INDEX(_xlfn.ANCHORARRAY($CR$14), 1 + MOD(COLUMNS($DP$14:FL$14) - 1, COLUMNS(_xlfn.ANCHORARRAY($CR$14))))</f>
        <v>A</v>
      </c>
      <c r="FM14" s="15" t="str" cm="1">
        <f t="array" aca="1" ref="FM14" ca="1">INDEX(_xlfn.ANCHORARRAY($CR$14), 1 + MOD(COLUMNS($DP$14:FM$14) - 1, COLUMNS(_xlfn.ANCHORARRAY($CR$14))))</f>
        <v>B</v>
      </c>
      <c r="FN14" s="15" t="str" cm="1">
        <f t="array" aca="1" ref="FN14" ca="1">INDEX(_xlfn.ANCHORARRAY($CR$14), 1 + MOD(COLUMNS($DP$14:FN$14) - 1, COLUMNS(_xlfn.ANCHORARRAY($CR$14))))</f>
        <v>C</v>
      </c>
      <c r="FO14" s="15" t="str" cm="1">
        <f t="array" aca="1" ref="FO14" ca="1">INDEX(_xlfn.ANCHORARRAY($CR$14), 1 + MOD(COLUMNS($DP$14:FO$14) - 1, COLUMNS(_xlfn.ANCHORARRAY($CR$14))))</f>
        <v>D</v>
      </c>
      <c r="FP14" s="15" t="str" cm="1">
        <f t="array" aca="1" ref="FP14" ca="1">INDEX(_xlfn.ANCHORARRAY($CR$14), 1 + MOD(COLUMNS($DP$14:FP$14) - 1, COLUMNS(_xlfn.ANCHORARRAY($CR$14))))</f>
        <v>E</v>
      </c>
      <c r="FQ14" s="15" t="str" cm="1">
        <f t="array" aca="1" ref="FQ14" ca="1">INDEX(_xlfn.ANCHORARRAY($CR$14), 1 + MOD(COLUMNS($DP$14:FQ$14) - 1, COLUMNS(_xlfn.ANCHORARRAY($CR$14))))</f>
        <v>F</v>
      </c>
      <c r="FR14" s="15" t="str" cm="1">
        <f t="array" aca="1" ref="FR14" ca="1">INDEX(_xlfn.ANCHORARRAY($CR$14), 1 + MOD(COLUMNS($DP$14:FR$14) - 1, COLUMNS(_xlfn.ANCHORARRAY($CR$14))))</f>
        <v>G</v>
      </c>
      <c r="FS14" s="15" t="str" cm="1">
        <f t="array" aca="1" ref="FS14" ca="1">INDEX(_xlfn.ANCHORARRAY($CR$14), 1 + MOD(COLUMNS($DP$14:FS$14) - 1, COLUMNS(_xlfn.ANCHORARRAY($CR$14))))</f>
        <v>H</v>
      </c>
      <c r="FT14" s="15" t="str" cm="1">
        <f t="array" aca="1" ref="FT14" ca="1">INDEX(_xlfn.ANCHORARRAY($CR$14), 1 + MOD(COLUMNS($DP$14:FT$14) - 1, COLUMNS(_xlfn.ANCHORARRAY($CR$14))))</f>
        <v>A</v>
      </c>
      <c r="FU14" s="15" t="str" cm="1">
        <f t="array" aca="1" ref="FU14" ca="1">INDEX(_xlfn.ANCHORARRAY($CR$14), 1 + MOD(COLUMNS($DP$14:FU$14) - 1, COLUMNS(_xlfn.ANCHORARRAY($CR$14))))</f>
        <v>B</v>
      </c>
      <c r="FV14" s="15" t="str" cm="1">
        <f t="array" aca="1" ref="FV14" ca="1">INDEX(_xlfn.ANCHORARRAY($CR$14), 1 + MOD(COLUMNS($DP$14:FV$14) - 1, COLUMNS(_xlfn.ANCHORARRAY($CR$14))))</f>
        <v>C</v>
      </c>
      <c r="FW14" s="15" t="str" cm="1">
        <f t="array" aca="1" ref="FW14" ca="1">INDEX(_xlfn.ANCHORARRAY($CR$14), 1 + MOD(COLUMNS($DP$14:FW$14) - 1, COLUMNS(_xlfn.ANCHORARRAY($CR$14))))</f>
        <v>D</v>
      </c>
      <c r="FX14" s="15" t="str" cm="1">
        <f t="array" aca="1" ref="FX14" ca="1">INDEX(_xlfn.ANCHORARRAY($CR$14), 1 + MOD(COLUMNS($DP$14:FX$14) - 1, COLUMNS(_xlfn.ANCHORARRAY($CR$14))))</f>
        <v>E</v>
      </c>
      <c r="FY14" s="15" t="str" cm="1">
        <f t="array" aca="1" ref="FY14" ca="1">INDEX(_xlfn.ANCHORARRAY($CR$14), 1 + MOD(COLUMNS($DP$14:FY$14) - 1, COLUMNS(_xlfn.ANCHORARRAY($CR$14))))</f>
        <v>F</v>
      </c>
      <c r="FZ14" s="15" t="str" cm="1">
        <f t="array" aca="1" ref="FZ14" ca="1">INDEX(_xlfn.ANCHORARRAY($CR$14), 1 + MOD(COLUMNS($DP$14:FZ$14) - 1, COLUMNS(_xlfn.ANCHORARRAY($CR$14))))</f>
        <v>G</v>
      </c>
      <c r="GA14" s="15" t="str" cm="1">
        <f t="array" aca="1" ref="GA14" ca="1">INDEX(_xlfn.ANCHORARRAY($CR$14), 1 + MOD(COLUMNS($DP$14:GA$14) - 1, COLUMNS(_xlfn.ANCHORARRAY($CR$14))))</f>
        <v>H</v>
      </c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</row>
    <row r="15" spans="1:212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0.25</v>
      </c>
      <c r="H15" s="10" cm="1">
        <f t="array" aca="1" ref="H15:H33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0.9</v>
      </c>
      <c r="K15" t="b">
        <f t="shared" ref="K15:K37" ca="1" si="4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5">AND(L15&lt;$B$2,K15)</f>
        <v>1</v>
      </c>
      <c r="N15" s="2" cm="1">
        <f t="array" ref="N15:N37">_xlfn.SEQUENCE($B$8, 1, 0, 1)</f>
        <v>0</v>
      </c>
      <c r="O15" s="12" t="s">
        <v>11</v>
      </c>
      <c r="P15" s="9" t="s">
        <v>11</v>
      </c>
      <c r="Q15" s="9" t="s">
        <v>11</v>
      </c>
      <c r="R15" s="9" t="s">
        <v>11</v>
      </c>
      <c r="S15" s="9" t="s">
        <v>11</v>
      </c>
      <c r="T15" s="12" t="s">
        <v>11</v>
      </c>
      <c r="U15" s="9" t="s">
        <v>11</v>
      </c>
      <c r="V15" s="9" t="s">
        <v>11</v>
      </c>
      <c r="W15" s="9" t="s">
        <v>11</v>
      </c>
      <c r="X15" s="9" t="s">
        <v>11</v>
      </c>
      <c r="Y15" s="12" t="s">
        <v>0</v>
      </c>
      <c r="Z15" s="9" t="s">
        <v>0</v>
      </c>
      <c r="AA15" s="9" t="s">
        <v>1</v>
      </c>
      <c r="AB15" s="9" t="s">
        <v>1</v>
      </c>
      <c r="AC15" s="9" t="s">
        <v>2</v>
      </c>
      <c r="AD15" s="12" t="s">
        <v>2</v>
      </c>
      <c r="AE15" s="9" t="s">
        <v>5</v>
      </c>
      <c r="AF15" s="9" t="s">
        <v>5</v>
      </c>
      <c r="AG15" s="9" t="s">
        <v>3</v>
      </c>
      <c r="AH15" s="9" t="s">
        <v>3</v>
      </c>
      <c r="AI15" s="12" t="s">
        <v>6</v>
      </c>
      <c r="AJ15" s="9" t="s">
        <v>11</v>
      </c>
      <c r="AK15" s="7"/>
      <c r="AN15">
        <f t="shared" ref="AN15:AN34" ca="1" si="6">COUNTIF(AQ15:BJ15,"&gt;="&amp;$B$4)</f>
        <v>4</v>
      </c>
      <c r="AO15" s="14">
        <f t="shared" ref="AO15:AO34" ca="1" si="7">1/AN15</f>
        <v>0.25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
) / $B$13)</f>
        <v>0.9</v>
      </c>
      <c r="AS15" cm="1">
        <f t="array" aca="1" ref="AS15" ca="1">IF($AP15=AS$14, 1, SUMPRODUCT(
    --(OFFSET($O$13,0,0,1,$B$9)=TRUE),
    --(INDEX(OFFSET($O$15,0,0,$B$8,$B$9), 1+$AP15, 0) = INDEX(OFFSET($O$15,0,0,$B$8,$B$9), 1+AS$14, 0))
) / $B$13)</f>
        <v>1</v>
      </c>
      <c r="AT15" cm="1">
        <f t="array" aca="1" ref="AT15" ca="1">IF($AP15=AT$14, 1, SUMPRODUCT(
    --(OFFSET($O$13,0,0,1,$B$9)=TRUE),
    --(INDEX(OFFSET($O$15,0,0,$B$8,$B$9), 1+$AP15, 0) = INDEX(OFFSET($O$15,0,0,$B$8,$B$9), 1+AT$14, 0))
) / $B$13)</f>
        <v>1</v>
      </c>
      <c r="AU15" cm="1">
        <f t="array" aca="1" ref="AU15" ca="1">IF($AP15=AU$14, 1, SUMPRODUCT(
    --(OFFSET($O$13,0,0,1,$B$9)=TRUE),
    --(INDEX(OFFSET($O$15,0,0,$B$8,$B$9), 1+$AP15, 0) = INDEX(OFFSET($O$15,0,0,$B$8,$B$9), 1+AU$14, 0))
) / $B$13)</f>
        <v>1</v>
      </c>
      <c r="AV15" cm="1">
        <f t="array" aca="1" ref="AV15" ca="1">IF($AP15=AV$14, 1, SUMPRODUCT(
    --(OFFSET($O$13,0,0,1,$B$9)=TRUE),
    --(INDEX(OFFSET($O$15,0,0,$B$8,$B$9), 1+$AP15, 0) = INDEX(OFFSET($O$15,0,0,$B$8,$B$9), 1+AV$14, 0))
) / $B$13)</f>
        <v>0.9</v>
      </c>
      <c r="AW15" cm="1">
        <f t="array" aca="1" ref="AW15" ca="1">IF($AP15=AW$14, 1, SUMPRODUCT(
    --(OFFSET($O$13,0,0,1,$B$9)=TRUE),
    --(INDEX(OFFSET($O$15,0,0,$B$8,$B$9), 1+$AP15, 0) = INDEX(OFFSET($O$15,0,0,$B$8,$B$9), 1+AW$14, 0))
) / $B$13)</f>
        <v>0.85</v>
      </c>
      <c r="AX15" cm="1">
        <f t="array" aca="1" ref="AX15" ca="1">IF($AP15=AX$14, 1, SUMPRODUCT(
    --(OFFSET($O$13,0,0,1,$B$9)=TRUE),
    --(INDEX(OFFSET($O$15,0,0,$B$8,$B$9), 1+$AP15, 0) = INDEX(OFFSET($O$15,0,0,$B$8,$B$9), 1+AX$14, 0))
) / $B$13)</f>
        <v>0.85</v>
      </c>
      <c r="AY15" cm="1">
        <f t="array" aca="1" ref="AY15" ca="1">IF($AP15=AY$14, 1, SUMPRODUCT(
    --(OFFSET($O$13,0,0,1,$B$9)=TRUE),
    --(INDEX(OFFSET($O$15,0,0,$B$8,$B$9), 1+$AP15, 0) = INDEX(OFFSET($O$15,0,0,$B$8,$B$9), 1+AY$14, 0))
) / $B$13)</f>
        <v>0.9</v>
      </c>
      <c r="AZ15" cm="1">
        <f t="array" aca="1" ref="AZ15" ca="1">IF($AP15=AZ$14, 1, SUMPRODUCT(
    --(OFFSET($O$13,0,0,1,$B$9)=TRUE),
    --(INDEX(OFFSET($O$15,0,0,$B$8,$B$9), 1+$AP15, 0) = INDEX(OFFSET($O$15,0,0,$B$8,$B$9), 1+AZ$14, 0))
) / $B$13)</f>
        <v>0.9</v>
      </c>
      <c r="BA15" cm="1">
        <f t="array" aca="1" ref="BA15" ca="1">IF($AP15=BA$14, 1, SUMPRODUCT(
    --(OFFSET($O$13,0,0,1,$B$9)=TRUE),
    --(INDEX(OFFSET($O$15,0,0,$B$8,$B$9), 1+$AP15, 0) = INDEX(OFFSET($O$15,0,0,$B$8,$B$9), 1+BA$14, 0))
) / $B$13)</f>
        <v>0.9</v>
      </c>
      <c r="BB15" cm="1">
        <f t="array" aca="1" ref="BB15" ca="1">IF($AP15=BB$14, 1, SUMPRODUCT(
    --(OFFSET($O$13,0,0,1,$B$9)=TRUE),
    --(INDEX(OFFSET($O$15,0,0,$B$8,$B$9), 1+$AP15, 0) = INDEX(OFFSET($O$15,0,0,$B$8,$B$9), 1+BB$14, 0))
) / $B$13)</f>
        <v>0.9</v>
      </c>
      <c r="BC15" cm="1">
        <f t="array" aca="1" ref="BC15" ca="1">IF($AP15=BC$14, 1, SUMPRODUCT(
    --(OFFSET($O$13,0,0,1,$B$9)=TRUE),
    --(INDEX(OFFSET($O$15,0,0,$B$8,$B$9), 1+$AP15, 0) = INDEX(OFFSET($O$15,0,0,$B$8,$B$9), 1+BC$14, 0))
) / $B$13)</f>
        <v>0.9</v>
      </c>
      <c r="BD15" cm="1">
        <f t="array" aca="1" ref="BD15" ca="1">IF($AP15=BD$14, 1, SUMPRODUCT(
    --(OFFSET($O$13,0,0,1,$B$9)=TRUE),
    --(INDEX(OFFSET($O$15,0,0,$B$8,$B$9), 1+$AP15, 0) = INDEX(OFFSET($O$15,0,0,$B$8,$B$9), 1+BD$14, 0))
) / $B$13)</f>
        <v>0.85</v>
      </c>
      <c r="BE15" cm="1">
        <f t="array" aca="1" ref="BE15" ca="1">IF($AP15=BE$14, 1, SUMPRODUCT(
    --(OFFSET($O$13,0,0,1,$B$9)=TRUE),
    --(INDEX(OFFSET($O$15,0,0,$B$8,$B$9), 1+$AP15, 0) = INDEX(OFFSET($O$15,0,0,$B$8,$B$9), 1+BE$14, 0))
) / $B$13)</f>
        <v>0.8</v>
      </c>
      <c r="BF15" cm="1">
        <f t="array" aca="1" ref="BF15" ca="1">IF($AP15=BF$14, 1, SUMPRODUCT(
    --(OFFSET($O$13,0,0,1,$B$9)=TRUE),
    --(INDEX(OFFSET($O$15,0,0,$B$8,$B$9), 1+$AP15, 0) = INDEX(OFFSET($O$15,0,0,$B$8,$B$9), 1+BF$14, 0))
) / $B$13)</f>
        <v>0.8</v>
      </c>
      <c r="BG15" cm="1">
        <f t="array" aca="1" ref="BG15" ca="1">IF($AP15=BG$14, 1, SUMPRODUCT(
    --(OFFSET($O$13,0,0,1,$B$9)=TRUE),
    --(INDEX(OFFSET($O$15,0,0,$B$8,$B$9), 1+$AP15, 0) = INDEX(OFFSET($O$15,0,0,$B$8,$B$9), 1+BG$14, 0))
) / $B$13)</f>
        <v>0.85</v>
      </c>
      <c r="BH15" cm="1">
        <f t="array" aca="1" ref="BH15" ca="1">IF($AP15=BH$14, 1, SUMPRODUCT(
    --(OFFSET($O$13,0,0,1,$B$9)=TRUE),
    --(INDEX(OFFSET($O$15,0,0,$B$8,$B$9), 1+$AP15, 0) = INDEX(OFFSET($O$15,0,0,$B$8,$B$9), 1+BH$14, 0))
) / $B$13)</f>
        <v>0.8</v>
      </c>
      <c r="BI15" cm="1">
        <f t="array" aca="1" ref="BI15" ca="1">IF($AP15=BI$14, 1, SUMPRODUCT(
    --(OFFSET($O$13,0,0,1,$B$9)=TRUE),
    --(INDEX(OFFSET($O$15,0,0,$B$8,$B$9), 1+$AP15, 0) = INDEX(OFFSET($O$15,0,0,$B$8,$B$9), 1+BI$14, 0))
) / $B$13)</f>
        <v>0.85</v>
      </c>
      <c r="BJ15" cm="1">
        <f t="array" aca="1" ref="BJ15" ca="1">IF($AP15=BJ$14, 1, SUMPRODUCT(
    --(OFFSET($O$13,0,0,1,$B$9)=TRUE),
    --(INDEX(OFFSET($O$15,0,0,$B$8,$B$9), 1+$AP15, 0) = INDEX(OFFSET($O$15,0,0,$B$8,$B$9), 1+BJ$14, 0))
) / $B$13)</f>
        <v>0.85</v>
      </c>
      <c r="BN15">
        <f t="shared" ref="BN15:BN34" ca="1" si="8">COUNTIF(BQ15:CJ15,"&gt;="&amp;$B$4)</f>
        <v>4</v>
      </c>
      <c r="BO15" s="14">
        <f t="shared" ref="BO15:BO34" ca="1" si="9">1/BN15</f>
        <v>0.25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
) / $B$16)</f>
        <v>0.89473684210526316</v>
      </c>
      <c r="BS15" cm="1">
        <f t="array" aca="1" ref="BS15" ca="1">IF($BP15=BS$14, 1, SUMPRODUCT(
    --(OFFSET($O$9,0,0,1,$B$9)=TRUE),
    --(INDEX(OFFSET($O$15,0,0,$B$8,$B$9), 1+$BP15, 0) = INDEX(OFFSET($O$15,0,0,$B$8,$B$9), 1+BS$14, 0))
) / $B$16)</f>
        <v>1</v>
      </c>
      <c r="BT15" cm="1">
        <f t="array" aca="1" ref="BT15" ca="1">IF($BP15=BT$14, 1, SUMPRODUCT(
    --(OFFSET($O$9,0,0,1,$B$9)=TRUE),
    --(INDEX(OFFSET($O$15,0,0,$B$8,$B$9), 1+$BP15, 0) = INDEX(OFFSET($O$15,0,0,$B$8,$B$9), 1+BT$14, 0))
) / $B$16)</f>
        <v>1</v>
      </c>
      <c r="BU15" cm="1">
        <f t="array" aca="1" ref="BU15" ca="1">IF($BP15=BU$14, 1, SUMPRODUCT(
    --(OFFSET($O$9,0,0,1,$B$9)=TRUE),
    --(INDEX(OFFSET($O$15,0,0,$B$8,$B$9), 1+$BP15, 0) = INDEX(OFFSET($O$15,0,0,$B$8,$B$9), 1+BU$14, 0))
) / $B$16)</f>
        <v>1</v>
      </c>
      <c r="BV15" cm="1">
        <f t="array" aca="1" ref="BV15" ca="1">IF($BP15=BV$14, 1, SUMPRODUCT(
    --(OFFSET($O$9,0,0,1,$B$9)=TRUE),
    --(INDEX(OFFSET($O$15,0,0,$B$8,$B$9), 1+$BP15, 0) = INDEX(OFFSET($O$15,0,0,$B$8,$B$9), 1+BV$14, 0))
) / $B$16)</f>
        <v>0.89473684210526316</v>
      </c>
      <c r="BW15" cm="1">
        <f t="array" aca="1" ref="BW15" ca="1">IF($BP15=BW$14, 1, SUMPRODUCT(
    --(OFFSET($O$9,0,0,1,$B$9)=TRUE),
    --(INDEX(OFFSET($O$15,0,0,$B$8,$B$9), 1+$BP15, 0) = INDEX(OFFSET($O$15,0,0,$B$8,$B$9), 1+BW$14, 0))
) / $B$16)</f>
        <v>0.84210526315789469</v>
      </c>
      <c r="BX15" cm="1">
        <f t="array" aca="1" ref="BX15" ca="1">IF($BP15=BX$14, 1, SUMPRODUCT(
    --(OFFSET($O$9,0,0,1,$B$9)=TRUE),
    --(INDEX(OFFSET($O$15,0,0,$B$8,$B$9), 1+$BP15, 0) = INDEX(OFFSET($O$15,0,0,$B$8,$B$9), 1+BX$14, 0))
) / $B$16)</f>
        <v>0.84210526315789469</v>
      </c>
      <c r="BY15" cm="1">
        <f t="array" aca="1" ref="BY15" ca="1">IF($BP15=BY$14, 1, SUMPRODUCT(
    --(OFFSET($O$9,0,0,1,$B$9)=TRUE),
    --(INDEX(OFFSET($O$15,0,0,$B$8,$B$9), 1+$BP15, 0) = INDEX(OFFSET($O$15,0,0,$B$8,$B$9), 1+BY$14, 0))
) / $B$16)</f>
        <v>0.89473684210526316</v>
      </c>
      <c r="BZ15" cm="1">
        <f t="array" aca="1" ref="BZ15" ca="1">IF($BP15=BZ$14, 1, SUMPRODUCT(
    --(OFFSET($O$9,0,0,1,$B$9)=TRUE),
    --(INDEX(OFFSET($O$15,0,0,$B$8,$B$9), 1+$BP15, 0) = INDEX(OFFSET($O$15,0,0,$B$8,$B$9), 1+BZ$14, 0))
) / $B$16)</f>
        <v>0.89473684210526316</v>
      </c>
      <c r="CA15" cm="1">
        <f t="array" aca="1" ref="CA15" ca="1">IF($BP15=CA$14, 1, SUMPRODUCT(
    --(OFFSET($O$9,0,0,1,$B$9)=TRUE),
    --(INDEX(OFFSET($O$15,0,0,$B$8,$B$9), 1+$BP15, 0) = INDEX(OFFSET($O$15,0,0,$B$8,$B$9), 1+CA$14, 0))
) / $B$16)</f>
        <v>0.89473684210526316</v>
      </c>
      <c r="CB15" cm="1">
        <f t="array" aca="1" ref="CB15" ca="1">IF($BP15=CB$14, 1, SUMPRODUCT(
    --(OFFSET($O$9,0,0,1,$B$9)=TRUE),
    --(INDEX(OFFSET($O$15,0,0,$B$8,$B$9), 1+$BP15, 0) = INDEX(OFFSET($O$15,0,0,$B$8,$B$9), 1+CB$14, 0))
) / $B$16)</f>
        <v>0.89473684210526316</v>
      </c>
      <c r="CC15" cm="1">
        <f t="array" aca="1" ref="CC15" ca="1">IF($BP15=CC$14, 1, SUMPRODUCT(
    --(OFFSET($O$9,0,0,1,$B$9)=TRUE),
    --(INDEX(OFFSET($O$15,0,0,$B$8,$B$9), 1+$BP15, 0) = INDEX(OFFSET($O$15,0,0,$B$8,$B$9), 1+CC$14, 0))
) / $B$16)</f>
        <v>0.89473684210526316</v>
      </c>
      <c r="CD15" cm="1">
        <f t="array" aca="1" ref="CD15" ca="1">IF($BP15=CD$14, 1, SUMPRODUCT(
    --(OFFSET($O$9,0,0,1,$B$9)=TRUE),
    --(INDEX(OFFSET($O$15,0,0,$B$8,$B$9), 1+$BP15, 0) = INDEX(OFFSET($O$15,0,0,$B$8,$B$9), 1+CD$14, 0))
) / $B$16)</f>
        <v>0.89473684210526316</v>
      </c>
      <c r="CE15" cm="1">
        <f t="array" aca="1" ref="CE15" ca="1">IF($BP15=CE$14, 1, SUMPRODUCT(
    --(OFFSET($O$9,0,0,1,$B$9)=TRUE),
    --(INDEX(OFFSET($O$15,0,0,$B$8,$B$9), 1+$BP15, 0) = INDEX(OFFSET($O$15,0,0,$B$8,$B$9), 1+CE$14, 0))
) / $B$16)</f>
        <v>0.84210526315789469</v>
      </c>
      <c r="CF15" cm="1">
        <f t="array" aca="1" ref="CF15" ca="1">IF($BP15=CF$14, 1, SUMPRODUCT(
    --(OFFSET($O$9,0,0,1,$B$9)=TRUE),
    --(INDEX(OFFSET($O$15,0,0,$B$8,$B$9), 1+$BP15, 0) = INDEX(OFFSET($O$15,0,0,$B$8,$B$9), 1+CF$14, 0))
) / $B$16)</f>
        <v>0.84210526315789469</v>
      </c>
      <c r="CG15" cm="1">
        <f t="array" aca="1" ref="CG15" ca="1">IF($BP15=CG$14, 1, SUMPRODUCT(
    --(OFFSET($O$9,0,0,1,$B$9)=TRUE),
    --(INDEX(OFFSET($O$15,0,0,$B$8,$B$9), 1+$BP15, 0) = INDEX(OFFSET($O$15,0,0,$B$8,$B$9), 1+CG$14, 0))
) / $B$16)</f>
        <v>0.89473684210526316</v>
      </c>
      <c r="CH15" cm="1">
        <f t="array" aca="1" ref="CH15" ca="1">IF($BP15=CH$14, 1, SUMPRODUCT(
    --(OFFSET($O$9,0,0,1,$B$9)=TRUE),
    --(INDEX(OFFSET($O$15,0,0,$B$8,$B$9), 1+$BP15, 0) = INDEX(OFFSET($O$15,0,0,$B$8,$B$9), 1+CH$14, 0))
) / $B$16)</f>
        <v>0.84210526315789469</v>
      </c>
      <c r="CI15" cm="1">
        <f t="array" aca="1" ref="CI15" ca="1">IF($BP15=CI$14, 1, SUMPRODUCT(
    --(OFFSET($O$9,0,0,1,$B$9)=TRUE),
    --(INDEX(OFFSET($O$15,0,0,$B$8,$B$9), 1+$BP15, 0) = INDEX(OFFSET($O$15,0,0,$B$8,$B$9), 1+CI$14, 0))
) / $B$16)</f>
        <v>0.89473684210526316</v>
      </c>
      <c r="CJ15" cm="1">
        <f t="array" aca="1" ref="CJ15" ca="1">IF($BP15=CJ$14, 1, SUMPRODUCT(
    --(OFFSET($O$9,0,0,1,$B$9)=TRUE),
    --(INDEX(OFFSET($O$15,0,0,$B$8,$B$9), 1+$BP15, 0) = INDEX(OFFSET($O$15,0,0,$B$8,$B$9), 1+CJ$14, 0))
) / $B$16)</f>
        <v>0.84210526315789469</v>
      </c>
      <c r="CP15" cm="1">
        <f t="array" aca="1" ref="CP15:CP33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3.3333333333333331E-3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3.3333333333333331E-3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3.3333333333333331E-3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3.3333333333333331E-3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3.3333333333333331E-3</v>
      </c>
      <c r="CV15" s="10" cm="1">
        <f t="array" aca="1" ref="CV15" ca="1">(1-$B$18)*SUMPRODUCT(OFFSET($BO$15,0,0,$B$14,1), 1*(_xlfn._xlws.FILTER(OFFSET($O$15,0,$CP15,$B$8,1), OFFSET($M$15,0,0,$B$8,1))=CV$14))   /   SUM(OFFSET($BO$15,0,0,$B$14,1)) + $B$18/$B$19</f>
        <v>3.3333333333333331E-3</v>
      </c>
      <c r="CW15" s="10" cm="1">
        <f t="array" aca="1" ref="CW15" ca="1">(1-$B$18)*SUMPRODUCT(OFFSET($BO$15,0,0,$B$14,1), 1*(_xlfn._xlws.FILTER(OFFSET($O$15,0,$CP15,$B$8,1), OFFSET($M$15,0,0,$B$8,1))=CW$14))   /   SUM(OFFSET($BO$15,0,0,$B$14,1)) + $B$18/$B$19</f>
        <v>3.3333333333333331E-3</v>
      </c>
      <c r="CX15" s="10" cm="1">
        <f t="array" aca="1" ref="CX15" ca="1">(1-$B$18)*SUMPRODUCT(OFFSET($BO$15,0,0,$B$14,1), 1*(_xlfn._xlws.FILTER(OFFSET($O$15,0,$CP15,$B$8,1), OFFSET($M$15,0,0,$B$8,1))=CX$14))   /   SUM(OFFSET($BO$15,0,0,$B$14,1)) + $B$18/$B$19</f>
        <v>0.97333333333333327</v>
      </c>
      <c r="CY15" s="10" cm="1">
        <f t="array" aca="1" ref="CY15" ca="1">(1-$B$18)*SUMPRODUCT(OFFSET($BO$15,0,0,$B$14,1), 1*(_xlfn._xlws.FILTER(OFFSET($O$15,0,$CP15,$B$8,1), OFFSET($M$15,0,0,$B$8,1))=CY$14))   /   SUM(OFFSET($BO$15,0,0,$B$14,1)) + $B$18/$B$19</f>
        <v>3.3333333333333331E-3</v>
      </c>
      <c r="DB15" s="10" cm="1">
        <f t="array" aca="1" ref="DB15" ca="1">SUM(OFFSET($CR15,0,0,1,$M$2)*LN(OFFSET($CR15,0,0,1,$M$2)/OFFSET($CR$11,0,0,1,$M$2)))+IF($CQ$11&gt;0,OFFSET($O$10,0,$CP15,1,1)*LN(OFFSET($O$10,0,$CP15,1,1)/$CQ$11),0)</f>
        <v>1.9131139043413501</v>
      </c>
      <c r="DC15" cm="1">
        <f t="array" aca="1" ref="DC15:DC33" ca="1">TRANSPOSE(_xlfn._xlws.FILTER(OFFSET($O$14,0,0,1,$B$9),OFFSET($O$9,0,0,1,$B$9)))</f>
        <v>0</v>
      </c>
      <c r="DD15" s="10">
        <f ca="1">CR15*LN(CR15/CR$10) + (1 - CR15)*LN((1-CR15)/(1-CR$10))</f>
        <v>0.11767737994455678</v>
      </c>
      <c r="DE15" s="10">
        <f t="shared" ref="DE15:DK30" ca="1" si="10">CS15*LN(CS15/CS$10) + (1 - CS15)*LN((1-CS15)/(1-CS$10))</f>
        <v>0.11767737994455678</v>
      </c>
      <c r="DF15" s="10">
        <f t="shared" ca="1" si="10"/>
        <v>0.11767737994455678</v>
      </c>
      <c r="DG15" s="10">
        <f t="shared" ca="1" si="10"/>
        <v>0.11767737994455678</v>
      </c>
      <c r="DH15" s="10">
        <f t="shared" ca="1" si="10"/>
        <v>0.11767737994455678</v>
      </c>
      <c r="DI15" s="10">
        <f t="shared" ca="1" si="10"/>
        <v>0.11767737994455678</v>
      </c>
      <c r="DJ15" s="10">
        <f t="shared" ca="1" si="10"/>
        <v>1.9045936050347492</v>
      </c>
      <c r="DK15" s="10">
        <f t="shared" ca="1" si="10"/>
        <v>0.11767737994455678</v>
      </c>
      <c r="DN15" cm="1">
        <f t="array" aca="1" ref="DN15" ca="1">INDEX(_xlfn.ANCHORARRAY($CP$15), 1 + INT((ROWS($DO$15:$DO15) - 1) / ROWS(_xlfn.ANCHORARRAY($CP$15))))</f>
        <v>0</v>
      </c>
      <c r="DO15" cm="1">
        <f t="array" aca="1" ref="DO15" ca="1">INDEX(_xlfn.ANCHORARRAY($CP$15),1+MOD(ROWS($DO$15:$DO15)-1,ROWS(_xlfn.ANCHORARRAY($CP$15))))</f>
        <v>0</v>
      </c>
      <c r="DP15" s="10" cm="1">
        <f t="array" aca="1" ref="DP15" ca="1">(1-$B$18)*SUMPRODUCT(OFFSET($BO$15,0,0,$B$14,1), 1*(_xlfn._xlws.FILTER(OFFSET($O$15,0,$DN15,$B$8,1),OFFSET($M$15,0,0,$B$8,1))=DP$13), 1*(_xlfn._xlws.FILTER(OFFSET($O$15,0,$DO15,$B$8,1),OFFSET($M$15,0,0,$B$8,1))=DP$14))   /   SUM(OFFSET($BO$15,0,0,$B$14,1)) + $B$18/($B$19*$B$19*($DN15&lt;&gt;$DO15) + $B$19*($DN15=$DO15))</f>
        <v>3.3333333333333331E-3</v>
      </c>
      <c r="DQ15" s="10" cm="1">
        <f t="array" aca="1" ref="DQ15" ca="1">(1-$B$18)*SUMPRODUCT(OFFSET($BO$15,0,0,$B$14,1), 1*(_xlfn._xlws.FILTER(OFFSET($O$15,0,$DN15,$B$8,1),OFFSET($M$15,0,0,$B$8,1))=DQ$13), 1*(_xlfn._xlws.FILTER(OFFSET($O$15,0,$DO15,$B$8,1),OFFSET($M$15,0,0,$B$8,1))=DQ$14))   /   SUM(OFFSET($BO$15,0,0,$B$14,1)) + $B$18/($B$19*$B$19*($DN15&lt;&gt;$DO15) + $B$19*($DN15=$DO15))</f>
        <v>3.3333333333333331E-3</v>
      </c>
      <c r="DR15" s="10" cm="1">
        <f t="array" aca="1" ref="DR15" ca="1">(1-$B$18)*SUMPRODUCT(OFFSET($BO$15,0,0,$B$14,1), 1*(_xlfn._xlws.FILTER(OFFSET($O$15,0,$DN15,$B$8,1),OFFSET($M$15,0,0,$B$8,1))=DR$13), 1*(_xlfn._xlws.FILTER(OFFSET($O$15,0,$DO15,$B$8,1),OFFSET($M$15,0,0,$B$8,1))=DR$14))   /   SUM(OFFSET($BO$15,0,0,$B$14,1)) + $B$18/($B$19*$B$19*($DN15&lt;&gt;$DO15) + $B$19*($DN15=$DO15))</f>
        <v>3.3333333333333331E-3</v>
      </c>
      <c r="DS15" s="10" cm="1">
        <f t="array" aca="1" ref="DS15" ca="1">(1-$B$18)*SUMPRODUCT(OFFSET($BO$15,0,0,$B$14,1), 1*(_xlfn._xlws.FILTER(OFFSET($O$15,0,$DN15,$B$8,1),OFFSET($M$15,0,0,$B$8,1))=DS$13), 1*(_xlfn._xlws.FILTER(OFFSET($O$15,0,$DO15,$B$8,1),OFFSET($M$15,0,0,$B$8,1))=DS$14))   /   SUM(OFFSET($BO$15,0,0,$B$14,1)) + $B$18/($B$19*$B$19*($DN15&lt;&gt;$DO15) + $B$19*($DN15=$DO15))</f>
        <v>3.3333333333333331E-3</v>
      </c>
      <c r="DT15" s="10" cm="1">
        <f t="array" aca="1" ref="DT15" ca="1">(1-$B$18)*SUMPRODUCT(OFFSET($BO$15,0,0,$B$14,1), 1*(_xlfn._xlws.FILTER(OFFSET($O$15,0,$DN15,$B$8,1),OFFSET($M$15,0,0,$B$8,1))=DT$13), 1*(_xlfn._xlws.FILTER(OFFSET($O$15,0,$DO15,$B$8,1),OFFSET($M$15,0,0,$B$8,1))=DT$14))   /   SUM(OFFSET($BO$15,0,0,$B$14,1)) + $B$18/($B$19*$B$19*($DN15&lt;&gt;$DO15) + $B$19*($DN15=$DO15))</f>
        <v>3.3333333333333331E-3</v>
      </c>
      <c r="DU15" s="10" cm="1">
        <f t="array" aca="1" ref="DU15" ca="1">(1-$B$18)*SUMPRODUCT(OFFSET($BO$15,0,0,$B$14,1), 1*(_xlfn._xlws.FILTER(OFFSET($O$15,0,$DN15,$B$8,1),OFFSET($M$15,0,0,$B$8,1))=DU$13), 1*(_xlfn._xlws.FILTER(OFFSET($O$15,0,$DO15,$B$8,1),OFFSET($M$15,0,0,$B$8,1))=DU$14))   /   SUM(OFFSET($BO$15,0,0,$B$14,1)) + $B$18/($B$19*$B$19*($DN15&lt;&gt;$DO15) + $B$19*($DN15=$DO15))</f>
        <v>3.3333333333333331E-3</v>
      </c>
      <c r="DV15" s="10" cm="1">
        <f t="array" aca="1" ref="DV15" ca="1">(1-$B$18)*SUMPRODUCT(OFFSET($BO$15,0,0,$B$14,1), 1*(_xlfn._xlws.FILTER(OFFSET($O$15,0,$DN15,$B$8,1),OFFSET($M$15,0,0,$B$8,1))=DV$13), 1*(_xlfn._xlws.FILTER(OFFSET($O$15,0,$DO15,$B$8,1),OFFSET($M$15,0,0,$B$8,1))=DV$14))   /   SUM(OFFSET($BO$15,0,0,$B$14,1)) + $B$18/($B$19*$B$19*($DN15&lt;&gt;$DO15) + $B$19*($DN15=$DO15))</f>
        <v>3.3333333333333331E-3</v>
      </c>
      <c r="DW15" s="10" cm="1">
        <f t="array" aca="1" ref="DW15" ca="1">(1-$B$18)*SUMPRODUCT(OFFSET($BO$15,0,0,$B$14,1), 1*(_xlfn._xlws.FILTER(OFFSET($O$15,0,$DN15,$B$8,1),OFFSET($M$15,0,0,$B$8,1))=DW$13), 1*(_xlfn._xlws.FILTER(OFFSET($O$15,0,$DO15,$B$8,1),OFFSET($M$15,0,0,$B$8,1))=DW$14))   /   SUM(OFFSET($BO$15,0,0,$B$14,1)) + $B$18/($B$19*$B$19*($DN15&lt;&gt;$DO15) + $B$19*($DN15=$DO15))</f>
        <v>3.3333333333333331E-3</v>
      </c>
      <c r="DX15" s="10" cm="1">
        <f t="array" aca="1" ref="DX15" ca="1">(1-$B$18)*SUMPRODUCT(OFFSET($BO$15,0,0,$B$14,1), 1*(_xlfn._xlws.FILTER(OFFSET($O$15,0,$DN15,$B$8,1),OFFSET($M$15,0,0,$B$8,1))=DX$13), 1*(_xlfn._xlws.FILTER(OFFSET($O$15,0,$DO15,$B$8,1),OFFSET($M$15,0,0,$B$8,1))=DX$14))   /   SUM(OFFSET($BO$15,0,0,$B$14,1)) + $B$18/($B$19*$B$19*($DN15&lt;&gt;$DO15) + $B$19*($DN15=$DO15))</f>
        <v>3.3333333333333331E-3</v>
      </c>
      <c r="DY15" s="10" cm="1">
        <f t="array" aca="1" ref="DY15" ca="1">(1-$B$18)*SUMPRODUCT(OFFSET($BO$15,0,0,$B$14,1), 1*(_xlfn._xlws.FILTER(OFFSET($O$15,0,$DN15,$B$8,1),OFFSET($M$15,0,0,$B$8,1))=DY$13), 1*(_xlfn._xlws.FILTER(OFFSET($O$15,0,$DO15,$B$8,1),OFFSET($M$15,0,0,$B$8,1))=DY$14))   /   SUM(OFFSET($BO$15,0,0,$B$14,1)) + $B$18/($B$19*$B$19*($DN15&lt;&gt;$DO15) + $B$19*($DN15=$DO15))</f>
        <v>3.3333333333333331E-3</v>
      </c>
      <c r="DZ15" s="10" cm="1">
        <f t="array" aca="1" ref="DZ15" ca="1">(1-$B$18)*SUMPRODUCT(OFFSET($BO$15,0,0,$B$14,1), 1*(_xlfn._xlws.FILTER(OFFSET($O$15,0,$DN15,$B$8,1),OFFSET($M$15,0,0,$B$8,1))=DZ$13), 1*(_xlfn._xlws.FILTER(OFFSET($O$15,0,$DO15,$B$8,1),OFFSET($M$15,0,0,$B$8,1))=DZ$14))   /   SUM(OFFSET($BO$15,0,0,$B$14,1)) + $B$18/($B$19*$B$19*($DN15&lt;&gt;$DO15) + $B$19*($DN15=$DO15))</f>
        <v>3.3333333333333331E-3</v>
      </c>
      <c r="EA15" s="10" cm="1">
        <f t="array" aca="1" ref="EA15" ca="1">(1-$B$18)*SUMPRODUCT(OFFSET($BO$15,0,0,$B$14,1), 1*(_xlfn._xlws.FILTER(OFFSET($O$15,0,$DN15,$B$8,1),OFFSET($M$15,0,0,$B$8,1))=EA$13), 1*(_xlfn._xlws.FILTER(OFFSET($O$15,0,$DO15,$B$8,1),OFFSET($M$15,0,0,$B$8,1))=EA$14))   /   SUM(OFFSET($BO$15,0,0,$B$14,1)) + $B$18/($B$19*$B$19*($DN15&lt;&gt;$DO15) + $B$19*($DN15=$DO15))</f>
        <v>3.3333333333333331E-3</v>
      </c>
      <c r="EB15" s="10" cm="1">
        <f t="array" aca="1" ref="EB15" ca="1">(1-$B$18)*SUMPRODUCT(OFFSET($BO$15,0,0,$B$14,1), 1*(_xlfn._xlws.FILTER(OFFSET($O$15,0,$DN15,$B$8,1),OFFSET($M$15,0,0,$B$8,1))=EB$13), 1*(_xlfn._xlws.FILTER(OFFSET($O$15,0,$DO15,$B$8,1),OFFSET($M$15,0,0,$B$8,1))=EB$14))   /   SUM(OFFSET($BO$15,0,0,$B$14,1)) + $B$18/($B$19*$B$19*($DN15&lt;&gt;$DO15) + $B$19*($DN15=$DO15))</f>
        <v>3.3333333333333331E-3</v>
      </c>
      <c r="EC15" s="10" cm="1">
        <f t="array" aca="1" ref="EC15" ca="1">(1-$B$18)*SUMPRODUCT(OFFSET($BO$15,0,0,$B$14,1), 1*(_xlfn._xlws.FILTER(OFFSET($O$15,0,$DN15,$B$8,1),OFFSET($M$15,0,0,$B$8,1))=EC$13), 1*(_xlfn._xlws.FILTER(OFFSET($O$15,0,$DO15,$B$8,1),OFFSET($M$15,0,0,$B$8,1))=EC$14))   /   SUM(OFFSET($BO$15,0,0,$B$14,1)) + $B$18/($B$19*$B$19*($DN15&lt;&gt;$DO15) + $B$19*($DN15=$DO15))</f>
        <v>3.3333333333333331E-3</v>
      </c>
      <c r="ED15" s="10" cm="1">
        <f t="array" aca="1" ref="ED15" ca="1">(1-$B$18)*SUMPRODUCT(OFFSET($BO$15,0,0,$B$14,1), 1*(_xlfn._xlws.FILTER(OFFSET($O$15,0,$DN15,$B$8,1),OFFSET($M$15,0,0,$B$8,1))=ED$13), 1*(_xlfn._xlws.FILTER(OFFSET($O$15,0,$DO15,$B$8,1),OFFSET($M$15,0,0,$B$8,1))=ED$14))   /   SUM(OFFSET($BO$15,0,0,$B$14,1)) + $B$18/($B$19*$B$19*($DN15&lt;&gt;$DO15) + $B$19*($DN15=$DO15))</f>
        <v>3.3333333333333331E-3</v>
      </c>
      <c r="EE15" s="10" cm="1">
        <f t="array" aca="1" ref="EE15" ca="1">(1-$B$18)*SUMPRODUCT(OFFSET($BO$15,0,0,$B$14,1), 1*(_xlfn._xlws.FILTER(OFFSET($O$15,0,$DN15,$B$8,1),OFFSET($M$15,0,0,$B$8,1))=EE$13), 1*(_xlfn._xlws.FILTER(OFFSET($O$15,0,$DO15,$B$8,1),OFFSET($M$15,0,0,$B$8,1))=EE$14))   /   SUM(OFFSET($BO$15,0,0,$B$14,1)) + $B$18/($B$19*$B$19*($DN15&lt;&gt;$DO15) + $B$19*($DN15=$DO15))</f>
        <v>3.3333333333333331E-3</v>
      </c>
      <c r="EF15" s="10" cm="1">
        <f t="array" aca="1" ref="EF15" ca="1">(1-$B$18)*SUMPRODUCT(OFFSET($BO$15,0,0,$B$14,1), 1*(_xlfn._xlws.FILTER(OFFSET($O$15,0,$DN15,$B$8,1),OFFSET($M$15,0,0,$B$8,1))=EF$13), 1*(_xlfn._xlws.FILTER(OFFSET($O$15,0,$DO15,$B$8,1),OFFSET($M$15,0,0,$B$8,1))=EF$14))   /   SUM(OFFSET($BO$15,0,0,$B$14,1)) + $B$18/($B$19*$B$19*($DN15&lt;&gt;$DO15) + $B$19*($DN15=$DO15))</f>
        <v>3.3333333333333331E-3</v>
      </c>
      <c r="EG15" s="10" cm="1">
        <f t="array" aca="1" ref="EG15" ca="1">(1-$B$18)*SUMPRODUCT(OFFSET($BO$15,0,0,$B$14,1), 1*(_xlfn._xlws.FILTER(OFFSET($O$15,0,$DN15,$B$8,1),OFFSET($M$15,0,0,$B$8,1))=EG$13), 1*(_xlfn._xlws.FILTER(OFFSET($O$15,0,$DO15,$B$8,1),OFFSET($M$15,0,0,$B$8,1))=EG$14))   /   SUM(OFFSET($BO$15,0,0,$B$14,1)) + $B$18/($B$19*$B$19*($DN15&lt;&gt;$DO15) + $B$19*($DN15=$DO15))</f>
        <v>3.3333333333333331E-3</v>
      </c>
      <c r="EH15" s="10" cm="1">
        <f t="array" aca="1" ref="EH15" ca="1">(1-$B$18)*SUMPRODUCT(OFFSET($BO$15,0,0,$B$14,1), 1*(_xlfn._xlws.FILTER(OFFSET($O$15,0,$DN15,$B$8,1),OFFSET($M$15,0,0,$B$8,1))=EH$13), 1*(_xlfn._xlws.FILTER(OFFSET($O$15,0,$DO15,$B$8,1),OFFSET($M$15,0,0,$B$8,1))=EH$14))   /   SUM(OFFSET($BO$15,0,0,$B$14,1)) + $B$18/($B$19*$B$19*($DN15&lt;&gt;$DO15) + $B$19*($DN15=$DO15))</f>
        <v>3.3333333333333331E-3</v>
      </c>
      <c r="EI15" s="10" cm="1">
        <f t="array" aca="1" ref="EI15" ca="1">(1-$B$18)*SUMPRODUCT(OFFSET($BO$15,0,0,$B$14,1), 1*(_xlfn._xlws.FILTER(OFFSET($O$15,0,$DN15,$B$8,1),OFFSET($M$15,0,0,$B$8,1))=EI$13), 1*(_xlfn._xlws.FILTER(OFFSET($O$15,0,$DO15,$B$8,1),OFFSET($M$15,0,0,$B$8,1))=EI$14))   /   SUM(OFFSET($BO$15,0,0,$B$14,1)) + $B$18/($B$19*$B$19*($DN15&lt;&gt;$DO15) + $B$19*($DN15=$DO15))</f>
        <v>3.3333333333333331E-3</v>
      </c>
      <c r="EJ15" s="10" cm="1">
        <f t="array" aca="1" ref="EJ15" ca="1">(1-$B$18)*SUMPRODUCT(OFFSET($BO$15,0,0,$B$14,1), 1*(_xlfn._xlws.FILTER(OFFSET($O$15,0,$DN15,$B$8,1),OFFSET($M$15,0,0,$B$8,1))=EJ$13), 1*(_xlfn._xlws.FILTER(OFFSET($O$15,0,$DO15,$B$8,1),OFFSET($M$15,0,0,$B$8,1))=EJ$14))   /   SUM(OFFSET($BO$15,0,0,$B$14,1)) + $B$18/($B$19*$B$19*($DN15&lt;&gt;$DO15) + $B$19*($DN15=$DO15))</f>
        <v>3.3333333333333331E-3</v>
      </c>
      <c r="EK15" s="10" cm="1">
        <f t="array" aca="1" ref="EK15" ca="1">(1-$B$18)*SUMPRODUCT(OFFSET($BO$15,0,0,$B$14,1), 1*(_xlfn._xlws.FILTER(OFFSET($O$15,0,$DN15,$B$8,1),OFFSET($M$15,0,0,$B$8,1))=EK$13), 1*(_xlfn._xlws.FILTER(OFFSET($O$15,0,$DO15,$B$8,1),OFFSET($M$15,0,0,$B$8,1))=EK$14))   /   SUM(OFFSET($BO$15,0,0,$B$14,1)) + $B$18/($B$19*$B$19*($DN15&lt;&gt;$DO15) + $B$19*($DN15=$DO15))</f>
        <v>3.3333333333333331E-3</v>
      </c>
      <c r="EL15" s="10" cm="1">
        <f t="array" aca="1" ref="EL15" ca="1">(1-$B$18)*SUMPRODUCT(OFFSET($BO$15,0,0,$B$14,1), 1*(_xlfn._xlws.FILTER(OFFSET($O$15,0,$DN15,$B$8,1),OFFSET($M$15,0,0,$B$8,1))=EL$13), 1*(_xlfn._xlws.FILTER(OFFSET($O$15,0,$DO15,$B$8,1),OFFSET($M$15,0,0,$B$8,1))=EL$14))   /   SUM(OFFSET($BO$15,0,0,$B$14,1)) + $B$18/($B$19*$B$19*($DN15&lt;&gt;$DO15) + $B$19*($DN15=$DO15))</f>
        <v>3.3333333333333331E-3</v>
      </c>
      <c r="EM15" s="10" cm="1">
        <f t="array" aca="1" ref="EM15" ca="1">(1-$B$18)*SUMPRODUCT(OFFSET($BO$15,0,0,$B$14,1), 1*(_xlfn._xlws.FILTER(OFFSET($O$15,0,$DN15,$B$8,1),OFFSET($M$15,0,0,$B$8,1))=EM$13), 1*(_xlfn._xlws.FILTER(OFFSET($O$15,0,$DO15,$B$8,1),OFFSET($M$15,0,0,$B$8,1))=EM$14))   /   SUM(OFFSET($BO$15,0,0,$B$14,1)) + $B$18/($B$19*$B$19*($DN15&lt;&gt;$DO15) + $B$19*($DN15=$DO15))</f>
        <v>3.3333333333333331E-3</v>
      </c>
      <c r="EN15" s="10" cm="1">
        <f t="array" aca="1" ref="EN15" ca="1">(1-$B$18)*SUMPRODUCT(OFFSET($BO$15,0,0,$B$14,1), 1*(_xlfn._xlws.FILTER(OFFSET($O$15,0,$DN15,$B$8,1),OFFSET($M$15,0,0,$B$8,1))=EN$13), 1*(_xlfn._xlws.FILTER(OFFSET($O$15,0,$DO15,$B$8,1),OFFSET($M$15,0,0,$B$8,1))=EN$14))   /   SUM(OFFSET($BO$15,0,0,$B$14,1)) + $B$18/($B$19*$B$19*($DN15&lt;&gt;$DO15) + $B$19*($DN15=$DO15))</f>
        <v>3.3333333333333331E-3</v>
      </c>
      <c r="EO15" s="10" cm="1">
        <f t="array" aca="1" ref="EO15" ca="1">(1-$B$18)*SUMPRODUCT(OFFSET($BO$15,0,0,$B$14,1), 1*(_xlfn._xlws.FILTER(OFFSET($O$15,0,$DN15,$B$8,1),OFFSET($M$15,0,0,$B$8,1))=EO$13), 1*(_xlfn._xlws.FILTER(OFFSET($O$15,0,$DO15,$B$8,1),OFFSET($M$15,0,0,$B$8,1))=EO$14))   /   SUM(OFFSET($BO$15,0,0,$B$14,1)) + $B$18/($B$19*$B$19*($DN15&lt;&gt;$DO15) + $B$19*($DN15=$DO15))</f>
        <v>3.3333333333333331E-3</v>
      </c>
      <c r="EP15" s="10" cm="1">
        <f t="array" aca="1" ref="EP15" ca="1">(1-$B$18)*SUMPRODUCT(OFFSET($BO$15,0,0,$B$14,1), 1*(_xlfn._xlws.FILTER(OFFSET($O$15,0,$DN15,$B$8,1),OFFSET($M$15,0,0,$B$8,1))=EP$13), 1*(_xlfn._xlws.FILTER(OFFSET($O$15,0,$DO15,$B$8,1),OFFSET($M$15,0,0,$B$8,1))=EP$14))   /   SUM(OFFSET($BO$15,0,0,$B$14,1)) + $B$18/($B$19*$B$19*($DN15&lt;&gt;$DO15) + $B$19*($DN15=$DO15))</f>
        <v>3.3333333333333331E-3</v>
      </c>
      <c r="EQ15" s="10" cm="1">
        <f t="array" aca="1" ref="EQ15" ca="1">(1-$B$18)*SUMPRODUCT(OFFSET($BO$15,0,0,$B$14,1), 1*(_xlfn._xlws.FILTER(OFFSET($O$15,0,$DN15,$B$8,1),OFFSET($M$15,0,0,$B$8,1))=EQ$13), 1*(_xlfn._xlws.FILTER(OFFSET($O$15,0,$DO15,$B$8,1),OFFSET($M$15,0,0,$B$8,1))=EQ$14))   /   SUM(OFFSET($BO$15,0,0,$B$14,1)) + $B$18/($B$19*$B$19*($DN15&lt;&gt;$DO15) + $B$19*($DN15=$DO15))</f>
        <v>3.3333333333333331E-3</v>
      </c>
      <c r="ER15" s="10" cm="1">
        <f t="array" aca="1" ref="ER15" ca="1">(1-$B$18)*SUMPRODUCT(OFFSET($BO$15,0,0,$B$14,1), 1*(_xlfn._xlws.FILTER(OFFSET($O$15,0,$DN15,$B$8,1),OFFSET($M$15,0,0,$B$8,1))=ER$13), 1*(_xlfn._xlws.FILTER(OFFSET($O$15,0,$DO15,$B$8,1),OFFSET($M$15,0,0,$B$8,1))=ER$14))   /   SUM(OFFSET($BO$15,0,0,$B$14,1)) + $B$18/($B$19*$B$19*($DN15&lt;&gt;$DO15) + $B$19*($DN15=$DO15))</f>
        <v>3.3333333333333331E-3</v>
      </c>
      <c r="ES15" s="10" cm="1">
        <f t="array" aca="1" ref="ES15" ca="1">(1-$B$18)*SUMPRODUCT(OFFSET($BO$15,0,0,$B$14,1), 1*(_xlfn._xlws.FILTER(OFFSET($O$15,0,$DN15,$B$8,1),OFFSET($M$15,0,0,$B$8,1))=ES$13), 1*(_xlfn._xlws.FILTER(OFFSET($O$15,0,$DO15,$B$8,1),OFFSET($M$15,0,0,$B$8,1))=ES$14))   /   SUM(OFFSET($BO$15,0,0,$B$14,1)) + $B$18/($B$19*$B$19*($DN15&lt;&gt;$DO15) + $B$19*($DN15=$DO15))</f>
        <v>3.3333333333333331E-3</v>
      </c>
      <c r="ET15" s="10" cm="1">
        <f t="array" aca="1" ref="ET15" ca="1">(1-$B$18)*SUMPRODUCT(OFFSET($BO$15,0,0,$B$14,1), 1*(_xlfn._xlws.FILTER(OFFSET($O$15,0,$DN15,$B$8,1),OFFSET($M$15,0,0,$B$8,1))=ET$13), 1*(_xlfn._xlws.FILTER(OFFSET($O$15,0,$DO15,$B$8,1),OFFSET($M$15,0,0,$B$8,1))=ET$14))   /   SUM(OFFSET($BO$15,0,0,$B$14,1)) + $B$18/($B$19*$B$19*($DN15&lt;&gt;$DO15) + $B$19*($DN15=$DO15))</f>
        <v>3.3333333333333331E-3</v>
      </c>
      <c r="EU15" s="10" cm="1">
        <f t="array" aca="1" ref="EU15" ca="1">(1-$B$18)*SUMPRODUCT(OFFSET($BO$15,0,0,$B$14,1), 1*(_xlfn._xlws.FILTER(OFFSET($O$15,0,$DN15,$B$8,1),OFFSET($M$15,0,0,$B$8,1))=EU$13), 1*(_xlfn._xlws.FILTER(OFFSET($O$15,0,$DO15,$B$8,1),OFFSET($M$15,0,0,$B$8,1))=EU$14))   /   SUM(OFFSET($BO$15,0,0,$B$14,1)) + $B$18/($B$19*$B$19*($DN15&lt;&gt;$DO15) + $B$19*($DN15=$DO15))</f>
        <v>3.3333333333333331E-3</v>
      </c>
      <c r="EV15" s="10" cm="1">
        <f t="array" aca="1" ref="EV15" ca="1">(1-$B$18)*SUMPRODUCT(OFFSET($BO$15,0,0,$B$14,1), 1*(_xlfn._xlws.FILTER(OFFSET($O$15,0,$DN15,$B$8,1),OFFSET($M$15,0,0,$B$8,1))=EV$13), 1*(_xlfn._xlws.FILTER(OFFSET($O$15,0,$DO15,$B$8,1),OFFSET($M$15,0,0,$B$8,1))=EV$14))   /   SUM(OFFSET($BO$15,0,0,$B$14,1)) + $B$18/($B$19*$B$19*($DN15&lt;&gt;$DO15) + $B$19*($DN15=$DO15))</f>
        <v>3.3333333333333331E-3</v>
      </c>
      <c r="EW15" s="10" cm="1">
        <f t="array" aca="1" ref="EW15" ca="1">(1-$B$18)*SUMPRODUCT(OFFSET($BO$15,0,0,$B$14,1), 1*(_xlfn._xlws.FILTER(OFFSET($O$15,0,$DN15,$B$8,1),OFFSET($M$15,0,0,$B$8,1))=EW$13), 1*(_xlfn._xlws.FILTER(OFFSET($O$15,0,$DO15,$B$8,1),OFFSET($M$15,0,0,$B$8,1))=EW$14))   /   SUM(OFFSET($BO$15,0,0,$B$14,1)) + $B$18/($B$19*$B$19*($DN15&lt;&gt;$DO15) + $B$19*($DN15=$DO15))</f>
        <v>3.3333333333333331E-3</v>
      </c>
      <c r="EX15" s="10" cm="1">
        <f t="array" aca="1" ref="EX15" ca="1">(1-$B$18)*SUMPRODUCT(OFFSET($BO$15,0,0,$B$14,1), 1*(_xlfn._xlws.FILTER(OFFSET($O$15,0,$DN15,$B$8,1),OFFSET($M$15,0,0,$B$8,1))=EX$13), 1*(_xlfn._xlws.FILTER(OFFSET($O$15,0,$DO15,$B$8,1),OFFSET($M$15,0,0,$B$8,1))=EX$14))   /   SUM(OFFSET($BO$15,0,0,$B$14,1)) + $B$18/($B$19*$B$19*($DN15&lt;&gt;$DO15) + $B$19*($DN15=$DO15))</f>
        <v>3.3333333333333331E-3</v>
      </c>
      <c r="EY15" s="10" cm="1">
        <f t="array" aca="1" ref="EY15" ca="1">(1-$B$18)*SUMPRODUCT(OFFSET($BO$15,0,0,$B$14,1), 1*(_xlfn._xlws.FILTER(OFFSET($O$15,0,$DN15,$B$8,1),OFFSET($M$15,0,0,$B$8,1))=EY$13), 1*(_xlfn._xlws.FILTER(OFFSET($O$15,0,$DO15,$B$8,1),OFFSET($M$15,0,0,$B$8,1))=EY$14))   /   SUM(OFFSET($BO$15,0,0,$B$14,1)) + $B$18/($B$19*$B$19*($DN15&lt;&gt;$DO15) + $B$19*($DN15=$DO15))</f>
        <v>3.3333333333333331E-3</v>
      </c>
      <c r="EZ15" s="10" cm="1">
        <f t="array" aca="1" ref="EZ15" ca="1">(1-$B$18)*SUMPRODUCT(OFFSET($BO$15,0,0,$B$14,1), 1*(_xlfn._xlws.FILTER(OFFSET($O$15,0,$DN15,$B$8,1),OFFSET($M$15,0,0,$B$8,1))=EZ$13), 1*(_xlfn._xlws.FILTER(OFFSET($O$15,0,$DO15,$B$8,1),OFFSET($M$15,0,0,$B$8,1))=EZ$14))   /   SUM(OFFSET($BO$15,0,0,$B$14,1)) + $B$18/($B$19*$B$19*($DN15&lt;&gt;$DO15) + $B$19*($DN15=$DO15))</f>
        <v>3.3333333333333331E-3</v>
      </c>
      <c r="FA15" s="10" cm="1">
        <f t="array" aca="1" ref="FA15" ca="1">(1-$B$18)*SUMPRODUCT(OFFSET($BO$15,0,0,$B$14,1), 1*(_xlfn._xlws.FILTER(OFFSET($O$15,0,$DN15,$B$8,1),OFFSET($M$15,0,0,$B$8,1))=FA$13), 1*(_xlfn._xlws.FILTER(OFFSET($O$15,0,$DO15,$B$8,1),OFFSET($M$15,0,0,$B$8,1))=FA$14))   /   SUM(OFFSET($BO$15,0,0,$B$14,1)) + $B$18/($B$19*$B$19*($DN15&lt;&gt;$DO15) + $B$19*($DN15=$DO15))</f>
        <v>3.3333333333333331E-3</v>
      </c>
      <c r="FB15" s="10" cm="1">
        <f t="array" aca="1" ref="FB15" ca="1">(1-$B$18)*SUMPRODUCT(OFFSET($BO$15,0,0,$B$14,1), 1*(_xlfn._xlws.FILTER(OFFSET($O$15,0,$DN15,$B$8,1),OFFSET($M$15,0,0,$B$8,1))=FB$13), 1*(_xlfn._xlws.FILTER(OFFSET($O$15,0,$DO15,$B$8,1),OFFSET($M$15,0,0,$B$8,1))=FB$14))   /   SUM(OFFSET($BO$15,0,0,$B$14,1)) + $B$18/($B$19*$B$19*($DN15&lt;&gt;$DO15) + $B$19*($DN15=$DO15))</f>
        <v>3.3333333333333331E-3</v>
      </c>
      <c r="FC15" s="10" cm="1">
        <f t="array" aca="1" ref="FC15" ca="1">(1-$B$18)*SUMPRODUCT(OFFSET($BO$15,0,0,$B$14,1), 1*(_xlfn._xlws.FILTER(OFFSET($O$15,0,$DN15,$B$8,1),OFFSET($M$15,0,0,$B$8,1))=FC$13), 1*(_xlfn._xlws.FILTER(OFFSET($O$15,0,$DO15,$B$8,1),OFFSET($M$15,0,0,$B$8,1))=FC$14))   /   SUM(OFFSET($BO$15,0,0,$B$14,1)) + $B$18/($B$19*$B$19*($DN15&lt;&gt;$DO15) + $B$19*($DN15=$DO15))</f>
        <v>3.3333333333333331E-3</v>
      </c>
      <c r="FD15" s="10" cm="1">
        <f t="array" aca="1" ref="FD15" ca="1">(1-$B$18)*SUMPRODUCT(OFFSET($BO$15,0,0,$B$14,1), 1*(_xlfn._xlws.FILTER(OFFSET($O$15,0,$DN15,$B$8,1),OFFSET($M$15,0,0,$B$8,1))=FD$13), 1*(_xlfn._xlws.FILTER(OFFSET($O$15,0,$DO15,$B$8,1),OFFSET($M$15,0,0,$B$8,1))=FD$14))   /   SUM(OFFSET($BO$15,0,0,$B$14,1)) + $B$18/($B$19*$B$19*($DN15&lt;&gt;$DO15) + $B$19*($DN15=$DO15))</f>
        <v>3.3333333333333331E-3</v>
      </c>
      <c r="FE15" s="10" cm="1">
        <f t="array" aca="1" ref="FE15" ca="1">(1-$B$18)*SUMPRODUCT(OFFSET($BO$15,0,0,$B$14,1), 1*(_xlfn._xlws.FILTER(OFFSET($O$15,0,$DN15,$B$8,1),OFFSET($M$15,0,0,$B$8,1))=FE$13), 1*(_xlfn._xlws.FILTER(OFFSET($O$15,0,$DO15,$B$8,1),OFFSET($M$15,0,0,$B$8,1))=FE$14))   /   SUM(OFFSET($BO$15,0,0,$B$14,1)) + $B$18/($B$19*$B$19*($DN15&lt;&gt;$DO15) + $B$19*($DN15=$DO15))</f>
        <v>3.3333333333333331E-3</v>
      </c>
      <c r="FF15" s="10" cm="1">
        <f t="array" aca="1" ref="FF15" ca="1">(1-$B$18)*SUMPRODUCT(OFFSET($BO$15,0,0,$B$14,1), 1*(_xlfn._xlws.FILTER(OFFSET($O$15,0,$DN15,$B$8,1),OFFSET($M$15,0,0,$B$8,1))=FF$13), 1*(_xlfn._xlws.FILTER(OFFSET($O$15,0,$DO15,$B$8,1),OFFSET($M$15,0,0,$B$8,1))=FF$14))   /   SUM(OFFSET($BO$15,0,0,$B$14,1)) + $B$18/($B$19*$B$19*($DN15&lt;&gt;$DO15) + $B$19*($DN15=$DO15))</f>
        <v>3.3333333333333331E-3</v>
      </c>
      <c r="FG15" s="10" cm="1">
        <f t="array" aca="1" ref="FG15" ca="1">(1-$B$18)*SUMPRODUCT(OFFSET($BO$15,0,0,$B$14,1), 1*(_xlfn._xlws.FILTER(OFFSET($O$15,0,$DN15,$B$8,1),OFFSET($M$15,0,0,$B$8,1))=FG$13), 1*(_xlfn._xlws.FILTER(OFFSET($O$15,0,$DO15,$B$8,1),OFFSET($M$15,0,0,$B$8,1))=FG$14))   /   SUM(OFFSET($BO$15,0,0,$B$14,1)) + $B$18/($B$19*$B$19*($DN15&lt;&gt;$DO15) + $B$19*($DN15=$DO15))</f>
        <v>3.3333333333333331E-3</v>
      </c>
      <c r="FH15" s="10" cm="1">
        <f t="array" aca="1" ref="FH15" ca="1">(1-$B$18)*SUMPRODUCT(OFFSET($BO$15,0,0,$B$14,1), 1*(_xlfn._xlws.FILTER(OFFSET($O$15,0,$DN15,$B$8,1),OFFSET($M$15,0,0,$B$8,1))=FH$13), 1*(_xlfn._xlws.FILTER(OFFSET($O$15,0,$DO15,$B$8,1),OFFSET($M$15,0,0,$B$8,1))=FH$14))   /   SUM(OFFSET($BO$15,0,0,$B$14,1)) + $B$18/($B$19*$B$19*($DN15&lt;&gt;$DO15) + $B$19*($DN15=$DO15))</f>
        <v>3.3333333333333331E-3</v>
      </c>
      <c r="FI15" s="10" cm="1">
        <f t="array" aca="1" ref="FI15" ca="1">(1-$B$18)*SUMPRODUCT(OFFSET($BO$15,0,0,$B$14,1), 1*(_xlfn._xlws.FILTER(OFFSET($O$15,0,$DN15,$B$8,1),OFFSET($M$15,0,0,$B$8,1))=FI$13), 1*(_xlfn._xlws.FILTER(OFFSET($O$15,0,$DO15,$B$8,1),OFFSET($M$15,0,0,$B$8,1))=FI$14))   /   SUM(OFFSET($BO$15,0,0,$B$14,1)) + $B$18/($B$19*$B$19*($DN15&lt;&gt;$DO15) + $B$19*($DN15=$DO15))</f>
        <v>3.3333333333333331E-3</v>
      </c>
      <c r="FJ15" s="10" cm="1">
        <f t="array" aca="1" ref="FJ15" ca="1">(1-$B$18)*SUMPRODUCT(OFFSET($BO$15,0,0,$B$14,1), 1*(_xlfn._xlws.FILTER(OFFSET($O$15,0,$DN15,$B$8,1),OFFSET($M$15,0,0,$B$8,1))=FJ$13), 1*(_xlfn._xlws.FILTER(OFFSET($O$15,0,$DO15,$B$8,1),OFFSET($M$15,0,0,$B$8,1))=FJ$14))   /   SUM(OFFSET($BO$15,0,0,$B$14,1)) + $B$18/($B$19*$B$19*($DN15&lt;&gt;$DO15) + $B$19*($DN15=$DO15))</f>
        <v>3.3333333333333331E-3</v>
      </c>
      <c r="FK15" s="10" cm="1">
        <f t="array" aca="1" ref="FK15" ca="1">(1-$B$18)*SUMPRODUCT(OFFSET($BO$15,0,0,$B$14,1), 1*(_xlfn._xlws.FILTER(OFFSET($O$15,0,$DN15,$B$8,1),OFFSET($M$15,0,0,$B$8,1))=FK$13), 1*(_xlfn._xlws.FILTER(OFFSET($O$15,0,$DO15,$B$8,1),OFFSET($M$15,0,0,$B$8,1))=FK$14))   /   SUM(OFFSET($BO$15,0,0,$B$14,1)) + $B$18/($B$19*$B$19*($DN15&lt;&gt;$DO15) + $B$19*($DN15=$DO15))</f>
        <v>3.3333333333333331E-3</v>
      </c>
      <c r="FL15" s="10" cm="1">
        <f t="array" aca="1" ref="FL15" ca="1">(1-$B$18)*SUMPRODUCT(OFFSET($BO$15,0,0,$B$14,1), 1*(_xlfn._xlws.FILTER(OFFSET($O$15,0,$DN15,$B$8,1),OFFSET($M$15,0,0,$B$8,1))=FL$13), 1*(_xlfn._xlws.FILTER(OFFSET($O$15,0,$DO15,$B$8,1),OFFSET($M$15,0,0,$B$8,1))=FL$14))   /   SUM(OFFSET($BO$15,0,0,$B$14,1)) + $B$18/($B$19*$B$19*($DN15&lt;&gt;$DO15) + $B$19*($DN15=$DO15))</f>
        <v>3.3333333333333331E-3</v>
      </c>
      <c r="FM15" s="10" cm="1">
        <f t="array" aca="1" ref="FM15" ca="1">(1-$B$18)*SUMPRODUCT(OFFSET($BO$15,0,0,$B$14,1), 1*(_xlfn._xlws.FILTER(OFFSET($O$15,0,$DN15,$B$8,1),OFFSET($M$15,0,0,$B$8,1))=FM$13), 1*(_xlfn._xlws.FILTER(OFFSET($O$15,0,$DO15,$B$8,1),OFFSET($M$15,0,0,$B$8,1))=FM$14))   /   SUM(OFFSET($BO$15,0,0,$B$14,1)) + $B$18/($B$19*$B$19*($DN15&lt;&gt;$DO15) + $B$19*($DN15=$DO15))</f>
        <v>3.3333333333333331E-3</v>
      </c>
      <c r="FN15" s="10" cm="1">
        <f t="array" aca="1" ref="FN15" ca="1">(1-$B$18)*SUMPRODUCT(OFFSET($BO$15,0,0,$B$14,1), 1*(_xlfn._xlws.FILTER(OFFSET($O$15,0,$DN15,$B$8,1),OFFSET($M$15,0,0,$B$8,1))=FN$13), 1*(_xlfn._xlws.FILTER(OFFSET($O$15,0,$DO15,$B$8,1),OFFSET($M$15,0,0,$B$8,1))=FN$14))   /   SUM(OFFSET($BO$15,0,0,$B$14,1)) + $B$18/($B$19*$B$19*($DN15&lt;&gt;$DO15) + $B$19*($DN15=$DO15))</f>
        <v>3.3333333333333331E-3</v>
      </c>
      <c r="FO15" s="10" cm="1">
        <f t="array" aca="1" ref="FO15" ca="1">(1-$B$18)*SUMPRODUCT(OFFSET($BO$15,0,0,$B$14,1), 1*(_xlfn._xlws.FILTER(OFFSET($O$15,0,$DN15,$B$8,1),OFFSET($M$15,0,0,$B$8,1))=FO$13), 1*(_xlfn._xlws.FILTER(OFFSET($O$15,0,$DO15,$B$8,1),OFFSET($M$15,0,0,$B$8,1))=FO$14))   /   SUM(OFFSET($BO$15,0,0,$B$14,1)) + $B$18/($B$19*$B$19*($DN15&lt;&gt;$DO15) + $B$19*($DN15=$DO15))</f>
        <v>3.3333333333333331E-3</v>
      </c>
      <c r="FP15" s="10" cm="1">
        <f t="array" aca="1" ref="FP15" ca="1">(1-$B$18)*SUMPRODUCT(OFFSET($BO$15,0,0,$B$14,1), 1*(_xlfn._xlws.FILTER(OFFSET($O$15,0,$DN15,$B$8,1),OFFSET($M$15,0,0,$B$8,1))=FP$13), 1*(_xlfn._xlws.FILTER(OFFSET($O$15,0,$DO15,$B$8,1),OFFSET($M$15,0,0,$B$8,1))=FP$14))   /   SUM(OFFSET($BO$15,0,0,$B$14,1)) + $B$18/($B$19*$B$19*($DN15&lt;&gt;$DO15) + $B$19*($DN15=$DO15))</f>
        <v>3.3333333333333331E-3</v>
      </c>
      <c r="FQ15" s="10" cm="1">
        <f t="array" aca="1" ref="FQ15" ca="1">(1-$B$18)*SUMPRODUCT(OFFSET($BO$15,0,0,$B$14,1), 1*(_xlfn._xlws.FILTER(OFFSET($O$15,0,$DN15,$B$8,1),OFFSET($M$15,0,0,$B$8,1))=FQ$13), 1*(_xlfn._xlws.FILTER(OFFSET($O$15,0,$DO15,$B$8,1),OFFSET($M$15,0,0,$B$8,1))=FQ$14))   /   SUM(OFFSET($BO$15,0,0,$B$14,1)) + $B$18/($B$19*$B$19*($DN15&lt;&gt;$DO15) + $B$19*($DN15=$DO15))</f>
        <v>3.3333333333333331E-3</v>
      </c>
      <c r="FR15" s="10" cm="1">
        <f t="array" aca="1" ref="FR15" ca="1">(1-$B$18)*SUMPRODUCT(OFFSET($BO$15,0,0,$B$14,1), 1*(_xlfn._xlws.FILTER(OFFSET($O$15,0,$DN15,$B$8,1),OFFSET($M$15,0,0,$B$8,1))=FR$13), 1*(_xlfn._xlws.FILTER(OFFSET($O$15,0,$DO15,$B$8,1),OFFSET($M$15,0,0,$B$8,1))=FR$14))   /   SUM(OFFSET($BO$15,0,0,$B$14,1)) + $B$18/($B$19*$B$19*($DN15&lt;&gt;$DO15) + $B$19*($DN15=$DO15))</f>
        <v>0.97333333333333327</v>
      </c>
      <c r="FS15" s="10" cm="1">
        <f t="array" aca="1" ref="FS15" ca="1">(1-$B$18)*SUMPRODUCT(OFFSET($BO$15,0,0,$B$14,1), 1*(_xlfn._xlws.FILTER(OFFSET($O$15,0,$DN15,$B$8,1),OFFSET($M$15,0,0,$B$8,1))=FS$13), 1*(_xlfn._xlws.FILTER(OFFSET($O$15,0,$DO15,$B$8,1),OFFSET($M$15,0,0,$B$8,1))=FS$14))   /   SUM(OFFSET($BO$15,0,0,$B$14,1)) + $B$18/($B$19*$B$19*($DN15&lt;&gt;$DO15) + $B$19*($DN15=$DO15))</f>
        <v>3.3333333333333331E-3</v>
      </c>
      <c r="FT15" s="10" cm="1">
        <f t="array" aca="1" ref="FT15" ca="1">(1-$B$18)*SUMPRODUCT(OFFSET($BO$15,0,0,$B$14,1), 1*(_xlfn._xlws.FILTER(OFFSET($O$15,0,$DN15,$B$8,1),OFFSET($M$15,0,0,$B$8,1))=FT$13), 1*(_xlfn._xlws.FILTER(OFFSET($O$15,0,$DO15,$B$8,1),OFFSET($M$15,0,0,$B$8,1))=FT$14))   /   SUM(OFFSET($BO$15,0,0,$B$14,1)) + $B$18/($B$19*$B$19*($DN15&lt;&gt;$DO15) + $B$19*($DN15=$DO15))</f>
        <v>3.3333333333333331E-3</v>
      </c>
      <c r="FU15" s="10" cm="1">
        <f t="array" aca="1" ref="FU15" ca="1">(1-$B$18)*SUMPRODUCT(OFFSET($BO$15,0,0,$B$14,1), 1*(_xlfn._xlws.FILTER(OFFSET($O$15,0,$DN15,$B$8,1),OFFSET($M$15,0,0,$B$8,1))=FU$13), 1*(_xlfn._xlws.FILTER(OFFSET($O$15,0,$DO15,$B$8,1),OFFSET($M$15,0,0,$B$8,1))=FU$14))   /   SUM(OFFSET($BO$15,0,0,$B$14,1)) + $B$18/($B$19*$B$19*($DN15&lt;&gt;$DO15) + $B$19*($DN15=$DO15))</f>
        <v>3.3333333333333331E-3</v>
      </c>
      <c r="FV15" s="10" cm="1">
        <f t="array" aca="1" ref="FV15" ca="1">(1-$B$18)*SUMPRODUCT(OFFSET($BO$15,0,0,$B$14,1), 1*(_xlfn._xlws.FILTER(OFFSET($O$15,0,$DN15,$B$8,1),OFFSET($M$15,0,0,$B$8,1))=FV$13), 1*(_xlfn._xlws.FILTER(OFFSET($O$15,0,$DO15,$B$8,1),OFFSET($M$15,0,0,$B$8,1))=FV$14))   /   SUM(OFFSET($BO$15,0,0,$B$14,1)) + $B$18/($B$19*$B$19*($DN15&lt;&gt;$DO15) + $B$19*($DN15=$DO15))</f>
        <v>3.3333333333333331E-3</v>
      </c>
      <c r="FW15" s="10" cm="1">
        <f t="array" aca="1" ref="FW15" ca="1">(1-$B$18)*SUMPRODUCT(OFFSET($BO$15,0,0,$B$14,1), 1*(_xlfn._xlws.FILTER(OFFSET($O$15,0,$DN15,$B$8,1),OFFSET($M$15,0,0,$B$8,1))=FW$13), 1*(_xlfn._xlws.FILTER(OFFSET($O$15,0,$DO15,$B$8,1),OFFSET($M$15,0,0,$B$8,1))=FW$14))   /   SUM(OFFSET($BO$15,0,0,$B$14,1)) + $B$18/($B$19*$B$19*($DN15&lt;&gt;$DO15) + $B$19*($DN15=$DO15))</f>
        <v>3.3333333333333331E-3</v>
      </c>
      <c r="FX15" s="10" cm="1">
        <f t="array" aca="1" ref="FX15" ca="1">(1-$B$18)*SUMPRODUCT(OFFSET($BO$15,0,0,$B$14,1), 1*(_xlfn._xlws.FILTER(OFFSET($O$15,0,$DN15,$B$8,1),OFFSET($M$15,0,0,$B$8,1))=FX$13), 1*(_xlfn._xlws.FILTER(OFFSET($O$15,0,$DO15,$B$8,1),OFFSET($M$15,0,0,$B$8,1))=FX$14))   /   SUM(OFFSET($BO$15,0,0,$B$14,1)) + $B$18/($B$19*$B$19*($DN15&lt;&gt;$DO15) + $B$19*($DN15=$DO15))</f>
        <v>3.3333333333333331E-3</v>
      </c>
      <c r="FY15" s="10" cm="1">
        <f t="array" aca="1" ref="FY15" ca="1">(1-$B$18)*SUMPRODUCT(OFFSET($BO$15,0,0,$B$14,1), 1*(_xlfn._xlws.FILTER(OFFSET($O$15,0,$DN15,$B$8,1),OFFSET($M$15,0,0,$B$8,1))=FY$13), 1*(_xlfn._xlws.FILTER(OFFSET($O$15,0,$DO15,$B$8,1),OFFSET($M$15,0,0,$B$8,1))=FY$14))   /   SUM(OFFSET($BO$15,0,0,$B$14,1)) + $B$18/($B$19*$B$19*($DN15&lt;&gt;$DO15) + $B$19*($DN15=$DO15))</f>
        <v>3.3333333333333331E-3</v>
      </c>
      <c r="FZ15" s="10" cm="1">
        <f t="array" aca="1" ref="FZ15" ca="1">(1-$B$18)*SUMPRODUCT(OFFSET($BO$15,0,0,$B$14,1), 1*(_xlfn._xlws.FILTER(OFFSET($O$15,0,$DN15,$B$8,1),OFFSET($M$15,0,0,$B$8,1))=FZ$13), 1*(_xlfn._xlws.FILTER(OFFSET($O$15,0,$DO15,$B$8,1),OFFSET($M$15,0,0,$B$8,1))=FZ$14))   /   SUM(OFFSET($BO$15,0,0,$B$14,1)) + $B$18/($B$19*$B$19*($DN15&lt;&gt;$DO15) + $B$19*($DN15=$DO15))</f>
        <v>3.3333333333333331E-3</v>
      </c>
      <c r="GA15" s="10" cm="1">
        <f t="array" aca="1" ref="GA15" ca="1">(1-$B$18)*SUMPRODUCT(OFFSET($BO$15,0,0,$B$14,1), 1*(_xlfn._xlws.FILTER(OFFSET($O$15,0,$DN15,$B$8,1),OFFSET($M$15,0,0,$B$8,1))=GA$13), 1*(_xlfn._xlws.FILTER(OFFSET($O$15,0,$DO15,$B$8,1),OFFSET($M$15,0,0,$B$8,1))=GA$14))   /   SUM(OFFSET($BO$15,0,0,$B$14,1)) + $B$18/($B$19*$B$19*($DN15&lt;&gt;$DO15) + $B$19*($DN15=$DO15))</f>
        <v>3.3333333333333331E-3</v>
      </c>
    </row>
    <row r="16" spans="1:212" x14ac:dyDescent="0.2">
      <c r="A16" t="s">
        <v>39</v>
      </c>
      <c r="B16">
        <f ca="1">COUNTIF(OFFSET($O$9,0,0,1,$B$9),TRUE)</f>
        <v>19</v>
      </c>
      <c r="D16" s="10">
        <f ca="1"/>
        <v>1</v>
      </c>
      <c r="F16" s="10">
        <f ca="1"/>
        <v>0.1</v>
      </c>
      <c r="H16" s="10">
        <f ca="1"/>
        <v>1</v>
      </c>
      <c r="J16" cm="1">
        <f t="array" aca="1" ref="J16" ca="1">SUMPRODUCT((O16:AJ16=$O$11:$AJ$11)*(O$13:AJ$13=TRUE))  / COUNTIF(O$13:AJ$13,TRUE)</f>
        <v>1</v>
      </c>
      <c r="K16" t="b">
        <f t="shared" ca="1" si="4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5"/>
        <v>1</v>
      </c>
      <c r="N16" s="2">
        <v>1</v>
      </c>
      <c r="O16" s="12" t="s">
        <v>11</v>
      </c>
      <c r="P16" s="9" t="s">
        <v>11</v>
      </c>
      <c r="Q16" s="9" t="s">
        <v>11</v>
      </c>
      <c r="R16" s="9" t="s">
        <v>11</v>
      </c>
      <c r="S16" s="9" t="s">
        <v>11</v>
      </c>
      <c r="T16" s="12" t="s">
        <v>11</v>
      </c>
      <c r="U16" s="9" t="s">
        <v>11</v>
      </c>
      <c r="V16" s="9" t="s">
        <v>11</v>
      </c>
      <c r="W16" s="9" t="s">
        <v>11</v>
      </c>
      <c r="X16" s="9" t="s">
        <v>11</v>
      </c>
      <c r="Y16" s="12" t="s">
        <v>0</v>
      </c>
      <c r="Z16" s="9" t="s">
        <v>0</v>
      </c>
      <c r="AA16" s="9" t="s">
        <v>1</v>
      </c>
      <c r="AB16" s="9" t="s">
        <v>1</v>
      </c>
      <c r="AC16" s="9" t="s">
        <v>2</v>
      </c>
      <c r="AD16" s="12" t="s">
        <v>2</v>
      </c>
      <c r="AE16" s="9" t="s">
        <v>5</v>
      </c>
      <c r="AF16" s="9" t="s">
        <v>5</v>
      </c>
      <c r="AG16" s="9" t="s">
        <v>3</v>
      </c>
      <c r="AH16" s="9" t="s">
        <v>3</v>
      </c>
      <c r="AI16" s="12" t="s">
        <v>4</v>
      </c>
      <c r="AJ16" s="9" t="s">
        <v>4</v>
      </c>
      <c r="AK16" s="7"/>
      <c r="AN16">
        <f t="shared" ca="1" si="6"/>
        <v>7</v>
      </c>
      <c r="AO16" s="14">
        <f t="shared" ca="1" si="7"/>
        <v>0.14285714285714285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
) / $B$13)</f>
        <v>0.9</v>
      </c>
      <c r="AR16" cm="1">
        <f t="array" aca="1" ref="AR16" ca="1">IF($AP16=AR$14, 1, SUMPRODUCT(
    --(OFFSET($O$13,0,0,1,$B$9)=TRUE),
    --(INDEX(OFFSET($O$15,0,0,$B$8,$B$9), 1+$AP16, 0) = INDEX(OFFSET($O$15,0,0,$B$8,$B$9), 1+AR$14, 0))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
) / $B$13)</f>
        <v>0.9</v>
      </c>
      <c r="AT16" cm="1">
        <f t="array" aca="1" ref="AT16" ca="1">IF($AP16=AT$14, 1, SUMPRODUCT(
    --(OFFSET($O$13,0,0,1,$B$9)=TRUE),
    --(INDEX(OFFSET($O$15,0,0,$B$8,$B$9), 1+$AP16, 0) = INDEX(OFFSET($O$15,0,0,$B$8,$B$9), 1+AT$14, 0))
) / $B$13)</f>
        <v>0.9</v>
      </c>
      <c r="AU16" cm="1">
        <f t="array" aca="1" ref="AU16" ca="1">IF($AP16=AU$14, 1, SUMPRODUCT(
    --(OFFSET($O$13,0,0,1,$B$9)=TRUE),
    --(INDEX(OFFSET($O$15,0,0,$B$8,$B$9), 1+$AP16, 0) = INDEX(OFFSET($O$15,0,0,$B$8,$B$9), 1+AU$14, 0))
) / $B$13)</f>
        <v>0.9</v>
      </c>
      <c r="AV16" cm="1">
        <f t="array" aca="1" ref="AV16" ca="1">IF($AP16=AV$14, 1, SUMPRODUCT(
    --(OFFSET($O$13,0,0,1,$B$9)=TRUE),
    --(INDEX(OFFSET($O$15,0,0,$B$8,$B$9), 1+$AP16, 0) = INDEX(OFFSET($O$15,0,0,$B$8,$B$9), 1+AV$14, 0))
) / $B$13)</f>
        <v>1</v>
      </c>
      <c r="AW16" cm="1">
        <f t="array" aca="1" ref="AW16" ca="1">IF($AP16=AW$14, 1, SUMPRODUCT(
    --(OFFSET($O$13,0,0,1,$B$9)=TRUE),
    --(INDEX(OFFSET($O$15,0,0,$B$8,$B$9), 1+$AP16, 0) = INDEX(OFFSET($O$15,0,0,$B$8,$B$9), 1+AW$14, 0))
) / $B$13)</f>
        <v>0.85</v>
      </c>
      <c r="AX16" cm="1">
        <f t="array" aca="1" ref="AX16" ca="1">IF($AP16=AX$14, 1, SUMPRODUCT(
    --(OFFSET($O$13,0,0,1,$B$9)=TRUE),
    --(INDEX(OFFSET($O$15,0,0,$B$8,$B$9), 1+$AP16, 0) = INDEX(OFFSET($O$15,0,0,$B$8,$B$9), 1+AX$14, 0))
) / $B$13)</f>
        <v>0.85</v>
      </c>
      <c r="AY16" cm="1">
        <f t="array" aca="1" ref="AY16" ca="1">IF($AP16=AY$14, 1, SUMPRODUCT(
    --(OFFSET($O$13,0,0,1,$B$9)=TRUE),
    --(INDEX(OFFSET($O$15,0,0,$B$8,$B$9), 1+$AP16, 0) = INDEX(OFFSET($O$15,0,0,$B$8,$B$9), 1+AY$14, 0))
) / $B$13)</f>
        <v>1</v>
      </c>
      <c r="AZ16" cm="1">
        <f t="array" aca="1" ref="AZ16" ca="1">IF($AP16=AZ$14, 1, SUMPRODUCT(
    --(OFFSET($O$13,0,0,1,$B$9)=TRUE),
    --(INDEX(OFFSET($O$15,0,0,$B$8,$B$9), 1+$AP16, 0) = INDEX(OFFSET($O$15,0,0,$B$8,$B$9), 1+AZ$14, 0))
) / $B$13)</f>
        <v>1</v>
      </c>
      <c r="BA16" cm="1">
        <f t="array" aca="1" ref="BA16" ca="1">IF($AP16=BA$14, 1, SUMPRODUCT(
    --(OFFSET($O$13,0,0,1,$B$9)=TRUE),
    --(INDEX(OFFSET($O$15,0,0,$B$8,$B$9), 1+$AP16, 0) = INDEX(OFFSET($O$15,0,0,$B$8,$B$9), 1+BA$14, 0))
) / $B$13)</f>
        <v>1</v>
      </c>
      <c r="BB16" cm="1">
        <f t="array" aca="1" ref="BB16" ca="1">IF($AP16=BB$14, 1, SUMPRODUCT(
    --(OFFSET($O$13,0,0,1,$B$9)=TRUE),
    --(INDEX(OFFSET($O$15,0,0,$B$8,$B$9), 1+$AP16, 0) = INDEX(OFFSET($O$15,0,0,$B$8,$B$9), 1+BB$14, 0))
) / $B$13)</f>
        <v>1</v>
      </c>
      <c r="BC16" cm="1">
        <f t="array" aca="1" ref="BC16" ca="1">IF($AP16=BC$14, 1, SUMPRODUCT(
    --(OFFSET($O$13,0,0,1,$B$9)=TRUE),
    --(INDEX(OFFSET($O$15,0,0,$B$8,$B$9), 1+$AP16, 0) = INDEX(OFFSET($O$15,0,0,$B$8,$B$9), 1+BC$14, 0))
) / $B$13)</f>
        <v>1</v>
      </c>
      <c r="BD16" cm="1">
        <f t="array" aca="1" ref="BD16" ca="1">IF($AP16=BD$14, 1, SUMPRODUCT(
    --(OFFSET($O$13,0,0,1,$B$9)=TRUE),
    --(INDEX(OFFSET($O$15,0,0,$B$8,$B$9), 1+$AP16, 0) = INDEX(OFFSET($O$15,0,0,$B$8,$B$9), 1+BD$14, 0))
) / $B$13)</f>
        <v>0.95</v>
      </c>
      <c r="BE16" cm="1">
        <f t="array" aca="1" ref="BE16" ca="1">IF($AP16=BE$14, 1, SUMPRODUCT(
    --(OFFSET($O$13,0,0,1,$B$9)=TRUE),
    --(INDEX(OFFSET($O$15,0,0,$B$8,$B$9), 1+$AP16, 0) = INDEX(OFFSET($O$15,0,0,$B$8,$B$9), 1+BE$14, 0))
) / $B$13)</f>
        <v>0.8</v>
      </c>
      <c r="BF16" cm="1">
        <f t="array" aca="1" ref="BF16" ca="1">IF($AP16=BF$14, 1, SUMPRODUCT(
    --(OFFSET($O$13,0,0,1,$B$9)=TRUE),
    --(INDEX(OFFSET($O$15,0,0,$B$8,$B$9), 1+$AP16, 0) = INDEX(OFFSET($O$15,0,0,$B$8,$B$9), 1+BF$14, 0))
) / $B$13)</f>
        <v>0.8</v>
      </c>
      <c r="BG16" cm="1">
        <f t="array" aca="1" ref="BG16" ca="1">IF($AP16=BG$14, 1, SUMPRODUCT(
    --(OFFSET($O$13,0,0,1,$B$9)=TRUE),
    --(INDEX(OFFSET($O$15,0,0,$B$8,$B$9), 1+$AP16, 0) = INDEX(OFFSET($O$15,0,0,$B$8,$B$9), 1+BG$14, 0))
) / $B$13)</f>
        <v>0.95</v>
      </c>
      <c r="BH16" cm="1">
        <f t="array" aca="1" ref="BH16" ca="1">IF($AP16=BH$14, 1, SUMPRODUCT(
    --(OFFSET($O$13,0,0,1,$B$9)=TRUE),
    --(INDEX(OFFSET($O$15,0,0,$B$8,$B$9), 1+$AP16, 0) = INDEX(OFFSET($O$15,0,0,$B$8,$B$9), 1+BH$14, 0))
) / $B$13)</f>
        <v>0.8</v>
      </c>
      <c r="BI16" cm="1">
        <f t="array" aca="1" ref="BI16" ca="1">IF($AP16=BI$14, 1, SUMPRODUCT(
    --(OFFSET($O$13,0,0,1,$B$9)=TRUE),
    --(INDEX(OFFSET($O$15,0,0,$B$8,$B$9), 1+$AP16, 0) = INDEX(OFFSET($O$15,0,0,$B$8,$B$9), 1+BI$14, 0))
) / $B$13)</f>
        <v>0.95</v>
      </c>
      <c r="BJ16" cm="1">
        <f t="array" aca="1" ref="BJ16" ca="1">IF($AP16=BJ$14, 1, SUMPRODUCT(
    --(OFFSET($O$13,0,0,1,$B$9)=TRUE),
    --(INDEX(OFFSET($O$15,0,0,$B$8,$B$9), 1+$AP16, 0) = INDEX(OFFSET($O$15,0,0,$B$8,$B$9), 1+BJ$14, 0))
) / $B$13)</f>
        <v>0.85</v>
      </c>
      <c r="BN16">
        <f t="shared" ca="1" si="8"/>
        <v>10</v>
      </c>
      <c r="BO16" s="14">
        <f t="shared" ca="1" si="9"/>
        <v>0.1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
) / $B$16)</f>
        <v>0.89473684210526316</v>
      </c>
      <c r="BR16" cm="1">
        <f t="array" aca="1" ref="BR16" ca="1">IF($BP16=BR$14, 1, SUMPRODUCT(
    --(OFFSET($O$9,0,0,1,$B$9)=TRUE),
    --(INDEX(OFFSET($O$15,0,0,$B$8,$B$9), 1+$BP16, 0) = INDEX(OFFSET($O$15,0,0,$B$8,$B$9), 1+BR$14, 0))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
) / $B$16)</f>
        <v>0.89473684210526316</v>
      </c>
      <c r="BT16" cm="1">
        <f t="array" aca="1" ref="BT16" ca="1">IF($BP16=BT$14, 1, SUMPRODUCT(
    --(OFFSET($O$9,0,0,1,$B$9)=TRUE),
    --(INDEX(OFFSET($O$15,0,0,$B$8,$B$9), 1+$BP16, 0) = INDEX(OFFSET($O$15,0,0,$B$8,$B$9), 1+BT$14, 0))
) / $B$16)</f>
        <v>0.89473684210526316</v>
      </c>
      <c r="BU16" cm="1">
        <f t="array" aca="1" ref="BU16" ca="1">IF($BP16=BU$14, 1, SUMPRODUCT(
    --(OFFSET($O$9,0,0,1,$B$9)=TRUE),
    --(INDEX(OFFSET($O$15,0,0,$B$8,$B$9), 1+$BP16, 0) = INDEX(OFFSET($O$15,0,0,$B$8,$B$9), 1+BU$14, 0))
) / $B$16)</f>
        <v>0.89473684210526316</v>
      </c>
      <c r="BV16" cm="1">
        <f t="array" aca="1" ref="BV16" ca="1">IF($BP16=BV$14, 1, SUMPRODUCT(
    --(OFFSET($O$9,0,0,1,$B$9)=TRUE),
    --(INDEX(OFFSET($O$15,0,0,$B$8,$B$9), 1+$BP16, 0) = INDEX(OFFSET($O$15,0,0,$B$8,$B$9), 1+BV$14, 0))
) / $B$16)</f>
        <v>1</v>
      </c>
      <c r="BW16" cm="1">
        <f t="array" aca="1" ref="BW16" ca="1">IF($BP16=BW$14, 1, SUMPRODUCT(
    --(OFFSET($O$9,0,0,1,$B$9)=TRUE),
    --(INDEX(OFFSET($O$15,0,0,$B$8,$B$9), 1+$BP16, 0) = INDEX(OFFSET($O$15,0,0,$B$8,$B$9), 1+BW$14, 0))
) / $B$16)</f>
        <v>0.84210526315789469</v>
      </c>
      <c r="BX16" cm="1">
        <f t="array" aca="1" ref="BX16" ca="1">IF($BP16=BX$14, 1, SUMPRODUCT(
    --(OFFSET($O$9,0,0,1,$B$9)=TRUE),
    --(INDEX(OFFSET($O$15,0,0,$B$8,$B$9), 1+$BP16, 0) = INDEX(OFFSET($O$15,0,0,$B$8,$B$9), 1+BX$14, 0))
) / $B$16)</f>
        <v>0.84210526315789469</v>
      </c>
      <c r="BY16" cm="1">
        <f t="array" aca="1" ref="BY16" ca="1">IF($BP16=BY$14, 1, SUMPRODUCT(
    --(OFFSET($O$9,0,0,1,$B$9)=TRUE),
    --(INDEX(OFFSET($O$15,0,0,$B$8,$B$9), 1+$BP16, 0) = INDEX(OFFSET($O$15,0,0,$B$8,$B$9), 1+BY$14, 0))
) / $B$16)</f>
        <v>1</v>
      </c>
      <c r="BZ16" cm="1">
        <f t="array" aca="1" ref="BZ16" ca="1">IF($BP16=BZ$14, 1, SUMPRODUCT(
    --(OFFSET($O$9,0,0,1,$B$9)=TRUE),
    --(INDEX(OFFSET($O$15,0,0,$B$8,$B$9), 1+$BP16, 0) = INDEX(OFFSET($O$15,0,0,$B$8,$B$9), 1+BZ$14, 0))
) / $B$16)</f>
        <v>1</v>
      </c>
      <c r="CA16" cm="1">
        <f t="array" aca="1" ref="CA16" ca="1">IF($BP16=CA$14, 1, SUMPRODUCT(
    --(OFFSET($O$9,0,0,1,$B$9)=TRUE),
    --(INDEX(OFFSET($O$15,0,0,$B$8,$B$9), 1+$BP16, 0) = INDEX(OFFSET($O$15,0,0,$B$8,$B$9), 1+CA$14, 0))
) / $B$16)</f>
        <v>1</v>
      </c>
      <c r="CB16" cm="1">
        <f t="array" aca="1" ref="CB16" ca="1">IF($BP16=CB$14, 1, SUMPRODUCT(
    --(OFFSET($O$9,0,0,1,$B$9)=TRUE),
    --(INDEX(OFFSET($O$15,0,0,$B$8,$B$9), 1+$BP16, 0) = INDEX(OFFSET($O$15,0,0,$B$8,$B$9), 1+CB$14, 0))
) / $B$16)</f>
        <v>1</v>
      </c>
      <c r="CC16" cm="1">
        <f t="array" aca="1" ref="CC16" ca="1">IF($BP16=CC$14, 1, SUMPRODUCT(
    --(OFFSET($O$9,0,0,1,$B$9)=TRUE),
    --(INDEX(OFFSET($O$15,0,0,$B$8,$B$9), 1+$BP16, 0) = INDEX(OFFSET($O$15,0,0,$B$8,$B$9), 1+CC$14, 0))
) / $B$16)</f>
        <v>1</v>
      </c>
      <c r="CD16" cm="1">
        <f t="array" aca="1" ref="CD16" ca="1">IF($BP16=CD$14, 1, SUMPRODUCT(
    --(OFFSET($O$9,0,0,1,$B$9)=TRUE),
    --(INDEX(OFFSET($O$15,0,0,$B$8,$B$9), 1+$BP16, 0) = INDEX(OFFSET($O$15,0,0,$B$8,$B$9), 1+CD$14, 0))
) / $B$16)</f>
        <v>1</v>
      </c>
      <c r="CE16" cm="1">
        <f t="array" aca="1" ref="CE16" ca="1">IF($BP16=CE$14, 1, SUMPRODUCT(
    --(OFFSET($O$9,0,0,1,$B$9)=TRUE),
    --(INDEX(OFFSET($O$15,0,0,$B$8,$B$9), 1+$BP16, 0) = INDEX(OFFSET($O$15,0,0,$B$8,$B$9), 1+CE$14, 0))
) / $B$16)</f>
        <v>0.84210526315789469</v>
      </c>
      <c r="CF16" cm="1">
        <f t="array" aca="1" ref="CF16" ca="1">IF($BP16=CF$14, 1, SUMPRODUCT(
    --(OFFSET($O$9,0,0,1,$B$9)=TRUE),
    --(INDEX(OFFSET($O$15,0,0,$B$8,$B$9), 1+$BP16, 0) = INDEX(OFFSET($O$15,0,0,$B$8,$B$9), 1+CF$14, 0))
) / $B$16)</f>
        <v>0.84210526315789469</v>
      </c>
      <c r="CG16" cm="1">
        <f t="array" aca="1" ref="CG16" ca="1">IF($BP16=CG$14, 1, SUMPRODUCT(
    --(OFFSET($O$9,0,0,1,$B$9)=TRUE),
    --(INDEX(OFFSET($O$15,0,0,$B$8,$B$9), 1+$BP16, 0) = INDEX(OFFSET($O$15,0,0,$B$8,$B$9), 1+CG$14, 0))
) / $B$16)</f>
        <v>1</v>
      </c>
      <c r="CH16" cm="1">
        <f t="array" aca="1" ref="CH16" ca="1">IF($BP16=CH$14, 1, SUMPRODUCT(
    --(OFFSET($O$9,0,0,1,$B$9)=TRUE),
    --(INDEX(OFFSET($O$15,0,0,$B$8,$B$9), 1+$BP16, 0) = INDEX(OFFSET($O$15,0,0,$B$8,$B$9), 1+CH$14, 0))
) / $B$16)</f>
        <v>0.84210526315789469</v>
      </c>
      <c r="CI16" cm="1">
        <f t="array" aca="1" ref="CI16" ca="1">IF($BP16=CI$14, 1, SUMPRODUCT(
    --(OFFSET($O$9,0,0,1,$B$9)=TRUE),
    --(INDEX(OFFSET($O$15,0,0,$B$8,$B$9), 1+$BP16, 0) = INDEX(OFFSET($O$15,0,0,$B$8,$B$9), 1+CI$14, 0))
) / $B$16)</f>
        <v>1</v>
      </c>
      <c r="CJ16" cm="1">
        <f t="array" aca="1" ref="CJ16" ca="1">IF($BP16=CJ$14, 1, SUMPRODUCT(
    --(OFFSET($O$9,0,0,1,$B$9)=TRUE),
    --(INDEX(OFFSET($O$15,0,0,$B$8,$B$9), 1+$BP16, 0) = INDEX(OFFSET($O$15,0,0,$B$8,$B$9), 1+CJ$14, 0))
) / $B$16)</f>
        <v>0.84210526315789469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3.3333333333333331E-3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3.3333333333333331E-3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3.3333333333333331E-3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3.3333333333333331E-3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3.3333333333333331E-3</v>
      </c>
      <c r="CV16" s="10" cm="1">
        <f t="array" aca="1" ref="CV16" ca="1">(1-$B$18)*SUMPRODUCT(OFFSET($BO$15,0,0,$B$14,1), 1*(_xlfn._xlws.FILTER(OFFSET($O$15,0,$CP16,$B$8,1), OFFSET($M$15,0,0,$B$8,1))=CV$14))   /   SUM(OFFSET($BO$15,0,0,$B$14,1)) + $B$18/$B$19</f>
        <v>3.3333333333333331E-3</v>
      </c>
      <c r="CW16" s="10" cm="1">
        <f t="array" aca="1" ref="CW16" ca="1">(1-$B$18)*SUMPRODUCT(OFFSET($BO$15,0,0,$B$14,1), 1*(_xlfn._xlws.FILTER(OFFSET($O$15,0,$CP16,$B$8,1), OFFSET($M$15,0,0,$B$8,1))=CW$14))   /   SUM(OFFSET($BO$15,0,0,$B$14,1)) + $B$18/$B$19</f>
        <v>3.3333333333333331E-3</v>
      </c>
      <c r="CX16" s="10" cm="1">
        <f t="array" aca="1" ref="CX16" ca="1">(1-$B$18)*SUMPRODUCT(OFFSET($BO$15,0,0,$B$14,1), 1*(_xlfn._xlws.FILTER(OFFSET($O$15,0,$CP16,$B$8,1), OFFSET($M$15,0,0,$B$8,1))=CX$14))   /   SUM(OFFSET($BO$15,0,0,$B$14,1)) + $B$18/$B$19</f>
        <v>0.97333333333333327</v>
      </c>
      <c r="CY16" s="10" cm="1">
        <f t="array" aca="1" ref="CY16" ca="1">(1-$B$18)*SUMPRODUCT(OFFSET($BO$15,0,0,$B$14,1), 1*(_xlfn._xlws.FILTER(OFFSET($O$15,0,$CP16,$B$8,1), OFFSET($M$15,0,0,$B$8,1))=CY$14))   /   SUM(OFFSET($BO$15,0,0,$B$14,1)) + $B$18/$B$19</f>
        <v>3.3333333333333331E-3</v>
      </c>
      <c r="DB16" s="10" cm="1">
        <f t="array" aca="1" ref="DB16" ca="1">SUM(OFFSET($CR16,0,0,1,$M$2)*LN(OFFSET($CR16,0,0,1,$M$2)/OFFSET($CR$11,0,0,1,$M$2)))+IF($CQ$11&gt;0,OFFSET($O$10,0,$CP16,1,1)*LN(OFFSET($O$10,0,$CP16,1,1)/$CQ$11),0)</f>
        <v>1.9131139043413501</v>
      </c>
      <c r="DC16">
        <f ca="1"/>
        <v>1</v>
      </c>
      <c r="DD16" s="10">
        <f t="shared" ref="DD16:DD33" ca="1" si="11">CR16*LN(CR16/CR$10) + (1 - CR16)*LN((1-CR16)/(1-CR$10))</f>
        <v>0.11767737994455678</v>
      </c>
      <c r="DE16" s="10">
        <f t="shared" ca="1" si="10"/>
        <v>0.11767737994455678</v>
      </c>
      <c r="DF16" s="10">
        <f t="shared" ca="1" si="10"/>
        <v>0.11767737994455678</v>
      </c>
      <c r="DG16" s="10">
        <f t="shared" ca="1" si="10"/>
        <v>0.11767737994455678</v>
      </c>
      <c r="DH16" s="10">
        <f t="shared" ca="1" si="10"/>
        <v>0.11767737994455678</v>
      </c>
      <c r="DI16" s="10">
        <f t="shared" ca="1" si="10"/>
        <v>0.11767737994455678</v>
      </c>
      <c r="DJ16" s="10">
        <f t="shared" ca="1" si="10"/>
        <v>1.9045936050347492</v>
      </c>
      <c r="DK16" s="10">
        <f t="shared" ca="1" si="10"/>
        <v>0.11767737994455678</v>
      </c>
      <c r="DN16" cm="1">
        <f t="array" aca="1" ref="DN16" ca="1">INDEX(_xlfn.ANCHORARRAY($CP$15), 1 + INT((ROWS($DO$15:$DO16) - 1) / ROWS(_xlfn.ANCHORARRAY($CP$15))))</f>
        <v>0</v>
      </c>
      <c r="DO16" cm="1">
        <f t="array" aca="1" ref="DO16" ca="1">INDEX(_xlfn.ANCHORARRAY($CP$15),1+MOD(ROWS($DO$15:$DO16)-1,ROWS(_xlfn.ANCHORARRAY($CP$15))))</f>
        <v>1</v>
      </c>
      <c r="DP16" s="10" cm="1">
        <f t="array" aca="1" ref="DP16" ca="1">(1-$B$18)*SUMPRODUCT(OFFSET($BO$15,0,0,$B$14,1), 1*(_xlfn._xlws.FILTER(OFFSET($O$15,0,$DN16,$B$8,1),OFFSET($M$15,0,0,$B$8,1))=DP$13), 1*(_xlfn._xlws.FILTER(OFFSET($O$15,0,$DO16,$B$8,1),OFFSET($M$15,0,0,$B$8,1))=DP$14))   /   SUM(OFFSET($BO$15,0,0,$B$14,1)) + $B$18/($B$19*$B$19*($DN16&lt;&gt;$DO16) + $B$19*($DN16=$DO16))</f>
        <v>3.7037037037037035E-4</v>
      </c>
      <c r="DQ16" s="10" cm="1">
        <f t="array" aca="1" ref="DQ16" ca="1">(1-$B$18)*SUMPRODUCT(OFFSET($BO$15,0,0,$B$14,1), 1*(_xlfn._xlws.FILTER(OFFSET($O$15,0,$DN16,$B$8,1),OFFSET($M$15,0,0,$B$8,1))=DQ$13), 1*(_xlfn._xlws.FILTER(OFFSET($O$15,0,$DO16,$B$8,1),OFFSET($M$15,0,0,$B$8,1))=DQ$14))   /   SUM(OFFSET($BO$15,0,0,$B$14,1)) + $B$18/($B$19*$B$19*($DN16&lt;&gt;$DO16) + $B$19*($DN16=$DO16))</f>
        <v>3.7037037037037035E-4</v>
      </c>
      <c r="DR16" s="10" cm="1">
        <f t="array" aca="1" ref="DR16" ca="1">(1-$B$18)*SUMPRODUCT(OFFSET($BO$15,0,0,$B$14,1), 1*(_xlfn._xlws.FILTER(OFFSET($O$15,0,$DN16,$B$8,1),OFFSET($M$15,0,0,$B$8,1))=DR$13), 1*(_xlfn._xlws.FILTER(OFFSET($O$15,0,$DO16,$B$8,1),OFFSET($M$15,0,0,$B$8,1))=DR$14))   /   SUM(OFFSET($BO$15,0,0,$B$14,1)) + $B$18/($B$19*$B$19*($DN16&lt;&gt;$DO16) + $B$19*($DN16=$DO16))</f>
        <v>3.7037037037037035E-4</v>
      </c>
      <c r="DS16" s="10" cm="1">
        <f t="array" aca="1" ref="DS16" ca="1">(1-$B$18)*SUMPRODUCT(OFFSET($BO$15,0,0,$B$14,1), 1*(_xlfn._xlws.FILTER(OFFSET($O$15,0,$DN16,$B$8,1),OFFSET($M$15,0,0,$B$8,1))=DS$13), 1*(_xlfn._xlws.FILTER(OFFSET($O$15,0,$DO16,$B$8,1),OFFSET($M$15,0,0,$B$8,1))=DS$14))   /   SUM(OFFSET($BO$15,0,0,$B$14,1)) + $B$18/($B$19*$B$19*($DN16&lt;&gt;$DO16) + $B$19*($DN16=$DO16))</f>
        <v>3.7037037037037035E-4</v>
      </c>
      <c r="DT16" s="10" cm="1">
        <f t="array" aca="1" ref="DT16" ca="1">(1-$B$18)*SUMPRODUCT(OFFSET($BO$15,0,0,$B$14,1), 1*(_xlfn._xlws.FILTER(OFFSET($O$15,0,$DN16,$B$8,1),OFFSET($M$15,0,0,$B$8,1))=DT$13), 1*(_xlfn._xlws.FILTER(OFFSET($O$15,0,$DO16,$B$8,1),OFFSET($M$15,0,0,$B$8,1))=DT$14))   /   SUM(OFFSET($BO$15,0,0,$B$14,1)) + $B$18/($B$19*$B$19*($DN16&lt;&gt;$DO16) + $B$19*($DN16=$DO16))</f>
        <v>3.7037037037037035E-4</v>
      </c>
      <c r="DU16" s="10" cm="1">
        <f t="array" aca="1" ref="DU16" ca="1">(1-$B$18)*SUMPRODUCT(OFFSET($BO$15,0,0,$B$14,1), 1*(_xlfn._xlws.FILTER(OFFSET($O$15,0,$DN16,$B$8,1),OFFSET($M$15,0,0,$B$8,1))=DU$13), 1*(_xlfn._xlws.FILTER(OFFSET($O$15,0,$DO16,$B$8,1),OFFSET($M$15,0,0,$B$8,1))=DU$14))   /   SUM(OFFSET($BO$15,0,0,$B$14,1)) + $B$18/($B$19*$B$19*($DN16&lt;&gt;$DO16) + $B$19*($DN16=$DO16))</f>
        <v>3.7037037037037035E-4</v>
      </c>
      <c r="DV16" s="10" cm="1">
        <f t="array" aca="1" ref="DV16" ca="1">(1-$B$18)*SUMPRODUCT(OFFSET($BO$15,0,0,$B$14,1), 1*(_xlfn._xlws.FILTER(OFFSET($O$15,0,$DN16,$B$8,1),OFFSET($M$15,0,0,$B$8,1))=DV$13), 1*(_xlfn._xlws.FILTER(OFFSET($O$15,0,$DO16,$B$8,1),OFFSET($M$15,0,0,$B$8,1))=DV$14))   /   SUM(OFFSET($BO$15,0,0,$B$14,1)) + $B$18/($B$19*$B$19*($DN16&lt;&gt;$DO16) + $B$19*($DN16=$DO16))</f>
        <v>3.7037037037037035E-4</v>
      </c>
      <c r="DW16" s="10" cm="1">
        <f t="array" aca="1" ref="DW16" ca="1">(1-$B$18)*SUMPRODUCT(OFFSET($BO$15,0,0,$B$14,1), 1*(_xlfn._xlws.FILTER(OFFSET($O$15,0,$DN16,$B$8,1),OFFSET($M$15,0,0,$B$8,1))=DW$13), 1*(_xlfn._xlws.FILTER(OFFSET($O$15,0,$DO16,$B$8,1),OFFSET($M$15,0,0,$B$8,1))=DW$14))   /   SUM(OFFSET($BO$15,0,0,$B$14,1)) + $B$18/($B$19*$B$19*($DN16&lt;&gt;$DO16) + $B$19*($DN16=$DO16))</f>
        <v>3.7037037037037035E-4</v>
      </c>
      <c r="DX16" s="10" cm="1">
        <f t="array" aca="1" ref="DX16" ca="1">(1-$B$18)*SUMPRODUCT(OFFSET($BO$15,0,0,$B$14,1), 1*(_xlfn._xlws.FILTER(OFFSET($O$15,0,$DN16,$B$8,1),OFFSET($M$15,0,0,$B$8,1))=DX$13), 1*(_xlfn._xlws.FILTER(OFFSET($O$15,0,$DO16,$B$8,1),OFFSET($M$15,0,0,$B$8,1))=DX$14))   /   SUM(OFFSET($BO$15,0,0,$B$14,1)) + $B$18/($B$19*$B$19*($DN16&lt;&gt;$DO16) + $B$19*($DN16=$DO16))</f>
        <v>3.7037037037037035E-4</v>
      </c>
      <c r="DY16" s="10" cm="1">
        <f t="array" aca="1" ref="DY16" ca="1">(1-$B$18)*SUMPRODUCT(OFFSET($BO$15,0,0,$B$14,1), 1*(_xlfn._xlws.FILTER(OFFSET($O$15,0,$DN16,$B$8,1),OFFSET($M$15,0,0,$B$8,1))=DY$13), 1*(_xlfn._xlws.FILTER(OFFSET($O$15,0,$DO16,$B$8,1),OFFSET($M$15,0,0,$B$8,1))=DY$14))   /   SUM(OFFSET($BO$15,0,0,$B$14,1)) + $B$18/($B$19*$B$19*($DN16&lt;&gt;$DO16) + $B$19*($DN16=$DO16))</f>
        <v>3.7037037037037035E-4</v>
      </c>
      <c r="DZ16" s="10" cm="1">
        <f t="array" aca="1" ref="DZ16" ca="1">(1-$B$18)*SUMPRODUCT(OFFSET($BO$15,0,0,$B$14,1), 1*(_xlfn._xlws.FILTER(OFFSET($O$15,0,$DN16,$B$8,1),OFFSET($M$15,0,0,$B$8,1))=DZ$13), 1*(_xlfn._xlws.FILTER(OFFSET($O$15,0,$DO16,$B$8,1),OFFSET($M$15,0,0,$B$8,1))=DZ$14))   /   SUM(OFFSET($BO$15,0,0,$B$14,1)) + $B$18/($B$19*$B$19*($DN16&lt;&gt;$DO16) + $B$19*($DN16=$DO16))</f>
        <v>3.7037037037037035E-4</v>
      </c>
      <c r="EA16" s="10" cm="1">
        <f t="array" aca="1" ref="EA16" ca="1">(1-$B$18)*SUMPRODUCT(OFFSET($BO$15,0,0,$B$14,1), 1*(_xlfn._xlws.FILTER(OFFSET($O$15,0,$DN16,$B$8,1),OFFSET($M$15,0,0,$B$8,1))=EA$13), 1*(_xlfn._xlws.FILTER(OFFSET($O$15,0,$DO16,$B$8,1),OFFSET($M$15,0,0,$B$8,1))=EA$14))   /   SUM(OFFSET($BO$15,0,0,$B$14,1)) + $B$18/($B$19*$B$19*($DN16&lt;&gt;$DO16) + $B$19*($DN16=$DO16))</f>
        <v>3.7037037037037035E-4</v>
      </c>
      <c r="EB16" s="10" cm="1">
        <f t="array" aca="1" ref="EB16" ca="1">(1-$B$18)*SUMPRODUCT(OFFSET($BO$15,0,0,$B$14,1), 1*(_xlfn._xlws.FILTER(OFFSET($O$15,0,$DN16,$B$8,1),OFFSET($M$15,0,0,$B$8,1))=EB$13), 1*(_xlfn._xlws.FILTER(OFFSET($O$15,0,$DO16,$B$8,1),OFFSET($M$15,0,0,$B$8,1))=EB$14))   /   SUM(OFFSET($BO$15,0,0,$B$14,1)) + $B$18/($B$19*$B$19*($DN16&lt;&gt;$DO16) + $B$19*($DN16=$DO16))</f>
        <v>3.7037037037037035E-4</v>
      </c>
      <c r="EC16" s="10" cm="1">
        <f t="array" aca="1" ref="EC16" ca="1">(1-$B$18)*SUMPRODUCT(OFFSET($BO$15,0,0,$B$14,1), 1*(_xlfn._xlws.FILTER(OFFSET($O$15,0,$DN16,$B$8,1),OFFSET($M$15,0,0,$B$8,1))=EC$13), 1*(_xlfn._xlws.FILTER(OFFSET($O$15,0,$DO16,$B$8,1),OFFSET($M$15,0,0,$B$8,1))=EC$14))   /   SUM(OFFSET($BO$15,0,0,$B$14,1)) + $B$18/($B$19*$B$19*($DN16&lt;&gt;$DO16) + $B$19*($DN16=$DO16))</f>
        <v>3.7037037037037035E-4</v>
      </c>
      <c r="ED16" s="10" cm="1">
        <f t="array" aca="1" ref="ED16" ca="1">(1-$B$18)*SUMPRODUCT(OFFSET($BO$15,0,0,$B$14,1), 1*(_xlfn._xlws.FILTER(OFFSET($O$15,0,$DN16,$B$8,1),OFFSET($M$15,0,0,$B$8,1))=ED$13), 1*(_xlfn._xlws.FILTER(OFFSET($O$15,0,$DO16,$B$8,1),OFFSET($M$15,0,0,$B$8,1))=ED$14))   /   SUM(OFFSET($BO$15,0,0,$B$14,1)) + $B$18/($B$19*$B$19*($DN16&lt;&gt;$DO16) + $B$19*($DN16=$DO16))</f>
        <v>3.7037037037037035E-4</v>
      </c>
      <c r="EE16" s="10" cm="1">
        <f t="array" aca="1" ref="EE16" ca="1">(1-$B$18)*SUMPRODUCT(OFFSET($BO$15,0,0,$B$14,1), 1*(_xlfn._xlws.FILTER(OFFSET($O$15,0,$DN16,$B$8,1),OFFSET($M$15,0,0,$B$8,1))=EE$13), 1*(_xlfn._xlws.FILTER(OFFSET($O$15,0,$DO16,$B$8,1),OFFSET($M$15,0,0,$B$8,1))=EE$14))   /   SUM(OFFSET($BO$15,0,0,$B$14,1)) + $B$18/($B$19*$B$19*($DN16&lt;&gt;$DO16) + $B$19*($DN16=$DO16))</f>
        <v>3.7037037037037035E-4</v>
      </c>
      <c r="EF16" s="10" cm="1">
        <f t="array" aca="1" ref="EF16" ca="1">(1-$B$18)*SUMPRODUCT(OFFSET($BO$15,0,0,$B$14,1), 1*(_xlfn._xlws.FILTER(OFFSET($O$15,0,$DN16,$B$8,1),OFFSET($M$15,0,0,$B$8,1))=EF$13), 1*(_xlfn._xlws.FILTER(OFFSET($O$15,0,$DO16,$B$8,1),OFFSET($M$15,0,0,$B$8,1))=EF$14))   /   SUM(OFFSET($BO$15,0,0,$B$14,1)) + $B$18/($B$19*$B$19*($DN16&lt;&gt;$DO16) + $B$19*($DN16=$DO16))</f>
        <v>3.7037037037037035E-4</v>
      </c>
      <c r="EG16" s="10" cm="1">
        <f t="array" aca="1" ref="EG16" ca="1">(1-$B$18)*SUMPRODUCT(OFFSET($BO$15,0,0,$B$14,1), 1*(_xlfn._xlws.FILTER(OFFSET($O$15,0,$DN16,$B$8,1),OFFSET($M$15,0,0,$B$8,1))=EG$13), 1*(_xlfn._xlws.FILTER(OFFSET($O$15,0,$DO16,$B$8,1),OFFSET($M$15,0,0,$B$8,1))=EG$14))   /   SUM(OFFSET($BO$15,0,0,$B$14,1)) + $B$18/($B$19*$B$19*($DN16&lt;&gt;$DO16) + $B$19*($DN16=$DO16))</f>
        <v>3.7037037037037035E-4</v>
      </c>
      <c r="EH16" s="10" cm="1">
        <f t="array" aca="1" ref="EH16" ca="1">(1-$B$18)*SUMPRODUCT(OFFSET($BO$15,0,0,$B$14,1), 1*(_xlfn._xlws.FILTER(OFFSET($O$15,0,$DN16,$B$8,1),OFFSET($M$15,0,0,$B$8,1))=EH$13), 1*(_xlfn._xlws.FILTER(OFFSET($O$15,0,$DO16,$B$8,1),OFFSET($M$15,0,0,$B$8,1))=EH$14))   /   SUM(OFFSET($BO$15,0,0,$B$14,1)) + $B$18/($B$19*$B$19*($DN16&lt;&gt;$DO16) + $B$19*($DN16=$DO16))</f>
        <v>3.7037037037037035E-4</v>
      </c>
      <c r="EI16" s="10" cm="1">
        <f t="array" aca="1" ref="EI16" ca="1">(1-$B$18)*SUMPRODUCT(OFFSET($BO$15,0,0,$B$14,1), 1*(_xlfn._xlws.FILTER(OFFSET($O$15,0,$DN16,$B$8,1),OFFSET($M$15,0,0,$B$8,1))=EI$13), 1*(_xlfn._xlws.FILTER(OFFSET($O$15,0,$DO16,$B$8,1),OFFSET($M$15,0,0,$B$8,1))=EI$14))   /   SUM(OFFSET($BO$15,0,0,$B$14,1)) + $B$18/($B$19*$B$19*($DN16&lt;&gt;$DO16) + $B$19*($DN16=$DO16))</f>
        <v>3.7037037037037035E-4</v>
      </c>
      <c r="EJ16" s="10" cm="1">
        <f t="array" aca="1" ref="EJ16" ca="1">(1-$B$18)*SUMPRODUCT(OFFSET($BO$15,0,0,$B$14,1), 1*(_xlfn._xlws.FILTER(OFFSET($O$15,0,$DN16,$B$8,1),OFFSET($M$15,0,0,$B$8,1))=EJ$13), 1*(_xlfn._xlws.FILTER(OFFSET($O$15,0,$DO16,$B$8,1),OFFSET($M$15,0,0,$B$8,1))=EJ$14))   /   SUM(OFFSET($BO$15,0,0,$B$14,1)) + $B$18/($B$19*$B$19*($DN16&lt;&gt;$DO16) + $B$19*($DN16=$DO16))</f>
        <v>3.7037037037037035E-4</v>
      </c>
      <c r="EK16" s="10" cm="1">
        <f t="array" aca="1" ref="EK16" ca="1">(1-$B$18)*SUMPRODUCT(OFFSET($BO$15,0,0,$B$14,1), 1*(_xlfn._xlws.FILTER(OFFSET($O$15,0,$DN16,$B$8,1),OFFSET($M$15,0,0,$B$8,1))=EK$13), 1*(_xlfn._xlws.FILTER(OFFSET($O$15,0,$DO16,$B$8,1),OFFSET($M$15,0,0,$B$8,1))=EK$14))   /   SUM(OFFSET($BO$15,0,0,$B$14,1)) + $B$18/($B$19*$B$19*($DN16&lt;&gt;$DO16) + $B$19*($DN16=$DO16))</f>
        <v>3.7037037037037035E-4</v>
      </c>
      <c r="EL16" s="10" cm="1">
        <f t="array" aca="1" ref="EL16" ca="1">(1-$B$18)*SUMPRODUCT(OFFSET($BO$15,0,0,$B$14,1), 1*(_xlfn._xlws.FILTER(OFFSET($O$15,0,$DN16,$B$8,1),OFFSET($M$15,0,0,$B$8,1))=EL$13), 1*(_xlfn._xlws.FILTER(OFFSET($O$15,0,$DO16,$B$8,1),OFFSET($M$15,0,0,$B$8,1))=EL$14))   /   SUM(OFFSET($BO$15,0,0,$B$14,1)) + $B$18/($B$19*$B$19*($DN16&lt;&gt;$DO16) + $B$19*($DN16=$DO16))</f>
        <v>3.7037037037037035E-4</v>
      </c>
      <c r="EM16" s="10" cm="1">
        <f t="array" aca="1" ref="EM16" ca="1">(1-$B$18)*SUMPRODUCT(OFFSET($BO$15,0,0,$B$14,1), 1*(_xlfn._xlws.FILTER(OFFSET($O$15,0,$DN16,$B$8,1),OFFSET($M$15,0,0,$B$8,1))=EM$13), 1*(_xlfn._xlws.FILTER(OFFSET($O$15,0,$DO16,$B$8,1),OFFSET($M$15,0,0,$B$8,1))=EM$14))   /   SUM(OFFSET($BO$15,0,0,$B$14,1)) + $B$18/($B$19*$B$19*($DN16&lt;&gt;$DO16) + $B$19*($DN16=$DO16))</f>
        <v>3.7037037037037035E-4</v>
      </c>
      <c r="EN16" s="10" cm="1">
        <f t="array" aca="1" ref="EN16" ca="1">(1-$B$18)*SUMPRODUCT(OFFSET($BO$15,0,0,$B$14,1), 1*(_xlfn._xlws.FILTER(OFFSET($O$15,0,$DN16,$B$8,1),OFFSET($M$15,0,0,$B$8,1))=EN$13), 1*(_xlfn._xlws.FILTER(OFFSET($O$15,0,$DO16,$B$8,1),OFFSET($M$15,0,0,$B$8,1))=EN$14))   /   SUM(OFFSET($BO$15,0,0,$B$14,1)) + $B$18/($B$19*$B$19*($DN16&lt;&gt;$DO16) + $B$19*($DN16=$DO16))</f>
        <v>3.7037037037037035E-4</v>
      </c>
      <c r="EO16" s="10" cm="1">
        <f t="array" aca="1" ref="EO16" ca="1">(1-$B$18)*SUMPRODUCT(OFFSET($BO$15,0,0,$B$14,1), 1*(_xlfn._xlws.FILTER(OFFSET($O$15,0,$DN16,$B$8,1),OFFSET($M$15,0,0,$B$8,1))=EO$13), 1*(_xlfn._xlws.FILTER(OFFSET($O$15,0,$DO16,$B$8,1),OFFSET($M$15,0,0,$B$8,1))=EO$14))   /   SUM(OFFSET($BO$15,0,0,$B$14,1)) + $B$18/($B$19*$B$19*($DN16&lt;&gt;$DO16) + $B$19*($DN16=$DO16))</f>
        <v>3.7037037037037035E-4</v>
      </c>
      <c r="EP16" s="10" cm="1">
        <f t="array" aca="1" ref="EP16" ca="1">(1-$B$18)*SUMPRODUCT(OFFSET($BO$15,0,0,$B$14,1), 1*(_xlfn._xlws.FILTER(OFFSET($O$15,0,$DN16,$B$8,1),OFFSET($M$15,0,0,$B$8,1))=EP$13), 1*(_xlfn._xlws.FILTER(OFFSET($O$15,0,$DO16,$B$8,1),OFFSET($M$15,0,0,$B$8,1))=EP$14))   /   SUM(OFFSET($BO$15,0,0,$B$14,1)) + $B$18/($B$19*$B$19*($DN16&lt;&gt;$DO16) + $B$19*($DN16=$DO16))</f>
        <v>3.7037037037037035E-4</v>
      </c>
      <c r="EQ16" s="10" cm="1">
        <f t="array" aca="1" ref="EQ16" ca="1">(1-$B$18)*SUMPRODUCT(OFFSET($BO$15,0,0,$B$14,1), 1*(_xlfn._xlws.FILTER(OFFSET($O$15,0,$DN16,$B$8,1),OFFSET($M$15,0,0,$B$8,1))=EQ$13), 1*(_xlfn._xlws.FILTER(OFFSET($O$15,0,$DO16,$B$8,1),OFFSET($M$15,0,0,$B$8,1))=EQ$14))   /   SUM(OFFSET($BO$15,0,0,$B$14,1)) + $B$18/($B$19*$B$19*($DN16&lt;&gt;$DO16) + $B$19*($DN16=$DO16))</f>
        <v>3.7037037037037035E-4</v>
      </c>
      <c r="ER16" s="10" cm="1">
        <f t="array" aca="1" ref="ER16" ca="1">(1-$B$18)*SUMPRODUCT(OFFSET($BO$15,0,0,$B$14,1), 1*(_xlfn._xlws.FILTER(OFFSET($O$15,0,$DN16,$B$8,1),OFFSET($M$15,0,0,$B$8,1))=ER$13), 1*(_xlfn._xlws.FILTER(OFFSET($O$15,0,$DO16,$B$8,1),OFFSET($M$15,0,0,$B$8,1))=ER$14))   /   SUM(OFFSET($BO$15,0,0,$B$14,1)) + $B$18/($B$19*$B$19*($DN16&lt;&gt;$DO16) + $B$19*($DN16=$DO16))</f>
        <v>3.7037037037037035E-4</v>
      </c>
      <c r="ES16" s="10" cm="1">
        <f t="array" aca="1" ref="ES16" ca="1">(1-$B$18)*SUMPRODUCT(OFFSET($BO$15,0,0,$B$14,1), 1*(_xlfn._xlws.FILTER(OFFSET($O$15,0,$DN16,$B$8,1),OFFSET($M$15,0,0,$B$8,1))=ES$13), 1*(_xlfn._xlws.FILTER(OFFSET($O$15,0,$DO16,$B$8,1),OFFSET($M$15,0,0,$B$8,1))=ES$14))   /   SUM(OFFSET($BO$15,0,0,$B$14,1)) + $B$18/($B$19*$B$19*($DN16&lt;&gt;$DO16) + $B$19*($DN16=$DO16))</f>
        <v>3.7037037037037035E-4</v>
      </c>
      <c r="ET16" s="10" cm="1">
        <f t="array" aca="1" ref="ET16" ca="1">(1-$B$18)*SUMPRODUCT(OFFSET($BO$15,0,0,$B$14,1), 1*(_xlfn._xlws.FILTER(OFFSET($O$15,0,$DN16,$B$8,1),OFFSET($M$15,0,0,$B$8,1))=ET$13), 1*(_xlfn._xlws.FILTER(OFFSET($O$15,0,$DO16,$B$8,1),OFFSET($M$15,0,0,$B$8,1))=ET$14))   /   SUM(OFFSET($BO$15,0,0,$B$14,1)) + $B$18/($B$19*$B$19*($DN16&lt;&gt;$DO16) + $B$19*($DN16=$DO16))</f>
        <v>3.7037037037037035E-4</v>
      </c>
      <c r="EU16" s="10" cm="1">
        <f t="array" aca="1" ref="EU16" ca="1">(1-$B$18)*SUMPRODUCT(OFFSET($BO$15,0,0,$B$14,1), 1*(_xlfn._xlws.FILTER(OFFSET($O$15,0,$DN16,$B$8,1),OFFSET($M$15,0,0,$B$8,1))=EU$13), 1*(_xlfn._xlws.FILTER(OFFSET($O$15,0,$DO16,$B$8,1),OFFSET($M$15,0,0,$B$8,1))=EU$14))   /   SUM(OFFSET($BO$15,0,0,$B$14,1)) + $B$18/($B$19*$B$19*($DN16&lt;&gt;$DO16) + $B$19*($DN16=$DO16))</f>
        <v>3.7037037037037035E-4</v>
      </c>
      <c r="EV16" s="10" cm="1">
        <f t="array" aca="1" ref="EV16" ca="1">(1-$B$18)*SUMPRODUCT(OFFSET($BO$15,0,0,$B$14,1), 1*(_xlfn._xlws.FILTER(OFFSET($O$15,0,$DN16,$B$8,1),OFFSET($M$15,0,0,$B$8,1))=EV$13), 1*(_xlfn._xlws.FILTER(OFFSET($O$15,0,$DO16,$B$8,1),OFFSET($M$15,0,0,$B$8,1))=EV$14))   /   SUM(OFFSET($BO$15,0,0,$B$14,1)) + $B$18/($B$19*$B$19*($DN16&lt;&gt;$DO16) + $B$19*($DN16=$DO16))</f>
        <v>3.7037037037037035E-4</v>
      </c>
      <c r="EW16" s="10" cm="1">
        <f t="array" aca="1" ref="EW16" ca="1">(1-$B$18)*SUMPRODUCT(OFFSET($BO$15,0,0,$B$14,1), 1*(_xlfn._xlws.FILTER(OFFSET($O$15,0,$DN16,$B$8,1),OFFSET($M$15,0,0,$B$8,1))=EW$13), 1*(_xlfn._xlws.FILTER(OFFSET($O$15,0,$DO16,$B$8,1),OFFSET($M$15,0,0,$B$8,1))=EW$14))   /   SUM(OFFSET($BO$15,0,0,$B$14,1)) + $B$18/($B$19*$B$19*($DN16&lt;&gt;$DO16) + $B$19*($DN16=$DO16))</f>
        <v>3.7037037037037035E-4</v>
      </c>
      <c r="EX16" s="10" cm="1">
        <f t="array" aca="1" ref="EX16" ca="1">(1-$B$18)*SUMPRODUCT(OFFSET($BO$15,0,0,$B$14,1), 1*(_xlfn._xlws.FILTER(OFFSET($O$15,0,$DN16,$B$8,1),OFFSET($M$15,0,0,$B$8,1))=EX$13), 1*(_xlfn._xlws.FILTER(OFFSET($O$15,0,$DO16,$B$8,1),OFFSET($M$15,0,0,$B$8,1))=EX$14))   /   SUM(OFFSET($BO$15,0,0,$B$14,1)) + $B$18/($B$19*$B$19*($DN16&lt;&gt;$DO16) + $B$19*($DN16=$DO16))</f>
        <v>3.7037037037037035E-4</v>
      </c>
      <c r="EY16" s="10" cm="1">
        <f t="array" aca="1" ref="EY16" ca="1">(1-$B$18)*SUMPRODUCT(OFFSET($BO$15,0,0,$B$14,1), 1*(_xlfn._xlws.FILTER(OFFSET($O$15,0,$DN16,$B$8,1),OFFSET($M$15,0,0,$B$8,1))=EY$13), 1*(_xlfn._xlws.FILTER(OFFSET($O$15,0,$DO16,$B$8,1),OFFSET($M$15,0,0,$B$8,1))=EY$14))   /   SUM(OFFSET($BO$15,0,0,$B$14,1)) + $B$18/($B$19*$B$19*($DN16&lt;&gt;$DO16) + $B$19*($DN16=$DO16))</f>
        <v>3.7037037037037035E-4</v>
      </c>
      <c r="EZ16" s="10" cm="1">
        <f t="array" aca="1" ref="EZ16" ca="1">(1-$B$18)*SUMPRODUCT(OFFSET($BO$15,0,0,$B$14,1), 1*(_xlfn._xlws.FILTER(OFFSET($O$15,0,$DN16,$B$8,1),OFFSET($M$15,0,0,$B$8,1))=EZ$13), 1*(_xlfn._xlws.FILTER(OFFSET($O$15,0,$DO16,$B$8,1),OFFSET($M$15,0,0,$B$8,1))=EZ$14))   /   SUM(OFFSET($BO$15,0,0,$B$14,1)) + $B$18/($B$19*$B$19*($DN16&lt;&gt;$DO16) + $B$19*($DN16=$DO16))</f>
        <v>3.7037037037037035E-4</v>
      </c>
      <c r="FA16" s="10" cm="1">
        <f t="array" aca="1" ref="FA16" ca="1">(1-$B$18)*SUMPRODUCT(OFFSET($BO$15,0,0,$B$14,1), 1*(_xlfn._xlws.FILTER(OFFSET($O$15,0,$DN16,$B$8,1),OFFSET($M$15,0,0,$B$8,1))=FA$13), 1*(_xlfn._xlws.FILTER(OFFSET($O$15,0,$DO16,$B$8,1),OFFSET($M$15,0,0,$B$8,1))=FA$14))   /   SUM(OFFSET($BO$15,0,0,$B$14,1)) + $B$18/($B$19*$B$19*($DN16&lt;&gt;$DO16) + $B$19*($DN16=$DO16))</f>
        <v>3.7037037037037035E-4</v>
      </c>
      <c r="FB16" s="10" cm="1">
        <f t="array" aca="1" ref="FB16" ca="1">(1-$B$18)*SUMPRODUCT(OFFSET($BO$15,0,0,$B$14,1), 1*(_xlfn._xlws.FILTER(OFFSET($O$15,0,$DN16,$B$8,1),OFFSET($M$15,0,0,$B$8,1))=FB$13), 1*(_xlfn._xlws.FILTER(OFFSET($O$15,0,$DO16,$B$8,1),OFFSET($M$15,0,0,$B$8,1))=FB$14))   /   SUM(OFFSET($BO$15,0,0,$B$14,1)) + $B$18/($B$19*$B$19*($DN16&lt;&gt;$DO16) + $B$19*($DN16=$DO16))</f>
        <v>3.7037037037037035E-4</v>
      </c>
      <c r="FC16" s="10" cm="1">
        <f t="array" aca="1" ref="FC16" ca="1">(1-$B$18)*SUMPRODUCT(OFFSET($BO$15,0,0,$B$14,1), 1*(_xlfn._xlws.FILTER(OFFSET($O$15,0,$DN16,$B$8,1),OFFSET($M$15,0,0,$B$8,1))=FC$13), 1*(_xlfn._xlws.FILTER(OFFSET($O$15,0,$DO16,$B$8,1),OFFSET($M$15,0,0,$B$8,1))=FC$14))   /   SUM(OFFSET($BO$15,0,0,$B$14,1)) + $B$18/($B$19*$B$19*($DN16&lt;&gt;$DO16) + $B$19*($DN16=$DO16))</f>
        <v>3.7037037037037035E-4</v>
      </c>
      <c r="FD16" s="10" cm="1">
        <f t="array" aca="1" ref="FD16" ca="1">(1-$B$18)*SUMPRODUCT(OFFSET($BO$15,0,0,$B$14,1), 1*(_xlfn._xlws.FILTER(OFFSET($O$15,0,$DN16,$B$8,1),OFFSET($M$15,0,0,$B$8,1))=FD$13), 1*(_xlfn._xlws.FILTER(OFFSET($O$15,0,$DO16,$B$8,1),OFFSET($M$15,0,0,$B$8,1))=FD$14))   /   SUM(OFFSET($BO$15,0,0,$B$14,1)) + $B$18/($B$19*$B$19*($DN16&lt;&gt;$DO16) + $B$19*($DN16=$DO16))</f>
        <v>3.7037037037037035E-4</v>
      </c>
      <c r="FE16" s="10" cm="1">
        <f t="array" aca="1" ref="FE16" ca="1">(1-$B$18)*SUMPRODUCT(OFFSET($BO$15,0,0,$B$14,1), 1*(_xlfn._xlws.FILTER(OFFSET($O$15,0,$DN16,$B$8,1),OFFSET($M$15,0,0,$B$8,1))=FE$13), 1*(_xlfn._xlws.FILTER(OFFSET($O$15,0,$DO16,$B$8,1),OFFSET($M$15,0,0,$B$8,1))=FE$14))   /   SUM(OFFSET($BO$15,0,0,$B$14,1)) + $B$18/($B$19*$B$19*($DN16&lt;&gt;$DO16) + $B$19*($DN16=$DO16))</f>
        <v>3.7037037037037035E-4</v>
      </c>
      <c r="FF16" s="10" cm="1">
        <f t="array" aca="1" ref="FF16" ca="1">(1-$B$18)*SUMPRODUCT(OFFSET($BO$15,0,0,$B$14,1), 1*(_xlfn._xlws.FILTER(OFFSET($O$15,0,$DN16,$B$8,1),OFFSET($M$15,0,0,$B$8,1))=FF$13), 1*(_xlfn._xlws.FILTER(OFFSET($O$15,0,$DO16,$B$8,1),OFFSET($M$15,0,0,$B$8,1))=FF$14))   /   SUM(OFFSET($BO$15,0,0,$B$14,1)) + $B$18/($B$19*$B$19*($DN16&lt;&gt;$DO16) + $B$19*($DN16=$DO16))</f>
        <v>3.7037037037037035E-4</v>
      </c>
      <c r="FG16" s="10" cm="1">
        <f t="array" aca="1" ref="FG16" ca="1">(1-$B$18)*SUMPRODUCT(OFFSET($BO$15,0,0,$B$14,1), 1*(_xlfn._xlws.FILTER(OFFSET($O$15,0,$DN16,$B$8,1),OFFSET($M$15,0,0,$B$8,1))=FG$13), 1*(_xlfn._xlws.FILTER(OFFSET($O$15,0,$DO16,$B$8,1),OFFSET($M$15,0,0,$B$8,1))=FG$14))   /   SUM(OFFSET($BO$15,0,0,$B$14,1)) + $B$18/($B$19*$B$19*($DN16&lt;&gt;$DO16) + $B$19*($DN16=$DO16))</f>
        <v>3.7037037037037035E-4</v>
      </c>
      <c r="FH16" s="10" cm="1">
        <f t="array" aca="1" ref="FH16" ca="1">(1-$B$18)*SUMPRODUCT(OFFSET($BO$15,0,0,$B$14,1), 1*(_xlfn._xlws.FILTER(OFFSET($O$15,0,$DN16,$B$8,1),OFFSET($M$15,0,0,$B$8,1))=FH$13), 1*(_xlfn._xlws.FILTER(OFFSET($O$15,0,$DO16,$B$8,1),OFFSET($M$15,0,0,$B$8,1))=FH$14))   /   SUM(OFFSET($BO$15,0,0,$B$14,1)) + $B$18/($B$19*$B$19*($DN16&lt;&gt;$DO16) + $B$19*($DN16=$DO16))</f>
        <v>3.7037037037037035E-4</v>
      </c>
      <c r="FI16" s="10" cm="1">
        <f t="array" aca="1" ref="FI16" ca="1">(1-$B$18)*SUMPRODUCT(OFFSET($BO$15,0,0,$B$14,1), 1*(_xlfn._xlws.FILTER(OFFSET($O$15,0,$DN16,$B$8,1),OFFSET($M$15,0,0,$B$8,1))=FI$13), 1*(_xlfn._xlws.FILTER(OFFSET($O$15,0,$DO16,$B$8,1),OFFSET($M$15,0,0,$B$8,1))=FI$14))   /   SUM(OFFSET($BO$15,0,0,$B$14,1)) + $B$18/($B$19*$B$19*($DN16&lt;&gt;$DO16) + $B$19*($DN16=$DO16))</f>
        <v>3.7037037037037035E-4</v>
      </c>
      <c r="FJ16" s="10" cm="1">
        <f t="array" aca="1" ref="FJ16" ca="1">(1-$B$18)*SUMPRODUCT(OFFSET($BO$15,0,0,$B$14,1), 1*(_xlfn._xlws.FILTER(OFFSET($O$15,0,$DN16,$B$8,1),OFFSET($M$15,0,0,$B$8,1))=FJ$13), 1*(_xlfn._xlws.FILTER(OFFSET($O$15,0,$DO16,$B$8,1),OFFSET($M$15,0,0,$B$8,1))=FJ$14))   /   SUM(OFFSET($BO$15,0,0,$B$14,1)) + $B$18/($B$19*$B$19*($DN16&lt;&gt;$DO16) + $B$19*($DN16=$DO16))</f>
        <v>3.7037037037037035E-4</v>
      </c>
      <c r="FK16" s="10" cm="1">
        <f t="array" aca="1" ref="FK16" ca="1">(1-$B$18)*SUMPRODUCT(OFFSET($BO$15,0,0,$B$14,1), 1*(_xlfn._xlws.FILTER(OFFSET($O$15,0,$DN16,$B$8,1),OFFSET($M$15,0,0,$B$8,1))=FK$13), 1*(_xlfn._xlws.FILTER(OFFSET($O$15,0,$DO16,$B$8,1),OFFSET($M$15,0,0,$B$8,1))=FK$14))   /   SUM(OFFSET($BO$15,0,0,$B$14,1)) + $B$18/($B$19*$B$19*($DN16&lt;&gt;$DO16) + $B$19*($DN16=$DO16))</f>
        <v>3.7037037037037035E-4</v>
      </c>
      <c r="FL16" s="10" cm="1">
        <f t="array" aca="1" ref="FL16" ca="1">(1-$B$18)*SUMPRODUCT(OFFSET($BO$15,0,0,$B$14,1), 1*(_xlfn._xlws.FILTER(OFFSET($O$15,0,$DN16,$B$8,1),OFFSET($M$15,0,0,$B$8,1))=FL$13), 1*(_xlfn._xlws.FILTER(OFFSET($O$15,0,$DO16,$B$8,1),OFFSET($M$15,0,0,$B$8,1))=FL$14))   /   SUM(OFFSET($BO$15,0,0,$B$14,1)) + $B$18/($B$19*$B$19*($DN16&lt;&gt;$DO16) + $B$19*($DN16=$DO16))</f>
        <v>3.7037037037037035E-4</v>
      </c>
      <c r="FM16" s="10" cm="1">
        <f t="array" aca="1" ref="FM16" ca="1">(1-$B$18)*SUMPRODUCT(OFFSET($BO$15,0,0,$B$14,1), 1*(_xlfn._xlws.FILTER(OFFSET($O$15,0,$DN16,$B$8,1),OFFSET($M$15,0,0,$B$8,1))=FM$13), 1*(_xlfn._xlws.FILTER(OFFSET($O$15,0,$DO16,$B$8,1),OFFSET($M$15,0,0,$B$8,1))=FM$14))   /   SUM(OFFSET($BO$15,0,0,$B$14,1)) + $B$18/($B$19*$B$19*($DN16&lt;&gt;$DO16) + $B$19*($DN16=$DO16))</f>
        <v>3.7037037037037035E-4</v>
      </c>
      <c r="FN16" s="10" cm="1">
        <f t="array" aca="1" ref="FN16" ca="1">(1-$B$18)*SUMPRODUCT(OFFSET($BO$15,0,0,$B$14,1), 1*(_xlfn._xlws.FILTER(OFFSET($O$15,0,$DN16,$B$8,1),OFFSET($M$15,0,0,$B$8,1))=FN$13), 1*(_xlfn._xlws.FILTER(OFFSET($O$15,0,$DO16,$B$8,1),OFFSET($M$15,0,0,$B$8,1))=FN$14))   /   SUM(OFFSET($BO$15,0,0,$B$14,1)) + $B$18/($B$19*$B$19*($DN16&lt;&gt;$DO16) + $B$19*($DN16=$DO16))</f>
        <v>3.7037037037037035E-4</v>
      </c>
      <c r="FO16" s="10" cm="1">
        <f t="array" aca="1" ref="FO16" ca="1">(1-$B$18)*SUMPRODUCT(OFFSET($BO$15,0,0,$B$14,1), 1*(_xlfn._xlws.FILTER(OFFSET($O$15,0,$DN16,$B$8,1),OFFSET($M$15,0,0,$B$8,1))=FO$13), 1*(_xlfn._xlws.FILTER(OFFSET($O$15,0,$DO16,$B$8,1),OFFSET($M$15,0,0,$B$8,1))=FO$14))   /   SUM(OFFSET($BO$15,0,0,$B$14,1)) + $B$18/($B$19*$B$19*($DN16&lt;&gt;$DO16) + $B$19*($DN16=$DO16))</f>
        <v>3.7037037037037035E-4</v>
      </c>
      <c r="FP16" s="10" cm="1">
        <f t="array" aca="1" ref="FP16" ca="1">(1-$B$18)*SUMPRODUCT(OFFSET($BO$15,0,0,$B$14,1), 1*(_xlfn._xlws.FILTER(OFFSET($O$15,0,$DN16,$B$8,1),OFFSET($M$15,0,0,$B$8,1))=FP$13), 1*(_xlfn._xlws.FILTER(OFFSET($O$15,0,$DO16,$B$8,1),OFFSET($M$15,0,0,$B$8,1))=FP$14))   /   SUM(OFFSET($BO$15,0,0,$B$14,1)) + $B$18/($B$19*$B$19*($DN16&lt;&gt;$DO16) + $B$19*($DN16=$DO16))</f>
        <v>3.7037037037037035E-4</v>
      </c>
      <c r="FQ16" s="10" cm="1">
        <f t="array" aca="1" ref="FQ16" ca="1">(1-$B$18)*SUMPRODUCT(OFFSET($BO$15,0,0,$B$14,1), 1*(_xlfn._xlws.FILTER(OFFSET($O$15,0,$DN16,$B$8,1),OFFSET($M$15,0,0,$B$8,1))=FQ$13), 1*(_xlfn._xlws.FILTER(OFFSET($O$15,0,$DO16,$B$8,1),OFFSET($M$15,0,0,$B$8,1))=FQ$14))   /   SUM(OFFSET($BO$15,0,0,$B$14,1)) + $B$18/($B$19*$B$19*($DN16&lt;&gt;$DO16) + $B$19*($DN16=$DO16))</f>
        <v>3.7037037037037035E-4</v>
      </c>
      <c r="FR16" s="10" cm="1">
        <f t="array" aca="1" ref="FR16" ca="1">(1-$B$18)*SUMPRODUCT(OFFSET($BO$15,0,0,$B$14,1), 1*(_xlfn._xlws.FILTER(OFFSET($O$15,0,$DN16,$B$8,1),OFFSET($M$15,0,0,$B$8,1))=FR$13), 1*(_xlfn._xlws.FILTER(OFFSET($O$15,0,$DO16,$B$8,1),OFFSET($M$15,0,0,$B$8,1))=FR$14))   /   SUM(OFFSET($BO$15,0,0,$B$14,1)) + $B$18/($B$19*$B$19*($DN16&lt;&gt;$DO16) + $B$19*($DN16=$DO16))</f>
        <v>0.97037037037037033</v>
      </c>
      <c r="FS16" s="10" cm="1">
        <f t="array" aca="1" ref="FS16" ca="1">(1-$B$18)*SUMPRODUCT(OFFSET($BO$15,0,0,$B$14,1), 1*(_xlfn._xlws.FILTER(OFFSET($O$15,0,$DN16,$B$8,1),OFFSET($M$15,0,0,$B$8,1))=FS$13), 1*(_xlfn._xlws.FILTER(OFFSET($O$15,0,$DO16,$B$8,1),OFFSET($M$15,0,0,$B$8,1))=FS$14))   /   SUM(OFFSET($BO$15,0,0,$B$14,1)) + $B$18/($B$19*$B$19*($DN16&lt;&gt;$DO16) + $B$19*($DN16=$DO16))</f>
        <v>3.7037037037037035E-4</v>
      </c>
      <c r="FT16" s="10" cm="1">
        <f t="array" aca="1" ref="FT16" ca="1">(1-$B$18)*SUMPRODUCT(OFFSET($BO$15,0,0,$B$14,1), 1*(_xlfn._xlws.FILTER(OFFSET($O$15,0,$DN16,$B$8,1),OFFSET($M$15,0,0,$B$8,1))=FT$13), 1*(_xlfn._xlws.FILTER(OFFSET($O$15,0,$DO16,$B$8,1),OFFSET($M$15,0,0,$B$8,1))=FT$14))   /   SUM(OFFSET($BO$15,0,0,$B$14,1)) + $B$18/($B$19*$B$19*($DN16&lt;&gt;$DO16) + $B$19*($DN16=$DO16))</f>
        <v>3.7037037037037035E-4</v>
      </c>
      <c r="FU16" s="10" cm="1">
        <f t="array" aca="1" ref="FU16" ca="1">(1-$B$18)*SUMPRODUCT(OFFSET($BO$15,0,0,$B$14,1), 1*(_xlfn._xlws.FILTER(OFFSET($O$15,0,$DN16,$B$8,1),OFFSET($M$15,0,0,$B$8,1))=FU$13), 1*(_xlfn._xlws.FILTER(OFFSET($O$15,0,$DO16,$B$8,1),OFFSET($M$15,0,0,$B$8,1))=FU$14))   /   SUM(OFFSET($BO$15,0,0,$B$14,1)) + $B$18/($B$19*$B$19*($DN16&lt;&gt;$DO16) + $B$19*($DN16=$DO16))</f>
        <v>3.7037037037037035E-4</v>
      </c>
      <c r="FV16" s="10" cm="1">
        <f t="array" aca="1" ref="FV16" ca="1">(1-$B$18)*SUMPRODUCT(OFFSET($BO$15,0,0,$B$14,1), 1*(_xlfn._xlws.FILTER(OFFSET($O$15,0,$DN16,$B$8,1),OFFSET($M$15,0,0,$B$8,1))=FV$13), 1*(_xlfn._xlws.FILTER(OFFSET($O$15,0,$DO16,$B$8,1),OFFSET($M$15,0,0,$B$8,1))=FV$14))   /   SUM(OFFSET($BO$15,0,0,$B$14,1)) + $B$18/($B$19*$B$19*($DN16&lt;&gt;$DO16) + $B$19*($DN16=$DO16))</f>
        <v>3.7037037037037035E-4</v>
      </c>
      <c r="FW16" s="10" cm="1">
        <f t="array" aca="1" ref="FW16" ca="1">(1-$B$18)*SUMPRODUCT(OFFSET($BO$15,0,0,$B$14,1), 1*(_xlfn._xlws.FILTER(OFFSET($O$15,0,$DN16,$B$8,1),OFFSET($M$15,0,0,$B$8,1))=FW$13), 1*(_xlfn._xlws.FILTER(OFFSET($O$15,0,$DO16,$B$8,1),OFFSET($M$15,0,0,$B$8,1))=FW$14))   /   SUM(OFFSET($BO$15,0,0,$B$14,1)) + $B$18/($B$19*$B$19*($DN16&lt;&gt;$DO16) + $B$19*($DN16=$DO16))</f>
        <v>3.7037037037037035E-4</v>
      </c>
      <c r="FX16" s="10" cm="1">
        <f t="array" aca="1" ref="FX16" ca="1">(1-$B$18)*SUMPRODUCT(OFFSET($BO$15,0,0,$B$14,1), 1*(_xlfn._xlws.FILTER(OFFSET($O$15,0,$DN16,$B$8,1),OFFSET($M$15,0,0,$B$8,1))=FX$13), 1*(_xlfn._xlws.FILTER(OFFSET($O$15,0,$DO16,$B$8,1),OFFSET($M$15,0,0,$B$8,1))=FX$14))   /   SUM(OFFSET($BO$15,0,0,$B$14,1)) + $B$18/($B$19*$B$19*($DN16&lt;&gt;$DO16) + $B$19*($DN16=$DO16))</f>
        <v>3.7037037037037035E-4</v>
      </c>
      <c r="FY16" s="10" cm="1">
        <f t="array" aca="1" ref="FY16" ca="1">(1-$B$18)*SUMPRODUCT(OFFSET($BO$15,0,0,$B$14,1), 1*(_xlfn._xlws.FILTER(OFFSET($O$15,0,$DN16,$B$8,1),OFFSET($M$15,0,0,$B$8,1))=FY$13), 1*(_xlfn._xlws.FILTER(OFFSET($O$15,0,$DO16,$B$8,1),OFFSET($M$15,0,0,$B$8,1))=FY$14))   /   SUM(OFFSET($BO$15,0,0,$B$14,1)) + $B$18/($B$19*$B$19*($DN16&lt;&gt;$DO16) + $B$19*($DN16=$DO16))</f>
        <v>3.7037037037037035E-4</v>
      </c>
      <c r="FZ16" s="10" cm="1">
        <f t="array" aca="1" ref="FZ16" ca="1">(1-$B$18)*SUMPRODUCT(OFFSET($BO$15,0,0,$B$14,1), 1*(_xlfn._xlws.FILTER(OFFSET($O$15,0,$DN16,$B$8,1),OFFSET($M$15,0,0,$B$8,1))=FZ$13), 1*(_xlfn._xlws.FILTER(OFFSET($O$15,0,$DO16,$B$8,1),OFFSET($M$15,0,0,$B$8,1))=FZ$14))   /   SUM(OFFSET($BO$15,0,0,$B$14,1)) + $B$18/($B$19*$B$19*($DN16&lt;&gt;$DO16) + $B$19*($DN16=$DO16))</f>
        <v>3.7037037037037035E-4</v>
      </c>
      <c r="GA16" s="10" cm="1">
        <f t="array" aca="1" ref="GA16" ca="1">(1-$B$18)*SUMPRODUCT(OFFSET($BO$15,0,0,$B$14,1), 1*(_xlfn._xlws.FILTER(OFFSET($O$15,0,$DN16,$B$8,1),OFFSET($M$15,0,0,$B$8,1))=GA$13), 1*(_xlfn._xlws.FILTER(OFFSET($O$15,0,$DO16,$B$8,1),OFFSET($M$15,0,0,$B$8,1))=GA$14))   /   SUM(OFFSET($BO$15,0,0,$B$14,1)) + $B$18/($B$19*$B$19*($DN16&lt;&gt;$DO16) + $B$19*($DN16=$DO16))</f>
        <v>3.7037037037037035E-4</v>
      </c>
    </row>
    <row r="17" spans="1:183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0.9</v>
      </c>
      <c r="K17" t="b">
        <f t="shared" ca="1" si="4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5"/>
        <v>1</v>
      </c>
      <c r="N17" s="2">
        <v>2</v>
      </c>
      <c r="O17" s="12" t="s">
        <v>11</v>
      </c>
      <c r="P17" s="9" t="s">
        <v>11</v>
      </c>
      <c r="Q17" s="9" t="s">
        <v>11</v>
      </c>
      <c r="R17" s="9" t="s">
        <v>11</v>
      </c>
      <c r="S17" s="9" t="s">
        <v>11</v>
      </c>
      <c r="T17" s="12" t="s">
        <v>11</v>
      </c>
      <c r="U17" s="9" t="s">
        <v>11</v>
      </c>
      <c r="V17" s="9" t="s">
        <v>11</v>
      </c>
      <c r="W17" s="9" t="s">
        <v>11</v>
      </c>
      <c r="X17" s="9" t="s">
        <v>11</v>
      </c>
      <c r="Y17" s="12" t="s">
        <v>0</v>
      </c>
      <c r="Z17" s="9" t="s">
        <v>0</v>
      </c>
      <c r="AA17" s="9" t="s">
        <v>1</v>
      </c>
      <c r="AB17" s="9" t="s">
        <v>1</v>
      </c>
      <c r="AC17" s="9" t="s">
        <v>2</v>
      </c>
      <c r="AD17" s="12" t="s">
        <v>2</v>
      </c>
      <c r="AE17" s="9" t="s">
        <v>5</v>
      </c>
      <c r="AF17" s="9" t="s">
        <v>5</v>
      </c>
      <c r="AG17" s="9" t="s">
        <v>3</v>
      </c>
      <c r="AH17" s="9" t="s">
        <v>3</v>
      </c>
      <c r="AI17" s="12" t="s">
        <v>6</v>
      </c>
      <c r="AJ17" s="9" t="s">
        <v>11</v>
      </c>
      <c r="AK17" s="7"/>
      <c r="AN17">
        <f t="shared" ca="1" si="6"/>
        <v>4</v>
      </c>
      <c r="AO17" s="14">
        <f t="shared" ca="1" si="7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
) / $B$13)</f>
        <v>1</v>
      </c>
      <c r="AR17" cm="1">
        <f t="array" aca="1" ref="AR17" ca="1">IF($AP17=AR$14, 1, SUMPRODUCT(
    --(OFFSET($O$13,0,0,1,$B$9)=TRUE),
    --(INDEX(OFFSET($O$15,0,0,$B$8,$B$9), 1+$AP17, 0) = INDEX(OFFSET($O$15,0,0,$B$8,$B$9), 1+AR$14, 0))
) / $B$13)</f>
        <v>0.9</v>
      </c>
      <c r="AS17" cm="1">
        <f t="array" aca="1" ref="AS17" ca="1">IF($AP17=AS$14, 1, SUMPRODUCT(
    --(OFFSET($O$13,0,0,1,$B$9)=TRUE),
    --(INDEX(OFFSET($O$15,0,0,$B$8,$B$9), 1+$AP17, 0) = INDEX(OFFSET($O$15,0,0,$B$8,$B$9), 1+AS$14, 0))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
) / $B$13)</f>
        <v>1</v>
      </c>
      <c r="AU17" cm="1">
        <f t="array" aca="1" ref="AU17" ca="1">IF($AP17=AU$14, 1, SUMPRODUCT(
    --(OFFSET($O$13,0,0,1,$B$9)=TRUE),
    --(INDEX(OFFSET($O$15,0,0,$B$8,$B$9), 1+$AP17, 0) = INDEX(OFFSET($O$15,0,0,$B$8,$B$9), 1+AU$14, 0))
) / $B$13)</f>
        <v>1</v>
      </c>
      <c r="AV17" cm="1">
        <f t="array" aca="1" ref="AV17" ca="1">IF($AP17=AV$14, 1, SUMPRODUCT(
    --(OFFSET($O$13,0,0,1,$B$9)=TRUE),
    --(INDEX(OFFSET($O$15,0,0,$B$8,$B$9), 1+$AP17, 0) = INDEX(OFFSET($O$15,0,0,$B$8,$B$9), 1+AV$14, 0))
) / $B$13)</f>
        <v>0.9</v>
      </c>
      <c r="AW17" cm="1">
        <f t="array" aca="1" ref="AW17" ca="1">IF($AP17=AW$14, 1, SUMPRODUCT(
    --(OFFSET($O$13,0,0,1,$B$9)=TRUE),
    --(INDEX(OFFSET($O$15,0,0,$B$8,$B$9), 1+$AP17, 0) = INDEX(OFFSET($O$15,0,0,$B$8,$B$9), 1+AW$14, 0))
) / $B$13)</f>
        <v>0.85</v>
      </c>
      <c r="AX17" cm="1">
        <f t="array" aca="1" ref="AX17" ca="1">IF($AP17=AX$14, 1, SUMPRODUCT(
    --(OFFSET($O$13,0,0,1,$B$9)=TRUE),
    --(INDEX(OFFSET($O$15,0,0,$B$8,$B$9), 1+$AP17, 0) = INDEX(OFFSET($O$15,0,0,$B$8,$B$9), 1+AX$14, 0))
) / $B$13)</f>
        <v>0.85</v>
      </c>
      <c r="AY17" cm="1">
        <f t="array" aca="1" ref="AY17" ca="1">IF($AP17=AY$14, 1, SUMPRODUCT(
    --(OFFSET($O$13,0,0,1,$B$9)=TRUE),
    --(INDEX(OFFSET($O$15,0,0,$B$8,$B$9), 1+$AP17, 0) = INDEX(OFFSET($O$15,0,0,$B$8,$B$9), 1+AY$14, 0))
) / $B$13)</f>
        <v>0.9</v>
      </c>
      <c r="AZ17" cm="1">
        <f t="array" aca="1" ref="AZ17" ca="1">IF($AP17=AZ$14, 1, SUMPRODUCT(
    --(OFFSET($O$13,0,0,1,$B$9)=TRUE),
    --(INDEX(OFFSET($O$15,0,0,$B$8,$B$9), 1+$AP17, 0) = INDEX(OFFSET($O$15,0,0,$B$8,$B$9), 1+AZ$14, 0))
) / $B$13)</f>
        <v>0.9</v>
      </c>
      <c r="BA17" cm="1">
        <f t="array" aca="1" ref="BA17" ca="1">IF($AP17=BA$14, 1, SUMPRODUCT(
    --(OFFSET($O$13,0,0,1,$B$9)=TRUE),
    --(INDEX(OFFSET($O$15,0,0,$B$8,$B$9), 1+$AP17, 0) = INDEX(OFFSET($O$15,0,0,$B$8,$B$9), 1+BA$14, 0))
) / $B$13)</f>
        <v>0.9</v>
      </c>
      <c r="BB17" cm="1">
        <f t="array" aca="1" ref="BB17" ca="1">IF($AP17=BB$14, 1, SUMPRODUCT(
    --(OFFSET($O$13,0,0,1,$B$9)=TRUE),
    --(INDEX(OFFSET($O$15,0,0,$B$8,$B$9), 1+$AP17, 0) = INDEX(OFFSET($O$15,0,0,$B$8,$B$9), 1+BB$14, 0))
) / $B$13)</f>
        <v>0.9</v>
      </c>
      <c r="BC17" cm="1">
        <f t="array" aca="1" ref="BC17" ca="1">IF($AP17=BC$14, 1, SUMPRODUCT(
    --(OFFSET($O$13,0,0,1,$B$9)=TRUE),
    --(INDEX(OFFSET($O$15,0,0,$B$8,$B$9), 1+$AP17, 0) = INDEX(OFFSET($O$15,0,0,$B$8,$B$9), 1+BC$14, 0))
) / $B$13)</f>
        <v>0.9</v>
      </c>
      <c r="BD17" cm="1">
        <f t="array" aca="1" ref="BD17" ca="1">IF($AP17=BD$14, 1, SUMPRODUCT(
    --(OFFSET($O$13,0,0,1,$B$9)=TRUE),
    --(INDEX(OFFSET($O$15,0,0,$B$8,$B$9), 1+$AP17, 0) = INDEX(OFFSET($O$15,0,0,$B$8,$B$9), 1+BD$14, 0))
) / $B$13)</f>
        <v>0.85</v>
      </c>
      <c r="BE17" cm="1">
        <f t="array" aca="1" ref="BE17" ca="1">IF($AP17=BE$14, 1, SUMPRODUCT(
    --(OFFSET($O$13,0,0,1,$B$9)=TRUE),
    --(INDEX(OFFSET($O$15,0,0,$B$8,$B$9), 1+$AP17, 0) = INDEX(OFFSET($O$15,0,0,$B$8,$B$9), 1+BE$14, 0))
) / $B$13)</f>
        <v>0.8</v>
      </c>
      <c r="BF17" cm="1">
        <f t="array" aca="1" ref="BF17" ca="1">IF($AP17=BF$14, 1, SUMPRODUCT(
    --(OFFSET($O$13,0,0,1,$B$9)=TRUE),
    --(INDEX(OFFSET($O$15,0,0,$B$8,$B$9), 1+$AP17, 0) = INDEX(OFFSET($O$15,0,0,$B$8,$B$9), 1+BF$14, 0))
) / $B$13)</f>
        <v>0.8</v>
      </c>
      <c r="BG17" cm="1">
        <f t="array" aca="1" ref="BG17" ca="1">IF($AP17=BG$14, 1, SUMPRODUCT(
    --(OFFSET($O$13,0,0,1,$B$9)=TRUE),
    --(INDEX(OFFSET($O$15,0,0,$B$8,$B$9), 1+$AP17, 0) = INDEX(OFFSET($O$15,0,0,$B$8,$B$9), 1+BG$14, 0))
) / $B$13)</f>
        <v>0.85</v>
      </c>
      <c r="BH17" cm="1">
        <f t="array" aca="1" ref="BH17" ca="1">IF($AP17=BH$14, 1, SUMPRODUCT(
    --(OFFSET($O$13,0,0,1,$B$9)=TRUE),
    --(INDEX(OFFSET($O$15,0,0,$B$8,$B$9), 1+$AP17, 0) = INDEX(OFFSET($O$15,0,0,$B$8,$B$9), 1+BH$14, 0))
) / $B$13)</f>
        <v>0.8</v>
      </c>
      <c r="BI17" cm="1">
        <f t="array" aca="1" ref="BI17" ca="1">IF($AP17=BI$14, 1, SUMPRODUCT(
    --(OFFSET($O$13,0,0,1,$B$9)=TRUE),
    --(INDEX(OFFSET($O$15,0,0,$B$8,$B$9), 1+$AP17, 0) = INDEX(OFFSET($O$15,0,0,$B$8,$B$9), 1+BI$14, 0))
) / $B$13)</f>
        <v>0.85</v>
      </c>
      <c r="BJ17" cm="1">
        <f t="array" aca="1" ref="BJ17" ca="1">IF($AP17=BJ$14, 1, SUMPRODUCT(
    --(OFFSET($O$13,0,0,1,$B$9)=TRUE),
    --(INDEX(OFFSET($O$15,0,0,$B$8,$B$9), 1+$AP17, 0) = INDEX(OFFSET($O$15,0,0,$B$8,$B$9), 1+BJ$14, 0))
) / $B$13)</f>
        <v>0.85</v>
      </c>
      <c r="BN17">
        <f t="shared" ca="1" si="8"/>
        <v>4</v>
      </c>
      <c r="BO17" s="14">
        <f t="shared" ca="1" si="9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
) / $B$16)</f>
        <v>1</v>
      </c>
      <c r="BR17" cm="1">
        <f t="array" aca="1" ref="BR17" ca="1">IF($BP17=BR$14, 1, SUMPRODUCT(
    --(OFFSET($O$9,0,0,1,$B$9)=TRUE),
    --(INDEX(OFFSET($O$15,0,0,$B$8,$B$9), 1+$BP17, 0) = INDEX(OFFSET($O$15,0,0,$B$8,$B$9), 1+BR$14, 0))
) / $B$16)</f>
        <v>0.89473684210526316</v>
      </c>
      <c r="BS17" cm="1">
        <f t="array" aca="1" ref="BS17" ca="1">IF($BP17=BS$14, 1, SUMPRODUCT(
    --(OFFSET($O$9,0,0,1,$B$9)=TRUE),
    --(INDEX(OFFSET($O$15,0,0,$B$8,$B$9), 1+$BP17, 0) = INDEX(OFFSET($O$15,0,0,$B$8,$B$9), 1+BS$14, 0))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
) / $B$16)</f>
        <v>1</v>
      </c>
      <c r="BU17" cm="1">
        <f t="array" aca="1" ref="BU17" ca="1">IF($BP17=BU$14, 1, SUMPRODUCT(
    --(OFFSET($O$9,0,0,1,$B$9)=TRUE),
    --(INDEX(OFFSET($O$15,0,0,$B$8,$B$9), 1+$BP17, 0) = INDEX(OFFSET($O$15,0,0,$B$8,$B$9), 1+BU$14, 0))
) / $B$16)</f>
        <v>1</v>
      </c>
      <c r="BV17" cm="1">
        <f t="array" aca="1" ref="BV17" ca="1">IF($BP17=BV$14, 1, SUMPRODUCT(
    --(OFFSET($O$9,0,0,1,$B$9)=TRUE),
    --(INDEX(OFFSET($O$15,0,0,$B$8,$B$9), 1+$BP17, 0) = INDEX(OFFSET($O$15,0,0,$B$8,$B$9), 1+BV$14, 0))
) / $B$16)</f>
        <v>0.89473684210526316</v>
      </c>
      <c r="BW17" cm="1">
        <f t="array" aca="1" ref="BW17" ca="1">IF($BP17=BW$14, 1, SUMPRODUCT(
    --(OFFSET($O$9,0,0,1,$B$9)=TRUE),
    --(INDEX(OFFSET($O$15,0,0,$B$8,$B$9), 1+$BP17, 0) = INDEX(OFFSET($O$15,0,0,$B$8,$B$9), 1+BW$14, 0))
) / $B$16)</f>
        <v>0.84210526315789469</v>
      </c>
      <c r="BX17" cm="1">
        <f t="array" aca="1" ref="BX17" ca="1">IF($BP17=BX$14, 1, SUMPRODUCT(
    --(OFFSET($O$9,0,0,1,$B$9)=TRUE),
    --(INDEX(OFFSET($O$15,0,0,$B$8,$B$9), 1+$BP17, 0) = INDEX(OFFSET($O$15,0,0,$B$8,$B$9), 1+BX$14, 0))
) / $B$16)</f>
        <v>0.84210526315789469</v>
      </c>
      <c r="BY17" cm="1">
        <f t="array" aca="1" ref="BY17" ca="1">IF($BP17=BY$14, 1, SUMPRODUCT(
    --(OFFSET($O$9,0,0,1,$B$9)=TRUE),
    --(INDEX(OFFSET($O$15,0,0,$B$8,$B$9), 1+$BP17, 0) = INDEX(OFFSET($O$15,0,0,$B$8,$B$9), 1+BY$14, 0))
) / $B$16)</f>
        <v>0.89473684210526316</v>
      </c>
      <c r="BZ17" cm="1">
        <f t="array" aca="1" ref="BZ17" ca="1">IF($BP17=BZ$14, 1, SUMPRODUCT(
    --(OFFSET($O$9,0,0,1,$B$9)=TRUE),
    --(INDEX(OFFSET($O$15,0,0,$B$8,$B$9), 1+$BP17, 0) = INDEX(OFFSET($O$15,0,0,$B$8,$B$9), 1+BZ$14, 0))
) / $B$16)</f>
        <v>0.89473684210526316</v>
      </c>
      <c r="CA17" cm="1">
        <f t="array" aca="1" ref="CA17" ca="1">IF($BP17=CA$14, 1, SUMPRODUCT(
    --(OFFSET($O$9,0,0,1,$B$9)=TRUE),
    --(INDEX(OFFSET($O$15,0,0,$B$8,$B$9), 1+$BP17, 0) = INDEX(OFFSET($O$15,0,0,$B$8,$B$9), 1+CA$14, 0))
) / $B$16)</f>
        <v>0.89473684210526316</v>
      </c>
      <c r="CB17" cm="1">
        <f t="array" aca="1" ref="CB17" ca="1">IF($BP17=CB$14, 1, SUMPRODUCT(
    --(OFFSET($O$9,0,0,1,$B$9)=TRUE),
    --(INDEX(OFFSET($O$15,0,0,$B$8,$B$9), 1+$BP17, 0) = INDEX(OFFSET($O$15,0,0,$B$8,$B$9), 1+CB$14, 0))
) / $B$16)</f>
        <v>0.89473684210526316</v>
      </c>
      <c r="CC17" cm="1">
        <f t="array" aca="1" ref="CC17" ca="1">IF($BP17=CC$14, 1, SUMPRODUCT(
    --(OFFSET($O$9,0,0,1,$B$9)=TRUE),
    --(INDEX(OFFSET($O$15,0,0,$B$8,$B$9), 1+$BP17, 0) = INDEX(OFFSET($O$15,0,0,$B$8,$B$9), 1+CC$14, 0))
) / $B$16)</f>
        <v>0.89473684210526316</v>
      </c>
      <c r="CD17" cm="1">
        <f t="array" aca="1" ref="CD17" ca="1">IF($BP17=CD$14, 1, SUMPRODUCT(
    --(OFFSET($O$9,0,0,1,$B$9)=TRUE),
    --(INDEX(OFFSET($O$15,0,0,$B$8,$B$9), 1+$BP17, 0) = INDEX(OFFSET($O$15,0,0,$B$8,$B$9), 1+CD$14, 0))
) / $B$16)</f>
        <v>0.89473684210526316</v>
      </c>
      <c r="CE17" cm="1">
        <f t="array" aca="1" ref="CE17" ca="1">IF($BP17=CE$14, 1, SUMPRODUCT(
    --(OFFSET($O$9,0,0,1,$B$9)=TRUE),
    --(INDEX(OFFSET($O$15,0,0,$B$8,$B$9), 1+$BP17, 0) = INDEX(OFFSET($O$15,0,0,$B$8,$B$9), 1+CE$14, 0))
) / $B$16)</f>
        <v>0.84210526315789469</v>
      </c>
      <c r="CF17" cm="1">
        <f t="array" aca="1" ref="CF17" ca="1">IF($BP17=CF$14, 1, SUMPRODUCT(
    --(OFFSET($O$9,0,0,1,$B$9)=TRUE),
    --(INDEX(OFFSET($O$15,0,0,$B$8,$B$9), 1+$BP17, 0) = INDEX(OFFSET($O$15,0,0,$B$8,$B$9), 1+CF$14, 0))
) / $B$16)</f>
        <v>0.84210526315789469</v>
      </c>
      <c r="CG17" cm="1">
        <f t="array" aca="1" ref="CG17" ca="1">IF($BP17=CG$14, 1, SUMPRODUCT(
    --(OFFSET($O$9,0,0,1,$B$9)=TRUE),
    --(INDEX(OFFSET($O$15,0,0,$B$8,$B$9), 1+$BP17, 0) = INDEX(OFFSET($O$15,0,0,$B$8,$B$9), 1+CG$14, 0))
) / $B$16)</f>
        <v>0.89473684210526316</v>
      </c>
      <c r="CH17" cm="1">
        <f t="array" aca="1" ref="CH17" ca="1">IF($BP17=CH$14, 1, SUMPRODUCT(
    --(OFFSET($O$9,0,0,1,$B$9)=TRUE),
    --(INDEX(OFFSET($O$15,0,0,$B$8,$B$9), 1+$BP17, 0) = INDEX(OFFSET($O$15,0,0,$B$8,$B$9), 1+CH$14, 0))
) / $B$16)</f>
        <v>0.84210526315789469</v>
      </c>
      <c r="CI17" cm="1">
        <f t="array" aca="1" ref="CI17" ca="1">IF($BP17=CI$14, 1, SUMPRODUCT(
    --(OFFSET($O$9,0,0,1,$B$9)=TRUE),
    --(INDEX(OFFSET($O$15,0,0,$B$8,$B$9), 1+$BP17, 0) = INDEX(OFFSET($O$15,0,0,$B$8,$B$9), 1+CI$14, 0))
) / $B$16)</f>
        <v>0.89473684210526316</v>
      </c>
      <c r="CJ17" cm="1">
        <f t="array" aca="1" ref="CJ17" ca="1">IF($BP17=CJ$14, 1, SUMPRODUCT(
    --(OFFSET($O$9,0,0,1,$B$9)=TRUE),
    --(INDEX(OFFSET($O$15,0,0,$B$8,$B$9), 1+$BP17, 0) = INDEX(OFFSET($O$15,0,0,$B$8,$B$9), 1+CJ$14, 0))
) / $B$16)</f>
        <v>0.84210526315789469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3.3333333333333331E-3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3.3333333333333331E-3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3.3333333333333331E-3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3.3333333333333331E-3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3.3333333333333331E-3</v>
      </c>
      <c r="CV17" s="10" cm="1">
        <f t="array" aca="1" ref="CV17" ca="1">(1-$B$18)*SUMPRODUCT(OFFSET($BO$15,0,0,$B$14,1), 1*(_xlfn._xlws.FILTER(OFFSET($O$15,0,$CP17,$B$8,1), OFFSET($M$15,0,0,$B$8,1))=CV$14))   /   SUM(OFFSET($BO$15,0,0,$B$14,1)) + $B$18/$B$19</f>
        <v>3.3333333333333331E-3</v>
      </c>
      <c r="CW17" s="10" cm="1">
        <f t="array" aca="1" ref="CW17" ca="1">(1-$B$18)*SUMPRODUCT(OFFSET($BO$15,0,0,$B$14,1), 1*(_xlfn._xlws.FILTER(OFFSET($O$15,0,$CP17,$B$8,1), OFFSET($M$15,0,0,$B$8,1))=CW$14))   /   SUM(OFFSET($BO$15,0,0,$B$14,1)) + $B$18/$B$19</f>
        <v>3.3333333333333331E-3</v>
      </c>
      <c r="CX17" s="10" cm="1">
        <f t="array" aca="1" ref="CX17" ca="1">(1-$B$18)*SUMPRODUCT(OFFSET($BO$15,0,0,$B$14,1), 1*(_xlfn._xlws.FILTER(OFFSET($O$15,0,$CP17,$B$8,1), OFFSET($M$15,0,0,$B$8,1))=CX$14))   /   SUM(OFFSET($BO$15,0,0,$B$14,1)) + $B$18/$B$19</f>
        <v>0.97333333333333327</v>
      </c>
      <c r="CY17" s="10" cm="1">
        <f t="array" aca="1" ref="CY17" ca="1">(1-$B$18)*SUMPRODUCT(OFFSET($BO$15,0,0,$B$14,1), 1*(_xlfn._xlws.FILTER(OFFSET($O$15,0,$CP17,$B$8,1), OFFSET($M$15,0,0,$B$8,1))=CY$14))   /   SUM(OFFSET($BO$15,0,0,$B$14,1)) + $B$18/$B$19</f>
        <v>3.3333333333333331E-3</v>
      </c>
      <c r="DB17" s="10" cm="1">
        <f t="array" aca="1" ref="DB17" ca="1">SUM(OFFSET($CR17,0,0,1,$M$2)*LN(OFFSET($CR17,0,0,1,$M$2)/OFFSET($CR$11,0,0,1,$M$2)))+IF($CQ$11&gt;0,OFFSET($O$10,0,$CP17,1,1)*LN(OFFSET($O$10,0,$CP17,1,1)/$CQ$11),0)</f>
        <v>1.9131139043413501</v>
      </c>
      <c r="DC17">
        <f ca="1"/>
        <v>2</v>
      </c>
      <c r="DD17" s="10">
        <f t="shared" ca="1" si="11"/>
        <v>0.11767737994455678</v>
      </c>
      <c r="DE17" s="10">
        <f t="shared" ca="1" si="10"/>
        <v>0.11767737994455678</v>
      </c>
      <c r="DF17" s="10">
        <f t="shared" ca="1" si="10"/>
        <v>0.11767737994455678</v>
      </c>
      <c r="DG17" s="10">
        <f t="shared" ca="1" si="10"/>
        <v>0.11767737994455678</v>
      </c>
      <c r="DH17" s="10">
        <f t="shared" ca="1" si="10"/>
        <v>0.11767737994455678</v>
      </c>
      <c r="DI17" s="10">
        <f t="shared" ca="1" si="10"/>
        <v>0.11767737994455678</v>
      </c>
      <c r="DJ17" s="10">
        <f t="shared" ca="1" si="10"/>
        <v>1.9045936050347492</v>
      </c>
      <c r="DK17" s="10">
        <f t="shared" ca="1" si="10"/>
        <v>0.11767737994455678</v>
      </c>
      <c r="DN17" cm="1">
        <f t="array" aca="1" ref="DN17" ca="1">INDEX(_xlfn.ANCHORARRAY($CP$15), 1 + INT((ROWS($DO$15:$DO17) - 1) / ROWS(_xlfn.ANCHORARRAY($CP$15))))</f>
        <v>0</v>
      </c>
      <c r="DO17" cm="1">
        <f t="array" aca="1" ref="DO17" ca="1">INDEX(_xlfn.ANCHORARRAY($CP$15),1+MOD(ROWS($DO$15:$DO17)-1,ROWS(_xlfn.ANCHORARRAY($CP$15))))</f>
        <v>2</v>
      </c>
      <c r="DP17" s="10" cm="1">
        <f t="array" aca="1" ref="DP17" ca="1">(1-$B$18)*SUMPRODUCT(OFFSET($BO$15,0,0,$B$14,1), 1*(_xlfn._xlws.FILTER(OFFSET($O$15,0,$DN17,$B$8,1),OFFSET($M$15,0,0,$B$8,1))=DP$13), 1*(_xlfn._xlws.FILTER(OFFSET($O$15,0,$DO17,$B$8,1),OFFSET($M$15,0,0,$B$8,1))=DP$14))   /   SUM(OFFSET($BO$15,0,0,$B$14,1)) + $B$18/($B$19*$B$19*($DN17&lt;&gt;$DO17) + $B$19*($DN17=$DO17))</f>
        <v>3.7037037037037035E-4</v>
      </c>
      <c r="DQ17" s="10" cm="1">
        <f t="array" aca="1" ref="DQ17" ca="1">(1-$B$18)*SUMPRODUCT(OFFSET($BO$15,0,0,$B$14,1), 1*(_xlfn._xlws.FILTER(OFFSET($O$15,0,$DN17,$B$8,1),OFFSET($M$15,0,0,$B$8,1))=DQ$13), 1*(_xlfn._xlws.FILTER(OFFSET($O$15,0,$DO17,$B$8,1),OFFSET($M$15,0,0,$B$8,1))=DQ$14))   /   SUM(OFFSET($BO$15,0,0,$B$14,1)) + $B$18/($B$19*$B$19*($DN17&lt;&gt;$DO17) + $B$19*($DN17=$DO17))</f>
        <v>3.7037037037037035E-4</v>
      </c>
      <c r="DR17" s="10" cm="1">
        <f t="array" aca="1" ref="DR17" ca="1">(1-$B$18)*SUMPRODUCT(OFFSET($BO$15,0,0,$B$14,1), 1*(_xlfn._xlws.FILTER(OFFSET($O$15,0,$DN17,$B$8,1),OFFSET($M$15,0,0,$B$8,1))=DR$13), 1*(_xlfn._xlws.FILTER(OFFSET($O$15,0,$DO17,$B$8,1),OFFSET($M$15,0,0,$B$8,1))=DR$14))   /   SUM(OFFSET($BO$15,0,0,$B$14,1)) + $B$18/($B$19*$B$19*($DN17&lt;&gt;$DO17) + $B$19*($DN17=$DO17))</f>
        <v>3.7037037037037035E-4</v>
      </c>
      <c r="DS17" s="10" cm="1">
        <f t="array" aca="1" ref="DS17" ca="1">(1-$B$18)*SUMPRODUCT(OFFSET($BO$15,0,0,$B$14,1), 1*(_xlfn._xlws.FILTER(OFFSET($O$15,0,$DN17,$B$8,1),OFFSET($M$15,0,0,$B$8,1))=DS$13), 1*(_xlfn._xlws.FILTER(OFFSET($O$15,0,$DO17,$B$8,1),OFFSET($M$15,0,0,$B$8,1))=DS$14))   /   SUM(OFFSET($BO$15,0,0,$B$14,1)) + $B$18/($B$19*$B$19*($DN17&lt;&gt;$DO17) + $B$19*($DN17=$DO17))</f>
        <v>3.7037037037037035E-4</v>
      </c>
      <c r="DT17" s="10" cm="1">
        <f t="array" aca="1" ref="DT17" ca="1">(1-$B$18)*SUMPRODUCT(OFFSET($BO$15,0,0,$B$14,1), 1*(_xlfn._xlws.FILTER(OFFSET($O$15,0,$DN17,$B$8,1),OFFSET($M$15,0,0,$B$8,1))=DT$13), 1*(_xlfn._xlws.FILTER(OFFSET($O$15,0,$DO17,$B$8,1),OFFSET($M$15,0,0,$B$8,1))=DT$14))   /   SUM(OFFSET($BO$15,0,0,$B$14,1)) + $B$18/($B$19*$B$19*($DN17&lt;&gt;$DO17) + $B$19*($DN17=$DO17))</f>
        <v>3.7037037037037035E-4</v>
      </c>
      <c r="DU17" s="10" cm="1">
        <f t="array" aca="1" ref="DU17" ca="1">(1-$B$18)*SUMPRODUCT(OFFSET($BO$15,0,0,$B$14,1), 1*(_xlfn._xlws.FILTER(OFFSET($O$15,0,$DN17,$B$8,1),OFFSET($M$15,0,0,$B$8,1))=DU$13), 1*(_xlfn._xlws.FILTER(OFFSET($O$15,0,$DO17,$B$8,1),OFFSET($M$15,0,0,$B$8,1))=DU$14))   /   SUM(OFFSET($BO$15,0,0,$B$14,1)) + $B$18/($B$19*$B$19*($DN17&lt;&gt;$DO17) + $B$19*($DN17=$DO17))</f>
        <v>3.7037037037037035E-4</v>
      </c>
      <c r="DV17" s="10" cm="1">
        <f t="array" aca="1" ref="DV17" ca="1">(1-$B$18)*SUMPRODUCT(OFFSET($BO$15,0,0,$B$14,1), 1*(_xlfn._xlws.FILTER(OFFSET($O$15,0,$DN17,$B$8,1),OFFSET($M$15,0,0,$B$8,1))=DV$13), 1*(_xlfn._xlws.FILTER(OFFSET($O$15,0,$DO17,$B$8,1),OFFSET($M$15,0,0,$B$8,1))=DV$14))   /   SUM(OFFSET($BO$15,0,0,$B$14,1)) + $B$18/($B$19*$B$19*($DN17&lt;&gt;$DO17) + $B$19*($DN17=$DO17))</f>
        <v>3.7037037037037035E-4</v>
      </c>
      <c r="DW17" s="10" cm="1">
        <f t="array" aca="1" ref="DW17" ca="1">(1-$B$18)*SUMPRODUCT(OFFSET($BO$15,0,0,$B$14,1), 1*(_xlfn._xlws.FILTER(OFFSET($O$15,0,$DN17,$B$8,1),OFFSET($M$15,0,0,$B$8,1))=DW$13), 1*(_xlfn._xlws.FILTER(OFFSET($O$15,0,$DO17,$B$8,1),OFFSET($M$15,0,0,$B$8,1))=DW$14))   /   SUM(OFFSET($BO$15,0,0,$B$14,1)) + $B$18/($B$19*$B$19*($DN17&lt;&gt;$DO17) + $B$19*($DN17=$DO17))</f>
        <v>3.7037037037037035E-4</v>
      </c>
      <c r="DX17" s="10" cm="1">
        <f t="array" aca="1" ref="DX17" ca="1">(1-$B$18)*SUMPRODUCT(OFFSET($BO$15,0,0,$B$14,1), 1*(_xlfn._xlws.FILTER(OFFSET($O$15,0,$DN17,$B$8,1),OFFSET($M$15,0,0,$B$8,1))=DX$13), 1*(_xlfn._xlws.FILTER(OFFSET($O$15,0,$DO17,$B$8,1),OFFSET($M$15,0,0,$B$8,1))=DX$14))   /   SUM(OFFSET($BO$15,0,0,$B$14,1)) + $B$18/($B$19*$B$19*($DN17&lt;&gt;$DO17) + $B$19*($DN17=$DO17))</f>
        <v>3.7037037037037035E-4</v>
      </c>
      <c r="DY17" s="10" cm="1">
        <f t="array" aca="1" ref="DY17" ca="1">(1-$B$18)*SUMPRODUCT(OFFSET($BO$15,0,0,$B$14,1), 1*(_xlfn._xlws.FILTER(OFFSET($O$15,0,$DN17,$B$8,1),OFFSET($M$15,0,0,$B$8,1))=DY$13), 1*(_xlfn._xlws.FILTER(OFFSET($O$15,0,$DO17,$B$8,1),OFFSET($M$15,0,0,$B$8,1))=DY$14))   /   SUM(OFFSET($BO$15,0,0,$B$14,1)) + $B$18/($B$19*$B$19*($DN17&lt;&gt;$DO17) + $B$19*($DN17=$DO17))</f>
        <v>3.7037037037037035E-4</v>
      </c>
      <c r="DZ17" s="10" cm="1">
        <f t="array" aca="1" ref="DZ17" ca="1">(1-$B$18)*SUMPRODUCT(OFFSET($BO$15,0,0,$B$14,1), 1*(_xlfn._xlws.FILTER(OFFSET($O$15,0,$DN17,$B$8,1),OFFSET($M$15,0,0,$B$8,1))=DZ$13), 1*(_xlfn._xlws.FILTER(OFFSET($O$15,0,$DO17,$B$8,1),OFFSET($M$15,0,0,$B$8,1))=DZ$14))   /   SUM(OFFSET($BO$15,0,0,$B$14,1)) + $B$18/($B$19*$B$19*($DN17&lt;&gt;$DO17) + $B$19*($DN17=$DO17))</f>
        <v>3.7037037037037035E-4</v>
      </c>
      <c r="EA17" s="10" cm="1">
        <f t="array" aca="1" ref="EA17" ca="1">(1-$B$18)*SUMPRODUCT(OFFSET($BO$15,0,0,$B$14,1), 1*(_xlfn._xlws.FILTER(OFFSET($O$15,0,$DN17,$B$8,1),OFFSET($M$15,0,0,$B$8,1))=EA$13), 1*(_xlfn._xlws.FILTER(OFFSET($O$15,0,$DO17,$B$8,1),OFFSET($M$15,0,0,$B$8,1))=EA$14))   /   SUM(OFFSET($BO$15,0,0,$B$14,1)) + $B$18/($B$19*$B$19*($DN17&lt;&gt;$DO17) + $B$19*($DN17=$DO17))</f>
        <v>3.7037037037037035E-4</v>
      </c>
      <c r="EB17" s="10" cm="1">
        <f t="array" aca="1" ref="EB17" ca="1">(1-$B$18)*SUMPRODUCT(OFFSET($BO$15,0,0,$B$14,1), 1*(_xlfn._xlws.FILTER(OFFSET($O$15,0,$DN17,$B$8,1),OFFSET($M$15,0,0,$B$8,1))=EB$13), 1*(_xlfn._xlws.FILTER(OFFSET($O$15,0,$DO17,$B$8,1),OFFSET($M$15,0,0,$B$8,1))=EB$14))   /   SUM(OFFSET($BO$15,0,0,$B$14,1)) + $B$18/($B$19*$B$19*($DN17&lt;&gt;$DO17) + $B$19*($DN17=$DO17))</f>
        <v>3.7037037037037035E-4</v>
      </c>
      <c r="EC17" s="10" cm="1">
        <f t="array" aca="1" ref="EC17" ca="1">(1-$B$18)*SUMPRODUCT(OFFSET($BO$15,0,0,$B$14,1), 1*(_xlfn._xlws.FILTER(OFFSET($O$15,0,$DN17,$B$8,1),OFFSET($M$15,0,0,$B$8,1))=EC$13), 1*(_xlfn._xlws.FILTER(OFFSET($O$15,0,$DO17,$B$8,1),OFFSET($M$15,0,0,$B$8,1))=EC$14))   /   SUM(OFFSET($BO$15,0,0,$B$14,1)) + $B$18/($B$19*$B$19*($DN17&lt;&gt;$DO17) + $B$19*($DN17=$DO17))</f>
        <v>3.7037037037037035E-4</v>
      </c>
      <c r="ED17" s="10" cm="1">
        <f t="array" aca="1" ref="ED17" ca="1">(1-$B$18)*SUMPRODUCT(OFFSET($BO$15,0,0,$B$14,1), 1*(_xlfn._xlws.FILTER(OFFSET($O$15,0,$DN17,$B$8,1),OFFSET($M$15,0,0,$B$8,1))=ED$13), 1*(_xlfn._xlws.FILTER(OFFSET($O$15,0,$DO17,$B$8,1),OFFSET($M$15,0,0,$B$8,1))=ED$14))   /   SUM(OFFSET($BO$15,0,0,$B$14,1)) + $B$18/($B$19*$B$19*($DN17&lt;&gt;$DO17) + $B$19*($DN17=$DO17))</f>
        <v>3.7037037037037035E-4</v>
      </c>
      <c r="EE17" s="10" cm="1">
        <f t="array" aca="1" ref="EE17" ca="1">(1-$B$18)*SUMPRODUCT(OFFSET($BO$15,0,0,$B$14,1), 1*(_xlfn._xlws.FILTER(OFFSET($O$15,0,$DN17,$B$8,1),OFFSET($M$15,0,0,$B$8,1))=EE$13), 1*(_xlfn._xlws.FILTER(OFFSET($O$15,0,$DO17,$B$8,1),OFFSET($M$15,0,0,$B$8,1))=EE$14))   /   SUM(OFFSET($BO$15,0,0,$B$14,1)) + $B$18/($B$19*$B$19*($DN17&lt;&gt;$DO17) + $B$19*($DN17=$DO17))</f>
        <v>3.7037037037037035E-4</v>
      </c>
      <c r="EF17" s="10" cm="1">
        <f t="array" aca="1" ref="EF17" ca="1">(1-$B$18)*SUMPRODUCT(OFFSET($BO$15,0,0,$B$14,1), 1*(_xlfn._xlws.FILTER(OFFSET($O$15,0,$DN17,$B$8,1),OFFSET($M$15,0,0,$B$8,1))=EF$13), 1*(_xlfn._xlws.FILTER(OFFSET($O$15,0,$DO17,$B$8,1),OFFSET($M$15,0,0,$B$8,1))=EF$14))   /   SUM(OFFSET($BO$15,0,0,$B$14,1)) + $B$18/($B$19*$B$19*($DN17&lt;&gt;$DO17) + $B$19*($DN17=$DO17))</f>
        <v>3.7037037037037035E-4</v>
      </c>
      <c r="EG17" s="10" cm="1">
        <f t="array" aca="1" ref="EG17" ca="1">(1-$B$18)*SUMPRODUCT(OFFSET($BO$15,0,0,$B$14,1), 1*(_xlfn._xlws.FILTER(OFFSET($O$15,0,$DN17,$B$8,1),OFFSET($M$15,0,0,$B$8,1))=EG$13), 1*(_xlfn._xlws.FILTER(OFFSET($O$15,0,$DO17,$B$8,1),OFFSET($M$15,0,0,$B$8,1))=EG$14))   /   SUM(OFFSET($BO$15,0,0,$B$14,1)) + $B$18/($B$19*$B$19*($DN17&lt;&gt;$DO17) + $B$19*($DN17=$DO17))</f>
        <v>3.7037037037037035E-4</v>
      </c>
      <c r="EH17" s="10" cm="1">
        <f t="array" aca="1" ref="EH17" ca="1">(1-$B$18)*SUMPRODUCT(OFFSET($BO$15,0,0,$B$14,1), 1*(_xlfn._xlws.FILTER(OFFSET($O$15,0,$DN17,$B$8,1),OFFSET($M$15,0,0,$B$8,1))=EH$13), 1*(_xlfn._xlws.FILTER(OFFSET($O$15,0,$DO17,$B$8,1),OFFSET($M$15,0,0,$B$8,1))=EH$14))   /   SUM(OFFSET($BO$15,0,0,$B$14,1)) + $B$18/($B$19*$B$19*($DN17&lt;&gt;$DO17) + $B$19*($DN17=$DO17))</f>
        <v>3.7037037037037035E-4</v>
      </c>
      <c r="EI17" s="10" cm="1">
        <f t="array" aca="1" ref="EI17" ca="1">(1-$B$18)*SUMPRODUCT(OFFSET($BO$15,0,0,$B$14,1), 1*(_xlfn._xlws.FILTER(OFFSET($O$15,0,$DN17,$B$8,1),OFFSET($M$15,0,0,$B$8,1))=EI$13), 1*(_xlfn._xlws.FILTER(OFFSET($O$15,0,$DO17,$B$8,1),OFFSET($M$15,0,0,$B$8,1))=EI$14))   /   SUM(OFFSET($BO$15,0,0,$B$14,1)) + $B$18/($B$19*$B$19*($DN17&lt;&gt;$DO17) + $B$19*($DN17=$DO17))</f>
        <v>3.7037037037037035E-4</v>
      </c>
      <c r="EJ17" s="10" cm="1">
        <f t="array" aca="1" ref="EJ17" ca="1">(1-$B$18)*SUMPRODUCT(OFFSET($BO$15,0,0,$B$14,1), 1*(_xlfn._xlws.FILTER(OFFSET($O$15,0,$DN17,$B$8,1),OFFSET($M$15,0,0,$B$8,1))=EJ$13), 1*(_xlfn._xlws.FILTER(OFFSET($O$15,0,$DO17,$B$8,1),OFFSET($M$15,0,0,$B$8,1))=EJ$14))   /   SUM(OFFSET($BO$15,0,0,$B$14,1)) + $B$18/($B$19*$B$19*($DN17&lt;&gt;$DO17) + $B$19*($DN17=$DO17))</f>
        <v>3.7037037037037035E-4</v>
      </c>
      <c r="EK17" s="10" cm="1">
        <f t="array" aca="1" ref="EK17" ca="1">(1-$B$18)*SUMPRODUCT(OFFSET($BO$15,0,0,$B$14,1), 1*(_xlfn._xlws.FILTER(OFFSET($O$15,0,$DN17,$B$8,1),OFFSET($M$15,0,0,$B$8,1))=EK$13), 1*(_xlfn._xlws.FILTER(OFFSET($O$15,0,$DO17,$B$8,1),OFFSET($M$15,0,0,$B$8,1))=EK$14))   /   SUM(OFFSET($BO$15,0,0,$B$14,1)) + $B$18/($B$19*$B$19*($DN17&lt;&gt;$DO17) + $B$19*($DN17=$DO17))</f>
        <v>3.7037037037037035E-4</v>
      </c>
      <c r="EL17" s="10" cm="1">
        <f t="array" aca="1" ref="EL17" ca="1">(1-$B$18)*SUMPRODUCT(OFFSET($BO$15,0,0,$B$14,1), 1*(_xlfn._xlws.FILTER(OFFSET($O$15,0,$DN17,$B$8,1),OFFSET($M$15,0,0,$B$8,1))=EL$13), 1*(_xlfn._xlws.FILTER(OFFSET($O$15,0,$DO17,$B$8,1),OFFSET($M$15,0,0,$B$8,1))=EL$14))   /   SUM(OFFSET($BO$15,0,0,$B$14,1)) + $B$18/($B$19*$B$19*($DN17&lt;&gt;$DO17) + $B$19*($DN17=$DO17))</f>
        <v>3.7037037037037035E-4</v>
      </c>
      <c r="EM17" s="10" cm="1">
        <f t="array" aca="1" ref="EM17" ca="1">(1-$B$18)*SUMPRODUCT(OFFSET($BO$15,0,0,$B$14,1), 1*(_xlfn._xlws.FILTER(OFFSET($O$15,0,$DN17,$B$8,1),OFFSET($M$15,0,0,$B$8,1))=EM$13), 1*(_xlfn._xlws.FILTER(OFFSET($O$15,0,$DO17,$B$8,1),OFFSET($M$15,0,0,$B$8,1))=EM$14))   /   SUM(OFFSET($BO$15,0,0,$B$14,1)) + $B$18/($B$19*$B$19*($DN17&lt;&gt;$DO17) + $B$19*($DN17=$DO17))</f>
        <v>3.7037037037037035E-4</v>
      </c>
      <c r="EN17" s="10" cm="1">
        <f t="array" aca="1" ref="EN17" ca="1">(1-$B$18)*SUMPRODUCT(OFFSET($BO$15,0,0,$B$14,1), 1*(_xlfn._xlws.FILTER(OFFSET($O$15,0,$DN17,$B$8,1),OFFSET($M$15,0,0,$B$8,1))=EN$13), 1*(_xlfn._xlws.FILTER(OFFSET($O$15,0,$DO17,$B$8,1),OFFSET($M$15,0,0,$B$8,1))=EN$14))   /   SUM(OFFSET($BO$15,0,0,$B$14,1)) + $B$18/($B$19*$B$19*($DN17&lt;&gt;$DO17) + $B$19*($DN17=$DO17))</f>
        <v>3.7037037037037035E-4</v>
      </c>
      <c r="EO17" s="10" cm="1">
        <f t="array" aca="1" ref="EO17" ca="1">(1-$B$18)*SUMPRODUCT(OFFSET($BO$15,0,0,$B$14,1), 1*(_xlfn._xlws.FILTER(OFFSET($O$15,0,$DN17,$B$8,1),OFFSET($M$15,0,0,$B$8,1))=EO$13), 1*(_xlfn._xlws.FILTER(OFFSET($O$15,0,$DO17,$B$8,1),OFFSET($M$15,0,0,$B$8,1))=EO$14))   /   SUM(OFFSET($BO$15,0,0,$B$14,1)) + $B$18/($B$19*$B$19*($DN17&lt;&gt;$DO17) + $B$19*($DN17=$DO17))</f>
        <v>3.7037037037037035E-4</v>
      </c>
      <c r="EP17" s="10" cm="1">
        <f t="array" aca="1" ref="EP17" ca="1">(1-$B$18)*SUMPRODUCT(OFFSET($BO$15,0,0,$B$14,1), 1*(_xlfn._xlws.FILTER(OFFSET($O$15,0,$DN17,$B$8,1),OFFSET($M$15,0,0,$B$8,1))=EP$13), 1*(_xlfn._xlws.FILTER(OFFSET($O$15,0,$DO17,$B$8,1),OFFSET($M$15,0,0,$B$8,1))=EP$14))   /   SUM(OFFSET($BO$15,0,0,$B$14,1)) + $B$18/($B$19*$B$19*($DN17&lt;&gt;$DO17) + $B$19*($DN17=$DO17))</f>
        <v>3.7037037037037035E-4</v>
      </c>
      <c r="EQ17" s="10" cm="1">
        <f t="array" aca="1" ref="EQ17" ca="1">(1-$B$18)*SUMPRODUCT(OFFSET($BO$15,0,0,$B$14,1), 1*(_xlfn._xlws.FILTER(OFFSET($O$15,0,$DN17,$B$8,1),OFFSET($M$15,0,0,$B$8,1))=EQ$13), 1*(_xlfn._xlws.FILTER(OFFSET($O$15,0,$DO17,$B$8,1),OFFSET($M$15,0,0,$B$8,1))=EQ$14))   /   SUM(OFFSET($BO$15,0,0,$B$14,1)) + $B$18/($B$19*$B$19*($DN17&lt;&gt;$DO17) + $B$19*($DN17=$DO17))</f>
        <v>3.7037037037037035E-4</v>
      </c>
      <c r="ER17" s="10" cm="1">
        <f t="array" aca="1" ref="ER17" ca="1">(1-$B$18)*SUMPRODUCT(OFFSET($BO$15,0,0,$B$14,1), 1*(_xlfn._xlws.FILTER(OFFSET($O$15,0,$DN17,$B$8,1),OFFSET($M$15,0,0,$B$8,1))=ER$13), 1*(_xlfn._xlws.FILTER(OFFSET($O$15,0,$DO17,$B$8,1),OFFSET($M$15,0,0,$B$8,1))=ER$14))   /   SUM(OFFSET($BO$15,0,0,$B$14,1)) + $B$18/($B$19*$B$19*($DN17&lt;&gt;$DO17) + $B$19*($DN17=$DO17))</f>
        <v>3.7037037037037035E-4</v>
      </c>
      <c r="ES17" s="10" cm="1">
        <f t="array" aca="1" ref="ES17" ca="1">(1-$B$18)*SUMPRODUCT(OFFSET($BO$15,0,0,$B$14,1), 1*(_xlfn._xlws.FILTER(OFFSET($O$15,0,$DN17,$B$8,1),OFFSET($M$15,0,0,$B$8,1))=ES$13), 1*(_xlfn._xlws.FILTER(OFFSET($O$15,0,$DO17,$B$8,1),OFFSET($M$15,0,0,$B$8,1))=ES$14))   /   SUM(OFFSET($BO$15,0,0,$B$14,1)) + $B$18/($B$19*$B$19*($DN17&lt;&gt;$DO17) + $B$19*($DN17=$DO17))</f>
        <v>3.7037037037037035E-4</v>
      </c>
      <c r="ET17" s="10" cm="1">
        <f t="array" aca="1" ref="ET17" ca="1">(1-$B$18)*SUMPRODUCT(OFFSET($BO$15,0,0,$B$14,1), 1*(_xlfn._xlws.FILTER(OFFSET($O$15,0,$DN17,$B$8,1),OFFSET($M$15,0,0,$B$8,1))=ET$13), 1*(_xlfn._xlws.FILTER(OFFSET($O$15,0,$DO17,$B$8,1),OFFSET($M$15,0,0,$B$8,1))=ET$14))   /   SUM(OFFSET($BO$15,0,0,$B$14,1)) + $B$18/($B$19*$B$19*($DN17&lt;&gt;$DO17) + $B$19*($DN17=$DO17))</f>
        <v>3.7037037037037035E-4</v>
      </c>
      <c r="EU17" s="10" cm="1">
        <f t="array" aca="1" ref="EU17" ca="1">(1-$B$18)*SUMPRODUCT(OFFSET($BO$15,0,0,$B$14,1), 1*(_xlfn._xlws.FILTER(OFFSET($O$15,0,$DN17,$B$8,1),OFFSET($M$15,0,0,$B$8,1))=EU$13), 1*(_xlfn._xlws.FILTER(OFFSET($O$15,0,$DO17,$B$8,1),OFFSET($M$15,0,0,$B$8,1))=EU$14))   /   SUM(OFFSET($BO$15,0,0,$B$14,1)) + $B$18/($B$19*$B$19*($DN17&lt;&gt;$DO17) + $B$19*($DN17=$DO17))</f>
        <v>3.7037037037037035E-4</v>
      </c>
      <c r="EV17" s="10" cm="1">
        <f t="array" aca="1" ref="EV17" ca="1">(1-$B$18)*SUMPRODUCT(OFFSET($BO$15,0,0,$B$14,1), 1*(_xlfn._xlws.FILTER(OFFSET($O$15,0,$DN17,$B$8,1),OFFSET($M$15,0,0,$B$8,1))=EV$13), 1*(_xlfn._xlws.FILTER(OFFSET($O$15,0,$DO17,$B$8,1),OFFSET($M$15,0,0,$B$8,1))=EV$14))   /   SUM(OFFSET($BO$15,0,0,$B$14,1)) + $B$18/($B$19*$B$19*($DN17&lt;&gt;$DO17) + $B$19*($DN17=$DO17))</f>
        <v>3.7037037037037035E-4</v>
      </c>
      <c r="EW17" s="10" cm="1">
        <f t="array" aca="1" ref="EW17" ca="1">(1-$B$18)*SUMPRODUCT(OFFSET($BO$15,0,0,$B$14,1), 1*(_xlfn._xlws.FILTER(OFFSET($O$15,0,$DN17,$B$8,1),OFFSET($M$15,0,0,$B$8,1))=EW$13), 1*(_xlfn._xlws.FILTER(OFFSET($O$15,0,$DO17,$B$8,1),OFFSET($M$15,0,0,$B$8,1))=EW$14))   /   SUM(OFFSET($BO$15,0,0,$B$14,1)) + $B$18/($B$19*$B$19*($DN17&lt;&gt;$DO17) + $B$19*($DN17=$DO17))</f>
        <v>3.7037037037037035E-4</v>
      </c>
      <c r="EX17" s="10" cm="1">
        <f t="array" aca="1" ref="EX17" ca="1">(1-$B$18)*SUMPRODUCT(OFFSET($BO$15,0,0,$B$14,1), 1*(_xlfn._xlws.FILTER(OFFSET($O$15,0,$DN17,$B$8,1),OFFSET($M$15,0,0,$B$8,1))=EX$13), 1*(_xlfn._xlws.FILTER(OFFSET($O$15,0,$DO17,$B$8,1),OFFSET($M$15,0,0,$B$8,1))=EX$14))   /   SUM(OFFSET($BO$15,0,0,$B$14,1)) + $B$18/($B$19*$B$19*($DN17&lt;&gt;$DO17) + $B$19*($DN17=$DO17))</f>
        <v>3.7037037037037035E-4</v>
      </c>
      <c r="EY17" s="10" cm="1">
        <f t="array" aca="1" ref="EY17" ca="1">(1-$B$18)*SUMPRODUCT(OFFSET($BO$15,0,0,$B$14,1), 1*(_xlfn._xlws.FILTER(OFFSET($O$15,0,$DN17,$B$8,1),OFFSET($M$15,0,0,$B$8,1))=EY$13), 1*(_xlfn._xlws.FILTER(OFFSET($O$15,0,$DO17,$B$8,1),OFFSET($M$15,0,0,$B$8,1))=EY$14))   /   SUM(OFFSET($BO$15,0,0,$B$14,1)) + $B$18/($B$19*$B$19*($DN17&lt;&gt;$DO17) + $B$19*($DN17=$DO17))</f>
        <v>3.7037037037037035E-4</v>
      </c>
      <c r="EZ17" s="10" cm="1">
        <f t="array" aca="1" ref="EZ17" ca="1">(1-$B$18)*SUMPRODUCT(OFFSET($BO$15,0,0,$B$14,1), 1*(_xlfn._xlws.FILTER(OFFSET($O$15,0,$DN17,$B$8,1),OFFSET($M$15,0,0,$B$8,1))=EZ$13), 1*(_xlfn._xlws.FILTER(OFFSET($O$15,0,$DO17,$B$8,1),OFFSET($M$15,0,0,$B$8,1))=EZ$14))   /   SUM(OFFSET($BO$15,0,0,$B$14,1)) + $B$18/($B$19*$B$19*($DN17&lt;&gt;$DO17) + $B$19*($DN17=$DO17))</f>
        <v>3.7037037037037035E-4</v>
      </c>
      <c r="FA17" s="10" cm="1">
        <f t="array" aca="1" ref="FA17" ca="1">(1-$B$18)*SUMPRODUCT(OFFSET($BO$15,0,0,$B$14,1), 1*(_xlfn._xlws.FILTER(OFFSET($O$15,0,$DN17,$B$8,1),OFFSET($M$15,0,0,$B$8,1))=FA$13), 1*(_xlfn._xlws.FILTER(OFFSET($O$15,0,$DO17,$B$8,1),OFFSET($M$15,0,0,$B$8,1))=FA$14))   /   SUM(OFFSET($BO$15,0,0,$B$14,1)) + $B$18/($B$19*$B$19*($DN17&lt;&gt;$DO17) + $B$19*($DN17=$DO17))</f>
        <v>3.7037037037037035E-4</v>
      </c>
      <c r="FB17" s="10" cm="1">
        <f t="array" aca="1" ref="FB17" ca="1">(1-$B$18)*SUMPRODUCT(OFFSET($BO$15,0,0,$B$14,1), 1*(_xlfn._xlws.FILTER(OFFSET($O$15,0,$DN17,$B$8,1),OFFSET($M$15,0,0,$B$8,1))=FB$13), 1*(_xlfn._xlws.FILTER(OFFSET($O$15,0,$DO17,$B$8,1),OFFSET($M$15,0,0,$B$8,1))=FB$14))   /   SUM(OFFSET($BO$15,0,0,$B$14,1)) + $B$18/($B$19*$B$19*($DN17&lt;&gt;$DO17) + $B$19*($DN17=$DO17))</f>
        <v>3.7037037037037035E-4</v>
      </c>
      <c r="FC17" s="10" cm="1">
        <f t="array" aca="1" ref="FC17" ca="1">(1-$B$18)*SUMPRODUCT(OFFSET($BO$15,0,0,$B$14,1), 1*(_xlfn._xlws.FILTER(OFFSET($O$15,0,$DN17,$B$8,1),OFFSET($M$15,0,0,$B$8,1))=FC$13), 1*(_xlfn._xlws.FILTER(OFFSET($O$15,0,$DO17,$B$8,1),OFFSET($M$15,0,0,$B$8,1))=FC$14))   /   SUM(OFFSET($BO$15,0,0,$B$14,1)) + $B$18/($B$19*$B$19*($DN17&lt;&gt;$DO17) + $B$19*($DN17=$DO17))</f>
        <v>3.7037037037037035E-4</v>
      </c>
      <c r="FD17" s="10" cm="1">
        <f t="array" aca="1" ref="FD17" ca="1">(1-$B$18)*SUMPRODUCT(OFFSET($BO$15,0,0,$B$14,1), 1*(_xlfn._xlws.FILTER(OFFSET($O$15,0,$DN17,$B$8,1),OFFSET($M$15,0,0,$B$8,1))=FD$13), 1*(_xlfn._xlws.FILTER(OFFSET($O$15,0,$DO17,$B$8,1),OFFSET($M$15,0,0,$B$8,1))=FD$14))   /   SUM(OFFSET($BO$15,0,0,$B$14,1)) + $B$18/($B$19*$B$19*($DN17&lt;&gt;$DO17) + $B$19*($DN17=$DO17))</f>
        <v>3.7037037037037035E-4</v>
      </c>
      <c r="FE17" s="10" cm="1">
        <f t="array" aca="1" ref="FE17" ca="1">(1-$B$18)*SUMPRODUCT(OFFSET($BO$15,0,0,$B$14,1), 1*(_xlfn._xlws.FILTER(OFFSET($O$15,0,$DN17,$B$8,1),OFFSET($M$15,0,0,$B$8,1))=FE$13), 1*(_xlfn._xlws.FILTER(OFFSET($O$15,0,$DO17,$B$8,1),OFFSET($M$15,0,0,$B$8,1))=FE$14))   /   SUM(OFFSET($BO$15,0,0,$B$14,1)) + $B$18/($B$19*$B$19*($DN17&lt;&gt;$DO17) + $B$19*($DN17=$DO17))</f>
        <v>3.7037037037037035E-4</v>
      </c>
      <c r="FF17" s="10" cm="1">
        <f t="array" aca="1" ref="FF17" ca="1">(1-$B$18)*SUMPRODUCT(OFFSET($BO$15,0,0,$B$14,1), 1*(_xlfn._xlws.FILTER(OFFSET($O$15,0,$DN17,$B$8,1),OFFSET($M$15,0,0,$B$8,1))=FF$13), 1*(_xlfn._xlws.FILTER(OFFSET($O$15,0,$DO17,$B$8,1),OFFSET($M$15,0,0,$B$8,1))=FF$14))   /   SUM(OFFSET($BO$15,0,0,$B$14,1)) + $B$18/($B$19*$B$19*($DN17&lt;&gt;$DO17) + $B$19*($DN17=$DO17))</f>
        <v>3.7037037037037035E-4</v>
      </c>
      <c r="FG17" s="10" cm="1">
        <f t="array" aca="1" ref="FG17" ca="1">(1-$B$18)*SUMPRODUCT(OFFSET($BO$15,0,0,$B$14,1), 1*(_xlfn._xlws.FILTER(OFFSET($O$15,0,$DN17,$B$8,1),OFFSET($M$15,0,0,$B$8,1))=FG$13), 1*(_xlfn._xlws.FILTER(OFFSET($O$15,0,$DO17,$B$8,1),OFFSET($M$15,0,0,$B$8,1))=FG$14))   /   SUM(OFFSET($BO$15,0,0,$B$14,1)) + $B$18/($B$19*$B$19*($DN17&lt;&gt;$DO17) + $B$19*($DN17=$DO17))</f>
        <v>3.7037037037037035E-4</v>
      </c>
      <c r="FH17" s="10" cm="1">
        <f t="array" aca="1" ref="FH17" ca="1">(1-$B$18)*SUMPRODUCT(OFFSET($BO$15,0,0,$B$14,1), 1*(_xlfn._xlws.FILTER(OFFSET($O$15,0,$DN17,$B$8,1),OFFSET($M$15,0,0,$B$8,1))=FH$13), 1*(_xlfn._xlws.FILTER(OFFSET($O$15,0,$DO17,$B$8,1),OFFSET($M$15,0,0,$B$8,1))=FH$14))   /   SUM(OFFSET($BO$15,0,0,$B$14,1)) + $B$18/($B$19*$B$19*($DN17&lt;&gt;$DO17) + $B$19*($DN17=$DO17))</f>
        <v>3.7037037037037035E-4</v>
      </c>
      <c r="FI17" s="10" cm="1">
        <f t="array" aca="1" ref="FI17" ca="1">(1-$B$18)*SUMPRODUCT(OFFSET($BO$15,0,0,$B$14,1), 1*(_xlfn._xlws.FILTER(OFFSET($O$15,0,$DN17,$B$8,1),OFFSET($M$15,0,0,$B$8,1))=FI$13), 1*(_xlfn._xlws.FILTER(OFFSET($O$15,0,$DO17,$B$8,1),OFFSET($M$15,0,0,$B$8,1))=FI$14))   /   SUM(OFFSET($BO$15,0,0,$B$14,1)) + $B$18/($B$19*$B$19*($DN17&lt;&gt;$DO17) + $B$19*($DN17=$DO17))</f>
        <v>3.7037037037037035E-4</v>
      </c>
      <c r="FJ17" s="10" cm="1">
        <f t="array" aca="1" ref="FJ17" ca="1">(1-$B$18)*SUMPRODUCT(OFFSET($BO$15,0,0,$B$14,1), 1*(_xlfn._xlws.FILTER(OFFSET($O$15,0,$DN17,$B$8,1),OFFSET($M$15,0,0,$B$8,1))=FJ$13), 1*(_xlfn._xlws.FILTER(OFFSET($O$15,0,$DO17,$B$8,1),OFFSET($M$15,0,0,$B$8,1))=FJ$14))   /   SUM(OFFSET($BO$15,0,0,$B$14,1)) + $B$18/($B$19*$B$19*($DN17&lt;&gt;$DO17) + $B$19*($DN17=$DO17))</f>
        <v>3.7037037037037035E-4</v>
      </c>
      <c r="FK17" s="10" cm="1">
        <f t="array" aca="1" ref="FK17" ca="1">(1-$B$18)*SUMPRODUCT(OFFSET($BO$15,0,0,$B$14,1), 1*(_xlfn._xlws.FILTER(OFFSET($O$15,0,$DN17,$B$8,1),OFFSET($M$15,0,0,$B$8,1))=FK$13), 1*(_xlfn._xlws.FILTER(OFFSET($O$15,0,$DO17,$B$8,1),OFFSET($M$15,0,0,$B$8,1))=FK$14))   /   SUM(OFFSET($BO$15,0,0,$B$14,1)) + $B$18/($B$19*$B$19*($DN17&lt;&gt;$DO17) + $B$19*($DN17=$DO17))</f>
        <v>3.7037037037037035E-4</v>
      </c>
      <c r="FL17" s="10" cm="1">
        <f t="array" aca="1" ref="FL17" ca="1">(1-$B$18)*SUMPRODUCT(OFFSET($BO$15,0,0,$B$14,1), 1*(_xlfn._xlws.FILTER(OFFSET($O$15,0,$DN17,$B$8,1),OFFSET($M$15,0,0,$B$8,1))=FL$13), 1*(_xlfn._xlws.FILTER(OFFSET($O$15,0,$DO17,$B$8,1),OFFSET($M$15,0,0,$B$8,1))=FL$14))   /   SUM(OFFSET($BO$15,0,0,$B$14,1)) + $B$18/($B$19*$B$19*($DN17&lt;&gt;$DO17) + $B$19*($DN17=$DO17))</f>
        <v>3.7037037037037035E-4</v>
      </c>
      <c r="FM17" s="10" cm="1">
        <f t="array" aca="1" ref="FM17" ca="1">(1-$B$18)*SUMPRODUCT(OFFSET($BO$15,0,0,$B$14,1), 1*(_xlfn._xlws.FILTER(OFFSET($O$15,0,$DN17,$B$8,1),OFFSET($M$15,0,0,$B$8,1))=FM$13), 1*(_xlfn._xlws.FILTER(OFFSET($O$15,0,$DO17,$B$8,1),OFFSET($M$15,0,0,$B$8,1))=FM$14))   /   SUM(OFFSET($BO$15,0,0,$B$14,1)) + $B$18/($B$19*$B$19*($DN17&lt;&gt;$DO17) + $B$19*($DN17=$DO17))</f>
        <v>3.7037037037037035E-4</v>
      </c>
      <c r="FN17" s="10" cm="1">
        <f t="array" aca="1" ref="FN17" ca="1">(1-$B$18)*SUMPRODUCT(OFFSET($BO$15,0,0,$B$14,1), 1*(_xlfn._xlws.FILTER(OFFSET($O$15,0,$DN17,$B$8,1),OFFSET($M$15,0,0,$B$8,1))=FN$13), 1*(_xlfn._xlws.FILTER(OFFSET($O$15,0,$DO17,$B$8,1),OFFSET($M$15,0,0,$B$8,1))=FN$14))   /   SUM(OFFSET($BO$15,0,0,$B$14,1)) + $B$18/($B$19*$B$19*($DN17&lt;&gt;$DO17) + $B$19*($DN17=$DO17))</f>
        <v>3.7037037037037035E-4</v>
      </c>
      <c r="FO17" s="10" cm="1">
        <f t="array" aca="1" ref="FO17" ca="1">(1-$B$18)*SUMPRODUCT(OFFSET($BO$15,0,0,$B$14,1), 1*(_xlfn._xlws.FILTER(OFFSET($O$15,0,$DN17,$B$8,1),OFFSET($M$15,0,0,$B$8,1))=FO$13), 1*(_xlfn._xlws.FILTER(OFFSET($O$15,0,$DO17,$B$8,1),OFFSET($M$15,0,0,$B$8,1))=FO$14))   /   SUM(OFFSET($BO$15,0,0,$B$14,1)) + $B$18/($B$19*$B$19*($DN17&lt;&gt;$DO17) + $B$19*($DN17=$DO17))</f>
        <v>3.7037037037037035E-4</v>
      </c>
      <c r="FP17" s="10" cm="1">
        <f t="array" aca="1" ref="FP17" ca="1">(1-$B$18)*SUMPRODUCT(OFFSET($BO$15,0,0,$B$14,1), 1*(_xlfn._xlws.FILTER(OFFSET($O$15,0,$DN17,$B$8,1),OFFSET($M$15,0,0,$B$8,1))=FP$13), 1*(_xlfn._xlws.FILTER(OFFSET($O$15,0,$DO17,$B$8,1),OFFSET($M$15,0,0,$B$8,1))=FP$14))   /   SUM(OFFSET($BO$15,0,0,$B$14,1)) + $B$18/($B$19*$B$19*($DN17&lt;&gt;$DO17) + $B$19*($DN17=$DO17))</f>
        <v>3.7037037037037035E-4</v>
      </c>
      <c r="FQ17" s="10" cm="1">
        <f t="array" aca="1" ref="FQ17" ca="1">(1-$B$18)*SUMPRODUCT(OFFSET($BO$15,0,0,$B$14,1), 1*(_xlfn._xlws.FILTER(OFFSET($O$15,0,$DN17,$B$8,1),OFFSET($M$15,0,0,$B$8,1))=FQ$13), 1*(_xlfn._xlws.FILTER(OFFSET($O$15,0,$DO17,$B$8,1),OFFSET($M$15,0,0,$B$8,1))=FQ$14))   /   SUM(OFFSET($BO$15,0,0,$B$14,1)) + $B$18/($B$19*$B$19*($DN17&lt;&gt;$DO17) + $B$19*($DN17=$DO17))</f>
        <v>3.7037037037037035E-4</v>
      </c>
      <c r="FR17" s="10" cm="1">
        <f t="array" aca="1" ref="FR17" ca="1">(1-$B$18)*SUMPRODUCT(OFFSET($BO$15,0,0,$B$14,1), 1*(_xlfn._xlws.FILTER(OFFSET($O$15,0,$DN17,$B$8,1),OFFSET($M$15,0,0,$B$8,1))=FR$13), 1*(_xlfn._xlws.FILTER(OFFSET($O$15,0,$DO17,$B$8,1),OFFSET($M$15,0,0,$B$8,1))=FR$14))   /   SUM(OFFSET($BO$15,0,0,$B$14,1)) + $B$18/($B$19*$B$19*($DN17&lt;&gt;$DO17) + $B$19*($DN17=$DO17))</f>
        <v>0.97037037037037033</v>
      </c>
      <c r="FS17" s="10" cm="1">
        <f t="array" aca="1" ref="FS17" ca="1">(1-$B$18)*SUMPRODUCT(OFFSET($BO$15,0,0,$B$14,1), 1*(_xlfn._xlws.FILTER(OFFSET($O$15,0,$DN17,$B$8,1),OFFSET($M$15,0,0,$B$8,1))=FS$13), 1*(_xlfn._xlws.FILTER(OFFSET($O$15,0,$DO17,$B$8,1),OFFSET($M$15,0,0,$B$8,1))=FS$14))   /   SUM(OFFSET($BO$15,0,0,$B$14,1)) + $B$18/($B$19*$B$19*($DN17&lt;&gt;$DO17) + $B$19*($DN17=$DO17))</f>
        <v>3.7037037037037035E-4</v>
      </c>
      <c r="FT17" s="10" cm="1">
        <f t="array" aca="1" ref="FT17" ca="1">(1-$B$18)*SUMPRODUCT(OFFSET($BO$15,0,0,$B$14,1), 1*(_xlfn._xlws.FILTER(OFFSET($O$15,0,$DN17,$B$8,1),OFFSET($M$15,0,0,$B$8,1))=FT$13), 1*(_xlfn._xlws.FILTER(OFFSET($O$15,0,$DO17,$B$8,1),OFFSET($M$15,0,0,$B$8,1))=FT$14))   /   SUM(OFFSET($BO$15,0,0,$B$14,1)) + $B$18/($B$19*$B$19*($DN17&lt;&gt;$DO17) + $B$19*($DN17=$DO17))</f>
        <v>3.7037037037037035E-4</v>
      </c>
      <c r="FU17" s="10" cm="1">
        <f t="array" aca="1" ref="FU17" ca="1">(1-$B$18)*SUMPRODUCT(OFFSET($BO$15,0,0,$B$14,1), 1*(_xlfn._xlws.FILTER(OFFSET($O$15,0,$DN17,$B$8,1),OFFSET($M$15,0,0,$B$8,1))=FU$13), 1*(_xlfn._xlws.FILTER(OFFSET($O$15,0,$DO17,$B$8,1),OFFSET($M$15,0,0,$B$8,1))=FU$14))   /   SUM(OFFSET($BO$15,0,0,$B$14,1)) + $B$18/($B$19*$B$19*($DN17&lt;&gt;$DO17) + $B$19*($DN17=$DO17))</f>
        <v>3.7037037037037035E-4</v>
      </c>
      <c r="FV17" s="10" cm="1">
        <f t="array" aca="1" ref="FV17" ca="1">(1-$B$18)*SUMPRODUCT(OFFSET($BO$15,0,0,$B$14,1), 1*(_xlfn._xlws.FILTER(OFFSET($O$15,0,$DN17,$B$8,1),OFFSET($M$15,0,0,$B$8,1))=FV$13), 1*(_xlfn._xlws.FILTER(OFFSET($O$15,0,$DO17,$B$8,1),OFFSET($M$15,0,0,$B$8,1))=FV$14))   /   SUM(OFFSET($BO$15,0,0,$B$14,1)) + $B$18/($B$19*$B$19*($DN17&lt;&gt;$DO17) + $B$19*($DN17=$DO17))</f>
        <v>3.7037037037037035E-4</v>
      </c>
      <c r="FW17" s="10" cm="1">
        <f t="array" aca="1" ref="FW17" ca="1">(1-$B$18)*SUMPRODUCT(OFFSET($BO$15,0,0,$B$14,1), 1*(_xlfn._xlws.FILTER(OFFSET($O$15,0,$DN17,$B$8,1),OFFSET($M$15,0,0,$B$8,1))=FW$13), 1*(_xlfn._xlws.FILTER(OFFSET($O$15,0,$DO17,$B$8,1),OFFSET($M$15,0,0,$B$8,1))=FW$14))   /   SUM(OFFSET($BO$15,0,0,$B$14,1)) + $B$18/($B$19*$B$19*($DN17&lt;&gt;$DO17) + $B$19*($DN17=$DO17))</f>
        <v>3.7037037037037035E-4</v>
      </c>
      <c r="FX17" s="10" cm="1">
        <f t="array" aca="1" ref="FX17" ca="1">(1-$B$18)*SUMPRODUCT(OFFSET($BO$15,0,0,$B$14,1), 1*(_xlfn._xlws.FILTER(OFFSET($O$15,0,$DN17,$B$8,1),OFFSET($M$15,0,0,$B$8,1))=FX$13), 1*(_xlfn._xlws.FILTER(OFFSET($O$15,0,$DO17,$B$8,1),OFFSET($M$15,0,0,$B$8,1))=FX$14))   /   SUM(OFFSET($BO$15,0,0,$B$14,1)) + $B$18/($B$19*$B$19*($DN17&lt;&gt;$DO17) + $B$19*($DN17=$DO17))</f>
        <v>3.7037037037037035E-4</v>
      </c>
      <c r="FY17" s="10" cm="1">
        <f t="array" aca="1" ref="FY17" ca="1">(1-$B$18)*SUMPRODUCT(OFFSET($BO$15,0,0,$B$14,1), 1*(_xlfn._xlws.FILTER(OFFSET($O$15,0,$DN17,$B$8,1),OFFSET($M$15,0,0,$B$8,1))=FY$13), 1*(_xlfn._xlws.FILTER(OFFSET($O$15,0,$DO17,$B$8,1),OFFSET($M$15,0,0,$B$8,1))=FY$14))   /   SUM(OFFSET($BO$15,0,0,$B$14,1)) + $B$18/($B$19*$B$19*($DN17&lt;&gt;$DO17) + $B$19*($DN17=$DO17))</f>
        <v>3.7037037037037035E-4</v>
      </c>
      <c r="FZ17" s="10" cm="1">
        <f t="array" aca="1" ref="FZ17" ca="1">(1-$B$18)*SUMPRODUCT(OFFSET($BO$15,0,0,$B$14,1), 1*(_xlfn._xlws.FILTER(OFFSET($O$15,0,$DN17,$B$8,1),OFFSET($M$15,0,0,$B$8,1))=FZ$13), 1*(_xlfn._xlws.FILTER(OFFSET($O$15,0,$DO17,$B$8,1),OFFSET($M$15,0,0,$B$8,1))=FZ$14))   /   SUM(OFFSET($BO$15,0,0,$B$14,1)) + $B$18/($B$19*$B$19*($DN17&lt;&gt;$DO17) + $B$19*($DN17=$DO17))</f>
        <v>3.7037037037037035E-4</v>
      </c>
      <c r="GA17" s="10" cm="1">
        <f t="array" aca="1" ref="GA17" ca="1">(1-$B$18)*SUMPRODUCT(OFFSET($BO$15,0,0,$B$14,1), 1*(_xlfn._xlws.FILTER(OFFSET($O$15,0,$DN17,$B$8,1),OFFSET($M$15,0,0,$B$8,1))=GA$13), 1*(_xlfn._xlws.FILTER(OFFSET($O$15,0,$DO17,$B$8,1),OFFSET($M$15,0,0,$B$8,1))=GA$14))   /   SUM(OFFSET($BO$15,0,0,$B$14,1)) + $B$18/($B$19*$B$19*($DN17&lt;&gt;$DO17) + $B$19*($DN17=$DO17))</f>
        <v>3.7037037037037035E-4</v>
      </c>
    </row>
    <row r="18" spans="1:183" x14ac:dyDescent="0.2">
      <c r="A18" t="s">
        <v>47</v>
      </c>
      <c r="B18">
        <v>0.03</v>
      </c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0.9</v>
      </c>
      <c r="K18" t="b">
        <f t="shared" ca="1" si="4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5"/>
        <v>1</v>
      </c>
      <c r="N18" s="2">
        <v>3</v>
      </c>
      <c r="O18" s="12" t="s">
        <v>11</v>
      </c>
      <c r="P18" s="9" t="s">
        <v>11</v>
      </c>
      <c r="Q18" s="9" t="s">
        <v>11</v>
      </c>
      <c r="R18" s="9" t="s">
        <v>11</v>
      </c>
      <c r="S18" s="9" t="s">
        <v>11</v>
      </c>
      <c r="T18" s="12" t="s">
        <v>11</v>
      </c>
      <c r="U18" s="9" t="s">
        <v>11</v>
      </c>
      <c r="V18" s="9" t="s">
        <v>11</v>
      </c>
      <c r="W18" s="9" t="s">
        <v>11</v>
      </c>
      <c r="X18" s="9" t="s">
        <v>11</v>
      </c>
      <c r="Y18" s="12" t="s">
        <v>0</v>
      </c>
      <c r="Z18" s="9" t="s">
        <v>0</v>
      </c>
      <c r="AA18" s="9" t="s">
        <v>1</v>
      </c>
      <c r="AB18" s="9" t="s">
        <v>1</v>
      </c>
      <c r="AC18" s="9" t="s">
        <v>2</v>
      </c>
      <c r="AD18" s="12" t="s">
        <v>2</v>
      </c>
      <c r="AE18" s="9" t="s">
        <v>5</v>
      </c>
      <c r="AF18" s="9" t="s">
        <v>5</v>
      </c>
      <c r="AG18" s="9" t="s">
        <v>3</v>
      </c>
      <c r="AH18" s="9" t="s">
        <v>3</v>
      </c>
      <c r="AI18" s="12" t="s">
        <v>6</v>
      </c>
      <c r="AJ18" s="9" t="s">
        <v>11</v>
      </c>
      <c r="AK18" s="7"/>
      <c r="AN18">
        <f t="shared" ca="1" si="6"/>
        <v>4</v>
      </c>
      <c r="AO18" s="14">
        <f t="shared" ca="1" si="7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
) / $B$13)</f>
        <v>1</v>
      </c>
      <c r="AR18" cm="1">
        <f t="array" aca="1" ref="AR18" ca="1">IF($AP18=AR$14, 1, SUMPRODUCT(
    --(OFFSET($O$13,0,0,1,$B$9)=TRUE),
    --(INDEX(OFFSET($O$15,0,0,$B$8,$B$9), 1+$AP18, 0) = INDEX(OFFSET($O$15,0,0,$B$8,$B$9), 1+AR$14, 0))
) / $B$13)</f>
        <v>0.9</v>
      </c>
      <c r="AS18" cm="1">
        <f t="array" aca="1" ref="AS18" ca="1">IF($AP18=AS$14, 1, SUMPRODUCT(
    --(OFFSET($O$13,0,0,1,$B$9)=TRUE),
    --(INDEX(OFFSET($O$15,0,0,$B$8,$B$9), 1+$AP18, 0) = INDEX(OFFSET($O$15,0,0,$B$8,$B$9), 1+AS$14, 0))
) / $B$13)</f>
        <v>1</v>
      </c>
      <c r="AT18" cm="1">
        <f t="array" aca="1" ref="AT18" ca="1">IF($AP18=AT$14, 1, SUMPRODUCT(
    --(OFFSET($O$13,0,0,1,$B$9)=TRUE),
    --(INDEX(OFFSET($O$15,0,0,$B$8,$B$9), 1+$AP18, 0) = INDEX(OFFSET($O$15,0,0,$B$8,$B$9), 1+AT$14, 0))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
) / $B$13)</f>
        <v>1</v>
      </c>
      <c r="AV18" cm="1">
        <f t="array" aca="1" ref="AV18" ca="1">IF($AP18=AV$14, 1, SUMPRODUCT(
    --(OFFSET($O$13,0,0,1,$B$9)=TRUE),
    --(INDEX(OFFSET($O$15,0,0,$B$8,$B$9), 1+$AP18, 0) = INDEX(OFFSET($O$15,0,0,$B$8,$B$9), 1+AV$14, 0))
) / $B$13)</f>
        <v>0.9</v>
      </c>
      <c r="AW18" cm="1">
        <f t="array" aca="1" ref="AW18" ca="1">IF($AP18=AW$14, 1, SUMPRODUCT(
    --(OFFSET($O$13,0,0,1,$B$9)=TRUE),
    --(INDEX(OFFSET($O$15,0,0,$B$8,$B$9), 1+$AP18, 0) = INDEX(OFFSET($O$15,0,0,$B$8,$B$9), 1+AW$14, 0))
) / $B$13)</f>
        <v>0.85</v>
      </c>
      <c r="AX18" cm="1">
        <f t="array" aca="1" ref="AX18" ca="1">IF($AP18=AX$14, 1, SUMPRODUCT(
    --(OFFSET($O$13,0,0,1,$B$9)=TRUE),
    --(INDEX(OFFSET($O$15,0,0,$B$8,$B$9), 1+$AP18, 0) = INDEX(OFFSET($O$15,0,0,$B$8,$B$9), 1+AX$14, 0))
) / $B$13)</f>
        <v>0.85</v>
      </c>
      <c r="AY18" cm="1">
        <f t="array" aca="1" ref="AY18" ca="1">IF($AP18=AY$14, 1, SUMPRODUCT(
    --(OFFSET($O$13,0,0,1,$B$9)=TRUE),
    --(INDEX(OFFSET($O$15,0,0,$B$8,$B$9), 1+$AP18, 0) = INDEX(OFFSET($O$15,0,0,$B$8,$B$9), 1+AY$14, 0))
) / $B$13)</f>
        <v>0.9</v>
      </c>
      <c r="AZ18" cm="1">
        <f t="array" aca="1" ref="AZ18" ca="1">IF($AP18=AZ$14, 1, SUMPRODUCT(
    --(OFFSET($O$13,0,0,1,$B$9)=TRUE),
    --(INDEX(OFFSET($O$15,0,0,$B$8,$B$9), 1+$AP18, 0) = INDEX(OFFSET($O$15,0,0,$B$8,$B$9), 1+AZ$14, 0))
) / $B$13)</f>
        <v>0.9</v>
      </c>
      <c r="BA18" cm="1">
        <f t="array" aca="1" ref="BA18" ca="1">IF($AP18=BA$14, 1, SUMPRODUCT(
    --(OFFSET($O$13,0,0,1,$B$9)=TRUE),
    --(INDEX(OFFSET($O$15,0,0,$B$8,$B$9), 1+$AP18, 0) = INDEX(OFFSET($O$15,0,0,$B$8,$B$9), 1+BA$14, 0))
) / $B$13)</f>
        <v>0.9</v>
      </c>
      <c r="BB18" cm="1">
        <f t="array" aca="1" ref="BB18" ca="1">IF($AP18=BB$14, 1, SUMPRODUCT(
    --(OFFSET($O$13,0,0,1,$B$9)=TRUE),
    --(INDEX(OFFSET($O$15,0,0,$B$8,$B$9), 1+$AP18, 0) = INDEX(OFFSET($O$15,0,0,$B$8,$B$9), 1+BB$14, 0))
) / $B$13)</f>
        <v>0.9</v>
      </c>
      <c r="BC18" cm="1">
        <f t="array" aca="1" ref="BC18" ca="1">IF($AP18=BC$14, 1, SUMPRODUCT(
    --(OFFSET($O$13,0,0,1,$B$9)=TRUE),
    --(INDEX(OFFSET($O$15,0,0,$B$8,$B$9), 1+$AP18, 0) = INDEX(OFFSET($O$15,0,0,$B$8,$B$9), 1+BC$14, 0))
) / $B$13)</f>
        <v>0.9</v>
      </c>
      <c r="BD18" cm="1">
        <f t="array" aca="1" ref="BD18" ca="1">IF($AP18=BD$14, 1, SUMPRODUCT(
    --(OFFSET($O$13,0,0,1,$B$9)=TRUE),
    --(INDEX(OFFSET($O$15,0,0,$B$8,$B$9), 1+$AP18, 0) = INDEX(OFFSET($O$15,0,0,$B$8,$B$9), 1+BD$14, 0))
) / $B$13)</f>
        <v>0.85</v>
      </c>
      <c r="BE18" cm="1">
        <f t="array" aca="1" ref="BE18" ca="1">IF($AP18=BE$14, 1, SUMPRODUCT(
    --(OFFSET($O$13,0,0,1,$B$9)=TRUE),
    --(INDEX(OFFSET($O$15,0,0,$B$8,$B$9), 1+$AP18, 0) = INDEX(OFFSET($O$15,0,0,$B$8,$B$9), 1+BE$14, 0))
) / $B$13)</f>
        <v>0.8</v>
      </c>
      <c r="BF18" cm="1">
        <f t="array" aca="1" ref="BF18" ca="1">IF($AP18=BF$14, 1, SUMPRODUCT(
    --(OFFSET($O$13,0,0,1,$B$9)=TRUE),
    --(INDEX(OFFSET($O$15,0,0,$B$8,$B$9), 1+$AP18, 0) = INDEX(OFFSET($O$15,0,0,$B$8,$B$9), 1+BF$14, 0))
) / $B$13)</f>
        <v>0.8</v>
      </c>
      <c r="BG18" cm="1">
        <f t="array" aca="1" ref="BG18" ca="1">IF($AP18=BG$14, 1, SUMPRODUCT(
    --(OFFSET($O$13,0,0,1,$B$9)=TRUE),
    --(INDEX(OFFSET($O$15,0,0,$B$8,$B$9), 1+$AP18, 0) = INDEX(OFFSET($O$15,0,0,$B$8,$B$9), 1+BG$14, 0))
) / $B$13)</f>
        <v>0.85</v>
      </c>
      <c r="BH18" cm="1">
        <f t="array" aca="1" ref="BH18" ca="1">IF($AP18=BH$14, 1, SUMPRODUCT(
    --(OFFSET($O$13,0,0,1,$B$9)=TRUE),
    --(INDEX(OFFSET($O$15,0,0,$B$8,$B$9), 1+$AP18, 0) = INDEX(OFFSET($O$15,0,0,$B$8,$B$9), 1+BH$14, 0))
) / $B$13)</f>
        <v>0.8</v>
      </c>
      <c r="BI18" cm="1">
        <f t="array" aca="1" ref="BI18" ca="1">IF($AP18=BI$14, 1, SUMPRODUCT(
    --(OFFSET($O$13,0,0,1,$B$9)=TRUE),
    --(INDEX(OFFSET($O$15,0,0,$B$8,$B$9), 1+$AP18, 0) = INDEX(OFFSET($O$15,0,0,$B$8,$B$9), 1+BI$14, 0))
) / $B$13)</f>
        <v>0.85</v>
      </c>
      <c r="BJ18" cm="1">
        <f t="array" aca="1" ref="BJ18" ca="1">IF($AP18=BJ$14, 1, SUMPRODUCT(
    --(OFFSET($O$13,0,0,1,$B$9)=TRUE),
    --(INDEX(OFFSET($O$15,0,0,$B$8,$B$9), 1+$AP18, 0) = INDEX(OFFSET($O$15,0,0,$B$8,$B$9), 1+BJ$14, 0))
) / $B$13)</f>
        <v>0.85</v>
      </c>
      <c r="BN18">
        <f t="shared" ca="1" si="8"/>
        <v>4</v>
      </c>
      <c r="BO18" s="14">
        <f t="shared" ca="1" si="9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
) / $B$16)</f>
        <v>1</v>
      </c>
      <c r="BR18" cm="1">
        <f t="array" aca="1" ref="BR18" ca="1">IF($BP18=BR$14, 1, SUMPRODUCT(
    --(OFFSET($O$9,0,0,1,$B$9)=TRUE),
    --(INDEX(OFFSET($O$15,0,0,$B$8,$B$9), 1+$BP18, 0) = INDEX(OFFSET($O$15,0,0,$B$8,$B$9), 1+BR$14, 0))
) / $B$16)</f>
        <v>0.89473684210526316</v>
      </c>
      <c r="BS18" cm="1">
        <f t="array" aca="1" ref="BS18" ca="1">IF($BP18=BS$14, 1, SUMPRODUCT(
    --(OFFSET($O$9,0,0,1,$B$9)=TRUE),
    --(INDEX(OFFSET($O$15,0,0,$B$8,$B$9), 1+$BP18, 0) = INDEX(OFFSET($O$15,0,0,$B$8,$B$9), 1+BS$14, 0))
) / $B$16)</f>
        <v>1</v>
      </c>
      <c r="BT18" cm="1">
        <f t="array" aca="1" ref="BT18" ca="1">IF($BP18=BT$14, 1, SUMPRODUCT(
    --(OFFSET($O$9,0,0,1,$B$9)=TRUE),
    --(INDEX(OFFSET($O$15,0,0,$B$8,$B$9), 1+$BP18, 0) = INDEX(OFFSET($O$15,0,0,$B$8,$B$9), 1+BT$14, 0))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
) / $B$16)</f>
        <v>1</v>
      </c>
      <c r="BV18" cm="1">
        <f t="array" aca="1" ref="BV18" ca="1">IF($BP18=BV$14, 1, SUMPRODUCT(
    --(OFFSET($O$9,0,0,1,$B$9)=TRUE),
    --(INDEX(OFFSET($O$15,0,0,$B$8,$B$9), 1+$BP18, 0) = INDEX(OFFSET($O$15,0,0,$B$8,$B$9), 1+BV$14, 0))
) / $B$16)</f>
        <v>0.89473684210526316</v>
      </c>
      <c r="BW18" cm="1">
        <f t="array" aca="1" ref="BW18" ca="1">IF($BP18=BW$14, 1, SUMPRODUCT(
    --(OFFSET($O$9,0,0,1,$B$9)=TRUE),
    --(INDEX(OFFSET($O$15,0,0,$B$8,$B$9), 1+$BP18, 0) = INDEX(OFFSET($O$15,0,0,$B$8,$B$9), 1+BW$14, 0))
) / $B$16)</f>
        <v>0.84210526315789469</v>
      </c>
      <c r="BX18" cm="1">
        <f t="array" aca="1" ref="BX18" ca="1">IF($BP18=BX$14, 1, SUMPRODUCT(
    --(OFFSET($O$9,0,0,1,$B$9)=TRUE),
    --(INDEX(OFFSET($O$15,0,0,$B$8,$B$9), 1+$BP18, 0) = INDEX(OFFSET($O$15,0,0,$B$8,$B$9), 1+BX$14, 0))
) / $B$16)</f>
        <v>0.84210526315789469</v>
      </c>
      <c r="BY18" cm="1">
        <f t="array" aca="1" ref="BY18" ca="1">IF($BP18=BY$14, 1, SUMPRODUCT(
    --(OFFSET($O$9,0,0,1,$B$9)=TRUE),
    --(INDEX(OFFSET($O$15,0,0,$B$8,$B$9), 1+$BP18, 0) = INDEX(OFFSET($O$15,0,0,$B$8,$B$9), 1+BY$14, 0))
) / $B$16)</f>
        <v>0.89473684210526316</v>
      </c>
      <c r="BZ18" cm="1">
        <f t="array" aca="1" ref="BZ18" ca="1">IF($BP18=BZ$14, 1, SUMPRODUCT(
    --(OFFSET($O$9,0,0,1,$B$9)=TRUE),
    --(INDEX(OFFSET($O$15,0,0,$B$8,$B$9), 1+$BP18, 0) = INDEX(OFFSET($O$15,0,0,$B$8,$B$9), 1+BZ$14, 0))
) / $B$16)</f>
        <v>0.89473684210526316</v>
      </c>
      <c r="CA18" cm="1">
        <f t="array" aca="1" ref="CA18" ca="1">IF($BP18=CA$14, 1, SUMPRODUCT(
    --(OFFSET($O$9,0,0,1,$B$9)=TRUE),
    --(INDEX(OFFSET($O$15,0,0,$B$8,$B$9), 1+$BP18, 0) = INDEX(OFFSET($O$15,0,0,$B$8,$B$9), 1+CA$14, 0))
) / $B$16)</f>
        <v>0.89473684210526316</v>
      </c>
      <c r="CB18" cm="1">
        <f t="array" aca="1" ref="CB18" ca="1">IF($BP18=CB$14, 1, SUMPRODUCT(
    --(OFFSET($O$9,0,0,1,$B$9)=TRUE),
    --(INDEX(OFFSET($O$15,0,0,$B$8,$B$9), 1+$BP18, 0) = INDEX(OFFSET($O$15,0,0,$B$8,$B$9), 1+CB$14, 0))
) / $B$16)</f>
        <v>0.89473684210526316</v>
      </c>
      <c r="CC18" cm="1">
        <f t="array" aca="1" ref="CC18" ca="1">IF($BP18=CC$14, 1, SUMPRODUCT(
    --(OFFSET($O$9,0,0,1,$B$9)=TRUE),
    --(INDEX(OFFSET($O$15,0,0,$B$8,$B$9), 1+$BP18, 0) = INDEX(OFFSET($O$15,0,0,$B$8,$B$9), 1+CC$14, 0))
) / $B$16)</f>
        <v>0.89473684210526316</v>
      </c>
      <c r="CD18" cm="1">
        <f t="array" aca="1" ref="CD18" ca="1">IF($BP18=CD$14, 1, SUMPRODUCT(
    --(OFFSET($O$9,0,0,1,$B$9)=TRUE),
    --(INDEX(OFFSET($O$15,0,0,$B$8,$B$9), 1+$BP18, 0) = INDEX(OFFSET($O$15,0,0,$B$8,$B$9), 1+CD$14, 0))
) / $B$16)</f>
        <v>0.89473684210526316</v>
      </c>
      <c r="CE18" cm="1">
        <f t="array" aca="1" ref="CE18" ca="1">IF($BP18=CE$14, 1, SUMPRODUCT(
    --(OFFSET($O$9,0,0,1,$B$9)=TRUE),
    --(INDEX(OFFSET($O$15,0,0,$B$8,$B$9), 1+$BP18, 0) = INDEX(OFFSET($O$15,0,0,$B$8,$B$9), 1+CE$14, 0))
) / $B$16)</f>
        <v>0.84210526315789469</v>
      </c>
      <c r="CF18" cm="1">
        <f t="array" aca="1" ref="CF18" ca="1">IF($BP18=CF$14, 1, SUMPRODUCT(
    --(OFFSET($O$9,0,0,1,$B$9)=TRUE),
    --(INDEX(OFFSET($O$15,0,0,$B$8,$B$9), 1+$BP18, 0) = INDEX(OFFSET($O$15,0,0,$B$8,$B$9), 1+CF$14, 0))
) / $B$16)</f>
        <v>0.84210526315789469</v>
      </c>
      <c r="CG18" cm="1">
        <f t="array" aca="1" ref="CG18" ca="1">IF($BP18=CG$14, 1, SUMPRODUCT(
    --(OFFSET($O$9,0,0,1,$B$9)=TRUE),
    --(INDEX(OFFSET($O$15,0,0,$B$8,$B$9), 1+$BP18, 0) = INDEX(OFFSET($O$15,0,0,$B$8,$B$9), 1+CG$14, 0))
) / $B$16)</f>
        <v>0.89473684210526316</v>
      </c>
      <c r="CH18" cm="1">
        <f t="array" aca="1" ref="CH18" ca="1">IF($BP18=CH$14, 1, SUMPRODUCT(
    --(OFFSET($O$9,0,0,1,$B$9)=TRUE),
    --(INDEX(OFFSET($O$15,0,0,$B$8,$B$9), 1+$BP18, 0) = INDEX(OFFSET($O$15,0,0,$B$8,$B$9), 1+CH$14, 0))
) / $B$16)</f>
        <v>0.84210526315789469</v>
      </c>
      <c r="CI18" cm="1">
        <f t="array" aca="1" ref="CI18" ca="1">IF($BP18=CI$14, 1, SUMPRODUCT(
    --(OFFSET($O$9,0,0,1,$B$9)=TRUE),
    --(INDEX(OFFSET($O$15,0,0,$B$8,$B$9), 1+$BP18, 0) = INDEX(OFFSET($O$15,0,0,$B$8,$B$9), 1+CI$14, 0))
) / $B$16)</f>
        <v>0.89473684210526316</v>
      </c>
      <c r="CJ18" cm="1">
        <f t="array" aca="1" ref="CJ18" ca="1">IF($BP18=CJ$14, 1, SUMPRODUCT(
    --(OFFSET($O$9,0,0,1,$B$9)=TRUE),
    --(INDEX(OFFSET($O$15,0,0,$B$8,$B$9), 1+$BP18, 0) = INDEX(OFFSET($O$15,0,0,$B$8,$B$9), 1+CJ$14, 0))
) / $B$16)</f>
        <v>0.84210526315789469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3.3333333333333331E-3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3.3333333333333331E-3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3.3333333333333331E-3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3.3333333333333331E-3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3.3333333333333331E-3</v>
      </c>
      <c r="CV18" s="10" cm="1">
        <f t="array" aca="1" ref="CV18" ca="1">(1-$B$18)*SUMPRODUCT(OFFSET($BO$15,0,0,$B$14,1), 1*(_xlfn._xlws.FILTER(OFFSET($O$15,0,$CP18,$B$8,1), OFFSET($M$15,0,0,$B$8,1))=CV$14))   /   SUM(OFFSET($BO$15,0,0,$B$14,1)) + $B$18/$B$19</f>
        <v>3.3333333333333331E-3</v>
      </c>
      <c r="CW18" s="10" cm="1">
        <f t="array" aca="1" ref="CW18" ca="1">(1-$B$18)*SUMPRODUCT(OFFSET($BO$15,0,0,$B$14,1), 1*(_xlfn._xlws.FILTER(OFFSET($O$15,0,$CP18,$B$8,1), OFFSET($M$15,0,0,$B$8,1))=CW$14))   /   SUM(OFFSET($BO$15,0,0,$B$14,1)) + $B$18/$B$19</f>
        <v>3.3333333333333331E-3</v>
      </c>
      <c r="CX18" s="10" cm="1">
        <f t="array" aca="1" ref="CX18" ca="1">(1-$B$18)*SUMPRODUCT(OFFSET($BO$15,0,0,$B$14,1), 1*(_xlfn._xlws.FILTER(OFFSET($O$15,0,$CP18,$B$8,1), OFFSET($M$15,0,0,$B$8,1))=CX$14))   /   SUM(OFFSET($BO$15,0,0,$B$14,1)) + $B$18/$B$19</f>
        <v>0.97333333333333327</v>
      </c>
      <c r="CY18" s="10" cm="1">
        <f t="array" aca="1" ref="CY18" ca="1">(1-$B$18)*SUMPRODUCT(OFFSET($BO$15,0,0,$B$14,1), 1*(_xlfn._xlws.FILTER(OFFSET($O$15,0,$CP18,$B$8,1), OFFSET($M$15,0,0,$B$8,1))=CY$14))   /   SUM(OFFSET($BO$15,0,0,$B$14,1)) + $B$18/$B$19</f>
        <v>3.3333333333333331E-3</v>
      </c>
      <c r="DB18" s="10" cm="1">
        <f t="array" aca="1" ref="DB18" ca="1">SUM(OFFSET($CR18,0,0,1,$M$2)*LN(OFFSET($CR18,0,0,1,$M$2)/OFFSET($CR$11,0,0,1,$M$2)))+IF($CQ$11&gt;0,OFFSET($O$10,0,$CP18,1,1)*LN(OFFSET($O$10,0,$CP18,1,1)/$CQ$11),0)</f>
        <v>1.9131139043413501</v>
      </c>
      <c r="DC18">
        <f ca="1"/>
        <v>3</v>
      </c>
      <c r="DD18" s="10">
        <f t="shared" ca="1" si="11"/>
        <v>0.11767737994455678</v>
      </c>
      <c r="DE18" s="10">
        <f t="shared" ca="1" si="10"/>
        <v>0.11767737994455678</v>
      </c>
      <c r="DF18" s="10">
        <f t="shared" ca="1" si="10"/>
        <v>0.11767737994455678</v>
      </c>
      <c r="DG18" s="10">
        <f t="shared" ca="1" si="10"/>
        <v>0.11767737994455678</v>
      </c>
      <c r="DH18" s="10">
        <f t="shared" ca="1" si="10"/>
        <v>0.11767737994455678</v>
      </c>
      <c r="DI18" s="10">
        <f t="shared" ca="1" si="10"/>
        <v>0.11767737994455678</v>
      </c>
      <c r="DJ18" s="10">
        <f t="shared" ca="1" si="10"/>
        <v>1.9045936050347492</v>
      </c>
      <c r="DK18" s="10">
        <f t="shared" ca="1" si="10"/>
        <v>0.11767737994455678</v>
      </c>
      <c r="DN18" cm="1">
        <f t="array" aca="1" ref="DN18" ca="1">INDEX(_xlfn.ANCHORARRAY($CP$15), 1 + INT((ROWS($DO$15:$DO18) - 1) / ROWS(_xlfn.ANCHORARRAY($CP$15))))</f>
        <v>0</v>
      </c>
      <c r="DO18" cm="1">
        <f t="array" aca="1" ref="DO18" ca="1">INDEX(_xlfn.ANCHORARRAY($CP$15),1+MOD(ROWS($DO$15:$DO18)-1,ROWS(_xlfn.ANCHORARRAY($CP$15))))</f>
        <v>3</v>
      </c>
      <c r="DP18" s="10" cm="1">
        <f t="array" aca="1" ref="DP18" ca="1">(1-$B$18)*SUMPRODUCT(OFFSET($BO$15,0,0,$B$14,1), 1*(_xlfn._xlws.FILTER(OFFSET($O$15,0,$DN18,$B$8,1),OFFSET($M$15,0,0,$B$8,1))=DP$13), 1*(_xlfn._xlws.FILTER(OFFSET($O$15,0,$DO18,$B$8,1),OFFSET($M$15,0,0,$B$8,1))=DP$14))   /   SUM(OFFSET($BO$15,0,0,$B$14,1)) + $B$18/($B$19*$B$19*($DN18&lt;&gt;$DO18) + $B$19*($DN18=$DO18))</f>
        <v>3.7037037037037035E-4</v>
      </c>
      <c r="DQ18" s="10" cm="1">
        <f t="array" aca="1" ref="DQ18" ca="1">(1-$B$18)*SUMPRODUCT(OFFSET($BO$15,0,0,$B$14,1), 1*(_xlfn._xlws.FILTER(OFFSET($O$15,0,$DN18,$B$8,1),OFFSET($M$15,0,0,$B$8,1))=DQ$13), 1*(_xlfn._xlws.FILTER(OFFSET($O$15,0,$DO18,$B$8,1),OFFSET($M$15,0,0,$B$8,1))=DQ$14))   /   SUM(OFFSET($BO$15,0,0,$B$14,1)) + $B$18/($B$19*$B$19*($DN18&lt;&gt;$DO18) + $B$19*($DN18=$DO18))</f>
        <v>3.7037037037037035E-4</v>
      </c>
      <c r="DR18" s="10" cm="1">
        <f t="array" aca="1" ref="DR18" ca="1">(1-$B$18)*SUMPRODUCT(OFFSET($BO$15,0,0,$B$14,1), 1*(_xlfn._xlws.FILTER(OFFSET($O$15,0,$DN18,$B$8,1),OFFSET($M$15,0,0,$B$8,1))=DR$13), 1*(_xlfn._xlws.FILTER(OFFSET($O$15,0,$DO18,$B$8,1),OFFSET($M$15,0,0,$B$8,1))=DR$14))   /   SUM(OFFSET($BO$15,0,0,$B$14,1)) + $B$18/($B$19*$B$19*($DN18&lt;&gt;$DO18) + $B$19*($DN18=$DO18))</f>
        <v>3.7037037037037035E-4</v>
      </c>
      <c r="DS18" s="10" cm="1">
        <f t="array" aca="1" ref="DS18" ca="1">(1-$B$18)*SUMPRODUCT(OFFSET($BO$15,0,0,$B$14,1), 1*(_xlfn._xlws.FILTER(OFFSET($O$15,0,$DN18,$B$8,1),OFFSET($M$15,0,0,$B$8,1))=DS$13), 1*(_xlfn._xlws.FILTER(OFFSET($O$15,0,$DO18,$B$8,1),OFFSET($M$15,0,0,$B$8,1))=DS$14))   /   SUM(OFFSET($BO$15,0,0,$B$14,1)) + $B$18/($B$19*$B$19*($DN18&lt;&gt;$DO18) + $B$19*($DN18=$DO18))</f>
        <v>3.7037037037037035E-4</v>
      </c>
      <c r="DT18" s="10" cm="1">
        <f t="array" aca="1" ref="DT18" ca="1">(1-$B$18)*SUMPRODUCT(OFFSET($BO$15,0,0,$B$14,1), 1*(_xlfn._xlws.FILTER(OFFSET($O$15,0,$DN18,$B$8,1),OFFSET($M$15,0,0,$B$8,1))=DT$13), 1*(_xlfn._xlws.FILTER(OFFSET($O$15,0,$DO18,$B$8,1),OFFSET($M$15,0,0,$B$8,1))=DT$14))   /   SUM(OFFSET($BO$15,0,0,$B$14,1)) + $B$18/($B$19*$B$19*($DN18&lt;&gt;$DO18) + $B$19*($DN18=$DO18))</f>
        <v>3.7037037037037035E-4</v>
      </c>
      <c r="DU18" s="10" cm="1">
        <f t="array" aca="1" ref="DU18" ca="1">(1-$B$18)*SUMPRODUCT(OFFSET($BO$15,0,0,$B$14,1), 1*(_xlfn._xlws.FILTER(OFFSET($O$15,0,$DN18,$B$8,1),OFFSET($M$15,0,0,$B$8,1))=DU$13), 1*(_xlfn._xlws.FILTER(OFFSET($O$15,0,$DO18,$B$8,1),OFFSET($M$15,0,0,$B$8,1))=DU$14))   /   SUM(OFFSET($BO$15,0,0,$B$14,1)) + $B$18/($B$19*$B$19*($DN18&lt;&gt;$DO18) + $B$19*($DN18=$DO18))</f>
        <v>3.7037037037037035E-4</v>
      </c>
      <c r="DV18" s="10" cm="1">
        <f t="array" aca="1" ref="DV18" ca="1">(1-$B$18)*SUMPRODUCT(OFFSET($BO$15,0,0,$B$14,1), 1*(_xlfn._xlws.FILTER(OFFSET($O$15,0,$DN18,$B$8,1),OFFSET($M$15,0,0,$B$8,1))=DV$13), 1*(_xlfn._xlws.FILTER(OFFSET($O$15,0,$DO18,$B$8,1),OFFSET($M$15,0,0,$B$8,1))=DV$14))   /   SUM(OFFSET($BO$15,0,0,$B$14,1)) + $B$18/($B$19*$B$19*($DN18&lt;&gt;$DO18) + $B$19*($DN18=$DO18))</f>
        <v>3.7037037037037035E-4</v>
      </c>
      <c r="DW18" s="10" cm="1">
        <f t="array" aca="1" ref="DW18" ca="1">(1-$B$18)*SUMPRODUCT(OFFSET($BO$15,0,0,$B$14,1), 1*(_xlfn._xlws.FILTER(OFFSET($O$15,0,$DN18,$B$8,1),OFFSET($M$15,0,0,$B$8,1))=DW$13), 1*(_xlfn._xlws.FILTER(OFFSET($O$15,0,$DO18,$B$8,1),OFFSET($M$15,0,0,$B$8,1))=DW$14))   /   SUM(OFFSET($BO$15,0,0,$B$14,1)) + $B$18/($B$19*$B$19*($DN18&lt;&gt;$DO18) + $B$19*($DN18=$DO18))</f>
        <v>3.7037037037037035E-4</v>
      </c>
      <c r="DX18" s="10" cm="1">
        <f t="array" aca="1" ref="DX18" ca="1">(1-$B$18)*SUMPRODUCT(OFFSET($BO$15,0,0,$B$14,1), 1*(_xlfn._xlws.FILTER(OFFSET($O$15,0,$DN18,$B$8,1),OFFSET($M$15,0,0,$B$8,1))=DX$13), 1*(_xlfn._xlws.FILTER(OFFSET($O$15,0,$DO18,$B$8,1),OFFSET($M$15,0,0,$B$8,1))=DX$14))   /   SUM(OFFSET($BO$15,0,0,$B$14,1)) + $B$18/($B$19*$B$19*($DN18&lt;&gt;$DO18) + $B$19*($DN18=$DO18))</f>
        <v>3.7037037037037035E-4</v>
      </c>
      <c r="DY18" s="10" cm="1">
        <f t="array" aca="1" ref="DY18" ca="1">(1-$B$18)*SUMPRODUCT(OFFSET($BO$15,0,0,$B$14,1), 1*(_xlfn._xlws.FILTER(OFFSET($O$15,0,$DN18,$B$8,1),OFFSET($M$15,0,0,$B$8,1))=DY$13), 1*(_xlfn._xlws.FILTER(OFFSET($O$15,0,$DO18,$B$8,1),OFFSET($M$15,0,0,$B$8,1))=DY$14))   /   SUM(OFFSET($BO$15,0,0,$B$14,1)) + $B$18/($B$19*$B$19*($DN18&lt;&gt;$DO18) + $B$19*($DN18=$DO18))</f>
        <v>3.7037037037037035E-4</v>
      </c>
      <c r="DZ18" s="10" cm="1">
        <f t="array" aca="1" ref="DZ18" ca="1">(1-$B$18)*SUMPRODUCT(OFFSET($BO$15,0,0,$B$14,1), 1*(_xlfn._xlws.FILTER(OFFSET($O$15,0,$DN18,$B$8,1),OFFSET($M$15,0,0,$B$8,1))=DZ$13), 1*(_xlfn._xlws.FILTER(OFFSET($O$15,0,$DO18,$B$8,1),OFFSET($M$15,0,0,$B$8,1))=DZ$14))   /   SUM(OFFSET($BO$15,0,0,$B$14,1)) + $B$18/($B$19*$B$19*($DN18&lt;&gt;$DO18) + $B$19*($DN18=$DO18))</f>
        <v>3.7037037037037035E-4</v>
      </c>
      <c r="EA18" s="10" cm="1">
        <f t="array" aca="1" ref="EA18" ca="1">(1-$B$18)*SUMPRODUCT(OFFSET($BO$15,0,0,$B$14,1), 1*(_xlfn._xlws.FILTER(OFFSET($O$15,0,$DN18,$B$8,1),OFFSET($M$15,0,0,$B$8,1))=EA$13), 1*(_xlfn._xlws.FILTER(OFFSET($O$15,0,$DO18,$B$8,1),OFFSET($M$15,0,0,$B$8,1))=EA$14))   /   SUM(OFFSET($BO$15,0,0,$B$14,1)) + $B$18/($B$19*$B$19*($DN18&lt;&gt;$DO18) + $B$19*($DN18=$DO18))</f>
        <v>3.7037037037037035E-4</v>
      </c>
      <c r="EB18" s="10" cm="1">
        <f t="array" aca="1" ref="EB18" ca="1">(1-$B$18)*SUMPRODUCT(OFFSET($BO$15,0,0,$B$14,1), 1*(_xlfn._xlws.FILTER(OFFSET($O$15,0,$DN18,$B$8,1),OFFSET($M$15,0,0,$B$8,1))=EB$13), 1*(_xlfn._xlws.FILTER(OFFSET($O$15,0,$DO18,$B$8,1),OFFSET($M$15,0,0,$B$8,1))=EB$14))   /   SUM(OFFSET($BO$15,0,0,$B$14,1)) + $B$18/($B$19*$B$19*($DN18&lt;&gt;$DO18) + $B$19*($DN18=$DO18))</f>
        <v>3.7037037037037035E-4</v>
      </c>
      <c r="EC18" s="10" cm="1">
        <f t="array" aca="1" ref="EC18" ca="1">(1-$B$18)*SUMPRODUCT(OFFSET($BO$15,0,0,$B$14,1), 1*(_xlfn._xlws.FILTER(OFFSET($O$15,0,$DN18,$B$8,1),OFFSET($M$15,0,0,$B$8,1))=EC$13), 1*(_xlfn._xlws.FILTER(OFFSET($O$15,0,$DO18,$B$8,1),OFFSET($M$15,0,0,$B$8,1))=EC$14))   /   SUM(OFFSET($BO$15,0,0,$B$14,1)) + $B$18/($B$19*$B$19*($DN18&lt;&gt;$DO18) + $B$19*($DN18=$DO18))</f>
        <v>3.7037037037037035E-4</v>
      </c>
      <c r="ED18" s="10" cm="1">
        <f t="array" aca="1" ref="ED18" ca="1">(1-$B$18)*SUMPRODUCT(OFFSET($BO$15,0,0,$B$14,1), 1*(_xlfn._xlws.FILTER(OFFSET($O$15,0,$DN18,$B$8,1),OFFSET($M$15,0,0,$B$8,1))=ED$13), 1*(_xlfn._xlws.FILTER(OFFSET($O$15,0,$DO18,$B$8,1),OFFSET($M$15,0,0,$B$8,1))=ED$14))   /   SUM(OFFSET($BO$15,0,0,$B$14,1)) + $B$18/($B$19*$B$19*($DN18&lt;&gt;$DO18) + $B$19*($DN18=$DO18))</f>
        <v>3.7037037037037035E-4</v>
      </c>
      <c r="EE18" s="10" cm="1">
        <f t="array" aca="1" ref="EE18" ca="1">(1-$B$18)*SUMPRODUCT(OFFSET($BO$15,0,0,$B$14,1), 1*(_xlfn._xlws.FILTER(OFFSET($O$15,0,$DN18,$B$8,1),OFFSET($M$15,0,0,$B$8,1))=EE$13), 1*(_xlfn._xlws.FILTER(OFFSET($O$15,0,$DO18,$B$8,1),OFFSET($M$15,0,0,$B$8,1))=EE$14))   /   SUM(OFFSET($BO$15,0,0,$B$14,1)) + $B$18/($B$19*$B$19*($DN18&lt;&gt;$DO18) + $B$19*($DN18=$DO18))</f>
        <v>3.7037037037037035E-4</v>
      </c>
      <c r="EF18" s="10" cm="1">
        <f t="array" aca="1" ref="EF18" ca="1">(1-$B$18)*SUMPRODUCT(OFFSET($BO$15,0,0,$B$14,1), 1*(_xlfn._xlws.FILTER(OFFSET($O$15,0,$DN18,$B$8,1),OFFSET($M$15,0,0,$B$8,1))=EF$13), 1*(_xlfn._xlws.FILTER(OFFSET($O$15,0,$DO18,$B$8,1),OFFSET($M$15,0,0,$B$8,1))=EF$14))   /   SUM(OFFSET($BO$15,0,0,$B$14,1)) + $B$18/($B$19*$B$19*($DN18&lt;&gt;$DO18) + $B$19*($DN18=$DO18))</f>
        <v>3.7037037037037035E-4</v>
      </c>
      <c r="EG18" s="10" cm="1">
        <f t="array" aca="1" ref="EG18" ca="1">(1-$B$18)*SUMPRODUCT(OFFSET($BO$15,0,0,$B$14,1), 1*(_xlfn._xlws.FILTER(OFFSET($O$15,0,$DN18,$B$8,1),OFFSET($M$15,0,0,$B$8,1))=EG$13), 1*(_xlfn._xlws.FILTER(OFFSET($O$15,0,$DO18,$B$8,1),OFFSET($M$15,0,0,$B$8,1))=EG$14))   /   SUM(OFFSET($BO$15,0,0,$B$14,1)) + $B$18/($B$19*$B$19*($DN18&lt;&gt;$DO18) + $B$19*($DN18=$DO18))</f>
        <v>3.7037037037037035E-4</v>
      </c>
      <c r="EH18" s="10" cm="1">
        <f t="array" aca="1" ref="EH18" ca="1">(1-$B$18)*SUMPRODUCT(OFFSET($BO$15,0,0,$B$14,1), 1*(_xlfn._xlws.FILTER(OFFSET($O$15,0,$DN18,$B$8,1),OFFSET($M$15,0,0,$B$8,1))=EH$13), 1*(_xlfn._xlws.FILTER(OFFSET($O$15,0,$DO18,$B$8,1),OFFSET($M$15,0,0,$B$8,1))=EH$14))   /   SUM(OFFSET($BO$15,0,0,$B$14,1)) + $B$18/($B$19*$B$19*($DN18&lt;&gt;$DO18) + $B$19*($DN18=$DO18))</f>
        <v>3.7037037037037035E-4</v>
      </c>
      <c r="EI18" s="10" cm="1">
        <f t="array" aca="1" ref="EI18" ca="1">(1-$B$18)*SUMPRODUCT(OFFSET($BO$15,0,0,$B$14,1), 1*(_xlfn._xlws.FILTER(OFFSET($O$15,0,$DN18,$B$8,1),OFFSET($M$15,0,0,$B$8,1))=EI$13), 1*(_xlfn._xlws.FILTER(OFFSET($O$15,0,$DO18,$B$8,1),OFFSET($M$15,0,0,$B$8,1))=EI$14))   /   SUM(OFFSET($BO$15,0,0,$B$14,1)) + $B$18/($B$19*$B$19*($DN18&lt;&gt;$DO18) + $B$19*($DN18=$DO18))</f>
        <v>3.7037037037037035E-4</v>
      </c>
      <c r="EJ18" s="10" cm="1">
        <f t="array" aca="1" ref="EJ18" ca="1">(1-$B$18)*SUMPRODUCT(OFFSET($BO$15,0,0,$B$14,1), 1*(_xlfn._xlws.FILTER(OFFSET($O$15,0,$DN18,$B$8,1),OFFSET($M$15,0,0,$B$8,1))=EJ$13), 1*(_xlfn._xlws.FILTER(OFFSET($O$15,0,$DO18,$B$8,1),OFFSET($M$15,0,0,$B$8,1))=EJ$14))   /   SUM(OFFSET($BO$15,0,0,$B$14,1)) + $B$18/($B$19*$B$19*($DN18&lt;&gt;$DO18) + $B$19*($DN18=$DO18))</f>
        <v>3.7037037037037035E-4</v>
      </c>
      <c r="EK18" s="10" cm="1">
        <f t="array" aca="1" ref="EK18" ca="1">(1-$B$18)*SUMPRODUCT(OFFSET($BO$15,0,0,$B$14,1), 1*(_xlfn._xlws.FILTER(OFFSET($O$15,0,$DN18,$B$8,1),OFFSET($M$15,0,0,$B$8,1))=EK$13), 1*(_xlfn._xlws.FILTER(OFFSET($O$15,0,$DO18,$B$8,1),OFFSET($M$15,0,0,$B$8,1))=EK$14))   /   SUM(OFFSET($BO$15,0,0,$B$14,1)) + $B$18/($B$19*$B$19*($DN18&lt;&gt;$DO18) + $B$19*($DN18=$DO18))</f>
        <v>3.7037037037037035E-4</v>
      </c>
      <c r="EL18" s="10" cm="1">
        <f t="array" aca="1" ref="EL18" ca="1">(1-$B$18)*SUMPRODUCT(OFFSET($BO$15,0,0,$B$14,1), 1*(_xlfn._xlws.FILTER(OFFSET($O$15,0,$DN18,$B$8,1),OFFSET($M$15,0,0,$B$8,1))=EL$13), 1*(_xlfn._xlws.FILTER(OFFSET($O$15,0,$DO18,$B$8,1),OFFSET($M$15,0,0,$B$8,1))=EL$14))   /   SUM(OFFSET($BO$15,0,0,$B$14,1)) + $B$18/($B$19*$B$19*($DN18&lt;&gt;$DO18) + $B$19*($DN18=$DO18))</f>
        <v>3.7037037037037035E-4</v>
      </c>
      <c r="EM18" s="10" cm="1">
        <f t="array" aca="1" ref="EM18" ca="1">(1-$B$18)*SUMPRODUCT(OFFSET($BO$15,0,0,$B$14,1), 1*(_xlfn._xlws.FILTER(OFFSET($O$15,0,$DN18,$B$8,1),OFFSET($M$15,0,0,$B$8,1))=EM$13), 1*(_xlfn._xlws.FILTER(OFFSET($O$15,0,$DO18,$B$8,1),OFFSET($M$15,0,0,$B$8,1))=EM$14))   /   SUM(OFFSET($BO$15,0,0,$B$14,1)) + $B$18/($B$19*$B$19*($DN18&lt;&gt;$DO18) + $B$19*($DN18=$DO18))</f>
        <v>3.7037037037037035E-4</v>
      </c>
      <c r="EN18" s="10" cm="1">
        <f t="array" aca="1" ref="EN18" ca="1">(1-$B$18)*SUMPRODUCT(OFFSET($BO$15,0,0,$B$14,1), 1*(_xlfn._xlws.FILTER(OFFSET($O$15,0,$DN18,$B$8,1),OFFSET($M$15,0,0,$B$8,1))=EN$13), 1*(_xlfn._xlws.FILTER(OFFSET($O$15,0,$DO18,$B$8,1),OFFSET($M$15,0,0,$B$8,1))=EN$14))   /   SUM(OFFSET($BO$15,0,0,$B$14,1)) + $B$18/($B$19*$B$19*($DN18&lt;&gt;$DO18) + $B$19*($DN18=$DO18))</f>
        <v>3.7037037037037035E-4</v>
      </c>
      <c r="EO18" s="10" cm="1">
        <f t="array" aca="1" ref="EO18" ca="1">(1-$B$18)*SUMPRODUCT(OFFSET($BO$15,0,0,$B$14,1), 1*(_xlfn._xlws.FILTER(OFFSET($O$15,0,$DN18,$B$8,1),OFFSET($M$15,0,0,$B$8,1))=EO$13), 1*(_xlfn._xlws.FILTER(OFFSET($O$15,0,$DO18,$B$8,1),OFFSET($M$15,0,0,$B$8,1))=EO$14))   /   SUM(OFFSET($BO$15,0,0,$B$14,1)) + $B$18/($B$19*$B$19*($DN18&lt;&gt;$DO18) + $B$19*($DN18=$DO18))</f>
        <v>3.7037037037037035E-4</v>
      </c>
      <c r="EP18" s="10" cm="1">
        <f t="array" aca="1" ref="EP18" ca="1">(1-$B$18)*SUMPRODUCT(OFFSET($BO$15,0,0,$B$14,1), 1*(_xlfn._xlws.FILTER(OFFSET($O$15,0,$DN18,$B$8,1),OFFSET($M$15,0,0,$B$8,1))=EP$13), 1*(_xlfn._xlws.FILTER(OFFSET($O$15,0,$DO18,$B$8,1),OFFSET($M$15,0,0,$B$8,1))=EP$14))   /   SUM(OFFSET($BO$15,0,0,$B$14,1)) + $B$18/($B$19*$B$19*($DN18&lt;&gt;$DO18) + $B$19*($DN18=$DO18))</f>
        <v>3.7037037037037035E-4</v>
      </c>
      <c r="EQ18" s="10" cm="1">
        <f t="array" aca="1" ref="EQ18" ca="1">(1-$B$18)*SUMPRODUCT(OFFSET($BO$15,0,0,$B$14,1), 1*(_xlfn._xlws.FILTER(OFFSET($O$15,0,$DN18,$B$8,1),OFFSET($M$15,0,0,$B$8,1))=EQ$13), 1*(_xlfn._xlws.FILTER(OFFSET($O$15,0,$DO18,$B$8,1),OFFSET($M$15,0,0,$B$8,1))=EQ$14))   /   SUM(OFFSET($BO$15,0,0,$B$14,1)) + $B$18/($B$19*$B$19*($DN18&lt;&gt;$DO18) + $B$19*($DN18=$DO18))</f>
        <v>3.7037037037037035E-4</v>
      </c>
      <c r="ER18" s="10" cm="1">
        <f t="array" aca="1" ref="ER18" ca="1">(1-$B$18)*SUMPRODUCT(OFFSET($BO$15,0,0,$B$14,1), 1*(_xlfn._xlws.FILTER(OFFSET($O$15,0,$DN18,$B$8,1),OFFSET($M$15,0,0,$B$8,1))=ER$13), 1*(_xlfn._xlws.FILTER(OFFSET($O$15,0,$DO18,$B$8,1),OFFSET($M$15,0,0,$B$8,1))=ER$14))   /   SUM(OFFSET($BO$15,0,0,$B$14,1)) + $B$18/($B$19*$B$19*($DN18&lt;&gt;$DO18) + $B$19*($DN18=$DO18))</f>
        <v>3.7037037037037035E-4</v>
      </c>
      <c r="ES18" s="10" cm="1">
        <f t="array" aca="1" ref="ES18" ca="1">(1-$B$18)*SUMPRODUCT(OFFSET($BO$15,0,0,$B$14,1), 1*(_xlfn._xlws.FILTER(OFFSET($O$15,0,$DN18,$B$8,1),OFFSET($M$15,0,0,$B$8,1))=ES$13), 1*(_xlfn._xlws.FILTER(OFFSET($O$15,0,$DO18,$B$8,1),OFFSET($M$15,0,0,$B$8,1))=ES$14))   /   SUM(OFFSET($BO$15,0,0,$B$14,1)) + $B$18/($B$19*$B$19*($DN18&lt;&gt;$DO18) + $B$19*($DN18=$DO18))</f>
        <v>3.7037037037037035E-4</v>
      </c>
      <c r="ET18" s="10" cm="1">
        <f t="array" aca="1" ref="ET18" ca="1">(1-$B$18)*SUMPRODUCT(OFFSET($BO$15,0,0,$B$14,1), 1*(_xlfn._xlws.FILTER(OFFSET($O$15,0,$DN18,$B$8,1),OFFSET($M$15,0,0,$B$8,1))=ET$13), 1*(_xlfn._xlws.FILTER(OFFSET($O$15,0,$DO18,$B$8,1),OFFSET($M$15,0,0,$B$8,1))=ET$14))   /   SUM(OFFSET($BO$15,0,0,$B$14,1)) + $B$18/($B$19*$B$19*($DN18&lt;&gt;$DO18) + $B$19*($DN18=$DO18))</f>
        <v>3.7037037037037035E-4</v>
      </c>
      <c r="EU18" s="10" cm="1">
        <f t="array" aca="1" ref="EU18" ca="1">(1-$B$18)*SUMPRODUCT(OFFSET($BO$15,0,0,$B$14,1), 1*(_xlfn._xlws.FILTER(OFFSET($O$15,0,$DN18,$B$8,1),OFFSET($M$15,0,0,$B$8,1))=EU$13), 1*(_xlfn._xlws.FILTER(OFFSET($O$15,0,$DO18,$B$8,1),OFFSET($M$15,0,0,$B$8,1))=EU$14))   /   SUM(OFFSET($BO$15,0,0,$B$14,1)) + $B$18/($B$19*$B$19*($DN18&lt;&gt;$DO18) + $B$19*($DN18=$DO18))</f>
        <v>3.7037037037037035E-4</v>
      </c>
      <c r="EV18" s="10" cm="1">
        <f t="array" aca="1" ref="EV18" ca="1">(1-$B$18)*SUMPRODUCT(OFFSET($BO$15,0,0,$B$14,1), 1*(_xlfn._xlws.FILTER(OFFSET($O$15,0,$DN18,$B$8,1),OFFSET($M$15,0,0,$B$8,1))=EV$13), 1*(_xlfn._xlws.FILTER(OFFSET($O$15,0,$DO18,$B$8,1),OFFSET($M$15,0,0,$B$8,1))=EV$14))   /   SUM(OFFSET($BO$15,0,0,$B$14,1)) + $B$18/($B$19*$B$19*($DN18&lt;&gt;$DO18) + $B$19*($DN18=$DO18))</f>
        <v>3.7037037037037035E-4</v>
      </c>
      <c r="EW18" s="10" cm="1">
        <f t="array" aca="1" ref="EW18" ca="1">(1-$B$18)*SUMPRODUCT(OFFSET($BO$15,0,0,$B$14,1), 1*(_xlfn._xlws.FILTER(OFFSET($O$15,0,$DN18,$B$8,1),OFFSET($M$15,0,0,$B$8,1))=EW$13), 1*(_xlfn._xlws.FILTER(OFFSET($O$15,0,$DO18,$B$8,1),OFFSET($M$15,0,0,$B$8,1))=EW$14))   /   SUM(OFFSET($BO$15,0,0,$B$14,1)) + $B$18/($B$19*$B$19*($DN18&lt;&gt;$DO18) + $B$19*($DN18=$DO18))</f>
        <v>3.7037037037037035E-4</v>
      </c>
      <c r="EX18" s="10" cm="1">
        <f t="array" aca="1" ref="EX18" ca="1">(1-$B$18)*SUMPRODUCT(OFFSET($BO$15,0,0,$B$14,1), 1*(_xlfn._xlws.FILTER(OFFSET($O$15,0,$DN18,$B$8,1),OFFSET($M$15,0,0,$B$8,1))=EX$13), 1*(_xlfn._xlws.FILTER(OFFSET($O$15,0,$DO18,$B$8,1),OFFSET($M$15,0,0,$B$8,1))=EX$14))   /   SUM(OFFSET($BO$15,0,0,$B$14,1)) + $B$18/($B$19*$B$19*($DN18&lt;&gt;$DO18) + $B$19*($DN18=$DO18))</f>
        <v>3.7037037037037035E-4</v>
      </c>
      <c r="EY18" s="10" cm="1">
        <f t="array" aca="1" ref="EY18" ca="1">(1-$B$18)*SUMPRODUCT(OFFSET($BO$15,0,0,$B$14,1), 1*(_xlfn._xlws.FILTER(OFFSET($O$15,0,$DN18,$B$8,1),OFFSET($M$15,0,0,$B$8,1))=EY$13), 1*(_xlfn._xlws.FILTER(OFFSET($O$15,0,$DO18,$B$8,1),OFFSET($M$15,0,0,$B$8,1))=EY$14))   /   SUM(OFFSET($BO$15,0,0,$B$14,1)) + $B$18/($B$19*$B$19*($DN18&lt;&gt;$DO18) + $B$19*($DN18=$DO18))</f>
        <v>3.7037037037037035E-4</v>
      </c>
      <c r="EZ18" s="10" cm="1">
        <f t="array" aca="1" ref="EZ18" ca="1">(1-$B$18)*SUMPRODUCT(OFFSET($BO$15,0,0,$B$14,1), 1*(_xlfn._xlws.FILTER(OFFSET($O$15,0,$DN18,$B$8,1),OFFSET($M$15,0,0,$B$8,1))=EZ$13), 1*(_xlfn._xlws.FILTER(OFFSET($O$15,0,$DO18,$B$8,1),OFFSET($M$15,0,0,$B$8,1))=EZ$14))   /   SUM(OFFSET($BO$15,0,0,$B$14,1)) + $B$18/($B$19*$B$19*($DN18&lt;&gt;$DO18) + $B$19*($DN18=$DO18))</f>
        <v>3.7037037037037035E-4</v>
      </c>
      <c r="FA18" s="10" cm="1">
        <f t="array" aca="1" ref="FA18" ca="1">(1-$B$18)*SUMPRODUCT(OFFSET($BO$15,0,0,$B$14,1), 1*(_xlfn._xlws.FILTER(OFFSET($O$15,0,$DN18,$B$8,1),OFFSET($M$15,0,0,$B$8,1))=FA$13), 1*(_xlfn._xlws.FILTER(OFFSET($O$15,0,$DO18,$B$8,1),OFFSET($M$15,0,0,$B$8,1))=FA$14))   /   SUM(OFFSET($BO$15,0,0,$B$14,1)) + $B$18/($B$19*$B$19*($DN18&lt;&gt;$DO18) + $B$19*($DN18=$DO18))</f>
        <v>3.7037037037037035E-4</v>
      </c>
      <c r="FB18" s="10" cm="1">
        <f t="array" aca="1" ref="FB18" ca="1">(1-$B$18)*SUMPRODUCT(OFFSET($BO$15,0,0,$B$14,1), 1*(_xlfn._xlws.FILTER(OFFSET($O$15,0,$DN18,$B$8,1),OFFSET($M$15,0,0,$B$8,1))=FB$13), 1*(_xlfn._xlws.FILTER(OFFSET($O$15,0,$DO18,$B$8,1),OFFSET($M$15,0,0,$B$8,1))=FB$14))   /   SUM(OFFSET($BO$15,0,0,$B$14,1)) + $B$18/($B$19*$B$19*($DN18&lt;&gt;$DO18) + $B$19*($DN18=$DO18))</f>
        <v>3.7037037037037035E-4</v>
      </c>
      <c r="FC18" s="10" cm="1">
        <f t="array" aca="1" ref="FC18" ca="1">(1-$B$18)*SUMPRODUCT(OFFSET($BO$15,0,0,$B$14,1), 1*(_xlfn._xlws.FILTER(OFFSET($O$15,0,$DN18,$B$8,1),OFFSET($M$15,0,0,$B$8,1))=FC$13), 1*(_xlfn._xlws.FILTER(OFFSET($O$15,0,$DO18,$B$8,1),OFFSET($M$15,0,0,$B$8,1))=FC$14))   /   SUM(OFFSET($BO$15,0,0,$B$14,1)) + $B$18/($B$19*$B$19*($DN18&lt;&gt;$DO18) + $B$19*($DN18=$DO18))</f>
        <v>3.7037037037037035E-4</v>
      </c>
      <c r="FD18" s="10" cm="1">
        <f t="array" aca="1" ref="FD18" ca="1">(1-$B$18)*SUMPRODUCT(OFFSET($BO$15,0,0,$B$14,1), 1*(_xlfn._xlws.FILTER(OFFSET($O$15,0,$DN18,$B$8,1),OFFSET($M$15,0,0,$B$8,1))=FD$13), 1*(_xlfn._xlws.FILTER(OFFSET($O$15,0,$DO18,$B$8,1),OFFSET($M$15,0,0,$B$8,1))=FD$14))   /   SUM(OFFSET($BO$15,0,0,$B$14,1)) + $B$18/($B$19*$B$19*($DN18&lt;&gt;$DO18) + $B$19*($DN18=$DO18))</f>
        <v>3.7037037037037035E-4</v>
      </c>
      <c r="FE18" s="10" cm="1">
        <f t="array" aca="1" ref="FE18" ca="1">(1-$B$18)*SUMPRODUCT(OFFSET($BO$15,0,0,$B$14,1), 1*(_xlfn._xlws.FILTER(OFFSET($O$15,0,$DN18,$B$8,1),OFFSET($M$15,0,0,$B$8,1))=FE$13), 1*(_xlfn._xlws.FILTER(OFFSET($O$15,0,$DO18,$B$8,1),OFFSET($M$15,0,0,$B$8,1))=FE$14))   /   SUM(OFFSET($BO$15,0,0,$B$14,1)) + $B$18/($B$19*$B$19*($DN18&lt;&gt;$DO18) + $B$19*($DN18=$DO18))</f>
        <v>3.7037037037037035E-4</v>
      </c>
      <c r="FF18" s="10" cm="1">
        <f t="array" aca="1" ref="FF18" ca="1">(1-$B$18)*SUMPRODUCT(OFFSET($BO$15,0,0,$B$14,1), 1*(_xlfn._xlws.FILTER(OFFSET($O$15,0,$DN18,$B$8,1),OFFSET($M$15,0,0,$B$8,1))=FF$13), 1*(_xlfn._xlws.FILTER(OFFSET($O$15,0,$DO18,$B$8,1),OFFSET($M$15,0,0,$B$8,1))=FF$14))   /   SUM(OFFSET($BO$15,0,0,$B$14,1)) + $B$18/($B$19*$B$19*($DN18&lt;&gt;$DO18) + $B$19*($DN18=$DO18))</f>
        <v>3.7037037037037035E-4</v>
      </c>
      <c r="FG18" s="10" cm="1">
        <f t="array" aca="1" ref="FG18" ca="1">(1-$B$18)*SUMPRODUCT(OFFSET($BO$15,0,0,$B$14,1), 1*(_xlfn._xlws.FILTER(OFFSET($O$15,0,$DN18,$B$8,1),OFFSET($M$15,0,0,$B$8,1))=FG$13), 1*(_xlfn._xlws.FILTER(OFFSET($O$15,0,$DO18,$B$8,1),OFFSET($M$15,0,0,$B$8,1))=FG$14))   /   SUM(OFFSET($BO$15,0,0,$B$14,1)) + $B$18/($B$19*$B$19*($DN18&lt;&gt;$DO18) + $B$19*($DN18=$DO18))</f>
        <v>3.7037037037037035E-4</v>
      </c>
      <c r="FH18" s="10" cm="1">
        <f t="array" aca="1" ref="FH18" ca="1">(1-$B$18)*SUMPRODUCT(OFFSET($BO$15,0,0,$B$14,1), 1*(_xlfn._xlws.FILTER(OFFSET($O$15,0,$DN18,$B$8,1),OFFSET($M$15,0,0,$B$8,1))=FH$13), 1*(_xlfn._xlws.FILTER(OFFSET($O$15,0,$DO18,$B$8,1),OFFSET($M$15,0,0,$B$8,1))=FH$14))   /   SUM(OFFSET($BO$15,0,0,$B$14,1)) + $B$18/($B$19*$B$19*($DN18&lt;&gt;$DO18) + $B$19*($DN18=$DO18))</f>
        <v>3.7037037037037035E-4</v>
      </c>
      <c r="FI18" s="10" cm="1">
        <f t="array" aca="1" ref="FI18" ca="1">(1-$B$18)*SUMPRODUCT(OFFSET($BO$15,0,0,$B$14,1), 1*(_xlfn._xlws.FILTER(OFFSET($O$15,0,$DN18,$B$8,1),OFFSET($M$15,0,0,$B$8,1))=FI$13), 1*(_xlfn._xlws.FILTER(OFFSET($O$15,0,$DO18,$B$8,1),OFFSET($M$15,0,0,$B$8,1))=FI$14))   /   SUM(OFFSET($BO$15,0,0,$B$14,1)) + $B$18/($B$19*$B$19*($DN18&lt;&gt;$DO18) + $B$19*($DN18=$DO18))</f>
        <v>3.7037037037037035E-4</v>
      </c>
      <c r="FJ18" s="10" cm="1">
        <f t="array" aca="1" ref="FJ18" ca="1">(1-$B$18)*SUMPRODUCT(OFFSET($BO$15,0,0,$B$14,1), 1*(_xlfn._xlws.FILTER(OFFSET($O$15,0,$DN18,$B$8,1),OFFSET($M$15,0,0,$B$8,1))=FJ$13), 1*(_xlfn._xlws.FILTER(OFFSET($O$15,0,$DO18,$B$8,1),OFFSET($M$15,0,0,$B$8,1))=FJ$14))   /   SUM(OFFSET($BO$15,0,0,$B$14,1)) + $B$18/($B$19*$B$19*($DN18&lt;&gt;$DO18) + $B$19*($DN18=$DO18))</f>
        <v>3.7037037037037035E-4</v>
      </c>
      <c r="FK18" s="10" cm="1">
        <f t="array" aca="1" ref="FK18" ca="1">(1-$B$18)*SUMPRODUCT(OFFSET($BO$15,0,0,$B$14,1), 1*(_xlfn._xlws.FILTER(OFFSET($O$15,0,$DN18,$B$8,1),OFFSET($M$15,0,0,$B$8,1))=FK$13), 1*(_xlfn._xlws.FILTER(OFFSET($O$15,0,$DO18,$B$8,1),OFFSET($M$15,0,0,$B$8,1))=FK$14))   /   SUM(OFFSET($BO$15,0,0,$B$14,1)) + $B$18/($B$19*$B$19*($DN18&lt;&gt;$DO18) + $B$19*($DN18=$DO18))</f>
        <v>3.7037037037037035E-4</v>
      </c>
      <c r="FL18" s="10" cm="1">
        <f t="array" aca="1" ref="FL18" ca="1">(1-$B$18)*SUMPRODUCT(OFFSET($BO$15,0,0,$B$14,1), 1*(_xlfn._xlws.FILTER(OFFSET($O$15,0,$DN18,$B$8,1),OFFSET($M$15,0,0,$B$8,1))=FL$13), 1*(_xlfn._xlws.FILTER(OFFSET($O$15,0,$DO18,$B$8,1),OFFSET($M$15,0,0,$B$8,1))=FL$14))   /   SUM(OFFSET($BO$15,0,0,$B$14,1)) + $B$18/($B$19*$B$19*($DN18&lt;&gt;$DO18) + $B$19*($DN18=$DO18))</f>
        <v>3.7037037037037035E-4</v>
      </c>
      <c r="FM18" s="10" cm="1">
        <f t="array" aca="1" ref="FM18" ca="1">(1-$B$18)*SUMPRODUCT(OFFSET($BO$15,0,0,$B$14,1), 1*(_xlfn._xlws.FILTER(OFFSET($O$15,0,$DN18,$B$8,1),OFFSET($M$15,0,0,$B$8,1))=FM$13), 1*(_xlfn._xlws.FILTER(OFFSET($O$15,0,$DO18,$B$8,1),OFFSET($M$15,0,0,$B$8,1))=FM$14))   /   SUM(OFFSET($BO$15,0,0,$B$14,1)) + $B$18/($B$19*$B$19*($DN18&lt;&gt;$DO18) + $B$19*($DN18=$DO18))</f>
        <v>3.7037037037037035E-4</v>
      </c>
      <c r="FN18" s="10" cm="1">
        <f t="array" aca="1" ref="FN18" ca="1">(1-$B$18)*SUMPRODUCT(OFFSET($BO$15,0,0,$B$14,1), 1*(_xlfn._xlws.FILTER(OFFSET($O$15,0,$DN18,$B$8,1),OFFSET($M$15,0,0,$B$8,1))=FN$13), 1*(_xlfn._xlws.FILTER(OFFSET($O$15,0,$DO18,$B$8,1),OFFSET($M$15,0,0,$B$8,1))=FN$14))   /   SUM(OFFSET($BO$15,0,0,$B$14,1)) + $B$18/($B$19*$B$19*($DN18&lt;&gt;$DO18) + $B$19*($DN18=$DO18))</f>
        <v>3.7037037037037035E-4</v>
      </c>
      <c r="FO18" s="10" cm="1">
        <f t="array" aca="1" ref="FO18" ca="1">(1-$B$18)*SUMPRODUCT(OFFSET($BO$15,0,0,$B$14,1), 1*(_xlfn._xlws.FILTER(OFFSET($O$15,0,$DN18,$B$8,1),OFFSET($M$15,0,0,$B$8,1))=FO$13), 1*(_xlfn._xlws.FILTER(OFFSET($O$15,0,$DO18,$B$8,1),OFFSET($M$15,0,0,$B$8,1))=FO$14))   /   SUM(OFFSET($BO$15,0,0,$B$14,1)) + $B$18/($B$19*$B$19*($DN18&lt;&gt;$DO18) + $B$19*($DN18=$DO18))</f>
        <v>3.7037037037037035E-4</v>
      </c>
      <c r="FP18" s="10" cm="1">
        <f t="array" aca="1" ref="FP18" ca="1">(1-$B$18)*SUMPRODUCT(OFFSET($BO$15,0,0,$B$14,1), 1*(_xlfn._xlws.FILTER(OFFSET($O$15,0,$DN18,$B$8,1),OFFSET($M$15,0,0,$B$8,1))=FP$13), 1*(_xlfn._xlws.FILTER(OFFSET($O$15,0,$DO18,$B$8,1),OFFSET($M$15,0,0,$B$8,1))=FP$14))   /   SUM(OFFSET($BO$15,0,0,$B$14,1)) + $B$18/($B$19*$B$19*($DN18&lt;&gt;$DO18) + $B$19*($DN18=$DO18))</f>
        <v>3.7037037037037035E-4</v>
      </c>
      <c r="FQ18" s="10" cm="1">
        <f t="array" aca="1" ref="FQ18" ca="1">(1-$B$18)*SUMPRODUCT(OFFSET($BO$15,0,0,$B$14,1), 1*(_xlfn._xlws.FILTER(OFFSET($O$15,0,$DN18,$B$8,1),OFFSET($M$15,0,0,$B$8,1))=FQ$13), 1*(_xlfn._xlws.FILTER(OFFSET($O$15,0,$DO18,$B$8,1),OFFSET($M$15,0,0,$B$8,1))=FQ$14))   /   SUM(OFFSET($BO$15,0,0,$B$14,1)) + $B$18/($B$19*$B$19*($DN18&lt;&gt;$DO18) + $B$19*($DN18=$DO18))</f>
        <v>3.7037037037037035E-4</v>
      </c>
      <c r="FR18" s="10" cm="1">
        <f t="array" aca="1" ref="FR18" ca="1">(1-$B$18)*SUMPRODUCT(OFFSET($BO$15,0,0,$B$14,1), 1*(_xlfn._xlws.FILTER(OFFSET($O$15,0,$DN18,$B$8,1),OFFSET($M$15,0,0,$B$8,1))=FR$13), 1*(_xlfn._xlws.FILTER(OFFSET($O$15,0,$DO18,$B$8,1),OFFSET($M$15,0,0,$B$8,1))=FR$14))   /   SUM(OFFSET($BO$15,0,0,$B$14,1)) + $B$18/($B$19*$B$19*($DN18&lt;&gt;$DO18) + $B$19*($DN18=$DO18))</f>
        <v>0.97037037037037033</v>
      </c>
      <c r="FS18" s="10" cm="1">
        <f t="array" aca="1" ref="FS18" ca="1">(1-$B$18)*SUMPRODUCT(OFFSET($BO$15,0,0,$B$14,1), 1*(_xlfn._xlws.FILTER(OFFSET($O$15,0,$DN18,$B$8,1),OFFSET($M$15,0,0,$B$8,1))=FS$13), 1*(_xlfn._xlws.FILTER(OFFSET($O$15,0,$DO18,$B$8,1),OFFSET($M$15,0,0,$B$8,1))=FS$14))   /   SUM(OFFSET($BO$15,0,0,$B$14,1)) + $B$18/($B$19*$B$19*($DN18&lt;&gt;$DO18) + $B$19*($DN18=$DO18))</f>
        <v>3.7037037037037035E-4</v>
      </c>
      <c r="FT18" s="10" cm="1">
        <f t="array" aca="1" ref="FT18" ca="1">(1-$B$18)*SUMPRODUCT(OFFSET($BO$15,0,0,$B$14,1), 1*(_xlfn._xlws.FILTER(OFFSET($O$15,0,$DN18,$B$8,1),OFFSET($M$15,0,0,$B$8,1))=FT$13), 1*(_xlfn._xlws.FILTER(OFFSET($O$15,0,$DO18,$B$8,1),OFFSET($M$15,0,0,$B$8,1))=FT$14))   /   SUM(OFFSET($BO$15,0,0,$B$14,1)) + $B$18/($B$19*$B$19*($DN18&lt;&gt;$DO18) + $B$19*($DN18=$DO18))</f>
        <v>3.7037037037037035E-4</v>
      </c>
      <c r="FU18" s="10" cm="1">
        <f t="array" aca="1" ref="FU18" ca="1">(1-$B$18)*SUMPRODUCT(OFFSET($BO$15,0,0,$B$14,1), 1*(_xlfn._xlws.FILTER(OFFSET($O$15,0,$DN18,$B$8,1),OFFSET($M$15,0,0,$B$8,1))=FU$13), 1*(_xlfn._xlws.FILTER(OFFSET($O$15,0,$DO18,$B$8,1),OFFSET($M$15,0,0,$B$8,1))=FU$14))   /   SUM(OFFSET($BO$15,0,0,$B$14,1)) + $B$18/($B$19*$B$19*($DN18&lt;&gt;$DO18) + $B$19*($DN18=$DO18))</f>
        <v>3.7037037037037035E-4</v>
      </c>
      <c r="FV18" s="10" cm="1">
        <f t="array" aca="1" ref="FV18" ca="1">(1-$B$18)*SUMPRODUCT(OFFSET($BO$15,0,0,$B$14,1), 1*(_xlfn._xlws.FILTER(OFFSET($O$15,0,$DN18,$B$8,1),OFFSET($M$15,0,0,$B$8,1))=FV$13), 1*(_xlfn._xlws.FILTER(OFFSET($O$15,0,$DO18,$B$8,1),OFFSET($M$15,0,0,$B$8,1))=FV$14))   /   SUM(OFFSET($BO$15,0,0,$B$14,1)) + $B$18/($B$19*$B$19*($DN18&lt;&gt;$DO18) + $B$19*($DN18=$DO18))</f>
        <v>3.7037037037037035E-4</v>
      </c>
      <c r="FW18" s="10" cm="1">
        <f t="array" aca="1" ref="FW18" ca="1">(1-$B$18)*SUMPRODUCT(OFFSET($BO$15,0,0,$B$14,1), 1*(_xlfn._xlws.FILTER(OFFSET($O$15,0,$DN18,$B$8,1),OFFSET($M$15,0,0,$B$8,1))=FW$13), 1*(_xlfn._xlws.FILTER(OFFSET($O$15,0,$DO18,$B$8,1),OFFSET($M$15,0,0,$B$8,1))=FW$14))   /   SUM(OFFSET($BO$15,0,0,$B$14,1)) + $B$18/($B$19*$B$19*($DN18&lt;&gt;$DO18) + $B$19*($DN18=$DO18))</f>
        <v>3.7037037037037035E-4</v>
      </c>
      <c r="FX18" s="10" cm="1">
        <f t="array" aca="1" ref="FX18" ca="1">(1-$B$18)*SUMPRODUCT(OFFSET($BO$15,0,0,$B$14,1), 1*(_xlfn._xlws.FILTER(OFFSET($O$15,0,$DN18,$B$8,1),OFFSET($M$15,0,0,$B$8,1))=FX$13), 1*(_xlfn._xlws.FILTER(OFFSET($O$15,0,$DO18,$B$8,1),OFFSET($M$15,0,0,$B$8,1))=FX$14))   /   SUM(OFFSET($BO$15,0,0,$B$14,1)) + $B$18/($B$19*$B$19*($DN18&lt;&gt;$DO18) + $B$19*($DN18=$DO18))</f>
        <v>3.7037037037037035E-4</v>
      </c>
      <c r="FY18" s="10" cm="1">
        <f t="array" aca="1" ref="FY18" ca="1">(1-$B$18)*SUMPRODUCT(OFFSET($BO$15,0,0,$B$14,1), 1*(_xlfn._xlws.FILTER(OFFSET($O$15,0,$DN18,$B$8,1),OFFSET($M$15,0,0,$B$8,1))=FY$13), 1*(_xlfn._xlws.FILTER(OFFSET($O$15,0,$DO18,$B$8,1),OFFSET($M$15,0,0,$B$8,1))=FY$14))   /   SUM(OFFSET($BO$15,0,0,$B$14,1)) + $B$18/($B$19*$B$19*($DN18&lt;&gt;$DO18) + $B$19*($DN18=$DO18))</f>
        <v>3.7037037037037035E-4</v>
      </c>
      <c r="FZ18" s="10" cm="1">
        <f t="array" aca="1" ref="FZ18" ca="1">(1-$B$18)*SUMPRODUCT(OFFSET($BO$15,0,0,$B$14,1), 1*(_xlfn._xlws.FILTER(OFFSET($O$15,0,$DN18,$B$8,1),OFFSET($M$15,0,0,$B$8,1))=FZ$13), 1*(_xlfn._xlws.FILTER(OFFSET($O$15,0,$DO18,$B$8,1),OFFSET($M$15,0,0,$B$8,1))=FZ$14))   /   SUM(OFFSET($BO$15,0,0,$B$14,1)) + $B$18/($B$19*$B$19*($DN18&lt;&gt;$DO18) + $B$19*($DN18=$DO18))</f>
        <v>3.7037037037037035E-4</v>
      </c>
      <c r="GA18" s="10" cm="1">
        <f t="array" aca="1" ref="GA18" ca="1">(1-$B$18)*SUMPRODUCT(OFFSET($BO$15,0,0,$B$14,1), 1*(_xlfn._xlws.FILTER(OFFSET($O$15,0,$DN18,$B$8,1),OFFSET($M$15,0,0,$B$8,1))=GA$13), 1*(_xlfn._xlws.FILTER(OFFSET($O$15,0,$DO18,$B$8,1),OFFSET($M$15,0,0,$B$8,1))=GA$14))   /   SUM(OFFSET($BO$15,0,0,$B$14,1)) + $B$18/($B$19*$B$19*($DN18&lt;&gt;$DO18) + $B$19*($DN18=$DO18))</f>
        <v>3.7037037037037035E-4</v>
      </c>
    </row>
    <row r="19" spans="1:183" x14ac:dyDescent="0.2">
      <c r="A19" t="s">
        <v>49</v>
      </c>
      <c r="B19">
        <v>9</v>
      </c>
      <c r="D19" s="10">
        <f ca="1"/>
        <v>4</v>
      </c>
      <c r="F19" s="10">
        <f ca="1"/>
        <v>0.25</v>
      </c>
      <c r="H19" s="10">
        <f ca="1"/>
        <v>4</v>
      </c>
      <c r="J19" cm="1">
        <f t="array" aca="1" ref="J19" ca="1">SUMPRODUCT((O19:AJ19=$O$11:$AJ$11)*(O$13:AJ$13=TRUE))  / COUNTIF(O$13:AJ$13,TRUE)</f>
        <v>0.9</v>
      </c>
      <c r="K19" t="b">
        <f t="shared" ca="1" si="4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5"/>
        <v>1</v>
      </c>
      <c r="N19" s="2">
        <v>4</v>
      </c>
      <c r="O19" s="12" t="s">
        <v>11</v>
      </c>
      <c r="P19" s="9" t="s">
        <v>11</v>
      </c>
      <c r="Q19" s="9" t="s">
        <v>11</v>
      </c>
      <c r="R19" s="9" t="s">
        <v>11</v>
      </c>
      <c r="S19" s="9" t="s">
        <v>11</v>
      </c>
      <c r="T19" s="12" t="s">
        <v>11</v>
      </c>
      <c r="U19" s="9" t="s">
        <v>11</v>
      </c>
      <c r="V19" s="9" t="s">
        <v>11</v>
      </c>
      <c r="W19" s="9" t="s">
        <v>11</v>
      </c>
      <c r="X19" s="9" t="s">
        <v>11</v>
      </c>
      <c r="Y19" s="12" t="s">
        <v>0</v>
      </c>
      <c r="Z19" s="9" t="s">
        <v>0</v>
      </c>
      <c r="AA19" s="9" t="s">
        <v>1</v>
      </c>
      <c r="AB19" s="9" t="s">
        <v>1</v>
      </c>
      <c r="AC19" s="9" t="s">
        <v>2</v>
      </c>
      <c r="AD19" s="12" t="s">
        <v>2</v>
      </c>
      <c r="AE19" s="9" t="s">
        <v>5</v>
      </c>
      <c r="AF19" s="9" t="s">
        <v>5</v>
      </c>
      <c r="AG19" s="9" t="s">
        <v>3</v>
      </c>
      <c r="AH19" s="9" t="s">
        <v>3</v>
      </c>
      <c r="AI19" s="12" t="s">
        <v>6</v>
      </c>
      <c r="AJ19" s="9" t="s">
        <v>11</v>
      </c>
      <c r="AK19" s="7"/>
      <c r="AN19">
        <f t="shared" ca="1" si="6"/>
        <v>4</v>
      </c>
      <c r="AO19" s="14">
        <f t="shared" ca="1" si="7"/>
        <v>0.25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
) / $B$13)</f>
        <v>1</v>
      </c>
      <c r="AR19" cm="1">
        <f t="array" aca="1" ref="AR19" ca="1">IF($AP19=AR$14, 1, SUMPRODUCT(
    --(OFFSET($O$13,0,0,1,$B$9)=TRUE),
    --(INDEX(OFFSET($O$15,0,0,$B$8,$B$9), 1+$AP19, 0) = INDEX(OFFSET($O$15,0,0,$B$8,$B$9), 1+AR$14, 0))
) / $B$13)</f>
        <v>0.9</v>
      </c>
      <c r="AS19" cm="1">
        <f t="array" aca="1" ref="AS19" ca="1">IF($AP19=AS$14, 1, SUMPRODUCT(
    --(OFFSET($O$13,0,0,1,$B$9)=TRUE),
    --(INDEX(OFFSET($O$15,0,0,$B$8,$B$9), 1+$AP19, 0) = INDEX(OFFSET($O$15,0,0,$B$8,$B$9), 1+AS$14, 0))
) / $B$13)</f>
        <v>1</v>
      </c>
      <c r="AT19" cm="1">
        <f t="array" aca="1" ref="AT19" ca="1">IF($AP19=AT$14, 1, SUMPRODUCT(
    --(OFFSET($O$13,0,0,1,$B$9)=TRUE),
    --(INDEX(OFFSET($O$15,0,0,$B$8,$B$9), 1+$AP19, 0) = INDEX(OFFSET($O$15,0,0,$B$8,$B$9), 1+AT$14, 0))
) / $B$13)</f>
        <v>1</v>
      </c>
      <c r="AU19" cm="1">
        <f t="array" aca="1" ref="AU19" ca="1">IF($AP19=AU$14, 1, SUMPRODUCT(
    --(OFFSET($O$13,0,0,1,$B$9)=TRUE),
    --(INDEX(OFFSET($O$15,0,0,$B$8,$B$9), 1+$AP19, 0) = INDEX(OFFSET($O$15,0,0,$B$8,$B$9), 1+AU$14, 0))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
) / $B$13)</f>
        <v>0.9</v>
      </c>
      <c r="AW19" cm="1">
        <f t="array" aca="1" ref="AW19" ca="1">IF($AP19=AW$14, 1, SUMPRODUCT(
    --(OFFSET($O$13,0,0,1,$B$9)=TRUE),
    --(INDEX(OFFSET($O$15,0,0,$B$8,$B$9), 1+$AP19, 0) = INDEX(OFFSET($O$15,0,0,$B$8,$B$9), 1+AW$14, 0))
) / $B$13)</f>
        <v>0.85</v>
      </c>
      <c r="AX19" cm="1">
        <f t="array" aca="1" ref="AX19" ca="1">IF($AP19=AX$14, 1, SUMPRODUCT(
    --(OFFSET($O$13,0,0,1,$B$9)=TRUE),
    --(INDEX(OFFSET($O$15,0,0,$B$8,$B$9), 1+$AP19, 0) = INDEX(OFFSET($O$15,0,0,$B$8,$B$9), 1+AX$14, 0))
) / $B$13)</f>
        <v>0.85</v>
      </c>
      <c r="AY19" cm="1">
        <f t="array" aca="1" ref="AY19" ca="1">IF($AP19=AY$14, 1, SUMPRODUCT(
    --(OFFSET($O$13,0,0,1,$B$9)=TRUE),
    --(INDEX(OFFSET($O$15,0,0,$B$8,$B$9), 1+$AP19, 0) = INDEX(OFFSET($O$15,0,0,$B$8,$B$9), 1+AY$14, 0))
) / $B$13)</f>
        <v>0.9</v>
      </c>
      <c r="AZ19" cm="1">
        <f t="array" aca="1" ref="AZ19" ca="1">IF($AP19=AZ$14, 1, SUMPRODUCT(
    --(OFFSET($O$13,0,0,1,$B$9)=TRUE),
    --(INDEX(OFFSET($O$15,0,0,$B$8,$B$9), 1+$AP19, 0) = INDEX(OFFSET($O$15,0,0,$B$8,$B$9), 1+AZ$14, 0))
) / $B$13)</f>
        <v>0.9</v>
      </c>
      <c r="BA19" cm="1">
        <f t="array" aca="1" ref="BA19" ca="1">IF($AP19=BA$14, 1, SUMPRODUCT(
    --(OFFSET($O$13,0,0,1,$B$9)=TRUE),
    --(INDEX(OFFSET($O$15,0,0,$B$8,$B$9), 1+$AP19, 0) = INDEX(OFFSET($O$15,0,0,$B$8,$B$9), 1+BA$14, 0))
) / $B$13)</f>
        <v>0.9</v>
      </c>
      <c r="BB19" cm="1">
        <f t="array" aca="1" ref="BB19" ca="1">IF($AP19=BB$14, 1, SUMPRODUCT(
    --(OFFSET($O$13,0,0,1,$B$9)=TRUE),
    --(INDEX(OFFSET($O$15,0,0,$B$8,$B$9), 1+$AP19, 0) = INDEX(OFFSET($O$15,0,0,$B$8,$B$9), 1+BB$14, 0))
) / $B$13)</f>
        <v>0.9</v>
      </c>
      <c r="BC19" cm="1">
        <f t="array" aca="1" ref="BC19" ca="1">IF($AP19=BC$14, 1, SUMPRODUCT(
    --(OFFSET($O$13,0,0,1,$B$9)=TRUE),
    --(INDEX(OFFSET($O$15,0,0,$B$8,$B$9), 1+$AP19, 0) = INDEX(OFFSET($O$15,0,0,$B$8,$B$9), 1+BC$14, 0))
) / $B$13)</f>
        <v>0.9</v>
      </c>
      <c r="BD19" cm="1">
        <f t="array" aca="1" ref="BD19" ca="1">IF($AP19=BD$14, 1, SUMPRODUCT(
    --(OFFSET($O$13,0,0,1,$B$9)=TRUE),
    --(INDEX(OFFSET($O$15,0,0,$B$8,$B$9), 1+$AP19, 0) = INDEX(OFFSET($O$15,0,0,$B$8,$B$9), 1+BD$14, 0))
) / $B$13)</f>
        <v>0.85</v>
      </c>
      <c r="BE19" cm="1">
        <f t="array" aca="1" ref="BE19" ca="1">IF($AP19=BE$14, 1, SUMPRODUCT(
    --(OFFSET($O$13,0,0,1,$B$9)=TRUE),
    --(INDEX(OFFSET($O$15,0,0,$B$8,$B$9), 1+$AP19, 0) = INDEX(OFFSET($O$15,0,0,$B$8,$B$9), 1+BE$14, 0))
) / $B$13)</f>
        <v>0.8</v>
      </c>
      <c r="BF19" cm="1">
        <f t="array" aca="1" ref="BF19" ca="1">IF($AP19=BF$14, 1, SUMPRODUCT(
    --(OFFSET($O$13,0,0,1,$B$9)=TRUE),
    --(INDEX(OFFSET($O$15,0,0,$B$8,$B$9), 1+$AP19, 0) = INDEX(OFFSET($O$15,0,0,$B$8,$B$9), 1+BF$14, 0))
) / $B$13)</f>
        <v>0.8</v>
      </c>
      <c r="BG19" cm="1">
        <f t="array" aca="1" ref="BG19" ca="1">IF($AP19=BG$14, 1, SUMPRODUCT(
    --(OFFSET($O$13,0,0,1,$B$9)=TRUE),
    --(INDEX(OFFSET($O$15,0,0,$B$8,$B$9), 1+$AP19, 0) = INDEX(OFFSET($O$15,0,0,$B$8,$B$9), 1+BG$14, 0))
) / $B$13)</f>
        <v>0.85</v>
      </c>
      <c r="BH19" cm="1">
        <f t="array" aca="1" ref="BH19" ca="1">IF($AP19=BH$14, 1, SUMPRODUCT(
    --(OFFSET($O$13,0,0,1,$B$9)=TRUE),
    --(INDEX(OFFSET($O$15,0,0,$B$8,$B$9), 1+$AP19, 0) = INDEX(OFFSET($O$15,0,0,$B$8,$B$9), 1+BH$14, 0))
) / $B$13)</f>
        <v>0.8</v>
      </c>
      <c r="BI19" cm="1">
        <f t="array" aca="1" ref="BI19" ca="1">IF($AP19=BI$14, 1, SUMPRODUCT(
    --(OFFSET($O$13,0,0,1,$B$9)=TRUE),
    --(INDEX(OFFSET($O$15,0,0,$B$8,$B$9), 1+$AP19, 0) = INDEX(OFFSET($O$15,0,0,$B$8,$B$9), 1+BI$14, 0))
) / $B$13)</f>
        <v>0.85</v>
      </c>
      <c r="BJ19" cm="1">
        <f t="array" aca="1" ref="BJ19" ca="1">IF($AP19=BJ$14, 1, SUMPRODUCT(
    --(OFFSET($O$13,0,0,1,$B$9)=TRUE),
    --(INDEX(OFFSET($O$15,0,0,$B$8,$B$9), 1+$AP19, 0) = INDEX(OFFSET($O$15,0,0,$B$8,$B$9), 1+BJ$14, 0))
) / $B$13)</f>
        <v>0.85</v>
      </c>
      <c r="BN19">
        <f t="shared" ca="1" si="8"/>
        <v>4</v>
      </c>
      <c r="BO19" s="14">
        <f t="shared" ca="1" si="9"/>
        <v>0.25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
) / $B$16)</f>
        <v>1</v>
      </c>
      <c r="BR19" cm="1">
        <f t="array" aca="1" ref="BR19" ca="1">IF($BP19=BR$14, 1, SUMPRODUCT(
    --(OFFSET($O$9,0,0,1,$B$9)=TRUE),
    --(INDEX(OFFSET($O$15,0,0,$B$8,$B$9), 1+$BP19, 0) = INDEX(OFFSET($O$15,0,0,$B$8,$B$9), 1+BR$14, 0))
) / $B$16)</f>
        <v>0.89473684210526316</v>
      </c>
      <c r="BS19" cm="1">
        <f t="array" aca="1" ref="BS19" ca="1">IF($BP19=BS$14, 1, SUMPRODUCT(
    --(OFFSET($O$9,0,0,1,$B$9)=TRUE),
    --(INDEX(OFFSET($O$15,0,0,$B$8,$B$9), 1+$BP19, 0) = INDEX(OFFSET($O$15,0,0,$B$8,$B$9), 1+BS$14, 0))
) / $B$16)</f>
        <v>1</v>
      </c>
      <c r="BT19" cm="1">
        <f t="array" aca="1" ref="BT19" ca="1">IF($BP19=BT$14, 1, SUMPRODUCT(
    --(OFFSET($O$9,0,0,1,$B$9)=TRUE),
    --(INDEX(OFFSET($O$15,0,0,$B$8,$B$9), 1+$BP19, 0) = INDEX(OFFSET($O$15,0,0,$B$8,$B$9), 1+BT$14, 0))
) / $B$16)</f>
        <v>1</v>
      </c>
      <c r="BU19" cm="1">
        <f t="array" aca="1" ref="BU19" ca="1">IF($BP19=BU$14, 1, SUMPRODUCT(
    --(OFFSET($O$9,0,0,1,$B$9)=TRUE),
    --(INDEX(OFFSET($O$15,0,0,$B$8,$B$9), 1+$BP19, 0) = INDEX(OFFSET($O$15,0,0,$B$8,$B$9), 1+BU$14, 0))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
) / $B$16)</f>
        <v>0.89473684210526316</v>
      </c>
      <c r="BW19" cm="1">
        <f t="array" aca="1" ref="BW19" ca="1">IF($BP19=BW$14, 1, SUMPRODUCT(
    --(OFFSET($O$9,0,0,1,$B$9)=TRUE),
    --(INDEX(OFFSET($O$15,0,0,$B$8,$B$9), 1+$BP19, 0) = INDEX(OFFSET($O$15,0,0,$B$8,$B$9), 1+BW$14, 0))
) / $B$16)</f>
        <v>0.84210526315789469</v>
      </c>
      <c r="BX19" cm="1">
        <f t="array" aca="1" ref="BX19" ca="1">IF($BP19=BX$14, 1, SUMPRODUCT(
    --(OFFSET($O$9,0,0,1,$B$9)=TRUE),
    --(INDEX(OFFSET($O$15,0,0,$B$8,$B$9), 1+$BP19, 0) = INDEX(OFFSET($O$15,0,0,$B$8,$B$9), 1+BX$14, 0))
) / $B$16)</f>
        <v>0.84210526315789469</v>
      </c>
      <c r="BY19" cm="1">
        <f t="array" aca="1" ref="BY19" ca="1">IF($BP19=BY$14, 1, SUMPRODUCT(
    --(OFFSET($O$9,0,0,1,$B$9)=TRUE),
    --(INDEX(OFFSET($O$15,0,0,$B$8,$B$9), 1+$BP19, 0) = INDEX(OFFSET($O$15,0,0,$B$8,$B$9), 1+BY$14, 0))
) / $B$16)</f>
        <v>0.89473684210526316</v>
      </c>
      <c r="BZ19" cm="1">
        <f t="array" aca="1" ref="BZ19" ca="1">IF($BP19=BZ$14, 1, SUMPRODUCT(
    --(OFFSET($O$9,0,0,1,$B$9)=TRUE),
    --(INDEX(OFFSET($O$15,0,0,$B$8,$B$9), 1+$BP19, 0) = INDEX(OFFSET($O$15,0,0,$B$8,$B$9), 1+BZ$14, 0))
) / $B$16)</f>
        <v>0.89473684210526316</v>
      </c>
      <c r="CA19" cm="1">
        <f t="array" aca="1" ref="CA19" ca="1">IF($BP19=CA$14, 1, SUMPRODUCT(
    --(OFFSET($O$9,0,0,1,$B$9)=TRUE),
    --(INDEX(OFFSET($O$15,0,0,$B$8,$B$9), 1+$BP19, 0) = INDEX(OFFSET($O$15,0,0,$B$8,$B$9), 1+CA$14, 0))
) / $B$16)</f>
        <v>0.89473684210526316</v>
      </c>
      <c r="CB19" cm="1">
        <f t="array" aca="1" ref="CB19" ca="1">IF($BP19=CB$14, 1, SUMPRODUCT(
    --(OFFSET($O$9,0,0,1,$B$9)=TRUE),
    --(INDEX(OFFSET($O$15,0,0,$B$8,$B$9), 1+$BP19, 0) = INDEX(OFFSET($O$15,0,0,$B$8,$B$9), 1+CB$14, 0))
) / $B$16)</f>
        <v>0.89473684210526316</v>
      </c>
      <c r="CC19" cm="1">
        <f t="array" aca="1" ref="CC19" ca="1">IF($BP19=CC$14, 1, SUMPRODUCT(
    --(OFFSET($O$9,0,0,1,$B$9)=TRUE),
    --(INDEX(OFFSET($O$15,0,0,$B$8,$B$9), 1+$BP19, 0) = INDEX(OFFSET($O$15,0,0,$B$8,$B$9), 1+CC$14, 0))
) / $B$16)</f>
        <v>0.89473684210526316</v>
      </c>
      <c r="CD19" cm="1">
        <f t="array" aca="1" ref="CD19" ca="1">IF($BP19=CD$14, 1, SUMPRODUCT(
    --(OFFSET($O$9,0,0,1,$B$9)=TRUE),
    --(INDEX(OFFSET($O$15,0,0,$B$8,$B$9), 1+$BP19, 0) = INDEX(OFFSET($O$15,0,0,$B$8,$B$9), 1+CD$14, 0))
) / $B$16)</f>
        <v>0.89473684210526316</v>
      </c>
      <c r="CE19" cm="1">
        <f t="array" aca="1" ref="CE19" ca="1">IF($BP19=CE$14, 1, SUMPRODUCT(
    --(OFFSET($O$9,0,0,1,$B$9)=TRUE),
    --(INDEX(OFFSET($O$15,0,0,$B$8,$B$9), 1+$BP19, 0) = INDEX(OFFSET($O$15,0,0,$B$8,$B$9), 1+CE$14, 0))
) / $B$16)</f>
        <v>0.84210526315789469</v>
      </c>
      <c r="CF19" cm="1">
        <f t="array" aca="1" ref="CF19" ca="1">IF($BP19=CF$14, 1, SUMPRODUCT(
    --(OFFSET($O$9,0,0,1,$B$9)=TRUE),
    --(INDEX(OFFSET($O$15,0,0,$B$8,$B$9), 1+$BP19, 0) = INDEX(OFFSET($O$15,0,0,$B$8,$B$9), 1+CF$14, 0))
) / $B$16)</f>
        <v>0.84210526315789469</v>
      </c>
      <c r="CG19" cm="1">
        <f t="array" aca="1" ref="CG19" ca="1">IF($BP19=CG$14, 1, SUMPRODUCT(
    --(OFFSET($O$9,0,0,1,$B$9)=TRUE),
    --(INDEX(OFFSET($O$15,0,0,$B$8,$B$9), 1+$BP19, 0) = INDEX(OFFSET($O$15,0,0,$B$8,$B$9), 1+CG$14, 0))
) / $B$16)</f>
        <v>0.89473684210526316</v>
      </c>
      <c r="CH19" cm="1">
        <f t="array" aca="1" ref="CH19" ca="1">IF($BP19=CH$14, 1, SUMPRODUCT(
    --(OFFSET($O$9,0,0,1,$B$9)=TRUE),
    --(INDEX(OFFSET($O$15,0,0,$B$8,$B$9), 1+$BP19, 0) = INDEX(OFFSET($O$15,0,0,$B$8,$B$9), 1+CH$14, 0))
) / $B$16)</f>
        <v>0.84210526315789469</v>
      </c>
      <c r="CI19" cm="1">
        <f t="array" aca="1" ref="CI19" ca="1">IF($BP19=CI$14, 1, SUMPRODUCT(
    --(OFFSET($O$9,0,0,1,$B$9)=TRUE),
    --(INDEX(OFFSET($O$15,0,0,$B$8,$B$9), 1+$BP19, 0) = INDEX(OFFSET($O$15,0,0,$B$8,$B$9), 1+CI$14, 0))
) / $B$16)</f>
        <v>0.89473684210526316</v>
      </c>
      <c r="CJ19" cm="1">
        <f t="array" aca="1" ref="CJ19" ca="1">IF($BP19=CJ$14, 1, SUMPRODUCT(
    --(OFFSET($O$9,0,0,1,$B$9)=TRUE),
    --(INDEX(OFFSET($O$15,0,0,$B$8,$B$9), 1+$BP19, 0) = INDEX(OFFSET($O$15,0,0,$B$8,$B$9), 1+CJ$14, 0))
) / $B$16)</f>
        <v>0.84210526315789469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3.3333333333333331E-3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3.3333333333333331E-3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3.3333333333333331E-3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3.3333333333333331E-3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3.3333333333333331E-3</v>
      </c>
      <c r="CV19" s="10" cm="1">
        <f t="array" aca="1" ref="CV19" ca="1">(1-$B$18)*SUMPRODUCT(OFFSET($BO$15,0,0,$B$14,1), 1*(_xlfn._xlws.FILTER(OFFSET($O$15,0,$CP19,$B$8,1), OFFSET($M$15,0,0,$B$8,1))=CV$14))   /   SUM(OFFSET($BO$15,0,0,$B$14,1)) + $B$18/$B$19</f>
        <v>3.3333333333333331E-3</v>
      </c>
      <c r="CW19" s="10" cm="1">
        <f t="array" aca="1" ref="CW19" ca="1">(1-$B$18)*SUMPRODUCT(OFFSET($BO$15,0,0,$B$14,1), 1*(_xlfn._xlws.FILTER(OFFSET($O$15,0,$CP19,$B$8,1), OFFSET($M$15,0,0,$B$8,1))=CW$14))   /   SUM(OFFSET($BO$15,0,0,$B$14,1)) + $B$18/$B$19</f>
        <v>3.3333333333333331E-3</v>
      </c>
      <c r="CX19" s="10" cm="1">
        <f t="array" aca="1" ref="CX19" ca="1">(1-$B$18)*SUMPRODUCT(OFFSET($BO$15,0,0,$B$14,1), 1*(_xlfn._xlws.FILTER(OFFSET($O$15,0,$CP19,$B$8,1), OFFSET($M$15,0,0,$B$8,1))=CX$14))   /   SUM(OFFSET($BO$15,0,0,$B$14,1)) + $B$18/$B$19</f>
        <v>0.97333333333333327</v>
      </c>
      <c r="CY19" s="10" cm="1">
        <f t="array" aca="1" ref="CY19" ca="1">(1-$B$18)*SUMPRODUCT(OFFSET($BO$15,0,0,$B$14,1), 1*(_xlfn._xlws.FILTER(OFFSET($O$15,0,$CP19,$B$8,1), OFFSET($M$15,0,0,$B$8,1))=CY$14))   /   SUM(OFFSET($BO$15,0,0,$B$14,1)) + $B$18/$B$19</f>
        <v>3.3333333333333331E-3</v>
      </c>
      <c r="DB19" s="10" cm="1">
        <f t="array" aca="1" ref="DB19" ca="1">SUM(OFFSET($CR19,0,0,1,$M$2)*LN(OFFSET($CR19,0,0,1,$M$2)/OFFSET($CR$11,0,0,1,$M$2)))+IF($CQ$11&gt;0,OFFSET($O$10,0,$CP19,1,1)*LN(OFFSET($O$10,0,$CP19,1,1)/$CQ$11),0)</f>
        <v>1.9131139043413501</v>
      </c>
      <c r="DC19">
        <f ca="1"/>
        <v>4</v>
      </c>
      <c r="DD19" s="10">
        <f t="shared" ca="1" si="11"/>
        <v>0.11767737994455678</v>
      </c>
      <c r="DE19" s="10">
        <f t="shared" ca="1" si="10"/>
        <v>0.11767737994455678</v>
      </c>
      <c r="DF19" s="10">
        <f t="shared" ca="1" si="10"/>
        <v>0.11767737994455678</v>
      </c>
      <c r="DG19" s="10">
        <f t="shared" ca="1" si="10"/>
        <v>0.11767737994455678</v>
      </c>
      <c r="DH19" s="10">
        <f t="shared" ca="1" si="10"/>
        <v>0.11767737994455678</v>
      </c>
      <c r="DI19" s="10">
        <f t="shared" ca="1" si="10"/>
        <v>0.11767737994455678</v>
      </c>
      <c r="DJ19" s="10">
        <f t="shared" ca="1" si="10"/>
        <v>1.9045936050347492</v>
      </c>
      <c r="DK19" s="10">
        <f t="shared" ca="1" si="10"/>
        <v>0.11767737994455678</v>
      </c>
      <c r="DN19" cm="1">
        <f t="array" aca="1" ref="DN19" ca="1">INDEX(_xlfn.ANCHORARRAY($CP$15), 1 + INT((ROWS($DO$15:$DO19) - 1) / ROWS(_xlfn.ANCHORARRAY($CP$15))))</f>
        <v>0</v>
      </c>
      <c r="DO19" cm="1">
        <f t="array" aca="1" ref="DO19" ca="1">INDEX(_xlfn.ANCHORARRAY($CP$15),1+MOD(ROWS($DO$15:$DO19)-1,ROWS(_xlfn.ANCHORARRAY($CP$15))))</f>
        <v>4</v>
      </c>
      <c r="DP19" s="10" cm="1">
        <f t="array" aca="1" ref="DP19" ca="1">(1-$B$18)*SUMPRODUCT(OFFSET($BO$15,0,0,$B$14,1), 1*(_xlfn._xlws.FILTER(OFFSET($O$15,0,$DN19,$B$8,1),OFFSET($M$15,0,0,$B$8,1))=DP$13), 1*(_xlfn._xlws.FILTER(OFFSET($O$15,0,$DO19,$B$8,1),OFFSET($M$15,0,0,$B$8,1))=DP$14))   /   SUM(OFFSET($BO$15,0,0,$B$14,1)) + $B$18/($B$19*$B$19*($DN19&lt;&gt;$DO19) + $B$19*($DN19=$DO19))</f>
        <v>3.7037037037037035E-4</v>
      </c>
      <c r="DQ19" s="10" cm="1">
        <f t="array" aca="1" ref="DQ19" ca="1">(1-$B$18)*SUMPRODUCT(OFFSET($BO$15,0,0,$B$14,1), 1*(_xlfn._xlws.FILTER(OFFSET($O$15,0,$DN19,$B$8,1),OFFSET($M$15,0,0,$B$8,1))=DQ$13), 1*(_xlfn._xlws.FILTER(OFFSET($O$15,0,$DO19,$B$8,1),OFFSET($M$15,0,0,$B$8,1))=DQ$14))   /   SUM(OFFSET($BO$15,0,0,$B$14,1)) + $B$18/($B$19*$B$19*($DN19&lt;&gt;$DO19) + $B$19*($DN19=$DO19))</f>
        <v>3.7037037037037035E-4</v>
      </c>
      <c r="DR19" s="10" cm="1">
        <f t="array" aca="1" ref="DR19" ca="1">(1-$B$18)*SUMPRODUCT(OFFSET($BO$15,0,0,$B$14,1), 1*(_xlfn._xlws.FILTER(OFFSET($O$15,0,$DN19,$B$8,1),OFFSET($M$15,0,0,$B$8,1))=DR$13), 1*(_xlfn._xlws.FILTER(OFFSET($O$15,0,$DO19,$B$8,1),OFFSET($M$15,0,0,$B$8,1))=DR$14))   /   SUM(OFFSET($BO$15,0,0,$B$14,1)) + $B$18/($B$19*$B$19*($DN19&lt;&gt;$DO19) + $B$19*($DN19=$DO19))</f>
        <v>3.7037037037037035E-4</v>
      </c>
      <c r="DS19" s="10" cm="1">
        <f t="array" aca="1" ref="DS19" ca="1">(1-$B$18)*SUMPRODUCT(OFFSET($BO$15,0,0,$B$14,1), 1*(_xlfn._xlws.FILTER(OFFSET($O$15,0,$DN19,$B$8,1),OFFSET($M$15,0,0,$B$8,1))=DS$13), 1*(_xlfn._xlws.FILTER(OFFSET($O$15,0,$DO19,$B$8,1),OFFSET($M$15,0,0,$B$8,1))=DS$14))   /   SUM(OFFSET($BO$15,0,0,$B$14,1)) + $B$18/($B$19*$B$19*($DN19&lt;&gt;$DO19) + $B$19*($DN19=$DO19))</f>
        <v>3.7037037037037035E-4</v>
      </c>
      <c r="DT19" s="10" cm="1">
        <f t="array" aca="1" ref="DT19" ca="1">(1-$B$18)*SUMPRODUCT(OFFSET($BO$15,0,0,$B$14,1), 1*(_xlfn._xlws.FILTER(OFFSET($O$15,0,$DN19,$B$8,1),OFFSET($M$15,0,0,$B$8,1))=DT$13), 1*(_xlfn._xlws.FILTER(OFFSET($O$15,0,$DO19,$B$8,1),OFFSET($M$15,0,0,$B$8,1))=DT$14))   /   SUM(OFFSET($BO$15,0,0,$B$14,1)) + $B$18/($B$19*$B$19*($DN19&lt;&gt;$DO19) + $B$19*($DN19=$DO19))</f>
        <v>3.7037037037037035E-4</v>
      </c>
      <c r="DU19" s="10" cm="1">
        <f t="array" aca="1" ref="DU19" ca="1">(1-$B$18)*SUMPRODUCT(OFFSET($BO$15,0,0,$B$14,1), 1*(_xlfn._xlws.FILTER(OFFSET($O$15,0,$DN19,$B$8,1),OFFSET($M$15,0,0,$B$8,1))=DU$13), 1*(_xlfn._xlws.FILTER(OFFSET($O$15,0,$DO19,$B$8,1),OFFSET($M$15,0,0,$B$8,1))=DU$14))   /   SUM(OFFSET($BO$15,0,0,$B$14,1)) + $B$18/($B$19*$B$19*($DN19&lt;&gt;$DO19) + $B$19*($DN19=$DO19))</f>
        <v>3.7037037037037035E-4</v>
      </c>
      <c r="DV19" s="10" cm="1">
        <f t="array" aca="1" ref="DV19" ca="1">(1-$B$18)*SUMPRODUCT(OFFSET($BO$15,0,0,$B$14,1), 1*(_xlfn._xlws.FILTER(OFFSET($O$15,0,$DN19,$B$8,1),OFFSET($M$15,0,0,$B$8,1))=DV$13), 1*(_xlfn._xlws.FILTER(OFFSET($O$15,0,$DO19,$B$8,1),OFFSET($M$15,0,0,$B$8,1))=DV$14))   /   SUM(OFFSET($BO$15,0,0,$B$14,1)) + $B$18/($B$19*$B$19*($DN19&lt;&gt;$DO19) + $B$19*($DN19=$DO19))</f>
        <v>3.7037037037037035E-4</v>
      </c>
      <c r="DW19" s="10" cm="1">
        <f t="array" aca="1" ref="DW19" ca="1">(1-$B$18)*SUMPRODUCT(OFFSET($BO$15,0,0,$B$14,1), 1*(_xlfn._xlws.FILTER(OFFSET($O$15,0,$DN19,$B$8,1),OFFSET($M$15,0,0,$B$8,1))=DW$13), 1*(_xlfn._xlws.FILTER(OFFSET($O$15,0,$DO19,$B$8,1),OFFSET($M$15,0,0,$B$8,1))=DW$14))   /   SUM(OFFSET($BO$15,0,0,$B$14,1)) + $B$18/($B$19*$B$19*($DN19&lt;&gt;$DO19) + $B$19*($DN19=$DO19))</f>
        <v>3.7037037037037035E-4</v>
      </c>
      <c r="DX19" s="10" cm="1">
        <f t="array" aca="1" ref="DX19" ca="1">(1-$B$18)*SUMPRODUCT(OFFSET($BO$15,0,0,$B$14,1), 1*(_xlfn._xlws.FILTER(OFFSET($O$15,0,$DN19,$B$8,1),OFFSET($M$15,0,0,$B$8,1))=DX$13), 1*(_xlfn._xlws.FILTER(OFFSET($O$15,0,$DO19,$B$8,1),OFFSET($M$15,0,0,$B$8,1))=DX$14))   /   SUM(OFFSET($BO$15,0,0,$B$14,1)) + $B$18/($B$19*$B$19*($DN19&lt;&gt;$DO19) + $B$19*($DN19=$DO19))</f>
        <v>3.7037037037037035E-4</v>
      </c>
      <c r="DY19" s="10" cm="1">
        <f t="array" aca="1" ref="DY19" ca="1">(1-$B$18)*SUMPRODUCT(OFFSET($BO$15,0,0,$B$14,1), 1*(_xlfn._xlws.FILTER(OFFSET($O$15,0,$DN19,$B$8,1),OFFSET($M$15,0,0,$B$8,1))=DY$13), 1*(_xlfn._xlws.FILTER(OFFSET($O$15,0,$DO19,$B$8,1),OFFSET($M$15,0,0,$B$8,1))=DY$14))   /   SUM(OFFSET($BO$15,0,0,$B$14,1)) + $B$18/($B$19*$B$19*($DN19&lt;&gt;$DO19) + $B$19*($DN19=$DO19))</f>
        <v>3.7037037037037035E-4</v>
      </c>
      <c r="DZ19" s="10" cm="1">
        <f t="array" aca="1" ref="DZ19" ca="1">(1-$B$18)*SUMPRODUCT(OFFSET($BO$15,0,0,$B$14,1), 1*(_xlfn._xlws.FILTER(OFFSET($O$15,0,$DN19,$B$8,1),OFFSET($M$15,0,0,$B$8,1))=DZ$13), 1*(_xlfn._xlws.FILTER(OFFSET($O$15,0,$DO19,$B$8,1),OFFSET($M$15,0,0,$B$8,1))=DZ$14))   /   SUM(OFFSET($BO$15,0,0,$B$14,1)) + $B$18/($B$19*$B$19*($DN19&lt;&gt;$DO19) + $B$19*($DN19=$DO19))</f>
        <v>3.7037037037037035E-4</v>
      </c>
      <c r="EA19" s="10" cm="1">
        <f t="array" aca="1" ref="EA19" ca="1">(1-$B$18)*SUMPRODUCT(OFFSET($BO$15,0,0,$B$14,1), 1*(_xlfn._xlws.FILTER(OFFSET($O$15,0,$DN19,$B$8,1),OFFSET($M$15,0,0,$B$8,1))=EA$13), 1*(_xlfn._xlws.FILTER(OFFSET($O$15,0,$DO19,$B$8,1),OFFSET($M$15,0,0,$B$8,1))=EA$14))   /   SUM(OFFSET($BO$15,0,0,$B$14,1)) + $B$18/($B$19*$B$19*($DN19&lt;&gt;$DO19) + $B$19*($DN19=$DO19))</f>
        <v>3.7037037037037035E-4</v>
      </c>
      <c r="EB19" s="10" cm="1">
        <f t="array" aca="1" ref="EB19" ca="1">(1-$B$18)*SUMPRODUCT(OFFSET($BO$15,0,0,$B$14,1), 1*(_xlfn._xlws.FILTER(OFFSET($O$15,0,$DN19,$B$8,1),OFFSET($M$15,0,0,$B$8,1))=EB$13), 1*(_xlfn._xlws.FILTER(OFFSET($O$15,0,$DO19,$B$8,1),OFFSET($M$15,0,0,$B$8,1))=EB$14))   /   SUM(OFFSET($BO$15,0,0,$B$14,1)) + $B$18/($B$19*$B$19*($DN19&lt;&gt;$DO19) + $B$19*($DN19=$DO19))</f>
        <v>3.7037037037037035E-4</v>
      </c>
      <c r="EC19" s="10" cm="1">
        <f t="array" aca="1" ref="EC19" ca="1">(1-$B$18)*SUMPRODUCT(OFFSET($BO$15,0,0,$B$14,1), 1*(_xlfn._xlws.FILTER(OFFSET($O$15,0,$DN19,$B$8,1),OFFSET($M$15,0,0,$B$8,1))=EC$13), 1*(_xlfn._xlws.FILTER(OFFSET($O$15,0,$DO19,$B$8,1),OFFSET($M$15,0,0,$B$8,1))=EC$14))   /   SUM(OFFSET($BO$15,0,0,$B$14,1)) + $B$18/($B$19*$B$19*($DN19&lt;&gt;$DO19) + $B$19*($DN19=$DO19))</f>
        <v>3.7037037037037035E-4</v>
      </c>
      <c r="ED19" s="10" cm="1">
        <f t="array" aca="1" ref="ED19" ca="1">(1-$B$18)*SUMPRODUCT(OFFSET($BO$15,0,0,$B$14,1), 1*(_xlfn._xlws.FILTER(OFFSET($O$15,0,$DN19,$B$8,1),OFFSET($M$15,0,0,$B$8,1))=ED$13), 1*(_xlfn._xlws.FILTER(OFFSET($O$15,0,$DO19,$B$8,1),OFFSET($M$15,0,0,$B$8,1))=ED$14))   /   SUM(OFFSET($BO$15,0,0,$B$14,1)) + $B$18/($B$19*$B$19*($DN19&lt;&gt;$DO19) + $B$19*($DN19=$DO19))</f>
        <v>3.7037037037037035E-4</v>
      </c>
      <c r="EE19" s="10" cm="1">
        <f t="array" aca="1" ref="EE19" ca="1">(1-$B$18)*SUMPRODUCT(OFFSET($BO$15,0,0,$B$14,1), 1*(_xlfn._xlws.FILTER(OFFSET($O$15,0,$DN19,$B$8,1),OFFSET($M$15,0,0,$B$8,1))=EE$13), 1*(_xlfn._xlws.FILTER(OFFSET($O$15,0,$DO19,$B$8,1),OFFSET($M$15,0,0,$B$8,1))=EE$14))   /   SUM(OFFSET($BO$15,0,0,$B$14,1)) + $B$18/($B$19*$B$19*($DN19&lt;&gt;$DO19) + $B$19*($DN19=$DO19))</f>
        <v>3.7037037037037035E-4</v>
      </c>
      <c r="EF19" s="10" cm="1">
        <f t="array" aca="1" ref="EF19" ca="1">(1-$B$18)*SUMPRODUCT(OFFSET($BO$15,0,0,$B$14,1), 1*(_xlfn._xlws.FILTER(OFFSET($O$15,0,$DN19,$B$8,1),OFFSET($M$15,0,0,$B$8,1))=EF$13), 1*(_xlfn._xlws.FILTER(OFFSET($O$15,0,$DO19,$B$8,1),OFFSET($M$15,0,0,$B$8,1))=EF$14))   /   SUM(OFFSET($BO$15,0,0,$B$14,1)) + $B$18/($B$19*$B$19*($DN19&lt;&gt;$DO19) + $B$19*($DN19=$DO19))</f>
        <v>3.7037037037037035E-4</v>
      </c>
      <c r="EG19" s="10" cm="1">
        <f t="array" aca="1" ref="EG19" ca="1">(1-$B$18)*SUMPRODUCT(OFFSET($BO$15,0,0,$B$14,1), 1*(_xlfn._xlws.FILTER(OFFSET($O$15,0,$DN19,$B$8,1),OFFSET($M$15,0,0,$B$8,1))=EG$13), 1*(_xlfn._xlws.FILTER(OFFSET($O$15,0,$DO19,$B$8,1),OFFSET($M$15,0,0,$B$8,1))=EG$14))   /   SUM(OFFSET($BO$15,0,0,$B$14,1)) + $B$18/($B$19*$B$19*($DN19&lt;&gt;$DO19) + $B$19*($DN19=$DO19))</f>
        <v>3.7037037037037035E-4</v>
      </c>
      <c r="EH19" s="10" cm="1">
        <f t="array" aca="1" ref="EH19" ca="1">(1-$B$18)*SUMPRODUCT(OFFSET($BO$15,0,0,$B$14,1), 1*(_xlfn._xlws.FILTER(OFFSET($O$15,0,$DN19,$B$8,1),OFFSET($M$15,0,0,$B$8,1))=EH$13), 1*(_xlfn._xlws.FILTER(OFFSET($O$15,0,$DO19,$B$8,1),OFFSET($M$15,0,0,$B$8,1))=EH$14))   /   SUM(OFFSET($BO$15,0,0,$B$14,1)) + $B$18/($B$19*$B$19*($DN19&lt;&gt;$DO19) + $B$19*($DN19=$DO19))</f>
        <v>3.7037037037037035E-4</v>
      </c>
      <c r="EI19" s="10" cm="1">
        <f t="array" aca="1" ref="EI19" ca="1">(1-$B$18)*SUMPRODUCT(OFFSET($BO$15,0,0,$B$14,1), 1*(_xlfn._xlws.FILTER(OFFSET($O$15,0,$DN19,$B$8,1),OFFSET($M$15,0,0,$B$8,1))=EI$13), 1*(_xlfn._xlws.FILTER(OFFSET($O$15,0,$DO19,$B$8,1),OFFSET($M$15,0,0,$B$8,1))=EI$14))   /   SUM(OFFSET($BO$15,0,0,$B$14,1)) + $B$18/($B$19*$B$19*($DN19&lt;&gt;$DO19) + $B$19*($DN19=$DO19))</f>
        <v>3.7037037037037035E-4</v>
      </c>
      <c r="EJ19" s="10" cm="1">
        <f t="array" aca="1" ref="EJ19" ca="1">(1-$B$18)*SUMPRODUCT(OFFSET($BO$15,0,0,$B$14,1), 1*(_xlfn._xlws.FILTER(OFFSET($O$15,0,$DN19,$B$8,1),OFFSET($M$15,0,0,$B$8,1))=EJ$13), 1*(_xlfn._xlws.FILTER(OFFSET($O$15,0,$DO19,$B$8,1),OFFSET($M$15,0,0,$B$8,1))=EJ$14))   /   SUM(OFFSET($BO$15,0,0,$B$14,1)) + $B$18/($B$19*$B$19*($DN19&lt;&gt;$DO19) + $B$19*($DN19=$DO19))</f>
        <v>3.7037037037037035E-4</v>
      </c>
      <c r="EK19" s="10" cm="1">
        <f t="array" aca="1" ref="EK19" ca="1">(1-$B$18)*SUMPRODUCT(OFFSET($BO$15,0,0,$B$14,1), 1*(_xlfn._xlws.FILTER(OFFSET($O$15,0,$DN19,$B$8,1),OFFSET($M$15,0,0,$B$8,1))=EK$13), 1*(_xlfn._xlws.FILTER(OFFSET($O$15,0,$DO19,$B$8,1),OFFSET($M$15,0,0,$B$8,1))=EK$14))   /   SUM(OFFSET($BO$15,0,0,$B$14,1)) + $B$18/($B$19*$B$19*($DN19&lt;&gt;$DO19) + $B$19*($DN19=$DO19))</f>
        <v>3.7037037037037035E-4</v>
      </c>
      <c r="EL19" s="10" cm="1">
        <f t="array" aca="1" ref="EL19" ca="1">(1-$B$18)*SUMPRODUCT(OFFSET($BO$15,0,0,$B$14,1), 1*(_xlfn._xlws.FILTER(OFFSET($O$15,0,$DN19,$B$8,1),OFFSET($M$15,0,0,$B$8,1))=EL$13), 1*(_xlfn._xlws.FILTER(OFFSET($O$15,0,$DO19,$B$8,1),OFFSET($M$15,0,0,$B$8,1))=EL$14))   /   SUM(OFFSET($BO$15,0,0,$B$14,1)) + $B$18/($B$19*$B$19*($DN19&lt;&gt;$DO19) + $B$19*($DN19=$DO19))</f>
        <v>3.7037037037037035E-4</v>
      </c>
      <c r="EM19" s="10" cm="1">
        <f t="array" aca="1" ref="EM19" ca="1">(1-$B$18)*SUMPRODUCT(OFFSET($BO$15,0,0,$B$14,1), 1*(_xlfn._xlws.FILTER(OFFSET($O$15,0,$DN19,$B$8,1),OFFSET($M$15,0,0,$B$8,1))=EM$13), 1*(_xlfn._xlws.FILTER(OFFSET($O$15,0,$DO19,$B$8,1),OFFSET($M$15,0,0,$B$8,1))=EM$14))   /   SUM(OFFSET($BO$15,0,0,$B$14,1)) + $B$18/($B$19*$B$19*($DN19&lt;&gt;$DO19) + $B$19*($DN19=$DO19))</f>
        <v>3.7037037037037035E-4</v>
      </c>
      <c r="EN19" s="10" cm="1">
        <f t="array" aca="1" ref="EN19" ca="1">(1-$B$18)*SUMPRODUCT(OFFSET($BO$15,0,0,$B$14,1), 1*(_xlfn._xlws.FILTER(OFFSET($O$15,0,$DN19,$B$8,1),OFFSET($M$15,0,0,$B$8,1))=EN$13), 1*(_xlfn._xlws.FILTER(OFFSET($O$15,0,$DO19,$B$8,1),OFFSET($M$15,0,0,$B$8,1))=EN$14))   /   SUM(OFFSET($BO$15,0,0,$B$14,1)) + $B$18/($B$19*$B$19*($DN19&lt;&gt;$DO19) + $B$19*($DN19=$DO19))</f>
        <v>3.7037037037037035E-4</v>
      </c>
      <c r="EO19" s="10" cm="1">
        <f t="array" aca="1" ref="EO19" ca="1">(1-$B$18)*SUMPRODUCT(OFFSET($BO$15,0,0,$B$14,1), 1*(_xlfn._xlws.FILTER(OFFSET($O$15,0,$DN19,$B$8,1),OFFSET($M$15,0,0,$B$8,1))=EO$13), 1*(_xlfn._xlws.FILTER(OFFSET($O$15,0,$DO19,$B$8,1),OFFSET($M$15,0,0,$B$8,1))=EO$14))   /   SUM(OFFSET($BO$15,0,0,$B$14,1)) + $B$18/($B$19*$B$19*($DN19&lt;&gt;$DO19) + $B$19*($DN19=$DO19))</f>
        <v>3.7037037037037035E-4</v>
      </c>
      <c r="EP19" s="10" cm="1">
        <f t="array" aca="1" ref="EP19" ca="1">(1-$B$18)*SUMPRODUCT(OFFSET($BO$15,0,0,$B$14,1), 1*(_xlfn._xlws.FILTER(OFFSET($O$15,0,$DN19,$B$8,1),OFFSET($M$15,0,0,$B$8,1))=EP$13), 1*(_xlfn._xlws.FILTER(OFFSET($O$15,0,$DO19,$B$8,1),OFFSET($M$15,0,0,$B$8,1))=EP$14))   /   SUM(OFFSET($BO$15,0,0,$B$14,1)) + $B$18/($B$19*$B$19*($DN19&lt;&gt;$DO19) + $B$19*($DN19=$DO19))</f>
        <v>3.7037037037037035E-4</v>
      </c>
      <c r="EQ19" s="10" cm="1">
        <f t="array" aca="1" ref="EQ19" ca="1">(1-$B$18)*SUMPRODUCT(OFFSET($BO$15,0,0,$B$14,1), 1*(_xlfn._xlws.FILTER(OFFSET($O$15,0,$DN19,$B$8,1),OFFSET($M$15,0,0,$B$8,1))=EQ$13), 1*(_xlfn._xlws.FILTER(OFFSET($O$15,0,$DO19,$B$8,1),OFFSET($M$15,0,0,$B$8,1))=EQ$14))   /   SUM(OFFSET($BO$15,0,0,$B$14,1)) + $B$18/($B$19*$B$19*($DN19&lt;&gt;$DO19) + $B$19*($DN19=$DO19))</f>
        <v>3.7037037037037035E-4</v>
      </c>
      <c r="ER19" s="10" cm="1">
        <f t="array" aca="1" ref="ER19" ca="1">(1-$B$18)*SUMPRODUCT(OFFSET($BO$15,0,0,$B$14,1), 1*(_xlfn._xlws.FILTER(OFFSET($O$15,0,$DN19,$B$8,1),OFFSET($M$15,0,0,$B$8,1))=ER$13), 1*(_xlfn._xlws.FILTER(OFFSET($O$15,0,$DO19,$B$8,1),OFFSET($M$15,0,0,$B$8,1))=ER$14))   /   SUM(OFFSET($BO$15,0,0,$B$14,1)) + $B$18/($B$19*$B$19*($DN19&lt;&gt;$DO19) + $B$19*($DN19=$DO19))</f>
        <v>3.7037037037037035E-4</v>
      </c>
      <c r="ES19" s="10" cm="1">
        <f t="array" aca="1" ref="ES19" ca="1">(1-$B$18)*SUMPRODUCT(OFFSET($BO$15,0,0,$B$14,1), 1*(_xlfn._xlws.FILTER(OFFSET($O$15,0,$DN19,$B$8,1),OFFSET($M$15,0,0,$B$8,1))=ES$13), 1*(_xlfn._xlws.FILTER(OFFSET($O$15,0,$DO19,$B$8,1),OFFSET($M$15,0,0,$B$8,1))=ES$14))   /   SUM(OFFSET($BO$15,0,0,$B$14,1)) + $B$18/($B$19*$B$19*($DN19&lt;&gt;$DO19) + $B$19*($DN19=$DO19))</f>
        <v>3.7037037037037035E-4</v>
      </c>
      <c r="ET19" s="10" cm="1">
        <f t="array" aca="1" ref="ET19" ca="1">(1-$B$18)*SUMPRODUCT(OFFSET($BO$15,0,0,$B$14,1), 1*(_xlfn._xlws.FILTER(OFFSET($O$15,0,$DN19,$B$8,1),OFFSET($M$15,0,0,$B$8,1))=ET$13), 1*(_xlfn._xlws.FILTER(OFFSET($O$15,0,$DO19,$B$8,1),OFFSET($M$15,0,0,$B$8,1))=ET$14))   /   SUM(OFFSET($BO$15,0,0,$B$14,1)) + $B$18/($B$19*$B$19*($DN19&lt;&gt;$DO19) + $B$19*($DN19=$DO19))</f>
        <v>3.7037037037037035E-4</v>
      </c>
      <c r="EU19" s="10" cm="1">
        <f t="array" aca="1" ref="EU19" ca="1">(1-$B$18)*SUMPRODUCT(OFFSET($BO$15,0,0,$B$14,1), 1*(_xlfn._xlws.FILTER(OFFSET($O$15,0,$DN19,$B$8,1),OFFSET($M$15,0,0,$B$8,1))=EU$13), 1*(_xlfn._xlws.FILTER(OFFSET($O$15,0,$DO19,$B$8,1),OFFSET($M$15,0,0,$B$8,1))=EU$14))   /   SUM(OFFSET($BO$15,0,0,$B$14,1)) + $B$18/($B$19*$B$19*($DN19&lt;&gt;$DO19) + $B$19*($DN19=$DO19))</f>
        <v>3.7037037037037035E-4</v>
      </c>
      <c r="EV19" s="10" cm="1">
        <f t="array" aca="1" ref="EV19" ca="1">(1-$B$18)*SUMPRODUCT(OFFSET($BO$15,0,0,$B$14,1), 1*(_xlfn._xlws.FILTER(OFFSET($O$15,0,$DN19,$B$8,1),OFFSET($M$15,0,0,$B$8,1))=EV$13), 1*(_xlfn._xlws.FILTER(OFFSET($O$15,0,$DO19,$B$8,1),OFFSET($M$15,0,0,$B$8,1))=EV$14))   /   SUM(OFFSET($BO$15,0,0,$B$14,1)) + $B$18/($B$19*$B$19*($DN19&lt;&gt;$DO19) + $B$19*($DN19=$DO19))</f>
        <v>3.7037037037037035E-4</v>
      </c>
      <c r="EW19" s="10" cm="1">
        <f t="array" aca="1" ref="EW19" ca="1">(1-$B$18)*SUMPRODUCT(OFFSET($BO$15,0,0,$B$14,1), 1*(_xlfn._xlws.FILTER(OFFSET($O$15,0,$DN19,$B$8,1),OFFSET($M$15,0,0,$B$8,1))=EW$13), 1*(_xlfn._xlws.FILTER(OFFSET($O$15,0,$DO19,$B$8,1),OFFSET($M$15,0,0,$B$8,1))=EW$14))   /   SUM(OFFSET($BO$15,0,0,$B$14,1)) + $B$18/($B$19*$B$19*($DN19&lt;&gt;$DO19) + $B$19*($DN19=$DO19))</f>
        <v>3.7037037037037035E-4</v>
      </c>
      <c r="EX19" s="10" cm="1">
        <f t="array" aca="1" ref="EX19" ca="1">(1-$B$18)*SUMPRODUCT(OFFSET($BO$15,0,0,$B$14,1), 1*(_xlfn._xlws.FILTER(OFFSET($O$15,0,$DN19,$B$8,1),OFFSET($M$15,0,0,$B$8,1))=EX$13), 1*(_xlfn._xlws.FILTER(OFFSET($O$15,0,$DO19,$B$8,1),OFFSET($M$15,0,0,$B$8,1))=EX$14))   /   SUM(OFFSET($BO$15,0,0,$B$14,1)) + $B$18/($B$19*$B$19*($DN19&lt;&gt;$DO19) + $B$19*($DN19=$DO19))</f>
        <v>3.7037037037037035E-4</v>
      </c>
      <c r="EY19" s="10" cm="1">
        <f t="array" aca="1" ref="EY19" ca="1">(1-$B$18)*SUMPRODUCT(OFFSET($BO$15,0,0,$B$14,1), 1*(_xlfn._xlws.FILTER(OFFSET($O$15,0,$DN19,$B$8,1),OFFSET($M$15,0,0,$B$8,1))=EY$13), 1*(_xlfn._xlws.FILTER(OFFSET($O$15,0,$DO19,$B$8,1),OFFSET($M$15,0,0,$B$8,1))=EY$14))   /   SUM(OFFSET($BO$15,0,0,$B$14,1)) + $B$18/($B$19*$B$19*($DN19&lt;&gt;$DO19) + $B$19*($DN19=$DO19))</f>
        <v>3.7037037037037035E-4</v>
      </c>
      <c r="EZ19" s="10" cm="1">
        <f t="array" aca="1" ref="EZ19" ca="1">(1-$B$18)*SUMPRODUCT(OFFSET($BO$15,0,0,$B$14,1), 1*(_xlfn._xlws.FILTER(OFFSET($O$15,0,$DN19,$B$8,1),OFFSET($M$15,0,0,$B$8,1))=EZ$13), 1*(_xlfn._xlws.FILTER(OFFSET($O$15,0,$DO19,$B$8,1),OFFSET($M$15,0,0,$B$8,1))=EZ$14))   /   SUM(OFFSET($BO$15,0,0,$B$14,1)) + $B$18/($B$19*$B$19*($DN19&lt;&gt;$DO19) + $B$19*($DN19=$DO19))</f>
        <v>3.7037037037037035E-4</v>
      </c>
      <c r="FA19" s="10" cm="1">
        <f t="array" aca="1" ref="FA19" ca="1">(1-$B$18)*SUMPRODUCT(OFFSET($BO$15,0,0,$B$14,1), 1*(_xlfn._xlws.FILTER(OFFSET($O$15,0,$DN19,$B$8,1),OFFSET($M$15,0,0,$B$8,1))=FA$13), 1*(_xlfn._xlws.FILTER(OFFSET($O$15,0,$DO19,$B$8,1),OFFSET($M$15,0,0,$B$8,1))=FA$14))   /   SUM(OFFSET($BO$15,0,0,$B$14,1)) + $B$18/($B$19*$B$19*($DN19&lt;&gt;$DO19) + $B$19*($DN19=$DO19))</f>
        <v>3.7037037037037035E-4</v>
      </c>
      <c r="FB19" s="10" cm="1">
        <f t="array" aca="1" ref="FB19" ca="1">(1-$B$18)*SUMPRODUCT(OFFSET($BO$15,0,0,$B$14,1), 1*(_xlfn._xlws.FILTER(OFFSET($O$15,0,$DN19,$B$8,1),OFFSET($M$15,0,0,$B$8,1))=FB$13), 1*(_xlfn._xlws.FILTER(OFFSET($O$15,0,$DO19,$B$8,1),OFFSET($M$15,0,0,$B$8,1))=FB$14))   /   SUM(OFFSET($BO$15,0,0,$B$14,1)) + $B$18/($B$19*$B$19*($DN19&lt;&gt;$DO19) + $B$19*($DN19=$DO19))</f>
        <v>3.7037037037037035E-4</v>
      </c>
      <c r="FC19" s="10" cm="1">
        <f t="array" aca="1" ref="FC19" ca="1">(1-$B$18)*SUMPRODUCT(OFFSET($BO$15,0,0,$B$14,1), 1*(_xlfn._xlws.FILTER(OFFSET($O$15,0,$DN19,$B$8,1),OFFSET($M$15,0,0,$B$8,1))=FC$13), 1*(_xlfn._xlws.FILTER(OFFSET($O$15,0,$DO19,$B$8,1),OFFSET($M$15,0,0,$B$8,1))=FC$14))   /   SUM(OFFSET($BO$15,0,0,$B$14,1)) + $B$18/($B$19*$B$19*($DN19&lt;&gt;$DO19) + $B$19*($DN19=$DO19))</f>
        <v>3.7037037037037035E-4</v>
      </c>
      <c r="FD19" s="10" cm="1">
        <f t="array" aca="1" ref="FD19" ca="1">(1-$B$18)*SUMPRODUCT(OFFSET($BO$15,0,0,$B$14,1), 1*(_xlfn._xlws.FILTER(OFFSET($O$15,0,$DN19,$B$8,1),OFFSET($M$15,0,0,$B$8,1))=FD$13), 1*(_xlfn._xlws.FILTER(OFFSET($O$15,0,$DO19,$B$8,1),OFFSET($M$15,0,0,$B$8,1))=FD$14))   /   SUM(OFFSET($BO$15,0,0,$B$14,1)) + $B$18/($B$19*$B$19*($DN19&lt;&gt;$DO19) + $B$19*($DN19=$DO19))</f>
        <v>3.7037037037037035E-4</v>
      </c>
      <c r="FE19" s="10" cm="1">
        <f t="array" aca="1" ref="FE19" ca="1">(1-$B$18)*SUMPRODUCT(OFFSET($BO$15,0,0,$B$14,1), 1*(_xlfn._xlws.FILTER(OFFSET($O$15,0,$DN19,$B$8,1),OFFSET($M$15,0,0,$B$8,1))=FE$13), 1*(_xlfn._xlws.FILTER(OFFSET($O$15,0,$DO19,$B$8,1),OFFSET($M$15,0,0,$B$8,1))=FE$14))   /   SUM(OFFSET($BO$15,0,0,$B$14,1)) + $B$18/($B$19*$B$19*($DN19&lt;&gt;$DO19) + $B$19*($DN19=$DO19))</f>
        <v>3.7037037037037035E-4</v>
      </c>
      <c r="FF19" s="10" cm="1">
        <f t="array" aca="1" ref="FF19" ca="1">(1-$B$18)*SUMPRODUCT(OFFSET($BO$15,0,0,$B$14,1), 1*(_xlfn._xlws.FILTER(OFFSET($O$15,0,$DN19,$B$8,1),OFFSET($M$15,0,0,$B$8,1))=FF$13), 1*(_xlfn._xlws.FILTER(OFFSET($O$15,0,$DO19,$B$8,1),OFFSET($M$15,0,0,$B$8,1))=FF$14))   /   SUM(OFFSET($BO$15,0,0,$B$14,1)) + $B$18/($B$19*$B$19*($DN19&lt;&gt;$DO19) + $B$19*($DN19=$DO19))</f>
        <v>3.7037037037037035E-4</v>
      </c>
      <c r="FG19" s="10" cm="1">
        <f t="array" aca="1" ref="FG19" ca="1">(1-$B$18)*SUMPRODUCT(OFFSET($BO$15,0,0,$B$14,1), 1*(_xlfn._xlws.FILTER(OFFSET($O$15,0,$DN19,$B$8,1),OFFSET($M$15,0,0,$B$8,1))=FG$13), 1*(_xlfn._xlws.FILTER(OFFSET($O$15,0,$DO19,$B$8,1),OFFSET($M$15,0,0,$B$8,1))=FG$14))   /   SUM(OFFSET($BO$15,0,0,$B$14,1)) + $B$18/($B$19*$B$19*($DN19&lt;&gt;$DO19) + $B$19*($DN19=$DO19))</f>
        <v>3.7037037037037035E-4</v>
      </c>
      <c r="FH19" s="10" cm="1">
        <f t="array" aca="1" ref="FH19" ca="1">(1-$B$18)*SUMPRODUCT(OFFSET($BO$15,0,0,$B$14,1), 1*(_xlfn._xlws.FILTER(OFFSET($O$15,0,$DN19,$B$8,1),OFFSET($M$15,0,0,$B$8,1))=FH$13), 1*(_xlfn._xlws.FILTER(OFFSET($O$15,0,$DO19,$B$8,1),OFFSET($M$15,0,0,$B$8,1))=FH$14))   /   SUM(OFFSET($BO$15,0,0,$B$14,1)) + $B$18/($B$19*$B$19*($DN19&lt;&gt;$DO19) + $B$19*($DN19=$DO19))</f>
        <v>3.7037037037037035E-4</v>
      </c>
      <c r="FI19" s="10" cm="1">
        <f t="array" aca="1" ref="FI19" ca="1">(1-$B$18)*SUMPRODUCT(OFFSET($BO$15,0,0,$B$14,1), 1*(_xlfn._xlws.FILTER(OFFSET($O$15,0,$DN19,$B$8,1),OFFSET($M$15,0,0,$B$8,1))=FI$13), 1*(_xlfn._xlws.FILTER(OFFSET($O$15,0,$DO19,$B$8,1),OFFSET($M$15,0,0,$B$8,1))=FI$14))   /   SUM(OFFSET($BO$15,0,0,$B$14,1)) + $B$18/($B$19*$B$19*($DN19&lt;&gt;$DO19) + $B$19*($DN19=$DO19))</f>
        <v>3.7037037037037035E-4</v>
      </c>
      <c r="FJ19" s="10" cm="1">
        <f t="array" aca="1" ref="FJ19" ca="1">(1-$B$18)*SUMPRODUCT(OFFSET($BO$15,0,0,$B$14,1), 1*(_xlfn._xlws.FILTER(OFFSET($O$15,0,$DN19,$B$8,1),OFFSET($M$15,0,0,$B$8,1))=FJ$13), 1*(_xlfn._xlws.FILTER(OFFSET($O$15,0,$DO19,$B$8,1),OFFSET($M$15,0,0,$B$8,1))=FJ$14))   /   SUM(OFFSET($BO$15,0,0,$B$14,1)) + $B$18/($B$19*$B$19*($DN19&lt;&gt;$DO19) + $B$19*($DN19=$DO19))</f>
        <v>3.7037037037037035E-4</v>
      </c>
      <c r="FK19" s="10" cm="1">
        <f t="array" aca="1" ref="FK19" ca="1">(1-$B$18)*SUMPRODUCT(OFFSET($BO$15,0,0,$B$14,1), 1*(_xlfn._xlws.FILTER(OFFSET($O$15,0,$DN19,$B$8,1),OFFSET($M$15,0,0,$B$8,1))=FK$13), 1*(_xlfn._xlws.FILTER(OFFSET($O$15,0,$DO19,$B$8,1),OFFSET($M$15,0,0,$B$8,1))=FK$14))   /   SUM(OFFSET($BO$15,0,0,$B$14,1)) + $B$18/($B$19*$B$19*($DN19&lt;&gt;$DO19) + $B$19*($DN19=$DO19))</f>
        <v>3.7037037037037035E-4</v>
      </c>
      <c r="FL19" s="10" cm="1">
        <f t="array" aca="1" ref="FL19" ca="1">(1-$B$18)*SUMPRODUCT(OFFSET($BO$15,0,0,$B$14,1), 1*(_xlfn._xlws.FILTER(OFFSET($O$15,0,$DN19,$B$8,1),OFFSET($M$15,0,0,$B$8,1))=FL$13), 1*(_xlfn._xlws.FILTER(OFFSET($O$15,0,$DO19,$B$8,1),OFFSET($M$15,0,0,$B$8,1))=FL$14))   /   SUM(OFFSET($BO$15,0,0,$B$14,1)) + $B$18/($B$19*$B$19*($DN19&lt;&gt;$DO19) + $B$19*($DN19=$DO19))</f>
        <v>3.7037037037037035E-4</v>
      </c>
      <c r="FM19" s="10" cm="1">
        <f t="array" aca="1" ref="FM19" ca="1">(1-$B$18)*SUMPRODUCT(OFFSET($BO$15,0,0,$B$14,1), 1*(_xlfn._xlws.FILTER(OFFSET($O$15,0,$DN19,$B$8,1),OFFSET($M$15,0,0,$B$8,1))=FM$13), 1*(_xlfn._xlws.FILTER(OFFSET($O$15,0,$DO19,$B$8,1),OFFSET($M$15,0,0,$B$8,1))=FM$14))   /   SUM(OFFSET($BO$15,0,0,$B$14,1)) + $B$18/($B$19*$B$19*($DN19&lt;&gt;$DO19) + $B$19*($DN19=$DO19))</f>
        <v>3.7037037037037035E-4</v>
      </c>
      <c r="FN19" s="10" cm="1">
        <f t="array" aca="1" ref="FN19" ca="1">(1-$B$18)*SUMPRODUCT(OFFSET($BO$15,0,0,$B$14,1), 1*(_xlfn._xlws.FILTER(OFFSET($O$15,0,$DN19,$B$8,1),OFFSET($M$15,0,0,$B$8,1))=FN$13), 1*(_xlfn._xlws.FILTER(OFFSET($O$15,0,$DO19,$B$8,1),OFFSET($M$15,0,0,$B$8,1))=FN$14))   /   SUM(OFFSET($BO$15,0,0,$B$14,1)) + $B$18/($B$19*$B$19*($DN19&lt;&gt;$DO19) + $B$19*($DN19=$DO19))</f>
        <v>3.7037037037037035E-4</v>
      </c>
      <c r="FO19" s="10" cm="1">
        <f t="array" aca="1" ref="FO19" ca="1">(1-$B$18)*SUMPRODUCT(OFFSET($BO$15,0,0,$B$14,1), 1*(_xlfn._xlws.FILTER(OFFSET($O$15,0,$DN19,$B$8,1),OFFSET($M$15,0,0,$B$8,1))=FO$13), 1*(_xlfn._xlws.FILTER(OFFSET($O$15,0,$DO19,$B$8,1),OFFSET($M$15,0,0,$B$8,1))=FO$14))   /   SUM(OFFSET($BO$15,0,0,$B$14,1)) + $B$18/($B$19*$B$19*($DN19&lt;&gt;$DO19) + $B$19*($DN19=$DO19))</f>
        <v>3.7037037037037035E-4</v>
      </c>
      <c r="FP19" s="10" cm="1">
        <f t="array" aca="1" ref="FP19" ca="1">(1-$B$18)*SUMPRODUCT(OFFSET($BO$15,0,0,$B$14,1), 1*(_xlfn._xlws.FILTER(OFFSET($O$15,0,$DN19,$B$8,1),OFFSET($M$15,0,0,$B$8,1))=FP$13), 1*(_xlfn._xlws.FILTER(OFFSET($O$15,0,$DO19,$B$8,1),OFFSET($M$15,0,0,$B$8,1))=FP$14))   /   SUM(OFFSET($BO$15,0,0,$B$14,1)) + $B$18/($B$19*$B$19*($DN19&lt;&gt;$DO19) + $B$19*($DN19=$DO19))</f>
        <v>3.7037037037037035E-4</v>
      </c>
      <c r="FQ19" s="10" cm="1">
        <f t="array" aca="1" ref="FQ19" ca="1">(1-$B$18)*SUMPRODUCT(OFFSET($BO$15,0,0,$B$14,1), 1*(_xlfn._xlws.FILTER(OFFSET($O$15,0,$DN19,$B$8,1),OFFSET($M$15,0,0,$B$8,1))=FQ$13), 1*(_xlfn._xlws.FILTER(OFFSET($O$15,0,$DO19,$B$8,1),OFFSET($M$15,0,0,$B$8,1))=FQ$14))   /   SUM(OFFSET($BO$15,0,0,$B$14,1)) + $B$18/($B$19*$B$19*($DN19&lt;&gt;$DO19) + $B$19*($DN19=$DO19))</f>
        <v>3.7037037037037035E-4</v>
      </c>
      <c r="FR19" s="10" cm="1">
        <f t="array" aca="1" ref="FR19" ca="1">(1-$B$18)*SUMPRODUCT(OFFSET($BO$15,0,0,$B$14,1), 1*(_xlfn._xlws.FILTER(OFFSET($O$15,0,$DN19,$B$8,1),OFFSET($M$15,0,0,$B$8,1))=FR$13), 1*(_xlfn._xlws.FILTER(OFFSET($O$15,0,$DO19,$B$8,1),OFFSET($M$15,0,0,$B$8,1))=FR$14))   /   SUM(OFFSET($BO$15,0,0,$B$14,1)) + $B$18/($B$19*$B$19*($DN19&lt;&gt;$DO19) + $B$19*($DN19=$DO19))</f>
        <v>0.97037037037037033</v>
      </c>
      <c r="FS19" s="10" cm="1">
        <f t="array" aca="1" ref="FS19" ca="1">(1-$B$18)*SUMPRODUCT(OFFSET($BO$15,0,0,$B$14,1), 1*(_xlfn._xlws.FILTER(OFFSET($O$15,0,$DN19,$B$8,1),OFFSET($M$15,0,0,$B$8,1))=FS$13), 1*(_xlfn._xlws.FILTER(OFFSET($O$15,0,$DO19,$B$8,1),OFFSET($M$15,0,0,$B$8,1))=FS$14))   /   SUM(OFFSET($BO$15,0,0,$B$14,1)) + $B$18/($B$19*$B$19*($DN19&lt;&gt;$DO19) + $B$19*($DN19=$DO19))</f>
        <v>3.7037037037037035E-4</v>
      </c>
      <c r="FT19" s="10" cm="1">
        <f t="array" aca="1" ref="FT19" ca="1">(1-$B$18)*SUMPRODUCT(OFFSET($BO$15,0,0,$B$14,1), 1*(_xlfn._xlws.FILTER(OFFSET($O$15,0,$DN19,$B$8,1),OFFSET($M$15,0,0,$B$8,1))=FT$13), 1*(_xlfn._xlws.FILTER(OFFSET($O$15,0,$DO19,$B$8,1),OFFSET($M$15,0,0,$B$8,1))=FT$14))   /   SUM(OFFSET($BO$15,0,0,$B$14,1)) + $B$18/($B$19*$B$19*($DN19&lt;&gt;$DO19) + $B$19*($DN19=$DO19))</f>
        <v>3.7037037037037035E-4</v>
      </c>
      <c r="FU19" s="10" cm="1">
        <f t="array" aca="1" ref="FU19" ca="1">(1-$B$18)*SUMPRODUCT(OFFSET($BO$15,0,0,$B$14,1), 1*(_xlfn._xlws.FILTER(OFFSET($O$15,0,$DN19,$B$8,1),OFFSET($M$15,0,0,$B$8,1))=FU$13), 1*(_xlfn._xlws.FILTER(OFFSET($O$15,0,$DO19,$B$8,1),OFFSET($M$15,0,0,$B$8,1))=FU$14))   /   SUM(OFFSET($BO$15,0,0,$B$14,1)) + $B$18/($B$19*$B$19*($DN19&lt;&gt;$DO19) + $B$19*($DN19=$DO19))</f>
        <v>3.7037037037037035E-4</v>
      </c>
      <c r="FV19" s="10" cm="1">
        <f t="array" aca="1" ref="FV19" ca="1">(1-$B$18)*SUMPRODUCT(OFFSET($BO$15,0,0,$B$14,1), 1*(_xlfn._xlws.FILTER(OFFSET($O$15,0,$DN19,$B$8,1),OFFSET($M$15,0,0,$B$8,1))=FV$13), 1*(_xlfn._xlws.FILTER(OFFSET($O$15,0,$DO19,$B$8,1),OFFSET($M$15,0,0,$B$8,1))=FV$14))   /   SUM(OFFSET($BO$15,0,0,$B$14,1)) + $B$18/($B$19*$B$19*($DN19&lt;&gt;$DO19) + $B$19*($DN19=$DO19))</f>
        <v>3.7037037037037035E-4</v>
      </c>
      <c r="FW19" s="10" cm="1">
        <f t="array" aca="1" ref="FW19" ca="1">(1-$B$18)*SUMPRODUCT(OFFSET($BO$15,0,0,$B$14,1), 1*(_xlfn._xlws.FILTER(OFFSET($O$15,0,$DN19,$B$8,1),OFFSET($M$15,0,0,$B$8,1))=FW$13), 1*(_xlfn._xlws.FILTER(OFFSET($O$15,0,$DO19,$B$8,1),OFFSET($M$15,0,0,$B$8,1))=FW$14))   /   SUM(OFFSET($BO$15,0,0,$B$14,1)) + $B$18/($B$19*$B$19*($DN19&lt;&gt;$DO19) + $B$19*($DN19=$DO19))</f>
        <v>3.7037037037037035E-4</v>
      </c>
      <c r="FX19" s="10" cm="1">
        <f t="array" aca="1" ref="FX19" ca="1">(1-$B$18)*SUMPRODUCT(OFFSET($BO$15,0,0,$B$14,1), 1*(_xlfn._xlws.FILTER(OFFSET($O$15,0,$DN19,$B$8,1),OFFSET($M$15,0,0,$B$8,1))=FX$13), 1*(_xlfn._xlws.FILTER(OFFSET($O$15,0,$DO19,$B$8,1),OFFSET($M$15,0,0,$B$8,1))=FX$14))   /   SUM(OFFSET($BO$15,0,0,$B$14,1)) + $B$18/($B$19*$B$19*($DN19&lt;&gt;$DO19) + $B$19*($DN19=$DO19))</f>
        <v>3.7037037037037035E-4</v>
      </c>
      <c r="FY19" s="10" cm="1">
        <f t="array" aca="1" ref="FY19" ca="1">(1-$B$18)*SUMPRODUCT(OFFSET($BO$15,0,0,$B$14,1), 1*(_xlfn._xlws.FILTER(OFFSET($O$15,0,$DN19,$B$8,1),OFFSET($M$15,0,0,$B$8,1))=FY$13), 1*(_xlfn._xlws.FILTER(OFFSET($O$15,0,$DO19,$B$8,1),OFFSET($M$15,0,0,$B$8,1))=FY$14))   /   SUM(OFFSET($BO$15,0,0,$B$14,1)) + $B$18/($B$19*$B$19*($DN19&lt;&gt;$DO19) + $B$19*($DN19=$DO19))</f>
        <v>3.7037037037037035E-4</v>
      </c>
      <c r="FZ19" s="10" cm="1">
        <f t="array" aca="1" ref="FZ19" ca="1">(1-$B$18)*SUMPRODUCT(OFFSET($BO$15,0,0,$B$14,1), 1*(_xlfn._xlws.FILTER(OFFSET($O$15,0,$DN19,$B$8,1),OFFSET($M$15,0,0,$B$8,1))=FZ$13), 1*(_xlfn._xlws.FILTER(OFFSET($O$15,0,$DO19,$B$8,1),OFFSET($M$15,0,0,$B$8,1))=FZ$14))   /   SUM(OFFSET($BO$15,0,0,$B$14,1)) + $B$18/($B$19*$B$19*($DN19&lt;&gt;$DO19) + $B$19*($DN19=$DO19))</f>
        <v>3.7037037037037035E-4</v>
      </c>
      <c r="GA19" s="10" cm="1">
        <f t="array" aca="1" ref="GA19" ca="1">(1-$B$18)*SUMPRODUCT(OFFSET($BO$15,0,0,$B$14,1), 1*(_xlfn._xlws.FILTER(OFFSET($O$15,0,$DN19,$B$8,1),OFFSET($M$15,0,0,$B$8,1))=GA$13), 1*(_xlfn._xlws.FILTER(OFFSET($O$15,0,$DO19,$B$8,1),OFFSET($M$15,0,0,$B$8,1))=GA$14))   /   SUM(OFFSET($BO$15,0,0,$B$14,1)) + $B$18/($B$19*$B$19*($DN19&lt;&gt;$DO19) + $B$19*($DN19=$DO19))</f>
        <v>3.7037037037037035E-4</v>
      </c>
    </row>
    <row r="20" spans="1:183" x14ac:dyDescent="0.2">
      <c r="D20" s="10">
        <f ca="1"/>
        <v>5</v>
      </c>
      <c r="F20" s="10">
        <f ca="1"/>
        <v>0.1</v>
      </c>
      <c r="H20" s="10">
        <f ca="1"/>
        <v>5</v>
      </c>
      <c r="J20" cm="1">
        <f t="array" aca="1" ref="J20" ca="1">SUMPRODUCT((O20:AJ20=$O$11:$AJ$11)*(O$13:AJ$13=TRUE))  / COUNTIF(O$13:AJ$13,TRUE)</f>
        <v>1</v>
      </c>
      <c r="K20" t="b">
        <f t="shared" ca="1" si="4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5"/>
        <v>1</v>
      </c>
      <c r="N20" s="2">
        <v>5</v>
      </c>
      <c r="O20" s="12" t="s">
        <v>11</v>
      </c>
      <c r="P20" s="9" t="s">
        <v>11</v>
      </c>
      <c r="Q20" s="9" t="s">
        <v>11</v>
      </c>
      <c r="R20" s="9" t="s">
        <v>11</v>
      </c>
      <c r="S20" s="9" t="s">
        <v>11</v>
      </c>
      <c r="T20" s="12" t="s">
        <v>11</v>
      </c>
      <c r="U20" s="9" t="s">
        <v>11</v>
      </c>
      <c r="V20" s="9" t="s">
        <v>11</v>
      </c>
      <c r="W20" s="9" t="s">
        <v>11</v>
      </c>
      <c r="X20" s="9" t="s">
        <v>11</v>
      </c>
      <c r="Y20" s="12" t="s">
        <v>0</v>
      </c>
      <c r="Z20" s="9" t="s">
        <v>0</v>
      </c>
      <c r="AA20" s="9" t="s">
        <v>1</v>
      </c>
      <c r="AB20" s="9" t="s">
        <v>1</v>
      </c>
      <c r="AC20" s="9" t="s">
        <v>2</v>
      </c>
      <c r="AD20" s="12" t="s">
        <v>2</v>
      </c>
      <c r="AE20" s="9" t="s">
        <v>5</v>
      </c>
      <c r="AF20" s="9" t="s">
        <v>5</v>
      </c>
      <c r="AG20" s="9" t="s">
        <v>3</v>
      </c>
      <c r="AH20" s="9" t="s">
        <v>3</v>
      </c>
      <c r="AI20" s="12" t="s">
        <v>4</v>
      </c>
      <c r="AJ20" s="9" t="s">
        <v>4</v>
      </c>
      <c r="AK20" s="7"/>
      <c r="AN20">
        <f t="shared" ca="1" si="6"/>
        <v>7</v>
      </c>
      <c r="AO20" s="14">
        <f t="shared" ca="1" si="7"/>
        <v>0.14285714285714285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
) / $B$13)</f>
        <v>0.9</v>
      </c>
      <c r="AR20" cm="1">
        <f t="array" aca="1" ref="AR20" ca="1">IF($AP20=AR$14, 1, SUMPRODUCT(
    --(OFFSET($O$13,0,0,1,$B$9)=TRUE),
    --(INDEX(OFFSET($O$15,0,0,$B$8,$B$9), 1+$AP20, 0) = INDEX(OFFSET($O$15,0,0,$B$8,$B$9), 1+AR$14, 0))
) / $B$13)</f>
        <v>1</v>
      </c>
      <c r="AS20" cm="1">
        <f t="array" aca="1" ref="AS20" ca="1">IF($AP20=AS$14, 1, SUMPRODUCT(
    --(OFFSET($O$13,0,0,1,$B$9)=TRUE),
    --(INDEX(OFFSET($O$15,0,0,$B$8,$B$9), 1+$AP20, 0) = INDEX(OFFSET($O$15,0,0,$B$8,$B$9), 1+AS$14, 0))
) / $B$13)</f>
        <v>0.9</v>
      </c>
      <c r="AT20" cm="1">
        <f t="array" aca="1" ref="AT20" ca="1">IF($AP20=AT$14, 1, SUMPRODUCT(
    --(OFFSET($O$13,0,0,1,$B$9)=TRUE),
    --(INDEX(OFFSET($O$15,0,0,$B$8,$B$9), 1+$AP20, 0) = INDEX(OFFSET($O$15,0,0,$B$8,$B$9), 1+AT$14, 0))
) / $B$13)</f>
        <v>0.9</v>
      </c>
      <c r="AU20" cm="1">
        <f t="array" aca="1" ref="AU20" ca="1">IF($AP20=AU$14, 1, SUMPRODUCT(
    --(OFFSET($O$13,0,0,1,$B$9)=TRUE),
    --(INDEX(OFFSET($O$15,0,0,$B$8,$B$9), 1+$AP20, 0) = INDEX(OFFSET($O$15,0,0,$B$8,$B$9), 1+AU$14, 0))
) / $B$13)</f>
        <v>0.9</v>
      </c>
      <c r="AV20" cm="1">
        <f t="array" aca="1" ref="AV20" ca="1">IF($AP20=AV$14, 1, SUMPRODUCT(
    --(OFFSET($O$13,0,0,1,$B$9)=TRUE),
    --(INDEX(OFFSET($O$15,0,0,$B$8,$B$9), 1+$AP20, 0) = INDEX(OFFSET($O$15,0,0,$B$8,$B$9), 1+AV$14, 0))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
) / $B$13)</f>
        <v>0.85</v>
      </c>
      <c r="AX20" cm="1">
        <f t="array" aca="1" ref="AX20" ca="1">IF($AP20=AX$14, 1, SUMPRODUCT(
    --(OFFSET($O$13,0,0,1,$B$9)=TRUE),
    --(INDEX(OFFSET($O$15,0,0,$B$8,$B$9), 1+$AP20, 0) = INDEX(OFFSET($O$15,0,0,$B$8,$B$9), 1+AX$14, 0))
) / $B$13)</f>
        <v>0.85</v>
      </c>
      <c r="AY20" cm="1">
        <f t="array" aca="1" ref="AY20" ca="1">IF($AP20=AY$14, 1, SUMPRODUCT(
    --(OFFSET($O$13,0,0,1,$B$9)=TRUE),
    --(INDEX(OFFSET($O$15,0,0,$B$8,$B$9), 1+$AP20, 0) = INDEX(OFFSET($O$15,0,0,$B$8,$B$9), 1+AY$14, 0))
) / $B$13)</f>
        <v>1</v>
      </c>
      <c r="AZ20" cm="1">
        <f t="array" aca="1" ref="AZ20" ca="1">IF($AP20=AZ$14, 1, SUMPRODUCT(
    --(OFFSET($O$13,0,0,1,$B$9)=TRUE),
    --(INDEX(OFFSET($O$15,0,0,$B$8,$B$9), 1+$AP20, 0) = INDEX(OFFSET($O$15,0,0,$B$8,$B$9), 1+AZ$14, 0))
) / $B$13)</f>
        <v>1</v>
      </c>
      <c r="BA20" cm="1">
        <f t="array" aca="1" ref="BA20" ca="1">IF($AP20=BA$14, 1, SUMPRODUCT(
    --(OFFSET($O$13,0,0,1,$B$9)=TRUE),
    --(INDEX(OFFSET($O$15,0,0,$B$8,$B$9), 1+$AP20, 0) = INDEX(OFFSET($O$15,0,0,$B$8,$B$9), 1+BA$14, 0))
) / $B$13)</f>
        <v>1</v>
      </c>
      <c r="BB20" cm="1">
        <f t="array" aca="1" ref="BB20" ca="1">IF($AP20=BB$14, 1, SUMPRODUCT(
    --(OFFSET($O$13,0,0,1,$B$9)=TRUE),
    --(INDEX(OFFSET($O$15,0,0,$B$8,$B$9), 1+$AP20, 0) = INDEX(OFFSET($O$15,0,0,$B$8,$B$9), 1+BB$14, 0))
) / $B$13)</f>
        <v>1</v>
      </c>
      <c r="BC20" cm="1">
        <f t="array" aca="1" ref="BC20" ca="1">IF($AP20=BC$14, 1, SUMPRODUCT(
    --(OFFSET($O$13,0,0,1,$B$9)=TRUE),
    --(INDEX(OFFSET($O$15,0,0,$B$8,$B$9), 1+$AP20, 0) = INDEX(OFFSET($O$15,0,0,$B$8,$B$9), 1+BC$14, 0))
) / $B$13)</f>
        <v>1</v>
      </c>
      <c r="BD20" cm="1">
        <f t="array" aca="1" ref="BD20" ca="1">IF($AP20=BD$14, 1, SUMPRODUCT(
    --(OFFSET($O$13,0,0,1,$B$9)=TRUE),
    --(INDEX(OFFSET($O$15,0,0,$B$8,$B$9), 1+$AP20, 0) = INDEX(OFFSET($O$15,0,0,$B$8,$B$9), 1+BD$14, 0))
) / $B$13)</f>
        <v>0.95</v>
      </c>
      <c r="BE20" cm="1">
        <f t="array" aca="1" ref="BE20" ca="1">IF($AP20=BE$14, 1, SUMPRODUCT(
    --(OFFSET($O$13,0,0,1,$B$9)=TRUE),
    --(INDEX(OFFSET($O$15,0,0,$B$8,$B$9), 1+$AP20, 0) = INDEX(OFFSET($O$15,0,0,$B$8,$B$9), 1+BE$14, 0))
) / $B$13)</f>
        <v>0.8</v>
      </c>
      <c r="BF20" cm="1">
        <f t="array" aca="1" ref="BF20" ca="1">IF($AP20=BF$14, 1, SUMPRODUCT(
    --(OFFSET($O$13,0,0,1,$B$9)=TRUE),
    --(INDEX(OFFSET($O$15,0,0,$B$8,$B$9), 1+$AP20, 0) = INDEX(OFFSET($O$15,0,0,$B$8,$B$9), 1+BF$14, 0))
) / $B$13)</f>
        <v>0.8</v>
      </c>
      <c r="BG20" cm="1">
        <f t="array" aca="1" ref="BG20" ca="1">IF($AP20=BG$14, 1, SUMPRODUCT(
    --(OFFSET($O$13,0,0,1,$B$9)=TRUE),
    --(INDEX(OFFSET($O$15,0,0,$B$8,$B$9), 1+$AP20, 0) = INDEX(OFFSET($O$15,0,0,$B$8,$B$9), 1+BG$14, 0))
) / $B$13)</f>
        <v>0.95</v>
      </c>
      <c r="BH20" cm="1">
        <f t="array" aca="1" ref="BH20" ca="1">IF($AP20=BH$14, 1, SUMPRODUCT(
    --(OFFSET($O$13,0,0,1,$B$9)=TRUE),
    --(INDEX(OFFSET($O$15,0,0,$B$8,$B$9), 1+$AP20, 0) = INDEX(OFFSET($O$15,0,0,$B$8,$B$9), 1+BH$14, 0))
) / $B$13)</f>
        <v>0.8</v>
      </c>
      <c r="BI20" cm="1">
        <f t="array" aca="1" ref="BI20" ca="1">IF($AP20=BI$14, 1, SUMPRODUCT(
    --(OFFSET($O$13,0,0,1,$B$9)=TRUE),
    --(INDEX(OFFSET($O$15,0,0,$B$8,$B$9), 1+$AP20, 0) = INDEX(OFFSET($O$15,0,0,$B$8,$B$9), 1+BI$14, 0))
) / $B$13)</f>
        <v>0.95</v>
      </c>
      <c r="BJ20" cm="1">
        <f t="array" aca="1" ref="BJ20" ca="1">IF($AP20=BJ$14, 1, SUMPRODUCT(
    --(OFFSET($O$13,0,0,1,$B$9)=TRUE),
    --(INDEX(OFFSET($O$15,0,0,$B$8,$B$9), 1+$AP20, 0) = INDEX(OFFSET($O$15,0,0,$B$8,$B$9), 1+BJ$14, 0))
) / $B$13)</f>
        <v>0.85</v>
      </c>
      <c r="BN20">
        <f t="shared" ca="1" si="8"/>
        <v>10</v>
      </c>
      <c r="BO20" s="14">
        <f t="shared" ca="1" si="9"/>
        <v>0.1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
) / $B$16)</f>
        <v>0.89473684210526316</v>
      </c>
      <c r="BR20" cm="1">
        <f t="array" aca="1" ref="BR20" ca="1">IF($BP20=BR$14, 1, SUMPRODUCT(
    --(OFFSET($O$9,0,0,1,$B$9)=TRUE),
    --(INDEX(OFFSET($O$15,0,0,$B$8,$B$9), 1+$BP20, 0) = INDEX(OFFSET($O$15,0,0,$B$8,$B$9), 1+BR$14, 0))
) / $B$16)</f>
        <v>1</v>
      </c>
      <c r="BS20" cm="1">
        <f t="array" aca="1" ref="BS20" ca="1">IF($BP20=BS$14, 1, SUMPRODUCT(
    --(OFFSET($O$9,0,0,1,$B$9)=TRUE),
    --(INDEX(OFFSET($O$15,0,0,$B$8,$B$9), 1+$BP20, 0) = INDEX(OFFSET($O$15,0,0,$B$8,$B$9), 1+BS$14, 0))
) / $B$16)</f>
        <v>0.89473684210526316</v>
      </c>
      <c r="BT20" cm="1">
        <f t="array" aca="1" ref="BT20" ca="1">IF($BP20=BT$14, 1, SUMPRODUCT(
    --(OFFSET($O$9,0,0,1,$B$9)=TRUE),
    --(INDEX(OFFSET($O$15,0,0,$B$8,$B$9), 1+$BP20, 0) = INDEX(OFFSET($O$15,0,0,$B$8,$B$9), 1+BT$14, 0))
) / $B$16)</f>
        <v>0.89473684210526316</v>
      </c>
      <c r="BU20" cm="1">
        <f t="array" aca="1" ref="BU20" ca="1">IF($BP20=BU$14, 1, SUMPRODUCT(
    --(OFFSET($O$9,0,0,1,$B$9)=TRUE),
    --(INDEX(OFFSET($O$15,0,0,$B$8,$B$9), 1+$BP20, 0) = INDEX(OFFSET($O$15,0,0,$B$8,$B$9), 1+BU$14, 0))
) / $B$16)</f>
        <v>0.89473684210526316</v>
      </c>
      <c r="BV20" cm="1">
        <f t="array" aca="1" ref="BV20" ca="1">IF($BP20=BV$14, 1, SUMPRODUCT(
    --(OFFSET($O$9,0,0,1,$B$9)=TRUE),
    --(INDEX(OFFSET($O$15,0,0,$B$8,$B$9), 1+$BP20, 0) = INDEX(OFFSET($O$15,0,0,$B$8,$B$9), 1+BV$14, 0))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
) / $B$16)</f>
        <v>0.84210526315789469</v>
      </c>
      <c r="BX20" cm="1">
        <f t="array" aca="1" ref="BX20" ca="1">IF($BP20=BX$14, 1, SUMPRODUCT(
    --(OFFSET($O$9,0,0,1,$B$9)=TRUE),
    --(INDEX(OFFSET($O$15,0,0,$B$8,$B$9), 1+$BP20, 0) = INDEX(OFFSET($O$15,0,0,$B$8,$B$9), 1+BX$14, 0))
) / $B$16)</f>
        <v>0.84210526315789469</v>
      </c>
      <c r="BY20" cm="1">
        <f t="array" aca="1" ref="BY20" ca="1">IF($BP20=BY$14, 1, SUMPRODUCT(
    --(OFFSET($O$9,0,0,1,$B$9)=TRUE),
    --(INDEX(OFFSET($O$15,0,0,$B$8,$B$9), 1+$BP20, 0) = INDEX(OFFSET($O$15,0,0,$B$8,$B$9), 1+BY$14, 0))
) / $B$16)</f>
        <v>1</v>
      </c>
      <c r="BZ20" cm="1">
        <f t="array" aca="1" ref="BZ20" ca="1">IF($BP20=BZ$14, 1, SUMPRODUCT(
    --(OFFSET($O$9,0,0,1,$B$9)=TRUE),
    --(INDEX(OFFSET($O$15,0,0,$B$8,$B$9), 1+$BP20, 0) = INDEX(OFFSET($O$15,0,0,$B$8,$B$9), 1+BZ$14, 0))
) / $B$16)</f>
        <v>1</v>
      </c>
      <c r="CA20" cm="1">
        <f t="array" aca="1" ref="CA20" ca="1">IF($BP20=CA$14, 1, SUMPRODUCT(
    --(OFFSET($O$9,0,0,1,$B$9)=TRUE),
    --(INDEX(OFFSET($O$15,0,0,$B$8,$B$9), 1+$BP20, 0) = INDEX(OFFSET($O$15,0,0,$B$8,$B$9), 1+CA$14, 0))
) / $B$16)</f>
        <v>1</v>
      </c>
      <c r="CB20" cm="1">
        <f t="array" aca="1" ref="CB20" ca="1">IF($BP20=CB$14, 1, SUMPRODUCT(
    --(OFFSET($O$9,0,0,1,$B$9)=TRUE),
    --(INDEX(OFFSET($O$15,0,0,$B$8,$B$9), 1+$BP20, 0) = INDEX(OFFSET($O$15,0,0,$B$8,$B$9), 1+CB$14, 0))
) / $B$16)</f>
        <v>1</v>
      </c>
      <c r="CC20" cm="1">
        <f t="array" aca="1" ref="CC20" ca="1">IF($BP20=CC$14, 1, SUMPRODUCT(
    --(OFFSET($O$9,0,0,1,$B$9)=TRUE),
    --(INDEX(OFFSET($O$15,0,0,$B$8,$B$9), 1+$BP20, 0) = INDEX(OFFSET($O$15,0,0,$B$8,$B$9), 1+CC$14, 0))
) / $B$16)</f>
        <v>1</v>
      </c>
      <c r="CD20" cm="1">
        <f t="array" aca="1" ref="CD20" ca="1">IF($BP20=CD$14, 1, SUMPRODUCT(
    --(OFFSET($O$9,0,0,1,$B$9)=TRUE),
    --(INDEX(OFFSET($O$15,0,0,$B$8,$B$9), 1+$BP20, 0) = INDEX(OFFSET($O$15,0,0,$B$8,$B$9), 1+CD$14, 0))
) / $B$16)</f>
        <v>1</v>
      </c>
      <c r="CE20" cm="1">
        <f t="array" aca="1" ref="CE20" ca="1">IF($BP20=CE$14, 1, SUMPRODUCT(
    --(OFFSET($O$9,0,0,1,$B$9)=TRUE),
    --(INDEX(OFFSET($O$15,0,0,$B$8,$B$9), 1+$BP20, 0) = INDEX(OFFSET($O$15,0,0,$B$8,$B$9), 1+CE$14, 0))
) / $B$16)</f>
        <v>0.84210526315789469</v>
      </c>
      <c r="CF20" cm="1">
        <f t="array" aca="1" ref="CF20" ca="1">IF($BP20=CF$14, 1, SUMPRODUCT(
    --(OFFSET($O$9,0,0,1,$B$9)=TRUE),
    --(INDEX(OFFSET($O$15,0,0,$B$8,$B$9), 1+$BP20, 0) = INDEX(OFFSET($O$15,0,0,$B$8,$B$9), 1+CF$14, 0))
) / $B$16)</f>
        <v>0.84210526315789469</v>
      </c>
      <c r="CG20" cm="1">
        <f t="array" aca="1" ref="CG20" ca="1">IF($BP20=CG$14, 1, SUMPRODUCT(
    --(OFFSET($O$9,0,0,1,$B$9)=TRUE),
    --(INDEX(OFFSET($O$15,0,0,$B$8,$B$9), 1+$BP20, 0) = INDEX(OFFSET($O$15,0,0,$B$8,$B$9), 1+CG$14, 0))
) / $B$16)</f>
        <v>1</v>
      </c>
      <c r="CH20" cm="1">
        <f t="array" aca="1" ref="CH20" ca="1">IF($BP20=CH$14, 1, SUMPRODUCT(
    --(OFFSET($O$9,0,0,1,$B$9)=TRUE),
    --(INDEX(OFFSET($O$15,0,0,$B$8,$B$9), 1+$BP20, 0) = INDEX(OFFSET($O$15,0,0,$B$8,$B$9), 1+CH$14, 0))
) / $B$16)</f>
        <v>0.84210526315789469</v>
      </c>
      <c r="CI20" cm="1">
        <f t="array" aca="1" ref="CI20" ca="1">IF($BP20=CI$14, 1, SUMPRODUCT(
    --(OFFSET($O$9,0,0,1,$B$9)=TRUE),
    --(INDEX(OFFSET($O$15,0,0,$B$8,$B$9), 1+$BP20, 0) = INDEX(OFFSET($O$15,0,0,$B$8,$B$9), 1+CI$14, 0))
) / $B$16)</f>
        <v>1</v>
      </c>
      <c r="CJ20" cm="1">
        <f t="array" aca="1" ref="CJ20" ca="1">IF($BP20=CJ$14, 1, SUMPRODUCT(
    --(OFFSET($O$9,0,0,1,$B$9)=TRUE),
    --(INDEX(OFFSET($O$15,0,0,$B$8,$B$9), 1+$BP20, 0) = INDEX(OFFSET($O$15,0,0,$B$8,$B$9), 1+CJ$14, 0))
) / $B$16)</f>
        <v>0.84210526315789469</v>
      </c>
      <c r="CP20">
        <f ca="1"/>
        <v>5</v>
      </c>
      <c r="CQ20" cm="1">
        <f t="array" aca="1" ref="CQ20" ca="1">(1-$B$18)*SUMPRODUCT(OFFSET($BO$15,0,0,$B$14,1), 1*(_xlfn._xlws.FILTER(OFFSET($O$15,0,$CP20,$B$8,1), OFFSET($M$15,0,0,$B$8,1))=CQ$14))   /   SUM(OFFSET($BO$15,0,0,$B$14,1)) + $B$18/$B$19</f>
        <v>3.3333333333333331E-3</v>
      </c>
      <c r="CR20" s="10" cm="1">
        <f t="array" aca="1" ref="CR20" ca="1">(1-$B$18)*SUMPRODUCT(OFFSET($BO$15,0,0,$B$14,1), 1*(_xlfn._xlws.FILTER(OFFSET($O$15,0,$CP20,$B$8,1), OFFSET($M$15,0,0,$B$8,1))=CR$14))   /   SUM(OFFSET($BO$15,0,0,$B$14,1)) + $B$18/$B$19</f>
        <v>3.3333333333333331E-3</v>
      </c>
      <c r="CS20" s="10" cm="1">
        <f t="array" aca="1" ref="CS20" ca="1">(1-$B$18)*SUMPRODUCT(OFFSET($BO$15,0,0,$B$14,1), 1*(_xlfn._xlws.FILTER(OFFSET($O$15,0,$CP20,$B$8,1), OFFSET($M$15,0,0,$B$8,1))=CS$14))   /   SUM(OFFSET($BO$15,0,0,$B$14,1)) + $B$18/$B$19</f>
        <v>3.3333333333333331E-3</v>
      </c>
      <c r="CT20" s="10" cm="1">
        <f t="array" aca="1" ref="CT20" ca="1">(1-$B$18)*SUMPRODUCT(OFFSET($BO$15,0,0,$B$14,1), 1*(_xlfn._xlws.FILTER(OFFSET($O$15,0,$CP20,$B$8,1), OFFSET($M$15,0,0,$B$8,1))=CT$14))   /   SUM(OFFSET($BO$15,0,0,$B$14,1)) + $B$18/$B$19</f>
        <v>3.3333333333333331E-3</v>
      </c>
      <c r="CU20" s="10" cm="1">
        <f t="array" aca="1" ref="CU20" ca="1">(1-$B$18)*SUMPRODUCT(OFFSET($BO$15,0,0,$B$14,1), 1*(_xlfn._xlws.FILTER(OFFSET($O$15,0,$CP20,$B$8,1), OFFSET($M$15,0,0,$B$8,1))=CU$14))   /   SUM(OFFSET($BO$15,0,0,$B$14,1)) + $B$18/$B$19</f>
        <v>3.3333333333333331E-3</v>
      </c>
      <c r="CV20" s="10" cm="1">
        <f t="array" aca="1" ref="CV20" ca="1">(1-$B$18)*SUMPRODUCT(OFFSET($BO$15,0,0,$B$14,1), 1*(_xlfn._xlws.FILTER(OFFSET($O$15,0,$CP20,$B$8,1), OFFSET($M$15,0,0,$B$8,1))=CV$14))   /   SUM(OFFSET($BO$15,0,0,$B$14,1)) + $B$18/$B$19</f>
        <v>3.3333333333333331E-3</v>
      </c>
      <c r="CW20" s="10" cm="1">
        <f t="array" aca="1" ref="CW20" ca="1">(1-$B$18)*SUMPRODUCT(OFFSET($BO$15,0,0,$B$14,1), 1*(_xlfn._xlws.FILTER(OFFSET($O$15,0,$CP20,$B$8,1), OFFSET($M$15,0,0,$B$8,1))=CW$14))   /   SUM(OFFSET($BO$15,0,0,$B$14,1)) + $B$18/$B$19</f>
        <v>3.3333333333333331E-3</v>
      </c>
      <c r="CX20" s="10" cm="1">
        <f t="array" aca="1" ref="CX20" ca="1">(1-$B$18)*SUMPRODUCT(OFFSET($BO$15,0,0,$B$14,1), 1*(_xlfn._xlws.FILTER(OFFSET($O$15,0,$CP20,$B$8,1), OFFSET($M$15,0,0,$B$8,1))=CX$14))   /   SUM(OFFSET($BO$15,0,0,$B$14,1)) + $B$18/$B$19</f>
        <v>0.97333333333333327</v>
      </c>
      <c r="CY20" s="10" cm="1">
        <f t="array" aca="1" ref="CY20" ca="1">(1-$B$18)*SUMPRODUCT(OFFSET($BO$15,0,0,$B$14,1), 1*(_xlfn._xlws.FILTER(OFFSET($O$15,0,$CP20,$B$8,1), OFFSET($M$15,0,0,$B$8,1))=CY$14))   /   SUM(OFFSET($BO$15,0,0,$B$14,1)) + $B$18/$B$19</f>
        <v>3.3333333333333331E-3</v>
      </c>
      <c r="DB20" s="10" cm="1">
        <f t="array" aca="1" ref="DB20" ca="1">SUM(OFFSET($CR20,0,0,1,$M$2)*LN(OFFSET($CR20,0,0,1,$M$2)/OFFSET($CR$11,0,0,1,$M$2)))+IF($CQ$11&gt;0,OFFSET($O$10,0,$CP20,1,1)*LN(OFFSET($O$10,0,$CP20,1,1)/$CQ$11),0)</f>
        <v>1.9131139043413501</v>
      </c>
      <c r="DC20">
        <f ca="1"/>
        <v>5</v>
      </c>
      <c r="DD20" s="10">
        <f t="shared" ca="1" si="11"/>
        <v>0.11767737994455678</v>
      </c>
      <c r="DE20" s="10">
        <f t="shared" ca="1" si="10"/>
        <v>0.11767737994455678</v>
      </c>
      <c r="DF20" s="10">
        <f t="shared" ca="1" si="10"/>
        <v>0.11767737994455678</v>
      </c>
      <c r="DG20" s="10">
        <f t="shared" ca="1" si="10"/>
        <v>0.11767737994455678</v>
      </c>
      <c r="DH20" s="10">
        <f t="shared" ca="1" si="10"/>
        <v>0.11767737994455678</v>
      </c>
      <c r="DI20" s="10">
        <f t="shared" ca="1" si="10"/>
        <v>0.11767737994455678</v>
      </c>
      <c r="DJ20" s="10">
        <f t="shared" ca="1" si="10"/>
        <v>1.9045936050347492</v>
      </c>
      <c r="DK20" s="10">
        <f t="shared" ca="1" si="10"/>
        <v>0.11767737994455678</v>
      </c>
      <c r="DN20" cm="1">
        <f t="array" aca="1" ref="DN20" ca="1">INDEX(_xlfn.ANCHORARRAY($CP$15), 1 + INT((ROWS($DO$15:$DO20) - 1) / ROWS(_xlfn.ANCHORARRAY($CP$15))))</f>
        <v>0</v>
      </c>
      <c r="DO20" cm="1">
        <f t="array" aca="1" ref="DO20" ca="1">INDEX(_xlfn.ANCHORARRAY($CP$15),1+MOD(ROWS($DO$15:$DO20)-1,ROWS(_xlfn.ANCHORARRAY($CP$15))))</f>
        <v>5</v>
      </c>
      <c r="DP20" s="10" cm="1">
        <f t="array" aca="1" ref="DP20" ca="1">(1-$B$18)*SUMPRODUCT(OFFSET($BO$15,0,0,$B$14,1), 1*(_xlfn._xlws.FILTER(OFFSET($O$15,0,$DN20,$B$8,1),OFFSET($M$15,0,0,$B$8,1))=DP$13), 1*(_xlfn._xlws.FILTER(OFFSET($O$15,0,$DO20,$B$8,1),OFFSET($M$15,0,0,$B$8,1))=DP$14))   /   SUM(OFFSET($BO$15,0,0,$B$14,1)) + $B$18/($B$19*$B$19*($DN20&lt;&gt;$DO20) + $B$19*($DN20=$DO20))</f>
        <v>3.7037037037037035E-4</v>
      </c>
      <c r="DQ20" s="10" cm="1">
        <f t="array" aca="1" ref="DQ20" ca="1">(1-$B$18)*SUMPRODUCT(OFFSET($BO$15,0,0,$B$14,1), 1*(_xlfn._xlws.FILTER(OFFSET($O$15,0,$DN20,$B$8,1),OFFSET($M$15,0,0,$B$8,1))=DQ$13), 1*(_xlfn._xlws.FILTER(OFFSET($O$15,0,$DO20,$B$8,1),OFFSET($M$15,0,0,$B$8,1))=DQ$14))   /   SUM(OFFSET($BO$15,0,0,$B$14,1)) + $B$18/($B$19*$B$19*($DN20&lt;&gt;$DO20) + $B$19*($DN20=$DO20))</f>
        <v>3.7037037037037035E-4</v>
      </c>
      <c r="DR20" s="10" cm="1">
        <f t="array" aca="1" ref="DR20" ca="1">(1-$B$18)*SUMPRODUCT(OFFSET($BO$15,0,0,$B$14,1), 1*(_xlfn._xlws.FILTER(OFFSET($O$15,0,$DN20,$B$8,1),OFFSET($M$15,0,0,$B$8,1))=DR$13), 1*(_xlfn._xlws.FILTER(OFFSET($O$15,0,$DO20,$B$8,1),OFFSET($M$15,0,0,$B$8,1))=DR$14))   /   SUM(OFFSET($BO$15,0,0,$B$14,1)) + $B$18/($B$19*$B$19*($DN20&lt;&gt;$DO20) + $B$19*($DN20=$DO20))</f>
        <v>3.7037037037037035E-4</v>
      </c>
      <c r="DS20" s="10" cm="1">
        <f t="array" aca="1" ref="DS20" ca="1">(1-$B$18)*SUMPRODUCT(OFFSET($BO$15,0,0,$B$14,1), 1*(_xlfn._xlws.FILTER(OFFSET($O$15,0,$DN20,$B$8,1),OFFSET($M$15,0,0,$B$8,1))=DS$13), 1*(_xlfn._xlws.FILTER(OFFSET($O$15,0,$DO20,$B$8,1),OFFSET($M$15,0,0,$B$8,1))=DS$14))   /   SUM(OFFSET($BO$15,0,0,$B$14,1)) + $B$18/($B$19*$B$19*($DN20&lt;&gt;$DO20) + $B$19*($DN20=$DO20))</f>
        <v>3.7037037037037035E-4</v>
      </c>
      <c r="DT20" s="10" cm="1">
        <f t="array" aca="1" ref="DT20" ca="1">(1-$B$18)*SUMPRODUCT(OFFSET($BO$15,0,0,$B$14,1), 1*(_xlfn._xlws.FILTER(OFFSET($O$15,0,$DN20,$B$8,1),OFFSET($M$15,0,0,$B$8,1))=DT$13), 1*(_xlfn._xlws.FILTER(OFFSET($O$15,0,$DO20,$B$8,1),OFFSET($M$15,0,0,$B$8,1))=DT$14))   /   SUM(OFFSET($BO$15,0,0,$B$14,1)) + $B$18/($B$19*$B$19*($DN20&lt;&gt;$DO20) + $B$19*($DN20=$DO20))</f>
        <v>3.7037037037037035E-4</v>
      </c>
      <c r="DU20" s="10" cm="1">
        <f t="array" aca="1" ref="DU20" ca="1">(1-$B$18)*SUMPRODUCT(OFFSET($BO$15,0,0,$B$14,1), 1*(_xlfn._xlws.FILTER(OFFSET($O$15,0,$DN20,$B$8,1),OFFSET($M$15,0,0,$B$8,1))=DU$13), 1*(_xlfn._xlws.FILTER(OFFSET($O$15,0,$DO20,$B$8,1),OFFSET($M$15,0,0,$B$8,1))=DU$14))   /   SUM(OFFSET($BO$15,0,0,$B$14,1)) + $B$18/($B$19*$B$19*($DN20&lt;&gt;$DO20) + $B$19*($DN20=$DO20))</f>
        <v>3.7037037037037035E-4</v>
      </c>
      <c r="DV20" s="10" cm="1">
        <f t="array" aca="1" ref="DV20" ca="1">(1-$B$18)*SUMPRODUCT(OFFSET($BO$15,0,0,$B$14,1), 1*(_xlfn._xlws.FILTER(OFFSET($O$15,0,$DN20,$B$8,1),OFFSET($M$15,0,0,$B$8,1))=DV$13), 1*(_xlfn._xlws.FILTER(OFFSET($O$15,0,$DO20,$B$8,1),OFFSET($M$15,0,0,$B$8,1))=DV$14))   /   SUM(OFFSET($BO$15,0,0,$B$14,1)) + $B$18/($B$19*$B$19*($DN20&lt;&gt;$DO20) + $B$19*($DN20=$DO20))</f>
        <v>3.7037037037037035E-4</v>
      </c>
      <c r="DW20" s="10" cm="1">
        <f t="array" aca="1" ref="DW20" ca="1">(1-$B$18)*SUMPRODUCT(OFFSET($BO$15,0,0,$B$14,1), 1*(_xlfn._xlws.FILTER(OFFSET($O$15,0,$DN20,$B$8,1),OFFSET($M$15,0,0,$B$8,1))=DW$13), 1*(_xlfn._xlws.FILTER(OFFSET($O$15,0,$DO20,$B$8,1),OFFSET($M$15,0,0,$B$8,1))=DW$14))   /   SUM(OFFSET($BO$15,0,0,$B$14,1)) + $B$18/($B$19*$B$19*($DN20&lt;&gt;$DO20) + $B$19*($DN20=$DO20))</f>
        <v>3.7037037037037035E-4</v>
      </c>
      <c r="DX20" s="10" cm="1">
        <f t="array" aca="1" ref="DX20" ca="1">(1-$B$18)*SUMPRODUCT(OFFSET($BO$15,0,0,$B$14,1), 1*(_xlfn._xlws.FILTER(OFFSET($O$15,0,$DN20,$B$8,1),OFFSET($M$15,0,0,$B$8,1))=DX$13), 1*(_xlfn._xlws.FILTER(OFFSET($O$15,0,$DO20,$B$8,1),OFFSET($M$15,0,0,$B$8,1))=DX$14))   /   SUM(OFFSET($BO$15,0,0,$B$14,1)) + $B$18/($B$19*$B$19*($DN20&lt;&gt;$DO20) + $B$19*($DN20=$DO20))</f>
        <v>3.7037037037037035E-4</v>
      </c>
      <c r="DY20" s="10" cm="1">
        <f t="array" aca="1" ref="DY20" ca="1">(1-$B$18)*SUMPRODUCT(OFFSET($BO$15,0,0,$B$14,1), 1*(_xlfn._xlws.FILTER(OFFSET($O$15,0,$DN20,$B$8,1),OFFSET($M$15,0,0,$B$8,1))=DY$13), 1*(_xlfn._xlws.FILTER(OFFSET($O$15,0,$DO20,$B$8,1),OFFSET($M$15,0,0,$B$8,1))=DY$14))   /   SUM(OFFSET($BO$15,0,0,$B$14,1)) + $B$18/($B$19*$B$19*($DN20&lt;&gt;$DO20) + $B$19*($DN20=$DO20))</f>
        <v>3.7037037037037035E-4</v>
      </c>
      <c r="DZ20" s="10" cm="1">
        <f t="array" aca="1" ref="DZ20" ca="1">(1-$B$18)*SUMPRODUCT(OFFSET($BO$15,0,0,$B$14,1), 1*(_xlfn._xlws.FILTER(OFFSET($O$15,0,$DN20,$B$8,1),OFFSET($M$15,0,0,$B$8,1))=DZ$13), 1*(_xlfn._xlws.FILTER(OFFSET($O$15,0,$DO20,$B$8,1),OFFSET($M$15,0,0,$B$8,1))=DZ$14))   /   SUM(OFFSET($BO$15,0,0,$B$14,1)) + $B$18/($B$19*$B$19*($DN20&lt;&gt;$DO20) + $B$19*($DN20=$DO20))</f>
        <v>3.7037037037037035E-4</v>
      </c>
      <c r="EA20" s="10" cm="1">
        <f t="array" aca="1" ref="EA20" ca="1">(1-$B$18)*SUMPRODUCT(OFFSET($BO$15,0,0,$B$14,1), 1*(_xlfn._xlws.FILTER(OFFSET($O$15,0,$DN20,$B$8,1),OFFSET($M$15,0,0,$B$8,1))=EA$13), 1*(_xlfn._xlws.FILTER(OFFSET($O$15,0,$DO20,$B$8,1),OFFSET($M$15,0,0,$B$8,1))=EA$14))   /   SUM(OFFSET($BO$15,0,0,$B$14,1)) + $B$18/($B$19*$B$19*($DN20&lt;&gt;$DO20) + $B$19*($DN20=$DO20))</f>
        <v>3.7037037037037035E-4</v>
      </c>
      <c r="EB20" s="10" cm="1">
        <f t="array" aca="1" ref="EB20" ca="1">(1-$B$18)*SUMPRODUCT(OFFSET($BO$15,0,0,$B$14,1), 1*(_xlfn._xlws.FILTER(OFFSET($O$15,0,$DN20,$B$8,1),OFFSET($M$15,0,0,$B$8,1))=EB$13), 1*(_xlfn._xlws.FILTER(OFFSET($O$15,0,$DO20,$B$8,1),OFFSET($M$15,0,0,$B$8,1))=EB$14))   /   SUM(OFFSET($BO$15,0,0,$B$14,1)) + $B$18/($B$19*$B$19*($DN20&lt;&gt;$DO20) + $B$19*($DN20=$DO20))</f>
        <v>3.7037037037037035E-4</v>
      </c>
      <c r="EC20" s="10" cm="1">
        <f t="array" aca="1" ref="EC20" ca="1">(1-$B$18)*SUMPRODUCT(OFFSET($BO$15,0,0,$B$14,1), 1*(_xlfn._xlws.FILTER(OFFSET($O$15,0,$DN20,$B$8,1),OFFSET($M$15,0,0,$B$8,1))=EC$13), 1*(_xlfn._xlws.FILTER(OFFSET($O$15,0,$DO20,$B$8,1),OFFSET($M$15,0,0,$B$8,1))=EC$14))   /   SUM(OFFSET($BO$15,0,0,$B$14,1)) + $B$18/($B$19*$B$19*($DN20&lt;&gt;$DO20) + $B$19*($DN20=$DO20))</f>
        <v>3.7037037037037035E-4</v>
      </c>
      <c r="ED20" s="10" cm="1">
        <f t="array" aca="1" ref="ED20" ca="1">(1-$B$18)*SUMPRODUCT(OFFSET($BO$15,0,0,$B$14,1), 1*(_xlfn._xlws.FILTER(OFFSET($O$15,0,$DN20,$B$8,1),OFFSET($M$15,0,0,$B$8,1))=ED$13), 1*(_xlfn._xlws.FILTER(OFFSET($O$15,0,$DO20,$B$8,1),OFFSET($M$15,0,0,$B$8,1))=ED$14))   /   SUM(OFFSET($BO$15,0,0,$B$14,1)) + $B$18/($B$19*$B$19*($DN20&lt;&gt;$DO20) + $B$19*($DN20=$DO20))</f>
        <v>3.7037037037037035E-4</v>
      </c>
      <c r="EE20" s="10" cm="1">
        <f t="array" aca="1" ref="EE20" ca="1">(1-$B$18)*SUMPRODUCT(OFFSET($BO$15,0,0,$B$14,1), 1*(_xlfn._xlws.FILTER(OFFSET($O$15,0,$DN20,$B$8,1),OFFSET($M$15,0,0,$B$8,1))=EE$13), 1*(_xlfn._xlws.FILTER(OFFSET($O$15,0,$DO20,$B$8,1),OFFSET($M$15,0,0,$B$8,1))=EE$14))   /   SUM(OFFSET($BO$15,0,0,$B$14,1)) + $B$18/($B$19*$B$19*($DN20&lt;&gt;$DO20) + $B$19*($DN20=$DO20))</f>
        <v>3.7037037037037035E-4</v>
      </c>
      <c r="EF20" s="10" cm="1">
        <f t="array" aca="1" ref="EF20" ca="1">(1-$B$18)*SUMPRODUCT(OFFSET($BO$15,0,0,$B$14,1), 1*(_xlfn._xlws.FILTER(OFFSET($O$15,0,$DN20,$B$8,1),OFFSET($M$15,0,0,$B$8,1))=EF$13), 1*(_xlfn._xlws.FILTER(OFFSET($O$15,0,$DO20,$B$8,1),OFFSET($M$15,0,0,$B$8,1))=EF$14))   /   SUM(OFFSET($BO$15,0,0,$B$14,1)) + $B$18/($B$19*$B$19*($DN20&lt;&gt;$DO20) + $B$19*($DN20=$DO20))</f>
        <v>3.7037037037037035E-4</v>
      </c>
      <c r="EG20" s="10" cm="1">
        <f t="array" aca="1" ref="EG20" ca="1">(1-$B$18)*SUMPRODUCT(OFFSET($BO$15,0,0,$B$14,1), 1*(_xlfn._xlws.FILTER(OFFSET($O$15,0,$DN20,$B$8,1),OFFSET($M$15,0,0,$B$8,1))=EG$13), 1*(_xlfn._xlws.FILTER(OFFSET($O$15,0,$DO20,$B$8,1),OFFSET($M$15,0,0,$B$8,1))=EG$14))   /   SUM(OFFSET($BO$15,0,0,$B$14,1)) + $B$18/($B$19*$B$19*($DN20&lt;&gt;$DO20) + $B$19*($DN20=$DO20))</f>
        <v>3.7037037037037035E-4</v>
      </c>
      <c r="EH20" s="10" cm="1">
        <f t="array" aca="1" ref="EH20" ca="1">(1-$B$18)*SUMPRODUCT(OFFSET($BO$15,0,0,$B$14,1), 1*(_xlfn._xlws.FILTER(OFFSET($O$15,0,$DN20,$B$8,1),OFFSET($M$15,0,0,$B$8,1))=EH$13), 1*(_xlfn._xlws.FILTER(OFFSET($O$15,0,$DO20,$B$8,1),OFFSET($M$15,0,0,$B$8,1))=EH$14))   /   SUM(OFFSET($BO$15,0,0,$B$14,1)) + $B$18/($B$19*$B$19*($DN20&lt;&gt;$DO20) + $B$19*($DN20=$DO20))</f>
        <v>3.7037037037037035E-4</v>
      </c>
      <c r="EI20" s="10" cm="1">
        <f t="array" aca="1" ref="EI20" ca="1">(1-$B$18)*SUMPRODUCT(OFFSET($BO$15,0,0,$B$14,1), 1*(_xlfn._xlws.FILTER(OFFSET($O$15,0,$DN20,$B$8,1),OFFSET($M$15,0,0,$B$8,1))=EI$13), 1*(_xlfn._xlws.FILTER(OFFSET($O$15,0,$DO20,$B$8,1),OFFSET($M$15,0,0,$B$8,1))=EI$14))   /   SUM(OFFSET($BO$15,0,0,$B$14,1)) + $B$18/($B$19*$B$19*($DN20&lt;&gt;$DO20) + $B$19*($DN20=$DO20))</f>
        <v>3.7037037037037035E-4</v>
      </c>
      <c r="EJ20" s="10" cm="1">
        <f t="array" aca="1" ref="EJ20" ca="1">(1-$B$18)*SUMPRODUCT(OFFSET($BO$15,0,0,$B$14,1), 1*(_xlfn._xlws.FILTER(OFFSET($O$15,0,$DN20,$B$8,1),OFFSET($M$15,0,0,$B$8,1))=EJ$13), 1*(_xlfn._xlws.FILTER(OFFSET($O$15,0,$DO20,$B$8,1),OFFSET($M$15,0,0,$B$8,1))=EJ$14))   /   SUM(OFFSET($BO$15,0,0,$B$14,1)) + $B$18/($B$19*$B$19*($DN20&lt;&gt;$DO20) + $B$19*($DN20=$DO20))</f>
        <v>3.7037037037037035E-4</v>
      </c>
      <c r="EK20" s="10" cm="1">
        <f t="array" aca="1" ref="EK20" ca="1">(1-$B$18)*SUMPRODUCT(OFFSET($BO$15,0,0,$B$14,1), 1*(_xlfn._xlws.FILTER(OFFSET($O$15,0,$DN20,$B$8,1),OFFSET($M$15,0,0,$B$8,1))=EK$13), 1*(_xlfn._xlws.FILTER(OFFSET($O$15,0,$DO20,$B$8,1),OFFSET($M$15,0,0,$B$8,1))=EK$14))   /   SUM(OFFSET($BO$15,0,0,$B$14,1)) + $B$18/($B$19*$B$19*($DN20&lt;&gt;$DO20) + $B$19*($DN20=$DO20))</f>
        <v>3.7037037037037035E-4</v>
      </c>
      <c r="EL20" s="10" cm="1">
        <f t="array" aca="1" ref="EL20" ca="1">(1-$B$18)*SUMPRODUCT(OFFSET($BO$15,0,0,$B$14,1), 1*(_xlfn._xlws.FILTER(OFFSET($O$15,0,$DN20,$B$8,1),OFFSET($M$15,0,0,$B$8,1))=EL$13), 1*(_xlfn._xlws.FILTER(OFFSET($O$15,0,$DO20,$B$8,1),OFFSET($M$15,0,0,$B$8,1))=EL$14))   /   SUM(OFFSET($BO$15,0,0,$B$14,1)) + $B$18/($B$19*$B$19*($DN20&lt;&gt;$DO20) + $B$19*($DN20=$DO20))</f>
        <v>3.7037037037037035E-4</v>
      </c>
      <c r="EM20" s="10" cm="1">
        <f t="array" aca="1" ref="EM20" ca="1">(1-$B$18)*SUMPRODUCT(OFFSET($BO$15,0,0,$B$14,1), 1*(_xlfn._xlws.FILTER(OFFSET($O$15,0,$DN20,$B$8,1),OFFSET($M$15,0,0,$B$8,1))=EM$13), 1*(_xlfn._xlws.FILTER(OFFSET($O$15,0,$DO20,$B$8,1),OFFSET($M$15,0,0,$B$8,1))=EM$14))   /   SUM(OFFSET($BO$15,0,0,$B$14,1)) + $B$18/($B$19*$B$19*($DN20&lt;&gt;$DO20) + $B$19*($DN20=$DO20))</f>
        <v>3.7037037037037035E-4</v>
      </c>
      <c r="EN20" s="10" cm="1">
        <f t="array" aca="1" ref="EN20" ca="1">(1-$B$18)*SUMPRODUCT(OFFSET($BO$15,0,0,$B$14,1), 1*(_xlfn._xlws.FILTER(OFFSET($O$15,0,$DN20,$B$8,1),OFFSET($M$15,0,0,$B$8,1))=EN$13), 1*(_xlfn._xlws.FILTER(OFFSET($O$15,0,$DO20,$B$8,1),OFFSET($M$15,0,0,$B$8,1))=EN$14))   /   SUM(OFFSET($BO$15,0,0,$B$14,1)) + $B$18/($B$19*$B$19*($DN20&lt;&gt;$DO20) + $B$19*($DN20=$DO20))</f>
        <v>3.7037037037037035E-4</v>
      </c>
      <c r="EO20" s="10" cm="1">
        <f t="array" aca="1" ref="EO20" ca="1">(1-$B$18)*SUMPRODUCT(OFFSET($BO$15,0,0,$B$14,1), 1*(_xlfn._xlws.FILTER(OFFSET($O$15,0,$DN20,$B$8,1),OFFSET($M$15,0,0,$B$8,1))=EO$13), 1*(_xlfn._xlws.FILTER(OFFSET($O$15,0,$DO20,$B$8,1),OFFSET($M$15,0,0,$B$8,1))=EO$14))   /   SUM(OFFSET($BO$15,0,0,$B$14,1)) + $B$18/($B$19*$B$19*($DN20&lt;&gt;$DO20) + $B$19*($DN20=$DO20))</f>
        <v>3.7037037037037035E-4</v>
      </c>
      <c r="EP20" s="10" cm="1">
        <f t="array" aca="1" ref="EP20" ca="1">(1-$B$18)*SUMPRODUCT(OFFSET($BO$15,0,0,$B$14,1), 1*(_xlfn._xlws.FILTER(OFFSET($O$15,0,$DN20,$B$8,1),OFFSET($M$15,0,0,$B$8,1))=EP$13), 1*(_xlfn._xlws.FILTER(OFFSET($O$15,0,$DO20,$B$8,1),OFFSET($M$15,0,0,$B$8,1))=EP$14))   /   SUM(OFFSET($BO$15,0,0,$B$14,1)) + $B$18/($B$19*$B$19*($DN20&lt;&gt;$DO20) + $B$19*($DN20=$DO20))</f>
        <v>3.7037037037037035E-4</v>
      </c>
      <c r="EQ20" s="10" cm="1">
        <f t="array" aca="1" ref="EQ20" ca="1">(1-$B$18)*SUMPRODUCT(OFFSET($BO$15,0,0,$B$14,1), 1*(_xlfn._xlws.FILTER(OFFSET($O$15,0,$DN20,$B$8,1),OFFSET($M$15,0,0,$B$8,1))=EQ$13), 1*(_xlfn._xlws.FILTER(OFFSET($O$15,0,$DO20,$B$8,1),OFFSET($M$15,0,0,$B$8,1))=EQ$14))   /   SUM(OFFSET($BO$15,0,0,$B$14,1)) + $B$18/($B$19*$B$19*($DN20&lt;&gt;$DO20) + $B$19*($DN20=$DO20))</f>
        <v>3.7037037037037035E-4</v>
      </c>
      <c r="ER20" s="10" cm="1">
        <f t="array" aca="1" ref="ER20" ca="1">(1-$B$18)*SUMPRODUCT(OFFSET($BO$15,0,0,$B$14,1), 1*(_xlfn._xlws.FILTER(OFFSET($O$15,0,$DN20,$B$8,1),OFFSET($M$15,0,0,$B$8,1))=ER$13), 1*(_xlfn._xlws.FILTER(OFFSET($O$15,0,$DO20,$B$8,1),OFFSET($M$15,0,0,$B$8,1))=ER$14))   /   SUM(OFFSET($BO$15,0,0,$B$14,1)) + $B$18/($B$19*$B$19*($DN20&lt;&gt;$DO20) + $B$19*($DN20=$DO20))</f>
        <v>3.7037037037037035E-4</v>
      </c>
      <c r="ES20" s="10" cm="1">
        <f t="array" aca="1" ref="ES20" ca="1">(1-$B$18)*SUMPRODUCT(OFFSET($BO$15,0,0,$B$14,1), 1*(_xlfn._xlws.FILTER(OFFSET($O$15,0,$DN20,$B$8,1),OFFSET($M$15,0,0,$B$8,1))=ES$13), 1*(_xlfn._xlws.FILTER(OFFSET($O$15,0,$DO20,$B$8,1),OFFSET($M$15,0,0,$B$8,1))=ES$14))   /   SUM(OFFSET($BO$15,0,0,$B$14,1)) + $B$18/($B$19*$B$19*($DN20&lt;&gt;$DO20) + $B$19*($DN20=$DO20))</f>
        <v>3.7037037037037035E-4</v>
      </c>
      <c r="ET20" s="10" cm="1">
        <f t="array" aca="1" ref="ET20" ca="1">(1-$B$18)*SUMPRODUCT(OFFSET($BO$15,0,0,$B$14,1), 1*(_xlfn._xlws.FILTER(OFFSET($O$15,0,$DN20,$B$8,1),OFFSET($M$15,0,0,$B$8,1))=ET$13), 1*(_xlfn._xlws.FILTER(OFFSET($O$15,0,$DO20,$B$8,1),OFFSET($M$15,0,0,$B$8,1))=ET$14))   /   SUM(OFFSET($BO$15,0,0,$B$14,1)) + $B$18/($B$19*$B$19*($DN20&lt;&gt;$DO20) + $B$19*($DN20=$DO20))</f>
        <v>3.7037037037037035E-4</v>
      </c>
      <c r="EU20" s="10" cm="1">
        <f t="array" aca="1" ref="EU20" ca="1">(1-$B$18)*SUMPRODUCT(OFFSET($BO$15,0,0,$B$14,1), 1*(_xlfn._xlws.FILTER(OFFSET($O$15,0,$DN20,$B$8,1),OFFSET($M$15,0,0,$B$8,1))=EU$13), 1*(_xlfn._xlws.FILTER(OFFSET($O$15,0,$DO20,$B$8,1),OFFSET($M$15,0,0,$B$8,1))=EU$14))   /   SUM(OFFSET($BO$15,0,0,$B$14,1)) + $B$18/($B$19*$B$19*($DN20&lt;&gt;$DO20) + $B$19*($DN20=$DO20))</f>
        <v>3.7037037037037035E-4</v>
      </c>
      <c r="EV20" s="10" cm="1">
        <f t="array" aca="1" ref="EV20" ca="1">(1-$B$18)*SUMPRODUCT(OFFSET($BO$15,0,0,$B$14,1), 1*(_xlfn._xlws.FILTER(OFFSET($O$15,0,$DN20,$B$8,1),OFFSET($M$15,0,0,$B$8,1))=EV$13), 1*(_xlfn._xlws.FILTER(OFFSET($O$15,0,$DO20,$B$8,1),OFFSET($M$15,0,0,$B$8,1))=EV$14))   /   SUM(OFFSET($BO$15,0,0,$B$14,1)) + $B$18/($B$19*$B$19*($DN20&lt;&gt;$DO20) + $B$19*($DN20=$DO20))</f>
        <v>3.7037037037037035E-4</v>
      </c>
      <c r="EW20" s="10" cm="1">
        <f t="array" aca="1" ref="EW20" ca="1">(1-$B$18)*SUMPRODUCT(OFFSET($BO$15,0,0,$B$14,1), 1*(_xlfn._xlws.FILTER(OFFSET($O$15,0,$DN20,$B$8,1),OFFSET($M$15,0,0,$B$8,1))=EW$13), 1*(_xlfn._xlws.FILTER(OFFSET($O$15,0,$DO20,$B$8,1),OFFSET($M$15,0,0,$B$8,1))=EW$14))   /   SUM(OFFSET($BO$15,0,0,$B$14,1)) + $B$18/($B$19*$B$19*($DN20&lt;&gt;$DO20) + $B$19*($DN20=$DO20))</f>
        <v>3.7037037037037035E-4</v>
      </c>
      <c r="EX20" s="10" cm="1">
        <f t="array" aca="1" ref="EX20" ca="1">(1-$B$18)*SUMPRODUCT(OFFSET($BO$15,0,0,$B$14,1), 1*(_xlfn._xlws.FILTER(OFFSET($O$15,0,$DN20,$B$8,1),OFFSET($M$15,0,0,$B$8,1))=EX$13), 1*(_xlfn._xlws.FILTER(OFFSET($O$15,0,$DO20,$B$8,1),OFFSET($M$15,0,0,$B$8,1))=EX$14))   /   SUM(OFFSET($BO$15,0,0,$B$14,1)) + $B$18/($B$19*$B$19*($DN20&lt;&gt;$DO20) + $B$19*($DN20=$DO20))</f>
        <v>3.7037037037037035E-4</v>
      </c>
      <c r="EY20" s="10" cm="1">
        <f t="array" aca="1" ref="EY20" ca="1">(1-$B$18)*SUMPRODUCT(OFFSET($BO$15,0,0,$B$14,1), 1*(_xlfn._xlws.FILTER(OFFSET($O$15,0,$DN20,$B$8,1),OFFSET($M$15,0,0,$B$8,1))=EY$13), 1*(_xlfn._xlws.FILTER(OFFSET($O$15,0,$DO20,$B$8,1),OFFSET($M$15,0,0,$B$8,1))=EY$14))   /   SUM(OFFSET($BO$15,0,0,$B$14,1)) + $B$18/($B$19*$B$19*($DN20&lt;&gt;$DO20) + $B$19*($DN20=$DO20))</f>
        <v>3.7037037037037035E-4</v>
      </c>
      <c r="EZ20" s="10" cm="1">
        <f t="array" aca="1" ref="EZ20" ca="1">(1-$B$18)*SUMPRODUCT(OFFSET($BO$15,0,0,$B$14,1), 1*(_xlfn._xlws.FILTER(OFFSET($O$15,0,$DN20,$B$8,1),OFFSET($M$15,0,0,$B$8,1))=EZ$13), 1*(_xlfn._xlws.FILTER(OFFSET($O$15,0,$DO20,$B$8,1),OFFSET($M$15,0,0,$B$8,1))=EZ$14))   /   SUM(OFFSET($BO$15,0,0,$B$14,1)) + $B$18/($B$19*$B$19*($DN20&lt;&gt;$DO20) + $B$19*($DN20=$DO20))</f>
        <v>3.7037037037037035E-4</v>
      </c>
      <c r="FA20" s="10" cm="1">
        <f t="array" aca="1" ref="FA20" ca="1">(1-$B$18)*SUMPRODUCT(OFFSET($BO$15,0,0,$B$14,1), 1*(_xlfn._xlws.FILTER(OFFSET($O$15,0,$DN20,$B$8,1),OFFSET($M$15,0,0,$B$8,1))=FA$13), 1*(_xlfn._xlws.FILTER(OFFSET($O$15,0,$DO20,$B$8,1),OFFSET($M$15,0,0,$B$8,1))=FA$14))   /   SUM(OFFSET($BO$15,0,0,$B$14,1)) + $B$18/($B$19*$B$19*($DN20&lt;&gt;$DO20) + $B$19*($DN20=$DO20))</f>
        <v>3.7037037037037035E-4</v>
      </c>
      <c r="FB20" s="10" cm="1">
        <f t="array" aca="1" ref="FB20" ca="1">(1-$B$18)*SUMPRODUCT(OFFSET($BO$15,0,0,$B$14,1), 1*(_xlfn._xlws.FILTER(OFFSET($O$15,0,$DN20,$B$8,1),OFFSET($M$15,0,0,$B$8,1))=FB$13), 1*(_xlfn._xlws.FILTER(OFFSET($O$15,0,$DO20,$B$8,1),OFFSET($M$15,0,0,$B$8,1))=FB$14))   /   SUM(OFFSET($BO$15,0,0,$B$14,1)) + $B$18/($B$19*$B$19*($DN20&lt;&gt;$DO20) + $B$19*($DN20=$DO20))</f>
        <v>3.7037037037037035E-4</v>
      </c>
      <c r="FC20" s="10" cm="1">
        <f t="array" aca="1" ref="FC20" ca="1">(1-$B$18)*SUMPRODUCT(OFFSET($BO$15,0,0,$B$14,1), 1*(_xlfn._xlws.FILTER(OFFSET($O$15,0,$DN20,$B$8,1),OFFSET($M$15,0,0,$B$8,1))=FC$13), 1*(_xlfn._xlws.FILTER(OFFSET($O$15,0,$DO20,$B$8,1),OFFSET($M$15,0,0,$B$8,1))=FC$14))   /   SUM(OFFSET($BO$15,0,0,$B$14,1)) + $B$18/($B$19*$B$19*($DN20&lt;&gt;$DO20) + $B$19*($DN20=$DO20))</f>
        <v>3.7037037037037035E-4</v>
      </c>
      <c r="FD20" s="10" cm="1">
        <f t="array" aca="1" ref="FD20" ca="1">(1-$B$18)*SUMPRODUCT(OFFSET($BO$15,0,0,$B$14,1), 1*(_xlfn._xlws.FILTER(OFFSET($O$15,0,$DN20,$B$8,1),OFFSET($M$15,0,0,$B$8,1))=FD$13), 1*(_xlfn._xlws.FILTER(OFFSET($O$15,0,$DO20,$B$8,1),OFFSET($M$15,0,0,$B$8,1))=FD$14))   /   SUM(OFFSET($BO$15,0,0,$B$14,1)) + $B$18/($B$19*$B$19*($DN20&lt;&gt;$DO20) + $B$19*($DN20=$DO20))</f>
        <v>3.7037037037037035E-4</v>
      </c>
      <c r="FE20" s="10" cm="1">
        <f t="array" aca="1" ref="FE20" ca="1">(1-$B$18)*SUMPRODUCT(OFFSET($BO$15,0,0,$B$14,1), 1*(_xlfn._xlws.FILTER(OFFSET($O$15,0,$DN20,$B$8,1),OFFSET($M$15,0,0,$B$8,1))=FE$13), 1*(_xlfn._xlws.FILTER(OFFSET($O$15,0,$DO20,$B$8,1),OFFSET($M$15,0,0,$B$8,1))=FE$14))   /   SUM(OFFSET($BO$15,0,0,$B$14,1)) + $B$18/($B$19*$B$19*($DN20&lt;&gt;$DO20) + $B$19*($DN20=$DO20))</f>
        <v>3.7037037037037035E-4</v>
      </c>
      <c r="FF20" s="10" cm="1">
        <f t="array" aca="1" ref="FF20" ca="1">(1-$B$18)*SUMPRODUCT(OFFSET($BO$15,0,0,$B$14,1), 1*(_xlfn._xlws.FILTER(OFFSET($O$15,0,$DN20,$B$8,1),OFFSET($M$15,0,0,$B$8,1))=FF$13), 1*(_xlfn._xlws.FILTER(OFFSET($O$15,0,$DO20,$B$8,1),OFFSET($M$15,0,0,$B$8,1))=FF$14))   /   SUM(OFFSET($BO$15,0,0,$B$14,1)) + $B$18/($B$19*$B$19*($DN20&lt;&gt;$DO20) + $B$19*($DN20=$DO20))</f>
        <v>3.7037037037037035E-4</v>
      </c>
      <c r="FG20" s="10" cm="1">
        <f t="array" aca="1" ref="FG20" ca="1">(1-$B$18)*SUMPRODUCT(OFFSET($BO$15,0,0,$B$14,1), 1*(_xlfn._xlws.FILTER(OFFSET($O$15,0,$DN20,$B$8,1),OFFSET($M$15,0,0,$B$8,1))=FG$13), 1*(_xlfn._xlws.FILTER(OFFSET($O$15,0,$DO20,$B$8,1),OFFSET($M$15,0,0,$B$8,1))=FG$14))   /   SUM(OFFSET($BO$15,0,0,$B$14,1)) + $B$18/($B$19*$B$19*($DN20&lt;&gt;$DO20) + $B$19*($DN20=$DO20))</f>
        <v>3.7037037037037035E-4</v>
      </c>
      <c r="FH20" s="10" cm="1">
        <f t="array" aca="1" ref="FH20" ca="1">(1-$B$18)*SUMPRODUCT(OFFSET($BO$15,0,0,$B$14,1), 1*(_xlfn._xlws.FILTER(OFFSET($O$15,0,$DN20,$B$8,1),OFFSET($M$15,0,0,$B$8,1))=FH$13), 1*(_xlfn._xlws.FILTER(OFFSET($O$15,0,$DO20,$B$8,1),OFFSET($M$15,0,0,$B$8,1))=FH$14))   /   SUM(OFFSET($BO$15,0,0,$B$14,1)) + $B$18/($B$19*$B$19*($DN20&lt;&gt;$DO20) + $B$19*($DN20=$DO20))</f>
        <v>3.7037037037037035E-4</v>
      </c>
      <c r="FI20" s="10" cm="1">
        <f t="array" aca="1" ref="FI20" ca="1">(1-$B$18)*SUMPRODUCT(OFFSET($BO$15,0,0,$B$14,1), 1*(_xlfn._xlws.FILTER(OFFSET($O$15,0,$DN20,$B$8,1),OFFSET($M$15,0,0,$B$8,1))=FI$13), 1*(_xlfn._xlws.FILTER(OFFSET($O$15,0,$DO20,$B$8,1),OFFSET($M$15,0,0,$B$8,1))=FI$14))   /   SUM(OFFSET($BO$15,0,0,$B$14,1)) + $B$18/($B$19*$B$19*($DN20&lt;&gt;$DO20) + $B$19*($DN20=$DO20))</f>
        <v>3.7037037037037035E-4</v>
      </c>
      <c r="FJ20" s="10" cm="1">
        <f t="array" aca="1" ref="FJ20" ca="1">(1-$B$18)*SUMPRODUCT(OFFSET($BO$15,0,0,$B$14,1), 1*(_xlfn._xlws.FILTER(OFFSET($O$15,0,$DN20,$B$8,1),OFFSET($M$15,0,0,$B$8,1))=FJ$13), 1*(_xlfn._xlws.FILTER(OFFSET($O$15,0,$DO20,$B$8,1),OFFSET($M$15,0,0,$B$8,1))=FJ$14))   /   SUM(OFFSET($BO$15,0,0,$B$14,1)) + $B$18/($B$19*$B$19*($DN20&lt;&gt;$DO20) + $B$19*($DN20=$DO20))</f>
        <v>3.7037037037037035E-4</v>
      </c>
      <c r="FK20" s="10" cm="1">
        <f t="array" aca="1" ref="FK20" ca="1">(1-$B$18)*SUMPRODUCT(OFFSET($BO$15,0,0,$B$14,1), 1*(_xlfn._xlws.FILTER(OFFSET($O$15,0,$DN20,$B$8,1),OFFSET($M$15,0,0,$B$8,1))=FK$13), 1*(_xlfn._xlws.FILTER(OFFSET($O$15,0,$DO20,$B$8,1),OFFSET($M$15,0,0,$B$8,1))=FK$14))   /   SUM(OFFSET($BO$15,0,0,$B$14,1)) + $B$18/($B$19*$B$19*($DN20&lt;&gt;$DO20) + $B$19*($DN20=$DO20))</f>
        <v>3.7037037037037035E-4</v>
      </c>
      <c r="FL20" s="10" cm="1">
        <f t="array" aca="1" ref="FL20" ca="1">(1-$B$18)*SUMPRODUCT(OFFSET($BO$15,0,0,$B$14,1), 1*(_xlfn._xlws.FILTER(OFFSET($O$15,0,$DN20,$B$8,1),OFFSET($M$15,0,0,$B$8,1))=FL$13), 1*(_xlfn._xlws.FILTER(OFFSET($O$15,0,$DO20,$B$8,1),OFFSET($M$15,0,0,$B$8,1))=FL$14))   /   SUM(OFFSET($BO$15,0,0,$B$14,1)) + $B$18/($B$19*$B$19*($DN20&lt;&gt;$DO20) + $B$19*($DN20=$DO20))</f>
        <v>3.7037037037037035E-4</v>
      </c>
      <c r="FM20" s="10" cm="1">
        <f t="array" aca="1" ref="FM20" ca="1">(1-$B$18)*SUMPRODUCT(OFFSET($BO$15,0,0,$B$14,1), 1*(_xlfn._xlws.FILTER(OFFSET($O$15,0,$DN20,$B$8,1),OFFSET($M$15,0,0,$B$8,1))=FM$13), 1*(_xlfn._xlws.FILTER(OFFSET($O$15,0,$DO20,$B$8,1),OFFSET($M$15,0,0,$B$8,1))=FM$14))   /   SUM(OFFSET($BO$15,0,0,$B$14,1)) + $B$18/($B$19*$B$19*($DN20&lt;&gt;$DO20) + $B$19*($DN20=$DO20))</f>
        <v>3.7037037037037035E-4</v>
      </c>
      <c r="FN20" s="10" cm="1">
        <f t="array" aca="1" ref="FN20" ca="1">(1-$B$18)*SUMPRODUCT(OFFSET($BO$15,0,0,$B$14,1), 1*(_xlfn._xlws.FILTER(OFFSET($O$15,0,$DN20,$B$8,1),OFFSET($M$15,0,0,$B$8,1))=FN$13), 1*(_xlfn._xlws.FILTER(OFFSET($O$15,0,$DO20,$B$8,1),OFFSET($M$15,0,0,$B$8,1))=FN$14))   /   SUM(OFFSET($BO$15,0,0,$B$14,1)) + $B$18/($B$19*$B$19*($DN20&lt;&gt;$DO20) + $B$19*($DN20=$DO20))</f>
        <v>3.7037037037037035E-4</v>
      </c>
      <c r="FO20" s="10" cm="1">
        <f t="array" aca="1" ref="FO20" ca="1">(1-$B$18)*SUMPRODUCT(OFFSET($BO$15,0,0,$B$14,1), 1*(_xlfn._xlws.FILTER(OFFSET($O$15,0,$DN20,$B$8,1),OFFSET($M$15,0,0,$B$8,1))=FO$13), 1*(_xlfn._xlws.FILTER(OFFSET($O$15,0,$DO20,$B$8,1),OFFSET($M$15,0,0,$B$8,1))=FO$14))   /   SUM(OFFSET($BO$15,0,0,$B$14,1)) + $B$18/($B$19*$B$19*($DN20&lt;&gt;$DO20) + $B$19*($DN20=$DO20))</f>
        <v>3.7037037037037035E-4</v>
      </c>
      <c r="FP20" s="10" cm="1">
        <f t="array" aca="1" ref="FP20" ca="1">(1-$B$18)*SUMPRODUCT(OFFSET($BO$15,0,0,$B$14,1), 1*(_xlfn._xlws.FILTER(OFFSET($O$15,0,$DN20,$B$8,1),OFFSET($M$15,0,0,$B$8,1))=FP$13), 1*(_xlfn._xlws.FILTER(OFFSET($O$15,0,$DO20,$B$8,1),OFFSET($M$15,0,0,$B$8,1))=FP$14))   /   SUM(OFFSET($BO$15,0,0,$B$14,1)) + $B$18/($B$19*$B$19*($DN20&lt;&gt;$DO20) + $B$19*($DN20=$DO20))</f>
        <v>3.7037037037037035E-4</v>
      </c>
      <c r="FQ20" s="10" cm="1">
        <f t="array" aca="1" ref="FQ20" ca="1">(1-$B$18)*SUMPRODUCT(OFFSET($BO$15,0,0,$B$14,1), 1*(_xlfn._xlws.FILTER(OFFSET($O$15,0,$DN20,$B$8,1),OFFSET($M$15,0,0,$B$8,1))=FQ$13), 1*(_xlfn._xlws.FILTER(OFFSET($O$15,0,$DO20,$B$8,1),OFFSET($M$15,0,0,$B$8,1))=FQ$14))   /   SUM(OFFSET($BO$15,0,0,$B$14,1)) + $B$18/($B$19*$B$19*($DN20&lt;&gt;$DO20) + $B$19*($DN20=$DO20))</f>
        <v>3.7037037037037035E-4</v>
      </c>
      <c r="FR20" s="10" cm="1">
        <f t="array" aca="1" ref="FR20" ca="1">(1-$B$18)*SUMPRODUCT(OFFSET($BO$15,0,0,$B$14,1), 1*(_xlfn._xlws.FILTER(OFFSET($O$15,0,$DN20,$B$8,1),OFFSET($M$15,0,0,$B$8,1))=FR$13), 1*(_xlfn._xlws.FILTER(OFFSET($O$15,0,$DO20,$B$8,1),OFFSET($M$15,0,0,$B$8,1))=FR$14))   /   SUM(OFFSET($BO$15,0,0,$B$14,1)) + $B$18/($B$19*$B$19*($DN20&lt;&gt;$DO20) + $B$19*($DN20=$DO20))</f>
        <v>0.97037037037037033</v>
      </c>
      <c r="FS20" s="10" cm="1">
        <f t="array" aca="1" ref="FS20" ca="1">(1-$B$18)*SUMPRODUCT(OFFSET($BO$15,0,0,$B$14,1), 1*(_xlfn._xlws.FILTER(OFFSET($O$15,0,$DN20,$B$8,1),OFFSET($M$15,0,0,$B$8,1))=FS$13), 1*(_xlfn._xlws.FILTER(OFFSET($O$15,0,$DO20,$B$8,1),OFFSET($M$15,0,0,$B$8,1))=FS$14))   /   SUM(OFFSET($BO$15,0,0,$B$14,1)) + $B$18/($B$19*$B$19*($DN20&lt;&gt;$DO20) + $B$19*($DN20=$DO20))</f>
        <v>3.7037037037037035E-4</v>
      </c>
      <c r="FT20" s="10" cm="1">
        <f t="array" aca="1" ref="FT20" ca="1">(1-$B$18)*SUMPRODUCT(OFFSET($BO$15,0,0,$B$14,1), 1*(_xlfn._xlws.FILTER(OFFSET($O$15,0,$DN20,$B$8,1),OFFSET($M$15,0,0,$B$8,1))=FT$13), 1*(_xlfn._xlws.FILTER(OFFSET($O$15,0,$DO20,$B$8,1),OFFSET($M$15,0,0,$B$8,1))=FT$14))   /   SUM(OFFSET($BO$15,0,0,$B$14,1)) + $B$18/($B$19*$B$19*($DN20&lt;&gt;$DO20) + $B$19*($DN20=$DO20))</f>
        <v>3.7037037037037035E-4</v>
      </c>
      <c r="FU20" s="10" cm="1">
        <f t="array" aca="1" ref="FU20" ca="1">(1-$B$18)*SUMPRODUCT(OFFSET($BO$15,0,0,$B$14,1), 1*(_xlfn._xlws.FILTER(OFFSET($O$15,0,$DN20,$B$8,1),OFFSET($M$15,0,0,$B$8,1))=FU$13), 1*(_xlfn._xlws.FILTER(OFFSET($O$15,0,$DO20,$B$8,1),OFFSET($M$15,0,0,$B$8,1))=FU$14))   /   SUM(OFFSET($BO$15,0,0,$B$14,1)) + $B$18/($B$19*$B$19*($DN20&lt;&gt;$DO20) + $B$19*($DN20=$DO20))</f>
        <v>3.7037037037037035E-4</v>
      </c>
      <c r="FV20" s="10" cm="1">
        <f t="array" aca="1" ref="FV20" ca="1">(1-$B$18)*SUMPRODUCT(OFFSET($BO$15,0,0,$B$14,1), 1*(_xlfn._xlws.FILTER(OFFSET($O$15,0,$DN20,$B$8,1),OFFSET($M$15,0,0,$B$8,1))=FV$13), 1*(_xlfn._xlws.FILTER(OFFSET($O$15,0,$DO20,$B$8,1),OFFSET($M$15,0,0,$B$8,1))=FV$14))   /   SUM(OFFSET($BO$15,0,0,$B$14,1)) + $B$18/($B$19*$B$19*($DN20&lt;&gt;$DO20) + $B$19*($DN20=$DO20))</f>
        <v>3.7037037037037035E-4</v>
      </c>
      <c r="FW20" s="10" cm="1">
        <f t="array" aca="1" ref="FW20" ca="1">(1-$B$18)*SUMPRODUCT(OFFSET($BO$15,0,0,$B$14,1), 1*(_xlfn._xlws.FILTER(OFFSET($O$15,0,$DN20,$B$8,1),OFFSET($M$15,0,0,$B$8,1))=FW$13), 1*(_xlfn._xlws.FILTER(OFFSET($O$15,0,$DO20,$B$8,1),OFFSET($M$15,0,0,$B$8,1))=FW$14))   /   SUM(OFFSET($BO$15,0,0,$B$14,1)) + $B$18/($B$19*$B$19*($DN20&lt;&gt;$DO20) + $B$19*($DN20=$DO20))</f>
        <v>3.7037037037037035E-4</v>
      </c>
      <c r="FX20" s="10" cm="1">
        <f t="array" aca="1" ref="FX20" ca="1">(1-$B$18)*SUMPRODUCT(OFFSET($BO$15,0,0,$B$14,1), 1*(_xlfn._xlws.FILTER(OFFSET($O$15,0,$DN20,$B$8,1),OFFSET($M$15,0,0,$B$8,1))=FX$13), 1*(_xlfn._xlws.FILTER(OFFSET($O$15,0,$DO20,$B$8,1),OFFSET($M$15,0,0,$B$8,1))=FX$14))   /   SUM(OFFSET($BO$15,0,0,$B$14,1)) + $B$18/($B$19*$B$19*($DN20&lt;&gt;$DO20) + $B$19*($DN20=$DO20))</f>
        <v>3.7037037037037035E-4</v>
      </c>
      <c r="FY20" s="10" cm="1">
        <f t="array" aca="1" ref="FY20" ca="1">(1-$B$18)*SUMPRODUCT(OFFSET($BO$15,0,0,$B$14,1), 1*(_xlfn._xlws.FILTER(OFFSET($O$15,0,$DN20,$B$8,1),OFFSET($M$15,0,0,$B$8,1))=FY$13), 1*(_xlfn._xlws.FILTER(OFFSET($O$15,0,$DO20,$B$8,1),OFFSET($M$15,0,0,$B$8,1))=FY$14))   /   SUM(OFFSET($BO$15,0,0,$B$14,1)) + $B$18/($B$19*$B$19*($DN20&lt;&gt;$DO20) + $B$19*($DN20=$DO20))</f>
        <v>3.7037037037037035E-4</v>
      </c>
      <c r="FZ20" s="10" cm="1">
        <f t="array" aca="1" ref="FZ20" ca="1">(1-$B$18)*SUMPRODUCT(OFFSET($BO$15,0,0,$B$14,1), 1*(_xlfn._xlws.FILTER(OFFSET($O$15,0,$DN20,$B$8,1),OFFSET($M$15,0,0,$B$8,1))=FZ$13), 1*(_xlfn._xlws.FILTER(OFFSET($O$15,0,$DO20,$B$8,1),OFFSET($M$15,0,0,$B$8,1))=FZ$14))   /   SUM(OFFSET($BO$15,0,0,$B$14,1)) + $B$18/($B$19*$B$19*($DN20&lt;&gt;$DO20) + $B$19*($DN20=$DO20))</f>
        <v>3.7037037037037035E-4</v>
      </c>
      <c r="GA20" s="10" cm="1">
        <f t="array" aca="1" ref="GA20" ca="1">(1-$B$18)*SUMPRODUCT(OFFSET($BO$15,0,0,$B$14,1), 1*(_xlfn._xlws.FILTER(OFFSET($O$15,0,$DN20,$B$8,1),OFFSET($M$15,0,0,$B$8,1))=GA$13), 1*(_xlfn._xlws.FILTER(OFFSET($O$15,0,$DO20,$B$8,1),OFFSET($M$15,0,0,$B$8,1))=GA$14))   /   SUM(OFFSET($BO$15,0,0,$B$14,1)) + $B$18/($B$19*$B$19*($DN20&lt;&gt;$DO20) + $B$19*($DN20=$DO20))</f>
        <v>3.7037037037037035E-4</v>
      </c>
    </row>
    <row r="21" spans="1:183" x14ac:dyDescent="0.2">
      <c r="D21" s="10">
        <f ca="1"/>
        <v>6</v>
      </c>
      <c r="F21" s="10">
        <f ca="1"/>
        <v>0.2</v>
      </c>
      <c r="H21" s="10">
        <f ca="1"/>
        <v>6</v>
      </c>
      <c r="J21" cm="1">
        <f t="array" aca="1" ref="J21" ca="1">SUMPRODUCT((O21:AJ21=$O$11:$AJ$11)*(O$13:AJ$13=TRUE))  / COUNTIF(O$13:AJ$13,TRUE)</f>
        <v>0.85</v>
      </c>
      <c r="K21" t="b">
        <f t="shared" ca="1" si="4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5"/>
        <v>1</v>
      </c>
      <c r="N21" s="2">
        <v>6</v>
      </c>
      <c r="O21" s="12" t="s">
        <v>11</v>
      </c>
      <c r="P21" s="9" t="s">
        <v>11</v>
      </c>
      <c r="Q21" s="9" t="s">
        <v>11</v>
      </c>
      <c r="R21" s="9" t="s">
        <v>11</v>
      </c>
      <c r="S21" s="9" t="s">
        <v>11</v>
      </c>
      <c r="T21" s="12" t="s">
        <v>11</v>
      </c>
      <c r="U21" s="9" t="s">
        <v>11</v>
      </c>
      <c r="V21" s="9" t="s">
        <v>11</v>
      </c>
      <c r="W21" s="9" t="s">
        <v>11</v>
      </c>
      <c r="X21" s="9" t="s">
        <v>11</v>
      </c>
      <c r="Y21" s="12" t="s">
        <v>0</v>
      </c>
      <c r="Z21" s="9" t="s">
        <v>2</v>
      </c>
      <c r="AA21" s="9" t="s">
        <v>1</v>
      </c>
      <c r="AB21" s="9" t="s">
        <v>1</v>
      </c>
      <c r="AC21" s="9" t="s">
        <v>2</v>
      </c>
      <c r="AD21" s="12" t="s">
        <v>2</v>
      </c>
      <c r="AE21" s="9" t="s">
        <v>5</v>
      </c>
      <c r="AF21" s="9" t="s">
        <v>5</v>
      </c>
      <c r="AG21" s="9" t="s">
        <v>3</v>
      </c>
      <c r="AH21" s="9" t="s">
        <v>3</v>
      </c>
      <c r="AI21" s="12" t="s">
        <v>11</v>
      </c>
      <c r="AJ21" s="9" t="s">
        <v>6</v>
      </c>
      <c r="AK21" s="7"/>
      <c r="AN21">
        <f t="shared" ca="1" si="6"/>
        <v>2</v>
      </c>
      <c r="AO21" s="14">
        <f t="shared" ca="1" si="7"/>
        <v>0.5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
) / $B$13)</f>
        <v>0.85</v>
      </c>
      <c r="AR21" cm="1">
        <f t="array" aca="1" ref="AR21" ca="1">IF($AP21=AR$14, 1, SUMPRODUCT(
    --(OFFSET($O$13,0,0,1,$B$9)=TRUE),
    --(INDEX(OFFSET($O$15,0,0,$B$8,$B$9), 1+$AP21, 0) = INDEX(OFFSET($O$15,0,0,$B$8,$B$9), 1+AR$14, 0))
) / $B$13)</f>
        <v>0.85</v>
      </c>
      <c r="AS21" cm="1">
        <f t="array" aca="1" ref="AS21" ca="1">IF($AP21=AS$14, 1, SUMPRODUCT(
    --(OFFSET($O$13,0,0,1,$B$9)=TRUE),
    --(INDEX(OFFSET($O$15,0,0,$B$8,$B$9), 1+$AP21, 0) = INDEX(OFFSET($O$15,0,0,$B$8,$B$9), 1+AS$14, 0))
) / $B$13)</f>
        <v>0.85</v>
      </c>
      <c r="AT21" cm="1">
        <f t="array" aca="1" ref="AT21" ca="1">IF($AP21=AT$14, 1, SUMPRODUCT(
    --(OFFSET($O$13,0,0,1,$B$9)=TRUE),
    --(INDEX(OFFSET($O$15,0,0,$B$8,$B$9), 1+$AP21, 0) = INDEX(OFFSET($O$15,0,0,$B$8,$B$9), 1+AT$14, 0))
) / $B$13)</f>
        <v>0.85</v>
      </c>
      <c r="AU21" cm="1">
        <f t="array" aca="1" ref="AU21" ca="1">IF($AP21=AU$14, 1, SUMPRODUCT(
    --(OFFSET($O$13,0,0,1,$B$9)=TRUE),
    --(INDEX(OFFSET($O$15,0,0,$B$8,$B$9), 1+$AP21, 0) = INDEX(OFFSET($O$15,0,0,$B$8,$B$9), 1+AU$14, 0))
) / $B$13)</f>
        <v>0.85</v>
      </c>
      <c r="AV21" cm="1">
        <f t="array" aca="1" ref="AV21" ca="1">IF($AP21=AV$14, 1, SUMPRODUCT(
    --(OFFSET($O$13,0,0,1,$B$9)=TRUE),
    --(INDEX(OFFSET($O$15,0,0,$B$8,$B$9), 1+$AP21, 0) = INDEX(OFFSET($O$15,0,0,$B$8,$B$9), 1+AV$14, 0))
) / $B$13)</f>
        <v>0.85</v>
      </c>
      <c r="AW21" cm="1">
        <f t="array" aca="1" ref="AW21" ca="1">IF($AP21=AW$14, 1, SUMPRODUCT(
    --(OFFSET($O$13,0,0,1,$B$9)=TRUE),
    --(INDEX(OFFSET($O$15,0,0,$B$8,$B$9), 1+$AP21, 0) = INDEX(OFFSET($O$15,0,0,$B$8,$B$9), 1+AW$14, 0))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
) / $B$13)</f>
        <v>1</v>
      </c>
      <c r="AY21" cm="1">
        <f t="array" aca="1" ref="AY21" ca="1">IF($AP21=AY$14, 1, SUMPRODUCT(
    --(OFFSET($O$13,0,0,1,$B$9)=TRUE),
    --(INDEX(OFFSET($O$15,0,0,$B$8,$B$9), 1+$AP21, 0) = INDEX(OFFSET($O$15,0,0,$B$8,$B$9), 1+AY$14, 0))
) / $B$13)</f>
        <v>0.85</v>
      </c>
      <c r="AZ21" cm="1">
        <f t="array" aca="1" ref="AZ21" ca="1">IF($AP21=AZ$14, 1, SUMPRODUCT(
    --(OFFSET($O$13,0,0,1,$B$9)=TRUE),
    --(INDEX(OFFSET($O$15,0,0,$B$8,$B$9), 1+$AP21, 0) = INDEX(OFFSET($O$15,0,0,$B$8,$B$9), 1+AZ$14, 0))
) / $B$13)</f>
        <v>0.85</v>
      </c>
      <c r="BA21" cm="1">
        <f t="array" aca="1" ref="BA21" ca="1">IF($AP21=BA$14, 1, SUMPRODUCT(
    --(OFFSET($O$13,0,0,1,$B$9)=TRUE),
    --(INDEX(OFFSET($O$15,0,0,$B$8,$B$9), 1+$AP21, 0) = INDEX(OFFSET($O$15,0,0,$B$8,$B$9), 1+BA$14, 0))
) / $B$13)</f>
        <v>0.85</v>
      </c>
      <c r="BB21" cm="1">
        <f t="array" aca="1" ref="BB21" ca="1">IF($AP21=BB$14, 1, SUMPRODUCT(
    --(OFFSET($O$13,0,0,1,$B$9)=TRUE),
    --(INDEX(OFFSET($O$15,0,0,$B$8,$B$9), 1+$AP21, 0) = INDEX(OFFSET($O$15,0,0,$B$8,$B$9), 1+BB$14, 0))
) / $B$13)</f>
        <v>0.85</v>
      </c>
      <c r="BC21" cm="1">
        <f t="array" aca="1" ref="BC21" ca="1">IF($AP21=BC$14, 1, SUMPRODUCT(
    --(OFFSET($O$13,0,0,1,$B$9)=TRUE),
    --(INDEX(OFFSET($O$15,0,0,$B$8,$B$9), 1+$AP21, 0) = INDEX(OFFSET($O$15,0,0,$B$8,$B$9), 1+BC$14, 0))
) / $B$13)</f>
        <v>0.85</v>
      </c>
      <c r="BD21" cm="1">
        <f t="array" aca="1" ref="BD21" ca="1">IF($AP21=BD$14, 1, SUMPRODUCT(
    --(OFFSET($O$13,0,0,1,$B$9)=TRUE),
    --(INDEX(OFFSET($O$15,0,0,$B$8,$B$9), 1+$AP21, 0) = INDEX(OFFSET($O$15,0,0,$B$8,$B$9), 1+BD$14, 0))
) / $B$13)</f>
        <v>0.8</v>
      </c>
      <c r="BE21" cm="1">
        <f t="array" aca="1" ref="BE21" ca="1">IF($AP21=BE$14, 1, SUMPRODUCT(
    --(OFFSET($O$13,0,0,1,$B$9)=TRUE),
    --(INDEX(OFFSET($O$15,0,0,$B$8,$B$9), 1+$AP21, 0) = INDEX(OFFSET($O$15,0,0,$B$8,$B$9), 1+BE$14, 0))
) / $B$13)</f>
        <v>0.95</v>
      </c>
      <c r="BF21" cm="1">
        <f t="array" aca="1" ref="BF21" ca="1">IF($AP21=BF$14, 1, SUMPRODUCT(
    --(OFFSET($O$13,0,0,1,$B$9)=TRUE),
    --(INDEX(OFFSET($O$15,0,0,$B$8,$B$9), 1+$AP21, 0) = INDEX(OFFSET($O$15,0,0,$B$8,$B$9), 1+BF$14, 0))
) / $B$13)</f>
        <v>0.95</v>
      </c>
      <c r="BG21" cm="1">
        <f t="array" aca="1" ref="BG21" ca="1">IF($AP21=BG$14, 1, SUMPRODUCT(
    --(OFFSET($O$13,0,0,1,$B$9)=TRUE),
    --(INDEX(OFFSET($O$15,0,0,$B$8,$B$9), 1+$AP21, 0) = INDEX(OFFSET($O$15,0,0,$B$8,$B$9), 1+BG$14, 0))
) / $B$13)</f>
        <v>0.8</v>
      </c>
      <c r="BH21" cm="1">
        <f t="array" aca="1" ref="BH21" ca="1">IF($AP21=BH$14, 1, SUMPRODUCT(
    --(OFFSET($O$13,0,0,1,$B$9)=TRUE),
    --(INDEX(OFFSET($O$15,0,0,$B$8,$B$9), 1+$AP21, 0) = INDEX(OFFSET($O$15,0,0,$B$8,$B$9), 1+BH$14, 0))
) / $B$13)</f>
        <v>0.95</v>
      </c>
      <c r="BI21" cm="1">
        <f t="array" aca="1" ref="BI21" ca="1">IF($AP21=BI$14, 1, SUMPRODUCT(
    --(OFFSET($O$13,0,0,1,$B$9)=TRUE),
    --(INDEX(OFFSET($O$15,0,0,$B$8,$B$9), 1+$AP21, 0) = INDEX(OFFSET($O$15,0,0,$B$8,$B$9), 1+BI$14, 0))
) / $B$13)</f>
        <v>0.8</v>
      </c>
      <c r="BJ21" cm="1">
        <f t="array" aca="1" ref="BJ21" ca="1">IF($AP21=BJ$14, 1, SUMPRODUCT(
    --(OFFSET($O$13,0,0,1,$B$9)=TRUE),
    --(INDEX(OFFSET($O$15,0,0,$B$8,$B$9), 1+$AP21, 0) = INDEX(OFFSET($O$15,0,0,$B$8,$B$9), 1+BJ$14, 0))
) / $B$13)</f>
        <v>0.95</v>
      </c>
      <c r="BN21">
        <f t="shared" ca="1" si="8"/>
        <v>5</v>
      </c>
      <c r="BO21" s="14">
        <f t="shared" ca="1" si="9"/>
        <v>0.2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
) / $B$16)</f>
        <v>0.84210526315789469</v>
      </c>
      <c r="BR21" cm="1">
        <f t="array" aca="1" ref="BR21" ca="1">IF($BP21=BR$14, 1, SUMPRODUCT(
    --(OFFSET($O$9,0,0,1,$B$9)=TRUE),
    --(INDEX(OFFSET($O$15,0,0,$B$8,$B$9), 1+$BP21, 0) = INDEX(OFFSET($O$15,0,0,$B$8,$B$9), 1+BR$14, 0))
) / $B$16)</f>
        <v>0.84210526315789469</v>
      </c>
      <c r="BS21" cm="1">
        <f t="array" aca="1" ref="BS21" ca="1">IF($BP21=BS$14, 1, SUMPRODUCT(
    --(OFFSET($O$9,0,0,1,$B$9)=TRUE),
    --(INDEX(OFFSET($O$15,0,0,$B$8,$B$9), 1+$BP21, 0) = INDEX(OFFSET($O$15,0,0,$B$8,$B$9), 1+BS$14, 0))
) / $B$16)</f>
        <v>0.84210526315789469</v>
      </c>
      <c r="BT21" cm="1">
        <f t="array" aca="1" ref="BT21" ca="1">IF($BP21=BT$14, 1, SUMPRODUCT(
    --(OFFSET($O$9,0,0,1,$B$9)=TRUE),
    --(INDEX(OFFSET($O$15,0,0,$B$8,$B$9), 1+$BP21, 0) = INDEX(OFFSET($O$15,0,0,$B$8,$B$9), 1+BT$14, 0))
) / $B$16)</f>
        <v>0.84210526315789469</v>
      </c>
      <c r="BU21" cm="1">
        <f t="array" aca="1" ref="BU21" ca="1">IF($BP21=BU$14, 1, SUMPRODUCT(
    --(OFFSET($O$9,0,0,1,$B$9)=TRUE),
    --(INDEX(OFFSET($O$15,0,0,$B$8,$B$9), 1+$BP21, 0) = INDEX(OFFSET($O$15,0,0,$B$8,$B$9), 1+BU$14, 0))
) / $B$16)</f>
        <v>0.84210526315789469</v>
      </c>
      <c r="BV21" cm="1">
        <f t="array" aca="1" ref="BV21" ca="1">IF($BP21=BV$14, 1, SUMPRODUCT(
    --(OFFSET($O$9,0,0,1,$B$9)=TRUE),
    --(INDEX(OFFSET($O$15,0,0,$B$8,$B$9), 1+$BP21, 0) = INDEX(OFFSET($O$15,0,0,$B$8,$B$9), 1+BV$14, 0))
) / $B$16)</f>
        <v>0.84210526315789469</v>
      </c>
      <c r="BW21" cm="1">
        <f t="array" aca="1" ref="BW21" ca="1">IF($BP21=BW$14, 1, SUMPRODUCT(
    --(OFFSET($O$9,0,0,1,$B$9)=TRUE),
    --(INDEX(OFFSET($O$15,0,0,$B$8,$B$9), 1+$BP21, 0) = INDEX(OFFSET($O$15,0,0,$B$8,$B$9), 1+BW$14, 0))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
) / $B$16)</f>
        <v>1</v>
      </c>
      <c r="BY21" cm="1">
        <f t="array" aca="1" ref="BY21" ca="1">IF($BP21=BY$14, 1, SUMPRODUCT(
    --(OFFSET($O$9,0,0,1,$B$9)=TRUE),
    --(INDEX(OFFSET($O$15,0,0,$B$8,$B$9), 1+$BP21, 0) = INDEX(OFFSET($O$15,0,0,$B$8,$B$9), 1+BY$14, 0))
) / $B$16)</f>
        <v>0.84210526315789469</v>
      </c>
      <c r="BZ21" cm="1">
        <f t="array" aca="1" ref="BZ21" ca="1">IF($BP21=BZ$14, 1, SUMPRODUCT(
    --(OFFSET($O$9,0,0,1,$B$9)=TRUE),
    --(INDEX(OFFSET($O$15,0,0,$B$8,$B$9), 1+$BP21, 0) = INDEX(OFFSET($O$15,0,0,$B$8,$B$9), 1+BZ$14, 0))
) / $B$16)</f>
        <v>0.84210526315789469</v>
      </c>
      <c r="CA21" cm="1">
        <f t="array" aca="1" ref="CA21" ca="1">IF($BP21=CA$14, 1, SUMPRODUCT(
    --(OFFSET($O$9,0,0,1,$B$9)=TRUE),
    --(INDEX(OFFSET($O$15,0,0,$B$8,$B$9), 1+$BP21, 0) = INDEX(OFFSET($O$15,0,0,$B$8,$B$9), 1+CA$14, 0))
) / $B$16)</f>
        <v>0.84210526315789469</v>
      </c>
      <c r="CB21" cm="1">
        <f t="array" aca="1" ref="CB21" ca="1">IF($BP21=CB$14, 1, SUMPRODUCT(
    --(OFFSET($O$9,0,0,1,$B$9)=TRUE),
    --(INDEX(OFFSET($O$15,0,0,$B$8,$B$9), 1+$BP21, 0) = INDEX(OFFSET($O$15,0,0,$B$8,$B$9), 1+CB$14, 0))
) / $B$16)</f>
        <v>0.84210526315789469</v>
      </c>
      <c r="CC21" cm="1">
        <f t="array" aca="1" ref="CC21" ca="1">IF($BP21=CC$14, 1, SUMPRODUCT(
    --(OFFSET($O$9,0,0,1,$B$9)=TRUE),
    --(INDEX(OFFSET($O$15,0,0,$B$8,$B$9), 1+$BP21, 0) = INDEX(OFFSET($O$15,0,0,$B$8,$B$9), 1+CC$14, 0))
) / $B$16)</f>
        <v>0.84210526315789469</v>
      </c>
      <c r="CD21" cm="1">
        <f t="array" aca="1" ref="CD21" ca="1">IF($BP21=CD$14, 1, SUMPRODUCT(
    --(OFFSET($O$9,0,0,1,$B$9)=TRUE),
    --(INDEX(OFFSET($O$15,0,0,$B$8,$B$9), 1+$BP21, 0) = INDEX(OFFSET($O$15,0,0,$B$8,$B$9), 1+CD$14, 0))
) / $B$16)</f>
        <v>0.84210526315789469</v>
      </c>
      <c r="CE21" cm="1">
        <f t="array" aca="1" ref="CE21" ca="1">IF($BP21=CE$14, 1, SUMPRODUCT(
    --(OFFSET($O$9,0,0,1,$B$9)=TRUE),
    --(INDEX(OFFSET($O$15,0,0,$B$8,$B$9), 1+$BP21, 0) = INDEX(OFFSET($O$15,0,0,$B$8,$B$9), 1+CE$14, 0))
) / $B$16)</f>
        <v>1</v>
      </c>
      <c r="CF21" cm="1">
        <f t="array" aca="1" ref="CF21" ca="1">IF($BP21=CF$14, 1, SUMPRODUCT(
    --(OFFSET($O$9,0,0,1,$B$9)=TRUE),
    --(INDEX(OFFSET($O$15,0,0,$B$8,$B$9), 1+$BP21, 0) = INDEX(OFFSET($O$15,0,0,$B$8,$B$9), 1+CF$14, 0))
) / $B$16)</f>
        <v>1</v>
      </c>
      <c r="CG21" cm="1">
        <f t="array" aca="1" ref="CG21" ca="1">IF($BP21=CG$14, 1, SUMPRODUCT(
    --(OFFSET($O$9,0,0,1,$B$9)=TRUE),
    --(INDEX(OFFSET($O$15,0,0,$B$8,$B$9), 1+$BP21, 0) = INDEX(OFFSET($O$15,0,0,$B$8,$B$9), 1+CG$14, 0))
) / $B$16)</f>
        <v>0.84210526315789469</v>
      </c>
      <c r="CH21" cm="1">
        <f t="array" aca="1" ref="CH21" ca="1">IF($BP21=CH$14, 1, SUMPRODUCT(
    --(OFFSET($O$9,0,0,1,$B$9)=TRUE),
    --(INDEX(OFFSET($O$15,0,0,$B$8,$B$9), 1+$BP21, 0) = INDEX(OFFSET($O$15,0,0,$B$8,$B$9), 1+CH$14, 0))
) / $B$16)</f>
        <v>1</v>
      </c>
      <c r="CI21" cm="1">
        <f t="array" aca="1" ref="CI21" ca="1">IF($BP21=CI$14, 1, SUMPRODUCT(
    --(OFFSET($O$9,0,0,1,$B$9)=TRUE),
    --(INDEX(OFFSET($O$15,0,0,$B$8,$B$9), 1+$BP21, 0) = INDEX(OFFSET($O$15,0,0,$B$8,$B$9), 1+CI$14, 0))
) / $B$16)</f>
        <v>0.84210526315789469</v>
      </c>
      <c r="CJ21" cm="1">
        <f t="array" aca="1" ref="CJ21" ca="1">IF($BP21=CJ$14, 1, SUMPRODUCT(
    --(OFFSET($O$9,0,0,1,$B$9)=TRUE),
    --(INDEX(OFFSET($O$15,0,0,$B$8,$B$9), 1+$BP21, 0) = INDEX(OFFSET($O$15,0,0,$B$8,$B$9), 1+CJ$14, 0))
) / $B$16)</f>
        <v>0.94736842105263153</v>
      </c>
      <c r="CP21">
        <f ca="1"/>
        <v>6</v>
      </c>
      <c r="CQ21" cm="1">
        <f t="array" aca="1" ref="CQ21" ca="1">(1-$B$18)*SUMPRODUCT(OFFSET($BO$15,0,0,$B$14,1), 1*(_xlfn._xlws.FILTER(OFFSET($O$15,0,$CP21,$B$8,1), OFFSET($M$15,0,0,$B$8,1))=CQ$14))   /   SUM(OFFSET($BO$15,0,0,$B$14,1)) + $B$18/$B$19</f>
        <v>3.3333333333333331E-3</v>
      </c>
      <c r="CR21" s="10" cm="1">
        <f t="array" aca="1" ref="CR21" ca="1">(1-$B$18)*SUMPRODUCT(OFFSET($BO$15,0,0,$B$14,1), 1*(_xlfn._xlws.FILTER(OFFSET($O$15,0,$CP21,$B$8,1), OFFSET($M$15,0,0,$B$8,1))=CR$14))   /   SUM(OFFSET($BO$15,0,0,$B$14,1)) + $B$18/$B$19</f>
        <v>3.3333333333333331E-3</v>
      </c>
      <c r="CS21" s="10" cm="1">
        <f t="array" aca="1" ref="CS21" ca="1">(1-$B$18)*SUMPRODUCT(OFFSET($BO$15,0,0,$B$14,1), 1*(_xlfn._xlws.FILTER(OFFSET($O$15,0,$CP21,$B$8,1), OFFSET($M$15,0,0,$B$8,1))=CS$14))   /   SUM(OFFSET($BO$15,0,0,$B$14,1)) + $B$18/$B$19</f>
        <v>3.3333333333333331E-3</v>
      </c>
      <c r="CT21" s="10" cm="1">
        <f t="array" aca="1" ref="CT21" ca="1">(1-$B$18)*SUMPRODUCT(OFFSET($BO$15,0,0,$B$14,1), 1*(_xlfn._xlws.FILTER(OFFSET($O$15,0,$CP21,$B$8,1), OFFSET($M$15,0,0,$B$8,1))=CT$14))   /   SUM(OFFSET($BO$15,0,0,$B$14,1)) + $B$18/$B$19</f>
        <v>3.3333333333333331E-3</v>
      </c>
      <c r="CU21" s="10" cm="1">
        <f t="array" aca="1" ref="CU21" ca="1">(1-$B$18)*SUMPRODUCT(OFFSET($BO$15,0,0,$B$14,1), 1*(_xlfn._xlws.FILTER(OFFSET($O$15,0,$CP21,$B$8,1), OFFSET($M$15,0,0,$B$8,1))=CU$14))   /   SUM(OFFSET($BO$15,0,0,$B$14,1)) + $B$18/$B$19</f>
        <v>3.3333333333333331E-3</v>
      </c>
      <c r="CV21" s="10" cm="1">
        <f t="array" aca="1" ref="CV21" ca="1">(1-$B$18)*SUMPRODUCT(OFFSET($BO$15,0,0,$B$14,1), 1*(_xlfn._xlws.FILTER(OFFSET($O$15,0,$CP21,$B$8,1), OFFSET($M$15,0,0,$B$8,1))=CV$14))   /   SUM(OFFSET($BO$15,0,0,$B$14,1)) + $B$18/$B$19</f>
        <v>3.3333333333333331E-3</v>
      </c>
      <c r="CW21" s="10" cm="1">
        <f t="array" aca="1" ref="CW21" ca="1">(1-$B$18)*SUMPRODUCT(OFFSET($BO$15,0,0,$B$14,1), 1*(_xlfn._xlws.FILTER(OFFSET($O$15,0,$CP21,$B$8,1), OFFSET($M$15,0,0,$B$8,1))=CW$14))   /   SUM(OFFSET($BO$15,0,0,$B$14,1)) + $B$18/$B$19</f>
        <v>3.3333333333333331E-3</v>
      </c>
      <c r="CX21" s="10" cm="1">
        <f t="array" aca="1" ref="CX21" ca="1">(1-$B$18)*SUMPRODUCT(OFFSET($BO$15,0,0,$B$14,1), 1*(_xlfn._xlws.FILTER(OFFSET($O$15,0,$CP21,$B$8,1), OFFSET($M$15,0,0,$B$8,1))=CX$14))   /   SUM(OFFSET($BO$15,0,0,$B$14,1)) + $B$18/$B$19</f>
        <v>0.97333333333333327</v>
      </c>
      <c r="CY21" s="10" cm="1">
        <f t="array" aca="1" ref="CY21" ca="1">(1-$B$18)*SUMPRODUCT(OFFSET($BO$15,0,0,$B$14,1), 1*(_xlfn._xlws.FILTER(OFFSET($O$15,0,$CP21,$B$8,1), OFFSET($M$15,0,0,$B$8,1))=CY$14))   /   SUM(OFFSET($BO$15,0,0,$B$14,1)) + $B$18/$B$19</f>
        <v>3.3333333333333331E-3</v>
      </c>
      <c r="DB21" s="10" cm="1">
        <f t="array" aca="1" ref="DB21" ca="1">SUM(OFFSET($CR21,0,0,1,$M$2)*LN(OFFSET($CR21,0,0,1,$M$2)/OFFSET($CR$11,0,0,1,$M$2)))+IF($CQ$11&gt;0,OFFSET($O$10,0,$CP21,1,1)*LN(OFFSET($O$10,0,$CP21,1,1)/$CQ$11),0)</f>
        <v>1.9131139043413501</v>
      </c>
      <c r="DC21">
        <f ca="1"/>
        <v>6</v>
      </c>
      <c r="DD21" s="10">
        <f t="shared" ca="1" si="11"/>
        <v>0.11767737994455678</v>
      </c>
      <c r="DE21" s="10">
        <f t="shared" ca="1" si="10"/>
        <v>0.11767737994455678</v>
      </c>
      <c r="DF21" s="10">
        <f t="shared" ca="1" si="10"/>
        <v>0.11767737994455678</v>
      </c>
      <c r="DG21" s="10">
        <f t="shared" ca="1" si="10"/>
        <v>0.11767737994455678</v>
      </c>
      <c r="DH21" s="10">
        <f t="shared" ca="1" si="10"/>
        <v>0.11767737994455678</v>
      </c>
      <c r="DI21" s="10">
        <f t="shared" ca="1" si="10"/>
        <v>0.11767737994455678</v>
      </c>
      <c r="DJ21" s="10">
        <f t="shared" ca="1" si="10"/>
        <v>1.9045936050347492</v>
      </c>
      <c r="DK21" s="10">
        <f t="shared" ca="1" si="10"/>
        <v>0.11767737994455678</v>
      </c>
      <c r="DN21" cm="1">
        <f t="array" aca="1" ref="DN21" ca="1">INDEX(_xlfn.ANCHORARRAY($CP$15), 1 + INT((ROWS($DO$15:$DO21) - 1) / ROWS(_xlfn.ANCHORARRAY($CP$15))))</f>
        <v>0</v>
      </c>
      <c r="DO21" cm="1">
        <f t="array" aca="1" ref="DO21" ca="1">INDEX(_xlfn.ANCHORARRAY($CP$15),1+MOD(ROWS($DO$15:$DO21)-1,ROWS(_xlfn.ANCHORARRAY($CP$15))))</f>
        <v>6</v>
      </c>
      <c r="DP21" s="10" cm="1">
        <f t="array" aca="1" ref="DP21" ca="1">(1-$B$18)*SUMPRODUCT(OFFSET($BO$15,0,0,$B$14,1), 1*(_xlfn._xlws.FILTER(OFFSET($O$15,0,$DN21,$B$8,1),OFFSET($M$15,0,0,$B$8,1))=DP$13), 1*(_xlfn._xlws.FILTER(OFFSET($O$15,0,$DO21,$B$8,1),OFFSET($M$15,0,0,$B$8,1))=DP$14))   /   SUM(OFFSET($BO$15,0,0,$B$14,1)) + $B$18/($B$19*$B$19*($DN21&lt;&gt;$DO21) + $B$19*($DN21=$DO21))</f>
        <v>3.7037037037037035E-4</v>
      </c>
      <c r="DQ21" s="10" cm="1">
        <f t="array" aca="1" ref="DQ21" ca="1">(1-$B$18)*SUMPRODUCT(OFFSET($BO$15,0,0,$B$14,1), 1*(_xlfn._xlws.FILTER(OFFSET($O$15,0,$DN21,$B$8,1),OFFSET($M$15,0,0,$B$8,1))=DQ$13), 1*(_xlfn._xlws.FILTER(OFFSET($O$15,0,$DO21,$B$8,1),OFFSET($M$15,0,0,$B$8,1))=DQ$14))   /   SUM(OFFSET($BO$15,0,0,$B$14,1)) + $B$18/($B$19*$B$19*($DN21&lt;&gt;$DO21) + $B$19*($DN21=$DO21))</f>
        <v>3.7037037037037035E-4</v>
      </c>
      <c r="DR21" s="10" cm="1">
        <f t="array" aca="1" ref="DR21" ca="1">(1-$B$18)*SUMPRODUCT(OFFSET($BO$15,0,0,$B$14,1), 1*(_xlfn._xlws.FILTER(OFFSET($O$15,0,$DN21,$B$8,1),OFFSET($M$15,0,0,$B$8,1))=DR$13), 1*(_xlfn._xlws.FILTER(OFFSET($O$15,0,$DO21,$B$8,1),OFFSET($M$15,0,0,$B$8,1))=DR$14))   /   SUM(OFFSET($BO$15,0,0,$B$14,1)) + $B$18/($B$19*$B$19*($DN21&lt;&gt;$DO21) + $B$19*($DN21=$DO21))</f>
        <v>3.7037037037037035E-4</v>
      </c>
      <c r="DS21" s="10" cm="1">
        <f t="array" aca="1" ref="DS21" ca="1">(1-$B$18)*SUMPRODUCT(OFFSET($BO$15,0,0,$B$14,1), 1*(_xlfn._xlws.FILTER(OFFSET($O$15,0,$DN21,$B$8,1),OFFSET($M$15,0,0,$B$8,1))=DS$13), 1*(_xlfn._xlws.FILTER(OFFSET($O$15,0,$DO21,$B$8,1),OFFSET($M$15,0,0,$B$8,1))=DS$14))   /   SUM(OFFSET($BO$15,0,0,$B$14,1)) + $B$18/($B$19*$B$19*($DN21&lt;&gt;$DO21) + $B$19*($DN21=$DO21))</f>
        <v>3.7037037037037035E-4</v>
      </c>
      <c r="DT21" s="10" cm="1">
        <f t="array" aca="1" ref="DT21" ca="1">(1-$B$18)*SUMPRODUCT(OFFSET($BO$15,0,0,$B$14,1), 1*(_xlfn._xlws.FILTER(OFFSET($O$15,0,$DN21,$B$8,1),OFFSET($M$15,0,0,$B$8,1))=DT$13), 1*(_xlfn._xlws.FILTER(OFFSET($O$15,0,$DO21,$B$8,1),OFFSET($M$15,0,0,$B$8,1))=DT$14))   /   SUM(OFFSET($BO$15,0,0,$B$14,1)) + $B$18/($B$19*$B$19*($DN21&lt;&gt;$DO21) + $B$19*($DN21=$DO21))</f>
        <v>3.7037037037037035E-4</v>
      </c>
      <c r="DU21" s="10" cm="1">
        <f t="array" aca="1" ref="DU21" ca="1">(1-$B$18)*SUMPRODUCT(OFFSET($BO$15,0,0,$B$14,1), 1*(_xlfn._xlws.FILTER(OFFSET($O$15,0,$DN21,$B$8,1),OFFSET($M$15,0,0,$B$8,1))=DU$13), 1*(_xlfn._xlws.FILTER(OFFSET($O$15,0,$DO21,$B$8,1),OFFSET($M$15,0,0,$B$8,1))=DU$14))   /   SUM(OFFSET($BO$15,0,0,$B$14,1)) + $B$18/($B$19*$B$19*($DN21&lt;&gt;$DO21) + $B$19*($DN21=$DO21))</f>
        <v>3.7037037037037035E-4</v>
      </c>
      <c r="DV21" s="10" cm="1">
        <f t="array" aca="1" ref="DV21" ca="1">(1-$B$18)*SUMPRODUCT(OFFSET($BO$15,0,0,$B$14,1), 1*(_xlfn._xlws.FILTER(OFFSET($O$15,0,$DN21,$B$8,1),OFFSET($M$15,0,0,$B$8,1))=DV$13), 1*(_xlfn._xlws.FILTER(OFFSET($O$15,0,$DO21,$B$8,1),OFFSET($M$15,0,0,$B$8,1))=DV$14))   /   SUM(OFFSET($BO$15,0,0,$B$14,1)) + $B$18/($B$19*$B$19*($DN21&lt;&gt;$DO21) + $B$19*($DN21=$DO21))</f>
        <v>3.7037037037037035E-4</v>
      </c>
      <c r="DW21" s="10" cm="1">
        <f t="array" aca="1" ref="DW21" ca="1">(1-$B$18)*SUMPRODUCT(OFFSET($BO$15,0,0,$B$14,1), 1*(_xlfn._xlws.FILTER(OFFSET($O$15,0,$DN21,$B$8,1),OFFSET($M$15,0,0,$B$8,1))=DW$13), 1*(_xlfn._xlws.FILTER(OFFSET($O$15,0,$DO21,$B$8,1),OFFSET($M$15,0,0,$B$8,1))=DW$14))   /   SUM(OFFSET($BO$15,0,0,$B$14,1)) + $B$18/($B$19*$B$19*($DN21&lt;&gt;$DO21) + $B$19*($DN21=$DO21))</f>
        <v>3.7037037037037035E-4</v>
      </c>
      <c r="DX21" s="10" cm="1">
        <f t="array" aca="1" ref="DX21" ca="1">(1-$B$18)*SUMPRODUCT(OFFSET($BO$15,0,0,$B$14,1), 1*(_xlfn._xlws.FILTER(OFFSET($O$15,0,$DN21,$B$8,1),OFFSET($M$15,0,0,$B$8,1))=DX$13), 1*(_xlfn._xlws.FILTER(OFFSET($O$15,0,$DO21,$B$8,1),OFFSET($M$15,0,0,$B$8,1))=DX$14))   /   SUM(OFFSET($BO$15,0,0,$B$14,1)) + $B$18/($B$19*$B$19*($DN21&lt;&gt;$DO21) + $B$19*($DN21=$DO21))</f>
        <v>3.7037037037037035E-4</v>
      </c>
      <c r="DY21" s="10" cm="1">
        <f t="array" aca="1" ref="DY21" ca="1">(1-$B$18)*SUMPRODUCT(OFFSET($BO$15,0,0,$B$14,1), 1*(_xlfn._xlws.FILTER(OFFSET($O$15,0,$DN21,$B$8,1),OFFSET($M$15,0,0,$B$8,1))=DY$13), 1*(_xlfn._xlws.FILTER(OFFSET($O$15,0,$DO21,$B$8,1),OFFSET($M$15,0,0,$B$8,1))=DY$14))   /   SUM(OFFSET($BO$15,0,0,$B$14,1)) + $B$18/($B$19*$B$19*($DN21&lt;&gt;$DO21) + $B$19*($DN21=$DO21))</f>
        <v>3.7037037037037035E-4</v>
      </c>
      <c r="DZ21" s="10" cm="1">
        <f t="array" aca="1" ref="DZ21" ca="1">(1-$B$18)*SUMPRODUCT(OFFSET($BO$15,0,0,$B$14,1), 1*(_xlfn._xlws.FILTER(OFFSET($O$15,0,$DN21,$B$8,1),OFFSET($M$15,0,0,$B$8,1))=DZ$13), 1*(_xlfn._xlws.FILTER(OFFSET($O$15,0,$DO21,$B$8,1),OFFSET($M$15,0,0,$B$8,1))=DZ$14))   /   SUM(OFFSET($BO$15,0,0,$B$14,1)) + $B$18/($B$19*$B$19*($DN21&lt;&gt;$DO21) + $B$19*($DN21=$DO21))</f>
        <v>3.7037037037037035E-4</v>
      </c>
      <c r="EA21" s="10" cm="1">
        <f t="array" aca="1" ref="EA21" ca="1">(1-$B$18)*SUMPRODUCT(OFFSET($BO$15,0,0,$B$14,1), 1*(_xlfn._xlws.FILTER(OFFSET($O$15,0,$DN21,$B$8,1),OFFSET($M$15,0,0,$B$8,1))=EA$13), 1*(_xlfn._xlws.FILTER(OFFSET($O$15,0,$DO21,$B$8,1),OFFSET($M$15,0,0,$B$8,1))=EA$14))   /   SUM(OFFSET($BO$15,0,0,$B$14,1)) + $B$18/($B$19*$B$19*($DN21&lt;&gt;$DO21) + $B$19*($DN21=$DO21))</f>
        <v>3.7037037037037035E-4</v>
      </c>
      <c r="EB21" s="10" cm="1">
        <f t="array" aca="1" ref="EB21" ca="1">(1-$B$18)*SUMPRODUCT(OFFSET($BO$15,0,0,$B$14,1), 1*(_xlfn._xlws.FILTER(OFFSET($O$15,0,$DN21,$B$8,1),OFFSET($M$15,0,0,$B$8,1))=EB$13), 1*(_xlfn._xlws.FILTER(OFFSET($O$15,0,$DO21,$B$8,1),OFFSET($M$15,0,0,$B$8,1))=EB$14))   /   SUM(OFFSET($BO$15,0,0,$B$14,1)) + $B$18/($B$19*$B$19*($DN21&lt;&gt;$DO21) + $B$19*($DN21=$DO21))</f>
        <v>3.7037037037037035E-4</v>
      </c>
      <c r="EC21" s="10" cm="1">
        <f t="array" aca="1" ref="EC21" ca="1">(1-$B$18)*SUMPRODUCT(OFFSET($BO$15,0,0,$B$14,1), 1*(_xlfn._xlws.FILTER(OFFSET($O$15,0,$DN21,$B$8,1),OFFSET($M$15,0,0,$B$8,1))=EC$13), 1*(_xlfn._xlws.FILTER(OFFSET($O$15,0,$DO21,$B$8,1),OFFSET($M$15,0,0,$B$8,1))=EC$14))   /   SUM(OFFSET($BO$15,0,0,$B$14,1)) + $B$18/($B$19*$B$19*($DN21&lt;&gt;$DO21) + $B$19*($DN21=$DO21))</f>
        <v>3.7037037037037035E-4</v>
      </c>
      <c r="ED21" s="10" cm="1">
        <f t="array" aca="1" ref="ED21" ca="1">(1-$B$18)*SUMPRODUCT(OFFSET($BO$15,0,0,$B$14,1), 1*(_xlfn._xlws.FILTER(OFFSET($O$15,0,$DN21,$B$8,1),OFFSET($M$15,0,0,$B$8,1))=ED$13), 1*(_xlfn._xlws.FILTER(OFFSET($O$15,0,$DO21,$B$8,1),OFFSET($M$15,0,0,$B$8,1))=ED$14))   /   SUM(OFFSET($BO$15,0,0,$B$14,1)) + $B$18/($B$19*$B$19*($DN21&lt;&gt;$DO21) + $B$19*($DN21=$DO21))</f>
        <v>3.7037037037037035E-4</v>
      </c>
      <c r="EE21" s="10" cm="1">
        <f t="array" aca="1" ref="EE21" ca="1">(1-$B$18)*SUMPRODUCT(OFFSET($BO$15,0,0,$B$14,1), 1*(_xlfn._xlws.FILTER(OFFSET($O$15,0,$DN21,$B$8,1),OFFSET($M$15,0,0,$B$8,1))=EE$13), 1*(_xlfn._xlws.FILTER(OFFSET($O$15,0,$DO21,$B$8,1),OFFSET($M$15,0,0,$B$8,1))=EE$14))   /   SUM(OFFSET($BO$15,0,0,$B$14,1)) + $B$18/($B$19*$B$19*($DN21&lt;&gt;$DO21) + $B$19*($DN21=$DO21))</f>
        <v>3.7037037037037035E-4</v>
      </c>
      <c r="EF21" s="10" cm="1">
        <f t="array" aca="1" ref="EF21" ca="1">(1-$B$18)*SUMPRODUCT(OFFSET($BO$15,0,0,$B$14,1), 1*(_xlfn._xlws.FILTER(OFFSET($O$15,0,$DN21,$B$8,1),OFFSET($M$15,0,0,$B$8,1))=EF$13), 1*(_xlfn._xlws.FILTER(OFFSET($O$15,0,$DO21,$B$8,1),OFFSET($M$15,0,0,$B$8,1))=EF$14))   /   SUM(OFFSET($BO$15,0,0,$B$14,1)) + $B$18/($B$19*$B$19*($DN21&lt;&gt;$DO21) + $B$19*($DN21=$DO21))</f>
        <v>3.7037037037037035E-4</v>
      </c>
      <c r="EG21" s="10" cm="1">
        <f t="array" aca="1" ref="EG21" ca="1">(1-$B$18)*SUMPRODUCT(OFFSET($BO$15,0,0,$B$14,1), 1*(_xlfn._xlws.FILTER(OFFSET($O$15,0,$DN21,$B$8,1),OFFSET($M$15,0,0,$B$8,1))=EG$13), 1*(_xlfn._xlws.FILTER(OFFSET($O$15,0,$DO21,$B$8,1),OFFSET($M$15,0,0,$B$8,1))=EG$14))   /   SUM(OFFSET($BO$15,0,0,$B$14,1)) + $B$18/($B$19*$B$19*($DN21&lt;&gt;$DO21) + $B$19*($DN21=$DO21))</f>
        <v>3.7037037037037035E-4</v>
      </c>
      <c r="EH21" s="10" cm="1">
        <f t="array" aca="1" ref="EH21" ca="1">(1-$B$18)*SUMPRODUCT(OFFSET($BO$15,0,0,$B$14,1), 1*(_xlfn._xlws.FILTER(OFFSET($O$15,0,$DN21,$B$8,1),OFFSET($M$15,0,0,$B$8,1))=EH$13), 1*(_xlfn._xlws.FILTER(OFFSET($O$15,0,$DO21,$B$8,1),OFFSET($M$15,0,0,$B$8,1))=EH$14))   /   SUM(OFFSET($BO$15,0,0,$B$14,1)) + $B$18/($B$19*$B$19*($DN21&lt;&gt;$DO21) + $B$19*($DN21=$DO21))</f>
        <v>3.7037037037037035E-4</v>
      </c>
      <c r="EI21" s="10" cm="1">
        <f t="array" aca="1" ref="EI21" ca="1">(1-$B$18)*SUMPRODUCT(OFFSET($BO$15,0,0,$B$14,1), 1*(_xlfn._xlws.FILTER(OFFSET($O$15,0,$DN21,$B$8,1),OFFSET($M$15,0,0,$B$8,1))=EI$13), 1*(_xlfn._xlws.FILTER(OFFSET($O$15,0,$DO21,$B$8,1),OFFSET($M$15,0,0,$B$8,1))=EI$14))   /   SUM(OFFSET($BO$15,0,0,$B$14,1)) + $B$18/($B$19*$B$19*($DN21&lt;&gt;$DO21) + $B$19*($DN21=$DO21))</f>
        <v>3.7037037037037035E-4</v>
      </c>
      <c r="EJ21" s="10" cm="1">
        <f t="array" aca="1" ref="EJ21" ca="1">(1-$B$18)*SUMPRODUCT(OFFSET($BO$15,0,0,$B$14,1), 1*(_xlfn._xlws.FILTER(OFFSET($O$15,0,$DN21,$B$8,1),OFFSET($M$15,0,0,$B$8,1))=EJ$13), 1*(_xlfn._xlws.FILTER(OFFSET($O$15,0,$DO21,$B$8,1),OFFSET($M$15,0,0,$B$8,1))=EJ$14))   /   SUM(OFFSET($BO$15,0,0,$B$14,1)) + $B$18/($B$19*$B$19*($DN21&lt;&gt;$DO21) + $B$19*($DN21=$DO21))</f>
        <v>3.7037037037037035E-4</v>
      </c>
      <c r="EK21" s="10" cm="1">
        <f t="array" aca="1" ref="EK21" ca="1">(1-$B$18)*SUMPRODUCT(OFFSET($BO$15,0,0,$B$14,1), 1*(_xlfn._xlws.FILTER(OFFSET($O$15,0,$DN21,$B$8,1),OFFSET($M$15,0,0,$B$8,1))=EK$13), 1*(_xlfn._xlws.FILTER(OFFSET($O$15,0,$DO21,$B$8,1),OFFSET($M$15,0,0,$B$8,1))=EK$14))   /   SUM(OFFSET($BO$15,0,0,$B$14,1)) + $B$18/($B$19*$B$19*($DN21&lt;&gt;$DO21) + $B$19*($DN21=$DO21))</f>
        <v>3.7037037037037035E-4</v>
      </c>
      <c r="EL21" s="10" cm="1">
        <f t="array" aca="1" ref="EL21" ca="1">(1-$B$18)*SUMPRODUCT(OFFSET($BO$15,0,0,$B$14,1), 1*(_xlfn._xlws.FILTER(OFFSET($O$15,0,$DN21,$B$8,1),OFFSET($M$15,0,0,$B$8,1))=EL$13), 1*(_xlfn._xlws.FILTER(OFFSET($O$15,0,$DO21,$B$8,1),OFFSET($M$15,0,0,$B$8,1))=EL$14))   /   SUM(OFFSET($BO$15,0,0,$B$14,1)) + $B$18/($B$19*$B$19*($DN21&lt;&gt;$DO21) + $B$19*($DN21=$DO21))</f>
        <v>3.7037037037037035E-4</v>
      </c>
      <c r="EM21" s="10" cm="1">
        <f t="array" aca="1" ref="EM21" ca="1">(1-$B$18)*SUMPRODUCT(OFFSET($BO$15,0,0,$B$14,1), 1*(_xlfn._xlws.FILTER(OFFSET($O$15,0,$DN21,$B$8,1),OFFSET($M$15,0,0,$B$8,1))=EM$13), 1*(_xlfn._xlws.FILTER(OFFSET($O$15,0,$DO21,$B$8,1),OFFSET($M$15,0,0,$B$8,1))=EM$14))   /   SUM(OFFSET($BO$15,0,0,$B$14,1)) + $B$18/($B$19*$B$19*($DN21&lt;&gt;$DO21) + $B$19*($DN21=$DO21))</f>
        <v>3.7037037037037035E-4</v>
      </c>
      <c r="EN21" s="10" cm="1">
        <f t="array" aca="1" ref="EN21" ca="1">(1-$B$18)*SUMPRODUCT(OFFSET($BO$15,0,0,$B$14,1), 1*(_xlfn._xlws.FILTER(OFFSET($O$15,0,$DN21,$B$8,1),OFFSET($M$15,0,0,$B$8,1))=EN$13), 1*(_xlfn._xlws.FILTER(OFFSET($O$15,0,$DO21,$B$8,1),OFFSET($M$15,0,0,$B$8,1))=EN$14))   /   SUM(OFFSET($BO$15,0,0,$B$14,1)) + $B$18/($B$19*$B$19*($DN21&lt;&gt;$DO21) + $B$19*($DN21=$DO21))</f>
        <v>3.7037037037037035E-4</v>
      </c>
      <c r="EO21" s="10" cm="1">
        <f t="array" aca="1" ref="EO21" ca="1">(1-$B$18)*SUMPRODUCT(OFFSET($BO$15,0,0,$B$14,1), 1*(_xlfn._xlws.FILTER(OFFSET($O$15,0,$DN21,$B$8,1),OFFSET($M$15,0,0,$B$8,1))=EO$13), 1*(_xlfn._xlws.FILTER(OFFSET($O$15,0,$DO21,$B$8,1),OFFSET($M$15,0,0,$B$8,1))=EO$14))   /   SUM(OFFSET($BO$15,0,0,$B$14,1)) + $B$18/($B$19*$B$19*($DN21&lt;&gt;$DO21) + $B$19*($DN21=$DO21))</f>
        <v>3.7037037037037035E-4</v>
      </c>
      <c r="EP21" s="10" cm="1">
        <f t="array" aca="1" ref="EP21" ca="1">(1-$B$18)*SUMPRODUCT(OFFSET($BO$15,0,0,$B$14,1), 1*(_xlfn._xlws.FILTER(OFFSET($O$15,0,$DN21,$B$8,1),OFFSET($M$15,0,0,$B$8,1))=EP$13), 1*(_xlfn._xlws.FILTER(OFFSET($O$15,0,$DO21,$B$8,1),OFFSET($M$15,0,0,$B$8,1))=EP$14))   /   SUM(OFFSET($BO$15,0,0,$B$14,1)) + $B$18/($B$19*$B$19*($DN21&lt;&gt;$DO21) + $B$19*($DN21=$DO21))</f>
        <v>3.7037037037037035E-4</v>
      </c>
      <c r="EQ21" s="10" cm="1">
        <f t="array" aca="1" ref="EQ21" ca="1">(1-$B$18)*SUMPRODUCT(OFFSET($BO$15,0,0,$B$14,1), 1*(_xlfn._xlws.FILTER(OFFSET($O$15,0,$DN21,$B$8,1),OFFSET($M$15,0,0,$B$8,1))=EQ$13), 1*(_xlfn._xlws.FILTER(OFFSET($O$15,0,$DO21,$B$8,1),OFFSET($M$15,0,0,$B$8,1))=EQ$14))   /   SUM(OFFSET($BO$15,0,0,$B$14,1)) + $B$18/($B$19*$B$19*($DN21&lt;&gt;$DO21) + $B$19*($DN21=$DO21))</f>
        <v>3.7037037037037035E-4</v>
      </c>
      <c r="ER21" s="10" cm="1">
        <f t="array" aca="1" ref="ER21" ca="1">(1-$B$18)*SUMPRODUCT(OFFSET($BO$15,0,0,$B$14,1), 1*(_xlfn._xlws.FILTER(OFFSET($O$15,0,$DN21,$B$8,1),OFFSET($M$15,0,0,$B$8,1))=ER$13), 1*(_xlfn._xlws.FILTER(OFFSET($O$15,0,$DO21,$B$8,1),OFFSET($M$15,0,0,$B$8,1))=ER$14))   /   SUM(OFFSET($BO$15,0,0,$B$14,1)) + $B$18/($B$19*$B$19*($DN21&lt;&gt;$DO21) + $B$19*($DN21=$DO21))</f>
        <v>3.7037037037037035E-4</v>
      </c>
      <c r="ES21" s="10" cm="1">
        <f t="array" aca="1" ref="ES21" ca="1">(1-$B$18)*SUMPRODUCT(OFFSET($BO$15,0,0,$B$14,1), 1*(_xlfn._xlws.FILTER(OFFSET($O$15,0,$DN21,$B$8,1),OFFSET($M$15,0,0,$B$8,1))=ES$13), 1*(_xlfn._xlws.FILTER(OFFSET($O$15,0,$DO21,$B$8,1),OFFSET($M$15,0,0,$B$8,1))=ES$14))   /   SUM(OFFSET($BO$15,0,0,$B$14,1)) + $B$18/($B$19*$B$19*($DN21&lt;&gt;$DO21) + $B$19*($DN21=$DO21))</f>
        <v>3.7037037037037035E-4</v>
      </c>
      <c r="ET21" s="10" cm="1">
        <f t="array" aca="1" ref="ET21" ca="1">(1-$B$18)*SUMPRODUCT(OFFSET($BO$15,0,0,$B$14,1), 1*(_xlfn._xlws.FILTER(OFFSET($O$15,0,$DN21,$B$8,1),OFFSET($M$15,0,0,$B$8,1))=ET$13), 1*(_xlfn._xlws.FILTER(OFFSET($O$15,0,$DO21,$B$8,1),OFFSET($M$15,0,0,$B$8,1))=ET$14))   /   SUM(OFFSET($BO$15,0,0,$B$14,1)) + $B$18/($B$19*$B$19*($DN21&lt;&gt;$DO21) + $B$19*($DN21=$DO21))</f>
        <v>3.7037037037037035E-4</v>
      </c>
      <c r="EU21" s="10" cm="1">
        <f t="array" aca="1" ref="EU21" ca="1">(1-$B$18)*SUMPRODUCT(OFFSET($BO$15,0,0,$B$14,1), 1*(_xlfn._xlws.FILTER(OFFSET($O$15,0,$DN21,$B$8,1),OFFSET($M$15,0,0,$B$8,1))=EU$13), 1*(_xlfn._xlws.FILTER(OFFSET($O$15,0,$DO21,$B$8,1),OFFSET($M$15,0,0,$B$8,1))=EU$14))   /   SUM(OFFSET($BO$15,0,0,$B$14,1)) + $B$18/($B$19*$B$19*($DN21&lt;&gt;$DO21) + $B$19*($DN21=$DO21))</f>
        <v>3.7037037037037035E-4</v>
      </c>
      <c r="EV21" s="10" cm="1">
        <f t="array" aca="1" ref="EV21" ca="1">(1-$B$18)*SUMPRODUCT(OFFSET($BO$15,0,0,$B$14,1), 1*(_xlfn._xlws.FILTER(OFFSET($O$15,0,$DN21,$B$8,1),OFFSET($M$15,0,0,$B$8,1))=EV$13), 1*(_xlfn._xlws.FILTER(OFFSET($O$15,0,$DO21,$B$8,1),OFFSET($M$15,0,0,$B$8,1))=EV$14))   /   SUM(OFFSET($BO$15,0,0,$B$14,1)) + $B$18/($B$19*$B$19*($DN21&lt;&gt;$DO21) + $B$19*($DN21=$DO21))</f>
        <v>3.7037037037037035E-4</v>
      </c>
      <c r="EW21" s="10" cm="1">
        <f t="array" aca="1" ref="EW21" ca="1">(1-$B$18)*SUMPRODUCT(OFFSET($BO$15,0,0,$B$14,1), 1*(_xlfn._xlws.FILTER(OFFSET($O$15,0,$DN21,$B$8,1),OFFSET($M$15,0,0,$B$8,1))=EW$13), 1*(_xlfn._xlws.FILTER(OFFSET($O$15,0,$DO21,$B$8,1),OFFSET($M$15,0,0,$B$8,1))=EW$14))   /   SUM(OFFSET($BO$15,0,0,$B$14,1)) + $B$18/($B$19*$B$19*($DN21&lt;&gt;$DO21) + $B$19*($DN21=$DO21))</f>
        <v>3.7037037037037035E-4</v>
      </c>
      <c r="EX21" s="10" cm="1">
        <f t="array" aca="1" ref="EX21" ca="1">(1-$B$18)*SUMPRODUCT(OFFSET($BO$15,0,0,$B$14,1), 1*(_xlfn._xlws.FILTER(OFFSET($O$15,0,$DN21,$B$8,1),OFFSET($M$15,0,0,$B$8,1))=EX$13), 1*(_xlfn._xlws.FILTER(OFFSET($O$15,0,$DO21,$B$8,1),OFFSET($M$15,0,0,$B$8,1))=EX$14))   /   SUM(OFFSET($BO$15,0,0,$B$14,1)) + $B$18/($B$19*$B$19*($DN21&lt;&gt;$DO21) + $B$19*($DN21=$DO21))</f>
        <v>3.7037037037037035E-4</v>
      </c>
      <c r="EY21" s="10" cm="1">
        <f t="array" aca="1" ref="EY21" ca="1">(1-$B$18)*SUMPRODUCT(OFFSET($BO$15,0,0,$B$14,1), 1*(_xlfn._xlws.FILTER(OFFSET($O$15,0,$DN21,$B$8,1),OFFSET($M$15,0,0,$B$8,1))=EY$13), 1*(_xlfn._xlws.FILTER(OFFSET($O$15,0,$DO21,$B$8,1),OFFSET($M$15,0,0,$B$8,1))=EY$14))   /   SUM(OFFSET($BO$15,0,0,$B$14,1)) + $B$18/($B$19*$B$19*($DN21&lt;&gt;$DO21) + $B$19*($DN21=$DO21))</f>
        <v>3.7037037037037035E-4</v>
      </c>
      <c r="EZ21" s="10" cm="1">
        <f t="array" aca="1" ref="EZ21" ca="1">(1-$B$18)*SUMPRODUCT(OFFSET($BO$15,0,0,$B$14,1), 1*(_xlfn._xlws.FILTER(OFFSET($O$15,0,$DN21,$B$8,1),OFFSET($M$15,0,0,$B$8,1))=EZ$13), 1*(_xlfn._xlws.FILTER(OFFSET($O$15,0,$DO21,$B$8,1),OFFSET($M$15,0,0,$B$8,1))=EZ$14))   /   SUM(OFFSET($BO$15,0,0,$B$14,1)) + $B$18/($B$19*$B$19*($DN21&lt;&gt;$DO21) + $B$19*($DN21=$DO21))</f>
        <v>3.7037037037037035E-4</v>
      </c>
      <c r="FA21" s="10" cm="1">
        <f t="array" aca="1" ref="FA21" ca="1">(1-$B$18)*SUMPRODUCT(OFFSET($BO$15,0,0,$B$14,1), 1*(_xlfn._xlws.FILTER(OFFSET($O$15,0,$DN21,$B$8,1),OFFSET($M$15,0,0,$B$8,1))=FA$13), 1*(_xlfn._xlws.FILTER(OFFSET($O$15,0,$DO21,$B$8,1),OFFSET($M$15,0,0,$B$8,1))=FA$14))   /   SUM(OFFSET($BO$15,0,0,$B$14,1)) + $B$18/($B$19*$B$19*($DN21&lt;&gt;$DO21) + $B$19*($DN21=$DO21))</f>
        <v>3.7037037037037035E-4</v>
      </c>
      <c r="FB21" s="10" cm="1">
        <f t="array" aca="1" ref="FB21" ca="1">(1-$B$18)*SUMPRODUCT(OFFSET($BO$15,0,0,$B$14,1), 1*(_xlfn._xlws.FILTER(OFFSET($O$15,0,$DN21,$B$8,1),OFFSET($M$15,0,0,$B$8,1))=FB$13), 1*(_xlfn._xlws.FILTER(OFFSET($O$15,0,$DO21,$B$8,1),OFFSET($M$15,0,0,$B$8,1))=FB$14))   /   SUM(OFFSET($BO$15,0,0,$B$14,1)) + $B$18/($B$19*$B$19*($DN21&lt;&gt;$DO21) + $B$19*($DN21=$DO21))</f>
        <v>3.7037037037037035E-4</v>
      </c>
      <c r="FC21" s="10" cm="1">
        <f t="array" aca="1" ref="FC21" ca="1">(1-$B$18)*SUMPRODUCT(OFFSET($BO$15,0,0,$B$14,1), 1*(_xlfn._xlws.FILTER(OFFSET($O$15,0,$DN21,$B$8,1),OFFSET($M$15,0,0,$B$8,1))=FC$13), 1*(_xlfn._xlws.FILTER(OFFSET($O$15,0,$DO21,$B$8,1),OFFSET($M$15,0,0,$B$8,1))=FC$14))   /   SUM(OFFSET($BO$15,0,0,$B$14,1)) + $B$18/($B$19*$B$19*($DN21&lt;&gt;$DO21) + $B$19*($DN21=$DO21))</f>
        <v>3.7037037037037035E-4</v>
      </c>
      <c r="FD21" s="10" cm="1">
        <f t="array" aca="1" ref="FD21" ca="1">(1-$B$18)*SUMPRODUCT(OFFSET($BO$15,0,0,$B$14,1), 1*(_xlfn._xlws.FILTER(OFFSET($O$15,0,$DN21,$B$8,1),OFFSET($M$15,0,0,$B$8,1))=FD$13), 1*(_xlfn._xlws.FILTER(OFFSET($O$15,0,$DO21,$B$8,1),OFFSET($M$15,0,0,$B$8,1))=FD$14))   /   SUM(OFFSET($BO$15,0,0,$B$14,1)) + $B$18/($B$19*$B$19*($DN21&lt;&gt;$DO21) + $B$19*($DN21=$DO21))</f>
        <v>3.7037037037037035E-4</v>
      </c>
      <c r="FE21" s="10" cm="1">
        <f t="array" aca="1" ref="FE21" ca="1">(1-$B$18)*SUMPRODUCT(OFFSET($BO$15,0,0,$B$14,1), 1*(_xlfn._xlws.FILTER(OFFSET($O$15,0,$DN21,$B$8,1),OFFSET($M$15,0,0,$B$8,1))=FE$13), 1*(_xlfn._xlws.FILTER(OFFSET($O$15,0,$DO21,$B$8,1),OFFSET($M$15,0,0,$B$8,1))=FE$14))   /   SUM(OFFSET($BO$15,0,0,$B$14,1)) + $B$18/($B$19*$B$19*($DN21&lt;&gt;$DO21) + $B$19*($DN21=$DO21))</f>
        <v>3.7037037037037035E-4</v>
      </c>
      <c r="FF21" s="10" cm="1">
        <f t="array" aca="1" ref="FF21" ca="1">(1-$B$18)*SUMPRODUCT(OFFSET($BO$15,0,0,$B$14,1), 1*(_xlfn._xlws.FILTER(OFFSET($O$15,0,$DN21,$B$8,1),OFFSET($M$15,0,0,$B$8,1))=FF$13), 1*(_xlfn._xlws.FILTER(OFFSET($O$15,0,$DO21,$B$8,1),OFFSET($M$15,0,0,$B$8,1))=FF$14))   /   SUM(OFFSET($BO$15,0,0,$B$14,1)) + $B$18/($B$19*$B$19*($DN21&lt;&gt;$DO21) + $B$19*($DN21=$DO21))</f>
        <v>3.7037037037037035E-4</v>
      </c>
      <c r="FG21" s="10" cm="1">
        <f t="array" aca="1" ref="FG21" ca="1">(1-$B$18)*SUMPRODUCT(OFFSET($BO$15,0,0,$B$14,1), 1*(_xlfn._xlws.FILTER(OFFSET($O$15,0,$DN21,$B$8,1),OFFSET($M$15,0,0,$B$8,1))=FG$13), 1*(_xlfn._xlws.FILTER(OFFSET($O$15,0,$DO21,$B$8,1),OFFSET($M$15,0,0,$B$8,1))=FG$14))   /   SUM(OFFSET($BO$15,0,0,$B$14,1)) + $B$18/($B$19*$B$19*($DN21&lt;&gt;$DO21) + $B$19*($DN21=$DO21))</f>
        <v>3.7037037037037035E-4</v>
      </c>
      <c r="FH21" s="10" cm="1">
        <f t="array" aca="1" ref="FH21" ca="1">(1-$B$18)*SUMPRODUCT(OFFSET($BO$15,0,0,$B$14,1), 1*(_xlfn._xlws.FILTER(OFFSET($O$15,0,$DN21,$B$8,1),OFFSET($M$15,0,0,$B$8,1))=FH$13), 1*(_xlfn._xlws.FILTER(OFFSET($O$15,0,$DO21,$B$8,1),OFFSET($M$15,0,0,$B$8,1))=FH$14))   /   SUM(OFFSET($BO$15,0,0,$B$14,1)) + $B$18/($B$19*$B$19*($DN21&lt;&gt;$DO21) + $B$19*($DN21=$DO21))</f>
        <v>3.7037037037037035E-4</v>
      </c>
      <c r="FI21" s="10" cm="1">
        <f t="array" aca="1" ref="FI21" ca="1">(1-$B$18)*SUMPRODUCT(OFFSET($BO$15,0,0,$B$14,1), 1*(_xlfn._xlws.FILTER(OFFSET($O$15,0,$DN21,$B$8,1),OFFSET($M$15,0,0,$B$8,1))=FI$13), 1*(_xlfn._xlws.FILTER(OFFSET($O$15,0,$DO21,$B$8,1),OFFSET($M$15,0,0,$B$8,1))=FI$14))   /   SUM(OFFSET($BO$15,0,0,$B$14,1)) + $B$18/($B$19*$B$19*($DN21&lt;&gt;$DO21) + $B$19*($DN21=$DO21))</f>
        <v>3.7037037037037035E-4</v>
      </c>
      <c r="FJ21" s="10" cm="1">
        <f t="array" aca="1" ref="FJ21" ca="1">(1-$B$18)*SUMPRODUCT(OFFSET($BO$15,0,0,$B$14,1), 1*(_xlfn._xlws.FILTER(OFFSET($O$15,0,$DN21,$B$8,1),OFFSET($M$15,0,0,$B$8,1))=FJ$13), 1*(_xlfn._xlws.FILTER(OFFSET($O$15,0,$DO21,$B$8,1),OFFSET($M$15,0,0,$B$8,1))=FJ$14))   /   SUM(OFFSET($BO$15,0,0,$B$14,1)) + $B$18/($B$19*$B$19*($DN21&lt;&gt;$DO21) + $B$19*($DN21=$DO21))</f>
        <v>3.7037037037037035E-4</v>
      </c>
      <c r="FK21" s="10" cm="1">
        <f t="array" aca="1" ref="FK21" ca="1">(1-$B$18)*SUMPRODUCT(OFFSET($BO$15,0,0,$B$14,1), 1*(_xlfn._xlws.FILTER(OFFSET($O$15,0,$DN21,$B$8,1),OFFSET($M$15,0,0,$B$8,1))=FK$13), 1*(_xlfn._xlws.FILTER(OFFSET($O$15,0,$DO21,$B$8,1),OFFSET($M$15,0,0,$B$8,1))=FK$14))   /   SUM(OFFSET($BO$15,0,0,$B$14,1)) + $B$18/($B$19*$B$19*($DN21&lt;&gt;$DO21) + $B$19*($DN21=$DO21))</f>
        <v>3.7037037037037035E-4</v>
      </c>
      <c r="FL21" s="10" cm="1">
        <f t="array" aca="1" ref="FL21" ca="1">(1-$B$18)*SUMPRODUCT(OFFSET($BO$15,0,0,$B$14,1), 1*(_xlfn._xlws.FILTER(OFFSET($O$15,0,$DN21,$B$8,1),OFFSET($M$15,0,0,$B$8,1))=FL$13), 1*(_xlfn._xlws.FILTER(OFFSET($O$15,0,$DO21,$B$8,1),OFFSET($M$15,0,0,$B$8,1))=FL$14))   /   SUM(OFFSET($BO$15,0,0,$B$14,1)) + $B$18/($B$19*$B$19*($DN21&lt;&gt;$DO21) + $B$19*($DN21=$DO21))</f>
        <v>3.7037037037037035E-4</v>
      </c>
      <c r="FM21" s="10" cm="1">
        <f t="array" aca="1" ref="FM21" ca="1">(1-$B$18)*SUMPRODUCT(OFFSET($BO$15,0,0,$B$14,1), 1*(_xlfn._xlws.FILTER(OFFSET($O$15,0,$DN21,$B$8,1),OFFSET($M$15,0,0,$B$8,1))=FM$13), 1*(_xlfn._xlws.FILTER(OFFSET($O$15,0,$DO21,$B$8,1),OFFSET($M$15,0,0,$B$8,1))=FM$14))   /   SUM(OFFSET($BO$15,0,0,$B$14,1)) + $B$18/($B$19*$B$19*($DN21&lt;&gt;$DO21) + $B$19*($DN21=$DO21))</f>
        <v>3.7037037037037035E-4</v>
      </c>
      <c r="FN21" s="10" cm="1">
        <f t="array" aca="1" ref="FN21" ca="1">(1-$B$18)*SUMPRODUCT(OFFSET($BO$15,0,0,$B$14,1), 1*(_xlfn._xlws.FILTER(OFFSET($O$15,0,$DN21,$B$8,1),OFFSET($M$15,0,0,$B$8,1))=FN$13), 1*(_xlfn._xlws.FILTER(OFFSET($O$15,0,$DO21,$B$8,1),OFFSET($M$15,0,0,$B$8,1))=FN$14))   /   SUM(OFFSET($BO$15,0,0,$B$14,1)) + $B$18/($B$19*$B$19*($DN21&lt;&gt;$DO21) + $B$19*($DN21=$DO21))</f>
        <v>3.7037037037037035E-4</v>
      </c>
      <c r="FO21" s="10" cm="1">
        <f t="array" aca="1" ref="FO21" ca="1">(1-$B$18)*SUMPRODUCT(OFFSET($BO$15,0,0,$B$14,1), 1*(_xlfn._xlws.FILTER(OFFSET($O$15,0,$DN21,$B$8,1),OFFSET($M$15,0,0,$B$8,1))=FO$13), 1*(_xlfn._xlws.FILTER(OFFSET($O$15,0,$DO21,$B$8,1),OFFSET($M$15,0,0,$B$8,1))=FO$14))   /   SUM(OFFSET($BO$15,0,0,$B$14,1)) + $B$18/($B$19*$B$19*($DN21&lt;&gt;$DO21) + $B$19*($DN21=$DO21))</f>
        <v>3.7037037037037035E-4</v>
      </c>
      <c r="FP21" s="10" cm="1">
        <f t="array" aca="1" ref="FP21" ca="1">(1-$B$18)*SUMPRODUCT(OFFSET($BO$15,0,0,$B$14,1), 1*(_xlfn._xlws.FILTER(OFFSET($O$15,0,$DN21,$B$8,1),OFFSET($M$15,0,0,$B$8,1))=FP$13), 1*(_xlfn._xlws.FILTER(OFFSET($O$15,0,$DO21,$B$8,1),OFFSET($M$15,0,0,$B$8,1))=FP$14))   /   SUM(OFFSET($BO$15,0,0,$B$14,1)) + $B$18/($B$19*$B$19*($DN21&lt;&gt;$DO21) + $B$19*($DN21=$DO21))</f>
        <v>3.7037037037037035E-4</v>
      </c>
      <c r="FQ21" s="10" cm="1">
        <f t="array" aca="1" ref="FQ21" ca="1">(1-$B$18)*SUMPRODUCT(OFFSET($BO$15,0,0,$B$14,1), 1*(_xlfn._xlws.FILTER(OFFSET($O$15,0,$DN21,$B$8,1),OFFSET($M$15,0,0,$B$8,1))=FQ$13), 1*(_xlfn._xlws.FILTER(OFFSET($O$15,0,$DO21,$B$8,1),OFFSET($M$15,0,0,$B$8,1))=FQ$14))   /   SUM(OFFSET($BO$15,0,0,$B$14,1)) + $B$18/($B$19*$B$19*($DN21&lt;&gt;$DO21) + $B$19*($DN21=$DO21))</f>
        <v>3.7037037037037035E-4</v>
      </c>
      <c r="FR21" s="10" cm="1">
        <f t="array" aca="1" ref="FR21" ca="1">(1-$B$18)*SUMPRODUCT(OFFSET($BO$15,0,0,$B$14,1), 1*(_xlfn._xlws.FILTER(OFFSET($O$15,0,$DN21,$B$8,1),OFFSET($M$15,0,0,$B$8,1))=FR$13), 1*(_xlfn._xlws.FILTER(OFFSET($O$15,0,$DO21,$B$8,1),OFFSET($M$15,0,0,$B$8,1))=FR$14))   /   SUM(OFFSET($BO$15,0,0,$B$14,1)) + $B$18/($B$19*$B$19*($DN21&lt;&gt;$DO21) + $B$19*($DN21=$DO21))</f>
        <v>0.97037037037037033</v>
      </c>
      <c r="FS21" s="10" cm="1">
        <f t="array" aca="1" ref="FS21" ca="1">(1-$B$18)*SUMPRODUCT(OFFSET($BO$15,0,0,$B$14,1), 1*(_xlfn._xlws.FILTER(OFFSET($O$15,0,$DN21,$B$8,1),OFFSET($M$15,0,0,$B$8,1))=FS$13), 1*(_xlfn._xlws.FILTER(OFFSET($O$15,0,$DO21,$B$8,1),OFFSET($M$15,0,0,$B$8,1))=FS$14))   /   SUM(OFFSET($BO$15,0,0,$B$14,1)) + $B$18/($B$19*$B$19*($DN21&lt;&gt;$DO21) + $B$19*($DN21=$DO21))</f>
        <v>3.7037037037037035E-4</v>
      </c>
      <c r="FT21" s="10" cm="1">
        <f t="array" aca="1" ref="FT21" ca="1">(1-$B$18)*SUMPRODUCT(OFFSET($BO$15,0,0,$B$14,1), 1*(_xlfn._xlws.FILTER(OFFSET($O$15,0,$DN21,$B$8,1),OFFSET($M$15,0,0,$B$8,1))=FT$13), 1*(_xlfn._xlws.FILTER(OFFSET($O$15,0,$DO21,$B$8,1),OFFSET($M$15,0,0,$B$8,1))=FT$14))   /   SUM(OFFSET($BO$15,0,0,$B$14,1)) + $B$18/($B$19*$B$19*($DN21&lt;&gt;$DO21) + $B$19*($DN21=$DO21))</f>
        <v>3.7037037037037035E-4</v>
      </c>
      <c r="FU21" s="10" cm="1">
        <f t="array" aca="1" ref="FU21" ca="1">(1-$B$18)*SUMPRODUCT(OFFSET($BO$15,0,0,$B$14,1), 1*(_xlfn._xlws.FILTER(OFFSET($O$15,0,$DN21,$B$8,1),OFFSET($M$15,0,0,$B$8,1))=FU$13), 1*(_xlfn._xlws.FILTER(OFFSET($O$15,0,$DO21,$B$8,1),OFFSET($M$15,0,0,$B$8,1))=FU$14))   /   SUM(OFFSET($BO$15,0,0,$B$14,1)) + $B$18/($B$19*$B$19*($DN21&lt;&gt;$DO21) + $B$19*($DN21=$DO21))</f>
        <v>3.7037037037037035E-4</v>
      </c>
      <c r="FV21" s="10" cm="1">
        <f t="array" aca="1" ref="FV21" ca="1">(1-$B$18)*SUMPRODUCT(OFFSET($BO$15,0,0,$B$14,1), 1*(_xlfn._xlws.FILTER(OFFSET($O$15,0,$DN21,$B$8,1),OFFSET($M$15,0,0,$B$8,1))=FV$13), 1*(_xlfn._xlws.FILTER(OFFSET($O$15,0,$DO21,$B$8,1),OFFSET($M$15,0,0,$B$8,1))=FV$14))   /   SUM(OFFSET($BO$15,0,0,$B$14,1)) + $B$18/($B$19*$B$19*($DN21&lt;&gt;$DO21) + $B$19*($DN21=$DO21))</f>
        <v>3.7037037037037035E-4</v>
      </c>
      <c r="FW21" s="10" cm="1">
        <f t="array" aca="1" ref="FW21" ca="1">(1-$B$18)*SUMPRODUCT(OFFSET($BO$15,0,0,$B$14,1), 1*(_xlfn._xlws.FILTER(OFFSET($O$15,0,$DN21,$B$8,1),OFFSET($M$15,0,0,$B$8,1))=FW$13), 1*(_xlfn._xlws.FILTER(OFFSET($O$15,0,$DO21,$B$8,1),OFFSET($M$15,0,0,$B$8,1))=FW$14))   /   SUM(OFFSET($BO$15,0,0,$B$14,1)) + $B$18/($B$19*$B$19*($DN21&lt;&gt;$DO21) + $B$19*($DN21=$DO21))</f>
        <v>3.7037037037037035E-4</v>
      </c>
      <c r="FX21" s="10" cm="1">
        <f t="array" aca="1" ref="FX21" ca="1">(1-$B$18)*SUMPRODUCT(OFFSET($BO$15,0,0,$B$14,1), 1*(_xlfn._xlws.FILTER(OFFSET($O$15,0,$DN21,$B$8,1),OFFSET($M$15,0,0,$B$8,1))=FX$13), 1*(_xlfn._xlws.FILTER(OFFSET($O$15,0,$DO21,$B$8,1),OFFSET($M$15,0,0,$B$8,1))=FX$14))   /   SUM(OFFSET($BO$15,0,0,$B$14,1)) + $B$18/($B$19*$B$19*($DN21&lt;&gt;$DO21) + $B$19*($DN21=$DO21))</f>
        <v>3.7037037037037035E-4</v>
      </c>
      <c r="FY21" s="10" cm="1">
        <f t="array" aca="1" ref="FY21" ca="1">(1-$B$18)*SUMPRODUCT(OFFSET($BO$15,0,0,$B$14,1), 1*(_xlfn._xlws.FILTER(OFFSET($O$15,0,$DN21,$B$8,1),OFFSET($M$15,0,0,$B$8,1))=FY$13), 1*(_xlfn._xlws.FILTER(OFFSET($O$15,0,$DO21,$B$8,1),OFFSET($M$15,0,0,$B$8,1))=FY$14))   /   SUM(OFFSET($BO$15,0,0,$B$14,1)) + $B$18/($B$19*$B$19*($DN21&lt;&gt;$DO21) + $B$19*($DN21=$DO21))</f>
        <v>3.7037037037037035E-4</v>
      </c>
      <c r="FZ21" s="10" cm="1">
        <f t="array" aca="1" ref="FZ21" ca="1">(1-$B$18)*SUMPRODUCT(OFFSET($BO$15,0,0,$B$14,1), 1*(_xlfn._xlws.FILTER(OFFSET($O$15,0,$DN21,$B$8,1),OFFSET($M$15,0,0,$B$8,1))=FZ$13), 1*(_xlfn._xlws.FILTER(OFFSET($O$15,0,$DO21,$B$8,1),OFFSET($M$15,0,0,$B$8,1))=FZ$14))   /   SUM(OFFSET($BO$15,0,0,$B$14,1)) + $B$18/($B$19*$B$19*($DN21&lt;&gt;$DO21) + $B$19*($DN21=$DO21))</f>
        <v>3.7037037037037035E-4</v>
      </c>
      <c r="GA21" s="10" cm="1">
        <f t="array" aca="1" ref="GA21" ca="1">(1-$B$18)*SUMPRODUCT(OFFSET($BO$15,0,0,$B$14,1), 1*(_xlfn._xlws.FILTER(OFFSET($O$15,0,$DN21,$B$8,1),OFFSET($M$15,0,0,$B$8,1))=GA$13), 1*(_xlfn._xlws.FILTER(OFFSET($O$15,0,$DO21,$B$8,1),OFFSET($M$15,0,0,$B$8,1))=GA$14))   /   SUM(OFFSET($BO$15,0,0,$B$14,1)) + $B$18/($B$19*$B$19*($DN21&lt;&gt;$DO21) + $B$19*($DN21=$DO21))</f>
        <v>3.7037037037037035E-4</v>
      </c>
    </row>
    <row r="22" spans="1:183" x14ac:dyDescent="0.2">
      <c r="D22" s="10">
        <f ca="1"/>
        <v>7</v>
      </c>
      <c r="F22" s="10">
        <f ca="1"/>
        <v>0.2</v>
      </c>
      <c r="H22" s="10">
        <f ca="1"/>
        <v>7</v>
      </c>
      <c r="J22" cm="1">
        <f t="array" aca="1" ref="J22" ca="1">SUMPRODUCT((O22:AJ22=$O$11:$AJ$11)*(O$13:AJ$13=TRUE))  / COUNTIF(O$13:AJ$13,TRUE)</f>
        <v>0.85</v>
      </c>
      <c r="K22" t="b">
        <f t="shared" ca="1" si="4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5"/>
        <v>1</v>
      </c>
      <c r="N22" s="2">
        <v>7</v>
      </c>
      <c r="O22" s="12" t="s">
        <v>11</v>
      </c>
      <c r="P22" s="9" t="s">
        <v>11</v>
      </c>
      <c r="Q22" s="9" t="s">
        <v>11</v>
      </c>
      <c r="R22" s="9" t="s">
        <v>11</v>
      </c>
      <c r="S22" s="9" t="s">
        <v>11</v>
      </c>
      <c r="T22" s="12" t="s">
        <v>11</v>
      </c>
      <c r="U22" s="9" t="s">
        <v>11</v>
      </c>
      <c r="V22" s="9" t="s">
        <v>11</v>
      </c>
      <c r="W22" s="9" t="s">
        <v>11</v>
      </c>
      <c r="X22" s="9" t="s">
        <v>11</v>
      </c>
      <c r="Y22" s="12" t="s">
        <v>0</v>
      </c>
      <c r="Z22" s="9" t="s">
        <v>2</v>
      </c>
      <c r="AA22" s="9" t="s">
        <v>1</v>
      </c>
      <c r="AB22" s="9" t="s">
        <v>1</v>
      </c>
      <c r="AC22" s="9" t="s">
        <v>2</v>
      </c>
      <c r="AD22" s="12" t="s">
        <v>2</v>
      </c>
      <c r="AE22" s="9" t="s">
        <v>5</v>
      </c>
      <c r="AF22" s="9" t="s">
        <v>5</v>
      </c>
      <c r="AG22" s="9" t="s">
        <v>3</v>
      </c>
      <c r="AH22" s="9" t="s">
        <v>3</v>
      </c>
      <c r="AI22" s="12" t="s">
        <v>11</v>
      </c>
      <c r="AJ22" s="9" t="s">
        <v>6</v>
      </c>
      <c r="AK22" s="7"/>
      <c r="AN22">
        <f t="shared" ca="1" si="6"/>
        <v>2</v>
      </c>
      <c r="AO22" s="14">
        <f t="shared" ca="1" si="7"/>
        <v>0.5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
) / $B$13)</f>
        <v>0.85</v>
      </c>
      <c r="AR22" cm="1">
        <f t="array" aca="1" ref="AR22" ca="1">IF($AP22=AR$14, 1, SUMPRODUCT(
    --(OFFSET($O$13,0,0,1,$B$9)=TRUE),
    --(INDEX(OFFSET($O$15,0,0,$B$8,$B$9), 1+$AP22, 0) = INDEX(OFFSET($O$15,0,0,$B$8,$B$9), 1+AR$14, 0))
) / $B$13)</f>
        <v>0.85</v>
      </c>
      <c r="AS22" cm="1">
        <f t="array" aca="1" ref="AS22" ca="1">IF($AP22=AS$14, 1, SUMPRODUCT(
    --(OFFSET($O$13,0,0,1,$B$9)=TRUE),
    --(INDEX(OFFSET($O$15,0,0,$B$8,$B$9), 1+$AP22, 0) = INDEX(OFFSET($O$15,0,0,$B$8,$B$9), 1+AS$14, 0))
) / $B$13)</f>
        <v>0.85</v>
      </c>
      <c r="AT22" cm="1">
        <f t="array" aca="1" ref="AT22" ca="1">IF($AP22=AT$14, 1, SUMPRODUCT(
    --(OFFSET($O$13,0,0,1,$B$9)=TRUE),
    --(INDEX(OFFSET($O$15,0,0,$B$8,$B$9), 1+$AP22, 0) = INDEX(OFFSET($O$15,0,0,$B$8,$B$9), 1+AT$14, 0))
) / $B$13)</f>
        <v>0.85</v>
      </c>
      <c r="AU22" cm="1">
        <f t="array" aca="1" ref="AU22" ca="1">IF($AP22=AU$14, 1, SUMPRODUCT(
    --(OFFSET($O$13,0,0,1,$B$9)=TRUE),
    --(INDEX(OFFSET($O$15,0,0,$B$8,$B$9), 1+$AP22, 0) = INDEX(OFFSET($O$15,0,0,$B$8,$B$9), 1+AU$14, 0))
) / $B$13)</f>
        <v>0.85</v>
      </c>
      <c r="AV22" cm="1">
        <f t="array" aca="1" ref="AV22" ca="1">IF($AP22=AV$14, 1, SUMPRODUCT(
    --(OFFSET($O$13,0,0,1,$B$9)=TRUE),
    --(INDEX(OFFSET($O$15,0,0,$B$8,$B$9), 1+$AP22, 0) = INDEX(OFFSET($O$15,0,0,$B$8,$B$9), 1+AV$14, 0))
) / $B$13)</f>
        <v>0.85</v>
      </c>
      <c r="AW22" cm="1">
        <f t="array" aca="1" ref="AW22" ca="1">IF($AP22=AW$14, 1, SUMPRODUCT(
    --(OFFSET($O$13,0,0,1,$B$9)=TRUE),
    --(INDEX(OFFSET($O$15,0,0,$B$8,$B$9), 1+$AP22, 0) = INDEX(OFFSET($O$15,0,0,$B$8,$B$9), 1+AW$14, 0))
) / $B$13)</f>
        <v>1</v>
      </c>
      <c r="AX22" cm="1">
        <f t="array" aca="1" ref="AX22" ca="1">IF($AP22=AX$14, 1, SUMPRODUCT(
    --(OFFSET($O$13,0,0,1,$B$9)=TRUE),
    --(INDEX(OFFSET($O$15,0,0,$B$8,$B$9), 1+$AP22, 0) = INDEX(OFFSET($O$15,0,0,$B$8,$B$9), 1+AX$14, 0))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
) / $B$13)</f>
        <v>0.85</v>
      </c>
      <c r="AZ22" cm="1">
        <f t="array" aca="1" ref="AZ22" ca="1">IF($AP22=AZ$14, 1, SUMPRODUCT(
    --(OFFSET($O$13,0,0,1,$B$9)=TRUE),
    --(INDEX(OFFSET($O$15,0,0,$B$8,$B$9), 1+$AP22, 0) = INDEX(OFFSET($O$15,0,0,$B$8,$B$9), 1+AZ$14, 0))
) / $B$13)</f>
        <v>0.85</v>
      </c>
      <c r="BA22" cm="1">
        <f t="array" aca="1" ref="BA22" ca="1">IF($AP22=BA$14, 1, SUMPRODUCT(
    --(OFFSET($O$13,0,0,1,$B$9)=TRUE),
    --(INDEX(OFFSET($O$15,0,0,$B$8,$B$9), 1+$AP22, 0) = INDEX(OFFSET($O$15,0,0,$B$8,$B$9), 1+BA$14, 0))
) / $B$13)</f>
        <v>0.85</v>
      </c>
      <c r="BB22" cm="1">
        <f t="array" aca="1" ref="BB22" ca="1">IF($AP22=BB$14, 1, SUMPRODUCT(
    --(OFFSET($O$13,0,0,1,$B$9)=TRUE),
    --(INDEX(OFFSET($O$15,0,0,$B$8,$B$9), 1+$AP22, 0) = INDEX(OFFSET($O$15,0,0,$B$8,$B$9), 1+BB$14, 0))
) / $B$13)</f>
        <v>0.85</v>
      </c>
      <c r="BC22" cm="1">
        <f t="array" aca="1" ref="BC22" ca="1">IF($AP22=BC$14, 1, SUMPRODUCT(
    --(OFFSET($O$13,0,0,1,$B$9)=TRUE),
    --(INDEX(OFFSET($O$15,0,0,$B$8,$B$9), 1+$AP22, 0) = INDEX(OFFSET($O$15,0,0,$B$8,$B$9), 1+BC$14, 0))
) / $B$13)</f>
        <v>0.85</v>
      </c>
      <c r="BD22" cm="1">
        <f t="array" aca="1" ref="BD22" ca="1">IF($AP22=BD$14, 1, SUMPRODUCT(
    --(OFFSET($O$13,0,0,1,$B$9)=TRUE),
    --(INDEX(OFFSET($O$15,0,0,$B$8,$B$9), 1+$AP22, 0) = INDEX(OFFSET($O$15,0,0,$B$8,$B$9), 1+BD$14, 0))
) / $B$13)</f>
        <v>0.8</v>
      </c>
      <c r="BE22" cm="1">
        <f t="array" aca="1" ref="BE22" ca="1">IF($AP22=BE$14, 1, SUMPRODUCT(
    --(OFFSET($O$13,0,0,1,$B$9)=TRUE),
    --(INDEX(OFFSET($O$15,0,0,$B$8,$B$9), 1+$AP22, 0) = INDEX(OFFSET($O$15,0,0,$B$8,$B$9), 1+BE$14, 0))
) / $B$13)</f>
        <v>0.95</v>
      </c>
      <c r="BF22" cm="1">
        <f t="array" aca="1" ref="BF22" ca="1">IF($AP22=BF$14, 1, SUMPRODUCT(
    --(OFFSET($O$13,0,0,1,$B$9)=TRUE),
    --(INDEX(OFFSET($O$15,0,0,$B$8,$B$9), 1+$AP22, 0) = INDEX(OFFSET($O$15,0,0,$B$8,$B$9), 1+BF$14, 0))
) / $B$13)</f>
        <v>0.95</v>
      </c>
      <c r="BG22" cm="1">
        <f t="array" aca="1" ref="BG22" ca="1">IF($AP22=BG$14, 1, SUMPRODUCT(
    --(OFFSET($O$13,0,0,1,$B$9)=TRUE),
    --(INDEX(OFFSET($O$15,0,0,$B$8,$B$9), 1+$AP22, 0) = INDEX(OFFSET($O$15,0,0,$B$8,$B$9), 1+BG$14, 0))
) / $B$13)</f>
        <v>0.8</v>
      </c>
      <c r="BH22" cm="1">
        <f t="array" aca="1" ref="BH22" ca="1">IF($AP22=BH$14, 1, SUMPRODUCT(
    --(OFFSET($O$13,0,0,1,$B$9)=TRUE),
    --(INDEX(OFFSET($O$15,0,0,$B$8,$B$9), 1+$AP22, 0) = INDEX(OFFSET($O$15,0,0,$B$8,$B$9), 1+BH$14, 0))
) / $B$13)</f>
        <v>0.95</v>
      </c>
      <c r="BI22" cm="1">
        <f t="array" aca="1" ref="BI22" ca="1">IF($AP22=BI$14, 1, SUMPRODUCT(
    --(OFFSET($O$13,0,0,1,$B$9)=TRUE),
    --(INDEX(OFFSET($O$15,0,0,$B$8,$B$9), 1+$AP22, 0) = INDEX(OFFSET($O$15,0,0,$B$8,$B$9), 1+BI$14, 0))
) / $B$13)</f>
        <v>0.8</v>
      </c>
      <c r="BJ22" cm="1">
        <f t="array" aca="1" ref="BJ22" ca="1">IF($AP22=BJ$14, 1, SUMPRODUCT(
    --(OFFSET($O$13,0,0,1,$B$9)=TRUE),
    --(INDEX(OFFSET($O$15,0,0,$B$8,$B$9), 1+$AP22, 0) = INDEX(OFFSET($O$15,0,0,$B$8,$B$9), 1+BJ$14, 0))
) / $B$13)</f>
        <v>0.95</v>
      </c>
      <c r="BN22">
        <f t="shared" ca="1" si="8"/>
        <v>5</v>
      </c>
      <c r="BO22" s="14">
        <f t="shared" ca="1" si="9"/>
        <v>0.2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
) / $B$16)</f>
        <v>0.84210526315789469</v>
      </c>
      <c r="BR22" cm="1">
        <f t="array" aca="1" ref="BR22" ca="1">IF($BP22=BR$14, 1, SUMPRODUCT(
    --(OFFSET($O$9,0,0,1,$B$9)=TRUE),
    --(INDEX(OFFSET($O$15,0,0,$B$8,$B$9), 1+$BP22, 0) = INDEX(OFFSET($O$15,0,0,$B$8,$B$9), 1+BR$14, 0))
) / $B$16)</f>
        <v>0.84210526315789469</v>
      </c>
      <c r="BS22" cm="1">
        <f t="array" aca="1" ref="BS22" ca="1">IF($BP22=BS$14, 1, SUMPRODUCT(
    --(OFFSET($O$9,0,0,1,$B$9)=TRUE),
    --(INDEX(OFFSET($O$15,0,0,$B$8,$B$9), 1+$BP22, 0) = INDEX(OFFSET($O$15,0,0,$B$8,$B$9), 1+BS$14, 0))
) / $B$16)</f>
        <v>0.84210526315789469</v>
      </c>
      <c r="BT22" cm="1">
        <f t="array" aca="1" ref="BT22" ca="1">IF($BP22=BT$14, 1, SUMPRODUCT(
    --(OFFSET($O$9,0,0,1,$B$9)=TRUE),
    --(INDEX(OFFSET($O$15,0,0,$B$8,$B$9), 1+$BP22, 0) = INDEX(OFFSET($O$15,0,0,$B$8,$B$9), 1+BT$14, 0))
) / $B$16)</f>
        <v>0.84210526315789469</v>
      </c>
      <c r="BU22" cm="1">
        <f t="array" aca="1" ref="BU22" ca="1">IF($BP22=BU$14, 1, SUMPRODUCT(
    --(OFFSET($O$9,0,0,1,$B$9)=TRUE),
    --(INDEX(OFFSET($O$15,0,0,$B$8,$B$9), 1+$BP22, 0) = INDEX(OFFSET($O$15,0,0,$B$8,$B$9), 1+BU$14, 0))
) / $B$16)</f>
        <v>0.84210526315789469</v>
      </c>
      <c r="BV22" cm="1">
        <f t="array" aca="1" ref="BV22" ca="1">IF($BP22=BV$14, 1, SUMPRODUCT(
    --(OFFSET($O$9,0,0,1,$B$9)=TRUE),
    --(INDEX(OFFSET($O$15,0,0,$B$8,$B$9), 1+$BP22, 0) = INDEX(OFFSET($O$15,0,0,$B$8,$B$9), 1+BV$14, 0))
) / $B$16)</f>
        <v>0.84210526315789469</v>
      </c>
      <c r="BW22" cm="1">
        <f t="array" aca="1" ref="BW22" ca="1">IF($BP22=BW$14, 1, SUMPRODUCT(
    --(OFFSET($O$9,0,0,1,$B$9)=TRUE),
    --(INDEX(OFFSET($O$15,0,0,$B$8,$B$9), 1+$BP22, 0) = INDEX(OFFSET($O$15,0,0,$B$8,$B$9), 1+BW$14, 0))
) / $B$16)</f>
        <v>1</v>
      </c>
      <c r="BX22" cm="1">
        <f t="array" aca="1" ref="BX22" ca="1">IF($BP22=BX$14, 1, SUMPRODUCT(
    --(OFFSET($O$9,0,0,1,$B$9)=TRUE),
    --(INDEX(OFFSET($O$15,0,0,$B$8,$B$9), 1+$BP22, 0) = INDEX(OFFSET($O$15,0,0,$B$8,$B$9), 1+BX$14, 0))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
) / $B$16)</f>
        <v>0.84210526315789469</v>
      </c>
      <c r="BZ22" cm="1">
        <f t="array" aca="1" ref="BZ22" ca="1">IF($BP22=BZ$14, 1, SUMPRODUCT(
    --(OFFSET($O$9,0,0,1,$B$9)=TRUE),
    --(INDEX(OFFSET($O$15,0,0,$B$8,$B$9), 1+$BP22, 0) = INDEX(OFFSET($O$15,0,0,$B$8,$B$9), 1+BZ$14, 0))
) / $B$16)</f>
        <v>0.84210526315789469</v>
      </c>
      <c r="CA22" cm="1">
        <f t="array" aca="1" ref="CA22" ca="1">IF($BP22=CA$14, 1, SUMPRODUCT(
    --(OFFSET($O$9,0,0,1,$B$9)=TRUE),
    --(INDEX(OFFSET($O$15,0,0,$B$8,$B$9), 1+$BP22, 0) = INDEX(OFFSET($O$15,0,0,$B$8,$B$9), 1+CA$14, 0))
) / $B$16)</f>
        <v>0.84210526315789469</v>
      </c>
      <c r="CB22" cm="1">
        <f t="array" aca="1" ref="CB22" ca="1">IF($BP22=CB$14, 1, SUMPRODUCT(
    --(OFFSET($O$9,0,0,1,$B$9)=TRUE),
    --(INDEX(OFFSET($O$15,0,0,$B$8,$B$9), 1+$BP22, 0) = INDEX(OFFSET($O$15,0,0,$B$8,$B$9), 1+CB$14, 0))
) / $B$16)</f>
        <v>0.84210526315789469</v>
      </c>
      <c r="CC22" cm="1">
        <f t="array" aca="1" ref="CC22" ca="1">IF($BP22=CC$14, 1, SUMPRODUCT(
    --(OFFSET($O$9,0,0,1,$B$9)=TRUE),
    --(INDEX(OFFSET($O$15,0,0,$B$8,$B$9), 1+$BP22, 0) = INDEX(OFFSET($O$15,0,0,$B$8,$B$9), 1+CC$14, 0))
) / $B$16)</f>
        <v>0.84210526315789469</v>
      </c>
      <c r="CD22" cm="1">
        <f t="array" aca="1" ref="CD22" ca="1">IF($BP22=CD$14, 1, SUMPRODUCT(
    --(OFFSET($O$9,0,0,1,$B$9)=TRUE),
    --(INDEX(OFFSET($O$15,0,0,$B$8,$B$9), 1+$BP22, 0) = INDEX(OFFSET($O$15,0,0,$B$8,$B$9), 1+CD$14, 0))
) / $B$16)</f>
        <v>0.84210526315789469</v>
      </c>
      <c r="CE22" cm="1">
        <f t="array" aca="1" ref="CE22" ca="1">IF($BP22=CE$14, 1, SUMPRODUCT(
    --(OFFSET($O$9,0,0,1,$B$9)=TRUE),
    --(INDEX(OFFSET($O$15,0,0,$B$8,$B$9), 1+$BP22, 0) = INDEX(OFFSET($O$15,0,0,$B$8,$B$9), 1+CE$14, 0))
) / $B$16)</f>
        <v>1</v>
      </c>
      <c r="CF22" cm="1">
        <f t="array" aca="1" ref="CF22" ca="1">IF($BP22=CF$14, 1, SUMPRODUCT(
    --(OFFSET($O$9,0,0,1,$B$9)=TRUE),
    --(INDEX(OFFSET($O$15,0,0,$B$8,$B$9), 1+$BP22, 0) = INDEX(OFFSET($O$15,0,0,$B$8,$B$9), 1+CF$14, 0))
) / $B$16)</f>
        <v>1</v>
      </c>
      <c r="CG22" cm="1">
        <f t="array" aca="1" ref="CG22" ca="1">IF($BP22=CG$14, 1, SUMPRODUCT(
    --(OFFSET($O$9,0,0,1,$B$9)=TRUE),
    --(INDEX(OFFSET($O$15,0,0,$B$8,$B$9), 1+$BP22, 0) = INDEX(OFFSET($O$15,0,0,$B$8,$B$9), 1+CG$14, 0))
) / $B$16)</f>
        <v>0.84210526315789469</v>
      </c>
      <c r="CH22" cm="1">
        <f t="array" aca="1" ref="CH22" ca="1">IF($BP22=CH$14, 1, SUMPRODUCT(
    --(OFFSET($O$9,0,0,1,$B$9)=TRUE),
    --(INDEX(OFFSET($O$15,0,0,$B$8,$B$9), 1+$BP22, 0) = INDEX(OFFSET($O$15,0,0,$B$8,$B$9), 1+CH$14, 0))
) / $B$16)</f>
        <v>1</v>
      </c>
      <c r="CI22" cm="1">
        <f t="array" aca="1" ref="CI22" ca="1">IF($BP22=CI$14, 1, SUMPRODUCT(
    --(OFFSET($O$9,0,0,1,$B$9)=TRUE),
    --(INDEX(OFFSET($O$15,0,0,$B$8,$B$9), 1+$BP22, 0) = INDEX(OFFSET($O$15,0,0,$B$8,$B$9), 1+CI$14, 0))
) / $B$16)</f>
        <v>0.84210526315789469</v>
      </c>
      <c r="CJ22" cm="1">
        <f t="array" aca="1" ref="CJ22" ca="1">IF($BP22=CJ$14, 1, SUMPRODUCT(
    --(OFFSET($O$9,0,0,1,$B$9)=TRUE),
    --(INDEX(OFFSET($O$15,0,0,$B$8,$B$9), 1+$BP22, 0) = INDEX(OFFSET($O$15,0,0,$B$8,$B$9), 1+CJ$14, 0))
) / $B$16)</f>
        <v>0.94736842105263153</v>
      </c>
      <c r="CP22">
        <f ca="1"/>
        <v>7</v>
      </c>
      <c r="CQ22" cm="1">
        <f t="array" aca="1" ref="CQ22" ca="1">(1-$B$18)*SUMPRODUCT(OFFSET($BO$15,0,0,$B$14,1), 1*(_xlfn._xlws.FILTER(OFFSET($O$15,0,$CP22,$B$8,1), OFFSET($M$15,0,0,$B$8,1))=CQ$14))   /   SUM(OFFSET($BO$15,0,0,$B$14,1)) + $B$18/$B$19</f>
        <v>3.3333333333333331E-3</v>
      </c>
      <c r="CR22" s="10" cm="1">
        <f t="array" aca="1" ref="CR22" ca="1">(1-$B$18)*SUMPRODUCT(OFFSET($BO$15,0,0,$B$14,1), 1*(_xlfn._xlws.FILTER(OFFSET($O$15,0,$CP22,$B$8,1), OFFSET($M$15,0,0,$B$8,1))=CR$14))   /   SUM(OFFSET($BO$15,0,0,$B$14,1)) + $B$18/$B$19</f>
        <v>3.3333333333333331E-3</v>
      </c>
      <c r="CS22" s="10" cm="1">
        <f t="array" aca="1" ref="CS22" ca="1">(1-$B$18)*SUMPRODUCT(OFFSET($BO$15,0,0,$B$14,1), 1*(_xlfn._xlws.FILTER(OFFSET($O$15,0,$CP22,$B$8,1), OFFSET($M$15,0,0,$B$8,1))=CS$14))   /   SUM(OFFSET($BO$15,0,0,$B$14,1)) + $B$18/$B$19</f>
        <v>3.3333333333333331E-3</v>
      </c>
      <c r="CT22" s="10" cm="1">
        <f t="array" aca="1" ref="CT22" ca="1">(1-$B$18)*SUMPRODUCT(OFFSET($BO$15,0,0,$B$14,1), 1*(_xlfn._xlws.FILTER(OFFSET($O$15,0,$CP22,$B$8,1), OFFSET($M$15,0,0,$B$8,1))=CT$14))   /   SUM(OFFSET($BO$15,0,0,$B$14,1)) + $B$18/$B$19</f>
        <v>3.3333333333333331E-3</v>
      </c>
      <c r="CU22" s="10" cm="1">
        <f t="array" aca="1" ref="CU22" ca="1">(1-$B$18)*SUMPRODUCT(OFFSET($BO$15,0,0,$B$14,1), 1*(_xlfn._xlws.FILTER(OFFSET($O$15,0,$CP22,$B$8,1), OFFSET($M$15,0,0,$B$8,1))=CU$14))   /   SUM(OFFSET($BO$15,0,0,$B$14,1)) + $B$18/$B$19</f>
        <v>3.3333333333333331E-3</v>
      </c>
      <c r="CV22" s="10" cm="1">
        <f t="array" aca="1" ref="CV22" ca="1">(1-$B$18)*SUMPRODUCT(OFFSET($BO$15,0,0,$B$14,1), 1*(_xlfn._xlws.FILTER(OFFSET($O$15,0,$CP22,$B$8,1), OFFSET($M$15,0,0,$B$8,1))=CV$14))   /   SUM(OFFSET($BO$15,0,0,$B$14,1)) + $B$18/$B$19</f>
        <v>3.3333333333333331E-3</v>
      </c>
      <c r="CW22" s="10" cm="1">
        <f t="array" aca="1" ref="CW22" ca="1">(1-$B$18)*SUMPRODUCT(OFFSET($BO$15,0,0,$B$14,1), 1*(_xlfn._xlws.FILTER(OFFSET($O$15,0,$CP22,$B$8,1), OFFSET($M$15,0,0,$B$8,1))=CW$14))   /   SUM(OFFSET($BO$15,0,0,$B$14,1)) + $B$18/$B$19</f>
        <v>3.3333333333333331E-3</v>
      </c>
      <c r="CX22" s="10" cm="1">
        <f t="array" aca="1" ref="CX22" ca="1">(1-$B$18)*SUMPRODUCT(OFFSET($BO$15,0,0,$B$14,1), 1*(_xlfn._xlws.FILTER(OFFSET($O$15,0,$CP22,$B$8,1), OFFSET($M$15,0,0,$B$8,1))=CX$14))   /   SUM(OFFSET($BO$15,0,0,$B$14,1)) + $B$18/$B$19</f>
        <v>0.97333333333333327</v>
      </c>
      <c r="CY22" s="10" cm="1">
        <f t="array" aca="1" ref="CY22" ca="1">(1-$B$18)*SUMPRODUCT(OFFSET($BO$15,0,0,$B$14,1), 1*(_xlfn._xlws.FILTER(OFFSET($O$15,0,$CP22,$B$8,1), OFFSET($M$15,0,0,$B$8,1))=CY$14))   /   SUM(OFFSET($BO$15,0,0,$B$14,1)) + $B$18/$B$19</f>
        <v>3.3333333333333331E-3</v>
      </c>
      <c r="DB22" s="10" cm="1">
        <f t="array" aca="1" ref="DB22" ca="1">SUM(OFFSET($CR22,0,0,1,$M$2)*LN(OFFSET($CR22,0,0,1,$M$2)/OFFSET($CR$11,0,0,1,$M$2)))+IF($CQ$11&gt;0,OFFSET($O$10,0,$CP22,1,1)*LN(OFFSET($O$10,0,$CP22,1,1)/$CQ$11),0)</f>
        <v>1.9131139043413501</v>
      </c>
      <c r="DC22">
        <f ca="1"/>
        <v>7</v>
      </c>
      <c r="DD22" s="10">
        <f t="shared" ca="1" si="11"/>
        <v>0.11767737994455678</v>
      </c>
      <c r="DE22" s="10">
        <f t="shared" ca="1" si="10"/>
        <v>0.11767737994455678</v>
      </c>
      <c r="DF22" s="10">
        <f t="shared" ca="1" si="10"/>
        <v>0.11767737994455678</v>
      </c>
      <c r="DG22" s="10">
        <f t="shared" ca="1" si="10"/>
        <v>0.11767737994455678</v>
      </c>
      <c r="DH22" s="10">
        <f t="shared" ca="1" si="10"/>
        <v>0.11767737994455678</v>
      </c>
      <c r="DI22" s="10">
        <f t="shared" ca="1" si="10"/>
        <v>0.11767737994455678</v>
      </c>
      <c r="DJ22" s="10">
        <f t="shared" ca="1" si="10"/>
        <v>1.9045936050347492</v>
      </c>
      <c r="DK22" s="10">
        <f t="shared" ca="1" si="10"/>
        <v>0.11767737994455678</v>
      </c>
      <c r="DN22" cm="1">
        <f t="array" aca="1" ref="DN22" ca="1">INDEX(_xlfn.ANCHORARRAY($CP$15), 1 + INT((ROWS($DO$15:$DO22) - 1) / ROWS(_xlfn.ANCHORARRAY($CP$15))))</f>
        <v>0</v>
      </c>
      <c r="DO22" cm="1">
        <f t="array" aca="1" ref="DO22" ca="1">INDEX(_xlfn.ANCHORARRAY($CP$15),1+MOD(ROWS($DO$15:$DO22)-1,ROWS(_xlfn.ANCHORARRAY($CP$15))))</f>
        <v>7</v>
      </c>
      <c r="DP22" s="10" cm="1">
        <f t="array" aca="1" ref="DP22" ca="1">(1-$B$18)*SUMPRODUCT(OFFSET($BO$15,0,0,$B$14,1), 1*(_xlfn._xlws.FILTER(OFFSET($O$15,0,$DN22,$B$8,1),OFFSET($M$15,0,0,$B$8,1))=DP$13), 1*(_xlfn._xlws.FILTER(OFFSET($O$15,0,$DO22,$B$8,1),OFFSET($M$15,0,0,$B$8,1))=DP$14))   /   SUM(OFFSET($BO$15,0,0,$B$14,1)) + $B$18/($B$19*$B$19*($DN22&lt;&gt;$DO22) + $B$19*($DN22=$DO22))</f>
        <v>3.7037037037037035E-4</v>
      </c>
      <c r="DQ22" s="10" cm="1">
        <f t="array" aca="1" ref="DQ22" ca="1">(1-$B$18)*SUMPRODUCT(OFFSET($BO$15,0,0,$B$14,1), 1*(_xlfn._xlws.FILTER(OFFSET($O$15,0,$DN22,$B$8,1),OFFSET($M$15,0,0,$B$8,1))=DQ$13), 1*(_xlfn._xlws.FILTER(OFFSET($O$15,0,$DO22,$B$8,1),OFFSET($M$15,0,0,$B$8,1))=DQ$14))   /   SUM(OFFSET($BO$15,0,0,$B$14,1)) + $B$18/($B$19*$B$19*($DN22&lt;&gt;$DO22) + $B$19*($DN22=$DO22))</f>
        <v>3.7037037037037035E-4</v>
      </c>
      <c r="DR22" s="10" cm="1">
        <f t="array" aca="1" ref="DR22" ca="1">(1-$B$18)*SUMPRODUCT(OFFSET($BO$15,0,0,$B$14,1), 1*(_xlfn._xlws.FILTER(OFFSET($O$15,0,$DN22,$B$8,1),OFFSET($M$15,0,0,$B$8,1))=DR$13), 1*(_xlfn._xlws.FILTER(OFFSET($O$15,0,$DO22,$B$8,1),OFFSET($M$15,0,0,$B$8,1))=DR$14))   /   SUM(OFFSET($BO$15,0,0,$B$14,1)) + $B$18/($B$19*$B$19*($DN22&lt;&gt;$DO22) + $B$19*($DN22=$DO22))</f>
        <v>3.7037037037037035E-4</v>
      </c>
      <c r="DS22" s="10" cm="1">
        <f t="array" aca="1" ref="DS22" ca="1">(1-$B$18)*SUMPRODUCT(OFFSET($BO$15,0,0,$B$14,1), 1*(_xlfn._xlws.FILTER(OFFSET($O$15,0,$DN22,$B$8,1),OFFSET($M$15,0,0,$B$8,1))=DS$13), 1*(_xlfn._xlws.FILTER(OFFSET($O$15,0,$DO22,$B$8,1),OFFSET($M$15,0,0,$B$8,1))=DS$14))   /   SUM(OFFSET($BO$15,0,0,$B$14,1)) + $B$18/($B$19*$B$19*($DN22&lt;&gt;$DO22) + $B$19*($DN22=$DO22))</f>
        <v>3.7037037037037035E-4</v>
      </c>
      <c r="DT22" s="10" cm="1">
        <f t="array" aca="1" ref="DT22" ca="1">(1-$B$18)*SUMPRODUCT(OFFSET($BO$15,0,0,$B$14,1), 1*(_xlfn._xlws.FILTER(OFFSET($O$15,0,$DN22,$B$8,1),OFFSET($M$15,0,0,$B$8,1))=DT$13), 1*(_xlfn._xlws.FILTER(OFFSET($O$15,0,$DO22,$B$8,1),OFFSET($M$15,0,0,$B$8,1))=DT$14))   /   SUM(OFFSET($BO$15,0,0,$B$14,1)) + $B$18/($B$19*$B$19*($DN22&lt;&gt;$DO22) + $B$19*($DN22=$DO22))</f>
        <v>3.7037037037037035E-4</v>
      </c>
      <c r="DU22" s="10" cm="1">
        <f t="array" aca="1" ref="DU22" ca="1">(1-$B$18)*SUMPRODUCT(OFFSET($BO$15,0,0,$B$14,1), 1*(_xlfn._xlws.FILTER(OFFSET($O$15,0,$DN22,$B$8,1),OFFSET($M$15,0,0,$B$8,1))=DU$13), 1*(_xlfn._xlws.FILTER(OFFSET($O$15,0,$DO22,$B$8,1),OFFSET($M$15,0,0,$B$8,1))=DU$14))   /   SUM(OFFSET($BO$15,0,0,$B$14,1)) + $B$18/($B$19*$B$19*($DN22&lt;&gt;$DO22) + $B$19*($DN22=$DO22))</f>
        <v>3.7037037037037035E-4</v>
      </c>
      <c r="DV22" s="10" cm="1">
        <f t="array" aca="1" ref="DV22" ca="1">(1-$B$18)*SUMPRODUCT(OFFSET($BO$15,0,0,$B$14,1), 1*(_xlfn._xlws.FILTER(OFFSET($O$15,0,$DN22,$B$8,1),OFFSET($M$15,0,0,$B$8,1))=DV$13), 1*(_xlfn._xlws.FILTER(OFFSET($O$15,0,$DO22,$B$8,1),OFFSET($M$15,0,0,$B$8,1))=DV$14))   /   SUM(OFFSET($BO$15,0,0,$B$14,1)) + $B$18/($B$19*$B$19*($DN22&lt;&gt;$DO22) + $B$19*($DN22=$DO22))</f>
        <v>3.7037037037037035E-4</v>
      </c>
      <c r="DW22" s="10" cm="1">
        <f t="array" aca="1" ref="DW22" ca="1">(1-$B$18)*SUMPRODUCT(OFFSET($BO$15,0,0,$B$14,1), 1*(_xlfn._xlws.FILTER(OFFSET($O$15,0,$DN22,$B$8,1),OFFSET($M$15,0,0,$B$8,1))=DW$13), 1*(_xlfn._xlws.FILTER(OFFSET($O$15,0,$DO22,$B$8,1),OFFSET($M$15,0,0,$B$8,1))=DW$14))   /   SUM(OFFSET($BO$15,0,0,$B$14,1)) + $B$18/($B$19*$B$19*($DN22&lt;&gt;$DO22) + $B$19*($DN22=$DO22))</f>
        <v>3.7037037037037035E-4</v>
      </c>
      <c r="DX22" s="10" cm="1">
        <f t="array" aca="1" ref="DX22" ca="1">(1-$B$18)*SUMPRODUCT(OFFSET($BO$15,0,0,$B$14,1), 1*(_xlfn._xlws.FILTER(OFFSET($O$15,0,$DN22,$B$8,1),OFFSET($M$15,0,0,$B$8,1))=DX$13), 1*(_xlfn._xlws.FILTER(OFFSET($O$15,0,$DO22,$B$8,1),OFFSET($M$15,0,0,$B$8,1))=DX$14))   /   SUM(OFFSET($BO$15,0,0,$B$14,1)) + $B$18/($B$19*$B$19*($DN22&lt;&gt;$DO22) + $B$19*($DN22=$DO22))</f>
        <v>3.7037037037037035E-4</v>
      </c>
      <c r="DY22" s="10" cm="1">
        <f t="array" aca="1" ref="DY22" ca="1">(1-$B$18)*SUMPRODUCT(OFFSET($BO$15,0,0,$B$14,1), 1*(_xlfn._xlws.FILTER(OFFSET($O$15,0,$DN22,$B$8,1),OFFSET($M$15,0,0,$B$8,1))=DY$13), 1*(_xlfn._xlws.FILTER(OFFSET($O$15,0,$DO22,$B$8,1),OFFSET($M$15,0,0,$B$8,1))=DY$14))   /   SUM(OFFSET($BO$15,0,0,$B$14,1)) + $B$18/($B$19*$B$19*($DN22&lt;&gt;$DO22) + $B$19*($DN22=$DO22))</f>
        <v>3.7037037037037035E-4</v>
      </c>
      <c r="DZ22" s="10" cm="1">
        <f t="array" aca="1" ref="DZ22" ca="1">(1-$B$18)*SUMPRODUCT(OFFSET($BO$15,0,0,$B$14,1), 1*(_xlfn._xlws.FILTER(OFFSET($O$15,0,$DN22,$B$8,1),OFFSET($M$15,0,0,$B$8,1))=DZ$13), 1*(_xlfn._xlws.FILTER(OFFSET($O$15,0,$DO22,$B$8,1),OFFSET($M$15,0,0,$B$8,1))=DZ$14))   /   SUM(OFFSET($BO$15,0,0,$B$14,1)) + $B$18/($B$19*$B$19*($DN22&lt;&gt;$DO22) + $B$19*($DN22=$DO22))</f>
        <v>3.7037037037037035E-4</v>
      </c>
      <c r="EA22" s="10" cm="1">
        <f t="array" aca="1" ref="EA22" ca="1">(1-$B$18)*SUMPRODUCT(OFFSET($BO$15,0,0,$B$14,1), 1*(_xlfn._xlws.FILTER(OFFSET($O$15,0,$DN22,$B$8,1),OFFSET($M$15,0,0,$B$8,1))=EA$13), 1*(_xlfn._xlws.FILTER(OFFSET($O$15,0,$DO22,$B$8,1),OFFSET($M$15,0,0,$B$8,1))=EA$14))   /   SUM(OFFSET($BO$15,0,0,$B$14,1)) + $B$18/($B$19*$B$19*($DN22&lt;&gt;$DO22) + $B$19*($DN22=$DO22))</f>
        <v>3.7037037037037035E-4</v>
      </c>
      <c r="EB22" s="10" cm="1">
        <f t="array" aca="1" ref="EB22" ca="1">(1-$B$18)*SUMPRODUCT(OFFSET($BO$15,0,0,$B$14,1), 1*(_xlfn._xlws.FILTER(OFFSET($O$15,0,$DN22,$B$8,1),OFFSET($M$15,0,0,$B$8,1))=EB$13), 1*(_xlfn._xlws.FILTER(OFFSET($O$15,0,$DO22,$B$8,1),OFFSET($M$15,0,0,$B$8,1))=EB$14))   /   SUM(OFFSET($BO$15,0,0,$B$14,1)) + $B$18/($B$19*$B$19*($DN22&lt;&gt;$DO22) + $B$19*($DN22=$DO22))</f>
        <v>3.7037037037037035E-4</v>
      </c>
      <c r="EC22" s="10" cm="1">
        <f t="array" aca="1" ref="EC22" ca="1">(1-$B$18)*SUMPRODUCT(OFFSET($BO$15,0,0,$B$14,1), 1*(_xlfn._xlws.FILTER(OFFSET($O$15,0,$DN22,$B$8,1),OFFSET($M$15,0,0,$B$8,1))=EC$13), 1*(_xlfn._xlws.FILTER(OFFSET($O$15,0,$DO22,$B$8,1),OFFSET($M$15,0,0,$B$8,1))=EC$14))   /   SUM(OFFSET($BO$15,0,0,$B$14,1)) + $B$18/($B$19*$B$19*($DN22&lt;&gt;$DO22) + $B$19*($DN22=$DO22))</f>
        <v>3.7037037037037035E-4</v>
      </c>
      <c r="ED22" s="10" cm="1">
        <f t="array" aca="1" ref="ED22" ca="1">(1-$B$18)*SUMPRODUCT(OFFSET($BO$15,0,0,$B$14,1), 1*(_xlfn._xlws.FILTER(OFFSET($O$15,0,$DN22,$B$8,1),OFFSET($M$15,0,0,$B$8,1))=ED$13), 1*(_xlfn._xlws.FILTER(OFFSET($O$15,0,$DO22,$B$8,1),OFFSET($M$15,0,0,$B$8,1))=ED$14))   /   SUM(OFFSET($BO$15,0,0,$B$14,1)) + $B$18/($B$19*$B$19*($DN22&lt;&gt;$DO22) + $B$19*($DN22=$DO22))</f>
        <v>3.7037037037037035E-4</v>
      </c>
      <c r="EE22" s="10" cm="1">
        <f t="array" aca="1" ref="EE22" ca="1">(1-$B$18)*SUMPRODUCT(OFFSET($BO$15,0,0,$B$14,1), 1*(_xlfn._xlws.FILTER(OFFSET($O$15,0,$DN22,$B$8,1),OFFSET($M$15,0,0,$B$8,1))=EE$13), 1*(_xlfn._xlws.FILTER(OFFSET($O$15,0,$DO22,$B$8,1),OFFSET($M$15,0,0,$B$8,1))=EE$14))   /   SUM(OFFSET($BO$15,0,0,$B$14,1)) + $B$18/($B$19*$B$19*($DN22&lt;&gt;$DO22) + $B$19*($DN22=$DO22))</f>
        <v>3.7037037037037035E-4</v>
      </c>
      <c r="EF22" s="10" cm="1">
        <f t="array" aca="1" ref="EF22" ca="1">(1-$B$18)*SUMPRODUCT(OFFSET($BO$15,0,0,$B$14,1), 1*(_xlfn._xlws.FILTER(OFFSET($O$15,0,$DN22,$B$8,1),OFFSET($M$15,0,0,$B$8,1))=EF$13), 1*(_xlfn._xlws.FILTER(OFFSET($O$15,0,$DO22,$B$8,1),OFFSET($M$15,0,0,$B$8,1))=EF$14))   /   SUM(OFFSET($BO$15,0,0,$B$14,1)) + $B$18/($B$19*$B$19*($DN22&lt;&gt;$DO22) + $B$19*($DN22=$DO22))</f>
        <v>3.7037037037037035E-4</v>
      </c>
      <c r="EG22" s="10" cm="1">
        <f t="array" aca="1" ref="EG22" ca="1">(1-$B$18)*SUMPRODUCT(OFFSET($BO$15,0,0,$B$14,1), 1*(_xlfn._xlws.FILTER(OFFSET($O$15,0,$DN22,$B$8,1),OFFSET($M$15,0,0,$B$8,1))=EG$13), 1*(_xlfn._xlws.FILTER(OFFSET($O$15,0,$DO22,$B$8,1),OFFSET($M$15,0,0,$B$8,1))=EG$14))   /   SUM(OFFSET($BO$15,0,0,$B$14,1)) + $B$18/($B$19*$B$19*($DN22&lt;&gt;$DO22) + $B$19*($DN22=$DO22))</f>
        <v>3.7037037037037035E-4</v>
      </c>
      <c r="EH22" s="10" cm="1">
        <f t="array" aca="1" ref="EH22" ca="1">(1-$B$18)*SUMPRODUCT(OFFSET($BO$15,0,0,$B$14,1), 1*(_xlfn._xlws.FILTER(OFFSET($O$15,0,$DN22,$B$8,1),OFFSET($M$15,0,0,$B$8,1))=EH$13), 1*(_xlfn._xlws.FILTER(OFFSET($O$15,0,$DO22,$B$8,1),OFFSET($M$15,0,0,$B$8,1))=EH$14))   /   SUM(OFFSET($BO$15,0,0,$B$14,1)) + $B$18/($B$19*$B$19*($DN22&lt;&gt;$DO22) + $B$19*($DN22=$DO22))</f>
        <v>3.7037037037037035E-4</v>
      </c>
      <c r="EI22" s="10" cm="1">
        <f t="array" aca="1" ref="EI22" ca="1">(1-$B$18)*SUMPRODUCT(OFFSET($BO$15,0,0,$B$14,1), 1*(_xlfn._xlws.FILTER(OFFSET($O$15,0,$DN22,$B$8,1),OFFSET($M$15,0,0,$B$8,1))=EI$13), 1*(_xlfn._xlws.FILTER(OFFSET($O$15,0,$DO22,$B$8,1),OFFSET($M$15,0,0,$B$8,1))=EI$14))   /   SUM(OFFSET($BO$15,0,0,$B$14,1)) + $B$18/($B$19*$B$19*($DN22&lt;&gt;$DO22) + $B$19*($DN22=$DO22))</f>
        <v>3.7037037037037035E-4</v>
      </c>
      <c r="EJ22" s="10" cm="1">
        <f t="array" aca="1" ref="EJ22" ca="1">(1-$B$18)*SUMPRODUCT(OFFSET($BO$15,0,0,$B$14,1), 1*(_xlfn._xlws.FILTER(OFFSET($O$15,0,$DN22,$B$8,1),OFFSET($M$15,0,0,$B$8,1))=EJ$13), 1*(_xlfn._xlws.FILTER(OFFSET($O$15,0,$DO22,$B$8,1),OFFSET($M$15,0,0,$B$8,1))=EJ$14))   /   SUM(OFFSET($BO$15,0,0,$B$14,1)) + $B$18/($B$19*$B$19*($DN22&lt;&gt;$DO22) + $B$19*($DN22=$DO22))</f>
        <v>3.7037037037037035E-4</v>
      </c>
      <c r="EK22" s="10" cm="1">
        <f t="array" aca="1" ref="EK22" ca="1">(1-$B$18)*SUMPRODUCT(OFFSET($BO$15,0,0,$B$14,1), 1*(_xlfn._xlws.FILTER(OFFSET($O$15,0,$DN22,$B$8,1),OFFSET($M$15,0,0,$B$8,1))=EK$13), 1*(_xlfn._xlws.FILTER(OFFSET($O$15,0,$DO22,$B$8,1),OFFSET($M$15,0,0,$B$8,1))=EK$14))   /   SUM(OFFSET($BO$15,0,0,$B$14,1)) + $B$18/($B$19*$B$19*($DN22&lt;&gt;$DO22) + $B$19*($DN22=$DO22))</f>
        <v>3.7037037037037035E-4</v>
      </c>
      <c r="EL22" s="10" cm="1">
        <f t="array" aca="1" ref="EL22" ca="1">(1-$B$18)*SUMPRODUCT(OFFSET($BO$15,0,0,$B$14,1), 1*(_xlfn._xlws.FILTER(OFFSET($O$15,0,$DN22,$B$8,1),OFFSET($M$15,0,0,$B$8,1))=EL$13), 1*(_xlfn._xlws.FILTER(OFFSET($O$15,0,$DO22,$B$8,1),OFFSET($M$15,0,0,$B$8,1))=EL$14))   /   SUM(OFFSET($BO$15,0,0,$B$14,1)) + $B$18/($B$19*$B$19*($DN22&lt;&gt;$DO22) + $B$19*($DN22=$DO22))</f>
        <v>3.7037037037037035E-4</v>
      </c>
      <c r="EM22" s="10" cm="1">
        <f t="array" aca="1" ref="EM22" ca="1">(1-$B$18)*SUMPRODUCT(OFFSET($BO$15,0,0,$B$14,1), 1*(_xlfn._xlws.FILTER(OFFSET($O$15,0,$DN22,$B$8,1),OFFSET($M$15,0,0,$B$8,1))=EM$13), 1*(_xlfn._xlws.FILTER(OFFSET($O$15,0,$DO22,$B$8,1),OFFSET($M$15,0,0,$B$8,1))=EM$14))   /   SUM(OFFSET($BO$15,0,0,$B$14,1)) + $B$18/($B$19*$B$19*($DN22&lt;&gt;$DO22) + $B$19*($DN22=$DO22))</f>
        <v>3.7037037037037035E-4</v>
      </c>
      <c r="EN22" s="10" cm="1">
        <f t="array" aca="1" ref="EN22" ca="1">(1-$B$18)*SUMPRODUCT(OFFSET($BO$15,0,0,$B$14,1), 1*(_xlfn._xlws.FILTER(OFFSET($O$15,0,$DN22,$B$8,1),OFFSET($M$15,0,0,$B$8,1))=EN$13), 1*(_xlfn._xlws.FILTER(OFFSET($O$15,0,$DO22,$B$8,1),OFFSET($M$15,0,0,$B$8,1))=EN$14))   /   SUM(OFFSET($BO$15,0,0,$B$14,1)) + $B$18/($B$19*$B$19*($DN22&lt;&gt;$DO22) + $B$19*($DN22=$DO22))</f>
        <v>3.7037037037037035E-4</v>
      </c>
      <c r="EO22" s="10" cm="1">
        <f t="array" aca="1" ref="EO22" ca="1">(1-$B$18)*SUMPRODUCT(OFFSET($BO$15,0,0,$B$14,1), 1*(_xlfn._xlws.FILTER(OFFSET($O$15,0,$DN22,$B$8,1),OFFSET($M$15,0,0,$B$8,1))=EO$13), 1*(_xlfn._xlws.FILTER(OFFSET($O$15,0,$DO22,$B$8,1),OFFSET($M$15,0,0,$B$8,1))=EO$14))   /   SUM(OFFSET($BO$15,0,0,$B$14,1)) + $B$18/($B$19*$B$19*($DN22&lt;&gt;$DO22) + $B$19*($DN22=$DO22))</f>
        <v>3.7037037037037035E-4</v>
      </c>
      <c r="EP22" s="10" cm="1">
        <f t="array" aca="1" ref="EP22" ca="1">(1-$B$18)*SUMPRODUCT(OFFSET($BO$15,0,0,$B$14,1), 1*(_xlfn._xlws.FILTER(OFFSET($O$15,0,$DN22,$B$8,1),OFFSET($M$15,0,0,$B$8,1))=EP$13), 1*(_xlfn._xlws.FILTER(OFFSET($O$15,0,$DO22,$B$8,1),OFFSET($M$15,0,0,$B$8,1))=EP$14))   /   SUM(OFFSET($BO$15,0,0,$B$14,1)) + $B$18/($B$19*$B$19*($DN22&lt;&gt;$DO22) + $B$19*($DN22=$DO22))</f>
        <v>3.7037037037037035E-4</v>
      </c>
      <c r="EQ22" s="10" cm="1">
        <f t="array" aca="1" ref="EQ22" ca="1">(1-$B$18)*SUMPRODUCT(OFFSET($BO$15,0,0,$B$14,1), 1*(_xlfn._xlws.FILTER(OFFSET($O$15,0,$DN22,$B$8,1),OFFSET($M$15,0,0,$B$8,1))=EQ$13), 1*(_xlfn._xlws.FILTER(OFFSET($O$15,0,$DO22,$B$8,1),OFFSET($M$15,0,0,$B$8,1))=EQ$14))   /   SUM(OFFSET($BO$15,0,0,$B$14,1)) + $B$18/($B$19*$B$19*($DN22&lt;&gt;$DO22) + $B$19*($DN22=$DO22))</f>
        <v>3.7037037037037035E-4</v>
      </c>
      <c r="ER22" s="10" cm="1">
        <f t="array" aca="1" ref="ER22" ca="1">(1-$B$18)*SUMPRODUCT(OFFSET($BO$15,0,0,$B$14,1), 1*(_xlfn._xlws.FILTER(OFFSET($O$15,0,$DN22,$B$8,1),OFFSET($M$15,0,0,$B$8,1))=ER$13), 1*(_xlfn._xlws.FILTER(OFFSET($O$15,0,$DO22,$B$8,1),OFFSET($M$15,0,0,$B$8,1))=ER$14))   /   SUM(OFFSET($BO$15,0,0,$B$14,1)) + $B$18/($B$19*$B$19*($DN22&lt;&gt;$DO22) + $B$19*($DN22=$DO22))</f>
        <v>3.7037037037037035E-4</v>
      </c>
      <c r="ES22" s="10" cm="1">
        <f t="array" aca="1" ref="ES22" ca="1">(1-$B$18)*SUMPRODUCT(OFFSET($BO$15,0,0,$B$14,1), 1*(_xlfn._xlws.FILTER(OFFSET($O$15,0,$DN22,$B$8,1),OFFSET($M$15,0,0,$B$8,1))=ES$13), 1*(_xlfn._xlws.FILTER(OFFSET($O$15,0,$DO22,$B$8,1),OFFSET($M$15,0,0,$B$8,1))=ES$14))   /   SUM(OFFSET($BO$15,0,0,$B$14,1)) + $B$18/($B$19*$B$19*($DN22&lt;&gt;$DO22) + $B$19*($DN22=$DO22))</f>
        <v>3.7037037037037035E-4</v>
      </c>
      <c r="ET22" s="10" cm="1">
        <f t="array" aca="1" ref="ET22" ca="1">(1-$B$18)*SUMPRODUCT(OFFSET($BO$15,0,0,$B$14,1), 1*(_xlfn._xlws.FILTER(OFFSET($O$15,0,$DN22,$B$8,1),OFFSET($M$15,0,0,$B$8,1))=ET$13), 1*(_xlfn._xlws.FILTER(OFFSET($O$15,0,$DO22,$B$8,1),OFFSET($M$15,0,0,$B$8,1))=ET$14))   /   SUM(OFFSET($BO$15,0,0,$B$14,1)) + $B$18/($B$19*$B$19*($DN22&lt;&gt;$DO22) + $B$19*($DN22=$DO22))</f>
        <v>3.7037037037037035E-4</v>
      </c>
      <c r="EU22" s="10" cm="1">
        <f t="array" aca="1" ref="EU22" ca="1">(1-$B$18)*SUMPRODUCT(OFFSET($BO$15,0,0,$B$14,1), 1*(_xlfn._xlws.FILTER(OFFSET($O$15,0,$DN22,$B$8,1),OFFSET($M$15,0,0,$B$8,1))=EU$13), 1*(_xlfn._xlws.FILTER(OFFSET($O$15,0,$DO22,$B$8,1),OFFSET($M$15,0,0,$B$8,1))=EU$14))   /   SUM(OFFSET($BO$15,0,0,$B$14,1)) + $B$18/($B$19*$B$19*($DN22&lt;&gt;$DO22) + $B$19*($DN22=$DO22))</f>
        <v>3.7037037037037035E-4</v>
      </c>
      <c r="EV22" s="10" cm="1">
        <f t="array" aca="1" ref="EV22" ca="1">(1-$B$18)*SUMPRODUCT(OFFSET($BO$15,0,0,$B$14,1), 1*(_xlfn._xlws.FILTER(OFFSET($O$15,0,$DN22,$B$8,1),OFFSET($M$15,0,0,$B$8,1))=EV$13), 1*(_xlfn._xlws.FILTER(OFFSET($O$15,0,$DO22,$B$8,1),OFFSET($M$15,0,0,$B$8,1))=EV$14))   /   SUM(OFFSET($BO$15,0,0,$B$14,1)) + $B$18/($B$19*$B$19*($DN22&lt;&gt;$DO22) + $B$19*($DN22=$DO22))</f>
        <v>3.7037037037037035E-4</v>
      </c>
      <c r="EW22" s="10" cm="1">
        <f t="array" aca="1" ref="EW22" ca="1">(1-$B$18)*SUMPRODUCT(OFFSET($BO$15,0,0,$B$14,1), 1*(_xlfn._xlws.FILTER(OFFSET($O$15,0,$DN22,$B$8,1),OFFSET($M$15,0,0,$B$8,1))=EW$13), 1*(_xlfn._xlws.FILTER(OFFSET($O$15,0,$DO22,$B$8,1),OFFSET($M$15,0,0,$B$8,1))=EW$14))   /   SUM(OFFSET($BO$15,0,0,$B$14,1)) + $B$18/($B$19*$B$19*($DN22&lt;&gt;$DO22) + $B$19*($DN22=$DO22))</f>
        <v>3.7037037037037035E-4</v>
      </c>
      <c r="EX22" s="10" cm="1">
        <f t="array" aca="1" ref="EX22" ca="1">(1-$B$18)*SUMPRODUCT(OFFSET($BO$15,0,0,$B$14,1), 1*(_xlfn._xlws.FILTER(OFFSET($O$15,0,$DN22,$B$8,1),OFFSET($M$15,0,0,$B$8,1))=EX$13), 1*(_xlfn._xlws.FILTER(OFFSET($O$15,0,$DO22,$B$8,1),OFFSET($M$15,0,0,$B$8,1))=EX$14))   /   SUM(OFFSET($BO$15,0,0,$B$14,1)) + $B$18/($B$19*$B$19*($DN22&lt;&gt;$DO22) + $B$19*($DN22=$DO22))</f>
        <v>3.7037037037037035E-4</v>
      </c>
      <c r="EY22" s="10" cm="1">
        <f t="array" aca="1" ref="EY22" ca="1">(1-$B$18)*SUMPRODUCT(OFFSET($BO$15,0,0,$B$14,1), 1*(_xlfn._xlws.FILTER(OFFSET($O$15,0,$DN22,$B$8,1),OFFSET($M$15,0,0,$B$8,1))=EY$13), 1*(_xlfn._xlws.FILTER(OFFSET($O$15,0,$DO22,$B$8,1),OFFSET($M$15,0,0,$B$8,1))=EY$14))   /   SUM(OFFSET($BO$15,0,0,$B$14,1)) + $B$18/($B$19*$B$19*($DN22&lt;&gt;$DO22) + $B$19*($DN22=$DO22))</f>
        <v>3.7037037037037035E-4</v>
      </c>
      <c r="EZ22" s="10" cm="1">
        <f t="array" aca="1" ref="EZ22" ca="1">(1-$B$18)*SUMPRODUCT(OFFSET($BO$15,0,0,$B$14,1), 1*(_xlfn._xlws.FILTER(OFFSET($O$15,0,$DN22,$B$8,1),OFFSET($M$15,0,0,$B$8,1))=EZ$13), 1*(_xlfn._xlws.FILTER(OFFSET($O$15,0,$DO22,$B$8,1),OFFSET($M$15,0,0,$B$8,1))=EZ$14))   /   SUM(OFFSET($BO$15,0,0,$B$14,1)) + $B$18/($B$19*$B$19*($DN22&lt;&gt;$DO22) + $B$19*($DN22=$DO22))</f>
        <v>3.7037037037037035E-4</v>
      </c>
      <c r="FA22" s="10" cm="1">
        <f t="array" aca="1" ref="FA22" ca="1">(1-$B$18)*SUMPRODUCT(OFFSET($BO$15,0,0,$B$14,1), 1*(_xlfn._xlws.FILTER(OFFSET($O$15,0,$DN22,$B$8,1),OFFSET($M$15,0,0,$B$8,1))=FA$13), 1*(_xlfn._xlws.FILTER(OFFSET($O$15,0,$DO22,$B$8,1),OFFSET($M$15,0,0,$B$8,1))=FA$14))   /   SUM(OFFSET($BO$15,0,0,$B$14,1)) + $B$18/($B$19*$B$19*($DN22&lt;&gt;$DO22) + $B$19*($DN22=$DO22))</f>
        <v>3.7037037037037035E-4</v>
      </c>
      <c r="FB22" s="10" cm="1">
        <f t="array" aca="1" ref="FB22" ca="1">(1-$B$18)*SUMPRODUCT(OFFSET($BO$15,0,0,$B$14,1), 1*(_xlfn._xlws.FILTER(OFFSET($O$15,0,$DN22,$B$8,1),OFFSET($M$15,0,0,$B$8,1))=FB$13), 1*(_xlfn._xlws.FILTER(OFFSET($O$15,0,$DO22,$B$8,1),OFFSET($M$15,0,0,$B$8,1))=FB$14))   /   SUM(OFFSET($BO$15,0,0,$B$14,1)) + $B$18/($B$19*$B$19*($DN22&lt;&gt;$DO22) + $B$19*($DN22=$DO22))</f>
        <v>3.7037037037037035E-4</v>
      </c>
      <c r="FC22" s="10" cm="1">
        <f t="array" aca="1" ref="FC22" ca="1">(1-$B$18)*SUMPRODUCT(OFFSET($BO$15,0,0,$B$14,1), 1*(_xlfn._xlws.FILTER(OFFSET($O$15,0,$DN22,$B$8,1),OFFSET($M$15,0,0,$B$8,1))=FC$13), 1*(_xlfn._xlws.FILTER(OFFSET($O$15,0,$DO22,$B$8,1),OFFSET($M$15,0,0,$B$8,1))=FC$14))   /   SUM(OFFSET($BO$15,0,0,$B$14,1)) + $B$18/($B$19*$B$19*($DN22&lt;&gt;$DO22) + $B$19*($DN22=$DO22))</f>
        <v>3.7037037037037035E-4</v>
      </c>
      <c r="FD22" s="10" cm="1">
        <f t="array" aca="1" ref="FD22" ca="1">(1-$B$18)*SUMPRODUCT(OFFSET($BO$15,0,0,$B$14,1), 1*(_xlfn._xlws.FILTER(OFFSET($O$15,0,$DN22,$B$8,1),OFFSET($M$15,0,0,$B$8,1))=FD$13), 1*(_xlfn._xlws.FILTER(OFFSET($O$15,0,$DO22,$B$8,1),OFFSET($M$15,0,0,$B$8,1))=FD$14))   /   SUM(OFFSET($BO$15,0,0,$B$14,1)) + $B$18/($B$19*$B$19*($DN22&lt;&gt;$DO22) + $B$19*($DN22=$DO22))</f>
        <v>3.7037037037037035E-4</v>
      </c>
      <c r="FE22" s="10" cm="1">
        <f t="array" aca="1" ref="FE22" ca="1">(1-$B$18)*SUMPRODUCT(OFFSET($BO$15,0,0,$B$14,1), 1*(_xlfn._xlws.FILTER(OFFSET($O$15,0,$DN22,$B$8,1),OFFSET($M$15,0,0,$B$8,1))=FE$13), 1*(_xlfn._xlws.FILTER(OFFSET($O$15,0,$DO22,$B$8,1),OFFSET($M$15,0,0,$B$8,1))=FE$14))   /   SUM(OFFSET($BO$15,0,0,$B$14,1)) + $B$18/($B$19*$B$19*($DN22&lt;&gt;$DO22) + $B$19*($DN22=$DO22))</f>
        <v>3.7037037037037035E-4</v>
      </c>
      <c r="FF22" s="10" cm="1">
        <f t="array" aca="1" ref="FF22" ca="1">(1-$B$18)*SUMPRODUCT(OFFSET($BO$15,0,0,$B$14,1), 1*(_xlfn._xlws.FILTER(OFFSET($O$15,0,$DN22,$B$8,1),OFFSET($M$15,0,0,$B$8,1))=FF$13), 1*(_xlfn._xlws.FILTER(OFFSET($O$15,0,$DO22,$B$8,1),OFFSET($M$15,0,0,$B$8,1))=FF$14))   /   SUM(OFFSET($BO$15,0,0,$B$14,1)) + $B$18/($B$19*$B$19*($DN22&lt;&gt;$DO22) + $B$19*($DN22=$DO22))</f>
        <v>3.7037037037037035E-4</v>
      </c>
      <c r="FG22" s="10" cm="1">
        <f t="array" aca="1" ref="FG22" ca="1">(1-$B$18)*SUMPRODUCT(OFFSET($BO$15,0,0,$B$14,1), 1*(_xlfn._xlws.FILTER(OFFSET($O$15,0,$DN22,$B$8,1),OFFSET($M$15,0,0,$B$8,1))=FG$13), 1*(_xlfn._xlws.FILTER(OFFSET($O$15,0,$DO22,$B$8,1),OFFSET($M$15,0,0,$B$8,1))=FG$14))   /   SUM(OFFSET($BO$15,0,0,$B$14,1)) + $B$18/($B$19*$B$19*($DN22&lt;&gt;$DO22) + $B$19*($DN22=$DO22))</f>
        <v>3.7037037037037035E-4</v>
      </c>
      <c r="FH22" s="10" cm="1">
        <f t="array" aca="1" ref="FH22" ca="1">(1-$B$18)*SUMPRODUCT(OFFSET($BO$15,0,0,$B$14,1), 1*(_xlfn._xlws.FILTER(OFFSET($O$15,0,$DN22,$B$8,1),OFFSET($M$15,0,0,$B$8,1))=FH$13), 1*(_xlfn._xlws.FILTER(OFFSET($O$15,0,$DO22,$B$8,1),OFFSET($M$15,0,0,$B$8,1))=FH$14))   /   SUM(OFFSET($BO$15,0,0,$B$14,1)) + $B$18/($B$19*$B$19*($DN22&lt;&gt;$DO22) + $B$19*($DN22=$DO22))</f>
        <v>3.7037037037037035E-4</v>
      </c>
      <c r="FI22" s="10" cm="1">
        <f t="array" aca="1" ref="FI22" ca="1">(1-$B$18)*SUMPRODUCT(OFFSET($BO$15,0,0,$B$14,1), 1*(_xlfn._xlws.FILTER(OFFSET($O$15,0,$DN22,$B$8,1),OFFSET($M$15,0,0,$B$8,1))=FI$13), 1*(_xlfn._xlws.FILTER(OFFSET($O$15,0,$DO22,$B$8,1),OFFSET($M$15,0,0,$B$8,1))=FI$14))   /   SUM(OFFSET($BO$15,0,0,$B$14,1)) + $B$18/($B$19*$B$19*($DN22&lt;&gt;$DO22) + $B$19*($DN22=$DO22))</f>
        <v>3.7037037037037035E-4</v>
      </c>
      <c r="FJ22" s="10" cm="1">
        <f t="array" aca="1" ref="FJ22" ca="1">(1-$B$18)*SUMPRODUCT(OFFSET($BO$15,0,0,$B$14,1), 1*(_xlfn._xlws.FILTER(OFFSET($O$15,0,$DN22,$B$8,1),OFFSET($M$15,0,0,$B$8,1))=FJ$13), 1*(_xlfn._xlws.FILTER(OFFSET($O$15,0,$DO22,$B$8,1),OFFSET($M$15,0,0,$B$8,1))=FJ$14))   /   SUM(OFFSET($BO$15,0,0,$B$14,1)) + $B$18/($B$19*$B$19*($DN22&lt;&gt;$DO22) + $B$19*($DN22=$DO22))</f>
        <v>3.7037037037037035E-4</v>
      </c>
      <c r="FK22" s="10" cm="1">
        <f t="array" aca="1" ref="FK22" ca="1">(1-$B$18)*SUMPRODUCT(OFFSET($BO$15,0,0,$B$14,1), 1*(_xlfn._xlws.FILTER(OFFSET($O$15,0,$DN22,$B$8,1),OFFSET($M$15,0,0,$B$8,1))=FK$13), 1*(_xlfn._xlws.FILTER(OFFSET($O$15,0,$DO22,$B$8,1),OFFSET($M$15,0,0,$B$8,1))=FK$14))   /   SUM(OFFSET($BO$15,0,0,$B$14,1)) + $B$18/($B$19*$B$19*($DN22&lt;&gt;$DO22) + $B$19*($DN22=$DO22))</f>
        <v>3.7037037037037035E-4</v>
      </c>
      <c r="FL22" s="10" cm="1">
        <f t="array" aca="1" ref="FL22" ca="1">(1-$B$18)*SUMPRODUCT(OFFSET($BO$15,0,0,$B$14,1), 1*(_xlfn._xlws.FILTER(OFFSET($O$15,0,$DN22,$B$8,1),OFFSET($M$15,0,0,$B$8,1))=FL$13), 1*(_xlfn._xlws.FILTER(OFFSET($O$15,0,$DO22,$B$8,1),OFFSET($M$15,0,0,$B$8,1))=FL$14))   /   SUM(OFFSET($BO$15,0,0,$B$14,1)) + $B$18/($B$19*$B$19*($DN22&lt;&gt;$DO22) + $B$19*($DN22=$DO22))</f>
        <v>3.7037037037037035E-4</v>
      </c>
      <c r="FM22" s="10" cm="1">
        <f t="array" aca="1" ref="FM22" ca="1">(1-$B$18)*SUMPRODUCT(OFFSET($BO$15,0,0,$B$14,1), 1*(_xlfn._xlws.FILTER(OFFSET($O$15,0,$DN22,$B$8,1),OFFSET($M$15,0,0,$B$8,1))=FM$13), 1*(_xlfn._xlws.FILTER(OFFSET($O$15,0,$DO22,$B$8,1),OFFSET($M$15,0,0,$B$8,1))=FM$14))   /   SUM(OFFSET($BO$15,0,0,$B$14,1)) + $B$18/($B$19*$B$19*($DN22&lt;&gt;$DO22) + $B$19*($DN22=$DO22))</f>
        <v>3.7037037037037035E-4</v>
      </c>
      <c r="FN22" s="10" cm="1">
        <f t="array" aca="1" ref="FN22" ca="1">(1-$B$18)*SUMPRODUCT(OFFSET($BO$15,0,0,$B$14,1), 1*(_xlfn._xlws.FILTER(OFFSET($O$15,0,$DN22,$B$8,1),OFFSET($M$15,0,0,$B$8,1))=FN$13), 1*(_xlfn._xlws.FILTER(OFFSET($O$15,0,$DO22,$B$8,1),OFFSET($M$15,0,0,$B$8,1))=FN$14))   /   SUM(OFFSET($BO$15,0,0,$B$14,1)) + $B$18/($B$19*$B$19*($DN22&lt;&gt;$DO22) + $B$19*($DN22=$DO22))</f>
        <v>3.7037037037037035E-4</v>
      </c>
      <c r="FO22" s="10" cm="1">
        <f t="array" aca="1" ref="FO22" ca="1">(1-$B$18)*SUMPRODUCT(OFFSET($BO$15,0,0,$B$14,1), 1*(_xlfn._xlws.FILTER(OFFSET($O$15,0,$DN22,$B$8,1),OFFSET($M$15,0,0,$B$8,1))=FO$13), 1*(_xlfn._xlws.FILTER(OFFSET($O$15,0,$DO22,$B$8,1),OFFSET($M$15,0,0,$B$8,1))=FO$14))   /   SUM(OFFSET($BO$15,0,0,$B$14,1)) + $B$18/($B$19*$B$19*($DN22&lt;&gt;$DO22) + $B$19*($DN22=$DO22))</f>
        <v>3.7037037037037035E-4</v>
      </c>
      <c r="FP22" s="10" cm="1">
        <f t="array" aca="1" ref="FP22" ca="1">(1-$B$18)*SUMPRODUCT(OFFSET($BO$15,0,0,$B$14,1), 1*(_xlfn._xlws.FILTER(OFFSET($O$15,0,$DN22,$B$8,1),OFFSET($M$15,0,0,$B$8,1))=FP$13), 1*(_xlfn._xlws.FILTER(OFFSET($O$15,0,$DO22,$B$8,1),OFFSET($M$15,0,0,$B$8,1))=FP$14))   /   SUM(OFFSET($BO$15,0,0,$B$14,1)) + $B$18/($B$19*$B$19*($DN22&lt;&gt;$DO22) + $B$19*($DN22=$DO22))</f>
        <v>3.7037037037037035E-4</v>
      </c>
      <c r="FQ22" s="10" cm="1">
        <f t="array" aca="1" ref="FQ22" ca="1">(1-$B$18)*SUMPRODUCT(OFFSET($BO$15,0,0,$B$14,1), 1*(_xlfn._xlws.FILTER(OFFSET($O$15,0,$DN22,$B$8,1),OFFSET($M$15,0,0,$B$8,1))=FQ$13), 1*(_xlfn._xlws.FILTER(OFFSET($O$15,0,$DO22,$B$8,1),OFFSET($M$15,0,0,$B$8,1))=FQ$14))   /   SUM(OFFSET($BO$15,0,0,$B$14,1)) + $B$18/($B$19*$B$19*($DN22&lt;&gt;$DO22) + $B$19*($DN22=$DO22))</f>
        <v>3.7037037037037035E-4</v>
      </c>
      <c r="FR22" s="10" cm="1">
        <f t="array" aca="1" ref="FR22" ca="1">(1-$B$18)*SUMPRODUCT(OFFSET($BO$15,0,0,$B$14,1), 1*(_xlfn._xlws.FILTER(OFFSET($O$15,0,$DN22,$B$8,1),OFFSET($M$15,0,0,$B$8,1))=FR$13), 1*(_xlfn._xlws.FILTER(OFFSET($O$15,0,$DO22,$B$8,1),OFFSET($M$15,0,0,$B$8,1))=FR$14))   /   SUM(OFFSET($BO$15,0,0,$B$14,1)) + $B$18/($B$19*$B$19*($DN22&lt;&gt;$DO22) + $B$19*($DN22=$DO22))</f>
        <v>0.97037037037037033</v>
      </c>
      <c r="FS22" s="10" cm="1">
        <f t="array" aca="1" ref="FS22" ca="1">(1-$B$18)*SUMPRODUCT(OFFSET($BO$15,0,0,$B$14,1), 1*(_xlfn._xlws.FILTER(OFFSET($O$15,0,$DN22,$B$8,1),OFFSET($M$15,0,0,$B$8,1))=FS$13), 1*(_xlfn._xlws.FILTER(OFFSET($O$15,0,$DO22,$B$8,1),OFFSET($M$15,0,0,$B$8,1))=FS$14))   /   SUM(OFFSET($BO$15,0,0,$B$14,1)) + $B$18/($B$19*$B$19*($DN22&lt;&gt;$DO22) + $B$19*($DN22=$DO22))</f>
        <v>3.7037037037037035E-4</v>
      </c>
      <c r="FT22" s="10" cm="1">
        <f t="array" aca="1" ref="FT22" ca="1">(1-$B$18)*SUMPRODUCT(OFFSET($BO$15,0,0,$B$14,1), 1*(_xlfn._xlws.FILTER(OFFSET($O$15,0,$DN22,$B$8,1),OFFSET($M$15,0,0,$B$8,1))=FT$13), 1*(_xlfn._xlws.FILTER(OFFSET($O$15,0,$DO22,$B$8,1),OFFSET($M$15,0,0,$B$8,1))=FT$14))   /   SUM(OFFSET($BO$15,0,0,$B$14,1)) + $B$18/($B$19*$B$19*($DN22&lt;&gt;$DO22) + $B$19*($DN22=$DO22))</f>
        <v>3.7037037037037035E-4</v>
      </c>
      <c r="FU22" s="10" cm="1">
        <f t="array" aca="1" ref="FU22" ca="1">(1-$B$18)*SUMPRODUCT(OFFSET($BO$15,0,0,$B$14,1), 1*(_xlfn._xlws.FILTER(OFFSET($O$15,0,$DN22,$B$8,1),OFFSET($M$15,0,0,$B$8,1))=FU$13), 1*(_xlfn._xlws.FILTER(OFFSET($O$15,0,$DO22,$B$8,1),OFFSET($M$15,0,0,$B$8,1))=FU$14))   /   SUM(OFFSET($BO$15,0,0,$B$14,1)) + $B$18/($B$19*$B$19*($DN22&lt;&gt;$DO22) + $B$19*($DN22=$DO22))</f>
        <v>3.7037037037037035E-4</v>
      </c>
      <c r="FV22" s="10" cm="1">
        <f t="array" aca="1" ref="FV22" ca="1">(1-$B$18)*SUMPRODUCT(OFFSET($BO$15,0,0,$B$14,1), 1*(_xlfn._xlws.FILTER(OFFSET($O$15,0,$DN22,$B$8,1),OFFSET($M$15,0,0,$B$8,1))=FV$13), 1*(_xlfn._xlws.FILTER(OFFSET($O$15,0,$DO22,$B$8,1),OFFSET($M$15,0,0,$B$8,1))=FV$14))   /   SUM(OFFSET($BO$15,0,0,$B$14,1)) + $B$18/($B$19*$B$19*($DN22&lt;&gt;$DO22) + $B$19*($DN22=$DO22))</f>
        <v>3.7037037037037035E-4</v>
      </c>
      <c r="FW22" s="10" cm="1">
        <f t="array" aca="1" ref="FW22" ca="1">(1-$B$18)*SUMPRODUCT(OFFSET($BO$15,0,0,$B$14,1), 1*(_xlfn._xlws.FILTER(OFFSET($O$15,0,$DN22,$B$8,1),OFFSET($M$15,0,0,$B$8,1))=FW$13), 1*(_xlfn._xlws.FILTER(OFFSET($O$15,0,$DO22,$B$8,1),OFFSET($M$15,0,0,$B$8,1))=FW$14))   /   SUM(OFFSET($BO$15,0,0,$B$14,1)) + $B$18/($B$19*$B$19*($DN22&lt;&gt;$DO22) + $B$19*($DN22=$DO22))</f>
        <v>3.7037037037037035E-4</v>
      </c>
      <c r="FX22" s="10" cm="1">
        <f t="array" aca="1" ref="FX22" ca="1">(1-$B$18)*SUMPRODUCT(OFFSET($BO$15,0,0,$B$14,1), 1*(_xlfn._xlws.FILTER(OFFSET($O$15,0,$DN22,$B$8,1),OFFSET($M$15,0,0,$B$8,1))=FX$13), 1*(_xlfn._xlws.FILTER(OFFSET($O$15,0,$DO22,$B$8,1),OFFSET($M$15,0,0,$B$8,1))=FX$14))   /   SUM(OFFSET($BO$15,0,0,$B$14,1)) + $B$18/($B$19*$B$19*($DN22&lt;&gt;$DO22) + $B$19*($DN22=$DO22))</f>
        <v>3.7037037037037035E-4</v>
      </c>
      <c r="FY22" s="10" cm="1">
        <f t="array" aca="1" ref="FY22" ca="1">(1-$B$18)*SUMPRODUCT(OFFSET($BO$15,0,0,$B$14,1), 1*(_xlfn._xlws.FILTER(OFFSET($O$15,0,$DN22,$B$8,1),OFFSET($M$15,0,0,$B$8,1))=FY$13), 1*(_xlfn._xlws.FILTER(OFFSET($O$15,0,$DO22,$B$8,1),OFFSET($M$15,0,0,$B$8,1))=FY$14))   /   SUM(OFFSET($BO$15,0,0,$B$14,1)) + $B$18/($B$19*$B$19*($DN22&lt;&gt;$DO22) + $B$19*($DN22=$DO22))</f>
        <v>3.7037037037037035E-4</v>
      </c>
      <c r="FZ22" s="10" cm="1">
        <f t="array" aca="1" ref="FZ22" ca="1">(1-$B$18)*SUMPRODUCT(OFFSET($BO$15,0,0,$B$14,1), 1*(_xlfn._xlws.FILTER(OFFSET($O$15,0,$DN22,$B$8,1),OFFSET($M$15,0,0,$B$8,1))=FZ$13), 1*(_xlfn._xlws.FILTER(OFFSET($O$15,0,$DO22,$B$8,1),OFFSET($M$15,0,0,$B$8,1))=FZ$14))   /   SUM(OFFSET($BO$15,0,0,$B$14,1)) + $B$18/($B$19*$B$19*($DN22&lt;&gt;$DO22) + $B$19*($DN22=$DO22))</f>
        <v>3.7037037037037035E-4</v>
      </c>
      <c r="GA22" s="10" cm="1">
        <f t="array" aca="1" ref="GA22" ca="1">(1-$B$18)*SUMPRODUCT(OFFSET($BO$15,0,0,$B$14,1), 1*(_xlfn._xlws.FILTER(OFFSET($O$15,0,$DN22,$B$8,1),OFFSET($M$15,0,0,$B$8,1))=GA$13), 1*(_xlfn._xlws.FILTER(OFFSET($O$15,0,$DO22,$B$8,1),OFFSET($M$15,0,0,$B$8,1))=GA$14))   /   SUM(OFFSET($BO$15,0,0,$B$14,1)) + $B$18/($B$19*$B$19*($DN22&lt;&gt;$DO22) + $B$19*($DN22=$DO22))</f>
        <v>3.7037037037037035E-4</v>
      </c>
    </row>
    <row r="23" spans="1:183" x14ac:dyDescent="0.2">
      <c r="D23" s="10">
        <f ca="1"/>
        <v>8</v>
      </c>
      <c r="F23" s="10">
        <f ca="1"/>
        <v>0.1</v>
      </c>
      <c r="H23" s="10">
        <f ca="1"/>
        <v>8</v>
      </c>
      <c r="J23" cm="1">
        <f t="array" aca="1" ref="J23" ca="1">SUMPRODUCT((O23:AJ23=$O$11:$AJ$11)*(O$13:AJ$13=TRUE))  / COUNTIF(O$13:AJ$13,TRUE)</f>
        <v>1</v>
      </c>
      <c r="K23" t="b">
        <f t="shared" ca="1" si="4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5"/>
        <v>1</v>
      </c>
      <c r="N23" s="2">
        <v>8</v>
      </c>
      <c r="O23" s="12" t="s">
        <v>11</v>
      </c>
      <c r="P23" s="9" t="s">
        <v>11</v>
      </c>
      <c r="Q23" s="9" t="s">
        <v>11</v>
      </c>
      <c r="R23" s="9" t="s">
        <v>11</v>
      </c>
      <c r="S23" s="9" t="s">
        <v>11</v>
      </c>
      <c r="T23" s="12" t="s">
        <v>11</v>
      </c>
      <c r="U23" s="9" t="s">
        <v>11</v>
      </c>
      <c r="V23" s="9" t="s">
        <v>11</v>
      </c>
      <c r="W23" s="9" t="s">
        <v>11</v>
      </c>
      <c r="X23" s="9" t="s">
        <v>11</v>
      </c>
      <c r="Y23" s="12" t="s">
        <v>0</v>
      </c>
      <c r="Z23" s="9" t="s">
        <v>0</v>
      </c>
      <c r="AA23" s="9" t="s">
        <v>1</v>
      </c>
      <c r="AB23" s="9" t="s">
        <v>1</v>
      </c>
      <c r="AC23" s="9" t="s">
        <v>2</v>
      </c>
      <c r="AD23" s="12" t="s">
        <v>2</v>
      </c>
      <c r="AE23" s="9" t="s">
        <v>5</v>
      </c>
      <c r="AF23" s="9" t="s">
        <v>5</v>
      </c>
      <c r="AG23" s="9" t="s">
        <v>3</v>
      </c>
      <c r="AH23" s="9" t="s">
        <v>3</v>
      </c>
      <c r="AI23" s="12" t="s">
        <v>4</v>
      </c>
      <c r="AJ23" s="9" t="s">
        <v>4</v>
      </c>
      <c r="AK23" s="7"/>
      <c r="AN23">
        <f t="shared" ca="1" si="6"/>
        <v>7</v>
      </c>
      <c r="AO23" s="14">
        <f t="shared" ca="1" si="7"/>
        <v>0.14285714285714285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
) / $B$13)</f>
        <v>0.9</v>
      </c>
      <c r="AR23" cm="1">
        <f t="array" aca="1" ref="AR23" ca="1">IF($AP23=AR$14, 1, SUMPRODUCT(
    --(OFFSET($O$13,0,0,1,$B$9)=TRUE),
    --(INDEX(OFFSET($O$15,0,0,$B$8,$B$9), 1+$AP23, 0) = INDEX(OFFSET($O$15,0,0,$B$8,$B$9), 1+AR$14, 0))
) / $B$13)</f>
        <v>1</v>
      </c>
      <c r="AS23" cm="1">
        <f t="array" aca="1" ref="AS23" ca="1">IF($AP23=AS$14, 1, SUMPRODUCT(
    --(OFFSET($O$13,0,0,1,$B$9)=TRUE),
    --(INDEX(OFFSET($O$15,0,0,$B$8,$B$9), 1+$AP23, 0) = INDEX(OFFSET($O$15,0,0,$B$8,$B$9), 1+AS$14, 0))
) / $B$13)</f>
        <v>0.9</v>
      </c>
      <c r="AT23" cm="1">
        <f t="array" aca="1" ref="AT23" ca="1">IF($AP23=AT$14, 1, SUMPRODUCT(
    --(OFFSET($O$13,0,0,1,$B$9)=TRUE),
    --(INDEX(OFFSET($O$15,0,0,$B$8,$B$9), 1+$AP23, 0) = INDEX(OFFSET($O$15,0,0,$B$8,$B$9), 1+AT$14, 0))
) / $B$13)</f>
        <v>0.9</v>
      </c>
      <c r="AU23" cm="1">
        <f t="array" aca="1" ref="AU23" ca="1">IF($AP23=AU$14, 1, SUMPRODUCT(
    --(OFFSET($O$13,0,0,1,$B$9)=TRUE),
    --(INDEX(OFFSET($O$15,0,0,$B$8,$B$9), 1+$AP23, 0) = INDEX(OFFSET($O$15,0,0,$B$8,$B$9), 1+AU$14, 0))
) / $B$13)</f>
        <v>0.9</v>
      </c>
      <c r="AV23" cm="1">
        <f t="array" aca="1" ref="AV23" ca="1">IF($AP23=AV$14, 1, SUMPRODUCT(
    --(OFFSET($O$13,0,0,1,$B$9)=TRUE),
    --(INDEX(OFFSET($O$15,0,0,$B$8,$B$9), 1+$AP23, 0) = INDEX(OFFSET($O$15,0,0,$B$8,$B$9), 1+AV$14, 0))
) / $B$13)</f>
        <v>1</v>
      </c>
      <c r="AW23" cm="1">
        <f t="array" aca="1" ref="AW23" ca="1">IF($AP23=AW$14, 1, SUMPRODUCT(
    --(OFFSET($O$13,0,0,1,$B$9)=TRUE),
    --(INDEX(OFFSET($O$15,0,0,$B$8,$B$9), 1+$AP23, 0) = INDEX(OFFSET($O$15,0,0,$B$8,$B$9), 1+AW$14, 0))
) / $B$13)</f>
        <v>0.85</v>
      </c>
      <c r="AX23" cm="1">
        <f t="array" aca="1" ref="AX23" ca="1">IF($AP23=AX$14, 1, SUMPRODUCT(
    --(OFFSET($O$13,0,0,1,$B$9)=TRUE),
    --(INDEX(OFFSET($O$15,0,0,$B$8,$B$9), 1+$AP23, 0) = INDEX(OFFSET($O$15,0,0,$B$8,$B$9), 1+AX$14, 0))
) / $B$13)</f>
        <v>0.85</v>
      </c>
      <c r="AY23" cm="1">
        <f t="array" aca="1" ref="AY23" ca="1">IF($AP23=AY$14, 1, SUMPRODUCT(
    --(OFFSET($O$13,0,0,1,$B$9)=TRUE),
    --(INDEX(OFFSET($O$15,0,0,$B$8,$B$9), 1+$AP23, 0) = INDEX(OFFSET($O$15,0,0,$B$8,$B$9), 1+AY$14, 0))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
) / $B$13)</f>
        <v>1</v>
      </c>
      <c r="BA23" cm="1">
        <f t="array" aca="1" ref="BA23" ca="1">IF($AP23=BA$14, 1, SUMPRODUCT(
    --(OFFSET($O$13,0,0,1,$B$9)=TRUE),
    --(INDEX(OFFSET($O$15,0,0,$B$8,$B$9), 1+$AP23, 0) = INDEX(OFFSET($O$15,0,0,$B$8,$B$9), 1+BA$14, 0))
) / $B$13)</f>
        <v>1</v>
      </c>
      <c r="BB23" cm="1">
        <f t="array" aca="1" ref="BB23" ca="1">IF($AP23=BB$14, 1, SUMPRODUCT(
    --(OFFSET($O$13,0,0,1,$B$9)=TRUE),
    --(INDEX(OFFSET($O$15,0,0,$B$8,$B$9), 1+$AP23, 0) = INDEX(OFFSET($O$15,0,0,$B$8,$B$9), 1+BB$14, 0))
) / $B$13)</f>
        <v>1</v>
      </c>
      <c r="BC23" cm="1">
        <f t="array" aca="1" ref="BC23" ca="1">IF($AP23=BC$14, 1, SUMPRODUCT(
    --(OFFSET($O$13,0,0,1,$B$9)=TRUE),
    --(INDEX(OFFSET($O$15,0,0,$B$8,$B$9), 1+$AP23, 0) = INDEX(OFFSET($O$15,0,0,$B$8,$B$9), 1+BC$14, 0))
) / $B$13)</f>
        <v>1</v>
      </c>
      <c r="BD23" cm="1">
        <f t="array" aca="1" ref="BD23" ca="1">IF($AP23=BD$14, 1, SUMPRODUCT(
    --(OFFSET($O$13,0,0,1,$B$9)=TRUE),
    --(INDEX(OFFSET($O$15,0,0,$B$8,$B$9), 1+$AP23, 0) = INDEX(OFFSET($O$15,0,0,$B$8,$B$9), 1+BD$14, 0))
) / $B$13)</f>
        <v>0.95</v>
      </c>
      <c r="BE23" cm="1">
        <f t="array" aca="1" ref="BE23" ca="1">IF($AP23=BE$14, 1, SUMPRODUCT(
    --(OFFSET($O$13,0,0,1,$B$9)=TRUE),
    --(INDEX(OFFSET($O$15,0,0,$B$8,$B$9), 1+$AP23, 0) = INDEX(OFFSET($O$15,0,0,$B$8,$B$9), 1+BE$14, 0))
) / $B$13)</f>
        <v>0.8</v>
      </c>
      <c r="BF23" cm="1">
        <f t="array" aca="1" ref="BF23" ca="1">IF($AP23=BF$14, 1, SUMPRODUCT(
    --(OFFSET($O$13,0,0,1,$B$9)=TRUE),
    --(INDEX(OFFSET($O$15,0,0,$B$8,$B$9), 1+$AP23, 0) = INDEX(OFFSET($O$15,0,0,$B$8,$B$9), 1+BF$14, 0))
) / $B$13)</f>
        <v>0.8</v>
      </c>
      <c r="BG23" cm="1">
        <f t="array" aca="1" ref="BG23" ca="1">IF($AP23=BG$14, 1, SUMPRODUCT(
    --(OFFSET($O$13,0,0,1,$B$9)=TRUE),
    --(INDEX(OFFSET($O$15,0,0,$B$8,$B$9), 1+$AP23, 0) = INDEX(OFFSET($O$15,0,0,$B$8,$B$9), 1+BG$14, 0))
) / $B$13)</f>
        <v>0.95</v>
      </c>
      <c r="BH23" cm="1">
        <f t="array" aca="1" ref="BH23" ca="1">IF($AP23=BH$14, 1, SUMPRODUCT(
    --(OFFSET($O$13,0,0,1,$B$9)=TRUE),
    --(INDEX(OFFSET($O$15,0,0,$B$8,$B$9), 1+$AP23, 0) = INDEX(OFFSET($O$15,0,0,$B$8,$B$9), 1+BH$14, 0))
) / $B$13)</f>
        <v>0.8</v>
      </c>
      <c r="BI23" cm="1">
        <f t="array" aca="1" ref="BI23" ca="1">IF($AP23=BI$14, 1, SUMPRODUCT(
    --(OFFSET($O$13,0,0,1,$B$9)=TRUE),
    --(INDEX(OFFSET($O$15,0,0,$B$8,$B$9), 1+$AP23, 0) = INDEX(OFFSET($O$15,0,0,$B$8,$B$9), 1+BI$14, 0))
) / $B$13)</f>
        <v>0.95</v>
      </c>
      <c r="BJ23" cm="1">
        <f t="array" aca="1" ref="BJ23" ca="1">IF($AP23=BJ$14, 1, SUMPRODUCT(
    --(OFFSET($O$13,0,0,1,$B$9)=TRUE),
    --(INDEX(OFFSET($O$15,0,0,$B$8,$B$9), 1+$AP23, 0) = INDEX(OFFSET($O$15,0,0,$B$8,$B$9), 1+BJ$14, 0))
) / $B$13)</f>
        <v>0.85</v>
      </c>
      <c r="BN23">
        <f t="shared" ca="1" si="8"/>
        <v>10</v>
      </c>
      <c r="BO23" s="14">
        <f t="shared" ca="1" si="9"/>
        <v>0.1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
) / $B$16)</f>
        <v>0.89473684210526316</v>
      </c>
      <c r="BR23" cm="1">
        <f t="array" aca="1" ref="BR23" ca="1">IF($BP23=BR$14, 1, SUMPRODUCT(
    --(OFFSET($O$9,0,0,1,$B$9)=TRUE),
    --(INDEX(OFFSET($O$15,0,0,$B$8,$B$9), 1+$BP23, 0) = INDEX(OFFSET($O$15,0,0,$B$8,$B$9), 1+BR$14, 0))
) / $B$16)</f>
        <v>1</v>
      </c>
      <c r="BS23" cm="1">
        <f t="array" aca="1" ref="BS23" ca="1">IF($BP23=BS$14, 1, SUMPRODUCT(
    --(OFFSET($O$9,0,0,1,$B$9)=TRUE),
    --(INDEX(OFFSET($O$15,0,0,$B$8,$B$9), 1+$BP23, 0) = INDEX(OFFSET($O$15,0,0,$B$8,$B$9), 1+BS$14, 0))
) / $B$16)</f>
        <v>0.89473684210526316</v>
      </c>
      <c r="BT23" cm="1">
        <f t="array" aca="1" ref="BT23" ca="1">IF($BP23=BT$14, 1, SUMPRODUCT(
    --(OFFSET($O$9,0,0,1,$B$9)=TRUE),
    --(INDEX(OFFSET($O$15,0,0,$B$8,$B$9), 1+$BP23, 0) = INDEX(OFFSET($O$15,0,0,$B$8,$B$9), 1+BT$14, 0))
) / $B$16)</f>
        <v>0.89473684210526316</v>
      </c>
      <c r="BU23" cm="1">
        <f t="array" aca="1" ref="BU23" ca="1">IF($BP23=BU$14, 1, SUMPRODUCT(
    --(OFFSET($O$9,0,0,1,$B$9)=TRUE),
    --(INDEX(OFFSET($O$15,0,0,$B$8,$B$9), 1+$BP23, 0) = INDEX(OFFSET($O$15,0,0,$B$8,$B$9), 1+BU$14, 0))
) / $B$16)</f>
        <v>0.89473684210526316</v>
      </c>
      <c r="BV23" cm="1">
        <f t="array" aca="1" ref="BV23" ca="1">IF($BP23=BV$14, 1, SUMPRODUCT(
    --(OFFSET($O$9,0,0,1,$B$9)=TRUE),
    --(INDEX(OFFSET($O$15,0,0,$B$8,$B$9), 1+$BP23, 0) = INDEX(OFFSET($O$15,0,0,$B$8,$B$9), 1+BV$14, 0))
) / $B$16)</f>
        <v>1</v>
      </c>
      <c r="BW23" cm="1">
        <f t="array" aca="1" ref="BW23" ca="1">IF($BP23=BW$14, 1, SUMPRODUCT(
    --(OFFSET($O$9,0,0,1,$B$9)=TRUE),
    --(INDEX(OFFSET($O$15,0,0,$B$8,$B$9), 1+$BP23, 0) = INDEX(OFFSET($O$15,0,0,$B$8,$B$9), 1+BW$14, 0))
) / $B$16)</f>
        <v>0.84210526315789469</v>
      </c>
      <c r="BX23" cm="1">
        <f t="array" aca="1" ref="BX23" ca="1">IF($BP23=BX$14, 1, SUMPRODUCT(
    --(OFFSET($O$9,0,0,1,$B$9)=TRUE),
    --(INDEX(OFFSET($O$15,0,0,$B$8,$B$9), 1+$BP23, 0) = INDEX(OFFSET($O$15,0,0,$B$8,$B$9), 1+BX$14, 0))
) / $B$16)</f>
        <v>0.84210526315789469</v>
      </c>
      <c r="BY23" cm="1">
        <f t="array" aca="1" ref="BY23" ca="1">IF($BP23=BY$14, 1, SUMPRODUCT(
    --(OFFSET($O$9,0,0,1,$B$9)=TRUE),
    --(INDEX(OFFSET($O$15,0,0,$B$8,$B$9), 1+$BP23, 0) = INDEX(OFFSET($O$15,0,0,$B$8,$B$9), 1+BY$14, 0))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
) / $B$16)</f>
        <v>1</v>
      </c>
      <c r="CA23" cm="1">
        <f t="array" aca="1" ref="CA23" ca="1">IF($BP23=CA$14, 1, SUMPRODUCT(
    --(OFFSET($O$9,0,0,1,$B$9)=TRUE),
    --(INDEX(OFFSET($O$15,0,0,$B$8,$B$9), 1+$BP23, 0) = INDEX(OFFSET($O$15,0,0,$B$8,$B$9), 1+CA$14, 0))
) / $B$16)</f>
        <v>1</v>
      </c>
      <c r="CB23" cm="1">
        <f t="array" aca="1" ref="CB23" ca="1">IF($BP23=CB$14, 1, SUMPRODUCT(
    --(OFFSET($O$9,0,0,1,$B$9)=TRUE),
    --(INDEX(OFFSET($O$15,0,0,$B$8,$B$9), 1+$BP23, 0) = INDEX(OFFSET($O$15,0,0,$B$8,$B$9), 1+CB$14, 0))
) / $B$16)</f>
        <v>1</v>
      </c>
      <c r="CC23" cm="1">
        <f t="array" aca="1" ref="CC23" ca="1">IF($BP23=CC$14, 1, SUMPRODUCT(
    --(OFFSET($O$9,0,0,1,$B$9)=TRUE),
    --(INDEX(OFFSET($O$15,0,0,$B$8,$B$9), 1+$BP23, 0) = INDEX(OFFSET($O$15,0,0,$B$8,$B$9), 1+CC$14, 0))
) / $B$16)</f>
        <v>1</v>
      </c>
      <c r="CD23" cm="1">
        <f t="array" aca="1" ref="CD23" ca="1">IF($BP23=CD$14, 1, SUMPRODUCT(
    --(OFFSET($O$9,0,0,1,$B$9)=TRUE),
    --(INDEX(OFFSET($O$15,0,0,$B$8,$B$9), 1+$BP23, 0) = INDEX(OFFSET($O$15,0,0,$B$8,$B$9), 1+CD$14, 0))
) / $B$16)</f>
        <v>1</v>
      </c>
      <c r="CE23" cm="1">
        <f t="array" aca="1" ref="CE23" ca="1">IF($BP23=CE$14, 1, SUMPRODUCT(
    --(OFFSET($O$9,0,0,1,$B$9)=TRUE),
    --(INDEX(OFFSET($O$15,0,0,$B$8,$B$9), 1+$BP23, 0) = INDEX(OFFSET($O$15,0,0,$B$8,$B$9), 1+CE$14, 0))
) / $B$16)</f>
        <v>0.84210526315789469</v>
      </c>
      <c r="CF23" cm="1">
        <f t="array" aca="1" ref="CF23" ca="1">IF($BP23=CF$14, 1, SUMPRODUCT(
    --(OFFSET($O$9,0,0,1,$B$9)=TRUE),
    --(INDEX(OFFSET($O$15,0,0,$B$8,$B$9), 1+$BP23, 0) = INDEX(OFFSET($O$15,0,0,$B$8,$B$9), 1+CF$14, 0))
) / $B$16)</f>
        <v>0.84210526315789469</v>
      </c>
      <c r="CG23" cm="1">
        <f t="array" aca="1" ref="CG23" ca="1">IF($BP23=CG$14, 1, SUMPRODUCT(
    --(OFFSET($O$9,0,0,1,$B$9)=TRUE),
    --(INDEX(OFFSET($O$15,0,0,$B$8,$B$9), 1+$BP23, 0) = INDEX(OFFSET($O$15,0,0,$B$8,$B$9), 1+CG$14, 0))
) / $B$16)</f>
        <v>1</v>
      </c>
      <c r="CH23" cm="1">
        <f t="array" aca="1" ref="CH23" ca="1">IF($BP23=CH$14, 1, SUMPRODUCT(
    --(OFFSET($O$9,0,0,1,$B$9)=TRUE),
    --(INDEX(OFFSET($O$15,0,0,$B$8,$B$9), 1+$BP23, 0) = INDEX(OFFSET($O$15,0,0,$B$8,$B$9), 1+CH$14, 0))
) / $B$16)</f>
        <v>0.84210526315789469</v>
      </c>
      <c r="CI23" cm="1">
        <f t="array" aca="1" ref="CI23" ca="1">IF($BP23=CI$14, 1, SUMPRODUCT(
    --(OFFSET($O$9,0,0,1,$B$9)=TRUE),
    --(INDEX(OFFSET($O$15,0,0,$B$8,$B$9), 1+$BP23, 0) = INDEX(OFFSET($O$15,0,0,$B$8,$B$9), 1+CI$14, 0))
) / $B$16)</f>
        <v>1</v>
      </c>
      <c r="CJ23" cm="1">
        <f t="array" aca="1" ref="CJ23" ca="1">IF($BP23=CJ$14, 1, SUMPRODUCT(
    --(OFFSET($O$9,0,0,1,$B$9)=TRUE),
    --(INDEX(OFFSET($O$15,0,0,$B$8,$B$9), 1+$BP23, 0) = INDEX(OFFSET($O$15,0,0,$B$8,$B$9), 1+CJ$14, 0))
) / $B$16)</f>
        <v>0.84210526315789469</v>
      </c>
      <c r="CP23">
        <f ca="1"/>
        <v>8</v>
      </c>
      <c r="CQ23" cm="1">
        <f t="array" aca="1" ref="CQ23" ca="1">(1-$B$18)*SUMPRODUCT(OFFSET($BO$15,0,0,$B$14,1), 1*(_xlfn._xlws.FILTER(OFFSET($O$15,0,$CP23,$B$8,1), OFFSET($M$15,0,0,$B$8,1))=CQ$14))   /   SUM(OFFSET($BO$15,0,0,$B$14,1)) + $B$18/$B$19</f>
        <v>3.3333333333333331E-3</v>
      </c>
      <c r="CR23" s="10" cm="1">
        <f t="array" aca="1" ref="CR23" ca="1">(1-$B$18)*SUMPRODUCT(OFFSET($BO$15,0,0,$B$14,1), 1*(_xlfn._xlws.FILTER(OFFSET($O$15,0,$CP23,$B$8,1), OFFSET($M$15,0,0,$B$8,1))=CR$14))   /   SUM(OFFSET($BO$15,0,0,$B$14,1)) + $B$18/$B$19</f>
        <v>3.3333333333333331E-3</v>
      </c>
      <c r="CS23" s="10" cm="1">
        <f t="array" aca="1" ref="CS23" ca="1">(1-$B$18)*SUMPRODUCT(OFFSET($BO$15,0,0,$B$14,1), 1*(_xlfn._xlws.FILTER(OFFSET($O$15,0,$CP23,$B$8,1), OFFSET($M$15,0,0,$B$8,1))=CS$14))   /   SUM(OFFSET($BO$15,0,0,$B$14,1)) + $B$18/$B$19</f>
        <v>3.3333333333333331E-3</v>
      </c>
      <c r="CT23" s="10" cm="1">
        <f t="array" aca="1" ref="CT23" ca="1">(1-$B$18)*SUMPRODUCT(OFFSET($BO$15,0,0,$B$14,1), 1*(_xlfn._xlws.FILTER(OFFSET($O$15,0,$CP23,$B$8,1), OFFSET($M$15,0,0,$B$8,1))=CT$14))   /   SUM(OFFSET($BO$15,0,0,$B$14,1)) + $B$18/$B$19</f>
        <v>3.3333333333333331E-3</v>
      </c>
      <c r="CU23" s="10" cm="1">
        <f t="array" aca="1" ref="CU23" ca="1">(1-$B$18)*SUMPRODUCT(OFFSET($BO$15,0,0,$B$14,1), 1*(_xlfn._xlws.FILTER(OFFSET($O$15,0,$CP23,$B$8,1), OFFSET($M$15,0,0,$B$8,1))=CU$14))   /   SUM(OFFSET($BO$15,0,0,$B$14,1)) + $B$18/$B$19</f>
        <v>3.3333333333333331E-3</v>
      </c>
      <c r="CV23" s="10" cm="1">
        <f t="array" aca="1" ref="CV23" ca="1">(1-$B$18)*SUMPRODUCT(OFFSET($BO$15,0,0,$B$14,1), 1*(_xlfn._xlws.FILTER(OFFSET($O$15,0,$CP23,$B$8,1), OFFSET($M$15,0,0,$B$8,1))=CV$14))   /   SUM(OFFSET($BO$15,0,0,$B$14,1)) + $B$18/$B$19</f>
        <v>3.3333333333333331E-3</v>
      </c>
      <c r="CW23" s="10" cm="1">
        <f t="array" aca="1" ref="CW23" ca="1">(1-$B$18)*SUMPRODUCT(OFFSET($BO$15,0,0,$B$14,1), 1*(_xlfn._xlws.FILTER(OFFSET($O$15,0,$CP23,$B$8,1), OFFSET($M$15,0,0,$B$8,1))=CW$14))   /   SUM(OFFSET($BO$15,0,0,$B$14,1)) + $B$18/$B$19</f>
        <v>3.3333333333333331E-3</v>
      </c>
      <c r="CX23" s="10" cm="1">
        <f t="array" aca="1" ref="CX23" ca="1">(1-$B$18)*SUMPRODUCT(OFFSET($BO$15,0,0,$B$14,1), 1*(_xlfn._xlws.FILTER(OFFSET($O$15,0,$CP23,$B$8,1), OFFSET($M$15,0,0,$B$8,1))=CX$14))   /   SUM(OFFSET($BO$15,0,0,$B$14,1)) + $B$18/$B$19</f>
        <v>0.97333333333333327</v>
      </c>
      <c r="CY23" s="10" cm="1">
        <f t="array" aca="1" ref="CY23" ca="1">(1-$B$18)*SUMPRODUCT(OFFSET($BO$15,0,0,$B$14,1), 1*(_xlfn._xlws.FILTER(OFFSET($O$15,0,$CP23,$B$8,1), OFFSET($M$15,0,0,$B$8,1))=CY$14))   /   SUM(OFFSET($BO$15,0,0,$B$14,1)) + $B$18/$B$19</f>
        <v>3.3333333333333331E-3</v>
      </c>
      <c r="DB23" s="10" cm="1">
        <f t="array" aca="1" ref="DB23" ca="1">SUM(OFFSET($CR23,0,0,1,$M$2)*LN(OFFSET($CR23,0,0,1,$M$2)/OFFSET($CR$11,0,0,1,$M$2)))+IF($CQ$11&gt;0,OFFSET($O$10,0,$CP23,1,1)*LN(OFFSET($O$10,0,$CP23,1,1)/$CQ$11),0)</f>
        <v>1.9131139043413501</v>
      </c>
      <c r="DC23">
        <f ca="1"/>
        <v>8</v>
      </c>
      <c r="DD23" s="10">
        <f t="shared" ca="1" si="11"/>
        <v>0.11767737994455678</v>
      </c>
      <c r="DE23" s="10">
        <f t="shared" ca="1" si="10"/>
        <v>0.11767737994455678</v>
      </c>
      <c r="DF23" s="10">
        <f t="shared" ca="1" si="10"/>
        <v>0.11767737994455678</v>
      </c>
      <c r="DG23" s="10">
        <f t="shared" ca="1" si="10"/>
        <v>0.11767737994455678</v>
      </c>
      <c r="DH23" s="10">
        <f t="shared" ca="1" si="10"/>
        <v>0.11767737994455678</v>
      </c>
      <c r="DI23" s="10">
        <f t="shared" ca="1" si="10"/>
        <v>0.11767737994455678</v>
      </c>
      <c r="DJ23" s="10">
        <f t="shared" ca="1" si="10"/>
        <v>1.9045936050347492</v>
      </c>
      <c r="DK23" s="10">
        <f t="shared" ca="1" si="10"/>
        <v>0.11767737994455678</v>
      </c>
      <c r="DN23" cm="1">
        <f t="array" aca="1" ref="DN23" ca="1">INDEX(_xlfn.ANCHORARRAY($CP$15), 1 + INT((ROWS($DO$15:$DO23) - 1) / ROWS(_xlfn.ANCHORARRAY($CP$15))))</f>
        <v>0</v>
      </c>
      <c r="DO23" cm="1">
        <f t="array" aca="1" ref="DO23" ca="1">INDEX(_xlfn.ANCHORARRAY($CP$15),1+MOD(ROWS($DO$15:$DO23)-1,ROWS(_xlfn.ANCHORARRAY($CP$15))))</f>
        <v>8</v>
      </c>
      <c r="DP23" s="10" cm="1">
        <f t="array" aca="1" ref="DP23" ca="1">(1-$B$18)*SUMPRODUCT(OFFSET($BO$15,0,0,$B$14,1), 1*(_xlfn._xlws.FILTER(OFFSET($O$15,0,$DN23,$B$8,1),OFFSET($M$15,0,0,$B$8,1))=DP$13), 1*(_xlfn._xlws.FILTER(OFFSET($O$15,0,$DO23,$B$8,1),OFFSET($M$15,0,0,$B$8,1))=DP$14))   /   SUM(OFFSET($BO$15,0,0,$B$14,1)) + $B$18/($B$19*$B$19*($DN23&lt;&gt;$DO23) + $B$19*($DN23=$DO23))</f>
        <v>3.7037037037037035E-4</v>
      </c>
      <c r="DQ23" s="10" cm="1">
        <f t="array" aca="1" ref="DQ23" ca="1">(1-$B$18)*SUMPRODUCT(OFFSET($BO$15,0,0,$B$14,1), 1*(_xlfn._xlws.FILTER(OFFSET($O$15,0,$DN23,$B$8,1),OFFSET($M$15,0,0,$B$8,1))=DQ$13), 1*(_xlfn._xlws.FILTER(OFFSET($O$15,0,$DO23,$B$8,1),OFFSET($M$15,0,0,$B$8,1))=DQ$14))   /   SUM(OFFSET($BO$15,0,0,$B$14,1)) + $B$18/($B$19*$B$19*($DN23&lt;&gt;$DO23) + $B$19*($DN23=$DO23))</f>
        <v>3.7037037037037035E-4</v>
      </c>
      <c r="DR23" s="10" cm="1">
        <f t="array" aca="1" ref="DR23" ca="1">(1-$B$18)*SUMPRODUCT(OFFSET($BO$15,0,0,$B$14,1), 1*(_xlfn._xlws.FILTER(OFFSET($O$15,0,$DN23,$B$8,1),OFFSET($M$15,0,0,$B$8,1))=DR$13), 1*(_xlfn._xlws.FILTER(OFFSET($O$15,0,$DO23,$B$8,1),OFFSET($M$15,0,0,$B$8,1))=DR$14))   /   SUM(OFFSET($BO$15,0,0,$B$14,1)) + $B$18/($B$19*$B$19*($DN23&lt;&gt;$DO23) + $B$19*($DN23=$DO23))</f>
        <v>3.7037037037037035E-4</v>
      </c>
      <c r="DS23" s="10" cm="1">
        <f t="array" aca="1" ref="DS23" ca="1">(1-$B$18)*SUMPRODUCT(OFFSET($BO$15,0,0,$B$14,1), 1*(_xlfn._xlws.FILTER(OFFSET($O$15,0,$DN23,$B$8,1),OFFSET($M$15,0,0,$B$8,1))=DS$13), 1*(_xlfn._xlws.FILTER(OFFSET($O$15,0,$DO23,$B$8,1),OFFSET($M$15,0,0,$B$8,1))=DS$14))   /   SUM(OFFSET($BO$15,0,0,$B$14,1)) + $B$18/($B$19*$B$19*($DN23&lt;&gt;$DO23) + $B$19*($DN23=$DO23))</f>
        <v>3.7037037037037035E-4</v>
      </c>
      <c r="DT23" s="10" cm="1">
        <f t="array" aca="1" ref="DT23" ca="1">(1-$B$18)*SUMPRODUCT(OFFSET($BO$15,0,0,$B$14,1), 1*(_xlfn._xlws.FILTER(OFFSET($O$15,0,$DN23,$B$8,1),OFFSET($M$15,0,0,$B$8,1))=DT$13), 1*(_xlfn._xlws.FILTER(OFFSET($O$15,0,$DO23,$B$8,1),OFFSET($M$15,0,0,$B$8,1))=DT$14))   /   SUM(OFFSET($BO$15,0,0,$B$14,1)) + $B$18/($B$19*$B$19*($DN23&lt;&gt;$DO23) + $B$19*($DN23=$DO23))</f>
        <v>3.7037037037037035E-4</v>
      </c>
      <c r="DU23" s="10" cm="1">
        <f t="array" aca="1" ref="DU23" ca="1">(1-$B$18)*SUMPRODUCT(OFFSET($BO$15,0,0,$B$14,1), 1*(_xlfn._xlws.FILTER(OFFSET($O$15,0,$DN23,$B$8,1),OFFSET($M$15,0,0,$B$8,1))=DU$13), 1*(_xlfn._xlws.FILTER(OFFSET($O$15,0,$DO23,$B$8,1),OFFSET($M$15,0,0,$B$8,1))=DU$14))   /   SUM(OFFSET($BO$15,0,0,$B$14,1)) + $B$18/($B$19*$B$19*($DN23&lt;&gt;$DO23) + $B$19*($DN23=$DO23))</f>
        <v>3.7037037037037035E-4</v>
      </c>
      <c r="DV23" s="10" cm="1">
        <f t="array" aca="1" ref="DV23" ca="1">(1-$B$18)*SUMPRODUCT(OFFSET($BO$15,0,0,$B$14,1), 1*(_xlfn._xlws.FILTER(OFFSET($O$15,0,$DN23,$B$8,1),OFFSET($M$15,0,0,$B$8,1))=DV$13), 1*(_xlfn._xlws.FILTER(OFFSET($O$15,0,$DO23,$B$8,1),OFFSET($M$15,0,0,$B$8,1))=DV$14))   /   SUM(OFFSET($BO$15,0,0,$B$14,1)) + $B$18/($B$19*$B$19*($DN23&lt;&gt;$DO23) + $B$19*($DN23=$DO23))</f>
        <v>3.7037037037037035E-4</v>
      </c>
      <c r="DW23" s="10" cm="1">
        <f t="array" aca="1" ref="DW23" ca="1">(1-$B$18)*SUMPRODUCT(OFFSET($BO$15,0,0,$B$14,1), 1*(_xlfn._xlws.FILTER(OFFSET($O$15,0,$DN23,$B$8,1),OFFSET($M$15,0,0,$B$8,1))=DW$13), 1*(_xlfn._xlws.FILTER(OFFSET($O$15,0,$DO23,$B$8,1),OFFSET($M$15,0,0,$B$8,1))=DW$14))   /   SUM(OFFSET($BO$15,0,0,$B$14,1)) + $B$18/($B$19*$B$19*($DN23&lt;&gt;$DO23) + $B$19*($DN23=$DO23))</f>
        <v>3.7037037037037035E-4</v>
      </c>
      <c r="DX23" s="10" cm="1">
        <f t="array" aca="1" ref="DX23" ca="1">(1-$B$18)*SUMPRODUCT(OFFSET($BO$15,0,0,$B$14,1), 1*(_xlfn._xlws.FILTER(OFFSET($O$15,0,$DN23,$B$8,1),OFFSET($M$15,0,0,$B$8,1))=DX$13), 1*(_xlfn._xlws.FILTER(OFFSET($O$15,0,$DO23,$B$8,1),OFFSET($M$15,0,0,$B$8,1))=DX$14))   /   SUM(OFFSET($BO$15,0,0,$B$14,1)) + $B$18/($B$19*$B$19*($DN23&lt;&gt;$DO23) + $B$19*($DN23=$DO23))</f>
        <v>3.7037037037037035E-4</v>
      </c>
      <c r="DY23" s="10" cm="1">
        <f t="array" aca="1" ref="DY23" ca="1">(1-$B$18)*SUMPRODUCT(OFFSET($BO$15,0,0,$B$14,1), 1*(_xlfn._xlws.FILTER(OFFSET($O$15,0,$DN23,$B$8,1),OFFSET($M$15,0,0,$B$8,1))=DY$13), 1*(_xlfn._xlws.FILTER(OFFSET($O$15,0,$DO23,$B$8,1),OFFSET($M$15,0,0,$B$8,1))=DY$14))   /   SUM(OFFSET($BO$15,0,0,$B$14,1)) + $B$18/($B$19*$B$19*($DN23&lt;&gt;$DO23) + $B$19*($DN23=$DO23))</f>
        <v>3.7037037037037035E-4</v>
      </c>
      <c r="DZ23" s="10" cm="1">
        <f t="array" aca="1" ref="DZ23" ca="1">(1-$B$18)*SUMPRODUCT(OFFSET($BO$15,0,0,$B$14,1), 1*(_xlfn._xlws.FILTER(OFFSET($O$15,0,$DN23,$B$8,1),OFFSET($M$15,0,0,$B$8,1))=DZ$13), 1*(_xlfn._xlws.FILTER(OFFSET($O$15,0,$DO23,$B$8,1),OFFSET($M$15,0,0,$B$8,1))=DZ$14))   /   SUM(OFFSET($BO$15,0,0,$B$14,1)) + $B$18/($B$19*$B$19*($DN23&lt;&gt;$DO23) + $B$19*($DN23=$DO23))</f>
        <v>3.7037037037037035E-4</v>
      </c>
      <c r="EA23" s="10" cm="1">
        <f t="array" aca="1" ref="EA23" ca="1">(1-$B$18)*SUMPRODUCT(OFFSET($BO$15,0,0,$B$14,1), 1*(_xlfn._xlws.FILTER(OFFSET($O$15,0,$DN23,$B$8,1),OFFSET($M$15,0,0,$B$8,1))=EA$13), 1*(_xlfn._xlws.FILTER(OFFSET($O$15,0,$DO23,$B$8,1),OFFSET($M$15,0,0,$B$8,1))=EA$14))   /   SUM(OFFSET($BO$15,0,0,$B$14,1)) + $B$18/($B$19*$B$19*($DN23&lt;&gt;$DO23) + $B$19*($DN23=$DO23))</f>
        <v>3.7037037037037035E-4</v>
      </c>
      <c r="EB23" s="10" cm="1">
        <f t="array" aca="1" ref="EB23" ca="1">(1-$B$18)*SUMPRODUCT(OFFSET($BO$15,0,0,$B$14,1), 1*(_xlfn._xlws.FILTER(OFFSET($O$15,0,$DN23,$B$8,1),OFFSET($M$15,0,0,$B$8,1))=EB$13), 1*(_xlfn._xlws.FILTER(OFFSET($O$15,0,$DO23,$B$8,1),OFFSET($M$15,0,0,$B$8,1))=EB$14))   /   SUM(OFFSET($BO$15,0,0,$B$14,1)) + $B$18/($B$19*$B$19*($DN23&lt;&gt;$DO23) + $B$19*($DN23=$DO23))</f>
        <v>3.7037037037037035E-4</v>
      </c>
      <c r="EC23" s="10" cm="1">
        <f t="array" aca="1" ref="EC23" ca="1">(1-$B$18)*SUMPRODUCT(OFFSET($BO$15,0,0,$B$14,1), 1*(_xlfn._xlws.FILTER(OFFSET($O$15,0,$DN23,$B$8,1),OFFSET($M$15,0,0,$B$8,1))=EC$13), 1*(_xlfn._xlws.FILTER(OFFSET($O$15,0,$DO23,$B$8,1),OFFSET($M$15,0,0,$B$8,1))=EC$14))   /   SUM(OFFSET($BO$15,0,0,$B$14,1)) + $B$18/($B$19*$B$19*($DN23&lt;&gt;$DO23) + $B$19*($DN23=$DO23))</f>
        <v>3.7037037037037035E-4</v>
      </c>
      <c r="ED23" s="10" cm="1">
        <f t="array" aca="1" ref="ED23" ca="1">(1-$B$18)*SUMPRODUCT(OFFSET($BO$15,0,0,$B$14,1), 1*(_xlfn._xlws.FILTER(OFFSET($O$15,0,$DN23,$B$8,1),OFFSET($M$15,0,0,$B$8,1))=ED$13), 1*(_xlfn._xlws.FILTER(OFFSET($O$15,0,$DO23,$B$8,1),OFFSET($M$15,0,0,$B$8,1))=ED$14))   /   SUM(OFFSET($BO$15,0,0,$B$14,1)) + $B$18/($B$19*$B$19*($DN23&lt;&gt;$DO23) + $B$19*($DN23=$DO23))</f>
        <v>3.7037037037037035E-4</v>
      </c>
      <c r="EE23" s="10" cm="1">
        <f t="array" aca="1" ref="EE23" ca="1">(1-$B$18)*SUMPRODUCT(OFFSET($BO$15,0,0,$B$14,1), 1*(_xlfn._xlws.FILTER(OFFSET($O$15,0,$DN23,$B$8,1),OFFSET($M$15,0,0,$B$8,1))=EE$13), 1*(_xlfn._xlws.FILTER(OFFSET($O$15,0,$DO23,$B$8,1),OFFSET($M$15,0,0,$B$8,1))=EE$14))   /   SUM(OFFSET($BO$15,0,0,$B$14,1)) + $B$18/($B$19*$B$19*($DN23&lt;&gt;$DO23) + $B$19*($DN23=$DO23))</f>
        <v>3.7037037037037035E-4</v>
      </c>
      <c r="EF23" s="10" cm="1">
        <f t="array" aca="1" ref="EF23" ca="1">(1-$B$18)*SUMPRODUCT(OFFSET($BO$15,0,0,$B$14,1), 1*(_xlfn._xlws.FILTER(OFFSET($O$15,0,$DN23,$B$8,1),OFFSET($M$15,0,0,$B$8,1))=EF$13), 1*(_xlfn._xlws.FILTER(OFFSET($O$15,0,$DO23,$B$8,1),OFFSET($M$15,0,0,$B$8,1))=EF$14))   /   SUM(OFFSET($BO$15,0,0,$B$14,1)) + $B$18/($B$19*$B$19*($DN23&lt;&gt;$DO23) + $B$19*($DN23=$DO23))</f>
        <v>3.7037037037037035E-4</v>
      </c>
      <c r="EG23" s="10" cm="1">
        <f t="array" aca="1" ref="EG23" ca="1">(1-$B$18)*SUMPRODUCT(OFFSET($BO$15,0,0,$B$14,1), 1*(_xlfn._xlws.FILTER(OFFSET($O$15,0,$DN23,$B$8,1),OFFSET($M$15,0,0,$B$8,1))=EG$13), 1*(_xlfn._xlws.FILTER(OFFSET($O$15,0,$DO23,$B$8,1),OFFSET($M$15,0,0,$B$8,1))=EG$14))   /   SUM(OFFSET($BO$15,0,0,$B$14,1)) + $B$18/($B$19*$B$19*($DN23&lt;&gt;$DO23) + $B$19*($DN23=$DO23))</f>
        <v>3.7037037037037035E-4</v>
      </c>
      <c r="EH23" s="10" cm="1">
        <f t="array" aca="1" ref="EH23" ca="1">(1-$B$18)*SUMPRODUCT(OFFSET($BO$15,0,0,$B$14,1), 1*(_xlfn._xlws.FILTER(OFFSET($O$15,0,$DN23,$B$8,1),OFFSET($M$15,0,0,$B$8,1))=EH$13), 1*(_xlfn._xlws.FILTER(OFFSET($O$15,0,$DO23,$B$8,1),OFFSET($M$15,0,0,$B$8,1))=EH$14))   /   SUM(OFFSET($BO$15,0,0,$B$14,1)) + $B$18/($B$19*$B$19*($DN23&lt;&gt;$DO23) + $B$19*($DN23=$DO23))</f>
        <v>3.7037037037037035E-4</v>
      </c>
      <c r="EI23" s="10" cm="1">
        <f t="array" aca="1" ref="EI23" ca="1">(1-$B$18)*SUMPRODUCT(OFFSET($BO$15,0,0,$B$14,1), 1*(_xlfn._xlws.FILTER(OFFSET($O$15,0,$DN23,$B$8,1),OFFSET($M$15,0,0,$B$8,1))=EI$13), 1*(_xlfn._xlws.FILTER(OFFSET($O$15,0,$DO23,$B$8,1),OFFSET($M$15,0,0,$B$8,1))=EI$14))   /   SUM(OFFSET($BO$15,0,0,$B$14,1)) + $B$18/($B$19*$B$19*($DN23&lt;&gt;$DO23) + $B$19*($DN23=$DO23))</f>
        <v>3.7037037037037035E-4</v>
      </c>
      <c r="EJ23" s="10" cm="1">
        <f t="array" aca="1" ref="EJ23" ca="1">(1-$B$18)*SUMPRODUCT(OFFSET($BO$15,0,0,$B$14,1), 1*(_xlfn._xlws.FILTER(OFFSET($O$15,0,$DN23,$B$8,1),OFFSET($M$15,0,0,$B$8,1))=EJ$13), 1*(_xlfn._xlws.FILTER(OFFSET($O$15,0,$DO23,$B$8,1),OFFSET($M$15,0,0,$B$8,1))=EJ$14))   /   SUM(OFFSET($BO$15,0,0,$B$14,1)) + $B$18/($B$19*$B$19*($DN23&lt;&gt;$DO23) + $B$19*($DN23=$DO23))</f>
        <v>3.7037037037037035E-4</v>
      </c>
      <c r="EK23" s="10" cm="1">
        <f t="array" aca="1" ref="EK23" ca="1">(1-$B$18)*SUMPRODUCT(OFFSET($BO$15,0,0,$B$14,1), 1*(_xlfn._xlws.FILTER(OFFSET($O$15,0,$DN23,$B$8,1),OFFSET($M$15,0,0,$B$8,1))=EK$13), 1*(_xlfn._xlws.FILTER(OFFSET($O$15,0,$DO23,$B$8,1),OFFSET($M$15,0,0,$B$8,1))=EK$14))   /   SUM(OFFSET($BO$15,0,0,$B$14,1)) + $B$18/($B$19*$B$19*($DN23&lt;&gt;$DO23) + $B$19*($DN23=$DO23))</f>
        <v>3.7037037037037035E-4</v>
      </c>
      <c r="EL23" s="10" cm="1">
        <f t="array" aca="1" ref="EL23" ca="1">(1-$B$18)*SUMPRODUCT(OFFSET($BO$15,0,0,$B$14,1), 1*(_xlfn._xlws.FILTER(OFFSET($O$15,0,$DN23,$B$8,1),OFFSET($M$15,0,0,$B$8,1))=EL$13), 1*(_xlfn._xlws.FILTER(OFFSET($O$15,0,$DO23,$B$8,1),OFFSET($M$15,0,0,$B$8,1))=EL$14))   /   SUM(OFFSET($BO$15,0,0,$B$14,1)) + $B$18/($B$19*$B$19*($DN23&lt;&gt;$DO23) + $B$19*($DN23=$DO23))</f>
        <v>3.7037037037037035E-4</v>
      </c>
      <c r="EM23" s="10" cm="1">
        <f t="array" aca="1" ref="EM23" ca="1">(1-$B$18)*SUMPRODUCT(OFFSET($BO$15,0,0,$B$14,1), 1*(_xlfn._xlws.FILTER(OFFSET($O$15,0,$DN23,$B$8,1),OFFSET($M$15,0,0,$B$8,1))=EM$13), 1*(_xlfn._xlws.FILTER(OFFSET($O$15,0,$DO23,$B$8,1),OFFSET($M$15,0,0,$B$8,1))=EM$14))   /   SUM(OFFSET($BO$15,0,0,$B$14,1)) + $B$18/($B$19*$B$19*($DN23&lt;&gt;$DO23) + $B$19*($DN23=$DO23))</f>
        <v>3.7037037037037035E-4</v>
      </c>
      <c r="EN23" s="10" cm="1">
        <f t="array" aca="1" ref="EN23" ca="1">(1-$B$18)*SUMPRODUCT(OFFSET($BO$15,0,0,$B$14,1), 1*(_xlfn._xlws.FILTER(OFFSET($O$15,0,$DN23,$B$8,1),OFFSET($M$15,0,0,$B$8,1))=EN$13), 1*(_xlfn._xlws.FILTER(OFFSET($O$15,0,$DO23,$B$8,1),OFFSET($M$15,0,0,$B$8,1))=EN$14))   /   SUM(OFFSET($BO$15,0,0,$B$14,1)) + $B$18/($B$19*$B$19*($DN23&lt;&gt;$DO23) + $B$19*($DN23=$DO23))</f>
        <v>3.7037037037037035E-4</v>
      </c>
      <c r="EO23" s="10" cm="1">
        <f t="array" aca="1" ref="EO23" ca="1">(1-$B$18)*SUMPRODUCT(OFFSET($BO$15,0,0,$B$14,1), 1*(_xlfn._xlws.FILTER(OFFSET($O$15,0,$DN23,$B$8,1),OFFSET($M$15,0,0,$B$8,1))=EO$13), 1*(_xlfn._xlws.FILTER(OFFSET($O$15,0,$DO23,$B$8,1),OFFSET($M$15,0,0,$B$8,1))=EO$14))   /   SUM(OFFSET($BO$15,0,0,$B$14,1)) + $B$18/($B$19*$B$19*($DN23&lt;&gt;$DO23) + $B$19*($DN23=$DO23))</f>
        <v>3.7037037037037035E-4</v>
      </c>
      <c r="EP23" s="10" cm="1">
        <f t="array" aca="1" ref="EP23" ca="1">(1-$B$18)*SUMPRODUCT(OFFSET($BO$15,0,0,$B$14,1), 1*(_xlfn._xlws.FILTER(OFFSET($O$15,0,$DN23,$B$8,1),OFFSET($M$15,0,0,$B$8,1))=EP$13), 1*(_xlfn._xlws.FILTER(OFFSET($O$15,0,$DO23,$B$8,1),OFFSET($M$15,0,0,$B$8,1))=EP$14))   /   SUM(OFFSET($BO$15,0,0,$B$14,1)) + $B$18/($B$19*$B$19*($DN23&lt;&gt;$DO23) + $B$19*($DN23=$DO23))</f>
        <v>3.7037037037037035E-4</v>
      </c>
      <c r="EQ23" s="10" cm="1">
        <f t="array" aca="1" ref="EQ23" ca="1">(1-$B$18)*SUMPRODUCT(OFFSET($BO$15,0,0,$B$14,1), 1*(_xlfn._xlws.FILTER(OFFSET($O$15,0,$DN23,$B$8,1),OFFSET($M$15,0,0,$B$8,1))=EQ$13), 1*(_xlfn._xlws.FILTER(OFFSET($O$15,0,$DO23,$B$8,1),OFFSET($M$15,0,0,$B$8,1))=EQ$14))   /   SUM(OFFSET($BO$15,0,0,$B$14,1)) + $B$18/($B$19*$B$19*($DN23&lt;&gt;$DO23) + $B$19*($DN23=$DO23))</f>
        <v>3.7037037037037035E-4</v>
      </c>
      <c r="ER23" s="10" cm="1">
        <f t="array" aca="1" ref="ER23" ca="1">(1-$B$18)*SUMPRODUCT(OFFSET($BO$15,0,0,$B$14,1), 1*(_xlfn._xlws.FILTER(OFFSET($O$15,0,$DN23,$B$8,1),OFFSET($M$15,0,0,$B$8,1))=ER$13), 1*(_xlfn._xlws.FILTER(OFFSET($O$15,0,$DO23,$B$8,1),OFFSET($M$15,0,0,$B$8,1))=ER$14))   /   SUM(OFFSET($BO$15,0,0,$B$14,1)) + $B$18/($B$19*$B$19*($DN23&lt;&gt;$DO23) + $B$19*($DN23=$DO23))</f>
        <v>3.7037037037037035E-4</v>
      </c>
      <c r="ES23" s="10" cm="1">
        <f t="array" aca="1" ref="ES23" ca="1">(1-$B$18)*SUMPRODUCT(OFFSET($BO$15,0,0,$B$14,1), 1*(_xlfn._xlws.FILTER(OFFSET($O$15,0,$DN23,$B$8,1),OFFSET($M$15,0,0,$B$8,1))=ES$13), 1*(_xlfn._xlws.FILTER(OFFSET($O$15,0,$DO23,$B$8,1),OFFSET($M$15,0,0,$B$8,1))=ES$14))   /   SUM(OFFSET($BO$15,0,0,$B$14,1)) + $B$18/($B$19*$B$19*($DN23&lt;&gt;$DO23) + $B$19*($DN23=$DO23))</f>
        <v>3.7037037037037035E-4</v>
      </c>
      <c r="ET23" s="10" cm="1">
        <f t="array" aca="1" ref="ET23" ca="1">(1-$B$18)*SUMPRODUCT(OFFSET($BO$15,0,0,$B$14,1), 1*(_xlfn._xlws.FILTER(OFFSET($O$15,0,$DN23,$B$8,1),OFFSET($M$15,0,0,$B$8,1))=ET$13), 1*(_xlfn._xlws.FILTER(OFFSET($O$15,0,$DO23,$B$8,1),OFFSET($M$15,0,0,$B$8,1))=ET$14))   /   SUM(OFFSET($BO$15,0,0,$B$14,1)) + $B$18/($B$19*$B$19*($DN23&lt;&gt;$DO23) + $B$19*($DN23=$DO23))</f>
        <v>3.7037037037037035E-4</v>
      </c>
      <c r="EU23" s="10" cm="1">
        <f t="array" aca="1" ref="EU23" ca="1">(1-$B$18)*SUMPRODUCT(OFFSET($BO$15,0,0,$B$14,1), 1*(_xlfn._xlws.FILTER(OFFSET($O$15,0,$DN23,$B$8,1),OFFSET($M$15,0,0,$B$8,1))=EU$13), 1*(_xlfn._xlws.FILTER(OFFSET($O$15,0,$DO23,$B$8,1),OFFSET($M$15,0,0,$B$8,1))=EU$14))   /   SUM(OFFSET($BO$15,0,0,$B$14,1)) + $B$18/($B$19*$B$19*($DN23&lt;&gt;$DO23) + $B$19*($DN23=$DO23))</f>
        <v>3.7037037037037035E-4</v>
      </c>
      <c r="EV23" s="10" cm="1">
        <f t="array" aca="1" ref="EV23" ca="1">(1-$B$18)*SUMPRODUCT(OFFSET($BO$15,0,0,$B$14,1), 1*(_xlfn._xlws.FILTER(OFFSET($O$15,0,$DN23,$B$8,1),OFFSET($M$15,0,0,$B$8,1))=EV$13), 1*(_xlfn._xlws.FILTER(OFFSET($O$15,0,$DO23,$B$8,1),OFFSET($M$15,0,0,$B$8,1))=EV$14))   /   SUM(OFFSET($BO$15,0,0,$B$14,1)) + $B$18/($B$19*$B$19*($DN23&lt;&gt;$DO23) + $B$19*($DN23=$DO23))</f>
        <v>3.7037037037037035E-4</v>
      </c>
      <c r="EW23" s="10" cm="1">
        <f t="array" aca="1" ref="EW23" ca="1">(1-$B$18)*SUMPRODUCT(OFFSET($BO$15,0,0,$B$14,1), 1*(_xlfn._xlws.FILTER(OFFSET($O$15,0,$DN23,$B$8,1),OFFSET($M$15,0,0,$B$8,1))=EW$13), 1*(_xlfn._xlws.FILTER(OFFSET($O$15,0,$DO23,$B$8,1),OFFSET($M$15,0,0,$B$8,1))=EW$14))   /   SUM(OFFSET($BO$15,0,0,$B$14,1)) + $B$18/($B$19*$B$19*($DN23&lt;&gt;$DO23) + $B$19*($DN23=$DO23))</f>
        <v>3.7037037037037035E-4</v>
      </c>
      <c r="EX23" s="10" cm="1">
        <f t="array" aca="1" ref="EX23" ca="1">(1-$B$18)*SUMPRODUCT(OFFSET($BO$15,0,0,$B$14,1), 1*(_xlfn._xlws.FILTER(OFFSET($O$15,0,$DN23,$B$8,1),OFFSET($M$15,0,0,$B$8,1))=EX$13), 1*(_xlfn._xlws.FILTER(OFFSET($O$15,0,$DO23,$B$8,1),OFFSET($M$15,0,0,$B$8,1))=EX$14))   /   SUM(OFFSET($BO$15,0,0,$B$14,1)) + $B$18/($B$19*$B$19*($DN23&lt;&gt;$DO23) + $B$19*($DN23=$DO23))</f>
        <v>3.7037037037037035E-4</v>
      </c>
      <c r="EY23" s="10" cm="1">
        <f t="array" aca="1" ref="EY23" ca="1">(1-$B$18)*SUMPRODUCT(OFFSET($BO$15,0,0,$B$14,1), 1*(_xlfn._xlws.FILTER(OFFSET($O$15,0,$DN23,$B$8,1),OFFSET($M$15,0,0,$B$8,1))=EY$13), 1*(_xlfn._xlws.FILTER(OFFSET($O$15,0,$DO23,$B$8,1),OFFSET($M$15,0,0,$B$8,1))=EY$14))   /   SUM(OFFSET($BO$15,0,0,$B$14,1)) + $B$18/($B$19*$B$19*($DN23&lt;&gt;$DO23) + $B$19*($DN23=$DO23))</f>
        <v>3.7037037037037035E-4</v>
      </c>
      <c r="EZ23" s="10" cm="1">
        <f t="array" aca="1" ref="EZ23" ca="1">(1-$B$18)*SUMPRODUCT(OFFSET($BO$15,0,0,$B$14,1), 1*(_xlfn._xlws.FILTER(OFFSET($O$15,0,$DN23,$B$8,1),OFFSET($M$15,0,0,$B$8,1))=EZ$13), 1*(_xlfn._xlws.FILTER(OFFSET($O$15,0,$DO23,$B$8,1),OFFSET($M$15,0,0,$B$8,1))=EZ$14))   /   SUM(OFFSET($BO$15,0,0,$B$14,1)) + $B$18/($B$19*$B$19*($DN23&lt;&gt;$DO23) + $B$19*($DN23=$DO23))</f>
        <v>3.7037037037037035E-4</v>
      </c>
      <c r="FA23" s="10" cm="1">
        <f t="array" aca="1" ref="FA23" ca="1">(1-$B$18)*SUMPRODUCT(OFFSET($BO$15,0,0,$B$14,1), 1*(_xlfn._xlws.FILTER(OFFSET($O$15,0,$DN23,$B$8,1),OFFSET($M$15,0,0,$B$8,1))=FA$13), 1*(_xlfn._xlws.FILTER(OFFSET($O$15,0,$DO23,$B$8,1),OFFSET($M$15,0,0,$B$8,1))=FA$14))   /   SUM(OFFSET($BO$15,0,0,$B$14,1)) + $B$18/($B$19*$B$19*($DN23&lt;&gt;$DO23) + $B$19*($DN23=$DO23))</f>
        <v>3.7037037037037035E-4</v>
      </c>
      <c r="FB23" s="10" cm="1">
        <f t="array" aca="1" ref="FB23" ca="1">(1-$B$18)*SUMPRODUCT(OFFSET($BO$15,0,0,$B$14,1), 1*(_xlfn._xlws.FILTER(OFFSET($O$15,0,$DN23,$B$8,1),OFFSET($M$15,0,0,$B$8,1))=FB$13), 1*(_xlfn._xlws.FILTER(OFFSET($O$15,0,$DO23,$B$8,1),OFFSET($M$15,0,0,$B$8,1))=FB$14))   /   SUM(OFFSET($BO$15,0,0,$B$14,1)) + $B$18/($B$19*$B$19*($DN23&lt;&gt;$DO23) + $B$19*($DN23=$DO23))</f>
        <v>3.7037037037037035E-4</v>
      </c>
      <c r="FC23" s="10" cm="1">
        <f t="array" aca="1" ref="FC23" ca="1">(1-$B$18)*SUMPRODUCT(OFFSET($BO$15,0,0,$B$14,1), 1*(_xlfn._xlws.FILTER(OFFSET($O$15,0,$DN23,$B$8,1),OFFSET($M$15,0,0,$B$8,1))=FC$13), 1*(_xlfn._xlws.FILTER(OFFSET($O$15,0,$DO23,$B$8,1),OFFSET($M$15,0,0,$B$8,1))=FC$14))   /   SUM(OFFSET($BO$15,0,0,$B$14,1)) + $B$18/($B$19*$B$19*($DN23&lt;&gt;$DO23) + $B$19*($DN23=$DO23))</f>
        <v>3.7037037037037035E-4</v>
      </c>
      <c r="FD23" s="10" cm="1">
        <f t="array" aca="1" ref="FD23" ca="1">(1-$B$18)*SUMPRODUCT(OFFSET($BO$15,0,0,$B$14,1), 1*(_xlfn._xlws.FILTER(OFFSET($O$15,0,$DN23,$B$8,1),OFFSET($M$15,0,0,$B$8,1))=FD$13), 1*(_xlfn._xlws.FILTER(OFFSET($O$15,0,$DO23,$B$8,1),OFFSET($M$15,0,0,$B$8,1))=FD$14))   /   SUM(OFFSET($BO$15,0,0,$B$14,1)) + $B$18/($B$19*$B$19*($DN23&lt;&gt;$DO23) + $B$19*($DN23=$DO23))</f>
        <v>3.7037037037037035E-4</v>
      </c>
      <c r="FE23" s="10" cm="1">
        <f t="array" aca="1" ref="FE23" ca="1">(1-$B$18)*SUMPRODUCT(OFFSET($BO$15,0,0,$B$14,1), 1*(_xlfn._xlws.FILTER(OFFSET($O$15,0,$DN23,$B$8,1),OFFSET($M$15,0,0,$B$8,1))=FE$13), 1*(_xlfn._xlws.FILTER(OFFSET($O$15,0,$DO23,$B$8,1),OFFSET($M$15,0,0,$B$8,1))=FE$14))   /   SUM(OFFSET($BO$15,0,0,$B$14,1)) + $B$18/($B$19*$B$19*($DN23&lt;&gt;$DO23) + $B$19*($DN23=$DO23))</f>
        <v>3.7037037037037035E-4</v>
      </c>
      <c r="FF23" s="10" cm="1">
        <f t="array" aca="1" ref="FF23" ca="1">(1-$B$18)*SUMPRODUCT(OFFSET($BO$15,0,0,$B$14,1), 1*(_xlfn._xlws.FILTER(OFFSET($O$15,0,$DN23,$B$8,1),OFFSET($M$15,0,0,$B$8,1))=FF$13), 1*(_xlfn._xlws.FILTER(OFFSET($O$15,0,$DO23,$B$8,1),OFFSET($M$15,0,0,$B$8,1))=FF$14))   /   SUM(OFFSET($BO$15,0,0,$B$14,1)) + $B$18/($B$19*$B$19*($DN23&lt;&gt;$DO23) + $B$19*($DN23=$DO23))</f>
        <v>3.7037037037037035E-4</v>
      </c>
      <c r="FG23" s="10" cm="1">
        <f t="array" aca="1" ref="FG23" ca="1">(1-$B$18)*SUMPRODUCT(OFFSET($BO$15,0,0,$B$14,1), 1*(_xlfn._xlws.FILTER(OFFSET($O$15,0,$DN23,$B$8,1),OFFSET($M$15,0,0,$B$8,1))=FG$13), 1*(_xlfn._xlws.FILTER(OFFSET($O$15,0,$DO23,$B$8,1),OFFSET($M$15,0,0,$B$8,1))=FG$14))   /   SUM(OFFSET($BO$15,0,0,$B$14,1)) + $B$18/($B$19*$B$19*($DN23&lt;&gt;$DO23) + $B$19*($DN23=$DO23))</f>
        <v>3.7037037037037035E-4</v>
      </c>
      <c r="FH23" s="10" cm="1">
        <f t="array" aca="1" ref="FH23" ca="1">(1-$B$18)*SUMPRODUCT(OFFSET($BO$15,0,0,$B$14,1), 1*(_xlfn._xlws.FILTER(OFFSET($O$15,0,$DN23,$B$8,1),OFFSET($M$15,0,0,$B$8,1))=FH$13), 1*(_xlfn._xlws.FILTER(OFFSET($O$15,0,$DO23,$B$8,1),OFFSET($M$15,0,0,$B$8,1))=FH$14))   /   SUM(OFFSET($BO$15,0,0,$B$14,1)) + $B$18/($B$19*$B$19*($DN23&lt;&gt;$DO23) + $B$19*($DN23=$DO23))</f>
        <v>3.7037037037037035E-4</v>
      </c>
      <c r="FI23" s="10" cm="1">
        <f t="array" aca="1" ref="FI23" ca="1">(1-$B$18)*SUMPRODUCT(OFFSET($BO$15,0,0,$B$14,1), 1*(_xlfn._xlws.FILTER(OFFSET($O$15,0,$DN23,$B$8,1),OFFSET($M$15,0,0,$B$8,1))=FI$13), 1*(_xlfn._xlws.FILTER(OFFSET($O$15,0,$DO23,$B$8,1),OFFSET($M$15,0,0,$B$8,1))=FI$14))   /   SUM(OFFSET($BO$15,0,0,$B$14,1)) + $B$18/($B$19*$B$19*($DN23&lt;&gt;$DO23) + $B$19*($DN23=$DO23))</f>
        <v>3.7037037037037035E-4</v>
      </c>
      <c r="FJ23" s="10" cm="1">
        <f t="array" aca="1" ref="FJ23" ca="1">(1-$B$18)*SUMPRODUCT(OFFSET($BO$15,0,0,$B$14,1), 1*(_xlfn._xlws.FILTER(OFFSET($O$15,0,$DN23,$B$8,1),OFFSET($M$15,0,0,$B$8,1))=FJ$13), 1*(_xlfn._xlws.FILTER(OFFSET($O$15,0,$DO23,$B$8,1),OFFSET($M$15,0,0,$B$8,1))=FJ$14))   /   SUM(OFFSET($BO$15,0,0,$B$14,1)) + $B$18/($B$19*$B$19*($DN23&lt;&gt;$DO23) + $B$19*($DN23=$DO23))</f>
        <v>3.7037037037037035E-4</v>
      </c>
      <c r="FK23" s="10" cm="1">
        <f t="array" aca="1" ref="FK23" ca="1">(1-$B$18)*SUMPRODUCT(OFFSET($BO$15,0,0,$B$14,1), 1*(_xlfn._xlws.FILTER(OFFSET($O$15,0,$DN23,$B$8,1),OFFSET($M$15,0,0,$B$8,1))=FK$13), 1*(_xlfn._xlws.FILTER(OFFSET($O$15,0,$DO23,$B$8,1),OFFSET($M$15,0,0,$B$8,1))=FK$14))   /   SUM(OFFSET($BO$15,0,0,$B$14,1)) + $B$18/($B$19*$B$19*($DN23&lt;&gt;$DO23) + $B$19*($DN23=$DO23))</f>
        <v>3.7037037037037035E-4</v>
      </c>
      <c r="FL23" s="10" cm="1">
        <f t="array" aca="1" ref="FL23" ca="1">(1-$B$18)*SUMPRODUCT(OFFSET($BO$15,0,0,$B$14,1), 1*(_xlfn._xlws.FILTER(OFFSET($O$15,0,$DN23,$B$8,1),OFFSET($M$15,0,0,$B$8,1))=FL$13), 1*(_xlfn._xlws.FILTER(OFFSET($O$15,0,$DO23,$B$8,1),OFFSET($M$15,0,0,$B$8,1))=FL$14))   /   SUM(OFFSET($BO$15,0,0,$B$14,1)) + $B$18/($B$19*$B$19*($DN23&lt;&gt;$DO23) + $B$19*($DN23=$DO23))</f>
        <v>3.7037037037037035E-4</v>
      </c>
      <c r="FM23" s="10" cm="1">
        <f t="array" aca="1" ref="FM23" ca="1">(1-$B$18)*SUMPRODUCT(OFFSET($BO$15,0,0,$B$14,1), 1*(_xlfn._xlws.FILTER(OFFSET($O$15,0,$DN23,$B$8,1),OFFSET($M$15,0,0,$B$8,1))=FM$13), 1*(_xlfn._xlws.FILTER(OFFSET($O$15,0,$DO23,$B$8,1),OFFSET($M$15,0,0,$B$8,1))=FM$14))   /   SUM(OFFSET($BO$15,0,0,$B$14,1)) + $B$18/($B$19*$B$19*($DN23&lt;&gt;$DO23) + $B$19*($DN23=$DO23))</f>
        <v>3.7037037037037035E-4</v>
      </c>
      <c r="FN23" s="10" cm="1">
        <f t="array" aca="1" ref="FN23" ca="1">(1-$B$18)*SUMPRODUCT(OFFSET($BO$15,0,0,$B$14,1), 1*(_xlfn._xlws.FILTER(OFFSET($O$15,0,$DN23,$B$8,1),OFFSET($M$15,0,0,$B$8,1))=FN$13), 1*(_xlfn._xlws.FILTER(OFFSET($O$15,0,$DO23,$B$8,1),OFFSET($M$15,0,0,$B$8,1))=FN$14))   /   SUM(OFFSET($BO$15,0,0,$B$14,1)) + $B$18/($B$19*$B$19*($DN23&lt;&gt;$DO23) + $B$19*($DN23=$DO23))</f>
        <v>3.7037037037037035E-4</v>
      </c>
      <c r="FO23" s="10" cm="1">
        <f t="array" aca="1" ref="FO23" ca="1">(1-$B$18)*SUMPRODUCT(OFFSET($BO$15,0,0,$B$14,1), 1*(_xlfn._xlws.FILTER(OFFSET($O$15,0,$DN23,$B$8,1),OFFSET($M$15,0,0,$B$8,1))=FO$13), 1*(_xlfn._xlws.FILTER(OFFSET($O$15,0,$DO23,$B$8,1),OFFSET($M$15,0,0,$B$8,1))=FO$14))   /   SUM(OFFSET($BO$15,0,0,$B$14,1)) + $B$18/($B$19*$B$19*($DN23&lt;&gt;$DO23) + $B$19*($DN23=$DO23))</f>
        <v>3.7037037037037035E-4</v>
      </c>
      <c r="FP23" s="10" cm="1">
        <f t="array" aca="1" ref="FP23" ca="1">(1-$B$18)*SUMPRODUCT(OFFSET($BO$15,0,0,$B$14,1), 1*(_xlfn._xlws.FILTER(OFFSET($O$15,0,$DN23,$B$8,1),OFFSET($M$15,0,0,$B$8,1))=FP$13), 1*(_xlfn._xlws.FILTER(OFFSET($O$15,0,$DO23,$B$8,1),OFFSET($M$15,0,0,$B$8,1))=FP$14))   /   SUM(OFFSET($BO$15,0,0,$B$14,1)) + $B$18/($B$19*$B$19*($DN23&lt;&gt;$DO23) + $B$19*($DN23=$DO23))</f>
        <v>3.7037037037037035E-4</v>
      </c>
      <c r="FQ23" s="10" cm="1">
        <f t="array" aca="1" ref="FQ23" ca="1">(1-$B$18)*SUMPRODUCT(OFFSET($BO$15,0,0,$B$14,1), 1*(_xlfn._xlws.FILTER(OFFSET($O$15,0,$DN23,$B$8,1),OFFSET($M$15,0,0,$B$8,1))=FQ$13), 1*(_xlfn._xlws.FILTER(OFFSET($O$15,0,$DO23,$B$8,1),OFFSET($M$15,0,0,$B$8,1))=FQ$14))   /   SUM(OFFSET($BO$15,0,0,$B$14,1)) + $B$18/($B$19*$B$19*($DN23&lt;&gt;$DO23) + $B$19*($DN23=$DO23))</f>
        <v>3.7037037037037035E-4</v>
      </c>
      <c r="FR23" s="10" cm="1">
        <f t="array" aca="1" ref="FR23" ca="1">(1-$B$18)*SUMPRODUCT(OFFSET($BO$15,0,0,$B$14,1), 1*(_xlfn._xlws.FILTER(OFFSET($O$15,0,$DN23,$B$8,1),OFFSET($M$15,0,0,$B$8,1))=FR$13), 1*(_xlfn._xlws.FILTER(OFFSET($O$15,0,$DO23,$B$8,1),OFFSET($M$15,0,0,$B$8,1))=FR$14))   /   SUM(OFFSET($BO$15,0,0,$B$14,1)) + $B$18/($B$19*$B$19*($DN23&lt;&gt;$DO23) + $B$19*($DN23=$DO23))</f>
        <v>0.97037037037037033</v>
      </c>
      <c r="FS23" s="10" cm="1">
        <f t="array" aca="1" ref="FS23" ca="1">(1-$B$18)*SUMPRODUCT(OFFSET($BO$15,0,0,$B$14,1), 1*(_xlfn._xlws.FILTER(OFFSET($O$15,0,$DN23,$B$8,1),OFFSET($M$15,0,0,$B$8,1))=FS$13), 1*(_xlfn._xlws.FILTER(OFFSET($O$15,0,$DO23,$B$8,1),OFFSET($M$15,0,0,$B$8,1))=FS$14))   /   SUM(OFFSET($BO$15,0,0,$B$14,1)) + $B$18/($B$19*$B$19*($DN23&lt;&gt;$DO23) + $B$19*($DN23=$DO23))</f>
        <v>3.7037037037037035E-4</v>
      </c>
      <c r="FT23" s="10" cm="1">
        <f t="array" aca="1" ref="FT23" ca="1">(1-$B$18)*SUMPRODUCT(OFFSET($BO$15,0,0,$B$14,1), 1*(_xlfn._xlws.FILTER(OFFSET($O$15,0,$DN23,$B$8,1),OFFSET($M$15,0,0,$B$8,1))=FT$13), 1*(_xlfn._xlws.FILTER(OFFSET($O$15,0,$DO23,$B$8,1),OFFSET($M$15,0,0,$B$8,1))=FT$14))   /   SUM(OFFSET($BO$15,0,0,$B$14,1)) + $B$18/($B$19*$B$19*($DN23&lt;&gt;$DO23) + $B$19*($DN23=$DO23))</f>
        <v>3.7037037037037035E-4</v>
      </c>
      <c r="FU23" s="10" cm="1">
        <f t="array" aca="1" ref="FU23" ca="1">(1-$B$18)*SUMPRODUCT(OFFSET($BO$15,0,0,$B$14,1), 1*(_xlfn._xlws.FILTER(OFFSET($O$15,0,$DN23,$B$8,1),OFFSET($M$15,0,0,$B$8,1))=FU$13), 1*(_xlfn._xlws.FILTER(OFFSET($O$15,0,$DO23,$B$8,1),OFFSET($M$15,0,0,$B$8,1))=FU$14))   /   SUM(OFFSET($BO$15,0,0,$B$14,1)) + $B$18/($B$19*$B$19*($DN23&lt;&gt;$DO23) + $B$19*($DN23=$DO23))</f>
        <v>3.7037037037037035E-4</v>
      </c>
      <c r="FV23" s="10" cm="1">
        <f t="array" aca="1" ref="FV23" ca="1">(1-$B$18)*SUMPRODUCT(OFFSET($BO$15,0,0,$B$14,1), 1*(_xlfn._xlws.FILTER(OFFSET($O$15,0,$DN23,$B$8,1),OFFSET($M$15,0,0,$B$8,1))=FV$13), 1*(_xlfn._xlws.FILTER(OFFSET($O$15,0,$DO23,$B$8,1),OFFSET($M$15,0,0,$B$8,1))=FV$14))   /   SUM(OFFSET($BO$15,0,0,$B$14,1)) + $B$18/($B$19*$B$19*($DN23&lt;&gt;$DO23) + $B$19*($DN23=$DO23))</f>
        <v>3.7037037037037035E-4</v>
      </c>
      <c r="FW23" s="10" cm="1">
        <f t="array" aca="1" ref="FW23" ca="1">(1-$B$18)*SUMPRODUCT(OFFSET($BO$15,0,0,$B$14,1), 1*(_xlfn._xlws.FILTER(OFFSET($O$15,0,$DN23,$B$8,1),OFFSET($M$15,0,0,$B$8,1))=FW$13), 1*(_xlfn._xlws.FILTER(OFFSET($O$15,0,$DO23,$B$8,1),OFFSET($M$15,0,0,$B$8,1))=FW$14))   /   SUM(OFFSET($BO$15,0,0,$B$14,1)) + $B$18/($B$19*$B$19*($DN23&lt;&gt;$DO23) + $B$19*($DN23=$DO23))</f>
        <v>3.7037037037037035E-4</v>
      </c>
      <c r="FX23" s="10" cm="1">
        <f t="array" aca="1" ref="FX23" ca="1">(1-$B$18)*SUMPRODUCT(OFFSET($BO$15,0,0,$B$14,1), 1*(_xlfn._xlws.FILTER(OFFSET($O$15,0,$DN23,$B$8,1),OFFSET($M$15,0,0,$B$8,1))=FX$13), 1*(_xlfn._xlws.FILTER(OFFSET($O$15,0,$DO23,$B$8,1),OFFSET($M$15,0,0,$B$8,1))=FX$14))   /   SUM(OFFSET($BO$15,0,0,$B$14,1)) + $B$18/($B$19*$B$19*($DN23&lt;&gt;$DO23) + $B$19*($DN23=$DO23))</f>
        <v>3.7037037037037035E-4</v>
      </c>
      <c r="FY23" s="10" cm="1">
        <f t="array" aca="1" ref="FY23" ca="1">(1-$B$18)*SUMPRODUCT(OFFSET($BO$15,0,0,$B$14,1), 1*(_xlfn._xlws.FILTER(OFFSET($O$15,0,$DN23,$B$8,1),OFFSET($M$15,0,0,$B$8,1))=FY$13), 1*(_xlfn._xlws.FILTER(OFFSET($O$15,0,$DO23,$B$8,1),OFFSET($M$15,0,0,$B$8,1))=FY$14))   /   SUM(OFFSET($BO$15,0,0,$B$14,1)) + $B$18/($B$19*$B$19*($DN23&lt;&gt;$DO23) + $B$19*($DN23=$DO23))</f>
        <v>3.7037037037037035E-4</v>
      </c>
      <c r="FZ23" s="10" cm="1">
        <f t="array" aca="1" ref="FZ23" ca="1">(1-$B$18)*SUMPRODUCT(OFFSET($BO$15,0,0,$B$14,1), 1*(_xlfn._xlws.FILTER(OFFSET($O$15,0,$DN23,$B$8,1),OFFSET($M$15,0,0,$B$8,1))=FZ$13), 1*(_xlfn._xlws.FILTER(OFFSET($O$15,0,$DO23,$B$8,1),OFFSET($M$15,0,0,$B$8,1))=FZ$14))   /   SUM(OFFSET($BO$15,0,0,$B$14,1)) + $B$18/($B$19*$B$19*($DN23&lt;&gt;$DO23) + $B$19*($DN23=$DO23))</f>
        <v>3.7037037037037035E-4</v>
      </c>
      <c r="GA23" s="10" cm="1">
        <f t="array" aca="1" ref="GA23" ca="1">(1-$B$18)*SUMPRODUCT(OFFSET($BO$15,0,0,$B$14,1), 1*(_xlfn._xlws.FILTER(OFFSET($O$15,0,$DN23,$B$8,1),OFFSET($M$15,0,0,$B$8,1))=GA$13), 1*(_xlfn._xlws.FILTER(OFFSET($O$15,0,$DO23,$B$8,1),OFFSET($M$15,0,0,$B$8,1))=GA$14))   /   SUM(OFFSET($BO$15,0,0,$B$14,1)) + $B$18/($B$19*$B$19*($DN23&lt;&gt;$DO23) + $B$19*($DN23=$DO23))</f>
        <v>3.7037037037037035E-4</v>
      </c>
    </row>
    <row r="24" spans="1:183" x14ac:dyDescent="0.2">
      <c r="D24" s="10">
        <f ca="1"/>
        <v>9</v>
      </c>
      <c r="F24" s="10">
        <f ca="1"/>
        <v>0.1</v>
      </c>
      <c r="H24" s="10">
        <f ca="1"/>
        <v>9</v>
      </c>
      <c r="J24" cm="1">
        <f t="array" aca="1" ref="J24" ca="1">SUMPRODUCT((O24:AJ24=$O$11:$AJ$11)*(O$13:AJ$13=TRUE))  / COUNTIF(O$13:AJ$13,TRUE)</f>
        <v>1</v>
      </c>
      <c r="K24" t="b">
        <f t="shared" ca="1" si="4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5"/>
        <v>1</v>
      </c>
      <c r="N24" s="2">
        <v>9</v>
      </c>
      <c r="O24" s="12" t="s">
        <v>11</v>
      </c>
      <c r="P24" s="9" t="s">
        <v>11</v>
      </c>
      <c r="Q24" s="9" t="s">
        <v>11</v>
      </c>
      <c r="R24" s="9" t="s">
        <v>11</v>
      </c>
      <c r="S24" s="9" t="s">
        <v>11</v>
      </c>
      <c r="T24" s="12" t="s">
        <v>11</v>
      </c>
      <c r="U24" s="9" t="s">
        <v>11</v>
      </c>
      <c r="V24" s="9" t="s">
        <v>11</v>
      </c>
      <c r="W24" s="9" t="s">
        <v>11</v>
      </c>
      <c r="X24" s="9" t="s">
        <v>11</v>
      </c>
      <c r="Y24" s="12" t="s">
        <v>0</v>
      </c>
      <c r="Z24" s="9" t="s">
        <v>0</v>
      </c>
      <c r="AA24" s="9" t="s">
        <v>1</v>
      </c>
      <c r="AB24" s="9" t="s">
        <v>1</v>
      </c>
      <c r="AC24" s="9" t="s">
        <v>2</v>
      </c>
      <c r="AD24" s="12" t="s">
        <v>2</v>
      </c>
      <c r="AE24" s="9" t="s">
        <v>5</v>
      </c>
      <c r="AF24" s="9" t="s">
        <v>5</v>
      </c>
      <c r="AG24" s="9" t="s">
        <v>3</v>
      </c>
      <c r="AH24" s="9" t="s">
        <v>3</v>
      </c>
      <c r="AI24" s="12" t="s">
        <v>4</v>
      </c>
      <c r="AJ24" s="9" t="s">
        <v>4</v>
      </c>
      <c r="AK24" s="7"/>
      <c r="AN24">
        <f t="shared" ca="1" si="6"/>
        <v>7</v>
      </c>
      <c r="AO24" s="14">
        <f t="shared" ca="1" si="7"/>
        <v>0.14285714285714285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
) / $B$13)</f>
        <v>0.9</v>
      </c>
      <c r="AR24" cm="1">
        <f t="array" aca="1" ref="AR24" ca="1">IF($AP24=AR$14, 1, SUMPRODUCT(
    --(OFFSET($O$13,0,0,1,$B$9)=TRUE),
    --(INDEX(OFFSET($O$15,0,0,$B$8,$B$9), 1+$AP24, 0) = INDEX(OFFSET($O$15,0,0,$B$8,$B$9), 1+AR$14, 0))
) / $B$13)</f>
        <v>1</v>
      </c>
      <c r="AS24" cm="1">
        <f t="array" aca="1" ref="AS24" ca="1">IF($AP24=AS$14, 1, SUMPRODUCT(
    --(OFFSET($O$13,0,0,1,$B$9)=TRUE),
    --(INDEX(OFFSET($O$15,0,0,$B$8,$B$9), 1+$AP24, 0) = INDEX(OFFSET($O$15,0,0,$B$8,$B$9), 1+AS$14, 0))
) / $B$13)</f>
        <v>0.9</v>
      </c>
      <c r="AT24" cm="1">
        <f t="array" aca="1" ref="AT24" ca="1">IF($AP24=AT$14, 1, SUMPRODUCT(
    --(OFFSET($O$13,0,0,1,$B$9)=TRUE),
    --(INDEX(OFFSET($O$15,0,0,$B$8,$B$9), 1+$AP24, 0) = INDEX(OFFSET($O$15,0,0,$B$8,$B$9), 1+AT$14, 0))
) / $B$13)</f>
        <v>0.9</v>
      </c>
      <c r="AU24" cm="1">
        <f t="array" aca="1" ref="AU24" ca="1">IF($AP24=AU$14, 1, SUMPRODUCT(
    --(OFFSET($O$13,0,0,1,$B$9)=TRUE),
    --(INDEX(OFFSET($O$15,0,0,$B$8,$B$9), 1+$AP24, 0) = INDEX(OFFSET($O$15,0,0,$B$8,$B$9), 1+AU$14, 0))
) / $B$13)</f>
        <v>0.9</v>
      </c>
      <c r="AV24" cm="1">
        <f t="array" aca="1" ref="AV24" ca="1">IF($AP24=AV$14, 1, SUMPRODUCT(
    --(OFFSET($O$13,0,0,1,$B$9)=TRUE),
    --(INDEX(OFFSET($O$15,0,0,$B$8,$B$9), 1+$AP24, 0) = INDEX(OFFSET($O$15,0,0,$B$8,$B$9), 1+AV$14, 0))
) / $B$13)</f>
        <v>1</v>
      </c>
      <c r="AW24" cm="1">
        <f t="array" aca="1" ref="AW24" ca="1">IF($AP24=AW$14, 1, SUMPRODUCT(
    --(OFFSET($O$13,0,0,1,$B$9)=TRUE),
    --(INDEX(OFFSET($O$15,0,0,$B$8,$B$9), 1+$AP24, 0) = INDEX(OFFSET($O$15,0,0,$B$8,$B$9), 1+AW$14, 0))
) / $B$13)</f>
        <v>0.85</v>
      </c>
      <c r="AX24" cm="1">
        <f t="array" aca="1" ref="AX24" ca="1">IF($AP24=AX$14, 1, SUMPRODUCT(
    --(OFFSET($O$13,0,0,1,$B$9)=TRUE),
    --(INDEX(OFFSET($O$15,0,0,$B$8,$B$9), 1+$AP24, 0) = INDEX(OFFSET($O$15,0,0,$B$8,$B$9), 1+AX$14, 0))
) / $B$13)</f>
        <v>0.85</v>
      </c>
      <c r="AY24" cm="1">
        <f t="array" aca="1" ref="AY24" ca="1">IF($AP24=AY$14, 1, SUMPRODUCT(
    --(OFFSET($O$13,0,0,1,$B$9)=TRUE),
    --(INDEX(OFFSET($O$15,0,0,$B$8,$B$9), 1+$AP24, 0) = INDEX(OFFSET($O$15,0,0,$B$8,$B$9), 1+AY$14, 0))
) / $B$13)</f>
        <v>1</v>
      </c>
      <c r="AZ24" cm="1">
        <f t="array" aca="1" ref="AZ24" ca="1">IF($AP24=AZ$14, 1, SUMPRODUCT(
    --(OFFSET($O$13,0,0,1,$B$9)=TRUE),
    --(INDEX(OFFSET($O$15,0,0,$B$8,$B$9), 1+$AP24, 0) = INDEX(OFFSET($O$15,0,0,$B$8,$B$9), 1+AZ$14, 0))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
) / $B$13)</f>
        <v>1</v>
      </c>
      <c r="BB24" cm="1">
        <f t="array" aca="1" ref="BB24" ca="1">IF($AP24=BB$14, 1, SUMPRODUCT(
    --(OFFSET($O$13,0,0,1,$B$9)=TRUE),
    --(INDEX(OFFSET($O$15,0,0,$B$8,$B$9), 1+$AP24, 0) = INDEX(OFFSET($O$15,0,0,$B$8,$B$9), 1+BB$14, 0))
) / $B$13)</f>
        <v>1</v>
      </c>
      <c r="BC24" cm="1">
        <f t="array" aca="1" ref="BC24" ca="1">IF($AP24=BC$14, 1, SUMPRODUCT(
    --(OFFSET($O$13,0,0,1,$B$9)=TRUE),
    --(INDEX(OFFSET($O$15,0,0,$B$8,$B$9), 1+$AP24, 0) = INDEX(OFFSET($O$15,0,0,$B$8,$B$9), 1+BC$14, 0))
) / $B$13)</f>
        <v>1</v>
      </c>
      <c r="BD24" cm="1">
        <f t="array" aca="1" ref="BD24" ca="1">IF($AP24=BD$14, 1, SUMPRODUCT(
    --(OFFSET($O$13,0,0,1,$B$9)=TRUE),
    --(INDEX(OFFSET($O$15,0,0,$B$8,$B$9), 1+$AP24, 0) = INDEX(OFFSET($O$15,0,0,$B$8,$B$9), 1+BD$14, 0))
) / $B$13)</f>
        <v>0.95</v>
      </c>
      <c r="BE24" cm="1">
        <f t="array" aca="1" ref="BE24" ca="1">IF($AP24=BE$14, 1, SUMPRODUCT(
    --(OFFSET($O$13,0,0,1,$B$9)=TRUE),
    --(INDEX(OFFSET($O$15,0,0,$B$8,$B$9), 1+$AP24, 0) = INDEX(OFFSET($O$15,0,0,$B$8,$B$9), 1+BE$14, 0))
) / $B$13)</f>
        <v>0.8</v>
      </c>
      <c r="BF24" cm="1">
        <f t="array" aca="1" ref="BF24" ca="1">IF($AP24=BF$14, 1, SUMPRODUCT(
    --(OFFSET($O$13,0,0,1,$B$9)=TRUE),
    --(INDEX(OFFSET($O$15,0,0,$B$8,$B$9), 1+$AP24, 0) = INDEX(OFFSET($O$15,0,0,$B$8,$B$9), 1+BF$14, 0))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
) / $B$13)</f>
        <v>0.95</v>
      </c>
      <c r="BH24" cm="1">
        <f t="array" aca="1" ref="BH24" ca="1">IF($AP24=BH$14, 1, SUMPRODUCT(
    --(OFFSET($O$13,0,0,1,$B$9)=TRUE),
    --(INDEX(OFFSET($O$15,0,0,$B$8,$B$9), 1+$AP24, 0) = INDEX(OFFSET($O$15,0,0,$B$8,$B$9), 1+BH$14, 0))
) / $B$13)</f>
        <v>0.8</v>
      </c>
      <c r="BI24" cm="1">
        <f t="array" aca="1" ref="BI24" ca="1">IF($AP24=BI$14, 1, SUMPRODUCT(
    --(OFFSET($O$13,0,0,1,$B$9)=TRUE),
    --(INDEX(OFFSET($O$15,0,0,$B$8,$B$9), 1+$AP24, 0) = INDEX(OFFSET($O$15,0,0,$B$8,$B$9), 1+BI$14, 0))
) / $B$13)</f>
        <v>0.95</v>
      </c>
      <c r="BJ24" cm="1">
        <f t="array" aca="1" ref="BJ24" ca="1">IF($AP24=BJ$14, 1, SUMPRODUCT(
    --(OFFSET($O$13,0,0,1,$B$9)=TRUE),
    --(INDEX(OFFSET($O$15,0,0,$B$8,$B$9), 1+$AP24, 0) = INDEX(OFFSET($O$15,0,0,$B$8,$B$9), 1+BJ$14, 0))
) / $B$13)</f>
        <v>0.85</v>
      </c>
      <c r="BN24">
        <f t="shared" ca="1" si="8"/>
        <v>10</v>
      </c>
      <c r="BO24" s="14">
        <f t="shared" ca="1" si="9"/>
        <v>0.1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
) / $B$16)</f>
        <v>0.89473684210526316</v>
      </c>
      <c r="BR24" cm="1">
        <f t="array" aca="1" ref="BR24" ca="1">IF($BP24=BR$14, 1, SUMPRODUCT(
    --(OFFSET($O$9,0,0,1,$B$9)=TRUE),
    --(INDEX(OFFSET($O$15,0,0,$B$8,$B$9), 1+$BP24, 0) = INDEX(OFFSET($O$15,0,0,$B$8,$B$9), 1+BR$14, 0))
) / $B$16)</f>
        <v>1</v>
      </c>
      <c r="BS24" cm="1">
        <f t="array" aca="1" ref="BS24" ca="1">IF($BP24=BS$14, 1, SUMPRODUCT(
    --(OFFSET($O$9,0,0,1,$B$9)=TRUE),
    --(INDEX(OFFSET($O$15,0,0,$B$8,$B$9), 1+$BP24, 0) = INDEX(OFFSET($O$15,0,0,$B$8,$B$9), 1+BS$14, 0))
) / $B$16)</f>
        <v>0.89473684210526316</v>
      </c>
      <c r="BT24" cm="1">
        <f t="array" aca="1" ref="BT24" ca="1">IF($BP24=BT$14, 1, SUMPRODUCT(
    --(OFFSET($O$9,0,0,1,$B$9)=TRUE),
    --(INDEX(OFFSET($O$15,0,0,$B$8,$B$9), 1+$BP24, 0) = INDEX(OFFSET($O$15,0,0,$B$8,$B$9), 1+BT$14, 0))
) / $B$16)</f>
        <v>0.89473684210526316</v>
      </c>
      <c r="BU24" cm="1">
        <f t="array" aca="1" ref="BU24" ca="1">IF($BP24=BU$14, 1, SUMPRODUCT(
    --(OFFSET($O$9,0,0,1,$B$9)=TRUE),
    --(INDEX(OFFSET($O$15,0,0,$B$8,$B$9), 1+$BP24, 0) = INDEX(OFFSET($O$15,0,0,$B$8,$B$9), 1+BU$14, 0))
) / $B$16)</f>
        <v>0.89473684210526316</v>
      </c>
      <c r="BV24" cm="1">
        <f t="array" aca="1" ref="BV24" ca="1">IF($BP24=BV$14, 1, SUMPRODUCT(
    --(OFFSET($O$9,0,0,1,$B$9)=TRUE),
    --(INDEX(OFFSET($O$15,0,0,$B$8,$B$9), 1+$BP24, 0) = INDEX(OFFSET($O$15,0,0,$B$8,$B$9), 1+BV$14, 0))
) / $B$16)</f>
        <v>1</v>
      </c>
      <c r="BW24" cm="1">
        <f t="array" aca="1" ref="BW24" ca="1">IF($BP24=BW$14, 1, SUMPRODUCT(
    --(OFFSET($O$9,0,0,1,$B$9)=TRUE),
    --(INDEX(OFFSET($O$15,0,0,$B$8,$B$9), 1+$BP24, 0) = INDEX(OFFSET($O$15,0,0,$B$8,$B$9), 1+BW$14, 0))
) / $B$16)</f>
        <v>0.84210526315789469</v>
      </c>
      <c r="BX24" cm="1">
        <f t="array" aca="1" ref="BX24" ca="1">IF($BP24=BX$14, 1, SUMPRODUCT(
    --(OFFSET($O$9,0,0,1,$B$9)=TRUE),
    --(INDEX(OFFSET($O$15,0,0,$B$8,$B$9), 1+$BP24, 0) = INDEX(OFFSET($O$15,0,0,$B$8,$B$9), 1+BX$14, 0))
) / $B$16)</f>
        <v>0.84210526315789469</v>
      </c>
      <c r="BY24" cm="1">
        <f t="array" aca="1" ref="BY24" ca="1">IF($BP24=BY$14, 1, SUMPRODUCT(
    --(OFFSET($O$9,0,0,1,$B$9)=TRUE),
    --(INDEX(OFFSET($O$15,0,0,$B$8,$B$9), 1+$BP24, 0) = INDEX(OFFSET($O$15,0,0,$B$8,$B$9), 1+BY$14, 0))
) / $B$16)</f>
        <v>1</v>
      </c>
      <c r="BZ24" cm="1">
        <f t="array" aca="1" ref="BZ24" ca="1">IF($BP24=BZ$14, 1, SUMPRODUCT(
    --(OFFSET($O$9,0,0,1,$B$9)=TRUE),
    --(INDEX(OFFSET($O$15,0,0,$B$8,$B$9), 1+$BP24, 0) = INDEX(OFFSET($O$15,0,0,$B$8,$B$9), 1+BZ$14, 0))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
) / $B$16)</f>
        <v>1</v>
      </c>
      <c r="CB24" cm="1">
        <f t="array" aca="1" ref="CB24" ca="1">IF($BP24=CB$14, 1, SUMPRODUCT(
    --(OFFSET($O$9,0,0,1,$B$9)=TRUE),
    --(INDEX(OFFSET($O$15,0,0,$B$8,$B$9), 1+$BP24, 0) = INDEX(OFFSET($O$15,0,0,$B$8,$B$9), 1+CB$14, 0))
) / $B$16)</f>
        <v>1</v>
      </c>
      <c r="CC24" cm="1">
        <f t="array" aca="1" ref="CC24" ca="1">IF($BP24=CC$14, 1, SUMPRODUCT(
    --(OFFSET($O$9,0,0,1,$B$9)=TRUE),
    --(INDEX(OFFSET($O$15,0,0,$B$8,$B$9), 1+$BP24, 0) = INDEX(OFFSET($O$15,0,0,$B$8,$B$9), 1+CC$14, 0))
) / $B$16)</f>
        <v>1</v>
      </c>
      <c r="CD24" cm="1">
        <f t="array" aca="1" ref="CD24" ca="1">IF($BP24=CD$14, 1, SUMPRODUCT(
    --(OFFSET($O$9,0,0,1,$B$9)=TRUE),
    --(INDEX(OFFSET($O$15,0,0,$B$8,$B$9), 1+$BP24, 0) = INDEX(OFFSET($O$15,0,0,$B$8,$B$9), 1+CD$14, 0))
) / $B$16)</f>
        <v>1</v>
      </c>
      <c r="CE24" cm="1">
        <f t="array" aca="1" ref="CE24" ca="1">IF($BP24=CE$14, 1, SUMPRODUCT(
    --(OFFSET($O$9,0,0,1,$B$9)=TRUE),
    --(INDEX(OFFSET($O$15,0,0,$B$8,$B$9), 1+$BP24, 0) = INDEX(OFFSET($O$15,0,0,$B$8,$B$9), 1+CE$14, 0))
) / $B$16)</f>
        <v>0.84210526315789469</v>
      </c>
      <c r="CF24" cm="1">
        <f t="array" aca="1" ref="CF24" ca="1">IF($BP24=CF$14, 1, SUMPRODUCT(
    --(OFFSET($O$9,0,0,1,$B$9)=TRUE),
    --(INDEX(OFFSET($O$15,0,0,$B$8,$B$9), 1+$BP24, 0) = INDEX(OFFSET($O$15,0,0,$B$8,$B$9), 1+CF$14, 0))
) / $B$16)</f>
        <v>0.84210526315789469</v>
      </c>
      <c r="CG24" cm="1">
        <f t="array" aca="1" ref="CG24" ca="1">IF($BP24=CG$14, 1, SUMPRODUCT(
    --(OFFSET($O$9,0,0,1,$B$9)=TRUE),
    --(INDEX(OFFSET($O$15,0,0,$B$8,$B$9), 1+$BP24, 0) = INDEX(OFFSET($O$15,0,0,$B$8,$B$9), 1+CG$14, 0))
) / $B$16)</f>
        <v>1</v>
      </c>
      <c r="CH24" cm="1">
        <f t="array" aca="1" ref="CH24" ca="1">IF($BP24=CH$14, 1, SUMPRODUCT(
    --(OFFSET($O$9,0,0,1,$B$9)=TRUE),
    --(INDEX(OFFSET($O$15,0,0,$B$8,$B$9), 1+$BP24, 0) = INDEX(OFFSET($O$15,0,0,$B$8,$B$9), 1+CH$14, 0))
) / $B$16)</f>
        <v>0.84210526315789469</v>
      </c>
      <c r="CI24" cm="1">
        <f t="array" aca="1" ref="CI24" ca="1">IF($BP24=CI$14, 1, SUMPRODUCT(
    --(OFFSET($O$9,0,0,1,$B$9)=TRUE),
    --(INDEX(OFFSET($O$15,0,0,$B$8,$B$9), 1+$BP24, 0) = INDEX(OFFSET($O$15,0,0,$B$8,$B$9), 1+CI$14, 0))
) / $B$16)</f>
        <v>1</v>
      </c>
      <c r="CJ24" cm="1">
        <f t="array" aca="1" ref="CJ24" ca="1">IF($BP24=CJ$14, 1, SUMPRODUCT(
    --(OFFSET($O$9,0,0,1,$B$9)=TRUE),
    --(INDEX(OFFSET($O$15,0,0,$B$8,$B$9), 1+$BP24, 0) = INDEX(OFFSET($O$15,0,0,$B$8,$B$9), 1+CJ$14, 0))
) / $B$16)</f>
        <v>0.84210526315789469</v>
      </c>
      <c r="CP24">
        <f ca="1"/>
        <v>9</v>
      </c>
      <c r="CQ24" cm="1">
        <f t="array" aca="1" ref="CQ24" ca="1">(1-$B$18)*SUMPRODUCT(OFFSET($BO$15,0,0,$B$14,1), 1*(_xlfn._xlws.FILTER(OFFSET($O$15,0,$CP24,$B$8,1), OFFSET($M$15,0,0,$B$8,1))=CQ$14))   /   SUM(OFFSET($BO$15,0,0,$B$14,1)) + $B$18/$B$19</f>
        <v>3.3333333333333331E-3</v>
      </c>
      <c r="CR24" s="10" cm="1">
        <f t="array" aca="1" ref="CR24" ca="1">(1-$B$18)*SUMPRODUCT(OFFSET($BO$15,0,0,$B$14,1), 1*(_xlfn._xlws.FILTER(OFFSET($O$15,0,$CP24,$B$8,1), OFFSET($M$15,0,0,$B$8,1))=CR$14))   /   SUM(OFFSET($BO$15,0,0,$B$14,1)) + $B$18/$B$19</f>
        <v>3.3333333333333331E-3</v>
      </c>
      <c r="CS24" s="10" cm="1">
        <f t="array" aca="1" ref="CS24" ca="1">(1-$B$18)*SUMPRODUCT(OFFSET($BO$15,0,0,$B$14,1), 1*(_xlfn._xlws.FILTER(OFFSET($O$15,0,$CP24,$B$8,1), OFFSET($M$15,0,0,$B$8,1))=CS$14))   /   SUM(OFFSET($BO$15,0,0,$B$14,1)) + $B$18/$B$19</f>
        <v>3.3333333333333331E-3</v>
      </c>
      <c r="CT24" s="10" cm="1">
        <f t="array" aca="1" ref="CT24" ca="1">(1-$B$18)*SUMPRODUCT(OFFSET($BO$15,0,0,$B$14,1), 1*(_xlfn._xlws.FILTER(OFFSET($O$15,0,$CP24,$B$8,1), OFFSET($M$15,0,0,$B$8,1))=CT$14))   /   SUM(OFFSET($BO$15,0,0,$B$14,1)) + $B$18/$B$19</f>
        <v>3.3333333333333331E-3</v>
      </c>
      <c r="CU24" s="10" cm="1">
        <f t="array" aca="1" ref="CU24" ca="1">(1-$B$18)*SUMPRODUCT(OFFSET($BO$15,0,0,$B$14,1), 1*(_xlfn._xlws.FILTER(OFFSET($O$15,0,$CP24,$B$8,1), OFFSET($M$15,0,0,$B$8,1))=CU$14))   /   SUM(OFFSET($BO$15,0,0,$B$14,1)) + $B$18/$B$19</f>
        <v>3.3333333333333331E-3</v>
      </c>
      <c r="CV24" s="10" cm="1">
        <f t="array" aca="1" ref="CV24" ca="1">(1-$B$18)*SUMPRODUCT(OFFSET($BO$15,0,0,$B$14,1), 1*(_xlfn._xlws.FILTER(OFFSET($O$15,0,$CP24,$B$8,1), OFFSET($M$15,0,0,$B$8,1))=CV$14))   /   SUM(OFFSET($BO$15,0,0,$B$14,1)) + $B$18/$B$19</f>
        <v>3.3333333333333331E-3</v>
      </c>
      <c r="CW24" s="10" cm="1">
        <f t="array" aca="1" ref="CW24" ca="1">(1-$B$18)*SUMPRODUCT(OFFSET($BO$15,0,0,$B$14,1), 1*(_xlfn._xlws.FILTER(OFFSET($O$15,0,$CP24,$B$8,1), OFFSET($M$15,0,0,$B$8,1))=CW$14))   /   SUM(OFFSET($BO$15,0,0,$B$14,1)) + $B$18/$B$19</f>
        <v>3.3333333333333331E-3</v>
      </c>
      <c r="CX24" s="10" cm="1">
        <f t="array" aca="1" ref="CX24" ca="1">(1-$B$18)*SUMPRODUCT(OFFSET($BO$15,0,0,$B$14,1), 1*(_xlfn._xlws.FILTER(OFFSET($O$15,0,$CP24,$B$8,1), OFFSET($M$15,0,0,$B$8,1))=CX$14))   /   SUM(OFFSET($BO$15,0,0,$B$14,1)) + $B$18/$B$19</f>
        <v>0.97333333333333327</v>
      </c>
      <c r="CY24" s="10" cm="1">
        <f t="array" aca="1" ref="CY24" ca="1">(1-$B$18)*SUMPRODUCT(OFFSET($BO$15,0,0,$B$14,1), 1*(_xlfn._xlws.FILTER(OFFSET($O$15,0,$CP24,$B$8,1), OFFSET($M$15,0,0,$B$8,1))=CY$14))   /   SUM(OFFSET($BO$15,0,0,$B$14,1)) + $B$18/$B$19</f>
        <v>3.3333333333333331E-3</v>
      </c>
      <c r="DB24" s="10" cm="1">
        <f t="array" aca="1" ref="DB24" ca="1">SUM(OFFSET($CR24,0,0,1,$M$2)*LN(OFFSET($CR24,0,0,1,$M$2)/OFFSET($CR$11,0,0,1,$M$2)))+IF($CQ$11&gt;0,OFFSET($O$10,0,$CP24,1,1)*LN(OFFSET($O$10,0,$CP24,1,1)/$CQ$11),0)</f>
        <v>1.9131139043413501</v>
      </c>
      <c r="DC24">
        <f ca="1"/>
        <v>9</v>
      </c>
      <c r="DD24" s="10">
        <f t="shared" ca="1" si="11"/>
        <v>0.11767737994455678</v>
      </c>
      <c r="DE24" s="10">
        <f t="shared" ca="1" si="10"/>
        <v>0.11767737994455678</v>
      </c>
      <c r="DF24" s="10">
        <f t="shared" ca="1" si="10"/>
        <v>0.11767737994455678</v>
      </c>
      <c r="DG24" s="10">
        <f t="shared" ca="1" si="10"/>
        <v>0.11767737994455678</v>
      </c>
      <c r="DH24" s="10">
        <f t="shared" ca="1" si="10"/>
        <v>0.11767737994455678</v>
      </c>
      <c r="DI24" s="10">
        <f t="shared" ca="1" si="10"/>
        <v>0.11767737994455678</v>
      </c>
      <c r="DJ24" s="10">
        <f t="shared" ca="1" si="10"/>
        <v>1.9045936050347492</v>
      </c>
      <c r="DK24" s="10">
        <f t="shared" ca="1" si="10"/>
        <v>0.11767737994455678</v>
      </c>
      <c r="DN24" cm="1">
        <f t="array" aca="1" ref="DN24" ca="1">INDEX(_xlfn.ANCHORARRAY($CP$15), 1 + INT((ROWS($DO$15:$DO24) - 1) / ROWS(_xlfn.ANCHORARRAY($CP$15))))</f>
        <v>0</v>
      </c>
      <c r="DO24" cm="1">
        <f t="array" aca="1" ref="DO24" ca="1">INDEX(_xlfn.ANCHORARRAY($CP$15),1+MOD(ROWS($DO$15:$DO24)-1,ROWS(_xlfn.ANCHORARRAY($CP$15))))</f>
        <v>9</v>
      </c>
      <c r="DP24" s="10" cm="1">
        <f t="array" aca="1" ref="DP24" ca="1">(1-$B$18)*SUMPRODUCT(OFFSET($BO$15,0,0,$B$14,1), 1*(_xlfn._xlws.FILTER(OFFSET($O$15,0,$DN24,$B$8,1),OFFSET($M$15,0,0,$B$8,1))=DP$13), 1*(_xlfn._xlws.FILTER(OFFSET($O$15,0,$DO24,$B$8,1),OFFSET($M$15,0,0,$B$8,1))=DP$14))   /   SUM(OFFSET($BO$15,0,0,$B$14,1)) + $B$18/($B$19*$B$19*($DN24&lt;&gt;$DO24) + $B$19*($DN24=$DO24))</f>
        <v>3.7037037037037035E-4</v>
      </c>
      <c r="DQ24" s="10" cm="1">
        <f t="array" aca="1" ref="DQ24" ca="1">(1-$B$18)*SUMPRODUCT(OFFSET($BO$15,0,0,$B$14,1), 1*(_xlfn._xlws.FILTER(OFFSET($O$15,0,$DN24,$B$8,1),OFFSET($M$15,0,0,$B$8,1))=DQ$13), 1*(_xlfn._xlws.FILTER(OFFSET($O$15,0,$DO24,$B$8,1),OFFSET($M$15,0,0,$B$8,1))=DQ$14))   /   SUM(OFFSET($BO$15,0,0,$B$14,1)) + $B$18/($B$19*$B$19*($DN24&lt;&gt;$DO24) + $B$19*($DN24=$DO24))</f>
        <v>3.7037037037037035E-4</v>
      </c>
      <c r="DR24" s="10" cm="1">
        <f t="array" aca="1" ref="DR24" ca="1">(1-$B$18)*SUMPRODUCT(OFFSET($BO$15,0,0,$B$14,1), 1*(_xlfn._xlws.FILTER(OFFSET($O$15,0,$DN24,$B$8,1),OFFSET($M$15,0,0,$B$8,1))=DR$13), 1*(_xlfn._xlws.FILTER(OFFSET($O$15,0,$DO24,$B$8,1),OFFSET($M$15,0,0,$B$8,1))=DR$14))   /   SUM(OFFSET($BO$15,0,0,$B$14,1)) + $B$18/($B$19*$B$19*($DN24&lt;&gt;$DO24) + $B$19*($DN24=$DO24))</f>
        <v>3.7037037037037035E-4</v>
      </c>
      <c r="DS24" s="10" cm="1">
        <f t="array" aca="1" ref="DS24" ca="1">(1-$B$18)*SUMPRODUCT(OFFSET($BO$15,0,0,$B$14,1), 1*(_xlfn._xlws.FILTER(OFFSET($O$15,0,$DN24,$B$8,1),OFFSET($M$15,0,0,$B$8,1))=DS$13), 1*(_xlfn._xlws.FILTER(OFFSET($O$15,0,$DO24,$B$8,1),OFFSET($M$15,0,0,$B$8,1))=DS$14))   /   SUM(OFFSET($BO$15,0,0,$B$14,1)) + $B$18/($B$19*$B$19*($DN24&lt;&gt;$DO24) + $B$19*($DN24=$DO24))</f>
        <v>3.7037037037037035E-4</v>
      </c>
      <c r="DT24" s="10" cm="1">
        <f t="array" aca="1" ref="DT24" ca="1">(1-$B$18)*SUMPRODUCT(OFFSET($BO$15,0,0,$B$14,1), 1*(_xlfn._xlws.FILTER(OFFSET($O$15,0,$DN24,$B$8,1),OFFSET($M$15,0,0,$B$8,1))=DT$13), 1*(_xlfn._xlws.FILTER(OFFSET($O$15,0,$DO24,$B$8,1),OFFSET($M$15,0,0,$B$8,1))=DT$14))   /   SUM(OFFSET($BO$15,0,0,$B$14,1)) + $B$18/($B$19*$B$19*($DN24&lt;&gt;$DO24) + $B$19*($DN24=$DO24))</f>
        <v>3.7037037037037035E-4</v>
      </c>
      <c r="DU24" s="10" cm="1">
        <f t="array" aca="1" ref="DU24" ca="1">(1-$B$18)*SUMPRODUCT(OFFSET($BO$15,0,0,$B$14,1), 1*(_xlfn._xlws.FILTER(OFFSET($O$15,0,$DN24,$B$8,1),OFFSET($M$15,0,0,$B$8,1))=DU$13), 1*(_xlfn._xlws.FILTER(OFFSET($O$15,0,$DO24,$B$8,1),OFFSET($M$15,0,0,$B$8,1))=DU$14))   /   SUM(OFFSET($BO$15,0,0,$B$14,1)) + $B$18/($B$19*$B$19*($DN24&lt;&gt;$DO24) + $B$19*($DN24=$DO24))</f>
        <v>3.7037037037037035E-4</v>
      </c>
      <c r="DV24" s="10" cm="1">
        <f t="array" aca="1" ref="DV24" ca="1">(1-$B$18)*SUMPRODUCT(OFFSET($BO$15,0,0,$B$14,1), 1*(_xlfn._xlws.FILTER(OFFSET($O$15,0,$DN24,$B$8,1),OFFSET($M$15,0,0,$B$8,1))=DV$13), 1*(_xlfn._xlws.FILTER(OFFSET($O$15,0,$DO24,$B$8,1),OFFSET($M$15,0,0,$B$8,1))=DV$14))   /   SUM(OFFSET($BO$15,0,0,$B$14,1)) + $B$18/($B$19*$B$19*($DN24&lt;&gt;$DO24) + $B$19*($DN24=$DO24))</f>
        <v>3.7037037037037035E-4</v>
      </c>
      <c r="DW24" s="10" cm="1">
        <f t="array" aca="1" ref="DW24" ca="1">(1-$B$18)*SUMPRODUCT(OFFSET($BO$15,0,0,$B$14,1), 1*(_xlfn._xlws.FILTER(OFFSET($O$15,0,$DN24,$B$8,1),OFFSET($M$15,0,0,$B$8,1))=DW$13), 1*(_xlfn._xlws.FILTER(OFFSET($O$15,0,$DO24,$B$8,1),OFFSET($M$15,0,0,$B$8,1))=DW$14))   /   SUM(OFFSET($BO$15,0,0,$B$14,1)) + $B$18/($B$19*$B$19*($DN24&lt;&gt;$DO24) + $B$19*($DN24=$DO24))</f>
        <v>3.7037037037037035E-4</v>
      </c>
      <c r="DX24" s="10" cm="1">
        <f t="array" aca="1" ref="DX24" ca="1">(1-$B$18)*SUMPRODUCT(OFFSET($BO$15,0,0,$B$14,1), 1*(_xlfn._xlws.FILTER(OFFSET($O$15,0,$DN24,$B$8,1),OFFSET($M$15,0,0,$B$8,1))=DX$13), 1*(_xlfn._xlws.FILTER(OFFSET($O$15,0,$DO24,$B$8,1),OFFSET($M$15,0,0,$B$8,1))=DX$14))   /   SUM(OFFSET($BO$15,0,0,$B$14,1)) + $B$18/($B$19*$B$19*($DN24&lt;&gt;$DO24) + $B$19*($DN24=$DO24))</f>
        <v>3.7037037037037035E-4</v>
      </c>
      <c r="DY24" s="10" cm="1">
        <f t="array" aca="1" ref="DY24" ca="1">(1-$B$18)*SUMPRODUCT(OFFSET($BO$15,0,0,$B$14,1), 1*(_xlfn._xlws.FILTER(OFFSET($O$15,0,$DN24,$B$8,1),OFFSET($M$15,0,0,$B$8,1))=DY$13), 1*(_xlfn._xlws.FILTER(OFFSET($O$15,0,$DO24,$B$8,1),OFFSET($M$15,0,0,$B$8,1))=DY$14))   /   SUM(OFFSET($BO$15,0,0,$B$14,1)) + $B$18/($B$19*$B$19*($DN24&lt;&gt;$DO24) + $B$19*($DN24=$DO24))</f>
        <v>3.7037037037037035E-4</v>
      </c>
      <c r="DZ24" s="10" cm="1">
        <f t="array" aca="1" ref="DZ24" ca="1">(1-$B$18)*SUMPRODUCT(OFFSET($BO$15,0,0,$B$14,1), 1*(_xlfn._xlws.FILTER(OFFSET($O$15,0,$DN24,$B$8,1),OFFSET($M$15,0,0,$B$8,1))=DZ$13), 1*(_xlfn._xlws.FILTER(OFFSET($O$15,0,$DO24,$B$8,1),OFFSET($M$15,0,0,$B$8,1))=DZ$14))   /   SUM(OFFSET($BO$15,0,0,$B$14,1)) + $B$18/($B$19*$B$19*($DN24&lt;&gt;$DO24) + $B$19*($DN24=$DO24))</f>
        <v>3.7037037037037035E-4</v>
      </c>
      <c r="EA24" s="10" cm="1">
        <f t="array" aca="1" ref="EA24" ca="1">(1-$B$18)*SUMPRODUCT(OFFSET($BO$15,0,0,$B$14,1), 1*(_xlfn._xlws.FILTER(OFFSET($O$15,0,$DN24,$B$8,1),OFFSET($M$15,0,0,$B$8,1))=EA$13), 1*(_xlfn._xlws.FILTER(OFFSET($O$15,0,$DO24,$B$8,1),OFFSET($M$15,0,0,$B$8,1))=EA$14))   /   SUM(OFFSET($BO$15,0,0,$B$14,1)) + $B$18/($B$19*$B$19*($DN24&lt;&gt;$DO24) + $B$19*($DN24=$DO24))</f>
        <v>3.7037037037037035E-4</v>
      </c>
      <c r="EB24" s="10" cm="1">
        <f t="array" aca="1" ref="EB24" ca="1">(1-$B$18)*SUMPRODUCT(OFFSET($BO$15,0,0,$B$14,1), 1*(_xlfn._xlws.FILTER(OFFSET($O$15,0,$DN24,$B$8,1),OFFSET($M$15,0,0,$B$8,1))=EB$13), 1*(_xlfn._xlws.FILTER(OFFSET($O$15,0,$DO24,$B$8,1),OFFSET($M$15,0,0,$B$8,1))=EB$14))   /   SUM(OFFSET($BO$15,0,0,$B$14,1)) + $B$18/($B$19*$B$19*($DN24&lt;&gt;$DO24) + $B$19*($DN24=$DO24))</f>
        <v>3.7037037037037035E-4</v>
      </c>
      <c r="EC24" s="10" cm="1">
        <f t="array" aca="1" ref="EC24" ca="1">(1-$B$18)*SUMPRODUCT(OFFSET($BO$15,0,0,$B$14,1), 1*(_xlfn._xlws.FILTER(OFFSET($O$15,0,$DN24,$B$8,1),OFFSET($M$15,0,0,$B$8,1))=EC$13), 1*(_xlfn._xlws.FILTER(OFFSET($O$15,0,$DO24,$B$8,1),OFFSET($M$15,0,0,$B$8,1))=EC$14))   /   SUM(OFFSET($BO$15,0,0,$B$14,1)) + $B$18/($B$19*$B$19*($DN24&lt;&gt;$DO24) + $B$19*($DN24=$DO24))</f>
        <v>3.7037037037037035E-4</v>
      </c>
      <c r="ED24" s="10" cm="1">
        <f t="array" aca="1" ref="ED24" ca="1">(1-$B$18)*SUMPRODUCT(OFFSET($BO$15,0,0,$B$14,1), 1*(_xlfn._xlws.FILTER(OFFSET($O$15,0,$DN24,$B$8,1),OFFSET($M$15,0,0,$B$8,1))=ED$13), 1*(_xlfn._xlws.FILTER(OFFSET($O$15,0,$DO24,$B$8,1),OFFSET($M$15,0,0,$B$8,1))=ED$14))   /   SUM(OFFSET($BO$15,0,0,$B$14,1)) + $B$18/($B$19*$B$19*($DN24&lt;&gt;$DO24) + $B$19*($DN24=$DO24))</f>
        <v>3.7037037037037035E-4</v>
      </c>
      <c r="EE24" s="10" cm="1">
        <f t="array" aca="1" ref="EE24" ca="1">(1-$B$18)*SUMPRODUCT(OFFSET($BO$15,0,0,$B$14,1), 1*(_xlfn._xlws.FILTER(OFFSET($O$15,0,$DN24,$B$8,1),OFFSET($M$15,0,0,$B$8,1))=EE$13), 1*(_xlfn._xlws.FILTER(OFFSET($O$15,0,$DO24,$B$8,1),OFFSET($M$15,0,0,$B$8,1))=EE$14))   /   SUM(OFFSET($BO$15,0,0,$B$14,1)) + $B$18/($B$19*$B$19*($DN24&lt;&gt;$DO24) + $B$19*($DN24=$DO24))</f>
        <v>3.7037037037037035E-4</v>
      </c>
      <c r="EF24" s="10" cm="1">
        <f t="array" aca="1" ref="EF24" ca="1">(1-$B$18)*SUMPRODUCT(OFFSET($BO$15,0,0,$B$14,1), 1*(_xlfn._xlws.FILTER(OFFSET($O$15,0,$DN24,$B$8,1),OFFSET($M$15,0,0,$B$8,1))=EF$13), 1*(_xlfn._xlws.FILTER(OFFSET($O$15,0,$DO24,$B$8,1),OFFSET($M$15,0,0,$B$8,1))=EF$14))   /   SUM(OFFSET($BO$15,0,0,$B$14,1)) + $B$18/($B$19*$B$19*($DN24&lt;&gt;$DO24) + $B$19*($DN24=$DO24))</f>
        <v>3.7037037037037035E-4</v>
      </c>
      <c r="EG24" s="10" cm="1">
        <f t="array" aca="1" ref="EG24" ca="1">(1-$B$18)*SUMPRODUCT(OFFSET($BO$15,0,0,$B$14,1), 1*(_xlfn._xlws.FILTER(OFFSET($O$15,0,$DN24,$B$8,1),OFFSET($M$15,0,0,$B$8,1))=EG$13), 1*(_xlfn._xlws.FILTER(OFFSET($O$15,0,$DO24,$B$8,1),OFFSET($M$15,0,0,$B$8,1))=EG$14))   /   SUM(OFFSET($BO$15,0,0,$B$14,1)) + $B$18/($B$19*$B$19*($DN24&lt;&gt;$DO24) + $B$19*($DN24=$DO24))</f>
        <v>3.7037037037037035E-4</v>
      </c>
      <c r="EH24" s="10" cm="1">
        <f t="array" aca="1" ref="EH24" ca="1">(1-$B$18)*SUMPRODUCT(OFFSET($BO$15,0,0,$B$14,1), 1*(_xlfn._xlws.FILTER(OFFSET($O$15,0,$DN24,$B$8,1),OFFSET($M$15,0,0,$B$8,1))=EH$13), 1*(_xlfn._xlws.FILTER(OFFSET($O$15,0,$DO24,$B$8,1),OFFSET($M$15,0,0,$B$8,1))=EH$14))   /   SUM(OFFSET($BO$15,0,0,$B$14,1)) + $B$18/($B$19*$B$19*($DN24&lt;&gt;$DO24) + $B$19*($DN24=$DO24))</f>
        <v>3.7037037037037035E-4</v>
      </c>
      <c r="EI24" s="10" cm="1">
        <f t="array" aca="1" ref="EI24" ca="1">(1-$B$18)*SUMPRODUCT(OFFSET($BO$15,0,0,$B$14,1), 1*(_xlfn._xlws.FILTER(OFFSET($O$15,0,$DN24,$B$8,1),OFFSET($M$15,0,0,$B$8,1))=EI$13), 1*(_xlfn._xlws.FILTER(OFFSET($O$15,0,$DO24,$B$8,1),OFFSET($M$15,0,0,$B$8,1))=EI$14))   /   SUM(OFFSET($BO$15,0,0,$B$14,1)) + $B$18/($B$19*$B$19*($DN24&lt;&gt;$DO24) + $B$19*($DN24=$DO24))</f>
        <v>3.7037037037037035E-4</v>
      </c>
      <c r="EJ24" s="10" cm="1">
        <f t="array" aca="1" ref="EJ24" ca="1">(1-$B$18)*SUMPRODUCT(OFFSET($BO$15,0,0,$B$14,1), 1*(_xlfn._xlws.FILTER(OFFSET($O$15,0,$DN24,$B$8,1),OFFSET($M$15,0,0,$B$8,1))=EJ$13), 1*(_xlfn._xlws.FILTER(OFFSET($O$15,0,$DO24,$B$8,1),OFFSET($M$15,0,0,$B$8,1))=EJ$14))   /   SUM(OFFSET($BO$15,0,0,$B$14,1)) + $B$18/($B$19*$B$19*($DN24&lt;&gt;$DO24) + $B$19*($DN24=$DO24))</f>
        <v>3.7037037037037035E-4</v>
      </c>
      <c r="EK24" s="10" cm="1">
        <f t="array" aca="1" ref="EK24" ca="1">(1-$B$18)*SUMPRODUCT(OFFSET($BO$15,0,0,$B$14,1), 1*(_xlfn._xlws.FILTER(OFFSET($O$15,0,$DN24,$B$8,1),OFFSET($M$15,0,0,$B$8,1))=EK$13), 1*(_xlfn._xlws.FILTER(OFFSET($O$15,0,$DO24,$B$8,1),OFFSET($M$15,0,0,$B$8,1))=EK$14))   /   SUM(OFFSET($BO$15,0,0,$B$14,1)) + $B$18/($B$19*$B$19*($DN24&lt;&gt;$DO24) + $B$19*($DN24=$DO24))</f>
        <v>3.7037037037037035E-4</v>
      </c>
      <c r="EL24" s="10" cm="1">
        <f t="array" aca="1" ref="EL24" ca="1">(1-$B$18)*SUMPRODUCT(OFFSET($BO$15,0,0,$B$14,1), 1*(_xlfn._xlws.FILTER(OFFSET($O$15,0,$DN24,$B$8,1),OFFSET($M$15,0,0,$B$8,1))=EL$13), 1*(_xlfn._xlws.FILTER(OFFSET($O$15,0,$DO24,$B$8,1),OFFSET($M$15,0,0,$B$8,1))=EL$14))   /   SUM(OFFSET($BO$15,0,0,$B$14,1)) + $B$18/($B$19*$B$19*($DN24&lt;&gt;$DO24) + $B$19*($DN24=$DO24))</f>
        <v>3.7037037037037035E-4</v>
      </c>
      <c r="EM24" s="10" cm="1">
        <f t="array" aca="1" ref="EM24" ca="1">(1-$B$18)*SUMPRODUCT(OFFSET($BO$15,0,0,$B$14,1), 1*(_xlfn._xlws.FILTER(OFFSET($O$15,0,$DN24,$B$8,1),OFFSET($M$15,0,0,$B$8,1))=EM$13), 1*(_xlfn._xlws.FILTER(OFFSET($O$15,0,$DO24,$B$8,1),OFFSET($M$15,0,0,$B$8,1))=EM$14))   /   SUM(OFFSET($BO$15,0,0,$B$14,1)) + $B$18/($B$19*$B$19*($DN24&lt;&gt;$DO24) + $B$19*($DN24=$DO24))</f>
        <v>3.7037037037037035E-4</v>
      </c>
      <c r="EN24" s="10" cm="1">
        <f t="array" aca="1" ref="EN24" ca="1">(1-$B$18)*SUMPRODUCT(OFFSET($BO$15,0,0,$B$14,1), 1*(_xlfn._xlws.FILTER(OFFSET($O$15,0,$DN24,$B$8,1),OFFSET($M$15,0,0,$B$8,1))=EN$13), 1*(_xlfn._xlws.FILTER(OFFSET($O$15,0,$DO24,$B$8,1),OFFSET($M$15,0,0,$B$8,1))=EN$14))   /   SUM(OFFSET($BO$15,0,0,$B$14,1)) + $B$18/($B$19*$B$19*($DN24&lt;&gt;$DO24) + $B$19*($DN24=$DO24))</f>
        <v>3.7037037037037035E-4</v>
      </c>
      <c r="EO24" s="10" cm="1">
        <f t="array" aca="1" ref="EO24" ca="1">(1-$B$18)*SUMPRODUCT(OFFSET($BO$15,0,0,$B$14,1), 1*(_xlfn._xlws.FILTER(OFFSET($O$15,0,$DN24,$B$8,1),OFFSET($M$15,0,0,$B$8,1))=EO$13), 1*(_xlfn._xlws.FILTER(OFFSET($O$15,0,$DO24,$B$8,1),OFFSET($M$15,0,0,$B$8,1))=EO$14))   /   SUM(OFFSET($BO$15,0,0,$B$14,1)) + $B$18/($B$19*$B$19*($DN24&lt;&gt;$DO24) + $B$19*($DN24=$DO24))</f>
        <v>3.7037037037037035E-4</v>
      </c>
      <c r="EP24" s="10" cm="1">
        <f t="array" aca="1" ref="EP24" ca="1">(1-$B$18)*SUMPRODUCT(OFFSET($BO$15,0,0,$B$14,1), 1*(_xlfn._xlws.FILTER(OFFSET($O$15,0,$DN24,$B$8,1),OFFSET($M$15,0,0,$B$8,1))=EP$13), 1*(_xlfn._xlws.FILTER(OFFSET($O$15,0,$DO24,$B$8,1),OFFSET($M$15,0,0,$B$8,1))=EP$14))   /   SUM(OFFSET($BO$15,0,0,$B$14,1)) + $B$18/($B$19*$B$19*($DN24&lt;&gt;$DO24) + $B$19*($DN24=$DO24))</f>
        <v>3.7037037037037035E-4</v>
      </c>
      <c r="EQ24" s="10" cm="1">
        <f t="array" aca="1" ref="EQ24" ca="1">(1-$B$18)*SUMPRODUCT(OFFSET($BO$15,0,0,$B$14,1), 1*(_xlfn._xlws.FILTER(OFFSET($O$15,0,$DN24,$B$8,1),OFFSET($M$15,0,0,$B$8,1))=EQ$13), 1*(_xlfn._xlws.FILTER(OFFSET($O$15,0,$DO24,$B$8,1),OFFSET($M$15,0,0,$B$8,1))=EQ$14))   /   SUM(OFFSET($BO$15,0,0,$B$14,1)) + $B$18/($B$19*$B$19*($DN24&lt;&gt;$DO24) + $B$19*($DN24=$DO24))</f>
        <v>3.7037037037037035E-4</v>
      </c>
      <c r="ER24" s="10" cm="1">
        <f t="array" aca="1" ref="ER24" ca="1">(1-$B$18)*SUMPRODUCT(OFFSET($BO$15,0,0,$B$14,1), 1*(_xlfn._xlws.FILTER(OFFSET($O$15,0,$DN24,$B$8,1),OFFSET($M$15,0,0,$B$8,1))=ER$13), 1*(_xlfn._xlws.FILTER(OFFSET($O$15,0,$DO24,$B$8,1),OFFSET($M$15,0,0,$B$8,1))=ER$14))   /   SUM(OFFSET($BO$15,0,0,$B$14,1)) + $B$18/($B$19*$B$19*($DN24&lt;&gt;$DO24) + $B$19*($DN24=$DO24))</f>
        <v>3.7037037037037035E-4</v>
      </c>
      <c r="ES24" s="10" cm="1">
        <f t="array" aca="1" ref="ES24" ca="1">(1-$B$18)*SUMPRODUCT(OFFSET($BO$15,0,0,$B$14,1), 1*(_xlfn._xlws.FILTER(OFFSET($O$15,0,$DN24,$B$8,1),OFFSET($M$15,0,0,$B$8,1))=ES$13), 1*(_xlfn._xlws.FILTER(OFFSET($O$15,0,$DO24,$B$8,1),OFFSET($M$15,0,0,$B$8,1))=ES$14))   /   SUM(OFFSET($BO$15,0,0,$B$14,1)) + $B$18/($B$19*$B$19*($DN24&lt;&gt;$DO24) + $B$19*($DN24=$DO24))</f>
        <v>3.7037037037037035E-4</v>
      </c>
      <c r="ET24" s="10" cm="1">
        <f t="array" aca="1" ref="ET24" ca="1">(1-$B$18)*SUMPRODUCT(OFFSET($BO$15,0,0,$B$14,1), 1*(_xlfn._xlws.FILTER(OFFSET($O$15,0,$DN24,$B$8,1),OFFSET($M$15,0,0,$B$8,1))=ET$13), 1*(_xlfn._xlws.FILTER(OFFSET($O$15,0,$DO24,$B$8,1),OFFSET($M$15,0,0,$B$8,1))=ET$14))   /   SUM(OFFSET($BO$15,0,0,$B$14,1)) + $B$18/($B$19*$B$19*($DN24&lt;&gt;$DO24) + $B$19*($DN24=$DO24))</f>
        <v>3.7037037037037035E-4</v>
      </c>
      <c r="EU24" s="10" cm="1">
        <f t="array" aca="1" ref="EU24" ca="1">(1-$B$18)*SUMPRODUCT(OFFSET($BO$15,0,0,$B$14,1), 1*(_xlfn._xlws.FILTER(OFFSET($O$15,0,$DN24,$B$8,1),OFFSET($M$15,0,0,$B$8,1))=EU$13), 1*(_xlfn._xlws.FILTER(OFFSET($O$15,0,$DO24,$B$8,1),OFFSET($M$15,0,0,$B$8,1))=EU$14))   /   SUM(OFFSET($BO$15,0,0,$B$14,1)) + $B$18/($B$19*$B$19*($DN24&lt;&gt;$DO24) + $B$19*($DN24=$DO24))</f>
        <v>3.7037037037037035E-4</v>
      </c>
      <c r="EV24" s="10" cm="1">
        <f t="array" aca="1" ref="EV24" ca="1">(1-$B$18)*SUMPRODUCT(OFFSET($BO$15,0,0,$B$14,1), 1*(_xlfn._xlws.FILTER(OFFSET($O$15,0,$DN24,$B$8,1),OFFSET($M$15,0,0,$B$8,1))=EV$13), 1*(_xlfn._xlws.FILTER(OFFSET($O$15,0,$DO24,$B$8,1),OFFSET($M$15,0,0,$B$8,1))=EV$14))   /   SUM(OFFSET($BO$15,0,0,$B$14,1)) + $B$18/($B$19*$B$19*($DN24&lt;&gt;$DO24) + $B$19*($DN24=$DO24))</f>
        <v>3.7037037037037035E-4</v>
      </c>
      <c r="EW24" s="10" cm="1">
        <f t="array" aca="1" ref="EW24" ca="1">(1-$B$18)*SUMPRODUCT(OFFSET($BO$15,0,0,$B$14,1), 1*(_xlfn._xlws.FILTER(OFFSET($O$15,0,$DN24,$B$8,1),OFFSET($M$15,0,0,$B$8,1))=EW$13), 1*(_xlfn._xlws.FILTER(OFFSET($O$15,0,$DO24,$B$8,1),OFFSET($M$15,0,0,$B$8,1))=EW$14))   /   SUM(OFFSET($BO$15,0,0,$B$14,1)) + $B$18/($B$19*$B$19*($DN24&lt;&gt;$DO24) + $B$19*($DN24=$DO24))</f>
        <v>3.7037037037037035E-4</v>
      </c>
      <c r="EX24" s="10" cm="1">
        <f t="array" aca="1" ref="EX24" ca="1">(1-$B$18)*SUMPRODUCT(OFFSET($BO$15,0,0,$B$14,1), 1*(_xlfn._xlws.FILTER(OFFSET($O$15,0,$DN24,$B$8,1),OFFSET($M$15,0,0,$B$8,1))=EX$13), 1*(_xlfn._xlws.FILTER(OFFSET($O$15,0,$DO24,$B$8,1),OFFSET($M$15,0,0,$B$8,1))=EX$14))   /   SUM(OFFSET($BO$15,0,0,$B$14,1)) + $B$18/($B$19*$B$19*($DN24&lt;&gt;$DO24) + $B$19*($DN24=$DO24))</f>
        <v>3.7037037037037035E-4</v>
      </c>
      <c r="EY24" s="10" cm="1">
        <f t="array" aca="1" ref="EY24" ca="1">(1-$B$18)*SUMPRODUCT(OFFSET($BO$15,0,0,$B$14,1), 1*(_xlfn._xlws.FILTER(OFFSET($O$15,0,$DN24,$B$8,1),OFFSET($M$15,0,0,$B$8,1))=EY$13), 1*(_xlfn._xlws.FILTER(OFFSET($O$15,0,$DO24,$B$8,1),OFFSET($M$15,0,0,$B$8,1))=EY$14))   /   SUM(OFFSET($BO$15,0,0,$B$14,1)) + $B$18/($B$19*$B$19*($DN24&lt;&gt;$DO24) + $B$19*($DN24=$DO24))</f>
        <v>3.7037037037037035E-4</v>
      </c>
      <c r="EZ24" s="10" cm="1">
        <f t="array" aca="1" ref="EZ24" ca="1">(1-$B$18)*SUMPRODUCT(OFFSET($BO$15,0,0,$B$14,1), 1*(_xlfn._xlws.FILTER(OFFSET($O$15,0,$DN24,$B$8,1),OFFSET($M$15,0,0,$B$8,1))=EZ$13), 1*(_xlfn._xlws.FILTER(OFFSET($O$15,0,$DO24,$B$8,1),OFFSET($M$15,0,0,$B$8,1))=EZ$14))   /   SUM(OFFSET($BO$15,0,0,$B$14,1)) + $B$18/($B$19*$B$19*($DN24&lt;&gt;$DO24) + $B$19*($DN24=$DO24))</f>
        <v>3.7037037037037035E-4</v>
      </c>
      <c r="FA24" s="10" cm="1">
        <f t="array" aca="1" ref="FA24" ca="1">(1-$B$18)*SUMPRODUCT(OFFSET($BO$15,0,0,$B$14,1), 1*(_xlfn._xlws.FILTER(OFFSET($O$15,0,$DN24,$B$8,1),OFFSET($M$15,0,0,$B$8,1))=FA$13), 1*(_xlfn._xlws.FILTER(OFFSET($O$15,0,$DO24,$B$8,1),OFFSET($M$15,0,0,$B$8,1))=FA$14))   /   SUM(OFFSET($BO$15,0,0,$B$14,1)) + $B$18/($B$19*$B$19*($DN24&lt;&gt;$DO24) + $B$19*($DN24=$DO24))</f>
        <v>3.7037037037037035E-4</v>
      </c>
      <c r="FB24" s="10" cm="1">
        <f t="array" aca="1" ref="FB24" ca="1">(1-$B$18)*SUMPRODUCT(OFFSET($BO$15,0,0,$B$14,1), 1*(_xlfn._xlws.FILTER(OFFSET($O$15,0,$DN24,$B$8,1),OFFSET($M$15,0,0,$B$8,1))=FB$13), 1*(_xlfn._xlws.FILTER(OFFSET($O$15,0,$DO24,$B$8,1),OFFSET($M$15,0,0,$B$8,1))=FB$14))   /   SUM(OFFSET($BO$15,0,0,$B$14,1)) + $B$18/($B$19*$B$19*($DN24&lt;&gt;$DO24) + $B$19*($DN24=$DO24))</f>
        <v>3.7037037037037035E-4</v>
      </c>
      <c r="FC24" s="10" cm="1">
        <f t="array" aca="1" ref="FC24" ca="1">(1-$B$18)*SUMPRODUCT(OFFSET($BO$15,0,0,$B$14,1), 1*(_xlfn._xlws.FILTER(OFFSET($O$15,0,$DN24,$B$8,1),OFFSET($M$15,0,0,$B$8,1))=FC$13), 1*(_xlfn._xlws.FILTER(OFFSET($O$15,0,$DO24,$B$8,1),OFFSET($M$15,0,0,$B$8,1))=FC$14))   /   SUM(OFFSET($BO$15,0,0,$B$14,1)) + $B$18/($B$19*$B$19*($DN24&lt;&gt;$DO24) + $B$19*($DN24=$DO24))</f>
        <v>3.7037037037037035E-4</v>
      </c>
      <c r="FD24" s="10" cm="1">
        <f t="array" aca="1" ref="FD24" ca="1">(1-$B$18)*SUMPRODUCT(OFFSET($BO$15,0,0,$B$14,1), 1*(_xlfn._xlws.FILTER(OFFSET($O$15,0,$DN24,$B$8,1),OFFSET($M$15,0,0,$B$8,1))=FD$13), 1*(_xlfn._xlws.FILTER(OFFSET($O$15,0,$DO24,$B$8,1),OFFSET($M$15,0,0,$B$8,1))=FD$14))   /   SUM(OFFSET($BO$15,0,0,$B$14,1)) + $B$18/($B$19*$B$19*($DN24&lt;&gt;$DO24) + $B$19*($DN24=$DO24))</f>
        <v>3.7037037037037035E-4</v>
      </c>
      <c r="FE24" s="10" cm="1">
        <f t="array" aca="1" ref="FE24" ca="1">(1-$B$18)*SUMPRODUCT(OFFSET($BO$15,0,0,$B$14,1), 1*(_xlfn._xlws.FILTER(OFFSET($O$15,0,$DN24,$B$8,1),OFFSET($M$15,0,0,$B$8,1))=FE$13), 1*(_xlfn._xlws.FILTER(OFFSET($O$15,0,$DO24,$B$8,1),OFFSET($M$15,0,0,$B$8,1))=FE$14))   /   SUM(OFFSET($BO$15,0,0,$B$14,1)) + $B$18/($B$19*$B$19*($DN24&lt;&gt;$DO24) + $B$19*($DN24=$DO24))</f>
        <v>3.7037037037037035E-4</v>
      </c>
      <c r="FF24" s="10" cm="1">
        <f t="array" aca="1" ref="FF24" ca="1">(1-$B$18)*SUMPRODUCT(OFFSET($BO$15,0,0,$B$14,1), 1*(_xlfn._xlws.FILTER(OFFSET($O$15,0,$DN24,$B$8,1),OFFSET($M$15,0,0,$B$8,1))=FF$13), 1*(_xlfn._xlws.FILTER(OFFSET($O$15,0,$DO24,$B$8,1),OFFSET($M$15,0,0,$B$8,1))=FF$14))   /   SUM(OFFSET($BO$15,0,0,$B$14,1)) + $B$18/($B$19*$B$19*($DN24&lt;&gt;$DO24) + $B$19*($DN24=$DO24))</f>
        <v>3.7037037037037035E-4</v>
      </c>
      <c r="FG24" s="10" cm="1">
        <f t="array" aca="1" ref="FG24" ca="1">(1-$B$18)*SUMPRODUCT(OFFSET($BO$15,0,0,$B$14,1), 1*(_xlfn._xlws.FILTER(OFFSET($O$15,0,$DN24,$B$8,1),OFFSET($M$15,0,0,$B$8,1))=FG$13), 1*(_xlfn._xlws.FILTER(OFFSET($O$15,0,$DO24,$B$8,1),OFFSET($M$15,0,0,$B$8,1))=FG$14))   /   SUM(OFFSET($BO$15,0,0,$B$14,1)) + $B$18/($B$19*$B$19*($DN24&lt;&gt;$DO24) + $B$19*($DN24=$DO24))</f>
        <v>3.7037037037037035E-4</v>
      </c>
      <c r="FH24" s="10" cm="1">
        <f t="array" aca="1" ref="FH24" ca="1">(1-$B$18)*SUMPRODUCT(OFFSET($BO$15,0,0,$B$14,1), 1*(_xlfn._xlws.FILTER(OFFSET($O$15,0,$DN24,$B$8,1),OFFSET($M$15,0,0,$B$8,1))=FH$13), 1*(_xlfn._xlws.FILTER(OFFSET($O$15,0,$DO24,$B$8,1),OFFSET($M$15,0,0,$B$8,1))=FH$14))   /   SUM(OFFSET($BO$15,0,0,$B$14,1)) + $B$18/($B$19*$B$19*($DN24&lt;&gt;$DO24) + $B$19*($DN24=$DO24))</f>
        <v>3.7037037037037035E-4</v>
      </c>
      <c r="FI24" s="10" cm="1">
        <f t="array" aca="1" ref="FI24" ca="1">(1-$B$18)*SUMPRODUCT(OFFSET($BO$15,0,0,$B$14,1), 1*(_xlfn._xlws.FILTER(OFFSET($O$15,0,$DN24,$B$8,1),OFFSET($M$15,0,0,$B$8,1))=FI$13), 1*(_xlfn._xlws.FILTER(OFFSET($O$15,0,$DO24,$B$8,1),OFFSET($M$15,0,0,$B$8,1))=FI$14))   /   SUM(OFFSET($BO$15,0,0,$B$14,1)) + $B$18/($B$19*$B$19*($DN24&lt;&gt;$DO24) + $B$19*($DN24=$DO24))</f>
        <v>3.7037037037037035E-4</v>
      </c>
      <c r="FJ24" s="10" cm="1">
        <f t="array" aca="1" ref="FJ24" ca="1">(1-$B$18)*SUMPRODUCT(OFFSET($BO$15,0,0,$B$14,1), 1*(_xlfn._xlws.FILTER(OFFSET($O$15,0,$DN24,$B$8,1),OFFSET($M$15,0,0,$B$8,1))=FJ$13), 1*(_xlfn._xlws.FILTER(OFFSET($O$15,0,$DO24,$B$8,1),OFFSET($M$15,0,0,$B$8,1))=FJ$14))   /   SUM(OFFSET($BO$15,0,0,$B$14,1)) + $B$18/($B$19*$B$19*($DN24&lt;&gt;$DO24) + $B$19*($DN24=$DO24))</f>
        <v>3.7037037037037035E-4</v>
      </c>
      <c r="FK24" s="10" cm="1">
        <f t="array" aca="1" ref="FK24" ca="1">(1-$B$18)*SUMPRODUCT(OFFSET($BO$15,0,0,$B$14,1), 1*(_xlfn._xlws.FILTER(OFFSET($O$15,0,$DN24,$B$8,1),OFFSET($M$15,0,0,$B$8,1))=FK$13), 1*(_xlfn._xlws.FILTER(OFFSET($O$15,0,$DO24,$B$8,1),OFFSET($M$15,0,0,$B$8,1))=FK$14))   /   SUM(OFFSET($BO$15,0,0,$B$14,1)) + $B$18/($B$19*$B$19*($DN24&lt;&gt;$DO24) + $B$19*($DN24=$DO24))</f>
        <v>3.7037037037037035E-4</v>
      </c>
      <c r="FL24" s="10" cm="1">
        <f t="array" aca="1" ref="FL24" ca="1">(1-$B$18)*SUMPRODUCT(OFFSET($BO$15,0,0,$B$14,1), 1*(_xlfn._xlws.FILTER(OFFSET($O$15,0,$DN24,$B$8,1),OFFSET($M$15,0,0,$B$8,1))=FL$13), 1*(_xlfn._xlws.FILTER(OFFSET($O$15,0,$DO24,$B$8,1),OFFSET($M$15,0,0,$B$8,1))=FL$14))   /   SUM(OFFSET($BO$15,0,0,$B$14,1)) + $B$18/($B$19*$B$19*($DN24&lt;&gt;$DO24) + $B$19*($DN24=$DO24))</f>
        <v>3.7037037037037035E-4</v>
      </c>
      <c r="FM24" s="10" cm="1">
        <f t="array" aca="1" ref="FM24" ca="1">(1-$B$18)*SUMPRODUCT(OFFSET($BO$15,0,0,$B$14,1), 1*(_xlfn._xlws.FILTER(OFFSET($O$15,0,$DN24,$B$8,1),OFFSET($M$15,0,0,$B$8,1))=FM$13), 1*(_xlfn._xlws.FILTER(OFFSET($O$15,0,$DO24,$B$8,1),OFFSET($M$15,0,0,$B$8,1))=FM$14))   /   SUM(OFFSET($BO$15,0,0,$B$14,1)) + $B$18/($B$19*$B$19*($DN24&lt;&gt;$DO24) + $B$19*($DN24=$DO24))</f>
        <v>3.7037037037037035E-4</v>
      </c>
      <c r="FN24" s="10" cm="1">
        <f t="array" aca="1" ref="FN24" ca="1">(1-$B$18)*SUMPRODUCT(OFFSET($BO$15,0,0,$B$14,1), 1*(_xlfn._xlws.FILTER(OFFSET($O$15,0,$DN24,$B$8,1),OFFSET($M$15,0,0,$B$8,1))=FN$13), 1*(_xlfn._xlws.FILTER(OFFSET($O$15,0,$DO24,$B$8,1),OFFSET($M$15,0,0,$B$8,1))=FN$14))   /   SUM(OFFSET($BO$15,0,0,$B$14,1)) + $B$18/($B$19*$B$19*($DN24&lt;&gt;$DO24) + $B$19*($DN24=$DO24))</f>
        <v>3.7037037037037035E-4</v>
      </c>
      <c r="FO24" s="10" cm="1">
        <f t="array" aca="1" ref="FO24" ca="1">(1-$B$18)*SUMPRODUCT(OFFSET($BO$15,0,0,$B$14,1), 1*(_xlfn._xlws.FILTER(OFFSET($O$15,0,$DN24,$B$8,1),OFFSET($M$15,0,0,$B$8,1))=FO$13), 1*(_xlfn._xlws.FILTER(OFFSET($O$15,0,$DO24,$B$8,1),OFFSET($M$15,0,0,$B$8,1))=FO$14))   /   SUM(OFFSET($BO$15,0,0,$B$14,1)) + $B$18/($B$19*$B$19*($DN24&lt;&gt;$DO24) + $B$19*($DN24=$DO24))</f>
        <v>3.7037037037037035E-4</v>
      </c>
      <c r="FP24" s="10" cm="1">
        <f t="array" aca="1" ref="FP24" ca="1">(1-$B$18)*SUMPRODUCT(OFFSET($BO$15,0,0,$B$14,1), 1*(_xlfn._xlws.FILTER(OFFSET($O$15,0,$DN24,$B$8,1),OFFSET($M$15,0,0,$B$8,1))=FP$13), 1*(_xlfn._xlws.FILTER(OFFSET($O$15,0,$DO24,$B$8,1),OFFSET($M$15,0,0,$B$8,1))=FP$14))   /   SUM(OFFSET($BO$15,0,0,$B$14,1)) + $B$18/($B$19*$B$19*($DN24&lt;&gt;$DO24) + $B$19*($DN24=$DO24))</f>
        <v>3.7037037037037035E-4</v>
      </c>
      <c r="FQ24" s="10" cm="1">
        <f t="array" aca="1" ref="FQ24" ca="1">(1-$B$18)*SUMPRODUCT(OFFSET($BO$15,0,0,$B$14,1), 1*(_xlfn._xlws.FILTER(OFFSET($O$15,0,$DN24,$B$8,1),OFFSET($M$15,0,0,$B$8,1))=FQ$13), 1*(_xlfn._xlws.FILTER(OFFSET($O$15,0,$DO24,$B$8,1),OFFSET($M$15,0,0,$B$8,1))=FQ$14))   /   SUM(OFFSET($BO$15,0,0,$B$14,1)) + $B$18/($B$19*$B$19*($DN24&lt;&gt;$DO24) + $B$19*($DN24=$DO24))</f>
        <v>3.7037037037037035E-4</v>
      </c>
      <c r="FR24" s="10" cm="1">
        <f t="array" aca="1" ref="FR24" ca="1">(1-$B$18)*SUMPRODUCT(OFFSET($BO$15,0,0,$B$14,1), 1*(_xlfn._xlws.FILTER(OFFSET($O$15,0,$DN24,$B$8,1),OFFSET($M$15,0,0,$B$8,1))=FR$13), 1*(_xlfn._xlws.FILTER(OFFSET($O$15,0,$DO24,$B$8,1),OFFSET($M$15,0,0,$B$8,1))=FR$14))   /   SUM(OFFSET($BO$15,0,0,$B$14,1)) + $B$18/($B$19*$B$19*($DN24&lt;&gt;$DO24) + $B$19*($DN24=$DO24))</f>
        <v>0.97037037037037033</v>
      </c>
      <c r="FS24" s="10" cm="1">
        <f t="array" aca="1" ref="FS24" ca="1">(1-$B$18)*SUMPRODUCT(OFFSET($BO$15,0,0,$B$14,1), 1*(_xlfn._xlws.FILTER(OFFSET($O$15,0,$DN24,$B$8,1),OFFSET($M$15,0,0,$B$8,1))=FS$13), 1*(_xlfn._xlws.FILTER(OFFSET($O$15,0,$DO24,$B$8,1),OFFSET($M$15,0,0,$B$8,1))=FS$14))   /   SUM(OFFSET($BO$15,0,0,$B$14,1)) + $B$18/($B$19*$B$19*($DN24&lt;&gt;$DO24) + $B$19*($DN24=$DO24))</f>
        <v>3.7037037037037035E-4</v>
      </c>
      <c r="FT24" s="10" cm="1">
        <f t="array" aca="1" ref="FT24" ca="1">(1-$B$18)*SUMPRODUCT(OFFSET($BO$15,0,0,$B$14,1), 1*(_xlfn._xlws.FILTER(OFFSET($O$15,0,$DN24,$B$8,1),OFFSET($M$15,0,0,$B$8,1))=FT$13), 1*(_xlfn._xlws.FILTER(OFFSET($O$15,0,$DO24,$B$8,1),OFFSET($M$15,0,0,$B$8,1))=FT$14))   /   SUM(OFFSET($BO$15,0,0,$B$14,1)) + $B$18/($B$19*$B$19*($DN24&lt;&gt;$DO24) + $B$19*($DN24=$DO24))</f>
        <v>3.7037037037037035E-4</v>
      </c>
      <c r="FU24" s="10" cm="1">
        <f t="array" aca="1" ref="FU24" ca="1">(1-$B$18)*SUMPRODUCT(OFFSET($BO$15,0,0,$B$14,1), 1*(_xlfn._xlws.FILTER(OFFSET($O$15,0,$DN24,$B$8,1),OFFSET($M$15,0,0,$B$8,1))=FU$13), 1*(_xlfn._xlws.FILTER(OFFSET($O$15,0,$DO24,$B$8,1),OFFSET($M$15,0,0,$B$8,1))=FU$14))   /   SUM(OFFSET($BO$15,0,0,$B$14,1)) + $B$18/($B$19*$B$19*($DN24&lt;&gt;$DO24) + $B$19*($DN24=$DO24))</f>
        <v>3.7037037037037035E-4</v>
      </c>
      <c r="FV24" s="10" cm="1">
        <f t="array" aca="1" ref="FV24" ca="1">(1-$B$18)*SUMPRODUCT(OFFSET($BO$15,0,0,$B$14,1), 1*(_xlfn._xlws.FILTER(OFFSET($O$15,0,$DN24,$B$8,1),OFFSET($M$15,0,0,$B$8,1))=FV$13), 1*(_xlfn._xlws.FILTER(OFFSET($O$15,0,$DO24,$B$8,1),OFFSET($M$15,0,0,$B$8,1))=FV$14))   /   SUM(OFFSET($BO$15,0,0,$B$14,1)) + $B$18/($B$19*$B$19*($DN24&lt;&gt;$DO24) + $B$19*($DN24=$DO24))</f>
        <v>3.7037037037037035E-4</v>
      </c>
      <c r="FW24" s="10" cm="1">
        <f t="array" aca="1" ref="FW24" ca="1">(1-$B$18)*SUMPRODUCT(OFFSET($BO$15,0,0,$B$14,1), 1*(_xlfn._xlws.FILTER(OFFSET($O$15,0,$DN24,$B$8,1),OFFSET($M$15,0,0,$B$8,1))=FW$13), 1*(_xlfn._xlws.FILTER(OFFSET($O$15,0,$DO24,$B$8,1),OFFSET($M$15,0,0,$B$8,1))=FW$14))   /   SUM(OFFSET($BO$15,0,0,$B$14,1)) + $B$18/($B$19*$B$19*($DN24&lt;&gt;$DO24) + $B$19*($DN24=$DO24))</f>
        <v>3.7037037037037035E-4</v>
      </c>
      <c r="FX24" s="10" cm="1">
        <f t="array" aca="1" ref="FX24" ca="1">(1-$B$18)*SUMPRODUCT(OFFSET($BO$15,0,0,$B$14,1), 1*(_xlfn._xlws.FILTER(OFFSET($O$15,0,$DN24,$B$8,1),OFFSET($M$15,0,0,$B$8,1))=FX$13), 1*(_xlfn._xlws.FILTER(OFFSET($O$15,0,$DO24,$B$8,1),OFFSET($M$15,0,0,$B$8,1))=FX$14))   /   SUM(OFFSET($BO$15,0,0,$B$14,1)) + $B$18/($B$19*$B$19*($DN24&lt;&gt;$DO24) + $B$19*($DN24=$DO24))</f>
        <v>3.7037037037037035E-4</v>
      </c>
      <c r="FY24" s="10" cm="1">
        <f t="array" aca="1" ref="FY24" ca="1">(1-$B$18)*SUMPRODUCT(OFFSET($BO$15,0,0,$B$14,1), 1*(_xlfn._xlws.FILTER(OFFSET($O$15,0,$DN24,$B$8,1),OFFSET($M$15,0,0,$B$8,1))=FY$13), 1*(_xlfn._xlws.FILTER(OFFSET($O$15,0,$DO24,$B$8,1),OFFSET($M$15,0,0,$B$8,1))=FY$14))   /   SUM(OFFSET($BO$15,0,0,$B$14,1)) + $B$18/($B$19*$B$19*($DN24&lt;&gt;$DO24) + $B$19*($DN24=$DO24))</f>
        <v>3.7037037037037035E-4</v>
      </c>
      <c r="FZ24" s="10" cm="1">
        <f t="array" aca="1" ref="FZ24" ca="1">(1-$B$18)*SUMPRODUCT(OFFSET($BO$15,0,0,$B$14,1), 1*(_xlfn._xlws.FILTER(OFFSET($O$15,0,$DN24,$B$8,1),OFFSET($M$15,0,0,$B$8,1))=FZ$13), 1*(_xlfn._xlws.FILTER(OFFSET($O$15,0,$DO24,$B$8,1),OFFSET($M$15,0,0,$B$8,1))=FZ$14))   /   SUM(OFFSET($BO$15,0,0,$B$14,1)) + $B$18/($B$19*$B$19*($DN24&lt;&gt;$DO24) + $B$19*($DN24=$DO24))</f>
        <v>3.7037037037037035E-4</v>
      </c>
      <c r="GA24" s="10" cm="1">
        <f t="array" aca="1" ref="GA24" ca="1">(1-$B$18)*SUMPRODUCT(OFFSET($BO$15,0,0,$B$14,1), 1*(_xlfn._xlws.FILTER(OFFSET($O$15,0,$DN24,$B$8,1),OFFSET($M$15,0,0,$B$8,1))=GA$13), 1*(_xlfn._xlws.FILTER(OFFSET($O$15,0,$DO24,$B$8,1),OFFSET($M$15,0,0,$B$8,1))=GA$14))   /   SUM(OFFSET($BO$15,0,0,$B$14,1)) + $B$18/($B$19*$B$19*($DN24&lt;&gt;$DO24) + $B$19*($DN24=$DO24))</f>
        <v>3.7037037037037035E-4</v>
      </c>
    </row>
    <row r="25" spans="1:183" x14ac:dyDescent="0.2">
      <c r="D25" s="10">
        <f ca="1"/>
        <v>11</v>
      </c>
      <c r="F25" s="10">
        <f ca="1"/>
        <v>0.1</v>
      </c>
      <c r="H25" s="10">
        <f ca="1"/>
        <v>11</v>
      </c>
      <c r="J25" cm="1">
        <f t="array" aca="1" ref="J25" ca="1">SUMPRODUCT((O25:AJ25=$O$11:$AJ$11)*(O$13:AJ$13=TRUE))  / COUNTIF(O$13:AJ$13,TRUE)</f>
        <v>0.1</v>
      </c>
      <c r="K25" t="b">
        <f t="shared" ca="1" si="4"/>
        <v>0</v>
      </c>
      <c r="L25" cm="1">
        <f t="array" aca="1" ref="L25" ca="1">SUM(
   1*(_xlfn._xlws.FILTER(OFFSET($O25,0,0,1,$B$9),OFFSET($O$13,0,0,1,$B$9)) = "-")
) / $B$13</f>
        <v>0</v>
      </c>
      <c r="M25" t="b">
        <f t="shared" ca="1" si="5"/>
        <v>0</v>
      </c>
      <c r="N25" s="2">
        <v>10</v>
      </c>
      <c r="O25" s="12" t="s">
        <v>12</v>
      </c>
      <c r="P25" s="9" t="s">
        <v>12</v>
      </c>
      <c r="Q25" s="9" t="s">
        <v>12</v>
      </c>
      <c r="R25" s="9" t="s">
        <v>12</v>
      </c>
      <c r="S25" s="9" t="s">
        <v>12</v>
      </c>
      <c r="T25" s="12" t="s">
        <v>12</v>
      </c>
      <c r="U25" s="9" t="s">
        <v>12</v>
      </c>
      <c r="V25" s="9" t="s">
        <v>12</v>
      </c>
      <c r="W25" s="9" t="s">
        <v>12</v>
      </c>
      <c r="X25" s="9" t="s">
        <v>12</v>
      </c>
      <c r="Y25" s="12" t="s">
        <v>2</v>
      </c>
      <c r="Z25" s="9" t="s">
        <v>2</v>
      </c>
      <c r="AA25" s="9" t="s">
        <v>0</v>
      </c>
      <c r="AB25" s="9" t="s">
        <v>0</v>
      </c>
      <c r="AC25" s="9" t="s">
        <v>2</v>
      </c>
      <c r="AD25" s="12" t="s">
        <v>2</v>
      </c>
      <c r="AE25" s="9" t="s">
        <v>5</v>
      </c>
      <c r="AF25" s="9" t="s">
        <v>5</v>
      </c>
      <c r="AG25" s="9" t="s">
        <v>2</v>
      </c>
      <c r="AH25" s="9" t="s">
        <v>2</v>
      </c>
      <c r="AI25" s="12" t="s">
        <v>6</v>
      </c>
      <c r="AJ25" s="9" t="s">
        <v>6</v>
      </c>
      <c r="AK25" s="7"/>
      <c r="AN25">
        <f t="shared" ca="1" si="6"/>
        <v>7</v>
      </c>
      <c r="AO25" s="14">
        <f t="shared" ca="1" si="7"/>
        <v>0.14285714285714285</v>
      </c>
      <c r="AP25" s="2">
        <f ca="1"/>
        <v>11</v>
      </c>
      <c r="AQ25" cm="1">
        <f t="array" aca="1" ref="AQ25" ca="1">IF($AP25=AQ$14, 1, SUMPRODUCT(
    --(OFFSET($O$13,0,0,1,$B$9)=TRUE),
    --(INDEX(OFFSET($O$15,0,0,$B$8,$B$9), 1+$AP25, 0) = INDEX(OFFSET($O$15,0,0,$B$8,$B$9), 1+AQ$14, 0))
) / $B$13)</f>
        <v>0.9</v>
      </c>
      <c r="AR25" cm="1">
        <f t="array" aca="1" ref="AR25" ca="1">IF($AP25=AR$14, 1, SUMPRODUCT(
    --(OFFSET($O$13,0,0,1,$B$9)=TRUE),
    --(INDEX(OFFSET($O$15,0,0,$B$8,$B$9), 1+$AP25, 0) = INDEX(OFFSET($O$15,0,0,$B$8,$B$9), 1+AR$14, 0))
) / $B$13)</f>
        <v>1</v>
      </c>
      <c r="AS25" cm="1">
        <f t="array" aca="1" ref="AS25" ca="1">IF($AP25=AS$14, 1, SUMPRODUCT(
    --(OFFSET($O$13,0,0,1,$B$9)=TRUE),
    --(INDEX(OFFSET($O$15,0,0,$B$8,$B$9), 1+$AP25, 0) = INDEX(OFFSET($O$15,0,0,$B$8,$B$9), 1+AS$14, 0))
) / $B$13)</f>
        <v>0.9</v>
      </c>
      <c r="AT25" cm="1">
        <f t="array" aca="1" ref="AT25" ca="1">IF($AP25=AT$14, 1, SUMPRODUCT(
    --(OFFSET($O$13,0,0,1,$B$9)=TRUE),
    --(INDEX(OFFSET($O$15,0,0,$B$8,$B$9), 1+$AP25, 0) = INDEX(OFFSET($O$15,0,0,$B$8,$B$9), 1+AT$14, 0))
) / $B$13)</f>
        <v>0.9</v>
      </c>
      <c r="AU25" cm="1">
        <f t="array" aca="1" ref="AU25" ca="1">IF($AP25=AU$14, 1, SUMPRODUCT(
    --(OFFSET($O$13,0,0,1,$B$9)=TRUE),
    --(INDEX(OFFSET($O$15,0,0,$B$8,$B$9), 1+$AP25, 0) = INDEX(OFFSET($O$15,0,0,$B$8,$B$9), 1+AU$14, 0))
) / $B$13)</f>
        <v>0.9</v>
      </c>
      <c r="AV25" cm="1">
        <f t="array" aca="1" ref="AV25" ca="1">IF($AP25=AV$14, 1, SUMPRODUCT(
    --(OFFSET($O$13,0,0,1,$B$9)=TRUE),
    --(INDEX(OFFSET($O$15,0,0,$B$8,$B$9), 1+$AP25, 0) = INDEX(OFFSET($O$15,0,0,$B$8,$B$9), 1+AV$14, 0))
) / $B$13)</f>
        <v>1</v>
      </c>
      <c r="AW25" cm="1">
        <f t="array" aca="1" ref="AW25" ca="1">IF($AP25=AW$14, 1, SUMPRODUCT(
    --(OFFSET($O$13,0,0,1,$B$9)=TRUE),
    --(INDEX(OFFSET($O$15,0,0,$B$8,$B$9), 1+$AP25, 0) = INDEX(OFFSET($O$15,0,0,$B$8,$B$9), 1+AW$14, 0))
) / $B$13)</f>
        <v>0.85</v>
      </c>
      <c r="AX25" cm="1">
        <f t="array" aca="1" ref="AX25" ca="1">IF($AP25=AX$14, 1, SUMPRODUCT(
    --(OFFSET($O$13,0,0,1,$B$9)=TRUE),
    --(INDEX(OFFSET($O$15,0,0,$B$8,$B$9), 1+$AP25, 0) = INDEX(OFFSET($O$15,0,0,$B$8,$B$9), 1+AX$14, 0))
) / $B$13)</f>
        <v>0.85</v>
      </c>
      <c r="AY25" cm="1">
        <f t="array" aca="1" ref="AY25" ca="1">IF($AP25=AY$14, 1, SUMPRODUCT(
    --(OFFSET($O$13,0,0,1,$B$9)=TRUE),
    --(INDEX(OFFSET($O$15,0,0,$B$8,$B$9), 1+$AP25, 0) = INDEX(OFFSET($O$15,0,0,$B$8,$B$9), 1+AY$14, 0))
) / $B$13)</f>
        <v>1</v>
      </c>
      <c r="AZ25" cm="1">
        <f t="array" aca="1" ref="AZ25" ca="1">IF($AP25=AZ$14, 1, SUMPRODUCT(
    --(OFFSET($O$13,0,0,1,$B$9)=TRUE),
    --(INDEX(OFFSET($O$15,0,0,$B$8,$B$9), 1+$AP25, 0) = INDEX(OFFSET($O$15,0,0,$B$8,$B$9), 1+AZ$14, 0))
) / $B$13)</f>
        <v>1</v>
      </c>
      <c r="BA25" cm="1">
        <f t="array" aca="1" ref="BA25" ca="1">IF($AP25=BA$14, 1, SUMPRODUCT(
    --(OFFSET($O$13,0,0,1,$B$9)=TRUE),
    --(INDEX(OFFSET($O$15,0,0,$B$8,$B$9), 1+$AP25, 0) = INDEX(OFFSET($O$15,0,0,$B$8,$B$9), 1+BA$14, 0))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
) / $B$13)</f>
        <v>1</v>
      </c>
      <c r="BC25" cm="1">
        <f t="array" aca="1" ref="BC25" ca="1">IF($AP25=BC$14, 1, SUMPRODUCT(
    --(OFFSET($O$13,0,0,1,$B$9)=TRUE),
    --(INDEX(OFFSET($O$15,0,0,$B$8,$B$9), 1+$AP25, 0) = INDEX(OFFSET($O$15,0,0,$B$8,$B$9), 1+BC$14, 0))
) / $B$13)</f>
        <v>1</v>
      </c>
      <c r="BD25" cm="1">
        <f t="array" aca="1" ref="BD25" ca="1">IF($AP25=BD$14, 1, SUMPRODUCT(
    --(OFFSET($O$13,0,0,1,$B$9)=TRUE),
    --(INDEX(OFFSET($O$15,0,0,$B$8,$B$9), 1+$AP25, 0) = INDEX(OFFSET($O$15,0,0,$B$8,$B$9), 1+BD$14, 0))
) / $B$13)</f>
        <v>0.95</v>
      </c>
      <c r="BE25" cm="1">
        <f t="array" aca="1" ref="BE25" ca="1">IF($AP25=BE$14, 1, SUMPRODUCT(
    --(OFFSET($O$13,0,0,1,$B$9)=TRUE),
    --(INDEX(OFFSET($O$15,0,0,$B$8,$B$9), 1+$AP25, 0) = INDEX(OFFSET($O$15,0,0,$B$8,$B$9), 1+BE$14, 0))
) / $B$13)</f>
        <v>0.8</v>
      </c>
      <c r="BF25" cm="1">
        <f t="array" aca="1" ref="BF25" ca="1">IF($AP25=BF$14, 1, SUMPRODUCT(
    --(OFFSET($O$13,0,0,1,$B$9)=TRUE),
    --(INDEX(OFFSET($O$15,0,0,$B$8,$B$9), 1+$AP25, 0) = INDEX(OFFSET($O$15,0,0,$B$8,$B$9), 1+BF$14, 0))
) / $B$13)</f>
        <v>0.8</v>
      </c>
      <c r="BG25" cm="1">
        <f t="array" aca="1" ref="BG25" ca="1">IF($AP25=BG$14, 1, SUMPRODUCT(
    --(OFFSET($O$13,0,0,1,$B$9)=TRUE),
    --(INDEX(OFFSET($O$15,0,0,$B$8,$B$9), 1+$AP25, 0) = INDEX(OFFSET($O$15,0,0,$B$8,$B$9), 1+BG$14, 0))
) / $B$13)</f>
        <v>0.95</v>
      </c>
      <c r="BH25" cm="1">
        <f t="array" aca="1" ref="BH25" ca="1">IF($AP25=BH$14, 1, SUMPRODUCT(
    --(OFFSET($O$13,0,0,1,$B$9)=TRUE),
    --(INDEX(OFFSET($O$15,0,0,$B$8,$B$9), 1+$AP25, 0) = INDEX(OFFSET($O$15,0,0,$B$8,$B$9), 1+BH$14, 0))
) / $B$13)</f>
        <v>0.8</v>
      </c>
      <c r="BI25" cm="1">
        <f t="array" aca="1" ref="BI25" ca="1">IF($AP25=BI$14, 1, SUMPRODUCT(
    --(OFFSET($O$13,0,0,1,$B$9)=TRUE),
    --(INDEX(OFFSET($O$15,0,0,$B$8,$B$9), 1+$AP25, 0) = INDEX(OFFSET($O$15,0,0,$B$8,$B$9), 1+BI$14, 0))
) / $B$13)</f>
        <v>0.95</v>
      </c>
      <c r="BJ25" cm="1">
        <f t="array" aca="1" ref="BJ25" ca="1">IF($AP25=BJ$14, 1, SUMPRODUCT(
    --(OFFSET($O$13,0,0,1,$B$9)=TRUE),
    --(INDEX(OFFSET($O$15,0,0,$B$8,$B$9), 1+$AP25, 0) = INDEX(OFFSET($O$15,0,0,$B$8,$B$9), 1+BJ$14, 0))
) / $B$13)</f>
        <v>0.85</v>
      </c>
      <c r="BN25">
        <f t="shared" ca="1" si="8"/>
        <v>10</v>
      </c>
      <c r="BO25" s="14">
        <f t="shared" ca="1" si="9"/>
        <v>0.1</v>
      </c>
      <c r="BP25" s="2">
        <f ca="1"/>
        <v>11</v>
      </c>
      <c r="BQ25" cm="1">
        <f t="array" aca="1" ref="BQ25" ca="1">IF($BP25=BQ$14, 1, SUMPRODUCT(
    --(OFFSET($O$9,0,0,1,$B$9)=TRUE),
    --(INDEX(OFFSET($O$15,0,0,$B$8,$B$9), 1+$BP25, 0) = INDEX(OFFSET($O$15,0,0,$B$8,$B$9), 1+BQ$14, 0))
) / $B$16)</f>
        <v>0.89473684210526316</v>
      </c>
      <c r="BR25" cm="1">
        <f t="array" aca="1" ref="BR25" ca="1">IF($BP25=BR$14, 1, SUMPRODUCT(
    --(OFFSET($O$9,0,0,1,$B$9)=TRUE),
    --(INDEX(OFFSET($O$15,0,0,$B$8,$B$9), 1+$BP25, 0) = INDEX(OFFSET($O$15,0,0,$B$8,$B$9), 1+BR$14, 0))
) / $B$16)</f>
        <v>1</v>
      </c>
      <c r="BS25" cm="1">
        <f t="array" aca="1" ref="BS25" ca="1">IF($BP25=BS$14, 1, SUMPRODUCT(
    --(OFFSET($O$9,0,0,1,$B$9)=TRUE),
    --(INDEX(OFFSET($O$15,0,0,$B$8,$B$9), 1+$BP25, 0) = INDEX(OFFSET($O$15,0,0,$B$8,$B$9), 1+BS$14, 0))
) / $B$16)</f>
        <v>0.89473684210526316</v>
      </c>
      <c r="BT25" cm="1">
        <f t="array" aca="1" ref="BT25" ca="1">IF($BP25=BT$14, 1, SUMPRODUCT(
    --(OFFSET($O$9,0,0,1,$B$9)=TRUE),
    --(INDEX(OFFSET($O$15,0,0,$B$8,$B$9), 1+$BP25, 0) = INDEX(OFFSET($O$15,0,0,$B$8,$B$9), 1+BT$14, 0))
) / $B$16)</f>
        <v>0.89473684210526316</v>
      </c>
      <c r="BU25" cm="1">
        <f t="array" aca="1" ref="BU25" ca="1">IF($BP25=BU$14, 1, SUMPRODUCT(
    --(OFFSET($O$9,0,0,1,$B$9)=TRUE),
    --(INDEX(OFFSET($O$15,0,0,$B$8,$B$9), 1+$BP25, 0) = INDEX(OFFSET($O$15,0,0,$B$8,$B$9), 1+BU$14, 0))
) / $B$16)</f>
        <v>0.89473684210526316</v>
      </c>
      <c r="BV25" cm="1">
        <f t="array" aca="1" ref="BV25" ca="1">IF($BP25=BV$14, 1, SUMPRODUCT(
    --(OFFSET($O$9,0,0,1,$B$9)=TRUE),
    --(INDEX(OFFSET($O$15,0,0,$B$8,$B$9), 1+$BP25, 0) = INDEX(OFFSET($O$15,0,0,$B$8,$B$9), 1+BV$14, 0))
) / $B$16)</f>
        <v>1</v>
      </c>
      <c r="BW25" cm="1">
        <f t="array" aca="1" ref="BW25" ca="1">IF($BP25=BW$14, 1, SUMPRODUCT(
    --(OFFSET($O$9,0,0,1,$B$9)=TRUE),
    --(INDEX(OFFSET($O$15,0,0,$B$8,$B$9), 1+$BP25, 0) = INDEX(OFFSET($O$15,0,0,$B$8,$B$9), 1+BW$14, 0))
) / $B$16)</f>
        <v>0.84210526315789469</v>
      </c>
      <c r="BX25" cm="1">
        <f t="array" aca="1" ref="BX25" ca="1">IF($BP25=BX$14, 1, SUMPRODUCT(
    --(OFFSET($O$9,0,0,1,$B$9)=TRUE),
    --(INDEX(OFFSET($O$15,0,0,$B$8,$B$9), 1+$BP25, 0) = INDEX(OFFSET($O$15,0,0,$B$8,$B$9), 1+BX$14, 0))
) / $B$16)</f>
        <v>0.84210526315789469</v>
      </c>
      <c r="BY25" cm="1">
        <f t="array" aca="1" ref="BY25" ca="1">IF($BP25=BY$14, 1, SUMPRODUCT(
    --(OFFSET($O$9,0,0,1,$B$9)=TRUE),
    --(INDEX(OFFSET($O$15,0,0,$B$8,$B$9), 1+$BP25, 0) = INDEX(OFFSET($O$15,0,0,$B$8,$B$9), 1+BY$14, 0))
) / $B$16)</f>
        <v>1</v>
      </c>
      <c r="BZ25" cm="1">
        <f t="array" aca="1" ref="BZ25" ca="1">IF($BP25=BZ$14, 1, SUMPRODUCT(
    --(OFFSET($O$9,0,0,1,$B$9)=TRUE),
    --(INDEX(OFFSET($O$15,0,0,$B$8,$B$9), 1+$BP25, 0) = INDEX(OFFSET($O$15,0,0,$B$8,$B$9), 1+BZ$14, 0))
) / $B$16)</f>
        <v>1</v>
      </c>
      <c r="CA25" cm="1">
        <f t="array" aca="1" ref="CA25" ca="1">IF($BP25=CA$14, 1, SUMPRODUCT(
    --(OFFSET($O$9,0,0,1,$B$9)=TRUE),
    --(INDEX(OFFSET($O$15,0,0,$B$8,$B$9), 1+$BP25, 0) = INDEX(OFFSET($O$15,0,0,$B$8,$B$9), 1+CA$14, 0))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
) / $B$16)</f>
        <v>1</v>
      </c>
      <c r="CC25" cm="1">
        <f t="array" aca="1" ref="CC25" ca="1">IF($BP25=CC$14, 1, SUMPRODUCT(
    --(OFFSET($O$9,0,0,1,$B$9)=TRUE),
    --(INDEX(OFFSET($O$15,0,0,$B$8,$B$9), 1+$BP25, 0) = INDEX(OFFSET($O$15,0,0,$B$8,$B$9), 1+CC$14, 0))
) / $B$16)</f>
        <v>1</v>
      </c>
      <c r="CD25" cm="1">
        <f t="array" aca="1" ref="CD25" ca="1">IF($BP25=CD$14, 1, SUMPRODUCT(
    --(OFFSET($O$9,0,0,1,$B$9)=TRUE),
    --(INDEX(OFFSET($O$15,0,0,$B$8,$B$9), 1+$BP25, 0) = INDEX(OFFSET($O$15,0,0,$B$8,$B$9), 1+CD$14, 0))
) / $B$16)</f>
        <v>1</v>
      </c>
      <c r="CE25" cm="1">
        <f t="array" aca="1" ref="CE25" ca="1">IF($BP25=CE$14, 1, SUMPRODUCT(
    --(OFFSET($O$9,0,0,1,$B$9)=TRUE),
    --(INDEX(OFFSET($O$15,0,0,$B$8,$B$9), 1+$BP25, 0) = INDEX(OFFSET($O$15,0,0,$B$8,$B$9), 1+CE$14, 0))
) / $B$16)</f>
        <v>0.84210526315789469</v>
      </c>
      <c r="CF25" cm="1">
        <f t="array" aca="1" ref="CF25" ca="1">IF($BP25=CF$14, 1, SUMPRODUCT(
    --(OFFSET($O$9,0,0,1,$B$9)=TRUE),
    --(INDEX(OFFSET($O$15,0,0,$B$8,$B$9), 1+$BP25, 0) = INDEX(OFFSET($O$15,0,0,$B$8,$B$9), 1+CF$14, 0))
) / $B$16)</f>
        <v>0.84210526315789469</v>
      </c>
      <c r="CG25" cm="1">
        <f t="array" aca="1" ref="CG25" ca="1">IF($BP25=CG$14, 1, SUMPRODUCT(
    --(OFFSET($O$9,0,0,1,$B$9)=TRUE),
    --(INDEX(OFFSET($O$15,0,0,$B$8,$B$9), 1+$BP25, 0) = INDEX(OFFSET($O$15,0,0,$B$8,$B$9), 1+CG$14, 0))
) / $B$16)</f>
        <v>1</v>
      </c>
      <c r="CH25" cm="1">
        <f t="array" aca="1" ref="CH25" ca="1">IF($BP25=CH$14, 1, SUMPRODUCT(
    --(OFFSET($O$9,0,0,1,$B$9)=TRUE),
    --(INDEX(OFFSET($O$15,0,0,$B$8,$B$9), 1+$BP25, 0) = INDEX(OFFSET($O$15,0,0,$B$8,$B$9), 1+CH$14, 0))
) / $B$16)</f>
        <v>0.84210526315789469</v>
      </c>
      <c r="CI25" cm="1">
        <f t="array" aca="1" ref="CI25" ca="1">IF($BP25=CI$14, 1, SUMPRODUCT(
    --(OFFSET($O$9,0,0,1,$B$9)=TRUE),
    --(INDEX(OFFSET($O$15,0,0,$B$8,$B$9), 1+$BP25, 0) = INDEX(OFFSET($O$15,0,0,$B$8,$B$9), 1+CI$14, 0))
) / $B$16)</f>
        <v>1</v>
      </c>
      <c r="CJ25" cm="1">
        <f t="array" aca="1" ref="CJ25" ca="1">IF($BP25=CJ$14, 1, SUMPRODUCT(
    --(OFFSET($O$9,0,0,1,$B$9)=TRUE),
    --(INDEX(OFFSET($O$15,0,0,$B$8,$B$9), 1+$BP25, 0) = INDEX(OFFSET($O$15,0,0,$B$8,$B$9), 1+CJ$14, 0))
) / $B$16)</f>
        <v>0.84210526315789469</v>
      </c>
      <c r="CP25">
        <f ca="1"/>
        <v>11</v>
      </c>
      <c r="CQ25" cm="1">
        <f t="array" aca="1" ref="CQ25" ca="1">(1-$B$18)*SUMPRODUCT(OFFSET($BO$15,0,0,$B$14,1), 1*(_xlfn._xlws.FILTER(OFFSET($O$15,0,$CP25,$B$8,1), OFFSET($M$15,0,0,$B$8,1))=CQ$14))   /   SUM(OFFSET($BO$15,0,0,$B$14,1)) + $B$18/$B$19</f>
        <v>3.3333333333333331E-3</v>
      </c>
      <c r="CR25" s="10" cm="1">
        <f t="array" aca="1" ref="CR25" ca="1">(1-$B$18)*SUMPRODUCT(OFFSET($BO$15,0,0,$B$14,1), 1*(_xlfn._xlws.FILTER(OFFSET($O$15,0,$CP25,$B$8,1), OFFSET($M$15,0,0,$B$8,1))=CR$14))   /   SUM(OFFSET($BO$15,0,0,$B$14,1)) + $B$18/$B$19</f>
        <v>0.48833333333333334</v>
      </c>
      <c r="CS25" s="10" cm="1">
        <f t="array" aca="1" ref="CS25" ca="1">(1-$B$18)*SUMPRODUCT(OFFSET($BO$15,0,0,$B$14,1), 1*(_xlfn._xlws.FILTER(OFFSET($O$15,0,$CP25,$B$8,1), OFFSET($M$15,0,0,$B$8,1))=CS$14))   /   SUM(OFFSET($BO$15,0,0,$B$14,1)) + $B$18/$B$19</f>
        <v>3.3333333333333331E-3</v>
      </c>
      <c r="CT25" s="10" cm="1">
        <f t="array" aca="1" ref="CT25" ca="1">(1-$B$18)*SUMPRODUCT(OFFSET($BO$15,0,0,$B$14,1), 1*(_xlfn._xlws.FILTER(OFFSET($O$15,0,$CP25,$B$8,1), OFFSET($M$15,0,0,$B$8,1))=CT$14))   /   SUM(OFFSET($BO$15,0,0,$B$14,1)) + $B$18/$B$19</f>
        <v>0.24583333333333321</v>
      </c>
      <c r="CU25" s="10" cm="1">
        <f t="array" aca="1" ref="CU25" ca="1">(1-$B$18)*SUMPRODUCT(OFFSET($BO$15,0,0,$B$14,1), 1*(_xlfn._xlws.FILTER(OFFSET($O$15,0,$CP25,$B$8,1), OFFSET($M$15,0,0,$B$8,1))=CU$14))   /   SUM(OFFSET($BO$15,0,0,$B$14,1)) + $B$18/$B$19</f>
        <v>0.24583333333333321</v>
      </c>
      <c r="CV25" s="10" cm="1">
        <f t="array" aca="1" ref="CV25" ca="1">(1-$B$18)*SUMPRODUCT(OFFSET($BO$15,0,0,$B$14,1), 1*(_xlfn._xlws.FILTER(OFFSET($O$15,0,$CP25,$B$8,1), OFFSET($M$15,0,0,$B$8,1))=CV$14))   /   SUM(OFFSET($BO$15,0,0,$B$14,1)) + $B$18/$B$19</f>
        <v>3.3333333333333331E-3</v>
      </c>
      <c r="CW25" s="10" cm="1">
        <f t="array" aca="1" ref="CW25" ca="1">(1-$B$18)*SUMPRODUCT(OFFSET($BO$15,0,0,$B$14,1), 1*(_xlfn._xlws.FILTER(OFFSET($O$15,0,$CP25,$B$8,1), OFFSET($M$15,0,0,$B$8,1))=CW$14))   /   SUM(OFFSET($BO$15,0,0,$B$14,1)) + $B$18/$B$19</f>
        <v>3.3333333333333331E-3</v>
      </c>
      <c r="CX25" s="10" cm="1">
        <f t="array" aca="1" ref="CX25" ca="1">(1-$B$18)*SUMPRODUCT(OFFSET($BO$15,0,0,$B$14,1), 1*(_xlfn._xlws.FILTER(OFFSET($O$15,0,$CP25,$B$8,1), OFFSET($M$15,0,0,$B$8,1))=CX$14))   /   SUM(OFFSET($BO$15,0,0,$B$14,1)) + $B$18/$B$19</f>
        <v>3.3333333333333331E-3</v>
      </c>
      <c r="CY25" s="10" cm="1">
        <f t="array" aca="1" ref="CY25" ca="1">(1-$B$18)*SUMPRODUCT(OFFSET($BO$15,0,0,$B$14,1), 1*(_xlfn._xlws.FILTER(OFFSET($O$15,0,$CP25,$B$8,1), OFFSET($M$15,0,0,$B$8,1))=CY$14))   /   SUM(OFFSET($BO$15,0,0,$B$14,1)) + $B$18/$B$19</f>
        <v>3.3333333333333331E-3</v>
      </c>
      <c r="DB25" s="10" cm="1">
        <f t="array" aca="1" ref="DB25" ca="1">SUM(OFFSET($CR25,0,0,1,$M$2)*LN(OFFSET($CR25,0,0,1,$M$2)/OFFSET($CR$11,0,0,1,$M$2)))+IF($CQ$11&gt;0,OFFSET($O$10,0,$CP25,1,1)*LN(OFFSET($O$10,0,$CP25,1,1)/$CQ$11),0)</f>
        <v>0.93757244367991521</v>
      </c>
      <c r="DC25">
        <f ca="1"/>
        <v>11</v>
      </c>
      <c r="DD25" s="10">
        <f t="shared" ca="1" si="11"/>
        <v>0.3909092484491713</v>
      </c>
      <c r="DE25" s="10">
        <f t="shared" ca="1" si="10"/>
        <v>0.11767737994455678</v>
      </c>
      <c r="DF25" s="10">
        <f t="shared" ca="1" si="10"/>
        <v>5.4189846965095365E-2</v>
      </c>
      <c r="DG25" s="10">
        <f t="shared" ca="1" si="10"/>
        <v>5.4189846965095365E-2</v>
      </c>
      <c r="DH25" s="10">
        <f t="shared" ca="1" si="10"/>
        <v>0.11767737994455678</v>
      </c>
      <c r="DI25" s="10">
        <f t="shared" ca="1" si="10"/>
        <v>0.11767737994455678</v>
      </c>
      <c r="DJ25" s="10">
        <f t="shared" ca="1" si="10"/>
        <v>0.11767737994455678</v>
      </c>
      <c r="DK25" s="10">
        <f t="shared" ca="1" si="10"/>
        <v>0.11767737994455678</v>
      </c>
      <c r="DN25" cm="1">
        <f t="array" aca="1" ref="DN25" ca="1">INDEX(_xlfn.ANCHORARRAY($CP$15), 1 + INT((ROWS($DO$15:$DO25) - 1) / ROWS(_xlfn.ANCHORARRAY($CP$15))))</f>
        <v>0</v>
      </c>
      <c r="DO25" cm="1">
        <f t="array" aca="1" ref="DO25" ca="1">INDEX(_xlfn.ANCHORARRAY($CP$15),1+MOD(ROWS($DO$15:$DO25)-1,ROWS(_xlfn.ANCHORARRAY($CP$15))))</f>
        <v>11</v>
      </c>
      <c r="DP25" s="10" cm="1">
        <f t="array" aca="1" ref="DP25" ca="1">(1-$B$18)*SUMPRODUCT(OFFSET($BO$15,0,0,$B$14,1), 1*(_xlfn._xlws.FILTER(OFFSET($O$15,0,$DN25,$B$8,1),OFFSET($M$15,0,0,$B$8,1))=DP$13), 1*(_xlfn._xlws.FILTER(OFFSET($O$15,0,$DO25,$B$8,1),OFFSET($M$15,0,0,$B$8,1))=DP$14))   /   SUM(OFFSET($BO$15,0,0,$B$14,1)) + $B$18/($B$19*$B$19*($DN25&lt;&gt;$DO25) + $B$19*($DN25=$DO25))</f>
        <v>3.7037037037037035E-4</v>
      </c>
      <c r="DQ25" s="10" cm="1">
        <f t="array" aca="1" ref="DQ25" ca="1">(1-$B$18)*SUMPRODUCT(OFFSET($BO$15,0,0,$B$14,1), 1*(_xlfn._xlws.FILTER(OFFSET($O$15,0,$DN25,$B$8,1),OFFSET($M$15,0,0,$B$8,1))=DQ$13), 1*(_xlfn._xlws.FILTER(OFFSET($O$15,0,$DO25,$B$8,1),OFFSET($M$15,0,0,$B$8,1))=DQ$14))   /   SUM(OFFSET($BO$15,0,0,$B$14,1)) + $B$18/($B$19*$B$19*($DN25&lt;&gt;$DO25) + $B$19*($DN25=$DO25))</f>
        <v>3.7037037037037035E-4</v>
      </c>
      <c r="DR25" s="10" cm="1">
        <f t="array" aca="1" ref="DR25" ca="1">(1-$B$18)*SUMPRODUCT(OFFSET($BO$15,0,0,$B$14,1), 1*(_xlfn._xlws.FILTER(OFFSET($O$15,0,$DN25,$B$8,1),OFFSET($M$15,0,0,$B$8,1))=DR$13), 1*(_xlfn._xlws.FILTER(OFFSET($O$15,0,$DO25,$B$8,1),OFFSET($M$15,0,0,$B$8,1))=DR$14))   /   SUM(OFFSET($BO$15,0,0,$B$14,1)) + $B$18/($B$19*$B$19*($DN25&lt;&gt;$DO25) + $B$19*($DN25=$DO25))</f>
        <v>3.7037037037037035E-4</v>
      </c>
      <c r="DS25" s="10" cm="1">
        <f t="array" aca="1" ref="DS25" ca="1">(1-$B$18)*SUMPRODUCT(OFFSET($BO$15,0,0,$B$14,1), 1*(_xlfn._xlws.FILTER(OFFSET($O$15,0,$DN25,$B$8,1),OFFSET($M$15,0,0,$B$8,1))=DS$13), 1*(_xlfn._xlws.FILTER(OFFSET($O$15,0,$DO25,$B$8,1),OFFSET($M$15,0,0,$B$8,1))=DS$14))   /   SUM(OFFSET($BO$15,0,0,$B$14,1)) + $B$18/($B$19*$B$19*($DN25&lt;&gt;$DO25) + $B$19*($DN25=$DO25))</f>
        <v>3.7037037037037035E-4</v>
      </c>
      <c r="DT25" s="10" cm="1">
        <f t="array" aca="1" ref="DT25" ca="1">(1-$B$18)*SUMPRODUCT(OFFSET($BO$15,0,0,$B$14,1), 1*(_xlfn._xlws.FILTER(OFFSET($O$15,0,$DN25,$B$8,1),OFFSET($M$15,0,0,$B$8,1))=DT$13), 1*(_xlfn._xlws.FILTER(OFFSET($O$15,0,$DO25,$B$8,1),OFFSET($M$15,0,0,$B$8,1))=DT$14))   /   SUM(OFFSET($BO$15,0,0,$B$14,1)) + $B$18/($B$19*$B$19*($DN25&lt;&gt;$DO25) + $B$19*($DN25=$DO25))</f>
        <v>3.7037037037037035E-4</v>
      </c>
      <c r="DU25" s="10" cm="1">
        <f t="array" aca="1" ref="DU25" ca="1">(1-$B$18)*SUMPRODUCT(OFFSET($BO$15,0,0,$B$14,1), 1*(_xlfn._xlws.FILTER(OFFSET($O$15,0,$DN25,$B$8,1),OFFSET($M$15,0,0,$B$8,1))=DU$13), 1*(_xlfn._xlws.FILTER(OFFSET($O$15,0,$DO25,$B$8,1),OFFSET($M$15,0,0,$B$8,1))=DU$14))   /   SUM(OFFSET($BO$15,0,0,$B$14,1)) + $B$18/($B$19*$B$19*($DN25&lt;&gt;$DO25) + $B$19*($DN25=$DO25))</f>
        <v>3.7037037037037035E-4</v>
      </c>
      <c r="DV25" s="10" cm="1">
        <f t="array" aca="1" ref="DV25" ca="1">(1-$B$18)*SUMPRODUCT(OFFSET($BO$15,0,0,$B$14,1), 1*(_xlfn._xlws.FILTER(OFFSET($O$15,0,$DN25,$B$8,1),OFFSET($M$15,0,0,$B$8,1))=DV$13), 1*(_xlfn._xlws.FILTER(OFFSET($O$15,0,$DO25,$B$8,1),OFFSET($M$15,0,0,$B$8,1))=DV$14))   /   SUM(OFFSET($BO$15,0,0,$B$14,1)) + $B$18/($B$19*$B$19*($DN25&lt;&gt;$DO25) + $B$19*($DN25=$DO25))</f>
        <v>3.7037037037037035E-4</v>
      </c>
      <c r="DW25" s="10" cm="1">
        <f t="array" aca="1" ref="DW25" ca="1">(1-$B$18)*SUMPRODUCT(OFFSET($BO$15,0,0,$B$14,1), 1*(_xlfn._xlws.FILTER(OFFSET($O$15,0,$DN25,$B$8,1),OFFSET($M$15,0,0,$B$8,1))=DW$13), 1*(_xlfn._xlws.FILTER(OFFSET($O$15,0,$DO25,$B$8,1),OFFSET($M$15,0,0,$B$8,1))=DW$14))   /   SUM(OFFSET($BO$15,0,0,$B$14,1)) + $B$18/($B$19*$B$19*($DN25&lt;&gt;$DO25) + $B$19*($DN25=$DO25))</f>
        <v>3.7037037037037035E-4</v>
      </c>
      <c r="DX25" s="10" cm="1">
        <f t="array" aca="1" ref="DX25" ca="1">(1-$B$18)*SUMPRODUCT(OFFSET($BO$15,0,0,$B$14,1), 1*(_xlfn._xlws.FILTER(OFFSET($O$15,0,$DN25,$B$8,1),OFFSET($M$15,0,0,$B$8,1))=DX$13), 1*(_xlfn._xlws.FILTER(OFFSET($O$15,0,$DO25,$B$8,1),OFFSET($M$15,0,0,$B$8,1))=DX$14))   /   SUM(OFFSET($BO$15,0,0,$B$14,1)) + $B$18/($B$19*$B$19*($DN25&lt;&gt;$DO25) + $B$19*($DN25=$DO25))</f>
        <v>3.7037037037037035E-4</v>
      </c>
      <c r="DY25" s="10" cm="1">
        <f t="array" aca="1" ref="DY25" ca="1">(1-$B$18)*SUMPRODUCT(OFFSET($BO$15,0,0,$B$14,1), 1*(_xlfn._xlws.FILTER(OFFSET($O$15,0,$DN25,$B$8,1),OFFSET($M$15,0,0,$B$8,1))=DY$13), 1*(_xlfn._xlws.FILTER(OFFSET($O$15,0,$DO25,$B$8,1),OFFSET($M$15,0,0,$B$8,1))=DY$14))   /   SUM(OFFSET($BO$15,0,0,$B$14,1)) + $B$18/($B$19*$B$19*($DN25&lt;&gt;$DO25) + $B$19*($DN25=$DO25))</f>
        <v>3.7037037037037035E-4</v>
      </c>
      <c r="DZ25" s="10" cm="1">
        <f t="array" aca="1" ref="DZ25" ca="1">(1-$B$18)*SUMPRODUCT(OFFSET($BO$15,0,0,$B$14,1), 1*(_xlfn._xlws.FILTER(OFFSET($O$15,0,$DN25,$B$8,1),OFFSET($M$15,0,0,$B$8,1))=DZ$13), 1*(_xlfn._xlws.FILTER(OFFSET($O$15,0,$DO25,$B$8,1),OFFSET($M$15,0,0,$B$8,1))=DZ$14))   /   SUM(OFFSET($BO$15,0,0,$B$14,1)) + $B$18/($B$19*$B$19*($DN25&lt;&gt;$DO25) + $B$19*($DN25=$DO25))</f>
        <v>3.7037037037037035E-4</v>
      </c>
      <c r="EA25" s="10" cm="1">
        <f t="array" aca="1" ref="EA25" ca="1">(1-$B$18)*SUMPRODUCT(OFFSET($BO$15,0,0,$B$14,1), 1*(_xlfn._xlws.FILTER(OFFSET($O$15,0,$DN25,$B$8,1),OFFSET($M$15,0,0,$B$8,1))=EA$13), 1*(_xlfn._xlws.FILTER(OFFSET($O$15,0,$DO25,$B$8,1),OFFSET($M$15,0,0,$B$8,1))=EA$14))   /   SUM(OFFSET($BO$15,0,0,$B$14,1)) + $B$18/($B$19*$B$19*($DN25&lt;&gt;$DO25) + $B$19*($DN25=$DO25))</f>
        <v>3.7037037037037035E-4</v>
      </c>
      <c r="EB25" s="10" cm="1">
        <f t="array" aca="1" ref="EB25" ca="1">(1-$B$18)*SUMPRODUCT(OFFSET($BO$15,0,0,$B$14,1), 1*(_xlfn._xlws.FILTER(OFFSET($O$15,0,$DN25,$B$8,1),OFFSET($M$15,0,0,$B$8,1))=EB$13), 1*(_xlfn._xlws.FILTER(OFFSET($O$15,0,$DO25,$B$8,1),OFFSET($M$15,0,0,$B$8,1))=EB$14))   /   SUM(OFFSET($BO$15,0,0,$B$14,1)) + $B$18/($B$19*$B$19*($DN25&lt;&gt;$DO25) + $B$19*($DN25=$DO25))</f>
        <v>3.7037037037037035E-4</v>
      </c>
      <c r="EC25" s="10" cm="1">
        <f t="array" aca="1" ref="EC25" ca="1">(1-$B$18)*SUMPRODUCT(OFFSET($BO$15,0,0,$B$14,1), 1*(_xlfn._xlws.FILTER(OFFSET($O$15,0,$DN25,$B$8,1),OFFSET($M$15,0,0,$B$8,1))=EC$13), 1*(_xlfn._xlws.FILTER(OFFSET($O$15,0,$DO25,$B$8,1),OFFSET($M$15,0,0,$B$8,1))=EC$14))   /   SUM(OFFSET($BO$15,0,0,$B$14,1)) + $B$18/($B$19*$B$19*($DN25&lt;&gt;$DO25) + $B$19*($DN25=$DO25))</f>
        <v>3.7037037037037035E-4</v>
      </c>
      <c r="ED25" s="10" cm="1">
        <f t="array" aca="1" ref="ED25" ca="1">(1-$B$18)*SUMPRODUCT(OFFSET($BO$15,0,0,$B$14,1), 1*(_xlfn._xlws.FILTER(OFFSET($O$15,0,$DN25,$B$8,1),OFFSET($M$15,0,0,$B$8,1))=ED$13), 1*(_xlfn._xlws.FILTER(OFFSET($O$15,0,$DO25,$B$8,1),OFFSET($M$15,0,0,$B$8,1))=ED$14))   /   SUM(OFFSET($BO$15,0,0,$B$14,1)) + $B$18/($B$19*$B$19*($DN25&lt;&gt;$DO25) + $B$19*($DN25=$DO25))</f>
        <v>3.7037037037037035E-4</v>
      </c>
      <c r="EE25" s="10" cm="1">
        <f t="array" aca="1" ref="EE25" ca="1">(1-$B$18)*SUMPRODUCT(OFFSET($BO$15,0,0,$B$14,1), 1*(_xlfn._xlws.FILTER(OFFSET($O$15,0,$DN25,$B$8,1),OFFSET($M$15,0,0,$B$8,1))=EE$13), 1*(_xlfn._xlws.FILTER(OFFSET($O$15,0,$DO25,$B$8,1),OFFSET($M$15,0,0,$B$8,1))=EE$14))   /   SUM(OFFSET($BO$15,0,0,$B$14,1)) + $B$18/($B$19*$B$19*($DN25&lt;&gt;$DO25) + $B$19*($DN25=$DO25))</f>
        <v>3.7037037037037035E-4</v>
      </c>
      <c r="EF25" s="10" cm="1">
        <f t="array" aca="1" ref="EF25" ca="1">(1-$B$18)*SUMPRODUCT(OFFSET($BO$15,0,0,$B$14,1), 1*(_xlfn._xlws.FILTER(OFFSET($O$15,0,$DN25,$B$8,1),OFFSET($M$15,0,0,$B$8,1))=EF$13), 1*(_xlfn._xlws.FILTER(OFFSET($O$15,0,$DO25,$B$8,1),OFFSET($M$15,0,0,$B$8,1))=EF$14))   /   SUM(OFFSET($BO$15,0,0,$B$14,1)) + $B$18/($B$19*$B$19*($DN25&lt;&gt;$DO25) + $B$19*($DN25=$DO25))</f>
        <v>3.7037037037037035E-4</v>
      </c>
      <c r="EG25" s="10" cm="1">
        <f t="array" aca="1" ref="EG25" ca="1">(1-$B$18)*SUMPRODUCT(OFFSET($BO$15,0,0,$B$14,1), 1*(_xlfn._xlws.FILTER(OFFSET($O$15,0,$DN25,$B$8,1),OFFSET($M$15,0,0,$B$8,1))=EG$13), 1*(_xlfn._xlws.FILTER(OFFSET($O$15,0,$DO25,$B$8,1),OFFSET($M$15,0,0,$B$8,1))=EG$14))   /   SUM(OFFSET($BO$15,0,0,$B$14,1)) + $B$18/($B$19*$B$19*($DN25&lt;&gt;$DO25) + $B$19*($DN25=$DO25))</f>
        <v>3.7037037037037035E-4</v>
      </c>
      <c r="EH25" s="10" cm="1">
        <f t="array" aca="1" ref="EH25" ca="1">(1-$B$18)*SUMPRODUCT(OFFSET($BO$15,0,0,$B$14,1), 1*(_xlfn._xlws.FILTER(OFFSET($O$15,0,$DN25,$B$8,1),OFFSET($M$15,0,0,$B$8,1))=EH$13), 1*(_xlfn._xlws.FILTER(OFFSET($O$15,0,$DO25,$B$8,1),OFFSET($M$15,0,0,$B$8,1))=EH$14))   /   SUM(OFFSET($BO$15,0,0,$B$14,1)) + $B$18/($B$19*$B$19*($DN25&lt;&gt;$DO25) + $B$19*($DN25=$DO25))</f>
        <v>3.7037037037037035E-4</v>
      </c>
      <c r="EI25" s="10" cm="1">
        <f t="array" aca="1" ref="EI25" ca="1">(1-$B$18)*SUMPRODUCT(OFFSET($BO$15,0,0,$B$14,1), 1*(_xlfn._xlws.FILTER(OFFSET($O$15,0,$DN25,$B$8,1),OFFSET($M$15,0,0,$B$8,1))=EI$13), 1*(_xlfn._xlws.FILTER(OFFSET($O$15,0,$DO25,$B$8,1),OFFSET($M$15,0,0,$B$8,1))=EI$14))   /   SUM(OFFSET($BO$15,0,0,$B$14,1)) + $B$18/($B$19*$B$19*($DN25&lt;&gt;$DO25) + $B$19*($DN25=$DO25))</f>
        <v>3.7037037037037035E-4</v>
      </c>
      <c r="EJ25" s="10" cm="1">
        <f t="array" aca="1" ref="EJ25" ca="1">(1-$B$18)*SUMPRODUCT(OFFSET($BO$15,0,0,$B$14,1), 1*(_xlfn._xlws.FILTER(OFFSET($O$15,0,$DN25,$B$8,1),OFFSET($M$15,0,0,$B$8,1))=EJ$13), 1*(_xlfn._xlws.FILTER(OFFSET($O$15,0,$DO25,$B$8,1),OFFSET($M$15,0,0,$B$8,1))=EJ$14))   /   SUM(OFFSET($BO$15,0,0,$B$14,1)) + $B$18/($B$19*$B$19*($DN25&lt;&gt;$DO25) + $B$19*($DN25=$DO25))</f>
        <v>3.7037037037037035E-4</v>
      </c>
      <c r="EK25" s="10" cm="1">
        <f t="array" aca="1" ref="EK25" ca="1">(1-$B$18)*SUMPRODUCT(OFFSET($BO$15,0,0,$B$14,1), 1*(_xlfn._xlws.FILTER(OFFSET($O$15,0,$DN25,$B$8,1),OFFSET($M$15,0,0,$B$8,1))=EK$13), 1*(_xlfn._xlws.FILTER(OFFSET($O$15,0,$DO25,$B$8,1),OFFSET($M$15,0,0,$B$8,1))=EK$14))   /   SUM(OFFSET($BO$15,0,0,$B$14,1)) + $B$18/($B$19*$B$19*($DN25&lt;&gt;$DO25) + $B$19*($DN25=$DO25))</f>
        <v>3.7037037037037035E-4</v>
      </c>
      <c r="EL25" s="10" cm="1">
        <f t="array" aca="1" ref="EL25" ca="1">(1-$B$18)*SUMPRODUCT(OFFSET($BO$15,0,0,$B$14,1), 1*(_xlfn._xlws.FILTER(OFFSET($O$15,0,$DN25,$B$8,1),OFFSET($M$15,0,0,$B$8,1))=EL$13), 1*(_xlfn._xlws.FILTER(OFFSET($O$15,0,$DO25,$B$8,1),OFFSET($M$15,0,0,$B$8,1))=EL$14))   /   SUM(OFFSET($BO$15,0,0,$B$14,1)) + $B$18/($B$19*$B$19*($DN25&lt;&gt;$DO25) + $B$19*($DN25=$DO25))</f>
        <v>3.7037037037037035E-4</v>
      </c>
      <c r="EM25" s="10" cm="1">
        <f t="array" aca="1" ref="EM25" ca="1">(1-$B$18)*SUMPRODUCT(OFFSET($BO$15,0,0,$B$14,1), 1*(_xlfn._xlws.FILTER(OFFSET($O$15,0,$DN25,$B$8,1),OFFSET($M$15,0,0,$B$8,1))=EM$13), 1*(_xlfn._xlws.FILTER(OFFSET($O$15,0,$DO25,$B$8,1),OFFSET($M$15,0,0,$B$8,1))=EM$14))   /   SUM(OFFSET($BO$15,0,0,$B$14,1)) + $B$18/($B$19*$B$19*($DN25&lt;&gt;$DO25) + $B$19*($DN25=$DO25))</f>
        <v>3.7037037037037035E-4</v>
      </c>
      <c r="EN25" s="10" cm="1">
        <f t="array" aca="1" ref="EN25" ca="1">(1-$B$18)*SUMPRODUCT(OFFSET($BO$15,0,0,$B$14,1), 1*(_xlfn._xlws.FILTER(OFFSET($O$15,0,$DN25,$B$8,1),OFFSET($M$15,0,0,$B$8,1))=EN$13), 1*(_xlfn._xlws.FILTER(OFFSET($O$15,0,$DO25,$B$8,1),OFFSET($M$15,0,0,$B$8,1))=EN$14))   /   SUM(OFFSET($BO$15,0,0,$B$14,1)) + $B$18/($B$19*$B$19*($DN25&lt;&gt;$DO25) + $B$19*($DN25=$DO25))</f>
        <v>3.7037037037037035E-4</v>
      </c>
      <c r="EO25" s="10" cm="1">
        <f t="array" aca="1" ref="EO25" ca="1">(1-$B$18)*SUMPRODUCT(OFFSET($BO$15,0,0,$B$14,1), 1*(_xlfn._xlws.FILTER(OFFSET($O$15,0,$DN25,$B$8,1),OFFSET($M$15,0,0,$B$8,1))=EO$13), 1*(_xlfn._xlws.FILTER(OFFSET($O$15,0,$DO25,$B$8,1),OFFSET($M$15,0,0,$B$8,1))=EO$14))   /   SUM(OFFSET($BO$15,0,0,$B$14,1)) + $B$18/($B$19*$B$19*($DN25&lt;&gt;$DO25) + $B$19*($DN25=$DO25))</f>
        <v>3.7037037037037035E-4</v>
      </c>
      <c r="EP25" s="10" cm="1">
        <f t="array" aca="1" ref="EP25" ca="1">(1-$B$18)*SUMPRODUCT(OFFSET($BO$15,0,0,$B$14,1), 1*(_xlfn._xlws.FILTER(OFFSET($O$15,0,$DN25,$B$8,1),OFFSET($M$15,0,0,$B$8,1))=EP$13), 1*(_xlfn._xlws.FILTER(OFFSET($O$15,0,$DO25,$B$8,1),OFFSET($M$15,0,0,$B$8,1))=EP$14))   /   SUM(OFFSET($BO$15,0,0,$B$14,1)) + $B$18/($B$19*$B$19*($DN25&lt;&gt;$DO25) + $B$19*($DN25=$DO25))</f>
        <v>3.7037037037037035E-4</v>
      </c>
      <c r="EQ25" s="10" cm="1">
        <f t="array" aca="1" ref="EQ25" ca="1">(1-$B$18)*SUMPRODUCT(OFFSET($BO$15,0,0,$B$14,1), 1*(_xlfn._xlws.FILTER(OFFSET($O$15,0,$DN25,$B$8,1),OFFSET($M$15,0,0,$B$8,1))=EQ$13), 1*(_xlfn._xlws.FILTER(OFFSET($O$15,0,$DO25,$B$8,1),OFFSET($M$15,0,0,$B$8,1))=EQ$14))   /   SUM(OFFSET($BO$15,0,0,$B$14,1)) + $B$18/($B$19*$B$19*($DN25&lt;&gt;$DO25) + $B$19*($DN25=$DO25))</f>
        <v>3.7037037037037035E-4</v>
      </c>
      <c r="ER25" s="10" cm="1">
        <f t="array" aca="1" ref="ER25" ca="1">(1-$B$18)*SUMPRODUCT(OFFSET($BO$15,0,0,$B$14,1), 1*(_xlfn._xlws.FILTER(OFFSET($O$15,0,$DN25,$B$8,1),OFFSET($M$15,0,0,$B$8,1))=ER$13), 1*(_xlfn._xlws.FILTER(OFFSET($O$15,0,$DO25,$B$8,1),OFFSET($M$15,0,0,$B$8,1))=ER$14))   /   SUM(OFFSET($BO$15,0,0,$B$14,1)) + $B$18/($B$19*$B$19*($DN25&lt;&gt;$DO25) + $B$19*($DN25=$DO25))</f>
        <v>3.7037037037037035E-4</v>
      </c>
      <c r="ES25" s="10" cm="1">
        <f t="array" aca="1" ref="ES25" ca="1">(1-$B$18)*SUMPRODUCT(OFFSET($BO$15,0,0,$B$14,1), 1*(_xlfn._xlws.FILTER(OFFSET($O$15,0,$DN25,$B$8,1),OFFSET($M$15,0,0,$B$8,1))=ES$13), 1*(_xlfn._xlws.FILTER(OFFSET($O$15,0,$DO25,$B$8,1),OFFSET($M$15,0,0,$B$8,1))=ES$14))   /   SUM(OFFSET($BO$15,0,0,$B$14,1)) + $B$18/($B$19*$B$19*($DN25&lt;&gt;$DO25) + $B$19*($DN25=$DO25))</f>
        <v>3.7037037037037035E-4</v>
      </c>
      <c r="ET25" s="10" cm="1">
        <f t="array" aca="1" ref="ET25" ca="1">(1-$B$18)*SUMPRODUCT(OFFSET($BO$15,0,0,$B$14,1), 1*(_xlfn._xlws.FILTER(OFFSET($O$15,0,$DN25,$B$8,1),OFFSET($M$15,0,0,$B$8,1))=ET$13), 1*(_xlfn._xlws.FILTER(OFFSET($O$15,0,$DO25,$B$8,1),OFFSET($M$15,0,0,$B$8,1))=ET$14))   /   SUM(OFFSET($BO$15,0,0,$B$14,1)) + $B$18/($B$19*$B$19*($DN25&lt;&gt;$DO25) + $B$19*($DN25=$DO25))</f>
        <v>3.7037037037037035E-4</v>
      </c>
      <c r="EU25" s="10" cm="1">
        <f t="array" aca="1" ref="EU25" ca="1">(1-$B$18)*SUMPRODUCT(OFFSET($BO$15,0,0,$B$14,1), 1*(_xlfn._xlws.FILTER(OFFSET($O$15,0,$DN25,$B$8,1),OFFSET($M$15,0,0,$B$8,1))=EU$13), 1*(_xlfn._xlws.FILTER(OFFSET($O$15,0,$DO25,$B$8,1),OFFSET($M$15,0,0,$B$8,1))=EU$14))   /   SUM(OFFSET($BO$15,0,0,$B$14,1)) + $B$18/($B$19*$B$19*($DN25&lt;&gt;$DO25) + $B$19*($DN25=$DO25))</f>
        <v>3.7037037037037035E-4</v>
      </c>
      <c r="EV25" s="10" cm="1">
        <f t="array" aca="1" ref="EV25" ca="1">(1-$B$18)*SUMPRODUCT(OFFSET($BO$15,0,0,$B$14,1), 1*(_xlfn._xlws.FILTER(OFFSET($O$15,0,$DN25,$B$8,1),OFFSET($M$15,0,0,$B$8,1))=EV$13), 1*(_xlfn._xlws.FILTER(OFFSET($O$15,0,$DO25,$B$8,1),OFFSET($M$15,0,0,$B$8,1))=EV$14))   /   SUM(OFFSET($BO$15,0,0,$B$14,1)) + $B$18/($B$19*$B$19*($DN25&lt;&gt;$DO25) + $B$19*($DN25=$DO25))</f>
        <v>3.7037037037037035E-4</v>
      </c>
      <c r="EW25" s="10" cm="1">
        <f t="array" aca="1" ref="EW25" ca="1">(1-$B$18)*SUMPRODUCT(OFFSET($BO$15,0,0,$B$14,1), 1*(_xlfn._xlws.FILTER(OFFSET($O$15,0,$DN25,$B$8,1),OFFSET($M$15,0,0,$B$8,1))=EW$13), 1*(_xlfn._xlws.FILTER(OFFSET($O$15,0,$DO25,$B$8,1),OFFSET($M$15,0,0,$B$8,1))=EW$14))   /   SUM(OFFSET($BO$15,0,0,$B$14,1)) + $B$18/($B$19*$B$19*($DN25&lt;&gt;$DO25) + $B$19*($DN25=$DO25))</f>
        <v>3.7037037037037035E-4</v>
      </c>
      <c r="EX25" s="10" cm="1">
        <f t="array" aca="1" ref="EX25" ca="1">(1-$B$18)*SUMPRODUCT(OFFSET($BO$15,0,0,$B$14,1), 1*(_xlfn._xlws.FILTER(OFFSET($O$15,0,$DN25,$B$8,1),OFFSET($M$15,0,0,$B$8,1))=EX$13), 1*(_xlfn._xlws.FILTER(OFFSET($O$15,0,$DO25,$B$8,1),OFFSET($M$15,0,0,$B$8,1))=EX$14))   /   SUM(OFFSET($BO$15,0,0,$B$14,1)) + $B$18/($B$19*$B$19*($DN25&lt;&gt;$DO25) + $B$19*($DN25=$DO25))</f>
        <v>3.7037037037037035E-4</v>
      </c>
      <c r="EY25" s="10" cm="1">
        <f t="array" aca="1" ref="EY25" ca="1">(1-$B$18)*SUMPRODUCT(OFFSET($BO$15,0,0,$B$14,1), 1*(_xlfn._xlws.FILTER(OFFSET($O$15,0,$DN25,$B$8,1),OFFSET($M$15,0,0,$B$8,1))=EY$13), 1*(_xlfn._xlws.FILTER(OFFSET($O$15,0,$DO25,$B$8,1),OFFSET($M$15,0,0,$B$8,1))=EY$14))   /   SUM(OFFSET($BO$15,0,0,$B$14,1)) + $B$18/($B$19*$B$19*($DN25&lt;&gt;$DO25) + $B$19*($DN25=$DO25))</f>
        <v>3.7037037037037035E-4</v>
      </c>
      <c r="EZ25" s="10" cm="1">
        <f t="array" aca="1" ref="EZ25" ca="1">(1-$B$18)*SUMPRODUCT(OFFSET($BO$15,0,0,$B$14,1), 1*(_xlfn._xlws.FILTER(OFFSET($O$15,0,$DN25,$B$8,1),OFFSET($M$15,0,0,$B$8,1))=EZ$13), 1*(_xlfn._xlws.FILTER(OFFSET($O$15,0,$DO25,$B$8,1),OFFSET($M$15,0,0,$B$8,1))=EZ$14))   /   SUM(OFFSET($BO$15,0,0,$B$14,1)) + $B$18/($B$19*$B$19*($DN25&lt;&gt;$DO25) + $B$19*($DN25=$DO25))</f>
        <v>3.7037037037037035E-4</v>
      </c>
      <c r="FA25" s="10" cm="1">
        <f t="array" aca="1" ref="FA25" ca="1">(1-$B$18)*SUMPRODUCT(OFFSET($BO$15,0,0,$B$14,1), 1*(_xlfn._xlws.FILTER(OFFSET($O$15,0,$DN25,$B$8,1),OFFSET($M$15,0,0,$B$8,1))=FA$13), 1*(_xlfn._xlws.FILTER(OFFSET($O$15,0,$DO25,$B$8,1),OFFSET($M$15,0,0,$B$8,1))=FA$14))   /   SUM(OFFSET($BO$15,0,0,$B$14,1)) + $B$18/($B$19*$B$19*($DN25&lt;&gt;$DO25) + $B$19*($DN25=$DO25))</f>
        <v>3.7037037037037035E-4</v>
      </c>
      <c r="FB25" s="10" cm="1">
        <f t="array" aca="1" ref="FB25" ca="1">(1-$B$18)*SUMPRODUCT(OFFSET($BO$15,0,0,$B$14,1), 1*(_xlfn._xlws.FILTER(OFFSET($O$15,0,$DN25,$B$8,1),OFFSET($M$15,0,0,$B$8,1))=FB$13), 1*(_xlfn._xlws.FILTER(OFFSET($O$15,0,$DO25,$B$8,1),OFFSET($M$15,0,0,$B$8,1))=FB$14))   /   SUM(OFFSET($BO$15,0,0,$B$14,1)) + $B$18/($B$19*$B$19*($DN25&lt;&gt;$DO25) + $B$19*($DN25=$DO25))</f>
        <v>3.7037037037037035E-4</v>
      </c>
      <c r="FC25" s="10" cm="1">
        <f t="array" aca="1" ref="FC25" ca="1">(1-$B$18)*SUMPRODUCT(OFFSET($BO$15,0,0,$B$14,1), 1*(_xlfn._xlws.FILTER(OFFSET($O$15,0,$DN25,$B$8,1),OFFSET($M$15,0,0,$B$8,1))=FC$13), 1*(_xlfn._xlws.FILTER(OFFSET($O$15,0,$DO25,$B$8,1),OFFSET($M$15,0,0,$B$8,1))=FC$14))   /   SUM(OFFSET($BO$15,0,0,$B$14,1)) + $B$18/($B$19*$B$19*($DN25&lt;&gt;$DO25) + $B$19*($DN25=$DO25))</f>
        <v>3.7037037037037035E-4</v>
      </c>
      <c r="FD25" s="10" cm="1">
        <f t="array" aca="1" ref="FD25" ca="1">(1-$B$18)*SUMPRODUCT(OFFSET($BO$15,0,0,$B$14,1), 1*(_xlfn._xlws.FILTER(OFFSET($O$15,0,$DN25,$B$8,1),OFFSET($M$15,0,0,$B$8,1))=FD$13), 1*(_xlfn._xlws.FILTER(OFFSET($O$15,0,$DO25,$B$8,1),OFFSET($M$15,0,0,$B$8,1))=FD$14))   /   SUM(OFFSET($BO$15,0,0,$B$14,1)) + $B$18/($B$19*$B$19*($DN25&lt;&gt;$DO25) + $B$19*($DN25=$DO25))</f>
        <v>3.7037037037037035E-4</v>
      </c>
      <c r="FE25" s="10" cm="1">
        <f t="array" aca="1" ref="FE25" ca="1">(1-$B$18)*SUMPRODUCT(OFFSET($BO$15,0,0,$B$14,1), 1*(_xlfn._xlws.FILTER(OFFSET($O$15,0,$DN25,$B$8,1),OFFSET($M$15,0,0,$B$8,1))=FE$13), 1*(_xlfn._xlws.FILTER(OFFSET($O$15,0,$DO25,$B$8,1),OFFSET($M$15,0,0,$B$8,1))=FE$14))   /   SUM(OFFSET($BO$15,0,0,$B$14,1)) + $B$18/($B$19*$B$19*($DN25&lt;&gt;$DO25) + $B$19*($DN25=$DO25))</f>
        <v>3.7037037037037035E-4</v>
      </c>
      <c r="FF25" s="10" cm="1">
        <f t="array" aca="1" ref="FF25" ca="1">(1-$B$18)*SUMPRODUCT(OFFSET($BO$15,0,0,$B$14,1), 1*(_xlfn._xlws.FILTER(OFFSET($O$15,0,$DN25,$B$8,1),OFFSET($M$15,0,0,$B$8,1))=FF$13), 1*(_xlfn._xlws.FILTER(OFFSET($O$15,0,$DO25,$B$8,1),OFFSET($M$15,0,0,$B$8,1))=FF$14))   /   SUM(OFFSET($BO$15,0,0,$B$14,1)) + $B$18/($B$19*$B$19*($DN25&lt;&gt;$DO25) + $B$19*($DN25=$DO25))</f>
        <v>3.7037037037037035E-4</v>
      </c>
      <c r="FG25" s="10" cm="1">
        <f t="array" aca="1" ref="FG25" ca="1">(1-$B$18)*SUMPRODUCT(OFFSET($BO$15,0,0,$B$14,1), 1*(_xlfn._xlws.FILTER(OFFSET($O$15,0,$DN25,$B$8,1),OFFSET($M$15,0,0,$B$8,1))=FG$13), 1*(_xlfn._xlws.FILTER(OFFSET($O$15,0,$DO25,$B$8,1),OFFSET($M$15,0,0,$B$8,1))=FG$14))   /   SUM(OFFSET($BO$15,0,0,$B$14,1)) + $B$18/($B$19*$B$19*($DN25&lt;&gt;$DO25) + $B$19*($DN25=$DO25))</f>
        <v>3.7037037037037035E-4</v>
      </c>
      <c r="FH25" s="10" cm="1">
        <f t="array" aca="1" ref="FH25" ca="1">(1-$B$18)*SUMPRODUCT(OFFSET($BO$15,0,0,$B$14,1), 1*(_xlfn._xlws.FILTER(OFFSET($O$15,0,$DN25,$B$8,1),OFFSET($M$15,0,0,$B$8,1))=FH$13), 1*(_xlfn._xlws.FILTER(OFFSET($O$15,0,$DO25,$B$8,1),OFFSET($M$15,0,0,$B$8,1))=FH$14))   /   SUM(OFFSET($BO$15,0,0,$B$14,1)) + $B$18/($B$19*$B$19*($DN25&lt;&gt;$DO25) + $B$19*($DN25=$DO25))</f>
        <v>3.7037037037037035E-4</v>
      </c>
      <c r="FI25" s="10" cm="1">
        <f t="array" aca="1" ref="FI25" ca="1">(1-$B$18)*SUMPRODUCT(OFFSET($BO$15,0,0,$B$14,1), 1*(_xlfn._xlws.FILTER(OFFSET($O$15,0,$DN25,$B$8,1),OFFSET($M$15,0,0,$B$8,1))=FI$13), 1*(_xlfn._xlws.FILTER(OFFSET($O$15,0,$DO25,$B$8,1),OFFSET($M$15,0,0,$B$8,1))=FI$14))   /   SUM(OFFSET($BO$15,0,0,$B$14,1)) + $B$18/($B$19*$B$19*($DN25&lt;&gt;$DO25) + $B$19*($DN25=$DO25))</f>
        <v>3.7037037037037035E-4</v>
      </c>
      <c r="FJ25" s="10" cm="1">
        <f t="array" aca="1" ref="FJ25" ca="1">(1-$B$18)*SUMPRODUCT(OFFSET($BO$15,0,0,$B$14,1), 1*(_xlfn._xlws.FILTER(OFFSET($O$15,0,$DN25,$B$8,1),OFFSET($M$15,0,0,$B$8,1))=FJ$13), 1*(_xlfn._xlws.FILTER(OFFSET($O$15,0,$DO25,$B$8,1),OFFSET($M$15,0,0,$B$8,1))=FJ$14))   /   SUM(OFFSET($BO$15,0,0,$B$14,1)) + $B$18/($B$19*$B$19*($DN25&lt;&gt;$DO25) + $B$19*($DN25=$DO25))</f>
        <v>3.7037037037037035E-4</v>
      </c>
      <c r="FK25" s="10" cm="1">
        <f t="array" aca="1" ref="FK25" ca="1">(1-$B$18)*SUMPRODUCT(OFFSET($BO$15,0,0,$B$14,1), 1*(_xlfn._xlws.FILTER(OFFSET($O$15,0,$DN25,$B$8,1),OFFSET($M$15,0,0,$B$8,1))=FK$13), 1*(_xlfn._xlws.FILTER(OFFSET($O$15,0,$DO25,$B$8,1),OFFSET($M$15,0,0,$B$8,1))=FK$14))   /   SUM(OFFSET($BO$15,0,0,$B$14,1)) + $B$18/($B$19*$B$19*($DN25&lt;&gt;$DO25) + $B$19*($DN25=$DO25))</f>
        <v>3.7037037037037035E-4</v>
      </c>
      <c r="FL25" s="10" cm="1">
        <f t="array" aca="1" ref="FL25" ca="1">(1-$B$18)*SUMPRODUCT(OFFSET($BO$15,0,0,$B$14,1), 1*(_xlfn._xlws.FILTER(OFFSET($O$15,0,$DN25,$B$8,1),OFFSET($M$15,0,0,$B$8,1))=FL$13), 1*(_xlfn._xlws.FILTER(OFFSET($O$15,0,$DO25,$B$8,1),OFFSET($M$15,0,0,$B$8,1))=FL$14))   /   SUM(OFFSET($BO$15,0,0,$B$14,1)) + $B$18/($B$19*$B$19*($DN25&lt;&gt;$DO25) + $B$19*($DN25=$DO25))</f>
        <v>0.48537037037037034</v>
      </c>
      <c r="FM25" s="10" cm="1">
        <f t="array" aca="1" ref="FM25" ca="1">(1-$B$18)*SUMPRODUCT(OFFSET($BO$15,0,0,$B$14,1), 1*(_xlfn._xlws.FILTER(OFFSET($O$15,0,$DN25,$B$8,1),OFFSET($M$15,0,0,$B$8,1))=FM$13), 1*(_xlfn._xlws.FILTER(OFFSET($O$15,0,$DO25,$B$8,1),OFFSET($M$15,0,0,$B$8,1))=FM$14))   /   SUM(OFFSET($BO$15,0,0,$B$14,1)) + $B$18/($B$19*$B$19*($DN25&lt;&gt;$DO25) + $B$19*($DN25=$DO25))</f>
        <v>3.7037037037037035E-4</v>
      </c>
      <c r="FN25" s="10" cm="1">
        <f t="array" aca="1" ref="FN25" ca="1">(1-$B$18)*SUMPRODUCT(OFFSET($BO$15,0,0,$B$14,1), 1*(_xlfn._xlws.FILTER(OFFSET($O$15,0,$DN25,$B$8,1),OFFSET($M$15,0,0,$B$8,1))=FN$13), 1*(_xlfn._xlws.FILTER(OFFSET($O$15,0,$DO25,$B$8,1),OFFSET($M$15,0,0,$B$8,1))=FN$14))   /   SUM(OFFSET($BO$15,0,0,$B$14,1)) + $B$18/($B$19*$B$19*($DN25&lt;&gt;$DO25) + $B$19*($DN25=$DO25))</f>
        <v>0.24287037037037026</v>
      </c>
      <c r="FO25" s="10" cm="1">
        <f t="array" aca="1" ref="FO25" ca="1">(1-$B$18)*SUMPRODUCT(OFFSET($BO$15,0,0,$B$14,1), 1*(_xlfn._xlws.FILTER(OFFSET($O$15,0,$DN25,$B$8,1),OFFSET($M$15,0,0,$B$8,1))=FO$13), 1*(_xlfn._xlws.FILTER(OFFSET($O$15,0,$DO25,$B$8,1),OFFSET($M$15,0,0,$B$8,1))=FO$14))   /   SUM(OFFSET($BO$15,0,0,$B$14,1)) + $B$18/($B$19*$B$19*($DN25&lt;&gt;$DO25) + $B$19*($DN25=$DO25))</f>
        <v>0.24287037037037026</v>
      </c>
      <c r="FP25" s="10" cm="1">
        <f t="array" aca="1" ref="FP25" ca="1">(1-$B$18)*SUMPRODUCT(OFFSET($BO$15,0,0,$B$14,1), 1*(_xlfn._xlws.FILTER(OFFSET($O$15,0,$DN25,$B$8,1),OFFSET($M$15,0,0,$B$8,1))=FP$13), 1*(_xlfn._xlws.FILTER(OFFSET($O$15,0,$DO25,$B$8,1),OFFSET($M$15,0,0,$B$8,1))=FP$14))   /   SUM(OFFSET($BO$15,0,0,$B$14,1)) + $B$18/($B$19*$B$19*($DN25&lt;&gt;$DO25) + $B$19*($DN25=$DO25))</f>
        <v>3.7037037037037035E-4</v>
      </c>
      <c r="FQ25" s="10" cm="1">
        <f t="array" aca="1" ref="FQ25" ca="1">(1-$B$18)*SUMPRODUCT(OFFSET($BO$15,0,0,$B$14,1), 1*(_xlfn._xlws.FILTER(OFFSET($O$15,0,$DN25,$B$8,1),OFFSET($M$15,0,0,$B$8,1))=FQ$13), 1*(_xlfn._xlws.FILTER(OFFSET($O$15,0,$DO25,$B$8,1),OFFSET($M$15,0,0,$B$8,1))=FQ$14))   /   SUM(OFFSET($BO$15,0,0,$B$14,1)) + $B$18/($B$19*$B$19*($DN25&lt;&gt;$DO25) + $B$19*($DN25=$DO25))</f>
        <v>3.7037037037037035E-4</v>
      </c>
      <c r="FR25" s="10" cm="1">
        <f t="array" aca="1" ref="FR25" ca="1">(1-$B$18)*SUMPRODUCT(OFFSET($BO$15,0,0,$B$14,1), 1*(_xlfn._xlws.FILTER(OFFSET($O$15,0,$DN25,$B$8,1),OFFSET($M$15,0,0,$B$8,1))=FR$13), 1*(_xlfn._xlws.FILTER(OFFSET($O$15,0,$DO25,$B$8,1),OFFSET($M$15,0,0,$B$8,1))=FR$14))   /   SUM(OFFSET($BO$15,0,0,$B$14,1)) + $B$18/($B$19*$B$19*($DN25&lt;&gt;$DO25) + $B$19*($DN25=$DO25))</f>
        <v>3.7037037037037035E-4</v>
      </c>
      <c r="FS25" s="10" cm="1">
        <f t="array" aca="1" ref="FS25" ca="1">(1-$B$18)*SUMPRODUCT(OFFSET($BO$15,0,0,$B$14,1), 1*(_xlfn._xlws.FILTER(OFFSET($O$15,0,$DN25,$B$8,1),OFFSET($M$15,0,0,$B$8,1))=FS$13), 1*(_xlfn._xlws.FILTER(OFFSET($O$15,0,$DO25,$B$8,1),OFFSET($M$15,0,0,$B$8,1))=FS$14))   /   SUM(OFFSET($BO$15,0,0,$B$14,1)) + $B$18/($B$19*$B$19*($DN25&lt;&gt;$DO25) + $B$19*($DN25=$DO25))</f>
        <v>3.7037037037037035E-4</v>
      </c>
      <c r="FT25" s="10" cm="1">
        <f t="array" aca="1" ref="FT25" ca="1">(1-$B$18)*SUMPRODUCT(OFFSET($BO$15,0,0,$B$14,1), 1*(_xlfn._xlws.FILTER(OFFSET($O$15,0,$DN25,$B$8,1),OFFSET($M$15,0,0,$B$8,1))=FT$13), 1*(_xlfn._xlws.FILTER(OFFSET($O$15,0,$DO25,$B$8,1),OFFSET($M$15,0,0,$B$8,1))=FT$14))   /   SUM(OFFSET($BO$15,0,0,$B$14,1)) + $B$18/($B$19*$B$19*($DN25&lt;&gt;$DO25) + $B$19*($DN25=$DO25))</f>
        <v>3.7037037037037035E-4</v>
      </c>
      <c r="FU25" s="10" cm="1">
        <f t="array" aca="1" ref="FU25" ca="1">(1-$B$18)*SUMPRODUCT(OFFSET($BO$15,0,0,$B$14,1), 1*(_xlfn._xlws.FILTER(OFFSET($O$15,0,$DN25,$B$8,1),OFFSET($M$15,0,0,$B$8,1))=FU$13), 1*(_xlfn._xlws.FILTER(OFFSET($O$15,0,$DO25,$B$8,1),OFFSET($M$15,0,0,$B$8,1))=FU$14))   /   SUM(OFFSET($BO$15,0,0,$B$14,1)) + $B$18/($B$19*$B$19*($DN25&lt;&gt;$DO25) + $B$19*($DN25=$DO25))</f>
        <v>3.7037037037037035E-4</v>
      </c>
      <c r="FV25" s="10" cm="1">
        <f t="array" aca="1" ref="FV25" ca="1">(1-$B$18)*SUMPRODUCT(OFFSET($BO$15,0,0,$B$14,1), 1*(_xlfn._xlws.FILTER(OFFSET($O$15,0,$DN25,$B$8,1),OFFSET($M$15,0,0,$B$8,1))=FV$13), 1*(_xlfn._xlws.FILTER(OFFSET($O$15,0,$DO25,$B$8,1),OFFSET($M$15,0,0,$B$8,1))=FV$14))   /   SUM(OFFSET($BO$15,0,0,$B$14,1)) + $B$18/($B$19*$B$19*($DN25&lt;&gt;$DO25) + $B$19*($DN25=$DO25))</f>
        <v>3.7037037037037035E-4</v>
      </c>
      <c r="FW25" s="10" cm="1">
        <f t="array" aca="1" ref="FW25" ca="1">(1-$B$18)*SUMPRODUCT(OFFSET($BO$15,0,0,$B$14,1), 1*(_xlfn._xlws.FILTER(OFFSET($O$15,0,$DN25,$B$8,1),OFFSET($M$15,0,0,$B$8,1))=FW$13), 1*(_xlfn._xlws.FILTER(OFFSET($O$15,0,$DO25,$B$8,1),OFFSET($M$15,0,0,$B$8,1))=FW$14))   /   SUM(OFFSET($BO$15,0,0,$B$14,1)) + $B$18/($B$19*$B$19*($DN25&lt;&gt;$DO25) + $B$19*($DN25=$DO25))</f>
        <v>3.7037037037037035E-4</v>
      </c>
      <c r="FX25" s="10" cm="1">
        <f t="array" aca="1" ref="FX25" ca="1">(1-$B$18)*SUMPRODUCT(OFFSET($BO$15,0,0,$B$14,1), 1*(_xlfn._xlws.FILTER(OFFSET($O$15,0,$DN25,$B$8,1),OFFSET($M$15,0,0,$B$8,1))=FX$13), 1*(_xlfn._xlws.FILTER(OFFSET($O$15,0,$DO25,$B$8,1),OFFSET($M$15,0,0,$B$8,1))=FX$14))   /   SUM(OFFSET($BO$15,0,0,$B$14,1)) + $B$18/($B$19*$B$19*($DN25&lt;&gt;$DO25) + $B$19*($DN25=$DO25))</f>
        <v>3.7037037037037035E-4</v>
      </c>
      <c r="FY25" s="10" cm="1">
        <f t="array" aca="1" ref="FY25" ca="1">(1-$B$18)*SUMPRODUCT(OFFSET($BO$15,0,0,$B$14,1), 1*(_xlfn._xlws.FILTER(OFFSET($O$15,0,$DN25,$B$8,1),OFFSET($M$15,0,0,$B$8,1))=FY$13), 1*(_xlfn._xlws.FILTER(OFFSET($O$15,0,$DO25,$B$8,1),OFFSET($M$15,0,0,$B$8,1))=FY$14))   /   SUM(OFFSET($BO$15,0,0,$B$14,1)) + $B$18/($B$19*$B$19*($DN25&lt;&gt;$DO25) + $B$19*($DN25=$DO25))</f>
        <v>3.7037037037037035E-4</v>
      </c>
      <c r="FZ25" s="10" cm="1">
        <f t="array" aca="1" ref="FZ25" ca="1">(1-$B$18)*SUMPRODUCT(OFFSET($BO$15,0,0,$B$14,1), 1*(_xlfn._xlws.FILTER(OFFSET($O$15,0,$DN25,$B$8,1),OFFSET($M$15,0,0,$B$8,1))=FZ$13), 1*(_xlfn._xlws.FILTER(OFFSET($O$15,0,$DO25,$B$8,1),OFFSET($M$15,0,0,$B$8,1))=FZ$14))   /   SUM(OFFSET($BO$15,0,0,$B$14,1)) + $B$18/($B$19*$B$19*($DN25&lt;&gt;$DO25) + $B$19*($DN25=$DO25))</f>
        <v>3.7037037037037035E-4</v>
      </c>
      <c r="GA25" s="10" cm="1">
        <f t="array" aca="1" ref="GA25" ca="1">(1-$B$18)*SUMPRODUCT(OFFSET($BO$15,0,0,$B$14,1), 1*(_xlfn._xlws.FILTER(OFFSET($O$15,0,$DN25,$B$8,1),OFFSET($M$15,0,0,$B$8,1))=GA$13), 1*(_xlfn._xlws.FILTER(OFFSET($O$15,0,$DO25,$B$8,1),OFFSET($M$15,0,0,$B$8,1))=GA$14))   /   SUM(OFFSET($BO$15,0,0,$B$14,1)) + $B$18/($B$19*$B$19*($DN25&lt;&gt;$DO25) + $B$19*($DN25=$DO25))</f>
        <v>3.7037037037037035E-4</v>
      </c>
    </row>
    <row r="26" spans="1:183" x14ac:dyDescent="0.2">
      <c r="D26" s="10">
        <f ca="1"/>
        <v>12</v>
      </c>
      <c r="F26" s="10">
        <f ca="1"/>
        <v>0.1</v>
      </c>
      <c r="H26" s="10">
        <f ca="1"/>
        <v>12</v>
      </c>
      <c r="J26" cm="1">
        <f t="array" aca="1" ref="J26" ca="1">SUMPRODUCT((O26:AJ26=$O$11:$AJ$11)*(O$13:AJ$13=TRUE))  / COUNTIF(O$13:AJ$13,TRUE)</f>
        <v>1</v>
      </c>
      <c r="K26" t="b">
        <f t="shared" ca="1" si="4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5"/>
        <v>1</v>
      </c>
      <c r="N26" s="2">
        <v>11</v>
      </c>
      <c r="O26" s="12" t="s">
        <v>11</v>
      </c>
      <c r="P26" s="9" t="s">
        <v>11</v>
      </c>
      <c r="Q26" s="9" t="s">
        <v>11</v>
      </c>
      <c r="R26" s="9" t="s">
        <v>11</v>
      </c>
      <c r="S26" s="9" t="s">
        <v>11</v>
      </c>
      <c r="T26" s="12" t="s">
        <v>11</v>
      </c>
      <c r="U26" s="9" t="s">
        <v>11</v>
      </c>
      <c r="V26" s="9" t="s">
        <v>11</v>
      </c>
      <c r="W26" s="9" t="s">
        <v>11</v>
      </c>
      <c r="X26" s="9" t="s">
        <v>11</v>
      </c>
      <c r="Y26" s="12" t="s">
        <v>0</v>
      </c>
      <c r="Z26" s="9" t="s">
        <v>0</v>
      </c>
      <c r="AA26" s="9" t="s">
        <v>1</v>
      </c>
      <c r="AB26" s="9" t="s">
        <v>1</v>
      </c>
      <c r="AC26" s="9" t="s">
        <v>2</v>
      </c>
      <c r="AD26" s="12" t="s">
        <v>2</v>
      </c>
      <c r="AE26" s="9" t="s">
        <v>5</v>
      </c>
      <c r="AF26" s="9" t="s">
        <v>5</v>
      </c>
      <c r="AG26" s="9" t="s">
        <v>3</v>
      </c>
      <c r="AH26" s="9" t="s">
        <v>3</v>
      </c>
      <c r="AI26" s="12" t="s">
        <v>4</v>
      </c>
      <c r="AJ26" s="9" t="s">
        <v>4</v>
      </c>
      <c r="AK26" s="7"/>
      <c r="AN26">
        <f t="shared" ca="1" si="6"/>
        <v>7</v>
      </c>
      <c r="AO26" s="14">
        <f t="shared" ca="1" si="7"/>
        <v>0.14285714285714285</v>
      </c>
      <c r="AP26" s="2">
        <f ca="1"/>
        <v>12</v>
      </c>
      <c r="AQ26" cm="1">
        <f t="array" aca="1" ref="AQ26" ca="1">IF($AP26=AQ$14, 1, SUMPRODUCT(
    --(OFFSET($O$13,0,0,1,$B$9)=TRUE),
    --(INDEX(OFFSET($O$15,0,0,$B$8,$B$9), 1+$AP26, 0) = INDEX(OFFSET($O$15,0,0,$B$8,$B$9), 1+AQ$14, 0))
) / $B$13)</f>
        <v>0.9</v>
      </c>
      <c r="AR26" cm="1">
        <f t="array" aca="1" ref="AR26" ca="1">IF($AP26=AR$14, 1, SUMPRODUCT(
    --(OFFSET($O$13,0,0,1,$B$9)=TRUE),
    --(INDEX(OFFSET($O$15,0,0,$B$8,$B$9), 1+$AP26, 0) = INDEX(OFFSET($O$15,0,0,$B$8,$B$9), 1+AR$14, 0))
) / $B$13)</f>
        <v>1</v>
      </c>
      <c r="AS26" cm="1">
        <f t="array" aca="1" ref="AS26" ca="1">IF($AP26=AS$14, 1, SUMPRODUCT(
    --(OFFSET($O$13,0,0,1,$B$9)=TRUE),
    --(INDEX(OFFSET($O$15,0,0,$B$8,$B$9), 1+$AP26, 0) = INDEX(OFFSET($O$15,0,0,$B$8,$B$9), 1+AS$14, 0))
) / $B$13)</f>
        <v>0.9</v>
      </c>
      <c r="AT26" cm="1">
        <f t="array" aca="1" ref="AT26" ca="1">IF($AP26=AT$14, 1, SUMPRODUCT(
    --(OFFSET($O$13,0,0,1,$B$9)=TRUE),
    --(INDEX(OFFSET($O$15,0,0,$B$8,$B$9), 1+$AP26, 0) = INDEX(OFFSET($O$15,0,0,$B$8,$B$9), 1+AT$14, 0))
) / $B$13)</f>
        <v>0.9</v>
      </c>
      <c r="AU26" cm="1">
        <f t="array" aca="1" ref="AU26" ca="1">IF($AP26=AU$14, 1, SUMPRODUCT(
    --(OFFSET($O$13,0,0,1,$B$9)=TRUE),
    --(INDEX(OFFSET($O$15,0,0,$B$8,$B$9), 1+$AP26, 0) = INDEX(OFFSET($O$15,0,0,$B$8,$B$9), 1+AU$14, 0))
) / $B$13)</f>
        <v>0.9</v>
      </c>
      <c r="AV26" cm="1">
        <f t="array" aca="1" ref="AV26" ca="1">IF($AP26=AV$14, 1, SUMPRODUCT(
    --(OFFSET($O$13,0,0,1,$B$9)=TRUE),
    --(INDEX(OFFSET($O$15,0,0,$B$8,$B$9), 1+$AP26, 0) = INDEX(OFFSET($O$15,0,0,$B$8,$B$9), 1+AV$14, 0))
) / $B$13)</f>
        <v>1</v>
      </c>
      <c r="AW26" cm="1">
        <f t="array" aca="1" ref="AW26" ca="1">IF($AP26=AW$14, 1, SUMPRODUCT(
    --(OFFSET($O$13,0,0,1,$B$9)=TRUE),
    --(INDEX(OFFSET($O$15,0,0,$B$8,$B$9), 1+$AP26, 0) = INDEX(OFFSET($O$15,0,0,$B$8,$B$9), 1+AW$14, 0))
) / $B$13)</f>
        <v>0.85</v>
      </c>
      <c r="AX26" cm="1">
        <f t="array" aca="1" ref="AX26" ca="1">IF($AP26=AX$14, 1, SUMPRODUCT(
    --(OFFSET($O$13,0,0,1,$B$9)=TRUE),
    --(INDEX(OFFSET($O$15,0,0,$B$8,$B$9), 1+$AP26, 0) = INDEX(OFFSET($O$15,0,0,$B$8,$B$9), 1+AX$14, 0))
) / $B$13)</f>
        <v>0.85</v>
      </c>
      <c r="AY26" cm="1">
        <f t="array" aca="1" ref="AY26" ca="1">IF($AP26=AY$14, 1, SUMPRODUCT(
    --(OFFSET($O$13,0,0,1,$B$9)=TRUE),
    --(INDEX(OFFSET($O$15,0,0,$B$8,$B$9), 1+$AP26, 0) = INDEX(OFFSET($O$15,0,0,$B$8,$B$9), 1+AY$14, 0))
) / $B$13)</f>
        <v>1</v>
      </c>
      <c r="AZ26" cm="1">
        <f t="array" aca="1" ref="AZ26" ca="1">IF($AP26=AZ$14, 1, SUMPRODUCT(
    --(OFFSET($O$13,0,0,1,$B$9)=TRUE),
    --(INDEX(OFFSET($O$15,0,0,$B$8,$B$9), 1+$AP26, 0) = INDEX(OFFSET($O$15,0,0,$B$8,$B$9), 1+AZ$14, 0))
) / $B$13)</f>
        <v>1</v>
      </c>
      <c r="BA26" cm="1">
        <f t="array" aca="1" ref="BA26" ca="1">IF($AP26=BA$14, 1, SUMPRODUCT(
    --(OFFSET($O$13,0,0,1,$B$9)=TRUE),
    --(INDEX(OFFSET($O$15,0,0,$B$8,$B$9), 1+$AP26, 0) = INDEX(OFFSET($O$15,0,0,$B$8,$B$9), 1+BA$14, 0))
) / $B$13)</f>
        <v>1</v>
      </c>
      <c r="BB26" cm="1">
        <f t="array" aca="1" ref="BB26" ca="1">IF($AP26=BB$14, 1, SUMPRODUCT(
    --(OFFSET($O$13,0,0,1,$B$9)=TRUE),
    --(INDEX(OFFSET($O$15,0,0,$B$8,$B$9), 1+$AP26, 0) = INDEX(OFFSET($O$15,0,0,$B$8,$B$9), 1+BB$14, 0))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
) / $B$13)</f>
        <v>1</v>
      </c>
      <c r="BD26" cm="1">
        <f t="array" aca="1" ref="BD26" ca="1">IF($AP26=BD$14, 1, SUMPRODUCT(
    --(OFFSET($O$13,0,0,1,$B$9)=TRUE),
    --(INDEX(OFFSET($O$15,0,0,$B$8,$B$9), 1+$AP26, 0) = INDEX(OFFSET($O$15,0,0,$B$8,$B$9), 1+BD$14, 0))
) / $B$13)</f>
        <v>0.95</v>
      </c>
      <c r="BE26" cm="1">
        <f t="array" aca="1" ref="BE26" ca="1">IF($AP26=BE$14, 1, SUMPRODUCT(
    --(OFFSET($O$13,0,0,1,$B$9)=TRUE),
    --(INDEX(OFFSET($O$15,0,0,$B$8,$B$9), 1+$AP26, 0) = INDEX(OFFSET($O$15,0,0,$B$8,$B$9), 1+BE$14, 0))
) / $B$13)</f>
        <v>0.8</v>
      </c>
      <c r="BF26" cm="1">
        <f t="array" aca="1" ref="BF26" ca="1">IF($AP26=BF$14, 1, SUMPRODUCT(
    --(OFFSET($O$13,0,0,1,$B$9)=TRUE),
    --(INDEX(OFFSET($O$15,0,0,$B$8,$B$9), 1+$AP26, 0) = INDEX(OFFSET($O$15,0,0,$B$8,$B$9), 1+BF$14, 0))
) / $B$13)</f>
        <v>0.8</v>
      </c>
      <c r="BG26" cm="1">
        <f t="array" aca="1" ref="BG26" ca="1">IF($AP26=BG$14, 1, SUMPRODUCT(
    --(OFFSET($O$13,0,0,1,$B$9)=TRUE),
    --(INDEX(OFFSET($O$15,0,0,$B$8,$B$9), 1+$AP26, 0) = INDEX(OFFSET($O$15,0,0,$B$8,$B$9), 1+BG$14, 0))
) / $B$13)</f>
        <v>0.95</v>
      </c>
      <c r="BH26" cm="1">
        <f t="array" aca="1" ref="BH26" ca="1">IF($AP26=BH$14, 1, SUMPRODUCT(
    --(OFFSET($O$13,0,0,1,$B$9)=TRUE),
    --(INDEX(OFFSET($O$15,0,0,$B$8,$B$9), 1+$AP26, 0) = INDEX(OFFSET($O$15,0,0,$B$8,$B$9), 1+BH$14, 0))
) / $B$13)</f>
        <v>0.8</v>
      </c>
      <c r="BI26" cm="1">
        <f t="array" aca="1" ref="BI26" ca="1">IF($AP26=BI$14, 1, SUMPRODUCT(
    --(OFFSET($O$13,0,0,1,$B$9)=TRUE),
    --(INDEX(OFFSET($O$15,0,0,$B$8,$B$9), 1+$AP26, 0) = INDEX(OFFSET($O$15,0,0,$B$8,$B$9), 1+BI$14, 0))
) / $B$13)</f>
        <v>0.95</v>
      </c>
      <c r="BJ26" cm="1">
        <f t="array" aca="1" ref="BJ26" ca="1">IF($AP26=BJ$14, 1, SUMPRODUCT(
    --(OFFSET($O$13,0,0,1,$B$9)=TRUE),
    --(INDEX(OFFSET($O$15,0,0,$B$8,$B$9), 1+$AP26, 0) = INDEX(OFFSET($O$15,0,0,$B$8,$B$9), 1+BJ$14, 0))
) / $B$13)</f>
        <v>0.85</v>
      </c>
      <c r="BN26">
        <f t="shared" ca="1" si="8"/>
        <v>10</v>
      </c>
      <c r="BO26" s="14">
        <f t="shared" ca="1" si="9"/>
        <v>0.1</v>
      </c>
      <c r="BP26" s="2">
        <f ca="1"/>
        <v>12</v>
      </c>
      <c r="BQ26" cm="1">
        <f t="array" aca="1" ref="BQ26" ca="1">IF($BP26=BQ$14, 1, SUMPRODUCT(
    --(OFFSET($O$9,0,0,1,$B$9)=TRUE),
    --(INDEX(OFFSET($O$15,0,0,$B$8,$B$9), 1+$BP26, 0) = INDEX(OFFSET($O$15,0,0,$B$8,$B$9), 1+BQ$14, 0))
) / $B$16)</f>
        <v>0.89473684210526316</v>
      </c>
      <c r="BR26" cm="1">
        <f t="array" aca="1" ref="BR26" ca="1">IF($BP26=BR$14, 1, SUMPRODUCT(
    --(OFFSET($O$9,0,0,1,$B$9)=TRUE),
    --(INDEX(OFFSET($O$15,0,0,$B$8,$B$9), 1+$BP26, 0) = INDEX(OFFSET($O$15,0,0,$B$8,$B$9), 1+BR$14, 0))
) / $B$16)</f>
        <v>1</v>
      </c>
      <c r="BS26" cm="1">
        <f t="array" aca="1" ref="BS26" ca="1">IF($BP26=BS$14, 1, SUMPRODUCT(
    --(OFFSET($O$9,0,0,1,$B$9)=TRUE),
    --(INDEX(OFFSET($O$15,0,0,$B$8,$B$9), 1+$BP26, 0) = INDEX(OFFSET($O$15,0,0,$B$8,$B$9), 1+BS$14, 0))
) / $B$16)</f>
        <v>0.89473684210526316</v>
      </c>
      <c r="BT26" cm="1">
        <f t="array" aca="1" ref="BT26" ca="1">IF($BP26=BT$14, 1, SUMPRODUCT(
    --(OFFSET($O$9,0,0,1,$B$9)=TRUE),
    --(INDEX(OFFSET($O$15,0,0,$B$8,$B$9), 1+$BP26, 0) = INDEX(OFFSET($O$15,0,0,$B$8,$B$9), 1+BT$14, 0))
) / $B$16)</f>
        <v>0.89473684210526316</v>
      </c>
      <c r="BU26" cm="1">
        <f t="array" aca="1" ref="BU26" ca="1">IF($BP26=BU$14, 1, SUMPRODUCT(
    --(OFFSET($O$9,0,0,1,$B$9)=TRUE),
    --(INDEX(OFFSET($O$15,0,0,$B$8,$B$9), 1+$BP26, 0) = INDEX(OFFSET($O$15,0,0,$B$8,$B$9), 1+BU$14, 0))
) / $B$16)</f>
        <v>0.89473684210526316</v>
      </c>
      <c r="BV26" cm="1">
        <f t="array" aca="1" ref="BV26" ca="1">IF($BP26=BV$14, 1, SUMPRODUCT(
    --(OFFSET($O$9,0,0,1,$B$9)=TRUE),
    --(INDEX(OFFSET($O$15,0,0,$B$8,$B$9), 1+$BP26, 0) = INDEX(OFFSET($O$15,0,0,$B$8,$B$9), 1+BV$14, 0))
) / $B$16)</f>
        <v>1</v>
      </c>
      <c r="BW26" cm="1">
        <f t="array" aca="1" ref="BW26" ca="1">IF($BP26=BW$14, 1, SUMPRODUCT(
    --(OFFSET($O$9,0,0,1,$B$9)=TRUE),
    --(INDEX(OFFSET($O$15,0,0,$B$8,$B$9), 1+$BP26, 0) = INDEX(OFFSET($O$15,0,0,$B$8,$B$9), 1+BW$14, 0))
) / $B$16)</f>
        <v>0.84210526315789469</v>
      </c>
      <c r="BX26" cm="1">
        <f t="array" aca="1" ref="BX26" ca="1">IF($BP26=BX$14, 1, SUMPRODUCT(
    --(OFFSET($O$9,0,0,1,$B$9)=TRUE),
    --(INDEX(OFFSET($O$15,0,0,$B$8,$B$9), 1+$BP26, 0) = INDEX(OFFSET($O$15,0,0,$B$8,$B$9), 1+BX$14, 0))
) / $B$16)</f>
        <v>0.84210526315789469</v>
      </c>
      <c r="BY26" cm="1">
        <f t="array" aca="1" ref="BY26" ca="1">IF($BP26=BY$14, 1, SUMPRODUCT(
    --(OFFSET($O$9,0,0,1,$B$9)=TRUE),
    --(INDEX(OFFSET($O$15,0,0,$B$8,$B$9), 1+$BP26, 0) = INDEX(OFFSET($O$15,0,0,$B$8,$B$9), 1+BY$14, 0))
) / $B$16)</f>
        <v>1</v>
      </c>
      <c r="BZ26" cm="1">
        <f t="array" aca="1" ref="BZ26" ca="1">IF($BP26=BZ$14, 1, SUMPRODUCT(
    --(OFFSET($O$9,0,0,1,$B$9)=TRUE),
    --(INDEX(OFFSET($O$15,0,0,$B$8,$B$9), 1+$BP26, 0) = INDEX(OFFSET($O$15,0,0,$B$8,$B$9), 1+BZ$14, 0))
) / $B$16)</f>
        <v>1</v>
      </c>
      <c r="CA26" cm="1">
        <f t="array" aca="1" ref="CA26" ca="1">IF($BP26=CA$14, 1, SUMPRODUCT(
    --(OFFSET($O$9,0,0,1,$B$9)=TRUE),
    --(INDEX(OFFSET($O$15,0,0,$B$8,$B$9), 1+$BP26, 0) = INDEX(OFFSET($O$15,0,0,$B$8,$B$9), 1+CA$14, 0))
) / $B$16)</f>
        <v>1</v>
      </c>
      <c r="CB26" cm="1">
        <f t="array" aca="1" ref="CB26" ca="1">IF($BP26=CB$14, 1, SUMPRODUCT(
    --(OFFSET($O$9,0,0,1,$B$9)=TRUE),
    --(INDEX(OFFSET($O$15,0,0,$B$8,$B$9), 1+$BP26, 0) = INDEX(OFFSET($O$15,0,0,$B$8,$B$9), 1+CB$14, 0))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
) / $B$16)</f>
        <v>1</v>
      </c>
      <c r="CD26" cm="1">
        <f t="array" aca="1" ref="CD26" ca="1">IF($BP26=CD$14, 1, SUMPRODUCT(
    --(OFFSET($O$9,0,0,1,$B$9)=TRUE),
    --(INDEX(OFFSET($O$15,0,0,$B$8,$B$9), 1+$BP26, 0) = INDEX(OFFSET($O$15,0,0,$B$8,$B$9), 1+CD$14, 0))
) / $B$16)</f>
        <v>1</v>
      </c>
      <c r="CE26" cm="1">
        <f t="array" aca="1" ref="CE26" ca="1">IF($BP26=CE$14, 1, SUMPRODUCT(
    --(OFFSET($O$9,0,0,1,$B$9)=TRUE),
    --(INDEX(OFFSET($O$15,0,0,$B$8,$B$9), 1+$BP26, 0) = INDEX(OFFSET($O$15,0,0,$B$8,$B$9), 1+CE$14, 0))
) / $B$16)</f>
        <v>0.84210526315789469</v>
      </c>
      <c r="CF26" cm="1">
        <f t="array" aca="1" ref="CF26" ca="1">IF($BP26=CF$14, 1, SUMPRODUCT(
    --(OFFSET($O$9,0,0,1,$B$9)=TRUE),
    --(INDEX(OFFSET($O$15,0,0,$B$8,$B$9), 1+$BP26, 0) = INDEX(OFFSET($O$15,0,0,$B$8,$B$9), 1+CF$14, 0))
) / $B$16)</f>
        <v>0.84210526315789469</v>
      </c>
      <c r="CG26" cm="1">
        <f t="array" aca="1" ref="CG26" ca="1">IF($BP26=CG$14, 1, SUMPRODUCT(
    --(OFFSET($O$9,0,0,1,$B$9)=TRUE),
    --(INDEX(OFFSET($O$15,0,0,$B$8,$B$9), 1+$BP26, 0) = INDEX(OFFSET($O$15,0,0,$B$8,$B$9), 1+CG$14, 0))
) / $B$16)</f>
        <v>1</v>
      </c>
      <c r="CH26" cm="1">
        <f t="array" aca="1" ref="CH26" ca="1">IF($BP26=CH$14, 1, SUMPRODUCT(
    --(OFFSET($O$9,0,0,1,$B$9)=TRUE),
    --(INDEX(OFFSET($O$15,0,0,$B$8,$B$9), 1+$BP26, 0) = INDEX(OFFSET($O$15,0,0,$B$8,$B$9), 1+CH$14, 0))
) / $B$16)</f>
        <v>0.84210526315789469</v>
      </c>
      <c r="CI26" cm="1">
        <f t="array" aca="1" ref="CI26" ca="1">IF($BP26=CI$14, 1, SUMPRODUCT(
    --(OFFSET($O$9,0,0,1,$B$9)=TRUE),
    --(INDEX(OFFSET($O$15,0,0,$B$8,$B$9), 1+$BP26, 0) = INDEX(OFFSET($O$15,0,0,$B$8,$B$9), 1+CI$14, 0))
) / $B$16)</f>
        <v>1</v>
      </c>
      <c r="CJ26" cm="1">
        <f t="array" aca="1" ref="CJ26" ca="1">IF($BP26=CJ$14, 1, SUMPRODUCT(
    --(OFFSET($O$9,0,0,1,$B$9)=TRUE),
    --(INDEX(OFFSET($O$15,0,0,$B$8,$B$9), 1+$BP26, 0) = INDEX(OFFSET($O$15,0,0,$B$8,$B$9), 1+CJ$14, 0))
) / $B$16)</f>
        <v>0.84210526315789469</v>
      </c>
      <c r="CP26">
        <f ca="1"/>
        <v>12</v>
      </c>
      <c r="CQ26" cm="1">
        <f t="array" aca="1" ref="CQ26" ca="1">(1-$B$18)*SUMPRODUCT(OFFSET($BO$15,0,0,$B$14,1), 1*(_xlfn._xlws.FILTER(OFFSET($O$15,0,$CP26,$B$8,1), OFFSET($M$15,0,0,$B$8,1))=CQ$14))   /   SUM(OFFSET($BO$15,0,0,$B$14,1)) + $B$18/$B$19</f>
        <v>3.3333333333333331E-3</v>
      </c>
      <c r="CR26" s="10" cm="1">
        <f t="array" aca="1" ref="CR26" ca="1">(1-$B$18)*SUMPRODUCT(OFFSET($BO$15,0,0,$B$14,1), 1*(_xlfn._xlws.FILTER(OFFSET($O$15,0,$CP26,$B$8,1), OFFSET($M$15,0,0,$B$8,1))=CR$14))   /   SUM(OFFSET($BO$15,0,0,$B$14,1)) + $B$18/$B$19</f>
        <v>3.3333333333333331E-3</v>
      </c>
      <c r="CS26" s="10" cm="1">
        <f t="array" aca="1" ref="CS26" ca="1">(1-$B$18)*SUMPRODUCT(OFFSET($BO$15,0,0,$B$14,1), 1*(_xlfn._xlws.FILTER(OFFSET($O$15,0,$CP26,$B$8,1), OFFSET($M$15,0,0,$B$8,1))=CS$14))   /   SUM(OFFSET($BO$15,0,0,$B$14,1)) + $B$18/$B$19</f>
        <v>0.97333333333333327</v>
      </c>
      <c r="CT26" s="10" cm="1">
        <f t="array" aca="1" ref="CT26" ca="1">(1-$B$18)*SUMPRODUCT(OFFSET($BO$15,0,0,$B$14,1), 1*(_xlfn._xlws.FILTER(OFFSET($O$15,0,$CP26,$B$8,1), OFFSET($M$15,0,0,$B$8,1))=CT$14))   /   SUM(OFFSET($BO$15,0,0,$B$14,1)) + $B$18/$B$19</f>
        <v>3.3333333333333331E-3</v>
      </c>
      <c r="CU26" s="10" cm="1">
        <f t="array" aca="1" ref="CU26" ca="1">(1-$B$18)*SUMPRODUCT(OFFSET($BO$15,0,0,$B$14,1), 1*(_xlfn._xlws.FILTER(OFFSET($O$15,0,$CP26,$B$8,1), OFFSET($M$15,0,0,$B$8,1))=CU$14))   /   SUM(OFFSET($BO$15,0,0,$B$14,1)) + $B$18/$B$19</f>
        <v>3.3333333333333331E-3</v>
      </c>
      <c r="CV26" s="10" cm="1">
        <f t="array" aca="1" ref="CV26" ca="1">(1-$B$18)*SUMPRODUCT(OFFSET($BO$15,0,0,$B$14,1), 1*(_xlfn._xlws.FILTER(OFFSET($O$15,0,$CP26,$B$8,1), OFFSET($M$15,0,0,$B$8,1))=CV$14))   /   SUM(OFFSET($BO$15,0,0,$B$14,1)) + $B$18/$B$19</f>
        <v>3.3333333333333331E-3</v>
      </c>
      <c r="CW26" s="10" cm="1">
        <f t="array" aca="1" ref="CW26" ca="1">(1-$B$18)*SUMPRODUCT(OFFSET($BO$15,0,0,$B$14,1), 1*(_xlfn._xlws.FILTER(OFFSET($O$15,0,$CP26,$B$8,1), OFFSET($M$15,0,0,$B$8,1))=CW$14))   /   SUM(OFFSET($BO$15,0,0,$B$14,1)) + $B$18/$B$19</f>
        <v>3.3333333333333331E-3</v>
      </c>
      <c r="CX26" s="10" cm="1">
        <f t="array" aca="1" ref="CX26" ca="1">(1-$B$18)*SUMPRODUCT(OFFSET($BO$15,0,0,$B$14,1), 1*(_xlfn._xlws.FILTER(OFFSET($O$15,0,$CP26,$B$8,1), OFFSET($M$15,0,0,$B$8,1))=CX$14))   /   SUM(OFFSET($BO$15,0,0,$B$14,1)) + $B$18/$B$19</f>
        <v>3.3333333333333331E-3</v>
      </c>
      <c r="CY26" s="10" cm="1">
        <f t="array" aca="1" ref="CY26" ca="1">(1-$B$18)*SUMPRODUCT(OFFSET($BO$15,0,0,$B$14,1), 1*(_xlfn._xlws.FILTER(OFFSET($O$15,0,$CP26,$B$8,1), OFFSET($M$15,0,0,$B$8,1))=CY$14))   /   SUM(OFFSET($BO$15,0,0,$B$14,1)) + $B$18/$B$19</f>
        <v>3.3333333333333331E-3</v>
      </c>
      <c r="DB26" s="10" cm="1">
        <f t="array" aca="1" ref="DB26" ca="1">SUM(OFFSET($CR26,0,0,1,$M$2)*LN(OFFSET($CR26,0,0,1,$M$2)/OFFSET($CR$11,0,0,1,$M$2)))+IF($CQ$11&gt;0,OFFSET($O$10,0,$CP26,1,1)*LN(OFFSET($O$10,0,$CP26,1,1)/$CQ$11),0)</f>
        <v>1.9131139043413505</v>
      </c>
      <c r="DC26">
        <f ca="1"/>
        <v>12</v>
      </c>
      <c r="DD26" s="10">
        <f t="shared" ca="1" si="11"/>
        <v>0.11767737994455678</v>
      </c>
      <c r="DE26" s="10">
        <f t="shared" ca="1" si="10"/>
        <v>1.9045936050347492</v>
      </c>
      <c r="DF26" s="10">
        <f t="shared" ca="1" si="10"/>
        <v>0.11767737994455678</v>
      </c>
      <c r="DG26" s="10">
        <f t="shared" ca="1" si="10"/>
        <v>0.11767737994455678</v>
      </c>
      <c r="DH26" s="10">
        <f t="shared" ca="1" si="10"/>
        <v>0.11767737994455678</v>
      </c>
      <c r="DI26" s="10">
        <f t="shared" ca="1" si="10"/>
        <v>0.11767737994455678</v>
      </c>
      <c r="DJ26" s="10">
        <f t="shared" ca="1" si="10"/>
        <v>0.11767737994455678</v>
      </c>
      <c r="DK26" s="10">
        <f t="shared" ca="1" si="10"/>
        <v>0.11767737994455678</v>
      </c>
      <c r="DN26" cm="1">
        <f t="array" aca="1" ref="DN26" ca="1">INDEX(_xlfn.ANCHORARRAY($CP$15), 1 + INT((ROWS($DO$15:$DO26) - 1) / ROWS(_xlfn.ANCHORARRAY($CP$15))))</f>
        <v>0</v>
      </c>
      <c r="DO26" cm="1">
        <f t="array" aca="1" ref="DO26" ca="1">INDEX(_xlfn.ANCHORARRAY($CP$15),1+MOD(ROWS($DO$15:$DO26)-1,ROWS(_xlfn.ANCHORARRAY($CP$15))))</f>
        <v>12</v>
      </c>
      <c r="DP26" s="10" cm="1">
        <f t="array" aca="1" ref="DP26" ca="1">(1-$B$18)*SUMPRODUCT(OFFSET($BO$15,0,0,$B$14,1), 1*(_xlfn._xlws.FILTER(OFFSET($O$15,0,$DN26,$B$8,1),OFFSET($M$15,0,0,$B$8,1))=DP$13), 1*(_xlfn._xlws.FILTER(OFFSET($O$15,0,$DO26,$B$8,1),OFFSET($M$15,0,0,$B$8,1))=DP$14))   /   SUM(OFFSET($BO$15,0,0,$B$14,1)) + $B$18/($B$19*$B$19*($DN26&lt;&gt;$DO26) + $B$19*($DN26=$DO26))</f>
        <v>3.7037037037037035E-4</v>
      </c>
      <c r="DQ26" s="10" cm="1">
        <f t="array" aca="1" ref="DQ26" ca="1">(1-$B$18)*SUMPRODUCT(OFFSET($BO$15,0,0,$B$14,1), 1*(_xlfn._xlws.FILTER(OFFSET($O$15,0,$DN26,$B$8,1),OFFSET($M$15,0,0,$B$8,1))=DQ$13), 1*(_xlfn._xlws.FILTER(OFFSET($O$15,0,$DO26,$B$8,1),OFFSET($M$15,0,0,$B$8,1))=DQ$14))   /   SUM(OFFSET($BO$15,0,0,$B$14,1)) + $B$18/($B$19*$B$19*($DN26&lt;&gt;$DO26) + $B$19*($DN26=$DO26))</f>
        <v>3.7037037037037035E-4</v>
      </c>
      <c r="DR26" s="10" cm="1">
        <f t="array" aca="1" ref="DR26" ca="1">(1-$B$18)*SUMPRODUCT(OFFSET($BO$15,0,0,$B$14,1), 1*(_xlfn._xlws.FILTER(OFFSET($O$15,0,$DN26,$B$8,1),OFFSET($M$15,0,0,$B$8,1))=DR$13), 1*(_xlfn._xlws.FILTER(OFFSET($O$15,0,$DO26,$B$8,1),OFFSET($M$15,0,0,$B$8,1))=DR$14))   /   SUM(OFFSET($BO$15,0,0,$B$14,1)) + $B$18/($B$19*$B$19*($DN26&lt;&gt;$DO26) + $B$19*($DN26=$DO26))</f>
        <v>3.7037037037037035E-4</v>
      </c>
      <c r="DS26" s="10" cm="1">
        <f t="array" aca="1" ref="DS26" ca="1">(1-$B$18)*SUMPRODUCT(OFFSET($BO$15,0,0,$B$14,1), 1*(_xlfn._xlws.FILTER(OFFSET($O$15,0,$DN26,$B$8,1),OFFSET($M$15,0,0,$B$8,1))=DS$13), 1*(_xlfn._xlws.FILTER(OFFSET($O$15,0,$DO26,$B$8,1),OFFSET($M$15,0,0,$B$8,1))=DS$14))   /   SUM(OFFSET($BO$15,0,0,$B$14,1)) + $B$18/($B$19*$B$19*($DN26&lt;&gt;$DO26) + $B$19*($DN26=$DO26))</f>
        <v>3.7037037037037035E-4</v>
      </c>
      <c r="DT26" s="10" cm="1">
        <f t="array" aca="1" ref="DT26" ca="1">(1-$B$18)*SUMPRODUCT(OFFSET($BO$15,0,0,$B$14,1), 1*(_xlfn._xlws.FILTER(OFFSET($O$15,0,$DN26,$B$8,1),OFFSET($M$15,0,0,$B$8,1))=DT$13), 1*(_xlfn._xlws.FILTER(OFFSET($O$15,0,$DO26,$B$8,1),OFFSET($M$15,0,0,$B$8,1))=DT$14))   /   SUM(OFFSET($BO$15,0,0,$B$14,1)) + $B$18/($B$19*$B$19*($DN26&lt;&gt;$DO26) + $B$19*($DN26=$DO26))</f>
        <v>3.7037037037037035E-4</v>
      </c>
      <c r="DU26" s="10" cm="1">
        <f t="array" aca="1" ref="DU26" ca="1">(1-$B$18)*SUMPRODUCT(OFFSET($BO$15,0,0,$B$14,1), 1*(_xlfn._xlws.FILTER(OFFSET($O$15,0,$DN26,$B$8,1),OFFSET($M$15,0,0,$B$8,1))=DU$13), 1*(_xlfn._xlws.FILTER(OFFSET($O$15,0,$DO26,$B$8,1),OFFSET($M$15,0,0,$B$8,1))=DU$14))   /   SUM(OFFSET($BO$15,0,0,$B$14,1)) + $B$18/($B$19*$B$19*($DN26&lt;&gt;$DO26) + $B$19*($DN26=$DO26))</f>
        <v>3.7037037037037035E-4</v>
      </c>
      <c r="DV26" s="10" cm="1">
        <f t="array" aca="1" ref="DV26" ca="1">(1-$B$18)*SUMPRODUCT(OFFSET($BO$15,0,0,$B$14,1), 1*(_xlfn._xlws.FILTER(OFFSET($O$15,0,$DN26,$B$8,1),OFFSET($M$15,0,0,$B$8,1))=DV$13), 1*(_xlfn._xlws.FILTER(OFFSET($O$15,0,$DO26,$B$8,1),OFFSET($M$15,0,0,$B$8,1))=DV$14))   /   SUM(OFFSET($BO$15,0,0,$B$14,1)) + $B$18/($B$19*$B$19*($DN26&lt;&gt;$DO26) + $B$19*($DN26=$DO26))</f>
        <v>3.7037037037037035E-4</v>
      </c>
      <c r="DW26" s="10" cm="1">
        <f t="array" aca="1" ref="DW26" ca="1">(1-$B$18)*SUMPRODUCT(OFFSET($BO$15,0,0,$B$14,1), 1*(_xlfn._xlws.FILTER(OFFSET($O$15,0,$DN26,$B$8,1),OFFSET($M$15,0,0,$B$8,1))=DW$13), 1*(_xlfn._xlws.FILTER(OFFSET($O$15,0,$DO26,$B$8,1),OFFSET($M$15,0,0,$B$8,1))=DW$14))   /   SUM(OFFSET($BO$15,0,0,$B$14,1)) + $B$18/($B$19*$B$19*($DN26&lt;&gt;$DO26) + $B$19*($DN26=$DO26))</f>
        <v>3.7037037037037035E-4</v>
      </c>
      <c r="DX26" s="10" cm="1">
        <f t="array" aca="1" ref="DX26" ca="1">(1-$B$18)*SUMPRODUCT(OFFSET($BO$15,0,0,$B$14,1), 1*(_xlfn._xlws.FILTER(OFFSET($O$15,0,$DN26,$B$8,1),OFFSET($M$15,0,0,$B$8,1))=DX$13), 1*(_xlfn._xlws.FILTER(OFFSET($O$15,0,$DO26,$B$8,1),OFFSET($M$15,0,0,$B$8,1))=DX$14))   /   SUM(OFFSET($BO$15,0,0,$B$14,1)) + $B$18/($B$19*$B$19*($DN26&lt;&gt;$DO26) + $B$19*($DN26=$DO26))</f>
        <v>3.7037037037037035E-4</v>
      </c>
      <c r="DY26" s="10" cm="1">
        <f t="array" aca="1" ref="DY26" ca="1">(1-$B$18)*SUMPRODUCT(OFFSET($BO$15,0,0,$B$14,1), 1*(_xlfn._xlws.FILTER(OFFSET($O$15,0,$DN26,$B$8,1),OFFSET($M$15,0,0,$B$8,1))=DY$13), 1*(_xlfn._xlws.FILTER(OFFSET($O$15,0,$DO26,$B$8,1),OFFSET($M$15,0,0,$B$8,1))=DY$14))   /   SUM(OFFSET($BO$15,0,0,$B$14,1)) + $B$18/($B$19*$B$19*($DN26&lt;&gt;$DO26) + $B$19*($DN26=$DO26))</f>
        <v>3.7037037037037035E-4</v>
      </c>
      <c r="DZ26" s="10" cm="1">
        <f t="array" aca="1" ref="DZ26" ca="1">(1-$B$18)*SUMPRODUCT(OFFSET($BO$15,0,0,$B$14,1), 1*(_xlfn._xlws.FILTER(OFFSET($O$15,0,$DN26,$B$8,1),OFFSET($M$15,0,0,$B$8,1))=DZ$13), 1*(_xlfn._xlws.FILTER(OFFSET($O$15,0,$DO26,$B$8,1),OFFSET($M$15,0,0,$B$8,1))=DZ$14))   /   SUM(OFFSET($BO$15,0,0,$B$14,1)) + $B$18/($B$19*$B$19*($DN26&lt;&gt;$DO26) + $B$19*($DN26=$DO26))</f>
        <v>3.7037037037037035E-4</v>
      </c>
      <c r="EA26" s="10" cm="1">
        <f t="array" aca="1" ref="EA26" ca="1">(1-$B$18)*SUMPRODUCT(OFFSET($BO$15,0,0,$B$14,1), 1*(_xlfn._xlws.FILTER(OFFSET($O$15,0,$DN26,$B$8,1),OFFSET($M$15,0,0,$B$8,1))=EA$13), 1*(_xlfn._xlws.FILTER(OFFSET($O$15,0,$DO26,$B$8,1),OFFSET($M$15,0,0,$B$8,1))=EA$14))   /   SUM(OFFSET($BO$15,0,0,$B$14,1)) + $B$18/($B$19*$B$19*($DN26&lt;&gt;$DO26) + $B$19*($DN26=$DO26))</f>
        <v>3.7037037037037035E-4</v>
      </c>
      <c r="EB26" s="10" cm="1">
        <f t="array" aca="1" ref="EB26" ca="1">(1-$B$18)*SUMPRODUCT(OFFSET($BO$15,0,0,$B$14,1), 1*(_xlfn._xlws.FILTER(OFFSET($O$15,0,$DN26,$B$8,1),OFFSET($M$15,0,0,$B$8,1))=EB$13), 1*(_xlfn._xlws.FILTER(OFFSET($O$15,0,$DO26,$B$8,1),OFFSET($M$15,0,0,$B$8,1))=EB$14))   /   SUM(OFFSET($BO$15,0,0,$B$14,1)) + $B$18/($B$19*$B$19*($DN26&lt;&gt;$DO26) + $B$19*($DN26=$DO26))</f>
        <v>3.7037037037037035E-4</v>
      </c>
      <c r="EC26" s="10" cm="1">
        <f t="array" aca="1" ref="EC26" ca="1">(1-$B$18)*SUMPRODUCT(OFFSET($BO$15,0,0,$B$14,1), 1*(_xlfn._xlws.FILTER(OFFSET($O$15,0,$DN26,$B$8,1),OFFSET($M$15,0,0,$B$8,1))=EC$13), 1*(_xlfn._xlws.FILTER(OFFSET($O$15,0,$DO26,$B$8,1),OFFSET($M$15,0,0,$B$8,1))=EC$14))   /   SUM(OFFSET($BO$15,0,0,$B$14,1)) + $B$18/($B$19*$B$19*($DN26&lt;&gt;$DO26) + $B$19*($DN26=$DO26))</f>
        <v>3.7037037037037035E-4</v>
      </c>
      <c r="ED26" s="10" cm="1">
        <f t="array" aca="1" ref="ED26" ca="1">(1-$B$18)*SUMPRODUCT(OFFSET($BO$15,0,0,$B$14,1), 1*(_xlfn._xlws.FILTER(OFFSET($O$15,0,$DN26,$B$8,1),OFFSET($M$15,0,0,$B$8,1))=ED$13), 1*(_xlfn._xlws.FILTER(OFFSET($O$15,0,$DO26,$B$8,1),OFFSET($M$15,0,0,$B$8,1))=ED$14))   /   SUM(OFFSET($BO$15,0,0,$B$14,1)) + $B$18/($B$19*$B$19*($DN26&lt;&gt;$DO26) + $B$19*($DN26=$DO26))</f>
        <v>3.7037037037037035E-4</v>
      </c>
      <c r="EE26" s="10" cm="1">
        <f t="array" aca="1" ref="EE26" ca="1">(1-$B$18)*SUMPRODUCT(OFFSET($BO$15,0,0,$B$14,1), 1*(_xlfn._xlws.FILTER(OFFSET($O$15,0,$DN26,$B$8,1),OFFSET($M$15,0,0,$B$8,1))=EE$13), 1*(_xlfn._xlws.FILTER(OFFSET($O$15,0,$DO26,$B$8,1),OFFSET($M$15,0,0,$B$8,1))=EE$14))   /   SUM(OFFSET($BO$15,0,0,$B$14,1)) + $B$18/($B$19*$B$19*($DN26&lt;&gt;$DO26) + $B$19*($DN26=$DO26))</f>
        <v>3.7037037037037035E-4</v>
      </c>
      <c r="EF26" s="10" cm="1">
        <f t="array" aca="1" ref="EF26" ca="1">(1-$B$18)*SUMPRODUCT(OFFSET($BO$15,0,0,$B$14,1), 1*(_xlfn._xlws.FILTER(OFFSET($O$15,0,$DN26,$B$8,1),OFFSET($M$15,0,0,$B$8,1))=EF$13), 1*(_xlfn._xlws.FILTER(OFFSET($O$15,0,$DO26,$B$8,1),OFFSET($M$15,0,0,$B$8,1))=EF$14))   /   SUM(OFFSET($BO$15,0,0,$B$14,1)) + $B$18/($B$19*$B$19*($DN26&lt;&gt;$DO26) + $B$19*($DN26=$DO26))</f>
        <v>3.7037037037037035E-4</v>
      </c>
      <c r="EG26" s="10" cm="1">
        <f t="array" aca="1" ref="EG26" ca="1">(1-$B$18)*SUMPRODUCT(OFFSET($BO$15,0,0,$B$14,1), 1*(_xlfn._xlws.FILTER(OFFSET($O$15,0,$DN26,$B$8,1),OFFSET($M$15,0,0,$B$8,1))=EG$13), 1*(_xlfn._xlws.FILTER(OFFSET($O$15,0,$DO26,$B$8,1),OFFSET($M$15,0,0,$B$8,1))=EG$14))   /   SUM(OFFSET($BO$15,0,0,$B$14,1)) + $B$18/($B$19*$B$19*($DN26&lt;&gt;$DO26) + $B$19*($DN26=$DO26))</f>
        <v>3.7037037037037035E-4</v>
      </c>
      <c r="EH26" s="10" cm="1">
        <f t="array" aca="1" ref="EH26" ca="1">(1-$B$18)*SUMPRODUCT(OFFSET($BO$15,0,0,$B$14,1), 1*(_xlfn._xlws.FILTER(OFFSET($O$15,0,$DN26,$B$8,1),OFFSET($M$15,0,0,$B$8,1))=EH$13), 1*(_xlfn._xlws.FILTER(OFFSET($O$15,0,$DO26,$B$8,1),OFFSET($M$15,0,0,$B$8,1))=EH$14))   /   SUM(OFFSET($BO$15,0,0,$B$14,1)) + $B$18/($B$19*$B$19*($DN26&lt;&gt;$DO26) + $B$19*($DN26=$DO26))</f>
        <v>3.7037037037037035E-4</v>
      </c>
      <c r="EI26" s="10" cm="1">
        <f t="array" aca="1" ref="EI26" ca="1">(1-$B$18)*SUMPRODUCT(OFFSET($BO$15,0,0,$B$14,1), 1*(_xlfn._xlws.FILTER(OFFSET($O$15,0,$DN26,$B$8,1),OFFSET($M$15,0,0,$B$8,1))=EI$13), 1*(_xlfn._xlws.FILTER(OFFSET($O$15,0,$DO26,$B$8,1),OFFSET($M$15,0,0,$B$8,1))=EI$14))   /   SUM(OFFSET($BO$15,0,0,$B$14,1)) + $B$18/($B$19*$B$19*($DN26&lt;&gt;$DO26) + $B$19*($DN26=$DO26))</f>
        <v>3.7037037037037035E-4</v>
      </c>
      <c r="EJ26" s="10" cm="1">
        <f t="array" aca="1" ref="EJ26" ca="1">(1-$B$18)*SUMPRODUCT(OFFSET($BO$15,0,0,$B$14,1), 1*(_xlfn._xlws.FILTER(OFFSET($O$15,0,$DN26,$B$8,1),OFFSET($M$15,0,0,$B$8,1))=EJ$13), 1*(_xlfn._xlws.FILTER(OFFSET($O$15,0,$DO26,$B$8,1),OFFSET($M$15,0,0,$B$8,1))=EJ$14))   /   SUM(OFFSET($BO$15,0,0,$B$14,1)) + $B$18/($B$19*$B$19*($DN26&lt;&gt;$DO26) + $B$19*($DN26=$DO26))</f>
        <v>3.7037037037037035E-4</v>
      </c>
      <c r="EK26" s="10" cm="1">
        <f t="array" aca="1" ref="EK26" ca="1">(1-$B$18)*SUMPRODUCT(OFFSET($BO$15,0,0,$B$14,1), 1*(_xlfn._xlws.FILTER(OFFSET($O$15,0,$DN26,$B$8,1),OFFSET($M$15,0,0,$B$8,1))=EK$13), 1*(_xlfn._xlws.FILTER(OFFSET($O$15,0,$DO26,$B$8,1),OFFSET($M$15,0,0,$B$8,1))=EK$14))   /   SUM(OFFSET($BO$15,0,0,$B$14,1)) + $B$18/($B$19*$B$19*($DN26&lt;&gt;$DO26) + $B$19*($DN26=$DO26))</f>
        <v>3.7037037037037035E-4</v>
      </c>
      <c r="EL26" s="10" cm="1">
        <f t="array" aca="1" ref="EL26" ca="1">(1-$B$18)*SUMPRODUCT(OFFSET($BO$15,0,0,$B$14,1), 1*(_xlfn._xlws.FILTER(OFFSET($O$15,0,$DN26,$B$8,1),OFFSET($M$15,0,0,$B$8,1))=EL$13), 1*(_xlfn._xlws.FILTER(OFFSET($O$15,0,$DO26,$B$8,1),OFFSET($M$15,0,0,$B$8,1))=EL$14))   /   SUM(OFFSET($BO$15,0,0,$B$14,1)) + $B$18/($B$19*$B$19*($DN26&lt;&gt;$DO26) + $B$19*($DN26=$DO26))</f>
        <v>3.7037037037037035E-4</v>
      </c>
      <c r="EM26" s="10" cm="1">
        <f t="array" aca="1" ref="EM26" ca="1">(1-$B$18)*SUMPRODUCT(OFFSET($BO$15,0,0,$B$14,1), 1*(_xlfn._xlws.FILTER(OFFSET($O$15,0,$DN26,$B$8,1),OFFSET($M$15,0,0,$B$8,1))=EM$13), 1*(_xlfn._xlws.FILTER(OFFSET($O$15,0,$DO26,$B$8,1),OFFSET($M$15,0,0,$B$8,1))=EM$14))   /   SUM(OFFSET($BO$15,0,0,$B$14,1)) + $B$18/($B$19*$B$19*($DN26&lt;&gt;$DO26) + $B$19*($DN26=$DO26))</f>
        <v>3.7037037037037035E-4</v>
      </c>
      <c r="EN26" s="10" cm="1">
        <f t="array" aca="1" ref="EN26" ca="1">(1-$B$18)*SUMPRODUCT(OFFSET($BO$15,0,0,$B$14,1), 1*(_xlfn._xlws.FILTER(OFFSET($O$15,0,$DN26,$B$8,1),OFFSET($M$15,0,0,$B$8,1))=EN$13), 1*(_xlfn._xlws.FILTER(OFFSET($O$15,0,$DO26,$B$8,1),OFFSET($M$15,0,0,$B$8,1))=EN$14))   /   SUM(OFFSET($BO$15,0,0,$B$14,1)) + $B$18/($B$19*$B$19*($DN26&lt;&gt;$DO26) + $B$19*($DN26=$DO26))</f>
        <v>3.7037037037037035E-4</v>
      </c>
      <c r="EO26" s="10" cm="1">
        <f t="array" aca="1" ref="EO26" ca="1">(1-$B$18)*SUMPRODUCT(OFFSET($BO$15,0,0,$B$14,1), 1*(_xlfn._xlws.FILTER(OFFSET($O$15,0,$DN26,$B$8,1),OFFSET($M$15,0,0,$B$8,1))=EO$13), 1*(_xlfn._xlws.FILTER(OFFSET($O$15,0,$DO26,$B$8,1),OFFSET($M$15,0,0,$B$8,1))=EO$14))   /   SUM(OFFSET($BO$15,0,0,$B$14,1)) + $B$18/($B$19*$B$19*($DN26&lt;&gt;$DO26) + $B$19*($DN26=$DO26))</f>
        <v>3.7037037037037035E-4</v>
      </c>
      <c r="EP26" s="10" cm="1">
        <f t="array" aca="1" ref="EP26" ca="1">(1-$B$18)*SUMPRODUCT(OFFSET($BO$15,0,0,$B$14,1), 1*(_xlfn._xlws.FILTER(OFFSET($O$15,0,$DN26,$B$8,1),OFFSET($M$15,0,0,$B$8,1))=EP$13), 1*(_xlfn._xlws.FILTER(OFFSET($O$15,0,$DO26,$B$8,1),OFFSET($M$15,0,0,$B$8,1))=EP$14))   /   SUM(OFFSET($BO$15,0,0,$B$14,1)) + $B$18/($B$19*$B$19*($DN26&lt;&gt;$DO26) + $B$19*($DN26=$DO26))</f>
        <v>3.7037037037037035E-4</v>
      </c>
      <c r="EQ26" s="10" cm="1">
        <f t="array" aca="1" ref="EQ26" ca="1">(1-$B$18)*SUMPRODUCT(OFFSET($BO$15,0,0,$B$14,1), 1*(_xlfn._xlws.FILTER(OFFSET($O$15,0,$DN26,$B$8,1),OFFSET($M$15,0,0,$B$8,1))=EQ$13), 1*(_xlfn._xlws.FILTER(OFFSET($O$15,0,$DO26,$B$8,1),OFFSET($M$15,0,0,$B$8,1))=EQ$14))   /   SUM(OFFSET($BO$15,0,0,$B$14,1)) + $B$18/($B$19*$B$19*($DN26&lt;&gt;$DO26) + $B$19*($DN26=$DO26))</f>
        <v>3.7037037037037035E-4</v>
      </c>
      <c r="ER26" s="10" cm="1">
        <f t="array" aca="1" ref="ER26" ca="1">(1-$B$18)*SUMPRODUCT(OFFSET($BO$15,0,0,$B$14,1), 1*(_xlfn._xlws.FILTER(OFFSET($O$15,0,$DN26,$B$8,1),OFFSET($M$15,0,0,$B$8,1))=ER$13), 1*(_xlfn._xlws.FILTER(OFFSET($O$15,0,$DO26,$B$8,1),OFFSET($M$15,0,0,$B$8,1))=ER$14))   /   SUM(OFFSET($BO$15,0,0,$B$14,1)) + $B$18/($B$19*$B$19*($DN26&lt;&gt;$DO26) + $B$19*($DN26=$DO26))</f>
        <v>3.7037037037037035E-4</v>
      </c>
      <c r="ES26" s="10" cm="1">
        <f t="array" aca="1" ref="ES26" ca="1">(1-$B$18)*SUMPRODUCT(OFFSET($BO$15,0,0,$B$14,1), 1*(_xlfn._xlws.FILTER(OFFSET($O$15,0,$DN26,$B$8,1),OFFSET($M$15,0,0,$B$8,1))=ES$13), 1*(_xlfn._xlws.FILTER(OFFSET($O$15,0,$DO26,$B$8,1),OFFSET($M$15,0,0,$B$8,1))=ES$14))   /   SUM(OFFSET($BO$15,0,0,$B$14,1)) + $B$18/($B$19*$B$19*($DN26&lt;&gt;$DO26) + $B$19*($DN26=$DO26))</f>
        <v>3.7037037037037035E-4</v>
      </c>
      <c r="ET26" s="10" cm="1">
        <f t="array" aca="1" ref="ET26" ca="1">(1-$B$18)*SUMPRODUCT(OFFSET($BO$15,0,0,$B$14,1), 1*(_xlfn._xlws.FILTER(OFFSET($O$15,0,$DN26,$B$8,1),OFFSET($M$15,0,0,$B$8,1))=ET$13), 1*(_xlfn._xlws.FILTER(OFFSET($O$15,0,$DO26,$B$8,1),OFFSET($M$15,0,0,$B$8,1))=ET$14))   /   SUM(OFFSET($BO$15,0,0,$B$14,1)) + $B$18/($B$19*$B$19*($DN26&lt;&gt;$DO26) + $B$19*($DN26=$DO26))</f>
        <v>3.7037037037037035E-4</v>
      </c>
      <c r="EU26" s="10" cm="1">
        <f t="array" aca="1" ref="EU26" ca="1">(1-$B$18)*SUMPRODUCT(OFFSET($BO$15,0,0,$B$14,1), 1*(_xlfn._xlws.FILTER(OFFSET($O$15,0,$DN26,$B$8,1),OFFSET($M$15,0,0,$B$8,1))=EU$13), 1*(_xlfn._xlws.FILTER(OFFSET($O$15,0,$DO26,$B$8,1),OFFSET($M$15,0,0,$B$8,1))=EU$14))   /   SUM(OFFSET($BO$15,0,0,$B$14,1)) + $B$18/($B$19*$B$19*($DN26&lt;&gt;$DO26) + $B$19*($DN26=$DO26))</f>
        <v>3.7037037037037035E-4</v>
      </c>
      <c r="EV26" s="10" cm="1">
        <f t="array" aca="1" ref="EV26" ca="1">(1-$B$18)*SUMPRODUCT(OFFSET($BO$15,0,0,$B$14,1), 1*(_xlfn._xlws.FILTER(OFFSET($O$15,0,$DN26,$B$8,1),OFFSET($M$15,0,0,$B$8,1))=EV$13), 1*(_xlfn._xlws.FILTER(OFFSET($O$15,0,$DO26,$B$8,1),OFFSET($M$15,0,0,$B$8,1))=EV$14))   /   SUM(OFFSET($BO$15,0,0,$B$14,1)) + $B$18/($B$19*$B$19*($DN26&lt;&gt;$DO26) + $B$19*($DN26=$DO26))</f>
        <v>3.7037037037037035E-4</v>
      </c>
      <c r="EW26" s="10" cm="1">
        <f t="array" aca="1" ref="EW26" ca="1">(1-$B$18)*SUMPRODUCT(OFFSET($BO$15,0,0,$B$14,1), 1*(_xlfn._xlws.FILTER(OFFSET($O$15,0,$DN26,$B$8,1),OFFSET($M$15,0,0,$B$8,1))=EW$13), 1*(_xlfn._xlws.FILTER(OFFSET($O$15,0,$DO26,$B$8,1),OFFSET($M$15,0,0,$B$8,1))=EW$14))   /   SUM(OFFSET($BO$15,0,0,$B$14,1)) + $B$18/($B$19*$B$19*($DN26&lt;&gt;$DO26) + $B$19*($DN26=$DO26))</f>
        <v>3.7037037037037035E-4</v>
      </c>
      <c r="EX26" s="10" cm="1">
        <f t="array" aca="1" ref="EX26" ca="1">(1-$B$18)*SUMPRODUCT(OFFSET($BO$15,0,0,$B$14,1), 1*(_xlfn._xlws.FILTER(OFFSET($O$15,0,$DN26,$B$8,1),OFFSET($M$15,0,0,$B$8,1))=EX$13), 1*(_xlfn._xlws.FILTER(OFFSET($O$15,0,$DO26,$B$8,1),OFFSET($M$15,0,0,$B$8,1))=EX$14))   /   SUM(OFFSET($BO$15,0,0,$B$14,1)) + $B$18/($B$19*$B$19*($DN26&lt;&gt;$DO26) + $B$19*($DN26=$DO26))</f>
        <v>3.7037037037037035E-4</v>
      </c>
      <c r="EY26" s="10" cm="1">
        <f t="array" aca="1" ref="EY26" ca="1">(1-$B$18)*SUMPRODUCT(OFFSET($BO$15,0,0,$B$14,1), 1*(_xlfn._xlws.FILTER(OFFSET($O$15,0,$DN26,$B$8,1),OFFSET($M$15,0,0,$B$8,1))=EY$13), 1*(_xlfn._xlws.FILTER(OFFSET($O$15,0,$DO26,$B$8,1),OFFSET($M$15,0,0,$B$8,1))=EY$14))   /   SUM(OFFSET($BO$15,0,0,$B$14,1)) + $B$18/($B$19*$B$19*($DN26&lt;&gt;$DO26) + $B$19*($DN26=$DO26))</f>
        <v>3.7037037037037035E-4</v>
      </c>
      <c r="EZ26" s="10" cm="1">
        <f t="array" aca="1" ref="EZ26" ca="1">(1-$B$18)*SUMPRODUCT(OFFSET($BO$15,0,0,$B$14,1), 1*(_xlfn._xlws.FILTER(OFFSET($O$15,0,$DN26,$B$8,1),OFFSET($M$15,0,0,$B$8,1))=EZ$13), 1*(_xlfn._xlws.FILTER(OFFSET($O$15,0,$DO26,$B$8,1),OFFSET($M$15,0,0,$B$8,1))=EZ$14))   /   SUM(OFFSET($BO$15,0,0,$B$14,1)) + $B$18/($B$19*$B$19*($DN26&lt;&gt;$DO26) + $B$19*($DN26=$DO26))</f>
        <v>3.7037037037037035E-4</v>
      </c>
      <c r="FA26" s="10" cm="1">
        <f t="array" aca="1" ref="FA26" ca="1">(1-$B$18)*SUMPRODUCT(OFFSET($BO$15,0,0,$B$14,1), 1*(_xlfn._xlws.FILTER(OFFSET($O$15,0,$DN26,$B$8,1),OFFSET($M$15,0,0,$B$8,1))=FA$13), 1*(_xlfn._xlws.FILTER(OFFSET($O$15,0,$DO26,$B$8,1),OFFSET($M$15,0,0,$B$8,1))=FA$14))   /   SUM(OFFSET($BO$15,0,0,$B$14,1)) + $B$18/($B$19*$B$19*($DN26&lt;&gt;$DO26) + $B$19*($DN26=$DO26))</f>
        <v>3.7037037037037035E-4</v>
      </c>
      <c r="FB26" s="10" cm="1">
        <f t="array" aca="1" ref="FB26" ca="1">(1-$B$18)*SUMPRODUCT(OFFSET($BO$15,0,0,$B$14,1), 1*(_xlfn._xlws.FILTER(OFFSET($O$15,0,$DN26,$B$8,1),OFFSET($M$15,0,0,$B$8,1))=FB$13), 1*(_xlfn._xlws.FILTER(OFFSET($O$15,0,$DO26,$B$8,1),OFFSET($M$15,0,0,$B$8,1))=FB$14))   /   SUM(OFFSET($BO$15,0,0,$B$14,1)) + $B$18/($B$19*$B$19*($DN26&lt;&gt;$DO26) + $B$19*($DN26=$DO26))</f>
        <v>3.7037037037037035E-4</v>
      </c>
      <c r="FC26" s="10" cm="1">
        <f t="array" aca="1" ref="FC26" ca="1">(1-$B$18)*SUMPRODUCT(OFFSET($BO$15,0,0,$B$14,1), 1*(_xlfn._xlws.FILTER(OFFSET($O$15,0,$DN26,$B$8,1),OFFSET($M$15,0,0,$B$8,1))=FC$13), 1*(_xlfn._xlws.FILTER(OFFSET($O$15,0,$DO26,$B$8,1),OFFSET($M$15,0,0,$B$8,1))=FC$14))   /   SUM(OFFSET($BO$15,0,0,$B$14,1)) + $B$18/($B$19*$B$19*($DN26&lt;&gt;$DO26) + $B$19*($DN26=$DO26))</f>
        <v>3.7037037037037035E-4</v>
      </c>
      <c r="FD26" s="10" cm="1">
        <f t="array" aca="1" ref="FD26" ca="1">(1-$B$18)*SUMPRODUCT(OFFSET($BO$15,0,0,$B$14,1), 1*(_xlfn._xlws.FILTER(OFFSET($O$15,0,$DN26,$B$8,1),OFFSET($M$15,0,0,$B$8,1))=FD$13), 1*(_xlfn._xlws.FILTER(OFFSET($O$15,0,$DO26,$B$8,1),OFFSET($M$15,0,0,$B$8,1))=FD$14))   /   SUM(OFFSET($BO$15,0,0,$B$14,1)) + $B$18/($B$19*$B$19*($DN26&lt;&gt;$DO26) + $B$19*($DN26=$DO26))</f>
        <v>3.7037037037037035E-4</v>
      </c>
      <c r="FE26" s="10" cm="1">
        <f t="array" aca="1" ref="FE26" ca="1">(1-$B$18)*SUMPRODUCT(OFFSET($BO$15,0,0,$B$14,1), 1*(_xlfn._xlws.FILTER(OFFSET($O$15,0,$DN26,$B$8,1),OFFSET($M$15,0,0,$B$8,1))=FE$13), 1*(_xlfn._xlws.FILTER(OFFSET($O$15,0,$DO26,$B$8,1),OFFSET($M$15,0,0,$B$8,1))=FE$14))   /   SUM(OFFSET($BO$15,0,0,$B$14,1)) + $B$18/($B$19*$B$19*($DN26&lt;&gt;$DO26) + $B$19*($DN26=$DO26))</f>
        <v>3.7037037037037035E-4</v>
      </c>
      <c r="FF26" s="10" cm="1">
        <f t="array" aca="1" ref="FF26" ca="1">(1-$B$18)*SUMPRODUCT(OFFSET($BO$15,0,0,$B$14,1), 1*(_xlfn._xlws.FILTER(OFFSET($O$15,0,$DN26,$B$8,1),OFFSET($M$15,0,0,$B$8,1))=FF$13), 1*(_xlfn._xlws.FILTER(OFFSET($O$15,0,$DO26,$B$8,1),OFFSET($M$15,0,0,$B$8,1))=FF$14))   /   SUM(OFFSET($BO$15,0,0,$B$14,1)) + $B$18/($B$19*$B$19*($DN26&lt;&gt;$DO26) + $B$19*($DN26=$DO26))</f>
        <v>3.7037037037037035E-4</v>
      </c>
      <c r="FG26" s="10" cm="1">
        <f t="array" aca="1" ref="FG26" ca="1">(1-$B$18)*SUMPRODUCT(OFFSET($BO$15,0,0,$B$14,1), 1*(_xlfn._xlws.FILTER(OFFSET($O$15,0,$DN26,$B$8,1),OFFSET($M$15,0,0,$B$8,1))=FG$13), 1*(_xlfn._xlws.FILTER(OFFSET($O$15,0,$DO26,$B$8,1),OFFSET($M$15,0,0,$B$8,1))=FG$14))   /   SUM(OFFSET($BO$15,0,0,$B$14,1)) + $B$18/($B$19*$B$19*($DN26&lt;&gt;$DO26) + $B$19*($DN26=$DO26))</f>
        <v>3.7037037037037035E-4</v>
      </c>
      <c r="FH26" s="10" cm="1">
        <f t="array" aca="1" ref="FH26" ca="1">(1-$B$18)*SUMPRODUCT(OFFSET($BO$15,0,0,$B$14,1), 1*(_xlfn._xlws.FILTER(OFFSET($O$15,0,$DN26,$B$8,1),OFFSET($M$15,0,0,$B$8,1))=FH$13), 1*(_xlfn._xlws.FILTER(OFFSET($O$15,0,$DO26,$B$8,1),OFFSET($M$15,0,0,$B$8,1))=FH$14))   /   SUM(OFFSET($BO$15,0,0,$B$14,1)) + $B$18/($B$19*$B$19*($DN26&lt;&gt;$DO26) + $B$19*($DN26=$DO26))</f>
        <v>3.7037037037037035E-4</v>
      </c>
      <c r="FI26" s="10" cm="1">
        <f t="array" aca="1" ref="FI26" ca="1">(1-$B$18)*SUMPRODUCT(OFFSET($BO$15,0,0,$B$14,1), 1*(_xlfn._xlws.FILTER(OFFSET($O$15,0,$DN26,$B$8,1),OFFSET($M$15,0,0,$B$8,1))=FI$13), 1*(_xlfn._xlws.FILTER(OFFSET($O$15,0,$DO26,$B$8,1),OFFSET($M$15,0,0,$B$8,1))=FI$14))   /   SUM(OFFSET($BO$15,0,0,$B$14,1)) + $B$18/($B$19*$B$19*($DN26&lt;&gt;$DO26) + $B$19*($DN26=$DO26))</f>
        <v>3.7037037037037035E-4</v>
      </c>
      <c r="FJ26" s="10" cm="1">
        <f t="array" aca="1" ref="FJ26" ca="1">(1-$B$18)*SUMPRODUCT(OFFSET($BO$15,0,0,$B$14,1), 1*(_xlfn._xlws.FILTER(OFFSET($O$15,0,$DN26,$B$8,1),OFFSET($M$15,0,0,$B$8,1))=FJ$13), 1*(_xlfn._xlws.FILTER(OFFSET($O$15,0,$DO26,$B$8,1),OFFSET($M$15,0,0,$B$8,1))=FJ$14))   /   SUM(OFFSET($BO$15,0,0,$B$14,1)) + $B$18/($B$19*$B$19*($DN26&lt;&gt;$DO26) + $B$19*($DN26=$DO26))</f>
        <v>3.7037037037037035E-4</v>
      </c>
      <c r="FK26" s="10" cm="1">
        <f t="array" aca="1" ref="FK26" ca="1">(1-$B$18)*SUMPRODUCT(OFFSET($BO$15,0,0,$B$14,1), 1*(_xlfn._xlws.FILTER(OFFSET($O$15,0,$DN26,$B$8,1),OFFSET($M$15,0,0,$B$8,1))=FK$13), 1*(_xlfn._xlws.FILTER(OFFSET($O$15,0,$DO26,$B$8,1),OFFSET($M$15,0,0,$B$8,1))=FK$14))   /   SUM(OFFSET($BO$15,0,0,$B$14,1)) + $B$18/($B$19*$B$19*($DN26&lt;&gt;$DO26) + $B$19*($DN26=$DO26))</f>
        <v>3.7037037037037035E-4</v>
      </c>
      <c r="FL26" s="10" cm="1">
        <f t="array" aca="1" ref="FL26" ca="1">(1-$B$18)*SUMPRODUCT(OFFSET($BO$15,0,0,$B$14,1), 1*(_xlfn._xlws.FILTER(OFFSET($O$15,0,$DN26,$B$8,1),OFFSET($M$15,0,0,$B$8,1))=FL$13), 1*(_xlfn._xlws.FILTER(OFFSET($O$15,0,$DO26,$B$8,1),OFFSET($M$15,0,0,$B$8,1))=FL$14))   /   SUM(OFFSET($BO$15,0,0,$B$14,1)) + $B$18/($B$19*$B$19*($DN26&lt;&gt;$DO26) + $B$19*($DN26=$DO26))</f>
        <v>3.7037037037037035E-4</v>
      </c>
      <c r="FM26" s="10" cm="1">
        <f t="array" aca="1" ref="FM26" ca="1">(1-$B$18)*SUMPRODUCT(OFFSET($BO$15,0,0,$B$14,1), 1*(_xlfn._xlws.FILTER(OFFSET($O$15,0,$DN26,$B$8,1),OFFSET($M$15,0,0,$B$8,1))=FM$13), 1*(_xlfn._xlws.FILTER(OFFSET($O$15,0,$DO26,$B$8,1),OFFSET($M$15,0,0,$B$8,1))=FM$14))   /   SUM(OFFSET($BO$15,0,0,$B$14,1)) + $B$18/($B$19*$B$19*($DN26&lt;&gt;$DO26) + $B$19*($DN26=$DO26))</f>
        <v>0.97037037037037033</v>
      </c>
      <c r="FN26" s="10" cm="1">
        <f t="array" aca="1" ref="FN26" ca="1">(1-$B$18)*SUMPRODUCT(OFFSET($BO$15,0,0,$B$14,1), 1*(_xlfn._xlws.FILTER(OFFSET($O$15,0,$DN26,$B$8,1),OFFSET($M$15,0,0,$B$8,1))=FN$13), 1*(_xlfn._xlws.FILTER(OFFSET($O$15,0,$DO26,$B$8,1),OFFSET($M$15,0,0,$B$8,1))=FN$14))   /   SUM(OFFSET($BO$15,0,0,$B$14,1)) + $B$18/($B$19*$B$19*($DN26&lt;&gt;$DO26) + $B$19*($DN26=$DO26))</f>
        <v>3.7037037037037035E-4</v>
      </c>
      <c r="FO26" s="10" cm="1">
        <f t="array" aca="1" ref="FO26" ca="1">(1-$B$18)*SUMPRODUCT(OFFSET($BO$15,0,0,$B$14,1), 1*(_xlfn._xlws.FILTER(OFFSET($O$15,0,$DN26,$B$8,1),OFFSET($M$15,0,0,$B$8,1))=FO$13), 1*(_xlfn._xlws.FILTER(OFFSET($O$15,0,$DO26,$B$8,1),OFFSET($M$15,0,0,$B$8,1))=FO$14))   /   SUM(OFFSET($BO$15,0,0,$B$14,1)) + $B$18/($B$19*$B$19*($DN26&lt;&gt;$DO26) + $B$19*($DN26=$DO26))</f>
        <v>3.7037037037037035E-4</v>
      </c>
      <c r="FP26" s="10" cm="1">
        <f t="array" aca="1" ref="FP26" ca="1">(1-$B$18)*SUMPRODUCT(OFFSET($BO$15,0,0,$B$14,1), 1*(_xlfn._xlws.FILTER(OFFSET($O$15,0,$DN26,$B$8,1),OFFSET($M$15,0,0,$B$8,1))=FP$13), 1*(_xlfn._xlws.FILTER(OFFSET($O$15,0,$DO26,$B$8,1),OFFSET($M$15,0,0,$B$8,1))=FP$14))   /   SUM(OFFSET($BO$15,0,0,$B$14,1)) + $B$18/($B$19*$B$19*($DN26&lt;&gt;$DO26) + $B$19*($DN26=$DO26))</f>
        <v>3.7037037037037035E-4</v>
      </c>
      <c r="FQ26" s="10" cm="1">
        <f t="array" aca="1" ref="FQ26" ca="1">(1-$B$18)*SUMPRODUCT(OFFSET($BO$15,0,0,$B$14,1), 1*(_xlfn._xlws.FILTER(OFFSET($O$15,0,$DN26,$B$8,1),OFFSET($M$15,0,0,$B$8,1))=FQ$13), 1*(_xlfn._xlws.FILTER(OFFSET($O$15,0,$DO26,$B$8,1),OFFSET($M$15,0,0,$B$8,1))=FQ$14))   /   SUM(OFFSET($BO$15,0,0,$B$14,1)) + $B$18/($B$19*$B$19*($DN26&lt;&gt;$DO26) + $B$19*($DN26=$DO26))</f>
        <v>3.7037037037037035E-4</v>
      </c>
      <c r="FR26" s="10" cm="1">
        <f t="array" aca="1" ref="FR26" ca="1">(1-$B$18)*SUMPRODUCT(OFFSET($BO$15,0,0,$B$14,1), 1*(_xlfn._xlws.FILTER(OFFSET($O$15,0,$DN26,$B$8,1),OFFSET($M$15,0,0,$B$8,1))=FR$13), 1*(_xlfn._xlws.FILTER(OFFSET($O$15,0,$DO26,$B$8,1),OFFSET($M$15,0,0,$B$8,1))=FR$14))   /   SUM(OFFSET($BO$15,0,0,$B$14,1)) + $B$18/($B$19*$B$19*($DN26&lt;&gt;$DO26) + $B$19*($DN26=$DO26))</f>
        <v>3.7037037037037035E-4</v>
      </c>
      <c r="FS26" s="10" cm="1">
        <f t="array" aca="1" ref="FS26" ca="1">(1-$B$18)*SUMPRODUCT(OFFSET($BO$15,0,0,$B$14,1), 1*(_xlfn._xlws.FILTER(OFFSET($O$15,0,$DN26,$B$8,1),OFFSET($M$15,0,0,$B$8,1))=FS$13), 1*(_xlfn._xlws.FILTER(OFFSET($O$15,0,$DO26,$B$8,1),OFFSET($M$15,0,0,$B$8,1))=FS$14))   /   SUM(OFFSET($BO$15,0,0,$B$14,1)) + $B$18/($B$19*$B$19*($DN26&lt;&gt;$DO26) + $B$19*($DN26=$DO26))</f>
        <v>3.7037037037037035E-4</v>
      </c>
      <c r="FT26" s="10" cm="1">
        <f t="array" aca="1" ref="FT26" ca="1">(1-$B$18)*SUMPRODUCT(OFFSET($BO$15,0,0,$B$14,1), 1*(_xlfn._xlws.FILTER(OFFSET($O$15,0,$DN26,$B$8,1),OFFSET($M$15,0,0,$B$8,1))=FT$13), 1*(_xlfn._xlws.FILTER(OFFSET($O$15,0,$DO26,$B$8,1),OFFSET($M$15,0,0,$B$8,1))=FT$14))   /   SUM(OFFSET($BO$15,0,0,$B$14,1)) + $B$18/($B$19*$B$19*($DN26&lt;&gt;$DO26) + $B$19*($DN26=$DO26))</f>
        <v>3.7037037037037035E-4</v>
      </c>
      <c r="FU26" s="10" cm="1">
        <f t="array" aca="1" ref="FU26" ca="1">(1-$B$18)*SUMPRODUCT(OFFSET($BO$15,0,0,$B$14,1), 1*(_xlfn._xlws.FILTER(OFFSET($O$15,0,$DN26,$B$8,1),OFFSET($M$15,0,0,$B$8,1))=FU$13), 1*(_xlfn._xlws.FILTER(OFFSET($O$15,0,$DO26,$B$8,1),OFFSET($M$15,0,0,$B$8,1))=FU$14))   /   SUM(OFFSET($BO$15,0,0,$B$14,1)) + $B$18/($B$19*$B$19*($DN26&lt;&gt;$DO26) + $B$19*($DN26=$DO26))</f>
        <v>3.7037037037037035E-4</v>
      </c>
      <c r="FV26" s="10" cm="1">
        <f t="array" aca="1" ref="FV26" ca="1">(1-$B$18)*SUMPRODUCT(OFFSET($BO$15,0,0,$B$14,1), 1*(_xlfn._xlws.FILTER(OFFSET($O$15,0,$DN26,$B$8,1),OFFSET($M$15,0,0,$B$8,1))=FV$13), 1*(_xlfn._xlws.FILTER(OFFSET($O$15,0,$DO26,$B$8,1),OFFSET($M$15,0,0,$B$8,1))=FV$14))   /   SUM(OFFSET($BO$15,0,0,$B$14,1)) + $B$18/($B$19*$B$19*($DN26&lt;&gt;$DO26) + $B$19*($DN26=$DO26))</f>
        <v>3.7037037037037035E-4</v>
      </c>
      <c r="FW26" s="10" cm="1">
        <f t="array" aca="1" ref="FW26" ca="1">(1-$B$18)*SUMPRODUCT(OFFSET($BO$15,0,0,$B$14,1), 1*(_xlfn._xlws.FILTER(OFFSET($O$15,0,$DN26,$B$8,1),OFFSET($M$15,0,0,$B$8,1))=FW$13), 1*(_xlfn._xlws.FILTER(OFFSET($O$15,0,$DO26,$B$8,1),OFFSET($M$15,0,0,$B$8,1))=FW$14))   /   SUM(OFFSET($BO$15,0,0,$B$14,1)) + $B$18/($B$19*$B$19*($DN26&lt;&gt;$DO26) + $B$19*($DN26=$DO26))</f>
        <v>3.7037037037037035E-4</v>
      </c>
      <c r="FX26" s="10" cm="1">
        <f t="array" aca="1" ref="FX26" ca="1">(1-$B$18)*SUMPRODUCT(OFFSET($BO$15,0,0,$B$14,1), 1*(_xlfn._xlws.FILTER(OFFSET($O$15,0,$DN26,$B$8,1),OFFSET($M$15,0,0,$B$8,1))=FX$13), 1*(_xlfn._xlws.FILTER(OFFSET($O$15,0,$DO26,$B$8,1),OFFSET($M$15,0,0,$B$8,1))=FX$14))   /   SUM(OFFSET($BO$15,0,0,$B$14,1)) + $B$18/($B$19*$B$19*($DN26&lt;&gt;$DO26) + $B$19*($DN26=$DO26))</f>
        <v>3.7037037037037035E-4</v>
      </c>
      <c r="FY26" s="10" cm="1">
        <f t="array" aca="1" ref="FY26" ca="1">(1-$B$18)*SUMPRODUCT(OFFSET($BO$15,0,0,$B$14,1), 1*(_xlfn._xlws.FILTER(OFFSET($O$15,0,$DN26,$B$8,1),OFFSET($M$15,0,0,$B$8,1))=FY$13), 1*(_xlfn._xlws.FILTER(OFFSET($O$15,0,$DO26,$B$8,1),OFFSET($M$15,0,0,$B$8,1))=FY$14))   /   SUM(OFFSET($BO$15,0,0,$B$14,1)) + $B$18/($B$19*$B$19*($DN26&lt;&gt;$DO26) + $B$19*($DN26=$DO26))</f>
        <v>3.7037037037037035E-4</v>
      </c>
      <c r="FZ26" s="10" cm="1">
        <f t="array" aca="1" ref="FZ26" ca="1">(1-$B$18)*SUMPRODUCT(OFFSET($BO$15,0,0,$B$14,1), 1*(_xlfn._xlws.FILTER(OFFSET($O$15,0,$DN26,$B$8,1),OFFSET($M$15,0,0,$B$8,1))=FZ$13), 1*(_xlfn._xlws.FILTER(OFFSET($O$15,0,$DO26,$B$8,1),OFFSET($M$15,0,0,$B$8,1))=FZ$14))   /   SUM(OFFSET($BO$15,0,0,$B$14,1)) + $B$18/($B$19*$B$19*($DN26&lt;&gt;$DO26) + $B$19*($DN26=$DO26))</f>
        <v>3.7037037037037035E-4</v>
      </c>
      <c r="GA26" s="10" cm="1">
        <f t="array" aca="1" ref="GA26" ca="1">(1-$B$18)*SUMPRODUCT(OFFSET($BO$15,0,0,$B$14,1), 1*(_xlfn._xlws.FILTER(OFFSET($O$15,0,$DN26,$B$8,1),OFFSET($M$15,0,0,$B$8,1))=GA$13), 1*(_xlfn._xlws.FILTER(OFFSET($O$15,0,$DO26,$B$8,1),OFFSET($M$15,0,0,$B$8,1))=GA$14))   /   SUM(OFFSET($BO$15,0,0,$B$14,1)) + $B$18/($B$19*$B$19*($DN26&lt;&gt;$DO26) + $B$19*($DN26=$DO26))</f>
        <v>3.7037037037037035E-4</v>
      </c>
    </row>
    <row r="27" spans="1:183" x14ac:dyDescent="0.2">
      <c r="D27" s="10">
        <f ca="1"/>
        <v>13</v>
      </c>
      <c r="F27" s="10">
        <f ca="1"/>
        <v>0.1</v>
      </c>
      <c r="H27" s="10">
        <f ca="1"/>
        <v>13</v>
      </c>
      <c r="J27" cm="1">
        <f t="array" aca="1" ref="J27" ca="1">SUMPRODUCT((O27:AJ27=$O$11:$AJ$11)*(O$13:AJ$13=TRUE))  / COUNTIF(O$13:AJ$13,TRUE)</f>
        <v>1</v>
      </c>
      <c r="K27" t="b">
        <f t="shared" ca="1" si="4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5"/>
        <v>1</v>
      </c>
      <c r="N27" s="2">
        <v>12</v>
      </c>
      <c r="O27" s="12" t="s">
        <v>11</v>
      </c>
      <c r="P27" s="9" t="s">
        <v>11</v>
      </c>
      <c r="Q27" s="9" t="s">
        <v>11</v>
      </c>
      <c r="R27" s="9" t="s">
        <v>11</v>
      </c>
      <c r="S27" s="9" t="s">
        <v>11</v>
      </c>
      <c r="T27" s="12" t="s">
        <v>11</v>
      </c>
      <c r="U27" s="9" t="s">
        <v>11</v>
      </c>
      <c r="V27" s="9" t="s">
        <v>11</v>
      </c>
      <c r="W27" s="9" t="s">
        <v>11</v>
      </c>
      <c r="X27" s="9" t="s">
        <v>11</v>
      </c>
      <c r="Y27" s="12" t="s">
        <v>0</v>
      </c>
      <c r="Z27" s="9" t="s">
        <v>0</v>
      </c>
      <c r="AA27" s="9" t="s">
        <v>1</v>
      </c>
      <c r="AB27" s="9" t="s">
        <v>1</v>
      </c>
      <c r="AC27" s="9" t="s">
        <v>2</v>
      </c>
      <c r="AD27" s="12" t="s">
        <v>2</v>
      </c>
      <c r="AE27" s="9" t="s">
        <v>5</v>
      </c>
      <c r="AF27" s="9" t="s">
        <v>5</v>
      </c>
      <c r="AG27" s="9" t="s">
        <v>3</v>
      </c>
      <c r="AH27" s="9" t="s">
        <v>3</v>
      </c>
      <c r="AI27" s="12" t="s">
        <v>4</v>
      </c>
      <c r="AJ27" s="9" t="s">
        <v>4</v>
      </c>
      <c r="AK27" s="7"/>
      <c r="AN27">
        <f t="shared" ca="1" si="6"/>
        <v>7</v>
      </c>
      <c r="AO27" s="14">
        <f t="shared" ca="1" si="7"/>
        <v>0.14285714285714285</v>
      </c>
      <c r="AP27" s="2">
        <f ca="1"/>
        <v>13</v>
      </c>
      <c r="AQ27" cm="1">
        <f t="array" aca="1" ref="AQ27" ca="1">IF($AP27=AQ$14, 1, SUMPRODUCT(
    --(OFFSET($O$13,0,0,1,$B$9)=TRUE),
    --(INDEX(OFFSET($O$15,0,0,$B$8,$B$9), 1+$AP27, 0) = INDEX(OFFSET($O$15,0,0,$B$8,$B$9), 1+AQ$14, 0))
) / $B$13)</f>
        <v>0.9</v>
      </c>
      <c r="AR27" cm="1">
        <f t="array" aca="1" ref="AR27" ca="1">IF($AP27=AR$14, 1, SUMPRODUCT(
    --(OFFSET($O$13,0,0,1,$B$9)=TRUE),
    --(INDEX(OFFSET($O$15,0,0,$B$8,$B$9), 1+$AP27, 0) = INDEX(OFFSET($O$15,0,0,$B$8,$B$9), 1+AR$14, 0))
) / $B$13)</f>
        <v>1</v>
      </c>
      <c r="AS27" cm="1">
        <f t="array" aca="1" ref="AS27" ca="1">IF($AP27=AS$14, 1, SUMPRODUCT(
    --(OFFSET($O$13,0,0,1,$B$9)=TRUE),
    --(INDEX(OFFSET($O$15,0,0,$B$8,$B$9), 1+$AP27, 0) = INDEX(OFFSET($O$15,0,0,$B$8,$B$9), 1+AS$14, 0))
) / $B$13)</f>
        <v>0.9</v>
      </c>
      <c r="AT27" cm="1">
        <f t="array" aca="1" ref="AT27" ca="1">IF($AP27=AT$14, 1, SUMPRODUCT(
    --(OFFSET($O$13,0,0,1,$B$9)=TRUE),
    --(INDEX(OFFSET($O$15,0,0,$B$8,$B$9), 1+$AP27, 0) = INDEX(OFFSET($O$15,0,0,$B$8,$B$9), 1+AT$14, 0))
) / $B$13)</f>
        <v>0.9</v>
      </c>
      <c r="AU27" cm="1">
        <f t="array" aca="1" ref="AU27" ca="1">IF($AP27=AU$14, 1, SUMPRODUCT(
    --(OFFSET($O$13,0,0,1,$B$9)=TRUE),
    --(INDEX(OFFSET($O$15,0,0,$B$8,$B$9), 1+$AP27, 0) = INDEX(OFFSET($O$15,0,0,$B$8,$B$9), 1+AU$14, 0))
) / $B$13)</f>
        <v>0.9</v>
      </c>
      <c r="AV27" cm="1">
        <f t="array" aca="1" ref="AV27" ca="1">IF($AP27=AV$14, 1, SUMPRODUCT(
    --(OFFSET($O$13,0,0,1,$B$9)=TRUE),
    --(INDEX(OFFSET($O$15,0,0,$B$8,$B$9), 1+$AP27, 0) = INDEX(OFFSET($O$15,0,0,$B$8,$B$9), 1+AV$14, 0))
) / $B$13)</f>
        <v>1</v>
      </c>
      <c r="AW27" cm="1">
        <f t="array" aca="1" ref="AW27" ca="1">IF($AP27=AW$14, 1, SUMPRODUCT(
    --(OFFSET($O$13,0,0,1,$B$9)=TRUE),
    --(INDEX(OFFSET($O$15,0,0,$B$8,$B$9), 1+$AP27, 0) = INDEX(OFFSET($O$15,0,0,$B$8,$B$9), 1+AW$14, 0))
) / $B$13)</f>
        <v>0.85</v>
      </c>
      <c r="AX27" cm="1">
        <f t="array" aca="1" ref="AX27" ca="1">IF($AP27=AX$14, 1, SUMPRODUCT(
    --(OFFSET($O$13,0,0,1,$B$9)=TRUE),
    --(INDEX(OFFSET($O$15,0,0,$B$8,$B$9), 1+$AP27, 0) = INDEX(OFFSET($O$15,0,0,$B$8,$B$9), 1+AX$14, 0))
) / $B$13)</f>
        <v>0.85</v>
      </c>
      <c r="AY27" cm="1">
        <f t="array" aca="1" ref="AY27" ca="1">IF($AP27=AY$14, 1, SUMPRODUCT(
    --(OFFSET($O$13,0,0,1,$B$9)=TRUE),
    --(INDEX(OFFSET($O$15,0,0,$B$8,$B$9), 1+$AP27, 0) = INDEX(OFFSET($O$15,0,0,$B$8,$B$9), 1+AY$14, 0))
) / $B$13)</f>
        <v>1</v>
      </c>
      <c r="AZ27" cm="1">
        <f t="array" aca="1" ref="AZ27" ca="1">IF($AP27=AZ$14, 1, SUMPRODUCT(
    --(OFFSET($O$13,0,0,1,$B$9)=TRUE),
    --(INDEX(OFFSET($O$15,0,0,$B$8,$B$9), 1+$AP27, 0) = INDEX(OFFSET($O$15,0,0,$B$8,$B$9), 1+AZ$14, 0))
) / $B$13)</f>
        <v>1</v>
      </c>
      <c r="BA27" cm="1">
        <f t="array" aca="1" ref="BA27" ca="1">IF($AP27=BA$14, 1, SUMPRODUCT(
    --(OFFSET($O$13,0,0,1,$B$9)=TRUE),
    --(INDEX(OFFSET($O$15,0,0,$B$8,$B$9), 1+$AP27, 0) = INDEX(OFFSET($O$15,0,0,$B$8,$B$9), 1+BA$14, 0))
) / $B$13)</f>
        <v>1</v>
      </c>
      <c r="BB27" cm="1">
        <f t="array" aca="1" ref="BB27" ca="1">IF($AP27=BB$14, 1, SUMPRODUCT(
    --(OFFSET($O$13,0,0,1,$B$9)=TRUE),
    --(INDEX(OFFSET($O$15,0,0,$B$8,$B$9), 1+$AP27, 0) = INDEX(OFFSET($O$15,0,0,$B$8,$B$9), 1+BB$14, 0))
) / $B$13)</f>
        <v>1</v>
      </c>
      <c r="BC27" cm="1">
        <f t="array" aca="1" ref="BC27" ca="1">IF($AP27=BC$14, 1, SUMPRODUCT(
    --(OFFSET($O$13,0,0,1,$B$9)=TRUE),
    --(INDEX(OFFSET($O$15,0,0,$B$8,$B$9), 1+$AP27, 0) = INDEX(OFFSET($O$15,0,0,$B$8,$B$9), 1+BC$14, 0))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
) / $B$13)</f>
        <v>0.95</v>
      </c>
      <c r="BE27" cm="1">
        <f t="array" aca="1" ref="BE27" ca="1">IF($AP27=BE$14, 1, SUMPRODUCT(
    --(OFFSET($O$13,0,0,1,$B$9)=TRUE),
    --(INDEX(OFFSET($O$15,0,0,$B$8,$B$9), 1+$AP27, 0) = INDEX(OFFSET($O$15,0,0,$B$8,$B$9), 1+BE$14, 0))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
) / $B$13)</f>
        <v>0.8</v>
      </c>
      <c r="BG27" cm="1">
        <f t="array" aca="1" ref="BG27" ca="1">IF($AP27=BG$14, 1, SUMPRODUCT(
    --(OFFSET($O$13,0,0,1,$B$9)=TRUE),
    --(INDEX(OFFSET($O$15,0,0,$B$8,$B$9), 1+$AP27, 0) = INDEX(OFFSET($O$15,0,0,$B$8,$B$9), 1+BG$14, 0))
) / $B$13)</f>
        <v>0.95</v>
      </c>
      <c r="BH27" cm="1">
        <f t="array" aca="1" ref="BH27" ca="1">IF($AP27=BH$14, 1, SUMPRODUCT(
    --(OFFSET($O$13,0,0,1,$B$9)=TRUE),
    --(INDEX(OFFSET($O$15,0,0,$B$8,$B$9), 1+$AP27, 0) = INDEX(OFFSET($O$15,0,0,$B$8,$B$9), 1+BH$14, 0))
) / $B$13)</f>
        <v>0.8</v>
      </c>
      <c r="BI27" cm="1">
        <f t="array" aca="1" ref="BI27" ca="1">IF($AP27=BI$14, 1, SUMPRODUCT(
    --(OFFSET($O$13,0,0,1,$B$9)=TRUE),
    --(INDEX(OFFSET($O$15,0,0,$B$8,$B$9), 1+$AP27, 0) = INDEX(OFFSET($O$15,0,0,$B$8,$B$9), 1+BI$14, 0))
) / $B$13)</f>
        <v>0.95</v>
      </c>
      <c r="BJ27" cm="1">
        <f t="array" aca="1" ref="BJ27" ca="1">IF($AP27=BJ$14, 1, SUMPRODUCT(
    --(OFFSET($O$13,0,0,1,$B$9)=TRUE),
    --(INDEX(OFFSET($O$15,0,0,$B$8,$B$9), 1+$AP27, 0) = INDEX(OFFSET($O$15,0,0,$B$8,$B$9), 1+BJ$14, 0))
) / $B$13)</f>
        <v>0.85</v>
      </c>
      <c r="BN27">
        <f t="shared" ca="1" si="8"/>
        <v>10</v>
      </c>
      <c r="BO27" s="14">
        <f t="shared" ca="1" si="9"/>
        <v>0.1</v>
      </c>
      <c r="BP27" s="2">
        <f ca="1"/>
        <v>13</v>
      </c>
      <c r="BQ27" cm="1">
        <f t="array" aca="1" ref="BQ27" ca="1">IF($BP27=BQ$14, 1, SUMPRODUCT(
    --(OFFSET($O$9,0,0,1,$B$9)=TRUE),
    --(INDEX(OFFSET($O$15,0,0,$B$8,$B$9), 1+$BP27, 0) = INDEX(OFFSET($O$15,0,0,$B$8,$B$9), 1+BQ$14, 0))
) / $B$16)</f>
        <v>0.89473684210526316</v>
      </c>
      <c r="BR27" cm="1">
        <f t="array" aca="1" ref="BR27" ca="1">IF($BP27=BR$14, 1, SUMPRODUCT(
    --(OFFSET($O$9,0,0,1,$B$9)=TRUE),
    --(INDEX(OFFSET($O$15,0,0,$B$8,$B$9), 1+$BP27, 0) = INDEX(OFFSET($O$15,0,0,$B$8,$B$9), 1+BR$14, 0))
) / $B$16)</f>
        <v>1</v>
      </c>
      <c r="BS27" cm="1">
        <f t="array" aca="1" ref="BS27" ca="1">IF($BP27=BS$14, 1, SUMPRODUCT(
    --(OFFSET($O$9,0,0,1,$B$9)=TRUE),
    --(INDEX(OFFSET($O$15,0,0,$B$8,$B$9), 1+$BP27, 0) = INDEX(OFFSET($O$15,0,0,$B$8,$B$9), 1+BS$14, 0))
) / $B$16)</f>
        <v>0.89473684210526316</v>
      </c>
      <c r="BT27" cm="1">
        <f t="array" aca="1" ref="BT27" ca="1">IF($BP27=BT$14, 1, SUMPRODUCT(
    --(OFFSET($O$9,0,0,1,$B$9)=TRUE),
    --(INDEX(OFFSET($O$15,0,0,$B$8,$B$9), 1+$BP27, 0) = INDEX(OFFSET($O$15,0,0,$B$8,$B$9), 1+BT$14, 0))
) / $B$16)</f>
        <v>0.89473684210526316</v>
      </c>
      <c r="BU27" cm="1">
        <f t="array" aca="1" ref="BU27" ca="1">IF($BP27=BU$14, 1, SUMPRODUCT(
    --(OFFSET($O$9,0,0,1,$B$9)=TRUE),
    --(INDEX(OFFSET($O$15,0,0,$B$8,$B$9), 1+$BP27, 0) = INDEX(OFFSET($O$15,0,0,$B$8,$B$9), 1+BU$14, 0))
) / $B$16)</f>
        <v>0.89473684210526316</v>
      </c>
      <c r="BV27" cm="1">
        <f t="array" aca="1" ref="BV27" ca="1">IF($BP27=BV$14, 1, SUMPRODUCT(
    --(OFFSET($O$9,0,0,1,$B$9)=TRUE),
    --(INDEX(OFFSET($O$15,0,0,$B$8,$B$9), 1+$BP27, 0) = INDEX(OFFSET($O$15,0,0,$B$8,$B$9), 1+BV$14, 0))
) / $B$16)</f>
        <v>1</v>
      </c>
      <c r="BW27" cm="1">
        <f t="array" aca="1" ref="BW27" ca="1">IF($BP27=BW$14, 1, SUMPRODUCT(
    --(OFFSET($O$9,0,0,1,$B$9)=TRUE),
    --(INDEX(OFFSET($O$15,0,0,$B$8,$B$9), 1+$BP27, 0) = INDEX(OFFSET($O$15,0,0,$B$8,$B$9), 1+BW$14, 0))
) / $B$16)</f>
        <v>0.84210526315789469</v>
      </c>
      <c r="BX27" cm="1">
        <f t="array" aca="1" ref="BX27" ca="1">IF($BP27=BX$14, 1, SUMPRODUCT(
    --(OFFSET($O$9,0,0,1,$B$9)=TRUE),
    --(INDEX(OFFSET($O$15,0,0,$B$8,$B$9), 1+$BP27, 0) = INDEX(OFFSET($O$15,0,0,$B$8,$B$9), 1+BX$14, 0))
) / $B$16)</f>
        <v>0.84210526315789469</v>
      </c>
      <c r="BY27" cm="1">
        <f t="array" aca="1" ref="BY27" ca="1">IF($BP27=BY$14, 1, SUMPRODUCT(
    --(OFFSET($O$9,0,0,1,$B$9)=TRUE),
    --(INDEX(OFFSET($O$15,0,0,$B$8,$B$9), 1+$BP27, 0) = INDEX(OFFSET($O$15,0,0,$B$8,$B$9), 1+BY$14, 0))
) / $B$16)</f>
        <v>1</v>
      </c>
      <c r="BZ27" cm="1">
        <f t="array" aca="1" ref="BZ27" ca="1">IF($BP27=BZ$14, 1, SUMPRODUCT(
    --(OFFSET($O$9,0,0,1,$B$9)=TRUE),
    --(INDEX(OFFSET($O$15,0,0,$B$8,$B$9), 1+$BP27, 0) = INDEX(OFFSET($O$15,0,0,$B$8,$B$9), 1+BZ$14, 0))
) / $B$16)</f>
        <v>1</v>
      </c>
      <c r="CA27" cm="1">
        <f t="array" aca="1" ref="CA27" ca="1">IF($BP27=CA$14, 1, SUMPRODUCT(
    --(OFFSET($O$9,0,0,1,$B$9)=TRUE),
    --(INDEX(OFFSET($O$15,0,0,$B$8,$B$9), 1+$BP27, 0) = INDEX(OFFSET($O$15,0,0,$B$8,$B$9), 1+CA$14, 0))
) / $B$16)</f>
        <v>1</v>
      </c>
      <c r="CB27" cm="1">
        <f t="array" aca="1" ref="CB27" ca="1">IF($BP27=CB$14, 1, SUMPRODUCT(
    --(OFFSET($O$9,0,0,1,$B$9)=TRUE),
    --(INDEX(OFFSET($O$15,0,0,$B$8,$B$9), 1+$BP27, 0) = INDEX(OFFSET($O$15,0,0,$B$8,$B$9), 1+CB$14, 0))
) / $B$16)</f>
        <v>1</v>
      </c>
      <c r="CC27" cm="1">
        <f t="array" aca="1" ref="CC27" ca="1">IF($BP27=CC$14, 1, SUMPRODUCT(
    --(OFFSET($O$9,0,0,1,$B$9)=TRUE),
    --(INDEX(OFFSET($O$15,0,0,$B$8,$B$9), 1+$BP27, 0) = INDEX(OFFSET($O$15,0,0,$B$8,$B$9), 1+CC$14, 0))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
) / $B$16)</f>
        <v>1</v>
      </c>
      <c r="CE27" cm="1">
        <f t="array" aca="1" ref="CE27" ca="1">IF($BP27=CE$14, 1, SUMPRODUCT(
    --(OFFSET($O$9,0,0,1,$B$9)=TRUE),
    --(INDEX(OFFSET($O$15,0,0,$B$8,$B$9), 1+$BP27, 0) = INDEX(OFFSET($O$15,0,0,$B$8,$B$9), 1+CE$14, 0))
) / $B$16)</f>
        <v>0.84210526315789469</v>
      </c>
      <c r="CF27" cm="1">
        <f t="array" aca="1" ref="CF27" ca="1">IF($BP27=CF$14, 1, SUMPRODUCT(
    --(OFFSET($O$9,0,0,1,$B$9)=TRUE),
    --(INDEX(OFFSET($O$15,0,0,$B$8,$B$9), 1+$BP27, 0) = INDEX(OFFSET($O$15,0,0,$B$8,$B$9), 1+CF$14, 0))
) / $B$16)</f>
        <v>0.84210526315789469</v>
      </c>
      <c r="CG27" cm="1">
        <f t="array" aca="1" ref="CG27" ca="1">IF($BP27=CG$14, 1, SUMPRODUCT(
    --(OFFSET($O$9,0,0,1,$B$9)=TRUE),
    --(INDEX(OFFSET($O$15,0,0,$B$8,$B$9), 1+$BP27, 0) = INDEX(OFFSET($O$15,0,0,$B$8,$B$9), 1+CG$14, 0))
) / $B$16)</f>
        <v>1</v>
      </c>
      <c r="CH27" cm="1">
        <f t="array" aca="1" ref="CH27" ca="1">IF($BP27=CH$14, 1, SUMPRODUCT(
    --(OFFSET($O$9,0,0,1,$B$9)=TRUE),
    --(INDEX(OFFSET($O$15,0,0,$B$8,$B$9), 1+$BP27, 0) = INDEX(OFFSET($O$15,0,0,$B$8,$B$9), 1+CH$14, 0))
) / $B$16)</f>
        <v>0.84210526315789469</v>
      </c>
      <c r="CI27" cm="1">
        <f t="array" aca="1" ref="CI27" ca="1">IF($BP27=CI$14, 1, SUMPRODUCT(
    --(OFFSET($O$9,0,0,1,$B$9)=TRUE),
    --(INDEX(OFFSET($O$15,0,0,$B$8,$B$9), 1+$BP27, 0) = INDEX(OFFSET($O$15,0,0,$B$8,$B$9), 1+CI$14, 0))
) / $B$16)</f>
        <v>1</v>
      </c>
      <c r="CJ27" cm="1">
        <f t="array" aca="1" ref="CJ27" ca="1">IF($BP27=CJ$14, 1, SUMPRODUCT(
    --(OFFSET($O$9,0,0,1,$B$9)=TRUE),
    --(INDEX(OFFSET($O$15,0,0,$B$8,$B$9), 1+$BP27, 0) = INDEX(OFFSET($O$15,0,0,$B$8,$B$9), 1+CJ$14, 0))
) / $B$16)</f>
        <v>0.84210526315789469</v>
      </c>
      <c r="CP27">
        <f ca="1"/>
        <v>13</v>
      </c>
      <c r="CQ27" cm="1">
        <f t="array" aca="1" ref="CQ27" ca="1">(1-$B$18)*SUMPRODUCT(OFFSET($BO$15,0,0,$B$14,1), 1*(_xlfn._xlws.FILTER(OFFSET($O$15,0,$CP27,$B$8,1), OFFSET($M$15,0,0,$B$8,1))=CQ$14))   /   SUM(OFFSET($BO$15,0,0,$B$14,1)) + $B$18/$B$19</f>
        <v>3.3333333333333331E-3</v>
      </c>
      <c r="CR27" s="10" cm="1">
        <f t="array" aca="1" ref="CR27" ca="1">(1-$B$18)*SUMPRODUCT(OFFSET($BO$15,0,0,$B$14,1), 1*(_xlfn._xlws.FILTER(OFFSET($O$15,0,$CP27,$B$8,1), OFFSET($M$15,0,0,$B$8,1))=CR$14))   /   SUM(OFFSET($BO$15,0,0,$B$14,1)) + $B$18/$B$19</f>
        <v>3.3333333333333331E-3</v>
      </c>
      <c r="CS27" s="10" cm="1">
        <f t="array" aca="1" ref="CS27" ca="1">(1-$B$18)*SUMPRODUCT(OFFSET($BO$15,0,0,$B$14,1), 1*(_xlfn._xlws.FILTER(OFFSET($O$15,0,$CP27,$B$8,1), OFFSET($M$15,0,0,$B$8,1))=CS$14))   /   SUM(OFFSET($BO$15,0,0,$B$14,1)) + $B$18/$B$19</f>
        <v>0.97333333333333327</v>
      </c>
      <c r="CT27" s="10" cm="1">
        <f t="array" aca="1" ref="CT27" ca="1">(1-$B$18)*SUMPRODUCT(OFFSET($BO$15,0,0,$B$14,1), 1*(_xlfn._xlws.FILTER(OFFSET($O$15,0,$CP27,$B$8,1), OFFSET($M$15,0,0,$B$8,1))=CT$14))   /   SUM(OFFSET($BO$15,0,0,$B$14,1)) + $B$18/$B$19</f>
        <v>3.3333333333333331E-3</v>
      </c>
      <c r="CU27" s="10" cm="1">
        <f t="array" aca="1" ref="CU27" ca="1">(1-$B$18)*SUMPRODUCT(OFFSET($BO$15,0,0,$B$14,1), 1*(_xlfn._xlws.FILTER(OFFSET($O$15,0,$CP27,$B$8,1), OFFSET($M$15,0,0,$B$8,1))=CU$14))   /   SUM(OFFSET($BO$15,0,0,$B$14,1)) + $B$18/$B$19</f>
        <v>3.3333333333333331E-3</v>
      </c>
      <c r="CV27" s="10" cm="1">
        <f t="array" aca="1" ref="CV27" ca="1">(1-$B$18)*SUMPRODUCT(OFFSET($BO$15,0,0,$B$14,1), 1*(_xlfn._xlws.FILTER(OFFSET($O$15,0,$CP27,$B$8,1), OFFSET($M$15,0,0,$B$8,1))=CV$14))   /   SUM(OFFSET($BO$15,0,0,$B$14,1)) + $B$18/$B$19</f>
        <v>3.3333333333333331E-3</v>
      </c>
      <c r="CW27" s="10" cm="1">
        <f t="array" aca="1" ref="CW27" ca="1">(1-$B$18)*SUMPRODUCT(OFFSET($BO$15,0,0,$B$14,1), 1*(_xlfn._xlws.FILTER(OFFSET($O$15,0,$CP27,$B$8,1), OFFSET($M$15,0,0,$B$8,1))=CW$14))   /   SUM(OFFSET($BO$15,0,0,$B$14,1)) + $B$18/$B$19</f>
        <v>3.3333333333333331E-3</v>
      </c>
      <c r="CX27" s="10" cm="1">
        <f t="array" aca="1" ref="CX27" ca="1">(1-$B$18)*SUMPRODUCT(OFFSET($BO$15,0,0,$B$14,1), 1*(_xlfn._xlws.FILTER(OFFSET($O$15,0,$CP27,$B$8,1), OFFSET($M$15,0,0,$B$8,1))=CX$14))   /   SUM(OFFSET($BO$15,0,0,$B$14,1)) + $B$18/$B$19</f>
        <v>3.3333333333333331E-3</v>
      </c>
      <c r="CY27" s="10" cm="1">
        <f t="array" aca="1" ref="CY27" ca="1">(1-$B$18)*SUMPRODUCT(OFFSET($BO$15,0,0,$B$14,1), 1*(_xlfn._xlws.FILTER(OFFSET($O$15,0,$CP27,$B$8,1), OFFSET($M$15,0,0,$B$8,1))=CY$14))   /   SUM(OFFSET($BO$15,0,0,$B$14,1)) + $B$18/$B$19</f>
        <v>3.3333333333333331E-3</v>
      </c>
      <c r="DB27" s="10" cm="1">
        <f t="array" aca="1" ref="DB27" ca="1">SUM(OFFSET($CR27,0,0,1,$M$2)*LN(OFFSET($CR27,0,0,1,$M$2)/OFFSET($CR$11,0,0,1,$M$2)))+IF($CQ$11&gt;0,OFFSET($O$10,0,$CP27,1,1)*LN(OFFSET($O$10,0,$CP27,1,1)/$CQ$11),0)</f>
        <v>1.9131139043413505</v>
      </c>
      <c r="DC27">
        <f ca="1"/>
        <v>13</v>
      </c>
      <c r="DD27" s="10">
        <f t="shared" ca="1" si="11"/>
        <v>0.11767737994455678</v>
      </c>
      <c r="DE27" s="10">
        <f t="shared" ca="1" si="10"/>
        <v>1.9045936050347492</v>
      </c>
      <c r="DF27" s="10">
        <f t="shared" ca="1" si="10"/>
        <v>0.11767737994455678</v>
      </c>
      <c r="DG27" s="10">
        <f t="shared" ca="1" si="10"/>
        <v>0.11767737994455678</v>
      </c>
      <c r="DH27" s="10">
        <f t="shared" ca="1" si="10"/>
        <v>0.11767737994455678</v>
      </c>
      <c r="DI27" s="10">
        <f t="shared" ca="1" si="10"/>
        <v>0.11767737994455678</v>
      </c>
      <c r="DJ27" s="10">
        <f t="shared" ca="1" si="10"/>
        <v>0.11767737994455678</v>
      </c>
      <c r="DK27" s="10">
        <f t="shared" ca="1" si="10"/>
        <v>0.11767737994455678</v>
      </c>
      <c r="DN27" cm="1">
        <f t="array" aca="1" ref="DN27" ca="1">INDEX(_xlfn.ANCHORARRAY($CP$15), 1 + INT((ROWS($DO$15:$DO27) - 1) / ROWS(_xlfn.ANCHORARRAY($CP$15))))</f>
        <v>0</v>
      </c>
      <c r="DO27" cm="1">
        <f t="array" aca="1" ref="DO27" ca="1">INDEX(_xlfn.ANCHORARRAY($CP$15),1+MOD(ROWS($DO$15:$DO27)-1,ROWS(_xlfn.ANCHORARRAY($CP$15))))</f>
        <v>13</v>
      </c>
      <c r="DP27" s="10" cm="1">
        <f t="array" aca="1" ref="DP27" ca="1">(1-$B$18)*SUMPRODUCT(OFFSET($BO$15,0,0,$B$14,1), 1*(_xlfn._xlws.FILTER(OFFSET($O$15,0,$DN27,$B$8,1),OFFSET($M$15,0,0,$B$8,1))=DP$13), 1*(_xlfn._xlws.FILTER(OFFSET($O$15,0,$DO27,$B$8,1),OFFSET($M$15,0,0,$B$8,1))=DP$14))   /   SUM(OFFSET($BO$15,0,0,$B$14,1)) + $B$18/($B$19*$B$19*($DN27&lt;&gt;$DO27) + $B$19*($DN27=$DO27))</f>
        <v>3.7037037037037035E-4</v>
      </c>
      <c r="DQ27" s="10" cm="1">
        <f t="array" aca="1" ref="DQ27" ca="1">(1-$B$18)*SUMPRODUCT(OFFSET($BO$15,0,0,$B$14,1), 1*(_xlfn._xlws.FILTER(OFFSET($O$15,0,$DN27,$B$8,1),OFFSET($M$15,0,0,$B$8,1))=DQ$13), 1*(_xlfn._xlws.FILTER(OFFSET($O$15,0,$DO27,$B$8,1),OFFSET($M$15,0,0,$B$8,1))=DQ$14))   /   SUM(OFFSET($BO$15,0,0,$B$14,1)) + $B$18/($B$19*$B$19*($DN27&lt;&gt;$DO27) + $B$19*($DN27=$DO27))</f>
        <v>3.7037037037037035E-4</v>
      </c>
      <c r="DR27" s="10" cm="1">
        <f t="array" aca="1" ref="DR27" ca="1">(1-$B$18)*SUMPRODUCT(OFFSET($BO$15,0,0,$B$14,1), 1*(_xlfn._xlws.FILTER(OFFSET($O$15,0,$DN27,$B$8,1),OFFSET($M$15,0,0,$B$8,1))=DR$13), 1*(_xlfn._xlws.FILTER(OFFSET($O$15,0,$DO27,$B$8,1),OFFSET($M$15,0,0,$B$8,1))=DR$14))   /   SUM(OFFSET($BO$15,0,0,$B$14,1)) + $B$18/($B$19*$B$19*($DN27&lt;&gt;$DO27) + $B$19*($DN27=$DO27))</f>
        <v>3.7037037037037035E-4</v>
      </c>
      <c r="DS27" s="10" cm="1">
        <f t="array" aca="1" ref="DS27" ca="1">(1-$B$18)*SUMPRODUCT(OFFSET($BO$15,0,0,$B$14,1), 1*(_xlfn._xlws.FILTER(OFFSET($O$15,0,$DN27,$B$8,1),OFFSET($M$15,0,0,$B$8,1))=DS$13), 1*(_xlfn._xlws.FILTER(OFFSET($O$15,0,$DO27,$B$8,1),OFFSET($M$15,0,0,$B$8,1))=DS$14))   /   SUM(OFFSET($BO$15,0,0,$B$14,1)) + $B$18/($B$19*$B$19*($DN27&lt;&gt;$DO27) + $B$19*($DN27=$DO27))</f>
        <v>3.7037037037037035E-4</v>
      </c>
      <c r="DT27" s="10" cm="1">
        <f t="array" aca="1" ref="DT27" ca="1">(1-$B$18)*SUMPRODUCT(OFFSET($BO$15,0,0,$B$14,1), 1*(_xlfn._xlws.FILTER(OFFSET($O$15,0,$DN27,$B$8,1),OFFSET($M$15,0,0,$B$8,1))=DT$13), 1*(_xlfn._xlws.FILTER(OFFSET($O$15,0,$DO27,$B$8,1),OFFSET($M$15,0,0,$B$8,1))=DT$14))   /   SUM(OFFSET($BO$15,0,0,$B$14,1)) + $B$18/($B$19*$B$19*($DN27&lt;&gt;$DO27) + $B$19*($DN27=$DO27))</f>
        <v>3.7037037037037035E-4</v>
      </c>
      <c r="DU27" s="10" cm="1">
        <f t="array" aca="1" ref="DU27" ca="1">(1-$B$18)*SUMPRODUCT(OFFSET($BO$15,0,0,$B$14,1), 1*(_xlfn._xlws.FILTER(OFFSET($O$15,0,$DN27,$B$8,1),OFFSET($M$15,0,0,$B$8,1))=DU$13), 1*(_xlfn._xlws.FILTER(OFFSET($O$15,0,$DO27,$B$8,1),OFFSET($M$15,0,0,$B$8,1))=DU$14))   /   SUM(OFFSET($BO$15,0,0,$B$14,1)) + $B$18/($B$19*$B$19*($DN27&lt;&gt;$DO27) + $B$19*($DN27=$DO27))</f>
        <v>3.7037037037037035E-4</v>
      </c>
      <c r="DV27" s="10" cm="1">
        <f t="array" aca="1" ref="DV27" ca="1">(1-$B$18)*SUMPRODUCT(OFFSET($BO$15,0,0,$B$14,1), 1*(_xlfn._xlws.FILTER(OFFSET($O$15,0,$DN27,$B$8,1),OFFSET($M$15,0,0,$B$8,1))=DV$13), 1*(_xlfn._xlws.FILTER(OFFSET($O$15,0,$DO27,$B$8,1),OFFSET($M$15,0,0,$B$8,1))=DV$14))   /   SUM(OFFSET($BO$15,0,0,$B$14,1)) + $B$18/($B$19*$B$19*($DN27&lt;&gt;$DO27) + $B$19*($DN27=$DO27))</f>
        <v>3.7037037037037035E-4</v>
      </c>
      <c r="DW27" s="10" cm="1">
        <f t="array" aca="1" ref="DW27" ca="1">(1-$B$18)*SUMPRODUCT(OFFSET($BO$15,0,0,$B$14,1), 1*(_xlfn._xlws.FILTER(OFFSET($O$15,0,$DN27,$B$8,1),OFFSET($M$15,0,0,$B$8,1))=DW$13), 1*(_xlfn._xlws.FILTER(OFFSET($O$15,0,$DO27,$B$8,1),OFFSET($M$15,0,0,$B$8,1))=DW$14))   /   SUM(OFFSET($BO$15,0,0,$B$14,1)) + $B$18/($B$19*$B$19*($DN27&lt;&gt;$DO27) + $B$19*($DN27=$DO27))</f>
        <v>3.7037037037037035E-4</v>
      </c>
      <c r="DX27" s="10" cm="1">
        <f t="array" aca="1" ref="DX27" ca="1">(1-$B$18)*SUMPRODUCT(OFFSET($BO$15,0,0,$B$14,1), 1*(_xlfn._xlws.FILTER(OFFSET($O$15,0,$DN27,$B$8,1),OFFSET($M$15,0,0,$B$8,1))=DX$13), 1*(_xlfn._xlws.FILTER(OFFSET($O$15,0,$DO27,$B$8,1),OFFSET($M$15,0,0,$B$8,1))=DX$14))   /   SUM(OFFSET($BO$15,0,0,$B$14,1)) + $B$18/($B$19*$B$19*($DN27&lt;&gt;$DO27) + $B$19*($DN27=$DO27))</f>
        <v>3.7037037037037035E-4</v>
      </c>
      <c r="DY27" s="10" cm="1">
        <f t="array" aca="1" ref="DY27" ca="1">(1-$B$18)*SUMPRODUCT(OFFSET($BO$15,0,0,$B$14,1), 1*(_xlfn._xlws.FILTER(OFFSET($O$15,0,$DN27,$B$8,1),OFFSET($M$15,0,0,$B$8,1))=DY$13), 1*(_xlfn._xlws.FILTER(OFFSET($O$15,0,$DO27,$B$8,1),OFFSET($M$15,0,0,$B$8,1))=DY$14))   /   SUM(OFFSET($BO$15,0,0,$B$14,1)) + $B$18/($B$19*$B$19*($DN27&lt;&gt;$DO27) + $B$19*($DN27=$DO27))</f>
        <v>3.7037037037037035E-4</v>
      </c>
      <c r="DZ27" s="10" cm="1">
        <f t="array" aca="1" ref="DZ27" ca="1">(1-$B$18)*SUMPRODUCT(OFFSET($BO$15,0,0,$B$14,1), 1*(_xlfn._xlws.FILTER(OFFSET($O$15,0,$DN27,$B$8,1),OFFSET($M$15,0,0,$B$8,1))=DZ$13), 1*(_xlfn._xlws.FILTER(OFFSET($O$15,0,$DO27,$B$8,1),OFFSET($M$15,0,0,$B$8,1))=DZ$14))   /   SUM(OFFSET($BO$15,0,0,$B$14,1)) + $B$18/($B$19*$B$19*($DN27&lt;&gt;$DO27) + $B$19*($DN27=$DO27))</f>
        <v>3.7037037037037035E-4</v>
      </c>
      <c r="EA27" s="10" cm="1">
        <f t="array" aca="1" ref="EA27" ca="1">(1-$B$18)*SUMPRODUCT(OFFSET($BO$15,0,0,$B$14,1), 1*(_xlfn._xlws.FILTER(OFFSET($O$15,0,$DN27,$B$8,1),OFFSET($M$15,0,0,$B$8,1))=EA$13), 1*(_xlfn._xlws.FILTER(OFFSET($O$15,0,$DO27,$B$8,1),OFFSET($M$15,0,0,$B$8,1))=EA$14))   /   SUM(OFFSET($BO$15,0,0,$B$14,1)) + $B$18/($B$19*$B$19*($DN27&lt;&gt;$DO27) + $B$19*($DN27=$DO27))</f>
        <v>3.7037037037037035E-4</v>
      </c>
      <c r="EB27" s="10" cm="1">
        <f t="array" aca="1" ref="EB27" ca="1">(1-$B$18)*SUMPRODUCT(OFFSET($BO$15,0,0,$B$14,1), 1*(_xlfn._xlws.FILTER(OFFSET($O$15,0,$DN27,$B$8,1),OFFSET($M$15,0,0,$B$8,1))=EB$13), 1*(_xlfn._xlws.FILTER(OFFSET($O$15,0,$DO27,$B$8,1),OFFSET($M$15,0,0,$B$8,1))=EB$14))   /   SUM(OFFSET($BO$15,0,0,$B$14,1)) + $B$18/($B$19*$B$19*($DN27&lt;&gt;$DO27) + $B$19*($DN27=$DO27))</f>
        <v>3.7037037037037035E-4</v>
      </c>
      <c r="EC27" s="10" cm="1">
        <f t="array" aca="1" ref="EC27" ca="1">(1-$B$18)*SUMPRODUCT(OFFSET($BO$15,0,0,$B$14,1), 1*(_xlfn._xlws.FILTER(OFFSET($O$15,0,$DN27,$B$8,1),OFFSET($M$15,0,0,$B$8,1))=EC$13), 1*(_xlfn._xlws.FILTER(OFFSET($O$15,0,$DO27,$B$8,1),OFFSET($M$15,0,0,$B$8,1))=EC$14))   /   SUM(OFFSET($BO$15,0,0,$B$14,1)) + $B$18/($B$19*$B$19*($DN27&lt;&gt;$DO27) + $B$19*($DN27=$DO27))</f>
        <v>3.7037037037037035E-4</v>
      </c>
      <c r="ED27" s="10" cm="1">
        <f t="array" aca="1" ref="ED27" ca="1">(1-$B$18)*SUMPRODUCT(OFFSET($BO$15,0,0,$B$14,1), 1*(_xlfn._xlws.FILTER(OFFSET($O$15,0,$DN27,$B$8,1),OFFSET($M$15,0,0,$B$8,1))=ED$13), 1*(_xlfn._xlws.FILTER(OFFSET($O$15,0,$DO27,$B$8,1),OFFSET($M$15,0,0,$B$8,1))=ED$14))   /   SUM(OFFSET($BO$15,0,0,$B$14,1)) + $B$18/($B$19*$B$19*($DN27&lt;&gt;$DO27) + $B$19*($DN27=$DO27))</f>
        <v>3.7037037037037035E-4</v>
      </c>
      <c r="EE27" s="10" cm="1">
        <f t="array" aca="1" ref="EE27" ca="1">(1-$B$18)*SUMPRODUCT(OFFSET($BO$15,0,0,$B$14,1), 1*(_xlfn._xlws.FILTER(OFFSET($O$15,0,$DN27,$B$8,1),OFFSET($M$15,0,0,$B$8,1))=EE$13), 1*(_xlfn._xlws.FILTER(OFFSET($O$15,0,$DO27,$B$8,1),OFFSET($M$15,0,0,$B$8,1))=EE$14))   /   SUM(OFFSET($BO$15,0,0,$B$14,1)) + $B$18/($B$19*$B$19*($DN27&lt;&gt;$DO27) + $B$19*($DN27=$DO27))</f>
        <v>3.7037037037037035E-4</v>
      </c>
      <c r="EF27" s="10" cm="1">
        <f t="array" aca="1" ref="EF27" ca="1">(1-$B$18)*SUMPRODUCT(OFFSET($BO$15,0,0,$B$14,1), 1*(_xlfn._xlws.FILTER(OFFSET($O$15,0,$DN27,$B$8,1),OFFSET($M$15,0,0,$B$8,1))=EF$13), 1*(_xlfn._xlws.FILTER(OFFSET($O$15,0,$DO27,$B$8,1),OFFSET($M$15,0,0,$B$8,1))=EF$14))   /   SUM(OFFSET($BO$15,0,0,$B$14,1)) + $B$18/($B$19*$B$19*($DN27&lt;&gt;$DO27) + $B$19*($DN27=$DO27))</f>
        <v>3.7037037037037035E-4</v>
      </c>
      <c r="EG27" s="10" cm="1">
        <f t="array" aca="1" ref="EG27" ca="1">(1-$B$18)*SUMPRODUCT(OFFSET($BO$15,0,0,$B$14,1), 1*(_xlfn._xlws.FILTER(OFFSET($O$15,0,$DN27,$B$8,1),OFFSET($M$15,0,0,$B$8,1))=EG$13), 1*(_xlfn._xlws.FILTER(OFFSET($O$15,0,$DO27,$B$8,1),OFFSET($M$15,0,0,$B$8,1))=EG$14))   /   SUM(OFFSET($BO$15,0,0,$B$14,1)) + $B$18/($B$19*$B$19*($DN27&lt;&gt;$DO27) + $B$19*($DN27=$DO27))</f>
        <v>3.7037037037037035E-4</v>
      </c>
      <c r="EH27" s="10" cm="1">
        <f t="array" aca="1" ref="EH27" ca="1">(1-$B$18)*SUMPRODUCT(OFFSET($BO$15,0,0,$B$14,1), 1*(_xlfn._xlws.FILTER(OFFSET($O$15,0,$DN27,$B$8,1),OFFSET($M$15,0,0,$B$8,1))=EH$13), 1*(_xlfn._xlws.FILTER(OFFSET($O$15,0,$DO27,$B$8,1),OFFSET($M$15,0,0,$B$8,1))=EH$14))   /   SUM(OFFSET($BO$15,0,0,$B$14,1)) + $B$18/($B$19*$B$19*($DN27&lt;&gt;$DO27) + $B$19*($DN27=$DO27))</f>
        <v>3.7037037037037035E-4</v>
      </c>
      <c r="EI27" s="10" cm="1">
        <f t="array" aca="1" ref="EI27" ca="1">(1-$B$18)*SUMPRODUCT(OFFSET($BO$15,0,0,$B$14,1), 1*(_xlfn._xlws.FILTER(OFFSET($O$15,0,$DN27,$B$8,1),OFFSET($M$15,0,0,$B$8,1))=EI$13), 1*(_xlfn._xlws.FILTER(OFFSET($O$15,0,$DO27,$B$8,1),OFFSET($M$15,0,0,$B$8,1))=EI$14))   /   SUM(OFFSET($BO$15,0,0,$B$14,1)) + $B$18/($B$19*$B$19*($DN27&lt;&gt;$DO27) + $B$19*($DN27=$DO27))</f>
        <v>3.7037037037037035E-4</v>
      </c>
      <c r="EJ27" s="10" cm="1">
        <f t="array" aca="1" ref="EJ27" ca="1">(1-$B$18)*SUMPRODUCT(OFFSET($BO$15,0,0,$B$14,1), 1*(_xlfn._xlws.FILTER(OFFSET($O$15,0,$DN27,$B$8,1),OFFSET($M$15,0,0,$B$8,1))=EJ$13), 1*(_xlfn._xlws.FILTER(OFFSET($O$15,0,$DO27,$B$8,1),OFFSET($M$15,0,0,$B$8,1))=EJ$14))   /   SUM(OFFSET($BO$15,0,0,$B$14,1)) + $B$18/($B$19*$B$19*($DN27&lt;&gt;$DO27) + $B$19*($DN27=$DO27))</f>
        <v>3.7037037037037035E-4</v>
      </c>
      <c r="EK27" s="10" cm="1">
        <f t="array" aca="1" ref="EK27" ca="1">(1-$B$18)*SUMPRODUCT(OFFSET($BO$15,0,0,$B$14,1), 1*(_xlfn._xlws.FILTER(OFFSET($O$15,0,$DN27,$B$8,1),OFFSET($M$15,0,0,$B$8,1))=EK$13), 1*(_xlfn._xlws.FILTER(OFFSET($O$15,0,$DO27,$B$8,1),OFFSET($M$15,0,0,$B$8,1))=EK$14))   /   SUM(OFFSET($BO$15,0,0,$B$14,1)) + $B$18/($B$19*$B$19*($DN27&lt;&gt;$DO27) + $B$19*($DN27=$DO27))</f>
        <v>3.7037037037037035E-4</v>
      </c>
      <c r="EL27" s="10" cm="1">
        <f t="array" aca="1" ref="EL27" ca="1">(1-$B$18)*SUMPRODUCT(OFFSET($BO$15,0,0,$B$14,1), 1*(_xlfn._xlws.FILTER(OFFSET($O$15,0,$DN27,$B$8,1),OFFSET($M$15,0,0,$B$8,1))=EL$13), 1*(_xlfn._xlws.FILTER(OFFSET($O$15,0,$DO27,$B$8,1),OFFSET($M$15,0,0,$B$8,1))=EL$14))   /   SUM(OFFSET($BO$15,0,0,$B$14,1)) + $B$18/($B$19*$B$19*($DN27&lt;&gt;$DO27) + $B$19*($DN27=$DO27))</f>
        <v>3.7037037037037035E-4</v>
      </c>
      <c r="EM27" s="10" cm="1">
        <f t="array" aca="1" ref="EM27" ca="1">(1-$B$18)*SUMPRODUCT(OFFSET($BO$15,0,0,$B$14,1), 1*(_xlfn._xlws.FILTER(OFFSET($O$15,0,$DN27,$B$8,1),OFFSET($M$15,0,0,$B$8,1))=EM$13), 1*(_xlfn._xlws.FILTER(OFFSET($O$15,0,$DO27,$B$8,1),OFFSET($M$15,0,0,$B$8,1))=EM$14))   /   SUM(OFFSET($BO$15,0,0,$B$14,1)) + $B$18/($B$19*$B$19*($DN27&lt;&gt;$DO27) + $B$19*($DN27=$DO27))</f>
        <v>3.7037037037037035E-4</v>
      </c>
      <c r="EN27" s="10" cm="1">
        <f t="array" aca="1" ref="EN27" ca="1">(1-$B$18)*SUMPRODUCT(OFFSET($BO$15,0,0,$B$14,1), 1*(_xlfn._xlws.FILTER(OFFSET($O$15,0,$DN27,$B$8,1),OFFSET($M$15,0,0,$B$8,1))=EN$13), 1*(_xlfn._xlws.FILTER(OFFSET($O$15,0,$DO27,$B$8,1),OFFSET($M$15,0,0,$B$8,1))=EN$14))   /   SUM(OFFSET($BO$15,0,0,$B$14,1)) + $B$18/($B$19*$B$19*($DN27&lt;&gt;$DO27) + $B$19*($DN27=$DO27))</f>
        <v>3.7037037037037035E-4</v>
      </c>
      <c r="EO27" s="10" cm="1">
        <f t="array" aca="1" ref="EO27" ca="1">(1-$B$18)*SUMPRODUCT(OFFSET($BO$15,0,0,$B$14,1), 1*(_xlfn._xlws.FILTER(OFFSET($O$15,0,$DN27,$B$8,1),OFFSET($M$15,0,0,$B$8,1))=EO$13), 1*(_xlfn._xlws.FILTER(OFFSET($O$15,0,$DO27,$B$8,1),OFFSET($M$15,0,0,$B$8,1))=EO$14))   /   SUM(OFFSET($BO$15,0,0,$B$14,1)) + $B$18/($B$19*$B$19*($DN27&lt;&gt;$DO27) + $B$19*($DN27=$DO27))</f>
        <v>3.7037037037037035E-4</v>
      </c>
      <c r="EP27" s="10" cm="1">
        <f t="array" aca="1" ref="EP27" ca="1">(1-$B$18)*SUMPRODUCT(OFFSET($BO$15,0,0,$B$14,1), 1*(_xlfn._xlws.FILTER(OFFSET($O$15,0,$DN27,$B$8,1),OFFSET($M$15,0,0,$B$8,1))=EP$13), 1*(_xlfn._xlws.FILTER(OFFSET($O$15,0,$DO27,$B$8,1),OFFSET($M$15,0,0,$B$8,1))=EP$14))   /   SUM(OFFSET($BO$15,0,0,$B$14,1)) + $B$18/($B$19*$B$19*($DN27&lt;&gt;$DO27) + $B$19*($DN27=$DO27))</f>
        <v>3.7037037037037035E-4</v>
      </c>
      <c r="EQ27" s="10" cm="1">
        <f t="array" aca="1" ref="EQ27" ca="1">(1-$B$18)*SUMPRODUCT(OFFSET($BO$15,0,0,$B$14,1), 1*(_xlfn._xlws.FILTER(OFFSET($O$15,0,$DN27,$B$8,1),OFFSET($M$15,0,0,$B$8,1))=EQ$13), 1*(_xlfn._xlws.FILTER(OFFSET($O$15,0,$DO27,$B$8,1),OFFSET($M$15,0,0,$B$8,1))=EQ$14))   /   SUM(OFFSET($BO$15,0,0,$B$14,1)) + $B$18/($B$19*$B$19*($DN27&lt;&gt;$DO27) + $B$19*($DN27=$DO27))</f>
        <v>3.7037037037037035E-4</v>
      </c>
      <c r="ER27" s="10" cm="1">
        <f t="array" aca="1" ref="ER27" ca="1">(1-$B$18)*SUMPRODUCT(OFFSET($BO$15,0,0,$B$14,1), 1*(_xlfn._xlws.FILTER(OFFSET($O$15,0,$DN27,$B$8,1),OFFSET($M$15,0,0,$B$8,1))=ER$13), 1*(_xlfn._xlws.FILTER(OFFSET($O$15,0,$DO27,$B$8,1),OFFSET($M$15,0,0,$B$8,1))=ER$14))   /   SUM(OFFSET($BO$15,0,0,$B$14,1)) + $B$18/($B$19*$B$19*($DN27&lt;&gt;$DO27) + $B$19*($DN27=$DO27))</f>
        <v>3.7037037037037035E-4</v>
      </c>
      <c r="ES27" s="10" cm="1">
        <f t="array" aca="1" ref="ES27" ca="1">(1-$B$18)*SUMPRODUCT(OFFSET($BO$15,0,0,$B$14,1), 1*(_xlfn._xlws.FILTER(OFFSET($O$15,0,$DN27,$B$8,1),OFFSET($M$15,0,0,$B$8,1))=ES$13), 1*(_xlfn._xlws.FILTER(OFFSET($O$15,0,$DO27,$B$8,1),OFFSET($M$15,0,0,$B$8,1))=ES$14))   /   SUM(OFFSET($BO$15,0,0,$B$14,1)) + $B$18/($B$19*$B$19*($DN27&lt;&gt;$DO27) + $B$19*($DN27=$DO27))</f>
        <v>3.7037037037037035E-4</v>
      </c>
      <c r="ET27" s="10" cm="1">
        <f t="array" aca="1" ref="ET27" ca="1">(1-$B$18)*SUMPRODUCT(OFFSET($BO$15,0,0,$B$14,1), 1*(_xlfn._xlws.FILTER(OFFSET($O$15,0,$DN27,$B$8,1),OFFSET($M$15,0,0,$B$8,1))=ET$13), 1*(_xlfn._xlws.FILTER(OFFSET($O$15,0,$DO27,$B$8,1),OFFSET($M$15,0,0,$B$8,1))=ET$14))   /   SUM(OFFSET($BO$15,0,0,$B$14,1)) + $B$18/($B$19*$B$19*($DN27&lt;&gt;$DO27) + $B$19*($DN27=$DO27))</f>
        <v>3.7037037037037035E-4</v>
      </c>
      <c r="EU27" s="10" cm="1">
        <f t="array" aca="1" ref="EU27" ca="1">(1-$B$18)*SUMPRODUCT(OFFSET($BO$15,0,0,$B$14,1), 1*(_xlfn._xlws.FILTER(OFFSET($O$15,0,$DN27,$B$8,1),OFFSET($M$15,0,0,$B$8,1))=EU$13), 1*(_xlfn._xlws.FILTER(OFFSET($O$15,0,$DO27,$B$8,1),OFFSET($M$15,0,0,$B$8,1))=EU$14))   /   SUM(OFFSET($BO$15,0,0,$B$14,1)) + $B$18/($B$19*$B$19*($DN27&lt;&gt;$DO27) + $B$19*($DN27=$DO27))</f>
        <v>3.7037037037037035E-4</v>
      </c>
      <c r="EV27" s="10" cm="1">
        <f t="array" aca="1" ref="EV27" ca="1">(1-$B$18)*SUMPRODUCT(OFFSET($BO$15,0,0,$B$14,1), 1*(_xlfn._xlws.FILTER(OFFSET($O$15,0,$DN27,$B$8,1),OFFSET($M$15,0,0,$B$8,1))=EV$13), 1*(_xlfn._xlws.FILTER(OFFSET($O$15,0,$DO27,$B$8,1),OFFSET($M$15,0,0,$B$8,1))=EV$14))   /   SUM(OFFSET($BO$15,0,0,$B$14,1)) + $B$18/($B$19*$B$19*($DN27&lt;&gt;$DO27) + $B$19*($DN27=$DO27))</f>
        <v>3.7037037037037035E-4</v>
      </c>
      <c r="EW27" s="10" cm="1">
        <f t="array" aca="1" ref="EW27" ca="1">(1-$B$18)*SUMPRODUCT(OFFSET($BO$15,0,0,$B$14,1), 1*(_xlfn._xlws.FILTER(OFFSET($O$15,0,$DN27,$B$8,1),OFFSET($M$15,0,0,$B$8,1))=EW$13), 1*(_xlfn._xlws.FILTER(OFFSET($O$15,0,$DO27,$B$8,1),OFFSET($M$15,0,0,$B$8,1))=EW$14))   /   SUM(OFFSET($BO$15,0,0,$B$14,1)) + $B$18/($B$19*$B$19*($DN27&lt;&gt;$DO27) + $B$19*($DN27=$DO27))</f>
        <v>3.7037037037037035E-4</v>
      </c>
      <c r="EX27" s="10" cm="1">
        <f t="array" aca="1" ref="EX27" ca="1">(1-$B$18)*SUMPRODUCT(OFFSET($BO$15,0,0,$B$14,1), 1*(_xlfn._xlws.FILTER(OFFSET($O$15,0,$DN27,$B$8,1),OFFSET($M$15,0,0,$B$8,1))=EX$13), 1*(_xlfn._xlws.FILTER(OFFSET($O$15,0,$DO27,$B$8,1),OFFSET($M$15,0,0,$B$8,1))=EX$14))   /   SUM(OFFSET($BO$15,0,0,$B$14,1)) + $B$18/($B$19*$B$19*($DN27&lt;&gt;$DO27) + $B$19*($DN27=$DO27))</f>
        <v>3.7037037037037035E-4</v>
      </c>
      <c r="EY27" s="10" cm="1">
        <f t="array" aca="1" ref="EY27" ca="1">(1-$B$18)*SUMPRODUCT(OFFSET($BO$15,0,0,$B$14,1), 1*(_xlfn._xlws.FILTER(OFFSET($O$15,0,$DN27,$B$8,1),OFFSET($M$15,0,0,$B$8,1))=EY$13), 1*(_xlfn._xlws.FILTER(OFFSET($O$15,0,$DO27,$B$8,1),OFFSET($M$15,0,0,$B$8,1))=EY$14))   /   SUM(OFFSET($BO$15,0,0,$B$14,1)) + $B$18/($B$19*$B$19*($DN27&lt;&gt;$DO27) + $B$19*($DN27=$DO27))</f>
        <v>3.7037037037037035E-4</v>
      </c>
      <c r="EZ27" s="10" cm="1">
        <f t="array" aca="1" ref="EZ27" ca="1">(1-$B$18)*SUMPRODUCT(OFFSET($BO$15,0,0,$B$14,1), 1*(_xlfn._xlws.FILTER(OFFSET($O$15,0,$DN27,$B$8,1),OFFSET($M$15,0,0,$B$8,1))=EZ$13), 1*(_xlfn._xlws.FILTER(OFFSET($O$15,0,$DO27,$B$8,1),OFFSET($M$15,0,0,$B$8,1))=EZ$14))   /   SUM(OFFSET($BO$15,0,0,$B$14,1)) + $B$18/($B$19*$B$19*($DN27&lt;&gt;$DO27) + $B$19*($DN27=$DO27))</f>
        <v>3.7037037037037035E-4</v>
      </c>
      <c r="FA27" s="10" cm="1">
        <f t="array" aca="1" ref="FA27" ca="1">(1-$B$18)*SUMPRODUCT(OFFSET($BO$15,0,0,$B$14,1), 1*(_xlfn._xlws.FILTER(OFFSET($O$15,0,$DN27,$B$8,1),OFFSET($M$15,0,0,$B$8,1))=FA$13), 1*(_xlfn._xlws.FILTER(OFFSET($O$15,0,$DO27,$B$8,1),OFFSET($M$15,0,0,$B$8,1))=FA$14))   /   SUM(OFFSET($BO$15,0,0,$B$14,1)) + $B$18/($B$19*$B$19*($DN27&lt;&gt;$DO27) + $B$19*($DN27=$DO27))</f>
        <v>3.7037037037037035E-4</v>
      </c>
      <c r="FB27" s="10" cm="1">
        <f t="array" aca="1" ref="FB27" ca="1">(1-$B$18)*SUMPRODUCT(OFFSET($BO$15,0,0,$B$14,1), 1*(_xlfn._xlws.FILTER(OFFSET($O$15,0,$DN27,$B$8,1),OFFSET($M$15,0,0,$B$8,1))=FB$13), 1*(_xlfn._xlws.FILTER(OFFSET($O$15,0,$DO27,$B$8,1),OFFSET($M$15,0,0,$B$8,1))=FB$14))   /   SUM(OFFSET($BO$15,0,0,$B$14,1)) + $B$18/($B$19*$B$19*($DN27&lt;&gt;$DO27) + $B$19*($DN27=$DO27))</f>
        <v>3.7037037037037035E-4</v>
      </c>
      <c r="FC27" s="10" cm="1">
        <f t="array" aca="1" ref="FC27" ca="1">(1-$B$18)*SUMPRODUCT(OFFSET($BO$15,0,0,$B$14,1), 1*(_xlfn._xlws.FILTER(OFFSET($O$15,0,$DN27,$B$8,1),OFFSET($M$15,0,0,$B$8,1))=FC$13), 1*(_xlfn._xlws.FILTER(OFFSET($O$15,0,$DO27,$B$8,1),OFFSET($M$15,0,0,$B$8,1))=FC$14))   /   SUM(OFFSET($BO$15,0,0,$B$14,1)) + $B$18/($B$19*$B$19*($DN27&lt;&gt;$DO27) + $B$19*($DN27=$DO27))</f>
        <v>3.7037037037037035E-4</v>
      </c>
      <c r="FD27" s="10" cm="1">
        <f t="array" aca="1" ref="FD27" ca="1">(1-$B$18)*SUMPRODUCT(OFFSET($BO$15,0,0,$B$14,1), 1*(_xlfn._xlws.FILTER(OFFSET($O$15,0,$DN27,$B$8,1),OFFSET($M$15,0,0,$B$8,1))=FD$13), 1*(_xlfn._xlws.FILTER(OFFSET($O$15,0,$DO27,$B$8,1),OFFSET($M$15,0,0,$B$8,1))=FD$14))   /   SUM(OFFSET($BO$15,0,0,$B$14,1)) + $B$18/($B$19*$B$19*($DN27&lt;&gt;$DO27) + $B$19*($DN27=$DO27))</f>
        <v>3.7037037037037035E-4</v>
      </c>
      <c r="FE27" s="10" cm="1">
        <f t="array" aca="1" ref="FE27" ca="1">(1-$B$18)*SUMPRODUCT(OFFSET($BO$15,0,0,$B$14,1), 1*(_xlfn._xlws.FILTER(OFFSET($O$15,0,$DN27,$B$8,1),OFFSET($M$15,0,0,$B$8,1))=FE$13), 1*(_xlfn._xlws.FILTER(OFFSET($O$15,0,$DO27,$B$8,1),OFFSET($M$15,0,0,$B$8,1))=FE$14))   /   SUM(OFFSET($BO$15,0,0,$B$14,1)) + $B$18/($B$19*$B$19*($DN27&lt;&gt;$DO27) + $B$19*($DN27=$DO27))</f>
        <v>3.7037037037037035E-4</v>
      </c>
      <c r="FF27" s="10" cm="1">
        <f t="array" aca="1" ref="FF27" ca="1">(1-$B$18)*SUMPRODUCT(OFFSET($BO$15,0,0,$B$14,1), 1*(_xlfn._xlws.FILTER(OFFSET($O$15,0,$DN27,$B$8,1),OFFSET($M$15,0,0,$B$8,1))=FF$13), 1*(_xlfn._xlws.FILTER(OFFSET($O$15,0,$DO27,$B$8,1),OFFSET($M$15,0,0,$B$8,1))=FF$14))   /   SUM(OFFSET($BO$15,0,0,$B$14,1)) + $B$18/($B$19*$B$19*($DN27&lt;&gt;$DO27) + $B$19*($DN27=$DO27))</f>
        <v>3.7037037037037035E-4</v>
      </c>
      <c r="FG27" s="10" cm="1">
        <f t="array" aca="1" ref="FG27" ca="1">(1-$B$18)*SUMPRODUCT(OFFSET($BO$15,0,0,$B$14,1), 1*(_xlfn._xlws.FILTER(OFFSET($O$15,0,$DN27,$B$8,1),OFFSET($M$15,0,0,$B$8,1))=FG$13), 1*(_xlfn._xlws.FILTER(OFFSET($O$15,0,$DO27,$B$8,1),OFFSET($M$15,0,0,$B$8,1))=FG$14))   /   SUM(OFFSET($BO$15,0,0,$B$14,1)) + $B$18/($B$19*$B$19*($DN27&lt;&gt;$DO27) + $B$19*($DN27=$DO27))</f>
        <v>3.7037037037037035E-4</v>
      </c>
      <c r="FH27" s="10" cm="1">
        <f t="array" aca="1" ref="FH27" ca="1">(1-$B$18)*SUMPRODUCT(OFFSET($BO$15,0,0,$B$14,1), 1*(_xlfn._xlws.FILTER(OFFSET($O$15,0,$DN27,$B$8,1),OFFSET($M$15,0,0,$B$8,1))=FH$13), 1*(_xlfn._xlws.FILTER(OFFSET($O$15,0,$DO27,$B$8,1),OFFSET($M$15,0,0,$B$8,1))=FH$14))   /   SUM(OFFSET($BO$15,0,0,$B$14,1)) + $B$18/($B$19*$B$19*($DN27&lt;&gt;$DO27) + $B$19*($DN27=$DO27))</f>
        <v>3.7037037037037035E-4</v>
      </c>
      <c r="FI27" s="10" cm="1">
        <f t="array" aca="1" ref="FI27" ca="1">(1-$B$18)*SUMPRODUCT(OFFSET($BO$15,0,0,$B$14,1), 1*(_xlfn._xlws.FILTER(OFFSET($O$15,0,$DN27,$B$8,1),OFFSET($M$15,0,0,$B$8,1))=FI$13), 1*(_xlfn._xlws.FILTER(OFFSET($O$15,0,$DO27,$B$8,1),OFFSET($M$15,0,0,$B$8,1))=FI$14))   /   SUM(OFFSET($BO$15,0,0,$B$14,1)) + $B$18/($B$19*$B$19*($DN27&lt;&gt;$DO27) + $B$19*($DN27=$DO27))</f>
        <v>3.7037037037037035E-4</v>
      </c>
      <c r="FJ27" s="10" cm="1">
        <f t="array" aca="1" ref="FJ27" ca="1">(1-$B$18)*SUMPRODUCT(OFFSET($BO$15,0,0,$B$14,1), 1*(_xlfn._xlws.FILTER(OFFSET($O$15,0,$DN27,$B$8,1),OFFSET($M$15,0,0,$B$8,1))=FJ$13), 1*(_xlfn._xlws.FILTER(OFFSET($O$15,0,$DO27,$B$8,1),OFFSET($M$15,0,0,$B$8,1))=FJ$14))   /   SUM(OFFSET($BO$15,0,0,$B$14,1)) + $B$18/($B$19*$B$19*($DN27&lt;&gt;$DO27) + $B$19*($DN27=$DO27))</f>
        <v>3.7037037037037035E-4</v>
      </c>
      <c r="FK27" s="10" cm="1">
        <f t="array" aca="1" ref="FK27" ca="1">(1-$B$18)*SUMPRODUCT(OFFSET($BO$15,0,0,$B$14,1), 1*(_xlfn._xlws.FILTER(OFFSET($O$15,0,$DN27,$B$8,1),OFFSET($M$15,0,0,$B$8,1))=FK$13), 1*(_xlfn._xlws.FILTER(OFFSET($O$15,0,$DO27,$B$8,1),OFFSET($M$15,0,0,$B$8,1))=FK$14))   /   SUM(OFFSET($BO$15,0,0,$B$14,1)) + $B$18/($B$19*$B$19*($DN27&lt;&gt;$DO27) + $B$19*($DN27=$DO27))</f>
        <v>3.7037037037037035E-4</v>
      </c>
      <c r="FL27" s="10" cm="1">
        <f t="array" aca="1" ref="FL27" ca="1">(1-$B$18)*SUMPRODUCT(OFFSET($BO$15,0,0,$B$14,1), 1*(_xlfn._xlws.FILTER(OFFSET($O$15,0,$DN27,$B$8,1),OFFSET($M$15,0,0,$B$8,1))=FL$13), 1*(_xlfn._xlws.FILTER(OFFSET($O$15,0,$DO27,$B$8,1),OFFSET($M$15,0,0,$B$8,1))=FL$14))   /   SUM(OFFSET($BO$15,0,0,$B$14,1)) + $B$18/($B$19*$B$19*($DN27&lt;&gt;$DO27) + $B$19*($DN27=$DO27))</f>
        <v>3.7037037037037035E-4</v>
      </c>
      <c r="FM27" s="10" cm="1">
        <f t="array" aca="1" ref="FM27" ca="1">(1-$B$18)*SUMPRODUCT(OFFSET($BO$15,0,0,$B$14,1), 1*(_xlfn._xlws.FILTER(OFFSET($O$15,0,$DN27,$B$8,1),OFFSET($M$15,0,0,$B$8,1))=FM$13), 1*(_xlfn._xlws.FILTER(OFFSET($O$15,0,$DO27,$B$8,1),OFFSET($M$15,0,0,$B$8,1))=FM$14))   /   SUM(OFFSET($BO$15,0,0,$B$14,1)) + $B$18/($B$19*$B$19*($DN27&lt;&gt;$DO27) + $B$19*($DN27=$DO27))</f>
        <v>0.97037037037037033</v>
      </c>
      <c r="FN27" s="10" cm="1">
        <f t="array" aca="1" ref="FN27" ca="1">(1-$B$18)*SUMPRODUCT(OFFSET($BO$15,0,0,$B$14,1), 1*(_xlfn._xlws.FILTER(OFFSET($O$15,0,$DN27,$B$8,1),OFFSET($M$15,0,0,$B$8,1))=FN$13), 1*(_xlfn._xlws.FILTER(OFFSET($O$15,0,$DO27,$B$8,1),OFFSET($M$15,0,0,$B$8,1))=FN$14))   /   SUM(OFFSET($BO$15,0,0,$B$14,1)) + $B$18/($B$19*$B$19*($DN27&lt;&gt;$DO27) + $B$19*($DN27=$DO27))</f>
        <v>3.7037037037037035E-4</v>
      </c>
      <c r="FO27" s="10" cm="1">
        <f t="array" aca="1" ref="FO27" ca="1">(1-$B$18)*SUMPRODUCT(OFFSET($BO$15,0,0,$B$14,1), 1*(_xlfn._xlws.FILTER(OFFSET($O$15,0,$DN27,$B$8,1),OFFSET($M$15,0,0,$B$8,1))=FO$13), 1*(_xlfn._xlws.FILTER(OFFSET($O$15,0,$DO27,$B$8,1),OFFSET($M$15,0,0,$B$8,1))=FO$14))   /   SUM(OFFSET($BO$15,0,0,$B$14,1)) + $B$18/($B$19*$B$19*($DN27&lt;&gt;$DO27) + $B$19*($DN27=$DO27))</f>
        <v>3.7037037037037035E-4</v>
      </c>
      <c r="FP27" s="10" cm="1">
        <f t="array" aca="1" ref="FP27" ca="1">(1-$B$18)*SUMPRODUCT(OFFSET($BO$15,0,0,$B$14,1), 1*(_xlfn._xlws.FILTER(OFFSET($O$15,0,$DN27,$B$8,1),OFFSET($M$15,0,0,$B$8,1))=FP$13), 1*(_xlfn._xlws.FILTER(OFFSET($O$15,0,$DO27,$B$8,1),OFFSET($M$15,0,0,$B$8,1))=FP$14))   /   SUM(OFFSET($BO$15,0,0,$B$14,1)) + $B$18/($B$19*$B$19*($DN27&lt;&gt;$DO27) + $B$19*($DN27=$DO27))</f>
        <v>3.7037037037037035E-4</v>
      </c>
      <c r="FQ27" s="10" cm="1">
        <f t="array" aca="1" ref="FQ27" ca="1">(1-$B$18)*SUMPRODUCT(OFFSET($BO$15,0,0,$B$14,1), 1*(_xlfn._xlws.FILTER(OFFSET($O$15,0,$DN27,$B$8,1),OFFSET($M$15,0,0,$B$8,1))=FQ$13), 1*(_xlfn._xlws.FILTER(OFFSET($O$15,0,$DO27,$B$8,1),OFFSET($M$15,0,0,$B$8,1))=FQ$14))   /   SUM(OFFSET($BO$15,0,0,$B$14,1)) + $B$18/($B$19*$B$19*($DN27&lt;&gt;$DO27) + $B$19*($DN27=$DO27))</f>
        <v>3.7037037037037035E-4</v>
      </c>
      <c r="FR27" s="10" cm="1">
        <f t="array" aca="1" ref="FR27" ca="1">(1-$B$18)*SUMPRODUCT(OFFSET($BO$15,0,0,$B$14,1), 1*(_xlfn._xlws.FILTER(OFFSET($O$15,0,$DN27,$B$8,1),OFFSET($M$15,0,0,$B$8,1))=FR$13), 1*(_xlfn._xlws.FILTER(OFFSET($O$15,0,$DO27,$B$8,1),OFFSET($M$15,0,0,$B$8,1))=FR$14))   /   SUM(OFFSET($BO$15,0,0,$B$14,1)) + $B$18/($B$19*$B$19*($DN27&lt;&gt;$DO27) + $B$19*($DN27=$DO27))</f>
        <v>3.7037037037037035E-4</v>
      </c>
      <c r="FS27" s="10" cm="1">
        <f t="array" aca="1" ref="FS27" ca="1">(1-$B$18)*SUMPRODUCT(OFFSET($BO$15,0,0,$B$14,1), 1*(_xlfn._xlws.FILTER(OFFSET($O$15,0,$DN27,$B$8,1),OFFSET($M$15,0,0,$B$8,1))=FS$13), 1*(_xlfn._xlws.FILTER(OFFSET($O$15,0,$DO27,$B$8,1),OFFSET($M$15,0,0,$B$8,1))=FS$14))   /   SUM(OFFSET($BO$15,0,0,$B$14,1)) + $B$18/($B$19*$B$19*($DN27&lt;&gt;$DO27) + $B$19*($DN27=$DO27))</f>
        <v>3.7037037037037035E-4</v>
      </c>
      <c r="FT27" s="10" cm="1">
        <f t="array" aca="1" ref="FT27" ca="1">(1-$B$18)*SUMPRODUCT(OFFSET($BO$15,0,0,$B$14,1), 1*(_xlfn._xlws.FILTER(OFFSET($O$15,0,$DN27,$B$8,1),OFFSET($M$15,0,0,$B$8,1))=FT$13), 1*(_xlfn._xlws.FILTER(OFFSET($O$15,0,$DO27,$B$8,1),OFFSET($M$15,0,0,$B$8,1))=FT$14))   /   SUM(OFFSET($BO$15,0,0,$B$14,1)) + $B$18/($B$19*$B$19*($DN27&lt;&gt;$DO27) + $B$19*($DN27=$DO27))</f>
        <v>3.7037037037037035E-4</v>
      </c>
      <c r="FU27" s="10" cm="1">
        <f t="array" aca="1" ref="FU27" ca="1">(1-$B$18)*SUMPRODUCT(OFFSET($BO$15,0,0,$B$14,1), 1*(_xlfn._xlws.FILTER(OFFSET($O$15,0,$DN27,$B$8,1),OFFSET($M$15,0,0,$B$8,1))=FU$13), 1*(_xlfn._xlws.FILTER(OFFSET($O$15,0,$DO27,$B$8,1),OFFSET($M$15,0,0,$B$8,1))=FU$14))   /   SUM(OFFSET($BO$15,0,0,$B$14,1)) + $B$18/($B$19*$B$19*($DN27&lt;&gt;$DO27) + $B$19*($DN27=$DO27))</f>
        <v>3.7037037037037035E-4</v>
      </c>
      <c r="FV27" s="10" cm="1">
        <f t="array" aca="1" ref="FV27" ca="1">(1-$B$18)*SUMPRODUCT(OFFSET($BO$15,0,0,$B$14,1), 1*(_xlfn._xlws.FILTER(OFFSET($O$15,0,$DN27,$B$8,1),OFFSET($M$15,0,0,$B$8,1))=FV$13), 1*(_xlfn._xlws.FILTER(OFFSET($O$15,0,$DO27,$B$8,1),OFFSET($M$15,0,0,$B$8,1))=FV$14))   /   SUM(OFFSET($BO$15,0,0,$B$14,1)) + $B$18/($B$19*$B$19*($DN27&lt;&gt;$DO27) + $B$19*($DN27=$DO27))</f>
        <v>3.7037037037037035E-4</v>
      </c>
      <c r="FW27" s="10" cm="1">
        <f t="array" aca="1" ref="FW27" ca="1">(1-$B$18)*SUMPRODUCT(OFFSET($BO$15,0,0,$B$14,1), 1*(_xlfn._xlws.FILTER(OFFSET($O$15,0,$DN27,$B$8,1),OFFSET($M$15,0,0,$B$8,1))=FW$13), 1*(_xlfn._xlws.FILTER(OFFSET($O$15,0,$DO27,$B$8,1),OFFSET($M$15,0,0,$B$8,1))=FW$14))   /   SUM(OFFSET($BO$15,0,0,$B$14,1)) + $B$18/($B$19*$B$19*($DN27&lt;&gt;$DO27) + $B$19*($DN27=$DO27))</f>
        <v>3.7037037037037035E-4</v>
      </c>
      <c r="FX27" s="10" cm="1">
        <f t="array" aca="1" ref="FX27" ca="1">(1-$B$18)*SUMPRODUCT(OFFSET($BO$15,0,0,$B$14,1), 1*(_xlfn._xlws.FILTER(OFFSET($O$15,0,$DN27,$B$8,1),OFFSET($M$15,0,0,$B$8,1))=FX$13), 1*(_xlfn._xlws.FILTER(OFFSET($O$15,0,$DO27,$B$8,1),OFFSET($M$15,0,0,$B$8,1))=FX$14))   /   SUM(OFFSET($BO$15,0,0,$B$14,1)) + $B$18/($B$19*$B$19*($DN27&lt;&gt;$DO27) + $B$19*($DN27=$DO27))</f>
        <v>3.7037037037037035E-4</v>
      </c>
      <c r="FY27" s="10" cm="1">
        <f t="array" aca="1" ref="FY27" ca="1">(1-$B$18)*SUMPRODUCT(OFFSET($BO$15,0,0,$B$14,1), 1*(_xlfn._xlws.FILTER(OFFSET($O$15,0,$DN27,$B$8,1),OFFSET($M$15,0,0,$B$8,1))=FY$13), 1*(_xlfn._xlws.FILTER(OFFSET($O$15,0,$DO27,$B$8,1),OFFSET($M$15,0,0,$B$8,1))=FY$14))   /   SUM(OFFSET($BO$15,0,0,$B$14,1)) + $B$18/($B$19*$B$19*($DN27&lt;&gt;$DO27) + $B$19*($DN27=$DO27))</f>
        <v>3.7037037037037035E-4</v>
      </c>
      <c r="FZ27" s="10" cm="1">
        <f t="array" aca="1" ref="FZ27" ca="1">(1-$B$18)*SUMPRODUCT(OFFSET($BO$15,0,0,$B$14,1), 1*(_xlfn._xlws.FILTER(OFFSET($O$15,0,$DN27,$B$8,1),OFFSET($M$15,0,0,$B$8,1))=FZ$13), 1*(_xlfn._xlws.FILTER(OFFSET($O$15,0,$DO27,$B$8,1),OFFSET($M$15,0,0,$B$8,1))=FZ$14))   /   SUM(OFFSET($BO$15,0,0,$B$14,1)) + $B$18/($B$19*$B$19*($DN27&lt;&gt;$DO27) + $B$19*($DN27=$DO27))</f>
        <v>3.7037037037037035E-4</v>
      </c>
      <c r="GA27" s="10" cm="1">
        <f t="array" aca="1" ref="GA27" ca="1">(1-$B$18)*SUMPRODUCT(OFFSET($BO$15,0,0,$B$14,1), 1*(_xlfn._xlws.FILTER(OFFSET($O$15,0,$DN27,$B$8,1),OFFSET($M$15,0,0,$B$8,1))=GA$13), 1*(_xlfn._xlws.FILTER(OFFSET($O$15,0,$DO27,$B$8,1),OFFSET($M$15,0,0,$B$8,1))=GA$14))   /   SUM(OFFSET($BO$15,0,0,$B$14,1)) + $B$18/($B$19*$B$19*($DN27&lt;&gt;$DO27) + $B$19*($DN27=$DO27))</f>
        <v>3.7037037037037035E-4</v>
      </c>
    </row>
    <row r="28" spans="1:183" x14ac:dyDescent="0.2">
      <c r="D28" s="10">
        <f ca="1"/>
        <v>14</v>
      </c>
      <c r="F28" s="10">
        <f ca="1"/>
        <v>0.1</v>
      </c>
      <c r="H28" s="10">
        <f ca="1"/>
        <v>14</v>
      </c>
      <c r="J28" cm="1">
        <f t="array" aca="1" ref="J28" ca="1">SUMPRODUCT((O28:AJ28=$O$11:$AJ$11)*(O$13:AJ$13=TRUE))  / COUNTIF(O$13:AJ$13,TRUE)</f>
        <v>1</v>
      </c>
      <c r="K28" t="b">
        <f t="shared" ca="1" si="4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5"/>
        <v>1</v>
      </c>
      <c r="N28" s="2">
        <v>13</v>
      </c>
      <c r="O28" s="12" t="s">
        <v>11</v>
      </c>
      <c r="P28" s="9" t="s">
        <v>11</v>
      </c>
      <c r="Q28" s="9" t="s">
        <v>11</v>
      </c>
      <c r="R28" s="9" t="s">
        <v>11</v>
      </c>
      <c r="S28" s="9" t="s">
        <v>11</v>
      </c>
      <c r="T28" s="12" t="s">
        <v>11</v>
      </c>
      <c r="U28" s="9" t="s">
        <v>11</v>
      </c>
      <c r="V28" s="9" t="s">
        <v>11</v>
      </c>
      <c r="W28" s="9" t="s">
        <v>11</v>
      </c>
      <c r="X28" s="9" t="s">
        <v>11</v>
      </c>
      <c r="Y28" s="12" t="s">
        <v>0</v>
      </c>
      <c r="Z28" s="9" t="s">
        <v>0</v>
      </c>
      <c r="AA28" s="9" t="s">
        <v>1</v>
      </c>
      <c r="AB28" s="9" t="s">
        <v>1</v>
      </c>
      <c r="AC28" s="9" t="s">
        <v>2</v>
      </c>
      <c r="AD28" s="12" t="s">
        <v>2</v>
      </c>
      <c r="AE28" s="9" t="s">
        <v>5</v>
      </c>
      <c r="AF28" s="9" t="s">
        <v>5</v>
      </c>
      <c r="AG28" s="9" t="s">
        <v>3</v>
      </c>
      <c r="AH28" s="9" t="s">
        <v>3</v>
      </c>
      <c r="AI28" s="12" t="s">
        <v>4</v>
      </c>
      <c r="AJ28" s="9" t="s">
        <v>4</v>
      </c>
      <c r="AK28" s="7"/>
      <c r="AN28">
        <f t="shared" ca="1" si="6"/>
        <v>3</v>
      </c>
      <c r="AO28" s="14">
        <f t="shared" ca="1" si="7"/>
        <v>0.33333333333333331</v>
      </c>
      <c r="AP28" s="2">
        <f ca="1"/>
        <v>14</v>
      </c>
      <c r="AQ28" cm="1">
        <f t="array" aca="1" ref="AQ28" ca="1">IF($AP28=AQ$14, 1, SUMPRODUCT(
    --(OFFSET($O$13,0,0,1,$B$9)=TRUE),
    --(INDEX(OFFSET($O$15,0,0,$B$8,$B$9), 1+$AP28, 0) = INDEX(OFFSET($O$15,0,0,$B$8,$B$9), 1+AQ$14, 0))
) / $B$13)</f>
        <v>0.85</v>
      </c>
      <c r="AR28" cm="1">
        <f t="array" aca="1" ref="AR28" ca="1">IF($AP28=AR$14, 1, SUMPRODUCT(
    --(OFFSET($O$13,0,0,1,$B$9)=TRUE),
    --(INDEX(OFFSET($O$15,0,0,$B$8,$B$9), 1+$AP28, 0) = INDEX(OFFSET($O$15,0,0,$B$8,$B$9), 1+AR$14, 0))
) / $B$13)</f>
        <v>0.95</v>
      </c>
      <c r="AS28" cm="1">
        <f t="array" aca="1" ref="AS28" ca="1">IF($AP28=AS$14, 1, SUMPRODUCT(
    --(OFFSET($O$13,0,0,1,$B$9)=TRUE),
    --(INDEX(OFFSET($O$15,0,0,$B$8,$B$9), 1+$AP28, 0) = INDEX(OFFSET($O$15,0,0,$B$8,$B$9), 1+AS$14, 0))
) / $B$13)</f>
        <v>0.85</v>
      </c>
      <c r="AT28" cm="1">
        <f t="array" aca="1" ref="AT28" ca="1">IF($AP28=AT$14, 1, SUMPRODUCT(
    --(OFFSET($O$13,0,0,1,$B$9)=TRUE),
    --(INDEX(OFFSET($O$15,0,0,$B$8,$B$9), 1+$AP28, 0) = INDEX(OFFSET($O$15,0,0,$B$8,$B$9), 1+AT$14, 0))
) / $B$13)</f>
        <v>0.85</v>
      </c>
      <c r="AU28" cm="1">
        <f t="array" aca="1" ref="AU28" ca="1">IF($AP28=AU$14, 1, SUMPRODUCT(
    --(OFFSET($O$13,0,0,1,$B$9)=TRUE),
    --(INDEX(OFFSET($O$15,0,0,$B$8,$B$9), 1+$AP28, 0) = INDEX(OFFSET($O$15,0,0,$B$8,$B$9), 1+AU$14, 0))
) / $B$13)</f>
        <v>0.85</v>
      </c>
      <c r="AV28" cm="1">
        <f t="array" aca="1" ref="AV28" ca="1">IF($AP28=AV$14, 1, SUMPRODUCT(
    --(OFFSET($O$13,0,0,1,$B$9)=TRUE),
    --(INDEX(OFFSET($O$15,0,0,$B$8,$B$9), 1+$AP28, 0) = INDEX(OFFSET($O$15,0,0,$B$8,$B$9), 1+AV$14, 0))
) / $B$13)</f>
        <v>0.95</v>
      </c>
      <c r="AW28" cm="1">
        <f t="array" aca="1" ref="AW28" ca="1">IF($AP28=AW$14, 1, SUMPRODUCT(
    --(OFFSET($O$13,0,0,1,$B$9)=TRUE),
    --(INDEX(OFFSET($O$15,0,0,$B$8,$B$9), 1+$AP28, 0) = INDEX(OFFSET($O$15,0,0,$B$8,$B$9), 1+AW$14, 0))
) / $B$13)</f>
        <v>0.8</v>
      </c>
      <c r="AX28" cm="1">
        <f t="array" aca="1" ref="AX28" ca="1">IF($AP28=AX$14, 1, SUMPRODUCT(
    --(OFFSET($O$13,0,0,1,$B$9)=TRUE),
    --(INDEX(OFFSET($O$15,0,0,$B$8,$B$9), 1+$AP28, 0) = INDEX(OFFSET($O$15,0,0,$B$8,$B$9), 1+AX$14, 0))
) / $B$13)</f>
        <v>0.8</v>
      </c>
      <c r="AY28" cm="1">
        <f t="array" aca="1" ref="AY28" ca="1">IF($AP28=AY$14, 1, SUMPRODUCT(
    --(OFFSET($O$13,0,0,1,$B$9)=TRUE),
    --(INDEX(OFFSET($O$15,0,0,$B$8,$B$9), 1+$AP28, 0) = INDEX(OFFSET($O$15,0,0,$B$8,$B$9), 1+AY$14, 0))
) / $B$13)</f>
        <v>0.95</v>
      </c>
      <c r="AZ28" cm="1">
        <f t="array" aca="1" ref="AZ28" ca="1">IF($AP28=AZ$14, 1, SUMPRODUCT(
    --(OFFSET($O$13,0,0,1,$B$9)=TRUE),
    --(INDEX(OFFSET($O$15,0,0,$B$8,$B$9), 1+$AP28, 0) = INDEX(OFFSET($O$15,0,0,$B$8,$B$9), 1+AZ$14, 0))
) / $B$13)</f>
        <v>0.95</v>
      </c>
      <c r="BA28" cm="1">
        <f t="array" aca="1" ref="BA28" ca="1">IF($AP28=BA$14, 1, SUMPRODUCT(
    --(OFFSET($O$13,0,0,1,$B$9)=TRUE),
    --(INDEX(OFFSET($O$15,0,0,$B$8,$B$9), 1+$AP28, 0) = INDEX(OFFSET($O$15,0,0,$B$8,$B$9), 1+BA$14, 0))
) / $B$13)</f>
        <v>0.95</v>
      </c>
      <c r="BB28" cm="1">
        <f t="array" aca="1" ref="BB28" ca="1">IF($AP28=BB$14, 1, SUMPRODUCT(
    --(OFFSET($O$13,0,0,1,$B$9)=TRUE),
    --(INDEX(OFFSET($O$15,0,0,$B$8,$B$9), 1+$AP28, 0) = INDEX(OFFSET($O$15,0,0,$B$8,$B$9), 1+BB$14, 0))
) / $B$13)</f>
        <v>0.95</v>
      </c>
      <c r="BC28" cm="1">
        <f t="array" aca="1" ref="BC28" ca="1">IF($AP28=BC$14, 1, SUMPRODUCT(
    --(OFFSET($O$13,0,0,1,$B$9)=TRUE),
    --(INDEX(OFFSET($O$15,0,0,$B$8,$B$9), 1+$AP28, 0) = INDEX(OFFSET($O$15,0,0,$B$8,$B$9), 1+BC$14, 0))
) / $B$13)</f>
        <v>0.95</v>
      </c>
      <c r="BD28" cm="1">
        <f t="array" aca="1" ref="BD28" ca="1">IF($AP28=BD$14, 1, SUMPRODUCT(
    --(OFFSET($O$13,0,0,1,$B$9)=TRUE),
    --(INDEX(OFFSET($O$15,0,0,$B$8,$B$9), 1+$AP28, 0) = INDEX(OFFSET($O$15,0,0,$B$8,$B$9), 1+BD$14, 0))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
) / $B$13)</f>
        <v>0.85</v>
      </c>
      <c r="BF28" cm="1">
        <f t="array" aca="1" ref="BF28" ca="1">IF($AP28=BF$14, 1, SUMPRODUCT(
    --(OFFSET($O$13,0,0,1,$B$9)=TRUE),
    --(INDEX(OFFSET($O$15,0,0,$B$8,$B$9), 1+$AP28, 0) = INDEX(OFFSET($O$15,0,0,$B$8,$B$9), 1+BF$14, 0))
) / $B$13)</f>
        <v>0.85</v>
      </c>
      <c r="BG28" cm="1">
        <f t="array" aca="1" ref="BG28" ca="1">IF($AP28=BG$14, 1, SUMPRODUCT(
    --(OFFSET($O$13,0,0,1,$B$9)=TRUE),
    --(INDEX(OFFSET($O$15,0,0,$B$8,$B$9), 1+$AP28, 0) = INDEX(OFFSET($O$15,0,0,$B$8,$B$9), 1+BG$14, 0))
) / $B$13)</f>
        <v>1</v>
      </c>
      <c r="BH28" cm="1">
        <f t="array" aca="1" ref="BH28" ca="1">IF($AP28=BH$14, 1, SUMPRODUCT(
    --(OFFSET($O$13,0,0,1,$B$9)=TRUE),
    --(INDEX(OFFSET($O$15,0,0,$B$8,$B$9), 1+$AP28, 0) = INDEX(OFFSET($O$15,0,0,$B$8,$B$9), 1+BH$14, 0))
) / $B$13)</f>
        <v>0.85</v>
      </c>
      <c r="BI28" cm="1">
        <f t="array" aca="1" ref="BI28" ca="1">IF($AP28=BI$14, 1, SUMPRODUCT(
    --(OFFSET($O$13,0,0,1,$B$9)=TRUE),
    --(INDEX(OFFSET($O$15,0,0,$B$8,$B$9), 1+$AP28, 0) = INDEX(OFFSET($O$15,0,0,$B$8,$B$9), 1+BI$14, 0))
) / $B$13)</f>
        <v>1</v>
      </c>
      <c r="BJ28" cm="1">
        <f t="array" aca="1" ref="BJ28" ca="1">IF($AP28=BJ$14, 1, SUMPRODUCT(
    --(OFFSET($O$13,0,0,1,$B$9)=TRUE),
    --(INDEX(OFFSET($O$15,0,0,$B$8,$B$9), 1+$AP28, 0) = INDEX(OFFSET($O$15,0,0,$B$8,$B$9), 1+BJ$14, 0))
) / $B$13)</f>
        <v>0.8</v>
      </c>
      <c r="BN28">
        <f t="shared" ca="1" si="8"/>
        <v>10</v>
      </c>
      <c r="BO28" s="14">
        <f t="shared" ca="1" si="9"/>
        <v>0.1</v>
      </c>
      <c r="BP28" s="2">
        <f ca="1"/>
        <v>14</v>
      </c>
      <c r="BQ28" cm="1">
        <f t="array" aca="1" ref="BQ28" ca="1">IF($BP28=BQ$14, 1, SUMPRODUCT(
    --(OFFSET($O$9,0,0,1,$B$9)=TRUE),
    --(INDEX(OFFSET($O$15,0,0,$B$8,$B$9), 1+$BP28, 0) = INDEX(OFFSET($O$15,0,0,$B$8,$B$9), 1+BQ$14, 0))
) / $B$16)</f>
        <v>0.89473684210526316</v>
      </c>
      <c r="BR28" cm="1">
        <f t="array" aca="1" ref="BR28" ca="1">IF($BP28=BR$14, 1, SUMPRODUCT(
    --(OFFSET($O$9,0,0,1,$B$9)=TRUE),
    --(INDEX(OFFSET($O$15,0,0,$B$8,$B$9), 1+$BP28, 0) = INDEX(OFFSET($O$15,0,0,$B$8,$B$9), 1+BR$14, 0))
) / $B$16)</f>
        <v>1</v>
      </c>
      <c r="BS28" cm="1">
        <f t="array" aca="1" ref="BS28" ca="1">IF($BP28=BS$14, 1, SUMPRODUCT(
    --(OFFSET($O$9,0,0,1,$B$9)=TRUE),
    --(INDEX(OFFSET($O$15,0,0,$B$8,$B$9), 1+$BP28, 0) = INDEX(OFFSET($O$15,0,0,$B$8,$B$9), 1+BS$14, 0))
) / $B$16)</f>
        <v>0.89473684210526316</v>
      </c>
      <c r="BT28" cm="1">
        <f t="array" aca="1" ref="BT28" ca="1">IF($BP28=BT$14, 1, SUMPRODUCT(
    --(OFFSET($O$9,0,0,1,$B$9)=TRUE),
    --(INDEX(OFFSET($O$15,0,0,$B$8,$B$9), 1+$BP28, 0) = INDEX(OFFSET($O$15,0,0,$B$8,$B$9), 1+BT$14, 0))
) / $B$16)</f>
        <v>0.89473684210526316</v>
      </c>
      <c r="BU28" cm="1">
        <f t="array" aca="1" ref="BU28" ca="1">IF($BP28=BU$14, 1, SUMPRODUCT(
    --(OFFSET($O$9,0,0,1,$B$9)=TRUE),
    --(INDEX(OFFSET($O$15,0,0,$B$8,$B$9), 1+$BP28, 0) = INDEX(OFFSET($O$15,0,0,$B$8,$B$9), 1+BU$14, 0))
) / $B$16)</f>
        <v>0.89473684210526316</v>
      </c>
      <c r="BV28" cm="1">
        <f t="array" aca="1" ref="BV28" ca="1">IF($BP28=BV$14, 1, SUMPRODUCT(
    --(OFFSET($O$9,0,0,1,$B$9)=TRUE),
    --(INDEX(OFFSET($O$15,0,0,$B$8,$B$9), 1+$BP28, 0) = INDEX(OFFSET($O$15,0,0,$B$8,$B$9), 1+BV$14, 0))
) / $B$16)</f>
        <v>1</v>
      </c>
      <c r="BW28" cm="1">
        <f t="array" aca="1" ref="BW28" ca="1">IF($BP28=BW$14, 1, SUMPRODUCT(
    --(OFFSET($O$9,0,0,1,$B$9)=TRUE),
    --(INDEX(OFFSET($O$15,0,0,$B$8,$B$9), 1+$BP28, 0) = INDEX(OFFSET($O$15,0,0,$B$8,$B$9), 1+BW$14, 0))
) / $B$16)</f>
        <v>0.84210526315789469</v>
      </c>
      <c r="BX28" cm="1">
        <f t="array" aca="1" ref="BX28" ca="1">IF($BP28=BX$14, 1, SUMPRODUCT(
    --(OFFSET($O$9,0,0,1,$B$9)=TRUE),
    --(INDEX(OFFSET($O$15,0,0,$B$8,$B$9), 1+$BP28, 0) = INDEX(OFFSET($O$15,0,0,$B$8,$B$9), 1+BX$14, 0))
) / $B$16)</f>
        <v>0.84210526315789469</v>
      </c>
      <c r="BY28" cm="1">
        <f t="array" aca="1" ref="BY28" ca="1">IF($BP28=BY$14, 1, SUMPRODUCT(
    --(OFFSET($O$9,0,0,1,$B$9)=TRUE),
    --(INDEX(OFFSET($O$15,0,0,$B$8,$B$9), 1+$BP28, 0) = INDEX(OFFSET($O$15,0,0,$B$8,$B$9), 1+BY$14, 0))
) / $B$16)</f>
        <v>1</v>
      </c>
      <c r="BZ28" cm="1">
        <f t="array" aca="1" ref="BZ28" ca="1">IF($BP28=BZ$14, 1, SUMPRODUCT(
    --(OFFSET($O$9,0,0,1,$B$9)=TRUE),
    --(INDEX(OFFSET($O$15,0,0,$B$8,$B$9), 1+$BP28, 0) = INDEX(OFFSET($O$15,0,0,$B$8,$B$9), 1+BZ$14, 0))
) / $B$16)</f>
        <v>1</v>
      </c>
      <c r="CA28" cm="1">
        <f t="array" aca="1" ref="CA28" ca="1">IF($BP28=CA$14, 1, SUMPRODUCT(
    --(OFFSET($O$9,0,0,1,$B$9)=TRUE),
    --(INDEX(OFFSET($O$15,0,0,$B$8,$B$9), 1+$BP28, 0) = INDEX(OFFSET($O$15,0,0,$B$8,$B$9), 1+CA$14, 0))
) / $B$16)</f>
        <v>1</v>
      </c>
      <c r="CB28" cm="1">
        <f t="array" aca="1" ref="CB28" ca="1">IF($BP28=CB$14, 1, SUMPRODUCT(
    --(OFFSET($O$9,0,0,1,$B$9)=TRUE),
    --(INDEX(OFFSET($O$15,0,0,$B$8,$B$9), 1+$BP28, 0) = INDEX(OFFSET($O$15,0,0,$B$8,$B$9), 1+CB$14, 0))
) / $B$16)</f>
        <v>1</v>
      </c>
      <c r="CC28" cm="1">
        <f t="array" aca="1" ref="CC28" ca="1">IF($BP28=CC$14, 1, SUMPRODUCT(
    --(OFFSET($O$9,0,0,1,$B$9)=TRUE),
    --(INDEX(OFFSET($O$15,0,0,$B$8,$B$9), 1+$BP28, 0) = INDEX(OFFSET($O$15,0,0,$B$8,$B$9), 1+CC$14, 0))
) / $B$16)</f>
        <v>1</v>
      </c>
      <c r="CD28" cm="1">
        <f t="array" aca="1" ref="CD28" ca="1">IF($BP28=CD$14, 1, SUMPRODUCT(
    --(OFFSET($O$9,0,0,1,$B$9)=TRUE),
    --(INDEX(OFFSET($O$15,0,0,$B$8,$B$9), 1+$BP28, 0) = INDEX(OFFSET($O$15,0,0,$B$8,$B$9), 1+CD$14, 0))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
) / $B$16)</f>
        <v>0.84210526315789469</v>
      </c>
      <c r="CF28" cm="1">
        <f t="array" aca="1" ref="CF28" ca="1">IF($BP28=CF$14, 1, SUMPRODUCT(
    --(OFFSET($O$9,0,0,1,$B$9)=TRUE),
    --(INDEX(OFFSET($O$15,0,0,$B$8,$B$9), 1+$BP28, 0) = INDEX(OFFSET($O$15,0,0,$B$8,$B$9), 1+CF$14, 0))
) / $B$16)</f>
        <v>0.84210526315789469</v>
      </c>
      <c r="CG28" cm="1">
        <f t="array" aca="1" ref="CG28" ca="1">IF($BP28=CG$14, 1, SUMPRODUCT(
    --(OFFSET($O$9,0,0,1,$B$9)=TRUE),
    --(INDEX(OFFSET($O$15,0,0,$B$8,$B$9), 1+$BP28, 0) = INDEX(OFFSET($O$15,0,0,$B$8,$B$9), 1+CG$14, 0))
) / $B$16)</f>
        <v>1</v>
      </c>
      <c r="CH28" cm="1">
        <f t="array" aca="1" ref="CH28" ca="1">IF($BP28=CH$14, 1, SUMPRODUCT(
    --(OFFSET($O$9,0,0,1,$B$9)=TRUE),
    --(INDEX(OFFSET($O$15,0,0,$B$8,$B$9), 1+$BP28, 0) = INDEX(OFFSET($O$15,0,0,$B$8,$B$9), 1+CH$14, 0))
) / $B$16)</f>
        <v>0.84210526315789469</v>
      </c>
      <c r="CI28" cm="1">
        <f t="array" aca="1" ref="CI28" ca="1">IF($BP28=CI$14, 1, SUMPRODUCT(
    --(OFFSET($O$9,0,0,1,$B$9)=TRUE),
    --(INDEX(OFFSET($O$15,0,0,$B$8,$B$9), 1+$BP28, 0) = INDEX(OFFSET($O$15,0,0,$B$8,$B$9), 1+CI$14, 0))
) / $B$16)</f>
        <v>1</v>
      </c>
      <c r="CJ28" cm="1">
        <f t="array" aca="1" ref="CJ28" ca="1">IF($BP28=CJ$14, 1, SUMPRODUCT(
    --(OFFSET($O$9,0,0,1,$B$9)=TRUE),
    --(INDEX(OFFSET($O$15,0,0,$B$8,$B$9), 1+$BP28, 0) = INDEX(OFFSET($O$15,0,0,$B$8,$B$9), 1+CJ$14, 0))
) / $B$16)</f>
        <v>0.84210526315789469</v>
      </c>
      <c r="CP28">
        <f ca="1"/>
        <v>14</v>
      </c>
      <c r="CQ28" cm="1">
        <f t="array" aca="1" ref="CQ28" ca="1">(1-$B$18)*SUMPRODUCT(OFFSET($BO$15,0,0,$B$14,1), 1*(_xlfn._xlws.FILTER(OFFSET($O$15,0,$CP28,$B$8,1), OFFSET($M$15,0,0,$B$8,1))=CQ$14))   /   SUM(OFFSET($BO$15,0,0,$B$14,1)) + $B$18/$B$19</f>
        <v>3.3333333333333331E-3</v>
      </c>
      <c r="CR28" s="10" cm="1">
        <f t="array" aca="1" ref="CR28" ca="1">(1-$B$18)*SUMPRODUCT(OFFSET($BO$15,0,0,$B$14,1), 1*(_xlfn._xlws.FILTER(OFFSET($O$15,0,$CP28,$B$8,1), OFFSET($M$15,0,0,$B$8,1))=CR$14))   /   SUM(OFFSET($BO$15,0,0,$B$14,1)) + $B$18/$B$19</f>
        <v>3.3333333333333331E-3</v>
      </c>
      <c r="CS28" s="10" cm="1">
        <f t="array" aca="1" ref="CS28" ca="1">(1-$B$18)*SUMPRODUCT(OFFSET($BO$15,0,0,$B$14,1), 1*(_xlfn._xlws.FILTER(OFFSET($O$15,0,$CP28,$B$8,1), OFFSET($M$15,0,0,$B$8,1))=CS$14))   /   SUM(OFFSET($BO$15,0,0,$B$14,1)) + $B$18/$B$19</f>
        <v>3.3333333333333331E-3</v>
      </c>
      <c r="CT28" s="10" cm="1">
        <f t="array" aca="1" ref="CT28" ca="1">(1-$B$18)*SUMPRODUCT(OFFSET($BO$15,0,0,$B$14,1), 1*(_xlfn._xlws.FILTER(OFFSET($O$15,0,$CP28,$B$8,1), OFFSET($M$15,0,0,$B$8,1))=CT$14))   /   SUM(OFFSET($BO$15,0,0,$B$14,1)) + $B$18/$B$19</f>
        <v>0.97333333333333327</v>
      </c>
      <c r="CU28" s="10" cm="1">
        <f t="array" aca="1" ref="CU28" ca="1">(1-$B$18)*SUMPRODUCT(OFFSET($BO$15,0,0,$B$14,1), 1*(_xlfn._xlws.FILTER(OFFSET($O$15,0,$CP28,$B$8,1), OFFSET($M$15,0,0,$B$8,1))=CU$14))   /   SUM(OFFSET($BO$15,0,0,$B$14,1)) + $B$18/$B$19</f>
        <v>3.3333333333333331E-3</v>
      </c>
      <c r="CV28" s="10" cm="1">
        <f t="array" aca="1" ref="CV28" ca="1">(1-$B$18)*SUMPRODUCT(OFFSET($BO$15,0,0,$B$14,1), 1*(_xlfn._xlws.FILTER(OFFSET($O$15,0,$CP28,$B$8,1), OFFSET($M$15,0,0,$B$8,1))=CV$14))   /   SUM(OFFSET($BO$15,0,0,$B$14,1)) + $B$18/$B$19</f>
        <v>3.3333333333333331E-3</v>
      </c>
      <c r="CW28" s="10" cm="1">
        <f t="array" aca="1" ref="CW28" ca="1">(1-$B$18)*SUMPRODUCT(OFFSET($BO$15,0,0,$B$14,1), 1*(_xlfn._xlws.FILTER(OFFSET($O$15,0,$CP28,$B$8,1), OFFSET($M$15,0,0,$B$8,1))=CW$14))   /   SUM(OFFSET($BO$15,0,0,$B$14,1)) + $B$18/$B$19</f>
        <v>3.3333333333333331E-3</v>
      </c>
      <c r="CX28" s="10" cm="1">
        <f t="array" aca="1" ref="CX28" ca="1">(1-$B$18)*SUMPRODUCT(OFFSET($BO$15,0,0,$B$14,1), 1*(_xlfn._xlws.FILTER(OFFSET($O$15,0,$CP28,$B$8,1), OFFSET($M$15,0,0,$B$8,1))=CX$14))   /   SUM(OFFSET($BO$15,0,0,$B$14,1)) + $B$18/$B$19</f>
        <v>3.3333333333333331E-3</v>
      </c>
      <c r="CY28" s="10" cm="1">
        <f t="array" aca="1" ref="CY28" ca="1">(1-$B$18)*SUMPRODUCT(OFFSET($BO$15,0,0,$B$14,1), 1*(_xlfn._xlws.FILTER(OFFSET($O$15,0,$CP28,$B$8,1), OFFSET($M$15,0,0,$B$8,1))=CY$14))   /   SUM(OFFSET($BO$15,0,0,$B$14,1)) + $B$18/$B$19</f>
        <v>3.3333333333333331E-3</v>
      </c>
      <c r="DB28" s="10" cm="1">
        <f t="array" aca="1" ref="DB28" ca="1">SUM(OFFSET($CR28,0,0,1,$M$2)*LN(OFFSET($CR28,0,0,1,$M$2)/OFFSET($CR$11,0,0,1,$M$2)))+IF($CQ$11&gt;0,OFFSET($O$10,0,$CP28,1,1)*LN(OFFSET($O$10,0,$CP28,1,1)/$CQ$11),0)</f>
        <v>1.9131139043413503</v>
      </c>
      <c r="DC28">
        <f ca="1"/>
        <v>14</v>
      </c>
      <c r="DD28" s="10">
        <f t="shared" ca="1" si="11"/>
        <v>0.11767737994455678</v>
      </c>
      <c r="DE28" s="10">
        <f t="shared" ca="1" si="10"/>
        <v>0.11767737994455678</v>
      </c>
      <c r="DF28" s="10">
        <f t="shared" ca="1" si="10"/>
        <v>1.9045936050347492</v>
      </c>
      <c r="DG28" s="10">
        <f t="shared" ca="1" si="10"/>
        <v>0.11767737994455678</v>
      </c>
      <c r="DH28" s="10">
        <f t="shared" ca="1" si="10"/>
        <v>0.11767737994455678</v>
      </c>
      <c r="DI28" s="10">
        <f t="shared" ca="1" si="10"/>
        <v>0.11767737994455678</v>
      </c>
      <c r="DJ28" s="10">
        <f t="shared" ca="1" si="10"/>
        <v>0.11767737994455678</v>
      </c>
      <c r="DK28" s="10">
        <f t="shared" ca="1" si="10"/>
        <v>0.11767737994455678</v>
      </c>
      <c r="DN28" cm="1">
        <f t="array" aca="1" ref="DN28" ca="1">INDEX(_xlfn.ANCHORARRAY($CP$15), 1 + INT((ROWS($DO$15:$DO28) - 1) / ROWS(_xlfn.ANCHORARRAY($CP$15))))</f>
        <v>0</v>
      </c>
      <c r="DO28" cm="1">
        <f t="array" aca="1" ref="DO28" ca="1">INDEX(_xlfn.ANCHORARRAY($CP$15),1+MOD(ROWS($DO$15:$DO28)-1,ROWS(_xlfn.ANCHORARRAY($CP$15))))</f>
        <v>14</v>
      </c>
      <c r="DP28" s="10" cm="1">
        <f t="array" aca="1" ref="DP28" ca="1">(1-$B$18)*SUMPRODUCT(OFFSET($BO$15,0,0,$B$14,1), 1*(_xlfn._xlws.FILTER(OFFSET($O$15,0,$DN28,$B$8,1),OFFSET($M$15,0,0,$B$8,1))=DP$13), 1*(_xlfn._xlws.FILTER(OFFSET($O$15,0,$DO28,$B$8,1),OFFSET($M$15,0,0,$B$8,1))=DP$14))   /   SUM(OFFSET($BO$15,0,0,$B$14,1)) + $B$18/($B$19*$B$19*($DN28&lt;&gt;$DO28) + $B$19*($DN28=$DO28))</f>
        <v>3.7037037037037035E-4</v>
      </c>
      <c r="DQ28" s="10" cm="1">
        <f t="array" aca="1" ref="DQ28" ca="1">(1-$B$18)*SUMPRODUCT(OFFSET($BO$15,0,0,$B$14,1), 1*(_xlfn._xlws.FILTER(OFFSET($O$15,0,$DN28,$B$8,1),OFFSET($M$15,0,0,$B$8,1))=DQ$13), 1*(_xlfn._xlws.FILTER(OFFSET($O$15,0,$DO28,$B$8,1),OFFSET($M$15,0,0,$B$8,1))=DQ$14))   /   SUM(OFFSET($BO$15,0,0,$B$14,1)) + $B$18/($B$19*$B$19*($DN28&lt;&gt;$DO28) + $B$19*($DN28=$DO28))</f>
        <v>3.7037037037037035E-4</v>
      </c>
      <c r="DR28" s="10" cm="1">
        <f t="array" aca="1" ref="DR28" ca="1">(1-$B$18)*SUMPRODUCT(OFFSET($BO$15,0,0,$B$14,1), 1*(_xlfn._xlws.FILTER(OFFSET($O$15,0,$DN28,$B$8,1),OFFSET($M$15,0,0,$B$8,1))=DR$13), 1*(_xlfn._xlws.FILTER(OFFSET($O$15,0,$DO28,$B$8,1),OFFSET($M$15,0,0,$B$8,1))=DR$14))   /   SUM(OFFSET($BO$15,0,0,$B$14,1)) + $B$18/($B$19*$B$19*($DN28&lt;&gt;$DO28) + $B$19*($DN28=$DO28))</f>
        <v>3.7037037037037035E-4</v>
      </c>
      <c r="DS28" s="10" cm="1">
        <f t="array" aca="1" ref="DS28" ca="1">(1-$B$18)*SUMPRODUCT(OFFSET($BO$15,0,0,$B$14,1), 1*(_xlfn._xlws.FILTER(OFFSET($O$15,0,$DN28,$B$8,1),OFFSET($M$15,0,0,$B$8,1))=DS$13), 1*(_xlfn._xlws.FILTER(OFFSET($O$15,0,$DO28,$B$8,1),OFFSET($M$15,0,0,$B$8,1))=DS$14))   /   SUM(OFFSET($BO$15,0,0,$B$14,1)) + $B$18/($B$19*$B$19*($DN28&lt;&gt;$DO28) + $B$19*($DN28=$DO28))</f>
        <v>3.7037037037037035E-4</v>
      </c>
      <c r="DT28" s="10" cm="1">
        <f t="array" aca="1" ref="DT28" ca="1">(1-$B$18)*SUMPRODUCT(OFFSET($BO$15,0,0,$B$14,1), 1*(_xlfn._xlws.FILTER(OFFSET($O$15,0,$DN28,$B$8,1),OFFSET($M$15,0,0,$B$8,1))=DT$13), 1*(_xlfn._xlws.FILTER(OFFSET($O$15,0,$DO28,$B$8,1),OFFSET($M$15,0,0,$B$8,1))=DT$14))   /   SUM(OFFSET($BO$15,0,0,$B$14,1)) + $B$18/($B$19*$B$19*($DN28&lt;&gt;$DO28) + $B$19*($DN28=$DO28))</f>
        <v>3.7037037037037035E-4</v>
      </c>
      <c r="DU28" s="10" cm="1">
        <f t="array" aca="1" ref="DU28" ca="1">(1-$B$18)*SUMPRODUCT(OFFSET($BO$15,0,0,$B$14,1), 1*(_xlfn._xlws.FILTER(OFFSET($O$15,0,$DN28,$B$8,1),OFFSET($M$15,0,0,$B$8,1))=DU$13), 1*(_xlfn._xlws.FILTER(OFFSET($O$15,0,$DO28,$B$8,1),OFFSET($M$15,0,0,$B$8,1))=DU$14))   /   SUM(OFFSET($BO$15,0,0,$B$14,1)) + $B$18/($B$19*$B$19*($DN28&lt;&gt;$DO28) + $B$19*($DN28=$DO28))</f>
        <v>3.7037037037037035E-4</v>
      </c>
      <c r="DV28" s="10" cm="1">
        <f t="array" aca="1" ref="DV28" ca="1">(1-$B$18)*SUMPRODUCT(OFFSET($BO$15,0,0,$B$14,1), 1*(_xlfn._xlws.FILTER(OFFSET($O$15,0,$DN28,$B$8,1),OFFSET($M$15,0,0,$B$8,1))=DV$13), 1*(_xlfn._xlws.FILTER(OFFSET($O$15,0,$DO28,$B$8,1),OFFSET($M$15,0,0,$B$8,1))=DV$14))   /   SUM(OFFSET($BO$15,0,0,$B$14,1)) + $B$18/($B$19*$B$19*($DN28&lt;&gt;$DO28) + $B$19*($DN28=$DO28))</f>
        <v>3.7037037037037035E-4</v>
      </c>
      <c r="DW28" s="10" cm="1">
        <f t="array" aca="1" ref="DW28" ca="1">(1-$B$18)*SUMPRODUCT(OFFSET($BO$15,0,0,$B$14,1), 1*(_xlfn._xlws.FILTER(OFFSET($O$15,0,$DN28,$B$8,1),OFFSET($M$15,0,0,$B$8,1))=DW$13), 1*(_xlfn._xlws.FILTER(OFFSET($O$15,0,$DO28,$B$8,1),OFFSET($M$15,0,0,$B$8,1))=DW$14))   /   SUM(OFFSET($BO$15,0,0,$B$14,1)) + $B$18/($B$19*$B$19*($DN28&lt;&gt;$DO28) + $B$19*($DN28=$DO28))</f>
        <v>3.7037037037037035E-4</v>
      </c>
      <c r="DX28" s="10" cm="1">
        <f t="array" aca="1" ref="DX28" ca="1">(1-$B$18)*SUMPRODUCT(OFFSET($BO$15,0,0,$B$14,1), 1*(_xlfn._xlws.FILTER(OFFSET($O$15,0,$DN28,$B$8,1),OFFSET($M$15,0,0,$B$8,1))=DX$13), 1*(_xlfn._xlws.FILTER(OFFSET($O$15,0,$DO28,$B$8,1),OFFSET($M$15,0,0,$B$8,1))=DX$14))   /   SUM(OFFSET($BO$15,0,0,$B$14,1)) + $B$18/($B$19*$B$19*($DN28&lt;&gt;$DO28) + $B$19*($DN28=$DO28))</f>
        <v>3.7037037037037035E-4</v>
      </c>
      <c r="DY28" s="10" cm="1">
        <f t="array" aca="1" ref="DY28" ca="1">(1-$B$18)*SUMPRODUCT(OFFSET($BO$15,0,0,$B$14,1), 1*(_xlfn._xlws.FILTER(OFFSET($O$15,0,$DN28,$B$8,1),OFFSET($M$15,0,0,$B$8,1))=DY$13), 1*(_xlfn._xlws.FILTER(OFFSET($O$15,0,$DO28,$B$8,1),OFFSET($M$15,0,0,$B$8,1))=DY$14))   /   SUM(OFFSET($BO$15,0,0,$B$14,1)) + $B$18/($B$19*$B$19*($DN28&lt;&gt;$DO28) + $B$19*($DN28=$DO28))</f>
        <v>3.7037037037037035E-4</v>
      </c>
      <c r="DZ28" s="10" cm="1">
        <f t="array" aca="1" ref="DZ28" ca="1">(1-$B$18)*SUMPRODUCT(OFFSET($BO$15,0,0,$B$14,1), 1*(_xlfn._xlws.FILTER(OFFSET($O$15,0,$DN28,$B$8,1),OFFSET($M$15,0,0,$B$8,1))=DZ$13), 1*(_xlfn._xlws.FILTER(OFFSET($O$15,0,$DO28,$B$8,1),OFFSET($M$15,0,0,$B$8,1))=DZ$14))   /   SUM(OFFSET($BO$15,0,0,$B$14,1)) + $B$18/($B$19*$B$19*($DN28&lt;&gt;$DO28) + $B$19*($DN28=$DO28))</f>
        <v>3.7037037037037035E-4</v>
      </c>
      <c r="EA28" s="10" cm="1">
        <f t="array" aca="1" ref="EA28" ca="1">(1-$B$18)*SUMPRODUCT(OFFSET($BO$15,0,0,$B$14,1), 1*(_xlfn._xlws.FILTER(OFFSET($O$15,0,$DN28,$B$8,1),OFFSET($M$15,0,0,$B$8,1))=EA$13), 1*(_xlfn._xlws.FILTER(OFFSET($O$15,0,$DO28,$B$8,1),OFFSET($M$15,0,0,$B$8,1))=EA$14))   /   SUM(OFFSET($BO$15,0,0,$B$14,1)) + $B$18/($B$19*$B$19*($DN28&lt;&gt;$DO28) + $B$19*($DN28=$DO28))</f>
        <v>3.7037037037037035E-4</v>
      </c>
      <c r="EB28" s="10" cm="1">
        <f t="array" aca="1" ref="EB28" ca="1">(1-$B$18)*SUMPRODUCT(OFFSET($BO$15,0,0,$B$14,1), 1*(_xlfn._xlws.FILTER(OFFSET($O$15,0,$DN28,$B$8,1),OFFSET($M$15,0,0,$B$8,1))=EB$13), 1*(_xlfn._xlws.FILTER(OFFSET($O$15,0,$DO28,$B$8,1),OFFSET($M$15,0,0,$B$8,1))=EB$14))   /   SUM(OFFSET($BO$15,0,0,$B$14,1)) + $B$18/($B$19*$B$19*($DN28&lt;&gt;$DO28) + $B$19*($DN28=$DO28))</f>
        <v>3.7037037037037035E-4</v>
      </c>
      <c r="EC28" s="10" cm="1">
        <f t="array" aca="1" ref="EC28" ca="1">(1-$B$18)*SUMPRODUCT(OFFSET($BO$15,0,0,$B$14,1), 1*(_xlfn._xlws.FILTER(OFFSET($O$15,0,$DN28,$B$8,1),OFFSET($M$15,0,0,$B$8,1))=EC$13), 1*(_xlfn._xlws.FILTER(OFFSET($O$15,0,$DO28,$B$8,1),OFFSET($M$15,0,0,$B$8,1))=EC$14))   /   SUM(OFFSET($BO$15,0,0,$B$14,1)) + $B$18/($B$19*$B$19*($DN28&lt;&gt;$DO28) + $B$19*($DN28=$DO28))</f>
        <v>3.7037037037037035E-4</v>
      </c>
      <c r="ED28" s="10" cm="1">
        <f t="array" aca="1" ref="ED28" ca="1">(1-$B$18)*SUMPRODUCT(OFFSET($BO$15,0,0,$B$14,1), 1*(_xlfn._xlws.FILTER(OFFSET($O$15,0,$DN28,$B$8,1),OFFSET($M$15,0,0,$B$8,1))=ED$13), 1*(_xlfn._xlws.FILTER(OFFSET($O$15,0,$DO28,$B$8,1),OFFSET($M$15,0,0,$B$8,1))=ED$14))   /   SUM(OFFSET($BO$15,0,0,$B$14,1)) + $B$18/($B$19*$B$19*($DN28&lt;&gt;$DO28) + $B$19*($DN28=$DO28))</f>
        <v>3.7037037037037035E-4</v>
      </c>
      <c r="EE28" s="10" cm="1">
        <f t="array" aca="1" ref="EE28" ca="1">(1-$B$18)*SUMPRODUCT(OFFSET($BO$15,0,0,$B$14,1), 1*(_xlfn._xlws.FILTER(OFFSET($O$15,0,$DN28,$B$8,1),OFFSET($M$15,0,0,$B$8,1))=EE$13), 1*(_xlfn._xlws.FILTER(OFFSET($O$15,0,$DO28,$B$8,1),OFFSET($M$15,0,0,$B$8,1))=EE$14))   /   SUM(OFFSET($BO$15,0,0,$B$14,1)) + $B$18/($B$19*$B$19*($DN28&lt;&gt;$DO28) + $B$19*($DN28=$DO28))</f>
        <v>3.7037037037037035E-4</v>
      </c>
      <c r="EF28" s="10" cm="1">
        <f t="array" aca="1" ref="EF28" ca="1">(1-$B$18)*SUMPRODUCT(OFFSET($BO$15,0,0,$B$14,1), 1*(_xlfn._xlws.FILTER(OFFSET($O$15,0,$DN28,$B$8,1),OFFSET($M$15,0,0,$B$8,1))=EF$13), 1*(_xlfn._xlws.FILTER(OFFSET($O$15,0,$DO28,$B$8,1),OFFSET($M$15,0,0,$B$8,1))=EF$14))   /   SUM(OFFSET($BO$15,0,0,$B$14,1)) + $B$18/($B$19*$B$19*($DN28&lt;&gt;$DO28) + $B$19*($DN28=$DO28))</f>
        <v>3.7037037037037035E-4</v>
      </c>
      <c r="EG28" s="10" cm="1">
        <f t="array" aca="1" ref="EG28" ca="1">(1-$B$18)*SUMPRODUCT(OFFSET($BO$15,0,0,$B$14,1), 1*(_xlfn._xlws.FILTER(OFFSET($O$15,0,$DN28,$B$8,1),OFFSET($M$15,0,0,$B$8,1))=EG$13), 1*(_xlfn._xlws.FILTER(OFFSET($O$15,0,$DO28,$B$8,1),OFFSET($M$15,0,0,$B$8,1))=EG$14))   /   SUM(OFFSET($BO$15,0,0,$B$14,1)) + $B$18/($B$19*$B$19*($DN28&lt;&gt;$DO28) + $B$19*($DN28=$DO28))</f>
        <v>3.7037037037037035E-4</v>
      </c>
      <c r="EH28" s="10" cm="1">
        <f t="array" aca="1" ref="EH28" ca="1">(1-$B$18)*SUMPRODUCT(OFFSET($BO$15,0,0,$B$14,1), 1*(_xlfn._xlws.FILTER(OFFSET($O$15,0,$DN28,$B$8,1),OFFSET($M$15,0,0,$B$8,1))=EH$13), 1*(_xlfn._xlws.FILTER(OFFSET($O$15,0,$DO28,$B$8,1),OFFSET($M$15,0,0,$B$8,1))=EH$14))   /   SUM(OFFSET($BO$15,0,0,$B$14,1)) + $B$18/($B$19*$B$19*($DN28&lt;&gt;$DO28) + $B$19*($DN28=$DO28))</f>
        <v>3.7037037037037035E-4</v>
      </c>
      <c r="EI28" s="10" cm="1">
        <f t="array" aca="1" ref="EI28" ca="1">(1-$B$18)*SUMPRODUCT(OFFSET($BO$15,0,0,$B$14,1), 1*(_xlfn._xlws.FILTER(OFFSET($O$15,0,$DN28,$B$8,1),OFFSET($M$15,0,0,$B$8,1))=EI$13), 1*(_xlfn._xlws.FILTER(OFFSET($O$15,0,$DO28,$B$8,1),OFFSET($M$15,0,0,$B$8,1))=EI$14))   /   SUM(OFFSET($BO$15,0,0,$B$14,1)) + $B$18/($B$19*$B$19*($DN28&lt;&gt;$DO28) + $B$19*($DN28=$DO28))</f>
        <v>3.7037037037037035E-4</v>
      </c>
      <c r="EJ28" s="10" cm="1">
        <f t="array" aca="1" ref="EJ28" ca="1">(1-$B$18)*SUMPRODUCT(OFFSET($BO$15,0,0,$B$14,1), 1*(_xlfn._xlws.FILTER(OFFSET($O$15,0,$DN28,$B$8,1),OFFSET($M$15,0,0,$B$8,1))=EJ$13), 1*(_xlfn._xlws.FILTER(OFFSET($O$15,0,$DO28,$B$8,1),OFFSET($M$15,0,0,$B$8,1))=EJ$14))   /   SUM(OFFSET($BO$15,0,0,$B$14,1)) + $B$18/($B$19*$B$19*($DN28&lt;&gt;$DO28) + $B$19*($DN28=$DO28))</f>
        <v>3.7037037037037035E-4</v>
      </c>
      <c r="EK28" s="10" cm="1">
        <f t="array" aca="1" ref="EK28" ca="1">(1-$B$18)*SUMPRODUCT(OFFSET($BO$15,0,0,$B$14,1), 1*(_xlfn._xlws.FILTER(OFFSET($O$15,0,$DN28,$B$8,1),OFFSET($M$15,0,0,$B$8,1))=EK$13), 1*(_xlfn._xlws.FILTER(OFFSET($O$15,0,$DO28,$B$8,1),OFFSET($M$15,0,0,$B$8,1))=EK$14))   /   SUM(OFFSET($BO$15,0,0,$B$14,1)) + $B$18/($B$19*$B$19*($DN28&lt;&gt;$DO28) + $B$19*($DN28=$DO28))</f>
        <v>3.7037037037037035E-4</v>
      </c>
      <c r="EL28" s="10" cm="1">
        <f t="array" aca="1" ref="EL28" ca="1">(1-$B$18)*SUMPRODUCT(OFFSET($BO$15,0,0,$B$14,1), 1*(_xlfn._xlws.FILTER(OFFSET($O$15,0,$DN28,$B$8,1),OFFSET($M$15,0,0,$B$8,1))=EL$13), 1*(_xlfn._xlws.FILTER(OFFSET($O$15,0,$DO28,$B$8,1),OFFSET($M$15,0,0,$B$8,1))=EL$14))   /   SUM(OFFSET($BO$15,0,0,$B$14,1)) + $B$18/($B$19*$B$19*($DN28&lt;&gt;$DO28) + $B$19*($DN28=$DO28))</f>
        <v>3.7037037037037035E-4</v>
      </c>
      <c r="EM28" s="10" cm="1">
        <f t="array" aca="1" ref="EM28" ca="1">(1-$B$18)*SUMPRODUCT(OFFSET($BO$15,0,0,$B$14,1), 1*(_xlfn._xlws.FILTER(OFFSET($O$15,0,$DN28,$B$8,1),OFFSET($M$15,0,0,$B$8,1))=EM$13), 1*(_xlfn._xlws.FILTER(OFFSET($O$15,0,$DO28,$B$8,1),OFFSET($M$15,0,0,$B$8,1))=EM$14))   /   SUM(OFFSET($BO$15,0,0,$B$14,1)) + $B$18/($B$19*$B$19*($DN28&lt;&gt;$DO28) + $B$19*($DN28=$DO28))</f>
        <v>3.7037037037037035E-4</v>
      </c>
      <c r="EN28" s="10" cm="1">
        <f t="array" aca="1" ref="EN28" ca="1">(1-$B$18)*SUMPRODUCT(OFFSET($BO$15,0,0,$B$14,1), 1*(_xlfn._xlws.FILTER(OFFSET($O$15,0,$DN28,$B$8,1),OFFSET($M$15,0,0,$B$8,1))=EN$13), 1*(_xlfn._xlws.FILTER(OFFSET($O$15,0,$DO28,$B$8,1),OFFSET($M$15,0,0,$B$8,1))=EN$14))   /   SUM(OFFSET($BO$15,0,0,$B$14,1)) + $B$18/($B$19*$B$19*($DN28&lt;&gt;$DO28) + $B$19*($DN28=$DO28))</f>
        <v>3.7037037037037035E-4</v>
      </c>
      <c r="EO28" s="10" cm="1">
        <f t="array" aca="1" ref="EO28" ca="1">(1-$B$18)*SUMPRODUCT(OFFSET($BO$15,0,0,$B$14,1), 1*(_xlfn._xlws.FILTER(OFFSET($O$15,0,$DN28,$B$8,1),OFFSET($M$15,0,0,$B$8,1))=EO$13), 1*(_xlfn._xlws.FILTER(OFFSET($O$15,0,$DO28,$B$8,1),OFFSET($M$15,0,0,$B$8,1))=EO$14))   /   SUM(OFFSET($BO$15,0,0,$B$14,1)) + $B$18/($B$19*$B$19*($DN28&lt;&gt;$DO28) + $B$19*($DN28=$DO28))</f>
        <v>3.7037037037037035E-4</v>
      </c>
      <c r="EP28" s="10" cm="1">
        <f t="array" aca="1" ref="EP28" ca="1">(1-$B$18)*SUMPRODUCT(OFFSET($BO$15,0,0,$B$14,1), 1*(_xlfn._xlws.FILTER(OFFSET($O$15,0,$DN28,$B$8,1),OFFSET($M$15,0,0,$B$8,1))=EP$13), 1*(_xlfn._xlws.FILTER(OFFSET($O$15,0,$DO28,$B$8,1),OFFSET($M$15,0,0,$B$8,1))=EP$14))   /   SUM(OFFSET($BO$15,0,0,$B$14,1)) + $B$18/($B$19*$B$19*($DN28&lt;&gt;$DO28) + $B$19*($DN28=$DO28))</f>
        <v>3.7037037037037035E-4</v>
      </c>
      <c r="EQ28" s="10" cm="1">
        <f t="array" aca="1" ref="EQ28" ca="1">(1-$B$18)*SUMPRODUCT(OFFSET($BO$15,0,0,$B$14,1), 1*(_xlfn._xlws.FILTER(OFFSET($O$15,0,$DN28,$B$8,1),OFFSET($M$15,0,0,$B$8,1))=EQ$13), 1*(_xlfn._xlws.FILTER(OFFSET($O$15,0,$DO28,$B$8,1),OFFSET($M$15,0,0,$B$8,1))=EQ$14))   /   SUM(OFFSET($BO$15,0,0,$B$14,1)) + $B$18/($B$19*$B$19*($DN28&lt;&gt;$DO28) + $B$19*($DN28=$DO28))</f>
        <v>3.7037037037037035E-4</v>
      </c>
      <c r="ER28" s="10" cm="1">
        <f t="array" aca="1" ref="ER28" ca="1">(1-$B$18)*SUMPRODUCT(OFFSET($BO$15,0,0,$B$14,1), 1*(_xlfn._xlws.FILTER(OFFSET($O$15,0,$DN28,$B$8,1),OFFSET($M$15,0,0,$B$8,1))=ER$13), 1*(_xlfn._xlws.FILTER(OFFSET($O$15,0,$DO28,$B$8,1),OFFSET($M$15,0,0,$B$8,1))=ER$14))   /   SUM(OFFSET($BO$15,0,0,$B$14,1)) + $B$18/($B$19*$B$19*($DN28&lt;&gt;$DO28) + $B$19*($DN28=$DO28))</f>
        <v>3.7037037037037035E-4</v>
      </c>
      <c r="ES28" s="10" cm="1">
        <f t="array" aca="1" ref="ES28" ca="1">(1-$B$18)*SUMPRODUCT(OFFSET($BO$15,0,0,$B$14,1), 1*(_xlfn._xlws.FILTER(OFFSET($O$15,0,$DN28,$B$8,1),OFFSET($M$15,0,0,$B$8,1))=ES$13), 1*(_xlfn._xlws.FILTER(OFFSET($O$15,0,$DO28,$B$8,1),OFFSET($M$15,0,0,$B$8,1))=ES$14))   /   SUM(OFFSET($BO$15,0,0,$B$14,1)) + $B$18/($B$19*$B$19*($DN28&lt;&gt;$DO28) + $B$19*($DN28=$DO28))</f>
        <v>3.7037037037037035E-4</v>
      </c>
      <c r="ET28" s="10" cm="1">
        <f t="array" aca="1" ref="ET28" ca="1">(1-$B$18)*SUMPRODUCT(OFFSET($BO$15,0,0,$B$14,1), 1*(_xlfn._xlws.FILTER(OFFSET($O$15,0,$DN28,$B$8,1),OFFSET($M$15,0,0,$B$8,1))=ET$13), 1*(_xlfn._xlws.FILTER(OFFSET($O$15,0,$DO28,$B$8,1),OFFSET($M$15,0,0,$B$8,1))=ET$14))   /   SUM(OFFSET($BO$15,0,0,$B$14,1)) + $B$18/($B$19*$B$19*($DN28&lt;&gt;$DO28) + $B$19*($DN28=$DO28))</f>
        <v>3.7037037037037035E-4</v>
      </c>
      <c r="EU28" s="10" cm="1">
        <f t="array" aca="1" ref="EU28" ca="1">(1-$B$18)*SUMPRODUCT(OFFSET($BO$15,0,0,$B$14,1), 1*(_xlfn._xlws.FILTER(OFFSET($O$15,0,$DN28,$B$8,1),OFFSET($M$15,0,0,$B$8,1))=EU$13), 1*(_xlfn._xlws.FILTER(OFFSET($O$15,0,$DO28,$B$8,1),OFFSET($M$15,0,0,$B$8,1))=EU$14))   /   SUM(OFFSET($BO$15,0,0,$B$14,1)) + $B$18/($B$19*$B$19*($DN28&lt;&gt;$DO28) + $B$19*($DN28=$DO28))</f>
        <v>3.7037037037037035E-4</v>
      </c>
      <c r="EV28" s="10" cm="1">
        <f t="array" aca="1" ref="EV28" ca="1">(1-$B$18)*SUMPRODUCT(OFFSET($BO$15,0,0,$B$14,1), 1*(_xlfn._xlws.FILTER(OFFSET($O$15,0,$DN28,$B$8,1),OFFSET($M$15,0,0,$B$8,1))=EV$13), 1*(_xlfn._xlws.FILTER(OFFSET($O$15,0,$DO28,$B$8,1),OFFSET($M$15,0,0,$B$8,1))=EV$14))   /   SUM(OFFSET($BO$15,0,0,$B$14,1)) + $B$18/($B$19*$B$19*($DN28&lt;&gt;$DO28) + $B$19*($DN28=$DO28))</f>
        <v>3.7037037037037035E-4</v>
      </c>
      <c r="EW28" s="10" cm="1">
        <f t="array" aca="1" ref="EW28" ca="1">(1-$B$18)*SUMPRODUCT(OFFSET($BO$15,0,0,$B$14,1), 1*(_xlfn._xlws.FILTER(OFFSET($O$15,0,$DN28,$B$8,1),OFFSET($M$15,0,0,$B$8,1))=EW$13), 1*(_xlfn._xlws.FILTER(OFFSET($O$15,0,$DO28,$B$8,1),OFFSET($M$15,0,0,$B$8,1))=EW$14))   /   SUM(OFFSET($BO$15,0,0,$B$14,1)) + $B$18/($B$19*$B$19*($DN28&lt;&gt;$DO28) + $B$19*($DN28=$DO28))</f>
        <v>3.7037037037037035E-4</v>
      </c>
      <c r="EX28" s="10" cm="1">
        <f t="array" aca="1" ref="EX28" ca="1">(1-$B$18)*SUMPRODUCT(OFFSET($BO$15,0,0,$B$14,1), 1*(_xlfn._xlws.FILTER(OFFSET($O$15,0,$DN28,$B$8,1),OFFSET($M$15,0,0,$B$8,1))=EX$13), 1*(_xlfn._xlws.FILTER(OFFSET($O$15,0,$DO28,$B$8,1),OFFSET($M$15,0,0,$B$8,1))=EX$14))   /   SUM(OFFSET($BO$15,0,0,$B$14,1)) + $B$18/($B$19*$B$19*($DN28&lt;&gt;$DO28) + $B$19*($DN28=$DO28))</f>
        <v>3.7037037037037035E-4</v>
      </c>
      <c r="EY28" s="10" cm="1">
        <f t="array" aca="1" ref="EY28" ca="1">(1-$B$18)*SUMPRODUCT(OFFSET($BO$15,0,0,$B$14,1), 1*(_xlfn._xlws.FILTER(OFFSET($O$15,0,$DN28,$B$8,1),OFFSET($M$15,0,0,$B$8,1))=EY$13), 1*(_xlfn._xlws.FILTER(OFFSET($O$15,0,$DO28,$B$8,1),OFFSET($M$15,0,0,$B$8,1))=EY$14))   /   SUM(OFFSET($BO$15,0,0,$B$14,1)) + $B$18/($B$19*$B$19*($DN28&lt;&gt;$DO28) + $B$19*($DN28=$DO28))</f>
        <v>3.7037037037037035E-4</v>
      </c>
      <c r="EZ28" s="10" cm="1">
        <f t="array" aca="1" ref="EZ28" ca="1">(1-$B$18)*SUMPRODUCT(OFFSET($BO$15,0,0,$B$14,1), 1*(_xlfn._xlws.FILTER(OFFSET($O$15,0,$DN28,$B$8,1),OFFSET($M$15,0,0,$B$8,1))=EZ$13), 1*(_xlfn._xlws.FILTER(OFFSET($O$15,0,$DO28,$B$8,1),OFFSET($M$15,0,0,$B$8,1))=EZ$14))   /   SUM(OFFSET($BO$15,0,0,$B$14,1)) + $B$18/($B$19*$B$19*($DN28&lt;&gt;$DO28) + $B$19*($DN28=$DO28))</f>
        <v>3.7037037037037035E-4</v>
      </c>
      <c r="FA28" s="10" cm="1">
        <f t="array" aca="1" ref="FA28" ca="1">(1-$B$18)*SUMPRODUCT(OFFSET($BO$15,0,0,$B$14,1), 1*(_xlfn._xlws.FILTER(OFFSET($O$15,0,$DN28,$B$8,1),OFFSET($M$15,0,0,$B$8,1))=FA$13), 1*(_xlfn._xlws.FILTER(OFFSET($O$15,0,$DO28,$B$8,1),OFFSET($M$15,0,0,$B$8,1))=FA$14))   /   SUM(OFFSET($BO$15,0,0,$B$14,1)) + $B$18/($B$19*$B$19*($DN28&lt;&gt;$DO28) + $B$19*($DN28=$DO28))</f>
        <v>3.7037037037037035E-4</v>
      </c>
      <c r="FB28" s="10" cm="1">
        <f t="array" aca="1" ref="FB28" ca="1">(1-$B$18)*SUMPRODUCT(OFFSET($BO$15,0,0,$B$14,1), 1*(_xlfn._xlws.FILTER(OFFSET($O$15,0,$DN28,$B$8,1),OFFSET($M$15,0,0,$B$8,1))=FB$13), 1*(_xlfn._xlws.FILTER(OFFSET($O$15,0,$DO28,$B$8,1),OFFSET($M$15,0,0,$B$8,1))=FB$14))   /   SUM(OFFSET($BO$15,0,0,$B$14,1)) + $B$18/($B$19*$B$19*($DN28&lt;&gt;$DO28) + $B$19*($DN28=$DO28))</f>
        <v>3.7037037037037035E-4</v>
      </c>
      <c r="FC28" s="10" cm="1">
        <f t="array" aca="1" ref="FC28" ca="1">(1-$B$18)*SUMPRODUCT(OFFSET($BO$15,0,0,$B$14,1), 1*(_xlfn._xlws.FILTER(OFFSET($O$15,0,$DN28,$B$8,1),OFFSET($M$15,0,0,$B$8,1))=FC$13), 1*(_xlfn._xlws.FILTER(OFFSET($O$15,0,$DO28,$B$8,1),OFFSET($M$15,0,0,$B$8,1))=FC$14))   /   SUM(OFFSET($BO$15,0,0,$B$14,1)) + $B$18/($B$19*$B$19*($DN28&lt;&gt;$DO28) + $B$19*($DN28=$DO28))</f>
        <v>3.7037037037037035E-4</v>
      </c>
      <c r="FD28" s="10" cm="1">
        <f t="array" aca="1" ref="FD28" ca="1">(1-$B$18)*SUMPRODUCT(OFFSET($BO$15,0,0,$B$14,1), 1*(_xlfn._xlws.FILTER(OFFSET($O$15,0,$DN28,$B$8,1),OFFSET($M$15,0,0,$B$8,1))=FD$13), 1*(_xlfn._xlws.FILTER(OFFSET($O$15,0,$DO28,$B$8,1),OFFSET($M$15,0,0,$B$8,1))=FD$14))   /   SUM(OFFSET($BO$15,0,0,$B$14,1)) + $B$18/($B$19*$B$19*($DN28&lt;&gt;$DO28) + $B$19*($DN28=$DO28))</f>
        <v>3.7037037037037035E-4</v>
      </c>
      <c r="FE28" s="10" cm="1">
        <f t="array" aca="1" ref="FE28" ca="1">(1-$B$18)*SUMPRODUCT(OFFSET($BO$15,0,0,$B$14,1), 1*(_xlfn._xlws.FILTER(OFFSET($O$15,0,$DN28,$B$8,1),OFFSET($M$15,0,0,$B$8,1))=FE$13), 1*(_xlfn._xlws.FILTER(OFFSET($O$15,0,$DO28,$B$8,1),OFFSET($M$15,0,0,$B$8,1))=FE$14))   /   SUM(OFFSET($BO$15,0,0,$B$14,1)) + $B$18/($B$19*$B$19*($DN28&lt;&gt;$DO28) + $B$19*($DN28=$DO28))</f>
        <v>3.7037037037037035E-4</v>
      </c>
      <c r="FF28" s="10" cm="1">
        <f t="array" aca="1" ref="FF28" ca="1">(1-$B$18)*SUMPRODUCT(OFFSET($BO$15,0,0,$B$14,1), 1*(_xlfn._xlws.FILTER(OFFSET($O$15,0,$DN28,$B$8,1),OFFSET($M$15,0,0,$B$8,1))=FF$13), 1*(_xlfn._xlws.FILTER(OFFSET($O$15,0,$DO28,$B$8,1),OFFSET($M$15,0,0,$B$8,1))=FF$14))   /   SUM(OFFSET($BO$15,0,0,$B$14,1)) + $B$18/($B$19*$B$19*($DN28&lt;&gt;$DO28) + $B$19*($DN28=$DO28))</f>
        <v>3.7037037037037035E-4</v>
      </c>
      <c r="FG28" s="10" cm="1">
        <f t="array" aca="1" ref="FG28" ca="1">(1-$B$18)*SUMPRODUCT(OFFSET($BO$15,0,0,$B$14,1), 1*(_xlfn._xlws.FILTER(OFFSET($O$15,0,$DN28,$B$8,1),OFFSET($M$15,0,0,$B$8,1))=FG$13), 1*(_xlfn._xlws.FILTER(OFFSET($O$15,0,$DO28,$B$8,1),OFFSET($M$15,0,0,$B$8,1))=FG$14))   /   SUM(OFFSET($BO$15,0,0,$B$14,1)) + $B$18/($B$19*$B$19*($DN28&lt;&gt;$DO28) + $B$19*($DN28=$DO28))</f>
        <v>3.7037037037037035E-4</v>
      </c>
      <c r="FH28" s="10" cm="1">
        <f t="array" aca="1" ref="FH28" ca="1">(1-$B$18)*SUMPRODUCT(OFFSET($BO$15,0,0,$B$14,1), 1*(_xlfn._xlws.FILTER(OFFSET($O$15,0,$DN28,$B$8,1),OFFSET($M$15,0,0,$B$8,1))=FH$13), 1*(_xlfn._xlws.FILTER(OFFSET($O$15,0,$DO28,$B$8,1),OFFSET($M$15,0,0,$B$8,1))=FH$14))   /   SUM(OFFSET($BO$15,0,0,$B$14,1)) + $B$18/($B$19*$B$19*($DN28&lt;&gt;$DO28) + $B$19*($DN28=$DO28))</f>
        <v>3.7037037037037035E-4</v>
      </c>
      <c r="FI28" s="10" cm="1">
        <f t="array" aca="1" ref="FI28" ca="1">(1-$B$18)*SUMPRODUCT(OFFSET($BO$15,0,0,$B$14,1), 1*(_xlfn._xlws.FILTER(OFFSET($O$15,0,$DN28,$B$8,1),OFFSET($M$15,0,0,$B$8,1))=FI$13), 1*(_xlfn._xlws.FILTER(OFFSET($O$15,0,$DO28,$B$8,1),OFFSET($M$15,0,0,$B$8,1))=FI$14))   /   SUM(OFFSET($BO$15,0,0,$B$14,1)) + $B$18/($B$19*$B$19*($DN28&lt;&gt;$DO28) + $B$19*($DN28=$DO28))</f>
        <v>3.7037037037037035E-4</v>
      </c>
      <c r="FJ28" s="10" cm="1">
        <f t="array" aca="1" ref="FJ28" ca="1">(1-$B$18)*SUMPRODUCT(OFFSET($BO$15,0,0,$B$14,1), 1*(_xlfn._xlws.FILTER(OFFSET($O$15,0,$DN28,$B$8,1),OFFSET($M$15,0,0,$B$8,1))=FJ$13), 1*(_xlfn._xlws.FILTER(OFFSET($O$15,0,$DO28,$B$8,1),OFFSET($M$15,0,0,$B$8,1))=FJ$14))   /   SUM(OFFSET($BO$15,0,0,$B$14,1)) + $B$18/($B$19*$B$19*($DN28&lt;&gt;$DO28) + $B$19*($DN28=$DO28))</f>
        <v>3.7037037037037035E-4</v>
      </c>
      <c r="FK28" s="10" cm="1">
        <f t="array" aca="1" ref="FK28" ca="1">(1-$B$18)*SUMPRODUCT(OFFSET($BO$15,0,0,$B$14,1), 1*(_xlfn._xlws.FILTER(OFFSET($O$15,0,$DN28,$B$8,1),OFFSET($M$15,0,0,$B$8,1))=FK$13), 1*(_xlfn._xlws.FILTER(OFFSET($O$15,0,$DO28,$B$8,1),OFFSET($M$15,0,0,$B$8,1))=FK$14))   /   SUM(OFFSET($BO$15,0,0,$B$14,1)) + $B$18/($B$19*$B$19*($DN28&lt;&gt;$DO28) + $B$19*($DN28=$DO28))</f>
        <v>3.7037037037037035E-4</v>
      </c>
      <c r="FL28" s="10" cm="1">
        <f t="array" aca="1" ref="FL28" ca="1">(1-$B$18)*SUMPRODUCT(OFFSET($BO$15,0,0,$B$14,1), 1*(_xlfn._xlws.FILTER(OFFSET($O$15,0,$DN28,$B$8,1),OFFSET($M$15,0,0,$B$8,1))=FL$13), 1*(_xlfn._xlws.FILTER(OFFSET($O$15,0,$DO28,$B$8,1),OFFSET($M$15,0,0,$B$8,1))=FL$14))   /   SUM(OFFSET($BO$15,0,0,$B$14,1)) + $B$18/($B$19*$B$19*($DN28&lt;&gt;$DO28) + $B$19*($DN28=$DO28))</f>
        <v>3.7037037037037035E-4</v>
      </c>
      <c r="FM28" s="10" cm="1">
        <f t="array" aca="1" ref="FM28" ca="1">(1-$B$18)*SUMPRODUCT(OFFSET($BO$15,0,0,$B$14,1), 1*(_xlfn._xlws.FILTER(OFFSET($O$15,0,$DN28,$B$8,1),OFFSET($M$15,0,0,$B$8,1))=FM$13), 1*(_xlfn._xlws.FILTER(OFFSET($O$15,0,$DO28,$B$8,1),OFFSET($M$15,0,0,$B$8,1))=FM$14))   /   SUM(OFFSET($BO$15,0,0,$B$14,1)) + $B$18/($B$19*$B$19*($DN28&lt;&gt;$DO28) + $B$19*($DN28=$DO28))</f>
        <v>3.7037037037037035E-4</v>
      </c>
      <c r="FN28" s="10" cm="1">
        <f t="array" aca="1" ref="FN28" ca="1">(1-$B$18)*SUMPRODUCT(OFFSET($BO$15,0,0,$B$14,1), 1*(_xlfn._xlws.FILTER(OFFSET($O$15,0,$DN28,$B$8,1),OFFSET($M$15,0,0,$B$8,1))=FN$13), 1*(_xlfn._xlws.FILTER(OFFSET($O$15,0,$DO28,$B$8,1),OFFSET($M$15,0,0,$B$8,1))=FN$14))   /   SUM(OFFSET($BO$15,0,0,$B$14,1)) + $B$18/($B$19*$B$19*($DN28&lt;&gt;$DO28) + $B$19*($DN28=$DO28))</f>
        <v>0.97037037037037033</v>
      </c>
      <c r="FO28" s="10" cm="1">
        <f t="array" aca="1" ref="FO28" ca="1">(1-$B$18)*SUMPRODUCT(OFFSET($BO$15,0,0,$B$14,1), 1*(_xlfn._xlws.FILTER(OFFSET($O$15,0,$DN28,$B$8,1),OFFSET($M$15,0,0,$B$8,1))=FO$13), 1*(_xlfn._xlws.FILTER(OFFSET($O$15,0,$DO28,$B$8,1),OFFSET($M$15,0,0,$B$8,1))=FO$14))   /   SUM(OFFSET($BO$15,0,0,$B$14,1)) + $B$18/($B$19*$B$19*($DN28&lt;&gt;$DO28) + $B$19*($DN28=$DO28))</f>
        <v>3.7037037037037035E-4</v>
      </c>
      <c r="FP28" s="10" cm="1">
        <f t="array" aca="1" ref="FP28" ca="1">(1-$B$18)*SUMPRODUCT(OFFSET($BO$15,0,0,$B$14,1), 1*(_xlfn._xlws.FILTER(OFFSET($O$15,0,$DN28,$B$8,1),OFFSET($M$15,0,0,$B$8,1))=FP$13), 1*(_xlfn._xlws.FILTER(OFFSET($O$15,0,$DO28,$B$8,1),OFFSET($M$15,0,0,$B$8,1))=FP$14))   /   SUM(OFFSET($BO$15,0,0,$B$14,1)) + $B$18/($B$19*$B$19*($DN28&lt;&gt;$DO28) + $B$19*($DN28=$DO28))</f>
        <v>3.7037037037037035E-4</v>
      </c>
      <c r="FQ28" s="10" cm="1">
        <f t="array" aca="1" ref="FQ28" ca="1">(1-$B$18)*SUMPRODUCT(OFFSET($BO$15,0,0,$B$14,1), 1*(_xlfn._xlws.FILTER(OFFSET($O$15,0,$DN28,$B$8,1),OFFSET($M$15,0,0,$B$8,1))=FQ$13), 1*(_xlfn._xlws.FILTER(OFFSET($O$15,0,$DO28,$B$8,1),OFFSET($M$15,0,0,$B$8,1))=FQ$14))   /   SUM(OFFSET($BO$15,0,0,$B$14,1)) + $B$18/($B$19*$B$19*($DN28&lt;&gt;$DO28) + $B$19*($DN28=$DO28))</f>
        <v>3.7037037037037035E-4</v>
      </c>
      <c r="FR28" s="10" cm="1">
        <f t="array" aca="1" ref="FR28" ca="1">(1-$B$18)*SUMPRODUCT(OFFSET($BO$15,0,0,$B$14,1), 1*(_xlfn._xlws.FILTER(OFFSET($O$15,0,$DN28,$B$8,1),OFFSET($M$15,0,0,$B$8,1))=FR$13), 1*(_xlfn._xlws.FILTER(OFFSET($O$15,0,$DO28,$B$8,1),OFFSET($M$15,0,0,$B$8,1))=FR$14))   /   SUM(OFFSET($BO$15,0,0,$B$14,1)) + $B$18/($B$19*$B$19*($DN28&lt;&gt;$DO28) + $B$19*($DN28=$DO28))</f>
        <v>3.7037037037037035E-4</v>
      </c>
      <c r="FS28" s="10" cm="1">
        <f t="array" aca="1" ref="FS28" ca="1">(1-$B$18)*SUMPRODUCT(OFFSET($BO$15,0,0,$B$14,1), 1*(_xlfn._xlws.FILTER(OFFSET($O$15,0,$DN28,$B$8,1),OFFSET($M$15,0,0,$B$8,1))=FS$13), 1*(_xlfn._xlws.FILTER(OFFSET($O$15,0,$DO28,$B$8,1),OFFSET($M$15,0,0,$B$8,1))=FS$14))   /   SUM(OFFSET($BO$15,0,0,$B$14,1)) + $B$18/($B$19*$B$19*($DN28&lt;&gt;$DO28) + $B$19*($DN28=$DO28))</f>
        <v>3.7037037037037035E-4</v>
      </c>
      <c r="FT28" s="10" cm="1">
        <f t="array" aca="1" ref="FT28" ca="1">(1-$B$18)*SUMPRODUCT(OFFSET($BO$15,0,0,$B$14,1), 1*(_xlfn._xlws.FILTER(OFFSET($O$15,0,$DN28,$B$8,1),OFFSET($M$15,0,0,$B$8,1))=FT$13), 1*(_xlfn._xlws.FILTER(OFFSET($O$15,0,$DO28,$B$8,1),OFFSET($M$15,0,0,$B$8,1))=FT$14))   /   SUM(OFFSET($BO$15,0,0,$B$14,1)) + $B$18/($B$19*$B$19*($DN28&lt;&gt;$DO28) + $B$19*($DN28=$DO28))</f>
        <v>3.7037037037037035E-4</v>
      </c>
      <c r="FU28" s="10" cm="1">
        <f t="array" aca="1" ref="FU28" ca="1">(1-$B$18)*SUMPRODUCT(OFFSET($BO$15,0,0,$B$14,1), 1*(_xlfn._xlws.FILTER(OFFSET($O$15,0,$DN28,$B$8,1),OFFSET($M$15,0,0,$B$8,1))=FU$13), 1*(_xlfn._xlws.FILTER(OFFSET($O$15,0,$DO28,$B$8,1),OFFSET($M$15,0,0,$B$8,1))=FU$14))   /   SUM(OFFSET($BO$15,0,0,$B$14,1)) + $B$18/($B$19*$B$19*($DN28&lt;&gt;$DO28) + $B$19*($DN28=$DO28))</f>
        <v>3.7037037037037035E-4</v>
      </c>
      <c r="FV28" s="10" cm="1">
        <f t="array" aca="1" ref="FV28" ca="1">(1-$B$18)*SUMPRODUCT(OFFSET($BO$15,0,0,$B$14,1), 1*(_xlfn._xlws.FILTER(OFFSET($O$15,0,$DN28,$B$8,1),OFFSET($M$15,0,0,$B$8,1))=FV$13), 1*(_xlfn._xlws.FILTER(OFFSET($O$15,0,$DO28,$B$8,1),OFFSET($M$15,0,0,$B$8,1))=FV$14))   /   SUM(OFFSET($BO$15,0,0,$B$14,1)) + $B$18/($B$19*$B$19*($DN28&lt;&gt;$DO28) + $B$19*($DN28=$DO28))</f>
        <v>3.7037037037037035E-4</v>
      </c>
      <c r="FW28" s="10" cm="1">
        <f t="array" aca="1" ref="FW28" ca="1">(1-$B$18)*SUMPRODUCT(OFFSET($BO$15,0,0,$B$14,1), 1*(_xlfn._xlws.FILTER(OFFSET($O$15,0,$DN28,$B$8,1),OFFSET($M$15,0,0,$B$8,1))=FW$13), 1*(_xlfn._xlws.FILTER(OFFSET($O$15,0,$DO28,$B$8,1),OFFSET($M$15,0,0,$B$8,1))=FW$14))   /   SUM(OFFSET($BO$15,0,0,$B$14,1)) + $B$18/($B$19*$B$19*($DN28&lt;&gt;$DO28) + $B$19*($DN28=$DO28))</f>
        <v>3.7037037037037035E-4</v>
      </c>
      <c r="FX28" s="10" cm="1">
        <f t="array" aca="1" ref="FX28" ca="1">(1-$B$18)*SUMPRODUCT(OFFSET($BO$15,0,0,$B$14,1), 1*(_xlfn._xlws.FILTER(OFFSET($O$15,0,$DN28,$B$8,1),OFFSET($M$15,0,0,$B$8,1))=FX$13), 1*(_xlfn._xlws.FILTER(OFFSET($O$15,0,$DO28,$B$8,1),OFFSET($M$15,0,0,$B$8,1))=FX$14))   /   SUM(OFFSET($BO$15,0,0,$B$14,1)) + $B$18/($B$19*$B$19*($DN28&lt;&gt;$DO28) + $B$19*($DN28=$DO28))</f>
        <v>3.7037037037037035E-4</v>
      </c>
      <c r="FY28" s="10" cm="1">
        <f t="array" aca="1" ref="FY28" ca="1">(1-$B$18)*SUMPRODUCT(OFFSET($BO$15,0,0,$B$14,1), 1*(_xlfn._xlws.FILTER(OFFSET($O$15,0,$DN28,$B$8,1),OFFSET($M$15,0,0,$B$8,1))=FY$13), 1*(_xlfn._xlws.FILTER(OFFSET($O$15,0,$DO28,$B$8,1),OFFSET($M$15,0,0,$B$8,1))=FY$14))   /   SUM(OFFSET($BO$15,0,0,$B$14,1)) + $B$18/($B$19*$B$19*($DN28&lt;&gt;$DO28) + $B$19*($DN28=$DO28))</f>
        <v>3.7037037037037035E-4</v>
      </c>
      <c r="FZ28" s="10" cm="1">
        <f t="array" aca="1" ref="FZ28" ca="1">(1-$B$18)*SUMPRODUCT(OFFSET($BO$15,0,0,$B$14,1), 1*(_xlfn._xlws.FILTER(OFFSET($O$15,0,$DN28,$B$8,1),OFFSET($M$15,0,0,$B$8,1))=FZ$13), 1*(_xlfn._xlws.FILTER(OFFSET($O$15,0,$DO28,$B$8,1),OFFSET($M$15,0,0,$B$8,1))=FZ$14))   /   SUM(OFFSET($BO$15,0,0,$B$14,1)) + $B$18/($B$19*$B$19*($DN28&lt;&gt;$DO28) + $B$19*($DN28=$DO28))</f>
        <v>3.7037037037037035E-4</v>
      </c>
      <c r="GA28" s="10" cm="1">
        <f t="array" aca="1" ref="GA28" ca="1">(1-$B$18)*SUMPRODUCT(OFFSET($BO$15,0,0,$B$14,1), 1*(_xlfn._xlws.FILTER(OFFSET($O$15,0,$DN28,$B$8,1),OFFSET($M$15,0,0,$B$8,1))=GA$13), 1*(_xlfn._xlws.FILTER(OFFSET($O$15,0,$DO28,$B$8,1),OFFSET($M$15,0,0,$B$8,1))=GA$14))   /   SUM(OFFSET($BO$15,0,0,$B$14,1)) + $B$18/($B$19*$B$19*($DN28&lt;&gt;$DO28) + $B$19*($DN28=$DO28))</f>
        <v>3.7037037037037035E-4</v>
      </c>
    </row>
    <row r="29" spans="1:183" x14ac:dyDescent="0.2">
      <c r="D29" s="10">
        <f ca="1"/>
        <v>15</v>
      </c>
      <c r="F29" s="10">
        <f ca="1"/>
        <v>0.2</v>
      </c>
      <c r="H29" s="10">
        <f ca="1"/>
        <v>15</v>
      </c>
      <c r="J29" cm="1">
        <f t="array" aca="1" ref="J29" ca="1">SUMPRODUCT((O29:AJ29=$O$11:$AJ$11)*(O$13:AJ$13=TRUE))  / COUNTIF(O$13:AJ$13,TRUE)</f>
        <v>0.95</v>
      </c>
      <c r="K29" t="b">
        <f t="shared" ca="1" si="4"/>
        <v>1</v>
      </c>
      <c r="L29" cm="1">
        <f t="array" aca="1" ref="L29" ca="1">SUM(
   1*(_xlfn._xlws.FILTER(OFFSET($O29,0,0,1,$B$9),OFFSET($O$13,0,0,1,$B$9)) = "-")
) / $B$13</f>
        <v>0.05</v>
      </c>
      <c r="M29" t="b">
        <f t="shared" ca="1" si="5"/>
        <v>1</v>
      </c>
      <c r="N29" s="2">
        <v>14</v>
      </c>
      <c r="O29" s="12" t="s">
        <v>11</v>
      </c>
      <c r="P29" s="9" t="s">
        <v>11</v>
      </c>
      <c r="Q29" s="9" t="s">
        <v>11</v>
      </c>
      <c r="R29" s="9" t="s">
        <v>11</v>
      </c>
      <c r="S29" s="9" t="s">
        <v>11</v>
      </c>
      <c r="T29" s="12" t="s">
        <v>11</v>
      </c>
      <c r="U29" s="9" t="s">
        <v>11</v>
      </c>
      <c r="V29" s="9" t="s">
        <v>11</v>
      </c>
      <c r="W29" s="9" t="s">
        <v>11</v>
      </c>
      <c r="X29" s="9" t="s">
        <v>11</v>
      </c>
      <c r="Y29" s="12" t="s">
        <v>5</v>
      </c>
      <c r="Z29" s="9" t="s">
        <v>0</v>
      </c>
      <c r="AA29" s="9" t="s">
        <v>1</v>
      </c>
      <c r="AB29" s="9" t="s">
        <v>1</v>
      </c>
      <c r="AC29" s="9" t="s">
        <v>2</v>
      </c>
      <c r="AD29" s="12" t="s">
        <v>2</v>
      </c>
      <c r="AE29" s="9" t="s">
        <v>5</v>
      </c>
      <c r="AF29" s="9" t="s">
        <v>5</v>
      </c>
      <c r="AG29" s="9" t="s">
        <v>3</v>
      </c>
      <c r="AH29" s="9" t="s">
        <v>3</v>
      </c>
      <c r="AI29" s="12" t="s">
        <v>4</v>
      </c>
      <c r="AJ29" s="9" t="s">
        <v>4</v>
      </c>
      <c r="AK29" s="7"/>
      <c r="AN29">
        <f t="shared" ca="1" si="6"/>
        <v>3</v>
      </c>
      <c r="AO29" s="14">
        <f t="shared" ca="1" si="7"/>
        <v>0.33333333333333331</v>
      </c>
      <c r="AP29" s="2">
        <f ca="1"/>
        <v>15</v>
      </c>
      <c r="AQ29" cm="1">
        <f t="array" aca="1" ref="AQ29" ca="1">IF($AP29=AQ$14, 1, SUMPRODUCT(
    --(OFFSET($O$13,0,0,1,$B$9)=TRUE),
    --(INDEX(OFFSET($O$15,0,0,$B$8,$B$9), 1+$AP29, 0) = INDEX(OFFSET($O$15,0,0,$B$8,$B$9), 1+AQ$14, 0))
) / $B$13)</f>
        <v>0.8</v>
      </c>
      <c r="AR29" cm="1">
        <f t="array" aca="1" ref="AR29" ca="1">IF($AP29=AR$14, 1, SUMPRODUCT(
    --(OFFSET($O$13,0,0,1,$B$9)=TRUE),
    --(INDEX(OFFSET($O$15,0,0,$B$8,$B$9), 1+$AP29, 0) = INDEX(OFFSET($O$15,0,0,$B$8,$B$9), 1+AR$14, 0))
) / $B$13)</f>
        <v>0.8</v>
      </c>
      <c r="AS29" cm="1">
        <f t="array" aca="1" ref="AS29" ca="1">IF($AP29=AS$14, 1, SUMPRODUCT(
    --(OFFSET($O$13,0,0,1,$B$9)=TRUE),
    --(INDEX(OFFSET($O$15,0,0,$B$8,$B$9), 1+$AP29, 0) = INDEX(OFFSET($O$15,0,0,$B$8,$B$9), 1+AS$14, 0))
) / $B$13)</f>
        <v>0.8</v>
      </c>
      <c r="AT29" cm="1">
        <f t="array" aca="1" ref="AT29" ca="1">IF($AP29=AT$14, 1, SUMPRODUCT(
    --(OFFSET($O$13,0,0,1,$B$9)=TRUE),
    --(INDEX(OFFSET($O$15,0,0,$B$8,$B$9), 1+$AP29, 0) = INDEX(OFFSET($O$15,0,0,$B$8,$B$9), 1+AT$14, 0))
) / $B$13)</f>
        <v>0.8</v>
      </c>
      <c r="AU29" cm="1">
        <f t="array" aca="1" ref="AU29" ca="1">IF($AP29=AU$14, 1, SUMPRODUCT(
    --(OFFSET($O$13,0,0,1,$B$9)=TRUE),
    --(INDEX(OFFSET($O$15,0,0,$B$8,$B$9), 1+$AP29, 0) = INDEX(OFFSET($O$15,0,0,$B$8,$B$9), 1+AU$14, 0))
) / $B$13)</f>
        <v>0.8</v>
      </c>
      <c r="AV29" cm="1">
        <f t="array" aca="1" ref="AV29" ca="1">IF($AP29=AV$14, 1, SUMPRODUCT(
    --(OFFSET($O$13,0,0,1,$B$9)=TRUE),
    --(INDEX(OFFSET($O$15,0,0,$B$8,$B$9), 1+$AP29, 0) = INDEX(OFFSET($O$15,0,0,$B$8,$B$9), 1+AV$14, 0))
) / $B$13)</f>
        <v>0.8</v>
      </c>
      <c r="AW29" cm="1">
        <f t="array" aca="1" ref="AW29" ca="1">IF($AP29=AW$14, 1, SUMPRODUCT(
    --(OFFSET($O$13,0,0,1,$B$9)=TRUE),
    --(INDEX(OFFSET($O$15,0,0,$B$8,$B$9), 1+$AP29, 0) = INDEX(OFFSET($O$15,0,0,$B$8,$B$9), 1+AW$14, 0))
) / $B$13)</f>
        <v>0.95</v>
      </c>
      <c r="AX29" cm="1">
        <f t="array" aca="1" ref="AX29" ca="1">IF($AP29=AX$14, 1, SUMPRODUCT(
    --(OFFSET($O$13,0,0,1,$B$9)=TRUE),
    --(INDEX(OFFSET($O$15,0,0,$B$8,$B$9), 1+$AP29, 0) = INDEX(OFFSET($O$15,0,0,$B$8,$B$9), 1+AX$14, 0))
) / $B$13)</f>
        <v>0.95</v>
      </c>
      <c r="AY29" cm="1">
        <f t="array" aca="1" ref="AY29" ca="1">IF($AP29=AY$14, 1, SUMPRODUCT(
    --(OFFSET($O$13,0,0,1,$B$9)=TRUE),
    --(INDEX(OFFSET($O$15,0,0,$B$8,$B$9), 1+$AP29, 0) = INDEX(OFFSET($O$15,0,0,$B$8,$B$9), 1+AY$14, 0))
) / $B$13)</f>
        <v>0.8</v>
      </c>
      <c r="AZ29" cm="1">
        <f t="array" aca="1" ref="AZ29" ca="1">IF($AP29=AZ$14, 1, SUMPRODUCT(
    --(OFFSET($O$13,0,0,1,$B$9)=TRUE),
    --(INDEX(OFFSET($O$15,0,0,$B$8,$B$9), 1+$AP29, 0) = INDEX(OFFSET($O$15,0,0,$B$8,$B$9), 1+AZ$14, 0))
) / $B$13)</f>
        <v>0.8</v>
      </c>
      <c r="BA29" cm="1">
        <f t="array" aca="1" ref="BA29" ca="1">IF($AP29=BA$14, 1, SUMPRODUCT(
    --(OFFSET($O$13,0,0,1,$B$9)=TRUE),
    --(INDEX(OFFSET($O$15,0,0,$B$8,$B$9), 1+$AP29, 0) = INDEX(OFFSET($O$15,0,0,$B$8,$B$9), 1+BA$14, 0))
) / $B$13)</f>
        <v>0.8</v>
      </c>
      <c r="BB29" cm="1">
        <f t="array" aca="1" ref="BB29" ca="1">IF($AP29=BB$14, 1, SUMPRODUCT(
    --(OFFSET($O$13,0,0,1,$B$9)=TRUE),
    --(INDEX(OFFSET($O$15,0,0,$B$8,$B$9), 1+$AP29, 0) = INDEX(OFFSET($O$15,0,0,$B$8,$B$9), 1+BB$14, 0))
) / $B$13)</f>
        <v>0.8</v>
      </c>
      <c r="BC29" cm="1">
        <f t="array" aca="1" ref="BC29" ca="1">IF($AP29=BC$14, 1, SUMPRODUCT(
    --(OFFSET($O$13,0,0,1,$B$9)=TRUE),
    --(INDEX(OFFSET($O$15,0,0,$B$8,$B$9), 1+$AP29, 0) = INDEX(OFFSET($O$15,0,0,$B$8,$B$9), 1+BC$14, 0))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
) / $B$13)</f>
        <v>0.85</v>
      </c>
      <c r="BE29" cm="1">
        <f t="array" aca="1" ref="BE29" ca="1">IF($AP29=BE$14, 1, SUMPRODUCT(
    --(OFFSET($O$13,0,0,1,$B$9)=TRUE),
    --(INDEX(OFFSET($O$15,0,0,$B$8,$B$9), 1+$AP29, 0) = INDEX(OFFSET($O$15,0,0,$B$8,$B$9), 1+BE$14, 0))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
) / $B$13)</f>
        <v>1</v>
      </c>
      <c r="BG29" cm="1">
        <f t="array" aca="1" ref="BG29" ca="1">IF($AP29=BG$14, 1, SUMPRODUCT(
    --(OFFSET($O$13,0,0,1,$B$9)=TRUE),
    --(INDEX(OFFSET($O$15,0,0,$B$8,$B$9), 1+$AP29, 0) = INDEX(OFFSET($O$15,0,0,$B$8,$B$9), 1+BG$14, 0))
) / $B$13)</f>
        <v>0.85</v>
      </c>
      <c r="BH29" cm="1">
        <f t="array" aca="1" ref="BH29" ca="1">IF($AP29=BH$14, 1, SUMPRODUCT(
    --(OFFSET($O$13,0,0,1,$B$9)=TRUE),
    --(INDEX(OFFSET($O$15,0,0,$B$8,$B$9), 1+$AP29, 0) = INDEX(OFFSET($O$15,0,0,$B$8,$B$9), 1+BH$14, 0))
) / $B$13)</f>
        <v>1</v>
      </c>
      <c r="BI29" cm="1">
        <f t="array" aca="1" ref="BI29" ca="1">IF($AP29=BI$14, 1, SUMPRODUCT(
    --(OFFSET($O$13,0,0,1,$B$9)=TRUE),
    --(INDEX(OFFSET($O$15,0,0,$B$8,$B$9), 1+$AP29, 0) = INDEX(OFFSET($O$15,0,0,$B$8,$B$9), 1+BI$14, 0))
) / $B$13)</f>
        <v>0.85</v>
      </c>
      <c r="BJ29" cm="1">
        <f t="array" aca="1" ref="BJ29" ca="1">IF($AP29=BJ$14, 1, SUMPRODUCT(
    --(OFFSET($O$13,0,0,1,$B$9)=TRUE),
    --(INDEX(OFFSET($O$15,0,0,$B$8,$B$9), 1+$AP29, 0) = INDEX(OFFSET($O$15,0,0,$B$8,$B$9), 1+BJ$14, 0))
) / $B$13)</f>
        <v>0.9</v>
      </c>
      <c r="BN29">
        <f t="shared" ca="1" si="8"/>
        <v>5</v>
      </c>
      <c r="BO29" s="14">
        <f t="shared" ca="1" si="9"/>
        <v>0.2</v>
      </c>
      <c r="BP29" s="2">
        <f ca="1"/>
        <v>15</v>
      </c>
      <c r="BQ29" cm="1">
        <f t="array" aca="1" ref="BQ29" ca="1">IF($BP29=BQ$14, 1, SUMPRODUCT(
    --(OFFSET($O$9,0,0,1,$B$9)=TRUE),
    --(INDEX(OFFSET($O$15,0,0,$B$8,$B$9), 1+$BP29, 0) = INDEX(OFFSET($O$15,0,0,$B$8,$B$9), 1+BQ$14, 0))
) / $B$16)</f>
        <v>0.84210526315789469</v>
      </c>
      <c r="BR29" cm="1">
        <f t="array" aca="1" ref="BR29" ca="1">IF($BP29=BR$14, 1, SUMPRODUCT(
    --(OFFSET($O$9,0,0,1,$B$9)=TRUE),
    --(INDEX(OFFSET($O$15,0,0,$B$8,$B$9), 1+$BP29, 0) = INDEX(OFFSET($O$15,0,0,$B$8,$B$9), 1+BR$14, 0))
) / $B$16)</f>
        <v>0.84210526315789469</v>
      </c>
      <c r="BS29" cm="1">
        <f t="array" aca="1" ref="BS29" ca="1">IF($BP29=BS$14, 1, SUMPRODUCT(
    --(OFFSET($O$9,0,0,1,$B$9)=TRUE),
    --(INDEX(OFFSET($O$15,0,0,$B$8,$B$9), 1+$BP29, 0) = INDEX(OFFSET($O$15,0,0,$B$8,$B$9), 1+BS$14, 0))
) / $B$16)</f>
        <v>0.84210526315789469</v>
      </c>
      <c r="BT29" cm="1">
        <f t="array" aca="1" ref="BT29" ca="1">IF($BP29=BT$14, 1, SUMPRODUCT(
    --(OFFSET($O$9,0,0,1,$B$9)=TRUE),
    --(INDEX(OFFSET($O$15,0,0,$B$8,$B$9), 1+$BP29, 0) = INDEX(OFFSET($O$15,0,0,$B$8,$B$9), 1+BT$14, 0))
) / $B$16)</f>
        <v>0.84210526315789469</v>
      </c>
      <c r="BU29" cm="1">
        <f t="array" aca="1" ref="BU29" ca="1">IF($BP29=BU$14, 1, SUMPRODUCT(
    --(OFFSET($O$9,0,0,1,$B$9)=TRUE),
    --(INDEX(OFFSET($O$15,0,0,$B$8,$B$9), 1+$BP29, 0) = INDEX(OFFSET($O$15,0,0,$B$8,$B$9), 1+BU$14, 0))
) / $B$16)</f>
        <v>0.84210526315789469</v>
      </c>
      <c r="BV29" cm="1">
        <f t="array" aca="1" ref="BV29" ca="1">IF($BP29=BV$14, 1, SUMPRODUCT(
    --(OFFSET($O$9,0,0,1,$B$9)=TRUE),
    --(INDEX(OFFSET($O$15,0,0,$B$8,$B$9), 1+$BP29, 0) = INDEX(OFFSET($O$15,0,0,$B$8,$B$9), 1+BV$14, 0))
) / $B$16)</f>
        <v>0.84210526315789469</v>
      </c>
      <c r="BW29" cm="1">
        <f t="array" aca="1" ref="BW29" ca="1">IF($BP29=BW$14, 1, SUMPRODUCT(
    --(OFFSET($O$9,0,0,1,$B$9)=TRUE),
    --(INDEX(OFFSET($O$15,0,0,$B$8,$B$9), 1+$BP29, 0) = INDEX(OFFSET($O$15,0,0,$B$8,$B$9), 1+BW$14, 0))
) / $B$16)</f>
        <v>1</v>
      </c>
      <c r="BX29" cm="1">
        <f t="array" aca="1" ref="BX29" ca="1">IF($BP29=BX$14, 1, SUMPRODUCT(
    --(OFFSET($O$9,0,0,1,$B$9)=TRUE),
    --(INDEX(OFFSET($O$15,0,0,$B$8,$B$9), 1+$BP29, 0) = INDEX(OFFSET($O$15,0,0,$B$8,$B$9), 1+BX$14, 0))
) / $B$16)</f>
        <v>1</v>
      </c>
      <c r="BY29" cm="1">
        <f t="array" aca="1" ref="BY29" ca="1">IF($BP29=BY$14, 1, SUMPRODUCT(
    --(OFFSET($O$9,0,0,1,$B$9)=TRUE),
    --(INDEX(OFFSET($O$15,0,0,$B$8,$B$9), 1+$BP29, 0) = INDEX(OFFSET($O$15,0,0,$B$8,$B$9), 1+BY$14, 0))
) / $B$16)</f>
        <v>0.84210526315789469</v>
      </c>
      <c r="BZ29" cm="1">
        <f t="array" aca="1" ref="BZ29" ca="1">IF($BP29=BZ$14, 1, SUMPRODUCT(
    --(OFFSET($O$9,0,0,1,$B$9)=TRUE),
    --(INDEX(OFFSET($O$15,0,0,$B$8,$B$9), 1+$BP29, 0) = INDEX(OFFSET($O$15,0,0,$B$8,$B$9), 1+BZ$14, 0))
) / $B$16)</f>
        <v>0.84210526315789469</v>
      </c>
      <c r="CA29" cm="1">
        <f t="array" aca="1" ref="CA29" ca="1">IF($BP29=CA$14, 1, SUMPRODUCT(
    --(OFFSET($O$9,0,0,1,$B$9)=TRUE),
    --(INDEX(OFFSET($O$15,0,0,$B$8,$B$9), 1+$BP29, 0) = INDEX(OFFSET($O$15,0,0,$B$8,$B$9), 1+CA$14, 0))
) / $B$16)</f>
        <v>0.84210526315789469</v>
      </c>
      <c r="CB29" cm="1">
        <f t="array" aca="1" ref="CB29" ca="1">IF($BP29=CB$14, 1, SUMPRODUCT(
    --(OFFSET($O$9,0,0,1,$B$9)=TRUE),
    --(INDEX(OFFSET($O$15,0,0,$B$8,$B$9), 1+$BP29, 0) = INDEX(OFFSET($O$15,0,0,$B$8,$B$9), 1+CB$14, 0))
) / $B$16)</f>
        <v>0.84210526315789469</v>
      </c>
      <c r="CC29" cm="1">
        <f t="array" aca="1" ref="CC29" ca="1">IF($BP29=CC$14, 1, SUMPRODUCT(
    --(OFFSET($O$9,0,0,1,$B$9)=TRUE),
    --(INDEX(OFFSET($O$15,0,0,$B$8,$B$9), 1+$BP29, 0) = INDEX(OFFSET($O$15,0,0,$B$8,$B$9), 1+CC$14, 0))
) / $B$16)</f>
        <v>0.84210526315789469</v>
      </c>
      <c r="CD29" cm="1">
        <f t="array" aca="1" ref="CD29" ca="1">IF($BP29=CD$14, 1, SUMPRODUCT(
    --(OFFSET($O$9,0,0,1,$B$9)=TRUE),
    --(INDEX(OFFSET($O$15,0,0,$B$8,$B$9), 1+$BP29, 0) = INDEX(OFFSET($O$15,0,0,$B$8,$B$9), 1+CD$14, 0))
) / $B$16)</f>
        <v>0.84210526315789469</v>
      </c>
      <c r="CE29" cm="1">
        <f t="array" aca="1" ref="CE29" ca="1">IF($BP29=CE$14, 1, SUMPRODUCT(
    --(OFFSET($O$9,0,0,1,$B$9)=TRUE),
    --(INDEX(OFFSET($O$15,0,0,$B$8,$B$9), 1+$BP29, 0) = INDEX(OFFSET($O$15,0,0,$B$8,$B$9), 1+CE$14, 0))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
) / $B$16)</f>
        <v>1</v>
      </c>
      <c r="CG29" cm="1">
        <f t="array" aca="1" ref="CG29" ca="1">IF($BP29=CG$14, 1, SUMPRODUCT(
    --(OFFSET($O$9,0,0,1,$B$9)=TRUE),
    --(INDEX(OFFSET($O$15,0,0,$B$8,$B$9), 1+$BP29, 0) = INDEX(OFFSET($O$15,0,0,$B$8,$B$9), 1+CG$14, 0))
) / $B$16)</f>
        <v>0.84210526315789469</v>
      </c>
      <c r="CH29" cm="1">
        <f t="array" aca="1" ref="CH29" ca="1">IF($BP29=CH$14, 1, SUMPRODUCT(
    --(OFFSET($O$9,0,0,1,$B$9)=TRUE),
    --(INDEX(OFFSET($O$15,0,0,$B$8,$B$9), 1+$BP29, 0) = INDEX(OFFSET($O$15,0,0,$B$8,$B$9), 1+CH$14, 0))
) / $B$16)</f>
        <v>1</v>
      </c>
      <c r="CI29" cm="1">
        <f t="array" aca="1" ref="CI29" ca="1">IF($BP29=CI$14, 1, SUMPRODUCT(
    --(OFFSET($O$9,0,0,1,$B$9)=TRUE),
    --(INDEX(OFFSET($O$15,0,0,$B$8,$B$9), 1+$BP29, 0) = INDEX(OFFSET($O$15,0,0,$B$8,$B$9), 1+CI$14, 0))
) / $B$16)</f>
        <v>0.84210526315789469</v>
      </c>
      <c r="CJ29" cm="1">
        <f t="array" aca="1" ref="CJ29" ca="1">IF($BP29=CJ$14, 1, SUMPRODUCT(
    --(OFFSET($O$9,0,0,1,$B$9)=TRUE),
    --(INDEX(OFFSET($O$15,0,0,$B$8,$B$9), 1+$BP29, 0) = INDEX(OFFSET($O$15,0,0,$B$8,$B$9), 1+CJ$14, 0))
) / $B$16)</f>
        <v>0.94736842105263153</v>
      </c>
      <c r="CP29">
        <f ca="1"/>
        <v>15</v>
      </c>
      <c r="CQ29" cm="1">
        <f t="array" aca="1" ref="CQ29" ca="1">(1-$B$18)*SUMPRODUCT(OFFSET($BO$15,0,0,$B$14,1), 1*(_xlfn._xlws.FILTER(OFFSET($O$15,0,$CP29,$B$8,1), OFFSET($M$15,0,0,$B$8,1))=CQ$14))   /   SUM(OFFSET($BO$15,0,0,$B$14,1)) + $B$18/$B$19</f>
        <v>3.3333333333333331E-3</v>
      </c>
      <c r="CR29" s="10" cm="1">
        <f t="array" aca="1" ref="CR29" ca="1">(1-$B$18)*SUMPRODUCT(OFFSET($BO$15,0,0,$B$14,1), 1*(_xlfn._xlws.FILTER(OFFSET($O$15,0,$CP29,$B$8,1), OFFSET($M$15,0,0,$B$8,1))=CR$14))   /   SUM(OFFSET($BO$15,0,0,$B$14,1)) + $B$18/$B$19</f>
        <v>3.3333333333333331E-3</v>
      </c>
      <c r="CS29" s="10" cm="1">
        <f t="array" aca="1" ref="CS29" ca="1">(1-$B$18)*SUMPRODUCT(OFFSET($BO$15,0,0,$B$14,1), 1*(_xlfn._xlws.FILTER(OFFSET($O$15,0,$CP29,$B$8,1), OFFSET($M$15,0,0,$B$8,1))=CS$14))   /   SUM(OFFSET($BO$15,0,0,$B$14,1)) + $B$18/$B$19</f>
        <v>3.3333333333333331E-3</v>
      </c>
      <c r="CT29" s="10" cm="1">
        <f t="array" aca="1" ref="CT29" ca="1">(1-$B$18)*SUMPRODUCT(OFFSET($BO$15,0,0,$B$14,1), 1*(_xlfn._xlws.FILTER(OFFSET($O$15,0,$CP29,$B$8,1), OFFSET($M$15,0,0,$B$8,1))=CT$14))   /   SUM(OFFSET($BO$15,0,0,$B$14,1)) + $B$18/$B$19</f>
        <v>0.97333333333333327</v>
      </c>
      <c r="CU29" s="10" cm="1">
        <f t="array" aca="1" ref="CU29" ca="1">(1-$B$18)*SUMPRODUCT(OFFSET($BO$15,0,0,$B$14,1), 1*(_xlfn._xlws.FILTER(OFFSET($O$15,0,$CP29,$B$8,1), OFFSET($M$15,0,0,$B$8,1))=CU$14))   /   SUM(OFFSET($BO$15,0,0,$B$14,1)) + $B$18/$B$19</f>
        <v>3.3333333333333331E-3</v>
      </c>
      <c r="CV29" s="10" cm="1">
        <f t="array" aca="1" ref="CV29" ca="1">(1-$B$18)*SUMPRODUCT(OFFSET($BO$15,0,0,$B$14,1), 1*(_xlfn._xlws.FILTER(OFFSET($O$15,0,$CP29,$B$8,1), OFFSET($M$15,0,0,$B$8,1))=CV$14))   /   SUM(OFFSET($BO$15,0,0,$B$14,1)) + $B$18/$B$19</f>
        <v>3.3333333333333331E-3</v>
      </c>
      <c r="CW29" s="10" cm="1">
        <f t="array" aca="1" ref="CW29" ca="1">(1-$B$18)*SUMPRODUCT(OFFSET($BO$15,0,0,$B$14,1), 1*(_xlfn._xlws.FILTER(OFFSET($O$15,0,$CP29,$B$8,1), OFFSET($M$15,0,0,$B$8,1))=CW$14))   /   SUM(OFFSET($BO$15,0,0,$B$14,1)) + $B$18/$B$19</f>
        <v>3.3333333333333331E-3</v>
      </c>
      <c r="CX29" s="10" cm="1">
        <f t="array" aca="1" ref="CX29" ca="1">(1-$B$18)*SUMPRODUCT(OFFSET($BO$15,0,0,$B$14,1), 1*(_xlfn._xlws.FILTER(OFFSET($O$15,0,$CP29,$B$8,1), OFFSET($M$15,0,0,$B$8,1))=CX$14))   /   SUM(OFFSET($BO$15,0,0,$B$14,1)) + $B$18/$B$19</f>
        <v>3.3333333333333331E-3</v>
      </c>
      <c r="CY29" s="10" cm="1">
        <f t="array" aca="1" ref="CY29" ca="1">(1-$B$18)*SUMPRODUCT(OFFSET($BO$15,0,0,$B$14,1), 1*(_xlfn._xlws.FILTER(OFFSET($O$15,0,$CP29,$B$8,1), OFFSET($M$15,0,0,$B$8,1))=CY$14))   /   SUM(OFFSET($BO$15,0,0,$B$14,1)) + $B$18/$B$19</f>
        <v>3.3333333333333331E-3</v>
      </c>
      <c r="DB29" s="10" cm="1">
        <f t="array" aca="1" ref="DB29" ca="1">SUM(OFFSET($CR29,0,0,1,$M$2)*LN(OFFSET($CR29,0,0,1,$M$2)/OFFSET($CR$11,0,0,1,$M$2)))+IF($CQ$11&gt;0,OFFSET($O$10,0,$CP29,1,1)*LN(OFFSET($O$10,0,$CP29,1,1)/$CQ$11),0)</f>
        <v>1.9131139043413503</v>
      </c>
      <c r="DC29">
        <f ca="1"/>
        <v>15</v>
      </c>
      <c r="DD29" s="10">
        <f t="shared" ca="1" si="11"/>
        <v>0.11767737994455678</v>
      </c>
      <c r="DE29" s="10">
        <f t="shared" ca="1" si="10"/>
        <v>0.11767737994455678</v>
      </c>
      <c r="DF29" s="10">
        <f t="shared" ca="1" si="10"/>
        <v>1.9045936050347492</v>
      </c>
      <c r="DG29" s="10">
        <f t="shared" ca="1" si="10"/>
        <v>0.11767737994455678</v>
      </c>
      <c r="DH29" s="10">
        <f t="shared" ca="1" si="10"/>
        <v>0.11767737994455678</v>
      </c>
      <c r="DI29" s="10">
        <f t="shared" ca="1" si="10"/>
        <v>0.11767737994455678</v>
      </c>
      <c r="DJ29" s="10">
        <f t="shared" ca="1" si="10"/>
        <v>0.11767737994455678</v>
      </c>
      <c r="DK29" s="10">
        <f t="shared" ca="1" si="10"/>
        <v>0.11767737994455678</v>
      </c>
      <c r="DN29" cm="1">
        <f t="array" aca="1" ref="DN29" ca="1">INDEX(_xlfn.ANCHORARRAY($CP$15), 1 + INT((ROWS($DO$15:$DO29) - 1) / ROWS(_xlfn.ANCHORARRAY($CP$15))))</f>
        <v>0</v>
      </c>
      <c r="DO29" cm="1">
        <f t="array" aca="1" ref="DO29" ca="1">INDEX(_xlfn.ANCHORARRAY($CP$15),1+MOD(ROWS($DO$15:$DO29)-1,ROWS(_xlfn.ANCHORARRAY($CP$15))))</f>
        <v>15</v>
      </c>
      <c r="DP29" s="10" cm="1">
        <f t="array" aca="1" ref="DP29" ca="1">(1-$B$18)*SUMPRODUCT(OFFSET($BO$15,0,0,$B$14,1), 1*(_xlfn._xlws.FILTER(OFFSET($O$15,0,$DN29,$B$8,1),OFFSET($M$15,0,0,$B$8,1))=DP$13), 1*(_xlfn._xlws.FILTER(OFFSET($O$15,0,$DO29,$B$8,1),OFFSET($M$15,0,0,$B$8,1))=DP$14))   /   SUM(OFFSET($BO$15,0,0,$B$14,1)) + $B$18/($B$19*$B$19*($DN29&lt;&gt;$DO29) + $B$19*($DN29=$DO29))</f>
        <v>3.7037037037037035E-4</v>
      </c>
      <c r="DQ29" s="10" cm="1">
        <f t="array" aca="1" ref="DQ29" ca="1">(1-$B$18)*SUMPRODUCT(OFFSET($BO$15,0,0,$B$14,1), 1*(_xlfn._xlws.FILTER(OFFSET($O$15,0,$DN29,$B$8,1),OFFSET($M$15,0,0,$B$8,1))=DQ$13), 1*(_xlfn._xlws.FILTER(OFFSET($O$15,0,$DO29,$B$8,1),OFFSET($M$15,0,0,$B$8,1))=DQ$14))   /   SUM(OFFSET($BO$15,0,0,$B$14,1)) + $B$18/($B$19*$B$19*($DN29&lt;&gt;$DO29) + $B$19*($DN29=$DO29))</f>
        <v>3.7037037037037035E-4</v>
      </c>
      <c r="DR29" s="10" cm="1">
        <f t="array" aca="1" ref="DR29" ca="1">(1-$B$18)*SUMPRODUCT(OFFSET($BO$15,0,0,$B$14,1), 1*(_xlfn._xlws.FILTER(OFFSET($O$15,0,$DN29,$B$8,1),OFFSET($M$15,0,0,$B$8,1))=DR$13), 1*(_xlfn._xlws.FILTER(OFFSET($O$15,0,$DO29,$B$8,1),OFFSET($M$15,0,0,$B$8,1))=DR$14))   /   SUM(OFFSET($BO$15,0,0,$B$14,1)) + $B$18/($B$19*$B$19*($DN29&lt;&gt;$DO29) + $B$19*($DN29=$DO29))</f>
        <v>3.7037037037037035E-4</v>
      </c>
      <c r="DS29" s="10" cm="1">
        <f t="array" aca="1" ref="DS29" ca="1">(1-$B$18)*SUMPRODUCT(OFFSET($BO$15,0,0,$B$14,1), 1*(_xlfn._xlws.FILTER(OFFSET($O$15,0,$DN29,$B$8,1),OFFSET($M$15,0,0,$B$8,1))=DS$13), 1*(_xlfn._xlws.FILTER(OFFSET($O$15,0,$DO29,$B$8,1),OFFSET($M$15,0,0,$B$8,1))=DS$14))   /   SUM(OFFSET($BO$15,0,0,$B$14,1)) + $B$18/($B$19*$B$19*($DN29&lt;&gt;$DO29) + $B$19*($DN29=$DO29))</f>
        <v>3.7037037037037035E-4</v>
      </c>
      <c r="DT29" s="10" cm="1">
        <f t="array" aca="1" ref="DT29" ca="1">(1-$B$18)*SUMPRODUCT(OFFSET($BO$15,0,0,$B$14,1), 1*(_xlfn._xlws.FILTER(OFFSET($O$15,0,$DN29,$B$8,1),OFFSET($M$15,0,0,$B$8,1))=DT$13), 1*(_xlfn._xlws.FILTER(OFFSET($O$15,0,$DO29,$B$8,1),OFFSET($M$15,0,0,$B$8,1))=DT$14))   /   SUM(OFFSET($BO$15,0,0,$B$14,1)) + $B$18/($B$19*$B$19*($DN29&lt;&gt;$DO29) + $B$19*($DN29=$DO29))</f>
        <v>3.7037037037037035E-4</v>
      </c>
      <c r="DU29" s="10" cm="1">
        <f t="array" aca="1" ref="DU29" ca="1">(1-$B$18)*SUMPRODUCT(OFFSET($BO$15,0,0,$B$14,1), 1*(_xlfn._xlws.FILTER(OFFSET($O$15,0,$DN29,$B$8,1),OFFSET($M$15,0,0,$B$8,1))=DU$13), 1*(_xlfn._xlws.FILTER(OFFSET($O$15,0,$DO29,$B$8,1),OFFSET($M$15,0,0,$B$8,1))=DU$14))   /   SUM(OFFSET($BO$15,0,0,$B$14,1)) + $B$18/($B$19*$B$19*($DN29&lt;&gt;$DO29) + $B$19*($DN29=$DO29))</f>
        <v>3.7037037037037035E-4</v>
      </c>
      <c r="DV29" s="10" cm="1">
        <f t="array" aca="1" ref="DV29" ca="1">(1-$B$18)*SUMPRODUCT(OFFSET($BO$15,0,0,$B$14,1), 1*(_xlfn._xlws.FILTER(OFFSET($O$15,0,$DN29,$B$8,1),OFFSET($M$15,0,0,$B$8,1))=DV$13), 1*(_xlfn._xlws.FILTER(OFFSET($O$15,0,$DO29,$B$8,1),OFFSET($M$15,0,0,$B$8,1))=DV$14))   /   SUM(OFFSET($BO$15,0,0,$B$14,1)) + $B$18/($B$19*$B$19*($DN29&lt;&gt;$DO29) + $B$19*($DN29=$DO29))</f>
        <v>3.7037037037037035E-4</v>
      </c>
      <c r="DW29" s="10" cm="1">
        <f t="array" aca="1" ref="DW29" ca="1">(1-$B$18)*SUMPRODUCT(OFFSET($BO$15,0,0,$B$14,1), 1*(_xlfn._xlws.FILTER(OFFSET($O$15,0,$DN29,$B$8,1),OFFSET($M$15,0,0,$B$8,1))=DW$13), 1*(_xlfn._xlws.FILTER(OFFSET($O$15,0,$DO29,$B$8,1),OFFSET($M$15,0,0,$B$8,1))=DW$14))   /   SUM(OFFSET($BO$15,0,0,$B$14,1)) + $B$18/($B$19*$B$19*($DN29&lt;&gt;$DO29) + $B$19*($DN29=$DO29))</f>
        <v>3.7037037037037035E-4</v>
      </c>
      <c r="DX29" s="10" cm="1">
        <f t="array" aca="1" ref="DX29" ca="1">(1-$B$18)*SUMPRODUCT(OFFSET($BO$15,0,0,$B$14,1), 1*(_xlfn._xlws.FILTER(OFFSET($O$15,0,$DN29,$B$8,1),OFFSET($M$15,0,0,$B$8,1))=DX$13), 1*(_xlfn._xlws.FILTER(OFFSET($O$15,0,$DO29,$B$8,1),OFFSET($M$15,0,0,$B$8,1))=DX$14))   /   SUM(OFFSET($BO$15,0,0,$B$14,1)) + $B$18/($B$19*$B$19*($DN29&lt;&gt;$DO29) + $B$19*($DN29=$DO29))</f>
        <v>3.7037037037037035E-4</v>
      </c>
      <c r="DY29" s="10" cm="1">
        <f t="array" aca="1" ref="DY29" ca="1">(1-$B$18)*SUMPRODUCT(OFFSET($BO$15,0,0,$B$14,1), 1*(_xlfn._xlws.FILTER(OFFSET($O$15,0,$DN29,$B$8,1),OFFSET($M$15,0,0,$B$8,1))=DY$13), 1*(_xlfn._xlws.FILTER(OFFSET($O$15,0,$DO29,$B$8,1),OFFSET($M$15,0,0,$B$8,1))=DY$14))   /   SUM(OFFSET($BO$15,0,0,$B$14,1)) + $B$18/($B$19*$B$19*($DN29&lt;&gt;$DO29) + $B$19*($DN29=$DO29))</f>
        <v>3.7037037037037035E-4</v>
      </c>
      <c r="DZ29" s="10" cm="1">
        <f t="array" aca="1" ref="DZ29" ca="1">(1-$B$18)*SUMPRODUCT(OFFSET($BO$15,0,0,$B$14,1), 1*(_xlfn._xlws.FILTER(OFFSET($O$15,0,$DN29,$B$8,1),OFFSET($M$15,0,0,$B$8,1))=DZ$13), 1*(_xlfn._xlws.FILTER(OFFSET($O$15,0,$DO29,$B$8,1),OFFSET($M$15,0,0,$B$8,1))=DZ$14))   /   SUM(OFFSET($BO$15,0,0,$B$14,1)) + $B$18/($B$19*$B$19*($DN29&lt;&gt;$DO29) + $B$19*($DN29=$DO29))</f>
        <v>3.7037037037037035E-4</v>
      </c>
      <c r="EA29" s="10" cm="1">
        <f t="array" aca="1" ref="EA29" ca="1">(1-$B$18)*SUMPRODUCT(OFFSET($BO$15,0,0,$B$14,1), 1*(_xlfn._xlws.FILTER(OFFSET($O$15,0,$DN29,$B$8,1),OFFSET($M$15,0,0,$B$8,1))=EA$13), 1*(_xlfn._xlws.FILTER(OFFSET($O$15,0,$DO29,$B$8,1),OFFSET($M$15,0,0,$B$8,1))=EA$14))   /   SUM(OFFSET($BO$15,0,0,$B$14,1)) + $B$18/($B$19*$B$19*($DN29&lt;&gt;$DO29) + $B$19*($DN29=$DO29))</f>
        <v>3.7037037037037035E-4</v>
      </c>
      <c r="EB29" s="10" cm="1">
        <f t="array" aca="1" ref="EB29" ca="1">(1-$B$18)*SUMPRODUCT(OFFSET($BO$15,0,0,$B$14,1), 1*(_xlfn._xlws.FILTER(OFFSET($O$15,0,$DN29,$B$8,1),OFFSET($M$15,0,0,$B$8,1))=EB$13), 1*(_xlfn._xlws.FILTER(OFFSET($O$15,0,$DO29,$B$8,1),OFFSET($M$15,0,0,$B$8,1))=EB$14))   /   SUM(OFFSET($BO$15,0,0,$B$14,1)) + $B$18/($B$19*$B$19*($DN29&lt;&gt;$DO29) + $B$19*($DN29=$DO29))</f>
        <v>3.7037037037037035E-4</v>
      </c>
      <c r="EC29" s="10" cm="1">
        <f t="array" aca="1" ref="EC29" ca="1">(1-$B$18)*SUMPRODUCT(OFFSET($BO$15,0,0,$B$14,1), 1*(_xlfn._xlws.FILTER(OFFSET($O$15,0,$DN29,$B$8,1),OFFSET($M$15,0,0,$B$8,1))=EC$13), 1*(_xlfn._xlws.FILTER(OFFSET($O$15,0,$DO29,$B$8,1),OFFSET($M$15,0,0,$B$8,1))=EC$14))   /   SUM(OFFSET($BO$15,0,0,$B$14,1)) + $B$18/($B$19*$B$19*($DN29&lt;&gt;$DO29) + $B$19*($DN29=$DO29))</f>
        <v>3.7037037037037035E-4</v>
      </c>
      <c r="ED29" s="10" cm="1">
        <f t="array" aca="1" ref="ED29" ca="1">(1-$B$18)*SUMPRODUCT(OFFSET($BO$15,0,0,$B$14,1), 1*(_xlfn._xlws.FILTER(OFFSET($O$15,0,$DN29,$B$8,1),OFFSET($M$15,0,0,$B$8,1))=ED$13), 1*(_xlfn._xlws.FILTER(OFFSET($O$15,0,$DO29,$B$8,1),OFFSET($M$15,0,0,$B$8,1))=ED$14))   /   SUM(OFFSET($BO$15,0,0,$B$14,1)) + $B$18/($B$19*$B$19*($DN29&lt;&gt;$DO29) + $B$19*($DN29=$DO29))</f>
        <v>3.7037037037037035E-4</v>
      </c>
      <c r="EE29" s="10" cm="1">
        <f t="array" aca="1" ref="EE29" ca="1">(1-$B$18)*SUMPRODUCT(OFFSET($BO$15,0,0,$B$14,1), 1*(_xlfn._xlws.FILTER(OFFSET($O$15,0,$DN29,$B$8,1),OFFSET($M$15,0,0,$B$8,1))=EE$13), 1*(_xlfn._xlws.FILTER(OFFSET($O$15,0,$DO29,$B$8,1),OFFSET($M$15,0,0,$B$8,1))=EE$14))   /   SUM(OFFSET($BO$15,0,0,$B$14,1)) + $B$18/($B$19*$B$19*($DN29&lt;&gt;$DO29) + $B$19*($DN29=$DO29))</f>
        <v>3.7037037037037035E-4</v>
      </c>
      <c r="EF29" s="10" cm="1">
        <f t="array" aca="1" ref="EF29" ca="1">(1-$B$18)*SUMPRODUCT(OFFSET($BO$15,0,0,$B$14,1), 1*(_xlfn._xlws.FILTER(OFFSET($O$15,0,$DN29,$B$8,1),OFFSET($M$15,0,0,$B$8,1))=EF$13), 1*(_xlfn._xlws.FILTER(OFFSET($O$15,0,$DO29,$B$8,1),OFFSET($M$15,0,0,$B$8,1))=EF$14))   /   SUM(OFFSET($BO$15,0,0,$B$14,1)) + $B$18/($B$19*$B$19*($DN29&lt;&gt;$DO29) + $B$19*($DN29=$DO29))</f>
        <v>3.7037037037037035E-4</v>
      </c>
      <c r="EG29" s="10" cm="1">
        <f t="array" aca="1" ref="EG29" ca="1">(1-$B$18)*SUMPRODUCT(OFFSET($BO$15,0,0,$B$14,1), 1*(_xlfn._xlws.FILTER(OFFSET($O$15,0,$DN29,$B$8,1),OFFSET($M$15,0,0,$B$8,1))=EG$13), 1*(_xlfn._xlws.FILTER(OFFSET($O$15,0,$DO29,$B$8,1),OFFSET($M$15,0,0,$B$8,1))=EG$14))   /   SUM(OFFSET($BO$15,0,0,$B$14,1)) + $B$18/($B$19*$B$19*($DN29&lt;&gt;$DO29) + $B$19*($DN29=$DO29))</f>
        <v>3.7037037037037035E-4</v>
      </c>
      <c r="EH29" s="10" cm="1">
        <f t="array" aca="1" ref="EH29" ca="1">(1-$B$18)*SUMPRODUCT(OFFSET($BO$15,0,0,$B$14,1), 1*(_xlfn._xlws.FILTER(OFFSET($O$15,0,$DN29,$B$8,1),OFFSET($M$15,0,0,$B$8,1))=EH$13), 1*(_xlfn._xlws.FILTER(OFFSET($O$15,0,$DO29,$B$8,1),OFFSET($M$15,0,0,$B$8,1))=EH$14))   /   SUM(OFFSET($BO$15,0,0,$B$14,1)) + $B$18/($B$19*$B$19*($DN29&lt;&gt;$DO29) + $B$19*($DN29=$DO29))</f>
        <v>3.7037037037037035E-4</v>
      </c>
      <c r="EI29" s="10" cm="1">
        <f t="array" aca="1" ref="EI29" ca="1">(1-$B$18)*SUMPRODUCT(OFFSET($BO$15,0,0,$B$14,1), 1*(_xlfn._xlws.FILTER(OFFSET($O$15,0,$DN29,$B$8,1),OFFSET($M$15,0,0,$B$8,1))=EI$13), 1*(_xlfn._xlws.FILTER(OFFSET($O$15,0,$DO29,$B$8,1),OFFSET($M$15,0,0,$B$8,1))=EI$14))   /   SUM(OFFSET($BO$15,0,0,$B$14,1)) + $B$18/($B$19*$B$19*($DN29&lt;&gt;$DO29) + $B$19*($DN29=$DO29))</f>
        <v>3.7037037037037035E-4</v>
      </c>
      <c r="EJ29" s="10" cm="1">
        <f t="array" aca="1" ref="EJ29" ca="1">(1-$B$18)*SUMPRODUCT(OFFSET($BO$15,0,0,$B$14,1), 1*(_xlfn._xlws.FILTER(OFFSET($O$15,0,$DN29,$B$8,1),OFFSET($M$15,0,0,$B$8,1))=EJ$13), 1*(_xlfn._xlws.FILTER(OFFSET($O$15,0,$DO29,$B$8,1),OFFSET($M$15,0,0,$B$8,1))=EJ$14))   /   SUM(OFFSET($BO$15,0,0,$B$14,1)) + $B$18/($B$19*$B$19*($DN29&lt;&gt;$DO29) + $B$19*($DN29=$DO29))</f>
        <v>3.7037037037037035E-4</v>
      </c>
      <c r="EK29" s="10" cm="1">
        <f t="array" aca="1" ref="EK29" ca="1">(1-$B$18)*SUMPRODUCT(OFFSET($BO$15,0,0,$B$14,1), 1*(_xlfn._xlws.FILTER(OFFSET($O$15,0,$DN29,$B$8,1),OFFSET($M$15,0,0,$B$8,1))=EK$13), 1*(_xlfn._xlws.FILTER(OFFSET($O$15,0,$DO29,$B$8,1),OFFSET($M$15,0,0,$B$8,1))=EK$14))   /   SUM(OFFSET($BO$15,0,0,$B$14,1)) + $B$18/($B$19*$B$19*($DN29&lt;&gt;$DO29) + $B$19*($DN29=$DO29))</f>
        <v>3.7037037037037035E-4</v>
      </c>
      <c r="EL29" s="10" cm="1">
        <f t="array" aca="1" ref="EL29" ca="1">(1-$B$18)*SUMPRODUCT(OFFSET($BO$15,0,0,$B$14,1), 1*(_xlfn._xlws.FILTER(OFFSET($O$15,0,$DN29,$B$8,1),OFFSET($M$15,0,0,$B$8,1))=EL$13), 1*(_xlfn._xlws.FILTER(OFFSET($O$15,0,$DO29,$B$8,1),OFFSET($M$15,0,0,$B$8,1))=EL$14))   /   SUM(OFFSET($BO$15,0,0,$B$14,1)) + $B$18/($B$19*$B$19*($DN29&lt;&gt;$DO29) + $B$19*($DN29=$DO29))</f>
        <v>3.7037037037037035E-4</v>
      </c>
      <c r="EM29" s="10" cm="1">
        <f t="array" aca="1" ref="EM29" ca="1">(1-$B$18)*SUMPRODUCT(OFFSET($BO$15,0,0,$B$14,1), 1*(_xlfn._xlws.FILTER(OFFSET($O$15,0,$DN29,$B$8,1),OFFSET($M$15,0,0,$B$8,1))=EM$13), 1*(_xlfn._xlws.FILTER(OFFSET($O$15,0,$DO29,$B$8,1),OFFSET($M$15,0,0,$B$8,1))=EM$14))   /   SUM(OFFSET($BO$15,0,0,$B$14,1)) + $B$18/($B$19*$B$19*($DN29&lt;&gt;$DO29) + $B$19*($DN29=$DO29))</f>
        <v>3.7037037037037035E-4</v>
      </c>
      <c r="EN29" s="10" cm="1">
        <f t="array" aca="1" ref="EN29" ca="1">(1-$B$18)*SUMPRODUCT(OFFSET($BO$15,0,0,$B$14,1), 1*(_xlfn._xlws.FILTER(OFFSET($O$15,0,$DN29,$B$8,1),OFFSET($M$15,0,0,$B$8,1))=EN$13), 1*(_xlfn._xlws.FILTER(OFFSET($O$15,0,$DO29,$B$8,1),OFFSET($M$15,0,0,$B$8,1))=EN$14))   /   SUM(OFFSET($BO$15,0,0,$B$14,1)) + $B$18/($B$19*$B$19*($DN29&lt;&gt;$DO29) + $B$19*($DN29=$DO29))</f>
        <v>3.7037037037037035E-4</v>
      </c>
      <c r="EO29" s="10" cm="1">
        <f t="array" aca="1" ref="EO29" ca="1">(1-$B$18)*SUMPRODUCT(OFFSET($BO$15,0,0,$B$14,1), 1*(_xlfn._xlws.FILTER(OFFSET($O$15,0,$DN29,$B$8,1),OFFSET($M$15,0,0,$B$8,1))=EO$13), 1*(_xlfn._xlws.FILTER(OFFSET($O$15,0,$DO29,$B$8,1),OFFSET($M$15,0,0,$B$8,1))=EO$14))   /   SUM(OFFSET($BO$15,0,0,$B$14,1)) + $B$18/($B$19*$B$19*($DN29&lt;&gt;$DO29) + $B$19*($DN29=$DO29))</f>
        <v>3.7037037037037035E-4</v>
      </c>
      <c r="EP29" s="10" cm="1">
        <f t="array" aca="1" ref="EP29" ca="1">(1-$B$18)*SUMPRODUCT(OFFSET($BO$15,0,0,$B$14,1), 1*(_xlfn._xlws.FILTER(OFFSET($O$15,0,$DN29,$B$8,1),OFFSET($M$15,0,0,$B$8,1))=EP$13), 1*(_xlfn._xlws.FILTER(OFFSET($O$15,0,$DO29,$B$8,1),OFFSET($M$15,0,0,$B$8,1))=EP$14))   /   SUM(OFFSET($BO$15,0,0,$B$14,1)) + $B$18/($B$19*$B$19*($DN29&lt;&gt;$DO29) + $B$19*($DN29=$DO29))</f>
        <v>3.7037037037037035E-4</v>
      </c>
      <c r="EQ29" s="10" cm="1">
        <f t="array" aca="1" ref="EQ29" ca="1">(1-$B$18)*SUMPRODUCT(OFFSET($BO$15,0,0,$B$14,1), 1*(_xlfn._xlws.FILTER(OFFSET($O$15,0,$DN29,$B$8,1),OFFSET($M$15,0,0,$B$8,1))=EQ$13), 1*(_xlfn._xlws.FILTER(OFFSET($O$15,0,$DO29,$B$8,1),OFFSET($M$15,0,0,$B$8,1))=EQ$14))   /   SUM(OFFSET($BO$15,0,0,$B$14,1)) + $B$18/($B$19*$B$19*($DN29&lt;&gt;$DO29) + $B$19*($DN29=$DO29))</f>
        <v>3.7037037037037035E-4</v>
      </c>
      <c r="ER29" s="10" cm="1">
        <f t="array" aca="1" ref="ER29" ca="1">(1-$B$18)*SUMPRODUCT(OFFSET($BO$15,0,0,$B$14,1), 1*(_xlfn._xlws.FILTER(OFFSET($O$15,0,$DN29,$B$8,1),OFFSET($M$15,0,0,$B$8,1))=ER$13), 1*(_xlfn._xlws.FILTER(OFFSET($O$15,0,$DO29,$B$8,1),OFFSET($M$15,0,0,$B$8,1))=ER$14))   /   SUM(OFFSET($BO$15,0,0,$B$14,1)) + $B$18/($B$19*$B$19*($DN29&lt;&gt;$DO29) + $B$19*($DN29=$DO29))</f>
        <v>3.7037037037037035E-4</v>
      </c>
      <c r="ES29" s="10" cm="1">
        <f t="array" aca="1" ref="ES29" ca="1">(1-$B$18)*SUMPRODUCT(OFFSET($BO$15,0,0,$B$14,1), 1*(_xlfn._xlws.FILTER(OFFSET($O$15,0,$DN29,$B$8,1),OFFSET($M$15,0,0,$B$8,1))=ES$13), 1*(_xlfn._xlws.FILTER(OFFSET($O$15,0,$DO29,$B$8,1),OFFSET($M$15,0,0,$B$8,1))=ES$14))   /   SUM(OFFSET($BO$15,0,0,$B$14,1)) + $B$18/($B$19*$B$19*($DN29&lt;&gt;$DO29) + $B$19*($DN29=$DO29))</f>
        <v>3.7037037037037035E-4</v>
      </c>
      <c r="ET29" s="10" cm="1">
        <f t="array" aca="1" ref="ET29" ca="1">(1-$B$18)*SUMPRODUCT(OFFSET($BO$15,0,0,$B$14,1), 1*(_xlfn._xlws.FILTER(OFFSET($O$15,0,$DN29,$B$8,1),OFFSET($M$15,0,0,$B$8,1))=ET$13), 1*(_xlfn._xlws.FILTER(OFFSET($O$15,0,$DO29,$B$8,1),OFFSET($M$15,0,0,$B$8,1))=ET$14))   /   SUM(OFFSET($BO$15,0,0,$B$14,1)) + $B$18/($B$19*$B$19*($DN29&lt;&gt;$DO29) + $B$19*($DN29=$DO29))</f>
        <v>3.7037037037037035E-4</v>
      </c>
      <c r="EU29" s="10" cm="1">
        <f t="array" aca="1" ref="EU29" ca="1">(1-$B$18)*SUMPRODUCT(OFFSET($BO$15,0,0,$B$14,1), 1*(_xlfn._xlws.FILTER(OFFSET($O$15,0,$DN29,$B$8,1),OFFSET($M$15,0,0,$B$8,1))=EU$13), 1*(_xlfn._xlws.FILTER(OFFSET($O$15,0,$DO29,$B$8,1),OFFSET($M$15,0,0,$B$8,1))=EU$14))   /   SUM(OFFSET($BO$15,0,0,$B$14,1)) + $B$18/($B$19*$B$19*($DN29&lt;&gt;$DO29) + $B$19*($DN29=$DO29))</f>
        <v>3.7037037037037035E-4</v>
      </c>
      <c r="EV29" s="10" cm="1">
        <f t="array" aca="1" ref="EV29" ca="1">(1-$B$18)*SUMPRODUCT(OFFSET($BO$15,0,0,$B$14,1), 1*(_xlfn._xlws.FILTER(OFFSET($O$15,0,$DN29,$B$8,1),OFFSET($M$15,0,0,$B$8,1))=EV$13), 1*(_xlfn._xlws.FILTER(OFFSET($O$15,0,$DO29,$B$8,1),OFFSET($M$15,0,0,$B$8,1))=EV$14))   /   SUM(OFFSET($BO$15,0,0,$B$14,1)) + $B$18/($B$19*$B$19*($DN29&lt;&gt;$DO29) + $B$19*($DN29=$DO29))</f>
        <v>3.7037037037037035E-4</v>
      </c>
      <c r="EW29" s="10" cm="1">
        <f t="array" aca="1" ref="EW29" ca="1">(1-$B$18)*SUMPRODUCT(OFFSET($BO$15,0,0,$B$14,1), 1*(_xlfn._xlws.FILTER(OFFSET($O$15,0,$DN29,$B$8,1),OFFSET($M$15,0,0,$B$8,1))=EW$13), 1*(_xlfn._xlws.FILTER(OFFSET($O$15,0,$DO29,$B$8,1),OFFSET($M$15,0,0,$B$8,1))=EW$14))   /   SUM(OFFSET($BO$15,0,0,$B$14,1)) + $B$18/($B$19*$B$19*($DN29&lt;&gt;$DO29) + $B$19*($DN29=$DO29))</f>
        <v>3.7037037037037035E-4</v>
      </c>
      <c r="EX29" s="10" cm="1">
        <f t="array" aca="1" ref="EX29" ca="1">(1-$B$18)*SUMPRODUCT(OFFSET($BO$15,0,0,$B$14,1), 1*(_xlfn._xlws.FILTER(OFFSET($O$15,0,$DN29,$B$8,1),OFFSET($M$15,0,0,$B$8,1))=EX$13), 1*(_xlfn._xlws.FILTER(OFFSET($O$15,0,$DO29,$B$8,1),OFFSET($M$15,0,0,$B$8,1))=EX$14))   /   SUM(OFFSET($BO$15,0,0,$B$14,1)) + $B$18/($B$19*$B$19*($DN29&lt;&gt;$DO29) + $B$19*($DN29=$DO29))</f>
        <v>3.7037037037037035E-4</v>
      </c>
      <c r="EY29" s="10" cm="1">
        <f t="array" aca="1" ref="EY29" ca="1">(1-$B$18)*SUMPRODUCT(OFFSET($BO$15,0,0,$B$14,1), 1*(_xlfn._xlws.FILTER(OFFSET($O$15,0,$DN29,$B$8,1),OFFSET($M$15,0,0,$B$8,1))=EY$13), 1*(_xlfn._xlws.FILTER(OFFSET($O$15,0,$DO29,$B$8,1),OFFSET($M$15,0,0,$B$8,1))=EY$14))   /   SUM(OFFSET($BO$15,0,0,$B$14,1)) + $B$18/($B$19*$B$19*($DN29&lt;&gt;$DO29) + $B$19*($DN29=$DO29))</f>
        <v>3.7037037037037035E-4</v>
      </c>
      <c r="EZ29" s="10" cm="1">
        <f t="array" aca="1" ref="EZ29" ca="1">(1-$B$18)*SUMPRODUCT(OFFSET($BO$15,0,0,$B$14,1), 1*(_xlfn._xlws.FILTER(OFFSET($O$15,0,$DN29,$B$8,1),OFFSET($M$15,0,0,$B$8,1))=EZ$13), 1*(_xlfn._xlws.FILTER(OFFSET($O$15,0,$DO29,$B$8,1),OFFSET($M$15,0,0,$B$8,1))=EZ$14))   /   SUM(OFFSET($BO$15,0,0,$B$14,1)) + $B$18/($B$19*$B$19*($DN29&lt;&gt;$DO29) + $B$19*($DN29=$DO29))</f>
        <v>3.7037037037037035E-4</v>
      </c>
      <c r="FA29" s="10" cm="1">
        <f t="array" aca="1" ref="FA29" ca="1">(1-$B$18)*SUMPRODUCT(OFFSET($BO$15,0,0,$B$14,1), 1*(_xlfn._xlws.FILTER(OFFSET($O$15,0,$DN29,$B$8,1),OFFSET($M$15,0,0,$B$8,1))=FA$13), 1*(_xlfn._xlws.FILTER(OFFSET($O$15,0,$DO29,$B$8,1),OFFSET($M$15,0,0,$B$8,1))=FA$14))   /   SUM(OFFSET($BO$15,0,0,$B$14,1)) + $B$18/($B$19*$B$19*($DN29&lt;&gt;$DO29) + $B$19*($DN29=$DO29))</f>
        <v>3.7037037037037035E-4</v>
      </c>
      <c r="FB29" s="10" cm="1">
        <f t="array" aca="1" ref="FB29" ca="1">(1-$B$18)*SUMPRODUCT(OFFSET($BO$15,0,0,$B$14,1), 1*(_xlfn._xlws.FILTER(OFFSET($O$15,0,$DN29,$B$8,1),OFFSET($M$15,0,0,$B$8,1))=FB$13), 1*(_xlfn._xlws.FILTER(OFFSET($O$15,0,$DO29,$B$8,1),OFFSET($M$15,0,0,$B$8,1))=FB$14))   /   SUM(OFFSET($BO$15,0,0,$B$14,1)) + $B$18/($B$19*$B$19*($DN29&lt;&gt;$DO29) + $B$19*($DN29=$DO29))</f>
        <v>3.7037037037037035E-4</v>
      </c>
      <c r="FC29" s="10" cm="1">
        <f t="array" aca="1" ref="FC29" ca="1">(1-$B$18)*SUMPRODUCT(OFFSET($BO$15,0,0,$B$14,1), 1*(_xlfn._xlws.FILTER(OFFSET($O$15,0,$DN29,$B$8,1),OFFSET($M$15,0,0,$B$8,1))=FC$13), 1*(_xlfn._xlws.FILTER(OFFSET($O$15,0,$DO29,$B$8,1),OFFSET($M$15,0,0,$B$8,1))=FC$14))   /   SUM(OFFSET($BO$15,0,0,$B$14,1)) + $B$18/($B$19*$B$19*($DN29&lt;&gt;$DO29) + $B$19*($DN29=$DO29))</f>
        <v>3.7037037037037035E-4</v>
      </c>
      <c r="FD29" s="10" cm="1">
        <f t="array" aca="1" ref="FD29" ca="1">(1-$B$18)*SUMPRODUCT(OFFSET($BO$15,0,0,$B$14,1), 1*(_xlfn._xlws.FILTER(OFFSET($O$15,0,$DN29,$B$8,1),OFFSET($M$15,0,0,$B$8,1))=FD$13), 1*(_xlfn._xlws.FILTER(OFFSET($O$15,0,$DO29,$B$8,1),OFFSET($M$15,0,0,$B$8,1))=FD$14))   /   SUM(OFFSET($BO$15,0,0,$B$14,1)) + $B$18/($B$19*$B$19*($DN29&lt;&gt;$DO29) + $B$19*($DN29=$DO29))</f>
        <v>3.7037037037037035E-4</v>
      </c>
      <c r="FE29" s="10" cm="1">
        <f t="array" aca="1" ref="FE29" ca="1">(1-$B$18)*SUMPRODUCT(OFFSET($BO$15,0,0,$B$14,1), 1*(_xlfn._xlws.FILTER(OFFSET($O$15,0,$DN29,$B$8,1),OFFSET($M$15,0,0,$B$8,1))=FE$13), 1*(_xlfn._xlws.FILTER(OFFSET($O$15,0,$DO29,$B$8,1),OFFSET($M$15,0,0,$B$8,1))=FE$14))   /   SUM(OFFSET($BO$15,0,0,$B$14,1)) + $B$18/($B$19*$B$19*($DN29&lt;&gt;$DO29) + $B$19*($DN29=$DO29))</f>
        <v>3.7037037037037035E-4</v>
      </c>
      <c r="FF29" s="10" cm="1">
        <f t="array" aca="1" ref="FF29" ca="1">(1-$B$18)*SUMPRODUCT(OFFSET($BO$15,0,0,$B$14,1), 1*(_xlfn._xlws.FILTER(OFFSET($O$15,0,$DN29,$B$8,1),OFFSET($M$15,0,0,$B$8,1))=FF$13), 1*(_xlfn._xlws.FILTER(OFFSET($O$15,0,$DO29,$B$8,1),OFFSET($M$15,0,0,$B$8,1))=FF$14))   /   SUM(OFFSET($BO$15,0,0,$B$14,1)) + $B$18/($B$19*$B$19*($DN29&lt;&gt;$DO29) + $B$19*($DN29=$DO29))</f>
        <v>3.7037037037037035E-4</v>
      </c>
      <c r="FG29" s="10" cm="1">
        <f t="array" aca="1" ref="FG29" ca="1">(1-$B$18)*SUMPRODUCT(OFFSET($BO$15,0,0,$B$14,1), 1*(_xlfn._xlws.FILTER(OFFSET($O$15,0,$DN29,$B$8,1),OFFSET($M$15,0,0,$B$8,1))=FG$13), 1*(_xlfn._xlws.FILTER(OFFSET($O$15,0,$DO29,$B$8,1),OFFSET($M$15,0,0,$B$8,1))=FG$14))   /   SUM(OFFSET($BO$15,0,0,$B$14,1)) + $B$18/($B$19*$B$19*($DN29&lt;&gt;$DO29) + $B$19*($DN29=$DO29))</f>
        <v>3.7037037037037035E-4</v>
      </c>
      <c r="FH29" s="10" cm="1">
        <f t="array" aca="1" ref="FH29" ca="1">(1-$B$18)*SUMPRODUCT(OFFSET($BO$15,0,0,$B$14,1), 1*(_xlfn._xlws.FILTER(OFFSET($O$15,0,$DN29,$B$8,1),OFFSET($M$15,0,0,$B$8,1))=FH$13), 1*(_xlfn._xlws.FILTER(OFFSET($O$15,0,$DO29,$B$8,1),OFFSET($M$15,0,0,$B$8,1))=FH$14))   /   SUM(OFFSET($BO$15,0,0,$B$14,1)) + $B$18/($B$19*$B$19*($DN29&lt;&gt;$DO29) + $B$19*($DN29=$DO29))</f>
        <v>3.7037037037037035E-4</v>
      </c>
      <c r="FI29" s="10" cm="1">
        <f t="array" aca="1" ref="FI29" ca="1">(1-$B$18)*SUMPRODUCT(OFFSET($BO$15,0,0,$B$14,1), 1*(_xlfn._xlws.FILTER(OFFSET($O$15,0,$DN29,$B$8,1),OFFSET($M$15,0,0,$B$8,1))=FI$13), 1*(_xlfn._xlws.FILTER(OFFSET($O$15,0,$DO29,$B$8,1),OFFSET($M$15,0,0,$B$8,1))=FI$14))   /   SUM(OFFSET($BO$15,0,0,$B$14,1)) + $B$18/($B$19*$B$19*($DN29&lt;&gt;$DO29) + $B$19*($DN29=$DO29))</f>
        <v>3.7037037037037035E-4</v>
      </c>
      <c r="FJ29" s="10" cm="1">
        <f t="array" aca="1" ref="FJ29" ca="1">(1-$B$18)*SUMPRODUCT(OFFSET($BO$15,0,0,$B$14,1), 1*(_xlfn._xlws.FILTER(OFFSET($O$15,0,$DN29,$B$8,1),OFFSET($M$15,0,0,$B$8,1))=FJ$13), 1*(_xlfn._xlws.FILTER(OFFSET($O$15,0,$DO29,$B$8,1),OFFSET($M$15,0,0,$B$8,1))=FJ$14))   /   SUM(OFFSET($BO$15,0,0,$B$14,1)) + $B$18/($B$19*$B$19*($DN29&lt;&gt;$DO29) + $B$19*($DN29=$DO29))</f>
        <v>3.7037037037037035E-4</v>
      </c>
      <c r="FK29" s="10" cm="1">
        <f t="array" aca="1" ref="FK29" ca="1">(1-$B$18)*SUMPRODUCT(OFFSET($BO$15,0,0,$B$14,1), 1*(_xlfn._xlws.FILTER(OFFSET($O$15,0,$DN29,$B$8,1),OFFSET($M$15,0,0,$B$8,1))=FK$13), 1*(_xlfn._xlws.FILTER(OFFSET($O$15,0,$DO29,$B$8,1),OFFSET($M$15,0,0,$B$8,1))=FK$14))   /   SUM(OFFSET($BO$15,0,0,$B$14,1)) + $B$18/($B$19*$B$19*($DN29&lt;&gt;$DO29) + $B$19*($DN29=$DO29))</f>
        <v>3.7037037037037035E-4</v>
      </c>
      <c r="FL29" s="10" cm="1">
        <f t="array" aca="1" ref="FL29" ca="1">(1-$B$18)*SUMPRODUCT(OFFSET($BO$15,0,0,$B$14,1), 1*(_xlfn._xlws.FILTER(OFFSET($O$15,0,$DN29,$B$8,1),OFFSET($M$15,0,0,$B$8,1))=FL$13), 1*(_xlfn._xlws.FILTER(OFFSET($O$15,0,$DO29,$B$8,1),OFFSET($M$15,0,0,$B$8,1))=FL$14))   /   SUM(OFFSET($BO$15,0,0,$B$14,1)) + $B$18/($B$19*$B$19*($DN29&lt;&gt;$DO29) + $B$19*($DN29=$DO29))</f>
        <v>3.7037037037037035E-4</v>
      </c>
      <c r="FM29" s="10" cm="1">
        <f t="array" aca="1" ref="FM29" ca="1">(1-$B$18)*SUMPRODUCT(OFFSET($BO$15,0,0,$B$14,1), 1*(_xlfn._xlws.FILTER(OFFSET($O$15,0,$DN29,$B$8,1),OFFSET($M$15,0,0,$B$8,1))=FM$13), 1*(_xlfn._xlws.FILTER(OFFSET($O$15,0,$DO29,$B$8,1),OFFSET($M$15,0,0,$B$8,1))=FM$14))   /   SUM(OFFSET($BO$15,0,0,$B$14,1)) + $B$18/($B$19*$B$19*($DN29&lt;&gt;$DO29) + $B$19*($DN29=$DO29))</f>
        <v>3.7037037037037035E-4</v>
      </c>
      <c r="FN29" s="10" cm="1">
        <f t="array" aca="1" ref="FN29" ca="1">(1-$B$18)*SUMPRODUCT(OFFSET($BO$15,0,0,$B$14,1), 1*(_xlfn._xlws.FILTER(OFFSET($O$15,0,$DN29,$B$8,1),OFFSET($M$15,0,0,$B$8,1))=FN$13), 1*(_xlfn._xlws.FILTER(OFFSET($O$15,0,$DO29,$B$8,1),OFFSET($M$15,0,0,$B$8,1))=FN$14))   /   SUM(OFFSET($BO$15,0,0,$B$14,1)) + $B$18/($B$19*$B$19*($DN29&lt;&gt;$DO29) + $B$19*($DN29=$DO29))</f>
        <v>0.97037037037037033</v>
      </c>
      <c r="FO29" s="10" cm="1">
        <f t="array" aca="1" ref="FO29" ca="1">(1-$B$18)*SUMPRODUCT(OFFSET($BO$15,0,0,$B$14,1), 1*(_xlfn._xlws.FILTER(OFFSET($O$15,0,$DN29,$B$8,1),OFFSET($M$15,0,0,$B$8,1))=FO$13), 1*(_xlfn._xlws.FILTER(OFFSET($O$15,0,$DO29,$B$8,1),OFFSET($M$15,0,0,$B$8,1))=FO$14))   /   SUM(OFFSET($BO$15,0,0,$B$14,1)) + $B$18/($B$19*$B$19*($DN29&lt;&gt;$DO29) + $B$19*($DN29=$DO29))</f>
        <v>3.7037037037037035E-4</v>
      </c>
      <c r="FP29" s="10" cm="1">
        <f t="array" aca="1" ref="FP29" ca="1">(1-$B$18)*SUMPRODUCT(OFFSET($BO$15,0,0,$B$14,1), 1*(_xlfn._xlws.FILTER(OFFSET($O$15,0,$DN29,$B$8,1),OFFSET($M$15,0,0,$B$8,1))=FP$13), 1*(_xlfn._xlws.FILTER(OFFSET($O$15,0,$DO29,$B$8,1),OFFSET($M$15,0,0,$B$8,1))=FP$14))   /   SUM(OFFSET($BO$15,0,0,$B$14,1)) + $B$18/($B$19*$B$19*($DN29&lt;&gt;$DO29) + $B$19*($DN29=$DO29))</f>
        <v>3.7037037037037035E-4</v>
      </c>
      <c r="FQ29" s="10" cm="1">
        <f t="array" aca="1" ref="FQ29" ca="1">(1-$B$18)*SUMPRODUCT(OFFSET($BO$15,0,0,$B$14,1), 1*(_xlfn._xlws.FILTER(OFFSET($O$15,0,$DN29,$B$8,1),OFFSET($M$15,0,0,$B$8,1))=FQ$13), 1*(_xlfn._xlws.FILTER(OFFSET($O$15,0,$DO29,$B$8,1),OFFSET($M$15,0,0,$B$8,1))=FQ$14))   /   SUM(OFFSET($BO$15,0,0,$B$14,1)) + $B$18/($B$19*$B$19*($DN29&lt;&gt;$DO29) + $B$19*($DN29=$DO29))</f>
        <v>3.7037037037037035E-4</v>
      </c>
      <c r="FR29" s="10" cm="1">
        <f t="array" aca="1" ref="FR29" ca="1">(1-$B$18)*SUMPRODUCT(OFFSET($BO$15,0,0,$B$14,1), 1*(_xlfn._xlws.FILTER(OFFSET($O$15,0,$DN29,$B$8,1),OFFSET($M$15,0,0,$B$8,1))=FR$13), 1*(_xlfn._xlws.FILTER(OFFSET($O$15,0,$DO29,$B$8,1),OFFSET($M$15,0,0,$B$8,1))=FR$14))   /   SUM(OFFSET($BO$15,0,0,$B$14,1)) + $B$18/($B$19*$B$19*($DN29&lt;&gt;$DO29) + $B$19*($DN29=$DO29))</f>
        <v>3.7037037037037035E-4</v>
      </c>
      <c r="FS29" s="10" cm="1">
        <f t="array" aca="1" ref="FS29" ca="1">(1-$B$18)*SUMPRODUCT(OFFSET($BO$15,0,0,$B$14,1), 1*(_xlfn._xlws.FILTER(OFFSET($O$15,0,$DN29,$B$8,1),OFFSET($M$15,0,0,$B$8,1))=FS$13), 1*(_xlfn._xlws.FILTER(OFFSET($O$15,0,$DO29,$B$8,1),OFFSET($M$15,0,0,$B$8,1))=FS$14))   /   SUM(OFFSET($BO$15,0,0,$B$14,1)) + $B$18/($B$19*$B$19*($DN29&lt;&gt;$DO29) + $B$19*($DN29=$DO29))</f>
        <v>3.7037037037037035E-4</v>
      </c>
      <c r="FT29" s="10" cm="1">
        <f t="array" aca="1" ref="FT29" ca="1">(1-$B$18)*SUMPRODUCT(OFFSET($BO$15,0,0,$B$14,1), 1*(_xlfn._xlws.FILTER(OFFSET($O$15,0,$DN29,$B$8,1),OFFSET($M$15,0,0,$B$8,1))=FT$13), 1*(_xlfn._xlws.FILTER(OFFSET($O$15,0,$DO29,$B$8,1),OFFSET($M$15,0,0,$B$8,1))=FT$14))   /   SUM(OFFSET($BO$15,0,0,$B$14,1)) + $B$18/($B$19*$B$19*($DN29&lt;&gt;$DO29) + $B$19*($DN29=$DO29))</f>
        <v>3.7037037037037035E-4</v>
      </c>
      <c r="FU29" s="10" cm="1">
        <f t="array" aca="1" ref="FU29" ca="1">(1-$B$18)*SUMPRODUCT(OFFSET($BO$15,0,0,$B$14,1), 1*(_xlfn._xlws.FILTER(OFFSET($O$15,0,$DN29,$B$8,1),OFFSET($M$15,0,0,$B$8,1))=FU$13), 1*(_xlfn._xlws.FILTER(OFFSET($O$15,0,$DO29,$B$8,1),OFFSET($M$15,0,0,$B$8,1))=FU$14))   /   SUM(OFFSET($BO$15,0,0,$B$14,1)) + $B$18/($B$19*$B$19*($DN29&lt;&gt;$DO29) + $B$19*($DN29=$DO29))</f>
        <v>3.7037037037037035E-4</v>
      </c>
      <c r="FV29" s="10" cm="1">
        <f t="array" aca="1" ref="FV29" ca="1">(1-$B$18)*SUMPRODUCT(OFFSET($BO$15,0,0,$B$14,1), 1*(_xlfn._xlws.FILTER(OFFSET($O$15,0,$DN29,$B$8,1),OFFSET($M$15,0,0,$B$8,1))=FV$13), 1*(_xlfn._xlws.FILTER(OFFSET($O$15,0,$DO29,$B$8,1),OFFSET($M$15,0,0,$B$8,1))=FV$14))   /   SUM(OFFSET($BO$15,0,0,$B$14,1)) + $B$18/($B$19*$B$19*($DN29&lt;&gt;$DO29) + $B$19*($DN29=$DO29))</f>
        <v>3.7037037037037035E-4</v>
      </c>
      <c r="FW29" s="10" cm="1">
        <f t="array" aca="1" ref="FW29" ca="1">(1-$B$18)*SUMPRODUCT(OFFSET($BO$15,0,0,$B$14,1), 1*(_xlfn._xlws.FILTER(OFFSET($O$15,0,$DN29,$B$8,1),OFFSET($M$15,0,0,$B$8,1))=FW$13), 1*(_xlfn._xlws.FILTER(OFFSET($O$15,0,$DO29,$B$8,1),OFFSET($M$15,0,0,$B$8,1))=FW$14))   /   SUM(OFFSET($BO$15,0,0,$B$14,1)) + $B$18/($B$19*$B$19*($DN29&lt;&gt;$DO29) + $B$19*($DN29=$DO29))</f>
        <v>3.7037037037037035E-4</v>
      </c>
      <c r="FX29" s="10" cm="1">
        <f t="array" aca="1" ref="FX29" ca="1">(1-$B$18)*SUMPRODUCT(OFFSET($BO$15,0,0,$B$14,1), 1*(_xlfn._xlws.FILTER(OFFSET($O$15,0,$DN29,$B$8,1),OFFSET($M$15,0,0,$B$8,1))=FX$13), 1*(_xlfn._xlws.FILTER(OFFSET($O$15,0,$DO29,$B$8,1),OFFSET($M$15,0,0,$B$8,1))=FX$14))   /   SUM(OFFSET($BO$15,0,0,$B$14,1)) + $B$18/($B$19*$B$19*($DN29&lt;&gt;$DO29) + $B$19*($DN29=$DO29))</f>
        <v>3.7037037037037035E-4</v>
      </c>
      <c r="FY29" s="10" cm="1">
        <f t="array" aca="1" ref="FY29" ca="1">(1-$B$18)*SUMPRODUCT(OFFSET($BO$15,0,0,$B$14,1), 1*(_xlfn._xlws.FILTER(OFFSET($O$15,0,$DN29,$B$8,1),OFFSET($M$15,0,0,$B$8,1))=FY$13), 1*(_xlfn._xlws.FILTER(OFFSET($O$15,0,$DO29,$B$8,1),OFFSET($M$15,0,0,$B$8,1))=FY$14))   /   SUM(OFFSET($BO$15,0,0,$B$14,1)) + $B$18/($B$19*$B$19*($DN29&lt;&gt;$DO29) + $B$19*($DN29=$DO29))</f>
        <v>3.7037037037037035E-4</v>
      </c>
      <c r="FZ29" s="10" cm="1">
        <f t="array" aca="1" ref="FZ29" ca="1">(1-$B$18)*SUMPRODUCT(OFFSET($BO$15,0,0,$B$14,1), 1*(_xlfn._xlws.FILTER(OFFSET($O$15,0,$DN29,$B$8,1),OFFSET($M$15,0,0,$B$8,1))=FZ$13), 1*(_xlfn._xlws.FILTER(OFFSET($O$15,0,$DO29,$B$8,1),OFFSET($M$15,0,0,$B$8,1))=FZ$14))   /   SUM(OFFSET($BO$15,0,0,$B$14,1)) + $B$18/($B$19*$B$19*($DN29&lt;&gt;$DO29) + $B$19*($DN29=$DO29))</f>
        <v>3.7037037037037035E-4</v>
      </c>
      <c r="GA29" s="10" cm="1">
        <f t="array" aca="1" ref="GA29" ca="1">(1-$B$18)*SUMPRODUCT(OFFSET($BO$15,0,0,$B$14,1), 1*(_xlfn._xlws.FILTER(OFFSET($O$15,0,$DN29,$B$8,1),OFFSET($M$15,0,0,$B$8,1))=GA$13), 1*(_xlfn._xlws.FILTER(OFFSET($O$15,0,$DO29,$B$8,1),OFFSET($M$15,0,0,$B$8,1))=GA$14))   /   SUM(OFFSET($BO$15,0,0,$B$14,1)) + $B$18/($B$19*$B$19*($DN29&lt;&gt;$DO29) + $B$19*($DN29=$DO29))</f>
        <v>3.7037037037037035E-4</v>
      </c>
    </row>
    <row r="30" spans="1:183" x14ac:dyDescent="0.2">
      <c r="D30" s="10">
        <f ca="1"/>
        <v>16</v>
      </c>
      <c r="F30" s="10">
        <f ca="1"/>
        <v>0.2</v>
      </c>
      <c r="H30" s="10">
        <f ca="1"/>
        <v>18</v>
      </c>
      <c r="J30" cm="1">
        <f t="array" aca="1" ref="J30" ca="1">SUMPRODUCT((O30:AJ30=$O$11:$AJ$11)*(O$13:AJ$13=TRUE))  / COUNTIF(O$13:AJ$13,TRUE)</f>
        <v>0.8</v>
      </c>
      <c r="K30" t="b">
        <f t="shared" ca="1" si="4"/>
        <v>1</v>
      </c>
      <c r="L30" cm="1">
        <f t="array" aca="1" ref="L30" ca="1">SUM(
   1*(_xlfn._xlws.FILTER(OFFSET($O30,0,0,1,$B$9),OFFSET($O$13,0,0,1,$B$9)) = "-")
) / $B$13</f>
        <v>0.05</v>
      </c>
      <c r="M30" t="b">
        <f t="shared" ca="1" si="5"/>
        <v>1</v>
      </c>
      <c r="N30" s="2">
        <v>15</v>
      </c>
      <c r="O30" s="12" t="s">
        <v>11</v>
      </c>
      <c r="P30" s="9" t="s">
        <v>11</v>
      </c>
      <c r="Q30" s="9" t="s">
        <v>11</v>
      </c>
      <c r="R30" s="9" t="s">
        <v>11</v>
      </c>
      <c r="S30" s="9" t="s">
        <v>11</v>
      </c>
      <c r="T30" s="12" t="s">
        <v>11</v>
      </c>
      <c r="U30" s="9" t="s">
        <v>11</v>
      </c>
      <c r="V30" s="9" t="s">
        <v>11</v>
      </c>
      <c r="W30" s="9" t="s">
        <v>11</v>
      </c>
      <c r="X30" s="9" t="s">
        <v>11</v>
      </c>
      <c r="Y30" s="12" t="s">
        <v>5</v>
      </c>
      <c r="Z30" s="9" t="s">
        <v>2</v>
      </c>
      <c r="AA30" s="9" t="s">
        <v>1</v>
      </c>
      <c r="AB30" s="9" t="s">
        <v>1</v>
      </c>
      <c r="AC30" s="9" t="s">
        <v>2</v>
      </c>
      <c r="AD30" s="12" t="s">
        <v>2</v>
      </c>
      <c r="AE30" s="9" t="s">
        <v>5</v>
      </c>
      <c r="AF30" s="9" t="s">
        <v>5</v>
      </c>
      <c r="AG30" s="9" t="s">
        <v>3</v>
      </c>
      <c r="AH30" s="9" t="s">
        <v>3</v>
      </c>
      <c r="AI30" s="12" t="s">
        <v>11</v>
      </c>
      <c r="AJ30" s="9" t="s">
        <v>6</v>
      </c>
      <c r="AN30">
        <f t="shared" ca="1" si="6"/>
        <v>3</v>
      </c>
      <c r="AO30" s="14">
        <f t="shared" ca="1" si="7"/>
        <v>0.33333333333333331</v>
      </c>
      <c r="AP30" s="2">
        <f ca="1"/>
        <v>16</v>
      </c>
      <c r="AQ30" cm="1">
        <f t="array" aca="1" ref="AQ30" ca="1">IF($AP30=AQ$14, 1, SUMPRODUCT(
    --(OFFSET($O$13,0,0,1,$B$9)=TRUE),
    --(INDEX(OFFSET($O$15,0,0,$B$8,$B$9), 1+$AP30, 0) = INDEX(OFFSET($O$15,0,0,$B$8,$B$9), 1+AQ$14, 0))
) / $B$13)</f>
        <v>0.8</v>
      </c>
      <c r="AR30" cm="1">
        <f t="array" aca="1" ref="AR30" ca="1">IF($AP30=AR$14, 1, SUMPRODUCT(
    --(OFFSET($O$13,0,0,1,$B$9)=TRUE),
    --(INDEX(OFFSET($O$15,0,0,$B$8,$B$9), 1+$AP30, 0) = INDEX(OFFSET($O$15,0,0,$B$8,$B$9), 1+AR$14, 0))
) / $B$13)</f>
        <v>0.8</v>
      </c>
      <c r="AS30" cm="1">
        <f t="array" aca="1" ref="AS30" ca="1">IF($AP30=AS$14, 1, SUMPRODUCT(
    --(OFFSET($O$13,0,0,1,$B$9)=TRUE),
    --(INDEX(OFFSET($O$15,0,0,$B$8,$B$9), 1+$AP30, 0) = INDEX(OFFSET($O$15,0,0,$B$8,$B$9), 1+AS$14, 0))
) / $B$13)</f>
        <v>0.8</v>
      </c>
      <c r="AT30" cm="1">
        <f t="array" aca="1" ref="AT30" ca="1">IF($AP30=AT$14, 1, SUMPRODUCT(
    --(OFFSET($O$13,0,0,1,$B$9)=TRUE),
    --(INDEX(OFFSET($O$15,0,0,$B$8,$B$9), 1+$AP30, 0) = INDEX(OFFSET($O$15,0,0,$B$8,$B$9), 1+AT$14, 0))
) / $B$13)</f>
        <v>0.8</v>
      </c>
      <c r="AU30" cm="1">
        <f t="array" aca="1" ref="AU30" ca="1">IF($AP30=AU$14, 1, SUMPRODUCT(
    --(OFFSET($O$13,0,0,1,$B$9)=TRUE),
    --(INDEX(OFFSET($O$15,0,0,$B$8,$B$9), 1+$AP30, 0) = INDEX(OFFSET($O$15,0,0,$B$8,$B$9), 1+AU$14, 0))
) / $B$13)</f>
        <v>0.8</v>
      </c>
      <c r="AV30" cm="1">
        <f t="array" aca="1" ref="AV30" ca="1">IF($AP30=AV$14, 1, SUMPRODUCT(
    --(OFFSET($O$13,0,0,1,$B$9)=TRUE),
    --(INDEX(OFFSET($O$15,0,0,$B$8,$B$9), 1+$AP30, 0) = INDEX(OFFSET($O$15,0,0,$B$8,$B$9), 1+AV$14, 0))
) / $B$13)</f>
        <v>0.8</v>
      </c>
      <c r="AW30" cm="1">
        <f t="array" aca="1" ref="AW30" ca="1">IF($AP30=AW$14, 1, SUMPRODUCT(
    --(OFFSET($O$13,0,0,1,$B$9)=TRUE),
    --(INDEX(OFFSET($O$15,0,0,$B$8,$B$9), 1+$AP30, 0) = INDEX(OFFSET($O$15,0,0,$B$8,$B$9), 1+AW$14, 0))
) / $B$13)</f>
        <v>0.95</v>
      </c>
      <c r="AX30" cm="1">
        <f t="array" aca="1" ref="AX30" ca="1">IF($AP30=AX$14, 1, SUMPRODUCT(
    --(OFFSET($O$13,0,0,1,$B$9)=TRUE),
    --(INDEX(OFFSET($O$15,0,0,$B$8,$B$9), 1+$AP30, 0) = INDEX(OFFSET($O$15,0,0,$B$8,$B$9), 1+AX$14, 0))
) / $B$13)</f>
        <v>0.95</v>
      </c>
      <c r="AY30" cm="1">
        <f t="array" aca="1" ref="AY30" ca="1">IF($AP30=AY$14, 1, SUMPRODUCT(
    --(OFFSET($O$13,0,0,1,$B$9)=TRUE),
    --(INDEX(OFFSET($O$15,0,0,$B$8,$B$9), 1+$AP30, 0) = INDEX(OFFSET($O$15,0,0,$B$8,$B$9), 1+AY$14, 0))
) / $B$13)</f>
        <v>0.8</v>
      </c>
      <c r="AZ30" cm="1">
        <f t="array" aca="1" ref="AZ30" ca="1">IF($AP30=AZ$14, 1, SUMPRODUCT(
    --(OFFSET($O$13,0,0,1,$B$9)=TRUE),
    --(INDEX(OFFSET($O$15,0,0,$B$8,$B$9), 1+$AP30, 0) = INDEX(OFFSET($O$15,0,0,$B$8,$B$9), 1+AZ$14, 0))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
) / $B$13)</f>
        <v>0.8</v>
      </c>
      <c r="BB30" cm="1">
        <f t="array" aca="1" ref="BB30" ca="1">IF($AP30=BB$14, 1, SUMPRODUCT(
    --(OFFSET($O$13,0,0,1,$B$9)=TRUE),
    --(INDEX(OFFSET($O$15,0,0,$B$8,$B$9), 1+$AP30, 0) = INDEX(OFFSET($O$15,0,0,$B$8,$B$9), 1+BB$14, 0))
) / $B$13)</f>
        <v>0.8</v>
      </c>
      <c r="BC30" cm="1">
        <f t="array" aca="1" ref="BC30" ca="1">IF($AP30=BC$14, 1, SUMPRODUCT(
    --(OFFSET($O$13,0,0,1,$B$9)=TRUE),
    --(INDEX(OFFSET($O$15,0,0,$B$8,$B$9), 1+$AP30, 0) = INDEX(OFFSET($O$15,0,0,$B$8,$B$9), 1+BC$14, 0))
) / $B$13)</f>
        <v>0.8</v>
      </c>
      <c r="BD30" cm="1">
        <f t="array" aca="1" ref="BD30" ca="1">IF($AP30=BD$14, 1, SUMPRODUCT(
    --(OFFSET($O$13,0,0,1,$B$9)=TRUE),
    --(INDEX(OFFSET($O$15,0,0,$B$8,$B$9), 1+$AP30, 0) = INDEX(OFFSET($O$15,0,0,$B$8,$B$9), 1+BD$14, 0))
) / $B$13)</f>
        <v>0.85</v>
      </c>
      <c r="BE30" cm="1">
        <f t="array" aca="1" ref="BE30" ca="1">IF($AP30=BE$14, 1, SUMPRODUCT(
    --(OFFSET($O$13,0,0,1,$B$9)=TRUE),
    --(INDEX(OFFSET($O$15,0,0,$B$8,$B$9), 1+$AP30, 0) = INDEX(OFFSET($O$15,0,0,$B$8,$B$9), 1+BE$14, 0))
) / $B$13)</f>
        <v>1</v>
      </c>
      <c r="BF30" cm="1">
        <f t="array" aca="1" ref="BF30" ca="1">IF($AP30=BF$14, 1, SUMPRODUCT(
    --(OFFSET($O$13,0,0,1,$B$9)=TRUE),
    --(INDEX(OFFSET($O$15,0,0,$B$8,$B$9), 1+$AP30, 0) = INDEX(OFFSET($O$15,0,0,$B$8,$B$9), 1+BF$14, 0))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
) / $B$13)</f>
        <v>0.85</v>
      </c>
      <c r="BH30" cm="1">
        <f t="array" aca="1" ref="BH30" ca="1">IF($AP30=BH$14, 1, SUMPRODUCT(
    --(OFFSET($O$13,0,0,1,$B$9)=TRUE),
    --(INDEX(OFFSET($O$15,0,0,$B$8,$B$9), 1+$AP30, 0) = INDEX(OFFSET($O$15,0,0,$B$8,$B$9), 1+BH$14, 0))
) / $B$13)</f>
        <v>1</v>
      </c>
      <c r="BI30" cm="1">
        <f t="array" aca="1" ref="BI30" ca="1">IF($AP30=BI$14, 1, SUMPRODUCT(
    --(OFFSET($O$13,0,0,1,$B$9)=TRUE),
    --(INDEX(OFFSET($O$15,0,0,$B$8,$B$9), 1+$AP30, 0) = INDEX(OFFSET($O$15,0,0,$B$8,$B$9), 1+BI$14, 0))
) / $B$13)</f>
        <v>0.85</v>
      </c>
      <c r="BJ30" cm="1">
        <f t="array" aca="1" ref="BJ30" ca="1">IF($AP30=BJ$14, 1, SUMPRODUCT(
    --(OFFSET($O$13,0,0,1,$B$9)=TRUE),
    --(INDEX(OFFSET($O$15,0,0,$B$8,$B$9), 1+$AP30, 0) = INDEX(OFFSET($O$15,0,0,$B$8,$B$9), 1+BJ$14, 0))
) / $B$13)</f>
        <v>0.9</v>
      </c>
      <c r="BN30">
        <f t="shared" ca="1" si="8"/>
        <v>5</v>
      </c>
      <c r="BO30" s="14">
        <f t="shared" ca="1" si="9"/>
        <v>0.2</v>
      </c>
      <c r="BP30" s="2">
        <f ca="1"/>
        <v>16</v>
      </c>
      <c r="BQ30" cm="1">
        <f t="array" aca="1" ref="BQ30" ca="1">IF($BP30=BQ$14, 1, SUMPRODUCT(
    --(OFFSET($O$9,0,0,1,$B$9)=TRUE),
    --(INDEX(OFFSET($O$15,0,0,$B$8,$B$9), 1+$BP30, 0) = INDEX(OFFSET($O$15,0,0,$B$8,$B$9), 1+BQ$14, 0))
) / $B$16)</f>
        <v>0.84210526315789469</v>
      </c>
      <c r="BR30" cm="1">
        <f t="array" aca="1" ref="BR30" ca="1">IF($BP30=BR$14, 1, SUMPRODUCT(
    --(OFFSET($O$9,0,0,1,$B$9)=TRUE),
    --(INDEX(OFFSET($O$15,0,0,$B$8,$B$9), 1+$BP30, 0) = INDEX(OFFSET($O$15,0,0,$B$8,$B$9), 1+BR$14, 0))
) / $B$16)</f>
        <v>0.84210526315789469</v>
      </c>
      <c r="BS30" cm="1">
        <f t="array" aca="1" ref="BS30" ca="1">IF($BP30=BS$14, 1, SUMPRODUCT(
    --(OFFSET($O$9,0,0,1,$B$9)=TRUE),
    --(INDEX(OFFSET($O$15,0,0,$B$8,$B$9), 1+$BP30, 0) = INDEX(OFFSET($O$15,0,0,$B$8,$B$9), 1+BS$14, 0))
) / $B$16)</f>
        <v>0.84210526315789469</v>
      </c>
      <c r="BT30" cm="1">
        <f t="array" aca="1" ref="BT30" ca="1">IF($BP30=BT$14, 1, SUMPRODUCT(
    --(OFFSET($O$9,0,0,1,$B$9)=TRUE),
    --(INDEX(OFFSET($O$15,0,0,$B$8,$B$9), 1+$BP30, 0) = INDEX(OFFSET($O$15,0,0,$B$8,$B$9), 1+BT$14, 0))
) / $B$16)</f>
        <v>0.84210526315789469</v>
      </c>
      <c r="BU30" cm="1">
        <f t="array" aca="1" ref="BU30" ca="1">IF($BP30=BU$14, 1, SUMPRODUCT(
    --(OFFSET($O$9,0,0,1,$B$9)=TRUE),
    --(INDEX(OFFSET($O$15,0,0,$B$8,$B$9), 1+$BP30, 0) = INDEX(OFFSET($O$15,0,0,$B$8,$B$9), 1+BU$14, 0))
) / $B$16)</f>
        <v>0.84210526315789469</v>
      </c>
      <c r="BV30" cm="1">
        <f t="array" aca="1" ref="BV30" ca="1">IF($BP30=BV$14, 1, SUMPRODUCT(
    --(OFFSET($O$9,0,0,1,$B$9)=TRUE),
    --(INDEX(OFFSET($O$15,0,0,$B$8,$B$9), 1+$BP30, 0) = INDEX(OFFSET($O$15,0,0,$B$8,$B$9), 1+BV$14, 0))
) / $B$16)</f>
        <v>0.84210526315789469</v>
      </c>
      <c r="BW30" cm="1">
        <f t="array" aca="1" ref="BW30" ca="1">IF($BP30=BW$14, 1, SUMPRODUCT(
    --(OFFSET($O$9,0,0,1,$B$9)=TRUE),
    --(INDEX(OFFSET($O$15,0,0,$B$8,$B$9), 1+$BP30, 0) = INDEX(OFFSET($O$15,0,0,$B$8,$B$9), 1+BW$14, 0))
) / $B$16)</f>
        <v>1</v>
      </c>
      <c r="BX30" cm="1">
        <f t="array" aca="1" ref="BX30" ca="1">IF($BP30=BX$14, 1, SUMPRODUCT(
    --(OFFSET($O$9,0,0,1,$B$9)=TRUE),
    --(INDEX(OFFSET($O$15,0,0,$B$8,$B$9), 1+$BP30, 0) = INDEX(OFFSET($O$15,0,0,$B$8,$B$9), 1+BX$14, 0))
) / $B$16)</f>
        <v>1</v>
      </c>
      <c r="BY30" cm="1">
        <f t="array" aca="1" ref="BY30" ca="1">IF($BP30=BY$14, 1, SUMPRODUCT(
    --(OFFSET($O$9,0,0,1,$B$9)=TRUE),
    --(INDEX(OFFSET($O$15,0,0,$B$8,$B$9), 1+$BP30, 0) = INDEX(OFFSET($O$15,0,0,$B$8,$B$9), 1+BY$14, 0))
) / $B$16)</f>
        <v>0.84210526315789469</v>
      </c>
      <c r="BZ30" cm="1">
        <f t="array" aca="1" ref="BZ30" ca="1">IF($BP30=BZ$14, 1, SUMPRODUCT(
    --(OFFSET($O$9,0,0,1,$B$9)=TRUE),
    --(INDEX(OFFSET($O$15,0,0,$B$8,$B$9), 1+$BP30, 0) = INDEX(OFFSET($O$15,0,0,$B$8,$B$9), 1+BZ$14, 0))
) / $B$16)</f>
        <v>0.84210526315789469</v>
      </c>
      <c r="CA30" cm="1">
        <f t="array" aca="1" ref="CA30" ca="1">IF($BP30=CA$14, 1, SUMPRODUCT(
    --(OFFSET($O$9,0,0,1,$B$9)=TRUE),
    --(INDEX(OFFSET($O$15,0,0,$B$8,$B$9), 1+$BP30, 0) = INDEX(OFFSET($O$15,0,0,$B$8,$B$9), 1+CA$14, 0))
) / $B$16)</f>
        <v>0.84210526315789469</v>
      </c>
      <c r="CB30" cm="1">
        <f t="array" aca="1" ref="CB30" ca="1">IF($BP30=CB$14, 1, SUMPRODUCT(
    --(OFFSET($O$9,0,0,1,$B$9)=TRUE),
    --(INDEX(OFFSET($O$15,0,0,$B$8,$B$9), 1+$BP30, 0) = INDEX(OFFSET($O$15,0,0,$B$8,$B$9), 1+CB$14, 0))
) / $B$16)</f>
        <v>0.84210526315789469</v>
      </c>
      <c r="CC30" cm="1">
        <f t="array" aca="1" ref="CC30" ca="1">IF($BP30=CC$14, 1, SUMPRODUCT(
    --(OFFSET($O$9,0,0,1,$B$9)=TRUE),
    --(INDEX(OFFSET($O$15,0,0,$B$8,$B$9), 1+$BP30, 0) = INDEX(OFFSET($O$15,0,0,$B$8,$B$9), 1+CC$14, 0))
) / $B$16)</f>
        <v>0.84210526315789469</v>
      </c>
      <c r="CD30" cm="1">
        <f t="array" aca="1" ref="CD30" ca="1">IF($BP30=CD$14, 1, SUMPRODUCT(
    --(OFFSET($O$9,0,0,1,$B$9)=TRUE),
    --(INDEX(OFFSET($O$15,0,0,$B$8,$B$9), 1+$BP30, 0) = INDEX(OFFSET($O$15,0,0,$B$8,$B$9), 1+CD$14, 0))
) / $B$16)</f>
        <v>0.84210526315789469</v>
      </c>
      <c r="CE30" cm="1">
        <f t="array" aca="1" ref="CE30" ca="1">IF($BP30=CE$14, 1, SUMPRODUCT(
    --(OFFSET($O$9,0,0,1,$B$9)=TRUE),
    --(INDEX(OFFSET($O$15,0,0,$B$8,$B$9), 1+$BP30, 0) = INDEX(OFFSET($O$15,0,0,$B$8,$B$9), 1+CE$14, 0))
) / $B$16)</f>
        <v>1</v>
      </c>
      <c r="CF30" cm="1">
        <f t="array" aca="1" ref="CF30" ca="1">IF($BP30=CF$14, 1, SUMPRODUCT(
    --(OFFSET($O$9,0,0,1,$B$9)=TRUE),
    --(INDEX(OFFSET($O$15,0,0,$B$8,$B$9), 1+$BP30, 0) = INDEX(OFFSET($O$15,0,0,$B$8,$B$9), 1+CF$14, 0))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
) / $B$16)</f>
        <v>0.84210526315789469</v>
      </c>
      <c r="CH30" cm="1">
        <f t="array" aca="1" ref="CH30" ca="1">IF($BP30=CH$14, 1, SUMPRODUCT(
    --(OFFSET($O$9,0,0,1,$B$9)=TRUE),
    --(INDEX(OFFSET($O$15,0,0,$B$8,$B$9), 1+$BP30, 0) = INDEX(OFFSET($O$15,0,0,$B$8,$B$9), 1+CH$14, 0))
) / $B$16)</f>
        <v>1</v>
      </c>
      <c r="CI30" cm="1">
        <f t="array" aca="1" ref="CI30" ca="1">IF($BP30=CI$14, 1, SUMPRODUCT(
    --(OFFSET($O$9,0,0,1,$B$9)=TRUE),
    --(INDEX(OFFSET($O$15,0,0,$B$8,$B$9), 1+$BP30, 0) = INDEX(OFFSET($O$15,0,0,$B$8,$B$9), 1+CI$14, 0))
) / $B$16)</f>
        <v>0.84210526315789469</v>
      </c>
      <c r="CJ30" cm="1">
        <f t="array" aca="1" ref="CJ30" ca="1">IF($BP30=CJ$14, 1, SUMPRODUCT(
    --(OFFSET($O$9,0,0,1,$B$9)=TRUE),
    --(INDEX(OFFSET($O$15,0,0,$B$8,$B$9), 1+$BP30, 0) = INDEX(OFFSET($O$15,0,0,$B$8,$B$9), 1+CJ$14, 0))
) / $B$16)</f>
        <v>0.94736842105263153</v>
      </c>
      <c r="CP30">
        <f ca="1"/>
        <v>18</v>
      </c>
      <c r="CQ30" cm="1">
        <f t="array" aca="1" ref="CQ30" ca="1">(1-$B$18)*SUMPRODUCT(OFFSET($BO$15,0,0,$B$14,1), 1*(_xlfn._xlws.FILTER(OFFSET($O$15,0,$CP30,$B$8,1), OFFSET($M$15,0,0,$B$8,1))=CQ$14))   /   SUM(OFFSET($BO$15,0,0,$B$14,1)) + $B$18/$B$19</f>
        <v>3.3333333333333331E-3</v>
      </c>
      <c r="CR30" s="10" cm="1">
        <f t="array" aca="1" ref="CR30" ca="1">(1-$B$18)*SUMPRODUCT(OFFSET($BO$15,0,0,$B$14,1), 1*(_xlfn._xlws.FILTER(OFFSET($O$15,0,$CP30,$B$8,1), OFFSET($M$15,0,0,$B$8,1))=CR$14))   /   SUM(OFFSET($BO$15,0,0,$B$14,1)) + $B$18/$B$19</f>
        <v>3.3333333333333331E-3</v>
      </c>
      <c r="CS30" s="10" cm="1">
        <f t="array" aca="1" ref="CS30" ca="1">(1-$B$18)*SUMPRODUCT(OFFSET($BO$15,0,0,$B$14,1), 1*(_xlfn._xlws.FILTER(OFFSET($O$15,0,$CP30,$B$8,1), OFFSET($M$15,0,0,$B$8,1))=CS$14))   /   SUM(OFFSET($BO$15,0,0,$B$14,1)) + $B$18/$B$19</f>
        <v>3.3333333333333331E-3</v>
      </c>
      <c r="CT30" s="10" cm="1">
        <f t="array" aca="1" ref="CT30" ca="1">(1-$B$18)*SUMPRODUCT(OFFSET($BO$15,0,0,$B$14,1), 1*(_xlfn._xlws.FILTER(OFFSET($O$15,0,$CP30,$B$8,1), OFFSET($M$15,0,0,$B$8,1))=CT$14))   /   SUM(OFFSET($BO$15,0,0,$B$14,1)) + $B$18/$B$19</f>
        <v>3.3333333333333331E-3</v>
      </c>
      <c r="CU30" s="10" cm="1">
        <f t="array" aca="1" ref="CU30" ca="1">(1-$B$18)*SUMPRODUCT(OFFSET($BO$15,0,0,$B$14,1), 1*(_xlfn._xlws.FILTER(OFFSET($O$15,0,$CP30,$B$8,1), OFFSET($M$15,0,0,$B$8,1))=CU$14))   /   SUM(OFFSET($BO$15,0,0,$B$14,1)) + $B$18/$B$19</f>
        <v>0.97333333333333327</v>
      </c>
      <c r="CV30" s="10" cm="1">
        <f t="array" aca="1" ref="CV30" ca="1">(1-$B$18)*SUMPRODUCT(OFFSET($BO$15,0,0,$B$14,1), 1*(_xlfn._xlws.FILTER(OFFSET($O$15,0,$CP30,$B$8,1), OFFSET($M$15,0,0,$B$8,1))=CV$14))   /   SUM(OFFSET($BO$15,0,0,$B$14,1)) + $B$18/$B$19</f>
        <v>3.3333333333333331E-3</v>
      </c>
      <c r="CW30" s="10" cm="1">
        <f t="array" aca="1" ref="CW30" ca="1">(1-$B$18)*SUMPRODUCT(OFFSET($BO$15,0,0,$B$14,1), 1*(_xlfn._xlws.FILTER(OFFSET($O$15,0,$CP30,$B$8,1), OFFSET($M$15,0,0,$B$8,1))=CW$14))   /   SUM(OFFSET($BO$15,0,0,$B$14,1)) + $B$18/$B$19</f>
        <v>3.3333333333333331E-3</v>
      </c>
      <c r="CX30" s="10" cm="1">
        <f t="array" aca="1" ref="CX30" ca="1">(1-$B$18)*SUMPRODUCT(OFFSET($BO$15,0,0,$B$14,1), 1*(_xlfn._xlws.FILTER(OFFSET($O$15,0,$CP30,$B$8,1), OFFSET($M$15,0,0,$B$8,1))=CX$14))   /   SUM(OFFSET($BO$15,0,0,$B$14,1)) + $B$18/$B$19</f>
        <v>3.3333333333333331E-3</v>
      </c>
      <c r="CY30" s="10" cm="1">
        <f t="array" aca="1" ref="CY30" ca="1">(1-$B$18)*SUMPRODUCT(OFFSET($BO$15,0,0,$B$14,1), 1*(_xlfn._xlws.FILTER(OFFSET($O$15,0,$CP30,$B$8,1), OFFSET($M$15,0,0,$B$8,1))=CY$14))   /   SUM(OFFSET($BO$15,0,0,$B$14,1)) + $B$18/$B$19</f>
        <v>3.3333333333333331E-3</v>
      </c>
      <c r="DB30" s="10" cm="1">
        <f t="array" aca="1" ref="DB30" ca="1">SUM(OFFSET($CR30,0,0,1,$M$2)*LN(OFFSET($CR30,0,0,1,$M$2)/OFFSET($CR$11,0,0,1,$M$2)))+IF($CQ$11&gt;0,OFFSET($O$10,0,$CP30,1,1)*LN(OFFSET($O$10,0,$CP30,1,1)/$CQ$11),0)</f>
        <v>1.9131139043413503</v>
      </c>
      <c r="DC30">
        <f ca="1"/>
        <v>18</v>
      </c>
      <c r="DD30" s="10">
        <f t="shared" ca="1" si="11"/>
        <v>0.11767737994455678</v>
      </c>
      <c r="DE30" s="10">
        <f t="shared" ca="1" si="10"/>
        <v>0.11767737994455678</v>
      </c>
      <c r="DF30" s="10">
        <f t="shared" ca="1" si="10"/>
        <v>0.11767737994455678</v>
      </c>
      <c r="DG30" s="10">
        <f t="shared" ca="1" si="10"/>
        <v>1.9045936050347492</v>
      </c>
      <c r="DH30" s="10">
        <f t="shared" ca="1" si="10"/>
        <v>0.11767737994455678</v>
      </c>
      <c r="DI30" s="10">
        <f t="shared" ca="1" si="10"/>
        <v>0.11767737994455678</v>
      </c>
      <c r="DJ30" s="10">
        <f t="shared" ca="1" si="10"/>
        <v>0.11767737994455678</v>
      </c>
      <c r="DK30" s="10">
        <f t="shared" ca="1" si="10"/>
        <v>0.11767737994455678</v>
      </c>
      <c r="DN30" cm="1">
        <f t="array" aca="1" ref="DN30" ca="1">INDEX(_xlfn.ANCHORARRAY($CP$15), 1 + INT((ROWS($DO$15:$DO30) - 1) / ROWS(_xlfn.ANCHORARRAY($CP$15))))</f>
        <v>0</v>
      </c>
      <c r="DO30" cm="1">
        <f t="array" aca="1" ref="DO30" ca="1">INDEX(_xlfn.ANCHORARRAY($CP$15),1+MOD(ROWS($DO$15:$DO30)-1,ROWS(_xlfn.ANCHORARRAY($CP$15))))</f>
        <v>18</v>
      </c>
      <c r="DP30" s="10" cm="1">
        <f t="array" aca="1" ref="DP30" ca="1">(1-$B$18)*SUMPRODUCT(OFFSET($BO$15,0,0,$B$14,1), 1*(_xlfn._xlws.FILTER(OFFSET($O$15,0,$DN30,$B$8,1),OFFSET($M$15,0,0,$B$8,1))=DP$13), 1*(_xlfn._xlws.FILTER(OFFSET($O$15,0,$DO30,$B$8,1),OFFSET($M$15,0,0,$B$8,1))=DP$14))   /   SUM(OFFSET($BO$15,0,0,$B$14,1)) + $B$18/($B$19*$B$19*($DN30&lt;&gt;$DO30) + $B$19*($DN30=$DO30))</f>
        <v>3.7037037037037035E-4</v>
      </c>
      <c r="DQ30" s="10" cm="1">
        <f t="array" aca="1" ref="DQ30" ca="1">(1-$B$18)*SUMPRODUCT(OFFSET($BO$15,0,0,$B$14,1), 1*(_xlfn._xlws.FILTER(OFFSET($O$15,0,$DN30,$B$8,1),OFFSET($M$15,0,0,$B$8,1))=DQ$13), 1*(_xlfn._xlws.FILTER(OFFSET($O$15,0,$DO30,$B$8,1),OFFSET($M$15,0,0,$B$8,1))=DQ$14))   /   SUM(OFFSET($BO$15,0,0,$B$14,1)) + $B$18/($B$19*$B$19*($DN30&lt;&gt;$DO30) + $B$19*($DN30=$DO30))</f>
        <v>3.7037037037037035E-4</v>
      </c>
      <c r="DR30" s="10" cm="1">
        <f t="array" aca="1" ref="DR30" ca="1">(1-$B$18)*SUMPRODUCT(OFFSET($BO$15,0,0,$B$14,1), 1*(_xlfn._xlws.FILTER(OFFSET($O$15,0,$DN30,$B$8,1),OFFSET($M$15,0,0,$B$8,1))=DR$13), 1*(_xlfn._xlws.FILTER(OFFSET($O$15,0,$DO30,$B$8,1),OFFSET($M$15,0,0,$B$8,1))=DR$14))   /   SUM(OFFSET($BO$15,0,0,$B$14,1)) + $B$18/($B$19*$B$19*($DN30&lt;&gt;$DO30) + $B$19*($DN30=$DO30))</f>
        <v>3.7037037037037035E-4</v>
      </c>
      <c r="DS30" s="10" cm="1">
        <f t="array" aca="1" ref="DS30" ca="1">(1-$B$18)*SUMPRODUCT(OFFSET($BO$15,0,0,$B$14,1), 1*(_xlfn._xlws.FILTER(OFFSET($O$15,0,$DN30,$B$8,1),OFFSET($M$15,0,0,$B$8,1))=DS$13), 1*(_xlfn._xlws.FILTER(OFFSET($O$15,0,$DO30,$B$8,1),OFFSET($M$15,0,0,$B$8,1))=DS$14))   /   SUM(OFFSET($BO$15,0,0,$B$14,1)) + $B$18/($B$19*$B$19*($DN30&lt;&gt;$DO30) + $B$19*($DN30=$DO30))</f>
        <v>3.7037037037037035E-4</v>
      </c>
      <c r="DT30" s="10" cm="1">
        <f t="array" aca="1" ref="DT30" ca="1">(1-$B$18)*SUMPRODUCT(OFFSET($BO$15,0,0,$B$14,1), 1*(_xlfn._xlws.FILTER(OFFSET($O$15,0,$DN30,$B$8,1),OFFSET($M$15,0,0,$B$8,1))=DT$13), 1*(_xlfn._xlws.FILTER(OFFSET($O$15,0,$DO30,$B$8,1),OFFSET($M$15,0,0,$B$8,1))=DT$14))   /   SUM(OFFSET($BO$15,0,0,$B$14,1)) + $B$18/($B$19*$B$19*($DN30&lt;&gt;$DO30) + $B$19*($DN30=$DO30))</f>
        <v>3.7037037037037035E-4</v>
      </c>
      <c r="DU30" s="10" cm="1">
        <f t="array" aca="1" ref="DU30" ca="1">(1-$B$18)*SUMPRODUCT(OFFSET($BO$15,0,0,$B$14,1), 1*(_xlfn._xlws.FILTER(OFFSET($O$15,0,$DN30,$B$8,1),OFFSET($M$15,0,0,$B$8,1))=DU$13), 1*(_xlfn._xlws.FILTER(OFFSET($O$15,0,$DO30,$B$8,1),OFFSET($M$15,0,0,$B$8,1))=DU$14))   /   SUM(OFFSET($BO$15,0,0,$B$14,1)) + $B$18/($B$19*$B$19*($DN30&lt;&gt;$DO30) + $B$19*($DN30=$DO30))</f>
        <v>3.7037037037037035E-4</v>
      </c>
      <c r="DV30" s="10" cm="1">
        <f t="array" aca="1" ref="DV30" ca="1">(1-$B$18)*SUMPRODUCT(OFFSET($BO$15,0,0,$B$14,1), 1*(_xlfn._xlws.FILTER(OFFSET($O$15,0,$DN30,$B$8,1),OFFSET($M$15,0,0,$B$8,1))=DV$13), 1*(_xlfn._xlws.FILTER(OFFSET($O$15,0,$DO30,$B$8,1),OFFSET($M$15,0,0,$B$8,1))=DV$14))   /   SUM(OFFSET($BO$15,0,0,$B$14,1)) + $B$18/($B$19*$B$19*($DN30&lt;&gt;$DO30) + $B$19*($DN30=$DO30))</f>
        <v>3.7037037037037035E-4</v>
      </c>
      <c r="DW30" s="10" cm="1">
        <f t="array" aca="1" ref="DW30" ca="1">(1-$B$18)*SUMPRODUCT(OFFSET($BO$15,0,0,$B$14,1), 1*(_xlfn._xlws.FILTER(OFFSET($O$15,0,$DN30,$B$8,1),OFFSET($M$15,0,0,$B$8,1))=DW$13), 1*(_xlfn._xlws.FILTER(OFFSET($O$15,0,$DO30,$B$8,1),OFFSET($M$15,0,0,$B$8,1))=DW$14))   /   SUM(OFFSET($BO$15,0,0,$B$14,1)) + $B$18/($B$19*$B$19*($DN30&lt;&gt;$DO30) + $B$19*($DN30=$DO30))</f>
        <v>3.7037037037037035E-4</v>
      </c>
      <c r="DX30" s="10" cm="1">
        <f t="array" aca="1" ref="DX30" ca="1">(1-$B$18)*SUMPRODUCT(OFFSET($BO$15,0,0,$B$14,1), 1*(_xlfn._xlws.FILTER(OFFSET($O$15,0,$DN30,$B$8,1),OFFSET($M$15,0,0,$B$8,1))=DX$13), 1*(_xlfn._xlws.FILTER(OFFSET($O$15,0,$DO30,$B$8,1),OFFSET($M$15,0,0,$B$8,1))=DX$14))   /   SUM(OFFSET($BO$15,0,0,$B$14,1)) + $B$18/($B$19*$B$19*($DN30&lt;&gt;$DO30) + $B$19*($DN30=$DO30))</f>
        <v>3.7037037037037035E-4</v>
      </c>
      <c r="DY30" s="10" cm="1">
        <f t="array" aca="1" ref="DY30" ca="1">(1-$B$18)*SUMPRODUCT(OFFSET($BO$15,0,0,$B$14,1), 1*(_xlfn._xlws.FILTER(OFFSET($O$15,0,$DN30,$B$8,1),OFFSET($M$15,0,0,$B$8,1))=DY$13), 1*(_xlfn._xlws.FILTER(OFFSET($O$15,0,$DO30,$B$8,1),OFFSET($M$15,0,0,$B$8,1))=DY$14))   /   SUM(OFFSET($BO$15,0,0,$B$14,1)) + $B$18/($B$19*$B$19*($DN30&lt;&gt;$DO30) + $B$19*($DN30=$DO30))</f>
        <v>3.7037037037037035E-4</v>
      </c>
      <c r="DZ30" s="10" cm="1">
        <f t="array" aca="1" ref="DZ30" ca="1">(1-$B$18)*SUMPRODUCT(OFFSET($BO$15,0,0,$B$14,1), 1*(_xlfn._xlws.FILTER(OFFSET($O$15,0,$DN30,$B$8,1),OFFSET($M$15,0,0,$B$8,1))=DZ$13), 1*(_xlfn._xlws.FILTER(OFFSET($O$15,0,$DO30,$B$8,1),OFFSET($M$15,0,0,$B$8,1))=DZ$14))   /   SUM(OFFSET($BO$15,0,0,$B$14,1)) + $B$18/($B$19*$B$19*($DN30&lt;&gt;$DO30) + $B$19*($DN30=$DO30))</f>
        <v>3.7037037037037035E-4</v>
      </c>
      <c r="EA30" s="10" cm="1">
        <f t="array" aca="1" ref="EA30" ca="1">(1-$B$18)*SUMPRODUCT(OFFSET($BO$15,0,0,$B$14,1), 1*(_xlfn._xlws.FILTER(OFFSET($O$15,0,$DN30,$B$8,1),OFFSET($M$15,0,0,$B$8,1))=EA$13), 1*(_xlfn._xlws.FILTER(OFFSET($O$15,0,$DO30,$B$8,1),OFFSET($M$15,0,0,$B$8,1))=EA$14))   /   SUM(OFFSET($BO$15,0,0,$B$14,1)) + $B$18/($B$19*$B$19*($DN30&lt;&gt;$DO30) + $B$19*($DN30=$DO30))</f>
        <v>3.7037037037037035E-4</v>
      </c>
      <c r="EB30" s="10" cm="1">
        <f t="array" aca="1" ref="EB30" ca="1">(1-$B$18)*SUMPRODUCT(OFFSET($BO$15,0,0,$B$14,1), 1*(_xlfn._xlws.FILTER(OFFSET($O$15,0,$DN30,$B$8,1),OFFSET($M$15,0,0,$B$8,1))=EB$13), 1*(_xlfn._xlws.FILTER(OFFSET($O$15,0,$DO30,$B$8,1),OFFSET($M$15,0,0,$B$8,1))=EB$14))   /   SUM(OFFSET($BO$15,0,0,$B$14,1)) + $B$18/($B$19*$B$19*($DN30&lt;&gt;$DO30) + $B$19*($DN30=$DO30))</f>
        <v>3.7037037037037035E-4</v>
      </c>
      <c r="EC30" s="10" cm="1">
        <f t="array" aca="1" ref="EC30" ca="1">(1-$B$18)*SUMPRODUCT(OFFSET($BO$15,0,0,$B$14,1), 1*(_xlfn._xlws.FILTER(OFFSET($O$15,0,$DN30,$B$8,1),OFFSET($M$15,0,0,$B$8,1))=EC$13), 1*(_xlfn._xlws.FILTER(OFFSET($O$15,0,$DO30,$B$8,1),OFFSET($M$15,0,0,$B$8,1))=EC$14))   /   SUM(OFFSET($BO$15,0,0,$B$14,1)) + $B$18/($B$19*$B$19*($DN30&lt;&gt;$DO30) + $B$19*($DN30=$DO30))</f>
        <v>3.7037037037037035E-4</v>
      </c>
      <c r="ED30" s="10" cm="1">
        <f t="array" aca="1" ref="ED30" ca="1">(1-$B$18)*SUMPRODUCT(OFFSET($BO$15,0,0,$B$14,1), 1*(_xlfn._xlws.FILTER(OFFSET($O$15,0,$DN30,$B$8,1),OFFSET($M$15,0,0,$B$8,1))=ED$13), 1*(_xlfn._xlws.FILTER(OFFSET($O$15,0,$DO30,$B$8,1),OFFSET($M$15,0,0,$B$8,1))=ED$14))   /   SUM(OFFSET($BO$15,0,0,$B$14,1)) + $B$18/($B$19*$B$19*($DN30&lt;&gt;$DO30) + $B$19*($DN30=$DO30))</f>
        <v>3.7037037037037035E-4</v>
      </c>
      <c r="EE30" s="10" cm="1">
        <f t="array" aca="1" ref="EE30" ca="1">(1-$B$18)*SUMPRODUCT(OFFSET($BO$15,0,0,$B$14,1), 1*(_xlfn._xlws.FILTER(OFFSET($O$15,0,$DN30,$B$8,1),OFFSET($M$15,0,0,$B$8,1))=EE$13), 1*(_xlfn._xlws.FILTER(OFFSET($O$15,0,$DO30,$B$8,1),OFFSET($M$15,0,0,$B$8,1))=EE$14))   /   SUM(OFFSET($BO$15,0,0,$B$14,1)) + $B$18/($B$19*$B$19*($DN30&lt;&gt;$DO30) + $B$19*($DN30=$DO30))</f>
        <v>3.7037037037037035E-4</v>
      </c>
      <c r="EF30" s="10" cm="1">
        <f t="array" aca="1" ref="EF30" ca="1">(1-$B$18)*SUMPRODUCT(OFFSET($BO$15,0,0,$B$14,1), 1*(_xlfn._xlws.FILTER(OFFSET($O$15,0,$DN30,$B$8,1),OFFSET($M$15,0,0,$B$8,1))=EF$13), 1*(_xlfn._xlws.FILTER(OFFSET($O$15,0,$DO30,$B$8,1),OFFSET($M$15,0,0,$B$8,1))=EF$14))   /   SUM(OFFSET($BO$15,0,0,$B$14,1)) + $B$18/($B$19*$B$19*($DN30&lt;&gt;$DO30) + $B$19*($DN30=$DO30))</f>
        <v>3.7037037037037035E-4</v>
      </c>
      <c r="EG30" s="10" cm="1">
        <f t="array" aca="1" ref="EG30" ca="1">(1-$B$18)*SUMPRODUCT(OFFSET($BO$15,0,0,$B$14,1), 1*(_xlfn._xlws.FILTER(OFFSET($O$15,0,$DN30,$B$8,1),OFFSET($M$15,0,0,$B$8,1))=EG$13), 1*(_xlfn._xlws.FILTER(OFFSET($O$15,0,$DO30,$B$8,1),OFFSET($M$15,0,0,$B$8,1))=EG$14))   /   SUM(OFFSET($BO$15,0,0,$B$14,1)) + $B$18/($B$19*$B$19*($DN30&lt;&gt;$DO30) + $B$19*($DN30=$DO30))</f>
        <v>3.7037037037037035E-4</v>
      </c>
      <c r="EH30" s="10" cm="1">
        <f t="array" aca="1" ref="EH30" ca="1">(1-$B$18)*SUMPRODUCT(OFFSET($BO$15,0,0,$B$14,1), 1*(_xlfn._xlws.FILTER(OFFSET($O$15,0,$DN30,$B$8,1),OFFSET($M$15,0,0,$B$8,1))=EH$13), 1*(_xlfn._xlws.FILTER(OFFSET($O$15,0,$DO30,$B$8,1),OFFSET($M$15,0,0,$B$8,1))=EH$14))   /   SUM(OFFSET($BO$15,0,0,$B$14,1)) + $B$18/($B$19*$B$19*($DN30&lt;&gt;$DO30) + $B$19*($DN30=$DO30))</f>
        <v>3.7037037037037035E-4</v>
      </c>
      <c r="EI30" s="10" cm="1">
        <f t="array" aca="1" ref="EI30" ca="1">(1-$B$18)*SUMPRODUCT(OFFSET($BO$15,0,0,$B$14,1), 1*(_xlfn._xlws.FILTER(OFFSET($O$15,0,$DN30,$B$8,1),OFFSET($M$15,0,0,$B$8,1))=EI$13), 1*(_xlfn._xlws.FILTER(OFFSET($O$15,0,$DO30,$B$8,1),OFFSET($M$15,0,0,$B$8,1))=EI$14))   /   SUM(OFFSET($BO$15,0,0,$B$14,1)) + $B$18/($B$19*$B$19*($DN30&lt;&gt;$DO30) + $B$19*($DN30=$DO30))</f>
        <v>3.7037037037037035E-4</v>
      </c>
      <c r="EJ30" s="10" cm="1">
        <f t="array" aca="1" ref="EJ30" ca="1">(1-$B$18)*SUMPRODUCT(OFFSET($BO$15,0,0,$B$14,1), 1*(_xlfn._xlws.FILTER(OFFSET($O$15,0,$DN30,$B$8,1),OFFSET($M$15,0,0,$B$8,1))=EJ$13), 1*(_xlfn._xlws.FILTER(OFFSET($O$15,0,$DO30,$B$8,1),OFFSET($M$15,0,0,$B$8,1))=EJ$14))   /   SUM(OFFSET($BO$15,0,0,$B$14,1)) + $B$18/($B$19*$B$19*($DN30&lt;&gt;$DO30) + $B$19*($DN30=$DO30))</f>
        <v>3.7037037037037035E-4</v>
      </c>
      <c r="EK30" s="10" cm="1">
        <f t="array" aca="1" ref="EK30" ca="1">(1-$B$18)*SUMPRODUCT(OFFSET($BO$15,0,0,$B$14,1), 1*(_xlfn._xlws.FILTER(OFFSET($O$15,0,$DN30,$B$8,1),OFFSET($M$15,0,0,$B$8,1))=EK$13), 1*(_xlfn._xlws.FILTER(OFFSET($O$15,0,$DO30,$B$8,1),OFFSET($M$15,0,0,$B$8,1))=EK$14))   /   SUM(OFFSET($BO$15,0,0,$B$14,1)) + $B$18/($B$19*$B$19*($DN30&lt;&gt;$DO30) + $B$19*($DN30=$DO30))</f>
        <v>3.7037037037037035E-4</v>
      </c>
      <c r="EL30" s="10" cm="1">
        <f t="array" aca="1" ref="EL30" ca="1">(1-$B$18)*SUMPRODUCT(OFFSET($BO$15,0,0,$B$14,1), 1*(_xlfn._xlws.FILTER(OFFSET($O$15,0,$DN30,$B$8,1),OFFSET($M$15,0,0,$B$8,1))=EL$13), 1*(_xlfn._xlws.FILTER(OFFSET($O$15,0,$DO30,$B$8,1),OFFSET($M$15,0,0,$B$8,1))=EL$14))   /   SUM(OFFSET($BO$15,0,0,$B$14,1)) + $B$18/($B$19*$B$19*($DN30&lt;&gt;$DO30) + $B$19*($DN30=$DO30))</f>
        <v>3.7037037037037035E-4</v>
      </c>
      <c r="EM30" s="10" cm="1">
        <f t="array" aca="1" ref="EM30" ca="1">(1-$B$18)*SUMPRODUCT(OFFSET($BO$15,0,0,$B$14,1), 1*(_xlfn._xlws.FILTER(OFFSET($O$15,0,$DN30,$B$8,1),OFFSET($M$15,0,0,$B$8,1))=EM$13), 1*(_xlfn._xlws.FILTER(OFFSET($O$15,0,$DO30,$B$8,1),OFFSET($M$15,0,0,$B$8,1))=EM$14))   /   SUM(OFFSET($BO$15,0,0,$B$14,1)) + $B$18/($B$19*$B$19*($DN30&lt;&gt;$DO30) + $B$19*($DN30=$DO30))</f>
        <v>3.7037037037037035E-4</v>
      </c>
      <c r="EN30" s="10" cm="1">
        <f t="array" aca="1" ref="EN30" ca="1">(1-$B$18)*SUMPRODUCT(OFFSET($BO$15,0,0,$B$14,1), 1*(_xlfn._xlws.FILTER(OFFSET($O$15,0,$DN30,$B$8,1),OFFSET($M$15,0,0,$B$8,1))=EN$13), 1*(_xlfn._xlws.FILTER(OFFSET($O$15,0,$DO30,$B$8,1),OFFSET($M$15,0,0,$B$8,1))=EN$14))   /   SUM(OFFSET($BO$15,0,0,$B$14,1)) + $B$18/($B$19*$B$19*($DN30&lt;&gt;$DO30) + $B$19*($DN30=$DO30))</f>
        <v>3.7037037037037035E-4</v>
      </c>
      <c r="EO30" s="10" cm="1">
        <f t="array" aca="1" ref="EO30" ca="1">(1-$B$18)*SUMPRODUCT(OFFSET($BO$15,0,0,$B$14,1), 1*(_xlfn._xlws.FILTER(OFFSET($O$15,0,$DN30,$B$8,1),OFFSET($M$15,0,0,$B$8,1))=EO$13), 1*(_xlfn._xlws.FILTER(OFFSET($O$15,0,$DO30,$B$8,1),OFFSET($M$15,0,0,$B$8,1))=EO$14))   /   SUM(OFFSET($BO$15,0,0,$B$14,1)) + $B$18/($B$19*$B$19*($DN30&lt;&gt;$DO30) + $B$19*($DN30=$DO30))</f>
        <v>3.7037037037037035E-4</v>
      </c>
      <c r="EP30" s="10" cm="1">
        <f t="array" aca="1" ref="EP30" ca="1">(1-$B$18)*SUMPRODUCT(OFFSET($BO$15,0,0,$B$14,1), 1*(_xlfn._xlws.FILTER(OFFSET($O$15,0,$DN30,$B$8,1),OFFSET($M$15,0,0,$B$8,1))=EP$13), 1*(_xlfn._xlws.FILTER(OFFSET($O$15,0,$DO30,$B$8,1),OFFSET($M$15,0,0,$B$8,1))=EP$14))   /   SUM(OFFSET($BO$15,0,0,$B$14,1)) + $B$18/($B$19*$B$19*($DN30&lt;&gt;$DO30) + $B$19*($DN30=$DO30))</f>
        <v>3.7037037037037035E-4</v>
      </c>
      <c r="EQ30" s="10" cm="1">
        <f t="array" aca="1" ref="EQ30" ca="1">(1-$B$18)*SUMPRODUCT(OFFSET($BO$15,0,0,$B$14,1), 1*(_xlfn._xlws.FILTER(OFFSET($O$15,0,$DN30,$B$8,1),OFFSET($M$15,0,0,$B$8,1))=EQ$13), 1*(_xlfn._xlws.FILTER(OFFSET($O$15,0,$DO30,$B$8,1),OFFSET($M$15,0,0,$B$8,1))=EQ$14))   /   SUM(OFFSET($BO$15,0,0,$B$14,1)) + $B$18/($B$19*$B$19*($DN30&lt;&gt;$DO30) + $B$19*($DN30=$DO30))</f>
        <v>3.7037037037037035E-4</v>
      </c>
      <c r="ER30" s="10" cm="1">
        <f t="array" aca="1" ref="ER30" ca="1">(1-$B$18)*SUMPRODUCT(OFFSET($BO$15,0,0,$B$14,1), 1*(_xlfn._xlws.FILTER(OFFSET($O$15,0,$DN30,$B$8,1),OFFSET($M$15,0,0,$B$8,1))=ER$13), 1*(_xlfn._xlws.FILTER(OFFSET($O$15,0,$DO30,$B$8,1),OFFSET($M$15,0,0,$B$8,1))=ER$14))   /   SUM(OFFSET($BO$15,0,0,$B$14,1)) + $B$18/($B$19*$B$19*($DN30&lt;&gt;$DO30) + $B$19*($DN30=$DO30))</f>
        <v>3.7037037037037035E-4</v>
      </c>
      <c r="ES30" s="10" cm="1">
        <f t="array" aca="1" ref="ES30" ca="1">(1-$B$18)*SUMPRODUCT(OFFSET($BO$15,0,0,$B$14,1), 1*(_xlfn._xlws.FILTER(OFFSET($O$15,0,$DN30,$B$8,1),OFFSET($M$15,0,0,$B$8,1))=ES$13), 1*(_xlfn._xlws.FILTER(OFFSET($O$15,0,$DO30,$B$8,1),OFFSET($M$15,0,0,$B$8,1))=ES$14))   /   SUM(OFFSET($BO$15,0,0,$B$14,1)) + $B$18/($B$19*$B$19*($DN30&lt;&gt;$DO30) + $B$19*($DN30=$DO30))</f>
        <v>3.7037037037037035E-4</v>
      </c>
      <c r="ET30" s="10" cm="1">
        <f t="array" aca="1" ref="ET30" ca="1">(1-$B$18)*SUMPRODUCT(OFFSET($BO$15,0,0,$B$14,1), 1*(_xlfn._xlws.FILTER(OFFSET($O$15,0,$DN30,$B$8,1),OFFSET($M$15,0,0,$B$8,1))=ET$13), 1*(_xlfn._xlws.FILTER(OFFSET($O$15,0,$DO30,$B$8,1),OFFSET($M$15,0,0,$B$8,1))=ET$14))   /   SUM(OFFSET($BO$15,0,0,$B$14,1)) + $B$18/($B$19*$B$19*($DN30&lt;&gt;$DO30) + $B$19*($DN30=$DO30))</f>
        <v>3.7037037037037035E-4</v>
      </c>
      <c r="EU30" s="10" cm="1">
        <f t="array" aca="1" ref="EU30" ca="1">(1-$B$18)*SUMPRODUCT(OFFSET($BO$15,0,0,$B$14,1), 1*(_xlfn._xlws.FILTER(OFFSET($O$15,0,$DN30,$B$8,1),OFFSET($M$15,0,0,$B$8,1))=EU$13), 1*(_xlfn._xlws.FILTER(OFFSET($O$15,0,$DO30,$B$8,1),OFFSET($M$15,0,0,$B$8,1))=EU$14))   /   SUM(OFFSET($BO$15,0,0,$B$14,1)) + $B$18/($B$19*$B$19*($DN30&lt;&gt;$DO30) + $B$19*($DN30=$DO30))</f>
        <v>3.7037037037037035E-4</v>
      </c>
      <c r="EV30" s="10" cm="1">
        <f t="array" aca="1" ref="EV30" ca="1">(1-$B$18)*SUMPRODUCT(OFFSET($BO$15,0,0,$B$14,1), 1*(_xlfn._xlws.FILTER(OFFSET($O$15,0,$DN30,$B$8,1),OFFSET($M$15,0,0,$B$8,1))=EV$13), 1*(_xlfn._xlws.FILTER(OFFSET($O$15,0,$DO30,$B$8,1),OFFSET($M$15,0,0,$B$8,1))=EV$14))   /   SUM(OFFSET($BO$15,0,0,$B$14,1)) + $B$18/($B$19*$B$19*($DN30&lt;&gt;$DO30) + $B$19*($DN30=$DO30))</f>
        <v>3.7037037037037035E-4</v>
      </c>
      <c r="EW30" s="10" cm="1">
        <f t="array" aca="1" ref="EW30" ca="1">(1-$B$18)*SUMPRODUCT(OFFSET($BO$15,0,0,$B$14,1), 1*(_xlfn._xlws.FILTER(OFFSET($O$15,0,$DN30,$B$8,1),OFFSET($M$15,0,0,$B$8,1))=EW$13), 1*(_xlfn._xlws.FILTER(OFFSET($O$15,0,$DO30,$B$8,1),OFFSET($M$15,0,0,$B$8,1))=EW$14))   /   SUM(OFFSET($BO$15,0,0,$B$14,1)) + $B$18/($B$19*$B$19*($DN30&lt;&gt;$DO30) + $B$19*($DN30=$DO30))</f>
        <v>3.7037037037037035E-4</v>
      </c>
      <c r="EX30" s="10" cm="1">
        <f t="array" aca="1" ref="EX30" ca="1">(1-$B$18)*SUMPRODUCT(OFFSET($BO$15,0,0,$B$14,1), 1*(_xlfn._xlws.FILTER(OFFSET($O$15,0,$DN30,$B$8,1),OFFSET($M$15,0,0,$B$8,1))=EX$13), 1*(_xlfn._xlws.FILTER(OFFSET($O$15,0,$DO30,$B$8,1),OFFSET($M$15,0,0,$B$8,1))=EX$14))   /   SUM(OFFSET($BO$15,0,0,$B$14,1)) + $B$18/($B$19*$B$19*($DN30&lt;&gt;$DO30) + $B$19*($DN30=$DO30))</f>
        <v>3.7037037037037035E-4</v>
      </c>
      <c r="EY30" s="10" cm="1">
        <f t="array" aca="1" ref="EY30" ca="1">(1-$B$18)*SUMPRODUCT(OFFSET($BO$15,0,0,$B$14,1), 1*(_xlfn._xlws.FILTER(OFFSET($O$15,0,$DN30,$B$8,1),OFFSET($M$15,0,0,$B$8,1))=EY$13), 1*(_xlfn._xlws.FILTER(OFFSET($O$15,0,$DO30,$B$8,1),OFFSET($M$15,0,0,$B$8,1))=EY$14))   /   SUM(OFFSET($BO$15,0,0,$B$14,1)) + $B$18/($B$19*$B$19*($DN30&lt;&gt;$DO30) + $B$19*($DN30=$DO30))</f>
        <v>3.7037037037037035E-4</v>
      </c>
      <c r="EZ30" s="10" cm="1">
        <f t="array" aca="1" ref="EZ30" ca="1">(1-$B$18)*SUMPRODUCT(OFFSET($BO$15,0,0,$B$14,1), 1*(_xlfn._xlws.FILTER(OFFSET($O$15,0,$DN30,$B$8,1),OFFSET($M$15,0,0,$B$8,1))=EZ$13), 1*(_xlfn._xlws.FILTER(OFFSET($O$15,0,$DO30,$B$8,1),OFFSET($M$15,0,0,$B$8,1))=EZ$14))   /   SUM(OFFSET($BO$15,0,0,$B$14,1)) + $B$18/($B$19*$B$19*($DN30&lt;&gt;$DO30) + $B$19*($DN30=$DO30))</f>
        <v>3.7037037037037035E-4</v>
      </c>
      <c r="FA30" s="10" cm="1">
        <f t="array" aca="1" ref="FA30" ca="1">(1-$B$18)*SUMPRODUCT(OFFSET($BO$15,0,0,$B$14,1), 1*(_xlfn._xlws.FILTER(OFFSET($O$15,0,$DN30,$B$8,1),OFFSET($M$15,0,0,$B$8,1))=FA$13), 1*(_xlfn._xlws.FILTER(OFFSET($O$15,0,$DO30,$B$8,1),OFFSET($M$15,0,0,$B$8,1))=FA$14))   /   SUM(OFFSET($BO$15,0,0,$B$14,1)) + $B$18/($B$19*$B$19*($DN30&lt;&gt;$DO30) + $B$19*($DN30=$DO30))</f>
        <v>3.7037037037037035E-4</v>
      </c>
      <c r="FB30" s="10" cm="1">
        <f t="array" aca="1" ref="FB30" ca="1">(1-$B$18)*SUMPRODUCT(OFFSET($BO$15,0,0,$B$14,1), 1*(_xlfn._xlws.FILTER(OFFSET($O$15,0,$DN30,$B$8,1),OFFSET($M$15,0,0,$B$8,1))=FB$13), 1*(_xlfn._xlws.FILTER(OFFSET($O$15,0,$DO30,$B$8,1),OFFSET($M$15,0,0,$B$8,1))=FB$14))   /   SUM(OFFSET($BO$15,0,0,$B$14,1)) + $B$18/($B$19*$B$19*($DN30&lt;&gt;$DO30) + $B$19*($DN30=$DO30))</f>
        <v>3.7037037037037035E-4</v>
      </c>
      <c r="FC30" s="10" cm="1">
        <f t="array" aca="1" ref="FC30" ca="1">(1-$B$18)*SUMPRODUCT(OFFSET($BO$15,0,0,$B$14,1), 1*(_xlfn._xlws.FILTER(OFFSET($O$15,0,$DN30,$B$8,1),OFFSET($M$15,0,0,$B$8,1))=FC$13), 1*(_xlfn._xlws.FILTER(OFFSET($O$15,0,$DO30,$B$8,1),OFFSET($M$15,0,0,$B$8,1))=FC$14))   /   SUM(OFFSET($BO$15,0,0,$B$14,1)) + $B$18/($B$19*$B$19*($DN30&lt;&gt;$DO30) + $B$19*($DN30=$DO30))</f>
        <v>3.7037037037037035E-4</v>
      </c>
      <c r="FD30" s="10" cm="1">
        <f t="array" aca="1" ref="FD30" ca="1">(1-$B$18)*SUMPRODUCT(OFFSET($BO$15,0,0,$B$14,1), 1*(_xlfn._xlws.FILTER(OFFSET($O$15,0,$DN30,$B$8,1),OFFSET($M$15,0,0,$B$8,1))=FD$13), 1*(_xlfn._xlws.FILTER(OFFSET($O$15,0,$DO30,$B$8,1),OFFSET($M$15,0,0,$B$8,1))=FD$14))   /   SUM(OFFSET($BO$15,0,0,$B$14,1)) + $B$18/($B$19*$B$19*($DN30&lt;&gt;$DO30) + $B$19*($DN30=$DO30))</f>
        <v>3.7037037037037035E-4</v>
      </c>
      <c r="FE30" s="10" cm="1">
        <f t="array" aca="1" ref="FE30" ca="1">(1-$B$18)*SUMPRODUCT(OFFSET($BO$15,0,0,$B$14,1), 1*(_xlfn._xlws.FILTER(OFFSET($O$15,0,$DN30,$B$8,1),OFFSET($M$15,0,0,$B$8,1))=FE$13), 1*(_xlfn._xlws.FILTER(OFFSET($O$15,0,$DO30,$B$8,1),OFFSET($M$15,0,0,$B$8,1))=FE$14))   /   SUM(OFFSET($BO$15,0,0,$B$14,1)) + $B$18/($B$19*$B$19*($DN30&lt;&gt;$DO30) + $B$19*($DN30=$DO30))</f>
        <v>3.7037037037037035E-4</v>
      </c>
      <c r="FF30" s="10" cm="1">
        <f t="array" aca="1" ref="FF30" ca="1">(1-$B$18)*SUMPRODUCT(OFFSET($BO$15,0,0,$B$14,1), 1*(_xlfn._xlws.FILTER(OFFSET($O$15,0,$DN30,$B$8,1),OFFSET($M$15,0,0,$B$8,1))=FF$13), 1*(_xlfn._xlws.FILTER(OFFSET($O$15,0,$DO30,$B$8,1),OFFSET($M$15,0,0,$B$8,1))=FF$14))   /   SUM(OFFSET($BO$15,0,0,$B$14,1)) + $B$18/($B$19*$B$19*($DN30&lt;&gt;$DO30) + $B$19*($DN30=$DO30))</f>
        <v>3.7037037037037035E-4</v>
      </c>
      <c r="FG30" s="10" cm="1">
        <f t="array" aca="1" ref="FG30" ca="1">(1-$B$18)*SUMPRODUCT(OFFSET($BO$15,0,0,$B$14,1), 1*(_xlfn._xlws.FILTER(OFFSET($O$15,0,$DN30,$B$8,1),OFFSET($M$15,0,0,$B$8,1))=FG$13), 1*(_xlfn._xlws.FILTER(OFFSET($O$15,0,$DO30,$B$8,1),OFFSET($M$15,0,0,$B$8,1))=FG$14))   /   SUM(OFFSET($BO$15,0,0,$B$14,1)) + $B$18/($B$19*$B$19*($DN30&lt;&gt;$DO30) + $B$19*($DN30=$DO30))</f>
        <v>3.7037037037037035E-4</v>
      </c>
      <c r="FH30" s="10" cm="1">
        <f t="array" aca="1" ref="FH30" ca="1">(1-$B$18)*SUMPRODUCT(OFFSET($BO$15,0,0,$B$14,1), 1*(_xlfn._xlws.FILTER(OFFSET($O$15,0,$DN30,$B$8,1),OFFSET($M$15,0,0,$B$8,1))=FH$13), 1*(_xlfn._xlws.FILTER(OFFSET($O$15,0,$DO30,$B$8,1),OFFSET($M$15,0,0,$B$8,1))=FH$14))   /   SUM(OFFSET($BO$15,0,0,$B$14,1)) + $B$18/($B$19*$B$19*($DN30&lt;&gt;$DO30) + $B$19*($DN30=$DO30))</f>
        <v>3.7037037037037035E-4</v>
      </c>
      <c r="FI30" s="10" cm="1">
        <f t="array" aca="1" ref="FI30" ca="1">(1-$B$18)*SUMPRODUCT(OFFSET($BO$15,0,0,$B$14,1), 1*(_xlfn._xlws.FILTER(OFFSET($O$15,0,$DN30,$B$8,1),OFFSET($M$15,0,0,$B$8,1))=FI$13), 1*(_xlfn._xlws.FILTER(OFFSET($O$15,0,$DO30,$B$8,1),OFFSET($M$15,0,0,$B$8,1))=FI$14))   /   SUM(OFFSET($BO$15,0,0,$B$14,1)) + $B$18/($B$19*$B$19*($DN30&lt;&gt;$DO30) + $B$19*($DN30=$DO30))</f>
        <v>3.7037037037037035E-4</v>
      </c>
      <c r="FJ30" s="10" cm="1">
        <f t="array" aca="1" ref="FJ30" ca="1">(1-$B$18)*SUMPRODUCT(OFFSET($BO$15,0,0,$B$14,1), 1*(_xlfn._xlws.FILTER(OFFSET($O$15,0,$DN30,$B$8,1),OFFSET($M$15,0,0,$B$8,1))=FJ$13), 1*(_xlfn._xlws.FILTER(OFFSET($O$15,0,$DO30,$B$8,1),OFFSET($M$15,0,0,$B$8,1))=FJ$14))   /   SUM(OFFSET($BO$15,0,0,$B$14,1)) + $B$18/($B$19*$B$19*($DN30&lt;&gt;$DO30) + $B$19*($DN30=$DO30))</f>
        <v>3.7037037037037035E-4</v>
      </c>
      <c r="FK30" s="10" cm="1">
        <f t="array" aca="1" ref="FK30" ca="1">(1-$B$18)*SUMPRODUCT(OFFSET($BO$15,0,0,$B$14,1), 1*(_xlfn._xlws.FILTER(OFFSET($O$15,0,$DN30,$B$8,1),OFFSET($M$15,0,0,$B$8,1))=FK$13), 1*(_xlfn._xlws.FILTER(OFFSET($O$15,0,$DO30,$B$8,1),OFFSET($M$15,0,0,$B$8,1))=FK$14))   /   SUM(OFFSET($BO$15,0,0,$B$14,1)) + $B$18/($B$19*$B$19*($DN30&lt;&gt;$DO30) + $B$19*($DN30=$DO30))</f>
        <v>3.7037037037037035E-4</v>
      </c>
      <c r="FL30" s="10" cm="1">
        <f t="array" aca="1" ref="FL30" ca="1">(1-$B$18)*SUMPRODUCT(OFFSET($BO$15,0,0,$B$14,1), 1*(_xlfn._xlws.FILTER(OFFSET($O$15,0,$DN30,$B$8,1),OFFSET($M$15,0,0,$B$8,1))=FL$13), 1*(_xlfn._xlws.FILTER(OFFSET($O$15,0,$DO30,$B$8,1),OFFSET($M$15,0,0,$B$8,1))=FL$14))   /   SUM(OFFSET($BO$15,0,0,$B$14,1)) + $B$18/($B$19*$B$19*($DN30&lt;&gt;$DO30) + $B$19*($DN30=$DO30))</f>
        <v>3.7037037037037035E-4</v>
      </c>
      <c r="FM30" s="10" cm="1">
        <f t="array" aca="1" ref="FM30" ca="1">(1-$B$18)*SUMPRODUCT(OFFSET($BO$15,0,0,$B$14,1), 1*(_xlfn._xlws.FILTER(OFFSET($O$15,0,$DN30,$B$8,1),OFFSET($M$15,0,0,$B$8,1))=FM$13), 1*(_xlfn._xlws.FILTER(OFFSET($O$15,0,$DO30,$B$8,1),OFFSET($M$15,0,0,$B$8,1))=FM$14))   /   SUM(OFFSET($BO$15,0,0,$B$14,1)) + $B$18/($B$19*$B$19*($DN30&lt;&gt;$DO30) + $B$19*($DN30=$DO30))</f>
        <v>3.7037037037037035E-4</v>
      </c>
      <c r="FN30" s="10" cm="1">
        <f t="array" aca="1" ref="FN30" ca="1">(1-$B$18)*SUMPRODUCT(OFFSET($BO$15,0,0,$B$14,1), 1*(_xlfn._xlws.FILTER(OFFSET($O$15,0,$DN30,$B$8,1),OFFSET($M$15,0,0,$B$8,1))=FN$13), 1*(_xlfn._xlws.FILTER(OFFSET($O$15,0,$DO30,$B$8,1),OFFSET($M$15,0,0,$B$8,1))=FN$14))   /   SUM(OFFSET($BO$15,0,0,$B$14,1)) + $B$18/($B$19*$B$19*($DN30&lt;&gt;$DO30) + $B$19*($DN30=$DO30))</f>
        <v>3.7037037037037035E-4</v>
      </c>
      <c r="FO30" s="10" cm="1">
        <f t="array" aca="1" ref="FO30" ca="1">(1-$B$18)*SUMPRODUCT(OFFSET($BO$15,0,0,$B$14,1), 1*(_xlfn._xlws.FILTER(OFFSET($O$15,0,$DN30,$B$8,1),OFFSET($M$15,0,0,$B$8,1))=FO$13), 1*(_xlfn._xlws.FILTER(OFFSET($O$15,0,$DO30,$B$8,1),OFFSET($M$15,0,0,$B$8,1))=FO$14))   /   SUM(OFFSET($BO$15,0,0,$B$14,1)) + $B$18/($B$19*$B$19*($DN30&lt;&gt;$DO30) + $B$19*($DN30=$DO30))</f>
        <v>0.97037037037037033</v>
      </c>
      <c r="FP30" s="10" cm="1">
        <f t="array" aca="1" ref="FP30" ca="1">(1-$B$18)*SUMPRODUCT(OFFSET($BO$15,0,0,$B$14,1), 1*(_xlfn._xlws.FILTER(OFFSET($O$15,0,$DN30,$B$8,1),OFFSET($M$15,0,0,$B$8,1))=FP$13), 1*(_xlfn._xlws.FILTER(OFFSET($O$15,0,$DO30,$B$8,1),OFFSET($M$15,0,0,$B$8,1))=FP$14))   /   SUM(OFFSET($BO$15,0,0,$B$14,1)) + $B$18/($B$19*$B$19*($DN30&lt;&gt;$DO30) + $B$19*($DN30=$DO30))</f>
        <v>3.7037037037037035E-4</v>
      </c>
      <c r="FQ30" s="10" cm="1">
        <f t="array" aca="1" ref="FQ30" ca="1">(1-$B$18)*SUMPRODUCT(OFFSET($BO$15,0,0,$B$14,1), 1*(_xlfn._xlws.FILTER(OFFSET($O$15,0,$DN30,$B$8,1),OFFSET($M$15,0,0,$B$8,1))=FQ$13), 1*(_xlfn._xlws.FILTER(OFFSET($O$15,0,$DO30,$B$8,1),OFFSET($M$15,0,0,$B$8,1))=FQ$14))   /   SUM(OFFSET($BO$15,0,0,$B$14,1)) + $B$18/($B$19*$B$19*($DN30&lt;&gt;$DO30) + $B$19*($DN30=$DO30))</f>
        <v>3.7037037037037035E-4</v>
      </c>
      <c r="FR30" s="10" cm="1">
        <f t="array" aca="1" ref="FR30" ca="1">(1-$B$18)*SUMPRODUCT(OFFSET($BO$15,0,0,$B$14,1), 1*(_xlfn._xlws.FILTER(OFFSET($O$15,0,$DN30,$B$8,1),OFFSET($M$15,0,0,$B$8,1))=FR$13), 1*(_xlfn._xlws.FILTER(OFFSET($O$15,0,$DO30,$B$8,1),OFFSET($M$15,0,0,$B$8,1))=FR$14))   /   SUM(OFFSET($BO$15,0,0,$B$14,1)) + $B$18/($B$19*$B$19*($DN30&lt;&gt;$DO30) + $B$19*($DN30=$DO30))</f>
        <v>3.7037037037037035E-4</v>
      </c>
      <c r="FS30" s="10" cm="1">
        <f t="array" aca="1" ref="FS30" ca="1">(1-$B$18)*SUMPRODUCT(OFFSET($BO$15,0,0,$B$14,1), 1*(_xlfn._xlws.FILTER(OFFSET($O$15,0,$DN30,$B$8,1),OFFSET($M$15,0,0,$B$8,1))=FS$13), 1*(_xlfn._xlws.FILTER(OFFSET($O$15,0,$DO30,$B$8,1),OFFSET($M$15,0,0,$B$8,1))=FS$14))   /   SUM(OFFSET($BO$15,0,0,$B$14,1)) + $B$18/($B$19*$B$19*($DN30&lt;&gt;$DO30) + $B$19*($DN30=$DO30))</f>
        <v>3.7037037037037035E-4</v>
      </c>
      <c r="FT30" s="10" cm="1">
        <f t="array" aca="1" ref="FT30" ca="1">(1-$B$18)*SUMPRODUCT(OFFSET($BO$15,0,0,$B$14,1), 1*(_xlfn._xlws.FILTER(OFFSET($O$15,0,$DN30,$B$8,1),OFFSET($M$15,0,0,$B$8,1))=FT$13), 1*(_xlfn._xlws.FILTER(OFFSET($O$15,0,$DO30,$B$8,1),OFFSET($M$15,0,0,$B$8,1))=FT$14))   /   SUM(OFFSET($BO$15,0,0,$B$14,1)) + $B$18/($B$19*$B$19*($DN30&lt;&gt;$DO30) + $B$19*($DN30=$DO30))</f>
        <v>3.7037037037037035E-4</v>
      </c>
      <c r="FU30" s="10" cm="1">
        <f t="array" aca="1" ref="FU30" ca="1">(1-$B$18)*SUMPRODUCT(OFFSET($BO$15,0,0,$B$14,1), 1*(_xlfn._xlws.FILTER(OFFSET($O$15,0,$DN30,$B$8,1),OFFSET($M$15,0,0,$B$8,1))=FU$13), 1*(_xlfn._xlws.FILTER(OFFSET($O$15,0,$DO30,$B$8,1),OFFSET($M$15,0,0,$B$8,1))=FU$14))   /   SUM(OFFSET($BO$15,0,0,$B$14,1)) + $B$18/($B$19*$B$19*($DN30&lt;&gt;$DO30) + $B$19*($DN30=$DO30))</f>
        <v>3.7037037037037035E-4</v>
      </c>
      <c r="FV30" s="10" cm="1">
        <f t="array" aca="1" ref="FV30" ca="1">(1-$B$18)*SUMPRODUCT(OFFSET($BO$15,0,0,$B$14,1), 1*(_xlfn._xlws.FILTER(OFFSET($O$15,0,$DN30,$B$8,1),OFFSET($M$15,0,0,$B$8,1))=FV$13), 1*(_xlfn._xlws.FILTER(OFFSET($O$15,0,$DO30,$B$8,1),OFFSET($M$15,0,0,$B$8,1))=FV$14))   /   SUM(OFFSET($BO$15,0,0,$B$14,1)) + $B$18/($B$19*$B$19*($DN30&lt;&gt;$DO30) + $B$19*($DN30=$DO30))</f>
        <v>3.7037037037037035E-4</v>
      </c>
      <c r="FW30" s="10" cm="1">
        <f t="array" aca="1" ref="FW30" ca="1">(1-$B$18)*SUMPRODUCT(OFFSET($BO$15,0,0,$B$14,1), 1*(_xlfn._xlws.FILTER(OFFSET($O$15,0,$DN30,$B$8,1),OFFSET($M$15,0,0,$B$8,1))=FW$13), 1*(_xlfn._xlws.FILTER(OFFSET($O$15,0,$DO30,$B$8,1),OFFSET($M$15,0,0,$B$8,1))=FW$14))   /   SUM(OFFSET($BO$15,0,0,$B$14,1)) + $B$18/($B$19*$B$19*($DN30&lt;&gt;$DO30) + $B$19*($DN30=$DO30))</f>
        <v>3.7037037037037035E-4</v>
      </c>
      <c r="FX30" s="10" cm="1">
        <f t="array" aca="1" ref="FX30" ca="1">(1-$B$18)*SUMPRODUCT(OFFSET($BO$15,0,0,$B$14,1), 1*(_xlfn._xlws.FILTER(OFFSET($O$15,0,$DN30,$B$8,1),OFFSET($M$15,0,0,$B$8,1))=FX$13), 1*(_xlfn._xlws.FILTER(OFFSET($O$15,0,$DO30,$B$8,1),OFFSET($M$15,0,0,$B$8,1))=FX$14))   /   SUM(OFFSET($BO$15,0,0,$B$14,1)) + $B$18/($B$19*$B$19*($DN30&lt;&gt;$DO30) + $B$19*($DN30=$DO30))</f>
        <v>3.7037037037037035E-4</v>
      </c>
      <c r="FY30" s="10" cm="1">
        <f t="array" aca="1" ref="FY30" ca="1">(1-$B$18)*SUMPRODUCT(OFFSET($BO$15,0,0,$B$14,1), 1*(_xlfn._xlws.FILTER(OFFSET($O$15,0,$DN30,$B$8,1),OFFSET($M$15,0,0,$B$8,1))=FY$13), 1*(_xlfn._xlws.FILTER(OFFSET($O$15,0,$DO30,$B$8,1),OFFSET($M$15,0,0,$B$8,1))=FY$14))   /   SUM(OFFSET($BO$15,0,0,$B$14,1)) + $B$18/($B$19*$B$19*($DN30&lt;&gt;$DO30) + $B$19*($DN30=$DO30))</f>
        <v>3.7037037037037035E-4</v>
      </c>
      <c r="FZ30" s="10" cm="1">
        <f t="array" aca="1" ref="FZ30" ca="1">(1-$B$18)*SUMPRODUCT(OFFSET($BO$15,0,0,$B$14,1), 1*(_xlfn._xlws.FILTER(OFFSET($O$15,0,$DN30,$B$8,1),OFFSET($M$15,0,0,$B$8,1))=FZ$13), 1*(_xlfn._xlws.FILTER(OFFSET($O$15,0,$DO30,$B$8,1),OFFSET($M$15,0,0,$B$8,1))=FZ$14))   /   SUM(OFFSET($BO$15,0,0,$B$14,1)) + $B$18/($B$19*$B$19*($DN30&lt;&gt;$DO30) + $B$19*($DN30=$DO30))</f>
        <v>3.7037037037037035E-4</v>
      </c>
      <c r="GA30" s="10" cm="1">
        <f t="array" aca="1" ref="GA30" ca="1">(1-$B$18)*SUMPRODUCT(OFFSET($BO$15,0,0,$B$14,1), 1*(_xlfn._xlws.FILTER(OFFSET($O$15,0,$DN30,$B$8,1),OFFSET($M$15,0,0,$B$8,1))=GA$13), 1*(_xlfn._xlws.FILTER(OFFSET($O$15,0,$DO30,$B$8,1),OFFSET($M$15,0,0,$B$8,1))=GA$14))   /   SUM(OFFSET($BO$15,0,0,$B$14,1)) + $B$18/($B$19*$B$19*($DN30&lt;&gt;$DO30) + $B$19*($DN30=$DO30))</f>
        <v>3.7037037037037035E-4</v>
      </c>
    </row>
    <row r="31" spans="1:183" x14ac:dyDescent="0.2">
      <c r="D31" s="10">
        <f ca="1"/>
        <v>17</v>
      </c>
      <c r="F31" s="10">
        <f ca="1"/>
        <v>0.1</v>
      </c>
      <c r="H31" s="10">
        <f ca="1"/>
        <v>19</v>
      </c>
      <c r="J31" cm="1">
        <f t="array" aca="1" ref="J31" ca="1">SUMPRODUCT((O31:AJ31=$O$11:$AJ$11)*(O$13:AJ$13=TRUE))  / COUNTIF(O$13:AJ$13,TRUE)</f>
        <v>0.8</v>
      </c>
      <c r="K31" t="b">
        <f t="shared" ca="1" si="4"/>
        <v>1</v>
      </c>
      <c r="L31" cm="1">
        <f t="array" aca="1" ref="L31" ca="1">SUM(
   1*(_xlfn._xlws.FILTER(OFFSET($O31,0,0,1,$B$9),OFFSET($O$13,0,0,1,$B$9)) = "-")
) / $B$13</f>
        <v>0.05</v>
      </c>
      <c r="M31" t="b">
        <f t="shared" ca="1" si="5"/>
        <v>1</v>
      </c>
      <c r="N31" s="2">
        <v>16</v>
      </c>
      <c r="O31" s="12" t="s">
        <v>11</v>
      </c>
      <c r="P31" s="9" t="s">
        <v>11</v>
      </c>
      <c r="Q31" s="9" t="s">
        <v>11</v>
      </c>
      <c r="R31" s="9" t="s">
        <v>11</v>
      </c>
      <c r="S31" s="9" t="s">
        <v>11</v>
      </c>
      <c r="T31" s="12" t="s">
        <v>11</v>
      </c>
      <c r="U31" s="9" t="s">
        <v>11</v>
      </c>
      <c r="V31" s="9" t="s">
        <v>11</v>
      </c>
      <c r="W31" s="9" t="s">
        <v>11</v>
      </c>
      <c r="X31" s="9" t="s">
        <v>11</v>
      </c>
      <c r="Y31" s="12" t="s">
        <v>5</v>
      </c>
      <c r="Z31" s="9" t="s">
        <v>2</v>
      </c>
      <c r="AA31" s="9" t="s">
        <v>1</v>
      </c>
      <c r="AB31" s="9" t="s">
        <v>1</v>
      </c>
      <c r="AC31" s="9" t="s">
        <v>2</v>
      </c>
      <c r="AD31" s="12" t="s">
        <v>2</v>
      </c>
      <c r="AE31" s="9" t="s">
        <v>5</v>
      </c>
      <c r="AF31" s="9" t="s">
        <v>5</v>
      </c>
      <c r="AG31" s="9" t="s">
        <v>3</v>
      </c>
      <c r="AH31" s="9" t="s">
        <v>3</v>
      </c>
      <c r="AI31" s="12" t="s">
        <v>11</v>
      </c>
      <c r="AJ31" s="9" t="s">
        <v>6</v>
      </c>
      <c r="AN31">
        <f t="shared" ca="1" si="6"/>
        <v>3</v>
      </c>
      <c r="AO31" s="14">
        <f t="shared" ca="1" si="7"/>
        <v>0.33333333333333331</v>
      </c>
      <c r="AP31" s="2">
        <f ca="1"/>
        <v>17</v>
      </c>
      <c r="AQ31" cm="1">
        <f t="array" aca="1" ref="AQ31" ca="1">IF($AP31=AQ$14, 1, SUMPRODUCT(
    --(OFFSET($O$13,0,0,1,$B$9)=TRUE),
    --(INDEX(OFFSET($O$15,0,0,$B$8,$B$9), 1+$AP31, 0) = INDEX(OFFSET($O$15,0,0,$B$8,$B$9), 1+AQ$14, 0))
) / $B$13)</f>
        <v>0.85</v>
      </c>
      <c r="AR31" cm="1">
        <f t="array" aca="1" ref="AR31" ca="1">IF($AP31=AR$14, 1, SUMPRODUCT(
    --(OFFSET($O$13,0,0,1,$B$9)=TRUE),
    --(INDEX(OFFSET($O$15,0,0,$B$8,$B$9), 1+$AP31, 0) = INDEX(OFFSET($O$15,0,0,$B$8,$B$9), 1+AR$14, 0))
) / $B$13)</f>
        <v>0.95</v>
      </c>
      <c r="AS31" cm="1">
        <f t="array" aca="1" ref="AS31" ca="1">IF($AP31=AS$14, 1, SUMPRODUCT(
    --(OFFSET($O$13,0,0,1,$B$9)=TRUE),
    --(INDEX(OFFSET($O$15,0,0,$B$8,$B$9), 1+$AP31, 0) = INDEX(OFFSET($O$15,0,0,$B$8,$B$9), 1+AS$14, 0))
) / $B$13)</f>
        <v>0.85</v>
      </c>
      <c r="AT31" cm="1">
        <f t="array" aca="1" ref="AT31" ca="1">IF($AP31=AT$14, 1, SUMPRODUCT(
    --(OFFSET($O$13,0,0,1,$B$9)=TRUE),
    --(INDEX(OFFSET($O$15,0,0,$B$8,$B$9), 1+$AP31, 0) = INDEX(OFFSET($O$15,0,0,$B$8,$B$9), 1+AT$14, 0))
) / $B$13)</f>
        <v>0.85</v>
      </c>
      <c r="AU31" cm="1">
        <f t="array" aca="1" ref="AU31" ca="1">IF($AP31=AU$14, 1, SUMPRODUCT(
    --(OFFSET($O$13,0,0,1,$B$9)=TRUE),
    --(INDEX(OFFSET($O$15,0,0,$B$8,$B$9), 1+$AP31, 0) = INDEX(OFFSET($O$15,0,0,$B$8,$B$9), 1+AU$14, 0))
) / $B$13)</f>
        <v>0.85</v>
      </c>
      <c r="AV31" cm="1">
        <f t="array" aca="1" ref="AV31" ca="1">IF($AP31=AV$14, 1, SUMPRODUCT(
    --(OFFSET($O$13,0,0,1,$B$9)=TRUE),
    --(INDEX(OFFSET($O$15,0,0,$B$8,$B$9), 1+$AP31, 0) = INDEX(OFFSET($O$15,0,0,$B$8,$B$9), 1+AV$14, 0))
) / $B$13)</f>
        <v>0.95</v>
      </c>
      <c r="AW31" cm="1">
        <f t="array" aca="1" ref="AW31" ca="1">IF($AP31=AW$14, 1, SUMPRODUCT(
    --(OFFSET($O$13,0,0,1,$B$9)=TRUE),
    --(INDEX(OFFSET($O$15,0,0,$B$8,$B$9), 1+$AP31, 0) = INDEX(OFFSET($O$15,0,0,$B$8,$B$9), 1+AW$14, 0))
) / $B$13)</f>
        <v>0.8</v>
      </c>
      <c r="AX31" cm="1">
        <f t="array" aca="1" ref="AX31" ca="1">IF($AP31=AX$14, 1, SUMPRODUCT(
    --(OFFSET($O$13,0,0,1,$B$9)=TRUE),
    --(INDEX(OFFSET($O$15,0,0,$B$8,$B$9), 1+$AP31, 0) = INDEX(OFFSET($O$15,0,0,$B$8,$B$9), 1+AX$14, 0))
) / $B$13)</f>
        <v>0.8</v>
      </c>
      <c r="AY31" cm="1">
        <f t="array" aca="1" ref="AY31" ca="1">IF($AP31=AY$14, 1, SUMPRODUCT(
    --(OFFSET($O$13,0,0,1,$B$9)=TRUE),
    --(INDEX(OFFSET($O$15,0,0,$B$8,$B$9), 1+$AP31, 0) = INDEX(OFFSET($O$15,0,0,$B$8,$B$9), 1+AY$14, 0))
) / $B$13)</f>
        <v>0.95</v>
      </c>
      <c r="AZ31" cm="1">
        <f t="array" aca="1" ref="AZ31" ca="1">IF($AP31=AZ$14, 1, SUMPRODUCT(
    --(OFFSET($O$13,0,0,1,$B$9)=TRUE),
    --(INDEX(OFFSET($O$15,0,0,$B$8,$B$9), 1+$AP31, 0) = INDEX(OFFSET($O$15,0,0,$B$8,$B$9), 1+AZ$14, 0))
) / $B$13)</f>
        <v>0.95</v>
      </c>
      <c r="BA31" cm="1">
        <f t="array" aca="1" ref="BA31" ca="1">IF($AP31=BA$14, 1, SUMPRODUCT(
    --(OFFSET($O$13,0,0,1,$B$9)=TRUE),
    --(INDEX(OFFSET($O$15,0,0,$B$8,$B$9), 1+$AP31, 0) = INDEX(OFFSET($O$15,0,0,$B$8,$B$9), 1+BA$14, 0))
) / $B$13)</f>
        <v>0.95</v>
      </c>
      <c r="BB31" cm="1">
        <f t="array" aca="1" ref="BB31" ca="1">IF($AP31=BB$14, 1, SUMPRODUCT(
    --(OFFSET($O$13,0,0,1,$B$9)=TRUE),
    --(INDEX(OFFSET($O$15,0,0,$B$8,$B$9), 1+$AP31, 0) = INDEX(OFFSET($O$15,0,0,$B$8,$B$9), 1+BB$14, 0))
) / $B$13)</f>
        <v>0.95</v>
      </c>
      <c r="BC31" cm="1">
        <f t="array" aca="1" ref="BC31" ca="1">IF($AP31=BC$14, 1, SUMPRODUCT(
    --(OFFSET($O$13,0,0,1,$B$9)=TRUE),
    --(INDEX(OFFSET($O$15,0,0,$B$8,$B$9), 1+$AP31, 0) = INDEX(OFFSET($O$15,0,0,$B$8,$B$9), 1+BC$14, 0))
) / $B$13)</f>
        <v>0.95</v>
      </c>
      <c r="BD31" cm="1">
        <f t="array" aca="1" ref="BD31" ca="1">IF($AP31=BD$14, 1, SUMPRODUCT(
    --(OFFSET($O$13,0,0,1,$B$9)=TRUE),
    --(INDEX(OFFSET($O$15,0,0,$B$8,$B$9), 1+$AP31, 0) = INDEX(OFFSET($O$15,0,0,$B$8,$B$9), 1+BD$14, 0))
) / $B$13)</f>
        <v>1</v>
      </c>
      <c r="BE31" cm="1">
        <f t="array" aca="1" ref="BE31" ca="1">IF($AP31=BE$14, 1, SUMPRODUCT(
    --(OFFSET($O$13,0,0,1,$B$9)=TRUE),
    --(INDEX(OFFSET($O$15,0,0,$B$8,$B$9), 1+$AP31, 0) = INDEX(OFFSET($O$15,0,0,$B$8,$B$9), 1+BE$14, 0))
) / $B$13)</f>
        <v>0.85</v>
      </c>
      <c r="BF31" cm="1">
        <f t="array" aca="1" ref="BF31" ca="1">IF($AP31=BF$14, 1, SUMPRODUCT(
    --(OFFSET($O$13,0,0,1,$B$9)=TRUE),
    --(INDEX(OFFSET($O$15,0,0,$B$8,$B$9), 1+$AP31, 0) = INDEX(OFFSET($O$15,0,0,$B$8,$B$9), 1+BF$14, 0))
) / $B$13)</f>
        <v>0.85</v>
      </c>
      <c r="BG31" cm="1">
        <f t="array" aca="1" ref="BG31" ca="1">IF($AP31=BG$14, 1, SUMPRODUCT(
    --(OFFSET($O$13,0,0,1,$B$9)=TRUE),
    --(INDEX(OFFSET($O$15,0,0,$B$8,$B$9), 1+$AP31, 0) = INDEX(OFFSET($O$15,0,0,$B$8,$B$9), 1+BG$14, 0))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
) / $B$13)</f>
        <v>0.85</v>
      </c>
      <c r="BI31" cm="1">
        <f t="array" aca="1" ref="BI31" ca="1">IF($AP31=BI$14, 1, SUMPRODUCT(
    --(OFFSET($O$13,0,0,1,$B$9)=TRUE),
    --(INDEX(OFFSET($O$15,0,0,$B$8,$B$9), 1+$AP31, 0) = INDEX(OFFSET($O$15,0,0,$B$8,$B$9), 1+BI$14, 0))
) / $B$13)</f>
        <v>1</v>
      </c>
      <c r="BJ31" cm="1">
        <f t="array" aca="1" ref="BJ31" ca="1">IF($AP31=BJ$14, 1, SUMPRODUCT(
    --(OFFSET($O$13,0,0,1,$B$9)=TRUE),
    --(INDEX(OFFSET($O$15,0,0,$B$8,$B$9), 1+$AP31, 0) = INDEX(OFFSET($O$15,0,0,$B$8,$B$9), 1+BJ$14, 0))
) / $B$13)</f>
        <v>0.8</v>
      </c>
      <c r="BN31">
        <f t="shared" ca="1" si="8"/>
        <v>10</v>
      </c>
      <c r="BO31" s="14">
        <f t="shared" ca="1" si="9"/>
        <v>0.1</v>
      </c>
      <c r="BP31" s="2">
        <f ca="1"/>
        <v>17</v>
      </c>
      <c r="BQ31" cm="1">
        <f t="array" aca="1" ref="BQ31" ca="1">IF($BP31=BQ$14, 1, SUMPRODUCT(
    --(OFFSET($O$9,0,0,1,$B$9)=TRUE),
    --(INDEX(OFFSET($O$15,0,0,$B$8,$B$9), 1+$BP31, 0) = INDEX(OFFSET($O$15,0,0,$B$8,$B$9), 1+BQ$14, 0))
) / $B$16)</f>
        <v>0.89473684210526316</v>
      </c>
      <c r="BR31" cm="1">
        <f t="array" aca="1" ref="BR31" ca="1">IF($BP31=BR$14, 1, SUMPRODUCT(
    --(OFFSET($O$9,0,0,1,$B$9)=TRUE),
    --(INDEX(OFFSET($O$15,0,0,$B$8,$B$9), 1+$BP31, 0) = INDEX(OFFSET($O$15,0,0,$B$8,$B$9), 1+BR$14, 0))
) / $B$16)</f>
        <v>1</v>
      </c>
      <c r="BS31" cm="1">
        <f t="array" aca="1" ref="BS31" ca="1">IF($BP31=BS$14, 1, SUMPRODUCT(
    --(OFFSET($O$9,0,0,1,$B$9)=TRUE),
    --(INDEX(OFFSET($O$15,0,0,$B$8,$B$9), 1+$BP31, 0) = INDEX(OFFSET($O$15,0,0,$B$8,$B$9), 1+BS$14, 0))
) / $B$16)</f>
        <v>0.89473684210526316</v>
      </c>
      <c r="BT31" cm="1">
        <f t="array" aca="1" ref="BT31" ca="1">IF($BP31=BT$14, 1, SUMPRODUCT(
    --(OFFSET($O$9,0,0,1,$B$9)=TRUE),
    --(INDEX(OFFSET($O$15,0,0,$B$8,$B$9), 1+$BP31, 0) = INDEX(OFFSET($O$15,0,0,$B$8,$B$9), 1+BT$14, 0))
) / $B$16)</f>
        <v>0.89473684210526316</v>
      </c>
      <c r="BU31" cm="1">
        <f t="array" aca="1" ref="BU31" ca="1">IF($BP31=BU$14, 1, SUMPRODUCT(
    --(OFFSET($O$9,0,0,1,$B$9)=TRUE),
    --(INDEX(OFFSET($O$15,0,0,$B$8,$B$9), 1+$BP31, 0) = INDEX(OFFSET($O$15,0,0,$B$8,$B$9), 1+BU$14, 0))
) / $B$16)</f>
        <v>0.89473684210526316</v>
      </c>
      <c r="BV31" cm="1">
        <f t="array" aca="1" ref="BV31" ca="1">IF($BP31=BV$14, 1, SUMPRODUCT(
    --(OFFSET($O$9,0,0,1,$B$9)=TRUE),
    --(INDEX(OFFSET($O$15,0,0,$B$8,$B$9), 1+$BP31, 0) = INDEX(OFFSET($O$15,0,0,$B$8,$B$9), 1+BV$14, 0))
) / $B$16)</f>
        <v>1</v>
      </c>
      <c r="BW31" cm="1">
        <f t="array" aca="1" ref="BW31" ca="1">IF($BP31=BW$14, 1, SUMPRODUCT(
    --(OFFSET($O$9,0,0,1,$B$9)=TRUE),
    --(INDEX(OFFSET($O$15,0,0,$B$8,$B$9), 1+$BP31, 0) = INDEX(OFFSET($O$15,0,0,$B$8,$B$9), 1+BW$14, 0))
) / $B$16)</f>
        <v>0.84210526315789469</v>
      </c>
      <c r="BX31" cm="1">
        <f t="array" aca="1" ref="BX31" ca="1">IF($BP31=BX$14, 1, SUMPRODUCT(
    --(OFFSET($O$9,0,0,1,$B$9)=TRUE),
    --(INDEX(OFFSET($O$15,0,0,$B$8,$B$9), 1+$BP31, 0) = INDEX(OFFSET($O$15,0,0,$B$8,$B$9), 1+BX$14, 0))
) / $B$16)</f>
        <v>0.84210526315789469</v>
      </c>
      <c r="BY31" cm="1">
        <f t="array" aca="1" ref="BY31" ca="1">IF($BP31=BY$14, 1, SUMPRODUCT(
    --(OFFSET($O$9,0,0,1,$B$9)=TRUE),
    --(INDEX(OFFSET($O$15,0,0,$B$8,$B$9), 1+$BP31, 0) = INDEX(OFFSET($O$15,0,0,$B$8,$B$9), 1+BY$14, 0))
) / $B$16)</f>
        <v>1</v>
      </c>
      <c r="BZ31" cm="1">
        <f t="array" aca="1" ref="BZ31" ca="1">IF($BP31=BZ$14, 1, SUMPRODUCT(
    --(OFFSET($O$9,0,0,1,$B$9)=TRUE),
    --(INDEX(OFFSET($O$15,0,0,$B$8,$B$9), 1+$BP31, 0) = INDEX(OFFSET($O$15,0,0,$B$8,$B$9), 1+BZ$14, 0))
) / $B$16)</f>
        <v>1</v>
      </c>
      <c r="CA31" cm="1">
        <f t="array" aca="1" ref="CA31" ca="1">IF($BP31=CA$14, 1, SUMPRODUCT(
    --(OFFSET($O$9,0,0,1,$B$9)=TRUE),
    --(INDEX(OFFSET($O$15,0,0,$B$8,$B$9), 1+$BP31, 0) = INDEX(OFFSET($O$15,0,0,$B$8,$B$9), 1+CA$14, 0))
) / $B$16)</f>
        <v>1</v>
      </c>
      <c r="CB31" cm="1">
        <f t="array" aca="1" ref="CB31" ca="1">IF($BP31=CB$14, 1, SUMPRODUCT(
    --(OFFSET($O$9,0,0,1,$B$9)=TRUE),
    --(INDEX(OFFSET($O$15,0,0,$B$8,$B$9), 1+$BP31, 0) = INDEX(OFFSET($O$15,0,0,$B$8,$B$9), 1+CB$14, 0))
) / $B$16)</f>
        <v>1</v>
      </c>
      <c r="CC31" cm="1">
        <f t="array" aca="1" ref="CC31" ca="1">IF($BP31=CC$14, 1, SUMPRODUCT(
    --(OFFSET($O$9,0,0,1,$B$9)=TRUE),
    --(INDEX(OFFSET($O$15,0,0,$B$8,$B$9), 1+$BP31, 0) = INDEX(OFFSET($O$15,0,0,$B$8,$B$9), 1+CC$14, 0))
) / $B$16)</f>
        <v>1</v>
      </c>
      <c r="CD31" cm="1">
        <f t="array" aca="1" ref="CD31" ca="1">IF($BP31=CD$14, 1, SUMPRODUCT(
    --(OFFSET($O$9,0,0,1,$B$9)=TRUE),
    --(INDEX(OFFSET($O$15,0,0,$B$8,$B$9), 1+$BP31, 0) = INDEX(OFFSET($O$15,0,0,$B$8,$B$9), 1+CD$14, 0))
) / $B$16)</f>
        <v>1</v>
      </c>
      <c r="CE31" cm="1">
        <f t="array" aca="1" ref="CE31" ca="1">IF($BP31=CE$14, 1, SUMPRODUCT(
    --(OFFSET($O$9,0,0,1,$B$9)=TRUE),
    --(INDEX(OFFSET($O$15,0,0,$B$8,$B$9), 1+$BP31, 0) = INDEX(OFFSET($O$15,0,0,$B$8,$B$9), 1+CE$14, 0))
) / $B$16)</f>
        <v>0.84210526315789469</v>
      </c>
      <c r="CF31" cm="1">
        <f t="array" aca="1" ref="CF31" ca="1">IF($BP31=CF$14, 1, SUMPRODUCT(
    --(OFFSET($O$9,0,0,1,$B$9)=TRUE),
    --(INDEX(OFFSET($O$15,0,0,$B$8,$B$9), 1+$BP31, 0) = INDEX(OFFSET($O$15,0,0,$B$8,$B$9), 1+CF$14, 0))
) / $B$16)</f>
        <v>0.84210526315789469</v>
      </c>
      <c r="CG31" cm="1">
        <f t="array" aca="1" ref="CG31" ca="1">IF($BP31=CG$14, 1, SUMPRODUCT(
    --(OFFSET($O$9,0,0,1,$B$9)=TRUE),
    --(INDEX(OFFSET($O$15,0,0,$B$8,$B$9), 1+$BP31, 0) = INDEX(OFFSET($O$15,0,0,$B$8,$B$9), 1+CG$14, 0))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
) / $B$16)</f>
        <v>0.84210526315789469</v>
      </c>
      <c r="CI31" cm="1">
        <f t="array" aca="1" ref="CI31" ca="1">IF($BP31=CI$14, 1, SUMPRODUCT(
    --(OFFSET($O$9,0,0,1,$B$9)=TRUE),
    --(INDEX(OFFSET($O$15,0,0,$B$8,$B$9), 1+$BP31, 0) = INDEX(OFFSET($O$15,0,0,$B$8,$B$9), 1+CI$14, 0))
) / $B$16)</f>
        <v>1</v>
      </c>
      <c r="CJ31" cm="1">
        <f t="array" aca="1" ref="CJ31" ca="1">IF($BP31=CJ$14, 1, SUMPRODUCT(
    --(OFFSET($O$9,0,0,1,$B$9)=TRUE),
    --(INDEX(OFFSET($O$15,0,0,$B$8,$B$9), 1+$BP31, 0) = INDEX(OFFSET($O$15,0,0,$B$8,$B$9), 1+CJ$14, 0))
) / $B$16)</f>
        <v>0.84210526315789469</v>
      </c>
      <c r="CP31">
        <f ca="1"/>
        <v>19</v>
      </c>
      <c r="CQ31" cm="1">
        <f t="array" aca="1" ref="CQ31" ca="1">(1-$B$18)*SUMPRODUCT(OFFSET($BO$15,0,0,$B$14,1), 1*(_xlfn._xlws.FILTER(OFFSET($O$15,0,$CP31,$B$8,1), OFFSET($M$15,0,0,$B$8,1))=CQ$14))   /   SUM(OFFSET($BO$15,0,0,$B$14,1)) + $B$18/$B$19</f>
        <v>3.3333333333333331E-3</v>
      </c>
      <c r="CR31" s="10" cm="1">
        <f t="array" aca="1" ref="CR31" ca="1">(1-$B$18)*SUMPRODUCT(OFFSET($BO$15,0,0,$B$14,1), 1*(_xlfn._xlws.FILTER(OFFSET($O$15,0,$CP31,$B$8,1), OFFSET($M$15,0,0,$B$8,1))=CR$14))   /   SUM(OFFSET($BO$15,0,0,$B$14,1)) + $B$18/$B$19</f>
        <v>3.3333333333333331E-3</v>
      </c>
      <c r="CS31" s="10" cm="1">
        <f t="array" aca="1" ref="CS31" ca="1">(1-$B$18)*SUMPRODUCT(OFFSET($BO$15,0,0,$B$14,1), 1*(_xlfn._xlws.FILTER(OFFSET($O$15,0,$CP31,$B$8,1), OFFSET($M$15,0,0,$B$8,1))=CS$14))   /   SUM(OFFSET($BO$15,0,0,$B$14,1)) + $B$18/$B$19</f>
        <v>3.3333333333333331E-3</v>
      </c>
      <c r="CT31" s="10" cm="1">
        <f t="array" aca="1" ref="CT31" ca="1">(1-$B$18)*SUMPRODUCT(OFFSET($BO$15,0,0,$B$14,1), 1*(_xlfn._xlws.FILTER(OFFSET($O$15,0,$CP31,$B$8,1), OFFSET($M$15,0,0,$B$8,1))=CT$14))   /   SUM(OFFSET($BO$15,0,0,$B$14,1)) + $B$18/$B$19</f>
        <v>3.3333333333333331E-3</v>
      </c>
      <c r="CU31" s="10" cm="1">
        <f t="array" aca="1" ref="CU31" ca="1">(1-$B$18)*SUMPRODUCT(OFFSET($BO$15,0,0,$B$14,1), 1*(_xlfn._xlws.FILTER(OFFSET($O$15,0,$CP31,$B$8,1), OFFSET($M$15,0,0,$B$8,1))=CU$14))   /   SUM(OFFSET($BO$15,0,0,$B$14,1)) + $B$18/$B$19</f>
        <v>0.97333333333333327</v>
      </c>
      <c r="CV31" s="10" cm="1">
        <f t="array" aca="1" ref="CV31" ca="1">(1-$B$18)*SUMPRODUCT(OFFSET($BO$15,0,0,$B$14,1), 1*(_xlfn._xlws.FILTER(OFFSET($O$15,0,$CP31,$B$8,1), OFFSET($M$15,0,0,$B$8,1))=CV$14))   /   SUM(OFFSET($BO$15,0,0,$B$14,1)) + $B$18/$B$19</f>
        <v>3.3333333333333331E-3</v>
      </c>
      <c r="CW31" s="10" cm="1">
        <f t="array" aca="1" ref="CW31" ca="1">(1-$B$18)*SUMPRODUCT(OFFSET($BO$15,0,0,$B$14,1), 1*(_xlfn._xlws.FILTER(OFFSET($O$15,0,$CP31,$B$8,1), OFFSET($M$15,0,0,$B$8,1))=CW$14))   /   SUM(OFFSET($BO$15,0,0,$B$14,1)) + $B$18/$B$19</f>
        <v>3.3333333333333331E-3</v>
      </c>
      <c r="CX31" s="10" cm="1">
        <f t="array" aca="1" ref="CX31" ca="1">(1-$B$18)*SUMPRODUCT(OFFSET($BO$15,0,0,$B$14,1), 1*(_xlfn._xlws.FILTER(OFFSET($O$15,0,$CP31,$B$8,1), OFFSET($M$15,0,0,$B$8,1))=CX$14))   /   SUM(OFFSET($BO$15,0,0,$B$14,1)) + $B$18/$B$19</f>
        <v>3.3333333333333331E-3</v>
      </c>
      <c r="CY31" s="10" cm="1">
        <f t="array" aca="1" ref="CY31" ca="1">(1-$B$18)*SUMPRODUCT(OFFSET($BO$15,0,0,$B$14,1), 1*(_xlfn._xlws.FILTER(OFFSET($O$15,0,$CP31,$B$8,1), OFFSET($M$15,0,0,$B$8,1))=CY$14))   /   SUM(OFFSET($BO$15,0,0,$B$14,1)) + $B$18/$B$19</f>
        <v>3.3333333333333331E-3</v>
      </c>
      <c r="DB31" s="10" cm="1">
        <f t="array" aca="1" ref="DB31" ca="1">SUM(OFFSET($CR31,0,0,1,$M$2)*LN(OFFSET($CR31,0,0,1,$M$2)/OFFSET($CR$11,0,0,1,$M$2)))+IF($CQ$11&gt;0,OFFSET($O$10,0,$CP31,1,1)*LN(OFFSET($O$10,0,$CP31,1,1)/$CQ$11),0)</f>
        <v>1.9131139043413503</v>
      </c>
      <c r="DC31">
        <f ca="1"/>
        <v>19</v>
      </c>
      <c r="DD31" s="10">
        <f t="shared" ca="1" si="11"/>
        <v>0.11767737994455678</v>
      </c>
      <c r="DE31" s="10">
        <f t="shared" ref="DE31:DE33" ca="1" si="12">CS31*LN(CS31/CS$10) + (1 - CS31)*LN((1-CS31)/(1-CS$10))</f>
        <v>0.11767737994455678</v>
      </c>
      <c r="DF31" s="10">
        <f t="shared" ref="DF31:DF33" ca="1" si="13">CT31*LN(CT31/CT$10) + (1 - CT31)*LN((1-CT31)/(1-CT$10))</f>
        <v>0.11767737994455678</v>
      </c>
      <c r="DG31" s="10">
        <f t="shared" ref="DG31:DG33" ca="1" si="14">CU31*LN(CU31/CU$10) + (1 - CU31)*LN((1-CU31)/(1-CU$10))</f>
        <v>1.9045936050347492</v>
      </c>
      <c r="DH31" s="10">
        <f t="shared" ref="DH31:DH33" ca="1" si="15">CV31*LN(CV31/CV$10) + (1 - CV31)*LN((1-CV31)/(1-CV$10))</f>
        <v>0.11767737994455678</v>
      </c>
      <c r="DI31" s="10">
        <f t="shared" ref="DI31:DI33" ca="1" si="16">CW31*LN(CW31/CW$10) + (1 - CW31)*LN((1-CW31)/(1-CW$10))</f>
        <v>0.11767737994455678</v>
      </c>
      <c r="DJ31" s="10">
        <f t="shared" ref="DJ31:DJ33" ca="1" si="17">CX31*LN(CX31/CX$10) + (1 - CX31)*LN((1-CX31)/(1-CX$10))</f>
        <v>0.11767737994455678</v>
      </c>
      <c r="DK31" s="10">
        <f t="shared" ref="DK31:DK33" ca="1" si="18">CY31*LN(CY31/CY$10) + (1 - CY31)*LN((1-CY31)/(1-CY$10))</f>
        <v>0.11767737994455678</v>
      </c>
      <c r="DN31" cm="1">
        <f t="array" aca="1" ref="DN31" ca="1">INDEX(_xlfn.ANCHORARRAY($CP$15), 1 + INT((ROWS($DO$15:$DO31) - 1) / ROWS(_xlfn.ANCHORARRAY($CP$15))))</f>
        <v>0</v>
      </c>
      <c r="DO31" cm="1">
        <f t="array" aca="1" ref="DO31" ca="1">INDEX(_xlfn.ANCHORARRAY($CP$15),1+MOD(ROWS($DO$15:$DO31)-1,ROWS(_xlfn.ANCHORARRAY($CP$15))))</f>
        <v>19</v>
      </c>
      <c r="DP31" s="10" cm="1">
        <f t="array" aca="1" ref="DP31" ca="1">(1-$B$18)*SUMPRODUCT(OFFSET($BO$15,0,0,$B$14,1), 1*(_xlfn._xlws.FILTER(OFFSET($O$15,0,$DN31,$B$8,1),OFFSET($M$15,0,0,$B$8,1))=DP$13), 1*(_xlfn._xlws.FILTER(OFFSET($O$15,0,$DO31,$B$8,1),OFFSET($M$15,0,0,$B$8,1))=DP$14))   /   SUM(OFFSET($BO$15,0,0,$B$14,1)) + $B$18/($B$19*$B$19*($DN31&lt;&gt;$DO31) + $B$19*($DN31=$DO31))</f>
        <v>3.7037037037037035E-4</v>
      </c>
      <c r="DQ31" s="10" cm="1">
        <f t="array" aca="1" ref="DQ31" ca="1">(1-$B$18)*SUMPRODUCT(OFFSET($BO$15,0,0,$B$14,1), 1*(_xlfn._xlws.FILTER(OFFSET($O$15,0,$DN31,$B$8,1),OFFSET($M$15,0,0,$B$8,1))=DQ$13), 1*(_xlfn._xlws.FILTER(OFFSET($O$15,0,$DO31,$B$8,1),OFFSET($M$15,0,0,$B$8,1))=DQ$14))   /   SUM(OFFSET($BO$15,0,0,$B$14,1)) + $B$18/($B$19*$B$19*($DN31&lt;&gt;$DO31) + $B$19*($DN31=$DO31))</f>
        <v>3.7037037037037035E-4</v>
      </c>
      <c r="DR31" s="10" cm="1">
        <f t="array" aca="1" ref="DR31" ca="1">(1-$B$18)*SUMPRODUCT(OFFSET($BO$15,0,0,$B$14,1), 1*(_xlfn._xlws.FILTER(OFFSET($O$15,0,$DN31,$B$8,1),OFFSET($M$15,0,0,$B$8,1))=DR$13), 1*(_xlfn._xlws.FILTER(OFFSET($O$15,0,$DO31,$B$8,1),OFFSET($M$15,0,0,$B$8,1))=DR$14))   /   SUM(OFFSET($BO$15,0,0,$B$14,1)) + $B$18/($B$19*$B$19*($DN31&lt;&gt;$DO31) + $B$19*($DN31=$DO31))</f>
        <v>3.7037037037037035E-4</v>
      </c>
      <c r="DS31" s="10" cm="1">
        <f t="array" aca="1" ref="DS31" ca="1">(1-$B$18)*SUMPRODUCT(OFFSET($BO$15,0,0,$B$14,1), 1*(_xlfn._xlws.FILTER(OFFSET($O$15,0,$DN31,$B$8,1),OFFSET($M$15,0,0,$B$8,1))=DS$13), 1*(_xlfn._xlws.FILTER(OFFSET($O$15,0,$DO31,$B$8,1),OFFSET($M$15,0,0,$B$8,1))=DS$14))   /   SUM(OFFSET($BO$15,0,0,$B$14,1)) + $B$18/($B$19*$B$19*($DN31&lt;&gt;$DO31) + $B$19*($DN31=$DO31))</f>
        <v>3.7037037037037035E-4</v>
      </c>
      <c r="DT31" s="10" cm="1">
        <f t="array" aca="1" ref="DT31" ca="1">(1-$B$18)*SUMPRODUCT(OFFSET($BO$15,0,0,$B$14,1), 1*(_xlfn._xlws.FILTER(OFFSET($O$15,0,$DN31,$B$8,1),OFFSET($M$15,0,0,$B$8,1))=DT$13), 1*(_xlfn._xlws.FILTER(OFFSET($O$15,0,$DO31,$B$8,1),OFFSET($M$15,0,0,$B$8,1))=DT$14))   /   SUM(OFFSET($BO$15,0,0,$B$14,1)) + $B$18/($B$19*$B$19*($DN31&lt;&gt;$DO31) + $B$19*($DN31=$DO31))</f>
        <v>3.7037037037037035E-4</v>
      </c>
      <c r="DU31" s="10" cm="1">
        <f t="array" aca="1" ref="DU31" ca="1">(1-$B$18)*SUMPRODUCT(OFFSET($BO$15,0,0,$B$14,1), 1*(_xlfn._xlws.FILTER(OFFSET($O$15,0,$DN31,$B$8,1),OFFSET($M$15,0,0,$B$8,1))=DU$13), 1*(_xlfn._xlws.FILTER(OFFSET($O$15,0,$DO31,$B$8,1),OFFSET($M$15,0,0,$B$8,1))=DU$14))   /   SUM(OFFSET($BO$15,0,0,$B$14,1)) + $B$18/($B$19*$B$19*($DN31&lt;&gt;$DO31) + $B$19*($DN31=$DO31))</f>
        <v>3.7037037037037035E-4</v>
      </c>
      <c r="DV31" s="10" cm="1">
        <f t="array" aca="1" ref="DV31" ca="1">(1-$B$18)*SUMPRODUCT(OFFSET($BO$15,0,0,$B$14,1), 1*(_xlfn._xlws.FILTER(OFFSET($O$15,0,$DN31,$B$8,1),OFFSET($M$15,0,0,$B$8,1))=DV$13), 1*(_xlfn._xlws.FILTER(OFFSET($O$15,0,$DO31,$B$8,1),OFFSET($M$15,0,0,$B$8,1))=DV$14))   /   SUM(OFFSET($BO$15,0,0,$B$14,1)) + $B$18/($B$19*$B$19*($DN31&lt;&gt;$DO31) + $B$19*($DN31=$DO31))</f>
        <v>3.7037037037037035E-4</v>
      </c>
      <c r="DW31" s="10" cm="1">
        <f t="array" aca="1" ref="DW31" ca="1">(1-$B$18)*SUMPRODUCT(OFFSET($BO$15,0,0,$B$14,1), 1*(_xlfn._xlws.FILTER(OFFSET($O$15,0,$DN31,$B$8,1),OFFSET($M$15,0,0,$B$8,1))=DW$13), 1*(_xlfn._xlws.FILTER(OFFSET($O$15,0,$DO31,$B$8,1),OFFSET($M$15,0,0,$B$8,1))=DW$14))   /   SUM(OFFSET($BO$15,0,0,$B$14,1)) + $B$18/($B$19*$B$19*($DN31&lt;&gt;$DO31) + $B$19*($DN31=$DO31))</f>
        <v>3.7037037037037035E-4</v>
      </c>
      <c r="DX31" s="10" cm="1">
        <f t="array" aca="1" ref="DX31" ca="1">(1-$B$18)*SUMPRODUCT(OFFSET($BO$15,0,0,$B$14,1), 1*(_xlfn._xlws.FILTER(OFFSET($O$15,0,$DN31,$B$8,1),OFFSET($M$15,0,0,$B$8,1))=DX$13), 1*(_xlfn._xlws.FILTER(OFFSET($O$15,0,$DO31,$B$8,1),OFFSET($M$15,0,0,$B$8,1))=DX$14))   /   SUM(OFFSET($BO$15,0,0,$B$14,1)) + $B$18/($B$19*$B$19*($DN31&lt;&gt;$DO31) + $B$19*($DN31=$DO31))</f>
        <v>3.7037037037037035E-4</v>
      </c>
      <c r="DY31" s="10" cm="1">
        <f t="array" aca="1" ref="DY31" ca="1">(1-$B$18)*SUMPRODUCT(OFFSET($BO$15,0,0,$B$14,1), 1*(_xlfn._xlws.FILTER(OFFSET($O$15,0,$DN31,$B$8,1),OFFSET($M$15,0,0,$B$8,1))=DY$13), 1*(_xlfn._xlws.FILTER(OFFSET($O$15,0,$DO31,$B$8,1),OFFSET($M$15,0,0,$B$8,1))=DY$14))   /   SUM(OFFSET($BO$15,0,0,$B$14,1)) + $B$18/($B$19*$B$19*($DN31&lt;&gt;$DO31) + $B$19*($DN31=$DO31))</f>
        <v>3.7037037037037035E-4</v>
      </c>
      <c r="DZ31" s="10" cm="1">
        <f t="array" aca="1" ref="DZ31" ca="1">(1-$B$18)*SUMPRODUCT(OFFSET($BO$15,0,0,$B$14,1), 1*(_xlfn._xlws.FILTER(OFFSET($O$15,0,$DN31,$B$8,1),OFFSET($M$15,0,0,$B$8,1))=DZ$13), 1*(_xlfn._xlws.FILTER(OFFSET($O$15,0,$DO31,$B$8,1),OFFSET($M$15,0,0,$B$8,1))=DZ$14))   /   SUM(OFFSET($BO$15,0,0,$B$14,1)) + $B$18/($B$19*$B$19*($DN31&lt;&gt;$DO31) + $B$19*($DN31=$DO31))</f>
        <v>3.7037037037037035E-4</v>
      </c>
      <c r="EA31" s="10" cm="1">
        <f t="array" aca="1" ref="EA31" ca="1">(1-$B$18)*SUMPRODUCT(OFFSET($BO$15,0,0,$B$14,1), 1*(_xlfn._xlws.FILTER(OFFSET($O$15,0,$DN31,$B$8,1),OFFSET($M$15,0,0,$B$8,1))=EA$13), 1*(_xlfn._xlws.FILTER(OFFSET($O$15,0,$DO31,$B$8,1),OFFSET($M$15,0,0,$B$8,1))=EA$14))   /   SUM(OFFSET($BO$15,0,0,$B$14,1)) + $B$18/($B$19*$B$19*($DN31&lt;&gt;$DO31) + $B$19*($DN31=$DO31))</f>
        <v>3.7037037037037035E-4</v>
      </c>
      <c r="EB31" s="10" cm="1">
        <f t="array" aca="1" ref="EB31" ca="1">(1-$B$18)*SUMPRODUCT(OFFSET($BO$15,0,0,$B$14,1), 1*(_xlfn._xlws.FILTER(OFFSET($O$15,0,$DN31,$B$8,1),OFFSET($M$15,0,0,$B$8,1))=EB$13), 1*(_xlfn._xlws.FILTER(OFFSET($O$15,0,$DO31,$B$8,1),OFFSET($M$15,0,0,$B$8,1))=EB$14))   /   SUM(OFFSET($BO$15,0,0,$B$14,1)) + $B$18/($B$19*$B$19*($DN31&lt;&gt;$DO31) + $B$19*($DN31=$DO31))</f>
        <v>3.7037037037037035E-4</v>
      </c>
      <c r="EC31" s="10" cm="1">
        <f t="array" aca="1" ref="EC31" ca="1">(1-$B$18)*SUMPRODUCT(OFFSET($BO$15,0,0,$B$14,1), 1*(_xlfn._xlws.FILTER(OFFSET($O$15,0,$DN31,$B$8,1),OFFSET($M$15,0,0,$B$8,1))=EC$13), 1*(_xlfn._xlws.FILTER(OFFSET($O$15,0,$DO31,$B$8,1),OFFSET($M$15,0,0,$B$8,1))=EC$14))   /   SUM(OFFSET($BO$15,0,0,$B$14,1)) + $B$18/($B$19*$B$19*($DN31&lt;&gt;$DO31) + $B$19*($DN31=$DO31))</f>
        <v>3.7037037037037035E-4</v>
      </c>
      <c r="ED31" s="10" cm="1">
        <f t="array" aca="1" ref="ED31" ca="1">(1-$B$18)*SUMPRODUCT(OFFSET($BO$15,0,0,$B$14,1), 1*(_xlfn._xlws.FILTER(OFFSET($O$15,0,$DN31,$B$8,1),OFFSET($M$15,0,0,$B$8,1))=ED$13), 1*(_xlfn._xlws.FILTER(OFFSET($O$15,0,$DO31,$B$8,1),OFFSET($M$15,0,0,$B$8,1))=ED$14))   /   SUM(OFFSET($BO$15,0,0,$B$14,1)) + $B$18/($B$19*$B$19*($DN31&lt;&gt;$DO31) + $B$19*($DN31=$DO31))</f>
        <v>3.7037037037037035E-4</v>
      </c>
      <c r="EE31" s="10" cm="1">
        <f t="array" aca="1" ref="EE31" ca="1">(1-$B$18)*SUMPRODUCT(OFFSET($BO$15,0,0,$B$14,1), 1*(_xlfn._xlws.FILTER(OFFSET($O$15,0,$DN31,$B$8,1),OFFSET($M$15,0,0,$B$8,1))=EE$13), 1*(_xlfn._xlws.FILTER(OFFSET($O$15,0,$DO31,$B$8,1),OFFSET($M$15,0,0,$B$8,1))=EE$14))   /   SUM(OFFSET($BO$15,0,0,$B$14,1)) + $B$18/($B$19*$B$19*($DN31&lt;&gt;$DO31) + $B$19*($DN31=$DO31))</f>
        <v>3.7037037037037035E-4</v>
      </c>
      <c r="EF31" s="10" cm="1">
        <f t="array" aca="1" ref="EF31" ca="1">(1-$B$18)*SUMPRODUCT(OFFSET($BO$15,0,0,$B$14,1), 1*(_xlfn._xlws.FILTER(OFFSET($O$15,0,$DN31,$B$8,1),OFFSET($M$15,0,0,$B$8,1))=EF$13), 1*(_xlfn._xlws.FILTER(OFFSET($O$15,0,$DO31,$B$8,1),OFFSET($M$15,0,0,$B$8,1))=EF$14))   /   SUM(OFFSET($BO$15,0,0,$B$14,1)) + $B$18/($B$19*$B$19*($DN31&lt;&gt;$DO31) + $B$19*($DN31=$DO31))</f>
        <v>3.7037037037037035E-4</v>
      </c>
      <c r="EG31" s="10" cm="1">
        <f t="array" aca="1" ref="EG31" ca="1">(1-$B$18)*SUMPRODUCT(OFFSET($BO$15,0,0,$B$14,1), 1*(_xlfn._xlws.FILTER(OFFSET($O$15,0,$DN31,$B$8,1),OFFSET($M$15,0,0,$B$8,1))=EG$13), 1*(_xlfn._xlws.FILTER(OFFSET($O$15,0,$DO31,$B$8,1),OFFSET($M$15,0,0,$B$8,1))=EG$14))   /   SUM(OFFSET($BO$15,0,0,$B$14,1)) + $B$18/($B$19*$B$19*($DN31&lt;&gt;$DO31) + $B$19*($DN31=$DO31))</f>
        <v>3.7037037037037035E-4</v>
      </c>
      <c r="EH31" s="10" cm="1">
        <f t="array" aca="1" ref="EH31" ca="1">(1-$B$18)*SUMPRODUCT(OFFSET($BO$15,0,0,$B$14,1), 1*(_xlfn._xlws.FILTER(OFFSET($O$15,0,$DN31,$B$8,1),OFFSET($M$15,0,0,$B$8,1))=EH$13), 1*(_xlfn._xlws.FILTER(OFFSET($O$15,0,$DO31,$B$8,1),OFFSET($M$15,0,0,$B$8,1))=EH$14))   /   SUM(OFFSET($BO$15,0,0,$B$14,1)) + $B$18/($B$19*$B$19*($DN31&lt;&gt;$DO31) + $B$19*($DN31=$DO31))</f>
        <v>3.7037037037037035E-4</v>
      </c>
      <c r="EI31" s="10" cm="1">
        <f t="array" aca="1" ref="EI31" ca="1">(1-$B$18)*SUMPRODUCT(OFFSET($BO$15,0,0,$B$14,1), 1*(_xlfn._xlws.FILTER(OFFSET($O$15,0,$DN31,$B$8,1),OFFSET($M$15,0,0,$B$8,1))=EI$13), 1*(_xlfn._xlws.FILTER(OFFSET($O$15,0,$DO31,$B$8,1),OFFSET($M$15,0,0,$B$8,1))=EI$14))   /   SUM(OFFSET($BO$15,0,0,$B$14,1)) + $B$18/($B$19*$B$19*($DN31&lt;&gt;$DO31) + $B$19*($DN31=$DO31))</f>
        <v>3.7037037037037035E-4</v>
      </c>
      <c r="EJ31" s="10" cm="1">
        <f t="array" aca="1" ref="EJ31" ca="1">(1-$B$18)*SUMPRODUCT(OFFSET($BO$15,0,0,$B$14,1), 1*(_xlfn._xlws.FILTER(OFFSET($O$15,0,$DN31,$B$8,1),OFFSET($M$15,0,0,$B$8,1))=EJ$13), 1*(_xlfn._xlws.FILTER(OFFSET($O$15,0,$DO31,$B$8,1),OFFSET($M$15,0,0,$B$8,1))=EJ$14))   /   SUM(OFFSET($BO$15,0,0,$B$14,1)) + $B$18/($B$19*$B$19*($DN31&lt;&gt;$DO31) + $B$19*($DN31=$DO31))</f>
        <v>3.7037037037037035E-4</v>
      </c>
      <c r="EK31" s="10" cm="1">
        <f t="array" aca="1" ref="EK31" ca="1">(1-$B$18)*SUMPRODUCT(OFFSET($BO$15,0,0,$B$14,1), 1*(_xlfn._xlws.FILTER(OFFSET($O$15,0,$DN31,$B$8,1),OFFSET($M$15,0,0,$B$8,1))=EK$13), 1*(_xlfn._xlws.FILTER(OFFSET($O$15,0,$DO31,$B$8,1),OFFSET($M$15,0,0,$B$8,1))=EK$14))   /   SUM(OFFSET($BO$15,0,0,$B$14,1)) + $B$18/($B$19*$B$19*($DN31&lt;&gt;$DO31) + $B$19*($DN31=$DO31))</f>
        <v>3.7037037037037035E-4</v>
      </c>
      <c r="EL31" s="10" cm="1">
        <f t="array" aca="1" ref="EL31" ca="1">(1-$B$18)*SUMPRODUCT(OFFSET($BO$15,0,0,$B$14,1), 1*(_xlfn._xlws.FILTER(OFFSET($O$15,0,$DN31,$B$8,1),OFFSET($M$15,0,0,$B$8,1))=EL$13), 1*(_xlfn._xlws.FILTER(OFFSET($O$15,0,$DO31,$B$8,1),OFFSET($M$15,0,0,$B$8,1))=EL$14))   /   SUM(OFFSET($BO$15,0,0,$B$14,1)) + $B$18/($B$19*$B$19*($DN31&lt;&gt;$DO31) + $B$19*($DN31=$DO31))</f>
        <v>3.7037037037037035E-4</v>
      </c>
      <c r="EM31" s="10" cm="1">
        <f t="array" aca="1" ref="EM31" ca="1">(1-$B$18)*SUMPRODUCT(OFFSET($BO$15,0,0,$B$14,1), 1*(_xlfn._xlws.FILTER(OFFSET($O$15,0,$DN31,$B$8,1),OFFSET($M$15,0,0,$B$8,1))=EM$13), 1*(_xlfn._xlws.FILTER(OFFSET($O$15,0,$DO31,$B$8,1),OFFSET($M$15,0,0,$B$8,1))=EM$14))   /   SUM(OFFSET($BO$15,0,0,$B$14,1)) + $B$18/($B$19*$B$19*($DN31&lt;&gt;$DO31) + $B$19*($DN31=$DO31))</f>
        <v>3.7037037037037035E-4</v>
      </c>
      <c r="EN31" s="10" cm="1">
        <f t="array" aca="1" ref="EN31" ca="1">(1-$B$18)*SUMPRODUCT(OFFSET($BO$15,0,0,$B$14,1), 1*(_xlfn._xlws.FILTER(OFFSET($O$15,0,$DN31,$B$8,1),OFFSET($M$15,0,0,$B$8,1))=EN$13), 1*(_xlfn._xlws.FILTER(OFFSET($O$15,0,$DO31,$B$8,1),OFFSET($M$15,0,0,$B$8,1))=EN$14))   /   SUM(OFFSET($BO$15,0,0,$B$14,1)) + $B$18/($B$19*$B$19*($DN31&lt;&gt;$DO31) + $B$19*($DN31=$DO31))</f>
        <v>3.7037037037037035E-4</v>
      </c>
      <c r="EO31" s="10" cm="1">
        <f t="array" aca="1" ref="EO31" ca="1">(1-$B$18)*SUMPRODUCT(OFFSET($BO$15,0,0,$B$14,1), 1*(_xlfn._xlws.FILTER(OFFSET($O$15,0,$DN31,$B$8,1),OFFSET($M$15,0,0,$B$8,1))=EO$13), 1*(_xlfn._xlws.FILTER(OFFSET($O$15,0,$DO31,$B$8,1),OFFSET($M$15,0,0,$B$8,1))=EO$14))   /   SUM(OFFSET($BO$15,0,0,$B$14,1)) + $B$18/($B$19*$B$19*($DN31&lt;&gt;$DO31) + $B$19*($DN31=$DO31))</f>
        <v>3.7037037037037035E-4</v>
      </c>
      <c r="EP31" s="10" cm="1">
        <f t="array" aca="1" ref="EP31" ca="1">(1-$B$18)*SUMPRODUCT(OFFSET($BO$15,0,0,$B$14,1), 1*(_xlfn._xlws.FILTER(OFFSET($O$15,0,$DN31,$B$8,1),OFFSET($M$15,0,0,$B$8,1))=EP$13), 1*(_xlfn._xlws.FILTER(OFFSET($O$15,0,$DO31,$B$8,1),OFFSET($M$15,0,0,$B$8,1))=EP$14))   /   SUM(OFFSET($BO$15,0,0,$B$14,1)) + $B$18/($B$19*$B$19*($DN31&lt;&gt;$DO31) + $B$19*($DN31=$DO31))</f>
        <v>3.7037037037037035E-4</v>
      </c>
      <c r="EQ31" s="10" cm="1">
        <f t="array" aca="1" ref="EQ31" ca="1">(1-$B$18)*SUMPRODUCT(OFFSET($BO$15,0,0,$B$14,1), 1*(_xlfn._xlws.FILTER(OFFSET($O$15,0,$DN31,$B$8,1),OFFSET($M$15,0,0,$B$8,1))=EQ$13), 1*(_xlfn._xlws.FILTER(OFFSET($O$15,0,$DO31,$B$8,1),OFFSET($M$15,0,0,$B$8,1))=EQ$14))   /   SUM(OFFSET($BO$15,0,0,$B$14,1)) + $B$18/($B$19*$B$19*($DN31&lt;&gt;$DO31) + $B$19*($DN31=$DO31))</f>
        <v>3.7037037037037035E-4</v>
      </c>
      <c r="ER31" s="10" cm="1">
        <f t="array" aca="1" ref="ER31" ca="1">(1-$B$18)*SUMPRODUCT(OFFSET($BO$15,0,0,$B$14,1), 1*(_xlfn._xlws.FILTER(OFFSET($O$15,0,$DN31,$B$8,1),OFFSET($M$15,0,0,$B$8,1))=ER$13), 1*(_xlfn._xlws.FILTER(OFFSET($O$15,0,$DO31,$B$8,1),OFFSET($M$15,0,0,$B$8,1))=ER$14))   /   SUM(OFFSET($BO$15,0,0,$B$14,1)) + $B$18/($B$19*$B$19*($DN31&lt;&gt;$DO31) + $B$19*($DN31=$DO31))</f>
        <v>3.7037037037037035E-4</v>
      </c>
      <c r="ES31" s="10" cm="1">
        <f t="array" aca="1" ref="ES31" ca="1">(1-$B$18)*SUMPRODUCT(OFFSET($BO$15,0,0,$B$14,1), 1*(_xlfn._xlws.FILTER(OFFSET($O$15,0,$DN31,$B$8,1),OFFSET($M$15,0,0,$B$8,1))=ES$13), 1*(_xlfn._xlws.FILTER(OFFSET($O$15,0,$DO31,$B$8,1),OFFSET($M$15,0,0,$B$8,1))=ES$14))   /   SUM(OFFSET($BO$15,0,0,$B$14,1)) + $B$18/($B$19*$B$19*($DN31&lt;&gt;$DO31) + $B$19*($DN31=$DO31))</f>
        <v>3.7037037037037035E-4</v>
      </c>
      <c r="ET31" s="10" cm="1">
        <f t="array" aca="1" ref="ET31" ca="1">(1-$B$18)*SUMPRODUCT(OFFSET($BO$15,0,0,$B$14,1), 1*(_xlfn._xlws.FILTER(OFFSET($O$15,0,$DN31,$B$8,1),OFFSET($M$15,0,0,$B$8,1))=ET$13), 1*(_xlfn._xlws.FILTER(OFFSET($O$15,0,$DO31,$B$8,1),OFFSET($M$15,0,0,$B$8,1))=ET$14))   /   SUM(OFFSET($BO$15,0,0,$B$14,1)) + $B$18/($B$19*$B$19*($DN31&lt;&gt;$DO31) + $B$19*($DN31=$DO31))</f>
        <v>3.7037037037037035E-4</v>
      </c>
      <c r="EU31" s="10" cm="1">
        <f t="array" aca="1" ref="EU31" ca="1">(1-$B$18)*SUMPRODUCT(OFFSET($BO$15,0,0,$B$14,1), 1*(_xlfn._xlws.FILTER(OFFSET($O$15,0,$DN31,$B$8,1),OFFSET($M$15,0,0,$B$8,1))=EU$13), 1*(_xlfn._xlws.FILTER(OFFSET($O$15,0,$DO31,$B$8,1),OFFSET($M$15,0,0,$B$8,1))=EU$14))   /   SUM(OFFSET($BO$15,0,0,$B$14,1)) + $B$18/($B$19*$B$19*($DN31&lt;&gt;$DO31) + $B$19*($DN31=$DO31))</f>
        <v>3.7037037037037035E-4</v>
      </c>
      <c r="EV31" s="10" cm="1">
        <f t="array" aca="1" ref="EV31" ca="1">(1-$B$18)*SUMPRODUCT(OFFSET($BO$15,0,0,$B$14,1), 1*(_xlfn._xlws.FILTER(OFFSET($O$15,0,$DN31,$B$8,1),OFFSET($M$15,0,0,$B$8,1))=EV$13), 1*(_xlfn._xlws.FILTER(OFFSET($O$15,0,$DO31,$B$8,1),OFFSET($M$15,0,0,$B$8,1))=EV$14))   /   SUM(OFFSET($BO$15,0,0,$B$14,1)) + $B$18/($B$19*$B$19*($DN31&lt;&gt;$DO31) + $B$19*($DN31=$DO31))</f>
        <v>3.7037037037037035E-4</v>
      </c>
      <c r="EW31" s="10" cm="1">
        <f t="array" aca="1" ref="EW31" ca="1">(1-$B$18)*SUMPRODUCT(OFFSET($BO$15,0,0,$B$14,1), 1*(_xlfn._xlws.FILTER(OFFSET($O$15,0,$DN31,$B$8,1),OFFSET($M$15,0,0,$B$8,1))=EW$13), 1*(_xlfn._xlws.FILTER(OFFSET($O$15,0,$DO31,$B$8,1),OFFSET($M$15,0,0,$B$8,1))=EW$14))   /   SUM(OFFSET($BO$15,0,0,$B$14,1)) + $B$18/($B$19*$B$19*($DN31&lt;&gt;$DO31) + $B$19*($DN31=$DO31))</f>
        <v>3.7037037037037035E-4</v>
      </c>
      <c r="EX31" s="10" cm="1">
        <f t="array" aca="1" ref="EX31" ca="1">(1-$B$18)*SUMPRODUCT(OFFSET($BO$15,0,0,$B$14,1), 1*(_xlfn._xlws.FILTER(OFFSET($O$15,0,$DN31,$B$8,1),OFFSET($M$15,0,0,$B$8,1))=EX$13), 1*(_xlfn._xlws.FILTER(OFFSET($O$15,0,$DO31,$B$8,1),OFFSET($M$15,0,0,$B$8,1))=EX$14))   /   SUM(OFFSET($BO$15,0,0,$B$14,1)) + $B$18/($B$19*$B$19*($DN31&lt;&gt;$DO31) + $B$19*($DN31=$DO31))</f>
        <v>3.7037037037037035E-4</v>
      </c>
      <c r="EY31" s="10" cm="1">
        <f t="array" aca="1" ref="EY31" ca="1">(1-$B$18)*SUMPRODUCT(OFFSET($BO$15,0,0,$B$14,1), 1*(_xlfn._xlws.FILTER(OFFSET($O$15,0,$DN31,$B$8,1),OFFSET($M$15,0,0,$B$8,1))=EY$13), 1*(_xlfn._xlws.FILTER(OFFSET($O$15,0,$DO31,$B$8,1),OFFSET($M$15,0,0,$B$8,1))=EY$14))   /   SUM(OFFSET($BO$15,0,0,$B$14,1)) + $B$18/($B$19*$B$19*($DN31&lt;&gt;$DO31) + $B$19*($DN31=$DO31))</f>
        <v>3.7037037037037035E-4</v>
      </c>
      <c r="EZ31" s="10" cm="1">
        <f t="array" aca="1" ref="EZ31" ca="1">(1-$B$18)*SUMPRODUCT(OFFSET($BO$15,0,0,$B$14,1), 1*(_xlfn._xlws.FILTER(OFFSET($O$15,0,$DN31,$B$8,1),OFFSET($M$15,0,0,$B$8,1))=EZ$13), 1*(_xlfn._xlws.FILTER(OFFSET($O$15,0,$DO31,$B$8,1),OFFSET($M$15,0,0,$B$8,1))=EZ$14))   /   SUM(OFFSET($BO$15,0,0,$B$14,1)) + $B$18/($B$19*$B$19*($DN31&lt;&gt;$DO31) + $B$19*($DN31=$DO31))</f>
        <v>3.7037037037037035E-4</v>
      </c>
      <c r="FA31" s="10" cm="1">
        <f t="array" aca="1" ref="FA31" ca="1">(1-$B$18)*SUMPRODUCT(OFFSET($BO$15,0,0,$B$14,1), 1*(_xlfn._xlws.FILTER(OFFSET($O$15,0,$DN31,$B$8,1),OFFSET($M$15,0,0,$B$8,1))=FA$13), 1*(_xlfn._xlws.FILTER(OFFSET($O$15,0,$DO31,$B$8,1),OFFSET($M$15,0,0,$B$8,1))=FA$14))   /   SUM(OFFSET($BO$15,0,0,$B$14,1)) + $B$18/($B$19*$B$19*($DN31&lt;&gt;$DO31) + $B$19*($DN31=$DO31))</f>
        <v>3.7037037037037035E-4</v>
      </c>
      <c r="FB31" s="10" cm="1">
        <f t="array" aca="1" ref="FB31" ca="1">(1-$B$18)*SUMPRODUCT(OFFSET($BO$15,0,0,$B$14,1), 1*(_xlfn._xlws.FILTER(OFFSET($O$15,0,$DN31,$B$8,1),OFFSET($M$15,0,0,$B$8,1))=FB$13), 1*(_xlfn._xlws.FILTER(OFFSET($O$15,0,$DO31,$B$8,1),OFFSET($M$15,0,0,$B$8,1))=FB$14))   /   SUM(OFFSET($BO$15,0,0,$B$14,1)) + $B$18/($B$19*$B$19*($DN31&lt;&gt;$DO31) + $B$19*($DN31=$DO31))</f>
        <v>3.7037037037037035E-4</v>
      </c>
      <c r="FC31" s="10" cm="1">
        <f t="array" aca="1" ref="FC31" ca="1">(1-$B$18)*SUMPRODUCT(OFFSET($BO$15,0,0,$B$14,1), 1*(_xlfn._xlws.FILTER(OFFSET($O$15,0,$DN31,$B$8,1),OFFSET($M$15,0,0,$B$8,1))=FC$13), 1*(_xlfn._xlws.FILTER(OFFSET($O$15,0,$DO31,$B$8,1),OFFSET($M$15,0,0,$B$8,1))=FC$14))   /   SUM(OFFSET($BO$15,0,0,$B$14,1)) + $B$18/($B$19*$B$19*($DN31&lt;&gt;$DO31) + $B$19*($DN31=$DO31))</f>
        <v>3.7037037037037035E-4</v>
      </c>
      <c r="FD31" s="10" cm="1">
        <f t="array" aca="1" ref="FD31" ca="1">(1-$B$18)*SUMPRODUCT(OFFSET($BO$15,0,0,$B$14,1), 1*(_xlfn._xlws.FILTER(OFFSET($O$15,0,$DN31,$B$8,1),OFFSET($M$15,0,0,$B$8,1))=FD$13), 1*(_xlfn._xlws.FILTER(OFFSET($O$15,0,$DO31,$B$8,1),OFFSET($M$15,0,0,$B$8,1))=FD$14))   /   SUM(OFFSET($BO$15,0,0,$B$14,1)) + $B$18/($B$19*$B$19*($DN31&lt;&gt;$DO31) + $B$19*($DN31=$DO31))</f>
        <v>3.7037037037037035E-4</v>
      </c>
      <c r="FE31" s="10" cm="1">
        <f t="array" aca="1" ref="FE31" ca="1">(1-$B$18)*SUMPRODUCT(OFFSET($BO$15,0,0,$B$14,1), 1*(_xlfn._xlws.FILTER(OFFSET($O$15,0,$DN31,$B$8,1),OFFSET($M$15,0,0,$B$8,1))=FE$13), 1*(_xlfn._xlws.FILTER(OFFSET($O$15,0,$DO31,$B$8,1),OFFSET($M$15,0,0,$B$8,1))=FE$14))   /   SUM(OFFSET($BO$15,0,0,$B$14,1)) + $B$18/($B$19*$B$19*($DN31&lt;&gt;$DO31) + $B$19*($DN31=$DO31))</f>
        <v>3.7037037037037035E-4</v>
      </c>
      <c r="FF31" s="10" cm="1">
        <f t="array" aca="1" ref="FF31" ca="1">(1-$B$18)*SUMPRODUCT(OFFSET($BO$15,0,0,$B$14,1), 1*(_xlfn._xlws.FILTER(OFFSET($O$15,0,$DN31,$B$8,1),OFFSET($M$15,0,0,$B$8,1))=FF$13), 1*(_xlfn._xlws.FILTER(OFFSET($O$15,0,$DO31,$B$8,1),OFFSET($M$15,0,0,$B$8,1))=FF$14))   /   SUM(OFFSET($BO$15,0,0,$B$14,1)) + $B$18/($B$19*$B$19*($DN31&lt;&gt;$DO31) + $B$19*($DN31=$DO31))</f>
        <v>3.7037037037037035E-4</v>
      </c>
      <c r="FG31" s="10" cm="1">
        <f t="array" aca="1" ref="FG31" ca="1">(1-$B$18)*SUMPRODUCT(OFFSET($BO$15,0,0,$B$14,1), 1*(_xlfn._xlws.FILTER(OFFSET($O$15,0,$DN31,$B$8,1),OFFSET($M$15,0,0,$B$8,1))=FG$13), 1*(_xlfn._xlws.FILTER(OFFSET($O$15,0,$DO31,$B$8,1),OFFSET($M$15,0,0,$B$8,1))=FG$14))   /   SUM(OFFSET($BO$15,0,0,$B$14,1)) + $B$18/($B$19*$B$19*($DN31&lt;&gt;$DO31) + $B$19*($DN31=$DO31))</f>
        <v>3.7037037037037035E-4</v>
      </c>
      <c r="FH31" s="10" cm="1">
        <f t="array" aca="1" ref="FH31" ca="1">(1-$B$18)*SUMPRODUCT(OFFSET($BO$15,0,0,$B$14,1), 1*(_xlfn._xlws.FILTER(OFFSET($O$15,0,$DN31,$B$8,1),OFFSET($M$15,0,0,$B$8,1))=FH$13), 1*(_xlfn._xlws.FILTER(OFFSET($O$15,0,$DO31,$B$8,1),OFFSET($M$15,0,0,$B$8,1))=FH$14))   /   SUM(OFFSET($BO$15,0,0,$B$14,1)) + $B$18/($B$19*$B$19*($DN31&lt;&gt;$DO31) + $B$19*($DN31=$DO31))</f>
        <v>3.7037037037037035E-4</v>
      </c>
      <c r="FI31" s="10" cm="1">
        <f t="array" aca="1" ref="FI31" ca="1">(1-$B$18)*SUMPRODUCT(OFFSET($BO$15,0,0,$B$14,1), 1*(_xlfn._xlws.FILTER(OFFSET($O$15,0,$DN31,$B$8,1),OFFSET($M$15,0,0,$B$8,1))=FI$13), 1*(_xlfn._xlws.FILTER(OFFSET($O$15,0,$DO31,$B$8,1),OFFSET($M$15,0,0,$B$8,1))=FI$14))   /   SUM(OFFSET($BO$15,0,0,$B$14,1)) + $B$18/($B$19*$B$19*($DN31&lt;&gt;$DO31) + $B$19*($DN31=$DO31))</f>
        <v>3.7037037037037035E-4</v>
      </c>
      <c r="FJ31" s="10" cm="1">
        <f t="array" aca="1" ref="FJ31" ca="1">(1-$B$18)*SUMPRODUCT(OFFSET($BO$15,0,0,$B$14,1), 1*(_xlfn._xlws.FILTER(OFFSET($O$15,0,$DN31,$B$8,1),OFFSET($M$15,0,0,$B$8,1))=FJ$13), 1*(_xlfn._xlws.FILTER(OFFSET($O$15,0,$DO31,$B$8,1),OFFSET($M$15,0,0,$B$8,1))=FJ$14))   /   SUM(OFFSET($BO$15,0,0,$B$14,1)) + $B$18/($B$19*$B$19*($DN31&lt;&gt;$DO31) + $B$19*($DN31=$DO31))</f>
        <v>3.7037037037037035E-4</v>
      </c>
      <c r="FK31" s="10" cm="1">
        <f t="array" aca="1" ref="FK31" ca="1">(1-$B$18)*SUMPRODUCT(OFFSET($BO$15,0,0,$B$14,1), 1*(_xlfn._xlws.FILTER(OFFSET($O$15,0,$DN31,$B$8,1),OFFSET($M$15,0,0,$B$8,1))=FK$13), 1*(_xlfn._xlws.FILTER(OFFSET($O$15,0,$DO31,$B$8,1),OFFSET($M$15,0,0,$B$8,1))=FK$14))   /   SUM(OFFSET($BO$15,0,0,$B$14,1)) + $B$18/($B$19*$B$19*($DN31&lt;&gt;$DO31) + $B$19*($DN31=$DO31))</f>
        <v>3.7037037037037035E-4</v>
      </c>
      <c r="FL31" s="10" cm="1">
        <f t="array" aca="1" ref="FL31" ca="1">(1-$B$18)*SUMPRODUCT(OFFSET($BO$15,0,0,$B$14,1), 1*(_xlfn._xlws.FILTER(OFFSET($O$15,0,$DN31,$B$8,1),OFFSET($M$15,0,0,$B$8,1))=FL$13), 1*(_xlfn._xlws.FILTER(OFFSET($O$15,0,$DO31,$B$8,1),OFFSET($M$15,0,0,$B$8,1))=FL$14))   /   SUM(OFFSET($BO$15,0,0,$B$14,1)) + $B$18/($B$19*$B$19*($DN31&lt;&gt;$DO31) + $B$19*($DN31=$DO31))</f>
        <v>3.7037037037037035E-4</v>
      </c>
      <c r="FM31" s="10" cm="1">
        <f t="array" aca="1" ref="FM31" ca="1">(1-$B$18)*SUMPRODUCT(OFFSET($BO$15,0,0,$B$14,1), 1*(_xlfn._xlws.FILTER(OFFSET($O$15,0,$DN31,$B$8,1),OFFSET($M$15,0,0,$B$8,1))=FM$13), 1*(_xlfn._xlws.FILTER(OFFSET($O$15,0,$DO31,$B$8,1),OFFSET($M$15,0,0,$B$8,1))=FM$14))   /   SUM(OFFSET($BO$15,0,0,$B$14,1)) + $B$18/($B$19*$B$19*($DN31&lt;&gt;$DO31) + $B$19*($DN31=$DO31))</f>
        <v>3.7037037037037035E-4</v>
      </c>
      <c r="FN31" s="10" cm="1">
        <f t="array" aca="1" ref="FN31" ca="1">(1-$B$18)*SUMPRODUCT(OFFSET($BO$15,0,0,$B$14,1), 1*(_xlfn._xlws.FILTER(OFFSET($O$15,0,$DN31,$B$8,1),OFFSET($M$15,0,0,$B$8,1))=FN$13), 1*(_xlfn._xlws.FILTER(OFFSET($O$15,0,$DO31,$B$8,1),OFFSET($M$15,0,0,$B$8,1))=FN$14))   /   SUM(OFFSET($BO$15,0,0,$B$14,1)) + $B$18/($B$19*$B$19*($DN31&lt;&gt;$DO31) + $B$19*($DN31=$DO31))</f>
        <v>3.7037037037037035E-4</v>
      </c>
      <c r="FO31" s="10" cm="1">
        <f t="array" aca="1" ref="FO31" ca="1">(1-$B$18)*SUMPRODUCT(OFFSET($BO$15,0,0,$B$14,1), 1*(_xlfn._xlws.FILTER(OFFSET($O$15,0,$DN31,$B$8,1),OFFSET($M$15,0,0,$B$8,1))=FO$13), 1*(_xlfn._xlws.FILTER(OFFSET($O$15,0,$DO31,$B$8,1),OFFSET($M$15,0,0,$B$8,1))=FO$14))   /   SUM(OFFSET($BO$15,0,0,$B$14,1)) + $B$18/($B$19*$B$19*($DN31&lt;&gt;$DO31) + $B$19*($DN31=$DO31))</f>
        <v>0.97037037037037033</v>
      </c>
      <c r="FP31" s="10" cm="1">
        <f t="array" aca="1" ref="FP31" ca="1">(1-$B$18)*SUMPRODUCT(OFFSET($BO$15,0,0,$B$14,1), 1*(_xlfn._xlws.FILTER(OFFSET($O$15,0,$DN31,$B$8,1),OFFSET($M$15,0,0,$B$8,1))=FP$13), 1*(_xlfn._xlws.FILTER(OFFSET($O$15,0,$DO31,$B$8,1),OFFSET($M$15,0,0,$B$8,1))=FP$14))   /   SUM(OFFSET($BO$15,0,0,$B$14,1)) + $B$18/($B$19*$B$19*($DN31&lt;&gt;$DO31) + $B$19*($DN31=$DO31))</f>
        <v>3.7037037037037035E-4</v>
      </c>
      <c r="FQ31" s="10" cm="1">
        <f t="array" aca="1" ref="FQ31" ca="1">(1-$B$18)*SUMPRODUCT(OFFSET($BO$15,0,0,$B$14,1), 1*(_xlfn._xlws.FILTER(OFFSET($O$15,0,$DN31,$B$8,1),OFFSET($M$15,0,0,$B$8,1))=FQ$13), 1*(_xlfn._xlws.FILTER(OFFSET($O$15,0,$DO31,$B$8,1),OFFSET($M$15,0,0,$B$8,1))=FQ$14))   /   SUM(OFFSET($BO$15,0,0,$B$14,1)) + $B$18/($B$19*$B$19*($DN31&lt;&gt;$DO31) + $B$19*($DN31=$DO31))</f>
        <v>3.7037037037037035E-4</v>
      </c>
      <c r="FR31" s="10" cm="1">
        <f t="array" aca="1" ref="FR31" ca="1">(1-$B$18)*SUMPRODUCT(OFFSET($BO$15,0,0,$B$14,1), 1*(_xlfn._xlws.FILTER(OFFSET($O$15,0,$DN31,$B$8,1),OFFSET($M$15,0,0,$B$8,1))=FR$13), 1*(_xlfn._xlws.FILTER(OFFSET($O$15,0,$DO31,$B$8,1),OFFSET($M$15,0,0,$B$8,1))=FR$14))   /   SUM(OFFSET($BO$15,0,0,$B$14,1)) + $B$18/($B$19*$B$19*($DN31&lt;&gt;$DO31) + $B$19*($DN31=$DO31))</f>
        <v>3.7037037037037035E-4</v>
      </c>
      <c r="FS31" s="10" cm="1">
        <f t="array" aca="1" ref="FS31" ca="1">(1-$B$18)*SUMPRODUCT(OFFSET($BO$15,0,0,$B$14,1), 1*(_xlfn._xlws.FILTER(OFFSET($O$15,0,$DN31,$B$8,1),OFFSET($M$15,0,0,$B$8,1))=FS$13), 1*(_xlfn._xlws.FILTER(OFFSET($O$15,0,$DO31,$B$8,1),OFFSET($M$15,0,0,$B$8,1))=FS$14))   /   SUM(OFFSET($BO$15,0,0,$B$14,1)) + $B$18/($B$19*$B$19*($DN31&lt;&gt;$DO31) + $B$19*($DN31=$DO31))</f>
        <v>3.7037037037037035E-4</v>
      </c>
      <c r="FT31" s="10" cm="1">
        <f t="array" aca="1" ref="FT31" ca="1">(1-$B$18)*SUMPRODUCT(OFFSET($BO$15,0,0,$B$14,1), 1*(_xlfn._xlws.FILTER(OFFSET($O$15,0,$DN31,$B$8,1),OFFSET($M$15,0,0,$B$8,1))=FT$13), 1*(_xlfn._xlws.FILTER(OFFSET($O$15,0,$DO31,$B$8,1),OFFSET($M$15,0,0,$B$8,1))=FT$14))   /   SUM(OFFSET($BO$15,0,0,$B$14,1)) + $B$18/($B$19*$B$19*($DN31&lt;&gt;$DO31) + $B$19*($DN31=$DO31))</f>
        <v>3.7037037037037035E-4</v>
      </c>
      <c r="FU31" s="10" cm="1">
        <f t="array" aca="1" ref="FU31" ca="1">(1-$B$18)*SUMPRODUCT(OFFSET($BO$15,0,0,$B$14,1), 1*(_xlfn._xlws.FILTER(OFFSET($O$15,0,$DN31,$B$8,1),OFFSET($M$15,0,0,$B$8,1))=FU$13), 1*(_xlfn._xlws.FILTER(OFFSET($O$15,0,$DO31,$B$8,1),OFFSET($M$15,0,0,$B$8,1))=FU$14))   /   SUM(OFFSET($BO$15,0,0,$B$14,1)) + $B$18/($B$19*$B$19*($DN31&lt;&gt;$DO31) + $B$19*($DN31=$DO31))</f>
        <v>3.7037037037037035E-4</v>
      </c>
      <c r="FV31" s="10" cm="1">
        <f t="array" aca="1" ref="FV31" ca="1">(1-$B$18)*SUMPRODUCT(OFFSET($BO$15,0,0,$B$14,1), 1*(_xlfn._xlws.FILTER(OFFSET($O$15,0,$DN31,$B$8,1),OFFSET($M$15,0,0,$B$8,1))=FV$13), 1*(_xlfn._xlws.FILTER(OFFSET($O$15,0,$DO31,$B$8,1),OFFSET($M$15,0,0,$B$8,1))=FV$14))   /   SUM(OFFSET($BO$15,0,0,$B$14,1)) + $B$18/($B$19*$B$19*($DN31&lt;&gt;$DO31) + $B$19*($DN31=$DO31))</f>
        <v>3.7037037037037035E-4</v>
      </c>
      <c r="FW31" s="10" cm="1">
        <f t="array" aca="1" ref="FW31" ca="1">(1-$B$18)*SUMPRODUCT(OFFSET($BO$15,0,0,$B$14,1), 1*(_xlfn._xlws.FILTER(OFFSET($O$15,0,$DN31,$B$8,1),OFFSET($M$15,0,0,$B$8,1))=FW$13), 1*(_xlfn._xlws.FILTER(OFFSET($O$15,0,$DO31,$B$8,1),OFFSET($M$15,0,0,$B$8,1))=FW$14))   /   SUM(OFFSET($BO$15,0,0,$B$14,1)) + $B$18/($B$19*$B$19*($DN31&lt;&gt;$DO31) + $B$19*($DN31=$DO31))</f>
        <v>3.7037037037037035E-4</v>
      </c>
      <c r="FX31" s="10" cm="1">
        <f t="array" aca="1" ref="FX31" ca="1">(1-$B$18)*SUMPRODUCT(OFFSET($BO$15,0,0,$B$14,1), 1*(_xlfn._xlws.FILTER(OFFSET($O$15,0,$DN31,$B$8,1),OFFSET($M$15,0,0,$B$8,1))=FX$13), 1*(_xlfn._xlws.FILTER(OFFSET($O$15,0,$DO31,$B$8,1),OFFSET($M$15,0,0,$B$8,1))=FX$14))   /   SUM(OFFSET($BO$15,0,0,$B$14,1)) + $B$18/($B$19*$B$19*($DN31&lt;&gt;$DO31) + $B$19*($DN31=$DO31))</f>
        <v>3.7037037037037035E-4</v>
      </c>
      <c r="FY31" s="10" cm="1">
        <f t="array" aca="1" ref="FY31" ca="1">(1-$B$18)*SUMPRODUCT(OFFSET($BO$15,0,0,$B$14,1), 1*(_xlfn._xlws.FILTER(OFFSET($O$15,0,$DN31,$B$8,1),OFFSET($M$15,0,0,$B$8,1))=FY$13), 1*(_xlfn._xlws.FILTER(OFFSET($O$15,0,$DO31,$B$8,1),OFFSET($M$15,0,0,$B$8,1))=FY$14))   /   SUM(OFFSET($BO$15,0,0,$B$14,1)) + $B$18/($B$19*$B$19*($DN31&lt;&gt;$DO31) + $B$19*($DN31=$DO31))</f>
        <v>3.7037037037037035E-4</v>
      </c>
      <c r="FZ31" s="10" cm="1">
        <f t="array" aca="1" ref="FZ31" ca="1">(1-$B$18)*SUMPRODUCT(OFFSET($BO$15,0,0,$B$14,1), 1*(_xlfn._xlws.FILTER(OFFSET($O$15,0,$DN31,$B$8,1),OFFSET($M$15,0,0,$B$8,1))=FZ$13), 1*(_xlfn._xlws.FILTER(OFFSET($O$15,0,$DO31,$B$8,1),OFFSET($M$15,0,0,$B$8,1))=FZ$14))   /   SUM(OFFSET($BO$15,0,0,$B$14,1)) + $B$18/($B$19*$B$19*($DN31&lt;&gt;$DO31) + $B$19*($DN31=$DO31))</f>
        <v>3.7037037037037035E-4</v>
      </c>
      <c r="GA31" s="10" cm="1">
        <f t="array" aca="1" ref="GA31" ca="1">(1-$B$18)*SUMPRODUCT(OFFSET($BO$15,0,0,$B$14,1), 1*(_xlfn._xlws.FILTER(OFFSET($O$15,0,$DN31,$B$8,1),OFFSET($M$15,0,0,$B$8,1))=GA$13), 1*(_xlfn._xlws.FILTER(OFFSET($O$15,0,$DO31,$B$8,1),OFFSET($M$15,0,0,$B$8,1))=GA$14))   /   SUM(OFFSET($BO$15,0,0,$B$14,1)) + $B$18/($B$19*$B$19*($DN31&lt;&gt;$DO31) + $B$19*($DN31=$DO31))</f>
        <v>3.7037037037037035E-4</v>
      </c>
    </row>
    <row r="32" spans="1:183" x14ac:dyDescent="0.2">
      <c r="D32" s="10">
        <f ca="1"/>
        <v>18</v>
      </c>
      <c r="F32" s="10">
        <f ca="1"/>
        <v>0.2</v>
      </c>
      <c r="H32" s="10">
        <f ca="1"/>
        <v>20</v>
      </c>
      <c r="J32" cm="1">
        <f t="array" aca="1" ref="J32" ca="1">SUMPRODUCT((O32:AJ32=$O$11:$AJ$11)*(O$13:AJ$13=TRUE))  / COUNTIF(O$13:AJ$13,TRUE)</f>
        <v>0.95</v>
      </c>
      <c r="K32" t="b">
        <f t="shared" ca="1" si="4"/>
        <v>1</v>
      </c>
      <c r="L32" cm="1">
        <f t="array" aca="1" ref="L32" ca="1">SUM(
   1*(_xlfn._xlws.FILTER(OFFSET($O32,0,0,1,$B$9),OFFSET($O$13,0,0,1,$B$9)) = "-")
) / $B$13</f>
        <v>0.05</v>
      </c>
      <c r="M32" t="b">
        <f t="shared" ca="1" si="5"/>
        <v>1</v>
      </c>
      <c r="N32" s="2">
        <v>17</v>
      </c>
      <c r="O32" s="12" t="s">
        <v>11</v>
      </c>
      <c r="P32" s="9" t="s">
        <v>11</v>
      </c>
      <c r="Q32" s="9" t="s">
        <v>11</v>
      </c>
      <c r="R32" s="9" t="s">
        <v>11</v>
      </c>
      <c r="S32" s="9" t="s">
        <v>11</v>
      </c>
      <c r="T32" s="12" t="s">
        <v>11</v>
      </c>
      <c r="U32" s="9" t="s">
        <v>11</v>
      </c>
      <c r="V32" s="9" t="s">
        <v>11</v>
      </c>
      <c r="W32" s="9" t="s">
        <v>11</v>
      </c>
      <c r="X32" s="9" t="s">
        <v>11</v>
      </c>
      <c r="Y32" s="12" t="s">
        <v>5</v>
      </c>
      <c r="Z32" s="9" t="s">
        <v>0</v>
      </c>
      <c r="AA32" s="9" t="s">
        <v>1</v>
      </c>
      <c r="AB32" s="9" t="s">
        <v>1</v>
      </c>
      <c r="AC32" s="9" t="s">
        <v>2</v>
      </c>
      <c r="AD32" s="12" t="s">
        <v>2</v>
      </c>
      <c r="AE32" s="9" t="s">
        <v>5</v>
      </c>
      <c r="AF32" s="9" t="s">
        <v>5</v>
      </c>
      <c r="AG32" s="9" t="s">
        <v>3</v>
      </c>
      <c r="AH32" s="9" t="s">
        <v>3</v>
      </c>
      <c r="AI32" s="12" t="s">
        <v>4</v>
      </c>
      <c r="AJ32" s="9" t="s">
        <v>4</v>
      </c>
      <c r="AN32">
        <f t="shared" ca="1" si="6"/>
        <v>3</v>
      </c>
      <c r="AO32" s="14">
        <f t="shared" ca="1" si="7"/>
        <v>0.33333333333333331</v>
      </c>
      <c r="AP32" s="2">
        <f ca="1"/>
        <v>18</v>
      </c>
      <c r="AQ32" cm="1">
        <f t="array" aca="1" ref="AQ32" ca="1">IF($AP32=AQ$14, 1, SUMPRODUCT(
    --(OFFSET($O$13,0,0,1,$B$9)=TRUE),
    --(INDEX(OFFSET($O$15,0,0,$B$8,$B$9), 1+$AP32, 0) = INDEX(OFFSET($O$15,0,0,$B$8,$B$9), 1+AQ$14, 0))
) / $B$13)</f>
        <v>0.8</v>
      </c>
      <c r="AR32" cm="1">
        <f t="array" aca="1" ref="AR32" ca="1">IF($AP32=AR$14, 1, SUMPRODUCT(
    --(OFFSET($O$13,0,0,1,$B$9)=TRUE),
    --(INDEX(OFFSET($O$15,0,0,$B$8,$B$9), 1+$AP32, 0) = INDEX(OFFSET($O$15,0,0,$B$8,$B$9), 1+AR$14, 0))
) / $B$13)</f>
        <v>0.8</v>
      </c>
      <c r="AS32" cm="1">
        <f t="array" aca="1" ref="AS32" ca="1">IF($AP32=AS$14, 1, SUMPRODUCT(
    --(OFFSET($O$13,0,0,1,$B$9)=TRUE),
    --(INDEX(OFFSET($O$15,0,0,$B$8,$B$9), 1+$AP32, 0) = INDEX(OFFSET($O$15,0,0,$B$8,$B$9), 1+AS$14, 0))
) / $B$13)</f>
        <v>0.8</v>
      </c>
      <c r="AT32" cm="1">
        <f t="array" aca="1" ref="AT32" ca="1">IF($AP32=AT$14, 1, SUMPRODUCT(
    --(OFFSET($O$13,0,0,1,$B$9)=TRUE),
    --(INDEX(OFFSET($O$15,0,0,$B$8,$B$9), 1+$AP32, 0) = INDEX(OFFSET($O$15,0,0,$B$8,$B$9), 1+AT$14, 0))
) / $B$13)</f>
        <v>0.8</v>
      </c>
      <c r="AU32" cm="1">
        <f t="array" aca="1" ref="AU32" ca="1">IF($AP32=AU$14, 1, SUMPRODUCT(
    --(OFFSET($O$13,0,0,1,$B$9)=TRUE),
    --(INDEX(OFFSET($O$15,0,0,$B$8,$B$9), 1+$AP32, 0) = INDEX(OFFSET($O$15,0,0,$B$8,$B$9), 1+AU$14, 0))
) / $B$13)</f>
        <v>0.8</v>
      </c>
      <c r="AV32" cm="1">
        <f t="array" aca="1" ref="AV32" ca="1">IF($AP32=AV$14, 1, SUMPRODUCT(
    --(OFFSET($O$13,0,0,1,$B$9)=TRUE),
    --(INDEX(OFFSET($O$15,0,0,$B$8,$B$9), 1+$AP32, 0) = INDEX(OFFSET($O$15,0,0,$B$8,$B$9), 1+AV$14, 0))
) / $B$13)</f>
        <v>0.8</v>
      </c>
      <c r="AW32" cm="1">
        <f t="array" aca="1" ref="AW32" ca="1">IF($AP32=AW$14, 1, SUMPRODUCT(
    --(OFFSET($O$13,0,0,1,$B$9)=TRUE),
    --(INDEX(OFFSET($O$15,0,0,$B$8,$B$9), 1+$AP32, 0) = INDEX(OFFSET($O$15,0,0,$B$8,$B$9), 1+AW$14, 0))
) / $B$13)</f>
        <v>0.95</v>
      </c>
      <c r="AX32" cm="1">
        <f t="array" aca="1" ref="AX32" ca="1">IF($AP32=AX$14, 1, SUMPRODUCT(
    --(OFFSET($O$13,0,0,1,$B$9)=TRUE),
    --(INDEX(OFFSET($O$15,0,0,$B$8,$B$9), 1+$AP32, 0) = INDEX(OFFSET($O$15,0,0,$B$8,$B$9), 1+AX$14, 0))
) / $B$13)</f>
        <v>0.95</v>
      </c>
      <c r="AY32" cm="1">
        <f t="array" aca="1" ref="AY32" ca="1">IF($AP32=AY$14, 1, SUMPRODUCT(
    --(OFFSET($O$13,0,0,1,$B$9)=TRUE),
    --(INDEX(OFFSET($O$15,0,0,$B$8,$B$9), 1+$AP32, 0) = INDEX(OFFSET($O$15,0,0,$B$8,$B$9), 1+AY$14, 0))
) / $B$13)</f>
        <v>0.8</v>
      </c>
      <c r="AZ32" cm="1">
        <f t="array" aca="1" ref="AZ32" ca="1">IF($AP32=AZ$14, 1, SUMPRODUCT(
    --(OFFSET($O$13,0,0,1,$B$9)=TRUE),
    --(INDEX(OFFSET($O$15,0,0,$B$8,$B$9), 1+$AP32, 0) = INDEX(OFFSET($O$15,0,0,$B$8,$B$9), 1+AZ$14, 0))
) / $B$13)</f>
        <v>0.8</v>
      </c>
      <c r="BA32" cm="1">
        <f t="array" aca="1" ref="BA32" ca="1">IF($AP32=BA$14, 1, SUMPRODUCT(
    --(OFFSET($O$13,0,0,1,$B$9)=TRUE),
    --(INDEX(OFFSET($O$15,0,0,$B$8,$B$9), 1+$AP32, 0) = INDEX(OFFSET($O$15,0,0,$B$8,$B$9), 1+BA$14, 0))
) / $B$13)</f>
        <v>0.8</v>
      </c>
      <c r="BB32" cm="1">
        <f t="array" aca="1" ref="BB32" ca="1">IF($AP32=BB$14, 1, SUMPRODUCT(
    --(OFFSET($O$13,0,0,1,$B$9)=TRUE),
    --(INDEX(OFFSET($O$15,0,0,$B$8,$B$9), 1+$AP32, 0) = INDEX(OFFSET($O$15,0,0,$B$8,$B$9), 1+BB$14, 0))
) / $B$13)</f>
        <v>0.8</v>
      </c>
      <c r="BC32" cm="1">
        <f t="array" aca="1" ref="BC32" ca="1">IF($AP32=BC$14, 1, SUMPRODUCT(
    --(OFFSET($O$13,0,0,1,$B$9)=TRUE),
    --(INDEX(OFFSET($O$15,0,0,$B$8,$B$9), 1+$AP32, 0) = INDEX(OFFSET($O$15,0,0,$B$8,$B$9), 1+BC$14, 0))
) / $B$13)</f>
        <v>0.8</v>
      </c>
      <c r="BD32" cm="1">
        <f t="array" aca="1" ref="BD32" ca="1">IF($AP32=BD$14, 1, SUMPRODUCT(
    --(OFFSET($O$13,0,0,1,$B$9)=TRUE),
    --(INDEX(OFFSET($O$15,0,0,$B$8,$B$9), 1+$AP32, 0) = INDEX(OFFSET($O$15,0,0,$B$8,$B$9), 1+BD$14, 0))
) / $B$13)</f>
        <v>0.85</v>
      </c>
      <c r="BE32" cm="1">
        <f t="array" aca="1" ref="BE32" ca="1">IF($AP32=BE$14, 1, SUMPRODUCT(
    --(OFFSET($O$13,0,0,1,$B$9)=TRUE),
    --(INDEX(OFFSET($O$15,0,0,$B$8,$B$9), 1+$AP32, 0) = INDEX(OFFSET($O$15,0,0,$B$8,$B$9), 1+BE$14, 0))
) / $B$13)</f>
        <v>1</v>
      </c>
      <c r="BF32" cm="1">
        <f t="array" aca="1" ref="BF32" ca="1">IF($AP32=BF$14, 1, SUMPRODUCT(
    --(OFFSET($O$13,0,0,1,$B$9)=TRUE),
    --(INDEX(OFFSET($O$15,0,0,$B$8,$B$9), 1+$AP32, 0) = INDEX(OFFSET($O$15,0,0,$B$8,$B$9), 1+BF$14, 0))
) / $B$13)</f>
        <v>1</v>
      </c>
      <c r="BG32" cm="1">
        <f t="array" aca="1" ref="BG32" ca="1">IF($AP32=BG$14, 1, SUMPRODUCT(
    --(OFFSET($O$13,0,0,1,$B$9)=TRUE),
    --(INDEX(OFFSET($O$15,0,0,$B$8,$B$9), 1+$AP32, 0) = INDEX(OFFSET($O$15,0,0,$B$8,$B$9), 1+BG$14, 0))
) / $B$13)</f>
        <v>0.85</v>
      </c>
      <c r="BH32" cm="1">
        <f t="array" aca="1" ref="BH32" ca="1">IF($AP32=BH$14, 1, SUMPRODUCT(
    --(OFFSET($O$13,0,0,1,$B$9)=TRUE),
    --(INDEX(OFFSET($O$15,0,0,$B$8,$B$9), 1+$AP32, 0) = INDEX(OFFSET($O$15,0,0,$B$8,$B$9), 1+BH$14, 0))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
) / $B$13)</f>
        <v>0.85</v>
      </c>
      <c r="BJ32" cm="1">
        <f t="array" aca="1" ref="BJ32" ca="1">IF($AP32=BJ$14, 1, SUMPRODUCT(
    --(OFFSET($O$13,0,0,1,$B$9)=TRUE),
    --(INDEX(OFFSET($O$15,0,0,$B$8,$B$9), 1+$AP32, 0) = INDEX(OFFSET($O$15,0,0,$B$8,$B$9), 1+BJ$14, 0))
) / $B$13)</f>
        <v>0.9</v>
      </c>
      <c r="BN32">
        <f t="shared" ca="1" si="8"/>
        <v>5</v>
      </c>
      <c r="BO32" s="14">
        <f t="shared" ca="1" si="9"/>
        <v>0.2</v>
      </c>
      <c r="BP32" s="2">
        <f ca="1"/>
        <v>18</v>
      </c>
      <c r="BQ32" cm="1">
        <f t="array" aca="1" ref="BQ32" ca="1">IF($BP32=BQ$14, 1, SUMPRODUCT(
    --(OFFSET($O$9,0,0,1,$B$9)=TRUE),
    --(INDEX(OFFSET($O$15,0,0,$B$8,$B$9), 1+$BP32, 0) = INDEX(OFFSET($O$15,0,0,$B$8,$B$9), 1+BQ$14, 0))
) / $B$16)</f>
        <v>0.84210526315789469</v>
      </c>
      <c r="BR32" cm="1">
        <f t="array" aca="1" ref="BR32" ca="1">IF($BP32=BR$14, 1, SUMPRODUCT(
    --(OFFSET($O$9,0,0,1,$B$9)=TRUE),
    --(INDEX(OFFSET($O$15,0,0,$B$8,$B$9), 1+$BP32, 0) = INDEX(OFFSET($O$15,0,0,$B$8,$B$9), 1+BR$14, 0))
) / $B$16)</f>
        <v>0.84210526315789469</v>
      </c>
      <c r="BS32" cm="1">
        <f t="array" aca="1" ref="BS32" ca="1">IF($BP32=BS$14, 1, SUMPRODUCT(
    --(OFFSET($O$9,0,0,1,$B$9)=TRUE),
    --(INDEX(OFFSET($O$15,0,0,$B$8,$B$9), 1+$BP32, 0) = INDEX(OFFSET($O$15,0,0,$B$8,$B$9), 1+BS$14, 0))
) / $B$16)</f>
        <v>0.84210526315789469</v>
      </c>
      <c r="BT32" cm="1">
        <f t="array" aca="1" ref="BT32" ca="1">IF($BP32=BT$14, 1, SUMPRODUCT(
    --(OFFSET($O$9,0,0,1,$B$9)=TRUE),
    --(INDEX(OFFSET($O$15,0,0,$B$8,$B$9), 1+$BP32, 0) = INDEX(OFFSET($O$15,0,0,$B$8,$B$9), 1+BT$14, 0))
) / $B$16)</f>
        <v>0.84210526315789469</v>
      </c>
      <c r="BU32" cm="1">
        <f t="array" aca="1" ref="BU32" ca="1">IF($BP32=BU$14, 1, SUMPRODUCT(
    --(OFFSET($O$9,0,0,1,$B$9)=TRUE),
    --(INDEX(OFFSET($O$15,0,0,$B$8,$B$9), 1+$BP32, 0) = INDEX(OFFSET($O$15,0,0,$B$8,$B$9), 1+BU$14, 0))
) / $B$16)</f>
        <v>0.84210526315789469</v>
      </c>
      <c r="BV32" cm="1">
        <f t="array" aca="1" ref="BV32" ca="1">IF($BP32=BV$14, 1, SUMPRODUCT(
    --(OFFSET($O$9,0,0,1,$B$9)=TRUE),
    --(INDEX(OFFSET($O$15,0,0,$B$8,$B$9), 1+$BP32, 0) = INDEX(OFFSET($O$15,0,0,$B$8,$B$9), 1+BV$14, 0))
) / $B$16)</f>
        <v>0.84210526315789469</v>
      </c>
      <c r="BW32" cm="1">
        <f t="array" aca="1" ref="BW32" ca="1">IF($BP32=BW$14, 1, SUMPRODUCT(
    --(OFFSET($O$9,0,0,1,$B$9)=TRUE),
    --(INDEX(OFFSET($O$15,0,0,$B$8,$B$9), 1+$BP32, 0) = INDEX(OFFSET($O$15,0,0,$B$8,$B$9), 1+BW$14, 0))
) / $B$16)</f>
        <v>1</v>
      </c>
      <c r="BX32" cm="1">
        <f t="array" aca="1" ref="BX32" ca="1">IF($BP32=BX$14, 1, SUMPRODUCT(
    --(OFFSET($O$9,0,0,1,$B$9)=TRUE),
    --(INDEX(OFFSET($O$15,0,0,$B$8,$B$9), 1+$BP32, 0) = INDEX(OFFSET($O$15,0,0,$B$8,$B$9), 1+BX$14, 0))
) / $B$16)</f>
        <v>1</v>
      </c>
      <c r="BY32" cm="1">
        <f t="array" aca="1" ref="BY32" ca="1">IF($BP32=BY$14, 1, SUMPRODUCT(
    --(OFFSET($O$9,0,0,1,$B$9)=TRUE),
    --(INDEX(OFFSET($O$15,0,0,$B$8,$B$9), 1+$BP32, 0) = INDEX(OFFSET($O$15,0,0,$B$8,$B$9), 1+BY$14, 0))
) / $B$16)</f>
        <v>0.84210526315789469</v>
      </c>
      <c r="BZ32" cm="1">
        <f t="array" aca="1" ref="BZ32" ca="1">IF($BP32=BZ$14, 1, SUMPRODUCT(
    --(OFFSET($O$9,0,0,1,$B$9)=TRUE),
    --(INDEX(OFFSET($O$15,0,0,$B$8,$B$9), 1+$BP32, 0) = INDEX(OFFSET($O$15,0,0,$B$8,$B$9), 1+BZ$14, 0))
) / $B$16)</f>
        <v>0.84210526315789469</v>
      </c>
      <c r="CA32" cm="1">
        <f t="array" aca="1" ref="CA32" ca="1">IF($BP32=CA$14, 1, SUMPRODUCT(
    --(OFFSET($O$9,0,0,1,$B$9)=TRUE),
    --(INDEX(OFFSET($O$15,0,0,$B$8,$B$9), 1+$BP32, 0) = INDEX(OFFSET($O$15,0,0,$B$8,$B$9), 1+CA$14, 0))
) / $B$16)</f>
        <v>0.84210526315789469</v>
      </c>
      <c r="CB32" cm="1">
        <f t="array" aca="1" ref="CB32" ca="1">IF($BP32=CB$14, 1, SUMPRODUCT(
    --(OFFSET($O$9,0,0,1,$B$9)=TRUE),
    --(INDEX(OFFSET($O$15,0,0,$B$8,$B$9), 1+$BP32, 0) = INDEX(OFFSET($O$15,0,0,$B$8,$B$9), 1+CB$14, 0))
) / $B$16)</f>
        <v>0.84210526315789469</v>
      </c>
      <c r="CC32" cm="1">
        <f t="array" aca="1" ref="CC32" ca="1">IF($BP32=CC$14, 1, SUMPRODUCT(
    --(OFFSET($O$9,0,0,1,$B$9)=TRUE),
    --(INDEX(OFFSET($O$15,0,0,$B$8,$B$9), 1+$BP32, 0) = INDEX(OFFSET($O$15,0,0,$B$8,$B$9), 1+CC$14, 0))
) / $B$16)</f>
        <v>0.84210526315789469</v>
      </c>
      <c r="CD32" cm="1">
        <f t="array" aca="1" ref="CD32" ca="1">IF($BP32=CD$14, 1, SUMPRODUCT(
    --(OFFSET($O$9,0,0,1,$B$9)=TRUE),
    --(INDEX(OFFSET($O$15,0,0,$B$8,$B$9), 1+$BP32, 0) = INDEX(OFFSET($O$15,0,0,$B$8,$B$9), 1+CD$14, 0))
) / $B$16)</f>
        <v>0.84210526315789469</v>
      </c>
      <c r="CE32" cm="1">
        <f t="array" aca="1" ref="CE32" ca="1">IF($BP32=CE$14, 1, SUMPRODUCT(
    --(OFFSET($O$9,0,0,1,$B$9)=TRUE),
    --(INDEX(OFFSET($O$15,0,0,$B$8,$B$9), 1+$BP32, 0) = INDEX(OFFSET($O$15,0,0,$B$8,$B$9), 1+CE$14, 0))
) / $B$16)</f>
        <v>1</v>
      </c>
      <c r="CF32" cm="1">
        <f t="array" aca="1" ref="CF32" ca="1">IF($BP32=CF$14, 1, SUMPRODUCT(
    --(OFFSET($O$9,0,0,1,$B$9)=TRUE),
    --(INDEX(OFFSET($O$15,0,0,$B$8,$B$9), 1+$BP32, 0) = INDEX(OFFSET($O$15,0,0,$B$8,$B$9), 1+CF$14, 0))
) / $B$16)</f>
        <v>1</v>
      </c>
      <c r="CG32" cm="1">
        <f t="array" aca="1" ref="CG32" ca="1">IF($BP32=CG$14, 1, SUMPRODUCT(
    --(OFFSET($O$9,0,0,1,$B$9)=TRUE),
    --(INDEX(OFFSET($O$15,0,0,$B$8,$B$9), 1+$BP32, 0) = INDEX(OFFSET($O$15,0,0,$B$8,$B$9), 1+CG$14, 0))
) / $B$16)</f>
        <v>0.84210526315789469</v>
      </c>
      <c r="CH32" cm="1">
        <f t="array" aca="1" ref="CH32" ca="1">IF($BP32=CH$14, 1, SUMPRODUCT(
    --(OFFSET($O$9,0,0,1,$B$9)=TRUE),
    --(INDEX(OFFSET($O$15,0,0,$B$8,$B$9), 1+$BP32, 0) = INDEX(OFFSET($O$15,0,0,$B$8,$B$9), 1+CH$14, 0))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
) / $B$16)</f>
        <v>0.84210526315789469</v>
      </c>
      <c r="CJ32" cm="1">
        <f t="array" aca="1" ref="CJ32" ca="1">IF($BP32=CJ$14, 1, SUMPRODUCT(
    --(OFFSET($O$9,0,0,1,$B$9)=TRUE),
    --(INDEX(OFFSET($O$15,0,0,$B$8,$B$9), 1+$BP32, 0) = INDEX(OFFSET($O$15,0,0,$B$8,$B$9), 1+CJ$14, 0))
) / $B$16)</f>
        <v>0.94736842105263153</v>
      </c>
      <c r="CP32">
        <f ca="1"/>
        <v>20</v>
      </c>
      <c r="CQ32" cm="1">
        <f t="array" aca="1" ref="CQ32" ca="1">(1-$B$18)*SUMPRODUCT(OFFSET($BO$15,0,0,$B$14,1), 1*(_xlfn._xlws.FILTER(OFFSET($O$15,0,$CP32,$B$8,1), OFFSET($M$15,0,0,$B$8,1))=CQ$14))   /   SUM(OFFSET($BO$15,0,0,$B$14,1)) + $B$18/$B$19</f>
        <v>3.3333333333333331E-3</v>
      </c>
      <c r="CR32" s="10" cm="1">
        <f t="array" aca="1" ref="CR32" ca="1">(1-$B$18)*SUMPRODUCT(OFFSET($BO$15,0,0,$B$14,1), 1*(_xlfn._xlws.FILTER(OFFSET($O$15,0,$CP32,$B$8,1), OFFSET($M$15,0,0,$B$8,1))=CR$14))   /   SUM(OFFSET($BO$15,0,0,$B$14,1)) + $B$18/$B$19</f>
        <v>3.3333333333333331E-3</v>
      </c>
      <c r="CS32" s="10" cm="1">
        <f t="array" aca="1" ref="CS32" ca="1">(1-$B$18)*SUMPRODUCT(OFFSET($BO$15,0,0,$B$14,1), 1*(_xlfn._xlws.FILTER(OFFSET($O$15,0,$CP32,$B$8,1), OFFSET($M$15,0,0,$B$8,1))=CS$14))   /   SUM(OFFSET($BO$15,0,0,$B$14,1)) + $B$18/$B$19</f>
        <v>3.3333333333333331E-3</v>
      </c>
      <c r="CT32" s="10" cm="1">
        <f t="array" aca="1" ref="CT32" ca="1">(1-$B$18)*SUMPRODUCT(OFFSET($BO$15,0,0,$B$14,1), 1*(_xlfn._xlws.FILTER(OFFSET($O$15,0,$CP32,$B$8,1), OFFSET($M$15,0,0,$B$8,1))=CT$14))   /   SUM(OFFSET($BO$15,0,0,$B$14,1)) + $B$18/$B$19</f>
        <v>3.3333333333333331E-3</v>
      </c>
      <c r="CU32" s="10" cm="1">
        <f t="array" aca="1" ref="CU32" ca="1">(1-$B$18)*SUMPRODUCT(OFFSET($BO$15,0,0,$B$14,1), 1*(_xlfn._xlws.FILTER(OFFSET($O$15,0,$CP32,$B$8,1), OFFSET($M$15,0,0,$B$8,1))=CU$14))   /   SUM(OFFSET($BO$15,0,0,$B$14,1)) + $B$18/$B$19</f>
        <v>3.3333333333333331E-3</v>
      </c>
      <c r="CV32" s="10" cm="1">
        <f t="array" aca="1" ref="CV32" ca="1">(1-$B$18)*SUMPRODUCT(OFFSET($BO$15,0,0,$B$14,1), 1*(_xlfn._xlws.FILTER(OFFSET($O$15,0,$CP32,$B$8,1), OFFSET($M$15,0,0,$B$8,1))=CV$14))   /   SUM(OFFSET($BO$15,0,0,$B$14,1)) + $B$18/$B$19</f>
        <v>0.24583333333333318</v>
      </c>
      <c r="CW32" s="10" cm="1">
        <f t="array" aca="1" ref="CW32" ca="1">(1-$B$18)*SUMPRODUCT(OFFSET($BO$15,0,0,$B$14,1), 1*(_xlfn._xlws.FILTER(OFFSET($O$15,0,$CP32,$B$8,1), OFFSET($M$15,0,0,$B$8,1))=CW$14))   /   SUM(OFFSET($BO$15,0,0,$B$14,1)) + $B$18/$B$19</f>
        <v>0.24583333333333321</v>
      </c>
      <c r="CX32" s="10" cm="1">
        <f t="array" aca="1" ref="CX32" ca="1">(1-$B$18)*SUMPRODUCT(OFFSET($BO$15,0,0,$B$14,1), 1*(_xlfn._xlws.FILTER(OFFSET($O$15,0,$CP32,$B$8,1), OFFSET($M$15,0,0,$B$8,1))=CX$14))   /   SUM(OFFSET($BO$15,0,0,$B$14,1)) + $B$18/$B$19</f>
        <v>0.48833333333333312</v>
      </c>
      <c r="CY32" s="10" cm="1">
        <f t="array" aca="1" ref="CY32" ca="1">(1-$B$18)*SUMPRODUCT(OFFSET($BO$15,0,0,$B$14,1), 1*(_xlfn._xlws.FILTER(OFFSET($O$15,0,$CP32,$B$8,1), OFFSET($M$15,0,0,$B$8,1))=CY$14))   /   SUM(OFFSET($BO$15,0,0,$B$14,1)) + $B$18/$B$19</f>
        <v>3.3333333333333331E-3</v>
      </c>
      <c r="DB32" s="10" cm="1">
        <f t="array" aca="1" ref="DB32" ca="1">SUM(OFFSET($CR32,0,0,1,$M$2)*LN(OFFSET($CR32,0,0,1,$M$2)/OFFSET($CR$11,0,0,1,$M$2)))+IF($CQ$11&gt;0,OFFSET($O$10,0,$CP32,1,1)*LN(OFFSET($O$10,0,$CP32,1,1)/$CQ$11),0)</f>
        <v>0.93757244367991488</v>
      </c>
      <c r="DC32">
        <f ca="1"/>
        <v>20</v>
      </c>
      <c r="DD32" s="10">
        <f t="shared" ca="1" si="11"/>
        <v>0.11767737994455678</v>
      </c>
      <c r="DE32" s="10">
        <f t="shared" ca="1" si="12"/>
        <v>0.11767737994455678</v>
      </c>
      <c r="DF32" s="10">
        <f t="shared" ca="1" si="13"/>
        <v>0.11767737994455678</v>
      </c>
      <c r="DG32" s="10">
        <f t="shared" ca="1" si="14"/>
        <v>0.11767737994455678</v>
      </c>
      <c r="DH32" s="10">
        <f t="shared" ca="1" si="15"/>
        <v>5.4189846965095406E-2</v>
      </c>
      <c r="DI32" s="10">
        <f t="shared" ca="1" si="16"/>
        <v>5.4189846965095365E-2</v>
      </c>
      <c r="DJ32" s="10">
        <f t="shared" ca="1" si="17"/>
        <v>0.39090924844917097</v>
      </c>
      <c r="DK32" s="10">
        <f t="shared" ca="1" si="18"/>
        <v>0.11767737994455678</v>
      </c>
      <c r="DN32" cm="1">
        <f t="array" aca="1" ref="DN32" ca="1">INDEX(_xlfn.ANCHORARRAY($CP$15), 1 + INT((ROWS($DO$15:$DO32) - 1) / ROWS(_xlfn.ANCHORARRAY($CP$15))))</f>
        <v>0</v>
      </c>
      <c r="DO32" cm="1">
        <f t="array" aca="1" ref="DO32" ca="1">INDEX(_xlfn.ANCHORARRAY($CP$15),1+MOD(ROWS($DO$15:$DO32)-1,ROWS(_xlfn.ANCHORARRAY($CP$15))))</f>
        <v>20</v>
      </c>
      <c r="DP32" s="10" cm="1">
        <f t="array" aca="1" ref="DP32" ca="1">(1-$B$18)*SUMPRODUCT(OFFSET($BO$15,0,0,$B$14,1), 1*(_xlfn._xlws.FILTER(OFFSET($O$15,0,$DN32,$B$8,1),OFFSET($M$15,0,0,$B$8,1))=DP$13), 1*(_xlfn._xlws.FILTER(OFFSET($O$15,0,$DO32,$B$8,1),OFFSET($M$15,0,0,$B$8,1))=DP$14))   /   SUM(OFFSET($BO$15,0,0,$B$14,1)) + $B$18/($B$19*$B$19*($DN32&lt;&gt;$DO32) + $B$19*($DN32=$DO32))</f>
        <v>3.7037037037037035E-4</v>
      </c>
      <c r="DQ32" s="10" cm="1">
        <f t="array" aca="1" ref="DQ32" ca="1">(1-$B$18)*SUMPRODUCT(OFFSET($BO$15,0,0,$B$14,1), 1*(_xlfn._xlws.FILTER(OFFSET($O$15,0,$DN32,$B$8,1),OFFSET($M$15,0,0,$B$8,1))=DQ$13), 1*(_xlfn._xlws.FILTER(OFFSET($O$15,0,$DO32,$B$8,1),OFFSET($M$15,0,0,$B$8,1))=DQ$14))   /   SUM(OFFSET($BO$15,0,0,$B$14,1)) + $B$18/($B$19*$B$19*($DN32&lt;&gt;$DO32) + $B$19*($DN32=$DO32))</f>
        <v>3.7037037037037035E-4</v>
      </c>
      <c r="DR32" s="10" cm="1">
        <f t="array" aca="1" ref="DR32" ca="1">(1-$B$18)*SUMPRODUCT(OFFSET($BO$15,0,0,$B$14,1), 1*(_xlfn._xlws.FILTER(OFFSET($O$15,0,$DN32,$B$8,1),OFFSET($M$15,0,0,$B$8,1))=DR$13), 1*(_xlfn._xlws.FILTER(OFFSET($O$15,0,$DO32,$B$8,1),OFFSET($M$15,0,0,$B$8,1))=DR$14))   /   SUM(OFFSET($BO$15,0,0,$B$14,1)) + $B$18/($B$19*$B$19*($DN32&lt;&gt;$DO32) + $B$19*($DN32=$DO32))</f>
        <v>3.7037037037037035E-4</v>
      </c>
      <c r="DS32" s="10" cm="1">
        <f t="array" aca="1" ref="DS32" ca="1">(1-$B$18)*SUMPRODUCT(OFFSET($BO$15,0,0,$B$14,1), 1*(_xlfn._xlws.FILTER(OFFSET($O$15,0,$DN32,$B$8,1),OFFSET($M$15,0,0,$B$8,1))=DS$13), 1*(_xlfn._xlws.FILTER(OFFSET($O$15,0,$DO32,$B$8,1),OFFSET($M$15,0,0,$B$8,1))=DS$14))   /   SUM(OFFSET($BO$15,0,0,$B$14,1)) + $B$18/($B$19*$B$19*($DN32&lt;&gt;$DO32) + $B$19*($DN32=$DO32))</f>
        <v>3.7037037037037035E-4</v>
      </c>
      <c r="DT32" s="10" cm="1">
        <f t="array" aca="1" ref="DT32" ca="1">(1-$B$18)*SUMPRODUCT(OFFSET($BO$15,0,0,$B$14,1), 1*(_xlfn._xlws.FILTER(OFFSET($O$15,0,$DN32,$B$8,1),OFFSET($M$15,0,0,$B$8,1))=DT$13), 1*(_xlfn._xlws.FILTER(OFFSET($O$15,0,$DO32,$B$8,1),OFFSET($M$15,0,0,$B$8,1))=DT$14))   /   SUM(OFFSET($BO$15,0,0,$B$14,1)) + $B$18/($B$19*$B$19*($DN32&lt;&gt;$DO32) + $B$19*($DN32=$DO32))</f>
        <v>3.7037037037037035E-4</v>
      </c>
      <c r="DU32" s="10" cm="1">
        <f t="array" aca="1" ref="DU32" ca="1">(1-$B$18)*SUMPRODUCT(OFFSET($BO$15,0,0,$B$14,1), 1*(_xlfn._xlws.FILTER(OFFSET($O$15,0,$DN32,$B$8,1),OFFSET($M$15,0,0,$B$8,1))=DU$13), 1*(_xlfn._xlws.FILTER(OFFSET($O$15,0,$DO32,$B$8,1),OFFSET($M$15,0,0,$B$8,1))=DU$14))   /   SUM(OFFSET($BO$15,0,0,$B$14,1)) + $B$18/($B$19*$B$19*($DN32&lt;&gt;$DO32) + $B$19*($DN32=$DO32))</f>
        <v>3.7037037037037035E-4</v>
      </c>
      <c r="DV32" s="10" cm="1">
        <f t="array" aca="1" ref="DV32" ca="1">(1-$B$18)*SUMPRODUCT(OFFSET($BO$15,0,0,$B$14,1), 1*(_xlfn._xlws.FILTER(OFFSET($O$15,0,$DN32,$B$8,1),OFFSET($M$15,0,0,$B$8,1))=DV$13), 1*(_xlfn._xlws.FILTER(OFFSET($O$15,0,$DO32,$B$8,1),OFFSET($M$15,0,0,$B$8,1))=DV$14))   /   SUM(OFFSET($BO$15,0,0,$B$14,1)) + $B$18/($B$19*$B$19*($DN32&lt;&gt;$DO32) + $B$19*($DN32=$DO32))</f>
        <v>3.7037037037037035E-4</v>
      </c>
      <c r="DW32" s="10" cm="1">
        <f t="array" aca="1" ref="DW32" ca="1">(1-$B$18)*SUMPRODUCT(OFFSET($BO$15,0,0,$B$14,1), 1*(_xlfn._xlws.FILTER(OFFSET($O$15,0,$DN32,$B$8,1),OFFSET($M$15,0,0,$B$8,1))=DW$13), 1*(_xlfn._xlws.FILTER(OFFSET($O$15,0,$DO32,$B$8,1),OFFSET($M$15,0,0,$B$8,1))=DW$14))   /   SUM(OFFSET($BO$15,0,0,$B$14,1)) + $B$18/($B$19*$B$19*($DN32&lt;&gt;$DO32) + $B$19*($DN32=$DO32))</f>
        <v>3.7037037037037035E-4</v>
      </c>
      <c r="DX32" s="10" cm="1">
        <f t="array" aca="1" ref="DX32" ca="1">(1-$B$18)*SUMPRODUCT(OFFSET($BO$15,0,0,$B$14,1), 1*(_xlfn._xlws.FILTER(OFFSET($O$15,0,$DN32,$B$8,1),OFFSET($M$15,0,0,$B$8,1))=DX$13), 1*(_xlfn._xlws.FILTER(OFFSET($O$15,0,$DO32,$B$8,1),OFFSET($M$15,0,0,$B$8,1))=DX$14))   /   SUM(OFFSET($BO$15,0,0,$B$14,1)) + $B$18/($B$19*$B$19*($DN32&lt;&gt;$DO32) + $B$19*($DN32=$DO32))</f>
        <v>3.7037037037037035E-4</v>
      </c>
      <c r="DY32" s="10" cm="1">
        <f t="array" aca="1" ref="DY32" ca="1">(1-$B$18)*SUMPRODUCT(OFFSET($BO$15,0,0,$B$14,1), 1*(_xlfn._xlws.FILTER(OFFSET($O$15,0,$DN32,$B$8,1),OFFSET($M$15,0,0,$B$8,1))=DY$13), 1*(_xlfn._xlws.FILTER(OFFSET($O$15,0,$DO32,$B$8,1),OFFSET($M$15,0,0,$B$8,1))=DY$14))   /   SUM(OFFSET($BO$15,0,0,$B$14,1)) + $B$18/($B$19*$B$19*($DN32&lt;&gt;$DO32) + $B$19*($DN32=$DO32))</f>
        <v>3.7037037037037035E-4</v>
      </c>
      <c r="DZ32" s="10" cm="1">
        <f t="array" aca="1" ref="DZ32" ca="1">(1-$B$18)*SUMPRODUCT(OFFSET($BO$15,0,0,$B$14,1), 1*(_xlfn._xlws.FILTER(OFFSET($O$15,0,$DN32,$B$8,1),OFFSET($M$15,0,0,$B$8,1))=DZ$13), 1*(_xlfn._xlws.FILTER(OFFSET($O$15,0,$DO32,$B$8,1),OFFSET($M$15,0,0,$B$8,1))=DZ$14))   /   SUM(OFFSET($BO$15,0,0,$B$14,1)) + $B$18/($B$19*$B$19*($DN32&lt;&gt;$DO32) + $B$19*($DN32=$DO32))</f>
        <v>3.7037037037037035E-4</v>
      </c>
      <c r="EA32" s="10" cm="1">
        <f t="array" aca="1" ref="EA32" ca="1">(1-$B$18)*SUMPRODUCT(OFFSET($BO$15,0,0,$B$14,1), 1*(_xlfn._xlws.FILTER(OFFSET($O$15,0,$DN32,$B$8,1),OFFSET($M$15,0,0,$B$8,1))=EA$13), 1*(_xlfn._xlws.FILTER(OFFSET($O$15,0,$DO32,$B$8,1),OFFSET($M$15,0,0,$B$8,1))=EA$14))   /   SUM(OFFSET($BO$15,0,0,$B$14,1)) + $B$18/($B$19*$B$19*($DN32&lt;&gt;$DO32) + $B$19*($DN32=$DO32))</f>
        <v>3.7037037037037035E-4</v>
      </c>
      <c r="EB32" s="10" cm="1">
        <f t="array" aca="1" ref="EB32" ca="1">(1-$B$18)*SUMPRODUCT(OFFSET($BO$15,0,0,$B$14,1), 1*(_xlfn._xlws.FILTER(OFFSET($O$15,0,$DN32,$B$8,1),OFFSET($M$15,0,0,$B$8,1))=EB$13), 1*(_xlfn._xlws.FILTER(OFFSET($O$15,0,$DO32,$B$8,1),OFFSET($M$15,0,0,$B$8,1))=EB$14))   /   SUM(OFFSET($BO$15,0,0,$B$14,1)) + $B$18/($B$19*$B$19*($DN32&lt;&gt;$DO32) + $B$19*($DN32=$DO32))</f>
        <v>3.7037037037037035E-4</v>
      </c>
      <c r="EC32" s="10" cm="1">
        <f t="array" aca="1" ref="EC32" ca="1">(1-$B$18)*SUMPRODUCT(OFFSET($BO$15,0,0,$B$14,1), 1*(_xlfn._xlws.FILTER(OFFSET($O$15,0,$DN32,$B$8,1),OFFSET($M$15,0,0,$B$8,1))=EC$13), 1*(_xlfn._xlws.FILTER(OFFSET($O$15,0,$DO32,$B$8,1),OFFSET($M$15,0,0,$B$8,1))=EC$14))   /   SUM(OFFSET($BO$15,0,0,$B$14,1)) + $B$18/($B$19*$B$19*($DN32&lt;&gt;$DO32) + $B$19*($DN32=$DO32))</f>
        <v>3.7037037037037035E-4</v>
      </c>
      <c r="ED32" s="10" cm="1">
        <f t="array" aca="1" ref="ED32" ca="1">(1-$B$18)*SUMPRODUCT(OFFSET($BO$15,0,0,$B$14,1), 1*(_xlfn._xlws.FILTER(OFFSET($O$15,0,$DN32,$B$8,1),OFFSET($M$15,0,0,$B$8,1))=ED$13), 1*(_xlfn._xlws.FILTER(OFFSET($O$15,0,$DO32,$B$8,1),OFFSET($M$15,0,0,$B$8,1))=ED$14))   /   SUM(OFFSET($BO$15,0,0,$B$14,1)) + $B$18/($B$19*$B$19*($DN32&lt;&gt;$DO32) + $B$19*($DN32=$DO32))</f>
        <v>3.7037037037037035E-4</v>
      </c>
      <c r="EE32" s="10" cm="1">
        <f t="array" aca="1" ref="EE32" ca="1">(1-$B$18)*SUMPRODUCT(OFFSET($BO$15,0,0,$B$14,1), 1*(_xlfn._xlws.FILTER(OFFSET($O$15,0,$DN32,$B$8,1),OFFSET($M$15,0,0,$B$8,1))=EE$13), 1*(_xlfn._xlws.FILTER(OFFSET($O$15,0,$DO32,$B$8,1),OFFSET($M$15,0,0,$B$8,1))=EE$14))   /   SUM(OFFSET($BO$15,0,0,$B$14,1)) + $B$18/($B$19*$B$19*($DN32&lt;&gt;$DO32) + $B$19*($DN32=$DO32))</f>
        <v>3.7037037037037035E-4</v>
      </c>
      <c r="EF32" s="10" cm="1">
        <f t="array" aca="1" ref="EF32" ca="1">(1-$B$18)*SUMPRODUCT(OFFSET($BO$15,0,0,$B$14,1), 1*(_xlfn._xlws.FILTER(OFFSET($O$15,0,$DN32,$B$8,1),OFFSET($M$15,0,0,$B$8,1))=EF$13), 1*(_xlfn._xlws.FILTER(OFFSET($O$15,0,$DO32,$B$8,1),OFFSET($M$15,0,0,$B$8,1))=EF$14))   /   SUM(OFFSET($BO$15,0,0,$B$14,1)) + $B$18/($B$19*$B$19*($DN32&lt;&gt;$DO32) + $B$19*($DN32=$DO32))</f>
        <v>3.7037037037037035E-4</v>
      </c>
      <c r="EG32" s="10" cm="1">
        <f t="array" aca="1" ref="EG32" ca="1">(1-$B$18)*SUMPRODUCT(OFFSET($BO$15,0,0,$B$14,1), 1*(_xlfn._xlws.FILTER(OFFSET($O$15,0,$DN32,$B$8,1),OFFSET($M$15,0,0,$B$8,1))=EG$13), 1*(_xlfn._xlws.FILTER(OFFSET($O$15,0,$DO32,$B$8,1),OFFSET($M$15,0,0,$B$8,1))=EG$14))   /   SUM(OFFSET($BO$15,0,0,$B$14,1)) + $B$18/($B$19*$B$19*($DN32&lt;&gt;$DO32) + $B$19*($DN32=$DO32))</f>
        <v>3.7037037037037035E-4</v>
      </c>
      <c r="EH32" s="10" cm="1">
        <f t="array" aca="1" ref="EH32" ca="1">(1-$B$18)*SUMPRODUCT(OFFSET($BO$15,0,0,$B$14,1), 1*(_xlfn._xlws.FILTER(OFFSET($O$15,0,$DN32,$B$8,1),OFFSET($M$15,0,0,$B$8,1))=EH$13), 1*(_xlfn._xlws.FILTER(OFFSET($O$15,0,$DO32,$B$8,1),OFFSET($M$15,0,0,$B$8,1))=EH$14))   /   SUM(OFFSET($BO$15,0,0,$B$14,1)) + $B$18/($B$19*$B$19*($DN32&lt;&gt;$DO32) + $B$19*($DN32=$DO32))</f>
        <v>3.7037037037037035E-4</v>
      </c>
      <c r="EI32" s="10" cm="1">
        <f t="array" aca="1" ref="EI32" ca="1">(1-$B$18)*SUMPRODUCT(OFFSET($BO$15,0,0,$B$14,1), 1*(_xlfn._xlws.FILTER(OFFSET($O$15,0,$DN32,$B$8,1),OFFSET($M$15,0,0,$B$8,1))=EI$13), 1*(_xlfn._xlws.FILTER(OFFSET($O$15,0,$DO32,$B$8,1),OFFSET($M$15,0,0,$B$8,1))=EI$14))   /   SUM(OFFSET($BO$15,0,0,$B$14,1)) + $B$18/($B$19*$B$19*($DN32&lt;&gt;$DO32) + $B$19*($DN32=$DO32))</f>
        <v>3.7037037037037035E-4</v>
      </c>
      <c r="EJ32" s="10" cm="1">
        <f t="array" aca="1" ref="EJ32" ca="1">(1-$B$18)*SUMPRODUCT(OFFSET($BO$15,0,0,$B$14,1), 1*(_xlfn._xlws.FILTER(OFFSET($O$15,0,$DN32,$B$8,1),OFFSET($M$15,0,0,$B$8,1))=EJ$13), 1*(_xlfn._xlws.FILTER(OFFSET($O$15,0,$DO32,$B$8,1),OFFSET($M$15,0,0,$B$8,1))=EJ$14))   /   SUM(OFFSET($BO$15,0,0,$B$14,1)) + $B$18/($B$19*$B$19*($DN32&lt;&gt;$DO32) + $B$19*($DN32=$DO32))</f>
        <v>3.7037037037037035E-4</v>
      </c>
      <c r="EK32" s="10" cm="1">
        <f t="array" aca="1" ref="EK32" ca="1">(1-$B$18)*SUMPRODUCT(OFFSET($BO$15,0,0,$B$14,1), 1*(_xlfn._xlws.FILTER(OFFSET($O$15,0,$DN32,$B$8,1),OFFSET($M$15,0,0,$B$8,1))=EK$13), 1*(_xlfn._xlws.FILTER(OFFSET($O$15,0,$DO32,$B$8,1),OFFSET($M$15,0,0,$B$8,1))=EK$14))   /   SUM(OFFSET($BO$15,0,0,$B$14,1)) + $B$18/($B$19*$B$19*($DN32&lt;&gt;$DO32) + $B$19*($DN32=$DO32))</f>
        <v>3.7037037037037035E-4</v>
      </c>
      <c r="EL32" s="10" cm="1">
        <f t="array" aca="1" ref="EL32" ca="1">(1-$B$18)*SUMPRODUCT(OFFSET($BO$15,0,0,$B$14,1), 1*(_xlfn._xlws.FILTER(OFFSET($O$15,0,$DN32,$B$8,1),OFFSET($M$15,0,0,$B$8,1))=EL$13), 1*(_xlfn._xlws.FILTER(OFFSET($O$15,0,$DO32,$B$8,1),OFFSET($M$15,0,0,$B$8,1))=EL$14))   /   SUM(OFFSET($BO$15,0,0,$B$14,1)) + $B$18/($B$19*$B$19*($DN32&lt;&gt;$DO32) + $B$19*($DN32=$DO32))</f>
        <v>3.7037037037037035E-4</v>
      </c>
      <c r="EM32" s="10" cm="1">
        <f t="array" aca="1" ref="EM32" ca="1">(1-$B$18)*SUMPRODUCT(OFFSET($BO$15,0,0,$B$14,1), 1*(_xlfn._xlws.FILTER(OFFSET($O$15,0,$DN32,$B$8,1),OFFSET($M$15,0,0,$B$8,1))=EM$13), 1*(_xlfn._xlws.FILTER(OFFSET($O$15,0,$DO32,$B$8,1),OFFSET($M$15,0,0,$B$8,1))=EM$14))   /   SUM(OFFSET($BO$15,0,0,$B$14,1)) + $B$18/($B$19*$B$19*($DN32&lt;&gt;$DO32) + $B$19*($DN32=$DO32))</f>
        <v>3.7037037037037035E-4</v>
      </c>
      <c r="EN32" s="10" cm="1">
        <f t="array" aca="1" ref="EN32" ca="1">(1-$B$18)*SUMPRODUCT(OFFSET($BO$15,0,0,$B$14,1), 1*(_xlfn._xlws.FILTER(OFFSET($O$15,0,$DN32,$B$8,1),OFFSET($M$15,0,0,$B$8,1))=EN$13), 1*(_xlfn._xlws.FILTER(OFFSET($O$15,0,$DO32,$B$8,1),OFFSET($M$15,0,0,$B$8,1))=EN$14))   /   SUM(OFFSET($BO$15,0,0,$B$14,1)) + $B$18/($B$19*$B$19*($DN32&lt;&gt;$DO32) + $B$19*($DN32=$DO32))</f>
        <v>3.7037037037037035E-4</v>
      </c>
      <c r="EO32" s="10" cm="1">
        <f t="array" aca="1" ref="EO32" ca="1">(1-$B$18)*SUMPRODUCT(OFFSET($BO$15,0,0,$B$14,1), 1*(_xlfn._xlws.FILTER(OFFSET($O$15,0,$DN32,$B$8,1),OFFSET($M$15,0,0,$B$8,1))=EO$13), 1*(_xlfn._xlws.FILTER(OFFSET($O$15,0,$DO32,$B$8,1),OFFSET($M$15,0,0,$B$8,1))=EO$14))   /   SUM(OFFSET($BO$15,0,0,$B$14,1)) + $B$18/($B$19*$B$19*($DN32&lt;&gt;$DO32) + $B$19*($DN32=$DO32))</f>
        <v>3.7037037037037035E-4</v>
      </c>
      <c r="EP32" s="10" cm="1">
        <f t="array" aca="1" ref="EP32" ca="1">(1-$B$18)*SUMPRODUCT(OFFSET($BO$15,0,0,$B$14,1), 1*(_xlfn._xlws.FILTER(OFFSET($O$15,0,$DN32,$B$8,1),OFFSET($M$15,0,0,$B$8,1))=EP$13), 1*(_xlfn._xlws.FILTER(OFFSET($O$15,0,$DO32,$B$8,1),OFFSET($M$15,0,0,$B$8,1))=EP$14))   /   SUM(OFFSET($BO$15,0,0,$B$14,1)) + $B$18/($B$19*$B$19*($DN32&lt;&gt;$DO32) + $B$19*($DN32=$DO32))</f>
        <v>3.7037037037037035E-4</v>
      </c>
      <c r="EQ32" s="10" cm="1">
        <f t="array" aca="1" ref="EQ32" ca="1">(1-$B$18)*SUMPRODUCT(OFFSET($BO$15,0,0,$B$14,1), 1*(_xlfn._xlws.FILTER(OFFSET($O$15,0,$DN32,$B$8,1),OFFSET($M$15,0,0,$B$8,1))=EQ$13), 1*(_xlfn._xlws.FILTER(OFFSET($O$15,0,$DO32,$B$8,1),OFFSET($M$15,0,0,$B$8,1))=EQ$14))   /   SUM(OFFSET($BO$15,0,0,$B$14,1)) + $B$18/($B$19*$B$19*($DN32&lt;&gt;$DO32) + $B$19*($DN32=$DO32))</f>
        <v>3.7037037037037035E-4</v>
      </c>
      <c r="ER32" s="10" cm="1">
        <f t="array" aca="1" ref="ER32" ca="1">(1-$B$18)*SUMPRODUCT(OFFSET($BO$15,0,0,$B$14,1), 1*(_xlfn._xlws.FILTER(OFFSET($O$15,0,$DN32,$B$8,1),OFFSET($M$15,0,0,$B$8,1))=ER$13), 1*(_xlfn._xlws.FILTER(OFFSET($O$15,0,$DO32,$B$8,1),OFFSET($M$15,0,0,$B$8,1))=ER$14))   /   SUM(OFFSET($BO$15,0,0,$B$14,1)) + $B$18/($B$19*$B$19*($DN32&lt;&gt;$DO32) + $B$19*($DN32=$DO32))</f>
        <v>3.7037037037037035E-4</v>
      </c>
      <c r="ES32" s="10" cm="1">
        <f t="array" aca="1" ref="ES32" ca="1">(1-$B$18)*SUMPRODUCT(OFFSET($BO$15,0,0,$B$14,1), 1*(_xlfn._xlws.FILTER(OFFSET($O$15,0,$DN32,$B$8,1),OFFSET($M$15,0,0,$B$8,1))=ES$13), 1*(_xlfn._xlws.FILTER(OFFSET($O$15,0,$DO32,$B$8,1),OFFSET($M$15,0,0,$B$8,1))=ES$14))   /   SUM(OFFSET($BO$15,0,0,$B$14,1)) + $B$18/($B$19*$B$19*($DN32&lt;&gt;$DO32) + $B$19*($DN32=$DO32))</f>
        <v>3.7037037037037035E-4</v>
      </c>
      <c r="ET32" s="10" cm="1">
        <f t="array" aca="1" ref="ET32" ca="1">(1-$B$18)*SUMPRODUCT(OFFSET($BO$15,0,0,$B$14,1), 1*(_xlfn._xlws.FILTER(OFFSET($O$15,0,$DN32,$B$8,1),OFFSET($M$15,0,0,$B$8,1))=ET$13), 1*(_xlfn._xlws.FILTER(OFFSET($O$15,0,$DO32,$B$8,1),OFFSET($M$15,0,0,$B$8,1))=ET$14))   /   SUM(OFFSET($BO$15,0,0,$B$14,1)) + $B$18/($B$19*$B$19*($DN32&lt;&gt;$DO32) + $B$19*($DN32=$DO32))</f>
        <v>3.7037037037037035E-4</v>
      </c>
      <c r="EU32" s="10" cm="1">
        <f t="array" aca="1" ref="EU32" ca="1">(1-$B$18)*SUMPRODUCT(OFFSET($BO$15,0,0,$B$14,1), 1*(_xlfn._xlws.FILTER(OFFSET($O$15,0,$DN32,$B$8,1),OFFSET($M$15,0,0,$B$8,1))=EU$13), 1*(_xlfn._xlws.FILTER(OFFSET($O$15,0,$DO32,$B$8,1),OFFSET($M$15,0,0,$B$8,1))=EU$14))   /   SUM(OFFSET($BO$15,0,0,$B$14,1)) + $B$18/($B$19*$B$19*($DN32&lt;&gt;$DO32) + $B$19*($DN32=$DO32))</f>
        <v>3.7037037037037035E-4</v>
      </c>
      <c r="EV32" s="10" cm="1">
        <f t="array" aca="1" ref="EV32" ca="1">(1-$B$18)*SUMPRODUCT(OFFSET($BO$15,0,0,$B$14,1), 1*(_xlfn._xlws.FILTER(OFFSET($O$15,0,$DN32,$B$8,1),OFFSET($M$15,0,0,$B$8,1))=EV$13), 1*(_xlfn._xlws.FILTER(OFFSET($O$15,0,$DO32,$B$8,1),OFFSET($M$15,0,0,$B$8,1))=EV$14))   /   SUM(OFFSET($BO$15,0,0,$B$14,1)) + $B$18/($B$19*$B$19*($DN32&lt;&gt;$DO32) + $B$19*($DN32=$DO32))</f>
        <v>3.7037037037037035E-4</v>
      </c>
      <c r="EW32" s="10" cm="1">
        <f t="array" aca="1" ref="EW32" ca="1">(1-$B$18)*SUMPRODUCT(OFFSET($BO$15,0,0,$B$14,1), 1*(_xlfn._xlws.FILTER(OFFSET($O$15,0,$DN32,$B$8,1),OFFSET($M$15,0,0,$B$8,1))=EW$13), 1*(_xlfn._xlws.FILTER(OFFSET($O$15,0,$DO32,$B$8,1),OFFSET($M$15,0,0,$B$8,1))=EW$14))   /   SUM(OFFSET($BO$15,0,0,$B$14,1)) + $B$18/($B$19*$B$19*($DN32&lt;&gt;$DO32) + $B$19*($DN32=$DO32))</f>
        <v>3.7037037037037035E-4</v>
      </c>
      <c r="EX32" s="10" cm="1">
        <f t="array" aca="1" ref="EX32" ca="1">(1-$B$18)*SUMPRODUCT(OFFSET($BO$15,0,0,$B$14,1), 1*(_xlfn._xlws.FILTER(OFFSET($O$15,0,$DN32,$B$8,1),OFFSET($M$15,0,0,$B$8,1))=EX$13), 1*(_xlfn._xlws.FILTER(OFFSET($O$15,0,$DO32,$B$8,1),OFFSET($M$15,0,0,$B$8,1))=EX$14))   /   SUM(OFFSET($BO$15,0,0,$B$14,1)) + $B$18/($B$19*$B$19*($DN32&lt;&gt;$DO32) + $B$19*($DN32=$DO32))</f>
        <v>3.7037037037037035E-4</v>
      </c>
      <c r="EY32" s="10" cm="1">
        <f t="array" aca="1" ref="EY32" ca="1">(1-$B$18)*SUMPRODUCT(OFFSET($BO$15,0,0,$B$14,1), 1*(_xlfn._xlws.FILTER(OFFSET($O$15,0,$DN32,$B$8,1),OFFSET($M$15,0,0,$B$8,1))=EY$13), 1*(_xlfn._xlws.FILTER(OFFSET($O$15,0,$DO32,$B$8,1),OFFSET($M$15,0,0,$B$8,1))=EY$14))   /   SUM(OFFSET($BO$15,0,0,$B$14,1)) + $B$18/($B$19*$B$19*($DN32&lt;&gt;$DO32) + $B$19*($DN32=$DO32))</f>
        <v>3.7037037037037035E-4</v>
      </c>
      <c r="EZ32" s="10" cm="1">
        <f t="array" aca="1" ref="EZ32" ca="1">(1-$B$18)*SUMPRODUCT(OFFSET($BO$15,0,0,$B$14,1), 1*(_xlfn._xlws.FILTER(OFFSET($O$15,0,$DN32,$B$8,1),OFFSET($M$15,0,0,$B$8,1))=EZ$13), 1*(_xlfn._xlws.FILTER(OFFSET($O$15,0,$DO32,$B$8,1),OFFSET($M$15,0,0,$B$8,1))=EZ$14))   /   SUM(OFFSET($BO$15,0,0,$B$14,1)) + $B$18/($B$19*$B$19*($DN32&lt;&gt;$DO32) + $B$19*($DN32=$DO32))</f>
        <v>3.7037037037037035E-4</v>
      </c>
      <c r="FA32" s="10" cm="1">
        <f t="array" aca="1" ref="FA32" ca="1">(1-$B$18)*SUMPRODUCT(OFFSET($BO$15,0,0,$B$14,1), 1*(_xlfn._xlws.FILTER(OFFSET($O$15,0,$DN32,$B$8,1),OFFSET($M$15,0,0,$B$8,1))=FA$13), 1*(_xlfn._xlws.FILTER(OFFSET($O$15,0,$DO32,$B$8,1),OFFSET($M$15,0,0,$B$8,1))=FA$14))   /   SUM(OFFSET($BO$15,0,0,$B$14,1)) + $B$18/($B$19*$B$19*($DN32&lt;&gt;$DO32) + $B$19*($DN32=$DO32))</f>
        <v>3.7037037037037035E-4</v>
      </c>
      <c r="FB32" s="10" cm="1">
        <f t="array" aca="1" ref="FB32" ca="1">(1-$B$18)*SUMPRODUCT(OFFSET($BO$15,0,0,$B$14,1), 1*(_xlfn._xlws.FILTER(OFFSET($O$15,0,$DN32,$B$8,1),OFFSET($M$15,0,0,$B$8,1))=FB$13), 1*(_xlfn._xlws.FILTER(OFFSET($O$15,0,$DO32,$B$8,1),OFFSET($M$15,0,0,$B$8,1))=FB$14))   /   SUM(OFFSET($BO$15,0,0,$B$14,1)) + $B$18/($B$19*$B$19*($DN32&lt;&gt;$DO32) + $B$19*($DN32=$DO32))</f>
        <v>3.7037037037037035E-4</v>
      </c>
      <c r="FC32" s="10" cm="1">
        <f t="array" aca="1" ref="FC32" ca="1">(1-$B$18)*SUMPRODUCT(OFFSET($BO$15,0,0,$B$14,1), 1*(_xlfn._xlws.FILTER(OFFSET($O$15,0,$DN32,$B$8,1),OFFSET($M$15,0,0,$B$8,1))=FC$13), 1*(_xlfn._xlws.FILTER(OFFSET($O$15,0,$DO32,$B$8,1),OFFSET($M$15,0,0,$B$8,1))=FC$14))   /   SUM(OFFSET($BO$15,0,0,$B$14,1)) + $B$18/($B$19*$B$19*($DN32&lt;&gt;$DO32) + $B$19*($DN32=$DO32))</f>
        <v>3.7037037037037035E-4</v>
      </c>
      <c r="FD32" s="10" cm="1">
        <f t="array" aca="1" ref="FD32" ca="1">(1-$B$18)*SUMPRODUCT(OFFSET($BO$15,0,0,$B$14,1), 1*(_xlfn._xlws.FILTER(OFFSET($O$15,0,$DN32,$B$8,1),OFFSET($M$15,0,0,$B$8,1))=FD$13), 1*(_xlfn._xlws.FILTER(OFFSET($O$15,0,$DO32,$B$8,1),OFFSET($M$15,0,0,$B$8,1))=FD$14))   /   SUM(OFFSET($BO$15,0,0,$B$14,1)) + $B$18/($B$19*$B$19*($DN32&lt;&gt;$DO32) + $B$19*($DN32=$DO32))</f>
        <v>3.7037037037037035E-4</v>
      </c>
      <c r="FE32" s="10" cm="1">
        <f t="array" aca="1" ref="FE32" ca="1">(1-$B$18)*SUMPRODUCT(OFFSET($BO$15,0,0,$B$14,1), 1*(_xlfn._xlws.FILTER(OFFSET($O$15,0,$DN32,$B$8,1),OFFSET($M$15,0,0,$B$8,1))=FE$13), 1*(_xlfn._xlws.FILTER(OFFSET($O$15,0,$DO32,$B$8,1),OFFSET($M$15,0,0,$B$8,1))=FE$14))   /   SUM(OFFSET($BO$15,0,0,$B$14,1)) + $B$18/($B$19*$B$19*($DN32&lt;&gt;$DO32) + $B$19*($DN32=$DO32))</f>
        <v>3.7037037037037035E-4</v>
      </c>
      <c r="FF32" s="10" cm="1">
        <f t="array" aca="1" ref="FF32" ca="1">(1-$B$18)*SUMPRODUCT(OFFSET($BO$15,0,0,$B$14,1), 1*(_xlfn._xlws.FILTER(OFFSET($O$15,0,$DN32,$B$8,1),OFFSET($M$15,0,0,$B$8,1))=FF$13), 1*(_xlfn._xlws.FILTER(OFFSET($O$15,0,$DO32,$B$8,1),OFFSET($M$15,0,0,$B$8,1))=FF$14))   /   SUM(OFFSET($BO$15,0,0,$B$14,1)) + $B$18/($B$19*$B$19*($DN32&lt;&gt;$DO32) + $B$19*($DN32=$DO32))</f>
        <v>3.7037037037037035E-4</v>
      </c>
      <c r="FG32" s="10" cm="1">
        <f t="array" aca="1" ref="FG32" ca="1">(1-$B$18)*SUMPRODUCT(OFFSET($BO$15,0,0,$B$14,1), 1*(_xlfn._xlws.FILTER(OFFSET($O$15,0,$DN32,$B$8,1),OFFSET($M$15,0,0,$B$8,1))=FG$13), 1*(_xlfn._xlws.FILTER(OFFSET($O$15,0,$DO32,$B$8,1),OFFSET($M$15,0,0,$B$8,1))=FG$14))   /   SUM(OFFSET($BO$15,0,0,$B$14,1)) + $B$18/($B$19*$B$19*($DN32&lt;&gt;$DO32) + $B$19*($DN32=$DO32))</f>
        <v>3.7037037037037035E-4</v>
      </c>
      <c r="FH32" s="10" cm="1">
        <f t="array" aca="1" ref="FH32" ca="1">(1-$B$18)*SUMPRODUCT(OFFSET($BO$15,0,0,$B$14,1), 1*(_xlfn._xlws.FILTER(OFFSET($O$15,0,$DN32,$B$8,1),OFFSET($M$15,0,0,$B$8,1))=FH$13), 1*(_xlfn._xlws.FILTER(OFFSET($O$15,0,$DO32,$B$8,1),OFFSET($M$15,0,0,$B$8,1))=FH$14))   /   SUM(OFFSET($BO$15,0,0,$B$14,1)) + $B$18/($B$19*$B$19*($DN32&lt;&gt;$DO32) + $B$19*($DN32=$DO32))</f>
        <v>3.7037037037037035E-4</v>
      </c>
      <c r="FI32" s="10" cm="1">
        <f t="array" aca="1" ref="FI32" ca="1">(1-$B$18)*SUMPRODUCT(OFFSET($BO$15,0,0,$B$14,1), 1*(_xlfn._xlws.FILTER(OFFSET($O$15,0,$DN32,$B$8,1),OFFSET($M$15,0,0,$B$8,1))=FI$13), 1*(_xlfn._xlws.FILTER(OFFSET($O$15,0,$DO32,$B$8,1),OFFSET($M$15,0,0,$B$8,1))=FI$14))   /   SUM(OFFSET($BO$15,0,0,$B$14,1)) + $B$18/($B$19*$B$19*($DN32&lt;&gt;$DO32) + $B$19*($DN32=$DO32))</f>
        <v>3.7037037037037035E-4</v>
      </c>
      <c r="FJ32" s="10" cm="1">
        <f t="array" aca="1" ref="FJ32" ca="1">(1-$B$18)*SUMPRODUCT(OFFSET($BO$15,0,0,$B$14,1), 1*(_xlfn._xlws.FILTER(OFFSET($O$15,0,$DN32,$B$8,1),OFFSET($M$15,0,0,$B$8,1))=FJ$13), 1*(_xlfn._xlws.FILTER(OFFSET($O$15,0,$DO32,$B$8,1),OFFSET($M$15,0,0,$B$8,1))=FJ$14))   /   SUM(OFFSET($BO$15,0,0,$B$14,1)) + $B$18/($B$19*$B$19*($DN32&lt;&gt;$DO32) + $B$19*($DN32=$DO32))</f>
        <v>3.7037037037037035E-4</v>
      </c>
      <c r="FK32" s="10" cm="1">
        <f t="array" aca="1" ref="FK32" ca="1">(1-$B$18)*SUMPRODUCT(OFFSET($BO$15,0,0,$B$14,1), 1*(_xlfn._xlws.FILTER(OFFSET($O$15,0,$DN32,$B$8,1),OFFSET($M$15,0,0,$B$8,1))=FK$13), 1*(_xlfn._xlws.FILTER(OFFSET($O$15,0,$DO32,$B$8,1),OFFSET($M$15,0,0,$B$8,1))=FK$14))   /   SUM(OFFSET($BO$15,0,0,$B$14,1)) + $B$18/($B$19*$B$19*($DN32&lt;&gt;$DO32) + $B$19*($DN32=$DO32))</f>
        <v>3.7037037037037035E-4</v>
      </c>
      <c r="FL32" s="10" cm="1">
        <f t="array" aca="1" ref="FL32" ca="1">(1-$B$18)*SUMPRODUCT(OFFSET($BO$15,0,0,$B$14,1), 1*(_xlfn._xlws.FILTER(OFFSET($O$15,0,$DN32,$B$8,1),OFFSET($M$15,0,0,$B$8,1))=FL$13), 1*(_xlfn._xlws.FILTER(OFFSET($O$15,0,$DO32,$B$8,1),OFFSET($M$15,0,0,$B$8,1))=FL$14))   /   SUM(OFFSET($BO$15,0,0,$B$14,1)) + $B$18/($B$19*$B$19*($DN32&lt;&gt;$DO32) + $B$19*($DN32=$DO32))</f>
        <v>3.7037037037037035E-4</v>
      </c>
      <c r="FM32" s="10" cm="1">
        <f t="array" aca="1" ref="FM32" ca="1">(1-$B$18)*SUMPRODUCT(OFFSET($BO$15,0,0,$B$14,1), 1*(_xlfn._xlws.FILTER(OFFSET($O$15,0,$DN32,$B$8,1),OFFSET($M$15,0,0,$B$8,1))=FM$13), 1*(_xlfn._xlws.FILTER(OFFSET($O$15,0,$DO32,$B$8,1),OFFSET($M$15,0,0,$B$8,1))=FM$14))   /   SUM(OFFSET($BO$15,0,0,$B$14,1)) + $B$18/($B$19*$B$19*($DN32&lt;&gt;$DO32) + $B$19*($DN32=$DO32))</f>
        <v>3.7037037037037035E-4</v>
      </c>
      <c r="FN32" s="10" cm="1">
        <f t="array" aca="1" ref="FN32" ca="1">(1-$B$18)*SUMPRODUCT(OFFSET($BO$15,0,0,$B$14,1), 1*(_xlfn._xlws.FILTER(OFFSET($O$15,0,$DN32,$B$8,1),OFFSET($M$15,0,0,$B$8,1))=FN$13), 1*(_xlfn._xlws.FILTER(OFFSET($O$15,0,$DO32,$B$8,1),OFFSET($M$15,0,0,$B$8,1))=FN$14))   /   SUM(OFFSET($BO$15,0,0,$B$14,1)) + $B$18/($B$19*$B$19*($DN32&lt;&gt;$DO32) + $B$19*($DN32=$DO32))</f>
        <v>3.7037037037037035E-4</v>
      </c>
      <c r="FO32" s="10" cm="1">
        <f t="array" aca="1" ref="FO32" ca="1">(1-$B$18)*SUMPRODUCT(OFFSET($BO$15,0,0,$B$14,1), 1*(_xlfn._xlws.FILTER(OFFSET($O$15,0,$DN32,$B$8,1),OFFSET($M$15,0,0,$B$8,1))=FO$13), 1*(_xlfn._xlws.FILTER(OFFSET($O$15,0,$DO32,$B$8,1),OFFSET($M$15,0,0,$B$8,1))=FO$14))   /   SUM(OFFSET($BO$15,0,0,$B$14,1)) + $B$18/($B$19*$B$19*($DN32&lt;&gt;$DO32) + $B$19*($DN32=$DO32))</f>
        <v>3.7037037037037035E-4</v>
      </c>
      <c r="FP32" s="10" cm="1">
        <f t="array" aca="1" ref="FP32" ca="1">(1-$B$18)*SUMPRODUCT(OFFSET($BO$15,0,0,$B$14,1), 1*(_xlfn._xlws.FILTER(OFFSET($O$15,0,$DN32,$B$8,1),OFFSET($M$15,0,0,$B$8,1))=FP$13), 1*(_xlfn._xlws.FILTER(OFFSET($O$15,0,$DO32,$B$8,1),OFFSET($M$15,0,0,$B$8,1))=FP$14))   /   SUM(OFFSET($BO$15,0,0,$B$14,1)) + $B$18/($B$19*$B$19*($DN32&lt;&gt;$DO32) + $B$19*($DN32=$DO32))</f>
        <v>0.24287037037037024</v>
      </c>
      <c r="FQ32" s="10" cm="1">
        <f t="array" aca="1" ref="FQ32" ca="1">(1-$B$18)*SUMPRODUCT(OFFSET($BO$15,0,0,$B$14,1), 1*(_xlfn._xlws.FILTER(OFFSET($O$15,0,$DN32,$B$8,1),OFFSET($M$15,0,0,$B$8,1))=FQ$13), 1*(_xlfn._xlws.FILTER(OFFSET($O$15,0,$DO32,$B$8,1),OFFSET($M$15,0,0,$B$8,1))=FQ$14))   /   SUM(OFFSET($BO$15,0,0,$B$14,1)) + $B$18/($B$19*$B$19*($DN32&lt;&gt;$DO32) + $B$19*($DN32=$DO32))</f>
        <v>0.24287037037037026</v>
      </c>
      <c r="FR32" s="10" cm="1">
        <f t="array" aca="1" ref="FR32" ca="1">(1-$B$18)*SUMPRODUCT(OFFSET($BO$15,0,0,$B$14,1), 1*(_xlfn._xlws.FILTER(OFFSET($O$15,0,$DN32,$B$8,1),OFFSET($M$15,0,0,$B$8,1))=FR$13), 1*(_xlfn._xlws.FILTER(OFFSET($O$15,0,$DO32,$B$8,1),OFFSET($M$15,0,0,$B$8,1))=FR$14))   /   SUM(OFFSET($BO$15,0,0,$B$14,1)) + $B$18/($B$19*$B$19*($DN32&lt;&gt;$DO32) + $B$19*($DN32=$DO32))</f>
        <v>0.48537037037037012</v>
      </c>
      <c r="FS32" s="10" cm="1">
        <f t="array" aca="1" ref="FS32" ca="1">(1-$B$18)*SUMPRODUCT(OFFSET($BO$15,0,0,$B$14,1), 1*(_xlfn._xlws.FILTER(OFFSET($O$15,0,$DN32,$B$8,1),OFFSET($M$15,0,0,$B$8,1))=FS$13), 1*(_xlfn._xlws.FILTER(OFFSET($O$15,0,$DO32,$B$8,1),OFFSET($M$15,0,0,$B$8,1))=FS$14))   /   SUM(OFFSET($BO$15,0,0,$B$14,1)) + $B$18/($B$19*$B$19*($DN32&lt;&gt;$DO32) + $B$19*($DN32=$DO32))</f>
        <v>3.7037037037037035E-4</v>
      </c>
      <c r="FT32" s="10" cm="1">
        <f t="array" aca="1" ref="FT32" ca="1">(1-$B$18)*SUMPRODUCT(OFFSET($BO$15,0,0,$B$14,1), 1*(_xlfn._xlws.FILTER(OFFSET($O$15,0,$DN32,$B$8,1),OFFSET($M$15,0,0,$B$8,1))=FT$13), 1*(_xlfn._xlws.FILTER(OFFSET($O$15,0,$DO32,$B$8,1),OFFSET($M$15,0,0,$B$8,1))=FT$14))   /   SUM(OFFSET($BO$15,0,0,$B$14,1)) + $B$18/($B$19*$B$19*($DN32&lt;&gt;$DO32) + $B$19*($DN32=$DO32))</f>
        <v>3.7037037037037035E-4</v>
      </c>
      <c r="FU32" s="10" cm="1">
        <f t="array" aca="1" ref="FU32" ca="1">(1-$B$18)*SUMPRODUCT(OFFSET($BO$15,0,0,$B$14,1), 1*(_xlfn._xlws.FILTER(OFFSET($O$15,0,$DN32,$B$8,1),OFFSET($M$15,0,0,$B$8,1))=FU$13), 1*(_xlfn._xlws.FILTER(OFFSET($O$15,0,$DO32,$B$8,1),OFFSET($M$15,0,0,$B$8,1))=FU$14))   /   SUM(OFFSET($BO$15,0,0,$B$14,1)) + $B$18/($B$19*$B$19*($DN32&lt;&gt;$DO32) + $B$19*($DN32=$DO32))</f>
        <v>3.7037037037037035E-4</v>
      </c>
      <c r="FV32" s="10" cm="1">
        <f t="array" aca="1" ref="FV32" ca="1">(1-$B$18)*SUMPRODUCT(OFFSET($BO$15,0,0,$B$14,1), 1*(_xlfn._xlws.FILTER(OFFSET($O$15,0,$DN32,$B$8,1),OFFSET($M$15,0,0,$B$8,1))=FV$13), 1*(_xlfn._xlws.FILTER(OFFSET($O$15,0,$DO32,$B$8,1),OFFSET($M$15,0,0,$B$8,1))=FV$14))   /   SUM(OFFSET($BO$15,0,0,$B$14,1)) + $B$18/($B$19*$B$19*($DN32&lt;&gt;$DO32) + $B$19*($DN32=$DO32))</f>
        <v>3.7037037037037035E-4</v>
      </c>
      <c r="FW32" s="10" cm="1">
        <f t="array" aca="1" ref="FW32" ca="1">(1-$B$18)*SUMPRODUCT(OFFSET($BO$15,0,0,$B$14,1), 1*(_xlfn._xlws.FILTER(OFFSET($O$15,0,$DN32,$B$8,1),OFFSET($M$15,0,0,$B$8,1))=FW$13), 1*(_xlfn._xlws.FILTER(OFFSET($O$15,0,$DO32,$B$8,1),OFFSET($M$15,0,0,$B$8,1))=FW$14))   /   SUM(OFFSET($BO$15,0,0,$B$14,1)) + $B$18/($B$19*$B$19*($DN32&lt;&gt;$DO32) + $B$19*($DN32=$DO32))</f>
        <v>3.7037037037037035E-4</v>
      </c>
      <c r="FX32" s="10" cm="1">
        <f t="array" aca="1" ref="FX32" ca="1">(1-$B$18)*SUMPRODUCT(OFFSET($BO$15,0,0,$B$14,1), 1*(_xlfn._xlws.FILTER(OFFSET($O$15,0,$DN32,$B$8,1),OFFSET($M$15,0,0,$B$8,1))=FX$13), 1*(_xlfn._xlws.FILTER(OFFSET($O$15,0,$DO32,$B$8,1),OFFSET($M$15,0,0,$B$8,1))=FX$14))   /   SUM(OFFSET($BO$15,0,0,$B$14,1)) + $B$18/($B$19*$B$19*($DN32&lt;&gt;$DO32) + $B$19*($DN32=$DO32))</f>
        <v>3.7037037037037035E-4</v>
      </c>
      <c r="FY32" s="10" cm="1">
        <f t="array" aca="1" ref="FY32" ca="1">(1-$B$18)*SUMPRODUCT(OFFSET($BO$15,0,0,$B$14,1), 1*(_xlfn._xlws.FILTER(OFFSET($O$15,0,$DN32,$B$8,1),OFFSET($M$15,0,0,$B$8,1))=FY$13), 1*(_xlfn._xlws.FILTER(OFFSET($O$15,0,$DO32,$B$8,1),OFFSET($M$15,0,0,$B$8,1))=FY$14))   /   SUM(OFFSET($BO$15,0,0,$B$14,1)) + $B$18/($B$19*$B$19*($DN32&lt;&gt;$DO32) + $B$19*($DN32=$DO32))</f>
        <v>3.7037037037037035E-4</v>
      </c>
      <c r="FZ32" s="10" cm="1">
        <f t="array" aca="1" ref="FZ32" ca="1">(1-$B$18)*SUMPRODUCT(OFFSET($BO$15,0,0,$B$14,1), 1*(_xlfn._xlws.FILTER(OFFSET($O$15,0,$DN32,$B$8,1),OFFSET($M$15,0,0,$B$8,1))=FZ$13), 1*(_xlfn._xlws.FILTER(OFFSET($O$15,0,$DO32,$B$8,1),OFFSET($M$15,0,0,$B$8,1))=FZ$14))   /   SUM(OFFSET($BO$15,0,0,$B$14,1)) + $B$18/($B$19*$B$19*($DN32&lt;&gt;$DO32) + $B$19*($DN32=$DO32))</f>
        <v>3.7037037037037035E-4</v>
      </c>
      <c r="GA32" s="10" cm="1">
        <f t="array" aca="1" ref="GA32" ca="1">(1-$B$18)*SUMPRODUCT(OFFSET($BO$15,0,0,$B$14,1), 1*(_xlfn._xlws.FILTER(OFFSET($O$15,0,$DN32,$B$8,1),OFFSET($M$15,0,0,$B$8,1))=GA$13), 1*(_xlfn._xlws.FILTER(OFFSET($O$15,0,$DO32,$B$8,1),OFFSET($M$15,0,0,$B$8,1))=GA$14))   /   SUM(OFFSET($BO$15,0,0,$B$14,1)) + $B$18/($B$19*$B$19*($DN32&lt;&gt;$DO32) + $B$19*($DN32=$DO32))</f>
        <v>3.7037037037037035E-4</v>
      </c>
    </row>
    <row r="33" spans="4:183" x14ac:dyDescent="0.2">
      <c r="D33" s="10">
        <f ca="1"/>
        <v>19</v>
      </c>
      <c r="F33" s="10">
        <f ca="1"/>
        <v>0.1</v>
      </c>
      <c r="H33" s="10">
        <f ca="1"/>
        <v>21</v>
      </c>
      <c r="J33" cm="1">
        <f t="array" aca="1" ref="J33" ca="1">SUMPRODUCT((O33:AJ33=$O$11:$AJ$11)*(O$13:AJ$13=TRUE))  / COUNTIF(O$13:AJ$13,TRUE)</f>
        <v>0.8</v>
      </c>
      <c r="K33" t="b">
        <f t="shared" ca="1" si="4"/>
        <v>1</v>
      </c>
      <c r="L33" cm="1">
        <f t="array" aca="1" ref="L33" ca="1">SUM(
   1*(_xlfn._xlws.FILTER(OFFSET($O33,0,0,1,$B$9),OFFSET($O$13,0,0,1,$B$9)) = "-")
) / $B$13</f>
        <v>0.05</v>
      </c>
      <c r="M33" t="b">
        <f t="shared" ca="1" si="5"/>
        <v>1</v>
      </c>
      <c r="N33" s="2">
        <v>18</v>
      </c>
      <c r="O33" s="12" t="s">
        <v>11</v>
      </c>
      <c r="P33" s="9" t="s">
        <v>11</v>
      </c>
      <c r="Q33" s="9" t="s">
        <v>11</v>
      </c>
      <c r="R33" s="9" t="s">
        <v>11</v>
      </c>
      <c r="S33" s="9" t="s">
        <v>11</v>
      </c>
      <c r="T33" s="12" t="s">
        <v>11</v>
      </c>
      <c r="U33" s="9" t="s">
        <v>11</v>
      </c>
      <c r="V33" s="9" t="s">
        <v>11</v>
      </c>
      <c r="W33" s="9" t="s">
        <v>11</v>
      </c>
      <c r="X33" s="9" t="s">
        <v>11</v>
      </c>
      <c r="Y33" s="12" t="s">
        <v>5</v>
      </c>
      <c r="Z33" s="9" t="s">
        <v>2</v>
      </c>
      <c r="AA33" s="9" t="s">
        <v>1</v>
      </c>
      <c r="AB33" s="9" t="s">
        <v>1</v>
      </c>
      <c r="AC33" s="9" t="s">
        <v>2</v>
      </c>
      <c r="AD33" s="12" t="s">
        <v>2</v>
      </c>
      <c r="AE33" s="9" t="s">
        <v>5</v>
      </c>
      <c r="AF33" s="9" t="s">
        <v>5</v>
      </c>
      <c r="AG33" s="9" t="s">
        <v>3</v>
      </c>
      <c r="AH33" s="9" t="s">
        <v>3</v>
      </c>
      <c r="AI33" s="12" t="s">
        <v>11</v>
      </c>
      <c r="AJ33" s="9" t="s">
        <v>6</v>
      </c>
      <c r="AN33">
        <f t="shared" ca="1" si="6"/>
        <v>3</v>
      </c>
      <c r="AO33" s="14">
        <f t="shared" ca="1" si="7"/>
        <v>0.33333333333333331</v>
      </c>
      <c r="AP33" s="2">
        <f ca="1"/>
        <v>19</v>
      </c>
      <c r="AQ33" cm="1">
        <f t="array" aca="1" ref="AQ33" ca="1">IF($AP33=AQ$14, 1, SUMPRODUCT(
    --(OFFSET($O$13,0,0,1,$B$9)=TRUE),
    --(INDEX(OFFSET($O$15,0,0,$B$8,$B$9), 1+$AP33, 0) = INDEX(OFFSET($O$15,0,0,$B$8,$B$9), 1+AQ$14, 0))
) / $B$13)</f>
        <v>0.85</v>
      </c>
      <c r="AR33" cm="1">
        <f t="array" aca="1" ref="AR33" ca="1">IF($AP33=AR$14, 1, SUMPRODUCT(
    --(OFFSET($O$13,0,0,1,$B$9)=TRUE),
    --(INDEX(OFFSET($O$15,0,0,$B$8,$B$9), 1+$AP33, 0) = INDEX(OFFSET($O$15,0,0,$B$8,$B$9), 1+AR$14, 0))
) / $B$13)</f>
        <v>0.95</v>
      </c>
      <c r="AS33" cm="1">
        <f t="array" aca="1" ref="AS33" ca="1">IF($AP33=AS$14, 1, SUMPRODUCT(
    --(OFFSET($O$13,0,0,1,$B$9)=TRUE),
    --(INDEX(OFFSET($O$15,0,0,$B$8,$B$9), 1+$AP33, 0) = INDEX(OFFSET($O$15,0,0,$B$8,$B$9), 1+AS$14, 0))
) / $B$13)</f>
        <v>0.85</v>
      </c>
      <c r="AT33" cm="1">
        <f t="array" aca="1" ref="AT33" ca="1">IF($AP33=AT$14, 1, SUMPRODUCT(
    --(OFFSET($O$13,0,0,1,$B$9)=TRUE),
    --(INDEX(OFFSET($O$15,0,0,$B$8,$B$9), 1+$AP33, 0) = INDEX(OFFSET($O$15,0,0,$B$8,$B$9), 1+AT$14, 0))
) / $B$13)</f>
        <v>0.85</v>
      </c>
      <c r="AU33" cm="1">
        <f t="array" aca="1" ref="AU33" ca="1">IF($AP33=AU$14, 1, SUMPRODUCT(
    --(OFFSET($O$13,0,0,1,$B$9)=TRUE),
    --(INDEX(OFFSET($O$15,0,0,$B$8,$B$9), 1+$AP33, 0) = INDEX(OFFSET($O$15,0,0,$B$8,$B$9), 1+AU$14, 0))
) / $B$13)</f>
        <v>0.85</v>
      </c>
      <c r="AV33" cm="1">
        <f t="array" aca="1" ref="AV33" ca="1">IF($AP33=AV$14, 1, SUMPRODUCT(
    --(OFFSET($O$13,0,0,1,$B$9)=TRUE),
    --(INDEX(OFFSET($O$15,0,0,$B$8,$B$9), 1+$AP33, 0) = INDEX(OFFSET($O$15,0,0,$B$8,$B$9), 1+AV$14, 0))
) / $B$13)</f>
        <v>0.95</v>
      </c>
      <c r="AW33" cm="1">
        <f t="array" aca="1" ref="AW33" ca="1">IF($AP33=AW$14, 1, SUMPRODUCT(
    --(OFFSET($O$13,0,0,1,$B$9)=TRUE),
    --(INDEX(OFFSET($O$15,0,0,$B$8,$B$9), 1+$AP33, 0) = INDEX(OFFSET($O$15,0,0,$B$8,$B$9), 1+AW$14, 0))
) / $B$13)</f>
        <v>0.8</v>
      </c>
      <c r="AX33" cm="1">
        <f t="array" aca="1" ref="AX33" ca="1">IF($AP33=AX$14, 1, SUMPRODUCT(
    --(OFFSET($O$13,0,0,1,$B$9)=TRUE),
    --(INDEX(OFFSET($O$15,0,0,$B$8,$B$9), 1+$AP33, 0) = INDEX(OFFSET($O$15,0,0,$B$8,$B$9), 1+AX$14, 0))
) / $B$13)</f>
        <v>0.8</v>
      </c>
      <c r="AY33" cm="1">
        <f t="array" aca="1" ref="AY33" ca="1">IF($AP33=AY$14, 1, SUMPRODUCT(
    --(OFFSET($O$13,0,0,1,$B$9)=TRUE),
    --(INDEX(OFFSET($O$15,0,0,$B$8,$B$9), 1+$AP33, 0) = INDEX(OFFSET($O$15,0,0,$B$8,$B$9), 1+AY$14, 0))
) / $B$13)</f>
        <v>0.95</v>
      </c>
      <c r="AZ33" cm="1">
        <f t="array" aca="1" ref="AZ33" ca="1">IF($AP33=AZ$14, 1, SUMPRODUCT(
    --(OFFSET($O$13,0,0,1,$B$9)=TRUE),
    --(INDEX(OFFSET($O$15,0,0,$B$8,$B$9), 1+$AP33, 0) = INDEX(OFFSET($O$15,0,0,$B$8,$B$9), 1+AZ$14, 0))
) / $B$13)</f>
        <v>0.95</v>
      </c>
      <c r="BA33" cm="1">
        <f t="array" aca="1" ref="BA33" ca="1">IF($AP33=BA$14, 1, SUMPRODUCT(
    --(OFFSET($O$13,0,0,1,$B$9)=TRUE),
    --(INDEX(OFFSET($O$15,0,0,$B$8,$B$9), 1+$AP33, 0) = INDEX(OFFSET($O$15,0,0,$B$8,$B$9), 1+BA$14, 0))
) / $B$13)</f>
        <v>0.95</v>
      </c>
      <c r="BB33" cm="1">
        <f t="array" aca="1" ref="BB33" ca="1">IF($AP33=BB$14, 1, SUMPRODUCT(
    --(OFFSET($O$13,0,0,1,$B$9)=TRUE),
    --(INDEX(OFFSET($O$15,0,0,$B$8,$B$9), 1+$AP33, 0) = INDEX(OFFSET($O$15,0,0,$B$8,$B$9), 1+BB$14, 0))
) / $B$13)</f>
        <v>0.95</v>
      </c>
      <c r="BC33" cm="1">
        <f t="array" aca="1" ref="BC33" ca="1">IF($AP33=BC$14, 1, SUMPRODUCT(
    --(OFFSET($O$13,0,0,1,$B$9)=TRUE),
    --(INDEX(OFFSET($O$15,0,0,$B$8,$B$9), 1+$AP33, 0) = INDEX(OFFSET($O$15,0,0,$B$8,$B$9), 1+BC$14, 0))
) / $B$13)</f>
        <v>0.95</v>
      </c>
      <c r="BD33" cm="1">
        <f t="array" aca="1" ref="BD33" ca="1">IF($AP33=BD$14, 1, SUMPRODUCT(
    --(OFFSET($O$13,0,0,1,$B$9)=TRUE),
    --(INDEX(OFFSET($O$15,0,0,$B$8,$B$9), 1+$AP33, 0) = INDEX(OFFSET($O$15,0,0,$B$8,$B$9), 1+BD$14, 0))
) / $B$13)</f>
        <v>1</v>
      </c>
      <c r="BE33" cm="1">
        <f t="array" aca="1" ref="BE33" ca="1">IF($AP33=BE$14, 1, SUMPRODUCT(
    --(OFFSET($O$13,0,0,1,$B$9)=TRUE),
    --(INDEX(OFFSET($O$15,0,0,$B$8,$B$9), 1+$AP33, 0) = INDEX(OFFSET($O$15,0,0,$B$8,$B$9), 1+BE$14, 0))
) / $B$13)</f>
        <v>0.85</v>
      </c>
      <c r="BF33" cm="1">
        <f t="array" aca="1" ref="BF33" ca="1">IF($AP33=BF$14, 1, SUMPRODUCT(
    --(OFFSET($O$13,0,0,1,$B$9)=TRUE),
    --(INDEX(OFFSET($O$15,0,0,$B$8,$B$9), 1+$AP33, 0) = INDEX(OFFSET($O$15,0,0,$B$8,$B$9), 1+BF$14, 0))
) / $B$13)</f>
        <v>0.85</v>
      </c>
      <c r="BG33" cm="1">
        <f t="array" aca="1" ref="BG33" ca="1">IF($AP33=BG$14, 1, SUMPRODUCT(
    --(OFFSET($O$13,0,0,1,$B$9)=TRUE),
    --(INDEX(OFFSET($O$15,0,0,$B$8,$B$9), 1+$AP33, 0) = INDEX(OFFSET($O$15,0,0,$B$8,$B$9), 1+BG$14, 0))
) / $B$13)</f>
        <v>1</v>
      </c>
      <c r="BH33" cm="1">
        <f t="array" aca="1" ref="BH33" ca="1">IF($AP33=BH$14, 1, SUMPRODUCT(
    --(OFFSET($O$13,0,0,1,$B$9)=TRUE),
    --(INDEX(OFFSET($O$15,0,0,$B$8,$B$9), 1+$AP33, 0) = INDEX(OFFSET($O$15,0,0,$B$8,$B$9), 1+BH$14, 0))
) / $B$13)</f>
        <v>0.85</v>
      </c>
      <c r="BI33" cm="1">
        <f t="array" aca="1" ref="BI33" ca="1">IF($AP33=BI$14, 1, SUMPRODUCT(
    --(OFFSET($O$13,0,0,1,$B$9)=TRUE),
    --(INDEX(OFFSET($O$15,0,0,$B$8,$B$9), 1+$AP33, 0) = INDEX(OFFSET($O$15,0,0,$B$8,$B$9), 1+BI$14, 0))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
) / $B$13)</f>
        <v>0.8</v>
      </c>
      <c r="BN33">
        <f t="shared" ca="1" si="8"/>
        <v>10</v>
      </c>
      <c r="BO33" s="14">
        <f t="shared" ca="1" si="9"/>
        <v>0.1</v>
      </c>
      <c r="BP33" s="2">
        <f ca="1"/>
        <v>19</v>
      </c>
      <c r="BQ33" cm="1">
        <f t="array" aca="1" ref="BQ33" ca="1">IF($BP33=BQ$14, 1, SUMPRODUCT(
    --(OFFSET($O$9,0,0,1,$B$9)=TRUE),
    --(INDEX(OFFSET($O$15,0,0,$B$8,$B$9), 1+$BP33, 0) = INDEX(OFFSET($O$15,0,0,$B$8,$B$9), 1+BQ$14, 0))
) / $B$16)</f>
        <v>0.89473684210526316</v>
      </c>
      <c r="BR33" cm="1">
        <f t="array" aca="1" ref="BR33" ca="1">IF($BP33=BR$14, 1, SUMPRODUCT(
    --(OFFSET($O$9,0,0,1,$B$9)=TRUE),
    --(INDEX(OFFSET($O$15,0,0,$B$8,$B$9), 1+$BP33, 0) = INDEX(OFFSET($O$15,0,0,$B$8,$B$9), 1+BR$14, 0))
) / $B$16)</f>
        <v>1</v>
      </c>
      <c r="BS33" cm="1">
        <f t="array" aca="1" ref="BS33" ca="1">IF($BP33=BS$14, 1, SUMPRODUCT(
    --(OFFSET($O$9,0,0,1,$B$9)=TRUE),
    --(INDEX(OFFSET($O$15,0,0,$B$8,$B$9), 1+$BP33, 0) = INDEX(OFFSET($O$15,0,0,$B$8,$B$9), 1+BS$14, 0))
) / $B$16)</f>
        <v>0.89473684210526316</v>
      </c>
      <c r="BT33" cm="1">
        <f t="array" aca="1" ref="BT33" ca="1">IF($BP33=BT$14, 1, SUMPRODUCT(
    --(OFFSET($O$9,0,0,1,$B$9)=TRUE),
    --(INDEX(OFFSET($O$15,0,0,$B$8,$B$9), 1+$BP33, 0) = INDEX(OFFSET($O$15,0,0,$B$8,$B$9), 1+BT$14, 0))
) / $B$16)</f>
        <v>0.89473684210526316</v>
      </c>
      <c r="BU33" cm="1">
        <f t="array" aca="1" ref="BU33" ca="1">IF($BP33=BU$14, 1, SUMPRODUCT(
    --(OFFSET($O$9,0,0,1,$B$9)=TRUE),
    --(INDEX(OFFSET($O$15,0,0,$B$8,$B$9), 1+$BP33, 0) = INDEX(OFFSET($O$15,0,0,$B$8,$B$9), 1+BU$14, 0))
) / $B$16)</f>
        <v>0.89473684210526316</v>
      </c>
      <c r="BV33" cm="1">
        <f t="array" aca="1" ref="BV33" ca="1">IF($BP33=BV$14, 1, SUMPRODUCT(
    --(OFFSET($O$9,0,0,1,$B$9)=TRUE),
    --(INDEX(OFFSET($O$15,0,0,$B$8,$B$9), 1+$BP33, 0) = INDEX(OFFSET($O$15,0,0,$B$8,$B$9), 1+BV$14, 0))
) / $B$16)</f>
        <v>1</v>
      </c>
      <c r="BW33" cm="1">
        <f t="array" aca="1" ref="BW33" ca="1">IF($BP33=BW$14, 1, SUMPRODUCT(
    --(OFFSET($O$9,0,0,1,$B$9)=TRUE),
    --(INDEX(OFFSET($O$15,0,0,$B$8,$B$9), 1+$BP33, 0) = INDEX(OFFSET($O$15,0,0,$B$8,$B$9), 1+BW$14, 0))
) / $B$16)</f>
        <v>0.84210526315789469</v>
      </c>
      <c r="BX33" cm="1">
        <f t="array" aca="1" ref="BX33" ca="1">IF($BP33=BX$14, 1, SUMPRODUCT(
    --(OFFSET($O$9,0,0,1,$B$9)=TRUE),
    --(INDEX(OFFSET($O$15,0,0,$B$8,$B$9), 1+$BP33, 0) = INDEX(OFFSET($O$15,0,0,$B$8,$B$9), 1+BX$14, 0))
) / $B$16)</f>
        <v>0.84210526315789469</v>
      </c>
      <c r="BY33" cm="1">
        <f t="array" aca="1" ref="BY33" ca="1">IF($BP33=BY$14, 1, SUMPRODUCT(
    --(OFFSET($O$9,0,0,1,$B$9)=TRUE),
    --(INDEX(OFFSET($O$15,0,0,$B$8,$B$9), 1+$BP33, 0) = INDEX(OFFSET($O$15,0,0,$B$8,$B$9), 1+BY$14, 0))
) / $B$16)</f>
        <v>1</v>
      </c>
      <c r="BZ33" cm="1">
        <f t="array" aca="1" ref="BZ33" ca="1">IF($BP33=BZ$14, 1, SUMPRODUCT(
    --(OFFSET($O$9,0,0,1,$B$9)=TRUE),
    --(INDEX(OFFSET($O$15,0,0,$B$8,$B$9), 1+$BP33, 0) = INDEX(OFFSET($O$15,0,0,$B$8,$B$9), 1+BZ$14, 0))
) / $B$16)</f>
        <v>1</v>
      </c>
      <c r="CA33" cm="1">
        <f t="array" aca="1" ref="CA33" ca="1">IF($BP33=CA$14, 1, SUMPRODUCT(
    --(OFFSET($O$9,0,0,1,$B$9)=TRUE),
    --(INDEX(OFFSET($O$15,0,0,$B$8,$B$9), 1+$BP33, 0) = INDEX(OFFSET($O$15,0,0,$B$8,$B$9), 1+CA$14, 0))
) / $B$16)</f>
        <v>1</v>
      </c>
      <c r="CB33" cm="1">
        <f t="array" aca="1" ref="CB33" ca="1">IF($BP33=CB$14, 1, SUMPRODUCT(
    --(OFFSET($O$9,0,0,1,$B$9)=TRUE),
    --(INDEX(OFFSET($O$15,0,0,$B$8,$B$9), 1+$BP33, 0) = INDEX(OFFSET($O$15,0,0,$B$8,$B$9), 1+CB$14, 0))
) / $B$16)</f>
        <v>1</v>
      </c>
      <c r="CC33" cm="1">
        <f t="array" aca="1" ref="CC33" ca="1">IF($BP33=CC$14, 1, SUMPRODUCT(
    --(OFFSET($O$9,0,0,1,$B$9)=TRUE),
    --(INDEX(OFFSET($O$15,0,0,$B$8,$B$9), 1+$BP33, 0) = INDEX(OFFSET($O$15,0,0,$B$8,$B$9), 1+CC$14, 0))
) / $B$16)</f>
        <v>1</v>
      </c>
      <c r="CD33" cm="1">
        <f t="array" aca="1" ref="CD33" ca="1">IF($BP33=CD$14, 1, SUMPRODUCT(
    --(OFFSET($O$9,0,0,1,$B$9)=TRUE),
    --(INDEX(OFFSET($O$15,0,0,$B$8,$B$9), 1+$BP33, 0) = INDEX(OFFSET($O$15,0,0,$B$8,$B$9), 1+CD$14, 0))
) / $B$16)</f>
        <v>1</v>
      </c>
      <c r="CE33" cm="1">
        <f t="array" aca="1" ref="CE33" ca="1">IF($BP33=CE$14, 1, SUMPRODUCT(
    --(OFFSET($O$9,0,0,1,$B$9)=TRUE),
    --(INDEX(OFFSET($O$15,0,0,$B$8,$B$9), 1+$BP33, 0) = INDEX(OFFSET($O$15,0,0,$B$8,$B$9), 1+CE$14, 0))
) / $B$16)</f>
        <v>0.84210526315789469</v>
      </c>
      <c r="CF33" cm="1">
        <f t="array" aca="1" ref="CF33" ca="1">IF($BP33=CF$14, 1, SUMPRODUCT(
    --(OFFSET($O$9,0,0,1,$B$9)=TRUE),
    --(INDEX(OFFSET($O$15,0,0,$B$8,$B$9), 1+$BP33, 0) = INDEX(OFFSET($O$15,0,0,$B$8,$B$9), 1+CF$14, 0))
) / $B$16)</f>
        <v>0.84210526315789469</v>
      </c>
      <c r="CG33" cm="1">
        <f t="array" aca="1" ref="CG33" ca="1">IF($BP33=CG$14, 1, SUMPRODUCT(
    --(OFFSET($O$9,0,0,1,$B$9)=TRUE),
    --(INDEX(OFFSET($O$15,0,0,$B$8,$B$9), 1+$BP33, 0) = INDEX(OFFSET($O$15,0,0,$B$8,$B$9), 1+CG$14, 0))
) / $B$16)</f>
        <v>1</v>
      </c>
      <c r="CH33" cm="1">
        <f t="array" aca="1" ref="CH33" ca="1">IF($BP33=CH$14, 1, SUMPRODUCT(
    --(OFFSET($O$9,0,0,1,$B$9)=TRUE),
    --(INDEX(OFFSET($O$15,0,0,$B$8,$B$9), 1+$BP33, 0) = INDEX(OFFSET($O$15,0,0,$B$8,$B$9), 1+CH$14, 0))
) / $B$16)</f>
        <v>0.84210526315789469</v>
      </c>
      <c r="CI33" cm="1">
        <f t="array" aca="1" ref="CI33" ca="1">IF($BP33=CI$14, 1, SUMPRODUCT(
    --(OFFSET($O$9,0,0,1,$B$9)=TRUE),
    --(INDEX(OFFSET($O$15,0,0,$B$8,$B$9), 1+$BP33, 0) = INDEX(OFFSET($O$15,0,0,$B$8,$B$9), 1+CI$14, 0))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
) / $B$16)</f>
        <v>0.84210526315789469</v>
      </c>
      <c r="CP33">
        <f ca="1"/>
        <v>21</v>
      </c>
      <c r="CQ33" cm="1">
        <f t="array" aca="1" ref="CQ33" ca="1">(1-$B$18)*SUMPRODUCT(OFFSET($BO$15,0,0,$B$14,1), 1*(_xlfn._xlws.FILTER(OFFSET($O$15,0,$CP33,$B$8,1), OFFSET($M$15,0,0,$B$8,1))=CQ$14))   /   SUM(OFFSET($BO$15,0,0,$B$14,1)) + $B$18/$B$19</f>
        <v>3.3333333333333331E-3</v>
      </c>
      <c r="CR33" s="10" cm="1">
        <f t="array" aca="1" ref="CR33" ca="1">(1-$B$18)*SUMPRODUCT(OFFSET($BO$15,0,0,$B$14,1), 1*(_xlfn._xlws.FILTER(OFFSET($O$15,0,$CP33,$B$8,1), OFFSET($M$15,0,0,$B$8,1))=CR$14))   /   SUM(OFFSET($BO$15,0,0,$B$14,1)) + $B$18/$B$19</f>
        <v>3.3333333333333331E-3</v>
      </c>
      <c r="CS33" s="10" cm="1">
        <f t="array" aca="1" ref="CS33" ca="1">(1-$B$18)*SUMPRODUCT(OFFSET($BO$15,0,0,$B$14,1), 1*(_xlfn._xlws.FILTER(OFFSET($O$15,0,$CP33,$B$8,1), OFFSET($M$15,0,0,$B$8,1))=CS$14))   /   SUM(OFFSET($BO$15,0,0,$B$14,1)) + $B$18/$B$19</f>
        <v>3.3333333333333331E-3</v>
      </c>
      <c r="CT33" s="10" cm="1">
        <f t="array" aca="1" ref="CT33" ca="1">(1-$B$18)*SUMPRODUCT(OFFSET($BO$15,0,0,$B$14,1), 1*(_xlfn._xlws.FILTER(OFFSET($O$15,0,$CP33,$B$8,1), OFFSET($M$15,0,0,$B$8,1))=CT$14))   /   SUM(OFFSET($BO$15,0,0,$B$14,1)) + $B$18/$B$19</f>
        <v>3.3333333333333331E-3</v>
      </c>
      <c r="CU33" s="10" cm="1">
        <f t="array" aca="1" ref="CU33" ca="1">(1-$B$18)*SUMPRODUCT(OFFSET($BO$15,0,0,$B$14,1), 1*(_xlfn._xlws.FILTER(OFFSET($O$15,0,$CP33,$B$8,1), OFFSET($M$15,0,0,$B$8,1))=CU$14))   /   SUM(OFFSET($BO$15,0,0,$B$14,1)) + $B$18/$B$19</f>
        <v>3.3333333333333331E-3</v>
      </c>
      <c r="CV33" s="10" cm="1">
        <f t="array" aca="1" ref="CV33" ca="1">(1-$B$18)*SUMPRODUCT(OFFSET($BO$15,0,0,$B$14,1), 1*(_xlfn._xlws.FILTER(OFFSET($O$15,0,$CP33,$B$8,1), OFFSET($M$15,0,0,$B$8,1))=CV$14))   /   SUM(OFFSET($BO$15,0,0,$B$14,1)) + $B$18/$B$19</f>
        <v>0.24583333333333318</v>
      </c>
      <c r="CW33" s="10" cm="1">
        <f t="array" aca="1" ref="CW33" ca="1">(1-$B$18)*SUMPRODUCT(OFFSET($BO$15,0,0,$B$14,1), 1*(_xlfn._xlws.FILTER(OFFSET($O$15,0,$CP33,$B$8,1), OFFSET($M$15,0,0,$B$8,1))=CW$14))   /   SUM(OFFSET($BO$15,0,0,$B$14,1)) + $B$18/$B$19</f>
        <v>0.48833333333333312</v>
      </c>
      <c r="CX33" s="10" cm="1">
        <f t="array" aca="1" ref="CX33" ca="1">(1-$B$18)*SUMPRODUCT(OFFSET($BO$15,0,0,$B$14,1), 1*(_xlfn._xlws.FILTER(OFFSET($O$15,0,$CP33,$B$8,1), OFFSET($M$15,0,0,$B$8,1))=CX$14))   /   SUM(OFFSET($BO$15,0,0,$B$14,1)) + $B$18/$B$19</f>
        <v>0.24583333333333321</v>
      </c>
      <c r="CY33" s="10" cm="1">
        <f t="array" aca="1" ref="CY33" ca="1">(1-$B$18)*SUMPRODUCT(OFFSET($BO$15,0,0,$B$14,1), 1*(_xlfn._xlws.FILTER(OFFSET($O$15,0,$CP33,$B$8,1), OFFSET($M$15,0,0,$B$8,1))=CY$14))   /   SUM(OFFSET($BO$15,0,0,$B$14,1)) + $B$18/$B$19</f>
        <v>3.3333333333333331E-3</v>
      </c>
      <c r="DB33" s="10" cm="1">
        <f t="array" aca="1" ref="DB33" ca="1">SUM(OFFSET($CR33,0,0,1,$M$2)*LN(OFFSET($CR33,0,0,1,$M$2)/OFFSET($CR$11,0,0,1,$M$2)))+IF($CQ$11&gt;0,OFFSET($O$10,0,$CP33,1,1)*LN(OFFSET($O$10,0,$CP33,1,1)/$CQ$11),0)</f>
        <v>0.93757244367991488</v>
      </c>
      <c r="DC33">
        <f ca="1"/>
        <v>21</v>
      </c>
      <c r="DD33" s="10">
        <f t="shared" ca="1" si="11"/>
        <v>0.11767737994455678</v>
      </c>
      <c r="DE33" s="10">
        <f t="shared" ca="1" si="12"/>
        <v>0.11767737994455678</v>
      </c>
      <c r="DF33" s="10">
        <f t="shared" ca="1" si="13"/>
        <v>0.11767737994455678</v>
      </c>
      <c r="DG33" s="10">
        <f t="shared" ca="1" si="14"/>
        <v>0.11767737994455678</v>
      </c>
      <c r="DH33" s="10">
        <f t="shared" ca="1" si="15"/>
        <v>5.4189846965095406E-2</v>
      </c>
      <c r="DI33" s="10">
        <f t="shared" ca="1" si="16"/>
        <v>0.39090924844917097</v>
      </c>
      <c r="DJ33" s="10">
        <f t="shared" ca="1" si="17"/>
        <v>5.4189846965095365E-2</v>
      </c>
      <c r="DK33" s="10">
        <f t="shared" ca="1" si="18"/>
        <v>0.11767737994455678</v>
      </c>
      <c r="DN33" cm="1">
        <f t="array" aca="1" ref="DN33" ca="1">INDEX(_xlfn.ANCHORARRAY($CP$15), 1 + INT((ROWS($DO$15:$DO33) - 1) / ROWS(_xlfn.ANCHORARRAY($CP$15))))</f>
        <v>0</v>
      </c>
      <c r="DO33" cm="1">
        <f t="array" aca="1" ref="DO33" ca="1">INDEX(_xlfn.ANCHORARRAY($CP$15),1+MOD(ROWS($DO$15:$DO33)-1,ROWS(_xlfn.ANCHORARRAY($CP$15))))</f>
        <v>21</v>
      </c>
      <c r="DP33" s="10" cm="1">
        <f t="array" aca="1" ref="DP33" ca="1">(1-$B$18)*SUMPRODUCT(OFFSET($BO$15,0,0,$B$14,1), 1*(_xlfn._xlws.FILTER(OFFSET($O$15,0,$DN33,$B$8,1),OFFSET($M$15,0,0,$B$8,1))=DP$13), 1*(_xlfn._xlws.FILTER(OFFSET($O$15,0,$DO33,$B$8,1),OFFSET($M$15,0,0,$B$8,1))=DP$14))   /   SUM(OFFSET($BO$15,0,0,$B$14,1)) + $B$18/($B$19*$B$19*($DN33&lt;&gt;$DO33) + $B$19*($DN33=$DO33))</f>
        <v>3.7037037037037035E-4</v>
      </c>
      <c r="DQ33" s="10" cm="1">
        <f t="array" aca="1" ref="DQ33" ca="1">(1-$B$18)*SUMPRODUCT(OFFSET($BO$15,0,0,$B$14,1), 1*(_xlfn._xlws.FILTER(OFFSET($O$15,0,$DN33,$B$8,1),OFFSET($M$15,0,0,$B$8,1))=DQ$13), 1*(_xlfn._xlws.FILTER(OFFSET($O$15,0,$DO33,$B$8,1),OFFSET($M$15,0,0,$B$8,1))=DQ$14))   /   SUM(OFFSET($BO$15,0,0,$B$14,1)) + $B$18/($B$19*$B$19*($DN33&lt;&gt;$DO33) + $B$19*($DN33=$DO33))</f>
        <v>3.7037037037037035E-4</v>
      </c>
      <c r="DR33" s="10" cm="1">
        <f t="array" aca="1" ref="DR33" ca="1">(1-$B$18)*SUMPRODUCT(OFFSET($BO$15,0,0,$B$14,1), 1*(_xlfn._xlws.FILTER(OFFSET($O$15,0,$DN33,$B$8,1),OFFSET($M$15,0,0,$B$8,1))=DR$13), 1*(_xlfn._xlws.FILTER(OFFSET($O$15,0,$DO33,$B$8,1),OFFSET($M$15,0,0,$B$8,1))=DR$14))   /   SUM(OFFSET($BO$15,0,0,$B$14,1)) + $B$18/($B$19*$B$19*($DN33&lt;&gt;$DO33) + $B$19*($DN33=$DO33))</f>
        <v>3.7037037037037035E-4</v>
      </c>
      <c r="DS33" s="10" cm="1">
        <f t="array" aca="1" ref="DS33" ca="1">(1-$B$18)*SUMPRODUCT(OFFSET($BO$15,0,0,$B$14,1), 1*(_xlfn._xlws.FILTER(OFFSET($O$15,0,$DN33,$B$8,1),OFFSET($M$15,0,0,$B$8,1))=DS$13), 1*(_xlfn._xlws.FILTER(OFFSET($O$15,0,$DO33,$B$8,1),OFFSET($M$15,0,0,$B$8,1))=DS$14))   /   SUM(OFFSET($BO$15,0,0,$B$14,1)) + $B$18/($B$19*$B$19*($DN33&lt;&gt;$DO33) + $B$19*($DN33=$DO33))</f>
        <v>3.7037037037037035E-4</v>
      </c>
      <c r="DT33" s="10" cm="1">
        <f t="array" aca="1" ref="DT33" ca="1">(1-$B$18)*SUMPRODUCT(OFFSET($BO$15,0,0,$B$14,1), 1*(_xlfn._xlws.FILTER(OFFSET($O$15,0,$DN33,$B$8,1),OFFSET($M$15,0,0,$B$8,1))=DT$13), 1*(_xlfn._xlws.FILTER(OFFSET($O$15,0,$DO33,$B$8,1),OFFSET($M$15,0,0,$B$8,1))=DT$14))   /   SUM(OFFSET($BO$15,0,0,$B$14,1)) + $B$18/($B$19*$B$19*($DN33&lt;&gt;$DO33) + $B$19*($DN33=$DO33))</f>
        <v>3.7037037037037035E-4</v>
      </c>
      <c r="DU33" s="10" cm="1">
        <f t="array" aca="1" ref="DU33" ca="1">(1-$B$18)*SUMPRODUCT(OFFSET($BO$15,0,0,$B$14,1), 1*(_xlfn._xlws.FILTER(OFFSET($O$15,0,$DN33,$B$8,1),OFFSET($M$15,0,0,$B$8,1))=DU$13), 1*(_xlfn._xlws.FILTER(OFFSET($O$15,0,$DO33,$B$8,1),OFFSET($M$15,0,0,$B$8,1))=DU$14))   /   SUM(OFFSET($BO$15,0,0,$B$14,1)) + $B$18/($B$19*$B$19*($DN33&lt;&gt;$DO33) + $B$19*($DN33=$DO33))</f>
        <v>3.7037037037037035E-4</v>
      </c>
      <c r="DV33" s="10" cm="1">
        <f t="array" aca="1" ref="DV33" ca="1">(1-$B$18)*SUMPRODUCT(OFFSET($BO$15,0,0,$B$14,1), 1*(_xlfn._xlws.FILTER(OFFSET($O$15,0,$DN33,$B$8,1),OFFSET($M$15,0,0,$B$8,1))=DV$13), 1*(_xlfn._xlws.FILTER(OFFSET($O$15,0,$DO33,$B$8,1),OFFSET($M$15,0,0,$B$8,1))=DV$14))   /   SUM(OFFSET($BO$15,0,0,$B$14,1)) + $B$18/($B$19*$B$19*($DN33&lt;&gt;$DO33) + $B$19*($DN33=$DO33))</f>
        <v>3.7037037037037035E-4</v>
      </c>
      <c r="DW33" s="10" cm="1">
        <f t="array" aca="1" ref="DW33" ca="1">(1-$B$18)*SUMPRODUCT(OFFSET($BO$15,0,0,$B$14,1), 1*(_xlfn._xlws.FILTER(OFFSET($O$15,0,$DN33,$B$8,1),OFFSET($M$15,0,0,$B$8,1))=DW$13), 1*(_xlfn._xlws.FILTER(OFFSET($O$15,0,$DO33,$B$8,1),OFFSET($M$15,0,0,$B$8,1))=DW$14))   /   SUM(OFFSET($BO$15,0,0,$B$14,1)) + $B$18/($B$19*$B$19*($DN33&lt;&gt;$DO33) + $B$19*($DN33=$DO33))</f>
        <v>3.7037037037037035E-4</v>
      </c>
      <c r="DX33" s="10" cm="1">
        <f t="array" aca="1" ref="DX33" ca="1">(1-$B$18)*SUMPRODUCT(OFFSET($BO$15,0,0,$B$14,1), 1*(_xlfn._xlws.FILTER(OFFSET($O$15,0,$DN33,$B$8,1),OFFSET($M$15,0,0,$B$8,1))=DX$13), 1*(_xlfn._xlws.FILTER(OFFSET($O$15,0,$DO33,$B$8,1),OFFSET($M$15,0,0,$B$8,1))=DX$14))   /   SUM(OFFSET($BO$15,0,0,$B$14,1)) + $B$18/($B$19*$B$19*($DN33&lt;&gt;$DO33) + $B$19*($DN33=$DO33))</f>
        <v>3.7037037037037035E-4</v>
      </c>
      <c r="DY33" s="10" cm="1">
        <f t="array" aca="1" ref="DY33" ca="1">(1-$B$18)*SUMPRODUCT(OFFSET($BO$15,0,0,$B$14,1), 1*(_xlfn._xlws.FILTER(OFFSET($O$15,0,$DN33,$B$8,1),OFFSET($M$15,0,0,$B$8,1))=DY$13), 1*(_xlfn._xlws.FILTER(OFFSET($O$15,0,$DO33,$B$8,1),OFFSET($M$15,0,0,$B$8,1))=DY$14))   /   SUM(OFFSET($BO$15,0,0,$B$14,1)) + $B$18/($B$19*$B$19*($DN33&lt;&gt;$DO33) + $B$19*($DN33=$DO33))</f>
        <v>3.7037037037037035E-4</v>
      </c>
      <c r="DZ33" s="10" cm="1">
        <f t="array" aca="1" ref="DZ33" ca="1">(1-$B$18)*SUMPRODUCT(OFFSET($BO$15,0,0,$B$14,1), 1*(_xlfn._xlws.FILTER(OFFSET($O$15,0,$DN33,$B$8,1),OFFSET($M$15,0,0,$B$8,1))=DZ$13), 1*(_xlfn._xlws.FILTER(OFFSET($O$15,0,$DO33,$B$8,1),OFFSET($M$15,0,0,$B$8,1))=DZ$14))   /   SUM(OFFSET($BO$15,0,0,$B$14,1)) + $B$18/($B$19*$B$19*($DN33&lt;&gt;$DO33) + $B$19*($DN33=$DO33))</f>
        <v>3.7037037037037035E-4</v>
      </c>
      <c r="EA33" s="10" cm="1">
        <f t="array" aca="1" ref="EA33" ca="1">(1-$B$18)*SUMPRODUCT(OFFSET($BO$15,0,0,$B$14,1), 1*(_xlfn._xlws.FILTER(OFFSET($O$15,0,$DN33,$B$8,1),OFFSET($M$15,0,0,$B$8,1))=EA$13), 1*(_xlfn._xlws.FILTER(OFFSET($O$15,0,$DO33,$B$8,1),OFFSET($M$15,0,0,$B$8,1))=EA$14))   /   SUM(OFFSET($BO$15,0,0,$B$14,1)) + $B$18/($B$19*$B$19*($DN33&lt;&gt;$DO33) + $B$19*($DN33=$DO33))</f>
        <v>3.7037037037037035E-4</v>
      </c>
      <c r="EB33" s="10" cm="1">
        <f t="array" aca="1" ref="EB33" ca="1">(1-$B$18)*SUMPRODUCT(OFFSET($BO$15,0,0,$B$14,1), 1*(_xlfn._xlws.FILTER(OFFSET($O$15,0,$DN33,$B$8,1),OFFSET($M$15,0,0,$B$8,1))=EB$13), 1*(_xlfn._xlws.FILTER(OFFSET($O$15,0,$DO33,$B$8,1),OFFSET($M$15,0,0,$B$8,1))=EB$14))   /   SUM(OFFSET($BO$15,0,0,$B$14,1)) + $B$18/($B$19*$B$19*($DN33&lt;&gt;$DO33) + $B$19*($DN33=$DO33))</f>
        <v>3.7037037037037035E-4</v>
      </c>
      <c r="EC33" s="10" cm="1">
        <f t="array" aca="1" ref="EC33" ca="1">(1-$B$18)*SUMPRODUCT(OFFSET($BO$15,0,0,$B$14,1), 1*(_xlfn._xlws.FILTER(OFFSET($O$15,0,$DN33,$B$8,1),OFFSET($M$15,0,0,$B$8,1))=EC$13), 1*(_xlfn._xlws.FILTER(OFFSET($O$15,0,$DO33,$B$8,1),OFFSET($M$15,0,0,$B$8,1))=EC$14))   /   SUM(OFFSET($BO$15,0,0,$B$14,1)) + $B$18/($B$19*$B$19*($DN33&lt;&gt;$DO33) + $B$19*($DN33=$DO33))</f>
        <v>3.7037037037037035E-4</v>
      </c>
      <c r="ED33" s="10" cm="1">
        <f t="array" aca="1" ref="ED33" ca="1">(1-$B$18)*SUMPRODUCT(OFFSET($BO$15,0,0,$B$14,1), 1*(_xlfn._xlws.FILTER(OFFSET($O$15,0,$DN33,$B$8,1),OFFSET($M$15,0,0,$B$8,1))=ED$13), 1*(_xlfn._xlws.FILTER(OFFSET($O$15,0,$DO33,$B$8,1),OFFSET($M$15,0,0,$B$8,1))=ED$14))   /   SUM(OFFSET($BO$15,0,0,$B$14,1)) + $B$18/($B$19*$B$19*($DN33&lt;&gt;$DO33) + $B$19*($DN33=$DO33))</f>
        <v>3.7037037037037035E-4</v>
      </c>
      <c r="EE33" s="10" cm="1">
        <f t="array" aca="1" ref="EE33" ca="1">(1-$B$18)*SUMPRODUCT(OFFSET($BO$15,0,0,$B$14,1), 1*(_xlfn._xlws.FILTER(OFFSET($O$15,0,$DN33,$B$8,1),OFFSET($M$15,0,0,$B$8,1))=EE$13), 1*(_xlfn._xlws.FILTER(OFFSET($O$15,0,$DO33,$B$8,1),OFFSET($M$15,0,0,$B$8,1))=EE$14))   /   SUM(OFFSET($BO$15,0,0,$B$14,1)) + $B$18/($B$19*$B$19*($DN33&lt;&gt;$DO33) + $B$19*($DN33=$DO33))</f>
        <v>3.7037037037037035E-4</v>
      </c>
      <c r="EF33" s="10" cm="1">
        <f t="array" aca="1" ref="EF33" ca="1">(1-$B$18)*SUMPRODUCT(OFFSET($BO$15,0,0,$B$14,1), 1*(_xlfn._xlws.FILTER(OFFSET($O$15,0,$DN33,$B$8,1),OFFSET($M$15,0,0,$B$8,1))=EF$13), 1*(_xlfn._xlws.FILTER(OFFSET($O$15,0,$DO33,$B$8,1),OFFSET($M$15,0,0,$B$8,1))=EF$14))   /   SUM(OFFSET($BO$15,0,0,$B$14,1)) + $B$18/($B$19*$B$19*($DN33&lt;&gt;$DO33) + $B$19*($DN33=$DO33))</f>
        <v>3.7037037037037035E-4</v>
      </c>
      <c r="EG33" s="10" cm="1">
        <f t="array" aca="1" ref="EG33" ca="1">(1-$B$18)*SUMPRODUCT(OFFSET($BO$15,0,0,$B$14,1), 1*(_xlfn._xlws.FILTER(OFFSET($O$15,0,$DN33,$B$8,1),OFFSET($M$15,0,0,$B$8,1))=EG$13), 1*(_xlfn._xlws.FILTER(OFFSET($O$15,0,$DO33,$B$8,1),OFFSET($M$15,0,0,$B$8,1))=EG$14))   /   SUM(OFFSET($BO$15,0,0,$B$14,1)) + $B$18/($B$19*$B$19*($DN33&lt;&gt;$DO33) + $B$19*($DN33=$DO33))</f>
        <v>3.7037037037037035E-4</v>
      </c>
      <c r="EH33" s="10" cm="1">
        <f t="array" aca="1" ref="EH33" ca="1">(1-$B$18)*SUMPRODUCT(OFFSET($BO$15,0,0,$B$14,1), 1*(_xlfn._xlws.FILTER(OFFSET($O$15,0,$DN33,$B$8,1),OFFSET($M$15,0,0,$B$8,1))=EH$13), 1*(_xlfn._xlws.FILTER(OFFSET($O$15,0,$DO33,$B$8,1),OFFSET($M$15,0,0,$B$8,1))=EH$14))   /   SUM(OFFSET($BO$15,0,0,$B$14,1)) + $B$18/($B$19*$B$19*($DN33&lt;&gt;$DO33) + $B$19*($DN33=$DO33))</f>
        <v>3.7037037037037035E-4</v>
      </c>
      <c r="EI33" s="10" cm="1">
        <f t="array" aca="1" ref="EI33" ca="1">(1-$B$18)*SUMPRODUCT(OFFSET($BO$15,0,0,$B$14,1), 1*(_xlfn._xlws.FILTER(OFFSET($O$15,0,$DN33,$B$8,1),OFFSET($M$15,0,0,$B$8,1))=EI$13), 1*(_xlfn._xlws.FILTER(OFFSET($O$15,0,$DO33,$B$8,1),OFFSET($M$15,0,0,$B$8,1))=EI$14))   /   SUM(OFFSET($BO$15,0,0,$B$14,1)) + $B$18/($B$19*$B$19*($DN33&lt;&gt;$DO33) + $B$19*($DN33=$DO33))</f>
        <v>3.7037037037037035E-4</v>
      </c>
      <c r="EJ33" s="10" cm="1">
        <f t="array" aca="1" ref="EJ33" ca="1">(1-$B$18)*SUMPRODUCT(OFFSET($BO$15,0,0,$B$14,1), 1*(_xlfn._xlws.FILTER(OFFSET($O$15,0,$DN33,$B$8,1),OFFSET($M$15,0,0,$B$8,1))=EJ$13), 1*(_xlfn._xlws.FILTER(OFFSET($O$15,0,$DO33,$B$8,1),OFFSET($M$15,0,0,$B$8,1))=EJ$14))   /   SUM(OFFSET($BO$15,0,0,$B$14,1)) + $B$18/($B$19*$B$19*($DN33&lt;&gt;$DO33) + $B$19*($DN33=$DO33))</f>
        <v>3.7037037037037035E-4</v>
      </c>
      <c r="EK33" s="10" cm="1">
        <f t="array" aca="1" ref="EK33" ca="1">(1-$B$18)*SUMPRODUCT(OFFSET($BO$15,0,0,$B$14,1), 1*(_xlfn._xlws.FILTER(OFFSET($O$15,0,$DN33,$B$8,1),OFFSET($M$15,0,0,$B$8,1))=EK$13), 1*(_xlfn._xlws.FILTER(OFFSET($O$15,0,$DO33,$B$8,1),OFFSET($M$15,0,0,$B$8,1))=EK$14))   /   SUM(OFFSET($BO$15,0,0,$B$14,1)) + $B$18/($B$19*$B$19*($DN33&lt;&gt;$DO33) + $B$19*($DN33=$DO33))</f>
        <v>3.7037037037037035E-4</v>
      </c>
      <c r="EL33" s="10" cm="1">
        <f t="array" aca="1" ref="EL33" ca="1">(1-$B$18)*SUMPRODUCT(OFFSET($BO$15,0,0,$B$14,1), 1*(_xlfn._xlws.FILTER(OFFSET($O$15,0,$DN33,$B$8,1),OFFSET($M$15,0,0,$B$8,1))=EL$13), 1*(_xlfn._xlws.FILTER(OFFSET($O$15,0,$DO33,$B$8,1),OFFSET($M$15,0,0,$B$8,1))=EL$14))   /   SUM(OFFSET($BO$15,0,0,$B$14,1)) + $B$18/($B$19*$B$19*($DN33&lt;&gt;$DO33) + $B$19*($DN33=$DO33))</f>
        <v>3.7037037037037035E-4</v>
      </c>
      <c r="EM33" s="10" cm="1">
        <f t="array" aca="1" ref="EM33" ca="1">(1-$B$18)*SUMPRODUCT(OFFSET($BO$15,0,0,$B$14,1), 1*(_xlfn._xlws.FILTER(OFFSET($O$15,0,$DN33,$B$8,1),OFFSET($M$15,0,0,$B$8,1))=EM$13), 1*(_xlfn._xlws.FILTER(OFFSET($O$15,0,$DO33,$B$8,1),OFFSET($M$15,0,0,$B$8,1))=EM$14))   /   SUM(OFFSET($BO$15,0,0,$B$14,1)) + $B$18/($B$19*$B$19*($DN33&lt;&gt;$DO33) + $B$19*($DN33=$DO33))</f>
        <v>3.7037037037037035E-4</v>
      </c>
      <c r="EN33" s="10" cm="1">
        <f t="array" aca="1" ref="EN33" ca="1">(1-$B$18)*SUMPRODUCT(OFFSET($BO$15,0,0,$B$14,1), 1*(_xlfn._xlws.FILTER(OFFSET($O$15,0,$DN33,$B$8,1),OFFSET($M$15,0,0,$B$8,1))=EN$13), 1*(_xlfn._xlws.FILTER(OFFSET($O$15,0,$DO33,$B$8,1),OFFSET($M$15,0,0,$B$8,1))=EN$14))   /   SUM(OFFSET($BO$15,0,0,$B$14,1)) + $B$18/($B$19*$B$19*($DN33&lt;&gt;$DO33) + $B$19*($DN33=$DO33))</f>
        <v>3.7037037037037035E-4</v>
      </c>
      <c r="EO33" s="10" cm="1">
        <f t="array" aca="1" ref="EO33" ca="1">(1-$B$18)*SUMPRODUCT(OFFSET($BO$15,0,0,$B$14,1), 1*(_xlfn._xlws.FILTER(OFFSET($O$15,0,$DN33,$B$8,1),OFFSET($M$15,0,0,$B$8,1))=EO$13), 1*(_xlfn._xlws.FILTER(OFFSET($O$15,0,$DO33,$B$8,1),OFFSET($M$15,0,0,$B$8,1))=EO$14))   /   SUM(OFFSET($BO$15,0,0,$B$14,1)) + $B$18/($B$19*$B$19*($DN33&lt;&gt;$DO33) + $B$19*($DN33=$DO33))</f>
        <v>3.7037037037037035E-4</v>
      </c>
      <c r="EP33" s="10" cm="1">
        <f t="array" aca="1" ref="EP33" ca="1">(1-$B$18)*SUMPRODUCT(OFFSET($BO$15,0,0,$B$14,1), 1*(_xlfn._xlws.FILTER(OFFSET($O$15,0,$DN33,$B$8,1),OFFSET($M$15,0,0,$B$8,1))=EP$13), 1*(_xlfn._xlws.FILTER(OFFSET($O$15,0,$DO33,$B$8,1),OFFSET($M$15,0,0,$B$8,1))=EP$14))   /   SUM(OFFSET($BO$15,0,0,$B$14,1)) + $B$18/($B$19*$B$19*($DN33&lt;&gt;$DO33) + $B$19*($DN33=$DO33))</f>
        <v>3.7037037037037035E-4</v>
      </c>
      <c r="EQ33" s="10" cm="1">
        <f t="array" aca="1" ref="EQ33" ca="1">(1-$B$18)*SUMPRODUCT(OFFSET($BO$15,0,0,$B$14,1), 1*(_xlfn._xlws.FILTER(OFFSET($O$15,0,$DN33,$B$8,1),OFFSET($M$15,0,0,$B$8,1))=EQ$13), 1*(_xlfn._xlws.FILTER(OFFSET($O$15,0,$DO33,$B$8,1),OFFSET($M$15,0,0,$B$8,1))=EQ$14))   /   SUM(OFFSET($BO$15,0,0,$B$14,1)) + $B$18/($B$19*$B$19*($DN33&lt;&gt;$DO33) + $B$19*($DN33=$DO33))</f>
        <v>3.7037037037037035E-4</v>
      </c>
      <c r="ER33" s="10" cm="1">
        <f t="array" aca="1" ref="ER33" ca="1">(1-$B$18)*SUMPRODUCT(OFFSET($BO$15,0,0,$B$14,1), 1*(_xlfn._xlws.FILTER(OFFSET($O$15,0,$DN33,$B$8,1),OFFSET($M$15,0,0,$B$8,1))=ER$13), 1*(_xlfn._xlws.FILTER(OFFSET($O$15,0,$DO33,$B$8,1),OFFSET($M$15,0,0,$B$8,1))=ER$14))   /   SUM(OFFSET($BO$15,0,0,$B$14,1)) + $B$18/($B$19*$B$19*($DN33&lt;&gt;$DO33) + $B$19*($DN33=$DO33))</f>
        <v>3.7037037037037035E-4</v>
      </c>
      <c r="ES33" s="10" cm="1">
        <f t="array" aca="1" ref="ES33" ca="1">(1-$B$18)*SUMPRODUCT(OFFSET($BO$15,0,0,$B$14,1), 1*(_xlfn._xlws.FILTER(OFFSET($O$15,0,$DN33,$B$8,1),OFFSET($M$15,0,0,$B$8,1))=ES$13), 1*(_xlfn._xlws.FILTER(OFFSET($O$15,0,$DO33,$B$8,1),OFFSET($M$15,0,0,$B$8,1))=ES$14))   /   SUM(OFFSET($BO$15,0,0,$B$14,1)) + $B$18/($B$19*$B$19*($DN33&lt;&gt;$DO33) + $B$19*($DN33=$DO33))</f>
        <v>3.7037037037037035E-4</v>
      </c>
      <c r="ET33" s="10" cm="1">
        <f t="array" aca="1" ref="ET33" ca="1">(1-$B$18)*SUMPRODUCT(OFFSET($BO$15,0,0,$B$14,1), 1*(_xlfn._xlws.FILTER(OFFSET($O$15,0,$DN33,$B$8,1),OFFSET($M$15,0,0,$B$8,1))=ET$13), 1*(_xlfn._xlws.FILTER(OFFSET($O$15,0,$DO33,$B$8,1),OFFSET($M$15,0,0,$B$8,1))=ET$14))   /   SUM(OFFSET($BO$15,0,0,$B$14,1)) + $B$18/($B$19*$B$19*($DN33&lt;&gt;$DO33) + $B$19*($DN33=$DO33))</f>
        <v>3.7037037037037035E-4</v>
      </c>
      <c r="EU33" s="10" cm="1">
        <f t="array" aca="1" ref="EU33" ca="1">(1-$B$18)*SUMPRODUCT(OFFSET($BO$15,0,0,$B$14,1), 1*(_xlfn._xlws.FILTER(OFFSET($O$15,0,$DN33,$B$8,1),OFFSET($M$15,0,0,$B$8,1))=EU$13), 1*(_xlfn._xlws.FILTER(OFFSET($O$15,0,$DO33,$B$8,1),OFFSET($M$15,0,0,$B$8,1))=EU$14))   /   SUM(OFFSET($BO$15,0,0,$B$14,1)) + $B$18/($B$19*$B$19*($DN33&lt;&gt;$DO33) + $B$19*($DN33=$DO33))</f>
        <v>3.7037037037037035E-4</v>
      </c>
      <c r="EV33" s="10" cm="1">
        <f t="array" aca="1" ref="EV33" ca="1">(1-$B$18)*SUMPRODUCT(OFFSET($BO$15,0,0,$B$14,1), 1*(_xlfn._xlws.FILTER(OFFSET($O$15,0,$DN33,$B$8,1),OFFSET($M$15,0,0,$B$8,1))=EV$13), 1*(_xlfn._xlws.FILTER(OFFSET($O$15,0,$DO33,$B$8,1),OFFSET($M$15,0,0,$B$8,1))=EV$14))   /   SUM(OFFSET($BO$15,0,0,$B$14,1)) + $B$18/($B$19*$B$19*($DN33&lt;&gt;$DO33) + $B$19*($DN33=$DO33))</f>
        <v>3.7037037037037035E-4</v>
      </c>
      <c r="EW33" s="10" cm="1">
        <f t="array" aca="1" ref="EW33" ca="1">(1-$B$18)*SUMPRODUCT(OFFSET($BO$15,0,0,$B$14,1), 1*(_xlfn._xlws.FILTER(OFFSET($O$15,0,$DN33,$B$8,1),OFFSET($M$15,0,0,$B$8,1))=EW$13), 1*(_xlfn._xlws.FILTER(OFFSET($O$15,0,$DO33,$B$8,1),OFFSET($M$15,0,0,$B$8,1))=EW$14))   /   SUM(OFFSET($BO$15,0,0,$B$14,1)) + $B$18/($B$19*$B$19*($DN33&lt;&gt;$DO33) + $B$19*($DN33=$DO33))</f>
        <v>3.7037037037037035E-4</v>
      </c>
      <c r="EX33" s="10" cm="1">
        <f t="array" aca="1" ref="EX33" ca="1">(1-$B$18)*SUMPRODUCT(OFFSET($BO$15,0,0,$B$14,1), 1*(_xlfn._xlws.FILTER(OFFSET($O$15,0,$DN33,$B$8,1),OFFSET($M$15,0,0,$B$8,1))=EX$13), 1*(_xlfn._xlws.FILTER(OFFSET($O$15,0,$DO33,$B$8,1),OFFSET($M$15,0,0,$B$8,1))=EX$14))   /   SUM(OFFSET($BO$15,0,0,$B$14,1)) + $B$18/($B$19*$B$19*($DN33&lt;&gt;$DO33) + $B$19*($DN33=$DO33))</f>
        <v>3.7037037037037035E-4</v>
      </c>
      <c r="EY33" s="10" cm="1">
        <f t="array" aca="1" ref="EY33" ca="1">(1-$B$18)*SUMPRODUCT(OFFSET($BO$15,0,0,$B$14,1), 1*(_xlfn._xlws.FILTER(OFFSET($O$15,0,$DN33,$B$8,1),OFFSET($M$15,0,0,$B$8,1))=EY$13), 1*(_xlfn._xlws.FILTER(OFFSET($O$15,0,$DO33,$B$8,1),OFFSET($M$15,0,0,$B$8,1))=EY$14))   /   SUM(OFFSET($BO$15,0,0,$B$14,1)) + $B$18/($B$19*$B$19*($DN33&lt;&gt;$DO33) + $B$19*($DN33=$DO33))</f>
        <v>3.7037037037037035E-4</v>
      </c>
      <c r="EZ33" s="10" cm="1">
        <f t="array" aca="1" ref="EZ33" ca="1">(1-$B$18)*SUMPRODUCT(OFFSET($BO$15,0,0,$B$14,1), 1*(_xlfn._xlws.FILTER(OFFSET($O$15,0,$DN33,$B$8,1),OFFSET($M$15,0,0,$B$8,1))=EZ$13), 1*(_xlfn._xlws.FILTER(OFFSET($O$15,0,$DO33,$B$8,1),OFFSET($M$15,0,0,$B$8,1))=EZ$14))   /   SUM(OFFSET($BO$15,0,0,$B$14,1)) + $B$18/($B$19*$B$19*($DN33&lt;&gt;$DO33) + $B$19*($DN33=$DO33))</f>
        <v>3.7037037037037035E-4</v>
      </c>
      <c r="FA33" s="10" cm="1">
        <f t="array" aca="1" ref="FA33" ca="1">(1-$B$18)*SUMPRODUCT(OFFSET($BO$15,0,0,$B$14,1), 1*(_xlfn._xlws.FILTER(OFFSET($O$15,0,$DN33,$B$8,1),OFFSET($M$15,0,0,$B$8,1))=FA$13), 1*(_xlfn._xlws.FILTER(OFFSET($O$15,0,$DO33,$B$8,1),OFFSET($M$15,0,0,$B$8,1))=FA$14))   /   SUM(OFFSET($BO$15,0,0,$B$14,1)) + $B$18/($B$19*$B$19*($DN33&lt;&gt;$DO33) + $B$19*($DN33=$DO33))</f>
        <v>3.7037037037037035E-4</v>
      </c>
      <c r="FB33" s="10" cm="1">
        <f t="array" aca="1" ref="FB33" ca="1">(1-$B$18)*SUMPRODUCT(OFFSET($BO$15,0,0,$B$14,1), 1*(_xlfn._xlws.FILTER(OFFSET($O$15,0,$DN33,$B$8,1),OFFSET($M$15,0,0,$B$8,1))=FB$13), 1*(_xlfn._xlws.FILTER(OFFSET($O$15,0,$DO33,$B$8,1),OFFSET($M$15,0,0,$B$8,1))=FB$14))   /   SUM(OFFSET($BO$15,0,0,$B$14,1)) + $B$18/($B$19*$B$19*($DN33&lt;&gt;$DO33) + $B$19*($DN33=$DO33))</f>
        <v>3.7037037037037035E-4</v>
      </c>
      <c r="FC33" s="10" cm="1">
        <f t="array" aca="1" ref="FC33" ca="1">(1-$B$18)*SUMPRODUCT(OFFSET($BO$15,0,0,$B$14,1), 1*(_xlfn._xlws.FILTER(OFFSET($O$15,0,$DN33,$B$8,1),OFFSET($M$15,0,0,$B$8,1))=FC$13), 1*(_xlfn._xlws.FILTER(OFFSET($O$15,0,$DO33,$B$8,1),OFFSET($M$15,0,0,$B$8,1))=FC$14))   /   SUM(OFFSET($BO$15,0,0,$B$14,1)) + $B$18/($B$19*$B$19*($DN33&lt;&gt;$DO33) + $B$19*($DN33=$DO33))</f>
        <v>3.7037037037037035E-4</v>
      </c>
      <c r="FD33" s="10" cm="1">
        <f t="array" aca="1" ref="FD33" ca="1">(1-$B$18)*SUMPRODUCT(OFFSET($BO$15,0,0,$B$14,1), 1*(_xlfn._xlws.FILTER(OFFSET($O$15,0,$DN33,$B$8,1),OFFSET($M$15,0,0,$B$8,1))=FD$13), 1*(_xlfn._xlws.FILTER(OFFSET($O$15,0,$DO33,$B$8,1),OFFSET($M$15,0,0,$B$8,1))=FD$14))   /   SUM(OFFSET($BO$15,0,0,$B$14,1)) + $B$18/($B$19*$B$19*($DN33&lt;&gt;$DO33) + $B$19*($DN33=$DO33))</f>
        <v>3.7037037037037035E-4</v>
      </c>
      <c r="FE33" s="10" cm="1">
        <f t="array" aca="1" ref="FE33" ca="1">(1-$B$18)*SUMPRODUCT(OFFSET($BO$15,0,0,$B$14,1), 1*(_xlfn._xlws.FILTER(OFFSET($O$15,0,$DN33,$B$8,1),OFFSET($M$15,0,0,$B$8,1))=FE$13), 1*(_xlfn._xlws.FILTER(OFFSET($O$15,0,$DO33,$B$8,1),OFFSET($M$15,0,0,$B$8,1))=FE$14))   /   SUM(OFFSET($BO$15,0,0,$B$14,1)) + $B$18/($B$19*$B$19*($DN33&lt;&gt;$DO33) + $B$19*($DN33=$DO33))</f>
        <v>3.7037037037037035E-4</v>
      </c>
      <c r="FF33" s="10" cm="1">
        <f t="array" aca="1" ref="FF33" ca="1">(1-$B$18)*SUMPRODUCT(OFFSET($BO$15,0,0,$B$14,1), 1*(_xlfn._xlws.FILTER(OFFSET($O$15,0,$DN33,$B$8,1),OFFSET($M$15,0,0,$B$8,1))=FF$13), 1*(_xlfn._xlws.FILTER(OFFSET($O$15,0,$DO33,$B$8,1),OFFSET($M$15,0,0,$B$8,1))=FF$14))   /   SUM(OFFSET($BO$15,0,0,$B$14,1)) + $B$18/($B$19*$B$19*($DN33&lt;&gt;$DO33) + $B$19*($DN33=$DO33))</f>
        <v>3.7037037037037035E-4</v>
      </c>
      <c r="FG33" s="10" cm="1">
        <f t="array" aca="1" ref="FG33" ca="1">(1-$B$18)*SUMPRODUCT(OFFSET($BO$15,0,0,$B$14,1), 1*(_xlfn._xlws.FILTER(OFFSET($O$15,0,$DN33,$B$8,1),OFFSET($M$15,0,0,$B$8,1))=FG$13), 1*(_xlfn._xlws.FILTER(OFFSET($O$15,0,$DO33,$B$8,1),OFFSET($M$15,0,0,$B$8,1))=FG$14))   /   SUM(OFFSET($BO$15,0,0,$B$14,1)) + $B$18/($B$19*$B$19*($DN33&lt;&gt;$DO33) + $B$19*($DN33=$DO33))</f>
        <v>3.7037037037037035E-4</v>
      </c>
      <c r="FH33" s="10" cm="1">
        <f t="array" aca="1" ref="FH33" ca="1">(1-$B$18)*SUMPRODUCT(OFFSET($BO$15,0,0,$B$14,1), 1*(_xlfn._xlws.FILTER(OFFSET($O$15,0,$DN33,$B$8,1),OFFSET($M$15,0,0,$B$8,1))=FH$13), 1*(_xlfn._xlws.FILTER(OFFSET($O$15,0,$DO33,$B$8,1),OFFSET($M$15,0,0,$B$8,1))=FH$14))   /   SUM(OFFSET($BO$15,0,0,$B$14,1)) + $B$18/($B$19*$B$19*($DN33&lt;&gt;$DO33) + $B$19*($DN33=$DO33))</f>
        <v>3.7037037037037035E-4</v>
      </c>
      <c r="FI33" s="10" cm="1">
        <f t="array" aca="1" ref="FI33" ca="1">(1-$B$18)*SUMPRODUCT(OFFSET($BO$15,0,0,$B$14,1), 1*(_xlfn._xlws.FILTER(OFFSET($O$15,0,$DN33,$B$8,1),OFFSET($M$15,0,0,$B$8,1))=FI$13), 1*(_xlfn._xlws.FILTER(OFFSET($O$15,0,$DO33,$B$8,1),OFFSET($M$15,0,0,$B$8,1))=FI$14))   /   SUM(OFFSET($BO$15,0,0,$B$14,1)) + $B$18/($B$19*$B$19*($DN33&lt;&gt;$DO33) + $B$19*($DN33=$DO33))</f>
        <v>3.7037037037037035E-4</v>
      </c>
      <c r="FJ33" s="10" cm="1">
        <f t="array" aca="1" ref="FJ33" ca="1">(1-$B$18)*SUMPRODUCT(OFFSET($BO$15,0,0,$B$14,1), 1*(_xlfn._xlws.FILTER(OFFSET($O$15,0,$DN33,$B$8,1),OFFSET($M$15,0,0,$B$8,1))=FJ$13), 1*(_xlfn._xlws.FILTER(OFFSET($O$15,0,$DO33,$B$8,1),OFFSET($M$15,0,0,$B$8,1))=FJ$14))   /   SUM(OFFSET($BO$15,0,0,$B$14,1)) + $B$18/($B$19*$B$19*($DN33&lt;&gt;$DO33) + $B$19*($DN33=$DO33))</f>
        <v>3.7037037037037035E-4</v>
      </c>
      <c r="FK33" s="10" cm="1">
        <f t="array" aca="1" ref="FK33" ca="1">(1-$B$18)*SUMPRODUCT(OFFSET($BO$15,0,0,$B$14,1), 1*(_xlfn._xlws.FILTER(OFFSET($O$15,0,$DN33,$B$8,1),OFFSET($M$15,0,0,$B$8,1))=FK$13), 1*(_xlfn._xlws.FILTER(OFFSET($O$15,0,$DO33,$B$8,1),OFFSET($M$15,0,0,$B$8,1))=FK$14))   /   SUM(OFFSET($BO$15,0,0,$B$14,1)) + $B$18/($B$19*$B$19*($DN33&lt;&gt;$DO33) + $B$19*($DN33=$DO33))</f>
        <v>3.7037037037037035E-4</v>
      </c>
      <c r="FL33" s="10" cm="1">
        <f t="array" aca="1" ref="FL33" ca="1">(1-$B$18)*SUMPRODUCT(OFFSET($BO$15,0,0,$B$14,1), 1*(_xlfn._xlws.FILTER(OFFSET($O$15,0,$DN33,$B$8,1),OFFSET($M$15,0,0,$B$8,1))=FL$13), 1*(_xlfn._xlws.FILTER(OFFSET($O$15,0,$DO33,$B$8,1),OFFSET($M$15,0,0,$B$8,1))=FL$14))   /   SUM(OFFSET($BO$15,0,0,$B$14,1)) + $B$18/($B$19*$B$19*($DN33&lt;&gt;$DO33) + $B$19*($DN33=$DO33))</f>
        <v>3.7037037037037035E-4</v>
      </c>
      <c r="FM33" s="10" cm="1">
        <f t="array" aca="1" ref="FM33" ca="1">(1-$B$18)*SUMPRODUCT(OFFSET($BO$15,0,0,$B$14,1), 1*(_xlfn._xlws.FILTER(OFFSET($O$15,0,$DN33,$B$8,1),OFFSET($M$15,0,0,$B$8,1))=FM$13), 1*(_xlfn._xlws.FILTER(OFFSET($O$15,0,$DO33,$B$8,1),OFFSET($M$15,0,0,$B$8,1))=FM$14))   /   SUM(OFFSET($BO$15,0,0,$B$14,1)) + $B$18/($B$19*$B$19*($DN33&lt;&gt;$DO33) + $B$19*($DN33=$DO33))</f>
        <v>3.7037037037037035E-4</v>
      </c>
      <c r="FN33" s="10" cm="1">
        <f t="array" aca="1" ref="FN33" ca="1">(1-$B$18)*SUMPRODUCT(OFFSET($BO$15,0,0,$B$14,1), 1*(_xlfn._xlws.FILTER(OFFSET($O$15,0,$DN33,$B$8,1),OFFSET($M$15,0,0,$B$8,1))=FN$13), 1*(_xlfn._xlws.FILTER(OFFSET($O$15,0,$DO33,$B$8,1),OFFSET($M$15,0,0,$B$8,1))=FN$14))   /   SUM(OFFSET($BO$15,0,0,$B$14,1)) + $B$18/($B$19*$B$19*($DN33&lt;&gt;$DO33) + $B$19*($DN33=$DO33))</f>
        <v>3.7037037037037035E-4</v>
      </c>
      <c r="FO33" s="10" cm="1">
        <f t="array" aca="1" ref="FO33" ca="1">(1-$B$18)*SUMPRODUCT(OFFSET($BO$15,0,0,$B$14,1), 1*(_xlfn._xlws.FILTER(OFFSET($O$15,0,$DN33,$B$8,1),OFFSET($M$15,0,0,$B$8,1))=FO$13), 1*(_xlfn._xlws.FILTER(OFFSET($O$15,0,$DO33,$B$8,1),OFFSET($M$15,0,0,$B$8,1))=FO$14))   /   SUM(OFFSET($BO$15,0,0,$B$14,1)) + $B$18/($B$19*$B$19*($DN33&lt;&gt;$DO33) + $B$19*($DN33=$DO33))</f>
        <v>3.7037037037037035E-4</v>
      </c>
      <c r="FP33" s="10" cm="1">
        <f t="array" aca="1" ref="FP33" ca="1">(1-$B$18)*SUMPRODUCT(OFFSET($BO$15,0,0,$B$14,1), 1*(_xlfn._xlws.FILTER(OFFSET($O$15,0,$DN33,$B$8,1),OFFSET($M$15,0,0,$B$8,1))=FP$13), 1*(_xlfn._xlws.FILTER(OFFSET($O$15,0,$DO33,$B$8,1),OFFSET($M$15,0,0,$B$8,1))=FP$14))   /   SUM(OFFSET($BO$15,0,0,$B$14,1)) + $B$18/($B$19*$B$19*($DN33&lt;&gt;$DO33) + $B$19*($DN33=$DO33))</f>
        <v>0.24287037037037024</v>
      </c>
      <c r="FQ33" s="10" cm="1">
        <f t="array" aca="1" ref="FQ33" ca="1">(1-$B$18)*SUMPRODUCT(OFFSET($BO$15,0,0,$B$14,1), 1*(_xlfn._xlws.FILTER(OFFSET($O$15,0,$DN33,$B$8,1),OFFSET($M$15,0,0,$B$8,1))=FQ$13), 1*(_xlfn._xlws.FILTER(OFFSET($O$15,0,$DO33,$B$8,1),OFFSET($M$15,0,0,$B$8,1))=FQ$14))   /   SUM(OFFSET($BO$15,0,0,$B$14,1)) + $B$18/($B$19*$B$19*($DN33&lt;&gt;$DO33) + $B$19*($DN33=$DO33))</f>
        <v>0.48537037037037012</v>
      </c>
      <c r="FR33" s="10" cm="1">
        <f t="array" aca="1" ref="FR33" ca="1">(1-$B$18)*SUMPRODUCT(OFFSET($BO$15,0,0,$B$14,1), 1*(_xlfn._xlws.FILTER(OFFSET($O$15,0,$DN33,$B$8,1),OFFSET($M$15,0,0,$B$8,1))=FR$13), 1*(_xlfn._xlws.FILTER(OFFSET($O$15,0,$DO33,$B$8,1),OFFSET($M$15,0,0,$B$8,1))=FR$14))   /   SUM(OFFSET($BO$15,0,0,$B$14,1)) + $B$18/($B$19*$B$19*($DN33&lt;&gt;$DO33) + $B$19*($DN33=$DO33))</f>
        <v>0.24287037037037026</v>
      </c>
      <c r="FS33" s="10" cm="1">
        <f t="array" aca="1" ref="FS33" ca="1">(1-$B$18)*SUMPRODUCT(OFFSET($BO$15,0,0,$B$14,1), 1*(_xlfn._xlws.FILTER(OFFSET($O$15,0,$DN33,$B$8,1),OFFSET($M$15,0,0,$B$8,1))=FS$13), 1*(_xlfn._xlws.FILTER(OFFSET($O$15,0,$DO33,$B$8,1),OFFSET($M$15,0,0,$B$8,1))=FS$14))   /   SUM(OFFSET($BO$15,0,0,$B$14,1)) + $B$18/($B$19*$B$19*($DN33&lt;&gt;$DO33) + $B$19*($DN33=$DO33))</f>
        <v>3.7037037037037035E-4</v>
      </c>
      <c r="FT33" s="10" cm="1">
        <f t="array" aca="1" ref="FT33" ca="1">(1-$B$18)*SUMPRODUCT(OFFSET($BO$15,0,0,$B$14,1), 1*(_xlfn._xlws.FILTER(OFFSET($O$15,0,$DN33,$B$8,1),OFFSET($M$15,0,0,$B$8,1))=FT$13), 1*(_xlfn._xlws.FILTER(OFFSET($O$15,0,$DO33,$B$8,1),OFFSET($M$15,0,0,$B$8,1))=FT$14))   /   SUM(OFFSET($BO$15,0,0,$B$14,1)) + $B$18/($B$19*$B$19*($DN33&lt;&gt;$DO33) + $B$19*($DN33=$DO33))</f>
        <v>3.7037037037037035E-4</v>
      </c>
      <c r="FU33" s="10" cm="1">
        <f t="array" aca="1" ref="FU33" ca="1">(1-$B$18)*SUMPRODUCT(OFFSET($BO$15,0,0,$B$14,1), 1*(_xlfn._xlws.FILTER(OFFSET($O$15,0,$DN33,$B$8,1),OFFSET($M$15,0,0,$B$8,1))=FU$13), 1*(_xlfn._xlws.FILTER(OFFSET($O$15,0,$DO33,$B$8,1),OFFSET($M$15,0,0,$B$8,1))=FU$14))   /   SUM(OFFSET($BO$15,0,0,$B$14,1)) + $B$18/($B$19*$B$19*($DN33&lt;&gt;$DO33) + $B$19*($DN33=$DO33))</f>
        <v>3.7037037037037035E-4</v>
      </c>
      <c r="FV33" s="10" cm="1">
        <f t="array" aca="1" ref="FV33" ca="1">(1-$B$18)*SUMPRODUCT(OFFSET($BO$15,0,0,$B$14,1), 1*(_xlfn._xlws.FILTER(OFFSET($O$15,0,$DN33,$B$8,1),OFFSET($M$15,0,0,$B$8,1))=FV$13), 1*(_xlfn._xlws.FILTER(OFFSET($O$15,0,$DO33,$B$8,1),OFFSET($M$15,0,0,$B$8,1))=FV$14))   /   SUM(OFFSET($BO$15,0,0,$B$14,1)) + $B$18/($B$19*$B$19*($DN33&lt;&gt;$DO33) + $B$19*($DN33=$DO33))</f>
        <v>3.7037037037037035E-4</v>
      </c>
      <c r="FW33" s="10" cm="1">
        <f t="array" aca="1" ref="FW33" ca="1">(1-$B$18)*SUMPRODUCT(OFFSET($BO$15,0,0,$B$14,1), 1*(_xlfn._xlws.FILTER(OFFSET($O$15,0,$DN33,$B$8,1),OFFSET($M$15,0,0,$B$8,1))=FW$13), 1*(_xlfn._xlws.FILTER(OFFSET($O$15,0,$DO33,$B$8,1),OFFSET($M$15,0,0,$B$8,1))=FW$14))   /   SUM(OFFSET($BO$15,0,0,$B$14,1)) + $B$18/($B$19*$B$19*($DN33&lt;&gt;$DO33) + $B$19*($DN33=$DO33))</f>
        <v>3.7037037037037035E-4</v>
      </c>
      <c r="FX33" s="10" cm="1">
        <f t="array" aca="1" ref="FX33" ca="1">(1-$B$18)*SUMPRODUCT(OFFSET($BO$15,0,0,$B$14,1), 1*(_xlfn._xlws.FILTER(OFFSET($O$15,0,$DN33,$B$8,1),OFFSET($M$15,0,0,$B$8,1))=FX$13), 1*(_xlfn._xlws.FILTER(OFFSET($O$15,0,$DO33,$B$8,1),OFFSET($M$15,0,0,$B$8,1))=FX$14))   /   SUM(OFFSET($BO$15,0,0,$B$14,1)) + $B$18/($B$19*$B$19*($DN33&lt;&gt;$DO33) + $B$19*($DN33=$DO33))</f>
        <v>3.7037037037037035E-4</v>
      </c>
      <c r="FY33" s="10" cm="1">
        <f t="array" aca="1" ref="FY33" ca="1">(1-$B$18)*SUMPRODUCT(OFFSET($BO$15,0,0,$B$14,1), 1*(_xlfn._xlws.FILTER(OFFSET($O$15,0,$DN33,$B$8,1),OFFSET($M$15,0,0,$B$8,1))=FY$13), 1*(_xlfn._xlws.FILTER(OFFSET($O$15,0,$DO33,$B$8,1),OFFSET($M$15,0,0,$B$8,1))=FY$14))   /   SUM(OFFSET($BO$15,0,0,$B$14,1)) + $B$18/($B$19*$B$19*($DN33&lt;&gt;$DO33) + $B$19*($DN33=$DO33))</f>
        <v>3.7037037037037035E-4</v>
      </c>
      <c r="FZ33" s="10" cm="1">
        <f t="array" aca="1" ref="FZ33" ca="1">(1-$B$18)*SUMPRODUCT(OFFSET($BO$15,0,0,$B$14,1), 1*(_xlfn._xlws.FILTER(OFFSET($O$15,0,$DN33,$B$8,1),OFFSET($M$15,0,0,$B$8,1))=FZ$13), 1*(_xlfn._xlws.FILTER(OFFSET($O$15,0,$DO33,$B$8,1),OFFSET($M$15,0,0,$B$8,1))=FZ$14))   /   SUM(OFFSET($BO$15,0,0,$B$14,1)) + $B$18/($B$19*$B$19*($DN33&lt;&gt;$DO33) + $B$19*($DN33=$DO33))</f>
        <v>3.7037037037037035E-4</v>
      </c>
      <c r="GA33" s="10" cm="1">
        <f t="array" aca="1" ref="GA33" ca="1">(1-$B$18)*SUMPRODUCT(OFFSET($BO$15,0,0,$B$14,1), 1*(_xlfn._xlws.FILTER(OFFSET($O$15,0,$DN33,$B$8,1),OFFSET($M$15,0,0,$B$8,1))=GA$13), 1*(_xlfn._xlws.FILTER(OFFSET($O$15,0,$DO33,$B$8,1),OFFSET($M$15,0,0,$B$8,1))=GA$14))   /   SUM(OFFSET($BO$15,0,0,$B$14,1)) + $B$18/($B$19*$B$19*($DN33&lt;&gt;$DO33) + $B$19*($DN33=$DO33))</f>
        <v>3.7037037037037035E-4</v>
      </c>
    </row>
    <row r="34" spans="4:183" x14ac:dyDescent="0.2">
      <c r="D34" s="10">
        <f ca="1"/>
        <v>20</v>
      </c>
      <c r="F34" s="10">
        <f ca="1"/>
        <v>1</v>
      </c>
      <c r="J34" cm="1">
        <f t="array" aca="1" ref="J34" ca="1">SUMPRODUCT((O34:AJ34=$O$11:$AJ$11)*(O$13:AJ$13=TRUE))  / COUNTIF(O$13:AJ$13,TRUE)</f>
        <v>0.95</v>
      </c>
      <c r="K34" t="b">
        <f t="shared" ca="1" si="4"/>
        <v>1</v>
      </c>
      <c r="L34" cm="1">
        <f t="array" aca="1" ref="L34" ca="1">SUM(
   1*(_xlfn._xlws.FILTER(OFFSET($O34,0,0,1,$B$9),OFFSET($O$13,0,0,1,$B$9)) = "-")
) / $B$13</f>
        <v>0.05</v>
      </c>
      <c r="M34" t="b">
        <f t="shared" ca="1" si="5"/>
        <v>1</v>
      </c>
      <c r="N34" s="2">
        <v>19</v>
      </c>
      <c r="O34" s="12" t="s">
        <v>11</v>
      </c>
      <c r="P34" s="9" t="s">
        <v>11</v>
      </c>
      <c r="Q34" s="9" t="s">
        <v>11</v>
      </c>
      <c r="R34" s="9" t="s">
        <v>11</v>
      </c>
      <c r="S34" s="9" t="s">
        <v>11</v>
      </c>
      <c r="T34" s="12" t="s">
        <v>11</v>
      </c>
      <c r="U34" s="9" t="s">
        <v>11</v>
      </c>
      <c r="V34" s="9" t="s">
        <v>11</v>
      </c>
      <c r="W34" s="9" t="s">
        <v>11</v>
      </c>
      <c r="X34" s="9" t="s">
        <v>11</v>
      </c>
      <c r="Y34" s="12" t="s">
        <v>5</v>
      </c>
      <c r="Z34" s="9" t="s">
        <v>0</v>
      </c>
      <c r="AA34" s="9" t="s">
        <v>1</v>
      </c>
      <c r="AB34" s="9" t="s">
        <v>1</v>
      </c>
      <c r="AC34" s="9" t="s">
        <v>2</v>
      </c>
      <c r="AD34" s="12" t="s">
        <v>2</v>
      </c>
      <c r="AE34" s="9" t="s">
        <v>5</v>
      </c>
      <c r="AF34" s="9" t="s">
        <v>5</v>
      </c>
      <c r="AG34" s="9" t="s">
        <v>3</v>
      </c>
      <c r="AH34" s="9" t="s">
        <v>3</v>
      </c>
      <c r="AI34" s="12" t="s">
        <v>4</v>
      </c>
      <c r="AJ34" s="9" t="s">
        <v>4</v>
      </c>
      <c r="AN34">
        <f t="shared" ca="1" si="6"/>
        <v>1</v>
      </c>
      <c r="AO34" s="14">
        <f t="shared" ca="1" si="7"/>
        <v>1</v>
      </c>
      <c r="AP34" s="2">
        <f ca="1"/>
        <v>20</v>
      </c>
      <c r="AQ34" cm="1">
        <f t="array" aca="1" ref="AQ34" ca="1">IF($AP34=AQ$14, 1, SUMPRODUCT(
    --(OFFSET($O$13,0,0,1,$B$9)=TRUE),
    --(INDEX(OFFSET($O$15,0,0,$B$8,$B$9), 1+$AP34, 0) = INDEX(OFFSET($O$15,0,0,$B$8,$B$9), 1+AQ$14, 0))
) / $B$13)</f>
        <v>0.85</v>
      </c>
      <c r="AR34" cm="1">
        <f t="array" aca="1" ref="AR34" ca="1">IF($AP34=AR$14, 1, SUMPRODUCT(
    --(OFFSET($O$13,0,0,1,$B$9)=TRUE),
    --(INDEX(OFFSET($O$15,0,0,$B$8,$B$9), 1+$AP34, 0) = INDEX(OFFSET($O$15,0,0,$B$8,$B$9), 1+AR$14, 0))
) / $B$13)</f>
        <v>0.85</v>
      </c>
      <c r="AS34" cm="1">
        <f t="array" aca="1" ref="AS34" ca="1">IF($AP34=AS$14, 1, SUMPRODUCT(
    --(OFFSET($O$13,0,0,1,$B$9)=TRUE),
    --(INDEX(OFFSET($O$15,0,0,$B$8,$B$9), 1+$AP34, 0) = INDEX(OFFSET($O$15,0,0,$B$8,$B$9), 1+AS$14, 0))
) / $B$13)</f>
        <v>0.85</v>
      </c>
      <c r="AT34" cm="1">
        <f t="array" aca="1" ref="AT34" ca="1">IF($AP34=AT$14, 1, SUMPRODUCT(
    --(OFFSET($O$13,0,0,1,$B$9)=TRUE),
    --(INDEX(OFFSET($O$15,0,0,$B$8,$B$9), 1+$AP34, 0) = INDEX(OFFSET($O$15,0,0,$B$8,$B$9), 1+AT$14, 0))
) / $B$13)</f>
        <v>0.85</v>
      </c>
      <c r="AU34" cm="1">
        <f t="array" aca="1" ref="AU34" ca="1">IF($AP34=AU$14, 1, SUMPRODUCT(
    --(OFFSET($O$13,0,0,1,$B$9)=TRUE),
    --(INDEX(OFFSET($O$15,0,0,$B$8,$B$9), 1+$AP34, 0) = INDEX(OFFSET($O$15,0,0,$B$8,$B$9), 1+AU$14, 0))
) / $B$13)</f>
        <v>0.85</v>
      </c>
      <c r="AV34" cm="1">
        <f t="array" aca="1" ref="AV34" ca="1">IF($AP34=AV$14, 1, SUMPRODUCT(
    --(OFFSET($O$13,0,0,1,$B$9)=TRUE),
    --(INDEX(OFFSET($O$15,0,0,$B$8,$B$9), 1+$AP34, 0) = INDEX(OFFSET($O$15,0,0,$B$8,$B$9), 1+AV$14, 0))
) / $B$13)</f>
        <v>0.85</v>
      </c>
      <c r="AW34" cm="1">
        <f t="array" aca="1" ref="AW34" ca="1">IF($AP34=AW$14, 1, SUMPRODUCT(
    --(OFFSET($O$13,0,0,1,$B$9)=TRUE),
    --(INDEX(OFFSET($O$15,0,0,$B$8,$B$9), 1+$AP34, 0) = INDEX(OFFSET($O$15,0,0,$B$8,$B$9), 1+AW$14, 0))
) / $B$13)</f>
        <v>0.95</v>
      </c>
      <c r="AX34" cm="1">
        <f t="array" aca="1" ref="AX34" ca="1">IF($AP34=AX$14, 1, SUMPRODUCT(
    --(OFFSET($O$13,0,0,1,$B$9)=TRUE),
    --(INDEX(OFFSET($O$15,0,0,$B$8,$B$9), 1+$AP34, 0) = INDEX(OFFSET($O$15,0,0,$B$8,$B$9), 1+AX$14, 0))
) / $B$13)</f>
        <v>0.95</v>
      </c>
      <c r="AY34" cm="1">
        <f t="array" aca="1" ref="AY34" ca="1">IF($AP34=AY$14, 1, SUMPRODUCT(
    --(OFFSET($O$13,0,0,1,$B$9)=TRUE),
    --(INDEX(OFFSET($O$15,0,0,$B$8,$B$9), 1+$AP34, 0) = INDEX(OFFSET($O$15,0,0,$B$8,$B$9), 1+AY$14, 0))
) / $B$13)</f>
        <v>0.85</v>
      </c>
      <c r="AZ34" cm="1">
        <f t="array" aca="1" ref="AZ34" ca="1">IF($AP34=AZ$14, 1, SUMPRODUCT(
    --(OFFSET($O$13,0,0,1,$B$9)=TRUE),
    --(INDEX(OFFSET($O$15,0,0,$B$8,$B$9), 1+$AP34, 0) = INDEX(OFFSET($O$15,0,0,$B$8,$B$9), 1+AZ$14, 0))
) / $B$13)</f>
        <v>0.85</v>
      </c>
      <c r="BA34" cm="1">
        <f t="array" aca="1" ref="BA34" ca="1">IF($AP34=BA$14, 1, SUMPRODUCT(
    --(OFFSET($O$13,0,0,1,$B$9)=TRUE),
    --(INDEX(OFFSET($O$15,0,0,$B$8,$B$9), 1+$AP34, 0) = INDEX(OFFSET($O$15,0,0,$B$8,$B$9), 1+BA$14, 0))
) / $B$13)</f>
        <v>0.85</v>
      </c>
      <c r="BB34" cm="1">
        <f t="array" aca="1" ref="BB34" ca="1">IF($AP34=BB$14, 1, SUMPRODUCT(
    --(OFFSET($O$13,0,0,1,$B$9)=TRUE),
    --(INDEX(OFFSET($O$15,0,0,$B$8,$B$9), 1+$AP34, 0) = INDEX(OFFSET($O$15,0,0,$B$8,$B$9), 1+BB$14, 0))
) / $B$13)</f>
        <v>0.85</v>
      </c>
      <c r="BC34" cm="1">
        <f t="array" aca="1" ref="BC34" ca="1">IF($AP34=BC$14, 1, SUMPRODUCT(
    --(OFFSET($O$13,0,0,1,$B$9)=TRUE),
    --(INDEX(OFFSET($O$15,0,0,$B$8,$B$9), 1+$AP34, 0) = INDEX(OFFSET($O$15,0,0,$B$8,$B$9), 1+BC$14, 0))
) / $B$13)</f>
        <v>0.85</v>
      </c>
      <c r="BD34" cm="1">
        <f t="array" aca="1" ref="BD34" ca="1">IF($AP34=BD$14, 1, SUMPRODUCT(
    --(OFFSET($O$13,0,0,1,$B$9)=TRUE),
    --(INDEX(OFFSET($O$15,0,0,$B$8,$B$9), 1+$AP34, 0) = INDEX(OFFSET($O$15,0,0,$B$8,$B$9), 1+BD$14, 0))
) / $B$13)</f>
        <v>0.8</v>
      </c>
      <c r="BE34" cm="1">
        <f t="array" aca="1" ref="BE34" ca="1">IF($AP34=BE$14, 1, SUMPRODUCT(
    --(OFFSET($O$13,0,0,1,$B$9)=TRUE),
    --(INDEX(OFFSET($O$15,0,0,$B$8,$B$9), 1+$AP34, 0) = INDEX(OFFSET($O$15,0,0,$B$8,$B$9), 1+BE$14, 0))
) / $B$13)</f>
        <v>0.9</v>
      </c>
      <c r="BF34" cm="1">
        <f t="array" aca="1" ref="BF34" ca="1">IF($AP34=BF$14, 1, SUMPRODUCT(
    --(OFFSET($O$13,0,0,1,$B$9)=TRUE),
    --(INDEX(OFFSET($O$15,0,0,$B$8,$B$9), 1+$AP34, 0) = INDEX(OFFSET($O$15,0,0,$B$8,$B$9), 1+BF$14, 0))
) / $B$13)</f>
        <v>0.9</v>
      </c>
      <c r="BG34" cm="1">
        <f t="array" aca="1" ref="BG34" ca="1">IF($AP34=BG$14, 1, SUMPRODUCT(
    --(OFFSET($O$13,0,0,1,$B$9)=TRUE),
    --(INDEX(OFFSET($O$15,0,0,$B$8,$B$9), 1+$AP34, 0) = INDEX(OFFSET($O$15,0,0,$B$8,$B$9), 1+BG$14, 0))
) / $B$13)</f>
        <v>0.8</v>
      </c>
      <c r="BH34" cm="1">
        <f t="array" aca="1" ref="BH34" ca="1">IF($AP34=BH$14, 1, SUMPRODUCT(
    --(OFFSET($O$13,0,0,1,$B$9)=TRUE),
    --(INDEX(OFFSET($O$15,0,0,$B$8,$B$9), 1+$AP34, 0) = INDEX(OFFSET($O$15,0,0,$B$8,$B$9), 1+BH$14, 0))
) / $B$13)</f>
        <v>0.9</v>
      </c>
      <c r="BI34" cm="1">
        <f t="array" aca="1" ref="BI34" ca="1">IF($AP34=BI$14, 1, SUMPRODUCT(
    --(OFFSET($O$13,0,0,1,$B$9)=TRUE),
    --(INDEX(OFFSET($O$15,0,0,$B$8,$B$9), 1+$AP34, 0) = INDEX(OFFSET($O$15,0,0,$B$8,$B$9), 1+BI$14, 0))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
) / $B$13)</f>
        <v>1</v>
      </c>
      <c r="BN34">
        <f t="shared" ca="1" si="8"/>
        <v>1</v>
      </c>
      <c r="BO34" s="14">
        <f t="shared" ca="1" si="9"/>
        <v>1</v>
      </c>
      <c r="BP34" s="2">
        <f ca="1"/>
        <v>20</v>
      </c>
      <c r="BQ34" cm="1">
        <f t="array" aca="1" ref="BQ34" ca="1">IF($BP34=BQ$14, 1, SUMPRODUCT(
    --(OFFSET($O$9,0,0,1,$B$9)=TRUE),
    --(INDEX(OFFSET($O$15,0,0,$B$8,$B$9), 1+$BP34, 0) = INDEX(OFFSET($O$15,0,0,$B$8,$B$9), 1+BQ$14, 0))
) / $B$16)</f>
        <v>0.84210526315789469</v>
      </c>
      <c r="BR34" cm="1">
        <f t="array" aca="1" ref="BR34" ca="1">IF($BP34=BR$14, 1, SUMPRODUCT(
    --(OFFSET($O$9,0,0,1,$B$9)=TRUE),
    --(INDEX(OFFSET($O$15,0,0,$B$8,$B$9), 1+$BP34, 0) = INDEX(OFFSET($O$15,0,0,$B$8,$B$9), 1+BR$14, 0))
) / $B$16)</f>
        <v>0.84210526315789469</v>
      </c>
      <c r="BS34" cm="1">
        <f t="array" aca="1" ref="BS34" ca="1">IF($BP34=BS$14, 1, SUMPRODUCT(
    --(OFFSET($O$9,0,0,1,$B$9)=TRUE),
    --(INDEX(OFFSET($O$15,0,0,$B$8,$B$9), 1+$BP34, 0) = INDEX(OFFSET($O$15,0,0,$B$8,$B$9), 1+BS$14, 0))
) / $B$16)</f>
        <v>0.84210526315789469</v>
      </c>
      <c r="BT34" cm="1">
        <f t="array" aca="1" ref="BT34" ca="1">IF($BP34=BT$14, 1, SUMPRODUCT(
    --(OFFSET($O$9,0,0,1,$B$9)=TRUE),
    --(INDEX(OFFSET($O$15,0,0,$B$8,$B$9), 1+$BP34, 0) = INDEX(OFFSET($O$15,0,0,$B$8,$B$9), 1+BT$14, 0))
) / $B$16)</f>
        <v>0.84210526315789469</v>
      </c>
      <c r="BU34" cm="1">
        <f t="array" aca="1" ref="BU34" ca="1">IF($BP34=BU$14, 1, SUMPRODUCT(
    --(OFFSET($O$9,0,0,1,$B$9)=TRUE),
    --(INDEX(OFFSET($O$15,0,0,$B$8,$B$9), 1+$BP34, 0) = INDEX(OFFSET($O$15,0,0,$B$8,$B$9), 1+BU$14, 0))
) / $B$16)</f>
        <v>0.84210526315789469</v>
      </c>
      <c r="BV34" cm="1">
        <f t="array" aca="1" ref="BV34" ca="1">IF($BP34=BV$14, 1, SUMPRODUCT(
    --(OFFSET($O$9,0,0,1,$B$9)=TRUE),
    --(INDEX(OFFSET($O$15,0,0,$B$8,$B$9), 1+$BP34, 0) = INDEX(OFFSET($O$15,0,0,$B$8,$B$9), 1+BV$14, 0))
) / $B$16)</f>
        <v>0.84210526315789469</v>
      </c>
      <c r="BW34" cm="1">
        <f t="array" aca="1" ref="BW34" ca="1">IF($BP34=BW$14, 1, SUMPRODUCT(
    --(OFFSET($O$9,0,0,1,$B$9)=TRUE),
    --(INDEX(OFFSET($O$15,0,0,$B$8,$B$9), 1+$BP34, 0) = INDEX(OFFSET($O$15,0,0,$B$8,$B$9), 1+BW$14, 0))
) / $B$16)</f>
        <v>0.94736842105263153</v>
      </c>
      <c r="BX34" cm="1">
        <f t="array" aca="1" ref="BX34" ca="1">IF($BP34=BX$14, 1, SUMPRODUCT(
    --(OFFSET($O$9,0,0,1,$B$9)=TRUE),
    --(INDEX(OFFSET($O$15,0,0,$B$8,$B$9), 1+$BP34, 0) = INDEX(OFFSET($O$15,0,0,$B$8,$B$9), 1+BX$14, 0))
) / $B$16)</f>
        <v>0.94736842105263153</v>
      </c>
      <c r="BY34" cm="1">
        <f t="array" aca="1" ref="BY34" ca="1">IF($BP34=BY$14, 1, SUMPRODUCT(
    --(OFFSET($O$9,0,0,1,$B$9)=TRUE),
    --(INDEX(OFFSET($O$15,0,0,$B$8,$B$9), 1+$BP34, 0) = INDEX(OFFSET($O$15,0,0,$B$8,$B$9), 1+BY$14, 0))
) / $B$16)</f>
        <v>0.84210526315789469</v>
      </c>
      <c r="BZ34" cm="1">
        <f t="array" aca="1" ref="BZ34" ca="1">IF($BP34=BZ$14, 1, SUMPRODUCT(
    --(OFFSET($O$9,0,0,1,$B$9)=TRUE),
    --(INDEX(OFFSET($O$15,0,0,$B$8,$B$9), 1+$BP34, 0) = INDEX(OFFSET($O$15,0,0,$B$8,$B$9), 1+BZ$14, 0))
) / $B$16)</f>
        <v>0.84210526315789469</v>
      </c>
      <c r="CA34" cm="1">
        <f t="array" aca="1" ref="CA34" ca="1">IF($BP34=CA$14, 1, SUMPRODUCT(
    --(OFFSET($O$9,0,0,1,$B$9)=TRUE),
    --(INDEX(OFFSET($O$15,0,0,$B$8,$B$9), 1+$BP34, 0) = INDEX(OFFSET($O$15,0,0,$B$8,$B$9), 1+CA$14, 0))
) / $B$16)</f>
        <v>0.84210526315789469</v>
      </c>
      <c r="CB34" cm="1">
        <f t="array" aca="1" ref="CB34" ca="1">IF($BP34=CB$14, 1, SUMPRODUCT(
    --(OFFSET($O$9,0,0,1,$B$9)=TRUE),
    --(INDEX(OFFSET($O$15,0,0,$B$8,$B$9), 1+$BP34, 0) = INDEX(OFFSET($O$15,0,0,$B$8,$B$9), 1+CB$14, 0))
) / $B$16)</f>
        <v>0.84210526315789469</v>
      </c>
      <c r="CC34" cm="1">
        <f t="array" aca="1" ref="CC34" ca="1">IF($BP34=CC$14, 1, SUMPRODUCT(
    --(OFFSET($O$9,0,0,1,$B$9)=TRUE),
    --(INDEX(OFFSET($O$15,0,0,$B$8,$B$9), 1+$BP34, 0) = INDEX(OFFSET($O$15,0,0,$B$8,$B$9), 1+CC$14, 0))
) / $B$16)</f>
        <v>0.84210526315789469</v>
      </c>
      <c r="CD34" cm="1">
        <f t="array" aca="1" ref="CD34" ca="1">IF($BP34=CD$14, 1, SUMPRODUCT(
    --(OFFSET($O$9,0,0,1,$B$9)=TRUE),
    --(INDEX(OFFSET($O$15,0,0,$B$8,$B$9), 1+$BP34, 0) = INDEX(OFFSET($O$15,0,0,$B$8,$B$9), 1+CD$14, 0))
) / $B$16)</f>
        <v>0.84210526315789469</v>
      </c>
      <c r="CE34" cm="1">
        <f t="array" aca="1" ref="CE34" ca="1">IF($BP34=CE$14, 1, SUMPRODUCT(
    --(OFFSET($O$9,0,0,1,$B$9)=TRUE),
    --(INDEX(OFFSET($O$15,0,0,$B$8,$B$9), 1+$BP34, 0) = INDEX(OFFSET($O$15,0,0,$B$8,$B$9), 1+CE$14, 0))
) / $B$16)</f>
        <v>0.94736842105263153</v>
      </c>
      <c r="CF34" cm="1">
        <f t="array" aca="1" ref="CF34" ca="1">IF($BP34=CF$14, 1, SUMPRODUCT(
    --(OFFSET($O$9,0,0,1,$B$9)=TRUE),
    --(INDEX(OFFSET($O$15,0,0,$B$8,$B$9), 1+$BP34, 0) = INDEX(OFFSET($O$15,0,0,$B$8,$B$9), 1+CF$14, 0))
) / $B$16)</f>
        <v>0.94736842105263153</v>
      </c>
      <c r="CG34" cm="1">
        <f t="array" aca="1" ref="CG34" ca="1">IF($BP34=CG$14, 1, SUMPRODUCT(
    --(OFFSET($O$9,0,0,1,$B$9)=TRUE),
    --(INDEX(OFFSET($O$15,0,0,$B$8,$B$9), 1+$BP34, 0) = INDEX(OFFSET($O$15,0,0,$B$8,$B$9), 1+CG$14, 0))
) / $B$16)</f>
        <v>0.84210526315789469</v>
      </c>
      <c r="CH34" cm="1">
        <f t="array" aca="1" ref="CH34" ca="1">IF($BP34=CH$14, 1, SUMPRODUCT(
    --(OFFSET($O$9,0,0,1,$B$9)=TRUE),
    --(INDEX(OFFSET($O$15,0,0,$B$8,$B$9), 1+$BP34, 0) = INDEX(OFFSET($O$15,0,0,$B$8,$B$9), 1+CH$14, 0))
) / $B$16)</f>
        <v>0.94736842105263153</v>
      </c>
      <c r="CI34" cm="1">
        <f t="array" aca="1" ref="CI34" ca="1">IF($BP34=CI$14, 1, SUMPRODUCT(
    --(OFFSET($O$9,0,0,1,$B$9)=TRUE),
    --(INDEX(OFFSET($O$15,0,0,$B$8,$B$9), 1+$BP34, 0) = INDEX(OFFSET($O$15,0,0,$B$8,$B$9), 1+CI$14, 0))
) / $B$16)</f>
        <v>0.84210526315789469</v>
      </c>
      <c r="CJ34" cm="1">
        <f t="array" aca="1" ref="CJ34" ca="1">IF($BP34=CJ$14, 1, SUMPRODUCT(
    --(OFFSET($O$9,0,0,1,$B$9)=TRUE),
    --(INDEX(OFFSET($O$15,0,0,$B$8,$B$9), 1+$BP34, 0) = INDEX(OFFSET($O$15,0,0,$B$8,$B$9), 1+CJ$14, 0))
) / $B$16)</f>
        <v>1</v>
      </c>
      <c r="DN34" cm="1">
        <f t="array" aca="1" ref="DN34" ca="1">INDEX(_xlfn.ANCHORARRAY($CP$15), 1 + INT((ROWS($DO$15:$DO34) - 1) / ROWS(_xlfn.ANCHORARRAY($CP$15))))</f>
        <v>1</v>
      </c>
      <c r="DO34" cm="1">
        <f t="array" aca="1" ref="DO34" ca="1">INDEX(_xlfn.ANCHORARRAY($CP$15),1+MOD(ROWS($DO$15:$DO34)-1,ROWS(_xlfn.ANCHORARRAY($CP$15))))</f>
        <v>0</v>
      </c>
      <c r="DP34" s="10" cm="1">
        <f t="array" aca="1" ref="DP34" ca="1">(1-$B$18)*SUMPRODUCT(OFFSET($BO$15,0,0,$B$14,1), 1*(_xlfn._xlws.FILTER(OFFSET($O$15,0,$DN34,$B$8,1),OFFSET($M$15,0,0,$B$8,1))=DP$13), 1*(_xlfn._xlws.FILTER(OFFSET($O$15,0,$DO34,$B$8,1),OFFSET($M$15,0,0,$B$8,1))=DP$14))   /   SUM(OFFSET($BO$15,0,0,$B$14,1)) + $B$18/($B$19*$B$19*($DN34&lt;&gt;$DO34) + $B$19*($DN34=$DO34))</f>
        <v>3.7037037037037035E-4</v>
      </c>
      <c r="DQ34" s="10" cm="1">
        <f t="array" aca="1" ref="DQ34" ca="1">(1-$B$18)*SUMPRODUCT(OFFSET($BO$15,0,0,$B$14,1), 1*(_xlfn._xlws.FILTER(OFFSET($O$15,0,$DN34,$B$8,1),OFFSET($M$15,0,0,$B$8,1))=DQ$13), 1*(_xlfn._xlws.FILTER(OFFSET($O$15,0,$DO34,$B$8,1),OFFSET($M$15,0,0,$B$8,1))=DQ$14))   /   SUM(OFFSET($BO$15,0,0,$B$14,1)) + $B$18/($B$19*$B$19*($DN34&lt;&gt;$DO34) + $B$19*($DN34=$DO34))</f>
        <v>3.7037037037037035E-4</v>
      </c>
      <c r="DR34" s="10" cm="1">
        <f t="array" aca="1" ref="DR34" ca="1">(1-$B$18)*SUMPRODUCT(OFFSET($BO$15,0,0,$B$14,1), 1*(_xlfn._xlws.FILTER(OFFSET($O$15,0,$DN34,$B$8,1),OFFSET($M$15,0,0,$B$8,1))=DR$13), 1*(_xlfn._xlws.FILTER(OFFSET($O$15,0,$DO34,$B$8,1),OFFSET($M$15,0,0,$B$8,1))=DR$14))   /   SUM(OFFSET($BO$15,0,0,$B$14,1)) + $B$18/($B$19*$B$19*($DN34&lt;&gt;$DO34) + $B$19*($DN34=$DO34))</f>
        <v>3.7037037037037035E-4</v>
      </c>
      <c r="DS34" s="10" cm="1">
        <f t="array" aca="1" ref="DS34" ca="1">(1-$B$18)*SUMPRODUCT(OFFSET($BO$15,0,0,$B$14,1), 1*(_xlfn._xlws.FILTER(OFFSET($O$15,0,$DN34,$B$8,1),OFFSET($M$15,0,0,$B$8,1))=DS$13), 1*(_xlfn._xlws.FILTER(OFFSET($O$15,0,$DO34,$B$8,1),OFFSET($M$15,0,0,$B$8,1))=DS$14))   /   SUM(OFFSET($BO$15,0,0,$B$14,1)) + $B$18/($B$19*$B$19*($DN34&lt;&gt;$DO34) + $B$19*($DN34=$DO34))</f>
        <v>3.7037037037037035E-4</v>
      </c>
      <c r="DT34" s="10" cm="1">
        <f t="array" aca="1" ref="DT34" ca="1">(1-$B$18)*SUMPRODUCT(OFFSET($BO$15,0,0,$B$14,1), 1*(_xlfn._xlws.FILTER(OFFSET($O$15,0,$DN34,$B$8,1),OFFSET($M$15,0,0,$B$8,1))=DT$13), 1*(_xlfn._xlws.FILTER(OFFSET($O$15,0,$DO34,$B$8,1),OFFSET($M$15,0,0,$B$8,1))=DT$14))   /   SUM(OFFSET($BO$15,0,0,$B$14,1)) + $B$18/($B$19*$B$19*($DN34&lt;&gt;$DO34) + $B$19*($DN34=$DO34))</f>
        <v>3.7037037037037035E-4</v>
      </c>
      <c r="DU34" s="10" cm="1">
        <f t="array" aca="1" ref="DU34" ca="1">(1-$B$18)*SUMPRODUCT(OFFSET($BO$15,0,0,$B$14,1), 1*(_xlfn._xlws.FILTER(OFFSET($O$15,0,$DN34,$B$8,1),OFFSET($M$15,0,0,$B$8,1))=DU$13), 1*(_xlfn._xlws.FILTER(OFFSET($O$15,0,$DO34,$B$8,1),OFFSET($M$15,0,0,$B$8,1))=DU$14))   /   SUM(OFFSET($BO$15,0,0,$B$14,1)) + $B$18/($B$19*$B$19*($DN34&lt;&gt;$DO34) + $B$19*($DN34=$DO34))</f>
        <v>3.7037037037037035E-4</v>
      </c>
      <c r="DV34" s="10" cm="1">
        <f t="array" aca="1" ref="DV34" ca="1">(1-$B$18)*SUMPRODUCT(OFFSET($BO$15,0,0,$B$14,1), 1*(_xlfn._xlws.FILTER(OFFSET($O$15,0,$DN34,$B$8,1),OFFSET($M$15,0,0,$B$8,1))=DV$13), 1*(_xlfn._xlws.FILTER(OFFSET($O$15,0,$DO34,$B$8,1),OFFSET($M$15,0,0,$B$8,1))=DV$14))   /   SUM(OFFSET($BO$15,0,0,$B$14,1)) + $B$18/($B$19*$B$19*($DN34&lt;&gt;$DO34) + $B$19*($DN34=$DO34))</f>
        <v>3.7037037037037035E-4</v>
      </c>
      <c r="DW34" s="10" cm="1">
        <f t="array" aca="1" ref="DW34" ca="1">(1-$B$18)*SUMPRODUCT(OFFSET($BO$15,0,0,$B$14,1), 1*(_xlfn._xlws.FILTER(OFFSET($O$15,0,$DN34,$B$8,1),OFFSET($M$15,0,0,$B$8,1))=DW$13), 1*(_xlfn._xlws.FILTER(OFFSET($O$15,0,$DO34,$B$8,1),OFFSET($M$15,0,0,$B$8,1))=DW$14))   /   SUM(OFFSET($BO$15,0,0,$B$14,1)) + $B$18/($B$19*$B$19*($DN34&lt;&gt;$DO34) + $B$19*($DN34=$DO34))</f>
        <v>3.7037037037037035E-4</v>
      </c>
      <c r="DX34" s="10" cm="1">
        <f t="array" aca="1" ref="DX34" ca="1">(1-$B$18)*SUMPRODUCT(OFFSET($BO$15,0,0,$B$14,1), 1*(_xlfn._xlws.FILTER(OFFSET($O$15,0,$DN34,$B$8,1),OFFSET($M$15,0,0,$B$8,1))=DX$13), 1*(_xlfn._xlws.FILTER(OFFSET($O$15,0,$DO34,$B$8,1),OFFSET($M$15,0,0,$B$8,1))=DX$14))   /   SUM(OFFSET($BO$15,0,0,$B$14,1)) + $B$18/($B$19*$B$19*($DN34&lt;&gt;$DO34) + $B$19*($DN34=$DO34))</f>
        <v>3.7037037037037035E-4</v>
      </c>
      <c r="DY34" s="10" cm="1">
        <f t="array" aca="1" ref="DY34" ca="1">(1-$B$18)*SUMPRODUCT(OFFSET($BO$15,0,0,$B$14,1), 1*(_xlfn._xlws.FILTER(OFFSET($O$15,0,$DN34,$B$8,1),OFFSET($M$15,0,0,$B$8,1))=DY$13), 1*(_xlfn._xlws.FILTER(OFFSET($O$15,0,$DO34,$B$8,1),OFFSET($M$15,0,0,$B$8,1))=DY$14))   /   SUM(OFFSET($BO$15,0,0,$B$14,1)) + $B$18/($B$19*$B$19*($DN34&lt;&gt;$DO34) + $B$19*($DN34=$DO34))</f>
        <v>3.7037037037037035E-4</v>
      </c>
      <c r="DZ34" s="10" cm="1">
        <f t="array" aca="1" ref="DZ34" ca="1">(1-$B$18)*SUMPRODUCT(OFFSET($BO$15,0,0,$B$14,1), 1*(_xlfn._xlws.FILTER(OFFSET($O$15,0,$DN34,$B$8,1),OFFSET($M$15,0,0,$B$8,1))=DZ$13), 1*(_xlfn._xlws.FILTER(OFFSET($O$15,0,$DO34,$B$8,1),OFFSET($M$15,0,0,$B$8,1))=DZ$14))   /   SUM(OFFSET($BO$15,0,0,$B$14,1)) + $B$18/($B$19*$B$19*($DN34&lt;&gt;$DO34) + $B$19*($DN34=$DO34))</f>
        <v>3.7037037037037035E-4</v>
      </c>
      <c r="EA34" s="10" cm="1">
        <f t="array" aca="1" ref="EA34" ca="1">(1-$B$18)*SUMPRODUCT(OFFSET($BO$15,0,0,$B$14,1), 1*(_xlfn._xlws.FILTER(OFFSET($O$15,0,$DN34,$B$8,1),OFFSET($M$15,0,0,$B$8,1))=EA$13), 1*(_xlfn._xlws.FILTER(OFFSET($O$15,0,$DO34,$B$8,1),OFFSET($M$15,0,0,$B$8,1))=EA$14))   /   SUM(OFFSET($BO$15,0,0,$B$14,1)) + $B$18/($B$19*$B$19*($DN34&lt;&gt;$DO34) + $B$19*($DN34=$DO34))</f>
        <v>3.7037037037037035E-4</v>
      </c>
      <c r="EB34" s="10" cm="1">
        <f t="array" aca="1" ref="EB34" ca="1">(1-$B$18)*SUMPRODUCT(OFFSET($BO$15,0,0,$B$14,1), 1*(_xlfn._xlws.FILTER(OFFSET($O$15,0,$DN34,$B$8,1),OFFSET($M$15,0,0,$B$8,1))=EB$13), 1*(_xlfn._xlws.FILTER(OFFSET($O$15,0,$DO34,$B$8,1),OFFSET($M$15,0,0,$B$8,1))=EB$14))   /   SUM(OFFSET($BO$15,0,0,$B$14,1)) + $B$18/($B$19*$B$19*($DN34&lt;&gt;$DO34) + $B$19*($DN34=$DO34))</f>
        <v>3.7037037037037035E-4</v>
      </c>
      <c r="EC34" s="10" cm="1">
        <f t="array" aca="1" ref="EC34" ca="1">(1-$B$18)*SUMPRODUCT(OFFSET($BO$15,0,0,$B$14,1), 1*(_xlfn._xlws.FILTER(OFFSET($O$15,0,$DN34,$B$8,1),OFFSET($M$15,0,0,$B$8,1))=EC$13), 1*(_xlfn._xlws.FILTER(OFFSET($O$15,0,$DO34,$B$8,1),OFFSET($M$15,0,0,$B$8,1))=EC$14))   /   SUM(OFFSET($BO$15,0,0,$B$14,1)) + $B$18/($B$19*$B$19*($DN34&lt;&gt;$DO34) + $B$19*($DN34=$DO34))</f>
        <v>3.7037037037037035E-4</v>
      </c>
      <c r="ED34" s="10" cm="1">
        <f t="array" aca="1" ref="ED34" ca="1">(1-$B$18)*SUMPRODUCT(OFFSET($BO$15,0,0,$B$14,1), 1*(_xlfn._xlws.FILTER(OFFSET($O$15,0,$DN34,$B$8,1),OFFSET($M$15,0,0,$B$8,1))=ED$13), 1*(_xlfn._xlws.FILTER(OFFSET($O$15,0,$DO34,$B$8,1),OFFSET($M$15,0,0,$B$8,1))=ED$14))   /   SUM(OFFSET($BO$15,0,0,$B$14,1)) + $B$18/($B$19*$B$19*($DN34&lt;&gt;$DO34) + $B$19*($DN34=$DO34))</f>
        <v>3.7037037037037035E-4</v>
      </c>
      <c r="EE34" s="10" cm="1">
        <f t="array" aca="1" ref="EE34" ca="1">(1-$B$18)*SUMPRODUCT(OFFSET($BO$15,0,0,$B$14,1), 1*(_xlfn._xlws.FILTER(OFFSET($O$15,0,$DN34,$B$8,1),OFFSET($M$15,0,0,$B$8,1))=EE$13), 1*(_xlfn._xlws.FILTER(OFFSET($O$15,0,$DO34,$B$8,1),OFFSET($M$15,0,0,$B$8,1))=EE$14))   /   SUM(OFFSET($BO$15,0,0,$B$14,1)) + $B$18/($B$19*$B$19*($DN34&lt;&gt;$DO34) + $B$19*($DN34=$DO34))</f>
        <v>3.7037037037037035E-4</v>
      </c>
      <c r="EF34" s="10" cm="1">
        <f t="array" aca="1" ref="EF34" ca="1">(1-$B$18)*SUMPRODUCT(OFFSET($BO$15,0,0,$B$14,1), 1*(_xlfn._xlws.FILTER(OFFSET($O$15,0,$DN34,$B$8,1),OFFSET($M$15,0,0,$B$8,1))=EF$13), 1*(_xlfn._xlws.FILTER(OFFSET($O$15,0,$DO34,$B$8,1),OFFSET($M$15,0,0,$B$8,1))=EF$14))   /   SUM(OFFSET($BO$15,0,0,$B$14,1)) + $B$18/($B$19*$B$19*($DN34&lt;&gt;$DO34) + $B$19*($DN34=$DO34))</f>
        <v>3.7037037037037035E-4</v>
      </c>
      <c r="EG34" s="10" cm="1">
        <f t="array" aca="1" ref="EG34" ca="1">(1-$B$18)*SUMPRODUCT(OFFSET($BO$15,0,0,$B$14,1), 1*(_xlfn._xlws.FILTER(OFFSET($O$15,0,$DN34,$B$8,1),OFFSET($M$15,0,0,$B$8,1))=EG$13), 1*(_xlfn._xlws.FILTER(OFFSET($O$15,0,$DO34,$B$8,1),OFFSET($M$15,0,0,$B$8,1))=EG$14))   /   SUM(OFFSET($BO$15,0,0,$B$14,1)) + $B$18/($B$19*$B$19*($DN34&lt;&gt;$DO34) + $B$19*($DN34=$DO34))</f>
        <v>3.7037037037037035E-4</v>
      </c>
      <c r="EH34" s="10" cm="1">
        <f t="array" aca="1" ref="EH34" ca="1">(1-$B$18)*SUMPRODUCT(OFFSET($BO$15,0,0,$B$14,1), 1*(_xlfn._xlws.FILTER(OFFSET($O$15,0,$DN34,$B$8,1),OFFSET($M$15,0,0,$B$8,1))=EH$13), 1*(_xlfn._xlws.FILTER(OFFSET($O$15,0,$DO34,$B$8,1),OFFSET($M$15,0,0,$B$8,1))=EH$14))   /   SUM(OFFSET($BO$15,0,0,$B$14,1)) + $B$18/($B$19*$B$19*($DN34&lt;&gt;$DO34) + $B$19*($DN34=$DO34))</f>
        <v>3.7037037037037035E-4</v>
      </c>
      <c r="EI34" s="10" cm="1">
        <f t="array" aca="1" ref="EI34" ca="1">(1-$B$18)*SUMPRODUCT(OFFSET($BO$15,0,0,$B$14,1), 1*(_xlfn._xlws.FILTER(OFFSET($O$15,0,$DN34,$B$8,1),OFFSET($M$15,0,0,$B$8,1))=EI$13), 1*(_xlfn._xlws.FILTER(OFFSET($O$15,0,$DO34,$B$8,1),OFFSET($M$15,0,0,$B$8,1))=EI$14))   /   SUM(OFFSET($BO$15,0,0,$B$14,1)) + $B$18/($B$19*$B$19*($DN34&lt;&gt;$DO34) + $B$19*($DN34=$DO34))</f>
        <v>3.7037037037037035E-4</v>
      </c>
      <c r="EJ34" s="10" cm="1">
        <f t="array" aca="1" ref="EJ34" ca="1">(1-$B$18)*SUMPRODUCT(OFFSET($BO$15,0,0,$B$14,1), 1*(_xlfn._xlws.FILTER(OFFSET($O$15,0,$DN34,$B$8,1),OFFSET($M$15,0,0,$B$8,1))=EJ$13), 1*(_xlfn._xlws.FILTER(OFFSET($O$15,0,$DO34,$B$8,1),OFFSET($M$15,0,0,$B$8,1))=EJ$14))   /   SUM(OFFSET($BO$15,0,0,$B$14,1)) + $B$18/($B$19*$B$19*($DN34&lt;&gt;$DO34) + $B$19*($DN34=$DO34))</f>
        <v>3.7037037037037035E-4</v>
      </c>
      <c r="EK34" s="10" cm="1">
        <f t="array" aca="1" ref="EK34" ca="1">(1-$B$18)*SUMPRODUCT(OFFSET($BO$15,0,0,$B$14,1), 1*(_xlfn._xlws.FILTER(OFFSET($O$15,0,$DN34,$B$8,1),OFFSET($M$15,0,0,$B$8,1))=EK$13), 1*(_xlfn._xlws.FILTER(OFFSET($O$15,0,$DO34,$B$8,1),OFFSET($M$15,0,0,$B$8,1))=EK$14))   /   SUM(OFFSET($BO$15,0,0,$B$14,1)) + $B$18/($B$19*$B$19*($DN34&lt;&gt;$DO34) + $B$19*($DN34=$DO34))</f>
        <v>3.7037037037037035E-4</v>
      </c>
      <c r="EL34" s="10" cm="1">
        <f t="array" aca="1" ref="EL34" ca="1">(1-$B$18)*SUMPRODUCT(OFFSET($BO$15,0,0,$B$14,1), 1*(_xlfn._xlws.FILTER(OFFSET($O$15,0,$DN34,$B$8,1),OFFSET($M$15,0,0,$B$8,1))=EL$13), 1*(_xlfn._xlws.FILTER(OFFSET($O$15,0,$DO34,$B$8,1),OFFSET($M$15,0,0,$B$8,1))=EL$14))   /   SUM(OFFSET($BO$15,0,0,$B$14,1)) + $B$18/($B$19*$B$19*($DN34&lt;&gt;$DO34) + $B$19*($DN34=$DO34))</f>
        <v>3.7037037037037035E-4</v>
      </c>
      <c r="EM34" s="10" cm="1">
        <f t="array" aca="1" ref="EM34" ca="1">(1-$B$18)*SUMPRODUCT(OFFSET($BO$15,0,0,$B$14,1), 1*(_xlfn._xlws.FILTER(OFFSET($O$15,0,$DN34,$B$8,1),OFFSET($M$15,0,0,$B$8,1))=EM$13), 1*(_xlfn._xlws.FILTER(OFFSET($O$15,0,$DO34,$B$8,1),OFFSET($M$15,0,0,$B$8,1))=EM$14))   /   SUM(OFFSET($BO$15,0,0,$B$14,1)) + $B$18/($B$19*$B$19*($DN34&lt;&gt;$DO34) + $B$19*($DN34=$DO34))</f>
        <v>3.7037037037037035E-4</v>
      </c>
      <c r="EN34" s="10" cm="1">
        <f t="array" aca="1" ref="EN34" ca="1">(1-$B$18)*SUMPRODUCT(OFFSET($BO$15,0,0,$B$14,1), 1*(_xlfn._xlws.FILTER(OFFSET($O$15,0,$DN34,$B$8,1),OFFSET($M$15,0,0,$B$8,1))=EN$13), 1*(_xlfn._xlws.FILTER(OFFSET($O$15,0,$DO34,$B$8,1),OFFSET($M$15,0,0,$B$8,1))=EN$14))   /   SUM(OFFSET($BO$15,0,0,$B$14,1)) + $B$18/($B$19*$B$19*($DN34&lt;&gt;$DO34) + $B$19*($DN34=$DO34))</f>
        <v>3.7037037037037035E-4</v>
      </c>
      <c r="EO34" s="10" cm="1">
        <f t="array" aca="1" ref="EO34" ca="1">(1-$B$18)*SUMPRODUCT(OFFSET($BO$15,0,0,$B$14,1), 1*(_xlfn._xlws.FILTER(OFFSET($O$15,0,$DN34,$B$8,1),OFFSET($M$15,0,0,$B$8,1))=EO$13), 1*(_xlfn._xlws.FILTER(OFFSET($O$15,0,$DO34,$B$8,1),OFFSET($M$15,0,0,$B$8,1))=EO$14))   /   SUM(OFFSET($BO$15,0,0,$B$14,1)) + $B$18/($B$19*$B$19*($DN34&lt;&gt;$DO34) + $B$19*($DN34=$DO34))</f>
        <v>3.7037037037037035E-4</v>
      </c>
      <c r="EP34" s="10" cm="1">
        <f t="array" aca="1" ref="EP34" ca="1">(1-$B$18)*SUMPRODUCT(OFFSET($BO$15,0,0,$B$14,1), 1*(_xlfn._xlws.FILTER(OFFSET($O$15,0,$DN34,$B$8,1),OFFSET($M$15,0,0,$B$8,1))=EP$13), 1*(_xlfn._xlws.FILTER(OFFSET($O$15,0,$DO34,$B$8,1),OFFSET($M$15,0,0,$B$8,1))=EP$14))   /   SUM(OFFSET($BO$15,0,0,$B$14,1)) + $B$18/($B$19*$B$19*($DN34&lt;&gt;$DO34) + $B$19*($DN34=$DO34))</f>
        <v>3.7037037037037035E-4</v>
      </c>
      <c r="EQ34" s="10" cm="1">
        <f t="array" aca="1" ref="EQ34" ca="1">(1-$B$18)*SUMPRODUCT(OFFSET($BO$15,0,0,$B$14,1), 1*(_xlfn._xlws.FILTER(OFFSET($O$15,0,$DN34,$B$8,1),OFFSET($M$15,0,0,$B$8,1))=EQ$13), 1*(_xlfn._xlws.FILTER(OFFSET($O$15,0,$DO34,$B$8,1),OFFSET($M$15,0,0,$B$8,1))=EQ$14))   /   SUM(OFFSET($BO$15,0,0,$B$14,1)) + $B$18/($B$19*$B$19*($DN34&lt;&gt;$DO34) + $B$19*($DN34=$DO34))</f>
        <v>3.7037037037037035E-4</v>
      </c>
      <c r="ER34" s="10" cm="1">
        <f t="array" aca="1" ref="ER34" ca="1">(1-$B$18)*SUMPRODUCT(OFFSET($BO$15,0,0,$B$14,1), 1*(_xlfn._xlws.FILTER(OFFSET($O$15,0,$DN34,$B$8,1),OFFSET($M$15,0,0,$B$8,1))=ER$13), 1*(_xlfn._xlws.FILTER(OFFSET($O$15,0,$DO34,$B$8,1),OFFSET($M$15,0,0,$B$8,1))=ER$14))   /   SUM(OFFSET($BO$15,0,0,$B$14,1)) + $B$18/($B$19*$B$19*($DN34&lt;&gt;$DO34) + $B$19*($DN34=$DO34))</f>
        <v>3.7037037037037035E-4</v>
      </c>
      <c r="ES34" s="10" cm="1">
        <f t="array" aca="1" ref="ES34" ca="1">(1-$B$18)*SUMPRODUCT(OFFSET($BO$15,0,0,$B$14,1), 1*(_xlfn._xlws.FILTER(OFFSET($O$15,0,$DN34,$B$8,1),OFFSET($M$15,0,0,$B$8,1))=ES$13), 1*(_xlfn._xlws.FILTER(OFFSET($O$15,0,$DO34,$B$8,1),OFFSET($M$15,0,0,$B$8,1))=ES$14))   /   SUM(OFFSET($BO$15,0,0,$B$14,1)) + $B$18/($B$19*$B$19*($DN34&lt;&gt;$DO34) + $B$19*($DN34=$DO34))</f>
        <v>3.7037037037037035E-4</v>
      </c>
      <c r="ET34" s="10" cm="1">
        <f t="array" aca="1" ref="ET34" ca="1">(1-$B$18)*SUMPRODUCT(OFFSET($BO$15,0,0,$B$14,1), 1*(_xlfn._xlws.FILTER(OFFSET($O$15,0,$DN34,$B$8,1),OFFSET($M$15,0,0,$B$8,1))=ET$13), 1*(_xlfn._xlws.FILTER(OFFSET($O$15,0,$DO34,$B$8,1),OFFSET($M$15,0,0,$B$8,1))=ET$14))   /   SUM(OFFSET($BO$15,0,0,$B$14,1)) + $B$18/($B$19*$B$19*($DN34&lt;&gt;$DO34) + $B$19*($DN34=$DO34))</f>
        <v>3.7037037037037035E-4</v>
      </c>
      <c r="EU34" s="10" cm="1">
        <f t="array" aca="1" ref="EU34" ca="1">(1-$B$18)*SUMPRODUCT(OFFSET($BO$15,0,0,$B$14,1), 1*(_xlfn._xlws.FILTER(OFFSET($O$15,0,$DN34,$B$8,1),OFFSET($M$15,0,0,$B$8,1))=EU$13), 1*(_xlfn._xlws.FILTER(OFFSET($O$15,0,$DO34,$B$8,1),OFFSET($M$15,0,0,$B$8,1))=EU$14))   /   SUM(OFFSET($BO$15,0,0,$B$14,1)) + $B$18/($B$19*$B$19*($DN34&lt;&gt;$DO34) + $B$19*($DN34=$DO34))</f>
        <v>3.7037037037037035E-4</v>
      </c>
      <c r="EV34" s="10" cm="1">
        <f t="array" aca="1" ref="EV34" ca="1">(1-$B$18)*SUMPRODUCT(OFFSET($BO$15,0,0,$B$14,1), 1*(_xlfn._xlws.FILTER(OFFSET($O$15,0,$DN34,$B$8,1),OFFSET($M$15,0,0,$B$8,1))=EV$13), 1*(_xlfn._xlws.FILTER(OFFSET($O$15,0,$DO34,$B$8,1),OFFSET($M$15,0,0,$B$8,1))=EV$14))   /   SUM(OFFSET($BO$15,0,0,$B$14,1)) + $B$18/($B$19*$B$19*($DN34&lt;&gt;$DO34) + $B$19*($DN34=$DO34))</f>
        <v>3.7037037037037035E-4</v>
      </c>
      <c r="EW34" s="10" cm="1">
        <f t="array" aca="1" ref="EW34" ca="1">(1-$B$18)*SUMPRODUCT(OFFSET($BO$15,0,0,$B$14,1), 1*(_xlfn._xlws.FILTER(OFFSET($O$15,0,$DN34,$B$8,1),OFFSET($M$15,0,0,$B$8,1))=EW$13), 1*(_xlfn._xlws.FILTER(OFFSET($O$15,0,$DO34,$B$8,1),OFFSET($M$15,0,0,$B$8,1))=EW$14))   /   SUM(OFFSET($BO$15,0,0,$B$14,1)) + $B$18/($B$19*$B$19*($DN34&lt;&gt;$DO34) + $B$19*($DN34=$DO34))</f>
        <v>3.7037037037037035E-4</v>
      </c>
      <c r="EX34" s="10" cm="1">
        <f t="array" aca="1" ref="EX34" ca="1">(1-$B$18)*SUMPRODUCT(OFFSET($BO$15,0,0,$B$14,1), 1*(_xlfn._xlws.FILTER(OFFSET($O$15,0,$DN34,$B$8,1),OFFSET($M$15,0,0,$B$8,1))=EX$13), 1*(_xlfn._xlws.FILTER(OFFSET($O$15,0,$DO34,$B$8,1),OFFSET($M$15,0,0,$B$8,1))=EX$14))   /   SUM(OFFSET($BO$15,0,0,$B$14,1)) + $B$18/($B$19*$B$19*($DN34&lt;&gt;$DO34) + $B$19*($DN34=$DO34))</f>
        <v>3.7037037037037035E-4</v>
      </c>
      <c r="EY34" s="10" cm="1">
        <f t="array" aca="1" ref="EY34" ca="1">(1-$B$18)*SUMPRODUCT(OFFSET($BO$15,0,0,$B$14,1), 1*(_xlfn._xlws.FILTER(OFFSET($O$15,0,$DN34,$B$8,1),OFFSET($M$15,0,0,$B$8,1))=EY$13), 1*(_xlfn._xlws.FILTER(OFFSET($O$15,0,$DO34,$B$8,1),OFFSET($M$15,0,0,$B$8,1))=EY$14))   /   SUM(OFFSET($BO$15,0,0,$B$14,1)) + $B$18/($B$19*$B$19*($DN34&lt;&gt;$DO34) + $B$19*($DN34=$DO34))</f>
        <v>3.7037037037037035E-4</v>
      </c>
      <c r="EZ34" s="10" cm="1">
        <f t="array" aca="1" ref="EZ34" ca="1">(1-$B$18)*SUMPRODUCT(OFFSET($BO$15,0,0,$B$14,1), 1*(_xlfn._xlws.FILTER(OFFSET($O$15,0,$DN34,$B$8,1),OFFSET($M$15,0,0,$B$8,1))=EZ$13), 1*(_xlfn._xlws.FILTER(OFFSET($O$15,0,$DO34,$B$8,1),OFFSET($M$15,0,0,$B$8,1))=EZ$14))   /   SUM(OFFSET($BO$15,0,0,$B$14,1)) + $B$18/($B$19*$B$19*($DN34&lt;&gt;$DO34) + $B$19*($DN34=$DO34))</f>
        <v>3.7037037037037035E-4</v>
      </c>
      <c r="FA34" s="10" cm="1">
        <f t="array" aca="1" ref="FA34" ca="1">(1-$B$18)*SUMPRODUCT(OFFSET($BO$15,0,0,$B$14,1), 1*(_xlfn._xlws.FILTER(OFFSET($O$15,0,$DN34,$B$8,1),OFFSET($M$15,0,0,$B$8,1))=FA$13), 1*(_xlfn._xlws.FILTER(OFFSET($O$15,0,$DO34,$B$8,1),OFFSET($M$15,0,0,$B$8,1))=FA$14))   /   SUM(OFFSET($BO$15,0,0,$B$14,1)) + $B$18/($B$19*$B$19*($DN34&lt;&gt;$DO34) + $B$19*($DN34=$DO34))</f>
        <v>3.7037037037037035E-4</v>
      </c>
      <c r="FB34" s="10" cm="1">
        <f t="array" aca="1" ref="FB34" ca="1">(1-$B$18)*SUMPRODUCT(OFFSET($BO$15,0,0,$B$14,1), 1*(_xlfn._xlws.FILTER(OFFSET($O$15,0,$DN34,$B$8,1),OFFSET($M$15,0,0,$B$8,1))=FB$13), 1*(_xlfn._xlws.FILTER(OFFSET($O$15,0,$DO34,$B$8,1),OFFSET($M$15,0,0,$B$8,1))=FB$14))   /   SUM(OFFSET($BO$15,0,0,$B$14,1)) + $B$18/($B$19*$B$19*($DN34&lt;&gt;$DO34) + $B$19*($DN34=$DO34))</f>
        <v>3.7037037037037035E-4</v>
      </c>
      <c r="FC34" s="10" cm="1">
        <f t="array" aca="1" ref="FC34" ca="1">(1-$B$18)*SUMPRODUCT(OFFSET($BO$15,0,0,$B$14,1), 1*(_xlfn._xlws.FILTER(OFFSET($O$15,0,$DN34,$B$8,1),OFFSET($M$15,0,0,$B$8,1))=FC$13), 1*(_xlfn._xlws.FILTER(OFFSET($O$15,0,$DO34,$B$8,1),OFFSET($M$15,0,0,$B$8,1))=FC$14))   /   SUM(OFFSET($BO$15,0,0,$B$14,1)) + $B$18/($B$19*$B$19*($DN34&lt;&gt;$DO34) + $B$19*($DN34=$DO34))</f>
        <v>3.7037037037037035E-4</v>
      </c>
      <c r="FD34" s="10" cm="1">
        <f t="array" aca="1" ref="FD34" ca="1">(1-$B$18)*SUMPRODUCT(OFFSET($BO$15,0,0,$B$14,1), 1*(_xlfn._xlws.FILTER(OFFSET($O$15,0,$DN34,$B$8,1),OFFSET($M$15,0,0,$B$8,1))=FD$13), 1*(_xlfn._xlws.FILTER(OFFSET($O$15,0,$DO34,$B$8,1),OFFSET($M$15,0,0,$B$8,1))=FD$14))   /   SUM(OFFSET($BO$15,0,0,$B$14,1)) + $B$18/($B$19*$B$19*($DN34&lt;&gt;$DO34) + $B$19*($DN34=$DO34))</f>
        <v>3.7037037037037035E-4</v>
      </c>
      <c r="FE34" s="10" cm="1">
        <f t="array" aca="1" ref="FE34" ca="1">(1-$B$18)*SUMPRODUCT(OFFSET($BO$15,0,0,$B$14,1), 1*(_xlfn._xlws.FILTER(OFFSET($O$15,0,$DN34,$B$8,1),OFFSET($M$15,0,0,$B$8,1))=FE$13), 1*(_xlfn._xlws.FILTER(OFFSET($O$15,0,$DO34,$B$8,1),OFFSET($M$15,0,0,$B$8,1))=FE$14))   /   SUM(OFFSET($BO$15,0,0,$B$14,1)) + $B$18/($B$19*$B$19*($DN34&lt;&gt;$DO34) + $B$19*($DN34=$DO34))</f>
        <v>3.7037037037037035E-4</v>
      </c>
      <c r="FF34" s="10" cm="1">
        <f t="array" aca="1" ref="FF34" ca="1">(1-$B$18)*SUMPRODUCT(OFFSET($BO$15,0,0,$B$14,1), 1*(_xlfn._xlws.FILTER(OFFSET($O$15,0,$DN34,$B$8,1),OFFSET($M$15,0,0,$B$8,1))=FF$13), 1*(_xlfn._xlws.FILTER(OFFSET($O$15,0,$DO34,$B$8,1),OFFSET($M$15,0,0,$B$8,1))=FF$14))   /   SUM(OFFSET($BO$15,0,0,$B$14,1)) + $B$18/($B$19*$B$19*($DN34&lt;&gt;$DO34) + $B$19*($DN34=$DO34))</f>
        <v>3.7037037037037035E-4</v>
      </c>
      <c r="FG34" s="10" cm="1">
        <f t="array" aca="1" ref="FG34" ca="1">(1-$B$18)*SUMPRODUCT(OFFSET($BO$15,0,0,$B$14,1), 1*(_xlfn._xlws.FILTER(OFFSET($O$15,0,$DN34,$B$8,1),OFFSET($M$15,0,0,$B$8,1))=FG$13), 1*(_xlfn._xlws.FILTER(OFFSET($O$15,0,$DO34,$B$8,1),OFFSET($M$15,0,0,$B$8,1))=FG$14))   /   SUM(OFFSET($BO$15,0,0,$B$14,1)) + $B$18/($B$19*$B$19*($DN34&lt;&gt;$DO34) + $B$19*($DN34=$DO34))</f>
        <v>3.7037037037037035E-4</v>
      </c>
      <c r="FH34" s="10" cm="1">
        <f t="array" aca="1" ref="FH34" ca="1">(1-$B$18)*SUMPRODUCT(OFFSET($BO$15,0,0,$B$14,1), 1*(_xlfn._xlws.FILTER(OFFSET($O$15,0,$DN34,$B$8,1),OFFSET($M$15,0,0,$B$8,1))=FH$13), 1*(_xlfn._xlws.FILTER(OFFSET($O$15,0,$DO34,$B$8,1),OFFSET($M$15,0,0,$B$8,1))=FH$14))   /   SUM(OFFSET($BO$15,0,0,$B$14,1)) + $B$18/($B$19*$B$19*($DN34&lt;&gt;$DO34) + $B$19*($DN34=$DO34))</f>
        <v>3.7037037037037035E-4</v>
      </c>
      <c r="FI34" s="10" cm="1">
        <f t="array" aca="1" ref="FI34" ca="1">(1-$B$18)*SUMPRODUCT(OFFSET($BO$15,0,0,$B$14,1), 1*(_xlfn._xlws.FILTER(OFFSET($O$15,0,$DN34,$B$8,1),OFFSET($M$15,0,0,$B$8,1))=FI$13), 1*(_xlfn._xlws.FILTER(OFFSET($O$15,0,$DO34,$B$8,1),OFFSET($M$15,0,0,$B$8,1))=FI$14))   /   SUM(OFFSET($BO$15,0,0,$B$14,1)) + $B$18/($B$19*$B$19*($DN34&lt;&gt;$DO34) + $B$19*($DN34=$DO34))</f>
        <v>3.7037037037037035E-4</v>
      </c>
      <c r="FJ34" s="10" cm="1">
        <f t="array" aca="1" ref="FJ34" ca="1">(1-$B$18)*SUMPRODUCT(OFFSET($BO$15,0,0,$B$14,1), 1*(_xlfn._xlws.FILTER(OFFSET($O$15,0,$DN34,$B$8,1),OFFSET($M$15,0,0,$B$8,1))=FJ$13), 1*(_xlfn._xlws.FILTER(OFFSET($O$15,0,$DO34,$B$8,1),OFFSET($M$15,0,0,$B$8,1))=FJ$14))   /   SUM(OFFSET($BO$15,0,0,$B$14,1)) + $B$18/($B$19*$B$19*($DN34&lt;&gt;$DO34) + $B$19*($DN34=$DO34))</f>
        <v>3.7037037037037035E-4</v>
      </c>
      <c r="FK34" s="10" cm="1">
        <f t="array" aca="1" ref="FK34" ca="1">(1-$B$18)*SUMPRODUCT(OFFSET($BO$15,0,0,$B$14,1), 1*(_xlfn._xlws.FILTER(OFFSET($O$15,0,$DN34,$B$8,1),OFFSET($M$15,0,0,$B$8,1))=FK$13), 1*(_xlfn._xlws.FILTER(OFFSET($O$15,0,$DO34,$B$8,1),OFFSET($M$15,0,0,$B$8,1))=FK$14))   /   SUM(OFFSET($BO$15,0,0,$B$14,1)) + $B$18/($B$19*$B$19*($DN34&lt;&gt;$DO34) + $B$19*($DN34=$DO34))</f>
        <v>3.7037037037037035E-4</v>
      </c>
      <c r="FL34" s="10" cm="1">
        <f t="array" aca="1" ref="FL34" ca="1">(1-$B$18)*SUMPRODUCT(OFFSET($BO$15,0,0,$B$14,1), 1*(_xlfn._xlws.FILTER(OFFSET($O$15,0,$DN34,$B$8,1),OFFSET($M$15,0,0,$B$8,1))=FL$13), 1*(_xlfn._xlws.FILTER(OFFSET($O$15,0,$DO34,$B$8,1),OFFSET($M$15,0,0,$B$8,1))=FL$14))   /   SUM(OFFSET($BO$15,0,0,$B$14,1)) + $B$18/($B$19*$B$19*($DN34&lt;&gt;$DO34) + $B$19*($DN34=$DO34))</f>
        <v>3.7037037037037035E-4</v>
      </c>
      <c r="FM34" s="10" cm="1">
        <f t="array" aca="1" ref="FM34" ca="1">(1-$B$18)*SUMPRODUCT(OFFSET($BO$15,0,0,$B$14,1), 1*(_xlfn._xlws.FILTER(OFFSET($O$15,0,$DN34,$B$8,1),OFFSET($M$15,0,0,$B$8,1))=FM$13), 1*(_xlfn._xlws.FILTER(OFFSET($O$15,0,$DO34,$B$8,1),OFFSET($M$15,0,0,$B$8,1))=FM$14))   /   SUM(OFFSET($BO$15,0,0,$B$14,1)) + $B$18/($B$19*$B$19*($DN34&lt;&gt;$DO34) + $B$19*($DN34=$DO34))</f>
        <v>3.7037037037037035E-4</v>
      </c>
      <c r="FN34" s="10" cm="1">
        <f t="array" aca="1" ref="FN34" ca="1">(1-$B$18)*SUMPRODUCT(OFFSET($BO$15,0,0,$B$14,1), 1*(_xlfn._xlws.FILTER(OFFSET($O$15,0,$DN34,$B$8,1),OFFSET($M$15,0,0,$B$8,1))=FN$13), 1*(_xlfn._xlws.FILTER(OFFSET($O$15,0,$DO34,$B$8,1),OFFSET($M$15,0,0,$B$8,1))=FN$14))   /   SUM(OFFSET($BO$15,0,0,$B$14,1)) + $B$18/($B$19*$B$19*($DN34&lt;&gt;$DO34) + $B$19*($DN34=$DO34))</f>
        <v>3.7037037037037035E-4</v>
      </c>
      <c r="FO34" s="10" cm="1">
        <f t="array" aca="1" ref="FO34" ca="1">(1-$B$18)*SUMPRODUCT(OFFSET($BO$15,0,0,$B$14,1), 1*(_xlfn._xlws.FILTER(OFFSET($O$15,0,$DN34,$B$8,1),OFFSET($M$15,0,0,$B$8,1))=FO$13), 1*(_xlfn._xlws.FILTER(OFFSET($O$15,0,$DO34,$B$8,1),OFFSET($M$15,0,0,$B$8,1))=FO$14))   /   SUM(OFFSET($BO$15,0,0,$B$14,1)) + $B$18/($B$19*$B$19*($DN34&lt;&gt;$DO34) + $B$19*($DN34=$DO34))</f>
        <v>3.7037037037037035E-4</v>
      </c>
      <c r="FP34" s="10" cm="1">
        <f t="array" aca="1" ref="FP34" ca="1">(1-$B$18)*SUMPRODUCT(OFFSET($BO$15,0,0,$B$14,1), 1*(_xlfn._xlws.FILTER(OFFSET($O$15,0,$DN34,$B$8,1),OFFSET($M$15,0,0,$B$8,1))=FP$13), 1*(_xlfn._xlws.FILTER(OFFSET($O$15,0,$DO34,$B$8,1),OFFSET($M$15,0,0,$B$8,1))=FP$14))   /   SUM(OFFSET($BO$15,0,0,$B$14,1)) + $B$18/($B$19*$B$19*($DN34&lt;&gt;$DO34) + $B$19*($DN34=$DO34))</f>
        <v>3.7037037037037035E-4</v>
      </c>
      <c r="FQ34" s="10" cm="1">
        <f t="array" aca="1" ref="FQ34" ca="1">(1-$B$18)*SUMPRODUCT(OFFSET($BO$15,0,0,$B$14,1), 1*(_xlfn._xlws.FILTER(OFFSET($O$15,0,$DN34,$B$8,1),OFFSET($M$15,0,0,$B$8,1))=FQ$13), 1*(_xlfn._xlws.FILTER(OFFSET($O$15,0,$DO34,$B$8,1),OFFSET($M$15,0,0,$B$8,1))=FQ$14))   /   SUM(OFFSET($BO$15,0,0,$B$14,1)) + $B$18/($B$19*$B$19*($DN34&lt;&gt;$DO34) + $B$19*($DN34=$DO34))</f>
        <v>3.7037037037037035E-4</v>
      </c>
      <c r="FR34" s="10" cm="1">
        <f t="array" aca="1" ref="FR34" ca="1">(1-$B$18)*SUMPRODUCT(OFFSET($BO$15,0,0,$B$14,1), 1*(_xlfn._xlws.FILTER(OFFSET($O$15,0,$DN34,$B$8,1),OFFSET($M$15,0,0,$B$8,1))=FR$13), 1*(_xlfn._xlws.FILTER(OFFSET($O$15,0,$DO34,$B$8,1),OFFSET($M$15,0,0,$B$8,1))=FR$14))   /   SUM(OFFSET($BO$15,0,0,$B$14,1)) + $B$18/($B$19*$B$19*($DN34&lt;&gt;$DO34) + $B$19*($DN34=$DO34))</f>
        <v>0.97037037037037033</v>
      </c>
      <c r="FS34" s="10" cm="1">
        <f t="array" aca="1" ref="FS34" ca="1">(1-$B$18)*SUMPRODUCT(OFFSET($BO$15,0,0,$B$14,1), 1*(_xlfn._xlws.FILTER(OFFSET($O$15,0,$DN34,$B$8,1),OFFSET($M$15,0,0,$B$8,1))=FS$13), 1*(_xlfn._xlws.FILTER(OFFSET($O$15,0,$DO34,$B$8,1),OFFSET($M$15,0,0,$B$8,1))=FS$14))   /   SUM(OFFSET($BO$15,0,0,$B$14,1)) + $B$18/($B$19*$B$19*($DN34&lt;&gt;$DO34) + $B$19*($DN34=$DO34))</f>
        <v>3.7037037037037035E-4</v>
      </c>
      <c r="FT34" s="10" cm="1">
        <f t="array" aca="1" ref="FT34" ca="1">(1-$B$18)*SUMPRODUCT(OFFSET($BO$15,0,0,$B$14,1), 1*(_xlfn._xlws.FILTER(OFFSET($O$15,0,$DN34,$B$8,1),OFFSET($M$15,0,0,$B$8,1))=FT$13), 1*(_xlfn._xlws.FILTER(OFFSET($O$15,0,$DO34,$B$8,1),OFFSET($M$15,0,0,$B$8,1))=FT$14))   /   SUM(OFFSET($BO$15,0,0,$B$14,1)) + $B$18/($B$19*$B$19*($DN34&lt;&gt;$DO34) + $B$19*($DN34=$DO34))</f>
        <v>3.7037037037037035E-4</v>
      </c>
      <c r="FU34" s="10" cm="1">
        <f t="array" aca="1" ref="FU34" ca="1">(1-$B$18)*SUMPRODUCT(OFFSET($BO$15,0,0,$B$14,1), 1*(_xlfn._xlws.FILTER(OFFSET($O$15,0,$DN34,$B$8,1),OFFSET($M$15,0,0,$B$8,1))=FU$13), 1*(_xlfn._xlws.FILTER(OFFSET($O$15,0,$DO34,$B$8,1),OFFSET($M$15,0,0,$B$8,1))=FU$14))   /   SUM(OFFSET($BO$15,0,0,$B$14,1)) + $B$18/($B$19*$B$19*($DN34&lt;&gt;$DO34) + $B$19*($DN34=$DO34))</f>
        <v>3.7037037037037035E-4</v>
      </c>
      <c r="FV34" s="10" cm="1">
        <f t="array" aca="1" ref="FV34" ca="1">(1-$B$18)*SUMPRODUCT(OFFSET($BO$15,0,0,$B$14,1), 1*(_xlfn._xlws.FILTER(OFFSET($O$15,0,$DN34,$B$8,1),OFFSET($M$15,0,0,$B$8,1))=FV$13), 1*(_xlfn._xlws.FILTER(OFFSET($O$15,0,$DO34,$B$8,1),OFFSET($M$15,0,0,$B$8,1))=FV$14))   /   SUM(OFFSET($BO$15,0,0,$B$14,1)) + $B$18/($B$19*$B$19*($DN34&lt;&gt;$DO34) + $B$19*($DN34=$DO34))</f>
        <v>3.7037037037037035E-4</v>
      </c>
      <c r="FW34" s="10" cm="1">
        <f t="array" aca="1" ref="FW34" ca="1">(1-$B$18)*SUMPRODUCT(OFFSET($BO$15,0,0,$B$14,1), 1*(_xlfn._xlws.FILTER(OFFSET($O$15,0,$DN34,$B$8,1),OFFSET($M$15,0,0,$B$8,1))=FW$13), 1*(_xlfn._xlws.FILTER(OFFSET($O$15,0,$DO34,$B$8,1),OFFSET($M$15,0,0,$B$8,1))=FW$14))   /   SUM(OFFSET($BO$15,0,0,$B$14,1)) + $B$18/($B$19*$B$19*($DN34&lt;&gt;$DO34) + $B$19*($DN34=$DO34))</f>
        <v>3.7037037037037035E-4</v>
      </c>
      <c r="FX34" s="10" cm="1">
        <f t="array" aca="1" ref="FX34" ca="1">(1-$B$18)*SUMPRODUCT(OFFSET($BO$15,0,0,$B$14,1), 1*(_xlfn._xlws.FILTER(OFFSET($O$15,0,$DN34,$B$8,1),OFFSET($M$15,0,0,$B$8,1))=FX$13), 1*(_xlfn._xlws.FILTER(OFFSET($O$15,0,$DO34,$B$8,1),OFFSET($M$15,0,0,$B$8,1))=FX$14))   /   SUM(OFFSET($BO$15,0,0,$B$14,1)) + $B$18/($B$19*$B$19*($DN34&lt;&gt;$DO34) + $B$19*($DN34=$DO34))</f>
        <v>3.7037037037037035E-4</v>
      </c>
      <c r="FY34" s="10" cm="1">
        <f t="array" aca="1" ref="FY34" ca="1">(1-$B$18)*SUMPRODUCT(OFFSET($BO$15,0,0,$B$14,1), 1*(_xlfn._xlws.FILTER(OFFSET($O$15,0,$DN34,$B$8,1),OFFSET($M$15,0,0,$B$8,1))=FY$13), 1*(_xlfn._xlws.FILTER(OFFSET($O$15,0,$DO34,$B$8,1),OFFSET($M$15,0,0,$B$8,1))=FY$14))   /   SUM(OFFSET($BO$15,0,0,$B$14,1)) + $B$18/($B$19*$B$19*($DN34&lt;&gt;$DO34) + $B$19*($DN34=$DO34))</f>
        <v>3.7037037037037035E-4</v>
      </c>
      <c r="FZ34" s="10" cm="1">
        <f t="array" aca="1" ref="FZ34" ca="1">(1-$B$18)*SUMPRODUCT(OFFSET($BO$15,0,0,$B$14,1), 1*(_xlfn._xlws.FILTER(OFFSET($O$15,0,$DN34,$B$8,1),OFFSET($M$15,0,0,$B$8,1))=FZ$13), 1*(_xlfn._xlws.FILTER(OFFSET($O$15,0,$DO34,$B$8,1),OFFSET($M$15,0,0,$B$8,1))=FZ$14))   /   SUM(OFFSET($BO$15,0,0,$B$14,1)) + $B$18/($B$19*$B$19*($DN34&lt;&gt;$DO34) + $B$19*($DN34=$DO34))</f>
        <v>3.7037037037037035E-4</v>
      </c>
      <c r="GA34" s="10" cm="1">
        <f t="array" aca="1" ref="GA34" ca="1">(1-$B$18)*SUMPRODUCT(OFFSET($BO$15,0,0,$B$14,1), 1*(_xlfn._xlws.FILTER(OFFSET($O$15,0,$DN34,$B$8,1),OFFSET($M$15,0,0,$B$8,1))=GA$13), 1*(_xlfn._xlws.FILTER(OFFSET($O$15,0,$DO34,$B$8,1),OFFSET($M$15,0,0,$B$8,1))=GA$14))   /   SUM(OFFSET($BO$15,0,0,$B$14,1)) + $B$18/($B$19*$B$19*($DN34&lt;&gt;$DO34) + $B$19*($DN34=$DO34))</f>
        <v>3.7037037037037035E-4</v>
      </c>
    </row>
    <row r="35" spans="4:183" x14ac:dyDescent="0.2">
      <c r="J35" cm="1">
        <f t="array" aca="1" ref="J35" ca="1">SUMPRODUCT((O35:AJ35=$O$11:$AJ$11)*(O$13:AJ$13=TRUE))  / COUNTIF(O$13:AJ$13,TRUE)</f>
        <v>0.85</v>
      </c>
      <c r="K35" t="b">
        <f t="shared" ca="1" si="4"/>
        <v>1</v>
      </c>
      <c r="L35" cm="1">
        <f t="array" aca="1" ref="L35" ca="1">SUM(
   1*(_xlfn._xlws.FILTER(OFFSET($O35,0,0,1,$B$9),OFFSET($O$13,0,0,1,$B$9)) = "-")
) / $B$13</f>
        <v>0</v>
      </c>
      <c r="M35" t="b">
        <f t="shared" ca="1" si="5"/>
        <v>1</v>
      </c>
      <c r="N35" s="2">
        <v>20</v>
      </c>
      <c r="O35" s="12" t="s">
        <v>11</v>
      </c>
      <c r="P35" s="12" t="s">
        <v>11</v>
      </c>
      <c r="Q35" s="12" t="s">
        <v>11</v>
      </c>
      <c r="R35" s="12" t="s">
        <v>11</v>
      </c>
      <c r="S35" s="12" t="s">
        <v>11</v>
      </c>
      <c r="T35" s="12" t="s">
        <v>11</v>
      </c>
      <c r="U35" s="12" t="s">
        <v>11</v>
      </c>
      <c r="V35" s="12" t="s">
        <v>11</v>
      </c>
      <c r="W35" s="12" t="s">
        <v>11</v>
      </c>
      <c r="X35" s="12" t="s">
        <v>11</v>
      </c>
      <c r="Y35" s="12" t="s">
        <v>0</v>
      </c>
      <c r="Z35" s="12" t="s">
        <v>3</v>
      </c>
      <c r="AA35" s="12" t="s">
        <v>1</v>
      </c>
      <c r="AB35" s="12" t="s">
        <v>1</v>
      </c>
      <c r="AC35" s="12" t="s">
        <v>2</v>
      </c>
      <c r="AD35" s="12" t="s">
        <v>2</v>
      </c>
      <c r="AE35" s="12" t="s">
        <v>5</v>
      </c>
      <c r="AF35" s="12" t="s">
        <v>5</v>
      </c>
      <c r="AG35" s="12" t="s">
        <v>3</v>
      </c>
      <c r="AH35" s="12" t="s">
        <v>3</v>
      </c>
      <c r="AI35" s="12" t="s">
        <v>11</v>
      </c>
      <c r="AJ35" s="12" t="s">
        <v>6</v>
      </c>
      <c r="DN35" cm="1">
        <f t="array" aca="1" ref="DN35" ca="1">INDEX(_xlfn.ANCHORARRAY($CP$15), 1 + INT((ROWS($DO$15:$DO35) - 1) / ROWS(_xlfn.ANCHORARRAY($CP$15))))</f>
        <v>1</v>
      </c>
      <c r="DO35" cm="1">
        <f t="array" aca="1" ref="DO35" ca="1">INDEX(_xlfn.ANCHORARRAY($CP$15),1+MOD(ROWS($DO$15:$DO35)-1,ROWS(_xlfn.ANCHORARRAY($CP$15))))</f>
        <v>1</v>
      </c>
      <c r="DP35" s="10" cm="1">
        <f t="array" aca="1" ref="DP35" ca="1">(1-$B$18)*SUMPRODUCT(OFFSET($BO$15,0,0,$B$14,1), 1*(_xlfn._xlws.FILTER(OFFSET($O$15,0,$DN35,$B$8,1),OFFSET($M$15,0,0,$B$8,1))=DP$13), 1*(_xlfn._xlws.FILTER(OFFSET($O$15,0,$DO35,$B$8,1),OFFSET($M$15,0,0,$B$8,1))=DP$14))   /   SUM(OFFSET($BO$15,0,0,$B$14,1)) + $B$18/($B$19*$B$19*($DN35&lt;&gt;$DO35) + $B$19*($DN35=$DO35))</f>
        <v>3.3333333333333331E-3</v>
      </c>
      <c r="DQ35" s="10" cm="1">
        <f t="array" aca="1" ref="DQ35" ca="1">(1-$B$18)*SUMPRODUCT(OFFSET($BO$15,0,0,$B$14,1), 1*(_xlfn._xlws.FILTER(OFFSET($O$15,0,$DN35,$B$8,1),OFFSET($M$15,0,0,$B$8,1))=DQ$13), 1*(_xlfn._xlws.FILTER(OFFSET($O$15,0,$DO35,$B$8,1),OFFSET($M$15,0,0,$B$8,1))=DQ$14))   /   SUM(OFFSET($BO$15,0,0,$B$14,1)) + $B$18/($B$19*$B$19*($DN35&lt;&gt;$DO35) + $B$19*($DN35=$DO35))</f>
        <v>3.3333333333333331E-3</v>
      </c>
      <c r="DR35" s="10" cm="1">
        <f t="array" aca="1" ref="DR35" ca="1">(1-$B$18)*SUMPRODUCT(OFFSET($BO$15,0,0,$B$14,1), 1*(_xlfn._xlws.FILTER(OFFSET($O$15,0,$DN35,$B$8,1),OFFSET($M$15,0,0,$B$8,1))=DR$13), 1*(_xlfn._xlws.FILTER(OFFSET($O$15,0,$DO35,$B$8,1),OFFSET($M$15,0,0,$B$8,1))=DR$14))   /   SUM(OFFSET($BO$15,0,0,$B$14,1)) + $B$18/($B$19*$B$19*($DN35&lt;&gt;$DO35) + $B$19*($DN35=$DO35))</f>
        <v>3.3333333333333331E-3</v>
      </c>
      <c r="DS35" s="10" cm="1">
        <f t="array" aca="1" ref="DS35" ca="1">(1-$B$18)*SUMPRODUCT(OFFSET($BO$15,0,0,$B$14,1), 1*(_xlfn._xlws.FILTER(OFFSET($O$15,0,$DN35,$B$8,1),OFFSET($M$15,0,0,$B$8,1))=DS$13), 1*(_xlfn._xlws.FILTER(OFFSET($O$15,0,$DO35,$B$8,1),OFFSET($M$15,0,0,$B$8,1))=DS$14))   /   SUM(OFFSET($BO$15,0,0,$B$14,1)) + $B$18/($B$19*$B$19*($DN35&lt;&gt;$DO35) + $B$19*($DN35=$DO35))</f>
        <v>3.3333333333333331E-3</v>
      </c>
      <c r="DT35" s="10" cm="1">
        <f t="array" aca="1" ref="DT35" ca="1">(1-$B$18)*SUMPRODUCT(OFFSET($BO$15,0,0,$B$14,1), 1*(_xlfn._xlws.FILTER(OFFSET($O$15,0,$DN35,$B$8,1),OFFSET($M$15,0,0,$B$8,1))=DT$13), 1*(_xlfn._xlws.FILTER(OFFSET($O$15,0,$DO35,$B$8,1),OFFSET($M$15,0,0,$B$8,1))=DT$14))   /   SUM(OFFSET($BO$15,0,0,$B$14,1)) + $B$18/($B$19*$B$19*($DN35&lt;&gt;$DO35) + $B$19*($DN35=$DO35))</f>
        <v>3.3333333333333331E-3</v>
      </c>
      <c r="DU35" s="10" cm="1">
        <f t="array" aca="1" ref="DU35" ca="1">(1-$B$18)*SUMPRODUCT(OFFSET($BO$15,0,0,$B$14,1), 1*(_xlfn._xlws.FILTER(OFFSET($O$15,0,$DN35,$B$8,1),OFFSET($M$15,0,0,$B$8,1))=DU$13), 1*(_xlfn._xlws.FILTER(OFFSET($O$15,0,$DO35,$B$8,1),OFFSET($M$15,0,0,$B$8,1))=DU$14))   /   SUM(OFFSET($BO$15,0,0,$B$14,1)) + $B$18/($B$19*$B$19*($DN35&lt;&gt;$DO35) + $B$19*($DN35=$DO35))</f>
        <v>3.3333333333333331E-3</v>
      </c>
      <c r="DV35" s="10" cm="1">
        <f t="array" aca="1" ref="DV35" ca="1">(1-$B$18)*SUMPRODUCT(OFFSET($BO$15,0,0,$B$14,1), 1*(_xlfn._xlws.FILTER(OFFSET($O$15,0,$DN35,$B$8,1),OFFSET($M$15,0,0,$B$8,1))=DV$13), 1*(_xlfn._xlws.FILTER(OFFSET($O$15,0,$DO35,$B$8,1),OFFSET($M$15,0,0,$B$8,1))=DV$14))   /   SUM(OFFSET($BO$15,0,0,$B$14,1)) + $B$18/($B$19*$B$19*($DN35&lt;&gt;$DO35) + $B$19*($DN35=$DO35))</f>
        <v>3.3333333333333331E-3</v>
      </c>
      <c r="DW35" s="10" cm="1">
        <f t="array" aca="1" ref="DW35" ca="1">(1-$B$18)*SUMPRODUCT(OFFSET($BO$15,0,0,$B$14,1), 1*(_xlfn._xlws.FILTER(OFFSET($O$15,0,$DN35,$B$8,1),OFFSET($M$15,0,0,$B$8,1))=DW$13), 1*(_xlfn._xlws.FILTER(OFFSET($O$15,0,$DO35,$B$8,1),OFFSET($M$15,0,0,$B$8,1))=DW$14))   /   SUM(OFFSET($BO$15,0,0,$B$14,1)) + $B$18/($B$19*$B$19*($DN35&lt;&gt;$DO35) + $B$19*($DN35=$DO35))</f>
        <v>3.3333333333333331E-3</v>
      </c>
      <c r="DX35" s="10" cm="1">
        <f t="array" aca="1" ref="DX35" ca="1">(1-$B$18)*SUMPRODUCT(OFFSET($BO$15,0,0,$B$14,1), 1*(_xlfn._xlws.FILTER(OFFSET($O$15,0,$DN35,$B$8,1),OFFSET($M$15,0,0,$B$8,1))=DX$13), 1*(_xlfn._xlws.FILTER(OFFSET($O$15,0,$DO35,$B$8,1),OFFSET($M$15,0,0,$B$8,1))=DX$14))   /   SUM(OFFSET($BO$15,0,0,$B$14,1)) + $B$18/($B$19*$B$19*($DN35&lt;&gt;$DO35) + $B$19*($DN35=$DO35))</f>
        <v>3.3333333333333331E-3</v>
      </c>
      <c r="DY35" s="10" cm="1">
        <f t="array" aca="1" ref="DY35" ca="1">(1-$B$18)*SUMPRODUCT(OFFSET($BO$15,0,0,$B$14,1), 1*(_xlfn._xlws.FILTER(OFFSET($O$15,0,$DN35,$B$8,1),OFFSET($M$15,0,0,$B$8,1))=DY$13), 1*(_xlfn._xlws.FILTER(OFFSET($O$15,0,$DO35,$B$8,1),OFFSET($M$15,0,0,$B$8,1))=DY$14))   /   SUM(OFFSET($BO$15,0,0,$B$14,1)) + $B$18/($B$19*$B$19*($DN35&lt;&gt;$DO35) + $B$19*($DN35=$DO35))</f>
        <v>3.3333333333333331E-3</v>
      </c>
      <c r="DZ35" s="10" cm="1">
        <f t="array" aca="1" ref="DZ35" ca="1">(1-$B$18)*SUMPRODUCT(OFFSET($BO$15,0,0,$B$14,1), 1*(_xlfn._xlws.FILTER(OFFSET($O$15,0,$DN35,$B$8,1),OFFSET($M$15,0,0,$B$8,1))=DZ$13), 1*(_xlfn._xlws.FILTER(OFFSET($O$15,0,$DO35,$B$8,1),OFFSET($M$15,0,0,$B$8,1))=DZ$14))   /   SUM(OFFSET($BO$15,0,0,$B$14,1)) + $B$18/($B$19*$B$19*($DN35&lt;&gt;$DO35) + $B$19*($DN35=$DO35))</f>
        <v>3.3333333333333331E-3</v>
      </c>
      <c r="EA35" s="10" cm="1">
        <f t="array" aca="1" ref="EA35" ca="1">(1-$B$18)*SUMPRODUCT(OFFSET($BO$15,0,0,$B$14,1), 1*(_xlfn._xlws.FILTER(OFFSET($O$15,0,$DN35,$B$8,1),OFFSET($M$15,0,0,$B$8,1))=EA$13), 1*(_xlfn._xlws.FILTER(OFFSET($O$15,0,$DO35,$B$8,1),OFFSET($M$15,0,0,$B$8,1))=EA$14))   /   SUM(OFFSET($BO$15,0,0,$B$14,1)) + $B$18/($B$19*$B$19*($DN35&lt;&gt;$DO35) + $B$19*($DN35=$DO35))</f>
        <v>3.3333333333333331E-3</v>
      </c>
      <c r="EB35" s="10" cm="1">
        <f t="array" aca="1" ref="EB35" ca="1">(1-$B$18)*SUMPRODUCT(OFFSET($BO$15,0,0,$B$14,1), 1*(_xlfn._xlws.FILTER(OFFSET($O$15,0,$DN35,$B$8,1),OFFSET($M$15,0,0,$B$8,1))=EB$13), 1*(_xlfn._xlws.FILTER(OFFSET($O$15,0,$DO35,$B$8,1),OFFSET($M$15,0,0,$B$8,1))=EB$14))   /   SUM(OFFSET($BO$15,0,0,$B$14,1)) + $B$18/($B$19*$B$19*($DN35&lt;&gt;$DO35) + $B$19*($DN35=$DO35))</f>
        <v>3.3333333333333331E-3</v>
      </c>
      <c r="EC35" s="10" cm="1">
        <f t="array" aca="1" ref="EC35" ca="1">(1-$B$18)*SUMPRODUCT(OFFSET($BO$15,0,0,$B$14,1), 1*(_xlfn._xlws.FILTER(OFFSET($O$15,0,$DN35,$B$8,1),OFFSET($M$15,0,0,$B$8,1))=EC$13), 1*(_xlfn._xlws.FILTER(OFFSET($O$15,0,$DO35,$B$8,1),OFFSET($M$15,0,0,$B$8,1))=EC$14))   /   SUM(OFFSET($BO$15,0,0,$B$14,1)) + $B$18/($B$19*$B$19*($DN35&lt;&gt;$DO35) + $B$19*($DN35=$DO35))</f>
        <v>3.3333333333333331E-3</v>
      </c>
      <c r="ED35" s="10" cm="1">
        <f t="array" aca="1" ref="ED35" ca="1">(1-$B$18)*SUMPRODUCT(OFFSET($BO$15,0,0,$B$14,1), 1*(_xlfn._xlws.FILTER(OFFSET($O$15,0,$DN35,$B$8,1),OFFSET($M$15,0,0,$B$8,1))=ED$13), 1*(_xlfn._xlws.FILTER(OFFSET($O$15,0,$DO35,$B$8,1),OFFSET($M$15,0,0,$B$8,1))=ED$14))   /   SUM(OFFSET($BO$15,0,0,$B$14,1)) + $B$18/($B$19*$B$19*($DN35&lt;&gt;$DO35) + $B$19*($DN35=$DO35))</f>
        <v>3.3333333333333331E-3</v>
      </c>
      <c r="EE35" s="10" cm="1">
        <f t="array" aca="1" ref="EE35" ca="1">(1-$B$18)*SUMPRODUCT(OFFSET($BO$15,0,0,$B$14,1), 1*(_xlfn._xlws.FILTER(OFFSET($O$15,0,$DN35,$B$8,1),OFFSET($M$15,0,0,$B$8,1))=EE$13), 1*(_xlfn._xlws.FILTER(OFFSET($O$15,0,$DO35,$B$8,1),OFFSET($M$15,0,0,$B$8,1))=EE$14))   /   SUM(OFFSET($BO$15,0,0,$B$14,1)) + $B$18/($B$19*$B$19*($DN35&lt;&gt;$DO35) + $B$19*($DN35=$DO35))</f>
        <v>3.3333333333333331E-3</v>
      </c>
      <c r="EF35" s="10" cm="1">
        <f t="array" aca="1" ref="EF35" ca="1">(1-$B$18)*SUMPRODUCT(OFFSET($BO$15,0,0,$B$14,1), 1*(_xlfn._xlws.FILTER(OFFSET($O$15,0,$DN35,$B$8,1),OFFSET($M$15,0,0,$B$8,1))=EF$13), 1*(_xlfn._xlws.FILTER(OFFSET($O$15,0,$DO35,$B$8,1),OFFSET($M$15,0,0,$B$8,1))=EF$14))   /   SUM(OFFSET($BO$15,0,0,$B$14,1)) + $B$18/($B$19*$B$19*($DN35&lt;&gt;$DO35) + $B$19*($DN35=$DO35))</f>
        <v>3.3333333333333331E-3</v>
      </c>
      <c r="EG35" s="10" cm="1">
        <f t="array" aca="1" ref="EG35" ca="1">(1-$B$18)*SUMPRODUCT(OFFSET($BO$15,0,0,$B$14,1), 1*(_xlfn._xlws.FILTER(OFFSET($O$15,0,$DN35,$B$8,1),OFFSET($M$15,0,0,$B$8,1))=EG$13), 1*(_xlfn._xlws.FILTER(OFFSET($O$15,0,$DO35,$B$8,1),OFFSET($M$15,0,0,$B$8,1))=EG$14))   /   SUM(OFFSET($BO$15,0,0,$B$14,1)) + $B$18/($B$19*$B$19*($DN35&lt;&gt;$DO35) + $B$19*($DN35=$DO35))</f>
        <v>3.3333333333333331E-3</v>
      </c>
      <c r="EH35" s="10" cm="1">
        <f t="array" aca="1" ref="EH35" ca="1">(1-$B$18)*SUMPRODUCT(OFFSET($BO$15,0,0,$B$14,1), 1*(_xlfn._xlws.FILTER(OFFSET($O$15,0,$DN35,$B$8,1),OFFSET($M$15,0,0,$B$8,1))=EH$13), 1*(_xlfn._xlws.FILTER(OFFSET($O$15,0,$DO35,$B$8,1),OFFSET($M$15,0,0,$B$8,1))=EH$14))   /   SUM(OFFSET($BO$15,0,0,$B$14,1)) + $B$18/($B$19*$B$19*($DN35&lt;&gt;$DO35) + $B$19*($DN35=$DO35))</f>
        <v>3.3333333333333331E-3</v>
      </c>
      <c r="EI35" s="10" cm="1">
        <f t="array" aca="1" ref="EI35" ca="1">(1-$B$18)*SUMPRODUCT(OFFSET($BO$15,0,0,$B$14,1), 1*(_xlfn._xlws.FILTER(OFFSET($O$15,0,$DN35,$B$8,1),OFFSET($M$15,0,0,$B$8,1))=EI$13), 1*(_xlfn._xlws.FILTER(OFFSET($O$15,0,$DO35,$B$8,1),OFFSET($M$15,0,0,$B$8,1))=EI$14))   /   SUM(OFFSET($BO$15,0,0,$B$14,1)) + $B$18/($B$19*$B$19*($DN35&lt;&gt;$DO35) + $B$19*($DN35=$DO35))</f>
        <v>3.3333333333333331E-3</v>
      </c>
      <c r="EJ35" s="10" cm="1">
        <f t="array" aca="1" ref="EJ35" ca="1">(1-$B$18)*SUMPRODUCT(OFFSET($BO$15,0,0,$B$14,1), 1*(_xlfn._xlws.FILTER(OFFSET($O$15,0,$DN35,$B$8,1),OFFSET($M$15,0,0,$B$8,1))=EJ$13), 1*(_xlfn._xlws.FILTER(OFFSET($O$15,0,$DO35,$B$8,1),OFFSET($M$15,0,0,$B$8,1))=EJ$14))   /   SUM(OFFSET($BO$15,0,0,$B$14,1)) + $B$18/($B$19*$B$19*($DN35&lt;&gt;$DO35) + $B$19*($DN35=$DO35))</f>
        <v>3.3333333333333331E-3</v>
      </c>
      <c r="EK35" s="10" cm="1">
        <f t="array" aca="1" ref="EK35" ca="1">(1-$B$18)*SUMPRODUCT(OFFSET($BO$15,0,0,$B$14,1), 1*(_xlfn._xlws.FILTER(OFFSET($O$15,0,$DN35,$B$8,1),OFFSET($M$15,0,0,$B$8,1))=EK$13), 1*(_xlfn._xlws.FILTER(OFFSET($O$15,0,$DO35,$B$8,1),OFFSET($M$15,0,0,$B$8,1))=EK$14))   /   SUM(OFFSET($BO$15,0,0,$B$14,1)) + $B$18/($B$19*$B$19*($DN35&lt;&gt;$DO35) + $B$19*($DN35=$DO35))</f>
        <v>3.3333333333333331E-3</v>
      </c>
      <c r="EL35" s="10" cm="1">
        <f t="array" aca="1" ref="EL35" ca="1">(1-$B$18)*SUMPRODUCT(OFFSET($BO$15,0,0,$B$14,1), 1*(_xlfn._xlws.FILTER(OFFSET($O$15,0,$DN35,$B$8,1),OFFSET($M$15,0,0,$B$8,1))=EL$13), 1*(_xlfn._xlws.FILTER(OFFSET($O$15,0,$DO35,$B$8,1),OFFSET($M$15,0,0,$B$8,1))=EL$14))   /   SUM(OFFSET($BO$15,0,0,$B$14,1)) + $B$18/($B$19*$B$19*($DN35&lt;&gt;$DO35) + $B$19*($DN35=$DO35))</f>
        <v>3.3333333333333331E-3</v>
      </c>
      <c r="EM35" s="10" cm="1">
        <f t="array" aca="1" ref="EM35" ca="1">(1-$B$18)*SUMPRODUCT(OFFSET($BO$15,0,0,$B$14,1), 1*(_xlfn._xlws.FILTER(OFFSET($O$15,0,$DN35,$B$8,1),OFFSET($M$15,0,0,$B$8,1))=EM$13), 1*(_xlfn._xlws.FILTER(OFFSET($O$15,0,$DO35,$B$8,1),OFFSET($M$15,0,0,$B$8,1))=EM$14))   /   SUM(OFFSET($BO$15,0,0,$B$14,1)) + $B$18/($B$19*$B$19*($DN35&lt;&gt;$DO35) + $B$19*($DN35=$DO35))</f>
        <v>3.3333333333333331E-3</v>
      </c>
      <c r="EN35" s="10" cm="1">
        <f t="array" aca="1" ref="EN35" ca="1">(1-$B$18)*SUMPRODUCT(OFFSET($BO$15,0,0,$B$14,1), 1*(_xlfn._xlws.FILTER(OFFSET($O$15,0,$DN35,$B$8,1),OFFSET($M$15,0,0,$B$8,1))=EN$13), 1*(_xlfn._xlws.FILTER(OFFSET($O$15,0,$DO35,$B$8,1),OFFSET($M$15,0,0,$B$8,1))=EN$14))   /   SUM(OFFSET($BO$15,0,0,$B$14,1)) + $B$18/($B$19*$B$19*($DN35&lt;&gt;$DO35) + $B$19*($DN35=$DO35))</f>
        <v>3.3333333333333331E-3</v>
      </c>
      <c r="EO35" s="10" cm="1">
        <f t="array" aca="1" ref="EO35" ca="1">(1-$B$18)*SUMPRODUCT(OFFSET($BO$15,0,0,$B$14,1), 1*(_xlfn._xlws.FILTER(OFFSET($O$15,0,$DN35,$B$8,1),OFFSET($M$15,0,0,$B$8,1))=EO$13), 1*(_xlfn._xlws.FILTER(OFFSET($O$15,0,$DO35,$B$8,1),OFFSET($M$15,0,0,$B$8,1))=EO$14))   /   SUM(OFFSET($BO$15,0,0,$B$14,1)) + $B$18/($B$19*$B$19*($DN35&lt;&gt;$DO35) + $B$19*($DN35=$DO35))</f>
        <v>3.3333333333333331E-3</v>
      </c>
      <c r="EP35" s="10" cm="1">
        <f t="array" aca="1" ref="EP35" ca="1">(1-$B$18)*SUMPRODUCT(OFFSET($BO$15,0,0,$B$14,1), 1*(_xlfn._xlws.FILTER(OFFSET($O$15,0,$DN35,$B$8,1),OFFSET($M$15,0,0,$B$8,1))=EP$13), 1*(_xlfn._xlws.FILTER(OFFSET($O$15,0,$DO35,$B$8,1),OFFSET($M$15,0,0,$B$8,1))=EP$14))   /   SUM(OFFSET($BO$15,0,0,$B$14,1)) + $B$18/($B$19*$B$19*($DN35&lt;&gt;$DO35) + $B$19*($DN35=$DO35))</f>
        <v>3.3333333333333331E-3</v>
      </c>
      <c r="EQ35" s="10" cm="1">
        <f t="array" aca="1" ref="EQ35" ca="1">(1-$B$18)*SUMPRODUCT(OFFSET($BO$15,0,0,$B$14,1), 1*(_xlfn._xlws.FILTER(OFFSET($O$15,0,$DN35,$B$8,1),OFFSET($M$15,0,0,$B$8,1))=EQ$13), 1*(_xlfn._xlws.FILTER(OFFSET($O$15,0,$DO35,$B$8,1),OFFSET($M$15,0,0,$B$8,1))=EQ$14))   /   SUM(OFFSET($BO$15,0,0,$B$14,1)) + $B$18/($B$19*$B$19*($DN35&lt;&gt;$DO35) + $B$19*($DN35=$DO35))</f>
        <v>3.3333333333333331E-3</v>
      </c>
      <c r="ER35" s="10" cm="1">
        <f t="array" aca="1" ref="ER35" ca="1">(1-$B$18)*SUMPRODUCT(OFFSET($BO$15,0,0,$B$14,1), 1*(_xlfn._xlws.FILTER(OFFSET($O$15,0,$DN35,$B$8,1),OFFSET($M$15,0,0,$B$8,1))=ER$13), 1*(_xlfn._xlws.FILTER(OFFSET($O$15,0,$DO35,$B$8,1),OFFSET($M$15,0,0,$B$8,1))=ER$14))   /   SUM(OFFSET($BO$15,0,0,$B$14,1)) + $B$18/($B$19*$B$19*($DN35&lt;&gt;$DO35) + $B$19*($DN35=$DO35))</f>
        <v>3.3333333333333331E-3</v>
      </c>
      <c r="ES35" s="10" cm="1">
        <f t="array" aca="1" ref="ES35" ca="1">(1-$B$18)*SUMPRODUCT(OFFSET($BO$15,0,0,$B$14,1), 1*(_xlfn._xlws.FILTER(OFFSET($O$15,0,$DN35,$B$8,1),OFFSET($M$15,0,0,$B$8,1))=ES$13), 1*(_xlfn._xlws.FILTER(OFFSET($O$15,0,$DO35,$B$8,1),OFFSET($M$15,0,0,$B$8,1))=ES$14))   /   SUM(OFFSET($BO$15,0,0,$B$14,1)) + $B$18/($B$19*$B$19*($DN35&lt;&gt;$DO35) + $B$19*($DN35=$DO35))</f>
        <v>3.3333333333333331E-3</v>
      </c>
      <c r="ET35" s="10" cm="1">
        <f t="array" aca="1" ref="ET35" ca="1">(1-$B$18)*SUMPRODUCT(OFFSET($BO$15,0,0,$B$14,1), 1*(_xlfn._xlws.FILTER(OFFSET($O$15,0,$DN35,$B$8,1),OFFSET($M$15,0,0,$B$8,1))=ET$13), 1*(_xlfn._xlws.FILTER(OFFSET($O$15,0,$DO35,$B$8,1),OFFSET($M$15,0,0,$B$8,1))=ET$14))   /   SUM(OFFSET($BO$15,0,0,$B$14,1)) + $B$18/($B$19*$B$19*($DN35&lt;&gt;$DO35) + $B$19*($DN35=$DO35))</f>
        <v>3.3333333333333331E-3</v>
      </c>
      <c r="EU35" s="10" cm="1">
        <f t="array" aca="1" ref="EU35" ca="1">(1-$B$18)*SUMPRODUCT(OFFSET($BO$15,0,0,$B$14,1), 1*(_xlfn._xlws.FILTER(OFFSET($O$15,0,$DN35,$B$8,1),OFFSET($M$15,0,0,$B$8,1))=EU$13), 1*(_xlfn._xlws.FILTER(OFFSET($O$15,0,$DO35,$B$8,1),OFFSET($M$15,0,0,$B$8,1))=EU$14))   /   SUM(OFFSET($BO$15,0,0,$B$14,1)) + $B$18/($B$19*$B$19*($DN35&lt;&gt;$DO35) + $B$19*($DN35=$DO35))</f>
        <v>3.3333333333333331E-3</v>
      </c>
      <c r="EV35" s="10" cm="1">
        <f t="array" aca="1" ref="EV35" ca="1">(1-$B$18)*SUMPRODUCT(OFFSET($BO$15,0,0,$B$14,1), 1*(_xlfn._xlws.FILTER(OFFSET($O$15,0,$DN35,$B$8,1),OFFSET($M$15,0,0,$B$8,1))=EV$13), 1*(_xlfn._xlws.FILTER(OFFSET($O$15,0,$DO35,$B$8,1),OFFSET($M$15,0,0,$B$8,1))=EV$14))   /   SUM(OFFSET($BO$15,0,0,$B$14,1)) + $B$18/($B$19*$B$19*($DN35&lt;&gt;$DO35) + $B$19*($DN35=$DO35))</f>
        <v>3.3333333333333331E-3</v>
      </c>
      <c r="EW35" s="10" cm="1">
        <f t="array" aca="1" ref="EW35" ca="1">(1-$B$18)*SUMPRODUCT(OFFSET($BO$15,0,0,$B$14,1), 1*(_xlfn._xlws.FILTER(OFFSET($O$15,0,$DN35,$B$8,1),OFFSET($M$15,0,0,$B$8,1))=EW$13), 1*(_xlfn._xlws.FILTER(OFFSET($O$15,0,$DO35,$B$8,1),OFFSET($M$15,0,0,$B$8,1))=EW$14))   /   SUM(OFFSET($BO$15,0,0,$B$14,1)) + $B$18/($B$19*$B$19*($DN35&lt;&gt;$DO35) + $B$19*($DN35=$DO35))</f>
        <v>3.3333333333333331E-3</v>
      </c>
      <c r="EX35" s="10" cm="1">
        <f t="array" aca="1" ref="EX35" ca="1">(1-$B$18)*SUMPRODUCT(OFFSET($BO$15,0,0,$B$14,1), 1*(_xlfn._xlws.FILTER(OFFSET($O$15,0,$DN35,$B$8,1),OFFSET($M$15,0,0,$B$8,1))=EX$13), 1*(_xlfn._xlws.FILTER(OFFSET($O$15,0,$DO35,$B$8,1),OFFSET($M$15,0,0,$B$8,1))=EX$14))   /   SUM(OFFSET($BO$15,0,0,$B$14,1)) + $B$18/($B$19*$B$19*($DN35&lt;&gt;$DO35) + $B$19*($DN35=$DO35))</f>
        <v>3.3333333333333331E-3</v>
      </c>
      <c r="EY35" s="10" cm="1">
        <f t="array" aca="1" ref="EY35" ca="1">(1-$B$18)*SUMPRODUCT(OFFSET($BO$15,0,0,$B$14,1), 1*(_xlfn._xlws.FILTER(OFFSET($O$15,0,$DN35,$B$8,1),OFFSET($M$15,0,0,$B$8,1))=EY$13), 1*(_xlfn._xlws.FILTER(OFFSET($O$15,0,$DO35,$B$8,1),OFFSET($M$15,0,0,$B$8,1))=EY$14))   /   SUM(OFFSET($BO$15,0,0,$B$14,1)) + $B$18/($B$19*$B$19*($DN35&lt;&gt;$DO35) + $B$19*($DN35=$DO35))</f>
        <v>3.3333333333333331E-3</v>
      </c>
      <c r="EZ35" s="10" cm="1">
        <f t="array" aca="1" ref="EZ35" ca="1">(1-$B$18)*SUMPRODUCT(OFFSET($BO$15,0,0,$B$14,1), 1*(_xlfn._xlws.FILTER(OFFSET($O$15,0,$DN35,$B$8,1),OFFSET($M$15,0,0,$B$8,1))=EZ$13), 1*(_xlfn._xlws.FILTER(OFFSET($O$15,0,$DO35,$B$8,1),OFFSET($M$15,0,0,$B$8,1))=EZ$14))   /   SUM(OFFSET($BO$15,0,0,$B$14,1)) + $B$18/($B$19*$B$19*($DN35&lt;&gt;$DO35) + $B$19*($DN35=$DO35))</f>
        <v>3.3333333333333331E-3</v>
      </c>
      <c r="FA35" s="10" cm="1">
        <f t="array" aca="1" ref="FA35" ca="1">(1-$B$18)*SUMPRODUCT(OFFSET($BO$15,0,0,$B$14,1), 1*(_xlfn._xlws.FILTER(OFFSET($O$15,0,$DN35,$B$8,1),OFFSET($M$15,0,0,$B$8,1))=FA$13), 1*(_xlfn._xlws.FILTER(OFFSET($O$15,0,$DO35,$B$8,1),OFFSET($M$15,0,0,$B$8,1))=FA$14))   /   SUM(OFFSET($BO$15,0,0,$B$14,1)) + $B$18/($B$19*$B$19*($DN35&lt;&gt;$DO35) + $B$19*($DN35=$DO35))</f>
        <v>3.3333333333333331E-3</v>
      </c>
      <c r="FB35" s="10" cm="1">
        <f t="array" aca="1" ref="FB35" ca="1">(1-$B$18)*SUMPRODUCT(OFFSET($BO$15,0,0,$B$14,1), 1*(_xlfn._xlws.FILTER(OFFSET($O$15,0,$DN35,$B$8,1),OFFSET($M$15,0,0,$B$8,1))=FB$13), 1*(_xlfn._xlws.FILTER(OFFSET($O$15,0,$DO35,$B$8,1),OFFSET($M$15,0,0,$B$8,1))=FB$14))   /   SUM(OFFSET($BO$15,0,0,$B$14,1)) + $B$18/($B$19*$B$19*($DN35&lt;&gt;$DO35) + $B$19*($DN35=$DO35))</f>
        <v>3.3333333333333331E-3</v>
      </c>
      <c r="FC35" s="10" cm="1">
        <f t="array" aca="1" ref="FC35" ca="1">(1-$B$18)*SUMPRODUCT(OFFSET($BO$15,0,0,$B$14,1), 1*(_xlfn._xlws.FILTER(OFFSET($O$15,0,$DN35,$B$8,1),OFFSET($M$15,0,0,$B$8,1))=FC$13), 1*(_xlfn._xlws.FILTER(OFFSET($O$15,0,$DO35,$B$8,1),OFFSET($M$15,0,0,$B$8,1))=FC$14))   /   SUM(OFFSET($BO$15,0,0,$B$14,1)) + $B$18/($B$19*$B$19*($DN35&lt;&gt;$DO35) + $B$19*($DN35=$DO35))</f>
        <v>3.3333333333333331E-3</v>
      </c>
      <c r="FD35" s="10" cm="1">
        <f t="array" aca="1" ref="FD35" ca="1">(1-$B$18)*SUMPRODUCT(OFFSET($BO$15,0,0,$B$14,1), 1*(_xlfn._xlws.FILTER(OFFSET($O$15,0,$DN35,$B$8,1),OFFSET($M$15,0,0,$B$8,1))=FD$13), 1*(_xlfn._xlws.FILTER(OFFSET($O$15,0,$DO35,$B$8,1),OFFSET($M$15,0,0,$B$8,1))=FD$14))   /   SUM(OFFSET($BO$15,0,0,$B$14,1)) + $B$18/($B$19*$B$19*($DN35&lt;&gt;$DO35) + $B$19*($DN35=$DO35))</f>
        <v>3.3333333333333331E-3</v>
      </c>
      <c r="FE35" s="10" cm="1">
        <f t="array" aca="1" ref="FE35" ca="1">(1-$B$18)*SUMPRODUCT(OFFSET($BO$15,0,0,$B$14,1), 1*(_xlfn._xlws.FILTER(OFFSET($O$15,0,$DN35,$B$8,1),OFFSET($M$15,0,0,$B$8,1))=FE$13), 1*(_xlfn._xlws.FILTER(OFFSET($O$15,0,$DO35,$B$8,1),OFFSET($M$15,0,0,$B$8,1))=FE$14))   /   SUM(OFFSET($BO$15,0,0,$B$14,1)) + $B$18/($B$19*$B$19*($DN35&lt;&gt;$DO35) + $B$19*($DN35=$DO35))</f>
        <v>3.3333333333333331E-3</v>
      </c>
      <c r="FF35" s="10" cm="1">
        <f t="array" aca="1" ref="FF35" ca="1">(1-$B$18)*SUMPRODUCT(OFFSET($BO$15,0,0,$B$14,1), 1*(_xlfn._xlws.FILTER(OFFSET($O$15,0,$DN35,$B$8,1),OFFSET($M$15,0,0,$B$8,1))=FF$13), 1*(_xlfn._xlws.FILTER(OFFSET($O$15,0,$DO35,$B$8,1),OFFSET($M$15,0,0,$B$8,1))=FF$14))   /   SUM(OFFSET($BO$15,0,0,$B$14,1)) + $B$18/($B$19*$B$19*($DN35&lt;&gt;$DO35) + $B$19*($DN35=$DO35))</f>
        <v>3.3333333333333331E-3</v>
      </c>
      <c r="FG35" s="10" cm="1">
        <f t="array" aca="1" ref="FG35" ca="1">(1-$B$18)*SUMPRODUCT(OFFSET($BO$15,0,0,$B$14,1), 1*(_xlfn._xlws.FILTER(OFFSET($O$15,0,$DN35,$B$8,1),OFFSET($M$15,0,0,$B$8,1))=FG$13), 1*(_xlfn._xlws.FILTER(OFFSET($O$15,0,$DO35,$B$8,1),OFFSET($M$15,0,0,$B$8,1))=FG$14))   /   SUM(OFFSET($BO$15,0,0,$B$14,1)) + $B$18/($B$19*$B$19*($DN35&lt;&gt;$DO35) + $B$19*($DN35=$DO35))</f>
        <v>3.3333333333333331E-3</v>
      </c>
      <c r="FH35" s="10" cm="1">
        <f t="array" aca="1" ref="FH35" ca="1">(1-$B$18)*SUMPRODUCT(OFFSET($BO$15,0,0,$B$14,1), 1*(_xlfn._xlws.FILTER(OFFSET($O$15,0,$DN35,$B$8,1),OFFSET($M$15,0,0,$B$8,1))=FH$13), 1*(_xlfn._xlws.FILTER(OFFSET($O$15,0,$DO35,$B$8,1),OFFSET($M$15,0,0,$B$8,1))=FH$14))   /   SUM(OFFSET($BO$15,0,0,$B$14,1)) + $B$18/($B$19*$B$19*($DN35&lt;&gt;$DO35) + $B$19*($DN35=$DO35))</f>
        <v>3.3333333333333331E-3</v>
      </c>
      <c r="FI35" s="10" cm="1">
        <f t="array" aca="1" ref="FI35" ca="1">(1-$B$18)*SUMPRODUCT(OFFSET($BO$15,0,0,$B$14,1), 1*(_xlfn._xlws.FILTER(OFFSET($O$15,0,$DN35,$B$8,1),OFFSET($M$15,0,0,$B$8,1))=FI$13), 1*(_xlfn._xlws.FILTER(OFFSET($O$15,0,$DO35,$B$8,1),OFFSET($M$15,0,0,$B$8,1))=FI$14))   /   SUM(OFFSET($BO$15,0,0,$B$14,1)) + $B$18/($B$19*$B$19*($DN35&lt;&gt;$DO35) + $B$19*($DN35=$DO35))</f>
        <v>3.3333333333333331E-3</v>
      </c>
      <c r="FJ35" s="10" cm="1">
        <f t="array" aca="1" ref="FJ35" ca="1">(1-$B$18)*SUMPRODUCT(OFFSET($BO$15,0,0,$B$14,1), 1*(_xlfn._xlws.FILTER(OFFSET($O$15,0,$DN35,$B$8,1),OFFSET($M$15,0,0,$B$8,1))=FJ$13), 1*(_xlfn._xlws.FILTER(OFFSET($O$15,0,$DO35,$B$8,1),OFFSET($M$15,0,0,$B$8,1))=FJ$14))   /   SUM(OFFSET($BO$15,0,0,$B$14,1)) + $B$18/($B$19*$B$19*($DN35&lt;&gt;$DO35) + $B$19*($DN35=$DO35))</f>
        <v>3.3333333333333331E-3</v>
      </c>
      <c r="FK35" s="10" cm="1">
        <f t="array" aca="1" ref="FK35" ca="1">(1-$B$18)*SUMPRODUCT(OFFSET($BO$15,0,0,$B$14,1), 1*(_xlfn._xlws.FILTER(OFFSET($O$15,0,$DN35,$B$8,1),OFFSET($M$15,0,0,$B$8,1))=FK$13), 1*(_xlfn._xlws.FILTER(OFFSET($O$15,0,$DO35,$B$8,1),OFFSET($M$15,0,0,$B$8,1))=FK$14))   /   SUM(OFFSET($BO$15,0,0,$B$14,1)) + $B$18/($B$19*$B$19*($DN35&lt;&gt;$DO35) + $B$19*($DN35=$DO35))</f>
        <v>3.3333333333333331E-3</v>
      </c>
      <c r="FL35" s="10" cm="1">
        <f t="array" aca="1" ref="FL35" ca="1">(1-$B$18)*SUMPRODUCT(OFFSET($BO$15,0,0,$B$14,1), 1*(_xlfn._xlws.FILTER(OFFSET($O$15,0,$DN35,$B$8,1),OFFSET($M$15,0,0,$B$8,1))=FL$13), 1*(_xlfn._xlws.FILTER(OFFSET($O$15,0,$DO35,$B$8,1),OFFSET($M$15,0,0,$B$8,1))=FL$14))   /   SUM(OFFSET($BO$15,0,0,$B$14,1)) + $B$18/($B$19*$B$19*($DN35&lt;&gt;$DO35) + $B$19*($DN35=$DO35))</f>
        <v>3.3333333333333331E-3</v>
      </c>
      <c r="FM35" s="10" cm="1">
        <f t="array" aca="1" ref="FM35" ca="1">(1-$B$18)*SUMPRODUCT(OFFSET($BO$15,0,0,$B$14,1), 1*(_xlfn._xlws.FILTER(OFFSET($O$15,0,$DN35,$B$8,1),OFFSET($M$15,0,0,$B$8,1))=FM$13), 1*(_xlfn._xlws.FILTER(OFFSET($O$15,0,$DO35,$B$8,1),OFFSET($M$15,0,0,$B$8,1))=FM$14))   /   SUM(OFFSET($BO$15,0,0,$B$14,1)) + $B$18/($B$19*$B$19*($DN35&lt;&gt;$DO35) + $B$19*($DN35=$DO35))</f>
        <v>3.3333333333333331E-3</v>
      </c>
      <c r="FN35" s="10" cm="1">
        <f t="array" aca="1" ref="FN35" ca="1">(1-$B$18)*SUMPRODUCT(OFFSET($BO$15,0,0,$B$14,1), 1*(_xlfn._xlws.FILTER(OFFSET($O$15,0,$DN35,$B$8,1),OFFSET($M$15,0,0,$B$8,1))=FN$13), 1*(_xlfn._xlws.FILTER(OFFSET($O$15,0,$DO35,$B$8,1),OFFSET($M$15,0,0,$B$8,1))=FN$14))   /   SUM(OFFSET($BO$15,0,0,$B$14,1)) + $B$18/($B$19*$B$19*($DN35&lt;&gt;$DO35) + $B$19*($DN35=$DO35))</f>
        <v>3.3333333333333331E-3</v>
      </c>
      <c r="FO35" s="10" cm="1">
        <f t="array" aca="1" ref="FO35" ca="1">(1-$B$18)*SUMPRODUCT(OFFSET($BO$15,0,0,$B$14,1), 1*(_xlfn._xlws.FILTER(OFFSET($O$15,0,$DN35,$B$8,1),OFFSET($M$15,0,0,$B$8,1))=FO$13), 1*(_xlfn._xlws.FILTER(OFFSET($O$15,0,$DO35,$B$8,1),OFFSET($M$15,0,0,$B$8,1))=FO$14))   /   SUM(OFFSET($BO$15,0,0,$B$14,1)) + $B$18/($B$19*$B$19*($DN35&lt;&gt;$DO35) + $B$19*($DN35=$DO35))</f>
        <v>3.3333333333333331E-3</v>
      </c>
      <c r="FP35" s="10" cm="1">
        <f t="array" aca="1" ref="FP35" ca="1">(1-$B$18)*SUMPRODUCT(OFFSET($BO$15,0,0,$B$14,1), 1*(_xlfn._xlws.FILTER(OFFSET($O$15,0,$DN35,$B$8,1),OFFSET($M$15,0,0,$B$8,1))=FP$13), 1*(_xlfn._xlws.FILTER(OFFSET($O$15,0,$DO35,$B$8,1),OFFSET($M$15,0,0,$B$8,1))=FP$14))   /   SUM(OFFSET($BO$15,0,0,$B$14,1)) + $B$18/($B$19*$B$19*($DN35&lt;&gt;$DO35) + $B$19*($DN35=$DO35))</f>
        <v>3.3333333333333331E-3</v>
      </c>
      <c r="FQ35" s="10" cm="1">
        <f t="array" aca="1" ref="FQ35" ca="1">(1-$B$18)*SUMPRODUCT(OFFSET($BO$15,0,0,$B$14,1), 1*(_xlfn._xlws.FILTER(OFFSET($O$15,0,$DN35,$B$8,1),OFFSET($M$15,0,0,$B$8,1))=FQ$13), 1*(_xlfn._xlws.FILTER(OFFSET($O$15,0,$DO35,$B$8,1),OFFSET($M$15,0,0,$B$8,1))=FQ$14))   /   SUM(OFFSET($BO$15,0,0,$B$14,1)) + $B$18/($B$19*$B$19*($DN35&lt;&gt;$DO35) + $B$19*($DN35=$DO35))</f>
        <v>3.3333333333333331E-3</v>
      </c>
      <c r="FR35" s="10" cm="1">
        <f t="array" aca="1" ref="FR35" ca="1">(1-$B$18)*SUMPRODUCT(OFFSET($BO$15,0,0,$B$14,1), 1*(_xlfn._xlws.FILTER(OFFSET($O$15,0,$DN35,$B$8,1),OFFSET($M$15,0,0,$B$8,1))=FR$13), 1*(_xlfn._xlws.FILTER(OFFSET($O$15,0,$DO35,$B$8,1),OFFSET($M$15,0,0,$B$8,1))=FR$14))   /   SUM(OFFSET($BO$15,0,0,$B$14,1)) + $B$18/($B$19*$B$19*($DN35&lt;&gt;$DO35) + $B$19*($DN35=$DO35))</f>
        <v>0.97333333333333327</v>
      </c>
      <c r="FS35" s="10" cm="1">
        <f t="array" aca="1" ref="FS35" ca="1">(1-$B$18)*SUMPRODUCT(OFFSET($BO$15,0,0,$B$14,1), 1*(_xlfn._xlws.FILTER(OFFSET($O$15,0,$DN35,$B$8,1),OFFSET($M$15,0,0,$B$8,1))=FS$13), 1*(_xlfn._xlws.FILTER(OFFSET($O$15,0,$DO35,$B$8,1),OFFSET($M$15,0,0,$B$8,1))=FS$14))   /   SUM(OFFSET($BO$15,0,0,$B$14,1)) + $B$18/($B$19*$B$19*($DN35&lt;&gt;$DO35) + $B$19*($DN35=$DO35))</f>
        <v>3.3333333333333331E-3</v>
      </c>
      <c r="FT35" s="10" cm="1">
        <f t="array" aca="1" ref="FT35" ca="1">(1-$B$18)*SUMPRODUCT(OFFSET($BO$15,0,0,$B$14,1), 1*(_xlfn._xlws.FILTER(OFFSET($O$15,0,$DN35,$B$8,1),OFFSET($M$15,0,0,$B$8,1))=FT$13), 1*(_xlfn._xlws.FILTER(OFFSET($O$15,0,$DO35,$B$8,1),OFFSET($M$15,0,0,$B$8,1))=FT$14))   /   SUM(OFFSET($BO$15,0,0,$B$14,1)) + $B$18/($B$19*$B$19*($DN35&lt;&gt;$DO35) + $B$19*($DN35=$DO35))</f>
        <v>3.3333333333333331E-3</v>
      </c>
      <c r="FU35" s="10" cm="1">
        <f t="array" aca="1" ref="FU35" ca="1">(1-$B$18)*SUMPRODUCT(OFFSET($BO$15,0,0,$B$14,1), 1*(_xlfn._xlws.FILTER(OFFSET($O$15,0,$DN35,$B$8,1),OFFSET($M$15,0,0,$B$8,1))=FU$13), 1*(_xlfn._xlws.FILTER(OFFSET($O$15,0,$DO35,$B$8,1),OFFSET($M$15,0,0,$B$8,1))=FU$14))   /   SUM(OFFSET($BO$15,0,0,$B$14,1)) + $B$18/($B$19*$B$19*($DN35&lt;&gt;$DO35) + $B$19*($DN35=$DO35))</f>
        <v>3.3333333333333331E-3</v>
      </c>
      <c r="FV35" s="10" cm="1">
        <f t="array" aca="1" ref="FV35" ca="1">(1-$B$18)*SUMPRODUCT(OFFSET($BO$15,0,0,$B$14,1), 1*(_xlfn._xlws.FILTER(OFFSET($O$15,0,$DN35,$B$8,1),OFFSET($M$15,0,0,$B$8,1))=FV$13), 1*(_xlfn._xlws.FILTER(OFFSET($O$15,0,$DO35,$B$8,1),OFFSET($M$15,0,0,$B$8,1))=FV$14))   /   SUM(OFFSET($BO$15,0,0,$B$14,1)) + $B$18/($B$19*$B$19*($DN35&lt;&gt;$DO35) + $B$19*($DN35=$DO35))</f>
        <v>3.3333333333333331E-3</v>
      </c>
      <c r="FW35" s="10" cm="1">
        <f t="array" aca="1" ref="FW35" ca="1">(1-$B$18)*SUMPRODUCT(OFFSET($BO$15,0,0,$B$14,1), 1*(_xlfn._xlws.FILTER(OFFSET($O$15,0,$DN35,$B$8,1),OFFSET($M$15,0,0,$B$8,1))=FW$13), 1*(_xlfn._xlws.FILTER(OFFSET($O$15,0,$DO35,$B$8,1),OFFSET($M$15,0,0,$B$8,1))=FW$14))   /   SUM(OFFSET($BO$15,0,0,$B$14,1)) + $B$18/($B$19*$B$19*($DN35&lt;&gt;$DO35) + $B$19*($DN35=$DO35))</f>
        <v>3.3333333333333331E-3</v>
      </c>
      <c r="FX35" s="10" cm="1">
        <f t="array" aca="1" ref="FX35" ca="1">(1-$B$18)*SUMPRODUCT(OFFSET($BO$15,0,0,$B$14,1), 1*(_xlfn._xlws.FILTER(OFFSET($O$15,0,$DN35,$B$8,1),OFFSET($M$15,0,0,$B$8,1))=FX$13), 1*(_xlfn._xlws.FILTER(OFFSET($O$15,0,$DO35,$B$8,1),OFFSET($M$15,0,0,$B$8,1))=FX$14))   /   SUM(OFFSET($BO$15,0,0,$B$14,1)) + $B$18/($B$19*$B$19*($DN35&lt;&gt;$DO35) + $B$19*($DN35=$DO35))</f>
        <v>3.3333333333333331E-3</v>
      </c>
      <c r="FY35" s="10" cm="1">
        <f t="array" aca="1" ref="FY35" ca="1">(1-$B$18)*SUMPRODUCT(OFFSET($BO$15,0,0,$B$14,1), 1*(_xlfn._xlws.FILTER(OFFSET($O$15,0,$DN35,$B$8,1),OFFSET($M$15,0,0,$B$8,1))=FY$13), 1*(_xlfn._xlws.FILTER(OFFSET($O$15,0,$DO35,$B$8,1),OFFSET($M$15,0,0,$B$8,1))=FY$14))   /   SUM(OFFSET($BO$15,0,0,$B$14,1)) + $B$18/($B$19*$B$19*($DN35&lt;&gt;$DO35) + $B$19*($DN35=$DO35))</f>
        <v>3.3333333333333331E-3</v>
      </c>
      <c r="FZ35" s="10" cm="1">
        <f t="array" aca="1" ref="FZ35" ca="1">(1-$B$18)*SUMPRODUCT(OFFSET($BO$15,0,0,$B$14,1), 1*(_xlfn._xlws.FILTER(OFFSET($O$15,0,$DN35,$B$8,1),OFFSET($M$15,0,0,$B$8,1))=FZ$13), 1*(_xlfn._xlws.FILTER(OFFSET($O$15,0,$DO35,$B$8,1),OFFSET($M$15,0,0,$B$8,1))=FZ$14))   /   SUM(OFFSET($BO$15,0,0,$B$14,1)) + $B$18/($B$19*$B$19*($DN35&lt;&gt;$DO35) + $B$19*($DN35=$DO35))</f>
        <v>3.3333333333333331E-3</v>
      </c>
      <c r="GA35" s="10" cm="1">
        <f t="array" aca="1" ref="GA35" ca="1">(1-$B$18)*SUMPRODUCT(OFFSET($BO$15,0,0,$B$14,1), 1*(_xlfn._xlws.FILTER(OFFSET($O$15,0,$DN35,$B$8,1),OFFSET($M$15,0,0,$B$8,1))=GA$13), 1*(_xlfn._xlws.FILTER(OFFSET($O$15,0,$DO35,$B$8,1),OFFSET($M$15,0,0,$B$8,1))=GA$14))   /   SUM(OFFSET($BO$15,0,0,$B$14,1)) + $B$18/($B$19*$B$19*($DN35&lt;&gt;$DO35) + $B$19*($DN35=$DO35))</f>
        <v>3.3333333333333331E-3</v>
      </c>
    </row>
    <row r="36" spans="4:183" x14ac:dyDescent="0.2">
      <c r="J36" cm="1">
        <f t="array" aca="1" ref="J36" ca="1">SUMPRODUCT((O36:AJ36=$O$11:$AJ$11)*(O$13:AJ$13=TRUE))  / COUNTIF(O$13:AJ$13,TRUE)</f>
        <v>0.1</v>
      </c>
      <c r="K36" t="b">
        <f t="shared" ca="1" si="4"/>
        <v>0</v>
      </c>
      <c r="L36" cm="1">
        <f t="array" aca="1" ref="L36" ca="1">SUM(
   1*(_xlfn._xlws.FILTER(OFFSET($O36,0,0,1,$B$9),OFFSET($O$13,0,0,1,$B$9)) = "-")
) / $B$13</f>
        <v>0.8</v>
      </c>
      <c r="M36" t="b">
        <f t="shared" ca="1" si="5"/>
        <v>0</v>
      </c>
      <c r="N36" s="2">
        <v>21</v>
      </c>
      <c r="O36" s="12" t="s">
        <v>5</v>
      </c>
      <c r="P36" s="12" t="s">
        <v>5</v>
      </c>
      <c r="Q36" s="12" t="s">
        <v>5</v>
      </c>
      <c r="R36" s="12" t="s">
        <v>5</v>
      </c>
      <c r="S36" s="12" t="s">
        <v>5</v>
      </c>
      <c r="T36" s="12" t="s">
        <v>5</v>
      </c>
      <c r="U36" s="12" t="s">
        <v>5</v>
      </c>
      <c r="V36" s="12" t="s">
        <v>5</v>
      </c>
      <c r="W36" s="12" t="s">
        <v>5</v>
      </c>
      <c r="X36" s="12" t="s">
        <v>5</v>
      </c>
      <c r="Y36" s="12" t="s">
        <v>0</v>
      </c>
      <c r="Z36" s="12" t="s">
        <v>0</v>
      </c>
      <c r="AA36" s="12" t="s">
        <v>5</v>
      </c>
      <c r="AB36" s="12" t="s">
        <v>5</v>
      </c>
      <c r="AC36" s="12" t="s">
        <v>3</v>
      </c>
      <c r="AD36" s="12" t="s">
        <v>3</v>
      </c>
      <c r="AE36" s="12" t="s">
        <v>5</v>
      </c>
      <c r="AF36" s="12" t="s">
        <v>5</v>
      </c>
      <c r="AG36" s="12" t="s">
        <v>5</v>
      </c>
      <c r="AH36" s="12" t="s">
        <v>5</v>
      </c>
      <c r="AI36" s="12" t="s">
        <v>5</v>
      </c>
      <c r="AJ36" s="12" t="s">
        <v>5</v>
      </c>
      <c r="DN36" cm="1">
        <f t="array" aca="1" ref="DN36" ca="1">INDEX(_xlfn.ANCHORARRAY($CP$15), 1 + INT((ROWS($DO$15:$DO36) - 1) / ROWS(_xlfn.ANCHORARRAY($CP$15))))</f>
        <v>1</v>
      </c>
      <c r="DO36" cm="1">
        <f t="array" aca="1" ref="DO36" ca="1">INDEX(_xlfn.ANCHORARRAY($CP$15),1+MOD(ROWS($DO$15:$DO36)-1,ROWS(_xlfn.ANCHORARRAY($CP$15))))</f>
        <v>2</v>
      </c>
      <c r="DP36" s="10" cm="1">
        <f t="array" aca="1" ref="DP36" ca="1">(1-$B$18)*SUMPRODUCT(OFFSET($BO$15,0,0,$B$14,1), 1*(_xlfn._xlws.FILTER(OFFSET($O$15,0,$DN36,$B$8,1),OFFSET($M$15,0,0,$B$8,1))=DP$13), 1*(_xlfn._xlws.FILTER(OFFSET($O$15,0,$DO36,$B$8,1),OFFSET($M$15,0,0,$B$8,1))=DP$14))   /   SUM(OFFSET($BO$15,0,0,$B$14,1)) + $B$18/($B$19*$B$19*($DN36&lt;&gt;$DO36) + $B$19*($DN36=$DO36))</f>
        <v>3.7037037037037035E-4</v>
      </c>
      <c r="DQ36" s="10" cm="1">
        <f t="array" aca="1" ref="DQ36" ca="1">(1-$B$18)*SUMPRODUCT(OFFSET($BO$15,0,0,$B$14,1), 1*(_xlfn._xlws.FILTER(OFFSET($O$15,0,$DN36,$B$8,1),OFFSET($M$15,0,0,$B$8,1))=DQ$13), 1*(_xlfn._xlws.FILTER(OFFSET($O$15,0,$DO36,$B$8,1),OFFSET($M$15,0,0,$B$8,1))=DQ$14))   /   SUM(OFFSET($BO$15,0,0,$B$14,1)) + $B$18/($B$19*$B$19*($DN36&lt;&gt;$DO36) + $B$19*($DN36=$DO36))</f>
        <v>3.7037037037037035E-4</v>
      </c>
      <c r="DR36" s="10" cm="1">
        <f t="array" aca="1" ref="DR36" ca="1">(1-$B$18)*SUMPRODUCT(OFFSET($BO$15,0,0,$B$14,1), 1*(_xlfn._xlws.FILTER(OFFSET($O$15,0,$DN36,$B$8,1),OFFSET($M$15,0,0,$B$8,1))=DR$13), 1*(_xlfn._xlws.FILTER(OFFSET($O$15,0,$DO36,$B$8,1),OFFSET($M$15,0,0,$B$8,1))=DR$14))   /   SUM(OFFSET($BO$15,0,0,$B$14,1)) + $B$18/($B$19*$B$19*($DN36&lt;&gt;$DO36) + $B$19*($DN36=$DO36))</f>
        <v>3.7037037037037035E-4</v>
      </c>
      <c r="DS36" s="10" cm="1">
        <f t="array" aca="1" ref="DS36" ca="1">(1-$B$18)*SUMPRODUCT(OFFSET($BO$15,0,0,$B$14,1), 1*(_xlfn._xlws.FILTER(OFFSET($O$15,0,$DN36,$B$8,1),OFFSET($M$15,0,0,$B$8,1))=DS$13), 1*(_xlfn._xlws.FILTER(OFFSET($O$15,0,$DO36,$B$8,1),OFFSET($M$15,0,0,$B$8,1))=DS$14))   /   SUM(OFFSET($BO$15,0,0,$B$14,1)) + $B$18/($B$19*$B$19*($DN36&lt;&gt;$DO36) + $B$19*($DN36=$DO36))</f>
        <v>3.7037037037037035E-4</v>
      </c>
      <c r="DT36" s="10" cm="1">
        <f t="array" aca="1" ref="DT36" ca="1">(1-$B$18)*SUMPRODUCT(OFFSET($BO$15,0,0,$B$14,1), 1*(_xlfn._xlws.FILTER(OFFSET($O$15,0,$DN36,$B$8,1),OFFSET($M$15,0,0,$B$8,1))=DT$13), 1*(_xlfn._xlws.FILTER(OFFSET($O$15,0,$DO36,$B$8,1),OFFSET($M$15,0,0,$B$8,1))=DT$14))   /   SUM(OFFSET($BO$15,0,0,$B$14,1)) + $B$18/($B$19*$B$19*($DN36&lt;&gt;$DO36) + $B$19*($DN36=$DO36))</f>
        <v>3.7037037037037035E-4</v>
      </c>
      <c r="DU36" s="10" cm="1">
        <f t="array" aca="1" ref="DU36" ca="1">(1-$B$18)*SUMPRODUCT(OFFSET($BO$15,0,0,$B$14,1), 1*(_xlfn._xlws.FILTER(OFFSET($O$15,0,$DN36,$B$8,1),OFFSET($M$15,0,0,$B$8,1))=DU$13), 1*(_xlfn._xlws.FILTER(OFFSET($O$15,0,$DO36,$B$8,1),OFFSET($M$15,0,0,$B$8,1))=DU$14))   /   SUM(OFFSET($BO$15,0,0,$B$14,1)) + $B$18/($B$19*$B$19*($DN36&lt;&gt;$DO36) + $B$19*($DN36=$DO36))</f>
        <v>3.7037037037037035E-4</v>
      </c>
      <c r="DV36" s="10" cm="1">
        <f t="array" aca="1" ref="DV36" ca="1">(1-$B$18)*SUMPRODUCT(OFFSET($BO$15,0,0,$B$14,1), 1*(_xlfn._xlws.FILTER(OFFSET($O$15,0,$DN36,$B$8,1),OFFSET($M$15,0,0,$B$8,1))=DV$13), 1*(_xlfn._xlws.FILTER(OFFSET($O$15,0,$DO36,$B$8,1),OFFSET($M$15,0,0,$B$8,1))=DV$14))   /   SUM(OFFSET($BO$15,0,0,$B$14,1)) + $B$18/($B$19*$B$19*($DN36&lt;&gt;$DO36) + $B$19*($DN36=$DO36))</f>
        <v>3.7037037037037035E-4</v>
      </c>
      <c r="DW36" s="10" cm="1">
        <f t="array" aca="1" ref="DW36" ca="1">(1-$B$18)*SUMPRODUCT(OFFSET($BO$15,0,0,$B$14,1), 1*(_xlfn._xlws.FILTER(OFFSET($O$15,0,$DN36,$B$8,1),OFFSET($M$15,0,0,$B$8,1))=DW$13), 1*(_xlfn._xlws.FILTER(OFFSET($O$15,0,$DO36,$B$8,1),OFFSET($M$15,0,0,$B$8,1))=DW$14))   /   SUM(OFFSET($BO$15,0,0,$B$14,1)) + $B$18/($B$19*$B$19*($DN36&lt;&gt;$DO36) + $B$19*($DN36=$DO36))</f>
        <v>3.7037037037037035E-4</v>
      </c>
      <c r="DX36" s="10" cm="1">
        <f t="array" aca="1" ref="DX36" ca="1">(1-$B$18)*SUMPRODUCT(OFFSET($BO$15,0,0,$B$14,1), 1*(_xlfn._xlws.FILTER(OFFSET($O$15,0,$DN36,$B$8,1),OFFSET($M$15,0,0,$B$8,1))=DX$13), 1*(_xlfn._xlws.FILTER(OFFSET($O$15,0,$DO36,$B$8,1),OFFSET($M$15,0,0,$B$8,1))=DX$14))   /   SUM(OFFSET($BO$15,0,0,$B$14,1)) + $B$18/($B$19*$B$19*($DN36&lt;&gt;$DO36) + $B$19*($DN36=$DO36))</f>
        <v>3.7037037037037035E-4</v>
      </c>
      <c r="DY36" s="10" cm="1">
        <f t="array" aca="1" ref="DY36" ca="1">(1-$B$18)*SUMPRODUCT(OFFSET($BO$15,0,0,$B$14,1), 1*(_xlfn._xlws.FILTER(OFFSET($O$15,0,$DN36,$B$8,1),OFFSET($M$15,0,0,$B$8,1))=DY$13), 1*(_xlfn._xlws.FILTER(OFFSET($O$15,0,$DO36,$B$8,1),OFFSET($M$15,0,0,$B$8,1))=DY$14))   /   SUM(OFFSET($BO$15,0,0,$B$14,1)) + $B$18/($B$19*$B$19*($DN36&lt;&gt;$DO36) + $B$19*($DN36=$DO36))</f>
        <v>3.7037037037037035E-4</v>
      </c>
      <c r="DZ36" s="10" cm="1">
        <f t="array" aca="1" ref="DZ36" ca="1">(1-$B$18)*SUMPRODUCT(OFFSET($BO$15,0,0,$B$14,1), 1*(_xlfn._xlws.FILTER(OFFSET($O$15,0,$DN36,$B$8,1),OFFSET($M$15,0,0,$B$8,1))=DZ$13), 1*(_xlfn._xlws.FILTER(OFFSET($O$15,0,$DO36,$B$8,1),OFFSET($M$15,0,0,$B$8,1))=DZ$14))   /   SUM(OFFSET($BO$15,0,0,$B$14,1)) + $B$18/($B$19*$B$19*($DN36&lt;&gt;$DO36) + $B$19*($DN36=$DO36))</f>
        <v>3.7037037037037035E-4</v>
      </c>
      <c r="EA36" s="10" cm="1">
        <f t="array" aca="1" ref="EA36" ca="1">(1-$B$18)*SUMPRODUCT(OFFSET($BO$15,0,0,$B$14,1), 1*(_xlfn._xlws.FILTER(OFFSET($O$15,0,$DN36,$B$8,1),OFFSET($M$15,0,0,$B$8,1))=EA$13), 1*(_xlfn._xlws.FILTER(OFFSET($O$15,0,$DO36,$B$8,1),OFFSET($M$15,0,0,$B$8,1))=EA$14))   /   SUM(OFFSET($BO$15,0,0,$B$14,1)) + $B$18/($B$19*$B$19*($DN36&lt;&gt;$DO36) + $B$19*($DN36=$DO36))</f>
        <v>3.7037037037037035E-4</v>
      </c>
      <c r="EB36" s="10" cm="1">
        <f t="array" aca="1" ref="EB36" ca="1">(1-$B$18)*SUMPRODUCT(OFFSET($BO$15,0,0,$B$14,1), 1*(_xlfn._xlws.FILTER(OFFSET($O$15,0,$DN36,$B$8,1),OFFSET($M$15,0,0,$B$8,1))=EB$13), 1*(_xlfn._xlws.FILTER(OFFSET($O$15,0,$DO36,$B$8,1),OFFSET($M$15,0,0,$B$8,1))=EB$14))   /   SUM(OFFSET($BO$15,0,0,$B$14,1)) + $B$18/($B$19*$B$19*($DN36&lt;&gt;$DO36) + $B$19*($DN36=$DO36))</f>
        <v>3.7037037037037035E-4</v>
      </c>
      <c r="EC36" s="10" cm="1">
        <f t="array" aca="1" ref="EC36" ca="1">(1-$B$18)*SUMPRODUCT(OFFSET($BO$15,0,0,$B$14,1), 1*(_xlfn._xlws.FILTER(OFFSET($O$15,0,$DN36,$B$8,1),OFFSET($M$15,0,0,$B$8,1))=EC$13), 1*(_xlfn._xlws.FILTER(OFFSET($O$15,0,$DO36,$B$8,1),OFFSET($M$15,0,0,$B$8,1))=EC$14))   /   SUM(OFFSET($BO$15,0,0,$B$14,1)) + $B$18/($B$19*$B$19*($DN36&lt;&gt;$DO36) + $B$19*($DN36=$DO36))</f>
        <v>3.7037037037037035E-4</v>
      </c>
      <c r="ED36" s="10" cm="1">
        <f t="array" aca="1" ref="ED36" ca="1">(1-$B$18)*SUMPRODUCT(OFFSET($BO$15,0,0,$B$14,1), 1*(_xlfn._xlws.FILTER(OFFSET($O$15,0,$DN36,$B$8,1),OFFSET($M$15,0,0,$B$8,1))=ED$13), 1*(_xlfn._xlws.FILTER(OFFSET($O$15,0,$DO36,$B$8,1),OFFSET($M$15,0,0,$B$8,1))=ED$14))   /   SUM(OFFSET($BO$15,0,0,$B$14,1)) + $B$18/($B$19*$B$19*($DN36&lt;&gt;$DO36) + $B$19*($DN36=$DO36))</f>
        <v>3.7037037037037035E-4</v>
      </c>
      <c r="EE36" s="10" cm="1">
        <f t="array" aca="1" ref="EE36" ca="1">(1-$B$18)*SUMPRODUCT(OFFSET($BO$15,0,0,$B$14,1), 1*(_xlfn._xlws.FILTER(OFFSET($O$15,0,$DN36,$B$8,1),OFFSET($M$15,0,0,$B$8,1))=EE$13), 1*(_xlfn._xlws.FILTER(OFFSET($O$15,0,$DO36,$B$8,1),OFFSET($M$15,0,0,$B$8,1))=EE$14))   /   SUM(OFFSET($BO$15,0,0,$B$14,1)) + $B$18/($B$19*$B$19*($DN36&lt;&gt;$DO36) + $B$19*($DN36=$DO36))</f>
        <v>3.7037037037037035E-4</v>
      </c>
      <c r="EF36" s="10" cm="1">
        <f t="array" aca="1" ref="EF36" ca="1">(1-$B$18)*SUMPRODUCT(OFFSET($BO$15,0,0,$B$14,1), 1*(_xlfn._xlws.FILTER(OFFSET($O$15,0,$DN36,$B$8,1),OFFSET($M$15,0,0,$B$8,1))=EF$13), 1*(_xlfn._xlws.FILTER(OFFSET($O$15,0,$DO36,$B$8,1),OFFSET($M$15,0,0,$B$8,1))=EF$14))   /   SUM(OFFSET($BO$15,0,0,$B$14,1)) + $B$18/($B$19*$B$19*($DN36&lt;&gt;$DO36) + $B$19*($DN36=$DO36))</f>
        <v>3.7037037037037035E-4</v>
      </c>
      <c r="EG36" s="10" cm="1">
        <f t="array" aca="1" ref="EG36" ca="1">(1-$B$18)*SUMPRODUCT(OFFSET($BO$15,0,0,$B$14,1), 1*(_xlfn._xlws.FILTER(OFFSET($O$15,0,$DN36,$B$8,1),OFFSET($M$15,0,0,$B$8,1))=EG$13), 1*(_xlfn._xlws.FILTER(OFFSET($O$15,0,$DO36,$B$8,1),OFFSET($M$15,0,0,$B$8,1))=EG$14))   /   SUM(OFFSET($BO$15,0,0,$B$14,1)) + $B$18/($B$19*$B$19*($DN36&lt;&gt;$DO36) + $B$19*($DN36=$DO36))</f>
        <v>3.7037037037037035E-4</v>
      </c>
      <c r="EH36" s="10" cm="1">
        <f t="array" aca="1" ref="EH36" ca="1">(1-$B$18)*SUMPRODUCT(OFFSET($BO$15,0,0,$B$14,1), 1*(_xlfn._xlws.FILTER(OFFSET($O$15,0,$DN36,$B$8,1),OFFSET($M$15,0,0,$B$8,1))=EH$13), 1*(_xlfn._xlws.FILTER(OFFSET($O$15,0,$DO36,$B$8,1),OFFSET($M$15,0,0,$B$8,1))=EH$14))   /   SUM(OFFSET($BO$15,0,0,$B$14,1)) + $B$18/($B$19*$B$19*($DN36&lt;&gt;$DO36) + $B$19*($DN36=$DO36))</f>
        <v>3.7037037037037035E-4</v>
      </c>
      <c r="EI36" s="10" cm="1">
        <f t="array" aca="1" ref="EI36" ca="1">(1-$B$18)*SUMPRODUCT(OFFSET($BO$15,0,0,$B$14,1), 1*(_xlfn._xlws.FILTER(OFFSET($O$15,0,$DN36,$B$8,1),OFFSET($M$15,0,0,$B$8,1))=EI$13), 1*(_xlfn._xlws.FILTER(OFFSET($O$15,0,$DO36,$B$8,1),OFFSET($M$15,0,0,$B$8,1))=EI$14))   /   SUM(OFFSET($BO$15,0,0,$B$14,1)) + $B$18/($B$19*$B$19*($DN36&lt;&gt;$DO36) + $B$19*($DN36=$DO36))</f>
        <v>3.7037037037037035E-4</v>
      </c>
      <c r="EJ36" s="10" cm="1">
        <f t="array" aca="1" ref="EJ36" ca="1">(1-$B$18)*SUMPRODUCT(OFFSET($BO$15,0,0,$B$14,1), 1*(_xlfn._xlws.FILTER(OFFSET($O$15,0,$DN36,$B$8,1),OFFSET($M$15,0,0,$B$8,1))=EJ$13), 1*(_xlfn._xlws.FILTER(OFFSET($O$15,0,$DO36,$B$8,1),OFFSET($M$15,0,0,$B$8,1))=EJ$14))   /   SUM(OFFSET($BO$15,0,0,$B$14,1)) + $B$18/($B$19*$B$19*($DN36&lt;&gt;$DO36) + $B$19*($DN36=$DO36))</f>
        <v>3.7037037037037035E-4</v>
      </c>
      <c r="EK36" s="10" cm="1">
        <f t="array" aca="1" ref="EK36" ca="1">(1-$B$18)*SUMPRODUCT(OFFSET($BO$15,0,0,$B$14,1), 1*(_xlfn._xlws.FILTER(OFFSET($O$15,0,$DN36,$B$8,1),OFFSET($M$15,0,0,$B$8,1))=EK$13), 1*(_xlfn._xlws.FILTER(OFFSET($O$15,0,$DO36,$B$8,1),OFFSET($M$15,0,0,$B$8,1))=EK$14))   /   SUM(OFFSET($BO$15,0,0,$B$14,1)) + $B$18/($B$19*$B$19*($DN36&lt;&gt;$DO36) + $B$19*($DN36=$DO36))</f>
        <v>3.7037037037037035E-4</v>
      </c>
      <c r="EL36" s="10" cm="1">
        <f t="array" aca="1" ref="EL36" ca="1">(1-$B$18)*SUMPRODUCT(OFFSET($BO$15,0,0,$B$14,1), 1*(_xlfn._xlws.FILTER(OFFSET($O$15,0,$DN36,$B$8,1),OFFSET($M$15,0,0,$B$8,1))=EL$13), 1*(_xlfn._xlws.FILTER(OFFSET($O$15,0,$DO36,$B$8,1),OFFSET($M$15,0,0,$B$8,1))=EL$14))   /   SUM(OFFSET($BO$15,0,0,$B$14,1)) + $B$18/($B$19*$B$19*($DN36&lt;&gt;$DO36) + $B$19*($DN36=$DO36))</f>
        <v>3.7037037037037035E-4</v>
      </c>
      <c r="EM36" s="10" cm="1">
        <f t="array" aca="1" ref="EM36" ca="1">(1-$B$18)*SUMPRODUCT(OFFSET($BO$15,0,0,$B$14,1), 1*(_xlfn._xlws.FILTER(OFFSET($O$15,0,$DN36,$B$8,1),OFFSET($M$15,0,0,$B$8,1))=EM$13), 1*(_xlfn._xlws.FILTER(OFFSET($O$15,0,$DO36,$B$8,1),OFFSET($M$15,0,0,$B$8,1))=EM$14))   /   SUM(OFFSET($BO$15,0,0,$B$14,1)) + $B$18/($B$19*$B$19*($DN36&lt;&gt;$DO36) + $B$19*($DN36=$DO36))</f>
        <v>3.7037037037037035E-4</v>
      </c>
      <c r="EN36" s="10" cm="1">
        <f t="array" aca="1" ref="EN36" ca="1">(1-$B$18)*SUMPRODUCT(OFFSET($BO$15,0,0,$B$14,1), 1*(_xlfn._xlws.FILTER(OFFSET($O$15,0,$DN36,$B$8,1),OFFSET($M$15,0,0,$B$8,1))=EN$13), 1*(_xlfn._xlws.FILTER(OFFSET($O$15,0,$DO36,$B$8,1),OFFSET($M$15,0,0,$B$8,1))=EN$14))   /   SUM(OFFSET($BO$15,0,0,$B$14,1)) + $B$18/($B$19*$B$19*($DN36&lt;&gt;$DO36) + $B$19*($DN36=$DO36))</f>
        <v>3.7037037037037035E-4</v>
      </c>
      <c r="EO36" s="10" cm="1">
        <f t="array" aca="1" ref="EO36" ca="1">(1-$B$18)*SUMPRODUCT(OFFSET($BO$15,0,0,$B$14,1), 1*(_xlfn._xlws.FILTER(OFFSET($O$15,0,$DN36,$B$8,1),OFFSET($M$15,0,0,$B$8,1))=EO$13), 1*(_xlfn._xlws.FILTER(OFFSET($O$15,0,$DO36,$B$8,1),OFFSET($M$15,0,0,$B$8,1))=EO$14))   /   SUM(OFFSET($BO$15,0,0,$B$14,1)) + $B$18/($B$19*$B$19*($DN36&lt;&gt;$DO36) + $B$19*($DN36=$DO36))</f>
        <v>3.7037037037037035E-4</v>
      </c>
      <c r="EP36" s="10" cm="1">
        <f t="array" aca="1" ref="EP36" ca="1">(1-$B$18)*SUMPRODUCT(OFFSET($BO$15,0,0,$B$14,1), 1*(_xlfn._xlws.FILTER(OFFSET($O$15,0,$DN36,$B$8,1),OFFSET($M$15,0,0,$B$8,1))=EP$13), 1*(_xlfn._xlws.FILTER(OFFSET($O$15,0,$DO36,$B$8,1),OFFSET($M$15,0,0,$B$8,1))=EP$14))   /   SUM(OFFSET($BO$15,0,0,$B$14,1)) + $B$18/($B$19*$B$19*($DN36&lt;&gt;$DO36) + $B$19*($DN36=$DO36))</f>
        <v>3.7037037037037035E-4</v>
      </c>
      <c r="EQ36" s="10" cm="1">
        <f t="array" aca="1" ref="EQ36" ca="1">(1-$B$18)*SUMPRODUCT(OFFSET($BO$15,0,0,$B$14,1), 1*(_xlfn._xlws.FILTER(OFFSET($O$15,0,$DN36,$B$8,1),OFFSET($M$15,0,0,$B$8,1))=EQ$13), 1*(_xlfn._xlws.FILTER(OFFSET($O$15,0,$DO36,$B$8,1),OFFSET($M$15,0,0,$B$8,1))=EQ$14))   /   SUM(OFFSET($BO$15,0,0,$B$14,1)) + $B$18/($B$19*$B$19*($DN36&lt;&gt;$DO36) + $B$19*($DN36=$DO36))</f>
        <v>3.7037037037037035E-4</v>
      </c>
      <c r="ER36" s="10" cm="1">
        <f t="array" aca="1" ref="ER36" ca="1">(1-$B$18)*SUMPRODUCT(OFFSET($BO$15,0,0,$B$14,1), 1*(_xlfn._xlws.FILTER(OFFSET($O$15,0,$DN36,$B$8,1),OFFSET($M$15,0,0,$B$8,1))=ER$13), 1*(_xlfn._xlws.FILTER(OFFSET($O$15,0,$DO36,$B$8,1),OFFSET($M$15,0,0,$B$8,1))=ER$14))   /   SUM(OFFSET($BO$15,0,0,$B$14,1)) + $B$18/($B$19*$B$19*($DN36&lt;&gt;$DO36) + $B$19*($DN36=$DO36))</f>
        <v>3.7037037037037035E-4</v>
      </c>
      <c r="ES36" s="10" cm="1">
        <f t="array" aca="1" ref="ES36" ca="1">(1-$B$18)*SUMPRODUCT(OFFSET($BO$15,0,0,$B$14,1), 1*(_xlfn._xlws.FILTER(OFFSET($O$15,0,$DN36,$B$8,1),OFFSET($M$15,0,0,$B$8,1))=ES$13), 1*(_xlfn._xlws.FILTER(OFFSET($O$15,0,$DO36,$B$8,1),OFFSET($M$15,0,0,$B$8,1))=ES$14))   /   SUM(OFFSET($BO$15,0,0,$B$14,1)) + $B$18/($B$19*$B$19*($DN36&lt;&gt;$DO36) + $B$19*($DN36=$DO36))</f>
        <v>3.7037037037037035E-4</v>
      </c>
      <c r="ET36" s="10" cm="1">
        <f t="array" aca="1" ref="ET36" ca="1">(1-$B$18)*SUMPRODUCT(OFFSET($BO$15,0,0,$B$14,1), 1*(_xlfn._xlws.FILTER(OFFSET($O$15,0,$DN36,$B$8,1),OFFSET($M$15,0,0,$B$8,1))=ET$13), 1*(_xlfn._xlws.FILTER(OFFSET($O$15,0,$DO36,$B$8,1),OFFSET($M$15,0,0,$B$8,1))=ET$14))   /   SUM(OFFSET($BO$15,0,0,$B$14,1)) + $B$18/($B$19*$B$19*($DN36&lt;&gt;$DO36) + $B$19*($DN36=$DO36))</f>
        <v>3.7037037037037035E-4</v>
      </c>
      <c r="EU36" s="10" cm="1">
        <f t="array" aca="1" ref="EU36" ca="1">(1-$B$18)*SUMPRODUCT(OFFSET($BO$15,0,0,$B$14,1), 1*(_xlfn._xlws.FILTER(OFFSET($O$15,0,$DN36,$B$8,1),OFFSET($M$15,0,0,$B$8,1))=EU$13), 1*(_xlfn._xlws.FILTER(OFFSET($O$15,0,$DO36,$B$8,1),OFFSET($M$15,0,0,$B$8,1))=EU$14))   /   SUM(OFFSET($BO$15,0,0,$B$14,1)) + $B$18/($B$19*$B$19*($DN36&lt;&gt;$DO36) + $B$19*($DN36=$DO36))</f>
        <v>3.7037037037037035E-4</v>
      </c>
      <c r="EV36" s="10" cm="1">
        <f t="array" aca="1" ref="EV36" ca="1">(1-$B$18)*SUMPRODUCT(OFFSET($BO$15,0,0,$B$14,1), 1*(_xlfn._xlws.FILTER(OFFSET($O$15,0,$DN36,$B$8,1),OFFSET($M$15,0,0,$B$8,1))=EV$13), 1*(_xlfn._xlws.FILTER(OFFSET($O$15,0,$DO36,$B$8,1),OFFSET($M$15,0,0,$B$8,1))=EV$14))   /   SUM(OFFSET($BO$15,0,0,$B$14,1)) + $B$18/($B$19*$B$19*($DN36&lt;&gt;$DO36) + $B$19*($DN36=$DO36))</f>
        <v>3.7037037037037035E-4</v>
      </c>
      <c r="EW36" s="10" cm="1">
        <f t="array" aca="1" ref="EW36" ca="1">(1-$B$18)*SUMPRODUCT(OFFSET($BO$15,0,0,$B$14,1), 1*(_xlfn._xlws.FILTER(OFFSET($O$15,0,$DN36,$B$8,1),OFFSET($M$15,0,0,$B$8,1))=EW$13), 1*(_xlfn._xlws.FILTER(OFFSET($O$15,0,$DO36,$B$8,1),OFFSET($M$15,0,0,$B$8,1))=EW$14))   /   SUM(OFFSET($BO$15,0,0,$B$14,1)) + $B$18/($B$19*$B$19*($DN36&lt;&gt;$DO36) + $B$19*($DN36=$DO36))</f>
        <v>3.7037037037037035E-4</v>
      </c>
      <c r="EX36" s="10" cm="1">
        <f t="array" aca="1" ref="EX36" ca="1">(1-$B$18)*SUMPRODUCT(OFFSET($BO$15,0,0,$B$14,1), 1*(_xlfn._xlws.FILTER(OFFSET($O$15,0,$DN36,$B$8,1),OFFSET($M$15,0,0,$B$8,1))=EX$13), 1*(_xlfn._xlws.FILTER(OFFSET($O$15,0,$DO36,$B$8,1),OFFSET($M$15,0,0,$B$8,1))=EX$14))   /   SUM(OFFSET($BO$15,0,0,$B$14,1)) + $B$18/($B$19*$B$19*($DN36&lt;&gt;$DO36) + $B$19*($DN36=$DO36))</f>
        <v>3.7037037037037035E-4</v>
      </c>
      <c r="EY36" s="10" cm="1">
        <f t="array" aca="1" ref="EY36" ca="1">(1-$B$18)*SUMPRODUCT(OFFSET($BO$15,0,0,$B$14,1), 1*(_xlfn._xlws.FILTER(OFFSET($O$15,0,$DN36,$B$8,1),OFFSET($M$15,0,0,$B$8,1))=EY$13), 1*(_xlfn._xlws.FILTER(OFFSET($O$15,0,$DO36,$B$8,1),OFFSET($M$15,0,0,$B$8,1))=EY$14))   /   SUM(OFFSET($BO$15,0,0,$B$14,1)) + $B$18/($B$19*$B$19*($DN36&lt;&gt;$DO36) + $B$19*($DN36=$DO36))</f>
        <v>3.7037037037037035E-4</v>
      </c>
      <c r="EZ36" s="10" cm="1">
        <f t="array" aca="1" ref="EZ36" ca="1">(1-$B$18)*SUMPRODUCT(OFFSET($BO$15,0,0,$B$14,1), 1*(_xlfn._xlws.FILTER(OFFSET($O$15,0,$DN36,$B$8,1),OFFSET($M$15,0,0,$B$8,1))=EZ$13), 1*(_xlfn._xlws.FILTER(OFFSET($O$15,0,$DO36,$B$8,1),OFFSET($M$15,0,0,$B$8,1))=EZ$14))   /   SUM(OFFSET($BO$15,0,0,$B$14,1)) + $B$18/($B$19*$B$19*($DN36&lt;&gt;$DO36) + $B$19*($DN36=$DO36))</f>
        <v>3.7037037037037035E-4</v>
      </c>
      <c r="FA36" s="10" cm="1">
        <f t="array" aca="1" ref="FA36" ca="1">(1-$B$18)*SUMPRODUCT(OFFSET($BO$15,0,0,$B$14,1), 1*(_xlfn._xlws.FILTER(OFFSET($O$15,0,$DN36,$B$8,1),OFFSET($M$15,0,0,$B$8,1))=FA$13), 1*(_xlfn._xlws.FILTER(OFFSET($O$15,0,$DO36,$B$8,1),OFFSET($M$15,0,0,$B$8,1))=FA$14))   /   SUM(OFFSET($BO$15,0,0,$B$14,1)) + $B$18/($B$19*$B$19*($DN36&lt;&gt;$DO36) + $B$19*($DN36=$DO36))</f>
        <v>3.7037037037037035E-4</v>
      </c>
      <c r="FB36" s="10" cm="1">
        <f t="array" aca="1" ref="FB36" ca="1">(1-$B$18)*SUMPRODUCT(OFFSET($BO$15,0,0,$B$14,1), 1*(_xlfn._xlws.FILTER(OFFSET($O$15,0,$DN36,$B$8,1),OFFSET($M$15,0,0,$B$8,1))=FB$13), 1*(_xlfn._xlws.FILTER(OFFSET($O$15,0,$DO36,$B$8,1),OFFSET($M$15,0,0,$B$8,1))=FB$14))   /   SUM(OFFSET($BO$15,0,0,$B$14,1)) + $B$18/($B$19*$B$19*($DN36&lt;&gt;$DO36) + $B$19*($DN36=$DO36))</f>
        <v>3.7037037037037035E-4</v>
      </c>
      <c r="FC36" s="10" cm="1">
        <f t="array" aca="1" ref="FC36" ca="1">(1-$B$18)*SUMPRODUCT(OFFSET($BO$15,0,0,$B$14,1), 1*(_xlfn._xlws.FILTER(OFFSET($O$15,0,$DN36,$B$8,1),OFFSET($M$15,0,0,$B$8,1))=FC$13), 1*(_xlfn._xlws.FILTER(OFFSET($O$15,0,$DO36,$B$8,1),OFFSET($M$15,0,0,$B$8,1))=FC$14))   /   SUM(OFFSET($BO$15,0,0,$B$14,1)) + $B$18/($B$19*$B$19*($DN36&lt;&gt;$DO36) + $B$19*($DN36=$DO36))</f>
        <v>3.7037037037037035E-4</v>
      </c>
      <c r="FD36" s="10" cm="1">
        <f t="array" aca="1" ref="FD36" ca="1">(1-$B$18)*SUMPRODUCT(OFFSET($BO$15,0,0,$B$14,1), 1*(_xlfn._xlws.FILTER(OFFSET($O$15,0,$DN36,$B$8,1),OFFSET($M$15,0,0,$B$8,1))=FD$13), 1*(_xlfn._xlws.FILTER(OFFSET($O$15,0,$DO36,$B$8,1),OFFSET($M$15,0,0,$B$8,1))=FD$14))   /   SUM(OFFSET($BO$15,0,0,$B$14,1)) + $B$18/($B$19*$B$19*($DN36&lt;&gt;$DO36) + $B$19*($DN36=$DO36))</f>
        <v>3.7037037037037035E-4</v>
      </c>
      <c r="FE36" s="10" cm="1">
        <f t="array" aca="1" ref="FE36" ca="1">(1-$B$18)*SUMPRODUCT(OFFSET($BO$15,0,0,$B$14,1), 1*(_xlfn._xlws.FILTER(OFFSET($O$15,0,$DN36,$B$8,1),OFFSET($M$15,0,0,$B$8,1))=FE$13), 1*(_xlfn._xlws.FILTER(OFFSET($O$15,0,$DO36,$B$8,1),OFFSET($M$15,0,0,$B$8,1))=FE$14))   /   SUM(OFFSET($BO$15,0,0,$B$14,1)) + $B$18/($B$19*$B$19*($DN36&lt;&gt;$DO36) + $B$19*($DN36=$DO36))</f>
        <v>3.7037037037037035E-4</v>
      </c>
      <c r="FF36" s="10" cm="1">
        <f t="array" aca="1" ref="FF36" ca="1">(1-$B$18)*SUMPRODUCT(OFFSET($BO$15,0,0,$B$14,1), 1*(_xlfn._xlws.FILTER(OFFSET($O$15,0,$DN36,$B$8,1),OFFSET($M$15,0,0,$B$8,1))=FF$13), 1*(_xlfn._xlws.FILTER(OFFSET($O$15,0,$DO36,$B$8,1),OFFSET($M$15,0,0,$B$8,1))=FF$14))   /   SUM(OFFSET($BO$15,0,0,$B$14,1)) + $B$18/($B$19*$B$19*($DN36&lt;&gt;$DO36) + $B$19*($DN36=$DO36))</f>
        <v>3.7037037037037035E-4</v>
      </c>
      <c r="FG36" s="10" cm="1">
        <f t="array" aca="1" ref="FG36" ca="1">(1-$B$18)*SUMPRODUCT(OFFSET($BO$15,0,0,$B$14,1), 1*(_xlfn._xlws.FILTER(OFFSET($O$15,0,$DN36,$B$8,1),OFFSET($M$15,0,0,$B$8,1))=FG$13), 1*(_xlfn._xlws.FILTER(OFFSET($O$15,0,$DO36,$B$8,1),OFFSET($M$15,0,0,$B$8,1))=FG$14))   /   SUM(OFFSET($BO$15,0,0,$B$14,1)) + $B$18/($B$19*$B$19*($DN36&lt;&gt;$DO36) + $B$19*($DN36=$DO36))</f>
        <v>3.7037037037037035E-4</v>
      </c>
      <c r="FH36" s="10" cm="1">
        <f t="array" aca="1" ref="FH36" ca="1">(1-$B$18)*SUMPRODUCT(OFFSET($BO$15,0,0,$B$14,1), 1*(_xlfn._xlws.FILTER(OFFSET($O$15,0,$DN36,$B$8,1),OFFSET($M$15,0,0,$B$8,1))=FH$13), 1*(_xlfn._xlws.FILTER(OFFSET($O$15,0,$DO36,$B$8,1),OFFSET($M$15,0,0,$B$8,1))=FH$14))   /   SUM(OFFSET($BO$15,0,0,$B$14,1)) + $B$18/($B$19*$B$19*($DN36&lt;&gt;$DO36) + $B$19*($DN36=$DO36))</f>
        <v>3.7037037037037035E-4</v>
      </c>
      <c r="FI36" s="10" cm="1">
        <f t="array" aca="1" ref="FI36" ca="1">(1-$B$18)*SUMPRODUCT(OFFSET($BO$15,0,0,$B$14,1), 1*(_xlfn._xlws.FILTER(OFFSET($O$15,0,$DN36,$B$8,1),OFFSET($M$15,0,0,$B$8,1))=FI$13), 1*(_xlfn._xlws.FILTER(OFFSET($O$15,0,$DO36,$B$8,1),OFFSET($M$15,0,0,$B$8,1))=FI$14))   /   SUM(OFFSET($BO$15,0,0,$B$14,1)) + $B$18/($B$19*$B$19*($DN36&lt;&gt;$DO36) + $B$19*($DN36=$DO36))</f>
        <v>3.7037037037037035E-4</v>
      </c>
      <c r="FJ36" s="10" cm="1">
        <f t="array" aca="1" ref="FJ36" ca="1">(1-$B$18)*SUMPRODUCT(OFFSET($BO$15,0,0,$B$14,1), 1*(_xlfn._xlws.FILTER(OFFSET($O$15,0,$DN36,$B$8,1),OFFSET($M$15,0,0,$B$8,1))=FJ$13), 1*(_xlfn._xlws.FILTER(OFFSET($O$15,0,$DO36,$B$8,1),OFFSET($M$15,0,0,$B$8,1))=FJ$14))   /   SUM(OFFSET($BO$15,0,0,$B$14,1)) + $B$18/($B$19*$B$19*($DN36&lt;&gt;$DO36) + $B$19*($DN36=$DO36))</f>
        <v>3.7037037037037035E-4</v>
      </c>
      <c r="FK36" s="10" cm="1">
        <f t="array" aca="1" ref="FK36" ca="1">(1-$B$18)*SUMPRODUCT(OFFSET($BO$15,0,0,$B$14,1), 1*(_xlfn._xlws.FILTER(OFFSET($O$15,0,$DN36,$B$8,1),OFFSET($M$15,0,0,$B$8,1))=FK$13), 1*(_xlfn._xlws.FILTER(OFFSET($O$15,0,$DO36,$B$8,1),OFFSET($M$15,0,0,$B$8,1))=FK$14))   /   SUM(OFFSET($BO$15,0,0,$B$14,1)) + $B$18/($B$19*$B$19*($DN36&lt;&gt;$DO36) + $B$19*($DN36=$DO36))</f>
        <v>3.7037037037037035E-4</v>
      </c>
      <c r="FL36" s="10" cm="1">
        <f t="array" aca="1" ref="FL36" ca="1">(1-$B$18)*SUMPRODUCT(OFFSET($BO$15,0,0,$B$14,1), 1*(_xlfn._xlws.FILTER(OFFSET($O$15,0,$DN36,$B$8,1),OFFSET($M$15,0,0,$B$8,1))=FL$13), 1*(_xlfn._xlws.FILTER(OFFSET($O$15,0,$DO36,$B$8,1),OFFSET($M$15,0,0,$B$8,1))=FL$14))   /   SUM(OFFSET($BO$15,0,0,$B$14,1)) + $B$18/($B$19*$B$19*($DN36&lt;&gt;$DO36) + $B$19*($DN36=$DO36))</f>
        <v>3.7037037037037035E-4</v>
      </c>
      <c r="FM36" s="10" cm="1">
        <f t="array" aca="1" ref="FM36" ca="1">(1-$B$18)*SUMPRODUCT(OFFSET($BO$15,0,0,$B$14,1), 1*(_xlfn._xlws.FILTER(OFFSET($O$15,0,$DN36,$B$8,1),OFFSET($M$15,0,0,$B$8,1))=FM$13), 1*(_xlfn._xlws.FILTER(OFFSET($O$15,0,$DO36,$B$8,1),OFFSET($M$15,0,0,$B$8,1))=FM$14))   /   SUM(OFFSET($BO$15,0,0,$B$14,1)) + $B$18/($B$19*$B$19*($DN36&lt;&gt;$DO36) + $B$19*($DN36=$DO36))</f>
        <v>3.7037037037037035E-4</v>
      </c>
      <c r="FN36" s="10" cm="1">
        <f t="array" aca="1" ref="FN36" ca="1">(1-$B$18)*SUMPRODUCT(OFFSET($BO$15,0,0,$B$14,1), 1*(_xlfn._xlws.FILTER(OFFSET($O$15,0,$DN36,$B$8,1),OFFSET($M$15,0,0,$B$8,1))=FN$13), 1*(_xlfn._xlws.FILTER(OFFSET($O$15,0,$DO36,$B$8,1),OFFSET($M$15,0,0,$B$8,1))=FN$14))   /   SUM(OFFSET($BO$15,0,0,$B$14,1)) + $B$18/($B$19*$B$19*($DN36&lt;&gt;$DO36) + $B$19*($DN36=$DO36))</f>
        <v>3.7037037037037035E-4</v>
      </c>
      <c r="FO36" s="10" cm="1">
        <f t="array" aca="1" ref="FO36" ca="1">(1-$B$18)*SUMPRODUCT(OFFSET($BO$15,0,0,$B$14,1), 1*(_xlfn._xlws.FILTER(OFFSET($O$15,0,$DN36,$B$8,1),OFFSET($M$15,0,0,$B$8,1))=FO$13), 1*(_xlfn._xlws.FILTER(OFFSET($O$15,0,$DO36,$B$8,1),OFFSET($M$15,0,0,$B$8,1))=FO$14))   /   SUM(OFFSET($BO$15,0,0,$B$14,1)) + $B$18/($B$19*$B$19*($DN36&lt;&gt;$DO36) + $B$19*($DN36=$DO36))</f>
        <v>3.7037037037037035E-4</v>
      </c>
      <c r="FP36" s="10" cm="1">
        <f t="array" aca="1" ref="FP36" ca="1">(1-$B$18)*SUMPRODUCT(OFFSET($BO$15,0,0,$B$14,1), 1*(_xlfn._xlws.FILTER(OFFSET($O$15,0,$DN36,$B$8,1),OFFSET($M$15,0,0,$B$8,1))=FP$13), 1*(_xlfn._xlws.FILTER(OFFSET($O$15,0,$DO36,$B$8,1),OFFSET($M$15,0,0,$B$8,1))=FP$14))   /   SUM(OFFSET($BO$15,0,0,$B$14,1)) + $B$18/($B$19*$B$19*($DN36&lt;&gt;$DO36) + $B$19*($DN36=$DO36))</f>
        <v>3.7037037037037035E-4</v>
      </c>
      <c r="FQ36" s="10" cm="1">
        <f t="array" aca="1" ref="FQ36" ca="1">(1-$B$18)*SUMPRODUCT(OFFSET($BO$15,0,0,$B$14,1), 1*(_xlfn._xlws.FILTER(OFFSET($O$15,0,$DN36,$B$8,1),OFFSET($M$15,0,0,$B$8,1))=FQ$13), 1*(_xlfn._xlws.FILTER(OFFSET($O$15,0,$DO36,$B$8,1),OFFSET($M$15,0,0,$B$8,1))=FQ$14))   /   SUM(OFFSET($BO$15,0,0,$B$14,1)) + $B$18/($B$19*$B$19*($DN36&lt;&gt;$DO36) + $B$19*($DN36=$DO36))</f>
        <v>3.7037037037037035E-4</v>
      </c>
      <c r="FR36" s="10" cm="1">
        <f t="array" aca="1" ref="FR36" ca="1">(1-$B$18)*SUMPRODUCT(OFFSET($BO$15,0,0,$B$14,1), 1*(_xlfn._xlws.FILTER(OFFSET($O$15,0,$DN36,$B$8,1),OFFSET($M$15,0,0,$B$8,1))=FR$13), 1*(_xlfn._xlws.FILTER(OFFSET($O$15,0,$DO36,$B$8,1),OFFSET($M$15,0,0,$B$8,1))=FR$14))   /   SUM(OFFSET($BO$15,0,0,$B$14,1)) + $B$18/($B$19*$B$19*($DN36&lt;&gt;$DO36) + $B$19*($DN36=$DO36))</f>
        <v>0.97037037037037033</v>
      </c>
      <c r="FS36" s="10" cm="1">
        <f t="array" aca="1" ref="FS36" ca="1">(1-$B$18)*SUMPRODUCT(OFFSET($BO$15,0,0,$B$14,1), 1*(_xlfn._xlws.FILTER(OFFSET($O$15,0,$DN36,$B$8,1),OFFSET($M$15,0,0,$B$8,1))=FS$13), 1*(_xlfn._xlws.FILTER(OFFSET($O$15,0,$DO36,$B$8,1),OFFSET($M$15,0,0,$B$8,1))=FS$14))   /   SUM(OFFSET($BO$15,0,0,$B$14,1)) + $B$18/($B$19*$B$19*($DN36&lt;&gt;$DO36) + $B$19*($DN36=$DO36))</f>
        <v>3.7037037037037035E-4</v>
      </c>
      <c r="FT36" s="10" cm="1">
        <f t="array" aca="1" ref="FT36" ca="1">(1-$B$18)*SUMPRODUCT(OFFSET($BO$15,0,0,$B$14,1), 1*(_xlfn._xlws.FILTER(OFFSET($O$15,0,$DN36,$B$8,1),OFFSET($M$15,0,0,$B$8,1))=FT$13), 1*(_xlfn._xlws.FILTER(OFFSET($O$15,0,$DO36,$B$8,1),OFFSET($M$15,0,0,$B$8,1))=FT$14))   /   SUM(OFFSET($BO$15,0,0,$B$14,1)) + $B$18/($B$19*$B$19*($DN36&lt;&gt;$DO36) + $B$19*($DN36=$DO36))</f>
        <v>3.7037037037037035E-4</v>
      </c>
      <c r="FU36" s="10" cm="1">
        <f t="array" aca="1" ref="FU36" ca="1">(1-$B$18)*SUMPRODUCT(OFFSET($BO$15,0,0,$B$14,1), 1*(_xlfn._xlws.FILTER(OFFSET($O$15,0,$DN36,$B$8,1),OFFSET($M$15,0,0,$B$8,1))=FU$13), 1*(_xlfn._xlws.FILTER(OFFSET($O$15,0,$DO36,$B$8,1),OFFSET($M$15,0,0,$B$8,1))=FU$14))   /   SUM(OFFSET($BO$15,0,0,$B$14,1)) + $B$18/($B$19*$B$19*($DN36&lt;&gt;$DO36) + $B$19*($DN36=$DO36))</f>
        <v>3.7037037037037035E-4</v>
      </c>
      <c r="FV36" s="10" cm="1">
        <f t="array" aca="1" ref="FV36" ca="1">(1-$B$18)*SUMPRODUCT(OFFSET($BO$15,0,0,$B$14,1), 1*(_xlfn._xlws.FILTER(OFFSET($O$15,0,$DN36,$B$8,1),OFFSET($M$15,0,0,$B$8,1))=FV$13), 1*(_xlfn._xlws.FILTER(OFFSET($O$15,0,$DO36,$B$8,1),OFFSET($M$15,0,0,$B$8,1))=FV$14))   /   SUM(OFFSET($BO$15,0,0,$B$14,1)) + $B$18/($B$19*$B$19*($DN36&lt;&gt;$DO36) + $B$19*($DN36=$DO36))</f>
        <v>3.7037037037037035E-4</v>
      </c>
      <c r="FW36" s="10" cm="1">
        <f t="array" aca="1" ref="FW36" ca="1">(1-$B$18)*SUMPRODUCT(OFFSET($BO$15,0,0,$B$14,1), 1*(_xlfn._xlws.FILTER(OFFSET($O$15,0,$DN36,$B$8,1),OFFSET($M$15,0,0,$B$8,1))=FW$13), 1*(_xlfn._xlws.FILTER(OFFSET($O$15,0,$DO36,$B$8,1),OFFSET($M$15,0,0,$B$8,1))=FW$14))   /   SUM(OFFSET($BO$15,0,0,$B$14,1)) + $B$18/($B$19*$B$19*($DN36&lt;&gt;$DO36) + $B$19*($DN36=$DO36))</f>
        <v>3.7037037037037035E-4</v>
      </c>
      <c r="FX36" s="10" cm="1">
        <f t="array" aca="1" ref="FX36" ca="1">(1-$B$18)*SUMPRODUCT(OFFSET($BO$15,0,0,$B$14,1), 1*(_xlfn._xlws.FILTER(OFFSET($O$15,0,$DN36,$B$8,1),OFFSET($M$15,0,0,$B$8,1))=FX$13), 1*(_xlfn._xlws.FILTER(OFFSET($O$15,0,$DO36,$B$8,1),OFFSET($M$15,0,0,$B$8,1))=FX$14))   /   SUM(OFFSET($BO$15,0,0,$B$14,1)) + $B$18/($B$19*$B$19*($DN36&lt;&gt;$DO36) + $B$19*($DN36=$DO36))</f>
        <v>3.7037037037037035E-4</v>
      </c>
      <c r="FY36" s="10" cm="1">
        <f t="array" aca="1" ref="FY36" ca="1">(1-$B$18)*SUMPRODUCT(OFFSET($BO$15,0,0,$B$14,1), 1*(_xlfn._xlws.FILTER(OFFSET($O$15,0,$DN36,$B$8,1),OFFSET($M$15,0,0,$B$8,1))=FY$13), 1*(_xlfn._xlws.FILTER(OFFSET($O$15,0,$DO36,$B$8,1),OFFSET($M$15,0,0,$B$8,1))=FY$14))   /   SUM(OFFSET($BO$15,0,0,$B$14,1)) + $B$18/($B$19*$B$19*($DN36&lt;&gt;$DO36) + $B$19*($DN36=$DO36))</f>
        <v>3.7037037037037035E-4</v>
      </c>
      <c r="FZ36" s="10" cm="1">
        <f t="array" aca="1" ref="FZ36" ca="1">(1-$B$18)*SUMPRODUCT(OFFSET($BO$15,0,0,$B$14,1), 1*(_xlfn._xlws.FILTER(OFFSET($O$15,0,$DN36,$B$8,1),OFFSET($M$15,0,0,$B$8,1))=FZ$13), 1*(_xlfn._xlws.FILTER(OFFSET($O$15,0,$DO36,$B$8,1),OFFSET($M$15,0,0,$B$8,1))=FZ$14))   /   SUM(OFFSET($BO$15,0,0,$B$14,1)) + $B$18/($B$19*$B$19*($DN36&lt;&gt;$DO36) + $B$19*($DN36=$DO36))</f>
        <v>3.7037037037037035E-4</v>
      </c>
      <c r="GA36" s="10" cm="1">
        <f t="array" aca="1" ref="GA36" ca="1">(1-$B$18)*SUMPRODUCT(OFFSET($BO$15,0,0,$B$14,1), 1*(_xlfn._xlws.FILTER(OFFSET($O$15,0,$DN36,$B$8,1),OFFSET($M$15,0,0,$B$8,1))=GA$13), 1*(_xlfn._xlws.FILTER(OFFSET($O$15,0,$DO36,$B$8,1),OFFSET($M$15,0,0,$B$8,1))=GA$14))   /   SUM(OFFSET($BO$15,0,0,$B$14,1)) + $B$18/($B$19*$B$19*($DN36&lt;&gt;$DO36) + $B$19*($DN36=$DO36))</f>
        <v>3.7037037037037035E-4</v>
      </c>
    </row>
    <row r="37" spans="4:183" x14ac:dyDescent="0.2">
      <c r="J37" cm="1">
        <f t="array" aca="1" ref="J37" ca="1">SUMPRODUCT((O37:AJ37=$O$11:$AJ$11)*(O$13:AJ$13=TRUE))  / COUNTIF(O$13:AJ$13,TRUE)</f>
        <v>0.1</v>
      </c>
      <c r="K37" t="b">
        <f t="shared" ca="1" si="4"/>
        <v>0</v>
      </c>
      <c r="L37" cm="1">
        <f t="array" aca="1" ref="L37" ca="1">SUM(
   1*(_xlfn._xlws.FILTER(OFFSET($O37,0,0,1,$B$9),OFFSET($O$13,0,0,1,$B$9)) = "-")
) / $B$13</f>
        <v>0.8</v>
      </c>
      <c r="M37" t="b">
        <f t="shared" ca="1" si="5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5</v>
      </c>
      <c r="S37" s="12" t="s">
        <v>5</v>
      </c>
      <c r="T37" s="12" t="s">
        <v>5</v>
      </c>
      <c r="U37" s="12" t="s">
        <v>5</v>
      </c>
      <c r="V37" s="12" t="s">
        <v>5</v>
      </c>
      <c r="W37" s="12" t="s">
        <v>5</v>
      </c>
      <c r="X37" s="12" t="s">
        <v>5</v>
      </c>
      <c r="Y37" s="12" t="s">
        <v>0</v>
      </c>
      <c r="Z37" s="12" t="s">
        <v>0</v>
      </c>
      <c r="AA37" s="12" t="s">
        <v>5</v>
      </c>
      <c r="AB37" s="12" t="s">
        <v>5</v>
      </c>
      <c r="AC37" s="12" t="s">
        <v>3</v>
      </c>
      <c r="AD37" s="12" t="s">
        <v>3</v>
      </c>
      <c r="AE37" s="12" t="s">
        <v>5</v>
      </c>
      <c r="AF37" s="12" t="s">
        <v>5</v>
      </c>
      <c r="AG37" s="12" t="s">
        <v>5</v>
      </c>
      <c r="AH37" s="12" t="s">
        <v>5</v>
      </c>
      <c r="AI37" s="12" t="s">
        <v>5</v>
      </c>
      <c r="AJ37" s="12" t="s">
        <v>5</v>
      </c>
      <c r="DN37" cm="1">
        <f t="array" aca="1" ref="DN37" ca="1">INDEX(_xlfn.ANCHORARRAY($CP$15), 1 + INT((ROWS($DO$15:$DO37) - 1) / ROWS(_xlfn.ANCHORARRAY($CP$15))))</f>
        <v>1</v>
      </c>
      <c r="DO37" cm="1">
        <f t="array" aca="1" ref="DO37" ca="1">INDEX(_xlfn.ANCHORARRAY($CP$15),1+MOD(ROWS($DO$15:$DO37)-1,ROWS(_xlfn.ANCHORARRAY($CP$15))))</f>
        <v>3</v>
      </c>
      <c r="DP37" s="10" cm="1">
        <f t="array" aca="1" ref="DP37" ca="1">(1-$B$18)*SUMPRODUCT(OFFSET($BO$15,0,0,$B$14,1), 1*(_xlfn._xlws.FILTER(OFFSET($O$15,0,$DN37,$B$8,1),OFFSET($M$15,0,0,$B$8,1))=DP$13), 1*(_xlfn._xlws.FILTER(OFFSET($O$15,0,$DO37,$B$8,1),OFFSET($M$15,0,0,$B$8,1))=DP$14))   /   SUM(OFFSET($BO$15,0,0,$B$14,1)) + $B$18/($B$19*$B$19*($DN37&lt;&gt;$DO37) + $B$19*($DN37=$DO37))</f>
        <v>3.7037037037037035E-4</v>
      </c>
      <c r="DQ37" s="10" cm="1">
        <f t="array" aca="1" ref="DQ37" ca="1">(1-$B$18)*SUMPRODUCT(OFFSET($BO$15,0,0,$B$14,1), 1*(_xlfn._xlws.FILTER(OFFSET($O$15,0,$DN37,$B$8,1),OFFSET($M$15,0,0,$B$8,1))=DQ$13), 1*(_xlfn._xlws.FILTER(OFFSET($O$15,0,$DO37,$B$8,1),OFFSET($M$15,0,0,$B$8,1))=DQ$14))   /   SUM(OFFSET($BO$15,0,0,$B$14,1)) + $B$18/($B$19*$B$19*($DN37&lt;&gt;$DO37) + $B$19*($DN37=$DO37))</f>
        <v>3.7037037037037035E-4</v>
      </c>
      <c r="DR37" s="10" cm="1">
        <f t="array" aca="1" ref="DR37" ca="1">(1-$B$18)*SUMPRODUCT(OFFSET($BO$15,0,0,$B$14,1), 1*(_xlfn._xlws.FILTER(OFFSET($O$15,0,$DN37,$B$8,1),OFFSET($M$15,0,0,$B$8,1))=DR$13), 1*(_xlfn._xlws.FILTER(OFFSET($O$15,0,$DO37,$B$8,1),OFFSET($M$15,0,0,$B$8,1))=DR$14))   /   SUM(OFFSET($BO$15,0,0,$B$14,1)) + $B$18/($B$19*$B$19*($DN37&lt;&gt;$DO37) + $B$19*($DN37=$DO37))</f>
        <v>3.7037037037037035E-4</v>
      </c>
      <c r="DS37" s="10" cm="1">
        <f t="array" aca="1" ref="DS37" ca="1">(1-$B$18)*SUMPRODUCT(OFFSET($BO$15,0,0,$B$14,1), 1*(_xlfn._xlws.FILTER(OFFSET($O$15,0,$DN37,$B$8,1),OFFSET($M$15,0,0,$B$8,1))=DS$13), 1*(_xlfn._xlws.FILTER(OFFSET($O$15,0,$DO37,$B$8,1),OFFSET($M$15,0,0,$B$8,1))=DS$14))   /   SUM(OFFSET($BO$15,0,0,$B$14,1)) + $B$18/($B$19*$B$19*($DN37&lt;&gt;$DO37) + $B$19*($DN37=$DO37))</f>
        <v>3.7037037037037035E-4</v>
      </c>
      <c r="DT37" s="10" cm="1">
        <f t="array" aca="1" ref="DT37" ca="1">(1-$B$18)*SUMPRODUCT(OFFSET($BO$15,0,0,$B$14,1), 1*(_xlfn._xlws.FILTER(OFFSET($O$15,0,$DN37,$B$8,1),OFFSET($M$15,0,0,$B$8,1))=DT$13), 1*(_xlfn._xlws.FILTER(OFFSET($O$15,0,$DO37,$B$8,1),OFFSET($M$15,0,0,$B$8,1))=DT$14))   /   SUM(OFFSET($BO$15,0,0,$B$14,1)) + $B$18/($B$19*$B$19*($DN37&lt;&gt;$DO37) + $B$19*($DN37=$DO37))</f>
        <v>3.7037037037037035E-4</v>
      </c>
      <c r="DU37" s="10" cm="1">
        <f t="array" aca="1" ref="DU37" ca="1">(1-$B$18)*SUMPRODUCT(OFFSET($BO$15,0,0,$B$14,1), 1*(_xlfn._xlws.FILTER(OFFSET($O$15,0,$DN37,$B$8,1),OFFSET($M$15,0,0,$B$8,1))=DU$13), 1*(_xlfn._xlws.FILTER(OFFSET($O$15,0,$DO37,$B$8,1),OFFSET($M$15,0,0,$B$8,1))=DU$14))   /   SUM(OFFSET($BO$15,0,0,$B$14,1)) + $B$18/($B$19*$B$19*($DN37&lt;&gt;$DO37) + $B$19*($DN37=$DO37))</f>
        <v>3.7037037037037035E-4</v>
      </c>
      <c r="DV37" s="10" cm="1">
        <f t="array" aca="1" ref="DV37" ca="1">(1-$B$18)*SUMPRODUCT(OFFSET($BO$15,0,0,$B$14,1), 1*(_xlfn._xlws.FILTER(OFFSET($O$15,0,$DN37,$B$8,1),OFFSET($M$15,0,0,$B$8,1))=DV$13), 1*(_xlfn._xlws.FILTER(OFFSET($O$15,0,$DO37,$B$8,1),OFFSET($M$15,0,0,$B$8,1))=DV$14))   /   SUM(OFFSET($BO$15,0,0,$B$14,1)) + $B$18/($B$19*$B$19*($DN37&lt;&gt;$DO37) + $B$19*($DN37=$DO37))</f>
        <v>3.7037037037037035E-4</v>
      </c>
      <c r="DW37" s="10" cm="1">
        <f t="array" aca="1" ref="DW37" ca="1">(1-$B$18)*SUMPRODUCT(OFFSET($BO$15,0,0,$B$14,1), 1*(_xlfn._xlws.FILTER(OFFSET($O$15,0,$DN37,$B$8,1),OFFSET($M$15,0,0,$B$8,1))=DW$13), 1*(_xlfn._xlws.FILTER(OFFSET($O$15,0,$DO37,$B$8,1),OFFSET($M$15,0,0,$B$8,1))=DW$14))   /   SUM(OFFSET($BO$15,0,0,$B$14,1)) + $B$18/($B$19*$B$19*($DN37&lt;&gt;$DO37) + $B$19*($DN37=$DO37))</f>
        <v>3.7037037037037035E-4</v>
      </c>
      <c r="DX37" s="10" cm="1">
        <f t="array" aca="1" ref="DX37" ca="1">(1-$B$18)*SUMPRODUCT(OFFSET($BO$15,0,0,$B$14,1), 1*(_xlfn._xlws.FILTER(OFFSET($O$15,0,$DN37,$B$8,1),OFFSET($M$15,0,0,$B$8,1))=DX$13), 1*(_xlfn._xlws.FILTER(OFFSET($O$15,0,$DO37,$B$8,1),OFFSET($M$15,0,0,$B$8,1))=DX$14))   /   SUM(OFFSET($BO$15,0,0,$B$14,1)) + $B$18/($B$19*$B$19*($DN37&lt;&gt;$DO37) + $B$19*($DN37=$DO37))</f>
        <v>3.7037037037037035E-4</v>
      </c>
      <c r="DY37" s="10" cm="1">
        <f t="array" aca="1" ref="DY37" ca="1">(1-$B$18)*SUMPRODUCT(OFFSET($BO$15,0,0,$B$14,1), 1*(_xlfn._xlws.FILTER(OFFSET($O$15,0,$DN37,$B$8,1),OFFSET($M$15,0,0,$B$8,1))=DY$13), 1*(_xlfn._xlws.FILTER(OFFSET($O$15,0,$DO37,$B$8,1),OFFSET($M$15,0,0,$B$8,1))=DY$14))   /   SUM(OFFSET($BO$15,0,0,$B$14,1)) + $B$18/($B$19*$B$19*($DN37&lt;&gt;$DO37) + $B$19*($DN37=$DO37))</f>
        <v>3.7037037037037035E-4</v>
      </c>
      <c r="DZ37" s="10" cm="1">
        <f t="array" aca="1" ref="DZ37" ca="1">(1-$B$18)*SUMPRODUCT(OFFSET($BO$15,0,0,$B$14,1), 1*(_xlfn._xlws.FILTER(OFFSET($O$15,0,$DN37,$B$8,1),OFFSET($M$15,0,0,$B$8,1))=DZ$13), 1*(_xlfn._xlws.FILTER(OFFSET($O$15,0,$DO37,$B$8,1),OFFSET($M$15,0,0,$B$8,1))=DZ$14))   /   SUM(OFFSET($BO$15,0,0,$B$14,1)) + $B$18/($B$19*$B$19*($DN37&lt;&gt;$DO37) + $B$19*($DN37=$DO37))</f>
        <v>3.7037037037037035E-4</v>
      </c>
      <c r="EA37" s="10" cm="1">
        <f t="array" aca="1" ref="EA37" ca="1">(1-$B$18)*SUMPRODUCT(OFFSET($BO$15,0,0,$B$14,1), 1*(_xlfn._xlws.FILTER(OFFSET($O$15,0,$DN37,$B$8,1),OFFSET($M$15,0,0,$B$8,1))=EA$13), 1*(_xlfn._xlws.FILTER(OFFSET($O$15,0,$DO37,$B$8,1),OFFSET($M$15,0,0,$B$8,1))=EA$14))   /   SUM(OFFSET($BO$15,0,0,$B$14,1)) + $B$18/($B$19*$B$19*($DN37&lt;&gt;$DO37) + $B$19*($DN37=$DO37))</f>
        <v>3.7037037037037035E-4</v>
      </c>
      <c r="EB37" s="10" cm="1">
        <f t="array" aca="1" ref="EB37" ca="1">(1-$B$18)*SUMPRODUCT(OFFSET($BO$15,0,0,$B$14,1), 1*(_xlfn._xlws.FILTER(OFFSET($O$15,0,$DN37,$B$8,1),OFFSET($M$15,0,0,$B$8,1))=EB$13), 1*(_xlfn._xlws.FILTER(OFFSET($O$15,0,$DO37,$B$8,1),OFFSET($M$15,0,0,$B$8,1))=EB$14))   /   SUM(OFFSET($BO$15,0,0,$B$14,1)) + $B$18/($B$19*$B$19*($DN37&lt;&gt;$DO37) + $B$19*($DN37=$DO37))</f>
        <v>3.7037037037037035E-4</v>
      </c>
      <c r="EC37" s="10" cm="1">
        <f t="array" aca="1" ref="EC37" ca="1">(1-$B$18)*SUMPRODUCT(OFFSET($BO$15,0,0,$B$14,1), 1*(_xlfn._xlws.FILTER(OFFSET($O$15,0,$DN37,$B$8,1),OFFSET($M$15,0,0,$B$8,1))=EC$13), 1*(_xlfn._xlws.FILTER(OFFSET($O$15,0,$DO37,$B$8,1),OFFSET($M$15,0,0,$B$8,1))=EC$14))   /   SUM(OFFSET($BO$15,0,0,$B$14,1)) + $B$18/($B$19*$B$19*($DN37&lt;&gt;$DO37) + $B$19*($DN37=$DO37))</f>
        <v>3.7037037037037035E-4</v>
      </c>
      <c r="ED37" s="10" cm="1">
        <f t="array" aca="1" ref="ED37" ca="1">(1-$B$18)*SUMPRODUCT(OFFSET($BO$15,0,0,$B$14,1), 1*(_xlfn._xlws.FILTER(OFFSET($O$15,0,$DN37,$B$8,1),OFFSET($M$15,0,0,$B$8,1))=ED$13), 1*(_xlfn._xlws.FILTER(OFFSET($O$15,0,$DO37,$B$8,1),OFFSET($M$15,0,0,$B$8,1))=ED$14))   /   SUM(OFFSET($BO$15,0,0,$B$14,1)) + $B$18/($B$19*$B$19*($DN37&lt;&gt;$DO37) + $B$19*($DN37=$DO37))</f>
        <v>3.7037037037037035E-4</v>
      </c>
      <c r="EE37" s="10" cm="1">
        <f t="array" aca="1" ref="EE37" ca="1">(1-$B$18)*SUMPRODUCT(OFFSET($BO$15,0,0,$B$14,1), 1*(_xlfn._xlws.FILTER(OFFSET($O$15,0,$DN37,$B$8,1),OFFSET($M$15,0,0,$B$8,1))=EE$13), 1*(_xlfn._xlws.FILTER(OFFSET($O$15,0,$DO37,$B$8,1),OFFSET($M$15,0,0,$B$8,1))=EE$14))   /   SUM(OFFSET($BO$15,0,0,$B$14,1)) + $B$18/($B$19*$B$19*($DN37&lt;&gt;$DO37) + $B$19*($DN37=$DO37))</f>
        <v>3.7037037037037035E-4</v>
      </c>
      <c r="EF37" s="10" cm="1">
        <f t="array" aca="1" ref="EF37" ca="1">(1-$B$18)*SUMPRODUCT(OFFSET($BO$15,0,0,$B$14,1), 1*(_xlfn._xlws.FILTER(OFFSET($O$15,0,$DN37,$B$8,1),OFFSET($M$15,0,0,$B$8,1))=EF$13), 1*(_xlfn._xlws.FILTER(OFFSET($O$15,0,$DO37,$B$8,1),OFFSET($M$15,0,0,$B$8,1))=EF$14))   /   SUM(OFFSET($BO$15,0,0,$B$14,1)) + $B$18/($B$19*$B$19*($DN37&lt;&gt;$DO37) + $B$19*($DN37=$DO37))</f>
        <v>3.7037037037037035E-4</v>
      </c>
      <c r="EG37" s="10" cm="1">
        <f t="array" aca="1" ref="EG37" ca="1">(1-$B$18)*SUMPRODUCT(OFFSET($BO$15,0,0,$B$14,1), 1*(_xlfn._xlws.FILTER(OFFSET($O$15,0,$DN37,$B$8,1),OFFSET($M$15,0,0,$B$8,1))=EG$13), 1*(_xlfn._xlws.FILTER(OFFSET($O$15,0,$DO37,$B$8,1),OFFSET($M$15,0,0,$B$8,1))=EG$14))   /   SUM(OFFSET($BO$15,0,0,$B$14,1)) + $B$18/($B$19*$B$19*($DN37&lt;&gt;$DO37) + $B$19*($DN37=$DO37))</f>
        <v>3.7037037037037035E-4</v>
      </c>
      <c r="EH37" s="10" cm="1">
        <f t="array" aca="1" ref="EH37" ca="1">(1-$B$18)*SUMPRODUCT(OFFSET($BO$15,0,0,$B$14,1), 1*(_xlfn._xlws.FILTER(OFFSET($O$15,0,$DN37,$B$8,1),OFFSET($M$15,0,0,$B$8,1))=EH$13), 1*(_xlfn._xlws.FILTER(OFFSET($O$15,0,$DO37,$B$8,1),OFFSET($M$15,0,0,$B$8,1))=EH$14))   /   SUM(OFFSET($BO$15,0,0,$B$14,1)) + $B$18/($B$19*$B$19*($DN37&lt;&gt;$DO37) + $B$19*($DN37=$DO37))</f>
        <v>3.7037037037037035E-4</v>
      </c>
      <c r="EI37" s="10" cm="1">
        <f t="array" aca="1" ref="EI37" ca="1">(1-$B$18)*SUMPRODUCT(OFFSET($BO$15,0,0,$B$14,1), 1*(_xlfn._xlws.FILTER(OFFSET($O$15,0,$DN37,$B$8,1),OFFSET($M$15,0,0,$B$8,1))=EI$13), 1*(_xlfn._xlws.FILTER(OFFSET($O$15,0,$DO37,$B$8,1),OFFSET($M$15,0,0,$B$8,1))=EI$14))   /   SUM(OFFSET($BO$15,0,0,$B$14,1)) + $B$18/($B$19*$B$19*($DN37&lt;&gt;$DO37) + $B$19*($DN37=$DO37))</f>
        <v>3.7037037037037035E-4</v>
      </c>
      <c r="EJ37" s="10" cm="1">
        <f t="array" aca="1" ref="EJ37" ca="1">(1-$B$18)*SUMPRODUCT(OFFSET($BO$15,0,0,$B$14,1), 1*(_xlfn._xlws.FILTER(OFFSET($O$15,0,$DN37,$B$8,1),OFFSET($M$15,0,0,$B$8,1))=EJ$13), 1*(_xlfn._xlws.FILTER(OFFSET($O$15,0,$DO37,$B$8,1),OFFSET($M$15,0,0,$B$8,1))=EJ$14))   /   SUM(OFFSET($BO$15,0,0,$B$14,1)) + $B$18/($B$19*$B$19*($DN37&lt;&gt;$DO37) + $B$19*($DN37=$DO37))</f>
        <v>3.7037037037037035E-4</v>
      </c>
      <c r="EK37" s="10" cm="1">
        <f t="array" aca="1" ref="EK37" ca="1">(1-$B$18)*SUMPRODUCT(OFFSET($BO$15,0,0,$B$14,1), 1*(_xlfn._xlws.FILTER(OFFSET($O$15,0,$DN37,$B$8,1),OFFSET($M$15,0,0,$B$8,1))=EK$13), 1*(_xlfn._xlws.FILTER(OFFSET($O$15,0,$DO37,$B$8,1),OFFSET($M$15,0,0,$B$8,1))=EK$14))   /   SUM(OFFSET($BO$15,0,0,$B$14,1)) + $B$18/($B$19*$B$19*($DN37&lt;&gt;$DO37) + $B$19*($DN37=$DO37))</f>
        <v>3.7037037037037035E-4</v>
      </c>
      <c r="EL37" s="10" cm="1">
        <f t="array" aca="1" ref="EL37" ca="1">(1-$B$18)*SUMPRODUCT(OFFSET($BO$15,0,0,$B$14,1), 1*(_xlfn._xlws.FILTER(OFFSET($O$15,0,$DN37,$B$8,1),OFFSET($M$15,0,0,$B$8,1))=EL$13), 1*(_xlfn._xlws.FILTER(OFFSET($O$15,0,$DO37,$B$8,1),OFFSET($M$15,0,0,$B$8,1))=EL$14))   /   SUM(OFFSET($BO$15,0,0,$B$14,1)) + $B$18/($B$19*$B$19*($DN37&lt;&gt;$DO37) + $B$19*($DN37=$DO37))</f>
        <v>3.7037037037037035E-4</v>
      </c>
      <c r="EM37" s="10" cm="1">
        <f t="array" aca="1" ref="EM37" ca="1">(1-$B$18)*SUMPRODUCT(OFFSET($BO$15,0,0,$B$14,1), 1*(_xlfn._xlws.FILTER(OFFSET($O$15,0,$DN37,$B$8,1),OFFSET($M$15,0,0,$B$8,1))=EM$13), 1*(_xlfn._xlws.FILTER(OFFSET($O$15,0,$DO37,$B$8,1),OFFSET($M$15,0,0,$B$8,1))=EM$14))   /   SUM(OFFSET($BO$15,0,0,$B$14,1)) + $B$18/($B$19*$B$19*($DN37&lt;&gt;$DO37) + $B$19*($DN37=$DO37))</f>
        <v>3.7037037037037035E-4</v>
      </c>
      <c r="EN37" s="10" cm="1">
        <f t="array" aca="1" ref="EN37" ca="1">(1-$B$18)*SUMPRODUCT(OFFSET($BO$15,0,0,$B$14,1), 1*(_xlfn._xlws.FILTER(OFFSET($O$15,0,$DN37,$B$8,1),OFFSET($M$15,0,0,$B$8,1))=EN$13), 1*(_xlfn._xlws.FILTER(OFFSET($O$15,0,$DO37,$B$8,1),OFFSET($M$15,0,0,$B$8,1))=EN$14))   /   SUM(OFFSET($BO$15,0,0,$B$14,1)) + $B$18/($B$19*$B$19*($DN37&lt;&gt;$DO37) + $B$19*($DN37=$DO37))</f>
        <v>3.7037037037037035E-4</v>
      </c>
      <c r="EO37" s="10" cm="1">
        <f t="array" aca="1" ref="EO37" ca="1">(1-$B$18)*SUMPRODUCT(OFFSET($BO$15,0,0,$B$14,1), 1*(_xlfn._xlws.FILTER(OFFSET($O$15,0,$DN37,$B$8,1),OFFSET($M$15,0,0,$B$8,1))=EO$13), 1*(_xlfn._xlws.FILTER(OFFSET($O$15,0,$DO37,$B$8,1),OFFSET($M$15,0,0,$B$8,1))=EO$14))   /   SUM(OFFSET($BO$15,0,0,$B$14,1)) + $B$18/($B$19*$B$19*($DN37&lt;&gt;$DO37) + $B$19*($DN37=$DO37))</f>
        <v>3.7037037037037035E-4</v>
      </c>
      <c r="EP37" s="10" cm="1">
        <f t="array" aca="1" ref="EP37" ca="1">(1-$B$18)*SUMPRODUCT(OFFSET($BO$15,0,0,$B$14,1), 1*(_xlfn._xlws.FILTER(OFFSET($O$15,0,$DN37,$B$8,1),OFFSET($M$15,0,0,$B$8,1))=EP$13), 1*(_xlfn._xlws.FILTER(OFFSET($O$15,0,$DO37,$B$8,1),OFFSET($M$15,0,0,$B$8,1))=EP$14))   /   SUM(OFFSET($BO$15,0,0,$B$14,1)) + $B$18/($B$19*$B$19*($DN37&lt;&gt;$DO37) + $B$19*($DN37=$DO37))</f>
        <v>3.7037037037037035E-4</v>
      </c>
      <c r="EQ37" s="10" cm="1">
        <f t="array" aca="1" ref="EQ37" ca="1">(1-$B$18)*SUMPRODUCT(OFFSET($BO$15,0,0,$B$14,1), 1*(_xlfn._xlws.FILTER(OFFSET($O$15,0,$DN37,$B$8,1),OFFSET($M$15,0,0,$B$8,1))=EQ$13), 1*(_xlfn._xlws.FILTER(OFFSET($O$15,0,$DO37,$B$8,1),OFFSET($M$15,0,0,$B$8,1))=EQ$14))   /   SUM(OFFSET($BO$15,0,0,$B$14,1)) + $B$18/($B$19*$B$19*($DN37&lt;&gt;$DO37) + $B$19*($DN37=$DO37))</f>
        <v>3.7037037037037035E-4</v>
      </c>
      <c r="ER37" s="10" cm="1">
        <f t="array" aca="1" ref="ER37" ca="1">(1-$B$18)*SUMPRODUCT(OFFSET($BO$15,0,0,$B$14,1), 1*(_xlfn._xlws.FILTER(OFFSET($O$15,0,$DN37,$B$8,1),OFFSET($M$15,0,0,$B$8,1))=ER$13), 1*(_xlfn._xlws.FILTER(OFFSET($O$15,0,$DO37,$B$8,1),OFFSET($M$15,0,0,$B$8,1))=ER$14))   /   SUM(OFFSET($BO$15,0,0,$B$14,1)) + $B$18/($B$19*$B$19*($DN37&lt;&gt;$DO37) + $B$19*($DN37=$DO37))</f>
        <v>3.7037037037037035E-4</v>
      </c>
      <c r="ES37" s="10" cm="1">
        <f t="array" aca="1" ref="ES37" ca="1">(1-$B$18)*SUMPRODUCT(OFFSET($BO$15,0,0,$B$14,1), 1*(_xlfn._xlws.FILTER(OFFSET($O$15,0,$DN37,$B$8,1),OFFSET($M$15,0,0,$B$8,1))=ES$13), 1*(_xlfn._xlws.FILTER(OFFSET($O$15,0,$DO37,$B$8,1),OFFSET($M$15,0,0,$B$8,1))=ES$14))   /   SUM(OFFSET($BO$15,0,0,$B$14,1)) + $B$18/($B$19*$B$19*($DN37&lt;&gt;$DO37) + $B$19*($DN37=$DO37))</f>
        <v>3.7037037037037035E-4</v>
      </c>
      <c r="ET37" s="10" cm="1">
        <f t="array" aca="1" ref="ET37" ca="1">(1-$B$18)*SUMPRODUCT(OFFSET($BO$15,0,0,$B$14,1), 1*(_xlfn._xlws.FILTER(OFFSET($O$15,0,$DN37,$B$8,1),OFFSET($M$15,0,0,$B$8,1))=ET$13), 1*(_xlfn._xlws.FILTER(OFFSET($O$15,0,$DO37,$B$8,1),OFFSET($M$15,0,0,$B$8,1))=ET$14))   /   SUM(OFFSET($BO$15,0,0,$B$14,1)) + $B$18/($B$19*$B$19*($DN37&lt;&gt;$DO37) + $B$19*($DN37=$DO37))</f>
        <v>3.7037037037037035E-4</v>
      </c>
      <c r="EU37" s="10" cm="1">
        <f t="array" aca="1" ref="EU37" ca="1">(1-$B$18)*SUMPRODUCT(OFFSET($BO$15,0,0,$B$14,1), 1*(_xlfn._xlws.FILTER(OFFSET($O$15,0,$DN37,$B$8,1),OFFSET($M$15,0,0,$B$8,1))=EU$13), 1*(_xlfn._xlws.FILTER(OFFSET($O$15,0,$DO37,$B$8,1),OFFSET($M$15,0,0,$B$8,1))=EU$14))   /   SUM(OFFSET($BO$15,0,0,$B$14,1)) + $B$18/($B$19*$B$19*($DN37&lt;&gt;$DO37) + $B$19*($DN37=$DO37))</f>
        <v>3.7037037037037035E-4</v>
      </c>
      <c r="EV37" s="10" cm="1">
        <f t="array" aca="1" ref="EV37" ca="1">(1-$B$18)*SUMPRODUCT(OFFSET($BO$15,0,0,$B$14,1), 1*(_xlfn._xlws.FILTER(OFFSET($O$15,0,$DN37,$B$8,1),OFFSET($M$15,0,0,$B$8,1))=EV$13), 1*(_xlfn._xlws.FILTER(OFFSET($O$15,0,$DO37,$B$8,1),OFFSET($M$15,0,0,$B$8,1))=EV$14))   /   SUM(OFFSET($BO$15,0,0,$B$14,1)) + $B$18/($B$19*$B$19*($DN37&lt;&gt;$DO37) + $B$19*($DN37=$DO37))</f>
        <v>3.7037037037037035E-4</v>
      </c>
      <c r="EW37" s="10" cm="1">
        <f t="array" aca="1" ref="EW37" ca="1">(1-$B$18)*SUMPRODUCT(OFFSET($BO$15,0,0,$B$14,1), 1*(_xlfn._xlws.FILTER(OFFSET($O$15,0,$DN37,$B$8,1),OFFSET($M$15,0,0,$B$8,1))=EW$13), 1*(_xlfn._xlws.FILTER(OFFSET($O$15,0,$DO37,$B$8,1),OFFSET($M$15,0,0,$B$8,1))=EW$14))   /   SUM(OFFSET($BO$15,0,0,$B$14,1)) + $B$18/($B$19*$B$19*($DN37&lt;&gt;$DO37) + $B$19*($DN37=$DO37))</f>
        <v>3.7037037037037035E-4</v>
      </c>
      <c r="EX37" s="10" cm="1">
        <f t="array" aca="1" ref="EX37" ca="1">(1-$B$18)*SUMPRODUCT(OFFSET($BO$15,0,0,$B$14,1), 1*(_xlfn._xlws.FILTER(OFFSET($O$15,0,$DN37,$B$8,1),OFFSET($M$15,0,0,$B$8,1))=EX$13), 1*(_xlfn._xlws.FILTER(OFFSET($O$15,0,$DO37,$B$8,1),OFFSET($M$15,0,0,$B$8,1))=EX$14))   /   SUM(OFFSET($BO$15,0,0,$B$14,1)) + $B$18/($B$19*$B$19*($DN37&lt;&gt;$DO37) + $B$19*($DN37=$DO37))</f>
        <v>3.7037037037037035E-4</v>
      </c>
      <c r="EY37" s="10" cm="1">
        <f t="array" aca="1" ref="EY37" ca="1">(1-$B$18)*SUMPRODUCT(OFFSET($BO$15,0,0,$B$14,1), 1*(_xlfn._xlws.FILTER(OFFSET($O$15,0,$DN37,$B$8,1),OFFSET($M$15,0,0,$B$8,1))=EY$13), 1*(_xlfn._xlws.FILTER(OFFSET($O$15,0,$DO37,$B$8,1),OFFSET($M$15,0,0,$B$8,1))=EY$14))   /   SUM(OFFSET($BO$15,0,0,$B$14,1)) + $B$18/($B$19*$B$19*($DN37&lt;&gt;$DO37) + $B$19*($DN37=$DO37))</f>
        <v>3.7037037037037035E-4</v>
      </c>
      <c r="EZ37" s="10" cm="1">
        <f t="array" aca="1" ref="EZ37" ca="1">(1-$B$18)*SUMPRODUCT(OFFSET($BO$15,0,0,$B$14,1), 1*(_xlfn._xlws.FILTER(OFFSET($O$15,0,$DN37,$B$8,1),OFFSET($M$15,0,0,$B$8,1))=EZ$13), 1*(_xlfn._xlws.FILTER(OFFSET($O$15,0,$DO37,$B$8,1),OFFSET($M$15,0,0,$B$8,1))=EZ$14))   /   SUM(OFFSET($BO$15,0,0,$B$14,1)) + $B$18/($B$19*$B$19*($DN37&lt;&gt;$DO37) + $B$19*($DN37=$DO37))</f>
        <v>3.7037037037037035E-4</v>
      </c>
      <c r="FA37" s="10" cm="1">
        <f t="array" aca="1" ref="FA37" ca="1">(1-$B$18)*SUMPRODUCT(OFFSET($BO$15,0,0,$B$14,1), 1*(_xlfn._xlws.FILTER(OFFSET($O$15,0,$DN37,$B$8,1),OFFSET($M$15,0,0,$B$8,1))=FA$13), 1*(_xlfn._xlws.FILTER(OFFSET($O$15,0,$DO37,$B$8,1),OFFSET($M$15,0,0,$B$8,1))=FA$14))   /   SUM(OFFSET($BO$15,0,0,$B$14,1)) + $B$18/($B$19*$B$19*($DN37&lt;&gt;$DO37) + $B$19*($DN37=$DO37))</f>
        <v>3.7037037037037035E-4</v>
      </c>
      <c r="FB37" s="10" cm="1">
        <f t="array" aca="1" ref="FB37" ca="1">(1-$B$18)*SUMPRODUCT(OFFSET($BO$15,0,0,$B$14,1), 1*(_xlfn._xlws.FILTER(OFFSET($O$15,0,$DN37,$B$8,1),OFFSET($M$15,0,0,$B$8,1))=FB$13), 1*(_xlfn._xlws.FILTER(OFFSET($O$15,0,$DO37,$B$8,1),OFFSET($M$15,0,0,$B$8,1))=FB$14))   /   SUM(OFFSET($BO$15,0,0,$B$14,1)) + $B$18/($B$19*$B$19*($DN37&lt;&gt;$DO37) + $B$19*($DN37=$DO37))</f>
        <v>3.7037037037037035E-4</v>
      </c>
      <c r="FC37" s="10" cm="1">
        <f t="array" aca="1" ref="FC37" ca="1">(1-$B$18)*SUMPRODUCT(OFFSET($BO$15,0,0,$B$14,1), 1*(_xlfn._xlws.FILTER(OFFSET($O$15,0,$DN37,$B$8,1),OFFSET($M$15,0,0,$B$8,1))=FC$13), 1*(_xlfn._xlws.FILTER(OFFSET($O$15,0,$DO37,$B$8,1),OFFSET($M$15,0,0,$B$8,1))=FC$14))   /   SUM(OFFSET($BO$15,0,0,$B$14,1)) + $B$18/($B$19*$B$19*($DN37&lt;&gt;$DO37) + $B$19*($DN37=$DO37))</f>
        <v>3.7037037037037035E-4</v>
      </c>
      <c r="FD37" s="10" cm="1">
        <f t="array" aca="1" ref="FD37" ca="1">(1-$B$18)*SUMPRODUCT(OFFSET($BO$15,0,0,$B$14,1), 1*(_xlfn._xlws.FILTER(OFFSET($O$15,0,$DN37,$B$8,1),OFFSET($M$15,0,0,$B$8,1))=FD$13), 1*(_xlfn._xlws.FILTER(OFFSET($O$15,0,$DO37,$B$8,1),OFFSET($M$15,0,0,$B$8,1))=FD$14))   /   SUM(OFFSET($BO$15,0,0,$B$14,1)) + $B$18/($B$19*$B$19*($DN37&lt;&gt;$DO37) + $B$19*($DN37=$DO37))</f>
        <v>3.7037037037037035E-4</v>
      </c>
      <c r="FE37" s="10" cm="1">
        <f t="array" aca="1" ref="FE37" ca="1">(1-$B$18)*SUMPRODUCT(OFFSET($BO$15,0,0,$B$14,1), 1*(_xlfn._xlws.FILTER(OFFSET($O$15,0,$DN37,$B$8,1),OFFSET($M$15,0,0,$B$8,1))=FE$13), 1*(_xlfn._xlws.FILTER(OFFSET($O$15,0,$DO37,$B$8,1),OFFSET($M$15,0,0,$B$8,1))=FE$14))   /   SUM(OFFSET($BO$15,0,0,$B$14,1)) + $B$18/($B$19*$B$19*($DN37&lt;&gt;$DO37) + $B$19*($DN37=$DO37))</f>
        <v>3.7037037037037035E-4</v>
      </c>
      <c r="FF37" s="10" cm="1">
        <f t="array" aca="1" ref="FF37" ca="1">(1-$B$18)*SUMPRODUCT(OFFSET($BO$15,0,0,$B$14,1), 1*(_xlfn._xlws.FILTER(OFFSET($O$15,0,$DN37,$B$8,1),OFFSET($M$15,0,0,$B$8,1))=FF$13), 1*(_xlfn._xlws.FILTER(OFFSET($O$15,0,$DO37,$B$8,1),OFFSET($M$15,0,0,$B$8,1))=FF$14))   /   SUM(OFFSET($BO$15,0,0,$B$14,1)) + $B$18/($B$19*$B$19*($DN37&lt;&gt;$DO37) + $B$19*($DN37=$DO37))</f>
        <v>3.7037037037037035E-4</v>
      </c>
      <c r="FG37" s="10" cm="1">
        <f t="array" aca="1" ref="FG37" ca="1">(1-$B$18)*SUMPRODUCT(OFFSET($BO$15,0,0,$B$14,1), 1*(_xlfn._xlws.FILTER(OFFSET($O$15,0,$DN37,$B$8,1),OFFSET($M$15,0,0,$B$8,1))=FG$13), 1*(_xlfn._xlws.FILTER(OFFSET($O$15,0,$DO37,$B$8,1),OFFSET($M$15,0,0,$B$8,1))=FG$14))   /   SUM(OFFSET($BO$15,0,0,$B$14,1)) + $B$18/($B$19*$B$19*($DN37&lt;&gt;$DO37) + $B$19*($DN37=$DO37))</f>
        <v>3.7037037037037035E-4</v>
      </c>
      <c r="FH37" s="10" cm="1">
        <f t="array" aca="1" ref="FH37" ca="1">(1-$B$18)*SUMPRODUCT(OFFSET($BO$15,0,0,$B$14,1), 1*(_xlfn._xlws.FILTER(OFFSET($O$15,0,$DN37,$B$8,1),OFFSET($M$15,0,0,$B$8,1))=FH$13), 1*(_xlfn._xlws.FILTER(OFFSET($O$15,0,$DO37,$B$8,1),OFFSET($M$15,0,0,$B$8,1))=FH$14))   /   SUM(OFFSET($BO$15,0,0,$B$14,1)) + $B$18/($B$19*$B$19*($DN37&lt;&gt;$DO37) + $B$19*($DN37=$DO37))</f>
        <v>3.7037037037037035E-4</v>
      </c>
      <c r="FI37" s="10" cm="1">
        <f t="array" aca="1" ref="FI37" ca="1">(1-$B$18)*SUMPRODUCT(OFFSET($BO$15,0,0,$B$14,1), 1*(_xlfn._xlws.FILTER(OFFSET($O$15,0,$DN37,$B$8,1),OFFSET($M$15,0,0,$B$8,1))=FI$13), 1*(_xlfn._xlws.FILTER(OFFSET($O$15,0,$DO37,$B$8,1),OFFSET($M$15,0,0,$B$8,1))=FI$14))   /   SUM(OFFSET($BO$15,0,0,$B$14,1)) + $B$18/($B$19*$B$19*($DN37&lt;&gt;$DO37) + $B$19*($DN37=$DO37))</f>
        <v>3.7037037037037035E-4</v>
      </c>
      <c r="FJ37" s="10" cm="1">
        <f t="array" aca="1" ref="FJ37" ca="1">(1-$B$18)*SUMPRODUCT(OFFSET($BO$15,0,0,$B$14,1), 1*(_xlfn._xlws.FILTER(OFFSET($O$15,0,$DN37,$B$8,1),OFFSET($M$15,0,0,$B$8,1))=FJ$13), 1*(_xlfn._xlws.FILTER(OFFSET($O$15,0,$DO37,$B$8,1),OFFSET($M$15,0,0,$B$8,1))=FJ$14))   /   SUM(OFFSET($BO$15,0,0,$B$14,1)) + $B$18/($B$19*$B$19*($DN37&lt;&gt;$DO37) + $B$19*($DN37=$DO37))</f>
        <v>3.7037037037037035E-4</v>
      </c>
      <c r="FK37" s="10" cm="1">
        <f t="array" aca="1" ref="FK37" ca="1">(1-$B$18)*SUMPRODUCT(OFFSET($BO$15,0,0,$B$14,1), 1*(_xlfn._xlws.FILTER(OFFSET($O$15,0,$DN37,$B$8,1),OFFSET($M$15,0,0,$B$8,1))=FK$13), 1*(_xlfn._xlws.FILTER(OFFSET($O$15,0,$DO37,$B$8,1),OFFSET($M$15,0,0,$B$8,1))=FK$14))   /   SUM(OFFSET($BO$15,0,0,$B$14,1)) + $B$18/($B$19*$B$19*($DN37&lt;&gt;$DO37) + $B$19*($DN37=$DO37))</f>
        <v>3.7037037037037035E-4</v>
      </c>
      <c r="FL37" s="10" cm="1">
        <f t="array" aca="1" ref="FL37" ca="1">(1-$B$18)*SUMPRODUCT(OFFSET($BO$15,0,0,$B$14,1), 1*(_xlfn._xlws.FILTER(OFFSET($O$15,0,$DN37,$B$8,1),OFFSET($M$15,0,0,$B$8,1))=FL$13), 1*(_xlfn._xlws.FILTER(OFFSET($O$15,0,$DO37,$B$8,1),OFFSET($M$15,0,0,$B$8,1))=FL$14))   /   SUM(OFFSET($BO$15,0,0,$B$14,1)) + $B$18/($B$19*$B$19*($DN37&lt;&gt;$DO37) + $B$19*($DN37=$DO37))</f>
        <v>3.7037037037037035E-4</v>
      </c>
      <c r="FM37" s="10" cm="1">
        <f t="array" aca="1" ref="FM37" ca="1">(1-$B$18)*SUMPRODUCT(OFFSET($BO$15,0,0,$B$14,1), 1*(_xlfn._xlws.FILTER(OFFSET($O$15,0,$DN37,$B$8,1),OFFSET($M$15,0,0,$B$8,1))=FM$13), 1*(_xlfn._xlws.FILTER(OFFSET($O$15,0,$DO37,$B$8,1),OFFSET($M$15,0,0,$B$8,1))=FM$14))   /   SUM(OFFSET($BO$15,0,0,$B$14,1)) + $B$18/($B$19*$B$19*($DN37&lt;&gt;$DO37) + $B$19*($DN37=$DO37))</f>
        <v>3.7037037037037035E-4</v>
      </c>
      <c r="FN37" s="10" cm="1">
        <f t="array" aca="1" ref="FN37" ca="1">(1-$B$18)*SUMPRODUCT(OFFSET($BO$15,0,0,$B$14,1), 1*(_xlfn._xlws.FILTER(OFFSET($O$15,0,$DN37,$B$8,1),OFFSET($M$15,0,0,$B$8,1))=FN$13), 1*(_xlfn._xlws.FILTER(OFFSET($O$15,0,$DO37,$B$8,1),OFFSET($M$15,0,0,$B$8,1))=FN$14))   /   SUM(OFFSET($BO$15,0,0,$B$14,1)) + $B$18/($B$19*$B$19*($DN37&lt;&gt;$DO37) + $B$19*($DN37=$DO37))</f>
        <v>3.7037037037037035E-4</v>
      </c>
      <c r="FO37" s="10" cm="1">
        <f t="array" aca="1" ref="FO37" ca="1">(1-$B$18)*SUMPRODUCT(OFFSET($BO$15,0,0,$B$14,1), 1*(_xlfn._xlws.FILTER(OFFSET($O$15,0,$DN37,$B$8,1),OFFSET($M$15,0,0,$B$8,1))=FO$13), 1*(_xlfn._xlws.FILTER(OFFSET($O$15,0,$DO37,$B$8,1),OFFSET($M$15,0,0,$B$8,1))=FO$14))   /   SUM(OFFSET($BO$15,0,0,$B$14,1)) + $B$18/($B$19*$B$19*($DN37&lt;&gt;$DO37) + $B$19*($DN37=$DO37))</f>
        <v>3.7037037037037035E-4</v>
      </c>
      <c r="FP37" s="10" cm="1">
        <f t="array" aca="1" ref="FP37" ca="1">(1-$B$18)*SUMPRODUCT(OFFSET($BO$15,0,0,$B$14,1), 1*(_xlfn._xlws.FILTER(OFFSET($O$15,0,$DN37,$B$8,1),OFFSET($M$15,0,0,$B$8,1))=FP$13), 1*(_xlfn._xlws.FILTER(OFFSET($O$15,0,$DO37,$B$8,1),OFFSET($M$15,0,0,$B$8,1))=FP$14))   /   SUM(OFFSET($BO$15,0,0,$B$14,1)) + $B$18/($B$19*$B$19*($DN37&lt;&gt;$DO37) + $B$19*($DN37=$DO37))</f>
        <v>3.7037037037037035E-4</v>
      </c>
      <c r="FQ37" s="10" cm="1">
        <f t="array" aca="1" ref="FQ37" ca="1">(1-$B$18)*SUMPRODUCT(OFFSET($BO$15,0,0,$B$14,1), 1*(_xlfn._xlws.FILTER(OFFSET($O$15,0,$DN37,$B$8,1),OFFSET($M$15,0,0,$B$8,1))=FQ$13), 1*(_xlfn._xlws.FILTER(OFFSET($O$15,0,$DO37,$B$8,1),OFFSET($M$15,0,0,$B$8,1))=FQ$14))   /   SUM(OFFSET($BO$15,0,0,$B$14,1)) + $B$18/($B$19*$B$19*($DN37&lt;&gt;$DO37) + $B$19*($DN37=$DO37))</f>
        <v>3.7037037037037035E-4</v>
      </c>
      <c r="FR37" s="10" cm="1">
        <f t="array" aca="1" ref="FR37" ca="1">(1-$B$18)*SUMPRODUCT(OFFSET($BO$15,0,0,$B$14,1), 1*(_xlfn._xlws.FILTER(OFFSET($O$15,0,$DN37,$B$8,1),OFFSET($M$15,0,0,$B$8,1))=FR$13), 1*(_xlfn._xlws.FILTER(OFFSET($O$15,0,$DO37,$B$8,1),OFFSET($M$15,0,0,$B$8,1))=FR$14))   /   SUM(OFFSET($BO$15,0,0,$B$14,1)) + $B$18/($B$19*$B$19*($DN37&lt;&gt;$DO37) + $B$19*($DN37=$DO37))</f>
        <v>0.97037037037037033</v>
      </c>
      <c r="FS37" s="10" cm="1">
        <f t="array" aca="1" ref="FS37" ca="1">(1-$B$18)*SUMPRODUCT(OFFSET($BO$15,0,0,$B$14,1), 1*(_xlfn._xlws.FILTER(OFFSET($O$15,0,$DN37,$B$8,1),OFFSET($M$15,0,0,$B$8,1))=FS$13), 1*(_xlfn._xlws.FILTER(OFFSET($O$15,0,$DO37,$B$8,1),OFFSET($M$15,0,0,$B$8,1))=FS$14))   /   SUM(OFFSET($BO$15,0,0,$B$14,1)) + $B$18/($B$19*$B$19*($DN37&lt;&gt;$DO37) + $B$19*($DN37=$DO37))</f>
        <v>3.7037037037037035E-4</v>
      </c>
      <c r="FT37" s="10" cm="1">
        <f t="array" aca="1" ref="FT37" ca="1">(1-$B$18)*SUMPRODUCT(OFFSET($BO$15,0,0,$B$14,1), 1*(_xlfn._xlws.FILTER(OFFSET($O$15,0,$DN37,$B$8,1),OFFSET($M$15,0,0,$B$8,1))=FT$13), 1*(_xlfn._xlws.FILTER(OFFSET($O$15,0,$DO37,$B$8,1),OFFSET($M$15,0,0,$B$8,1))=FT$14))   /   SUM(OFFSET($BO$15,0,0,$B$14,1)) + $B$18/($B$19*$B$19*($DN37&lt;&gt;$DO37) + $B$19*($DN37=$DO37))</f>
        <v>3.7037037037037035E-4</v>
      </c>
      <c r="FU37" s="10" cm="1">
        <f t="array" aca="1" ref="FU37" ca="1">(1-$B$18)*SUMPRODUCT(OFFSET($BO$15,0,0,$B$14,1), 1*(_xlfn._xlws.FILTER(OFFSET($O$15,0,$DN37,$B$8,1),OFFSET($M$15,0,0,$B$8,1))=FU$13), 1*(_xlfn._xlws.FILTER(OFFSET($O$15,0,$DO37,$B$8,1),OFFSET($M$15,0,0,$B$8,1))=FU$14))   /   SUM(OFFSET($BO$15,0,0,$B$14,1)) + $B$18/($B$19*$B$19*($DN37&lt;&gt;$DO37) + $B$19*($DN37=$DO37))</f>
        <v>3.7037037037037035E-4</v>
      </c>
      <c r="FV37" s="10" cm="1">
        <f t="array" aca="1" ref="FV37" ca="1">(1-$B$18)*SUMPRODUCT(OFFSET($BO$15,0,0,$B$14,1), 1*(_xlfn._xlws.FILTER(OFFSET($O$15,0,$DN37,$B$8,1),OFFSET($M$15,0,0,$B$8,1))=FV$13), 1*(_xlfn._xlws.FILTER(OFFSET($O$15,0,$DO37,$B$8,1),OFFSET($M$15,0,0,$B$8,1))=FV$14))   /   SUM(OFFSET($BO$15,0,0,$B$14,1)) + $B$18/($B$19*$B$19*($DN37&lt;&gt;$DO37) + $B$19*($DN37=$DO37))</f>
        <v>3.7037037037037035E-4</v>
      </c>
      <c r="FW37" s="10" cm="1">
        <f t="array" aca="1" ref="FW37" ca="1">(1-$B$18)*SUMPRODUCT(OFFSET($BO$15,0,0,$B$14,1), 1*(_xlfn._xlws.FILTER(OFFSET($O$15,0,$DN37,$B$8,1),OFFSET($M$15,0,0,$B$8,1))=FW$13), 1*(_xlfn._xlws.FILTER(OFFSET($O$15,0,$DO37,$B$8,1),OFFSET($M$15,0,0,$B$8,1))=FW$14))   /   SUM(OFFSET($BO$15,0,0,$B$14,1)) + $B$18/($B$19*$B$19*($DN37&lt;&gt;$DO37) + $B$19*($DN37=$DO37))</f>
        <v>3.7037037037037035E-4</v>
      </c>
      <c r="FX37" s="10" cm="1">
        <f t="array" aca="1" ref="FX37" ca="1">(1-$B$18)*SUMPRODUCT(OFFSET($BO$15,0,0,$B$14,1), 1*(_xlfn._xlws.FILTER(OFFSET($O$15,0,$DN37,$B$8,1),OFFSET($M$15,0,0,$B$8,1))=FX$13), 1*(_xlfn._xlws.FILTER(OFFSET($O$15,0,$DO37,$B$8,1),OFFSET($M$15,0,0,$B$8,1))=FX$14))   /   SUM(OFFSET($BO$15,0,0,$B$14,1)) + $B$18/($B$19*$B$19*($DN37&lt;&gt;$DO37) + $B$19*($DN37=$DO37))</f>
        <v>3.7037037037037035E-4</v>
      </c>
      <c r="FY37" s="10" cm="1">
        <f t="array" aca="1" ref="FY37" ca="1">(1-$B$18)*SUMPRODUCT(OFFSET($BO$15,0,0,$B$14,1), 1*(_xlfn._xlws.FILTER(OFFSET($O$15,0,$DN37,$B$8,1),OFFSET($M$15,0,0,$B$8,1))=FY$13), 1*(_xlfn._xlws.FILTER(OFFSET($O$15,0,$DO37,$B$8,1),OFFSET($M$15,0,0,$B$8,1))=FY$14))   /   SUM(OFFSET($BO$15,0,0,$B$14,1)) + $B$18/($B$19*$B$19*($DN37&lt;&gt;$DO37) + $B$19*($DN37=$DO37))</f>
        <v>3.7037037037037035E-4</v>
      </c>
      <c r="FZ37" s="10" cm="1">
        <f t="array" aca="1" ref="FZ37" ca="1">(1-$B$18)*SUMPRODUCT(OFFSET($BO$15,0,0,$B$14,1), 1*(_xlfn._xlws.FILTER(OFFSET($O$15,0,$DN37,$B$8,1),OFFSET($M$15,0,0,$B$8,1))=FZ$13), 1*(_xlfn._xlws.FILTER(OFFSET($O$15,0,$DO37,$B$8,1),OFFSET($M$15,0,0,$B$8,1))=FZ$14))   /   SUM(OFFSET($BO$15,0,0,$B$14,1)) + $B$18/($B$19*$B$19*($DN37&lt;&gt;$DO37) + $B$19*($DN37=$DO37))</f>
        <v>3.7037037037037035E-4</v>
      </c>
      <c r="GA37" s="10" cm="1">
        <f t="array" aca="1" ref="GA37" ca="1">(1-$B$18)*SUMPRODUCT(OFFSET($BO$15,0,0,$B$14,1), 1*(_xlfn._xlws.FILTER(OFFSET($O$15,0,$DN37,$B$8,1),OFFSET($M$15,0,0,$B$8,1))=GA$13), 1*(_xlfn._xlws.FILTER(OFFSET($O$15,0,$DO37,$B$8,1),OFFSET($M$15,0,0,$B$8,1))=GA$14))   /   SUM(OFFSET($BO$15,0,0,$B$14,1)) + $B$18/($B$19*$B$19*($DN37&lt;&gt;$DO37) + $B$19*($DN37=$DO37))</f>
        <v>3.7037037037037035E-4</v>
      </c>
    </row>
    <row r="38" spans="4:183" x14ac:dyDescent="0.2">
      <c r="AK38" s="8"/>
      <c r="AL38" s="8"/>
      <c r="AM38" s="3"/>
      <c r="DN38" cm="1">
        <f t="array" aca="1" ref="DN38" ca="1">INDEX(_xlfn.ANCHORARRAY($CP$15), 1 + INT((ROWS($DO$15:$DO38) - 1) / ROWS(_xlfn.ANCHORARRAY($CP$15))))</f>
        <v>1</v>
      </c>
      <c r="DO38" cm="1">
        <f t="array" aca="1" ref="DO38" ca="1">INDEX(_xlfn.ANCHORARRAY($CP$15),1+MOD(ROWS($DO$15:$DO38)-1,ROWS(_xlfn.ANCHORARRAY($CP$15))))</f>
        <v>4</v>
      </c>
      <c r="DP38" s="10" cm="1">
        <f t="array" aca="1" ref="DP38" ca="1">(1-$B$18)*SUMPRODUCT(OFFSET($BO$15,0,0,$B$14,1), 1*(_xlfn._xlws.FILTER(OFFSET($O$15,0,$DN38,$B$8,1),OFFSET($M$15,0,0,$B$8,1))=DP$13), 1*(_xlfn._xlws.FILTER(OFFSET($O$15,0,$DO38,$B$8,1),OFFSET($M$15,0,0,$B$8,1))=DP$14))   /   SUM(OFFSET($BO$15,0,0,$B$14,1)) + $B$18/($B$19*$B$19*($DN38&lt;&gt;$DO38) + $B$19*($DN38=$DO38))</f>
        <v>3.7037037037037035E-4</v>
      </c>
      <c r="DQ38" s="10" cm="1">
        <f t="array" aca="1" ref="DQ38" ca="1">(1-$B$18)*SUMPRODUCT(OFFSET($BO$15,0,0,$B$14,1), 1*(_xlfn._xlws.FILTER(OFFSET($O$15,0,$DN38,$B$8,1),OFFSET($M$15,0,0,$B$8,1))=DQ$13), 1*(_xlfn._xlws.FILTER(OFFSET($O$15,0,$DO38,$B$8,1),OFFSET($M$15,0,0,$B$8,1))=DQ$14))   /   SUM(OFFSET($BO$15,0,0,$B$14,1)) + $B$18/($B$19*$B$19*($DN38&lt;&gt;$DO38) + $B$19*($DN38=$DO38))</f>
        <v>3.7037037037037035E-4</v>
      </c>
      <c r="DR38" s="10" cm="1">
        <f t="array" aca="1" ref="DR38" ca="1">(1-$B$18)*SUMPRODUCT(OFFSET($BO$15,0,0,$B$14,1), 1*(_xlfn._xlws.FILTER(OFFSET($O$15,0,$DN38,$B$8,1),OFFSET($M$15,0,0,$B$8,1))=DR$13), 1*(_xlfn._xlws.FILTER(OFFSET($O$15,0,$DO38,$B$8,1),OFFSET($M$15,0,0,$B$8,1))=DR$14))   /   SUM(OFFSET($BO$15,0,0,$B$14,1)) + $B$18/($B$19*$B$19*($DN38&lt;&gt;$DO38) + $B$19*($DN38=$DO38))</f>
        <v>3.7037037037037035E-4</v>
      </c>
      <c r="DS38" s="10" cm="1">
        <f t="array" aca="1" ref="DS38" ca="1">(1-$B$18)*SUMPRODUCT(OFFSET($BO$15,0,0,$B$14,1), 1*(_xlfn._xlws.FILTER(OFFSET($O$15,0,$DN38,$B$8,1),OFFSET($M$15,0,0,$B$8,1))=DS$13), 1*(_xlfn._xlws.FILTER(OFFSET($O$15,0,$DO38,$B$8,1),OFFSET($M$15,0,0,$B$8,1))=DS$14))   /   SUM(OFFSET($BO$15,0,0,$B$14,1)) + $B$18/($B$19*$B$19*($DN38&lt;&gt;$DO38) + $B$19*($DN38=$DO38))</f>
        <v>3.7037037037037035E-4</v>
      </c>
      <c r="DT38" s="10" cm="1">
        <f t="array" aca="1" ref="DT38" ca="1">(1-$B$18)*SUMPRODUCT(OFFSET($BO$15,0,0,$B$14,1), 1*(_xlfn._xlws.FILTER(OFFSET($O$15,0,$DN38,$B$8,1),OFFSET($M$15,0,0,$B$8,1))=DT$13), 1*(_xlfn._xlws.FILTER(OFFSET($O$15,0,$DO38,$B$8,1),OFFSET($M$15,0,0,$B$8,1))=DT$14))   /   SUM(OFFSET($BO$15,0,0,$B$14,1)) + $B$18/($B$19*$B$19*($DN38&lt;&gt;$DO38) + $B$19*($DN38=$DO38))</f>
        <v>3.7037037037037035E-4</v>
      </c>
      <c r="DU38" s="10" cm="1">
        <f t="array" aca="1" ref="DU38" ca="1">(1-$B$18)*SUMPRODUCT(OFFSET($BO$15,0,0,$B$14,1), 1*(_xlfn._xlws.FILTER(OFFSET($O$15,0,$DN38,$B$8,1),OFFSET($M$15,0,0,$B$8,1))=DU$13), 1*(_xlfn._xlws.FILTER(OFFSET($O$15,0,$DO38,$B$8,1),OFFSET($M$15,0,0,$B$8,1))=DU$14))   /   SUM(OFFSET($BO$15,0,0,$B$14,1)) + $B$18/($B$19*$B$19*($DN38&lt;&gt;$DO38) + $B$19*($DN38=$DO38))</f>
        <v>3.7037037037037035E-4</v>
      </c>
      <c r="DV38" s="10" cm="1">
        <f t="array" aca="1" ref="DV38" ca="1">(1-$B$18)*SUMPRODUCT(OFFSET($BO$15,0,0,$B$14,1), 1*(_xlfn._xlws.FILTER(OFFSET($O$15,0,$DN38,$B$8,1),OFFSET($M$15,0,0,$B$8,1))=DV$13), 1*(_xlfn._xlws.FILTER(OFFSET($O$15,0,$DO38,$B$8,1),OFFSET($M$15,0,0,$B$8,1))=DV$14))   /   SUM(OFFSET($BO$15,0,0,$B$14,1)) + $B$18/($B$19*$B$19*($DN38&lt;&gt;$DO38) + $B$19*($DN38=$DO38))</f>
        <v>3.7037037037037035E-4</v>
      </c>
      <c r="DW38" s="10" cm="1">
        <f t="array" aca="1" ref="DW38" ca="1">(1-$B$18)*SUMPRODUCT(OFFSET($BO$15,0,0,$B$14,1), 1*(_xlfn._xlws.FILTER(OFFSET($O$15,0,$DN38,$B$8,1),OFFSET($M$15,0,0,$B$8,1))=DW$13), 1*(_xlfn._xlws.FILTER(OFFSET($O$15,0,$DO38,$B$8,1),OFFSET($M$15,0,0,$B$8,1))=DW$14))   /   SUM(OFFSET($BO$15,0,0,$B$14,1)) + $B$18/($B$19*$B$19*($DN38&lt;&gt;$DO38) + $B$19*($DN38=$DO38))</f>
        <v>3.7037037037037035E-4</v>
      </c>
      <c r="DX38" s="10" cm="1">
        <f t="array" aca="1" ref="DX38" ca="1">(1-$B$18)*SUMPRODUCT(OFFSET($BO$15,0,0,$B$14,1), 1*(_xlfn._xlws.FILTER(OFFSET($O$15,0,$DN38,$B$8,1),OFFSET($M$15,0,0,$B$8,1))=DX$13), 1*(_xlfn._xlws.FILTER(OFFSET($O$15,0,$DO38,$B$8,1),OFFSET($M$15,0,0,$B$8,1))=DX$14))   /   SUM(OFFSET($BO$15,0,0,$B$14,1)) + $B$18/($B$19*$B$19*($DN38&lt;&gt;$DO38) + $B$19*($DN38=$DO38))</f>
        <v>3.7037037037037035E-4</v>
      </c>
      <c r="DY38" s="10" cm="1">
        <f t="array" aca="1" ref="DY38" ca="1">(1-$B$18)*SUMPRODUCT(OFFSET($BO$15,0,0,$B$14,1), 1*(_xlfn._xlws.FILTER(OFFSET($O$15,0,$DN38,$B$8,1),OFFSET($M$15,0,0,$B$8,1))=DY$13), 1*(_xlfn._xlws.FILTER(OFFSET($O$15,0,$DO38,$B$8,1),OFFSET($M$15,0,0,$B$8,1))=DY$14))   /   SUM(OFFSET($BO$15,0,0,$B$14,1)) + $B$18/($B$19*$B$19*($DN38&lt;&gt;$DO38) + $B$19*($DN38=$DO38))</f>
        <v>3.7037037037037035E-4</v>
      </c>
      <c r="DZ38" s="10" cm="1">
        <f t="array" aca="1" ref="DZ38" ca="1">(1-$B$18)*SUMPRODUCT(OFFSET($BO$15,0,0,$B$14,1), 1*(_xlfn._xlws.FILTER(OFFSET($O$15,0,$DN38,$B$8,1),OFFSET($M$15,0,0,$B$8,1))=DZ$13), 1*(_xlfn._xlws.FILTER(OFFSET($O$15,0,$DO38,$B$8,1),OFFSET($M$15,0,0,$B$8,1))=DZ$14))   /   SUM(OFFSET($BO$15,0,0,$B$14,1)) + $B$18/($B$19*$B$19*($DN38&lt;&gt;$DO38) + $B$19*($DN38=$DO38))</f>
        <v>3.7037037037037035E-4</v>
      </c>
      <c r="EA38" s="10" cm="1">
        <f t="array" aca="1" ref="EA38" ca="1">(1-$B$18)*SUMPRODUCT(OFFSET($BO$15,0,0,$B$14,1), 1*(_xlfn._xlws.FILTER(OFFSET($O$15,0,$DN38,$B$8,1),OFFSET($M$15,0,0,$B$8,1))=EA$13), 1*(_xlfn._xlws.FILTER(OFFSET($O$15,0,$DO38,$B$8,1),OFFSET($M$15,0,0,$B$8,1))=EA$14))   /   SUM(OFFSET($BO$15,0,0,$B$14,1)) + $B$18/($B$19*$B$19*($DN38&lt;&gt;$DO38) + $B$19*($DN38=$DO38))</f>
        <v>3.7037037037037035E-4</v>
      </c>
      <c r="EB38" s="10" cm="1">
        <f t="array" aca="1" ref="EB38" ca="1">(1-$B$18)*SUMPRODUCT(OFFSET($BO$15,0,0,$B$14,1), 1*(_xlfn._xlws.FILTER(OFFSET($O$15,0,$DN38,$B$8,1),OFFSET($M$15,0,0,$B$8,1))=EB$13), 1*(_xlfn._xlws.FILTER(OFFSET($O$15,0,$DO38,$B$8,1),OFFSET($M$15,0,0,$B$8,1))=EB$14))   /   SUM(OFFSET($BO$15,0,0,$B$14,1)) + $B$18/($B$19*$B$19*($DN38&lt;&gt;$DO38) + $B$19*($DN38=$DO38))</f>
        <v>3.7037037037037035E-4</v>
      </c>
      <c r="EC38" s="10" cm="1">
        <f t="array" aca="1" ref="EC38" ca="1">(1-$B$18)*SUMPRODUCT(OFFSET($BO$15,0,0,$B$14,1), 1*(_xlfn._xlws.FILTER(OFFSET($O$15,0,$DN38,$B$8,1),OFFSET($M$15,0,0,$B$8,1))=EC$13), 1*(_xlfn._xlws.FILTER(OFFSET($O$15,0,$DO38,$B$8,1),OFFSET($M$15,0,0,$B$8,1))=EC$14))   /   SUM(OFFSET($BO$15,0,0,$B$14,1)) + $B$18/($B$19*$B$19*($DN38&lt;&gt;$DO38) + $B$19*($DN38=$DO38))</f>
        <v>3.7037037037037035E-4</v>
      </c>
      <c r="ED38" s="10" cm="1">
        <f t="array" aca="1" ref="ED38" ca="1">(1-$B$18)*SUMPRODUCT(OFFSET($BO$15,0,0,$B$14,1), 1*(_xlfn._xlws.FILTER(OFFSET($O$15,0,$DN38,$B$8,1),OFFSET($M$15,0,0,$B$8,1))=ED$13), 1*(_xlfn._xlws.FILTER(OFFSET($O$15,0,$DO38,$B$8,1),OFFSET($M$15,0,0,$B$8,1))=ED$14))   /   SUM(OFFSET($BO$15,0,0,$B$14,1)) + $B$18/($B$19*$B$19*($DN38&lt;&gt;$DO38) + $B$19*($DN38=$DO38))</f>
        <v>3.7037037037037035E-4</v>
      </c>
      <c r="EE38" s="10" cm="1">
        <f t="array" aca="1" ref="EE38" ca="1">(1-$B$18)*SUMPRODUCT(OFFSET($BO$15,0,0,$B$14,1), 1*(_xlfn._xlws.FILTER(OFFSET($O$15,0,$DN38,$B$8,1),OFFSET($M$15,0,0,$B$8,1))=EE$13), 1*(_xlfn._xlws.FILTER(OFFSET($O$15,0,$DO38,$B$8,1),OFFSET($M$15,0,0,$B$8,1))=EE$14))   /   SUM(OFFSET($BO$15,0,0,$B$14,1)) + $B$18/($B$19*$B$19*($DN38&lt;&gt;$DO38) + $B$19*($DN38=$DO38))</f>
        <v>3.7037037037037035E-4</v>
      </c>
      <c r="EF38" s="10" cm="1">
        <f t="array" aca="1" ref="EF38" ca="1">(1-$B$18)*SUMPRODUCT(OFFSET($BO$15,0,0,$B$14,1), 1*(_xlfn._xlws.FILTER(OFFSET($O$15,0,$DN38,$B$8,1),OFFSET($M$15,0,0,$B$8,1))=EF$13), 1*(_xlfn._xlws.FILTER(OFFSET($O$15,0,$DO38,$B$8,1),OFFSET($M$15,0,0,$B$8,1))=EF$14))   /   SUM(OFFSET($BO$15,0,0,$B$14,1)) + $B$18/($B$19*$B$19*($DN38&lt;&gt;$DO38) + $B$19*($DN38=$DO38))</f>
        <v>3.7037037037037035E-4</v>
      </c>
      <c r="EG38" s="10" cm="1">
        <f t="array" aca="1" ref="EG38" ca="1">(1-$B$18)*SUMPRODUCT(OFFSET($BO$15,0,0,$B$14,1), 1*(_xlfn._xlws.FILTER(OFFSET($O$15,0,$DN38,$B$8,1),OFFSET($M$15,0,0,$B$8,1))=EG$13), 1*(_xlfn._xlws.FILTER(OFFSET($O$15,0,$DO38,$B$8,1),OFFSET($M$15,0,0,$B$8,1))=EG$14))   /   SUM(OFFSET($BO$15,0,0,$B$14,1)) + $B$18/($B$19*$B$19*($DN38&lt;&gt;$DO38) + $B$19*($DN38=$DO38))</f>
        <v>3.7037037037037035E-4</v>
      </c>
      <c r="EH38" s="10" cm="1">
        <f t="array" aca="1" ref="EH38" ca="1">(1-$B$18)*SUMPRODUCT(OFFSET($BO$15,0,0,$B$14,1), 1*(_xlfn._xlws.FILTER(OFFSET($O$15,0,$DN38,$B$8,1),OFFSET($M$15,0,0,$B$8,1))=EH$13), 1*(_xlfn._xlws.FILTER(OFFSET($O$15,0,$DO38,$B$8,1),OFFSET($M$15,0,0,$B$8,1))=EH$14))   /   SUM(OFFSET($BO$15,0,0,$B$14,1)) + $B$18/($B$19*$B$19*($DN38&lt;&gt;$DO38) + $B$19*($DN38=$DO38))</f>
        <v>3.7037037037037035E-4</v>
      </c>
      <c r="EI38" s="10" cm="1">
        <f t="array" aca="1" ref="EI38" ca="1">(1-$B$18)*SUMPRODUCT(OFFSET($BO$15,0,0,$B$14,1), 1*(_xlfn._xlws.FILTER(OFFSET($O$15,0,$DN38,$B$8,1),OFFSET($M$15,0,0,$B$8,1))=EI$13), 1*(_xlfn._xlws.FILTER(OFFSET($O$15,0,$DO38,$B$8,1),OFFSET($M$15,0,0,$B$8,1))=EI$14))   /   SUM(OFFSET($BO$15,0,0,$B$14,1)) + $B$18/($B$19*$B$19*($DN38&lt;&gt;$DO38) + $B$19*($DN38=$DO38))</f>
        <v>3.7037037037037035E-4</v>
      </c>
      <c r="EJ38" s="10" cm="1">
        <f t="array" aca="1" ref="EJ38" ca="1">(1-$B$18)*SUMPRODUCT(OFFSET($BO$15,0,0,$B$14,1), 1*(_xlfn._xlws.FILTER(OFFSET($O$15,0,$DN38,$B$8,1),OFFSET($M$15,0,0,$B$8,1))=EJ$13), 1*(_xlfn._xlws.FILTER(OFFSET($O$15,0,$DO38,$B$8,1),OFFSET($M$15,0,0,$B$8,1))=EJ$14))   /   SUM(OFFSET($BO$15,0,0,$B$14,1)) + $B$18/($B$19*$B$19*($DN38&lt;&gt;$DO38) + $B$19*($DN38=$DO38))</f>
        <v>3.7037037037037035E-4</v>
      </c>
      <c r="EK38" s="10" cm="1">
        <f t="array" aca="1" ref="EK38" ca="1">(1-$B$18)*SUMPRODUCT(OFFSET($BO$15,0,0,$B$14,1), 1*(_xlfn._xlws.FILTER(OFFSET($O$15,0,$DN38,$B$8,1),OFFSET($M$15,0,0,$B$8,1))=EK$13), 1*(_xlfn._xlws.FILTER(OFFSET($O$15,0,$DO38,$B$8,1),OFFSET($M$15,0,0,$B$8,1))=EK$14))   /   SUM(OFFSET($BO$15,0,0,$B$14,1)) + $B$18/($B$19*$B$19*($DN38&lt;&gt;$DO38) + $B$19*($DN38=$DO38))</f>
        <v>3.7037037037037035E-4</v>
      </c>
      <c r="EL38" s="10" cm="1">
        <f t="array" aca="1" ref="EL38" ca="1">(1-$B$18)*SUMPRODUCT(OFFSET($BO$15,0,0,$B$14,1), 1*(_xlfn._xlws.FILTER(OFFSET($O$15,0,$DN38,$B$8,1),OFFSET($M$15,0,0,$B$8,1))=EL$13), 1*(_xlfn._xlws.FILTER(OFFSET($O$15,0,$DO38,$B$8,1),OFFSET($M$15,0,0,$B$8,1))=EL$14))   /   SUM(OFFSET($BO$15,0,0,$B$14,1)) + $B$18/($B$19*$B$19*($DN38&lt;&gt;$DO38) + $B$19*($DN38=$DO38))</f>
        <v>3.7037037037037035E-4</v>
      </c>
      <c r="EM38" s="10" cm="1">
        <f t="array" aca="1" ref="EM38" ca="1">(1-$B$18)*SUMPRODUCT(OFFSET($BO$15,0,0,$B$14,1), 1*(_xlfn._xlws.FILTER(OFFSET($O$15,0,$DN38,$B$8,1),OFFSET($M$15,0,0,$B$8,1))=EM$13), 1*(_xlfn._xlws.FILTER(OFFSET($O$15,0,$DO38,$B$8,1),OFFSET($M$15,0,0,$B$8,1))=EM$14))   /   SUM(OFFSET($BO$15,0,0,$B$14,1)) + $B$18/($B$19*$B$19*($DN38&lt;&gt;$DO38) + $B$19*($DN38=$DO38))</f>
        <v>3.7037037037037035E-4</v>
      </c>
      <c r="EN38" s="10" cm="1">
        <f t="array" aca="1" ref="EN38" ca="1">(1-$B$18)*SUMPRODUCT(OFFSET($BO$15,0,0,$B$14,1), 1*(_xlfn._xlws.FILTER(OFFSET($O$15,0,$DN38,$B$8,1),OFFSET($M$15,0,0,$B$8,1))=EN$13), 1*(_xlfn._xlws.FILTER(OFFSET($O$15,0,$DO38,$B$8,1),OFFSET($M$15,0,0,$B$8,1))=EN$14))   /   SUM(OFFSET($BO$15,0,0,$B$14,1)) + $B$18/($B$19*$B$19*($DN38&lt;&gt;$DO38) + $B$19*($DN38=$DO38))</f>
        <v>3.7037037037037035E-4</v>
      </c>
      <c r="EO38" s="10" cm="1">
        <f t="array" aca="1" ref="EO38" ca="1">(1-$B$18)*SUMPRODUCT(OFFSET($BO$15,0,0,$B$14,1), 1*(_xlfn._xlws.FILTER(OFFSET($O$15,0,$DN38,$B$8,1),OFFSET($M$15,0,0,$B$8,1))=EO$13), 1*(_xlfn._xlws.FILTER(OFFSET($O$15,0,$DO38,$B$8,1),OFFSET($M$15,0,0,$B$8,1))=EO$14))   /   SUM(OFFSET($BO$15,0,0,$B$14,1)) + $B$18/($B$19*$B$19*($DN38&lt;&gt;$DO38) + $B$19*($DN38=$DO38))</f>
        <v>3.7037037037037035E-4</v>
      </c>
      <c r="EP38" s="10" cm="1">
        <f t="array" aca="1" ref="EP38" ca="1">(1-$B$18)*SUMPRODUCT(OFFSET($BO$15,0,0,$B$14,1), 1*(_xlfn._xlws.FILTER(OFFSET($O$15,0,$DN38,$B$8,1),OFFSET($M$15,0,0,$B$8,1))=EP$13), 1*(_xlfn._xlws.FILTER(OFFSET($O$15,0,$DO38,$B$8,1),OFFSET($M$15,0,0,$B$8,1))=EP$14))   /   SUM(OFFSET($BO$15,0,0,$B$14,1)) + $B$18/($B$19*$B$19*($DN38&lt;&gt;$DO38) + $B$19*($DN38=$DO38))</f>
        <v>3.7037037037037035E-4</v>
      </c>
      <c r="EQ38" s="10" cm="1">
        <f t="array" aca="1" ref="EQ38" ca="1">(1-$B$18)*SUMPRODUCT(OFFSET($BO$15,0,0,$B$14,1), 1*(_xlfn._xlws.FILTER(OFFSET($O$15,0,$DN38,$B$8,1),OFFSET($M$15,0,0,$B$8,1))=EQ$13), 1*(_xlfn._xlws.FILTER(OFFSET($O$15,0,$DO38,$B$8,1),OFFSET($M$15,0,0,$B$8,1))=EQ$14))   /   SUM(OFFSET($BO$15,0,0,$B$14,1)) + $B$18/($B$19*$B$19*($DN38&lt;&gt;$DO38) + $B$19*($DN38=$DO38))</f>
        <v>3.7037037037037035E-4</v>
      </c>
      <c r="ER38" s="10" cm="1">
        <f t="array" aca="1" ref="ER38" ca="1">(1-$B$18)*SUMPRODUCT(OFFSET($BO$15,0,0,$B$14,1), 1*(_xlfn._xlws.FILTER(OFFSET($O$15,0,$DN38,$B$8,1),OFFSET($M$15,0,0,$B$8,1))=ER$13), 1*(_xlfn._xlws.FILTER(OFFSET($O$15,0,$DO38,$B$8,1),OFFSET($M$15,0,0,$B$8,1))=ER$14))   /   SUM(OFFSET($BO$15,0,0,$B$14,1)) + $B$18/($B$19*$B$19*($DN38&lt;&gt;$DO38) + $B$19*($DN38=$DO38))</f>
        <v>3.7037037037037035E-4</v>
      </c>
      <c r="ES38" s="10" cm="1">
        <f t="array" aca="1" ref="ES38" ca="1">(1-$B$18)*SUMPRODUCT(OFFSET($BO$15,0,0,$B$14,1), 1*(_xlfn._xlws.FILTER(OFFSET($O$15,0,$DN38,$B$8,1),OFFSET($M$15,0,0,$B$8,1))=ES$13), 1*(_xlfn._xlws.FILTER(OFFSET($O$15,0,$DO38,$B$8,1),OFFSET($M$15,0,0,$B$8,1))=ES$14))   /   SUM(OFFSET($BO$15,0,0,$B$14,1)) + $B$18/($B$19*$B$19*($DN38&lt;&gt;$DO38) + $B$19*($DN38=$DO38))</f>
        <v>3.7037037037037035E-4</v>
      </c>
      <c r="ET38" s="10" cm="1">
        <f t="array" aca="1" ref="ET38" ca="1">(1-$B$18)*SUMPRODUCT(OFFSET($BO$15,0,0,$B$14,1), 1*(_xlfn._xlws.FILTER(OFFSET($O$15,0,$DN38,$B$8,1),OFFSET($M$15,0,0,$B$8,1))=ET$13), 1*(_xlfn._xlws.FILTER(OFFSET($O$15,0,$DO38,$B$8,1),OFFSET($M$15,0,0,$B$8,1))=ET$14))   /   SUM(OFFSET($BO$15,0,0,$B$14,1)) + $B$18/($B$19*$B$19*($DN38&lt;&gt;$DO38) + $B$19*($DN38=$DO38))</f>
        <v>3.7037037037037035E-4</v>
      </c>
      <c r="EU38" s="10" cm="1">
        <f t="array" aca="1" ref="EU38" ca="1">(1-$B$18)*SUMPRODUCT(OFFSET($BO$15,0,0,$B$14,1), 1*(_xlfn._xlws.FILTER(OFFSET($O$15,0,$DN38,$B$8,1),OFFSET($M$15,0,0,$B$8,1))=EU$13), 1*(_xlfn._xlws.FILTER(OFFSET($O$15,0,$DO38,$B$8,1),OFFSET($M$15,0,0,$B$8,1))=EU$14))   /   SUM(OFFSET($BO$15,0,0,$B$14,1)) + $B$18/($B$19*$B$19*($DN38&lt;&gt;$DO38) + $B$19*($DN38=$DO38))</f>
        <v>3.7037037037037035E-4</v>
      </c>
      <c r="EV38" s="10" cm="1">
        <f t="array" aca="1" ref="EV38" ca="1">(1-$B$18)*SUMPRODUCT(OFFSET($BO$15,0,0,$B$14,1), 1*(_xlfn._xlws.FILTER(OFFSET($O$15,0,$DN38,$B$8,1),OFFSET($M$15,0,0,$B$8,1))=EV$13), 1*(_xlfn._xlws.FILTER(OFFSET($O$15,0,$DO38,$B$8,1),OFFSET($M$15,0,0,$B$8,1))=EV$14))   /   SUM(OFFSET($BO$15,0,0,$B$14,1)) + $B$18/($B$19*$B$19*($DN38&lt;&gt;$DO38) + $B$19*($DN38=$DO38))</f>
        <v>3.7037037037037035E-4</v>
      </c>
      <c r="EW38" s="10" cm="1">
        <f t="array" aca="1" ref="EW38" ca="1">(1-$B$18)*SUMPRODUCT(OFFSET($BO$15,0,0,$B$14,1), 1*(_xlfn._xlws.FILTER(OFFSET($O$15,0,$DN38,$B$8,1),OFFSET($M$15,0,0,$B$8,1))=EW$13), 1*(_xlfn._xlws.FILTER(OFFSET($O$15,0,$DO38,$B$8,1),OFFSET($M$15,0,0,$B$8,1))=EW$14))   /   SUM(OFFSET($BO$15,0,0,$B$14,1)) + $B$18/($B$19*$B$19*($DN38&lt;&gt;$DO38) + $B$19*($DN38=$DO38))</f>
        <v>3.7037037037037035E-4</v>
      </c>
      <c r="EX38" s="10" cm="1">
        <f t="array" aca="1" ref="EX38" ca="1">(1-$B$18)*SUMPRODUCT(OFFSET($BO$15,0,0,$B$14,1), 1*(_xlfn._xlws.FILTER(OFFSET($O$15,0,$DN38,$B$8,1),OFFSET($M$15,0,0,$B$8,1))=EX$13), 1*(_xlfn._xlws.FILTER(OFFSET($O$15,0,$DO38,$B$8,1),OFFSET($M$15,0,0,$B$8,1))=EX$14))   /   SUM(OFFSET($BO$15,0,0,$B$14,1)) + $B$18/($B$19*$B$19*($DN38&lt;&gt;$DO38) + $B$19*($DN38=$DO38))</f>
        <v>3.7037037037037035E-4</v>
      </c>
      <c r="EY38" s="10" cm="1">
        <f t="array" aca="1" ref="EY38" ca="1">(1-$B$18)*SUMPRODUCT(OFFSET($BO$15,0,0,$B$14,1), 1*(_xlfn._xlws.FILTER(OFFSET($O$15,0,$DN38,$B$8,1),OFFSET($M$15,0,0,$B$8,1))=EY$13), 1*(_xlfn._xlws.FILTER(OFFSET($O$15,0,$DO38,$B$8,1),OFFSET($M$15,0,0,$B$8,1))=EY$14))   /   SUM(OFFSET($BO$15,0,0,$B$14,1)) + $B$18/($B$19*$B$19*($DN38&lt;&gt;$DO38) + $B$19*($DN38=$DO38))</f>
        <v>3.7037037037037035E-4</v>
      </c>
      <c r="EZ38" s="10" cm="1">
        <f t="array" aca="1" ref="EZ38" ca="1">(1-$B$18)*SUMPRODUCT(OFFSET($BO$15,0,0,$B$14,1), 1*(_xlfn._xlws.FILTER(OFFSET($O$15,0,$DN38,$B$8,1),OFFSET($M$15,0,0,$B$8,1))=EZ$13), 1*(_xlfn._xlws.FILTER(OFFSET($O$15,0,$DO38,$B$8,1),OFFSET($M$15,0,0,$B$8,1))=EZ$14))   /   SUM(OFFSET($BO$15,0,0,$B$14,1)) + $B$18/($B$19*$B$19*($DN38&lt;&gt;$DO38) + $B$19*($DN38=$DO38))</f>
        <v>3.7037037037037035E-4</v>
      </c>
      <c r="FA38" s="10" cm="1">
        <f t="array" aca="1" ref="FA38" ca="1">(1-$B$18)*SUMPRODUCT(OFFSET($BO$15,0,0,$B$14,1), 1*(_xlfn._xlws.FILTER(OFFSET($O$15,0,$DN38,$B$8,1),OFFSET($M$15,0,0,$B$8,1))=FA$13), 1*(_xlfn._xlws.FILTER(OFFSET($O$15,0,$DO38,$B$8,1),OFFSET($M$15,0,0,$B$8,1))=FA$14))   /   SUM(OFFSET($BO$15,0,0,$B$14,1)) + $B$18/($B$19*$B$19*($DN38&lt;&gt;$DO38) + $B$19*($DN38=$DO38))</f>
        <v>3.7037037037037035E-4</v>
      </c>
      <c r="FB38" s="10" cm="1">
        <f t="array" aca="1" ref="FB38" ca="1">(1-$B$18)*SUMPRODUCT(OFFSET($BO$15,0,0,$B$14,1), 1*(_xlfn._xlws.FILTER(OFFSET($O$15,0,$DN38,$B$8,1),OFFSET($M$15,0,0,$B$8,1))=FB$13), 1*(_xlfn._xlws.FILTER(OFFSET($O$15,0,$DO38,$B$8,1),OFFSET($M$15,0,0,$B$8,1))=FB$14))   /   SUM(OFFSET($BO$15,0,0,$B$14,1)) + $B$18/($B$19*$B$19*($DN38&lt;&gt;$DO38) + $B$19*($DN38=$DO38))</f>
        <v>3.7037037037037035E-4</v>
      </c>
      <c r="FC38" s="10" cm="1">
        <f t="array" aca="1" ref="FC38" ca="1">(1-$B$18)*SUMPRODUCT(OFFSET($BO$15,0,0,$B$14,1), 1*(_xlfn._xlws.FILTER(OFFSET($O$15,0,$DN38,$B$8,1),OFFSET($M$15,0,0,$B$8,1))=FC$13), 1*(_xlfn._xlws.FILTER(OFFSET($O$15,0,$DO38,$B$8,1),OFFSET($M$15,0,0,$B$8,1))=FC$14))   /   SUM(OFFSET($BO$15,0,0,$B$14,1)) + $B$18/($B$19*$B$19*($DN38&lt;&gt;$DO38) + $B$19*($DN38=$DO38))</f>
        <v>3.7037037037037035E-4</v>
      </c>
      <c r="FD38" s="10" cm="1">
        <f t="array" aca="1" ref="FD38" ca="1">(1-$B$18)*SUMPRODUCT(OFFSET($BO$15,0,0,$B$14,1), 1*(_xlfn._xlws.FILTER(OFFSET($O$15,0,$DN38,$B$8,1),OFFSET($M$15,0,0,$B$8,1))=FD$13), 1*(_xlfn._xlws.FILTER(OFFSET($O$15,0,$DO38,$B$8,1),OFFSET($M$15,0,0,$B$8,1))=FD$14))   /   SUM(OFFSET($BO$15,0,0,$B$14,1)) + $B$18/($B$19*$B$19*($DN38&lt;&gt;$DO38) + $B$19*($DN38=$DO38))</f>
        <v>3.7037037037037035E-4</v>
      </c>
      <c r="FE38" s="10" cm="1">
        <f t="array" aca="1" ref="FE38" ca="1">(1-$B$18)*SUMPRODUCT(OFFSET($BO$15,0,0,$B$14,1), 1*(_xlfn._xlws.FILTER(OFFSET($O$15,0,$DN38,$B$8,1),OFFSET($M$15,0,0,$B$8,1))=FE$13), 1*(_xlfn._xlws.FILTER(OFFSET($O$15,0,$DO38,$B$8,1),OFFSET($M$15,0,0,$B$8,1))=FE$14))   /   SUM(OFFSET($BO$15,0,0,$B$14,1)) + $B$18/($B$19*$B$19*($DN38&lt;&gt;$DO38) + $B$19*($DN38=$DO38))</f>
        <v>3.7037037037037035E-4</v>
      </c>
      <c r="FF38" s="10" cm="1">
        <f t="array" aca="1" ref="FF38" ca="1">(1-$B$18)*SUMPRODUCT(OFFSET($BO$15,0,0,$B$14,1), 1*(_xlfn._xlws.FILTER(OFFSET($O$15,0,$DN38,$B$8,1),OFFSET($M$15,0,0,$B$8,1))=FF$13), 1*(_xlfn._xlws.FILTER(OFFSET($O$15,0,$DO38,$B$8,1),OFFSET($M$15,0,0,$B$8,1))=FF$14))   /   SUM(OFFSET($BO$15,0,0,$B$14,1)) + $B$18/($B$19*$B$19*($DN38&lt;&gt;$DO38) + $B$19*($DN38=$DO38))</f>
        <v>3.7037037037037035E-4</v>
      </c>
      <c r="FG38" s="10" cm="1">
        <f t="array" aca="1" ref="FG38" ca="1">(1-$B$18)*SUMPRODUCT(OFFSET($BO$15,0,0,$B$14,1), 1*(_xlfn._xlws.FILTER(OFFSET($O$15,0,$DN38,$B$8,1),OFFSET($M$15,0,0,$B$8,1))=FG$13), 1*(_xlfn._xlws.FILTER(OFFSET($O$15,0,$DO38,$B$8,1),OFFSET($M$15,0,0,$B$8,1))=FG$14))   /   SUM(OFFSET($BO$15,0,0,$B$14,1)) + $B$18/($B$19*$B$19*($DN38&lt;&gt;$DO38) + $B$19*($DN38=$DO38))</f>
        <v>3.7037037037037035E-4</v>
      </c>
      <c r="FH38" s="10" cm="1">
        <f t="array" aca="1" ref="FH38" ca="1">(1-$B$18)*SUMPRODUCT(OFFSET($BO$15,0,0,$B$14,1), 1*(_xlfn._xlws.FILTER(OFFSET($O$15,0,$DN38,$B$8,1),OFFSET($M$15,0,0,$B$8,1))=FH$13), 1*(_xlfn._xlws.FILTER(OFFSET($O$15,0,$DO38,$B$8,1),OFFSET($M$15,0,0,$B$8,1))=FH$14))   /   SUM(OFFSET($BO$15,0,0,$B$14,1)) + $B$18/($B$19*$B$19*($DN38&lt;&gt;$DO38) + $B$19*($DN38=$DO38))</f>
        <v>3.7037037037037035E-4</v>
      </c>
      <c r="FI38" s="10" cm="1">
        <f t="array" aca="1" ref="FI38" ca="1">(1-$B$18)*SUMPRODUCT(OFFSET($BO$15,0,0,$B$14,1), 1*(_xlfn._xlws.FILTER(OFFSET($O$15,0,$DN38,$B$8,1),OFFSET($M$15,0,0,$B$8,1))=FI$13), 1*(_xlfn._xlws.FILTER(OFFSET($O$15,0,$DO38,$B$8,1),OFFSET($M$15,0,0,$B$8,1))=FI$14))   /   SUM(OFFSET($BO$15,0,0,$B$14,1)) + $B$18/($B$19*$B$19*($DN38&lt;&gt;$DO38) + $B$19*($DN38=$DO38))</f>
        <v>3.7037037037037035E-4</v>
      </c>
      <c r="FJ38" s="10" cm="1">
        <f t="array" aca="1" ref="FJ38" ca="1">(1-$B$18)*SUMPRODUCT(OFFSET($BO$15,0,0,$B$14,1), 1*(_xlfn._xlws.FILTER(OFFSET($O$15,0,$DN38,$B$8,1),OFFSET($M$15,0,0,$B$8,1))=FJ$13), 1*(_xlfn._xlws.FILTER(OFFSET($O$15,0,$DO38,$B$8,1),OFFSET($M$15,0,0,$B$8,1))=FJ$14))   /   SUM(OFFSET($BO$15,0,0,$B$14,1)) + $B$18/($B$19*$B$19*($DN38&lt;&gt;$DO38) + $B$19*($DN38=$DO38))</f>
        <v>3.7037037037037035E-4</v>
      </c>
      <c r="FK38" s="10" cm="1">
        <f t="array" aca="1" ref="FK38" ca="1">(1-$B$18)*SUMPRODUCT(OFFSET($BO$15,0,0,$B$14,1), 1*(_xlfn._xlws.FILTER(OFFSET($O$15,0,$DN38,$B$8,1),OFFSET($M$15,0,0,$B$8,1))=FK$13), 1*(_xlfn._xlws.FILTER(OFFSET($O$15,0,$DO38,$B$8,1),OFFSET($M$15,0,0,$B$8,1))=FK$14))   /   SUM(OFFSET($BO$15,0,0,$B$14,1)) + $B$18/($B$19*$B$19*($DN38&lt;&gt;$DO38) + $B$19*($DN38=$DO38))</f>
        <v>3.7037037037037035E-4</v>
      </c>
      <c r="FL38" s="10" cm="1">
        <f t="array" aca="1" ref="FL38" ca="1">(1-$B$18)*SUMPRODUCT(OFFSET($BO$15,0,0,$B$14,1), 1*(_xlfn._xlws.FILTER(OFFSET($O$15,0,$DN38,$B$8,1),OFFSET($M$15,0,0,$B$8,1))=FL$13), 1*(_xlfn._xlws.FILTER(OFFSET($O$15,0,$DO38,$B$8,1),OFFSET($M$15,0,0,$B$8,1))=FL$14))   /   SUM(OFFSET($BO$15,0,0,$B$14,1)) + $B$18/($B$19*$B$19*($DN38&lt;&gt;$DO38) + $B$19*($DN38=$DO38))</f>
        <v>3.7037037037037035E-4</v>
      </c>
      <c r="FM38" s="10" cm="1">
        <f t="array" aca="1" ref="FM38" ca="1">(1-$B$18)*SUMPRODUCT(OFFSET($BO$15,0,0,$B$14,1), 1*(_xlfn._xlws.FILTER(OFFSET($O$15,0,$DN38,$B$8,1),OFFSET($M$15,0,0,$B$8,1))=FM$13), 1*(_xlfn._xlws.FILTER(OFFSET($O$15,0,$DO38,$B$8,1),OFFSET($M$15,0,0,$B$8,1))=FM$14))   /   SUM(OFFSET($BO$15,0,0,$B$14,1)) + $B$18/($B$19*$B$19*($DN38&lt;&gt;$DO38) + $B$19*($DN38=$DO38))</f>
        <v>3.7037037037037035E-4</v>
      </c>
      <c r="FN38" s="10" cm="1">
        <f t="array" aca="1" ref="FN38" ca="1">(1-$B$18)*SUMPRODUCT(OFFSET($BO$15,0,0,$B$14,1), 1*(_xlfn._xlws.FILTER(OFFSET($O$15,0,$DN38,$B$8,1),OFFSET($M$15,0,0,$B$8,1))=FN$13), 1*(_xlfn._xlws.FILTER(OFFSET($O$15,0,$DO38,$B$8,1),OFFSET($M$15,0,0,$B$8,1))=FN$14))   /   SUM(OFFSET($BO$15,0,0,$B$14,1)) + $B$18/($B$19*$B$19*($DN38&lt;&gt;$DO38) + $B$19*($DN38=$DO38))</f>
        <v>3.7037037037037035E-4</v>
      </c>
      <c r="FO38" s="10" cm="1">
        <f t="array" aca="1" ref="FO38" ca="1">(1-$B$18)*SUMPRODUCT(OFFSET($BO$15,0,0,$B$14,1), 1*(_xlfn._xlws.FILTER(OFFSET($O$15,0,$DN38,$B$8,1),OFFSET($M$15,0,0,$B$8,1))=FO$13), 1*(_xlfn._xlws.FILTER(OFFSET($O$15,0,$DO38,$B$8,1),OFFSET($M$15,0,0,$B$8,1))=FO$14))   /   SUM(OFFSET($BO$15,0,0,$B$14,1)) + $B$18/($B$19*$B$19*($DN38&lt;&gt;$DO38) + $B$19*($DN38=$DO38))</f>
        <v>3.7037037037037035E-4</v>
      </c>
      <c r="FP38" s="10" cm="1">
        <f t="array" aca="1" ref="FP38" ca="1">(1-$B$18)*SUMPRODUCT(OFFSET($BO$15,0,0,$B$14,1), 1*(_xlfn._xlws.FILTER(OFFSET($O$15,0,$DN38,$B$8,1),OFFSET($M$15,0,0,$B$8,1))=FP$13), 1*(_xlfn._xlws.FILTER(OFFSET($O$15,0,$DO38,$B$8,1),OFFSET($M$15,0,0,$B$8,1))=FP$14))   /   SUM(OFFSET($BO$15,0,0,$B$14,1)) + $B$18/($B$19*$B$19*($DN38&lt;&gt;$DO38) + $B$19*($DN38=$DO38))</f>
        <v>3.7037037037037035E-4</v>
      </c>
      <c r="FQ38" s="10" cm="1">
        <f t="array" aca="1" ref="FQ38" ca="1">(1-$B$18)*SUMPRODUCT(OFFSET($BO$15,0,0,$B$14,1), 1*(_xlfn._xlws.FILTER(OFFSET($O$15,0,$DN38,$B$8,1),OFFSET($M$15,0,0,$B$8,1))=FQ$13), 1*(_xlfn._xlws.FILTER(OFFSET($O$15,0,$DO38,$B$8,1),OFFSET($M$15,0,0,$B$8,1))=FQ$14))   /   SUM(OFFSET($BO$15,0,0,$B$14,1)) + $B$18/($B$19*$B$19*($DN38&lt;&gt;$DO38) + $B$19*($DN38=$DO38))</f>
        <v>3.7037037037037035E-4</v>
      </c>
      <c r="FR38" s="10" cm="1">
        <f t="array" aca="1" ref="FR38" ca="1">(1-$B$18)*SUMPRODUCT(OFFSET($BO$15,0,0,$B$14,1), 1*(_xlfn._xlws.FILTER(OFFSET($O$15,0,$DN38,$B$8,1),OFFSET($M$15,0,0,$B$8,1))=FR$13), 1*(_xlfn._xlws.FILTER(OFFSET($O$15,0,$DO38,$B$8,1),OFFSET($M$15,0,0,$B$8,1))=FR$14))   /   SUM(OFFSET($BO$15,0,0,$B$14,1)) + $B$18/($B$19*$B$19*($DN38&lt;&gt;$DO38) + $B$19*($DN38=$DO38))</f>
        <v>0.97037037037037033</v>
      </c>
      <c r="FS38" s="10" cm="1">
        <f t="array" aca="1" ref="FS38" ca="1">(1-$B$18)*SUMPRODUCT(OFFSET($BO$15,0,0,$B$14,1), 1*(_xlfn._xlws.FILTER(OFFSET($O$15,0,$DN38,$B$8,1),OFFSET($M$15,0,0,$B$8,1))=FS$13), 1*(_xlfn._xlws.FILTER(OFFSET($O$15,0,$DO38,$B$8,1),OFFSET($M$15,0,0,$B$8,1))=FS$14))   /   SUM(OFFSET($BO$15,0,0,$B$14,1)) + $B$18/($B$19*$B$19*($DN38&lt;&gt;$DO38) + $B$19*($DN38=$DO38))</f>
        <v>3.7037037037037035E-4</v>
      </c>
      <c r="FT38" s="10" cm="1">
        <f t="array" aca="1" ref="FT38" ca="1">(1-$B$18)*SUMPRODUCT(OFFSET($BO$15,0,0,$B$14,1), 1*(_xlfn._xlws.FILTER(OFFSET($O$15,0,$DN38,$B$8,1),OFFSET($M$15,0,0,$B$8,1))=FT$13), 1*(_xlfn._xlws.FILTER(OFFSET($O$15,0,$DO38,$B$8,1),OFFSET($M$15,0,0,$B$8,1))=FT$14))   /   SUM(OFFSET($BO$15,0,0,$B$14,1)) + $B$18/($B$19*$B$19*($DN38&lt;&gt;$DO38) + $B$19*($DN38=$DO38))</f>
        <v>3.7037037037037035E-4</v>
      </c>
      <c r="FU38" s="10" cm="1">
        <f t="array" aca="1" ref="FU38" ca="1">(1-$B$18)*SUMPRODUCT(OFFSET($BO$15,0,0,$B$14,1), 1*(_xlfn._xlws.FILTER(OFFSET($O$15,0,$DN38,$B$8,1),OFFSET($M$15,0,0,$B$8,1))=FU$13), 1*(_xlfn._xlws.FILTER(OFFSET($O$15,0,$DO38,$B$8,1),OFFSET($M$15,0,0,$B$8,1))=FU$14))   /   SUM(OFFSET($BO$15,0,0,$B$14,1)) + $B$18/($B$19*$B$19*($DN38&lt;&gt;$DO38) + $B$19*($DN38=$DO38))</f>
        <v>3.7037037037037035E-4</v>
      </c>
      <c r="FV38" s="10" cm="1">
        <f t="array" aca="1" ref="FV38" ca="1">(1-$B$18)*SUMPRODUCT(OFFSET($BO$15,0,0,$B$14,1), 1*(_xlfn._xlws.FILTER(OFFSET($O$15,0,$DN38,$B$8,1),OFFSET($M$15,0,0,$B$8,1))=FV$13), 1*(_xlfn._xlws.FILTER(OFFSET($O$15,0,$DO38,$B$8,1),OFFSET($M$15,0,0,$B$8,1))=FV$14))   /   SUM(OFFSET($BO$15,0,0,$B$14,1)) + $B$18/($B$19*$B$19*($DN38&lt;&gt;$DO38) + $B$19*($DN38=$DO38))</f>
        <v>3.7037037037037035E-4</v>
      </c>
      <c r="FW38" s="10" cm="1">
        <f t="array" aca="1" ref="FW38" ca="1">(1-$B$18)*SUMPRODUCT(OFFSET($BO$15,0,0,$B$14,1), 1*(_xlfn._xlws.FILTER(OFFSET($O$15,0,$DN38,$B$8,1),OFFSET($M$15,0,0,$B$8,1))=FW$13), 1*(_xlfn._xlws.FILTER(OFFSET($O$15,0,$DO38,$B$8,1),OFFSET($M$15,0,0,$B$8,1))=FW$14))   /   SUM(OFFSET($BO$15,0,0,$B$14,1)) + $B$18/($B$19*$B$19*($DN38&lt;&gt;$DO38) + $B$19*($DN38=$DO38))</f>
        <v>3.7037037037037035E-4</v>
      </c>
      <c r="FX38" s="10" cm="1">
        <f t="array" aca="1" ref="FX38" ca="1">(1-$B$18)*SUMPRODUCT(OFFSET($BO$15,0,0,$B$14,1), 1*(_xlfn._xlws.FILTER(OFFSET($O$15,0,$DN38,$B$8,1),OFFSET($M$15,0,0,$B$8,1))=FX$13), 1*(_xlfn._xlws.FILTER(OFFSET($O$15,0,$DO38,$B$8,1),OFFSET($M$15,0,0,$B$8,1))=FX$14))   /   SUM(OFFSET($BO$15,0,0,$B$14,1)) + $B$18/($B$19*$B$19*($DN38&lt;&gt;$DO38) + $B$19*($DN38=$DO38))</f>
        <v>3.7037037037037035E-4</v>
      </c>
      <c r="FY38" s="10" cm="1">
        <f t="array" aca="1" ref="FY38" ca="1">(1-$B$18)*SUMPRODUCT(OFFSET($BO$15,0,0,$B$14,1), 1*(_xlfn._xlws.FILTER(OFFSET($O$15,0,$DN38,$B$8,1),OFFSET($M$15,0,0,$B$8,1))=FY$13), 1*(_xlfn._xlws.FILTER(OFFSET($O$15,0,$DO38,$B$8,1),OFFSET($M$15,0,0,$B$8,1))=FY$14))   /   SUM(OFFSET($BO$15,0,0,$B$14,1)) + $B$18/($B$19*$B$19*($DN38&lt;&gt;$DO38) + $B$19*($DN38=$DO38))</f>
        <v>3.7037037037037035E-4</v>
      </c>
      <c r="FZ38" s="10" cm="1">
        <f t="array" aca="1" ref="FZ38" ca="1">(1-$B$18)*SUMPRODUCT(OFFSET($BO$15,0,0,$B$14,1), 1*(_xlfn._xlws.FILTER(OFFSET($O$15,0,$DN38,$B$8,1),OFFSET($M$15,0,0,$B$8,1))=FZ$13), 1*(_xlfn._xlws.FILTER(OFFSET($O$15,0,$DO38,$B$8,1),OFFSET($M$15,0,0,$B$8,1))=FZ$14))   /   SUM(OFFSET($BO$15,0,0,$B$14,1)) + $B$18/($B$19*$B$19*($DN38&lt;&gt;$DO38) + $B$19*($DN38=$DO38))</f>
        <v>3.7037037037037035E-4</v>
      </c>
      <c r="GA38" s="10" cm="1">
        <f t="array" aca="1" ref="GA38" ca="1">(1-$B$18)*SUMPRODUCT(OFFSET($BO$15,0,0,$B$14,1), 1*(_xlfn._xlws.FILTER(OFFSET($O$15,0,$DN38,$B$8,1),OFFSET($M$15,0,0,$B$8,1))=GA$13), 1*(_xlfn._xlws.FILTER(OFFSET($O$15,0,$DO38,$B$8,1),OFFSET($M$15,0,0,$B$8,1))=GA$14))   /   SUM(OFFSET($BO$15,0,0,$B$14,1)) + $B$18/($B$19*$B$19*($DN38&lt;&gt;$DO38) + $B$19*($DN38=$DO38))</f>
        <v>3.7037037037037035E-4</v>
      </c>
    </row>
    <row r="39" spans="4:183" x14ac:dyDescent="0.2">
      <c r="AK39" s="8"/>
      <c r="AL39" s="8"/>
      <c r="DN39" cm="1">
        <f t="array" aca="1" ref="DN39" ca="1">INDEX(_xlfn.ANCHORARRAY($CP$15), 1 + INT((ROWS($DO$15:$DO39) - 1) / ROWS(_xlfn.ANCHORARRAY($CP$15))))</f>
        <v>1</v>
      </c>
      <c r="DO39" cm="1">
        <f t="array" aca="1" ref="DO39" ca="1">INDEX(_xlfn.ANCHORARRAY($CP$15),1+MOD(ROWS($DO$15:$DO39)-1,ROWS(_xlfn.ANCHORARRAY($CP$15))))</f>
        <v>5</v>
      </c>
      <c r="DP39" s="10" cm="1">
        <f t="array" aca="1" ref="DP39" ca="1">(1-$B$18)*SUMPRODUCT(OFFSET($BO$15,0,0,$B$14,1), 1*(_xlfn._xlws.FILTER(OFFSET($O$15,0,$DN39,$B$8,1),OFFSET($M$15,0,0,$B$8,1))=DP$13), 1*(_xlfn._xlws.FILTER(OFFSET($O$15,0,$DO39,$B$8,1),OFFSET($M$15,0,0,$B$8,1))=DP$14))   /   SUM(OFFSET($BO$15,0,0,$B$14,1)) + $B$18/($B$19*$B$19*($DN39&lt;&gt;$DO39) + $B$19*($DN39=$DO39))</f>
        <v>3.7037037037037035E-4</v>
      </c>
      <c r="DQ39" s="10" cm="1">
        <f t="array" aca="1" ref="DQ39" ca="1">(1-$B$18)*SUMPRODUCT(OFFSET($BO$15,0,0,$B$14,1), 1*(_xlfn._xlws.FILTER(OFFSET($O$15,0,$DN39,$B$8,1),OFFSET($M$15,0,0,$B$8,1))=DQ$13), 1*(_xlfn._xlws.FILTER(OFFSET($O$15,0,$DO39,$B$8,1),OFFSET($M$15,0,0,$B$8,1))=DQ$14))   /   SUM(OFFSET($BO$15,0,0,$B$14,1)) + $B$18/($B$19*$B$19*($DN39&lt;&gt;$DO39) + $B$19*($DN39=$DO39))</f>
        <v>3.7037037037037035E-4</v>
      </c>
      <c r="DR39" s="10" cm="1">
        <f t="array" aca="1" ref="DR39" ca="1">(1-$B$18)*SUMPRODUCT(OFFSET($BO$15,0,0,$B$14,1), 1*(_xlfn._xlws.FILTER(OFFSET($O$15,0,$DN39,$B$8,1),OFFSET($M$15,0,0,$B$8,1))=DR$13), 1*(_xlfn._xlws.FILTER(OFFSET($O$15,0,$DO39,$B$8,1),OFFSET($M$15,0,0,$B$8,1))=DR$14))   /   SUM(OFFSET($BO$15,0,0,$B$14,1)) + $B$18/($B$19*$B$19*($DN39&lt;&gt;$DO39) + $B$19*($DN39=$DO39))</f>
        <v>3.7037037037037035E-4</v>
      </c>
      <c r="DS39" s="10" cm="1">
        <f t="array" aca="1" ref="DS39" ca="1">(1-$B$18)*SUMPRODUCT(OFFSET($BO$15,0,0,$B$14,1), 1*(_xlfn._xlws.FILTER(OFFSET($O$15,0,$DN39,$B$8,1),OFFSET($M$15,0,0,$B$8,1))=DS$13), 1*(_xlfn._xlws.FILTER(OFFSET($O$15,0,$DO39,$B$8,1),OFFSET($M$15,0,0,$B$8,1))=DS$14))   /   SUM(OFFSET($BO$15,0,0,$B$14,1)) + $B$18/($B$19*$B$19*($DN39&lt;&gt;$DO39) + $B$19*($DN39=$DO39))</f>
        <v>3.7037037037037035E-4</v>
      </c>
      <c r="DT39" s="10" cm="1">
        <f t="array" aca="1" ref="DT39" ca="1">(1-$B$18)*SUMPRODUCT(OFFSET($BO$15,0,0,$B$14,1), 1*(_xlfn._xlws.FILTER(OFFSET($O$15,0,$DN39,$B$8,1),OFFSET($M$15,0,0,$B$8,1))=DT$13), 1*(_xlfn._xlws.FILTER(OFFSET($O$15,0,$DO39,$B$8,1),OFFSET($M$15,0,0,$B$8,1))=DT$14))   /   SUM(OFFSET($BO$15,0,0,$B$14,1)) + $B$18/($B$19*$B$19*($DN39&lt;&gt;$DO39) + $B$19*($DN39=$DO39))</f>
        <v>3.7037037037037035E-4</v>
      </c>
      <c r="DU39" s="10" cm="1">
        <f t="array" aca="1" ref="DU39" ca="1">(1-$B$18)*SUMPRODUCT(OFFSET($BO$15,0,0,$B$14,1), 1*(_xlfn._xlws.FILTER(OFFSET($O$15,0,$DN39,$B$8,1),OFFSET($M$15,0,0,$B$8,1))=DU$13), 1*(_xlfn._xlws.FILTER(OFFSET($O$15,0,$DO39,$B$8,1),OFFSET($M$15,0,0,$B$8,1))=DU$14))   /   SUM(OFFSET($BO$15,0,0,$B$14,1)) + $B$18/($B$19*$B$19*($DN39&lt;&gt;$DO39) + $B$19*($DN39=$DO39))</f>
        <v>3.7037037037037035E-4</v>
      </c>
      <c r="DV39" s="10" cm="1">
        <f t="array" aca="1" ref="DV39" ca="1">(1-$B$18)*SUMPRODUCT(OFFSET($BO$15,0,0,$B$14,1), 1*(_xlfn._xlws.FILTER(OFFSET($O$15,0,$DN39,$B$8,1),OFFSET($M$15,0,0,$B$8,1))=DV$13), 1*(_xlfn._xlws.FILTER(OFFSET($O$15,0,$DO39,$B$8,1),OFFSET($M$15,0,0,$B$8,1))=DV$14))   /   SUM(OFFSET($BO$15,0,0,$B$14,1)) + $B$18/($B$19*$B$19*($DN39&lt;&gt;$DO39) + $B$19*($DN39=$DO39))</f>
        <v>3.7037037037037035E-4</v>
      </c>
      <c r="DW39" s="10" cm="1">
        <f t="array" aca="1" ref="DW39" ca="1">(1-$B$18)*SUMPRODUCT(OFFSET($BO$15,0,0,$B$14,1), 1*(_xlfn._xlws.FILTER(OFFSET($O$15,0,$DN39,$B$8,1),OFFSET($M$15,0,0,$B$8,1))=DW$13), 1*(_xlfn._xlws.FILTER(OFFSET($O$15,0,$DO39,$B$8,1),OFFSET($M$15,0,0,$B$8,1))=DW$14))   /   SUM(OFFSET($BO$15,0,0,$B$14,1)) + $B$18/($B$19*$B$19*($DN39&lt;&gt;$DO39) + $B$19*($DN39=$DO39))</f>
        <v>3.7037037037037035E-4</v>
      </c>
      <c r="DX39" s="10" cm="1">
        <f t="array" aca="1" ref="DX39" ca="1">(1-$B$18)*SUMPRODUCT(OFFSET($BO$15,0,0,$B$14,1), 1*(_xlfn._xlws.FILTER(OFFSET($O$15,0,$DN39,$B$8,1),OFFSET($M$15,0,0,$B$8,1))=DX$13), 1*(_xlfn._xlws.FILTER(OFFSET($O$15,0,$DO39,$B$8,1),OFFSET($M$15,0,0,$B$8,1))=DX$14))   /   SUM(OFFSET($BO$15,0,0,$B$14,1)) + $B$18/($B$19*$B$19*($DN39&lt;&gt;$DO39) + $B$19*($DN39=$DO39))</f>
        <v>3.7037037037037035E-4</v>
      </c>
      <c r="DY39" s="10" cm="1">
        <f t="array" aca="1" ref="DY39" ca="1">(1-$B$18)*SUMPRODUCT(OFFSET($BO$15,0,0,$B$14,1), 1*(_xlfn._xlws.FILTER(OFFSET($O$15,0,$DN39,$B$8,1),OFFSET($M$15,0,0,$B$8,1))=DY$13), 1*(_xlfn._xlws.FILTER(OFFSET($O$15,0,$DO39,$B$8,1),OFFSET($M$15,0,0,$B$8,1))=DY$14))   /   SUM(OFFSET($BO$15,0,0,$B$14,1)) + $B$18/($B$19*$B$19*($DN39&lt;&gt;$DO39) + $B$19*($DN39=$DO39))</f>
        <v>3.7037037037037035E-4</v>
      </c>
      <c r="DZ39" s="10" cm="1">
        <f t="array" aca="1" ref="DZ39" ca="1">(1-$B$18)*SUMPRODUCT(OFFSET($BO$15,0,0,$B$14,1), 1*(_xlfn._xlws.FILTER(OFFSET($O$15,0,$DN39,$B$8,1),OFFSET($M$15,0,0,$B$8,1))=DZ$13), 1*(_xlfn._xlws.FILTER(OFFSET($O$15,0,$DO39,$B$8,1),OFFSET($M$15,0,0,$B$8,1))=DZ$14))   /   SUM(OFFSET($BO$15,0,0,$B$14,1)) + $B$18/($B$19*$B$19*($DN39&lt;&gt;$DO39) + $B$19*($DN39=$DO39))</f>
        <v>3.7037037037037035E-4</v>
      </c>
      <c r="EA39" s="10" cm="1">
        <f t="array" aca="1" ref="EA39" ca="1">(1-$B$18)*SUMPRODUCT(OFFSET($BO$15,0,0,$B$14,1), 1*(_xlfn._xlws.FILTER(OFFSET($O$15,0,$DN39,$B$8,1),OFFSET($M$15,0,0,$B$8,1))=EA$13), 1*(_xlfn._xlws.FILTER(OFFSET($O$15,0,$DO39,$B$8,1),OFFSET($M$15,0,0,$B$8,1))=EA$14))   /   SUM(OFFSET($BO$15,0,0,$B$14,1)) + $B$18/($B$19*$B$19*($DN39&lt;&gt;$DO39) + $B$19*($DN39=$DO39))</f>
        <v>3.7037037037037035E-4</v>
      </c>
      <c r="EB39" s="10" cm="1">
        <f t="array" aca="1" ref="EB39" ca="1">(1-$B$18)*SUMPRODUCT(OFFSET($BO$15,0,0,$B$14,1), 1*(_xlfn._xlws.FILTER(OFFSET($O$15,0,$DN39,$B$8,1),OFFSET($M$15,0,0,$B$8,1))=EB$13), 1*(_xlfn._xlws.FILTER(OFFSET($O$15,0,$DO39,$B$8,1),OFFSET($M$15,0,0,$B$8,1))=EB$14))   /   SUM(OFFSET($BO$15,0,0,$B$14,1)) + $B$18/($B$19*$B$19*($DN39&lt;&gt;$DO39) + $B$19*($DN39=$DO39))</f>
        <v>3.7037037037037035E-4</v>
      </c>
      <c r="EC39" s="10" cm="1">
        <f t="array" aca="1" ref="EC39" ca="1">(1-$B$18)*SUMPRODUCT(OFFSET($BO$15,0,0,$B$14,1), 1*(_xlfn._xlws.FILTER(OFFSET($O$15,0,$DN39,$B$8,1),OFFSET($M$15,0,0,$B$8,1))=EC$13), 1*(_xlfn._xlws.FILTER(OFFSET($O$15,0,$DO39,$B$8,1),OFFSET($M$15,0,0,$B$8,1))=EC$14))   /   SUM(OFFSET($BO$15,0,0,$B$14,1)) + $B$18/($B$19*$B$19*($DN39&lt;&gt;$DO39) + $B$19*($DN39=$DO39))</f>
        <v>3.7037037037037035E-4</v>
      </c>
      <c r="ED39" s="10" cm="1">
        <f t="array" aca="1" ref="ED39" ca="1">(1-$B$18)*SUMPRODUCT(OFFSET($BO$15,0,0,$B$14,1), 1*(_xlfn._xlws.FILTER(OFFSET($O$15,0,$DN39,$B$8,1),OFFSET($M$15,0,0,$B$8,1))=ED$13), 1*(_xlfn._xlws.FILTER(OFFSET($O$15,0,$DO39,$B$8,1),OFFSET($M$15,0,0,$B$8,1))=ED$14))   /   SUM(OFFSET($BO$15,0,0,$B$14,1)) + $B$18/($B$19*$B$19*($DN39&lt;&gt;$DO39) + $B$19*($DN39=$DO39))</f>
        <v>3.7037037037037035E-4</v>
      </c>
      <c r="EE39" s="10" cm="1">
        <f t="array" aca="1" ref="EE39" ca="1">(1-$B$18)*SUMPRODUCT(OFFSET($BO$15,0,0,$B$14,1), 1*(_xlfn._xlws.FILTER(OFFSET($O$15,0,$DN39,$B$8,1),OFFSET($M$15,0,0,$B$8,1))=EE$13), 1*(_xlfn._xlws.FILTER(OFFSET($O$15,0,$DO39,$B$8,1),OFFSET($M$15,0,0,$B$8,1))=EE$14))   /   SUM(OFFSET($BO$15,0,0,$B$14,1)) + $B$18/($B$19*$B$19*($DN39&lt;&gt;$DO39) + $B$19*($DN39=$DO39))</f>
        <v>3.7037037037037035E-4</v>
      </c>
      <c r="EF39" s="10" cm="1">
        <f t="array" aca="1" ref="EF39" ca="1">(1-$B$18)*SUMPRODUCT(OFFSET($BO$15,0,0,$B$14,1), 1*(_xlfn._xlws.FILTER(OFFSET($O$15,0,$DN39,$B$8,1),OFFSET($M$15,0,0,$B$8,1))=EF$13), 1*(_xlfn._xlws.FILTER(OFFSET($O$15,0,$DO39,$B$8,1),OFFSET($M$15,0,0,$B$8,1))=EF$14))   /   SUM(OFFSET($BO$15,0,0,$B$14,1)) + $B$18/($B$19*$B$19*($DN39&lt;&gt;$DO39) + $B$19*($DN39=$DO39))</f>
        <v>3.7037037037037035E-4</v>
      </c>
      <c r="EG39" s="10" cm="1">
        <f t="array" aca="1" ref="EG39" ca="1">(1-$B$18)*SUMPRODUCT(OFFSET($BO$15,0,0,$B$14,1), 1*(_xlfn._xlws.FILTER(OFFSET($O$15,0,$DN39,$B$8,1),OFFSET($M$15,0,0,$B$8,1))=EG$13), 1*(_xlfn._xlws.FILTER(OFFSET($O$15,0,$DO39,$B$8,1),OFFSET($M$15,0,0,$B$8,1))=EG$14))   /   SUM(OFFSET($BO$15,0,0,$B$14,1)) + $B$18/($B$19*$B$19*($DN39&lt;&gt;$DO39) + $B$19*($DN39=$DO39))</f>
        <v>3.7037037037037035E-4</v>
      </c>
      <c r="EH39" s="10" cm="1">
        <f t="array" aca="1" ref="EH39" ca="1">(1-$B$18)*SUMPRODUCT(OFFSET($BO$15,0,0,$B$14,1), 1*(_xlfn._xlws.FILTER(OFFSET($O$15,0,$DN39,$B$8,1),OFFSET($M$15,0,0,$B$8,1))=EH$13), 1*(_xlfn._xlws.FILTER(OFFSET($O$15,0,$DO39,$B$8,1),OFFSET($M$15,0,0,$B$8,1))=EH$14))   /   SUM(OFFSET($BO$15,0,0,$B$14,1)) + $B$18/($B$19*$B$19*($DN39&lt;&gt;$DO39) + $B$19*($DN39=$DO39))</f>
        <v>3.7037037037037035E-4</v>
      </c>
      <c r="EI39" s="10" cm="1">
        <f t="array" aca="1" ref="EI39" ca="1">(1-$B$18)*SUMPRODUCT(OFFSET($BO$15,0,0,$B$14,1), 1*(_xlfn._xlws.FILTER(OFFSET($O$15,0,$DN39,$B$8,1),OFFSET($M$15,0,0,$B$8,1))=EI$13), 1*(_xlfn._xlws.FILTER(OFFSET($O$15,0,$DO39,$B$8,1),OFFSET($M$15,0,0,$B$8,1))=EI$14))   /   SUM(OFFSET($BO$15,0,0,$B$14,1)) + $B$18/($B$19*$B$19*($DN39&lt;&gt;$DO39) + $B$19*($DN39=$DO39))</f>
        <v>3.7037037037037035E-4</v>
      </c>
      <c r="EJ39" s="10" cm="1">
        <f t="array" aca="1" ref="EJ39" ca="1">(1-$B$18)*SUMPRODUCT(OFFSET($BO$15,0,0,$B$14,1), 1*(_xlfn._xlws.FILTER(OFFSET($O$15,0,$DN39,$B$8,1),OFFSET($M$15,0,0,$B$8,1))=EJ$13), 1*(_xlfn._xlws.FILTER(OFFSET($O$15,0,$DO39,$B$8,1),OFFSET($M$15,0,0,$B$8,1))=EJ$14))   /   SUM(OFFSET($BO$15,0,0,$B$14,1)) + $B$18/($B$19*$B$19*($DN39&lt;&gt;$DO39) + $B$19*($DN39=$DO39))</f>
        <v>3.7037037037037035E-4</v>
      </c>
      <c r="EK39" s="10" cm="1">
        <f t="array" aca="1" ref="EK39" ca="1">(1-$B$18)*SUMPRODUCT(OFFSET($BO$15,0,0,$B$14,1), 1*(_xlfn._xlws.FILTER(OFFSET($O$15,0,$DN39,$B$8,1),OFFSET($M$15,0,0,$B$8,1))=EK$13), 1*(_xlfn._xlws.FILTER(OFFSET($O$15,0,$DO39,$B$8,1),OFFSET($M$15,0,0,$B$8,1))=EK$14))   /   SUM(OFFSET($BO$15,0,0,$B$14,1)) + $B$18/($B$19*$B$19*($DN39&lt;&gt;$DO39) + $B$19*($DN39=$DO39))</f>
        <v>3.7037037037037035E-4</v>
      </c>
      <c r="EL39" s="10" cm="1">
        <f t="array" aca="1" ref="EL39" ca="1">(1-$B$18)*SUMPRODUCT(OFFSET($BO$15,0,0,$B$14,1), 1*(_xlfn._xlws.FILTER(OFFSET($O$15,0,$DN39,$B$8,1),OFFSET($M$15,0,0,$B$8,1))=EL$13), 1*(_xlfn._xlws.FILTER(OFFSET($O$15,0,$DO39,$B$8,1),OFFSET($M$15,0,0,$B$8,1))=EL$14))   /   SUM(OFFSET($BO$15,0,0,$B$14,1)) + $B$18/($B$19*$B$19*($DN39&lt;&gt;$DO39) + $B$19*($DN39=$DO39))</f>
        <v>3.7037037037037035E-4</v>
      </c>
      <c r="EM39" s="10" cm="1">
        <f t="array" aca="1" ref="EM39" ca="1">(1-$B$18)*SUMPRODUCT(OFFSET($BO$15,0,0,$B$14,1), 1*(_xlfn._xlws.FILTER(OFFSET($O$15,0,$DN39,$B$8,1),OFFSET($M$15,0,0,$B$8,1))=EM$13), 1*(_xlfn._xlws.FILTER(OFFSET($O$15,0,$DO39,$B$8,1),OFFSET($M$15,0,0,$B$8,1))=EM$14))   /   SUM(OFFSET($BO$15,0,0,$B$14,1)) + $B$18/($B$19*$B$19*($DN39&lt;&gt;$DO39) + $B$19*($DN39=$DO39))</f>
        <v>3.7037037037037035E-4</v>
      </c>
      <c r="EN39" s="10" cm="1">
        <f t="array" aca="1" ref="EN39" ca="1">(1-$B$18)*SUMPRODUCT(OFFSET($BO$15,0,0,$B$14,1), 1*(_xlfn._xlws.FILTER(OFFSET($O$15,0,$DN39,$B$8,1),OFFSET($M$15,0,0,$B$8,1))=EN$13), 1*(_xlfn._xlws.FILTER(OFFSET($O$15,0,$DO39,$B$8,1),OFFSET($M$15,0,0,$B$8,1))=EN$14))   /   SUM(OFFSET($BO$15,0,0,$B$14,1)) + $B$18/($B$19*$B$19*($DN39&lt;&gt;$DO39) + $B$19*($DN39=$DO39))</f>
        <v>3.7037037037037035E-4</v>
      </c>
      <c r="EO39" s="10" cm="1">
        <f t="array" aca="1" ref="EO39" ca="1">(1-$B$18)*SUMPRODUCT(OFFSET($BO$15,0,0,$B$14,1), 1*(_xlfn._xlws.FILTER(OFFSET($O$15,0,$DN39,$B$8,1),OFFSET($M$15,0,0,$B$8,1))=EO$13), 1*(_xlfn._xlws.FILTER(OFFSET($O$15,0,$DO39,$B$8,1),OFFSET($M$15,0,0,$B$8,1))=EO$14))   /   SUM(OFFSET($BO$15,0,0,$B$14,1)) + $B$18/($B$19*$B$19*($DN39&lt;&gt;$DO39) + $B$19*($DN39=$DO39))</f>
        <v>3.7037037037037035E-4</v>
      </c>
      <c r="EP39" s="10" cm="1">
        <f t="array" aca="1" ref="EP39" ca="1">(1-$B$18)*SUMPRODUCT(OFFSET($BO$15,0,0,$B$14,1), 1*(_xlfn._xlws.FILTER(OFFSET($O$15,0,$DN39,$B$8,1),OFFSET($M$15,0,0,$B$8,1))=EP$13), 1*(_xlfn._xlws.FILTER(OFFSET($O$15,0,$DO39,$B$8,1),OFFSET($M$15,0,0,$B$8,1))=EP$14))   /   SUM(OFFSET($BO$15,0,0,$B$14,1)) + $B$18/($B$19*$B$19*($DN39&lt;&gt;$DO39) + $B$19*($DN39=$DO39))</f>
        <v>3.7037037037037035E-4</v>
      </c>
      <c r="EQ39" s="10" cm="1">
        <f t="array" aca="1" ref="EQ39" ca="1">(1-$B$18)*SUMPRODUCT(OFFSET($BO$15,0,0,$B$14,1), 1*(_xlfn._xlws.FILTER(OFFSET($O$15,0,$DN39,$B$8,1),OFFSET($M$15,0,0,$B$8,1))=EQ$13), 1*(_xlfn._xlws.FILTER(OFFSET($O$15,0,$DO39,$B$8,1),OFFSET($M$15,0,0,$B$8,1))=EQ$14))   /   SUM(OFFSET($BO$15,0,0,$B$14,1)) + $B$18/($B$19*$B$19*($DN39&lt;&gt;$DO39) + $B$19*($DN39=$DO39))</f>
        <v>3.7037037037037035E-4</v>
      </c>
      <c r="ER39" s="10" cm="1">
        <f t="array" aca="1" ref="ER39" ca="1">(1-$B$18)*SUMPRODUCT(OFFSET($BO$15,0,0,$B$14,1), 1*(_xlfn._xlws.FILTER(OFFSET($O$15,0,$DN39,$B$8,1),OFFSET($M$15,0,0,$B$8,1))=ER$13), 1*(_xlfn._xlws.FILTER(OFFSET($O$15,0,$DO39,$B$8,1),OFFSET($M$15,0,0,$B$8,1))=ER$14))   /   SUM(OFFSET($BO$15,0,0,$B$14,1)) + $B$18/($B$19*$B$19*($DN39&lt;&gt;$DO39) + $B$19*($DN39=$DO39))</f>
        <v>3.7037037037037035E-4</v>
      </c>
      <c r="ES39" s="10" cm="1">
        <f t="array" aca="1" ref="ES39" ca="1">(1-$B$18)*SUMPRODUCT(OFFSET($BO$15,0,0,$B$14,1), 1*(_xlfn._xlws.FILTER(OFFSET($O$15,0,$DN39,$B$8,1),OFFSET($M$15,0,0,$B$8,1))=ES$13), 1*(_xlfn._xlws.FILTER(OFFSET($O$15,0,$DO39,$B$8,1),OFFSET($M$15,0,0,$B$8,1))=ES$14))   /   SUM(OFFSET($BO$15,0,0,$B$14,1)) + $B$18/($B$19*$B$19*($DN39&lt;&gt;$DO39) + $B$19*($DN39=$DO39))</f>
        <v>3.7037037037037035E-4</v>
      </c>
      <c r="ET39" s="10" cm="1">
        <f t="array" aca="1" ref="ET39" ca="1">(1-$B$18)*SUMPRODUCT(OFFSET($BO$15,0,0,$B$14,1), 1*(_xlfn._xlws.FILTER(OFFSET($O$15,0,$DN39,$B$8,1),OFFSET($M$15,0,0,$B$8,1))=ET$13), 1*(_xlfn._xlws.FILTER(OFFSET($O$15,0,$DO39,$B$8,1),OFFSET($M$15,0,0,$B$8,1))=ET$14))   /   SUM(OFFSET($BO$15,0,0,$B$14,1)) + $B$18/($B$19*$B$19*($DN39&lt;&gt;$DO39) + $B$19*($DN39=$DO39))</f>
        <v>3.7037037037037035E-4</v>
      </c>
      <c r="EU39" s="10" cm="1">
        <f t="array" aca="1" ref="EU39" ca="1">(1-$B$18)*SUMPRODUCT(OFFSET($BO$15,0,0,$B$14,1), 1*(_xlfn._xlws.FILTER(OFFSET($O$15,0,$DN39,$B$8,1),OFFSET($M$15,0,0,$B$8,1))=EU$13), 1*(_xlfn._xlws.FILTER(OFFSET($O$15,0,$DO39,$B$8,1),OFFSET($M$15,0,0,$B$8,1))=EU$14))   /   SUM(OFFSET($BO$15,0,0,$B$14,1)) + $B$18/($B$19*$B$19*($DN39&lt;&gt;$DO39) + $B$19*($DN39=$DO39))</f>
        <v>3.7037037037037035E-4</v>
      </c>
      <c r="EV39" s="10" cm="1">
        <f t="array" aca="1" ref="EV39" ca="1">(1-$B$18)*SUMPRODUCT(OFFSET($BO$15,0,0,$B$14,1), 1*(_xlfn._xlws.FILTER(OFFSET($O$15,0,$DN39,$B$8,1),OFFSET($M$15,0,0,$B$8,1))=EV$13), 1*(_xlfn._xlws.FILTER(OFFSET($O$15,0,$DO39,$B$8,1),OFFSET($M$15,0,0,$B$8,1))=EV$14))   /   SUM(OFFSET($BO$15,0,0,$B$14,1)) + $B$18/($B$19*$B$19*($DN39&lt;&gt;$DO39) + $B$19*($DN39=$DO39))</f>
        <v>3.7037037037037035E-4</v>
      </c>
      <c r="EW39" s="10" cm="1">
        <f t="array" aca="1" ref="EW39" ca="1">(1-$B$18)*SUMPRODUCT(OFFSET($BO$15,0,0,$B$14,1), 1*(_xlfn._xlws.FILTER(OFFSET($O$15,0,$DN39,$B$8,1),OFFSET($M$15,0,0,$B$8,1))=EW$13), 1*(_xlfn._xlws.FILTER(OFFSET($O$15,0,$DO39,$B$8,1),OFFSET($M$15,0,0,$B$8,1))=EW$14))   /   SUM(OFFSET($BO$15,0,0,$B$14,1)) + $B$18/($B$19*$B$19*($DN39&lt;&gt;$DO39) + $B$19*($DN39=$DO39))</f>
        <v>3.7037037037037035E-4</v>
      </c>
      <c r="EX39" s="10" cm="1">
        <f t="array" aca="1" ref="EX39" ca="1">(1-$B$18)*SUMPRODUCT(OFFSET($BO$15,0,0,$B$14,1), 1*(_xlfn._xlws.FILTER(OFFSET($O$15,0,$DN39,$B$8,1),OFFSET($M$15,0,0,$B$8,1))=EX$13), 1*(_xlfn._xlws.FILTER(OFFSET($O$15,0,$DO39,$B$8,1),OFFSET($M$15,0,0,$B$8,1))=EX$14))   /   SUM(OFFSET($BO$15,0,0,$B$14,1)) + $B$18/($B$19*$B$19*($DN39&lt;&gt;$DO39) + $B$19*($DN39=$DO39))</f>
        <v>3.7037037037037035E-4</v>
      </c>
      <c r="EY39" s="10" cm="1">
        <f t="array" aca="1" ref="EY39" ca="1">(1-$B$18)*SUMPRODUCT(OFFSET($BO$15,0,0,$B$14,1), 1*(_xlfn._xlws.FILTER(OFFSET($O$15,0,$DN39,$B$8,1),OFFSET($M$15,0,0,$B$8,1))=EY$13), 1*(_xlfn._xlws.FILTER(OFFSET($O$15,0,$DO39,$B$8,1),OFFSET($M$15,0,0,$B$8,1))=EY$14))   /   SUM(OFFSET($BO$15,0,0,$B$14,1)) + $B$18/($B$19*$B$19*($DN39&lt;&gt;$DO39) + $B$19*($DN39=$DO39))</f>
        <v>3.7037037037037035E-4</v>
      </c>
      <c r="EZ39" s="10" cm="1">
        <f t="array" aca="1" ref="EZ39" ca="1">(1-$B$18)*SUMPRODUCT(OFFSET($BO$15,0,0,$B$14,1), 1*(_xlfn._xlws.FILTER(OFFSET($O$15,0,$DN39,$B$8,1),OFFSET($M$15,0,0,$B$8,1))=EZ$13), 1*(_xlfn._xlws.FILTER(OFFSET($O$15,0,$DO39,$B$8,1),OFFSET($M$15,0,0,$B$8,1))=EZ$14))   /   SUM(OFFSET($BO$15,0,0,$B$14,1)) + $B$18/($B$19*$B$19*($DN39&lt;&gt;$DO39) + $B$19*($DN39=$DO39))</f>
        <v>3.7037037037037035E-4</v>
      </c>
      <c r="FA39" s="10" cm="1">
        <f t="array" aca="1" ref="FA39" ca="1">(1-$B$18)*SUMPRODUCT(OFFSET($BO$15,0,0,$B$14,1), 1*(_xlfn._xlws.FILTER(OFFSET($O$15,0,$DN39,$B$8,1),OFFSET($M$15,0,0,$B$8,1))=FA$13), 1*(_xlfn._xlws.FILTER(OFFSET($O$15,0,$DO39,$B$8,1),OFFSET($M$15,0,0,$B$8,1))=FA$14))   /   SUM(OFFSET($BO$15,0,0,$B$14,1)) + $B$18/($B$19*$B$19*($DN39&lt;&gt;$DO39) + $B$19*($DN39=$DO39))</f>
        <v>3.7037037037037035E-4</v>
      </c>
      <c r="FB39" s="10" cm="1">
        <f t="array" aca="1" ref="FB39" ca="1">(1-$B$18)*SUMPRODUCT(OFFSET($BO$15,0,0,$B$14,1), 1*(_xlfn._xlws.FILTER(OFFSET($O$15,0,$DN39,$B$8,1),OFFSET($M$15,0,0,$B$8,1))=FB$13), 1*(_xlfn._xlws.FILTER(OFFSET($O$15,0,$DO39,$B$8,1),OFFSET($M$15,0,0,$B$8,1))=FB$14))   /   SUM(OFFSET($BO$15,0,0,$B$14,1)) + $B$18/($B$19*$B$19*($DN39&lt;&gt;$DO39) + $B$19*($DN39=$DO39))</f>
        <v>3.7037037037037035E-4</v>
      </c>
      <c r="FC39" s="10" cm="1">
        <f t="array" aca="1" ref="FC39" ca="1">(1-$B$18)*SUMPRODUCT(OFFSET($BO$15,0,0,$B$14,1), 1*(_xlfn._xlws.FILTER(OFFSET($O$15,0,$DN39,$B$8,1),OFFSET($M$15,0,0,$B$8,1))=FC$13), 1*(_xlfn._xlws.FILTER(OFFSET($O$15,0,$DO39,$B$8,1),OFFSET($M$15,0,0,$B$8,1))=FC$14))   /   SUM(OFFSET($BO$15,0,0,$B$14,1)) + $B$18/($B$19*$B$19*($DN39&lt;&gt;$DO39) + $B$19*($DN39=$DO39))</f>
        <v>3.7037037037037035E-4</v>
      </c>
      <c r="FD39" s="10" cm="1">
        <f t="array" aca="1" ref="FD39" ca="1">(1-$B$18)*SUMPRODUCT(OFFSET($BO$15,0,0,$B$14,1), 1*(_xlfn._xlws.FILTER(OFFSET($O$15,0,$DN39,$B$8,1),OFFSET($M$15,0,0,$B$8,1))=FD$13), 1*(_xlfn._xlws.FILTER(OFFSET($O$15,0,$DO39,$B$8,1),OFFSET($M$15,0,0,$B$8,1))=FD$14))   /   SUM(OFFSET($BO$15,0,0,$B$14,1)) + $B$18/($B$19*$B$19*($DN39&lt;&gt;$DO39) + $B$19*($DN39=$DO39))</f>
        <v>3.7037037037037035E-4</v>
      </c>
      <c r="FE39" s="10" cm="1">
        <f t="array" aca="1" ref="FE39" ca="1">(1-$B$18)*SUMPRODUCT(OFFSET($BO$15,0,0,$B$14,1), 1*(_xlfn._xlws.FILTER(OFFSET($O$15,0,$DN39,$B$8,1),OFFSET($M$15,0,0,$B$8,1))=FE$13), 1*(_xlfn._xlws.FILTER(OFFSET($O$15,0,$DO39,$B$8,1),OFFSET($M$15,0,0,$B$8,1))=FE$14))   /   SUM(OFFSET($BO$15,0,0,$B$14,1)) + $B$18/($B$19*$B$19*($DN39&lt;&gt;$DO39) + $B$19*($DN39=$DO39))</f>
        <v>3.7037037037037035E-4</v>
      </c>
      <c r="FF39" s="10" cm="1">
        <f t="array" aca="1" ref="FF39" ca="1">(1-$B$18)*SUMPRODUCT(OFFSET($BO$15,0,0,$B$14,1), 1*(_xlfn._xlws.FILTER(OFFSET($O$15,0,$DN39,$B$8,1),OFFSET($M$15,0,0,$B$8,1))=FF$13), 1*(_xlfn._xlws.FILTER(OFFSET($O$15,0,$DO39,$B$8,1),OFFSET($M$15,0,0,$B$8,1))=FF$14))   /   SUM(OFFSET($BO$15,0,0,$B$14,1)) + $B$18/($B$19*$B$19*($DN39&lt;&gt;$DO39) + $B$19*($DN39=$DO39))</f>
        <v>3.7037037037037035E-4</v>
      </c>
      <c r="FG39" s="10" cm="1">
        <f t="array" aca="1" ref="FG39" ca="1">(1-$B$18)*SUMPRODUCT(OFFSET($BO$15,0,0,$B$14,1), 1*(_xlfn._xlws.FILTER(OFFSET($O$15,0,$DN39,$B$8,1),OFFSET($M$15,0,0,$B$8,1))=FG$13), 1*(_xlfn._xlws.FILTER(OFFSET($O$15,0,$DO39,$B$8,1),OFFSET($M$15,0,0,$B$8,1))=FG$14))   /   SUM(OFFSET($BO$15,0,0,$B$14,1)) + $B$18/($B$19*$B$19*($DN39&lt;&gt;$DO39) + $B$19*($DN39=$DO39))</f>
        <v>3.7037037037037035E-4</v>
      </c>
      <c r="FH39" s="10" cm="1">
        <f t="array" aca="1" ref="FH39" ca="1">(1-$B$18)*SUMPRODUCT(OFFSET($BO$15,0,0,$B$14,1), 1*(_xlfn._xlws.FILTER(OFFSET($O$15,0,$DN39,$B$8,1),OFFSET($M$15,0,0,$B$8,1))=FH$13), 1*(_xlfn._xlws.FILTER(OFFSET($O$15,0,$DO39,$B$8,1),OFFSET($M$15,0,0,$B$8,1))=FH$14))   /   SUM(OFFSET($BO$15,0,0,$B$14,1)) + $B$18/($B$19*$B$19*($DN39&lt;&gt;$DO39) + $B$19*($DN39=$DO39))</f>
        <v>3.7037037037037035E-4</v>
      </c>
      <c r="FI39" s="10" cm="1">
        <f t="array" aca="1" ref="FI39" ca="1">(1-$B$18)*SUMPRODUCT(OFFSET($BO$15,0,0,$B$14,1), 1*(_xlfn._xlws.FILTER(OFFSET($O$15,0,$DN39,$B$8,1),OFFSET($M$15,0,0,$B$8,1))=FI$13), 1*(_xlfn._xlws.FILTER(OFFSET($O$15,0,$DO39,$B$8,1),OFFSET($M$15,0,0,$B$8,1))=FI$14))   /   SUM(OFFSET($BO$15,0,0,$B$14,1)) + $B$18/($B$19*$B$19*($DN39&lt;&gt;$DO39) + $B$19*($DN39=$DO39))</f>
        <v>3.7037037037037035E-4</v>
      </c>
      <c r="FJ39" s="10" cm="1">
        <f t="array" aca="1" ref="FJ39" ca="1">(1-$B$18)*SUMPRODUCT(OFFSET($BO$15,0,0,$B$14,1), 1*(_xlfn._xlws.FILTER(OFFSET($O$15,0,$DN39,$B$8,1),OFFSET($M$15,0,0,$B$8,1))=FJ$13), 1*(_xlfn._xlws.FILTER(OFFSET($O$15,0,$DO39,$B$8,1),OFFSET($M$15,0,0,$B$8,1))=FJ$14))   /   SUM(OFFSET($BO$15,0,0,$B$14,1)) + $B$18/($B$19*$B$19*($DN39&lt;&gt;$DO39) + $B$19*($DN39=$DO39))</f>
        <v>3.7037037037037035E-4</v>
      </c>
      <c r="FK39" s="10" cm="1">
        <f t="array" aca="1" ref="FK39" ca="1">(1-$B$18)*SUMPRODUCT(OFFSET($BO$15,0,0,$B$14,1), 1*(_xlfn._xlws.FILTER(OFFSET($O$15,0,$DN39,$B$8,1),OFFSET($M$15,0,0,$B$8,1))=FK$13), 1*(_xlfn._xlws.FILTER(OFFSET($O$15,0,$DO39,$B$8,1),OFFSET($M$15,0,0,$B$8,1))=FK$14))   /   SUM(OFFSET($BO$15,0,0,$B$14,1)) + $B$18/($B$19*$B$19*($DN39&lt;&gt;$DO39) + $B$19*($DN39=$DO39))</f>
        <v>3.7037037037037035E-4</v>
      </c>
      <c r="FL39" s="10" cm="1">
        <f t="array" aca="1" ref="FL39" ca="1">(1-$B$18)*SUMPRODUCT(OFFSET($BO$15,0,0,$B$14,1), 1*(_xlfn._xlws.FILTER(OFFSET($O$15,0,$DN39,$B$8,1),OFFSET($M$15,0,0,$B$8,1))=FL$13), 1*(_xlfn._xlws.FILTER(OFFSET($O$15,0,$DO39,$B$8,1),OFFSET($M$15,0,0,$B$8,1))=FL$14))   /   SUM(OFFSET($BO$15,0,0,$B$14,1)) + $B$18/($B$19*$B$19*($DN39&lt;&gt;$DO39) + $B$19*($DN39=$DO39))</f>
        <v>3.7037037037037035E-4</v>
      </c>
      <c r="FM39" s="10" cm="1">
        <f t="array" aca="1" ref="FM39" ca="1">(1-$B$18)*SUMPRODUCT(OFFSET($BO$15,0,0,$B$14,1), 1*(_xlfn._xlws.FILTER(OFFSET($O$15,0,$DN39,$B$8,1),OFFSET($M$15,0,0,$B$8,1))=FM$13), 1*(_xlfn._xlws.FILTER(OFFSET($O$15,0,$DO39,$B$8,1),OFFSET($M$15,0,0,$B$8,1))=FM$14))   /   SUM(OFFSET($BO$15,0,0,$B$14,1)) + $B$18/($B$19*$B$19*($DN39&lt;&gt;$DO39) + $B$19*($DN39=$DO39))</f>
        <v>3.7037037037037035E-4</v>
      </c>
      <c r="FN39" s="10" cm="1">
        <f t="array" aca="1" ref="FN39" ca="1">(1-$B$18)*SUMPRODUCT(OFFSET($BO$15,0,0,$B$14,1), 1*(_xlfn._xlws.FILTER(OFFSET($O$15,0,$DN39,$B$8,1),OFFSET($M$15,0,0,$B$8,1))=FN$13), 1*(_xlfn._xlws.FILTER(OFFSET($O$15,0,$DO39,$B$8,1),OFFSET($M$15,0,0,$B$8,1))=FN$14))   /   SUM(OFFSET($BO$15,0,0,$B$14,1)) + $B$18/($B$19*$B$19*($DN39&lt;&gt;$DO39) + $B$19*($DN39=$DO39))</f>
        <v>3.7037037037037035E-4</v>
      </c>
      <c r="FO39" s="10" cm="1">
        <f t="array" aca="1" ref="FO39" ca="1">(1-$B$18)*SUMPRODUCT(OFFSET($BO$15,0,0,$B$14,1), 1*(_xlfn._xlws.FILTER(OFFSET($O$15,0,$DN39,$B$8,1),OFFSET($M$15,0,0,$B$8,1))=FO$13), 1*(_xlfn._xlws.FILTER(OFFSET($O$15,0,$DO39,$B$8,1),OFFSET($M$15,0,0,$B$8,1))=FO$14))   /   SUM(OFFSET($BO$15,0,0,$B$14,1)) + $B$18/($B$19*$B$19*($DN39&lt;&gt;$DO39) + $B$19*($DN39=$DO39))</f>
        <v>3.7037037037037035E-4</v>
      </c>
      <c r="FP39" s="10" cm="1">
        <f t="array" aca="1" ref="FP39" ca="1">(1-$B$18)*SUMPRODUCT(OFFSET($BO$15,0,0,$B$14,1), 1*(_xlfn._xlws.FILTER(OFFSET($O$15,0,$DN39,$B$8,1),OFFSET($M$15,0,0,$B$8,1))=FP$13), 1*(_xlfn._xlws.FILTER(OFFSET($O$15,0,$DO39,$B$8,1),OFFSET($M$15,0,0,$B$8,1))=FP$14))   /   SUM(OFFSET($BO$15,0,0,$B$14,1)) + $B$18/($B$19*$B$19*($DN39&lt;&gt;$DO39) + $B$19*($DN39=$DO39))</f>
        <v>3.7037037037037035E-4</v>
      </c>
      <c r="FQ39" s="10" cm="1">
        <f t="array" aca="1" ref="FQ39" ca="1">(1-$B$18)*SUMPRODUCT(OFFSET($BO$15,0,0,$B$14,1), 1*(_xlfn._xlws.FILTER(OFFSET($O$15,0,$DN39,$B$8,1),OFFSET($M$15,0,0,$B$8,1))=FQ$13), 1*(_xlfn._xlws.FILTER(OFFSET($O$15,0,$DO39,$B$8,1),OFFSET($M$15,0,0,$B$8,1))=FQ$14))   /   SUM(OFFSET($BO$15,0,0,$B$14,1)) + $B$18/($B$19*$B$19*($DN39&lt;&gt;$DO39) + $B$19*($DN39=$DO39))</f>
        <v>3.7037037037037035E-4</v>
      </c>
      <c r="FR39" s="10" cm="1">
        <f t="array" aca="1" ref="FR39" ca="1">(1-$B$18)*SUMPRODUCT(OFFSET($BO$15,0,0,$B$14,1), 1*(_xlfn._xlws.FILTER(OFFSET($O$15,0,$DN39,$B$8,1),OFFSET($M$15,0,0,$B$8,1))=FR$13), 1*(_xlfn._xlws.FILTER(OFFSET($O$15,0,$DO39,$B$8,1),OFFSET($M$15,0,0,$B$8,1))=FR$14))   /   SUM(OFFSET($BO$15,0,0,$B$14,1)) + $B$18/($B$19*$B$19*($DN39&lt;&gt;$DO39) + $B$19*($DN39=$DO39))</f>
        <v>0.97037037037037033</v>
      </c>
      <c r="FS39" s="10" cm="1">
        <f t="array" aca="1" ref="FS39" ca="1">(1-$B$18)*SUMPRODUCT(OFFSET($BO$15,0,0,$B$14,1), 1*(_xlfn._xlws.FILTER(OFFSET($O$15,0,$DN39,$B$8,1),OFFSET($M$15,0,0,$B$8,1))=FS$13), 1*(_xlfn._xlws.FILTER(OFFSET($O$15,0,$DO39,$B$8,1),OFFSET($M$15,0,0,$B$8,1))=FS$14))   /   SUM(OFFSET($BO$15,0,0,$B$14,1)) + $B$18/($B$19*$B$19*($DN39&lt;&gt;$DO39) + $B$19*($DN39=$DO39))</f>
        <v>3.7037037037037035E-4</v>
      </c>
      <c r="FT39" s="10" cm="1">
        <f t="array" aca="1" ref="FT39" ca="1">(1-$B$18)*SUMPRODUCT(OFFSET($BO$15,0,0,$B$14,1), 1*(_xlfn._xlws.FILTER(OFFSET($O$15,0,$DN39,$B$8,1),OFFSET($M$15,0,0,$B$8,1))=FT$13), 1*(_xlfn._xlws.FILTER(OFFSET($O$15,0,$DO39,$B$8,1),OFFSET($M$15,0,0,$B$8,1))=FT$14))   /   SUM(OFFSET($BO$15,0,0,$B$14,1)) + $B$18/($B$19*$B$19*($DN39&lt;&gt;$DO39) + $B$19*($DN39=$DO39))</f>
        <v>3.7037037037037035E-4</v>
      </c>
      <c r="FU39" s="10" cm="1">
        <f t="array" aca="1" ref="FU39" ca="1">(1-$B$18)*SUMPRODUCT(OFFSET($BO$15,0,0,$B$14,1), 1*(_xlfn._xlws.FILTER(OFFSET($O$15,0,$DN39,$B$8,1),OFFSET($M$15,0,0,$B$8,1))=FU$13), 1*(_xlfn._xlws.FILTER(OFFSET($O$15,0,$DO39,$B$8,1),OFFSET($M$15,0,0,$B$8,1))=FU$14))   /   SUM(OFFSET($BO$15,0,0,$B$14,1)) + $B$18/($B$19*$B$19*($DN39&lt;&gt;$DO39) + $B$19*($DN39=$DO39))</f>
        <v>3.7037037037037035E-4</v>
      </c>
      <c r="FV39" s="10" cm="1">
        <f t="array" aca="1" ref="FV39" ca="1">(1-$B$18)*SUMPRODUCT(OFFSET($BO$15,0,0,$B$14,1), 1*(_xlfn._xlws.FILTER(OFFSET($O$15,0,$DN39,$B$8,1),OFFSET($M$15,0,0,$B$8,1))=FV$13), 1*(_xlfn._xlws.FILTER(OFFSET($O$15,0,$DO39,$B$8,1),OFFSET($M$15,0,0,$B$8,1))=FV$14))   /   SUM(OFFSET($BO$15,0,0,$B$14,1)) + $B$18/($B$19*$B$19*($DN39&lt;&gt;$DO39) + $B$19*($DN39=$DO39))</f>
        <v>3.7037037037037035E-4</v>
      </c>
      <c r="FW39" s="10" cm="1">
        <f t="array" aca="1" ref="FW39" ca="1">(1-$B$18)*SUMPRODUCT(OFFSET($BO$15,0,0,$B$14,1), 1*(_xlfn._xlws.FILTER(OFFSET($O$15,0,$DN39,$B$8,1),OFFSET($M$15,0,0,$B$8,1))=FW$13), 1*(_xlfn._xlws.FILTER(OFFSET($O$15,0,$DO39,$B$8,1),OFFSET($M$15,0,0,$B$8,1))=FW$14))   /   SUM(OFFSET($BO$15,0,0,$B$14,1)) + $B$18/($B$19*$B$19*($DN39&lt;&gt;$DO39) + $B$19*($DN39=$DO39))</f>
        <v>3.7037037037037035E-4</v>
      </c>
      <c r="FX39" s="10" cm="1">
        <f t="array" aca="1" ref="FX39" ca="1">(1-$B$18)*SUMPRODUCT(OFFSET($BO$15,0,0,$B$14,1), 1*(_xlfn._xlws.FILTER(OFFSET($O$15,0,$DN39,$B$8,1),OFFSET($M$15,0,0,$B$8,1))=FX$13), 1*(_xlfn._xlws.FILTER(OFFSET($O$15,0,$DO39,$B$8,1),OFFSET($M$15,0,0,$B$8,1))=FX$14))   /   SUM(OFFSET($BO$15,0,0,$B$14,1)) + $B$18/($B$19*$B$19*($DN39&lt;&gt;$DO39) + $B$19*($DN39=$DO39))</f>
        <v>3.7037037037037035E-4</v>
      </c>
      <c r="FY39" s="10" cm="1">
        <f t="array" aca="1" ref="FY39" ca="1">(1-$B$18)*SUMPRODUCT(OFFSET($BO$15,0,0,$B$14,1), 1*(_xlfn._xlws.FILTER(OFFSET($O$15,0,$DN39,$B$8,1),OFFSET($M$15,0,0,$B$8,1))=FY$13), 1*(_xlfn._xlws.FILTER(OFFSET($O$15,0,$DO39,$B$8,1),OFFSET($M$15,0,0,$B$8,1))=FY$14))   /   SUM(OFFSET($BO$15,0,0,$B$14,1)) + $B$18/($B$19*$B$19*($DN39&lt;&gt;$DO39) + $B$19*($DN39=$DO39))</f>
        <v>3.7037037037037035E-4</v>
      </c>
      <c r="FZ39" s="10" cm="1">
        <f t="array" aca="1" ref="FZ39" ca="1">(1-$B$18)*SUMPRODUCT(OFFSET($BO$15,0,0,$B$14,1), 1*(_xlfn._xlws.FILTER(OFFSET($O$15,0,$DN39,$B$8,1),OFFSET($M$15,0,0,$B$8,1))=FZ$13), 1*(_xlfn._xlws.FILTER(OFFSET($O$15,0,$DO39,$B$8,1),OFFSET($M$15,0,0,$B$8,1))=FZ$14))   /   SUM(OFFSET($BO$15,0,0,$B$14,1)) + $B$18/($B$19*$B$19*($DN39&lt;&gt;$DO39) + $B$19*($DN39=$DO39))</f>
        <v>3.7037037037037035E-4</v>
      </c>
      <c r="GA39" s="10" cm="1">
        <f t="array" aca="1" ref="GA39" ca="1">(1-$B$18)*SUMPRODUCT(OFFSET($BO$15,0,0,$B$14,1), 1*(_xlfn._xlws.FILTER(OFFSET($O$15,0,$DN39,$B$8,1),OFFSET($M$15,0,0,$B$8,1))=GA$13), 1*(_xlfn._xlws.FILTER(OFFSET($O$15,0,$DO39,$B$8,1),OFFSET($M$15,0,0,$B$8,1))=GA$14))   /   SUM(OFFSET($BO$15,0,0,$B$14,1)) + $B$18/($B$19*$B$19*($DN39&lt;&gt;$DO39) + $B$19*($DN39=$DO39))</f>
        <v>3.7037037037037035E-4</v>
      </c>
    </row>
    <row r="40" spans="4:183" x14ac:dyDescent="0.2">
      <c r="AK40" s="7"/>
      <c r="AL40" s="2"/>
      <c r="DN40" cm="1">
        <f t="array" aca="1" ref="DN40" ca="1">INDEX(_xlfn.ANCHORARRAY($CP$15), 1 + INT((ROWS($DO$15:$DO40) - 1) / ROWS(_xlfn.ANCHORARRAY($CP$15))))</f>
        <v>1</v>
      </c>
      <c r="DO40" cm="1">
        <f t="array" aca="1" ref="DO40" ca="1">INDEX(_xlfn.ANCHORARRAY($CP$15),1+MOD(ROWS($DO$15:$DO40)-1,ROWS(_xlfn.ANCHORARRAY($CP$15))))</f>
        <v>6</v>
      </c>
      <c r="DP40" s="10" cm="1">
        <f t="array" aca="1" ref="DP40" ca="1">(1-$B$18)*SUMPRODUCT(OFFSET($BO$15,0,0,$B$14,1), 1*(_xlfn._xlws.FILTER(OFFSET($O$15,0,$DN40,$B$8,1),OFFSET($M$15,0,0,$B$8,1))=DP$13), 1*(_xlfn._xlws.FILTER(OFFSET($O$15,0,$DO40,$B$8,1),OFFSET($M$15,0,0,$B$8,1))=DP$14))   /   SUM(OFFSET($BO$15,0,0,$B$14,1)) + $B$18/($B$19*$B$19*($DN40&lt;&gt;$DO40) + $B$19*($DN40=$DO40))</f>
        <v>3.7037037037037035E-4</v>
      </c>
      <c r="DQ40" s="10" cm="1">
        <f t="array" aca="1" ref="DQ40" ca="1">(1-$B$18)*SUMPRODUCT(OFFSET($BO$15,0,0,$B$14,1), 1*(_xlfn._xlws.FILTER(OFFSET($O$15,0,$DN40,$B$8,1),OFFSET($M$15,0,0,$B$8,1))=DQ$13), 1*(_xlfn._xlws.FILTER(OFFSET($O$15,0,$DO40,$B$8,1),OFFSET($M$15,0,0,$B$8,1))=DQ$14))   /   SUM(OFFSET($BO$15,0,0,$B$14,1)) + $B$18/($B$19*$B$19*($DN40&lt;&gt;$DO40) + $B$19*($DN40=$DO40))</f>
        <v>3.7037037037037035E-4</v>
      </c>
      <c r="DR40" s="10" cm="1">
        <f t="array" aca="1" ref="DR40" ca="1">(1-$B$18)*SUMPRODUCT(OFFSET($BO$15,0,0,$B$14,1), 1*(_xlfn._xlws.FILTER(OFFSET($O$15,0,$DN40,$B$8,1),OFFSET($M$15,0,0,$B$8,1))=DR$13), 1*(_xlfn._xlws.FILTER(OFFSET($O$15,0,$DO40,$B$8,1),OFFSET($M$15,0,0,$B$8,1))=DR$14))   /   SUM(OFFSET($BO$15,0,0,$B$14,1)) + $B$18/($B$19*$B$19*($DN40&lt;&gt;$DO40) + $B$19*($DN40=$DO40))</f>
        <v>3.7037037037037035E-4</v>
      </c>
      <c r="DS40" s="10" cm="1">
        <f t="array" aca="1" ref="DS40" ca="1">(1-$B$18)*SUMPRODUCT(OFFSET($BO$15,0,0,$B$14,1), 1*(_xlfn._xlws.FILTER(OFFSET($O$15,0,$DN40,$B$8,1),OFFSET($M$15,0,0,$B$8,1))=DS$13), 1*(_xlfn._xlws.FILTER(OFFSET($O$15,0,$DO40,$B$8,1),OFFSET($M$15,0,0,$B$8,1))=DS$14))   /   SUM(OFFSET($BO$15,0,0,$B$14,1)) + $B$18/($B$19*$B$19*($DN40&lt;&gt;$DO40) + $B$19*($DN40=$DO40))</f>
        <v>3.7037037037037035E-4</v>
      </c>
      <c r="DT40" s="10" cm="1">
        <f t="array" aca="1" ref="DT40" ca="1">(1-$B$18)*SUMPRODUCT(OFFSET($BO$15,0,0,$B$14,1), 1*(_xlfn._xlws.FILTER(OFFSET($O$15,0,$DN40,$B$8,1),OFFSET($M$15,0,0,$B$8,1))=DT$13), 1*(_xlfn._xlws.FILTER(OFFSET($O$15,0,$DO40,$B$8,1),OFFSET($M$15,0,0,$B$8,1))=DT$14))   /   SUM(OFFSET($BO$15,0,0,$B$14,1)) + $B$18/($B$19*$B$19*($DN40&lt;&gt;$DO40) + $B$19*($DN40=$DO40))</f>
        <v>3.7037037037037035E-4</v>
      </c>
      <c r="DU40" s="10" cm="1">
        <f t="array" aca="1" ref="DU40" ca="1">(1-$B$18)*SUMPRODUCT(OFFSET($BO$15,0,0,$B$14,1), 1*(_xlfn._xlws.FILTER(OFFSET($O$15,0,$DN40,$B$8,1),OFFSET($M$15,0,0,$B$8,1))=DU$13), 1*(_xlfn._xlws.FILTER(OFFSET($O$15,0,$DO40,$B$8,1),OFFSET($M$15,0,0,$B$8,1))=DU$14))   /   SUM(OFFSET($BO$15,0,0,$B$14,1)) + $B$18/($B$19*$B$19*($DN40&lt;&gt;$DO40) + $B$19*($DN40=$DO40))</f>
        <v>3.7037037037037035E-4</v>
      </c>
      <c r="DV40" s="10" cm="1">
        <f t="array" aca="1" ref="DV40" ca="1">(1-$B$18)*SUMPRODUCT(OFFSET($BO$15,0,0,$B$14,1), 1*(_xlfn._xlws.FILTER(OFFSET($O$15,0,$DN40,$B$8,1),OFFSET($M$15,0,0,$B$8,1))=DV$13), 1*(_xlfn._xlws.FILTER(OFFSET($O$15,0,$DO40,$B$8,1),OFFSET($M$15,0,0,$B$8,1))=DV$14))   /   SUM(OFFSET($BO$15,0,0,$B$14,1)) + $B$18/($B$19*$B$19*($DN40&lt;&gt;$DO40) + $B$19*($DN40=$DO40))</f>
        <v>3.7037037037037035E-4</v>
      </c>
      <c r="DW40" s="10" cm="1">
        <f t="array" aca="1" ref="DW40" ca="1">(1-$B$18)*SUMPRODUCT(OFFSET($BO$15,0,0,$B$14,1), 1*(_xlfn._xlws.FILTER(OFFSET($O$15,0,$DN40,$B$8,1),OFFSET($M$15,0,0,$B$8,1))=DW$13), 1*(_xlfn._xlws.FILTER(OFFSET($O$15,0,$DO40,$B$8,1),OFFSET($M$15,0,0,$B$8,1))=DW$14))   /   SUM(OFFSET($BO$15,0,0,$B$14,1)) + $B$18/($B$19*$B$19*($DN40&lt;&gt;$DO40) + $B$19*($DN40=$DO40))</f>
        <v>3.7037037037037035E-4</v>
      </c>
      <c r="DX40" s="10" cm="1">
        <f t="array" aca="1" ref="DX40" ca="1">(1-$B$18)*SUMPRODUCT(OFFSET($BO$15,0,0,$B$14,1), 1*(_xlfn._xlws.FILTER(OFFSET($O$15,0,$DN40,$B$8,1),OFFSET($M$15,0,0,$B$8,1))=DX$13), 1*(_xlfn._xlws.FILTER(OFFSET($O$15,0,$DO40,$B$8,1),OFFSET($M$15,0,0,$B$8,1))=DX$14))   /   SUM(OFFSET($BO$15,0,0,$B$14,1)) + $B$18/($B$19*$B$19*($DN40&lt;&gt;$DO40) + $B$19*($DN40=$DO40))</f>
        <v>3.7037037037037035E-4</v>
      </c>
      <c r="DY40" s="10" cm="1">
        <f t="array" aca="1" ref="DY40" ca="1">(1-$B$18)*SUMPRODUCT(OFFSET($BO$15,0,0,$B$14,1), 1*(_xlfn._xlws.FILTER(OFFSET($O$15,0,$DN40,$B$8,1),OFFSET($M$15,0,0,$B$8,1))=DY$13), 1*(_xlfn._xlws.FILTER(OFFSET($O$15,0,$DO40,$B$8,1),OFFSET($M$15,0,0,$B$8,1))=DY$14))   /   SUM(OFFSET($BO$15,0,0,$B$14,1)) + $B$18/($B$19*$B$19*($DN40&lt;&gt;$DO40) + $B$19*($DN40=$DO40))</f>
        <v>3.7037037037037035E-4</v>
      </c>
      <c r="DZ40" s="10" cm="1">
        <f t="array" aca="1" ref="DZ40" ca="1">(1-$B$18)*SUMPRODUCT(OFFSET($BO$15,0,0,$B$14,1), 1*(_xlfn._xlws.FILTER(OFFSET($O$15,0,$DN40,$B$8,1),OFFSET($M$15,0,0,$B$8,1))=DZ$13), 1*(_xlfn._xlws.FILTER(OFFSET($O$15,0,$DO40,$B$8,1),OFFSET($M$15,0,0,$B$8,1))=DZ$14))   /   SUM(OFFSET($BO$15,0,0,$B$14,1)) + $B$18/($B$19*$B$19*($DN40&lt;&gt;$DO40) + $B$19*($DN40=$DO40))</f>
        <v>3.7037037037037035E-4</v>
      </c>
      <c r="EA40" s="10" cm="1">
        <f t="array" aca="1" ref="EA40" ca="1">(1-$B$18)*SUMPRODUCT(OFFSET($BO$15,0,0,$B$14,1), 1*(_xlfn._xlws.FILTER(OFFSET($O$15,0,$DN40,$B$8,1),OFFSET($M$15,0,0,$B$8,1))=EA$13), 1*(_xlfn._xlws.FILTER(OFFSET($O$15,0,$DO40,$B$8,1),OFFSET($M$15,0,0,$B$8,1))=EA$14))   /   SUM(OFFSET($BO$15,0,0,$B$14,1)) + $B$18/($B$19*$B$19*($DN40&lt;&gt;$DO40) + $B$19*($DN40=$DO40))</f>
        <v>3.7037037037037035E-4</v>
      </c>
      <c r="EB40" s="10" cm="1">
        <f t="array" aca="1" ref="EB40" ca="1">(1-$B$18)*SUMPRODUCT(OFFSET($BO$15,0,0,$B$14,1), 1*(_xlfn._xlws.FILTER(OFFSET($O$15,0,$DN40,$B$8,1),OFFSET($M$15,0,0,$B$8,1))=EB$13), 1*(_xlfn._xlws.FILTER(OFFSET($O$15,0,$DO40,$B$8,1),OFFSET($M$15,0,0,$B$8,1))=EB$14))   /   SUM(OFFSET($BO$15,0,0,$B$14,1)) + $B$18/($B$19*$B$19*($DN40&lt;&gt;$DO40) + $B$19*($DN40=$DO40))</f>
        <v>3.7037037037037035E-4</v>
      </c>
      <c r="EC40" s="10" cm="1">
        <f t="array" aca="1" ref="EC40" ca="1">(1-$B$18)*SUMPRODUCT(OFFSET($BO$15,0,0,$B$14,1), 1*(_xlfn._xlws.FILTER(OFFSET($O$15,0,$DN40,$B$8,1),OFFSET($M$15,0,0,$B$8,1))=EC$13), 1*(_xlfn._xlws.FILTER(OFFSET($O$15,0,$DO40,$B$8,1),OFFSET($M$15,0,0,$B$8,1))=EC$14))   /   SUM(OFFSET($BO$15,0,0,$B$14,1)) + $B$18/($B$19*$B$19*($DN40&lt;&gt;$DO40) + $B$19*($DN40=$DO40))</f>
        <v>3.7037037037037035E-4</v>
      </c>
      <c r="ED40" s="10" cm="1">
        <f t="array" aca="1" ref="ED40" ca="1">(1-$B$18)*SUMPRODUCT(OFFSET($BO$15,0,0,$B$14,1), 1*(_xlfn._xlws.FILTER(OFFSET($O$15,0,$DN40,$B$8,1),OFFSET($M$15,0,0,$B$8,1))=ED$13), 1*(_xlfn._xlws.FILTER(OFFSET($O$15,0,$DO40,$B$8,1),OFFSET($M$15,0,0,$B$8,1))=ED$14))   /   SUM(OFFSET($BO$15,0,0,$B$14,1)) + $B$18/($B$19*$B$19*($DN40&lt;&gt;$DO40) + $B$19*($DN40=$DO40))</f>
        <v>3.7037037037037035E-4</v>
      </c>
      <c r="EE40" s="10" cm="1">
        <f t="array" aca="1" ref="EE40" ca="1">(1-$B$18)*SUMPRODUCT(OFFSET($BO$15,0,0,$B$14,1), 1*(_xlfn._xlws.FILTER(OFFSET($O$15,0,$DN40,$B$8,1),OFFSET($M$15,0,0,$B$8,1))=EE$13), 1*(_xlfn._xlws.FILTER(OFFSET($O$15,0,$DO40,$B$8,1),OFFSET($M$15,0,0,$B$8,1))=EE$14))   /   SUM(OFFSET($BO$15,0,0,$B$14,1)) + $B$18/($B$19*$B$19*($DN40&lt;&gt;$DO40) + $B$19*($DN40=$DO40))</f>
        <v>3.7037037037037035E-4</v>
      </c>
      <c r="EF40" s="10" cm="1">
        <f t="array" aca="1" ref="EF40" ca="1">(1-$B$18)*SUMPRODUCT(OFFSET($BO$15,0,0,$B$14,1), 1*(_xlfn._xlws.FILTER(OFFSET($O$15,0,$DN40,$B$8,1),OFFSET($M$15,0,0,$B$8,1))=EF$13), 1*(_xlfn._xlws.FILTER(OFFSET($O$15,0,$DO40,$B$8,1),OFFSET($M$15,0,0,$B$8,1))=EF$14))   /   SUM(OFFSET($BO$15,0,0,$B$14,1)) + $B$18/($B$19*$B$19*($DN40&lt;&gt;$DO40) + $B$19*($DN40=$DO40))</f>
        <v>3.7037037037037035E-4</v>
      </c>
      <c r="EG40" s="10" cm="1">
        <f t="array" aca="1" ref="EG40" ca="1">(1-$B$18)*SUMPRODUCT(OFFSET($BO$15,0,0,$B$14,1), 1*(_xlfn._xlws.FILTER(OFFSET($O$15,0,$DN40,$B$8,1),OFFSET($M$15,0,0,$B$8,1))=EG$13), 1*(_xlfn._xlws.FILTER(OFFSET($O$15,0,$DO40,$B$8,1),OFFSET($M$15,0,0,$B$8,1))=EG$14))   /   SUM(OFFSET($BO$15,0,0,$B$14,1)) + $B$18/($B$19*$B$19*($DN40&lt;&gt;$DO40) + $B$19*($DN40=$DO40))</f>
        <v>3.7037037037037035E-4</v>
      </c>
      <c r="EH40" s="10" cm="1">
        <f t="array" aca="1" ref="EH40" ca="1">(1-$B$18)*SUMPRODUCT(OFFSET($BO$15,0,0,$B$14,1), 1*(_xlfn._xlws.FILTER(OFFSET($O$15,0,$DN40,$B$8,1),OFFSET($M$15,0,0,$B$8,1))=EH$13), 1*(_xlfn._xlws.FILTER(OFFSET($O$15,0,$DO40,$B$8,1),OFFSET($M$15,0,0,$B$8,1))=EH$14))   /   SUM(OFFSET($BO$15,0,0,$B$14,1)) + $B$18/($B$19*$B$19*($DN40&lt;&gt;$DO40) + $B$19*($DN40=$DO40))</f>
        <v>3.7037037037037035E-4</v>
      </c>
      <c r="EI40" s="10" cm="1">
        <f t="array" aca="1" ref="EI40" ca="1">(1-$B$18)*SUMPRODUCT(OFFSET($BO$15,0,0,$B$14,1), 1*(_xlfn._xlws.FILTER(OFFSET($O$15,0,$DN40,$B$8,1),OFFSET($M$15,0,0,$B$8,1))=EI$13), 1*(_xlfn._xlws.FILTER(OFFSET($O$15,0,$DO40,$B$8,1),OFFSET($M$15,0,0,$B$8,1))=EI$14))   /   SUM(OFFSET($BO$15,0,0,$B$14,1)) + $B$18/($B$19*$B$19*($DN40&lt;&gt;$DO40) + $B$19*($DN40=$DO40))</f>
        <v>3.7037037037037035E-4</v>
      </c>
      <c r="EJ40" s="10" cm="1">
        <f t="array" aca="1" ref="EJ40" ca="1">(1-$B$18)*SUMPRODUCT(OFFSET($BO$15,0,0,$B$14,1), 1*(_xlfn._xlws.FILTER(OFFSET($O$15,0,$DN40,$B$8,1),OFFSET($M$15,0,0,$B$8,1))=EJ$13), 1*(_xlfn._xlws.FILTER(OFFSET($O$15,0,$DO40,$B$8,1),OFFSET($M$15,0,0,$B$8,1))=EJ$14))   /   SUM(OFFSET($BO$15,0,0,$B$14,1)) + $B$18/($B$19*$B$19*($DN40&lt;&gt;$DO40) + $B$19*($DN40=$DO40))</f>
        <v>3.7037037037037035E-4</v>
      </c>
      <c r="EK40" s="10" cm="1">
        <f t="array" aca="1" ref="EK40" ca="1">(1-$B$18)*SUMPRODUCT(OFFSET($BO$15,0,0,$B$14,1), 1*(_xlfn._xlws.FILTER(OFFSET($O$15,0,$DN40,$B$8,1),OFFSET($M$15,0,0,$B$8,1))=EK$13), 1*(_xlfn._xlws.FILTER(OFFSET($O$15,0,$DO40,$B$8,1),OFFSET($M$15,0,0,$B$8,1))=EK$14))   /   SUM(OFFSET($BO$15,0,0,$B$14,1)) + $B$18/($B$19*$B$19*($DN40&lt;&gt;$DO40) + $B$19*($DN40=$DO40))</f>
        <v>3.7037037037037035E-4</v>
      </c>
      <c r="EL40" s="10" cm="1">
        <f t="array" aca="1" ref="EL40" ca="1">(1-$B$18)*SUMPRODUCT(OFFSET($BO$15,0,0,$B$14,1), 1*(_xlfn._xlws.FILTER(OFFSET($O$15,0,$DN40,$B$8,1),OFFSET($M$15,0,0,$B$8,1))=EL$13), 1*(_xlfn._xlws.FILTER(OFFSET($O$15,0,$DO40,$B$8,1),OFFSET($M$15,0,0,$B$8,1))=EL$14))   /   SUM(OFFSET($BO$15,0,0,$B$14,1)) + $B$18/($B$19*$B$19*($DN40&lt;&gt;$DO40) + $B$19*($DN40=$DO40))</f>
        <v>3.7037037037037035E-4</v>
      </c>
      <c r="EM40" s="10" cm="1">
        <f t="array" aca="1" ref="EM40" ca="1">(1-$B$18)*SUMPRODUCT(OFFSET($BO$15,0,0,$B$14,1), 1*(_xlfn._xlws.FILTER(OFFSET($O$15,0,$DN40,$B$8,1),OFFSET($M$15,0,0,$B$8,1))=EM$13), 1*(_xlfn._xlws.FILTER(OFFSET($O$15,0,$DO40,$B$8,1),OFFSET($M$15,0,0,$B$8,1))=EM$14))   /   SUM(OFFSET($BO$15,0,0,$B$14,1)) + $B$18/($B$19*$B$19*($DN40&lt;&gt;$DO40) + $B$19*($DN40=$DO40))</f>
        <v>3.7037037037037035E-4</v>
      </c>
      <c r="EN40" s="10" cm="1">
        <f t="array" aca="1" ref="EN40" ca="1">(1-$B$18)*SUMPRODUCT(OFFSET($BO$15,0,0,$B$14,1), 1*(_xlfn._xlws.FILTER(OFFSET($O$15,0,$DN40,$B$8,1),OFFSET($M$15,0,0,$B$8,1))=EN$13), 1*(_xlfn._xlws.FILTER(OFFSET($O$15,0,$DO40,$B$8,1),OFFSET($M$15,0,0,$B$8,1))=EN$14))   /   SUM(OFFSET($BO$15,0,0,$B$14,1)) + $B$18/($B$19*$B$19*($DN40&lt;&gt;$DO40) + $B$19*($DN40=$DO40))</f>
        <v>3.7037037037037035E-4</v>
      </c>
      <c r="EO40" s="10" cm="1">
        <f t="array" aca="1" ref="EO40" ca="1">(1-$B$18)*SUMPRODUCT(OFFSET($BO$15,0,0,$B$14,1), 1*(_xlfn._xlws.FILTER(OFFSET($O$15,0,$DN40,$B$8,1),OFFSET($M$15,0,0,$B$8,1))=EO$13), 1*(_xlfn._xlws.FILTER(OFFSET($O$15,0,$DO40,$B$8,1),OFFSET($M$15,0,0,$B$8,1))=EO$14))   /   SUM(OFFSET($BO$15,0,0,$B$14,1)) + $B$18/($B$19*$B$19*($DN40&lt;&gt;$DO40) + $B$19*($DN40=$DO40))</f>
        <v>3.7037037037037035E-4</v>
      </c>
      <c r="EP40" s="10" cm="1">
        <f t="array" aca="1" ref="EP40" ca="1">(1-$B$18)*SUMPRODUCT(OFFSET($BO$15,0,0,$B$14,1), 1*(_xlfn._xlws.FILTER(OFFSET($O$15,0,$DN40,$B$8,1),OFFSET($M$15,0,0,$B$8,1))=EP$13), 1*(_xlfn._xlws.FILTER(OFFSET($O$15,0,$DO40,$B$8,1),OFFSET($M$15,0,0,$B$8,1))=EP$14))   /   SUM(OFFSET($BO$15,0,0,$B$14,1)) + $B$18/($B$19*$B$19*($DN40&lt;&gt;$DO40) + $B$19*($DN40=$DO40))</f>
        <v>3.7037037037037035E-4</v>
      </c>
      <c r="EQ40" s="10" cm="1">
        <f t="array" aca="1" ref="EQ40" ca="1">(1-$B$18)*SUMPRODUCT(OFFSET($BO$15,0,0,$B$14,1), 1*(_xlfn._xlws.FILTER(OFFSET($O$15,0,$DN40,$B$8,1),OFFSET($M$15,0,0,$B$8,1))=EQ$13), 1*(_xlfn._xlws.FILTER(OFFSET($O$15,0,$DO40,$B$8,1),OFFSET($M$15,0,0,$B$8,1))=EQ$14))   /   SUM(OFFSET($BO$15,0,0,$B$14,1)) + $B$18/($B$19*$B$19*($DN40&lt;&gt;$DO40) + $B$19*($DN40=$DO40))</f>
        <v>3.7037037037037035E-4</v>
      </c>
      <c r="ER40" s="10" cm="1">
        <f t="array" aca="1" ref="ER40" ca="1">(1-$B$18)*SUMPRODUCT(OFFSET($BO$15,0,0,$B$14,1), 1*(_xlfn._xlws.FILTER(OFFSET($O$15,0,$DN40,$B$8,1),OFFSET($M$15,0,0,$B$8,1))=ER$13), 1*(_xlfn._xlws.FILTER(OFFSET($O$15,0,$DO40,$B$8,1),OFFSET($M$15,0,0,$B$8,1))=ER$14))   /   SUM(OFFSET($BO$15,0,0,$B$14,1)) + $B$18/($B$19*$B$19*($DN40&lt;&gt;$DO40) + $B$19*($DN40=$DO40))</f>
        <v>3.7037037037037035E-4</v>
      </c>
      <c r="ES40" s="10" cm="1">
        <f t="array" aca="1" ref="ES40" ca="1">(1-$B$18)*SUMPRODUCT(OFFSET($BO$15,0,0,$B$14,1), 1*(_xlfn._xlws.FILTER(OFFSET($O$15,0,$DN40,$B$8,1),OFFSET($M$15,0,0,$B$8,1))=ES$13), 1*(_xlfn._xlws.FILTER(OFFSET($O$15,0,$DO40,$B$8,1),OFFSET($M$15,0,0,$B$8,1))=ES$14))   /   SUM(OFFSET($BO$15,0,0,$B$14,1)) + $B$18/($B$19*$B$19*($DN40&lt;&gt;$DO40) + $B$19*($DN40=$DO40))</f>
        <v>3.7037037037037035E-4</v>
      </c>
      <c r="ET40" s="10" cm="1">
        <f t="array" aca="1" ref="ET40" ca="1">(1-$B$18)*SUMPRODUCT(OFFSET($BO$15,0,0,$B$14,1), 1*(_xlfn._xlws.FILTER(OFFSET($O$15,0,$DN40,$B$8,1),OFFSET($M$15,0,0,$B$8,1))=ET$13), 1*(_xlfn._xlws.FILTER(OFFSET($O$15,0,$DO40,$B$8,1),OFFSET($M$15,0,0,$B$8,1))=ET$14))   /   SUM(OFFSET($BO$15,0,0,$B$14,1)) + $B$18/($B$19*$B$19*($DN40&lt;&gt;$DO40) + $B$19*($DN40=$DO40))</f>
        <v>3.7037037037037035E-4</v>
      </c>
      <c r="EU40" s="10" cm="1">
        <f t="array" aca="1" ref="EU40" ca="1">(1-$B$18)*SUMPRODUCT(OFFSET($BO$15,0,0,$B$14,1), 1*(_xlfn._xlws.FILTER(OFFSET($O$15,0,$DN40,$B$8,1),OFFSET($M$15,0,0,$B$8,1))=EU$13), 1*(_xlfn._xlws.FILTER(OFFSET($O$15,0,$DO40,$B$8,1),OFFSET($M$15,0,0,$B$8,1))=EU$14))   /   SUM(OFFSET($BO$15,0,0,$B$14,1)) + $B$18/($B$19*$B$19*($DN40&lt;&gt;$DO40) + $B$19*($DN40=$DO40))</f>
        <v>3.7037037037037035E-4</v>
      </c>
      <c r="EV40" s="10" cm="1">
        <f t="array" aca="1" ref="EV40" ca="1">(1-$B$18)*SUMPRODUCT(OFFSET($BO$15,0,0,$B$14,1), 1*(_xlfn._xlws.FILTER(OFFSET($O$15,0,$DN40,$B$8,1),OFFSET($M$15,0,0,$B$8,1))=EV$13), 1*(_xlfn._xlws.FILTER(OFFSET($O$15,0,$DO40,$B$8,1),OFFSET($M$15,0,0,$B$8,1))=EV$14))   /   SUM(OFFSET($BO$15,0,0,$B$14,1)) + $B$18/($B$19*$B$19*($DN40&lt;&gt;$DO40) + $B$19*($DN40=$DO40))</f>
        <v>3.7037037037037035E-4</v>
      </c>
      <c r="EW40" s="10" cm="1">
        <f t="array" aca="1" ref="EW40" ca="1">(1-$B$18)*SUMPRODUCT(OFFSET($BO$15,0,0,$B$14,1), 1*(_xlfn._xlws.FILTER(OFFSET($O$15,0,$DN40,$B$8,1),OFFSET($M$15,0,0,$B$8,1))=EW$13), 1*(_xlfn._xlws.FILTER(OFFSET($O$15,0,$DO40,$B$8,1),OFFSET($M$15,0,0,$B$8,1))=EW$14))   /   SUM(OFFSET($BO$15,0,0,$B$14,1)) + $B$18/($B$19*$B$19*($DN40&lt;&gt;$DO40) + $B$19*($DN40=$DO40))</f>
        <v>3.7037037037037035E-4</v>
      </c>
      <c r="EX40" s="10" cm="1">
        <f t="array" aca="1" ref="EX40" ca="1">(1-$B$18)*SUMPRODUCT(OFFSET($BO$15,0,0,$B$14,1), 1*(_xlfn._xlws.FILTER(OFFSET($O$15,0,$DN40,$B$8,1),OFFSET($M$15,0,0,$B$8,1))=EX$13), 1*(_xlfn._xlws.FILTER(OFFSET($O$15,0,$DO40,$B$8,1),OFFSET($M$15,0,0,$B$8,1))=EX$14))   /   SUM(OFFSET($BO$15,0,0,$B$14,1)) + $B$18/($B$19*$B$19*($DN40&lt;&gt;$DO40) + $B$19*($DN40=$DO40))</f>
        <v>3.7037037037037035E-4</v>
      </c>
      <c r="EY40" s="10" cm="1">
        <f t="array" aca="1" ref="EY40" ca="1">(1-$B$18)*SUMPRODUCT(OFFSET($BO$15,0,0,$B$14,1), 1*(_xlfn._xlws.FILTER(OFFSET($O$15,0,$DN40,$B$8,1),OFFSET($M$15,0,0,$B$8,1))=EY$13), 1*(_xlfn._xlws.FILTER(OFFSET($O$15,0,$DO40,$B$8,1),OFFSET($M$15,0,0,$B$8,1))=EY$14))   /   SUM(OFFSET($BO$15,0,0,$B$14,1)) + $B$18/($B$19*$B$19*($DN40&lt;&gt;$DO40) + $B$19*($DN40=$DO40))</f>
        <v>3.7037037037037035E-4</v>
      </c>
      <c r="EZ40" s="10" cm="1">
        <f t="array" aca="1" ref="EZ40" ca="1">(1-$B$18)*SUMPRODUCT(OFFSET($BO$15,0,0,$B$14,1), 1*(_xlfn._xlws.FILTER(OFFSET($O$15,0,$DN40,$B$8,1),OFFSET($M$15,0,0,$B$8,1))=EZ$13), 1*(_xlfn._xlws.FILTER(OFFSET($O$15,0,$DO40,$B$8,1),OFFSET($M$15,0,0,$B$8,1))=EZ$14))   /   SUM(OFFSET($BO$15,0,0,$B$14,1)) + $B$18/($B$19*$B$19*($DN40&lt;&gt;$DO40) + $B$19*($DN40=$DO40))</f>
        <v>3.7037037037037035E-4</v>
      </c>
      <c r="FA40" s="10" cm="1">
        <f t="array" aca="1" ref="FA40" ca="1">(1-$B$18)*SUMPRODUCT(OFFSET($BO$15,0,0,$B$14,1), 1*(_xlfn._xlws.FILTER(OFFSET($O$15,0,$DN40,$B$8,1),OFFSET($M$15,0,0,$B$8,1))=FA$13), 1*(_xlfn._xlws.FILTER(OFFSET($O$15,0,$DO40,$B$8,1),OFFSET($M$15,0,0,$B$8,1))=FA$14))   /   SUM(OFFSET($BO$15,0,0,$B$14,1)) + $B$18/($B$19*$B$19*($DN40&lt;&gt;$DO40) + $B$19*($DN40=$DO40))</f>
        <v>3.7037037037037035E-4</v>
      </c>
      <c r="FB40" s="10" cm="1">
        <f t="array" aca="1" ref="FB40" ca="1">(1-$B$18)*SUMPRODUCT(OFFSET($BO$15,0,0,$B$14,1), 1*(_xlfn._xlws.FILTER(OFFSET($O$15,0,$DN40,$B$8,1),OFFSET($M$15,0,0,$B$8,1))=FB$13), 1*(_xlfn._xlws.FILTER(OFFSET($O$15,0,$DO40,$B$8,1),OFFSET($M$15,0,0,$B$8,1))=FB$14))   /   SUM(OFFSET($BO$15,0,0,$B$14,1)) + $B$18/($B$19*$B$19*($DN40&lt;&gt;$DO40) + $B$19*($DN40=$DO40))</f>
        <v>3.7037037037037035E-4</v>
      </c>
      <c r="FC40" s="10" cm="1">
        <f t="array" aca="1" ref="FC40" ca="1">(1-$B$18)*SUMPRODUCT(OFFSET($BO$15,0,0,$B$14,1), 1*(_xlfn._xlws.FILTER(OFFSET($O$15,0,$DN40,$B$8,1),OFFSET($M$15,0,0,$B$8,1))=FC$13), 1*(_xlfn._xlws.FILTER(OFFSET($O$15,0,$DO40,$B$8,1),OFFSET($M$15,0,0,$B$8,1))=FC$14))   /   SUM(OFFSET($BO$15,0,0,$B$14,1)) + $B$18/($B$19*$B$19*($DN40&lt;&gt;$DO40) + $B$19*($DN40=$DO40))</f>
        <v>3.7037037037037035E-4</v>
      </c>
      <c r="FD40" s="10" cm="1">
        <f t="array" aca="1" ref="FD40" ca="1">(1-$B$18)*SUMPRODUCT(OFFSET($BO$15,0,0,$B$14,1), 1*(_xlfn._xlws.FILTER(OFFSET($O$15,0,$DN40,$B$8,1),OFFSET($M$15,0,0,$B$8,1))=FD$13), 1*(_xlfn._xlws.FILTER(OFFSET($O$15,0,$DO40,$B$8,1),OFFSET($M$15,0,0,$B$8,1))=FD$14))   /   SUM(OFFSET($BO$15,0,0,$B$14,1)) + $B$18/($B$19*$B$19*($DN40&lt;&gt;$DO40) + $B$19*($DN40=$DO40))</f>
        <v>3.7037037037037035E-4</v>
      </c>
      <c r="FE40" s="10" cm="1">
        <f t="array" aca="1" ref="FE40" ca="1">(1-$B$18)*SUMPRODUCT(OFFSET($BO$15,0,0,$B$14,1), 1*(_xlfn._xlws.FILTER(OFFSET($O$15,0,$DN40,$B$8,1),OFFSET($M$15,0,0,$B$8,1))=FE$13), 1*(_xlfn._xlws.FILTER(OFFSET($O$15,0,$DO40,$B$8,1),OFFSET($M$15,0,0,$B$8,1))=FE$14))   /   SUM(OFFSET($BO$15,0,0,$B$14,1)) + $B$18/($B$19*$B$19*($DN40&lt;&gt;$DO40) + $B$19*($DN40=$DO40))</f>
        <v>3.7037037037037035E-4</v>
      </c>
      <c r="FF40" s="10" cm="1">
        <f t="array" aca="1" ref="FF40" ca="1">(1-$B$18)*SUMPRODUCT(OFFSET($BO$15,0,0,$B$14,1), 1*(_xlfn._xlws.FILTER(OFFSET($O$15,0,$DN40,$B$8,1),OFFSET($M$15,0,0,$B$8,1))=FF$13), 1*(_xlfn._xlws.FILTER(OFFSET($O$15,0,$DO40,$B$8,1),OFFSET($M$15,0,0,$B$8,1))=FF$14))   /   SUM(OFFSET($BO$15,0,0,$B$14,1)) + $B$18/($B$19*$B$19*($DN40&lt;&gt;$DO40) + $B$19*($DN40=$DO40))</f>
        <v>3.7037037037037035E-4</v>
      </c>
      <c r="FG40" s="10" cm="1">
        <f t="array" aca="1" ref="FG40" ca="1">(1-$B$18)*SUMPRODUCT(OFFSET($BO$15,0,0,$B$14,1), 1*(_xlfn._xlws.FILTER(OFFSET($O$15,0,$DN40,$B$8,1),OFFSET($M$15,0,0,$B$8,1))=FG$13), 1*(_xlfn._xlws.FILTER(OFFSET($O$15,0,$DO40,$B$8,1),OFFSET($M$15,0,0,$B$8,1))=FG$14))   /   SUM(OFFSET($BO$15,0,0,$B$14,1)) + $B$18/($B$19*$B$19*($DN40&lt;&gt;$DO40) + $B$19*($DN40=$DO40))</f>
        <v>3.7037037037037035E-4</v>
      </c>
      <c r="FH40" s="10" cm="1">
        <f t="array" aca="1" ref="FH40" ca="1">(1-$B$18)*SUMPRODUCT(OFFSET($BO$15,0,0,$B$14,1), 1*(_xlfn._xlws.FILTER(OFFSET($O$15,0,$DN40,$B$8,1),OFFSET($M$15,0,0,$B$8,1))=FH$13), 1*(_xlfn._xlws.FILTER(OFFSET($O$15,0,$DO40,$B$8,1),OFFSET($M$15,0,0,$B$8,1))=FH$14))   /   SUM(OFFSET($BO$15,0,0,$B$14,1)) + $B$18/($B$19*$B$19*($DN40&lt;&gt;$DO40) + $B$19*($DN40=$DO40))</f>
        <v>3.7037037037037035E-4</v>
      </c>
      <c r="FI40" s="10" cm="1">
        <f t="array" aca="1" ref="FI40" ca="1">(1-$B$18)*SUMPRODUCT(OFFSET($BO$15,0,0,$B$14,1), 1*(_xlfn._xlws.FILTER(OFFSET($O$15,0,$DN40,$B$8,1),OFFSET($M$15,0,0,$B$8,1))=FI$13), 1*(_xlfn._xlws.FILTER(OFFSET($O$15,0,$DO40,$B$8,1),OFFSET($M$15,0,0,$B$8,1))=FI$14))   /   SUM(OFFSET($BO$15,0,0,$B$14,1)) + $B$18/($B$19*$B$19*($DN40&lt;&gt;$DO40) + $B$19*($DN40=$DO40))</f>
        <v>3.7037037037037035E-4</v>
      </c>
      <c r="FJ40" s="10" cm="1">
        <f t="array" aca="1" ref="FJ40" ca="1">(1-$B$18)*SUMPRODUCT(OFFSET($BO$15,0,0,$B$14,1), 1*(_xlfn._xlws.FILTER(OFFSET($O$15,0,$DN40,$B$8,1),OFFSET($M$15,0,0,$B$8,1))=FJ$13), 1*(_xlfn._xlws.FILTER(OFFSET($O$15,0,$DO40,$B$8,1),OFFSET($M$15,0,0,$B$8,1))=FJ$14))   /   SUM(OFFSET($BO$15,0,0,$B$14,1)) + $B$18/($B$19*$B$19*($DN40&lt;&gt;$DO40) + $B$19*($DN40=$DO40))</f>
        <v>3.7037037037037035E-4</v>
      </c>
      <c r="FK40" s="10" cm="1">
        <f t="array" aca="1" ref="FK40" ca="1">(1-$B$18)*SUMPRODUCT(OFFSET($BO$15,0,0,$B$14,1), 1*(_xlfn._xlws.FILTER(OFFSET($O$15,0,$DN40,$B$8,1),OFFSET($M$15,0,0,$B$8,1))=FK$13), 1*(_xlfn._xlws.FILTER(OFFSET($O$15,0,$DO40,$B$8,1),OFFSET($M$15,0,0,$B$8,1))=FK$14))   /   SUM(OFFSET($BO$15,0,0,$B$14,1)) + $B$18/($B$19*$B$19*($DN40&lt;&gt;$DO40) + $B$19*($DN40=$DO40))</f>
        <v>3.7037037037037035E-4</v>
      </c>
      <c r="FL40" s="10" cm="1">
        <f t="array" aca="1" ref="FL40" ca="1">(1-$B$18)*SUMPRODUCT(OFFSET($BO$15,0,0,$B$14,1), 1*(_xlfn._xlws.FILTER(OFFSET($O$15,0,$DN40,$B$8,1),OFFSET($M$15,0,0,$B$8,1))=FL$13), 1*(_xlfn._xlws.FILTER(OFFSET($O$15,0,$DO40,$B$8,1),OFFSET($M$15,0,0,$B$8,1))=FL$14))   /   SUM(OFFSET($BO$15,0,0,$B$14,1)) + $B$18/($B$19*$B$19*($DN40&lt;&gt;$DO40) + $B$19*($DN40=$DO40))</f>
        <v>3.7037037037037035E-4</v>
      </c>
      <c r="FM40" s="10" cm="1">
        <f t="array" aca="1" ref="FM40" ca="1">(1-$B$18)*SUMPRODUCT(OFFSET($BO$15,0,0,$B$14,1), 1*(_xlfn._xlws.FILTER(OFFSET($O$15,0,$DN40,$B$8,1),OFFSET($M$15,0,0,$B$8,1))=FM$13), 1*(_xlfn._xlws.FILTER(OFFSET($O$15,0,$DO40,$B$8,1),OFFSET($M$15,0,0,$B$8,1))=FM$14))   /   SUM(OFFSET($BO$15,0,0,$B$14,1)) + $B$18/($B$19*$B$19*($DN40&lt;&gt;$DO40) + $B$19*($DN40=$DO40))</f>
        <v>3.7037037037037035E-4</v>
      </c>
      <c r="FN40" s="10" cm="1">
        <f t="array" aca="1" ref="FN40" ca="1">(1-$B$18)*SUMPRODUCT(OFFSET($BO$15,0,0,$B$14,1), 1*(_xlfn._xlws.FILTER(OFFSET($O$15,0,$DN40,$B$8,1),OFFSET($M$15,0,0,$B$8,1))=FN$13), 1*(_xlfn._xlws.FILTER(OFFSET($O$15,0,$DO40,$B$8,1),OFFSET($M$15,0,0,$B$8,1))=FN$14))   /   SUM(OFFSET($BO$15,0,0,$B$14,1)) + $B$18/($B$19*$B$19*($DN40&lt;&gt;$DO40) + $B$19*($DN40=$DO40))</f>
        <v>3.7037037037037035E-4</v>
      </c>
      <c r="FO40" s="10" cm="1">
        <f t="array" aca="1" ref="FO40" ca="1">(1-$B$18)*SUMPRODUCT(OFFSET($BO$15,0,0,$B$14,1), 1*(_xlfn._xlws.FILTER(OFFSET($O$15,0,$DN40,$B$8,1),OFFSET($M$15,0,0,$B$8,1))=FO$13), 1*(_xlfn._xlws.FILTER(OFFSET($O$15,0,$DO40,$B$8,1),OFFSET($M$15,0,0,$B$8,1))=FO$14))   /   SUM(OFFSET($BO$15,0,0,$B$14,1)) + $B$18/($B$19*$B$19*($DN40&lt;&gt;$DO40) + $B$19*($DN40=$DO40))</f>
        <v>3.7037037037037035E-4</v>
      </c>
      <c r="FP40" s="10" cm="1">
        <f t="array" aca="1" ref="FP40" ca="1">(1-$B$18)*SUMPRODUCT(OFFSET($BO$15,0,0,$B$14,1), 1*(_xlfn._xlws.FILTER(OFFSET($O$15,0,$DN40,$B$8,1),OFFSET($M$15,0,0,$B$8,1))=FP$13), 1*(_xlfn._xlws.FILTER(OFFSET($O$15,0,$DO40,$B$8,1),OFFSET($M$15,0,0,$B$8,1))=FP$14))   /   SUM(OFFSET($BO$15,0,0,$B$14,1)) + $B$18/($B$19*$B$19*($DN40&lt;&gt;$DO40) + $B$19*($DN40=$DO40))</f>
        <v>3.7037037037037035E-4</v>
      </c>
      <c r="FQ40" s="10" cm="1">
        <f t="array" aca="1" ref="FQ40" ca="1">(1-$B$18)*SUMPRODUCT(OFFSET($BO$15,0,0,$B$14,1), 1*(_xlfn._xlws.FILTER(OFFSET($O$15,0,$DN40,$B$8,1),OFFSET($M$15,0,0,$B$8,1))=FQ$13), 1*(_xlfn._xlws.FILTER(OFFSET($O$15,0,$DO40,$B$8,1),OFFSET($M$15,0,0,$B$8,1))=FQ$14))   /   SUM(OFFSET($BO$15,0,0,$B$14,1)) + $B$18/($B$19*$B$19*($DN40&lt;&gt;$DO40) + $B$19*($DN40=$DO40))</f>
        <v>3.7037037037037035E-4</v>
      </c>
      <c r="FR40" s="10" cm="1">
        <f t="array" aca="1" ref="FR40" ca="1">(1-$B$18)*SUMPRODUCT(OFFSET($BO$15,0,0,$B$14,1), 1*(_xlfn._xlws.FILTER(OFFSET($O$15,0,$DN40,$B$8,1),OFFSET($M$15,0,0,$B$8,1))=FR$13), 1*(_xlfn._xlws.FILTER(OFFSET($O$15,0,$DO40,$B$8,1),OFFSET($M$15,0,0,$B$8,1))=FR$14))   /   SUM(OFFSET($BO$15,0,0,$B$14,1)) + $B$18/($B$19*$B$19*($DN40&lt;&gt;$DO40) + $B$19*($DN40=$DO40))</f>
        <v>0.97037037037037033</v>
      </c>
      <c r="FS40" s="10" cm="1">
        <f t="array" aca="1" ref="FS40" ca="1">(1-$B$18)*SUMPRODUCT(OFFSET($BO$15,0,0,$B$14,1), 1*(_xlfn._xlws.FILTER(OFFSET($O$15,0,$DN40,$B$8,1),OFFSET($M$15,0,0,$B$8,1))=FS$13), 1*(_xlfn._xlws.FILTER(OFFSET($O$15,0,$DO40,$B$8,1),OFFSET($M$15,0,0,$B$8,1))=FS$14))   /   SUM(OFFSET($BO$15,0,0,$B$14,1)) + $B$18/($B$19*$B$19*($DN40&lt;&gt;$DO40) + $B$19*($DN40=$DO40))</f>
        <v>3.7037037037037035E-4</v>
      </c>
      <c r="FT40" s="10" cm="1">
        <f t="array" aca="1" ref="FT40" ca="1">(1-$B$18)*SUMPRODUCT(OFFSET($BO$15,0,0,$B$14,1), 1*(_xlfn._xlws.FILTER(OFFSET($O$15,0,$DN40,$B$8,1),OFFSET($M$15,0,0,$B$8,1))=FT$13), 1*(_xlfn._xlws.FILTER(OFFSET($O$15,0,$DO40,$B$8,1),OFFSET($M$15,0,0,$B$8,1))=FT$14))   /   SUM(OFFSET($BO$15,0,0,$B$14,1)) + $B$18/($B$19*$B$19*($DN40&lt;&gt;$DO40) + $B$19*($DN40=$DO40))</f>
        <v>3.7037037037037035E-4</v>
      </c>
      <c r="FU40" s="10" cm="1">
        <f t="array" aca="1" ref="FU40" ca="1">(1-$B$18)*SUMPRODUCT(OFFSET($BO$15,0,0,$B$14,1), 1*(_xlfn._xlws.FILTER(OFFSET($O$15,0,$DN40,$B$8,1),OFFSET($M$15,0,0,$B$8,1))=FU$13), 1*(_xlfn._xlws.FILTER(OFFSET($O$15,0,$DO40,$B$8,1),OFFSET($M$15,0,0,$B$8,1))=FU$14))   /   SUM(OFFSET($BO$15,0,0,$B$14,1)) + $B$18/($B$19*$B$19*($DN40&lt;&gt;$DO40) + $B$19*($DN40=$DO40))</f>
        <v>3.7037037037037035E-4</v>
      </c>
      <c r="FV40" s="10" cm="1">
        <f t="array" aca="1" ref="FV40" ca="1">(1-$B$18)*SUMPRODUCT(OFFSET($BO$15,0,0,$B$14,1), 1*(_xlfn._xlws.FILTER(OFFSET($O$15,0,$DN40,$B$8,1),OFFSET($M$15,0,0,$B$8,1))=FV$13), 1*(_xlfn._xlws.FILTER(OFFSET($O$15,0,$DO40,$B$8,1),OFFSET($M$15,0,0,$B$8,1))=FV$14))   /   SUM(OFFSET($BO$15,0,0,$B$14,1)) + $B$18/($B$19*$B$19*($DN40&lt;&gt;$DO40) + $B$19*($DN40=$DO40))</f>
        <v>3.7037037037037035E-4</v>
      </c>
      <c r="FW40" s="10" cm="1">
        <f t="array" aca="1" ref="FW40" ca="1">(1-$B$18)*SUMPRODUCT(OFFSET($BO$15,0,0,$B$14,1), 1*(_xlfn._xlws.FILTER(OFFSET($O$15,0,$DN40,$B$8,1),OFFSET($M$15,0,0,$B$8,1))=FW$13), 1*(_xlfn._xlws.FILTER(OFFSET($O$15,0,$DO40,$B$8,1),OFFSET($M$15,0,0,$B$8,1))=FW$14))   /   SUM(OFFSET($BO$15,0,0,$B$14,1)) + $B$18/($B$19*$B$19*($DN40&lt;&gt;$DO40) + $B$19*($DN40=$DO40))</f>
        <v>3.7037037037037035E-4</v>
      </c>
      <c r="FX40" s="10" cm="1">
        <f t="array" aca="1" ref="FX40" ca="1">(1-$B$18)*SUMPRODUCT(OFFSET($BO$15,0,0,$B$14,1), 1*(_xlfn._xlws.FILTER(OFFSET($O$15,0,$DN40,$B$8,1),OFFSET($M$15,0,0,$B$8,1))=FX$13), 1*(_xlfn._xlws.FILTER(OFFSET($O$15,0,$DO40,$B$8,1),OFFSET($M$15,0,0,$B$8,1))=FX$14))   /   SUM(OFFSET($BO$15,0,0,$B$14,1)) + $B$18/($B$19*$B$19*($DN40&lt;&gt;$DO40) + $B$19*($DN40=$DO40))</f>
        <v>3.7037037037037035E-4</v>
      </c>
      <c r="FY40" s="10" cm="1">
        <f t="array" aca="1" ref="FY40" ca="1">(1-$B$18)*SUMPRODUCT(OFFSET($BO$15,0,0,$B$14,1), 1*(_xlfn._xlws.FILTER(OFFSET($O$15,0,$DN40,$B$8,1),OFFSET($M$15,0,0,$B$8,1))=FY$13), 1*(_xlfn._xlws.FILTER(OFFSET($O$15,0,$DO40,$B$8,1),OFFSET($M$15,0,0,$B$8,1))=FY$14))   /   SUM(OFFSET($BO$15,0,0,$B$14,1)) + $B$18/($B$19*$B$19*($DN40&lt;&gt;$DO40) + $B$19*($DN40=$DO40))</f>
        <v>3.7037037037037035E-4</v>
      </c>
      <c r="FZ40" s="10" cm="1">
        <f t="array" aca="1" ref="FZ40" ca="1">(1-$B$18)*SUMPRODUCT(OFFSET($BO$15,0,0,$B$14,1), 1*(_xlfn._xlws.FILTER(OFFSET($O$15,0,$DN40,$B$8,1),OFFSET($M$15,0,0,$B$8,1))=FZ$13), 1*(_xlfn._xlws.FILTER(OFFSET($O$15,0,$DO40,$B$8,1),OFFSET($M$15,0,0,$B$8,1))=FZ$14))   /   SUM(OFFSET($BO$15,0,0,$B$14,1)) + $B$18/($B$19*$B$19*($DN40&lt;&gt;$DO40) + $B$19*($DN40=$DO40))</f>
        <v>3.7037037037037035E-4</v>
      </c>
      <c r="GA40" s="10" cm="1">
        <f t="array" aca="1" ref="GA40" ca="1">(1-$B$18)*SUMPRODUCT(OFFSET($BO$15,0,0,$B$14,1), 1*(_xlfn._xlws.FILTER(OFFSET($O$15,0,$DN40,$B$8,1),OFFSET($M$15,0,0,$B$8,1))=GA$13), 1*(_xlfn._xlws.FILTER(OFFSET($O$15,0,$DO40,$B$8,1),OFFSET($M$15,0,0,$B$8,1))=GA$14))   /   SUM(OFFSET($BO$15,0,0,$B$14,1)) + $B$18/($B$19*$B$19*($DN40&lt;&gt;$DO40) + $B$19*($DN40=$DO40))</f>
        <v>3.7037037037037035E-4</v>
      </c>
    </row>
    <row r="41" spans="4:183" x14ac:dyDescent="0.2">
      <c r="AK41" s="2"/>
      <c r="AL41" s="2"/>
      <c r="DN41" cm="1">
        <f t="array" aca="1" ref="DN41" ca="1">INDEX(_xlfn.ANCHORARRAY($CP$15), 1 + INT((ROWS($DO$15:$DO41) - 1) / ROWS(_xlfn.ANCHORARRAY($CP$15))))</f>
        <v>1</v>
      </c>
      <c r="DO41" cm="1">
        <f t="array" aca="1" ref="DO41" ca="1">INDEX(_xlfn.ANCHORARRAY($CP$15),1+MOD(ROWS($DO$15:$DO41)-1,ROWS(_xlfn.ANCHORARRAY($CP$15))))</f>
        <v>7</v>
      </c>
      <c r="DP41" s="10" cm="1">
        <f t="array" aca="1" ref="DP41" ca="1">(1-$B$18)*SUMPRODUCT(OFFSET($BO$15,0,0,$B$14,1), 1*(_xlfn._xlws.FILTER(OFFSET($O$15,0,$DN41,$B$8,1),OFFSET($M$15,0,0,$B$8,1))=DP$13), 1*(_xlfn._xlws.FILTER(OFFSET($O$15,0,$DO41,$B$8,1),OFFSET($M$15,0,0,$B$8,1))=DP$14))   /   SUM(OFFSET($BO$15,0,0,$B$14,1)) + $B$18/($B$19*$B$19*($DN41&lt;&gt;$DO41) + $B$19*($DN41=$DO41))</f>
        <v>3.7037037037037035E-4</v>
      </c>
      <c r="DQ41" s="10" cm="1">
        <f t="array" aca="1" ref="DQ41" ca="1">(1-$B$18)*SUMPRODUCT(OFFSET($BO$15,0,0,$B$14,1), 1*(_xlfn._xlws.FILTER(OFFSET($O$15,0,$DN41,$B$8,1),OFFSET($M$15,0,0,$B$8,1))=DQ$13), 1*(_xlfn._xlws.FILTER(OFFSET($O$15,0,$DO41,$B$8,1),OFFSET($M$15,0,0,$B$8,1))=DQ$14))   /   SUM(OFFSET($BO$15,0,0,$B$14,1)) + $B$18/($B$19*$B$19*($DN41&lt;&gt;$DO41) + $B$19*($DN41=$DO41))</f>
        <v>3.7037037037037035E-4</v>
      </c>
      <c r="DR41" s="10" cm="1">
        <f t="array" aca="1" ref="DR41" ca="1">(1-$B$18)*SUMPRODUCT(OFFSET($BO$15,0,0,$B$14,1), 1*(_xlfn._xlws.FILTER(OFFSET($O$15,0,$DN41,$B$8,1),OFFSET($M$15,0,0,$B$8,1))=DR$13), 1*(_xlfn._xlws.FILTER(OFFSET($O$15,0,$DO41,$B$8,1),OFFSET($M$15,0,0,$B$8,1))=DR$14))   /   SUM(OFFSET($BO$15,0,0,$B$14,1)) + $B$18/($B$19*$B$19*($DN41&lt;&gt;$DO41) + $B$19*($DN41=$DO41))</f>
        <v>3.7037037037037035E-4</v>
      </c>
      <c r="DS41" s="10" cm="1">
        <f t="array" aca="1" ref="DS41" ca="1">(1-$B$18)*SUMPRODUCT(OFFSET($BO$15,0,0,$B$14,1), 1*(_xlfn._xlws.FILTER(OFFSET($O$15,0,$DN41,$B$8,1),OFFSET($M$15,0,0,$B$8,1))=DS$13), 1*(_xlfn._xlws.FILTER(OFFSET($O$15,0,$DO41,$B$8,1),OFFSET($M$15,0,0,$B$8,1))=DS$14))   /   SUM(OFFSET($BO$15,0,0,$B$14,1)) + $B$18/($B$19*$B$19*($DN41&lt;&gt;$DO41) + $B$19*($DN41=$DO41))</f>
        <v>3.7037037037037035E-4</v>
      </c>
      <c r="DT41" s="10" cm="1">
        <f t="array" aca="1" ref="DT41" ca="1">(1-$B$18)*SUMPRODUCT(OFFSET($BO$15,0,0,$B$14,1), 1*(_xlfn._xlws.FILTER(OFFSET($O$15,0,$DN41,$B$8,1),OFFSET($M$15,0,0,$B$8,1))=DT$13), 1*(_xlfn._xlws.FILTER(OFFSET($O$15,0,$DO41,$B$8,1),OFFSET($M$15,0,0,$B$8,1))=DT$14))   /   SUM(OFFSET($BO$15,0,0,$B$14,1)) + $B$18/($B$19*$B$19*($DN41&lt;&gt;$DO41) + $B$19*($DN41=$DO41))</f>
        <v>3.7037037037037035E-4</v>
      </c>
      <c r="DU41" s="10" cm="1">
        <f t="array" aca="1" ref="DU41" ca="1">(1-$B$18)*SUMPRODUCT(OFFSET($BO$15,0,0,$B$14,1), 1*(_xlfn._xlws.FILTER(OFFSET($O$15,0,$DN41,$B$8,1),OFFSET($M$15,0,0,$B$8,1))=DU$13), 1*(_xlfn._xlws.FILTER(OFFSET($O$15,0,$DO41,$B$8,1),OFFSET($M$15,0,0,$B$8,1))=DU$14))   /   SUM(OFFSET($BO$15,0,0,$B$14,1)) + $B$18/($B$19*$B$19*($DN41&lt;&gt;$DO41) + $B$19*($DN41=$DO41))</f>
        <v>3.7037037037037035E-4</v>
      </c>
      <c r="DV41" s="10" cm="1">
        <f t="array" aca="1" ref="DV41" ca="1">(1-$B$18)*SUMPRODUCT(OFFSET($BO$15,0,0,$B$14,1), 1*(_xlfn._xlws.FILTER(OFFSET($O$15,0,$DN41,$B$8,1),OFFSET($M$15,0,0,$B$8,1))=DV$13), 1*(_xlfn._xlws.FILTER(OFFSET($O$15,0,$DO41,$B$8,1),OFFSET($M$15,0,0,$B$8,1))=DV$14))   /   SUM(OFFSET($BO$15,0,0,$B$14,1)) + $B$18/($B$19*$B$19*($DN41&lt;&gt;$DO41) + $B$19*($DN41=$DO41))</f>
        <v>3.7037037037037035E-4</v>
      </c>
      <c r="DW41" s="10" cm="1">
        <f t="array" aca="1" ref="DW41" ca="1">(1-$B$18)*SUMPRODUCT(OFFSET($BO$15,0,0,$B$14,1), 1*(_xlfn._xlws.FILTER(OFFSET($O$15,0,$DN41,$B$8,1),OFFSET($M$15,0,0,$B$8,1))=DW$13), 1*(_xlfn._xlws.FILTER(OFFSET($O$15,0,$DO41,$B$8,1),OFFSET($M$15,0,0,$B$8,1))=DW$14))   /   SUM(OFFSET($BO$15,0,0,$B$14,1)) + $B$18/($B$19*$B$19*($DN41&lt;&gt;$DO41) + $B$19*($DN41=$DO41))</f>
        <v>3.7037037037037035E-4</v>
      </c>
      <c r="DX41" s="10" cm="1">
        <f t="array" aca="1" ref="DX41" ca="1">(1-$B$18)*SUMPRODUCT(OFFSET($BO$15,0,0,$B$14,1), 1*(_xlfn._xlws.FILTER(OFFSET($O$15,0,$DN41,$B$8,1),OFFSET($M$15,0,0,$B$8,1))=DX$13), 1*(_xlfn._xlws.FILTER(OFFSET($O$15,0,$DO41,$B$8,1),OFFSET($M$15,0,0,$B$8,1))=DX$14))   /   SUM(OFFSET($BO$15,0,0,$B$14,1)) + $B$18/($B$19*$B$19*($DN41&lt;&gt;$DO41) + $B$19*($DN41=$DO41))</f>
        <v>3.7037037037037035E-4</v>
      </c>
      <c r="DY41" s="10" cm="1">
        <f t="array" aca="1" ref="DY41" ca="1">(1-$B$18)*SUMPRODUCT(OFFSET($BO$15,0,0,$B$14,1), 1*(_xlfn._xlws.FILTER(OFFSET($O$15,0,$DN41,$B$8,1),OFFSET($M$15,0,0,$B$8,1))=DY$13), 1*(_xlfn._xlws.FILTER(OFFSET($O$15,0,$DO41,$B$8,1),OFFSET($M$15,0,0,$B$8,1))=DY$14))   /   SUM(OFFSET($BO$15,0,0,$B$14,1)) + $B$18/($B$19*$B$19*($DN41&lt;&gt;$DO41) + $B$19*($DN41=$DO41))</f>
        <v>3.7037037037037035E-4</v>
      </c>
      <c r="DZ41" s="10" cm="1">
        <f t="array" aca="1" ref="DZ41" ca="1">(1-$B$18)*SUMPRODUCT(OFFSET($BO$15,0,0,$B$14,1), 1*(_xlfn._xlws.FILTER(OFFSET($O$15,0,$DN41,$B$8,1),OFFSET($M$15,0,0,$B$8,1))=DZ$13), 1*(_xlfn._xlws.FILTER(OFFSET($O$15,0,$DO41,$B$8,1),OFFSET($M$15,0,0,$B$8,1))=DZ$14))   /   SUM(OFFSET($BO$15,0,0,$B$14,1)) + $B$18/($B$19*$B$19*($DN41&lt;&gt;$DO41) + $B$19*($DN41=$DO41))</f>
        <v>3.7037037037037035E-4</v>
      </c>
      <c r="EA41" s="10" cm="1">
        <f t="array" aca="1" ref="EA41" ca="1">(1-$B$18)*SUMPRODUCT(OFFSET($BO$15,0,0,$B$14,1), 1*(_xlfn._xlws.FILTER(OFFSET($O$15,0,$DN41,$B$8,1),OFFSET($M$15,0,0,$B$8,1))=EA$13), 1*(_xlfn._xlws.FILTER(OFFSET($O$15,0,$DO41,$B$8,1),OFFSET($M$15,0,0,$B$8,1))=EA$14))   /   SUM(OFFSET($BO$15,0,0,$B$14,1)) + $B$18/($B$19*$B$19*($DN41&lt;&gt;$DO41) + $B$19*($DN41=$DO41))</f>
        <v>3.7037037037037035E-4</v>
      </c>
      <c r="EB41" s="10" cm="1">
        <f t="array" aca="1" ref="EB41" ca="1">(1-$B$18)*SUMPRODUCT(OFFSET($BO$15,0,0,$B$14,1), 1*(_xlfn._xlws.FILTER(OFFSET($O$15,0,$DN41,$B$8,1),OFFSET($M$15,0,0,$B$8,1))=EB$13), 1*(_xlfn._xlws.FILTER(OFFSET($O$15,0,$DO41,$B$8,1),OFFSET($M$15,0,0,$B$8,1))=EB$14))   /   SUM(OFFSET($BO$15,0,0,$B$14,1)) + $B$18/($B$19*$B$19*($DN41&lt;&gt;$DO41) + $B$19*($DN41=$DO41))</f>
        <v>3.7037037037037035E-4</v>
      </c>
      <c r="EC41" s="10" cm="1">
        <f t="array" aca="1" ref="EC41" ca="1">(1-$B$18)*SUMPRODUCT(OFFSET($BO$15,0,0,$B$14,1), 1*(_xlfn._xlws.FILTER(OFFSET($O$15,0,$DN41,$B$8,1),OFFSET($M$15,0,0,$B$8,1))=EC$13), 1*(_xlfn._xlws.FILTER(OFFSET($O$15,0,$DO41,$B$8,1),OFFSET($M$15,0,0,$B$8,1))=EC$14))   /   SUM(OFFSET($BO$15,0,0,$B$14,1)) + $B$18/($B$19*$B$19*($DN41&lt;&gt;$DO41) + $B$19*($DN41=$DO41))</f>
        <v>3.7037037037037035E-4</v>
      </c>
      <c r="ED41" s="10" cm="1">
        <f t="array" aca="1" ref="ED41" ca="1">(1-$B$18)*SUMPRODUCT(OFFSET($BO$15,0,0,$B$14,1), 1*(_xlfn._xlws.FILTER(OFFSET($O$15,0,$DN41,$B$8,1),OFFSET($M$15,0,0,$B$8,1))=ED$13), 1*(_xlfn._xlws.FILTER(OFFSET($O$15,0,$DO41,$B$8,1),OFFSET($M$15,0,0,$B$8,1))=ED$14))   /   SUM(OFFSET($BO$15,0,0,$B$14,1)) + $B$18/($B$19*$B$19*($DN41&lt;&gt;$DO41) + $B$19*($DN41=$DO41))</f>
        <v>3.7037037037037035E-4</v>
      </c>
      <c r="EE41" s="10" cm="1">
        <f t="array" aca="1" ref="EE41" ca="1">(1-$B$18)*SUMPRODUCT(OFFSET($BO$15,0,0,$B$14,1), 1*(_xlfn._xlws.FILTER(OFFSET($O$15,0,$DN41,$B$8,1),OFFSET($M$15,0,0,$B$8,1))=EE$13), 1*(_xlfn._xlws.FILTER(OFFSET($O$15,0,$DO41,$B$8,1),OFFSET($M$15,0,0,$B$8,1))=EE$14))   /   SUM(OFFSET($BO$15,0,0,$B$14,1)) + $B$18/($B$19*$B$19*($DN41&lt;&gt;$DO41) + $B$19*($DN41=$DO41))</f>
        <v>3.7037037037037035E-4</v>
      </c>
      <c r="EF41" s="10" cm="1">
        <f t="array" aca="1" ref="EF41" ca="1">(1-$B$18)*SUMPRODUCT(OFFSET($BO$15,0,0,$B$14,1), 1*(_xlfn._xlws.FILTER(OFFSET($O$15,0,$DN41,$B$8,1),OFFSET($M$15,0,0,$B$8,1))=EF$13), 1*(_xlfn._xlws.FILTER(OFFSET($O$15,0,$DO41,$B$8,1),OFFSET($M$15,0,0,$B$8,1))=EF$14))   /   SUM(OFFSET($BO$15,0,0,$B$14,1)) + $B$18/($B$19*$B$19*($DN41&lt;&gt;$DO41) + $B$19*($DN41=$DO41))</f>
        <v>3.7037037037037035E-4</v>
      </c>
      <c r="EG41" s="10" cm="1">
        <f t="array" aca="1" ref="EG41" ca="1">(1-$B$18)*SUMPRODUCT(OFFSET($BO$15,0,0,$B$14,1), 1*(_xlfn._xlws.FILTER(OFFSET($O$15,0,$DN41,$B$8,1),OFFSET($M$15,0,0,$B$8,1))=EG$13), 1*(_xlfn._xlws.FILTER(OFFSET($O$15,0,$DO41,$B$8,1),OFFSET($M$15,0,0,$B$8,1))=EG$14))   /   SUM(OFFSET($BO$15,0,0,$B$14,1)) + $B$18/($B$19*$B$19*($DN41&lt;&gt;$DO41) + $B$19*($DN41=$DO41))</f>
        <v>3.7037037037037035E-4</v>
      </c>
      <c r="EH41" s="10" cm="1">
        <f t="array" aca="1" ref="EH41" ca="1">(1-$B$18)*SUMPRODUCT(OFFSET($BO$15,0,0,$B$14,1), 1*(_xlfn._xlws.FILTER(OFFSET($O$15,0,$DN41,$B$8,1),OFFSET($M$15,0,0,$B$8,1))=EH$13), 1*(_xlfn._xlws.FILTER(OFFSET($O$15,0,$DO41,$B$8,1),OFFSET($M$15,0,0,$B$8,1))=EH$14))   /   SUM(OFFSET($BO$15,0,0,$B$14,1)) + $B$18/($B$19*$B$19*($DN41&lt;&gt;$DO41) + $B$19*($DN41=$DO41))</f>
        <v>3.7037037037037035E-4</v>
      </c>
      <c r="EI41" s="10" cm="1">
        <f t="array" aca="1" ref="EI41" ca="1">(1-$B$18)*SUMPRODUCT(OFFSET($BO$15,0,0,$B$14,1), 1*(_xlfn._xlws.FILTER(OFFSET($O$15,0,$DN41,$B$8,1),OFFSET($M$15,0,0,$B$8,1))=EI$13), 1*(_xlfn._xlws.FILTER(OFFSET($O$15,0,$DO41,$B$8,1),OFFSET($M$15,0,0,$B$8,1))=EI$14))   /   SUM(OFFSET($BO$15,0,0,$B$14,1)) + $B$18/($B$19*$B$19*($DN41&lt;&gt;$DO41) + $B$19*($DN41=$DO41))</f>
        <v>3.7037037037037035E-4</v>
      </c>
      <c r="EJ41" s="10" cm="1">
        <f t="array" aca="1" ref="EJ41" ca="1">(1-$B$18)*SUMPRODUCT(OFFSET($BO$15,0,0,$B$14,1), 1*(_xlfn._xlws.FILTER(OFFSET($O$15,0,$DN41,$B$8,1),OFFSET($M$15,0,0,$B$8,1))=EJ$13), 1*(_xlfn._xlws.FILTER(OFFSET($O$15,0,$DO41,$B$8,1),OFFSET($M$15,0,0,$B$8,1))=EJ$14))   /   SUM(OFFSET($BO$15,0,0,$B$14,1)) + $B$18/($B$19*$B$19*($DN41&lt;&gt;$DO41) + $B$19*($DN41=$DO41))</f>
        <v>3.7037037037037035E-4</v>
      </c>
      <c r="EK41" s="10" cm="1">
        <f t="array" aca="1" ref="EK41" ca="1">(1-$B$18)*SUMPRODUCT(OFFSET($BO$15,0,0,$B$14,1), 1*(_xlfn._xlws.FILTER(OFFSET($O$15,0,$DN41,$B$8,1),OFFSET($M$15,0,0,$B$8,1))=EK$13), 1*(_xlfn._xlws.FILTER(OFFSET($O$15,0,$DO41,$B$8,1),OFFSET($M$15,0,0,$B$8,1))=EK$14))   /   SUM(OFFSET($BO$15,0,0,$B$14,1)) + $B$18/($B$19*$B$19*($DN41&lt;&gt;$DO41) + $B$19*($DN41=$DO41))</f>
        <v>3.7037037037037035E-4</v>
      </c>
      <c r="EL41" s="10" cm="1">
        <f t="array" aca="1" ref="EL41" ca="1">(1-$B$18)*SUMPRODUCT(OFFSET($BO$15,0,0,$B$14,1), 1*(_xlfn._xlws.FILTER(OFFSET($O$15,0,$DN41,$B$8,1),OFFSET($M$15,0,0,$B$8,1))=EL$13), 1*(_xlfn._xlws.FILTER(OFFSET($O$15,0,$DO41,$B$8,1),OFFSET($M$15,0,0,$B$8,1))=EL$14))   /   SUM(OFFSET($BO$15,0,0,$B$14,1)) + $B$18/($B$19*$B$19*($DN41&lt;&gt;$DO41) + $B$19*($DN41=$DO41))</f>
        <v>3.7037037037037035E-4</v>
      </c>
      <c r="EM41" s="10" cm="1">
        <f t="array" aca="1" ref="EM41" ca="1">(1-$B$18)*SUMPRODUCT(OFFSET($BO$15,0,0,$B$14,1), 1*(_xlfn._xlws.FILTER(OFFSET($O$15,0,$DN41,$B$8,1),OFFSET($M$15,0,0,$B$8,1))=EM$13), 1*(_xlfn._xlws.FILTER(OFFSET($O$15,0,$DO41,$B$8,1),OFFSET($M$15,0,0,$B$8,1))=EM$14))   /   SUM(OFFSET($BO$15,0,0,$B$14,1)) + $B$18/($B$19*$B$19*($DN41&lt;&gt;$DO41) + $B$19*($DN41=$DO41))</f>
        <v>3.7037037037037035E-4</v>
      </c>
      <c r="EN41" s="10" cm="1">
        <f t="array" aca="1" ref="EN41" ca="1">(1-$B$18)*SUMPRODUCT(OFFSET($BO$15,0,0,$B$14,1), 1*(_xlfn._xlws.FILTER(OFFSET($O$15,0,$DN41,$B$8,1),OFFSET($M$15,0,0,$B$8,1))=EN$13), 1*(_xlfn._xlws.FILTER(OFFSET($O$15,0,$DO41,$B$8,1),OFFSET($M$15,0,0,$B$8,1))=EN$14))   /   SUM(OFFSET($BO$15,0,0,$B$14,1)) + $B$18/($B$19*$B$19*($DN41&lt;&gt;$DO41) + $B$19*($DN41=$DO41))</f>
        <v>3.7037037037037035E-4</v>
      </c>
      <c r="EO41" s="10" cm="1">
        <f t="array" aca="1" ref="EO41" ca="1">(1-$B$18)*SUMPRODUCT(OFFSET($BO$15,0,0,$B$14,1), 1*(_xlfn._xlws.FILTER(OFFSET($O$15,0,$DN41,$B$8,1),OFFSET($M$15,0,0,$B$8,1))=EO$13), 1*(_xlfn._xlws.FILTER(OFFSET($O$15,0,$DO41,$B$8,1),OFFSET($M$15,0,0,$B$8,1))=EO$14))   /   SUM(OFFSET($BO$15,0,0,$B$14,1)) + $B$18/($B$19*$B$19*($DN41&lt;&gt;$DO41) + $B$19*($DN41=$DO41))</f>
        <v>3.7037037037037035E-4</v>
      </c>
      <c r="EP41" s="10" cm="1">
        <f t="array" aca="1" ref="EP41" ca="1">(1-$B$18)*SUMPRODUCT(OFFSET($BO$15,0,0,$B$14,1), 1*(_xlfn._xlws.FILTER(OFFSET($O$15,0,$DN41,$B$8,1),OFFSET($M$15,0,0,$B$8,1))=EP$13), 1*(_xlfn._xlws.FILTER(OFFSET($O$15,0,$DO41,$B$8,1),OFFSET($M$15,0,0,$B$8,1))=EP$14))   /   SUM(OFFSET($BO$15,0,0,$B$14,1)) + $B$18/($B$19*$B$19*($DN41&lt;&gt;$DO41) + $B$19*($DN41=$DO41))</f>
        <v>3.7037037037037035E-4</v>
      </c>
      <c r="EQ41" s="10" cm="1">
        <f t="array" aca="1" ref="EQ41" ca="1">(1-$B$18)*SUMPRODUCT(OFFSET($BO$15,0,0,$B$14,1), 1*(_xlfn._xlws.FILTER(OFFSET($O$15,0,$DN41,$B$8,1),OFFSET($M$15,0,0,$B$8,1))=EQ$13), 1*(_xlfn._xlws.FILTER(OFFSET($O$15,0,$DO41,$B$8,1),OFFSET($M$15,0,0,$B$8,1))=EQ$14))   /   SUM(OFFSET($BO$15,0,0,$B$14,1)) + $B$18/($B$19*$B$19*($DN41&lt;&gt;$DO41) + $B$19*($DN41=$DO41))</f>
        <v>3.7037037037037035E-4</v>
      </c>
      <c r="ER41" s="10" cm="1">
        <f t="array" aca="1" ref="ER41" ca="1">(1-$B$18)*SUMPRODUCT(OFFSET($BO$15,0,0,$B$14,1), 1*(_xlfn._xlws.FILTER(OFFSET($O$15,0,$DN41,$B$8,1),OFFSET($M$15,0,0,$B$8,1))=ER$13), 1*(_xlfn._xlws.FILTER(OFFSET($O$15,0,$DO41,$B$8,1),OFFSET($M$15,0,0,$B$8,1))=ER$14))   /   SUM(OFFSET($BO$15,0,0,$B$14,1)) + $B$18/($B$19*$B$19*($DN41&lt;&gt;$DO41) + $B$19*($DN41=$DO41))</f>
        <v>3.7037037037037035E-4</v>
      </c>
      <c r="ES41" s="10" cm="1">
        <f t="array" aca="1" ref="ES41" ca="1">(1-$B$18)*SUMPRODUCT(OFFSET($BO$15,0,0,$B$14,1), 1*(_xlfn._xlws.FILTER(OFFSET($O$15,0,$DN41,$B$8,1),OFFSET($M$15,0,0,$B$8,1))=ES$13), 1*(_xlfn._xlws.FILTER(OFFSET($O$15,0,$DO41,$B$8,1),OFFSET($M$15,0,0,$B$8,1))=ES$14))   /   SUM(OFFSET($BO$15,0,0,$B$14,1)) + $B$18/($B$19*$B$19*($DN41&lt;&gt;$DO41) + $B$19*($DN41=$DO41))</f>
        <v>3.7037037037037035E-4</v>
      </c>
      <c r="ET41" s="10" cm="1">
        <f t="array" aca="1" ref="ET41" ca="1">(1-$B$18)*SUMPRODUCT(OFFSET($BO$15,0,0,$B$14,1), 1*(_xlfn._xlws.FILTER(OFFSET($O$15,0,$DN41,$B$8,1),OFFSET($M$15,0,0,$B$8,1))=ET$13), 1*(_xlfn._xlws.FILTER(OFFSET($O$15,0,$DO41,$B$8,1),OFFSET($M$15,0,0,$B$8,1))=ET$14))   /   SUM(OFFSET($BO$15,0,0,$B$14,1)) + $B$18/($B$19*$B$19*($DN41&lt;&gt;$DO41) + $B$19*($DN41=$DO41))</f>
        <v>3.7037037037037035E-4</v>
      </c>
      <c r="EU41" s="10" cm="1">
        <f t="array" aca="1" ref="EU41" ca="1">(1-$B$18)*SUMPRODUCT(OFFSET($BO$15,0,0,$B$14,1), 1*(_xlfn._xlws.FILTER(OFFSET($O$15,0,$DN41,$B$8,1),OFFSET($M$15,0,0,$B$8,1))=EU$13), 1*(_xlfn._xlws.FILTER(OFFSET($O$15,0,$DO41,$B$8,1),OFFSET($M$15,0,0,$B$8,1))=EU$14))   /   SUM(OFFSET($BO$15,0,0,$B$14,1)) + $B$18/($B$19*$B$19*($DN41&lt;&gt;$DO41) + $B$19*($DN41=$DO41))</f>
        <v>3.7037037037037035E-4</v>
      </c>
      <c r="EV41" s="10" cm="1">
        <f t="array" aca="1" ref="EV41" ca="1">(1-$B$18)*SUMPRODUCT(OFFSET($BO$15,0,0,$B$14,1), 1*(_xlfn._xlws.FILTER(OFFSET($O$15,0,$DN41,$B$8,1),OFFSET($M$15,0,0,$B$8,1))=EV$13), 1*(_xlfn._xlws.FILTER(OFFSET($O$15,0,$DO41,$B$8,1),OFFSET($M$15,0,0,$B$8,1))=EV$14))   /   SUM(OFFSET($BO$15,0,0,$B$14,1)) + $B$18/($B$19*$B$19*($DN41&lt;&gt;$DO41) + $B$19*($DN41=$DO41))</f>
        <v>3.7037037037037035E-4</v>
      </c>
      <c r="EW41" s="10" cm="1">
        <f t="array" aca="1" ref="EW41" ca="1">(1-$B$18)*SUMPRODUCT(OFFSET($BO$15,0,0,$B$14,1), 1*(_xlfn._xlws.FILTER(OFFSET($O$15,0,$DN41,$B$8,1),OFFSET($M$15,0,0,$B$8,1))=EW$13), 1*(_xlfn._xlws.FILTER(OFFSET($O$15,0,$DO41,$B$8,1),OFFSET($M$15,0,0,$B$8,1))=EW$14))   /   SUM(OFFSET($BO$15,0,0,$B$14,1)) + $B$18/($B$19*$B$19*($DN41&lt;&gt;$DO41) + $B$19*($DN41=$DO41))</f>
        <v>3.7037037037037035E-4</v>
      </c>
      <c r="EX41" s="10" cm="1">
        <f t="array" aca="1" ref="EX41" ca="1">(1-$B$18)*SUMPRODUCT(OFFSET($BO$15,0,0,$B$14,1), 1*(_xlfn._xlws.FILTER(OFFSET($O$15,0,$DN41,$B$8,1),OFFSET($M$15,0,0,$B$8,1))=EX$13), 1*(_xlfn._xlws.FILTER(OFFSET($O$15,0,$DO41,$B$8,1),OFFSET($M$15,0,0,$B$8,1))=EX$14))   /   SUM(OFFSET($BO$15,0,0,$B$14,1)) + $B$18/($B$19*$B$19*($DN41&lt;&gt;$DO41) + $B$19*($DN41=$DO41))</f>
        <v>3.7037037037037035E-4</v>
      </c>
      <c r="EY41" s="10" cm="1">
        <f t="array" aca="1" ref="EY41" ca="1">(1-$B$18)*SUMPRODUCT(OFFSET($BO$15,0,0,$B$14,1), 1*(_xlfn._xlws.FILTER(OFFSET($O$15,0,$DN41,$B$8,1),OFFSET($M$15,0,0,$B$8,1))=EY$13), 1*(_xlfn._xlws.FILTER(OFFSET($O$15,0,$DO41,$B$8,1),OFFSET($M$15,0,0,$B$8,1))=EY$14))   /   SUM(OFFSET($BO$15,0,0,$B$14,1)) + $B$18/($B$19*$B$19*($DN41&lt;&gt;$DO41) + $B$19*($DN41=$DO41))</f>
        <v>3.7037037037037035E-4</v>
      </c>
      <c r="EZ41" s="10" cm="1">
        <f t="array" aca="1" ref="EZ41" ca="1">(1-$B$18)*SUMPRODUCT(OFFSET($BO$15,0,0,$B$14,1), 1*(_xlfn._xlws.FILTER(OFFSET($O$15,0,$DN41,$B$8,1),OFFSET($M$15,0,0,$B$8,1))=EZ$13), 1*(_xlfn._xlws.FILTER(OFFSET($O$15,0,$DO41,$B$8,1),OFFSET($M$15,0,0,$B$8,1))=EZ$14))   /   SUM(OFFSET($BO$15,0,0,$B$14,1)) + $B$18/($B$19*$B$19*($DN41&lt;&gt;$DO41) + $B$19*($DN41=$DO41))</f>
        <v>3.7037037037037035E-4</v>
      </c>
      <c r="FA41" s="10" cm="1">
        <f t="array" aca="1" ref="FA41" ca="1">(1-$B$18)*SUMPRODUCT(OFFSET($BO$15,0,0,$B$14,1), 1*(_xlfn._xlws.FILTER(OFFSET($O$15,0,$DN41,$B$8,1),OFFSET($M$15,0,0,$B$8,1))=FA$13), 1*(_xlfn._xlws.FILTER(OFFSET($O$15,0,$DO41,$B$8,1),OFFSET($M$15,0,0,$B$8,1))=FA$14))   /   SUM(OFFSET($BO$15,0,0,$B$14,1)) + $B$18/($B$19*$B$19*($DN41&lt;&gt;$DO41) + $B$19*($DN41=$DO41))</f>
        <v>3.7037037037037035E-4</v>
      </c>
      <c r="FB41" s="10" cm="1">
        <f t="array" aca="1" ref="FB41" ca="1">(1-$B$18)*SUMPRODUCT(OFFSET($BO$15,0,0,$B$14,1), 1*(_xlfn._xlws.FILTER(OFFSET($O$15,0,$DN41,$B$8,1),OFFSET($M$15,0,0,$B$8,1))=FB$13), 1*(_xlfn._xlws.FILTER(OFFSET($O$15,0,$DO41,$B$8,1),OFFSET($M$15,0,0,$B$8,1))=FB$14))   /   SUM(OFFSET($BO$15,0,0,$B$14,1)) + $B$18/($B$19*$B$19*($DN41&lt;&gt;$DO41) + $B$19*($DN41=$DO41))</f>
        <v>3.7037037037037035E-4</v>
      </c>
      <c r="FC41" s="10" cm="1">
        <f t="array" aca="1" ref="FC41" ca="1">(1-$B$18)*SUMPRODUCT(OFFSET($BO$15,0,0,$B$14,1), 1*(_xlfn._xlws.FILTER(OFFSET($O$15,0,$DN41,$B$8,1),OFFSET($M$15,0,0,$B$8,1))=FC$13), 1*(_xlfn._xlws.FILTER(OFFSET($O$15,0,$DO41,$B$8,1),OFFSET($M$15,0,0,$B$8,1))=FC$14))   /   SUM(OFFSET($BO$15,0,0,$B$14,1)) + $B$18/($B$19*$B$19*($DN41&lt;&gt;$DO41) + $B$19*($DN41=$DO41))</f>
        <v>3.7037037037037035E-4</v>
      </c>
      <c r="FD41" s="10" cm="1">
        <f t="array" aca="1" ref="FD41" ca="1">(1-$B$18)*SUMPRODUCT(OFFSET($BO$15,0,0,$B$14,1), 1*(_xlfn._xlws.FILTER(OFFSET($O$15,0,$DN41,$B$8,1),OFFSET($M$15,0,0,$B$8,1))=FD$13), 1*(_xlfn._xlws.FILTER(OFFSET($O$15,0,$DO41,$B$8,1),OFFSET($M$15,0,0,$B$8,1))=FD$14))   /   SUM(OFFSET($BO$15,0,0,$B$14,1)) + $B$18/($B$19*$B$19*($DN41&lt;&gt;$DO41) + $B$19*($DN41=$DO41))</f>
        <v>3.7037037037037035E-4</v>
      </c>
      <c r="FE41" s="10" cm="1">
        <f t="array" aca="1" ref="FE41" ca="1">(1-$B$18)*SUMPRODUCT(OFFSET($BO$15,0,0,$B$14,1), 1*(_xlfn._xlws.FILTER(OFFSET($O$15,0,$DN41,$B$8,1),OFFSET($M$15,0,0,$B$8,1))=FE$13), 1*(_xlfn._xlws.FILTER(OFFSET($O$15,0,$DO41,$B$8,1),OFFSET($M$15,0,0,$B$8,1))=FE$14))   /   SUM(OFFSET($BO$15,0,0,$B$14,1)) + $B$18/($B$19*$B$19*($DN41&lt;&gt;$DO41) + $B$19*($DN41=$DO41))</f>
        <v>3.7037037037037035E-4</v>
      </c>
      <c r="FF41" s="10" cm="1">
        <f t="array" aca="1" ref="FF41" ca="1">(1-$B$18)*SUMPRODUCT(OFFSET($BO$15,0,0,$B$14,1), 1*(_xlfn._xlws.FILTER(OFFSET($O$15,0,$DN41,$B$8,1),OFFSET($M$15,0,0,$B$8,1))=FF$13), 1*(_xlfn._xlws.FILTER(OFFSET($O$15,0,$DO41,$B$8,1),OFFSET($M$15,0,0,$B$8,1))=FF$14))   /   SUM(OFFSET($BO$15,0,0,$B$14,1)) + $B$18/($B$19*$B$19*($DN41&lt;&gt;$DO41) + $B$19*($DN41=$DO41))</f>
        <v>3.7037037037037035E-4</v>
      </c>
      <c r="FG41" s="10" cm="1">
        <f t="array" aca="1" ref="FG41" ca="1">(1-$B$18)*SUMPRODUCT(OFFSET($BO$15,0,0,$B$14,1), 1*(_xlfn._xlws.FILTER(OFFSET($O$15,0,$DN41,$B$8,1),OFFSET($M$15,0,0,$B$8,1))=FG$13), 1*(_xlfn._xlws.FILTER(OFFSET($O$15,0,$DO41,$B$8,1),OFFSET($M$15,0,0,$B$8,1))=FG$14))   /   SUM(OFFSET($BO$15,0,0,$B$14,1)) + $B$18/($B$19*$B$19*($DN41&lt;&gt;$DO41) + $B$19*($DN41=$DO41))</f>
        <v>3.7037037037037035E-4</v>
      </c>
      <c r="FH41" s="10" cm="1">
        <f t="array" aca="1" ref="FH41" ca="1">(1-$B$18)*SUMPRODUCT(OFFSET($BO$15,0,0,$B$14,1), 1*(_xlfn._xlws.FILTER(OFFSET($O$15,0,$DN41,$B$8,1),OFFSET($M$15,0,0,$B$8,1))=FH$13), 1*(_xlfn._xlws.FILTER(OFFSET($O$15,0,$DO41,$B$8,1),OFFSET($M$15,0,0,$B$8,1))=FH$14))   /   SUM(OFFSET($BO$15,0,0,$B$14,1)) + $B$18/($B$19*$B$19*($DN41&lt;&gt;$DO41) + $B$19*($DN41=$DO41))</f>
        <v>3.7037037037037035E-4</v>
      </c>
      <c r="FI41" s="10" cm="1">
        <f t="array" aca="1" ref="FI41" ca="1">(1-$B$18)*SUMPRODUCT(OFFSET($BO$15,0,0,$B$14,1), 1*(_xlfn._xlws.FILTER(OFFSET($O$15,0,$DN41,$B$8,1),OFFSET($M$15,0,0,$B$8,1))=FI$13), 1*(_xlfn._xlws.FILTER(OFFSET($O$15,0,$DO41,$B$8,1),OFFSET($M$15,0,0,$B$8,1))=FI$14))   /   SUM(OFFSET($BO$15,0,0,$B$14,1)) + $B$18/($B$19*$B$19*($DN41&lt;&gt;$DO41) + $B$19*($DN41=$DO41))</f>
        <v>3.7037037037037035E-4</v>
      </c>
      <c r="FJ41" s="10" cm="1">
        <f t="array" aca="1" ref="FJ41" ca="1">(1-$B$18)*SUMPRODUCT(OFFSET($BO$15,0,0,$B$14,1), 1*(_xlfn._xlws.FILTER(OFFSET($O$15,0,$DN41,$B$8,1),OFFSET($M$15,0,0,$B$8,1))=FJ$13), 1*(_xlfn._xlws.FILTER(OFFSET($O$15,0,$DO41,$B$8,1),OFFSET($M$15,0,0,$B$8,1))=FJ$14))   /   SUM(OFFSET($BO$15,0,0,$B$14,1)) + $B$18/($B$19*$B$19*($DN41&lt;&gt;$DO41) + $B$19*($DN41=$DO41))</f>
        <v>3.7037037037037035E-4</v>
      </c>
      <c r="FK41" s="10" cm="1">
        <f t="array" aca="1" ref="FK41" ca="1">(1-$B$18)*SUMPRODUCT(OFFSET($BO$15,0,0,$B$14,1), 1*(_xlfn._xlws.FILTER(OFFSET($O$15,0,$DN41,$B$8,1),OFFSET($M$15,0,0,$B$8,1))=FK$13), 1*(_xlfn._xlws.FILTER(OFFSET($O$15,0,$DO41,$B$8,1),OFFSET($M$15,0,0,$B$8,1))=FK$14))   /   SUM(OFFSET($BO$15,0,0,$B$14,1)) + $B$18/($B$19*$B$19*($DN41&lt;&gt;$DO41) + $B$19*($DN41=$DO41))</f>
        <v>3.7037037037037035E-4</v>
      </c>
      <c r="FL41" s="10" cm="1">
        <f t="array" aca="1" ref="FL41" ca="1">(1-$B$18)*SUMPRODUCT(OFFSET($BO$15,0,0,$B$14,1), 1*(_xlfn._xlws.FILTER(OFFSET($O$15,0,$DN41,$B$8,1),OFFSET($M$15,0,0,$B$8,1))=FL$13), 1*(_xlfn._xlws.FILTER(OFFSET($O$15,0,$DO41,$B$8,1),OFFSET($M$15,0,0,$B$8,1))=FL$14))   /   SUM(OFFSET($BO$15,0,0,$B$14,1)) + $B$18/($B$19*$B$19*($DN41&lt;&gt;$DO41) + $B$19*($DN41=$DO41))</f>
        <v>3.7037037037037035E-4</v>
      </c>
      <c r="FM41" s="10" cm="1">
        <f t="array" aca="1" ref="FM41" ca="1">(1-$B$18)*SUMPRODUCT(OFFSET($BO$15,0,0,$B$14,1), 1*(_xlfn._xlws.FILTER(OFFSET($O$15,0,$DN41,$B$8,1),OFFSET($M$15,0,0,$B$8,1))=FM$13), 1*(_xlfn._xlws.FILTER(OFFSET($O$15,0,$DO41,$B$8,1),OFFSET($M$15,0,0,$B$8,1))=FM$14))   /   SUM(OFFSET($BO$15,0,0,$B$14,1)) + $B$18/($B$19*$B$19*($DN41&lt;&gt;$DO41) + $B$19*($DN41=$DO41))</f>
        <v>3.7037037037037035E-4</v>
      </c>
      <c r="FN41" s="10" cm="1">
        <f t="array" aca="1" ref="FN41" ca="1">(1-$B$18)*SUMPRODUCT(OFFSET($BO$15,0,0,$B$14,1), 1*(_xlfn._xlws.FILTER(OFFSET($O$15,0,$DN41,$B$8,1),OFFSET($M$15,0,0,$B$8,1))=FN$13), 1*(_xlfn._xlws.FILTER(OFFSET($O$15,0,$DO41,$B$8,1),OFFSET($M$15,0,0,$B$8,1))=FN$14))   /   SUM(OFFSET($BO$15,0,0,$B$14,1)) + $B$18/($B$19*$B$19*($DN41&lt;&gt;$DO41) + $B$19*($DN41=$DO41))</f>
        <v>3.7037037037037035E-4</v>
      </c>
      <c r="FO41" s="10" cm="1">
        <f t="array" aca="1" ref="FO41" ca="1">(1-$B$18)*SUMPRODUCT(OFFSET($BO$15,0,0,$B$14,1), 1*(_xlfn._xlws.FILTER(OFFSET($O$15,0,$DN41,$B$8,1),OFFSET($M$15,0,0,$B$8,1))=FO$13), 1*(_xlfn._xlws.FILTER(OFFSET($O$15,0,$DO41,$B$8,1),OFFSET($M$15,0,0,$B$8,1))=FO$14))   /   SUM(OFFSET($BO$15,0,0,$B$14,1)) + $B$18/($B$19*$B$19*($DN41&lt;&gt;$DO41) + $B$19*($DN41=$DO41))</f>
        <v>3.7037037037037035E-4</v>
      </c>
      <c r="FP41" s="10" cm="1">
        <f t="array" aca="1" ref="FP41" ca="1">(1-$B$18)*SUMPRODUCT(OFFSET($BO$15,0,0,$B$14,1), 1*(_xlfn._xlws.FILTER(OFFSET($O$15,0,$DN41,$B$8,1),OFFSET($M$15,0,0,$B$8,1))=FP$13), 1*(_xlfn._xlws.FILTER(OFFSET($O$15,0,$DO41,$B$8,1),OFFSET($M$15,0,0,$B$8,1))=FP$14))   /   SUM(OFFSET($BO$15,0,0,$B$14,1)) + $B$18/($B$19*$B$19*($DN41&lt;&gt;$DO41) + $B$19*($DN41=$DO41))</f>
        <v>3.7037037037037035E-4</v>
      </c>
      <c r="FQ41" s="10" cm="1">
        <f t="array" aca="1" ref="FQ41" ca="1">(1-$B$18)*SUMPRODUCT(OFFSET($BO$15,0,0,$B$14,1), 1*(_xlfn._xlws.FILTER(OFFSET($O$15,0,$DN41,$B$8,1),OFFSET($M$15,0,0,$B$8,1))=FQ$13), 1*(_xlfn._xlws.FILTER(OFFSET($O$15,0,$DO41,$B$8,1),OFFSET($M$15,0,0,$B$8,1))=FQ$14))   /   SUM(OFFSET($BO$15,0,0,$B$14,1)) + $B$18/($B$19*$B$19*($DN41&lt;&gt;$DO41) + $B$19*($DN41=$DO41))</f>
        <v>3.7037037037037035E-4</v>
      </c>
      <c r="FR41" s="10" cm="1">
        <f t="array" aca="1" ref="FR41" ca="1">(1-$B$18)*SUMPRODUCT(OFFSET($BO$15,0,0,$B$14,1), 1*(_xlfn._xlws.FILTER(OFFSET($O$15,0,$DN41,$B$8,1),OFFSET($M$15,0,0,$B$8,1))=FR$13), 1*(_xlfn._xlws.FILTER(OFFSET($O$15,0,$DO41,$B$8,1),OFFSET($M$15,0,0,$B$8,1))=FR$14))   /   SUM(OFFSET($BO$15,0,0,$B$14,1)) + $B$18/($B$19*$B$19*($DN41&lt;&gt;$DO41) + $B$19*($DN41=$DO41))</f>
        <v>0.97037037037037033</v>
      </c>
      <c r="FS41" s="10" cm="1">
        <f t="array" aca="1" ref="FS41" ca="1">(1-$B$18)*SUMPRODUCT(OFFSET($BO$15,0,0,$B$14,1), 1*(_xlfn._xlws.FILTER(OFFSET($O$15,0,$DN41,$B$8,1),OFFSET($M$15,0,0,$B$8,1))=FS$13), 1*(_xlfn._xlws.FILTER(OFFSET($O$15,0,$DO41,$B$8,1),OFFSET($M$15,0,0,$B$8,1))=FS$14))   /   SUM(OFFSET($BO$15,0,0,$B$14,1)) + $B$18/($B$19*$B$19*($DN41&lt;&gt;$DO41) + $B$19*($DN41=$DO41))</f>
        <v>3.7037037037037035E-4</v>
      </c>
      <c r="FT41" s="10" cm="1">
        <f t="array" aca="1" ref="FT41" ca="1">(1-$B$18)*SUMPRODUCT(OFFSET($BO$15,0,0,$B$14,1), 1*(_xlfn._xlws.FILTER(OFFSET($O$15,0,$DN41,$B$8,1),OFFSET($M$15,0,0,$B$8,1))=FT$13), 1*(_xlfn._xlws.FILTER(OFFSET($O$15,0,$DO41,$B$8,1),OFFSET($M$15,0,0,$B$8,1))=FT$14))   /   SUM(OFFSET($BO$15,0,0,$B$14,1)) + $B$18/($B$19*$B$19*($DN41&lt;&gt;$DO41) + $B$19*($DN41=$DO41))</f>
        <v>3.7037037037037035E-4</v>
      </c>
      <c r="FU41" s="10" cm="1">
        <f t="array" aca="1" ref="FU41" ca="1">(1-$B$18)*SUMPRODUCT(OFFSET($BO$15,0,0,$B$14,1), 1*(_xlfn._xlws.FILTER(OFFSET($O$15,0,$DN41,$B$8,1),OFFSET($M$15,0,0,$B$8,1))=FU$13), 1*(_xlfn._xlws.FILTER(OFFSET($O$15,0,$DO41,$B$8,1),OFFSET($M$15,0,0,$B$8,1))=FU$14))   /   SUM(OFFSET($BO$15,0,0,$B$14,1)) + $B$18/($B$19*$B$19*($DN41&lt;&gt;$DO41) + $B$19*($DN41=$DO41))</f>
        <v>3.7037037037037035E-4</v>
      </c>
      <c r="FV41" s="10" cm="1">
        <f t="array" aca="1" ref="FV41" ca="1">(1-$B$18)*SUMPRODUCT(OFFSET($BO$15,0,0,$B$14,1), 1*(_xlfn._xlws.FILTER(OFFSET($O$15,0,$DN41,$B$8,1),OFFSET($M$15,0,0,$B$8,1))=FV$13), 1*(_xlfn._xlws.FILTER(OFFSET($O$15,0,$DO41,$B$8,1),OFFSET($M$15,0,0,$B$8,1))=FV$14))   /   SUM(OFFSET($BO$15,0,0,$B$14,1)) + $B$18/($B$19*$B$19*($DN41&lt;&gt;$DO41) + $B$19*($DN41=$DO41))</f>
        <v>3.7037037037037035E-4</v>
      </c>
      <c r="FW41" s="10" cm="1">
        <f t="array" aca="1" ref="FW41" ca="1">(1-$B$18)*SUMPRODUCT(OFFSET($BO$15,0,0,$B$14,1), 1*(_xlfn._xlws.FILTER(OFFSET($O$15,0,$DN41,$B$8,1),OFFSET($M$15,0,0,$B$8,1))=FW$13), 1*(_xlfn._xlws.FILTER(OFFSET($O$15,0,$DO41,$B$8,1),OFFSET($M$15,0,0,$B$8,1))=FW$14))   /   SUM(OFFSET($BO$15,0,0,$B$14,1)) + $B$18/($B$19*$B$19*($DN41&lt;&gt;$DO41) + $B$19*($DN41=$DO41))</f>
        <v>3.7037037037037035E-4</v>
      </c>
      <c r="FX41" s="10" cm="1">
        <f t="array" aca="1" ref="FX41" ca="1">(1-$B$18)*SUMPRODUCT(OFFSET($BO$15,0,0,$B$14,1), 1*(_xlfn._xlws.FILTER(OFFSET($O$15,0,$DN41,$B$8,1),OFFSET($M$15,0,0,$B$8,1))=FX$13), 1*(_xlfn._xlws.FILTER(OFFSET($O$15,0,$DO41,$B$8,1),OFFSET($M$15,0,0,$B$8,1))=FX$14))   /   SUM(OFFSET($BO$15,0,0,$B$14,1)) + $B$18/($B$19*$B$19*($DN41&lt;&gt;$DO41) + $B$19*($DN41=$DO41))</f>
        <v>3.7037037037037035E-4</v>
      </c>
      <c r="FY41" s="10" cm="1">
        <f t="array" aca="1" ref="FY41" ca="1">(1-$B$18)*SUMPRODUCT(OFFSET($BO$15,0,0,$B$14,1), 1*(_xlfn._xlws.FILTER(OFFSET($O$15,0,$DN41,$B$8,1),OFFSET($M$15,0,0,$B$8,1))=FY$13), 1*(_xlfn._xlws.FILTER(OFFSET($O$15,0,$DO41,$B$8,1),OFFSET($M$15,0,0,$B$8,1))=FY$14))   /   SUM(OFFSET($BO$15,0,0,$B$14,1)) + $B$18/($B$19*$B$19*($DN41&lt;&gt;$DO41) + $B$19*($DN41=$DO41))</f>
        <v>3.7037037037037035E-4</v>
      </c>
      <c r="FZ41" s="10" cm="1">
        <f t="array" aca="1" ref="FZ41" ca="1">(1-$B$18)*SUMPRODUCT(OFFSET($BO$15,0,0,$B$14,1), 1*(_xlfn._xlws.FILTER(OFFSET($O$15,0,$DN41,$B$8,1),OFFSET($M$15,0,0,$B$8,1))=FZ$13), 1*(_xlfn._xlws.FILTER(OFFSET($O$15,0,$DO41,$B$8,1),OFFSET($M$15,0,0,$B$8,1))=FZ$14))   /   SUM(OFFSET($BO$15,0,0,$B$14,1)) + $B$18/($B$19*$B$19*($DN41&lt;&gt;$DO41) + $B$19*($DN41=$DO41))</f>
        <v>3.7037037037037035E-4</v>
      </c>
      <c r="GA41" s="10" cm="1">
        <f t="array" aca="1" ref="GA41" ca="1">(1-$B$18)*SUMPRODUCT(OFFSET($BO$15,0,0,$B$14,1), 1*(_xlfn._xlws.FILTER(OFFSET($O$15,0,$DN41,$B$8,1),OFFSET($M$15,0,0,$B$8,1))=GA$13), 1*(_xlfn._xlws.FILTER(OFFSET($O$15,0,$DO41,$B$8,1),OFFSET($M$15,0,0,$B$8,1))=GA$14))   /   SUM(OFFSET($BO$15,0,0,$B$14,1)) + $B$18/($B$19*$B$19*($DN41&lt;&gt;$DO41) + $B$19*($DN41=$DO41))</f>
        <v>3.7037037037037035E-4</v>
      </c>
    </row>
    <row r="42" spans="4:183" x14ac:dyDescent="0.2">
      <c r="AK42" s="2"/>
      <c r="AL42" s="2"/>
      <c r="DN42" cm="1">
        <f t="array" aca="1" ref="DN42" ca="1">INDEX(_xlfn.ANCHORARRAY($CP$15), 1 + INT((ROWS($DO$15:$DO42) - 1) / ROWS(_xlfn.ANCHORARRAY($CP$15))))</f>
        <v>1</v>
      </c>
      <c r="DO42" cm="1">
        <f t="array" aca="1" ref="DO42" ca="1">INDEX(_xlfn.ANCHORARRAY($CP$15),1+MOD(ROWS($DO$15:$DO42)-1,ROWS(_xlfn.ANCHORARRAY($CP$15))))</f>
        <v>8</v>
      </c>
      <c r="DP42" s="10" cm="1">
        <f t="array" aca="1" ref="DP42" ca="1">(1-$B$18)*SUMPRODUCT(OFFSET($BO$15,0,0,$B$14,1), 1*(_xlfn._xlws.FILTER(OFFSET($O$15,0,$DN42,$B$8,1),OFFSET($M$15,0,0,$B$8,1))=DP$13), 1*(_xlfn._xlws.FILTER(OFFSET($O$15,0,$DO42,$B$8,1),OFFSET($M$15,0,0,$B$8,1))=DP$14))   /   SUM(OFFSET($BO$15,0,0,$B$14,1)) + $B$18/($B$19*$B$19*($DN42&lt;&gt;$DO42) + $B$19*($DN42=$DO42))</f>
        <v>3.7037037037037035E-4</v>
      </c>
      <c r="DQ42" s="10" cm="1">
        <f t="array" aca="1" ref="DQ42" ca="1">(1-$B$18)*SUMPRODUCT(OFFSET($BO$15,0,0,$B$14,1), 1*(_xlfn._xlws.FILTER(OFFSET($O$15,0,$DN42,$B$8,1),OFFSET($M$15,0,0,$B$8,1))=DQ$13), 1*(_xlfn._xlws.FILTER(OFFSET($O$15,0,$DO42,$B$8,1),OFFSET($M$15,0,0,$B$8,1))=DQ$14))   /   SUM(OFFSET($BO$15,0,0,$B$14,1)) + $B$18/($B$19*$B$19*($DN42&lt;&gt;$DO42) + $B$19*($DN42=$DO42))</f>
        <v>3.7037037037037035E-4</v>
      </c>
      <c r="DR42" s="10" cm="1">
        <f t="array" aca="1" ref="DR42" ca="1">(1-$B$18)*SUMPRODUCT(OFFSET($BO$15,0,0,$B$14,1), 1*(_xlfn._xlws.FILTER(OFFSET($O$15,0,$DN42,$B$8,1),OFFSET($M$15,0,0,$B$8,1))=DR$13), 1*(_xlfn._xlws.FILTER(OFFSET($O$15,0,$DO42,$B$8,1),OFFSET($M$15,0,0,$B$8,1))=DR$14))   /   SUM(OFFSET($BO$15,0,0,$B$14,1)) + $B$18/($B$19*$B$19*($DN42&lt;&gt;$DO42) + $B$19*($DN42=$DO42))</f>
        <v>3.7037037037037035E-4</v>
      </c>
      <c r="DS42" s="10" cm="1">
        <f t="array" aca="1" ref="DS42" ca="1">(1-$B$18)*SUMPRODUCT(OFFSET($BO$15,0,0,$B$14,1), 1*(_xlfn._xlws.FILTER(OFFSET($O$15,0,$DN42,$B$8,1),OFFSET($M$15,0,0,$B$8,1))=DS$13), 1*(_xlfn._xlws.FILTER(OFFSET($O$15,0,$DO42,$B$8,1),OFFSET($M$15,0,0,$B$8,1))=DS$14))   /   SUM(OFFSET($BO$15,0,0,$B$14,1)) + $B$18/($B$19*$B$19*($DN42&lt;&gt;$DO42) + $B$19*($DN42=$DO42))</f>
        <v>3.7037037037037035E-4</v>
      </c>
      <c r="DT42" s="10" cm="1">
        <f t="array" aca="1" ref="DT42" ca="1">(1-$B$18)*SUMPRODUCT(OFFSET($BO$15,0,0,$B$14,1), 1*(_xlfn._xlws.FILTER(OFFSET($O$15,0,$DN42,$B$8,1),OFFSET($M$15,0,0,$B$8,1))=DT$13), 1*(_xlfn._xlws.FILTER(OFFSET($O$15,0,$DO42,$B$8,1),OFFSET($M$15,0,0,$B$8,1))=DT$14))   /   SUM(OFFSET($BO$15,0,0,$B$14,1)) + $B$18/($B$19*$B$19*($DN42&lt;&gt;$DO42) + $B$19*($DN42=$DO42))</f>
        <v>3.7037037037037035E-4</v>
      </c>
      <c r="DU42" s="10" cm="1">
        <f t="array" aca="1" ref="DU42" ca="1">(1-$B$18)*SUMPRODUCT(OFFSET($BO$15,0,0,$B$14,1), 1*(_xlfn._xlws.FILTER(OFFSET($O$15,0,$DN42,$B$8,1),OFFSET($M$15,0,0,$B$8,1))=DU$13), 1*(_xlfn._xlws.FILTER(OFFSET($O$15,0,$DO42,$B$8,1),OFFSET($M$15,0,0,$B$8,1))=DU$14))   /   SUM(OFFSET($BO$15,0,0,$B$14,1)) + $B$18/($B$19*$B$19*($DN42&lt;&gt;$DO42) + $B$19*($DN42=$DO42))</f>
        <v>3.7037037037037035E-4</v>
      </c>
      <c r="DV42" s="10" cm="1">
        <f t="array" aca="1" ref="DV42" ca="1">(1-$B$18)*SUMPRODUCT(OFFSET($BO$15,0,0,$B$14,1), 1*(_xlfn._xlws.FILTER(OFFSET($O$15,0,$DN42,$B$8,1),OFFSET($M$15,0,0,$B$8,1))=DV$13), 1*(_xlfn._xlws.FILTER(OFFSET($O$15,0,$DO42,$B$8,1),OFFSET($M$15,0,0,$B$8,1))=DV$14))   /   SUM(OFFSET($BO$15,0,0,$B$14,1)) + $B$18/($B$19*$B$19*($DN42&lt;&gt;$DO42) + $B$19*($DN42=$DO42))</f>
        <v>3.7037037037037035E-4</v>
      </c>
      <c r="DW42" s="10" cm="1">
        <f t="array" aca="1" ref="DW42" ca="1">(1-$B$18)*SUMPRODUCT(OFFSET($BO$15,0,0,$B$14,1), 1*(_xlfn._xlws.FILTER(OFFSET($O$15,0,$DN42,$B$8,1),OFFSET($M$15,0,0,$B$8,1))=DW$13), 1*(_xlfn._xlws.FILTER(OFFSET($O$15,0,$DO42,$B$8,1),OFFSET($M$15,0,0,$B$8,1))=DW$14))   /   SUM(OFFSET($BO$15,0,0,$B$14,1)) + $B$18/($B$19*$B$19*($DN42&lt;&gt;$DO42) + $B$19*($DN42=$DO42))</f>
        <v>3.7037037037037035E-4</v>
      </c>
      <c r="DX42" s="10" cm="1">
        <f t="array" aca="1" ref="DX42" ca="1">(1-$B$18)*SUMPRODUCT(OFFSET($BO$15,0,0,$B$14,1), 1*(_xlfn._xlws.FILTER(OFFSET($O$15,0,$DN42,$B$8,1),OFFSET($M$15,0,0,$B$8,1))=DX$13), 1*(_xlfn._xlws.FILTER(OFFSET($O$15,0,$DO42,$B$8,1),OFFSET($M$15,0,0,$B$8,1))=DX$14))   /   SUM(OFFSET($BO$15,0,0,$B$14,1)) + $B$18/($B$19*$B$19*($DN42&lt;&gt;$DO42) + $B$19*($DN42=$DO42))</f>
        <v>3.7037037037037035E-4</v>
      </c>
      <c r="DY42" s="10" cm="1">
        <f t="array" aca="1" ref="DY42" ca="1">(1-$B$18)*SUMPRODUCT(OFFSET($BO$15,0,0,$B$14,1), 1*(_xlfn._xlws.FILTER(OFFSET($O$15,0,$DN42,$B$8,1),OFFSET($M$15,0,0,$B$8,1))=DY$13), 1*(_xlfn._xlws.FILTER(OFFSET($O$15,0,$DO42,$B$8,1),OFFSET($M$15,0,0,$B$8,1))=DY$14))   /   SUM(OFFSET($BO$15,0,0,$B$14,1)) + $B$18/($B$19*$B$19*($DN42&lt;&gt;$DO42) + $B$19*($DN42=$DO42))</f>
        <v>3.7037037037037035E-4</v>
      </c>
      <c r="DZ42" s="10" cm="1">
        <f t="array" aca="1" ref="DZ42" ca="1">(1-$B$18)*SUMPRODUCT(OFFSET($BO$15,0,0,$B$14,1), 1*(_xlfn._xlws.FILTER(OFFSET($O$15,0,$DN42,$B$8,1),OFFSET($M$15,0,0,$B$8,1))=DZ$13), 1*(_xlfn._xlws.FILTER(OFFSET($O$15,0,$DO42,$B$8,1),OFFSET($M$15,0,0,$B$8,1))=DZ$14))   /   SUM(OFFSET($BO$15,0,0,$B$14,1)) + $B$18/($B$19*$B$19*($DN42&lt;&gt;$DO42) + $B$19*($DN42=$DO42))</f>
        <v>3.7037037037037035E-4</v>
      </c>
      <c r="EA42" s="10" cm="1">
        <f t="array" aca="1" ref="EA42" ca="1">(1-$B$18)*SUMPRODUCT(OFFSET($BO$15,0,0,$B$14,1), 1*(_xlfn._xlws.FILTER(OFFSET($O$15,0,$DN42,$B$8,1),OFFSET($M$15,0,0,$B$8,1))=EA$13), 1*(_xlfn._xlws.FILTER(OFFSET($O$15,0,$DO42,$B$8,1),OFFSET($M$15,0,0,$B$8,1))=EA$14))   /   SUM(OFFSET($BO$15,0,0,$B$14,1)) + $B$18/($B$19*$B$19*($DN42&lt;&gt;$DO42) + $B$19*($DN42=$DO42))</f>
        <v>3.7037037037037035E-4</v>
      </c>
      <c r="EB42" s="10" cm="1">
        <f t="array" aca="1" ref="EB42" ca="1">(1-$B$18)*SUMPRODUCT(OFFSET($BO$15,0,0,$B$14,1), 1*(_xlfn._xlws.FILTER(OFFSET($O$15,0,$DN42,$B$8,1),OFFSET($M$15,0,0,$B$8,1))=EB$13), 1*(_xlfn._xlws.FILTER(OFFSET($O$15,0,$DO42,$B$8,1),OFFSET($M$15,0,0,$B$8,1))=EB$14))   /   SUM(OFFSET($BO$15,0,0,$B$14,1)) + $B$18/($B$19*$B$19*($DN42&lt;&gt;$DO42) + $B$19*($DN42=$DO42))</f>
        <v>3.7037037037037035E-4</v>
      </c>
      <c r="EC42" s="10" cm="1">
        <f t="array" aca="1" ref="EC42" ca="1">(1-$B$18)*SUMPRODUCT(OFFSET($BO$15,0,0,$B$14,1), 1*(_xlfn._xlws.FILTER(OFFSET($O$15,0,$DN42,$B$8,1),OFFSET($M$15,0,0,$B$8,1))=EC$13), 1*(_xlfn._xlws.FILTER(OFFSET($O$15,0,$DO42,$B$8,1),OFFSET($M$15,0,0,$B$8,1))=EC$14))   /   SUM(OFFSET($BO$15,0,0,$B$14,1)) + $B$18/($B$19*$B$19*($DN42&lt;&gt;$DO42) + $B$19*($DN42=$DO42))</f>
        <v>3.7037037037037035E-4</v>
      </c>
      <c r="ED42" s="10" cm="1">
        <f t="array" aca="1" ref="ED42" ca="1">(1-$B$18)*SUMPRODUCT(OFFSET($BO$15,0,0,$B$14,1), 1*(_xlfn._xlws.FILTER(OFFSET($O$15,0,$DN42,$B$8,1),OFFSET($M$15,0,0,$B$8,1))=ED$13), 1*(_xlfn._xlws.FILTER(OFFSET($O$15,0,$DO42,$B$8,1),OFFSET($M$15,0,0,$B$8,1))=ED$14))   /   SUM(OFFSET($BO$15,0,0,$B$14,1)) + $B$18/($B$19*$B$19*($DN42&lt;&gt;$DO42) + $B$19*($DN42=$DO42))</f>
        <v>3.7037037037037035E-4</v>
      </c>
      <c r="EE42" s="10" cm="1">
        <f t="array" aca="1" ref="EE42" ca="1">(1-$B$18)*SUMPRODUCT(OFFSET($BO$15,0,0,$B$14,1), 1*(_xlfn._xlws.FILTER(OFFSET($O$15,0,$DN42,$B$8,1),OFFSET($M$15,0,0,$B$8,1))=EE$13), 1*(_xlfn._xlws.FILTER(OFFSET($O$15,0,$DO42,$B$8,1),OFFSET($M$15,0,0,$B$8,1))=EE$14))   /   SUM(OFFSET($BO$15,0,0,$B$14,1)) + $B$18/($B$19*$B$19*($DN42&lt;&gt;$DO42) + $B$19*($DN42=$DO42))</f>
        <v>3.7037037037037035E-4</v>
      </c>
      <c r="EF42" s="10" cm="1">
        <f t="array" aca="1" ref="EF42" ca="1">(1-$B$18)*SUMPRODUCT(OFFSET($BO$15,0,0,$B$14,1), 1*(_xlfn._xlws.FILTER(OFFSET($O$15,0,$DN42,$B$8,1),OFFSET($M$15,0,0,$B$8,1))=EF$13), 1*(_xlfn._xlws.FILTER(OFFSET($O$15,0,$DO42,$B$8,1),OFFSET($M$15,0,0,$B$8,1))=EF$14))   /   SUM(OFFSET($BO$15,0,0,$B$14,1)) + $B$18/($B$19*$B$19*($DN42&lt;&gt;$DO42) + $B$19*($DN42=$DO42))</f>
        <v>3.7037037037037035E-4</v>
      </c>
      <c r="EG42" s="10" cm="1">
        <f t="array" aca="1" ref="EG42" ca="1">(1-$B$18)*SUMPRODUCT(OFFSET($BO$15,0,0,$B$14,1), 1*(_xlfn._xlws.FILTER(OFFSET($O$15,0,$DN42,$B$8,1),OFFSET($M$15,0,0,$B$8,1))=EG$13), 1*(_xlfn._xlws.FILTER(OFFSET($O$15,0,$DO42,$B$8,1),OFFSET($M$15,0,0,$B$8,1))=EG$14))   /   SUM(OFFSET($BO$15,0,0,$B$14,1)) + $B$18/($B$19*$B$19*($DN42&lt;&gt;$DO42) + $B$19*($DN42=$DO42))</f>
        <v>3.7037037037037035E-4</v>
      </c>
      <c r="EH42" s="10" cm="1">
        <f t="array" aca="1" ref="EH42" ca="1">(1-$B$18)*SUMPRODUCT(OFFSET($BO$15,0,0,$B$14,1), 1*(_xlfn._xlws.FILTER(OFFSET($O$15,0,$DN42,$B$8,1),OFFSET($M$15,0,0,$B$8,1))=EH$13), 1*(_xlfn._xlws.FILTER(OFFSET($O$15,0,$DO42,$B$8,1),OFFSET($M$15,0,0,$B$8,1))=EH$14))   /   SUM(OFFSET($BO$15,0,0,$B$14,1)) + $B$18/($B$19*$B$19*($DN42&lt;&gt;$DO42) + $B$19*($DN42=$DO42))</f>
        <v>3.7037037037037035E-4</v>
      </c>
      <c r="EI42" s="10" cm="1">
        <f t="array" aca="1" ref="EI42" ca="1">(1-$B$18)*SUMPRODUCT(OFFSET($BO$15,0,0,$B$14,1), 1*(_xlfn._xlws.FILTER(OFFSET($O$15,0,$DN42,$B$8,1),OFFSET($M$15,0,0,$B$8,1))=EI$13), 1*(_xlfn._xlws.FILTER(OFFSET($O$15,0,$DO42,$B$8,1),OFFSET($M$15,0,0,$B$8,1))=EI$14))   /   SUM(OFFSET($BO$15,0,0,$B$14,1)) + $B$18/($B$19*$B$19*($DN42&lt;&gt;$DO42) + $B$19*($DN42=$DO42))</f>
        <v>3.7037037037037035E-4</v>
      </c>
      <c r="EJ42" s="10" cm="1">
        <f t="array" aca="1" ref="EJ42" ca="1">(1-$B$18)*SUMPRODUCT(OFFSET($BO$15,0,0,$B$14,1), 1*(_xlfn._xlws.FILTER(OFFSET($O$15,0,$DN42,$B$8,1),OFFSET($M$15,0,0,$B$8,1))=EJ$13), 1*(_xlfn._xlws.FILTER(OFFSET($O$15,0,$DO42,$B$8,1),OFFSET($M$15,0,0,$B$8,1))=EJ$14))   /   SUM(OFFSET($BO$15,0,0,$B$14,1)) + $B$18/($B$19*$B$19*($DN42&lt;&gt;$DO42) + $B$19*($DN42=$DO42))</f>
        <v>3.7037037037037035E-4</v>
      </c>
      <c r="EK42" s="10" cm="1">
        <f t="array" aca="1" ref="EK42" ca="1">(1-$B$18)*SUMPRODUCT(OFFSET($BO$15,0,0,$B$14,1), 1*(_xlfn._xlws.FILTER(OFFSET($O$15,0,$DN42,$B$8,1),OFFSET($M$15,0,0,$B$8,1))=EK$13), 1*(_xlfn._xlws.FILTER(OFFSET($O$15,0,$DO42,$B$8,1),OFFSET($M$15,0,0,$B$8,1))=EK$14))   /   SUM(OFFSET($BO$15,0,0,$B$14,1)) + $B$18/($B$19*$B$19*($DN42&lt;&gt;$DO42) + $B$19*($DN42=$DO42))</f>
        <v>3.7037037037037035E-4</v>
      </c>
      <c r="EL42" s="10" cm="1">
        <f t="array" aca="1" ref="EL42" ca="1">(1-$B$18)*SUMPRODUCT(OFFSET($BO$15,0,0,$B$14,1), 1*(_xlfn._xlws.FILTER(OFFSET($O$15,0,$DN42,$B$8,1),OFFSET($M$15,0,0,$B$8,1))=EL$13), 1*(_xlfn._xlws.FILTER(OFFSET($O$15,0,$DO42,$B$8,1),OFFSET($M$15,0,0,$B$8,1))=EL$14))   /   SUM(OFFSET($BO$15,0,0,$B$14,1)) + $B$18/($B$19*$B$19*($DN42&lt;&gt;$DO42) + $B$19*($DN42=$DO42))</f>
        <v>3.7037037037037035E-4</v>
      </c>
      <c r="EM42" s="10" cm="1">
        <f t="array" aca="1" ref="EM42" ca="1">(1-$B$18)*SUMPRODUCT(OFFSET($BO$15,0,0,$B$14,1), 1*(_xlfn._xlws.FILTER(OFFSET($O$15,0,$DN42,$B$8,1),OFFSET($M$15,0,0,$B$8,1))=EM$13), 1*(_xlfn._xlws.FILTER(OFFSET($O$15,0,$DO42,$B$8,1),OFFSET($M$15,0,0,$B$8,1))=EM$14))   /   SUM(OFFSET($BO$15,0,0,$B$14,1)) + $B$18/($B$19*$B$19*($DN42&lt;&gt;$DO42) + $B$19*($DN42=$DO42))</f>
        <v>3.7037037037037035E-4</v>
      </c>
      <c r="EN42" s="10" cm="1">
        <f t="array" aca="1" ref="EN42" ca="1">(1-$B$18)*SUMPRODUCT(OFFSET($BO$15,0,0,$B$14,1), 1*(_xlfn._xlws.FILTER(OFFSET($O$15,0,$DN42,$B$8,1),OFFSET($M$15,0,0,$B$8,1))=EN$13), 1*(_xlfn._xlws.FILTER(OFFSET($O$15,0,$DO42,$B$8,1),OFFSET($M$15,0,0,$B$8,1))=EN$14))   /   SUM(OFFSET($BO$15,0,0,$B$14,1)) + $B$18/($B$19*$B$19*($DN42&lt;&gt;$DO42) + $B$19*($DN42=$DO42))</f>
        <v>3.7037037037037035E-4</v>
      </c>
      <c r="EO42" s="10" cm="1">
        <f t="array" aca="1" ref="EO42" ca="1">(1-$B$18)*SUMPRODUCT(OFFSET($BO$15,0,0,$B$14,1), 1*(_xlfn._xlws.FILTER(OFFSET($O$15,0,$DN42,$B$8,1),OFFSET($M$15,0,0,$B$8,1))=EO$13), 1*(_xlfn._xlws.FILTER(OFFSET($O$15,0,$DO42,$B$8,1),OFFSET($M$15,0,0,$B$8,1))=EO$14))   /   SUM(OFFSET($BO$15,0,0,$B$14,1)) + $B$18/($B$19*$B$19*($DN42&lt;&gt;$DO42) + $B$19*($DN42=$DO42))</f>
        <v>3.7037037037037035E-4</v>
      </c>
      <c r="EP42" s="10" cm="1">
        <f t="array" aca="1" ref="EP42" ca="1">(1-$B$18)*SUMPRODUCT(OFFSET($BO$15,0,0,$B$14,1), 1*(_xlfn._xlws.FILTER(OFFSET($O$15,0,$DN42,$B$8,1),OFFSET($M$15,0,0,$B$8,1))=EP$13), 1*(_xlfn._xlws.FILTER(OFFSET($O$15,0,$DO42,$B$8,1),OFFSET($M$15,0,0,$B$8,1))=EP$14))   /   SUM(OFFSET($BO$15,0,0,$B$14,1)) + $B$18/($B$19*$B$19*($DN42&lt;&gt;$DO42) + $B$19*($DN42=$DO42))</f>
        <v>3.7037037037037035E-4</v>
      </c>
      <c r="EQ42" s="10" cm="1">
        <f t="array" aca="1" ref="EQ42" ca="1">(1-$B$18)*SUMPRODUCT(OFFSET($BO$15,0,0,$B$14,1), 1*(_xlfn._xlws.FILTER(OFFSET($O$15,0,$DN42,$B$8,1),OFFSET($M$15,0,0,$B$8,1))=EQ$13), 1*(_xlfn._xlws.FILTER(OFFSET($O$15,0,$DO42,$B$8,1),OFFSET($M$15,0,0,$B$8,1))=EQ$14))   /   SUM(OFFSET($BO$15,0,0,$B$14,1)) + $B$18/($B$19*$B$19*($DN42&lt;&gt;$DO42) + $B$19*($DN42=$DO42))</f>
        <v>3.7037037037037035E-4</v>
      </c>
      <c r="ER42" s="10" cm="1">
        <f t="array" aca="1" ref="ER42" ca="1">(1-$B$18)*SUMPRODUCT(OFFSET($BO$15,0,0,$B$14,1), 1*(_xlfn._xlws.FILTER(OFFSET($O$15,0,$DN42,$B$8,1),OFFSET($M$15,0,0,$B$8,1))=ER$13), 1*(_xlfn._xlws.FILTER(OFFSET($O$15,0,$DO42,$B$8,1),OFFSET($M$15,0,0,$B$8,1))=ER$14))   /   SUM(OFFSET($BO$15,0,0,$B$14,1)) + $B$18/($B$19*$B$19*($DN42&lt;&gt;$DO42) + $B$19*($DN42=$DO42))</f>
        <v>3.7037037037037035E-4</v>
      </c>
      <c r="ES42" s="10" cm="1">
        <f t="array" aca="1" ref="ES42" ca="1">(1-$B$18)*SUMPRODUCT(OFFSET($BO$15,0,0,$B$14,1), 1*(_xlfn._xlws.FILTER(OFFSET($O$15,0,$DN42,$B$8,1),OFFSET($M$15,0,0,$B$8,1))=ES$13), 1*(_xlfn._xlws.FILTER(OFFSET($O$15,0,$DO42,$B$8,1),OFFSET($M$15,0,0,$B$8,1))=ES$14))   /   SUM(OFFSET($BO$15,0,0,$B$14,1)) + $B$18/($B$19*$B$19*($DN42&lt;&gt;$DO42) + $B$19*($DN42=$DO42))</f>
        <v>3.7037037037037035E-4</v>
      </c>
      <c r="ET42" s="10" cm="1">
        <f t="array" aca="1" ref="ET42" ca="1">(1-$B$18)*SUMPRODUCT(OFFSET($BO$15,0,0,$B$14,1), 1*(_xlfn._xlws.FILTER(OFFSET($O$15,0,$DN42,$B$8,1),OFFSET($M$15,0,0,$B$8,1))=ET$13), 1*(_xlfn._xlws.FILTER(OFFSET($O$15,0,$DO42,$B$8,1),OFFSET($M$15,0,0,$B$8,1))=ET$14))   /   SUM(OFFSET($BO$15,0,0,$B$14,1)) + $B$18/($B$19*$B$19*($DN42&lt;&gt;$DO42) + $B$19*($DN42=$DO42))</f>
        <v>3.7037037037037035E-4</v>
      </c>
      <c r="EU42" s="10" cm="1">
        <f t="array" aca="1" ref="EU42" ca="1">(1-$B$18)*SUMPRODUCT(OFFSET($BO$15,0,0,$B$14,1), 1*(_xlfn._xlws.FILTER(OFFSET($O$15,0,$DN42,$B$8,1),OFFSET($M$15,0,0,$B$8,1))=EU$13), 1*(_xlfn._xlws.FILTER(OFFSET($O$15,0,$DO42,$B$8,1),OFFSET($M$15,0,0,$B$8,1))=EU$14))   /   SUM(OFFSET($BO$15,0,0,$B$14,1)) + $B$18/($B$19*$B$19*($DN42&lt;&gt;$DO42) + $B$19*($DN42=$DO42))</f>
        <v>3.7037037037037035E-4</v>
      </c>
      <c r="EV42" s="10" cm="1">
        <f t="array" aca="1" ref="EV42" ca="1">(1-$B$18)*SUMPRODUCT(OFFSET($BO$15,0,0,$B$14,1), 1*(_xlfn._xlws.FILTER(OFFSET($O$15,0,$DN42,$B$8,1),OFFSET($M$15,0,0,$B$8,1))=EV$13), 1*(_xlfn._xlws.FILTER(OFFSET($O$15,0,$DO42,$B$8,1),OFFSET($M$15,0,0,$B$8,1))=EV$14))   /   SUM(OFFSET($BO$15,0,0,$B$14,1)) + $B$18/($B$19*$B$19*($DN42&lt;&gt;$DO42) + $B$19*($DN42=$DO42))</f>
        <v>3.7037037037037035E-4</v>
      </c>
      <c r="EW42" s="10" cm="1">
        <f t="array" aca="1" ref="EW42" ca="1">(1-$B$18)*SUMPRODUCT(OFFSET($BO$15,0,0,$B$14,1), 1*(_xlfn._xlws.FILTER(OFFSET($O$15,0,$DN42,$B$8,1),OFFSET($M$15,0,0,$B$8,1))=EW$13), 1*(_xlfn._xlws.FILTER(OFFSET($O$15,0,$DO42,$B$8,1),OFFSET($M$15,0,0,$B$8,1))=EW$14))   /   SUM(OFFSET($BO$15,0,0,$B$14,1)) + $B$18/($B$19*$B$19*($DN42&lt;&gt;$DO42) + $B$19*($DN42=$DO42))</f>
        <v>3.7037037037037035E-4</v>
      </c>
      <c r="EX42" s="10" cm="1">
        <f t="array" aca="1" ref="EX42" ca="1">(1-$B$18)*SUMPRODUCT(OFFSET($BO$15,0,0,$B$14,1), 1*(_xlfn._xlws.FILTER(OFFSET($O$15,0,$DN42,$B$8,1),OFFSET($M$15,0,0,$B$8,1))=EX$13), 1*(_xlfn._xlws.FILTER(OFFSET($O$15,0,$DO42,$B$8,1),OFFSET($M$15,0,0,$B$8,1))=EX$14))   /   SUM(OFFSET($BO$15,0,0,$B$14,1)) + $B$18/($B$19*$B$19*($DN42&lt;&gt;$DO42) + $B$19*($DN42=$DO42))</f>
        <v>3.7037037037037035E-4</v>
      </c>
      <c r="EY42" s="10" cm="1">
        <f t="array" aca="1" ref="EY42" ca="1">(1-$B$18)*SUMPRODUCT(OFFSET($BO$15,0,0,$B$14,1), 1*(_xlfn._xlws.FILTER(OFFSET($O$15,0,$DN42,$B$8,1),OFFSET($M$15,0,0,$B$8,1))=EY$13), 1*(_xlfn._xlws.FILTER(OFFSET($O$15,0,$DO42,$B$8,1),OFFSET($M$15,0,0,$B$8,1))=EY$14))   /   SUM(OFFSET($BO$15,0,0,$B$14,1)) + $B$18/($B$19*$B$19*($DN42&lt;&gt;$DO42) + $B$19*($DN42=$DO42))</f>
        <v>3.7037037037037035E-4</v>
      </c>
      <c r="EZ42" s="10" cm="1">
        <f t="array" aca="1" ref="EZ42" ca="1">(1-$B$18)*SUMPRODUCT(OFFSET($BO$15,0,0,$B$14,1), 1*(_xlfn._xlws.FILTER(OFFSET($O$15,0,$DN42,$B$8,1),OFFSET($M$15,0,0,$B$8,1))=EZ$13), 1*(_xlfn._xlws.FILTER(OFFSET($O$15,0,$DO42,$B$8,1),OFFSET($M$15,0,0,$B$8,1))=EZ$14))   /   SUM(OFFSET($BO$15,0,0,$B$14,1)) + $B$18/($B$19*$B$19*($DN42&lt;&gt;$DO42) + $B$19*($DN42=$DO42))</f>
        <v>3.7037037037037035E-4</v>
      </c>
      <c r="FA42" s="10" cm="1">
        <f t="array" aca="1" ref="FA42" ca="1">(1-$B$18)*SUMPRODUCT(OFFSET($BO$15,0,0,$B$14,1), 1*(_xlfn._xlws.FILTER(OFFSET($O$15,0,$DN42,$B$8,1),OFFSET($M$15,0,0,$B$8,1))=FA$13), 1*(_xlfn._xlws.FILTER(OFFSET($O$15,0,$DO42,$B$8,1),OFFSET($M$15,0,0,$B$8,1))=FA$14))   /   SUM(OFFSET($BO$15,0,0,$B$14,1)) + $B$18/($B$19*$B$19*($DN42&lt;&gt;$DO42) + $B$19*($DN42=$DO42))</f>
        <v>3.7037037037037035E-4</v>
      </c>
      <c r="FB42" s="10" cm="1">
        <f t="array" aca="1" ref="FB42" ca="1">(1-$B$18)*SUMPRODUCT(OFFSET($BO$15,0,0,$B$14,1), 1*(_xlfn._xlws.FILTER(OFFSET($O$15,0,$DN42,$B$8,1),OFFSET($M$15,0,0,$B$8,1))=FB$13), 1*(_xlfn._xlws.FILTER(OFFSET($O$15,0,$DO42,$B$8,1),OFFSET($M$15,0,0,$B$8,1))=FB$14))   /   SUM(OFFSET($BO$15,0,0,$B$14,1)) + $B$18/($B$19*$B$19*($DN42&lt;&gt;$DO42) + $B$19*($DN42=$DO42))</f>
        <v>3.7037037037037035E-4</v>
      </c>
      <c r="FC42" s="10" cm="1">
        <f t="array" aca="1" ref="FC42" ca="1">(1-$B$18)*SUMPRODUCT(OFFSET($BO$15,0,0,$B$14,1), 1*(_xlfn._xlws.FILTER(OFFSET($O$15,0,$DN42,$B$8,1),OFFSET($M$15,0,0,$B$8,1))=FC$13), 1*(_xlfn._xlws.FILTER(OFFSET($O$15,0,$DO42,$B$8,1),OFFSET($M$15,0,0,$B$8,1))=FC$14))   /   SUM(OFFSET($BO$15,0,0,$B$14,1)) + $B$18/($B$19*$B$19*($DN42&lt;&gt;$DO42) + $B$19*($DN42=$DO42))</f>
        <v>3.7037037037037035E-4</v>
      </c>
      <c r="FD42" s="10" cm="1">
        <f t="array" aca="1" ref="FD42" ca="1">(1-$B$18)*SUMPRODUCT(OFFSET($BO$15,0,0,$B$14,1), 1*(_xlfn._xlws.FILTER(OFFSET($O$15,0,$DN42,$B$8,1),OFFSET($M$15,0,0,$B$8,1))=FD$13), 1*(_xlfn._xlws.FILTER(OFFSET($O$15,0,$DO42,$B$8,1),OFFSET($M$15,0,0,$B$8,1))=FD$14))   /   SUM(OFFSET($BO$15,0,0,$B$14,1)) + $B$18/($B$19*$B$19*($DN42&lt;&gt;$DO42) + $B$19*($DN42=$DO42))</f>
        <v>3.7037037037037035E-4</v>
      </c>
      <c r="FE42" s="10" cm="1">
        <f t="array" aca="1" ref="FE42" ca="1">(1-$B$18)*SUMPRODUCT(OFFSET($BO$15,0,0,$B$14,1), 1*(_xlfn._xlws.FILTER(OFFSET($O$15,0,$DN42,$B$8,1),OFFSET($M$15,0,0,$B$8,1))=FE$13), 1*(_xlfn._xlws.FILTER(OFFSET($O$15,0,$DO42,$B$8,1),OFFSET($M$15,0,0,$B$8,1))=FE$14))   /   SUM(OFFSET($BO$15,0,0,$B$14,1)) + $B$18/($B$19*$B$19*($DN42&lt;&gt;$DO42) + $B$19*($DN42=$DO42))</f>
        <v>3.7037037037037035E-4</v>
      </c>
      <c r="FF42" s="10" cm="1">
        <f t="array" aca="1" ref="FF42" ca="1">(1-$B$18)*SUMPRODUCT(OFFSET($BO$15,0,0,$B$14,1), 1*(_xlfn._xlws.FILTER(OFFSET($O$15,0,$DN42,$B$8,1),OFFSET($M$15,0,0,$B$8,1))=FF$13), 1*(_xlfn._xlws.FILTER(OFFSET($O$15,0,$DO42,$B$8,1),OFFSET($M$15,0,0,$B$8,1))=FF$14))   /   SUM(OFFSET($BO$15,0,0,$B$14,1)) + $B$18/($B$19*$B$19*($DN42&lt;&gt;$DO42) + $B$19*($DN42=$DO42))</f>
        <v>3.7037037037037035E-4</v>
      </c>
      <c r="FG42" s="10" cm="1">
        <f t="array" aca="1" ref="FG42" ca="1">(1-$B$18)*SUMPRODUCT(OFFSET($BO$15,0,0,$B$14,1), 1*(_xlfn._xlws.FILTER(OFFSET($O$15,0,$DN42,$B$8,1),OFFSET($M$15,0,0,$B$8,1))=FG$13), 1*(_xlfn._xlws.FILTER(OFFSET($O$15,0,$DO42,$B$8,1),OFFSET($M$15,0,0,$B$8,1))=FG$14))   /   SUM(OFFSET($BO$15,0,0,$B$14,1)) + $B$18/($B$19*$B$19*($DN42&lt;&gt;$DO42) + $B$19*($DN42=$DO42))</f>
        <v>3.7037037037037035E-4</v>
      </c>
      <c r="FH42" s="10" cm="1">
        <f t="array" aca="1" ref="FH42" ca="1">(1-$B$18)*SUMPRODUCT(OFFSET($BO$15,0,0,$B$14,1), 1*(_xlfn._xlws.FILTER(OFFSET($O$15,0,$DN42,$B$8,1),OFFSET($M$15,0,0,$B$8,1))=FH$13), 1*(_xlfn._xlws.FILTER(OFFSET($O$15,0,$DO42,$B$8,1),OFFSET($M$15,0,0,$B$8,1))=FH$14))   /   SUM(OFFSET($BO$15,0,0,$B$14,1)) + $B$18/($B$19*$B$19*($DN42&lt;&gt;$DO42) + $B$19*($DN42=$DO42))</f>
        <v>3.7037037037037035E-4</v>
      </c>
      <c r="FI42" s="10" cm="1">
        <f t="array" aca="1" ref="FI42" ca="1">(1-$B$18)*SUMPRODUCT(OFFSET($BO$15,0,0,$B$14,1), 1*(_xlfn._xlws.FILTER(OFFSET($O$15,0,$DN42,$B$8,1),OFFSET($M$15,0,0,$B$8,1))=FI$13), 1*(_xlfn._xlws.FILTER(OFFSET($O$15,0,$DO42,$B$8,1),OFFSET($M$15,0,0,$B$8,1))=FI$14))   /   SUM(OFFSET($BO$15,0,0,$B$14,1)) + $B$18/($B$19*$B$19*($DN42&lt;&gt;$DO42) + $B$19*($DN42=$DO42))</f>
        <v>3.7037037037037035E-4</v>
      </c>
      <c r="FJ42" s="10" cm="1">
        <f t="array" aca="1" ref="FJ42" ca="1">(1-$B$18)*SUMPRODUCT(OFFSET($BO$15,0,0,$B$14,1), 1*(_xlfn._xlws.FILTER(OFFSET($O$15,0,$DN42,$B$8,1),OFFSET($M$15,0,0,$B$8,1))=FJ$13), 1*(_xlfn._xlws.FILTER(OFFSET($O$15,0,$DO42,$B$8,1),OFFSET($M$15,0,0,$B$8,1))=FJ$14))   /   SUM(OFFSET($BO$15,0,0,$B$14,1)) + $B$18/($B$19*$B$19*($DN42&lt;&gt;$DO42) + $B$19*($DN42=$DO42))</f>
        <v>3.7037037037037035E-4</v>
      </c>
      <c r="FK42" s="10" cm="1">
        <f t="array" aca="1" ref="FK42" ca="1">(1-$B$18)*SUMPRODUCT(OFFSET($BO$15,0,0,$B$14,1), 1*(_xlfn._xlws.FILTER(OFFSET($O$15,0,$DN42,$B$8,1),OFFSET($M$15,0,0,$B$8,1))=FK$13), 1*(_xlfn._xlws.FILTER(OFFSET($O$15,0,$DO42,$B$8,1),OFFSET($M$15,0,0,$B$8,1))=FK$14))   /   SUM(OFFSET($BO$15,0,0,$B$14,1)) + $B$18/($B$19*$B$19*($DN42&lt;&gt;$DO42) + $B$19*($DN42=$DO42))</f>
        <v>3.7037037037037035E-4</v>
      </c>
      <c r="FL42" s="10" cm="1">
        <f t="array" aca="1" ref="FL42" ca="1">(1-$B$18)*SUMPRODUCT(OFFSET($BO$15,0,0,$B$14,1), 1*(_xlfn._xlws.FILTER(OFFSET($O$15,0,$DN42,$B$8,1),OFFSET($M$15,0,0,$B$8,1))=FL$13), 1*(_xlfn._xlws.FILTER(OFFSET($O$15,0,$DO42,$B$8,1),OFFSET($M$15,0,0,$B$8,1))=FL$14))   /   SUM(OFFSET($BO$15,0,0,$B$14,1)) + $B$18/($B$19*$B$19*($DN42&lt;&gt;$DO42) + $B$19*($DN42=$DO42))</f>
        <v>3.7037037037037035E-4</v>
      </c>
      <c r="FM42" s="10" cm="1">
        <f t="array" aca="1" ref="FM42" ca="1">(1-$B$18)*SUMPRODUCT(OFFSET($BO$15,0,0,$B$14,1), 1*(_xlfn._xlws.FILTER(OFFSET($O$15,0,$DN42,$B$8,1),OFFSET($M$15,0,0,$B$8,1))=FM$13), 1*(_xlfn._xlws.FILTER(OFFSET($O$15,0,$DO42,$B$8,1),OFFSET($M$15,0,0,$B$8,1))=FM$14))   /   SUM(OFFSET($BO$15,0,0,$B$14,1)) + $B$18/($B$19*$B$19*($DN42&lt;&gt;$DO42) + $B$19*($DN42=$DO42))</f>
        <v>3.7037037037037035E-4</v>
      </c>
      <c r="FN42" s="10" cm="1">
        <f t="array" aca="1" ref="FN42" ca="1">(1-$B$18)*SUMPRODUCT(OFFSET($BO$15,0,0,$B$14,1), 1*(_xlfn._xlws.FILTER(OFFSET($O$15,0,$DN42,$B$8,1),OFFSET($M$15,0,0,$B$8,1))=FN$13), 1*(_xlfn._xlws.FILTER(OFFSET($O$15,0,$DO42,$B$8,1),OFFSET($M$15,0,0,$B$8,1))=FN$14))   /   SUM(OFFSET($BO$15,0,0,$B$14,1)) + $B$18/($B$19*$B$19*($DN42&lt;&gt;$DO42) + $B$19*($DN42=$DO42))</f>
        <v>3.7037037037037035E-4</v>
      </c>
      <c r="FO42" s="10" cm="1">
        <f t="array" aca="1" ref="FO42" ca="1">(1-$B$18)*SUMPRODUCT(OFFSET($BO$15,0,0,$B$14,1), 1*(_xlfn._xlws.FILTER(OFFSET($O$15,0,$DN42,$B$8,1),OFFSET($M$15,0,0,$B$8,1))=FO$13), 1*(_xlfn._xlws.FILTER(OFFSET($O$15,0,$DO42,$B$8,1),OFFSET($M$15,0,0,$B$8,1))=FO$14))   /   SUM(OFFSET($BO$15,0,0,$B$14,1)) + $B$18/($B$19*$B$19*($DN42&lt;&gt;$DO42) + $B$19*($DN42=$DO42))</f>
        <v>3.7037037037037035E-4</v>
      </c>
      <c r="FP42" s="10" cm="1">
        <f t="array" aca="1" ref="FP42" ca="1">(1-$B$18)*SUMPRODUCT(OFFSET($BO$15,0,0,$B$14,1), 1*(_xlfn._xlws.FILTER(OFFSET($O$15,0,$DN42,$B$8,1),OFFSET($M$15,0,0,$B$8,1))=FP$13), 1*(_xlfn._xlws.FILTER(OFFSET($O$15,0,$DO42,$B$8,1),OFFSET($M$15,0,0,$B$8,1))=FP$14))   /   SUM(OFFSET($BO$15,0,0,$B$14,1)) + $B$18/($B$19*$B$19*($DN42&lt;&gt;$DO42) + $B$19*($DN42=$DO42))</f>
        <v>3.7037037037037035E-4</v>
      </c>
      <c r="FQ42" s="10" cm="1">
        <f t="array" aca="1" ref="FQ42" ca="1">(1-$B$18)*SUMPRODUCT(OFFSET($BO$15,0,0,$B$14,1), 1*(_xlfn._xlws.FILTER(OFFSET($O$15,0,$DN42,$B$8,1),OFFSET($M$15,0,0,$B$8,1))=FQ$13), 1*(_xlfn._xlws.FILTER(OFFSET($O$15,0,$DO42,$B$8,1),OFFSET($M$15,0,0,$B$8,1))=FQ$14))   /   SUM(OFFSET($BO$15,0,0,$B$14,1)) + $B$18/($B$19*$B$19*($DN42&lt;&gt;$DO42) + $B$19*($DN42=$DO42))</f>
        <v>3.7037037037037035E-4</v>
      </c>
      <c r="FR42" s="10" cm="1">
        <f t="array" aca="1" ref="FR42" ca="1">(1-$B$18)*SUMPRODUCT(OFFSET($BO$15,0,0,$B$14,1), 1*(_xlfn._xlws.FILTER(OFFSET($O$15,0,$DN42,$B$8,1),OFFSET($M$15,0,0,$B$8,1))=FR$13), 1*(_xlfn._xlws.FILTER(OFFSET($O$15,0,$DO42,$B$8,1),OFFSET($M$15,0,0,$B$8,1))=FR$14))   /   SUM(OFFSET($BO$15,0,0,$B$14,1)) + $B$18/($B$19*$B$19*($DN42&lt;&gt;$DO42) + $B$19*($DN42=$DO42))</f>
        <v>0.97037037037037033</v>
      </c>
      <c r="FS42" s="10" cm="1">
        <f t="array" aca="1" ref="FS42" ca="1">(1-$B$18)*SUMPRODUCT(OFFSET($BO$15,0,0,$B$14,1), 1*(_xlfn._xlws.FILTER(OFFSET($O$15,0,$DN42,$B$8,1),OFFSET($M$15,0,0,$B$8,1))=FS$13), 1*(_xlfn._xlws.FILTER(OFFSET($O$15,0,$DO42,$B$8,1),OFFSET($M$15,0,0,$B$8,1))=FS$14))   /   SUM(OFFSET($BO$15,0,0,$B$14,1)) + $B$18/($B$19*$B$19*($DN42&lt;&gt;$DO42) + $B$19*($DN42=$DO42))</f>
        <v>3.7037037037037035E-4</v>
      </c>
      <c r="FT42" s="10" cm="1">
        <f t="array" aca="1" ref="FT42" ca="1">(1-$B$18)*SUMPRODUCT(OFFSET($BO$15,0,0,$B$14,1), 1*(_xlfn._xlws.FILTER(OFFSET($O$15,0,$DN42,$B$8,1),OFFSET($M$15,0,0,$B$8,1))=FT$13), 1*(_xlfn._xlws.FILTER(OFFSET($O$15,0,$DO42,$B$8,1),OFFSET($M$15,0,0,$B$8,1))=FT$14))   /   SUM(OFFSET($BO$15,0,0,$B$14,1)) + $B$18/($B$19*$B$19*($DN42&lt;&gt;$DO42) + $B$19*($DN42=$DO42))</f>
        <v>3.7037037037037035E-4</v>
      </c>
      <c r="FU42" s="10" cm="1">
        <f t="array" aca="1" ref="FU42" ca="1">(1-$B$18)*SUMPRODUCT(OFFSET($BO$15,0,0,$B$14,1), 1*(_xlfn._xlws.FILTER(OFFSET($O$15,0,$DN42,$B$8,1),OFFSET($M$15,0,0,$B$8,1))=FU$13), 1*(_xlfn._xlws.FILTER(OFFSET($O$15,0,$DO42,$B$8,1),OFFSET($M$15,0,0,$B$8,1))=FU$14))   /   SUM(OFFSET($BO$15,0,0,$B$14,1)) + $B$18/($B$19*$B$19*($DN42&lt;&gt;$DO42) + $B$19*($DN42=$DO42))</f>
        <v>3.7037037037037035E-4</v>
      </c>
      <c r="FV42" s="10" cm="1">
        <f t="array" aca="1" ref="FV42" ca="1">(1-$B$18)*SUMPRODUCT(OFFSET($BO$15,0,0,$B$14,1), 1*(_xlfn._xlws.FILTER(OFFSET($O$15,0,$DN42,$B$8,1),OFFSET($M$15,0,0,$B$8,1))=FV$13), 1*(_xlfn._xlws.FILTER(OFFSET($O$15,0,$DO42,$B$8,1),OFFSET($M$15,0,0,$B$8,1))=FV$14))   /   SUM(OFFSET($BO$15,0,0,$B$14,1)) + $B$18/($B$19*$B$19*($DN42&lt;&gt;$DO42) + $B$19*($DN42=$DO42))</f>
        <v>3.7037037037037035E-4</v>
      </c>
      <c r="FW42" s="10" cm="1">
        <f t="array" aca="1" ref="FW42" ca="1">(1-$B$18)*SUMPRODUCT(OFFSET($BO$15,0,0,$B$14,1), 1*(_xlfn._xlws.FILTER(OFFSET($O$15,0,$DN42,$B$8,1),OFFSET($M$15,0,0,$B$8,1))=FW$13), 1*(_xlfn._xlws.FILTER(OFFSET($O$15,0,$DO42,$B$8,1),OFFSET($M$15,0,0,$B$8,1))=FW$14))   /   SUM(OFFSET($BO$15,0,0,$B$14,1)) + $B$18/($B$19*$B$19*($DN42&lt;&gt;$DO42) + $B$19*($DN42=$DO42))</f>
        <v>3.7037037037037035E-4</v>
      </c>
      <c r="FX42" s="10" cm="1">
        <f t="array" aca="1" ref="FX42" ca="1">(1-$B$18)*SUMPRODUCT(OFFSET($BO$15,0,0,$B$14,1), 1*(_xlfn._xlws.FILTER(OFFSET($O$15,0,$DN42,$B$8,1),OFFSET($M$15,0,0,$B$8,1))=FX$13), 1*(_xlfn._xlws.FILTER(OFFSET($O$15,0,$DO42,$B$8,1),OFFSET($M$15,0,0,$B$8,1))=FX$14))   /   SUM(OFFSET($BO$15,0,0,$B$14,1)) + $B$18/($B$19*$B$19*($DN42&lt;&gt;$DO42) + $B$19*($DN42=$DO42))</f>
        <v>3.7037037037037035E-4</v>
      </c>
      <c r="FY42" s="10" cm="1">
        <f t="array" aca="1" ref="FY42" ca="1">(1-$B$18)*SUMPRODUCT(OFFSET($BO$15,0,0,$B$14,1), 1*(_xlfn._xlws.FILTER(OFFSET($O$15,0,$DN42,$B$8,1),OFFSET($M$15,0,0,$B$8,1))=FY$13), 1*(_xlfn._xlws.FILTER(OFFSET($O$15,0,$DO42,$B$8,1),OFFSET($M$15,0,0,$B$8,1))=FY$14))   /   SUM(OFFSET($BO$15,0,0,$B$14,1)) + $B$18/($B$19*$B$19*($DN42&lt;&gt;$DO42) + $B$19*($DN42=$DO42))</f>
        <v>3.7037037037037035E-4</v>
      </c>
      <c r="FZ42" s="10" cm="1">
        <f t="array" aca="1" ref="FZ42" ca="1">(1-$B$18)*SUMPRODUCT(OFFSET($BO$15,0,0,$B$14,1), 1*(_xlfn._xlws.FILTER(OFFSET($O$15,0,$DN42,$B$8,1),OFFSET($M$15,0,0,$B$8,1))=FZ$13), 1*(_xlfn._xlws.FILTER(OFFSET($O$15,0,$DO42,$B$8,1),OFFSET($M$15,0,0,$B$8,1))=FZ$14))   /   SUM(OFFSET($BO$15,0,0,$B$14,1)) + $B$18/($B$19*$B$19*($DN42&lt;&gt;$DO42) + $B$19*($DN42=$DO42))</f>
        <v>3.7037037037037035E-4</v>
      </c>
      <c r="GA42" s="10" cm="1">
        <f t="array" aca="1" ref="GA42" ca="1">(1-$B$18)*SUMPRODUCT(OFFSET($BO$15,0,0,$B$14,1), 1*(_xlfn._xlws.FILTER(OFFSET($O$15,0,$DN42,$B$8,1),OFFSET($M$15,0,0,$B$8,1))=GA$13), 1*(_xlfn._xlws.FILTER(OFFSET($O$15,0,$DO42,$B$8,1),OFFSET($M$15,0,0,$B$8,1))=GA$14))   /   SUM(OFFSET($BO$15,0,0,$B$14,1)) + $B$18/($B$19*$B$19*($DN42&lt;&gt;$DO42) + $B$19*($DN42=$DO42))</f>
        <v>3.7037037037037035E-4</v>
      </c>
    </row>
    <row r="43" spans="4:183" x14ac:dyDescent="0.2">
      <c r="AK43" s="2"/>
      <c r="AL43" s="2"/>
      <c r="DN43" cm="1">
        <f t="array" aca="1" ref="DN43" ca="1">INDEX(_xlfn.ANCHORARRAY($CP$15), 1 + INT((ROWS($DO$15:$DO43) - 1) / ROWS(_xlfn.ANCHORARRAY($CP$15))))</f>
        <v>1</v>
      </c>
      <c r="DO43" cm="1">
        <f t="array" aca="1" ref="DO43" ca="1">INDEX(_xlfn.ANCHORARRAY($CP$15),1+MOD(ROWS($DO$15:$DO43)-1,ROWS(_xlfn.ANCHORARRAY($CP$15))))</f>
        <v>9</v>
      </c>
      <c r="DP43" s="10" cm="1">
        <f t="array" aca="1" ref="DP43" ca="1">(1-$B$18)*SUMPRODUCT(OFFSET($BO$15,0,0,$B$14,1), 1*(_xlfn._xlws.FILTER(OFFSET($O$15,0,$DN43,$B$8,1),OFFSET($M$15,0,0,$B$8,1))=DP$13), 1*(_xlfn._xlws.FILTER(OFFSET($O$15,0,$DO43,$B$8,1),OFFSET($M$15,0,0,$B$8,1))=DP$14))   /   SUM(OFFSET($BO$15,0,0,$B$14,1)) + $B$18/($B$19*$B$19*($DN43&lt;&gt;$DO43) + $B$19*($DN43=$DO43))</f>
        <v>3.7037037037037035E-4</v>
      </c>
      <c r="DQ43" s="10" cm="1">
        <f t="array" aca="1" ref="DQ43" ca="1">(1-$B$18)*SUMPRODUCT(OFFSET($BO$15,0,0,$B$14,1), 1*(_xlfn._xlws.FILTER(OFFSET($O$15,0,$DN43,$B$8,1),OFFSET($M$15,0,0,$B$8,1))=DQ$13), 1*(_xlfn._xlws.FILTER(OFFSET($O$15,0,$DO43,$B$8,1),OFFSET($M$15,0,0,$B$8,1))=DQ$14))   /   SUM(OFFSET($BO$15,0,0,$B$14,1)) + $B$18/($B$19*$B$19*($DN43&lt;&gt;$DO43) + $B$19*($DN43=$DO43))</f>
        <v>3.7037037037037035E-4</v>
      </c>
      <c r="DR43" s="10" cm="1">
        <f t="array" aca="1" ref="DR43" ca="1">(1-$B$18)*SUMPRODUCT(OFFSET($BO$15,0,0,$B$14,1), 1*(_xlfn._xlws.FILTER(OFFSET($O$15,0,$DN43,$B$8,1),OFFSET($M$15,0,0,$B$8,1))=DR$13), 1*(_xlfn._xlws.FILTER(OFFSET($O$15,0,$DO43,$B$8,1),OFFSET($M$15,0,0,$B$8,1))=DR$14))   /   SUM(OFFSET($BO$15,0,0,$B$14,1)) + $B$18/($B$19*$B$19*($DN43&lt;&gt;$DO43) + $B$19*($DN43=$DO43))</f>
        <v>3.7037037037037035E-4</v>
      </c>
      <c r="DS43" s="10" cm="1">
        <f t="array" aca="1" ref="DS43" ca="1">(1-$B$18)*SUMPRODUCT(OFFSET($BO$15,0,0,$B$14,1), 1*(_xlfn._xlws.FILTER(OFFSET($O$15,0,$DN43,$B$8,1),OFFSET($M$15,0,0,$B$8,1))=DS$13), 1*(_xlfn._xlws.FILTER(OFFSET($O$15,0,$DO43,$B$8,1),OFFSET($M$15,0,0,$B$8,1))=DS$14))   /   SUM(OFFSET($BO$15,0,0,$B$14,1)) + $B$18/($B$19*$B$19*($DN43&lt;&gt;$DO43) + $B$19*($DN43=$DO43))</f>
        <v>3.7037037037037035E-4</v>
      </c>
      <c r="DT43" s="10" cm="1">
        <f t="array" aca="1" ref="DT43" ca="1">(1-$B$18)*SUMPRODUCT(OFFSET($BO$15,0,0,$B$14,1), 1*(_xlfn._xlws.FILTER(OFFSET($O$15,0,$DN43,$B$8,1),OFFSET($M$15,0,0,$B$8,1))=DT$13), 1*(_xlfn._xlws.FILTER(OFFSET($O$15,0,$DO43,$B$8,1),OFFSET($M$15,0,0,$B$8,1))=DT$14))   /   SUM(OFFSET($BO$15,0,0,$B$14,1)) + $B$18/($B$19*$B$19*($DN43&lt;&gt;$DO43) + $B$19*($DN43=$DO43))</f>
        <v>3.7037037037037035E-4</v>
      </c>
      <c r="DU43" s="10" cm="1">
        <f t="array" aca="1" ref="DU43" ca="1">(1-$B$18)*SUMPRODUCT(OFFSET($BO$15,0,0,$B$14,1), 1*(_xlfn._xlws.FILTER(OFFSET($O$15,0,$DN43,$B$8,1),OFFSET($M$15,0,0,$B$8,1))=DU$13), 1*(_xlfn._xlws.FILTER(OFFSET($O$15,0,$DO43,$B$8,1),OFFSET($M$15,0,0,$B$8,1))=DU$14))   /   SUM(OFFSET($BO$15,0,0,$B$14,1)) + $B$18/($B$19*$B$19*($DN43&lt;&gt;$DO43) + $B$19*($DN43=$DO43))</f>
        <v>3.7037037037037035E-4</v>
      </c>
      <c r="DV43" s="10" cm="1">
        <f t="array" aca="1" ref="DV43" ca="1">(1-$B$18)*SUMPRODUCT(OFFSET($BO$15,0,0,$B$14,1), 1*(_xlfn._xlws.FILTER(OFFSET($O$15,0,$DN43,$B$8,1),OFFSET($M$15,0,0,$B$8,1))=DV$13), 1*(_xlfn._xlws.FILTER(OFFSET($O$15,0,$DO43,$B$8,1),OFFSET($M$15,0,0,$B$8,1))=DV$14))   /   SUM(OFFSET($BO$15,0,0,$B$14,1)) + $B$18/($B$19*$B$19*($DN43&lt;&gt;$DO43) + $B$19*($DN43=$DO43))</f>
        <v>3.7037037037037035E-4</v>
      </c>
      <c r="DW43" s="10" cm="1">
        <f t="array" aca="1" ref="DW43" ca="1">(1-$B$18)*SUMPRODUCT(OFFSET($BO$15,0,0,$B$14,1), 1*(_xlfn._xlws.FILTER(OFFSET($O$15,0,$DN43,$B$8,1),OFFSET($M$15,0,0,$B$8,1))=DW$13), 1*(_xlfn._xlws.FILTER(OFFSET($O$15,0,$DO43,$B$8,1),OFFSET($M$15,0,0,$B$8,1))=DW$14))   /   SUM(OFFSET($BO$15,0,0,$B$14,1)) + $B$18/($B$19*$B$19*($DN43&lt;&gt;$DO43) + $B$19*($DN43=$DO43))</f>
        <v>3.7037037037037035E-4</v>
      </c>
      <c r="DX43" s="10" cm="1">
        <f t="array" aca="1" ref="DX43" ca="1">(1-$B$18)*SUMPRODUCT(OFFSET($BO$15,0,0,$B$14,1), 1*(_xlfn._xlws.FILTER(OFFSET($O$15,0,$DN43,$B$8,1),OFFSET($M$15,0,0,$B$8,1))=DX$13), 1*(_xlfn._xlws.FILTER(OFFSET($O$15,0,$DO43,$B$8,1),OFFSET($M$15,0,0,$B$8,1))=DX$14))   /   SUM(OFFSET($BO$15,0,0,$B$14,1)) + $B$18/($B$19*$B$19*($DN43&lt;&gt;$DO43) + $B$19*($DN43=$DO43))</f>
        <v>3.7037037037037035E-4</v>
      </c>
      <c r="DY43" s="10" cm="1">
        <f t="array" aca="1" ref="DY43" ca="1">(1-$B$18)*SUMPRODUCT(OFFSET($BO$15,0,0,$B$14,1), 1*(_xlfn._xlws.FILTER(OFFSET($O$15,0,$DN43,$B$8,1),OFFSET($M$15,0,0,$B$8,1))=DY$13), 1*(_xlfn._xlws.FILTER(OFFSET($O$15,0,$DO43,$B$8,1),OFFSET($M$15,0,0,$B$8,1))=DY$14))   /   SUM(OFFSET($BO$15,0,0,$B$14,1)) + $B$18/($B$19*$B$19*($DN43&lt;&gt;$DO43) + $B$19*($DN43=$DO43))</f>
        <v>3.7037037037037035E-4</v>
      </c>
      <c r="DZ43" s="10" cm="1">
        <f t="array" aca="1" ref="DZ43" ca="1">(1-$B$18)*SUMPRODUCT(OFFSET($BO$15,0,0,$B$14,1), 1*(_xlfn._xlws.FILTER(OFFSET($O$15,0,$DN43,$B$8,1),OFFSET($M$15,0,0,$B$8,1))=DZ$13), 1*(_xlfn._xlws.FILTER(OFFSET($O$15,0,$DO43,$B$8,1),OFFSET($M$15,0,0,$B$8,1))=DZ$14))   /   SUM(OFFSET($BO$15,0,0,$B$14,1)) + $B$18/($B$19*$B$19*($DN43&lt;&gt;$DO43) + $B$19*($DN43=$DO43))</f>
        <v>3.7037037037037035E-4</v>
      </c>
      <c r="EA43" s="10" cm="1">
        <f t="array" aca="1" ref="EA43" ca="1">(1-$B$18)*SUMPRODUCT(OFFSET($BO$15,0,0,$B$14,1), 1*(_xlfn._xlws.FILTER(OFFSET($O$15,0,$DN43,$B$8,1),OFFSET($M$15,0,0,$B$8,1))=EA$13), 1*(_xlfn._xlws.FILTER(OFFSET($O$15,0,$DO43,$B$8,1),OFFSET($M$15,0,0,$B$8,1))=EA$14))   /   SUM(OFFSET($BO$15,0,0,$B$14,1)) + $B$18/($B$19*$B$19*($DN43&lt;&gt;$DO43) + $B$19*($DN43=$DO43))</f>
        <v>3.7037037037037035E-4</v>
      </c>
      <c r="EB43" s="10" cm="1">
        <f t="array" aca="1" ref="EB43" ca="1">(1-$B$18)*SUMPRODUCT(OFFSET($BO$15,0,0,$B$14,1), 1*(_xlfn._xlws.FILTER(OFFSET($O$15,0,$DN43,$B$8,1),OFFSET($M$15,0,0,$B$8,1))=EB$13), 1*(_xlfn._xlws.FILTER(OFFSET($O$15,0,$DO43,$B$8,1),OFFSET($M$15,0,0,$B$8,1))=EB$14))   /   SUM(OFFSET($BO$15,0,0,$B$14,1)) + $B$18/($B$19*$B$19*($DN43&lt;&gt;$DO43) + $B$19*($DN43=$DO43))</f>
        <v>3.7037037037037035E-4</v>
      </c>
      <c r="EC43" s="10" cm="1">
        <f t="array" aca="1" ref="EC43" ca="1">(1-$B$18)*SUMPRODUCT(OFFSET($BO$15,0,0,$B$14,1), 1*(_xlfn._xlws.FILTER(OFFSET($O$15,0,$DN43,$B$8,1),OFFSET($M$15,0,0,$B$8,1))=EC$13), 1*(_xlfn._xlws.FILTER(OFFSET($O$15,0,$DO43,$B$8,1),OFFSET($M$15,0,0,$B$8,1))=EC$14))   /   SUM(OFFSET($BO$15,0,0,$B$14,1)) + $B$18/($B$19*$B$19*($DN43&lt;&gt;$DO43) + $B$19*($DN43=$DO43))</f>
        <v>3.7037037037037035E-4</v>
      </c>
      <c r="ED43" s="10" cm="1">
        <f t="array" aca="1" ref="ED43" ca="1">(1-$B$18)*SUMPRODUCT(OFFSET($BO$15,0,0,$B$14,1), 1*(_xlfn._xlws.FILTER(OFFSET($O$15,0,$DN43,$B$8,1),OFFSET($M$15,0,0,$B$8,1))=ED$13), 1*(_xlfn._xlws.FILTER(OFFSET($O$15,0,$DO43,$B$8,1),OFFSET($M$15,0,0,$B$8,1))=ED$14))   /   SUM(OFFSET($BO$15,0,0,$B$14,1)) + $B$18/($B$19*$B$19*($DN43&lt;&gt;$DO43) + $B$19*($DN43=$DO43))</f>
        <v>3.7037037037037035E-4</v>
      </c>
      <c r="EE43" s="10" cm="1">
        <f t="array" aca="1" ref="EE43" ca="1">(1-$B$18)*SUMPRODUCT(OFFSET($BO$15,0,0,$B$14,1), 1*(_xlfn._xlws.FILTER(OFFSET($O$15,0,$DN43,$B$8,1),OFFSET($M$15,0,0,$B$8,1))=EE$13), 1*(_xlfn._xlws.FILTER(OFFSET($O$15,0,$DO43,$B$8,1),OFFSET($M$15,0,0,$B$8,1))=EE$14))   /   SUM(OFFSET($BO$15,0,0,$B$14,1)) + $B$18/($B$19*$B$19*($DN43&lt;&gt;$DO43) + $B$19*($DN43=$DO43))</f>
        <v>3.7037037037037035E-4</v>
      </c>
      <c r="EF43" s="10" cm="1">
        <f t="array" aca="1" ref="EF43" ca="1">(1-$B$18)*SUMPRODUCT(OFFSET($BO$15,0,0,$B$14,1), 1*(_xlfn._xlws.FILTER(OFFSET($O$15,0,$DN43,$B$8,1),OFFSET($M$15,0,0,$B$8,1))=EF$13), 1*(_xlfn._xlws.FILTER(OFFSET($O$15,0,$DO43,$B$8,1),OFFSET($M$15,0,0,$B$8,1))=EF$14))   /   SUM(OFFSET($BO$15,0,0,$B$14,1)) + $B$18/($B$19*$B$19*($DN43&lt;&gt;$DO43) + $B$19*($DN43=$DO43))</f>
        <v>3.7037037037037035E-4</v>
      </c>
      <c r="EG43" s="10" cm="1">
        <f t="array" aca="1" ref="EG43" ca="1">(1-$B$18)*SUMPRODUCT(OFFSET($BO$15,0,0,$B$14,1), 1*(_xlfn._xlws.FILTER(OFFSET($O$15,0,$DN43,$B$8,1),OFFSET($M$15,0,0,$B$8,1))=EG$13), 1*(_xlfn._xlws.FILTER(OFFSET($O$15,0,$DO43,$B$8,1),OFFSET($M$15,0,0,$B$8,1))=EG$14))   /   SUM(OFFSET($BO$15,0,0,$B$14,1)) + $B$18/($B$19*$B$19*($DN43&lt;&gt;$DO43) + $B$19*($DN43=$DO43))</f>
        <v>3.7037037037037035E-4</v>
      </c>
      <c r="EH43" s="10" cm="1">
        <f t="array" aca="1" ref="EH43" ca="1">(1-$B$18)*SUMPRODUCT(OFFSET($BO$15,0,0,$B$14,1), 1*(_xlfn._xlws.FILTER(OFFSET($O$15,0,$DN43,$B$8,1),OFFSET($M$15,0,0,$B$8,1))=EH$13), 1*(_xlfn._xlws.FILTER(OFFSET($O$15,0,$DO43,$B$8,1),OFFSET($M$15,0,0,$B$8,1))=EH$14))   /   SUM(OFFSET($BO$15,0,0,$B$14,1)) + $B$18/($B$19*$B$19*($DN43&lt;&gt;$DO43) + $B$19*($DN43=$DO43))</f>
        <v>3.7037037037037035E-4</v>
      </c>
      <c r="EI43" s="10" cm="1">
        <f t="array" aca="1" ref="EI43" ca="1">(1-$B$18)*SUMPRODUCT(OFFSET($BO$15,0,0,$B$14,1), 1*(_xlfn._xlws.FILTER(OFFSET($O$15,0,$DN43,$B$8,1),OFFSET($M$15,0,0,$B$8,1))=EI$13), 1*(_xlfn._xlws.FILTER(OFFSET($O$15,0,$DO43,$B$8,1),OFFSET($M$15,0,0,$B$8,1))=EI$14))   /   SUM(OFFSET($BO$15,0,0,$B$14,1)) + $B$18/($B$19*$B$19*($DN43&lt;&gt;$DO43) + $B$19*($DN43=$DO43))</f>
        <v>3.7037037037037035E-4</v>
      </c>
      <c r="EJ43" s="10" cm="1">
        <f t="array" aca="1" ref="EJ43" ca="1">(1-$B$18)*SUMPRODUCT(OFFSET($BO$15,0,0,$B$14,1), 1*(_xlfn._xlws.FILTER(OFFSET($O$15,0,$DN43,$B$8,1),OFFSET($M$15,0,0,$B$8,1))=EJ$13), 1*(_xlfn._xlws.FILTER(OFFSET($O$15,0,$DO43,$B$8,1),OFFSET($M$15,0,0,$B$8,1))=EJ$14))   /   SUM(OFFSET($BO$15,0,0,$B$14,1)) + $B$18/($B$19*$B$19*($DN43&lt;&gt;$DO43) + $B$19*($DN43=$DO43))</f>
        <v>3.7037037037037035E-4</v>
      </c>
      <c r="EK43" s="10" cm="1">
        <f t="array" aca="1" ref="EK43" ca="1">(1-$B$18)*SUMPRODUCT(OFFSET($BO$15,0,0,$B$14,1), 1*(_xlfn._xlws.FILTER(OFFSET($O$15,0,$DN43,$B$8,1),OFFSET($M$15,0,0,$B$8,1))=EK$13), 1*(_xlfn._xlws.FILTER(OFFSET($O$15,0,$DO43,$B$8,1),OFFSET($M$15,0,0,$B$8,1))=EK$14))   /   SUM(OFFSET($BO$15,0,0,$B$14,1)) + $B$18/($B$19*$B$19*($DN43&lt;&gt;$DO43) + $B$19*($DN43=$DO43))</f>
        <v>3.7037037037037035E-4</v>
      </c>
      <c r="EL43" s="10" cm="1">
        <f t="array" aca="1" ref="EL43" ca="1">(1-$B$18)*SUMPRODUCT(OFFSET($BO$15,0,0,$B$14,1), 1*(_xlfn._xlws.FILTER(OFFSET($O$15,0,$DN43,$B$8,1),OFFSET($M$15,0,0,$B$8,1))=EL$13), 1*(_xlfn._xlws.FILTER(OFFSET($O$15,0,$DO43,$B$8,1),OFFSET($M$15,0,0,$B$8,1))=EL$14))   /   SUM(OFFSET($BO$15,0,0,$B$14,1)) + $B$18/($B$19*$B$19*($DN43&lt;&gt;$DO43) + $B$19*($DN43=$DO43))</f>
        <v>3.7037037037037035E-4</v>
      </c>
      <c r="EM43" s="10" cm="1">
        <f t="array" aca="1" ref="EM43" ca="1">(1-$B$18)*SUMPRODUCT(OFFSET($BO$15,0,0,$B$14,1), 1*(_xlfn._xlws.FILTER(OFFSET($O$15,0,$DN43,$B$8,1),OFFSET($M$15,0,0,$B$8,1))=EM$13), 1*(_xlfn._xlws.FILTER(OFFSET($O$15,0,$DO43,$B$8,1),OFFSET($M$15,0,0,$B$8,1))=EM$14))   /   SUM(OFFSET($BO$15,0,0,$B$14,1)) + $B$18/($B$19*$B$19*($DN43&lt;&gt;$DO43) + $B$19*($DN43=$DO43))</f>
        <v>3.7037037037037035E-4</v>
      </c>
      <c r="EN43" s="10" cm="1">
        <f t="array" aca="1" ref="EN43" ca="1">(1-$B$18)*SUMPRODUCT(OFFSET($BO$15,0,0,$B$14,1), 1*(_xlfn._xlws.FILTER(OFFSET($O$15,0,$DN43,$B$8,1),OFFSET($M$15,0,0,$B$8,1))=EN$13), 1*(_xlfn._xlws.FILTER(OFFSET($O$15,0,$DO43,$B$8,1),OFFSET($M$15,0,0,$B$8,1))=EN$14))   /   SUM(OFFSET($BO$15,0,0,$B$14,1)) + $B$18/($B$19*$B$19*($DN43&lt;&gt;$DO43) + $B$19*($DN43=$DO43))</f>
        <v>3.7037037037037035E-4</v>
      </c>
      <c r="EO43" s="10" cm="1">
        <f t="array" aca="1" ref="EO43" ca="1">(1-$B$18)*SUMPRODUCT(OFFSET($BO$15,0,0,$B$14,1), 1*(_xlfn._xlws.FILTER(OFFSET($O$15,0,$DN43,$B$8,1),OFFSET($M$15,0,0,$B$8,1))=EO$13), 1*(_xlfn._xlws.FILTER(OFFSET($O$15,0,$DO43,$B$8,1),OFFSET($M$15,0,0,$B$8,1))=EO$14))   /   SUM(OFFSET($BO$15,0,0,$B$14,1)) + $B$18/($B$19*$B$19*($DN43&lt;&gt;$DO43) + $B$19*($DN43=$DO43))</f>
        <v>3.7037037037037035E-4</v>
      </c>
      <c r="EP43" s="10" cm="1">
        <f t="array" aca="1" ref="EP43" ca="1">(1-$B$18)*SUMPRODUCT(OFFSET($BO$15,0,0,$B$14,1), 1*(_xlfn._xlws.FILTER(OFFSET($O$15,0,$DN43,$B$8,1),OFFSET($M$15,0,0,$B$8,1))=EP$13), 1*(_xlfn._xlws.FILTER(OFFSET($O$15,0,$DO43,$B$8,1),OFFSET($M$15,0,0,$B$8,1))=EP$14))   /   SUM(OFFSET($BO$15,0,0,$B$14,1)) + $B$18/($B$19*$B$19*($DN43&lt;&gt;$DO43) + $B$19*($DN43=$DO43))</f>
        <v>3.7037037037037035E-4</v>
      </c>
      <c r="EQ43" s="10" cm="1">
        <f t="array" aca="1" ref="EQ43" ca="1">(1-$B$18)*SUMPRODUCT(OFFSET($BO$15,0,0,$B$14,1), 1*(_xlfn._xlws.FILTER(OFFSET($O$15,0,$DN43,$B$8,1),OFFSET($M$15,0,0,$B$8,1))=EQ$13), 1*(_xlfn._xlws.FILTER(OFFSET($O$15,0,$DO43,$B$8,1),OFFSET($M$15,0,0,$B$8,1))=EQ$14))   /   SUM(OFFSET($BO$15,0,0,$B$14,1)) + $B$18/($B$19*$B$19*($DN43&lt;&gt;$DO43) + $B$19*($DN43=$DO43))</f>
        <v>3.7037037037037035E-4</v>
      </c>
      <c r="ER43" s="10" cm="1">
        <f t="array" aca="1" ref="ER43" ca="1">(1-$B$18)*SUMPRODUCT(OFFSET($BO$15,0,0,$B$14,1), 1*(_xlfn._xlws.FILTER(OFFSET($O$15,0,$DN43,$B$8,1),OFFSET($M$15,0,0,$B$8,1))=ER$13), 1*(_xlfn._xlws.FILTER(OFFSET($O$15,0,$DO43,$B$8,1),OFFSET($M$15,0,0,$B$8,1))=ER$14))   /   SUM(OFFSET($BO$15,0,0,$B$14,1)) + $B$18/($B$19*$B$19*($DN43&lt;&gt;$DO43) + $B$19*($DN43=$DO43))</f>
        <v>3.7037037037037035E-4</v>
      </c>
      <c r="ES43" s="10" cm="1">
        <f t="array" aca="1" ref="ES43" ca="1">(1-$B$18)*SUMPRODUCT(OFFSET($BO$15,0,0,$B$14,1), 1*(_xlfn._xlws.FILTER(OFFSET($O$15,0,$DN43,$B$8,1),OFFSET($M$15,0,0,$B$8,1))=ES$13), 1*(_xlfn._xlws.FILTER(OFFSET($O$15,0,$DO43,$B$8,1),OFFSET($M$15,0,0,$B$8,1))=ES$14))   /   SUM(OFFSET($BO$15,0,0,$B$14,1)) + $B$18/($B$19*$B$19*($DN43&lt;&gt;$DO43) + $B$19*($DN43=$DO43))</f>
        <v>3.7037037037037035E-4</v>
      </c>
      <c r="ET43" s="10" cm="1">
        <f t="array" aca="1" ref="ET43" ca="1">(1-$B$18)*SUMPRODUCT(OFFSET($BO$15,0,0,$B$14,1), 1*(_xlfn._xlws.FILTER(OFFSET($O$15,0,$DN43,$B$8,1),OFFSET($M$15,0,0,$B$8,1))=ET$13), 1*(_xlfn._xlws.FILTER(OFFSET($O$15,0,$DO43,$B$8,1),OFFSET($M$15,0,0,$B$8,1))=ET$14))   /   SUM(OFFSET($BO$15,0,0,$B$14,1)) + $B$18/($B$19*$B$19*($DN43&lt;&gt;$DO43) + $B$19*($DN43=$DO43))</f>
        <v>3.7037037037037035E-4</v>
      </c>
      <c r="EU43" s="10" cm="1">
        <f t="array" aca="1" ref="EU43" ca="1">(1-$B$18)*SUMPRODUCT(OFFSET($BO$15,0,0,$B$14,1), 1*(_xlfn._xlws.FILTER(OFFSET($O$15,0,$DN43,$B$8,1),OFFSET($M$15,0,0,$B$8,1))=EU$13), 1*(_xlfn._xlws.FILTER(OFFSET($O$15,0,$DO43,$B$8,1),OFFSET($M$15,0,0,$B$8,1))=EU$14))   /   SUM(OFFSET($BO$15,0,0,$B$14,1)) + $B$18/($B$19*$B$19*($DN43&lt;&gt;$DO43) + $B$19*($DN43=$DO43))</f>
        <v>3.7037037037037035E-4</v>
      </c>
      <c r="EV43" s="10" cm="1">
        <f t="array" aca="1" ref="EV43" ca="1">(1-$B$18)*SUMPRODUCT(OFFSET($BO$15,0,0,$B$14,1), 1*(_xlfn._xlws.FILTER(OFFSET($O$15,0,$DN43,$B$8,1),OFFSET($M$15,0,0,$B$8,1))=EV$13), 1*(_xlfn._xlws.FILTER(OFFSET($O$15,0,$DO43,$B$8,1),OFFSET($M$15,0,0,$B$8,1))=EV$14))   /   SUM(OFFSET($BO$15,0,0,$B$14,1)) + $B$18/($B$19*$B$19*($DN43&lt;&gt;$DO43) + $B$19*($DN43=$DO43))</f>
        <v>3.7037037037037035E-4</v>
      </c>
      <c r="EW43" s="10" cm="1">
        <f t="array" aca="1" ref="EW43" ca="1">(1-$B$18)*SUMPRODUCT(OFFSET($BO$15,0,0,$B$14,1), 1*(_xlfn._xlws.FILTER(OFFSET($O$15,0,$DN43,$B$8,1),OFFSET($M$15,0,0,$B$8,1))=EW$13), 1*(_xlfn._xlws.FILTER(OFFSET($O$15,0,$DO43,$B$8,1),OFFSET($M$15,0,0,$B$8,1))=EW$14))   /   SUM(OFFSET($BO$15,0,0,$B$14,1)) + $B$18/($B$19*$B$19*($DN43&lt;&gt;$DO43) + $B$19*($DN43=$DO43))</f>
        <v>3.7037037037037035E-4</v>
      </c>
      <c r="EX43" s="10" cm="1">
        <f t="array" aca="1" ref="EX43" ca="1">(1-$B$18)*SUMPRODUCT(OFFSET($BO$15,0,0,$B$14,1), 1*(_xlfn._xlws.FILTER(OFFSET($O$15,0,$DN43,$B$8,1),OFFSET($M$15,0,0,$B$8,1))=EX$13), 1*(_xlfn._xlws.FILTER(OFFSET($O$15,0,$DO43,$B$8,1),OFFSET($M$15,0,0,$B$8,1))=EX$14))   /   SUM(OFFSET($BO$15,0,0,$B$14,1)) + $B$18/($B$19*$B$19*($DN43&lt;&gt;$DO43) + $B$19*($DN43=$DO43))</f>
        <v>3.7037037037037035E-4</v>
      </c>
      <c r="EY43" s="10" cm="1">
        <f t="array" aca="1" ref="EY43" ca="1">(1-$B$18)*SUMPRODUCT(OFFSET($BO$15,0,0,$B$14,1), 1*(_xlfn._xlws.FILTER(OFFSET($O$15,0,$DN43,$B$8,1),OFFSET($M$15,0,0,$B$8,1))=EY$13), 1*(_xlfn._xlws.FILTER(OFFSET($O$15,0,$DO43,$B$8,1),OFFSET($M$15,0,0,$B$8,1))=EY$14))   /   SUM(OFFSET($BO$15,0,0,$B$14,1)) + $B$18/($B$19*$B$19*($DN43&lt;&gt;$DO43) + $B$19*($DN43=$DO43))</f>
        <v>3.7037037037037035E-4</v>
      </c>
      <c r="EZ43" s="10" cm="1">
        <f t="array" aca="1" ref="EZ43" ca="1">(1-$B$18)*SUMPRODUCT(OFFSET($BO$15,0,0,$B$14,1), 1*(_xlfn._xlws.FILTER(OFFSET($O$15,0,$DN43,$B$8,1),OFFSET($M$15,0,0,$B$8,1))=EZ$13), 1*(_xlfn._xlws.FILTER(OFFSET($O$15,0,$DO43,$B$8,1),OFFSET($M$15,0,0,$B$8,1))=EZ$14))   /   SUM(OFFSET($BO$15,0,0,$B$14,1)) + $B$18/($B$19*$B$19*($DN43&lt;&gt;$DO43) + $B$19*($DN43=$DO43))</f>
        <v>3.7037037037037035E-4</v>
      </c>
      <c r="FA43" s="10" cm="1">
        <f t="array" aca="1" ref="FA43" ca="1">(1-$B$18)*SUMPRODUCT(OFFSET($BO$15,0,0,$B$14,1), 1*(_xlfn._xlws.FILTER(OFFSET($O$15,0,$DN43,$B$8,1),OFFSET($M$15,0,0,$B$8,1))=FA$13), 1*(_xlfn._xlws.FILTER(OFFSET($O$15,0,$DO43,$B$8,1),OFFSET($M$15,0,0,$B$8,1))=FA$14))   /   SUM(OFFSET($BO$15,0,0,$B$14,1)) + $B$18/($B$19*$B$19*($DN43&lt;&gt;$DO43) + $B$19*($DN43=$DO43))</f>
        <v>3.7037037037037035E-4</v>
      </c>
      <c r="FB43" s="10" cm="1">
        <f t="array" aca="1" ref="FB43" ca="1">(1-$B$18)*SUMPRODUCT(OFFSET($BO$15,0,0,$B$14,1), 1*(_xlfn._xlws.FILTER(OFFSET($O$15,0,$DN43,$B$8,1),OFFSET($M$15,0,0,$B$8,1))=FB$13), 1*(_xlfn._xlws.FILTER(OFFSET($O$15,0,$DO43,$B$8,1),OFFSET($M$15,0,0,$B$8,1))=FB$14))   /   SUM(OFFSET($BO$15,0,0,$B$14,1)) + $B$18/($B$19*$B$19*($DN43&lt;&gt;$DO43) + $B$19*($DN43=$DO43))</f>
        <v>3.7037037037037035E-4</v>
      </c>
      <c r="FC43" s="10" cm="1">
        <f t="array" aca="1" ref="FC43" ca="1">(1-$B$18)*SUMPRODUCT(OFFSET($BO$15,0,0,$B$14,1), 1*(_xlfn._xlws.FILTER(OFFSET($O$15,0,$DN43,$B$8,1),OFFSET($M$15,0,0,$B$8,1))=FC$13), 1*(_xlfn._xlws.FILTER(OFFSET($O$15,0,$DO43,$B$8,1),OFFSET($M$15,0,0,$B$8,1))=FC$14))   /   SUM(OFFSET($BO$15,0,0,$B$14,1)) + $B$18/($B$19*$B$19*($DN43&lt;&gt;$DO43) + $B$19*($DN43=$DO43))</f>
        <v>3.7037037037037035E-4</v>
      </c>
      <c r="FD43" s="10" cm="1">
        <f t="array" aca="1" ref="FD43" ca="1">(1-$B$18)*SUMPRODUCT(OFFSET($BO$15,0,0,$B$14,1), 1*(_xlfn._xlws.FILTER(OFFSET($O$15,0,$DN43,$B$8,1),OFFSET($M$15,0,0,$B$8,1))=FD$13), 1*(_xlfn._xlws.FILTER(OFFSET($O$15,0,$DO43,$B$8,1),OFFSET($M$15,0,0,$B$8,1))=FD$14))   /   SUM(OFFSET($BO$15,0,0,$B$14,1)) + $B$18/($B$19*$B$19*($DN43&lt;&gt;$DO43) + $B$19*($DN43=$DO43))</f>
        <v>3.7037037037037035E-4</v>
      </c>
      <c r="FE43" s="10" cm="1">
        <f t="array" aca="1" ref="FE43" ca="1">(1-$B$18)*SUMPRODUCT(OFFSET($BO$15,0,0,$B$14,1), 1*(_xlfn._xlws.FILTER(OFFSET($O$15,0,$DN43,$B$8,1),OFFSET($M$15,0,0,$B$8,1))=FE$13), 1*(_xlfn._xlws.FILTER(OFFSET($O$15,0,$DO43,$B$8,1),OFFSET($M$15,0,0,$B$8,1))=FE$14))   /   SUM(OFFSET($BO$15,0,0,$B$14,1)) + $B$18/($B$19*$B$19*($DN43&lt;&gt;$DO43) + $B$19*($DN43=$DO43))</f>
        <v>3.7037037037037035E-4</v>
      </c>
      <c r="FF43" s="10" cm="1">
        <f t="array" aca="1" ref="FF43" ca="1">(1-$B$18)*SUMPRODUCT(OFFSET($BO$15,0,0,$B$14,1), 1*(_xlfn._xlws.FILTER(OFFSET($O$15,0,$DN43,$B$8,1),OFFSET($M$15,0,0,$B$8,1))=FF$13), 1*(_xlfn._xlws.FILTER(OFFSET($O$15,0,$DO43,$B$8,1),OFFSET($M$15,0,0,$B$8,1))=FF$14))   /   SUM(OFFSET($BO$15,0,0,$B$14,1)) + $B$18/($B$19*$B$19*($DN43&lt;&gt;$DO43) + $B$19*($DN43=$DO43))</f>
        <v>3.7037037037037035E-4</v>
      </c>
      <c r="FG43" s="10" cm="1">
        <f t="array" aca="1" ref="FG43" ca="1">(1-$B$18)*SUMPRODUCT(OFFSET($BO$15,0,0,$B$14,1), 1*(_xlfn._xlws.FILTER(OFFSET($O$15,0,$DN43,$B$8,1),OFFSET($M$15,0,0,$B$8,1))=FG$13), 1*(_xlfn._xlws.FILTER(OFFSET($O$15,0,$DO43,$B$8,1),OFFSET($M$15,0,0,$B$8,1))=FG$14))   /   SUM(OFFSET($BO$15,0,0,$B$14,1)) + $B$18/($B$19*$B$19*($DN43&lt;&gt;$DO43) + $B$19*($DN43=$DO43))</f>
        <v>3.7037037037037035E-4</v>
      </c>
      <c r="FH43" s="10" cm="1">
        <f t="array" aca="1" ref="FH43" ca="1">(1-$B$18)*SUMPRODUCT(OFFSET($BO$15,0,0,$B$14,1), 1*(_xlfn._xlws.FILTER(OFFSET($O$15,0,$DN43,$B$8,1),OFFSET($M$15,0,0,$B$8,1))=FH$13), 1*(_xlfn._xlws.FILTER(OFFSET($O$15,0,$DO43,$B$8,1),OFFSET($M$15,0,0,$B$8,1))=FH$14))   /   SUM(OFFSET($BO$15,0,0,$B$14,1)) + $B$18/($B$19*$B$19*($DN43&lt;&gt;$DO43) + $B$19*($DN43=$DO43))</f>
        <v>3.7037037037037035E-4</v>
      </c>
      <c r="FI43" s="10" cm="1">
        <f t="array" aca="1" ref="FI43" ca="1">(1-$B$18)*SUMPRODUCT(OFFSET($BO$15,0,0,$B$14,1), 1*(_xlfn._xlws.FILTER(OFFSET($O$15,0,$DN43,$B$8,1),OFFSET($M$15,0,0,$B$8,1))=FI$13), 1*(_xlfn._xlws.FILTER(OFFSET($O$15,0,$DO43,$B$8,1),OFFSET($M$15,0,0,$B$8,1))=FI$14))   /   SUM(OFFSET($BO$15,0,0,$B$14,1)) + $B$18/($B$19*$B$19*($DN43&lt;&gt;$DO43) + $B$19*($DN43=$DO43))</f>
        <v>3.7037037037037035E-4</v>
      </c>
      <c r="FJ43" s="10" cm="1">
        <f t="array" aca="1" ref="FJ43" ca="1">(1-$B$18)*SUMPRODUCT(OFFSET($BO$15,0,0,$B$14,1), 1*(_xlfn._xlws.FILTER(OFFSET($O$15,0,$DN43,$B$8,1),OFFSET($M$15,0,0,$B$8,1))=FJ$13), 1*(_xlfn._xlws.FILTER(OFFSET($O$15,0,$DO43,$B$8,1),OFFSET($M$15,0,0,$B$8,1))=FJ$14))   /   SUM(OFFSET($BO$15,0,0,$B$14,1)) + $B$18/($B$19*$B$19*($DN43&lt;&gt;$DO43) + $B$19*($DN43=$DO43))</f>
        <v>3.7037037037037035E-4</v>
      </c>
      <c r="FK43" s="10" cm="1">
        <f t="array" aca="1" ref="FK43" ca="1">(1-$B$18)*SUMPRODUCT(OFFSET($BO$15,0,0,$B$14,1), 1*(_xlfn._xlws.FILTER(OFFSET($O$15,0,$DN43,$B$8,1),OFFSET($M$15,0,0,$B$8,1))=FK$13), 1*(_xlfn._xlws.FILTER(OFFSET($O$15,0,$DO43,$B$8,1),OFFSET($M$15,0,0,$B$8,1))=FK$14))   /   SUM(OFFSET($BO$15,0,0,$B$14,1)) + $B$18/($B$19*$B$19*($DN43&lt;&gt;$DO43) + $B$19*($DN43=$DO43))</f>
        <v>3.7037037037037035E-4</v>
      </c>
      <c r="FL43" s="10" cm="1">
        <f t="array" aca="1" ref="FL43" ca="1">(1-$B$18)*SUMPRODUCT(OFFSET($BO$15,0,0,$B$14,1), 1*(_xlfn._xlws.FILTER(OFFSET($O$15,0,$DN43,$B$8,1),OFFSET($M$15,0,0,$B$8,1))=FL$13), 1*(_xlfn._xlws.FILTER(OFFSET($O$15,0,$DO43,$B$8,1),OFFSET($M$15,0,0,$B$8,1))=FL$14))   /   SUM(OFFSET($BO$15,0,0,$B$14,1)) + $B$18/($B$19*$B$19*($DN43&lt;&gt;$DO43) + $B$19*($DN43=$DO43))</f>
        <v>3.7037037037037035E-4</v>
      </c>
      <c r="FM43" s="10" cm="1">
        <f t="array" aca="1" ref="FM43" ca="1">(1-$B$18)*SUMPRODUCT(OFFSET($BO$15,0,0,$B$14,1), 1*(_xlfn._xlws.FILTER(OFFSET($O$15,0,$DN43,$B$8,1),OFFSET($M$15,0,0,$B$8,1))=FM$13), 1*(_xlfn._xlws.FILTER(OFFSET($O$15,0,$DO43,$B$8,1),OFFSET($M$15,0,0,$B$8,1))=FM$14))   /   SUM(OFFSET($BO$15,0,0,$B$14,1)) + $B$18/($B$19*$B$19*($DN43&lt;&gt;$DO43) + $B$19*($DN43=$DO43))</f>
        <v>3.7037037037037035E-4</v>
      </c>
      <c r="FN43" s="10" cm="1">
        <f t="array" aca="1" ref="FN43" ca="1">(1-$B$18)*SUMPRODUCT(OFFSET($BO$15,0,0,$B$14,1), 1*(_xlfn._xlws.FILTER(OFFSET($O$15,0,$DN43,$B$8,1),OFFSET($M$15,0,0,$B$8,1))=FN$13), 1*(_xlfn._xlws.FILTER(OFFSET($O$15,0,$DO43,$B$8,1),OFFSET($M$15,0,0,$B$8,1))=FN$14))   /   SUM(OFFSET($BO$15,0,0,$B$14,1)) + $B$18/($B$19*$B$19*($DN43&lt;&gt;$DO43) + $B$19*($DN43=$DO43))</f>
        <v>3.7037037037037035E-4</v>
      </c>
      <c r="FO43" s="10" cm="1">
        <f t="array" aca="1" ref="FO43" ca="1">(1-$B$18)*SUMPRODUCT(OFFSET($BO$15,0,0,$B$14,1), 1*(_xlfn._xlws.FILTER(OFFSET($O$15,0,$DN43,$B$8,1),OFFSET($M$15,0,0,$B$8,1))=FO$13), 1*(_xlfn._xlws.FILTER(OFFSET($O$15,0,$DO43,$B$8,1),OFFSET($M$15,0,0,$B$8,1))=FO$14))   /   SUM(OFFSET($BO$15,0,0,$B$14,1)) + $B$18/($B$19*$B$19*($DN43&lt;&gt;$DO43) + $B$19*($DN43=$DO43))</f>
        <v>3.7037037037037035E-4</v>
      </c>
      <c r="FP43" s="10" cm="1">
        <f t="array" aca="1" ref="FP43" ca="1">(1-$B$18)*SUMPRODUCT(OFFSET($BO$15,0,0,$B$14,1), 1*(_xlfn._xlws.FILTER(OFFSET($O$15,0,$DN43,$B$8,1),OFFSET($M$15,0,0,$B$8,1))=FP$13), 1*(_xlfn._xlws.FILTER(OFFSET($O$15,0,$DO43,$B$8,1),OFFSET($M$15,0,0,$B$8,1))=FP$14))   /   SUM(OFFSET($BO$15,0,0,$B$14,1)) + $B$18/($B$19*$B$19*($DN43&lt;&gt;$DO43) + $B$19*($DN43=$DO43))</f>
        <v>3.7037037037037035E-4</v>
      </c>
      <c r="FQ43" s="10" cm="1">
        <f t="array" aca="1" ref="FQ43" ca="1">(1-$B$18)*SUMPRODUCT(OFFSET($BO$15,0,0,$B$14,1), 1*(_xlfn._xlws.FILTER(OFFSET($O$15,0,$DN43,$B$8,1),OFFSET($M$15,0,0,$B$8,1))=FQ$13), 1*(_xlfn._xlws.FILTER(OFFSET($O$15,0,$DO43,$B$8,1),OFFSET($M$15,0,0,$B$8,1))=FQ$14))   /   SUM(OFFSET($BO$15,0,0,$B$14,1)) + $B$18/($B$19*$B$19*($DN43&lt;&gt;$DO43) + $B$19*($DN43=$DO43))</f>
        <v>3.7037037037037035E-4</v>
      </c>
      <c r="FR43" s="10" cm="1">
        <f t="array" aca="1" ref="FR43" ca="1">(1-$B$18)*SUMPRODUCT(OFFSET($BO$15,0,0,$B$14,1), 1*(_xlfn._xlws.FILTER(OFFSET($O$15,0,$DN43,$B$8,1),OFFSET($M$15,0,0,$B$8,1))=FR$13), 1*(_xlfn._xlws.FILTER(OFFSET($O$15,0,$DO43,$B$8,1),OFFSET($M$15,0,0,$B$8,1))=FR$14))   /   SUM(OFFSET($BO$15,0,0,$B$14,1)) + $B$18/($B$19*$B$19*($DN43&lt;&gt;$DO43) + $B$19*($DN43=$DO43))</f>
        <v>0.97037037037037033</v>
      </c>
      <c r="FS43" s="10" cm="1">
        <f t="array" aca="1" ref="FS43" ca="1">(1-$B$18)*SUMPRODUCT(OFFSET($BO$15,0,0,$B$14,1), 1*(_xlfn._xlws.FILTER(OFFSET($O$15,0,$DN43,$B$8,1),OFFSET($M$15,0,0,$B$8,1))=FS$13), 1*(_xlfn._xlws.FILTER(OFFSET($O$15,0,$DO43,$B$8,1),OFFSET($M$15,0,0,$B$8,1))=FS$14))   /   SUM(OFFSET($BO$15,0,0,$B$14,1)) + $B$18/($B$19*$B$19*($DN43&lt;&gt;$DO43) + $B$19*($DN43=$DO43))</f>
        <v>3.7037037037037035E-4</v>
      </c>
      <c r="FT43" s="10" cm="1">
        <f t="array" aca="1" ref="FT43" ca="1">(1-$B$18)*SUMPRODUCT(OFFSET($BO$15,0,0,$B$14,1), 1*(_xlfn._xlws.FILTER(OFFSET($O$15,0,$DN43,$B$8,1),OFFSET($M$15,0,0,$B$8,1))=FT$13), 1*(_xlfn._xlws.FILTER(OFFSET($O$15,0,$DO43,$B$8,1),OFFSET($M$15,0,0,$B$8,1))=FT$14))   /   SUM(OFFSET($BO$15,0,0,$B$14,1)) + $B$18/($B$19*$B$19*($DN43&lt;&gt;$DO43) + $B$19*($DN43=$DO43))</f>
        <v>3.7037037037037035E-4</v>
      </c>
      <c r="FU43" s="10" cm="1">
        <f t="array" aca="1" ref="FU43" ca="1">(1-$B$18)*SUMPRODUCT(OFFSET($BO$15,0,0,$B$14,1), 1*(_xlfn._xlws.FILTER(OFFSET($O$15,0,$DN43,$B$8,1),OFFSET($M$15,0,0,$B$8,1))=FU$13), 1*(_xlfn._xlws.FILTER(OFFSET($O$15,0,$DO43,$B$8,1),OFFSET($M$15,0,0,$B$8,1))=FU$14))   /   SUM(OFFSET($BO$15,0,0,$B$14,1)) + $B$18/($B$19*$B$19*($DN43&lt;&gt;$DO43) + $B$19*($DN43=$DO43))</f>
        <v>3.7037037037037035E-4</v>
      </c>
      <c r="FV43" s="10" cm="1">
        <f t="array" aca="1" ref="FV43" ca="1">(1-$B$18)*SUMPRODUCT(OFFSET($BO$15,0,0,$B$14,1), 1*(_xlfn._xlws.FILTER(OFFSET($O$15,0,$DN43,$B$8,1),OFFSET($M$15,0,0,$B$8,1))=FV$13), 1*(_xlfn._xlws.FILTER(OFFSET($O$15,0,$DO43,$B$8,1),OFFSET($M$15,0,0,$B$8,1))=FV$14))   /   SUM(OFFSET($BO$15,0,0,$B$14,1)) + $B$18/($B$19*$B$19*($DN43&lt;&gt;$DO43) + $B$19*($DN43=$DO43))</f>
        <v>3.7037037037037035E-4</v>
      </c>
      <c r="FW43" s="10" cm="1">
        <f t="array" aca="1" ref="FW43" ca="1">(1-$B$18)*SUMPRODUCT(OFFSET($BO$15,0,0,$B$14,1), 1*(_xlfn._xlws.FILTER(OFFSET($O$15,0,$DN43,$B$8,1),OFFSET($M$15,0,0,$B$8,1))=FW$13), 1*(_xlfn._xlws.FILTER(OFFSET($O$15,0,$DO43,$B$8,1),OFFSET($M$15,0,0,$B$8,1))=FW$14))   /   SUM(OFFSET($BO$15,0,0,$B$14,1)) + $B$18/($B$19*$B$19*($DN43&lt;&gt;$DO43) + $B$19*($DN43=$DO43))</f>
        <v>3.7037037037037035E-4</v>
      </c>
      <c r="FX43" s="10" cm="1">
        <f t="array" aca="1" ref="FX43" ca="1">(1-$B$18)*SUMPRODUCT(OFFSET($BO$15,0,0,$B$14,1), 1*(_xlfn._xlws.FILTER(OFFSET($O$15,0,$DN43,$B$8,1),OFFSET($M$15,0,0,$B$8,1))=FX$13), 1*(_xlfn._xlws.FILTER(OFFSET($O$15,0,$DO43,$B$8,1),OFFSET($M$15,0,0,$B$8,1))=FX$14))   /   SUM(OFFSET($BO$15,0,0,$B$14,1)) + $B$18/($B$19*$B$19*($DN43&lt;&gt;$DO43) + $B$19*($DN43=$DO43))</f>
        <v>3.7037037037037035E-4</v>
      </c>
      <c r="FY43" s="10" cm="1">
        <f t="array" aca="1" ref="FY43" ca="1">(1-$B$18)*SUMPRODUCT(OFFSET($BO$15,0,0,$B$14,1), 1*(_xlfn._xlws.FILTER(OFFSET($O$15,0,$DN43,$B$8,1),OFFSET($M$15,0,0,$B$8,1))=FY$13), 1*(_xlfn._xlws.FILTER(OFFSET($O$15,0,$DO43,$B$8,1),OFFSET($M$15,0,0,$B$8,1))=FY$14))   /   SUM(OFFSET($BO$15,0,0,$B$14,1)) + $B$18/($B$19*$B$19*($DN43&lt;&gt;$DO43) + $B$19*($DN43=$DO43))</f>
        <v>3.7037037037037035E-4</v>
      </c>
      <c r="FZ43" s="10" cm="1">
        <f t="array" aca="1" ref="FZ43" ca="1">(1-$B$18)*SUMPRODUCT(OFFSET($BO$15,0,0,$B$14,1), 1*(_xlfn._xlws.FILTER(OFFSET($O$15,0,$DN43,$B$8,1),OFFSET($M$15,0,0,$B$8,1))=FZ$13), 1*(_xlfn._xlws.FILTER(OFFSET($O$15,0,$DO43,$B$8,1),OFFSET($M$15,0,0,$B$8,1))=FZ$14))   /   SUM(OFFSET($BO$15,0,0,$B$14,1)) + $B$18/($B$19*$B$19*($DN43&lt;&gt;$DO43) + $B$19*($DN43=$DO43))</f>
        <v>3.7037037037037035E-4</v>
      </c>
      <c r="GA43" s="10" cm="1">
        <f t="array" aca="1" ref="GA43" ca="1">(1-$B$18)*SUMPRODUCT(OFFSET($BO$15,0,0,$B$14,1), 1*(_xlfn._xlws.FILTER(OFFSET($O$15,0,$DN43,$B$8,1),OFFSET($M$15,0,0,$B$8,1))=GA$13), 1*(_xlfn._xlws.FILTER(OFFSET($O$15,0,$DO43,$B$8,1),OFFSET($M$15,0,0,$B$8,1))=GA$14))   /   SUM(OFFSET($BO$15,0,0,$B$14,1)) + $B$18/($B$19*$B$19*($DN43&lt;&gt;$DO43) + $B$19*($DN43=$DO43))</f>
        <v>3.7037037037037035E-4</v>
      </c>
    </row>
    <row r="44" spans="4:183" x14ac:dyDescent="0.2">
      <c r="AK44" s="2"/>
      <c r="AL44" s="2"/>
      <c r="DN44" cm="1">
        <f t="array" aca="1" ref="DN44" ca="1">INDEX(_xlfn.ANCHORARRAY($CP$15), 1 + INT((ROWS($DO$15:$DO44) - 1) / ROWS(_xlfn.ANCHORARRAY($CP$15))))</f>
        <v>1</v>
      </c>
      <c r="DO44" cm="1">
        <f t="array" aca="1" ref="DO44" ca="1">INDEX(_xlfn.ANCHORARRAY($CP$15),1+MOD(ROWS($DO$15:$DO44)-1,ROWS(_xlfn.ANCHORARRAY($CP$15))))</f>
        <v>11</v>
      </c>
      <c r="DP44" s="10" cm="1">
        <f t="array" aca="1" ref="DP44" ca="1">(1-$B$18)*SUMPRODUCT(OFFSET($BO$15,0,0,$B$14,1), 1*(_xlfn._xlws.FILTER(OFFSET($O$15,0,$DN44,$B$8,1),OFFSET($M$15,0,0,$B$8,1))=DP$13), 1*(_xlfn._xlws.FILTER(OFFSET($O$15,0,$DO44,$B$8,1),OFFSET($M$15,0,0,$B$8,1))=DP$14))   /   SUM(OFFSET($BO$15,0,0,$B$14,1)) + $B$18/($B$19*$B$19*($DN44&lt;&gt;$DO44) + $B$19*($DN44=$DO44))</f>
        <v>3.7037037037037035E-4</v>
      </c>
      <c r="DQ44" s="10" cm="1">
        <f t="array" aca="1" ref="DQ44" ca="1">(1-$B$18)*SUMPRODUCT(OFFSET($BO$15,0,0,$B$14,1), 1*(_xlfn._xlws.FILTER(OFFSET($O$15,0,$DN44,$B$8,1),OFFSET($M$15,0,0,$B$8,1))=DQ$13), 1*(_xlfn._xlws.FILTER(OFFSET($O$15,0,$DO44,$B$8,1),OFFSET($M$15,0,0,$B$8,1))=DQ$14))   /   SUM(OFFSET($BO$15,0,0,$B$14,1)) + $B$18/($B$19*$B$19*($DN44&lt;&gt;$DO44) + $B$19*($DN44=$DO44))</f>
        <v>3.7037037037037035E-4</v>
      </c>
      <c r="DR44" s="10" cm="1">
        <f t="array" aca="1" ref="DR44" ca="1">(1-$B$18)*SUMPRODUCT(OFFSET($BO$15,0,0,$B$14,1), 1*(_xlfn._xlws.FILTER(OFFSET($O$15,0,$DN44,$B$8,1),OFFSET($M$15,0,0,$B$8,1))=DR$13), 1*(_xlfn._xlws.FILTER(OFFSET($O$15,0,$DO44,$B$8,1),OFFSET($M$15,0,0,$B$8,1))=DR$14))   /   SUM(OFFSET($BO$15,0,0,$B$14,1)) + $B$18/($B$19*$B$19*($DN44&lt;&gt;$DO44) + $B$19*($DN44=$DO44))</f>
        <v>3.7037037037037035E-4</v>
      </c>
      <c r="DS44" s="10" cm="1">
        <f t="array" aca="1" ref="DS44" ca="1">(1-$B$18)*SUMPRODUCT(OFFSET($BO$15,0,0,$B$14,1), 1*(_xlfn._xlws.FILTER(OFFSET($O$15,0,$DN44,$B$8,1),OFFSET($M$15,0,0,$B$8,1))=DS$13), 1*(_xlfn._xlws.FILTER(OFFSET($O$15,0,$DO44,$B$8,1),OFFSET($M$15,0,0,$B$8,1))=DS$14))   /   SUM(OFFSET($BO$15,0,0,$B$14,1)) + $B$18/($B$19*$B$19*($DN44&lt;&gt;$DO44) + $B$19*($DN44=$DO44))</f>
        <v>3.7037037037037035E-4</v>
      </c>
      <c r="DT44" s="10" cm="1">
        <f t="array" aca="1" ref="DT44" ca="1">(1-$B$18)*SUMPRODUCT(OFFSET($BO$15,0,0,$B$14,1), 1*(_xlfn._xlws.FILTER(OFFSET($O$15,0,$DN44,$B$8,1),OFFSET($M$15,0,0,$B$8,1))=DT$13), 1*(_xlfn._xlws.FILTER(OFFSET($O$15,0,$DO44,$B$8,1),OFFSET($M$15,0,0,$B$8,1))=DT$14))   /   SUM(OFFSET($BO$15,0,0,$B$14,1)) + $B$18/($B$19*$B$19*($DN44&lt;&gt;$DO44) + $B$19*($DN44=$DO44))</f>
        <v>3.7037037037037035E-4</v>
      </c>
      <c r="DU44" s="10" cm="1">
        <f t="array" aca="1" ref="DU44" ca="1">(1-$B$18)*SUMPRODUCT(OFFSET($BO$15,0,0,$B$14,1), 1*(_xlfn._xlws.FILTER(OFFSET($O$15,0,$DN44,$B$8,1),OFFSET($M$15,0,0,$B$8,1))=DU$13), 1*(_xlfn._xlws.FILTER(OFFSET($O$15,0,$DO44,$B$8,1),OFFSET($M$15,0,0,$B$8,1))=DU$14))   /   SUM(OFFSET($BO$15,0,0,$B$14,1)) + $B$18/($B$19*$B$19*($DN44&lt;&gt;$DO44) + $B$19*($DN44=$DO44))</f>
        <v>3.7037037037037035E-4</v>
      </c>
      <c r="DV44" s="10" cm="1">
        <f t="array" aca="1" ref="DV44" ca="1">(1-$B$18)*SUMPRODUCT(OFFSET($BO$15,0,0,$B$14,1), 1*(_xlfn._xlws.FILTER(OFFSET($O$15,0,$DN44,$B$8,1),OFFSET($M$15,0,0,$B$8,1))=DV$13), 1*(_xlfn._xlws.FILTER(OFFSET($O$15,0,$DO44,$B$8,1),OFFSET($M$15,0,0,$B$8,1))=DV$14))   /   SUM(OFFSET($BO$15,0,0,$B$14,1)) + $B$18/($B$19*$B$19*($DN44&lt;&gt;$DO44) + $B$19*($DN44=$DO44))</f>
        <v>3.7037037037037035E-4</v>
      </c>
      <c r="DW44" s="10" cm="1">
        <f t="array" aca="1" ref="DW44" ca="1">(1-$B$18)*SUMPRODUCT(OFFSET($BO$15,0,0,$B$14,1), 1*(_xlfn._xlws.FILTER(OFFSET($O$15,0,$DN44,$B$8,1),OFFSET($M$15,0,0,$B$8,1))=DW$13), 1*(_xlfn._xlws.FILTER(OFFSET($O$15,0,$DO44,$B$8,1),OFFSET($M$15,0,0,$B$8,1))=DW$14))   /   SUM(OFFSET($BO$15,0,0,$B$14,1)) + $B$18/($B$19*$B$19*($DN44&lt;&gt;$DO44) + $B$19*($DN44=$DO44))</f>
        <v>3.7037037037037035E-4</v>
      </c>
      <c r="DX44" s="10" cm="1">
        <f t="array" aca="1" ref="DX44" ca="1">(1-$B$18)*SUMPRODUCT(OFFSET($BO$15,0,0,$B$14,1), 1*(_xlfn._xlws.FILTER(OFFSET($O$15,0,$DN44,$B$8,1),OFFSET($M$15,0,0,$B$8,1))=DX$13), 1*(_xlfn._xlws.FILTER(OFFSET($O$15,0,$DO44,$B$8,1),OFFSET($M$15,0,0,$B$8,1))=DX$14))   /   SUM(OFFSET($BO$15,0,0,$B$14,1)) + $B$18/($B$19*$B$19*($DN44&lt;&gt;$DO44) + $B$19*($DN44=$DO44))</f>
        <v>3.7037037037037035E-4</v>
      </c>
      <c r="DY44" s="10" cm="1">
        <f t="array" aca="1" ref="DY44" ca="1">(1-$B$18)*SUMPRODUCT(OFFSET($BO$15,0,0,$B$14,1), 1*(_xlfn._xlws.FILTER(OFFSET($O$15,0,$DN44,$B$8,1),OFFSET($M$15,0,0,$B$8,1))=DY$13), 1*(_xlfn._xlws.FILTER(OFFSET($O$15,0,$DO44,$B$8,1),OFFSET($M$15,0,0,$B$8,1))=DY$14))   /   SUM(OFFSET($BO$15,0,0,$B$14,1)) + $B$18/($B$19*$B$19*($DN44&lt;&gt;$DO44) + $B$19*($DN44=$DO44))</f>
        <v>3.7037037037037035E-4</v>
      </c>
      <c r="DZ44" s="10" cm="1">
        <f t="array" aca="1" ref="DZ44" ca="1">(1-$B$18)*SUMPRODUCT(OFFSET($BO$15,0,0,$B$14,1), 1*(_xlfn._xlws.FILTER(OFFSET($O$15,0,$DN44,$B$8,1),OFFSET($M$15,0,0,$B$8,1))=DZ$13), 1*(_xlfn._xlws.FILTER(OFFSET($O$15,0,$DO44,$B$8,1),OFFSET($M$15,0,0,$B$8,1))=DZ$14))   /   SUM(OFFSET($BO$15,0,0,$B$14,1)) + $B$18/($B$19*$B$19*($DN44&lt;&gt;$DO44) + $B$19*($DN44=$DO44))</f>
        <v>3.7037037037037035E-4</v>
      </c>
      <c r="EA44" s="10" cm="1">
        <f t="array" aca="1" ref="EA44" ca="1">(1-$B$18)*SUMPRODUCT(OFFSET($BO$15,0,0,$B$14,1), 1*(_xlfn._xlws.FILTER(OFFSET($O$15,0,$DN44,$B$8,1),OFFSET($M$15,0,0,$B$8,1))=EA$13), 1*(_xlfn._xlws.FILTER(OFFSET($O$15,0,$DO44,$B$8,1),OFFSET($M$15,0,0,$B$8,1))=EA$14))   /   SUM(OFFSET($BO$15,0,0,$B$14,1)) + $B$18/($B$19*$B$19*($DN44&lt;&gt;$DO44) + $B$19*($DN44=$DO44))</f>
        <v>3.7037037037037035E-4</v>
      </c>
      <c r="EB44" s="10" cm="1">
        <f t="array" aca="1" ref="EB44" ca="1">(1-$B$18)*SUMPRODUCT(OFFSET($BO$15,0,0,$B$14,1), 1*(_xlfn._xlws.FILTER(OFFSET($O$15,0,$DN44,$B$8,1),OFFSET($M$15,0,0,$B$8,1))=EB$13), 1*(_xlfn._xlws.FILTER(OFFSET($O$15,0,$DO44,$B$8,1),OFFSET($M$15,0,0,$B$8,1))=EB$14))   /   SUM(OFFSET($BO$15,0,0,$B$14,1)) + $B$18/($B$19*$B$19*($DN44&lt;&gt;$DO44) + $B$19*($DN44=$DO44))</f>
        <v>3.7037037037037035E-4</v>
      </c>
      <c r="EC44" s="10" cm="1">
        <f t="array" aca="1" ref="EC44" ca="1">(1-$B$18)*SUMPRODUCT(OFFSET($BO$15,0,0,$B$14,1), 1*(_xlfn._xlws.FILTER(OFFSET($O$15,0,$DN44,$B$8,1),OFFSET($M$15,0,0,$B$8,1))=EC$13), 1*(_xlfn._xlws.FILTER(OFFSET($O$15,0,$DO44,$B$8,1),OFFSET($M$15,0,0,$B$8,1))=EC$14))   /   SUM(OFFSET($BO$15,0,0,$B$14,1)) + $B$18/($B$19*$B$19*($DN44&lt;&gt;$DO44) + $B$19*($DN44=$DO44))</f>
        <v>3.7037037037037035E-4</v>
      </c>
      <c r="ED44" s="10" cm="1">
        <f t="array" aca="1" ref="ED44" ca="1">(1-$B$18)*SUMPRODUCT(OFFSET($BO$15,0,0,$B$14,1), 1*(_xlfn._xlws.FILTER(OFFSET($O$15,0,$DN44,$B$8,1),OFFSET($M$15,0,0,$B$8,1))=ED$13), 1*(_xlfn._xlws.FILTER(OFFSET($O$15,0,$DO44,$B$8,1),OFFSET($M$15,0,0,$B$8,1))=ED$14))   /   SUM(OFFSET($BO$15,0,0,$B$14,1)) + $B$18/($B$19*$B$19*($DN44&lt;&gt;$DO44) + $B$19*($DN44=$DO44))</f>
        <v>3.7037037037037035E-4</v>
      </c>
      <c r="EE44" s="10" cm="1">
        <f t="array" aca="1" ref="EE44" ca="1">(1-$B$18)*SUMPRODUCT(OFFSET($BO$15,0,0,$B$14,1), 1*(_xlfn._xlws.FILTER(OFFSET($O$15,0,$DN44,$B$8,1),OFFSET($M$15,0,0,$B$8,1))=EE$13), 1*(_xlfn._xlws.FILTER(OFFSET($O$15,0,$DO44,$B$8,1),OFFSET($M$15,0,0,$B$8,1))=EE$14))   /   SUM(OFFSET($BO$15,0,0,$B$14,1)) + $B$18/($B$19*$B$19*($DN44&lt;&gt;$DO44) + $B$19*($DN44=$DO44))</f>
        <v>3.7037037037037035E-4</v>
      </c>
      <c r="EF44" s="10" cm="1">
        <f t="array" aca="1" ref="EF44" ca="1">(1-$B$18)*SUMPRODUCT(OFFSET($BO$15,0,0,$B$14,1), 1*(_xlfn._xlws.FILTER(OFFSET($O$15,0,$DN44,$B$8,1),OFFSET($M$15,0,0,$B$8,1))=EF$13), 1*(_xlfn._xlws.FILTER(OFFSET($O$15,0,$DO44,$B$8,1),OFFSET($M$15,0,0,$B$8,1))=EF$14))   /   SUM(OFFSET($BO$15,0,0,$B$14,1)) + $B$18/($B$19*$B$19*($DN44&lt;&gt;$DO44) + $B$19*($DN44=$DO44))</f>
        <v>3.7037037037037035E-4</v>
      </c>
      <c r="EG44" s="10" cm="1">
        <f t="array" aca="1" ref="EG44" ca="1">(1-$B$18)*SUMPRODUCT(OFFSET($BO$15,0,0,$B$14,1), 1*(_xlfn._xlws.FILTER(OFFSET($O$15,0,$DN44,$B$8,1),OFFSET($M$15,0,0,$B$8,1))=EG$13), 1*(_xlfn._xlws.FILTER(OFFSET($O$15,0,$DO44,$B$8,1),OFFSET($M$15,0,0,$B$8,1))=EG$14))   /   SUM(OFFSET($BO$15,0,0,$B$14,1)) + $B$18/($B$19*$B$19*($DN44&lt;&gt;$DO44) + $B$19*($DN44=$DO44))</f>
        <v>3.7037037037037035E-4</v>
      </c>
      <c r="EH44" s="10" cm="1">
        <f t="array" aca="1" ref="EH44" ca="1">(1-$B$18)*SUMPRODUCT(OFFSET($BO$15,0,0,$B$14,1), 1*(_xlfn._xlws.FILTER(OFFSET($O$15,0,$DN44,$B$8,1),OFFSET($M$15,0,0,$B$8,1))=EH$13), 1*(_xlfn._xlws.FILTER(OFFSET($O$15,0,$DO44,$B$8,1),OFFSET($M$15,0,0,$B$8,1))=EH$14))   /   SUM(OFFSET($BO$15,0,0,$B$14,1)) + $B$18/($B$19*$B$19*($DN44&lt;&gt;$DO44) + $B$19*($DN44=$DO44))</f>
        <v>3.7037037037037035E-4</v>
      </c>
      <c r="EI44" s="10" cm="1">
        <f t="array" aca="1" ref="EI44" ca="1">(1-$B$18)*SUMPRODUCT(OFFSET($BO$15,0,0,$B$14,1), 1*(_xlfn._xlws.FILTER(OFFSET($O$15,0,$DN44,$B$8,1),OFFSET($M$15,0,0,$B$8,1))=EI$13), 1*(_xlfn._xlws.FILTER(OFFSET($O$15,0,$DO44,$B$8,1),OFFSET($M$15,0,0,$B$8,1))=EI$14))   /   SUM(OFFSET($BO$15,0,0,$B$14,1)) + $B$18/($B$19*$B$19*($DN44&lt;&gt;$DO44) + $B$19*($DN44=$DO44))</f>
        <v>3.7037037037037035E-4</v>
      </c>
      <c r="EJ44" s="10" cm="1">
        <f t="array" aca="1" ref="EJ44" ca="1">(1-$B$18)*SUMPRODUCT(OFFSET($BO$15,0,0,$B$14,1), 1*(_xlfn._xlws.FILTER(OFFSET($O$15,0,$DN44,$B$8,1),OFFSET($M$15,0,0,$B$8,1))=EJ$13), 1*(_xlfn._xlws.FILTER(OFFSET($O$15,0,$DO44,$B$8,1),OFFSET($M$15,0,0,$B$8,1))=EJ$14))   /   SUM(OFFSET($BO$15,0,0,$B$14,1)) + $B$18/($B$19*$B$19*($DN44&lt;&gt;$DO44) + $B$19*($DN44=$DO44))</f>
        <v>3.7037037037037035E-4</v>
      </c>
      <c r="EK44" s="10" cm="1">
        <f t="array" aca="1" ref="EK44" ca="1">(1-$B$18)*SUMPRODUCT(OFFSET($BO$15,0,0,$B$14,1), 1*(_xlfn._xlws.FILTER(OFFSET($O$15,0,$DN44,$B$8,1),OFFSET($M$15,0,0,$B$8,1))=EK$13), 1*(_xlfn._xlws.FILTER(OFFSET($O$15,0,$DO44,$B$8,1),OFFSET($M$15,0,0,$B$8,1))=EK$14))   /   SUM(OFFSET($BO$15,0,0,$B$14,1)) + $B$18/($B$19*$B$19*($DN44&lt;&gt;$DO44) + $B$19*($DN44=$DO44))</f>
        <v>3.7037037037037035E-4</v>
      </c>
      <c r="EL44" s="10" cm="1">
        <f t="array" aca="1" ref="EL44" ca="1">(1-$B$18)*SUMPRODUCT(OFFSET($BO$15,0,0,$B$14,1), 1*(_xlfn._xlws.FILTER(OFFSET($O$15,0,$DN44,$B$8,1),OFFSET($M$15,0,0,$B$8,1))=EL$13), 1*(_xlfn._xlws.FILTER(OFFSET($O$15,0,$DO44,$B$8,1),OFFSET($M$15,0,0,$B$8,1))=EL$14))   /   SUM(OFFSET($BO$15,0,0,$B$14,1)) + $B$18/($B$19*$B$19*($DN44&lt;&gt;$DO44) + $B$19*($DN44=$DO44))</f>
        <v>3.7037037037037035E-4</v>
      </c>
      <c r="EM44" s="10" cm="1">
        <f t="array" aca="1" ref="EM44" ca="1">(1-$B$18)*SUMPRODUCT(OFFSET($BO$15,0,0,$B$14,1), 1*(_xlfn._xlws.FILTER(OFFSET($O$15,0,$DN44,$B$8,1),OFFSET($M$15,0,0,$B$8,1))=EM$13), 1*(_xlfn._xlws.FILTER(OFFSET($O$15,0,$DO44,$B$8,1),OFFSET($M$15,0,0,$B$8,1))=EM$14))   /   SUM(OFFSET($BO$15,0,0,$B$14,1)) + $B$18/($B$19*$B$19*($DN44&lt;&gt;$DO44) + $B$19*($DN44=$DO44))</f>
        <v>3.7037037037037035E-4</v>
      </c>
      <c r="EN44" s="10" cm="1">
        <f t="array" aca="1" ref="EN44" ca="1">(1-$B$18)*SUMPRODUCT(OFFSET($BO$15,0,0,$B$14,1), 1*(_xlfn._xlws.FILTER(OFFSET($O$15,0,$DN44,$B$8,1),OFFSET($M$15,0,0,$B$8,1))=EN$13), 1*(_xlfn._xlws.FILTER(OFFSET($O$15,0,$DO44,$B$8,1),OFFSET($M$15,0,0,$B$8,1))=EN$14))   /   SUM(OFFSET($BO$15,0,0,$B$14,1)) + $B$18/($B$19*$B$19*($DN44&lt;&gt;$DO44) + $B$19*($DN44=$DO44))</f>
        <v>3.7037037037037035E-4</v>
      </c>
      <c r="EO44" s="10" cm="1">
        <f t="array" aca="1" ref="EO44" ca="1">(1-$B$18)*SUMPRODUCT(OFFSET($BO$15,0,0,$B$14,1), 1*(_xlfn._xlws.FILTER(OFFSET($O$15,0,$DN44,$B$8,1),OFFSET($M$15,0,0,$B$8,1))=EO$13), 1*(_xlfn._xlws.FILTER(OFFSET($O$15,0,$DO44,$B$8,1),OFFSET($M$15,0,0,$B$8,1))=EO$14))   /   SUM(OFFSET($BO$15,0,0,$B$14,1)) + $B$18/($B$19*$B$19*($DN44&lt;&gt;$DO44) + $B$19*($DN44=$DO44))</f>
        <v>3.7037037037037035E-4</v>
      </c>
      <c r="EP44" s="10" cm="1">
        <f t="array" aca="1" ref="EP44" ca="1">(1-$B$18)*SUMPRODUCT(OFFSET($BO$15,0,0,$B$14,1), 1*(_xlfn._xlws.FILTER(OFFSET($O$15,0,$DN44,$B$8,1),OFFSET($M$15,0,0,$B$8,1))=EP$13), 1*(_xlfn._xlws.FILTER(OFFSET($O$15,0,$DO44,$B$8,1),OFFSET($M$15,0,0,$B$8,1))=EP$14))   /   SUM(OFFSET($BO$15,0,0,$B$14,1)) + $B$18/($B$19*$B$19*($DN44&lt;&gt;$DO44) + $B$19*($DN44=$DO44))</f>
        <v>3.7037037037037035E-4</v>
      </c>
      <c r="EQ44" s="10" cm="1">
        <f t="array" aca="1" ref="EQ44" ca="1">(1-$B$18)*SUMPRODUCT(OFFSET($BO$15,0,0,$B$14,1), 1*(_xlfn._xlws.FILTER(OFFSET($O$15,0,$DN44,$B$8,1),OFFSET($M$15,0,0,$B$8,1))=EQ$13), 1*(_xlfn._xlws.FILTER(OFFSET($O$15,0,$DO44,$B$8,1),OFFSET($M$15,0,0,$B$8,1))=EQ$14))   /   SUM(OFFSET($BO$15,0,0,$B$14,1)) + $B$18/($B$19*$B$19*($DN44&lt;&gt;$DO44) + $B$19*($DN44=$DO44))</f>
        <v>3.7037037037037035E-4</v>
      </c>
      <c r="ER44" s="10" cm="1">
        <f t="array" aca="1" ref="ER44" ca="1">(1-$B$18)*SUMPRODUCT(OFFSET($BO$15,0,0,$B$14,1), 1*(_xlfn._xlws.FILTER(OFFSET($O$15,0,$DN44,$B$8,1),OFFSET($M$15,0,0,$B$8,1))=ER$13), 1*(_xlfn._xlws.FILTER(OFFSET($O$15,0,$DO44,$B$8,1),OFFSET($M$15,0,0,$B$8,1))=ER$14))   /   SUM(OFFSET($BO$15,0,0,$B$14,1)) + $B$18/($B$19*$B$19*($DN44&lt;&gt;$DO44) + $B$19*($DN44=$DO44))</f>
        <v>3.7037037037037035E-4</v>
      </c>
      <c r="ES44" s="10" cm="1">
        <f t="array" aca="1" ref="ES44" ca="1">(1-$B$18)*SUMPRODUCT(OFFSET($BO$15,0,0,$B$14,1), 1*(_xlfn._xlws.FILTER(OFFSET($O$15,0,$DN44,$B$8,1),OFFSET($M$15,0,0,$B$8,1))=ES$13), 1*(_xlfn._xlws.FILTER(OFFSET($O$15,0,$DO44,$B$8,1),OFFSET($M$15,0,0,$B$8,1))=ES$14))   /   SUM(OFFSET($BO$15,0,0,$B$14,1)) + $B$18/($B$19*$B$19*($DN44&lt;&gt;$DO44) + $B$19*($DN44=$DO44))</f>
        <v>3.7037037037037035E-4</v>
      </c>
      <c r="ET44" s="10" cm="1">
        <f t="array" aca="1" ref="ET44" ca="1">(1-$B$18)*SUMPRODUCT(OFFSET($BO$15,0,0,$B$14,1), 1*(_xlfn._xlws.FILTER(OFFSET($O$15,0,$DN44,$B$8,1),OFFSET($M$15,0,0,$B$8,1))=ET$13), 1*(_xlfn._xlws.FILTER(OFFSET($O$15,0,$DO44,$B$8,1),OFFSET($M$15,0,0,$B$8,1))=ET$14))   /   SUM(OFFSET($BO$15,0,0,$B$14,1)) + $B$18/($B$19*$B$19*($DN44&lt;&gt;$DO44) + $B$19*($DN44=$DO44))</f>
        <v>3.7037037037037035E-4</v>
      </c>
      <c r="EU44" s="10" cm="1">
        <f t="array" aca="1" ref="EU44" ca="1">(1-$B$18)*SUMPRODUCT(OFFSET($BO$15,0,0,$B$14,1), 1*(_xlfn._xlws.FILTER(OFFSET($O$15,0,$DN44,$B$8,1),OFFSET($M$15,0,0,$B$8,1))=EU$13), 1*(_xlfn._xlws.FILTER(OFFSET($O$15,0,$DO44,$B$8,1),OFFSET($M$15,0,0,$B$8,1))=EU$14))   /   SUM(OFFSET($BO$15,0,0,$B$14,1)) + $B$18/($B$19*$B$19*($DN44&lt;&gt;$DO44) + $B$19*($DN44=$DO44))</f>
        <v>3.7037037037037035E-4</v>
      </c>
      <c r="EV44" s="10" cm="1">
        <f t="array" aca="1" ref="EV44" ca="1">(1-$B$18)*SUMPRODUCT(OFFSET($BO$15,0,0,$B$14,1), 1*(_xlfn._xlws.FILTER(OFFSET($O$15,0,$DN44,$B$8,1),OFFSET($M$15,0,0,$B$8,1))=EV$13), 1*(_xlfn._xlws.FILTER(OFFSET($O$15,0,$DO44,$B$8,1),OFFSET($M$15,0,0,$B$8,1))=EV$14))   /   SUM(OFFSET($BO$15,0,0,$B$14,1)) + $B$18/($B$19*$B$19*($DN44&lt;&gt;$DO44) + $B$19*($DN44=$DO44))</f>
        <v>3.7037037037037035E-4</v>
      </c>
      <c r="EW44" s="10" cm="1">
        <f t="array" aca="1" ref="EW44" ca="1">(1-$B$18)*SUMPRODUCT(OFFSET($BO$15,0,0,$B$14,1), 1*(_xlfn._xlws.FILTER(OFFSET($O$15,0,$DN44,$B$8,1),OFFSET($M$15,0,0,$B$8,1))=EW$13), 1*(_xlfn._xlws.FILTER(OFFSET($O$15,0,$DO44,$B$8,1),OFFSET($M$15,0,0,$B$8,1))=EW$14))   /   SUM(OFFSET($BO$15,0,0,$B$14,1)) + $B$18/($B$19*$B$19*($DN44&lt;&gt;$DO44) + $B$19*($DN44=$DO44))</f>
        <v>3.7037037037037035E-4</v>
      </c>
      <c r="EX44" s="10" cm="1">
        <f t="array" aca="1" ref="EX44" ca="1">(1-$B$18)*SUMPRODUCT(OFFSET($BO$15,0,0,$B$14,1), 1*(_xlfn._xlws.FILTER(OFFSET($O$15,0,$DN44,$B$8,1),OFFSET($M$15,0,0,$B$8,1))=EX$13), 1*(_xlfn._xlws.FILTER(OFFSET($O$15,0,$DO44,$B$8,1),OFFSET($M$15,0,0,$B$8,1))=EX$14))   /   SUM(OFFSET($BO$15,0,0,$B$14,1)) + $B$18/($B$19*$B$19*($DN44&lt;&gt;$DO44) + $B$19*($DN44=$DO44))</f>
        <v>3.7037037037037035E-4</v>
      </c>
      <c r="EY44" s="10" cm="1">
        <f t="array" aca="1" ref="EY44" ca="1">(1-$B$18)*SUMPRODUCT(OFFSET($BO$15,0,0,$B$14,1), 1*(_xlfn._xlws.FILTER(OFFSET($O$15,0,$DN44,$B$8,1),OFFSET($M$15,0,0,$B$8,1))=EY$13), 1*(_xlfn._xlws.FILTER(OFFSET($O$15,0,$DO44,$B$8,1),OFFSET($M$15,0,0,$B$8,1))=EY$14))   /   SUM(OFFSET($BO$15,0,0,$B$14,1)) + $B$18/($B$19*$B$19*($DN44&lt;&gt;$DO44) + $B$19*($DN44=$DO44))</f>
        <v>3.7037037037037035E-4</v>
      </c>
      <c r="EZ44" s="10" cm="1">
        <f t="array" aca="1" ref="EZ44" ca="1">(1-$B$18)*SUMPRODUCT(OFFSET($BO$15,0,0,$B$14,1), 1*(_xlfn._xlws.FILTER(OFFSET($O$15,0,$DN44,$B$8,1),OFFSET($M$15,0,0,$B$8,1))=EZ$13), 1*(_xlfn._xlws.FILTER(OFFSET($O$15,0,$DO44,$B$8,1),OFFSET($M$15,0,0,$B$8,1))=EZ$14))   /   SUM(OFFSET($BO$15,0,0,$B$14,1)) + $B$18/($B$19*$B$19*($DN44&lt;&gt;$DO44) + $B$19*($DN44=$DO44))</f>
        <v>3.7037037037037035E-4</v>
      </c>
      <c r="FA44" s="10" cm="1">
        <f t="array" aca="1" ref="FA44" ca="1">(1-$B$18)*SUMPRODUCT(OFFSET($BO$15,0,0,$B$14,1), 1*(_xlfn._xlws.FILTER(OFFSET($O$15,0,$DN44,$B$8,1),OFFSET($M$15,0,0,$B$8,1))=FA$13), 1*(_xlfn._xlws.FILTER(OFFSET($O$15,0,$DO44,$B$8,1),OFFSET($M$15,0,0,$B$8,1))=FA$14))   /   SUM(OFFSET($BO$15,0,0,$B$14,1)) + $B$18/($B$19*$B$19*($DN44&lt;&gt;$DO44) + $B$19*($DN44=$DO44))</f>
        <v>3.7037037037037035E-4</v>
      </c>
      <c r="FB44" s="10" cm="1">
        <f t="array" aca="1" ref="FB44" ca="1">(1-$B$18)*SUMPRODUCT(OFFSET($BO$15,0,0,$B$14,1), 1*(_xlfn._xlws.FILTER(OFFSET($O$15,0,$DN44,$B$8,1),OFFSET($M$15,0,0,$B$8,1))=FB$13), 1*(_xlfn._xlws.FILTER(OFFSET($O$15,0,$DO44,$B$8,1),OFFSET($M$15,0,0,$B$8,1))=FB$14))   /   SUM(OFFSET($BO$15,0,0,$B$14,1)) + $B$18/($B$19*$B$19*($DN44&lt;&gt;$DO44) + $B$19*($DN44=$DO44))</f>
        <v>3.7037037037037035E-4</v>
      </c>
      <c r="FC44" s="10" cm="1">
        <f t="array" aca="1" ref="FC44" ca="1">(1-$B$18)*SUMPRODUCT(OFFSET($BO$15,0,0,$B$14,1), 1*(_xlfn._xlws.FILTER(OFFSET($O$15,0,$DN44,$B$8,1),OFFSET($M$15,0,0,$B$8,1))=FC$13), 1*(_xlfn._xlws.FILTER(OFFSET($O$15,0,$DO44,$B$8,1),OFFSET($M$15,0,0,$B$8,1))=FC$14))   /   SUM(OFFSET($BO$15,0,0,$B$14,1)) + $B$18/($B$19*$B$19*($DN44&lt;&gt;$DO44) + $B$19*($DN44=$DO44))</f>
        <v>3.7037037037037035E-4</v>
      </c>
      <c r="FD44" s="10" cm="1">
        <f t="array" aca="1" ref="FD44" ca="1">(1-$B$18)*SUMPRODUCT(OFFSET($BO$15,0,0,$B$14,1), 1*(_xlfn._xlws.FILTER(OFFSET($O$15,0,$DN44,$B$8,1),OFFSET($M$15,0,0,$B$8,1))=FD$13), 1*(_xlfn._xlws.FILTER(OFFSET($O$15,0,$DO44,$B$8,1),OFFSET($M$15,0,0,$B$8,1))=FD$14))   /   SUM(OFFSET($BO$15,0,0,$B$14,1)) + $B$18/($B$19*$B$19*($DN44&lt;&gt;$DO44) + $B$19*($DN44=$DO44))</f>
        <v>3.7037037037037035E-4</v>
      </c>
      <c r="FE44" s="10" cm="1">
        <f t="array" aca="1" ref="FE44" ca="1">(1-$B$18)*SUMPRODUCT(OFFSET($BO$15,0,0,$B$14,1), 1*(_xlfn._xlws.FILTER(OFFSET($O$15,0,$DN44,$B$8,1),OFFSET($M$15,0,0,$B$8,1))=FE$13), 1*(_xlfn._xlws.FILTER(OFFSET($O$15,0,$DO44,$B$8,1),OFFSET($M$15,0,0,$B$8,1))=FE$14))   /   SUM(OFFSET($BO$15,0,0,$B$14,1)) + $B$18/($B$19*$B$19*($DN44&lt;&gt;$DO44) + $B$19*($DN44=$DO44))</f>
        <v>3.7037037037037035E-4</v>
      </c>
      <c r="FF44" s="10" cm="1">
        <f t="array" aca="1" ref="FF44" ca="1">(1-$B$18)*SUMPRODUCT(OFFSET($BO$15,0,0,$B$14,1), 1*(_xlfn._xlws.FILTER(OFFSET($O$15,0,$DN44,$B$8,1),OFFSET($M$15,0,0,$B$8,1))=FF$13), 1*(_xlfn._xlws.FILTER(OFFSET($O$15,0,$DO44,$B$8,1),OFFSET($M$15,0,0,$B$8,1))=FF$14))   /   SUM(OFFSET($BO$15,0,0,$B$14,1)) + $B$18/($B$19*$B$19*($DN44&lt;&gt;$DO44) + $B$19*($DN44=$DO44))</f>
        <v>3.7037037037037035E-4</v>
      </c>
      <c r="FG44" s="10" cm="1">
        <f t="array" aca="1" ref="FG44" ca="1">(1-$B$18)*SUMPRODUCT(OFFSET($BO$15,0,0,$B$14,1), 1*(_xlfn._xlws.FILTER(OFFSET($O$15,0,$DN44,$B$8,1),OFFSET($M$15,0,0,$B$8,1))=FG$13), 1*(_xlfn._xlws.FILTER(OFFSET($O$15,0,$DO44,$B$8,1),OFFSET($M$15,0,0,$B$8,1))=FG$14))   /   SUM(OFFSET($BO$15,0,0,$B$14,1)) + $B$18/($B$19*$B$19*($DN44&lt;&gt;$DO44) + $B$19*($DN44=$DO44))</f>
        <v>3.7037037037037035E-4</v>
      </c>
      <c r="FH44" s="10" cm="1">
        <f t="array" aca="1" ref="FH44" ca="1">(1-$B$18)*SUMPRODUCT(OFFSET($BO$15,0,0,$B$14,1), 1*(_xlfn._xlws.FILTER(OFFSET($O$15,0,$DN44,$B$8,1),OFFSET($M$15,0,0,$B$8,1))=FH$13), 1*(_xlfn._xlws.FILTER(OFFSET($O$15,0,$DO44,$B$8,1),OFFSET($M$15,0,0,$B$8,1))=FH$14))   /   SUM(OFFSET($BO$15,0,0,$B$14,1)) + $B$18/($B$19*$B$19*($DN44&lt;&gt;$DO44) + $B$19*($DN44=$DO44))</f>
        <v>3.7037037037037035E-4</v>
      </c>
      <c r="FI44" s="10" cm="1">
        <f t="array" aca="1" ref="FI44" ca="1">(1-$B$18)*SUMPRODUCT(OFFSET($BO$15,0,0,$B$14,1), 1*(_xlfn._xlws.FILTER(OFFSET($O$15,0,$DN44,$B$8,1),OFFSET($M$15,0,0,$B$8,1))=FI$13), 1*(_xlfn._xlws.FILTER(OFFSET($O$15,0,$DO44,$B$8,1),OFFSET($M$15,0,0,$B$8,1))=FI$14))   /   SUM(OFFSET($BO$15,0,0,$B$14,1)) + $B$18/($B$19*$B$19*($DN44&lt;&gt;$DO44) + $B$19*($DN44=$DO44))</f>
        <v>3.7037037037037035E-4</v>
      </c>
      <c r="FJ44" s="10" cm="1">
        <f t="array" aca="1" ref="FJ44" ca="1">(1-$B$18)*SUMPRODUCT(OFFSET($BO$15,0,0,$B$14,1), 1*(_xlfn._xlws.FILTER(OFFSET($O$15,0,$DN44,$B$8,1),OFFSET($M$15,0,0,$B$8,1))=FJ$13), 1*(_xlfn._xlws.FILTER(OFFSET($O$15,0,$DO44,$B$8,1),OFFSET($M$15,0,0,$B$8,1))=FJ$14))   /   SUM(OFFSET($BO$15,0,0,$B$14,1)) + $B$18/($B$19*$B$19*($DN44&lt;&gt;$DO44) + $B$19*($DN44=$DO44))</f>
        <v>3.7037037037037035E-4</v>
      </c>
      <c r="FK44" s="10" cm="1">
        <f t="array" aca="1" ref="FK44" ca="1">(1-$B$18)*SUMPRODUCT(OFFSET($BO$15,0,0,$B$14,1), 1*(_xlfn._xlws.FILTER(OFFSET($O$15,0,$DN44,$B$8,1),OFFSET($M$15,0,0,$B$8,1))=FK$13), 1*(_xlfn._xlws.FILTER(OFFSET($O$15,0,$DO44,$B$8,1),OFFSET($M$15,0,0,$B$8,1))=FK$14))   /   SUM(OFFSET($BO$15,0,0,$B$14,1)) + $B$18/($B$19*$B$19*($DN44&lt;&gt;$DO44) + $B$19*($DN44=$DO44))</f>
        <v>3.7037037037037035E-4</v>
      </c>
      <c r="FL44" s="10" cm="1">
        <f t="array" aca="1" ref="FL44" ca="1">(1-$B$18)*SUMPRODUCT(OFFSET($BO$15,0,0,$B$14,1), 1*(_xlfn._xlws.FILTER(OFFSET($O$15,0,$DN44,$B$8,1),OFFSET($M$15,0,0,$B$8,1))=FL$13), 1*(_xlfn._xlws.FILTER(OFFSET($O$15,0,$DO44,$B$8,1),OFFSET($M$15,0,0,$B$8,1))=FL$14))   /   SUM(OFFSET($BO$15,0,0,$B$14,1)) + $B$18/($B$19*$B$19*($DN44&lt;&gt;$DO44) + $B$19*($DN44=$DO44))</f>
        <v>0.48537037037037034</v>
      </c>
      <c r="FM44" s="10" cm="1">
        <f t="array" aca="1" ref="FM44" ca="1">(1-$B$18)*SUMPRODUCT(OFFSET($BO$15,0,0,$B$14,1), 1*(_xlfn._xlws.FILTER(OFFSET($O$15,0,$DN44,$B$8,1),OFFSET($M$15,0,0,$B$8,1))=FM$13), 1*(_xlfn._xlws.FILTER(OFFSET($O$15,0,$DO44,$B$8,1),OFFSET($M$15,0,0,$B$8,1))=FM$14))   /   SUM(OFFSET($BO$15,0,0,$B$14,1)) + $B$18/($B$19*$B$19*($DN44&lt;&gt;$DO44) + $B$19*($DN44=$DO44))</f>
        <v>3.7037037037037035E-4</v>
      </c>
      <c r="FN44" s="10" cm="1">
        <f t="array" aca="1" ref="FN44" ca="1">(1-$B$18)*SUMPRODUCT(OFFSET($BO$15,0,0,$B$14,1), 1*(_xlfn._xlws.FILTER(OFFSET($O$15,0,$DN44,$B$8,1),OFFSET($M$15,0,0,$B$8,1))=FN$13), 1*(_xlfn._xlws.FILTER(OFFSET($O$15,0,$DO44,$B$8,1),OFFSET($M$15,0,0,$B$8,1))=FN$14))   /   SUM(OFFSET($BO$15,0,0,$B$14,1)) + $B$18/($B$19*$B$19*($DN44&lt;&gt;$DO44) + $B$19*($DN44=$DO44))</f>
        <v>0.24287037037037026</v>
      </c>
      <c r="FO44" s="10" cm="1">
        <f t="array" aca="1" ref="FO44" ca="1">(1-$B$18)*SUMPRODUCT(OFFSET($BO$15,0,0,$B$14,1), 1*(_xlfn._xlws.FILTER(OFFSET($O$15,0,$DN44,$B$8,1),OFFSET($M$15,0,0,$B$8,1))=FO$13), 1*(_xlfn._xlws.FILTER(OFFSET($O$15,0,$DO44,$B$8,1),OFFSET($M$15,0,0,$B$8,1))=FO$14))   /   SUM(OFFSET($BO$15,0,0,$B$14,1)) + $B$18/($B$19*$B$19*($DN44&lt;&gt;$DO44) + $B$19*($DN44=$DO44))</f>
        <v>0.24287037037037026</v>
      </c>
      <c r="FP44" s="10" cm="1">
        <f t="array" aca="1" ref="FP44" ca="1">(1-$B$18)*SUMPRODUCT(OFFSET($BO$15,0,0,$B$14,1), 1*(_xlfn._xlws.FILTER(OFFSET($O$15,0,$DN44,$B$8,1),OFFSET($M$15,0,0,$B$8,1))=FP$13), 1*(_xlfn._xlws.FILTER(OFFSET($O$15,0,$DO44,$B$8,1),OFFSET($M$15,0,0,$B$8,1))=FP$14))   /   SUM(OFFSET($BO$15,0,0,$B$14,1)) + $B$18/($B$19*$B$19*($DN44&lt;&gt;$DO44) + $B$19*($DN44=$DO44))</f>
        <v>3.7037037037037035E-4</v>
      </c>
      <c r="FQ44" s="10" cm="1">
        <f t="array" aca="1" ref="FQ44" ca="1">(1-$B$18)*SUMPRODUCT(OFFSET($BO$15,0,0,$B$14,1), 1*(_xlfn._xlws.FILTER(OFFSET($O$15,0,$DN44,$B$8,1),OFFSET($M$15,0,0,$B$8,1))=FQ$13), 1*(_xlfn._xlws.FILTER(OFFSET($O$15,0,$DO44,$B$8,1),OFFSET($M$15,0,0,$B$8,1))=FQ$14))   /   SUM(OFFSET($BO$15,0,0,$B$14,1)) + $B$18/($B$19*$B$19*($DN44&lt;&gt;$DO44) + $B$19*($DN44=$DO44))</f>
        <v>3.7037037037037035E-4</v>
      </c>
      <c r="FR44" s="10" cm="1">
        <f t="array" aca="1" ref="FR44" ca="1">(1-$B$18)*SUMPRODUCT(OFFSET($BO$15,0,0,$B$14,1), 1*(_xlfn._xlws.FILTER(OFFSET($O$15,0,$DN44,$B$8,1),OFFSET($M$15,0,0,$B$8,1))=FR$13), 1*(_xlfn._xlws.FILTER(OFFSET($O$15,0,$DO44,$B$8,1),OFFSET($M$15,0,0,$B$8,1))=FR$14))   /   SUM(OFFSET($BO$15,0,0,$B$14,1)) + $B$18/($B$19*$B$19*($DN44&lt;&gt;$DO44) + $B$19*($DN44=$DO44))</f>
        <v>3.7037037037037035E-4</v>
      </c>
      <c r="FS44" s="10" cm="1">
        <f t="array" aca="1" ref="FS44" ca="1">(1-$B$18)*SUMPRODUCT(OFFSET($BO$15,0,0,$B$14,1), 1*(_xlfn._xlws.FILTER(OFFSET($O$15,0,$DN44,$B$8,1),OFFSET($M$15,0,0,$B$8,1))=FS$13), 1*(_xlfn._xlws.FILTER(OFFSET($O$15,0,$DO44,$B$8,1),OFFSET($M$15,0,0,$B$8,1))=FS$14))   /   SUM(OFFSET($BO$15,0,0,$B$14,1)) + $B$18/($B$19*$B$19*($DN44&lt;&gt;$DO44) + $B$19*($DN44=$DO44))</f>
        <v>3.7037037037037035E-4</v>
      </c>
      <c r="FT44" s="10" cm="1">
        <f t="array" aca="1" ref="FT44" ca="1">(1-$B$18)*SUMPRODUCT(OFFSET($BO$15,0,0,$B$14,1), 1*(_xlfn._xlws.FILTER(OFFSET($O$15,0,$DN44,$B$8,1),OFFSET($M$15,0,0,$B$8,1))=FT$13), 1*(_xlfn._xlws.FILTER(OFFSET($O$15,0,$DO44,$B$8,1),OFFSET($M$15,0,0,$B$8,1))=FT$14))   /   SUM(OFFSET($BO$15,0,0,$B$14,1)) + $B$18/($B$19*$B$19*($DN44&lt;&gt;$DO44) + $B$19*($DN44=$DO44))</f>
        <v>3.7037037037037035E-4</v>
      </c>
      <c r="FU44" s="10" cm="1">
        <f t="array" aca="1" ref="FU44" ca="1">(1-$B$18)*SUMPRODUCT(OFFSET($BO$15,0,0,$B$14,1), 1*(_xlfn._xlws.FILTER(OFFSET($O$15,0,$DN44,$B$8,1),OFFSET($M$15,0,0,$B$8,1))=FU$13), 1*(_xlfn._xlws.FILTER(OFFSET($O$15,0,$DO44,$B$8,1),OFFSET($M$15,0,0,$B$8,1))=FU$14))   /   SUM(OFFSET($BO$15,0,0,$B$14,1)) + $B$18/($B$19*$B$19*($DN44&lt;&gt;$DO44) + $B$19*($DN44=$DO44))</f>
        <v>3.7037037037037035E-4</v>
      </c>
      <c r="FV44" s="10" cm="1">
        <f t="array" aca="1" ref="FV44" ca="1">(1-$B$18)*SUMPRODUCT(OFFSET($BO$15,0,0,$B$14,1), 1*(_xlfn._xlws.FILTER(OFFSET($O$15,0,$DN44,$B$8,1),OFFSET($M$15,0,0,$B$8,1))=FV$13), 1*(_xlfn._xlws.FILTER(OFFSET($O$15,0,$DO44,$B$8,1),OFFSET($M$15,0,0,$B$8,1))=FV$14))   /   SUM(OFFSET($BO$15,0,0,$B$14,1)) + $B$18/($B$19*$B$19*($DN44&lt;&gt;$DO44) + $B$19*($DN44=$DO44))</f>
        <v>3.7037037037037035E-4</v>
      </c>
      <c r="FW44" s="10" cm="1">
        <f t="array" aca="1" ref="FW44" ca="1">(1-$B$18)*SUMPRODUCT(OFFSET($BO$15,0,0,$B$14,1), 1*(_xlfn._xlws.FILTER(OFFSET($O$15,0,$DN44,$B$8,1),OFFSET($M$15,0,0,$B$8,1))=FW$13), 1*(_xlfn._xlws.FILTER(OFFSET($O$15,0,$DO44,$B$8,1),OFFSET($M$15,0,0,$B$8,1))=FW$14))   /   SUM(OFFSET($BO$15,0,0,$B$14,1)) + $B$18/($B$19*$B$19*($DN44&lt;&gt;$DO44) + $B$19*($DN44=$DO44))</f>
        <v>3.7037037037037035E-4</v>
      </c>
      <c r="FX44" s="10" cm="1">
        <f t="array" aca="1" ref="FX44" ca="1">(1-$B$18)*SUMPRODUCT(OFFSET($BO$15,0,0,$B$14,1), 1*(_xlfn._xlws.FILTER(OFFSET($O$15,0,$DN44,$B$8,1),OFFSET($M$15,0,0,$B$8,1))=FX$13), 1*(_xlfn._xlws.FILTER(OFFSET($O$15,0,$DO44,$B$8,1),OFFSET($M$15,0,0,$B$8,1))=FX$14))   /   SUM(OFFSET($BO$15,0,0,$B$14,1)) + $B$18/($B$19*$B$19*($DN44&lt;&gt;$DO44) + $B$19*($DN44=$DO44))</f>
        <v>3.7037037037037035E-4</v>
      </c>
      <c r="FY44" s="10" cm="1">
        <f t="array" aca="1" ref="FY44" ca="1">(1-$B$18)*SUMPRODUCT(OFFSET($BO$15,0,0,$B$14,1), 1*(_xlfn._xlws.FILTER(OFFSET($O$15,0,$DN44,$B$8,1),OFFSET($M$15,0,0,$B$8,1))=FY$13), 1*(_xlfn._xlws.FILTER(OFFSET($O$15,0,$DO44,$B$8,1),OFFSET($M$15,0,0,$B$8,1))=FY$14))   /   SUM(OFFSET($BO$15,0,0,$B$14,1)) + $B$18/($B$19*$B$19*($DN44&lt;&gt;$DO44) + $B$19*($DN44=$DO44))</f>
        <v>3.7037037037037035E-4</v>
      </c>
      <c r="FZ44" s="10" cm="1">
        <f t="array" aca="1" ref="FZ44" ca="1">(1-$B$18)*SUMPRODUCT(OFFSET($BO$15,0,0,$B$14,1), 1*(_xlfn._xlws.FILTER(OFFSET($O$15,0,$DN44,$B$8,1),OFFSET($M$15,0,0,$B$8,1))=FZ$13), 1*(_xlfn._xlws.FILTER(OFFSET($O$15,0,$DO44,$B$8,1),OFFSET($M$15,0,0,$B$8,1))=FZ$14))   /   SUM(OFFSET($BO$15,0,0,$B$14,1)) + $B$18/($B$19*$B$19*($DN44&lt;&gt;$DO44) + $B$19*($DN44=$DO44))</f>
        <v>3.7037037037037035E-4</v>
      </c>
      <c r="GA44" s="10" cm="1">
        <f t="array" aca="1" ref="GA44" ca="1">(1-$B$18)*SUMPRODUCT(OFFSET($BO$15,0,0,$B$14,1), 1*(_xlfn._xlws.FILTER(OFFSET($O$15,0,$DN44,$B$8,1),OFFSET($M$15,0,0,$B$8,1))=GA$13), 1*(_xlfn._xlws.FILTER(OFFSET($O$15,0,$DO44,$B$8,1),OFFSET($M$15,0,0,$B$8,1))=GA$14))   /   SUM(OFFSET($BO$15,0,0,$B$14,1)) + $B$18/($B$19*$B$19*($DN44&lt;&gt;$DO44) + $B$19*($DN44=$DO44))</f>
        <v>3.7037037037037035E-4</v>
      </c>
    </row>
    <row r="45" spans="4:183" x14ac:dyDescent="0.2">
      <c r="G45" s="2"/>
      <c r="AK45" s="2"/>
      <c r="AL45" s="2"/>
      <c r="DN45" cm="1">
        <f t="array" aca="1" ref="DN45" ca="1">INDEX(_xlfn.ANCHORARRAY($CP$15), 1 + INT((ROWS($DO$15:$DO45) - 1) / ROWS(_xlfn.ANCHORARRAY($CP$15))))</f>
        <v>1</v>
      </c>
      <c r="DO45" cm="1">
        <f t="array" aca="1" ref="DO45" ca="1">INDEX(_xlfn.ANCHORARRAY($CP$15),1+MOD(ROWS($DO$15:$DO45)-1,ROWS(_xlfn.ANCHORARRAY($CP$15))))</f>
        <v>12</v>
      </c>
      <c r="DP45" s="10" cm="1">
        <f t="array" aca="1" ref="DP45" ca="1">(1-$B$18)*SUMPRODUCT(OFFSET($BO$15,0,0,$B$14,1), 1*(_xlfn._xlws.FILTER(OFFSET($O$15,0,$DN45,$B$8,1),OFFSET($M$15,0,0,$B$8,1))=DP$13), 1*(_xlfn._xlws.FILTER(OFFSET($O$15,0,$DO45,$B$8,1),OFFSET($M$15,0,0,$B$8,1))=DP$14))   /   SUM(OFFSET($BO$15,0,0,$B$14,1)) + $B$18/($B$19*$B$19*($DN45&lt;&gt;$DO45) + $B$19*($DN45=$DO45))</f>
        <v>3.7037037037037035E-4</v>
      </c>
      <c r="DQ45" s="10" cm="1">
        <f t="array" aca="1" ref="DQ45" ca="1">(1-$B$18)*SUMPRODUCT(OFFSET($BO$15,0,0,$B$14,1), 1*(_xlfn._xlws.FILTER(OFFSET($O$15,0,$DN45,$B$8,1),OFFSET($M$15,0,0,$B$8,1))=DQ$13), 1*(_xlfn._xlws.FILTER(OFFSET($O$15,0,$DO45,$B$8,1),OFFSET($M$15,0,0,$B$8,1))=DQ$14))   /   SUM(OFFSET($BO$15,0,0,$B$14,1)) + $B$18/($B$19*$B$19*($DN45&lt;&gt;$DO45) + $B$19*($DN45=$DO45))</f>
        <v>3.7037037037037035E-4</v>
      </c>
      <c r="DR45" s="10" cm="1">
        <f t="array" aca="1" ref="DR45" ca="1">(1-$B$18)*SUMPRODUCT(OFFSET($BO$15,0,0,$B$14,1), 1*(_xlfn._xlws.FILTER(OFFSET($O$15,0,$DN45,$B$8,1),OFFSET($M$15,0,0,$B$8,1))=DR$13), 1*(_xlfn._xlws.FILTER(OFFSET($O$15,0,$DO45,$B$8,1),OFFSET($M$15,0,0,$B$8,1))=DR$14))   /   SUM(OFFSET($BO$15,0,0,$B$14,1)) + $B$18/($B$19*$B$19*($DN45&lt;&gt;$DO45) + $B$19*($DN45=$DO45))</f>
        <v>3.7037037037037035E-4</v>
      </c>
      <c r="DS45" s="10" cm="1">
        <f t="array" aca="1" ref="DS45" ca="1">(1-$B$18)*SUMPRODUCT(OFFSET($BO$15,0,0,$B$14,1), 1*(_xlfn._xlws.FILTER(OFFSET($O$15,0,$DN45,$B$8,1),OFFSET($M$15,0,0,$B$8,1))=DS$13), 1*(_xlfn._xlws.FILTER(OFFSET($O$15,0,$DO45,$B$8,1),OFFSET($M$15,0,0,$B$8,1))=DS$14))   /   SUM(OFFSET($BO$15,0,0,$B$14,1)) + $B$18/($B$19*$B$19*($DN45&lt;&gt;$DO45) + $B$19*($DN45=$DO45))</f>
        <v>3.7037037037037035E-4</v>
      </c>
      <c r="DT45" s="10" cm="1">
        <f t="array" aca="1" ref="DT45" ca="1">(1-$B$18)*SUMPRODUCT(OFFSET($BO$15,0,0,$B$14,1), 1*(_xlfn._xlws.FILTER(OFFSET($O$15,0,$DN45,$B$8,1),OFFSET($M$15,0,0,$B$8,1))=DT$13), 1*(_xlfn._xlws.FILTER(OFFSET($O$15,0,$DO45,$B$8,1),OFFSET($M$15,0,0,$B$8,1))=DT$14))   /   SUM(OFFSET($BO$15,0,0,$B$14,1)) + $B$18/($B$19*$B$19*($DN45&lt;&gt;$DO45) + $B$19*($DN45=$DO45))</f>
        <v>3.7037037037037035E-4</v>
      </c>
      <c r="DU45" s="10" cm="1">
        <f t="array" aca="1" ref="DU45" ca="1">(1-$B$18)*SUMPRODUCT(OFFSET($BO$15,0,0,$B$14,1), 1*(_xlfn._xlws.FILTER(OFFSET($O$15,0,$DN45,$B$8,1),OFFSET($M$15,0,0,$B$8,1))=DU$13), 1*(_xlfn._xlws.FILTER(OFFSET($O$15,0,$DO45,$B$8,1),OFFSET($M$15,0,0,$B$8,1))=DU$14))   /   SUM(OFFSET($BO$15,0,0,$B$14,1)) + $B$18/($B$19*$B$19*($DN45&lt;&gt;$DO45) + $B$19*($DN45=$DO45))</f>
        <v>3.7037037037037035E-4</v>
      </c>
      <c r="DV45" s="10" cm="1">
        <f t="array" aca="1" ref="DV45" ca="1">(1-$B$18)*SUMPRODUCT(OFFSET($BO$15,0,0,$B$14,1), 1*(_xlfn._xlws.FILTER(OFFSET($O$15,0,$DN45,$B$8,1),OFFSET($M$15,0,0,$B$8,1))=DV$13), 1*(_xlfn._xlws.FILTER(OFFSET($O$15,0,$DO45,$B$8,1),OFFSET($M$15,0,0,$B$8,1))=DV$14))   /   SUM(OFFSET($BO$15,0,0,$B$14,1)) + $B$18/($B$19*$B$19*($DN45&lt;&gt;$DO45) + $B$19*($DN45=$DO45))</f>
        <v>3.7037037037037035E-4</v>
      </c>
      <c r="DW45" s="10" cm="1">
        <f t="array" aca="1" ref="DW45" ca="1">(1-$B$18)*SUMPRODUCT(OFFSET($BO$15,0,0,$B$14,1), 1*(_xlfn._xlws.FILTER(OFFSET($O$15,0,$DN45,$B$8,1),OFFSET($M$15,0,0,$B$8,1))=DW$13), 1*(_xlfn._xlws.FILTER(OFFSET($O$15,0,$DO45,$B$8,1),OFFSET($M$15,0,0,$B$8,1))=DW$14))   /   SUM(OFFSET($BO$15,0,0,$B$14,1)) + $B$18/($B$19*$B$19*($DN45&lt;&gt;$DO45) + $B$19*($DN45=$DO45))</f>
        <v>3.7037037037037035E-4</v>
      </c>
      <c r="DX45" s="10" cm="1">
        <f t="array" aca="1" ref="DX45" ca="1">(1-$B$18)*SUMPRODUCT(OFFSET($BO$15,0,0,$B$14,1), 1*(_xlfn._xlws.FILTER(OFFSET($O$15,0,$DN45,$B$8,1),OFFSET($M$15,0,0,$B$8,1))=DX$13), 1*(_xlfn._xlws.FILTER(OFFSET($O$15,0,$DO45,$B$8,1),OFFSET($M$15,0,0,$B$8,1))=DX$14))   /   SUM(OFFSET($BO$15,0,0,$B$14,1)) + $B$18/($B$19*$B$19*($DN45&lt;&gt;$DO45) + $B$19*($DN45=$DO45))</f>
        <v>3.7037037037037035E-4</v>
      </c>
      <c r="DY45" s="10" cm="1">
        <f t="array" aca="1" ref="DY45" ca="1">(1-$B$18)*SUMPRODUCT(OFFSET($BO$15,0,0,$B$14,1), 1*(_xlfn._xlws.FILTER(OFFSET($O$15,0,$DN45,$B$8,1),OFFSET($M$15,0,0,$B$8,1))=DY$13), 1*(_xlfn._xlws.FILTER(OFFSET($O$15,0,$DO45,$B$8,1),OFFSET($M$15,0,0,$B$8,1))=DY$14))   /   SUM(OFFSET($BO$15,0,0,$B$14,1)) + $B$18/($B$19*$B$19*($DN45&lt;&gt;$DO45) + $B$19*($DN45=$DO45))</f>
        <v>3.7037037037037035E-4</v>
      </c>
      <c r="DZ45" s="10" cm="1">
        <f t="array" aca="1" ref="DZ45" ca="1">(1-$B$18)*SUMPRODUCT(OFFSET($BO$15,0,0,$B$14,1), 1*(_xlfn._xlws.FILTER(OFFSET($O$15,0,$DN45,$B$8,1),OFFSET($M$15,0,0,$B$8,1))=DZ$13), 1*(_xlfn._xlws.FILTER(OFFSET($O$15,0,$DO45,$B$8,1),OFFSET($M$15,0,0,$B$8,1))=DZ$14))   /   SUM(OFFSET($BO$15,0,0,$B$14,1)) + $B$18/($B$19*$B$19*($DN45&lt;&gt;$DO45) + $B$19*($DN45=$DO45))</f>
        <v>3.7037037037037035E-4</v>
      </c>
      <c r="EA45" s="10" cm="1">
        <f t="array" aca="1" ref="EA45" ca="1">(1-$B$18)*SUMPRODUCT(OFFSET($BO$15,0,0,$B$14,1), 1*(_xlfn._xlws.FILTER(OFFSET($O$15,0,$DN45,$B$8,1),OFFSET($M$15,0,0,$B$8,1))=EA$13), 1*(_xlfn._xlws.FILTER(OFFSET($O$15,0,$DO45,$B$8,1),OFFSET($M$15,0,0,$B$8,1))=EA$14))   /   SUM(OFFSET($BO$15,0,0,$B$14,1)) + $B$18/($B$19*$B$19*($DN45&lt;&gt;$DO45) + $B$19*($DN45=$DO45))</f>
        <v>3.7037037037037035E-4</v>
      </c>
      <c r="EB45" s="10" cm="1">
        <f t="array" aca="1" ref="EB45" ca="1">(1-$B$18)*SUMPRODUCT(OFFSET($BO$15,0,0,$B$14,1), 1*(_xlfn._xlws.FILTER(OFFSET($O$15,0,$DN45,$B$8,1),OFFSET($M$15,0,0,$B$8,1))=EB$13), 1*(_xlfn._xlws.FILTER(OFFSET($O$15,0,$DO45,$B$8,1),OFFSET($M$15,0,0,$B$8,1))=EB$14))   /   SUM(OFFSET($BO$15,0,0,$B$14,1)) + $B$18/($B$19*$B$19*($DN45&lt;&gt;$DO45) + $B$19*($DN45=$DO45))</f>
        <v>3.7037037037037035E-4</v>
      </c>
      <c r="EC45" s="10" cm="1">
        <f t="array" aca="1" ref="EC45" ca="1">(1-$B$18)*SUMPRODUCT(OFFSET($BO$15,0,0,$B$14,1), 1*(_xlfn._xlws.FILTER(OFFSET($O$15,0,$DN45,$B$8,1),OFFSET($M$15,0,0,$B$8,1))=EC$13), 1*(_xlfn._xlws.FILTER(OFFSET($O$15,0,$DO45,$B$8,1),OFFSET($M$15,0,0,$B$8,1))=EC$14))   /   SUM(OFFSET($BO$15,0,0,$B$14,1)) + $B$18/($B$19*$B$19*($DN45&lt;&gt;$DO45) + $B$19*($DN45=$DO45))</f>
        <v>3.7037037037037035E-4</v>
      </c>
      <c r="ED45" s="10" cm="1">
        <f t="array" aca="1" ref="ED45" ca="1">(1-$B$18)*SUMPRODUCT(OFFSET($BO$15,0,0,$B$14,1), 1*(_xlfn._xlws.FILTER(OFFSET($O$15,0,$DN45,$B$8,1),OFFSET($M$15,0,0,$B$8,1))=ED$13), 1*(_xlfn._xlws.FILTER(OFFSET($O$15,0,$DO45,$B$8,1),OFFSET($M$15,0,0,$B$8,1))=ED$14))   /   SUM(OFFSET($BO$15,0,0,$B$14,1)) + $B$18/($B$19*$B$19*($DN45&lt;&gt;$DO45) + $B$19*($DN45=$DO45))</f>
        <v>3.7037037037037035E-4</v>
      </c>
      <c r="EE45" s="10" cm="1">
        <f t="array" aca="1" ref="EE45" ca="1">(1-$B$18)*SUMPRODUCT(OFFSET($BO$15,0,0,$B$14,1), 1*(_xlfn._xlws.FILTER(OFFSET($O$15,0,$DN45,$B$8,1),OFFSET($M$15,0,0,$B$8,1))=EE$13), 1*(_xlfn._xlws.FILTER(OFFSET($O$15,0,$DO45,$B$8,1),OFFSET($M$15,0,0,$B$8,1))=EE$14))   /   SUM(OFFSET($BO$15,0,0,$B$14,1)) + $B$18/($B$19*$B$19*($DN45&lt;&gt;$DO45) + $B$19*($DN45=$DO45))</f>
        <v>3.7037037037037035E-4</v>
      </c>
      <c r="EF45" s="10" cm="1">
        <f t="array" aca="1" ref="EF45" ca="1">(1-$B$18)*SUMPRODUCT(OFFSET($BO$15,0,0,$B$14,1), 1*(_xlfn._xlws.FILTER(OFFSET($O$15,0,$DN45,$B$8,1),OFFSET($M$15,0,0,$B$8,1))=EF$13), 1*(_xlfn._xlws.FILTER(OFFSET($O$15,0,$DO45,$B$8,1),OFFSET($M$15,0,0,$B$8,1))=EF$14))   /   SUM(OFFSET($BO$15,0,0,$B$14,1)) + $B$18/($B$19*$B$19*($DN45&lt;&gt;$DO45) + $B$19*($DN45=$DO45))</f>
        <v>3.7037037037037035E-4</v>
      </c>
      <c r="EG45" s="10" cm="1">
        <f t="array" aca="1" ref="EG45" ca="1">(1-$B$18)*SUMPRODUCT(OFFSET($BO$15,0,0,$B$14,1), 1*(_xlfn._xlws.FILTER(OFFSET($O$15,0,$DN45,$B$8,1),OFFSET($M$15,0,0,$B$8,1))=EG$13), 1*(_xlfn._xlws.FILTER(OFFSET($O$15,0,$DO45,$B$8,1),OFFSET($M$15,0,0,$B$8,1))=EG$14))   /   SUM(OFFSET($BO$15,0,0,$B$14,1)) + $B$18/($B$19*$B$19*($DN45&lt;&gt;$DO45) + $B$19*($DN45=$DO45))</f>
        <v>3.7037037037037035E-4</v>
      </c>
      <c r="EH45" s="10" cm="1">
        <f t="array" aca="1" ref="EH45" ca="1">(1-$B$18)*SUMPRODUCT(OFFSET($BO$15,0,0,$B$14,1), 1*(_xlfn._xlws.FILTER(OFFSET($O$15,0,$DN45,$B$8,1),OFFSET($M$15,0,0,$B$8,1))=EH$13), 1*(_xlfn._xlws.FILTER(OFFSET($O$15,0,$DO45,$B$8,1),OFFSET($M$15,0,0,$B$8,1))=EH$14))   /   SUM(OFFSET($BO$15,0,0,$B$14,1)) + $B$18/($B$19*$B$19*($DN45&lt;&gt;$DO45) + $B$19*($DN45=$DO45))</f>
        <v>3.7037037037037035E-4</v>
      </c>
      <c r="EI45" s="10" cm="1">
        <f t="array" aca="1" ref="EI45" ca="1">(1-$B$18)*SUMPRODUCT(OFFSET($BO$15,0,0,$B$14,1), 1*(_xlfn._xlws.FILTER(OFFSET($O$15,0,$DN45,$B$8,1),OFFSET($M$15,0,0,$B$8,1))=EI$13), 1*(_xlfn._xlws.FILTER(OFFSET($O$15,0,$DO45,$B$8,1),OFFSET($M$15,0,0,$B$8,1))=EI$14))   /   SUM(OFFSET($BO$15,0,0,$B$14,1)) + $B$18/($B$19*$B$19*($DN45&lt;&gt;$DO45) + $B$19*($DN45=$DO45))</f>
        <v>3.7037037037037035E-4</v>
      </c>
      <c r="EJ45" s="10" cm="1">
        <f t="array" aca="1" ref="EJ45" ca="1">(1-$B$18)*SUMPRODUCT(OFFSET($BO$15,0,0,$B$14,1), 1*(_xlfn._xlws.FILTER(OFFSET($O$15,0,$DN45,$B$8,1),OFFSET($M$15,0,0,$B$8,1))=EJ$13), 1*(_xlfn._xlws.FILTER(OFFSET($O$15,0,$DO45,$B$8,1),OFFSET($M$15,0,0,$B$8,1))=EJ$14))   /   SUM(OFFSET($BO$15,0,0,$B$14,1)) + $B$18/($B$19*$B$19*($DN45&lt;&gt;$DO45) + $B$19*($DN45=$DO45))</f>
        <v>3.7037037037037035E-4</v>
      </c>
      <c r="EK45" s="10" cm="1">
        <f t="array" aca="1" ref="EK45" ca="1">(1-$B$18)*SUMPRODUCT(OFFSET($BO$15,0,0,$B$14,1), 1*(_xlfn._xlws.FILTER(OFFSET($O$15,0,$DN45,$B$8,1),OFFSET($M$15,0,0,$B$8,1))=EK$13), 1*(_xlfn._xlws.FILTER(OFFSET($O$15,0,$DO45,$B$8,1),OFFSET($M$15,0,0,$B$8,1))=EK$14))   /   SUM(OFFSET($BO$15,0,0,$B$14,1)) + $B$18/($B$19*$B$19*($DN45&lt;&gt;$DO45) + $B$19*($DN45=$DO45))</f>
        <v>3.7037037037037035E-4</v>
      </c>
      <c r="EL45" s="10" cm="1">
        <f t="array" aca="1" ref="EL45" ca="1">(1-$B$18)*SUMPRODUCT(OFFSET($BO$15,0,0,$B$14,1), 1*(_xlfn._xlws.FILTER(OFFSET($O$15,0,$DN45,$B$8,1),OFFSET($M$15,0,0,$B$8,1))=EL$13), 1*(_xlfn._xlws.FILTER(OFFSET($O$15,0,$DO45,$B$8,1),OFFSET($M$15,0,0,$B$8,1))=EL$14))   /   SUM(OFFSET($BO$15,0,0,$B$14,1)) + $B$18/($B$19*$B$19*($DN45&lt;&gt;$DO45) + $B$19*($DN45=$DO45))</f>
        <v>3.7037037037037035E-4</v>
      </c>
      <c r="EM45" s="10" cm="1">
        <f t="array" aca="1" ref="EM45" ca="1">(1-$B$18)*SUMPRODUCT(OFFSET($BO$15,0,0,$B$14,1), 1*(_xlfn._xlws.FILTER(OFFSET($O$15,0,$DN45,$B$8,1),OFFSET($M$15,0,0,$B$8,1))=EM$13), 1*(_xlfn._xlws.FILTER(OFFSET($O$15,0,$DO45,$B$8,1),OFFSET($M$15,0,0,$B$8,1))=EM$14))   /   SUM(OFFSET($BO$15,0,0,$B$14,1)) + $B$18/($B$19*$B$19*($DN45&lt;&gt;$DO45) + $B$19*($DN45=$DO45))</f>
        <v>3.7037037037037035E-4</v>
      </c>
      <c r="EN45" s="10" cm="1">
        <f t="array" aca="1" ref="EN45" ca="1">(1-$B$18)*SUMPRODUCT(OFFSET($BO$15,0,0,$B$14,1), 1*(_xlfn._xlws.FILTER(OFFSET($O$15,0,$DN45,$B$8,1),OFFSET($M$15,0,0,$B$8,1))=EN$13), 1*(_xlfn._xlws.FILTER(OFFSET($O$15,0,$DO45,$B$8,1),OFFSET($M$15,0,0,$B$8,1))=EN$14))   /   SUM(OFFSET($BO$15,0,0,$B$14,1)) + $B$18/($B$19*$B$19*($DN45&lt;&gt;$DO45) + $B$19*($DN45=$DO45))</f>
        <v>3.7037037037037035E-4</v>
      </c>
      <c r="EO45" s="10" cm="1">
        <f t="array" aca="1" ref="EO45" ca="1">(1-$B$18)*SUMPRODUCT(OFFSET($BO$15,0,0,$B$14,1), 1*(_xlfn._xlws.FILTER(OFFSET($O$15,0,$DN45,$B$8,1),OFFSET($M$15,0,0,$B$8,1))=EO$13), 1*(_xlfn._xlws.FILTER(OFFSET($O$15,0,$DO45,$B$8,1),OFFSET($M$15,0,0,$B$8,1))=EO$14))   /   SUM(OFFSET($BO$15,0,0,$B$14,1)) + $B$18/($B$19*$B$19*($DN45&lt;&gt;$DO45) + $B$19*($DN45=$DO45))</f>
        <v>3.7037037037037035E-4</v>
      </c>
      <c r="EP45" s="10" cm="1">
        <f t="array" aca="1" ref="EP45" ca="1">(1-$B$18)*SUMPRODUCT(OFFSET($BO$15,0,0,$B$14,1), 1*(_xlfn._xlws.FILTER(OFFSET($O$15,0,$DN45,$B$8,1),OFFSET($M$15,0,0,$B$8,1))=EP$13), 1*(_xlfn._xlws.FILTER(OFFSET($O$15,0,$DO45,$B$8,1),OFFSET($M$15,0,0,$B$8,1))=EP$14))   /   SUM(OFFSET($BO$15,0,0,$B$14,1)) + $B$18/($B$19*$B$19*($DN45&lt;&gt;$DO45) + $B$19*($DN45=$DO45))</f>
        <v>3.7037037037037035E-4</v>
      </c>
      <c r="EQ45" s="10" cm="1">
        <f t="array" aca="1" ref="EQ45" ca="1">(1-$B$18)*SUMPRODUCT(OFFSET($BO$15,0,0,$B$14,1), 1*(_xlfn._xlws.FILTER(OFFSET($O$15,0,$DN45,$B$8,1),OFFSET($M$15,0,0,$B$8,1))=EQ$13), 1*(_xlfn._xlws.FILTER(OFFSET($O$15,0,$DO45,$B$8,1),OFFSET($M$15,0,0,$B$8,1))=EQ$14))   /   SUM(OFFSET($BO$15,0,0,$B$14,1)) + $B$18/($B$19*$B$19*($DN45&lt;&gt;$DO45) + $B$19*($DN45=$DO45))</f>
        <v>3.7037037037037035E-4</v>
      </c>
      <c r="ER45" s="10" cm="1">
        <f t="array" aca="1" ref="ER45" ca="1">(1-$B$18)*SUMPRODUCT(OFFSET($BO$15,0,0,$B$14,1), 1*(_xlfn._xlws.FILTER(OFFSET($O$15,0,$DN45,$B$8,1),OFFSET($M$15,0,0,$B$8,1))=ER$13), 1*(_xlfn._xlws.FILTER(OFFSET($O$15,0,$DO45,$B$8,1),OFFSET($M$15,0,0,$B$8,1))=ER$14))   /   SUM(OFFSET($BO$15,0,0,$B$14,1)) + $B$18/($B$19*$B$19*($DN45&lt;&gt;$DO45) + $B$19*($DN45=$DO45))</f>
        <v>3.7037037037037035E-4</v>
      </c>
      <c r="ES45" s="10" cm="1">
        <f t="array" aca="1" ref="ES45" ca="1">(1-$B$18)*SUMPRODUCT(OFFSET($BO$15,0,0,$B$14,1), 1*(_xlfn._xlws.FILTER(OFFSET($O$15,0,$DN45,$B$8,1),OFFSET($M$15,0,0,$B$8,1))=ES$13), 1*(_xlfn._xlws.FILTER(OFFSET($O$15,0,$DO45,$B$8,1),OFFSET($M$15,0,0,$B$8,1))=ES$14))   /   SUM(OFFSET($BO$15,0,0,$B$14,1)) + $B$18/($B$19*$B$19*($DN45&lt;&gt;$DO45) + $B$19*($DN45=$DO45))</f>
        <v>3.7037037037037035E-4</v>
      </c>
      <c r="ET45" s="10" cm="1">
        <f t="array" aca="1" ref="ET45" ca="1">(1-$B$18)*SUMPRODUCT(OFFSET($BO$15,0,0,$B$14,1), 1*(_xlfn._xlws.FILTER(OFFSET($O$15,0,$DN45,$B$8,1),OFFSET($M$15,0,0,$B$8,1))=ET$13), 1*(_xlfn._xlws.FILTER(OFFSET($O$15,0,$DO45,$B$8,1),OFFSET($M$15,0,0,$B$8,1))=ET$14))   /   SUM(OFFSET($BO$15,0,0,$B$14,1)) + $B$18/($B$19*$B$19*($DN45&lt;&gt;$DO45) + $B$19*($DN45=$DO45))</f>
        <v>3.7037037037037035E-4</v>
      </c>
      <c r="EU45" s="10" cm="1">
        <f t="array" aca="1" ref="EU45" ca="1">(1-$B$18)*SUMPRODUCT(OFFSET($BO$15,0,0,$B$14,1), 1*(_xlfn._xlws.FILTER(OFFSET($O$15,0,$DN45,$B$8,1),OFFSET($M$15,0,0,$B$8,1))=EU$13), 1*(_xlfn._xlws.FILTER(OFFSET($O$15,0,$DO45,$B$8,1),OFFSET($M$15,0,0,$B$8,1))=EU$14))   /   SUM(OFFSET($BO$15,0,0,$B$14,1)) + $B$18/($B$19*$B$19*($DN45&lt;&gt;$DO45) + $B$19*($DN45=$DO45))</f>
        <v>3.7037037037037035E-4</v>
      </c>
      <c r="EV45" s="10" cm="1">
        <f t="array" aca="1" ref="EV45" ca="1">(1-$B$18)*SUMPRODUCT(OFFSET($BO$15,0,0,$B$14,1), 1*(_xlfn._xlws.FILTER(OFFSET($O$15,0,$DN45,$B$8,1),OFFSET($M$15,0,0,$B$8,1))=EV$13), 1*(_xlfn._xlws.FILTER(OFFSET($O$15,0,$DO45,$B$8,1),OFFSET($M$15,0,0,$B$8,1))=EV$14))   /   SUM(OFFSET($BO$15,0,0,$B$14,1)) + $B$18/($B$19*$B$19*($DN45&lt;&gt;$DO45) + $B$19*($DN45=$DO45))</f>
        <v>3.7037037037037035E-4</v>
      </c>
      <c r="EW45" s="10" cm="1">
        <f t="array" aca="1" ref="EW45" ca="1">(1-$B$18)*SUMPRODUCT(OFFSET($BO$15,0,0,$B$14,1), 1*(_xlfn._xlws.FILTER(OFFSET($O$15,0,$DN45,$B$8,1),OFFSET($M$15,0,0,$B$8,1))=EW$13), 1*(_xlfn._xlws.FILTER(OFFSET($O$15,0,$DO45,$B$8,1),OFFSET($M$15,0,0,$B$8,1))=EW$14))   /   SUM(OFFSET($BO$15,0,0,$B$14,1)) + $B$18/($B$19*$B$19*($DN45&lt;&gt;$DO45) + $B$19*($DN45=$DO45))</f>
        <v>3.7037037037037035E-4</v>
      </c>
      <c r="EX45" s="10" cm="1">
        <f t="array" aca="1" ref="EX45" ca="1">(1-$B$18)*SUMPRODUCT(OFFSET($BO$15,0,0,$B$14,1), 1*(_xlfn._xlws.FILTER(OFFSET($O$15,0,$DN45,$B$8,1),OFFSET($M$15,0,0,$B$8,1))=EX$13), 1*(_xlfn._xlws.FILTER(OFFSET($O$15,0,$DO45,$B$8,1),OFFSET($M$15,0,0,$B$8,1))=EX$14))   /   SUM(OFFSET($BO$15,0,0,$B$14,1)) + $B$18/($B$19*$B$19*($DN45&lt;&gt;$DO45) + $B$19*($DN45=$DO45))</f>
        <v>3.7037037037037035E-4</v>
      </c>
      <c r="EY45" s="10" cm="1">
        <f t="array" aca="1" ref="EY45" ca="1">(1-$B$18)*SUMPRODUCT(OFFSET($BO$15,0,0,$B$14,1), 1*(_xlfn._xlws.FILTER(OFFSET($O$15,0,$DN45,$B$8,1),OFFSET($M$15,0,0,$B$8,1))=EY$13), 1*(_xlfn._xlws.FILTER(OFFSET($O$15,0,$DO45,$B$8,1),OFFSET($M$15,0,0,$B$8,1))=EY$14))   /   SUM(OFFSET($BO$15,0,0,$B$14,1)) + $B$18/($B$19*$B$19*($DN45&lt;&gt;$DO45) + $B$19*($DN45=$DO45))</f>
        <v>3.7037037037037035E-4</v>
      </c>
      <c r="EZ45" s="10" cm="1">
        <f t="array" aca="1" ref="EZ45" ca="1">(1-$B$18)*SUMPRODUCT(OFFSET($BO$15,0,0,$B$14,1), 1*(_xlfn._xlws.FILTER(OFFSET($O$15,0,$DN45,$B$8,1),OFFSET($M$15,0,0,$B$8,1))=EZ$13), 1*(_xlfn._xlws.FILTER(OFFSET($O$15,0,$DO45,$B$8,1),OFFSET($M$15,0,0,$B$8,1))=EZ$14))   /   SUM(OFFSET($BO$15,0,0,$B$14,1)) + $B$18/($B$19*$B$19*($DN45&lt;&gt;$DO45) + $B$19*($DN45=$DO45))</f>
        <v>3.7037037037037035E-4</v>
      </c>
      <c r="FA45" s="10" cm="1">
        <f t="array" aca="1" ref="FA45" ca="1">(1-$B$18)*SUMPRODUCT(OFFSET($BO$15,0,0,$B$14,1), 1*(_xlfn._xlws.FILTER(OFFSET($O$15,0,$DN45,$B$8,1),OFFSET($M$15,0,0,$B$8,1))=FA$13), 1*(_xlfn._xlws.FILTER(OFFSET($O$15,0,$DO45,$B$8,1),OFFSET($M$15,0,0,$B$8,1))=FA$14))   /   SUM(OFFSET($BO$15,0,0,$B$14,1)) + $B$18/($B$19*$B$19*($DN45&lt;&gt;$DO45) + $B$19*($DN45=$DO45))</f>
        <v>3.7037037037037035E-4</v>
      </c>
      <c r="FB45" s="10" cm="1">
        <f t="array" aca="1" ref="FB45" ca="1">(1-$B$18)*SUMPRODUCT(OFFSET($BO$15,0,0,$B$14,1), 1*(_xlfn._xlws.FILTER(OFFSET($O$15,0,$DN45,$B$8,1),OFFSET($M$15,0,0,$B$8,1))=FB$13), 1*(_xlfn._xlws.FILTER(OFFSET($O$15,0,$DO45,$B$8,1),OFFSET($M$15,0,0,$B$8,1))=FB$14))   /   SUM(OFFSET($BO$15,0,0,$B$14,1)) + $B$18/($B$19*$B$19*($DN45&lt;&gt;$DO45) + $B$19*($DN45=$DO45))</f>
        <v>3.7037037037037035E-4</v>
      </c>
      <c r="FC45" s="10" cm="1">
        <f t="array" aca="1" ref="FC45" ca="1">(1-$B$18)*SUMPRODUCT(OFFSET($BO$15,0,0,$B$14,1), 1*(_xlfn._xlws.FILTER(OFFSET($O$15,0,$DN45,$B$8,1),OFFSET($M$15,0,0,$B$8,1))=FC$13), 1*(_xlfn._xlws.FILTER(OFFSET($O$15,0,$DO45,$B$8,1),OFFSET($M$15,0,0,$B$8,1))=FC$14))   /   SUM(OFFSET($BO$15,0,0,$B$14,1)) + $B$18/($B$19*$B$19*($DN45&lt;&gt;$DO45) + $B$19*($DN45=$DO45))</f>
        <v>3.7037037037037035E-4</v>
      </c>
      <c r="FD45" s="10" cm="1">
        <f t="array" aca="1" ref="FD45" ca="1">(1-$B$18)*SUMPRODUCT(OFFSET($BO$15,0,0,$B$14,1), 1*(_xlfn._xlws.FILTER(OFFSET($O$15,0,$DN45,$B$8,1),OFFSET($M$15,0,0,$B$8,1))=FD$13), 1*(_xlfn._xlws.FILTER(OFFSET($O$15,0,$DO45,$B$8,1),OFFSET($M$15,0,0,$B$8,1))=FD$14))   /   SUM(OFFSET($BO$15,0,0,$B$14,1)) + $B$18/($B$19*$B$19*($DN45&lt;&gt;$DO45) + $B$19*($DN45=$DO45))</f>
        <v>3.7037037037037035E-4</v>
      </c>
      <c r="FE45" s="10" cm="1">
        <f t="array" aca="1" ref="FE45" ca="1">(1-$B$18)*SUMPRODUCT(OFFSET($BO$15,0,0,$B$14,1), 1*(_xlfn._xlws.FILTER(OFFSET($O$15,0,$DN45,$B$8,1),OFFSET($M$15,0,0,$B$8,1))=FE$13), 1*(_xlfn._xlws.FILTER(OFFSET($O$15,0,$DO45,$B$8,1),OFFSET($M$15,0,0,$B$8,1))=FE$14))   /   SUM(OFFSET($BO$15,0,0,$B$14,1)) + $B$18/($B$19*$B$19*($DN45&lt;&gt;$DO45) + $B$19*($DN45=$DO45))</f>
        <v>3.7037037037037035E-4</v>
      </c>
      <c r="FF45" s="10" cm="1">
        <f t="array" aca="1" ref="FF45" ca="1">(1-$B$18)*SUMPRODUCT(OFFSET($BO$15,0,0,$B$14,1), 1*(_xlfn._xlws.FILTER(OFFSET($O$15,0,$DN45,$B$8,1),OFFSET($M$15,0,0,$B$8,1))=FF$13), 1*(_xlfn._xlws.FILTER(OFFSET($O$15,0,$DO45,$B$8,1),OFFSET($M$15,0,0,$B$8,1))=FF$14))   /   SUM(OFFSET($BO$15,0,0,$B$14,1)) + $B$18/($B$19*$B$19*($DN45&lt;&gt;$DO45) + $B$19*($DN45=$DO45))</f>
        <v>3.7037037037037035E-4</v>
      </c>
      <c r="FG45" s="10" cm="1">
        <f t="array" aca="1" ref="FG45" ca="1">(1-$B$18)*SUMPRODUCT(OFFSET($BO$15,0,0,$B$14,1), 1*(_xlfn._xlws.FILTER(OFFSET($O$15,0,$DN45,$B$8,1),OFFSET($M$15,0,0,$B$8,1))=FG$13), 1*(_xlfn._xlws.FILTER(OFFSET($O$15,0,$DO45,$B$8,1),OFFSET($M$15,0,0,$B$8,1))=FG$14))   /   SUM(OFFSET($BO$15,0,0,$B$14,1)) + $B$18/($B$19*$B$19*($DN45&lt;&gt;$DO45) + $B$19*($DN45=$DO45))</f>
        <v>3.7037037037037035E-4</v>
      </c>
      <c r="FH45" s="10" cm="1">
        <f t="array" aca="1" ref="FH45" ca="1">(1-$B$18)*SUMPRODUCT(OFFSET($BO$15,0,0,$B$14,1), 1*(_xlfn._xlws.FILTER(OFFSET($O$15,0,$DN45,$B$8,1),OFFSET($M$15,0,0,$B$8,1))=FH$13), 1*(_xlfn._xlws.FILTER(OFFSET($O$15,0,$DO45,$B$8,1),OFFSET($M$15,0,0,$B$8,1))=FH$14))   /   SUM(OFFSET($BO$15,0,0,$B$14,1)) + $B$18/($B$19*$B$19*($DN45&lt;&gt;$DO45) + $B$19*($DN45=$DO45))</f>
        <v>3.7037037037037035E-4</v>
      </c>
      <c r="FI45" s="10" cm="1">
        <f t="array" aca="1" ref="FI45" ca="1">(1-$B$18)*SUMPRODUCT(OFFSET($BO$15,0,0,$B$14,1), 1*(_xlfn._xlws.FILTER(OFFSET($O$15,0,$DN45,$B$8,1),OFFSET($M$15,0,0,$B$8,1))=FI$13), 1*(_xlfn._xlws.FILTER(OFFSET($O$15,0,$DO45,$B$8,1),OFFSET($M$15,0,0,$B$8,1))=FI$14))   /   SUM(OFFSET($BO$15,0,0,$B$14,1)) + $B$18/($B$19*$B$19*($DN45&lt;&gt;$DO45) + $B$19*($DN45=$DO45))</f>
        <v>3.7037037037037035E-4</v>
      </c>
      <c r="FJ45" s="10" cm="1">
        <f t="array" aca="1" ref="FJ45" ca="1">(1-$B$18)*SUMPRODUCT(OFFSET($BO$15,0,0,$B$14,1), 1*(_xlfn._xlws.FILTER(OFFSET($O$15,0,$DN45,$B$8,1),OFFSET($M$15,0,0,$B$8,1))=FJ$13), 1*(_xlfn._xlws.FILTER(OFFSET($O$15,0,$DO45,$B$8,1),OFFSET($M$15,0,0,$B$8,1))=FJ$14))   /   SUM(OFFSET($BO$15,0,0,$B$14,1)) + $B$18/($B$19*$B$19*($DN45&lt;&gt;$DO45) + $B$19*($DN45=$DO45))</f>
        <v>3.7037037037037035E-4</v>
      </c>
      <c r="FK45" s="10" cm="1">
        <f t="array" aca="1" ref="FK45" ca="1">(1-$B$18)*SUMPRODUCT(OFFSET($BO$15,0,0,$B$14,1), 1*(_xlfn._xlws.FILTER(OFFSET($O$15,0,$DN45,$B$8,1),OFFSET($M$15,0,0,$B$8,1))=FK$13), 1*(_xlfn._xlws.FILTER(OFFSET($O$15,0,$DO45,$B$8,1),OFFSET($M$15,0,0,$B$8,1))=FK$14))   /   SUM(OFFSET($BO$15,0,0,$B$14,1)) + $B$18/($B$19*$B$19*($DN45&lt;&gt;$DO45) + $B$19*($DN45=$DO45))</f>
        <v>3.7037037037037035E-4</v>
      </c>
      <c r="FL45" s="10" cm="1">
        <f t="array" aca="1" ref="FL45" ca="1">(1-$B$18)*SUMPRODUCT(OFFSET($BO$15,0,0,$B$14,1), 1*(_xlfn._xlws.FILTER(OFFSET($O$15,0,$DN45,$B$8,1),OFFSET($M$15,0,0,$B$8,1))=FL$13), 1*(_xlfn._xlws.FILTER(OFFSET($O$15,0,$DO45,$B$8,1),OFFSET($M$15,0,0,$B$8,1))=FL$14))   /   SUM(OFFSET($BO$15,0,0,$B$14,1)) + $B$18/($B$19*$B$19*($DN45&lt;&gt;$DO45) + $B$19*($DN45=$DO45))</f>
        <v>3.7037037037037035E-4</v>
      </c>
      <c r="FM45" s="10" cm="1">
        <f t="array" aca="1" ref="FM45" ca="1">(1-$B$18)*SUMPRODUCT(OFFSET($BO$15,0,0,$B$14,1), 1*(_xlfn._xlws.FILTER(OFFSET($O$15,0,$DN45,$B$8,1),OFFSET($M$15,0,0,$B$8,1))=FM$13), 1*(_xlfn._xlws.FILTER(OFFSET($O$15,0,$DO45,$B$8,1),OFFSET($M$15,0,0,$B$8,1))=FM$14))   /   SUM(OFFSET($BO$15,0,0,$B$14,1)) + $B$18/($B$19*$B$19*($DN45&lt;&gt;$DO45) + $B$19*($DN45=$DO45))</f>
        <v>0.97037037037037033</v>
      </c>
      <c r="FN45" s="10" cm="1">
        <f t="array" aca="1" ref="FN45" ca="1">(1-$B$18)*SUMPRODUCT(OFFSET($BO$15,0,0,$B$14,1), 1*(_xlfn._xlws.FILTER(OFFSET($O$15,0,$DN45,$B$8,1),OFFSET($M$15,0,0,$B$8,1))=FN$13), 1*(_xlfn._xlws.FILTER(OFFSET($O$15,0,$DO45,$B$8,1),OFFSET($M$15,0,0,$B$8,1))=FN$14))   /   SUM(OFFSET($BO$15,0,0,$B$14,1)) + $B$18/($B$19*$B$19*($DN45&lt;&gt;$DO45) + $B$19*($DN45=$DO45))</f>
        <v>3.7037037037037035E-4</v>
      </c>
      <c r="FO45" s="10" cm="1">
        <f t="array" aca="1" ref="FO45" ca="1">(1-$B$18)*SUMPRODUCT(OFFSET($BO$15,0,0,$B$14,1), 1*(_xlfn._xlws.FILTER(OFFSET($O$15,0,$DN45,$B$8,1),OFFSET($M$15,0,0,$B$8,1))=FO$13), 1*(_xlfn._xlws.FILTER(OFFSET($O$15,0,$DO45,$B$8,1),OFFSET($M$15,0,0,$B$8,1))=FO$14))   /   SUM(OFFSET($BO$15,0,0,$B$14,1)) + $B$18/($B$19*$B$19*($DN45&lt;&gt;$DO45) + $B$19*($DN45=$DO45))</f>
        <v>3.7037037037037035E-4</v>
      </c>
      <c r="FP45" s="10" cm="1">
        <f t="array" aca="1" ref="FP45" ca="1">(1-$B$18)*SUMPRODUCT(OFFSET($BO$15,0,0,$B$14,1), 1*(_xlfn._xlws.FILTER(OFFSET($O$15,0,$DN45,$B$8,1),OFFSET($M$15,0,0,$B$8,1))=FP$13), 1*(_xlfn._xlws.FILTER(OFFSET($O$15,0,$DO45,$B$8,1),OFFSET($M$15,0,0,$B$8,1))=FP$14))   /   SUM(OFFSET($BO$15,0,0,$B$14,1)) + $B$18/($B$19*$B$19*($DN45&lt;&gt;$DO45) + $B$19*($DN45=$DO45))</f>
        <v>3.7037037037037035E-4</v>
      </c>
      <c r="FQ45" s="10" cm="1">
        <f t="array" aca="1" ref="FQ45" ca="1">(1-$B$18)*SUMPRODUCT(OFFSET($BO$15,0,0,$B$14,1), 1*(_xlfn._xlws.FILTER(OFFSET($O$15,0,$DN45,$B$8,1),OFFSET($M$15,0,0,$B$8,1))=FQ$13), 1*(_xlfn._xlws.FILTER(OFFSET($O$15,0,$DO45,$B$8,1),OFFSET($M$15,0,0,$B$8,1))=FQ$14))   /   SUM(OFFSET($BO$15,0,0,$B$14,1)) + $B$18/($B$19*$B$19*($DN45&lt;&gt;$DO45) + $B$19*($DN45=$DO45))</f>
        <v>3.7037037037037035E-4</v>
      </c>
      <c r="FR45" s="10" cm="1">
        <f t="array" aca="1" ref="FR45" ca="1">(1-$B$18)*SUMPRODUCT(OFFSET($BO$15,0,0,$B$14,1), 1*(_xlfn._xlws.FILTER(OFFSET($O$15,0,$DN45,$B$8,1),OFFSET($M$15,0,0,$B$8,1))=FR$13), 1*(_xlfn._xlws.FILTER(OFFSET($O$15,0,$DO45,$B$8,1),OFFSET($M$15,0,0,$B$8,1))=FR$14))   /   SUM(OFFSET($BO$15,0,0,$B$14,1)) + $B$18/($B$19*$B$19*($DN45&lt;&gt;$DO45) + $B$19*($DN45=$DO45))</f>
        <v>3.7037037037037035E-4</v>
      </c>
      <c r="FS45" s="10" cm="1">
        <f t="array" aca="1" ref="FS45" ca="1">(1-$B$18)*SUMPRODUCT(OFFSET($BO$15,0,0,$B$14,1), 1*(_xlfn._xlws.FILTER(OFFSET($O$15,0,$DN45,$B$8,1),OFFSET($M$15,0,0,$B$8,1))=FS$13), 1*(_xlfn._xlws.FILTER(OFFSET($O$15,0,$DO45,$B$8,1),OFFSET($M$15,0,0,$B$8,1))=FS$14))   /   SUM(OFFSET($BO$15,0,0,$B$14,1)) + $B$18/($B$19*$B$19*($DN45&lt;&gt;$DO45) + $B$19*($DN45=$DO45))</f>
        <v>3.7037037037037035E-4</v>
      </c>
      <c r="FT45" s="10" cm="1">
        <f t="array" aca="1" ref="FT45" ca="1">(1-$B$18)*SUMPRODUCT(OFFSET($BO$15,0,0,$B$14,1), 1*(_xlfn._xlws.FILTER(OFFSET($O$15,0,$DN45,$B$8,1),OFFSET($M$15,0,0,$B$8,1))=FT$13), 1*(_xlfn._xlws.FILTER(OFFSET($O$15,0,$DO45,$B$8,1),OFFSET($M$15,0,0,$B$8,1))=FT$14))   /   SUM(OFFSET($BO$15,0,0,$B$14,1)) + $B$18/($B$19*$B$19*($DN45&lt;&gt;$DO45) + $B$19*($DN45=$DO45))</f>
        <v>3.7037037037037035E-4</v>
      </c>
      <c r="FU45" s="10" cm="1">
        <f t="array" aca="1" ref="FU45" ca="1">(1-$B$18)*SUMPRODUCT(OFFSET($BO$15,0,0,$B$14,1), 1*(_xlfn._xlws.FILTER(OFFSET($O$15,0,$DN45,$B$8,1),OFFSET($M$15,0,0,$B$8,1))=FU$13), 1*(_xlfn._xlws.FILTER(OFFSET($O$15,0,$DO45,$B$8,1),OFFSET($M$15,0,0,$B$8,1))=FU$14))   /   SUM(OFFSET($BO$15,0,0,$B$14,1)) + $B$18/($B$19*$B$19*($DN45&lt;&gt;$DO45) + $B$19*($DN45=$DO45))</f>
        <v>3.7037037037037035E-4</v>
      </c>
      <c r="FV45" s="10" cm="1">
        <f t="array" aca="1" ref="FV45" ca="1">(1-$B$18)*SUMPRODUCT(OFFSET($BO$15,0,0,$B$14,1), 1*(_xlfn._xlws.FILTER(OFFSET($O$15,0,$DN45,$B$8,1),OFFSET($M$15,0,0,$B$8,1))=FV$13), 1*(_xlfn._xlws.FILTER(OFFSET($O$15,0,$DO45,$B$8,1),OFFSET($M$15,0,0,$B$8,1))=FV$14))   /   SUM(OFFSET($BO$15,0,0,$B$14,1)) + $B$18/($B$19*$B$19*($DN45&lt;&gt;$DO45) + $B$19*($DN45=$DO45))</f>
        <v>3.7037037037037035E-4</v>
      </c>
      <c r="FW45" s="10" cm="1">
        <f t="array" aca="1" ref="FW45" ca="1">(1-$B$18)*SUMPRODUCT(OFFSET($BO$15,0,0,$B$14,1), 1*(_xlfn._xlws.FILTER(OFFSET($O$15,0,$DN45,$B$8,1),OFFSET($M$15,0,0,$B$8,1))=FW$13), 1*(_xlfn._xlws.FILTER(OFFSET($O$15,0,$DO45,$B$8,1),OFFSET($M$15,0,0,$B$8,1))=FW$14))   /   SUM(OFFSET($BO$15,0,0,$B$14,1)) + $B$18/($B$19*$B$19*($DN45&lt;&gt;$DO45) + $B$19*($DN45=$DO45))</f>
        <v>3.7037037037037035E-4</v>
      </c>
      <c r="FX45" s="10" cm="1">
        <f t="array" aca="1" ref="FX45" ca="1">(1-$B$18)*SUMPRODUCT(OFFSET($BO$15,0,0,$B$14,1), 1*(_xlfn._xlws.FILTER(OFFSET($O$15,0,$DN45,$B$8,1),OFFSET($M$15,0,0,$B$8,1))=FX$13), 1*(_xlfn._xlws.FILTER(OFFSET($O$15,0,$DO45,$B$8,1),OFFSET($M$15,0,0,$B$8,1))=FX$14))   /   SUM(OFFSET($BO$15,0,0,$B$14,1)) + $B$18/($B$19*$B$19*($DN45&lt;&gt;$DO45) + $B$19*($DN45=$DO45))</f>
        <v>3.7037037037037035E-4</v>
      </c>
      <c r="FY45" s="10" cm="1">
        <f t="array" aca="1" ref="FY45" ca="1">(1-$B$18)*SUMPRODUCT(OFFSET($BO$15,0,0,$B$14,1), 1*(_xlfn._xlws.FILTER(OFFSET($O$15,0,$DN45,$B$8,1),OFFSET($M$15,0,0,$B$8,1))=FY$13), 1*(_xlfn._xlws.FILTER(OFFSET($O$15,0,$DO45,$B$8,1),OFFSET($M$15,0,0,$B$8,1))=FY$14))   /   SUM(OFFSET($BO$15,0,0,$B$14,1)) + $B$18/($B$19*$B$19*($DN45&lt;&gt;$DO45) + $B$19*($DN45=$DO45))</f>
        <v>3.7037037037037035E-4</v>
      </c>
      <c r="FZ45" s="10" cm="1">
        <f t="array" aca="1" ref="FZ45" ca="1">(1-$B$18)*SUMPRODUCT(OFFSET($BO$15,0,0,$B$14,1), 1*(_xlfn._xlws.FILTER(OFFSET($O$15,0,$DN45,$B$8,1),OFFSET($M$15,0,0,$B$8,1))=FZ$13), 1*(_xlfn._xlws.FILTER(OFFSET($O$15,0,$DO45,$B$8,1),OFFSET($M$15,0,0,$B$8,1))=FZ$14))   /   SUM(OFFSET($BO$15,0,0,$B$14,1)) + $B$18/($B$19*$B$19*($DN45&lt;&gt;$DO45) + $B$19*($DN45=$DO45))</f>
        <v>3.7037037037037035E-4</v>
      </c>
      <c r="GA45" s="10" cm="1">
        <f t="array" aca="1" ref="GA45" ca="1">(1-$B$18)*SUMPRODUCT(OFFSET($BO$15,0,0,$B$14,1), 1*(_xlfn._xlws.FILTER(OFFSET($O$15,0,$DN45,$B$8,1),OFFSET($M$15,0,0,$B$8,1))=GA$13), 1*(_xlfn._xlws.FILTER(OFFSET($O$15,0,$DO45,$B$8,1),OFFSET($M$15,0,0,$B$8,1))=GA$14))   /   SUM(OFFSET($BO$15,0,0,$B$14,1)) + $B$18/($B$19*$B$19*($DN45&lt;&gt;$DO45) + $B$19*($DN45=$DO45))</f>
        <v>3.7037037037037035E-4</v>
      </c>
    </row>
    <row r="46" spans="4:183" x14ac:dyDescent="0.2">
      <c r="AK46" s="2"/>
      <c r="AL46" s="2"/>
      <c r="DN46" cm="1">
        <f t="array" aca="1" ref="DN46" ca="1">INDEX(_xlfn.ANCHORARRAY($CP$15), 1 + INT((ROWS($DO$15:$DO46) - 1) / ROWS(_xlfn.ANCHORARRAY($CP$15))))</f>
        <v>1</v>
      </c>
      <c r="DO46" cm="1">
        <f t="array" aca="1" ref="DO46" ca="1">INDEX(_xlfn.ANCHORARRAY($CP$15),1+MOD(ROWS($DO$15:$DO46)-1,ROWS(_xlfn.ANCHORARRAY($CP$15))))</f>
        <v>13</v>
      </c>
      <c r="DP46" s="10" cm="1">
        <f t="array" aca="1" ref="DP46" ca="1">(1-$B$18)*SUMPRODUCT(OFFSET($BO$15,0,0,$B$14,1), 1*(_xlfn._xlws.FILTER(OFFSET($O$15,0,$DN46,$B$8,1),OFFSET($M$15,0,0,$B$8,1))=DP$13), 1*(_xlfn._xlws.FILTER(OFFSET($O$15,0,$DO46,$B$8,1),OFFSET($M$15,0,0,$B$8,1))=DP$14))   /   SUM(OFFSET($BO$15,0,0,$B$14,1)) + $B$18/($B$19*$B$19*($DN46&lt;&gt;$DO46) + $B$19*($DN46=$DO46))</f>
        <v>3.7037037037037035E-4</v>
      </c>
      <c r="DQ46" s="10" cm="1">
        <f t="array" aca="1" ref="DQ46" ca="1">(1-$B$18)*SUMPRODUCT(OFFSET($BO$15,0,0,$B$14,1), 1*(_xlfn._xlws.FILTER(OFFSET($O$15,0,$DN46,$B$8,1),OFFSET($M$15,0,0,$B$8,1))=DQ$13), 1*(_xlfn._xlws.FILTER(OFFSET($O$15,0,$DO46,$B$8,1),OFFSET($M$15,0,0,$B$8,1))=DQ$14))   /   SUM(OFFSET($BO$15,0,0,$B$14,1)) + $B$18/($B$19*$B$19*($DN46&lt;&gt;$DO46) + $B$19*($DN46=$DO46))</f>
        <v>3.7037037037037035E-4</v>
      </c>
      <c r="DR46" s="10" cm="1">
        <f t="array" aca="1" ref="DR46" ca="1">(1-$B$18)*SUMPRODUCT(OFFSET($BO$15,0,0,$B$14,1), 1*(_xlfn._xlws.FILTER(OFFSET($O$15,0,$DN46,$B$8,1),OFFSET($M$15,0,0,$B$8,1))=DR$13), 1*(_xlfn._xlws.FILTER(OFFSET($O$15,0,$DO46,$B$8,1),OFFSET($M$15,0,0,$B$8,1))=DR$14))   /   SUM(OFFSET($BO$15,0,0,$B$14,1)) + $B$18/($B$19*$B$19*($DN46&lt;&gt;$DO46) + $B$19*($DN46=$DO46))</f>
        <v>3.7037037037037035E-4</v>
      </c>
      <c r="DS46" s="10" cm="1">
        <f t="array" aca="1" ref="DS46" ca="1">(1-$B$18)*SUMPRODUCT(OFFSET($BO$15,0,0,$B$14,1), 1*(_xlfn._xlws.FILTER(OFFSET($O$15,0,$DN46,$B$8,1),OFFSET($M$15,0,0,$B$8,1))=DS$13), 1*(_xlfn._xlws.FILTER(OFFSET($O$15,0,$DO46,$B$8,1),OFFSET($M$15,0,0,$B$8,1))=DS$14))   /   SUM(OFFSET($BO$15,0,0,$B$14,1)) + $B$18/($B$19*$B$19*($DN46&lt;&gt;$DO46) + $B$19*($DN46=$DO46))</f>
        <v>3.7037037037037035E-4</v>
      </c>
      <c r="DT46" s="10" cm="1">
        <f t="array" aca="1" ref="DT46" ca="1">(1-$B$18)*SUMPRODUCT(OFFSET($BO$15,0,0,$B$14,1), 1*(_xlfn._xlws.FILTER(OFFSET($O$15,0,$DN46,$B$8,1),OFFSET($M$15,0,0,$B$8,1))=DT$13), 1*(_xlfn._xlws.FILTER(OFFSET($O$15,0,$DO46,$B$8,1),OFFSET($M$15,0,0,$B$8,1))=DT$14))   /   SUM(OFFSET($BO$15,0,0,$B$14,1)) + $B$18/($B$19*$B$19*($DN46&lt;&gt;$DO46) + $B$19*($DN46=$DO46))</f>
        <v>3.7037037037037035E-4</v>
      </c>
      <c r="DU46" s="10" cm="1">
        <f t="array" aca="1" ref="DU46" ca="1">(1-$B$18)*SUMPRODUCT(OFFSET($BO$15,0,0,$B$14,1), 1*(_xlfn._xlws.FILTER(OFFSET($O$15,0,$DN46,$B$8,1),OFFSET($M$15,0,0,$B$8,1))=DU$13), 1*(_xlfn._xlws.FILTER(OFFSET($O$15,0,$DO46,$B$8,1),OFFSET($M$15,0,0,$B$8,1))=DU$14))   /   SUM(OFFSET($BO$15,0,0,$B$14,1)) + $B$18/($B$19*$B$19*($DN46&lt;&gt;$DO46) + $B$19*($DN46=$DO46))</f>
        <v>3.7037037037037035E-4</v>
      </c>
      <c r="DV46" s="10" cm="1">
        <f t="array" aca="1" ref="DV46" ca="1">(1-$B$18)*SUMPRODUCT(OFFSET($BO$15,0,0,$B$14,1), 1*(_xlfn._xlws.FILTER(OFFSET($O$15,0,$DN46,$B$8,1),OFFSET($M$15,0,0,$B$8,1))=DV$13), 1*(_xlfn._xlws.FILTER(OFFSET($O$15,0,$DO46,$B$8,1),OFFSET($M$15,0,0,$B$8,1))=DV$14))   /   SUM(OFFSET($BO$15,0,0,$B$14,1)) + $B$18/($B$19*$B$19*($DN46&lt;&gt;$DO46) + $B$19*($DN46=$DO46))</f>
        <v>3.7037037037037035E-4</v>
      </c>
      <c r="DW46" s="10" cm="1">
        <f t="array" aca="1" ref="DW46" ca="1">(1-$B$18)*SUMPRODUCT(OFFSET($BO$15,0,0,$B$14,1), 1*(_xlfn._xlws.FILTER(OFFSET($O$15,0,$DN46,$B$8,1),OFFSET($M$15,0,0,$B$8,1))=DW$13), 1*(_xlfn._xlws.FILTER(OFFSET($O$15,0,$DO46,$B$8,1),OFFSET($M$15,0,0,$B$8,1))=DW$14))   /   SUM(OFFSET($BO$15,0,0,$B$14,1)) + $B$18/($B$19*$B$19*($DN46&lt;&gt;$DO46) + $B$19*($DN46=$DO46))</f>
        <v>3.7037037037037035E-4</v>
      </c>
      <c r="DX46" s="10" cm="1">
        <f t="array" aca="1" ref="DX46" ca="1">(1-$B$18)*SUMPRODUCT(OFFSET($BO$15,0,0,$B$14,1), 1*(_xlfn._xlws.FILTER(OFFSET($O$15,0,$DN46,$B$8,1),OFFSET($M$15,0,0,$B$8,1))=DX$13), 1*(_xlfn._xlws.FILTER(OFFSET($O$15,0,$DO46,$B$8,1),OFFSET($M$15,0,0,$B$8,1))=DX$14))   /   SUM(OFFSET($BO$15,0,0,$B$14,1)) + $B$18/($B$19*$B$19*($DN46&lt;&gt;$DO46) + $B$19*($DN46=$DO46))</f>
        <v>3.7037037037037035E-4</v>
      </c>
      <c r="DY46" s="10" cm="1">
        <f t="array" aca="1" ref="DY46" ca="1">(1-$B$18)*SUMPRODUCT(OFFSET($BO$15,0,0,$B$14,1), 1*(_xlfn._xlws.FILTER(OFFSET($O$15,0,$DN46,$B$8,1),OFFSET($M$15,0,0,$B$8,1))=DY$13), 1*(_xlfn._xlws.FILTER(OFFSET($O$15,0,$DO46,$B$8,1),OFFSET($M$15,0,0,$B$8,1))=DY$14))   /   SUM(OFFSET($BO$15,0,0,$B$14,1)) + $B$18/($B$19*$B$19*($DN46&lt;&gt;$DO46) + $B$19*($DN46=$DO46))</f>
        <v>3.7037037037037035E-4</v>
      </c>
      <c r="DZ46" s="10" cm="1">
        <f t="array" aca="1" ref="DZ46" ca="1">(1-$B$18)*SUMPRODUCT(OFFSET($BO$15,0,0,$B$14,1), 1*(_xlfn._xlws.FILTER(OFFSET($O$15,0,$DN46,$B$8,1),OFFSET($M$15,0,0,$B$8,1))=DZ$13), 1*(_xlfn._xlws.FILTER(OFFSET($O$15,0,$DO46,$B$8,1),OFFSET($M$15,0,0,$B$8,1))=DZ$14))   /   SUM(OFFSET($BO$15,0,0,$B$14,1)) + $B$18/($B$19*$B$19*($DN46&lt;&gt;$DO46) + $B$19*($DN46=$DO46))</f>
        <v>3.7037037037037035E-4</v>
      </c>
      <c r="EA46" s="10" cm="1">
        <f t="array" aca="1" ref="EA46" ca="1">(1-$B$18)*SUMPRODUCT(OFFSET($BO$15,0,0,$B$14,1), 1*(_xlfn._xlws.FILTER(OFFSET($O$15,0,$DN46,$B$8,1),OFFSET($M$15,0,0,$B$8,1))=EA$13), 1*(_xlfn._xlws.FILTER(OFFSET($O$15,0,$DO46,$B$8,1),OFFSET($M$15,0,0,$B$8,1))=EA$14))   /   SUM(OFFSET($BO$15,0,0,$B$14,1)) + $B$18/($B$19*$B$19*($DN46&lt;&gt;$DO46) + $B$19*($DN46=$DO46))</f>
        <v>3.7037037037037035E-4</v>
      </c>
      <c r="EB46" s="10" cm="1">
        <f t="array" aca="1" ref="EB46" ca="1">(1-$B$18)*SUMPRODUCT(OFFSET($BO$15,0,0,$B$14,1), 1*(_xlfn._xlws.FILTER(OFFSET($O$15,0,$DN46,$B$8,1),OFFSET($M$15,0,0,$B$8,1))=EB$13), 1*(_xlfn._xlws.FILTER(OFFSET($O$15,0,$DO46,$B$8,1),OFFSET($M$15,0,0,$B$8,1))=EB$14))   /   SUM(OFFSET($BO$15,0,0,$B$14,1)) + $B$18/($B$19*$B$19*($DN46&lt;&gt;$DO46) + $B$19*($DN46=$DO46))</f>
        <v>3.7037037037037035E-4</v>
      </c>
      <c r="EC46" s="10" cm="1">
        <f t="array" aca="1" ref="EC46" ca="1">(1-$B$18)*SUMPRODUCT(OFFSET($BO$15,0,0,$B$14,1), 1*(_xlfn._xlws.FILTER(OFFSET($O$15,0,$DN46,$B$8,1),OFFSET($M$15,0,0,$B$8,1))=EC$13), 1*(_xlfn._xlws.FILTER(OFFSET($O$15,0,$DO46,$B$8,1),OFFSET($M$15,0,0,$B$8,1))=EC$14))   /   SUM(OFFSET($BO$15,0,0,$B$14,1)) + $B$18/($B$19*$B$19*($DN46&lt;&gt;$DO46) + $B$19*($DN46=$DO46))</f>
        <v>3.7037037037037035E-4</v>
      </c>
      <c r="ED46" s="10" cm="1">
        <f t="array" aca="1" ref="ED46" ca="1">(1-$B$18)*SUMPRODUCT(OFFSET($BO$15,0,0,$B$14,1), 1*(_xlfn._xlws.FILTER(OFFSET($O$15,0,$DN46,$B$8,1),OFFSET($M$15,0,0,$B$8,1))=ED$13), 1*(_xlfn._xlws.FILTER(OFFSET($O$15,0,$DO46,$B$8,1),OFFSET($M$15,0,0,$B$8,1))=ED$14))   /   SUM(OFFSET($BO$15,0,0,$B$14,1)) + $B$18/($B$19*$B$19*($DN46&lt;&gt;$DO46) + $B$19*($DN46=$DO46))</f>
        <v>3.7037037037037035E-4</v>
      </c>
      <c r="EE46" s="10" cm="1">
        <f t="array" aca="1" ref="EE46" ca="1">(1-$B$18)*SUMPRODUCT(OFFSET($BO$15,0,0,$B$14,1), 1*(_xlfn._xlws.FILTER(OFFSET($O$15,0,$DN46,$B$8,1),OFFSET($M$15,0,0,$B$8,1))=EE$13), 1*(_xlfn._xlws.FILTER(OFFSET($O$15,0,$DO46,$B$8,1),OFFSET($M$15,0,0,$B$8,1))=EE$14))   /   SUM(OFFSET($BO$15,0,0,$B$14,1)) + $B$18/($B$19*$B$19*($DN46&lt;&gt;$DO46) + $B$19*($DN46=$DO46))</f>
        <v>3.7037037037037035E-4</v>
      </c>
      <c r="EF46" s="10" cm="1">
        <f t="array" aca="1" ref="EF46" ca="1">(1-$B$18)*SUMPRODUCT(OFFSET($BO$15,0,0,$B$14,1), 1*(_xlfn._xlws.FILTER(OFFSET($O$15,0,$DN46,$B$8,1),OFFSET($M$15,0,0,$B$8,1))=EF$13), 1*(_xlfn._xlws.FILTER(OFFSET($O$15,0,$DO46,$B$8,1),OFFSET($M$15,0,0,$B$8,1))=EF$14))   /   SUM(OFFSET($BO$15,0,0,$B$14,1)) + $B$18/($B$19*$B$19*($DN46&lt;&gt;$DO46) + $B$19*($DN46=$DO46))</f>
        <v>3.7037037037037035E-4</v>
      </c>
      <c r="EG46" s="10" cm="1">
        <f t="array" aca="1" ref="EG46" ca="1">(1-$B$18)*SUMPRODUCT(OFFSET($BO$15,0,0,$B$14,1), 1*(_xlfn._xlws.FILTER(OFFSET($O$15,0,$DN46,$B$8,1),OFFSET($M$15,0,0,$B$8,1))=EG$13), 1*(_xlfn._xlws.FILTER(OFFSET($O$15,0,$DO46,$B$8,1),OFFSET($M$15,0,0,$B$8,1))=EG$14))   /   SUM(OFFSET($BO$15,0,0,$B$14,1)) + $B$18/($B$19*$B$19*($DN46&lt;&gt;$DO46) + $B$19*($DN46=$DO46))</f>
        <v>3.7037037037037035E-4</v>
      </c>
      <c r="EH46" s="10" cm="1">
        <f t="array" aca="1" ref="EH46" ca="1">(1-$B$18)*SUMPRODUCT(OFFSET($BO$15,0,0,$B$14,1), 1*(_xlfn._xlws.FILTER(OFFSET($O$15,0,$DN46,$B$8,1),OFFSET($M$15,0,0,$B$8,1))=EH$13), 1*(_xlfn._xlws.FILTER(OFFSET($O$15,0,$DO46,$B$8,1),OFFSET($M$15,0,0,$B$8,1))=EH$14))   /   SUM(OFFSET($BO$15,0,0,$B$14,1)) + $B$18/($B$19*$B$19*($DN46&lt;&gt;$DO46) + $B$19*($DN46=$DO46))</f>
        <v>3.7037037037037035E-4</v>
      </c>
      <c r="EI46" s="10" cm="1">
        <f t="array" aca="1" ref="EI46" ca="1">(1-$B$18)*SUMPRODUCT(OFFSET($BO$15,0,0,$B$14,1), 1*(_xlfn._xlws.FILTER(OFFSET($O$15,0,$DN46,$B$8,1),OFFSET($M$15,0,0,$B$8,1))=EI$13), 1*(_xlfn._xlws.FILTER(OFFSET($O$15,0,$DO46,$B$8,1),OFFSET($M$15,0,0,$B$8,1))=EI$14))   /   SUM(OFFSET($BO$15,0,0,$B$14,1)) + $B$18/($B$19*$B$19*($DN46&lt;&gt;$DO46) + $B$19*($DN46=$DO46))</f>
        <v>3.7037037037037035E-4</v>
      </c>
      <c r="EJ46" s="10" cm="1">
        <f t="array" aca="1" ref="EJ46" ca="1">(1-$B$18)*SUMPRODUCT(OFFSET($BO$15,0,0,$B$14,1), 1*(_xlfn._xlws.FILTER(OFFSET($O$15,0,$DN46,$B$8,1),OFFSET($M$15,0,0,$B$8,1))=EJ$13), 1*(_xlfn._xlws.FILTER(OFFSET($O$15,0,$DO46,$B$8,1),OFFSET($M$15,0,0,$B$8,1))=EJ$14))   /   SUM(OFFSET($BO$15,0,0,$B$14,1)) + $B$18/($B$19*$B$19*($DN46&lt;&gt;$DO46) + $B$19*($DN46=$DO46))</f>
        <v>3.7037037037037035E-4</v>
      </c>
      <c r="EK46" s="10" cm="1">
        <f t="array" aca="1" ref="EK46" ca="1">(1-$B$18)*SUMPRODUCT(OFFSET($BO$15,0,0,$B$14,1), 1*(_xlfn._xlws.FILTER(OFFSET($O$15,0,$DN46,$B$8,1),OFFSET($M$15,0,0,$B$8,1))=EK$13), 1*(_xlfn._xlws.FILTER(OFFSET($O$15,0,$DO46,$B$8,1),OFFSET($M$15,0,0,$B$8,1))=EK$14))   /   SUM(OFFSET($BO$15,0,0,$B$14,1)) + $B$18/($B$19*$B$19*($DN46&lt;&gt;$DO46) + $B$19*($DN46=$DO46))</f>
        <v>3.7037037037037035E-4</v>
      </c>
      <c r="EL46" s="10" cm="1">
        <f t="array" aca="1" ref="EL46" ca="1">(1-$B$18)*SUMPRODUCT(OFFSET($BO$15,0,0,$B$14,1), 1*(_xlfn._xlws.FILTER(OFFSET($O$15,0,$DN46,$B$8,1),OFFSET($M$15,0,0,$B$8,1))=EL$13), 1*(_xlfn._xlws.FILTER(OFFSET($O$15,0,$DO46,$B$8,1),OFFSET($M$15,0,0,$B$8,1))=EL$14))   /   SUM(OFFSET($BO$15,0,0,$B$14,1)) + $B$18/($B$19*$B$19*($DN46&lt;&gt;$DO46) + $B$19*($DN46=$DO46))</f>
        <v>3.7037037037037035E-4</v>
      </c>
      <c r="EM46" s="10" cm="1">
        <f t="array" aca="1" ref="EM46" ca="1">(1-$B$18)*SUMPRODUCT(OFFSET($BO$15,0,0,$B$14,1), 1*(_xlfn._xlws.FILTER(OFFSET($O$15,0,$DN46,$B$8,1),OFFSET($M$15,0,0,$B$8,1))=EM$13), 1*(_xlfn._xlws.FILTER(OFFSET($O$15,0,$DO46,$B$8,1),OFFSET($M$15,0,0,$B$8,1))=EM$14))   /   SUM(OFFSET($BO$15,0,0,$B$14,1)) + $B$18/($B$19*$B$19*($DN46&lt;&gt;$DO46) + $B$19*($DN46=$DO46))</f>
        <v>3.7037037037037035E-4</v>
      </c>
      <c r="EN46" s="10" cm="1">
        <f t="array" aca="1" ref="EN46" ca="1">(1-$B$18)*SUMPRODUCT(OFFSET($BO$15,0,0,$B$14,1), 1*(_xlfn._xlws.FILTER(OFFSET($O$15,0,$DN46,$B$8,1),OFFSET($M$15,0,0,$B$8,1))=EN$13), 1*(_xlfn._xlws.FILTER(OFFSET($O$15,0,$DO46,$B$8,1),OFFSET($M$15,0,0,$B$8,1))=EN$14))   /   SUM(OFFSET($BO$15,0,0,$B$14,1)) + $B$18/($B$19*$B$19*($DN46&lt;&gt;$DO46) + $B$19*($DN46=$DO46))</f>
        <v>3.7037037037037035E-4</v>
      </c>
      <c r="EO46" s="10" cm="1">
        <f t="array" aca="1" ref="EO46" ca="1">(1-$B$18)*SUMPRODUCT(OFFSET($BO$15,0,0,$B$14,1), 1*(_xlfn._xlws.FILTER(OFFSET($O$15,0,$DN46,$B$8,1),OFFSET($M$15,0,0,$B$8,1))=EO$13), 1*(_xlfn._xlws.FILTER(OFFSET($O$15,0,$DO46,$B$8,1),OFFSET($M$15,0,0,$B$8,1))=EO$14))   /   SUM(OFFSET($BO$15,0,0,$B$14,1)) + $B$18/($B$19*$B$19*($DN46&lt;&gt;$DO46) + $B$19*($DN46=$DO46))</f>
        <v>3.7037037037037035E-4</v>
      </c>
      <c r="EP46" s="10" cm="1">
        <f t="array" aca="1" ref="EP46" ca="1">(1-$B$18)*SUMPRODUCT(OFFSET($BO$15,0,0,$B$14,1), 1*(_xlfn._xlws.FILTER(OFFSET($O$15,0,$DN46,$B$8,1),OFFSET($M$15,0,0,$B$8,1))=EP$13), 1*(_xlfn._xlws.FILTER(OFFSET($O$15,0,$DO46,$B$8,1),OFFSET($M$15,0,0,$B$8,1))=EP$14))   /   SUM(OFFSET($BO$15,0,0,$B$14,1)) + $B$18/($B$19*$B$19*($DN46&lt;&gt;$DO46) + $B$19*($DN46=$DO46))</f>
        <v>3.7037037037037035E-4</v>
      </c>
      <c r="EQ46" s="10" cm="1">
        <f t="array" aca="1" ref="EQ46" ca="1">(1-$B$18)*SUMPRODUCT(OFFSET($BO$15,0,0,$B$14,1), 1*(_xlfn._xlws.FILTER(OFFSET($O$15,0,$DN46,$B$8,1),OFFSET($M$15,0,0,$B$8,1))=EQ$13), 1*(_xlfn._xlws.FILTER(OFFSET($O$15,0,$DO46,$B$8,1),OFFSET($M$15,0,0,$B$8,1))=EQ$14))   /   SUM(OFFSET($BO$15,0,0,$B$14,1)) + $B$18/($B$19*$B$19*($DN46&lt;&gt;$DO46) + $B$19*($DN46=$DO46))</f>
        <v>3.7037037037037035E-4</v>
      </c>
      <c r="ER46" s="10" cm="1">
        <f t="array" aca="1" ref="ER46" ca="1">(1-$B$18)*SUMPRODUCT(OFFSET($BO$15,0,0,$B$14,1), 1*(_xlfn._xlws.FILTER(OFFSET($O$15,0,$DN46,$B$8,1),OFFSET($M$15,0,0,$B$8,1))=ER$13), 1*(_xlfn._xlws.FILTER(OFFSET($O$15,0,$DO46,$B$8,1),OFFSET($M$15,0,0,$B$8,1))=ER$14))   /   SUM(OFFSET($BO$15,0,0,$B$14,1)) + $B$18/($B$19*$B$19*($DN46&lt;&gt;$DO46) + $B$19*($DN46=$DO46))</f>
        <v>3.7037037037037035E-4</v>
      </c>
      <c r="ES46" s="10" cm="1">
        <f t="array" aca="1" ref="ES46" ca="1">(1-$B$18)*SUMPRODUCT(OFFSET($BO$15,0,0,$B$14,1), 1*(_xlfn._xlws.FILTER(OFFSET($O$15,0,$DN46,$B$8,1),OFFSET($M$15,0,0,$B$8,1))=ES$13), 1*(_xlfn._xlws.FILTER(OFFSET($O$15,0,$DO46,$B$8,1),OFFSET($M$15,0,0,$B$8,1))=ES$14))   /   SUM(OFFSET($BO$15,0,0,$B$14,1)) + $B$18/($B$19*$B$19*($DN46&lt;&gt;$DO46) + $B$19*($DN46=$DO46))</f>
        <v>3.7037037037037035E-4</v>
      </c>
      <c r="ET46" s="10" cm="1">
        <f t="array" aca="1" ref="ET46" ca="1">(1-$B$18)*SUMPRODUCT(OFFSET($BO$15,0,0,$B$14,1), 1*(_xlfn._xlws.FILTER(OFFSET($O$15,0,$DN46,$B$8,1),OFFSET($M$15,0,0,$B$8,1))=ET$13), 1*(_xlfn._xlws.FILTER(OFFSET($O$15,0,$DO46,$B$8,1),OFFSET($M$15,0,0,$B$8,1))=ET$14))   /   SUM(OFFSET($BO$15,0,0,$B$14,1)) + $B$18/($B$19*$B$19*($DN46&lt;&gt;$DO46) + $B$19*($DN46=$DO46))</f>
        <v>3.7037037037037035E-4</v>
      </c>
      <c r="EU46" s="10" cm="1">
        <f t="array" aca="1" ref="EU46" ca="1">(1-$B$18)*SUMPRODUCT(OFFSET($BO$15,0,0,$B$14,1), 1*(_xlfn._xlws.FILTER(OFFSET($O$15,0,$DN46,$B$8,1),OFFSET($M$15,0,0,$B$8,1))=EU$13), 1*(_xlfn._xlws.FILTER(OFFSET($O$15,0,$DO46,$B$8,1),OFFSET($M$15,0,0,$B$8,1))=EU$14))   /   SUM(OFFSET($BO$15,0,0,$B$14,1)) + $B$18/($B$19*$B$19*($DN46&lt;&gt;$DO46) + $B$19*($DN46=$DO46))</f>
        <v>3.7037037037037035E-4</v>
      </c>
      <c r="EV46" s="10" cm="1">
        <f t="array" aca="1" ref="EV46" ca="1">(1-$B$18)*SUMPRODUCT(OFFSET($BO$15,0,0,$B$14,1), 1*(_xlfn._xlws.FILTER(OFFSET($O$15,0,$DN46,$B$8,1),OFFSET($M$15,0,0,$B$8,1))=EV$13), 1*(_xlfn._xlws.FILTER(OFFSET($O$15,0,$DO46,$B$8,1),OFFSET($M$15,0,0,$B$8,1))=EV$14))   /   SUM(OFFSET($BO$15,0,0,$B$14,1)) + $B$18/($B$19*$B$19*($DN46&lt;&gt;$DO46) + $B$19*($DN46=$DO46))</f>
        <v>3.7037037037037035E-4</v>
      </c>
      <c r="EW46" s="10" cm="1">
        <f t="array" aca="1" ref="EW46" ca="1">(1-$B$18)*SUMPRODUCT(OFFSET($BO$15,0,0,$B$14,1), 1*(_xlfn._xlws.FILTER(OFFSET($O$15,0,$DN46,$B$8,1),OFFSET($M$15,0,0,$B$8,1))=EW$13), 1*(_xlfn._xlws.FILTER(OFFSET($O$15,0,$DO46,$B$8,1),OFFSET($M$15,0,0,$B$8,1))=EW$14))   /   SUM(OFFSET($BO$15,0,0,$B$14,1)) + $B$18/($B$19*$B$19*($DN46&lt;&gt;$DO46) + $B$19*($DN46=$DO46))</f>
        <v>3.7037037037037035E-4</v>
      </c>
      <c r="EX46" s="10" cm="1">
        <f t="array" aca="1" ref="EX46" ca="1">(1-$B$18)*SUMPRODUCT(OFFSET($BO$15,0,0,$B$14,1), 1*(_xlfn._xlws.FILTER(OFFSET($O$15,0,$DN46,$B$8,1),OFFSET($M$15,0,0,$B$8,1))=EX$13), 1*(_xlfn._xlws.FILTER(OFFSET($O$15,0,$DO46,$B$8,1),OFFSET($M$15,0,0,$B$8,1))=EX$14))   /   SUM(OFFSET($BO$15,0,0,$B$14,1)) + $B$18/($B$19*$B$19*($DN46&lt;&gt;$DO46) + $B$19*($DN46=$DO46))</f>
        <v>3.7037037037037035E-4</v>
      </c>
      <c r="EY46" s="10" cm="1">
        <f t="array" aca="1" ref="EY46" ca="1">(1-$B$18)*SUMPRODUCT(OFFSET($BO$15,0,0,$B$14,1), 1*(_xlfn._xlws.FILTER(OFFSET($O$15,0,$DN46,$B$8,1),OFFSET($M$15,0,0,$B$8,1))=EY$13), 1*(_xlfn._xlws.FILTER(OFFSET($O$15,0,$DO46,$B$8,1),OFFSET($M$15,0,0,$B$8,1))=EY$14))   /   SUM(OFFSET($BO$15,0,0,$B$14,1)) + $B$18/($B$19*$B$19*($DN46&lt;&gt;$DO46) + $B$19*($DN46=$DO46))</f>
        <v>3.7037037037037035E-4</v>
      </c>
      <c r="EZ46" s="10" cm="1">
        <f t="array" aca="1" ref="EZ46" ca="1">(1-$B$18)*SUMPRODUCT(OFFSET($BO$15,0,0,$B$14,1), 1*(_xlfn._xlws.FILTER(OFFSET($O$15,0,$DN46,$B$8,1),OFFSET($M$15,0,0,$B$8,1))=EZ$13), 1*(_xlfn._xlws.FILTER(OFFSET($O$15,0,$DO46,$B$8,1),OFFSET($M$15,0,0,$B$8,1))=EZ$14))   /   SUM(OFFSET($BO$15,0,0,$B$14,1)) + $B$18/($B$19*$B$19*($DN46&lt;&gt;$DO46) + $B$19*($DN46=$DO46))</f>
        <v>3.7037037037037035E-4</v>
      </c>
      <c r="FA46" s="10" cm="1">
        <f t="array" aca="1" ref="FA46" ca="1">(1-$B$18)*SUMPRODUCT(OFFSET($BO$15,0,0,$B$14,1), 1*(_xlfn._xlws.FILTER(OFFSET($O$15,0,$DN46,$B$8,1),OFFSET($M$15,0,0,$B$8,1))=FA$13), 1*(_xlfn._xlws.FILTER(OFFSET($O$15,0,$DO46,$B$8,1),OFFSET($M$15,0,0,$B$8,1))=FA$14))   /   SUM(OFFSET($BO$15,0,0,$B$14,1)) + $B$18/($B$19*$B$19*($DN46&lt;&gt;$DO46) + $B$19*($DN46=$DO46))</f>
        <v>3.7037037037037035E-4</v>
      </c>
      <c r="FB46" s="10" cm="1">
        <f t="array" aca="1" ref="FB46" ca="1">(1-$B$18)*SUMPRODUCT(OFFSET($BO$15,0,0,$B$14,1), 1*(_xlfn._xlws.FILTER(OFFSET($O$15,0,$DN46,$B$8,1),OFFSET($M$15,0,0,$B$8,1))=FB$13), 1*(_xlfn._xlws.FILTER(OFFSET($O$15,0,$DO46,$B$8,1),OFFSET($M$15,0,0,$B$8,1))=FB$14))   /   SUM(OFFSET($BO$15,0,0,$B$14,1)) + $B$18/($B$19*$B$19*($DN46&lt;&gt;$DO46) + $B$19*($DN46=$DO46))</f>
        <v>3.7037037037037035E-4</v>
      </c>
      <c r="FC46" s="10" cm="1">
        <f t="array" aca="1" ref="FC46" ca="1">(1-$B$18)*SUMPRODUCT(OFFSET($BO$15,0,0,$B$14,1), 1*(_xlfn._xlws.FILTER(OFFSET($O$15,0,$DN46,$B$8,1),OFFSET($M$15,0,0,$B$8,1))=FC$13), 1*(_xlfn._xlws.FILTER(OFFSET($O$15,0,$DO46,$B$8,1),OFFSET($M$15,0,0,$B$8,1))=FC$14))   /   SUM(OFFSET($BO$15,0,0,$B$14,1)) + $B$18/($B$19*$B$19*($DN46&lt;&gt;$DO46) + $B$19*($DN46=$DO46))</f>
        <v>3.7037037037037035E-4</v>
      </c>
      <c r="FD46" s="10" cm="1">
        <f t="array" aca="1" ref="FD46" ca="1">(1-$B$18)*SUMPRODUCT(OFFSET($BO$15,0,0,$B$14,1), 1*(_xlfn._xlws.FILTER(OFFSET($O$15,0,$DN46,$B$8,1),OFFSET($M$15,0,0,$B$8,1))=FD$13), 1*(_xlfn._xlws.FILTER(OFFSET($O$15,0,$DO46,$B$8,1),OFFSET($M$15,0,0,$B$8,1))=FD$14))   /   SUM(OFFSET($BO$15,0,0,$B$14,1)) + $B$18/($B$19*$B$19*($DN46&lt;&gt;$DO46) + $B$19*($DN46=$DO46))</f>
        <v>3.7037037037037035E-4</v>
      </c>
      <c r="FE46" s="10" cm="1">
        <f t="array" aca="1" ref="FE46" ca="1">(1-$B$18)*SUMPRODUCT(OFFSET($BO$15,0,0,$B$14,1), 1*(_xlfn._xlws.FILTER(OFFSET($O$15,0,$DN46,$B$8,1),OFFSET($M$15,0,0,$B$8,1))=FE$13), 1*(_xlfn._xlws.FILTER(OFFSET($O$15,0,$DO46,$B$8,1),OFFSET($M$15,0,0,$B$8,1))=FE$14))   /   SUM(OFFSET($BO$15,0,0,$B$14,1)) + $B$18/($B$19*$B$19*($DN46&lt;&gt;$DO46) + $B$19*($DN46=$DO46))</f>
        <v>3.7037037037037035E-4</v>
      </c>
      <c r="FF46" s="10" cm="1">
        <f t="array" aca="1" ref="FF46" ca="1">(1-$B$18)*SUMPRODUCT(OFFSET($BO$15,0,0,$B$14,1), 1*(_xlfn._xlws.FILTER(OFFSET($O$15,0,$DN46,$B$8,1),OFFSET($M$15,0,0,$B$8,1))=FF$13), 1*(_xlfn._xlws.FILTER(OFFSET($O$15,0,$DO46,$B$8,1),OFFSET($M$15,0,0,$B$8,1))=FF$14))   /   SUM(OFFSET($BO$15,0,0,$B$14,1)) + $B$18/($B$19*$B$19*($DN46&lt;&gt;$DO46) + $B$19*($DN46=$DO46))</f>
        <v>3.7037037037037035E-4</v>
      </c>
      <c r="FG46" s="10" cm="1">
        <f t="array" aca="1" ref="FG46" ca="1">(1-$B$18)*SUMPRODUCT(OFFSET($BO$15,0,0,$B$14,1), 1*(_xlfn._xlws.FILTER(OFFSET($O$15,0,$DN46,$B$8,1),OFFSET($M$15,0,0,$B$8,1))=FG$13), 1*(_xlfn._xlws.FILTER(OFFSET($O$15,0,$DO46,$B$8,1),OFFSET($M$15,0,0,$B$8,1))=FG$14))   /   SUM(OFFSET($BO$15,0,0,$B$14,1)) + $B$18/($B$19*$B$19*($DN46&lt;&gt;$DO46) + $B$19*($DN46=$DO46))</f>
        <v>3.7037037037037035E-4</v>
      </c>
      <c r="FH46" s="10" cm="1">
        <f t="array" aca="1" ref="FH46" ca="1">(1-$B$18)*SUMPRODUCT(OFFSET($BO$15,0,0,$B$14,1), 1*(_xlfn._xlws.FILTER(OFFSET($O$15,0,$DN46,$B$8,1),OFFSET($M$15,0,0,$B$8,1))=FH$13), 1*(_xlfn._xlws.FILTER(OFFSET($O$15,0,$DO46,$B$8,1),OFFSET($M$15,0,0,$B$8,1))=FH$14))   /   SUM(OFFSET($BO$15,0,0,$B$14,1)) + $B$18/($B$19*$B$19*($DN46&lt;&gt;$DO46) + $B$19*($DN46=$DO46))</f>
        <v>3.7037037037037035E-4</v>
      </c>
      <c r="FI46" s="10" cm="1">
        <f t="array" aca="1" ref="FI46" ca="1">(1-$B$18)*SUMPRODUCT(OFFSET($BO$15,0,0,$B$14,1), 1*(_xlfn._xlws.FILTER(OFFSET($O$15,0,$DN46,$B$8,1),OFFSET($M$15,0,0,$B$8,1))=FI$13), 1*(_xlfn._xlws.FILTER(OFFSET($O$15,0,$DO46,$B$8,1),OFFSET($M$15,0,0,$B$8,1))=FI$14))   /   SUM(OFFSET($BO$15,0,0,$B$14,1)) + $B$18/($B$19*$B$19*($DN46&lt;&gt;$DO46) + $B$19*($DN46=$DO46))</f>
        <v>3.7037037037037035E-4</v>
      </c>
      <c r="FJ46" s="10" cm="1">
        <f t="array" aca="1" ref="FJ46" ca="1">(1-$B$18)*SUMPRODUCT(OFFSET($BO$15,0,0,$B$14,1), 1*(_xlfn._xlws.FILTER(OFFSET($O$15,0,$DN46,$B$8,1),OFFSET($M$15,0,0,$B$8,1))=FJ$13), 1*(_xlfn._xlws.FILTER(OFFSET($O$15,0,$DO46,$B$8,1),OFFSET($M$15,0,0,$B$8,1))=FJ$14))   /   SUM(OFFSET($BO$15,0,0,$B$14,1)) + $B$18/($B$19*$B$19*($DN46&lt;&gt;$DO46) + $B$19*($DN46=$DO46))</f>
        <v>3.7037037037037035E-4</v>
      </c>
      <c r="FK46" s="10" cm="1">
        <f t="array" aca="1" ref="FK46" ca="1">(1-$B$18)*SUMPRODUCT(OFFSET($BO$15,0,0,$B$14,1), 1*(_xlfn._xlws.FILTER(OFFSET($O$15,0,$DN46,$B$8,1),OFFSET($M$15,0,0,$B$8,1))=FK$13), 1*(_xlfn._xlws.FILTER(OFFSET($O$15,0,$DO46,$B$8,1),OFFSET($M$15,0,0,$B$8,1))=FK$14))   /   SUM(OFFSET($BO$15,0,0,$B$14,1)) + $B$18/($B$19*$B$19*($DN46&lt;&gt;$DO46) + $B$19*($DN46=$DO46))</f>
        <v>3.7037037037037035E-4</v>
      </c>
      <c r="FL46" s="10" cm="1">
        <f t="array" aca="1" ref="FL46" ca="1">(1-$B$18)*SUMPRODUCT(OFFSET($BO$15,0,0,$B$14,1), 1*(_xlfn._xlws.FILTER(OFFSET($O$15,0,$DN46,$B$8,1),OFFSET($M$15,0,0,$B$8,1))=FL$13), 1*(_xlfn._xlws.FILTER(OFFSET($O$15,0,$DO46,$B$8,1),OFFSET($M$15,0,0,$B$8,1))=FL$14))   /   SUM(OFFSET($BO$15,0,0,$B$14,1)) + $B$18/($B$19*$B$19*($DN46&lt;&gt;$DO46) + $B$19*($DN46=$DO46))</f>
        <v>3.7037037037037035E-4</v>
      </c>
      <c r="FM46" s="10" cm="1">
        <f t="array" aca="1" ref="FM46" ca="1">(1-$B$18)*SUMPRODUCT(OFFSET($BO$15,0,0,$B$14,1), 1*(_xlfn._xlws.FILTER(OFFSET($O$15,0,$DN46,$B$8,1),OFFSET($M$15,0,0,$B$8,1))=FM$13), 1*(_xlfn._xlws.FILTER(OFFSET($O$15,0,$DO46,$B$8,1),OFFSET($M$15,0,0,$B$8,1))=FM$14))   /   SUM(OFFSET($BO$15,0,0,$B$14,1)) + $B$18/($B$19*$B$19*($DN46&lt;&gt;$DO46) + $B$19*($DN46=$DO46))</f>
        <v>0.97037037037037033</v>
      </c>
      <c r="FN46" s="10" cm="1">
        <f t="array" aca="1" ref="FN46" ca="1">(1-$B$18)*SUMPRODUCT(OFFSET($BO$15,0,0,$B$14,1), 1*(_xlfn._xlws.FILTER(OFFSET($O$15,0,$DN46,$B$8,1),OFFSET($M$15,0,0,$B$8,1))=FN$13), 1*(_xlfn._xlws.FILTER(OFFSET($O$15,0,$DO46,$B$8,1),OFFSET($M$15,0,0,$B$8,1))=FN$14))   /   SUM(OFFSET($BO$15,0,0,$B$14,1)) + $B$18/($B$19*$B$19*($DN46&lt;&gt;$DO46) + $B$19*($DN46=$DO46))</f>
        <v>3.7037037037037035E-4</v>
      </c>
      <c r="FO46" s="10" cm="1">
        <f t="array" aca="1" ref="FO46" ca="1">(1-$B$18)*SUMPRODUCT(OFFSET($BO$15,0,0,$B$14,1), 1*(_xlfn._xlws.FILTER(OFFSET($O$15,0,$DN46,$B$8,1),OFFSET($M$15,0,0,$B$8,1))=FO$13), 1*(_xlfn._xlws.FILTER(OFFSET($O$15,0,$DO46,$B$8,1),OFFSET($M$15,0,0,$B$8,1))=FO$14))   /   SUM(OFFSET($BO$15,0,0,$B$14,1)) + $B$18/($B$19*$B$19*($DN46&lt;&gt;$DO46) + $B$19*($DN46=$DO46))</f>
        <v>3.7037037037037035E-4</v>
      </c>
      <c r="FP46" s="10" cm="1">
        <f t="array" aca="1" ref="FP46" ca="1">(1-$B$18)*SUMPRODUCT(OFFSET($BO$15,0,0,$B$14,1), 1*(_xlfn._xlws.FILTER(OFFSET($O$15,0,$DN46,$B$8,1),OFFSET($M$15,0,0,$B$8,1))=FP$13), 1*(_xlfn._xlws.FILTER(OFFSET($O$15,0,$DO46,$B$8,1),OFFSET($M$15,0,0,$B$8,1))=FP$14))   /   SUM(OFFSET($BO$15,0,0,$B$14,1)) + $B$18/($B$19*$B$19*($DN46&lt;&gt;$DO46) + $B$19*($DN46=$DO46))</f>
        <v>3.7037037037037035E-4</v>
      </c>
      <c r="FQ46" s="10" cm="1">
        <f t="array" aca="1" ref="FQ46" ca="1">(1-$B$18)*SUMPRODUCT(OFFSET($BO$15,0,0,$B$14,1), 1*(_xlfn._xlws.FILTER(OFFSET($O$15,0,$DN46,$B$8,1),OFFSET($M$15,0,0,$B$8,1))=FQ$13), 1*(_xlfn._xlws.FILTER(OFFSET($O$15,0,$DO46,$B$8,1),OFFSET($M$15,0,0,$B$8,1))=FQ$14))   /   SUM(OFFSET($BO$15,0,0,$B$14,1)) + $B$18/($B$19*$B$19*($DN46&lt;&gt;$DO46) + $B$19*($DN46=$DO46))</f>
        <v>3.7037037037037035E-4</v>
      </c>
      <c r="FR46" s="10" cm="1">
        <f t="array" aca="1" ref="FR46" ca="1">(1-$B$18)*SUMPRODUCT(OFFSET($BO$15,0,0,$B$14,1), 1*(_xlfn._xlws.FILTER(OFFSET($O$15,0,$DN46,$B$8,1),OFFSET($M$15,0,0,$B$8,1))=FR$13), 1*(_xlfn._xlws.FILTER(OFFSET($O$15,0,$DO46,$B$8,1),OFFSET($M$15,0,0,$B$8,1))=FR$14))   /   SUM(OFFSET($BO$15,0,0,$B$14,1)) + $B$18/($B$19*$B$19*($DN46&lt;&gt;$DO46) + $B$19*($DN46=$DO46))</f>
        <v>3.7037037037037035E-4</v>
      </c>
      <c r="FS46" s="10" cm="1">
        <f t="array" aca="1" ref="FS46" ca="1">(1-$B$18)*SUMPRODUCT(OFFSET($BO$15,0,0,$B$14,1), 1*(_xlfn._xlws.FILTER(OFFSET($O$15,0,$DN46,$B$8,1),OFFSET($M$15,0,0,$B$8,1))=FS$13), 1*(_xlfn._xlws.FILTER(OFFSET($O$15,0,$DO46,$B$8,1),OFFSET($M$15,0,0,$B$8,1))=FS$14))   /   SUM(OFFSET($BO$15,0,0,$B$14,1)) + $B$18/($B$19*$B$19*($DN46&lt;&gt;$DO46) + $B$19*($DN46=$DO46))</f>
        <v>3.7037037037037035E-4</v>
      </c>
      <c r="FT46" s="10" cm="1">
        <f t="array" aca="1" ref="FT46" ca="1">(1-$B$18)*SUMPRODUCT(OFFSET($BO$15,0,0,$B$14,1), 1*(_xlfn._xlws.FILTER(OFFSET($O$15,0,$DN46,$B$8,1),OFFSET($M$15,0,0,$B$8,1))=FT$13), 1*(_xlfn._xlws.FILTER(OFFSET($O$15,0,$DO46,$B$8,1),OFFSET($M$15,0,0,$B$8,1))=FT$14))   /   SUM(OFFSET($BO$15,0,0,$B$14,1)) + $B$18/($B$19*$B$19*($DN46&lt;&gt;$DO46) + $B$19*($DN46=$DO46))</f>
        <v>3.7037037037037035E-4</v>
      </c>
      <c r="FU46" s="10" cm="1">
        <f t="array" aca="1" ref="FU46" ca="1">(1-$B$18)*SUMPRODUCT(OFFSET($BO$15,0,0,$B$14,1), 1*(_xlfn._xlws.FILTER(OFFSET($O$15,0,$DN46,$B$8,1),OFFSET($M$15,0,0,$B$8,1))=FU$13), 1*(_xlfn._xlws.FILTER(OFFSET($O$15,0,$DO46,$B$8,1),OFFSET($M$15,0,0,$B$8,1))=FU$14))   /   SUM(OFFSET($BO$15,0,0,$B$14,1)) + $B$18/($B$19*$B$19*($DN46&lt;&gt;$DO46) + $B$19*($DN46=$DO46))</f>
        <v>3.7037037037037035E-4</v>
      </c>
      <c r="FV46" s="10" cm="1">
        <f t="array" aca="1" ref="FV46" ca="1">(1-$B$18)*SUMPRODUCT(OFFSET($BO$15,0,0,$B$14,1), 1*(_xlfn._xlws.FILTER(OFFSET($O$15,0,$DN46,$B$8,1),OFFSET($M$15,0,0,$B$8,1))=FV$13), 1*(_xlfn._xlws.FILTER(OFFSET($O$15,0,$DO46,$B$8,1),OFFSET($M$15,0,0,$B$8,1))=FV$14))   /   SUM(OFFSET($BO$15,0,0,$B$14,1)) + $B$18/($B$19*$B$19*($DN46&lt;&gt;$DO46) + $B$19*($DN46=$DO46))</f>
        <v>3.7037037037037035E-4</v>
      </c>
      <c r="FW46" s="10" cm="1">
        <f t="array" aca="1" ref="FW46" ca="1">(1-$B$18)*SUMPRODUCT(OFFSET($BO$15,0,0,$B$14,1), 1*(_xlfn._xlws.FILTER(OFFSET($O$15,0,$DN46,$B$8,1),OFFSET($M$15,0,0,$B$8,1))=FW$13), 1*(_xlfn._xlws.FILTER(OFFSET($O$15,0,$DO46,$B$8,1),OFFSET($M$15,0,0,$B$8,1))=FW$14))   /   SUM(OFFSET($BO$15,0,0,$B$14,1)) + $B$18/($B$19*$B$19*($DN46&lt;&gt;$DO46) + $B$19*($DN46=$DO46))</f>
        <v>3.7037037037037035E-4</v>
      </c>
      <c r="FX46" s="10" cm="1">
        <f t="array" aca="1" ref="FX46" ca="1">(1-$B$18)*SUMPRODUCT(OFFSET($BO$15,0,0,$B$14,1), 1*(_xlfn._xlws.FILTER(OFFSET($O$15,0,$DN46,$B$8,1),OFFSET($M$15,0,0,$B$8,1))=FX$13), 1*(_xlfn._xlws.FILTER(OFFSET($O$15,0,$DO46,$B$8,1),OFFSET($M$15,0,0,$B$8,1))=FX$14))   /   SUM(OFFSET($BO$15,0,0,$B$14,1)) + $B$18/($B$19*$B$19*($DN46&lt;&gt;$DO46) + $B$19*($DN46=$DO46))</f>
        <v>3.7037037037037035E-4</v>
      </c>
      <c r="FY46" s="10" cm="1">
        <f t="array" aca="1" ref="FY46" ca="1">(1-$B$18)*SUMPRODUCT(OFFSET($BO$15,0,0,$B$14,1), 1*(_xlfn._xlws.FILTER(OFFSET($O$15,0,$DN46,$B$8,1),OFFSET($M$15,0,0,$B$8,1))=FY$13), 1*(_xlfn._xlws.FILTER(OFFSET($O$15,0,$DO46,$B$8,1),OFFSET($M$15,0,0,$B$8,1))=FY$14))   /   SUM(OFFSET($BO$15,0,0,$B$14,1)) + $B$18/($B$19*$B$19*($DN46&lt;&gt;$DO46) + $B$19*($DN46=$DO46))</f>
        <v>3.7037037037037035E-4</v>
      </c>
      <c r="FZ46" s="10" cm="1">
        <f t="array" aca="1" ref="FZ46" ca="1">(1-$B$18)*SUMPRODUCT(OFFSET($BO$15,0,0,$B$14,1), 1*(_xlfn._xlws.FILTER(OFFSET($O$15,0,$DN46,$B$8,1),OFFSET($M$15,0,0,$B$8,1))=FZ$13), 1*(_xlfn._xlws.FILTER(OFFSET($O$15,0,$DO46,$B$8,1),OFFSET($M$15,0,0,$B$8,1))=FZ$14))   /   SUM(OFFSET($BO$15,0,0,$B$14,1)) + $B$18/($B$19*$B$19*($DN46&lt;&gt;$DO46) + $B$19*($DN46=$DO46))</f>
        <v>3.7037037037037035E-4</v>
      </c>
      <c r="GA46" s="10" cm="1">
        <f t="array" aca="1" ref="GA46" ca="1">(1-$B$18)*SUMPRODUCT(OFFSET($BO$15,0,0,$B$14,1), 1*(_xlfn._xlws.FILTER(OFFSET($O$15,0,$DN46,$B$8,1),OFFSET($M$15,0,0,$B$8,1))=GA$13), 1*(_xlfn._xlws.FILTER(OFFSET($O$15,0,$DO46,$B$8,1),OFFSET($M$15,0,0,$B$8,1))=GA$14))   /   SUM(OFFSET($BO$15,0,0,$B$14,1)) + $B$18/($B$19*$B$19*($DN46&lt;&gt;$DO46) + $B$19*($DN46=$DO46))</f>
        <v>3.7037037037037035E-4</v>
      </c>
    </row>
    <row r="47" spans="4:183" x14ac:dyDescent="0.2">
      <c r="AK47" s="2"/>
      <c r="AL47" s="2"/>
      <c r="CX47" cm="1">
        <f t="array" aca="1" ref="CX47:CX66" ca="1">OFFSET($BO$15,0,0,$B$14,1)</f>
        <v>0.25</v>
      </c>
      <c r="CY47" cm="1">
        <f t="array" aca="1" ref="CY47:CY66" ca="1">1*(_xlfn._xlws.FILTER(OFFSET($O$15,0,$DN15,$B$8,1),OFFSET($M$15,0,0,$B$8,1))=DP$13)</f>
        <v>0</v>
      </c>
      <c r="DN47" cm="1">
        <f t="array" aca="1" ref="DN47" ca="1">INDEX(_xlfn.ANCHORARRAY($CP$15), 1 + INT((ROWS($DO$15:$DO47) - 1) / ROWS(_xlfn.ANCHORARRAY($CP$15))))</f>
        <v>1</v>
      </c>
      <c r="DO47" cm="1">
        <f t="array" aca="1" ref="DO47" ca="1">INDEX(_xlfn.ANCHORARRAY($CP$15),1+MOD(ROWS($DO$15:$DO47)-1,ROWS(_xlfn.ANCHORARRAY($CP$15))))</f>
        <v>14</v>
      </c>
      <c r="DP47" s="10" cm="1">
        <f t="array" aca="1" ref="DP47" ca="1">(1-$B$18)*SUMPRODUCT(OFFSET($BO$15,0,0,$B$14,1), 1*(_xlfn._xlws.FILTER(OFFSET($O$15,0,$DN47,$B$8,1),OFFSET($M$15,0,0,$B$8,1))=DP$13), 1*(_xlfn._xlws.FILTER(OFFSET($O$15,0,$DO47,$B$8,1),OFFSET($M$15,0,0,$B$8,1))=DP$14))   /   SUM(OFFSET($BO$15,0,0,$B$14,1)) + $B$18/($B$19*$B$19*($DN47&lt;&gt;$DO47) + $B$19*($DN47=$DO47))</f>
        <v>3.7037037037037035E-4</v>
      </c>
      <c r="DQ47" s="10" cm="1">
        <f t="array" aca="1" ref="DQ47" ca="1">(1-$B$18)*SUMPRODUCT(OFFSET($BO$15,0,0,$B$14,1), 1*(_xlfn._xlws.FILTER(OFFSET($O$15,0,$DN47,$B$8,1),OFFSET($M$15,0,0,$B$8,1))=DQ$13), 1*(_xlfn._xlws.FILTER(OFFSET($O$15,0,$DO47,$B$8,1),OFFSET($M$15,0,0,$B$8,1))=DQ$14))   /   SUM(OFFSET($BO$15,0,0,$B$14,1)) + $B$18/($B$19*$B$19*($DN47&lt;&gt;$DO47) + $B$19*($DN47=$DO47))</f>
        <v>3.7037037037037035E-4</v>
      </c>
      <c r="DR47" s="10" cm="1">
        <f t="array" aca="1" ref="DR47" ca="1">(1-$B$18)*SUMPRODUCT(OFFSET($BO$15,0,0,$B$14,1), 1*(_xlfn._xlws.FILTER(OFFSET($O$15,0,$DN47,$B$8,1),OFFSET($M$15,0,0,$B$8,1))=DR$13), 1*(_xlfn._xlws.FILTER(OFFSET($O$15,0,$DO47,$B$8,1),OFFSET($M$15,0,0,$B$8,1))=DR$14))   /   SUM(OFFSET($BO$15,0,0,$B$14,1)) + $B$18/($B$19*$B$19*($DN47&lt;&gt;$DO47) + $B$19*($DN47=$DO47))</f>
        <v>3.7037037037037035E-4</v>
      </c>
      <c r="DS47" s="10" cm="1">
        <f t="array" aca="1" ref="DS47" ca="1">(1-$B$18)*SUMPRODUCT(OFFSET($BO$15,0,0,$B$14,1), 1*(_xlfn._xlws.FILTER(OFFSET($O$15,0,$DN47,$B$8,1),OFFSET($M$15,0,0,$B$8,1))=DS$13), 1*(_xlfn._xlws.FILTER(OFFSET($O$15,0,$DO47,$B$8,1),OFFSET($M$15,0,0,$B$8,1))=DS$14))   /   SUM(OFFSET($BO$15,0,0,$B$14,1)) + $B$18/($B$19*$B$19*($DN47&lt;&gt;$DO47) + $B$19*($DN47=$DO47))</f>
        <v>3.7037037037037035E-4</v>
      </c>
      <c r="DT47" s="10" cm="1">
        <f t="array" aca="1" ref="DT47" ca="1">(1-$B$18)*SUMPRODUCT(OFFSET($BO$15,0,0,$B$14,1), 1*(_xlfn._xlws.FILTER(OFFSET($O$15,0,$DN47,$B$8,1),OFFSET($M$15,0,0,$B$8,1))=DT$13), 1*(_xlfn._xlws.FILTER(OFFSET($O$15,0,$DO47,$B$8,1),OFFSET($M$15,0,0,$B$8,1))=DT$14))   /   SUM(OFFSET($BO$15,0,0,$B$14,1)) + $B$18/($B$19*$B$19*($DN47&lt;&gt;$DO47) + $B$19*($DN47=$DO47))</f>
        <v>3.7037037037037035E-4</v>
      </c>
      <c r="DU47" s="10" cm="1">
        <f t="array" aca="1" ref="DU47" ca="1">(1-$B$18)*SUMPRODUCT(OFFSET($BO$15,0,0,$B$14,1), 1*(_xlfn._xlws.FILTER(OFFSET($O$15,0,$DN47,$B$8,1),OFFSET($M$15,0,0,$B$8,1))=DU$13), 1*(_xlfn._xlws.FILTER(OFFSET($O$15,0,$DO47,$B$8,1),OFFSET($M$15,0,0,$B$8,1))=DU$14))   /   SUM(OFFSET($BO$15,0,0,$B$14,1)) + $B$18/($B$19*$B$19*($DN47&lt;&gt;$DO47) + $B$19*($DN47=$DO47))</f>
        <v>3.7037037037037035E-4</v>
      </c>
      <c r="DV47" s="10" cm="1">
        <f t="array" aca="1" ref="DV47" ca="1">(1-$B$18)*SUMPRODUCT(OFFSET($BO$15,0,0,$B$14,1), 1*(_xlfn._xlws.FILTER(OFFSET($O$15,0,$DN47,$B$8,1),OFFSET($M$15,0,0,$B$8,1))=DV$13), 1*(_xlfn._xlws.FILTER(OFFSET($O$15,0,$DO47,$B$8,1),OFFSET($M$15,0,0,$B$8,1))=DV$14))   /   SUM(OFFSET($BO$15,0,0,$B$14,1)) + $B$18/($B$19*$B$19*($DN47&lt;&gt;$DO47) + $B$19*($DN47=$DO47))</f>
        <v>3.7037037037037035E-4</v>
      </c>
      <c r="DW47" s="10" cm="1">
        <f t="array" aca="1" ref="DW47" ca="1">(1-$B$18)*SUMPRODUCT(OFFSET($BO$15,0,0,$B$14,1), 1*(_xlfn._xlws.FILTER(OFFSET($O$15,0,$DN47,$B$8,1),OFFSET($M$15,0,0,$B$8,1))=DW$13), 1*(_xlfn._xlws.FILTER(OFFSET($O$15,0,$DO47,$B$8,1),OFFSET($M$15,0,0,$B$8,1))=DW$14))   /   SUM(OFFSET($BO$15,0,0,$B$14,1)) + $B$18/($B$19*$B$19*($DN47&lt;&gt;$DO47) + $B$19*($DN47=$DO47))</f>
        <v>3.7037037037037035E-4</v>
      </c>
      <c r="DX47" s="10" cm="1">
        <f t="array" aca="1" ref="DX47" ca="1">(1-$B$18)*SUMPRODUCT(OFFSET($BO$15,0,0,$B$14,1), 1*(_xlfn._xlws.FILTER(OFFSET($O$15,0,$DN47,$B$8,1),OFFSET($M$15,0,0,$B$8,1))=DX$13), 1*(_xlfn._xlws.FILTER(OFFSET($O$15,0,$DO47,$B$8,1),OFFSET($M$15,0,0,$B$8,1))=DX$14))   /   SUM(OFFSET($BO$15,0,0,$B$14,1)) + $B$18/($B$19*$B$19*($DN47&lt;&gt;$DO47) + $B$19*($DN47=$DO47))</f>
        <v>3.7037037037037035E-4</v>
      </c>
      <c r="DY47" s="10" cm="1">
        <f t="array" aca="1" ref="DY47" ca="1">(1-$B$18)*SUMPRODUCT(OFFSET($BO$15,0,0,$B$14,1), 1*(_xlfn._xlws.FILTER(OFFSET($O$15,0,$DN47,$B$8,1),OFFSET($M$15,0,0,$B$8,1))=DY$13), 1*(_xlfn._xlws.FILTER(OFFSET($O$15,0,$DO47,$B$8,1),OFFSET($M$15,0,0,$B$8,1))=DY$14))   /   SUM(OFFSET($BO$15,0,0,$B$14,1)) + $B$18/($B$19*$B$19*($DN47&lt;&gt;$DO47) + $B$19*($DN47=$DO47))</f>
        <v>3.7037037037037035E-4</v>
      </c>
      <c r="DZ47" s="10" cm="1">
        <f t="array" aca="1" ref="DZ47" ca="1">(1-$B$18)*SUMPRODUCT(OFFSET($BO$15,0,0,$B$14,1), 1*(_xlfn._xlws.FILTER(OFFSET($O$15,0,$DN47,$B$8,1),OFFSET($M$15,0,0,$B$8,1))=DZ$13), 1*(_xlfn._xlws.FILTER(OFFSET($O$15,0,$DO47,$B$8,1),OFFSET($M$15,0,0,$B$8,1))=DZ$14))   /   SUM(OFFSET($BO$15,0,0,$B$14,1)) + $B$18/($B$19*$B$19*($DN47&lt;&gt;$DO47) + $B$19*($DN47=$DO47))</f>
        <v>3.7037037037037035E-4</v>
      </c>
      <c r="EA47" s="10" cm="1">
        <f t="array" aca="1" ref="EA47" ca="1">(1-$B$18)*SUMPRODUCT(OFFSET($BO$15,0,0,$B$14,1), 1*(_xlfn._xlws.FILTER(OFFSET($O$15,0,$DN47,$B$8,1),OFFSET($M$15,0,0,$B$8,1))=EA$13), 1*(_xlfn._xlws.FILTER(OFFSET($O$15,0,$DO47,$B$8,1),OFFSET($M$15,0,0,$B$8,1))=EA$14))   /   SUM(OFFSET($BO$15,0,0,$B$14,1)) + $B$18/($B$19*$B$19*($DN47&lt;&gt;$DO47) + $B$19*($DN47=$DO47))</f>
        <v>3.7037037037037035E-4</v>
      </c>
      <c r="EB47" s="10" cm="1">
        <f t="array" aca="1" ref="EB47" ca="1">(1-$B$18)*SUMPRODUCT(OFFSET($BO$15,0,0,$B$14,1), 1*(_xlfn._xlws.FILTER(OFFSET($O$15,0,$DN47,$B$8,1),OFFSET($M$15,0,0,$B$8,1))=EB$13), 1*(_xlfn._xlws.FILTER(OFFSET($O$15,0,$DO47,$B$8,1),OFFSET($M$15,0,0,$B$8,1))=EB$14))   /   SUM(OFFSET($BO$15,0,0,$B$14,1)) + $B$18/($B$19*$B$19*($DN47&lt;&gt;$DO47) + $B$19*($DN47=$DO47))</f>
        <v>3.7037037037037035E-4</v>
      </c>
      <c r="EC47" s="10" cm="1">
        <f t="array" aca="1" ref="EC47" ca="1">(1-$B$18)*SUMPRODUCT(OFFSET($BO$15,0,0,$B$14,1), 1*(_xlfn._xlws.FILTER(OFFSET($O$15,0,$DN47,$B$8,1),OFFSET($M$15,0,0,$B$8,1))=EC$13), 1*(_xlfn._xlws.FILTER(OFFSET($O$15,0,$DO47,$B$8,1),OFFSET($M$15,0,0,$B$8,1))=EC$14))   /   SUM(OFFSET($BO$15,0,0,$B$14,1)) + $B$18/($B$19*$B$19*($DN47&lt;&gt;$DO47) + $B$19*($DN47=$DO47))</f>
        <v>3.7037037037037035E-4</v>
      </c>
      <c r="ED47" s="10" cm="1">
        <f t="array" aca="1" ref="ED47" ca="1">(1-$B$18)*SUMPRODUCT(OFFSET($BO$15,0,0,$B$14,1), 1*(_xlfn._xlws.FILTER(OFFSET($O$15,0,$DN47,$B$8,1),OFFSET($M$15,0,0,$B$8,1))=ED$13), 1*(_xlfn._xlws.FILTER(OFFSET($O$15,0,$DO47,$B$8,1),OFFSET($M$15,0,0,$B$8,1))=ED$14))   /   SUM(OFFSET($BO$15,0,0,$B$14,1)) + $B$18/($B$19*$B$19*($DN47&lt;&gt;$DO47) + $B$19*($DN47=$DO47))</f>
        <v>3.7037037037037035E-4</v>
      </c>
      <c r="EE47" s="10" cm="1">
        <f t="array" aca="1" ref="EE47" ca="1">(1-$B$18)*SUMPRODUCT(OFFSET($BO$15,0,0,$B$14,1), 1*(_xlfn._xlws.FILTER(OFFSET($O$15,0,$DN47,$B$8,1),OFFSET($M$15,0,0,$B$8,1))=EE$13), 1*(_xlfn._xlws.FILTER(OFFSET($O$15,0,$DO47,$B$8,1),OFFSET($M$15,0,0,$B$8,1))=EE$14))   /   SUM(OFFSET($BO$15,0,0,$B$14,1)) + $B$18/($B$19*$B$19*($DN47&lt;&gt;$DO47) + $B$19*($DN47=$DO47))</f>
        <v>3.7037037037037035E-4</v>
      </c>
      <c r="EF47" s="10" cm="1">
        <f t="array" aca="1" ref="EF47" ca="1">(1-$B$18)*SUMPRODUCT(OFFSET($BO$15,0,0,$B$14,1), 1*(_xlfn._xlws.FILTER(OFFSET($O$15,0,$DN47,$B$8,1),OFFSET($M$15,0,0,$B$8,1))=EF$13), 1*(_xlfn._xlws.FILTER(OFFSET($O$15,0,$DO47,$B$8,1),OFFSET($M$15,0,0,$B$8,1))=EF$14))   /   SUM(OFFSET($BO$15,0,0,$B$14,1)) + $B$18/($B$19*$B$19*($DN47&lt;&gt;$DO47) + $B$19*($DN47=$DO47))</f>
        <v>3.7037037037037035E-4</v>
      </c>
      <c r="EG47" s="10" cm="1">
        <f t="array" aca="1" ref="EG47" ca="1">(1-$B$18)*SUMPRODUCT(OFFSET($BO$15,0,0,$B$14,1), 1*(_xlfn._xlws.FILTER(OFFSET($O$15,0,$DN47,$B$8,1),OFFSET($M$15,0,0,$B$8,1))=EG$13), 1*(_xlfn._xlws.FILTER(OFFSET($O$15,0,$DO47,$B$8,1),OFFSET($M$15,0,0,$B$8,1))=EG$14))   /   SUM(OFFSET($BO$15,0,0,$B$14,1)) + $B$18/($B$19*$B$19*($DN47&lt;&gt;$DO47) + $B$19*($DN47=$DO47))</f>
        <v>3.7037037037037035E-4</v>
      </c>
      <c r="EH47" s="10" cm="1">
        <f t="array" aca="1" ref="EH47" ca="1">(1-$B$18)*SUMPRODUCT(OFFSET($BO$15,0,0,$B$14,1), 1*(_xlfn._xlws.FILTER(OFFSET($O$15,0,$DN47,$B$8,1),OFFSET($M$15,0,0,$B$8,1))=EH$13), 1*(_xlfn._xlws.FILTER(OFFSET($O$15,0,$DO47,$B$8,1),OFFSET($M$15,0,0,$B$8,1))=EH$14))   /   SUM(OFFSET($BO$15,0,0,$B$14,1)) + $B$18/($B$19*$B$19*($DN47&lt;&gt;$DO47) + $B$19*($DN47=$DO47))</f>
        <v>3.7037037037037035E-4</v>
      </c>
      <c r="EI47" s="10" cm="1">
        <f t="array" aca="1" ref="EI47" ca="1">(1-$B$18)*SUMPRODUCT(OFFSET($BO$15,0,0,$B$14,1), 1*(_xlfn._xlws.FILTER(OFFSET($O$15,0,$DN47,$B$8,1),OFFSET($M$15,0,0,$B$8,1))=EI$13), 1*(_xlfn._xlws.FILTER(OFFSET($O$15,0,$DO47,$B$8,1),OFFSET($M$15,0,0,$B$8,1))=EI$14))   /   SUM(OFFSET($BO$15,0,0,$B$14,1)) + $B$18/($B$19*$B$19*($DN47&lt;&gt;$DO47) + $B$19*($DN47=$DO47))</f>
        <v>3.7037037037037035E-4</v>
      </c>
      <c r="EJ47" s="10" cm="1">
        <f t="array" aca="1" ref="EJ47" ca="1">(1-$B$18)*SUMPRODUCT(OFFSET($BO$15,0,0,$B$14,1), 1*(_xlfn._xlws.FILTER(OFFSET($O$15,0,$DN47,$B$8,1),OFFSET($M$15,0,0,$B$8,1))=EJ$13), 1*(_xlfn._xlws.FILTER(OFFSET($O$15,0,$DO47,$B$8,1),OFFSET($M$15,0,0,$B$8,1))=EJ$14))   /   SUM(OFFSET($BO$15,0,0,$B$14,1)) + $B$18/($B$19*$B$19*($DN47&lt;&gt;$DO47) + $B$19*($DN47=$DO47))</f>
        <v>3.7037037037037035E-4</v>
      </c>
      <c r="EK47" s="10" cm="1">
        <f t="array" aca="1" ref="EK47" ca="1">(1-$B$18)*SUMPRODUCT(OFFSET($BO$15,0,0,$B$14,1), 1*(_xlfn._xlws.FILTER(OFFSET($O$15,0,$DN47,$B$8,1),OFFSET($M$15,0,0,$B$8,1))=EK$13), 1*(_xlfn._xlws.FILTER(OFFSET($O$15,0,$DO47,$B$8,1),OFFSET($M$15,0,0,$B$8,1))=EK$14))   /   SUM(OFFSET($BO$15,0,0,$B$14,1)) + $B$18/($B$19*$B$19*($DN47&lt;&gt;$DO47) + $B$19*($DN47=$DO47))</f>
        <v>3.7037037037037035E-4</v>
      </c>
      <c r="EL47" s="10" cm="1">
        <f t="array" aca="1" ref="EL47" ca="1">(1-$B$18)*SUMPRODUCT(OFFSET($BO$15,0,0,$B$14,1), 1*(_xlfn._xlws.FILTER(OFFSET($O$15,0,$DN47,$B$8,1),OFFSET($M$15,0,0,$B$8,1))=EL$13), 1*(_xlfn._xlws.FILTER(OFFSET($O$15,0,$DO47,$B$8,1),OFFSET($M$15,0,0,$B$8,1))=EL$14))   /   SUM(OFFSET($BO$15,0,0,$B$14,1)) + $B$18/($B$19*$B$19*($DN47&lt;&gt;$DO47) + $B$19*($DN47=$DO47))</f>
        <v>3.7037037037037035E-4</v>
      </c>
      <c r="EM47" s="10" cm="1">
        <f t="array" aca="1" ref="EM47" ca="1">(1-$B$18)*SUMPRODUCT(OFFSET($BO$15,0,0,$B$14,1), 1*(_xlfn._xlws.FILTER(OFFSET($O$15,0,$DN47,$B$8,1),OFFSET($M$15,0,0,$B$8,1))=EM$13), 1*(_xlfn._xlws.FILTER(OFFSET($O$15,0,$DO47,$B$8,1),OFFSET($M$15,0,0,$B$8,1))=EM$14))   /   SUM(OFFSET($BO$15,0,0,$B$14,1)) + $B$18/($B$19*$B$19*($DN47&lt;&gt;$DO47) + $B$19*($DN47=$DO47))</f>
        <v>3.7037037037037035E-4</v>
      </c>
      <c r="EN47" s="10" cm="1">
        <f t="array" aca="1" ref="EN47" ca="1">(1-$B$18)*SUMPRODUCT(OFFSET($BO$15,0,0,$B$14,1), 1*(_xlfn._xlws.FILTER(OFFSET($O$15,0,$DN47,$B$8,1),OFFSET($M$15,0,0,$B$8,1))=EN$13), 1*(_xlfn._xlws.FILTER(OFFSET($O$15,0,$DO47,$B$8,1),OFFSET($M$15,0,0,$B$8,1))=EN$14))   /   SUM(OFFSET($BO$15,0,0,$B$14,1)) + $B$18/($B$19*$B$19*($DN47&lt;&gt;$DO47) + $B$19*($DN47=$DO47))</f>
        <v>3.7037037037037035E-4</v>
      </c>
      <c r="EO47" s="10" cm="1">
        <f t="array" aca="1" ref="EO47" ca="1">(1-$B$18)*SUMPRODUCT(OFFSET($BO$15,0,0,$B$14,1), 1*(_xlfn._xlws.FILTER(OFFSET($O$15,0,$DN47,$B$8,1),OFFSET($M$15,0,0,$B$8,1))=EO$13), 1*(_xlfn._xlws.FILTER(OFFSET($O$15,0,$DO47,$B$8,1),OFFSET($M$15,0,0,$B$8,1))=EO$14))   /   SUM(OFFSET($BO$15,0,0,$B$14,1)) + $B$18/($B$19*$B$19*($DN47&lt;&gt;$DO47) + $B$19*($DN47=$DO47))</f>
        <v>3.7037037037037035E-4</v>
      </c>
      <c r="EP47" s="10" cm="1">
        <f t="array" aca="1" ref="EP47" ca="1">(1-$B$18)*SUMPRODUCT(OFFSET($BO$15,0,0,$B$14,1), 1*(_xlfn._xlws.FILTER(OFFSET($O$15,0,$DN47,$B$8,1),OFFSET($M$15,0,0,$B$8,1))=EP$13), 1*(_xlfn._xlws.FILTER(OFFSET($O$15,0,$DO47,$B$8,1),OFFSET($M$15,0,0,$B$8,1))=EP$14))   /   SUM(OFFSET($BO$15,0,0,$B$14,1)) + $B$18/($B$19*$B$19*($DN47&lt;&gt;$DO47) + $B$19*($DN47=$DO47))</f>
        <v>3.7037037037037035E-4</v>
      </c>
      <c r="EQ47" s="10" cm="1">
        <f t="array" aca="1" ref="EQ47" ca="1">(1-$B$18)*SUMPRODUCT(OFFSET($BO$15,0,0,$B$14,1), 1*(_xlfn._xlws.FILTER(OFFSET($O$15,0,$DN47,$B$8,1),OFFSET($M$15,0,0,$B$8,1))=EQ$13), 1*(_xlfn._xlws.FILTER(OFFSET($O$15,0,$DO47,$B$8,1),OFFSET($M$15,0,0,$B$8,1))=EQ$14))   /   SUM(OFFSET($BO$15,0,0,$B$14,1)) + $B$18/($B$19*$B$19*($DN47&lt;&gt;$DO47) + $B$19*($DN47=$DO47))</f>
        <v>3.7037037037037035E-4</v>
      </c>
      <c r="ER47" s="10" cm="1">
        <f t="array" aca="1" ref="ER47" ca="1">(1-$B$18)*SUMPRODUCT(OFFSET($BO$15,0,0,$B$14,1), 1*(_xlfn._xlws.FILTER(OFFSET($O$15,0,$DN47,$B$8,1),OFFSET($M$15,0,0,$B$8,1))=ER$13), 1*(_xlfn._xlws.FILTER(OFFSET($O$15,0,$DO47,$B$8,1),OFFSET($M$15,0,0,$B$8,1))=ER$14))   /   SUM(OFFSET($BO$15,0,0,$B$14,1)) + $B$18/($B$19*$B$19*($DN47&lt;&gt;$DO47) + $B$19*($DN47=$DO47))</f>
        <v>3.7037037037037035E-4</v>
      </c>
      <c r="ES47" s="10" cm="1">
        <f t="array" aca="1" ref="ES47" ca="1">(1-$B$18)*SUMPRODUCT(OFFSET($BO$15,0,0,$B$14,1), 1*(_xlfn._xlws.FILTER(OFFSET($O$15,0,$DN47,$B$8,1),OFFSET($M$15,0,0,$B$8,1))=ES$13), 1*(_xlfn._xlws.FILTER(OFFSET($O$15,0,$DO47,$B$8,1),OFFSET($M$15,0,0,$B$8,1))=ES$14))   /   SUM(OFFSET($BO$15,0,0,$B$14,1)) + $B$18/($B$19*$B$19*($DN47&lt;&gt;$DO47) + $B$19*($DN47=$DO47))</f>
        <v>3.7037037037037035E-4</v>
      </c>
      <c r="ET47" s="10" cm="1">
        <f t="array" aca="1" ref="ET47" ca="1">(1-$B$18)*SUMPRODUCT(OFFSET($BO$15,0,0,$B$14,1), 1*(_xlfn._xlws.FILTER(OFFSET($O$15,0,$DN47,$B$8,1),OFFSET($M$15,0,0,$B$8,1))=ET$13), 1*(_xlfn._xlws.FILTER(OFFSET($O$15,0,$DO47,$B$8,1),OFFSET($M$15,0,0,$B$8,1))=ET$14))   /   SUM(OFFSET($BO$15,0,0,$B$14,1)) + $B$18/($B$19*$B$19*($DN47&lt;&gt;$DO47) + $B$19*($DN47=$DO47))</f>
        <v>3.7037037037037035E-4</v>
      </c>
      <c r="EU47" s="10" cm="1">
        <f t="array" aca="1" ref="EU47" ca="1">(1-$B$18)*SUMPRODUCT(OFFSET($BO$15,0,0,$B$14,1), 1*(_xlfn._xlws.FILTER(OFFSET($O$15,0,$DN47,$B$8,1),OFFSET($M$15,0,0,$B$8,1))=EU$13), 1*(_xlfn._xlws.FILTER(OFFSET($O$15,0,$DO47,$B$8,1),OFFSET($M$15,0,0,$B$8,1))=EU$14))   /   SUM(OFFSET($BO$15,0,0,$B$14,1)) + $B$18/($B$19*$B$19*($DN47&lt;&gt;$DO47) + $B$19*($DN47=$DO47))</f>
        <v>3.7037037037037035E-4</v>
      </c>
      <c r="EV47" s="10" cm="1">
        <f t="array" aca="1" ref="EV47" ca="1">(1-$B$18)*SUMPRODUCT(OFFSET($BO$15,0,0,$B$14,1), 1*(_xlfn._xlws.FILTER(OFFSET($O$15,0,$DN47,$B$8,1),OFFSET($M$15,0,0,$B$8,1))=EV$13), 1*(_xlfn._xlws.FILTER(OFFSET($O$15,0,$DO47,$B$8,1),OFFSET($M$15,0,0,$B$8,1))=EV$14))   /   SUM(OFFSET($BO$15,0,0,$B$14,1)) + $B$18/($B$19*$B$19*($DN47&lt;&gt;$DO47) + $B$19*($DN47=$DO47))</f>
        <v>3.7037037037037035E-4</v>
      </c>
      <c r="EW47" s="10" cm="1">
        <f t="array" aca="1" ref="EW47" ca="1">(1-$B$18)*SUMPRODUCT(OFFSET($BO$15,0,0,$B$14,1), 1*(_xlfn._xlws.FILTER(OFFSET($O$15,0,$DN47,$B$8,1),OFFSET($M$15,0,0,$B$8,1))=EW$13), 1*(_xlfn._xlws.FILTER(OFFSET($O$15,0,$DO47,$B$8,1),OFFSET($M$15,0,0,$B$8,1))=EW$14))   /   SUM(OFFSET($BO$15,0,0,$B$14,1)) + $B$18/($B$19*$B$19*($DN47&lt;&gt;$DO47) + $B$19*($DN47=$DO47))</f>
        <v>3.7037037037037035E-4</v>
      </c>
      <c r="EX47" s="10" cm="1">
        <f t="array" aca="1" ref="EX47" ca="1">(1-$B$18)*SUMPRODUCT(OFFSET($BO$15,0,0,$B$14,1), 1*(_xlfn._xlws.FILTER(OFFSET($O$15,0,$DN47,$B$8,1),OFFSET($M$15,0,0,$B$8,1))=EX$13), 1*(_xlfn._xlws.FILTER(OFFSET($O$15,0,$DO47,$B$8,1),OFFSET($M$15,0,0,$B$8,1))=EX$14))   /   SUM(OFFSET($BO$15,0,0,$B$14,1)) + $B$18/($B$19*$B$19*($DN47&lt;&gt;$DO47) + $B$19*($DN47=$DO47))</f>
        <v>3.7037037037037035E-4</v>
      </c>
      <c r="EY47" s="10" cm="1">
        <f t="array" aca="1" ref="EY47" ca="1">(1-$B$18)*SUMPRODUCT(OFFSET($BO$15,0,0,$B$14,1), 1*(_xlfn._xlws.FILTER(OFFSET($O$15,0,$DN47,$B$8,1),OFFSET($M$15,0,0,$B$8,1))=EY$13), 1*(_xlfn._xlws.FILTER(OFFSET($O$15,0,$DO47,$B$8,1),OFFSET($M$15,0,0,$B$8,1))=EY$14))   /   SUM(OFFSET($BO$15,0,0,$B$14,1)) + $B$18/($B$19*$B$19*($DN47&lt;&gt;$DO47) + $B$19*($DN47=$DO47))</f>
        <v>3.7037037037037035E-4</v>
      </c>
      <c r="EZ47" s="10" cm="1">
        <f t="array" aca="1" ref="EZ47" ca="1">(1-$B$18)*SUMPRODUCT(OFFSET($BO$15,0,0,$B$14,1), 1*(_xlfn._xlws.FILTER(OFFSET($O$15,0,$DN47,$B$8,1),OFFSET($M$15,0,0,$B$8,1))=EZ$13), 1*(_xlfn._xlws.FILTER(OFFSET($O$15,0,$DO47,$B$8,1),OFFSET($M$15,0,0,$B$8,1))=EZ$14))   /   SUM(OFFSET($BO$15,0,0,$B$14,1)) + $B$18/($B$19*$B$19*($DN47&lt;&gt;$DO47) + $B$19*($DN47=$DO47))</f>
        <v>3.7037037037037035E-4</v>
      </c>
      <c r="FA47" s="10" cm="1">
        <f t="array" aca="1" ref="FA47" ca="1">(1-$B$18)*SUMPRODUCT(OFFSET($BO$15,0,0,$B$14,1), 1*(_xlfn._xlws.FILTER(OFFSET($O$15,0,$DN47,$B$8,1),OFFSET($M$15,0,0,$B$8,1))=FA$13), 1*(_xlfn._xlws.FILTER(OFFSET($O$15,0,$DO47,$B$8,1),OFFSET($M$15,0,0,$B$8,1))=FA$14))   /   SUM(OFFSET($BO$15,0,0,$B$14,1)) + $B$18/($B$19*$B$19*($DN47&lt;&gt;$DO47) + $B$19*($DN47=$DO47))</f>
        <v>3.7037037037037035E-4</v>
      </c>
      <c r="FB47" s="10" cm="1">
        <f t="array" aca="1" ref="FB47" ca="1">(1-$B$18)*SUMPRODUCT(OFFSET($BO$15,0,0,$B$14,1), 1*(_xlfn._xlws.FILTER(OFFSET($O$15,0,$DN47,$B$8,1),OFFSET($M$15,0,0,$B$8,1))=FB$13), 1*(_xlfn._xlws.FILTER(OFFSET($O$15,0,$DO47,$B$8,1),OFFSET($M$15,0,0,$B$8,1))=FB$14))   /   SUM(OFFSET($BO$15,0,0,$B$14,1)) + $B$18/($B$19*$B$19*($DN47&lt;&gt;$DO47) + $B$19*($DN47=$DO47))</f>
        <v>3.7037037037037035E-4</v>
      </c>
      <c r="FC47" s="10" cm="1">
        <f t="array" aca="1" ref="FC47" ca="1">(1-$B$18)*SUMPRODUCT(OFFSET($BO$15,0,0,$B$14,1), 1*(_xlfn._xlws.FILTER(OFFSET($O$15,0,$DN47,$B$8,1),OFFSET($M$15,0,0,$B$8,1))=FC$13), 1*(_xlfn._xlws.FILTER(OFFSET($O$15,0,$DO47,$B$8,1),OFFSET($M$15,0,0,$B$8,1))=FC$14))   /   SUM(OFFSET($BO$15,0,0,$B$14,1)) + $B$18/($B$19*$B$19*($DN47&lt;&gt;$DO47) + $B$19*($DN47=$DO47))</f>
        <v>3.7037037037037035E-4</v>
      </c>
      <c r="FD47" s="10" cm="1">
        <f t="array" aca="1" ref="FD47" ca="1">(1-$B$18)*SUMPRODUCT(OFFSET($BO$15,0,0,$B$14,1), 1*(_xlfn._xlws.FILTER(OFFSET($O$15,0,$DN47,$B$8,1),OFFSET($M$15,0,0,$B$8,1))=FD$13), 1*(_xlfn._xlws.FILTER(OFFSET($O$15,0,$DO47,$B$8,1),OFFSET($M$15,0,0,$B$8,1))=FD$14))   /   SUM(OFFSET($BO$15,0,0,$B$14,1)) + $B$18/($B$19*$B$19*($DN47&lt;&gt;$DO47) + $B$19*($DN47=$DO47))</f>
        <v>3.7037037037037035E-4</v>
      </c>
      <c r="FE47" s="10" cm="1">
        <f t="array" aca="1" ref="FE47" ca="1">(1-$B$18)*SUMPRODUCT(OFFSET($BO$15,0,0,$B$14,1), 1*(_xlfn._xlws.FILTER(OFFSET($O$15,0,$DN47,$B$8,1),OFFSET($M$15,0,0,$B$8,1))=FE$13), 1*(_xlfn._xlws.FILTER(OFFSET($O$15,0,$DO47,$B$8,1),OFFSET($M$15,0,0,$B$8,1))=FE$14))   /   SUM(OFFSET($BO$15,0,0,$B$14,1)) + $B$18/($B$19*$B$19*($DN47&lt;&gt;$DO47) + $B$19*($DN47=$DO47))</f>
        <v>3.7037037037037035E-4</v>
      </c>
      <c r="FF47" s="10" cm="1">
        <f t="array" aca="1" ref="FF47" ca="1">(1-$B$18)*SUMPRODUCT(OFFSET($BO$15,0,0,$B$14,1), 1*(_xlfn._xlws.FILTER(OFFSET($O$15,0,$DN47,$B$8,1),OFFSET($M$15,0,0,$B$8,1))=FF$13), 1*(_xlfn._xlws.FILTER(OFFSET($O$15,0,$DO47,$B$8,1),OFFSET($M$15,0,0,$B$8,1))=FF$14))   /   SUM(OFFSET($BO$15,0,0,$B$14,1)) + $B$18/($B$19*$B$19*($DN47&lt;&gt;$DO47) + $B$19*($DN47=$DO47))</f>
        <v>3.7037037037037035E-4</v>
      </c>
      <c r="FG47" s="10" cm="1">
        <f t="array" aca="1" ref="FG47" ca="1">(1-$B$18)*SUMPRODUCT(OFFSET($BO$15,0,0,$B$14,1), 1*(_xlfn._xlws.FILTER(OFFSET($O$15,0,$DN47,$B$8,1),OFFSET($M$15,0,0,$B$8,1))=FG$13), 1*(_xlfn._xlws.FILTER(OFFSET($O$15,0,$DO47,$B$8,1),OFFSET($M$15,0,0,$B$8,1))=FG$14))   /   SUM(OFFSET($BO$15,0,0,$B$14,1)) + $B$18/($B$19*$B$19*($DN47&lt;&gt;$DO47) + $B$19*($DN47=$DO47))</f>
        <v>3.7037037037037035E-4</v>
      </c>
      <c r="FH47" s="10" cm="1">
        <f t="array" aca="1" ref="FH47" ca="1">(1-$B$18)*SUMPRODUCT(OFFSET($BO$15,0,0,$B$14,1), 1*(_xlfn._xlws.FILTER(OFFSET($O$15,0,$DN47,$B$8,1),OFFSET($M$15,0,0,$B$8,1))=FH$13), 1*(_xlfn._xlws.FILTER(OFFSET($O$15,0,$DO47,$B$8,1),OFFSET($M$15,0,0,$B$8,1))=FH$14))   /   SUM(OFFSET($BO$15,0,0,$B$14,1)) + $B$18/($B$19*$B$19*($DN47&lt;&gt;$DO47) + $B$19*($DN47=$DO47))</f>
        <v>3.7037037037037035E-4</v>
      </c>
      <c r="FI47" s="10" cm="1">
        <f t="array" aca="1" ref="FI47" ca="1">(1-$B$18)*SUMPRODUCT(OFFSET($BO$15,0,0,$B$14,1), 1*(_xlfn._xlws.FILTER(OFFSET($O$15,0,$DN47,$B$8,1),OFFSET($M$15,0,0,$B$8,1))=FI$13), 1*(_xlfn._xlws.FILTER(OFFSET($O$15,0,$DO47,$B$8,1),OFFSET($M$15,0,0,$B$8,1))=FI$14))   /   SUM(OFFSET($BO$15,0,0,$B$14,1)) + $B$18/($B$19*$B$19*($DN47&lt;&gt;$DO47) + $B$19*($DN47=$DO47))</f>
        <v>3.7037037037037035E-4</v>
      </c>
      <c r="FJ47" s="10" cm="1">
        <f t="array" aca="1" ref="FJ47" ca="1">(1-$B$18)*SUMPRODUCT(OFFSET($BO$15,0,0,$B$14,1), 1*(_xlfn._xlws.FILTER(OFFSET($O$15,0,$DN47,$B$8,1),OFFSET($M$15,0,0,$B$8,1))=FJ$13), 1*(_xlfn._xlws.FILTER(OFFSET($O$15,0,$DO47,$B$8,1),OFFSET($M$15,0,0,$B$8,1))=FJ$14))   /   SUM(OFFSET($BO$15,0,0,$B$14,1)) + $B$18/($B$19*$B$19*($DN47&lt;&gt;$DO47) + $B$19*($DN47=$DO47))</f>
        <v>3.7037037037037035E-4</v>
      </c>
      <c r="FK47" s="10" cm="1">
        <f t="array" aca="1" ref="FK47" ca="1">(1-$B$18)*SUMPRODUCT(OFFSET($BO$15,0,0,$B$14,1), 1*(_xlfn._xlws.FILTER(OFFSET($O$15,0,$DN47,$B$8,1),OFFSET($M$15,0,0,$B$8,1))=FK$13), 1*(_xlfn._xlws.FILTER(OFFSET($O$15,0,$DO47,$B$8,1),OFFSET($M$15,0,0,$B$8,1))=FK$14))   /   SUM(OFFSET($BO$15,0,0,$B$14,1)) + $B$18/($B$19*$B$19*($DN47&lt;&gt;$DO47) + $B$19*($DN47=$DO47))</f>
        <v>3.7037037037037035E-4</v>
      </c>
      <c r="FL47" s="10" cm="1">
        <f t="array" aca="1" ref="FL47" ca="1">(1-$B$18)*SUMPRODUCT(OFFSET($BO$15,0,0,$B$14,1), 1*(_xlfn._xlws.FILTER(OFFSET($O$15,0,$DN47,$B$8,1),OFFSET($M$15,0,0,$B$8,1))=FL$13), 1*(_xlfn._xlws.FILTER(OFFSET($O$15,0,$DO47,$B$8,1),OFFSET($M$15,0,0,$B$8,1))=FL$14))   /   SUM(OFFSET($BO$15,0,0,$B$14,1)) + $B$18/($B$19*$B$19*($DN47&lt;&gt;$DO47) + $B$19*($DN47=$DO47))</f>
        <v>3.7037037037037035E-4</v>
      </c>
      <c r="FM47" s="10" cm="1">
        <f t="array" aca="1" ref="FM47" ca="1">(1-$B$18)*SUMPRODUCT(OFFSET($BO$15,0,0,$B$14,1), 1*(_xlfn._xlws.FILTER(OFFSET($O$15,0,$DN47,$B$8,1),OFFSET($M$15,0,0,$B$8,1))=FM$13), 1*(_xlfn._xlws.FILTER(OFFSET($O$15,0,$DO47,$B$8,1),OFFSET($M$15,0,0,$B$8,1))=FM$14))   /   SUM(OFFSET($BO$15,0,0,$B$14,1)) + $B$18/($B$19*$B$19*($DN47&lt;&gt;$DO47) + $B$19*($DN47=$DO47))</f>
        <v>3.7037037037037035E-4</v>
      </c>
      <c r="FN47" s="10" cm="1">
        <f t="array" aca="1" ref="FN47" ca="1">(1-$B$18)*SUMPRODUCT(OFFSET($BO$15,0,0,$B$14,1), 1*(_xlfn._xlws.FILTER(OFFSET($O$15,0,$DN47,$B$8,1),OFFSET($M$15,0,0,$B$8,1))=FN$13), 1*(_xlfn._xlws.FILTER(OFFSET($O$15,0,$DO47,$B$8,1),OFFSET($M$15,0,0,$B$8,1))=FN$14))   /   SUM(OFFSET($BO$15,0,0,$B$14,1)) + $B$18/($B$19*$B$19*($DN47&lt;&gt;$DO47) + $B$19*($DN47=$DO47))</f>
        <v>0.97037037037037033</v>
      </c>
      <c r="FO47" s="10" cm="1">
        <f t="array" aca="1" ref="FO47" ca="1">(1-$B$18)*SUMPRODUCT(OFFSET($BO$15,0,0,$B$14,1), 1*(_xlfn._xlws.FILTER(OFFSET($O$15,0,$DN47,$B$8,1),OFFSET($M$15,0,0,$B$8,1))=FO$13), 1*(_xlfn._xlws.FILTER(OFFSET($O$15,0,$DO47,$B$8,1),OFFSET($M$15,0,0,$B$8,1))=FO$14))   /   SUM(OFFSET($BO$15,0,0,$B$14,1)) + $B$18/($B$19*$B$19*($DN47&lt;&gt;$DO47) + $B$19*($DN47=$DO47))</f>
        <v>3.7037037037037035E-4</v>
      </c>
      <c r="FP47" s="10" cm="1">
        <f t="array" aca="1" ref="FP47" ca="1">(1-$B$18)*SUMPRODUCT(OFFSET($BO$15,0,0,$B$14,1), 1*(_xlfn._xlws.FILTER(OFFSET($O$15,0,$DN47,$B$8,1),OFFSET($M$15,0,0,$B$8,1))=FP$13), 1*(_xlfn._xlws.FILTER(OFFSET($O$15,0,$DO47,$B$8,1),OFFSET($M$15,0,0,$B$8,1))=FP$14))   /   SUM(OFFSET($BO$15,0,0,$B$14,1)) + $B$18/($B$19*$B$19*($DN47&lt;&gt;$DO47) + $B$19*($DN47=$DO47))</f>
        <v>3.7037037037037035E-4</v>
      </c>
      <c r="FQ47" s="10" cm="1">
        <f t="array" aca="1" ref="FQ47" ca="1">(1-$B$18)*SUMPRODUCT(OFFSET($BO$15,0,0,$B$14,1), 1*(_xlfn._xlws.FILTER(OFFSET($O$15,0,$DN47,$B$8,1),OFFSET($M$15,0,0,$B$8,1))=FQ$13), 1*(_xlfn._xlws.FILTER(OFFSET($O$15,0,$DO47,$B$8,1),OFFSET($M$15,0,0,$B$8,1))=FQ$14))   /   SUM(OFFSET($BO$15,0,0,$B$14,1)) + $B$18/($B$19*$B$19*($DN47&lt;&gt;$DO47) + $B$19*($DN47=$DO47))</f>
        <v>3.7037037037037035E-4</v>
      </c>
      <c r="FR47" s="10" cm="1">
        <f t="array" aca="1" ref="FR47" ca="1">(1-$B$18)*SUMPRODUCT(OFFSET($BO$15,0,0,$B$14,1), 1*(_xlfn._xlws.FILTER(OFFSET($O$15,0,$DN47,$B$8,1),OFFSET($M$15,0,0,$B$8,1))=FR$13), 1*(_xlfn._xlws.FILTER(OFFSET($O$15,0,$DO47,$B$8,1),OFFSET($M$15,0,0,$B$8,1))=FR$14))   /   SUM(OFFSET($BO$15,0,0,$B$14,1)) + $B$18/($B$19*$B$19*($DN47&lt;&gt;$DO47) + $B$19*($DN47=$DO47))</f>
        <v>3.7037037037037035E-4</v>
      </c>
      <c r="FS47" s="10" cm="1">
        <f t="array" aca="1" ref="FS47" ca="1">(1-$B$18)*SUMPRODUCT(OFFSET($BO$15,0,0,$B$14,1), 1*(_xlfn._xlws.FILTER(OFFSET($O$15,0,$DN47,$B$8,1),OFFSET($M$15,0,0,$B$8,1))=FS$13), 1*(_xlfn._xlws.FILTER(OFFSET($O$15,0,$DO47,$B$8,1),OFFSET($M$15,0,0,$B$8,1))=FS$14))   /   SUM(OFFSET($BO$15,0,0,$B$14,1)) + $B$18/($B$19*$B$19*($DN47&lt;&gt;$DO47) + $B$19*($DN47=$DO47))</f>
        <v>3.7037037037037035E-4</v>
      </c>
      <c r="FT47" s="10" cm="1">
        <f t="array" aca="1" ref="FT47" ca="1">(1-$B$18)*SUMPRODUCT(OFFSET($BO$15,0,0,$B$14,1), 1*(_xlfn._xlws.FILTER(OFFSET($O$15,0,$DN47,$B$8,1),OFFSET($M$15,0,0,$B$8,1))=FT$13), 1*(_xlfn._xlws.FILTER(OFFSET($O$15,0,$DO47,$B$8,1),OFFSET($M$15,0,0,$B$8,1))=FT$14))   /   SUM(OFFSET($BO$15,0,0,$B$14,1)) + $B$18/($B$19*$B$19*($DN47&lt;&gt;$DO47) + $B$19*($DN47=$DO47))</f>
        <v>3.7037037037037035E-4</v>
      </c>
      <c r="FU47" s="10" cm="1">
        <f t="array" aca="1" ref="FU47" ca="1">(1-$B$18)*SUMPRODUCT(OFFSET($BO$15,0,0,$B$14,1), 1*(_xlfn._xlws.FILTER(OFFSET($O$15,0,$DN47,$B$8,1),OFFSET($M$15,0,0,$B$8,1))=FU$13), 1*(_xlfn._xlws.FILTER(OFFSET($O$15,0,$DO47,$B$8,1),OFFSET($M$15,0,0,$B$8,1))=FU$14))   /   SUM(OFFSET($BO$15,0,0,$B$14,1)) + $B$18/($B$19*$B$19*($DN47&lt;&gt;$DO47) + $B$19*($DN47=$DO47))</f>
        <v>3.7037037037037035E-4</v>
      </c>
      <c r="FV47" s="10" cm="1">
        <f t="array" aca="1" ref="FV47" ca="1">(1-$B$18)*SUMPRODUCT(OFFSET($BO$15,0,0,$B$14,1), 1*(_xlfn._xlws.FILTER(OFFSET($O$15,0,$DN47,$B$8,1),OFFSET($M$15,0,0,$B$8,1))=FV$13), 1*(_xlfn._xlws.FILTER(OFFSET($O$15,0,$DO47,$B$8,1),OFFSET($M$15,0,0,$B$8,1))=FV$14))   /   SUM(OFFSET($BO$15,0,0,$B$14,1)) + $B$18/($B$19*$B$19*($DN47&lt;&gt;$DO47) + $B$19*($DN47=$DO47))</f>
        <v>3.7037037037037035E-4</v>
      </c>
      <c r="FW47" s="10" cm="1">
        <f t="array" aca="1" ref="FW47" ca="1">(1-$B$18)*SUMPRODUCT(OFFSET($BO$15,0,0,$B$14,1), 1*(_xlfn._xlws.FILTER(OFFSET($O$15,0,$DN47,$B$8,1),OFFSET($M$15,0,0,$B$8,1))=FW$13), 1*(_xlfn._xlws.FILTER(OFFSET($O$15,0,$DO47,$B$8,1),OFFSET($M$15,0,0,$B$8,1))=FW$14))   /   SUM(OFFSET($BO$15,0,0,$B$14,1)) + $B$18/($B$19*$B$19*($DN47&lt;&gt;$DO47) + $B$19*($DN47=$DO47))</f>
        <v>3.7037037037037035E-4</v>
      </c>
      <c r="FX47" s="10" cm="1">
        <f t="array" aca="1" ref="FX47" ca="1">(1-$B$18)*SUMPRODUCT(OFFSET($BO$15,0,0,$B$14,1), 1*(_xlfn._xlws.FILTER(OFFSET($O$15,0,$DN47,$B$8,1),OFFSET($M$15,0,0,$B$8,1))=FX$13), 1*(_xlfn._xlws.FILTER(OFFSET($O$15,0,$DO47,$B$8,1),OFFSET($M$15,0,0,$B$8,1))=FX$14))   /   SUM(OFFSET($BO$15,0,0,$B$14,1)) + $B$18/($B$19*$B$19*($DN47&lt;&gt;$DO47) + $B$19*($DN47=$DO47))</f>
        <v>3.7037037037037035E-4</v>
      </c>
      <c r="FY47" s="10" cm="1">
        <f t="array" aca="1" ref="FY47" ca="1">(1-$B$18)*SUMPRODUCT(OFFSET($BO$15,0,0,$B$14,1), 1*(_xlfn._xlws.FILTER(OFFSET($O$15,0,$DN47,$B$8,1),OFFSET($M$15,0,0,$B$8,1))=FY$13), 1*(_xlfn._xlws.FILTER(OFFSET($O$15,0,$DO47,$B$8,1),OFFSET($M$15,0,0,$B$8,1))=FY$14))   /   SUM(OFFSET($BO$15,0,0,$B$14,1)) + $B$18/($B$19*$B$19*($DN47&lt;&gt;$DO47) + $B$19*($DN47=$DO47))</f>
        <v>3.7037037037037035E-4</v>
      </c>
      <c r="FZ47" s="10" cm="1">
        <f t="array" aca="1" ref="FZ47" ca="1">(1-$B$18)*SUMPRODUCT(OFFSET($BO$15,0,0,$B$14,1), 1*(_xlfn._xlws.FILTER(OFFSET($O$15,0,$DN47,$B$8,1),OFFSET($M$15,0,0,$B$8,1))=FZ$13), 1*(_xlfn._xlws.FILTER(OFFSET($O$15,0,$DO47,$B$8,1),OFFSET($M$15,0,0,$B$8,1))=FZ$14))   /   SUM(OFFSET($BO$15,0,0,$B$14,1)) + $B$18/($B$19*$B$19*($DN47&lt;&gt;$DO47) + $B$19*($DN47=$DO47))</f>
        <v>3.7037037037037035E-4</v>
      </c>
      <c r="GA47" s="10" cm="1">
        <f t="array" aca="1" ref="GA47" ca="1">(1-$B$18)*SUMPRODUCT(OFFSET($BO$15,0,0,$B$14,1), 1*(_xlfn._xlws.FILTER(OFFSET($O$15,0,$DN47,$B$8,1),OFFSET($M$15,0,0,$B$8,1))=GA$13), 1*(_xlfn._xlws.FILTER(OFFSET($O$15,0,$DO47,$B$8,1),OFFSET($M$15,0,0,$B$8,1))=GA$14))   /   SUM(OFFSET($BO$15,0,0,$B$14,1)) + $B$18/($B$19*$B$19*($DN47&lt;&gt;$DO47) + $B$19*($DN47=$DO47))</f>
        <v>3.7037037037037035E-4</v>
      </c>
    </row>
    <row r="48" spans="4:183" x14ac:dyDescent="0.2">
      <c r="AK48" s="2"/>
      <c r="AL48" s="2"/>
      <c r="CX48">
        <f ca="1"/>
        <v>0.1</v>
      </c>
      <c r="CY48">
        <f ca="1"/>
        <v>0</v>
      </c>
      <c r="DN48" cm="1">
        <f t="array" aca="1" ref="DN48" ca="1">INDEX(_xlfn.ANCHORARRAY($CP$15), 1 + INT((ROWS($DO$15:$DO48) - 1) / ROWS(_xlfn.ANCHORARRAY($CP$15))))</f>
        <v>1</v>
      </c>
      <c r="DO48" cm="1">
        <f t="array" aca="1" ref="DO48" ca="1">INDEX(_xlfn.ANCHORARRAY($CP$15),1+MOD(ROWS($DO$15:$DO48)-1,ROWS(_xlfn.ANCHORARRAY($CP$15))))</f>
        <v>15</v>
      </c>
      <c r="DP48" s="10" cm="1">
        <f t="array" aca="1" ref="DP48" ca="1">(1-$B$18)*SUMPRODUCT(OFFSET($BO$15,0,0,$B$14,1), 1*(_xlfn._xlws.FILTER(OFFSET($O$15,0,$DN48,$B$8,1),OFFSET($M$15,0,0,$B$8,1))=DP$13), 1*(_xlfn._xlws.FILTER(OFFSET($O$15,0,$DO48,$B$8,1),OFFSET($M$15,0,0,$B$8,1))=DP$14))   /   SUM(OFFSET($BO$15,0,0,$B$14,1)) + $B$18/($B$19*$B$19*($DN48&lt;&gt;$DO48) + $B$19*($DN48=$DO48))</f>
        <v>3.7037037037037035E-4</v>
      </c>
      <c r="DQ48" s="10" cm="1">
        <f t="array" aca="1" ref="DQ48" ca="1">(1-$B$18)*SUMPRODUCT(OFFSET($BO$15,0,0,$B$14,1), 1*(_xlfn._xlws.FILTER(OFFSET($O$15,0,$DN48,$B$8,1),OFFSET($M$15,0,0,$B$8,1))=DQ$13), 1*(_xlfn._xlws.FILTER(OFFSET($O$15,0,$DO48,$B$8,1),OFFSET($M$15,0,0,$B$8,1))=DQ$14))   /   SUM(OFFSET($BO$15,0,0,$B$14,1)) + $B$18/($B$19*$B$19*($DN48&lt;&gt;$DO48) + $B$19*($DN48=$DO48))</f>
        <v>3.7037037037037035E-4</v>
      </c>
      <c r="DR48" s="10" cm="1">
        <f t="array" aca="1" ref="DR48" ca="1">(1-$B$18)*SUMPRODUCT(OFFSET($BO$15,0,0,$B$14,1), 1*(_xlfn._xlws.FILTER(OFFSET($O$15,0,$DN48,$B$8,1),OFFSET($M$15,0,0,$B$8,1))=DR$13), 1*(_xlfn._xlws.FILTER(OFFSET($O$15,0,$DO48,$B$8,1),OFFSET($M$15,0,0,$B$8,1))=DR$14))   /   SUM(OFFSET($BO$15,0,0,$B$14,1)) + $B$18/($B$19*$B$19*($DN48&lt;&gt;$DO48) + $B$19*($DN48=$DO48))</f>
        <v>3.7037037037037035E-4</v>
      </c>
      <c r="DS48" s="10" cm="1">
        <f t="array" aca="1" ref="DS48" ca="1">(1-$B$18)*SUMPRODUCT(OFFSET($BO$15,0,0,$B$14,1), 1*(_xlfn._xlws.FILTER(OFFSET($O$15,0,$DN48,$B$8,1),OFFSET($M$15,0,0,$B$8,1))=DS$13), 1*(_xlfn._xlws.FILTER(OFFSET($O$15,0,$DO48,$B$8,1),OFFSET($M$15,0,0,$B$8,1))=DS$14))   /   SUM(OFFSET($BO$15,0,0,$B$14,1)) + $B$18/($B$19*$B$19*($DN48&lt;&gt;$DO48) + $B$19*($DN48=$DO48))</f>
        <v>3.7037037037037035E-4</v>
      </c>
      <c r="DT48" s="10" cm="1">
        <f t="array" aca="1" ref="DT48" ca="1">(1-$B$18)*SUMPRODUCT(OFFSET($BO$15,0,0,$B$14,1), 1*(_xlfn._xlws.FILTER(OFFSET($O$15,0,$DN48,$B$8,1),OFFSET($M$15,0,0,$B$8,1))=DT$13), 1*(_xlfn._xlws.FILTER(OFFSET($O$15,0,$DO48,$B$8,1),OFFSET($M$15,0,0,$B$8,1))=DT$14))   /   SUM(OFFSET($BO$15,0,0,$B$14,1)) + $B$18/($B$19*$B$19*($DN48&lt;&gt;$DO48) + $B$19*($DN48=$DO48))</f>
        <v>3.7037037037037035E-4</v>
      </c>
      <c r="DU48" s="10" cm="1">
        <f t="array" aca="1" ref="DU48" ca="1">(1-$B$18)*SUMPRODUCT(OFFSET($BO$15,0,0,$B$14,1), 1*(_xlfn._xlws.FILTER(OFFSET($O$15,0,$DN48,$B$8,1),OFFSET($M$15,0,0,$B$8,1))=DU$13), 1*(_xlfn._xlws.FILTER(OFFSET($O$15,0,$DO48,$B$8,1),OFFSET($M$15,0,0,$B$8,1))=DU$14))   /   SUM(OFFSET($BO$15,0,0,$B$14,1)) + $B$18/($B$19*$B$19*($DN48&lt;&gt;$DO48) + $B$19*($DN48=$DO48))</f>
        <v>3.7037037037037035E-4</v>
      </c>
      <c r="DV48" s="10" cm="1">
        <f t="array" aca="1" ref="DV48" ca="1">(1-$B$18)*SUMPRODUCT(OFFSET($BO$15,0,0,$B$14,1), 1*(_xlfn._xlws.FILTER(OFFSET($O$15,0,$DN48,$B$8,1),OFFSET($M$15,0,0,$B$8,1))=DV$13), 1*(_xlfn._xlws.FILTER(OFFSET($O$15,0,$DO48,$B$8,1),OFFSET($M$15,0,0,$B$8,1))=DV$14))   /   SUM(OFFSET($BO$15,0,0,$B$14,1)) + $B$18/($B$19*$B$19*($DN48&lt;&gt;$DO48) + $B$19*($DN48=$DO48))</f>
        <v>3.7037037037037035E-4</v>
      </c>
      <c r="DW48" s="10" cm="1">
        <f t="array" aca="1" ref="DW48" ca="1">(1-$B$18)*SUMPRODUCT(OFFSET($BO$15,0,0,$B$14,1), 1*(_xlfn._xlws.FILTER(OFFSET($O$15,0,$DN48,$B$8,1),OFFSET($M$15,0,0,$B$8,1))=DW$13), 1*(_xlfn._xlws.FILTER(OFFSET($O$15,0,$DO48,$B$8,1),OFFSET($M$15,0,0,$B$8,1))=DW$14))   /   SUM(OFFSET($BO$15,0,0,$B$14,1)) + $B$18/($B$19*$B$19*($DN48&lt;&gt;$DO48) + $B$19*($DN48=$DO48))</f>
        <v>3.7037037037037035E-4</v>
      </c>
      <c r="DX48" s="10" cm="1">
        <f t="array" aca="1" ref="DX48" ca="1">(1-$B$18)*SUMPRODUCT(OFFSET($BO$15,0,0,$B$14,1), 1*(_xlfn._xlws.FILTER(OFFSET($O$15,0,$DN48,$B$8,1),OFFSET($M$15,0,0,$B$8,1))=DX$13), 1*(_xlfn._xlws.FILTER(OFFSET($O$15,0,$DO48,$B$8,1),OFFSET($M$15,0,0,$B$8,1))=DX$14))   /   SUM(OFFSET($BO$15,0,0,$B$14,1)) + $B$18/($B$19*$B$19*($DN48&lt;&gt;$DO48) + $B$19*($DN48=$DO48))</f>
        <v>3.7037037037037035E-4</v>
      </c>
      <c r="DY48" s="10" cm="1">
        <f t="array" aca="1" ref="DY48" ca="1">(1-$B$18)*SUMPRODUCT(OFFSET($BO$15,0,0,$B$14,1), 1*(_xlfn._xlws.FILTER(OFFSET($O$15,0,$DN48,$B$8,1),OFFSET($M$15,0,0,$B$8,1))=DY$13), 1*(_xlfn._xlws.FILTER(OFFSET($O$15,0,$DO48,$B$8,1),OFFSET($M$15,0,0,$B$8,1))=DY$14))   /   SUM(OFFSET($BO$15,0,0,$B$14,1)) + $B$18/($B$19*$B$19*($DN48&lt;&gt;$DO48) + $B$19*($DN48=$DO48))</f>
        <v>3.7037037037037035E-4</v>
      </c>
      <c r="DZ48" s="10" cm="1">
        <f t="array" aca="1" ref="DZ48" ca="1">(1-$B$18)*SUMPRODUCT(OFFSET($BO$15,0,0,$B$14,1), 1*(_xlfn._xlws.FILTER(OFFSET($O$15,0,$DN48,$B$8,1),OFFSET($M$15,0,0,$B$8,1))=DZ$13), 1*(_xlfn._xlws.FILTER(OFFSET($O$15,0,$DO48,$B$8,1),OFFSET($M$15,0,0,$B$8,1))=DZ$14))   /   SUM(OFFSET($BO$15,0,0,$B$14,1)) + $B$18/($B$19*$B$19*($DN48&lt;&gt;$DO48) + $B$19*($DN48=$DO48))</f>
        <v>3.7037037037037035E-4</v>
      </c>
      <c r="EA48" s="10" cm="1">
        <f t="array" aca="1" ref="EA48" ca="1">(1-$B$18)*SUMPRODUCT(OFFSET($BO$15,0,0,$B$14,1), 1*(_xlfn._xlws.FILTER(OFFSET($O$15,0,$DN48,$B$8,1),OFFSET($M$15,0,0,$B$8,1))=EA$13), 1*(_xlfn._xlws.FILTER(OFFSET($O$15,0,$DO48,$B$8,1),OFFSET($M$15,0,0,$B$8,1))=EA$14))   /   SUM(OFFSET($BO$15,0,0,$B$14,1)) + $B$18/($B$19*$B$19*($DN48&lt;&gt;$DO48) + $B$19*($DN48=$DO48))</f>
        <v>3.7037037037037035E-4</v>
      </c>
      <c r="EB48" s="10" cm="1">
        <f t="array" aca="1" ref="EB48" ca="1">(1-$B$18)*SUMPRODUCT(OFFSET($BO$15,0,0,$B$14,1), 1*(_xlfn._xlws.FILTER(OFFSET($O$15,0,$DN48,$B$8,1),OFFSET($M$15,0,0,$B$8,1))=EB$13), 1*(_xlfn._xlws.FILTER(OFFSET($O$15,0,$DO48,$B$8,1),OFFSET($M$15,0,0,$B$8,1))=EB$14))   /   SUM(OFFSET($BO$15,0,0,$B$14,1)) + $B$18/($B$19*$B$19*($DN48&lt;&gt;$DO48) + $B$19*($DN48=$DO48))</f>
        <v>3.7037037037037035E-4</v>
      </c>
      <c r="EC48" s="10" cm="1">
        <f t="array" aca="1" ref="EC48" ca="1">(1-$B$18)*SUMPRODUCT(OFFSET($BO$15,0,0,$B$14,1), 1*(_xlfn._xlws.FILTER(OFFSET($O$15,0,$DN48,$B$8,1),OFFSET($M$15,0,0,$B$8,1))=EC$13), 1*(_xlfn._xlws.FILTER(OFFSET($O$15,0,$DO48,$B$8,1),OFFSET($M$15,0,0,$B$8,1))=EC$14))   /   SUM(OFFSET($BO$15,0,0,$B$14,1)) + $B$18/($B$19*$B$19*($DN48&lt;&gt;$DO48) + $B$19*($DN48=$DO48))</f>
        <v>3.7037037037037035E-4</v>
      </c>
      <c r="ED48" s="10" cm="1">
        <f t="array" aca="1" ref="ED48" ca="1">(1-$B$18)*SUMPRODUCT(OFFSET($BO$15,0,0,$B$14,1), 1*(_xlfn._xlws.FILTER(OFFSET($O$15,0,$DN48,$B$8,1),OFFSET($M$15,0,0,$B$8,1))=ED$13), 1*(_xlfn._xlws.FILTER(OFFSET($O$15,0,$DO48,$B$8,1),OFFSET($M$15,0,0,$B$8,1))=ED$14))   /   SUM(OFFSET($BO$15,0,0,$B$14,1)) + $B$18/($B$19*$B$19*($DN48&lt;&gt;$DO48) + $B$19*($DN48=$DO48))</f>
        <v>3.7037037037037035E-4</v>
      </c>
      <c r="EE48" s="10" cm="1">
        <f t="array" aca="1" ref="EE48" ca="1">(1-$B$18)*SUMPRODUCT(OFFSET($BO$15,0,0,$B$14,1), 1*(_xlfn._xlws.FILTER(OFFSET($O$15,0,$DN48,$B$8,1),OFFSET($M$15,0,0,$B$8,1))=EE$13), 1*(_xlfn._xlws.FILTER(OFFSET($O$15,0,$DO48,$B$8,1),OFFSET($M$15,0,0,$B$8,1))=EE$14))   /   SUM(OFFSET($BO$15,0,0,$B$14,1)) + $B$18/($B$19*$B$19*($DN48&lt;&gt;$DO48) + $B$19*($DN48=$DO48))</f>
        <v>3.7037037037037035E-4</v>
      </c>
      <c r="EF48" s="10" cm="1">
        <f t="array" aca="1" ref="EF48" ca="1">(1-$B$18)*SUMPRODUCT(OFFSET($BO$15,0,0,$B$14,1), 1*(_xlfn._xlws.FILTER(OFFSET($O$15,0,$DN48,$B$8,1),OFFSET($M$15,0,0,$B$8,1))=EF$13), 1*(_xlfn._xlws.FILTER(OFFSET($O$15,0,$DO48,$B$8,1),OFFSET($M$15,0,0,$B$8,1))=EF$14))   /   SUM(OFFSET($BO$15,0,0,$B$14,1)) + $B$18/($B$19*$B$19*($DN48&lt;&gt;$DO48) + $B$19*($DN48=$DO48))</f>
        <v>3.7037037037037035E-4</v>
      </c>
      <c r="EG48" s="10" cm="1">
        <f t="array" aca="1" ref="EG48" ca="1">(1-$B$18)*SUMPRODUCT(OFFSET($BO$15,0,0,$B$14,1), 1*(_xlfn._xlws.FILTER(OFFSET($O$15,0,$DN48,$B$8,1),OFFSET($M$15,0,0,$B$8,1))=EG$13), 1*(_xlfn._xlws.FILTER(OFFSET($O$15,0,$DO48,$B$8,1),OFFSET($M$15,0,0,$B$8,1))=EG$14))   /   SUM(OFFSET($BO$15,0,0,$B$14,1)) + $B$18/($B$19*$B$19*($DN48&lt;&gt;$DO48) + $B$19*($DN48=$DO48))</f>
        <v>3.7037037037037035E-4</v>
      </c>
      <c r="EH48" s="10" cm="1">
        <f t="array" aca="1" ref="EH48" ca="1">(1-$B$18)*SUMPRODUCT(OFFSET($BO$15,0,0,$B$14,1), 1*(_xlfn._xlws.FILTER(OFFSET($O$15,0,$DN48,$B$8,1),OFFSET($M$15,0,0,$B$8,1))=EH$13), 1*(_xlfn._xlws.FILTER(OFFSET($O$15,0,$DO48,$B$8,1),OFFSET($M$15,0,0,$B$8,1))=EH$14))   /   SUM(OFFSET($BO$15,0,0,$B$14,1)) + $B$18/($B$19*$B$19*($DN48&lt;&gt;$DO48) + $B$19*($DN48=$DO48))</f>
        <v>3.7037037037037035E-4</v>
      </c>
      <c r="EI48" s="10" cm="1">
        <f t="array" aca="1" ref="EI48" ca="1">(1-$B$18)*SUMPRODUCT(OFFSET($BO$15,0,0,$B$14,1), 1*(_xlfn._xlws.FILTER(OFFSET($O$15,0,$DN48,$B$8,1),OFFSET($M$15,0,0,$B$8,1))=EI$13), 1*(_xlfn._xlws.FILTER(OFFSET($O$15,0,$DO48,$B$8,1),OFFSET($M$15,0,0,$B$8,1))=EI$14))   /   SUM(OFFSET($BO$15,0,0,$B$14,1)) + $B$18/($B$19*$B$19*($DN48&lt;&gt;$DO48) + $B$19*($DN48=$DO48))</f>
        <v>3.7037037037037035E-4</v>
      </c>
      <c r="EJ48" s="10" cm="1">
        <f t="array" aca="1" ref="EJ48" ca="1">(1-$B$18)*SUMPRODUCT(OFFSET($BO$15,0,0,$B$14,1), 1*(_xlfn._xlws.FILTER(OFFSET($O$15,0,$DN48,$B$8,1),OFFSET($M$15,0,0,$B$8,1))=EJ$13), 1*(_xlfn._xlws.FILTER(OFFSET($O$15,0,$DO48,$B$8,1),OFFSET($M$15,0,0,$B$8,1))=EJ$14))   /   SUM(OFFSET($BO$15,0,0,$B$14,1)) + $B$18/($B$19*$B$19*($DN48&lt;&gt;$DO48) + $B$19*($DN48=$DO48))</f>
        <v>3.7037037037037035E-4</v>
      </c>
      <c r="EK48" s="10" cm="1">
        <f t="array" aca="1" ref="EK48" ca="1">(1-$B$18)*SUMPRODUCT(OFFSET($BO$15,0,0,$B$14,1), 1*(_xlfn._xlws.FILTER(OFFSET($O$15,0,$DN48,$B$8,1),OFFSET($M$15,0,0,$B$8,1))=EK$13), 1*(_xlfn._xlws.FILTER(OFFSET($O$15,0,$DO48,$B$8,1),OFFSET($M$15,0,0,$B$8,1))=EK$14))   /   SUM(OFFSET($BO$15,0,0,$B$14,1)) + $B$18/($B$19*$B$19*($DN48&lt;&gt;$DO48) + $B$19*($DN48=$DO48))</f>
        <v>3.7037037037037035E-4</v>
      </c>
      <c r="EL48" s="10" cm="1">
        <f t="array" aca="1" ref="EL48" ca="1">(1-$B$18)*SUMPRODUCT(OFFSET($BO$15,0,0,$B$14,1), 1*(_xlfn._xlws.FILTER(OFFSET($O$15,0,$DN48,$B$8,1),OFFSET($M$15,0,0,$B$8,1))=EL$13), 1*(_xlfn._xlws.FILTER(OFFSET($O$15,0,$DO48,$B$8,1),OFFSET($M$15,0,0,$B$8,1))=EL$14))   /   SUM(OFFSET($BO$15,0,0,$B$14,1)) + $B$18/($B$19*$B$19*($DN48&lt;&gt;$DO48) + $B$19*($DN48=$DO48))</f>
        <v>3.7037037037037035E-4</v>
      </c>
      <c r="EM48" s="10" cm="1">
        <f t="array" aca="1" ref="EM48" ca="1">(1-$B$18)*SUMPRODUCT(OFFSET($BO$15,0,0,$B$14,1), 1*(_xlfn._xlws.FILTER(OFFSET($O$15,0,$DN48,$B$8,1),OFFSET($M$15,0,0,$B$8,1))=EM$13), 1*(_xlfn._xlws.FILTER(OFFSET($O$15,0,$DO48,$B$8,1),OFFSET($M$15,0,0,$B$8,1))=EM$14))   /   SUM(OFFSET($BO$15,0,0,$B$14,1)) + $B$18/($B$19*$B$19*($DN48&lt;&gt;$DO48) + $B$19*($DN48=$DO48))</f>
        <v>3.7037037037037035E-4</v>
      </c>
      <c r="EN48" s="10" cm="1">
        <f t="array" aca="1" ref="EN48" ca="1">(1-$B$18)*SUMPRODUCT(OFFSET($BO$15,0,0,$B$14,1), 1*(_xlfn._xlws.FILTER(OFFSET($O$15,0,$DN48,$B$8,1),OFFSET($M$15,0,0,$B$8,1))=EN$13), 1*(_xlfn._xlws.FILTER(OFFSET($O$15,0,$DO48,$B$8,1),OFFSET($M$15,0,0,$B$8,1))=EN$14))   /   SUM(OFFSET($BO$15,0,0,$B$14,1)) + $B$18/($B$19*$B$19*($DN48&lt;&gt;$DO48) + $B$19*($DN48=$DO48))</f>
        <v>3.7037037037037035E-4</v>
      </c>
      <c r="EO48" s="10" cm="1">
        <f t="array" aca="1" ref="EO48" ca="1">(1-$B$18)*SUMPRODUCT(OFFSET($BO$15,0,0,$B$14,1), 1*(_xlfn._xlws.FILTER(OFFSET($O$15,0,$DN48,$B$8,1),OFFSET($M$15,0,0,$B$8,1))=EO$13), 1*(_xlfn._xlws.FILTER(OFFSET($O$15,0,$DO48,$B$8,1),OFFSET($M$15,0,0,$B$8,1))=EO$14))   /   SUM(OFFSET($BO$15,0,0,$B$14,1)) + $B$18/($B$19*$B$19*($DN48&lt;&gt;$DO48) + $B$19*($DN48=$DO48))</f>
        <v>3.7037037037037035E-4</v>
      </c>
      <c r="EP48" s="10" cm="1">
        <f t="array" aca="1" ref="EP48" ca="1">(1-$B$18)*SUMPRODUCT(OFFSET($BO$15,0,0,$B$14,1), 1*(_xlfn._xlws.FILTER(OFFSET($O$15,0,$DN48,$B$8,1),OFFSET($M$15,0,0,$B$8,1))=EP$13), 1*(_xlfn._xlws.FILTER(OFFSET($O$15,0,$DO48,$B$8,1),OFFSET($M$15,0,0,$B$8,1))=EP$14))   /   SUM(OFFSET($BO$15,0,0,$B$14,1)) + $B$18/($B$19*$B$19*($DN48&lt;&gt;$DO48) + $B$19*($DN48=$DO48))</f>
        <v>3.7037037037037035E-4</v>
      </c>
      <c r="EQ48" s="10" cm="1">
        <f t="array" aca="1" ref="EQ48" ca="1">(1-$B$18)*SUMPRODUCT(OFFSET($BO$15,0,0,$B$14,1), 1*(_xlfn._xlws.FILTER(OFFSET($O$15,0,$DN48,$B$8,1),OFFSET($M$15,0,0,$B$8,1))=EQ$13), 1*(_xlfn._xlws.FILTER(OFFSET($O$15,0,$DO48,$B$8,1),OFFSET($M$15,0,0,$B$8,1))=EQ$14))   /   SUM(OFFSET($BO$15,0,0,$B$14,1)) + $B$18/($B$19*$B$19*($DN48&lt;&gt;$DO48) + $B$19*($DN48=$DO48))</f>
        <v>3.7037037037037035E-4</v>
      </c>
      <c r="ER48" s="10" cm="1">
        <f t="array" aca="1" ref="ER48" ca="1">(1-$B$18)*SUMPRODUCT(OFFSET($BO$15,0,0,$B$14,1), 1*(_xlfn._xlws.FILTER(OFFSET($O$15,0,$DN48,$B$8,1),OFFSET($M$15,0,0,$B$8,1))=ER$13), 1*(_xlfn._xlws.FILTER(OFFSET($O$15,0,$DO48,$B$8,1),OFFSET($M$15,0,0,$B$8,1))=ER$14))   /   SUM(OFFSET($BO$15,0,0,$B$14,1)) + $B$18/($B$19*$B$19*($DN48&lt;&gt;$DO48) + $B$19*($DN48=$DO48))</f>
        <v>3.7037037037037035E-4</v>
      </c>
      <c r="ES48" s="10" cm="1">
        <f t="array" aca="1" ref="ES48" ca="1">(1-$B$18)*SUMPRODUCT(OFFSET($BO$15,0,0,$B$14,1), 1*(_xlfn._xlws.FILTER(OFFSET($O$15,0,$DN48,$B$8,1),OFFSET($M$15,0,0,$B$8,1))=ES$13), 1*(_xlfn._xlws.FILTER(OFFSET($O$15,0,$DO48,$B$8,1),OFFSET($M$15,0,0,$B$8,1))=ES$14))   /   SUM(OFFSET($BO$15,0,0,$B$14,1)) + $B$18/($B$19*$B$19*($DN48&lt;&gt;$DO48) + $B$19*($DN48=$DO48))</f>
        <v>3.7037037037037035E-4</v>
      </c>
      <c r="ET48" s="10" cm="1">
        <f t="array" aca="1" ref="ET48" ca="1">(1-$B$18)*SUMPRODUCT(OFFSET($BO$15,0,0,$B$14,1), 1*(_xlfn._xlws.FILTER(OFFSET($O$15,0,$DN48,$B$8,1),OFFSET($M$15,0,0,$B$8,1))=ET$13), 1*(_xlfn._xlws.FILTER(OFFSET($O$15,0,$DO48,$B$8,1),OFFSET($M$15,0,0,$B$8,1))=ET$14))   /   SUM(OFFSET($BO$15,0,0,$B$14,1)) + $B$18/($B$19*$B$19*($DN48&lt;&gt;$DO48) + $B$19*($DN48=$DO48))</f>
        <v>3.7037037037037035E-4</v>
      </c>
      <c r="EU48" s="10" cm="1">
        <f t="array" aca="1" ref="EU48" ca="1">(1-$B$18)*SUMPRODUCT(OFFSET($BO$15,0,0,$B$14,1), 1*(_xlfn._xlws.FILTER(OFFSET($O$15,0,$DN48,$B$8,1),OFFSET($M$15,0,0,$B$8,1))=EU$13), 1*(_xlfn._xlws.FILTER(OFFSET($O$15,0,$DO48,$B$8,1),OFFSET($M$15,0,0,$B$8,1))=EU$14))   /   SUM(OFFSET($BO$15,0,0,$B$14,1)) + $B$18/($B$19*$B$19*($DN48&lt;&gt;$DO48) + $B$19*($DN48=$DO48))</f>
        <v>3.7037037037037035E-4</v>
      </c>
      <c r="EV48" s="10" cm="1">
        <f t="array" aca="1" ref="EV48" ca="1">(1-$B$18)*SUMPRODUCT(OFFSET($BO$15,0,0,$B$14,1), 1*(_xlfn._xlws.FILTER(OFFSET($O$15,0,$DN48,$B$8,1),OFFSET($M$15,0,0,$B$8,1))=EV$13), 1*(_xlfn._xlws.FILTER(OFFSET($O$15,0,$DO48,$B$8,1),OFFSET($M$15,0,0,$B$8,1))=EV$14))   /   SUM(OFFSET($BO$15,0,0,$B$14,1)) + $B$18/($B$19*$B$19*($DN48&lt;&gt;$DO48) + $B$19*($DN48=$DO48))</f>
        <v>3.7037037037037035E-4</v>
      </c>
      <c r="EW48" s="10" cm="1">
        <f t="array" aca="1" ref="EW48" ca="1">(1-$B$18)*SUMPRODUCT(OFFSET($BO$15,0,0,$B$14,1), 1*(_xlfn._xlws.FILTER(OFFSET($O$15,0,$DN48,$B$8,1),OFFSET($M$15,0,0,$B$8,1))=EW$13), 1*(_xlfn._xlws.FILTER(OFFSET($O$15,0,$DO48,$B$8,1),OFFSET($M$15,0,0,$B$8,1))=EW$14))   /   SUM(OFFSET($BO$15,0,0,$B$14,1)) + $B$18/($B$19*$B$19*($DN48&lt;&gt;$DO48) + $B$19*($DN48=$DO48))</f>
        <v>3.7037037037037035E-4</v>
      </c>
      <c r="EX48" s="10" cm="1">
        <f t="array" aca="1" ref="EX48" ca="1">(1-$B$18)*SUMPRODUCT(OFFSET($BO$15,0,0,$B$14,1), 1*(_xlfn._xlws.FILTER(OFFSET($O$15,0,$DN48,$B$8,1),OFFSET($M$15,0,0,$B$8,1))=EX$13), 1*(_xlfn._xlws.FILTER(OFFSET($O$15,0,$DO48,$B$8,1),OFFSET($M$15,0,0,$B$8,1))=EX$14))   /   SUM(OFFSET($BO$15,0,0,$B$14,1)) + $B$18/($B$19*$B$19*($DN48&lt;&gt;$DO48) + $B$19*($DN48=$DO48))</f>
        <v>3.7037037037037035E-4</v>
      </c>
      <c r="EY48" s="10" cm="1">
        <f t="array" aca="1" ref="EY48" ca="1">(1-$B$18)*SUMPRODUCT(OFFSET($BO$15,0,0,$B$14,1), 1*(_xlfn._xlws.FILTER(OFFSET($O$15,0,$DN48,$B$8,1),OFFSET($M$15,0,0,$B$8,1))=EY$13), 1*(_xlfn._xlws.FILTER(OFFSET($O$15,0,$DO48,$B$8,1),OFFSET($M$15,0,0,$B$8,1))=EY$14))   /   SUM(OFFSET($BO$15,0,0,$B$14,1)) + $B$18/($B$19*$B$19*($DN48&lt;&gt;$DO48) + $B$19*($DN48=$DO48))</f>
        <v>3.7037037037037035E-4</v>
      </c>
      <c r="EZ48" s="10" cm="1">
        <f t="array" aca="1" ref="EZ48" ca="1">(1-$B$18)*SUMPRODUCT(OFFSET($BO$15,0,0,$B$14,1), 1*(_xlfn._xlws.FILTER(OFFSET($O$15,0,$DN48,$B$8,1),OFFSET($M$15,0,0,$B$8,1))=EZ$13), 1*(_xlfn._xlws.FILTER(OFFSET($O$15,0,$DO48,$B$8,1),OFFSET($M$15,0,0,$B$8,1))=EZ$14))   /   SUM(OFFSET($BO$15,0,0,$B$14,1)) + $B$18/($B$19*$B$19*($DN48&lt;&gt;$DO48) + $B$19*($DN48=$DO48))</f>
        <v>3.7037037037037035E-4</v>
      </c>
      <c r="FA48" s="10" cm="1">
        <f t="array" aca="1" ref="FA48" ca="1">(1-$B$18)*SUMPRODUCT(OFFSET($BO$15,0,0,$B$14,1), 1*(_xlfn._xlws.FILTER(OFFSET($O$15,0,$DN48,$B$8,1),OFFSET($M$15,0,0,$B$8,1))=FA$13), 1*(_xlfn._xlws.FILTER(OFFSET($O$15,0,$DO48,$B$8,1),OFFSET($M$15,0,0,$B$8,1))=FA$14))   /   SUM(OFFSET($BO$15,0,0,$B$14,1)) + $B$18/($B$19*$B$19*($DN48&lt;&gt;$DO48) + $B$19*($DN48=$DO48))</f>
        <v>3.7037037037037035E-4</v>
      </c>
      <c r="FB48" s="10" cm="1">
        <f t="array" aca="1" ref="FB48" ca="1">(1-$B$18)*SUMPRODUCT(OFFSET($BO$15,0,0,$B$14,1), 1*(_xlfn._xlws.FILTER(OFFSET($O$15,0,$DN48,$B$8,1),OFFSET($M$15,0,0,$B$8,1))=FB$13), 1*(_xlfn._xlws.FILTER(OFFSET($O$15,0,$DO48,$B$8,1),OFFSET($M$15,0,0,$B$8,1))=FB$14))   /   SUM(OFFSET($BO$15,0,0,$B$14,1)) + $B$18/($B$19*$B$19*($DN48&lt;&gt;$DO48) + $B$19*($DN48=$DO48))</f>
        <v>3.7037037037037035E-4</v>
      </c>
      <c r="FC48" s="10" cm="1">
        <f t="array" aca="1" ref="FC48" ca="1">(1-$B$18)*SUMPRODUCT(OFFSET($BO$15,0,0,$B$14,1), 1*(_xlfn._xlws.FILTER(OFFSET($O$15,0,$DN48,$B$8,1),OFFSET($M$15,0,0,$B$8,1))=FC$13), 1*(_xlfn._xlws.FILTER(OFFSET($O$15,0,$DO48,$B$8,1),OFFSET($M$15,0,0,$B$8,1))=FC$14))   /   SUM(OFFSET($BO$15,0,0,$B$14,1)) + $B$18/($B$19*$B$19*($DN48&lt;&gt;$DO48) + $B$19*($DN48=$DO48))</f>
        <v>3.7037037037037035E-4</v>
      </c>
      <c r="FD48" s="10" cm="1">
        <f t="array" aca="1" ref="FD48" ca="1">(1-$B$18)*SUMPRODUCT(OFFSET($BO$15,0,0,$B$14,1), 1*(_xlfn._xlws.FILTER(OFFSET($O$15,0,$DN48,$B$8,1),OFFSET($M$15,0,0,$B$8,1))=FD$13), 1*(_xlfn._xlws.FILTER(OFFSET($O$15,0,$DO48,$B$8,1),OFFSET($M$15,0,0,$B$8,1))=FD$14))   /   SUM(OFFSET($BO$15,0,0,$B$14,1)) + $B$18/($B$19*$B$19*($DN48&lt;&gt;$DO48) + $B$19*($DN48=$DO48))</f>
        <v>3.7037037037037035E-4</v>
      </c>
      <c r="FE48" s="10" cm="1">
        <f t="array" aca="1" ref="FE48" ca="1">(1-$B$18)*SUMPRODUCT(OFFSET($BO$15,0,0,$B$14,1), 1*(_xlfn._xlws.FILTER(OFFSET($O$15,0,$DN48,$B$8,1),OFFSET($M$15,0,0,$B$8,1))=FE$13), 1*(_xlfn._xlws.FILTER(OFFSET($O$15,0,$DO48,$B$8,1),OFFSET($M$15,0,0,$B$8,1))=FE$14))   /   SUM(OFFSET($BO$15,0,0,$B$14,1)) + $B$18/($B$19*$B$19*($DN48&lt;&gt;$DO48) + $B$19*($DN48=$DO48))</f>
        <v>3.7037037037037035E-4</v>
      </c>
      <c r="FF48" s="10" cm="1">
        <f t="array" aca="1" ref="FF48" ca="1">(1-$B$18)*SUMPRODUCT(OFFSET($BO$15,0,0,$B$14,1), 1*(_xlfn._xlws.FILTER(OFFSET($O$15,0,$DN48,$B$8,1),OFFSET($M$15,0,0,$B$8,1))=FF$13), 1*(_xlfn._xlws.FILTER(OFFSET($O$15,0,$DO48,$B$8,1),OFFSET($M$15,0,0,$B$8,1))=FF$14))   /   SUM(OFFSET($BO$15,0,0,$B$14,1)) + $B$18/($B$19*$B$19*($DN48&lt;&gt;$DO48) + $B$19*($DN48=$DO48))</f>
        <v>3.7037037037037035E-4</v>
      </c>
      <c r="FG48" s="10" cm="1">
        <f t="array" aca="1" ref="FG48" ca="1">(1-$B$18)*SUMPRODUCT(OFFSET($BO$15,0,0,$B$14,1), 1*(_xlfn._xlws.FILTER(OFFSET($O$15,0,$DN48,$B$8,1),OFFSET($M$15,0,0,$B$8,1))=FG$13), 1*(_xlfn._xlws.FILTER(OFFSET($O$15,0,$DO48,$B$8,1),OFFSET($M$15,0,0,$B$8,1))=FG$14))   /   SUM(OFFSET($BO$15,0,0,$B$14,1)) + $B$18/($B$19*$B$19*($DN48&lt;&gt;$DO48) + $B$19*($DN48=$DO48))</f>
        <v>3.7037037037037035E-4</v>
      </c>
      <c r="FH48" s="10" cm="1">
        <f t="array" aca="1" ref="FH48" ca="1">(1-$B$18)*SUMPRODUCT(OFFSET($BO$15,0,0,$B$14,1), 1*(_xlfn._xlws.FILTER(OFFSET($O$15,0,$DN48,$B$8,1),OFFSET($M$15,0,0,$B$8,1))=FH$13), 1*(_xlfn._xlws.FILTER(OFFSET($O$15,0,$DO48,$B$8,1),OFFSET($M$15,0,0,$B$8,1))=FH$14))   /   SUM(OFFSET($BO$15,0,0,$B$14,1)) + $B$18/($B$19*$B$19*($DN48&lt;&gt;$DO48) + $B$19*($DN48=$DO48))</f>
        <v>3.7037037037037035E-4</v>
      </c>
      <c r="FI48" s="10" cm="1">
        <f t="array" aca="1" ref="FI48" ca="1">(1-$B$18)*SUMPRODUCT(OFFSET($BO$15,0,0,$B$14,1), 1*(_xlfn._xlws.FILTER(OFFSET($O$15,0,$DN48,$B$8,1),OFFSET($M$15,0,0,$B$8,1))=FI$13), 1*(_xlfn._xlws.FILTER(OFFSET($O$15,0,$DO48,$B$8,1),OFFSET($M$15,0,0,$B$8,1))=FI$14))   /   SUM(OFFSET($BO$15,0,0,$B$14,1)) + $B$18/($B$19*$B$19*($DN48&lt;&gt;$DO48) + $B$19*($DN48=$DO48))</f>
        <v>3.7037037037037035E-4</v>
      </c>
      <c r="FJ48" s="10" cm="1">
        <f t="array" aca="1" ref="FJ48" ca="1">(1-$B$18)*SUMPRODUCT(OFFSET($BO$15,0,0,$B$14,1), 1*(_xlfn._xlws.FILTER(OFFSET($O$15,0,$DN48,$B$8,1),OFFSET($M$15,0,0,$B$8,1))=FJ$13), 1*(_xlfn._xlws.FILTER(OFFSET($O$15,0,$DO48,$B$8,1),OFFSET($M$15,0,0,$B$8,1))=FJ$14))   /   SUM(OFFSET($BO$15,0,0,$B$14,1)) + $B$18/($B$19*$B$19*($DN48&lt;&gt;$DO48) + $B$19*($DN48=$DO48))</f>
        <v>3.7037037037037035E-4</v>
      </c>
      <c r="FK48" s="10" cm="1">
        <f t="array" aca="1" ref="FK48" ca="1">(1-$B$18)*SUMPRODUCT(OFFSET($BO$15,0,0,$B$14,1), 1*(_xlfn._xlws.FILTER(OFFSET($O$15,0,$DN48,$B$8,1),OFFSET($M$15,0,0,$B$8,1))=FK$13), 1*(_xlfn._xlws.FILTER(OFFSET($O$15,0,$DO48,$B$8,1),OFFSET($M$15,0,0,$B$8,1))=FK$14))   /   SUM(OFFSET($BO$15,0,0,$B$14,1)) + $B$18/($B$19*$B$19*($DN48&lt;&gt;$DO48) + $B$19*($DN48=$DO48))</f>
        <v>3.7037037037037035E-4</v>
      </c>
      <c r="FL48" s="10" cm="1">
        <f t="array" aca="1" ref="FL48" ca="1">(1-$B$18)*SUMPRODUCT(OFFSET($BO$15,0,0,$B$14,1), 1*(_xlfn._xlws.FILTER(OFFSET($O$15,0,$DN48,$B$8,1),OFFSET($M$15,0,0,$B$8,1))=FL$13), 1*(_xlfn._xlws.FILTER(OFFSET($O$15,0,$DO48,$B$8,1),OFFSET($M$15,0,0,$B$8,1))=FL$14))   /   SUM(OFFSET($BO$15,0,0,$B$14,1)) + $B$18/($B$19*$B$19*($DN48&lt;&gt;$DO48) + $B$19*($DN48=$DO48))</f>
        <v>3.7037037037037035E-4</v>
      </c>
      <c r="FM48" s="10" cm="1">
        <f t="array" aca="1" ref="FM48" ca="1">(1-$B$18)*SUMPRODUCT(OFFSET($BO$15,0,0,$B$14,1), 1*(_xlfn._xlws.FILTER(OFFSET($O$15,0,$DN48,$B$8,1),OFFSET($M$15,0,0,$B$8,1))=FM$13), 1*(_xlfn._xlws.FILTER(OFFSET($O$15,0,$DO48,$B$8,1),OFFSET($M$15,0,0,$B$8,1))=FM$14))   /   SUM(OFFSET($BO$15,0,0,$B$14,1)) + $B$18/($B$19*$B$19*($DN48&lt;&gt;$DO48) + $B$19*($DN48=$DO48))</f>
        <v>3.7037037037037035E-4</v>
      </c>
      <c r="FN48" s="10" cm="1">
        <f t="array" aca="1" ref="FN48" ca="1">(1-$B$18)*SUMPRODUCT(OFFSET($BO$15,0,0,$B$14,1), 1*(_xlfn._xlws.FILTER(OFFSET($O$15,0,$DN48,$B$8,1),OFFSET($M$15,0,0,$B$8,1))=FN$13), 1*(_xlfn._xlws.FILTER(OFFSET($O$15,0,$DO48,$B$8,1),OFFSET($M$15,0,0,$B$8,1))=FN$14))   /   SUM(OFFSET($BO$15,0,0,$B$14,1)) + $B$18/($B$19*$B$19*($DN48&lt;&gt;$DO48) + $B$19*($DN48=$DO48))</f>
        <v>0.97037037037037033</v>
      </c>
      <c r="FO48" s="10" cm="1">
        <f t="array" aca="1" ref="FO48" ca="1">(1-$B$18)*SUMPRODUCT(OFFSET($BO$15,0,0,$B$14,1), 1*(_xlfn._xlws.FILTER(OFFSET($O$15,0,$DN48,$B$8,1),OFFSET($M$15,0,0,$B$8,1))=FO$13), 1*(_xlfn._xlws.FILTER(OFFSET($O$15,0,$DO48,$B$8,1),OFFSET($M$15,0,0,$B$8,1))=FO$14))   /   SUM(OFFSET($BO$15,0,0,$B$14,1)) + $B$18/($B$19*$B$19*($DN48&lt;&gt;$DO48) + $B$19*($DN48=$DO48))</f>
        <v>3.7037037037037035E-4</v>
      </c>
      <c r="FP48" s="10" cm="1">
        <f t="array" aca="1" ref="FP48" ca="1">(1-$B$18)*SUMPRODUCT(OFFSET($BO$15,0,0,$B$14,1), 1*(_xlfn._xlws.FILTER(OFFSET($O$15,0,$DN48,$B$8,1),OFFSET($M$15,0,0,$B$8,1))=FP$13), 1*(_xlfn._xlws.FILTER(OFFSET($O$15,0,$DO48,$B$8,1),OFFSET($M$15,0,0,$B$8,1))=FP$14))   /   SUM(OFFSET($BO$15,0,0,$B$14,1)) + $B$18/($B$19*$B$19*($DN48&lt;&gt;$DO48) + $B$19*($DN48=$DO48))</f>
        <v>3.7037037037037035E-4</v>
      </c>
      <c r="FQ48" s="10" cm="1">
        <f t="array" aca="1" ref="FQ48" ca="1">(1-$B$18)*SUMPRODUCT(OFFSET($BO$15,0,0,$B$14,1), 1*(_xlfn._xlws.FILTER(OFFSET($O$15,0,$DN48,$B$8,1),OFFSET($M$15,0,0,$B$8,1))=FQ$13), 1*(_xlfn._xlws.FILTER(OFFSET($O$15,0,$DO48,$B$8,1),OFFSET($M$15,0,0,$B$8,1))=FQ$14))   /   SUM(OFFSET($BO$15,0,0,$B$14,1)) + $B$18/($B$19*$B$19*($DN48&lt;&gt;$DO48) + $B$19*($DN48=$DO48))</f>
        <v>3.7037037037037035E-4</v>
      </c>
      <c r="FR48" s="10" cm="1">
        <f t="array" aca="1" ref="FR48" ca="1">(1-$B$18)*SUMPRODUCT(OFFSET($BO$15,0,0,$B$14,1), 1*(_xlfn._xlws.FILTER(OFFSET($O$15,0,$DN48,$B$8,1),OFFSET($M$15,0,0,$B$8,1))=FR$13), 1*(_xlfn._xlws.FILTER(OFFSET($O$15,0,$DO48,$B$8,1),OFFSET($M$15,0,0,$B$8,1))=FR$14))   /   SUM(OFFSET($BO$15,0,0,$B$14,1)) + $B$18/($B$19*$B$19*($DN48&lt;&gt;$DO48) + $B$19*($DN48=$DO48))</f>
        <v>3.7037037037037035E-4</v>
      </c>
      <c r="FS48" s="10" cm="1">
        <f t="array" aca="1" ref="FS48" ca="1">(1-$B$18)*SUMPRODUCT(OFFSET($BO$15,0,0,$B$14,1), 1*(_xlfn._xlws.FILTER(OFFSET($O$15,0,$DN48,$B$8,1),OFFSET($M$15,0,0,$B$8,1))=FS$13), 1*(_xlfn._xlws.FILTER(OFFSET($O$15,0,$DO48,$B$8,1),OFFSET($M$15,0,0,$B$8,1))=FS$14))   /   SUM(OFFSET($BO$15,0,0,$B$14,1)) + $B$18/($B$19*$B$19*($DN48&lt;&gt;$DO48) + $B$19*($DN48=$DO48))</f>
        <v>3.7037037037037035E-4</v>
      </c>
      <c r="FT48" s="10" cm="1">
        <f t="array" aca="1" ref="FT48" ca="1">(1-$B$18)*SUMPRODUCT(OFFSET($BO$15,0,0,$B$14,1), 1*(_xlfn._xlws.FILTER(OFFSET($O$15,0,$DN48,$B$8,1),OFFSET($M$15,0,0,$B$8,1))=FT$13), 1*(_xlfn._xlws.FILTER(OFFSET($O$15,0,$DO48,$B$8,1),OFFSET($M$15,0,0,$B$8,1))=FT$14))   /   SUM(OFFSET($BO$15,0,0,$B$14,1)) + $B$18/($B$19*$B$19*($DN48&lt;&gt;$DO48) + $B$19*($DN48=$DO48))</f>
        <v>3.7037037037037035E-4</v>
      </c>
      <c r="FU48" s="10" cm="1">
        <f t="array" aca="1" ref="FU48" ca="1">(1-$B$18)*SUMPRODUCT(OFFSET($BO$15,0,0,$B$14,1), 1*(_xlfn._xlws.FILTER(OFFSET($O$15,0,$DN48,$B$8,1),OFFSET($M$15,0,0,$B$8,1))=FU$13), 1*(_xlfn._xlws.FILTER(OFFSET($O$15,0,$DO48,$B$8,1),OFFSET($M$15,0,0,$B$8,1))=FU$14))   /   SUM(OFFSET($BO$15,0,0,$B$14,1)) + $B$18/($B$19*$B$19*($DN48&lt;&gt;$DO48) + $B$19*($DN48=$DO48))</f>
        <v>3.7037037037037035E-4</v>
      </c>
      <c r="FV48" s="10" cm="1">
        <f t="array" aca="1" ref="FV48" ca="1">(1-$B$18)*SUMPRODUCT(OFFSET($BO$15,0,0,$B$14,1), 1*(_xlfn._xlws.FILTER(OFFSET($O$15,0,$DN48,$B$8,1),OFFSET($M$15,0,0,$B$8,1))=FV$13), 1*(_xlfn._xlws.FILTER(OFFSET($O$15,0,$DO48,$B$8,1),OFFSET($M$15,0,0,$B$8,1))=FV$14))   /   SUM(OFFSET($BO$15,0,0,$B$14,1)) + $B$18/($B$19*$B$19*($DN48&lt;&gt;$DO48) + $B$19*($DN48=$DO48))</f>
        <v>3.7037037037037035E-4</v>
      </c>
      <c r="FW48" s="10" cm="1">
        <f t="array" aca="1" ref="FW48" ca="1">(1-$B$18)*SUMPRODUCT(OFFSET($BO$15,0,0,$B$14,1), 1*(_xlfn._xlws.FILTER(OFFSET($O$15,0,$DN48,$B$8,1),OFFSET($M$15,0,0,$B$8,1))=FW$13), 1*(_xlfn._xlws.FILTER(OFFSET($O$15,0,$DO48,$B$8,1),OFFSET($M$15,0,0,$B$8,1))=FW$14))   /   SUM(OFFSET($BO$15,0,0,$B$14,1)) + $B$18/($B$19*$B$19*($DN48&lt;&gt;$DO48) + $B$19*($DN48=$DO48))</f>
        <v>3.7037037037037035E-4</v>
      </c>
      <c r="FX48" s="10" cm="1">
        <f t="array" aca="1" ref="FX48" ca="1">(1-$B$18)*SUMPRODUCT(OFFSET($BO$15,0,0,$B$14,1), 1*(_xlfn._xlws.FILTER(OFFSET($O$15,0,$DN48,$B$8,1),OFFSET($M$15,0,0,$B$8,1))=FX$13), 1*(_xlfn._xlws.FILTER(OFFSET($O$15,0,$DO48,$B$8,1),OFFSET($M$15,0,0,$B$8,1))=FX$14))   /   SUM(OFFSET($BO$15,0,0,$B$14,1)) + $B$18/($B$19*$B$19*($DN48&lt;&gt;$DO48) + $B$19*($DN48=$DO48))</f>
        <v>3.7037037037037035E-4</v>
      </c>
      <c r="FY48" s="10" cm="1">
        <f t="array" aca="1" ref="FY48" ca="1">(1-$B$18)*SUMPRODUCT(OFFSET($BO$15,0,0,$B$14,1), 1*(_xlfn._xlws.FILTER(OFFSET($O$15,0,$DN48,$B$8,1),OFFSET($M$15,0,0,$B$8,1))=FY$13), 1*(_xlfn._xlws.FILTER(OFFSET($O$15,0,$DO48,$B$8,1),OFFSET($M$15,0,0,$B$8,1))=FY$14))   /   SUM(OFFSET($BO$15,0,0,$B$14,1)) + $B$18/($B$19*$B$19*($DN48&lt;&gt;$DO48) + $B$19*($DN48=$DO48))</f>
        <v>3.7037037037037035E-4</v>
      </c>
      <c r="FZ48" s="10" cm="1">
        <f t="array" aca="1" ref="FZ48" ca="1">(1-$B$18)*SUMPRODUCT(OFFSET($BO$15,0,0,$B$14,1), 1*(_xlfn._xlws.FILTER(OFFSET($O$15,0,$DN48,$B$8,1),OFFSET($M$15,0,0,$B$8,1))=FZ$13), 1*(_xlfn._xlws.FILTER(OFFSET($O$15,0,$DO48,$B$8,1),OFFSET($M$15,0,0,$B$8,1))=FZ$14))   /   SUM(OFFSET($BO$15,0,0,$B$14,1)) + $B$18/($B$19*$B$19*($DN48&lt;&gt;$DO48) + $B$19*($DN48=$DO48))</f>
        <v>3.7037037037037035E-4</v>
      </c>
      <c r="GA48" s="10" cm="1">
        <f t="array" aca="1" ref="GA48" ca="1">(1-$B$18)*SUMPRODUCT(OFFSET($BO$15,0,0,$B$14,1), 1*(_xlfn._xlws.FILTER(OFFSET($O$15,0,$DN48,$B$8,1),OFFSET($M$15,0,0,$B$8,1))=GA$13), 1*(_xlfn._xlws.FILTER(OFFSET($O$15,0,$DO48,$B$8,1),OFFSET($M$15,0,0,$B$8,1))=GA$14))   /   SUM(OFFSET($BO$15,0,0,$B$14,1)) + $B$18/($B$19*$B$19*($DN48&lt;&gt;$DO48) + $B$19*($DN48=$DO48))</f>
        <v>3.7037037037037035E-4</v>
      </c>
    </row>
    <row r="49" spans="5:183" x14ac:dyDescent="0.2">
      <c r="AK49" s="2"/>
      <c r="AL49" s="2"/>
      <c r="CX49">
        <f ca="1"/>
        <v>0.25</v>
      </c>
      <c r="CY49">
        <f ca="1"/>
        <v>0</v>
      </c>
      <c r="DN49" cm="1">
        <f t="array" aca="1" ref="DN49" ca="1">INDEX(_xlfn.ANCHORARRAY($CP$15), 1 + INT((ROWS($DO$15:$DO49) - 1) / ROWS(_xlfn.ANCHORARRAY($CP$15))))</f>
        <v>1</v>
      </c>
      <c r="DO49" cm="1">
        <f t="array" aca="1" ref="DO49" ca="1">INDEX(_xlfn.ANCHORARRAY($CP$15),1+MOD(ROWS($DO$15:$DO49)-1,ROWS(_xlfn.ANCHORARRAY($CP$15))))</f>
        <v>18</v>
      </c>
      <c r="DP49" s="10" cm="1">
        <f t="array" aca="1" ref="DP49" ca="1">(1-$B$18)*SUMPRODUCT(OFFSET($BO$15,0,0,$B$14,1), 1*(_xlfn._xlws.FILTER(OFFSET($O$15,0,$DN49,$B$8,1),OFFSET($M$15,0,0,$B$8,1))=DP$13), 1*(_xlfn._xlws.FILTER(OFFSET($O$15,0,$DO49,$B$8,1),OFFSET($M$15,0,0,$B$8,1))=DP$14))   /   SUM(OFFSET($BO$15,0,0,$B$14,1)) + $B$18/($B$19*$B$19*($DN49&lt;&gt;$DO49) + $B$19*($DN49=$DO49))</f>
        <v>3.7037037037037035E-4</v>
      </c>
      <c r="DQ49" s="10" cm="1">
        <f t="array" aca="1" ref="DQ49" ca="1">(1-$B$18)*SUMPRODUCT(OFFSET($BO$15,0,0,$B$14,1), 1*(_xlfn._xlws.FILTER(OFFSET($O$15,0,$DN49,$B$8,1),OFFSET($M$15,0,0,$B$8,1))=DQ$13), 1*(_xlfn._xlws.FILTER(OFFSET($O$15,0,$DO49,$B$8,1),OFFSET($M$15,0,0,$B$8,1))=DQ$14))   /   SUM(OFFSET($BO$15,0,0,$B$14,1)) + $B$18/($B$19*$B$19*($DN49&lt;&gt;$DO49) + $B$19*($DN49=$DO49))</f>
        <v>3.7037037037037035E-4</v>
      </c>
      <c r="DR49" s="10" cm="1">
        <f t="array" aca="1" ref="DR49" ca="1">(1-$B$18)*SUMPRODUCT(OFFSET($BO$15,0,0,$B$14,1), 1*(_xlfn._xlws.FILTER(OFFSET($O$15,0,$DN49,$B$8,1),OFFSET($M$15,0,0,$B$8,1))=DR$13), 1*(_xlfn._xlws.FILTER(OFFSET($O$15,0,$DO49,$B$8,1),OFFSET($M$15,0,0,$B$8,1))=DR$14))   /   SUM(OFFSET($BO$15,0,0,$B$14,1)) + $B$18/($B$19*$B$19*($DN49&lt;&gt;$DO49) + $B$19*($DN49=$DO49))</f>
        <v>3.7037037037037035E-4</v>
      </c>
      <c r="DS49" s="10" cm="1">
        <f t="array" aca="1" ref="DS49" ca="1">(1-$B$18)*SUMPRODUCT(OFFSET($BO$15,0,0,$B$14,1), 1*(_xlfn._xlws.FILTER(OFFSET($O$15,0,$DN49,$B$8,1),OFFSET($M$15,0,0,$B$8,1))=DS$13), 1*(_xlfn._xlws.FILTER(OFFSET($O$15,0,$DO49,$B$8,1),OFFSET($M$15,0,0,$B$8,1))=DS$14))   /   SUM(OFFSET($BO$15,0,0,$B$14,1)) + $B$18/($B$19*$B$19*($DN49&lt;&gt;$DO49) + $B$19*($DN49=$DO49))</f>
        <v>3.7037037037037035E-4</v>
      </c>
      <c r="DT49" s="10" cm="1">
        <f t="array" aca="1" ref="DT49" ca="1">(1-$B$18)*SUMPRODUCT(OFFSET($BO$15,0,0,$B$14,1), 1*(_xlfn._xlws.FILTER(OFFSET($O$15,0,$DN49,$B$8,1),OFFSET($M$15,0,0,$B$8,1))=DT$13), 1*(_xlfn._xlws.FILTER(OFFSET($O$15,0,$DO49,$B$8,1),OFFSET($M$15,0,0,$B$8,1))=DT$14))   /   SUM(OFFSET($BO$15,0,0,$B$14,1)) + $B$18/($B$19*$B$19*($DN49&lt;&gt;$DO49) + $B$19*($DN49=$DO49))</f>
        <v>3.7037037037037035E-4</v>
      </c>
      <c r="DU49" s="10" cm="1">
        <f t="array" aca="1" ref="DU49" ca="1">(1-$B$18)*SUMPRODUCT(OFFSET($BO$15,0,0,$B$14,1), 1*(_xlfn._xlws.FILTER(OFFSET($O$15,0,$DN49,$B$8,1),OFFSET($M$15,0,0,$B$8,1))=DU$13), 1*(_xlfn._xlws.FILTER(OFFSET($O$15,0,$DO49,$B$8,1),OFFSET($M$15,0,0,$B$8,1))=DU$14))   /   SUM(OFFSET($BO$15,0,0,$B$14,1)) + $B$18/($B$19*$B$19*($DN49&lt;&gt;$DO49) + $B$19*($DN49=$DO49))</f>
        <v>3.7037037037037035E-4</v>
      </c>
      <c r="DV49" s="10" cm="1">
        <f t="array" aca="1" ref="DV49" ca="1">(1-$B$18)*SUMPRODUCT(OFFSET($BO$15,0,0,$B$14,1), 1*(_xlfn._xlws.FILTER(OFFSET($O$15,0,$DN49,$B$8,1),OFFSET($M$15,0,0,$B$8,1))=DV$13), 1*(_xlfn._xlws.FILTER(OFFSET($O$15,0,$DO49,$B$8,1),OFFSET($M$15,0,0,$B$8,1))=DV$14))   /   SUM(OFFSET($BO$15,0,0,$B$14,1)) + $B$18/($B$19*$B$19*($DN49&lt;&gt;$DO49) + $B$19*($DN49=$DO49))</f>
        <v>3.7037037037037035E-4</v>
      </c>
      <c r="DW49" s="10" cm="1">
        <f t="array" aca="1" ref="DW49" ca="1">(1-$B$18)*SUMPRODUCT(OFFSET($BO$15,0,0,$B$14,1), 1*(_xlfn._xlws.FILTER(OFFSET($O$15,0,$DN49,$B$8,1),OFFSET($M$15,0,0,$B$8,1))=DW$13), 1*(_xlfn._xlws.FILTER(OFFSET($O$15,0,$DO49,$B$8,1),OFFSET($M$15,0,0,$B$8,1))=DW$14))   /   SUM(OFFSET($BO$15,0,0,$B$14,1)) + $B$18/($B$19*$B$19*($DN49&lt;&gt;$DO49) + $B$19*($DN49=$DO49))</f>
        <v>3.7037037037037035E-4</v>
      </c>
      <c r="DX49" s="10" cm="1">
        <f t="array" aca="1" ref="DX49" ca="1">(1-$B$18)*SUMPRODUCT(OFFSET($BO$15,0,0,$B$14,1), 1*(_xlfn._xlws.FILTER(OFFSET($O$15,0,$DN49,$B$8,1),OFFSET($M$15,0,0,$B$8,1))=DX$13), 1*(_xlfn._xlws.FILTER(OFFSET($O$15,0,$DO49,$B$8,1),OFFSET($M$15,0,0,$B$8,1))=DX$14))   /   SUM(OFFSET($BO$15,0,0,$B$14,1)) + $B$18/($B$19*$B$19*($DN49&lt;&gt;$DO49) + $B$19*($DN49=$DO49))</f>
        <v>3.7037037037037035E-4</v>
      </c>
      <c r="DY49" s="10" cm="1">
        <f t="array" aca="1" ref="DY49" ca="1">(1-$B$18)*SUMPRODUCT(OFFSET($BO$15,0,0,$B$14,1), 1*(_xlfn._xlws.FILTER(OFFSET($O$15,0,$DN49,$B$8,1),OFFSET($M$15,0,0,$B$8,1))=DY$13), 1*(_xlfn._xlws.FILTER(OFFSET($O$15,0,$DO49,$B$8,1),OFFSET($M$15,0,0,$B$8,1))=DY$14))   /   SUM(OFFSET($BO$15,0,0,$B$14,1)) + $B$18/($B$19*$B$19*($DN49&lt;&gt;$DO49) + $B$19*($DN49=$DO49))</f>
        <v>3.7037037037037035E-4</v>
      </c>
      <c r="DZ49" s="10" cm="1">
        <f t="array" aca="1" ref="DZ49" ca="1">(1-$B$18)*SUMPRODUCT(OFFSET($BO$15,0,0,$B$14,1), 1*(_xlfn._xlws.FILTER(OFFSET($O$15,0,$DN49,$B$8,1),OFFSET($M$15,0,0,$B$8,1))=DZ$13), 1*(_xlfn._xlws.FILTER(OFFSET($O$15,0,$DO49,$B$8,1),OFFSET($M$15,0,0,$B$8,1))=DZ$14))   /   SUM(OFFSET($BO$15,0,0,$B$14,1)) + $B$18/($B$19*$B$19*($DN49&lt;&gt;$DO49) + $B$19*($DN49=$DO49))</f>
        <v>3.7037037037037035E-4</v>
      </c>
      <c r="EA49" s="10" cm="1">
        <f t="array" aca="1" ref="EA49" ca="1">(1-$B$18)*SUMPRODUCT(OFFSET($BO$15,0,0,$B$14,1), 1*(_xlfn._xlws.FILTER(OFFSET($O$15,0,$DN49,$B$8,1),OFFSET($M$15,0,0,$B$8,1))=EA$13), 1*(_xlfn._xlws.FILTER(OFFSET($O$15,0,$DO49,$B$8,1),OFFSET($M$15,0,0,$B$8,1))=EA$14))   /   SUM(OFFSET($BO$15,0,0,$B$14,1)) + $B$18/($B$19*$B$19*($DN49&lt;&gt;$DO49) + $B$19*($DN49=$DO49))</f>
        <v>3.7037037037037035E-4</v>
      </c>
      <c r="EB49" s="10" cm="1">
        <f t="array" aca="1" ref="EB49" ca="1">(1-$B$18)*SUMPRODUCT(OFFSET($BO$15,0,0,$B$14,1), 1*(_xlfn._xlws.FILTER(OFFSET($O$15,0,$DN49,$B$8,1),OFFSET($M$15,0,0,$B$8,1))=EB$13), 1*(_xlfn._xlws.FILTER(OFFSET($O$15,0,$DO49,$B$8,1),OFFSET($M$15,0,0,$B$8,1))=EB$14))   /   SUM(OFFSET($BO$15,0,0,$B$14,1)) + $B$18/($B$19*$B$19*($DN49&lt;&gt;$DO49) + $B$19*($DN49=$DO49))</f>
        <v>3.7037037037037035E-4</v>
      </c>
      <c r="EC49" s="10" cm="1">
        <f t="array" aca="1" ref="EC49" ca="1">(1-$B$18)*SUMPRODUCT(OFFSET($BO$15,0,0,$B$14,1), 1*(_xlfn._xlws.FILTER(OFFSET($O$15,0,$DN49,$B$8,1),OFFSET($M$15,0,0,$B$8,1))=EC$13), 1*(_xlfn._xlws.FILTER(OFFSET($O$15,0,$DO49,$B$8,1),OFFSET($M$15,0,0,$B$8,1))=EC$14))   /   SUM(OFFSET($BO$15,0,0,$B$14,1)) + $B$18/($B$19*$B$19*($DN49&lt;&gt;$DO49) + $B$19*($DN49=$DO49))</f>
        <v>3.7037037037037035E-4</v>
      </c>
      <c r="ED49" s="10" cm="1">
        <f t="array" aca="1" ref="ED49" ca="1">(1-$B$18)*SUMPRODUCT(OFFSET($BO$15,0,0,$B$14,1), 1*(_xlfn._xlws.FILTER(OFFSET($O$15,0,$DN49,$B$8,1),OFFSET($M$15,0,0,$B$8,1))=ED$13), 1*(_xlfn._xlws.FILTER(OFFSET($O$15,0,$DO49,$B$8,1),OFFSET($M$15,0,0,$B$8,1))=ED$14))   /   SUM(OFFSET($BO$15,0,0,$B$14,1)) + $B$18/($B$19*$B$19*($DN49&lt;&gt;$DO49) + $B$19*($DN49=$DO49))</f>
        <v>3.7037037037037035E-4</v>
      </c>
      <c r="EE49" s="10" cm="1">
        <f t="array" aca="1" ref="EE49" ca="1">(1-$B$18)*SUMPRODUCT(OFFSET($BO$15,0,0,$B$14,1), 1*(_xlfn._xlws.FILTER(OFFSET($O$15,0,$DN49,$B$8,1),OFFSET($M$15,0,0,$B$8,1))=EE$13), 1*(_xlfn._xlws.FILTER(OFFSET($O$15,0,$DO49,$B$8,1),OFFSET($M$15,0,0,$B$8,1))=EE$14))   /   SUM(OFFSET($BO$15,0,0,$B$14,1)) + $B$18/($B$19*$B$19*($DN49&lt;&gt;$DO49) + $B$19*($DN49=$DO49))</f>
        <v>3.7037037037037035E-4</v>
      </c>
      <c r="EF49" s="10" cm="1">
        <f t="array" aca="1" ref="EF49" ca="1">(1-$B$18)*SUMPRODUCT(OFFSET($BO$15,0,0,$B$14,1), 1*(_xlfn._xlws.FILTER(OFFSET($O$15,0,$DN49,$B$8,1),OFFSET($M$15,0,0,$B$8,1))=EF$13), 1*(_xlfn._xlws.FILTER(OFFSET($O$15,0,$DO49,$B$8,1),OFFSET($M$15,0,0,$B$8,1))=EF$14))   /   SUM(OFFSET($BO$15,0,0,$B$14,1)) + $B$18/($B$19*$B$19*($DN49&lt;&gt;$DO49) + $B$19*($DN49=$DO49))</f>
        <v>3.7037037037037035E-4</v>
      </c>
      <c r="EG49" s="10" cm="1">
        <f t="array" aca="1" ref="EG49" ca="1">(1-$B$18)*SUMPRODUCT(OFFSET($BO$15,0,0,$B$14,1), 1*(_xlfn._xlws.FILTER(OFFSET($O$15,0,$DN49,$B$8,1),OFFSET($M$15,0,0,$B$8,1))=EG$13), 1*(_xlfn._xlws.FILTER(OFFSET($O$15,0,$DO49,$B$8,1),OFFSET($M$15,0,0,$B$8,1))=EG$14))   /   SUM(OFFSET($BO$15,0,0,$B$14,1)) + $B$18/($B$19*$B$19*($DN49&lt;&gt;$DO49) + $B$19*($DN49=$DO49))</f>
        <v>3.7037037037037035E-4</v>
      </c>
      <c r="EH49" s="10" cm="1">
        <f t="array" aca="1" ref="EH49" ca="1">(1-$B$18)*SUMPRODUCT(OFFSET($BO$15,0,0,$B$14,1), 1*(_xlfn._xlws.FILTER(OFFSET($O$15,0,$DN49,$B$8,1),OFFSET($M$15,0,0,$B$8,1))=EH$13), 1*(_xlfn._xlws.FILTER(OFFSET($O$15,0,$DO49,$B$8,1),OFFSET($M$15,0,0,$B$8,1))=EH$14))   /   SUM(OFFSET($BO$15,0,0,$B$14,1)) + $B$18/($B$19*$B$19*($DN49&lt;&gt;$DO49) + $B$19*($DN49=$DO49))</f>
        <v>3.7037037037037035E-4</v>
      </c>
      <c r="EI49" s="10" cm="1">
        <f t="array" aca="1" ref="EI49" ca="1">(1-$B$18)*SUMPRODUCT(OFFSET($BO$15,0,0,$B$14,1), 1*(_xlfn._xlws.FILTER(OFFSET($O$15,0,$DN49,$B$8,1),OFFSET($M$15,0,0,$B$8,1))=EI$13), 1*(_xlfn._xlws.FILTER(OFFSET($O$15,0,$DO49,$B$8,1),OFFSET($M$15,0,0,$B$8,1))=EI$14))   /   SUM(OFFSET($BO$15,0,0,$B$14,1)) + $B$18/($B$19*$B$19*($DN49&lt;&gt;$DO49) + $B$19*($DN49=$DO49))</f>
        <v>3.7037037037037035E-4</v>
      </c>
      <c r="EJ49" s="10" cm="1">
        <f t="array" aca="1" ref="EJ49" ca="1">(1-$B$18)*SUMPRODUCT(OFFSET($BO$15,0,0,$B$14,1), 1*(_xlfn._xlws.FILTER(OFFSET($O$15,0,$DN49,$B$8,1),OFFSET($M$15,0,0,$B$8,1))=EJ$13), 1*(_xlfn._xlws.FILTER(OFFSET($O$15,0,$DO49,$B$8,1),OFFSET($M$15,0,0,$B$8,1))=EJ$14))   /   SUM(OFFSET($BO$15,0,0,$B$14,1)) + $B$18/($B$19*$B$19*($DN49&lt;&gt;$DO49) + $B$19*($DN49=$DO49))</f>
        <v>3.7037037037037035E-4</v>
      </c>
      <c r="EK49" s="10" cm="1">
        <f t="array" aca="1" ref="EK49" ca="1">(1-$B$18)*SUMPRODUCT(OFFSET($BO$15,0,0,$B$14,1), 1*(_xlfn._xlws.FILTER(OFFSET($O$15,0,$DN49,$B$8,1),OFFSET($M$15,0,0,$B$8,1))=EK$13), 1*(_xlfn._xlws.FILTER(OFFSET($O$15,0,$DO49,$B$8,1),OFFSET($M$15,0,0,$B$8,1))=EK$14))   /   SUM(OFFSET($BO$15,0,0,$B$14,1)) + $B$18/($B$19*$B$19*($DN49&lt;&gt;$DO49) + $B$19*($DN49=$DO49))</f>
        <v>3.7037037037037035E-4</v>
      </c>
      <c r="EL49" s="10" cm="1">
        <f t="array" aca="1" ref="EL49" ca="1">(1-$B$18)*SUMPRODUCT(OFFSET($BO$15,0,0,$B$14,1), 1*(_xlfn._xlws.FILTER(OFFSET($O$15,0,$DN49,$B$8,1),OFFSET($M$15,0,0,$B$8,1))=EL$13), 1*(_xlfn._xlws.FILTER(OFFSET($O$15,0,$DO49,$B$8,1),OFFSET($M$15,0,0,$B$8,1))=EL$14))   /   SUM(OFFSET($BO$15,0,0,$B$14,1)) + $B$18/($B$19*$B$19*($DN49&lt;&gt;$DO49) + $B$19*($DN49=$DO49))</f>
        <v>3.7037037037037035E-4</v>
      </c>
      <c r="EM49" s="10" cm="1">
        <f t="array" aca="1" ref="EM49" ca="1">(1-$B$18)*SUMPRODUCT(OFFSET($BO$15,0,0,$B$14,1), 1*(_xlfn._xlws.FILTER(OFFSET($O$15,0,$DN49,$B$8,1),OFFSET($M$15,0,0,$B$8,1))=EM$13), 1*(_xlfn._xlws.FILTER(OFFSET($O$15,0,$DO49,$B$8,1),OFFSET($M$15,0,0,$B$8,1))=EM$14))   /   SUM(OFFSET($BO$15,0,0,$B$14,1)) + $B$18/($B$19*$B$19*($DN49&lt;&gt;$DO49) + $B$19*($DN49=$DO49))</f>
        <v>3.7037037037037035E-4</v>
      </c>
      <c r="EN49" s="10" cm="1">
        <f t="array" aca="1" ref="EN49" ca="1">(1-$B$18)*SUMPRODUCT(OFFSET($BO$15,0,0,$B$14,1), 1*(_xlfn._xlws.FILTER(OFFSET($O$15,0,$DN49,$B$8,1),OFFSET($M$15,0,0,$B$8,1))=EN$13), 1*(_xlfn._xlws.FILTER(OFFSET($O$15,0,$DO49,$B$8,1),OFFSET($M$15,0,0,$B$8,1))=EN$14))   /   SUM(OFFSET($BO$15,0,0,$B$14,1)) + $B$18/($B$19*$B$19*($DN49&lt;&gt;$DO49) + $B$19*($DN49=$DO49))</f>
        <v>3.7037037037037035E-4</v>
      </c>
      <c r="EO49" s="10" cm="1">
        <f t="array" aca="1" ref="EO49" ca="1">(1-$B$18)*SUMPRODUCT(OFFSET($BO$15,0,0,$B$14,1), 1*(_xlfn._xlws.FILTER(OFFSET($O$15,0,$DN49,$B$8,1),OFFSET($M$15,0,0,$B$8,1))=EO$13), 1*(_xlfn._xlws.FILTER(OFFSET($O$15,0,$DO49,$B$8,1),OFFSET($M$15,0,0,$B$8,1))=EO$14))   /   SUM(OFFSET($BO$15,0,0,$B$14,1)) + $B$18/($B$19*$B$19*($DN49&lt;&gt;$DO49) + $B$19*($DN49=$DO49))</f>
        <v>3.7037037037037035E-4</v>
      </c>
      <c r="EP49" s="10" cm="1">
        <f t="array" aca="1" ref="EP49" ca="1">(1-$B$18)*SUMPRODUCT(OFFSET($BO$15,0,0,$B$14,1), 1*(_xlfn._xlws.FILTER(OFFSET($O$15,0,$DN49,$B$8,1),OFFSET($M$15,0,0,$B$8,1))=EP$13), 1*(_xlfn._xlws.FILTER(OFFSET($O$15,0,$DO49,$B$8,1),OFFSET($M$15,0,0,$B$8,1))=EP$14))   /   SUM(OFFSET($BO$15,0,0,$B$14,1)) + $B$18/($B$19*$B$19*($DN49&lt;&gt;$DO49) + $B$19*($DN49=$DO49))</f>
        <v>3.7037037037037035E-4</v>
      </c>
      <c r="EQ49" s="10" cm="1">
        <f t="array" aca="1" ref="EQ49" ca="1">(1-$B$18)*SUMPRODUCT(OFFSET($BO$15,0,0,$B$14,1), 1*(_xlfn._xlws.FILTER(OFFSET($O$15,0,$DN49,$B$8,1),OFFSET($M$15,0,0,$B$8,1))=EQ$13), 1*(_xlfn._xlws.FILTER(OFFSET($O$15,0,$DO49,$B$8,1),OFFSET($M$15,0,0,$B$8,1))=EQ$14))   /   SUM(OFFSET($BO$15,0,0,$B$14,1)) + $B$18/($B$19*$B$19*($DN49&lt;&gt;$DO49) + $B$19*($DN49=$DO49))</f>
        <v>3.7037037037037035E-4</v>
      </c>
      <c r="ER49" s="10" cm="1">
        <f t="array" aca="1" ref="ER49" ca="1">(1-$B$18)*SUMPRODUCT(OFFSET($BO$15,0,0,$B$14,1), 1*(_xlfn._xlws.FILTER(OFFSET($O$15,0,$DN49,$B$8,1),OFFSET($M$15,0,0,$B$8,1))=ER$13), 1*(_xlfn._xlws.FILTER(OFFSET($O$15,0,$DO49,$B$8,1),OFFSET($M$15,0,0,$B$8,1))=ER$14))   /   SUM(OFFSET($BO$15,0,0,$B$14,1)) + $B$18/($B$19*$B$19*($DN49&lt;&gt;$DO49) + $B$19*($DN49=$DO49))</f>
        <v>3.7037037037037035E-4</v>
      </c>
      <c r="ES49" s="10" cm="1">
        <f t="array" aca="1" ref="ES49" ca="1">(1-$B$18)*SUMPRODUCT(OFFSET($BO$15,0,0,$B$14,1), 1*(_xlfn._xlws.FILTER(OFFSET($O$15,0,$DN49,$B$8,1),OFFSET($M$15,0,0,$B$8,1))=ES$13), 1*(_xlfn._xlws.FILTER(OFFSET($O$15,0,$DO49,$B$8,1),OFFSET($M$15,0,0,$B$8,1))=ES$14))   /   SUM(OFFSET($BO$15,0,0,$B$14,1)) + $B$18/($B$19*$B$19*($DN49&lt;&gt;$DO49) + $B$19*($DN49=$DO49))</f>
        <v>3.7037037037037035E-4</v>
      </c>
      <c r="ET49" s="10" cm="1">
        <f t="array" aca="1" ref="ET49" ca="1">(1-$B$18)*SUMPRODUCT(OFFSET($BO$15,0,0,$B$14,1), 1*(_xlfn._xlws.FILTER(OFFSET($O$15,0,$DN49,$B$8,1),OFFSET($M$15,0,0,$B$8,1))=ET$13), 1*(_xlfn._xlws.FILTER(OFFSET($O$15,0,$DO49,$B$8,1),OFFSET($M$15,0,0,$B$8,1))=ET$14))   /   SUM(OFFSET($BO$15,0,0,$B$14,1)) + $B$18/($B$19*$B$19*($DN49&lt;&gt;$DO49) + $B$19*($DN49=$DO49))</f>
        <v>3.7037037037037035E-4</v>
      </c>
      <c r="EU49" s="10" cm="1">
        <f t="array" aca="1" ref="EU49" ca="1">(1-$B$18)*SUMPRODUCT(OFFSET($BO$15,0,0,$B$14,1), 1*(_xlfn._xlws.FILTER(OFFSET($O$15,0,$DN49,$B$8,1),OFFSET($M$15,0,0,$B$8,1))=EU$13), 1*(_xlfn._xlws.FILTER(OFFSET($O$15,0,$DO49,$B$8,1),OFFSET($M$15,0,0,$B$8,1))=EU$14))   /   SUM(OFFSET($BO$15,0,0,$B$14,1)) + $B$18/($B$19*$B$19*($DN49&lt;&gt;$DO49) + $B$19*($DN49=$DO49))</f>
        <v>3.7037037037037035E-4</v>
      </c>
      <c r="EV49" s="10" cm="1">
        <f t="array" aca="1" ref="EV49" ca="1">(1-$B$18)*SUMPRODUCT(OFFSET($BO$15,0,0,$B$14,1), 1*(_xlfn._xlws.FILTER(OFFSET($O$15,0,$DN49,$B$8,1),OFFSET($M$15,0,0,$B$8,1))=EV$13), 1*(_xlfn._xlws.FILTER(OFFSET($O$15,0,$DO49,$B$8,1),OFFSET($M$15,0,0,$B$8,1))=EV$14))   /   SUM(OFFSET($BO$15,0,0,$B$14,1)) + $B$18/($B$19*$B$19*($DN49&lt;&gt;$DO49) + $B$19*($DN49=$DO49))</f>
        <v>3.7037037037037035E-4</v>
      </c>
      <c r="EW49" s="10" cm="1">
        <f t="array" aca="1" ref="EW49" ca="1">(1-$B$18)*SUMPRODUCT(OFFSET($BO$15,0,0,$B$14,1), 1*(_xlfn._xlws.FILTER(OFFSET($O$15,0,$DN49,$B$8,1),OFFSET($M$15,0,0,$B$8,1))=EW$13), 1*(_xlfn._xlws.FILTER(OFFSET($O$15,0,$DO49,$B$8,1),OFFSET($M$15,0,0,$B$8,1))=EW$14))   /   SUM(OFFSET($BO$15,0,0,$B$14,1)) + $B$18/($B$19*$B$19*($DN49&lt;&gt;$DO49) + $B$19*($DN49=$DO49))</f>
        <v>3.7037037037037035E-4</v>
      </c>
      <c r="EX49" s="10" cm="1">
        <f t="array" aca="1" ref="EX49" ca="1">(1-$B$18)*SUMPRODUCT(OFFSET($BO$15,0,0,$B$14,1), 1*(_xlfn._xlws.FILTER(OFFSET($O$15,0,$DN49,$B$8,1),OFFSET($M$15,0,0,$B$8,1))=EX$13), 1*(_xlfn._xlws.FILTER(OFFSET($O$15,0,$DO49,$B$8,1),OFFSET($M$15,0,0,$B$8,1))=EX$14))   /   SUM(OFFSET($BO$15,0,0,$B$14,1)) + $B$18/($B$19*$B$19*($DN49&lt;&gt;$DO49) + $B$19*($DN49=$DO49))</f>
        <v>3.7037037037037035E-4</v>
      </c>
      <c r="EY49" s="10" cm="1">
        <f t="array" aca="1" ref="EY49" ca="1">(1-$B$18)*SUMPRODUCT(OFFSET($BO$15,0,0,$B$14,1), 1*(_xlfn._xlws.FILTER(OFFSET($O$15,0,$DN49,$B$8,1),OFFSET($M$15,0,0,$B$8,1))=EY$13), 1*(_xlfn._xlws.FILTER(OFFSET($O$15,0,$DO49,$B$8,1),OFFSET($M$15,0,0,$B$8,1))=EY$14))   /   SUM(OFFSET($BO$15,0,0,$B$14,1)) + $B$18/($B$19*$B$19*($DN49&lt;&gt;$DO49) + $B$19*($DN49=$DO49))</f>
        <v>3.7037037037037035E-4</v>
      </c>
      <c r="EZ49" s="10" cm="1">
        <f t="array" aca="1" ref="EZ49" ca="1">(1-$B$18)*SUMPRODUCT(OFFSET($BO$15,0,0,$B$14,1), 1*(_xlfn._xlws.FILTER(OFFSET($O$15,0,$DN49,$B$8,1),OFFSET($M$15,0,0,$B$8,1))=EZ$13), 1*(_xlfn._xlws.FILTER(OFFSET($O$15,0,$DO49,$B$8,1),OFFSET($M$15,0,0,$B$8,1))=EZ$14))   /   SUM(OFFSET($BO$15,0,0,$B$14,1)) + $B$18/($B$19*$B$19*($DN49&lt;&gt;$DO49) + $B$19*($DN49=$DO49))</f>
        <v>3.7037037037037035E-4</v>
      </c>
      <c r="FA49" s="10" cm="1">
        <f t="array" aca="1" ref="FA49" ca="1">(1-$B$18)*SUMPRODUCT(OFFSET($BO$15,0,0,$B$14,1), 1*(_xlfn._xlws.FILTER(OFFSET($O$15,0,$DN49,$B$8,1),OFFSET($M$15,0,0,$B$8,1))=FA$13), 1*(_xlfn._xlws.FILTER(OFFSET($O$15,0,$DO49,$B$8,1),OFFSET($M$15,0,0,$B$8,1))=FA$14))   /   SUM(OFFSET($BO$15,0,0,$B$14,1)) + $B$18/($B$19*$B$19*($DN49&lt;&gt;$DO49) + $B$19*($DN49=$DO49))</f>
        <v>3.7037037037037035E-4</v>
      </c>
      <c r="FB49" s="10" cm="1">
        <f t="array" aca="1" ref="FB49" ca="1">(1-$B$18)*SUMPRODUCT(OFFSET($BO$15,0,0,$B$14,1), 1*(_xlfn._xlws.FILTER(OFFSET($O$15,0,$DN49,$B$8,1),OFFSET($M$15,0,0,$B$8,1))=FB$13), 1*(_xlfn._xlws.FILTER(OFFSET($O$15,0,$DO49,$B$8,1),OFFSET($M$15,0,0,$B$8,1))=FB$14))   /   SUM(OFFSET($BO$15,0,0,$B$14,1)) + $B$18/($B$19*$B$19*($DN49&lt;&gt;$DO49) + $B$19*($DN49=$DO49))</f>
        <v>3.7037037037037035E-4</v>
      </c>
      <c r="FC49" s="10" cm="1">
        <f t="array" aca="1" ref="FC49" ca="1">(1-$B$18)*SUMPRODUCT(OFFSET($BO$15,0,0,$B$14,1), 1*(_xlfn._xlws.FILTER(OFFSET($O$15,0,$DN49,$B$8,1),OFFSET($M$15,0,0,$B$8,1))=FC$13), 1*(_xlfn._xlws.FILTER(OFFSET($O$15,0,$DO49,$B$8,1),OFFSET($M$15,0,0,$B$8,1))=FC$14))   /   SUM(OFFSET($BO$15,0,0,$B$14,1)) + $B$18/($B$19*$B$19*($DN49&lt;&gt;$DO49) + $B$19*($DN49=$DO49))</f>
        <v>3.7037037037037035E-4</v>
      </c>
      <c r="FD49" s="10" cm="1">
        <f t="array" aca="1" ref="FD49" ca="1">(1-$B$18)*SUMPRODUCT(OFFSET($BO$15,0,0,$B$14,1), 1*(_xlfn._xlws.FILTER(OFFSET($O$15,0,$DN49,$B$8,1),OFFSET($M$15,0,0,$B$8,1))=FD$13), 1*(_xlfn._xlws.FILTER(OFFSET($O$15,0,$DO49,$B$8,1),OFFSET($M$15,0,0,$B$8,1))=FD$14))   /   SUM(OFFSET($BO$15,0,0,$B$14,1)) + $B$18/($B$19*$B$19*($DN49&lt;&gt;$DO49) + $B$19*($DN49=$DO49))</f>
        <v>3.7037037037037035E-4</v>
      </c>
      <c r="FE49" s="10" cm="1">
        <f t="array" aca="1" ref="FE49" ca="1">(1-$B$18)*SUMPRODUCT(OFFSET($BO$15,0,0,$B$14,1), 1*(_xlfn._xlws.FILTER(OFFSET($O$15,0,$DN49,$B$8,1),OFFSET($M$15,0,0,$B$8,1))=FE$13), 1*(_xlfn._xlws.FILTER(OFFSET($O$15,0,$DO49,$B$8,1),OFFSET($M$15,0,0,$B$8,1))=FE$14))   /   SUM(OFFSET($BO$15,0,0,$B$14,1)) + $B$18/($B$19*$B$19*($DN49&lt;&gt;$DO49) + $B$19*($DN49=$DO49))</f>
        <v>3.7037037037037035E-4</v>
      </c>
      <c r="FF49" s="10" cm="1">
        <f t="array" aca="1" ref="FF49" ca="1">(1-$B$18)*SUMPRODUCT(OFFSET($BO$15,0,0,$B$14,1), 1*(_xlfn._xlws.FILTER(OFFSET($O$15,0,$DN49,$B$8,1),OFFSET($M$15,0,0,$B$8,1))=FF$13), 1*(_xlfn._xlws.FILTER(OFFSET($O$15,0,$DO49,$B$8,1),OFFSET($M$15,0,0,$B$8,1))=FF$14))   /   SUM(OFFSET($BO$15,0,0,$B$14,1)) + $B$18/($B$19*$B$19*($DN49&lt;&gt;$DO49) + $B$19*($DN49=$DO49))</f>
        <v>3.7037037037037035E-4</v>
      </c>
      <c r="FG49" s="10" cm="1">
        <f t="array" aca="1" ref="FG49" ca="1">(1-$B$18)*SUMPRODUCT(OFFSET($BO$15,0,0,$B$14,1), 1*(_xlfn._xlws.FILTER(OFFSET($O$15,0,$DN49,$B$8,1),OFFSET($M$15,0,0,$B$8,1))=FG$13), 1*(_xlfn._xlws.FILTER(OFFSET($O$15,0,$DO49,$B$8,1),OFFSET($M$15,0,0,$B$8,1))=FG$14))   /   SUM(OFFSET($BO$15,0,0,$B$14,1)) + $B$18/($B$19*$B$19*($DN49&lt;&gt;$DO49) + $B$19*($DN49=$DO49))</f>
        <v>3.7037037037037035E-4</v>
      </c>
      <c r="FH49" s="10" cm="1">
        <f t="array" aca="1" ref="FH49" ca="1">(1-$B$18)*SUMPRODUCT(OFFSET($BO$15,0,0,$B$14,1), 1*(_xlfn._xlws.FILTER(OFFSET($O$15,0,$DN49,$B$8,1),OFFSET($M$15,0,0,$B$8,1))=FH$13), 1*(_xlfn._xlws.FILTER(OFFSET($O$15,0,$DO49,$B$8,1),OFFSET($M$15,0,0,$B$8,1))=FH$14))   /   SUM(OFFSET($BO$15,0,0,$B$14,1)) + $B$18/($B$19*$B$19*($DN49&lt;&gt;$DO49) + $B$19*($DN49=$DO49))</f>
        <v>3.7037037037037035E-4</v>
      </c>
      <c r="FI49" s="10" cm="1">
        <f t="array" aca="1" ref="FI49" ca="1">(1-$B$18)*SUMPRODUCT(OFFSET($BO$15,0,0,$B$14,1), 1*(_xlfn._xlws.FILTER(OFFSET($O$15,0,$DN49,$B$8,1),OFFSET($M$15,0,0,$B$8,1))=FI$13), 1*(_xlfn._xlws.FILTER(OFFSET($O$15,0,$DO49,$B$8,1),OFFSET($M$15,0,0,$B$8,1))=FI$14))   /   SUM(OFFSET($BO$15,0,0,$B$14,1)) + $B$18/($B$19*$B$19*($DN49&lt;&gt;$DO49) + $B$19*($DN49=$DO49))</f>
        <v>3.7037037037037035E-4</v>
      </c>
      <c r="FJ49" s="10" cm="1">
        <f t="array" aca="1" ref="FJ49" ca="1">(1-$B$18)*SUMPRODUCT(OFFSET($BO$15,0,0,$B$14,1), 1*(_xlfn._xlws.FILTER(OFFSET($O$15,0,$DN49,$B$8,1),OFFSET($M$15,0,0,$B$8,1))=FJ$13), 1*(_xlfn._xlws.FILTER(OFFSET($O$15,0,$DO49,$B$8,1),OFFSET($M$15,0,0,$B$8,1))=FJ$14))   /   SUM(OFFSET($BO$15,0,0,$B$14,1)) + $B$18/($B$19*$B$19*($DN49&lt;&gt;$DO49) + $B$19*($DN49=$DO49))</f>
        <v>3.7037037037037035E-4</v>
      </c>
      <c r="FK49" s="10" cm="1">
        <f t="array" aca="1" ref="FK49" ca="1">(1-$B$18)*SUMPRODUCT(OFFSET($BO$15,0,0,$B$14,1), 1*(_xlfn._xlws.FILTER(OFFSET($O$15,0,$DN49,$B$8,1),OFFSET($M$15,0,0,$B$8,1))=FK$13), 1*(_xlfn._xlws.FILTER(OFFSET($O$15,0,$DO49,$B$8,1),OFFSET($M$15,0,0,$B$8,1))=FK$14))   /   SUM(OFFSET($BO$15,0,0,$B$14,1)) + $B$18/($B$19*$B$19*($DN49&lt;&gt;$DO49) + $B$19*($DN49=$DO49))</f>
        <v>3.7037037037037035E-4</v>
      </c>
      <c r="FL49" s="10" cm="1">
        <f t="array" aca="1" ref="FL49" ca="1">(1-$B$18)*SUMPRODUCT(OFFSET($BO$15,0,0,$B$14,1), 1*(_xlfn._xlws.FILTER(OFFSET($O$15,0,$DN49,$B$8,1),OFFSET($M$15,0,0,$B$8,1))=FL$13), 1*(_xlfn._xlws.FILTER(OFFSET($O$15,0,$DO49,$B$8,1),OFFSET($M$15,0,0,$B$8,1))=FL$14))   /   SUM(OFFSET($BO$15,0,0,$B$14,1)) + $B$18/($B$19*$B$19*($DN49&lt;&gt;$DO49) + $B$19*($DN49=$DO49))</f>
        <v>3.7037037037037035E-4</v>
      </c>
      <c r="FM49" s="10" cm="1">
        <f t="array" aca="1" ref="FM49" ca="1">(1-$B$18)*SUMPRODUCT(OFFSET($BO$15,0,0,$B$14,1), 1*(_xlfn._xlws.FILTER(OFFSET($O$15,0,$DN49,$B$8,1),OFFSET($M$15,0,0,$B$8,1))=FM$13), 1*(_xlfn._xlws.FILTER(OFFSET($O$15,0,$DO49,$B$8,1),OFFSET($M$15,0,0,$B$8,1))=FM$14))   /   SUM(OFFSET($BO$15,0,0,$B$14,1)) + $B$18/($B$19*$B$19*($DN49&lt;&gt;$DO49) + $B$19*($DN49=$DO49))</f>
        <v>3.7037037037037035E-4</v>
      </c>
      <c r="FN49" s="10" cm="1">
        <f t="array" aca="1" ref="FN49" ca="1">(1-$B$18)*SUMPRODUCT(OFFSET($BO$15,0,0,$B$14,1), 1*(_xlfn._xlws.FILTER(OFFSET($O$15,0,$DN49,$B$8,1),OFFSET($M$15,0,0,$B$8,1))=FN$13), 1*(_xlfn._xlws.FILTER(OFFSET($O$15,0,$DO49,$B$8,1),OFFSET($M$15,0,0,$B$8,1))=FN$14))   /   SUM(OFFSET($BO$15,0,0,$B$14,1)) + $B$18/($B$19*$B$19*($DN49&lt;&gt;$DO49) + $B$19*($DN49=$DO49))</f>
        <v>3.7037037037037035E-4</v>
      </c>
      <c r="FO49" s="10" cm="1">
        <f t="array" aca="1" ref="FO49" ca="1">(1-$B$18)*SUMPRODUCT(OFFSET($BO$15,0,0,$B$14,1), 1*(_xlfn._xlws.FILTER(OFFSET($O$15,0,$DN49,$B$8,1),OFFSET($M$15,0,0,$B$8,1))=FO$13), 1*(_xlfn._xlws.FILTER(OFFSET($O$15,0,$DO49,$B$8,1),OFFSET($M$15,0,0,$B$8,1))=FO$14))   /   SUM(OFFSET($BO$15,0,0,$B$14,1)) + $B$18/($B$19*$B$19*($DN49&lt;&gt;$DO49) + $B$19*($DN49=$DO49))</f>
        <v>0.97037037037037033</v>
      </c>
      <c r="FP49" s="10" cm="1">
        <f t="array" aca="1" ref="FP49" ca="1">(1-$B$18)*SUMPRODUCT(OFFSET($BO$15,0,0,$B$14,1), 1*(_xlfn._xlws.FILTER(OFFSET($O$15,0,$DN49,$B$8,1),OFFSET($M$15,0,0,$B$8,1))=FP$13), 1*(_xlfn._xlws.FILTER(OFFSET($O$15,0,$DO49,$B$8,1),OFFSET($M$15,0,0,$B$8,1))=FP$14))   /   SUM(OFFSET($BO$15,0,0,$B$14,1)) + $B$18/($B$19*$B$19*($DN49&lt;&gt;$DO49) + $B$19*($DN49=$DO49))</f>
        <v>3.7037037037037035E-4</v>
      </c>
      <c r="FQ49" s="10" cm="1">
        <f t="array" aca="1" ref="FQ49" ca="1">(1-$B$18)*SUMPRODUCT(OFFSET($BO$15,0,0,$B$14,1), 1*(_xlfn._xlws.FILTER(OFFSET($O$15,0,$DN49,$B$8,1),OFFSET($M$15,0,0,$B$8,1))=FQ$13), 1*(_xlfn._xlws.FILTER(OFFSET($O$15,0,$DO49,$B$8,1),OFFSET($M$15,0,0,$B$8,1))=FQ$14))   /   SUM(OFFSET($BO$15,0,0,$B$14,1)) + $B$18/($B$19*$B$19*($DN49&lt;&gt;$DO49) + $B$19*($DN49=$DO49))</f>
        <v>3.7037037037037035E-4</v>
      </c>
      <c r="FR49" s="10" cm="1">
        <f t="array" aca="1" ref="FR49" ca="1">(1-$B$18)*SUMPRODUCT(OFFSET($BO$15,0,0,$B$14,1), 1*(_xlfn._xlws.FILTER(OFFSET($O$15,0,$DN49,$B$8,1),OFFSET($M$15,0,0,$B$8,1))=FR$13), 1*(_xlfn._xlws.FILTER(OFFSET($O$15,0,$DO49,$B$8,1),OFFSET($M$15,0,0,$B$8,1))=FR$14))   /   SUM(OFFSET($BO$15,0,0,$B$14,1)) + $B$18/($B$19*$B$19*($DN49&lt;&gt;$DO49) + $B$19*($DN49=$DO49))</f>
        <v>3.7037037037037035E-4</v>
      </c>
      <c r="FS49" s="10" cm="1">
        <f t="array" aca="1" ref="FS49" ca="1">(1-$B$18)*SUMPRODUCT(OFFSET($BO$15,0,0,$B$14,1), 1*(_xlfn._xlws.FILTER(OFFSET($O$15,0,$DN49,$B$8,1),OFFSET($M$15,0,0,$B$8,1))=FS$13), 1*(_xlfn._xlws.FILTER(OFFSET($O$15,0,$DO49,$B$8,1),OFFSET($M$15,0,0,$B$8,1))=FS$14))   /   SUM(OFFSET($BO$15,0,0,$B$14,1)) + $B$18/($B$19*$B$19*($DN49&lt;&gt;$DO49) + $B$19*($DN49=$DO49))</f>
        <v>3.7037037037037035E-4</v>
      </c>
      <c r="FT49" s="10" cm="1">
        <f t="array" aca="1" ref="FT49" ca="1">(1-$B$18)*SUMPRODUCT(OFFSET($BO$15,0,0,$B$14,1), 1*(_xlfn._xlws.FILTER(OFFSET($O$15,0,$DN49,$B$8,1),OFFSET($M$15,0,0,$B$8,1))=FT$13), 1*(_xlfn._xlws.FILTER(OFFSET($O$15,0,$DO49,$B$8,1),OFFSET($M$15,0,0,$B$8,1))=FT$14))   /   SUM(OFFSET($BO$15,0,0,$B$14,1)) + $B$18/($B$19*$B$19*($DN49&lt;&gt;$DO49) + $B$19*($DN49=$DO49))</f>
        <v>3.7037037037037035E-4</v>
      </c>
      <c r="FU49" s="10" cm="1">
        <f t="array" aca="1" ref="FU49" ca="1">(1-$B$18)*SUMPRODUCT(OFFSET($BO$15,0,0,$B$14,1), 1*(_xlfn._xlws.FILTER(OFFSET($O$15,0,$DN49,$B$8,1),OFFSET($M$15,0,0,$B$8,1))=FU$13), 1*(_xlfn._xlws.FILTER(OFFSET($O$15,0,$DO49,$B$8,1),OFFSET($M$15,0,0,$B$8,1))=FU$14))   /   SUM(OFFSET($BO$15,0,0,$B$14,1)) + $B$18/($B$19*$B$19*($DN49&lt;&gt;$DO49) + $B$19*($DN49=$DO49))</f>
        <v>3.7037037037037035E-4</v>
      </c>
      <c r="FV49" s="10" cm="1">
        <f t="array" aca="1" ref="FV49" ca="1">(1-$B$18)*SUMPRODUCT(OFFSET($BO$15,0,0,$B$14,1), 1*(_xlfn._xlws.FILTER(OFFSET($O$15,0,$DN49,$B$8,1),OFFSET($M$15,0,0,$B$8,1))=FV$13), 1*(_xlfn._xlws.FILTER(OFFSET($O$15,0,$DO49,$B$8,1),OFFSET($M$15,0,0,$B$8,1))=FV$14))   /   SUM(OFFSET($BO$15,0,0,$B$14,1)) + $B$18/($B$19*$B$19*($DN49&lt;&gt;$DO49) + $B$19*($DN49=$DO49))</f>
        <v>3.7037037037037035E-4</v>
      </c>
      <c r="FW49" s="10" cm="1">
        <f t="array" aca="1" ref="FW49" ca="1">(1-$B$18)*SUMPRODUCT(OFFSET($BO$15,0,0,$B$14,1), 1*(_xlfn._xlws.FILTER(OFFSET($O$15,0,$DN49,$B$8,1),OFFSET($M$15,0,0,$B$8,1))=FW$13), 1*(_xlfn._xlws.FILTER(OFFSET($O$15,0,$DO49,$B$8,1),OFFSET($M$15,0,0,$B$8,1))=FW$14))   /   SUM(OFFSET($BO$15,0,0,$B$14,1)) + $B$18/($B$19*$B$19*($DN49&lt;&gt;$DO49) + $B$19*($DN49=$DO49))</f>
        <v>3.7037037037037035E-4</v>
      </c>
      <c r="FX49" s="10" cm="1">
        <f t="array" aca="1" ref="FX49" ca="1">(1-$B$18)*SUMPRODUCT(OFFSET($BO$15,0,0,$B$14,1), 1*(_xlfn._xlws.FILTER(OFFSET($O$15,0,$DN49,$B$8,1),OFFSET($M$15,0,0,$B$8,1))=FX$13), 1*(_xlfn._xlws.FILTER(OFFSET($O$15,0,$DO49,$B$8,1),OFFSET($M$15,0,0,$B$8,1))=FX$14))   /   SUM(OFFSET($BO$15,0,0,$B$14,1)) + $B$18/($B$19*$B$19*($DN49&lt;&gt;$DO49) + $B$19*($DN49=$DO49))</f>
        <v>3.7037037037037035E-4</v>
      </c>
      <c r="FY49" s="10" cm="1">
        <f t="array" aca="1" ref="FY49" ca="1">(1-$B$18)*SUMPRODUCT(OFFSET($BO$15,0,0,$B$14,1), 1*(_xlfn._xlws.FILTER(OFFSET($O$15,0,$DN49,$B$8,1),OFFSET($M$15,0,0,$B$8,1))=FY$13), 1*(_xlfn._xlws.FILTER(OFFSET($O$15,0,$DO49,$B$8,1),OFFSET($M$15,0,0,$B$8,1))=FY$14))   /   SUM(OFFSET($BO$15,0,0,$B$14,1)) + $B$18/($B$19*$B$19*($DN49&lt;&gt;$DO49) + $B$19*($DN49=$DO49))</f>
        <v>3.7037037037037035E-4</v>
      </c>
      <c r="FZ49" s="10" cm="1">
        <f t="array" aca="1" ref="FZ49" ca="1">(1-$B$18)*SUMPRODUCT(OFFSET($BO$15,0,0,$B$14,1), 1*(_xlfn._xlws.FILTER(OFFSET($O$15,0,$DN49,$B$8,1),OFFSET($M$15,0,0,$B$8,1))=FZ$13), 1*(_xlfn._xlws.FILTER(OFFSET($O$15,0,$DO49,$B$8,1),OFFSET($M$15,0,0,$B$8,1))=FZ$14))   /   SUM(OFFSET($BO$15,0,0,$B$14,1)) + $B$18/($B$19*$B$19*($DN49&lt;&gt;$DO49) + $B$19*($DN49=$DO49))</f>
        <v>3.7037037037037035E-4</v>
      </c>
      <c r="GA49" s="10" cm="1">
        <f t="array" aca="1" ref="GA49" ca="1">(1-$B$18)*SUMPRODUCT(OFFSET($BO$15,0,0,$B$14,1), 1*(_xlfn._xlws.FILTER(OFFSET($O$15,0,$DN49,$B$8,1),OFFSET($M$15,0,0,$B$8,1))=GA$13), 1*(_xlfn._xlws.FILTER(OFFSET($O$15,0,$DO49,$B$8,1),OFFSET($M$15,0,0,$B$8,1))=GA$14))   /   SUM(OFFSET($BO$15,0,0,$B$14,1)) + $B$18/($B$19*$B$19*($DN49&lt;&gt;$DO49) + $B$19*($DN49=$DO49))</f>
        <v>3.7037037037037035E-4</v>
      </c>
    </row>
    <row r="50" spans="5:183" x14ac:dyDescent="0.2">
      <c r="AK50" s="2"/>
      <c r="AL50" s="2"/>
      <c r="CX50">
        <f ca="1"/>
        <v>0.25</v>
      </c>
      <c r="CY50">
        <f ca="1"/>
        <v>0</v>
      </c>
      <c r="DN50" cm="1">
        <f t="array" aca="1" ref="DN50" ca="1">INDEX(_xlfn.ANCHORARRAY($CP$15), 1 + INT((ROWS($DO$15:$DO50) - 1) / ROWS(_xlfn.ANCHORARRAY($CP$15))))</f>
        <v>1</v>
      </c>
      <c r="DO50" cm="1">
        <f t="array" aca="1" ref="DO50" ca="1">INDEX(_xlfn.ANCHORARRAY($CP$15),1+MOD(ROWS($DO$15:$DO50)-1,ROWS(_xlfn.ANCHORARRAY($CP$15))))</f>
        <v>19</v>
      </c>
      <c r="DP50" s="10" cm="1">
        <f t="array" aca="1" ref="DP50" ca="1">(1-$B$18)*SUMPRODUCT(OFFSET($BO$15,0,0,$B$14,1), 1*(_xlfn._xlws.FILTER(OFFSET($O$15,0,$DN50,$B$8,1),OFFSET($M$15,0,0,$B$8,1))=DP$13), 1*(_xlfn._xlws.FILTER(OFFSET($O$15,0,$DO50,$B$8,1),OFFSET($M$15,0,0,$B$8,1))=DP$14))   /   SUM(OFFSET($BO$15,0,0,$B$14,1)) + $B$18/($B$19*$B$19*($DN50&lt;&gt;$DO50) + $B$19*($DN50=$DO50))</f>
        <v>3.7037037037037035E-4</v>
      </c>
      <c r="DQ50" s="10" cm="1">
        <f t="array" aca="1" ref="DQ50" ca="1">(1-$B$18)*SUMPRODUCT(OFFSET($BO$15,0,0,$B$14,1), 1*(_xlfn._xlws.FILTER(OFFSET($O$15,0,$DN50,$B$8,1),OFFSET($M$15,0,0,$B$8,1))=DQ$13), 1*(_xlfn._xlws.FILTER(OFFSET($O$15,0,$DO50,$B$8,1),OFFSET($M$15,0,0,$B$8,1))=DQ$14))   /   SUM(OFFSET($BO$15,0,0,$B$14,1)) + $B$18/($B$19*$B$19*($DN50&lt;&gt;$DO50) + $B$19*($DN50=$DO50))</f>
        <v>3.7037037037037035E-4</v>
      </c>
      <c r="DR50" s="10" cm="1">
        <f t="array" aca="1" ref="DR50" ca="1">(1-$B$18)*SUMPRODUCT(OFFSET($BO$15,0,0,$B$14,1), 1*(_xlfn._xlws.FILTER(OFFSET($O$15,0,$DN50,$B$8,1),OFFSET($M$15,0,0,$B$8,1))=DR$13), 1*(_xlfn._xlws.FILTER(OFFSET($O$15,0,$DO50,$B$8,1),OFFSET($M$15,0,0,$B$8,1))=DR$14))   /   SUM(OFFSET($BO$15,0,0,$B$14,1)) + $B$18/($B$19*$B$19*($DN50&lt;&gt;$DO50) + $B$19*($DN50=$DO50))</f>
        <v>3.7037037037037035E-4</v>
      </c>
      <c r="DS50" s="10" cm="1">
        <f t="array" aca="1" ref="DS50" ca="1">(1-$B$18)*SUMPRODUCT(OFFSET($BO$15,0,0,$B$14,1), 1*(_xlfn._xlws.FILTER(OFFSET($O$15,0,$DN50,$B$8,1),OFFSET($M$15,0,0,$B$8,1))=DS$13), 1*(_xlfn._xlws.FILTER(OFFSET($O$15,0,$DO50,$B$8,1),OFFSET($M$15,0,0,$B$8,1))=DS$14))   /   SUM(OFFSET($BO$15,0,0,$B$14,1)) + $B$18/($B$19*$B$19*($DN50&lt;&gt;$DO50) + $B$19*($DN50=$DO50))</f>
        <v>3.7037037037037035E-4</v>
      </c>
      <c r="DT50" s="10" cm="1">
        <f t="array" aca="1" ref="DT50" ca="1">(1-$B$18)*SUMPRODUCT(OFFSET($BO$15,0,0,$B$14,1), 1*(_xlfn._xlws.FILTER(OFFSET($O$15,0,$DN50,$B$8,1),OFFSET($M$15,0,0,$B$8,1))=DT$13), 1*(_xlfn._xlws.FILTER(OFFSET($O$15,0,$DO50,$B$8,1),OFFSET($M$15,0,0,$B$8,1))=DT$14))   /   SUM(OFFSET($BO$15,0,0,$B$14,1)) + $B$18/($B$19*$B$19*($DN50&lt;&gt;$DO50) + $B$19*($DN50=$DO50))</f>
        <v>3.7037037037037035E-4</v>
      </c>
      <c r="DU50" s="10" cm="1">
        <f t="array" aca="1" ref="DU50" ca="1">(1-$B$18)*SUMPRODUCT(OFFSET($BO$15,0,0,$B$14,1), 1*(_xlfn._xlws.FILTER(OFFSET($O$15,0,$DN50,$B$8,1),OFFSET($M$15,0,0,$B$8,1))=DU$13), 1*(_xlfn._xlws.FILTER(OFFSET($O$15,0,$DO50,$B$8,1),OFFSET($M$15,0,0,$B$8,1))=DU$14))   /   SUM(OFFSET($BO$15,0,0,$B$14,1)) + $B$18/($B$19*$B$19*($DN50&lt;&gt;$DO50) + $B$19*($DN50=$DO50))</f>
        <v>3.7037037037037035E-4</v>
      </c>
      <c r="DV50" s="10" cm="1">
        <f t="array" aca="1" ref="DV50" ca="1">(1-$B$18)*SUMPRODUCT(OFFSET($BO$15,0,0,$B$14,1), 1*(_xlfn._xlws.FILTER(OFFSET($O$15,0,$DN50,$B$8,1),OFFSET($M$15,0,0,$B$8,1))=DV$13), 1*(_xlfn._xlws.FILTER(OFFSET($O$15,0,$DO50,$B$8,1),OFFSET($M$15,0,0,$B$8,1))=DV$14))   /   SUM(OFFSET($BO$15,0,0,$B$14,1)) + $B$18/($B$19*$B$19*($DN50&lt;&gt;$DO50) + $B$19*($DN50=$DO50))</f>
        <v>3.7037037037037035E-4</v>
      </c>
      <c r="DW50" s="10" cm="1">
        <f t="array" aca="1" ref="DW50" ca="1">(1-$B$18)*SUMPRODUCT(OFFSET($BO$15,0,0,$B$14,1), 1*(_xlfn._xlws.FILTER(OFFSET($O$15,0,$DN50,$B$8,1),OFFSET($M$15,0,0,$B$8,1))=DW$13), 1*(_xlfn._xlws.FILTER(OFFSET($O$15,0,$DO50,$B$8,1),OFFSET($M$15,0,0,$B$8,1))=DW$14))   /   SUM(OFFSET($BO$15,0,0,$B$14,1)) + $B$18/($B$19*$B$19*($DN50&lt;&gt;$DO50) + $B$19*($DN50=$DO50))</f>
        <v>3.7037037037037035E-4</v>
      </c>
      <c r="DX50" s="10" cm="1">
        <f t="array" aca="1" ref="DX50" ca="1">(1-$B$18)*SUMPRODUCT(OFFSET($BO$15,0,0,$B$14,1), 1*(_xlfn._xlws.FILTER(OFFSET($O$15,0,$DN50,$B$8,1),OFFSET($M$15,0,0,$B$8,1))=DX$13), 1*(_xlfn._xlws.FILTER(OFFSET($O$15,0,$DO50,$B$8,1),OFFSET($M$15,0,0,$B$8,1))=DX$14))   /   SUM(OFFSET($BO$15,0,0,$B$14,1)) + $B$18/($B$19*$B$19*($DN50&lt;&gt;$DO50) + $B$19*($DN50=$DO50))</f>
        <v>3.7037037037037035E-4</v>
      </c>
      <c r="DY50" s="10" cm="1">
        <f t="array" aca="1" ref="DY50" ca="1">(1-$B$18)*SUMPRODUCT(OFFSET($BO$15,0,0,$B$14,1), 1*(_xlfn._xlws.FILTER(OFFSET($O$15,0,$DN50,$B$8,1),OFFSET($M$15,0,0,$B$8,1))=DY$13), 1*(_xlfn._xlws.FILTER(OFFSET($O$15,0,$DO50,$B$8,1),OFFSET($M$15,0,0,$B$8,1))=DY$14))   /   SUM(OFFSET($BO$15,0,0,$B$14,1)) + $B$18/($B$19*$B$19*($DN50&lt;&gt;$DO50) + $B$19*($DN50=$DO50))</f>
        <v>3.7037037037037035E-4</v>
      </c>
      <c r="DZ50" s="10" cm="1">
        <f t="array" aca="1" ref="DZ50" ca="1">(1-$B$18)*SUMPRODUCT(OFFSET($BO$15,0,0,$B$14,1), 1*(_xlfn._xlws.FILTER(OFFSET($O$15,0,$DN50,$B$8,1),OFFSET($M$15,0,0,$B$8,1))=DZ$13), 1*(_xlfn._xlws.FILTER(OFFSET($O$15,0,$DO50,$B$8,1),OFFSET($M$15,0,0,$B$8,1))=DZ$14))   /   SUM(OFFSET($BO$15,0,0,$B$14,1)) + $B$18/($B$19*$B$19*($DN50&lt;&gt;$DO50) + $B$19*($DN50=$DO50))</f>
        <v>3.7037037037037035E-4</v>
      </c>
      <c r="EA50" s="10" cm="1">
        <f t="array" aca="1" ref="EA50" ca="1">(1-$B$18)*SUMPRODUCT(OFFSET($BO$15,0,0,$B$14,1), 1*(_xlfn._xlws.FILTER(OFFSET($O$15,0,$DN50,$B$8,1),OFFSET($M$15,0,0,$B$8,1))=EA$13), 1*(_xlfn._xlws.FILTER(OFFSET($O$15,0,$DO50,$B$8,1),OFFSET($M$15,0,0,$B$8,1))=EA$14))   /   SUM(OFFSET($BO$15,0,0,$B$14,1)) + $B$18/($B$19*$B$19*($DN50&lt;&gt;$DO50) + $B$19*($DN50=$DO50))</f>
        <v>3.7037037037037035E-4</v>
      </c>
      <c r="EB50" s="10" cm="1">
        <f t="array" aca="1" ref="EB50" ca="1">(1-$B$18)*SUMPRODUCT(OFFSET($BO$15,0,0,$B$14,1), 1*(_xlfn._xlws.FILTER(OFFSET($O$15,0,$DN50,$B$8,1),OFFSET($M$15,0,0,$B$8,1))=EB$13), 1*(_xlfn._xlws.FILTER(OFFSET($O$15,0,$DO50,$B$8,1),OFFSET($M$15,0,0,$B$8,1))=EB$14))   /   SUM(OFFSET($BO$15,0,0,$B$14,1)) + $B$18/($B$19*$B$19*($DN50&lt;&gt;$DO50) + $B$19*($DN50=$DO50))</f>
        <v>3.7037037037037035E-4</v>
      </c>
      <c r="EC50" s="10" cm="1">
        <f t="array" aca="1" ref="EC50" ca="1">(1-$B$18)*SUMPRODUCT(OFFSET($BO$15,0,0,$B$14,1), 1*(_xlfn._xlws.FILTER(OFFSET($O$15,0,$DN50,$B$8,1),OFFSET($M$15,0,0,$B$8,1))=EC$13), 1*(_xlfn._xlws.FILTER(OFFSET($O$15,0,$DO50,$B$8,1),OFFSET($M$15,0,0,$B$8,1))=EC$14))   /   SUM(OFFSET($BO$15,0,0,$B$14,1)) + $B$18/($B$19*$B$19*($DN50&lt;&gt;$DO50) + $B$19*($DN50=$DO50))</f>
        <v>3.7037037037037035E-4</v>
      </c>
      <c r="ED50" s="10" cm="1">
        <f t="array" aca="1" ref="ED50" ca="1">(1-$B$18)*SUMPRODUCT(OFFSET($BO$15,0,0,$B$14,1), 1*(_xlfn._xlws.FILTER(OFFSET($O$15,0,$DN50,$B$8,1),OFFSET($M$15,0,0,$B$8,1))=ED$13), 1*(_xlfn._xlws.FILTER(OFFSET($O$15,0,$DO50,$B$8,1),OFFSET($M$15,0,0,$B$8,1))=ED$14))   /   SUM(OFFSET($BO$15,0,0,$B$14,1)) + $B$18/($B$19*$B$19*($DN50&lt;&gt;$DO50) + $B$19*($DN50=$DO50))</f>
        <v>3.7037037037037035E-4</v>
      </c>
      <c r="EE50" s="10" cm="1">
        <f t="array" aca="1" ref="EE50" ca="1">(1-$B$18)*SUMPRODUCT(OFFSET($BO$15,0,0,$B$14,1), 1*(_xlfn._xlws.FILTER(OFFSET($O$15,0,$DN50,$B$8,1),OFFSET($M$15,0,0,$B$8,1))=EE$13), 1*(_xlfn._xlws.FILTER(OFFSET($O$15,0,$DO50,$B$8,1),OFFSET($M$15,0,0,$B$8,1))=EE$14))   /   SUM(OFFSET($BO$15,0,0,$B$14,1)) + $B$18/($B$19*$B$19*($DN50&lt;&gt;$DO50) + $B$19*($DN50=$DO50))</f>
        <v>3.7037037037037035E-4</v>
      </c>
      <c r="EF50" s="10" cm="1">
        <f t="array" aca="1" ref="EF50" ca="1">(1-$B$18)*SUMPRODUCT(OFFSET($BO$15,0,0,$B$14,1), 1*(_xlfn._xlws.FILTER(OFFSET($O$15,0,$DN50,$B$8,1),OFFSET($M$15,0,0,$B$8,1))=EF$13), 1*(_xlfn._xlws.FILTER(OFFSET($O$15,0,$DO50,$B$8,1),OFFSET($M$15,0,0,$B$8,1))=EF$14))   /   SUM(OFFSET($BO$15,0,0,$B$14,1)) + $B$18/($B$19*$B$19*($DN50&lt;&gt;$DO50) + $B$19*($DN50=$DO50))</f>
        <v>3.7037037037037035E-4</v>
      </c>
      <c r="EG50" s="10" cm="1">
        <f t="array" aca="1" ref="EG50" ca="1">(1-$B$18)*SUMPRODUCT(OFFSET($BO$15,0,0,$B$14,1), 1*(_xlfn._xlws.FILTER(OFFSET($O$15,0,$DN50,$B$8,1),OFFSET($M$15,0,0,$B$8,1))=EG$13), 1*(_xlfn._xlws.FILTER(OFFSET($O$15,0,$DO50,$B$8,1),OFFSET($M$15,0,0,$B$8,1))=EG$14))   /   SUM(OFFSET($BO$15,0,0,$B$14,1)) + $B$18/($B$19*$B$19*($DN50&lt;&gt;$DO50) + $B$19*($DN50=$DO50))</f>
        <v>3.7037037037037035E-4</v>
      </c>
      <c r="EH50" s="10" cm="1">
        <f t="array" aca="1" ref="EH50" ca="1">(1-$B$18)*SUMPRODUCT(OFFSET($BO$15,0,0,$B$14,1), 1*(_xlfn._xlws.FILTER(OFFSET($O$15,0,$DN50,$B$8,1),OFFSET($M$15,0,0,$B$8,1))=EH$13), 1*(_xlfn._xlws.FILTER(OFFSET($O$15,0,$DO50,$B$8,1),OFFSET($M$15,0,0,$B$8,1))=EH$14))   /   SUM(OFFSET($BO$15,0,0,$B$14,1)) + $B$18/($B$19*$B$19*($DN50&lt;&gt;$DO50) + $B$19*($DN50=$DO50))</f>
        <v>3.7037037037037035E-4</v>
      </c>
      <c r="EI50" s="10" cm="1">
        <f t="array" aca="1" ref="EI50" ca="1">(1-$B$18)*SUMPRODUCT(OFFSET($BO$15,0,0,$B$14,1), 1*(_xlfn._xlws.FILTER(OFFSET($O$15,0,$DN50,$B$8,1),OFFSET($M$15,0,0,$B$8,1))=EI$13), 1*(_xlfn._xlws.FILTER(OFFSET($O$15,0,$DO50,$B$8,1),OFFSET($M$15,0,0,$B$8,1))=EI$14))   /   SUM(OFFSET($BO$15,0,0,$B$14,1)) + $B$18/($B$19*$B$19*($DN50&lt;&gt;$DO50) + $B$19*($DN50=$DO50))</f>
        <v>3.7037037037037035E-4</v>
      </c>
      <c r="EJ50" s="10" cm="1">
        <f t="array" aca="1" ref="EJ50" ca="1">(1-$B$18)*SUMPRODUCT(OFFSET($BO$15,0,0,$B$14,1), 1*(_xlfn._xlws.FILTER(OFFSET($O$15,0,$DN50,$B$8,1),OFFSET($M$15,0,0,$B$8,1))=EJ$13), 1*(_xlfn._xlws.FILTER(OFFSET($O$15,0,$DO50,$B$8,1),OFFSET($M$15,0,0,$B$8,1))=EJ$14))   /   SUM(OFFSET($BO$15,0,0,$B$14,1)) + $B$18/($B$19*$B$19*($DN50&lt;&gt;$DO50) + $B$19*($DN50=$DO50))</f>
        <v>3.7037037037037035E-4</v>
      </c>
      <c r="EK50" s="10" cm="1">
        <f t="array" aca="1" ref="EK50" ca="1">(1-$B$18)*SUMPRODUCT(OFFSET($BO$15,0,0,$B$14,1), 1*(_xlfn._xlws.FILTER(OFFSET($O$15,0,$DN50,$B$8,1),OFFSET($M$15,0,0,$B$8,1))=EK$13), 1*(_xlfn._xlws.FILTER(OFFSET($O$15,0,$DO50,$B$8,1),OFFSET($M$15,0,0,$B$8,1))=EK$14))   /   SUM(OFFSET($BO$15,0,0,$B$14,1)) + $B$18/($B$19*$B$19*($DN50&lt;&gt;$DO50) + $B$19*($DN50=$DO50))</f>
        <v>3.7037037037037035E-4</v>
      </c>
      <c r="EL50" s="10" cm="1">
        <f t="array" aca="1" ref="EL50" ca="1">(1-$B$18)*SUMPRODUCT(OFFSET($BO$15,0,0,$B$14,1), 1*(_xlfn._xlws.FILTER(OFFSET($O$15,0,$DN50,$B$8,1),OFFSET($M$15,0,0,$B$8,1))=EL$13), 1*(_xlfn._xlws.FILTER(OFFSET($O$15,0,$DO50,$B$8,1),OFFSET($M$15,0,0,$B$8,1))=EL$14))   /   SUM(OFFSET($BO$15,0,0,$B$14,1)) + $B$18/($B$19*$B$19*($DN50&lt;&gt;$DO50) + $B$19*($DN50=$DO50))</f>
        <v>3.7037037037037035E-4</v>
      </c>
      <c r="EM50" s="10" cm="1">
        <f t="array" aca="1" ref="EM50" ca="1">(1-$B$18)*SUMPRODUCT(OFFSET($BO$15,0,0,$B$14,1), 1*(_xlfn._xlws.FILTER(OFFSET($O$15,0,$DN50,$B$8,1),OFFSET($M$15,0,0,$B$8,1))=EM$13), 1*(_xlfn._xlws.FILTER(OFFSET($O$15,0,$DO50,$B$8,1),OFFSET($M$15,0,0,$B$8,1))=EM$14))   /   SUM(OFFSET($BO$15,0,0,$B$14,1)) + $B$18/($B$19*$B$19*($DN50&lt;&gt;$DO50) + $B$19*($DN50=$DO50))</f>
        <v>3.7037037037037035E-4</v>
      </c>
      <c r="EN50" s="10" cm="1">
        <f t="array" aca="1" ref="EN50" ca="1">(1-$B$18)*SUMPRODUCT(OFFSET($BO$15,0,0,$B$14,1), 1*(_xlfn._xlws.FILTER(OFFSET($O$15,0,$DN50,$B$8,1),OFFSET($M$15,0,0,$B$8,1))=EN$13), 1*(_xlfn._xlws.FILTER(OFFSET($O$15,0,$DO50,$B$8,1),OFFSET($M$15,0,0,$B$8,1))=EN$14))   /   SUM(OFFSET($BO$15,0,0,$B$14,1)) + $B$18/($B$19*$B$19*($DN50&lt;&gt;$DO50) + $B$19*($DN50=$DO50))</f>
        <v>3.7037037037037035E-4</v>
      </c>
      <c r="EO50" s="10" cm="1">
        <f t="array" aca="1" ref="EO50" ca="1">(1-$B$18)*SUMPRODUCT(OFFSET($BO$15,0,0,$B$14,1), 1*(_xlfn._xlws.FILTER(OFFSET($O$15,0,$DN50,$B$8,1),OFFSET($M$15,0,0,$B$8,1))=EO$13), 1*(_xlfn._xlws.FILTER(OFFSET($O$15,0,$DO50,$B$8,1),OFFSET($M$15,0,0,$B$8,1))=EO$14))   /   SUM(OFFSET($BO$15,0,0,$B$14,1)) + $B$18/($B$19*$B$19*($DN50&lt;&gt;$DO50) + $B$19*($DN50=$DO50))</f>
        <v>3.7037037037037035E-4</v>
      </c>
      <c r="EP50" s="10" cm="1">
        <f t="array" aca="1" ref="EP50" ca="1">(1-$B$18)*SUMPRODUCT(OFFSET($BO$15,0,0,$B$14,1), 1*(_xlfn._xlws.FILTER(OFFSET($O$15,0,$DN50,$B$8,1),OFFSET($M$15,0,0,$B$8,1))=EP$13), 1*(_xlfn._xlws.FILTER(OFFSET($O$15,0,$DO50,$B$8,1),OFFSET($M$15,0,0,$B$8,1))=EP$14))   /   SUM(OFFSET($BO$15,0,0,$B$14,1)) + $B$18/($B$19*$B$19*($DN50&lt;&gt;$DO50) + $B$19*($DN50=$DO50))</f>
        <v>3.7037037037037035E-4</v>
      </c>
      <c r="EQ50" s="10" cm="1">
        <f t="array" aca="1" ref="EQ50" ca="1">(1-$B$18)*SUMPRODUCT(OFFSET($BO$15,0,0,$B$14,1), 1*(_xlfn._xlws.FILTER(OFFSET($O$15,0,$DN50,$B$8,1),OFFSET($M$15,0,0,$B$8,1))=EQ$13), 1*(_xlfn._xlws.FILTER(OFFSET($O$15,0,$DO50,$B$8,1),OFFSET($M$15,0,0,$B$8,1))=EQ$14))   /   SUM(OFFSET($BO$15,0,0,$B$14,1)) + $B$18/($B$19*$B$19*($DN50&lt;&gt;$DO50) + $B$19*($DN50=$DO50))</f>
        <v>3.7037037037037035E-4</v>
      </c>
      <c r="ER50" s="10" cm="1">
        <f t="array" aca="1" ref="ER50" ca="1">(1-$B$18)*SUMPRODUCT(OFFSET($BO$15,0,0,$B$14,1), 1*(_xlfn._xlws.FILTER(OFFSET($O$15,0,$DN50,$B$8,1),OFFSET($M$15,0,0,$B$8,1))=ER$13), 1*(_xlfn._xlws.FILTER(OFFSET($O$15,0,$DO50,$B$8,1),OFFSET($M$15,0,0,$B$8,1))=ER$14))   /   SUM(OFFSET($BO$15,0,0,$B$14,1)) + $B$18/($B$19*$B$19*($DN50&lt;&gt;$DO50) + $B$19*($DN50=$DO50))</f>
        <v>3.7037037037037035E-4</v>
      </c>
      <c r="ES50" s="10" cm="1">
        <f t="array" aca="1" ref="ES50" ca="1">(1-$B$18)*SUMPRODUCT(OFFSET($BO$15,0,0,$B$14,1), 1*(_xlfn._xlws.FILTER(OFFSET($O$15,0,$DN50,$B$8,1),OFFSET($M$15,0,0,$B$8,1))=ES$13), 1*(_xlfn._xlws.FILTER(OFFSET($O$15,0,$DO50,$B$8,1),OFFSET($M$15,0,0,$B$8,1))=ES$14))   /   SUM(OFFSET($BO$15,0,0,$B$14,1)) + $B$18/($B$19*$B$19*($DN50&lt;&gt;$DO50) + $B$19*($DN50=$DO50))</f>
        <v>3.7037037037037035E-4</v>
      </c>
      <c r="ET50" s="10" cm="1">
        <f t="array" aca="1" ref="ET50" ca="1">(1-$B$18)*SUMPRODUCT(OFFSET($BO$15,0,0,$B$14,1), 1*(_xlfn._xlws.FILTER(OFFSET($O$15,0,$DN50,$B$8,1),OFFSET($M$15,0,0,$B$8,1))=ET$13), 1*(_xlfn._xlws.FILTER(OFFSET($O$15,0,$DO50,$B$8,1),OFFSET($M$15,0,0,$B$8,1))=ET$14))   /   SUM(OFFSET($BO$15,0,0,$B$14,1)) + $B$18/($B$19*$B$19*($DN50&lt;&gt;$DO50) + $B$19*($DN50=$DO50))</f>
        <v>3.7037037037037035E-4</v>
      </c>
      <c r="EU50" s="10" cm="1">
        <f t="array" aca="1" ref="EU50" ca="1">(1-$B$18)*SUMPRODUCT(OFFSET($BO$15,0,0,$B$14,1), 1*(_xlfn._xlws.FILTER(OFFSET($O$15,0,$DN50,$B$8,1),OFFSET($M$15,0,0,$B$8,1))=EU$13), 1*(_xlfn._xlws.FILTER(OFFSET($O$15,0,$DO50,$B$8,1),OFFSET($M$15,0,0,$B$8,1))=EU$14))   /   SUM(OFFSET($BO$15,0,0,$B$14,1)) + $B$18/($B$19*$B$19*($DN50&lt;&gt;$DO50) + $B$19*($DN50=$DO50))</f>
        <v>3.7037037037037035E-4</v>
      </c>
      <c r="EV50" s="10" cm="1">
        <f t="array" aca="1" ref="EV50" ca="1">(1-$B$18)*SUMPRODUCT(OFFSET($BO$15,0,0,$B$14,1), 1*(_xlfn._xlws.FILTER(OFFSET($O$15,0,$DN50,$B$8,1),OFFSET($M$15,0,0,$B$8,1))=EV$13), 1*(_xlfn._xlws.FILTER(OFFSET($O$15,0,$DO50,$B$8,1),OFFSET($M$15,0,0,$B$8,1))=EV$14))   /   SUM(OFFSET($BO$15,0,0,$B$14,1)) + $B$18/($B$19*$B$19*($DN50&lt;&gt;$DO50) + $B$19*($DN50=$DO50))</f>
        <v>3.7037037037037035E-4</v>
      </c>
      <c r="EW50" s="10" cm="1">
        <f t="array" aca="1" ref="EW50" ca="1">(1-$B$18)*SUMPRODUCT(OFFSET($BO$15,0,0,$B$14,1), 1*(_xlfn._xlws.FILTER(OFFSET($O$15,0,$DN50,$B$8,1),OFFSET($M$15,0,0,$B$8,1))=EW$13), 1*(_xlfn._xlws.FILTER(OFFSET($O$15,0,$DO50,$B$8,1),OFFSET($M$15,0,0,$B$8,1))=EW$14))   /   SUM(OFFSET($BO$15,0,0,$B$14,1)) + $B$18/($B$19*$B$19*($DN50&lt;&gt;$DO50) + $B$19*($DN50=$DO50))</f>
        <v>3.7037037037037035E-4</v>
      </c>
      <c r="EX50" s="10" cm="1">
        <f t="array" aca="1" ref="EX50" ca="1">(1-$B$18)*SUMPRODUCT(OFFSET($BO$15,0,0,$B$14,1), 1*(_xlfn._xlws.FILTER(OFFSET($O$15,0,$DN50,$B$8,1),OFFSET($M$15,0,0,$B$8,1))=EX$13), 1*(_xlfn._xlws.FILTER(OFFSET($O$15,0,$DO50,$B$8,1),OFFSET($M$15,0,0,$B$8,1))=EX$14))   /   SUM(OFFSET($BO$15,0,0,$B$14,1)) + $B$18/($B$19*$B$19*($DN50&lt;&gt;$DO50) + $B$19*($DN50=$DO50))</f>
        <v>3.7037037037037035E-4</v>
      </c>
      <c r="EY50" s="10" cm="1">
        <f t="array" aca="1" ref="EY50" ca="1">(1-$B$18)*SUMPRODUCT(OFFSET($BO$15,0,0,$B$14,1), 1*(_xlfn._xlws.FILTER(OFFSET($O$15,0,$DN50,$B$8,1),OFFSET($M$15,0,0,$B$8,1))=EY$13), 1*(_xlfn._xlws.FILTER(OFFSET($O$15,0,$DO50,$B$8,1),OFFSET($M$15,0,0,$B$8,1))=EY$14))   /   SUM(OFFSET($BO$15,0,0,$B$14,1)) + $B$18/($B$19*$B$19*($DN50&lt;&gt;$DO50) + $B$19*($DN50=$DO50))</f>
        <v>3.7037037037037035E-4</v>
      </c>
      <c r="EZ50" s="10" cm="1">
        <f t="array" aca="1" ref="EZ50" ca="1">(1-$B$18)*SUMPRODUCT(OFFSET($BO$15,0,0,$B$14,1), 1*(_xlfn._xlws.FILTER(OFFSET($O$15,0,$DN50,$B$8,1),OFFSET($M$15,0,0,$B$8,1))=EZ$13), 1*(_xlfn._xlws.FILTER(OFFSET($O$15,0,$DO50,$B$8,1),OFFSET($M$15,0,0,$B$8,1))=EZ$14))   /   SUM(OFFSET($BO$15,0,0,$B$14,1)) + $B$18/($B$19*$B$19*($DN50&lt;&gt;$DO50) + $B$19*($DN50=$DO50))</f>
        <v>3.7037037037037035E-4</v>
      </c>
      <c r="FA50" s="10" cm="1">
        <f t="array" aca="1" ref="FA50" ca="1">(1-$B$18)*SUMPRODUCT(OFFSET($BO$15,0,0,$B$14,1), 1*(_xlfn._xlws.FILTER(OFFSET($O$15,0,$DN50,$B$8,1),OFFSET($M$15,0,0,$B$8,1))=FA$13), 1*(_xlfn._xlws.FILTER(OFFSET($O$15,0,$DO50,$B$8,1),OFFSET($M$15,0,0,$B$8,1))=FA$14))   /   SUM(OFFSET($BO$15,0,0,$B$14,1)) + $B$18/($B$19*$B$19*($DN50&lt;&gt;$DO50) + $B$19*($DN50=$DO50))</f>
        <v>3.7037037037037035E-4</v>
      </c>
      <c r="FB50" s="10" cm="1">
        <f t="array" aca="1" ref="FB50" ca="1">(1-$B$18)*SUMPRODUCT(OFFSET($BO$15,0,0,$B$14,1), 1*(_xlfn._xlws.FILTER(OFFSET($O$15,0,$DN50,$B$8,1),OFFSET($M$15,0,0,$B$8,1))=FB$13), 1*(_xlfn._xlws.FILTER(OFFSET($O$15,0,$DO50,$B$8,1),OFFSET($M$15,0,0,$B$8,1))=FB$14))   /   SUM(OFFSET($BO$15,0,0,$B$14,1)) + $B$18/($B$19*$B$19*($DN50&lt;&gt;$DO50) + $B$19*($DN50=$DO50))</f>
        <v>3.7037037037037035E-4</v>
      </c>
      <c r="FC50" s="10" cm="1">
        <f t="array" aca="1" ref="FC50" ca="1">(1-$B$18)*SUMPRODUCT(OFFSET($BO$15,0,0,$B$14,1), 1*(_xlfn._xlws.FILTER(OFFSET($O$15,0,$DN50,$B$8,1),OFFSET($M$15,0,0,$B$8,1))=FC$13), 1*(_xlfn._xlws.FILTER(OFFSET($O$15,0,$DO50,$B$8,1),OFFSET($M$15,0,0,$B$8,1))=FC$14))   /   SUM(OFFSET($BO$15,0,0,$B$14,1)) + $B$18/($B$19*$B$19*($DN50&lt;&gt;$DO50) + $B$19*($DN50=$DO50))</f>
        <v>3.7037037037037035E-4</v>
      </c>
      <c r="FD50" s="10" cm="1">
        <f t="array" aca="1" ref="FD50" ca="1">(1-$B$18)*SUMPRODUCT(OFFSET($BO$15,0,0,$B$14,1), 1*(_xlfn._xlws.FILTER(OFFSET($O$15,0,$DN50,$B$8,1),OFFSET($M$15,0,0,$B$8,1))=FD$13), 1*(_xlfn._xlws.FILTER(OFFSET($O$15,0,$DO50,$B$8,1),OFFSET($M$15,0,0,$B$8,1))=FD$14))   /   SUM(OFFSET($BO$15,0,0,$B$14,1)) + $B$18/($B$19*$B$19*($DN50&lt;&gt;$DO50) + $B$19*($DN50=$DO50))</f>
        <v>3.7037037037037035E-4</v>
      </c>
      <c r="FE50" s="10" cm="1">
        <f t="array" aca="1" ref="FE50" ca="1">(1-$B$18)*SUMPRODUCT(OFFSET($BO$15,0,0,$B$14,1), 1*(_xlfn._xlws.FILTER(OFFSET($O$15,0,$DN50,$B$8,1),OFFSET($M$15,0,0,$B$8,1))=FE$13), 1*(_xlfn._xlws.FILTER(OFFSET($O$15,0,$DO50,$B$8,1),OFFSET($M$15,0,0,$B$8,1))=FE$14))   /   SUM(OFFSET($BO$15,0,0,$B$14,1)) + $B$18/($B$19*$B$19*($DN50&lt;&gt;$DO50) + $B$19*($DN50=$DO50))</f>
        <v>3.7037037037037035E-4</v>
      </c>
      <c r="FF50" s="10" cm="1">
        <f t="array" aca="1" ref="FF50" ca="1">(1-$B$18)*SUMPRODUCT(OFFSET($BO$15,0,0,$B$14,1), 1*(_xlfn._xlws.FILTER(OFFSET($O$15,0,$DN50,$B$8,1),OFFSET($M$15,0,0,$B$8,1))=FF$13), 1*(_xlfn._xlws.FILTER(OFFSET($O$15,0,$DO50,$B$8,1),OFFSET($M$15,0,0,$B$8,1))=FF$14))   /   SUM(OFFSET($BO$15,0,0,$B$14,1)) + $B$18/($B$19*$B$19*($DN50&lt;&gt;$DO50) + $B$19*($DN50=$DO50))</f>
        <v>3.7037037037037035E-4</v>
      </c>
      <c r="FG50" s="10" cm="1">
        <f t="array" aca="1" ref="FG50" ca="1">(1-$B$18)*SUMPRODUCT(OFFSET($BO$15,0,0,$B$14,1), 1*(_xlfn._xlws.FILTER(OFFSET($O$15,0,$DN50,$B$8,1),OFFSET($M$15,0,0,$B$8,1))=FG$13), 1*(_xlfn._xlws.FILTER(OFFSET($O$15,0,$DO50,$B$8,1),OFFSET($M$15,0,0,$B$8,1))=FG$14))   /   SUM(OFFSET($BO$15,0,0,$B$14,1)) + $B$18/($B$19*$B$19*($DN50&lt;&gt;$DO50) + $B$19*($DN50=$DO50))</f>
        <v>3.7037037037037035E-4</v>
      </c>
      <c r="FH50" s="10" cm="1">
        <f t="array" aca="1" ref="FH50" ca="1">(1-$B$18)*SUMPRODUCT(OFFSET($BO$15,0,0,$B$14,1), 1*(_xlfn._xlws.FILTER(OFFSET($O$15,0,$DN50,$B$8,1),OFFSET($M$15,0,0,$B$8,1))=FH$13), 1*(_xlfn._xlws.FILTER(OFFSET($O$15,0,$DO50,$B$8,1),OFFSET($M$15,0,0,$B$8,1))=FH$14))   /   SUM(OFFSET($BO$15,0,0,$B$14,1)) + $B$18/($B$19*$B$19*($DN50&lt;&gt;$DO50) + $B$19*($DN50=$DO50))</f>
        <v>3.7037037037037035E-4</v>
      </c>
      <c r="FI50" s="10" cm="1">
        <f t="array" aca="1" ref="FI50" ca="1">(1-$B$18)*SUMPRODUCT(OFFSET($BO$15,0,0,$B$14,1), 1*(_xlfn._xlws.FILTER(OFFSET($O$15,0,$DN50,$B$8,1),OFFSET($M$15,0,0,$B$8,1))=FI$13), 1*(_xlfn._xlws.FILTER(OFFSET($O$15,0,$DO50,$B$8,1),OFFSET($M$15,0,0,$B$8,1))=FI$14))   /   SUM(OFFSET($BO$15,0,0,$B$14,1)) + $B$18/($B$19*$B$19*($DN50&lt;&gt;$DO50) + $B$19*($DN50=$DO50))</f>
        <v>3.7037037037037035E-4</v>
      </c>
      <c r="FJ50" s="10" cm="1">
        <f t="array" aca="1" ref="FJ50" ca="1">(1-$B$18)*SUMPRODUCT(OFFSET($BO$15,0,0,$B$14,1), 1*(_xlfn._xlws.FILTER(OFFSET($O$15,0,$DN50,$B$8,1),OFFSET($M$15,0,0,$B$8,1))=FJ$13), 1*(_xlfn._xlws.FILTER(OFFSET($O$15,0,$DO50,$B$8,1),OFFSET($M$15,0,0,$B$8,1))=FJ$14))   /   SUM(OFFSET($BO$15,0,0,$B$14,1)) + $B$18/($B$19*$B$19*($DN50&lt;&gt;$DO50) + $B$19*($DN50=$DO50))</f>
        <v>3.7037037037037035E-4</v>
      </c>
      <c r="FK50" s="10" cm="1">
        <f t="array" aca="1" ref="FK50" ca="1">(1-$B$18)*SUMPRODUCT(OFFSET($BO$15,0,0,$B$14,1), 1*(_xlfn._xlws.FILTER(OFFSET($O$15,0,$DN50,$B$8,1),OFFSET($M$15,0,0,$B$8,1))=FK$13), 1*(_xlfn._xlws.FILTER(OFFSET($O$15,0,$DO50,$B$8,1),OFFSET($M$15,0,0,$B$8,1))=FK$14))   /   SUM(OFFSET($BO$15,0,0,$B$14,1)) + $B$18/($B$19*$B$19*($DN50&lt;&gt;$DO50) + $B$19*($DN50=$DO50))</f>
        <v>3.7037037037037035E-4</v>
      </c>
      <c r="FL50" s="10" cm="1">
        <f t="array" aca="1" ref="FL50" ca="1">(1-$B$18)*SUMPRODUCT(OFFSET($BO$15,0,0,$B$14,1), 1*(_xlfn._xlws.FILTER(OFFSET($O$15,0,$DN50,$B$8,1),OFFSET($M$15,0,0,$B$8,1))=FL$13), 1*(_xlfn._xlws.FILTER(OFFSET($O$15,0,$DO50,$B$8,1),OFFSET($M$15,0,0,$B$8,1))=FL$14))   /   SUM(OFFSET($BO$15,0,0,$B$14,1)) + $B$18/($B$19*$B$19*($DN50&lt;&gt;$DO50) + $B$19*($DN50=$DO50))</f>
        <v>3.7037037037037035E-4</v>
      </c>
      <c r="FM50" s="10" cm="1">
        <f t="array" aca="1" ref="FM50" ca="1">(1-$B$18)*SUMPRODUCT(OFFSET($BO$15,0,0,$B$14,1), 1*(_xlfn._xlws.FILTER(OFFSET($O$15,0,$DN50,$B$8,1),OFFSET($M$15,0,0,$B$8,1))=FM$13), 1*(_xlfn._xlws.FILTER(OFFSET($O$15,0,$DO50,$B$8,1),OFFSET($M$15,0,0,$B$8,1))=FM$14))   /   SUM(OFFSET($BO$15,0,0,$B$14,1)) + $B$18/($B$19*$B$19*($DN50&lt;&gt;$DO50) + $B$19*($DN50=$DO50))</f>
        <v>3.7037037037037035E-4</v>
      </c>
      <c r="FN50" s="10" cm="1">
        <f t="array" aca="1" ref="FN50" ca="1">(1-$B$18)*SUMPRODUCT(OFFSET($BO$15,0,0,$B$14,1), 1*(_xlfn._xlws.FILTER(OFFSET($O$15,0,$DN50,$B$8,1),OFFSET($M$15,0,0,$B$8,1))=FN$13), 1*(_xlfn._xlws.FILTER(OFFSET($O$15,0,$DO50,$B$8,1),OFFSET($M$15,0,0,$B$8,1))=FN$14))   /   SUM(OFFSET($BO$15,0,0,$B$14,1)) + $B$18/($B$19*$B$19*($DN50&lt;&gt;$DO50) + $B$19*($DN50=$DO50))</f>
        <v>3.7037037037037035E-4</v>
      </c>
      <c r="FO50" s="10" cm="1">
        <f t="array" aca="1" ref="FO50" ca="1">(1-$B$18)*SUMPRODUCT(OFFSET($BO$15,0,0,$B$14,1), 1*(_xlfn._xlws.FILTER(OFFSET($O$15,0,$DN50,$B$8,1),OFFSET($M$15,0,0,$B$8,1))=FO$13), 1*(_xlfn._xlws.FILTER(OFFSET($O$15,0,$DO50,$B$8,1),OFFSET($M$15,0,0,$B$8,1))=FO$14))   /   SUM(OFFSET($BO$15,0,0,$B$14,1)) + $B$18/($B$19*$B$19*($DN50&lt;&gt;$DO50) + $B$19*($DN50=$DO50))</f>
        <v>0.97037037037037033</v>
      </c>
      <c r="FP50" s="10" cm="1">
        <f t="array" aca="1" ref="FP50" ca="1">(1-$B$18)*SUMPRODUCT(OFFSET($BO$15,0,0,$B$14,1), 1*(_xlfn._xlws.FILTER(OFFSET($O$15,0,$DN50,$B$8,1),OFFSET($M$15,0,0,$B$8,1))=FP$13), 1*(_xlfn._xlws.FILTER(OFFSET($O$15,0,$DO50,$B$8,1),OFFSET($M$15,0,0,$B$8,1))=FP$14))   /   SUM(OFFSET($BO$15,0,0,$B$14,1)) + $B$18/($B$19*$B$19*($DN50&lt;&gt;$DO50) + $B$19*($DN50=$DO50))</f>
        <v>3.7037037037037035E-4</v>
      </c>
      <c r="FQ50" s="10" cm="1">
        <f t="array" aca="1" ref="FQ50" ca="1">(1-$B$18)*SUMPRODUCT(OFFSET($BO$15,0,0,$B$14,1), 1*(_xlfn._xlws.FILTER(OFFSET($O$15,0,$DN50,$B$8,1),OFFSET($M$15,0,0,$B$8,1))=FQ$13), 1*(_xlfn._xlws.FILTER(OFFSET($O$15,0,$DO50,$B$8,1),OFFSET($M$15,0,0,$B$8,1))=FQ$14))   /   SUM(OFFSET($BO$15,0,0,$B$14,1)) + $B$18/($B$19*$B$19*($DN50&lt;&gt;$DO50) + $B$19*($DN50=$DO50))</f>
        <v>3.7037037037037035E-4</v>
      </c>
      <c r="FR50" s="10" cm="1">
        <f t="array" aca="1" ref="FR50" ca="1">(1-$B$18)*SUMPRODUCT(OFFSET($BO$15,0,0,$B$14,1), 1*(_xlfn._xlws.FILTER(OFFSET($O$15,0,$DN50,$B$8,1),OFFSET($M$15,0,0,$B$8,1))=FR$13), 1*(_xlfn._xlws.FILTER(OFFSET($O$15,0,$DO50,$B$8,1),OFFSET($M$15,0,0,$B$8,1))=FR$14))   /   SUM(OFFSET($BO$15,0,0,$B$14,1)) + $B$18/($B$19*$B$19*($DN50&lt;&gt;$DO50) + $B$19*($DN50=$DO50))</f>
        <v>3.7037037037037035E-4</v>
      </c>
      <c r="FS50" s="10" cm="1">
        <f t="array" aca="1" ref="FS50" ca="1">(1-$B$18)*SUMPRODUCT(OFFSET($BO$15,0,0,$B$14,1), 1*(_xlfn._xlws.FILTER(OFFSET($O$15,0,$DN50,$B$8,1),OFFSET($M$15,0,0,$B$8,1))=FS$13), 1*(_xlfn._xlws.FILTER(OFFSET($O$15,0,$DO50,$B$8,1),OFFSET($M$15,0,0,$B$8,1))=FS$14))   /   SUM(OFFSET($BO$15,0,0,$B$14,1)) + $B$18/($B$19*$B$19*($DN50&lt;&gt;$DO50) + $B$19*($DN50=$DO50))</f>
        <v>3.7037037037037035E-4</v>
      </c>
      <c r="FT50" s="10" cm="1">
        <f t="array" aca="1" ref="FT50" ca="1">(1-$B$18)*SUMPRODUCT(OFFSET($BO$15,0,0,$B$14,1), 1*(_xlfn._xlws.FILTER(OFFSET($O$15,0,$DN50,$B$8,1),OFFSET($M$15,0,0,$B$8,1))=FT$13), 1*(_xlfn._xlws.FILTER(OFFSET($O$15,0,$DO50,$B$8,1),OFFSET($M$15,0,0,$B$8,1))=FT$14))   /   SUM(OFFSET($BO$15,0,0,$B$14,1)) + $B$18/($B$19*$B$19*($DN50&lt;&gt;$DO50) + $B$19*($DN50=$DO50))</f>
        <v>3.7037037037037035E-4</v>
      </c>
      <c r="FU50" s="10" cm="1">
        <f t="array" aca="1" ref="FU50" ca="1">(1-$B$18)*SUMPRODUCT(OFFSET($BO$15,0,0,$B$14,1), 1*(_xlfn._xlws.FILTER(OFFSET($O$15,0,$DN50,$B$8,1),OFFSET($M$15,0,0,$B$8,1))=FU$13), 1*(_xlfn._xlws.FILTER(OFFSET($O$15,0,$DO50,$B$8,1),OFFSET($M$15,0,0,$B$8,1))=FU$14))   /   SUM(OFFSET($BO$15,0,0,$B$14,1)) + $B$18/($B$19*$B$19*($DN50&lt;&gt;$DO50) + $B$19*($DN50=$DO50))</f>
        <v>3.7037037037037035E-4</v>
      </c>
      <c r="FV50" s="10" cm="1">
        <f t="array" aca="1" ref="FV50" ca="1">(1-$B$18)*SUMPRODUCT(OFFSET($BO$15,0,0,$B$14,1), 1*(_xlfn._xlws.FILTER(OFFSET($O$15,0,$DN50,$B$8,1),OFFSET($M$15,0,0,$B$8,1))=FV$13), 1*(_xlfn._xlws.FILTER(OFFSET($O$15,0,$DO50,$B$8,1),OFFSET($M$15,0,0,$B$8,1))=FV$14))   /   SUM(OFFSET($BO$15,0,0,$B$14,1)) + $B$18/($B$19*$B$19*($DN50&lt;&gt;$DO50) + $B$19*($DN50=$DO50))</f>
        <v>3.7037037037037035E-4</v>
      </c>
      <c r="FW50" s="10" cm="1">
        <f t="array" aca="1" ref="FW50" ca="1">(1-$B$18)*SUMPRODUCT(OFFSET($BO$15,0,0,$B$14,1), 1*(_xlfn._xlws.FILTER(OFFSET($O$15,0,$DN50,$B$8,1),OFFSET($M$15,0,0,$B$8,1))=FW$13), 1*(_xlfn._xlws.FILTER(OFFSET($O$15,0,$DO50,$B$8,1),OFFSET($M$15,0,0,$B$8,1))=FW$14))   /   SUM(OFFSET($BO$15,0,0,$B$14,1)) + $B$18/($B$19*$B$19*($DN50&lt;&gt;$DO50) + $B$19*($DN50=$DO50))</f>
        <v>3.7037037037037035E-4</v>
      </c>
      <c r="FX50" s="10" cm="1">
        <f t="array" aca="1" ref="FX50" ca="1">(1-$B$18)*SUMPRODUCT(OFFSET($BO$15,0,0,$B$14,1), 1*(_xlfn._xlws.FILTER(OFFSET($O$15,0,$DN50,$B$8,1),OFFSET($M$15,0,0,$B$8,1))=FX$13), 1*(_xlfn._xlws.FILTER(OFFSET($O$15,0,$DO50,$B$8,1),OFFSET($M$15,0,0,$B$8,1))=FX$14))   /   SUM(OFFSET($BO$15,0,0,$B$14,1)) + $B$18/($B$19*$B$19*($DN50&lt;&gt;$DO50) + $B$19*($DN50=$DO50))</f>
        <v>3.7037037037037035E-4</v>
      </c>
      <c r="FY50" s="10" cm="1">
        <f t="array" aca="1" ref="FY50" ca="1">(1-$B$18)*SUMPRODUCT(OFFSET($BO$15,0,0,$B$14,1), 1*(_xlfn._xlws.FILTER(OFFSET($O$15,0,$DN50,$B$8,1),OFFSET($M$15,0,0,$B$8,1))=FY$13), 1*(_xlfn._xlws.FILTER(OFFSET($O$15,0,$DO50,$B$8,1),OFFSET($M$15,0,0,$B$8,1))=FY$14))   /   SUM(OFFSET($BO$15,0,0,$B$14,1)) + $B$18/($B$19*$B$19*($DN50&lt;&gt;$DO50) + $B$19*($DN50=$DO50))</f>
        <v>3.7037037037037035E-4</v>
      </c>
      <c r="FZ50" s="10" cm="1">
        <f t="array" aca="1" ref="FZ50" ca="1">(1-$B$18)*SUMPRODUCT(OFFSET($BO$15,0,0,$B$14,1), 1*(_xlfn._xlws.FILTER(OFFSET($O$15,0,$DN50,$B$8,1),OFFSET($M$15,0,0,$B$8,1))=FZ$13), 1*(_xlfn._xlws.FILTER(OFFSET($O$15,0,$DO50,$B$8,1),OFFSET($M$15,0,0,$B$8,1))=FZ$14))   /   SUM(OFFSET($BO$15,0,0,$B$14,1)) + $B$18/($B$19*$B$19*($DN50&lt;&gt;$DO50) + $B$19*($DN50=$DO50))</f>
        <v>3.7037037037037035E-4</v>
      </c>
      <c r="GA50" s="10" cm="1">
        <f t="array" aca="1" ref="GA50" ca="1">(1-$B$18)*SUMPRODUCT(OFFSET($BO$15,0,0,$B$14,1), 1*(_xlfn._xlws.FILTER(OFFSET($O$15,0,$DN50,$B$8,1),OFFSET($M$15,0,0,$B$8,1))=GA$13), 1*(_xlfn._xlws.FILTER(OFFSET($O$15,0,$DO50,$B$8,1),OFFSET($M$15,0,0,$B$8,1))=GA$14))   /   SUM(OFFSET($BO$15,0,0,$B$14,1)) + $B$18/($B$19*$B$19*($DN50&lt;&gt;$DO50) + $B$19*($DN50=$DO50))</f>
        <v>3.7037037037037035E-4</v>
      </c>
    </row>
    <row r="51" spans="5:183" x14ac:dyDescent="0.2">
      <c r="AK51" s="2"/>
      <c r="AL51" s="2"/>
      <c r="CX51">
        <f ca="1"/>
        <v>0.25</v>
      </c>
      <c r="CY51">
        <f ca="1"/>
        <v>0</v>
      </c>
      <c r="DN51" cm="1">
        <f t="array" aca="1" ref="DN51" ca="1">INDEX(_xlfn.ANCHORARRAY($CP$15), 1 + INT((ROWS($DO$15:$DO51) - 1) / ROWS(_xlfn.ANCHORARRAY($CP$15))))</f>
        <v>1</v>
      </c>
      <c r="DO51" cm="1">
        <f t="array" aca="1" ref="DO51" ca="1">INDEX(_xlfn.ANCHORARRAY($CP$15),1+MOD(ROWS($DO$15:$DO51)-1,ROWS(_xlfn.ANCHORARRAY($CP$15))))</f>
        <v>20</v>
      </c>
      <c r="DP51" s="10" cm="1">
        <f t="array" aca="1" ref="DP51" ca="1">(1-$B$18)*SUMPRODUCT(OFFSET($BO$15,0,0,$B$14,1), 1*(_xlfn._xlws.FILTER(OFFSET($O$15,0,$DN51,$B$8,1),OFFSET($M$15,0,0,$B$8,1))=DP$13), 1*(_xlfn._xlws.FILTER(OFFSET($O$15,0,$DO51,$B$8,1),OFFSET($M$15,0,0,$B$8,1))=DP$14))   /   SUM(OFFSET($BO$15,0,0,$B$14,1)) + $B$18/($B$19*$B$19*($DN51&lt;&gt;$DO51) + $B$19*($DN51=$DO51))</f>
        <v>3.7037037037037035E-4</v>
      </c>
      <c r="DQ51" s="10" cm="1">
        <f t="array" aca="1" ref="DQ51" ca="1">(1-$B$18)*SUMPRODUCT(OFFSET($BO$15,0,0,$B$14,1), 1*(_xlfn._xlws.FILTER(OFFSET($O$15,0,$DN51,$B$8,1),OFFSET($M$15,0,0,$B$8,1))=DQ$13), 1*(_xlfn._xlws.FILTER(OFFSET($O$15,0,$DO51,$B$8,1),OFFSET($M$15,0,0,$B$8,1))=DQ$14))   /   SUM(OFFSET($BO$15,0,0,$B$14,1)) + $B$18/($B$19*$B$19*($DN51&lt;&gt;$DO51) + $B$19*($DN51=$DO51))</f>
        <v>3.7037037037037035E-4</v>
      </c>
      <c r="DR51" s="10" cm="1">
        <f t="array" aca="1" ref="DR51" ca="1">(1-$B$18)*SUMPRODUCT(OFFSET($BO$15,0,0,$B$14,1), 1*(_xlfn._xlws.FILTER(OFFSET($O$15,0,$DN51,$B$8,1),OFFSET($M$15,0,0,$B$8,1))=DR$13), 1*(_xlfn._xlws.FILTER(OFFSET($O$15,0,$DO51,$B$8,1),OFFSET($M$15,0,0,$B$8,1))=DR$14))   /   SUM(OFFSET($BO$15,0,0,$B$14,1)) + $B$18/($B$19*$B$19*($DN51&lt;&gt;$DO51) + $B$19*($DN51=$DO51))</f>
        <v>3.7037037037037035E-4</v>
      </c>
      <c r="DS51" s="10" cm="1">
        <f t="array" aca="1" ref="DS51" ca="1">(1-$B$18)*SUMPRODUCT(OFFSET($BO$15,0,0,$B$14,1), 1*(_xlfn._xlws.FILTER(OFFSET($O$15,0,$DN51,$B$8,1),OFFSET($M$15,0,0,$B$8,1))=DS$13), 1*(_xlfn._xlws.FILTER(OFFSET($O$15,0,$DO51,$B$8,1),OFFSET($M$15,0,0,$B$8,1))=DS$14))   /   SUM(OFFSET($BO$15,0,0,$B$14,1)) + $B$18/($B$19*$B$19*($DN51&lt;&gt;$DO51) + $B$19*($DN51=$DO51))</f>
        <v>3.7037037037037035E-4</v>
      </c>
      <c r="DT51" s="10" cm="1">
        <f t="array" aca="1" ref="DT51" ca="1">(1-$B$18)*SUMPRODUCT(OFFSET($BO$15,0,0,$B$14,1), 1*(_xlfn._xlws.FILTER(OFFSET($O$15,0,$DN51,$B$8,1),OFFSET($M$15,0,0,$B$8,1))=DT$13), 1*(_xlfn._xlws.FILTER(OFFSET($O$15,0,$DO51,$B$8,1),OFFSET($M$15,0,0,$B$8,1))=DT$14))   /   SUM(OFFSET($BO$15,0,0,$B$14,1)) + $B$18/($B$19*$B$19*($DN51&lt;&gt;$DO51) + $B$19*($DN51=$DO51))</f>
        <v>3.7037037037037035E-4</v>
      </c>
      <c r="DU51" s="10" cm="1">
        <f t="array" aca="1" ref="DU51" ca="1">(1-$B$18)*SUMPRODUCT(OFFSET($BO$15,0,0,$B$14,1), 1*(_xlfn._xlws.FILTER(OFFSET($O$15,0,$DN51,$B$8,1),OFFSET($M$15,0,0,$B$8,1))=DU$13), 1*(_xlfn._xlws.FILTER(OFFSET($O$15,0,$DO51,$B$8,1),OFFSET($M$15,0,0,$B$8,1))=DU$14))   /   SUM(OFFSET($BO$15,0,0,$B$14,1)) + $B$18/($B$19*$B$19*($DN51&lt;&gt;$DO51) + $B$19*($DN51=$DO51))</f>
        <v>3.7037037037037035E-4</v>
      </c>
      <c r="DV51" s="10" cm="1">
        <f t="array" aca="1" ref="DV51" ca="1">(1-$B$18)*SUMPRODUCT(OFFSET($BO$15,0,0,$B$14,1), 1*(_xlfn._xlws.FILTER(OFFSET($O$15,0,$DN51,$B$8,1),OFFSET($M$15,0,0,$B$8,1))=DV$13), 1*(_xlfn._xlws.FILTER(OFFSET($O$15,0,$DO51,$B$8,1),OFFSET($M$15,0,0,$B$8,1))=DV$14))   /   SUM(OFFSET($BO$15,0,0,$B$14,1)) + $B$18/($B$19*$B$19*($DN51&lt;&gt;$DO51) + $B$19*($DN51=$DO51))</f>
        <v>3.7037037037037035E-4</v>
      </c>
      <c r="DW51" s="10" cm="1">
        <f t="array" aca="1" ref="DW51" ca="1">(1-$B$18)*SUMPRODUCT(OFFSET($BO$15,0,0,$B$14,1), 1*(_xlfn._xlws.FILTER(OFFSET($O$15,0,$DN51,$B$8,1),OFFSET($M$15,0,0,$B$8,1))=DW$13), 1*(_xlfn._xlws.FILTER(OFFSET($O$15,0,$DO51,$B$8,1),OFFSET($M$15,0,0,$B$8,1))=DW$14))   /   SUM(OFFSET($BO$15,0,0,$B$14,1)) + $B$18/($B$19*$B$19*($DN51&lt;&gt;$DO51) + $B$19*($DN51=$DO51))</f>
        <v>3.7037037037037035E-4</v>
      </c>
      <c r="DX51" s="10" cm="1">
        <f t="array" aca="1" ref="DX51" ca="1">(1-$B$18)*SUMPRODUCT(OFFSET($BO$15,0,0,$B$14,1), 1*(_xlfn._xlws.FILTER(OFFSET($O$15,0,$DN51,$B$8,1),OFFSET($M$15,0,0,$B$8,1))=DX$13), 1*(_xlfn._xlws.FILTER(OFFSET($O$15,0,$DO51,$B$8,1),OFFSET($M$15,0,0,$B$8,1))=DX$14))   /   SUM(OFFSET($BO$15,0,0,$B$14,1)) + $B$18/($B$19*$B$19*($DN51&lt;&gt;$DO51) + $B$19*($DN51=$DO51))</f>
        <v>3.7037037037037035E-4</v>
      </c>
      <c r="DY51" s="10" cm="1">
        <f t="array" aca="1" ref="DY51" ca="1">(1-$B$18)*SUMPRODUCT(OFFSET($BO$15,0,0,$B$14,1), 1*(_xlfn._xlws.FILTER(OFFSET($O$15,0,$DN51,$B$8,1),OFFSET($M$15,0,0,$B$8,1))=DY$13), 1*(_xlfn._xlws.FILTER(OFFSET($O$15,0,$DO51,$B$8,1),OFFSET($M$15,0,0,$B$8,1))=DY$14))   /   SUM(OFFSET($BO$15,0,0,$B$14,1)) + $B$18/($B$19*$B$19*($DN51&lt;&gt;$DO51) + $B$19*($DN51=$DO51))</f>
        <v>3.7037037037037035E-4</v>
      </c>
      <c r="DZ51" s="10" cm="1">
        <f t="array" aca="1" ref="DZ51" ca="1">(1-$B$18)*SUMPRODUCT(OFFSET($BO$15,0,0,$B$14,1), 1*(_xlfn._xlws.FILTER(OFFSET($O$15,0,$DN51,$B$8,1),OFFSET($M$15,0,0,$B$8,1))=DZ$13), 1*(_xlfn._xlws.FILTER(OFFSET($O$15,0,$DO51,$B$8,1),OFFSET($M$15,0,0,$B$8,1))=DZ$14))   /   SUM(OFFSET($BO$15,0,0,$B$14,1)) + $B$18/($B$19*$B$19*($DN51&lt;&gt;$DO51) + $B$19*($DN51=$DO51))</f>
        <v>3.7037037037037035E-4</v>
      </c>
      <c r="EA51" s="10" cm="1">
        <f t="array" aca="1" ref="EA51" ca="1">(1-$B$18)*SUMPRODUCT(OFFSET($BO$15,0,0,$B$14,1), 1*(_xlfn._xlws.FILTER(OFFSET($O$15,0,$DN51,$B$8,1),OFFSET($M$15,0,0,$B$8,1))=EA$13), 1*(_xlfn._xlws.FILTER(OFFSET($O$15,0,$DO51,$B$8,1),OFFSET($M$15,0,0,$B$8,1))=EA$14))   /   SUM(OFFSET($BO$15,0,0,$B$14,1)) + $B$18/($B$19*$B$19*($DN51&lt;&gt;$DO51) + $B$19*($DN51=$DO51))</f>
        <v>3.7037037037037035E-4</v>
      </c>
      <c r="EB51" s="10" cm="1">
        <f t="array" aca="1" ref="EB51" ca="1">(1-$B$18)*SUMPRODUCT(OFFSET($BO$15,0,0,$B$14,1), 1*(_xlfn._xlws.FILTER(OFFSET($O$15,0,$DN51,$B$8,1),OFFSET($M$15,0,0,$B$8,1))=EB$13), 1*(_xlfn._xlws.FILTER(OFFSET($O$15,0,$DO51,$B$8,1),OFFSET($M$15,0,0,$B$8,1))=EB$14))   /   SUM(OFFSET($BO$15,0,0,$B$14,1)) + $B$18/($B$19*$B$19*($DN51&lt;&gt;$DO51) + $B$19*($DN51=$DO51))</f>
        <v>3.7037037037037035E-4</v>
      </c>
      <c r="EC51" s="10" cm="1">
        <f t="array" aca="1" ref="EC51" ca="1">(1-$B$18)*SUMPRODUCT(OFFSET($BO$15,0,0,$B$14,1), 1*(_xlfn._xlws.FILTER(OFFSET($O$15,0,$DN51,$B$8,1),OFFSET($M$15,0,0,$B$8,1))=EC$13), 1*(_xlfn._xlws.FILTER(OFFSET($O$15,0,$DO51,$B$8,1),OFFSET($M$15,0,0,$B$8,1))=EC$14))   /   SUM(OFFSET($BO$15,0,0,$B$14,1)) + $B$18/($B$19*$B$19*($DN51&lt;&gt;$DO51) + $B$19*($DN51=$DO51))</f>
        <v>3.7037037037037035E-4</v>
      </c>
      <c r="ED51" s="10" cm="1">
        <f t="array" aca="1" ref="ED51" ca="1">(1-$B$18)*SUMPRODUCT(OFFSET($BO$15,0,0,$B$14,1), 1*(_xlfn._xlws.FILTER(OFFSET($O$15,0,$DN51,$B$8,1),OFFSET($M$15,0,0,$B$8,1))=ED$13), 1*(_xlfn._xlws.FILTER(OFFSET($O$15,0,$DO51,$B$8,1),OFFSET($M$15,0,0,$B$8,1))=ED$14))   /   SUM(OFFSET($BO$15,0,0,$B$14,1)) + $B$18/($B$19*$B$19*($DN51&lt;&gt;$DO51) + $B$19*($DN51=$DO51))</f>
        <v>3.7037037037037035E-4</v>
      </c>
      <c r="EE51" s="10" cm="1">
        <f t="array" aca="1" ref="EE51" ca="1">(1-$B$18)*SUMPRODUCT(OFFSET($BO$15,0,0,$B$14,1), 1*(_xlfn._xlws.FILTER(OFFSET($O$15,0,$DN51,$B$8,1),OFFSET($M$15,0,0,$B$8,1))=EE$13), 1*(_xlfn._xlws.FILTER(OFFSET($O$15,0,$DO51,$B$8,1),OFFSET($M$15,0,0,$B$8,1))=EE$14))   /   SUM(OFFSET($BO$15,0,0,$B$14,1)) + $B$18/($B$19*$B$19*($DN51&lt;&gt;$DO51) + $B$19*($DN51=$DO51))</f>
        <v>3.7037037037037035E-4</v>
      </c>
      <c r="EF51" s="10" cm="1">
        <f t="array" aca="1" ref="EF51" ca="1">(1-$B$18)*SUMPRODUCT(OFFSET($BO$15,0,0,$B$14,1), 1*(_xlfn._xlws.FILTER(OFFSET($O$15,0,$DN51,$B$8,1),OFFSET($M$15,0,0,$B$8,1))=EF$13), 1*(_xlfn._xlws.FILTER(OFFSET($O$15,0,$DO51,$B$8,1),OFFSET($M$15,0,0,$B$8,1))=EF$14))   /   SUM(OFFSET($BO$15,0,0,$B$14,1)) + $B$18/($B$19*$B$19*($DN51&lt;&gt;$DO51) + $B$19*($DN51=$DO51))</f>
        <v>3.7037037037037035E-4</v>
      </c>
      <c r="EG51" s="10" cm="1">
        <f t="array" aca="1" ref="EG51" ca="1">(1-$B$18)*SUMPRODUCT(OFFSET($BO$15,0,0,$B$14,1), 1*(_xlfn._xlws.FILTER(OFFSET($O$15,0,$DN51,$B$8,1),OFFSET($M$15,0,0,$B$8,1))=EG$13), 1*(_xlfn._xlws.FILTER(OFFSET($O$15,0,$DO51,$B$8,1),OFFSET($M$15,0,0,$B$8,1))=EG$14))   /   SUM(OFFSET($BO$15,0,0,$B$14,1)) + $B$18/($B$19*$B$19*($DN51&lt;&gt;$DO51) + $B$19*($DN51=$DO51))</f>
        <v>3.7037037037037035E-4</v>
      </c>
      <c r="EH51" s="10" cm="1">
        <f t="array" aca="1" ref="EH51" ca="1">(1-$B$18)*SUMPRODUCT(OFFSET($BO$15,0,0,$B$14,1), 1*(_xlfn._xlws.FILTER(OFFSET($O$15,0,$DN51,$B$8,1),OFFSET($M$15,0,0,$B$8,1))=EH$13), 1*(_xlfn._xlws.FILTER(OFFSET($O$15,0,$DO51,$B$8,1),OFFSET($M$15,0,0,$B$8,1))=EH$14))   /   SUM(OFFSET($BO$15,0,0,$B$14,1)) + $B$18/($B$19*$B$19*($DN51&lt;&gt;$DO51) + $B$19*($DN51=$DO51))</f>
        <v>3.7037037037037035E-4</v>
      </c>
      <c r="EI51" s="10" cm="1">
        <f t="array" aca="1" ref="EI51" ca="1">(1-$B$18)*SUMPRODUCT(OFFSET($BO$15,0,0,$B$14,1), 1*(_xlfn._xlws.FILTER(OFFSET($O$15,0,$DN51,$B$8,1),OFFSET($M$15,0,0,$B$8,1))=EI$13), 1*(_xlfn._xlws.FILTER(OFFSET($O$15,0,$DO51,$B$8,1),OFFSET($M$15,0,0,$B$8,1))=EI$14))   /   SUM(OFFSET($BO$15,0,0,$B$14,1)) + $B$18/($B$19*$B$19*($DN51&lt;&gt;$DO51) + $B$19*($DN51=$DO51))</f>
        <v>3.7037037037037035E-4</v>
      </c>
      <c r="EJ51" s="10" cm="1">
        <f t="array" aca="1" ref="EJ51" ca="1">(1-$B$18)*SUMPRODUCT(OFFSET($BO$15,0,0,$B$14,1), 1*(_xlfn._xlws.FILTER(OFFSET($O$15,0,$DN51,$B$8,1),OFFSET($M$15,0,0,$B$8,1))=EJ$13), 1*(_xlfn._xlws.FILTER(OFFSET($O$15,0,$DO51,$B$8,1),OFFSET($M$15,0,0,$B$8,1))=EJ$14))   /   SUM(OFFSET($BO$15,0,0,$B$14,1)) + $B$18/($B$19*$B$19*($DN51&lt;&gt;$DO51) + $B$19*($DN51=$DO51))</f>
        <v>3.7037037037037035E-4</v>
      </c>
      <c r="EK51" s="10" cm="1">
        <f t="array" aca="1" ref="EK51" ca="1">(1-$B$18)*SUMPRODUCT(OFFSET($BO$15,0,0,$B$14,1), 1*(_xlfn._xlws.FILTER(OFFSET($O$15,0,$DN51,$B$8,1),OFFSET($M$15,0,0,$B$8,1))=EK$13), 1*(_xlfn._xlws.FILTER(OFFSET($O$15,0,$DO51,$B$8,1),OFFSET($M$15,0,0,$B$8,1))=EK$14))   /   SUM(OFFSET($BO$15,0,0,$B$14,1)) + $B$18/($B$19*$B$19*($DN51&lt;&gt;$DO51) + $B$19*($DN51=$DO51))</f>
        <v>3.7037037037037035E-4</v>
      </c>
      <c r="EL51" s="10" cm="1">
        <f t="array" aca="1" ref="EL51" ca="1">(1-$B$18)*SUMPRODUCT(OFFSET($BO$15,0,0,$B$14,1), 1*(_xlfn._xlws.FILTER(OFFSET($O$15,0,$DN51,$B$8,1),OFFSET($M$15,0,0,$B$8,1))=EL$13), 1*(_xlfn._xlws.FILTER(OFFSET($O$15,0,$DO51,$B$8,1),OFFSET($M$15,0,0,$B$8,1))=EL$14))   /   SUM(OFFSET($BO$15,0,0,$B$14,1)) + $B$18/($B$19*$B$19*($DN51&lt;&gt;$DO51) + $B$19*($DN51=$DO51))</f>
        <v>3.7037037037037035E-4</v>
      </c>
      <c r="EM51" s="10" cm="1">
        <f t="array" aca="1" ref="EM51" ca="1">(1-$B$18)*SUMPRODUCT(OFFSET($BO$15,0,0,$B$14,1), 1*(_xlfn._xlws.FILTER(OFFSET($O$15,0,$DN51,$B$8,1),OFFSET($M$15,0,0,$B$8,1))=EM$13), 1*(_xlfn._xlws.FILTER(OFFSET($O$15,0,$DO51,$B$8,1),OFFSET($M$15,0,0,$B$8,1))=EM$14))   /   SUM(OFFSET($BO$15,0,0,$B$14,1)) + $B$18/($B$19*$B$19*($DN51&lt;&gt;$DO51) + $B$19*($DN51=$DO51))</f>
        <v>3.7037037037037035E-4</v>
      </c>
      <c r="EN51" s="10" cm="1">
        <f t="array" aca="1" ref="EN51" ca="1">(1-$B$18)*SUMPRODUCT(OFFSET($BO$15,0,0,$B$14,1), 1*(_xlfn._xlws.FILTER(OFFSET($O$15,0,$DN51,$B$8,1),OFFSET($M$15,0,0,$B$8,1))=EN$13), 1*(_xlfn._xlws.FILTER(OFFSET($O$15,0,$DO51,$B$8,1),OFFSET($M$15,0,0,$B$8,1))=EN$14))   /   SUM(OFFSET($BO$15,0,0,$B$14,1)) + $B$18/($B$19*$B$19*($DN51&lt;&gt;$DO51) + $B$19*($DN51=$DO51))</f>
        <v>3.7037037037037035E-4</v>
      </c>
      <c r="EO51" s="10" cm="1">
        <f t="array" aca="1" ref="EO51" ca="1">(1-$B$18)*SUMPRODUCT(OFFSET($BO$15,0,0,$B$14,1), 1*(_xlfn._xlws.FILTER(OFFSET($O$15,0,$DN51,$B$8,1),OFFSET($M$15,0,0,$B$8,1))=EO$13), 1*(_xlfn._xlws.FILTER(OFFSET($O$15,0,$DO51,$B$8,1),OFFSET($M$15,0,0,$B$8,1))=EO$14))   /   SUM(OFFSET($BO$15,0,0,$B$14,1)) + $B$18/($B$19*$B$19*($DN51&lt;&gt;$DO51) + $B$19*($DN51=$DO51))</f>
        <v>3.7037037037037035E-4</v>
      </c>
      <c r="EP51" s="10" cm="1">
        <f t="array" aca="1" ref="EP51" ca="1">(1-$B$18)*SUMPRODUCT(OFFSET($BO$15,0,0,$B$14,1), 1*(_xlfn._xlws.FILTER(OFFSET($O$15,0,$DN51,$B$8,1),OFFSET($M$15,0,0,$B$8,1))=EP$13), 1*(_xlfn._xlws.FILTER(OFFSET($O$15,0,$DO51,$B$8,1),OFFSET($M$15,0,0,$B$8,1))=EP$14))   /   SUM(OFFSET($BO$15,0,0,$B$14,1)) + $B$18/($B$19*$B$19*($DN51&lt;&gt;$DO51) + $B$19*($DN51=$DO51))</f>
        <v>3.7037037037037035E-4</v>
      </c>
      <c r="EQ51" s="10" cm="1">
        <f t="array" aca="1" ref="EQ51" ca="1">(1-$B$18)*SUMPRODUCT(OFFSET($BO$15,0,0,$B$14,1), 1*(_xlfn._xlws.FILTER(OFFSET($O$15,0,$DN51,$B$8,1),OFFSET($M$15,0,0,$B$8,1))=EQ$13), 1*(_xlfn._xlws.FILTER(OFFSET($O$15,0,$DO51,$B$8,1),OFFSET($M$15,0,0,$B$8,1))=EQ$14))   /   SUM(OFFSET($BO$15,0,0,$B$14,1)) + $B$18/($B$19*$B$19*($DN51&lt;&gt;$DO51) + $B$19*($DN51=$DO51))</f>
        <v>3.7037037037037035E-4</v>
      </c>
      <c r="ER51" s="10" cm="1">
        <f t="array" aca="1" ref="ER51" ca="1">(1-$B$18)*SUMPRODUCT(OFFSET($BO$15,0,0,$B$14,1), 1*(_xlfn._xlws.FILTER(OFFSET($O$15,0,$DN51,$B$8,1),OFFSET($M$15,0,0,$B$8,1))=ER$13), 1*(_xlfn._xlws.FILTER(OFFSET($O$15,0,$DO51,$B$8,1),OFFSET($M$15,0,0,$B$8,1))=ER$14))   /   SUM(OFFSET($BO$15,0,0,$B$14,1)) + $B$18/($B$19*$B$19*($DN51&lt;&gt;$DO51) + $B$19*($DN51=$DO51))</f>
        <v>3.7037037037037035E-4</v>
      </c>
      <c r="ES51" s="10" cm="1">
        <f t="array" aca="1" ref="ES51" ca="1">(1-$B$18)*SUMPRODUCT(OFFSET($BO$15,0,0,$B$14,1), 1*(_xlfn._xlws.FILTER(OFFSET($O$15,0,$DN51,$B$8,1),OFFSET($M$15,0,0,$B$8,1))=ES$13), 1*(_xlfn._xlws.FILTER(OFFSET($O$15,0,$DO51,$B$8,1),OFFSET($M$15,0,0,$B$8,1))=ES$14))   /   SUM(OFFSET($BO$15,0,0,$B$14,1)) + $B$18/($B$19*$B$19*($DN51&lt;&gt;$DO51) + $B$19*($DN51=$DO51))</f>
        <v>3.7037037037037035E-4</v>
      </c>
      <c r="ET51" s="10" cm="1">
        <f t="array" aca="1" ref="ET51" ca="1">(1-$B$18)*SUMPRODUCT(OFFSET($BO$15,0,0,$B$14,1), 1*(_xlfn._xlws.FILTER(OFFSET($O$15,0,$DN51,$B$8,1),OFFSET($M$15,0,0,$B$8,1))=ET$13), 1*(_xlfn._xlws.FILTER(OFFSET($O$15,0,$DO51,$B$8,1),OFFSET($M$15,0,0,$B$8,1))=ET$14))   /   SUM(OFFSET($BO$15,0,0,$B$14,1)) + $B$18/($B$19*$B$19*($DN51&lt;&gt;$DO51) + $B$19*($DN51=$DO51))</f>
        <v>3.7037037037037035E-4</v>
      </c>
      <c r="EU51" s="10" cm="1">
        <f t="array" aca="1" ref="EU51" ca="1">(1-$B$18)*SUMPRODUCT(OFFSET($BO$15,0,0,$B$14,1), 1*(_xlfn._xlws.FILTER(OFFSET($O$15,0,$DN51,$B$8,1),OFFSET($M$15,0,0,$B$8,1))=EU$13), 1*(_xlfn._xlws.FILTER(OFFSET($O$15,0,$DO51,$B$8,1),OFFSET($M$15,0,0,$B$8,1))=EU$14))   /   SUM(OFFSET($BO$15,0,0,$B$14,1)) + $B$18/($B$19*$B$19*($DN51&lt;&gt;$DO51) + $B$19*($DN51=$DO51))</f>
        <v>3.7037037037037035E-4</v>
      </c>
      <c r="EV51" s="10" cm="1">
        <f t="array" aca="1" ref="EV51" ca="1">(1-$B$18)*SUMPRODUCT(OFFSET($BO$15,0,0,$B$14,1), 1*(_xlfn._xlws.FILTER(OFFSET($O$15,0,$DN51,$B$8,1),OFFSET($M$15,0,0,$B$8,1))=EV$13), 1*(_xlfn._xlws.FILTER(OFFSET($O$15,0,$DO51,$B$8,1),OFFSET($M$15,0,0,$B$8,1))=EV$14))   /   SUM(OFFSET($BO$15,0,0,$B$14,1)) + $B$18/($B$19*$B$19*($DN51&lt;&gt;$DO51) + $B$19*($DN51=$DO51))</f>
        <v>3.7037037037037035E-4</v>
      </c>
      <c r="EW51" s="10" cm="1">
        <f t="array" aca="1" ref="EW51" ca="1">(1-$B$18)*SUMPRODUCT(OFFSET($BO$15,0,0,$B$14,1), 1*(_xlfn._xlws.FILTER(OFFSET($O$15,0,$DN51,$B$8,1),OFFSET($M$15,0,0,$B$8,1))=EW$13), 1*(_xlfn._xlws.FILTER(OFFSET($O$15,0,$DO51,$B$8,1),OFFSET($M$15,0,0,$B$8,1))=EW$14))   /   SUM(OFFSET($BO$15,0,0,$B$14,1)) + $B$18/($B$19*$B$19*($DN51&lt;&gt;$DO51) + $B$19*($DN51=$DO51))</f>
        <v>3.7037037037037035E-4</v>
      </c>
      <c r="EX51" s="10" cm="1">
        <f t="array" aca="1" ref="EX51" ca="1">(1-$B$18)*SUMPRODUCT(OFFSET($BO$15,0,0,$B$14,1), 1*(_xlfn._xlws.FILTER(OFFSET($O$15,0,$DN51,$B$8,1),OFFSET($M$15,0,0,$B$8,1))=EX$13), 1*(_xlfn._xlws.FILTER(OFFSET($O$15,0,$DO51,$B$8,1),OFFSET($M$15,0,0,$B$8,1))=EX$14))   /   SUM(OFFSET($BO$15,0,0,$B$14,1)) + $B$18/($B$19*$B$19*($DN51&lt;&gt;$DO51) + $B$19*($DN51=$DO51))</f>
        <v>3.7037037037037035E-4</v>
      </c>
      <c r="EY51" s="10" cm="1">
        <f t="array" aca="1" ref="EY51" ca="1">(1-$B$18)*SUMPRODUCT(OFFSET($BO$15,0,0,$B$14,1), 1*(_xlfn._xlws.FILTER(OFFSET($O$15,0,$DN51,$B$8,1),OFFSET($M$15,0,0,$B$8,1))=EY$13), 1*(_xlfn._xlws.FILTER(OFFSET($O$15,0,$DO51,$B$8,1),OFFSET($M$15,0,0,$B$8,1))=EY$14))   /   SUM(OFFSET($BO$15,0,0,$B$14,1)) + $B$18/($B$19*$B$19*($DN51&lt;&gt;$DO51) + $B$19*($DN51=$DO51))</f>
        <v>3.7037037037037035E-4</v>
      </c>
      <c r="EZ51" s="10" cm="1">
        <f t="array" aca="1" ref="EZ51" ca="1">(1-$B$18)*SUMPRODUCT(OFFSET($BO$15,0,0,$B$14,1), 1*(_xlfn._xlws.FILTER(OFFSET($O$15,0,$DN51,$B$8,1),OFFSET($M$15,0,0,$B$8,1))=EZ$13), 1*(_xlfn._xlws.FILTER(OFFSET($O$15,0,$DO51,$B$8,1),OFFSET($M$15,0,0,$B$8,1))=EZ$14))   /   SUM(OFFSET($BO$15,0,0,$B$14,1)) + $B$18/($B$19*$B$19*($DN51&lt;&gt;$DO51) + $B$19*($DN51=$DO51))</f>
        <v>3.7037037037037035E-4</v>
      </c>
      <c r="FA51" s="10" cm="1">
        <f t="array" aca="1" ref="FA51" ca="1">(1-$B$18)*SUMPRODUCT(OFFSET($BO$15,0,0,$B$14,1), 1*(_xlfn._xlws.FILTER(OFFSET($O$15,0,$DN51,$B$8,1),OFFSET($M$15,0,0,$B$8,1))=FA$13), 1*(_xlfn._xlws.FILTER(OFFSET($O$15,0,$DO51,$B$8,1),OFFSET($M$15,0,0,$B$8,1))=FA$14))   /   SUM(OFFSET($BO$15,0,0,$B$14,1)) + $B$18/($B$19*$B$19*($DN51&lt;&gt;$DO51) + $B$19*($DN51=$DO51))</f>
        <v>3.7037037037037035E-4</v>
      </c>
      <c r="FB51" s="10" cm="1">
        <f t="array" aca="1" ref="FB51" ca="1">(1-$B$18)*SUMPRODUCT(OFFSET($BO$15,0,0,$B$14,1), 1*(_xlfn._xlws.FILTER(OFFSET($O$15,0,$DN51,$B$8,1),OFFSET($M$15,0,0,$B$8,1))=FB$13), 1*(_xlfn._xlws.FILTER(OFFSET($O$15,0,$DO51,$B$8,1),OFFSET($M$15,0,0,$B$8,1))=FB$14))   /   SUM(OFFSET($BO$15,0,0,$B$14,1)) + $B$18/($B$19*$B$19*($DN51&lt;&gt;$DO51) + $B$19*($DN51=$DO51))</f>
        <v>3.7037037037037035E-4</v>
      </c>
      <c r="FC51" s="10" cm="1">
        <f t="array" aca="1" ref="FC51" ca="1">(1-$B$18)*SUMPRODUCT(OFFSET($BO$15,0,0,$B$14,1), 1*(_xlfn._xlws.FILTER(OFFSET($O$15,0,$DN51,$B$8,1),OFFSET($M$15,0,0,$B$8,1))=FC$13), 1*(_xlfn._xlws.FILTER(OFFSET($O$15,0,$DO51,$B$8,1),OFFSET($M$15,0,0,$B$8,1))=FC$14))   /   SUM(OFFSET($BO$15,0,0,$B$14,1)) + $B$18/($B$19*$B$19*($DN51&lt;&gt;$DO51) + $B$19*($DN51=$DO51))</f>
        <v>3.7037037037037035E-4</v>
      </c>
      <c r="FD51" s="10" cm="1">
        <f t="array" aca="1" ref="FD51" ca="1">(1-$B$18)*SUMPRODUCT(OFFSET($BO$15,0,0,$B$14,1), 1*(_xlfn._xlws.FILTER(OFFSET($O$15,0,$DN51,$B$8,1),OFFSET($M$15,0,0,$B$8,1))=FD$13), 1*(_xlfn._xlws.FILTER(OFFSET($O$15,0,$DO51,$B$8,1),OFFSET($M$15,0,0,$B$8,1))=FD$14))   /   SUM(OFFSET($BO$15,0,0,$B$14,1)) + $B$18/($B$19*$B$19*($DN51&lt;&gt;$DO51) + $B$19*($DN51=$DO51))</f>
        <v>3.7037037037037035E-4</v>
      </c>
      <c r="FE51" s="10" cm="1">
        <f t="array" aca="1" ref="FE51" ca="1">(1-$B$18)*SUMPRODUCT(OFFSET($BO$15,0,0,$B$14,1), 1*(_xlfn._xlws.FILTER(OFFSET($O$15,0,$DN51,$B$8,1),OFFSET($M$15,0,0,$B$8,1))=FE$13), 1*(_xlfn._xlws.FILTER(OFFSET($O$15,0,$DO51,$B$8,1),OFFSET($M$15,0,0,$B$8,1))=FE$14))   /   SUM(OFFSET($BO$15,0,0,$B$14,1)) + $B$18/($B$19*$B$19*($DN51&lt;&gt;$DO51) + $B$19*($DN51=$DO51))</f>
        <v>3.7037037037037035E-4</v>
      </c>
      <c r="FF51" s="10" cm="1">
        <f t="array" aca="1" ref="FF51" ca="1">(1-$B$18)*SUMPRODUCT(OFFSET($BO$15,0,0,$B$14,1), 1*(_xlfn._xlws.FILTER(OFFSET($O$15,0,$DN51,$B$8,1),OFFSET($M$15,0,0,$B$8,1))=FF$13), 1*(_xlfn._xlws.FILTER(OFFSET($O$15,0,$DO51,$B$8,1),OFFSET($M$15,0,0,$B$8,1))=FF$14))   /   SUM(OFFSET($BO$15,0,0,$B$14,1)) + $B$18/($B$19*$B$19*($DN51&lt;&gt;$DO51) + $B$19*($DN51=$DO51))</f>
        <v>3.7037037037037035E-4</v>
      </c>
      <c r="FG51" s="10" cm="1">
        <f t="array" aca="1" ref="FG51" ca="1">(1-$B$18)*SUMPRODUCT(OFFSET($BO$15,0,0,$B$14,1), 1*(_xlfn._xlws.FILTER(OFFSET($O$15,0,$DN51,$B$8,1),OFFSET($M$15,0,0,$B$8,1))=FG$13), 1*(_xlfn._xlws.FILTER(OFFSET($O$15,0,$DO51,$B$8,1),OFFSET($M$15,0,0,$B$8,1))=FG$14))   /   SUM(OFFSET($BO$15,0,0,$B$14,1)) + $B$18/($B$19*$B$19*($DN51&lt;&gt;$DO51) + $B$19*($DN51=$DO51))</f>
        <v>3.7037037037037035E-4</v>
      </c>
      <c r="FH51" s="10" cm="1">
        <f t="array" aca="1" ref="FH51" ca="1">(1-$B$18)*SUMPRODUCT(OFFSET($BO$15,0,0,$B$14,1), 1*(_xlfn._xlws.FILTER(OFFSET($O$15,0,$DN51,$B$8,1),OFFSET($M$15,0,0,$B$8,1))=FH$13), 1*(_xlfn._xlws.FILTER(OFFSET($O$15,0,$DO51,$B$8,1),OFFSET($M$15,0,0,$B$8,1))=FH$14))   /   SUM(OFFSET($BO$15,0,0,$B$14,1)) + $B$18/($B$19*$B$19*($DN51&lt;&gt;$DO51) + $B$19*($DN51=$DO51))</f>
        <v>3.7037037037037035E-4</v>
      </c>
      <c r="FI51" s="10" cm="1">
        <f t="array" aca="1" ref="FI51" ca="1">(1-$B$18)*SUMPRODUCT(OFFSET($BO$15,0,0,$B$14,1), 1*(_xlfn._xlws.FILTER(OFFSET($O$15,0,$DN51,$B$8,1),OFFSET($M$15,0,0,$B$8,1))=FI$13), 1*(_xlfn._xlws.FILTER(OFFSET($O$15,0,$DO51,$B$8,1),OFFSET($M$15,0,0,$B$8,1))=FI$14))   /   SUM(OFFSET($BO$15,0,0,$B$14,1)) + $B$18/($B$19*$B$19*($DN51&lt;&gt;$DO51) + $B$19*($DN51=$DO51))</f>
        <v>3.7037037037037035E-4</v>
      </c>
      <c r="FJ51" s="10" cm="1">
        <f t="array" aca="1" ref="FJ51" ca="1">(1-$B$18)*SUMPRODUCT(OFFSET($BO$15,0,0,$B$14,1), 1*(_xlfn._xlws.FILTER(OFFSET($O$15,0,$DN51,$B$8,1),OFFSET($M$15,0,0,$B$8,1))=FJ$13), 1*(_xlfn._xlws.FILTER(OFFSET($O$15,0,$DO51,$B$8,1),OFFSET($M$15,0,0,$B$8,1))=FJ$14))   /   SUM(OFFSET($BO$15,0,0,$B$14,1)) + $B$18/($B$19*$B$19*($DN51&lt;&gt;$DO51) + $B$19*($DN51=$DO51))</f>
        <v>3.7037037037037035E-4</v>
      </c>
      <c r="FK51" s="10" cm="1">
        <f t="array" aca="1" ref="FK51" ca="1">(1-$B$18)*SUMPRODUCT(OFFSET($BO$15,0,0,$B$14,1), 1*(_xlfn._xlws.FILTER(OFFSET($O$15,0,$DN51,$B$8,1),OFFSET($M$15,0,0,$B$8,1))=FK$13), 1*(_xlfn._xlws.FILTER(OFFSET($O$15,0,$DO51,$B$8,1),OFFSET($M$15,0,0,$B$8,1))=FK$14))   /   SUM(OFFSET($BO$15,0,0,$B$14,1)) + $B$18/($B$19*$B$19*($DN51&lt;&gt;$DO51) + $B$19*($DN51=$DO51))</f>
        <v>3.7037037037037035E-4</v>
      </c>
      <c r="FL51" s="10" cm="1">
        <f t="array" aca="1" ref="FL51" ca="1">(1-$B$18)*SUMPRODUCT(OFFSET($BO$15,0,0,$B$14,1), 1*(_xlfn._xlws.FILTER(OFFSET($O$15,0,$DN51,$B$8,1),OFFSET($M$15,0,0,$B$8,1))=FL$13), 1*(_xlfn._xlws.FILTER(OFFSET($O$15,0,$DO51,$B$8,1),OFFSET($M$15,0,0,$B$8,1))=FL$14))   /   SUM(OFFSET($BO$15,0,0,$B$14,1)) + $B$18/($B$19*$B$19*($DN51&lt;&gt;$DO51) + $B$19*($DN51=$DO51))</f>
        <v>3.7037037037037035E-4</v>
      </c>
      <c r="FM51" s="10" cm="1">
        <f t="array" aca="1" ref="FM51" ca="1">(1-$B$18)*SUMPRODUCT(OFFSET($BO$15,0,0,$B$14,1), 1*(_xlfn._xlws.FILTER(OFFSET($O$15,0,$DN51,$B$8,1),OFFSET($M$15,0,0,$B$8,1))=FM$13), 1*(_xlfn._xlws.FILTER(OFFSET($O$15,0,$DO51,$B$8,1),OFFSET($M$15,0,0,$B$8,1))=FM$14))   /   SUM(OFFSET($BO$15,0,0,$B$14,1)) + $B$18/($B$19*$B$19*($DN51&lt;&gt;$DO51) + $B$19*($DN51=$DO51))</f>
        <v>3.7037037037037035E-4</v>
      </c>
      <c r="FN51" s="10" cm="1">
        <f t="array" aca="1" ref="FN51" ca="1">(1-$B$18)*SUMPRODUCT(OFFSET($BO$15,0,0,$B$14,1), 1*(_xlfn._xlws.FILTER(OFFSET($O$15,0,$DN51,$B$8,1),OFFSET($M$15,0,0,$B$8,1))=FN$13), 1*(_xlfn._xlws.FILTER(OFFSET($O$15,0,$DO51,$B$8,1),OFFSET($M$15,0,0,$B$8,1))=FN$14))   /   SUM(OFFSET($BO$15,0,0,$B$14,1)) + $B$18/($B$19*$B$19*($DN51&lt;&gt;$DO51) + $B$19*($DN51=$DO51))</f>
        <v>3.7037037037037035E-4</v>
      </c>
      <c r="FO51" s="10" cm="1">
        <f t="array" aca="1" ref="FO51" ca="1">(1-$B$18)*SUMPRODUCT(OFFSET($BO$15,0,0,$B$14,1), 1*(_xlfn._xlws.FILTER(OFFSET($O$15,0,$DN51,$B$8,1),OFFSET($M$15,0,0,$B$8,1))=FO$13), 1*(_xlfn._xlws.FILTER(OFFSET($O$15,0,$DO51,$B$8,1),OFFSET($M$15,0,0,$B$8,1))=FO$14))   /   SUM(OFFSET($BO$15,0,0,$B$14,1)) + $B$18/($B$19*$B$19*($DN51&lt;&gt;$DO51) + $B$19*($DN51=$DO51))</f>
        <v>3.7037037037037035E-4</v>
      </c>
      <c r="FP51" s="10" cm="1">
        <f t="array" aca="1" ref="FP51" ca="1">(1-$B$18)*SUMPRODUCT(OFFSET($BO$15,0,0,$B$14,1), 1*(_xlfn._xlws.FILTER(OFFSET($O$15,0,$DN51,$B$8,1),OFFSET($M$15,0,0,$B$8,1))=FP$13), 1*(_xlfn._xlws.FILTER(OFFSET($O$15,0,$DO51,$B$8,1),OFFSET($M$15,0,0,$B$8,1))=FP$14))   /   SUM(OFFSET($BO$15,0,0,$B$14,1)) + $B$18/($B$19*$B$19*($DN51&lt;&gt;$DO51) + $B$19*($DN51=$DO51))</f>
        <v>0.24287037037037024</v>
      </c>
      <c r="FQ51" s="10" cm="1">
        <f t="array" aca="1" ref="FQ51" ca="1">(1-$B$18)*SUMPRODUCT(OFFSET($BO$15,0,0,$B$14,1), 1*(_xlfn._xlws.FILTER(OFFSET($O$15,0,$DN51,$B$8,1),OFFSET($M$15,0,0,$B$8,1))=FQ$13), 1*(_xlfn._xlws.FILTER(OFFSET($O$15,0,$DO51,$B$8,1),OFFSET($M$15,0,0,$B$8,1))=FQ$14))   /   SUM(OFFSET($BO$15,0,0,$B$14,1)) + $B$18/($B$19*$B$19*($DN51&lt;&gt;$DO51) + $B$19*($DN51=$DO51))</f>
        <v>0.24287037037037026</v>
      </c>
      <c r="FR51" s="10" cm="1">
        <f t="array" aca="1" ref="FR51" ca="1">(1-$B$18)*SUMPRODUCT(OFFSET($BO$15,0,0,$B$14,1), 1*(_xlfn._xlws.FILTER(OFFSET($O$15,0,$DN51,$B$8,1),OFFSET($M$15,0,0,$B$8,1))=FR$13), 1*(_xlfn._xlws.FILTER(OFFSET($O$15,0,$DO51,$B$8,1),OFFSET($M$15,0,0,$B$8,1))=FR$14))   /   SUM(OFFSET($BO$15,0,0,$B$14,1)) + $B$18/($B$19*$B$19*($DN51&lt;&gt;$DO51) + $B$19*($DN51=$DO51))</f>
        <v>0.48537037037037012</v>
      </c>
      <c r="FS51" s="10" cm="1">
        <f t="array" aca="1" ref="FS51" ca="1">(1-$B$18)*SUMPRODUCT(OFFSET($BO$15,0,0,$B$14,1), 1*(_xlfn._xlws.FILTER(OFFSET($O$15,0,$DN51,$B$8,1),OFFSET($M$15,0,0,$B$8,1))=FS$13), 1*(_xlfn._xlws.FILTER(OFFSET($O$15,0,$DO51,$B$8,1),OFFSET($M$15,0,0,$B$8,1))=FS$14))   /   SUM(OFFSET($BO$15,0,0,$B$14,1)) + $B$18/($B$19*$B$19*($DN51&lt;&gt;$DO51) + $B$19*($DN51=$DO51))</f>
        <v>3.7037037037037035E-4</v>
      </c>
      <c r="FT51" s="10" cm="1">
        <f t="array" aca="1" ref="FT51" ca="1">(1-$B$18)*SUMPRODUCT(OFFSET($BO$15,0,0,$B$14,1), 1*(_xlfn._xlws.FILTER(OFFSET($O$15,0,$DN51,$B$8,1),OFFSET($M$15,0,0,$B$8,1))=FT$13), 1*(_xlfn._xlws.FILTER(OFFSET($O$15,0,$DO51,$B$8,1),OFFSET($M$15,0,0,$B$8,1))=FT$14))   /   SUM(OFFSET($BO$15,0,0,$B$14,1)) + $B$18/($B$19*$B$19*($DN51&lt;&gt;$DO51) + $B$19*($DN51=$DO51))</f>
        <v>3.7037037037037035E-4</v>
      </c>
      <c r="FU51" s="10" cm="1">
        <f t="array" aca="1" ref="FU51" ca="1">(1-$B$18)*SUMPRODUCT(OFFSET($BO$15,0,0,$B$14,1), 1*(_xlfn._xlws.FILTER(OFFSET($O$15,0,$DN51,$B$8,1),OFFSET($M$15,0,0,$B$8,1))=FU$13), 1*(_xlfn._xlws.FILTER(OFFSET($O$15,0,$DO51,$B$8,1),OFFSET($M$15,0,0,$B$8,1))=FU$14))   /   SUM(OFFSET($BO$15,0,0,$B$14,1)) + $B$18/($B$19*$B$19*($DN51&lt;&gt;$DO51) + $B$19*($DN51=$DO51))</f>
        <v>3.7037037037037035E-4</v>
      </c>
      <c r="FV51" s="10" cm="1">
        <f t="array" aca="1" ref="FV51" ca="1">(1-$B$18)*SUMPRODUCT(OFFSET($BO$15,0,0,$B$14,1), 1*(_xlfn._xlws.FILTER(OFFSET($O$15,0,$DN51,$B$8,1),OFFSET($M$15,0,0,$B$8,1))=FV$13), 1*(_xlfn._xlws.FILTER(OFFSET($O$15,0,$DO51,$B$8,1),OFFSET($M$15,0,0,$B$8,1))=FV$14))   /   SUM(OFFSET($BO$15,0,0,$B$14,1)) + $B$18/($B$19*$B$19*($DN51&lt;&gt;$DO51) + $B$19*($DN51=$DO51))</f>
        <v>3.7037037037037035E-4</v>
      </c>
      <c r="FW51" s="10" cm="1">
        <f t="array" aca="1" ref="FW51" ca="1">(1-$B$18)*SUMPRODUCT(OFFSET($BO$15,0,0,$B$14,1), 1*(_xlfn._xlws.FILTER(OFFSET($O$15,0,$DN51,$B$8,1),OFFSET($M$15,0,0,$B$8,1))=FW$13), 1*(_xlfn._xlws.FILTER(OFFSET($O$15,0,$DO51,$B$8,1),OFFSET($M$15,0,0,$B$8,1))=FW$14))   /   SUM(OFFSET($BO$15,0,0,$B$14,1)) + $B$18/($B$19*$B$19*($DN51&lt;&gt;$DO51) + $B$19*($DN51=$DO51))</f>
        <v>3.7037037037037035E-4</v>
      </c>
      <c r="FX51" s="10" cm="1">
        <f t="array" aca="1" ref="FX51" ca="1">(1-$B$18)*SUMPRODUCT(OFFSET($BO$15,0,0,$B$14,1), 1*(_xlfn._xlws.FILTER(OFFSET($O$15,0,$DN51,$B$8,1),OFFSET($M$15,0,0,$B$8,1))=FX$13), 1*(_xlfn._xlws.FILTER(OFFSET($O$15,0,$DO51,$B$8,1),OFFSET($M$15,0,0,$B$8,1))=FX$14))   /   SUM(OFFSET($BO$15,0,0,$B$14,1)) + $B$18/($B$19*$B$19*($DN51&lt;&gt;$DO51) + $B$19*($DN51=$DO51))</f>
        <v>3.7037037037037035E-4</v>
      </c>
      <c r="FY51" s="10" cm="1">
        <f t="array" aca="1" ref="FY51" ca="1">(1-$B$18)*SUMPRODUCT(OFFSET($BO$15,0,0,$B$14,1), 1*(_xlfn._xlws.FILTER(OFFSET($O$15,0,$DN51,$B$8,1),OFFSET($M$15,0,0,$B$8,1))=FY$13), 1*(_xlfn._xlws.FILTER(OFFSET($O$15,0,$DO51,$B$8,1),OFFSET($M$15,0,0,$B$8,1))=FY$14))   /   SUM(OFFSET($BO$15,0,0,$B$14,1)) + $B$18/($B$19*$B$19*($DN51&lt;&gt;$DO51) + $B$19*($DN51=$DO51))</f>
        <v>3.7037037037037035E-4</v>
      </c>
      <c r="FZ51" s="10" cm="1">
        <f t="array" aca="1" ref="FZ51" ca="1">(1-$B$18)*SUMPRODUCT(OFFSET($BO$15,0,0,$B$14,1), 1*(_xlfn._xlws.FILTER(OFFSET($O$15,0,$DN51,$B$8,1),OFFSET($M$15,0,0,$B$8,1))=FZ$13), 1*(_xlfn._xlws.FILTER(OFFSET($O$15,0,$DO51,$B$8,1),OFFSET($M$15,0,0,$B$8,1))=FZ$14))   /   SUM(OFFSET($BO$15,0,0,$B$14,1)) + $B$18/($B$19*$B$19*($DN51&lt;&gt;$DO51) + $B$19*($DN51=$DO51))</f>
        <v>3.7037037037037035E-4</v>
      </c>
      <c r="GA51" s="10" cm="1">
        <f t="array" aca="1" ref="GA51" ca="1">(1-$B$18)*SUMPRODUCT(OFFSET($BO$15,0,0,$B$14,1), 1*(_xlfn._xlws.FILTER(OFFSET($O$15,0,$DN51,$B$8,1),OFFSET($M$15,0,0,$B$8,1))=GA$13), 1*(_xlfn._xlws.FILTER(OFFSET($O$15,0,$DO51,$B$8,1),OFFSET($M$15,0,0,$B$8,1))=GA$14))   /   SUM(OFFSET($BO$15,0,0,$B$14,1)) + $B$18/($B$19*$B$19*($DN51&lt;&gt;$DO51) + $B$19*($DN51=$DO51))</f>
        <v>3.7037037037037035E-4</v>
      </c>
    </row>
    <row r="52" spans="5:183" x14ac:dyDescent="0.2">
      <c r="AK52" s="2"/>
      <c r="AL52" s="2"/>
      <c r="CX52">
        <f ca="1"/>
        <v>0.1</v>
      </c>
      <c r="CY52">
        <f ca="1"/>
        <v>0</v>
      </c>
      <c r="DN52" cm="1">
        <f t="array" aca="1" ref="DN52" ca="1">INDEX(_xlfn.ANCHORARRAY($CP$15), 1 + INT((ROWS($DO$15:$DO52) - 1) / ROWS(_xlfn.ANCHORARRAY($CP$15))))</f>
        <v>1</v>
      </c>
      <c r="DO52" cm="1">
        <f t="array" aca="1" ref="DO52" ca="1">INDEX(_xlfn.ANCHORARRAY($CP$15),1+MOD(ROWS($DO$15:$DO52)-1,ROWS(_xlfn.ANCHORARRAY($CP$15))))</f>
        <v>21</v>
      </c>
      <c r="DP52" s="10" cm="1">
        <f t="array" aca="1" ref="DP52" ca="1">(1-$B$18)*SUMPRODUCT(OFFSET($BO$15,0,0,$B$14,1), 1*(_xlfn._xlws.FILTER(OFFSET($O$15,0,$DN52,$B$8,1),OFFSET($M$15,0,0,$B$8,1))=DP$13), 1*(_xlfn._xlws.FILTER(OFFSET($O$15,0,$DO52,$B$8,1),OFFSET($M$15,0,0,$B$8,1))=DP$14))   /   SUM(OFFSET($BO$15,0,0,$B$14,1)) + $B$18/($B$19*$B$19*($DN52&lt;&gt;$DO52) + $B$19*($DN52=$DO52))</f>
        <v>3.7037037037037035E-4</v>
      </c>
      <c r="DQ52" s="10" cm="1">
        <f t="array" aca="1" ref="DQ52" ca="1">(1-$B$18)*SUMPRODUCT(OFFSET($BO$15,0,0,$B$14,1), 1*(_xlfn._xlws.FILTER(OFFSET($O$15,0,$DN52,$B$8,1),OFFSET($M$15,0,0,$B$8,1))=DQ$13), 1*(_xlfn._xlws.FILTER(OFFSET($O$15,0,$DO52,$B$8,1),OFFSET($M$15,0,0,$B$8,1))=DQ$14))   /   SUM(OFFSET($BO$15,0,0,$B$14,1)) + $B$18/($B$19*$B$19*($DN52&lt;&gt;$DO52) + $B$19*($DN52=$DO52))</f>
        <v>3.7037037037037035E-4</v>
      </c>
      <c r="DR52" s="10" cm="1">
        <f t="array" aca="1" ref="DR52" ca="1">(1-$B$18)*SUMPRODUCT(OFFSET($BO$15,0,0,$B$14,1), 1*(_xlfn._xlws.FILTER(OFFSET($O$15,0,$DN52,$B$8,1),OFFSET($M$15,0,0,$B$8,1))=DR$13), 1*(_xlfn._xlws.FILTER(OFFSET($O$15,0,$DO52,$B$8,1),OFFSET($M$15,0,0,$B$8,1))=DR$14))   /   SUM(OFFSET($BO$15,0,0,$B$14,1)) + $B$18/($B$19*$B$19*($DN52&lt;&gt;$DO52) + $B$19*($DN52=$DO52))</f>
        <v>3.7037037037037035E-4</v>
      </c>
      <c r="DS52" s="10" cm="1">
        <f t="array" aca="1" ref="DS52" ca="1">(1-$B$18)*SUMPRODUCT(OFFSET($BO$15,0,0,$B$14,1), 1*(_xlfn._xlws.FILTER(OFFSET($O$15,0,$DN52,$B$8,1),OFFSET($M$15,0,0,$B$8,1))=DS$13), 1*(_xlfn._xlws.FILTER(OFFSET($O$15,0,$DO52,$B$8,1),OFFSET($M$15,0,0,$B$8,1))=DS$14))   /   SUM(OFFSET($BO$15,0,0,$B$14,1)) + $B$18/($B$19*$B$19*($DN52&lt;&gt;$DO52) + $B$19*($DN52=$DO52))</f>
        <v>3.7037037037037035E-4</v>
      </c>
      <c r="DT52" s="10" cm="1">
        <f t="array" aca="1" ref="DT52" ca="1">(1-$B$18)*SUMPRODUCT(OFFSET($BO$15,0,0,$B$14,1), 1*(_xlfn._xlws.FILTER(OFFSET($O$15,0,$DN52,$B$8,1),OFFSET($M$15,0,0,$B$8,1))=DT$13), 1*(_xlfn._xlws.FILTER(OFFSET($O$15,0,$DO52,$B$8,1),OFFSET($M$15,0,0,$B$8,1))=DT$14))   /   SUM(OFFSET($BO$15,0,0,$B$14,1)) + $B$18/($B$19*$B$19*($DN52&lt;&gt;$DO52) + $B$19*($DN52=$DO52))</f>
        <v>3.7037037037037035E-4</v>
      </c>
      <c r="DU52" s="10" cm="1">
        <f t="array" aca="1" ref="DU52" ca="1">(1-$B$18)*SUMPRODUCT(OFFSET($BO$15,0,0,$B$14,1), 1*(_xlfn._xlws.FILTER(OFFSET($O$15,0,$DN52,$B$8,1),OFFSET($M$15,0,0,$B$8,1))=DU$13), 1*(_xlfn._xlws.FILTER(OFFSET($O$15,0,$DO52,$B$8,1),OFFSET($M$15,0,0,$B$8,1))=DU$14))   /   SUM(OFFSET($BO$15,0,0,$B$14,1)) + $B$18/($B$19*$B$19*($DN52&lt;&gt;$DO52) + $B$19*($DN52=$DO52))</f>
        <v>3.7037037037037035E-4</v>
      </c>
      <c r="DV52" s="10" cm="1">
        <f t="array" aca="1" ref="DV52" ca="1">(1-$B$18)*SUMPRODUCT(OFFSET($BO$15,0,0,$B$14,1), 1*(_xlfn._xlws.FILTER(OFFSET($O$15,0,$DN52,$B$8,1),OFFSET($M$15,0,0,$B$8,1))=DV$13), 1*(_xlfn._xlws.FILTER(OFFSET($O$15,0,$DO52,$B$8,1),OFFSET($M$15,0,0,$B$8,1))=DV$14))   /   SUM(OFFSET($BO$15,0,0,$B$14,1)) + $B$18/($B$19*$B$19*($DN52&lt;&gt;$DO52) + $B$19*($DN52=$DO52))</f>
        <v>3.7037037037037035E-4</v>
      </c>
      <c r="DW52" s="10" cm="1">
        <f t="array" aca="1" ref="DW52" ca="1">(1-$B$18)*SUMPRODUCT(OFFSET($BO$15,0,0,$B$14,1), 1*(_xlfn._xlws.FILTER(OFFSET($O$15,0,$DN52,$B$8,1),OFFSET($M$15,0,0,$B$8,1))=DW$13), 1*(_xlfn._xlws.FILTER(OFFSET($O$15,0,$DO52,$B$8,1),OFFSET($M$15,0,0,$B$8,1))=DW$14))   /   SUM(OFFSET($BO$15,0,0,$B$14,1)) + $B$18/($B$19*$B$19*($DN52&lt;&gt;$DO52) + $B$19*($DN52=$DO52))</f>
        <v>3.7037037037037035E-4</v>
      </c>
      <c r="DX52" s="10" cm="1">
        <f t="array" aca="1" ref="DX52" ca="1">(1-$B$18)*SUMPRODUCT(OFFSET($BO$15,0,0,$B$14,1), 1*(_xlfn._xlws.FILTER(OFFSET($O$15,0,$DN52,$B$8,1),OFFSET($M$15,0,0,$B$8,1))=DX$13), 1*(_xlfn._xlws.FILTER(OFFSET($O$15,0,$DO52,$B$8,1),OFFSET($M$15,0,0,$B$8,1))=DX$14))   /   SUM(OFFSET($BO$15,0,0,$B$14,1)) + $B$18/($B$19*$B$19*($DN52&lt;&gt;$DO52) + $B$19*($DN52=$DO52))</f>
        <v>3.7037037037037035E-4</v>
      </c>
      <c r="DY52" s="10" cm="1">
        <f t="array" aca="1" ref="DY52" ca="1">(1-$B$18)*SUMPRODUCT(OFFSET($BO$15,0,0,$B$14,1), 1*(_xlfn._xlws.FILTER(OFFSET($O$15,0,$DN52,$B$8,1),OFFSET($M$15,0,0,$B$8,1))=DY$13), 1*(_xlfn._xlws.FILTER(OFFSET($O$15,0,$DO52,$B$8,1),OFFSET($M$15,0,0,$B$8,1))=DY$14))   /   SUM(OFFSET($BO$15,0,0,$B$14,1)) + $B$18/($B$19*$B$19*($DN52&lt;&gt;$DO52) + $B$19*($DN52=$DO52))</f>
        <v>3.7037037037037035E-4</v>
      </c>
      <c r="DZ52" s="10" cm="1">
        <f t="array" aca="1" ref="DZ52" ca="1">(1-$B$18)*SUMPRODUCT(OFFSET($BO$15,0,0,$B$14,1), 1*(_xlfn._xlws.FILTER(OFFSET($O$15,0,$DN52,$B$8,1),OFFSET($M$15,0,0,$B$8,1))=DZ$13), 1*(_xlfn._xlws.FILTER(OFFSET($O$15,0,$DO52,$B$8,1),OFFSET($M$15,0,0,$B$8,1))=DZ$14))   /   SUM(OFFSET($BO$15,0,0,$B$14,1)) + $B$18/($B$19*$B$19*($DN52&lt;&gt;$DO52) + $B$19*($DN52=$DO52))</f>
        <v>3.7037037037037035E-4</v>
      </c>
      <c r="EA52" s="10" cm="1">
        <f t="array" aca="1" ref="EA52" ca="1">(1-$B$18)*SUMPRODUCT(OFFSET($BO$15,0,0,$B$14,1), 1*(_xlfn._xlws.FILTER(OFFSET($O$15,0,$DN52,$B$8,1),OFFSET($M$15,0,0,$B$8,1))=EA$13), 1*(_xlfn._xlws.FILTER(OFFSET($O$15,0,$DO52,$B$8,1),OFFSET($M$15,0,0,$B$8,1))=EA$14))   /   SUM(OFFSET($BO$15,0,0,$B$14,1)) + $B$18/($B$19*$B$19*($DN52&lt;&gt;$DO52) + $B$19*($DN52=$DO52))</f>
        <v>3.7037037037037035E-4</v>
      </c>
      <c r="EB52" s="10" cm="1">
        <f t="array" aca="1" ref="EB52" ca="1">(1-$B$18)*SUMPRODUCT(OFFSET($BO$15,0,0,$B$14,1), 1*(_xlfn._xlws.FILTER(OFFSET($O$15,0,$DN52,$B$8,1),OFFSET($M$15,0,0,$B$8,1))=EB$13), 1*(_xlfn._xlws.FILTER(OFFSET($O$15,0,$DO52,$B$8,1),OFFSET($M$15,0,0,$B$8,1))=EB$14))   /   SUM(OFFSET($BO$15,0,0,$B$14,1)) + $B$18/($B$19*$B$19*($DN52&lt;&gt;$DO52) + $B$19*($DN52=$DO52))</f>
        <v>3.7037037037037035E-4</v>
      </c>
      <c r="EC52" s="10" cm="1">
        <f t="array" aca="1" ref="EC52" ca="1">(1-$B$18)*SUMPRODUCT(OFFSET($BO$15,0,0,$B$14,1), 1*(_xlfn._xlws.FILTER(OFFSET($O$15,0,$DN52,$B$8,1),OFFSET($M$15,0,0,$B$8,1))=EC$13), 1*(_xlfn._xlws.FILTER(OFFSET($O$15,0,$DO52,$B$8,1),OFFSET($M$15,0,0,$B$8,1))=EC$14))   /   SUM(OFFSET($BO$15,0,0,$B$14,1)) + $B$18/($B$19*$B$19*($DN52&lt;&gt;$DO52) + $B$19*($DN52=$DO52))</f>
        <v>3.7037037037037035E-4</v>
      </c>
      <c r="ED52" s="10" cm="1">
        <f t="array" aca="1" ref="ED52" ca="1">(1-$B$18)*SUMPRODUCT(OFFSET($BO$15,0,0,$B$14,1), 1*(_xlfn._xlws.FILTER(OFFSET($O$15,0,$DN52,$B$8,1),OFFSET($M$15,0,0,$B$8,1))=ED$13), 1*(_xlfn._xlws.FILTER(OFFSET($O$15,0,$DO52,$B$8,1),OFFSET($M$15,0,0,$B$8,1))=ED$14))   /   SUM(OFFSET($BO$15,0,0,$B$14,1)) + $B$18/($B$19*$B$19*($DN52&lt;&gt;$DO52) + $B$19*($DN52=$DO52))</f>
        <v>3.7037037037037035E-4</v>
      </c>
      <c r="EE52" s="10" cm="1">
        <f t="array" aca="1" ref="EE52" ca="1">(1-$B$18)*SUMPRODUCT(OFFSET($BO$15,0,0,$B$14,1), 1*(_xlfn._xlws.FILTER(OFFSET($O$15,0,$DN52,$B$8,1),OFFSET($M$15,0,0,$B$8,1))=EE$13), 1*(_xlfn._xlws.FILTER(OFFSET($O$15,0,$DO52,$B$8,1),OFFSET($M$15,0,0,$B$8,1))=EE$14))   /   SUM(OFFSET($BO$15,0,0,$B$14,1)) + $B$18/($B$19*$B$19*($DN52&lt;&gt;$DO52) + $B$19*($DN52=$DO52))</f>
        <v>3.7037037037037035E-4</v>
      </c>
      <c r="EF52" s="10" cm="1">
        <f t="array" aca="1" ref="EF52" ca="1">(1-$B$18)*SUMPRODUCT(OFFSET($BO$15,0,0,$B$14,1), 1*(_xlfn._xlws.FILTER(OFFSET($O$15,0,$DN52,$B$8,1),OFFSET($M$15,0,0,$B$8,1))=EF$13), 1*(_xlfn._xlws.FILTER(OFFSET($O$15,0,$DO52,$B$8,1),OFFSET($M$15,0,0,$B$8,1))=EF$14))   /   SUM(OFFSET($BO$15,0,0,$B$14,1)) + $B$18/($B$19*$B$19*($DN52&lt;&gt;$DO52) + $B$19*($DN52=$DO52))</f>
        <v>3.7037037037037035E-4</v>
      </c>
      <c r="EG52" s="10" cm="1">
        <f t="array" aca="1" ref="EG52" ca="1">(1-$B$18)*SUMPRODUCT(OFFSET($BO$15,0,0,$B$14,1), 1*(_xlfn._xlws.FILTER(OFFSET($O$15,0,$DN52,$B$8,1),OFFSET($M$15,0,0,$B$8,1))=EG$13), 1*(_xlfn._xlws.FILTER(OFFSET($O$15,0,$DO52,$B$8,1),OFFSET($M$15,0,0,$B$8,1))=EG$14))   /   SUM(OFFSET($BO$15,0,0,$B$14,1)) + $B$18/($B$19*$B$19*($DN52&lt;&gt;$DO52) + $B$19*($DN52=$DO52))</f>
        <v>3.7037037037037035E-4</v>
      </c>
      <c r="EH52" s="10" cm="1">
        <f t="array" aca="1" ref="EH52" ca="1">(1-$B$18)*SUMPRODUCT(OFFSET($BO$15,0,0,$B$14,1), 1*(_xlfn._xlws.FILTER(OFFSET($O$15,0,$DN52,$B$8,1),OFFSET($M$15,0,0,$B$8,1))=EH$13), 1*(_xlfn._xlws.FILTER(OFFSET($O$15,0,$DO52,$B$8,1),OFFSET($M$15,0,0,$B$8,1))=EH$14))   /   SUM(OFFSET($BO$15,0,0,$B$14,1)) + $B$18/($B$19*$B$19*($DN52&lt;&gt;$DO52) + $B$19*($DN52=$DO52))</f>
        <v>3.7037037037037035E-4</v>
      </c>
      <c r="EI52" s="10" cm="1">
        <f t="array" aca="1" ref="EI52" ca="1">(1-$B$18)*SUMPRODUCT(OFFSET($BO$15,0,0,$B$14,1), 1*(_xlfn._xlws.FILTER(OFFSET($O$15,0,$DN52,$B$8,1),OFFSET($M$15,0,0,$B$8,1))=EI$13), 1*(_xlfn._xlws.FILTER(OFFSET($O$15,0,$DO52,$B$8,1),OFFSET($M$15,0,0,$B$8,1))=EI$14))   /   SUM(OFFSET($BO$15,0,0,$B$14,1)) + $B$18/($B$19*$B$19*($DN52&lt;&gt;$DO52) + $B$19*($DN52=$DO52))</f>
        <v>3.7037037037037035E-4</v>
      </c>
      <c r="EJ52" s="10" cm="1">
        <f t="array" aca="1" ref="EJ52" ca="1">(1-$B$18)*SUMPRODUCT(OFFSET($BO$15,0,0,$B$14,1), 1*(_xlfn._xlws.FILTER(OFFSET($O$15,0,$DN52,$B$8,1),OFFSET($M$15,0,0,$B$8,1))=EJ$13), 1*(_xlfn._xlws.FILTER(OFFSET($O$15,0,$DO52,$B$8,1),OFFSET($M$15,0,0,$B$8,1))=EJ$14))   /   SUM(OFFSET($BO$15,0,0,$B$14,1)) + $B$18/($B$19*$B$19*($DN52&lt;&gt;$DO52) + $B$19*($DN52=$DO52))</f>
        <v>3.7037037037037035E-4</v>
      </c>
      <c r="EK52" s="10" cm="1">
        <f t="array" aca="1" ref="EK52" ca="1">(1-$B$18)*SUMPRODUCT(OFFSET($BO$15,0,0,$B$14,1), 1*(_xlfn._xlws.FILTER(OFFSET($O$15,0,$DN52,$B$8,1),OFFSET($M$15,0,0,$B$8,1))=EK$13), 1*(_xlfn._xlws.FILTER(OFFSET($O$15,0,$DO52,$B$8,1),OFFSET($M$15,0,0,$B$8,1))=EK$14))   /   SUM(OFFSET($BO$15,0,0,$B$14,1)) + $B$18/($B$19*$B$19*($DN52&lt;&gt;$DO52) + $B$19*($DN52=$DO52))</f>
        <v>3.7037037037037035E-4</v>
      </c>
      <c r="EL52" s="10" cm="1">
        <f t="array" aca="1" ref="EL52" ca="1">(1-$B$18)*SUMPRODUCT(OFFSET($BO$15,0,0,$B$14,1), 1*(_xlfn._xlws.FILTER(OFFSET($O$15,0,$DN52,$B$8,1),OFFSET($M$15,0,0,$B$8,1))=EL$13), 1*(_xlfn._xlws.FILTER(OFFSET($O$15,0,$DO52,$B$8,1),OFFSET($M$15,0,0,$B$8,1))=EL$14))   /   SUM(OFFSET($BO$15,0,0,$B$14,1)) + $B$18/($B$19*$B$19*($DN52&lt;&gt;$DO52) + $B$19*($DN52=$DO52))</f>
        <v>3.7037037037037035E-4</v>
      </c>
      <c r="EM52" s="10" cm="1">
        <f t="array" aca="1" ref="EM52" ca="1">(1-$B$18)*SUMPRODUCT(OFFSET($BO$15,0,0,$B$14,1), 1*(_xlfn._xlws.FILTER(OFFSET($O$15,0,$DN52,$B$8,1),OFFSET($M$15,0,0,$B$8,1))=EM$13), 1*(_xlfn._xlws.FILTER(OFFSET($O$15,0,$DO52,$B$8,1),OFFSET($M$15,0,0,$B$8,1))=EM$14))   /   SUM(OFFSET($BO$15,0,0,$B$14,1)) + $B$18/($B$19*$B$19*($DN52&lt;&gt;$DO52) + $B$19*($DN52=$DO52))</f>
        <v>3.7037037037037035E-4</v>
      </c>
      <c r="EN52" s="10" cm="1">
        <f t="array" aca="1" ref="EN52" ca="1">(1-$B$18)*SUMPRODUCT(OFFSET($BO$15,0,0,$B$14,1), 1*(_xlfn._xlws.FILTER(OFFSET($O$15,0,$DN52,$B$8,1),OFFSET($M$15,0,0,$B$8,1))=EN$13), 1*(_xlfn._xlws.FILTER(OFFSET($O$15,0,$DO52,$B$8,1),OFFSET($M$15,0,0,$B$8,1))=EN$14))   /   SUM(OFFSET($BO$15,0,0,$B$14,1)) + $B$18/($B$19*$B$19*($DN52&lt;&gt;$DO52) + $B$19*($DN52=$DO52))</f>
        <v>3.7037037037037035E-4</v>
      </c>
      <c r="EO52" s="10" cm="1">
        <f t="array" aca="1" ref="EO52" ca="1">(1-$B$18)*SUMPRODUCT(OFFSET($BO$15,0,0,$B$14,1), 1*(_xlfn._xlws.FILTER(OFFSET($O$15,0,$DN52,$B$8,1),OFFSET($M$15,0,0,$B$8,1))=EO$13), 1*(_xlfn._xlws.FILTER(OFFSET($O$15,0,$DO52,$B$8,1),OFFSET($M$15,0,0,$B$8,1))=EO$14))   /   SUM(OFFSET($BO$15,0,0,$B$14,1)) + $B$18/($B$19*$B$19*($DN52&lt;&gt;$DO52) + $B$19*($DN52=$DO52))</f>
        <v>3.7037037037037035E-4</v>
      </c>
      <c r="EP52" s="10" cm="1">
        <f t="array" aca="1" ref="EP52" ca="1">(1-$B$18)*SUMPRODUCT(OFFSET($BO$15,0,0,$B$14,1), 1*(_xlfn._xlws.FILTER(OFFSET($O$15,0,$DN52,$B$8,1),OFFSET($M$15,0,0,$B$8,1))=EP$13), 1*(_xlfn._xlws.FILTER(OFFSET($O$15,0,$DO52,$B$8,1),OFFSET($M$15,0,0,$B$8,1))=EP$14))   /   SUM(OFFSET($BO$15,0,0,$B$14,1)) + $B$18/($B$19*$B$19*($DN52&lt;&gt;$DO52) + $B$19*($DN52=$DO52))</f>
        <v>3.7037037037037035E-4</v>
      </c>
      <c r="EQ52" s="10" cm="1">
        <f t="array" aca="1" ref="EQ52" ca="1">(1-$B$18)*SUMPRODUCT(OFFSET($BO$15,0,0,$B$14,1), 1*(_xlfn._xlws.FILTER(OFFSET($O$15,0,$DN52,$B$8,1),OFFSET($M$15,0,0,$B$8,1))=EQ$13), 1*(_xlfn._xlws.FILTER(OFFSET($O$15,0,$DO52,$B$8,1),OFFSET($M$15,0,0,$B$8,1))=EQ$14))   /   SUM(OFFSET($BO$15,0,0,$B$14,1)) + $B$18/($B$19*$B$19*($DN52&lt;&gt;$DO52) + $B$19*($DN52=$DO52))</f>
        <v>3.7037037037037035E-4</v>
      </c>
      <c r="ER52" s="10" cm="1">
        <f t="array" aca="1" ref="ER52" ca="1">(1-$B$18)*SUMPRODUCT(OFFSET($BO$15,0,0,$B$14,1), 1*(_xlfn._xlws.FILTER(OFFSET($O$15,0,$DN52,$B$8,1),OFFSET($M$15,0,0,$B$8,1))=ER$13), 1*(_xlfn._xlws.FILTER(OFFSET($O$15,0,$DO52,$B$8,1),OFFSET($M$15,0,0,$B$8,1))=ER$14))   /   SUM(OFFSET($BO$15,0,0,$B$14,1)) + $B$18/($B$19*$B$19*($DN52&lt;&gt;$DO52) + $B$19*($DN52=$DO52))</f>
        <v>3.7037037037037035E-4</v>
      </c>
      <c r="ES52" s="10" cm="1">
        <f t="array" aca="1" ref="ES52" ca="1">(1-$B$18)*SUMPRODUCT(OFFSET($BO$15,0,0,$B$14,1), 1*(_xlfn._xlws.FILTER(OFFSET($O$15,0,$DN52,$B$8,1),OFFSET($M$15,0,0,$B$8,1))=ES$13), 1*(_xlfn._xlws.FILTER(OFFSET($O$15,0,$DO52,$B$8,1),OFFSET($M$15,0,0,$B$8,1))=ES$14))   /   SUM(OFFSET($BO$15,0,0,$B$14,1)) + $B$18/($B$19*$B$19*($DN52&lt;&gt;$DO52) + $B$19*($DN52=$DO52))</f>
        <v>3.7037037037037035E-4</v>
      </c>
      <c r="ET52" s="10" cm="1">
        <f t="array" aca="1" ref="ET52" ca="1">(1-$B$18)*SUMPRODUCT(OFFSET($BO$15,0,0,$B$14,1), 1*(_xlfn._xlws.FILTER(OFFSET($O$15,0,$DN52,$B$8,1),OFFSET($M$15,0,0,$B$8,1))=ET$13), 1*(_xlfn._xlws.FILTER(OFFSET($O$15,0,$DO52,$B$8,1),OFFSET($M$15,0,0,$B$8,1))=ET$14))   /   SUM(OFFSET($BO$15,0,0,$B$14,1)) + $B$18/($B$19*$B$19*($DN52&lt;&gt;$DO52) + $B$19*($DN52=$DO52))</f>
        <v>3.7037037037037035E-4</v>
      </c>
      <c r="EU52" s="10" cm="1">
        <f t="array" aca="1" ref="EU52" ca="1">(1-$B$18)*SUMPRODUCT(OFFSET($BO$15,0,0,$B$14,1), 1*(_xlfn._xlws.FILTER(OFFSET($O$15,0,$DN52,$B$8,1),OFFSET($M$15,0,0,$B$8,1))=EU$13), 1*(_xlfn._xlws.FILTER(OFFSET($O$15,0,$DO52,$B$8,1),OFFSET($M$15,0,0,$B$8,1))=EU$14))   /   SUM(OFFSET($BO$15,0,0,$B$14,1)) + $B$18/($B$19*$B$19*($DN52&lt;&gt;$DO52) + $B$19*($DN52=$DO52))</f>
        <v>3.7037037037037035E-4</v>
      </c>
      <c r="EV52" s="10" cm="1">
        <f t="array" aca="1" ref="EV52" ca="1">(1-$B$18)*SUMPRODUCT(OFFSET($BO$15,0,0,$B$14,1), 1*(_xlfn._xlws.FILTER(OFFSET($O$15,0,$DN52,$B$8,1),OFFSET($M$15,0,0,$B$8,1))=EV$13), 1*(_xlfn._xlws.FILTER(OFFSET($O$15,0,$DO52,$B$8,1),OFFSET($M$15,0,0,$B$8,1))=EV$14))   /   SUM(OFFSET($BO$15,0,0,$B$14,1)) + $B$18/($B$19*$B$19*($DN52&lt;&gt;$DO52) + $B$19*($DN52=$DO52))</f>
        <v>3.7037037037037035E-4</v>
      </c>
      <c r="EW52" s="10" cm="1">
        <f t="array" aca="1" ref="EW52" ca="1">(1-$B$18)*SUMPRODUCT(OFFSET($BO$15,0,0,$B$14,1), 1*(_xlfn._xlws.FILTER(OFFSET($O$15,0,$DN52,$B$8,1),OFFSET($M$15,0,0,$B$8,1))=EW$13), 1*(_xlfn._xlws.FILTER(OFFSET($O$15,0,$DO52,$B$8,1),OFFSET($M$15,0,0,$B$8,1))=EW$14))   /   SUM(OFFSET($BO$15,0,0,$B$14,1)) + $B$18/($B$19*$B$19*($DN52&lt;&gt;$DO52) + $B$19*($DN52=$DO52))</f>
        <v>3.7037037037037035E-4</v>
      </c>
      <c r="EX52" s="10" cm="1">
        <f t="array" aca="1" ref="EX52" ca="1">(1-$B$18)*SUMPRODUCT(OFFSET($BO$15,0,0,$B$14,1), 1*(_xlfn._xlws.FILTER(OFFSET($O$15,0,$DN52,$B$8,1),OFFSET($M$15,0,0,$B$8,1))=EX$13), 1*(_xlfn._xlws.FILTER(OFFSET($O$15,0,$DO52,$B$8,1),OFFSET($M$15,0,0,$B$8,1))=EX$14))   /   SUM(OFFSET($BO$15,0,0,$B$14,1)) + $B$18/($B$19*$B$19*($DN52&lt;&gt;$DO52) + $B$19*($DN52=$DO52))</f>
        <v>3.7037037037037035E-4</v>
      </c>
      <c r="EY52" s="10" cm="1">
        <f t="array" aca="1" ref="EY52" ca="1">(1-$B$18)*SUMPRODUCT(OFFSET($BO$15,0,0,$B$14,1), 1*(_xlfn._xlws.FILTER(OFFSET($O$15,0,$DN52,$B$8,1),OFFSET($M$15,0,0,$B$8,1))=EY$13), 1*(_xlfn._xlws.FILTER(OFFSET($O$15,0,$DO52,$B$8,1),OFFSET($M$15,0,0,$B$8,1))=EY$14))   /   SUM(OFFSET($BO$15,0,0,$B$14,1)) + $B$18/($B$19*$B$19*($DN52&lt;&gt;$DO52) + $B$19*($DN52=$DO52))</f>
        <v>3.7037037037037035E-4</v>
      </c>
      <c r="EZ52" s="10" cm="1">
        <f t="array" aca="1" ref="EZ52" ca="1">(1-$B$18)*SUMPRODUCT(OFFSET($BO$15,0,0,$B$14,1), 1*(_xlfn._xlws.FILTER(OFFSET($O$15,0,$DN52,$B$8,1),OFFSET($M$15,0,0,$B$8,1))=EZ$13), 1*(_xlfn._xlws.FILTER(OFFSET($O$15,0,$DO52,$B$8,1),OFFSET($M$15,0,0,$B$8,1))=EZ$14))   /   SUM(OFFSET($BO$15,0,0,$B$14,1)) + $B$18/($B$19*$B$19*($DN52&lt;&gt;$DO52) + $B$19*($DN52=$DO52))</f>
        <v>3.7037037037037035E-4</v>
      </c>
      <c r="FA52" s="10" cm="1">
        <f t="array" aca="1" ref="FA52" ca="1">(1-$B$18)*SUMPRODUCT(OFFSET($BO$15,0,0,$B$14,1), 1*(_xlfn._xlws.FILTER(OFFSET($O$15,0,$DN52,$B$8,1),OFFSET($M$15,0,0,$B$8,1))=FA$13), 1*(_xlfn._xlws.FILTER(OFFSET($O$15,0,$DO52,$B$8,1),OFFSET($M$15,0,0,$B$8,1))=FA$14))   /   SUM(OFFSET($BO$15,0,0,$B$14,1)) + $B$18/($B$19*$B$19*($DN52&lt;&gt;$DO52) + $B$19*($DN52=$DO52))</f>
        <v>3.7037037037037035E-4</v>
      </c>
      <c r="FB52" s="10" cm="1">
        <f t="array" aca="1" ref="FB52" ca="1">(1-$B$18)*SUMPRODUCT(OFFSET($BO$15,0,0,$B$14,1), 1*(_xlfn._xlws.FILTER(OFFSET($O$15,0,$DN52,$B$8,1),OFFSET($M$15,0,0,$B$8,1))=FB$13), 1*(_xlfn._xlws.FILTER(OFFSET($O$15,0,$DO52,$B$8,1),OFFSET($M$15,0,0,$B$8,1))=FB$14))   /   SUM(OFFSET($BO$15,0,0,$B$14,1)) + $B$18/($B$19*$B$19*($DN52&lt;&gt;$DO52) + $B$19*($DN52=$DO52))</f>
        <v>3.7037037037037035E-4</v>
      </c>
      <c r="FC52" s="10" cm="1">
        <f t="array" aca="1" ref="FC52" ca="1">(1-$B$18)*SUMPRODUCT(OFFSET($BO$15,0,0,$B$14,1), 1*(_xlfn._xlws.FILTER(OFFSET($O$15,0,$DN52,$B$8,1),OFFSET($M$15,0,0,$B$8,1))=FC$13), 1*(_xlfn._xlws.FILTER(OFFSET($O$15,0,$DO52,$B$8,1),OFFSET($M$15,0,0,$B$8,1))=FC$14))   /   SUM(OFFSET($BO$15,0,0,$B$14,1)) + $B$18/($B$19*$B$19*($DN52&lt;&gt;$DO52) + $B$19*($DN52=$DO52))</f>
        <v>3.7037037037037035E-4</v>
      </c>
      <c r="FD52" s="10" cm="1">
        <f t="array" aca="1" ref="FD52" ca="1">(1-$B$18)*SUMPRODUCT(OFFSET($BO$15,0,0,$B$14,1), 1*(_xlfn._xlws.FILTER(OFFSET($O$15,0,$DN52,$B$8,1),OFFSET($M$15,0,0,$B$8,1))=FD$13), 1*(_xlfn._xlws.FILTER(OFFSET($O$15,0,$DO52,$B$8,1),OFFSET($M$15,0,0,$B$8,1))=FD$14))   /   SUM(OFFSET($BO$15,0,0,$B$14,1)) + $B$18/($B$19*$B$19*($DN52&lt;&gt;$DO52) + $B$19*($DN52=$DO52))</f>
        <v>3.7037037037037035E-4</v>
      </c>
      <c r="FE52" s="10" cm="1">
        <f t="array" aca="1" ref="FE52" ca="1">(1-$B$18)*SUMPRODUCT(OFFSET($BO$15,0,0,$B$14,1), 1*(_xlfn._xlws.FILTER(OFFSET($O$15,0,$DN52,$B$8,1),OFFSET($M$15,0,0,$B$8,1))=FE$13), 1*(_xlfn._xlws.FILTER(OFFSET($O$15,0,$DO52,$B$8,1),OFFSET($M$15,0,0,$B$8,1))=FE$14))   /   SUM(OFFSET($BO$15,0,0,$B$14,1)) + $B$18/($B$19*$B$19*($DN52&lt;&gt;$DO52) + $B$19*($DN52=$DO52))</f>
        <v>3.7037037037037035E-4</v>
      </c>
      <c r="FF52" s="10" cm="1">
        <f t="array" aca="1" ref="FF52" ca="1">(1-$B$18)*SUMPRODUCT(OFFSET($BO$15,0,0,$B$14,1), 1*(_xlfn._xlws.FILTER(OFFSET($O$15,0,$DN52,$B$8,1),OFFSET($M$15,0,0,$B$8,1))=FF$13), 1*(_xlfn._xlws.FILTER(OFFSET($O$15,0,$DO52,$B$8,1),OFFSET($M$15,0,0,$B$8,1))=FF$14))   /   SUM(OFFSET($BO$15,0,0,$B$14,1)) + $B$18/($B$19*$B$19*($DN52&lt;&gt;$DO52) + $B$19*($DN52=$DO52))</f>
        <v>3.7037037037037035E-4</v>
      </c>
      <c r="FG52" s="10" cm="1">
        <f t="array" aca="1" ref="FG52" ca="1">(1-$B$18)*SUMPRODUCT(OFFSET($BO$15,0,0,$B$14,1), 1*(_xlfn._xlws.FILTER(OFFSET($O$15,0,$DN52,$B$8,1),OFFSET($M$15,0,0,$B$8,1))=FG$13), 1*(_xlfn._xlws.FILTER(OFFSET($O$15,0,$DO52,$B$8,1),OFFSET($M$15,0,0,$B$8,1))=FG$14))   /   SUM(OFFSET($BO$15,0,0,$B$14,1)) + $B$18/($B$19*$B$19*($DN52&lt;&gt;$DO52) + $B$19*($DN52=$DO52))</f>
        <v>3.7037037037037035E-4</v>
      </c>
      <c r="FH52" s="10" cm="1">
        <f t="array" aca="1" ref="FH52" ca="1">(1-$B$18)*SUMPRODUCT(OFFSET($BO$15,0,0,$B$14,1), 1*(_xlfn._xlws.FILTER(OFFSET($O$15,0,$DN52,$B$8,1),OFFSET($M$15,0,0,$B$8,1))=FH$13), 1*(_xlfn._xlws.FILTER(OFFSET($O$15,0,$DO52,$B$8,1),OFFSET($M$15,0,0,$B$8,1))=FH$14))   /   SUM(OFFSET($BO$15,0,0,$B$14,1)) + $B$18/($B$19*$B$19*($DN52&lt;&gt;$DO52) + $B$19*($DN52=$DO52))</f>
        <v>3.7037037037037035E-4</v>
      </c>
      <c r="FI52" s="10" cm="1">
        <f t="array" aca="1" ref="FI52" ca="1">(1-$B$18)*SUMPRODUCT(OFFSET($BO$15,0,0,$B$14,1), 1*(_xlfn._xlws.FILTER(OFFSET($O$15,0,$DN52,$B$8,1),OFFSET($M$15,0,0,$B$8,1))=FI$13), 1*(_xlfn._xlws.FILTER(OFFSET($O$15,0,$DO52,$B$8,1),OFFSET($M$15,0,0,$B$8,1))=FI$14))   /   SUM(OFFSET($BO$15,0,0,$B$14,1)) + $B$18/($B$19*$B$19*($DN52&lt;&gt;$DO52) + $B$19*($DN52=$DO52))</f>
        <v>3.7037037037037035E-4</v>
      </c>
      <c r="FJ52" s="10" cm="1">
        <f t="array" aca="1" ref="FJ52" ca="1">(1-$B$18)*SUMPRODUCT(OFFSET($BO$15,0,0,$B$14,1), 1*(_xlfn._xlws.FILTER(OFFSET($O$15,0,$DN52,$B$8,1),OFFSET($M$15,0,0,$B$8,1))=FJ$13), 1*(_xlfn._xlws.FILTER(OFFSET($O$15,0,$DO52,$B$8,1),OFFSET($M$15,0,0,$B$8,1))=FJ$14))   /   SUM(OFFSET($BO$15,0,0,$B$14,1)) + $B$18/($B$19*$B$19*($DN52&lt;&gt;$DO52) + $B$19*($DN52=$DO52))</f>
        <v>3.7037037037037035E-4</v>
      </c>
      <c r="FK52" s="10" cm="1">
        <f t="array" aca="1" ref="FK52" ca="1">(1-$B$18)*SUMPRODUCT(OFFSET($BO$15,0,0,$B$14,1), 1*(_xlfn._xlws.FILTER(OFFSET($O$15,0,$DN52,$B$8,1),OFFSET($M$15,0,0,$B$8,1))=FK$13), 1*(_xlfn._xlws.FILTER(OFFSET($O$15,0,$DO52,$B$8,1),OFFSET($M$15,0,0,$B$8,1))=FK$14))   /   SUM(OFFSET($BO$15,0,0,$B$14,1)) + $B$18/($B$19*$B$19*($DN52&lt;&gt;$DO52) + $B$19*($DN52=$DO52))</f>
        <v>3.7037037037037035E-4</v>
      </c>
      <c r="FL52" s="10" cm="1">
        <f t="array" aca="1" ref="FL52" ca="1">(1-$B$18)*SUMPRODUCT(OFFSET($BO$15,0,0,$B$14,1), 1*(_xlfn._xlws.FILTER(OFFSET($O$15,0,$DN52,$B$8,1),OFFSET($M$15,0,0,$B$8,1))=FL$13), 1*(_xlfn._xlws.FILTER(OFFSET($O$15,0,$DO52,$B$8,1),OFFSET($M$15,0,0,$B$8,1))=FL$14))   /   SUM(OFFSET($BO$15,0,0,$B$14,1)) + $B$18/($B$19*$B$19*($DN52&lt;&gt;$DO52) + $B$19*($DN52=$DO52))</f>
        <v>3.7037037037037035E-4</v>
      </c>
      <c r="FM52" s="10" cm="1">
        <f t="array" aca="1" ref="FM52" ca="1">(1-$B$18)*SUMPRODUCT(OFFSET($BO$15,0,0,$B$14,1), 1*(_xlfn._xlws.FILTER(OFFSET($O$15,0,$DN52,$B$8,1),OFFSET($M$15,0,0,$B$8,1))=FM$13), 1*(_xlfn._xlws.FILTER(OFFSET($O$15,0,$DO52,$B$8,1),OFFSET($M$15,0,0,$B$8,1))=FM$14))   /   SUM(OFFSET($BO$15,0,0,$B$14,1)) + $B$18/($B$19*$B$19*($DN52&lt;&gt;$DO52) + $B$19*($DN52=$DO52))</f>
        <v>3.7037037037037035E-4</v>
      </c>
      <c r="FN52" s="10" cm="1">
        <f t="array" aca="1" ref="FN52" ca="1">(1-$B$18)*SUMPRODUCT(OFFSET($BO$15,0,0,$B$14,1), 1*(_xlfn._xlws.FILTER(OFFSET($O$15,0,$DN52,$B$8,1),OFFSET($M$15,0,0,$B$8,1))=FN$13), 1*(_xlfn._xlws.FILTER(OFFSET($O$15,0,$DO52,$B$8,1),OFFSET($M$15,0,0,$B$8,1))=FN$14))   /   SUM(OFFSET($BO$15,0,0,$B$14,1)) + $B$18/($B$19*$B$19*($DN52&lt;&gt;$DO52) + $B$19*($DN52=$DO52))</f>
        <v>3.7037037037037035E-4</v>
      </c>
      <c r="FO52" s="10" cm="1">
        <f t="array" aca="1" ref="FO52" ca="1">(1-$B$18)*SUMPRODUCT(OFFSET($BO$15,0,0,$B$14,1), 1*(_xlfn._xlws.FILTER(OFFSET($O$15,0,$DN52,$B$8,1),OFFSET($M$15,0,0,$B$8,1))=FO$13), 1*(_xlfn._xlws.FILTER(OFFSET($O$15,0,$DO52,$B$8,1),OFFSET($M$15,0,0,$B$8,1))=FO$14))   /   SUM(OFFSET($BO$15,0,0,$B$14,1)) + $B$18/($B$19*$B$19*($DN52&lt;&gt;$DO52) + $B$19*($DN52=$DO52))</f>
        <v>3.7037037037037035E-4</v>
      </c>
      <c r="FP52" s="10" cm="1">
        <f t="array" aca="1" ref="FP52" ca="1">(1-$B$18)*SUMPRODUCT(OFFSET($BO$15,0,0,$B$14,1), 1*(_xlfn._xlws.FILTER(OFFSET($O$15,0,$DN52,$B$8,1),OFFSET($M$15,0,0,$B$8,1))=FP$13), 1*(_xlfn._xlws.FILTER(OFFSET($O$15,0,$DO52,$B$8,1),OFFSET($M$15,0,0,$B$8,1))=FP$14))   /   SUM(OFFSET($BO$15,0,0,$B$14,1)) + $B$18/($B$19*$B$19*($DN52&lt;&gt;$DO52) + $B$19*($DN52=$DO52))</f>
        <v>0.24287037037037024</v>
      </c>
      <c r="FQ52" s="10" cm="1">
        <f t="array" aca="1" ref="FQ52" ca="1">(1-$B$18)*SUMPRODUCT(OFFSET($BO$15,0,0,$B$14,1), 1*(_xlfn._xlws.FILTER(OFFSET($O$15,0,$DN52,$B$8,1),OFFSET($M$15,0,0,$B$8,1))=FQ$13), 1*(_xlfn._xlws.FILTER(OFFSET($O$15,0,$DO52,$B$8,1),OFFSET($M$15,0,0,$B$8,1))=FQ$14))   /   SUM(OFFSET($BO$15,0,0,$B$14,1)) + $B$18/($B$19*$B$19*($DN52&lt;&gt;$DO52) + $B$19*($DN52=$DO52))</f>
        <v>0.48537037037037012</v>
      </c>
      <c r="FR52" s="10" cm="1">
        <f t="array" aca="1" ref="FR52" ca="1">(1-$B$18)*SUMPRODUCT(OFFSET($BO$15,0,0,$B$14,1), 1*(_xlfn._xlws.FILTER(OFFSET($O$15,0,$DN52,$B$8,1),OFFSET($M$15,0,0,$B$8,1))=FR$13), 1*(_xlfn._xlws.FILTER(OFFSET($O$15,0,$DO52,$B$8,1),OFFSET($M$15,0,0,$B$8,1))=FR$14))   /   SUM(OFFSET($BO$15,0,0,$B$14,1)) + $B$18/($B$19*$B$19*($DN52&lt;&gt;$DO52) + $B$19*($DN52=$DO52))</f>
        <v>0.24287037037037026</v>
      </c>
      <c r="FS52" s="10" cm="1">
        <f t="array" aca="1" ref="FS52" ca="1">(1-$B$18)*SUMPRODUCT(OFFSET($BO$15,0,0,$B$14,1), 1*(_xlfn._xlws.FILTER(OFFSET($O$15,0,$DN52,$B$8,1),OFFSET($M$15,0,0,$B$8,1))=FS$13), 1*(_xlfn._xlws.FILTER(OFFSET($O$15,0,$DO52,$B$8,1),OFFSET($M$15,0,0,$B$8,1))=FS$14))   /   SUM(OFFSET($BO$15,0,0,$B$14,1)) + $B$18/($B$19*$B$19*($DN52&lt;&gt;$DO52) + $B$19*($DN52=$DO52))</f>
        <v>3.7037037037037035E-4</v>
      </c>
      <c r="FT52" s="10" cm="1">
        <f t="array" aca="1" ref="FT52" ca="1">(1-$B$18)*SUMPRODUCT(OFFSET($BO$15,0,0,$B$14,1), 1*(_xlfn._xlws.FILTER(OFFSET($O$15,0,$DN52,$B$8,1),OFFSET($M$15,0,0,$B$8,1))=FT$13), 1*(_xlfn._xlws.FILTER(OFFSET($O$15,0,$DO52,$B$8,1),OFFSET($M$15,0,0,$B$8,1))=FT$14))   /   SUM(OFFSET($BO$15,0,0,$B$14,1)) + $B$18/($B$19*$B$19*($DN52&lt;&gt;$DO52) + $B$19*($DN52=$DO52))</f>
        <v>3.7037037037037035E-4</v>
      </c>
      <c r="FU52" s="10" cm="1">
        <f t="array" aca="1" ref="FU52" ca="1">(1-$B$18)*SUMPRODUCT(OFFSET($BO$15,0,0,$B$14,1), 1*(_xlfn._xlws.FILTER(OFFSET($O$15,0,$DN52,$B$8,1),OFFSET($M$15,0,0,$B$8,1))=FU$13), 1*(_xlfn._xlws.FILTER(OFFSET($O$15,0,$DO52,$B$8,1),OFFSET($M$15,0,0,$B$8,1))=FU$14))   /   SUM(OFFSET($BO$15,0,0,$B$14,1)) + $B$18/($B$19*$B$19*($DN52&lt;&gt;$DO52) + $B$19*($DN52=$DO52))</f>
        <v>3.7037037037037035E-4</v>
      </c>
      <c r="FV52" s="10" cm="1">
        <f t="array" aca="1" ref="FV52" ca="1">(1-$B$18)*SUMPRODUCT(OFFSET($BO$15,0,0,$B$14,1), 1*(_xlfn._xlws.FILTER(OFFSET($O$15,0,$DN52,$B$8,1),OFFSET($M$15,0,0,$B$8,1))=FV$13), 1*(_xlfn._xlws.FILTER(OFFSET($O$15,0,$DO52,$B$8,1),OFFSET($M$15,0,0,$B$8,1))=FV$14))   /   SUM(OFFSET($BO$15,0,0,$B$14,1)) + $B$18/($B$19*$B$19*($DN52&lt;&gt;$DO52) + $B$19*($DN52=$DO52))</f>
        <v>3.7037037037037035E-4</v>
      </c>
      <c r="FW52" s="10" cm="1">
        <f t="array" aca="1" ref="FW52" ca="1">(1-$B$18)*SUMPRODUCT(OFFSET($BO$15,0,0,$B$14,1), 1*(_xlfn._xlws.FILTER(OFFSET($O$15,0,$DN52,$B$8,1),OFFSET($M$15,0,0,$B$8,1))=FW$13), 1*(_xlfn._xlws.FILTER(OFFSET($O$15,0,$DO52,$B$8,1),OFFSET($M$15,0,0,$B$8,1))=FW$14))   /   SUM(OFFSET($BO$15,0,0,$B$14,1)) + $B$18/($B$19*$B$19*($DN52&lt;&gt;$DO52) + $B$19*($DN52=$DO52))</f>
        <v>3.7037037037037035E-4</v>
      </c>
      <c r="FX52" s="10" cm="1">
        <f t="array" aca="1" ref="FX52" ca="1">(1-$B$18)*SUMPRODUCT(OFFSET($BO$15,0,0,$B$14,1), 1*(_xlfn._xlws.FILTER(OFFSET($O$15,0,$DN52,$B$8,1),OFFSET($M$15,0,0,$B$8,1))=FX$13), 1*(_xlfn._xlws.FILTER(OFFSET($O$15,0,$DO52,$B$8,1),OFFSET($M$15,0,0,$B$8,1))=FX$14))   /   SUM(OFFSET($BO$15,0,0,$B$14,1)) + $B$18/($B$19*$B$19*($DN52&lt;&gt;$DO52) + $B$19*($DN52=$DO52))</f>
        <v>3.7037037037037035E-4</v>
      </c>
      <c r="FY52" s="10" cm="1">
        <f t="array" aca="1" ref="FY52" ca="1">(1-$B$18)*SUMPRODUCT(OFFSET($BO$15,0,0,$B$14,1), 1*(_xlfn._xlws.FILTER(OFFSET($O$15,0,$DN52,$B$8,1),OFFSET($M$15,0,0,$B$8,1))=FY$13), 1*(_xlfn._xlws.FILTER(OFFSET($O$15,0,$DO52,$B$8,1),OFFSET($M$15,0,0,$B$8,1))=FY$14))   /   SUM(OFFSET($BO$15,0,0,$B$14,1)) + $B$18/($B$19*$B$19*($DN52&lt;&gt;$DO52) + $B$19*($DN52=$DO52))</f>
        <v>3.7037037037037035E-4</v>
      </c>
      <c r="FZ52" s="10" cm="1">
        <f t="array" aca="1" ref="FZ52" ca="1">(1-$B$18)*SUMPRODUCT(OFFSET($BO$15,0,0,$B$14,1), 1*(_xlfn._xlws.FILTER(OFFSET($O$15,0,$DN52,$B$8,1),OFFSET($M$15,0,0,$B$8,1))=FZ$13), 1*(_xlfn._xlws.FILTER(OFFSET($O$15,0,$DO52,$B$8,1),OFFSET($M$15,0,0,$B$8,1))=FZ$14))   /   SUM(OFFSET($BO$15,0,0,$B$14,1)) + $B$18/($B$19*$B$19*($DN52&lt;&gt;$DO52) + $B$19*($DN52=$DO52))</f>
        <v>3.7037037037037035E-4</v>
      </c>
      <c r="GA52" s="10" cm="1">
        <f t="array" aca="1" ref="GA52" ca="1">(1-$B$18)*SUMPRODUCT(OFFSET($BO$15,0,0,$B$14,1), 1*(_xlfn._xlws.FILTER(OFFSET($O$15,0,$DN52,$B$8,1),OFFSET($M$15,0,0,$B$8,1))=GA$13), 1*(_xlfn._xlws.FILTER(OFFSET($O$15,0,$DO52,$B$8,1),OFFSET($M$15,0,0,$B$8,1))=GA$14))   /   SUM(OFFSET($BO$15,0,0,$B$14,1)) + $B$18/($B$19*$B$19*($DN52&lt;&gt;$DO52) + $B$19*($DN52=$DO52))</f>
        <v>3.7037037037037035E-4</v>
      </c>
    </row>
    <row r="53" spans="5:183" x14ac:dyDescent="0.2">
      <c r="E53" s="9"/>
      <c r="AK53" s="2"/>
      <c r="AL53" s="2"/>
      <c r="CX53">
        <f ca="1"/>
        <v>0.2</v>
      </c>
      <c r="CY53">
        <f ca="1"/>
        <v>0</v>
      </c>
      <c r="DN53" cm="1">
        <f t="array" aca="1" ref="DN53" ca="1">INDEX(_xlfn.ANCHORARRAY($CP$15), 1 + INT((ROWS($DO$15:$DO53) - 1) / ROWS(_xlfn.ANCHORARRAY($CP$15))))</f>
        <v>2</v>
      </c>
      <c r="DO53" cm="1">
        <f t="array" aca="1" ref="DO53" ca="1">INDEX(_xlfn.ANCHORARRAY($CP$15),1+MOD(ROWS($DO$15:$DO53)-1,ROWS(_xlfn.ANCHORARRAY($CP$15))))</f>
        <v>0</v>
      </c>
      <c r="DP53" s="10" cm="1">
        <f t="array" aca="1" ref="DP53" ca="1">(1-$B$18)*SUMPRODUCT(OFFSET($BO$15,0,0,$B$14,1), 1*(_xlfn._xlws.FILTER(OFFSET($O$15,0,$DN53,$B$8,1),OFFSET($M$15,0,0,$B$8,1))=DP$13), 1*(_xlfn._xlws.FILTER(OFFSET($O$15,0,$DO53,$B$8,1),OFFSET($M$15,0,0,$B$8,1))=DP$14))   /   SUM(OFFSET($BO$15,0,0,$B$14,1)) + $B$18/($B$19*$B$19*($DN53&lt;&gt;$DO53) + $B$19*($DN53=$DO53))</f>
        <v>3.7037037037037035E-4</v>
      </c>
      <c r="DQ53" s="10" cm="1">
        <f t="array" aca="1" ref="DQ53" ca="1">(1-$B$18)*SUMPRODUCT(OFFSET($BO$15,0,0,$B$14,1), 1*(_xlfn._xlws.FILTER(OFFSET($O$15,0,$DN53,$B$8,1),OFFSET($M$15,0,0,$B$8,1))=DQ$13), 1*(_xlfn._xlws.FILTER(OFFSET($O$15,0,$DO53,$B$8,1),OFFSET($M$15,0,0,$B$8,1))=DQ$14))   /   SUM(OFFSET($BO$15,0,0,$B$14,1)) + $B$18/($B$19*$B$19*($DN53&lt;&gt;$DO53) + $B$19*($DN53=$DO53))</f>
        <v>3.7037037037037035E-4</v>
      </c>
      <c r="DR53" s="10" cm="1">
        <f t="array" aca="1" ref="DR53" ca="1">(1-$B$18)*SUMPRODUCT(OFFSET($BO$15,0,0,$B$14,1), 1*(_xlfn._xlws.FILTER(OFFSET($O$15,0,$DN53,$B$8,1),OFFSET($M$15,0,0,$B$8,1))=DR$13), 1*(_xlfn._xlws.FILTER(OFFSET($O$15,0,$DO53,$B$8,1),OFFSET($M$15,0,0,$B$8,1))=DR$14))   /   SUM(OFFSET($BO$15,0,0,$B$14,1)) + $B$18/($B$19*$B$19*($DN53&lt;&gt;$DO53) + $B$19*($DN53=$DO53))</f>
        <v>3.7037037037037035E-4</v>
      </c>
      <c r="DS53" s="10" cm="1">
        <f t="array" aca="1" ref="DS53" ca="1">(1-$B$18)*SUMPRODUCT(OFFSET($BO$15,0,0,$B$14,1), 1*(_xlfn._xlws.FILTER(OFFSET($O$15,0,$DN53,$B$8,1),OFFSET($M$15,0,0,$B$8,1))=DS$13), 1*(_xlfn._xlws.FILTER(OFFSET($O$15,0,$DO53,$B$8,1),OFFSET($M$15,0,0,$B$8,1))=DS$14))   /   SUM(OFFSET($BO$15,0,0,$B$14,1)) + $B$18/($B$19*$B$19*($DN53&lt;&gt;$DO53) + $B$19*($DN53=$DO53))</f>
        <v>3.7037037037037035E-4</v>
      </c>
      <c r="DT53" s="10" cm="1">
        <f t="array" aca="1" ref="DT53" ca="1">(1-$B$18)*SUMPRODUCT(OFFSET($BO$15,0,0,$B$14,1), 1*(_xlfn._xlws.FILTER(OFFSET($O$15,0,$DN53,$B$8,1),OFFSET($M$15,0,0,$B$8,1))=DT$13), 1*(_xlfn._xlws.FILTER(OFFSET($O$15,0,$DO53,$B$8,1),OFFSET($M$15,0,0,$B$8,1))=DT$14))   /   SUM(OFFSET($BO$15,0,0,$B$14,1)) + $B$18/($B$19*$B$19*($DN53&lt;&gt;$DO53) + $B$19*($DN53=$DO53))</f>
        <v>3.7037037037037035E-4</v>
      </c>
      <c r="DU53" s="10" cm="1">
        <f t="array" aca="1" ref="DU53" ca="1">(1-$B$18)*SUMPRODUCT(OFFSET($BO$15,0,0,$B$14,1), 1*(_xlfn._xlws.FILTER(OFFSET($O$15,0,$DN53,$B$8,1),OFFSET($M$15,0,0,$B$8,1))=DU$13), 1*(_xlfn._xlws.FILTER(OFFSET($O$15,0,$DO53,$B$8,1),OFFSET($M$15,0,0,$B$8,1))=DU$14))   /   SUM(OFFSET($BO$15,0,0,$B$14,1)) + $B$18/($B$19*$B$19*($DN53&lt;&gt;$DO53) + $B$19*($DN53=$DO53))</f>
        <v>3.7037037037037035E-4</v>
      </c>
      <c r="DV53" s="10" cm="1">
        <f t="array" aca="1" ref="DV53" ca="1">(1-$B$18)*SUMPRODUCT(OFFSET($BO$15,0,0,$B$14,1), 1*(_xlfn._xlws.FILTER(OFFSET($O$15,0,$DN53,$B$8,1),OFFSET($M$15,0,0,$B$8,1))=DV$13), 1*(_xlfn._xlws.FILTER(OFFSET($O$15,0,$DO53,$B$8,1),OFFSET($M$15,0,0,$B$8,1))=DV$14))   /   SUM(OFFSET($BO$15,0,0,$B$14,1)) + $B$18/($B$19*$B$19*($DN53&lt;&gt;$DO53) + $B$19*($DN53=$DO53))</f>
        <v>3.7037037037037035E-4</v>
      </c>
      <c r="DW53" s="10" cm="1">
        <f t="array" aca="1" ref="DW53" ca="1">(1-$B$18)*SUMPRODUCT(OFFSET($BO$15,0,0,$B$14,1), 1*(_xlfn._xlws.FILTER(OFFSET($O$15,0,$DN53,$B$8,1),OFFSET($M$15,0,0,$B$8,1))=DW$13), 1*(_xlfn._xlws.FILTER(OFFSET($O$15,0,$DO53,$B$8,1),OFFSET($M$15,0,0,$B$8,1))=DW$14))   /   SUM(OFFSET($BO$15,0,0,$B$14,1)) + $B$18/($B$19*$B$19*($DN53&lt;&gt;$DO53) + $B$19*($DN53=$DO53))</f>
        <v>3.7037037037037035E-4</v>
      </c>
      <c r="DX53" s="10" cm="1">
        <f t="array" aca="1" ref="DX53" ca="1">(1-$B$18)*SUMPRODUCT(OFFSET($BO$15,0,0,$B$14,1), 1*(_xlfn._xlws.FILTER(OFFSET($O$15,0,$DN53,$B$8,1),OFFSET($M$15,0,0,$B$8,1))=DX$13), 1*(_xlfn._xlws.FILTER(OFFSET($O$15,0,$DO53,$B$8,1),OFFSET($M$15,0,0,$B$8,1))=DX$14))   /   SUM(OFFSET($BO$15,0,0,$B$14,1)) + $B$18/($B$19*$B$19*($DN53&lt;&gt;$DO53) + $B$19*($DN53=$DO53))</f>
        <v>3.7037037037037035E-4</v>
      </c>
      <c r="DY53" s="10" cm="1">
        <f t="array" aca="1" ref="DY53" ca="1">(1-$B$18)*SUMPRODUCT(OFFSET($BO$15,0,0,$B$14,1), 1*(_xlfn._xlws.FILTER(OFFSET($O$15,0,$DN53,$B$8,1),OFFSET($M$15,0,0,$B$8,1))=DY$13), 1*(_xlfn._xlws.FILTER(OFFSET($O$15,0,$DO53,$B$8,1),OFFSET($M$15,0,0,$B$8,1))=DY$14))   /   SUM(OFFSET($BO$15,0,0,$B$14,1)) + $B$18/($B$19*$B$19*($DN53&lt;&gt;$DO53) + $B$19*($DN53=$DO53))</f>
        <v>3.7037037037037035E-4</v>
      </c>
      <c r="DZ53" s="10" cm="1">
        <f t="array" aca="1" ref="DZ53" ca="1">(1-$B$18)*SUMPRODUCT(OFFSET($BO$15,0,0,$B$14,1), 1*(_xlfn._xlws.FILTER(OFFSET($O$15,0,$DN53,$B$8,1),OFFSET($M$15,0,0,$B$8,1))=DZ$13), 1*(_xlfn._xlws.FILTER(OFFSET($O$15,0,$DO53,$B$8,1),OFFSET($M$15,0,0,$B$8,1))=DZ$14))   /   SUM(OFFSET($BO$15,0,0,$B$14,1)) + $B$18/($B$19*$B$19*($DN53&lt;&gt;$DO53) + $B$19*($DN53=$DO53))</f>
        <v>3.7037037037037035E-4</v>
      </c>
      <c r="EA53" s="10" cm="1">
        <f t="array" aca="1" ref="EA53" ca="1">(1-$B$18)*SUMPRODUCT(OFFSET($BO$15,0,0,$B$14,1), 1*(_xlfn._xlws.FILTER(OFFSET($O$15,0,$DN53,$B$8,1),OFFSET($M$15,0,0,$B$8,1))=EA$13), 1*(_xlfn._xlws.FILTER(OFFSET($O$15,0,$DO53,$B$8,1),OFFSET($M$15,0,0,$B$8,1))=EA$14))   /   SUM(OFFSET($BO$15,0,0,$B$14,1)) + $B$18/($B$19*$B$19*($DN53&lt;&gt;$DO53) + $B$19*($DN53=$DO53))</f>
        <v>3.7037037037037035E-4</v>
      </c>
      <c r="EB53" s="10" cm="1">
        <f t="array" aca="1" ref="EB53" ca="1">(1-$B$18)*SUMPRODUCT(OFFSET($BO$15,0,0,$B$14,1), 1*(_xlfn._xlws.FILTER(OFFSET($O$15,0,$DN53,$B$8,1),OFFSET($M$15,0,0,$B$8,1))=EB$13), 1*(_xlfn._xlws.FILTER(OFFSET($O$15,0,$DO53,$B$8,1),OFFSET($M$15,0,0,$B$8,1))=EB$14))   /   SUM(OFFSET($BO$15,0,0,$B$14,1)) + $B$18/($B$19*$B$19*($DN53&lt;&gt;$DO53) + $B$19*($DN53=$DO53))</f>
        <v>3.7037037037037035E-4</v>
      </c>
      <c r="EC53" s="10" cm="1">
        <f t="array" aca="1" ref="EC53" ca="1">(1-$B$18)*SUMPRODUCT(OFFSET($BO$15,0,0,$B$14,1), 1*(_xlfn._xlws.FILTER(OFFSET($O$15,0,$DN53,$B$8,1),OFFSET($M$15,0,0,$B$8,1))=EC$13), 1*(_xlfn._xlws.FILTER(OFFSET($O$15,0,$DO53,$B$8,1),OFFSET($M$15,0,0,$B$8,1))=EC$14))   /   SUM(OFFSET($BO$15,0,0,$B$14,1)) + $B$18/($B$19*$B$19*($DN53&lt;&gt;$DO53) + $B$19*($DN53=$DO53))</f>
        <v>3.7037037037037035E-4</v>
      </c>
      <c r="ED53" s="10" cm="1">
        <f t="array" aca="1" ref="ED53" ca="1">(1-$B$18)*SUMPRODUCT(OFFSET($BO$15,0,0,$B$14,1), 1*(_xlfn._xlws.FILTER(OFFSET($O$15,0,$DN53,$B$8,1),OFFSET($M$15,0,0,$B$8,1))=ED$13), 1*(_xlfn._xlws.FILTER(OFFSET($O$15,0,$DO53,$B$8,1),OFFSET($M$15,0,0,$B$8,1))=ED$14))   /   SUM(OFFSET($BO$15,0,0,$B$14,1)) + $B$18/($B$19*$B$19*($DN53&lt;&gt;$DO53) + $B$19*($DN53=$DO53))</f>
        <v>3.7037037037037035E-4</v>
      </c>
      <c r="EE53" s="10" cm="1">
        <f t="array" aca="1" ref="EE53" ca="1">(1-$B$18)*SUMPRODUCT(OFFSET($BO$15,0,0,$B$14,1), 1*(_xlfn._xlws.FILTER(OFFSET($O$15,0,$DN53,$B$8,1),OFFSET($M$15,0,0,$B$8,1))=EE$13), 1*(_xlfn._xlws.FILTER(OFFSET($O$15,0,$DO53,$B$8,1),OFFSET($M$15,0,0,$B$8,1))=EE$14))   /   SUM(OFFSET($BO$15,0,0,$B$14,1)) + $B$18/($B$19*$B$19*($DN53&lt;&gt;$DO53) + $B$19*($DN53=$DO53))</f>
        <v>3.7037037037037035E-4</v>
      </c>
      <c r="EF53" s="10" cm="1">
        <f t="array" aca="1" ref="EF53" ca="1">(1-$B$18)*SUMPRODUCT(OFFSET($BO$15,0,0,$B$14,1), 1*(_xlfn._xlws.FILTER(OFFSET($O$15,0,$DN53,$B$8,1),OFFSET($M$15,0,0,$B$8,1))=EF$13), 1*(_xlfn._xlws.FILTER(OFFSET($O$15,0,$DO53,$B$8,1),OFFSET($M$15,0,0,$B$8,1))=EF$14))   /   SUM(OFFSET($BO$15,0,0,$B$14,1)) + $B$18/($B$19*$B$19*($DN53&lt;&gt;$DO53) + $B$19*($DN53=$DO53))</f>
        <v>3.7037037037037035E-4</v>
      </c>
      <c r="EG53" s="10" cm="1">
        <f t="array" aca="1" ref="EG53" ca="1">(1-$B$18)*SUMPRODUCT(OFFSET($BO$15,0,0,$B$14,1), 1*(_xlfn._xlws.FILTER(OFFSET($O$15,0,$DN53,$B$8,1),OFFSET($M$15,0,0,$B$8,1))=EG$13), 1*(_xlfn._xlws.FILTER(OFFSET($O$15,0,$DO53,$B$8,1),OFFSET($M$15,0,0,$B$8,1))=EG$14))   /   SUM(OFFSET($BO$15,0,0,$B$14,1)) + $B$18/($B$19*$B$19*($DN53&lt;&gt;$DO53) + $B$19*($DN53=$DO53))</f>
        <v>3.7037037037037035E-4</v>
      </c>
      <c r="EH53" s="10" cm="1">
        <f t="array" aca="1" ref="EH53" ca="1">(1-$B$18)*SUMPRODUCT(OFFSET($BO$15,0,0,$B$14,1), 1*(_xlfn._xlws.FILTER(OFFSET($O$15,0,$DN53,$B$8,1),OFFSET($M$15,0,0,$B$8,1))=EH$13), 1*(_xlfn._xlws.FILTER(OFFSET($O$15,0,$DO53,$B$8,1),OFFSET($M$15,0,0,$B$8,1))=EH$14))   /   SUM(OFFSET($BO$15,0,0,$B$14,1)) + $B$18/($B$19*$B$19*($DN53&lt;&gt;$DO53) + $B$19*($DN53=$DO53))</f>
        <v>3.7037037037037035E-4</v>
      </c>
      <c r="EI53" s="10" cm="1">
        <f t="array" aca="1" ref="EI53" ca="1">(1-$B$18)*SUMPRODUCT(OFFSET($BO$15,0,0,$B$14,1), 1*(_xlfn._xlws.FILTER(OFFSET($O$15,0,$DN53,$B$8,1),OFFSET($M$15,0,0,$B$8,1))=EI$13), 1*(_xlfn._xlws.FILTER(OFFSET($O$15,0,$DO53,$B$8,1),OFFSET($M$15,0,0,$B$8,1))=EI$14))   /   SUM(OFFSET($BO$15,0,0,$B$14,1)) + $B$18/($B$19*$B$19*($DN53&lt;&gt;$DO53) + $B$19*($DN53=$DO53))</f>
        <v>3.7037037037037035E-4</v>
      </c>
      <c r="EJ53" s="10" cm="1">
        <f t="array" aca="1" ref="EJ53" ca="1">(1-$B$18)*SUMPRODUCT(OFFSET($BO$15,0,0,$B$14,1), 1*(_xlfn._xlws.FILTER(OFFSET($O$15,0,$DN53,$B$8,1),OFFSET($M$15,0,0,$B$8,1))=EJ$13), 1*(_xlfn._xlws.FILTER(OFFSET($O$15,0,$DO53,$B$8,1),OFFSET($M$15,0,0,$B$8,1))=EJ$14))   /   SUM(OFFSET($BO$15,0,0,$B$14,1)) + $B$18/($B$19*$B$19*($DN53&lt;&gt;$DO53) + $B$19*($DN53=$DO53))</f>
        <v>3.7037037037037035E-4</v>
      </c>
      <c r="EK53" s="10" cm="1">
        <f t="array" aca="1" ref="EK53" ca="1">(1-$B$18)*SUMPRODUCT(OFFSET($BO$15,0,0,$B$14,1), 1*(_xlfn._xlws.FILTER(OFFSET($O$15,0,$DN53,$B$8,1),OFFSET($M$15,0,0,$B$8,1))=EK$13), 1*(_xlfn._xlws.FILTER(OFFSET($O$15,0,$DO53,$B$8,1),OFFSET($M$15,0,0,$B$8,1))=EK$14))   /   SUM(OFFSET($BO$15,0,0,$B$14,1)) + $B$18/($B$19*$B$19*($DN53&lt;&gt;$DO53) + $B$19*($DN53=$DO53))</f>
        <v>3.7037037037037035E-4</v>
      </c>
      <c r="EL53" s="10" cm="1">
        <f t="array" aca="1" ref="EL53" ca="1">(1-$B$18)*SUMPRODUCT(OFFSET($BO$15,0,0,$B$14,1), 1*(_xlfn._xlws.FILTER(OFFSET($O$15,0,$DN53,$B$8,1),OFFSET($M$15,0,0,$B$8,1))=EL$13), 1*(_xlfn._xlws.FILTER(OFFSET($O$15,0,$DO53,$B$8,1),OFFSET($M$15,0,0,$B$8,1))=EL$14))   /   SUM(OFFSET($BO$15,0,0,$B$14,1)) + $B$18/($B$19*$B$19*($DN53&lt;&gt;$DO53) + $B$19*($DN53=$DO53))</f>
        <v>3.7037037037037035E-4</v>
      </c>
      <c r="EM53" s="10" cm="1">
        <f t="array" aca="1" ref="EM53" ca="1">(1-$B$18)*SUMPRODUCT(OFFSET($BO$15,0,0,$B$14,1), 1*(_xlfn._xlws.FILTER(OFFSET($O$15,0,$DN53,$B$8,1),OFFSET($M$15,0,0,$B$8,1))=EM$13), 1*(_xlfn._xlws.FILTER(OFFSET($O$15,0,$DO53,$B$8,1),OFFSET($M$15,0,0,$B$8,1))=EM$14))   /   SUM(OFFSET($BO$15,0,0,$B$14,1)) + $B$18/($B$19*$B$19*($DN53&lt;&gt;$DO53) + $B$19*($DN53=$DO53))</f>
        <v>3.7037037037037035E-4</v>
      </c>
      <c r="EN53" s="10" cm="1">
        <f t="array" aca="1" ref="EN53" ca="1">(1-$B$18)*SUMPRODUCT(OFFSET($BO$15,0,0,$B$14,1), 1*(_xlfn._xlws.FILTER(OFFSET($O$15,0,$DN53,$B$8,1),OFFSET($M$15,0,0,$B$8,1))=EN$13), 1*(_xlfn._xlws.FILTER(OFFSET($O$15,0,$DO53,$B$8,1),OFFSET($M$15,0,0,$B$8,1))=EN$14))   /   SUM(OFFSET($BO$15,0,0,$B$14,1)) + $B$18/($B$19*$B$19*($DN53&lt;&gt;$DO53) + $B$19*($DN53=$DO53))</f>
        <v>3.7037037037037035E-4</v>
      </c>
      <c r="EO53" s="10" cm="1">
        <f t="array" aca="1" ref="EO53" ca="1">(1-$B$18)*SUMPRODUCT(OFFSET($BO$15,0,0,$B$14,1), 1*(_xlfn._xlws.FILTER(OFFSET($O$15,0,$DN53,$B$8,1),OFFSET($M$15,0,0,$B$8,1))=EO$13), 1*(_xlfn._xlws.FILTER(OFFSET($O$15,0,$DO53,$B$8,1),OFFSET($M$15,0,0,$B$8,1))=EO$14))   /   SUM(OFFSET($BO$15,0,0,$B$14,1)) + $B$18/($B$19*$B$19*($DN53&lt;&gt;$DO53) + $B$19*($DN53=$DO53))</f>
        <v>3.7037037037037035E-4</v>
      </c>
      <c r="EP53" s="10" cm="1">
        <f t="array" aca="1" ref="EP53" ca="1">(1-$B$18)*SUMPRODUCT(OFFSET($BO$15,0,0,$B$14,1), 1*(_xlfn._xlws.FILTER(OFFSET($O$15,0,$DN53,$B$8,1),OFFSET($M$15,0,0,$B$8,1))=EP$13), 1*(_xlfn._xlws.FILTER(OFFSET($O$15,0,$DO53,$B$8,1),OFFSET($M$15,0,0,$B$8,1))=EP$14))   /   SUM(OFFSET($BO$15,0,0,$B$14,1)) + $B$18/($B$19*$B$19*($DN53&lt;&gt;$DO53) + $B$19*($DN53=$DO53))</f>
        <v>3.7037037037037035E-4</v>
      </c>
      <c r="EQ53" s="10" cm="1">
        <f t="array" aca="1" ref="EQ53" ca="1">(1-$B$18)*SUMPRODUCT(OFFSET($BO$15,0,0,$B$14,1), 1*(_xlfn._xlws.FILTER(OFFSET($O$15,0,$DN53,$B$8,1),OFFSET($M$15,0,0,$B$8,1))=EQ$13), 1*(_xlfn._xlws.FILTER(OFFSET($O$15,0,$DO53,$B$8,1),OFFSET($M$15,0,0,$B$8,1))=EQ$14))   /   SUM(OFFSET($BO$15,0,0,$B$14,1)) + $B$18/($B$19*$B$19*($DN53&lt;&gt;$DO53) + $B$19*($DN53=$DO53))</f>
        <v>3.7037037037037035E-4</v>
      </c>
      <c r="ER53" s="10" cm="1">
        <f t="array" aca="1" ref="ER53" ca="1">(1-$B$18)*SUMPRODUCT(OFFSET($BO$15,0,0,$B$14,1), 1*(_xlfn._xlws.FILTER(OFFSET($O$15,0,$DN53,$B$8,1),OFFSET($M$15,0,0,$B$8,1))=ER$13), 1*(_xlfn._xlws.FILTER(OFFSET($O$15,0,$DO53,$B$8,1),OFFSET($M$15,0,0,$B$8,1))=ER$14))   /   SUM(OFFSET($BO$15,0,0,$B$14,1)) + $B$18/($B$19*$B$19*($DN53&lt;&gt;$DO53) + $B$19*($DN53=$DO53))</f>
        <v>3.7037037037037035E-4</v>
      </c>
      <c r="ES53" s="10" cm="1">
        <f t="array" aca="1" ref="ES53" ca="1">(1-$B$18)*SUMPRODUCT(OFFSET($BO$15,0,0,$B$14,1), 1*(_xlfn._xlws.FILTER(OFFSET($O$15,0,$DN53,$B$8,1),OFFSET($M$15,0,0,$B$8,1))=ES$13), 1*(_xlfn._xlws.FILTER(OFFSET($O$15,0,$DO53,$B$8,1),OFFSET($M$15,0,0,$B$8,1))=ES$14))   /   SUM(OFFSET($BO$15,0,0,$B$14,1)) + $B$18/($B$19*$B$19*($DN53&lt;&gt;$DO53) + $B$19*($DN53=$DO53))</f>
        <v>3.7037037037037035E-4</v>
      </c>
      <c r="ET53" s="10" cm="1">
        <f t="array" aca="1" ref="ET53" ca="1">(1-$B$18)*SUMPRODUCT(OFFSET($BO$15,0,0,$B$14,1), 1*(_xlfn._xlws.FILTER(OFFSET($O$15,0,$DN53,$B$8,1),OFFSET($M$15,0,0,$B$8,1))=ET$13), 1*(_xlfn._xlws.FILTER(OFFSET($O$15,0,$DO53,$B$8,1),OFFSET($M$15,0,0,$B$8,1))=ET$14))   /   SUM(OFFSET($BO$15,0,0,$B$14,1)) + $B$18/($B$19*$B$19*($DN53&lt;&gt;$DO53) + $B$19*($DN53=$DO53))</f>
        <v>3.7037037037037035E-4</v>
      </c>
      <c r="EU53" s="10" cm="1">
        <f t="array" aca="1" ref="EU53" ca="1">(1-$B$18)*SUMPRODUCT(OFFSET($BO$15,0,0,$B$14,1), 1*(_xlfn._xlws.FILTER(OFFSET($O$15,0,$DN53,$B$8,1),OFFSET($M$15,0,0,$B$8,1))=EU$13), 1*(_xlfn._xlws.FILTER(OFFSET($O$15,0,$DO53,$B$8,1),OFFSET($M$15,0,0,$B$8,1))=EU$14))   /   SUM(OFFSET($BO$15,0,0,$B$14,1)) + $B$18/($B$19*$B$19*($DN53&lt;&gt;$DO53) + $B$19*($DN53=$DO53))</f>
        <v>3.7037037037037035E-4</v>
      </c>
      <c r="EV53" s="10" cm="1">
        <f t="array" aca="1" ref="EV53" ca="1">(1-$B$18)*SUMPRODUCT(OFFSET($BO$15,0,0,$B$14,1), 1*(_xlfn._xlws.FILTER(OFFSET($O$15,0,$DN53,$B$8,1),OFFSET($M$15,0,0,$B$8,1))=EV$13), 1*(_xlfn._xlws.FILTER(OFFSET($O$15,0,$DO53,$B$8,1),OFFSET($M$15,0,0,$B$8,1))=EV$14))   /   SUM(OFFSET($BO$15,0,0,$B$14,1)) + $B$18/($B$19*$B$19*($DN53&lt;&gt;$DO53) + $B$19*($DN53=$DO53))</f>
        <v>3.7037037037037035E-4</v>
      </c>
      <c r="EW53" s="10" cm="1">
        <f t="array" aca="1" ref="EW53" ca="1">(1-$B$18)*SUMPRODUCT(OFFSET($BO$15,0,0,$B$14,1), 1*(_xlfn._xlws.FILTER(OFFSET($O$15,0,$DN53,$B$8,1),OFFSET($M$15,0,0,$B$8,1))=EW$13), 1*(_xlfn._xlws.FILTER(OFFSET($O$15,0,$DO53,$B$8,1),OFFSET($M$15,0,0,$B$8,1))=EW$14))   /   SUM(OFFSET($BO$15,0,0,$B$14,1)) + $B$18/($B$19*$B$19*($DN53&lt;&gt;$DO53) + $B$19*($DN53=$DO53))</f>
        <v>3.7037037037037035E-4</v>
      </c>
      <c r="EX53" s="10" cm="1">
        <f t="array" aca="1" ref="EX53" ca="1">(1-$B$18)*SUMPRODUCT(OFFSET($BO$15,0,0,$B$14,1), 1*(_xlfn._xlws.FILTER(OFFSET($O$15,0,$DN53,$B$8,1),OFFSET($M$15,0,0,$B$8,1))=EX$13), 1*(_xlfn._xlws.FILTER(OFFSET($O$15,0,$DO53,$B$8,1),OFFSET($M$15,0,0,$B$8,1))=EX$14))   /   SUM(OFFSET($BO$15,0,0,$B$14,1)) + $B$18/($B$19*$B$19*($DN53&lt;&gt;$DO53) + $B$19*($DN53=$DO53))</f>
        <v>3.7037037037037035E-4</v>
      </c>
      <c r="EY53" s="10" cm="1">
        <f t="array" aca="1" ref="EY53" ca="1">(1-$B$18)*SUMPRODUCT(OFFSET($BO$15,0,0,$B$14,1), 1*(_xlfn._xlws.FILTER(OFFSET($O$15,0,$DN53,$B$8,1),OFFSET($M$15,0,0,$B$8,1))=EY$13), 1*(_xlfn._xlws.FILTER(OFFSET($O$15,0,$DO53,$B$8,1),OFFSET($M$15,0,0,$B$8,1))=EY$14))   /   SUM(OFFSET($BO$15,0,0,$B$14,1)) + $B$18/($B$19*$B$19*($DN53&lt;&gt;$DO53) + $B$19*($DN53=$DO53))</f>
        <v>3.7037037037037035E-4</v>
      </c>
      <c r="EZ53" s="10" cm="1">
        <f t="array" aca="1" ref="EZ53" ca="1">(1-$B$18)*SUMPRODUCT(OFFSET($BO$15,0,0,$B$14,1), 1*(_xlfn._xlws.FILTER(OFFSET($O$15,0,$DN53,$B$8,1),OFFSET($M$15,0,0,$B$8,1))=EZ$13), 1*(_xlfn._xlws.FILTER(OFFSET($O$15,0,$DO53,$B$8,1),OFFSET($M$15,0,0,$B$8,1))=EZ$14))   /   SUM(OFFSET($BO$15,0,0,$B$14,1)) + $B$18/($B$19*$B$19*($DN53&lt;&gt;$DO53) + $B$19*($DN53=$DO53))</f>
        <v>3.7037037037037035E-4</v>
      </c>
      <c r="FA53" s="10" cm="1">
        <f t="array" aca="1" ref="FA53" ca="1">(1-$B$18)*SUMPRODUCT(OFFSET($BO$15,0,0,$B$14,1), 1*(_xlfn._xlws.FILTER(OFFSET($O$15,0,$DN53,$B$8,1),OFFSET($M$15,0,0,$B$8,1))=FA$13), 1*(_xlfn._xlws.FILTER(OFFSET($O$15,0,$DO53,$B$8,1),OFFSET($M$15,0,0,$B$8,1))=FA$14))   /   SUM(OFFSET($BO$15,0,0,$B$14,1)) + $B$18/($B$19*$B$19*($DN53&lt;&gt;$DO53) + $B$19*($DN53=$DO53))</f>
        <v>3.7037037037037035E-4</v>
      </c>
      <c r="FB53" s="10" cm="1">
        <f t="array" aca="1" ref="FB53" ca="1">(1-$B$18)*SUMPRODUCT(OFFSET($BO$15,0,0,$B$14,1), 1*(_xlfn._xlws.FILTER(OFFSET($O$15,0,$DN53,$B$8,1),OFFSET($M$15,0,0,$B$8,1))=FB$13), 1*(_xlfn._xlws.FILTER(OFFSET($O$15,0,$DO53,$B$8,1),OFFSET($M$15,0,0,$B$8,1))=FB$14))   /   SUM(OFFSET($BO$15,0,0,$B$14,1)) + $B$18/($B$19*$B$19*($DN53&lt;&gt;$DO53) + $B$19*($DN53=$DO53))</f>
        <v>3.7037037037037035E-4</v>
      </c>
      <c r="FC53" s="10" cm="1">
        <f t="array" aca="1" ref="FC53" ca="1">(1-$B$18)*SUMPRODUCT(OFFSET($BO$15,0,0,$B$14,1), 1*(_xlfn._xlws.FILTER(OFFSET($O$15,0,$DN53,$B$8,1),OFFSET($M$15,0,0,$B$8,1))=FC$13), 1*(_xlfn._xlws.FILTER(OFFSET($O$15,0,$DO53,$B$8,1),OFFSET($M$15,0,0,$B$8,1))=FC$14))   /   SUM(OFFSET($BO$15,0,0,$B$14,1)) + $B$18/($B$19*$B$19*($DN53&lt;&gt;$DO53) + $B$19*($DN53=$DO53))</f>
        <v>3.7037037037037035E-4</v>
      </c>
      <c r="FD53" s="10" cm="1">
        <f t="array" aca="1" ref="FD53" ca="1">(1-$B$18)*SUMPRODUCT(OFFSET($BO$15,0,0,$B$14,1), 1*(_xlfn._xlws.FILTER(OFFSET($O$15,0,$DN53,$B$8,1),OFFSET($M$15,0,0,$B$8,1))=FD$13), 1*(_xlfn._xlws.FILTER(OFFSET($O$15,0,$DO53,$B$8,1),OFFSET($M$15,0,0,$B$8,1))=FD$14))   /   SUM(OFFSET($BO$15,0,0,$B$14,1)) + $B$18/($B$19*$B$19*($DN53&lt;&gt;$DO53) + $B$19*($DN53=$DO53))</f>
        <v>3.7037037037037035E-4</v>
      </c>
      <c r="FE53" s="10" cm="1">
        <f t="array" aca="1" ref="FE53" ca="1">(1-$B$18)*SUMPRODUCT(OFFSET($BO$15,0,0,$B$14,1), 1*(_xlfn._xlws.FILTER(OFFSET($O$15,0,$DN53,$B$8,1),OFFSET($M$15,0,0,$B$8,1))=FE$13), 1*(_xlfn._xlws.FILTER(OFFSET($O$15,0,$DO53,$B$8,1),OFFSET($M$15,0,0,$B$8,1))=FE$14))   /   SUM(OFFSET($BO$15,0,0,$B$14,1)) + $B$18/($B$19*$B$19*($DN53&lt;&gt;$DO53) + $B$19*($DN53=$DO53))</f>
        <v>3.7037037037037035E-4</v>
      </c>
      <c r="FF53" s="10" cm="1">
        <f t="array" aca="1" ref="FF53" ca="1">(1-$B$18)*SUMPRODUCT(OFFSET($BO$15,0,0,$B$14,1), 1*(_xlfn._xlws.FILTER(OFFSET($O$15,0,$DN53,$B$8,1),OFFSET($M$15,0,0,$B$8,1))=FF$13), 1*(_xlfn._xlws.FILTER(OFFSET($O$15,0,$DO53,$B$8,1),OFFSET($M$15,0,0,$B$8,1))=FF$14))   /   SUM(OFFSET($BO$15,0,0,$B$14,1)) + $B$18/($B$19*$B$19*($DN53&lt;&gt;$DO53) + $B$19*($DN53=$DO53))</f>
        <v>3.7037037037037035E-4</v>
      </c>
      <c r="FG53" s="10" cm="1">
        <f t="array" aca="1" ref="FG53" ca="1">(1-$B$18)*SUMPRODUCT(OFFSET($BO$15,0,0,$B$14,1), 1*(_xlfn._xlws.FILTER(OFFSET($O$15,0,$DN53,$B$8,1),OFFSET($M$15,0,0,$B$8,1))=FG$13), 1*(_xlfn._xlws.FILTER(OFFSET($O$15,0,$DO53,$B$8,1),OFFSET($M$15,0,0,$B$8,1))=FG$14))   /   SUM(OFFSET($BO$15,0,0,$B$14,1)) + $B$18/($B$19*$B$19*($DN53&lt;&gt;$DO53) + $B$19*($DN53=$DO53))</f>
        <v>3.7037037037037035E-4</v>
      </c>
      <c r="FH53" s="10" cm="1">
        <f t="array" aca="1" ref="FH53" ca="1">(1-$B$18)*SUMPRODUCT(OFFSET($BO$15,0,0,$B$14,1), 1*(_xlfn._xlws.FILTER(OFFSET($O$15,0,$DN53,$B$8,1),OFFSET($M$15,0,0,$B$8,1))=FH$13), 1*(_xlfn._xlws.FILTER(OFFSET($O$15,0,$DO53,$B$8,1),OFFSET($M$15,0,0,$B$8,1))=FH$14))   /   SUM(OFFSET($BO$15,0,0,$B$14,1)) + $B$18/($B$19*$B$19*($DN53&lt;&gt;$DO53) + $B$19*($DN53=$DO53))</f>
        <v>3.7037037037037035E-4</v>
      </c>
      <c r="FI53" s="10" cm="1">
        <f t="array" aca="1" ref="FI53" ca="1">(1-$B$18)*SUMPRODUCT(OFFSET($BO$15,0,0,$B$14,1), 1*(_xlfn._xlws.FILTER(OFFSET($O$15,0,$DN53,$B$8,1),OFFSET($M$15,0,0,$B$8,1))=FI$13), 1*(_xlfn._xlws.FILTER(OFFSET($O$15,0,$DO53,$B$8,1),OFFSET($M$15,0,0,$B$8,1))=FI$14))   /   SUM(OFFSET($BO$15,0,0,$B$14,1)) + $B$18/($B$19*$B$19*($DN53&lt;&gt;$DO53) + $B$19*($DN53=$DO53))</f>
        <v>3.7037037037037035E-4</v>
      </c>
      <c r="FJ53" s="10" cm="1">
        <f t="array" aca="1" ref="FJ53" ca="1">(1-$B$18)*SUMPRODUCT(OFFSET($BO$15,0,0,$B$14,1), 1*(_xlfn._xlws.FILTER(OFFSET($O$15,0,$DN53,$B$8,1),OFFSET($M$15,0,0,$B$8,1))=FJ$13), 1*(_xlfn._xlws.FILTER(OFFSET($O$15,0,$DO53,$B$8,1),OFFSET($M$15,0,0,$B$8,1))=FJ$14))   /   SUM(OFFSET($BO$15,0,0,$B$14,1)) + $B$18/($B$19*$B$19*($DN53&lt;&gt;$DO53) + $B$19*($DN53=$DO53))</f>
        <v>3.7037037037037035E-4</v>
      </c>
      <c r="FK53" s="10" cm="1">
        <f t="array" aca="1" ref="FK53" ca="1">(1-$B$18)*SUMPRODUCT(OFFSET($BO$15,0,0,$B$14,1), 1*(_xlfn._xlws.FILTER(OFFSET($O$15,0,$DN53,$B$8,1),OFFSET($M$15,0,0,$B$8,1))=FK$13), 1*(_xlfn._xlws.FILTER(OFFSET($O$15,0,$DO53,$B$8,1),OFFSET($M$15,0,0,$B$8,1))=FK$14))   /   SUM(OFFSET($BO$15,0,0,$B$14,1)) + $B$18/($B$19*$B$19*($DN53&lt;&gt;$DO53) + $B$19*($DN53=$DO53))</f>
        <v>3.7037037037037035E-4</v>
      </c>
      <c r="FL53" s="10" cm="1">
        <f t="array" aca="1" ref="FL53" ca="1">(1-$B$18)*SUMPRODUCT(OFFSET($BO$15,0,0,$B$14,1), 1*(_xlfn._xlws.FILTER(OFFSET($O$15,0,$DN53,$B$8,1),OFFSET($M$15,0,0,$B$8,1))=FL$13), 1*(_xlfn._xlws.FILTER(OFFSET($O$15,0,$DO53,$B$8,1),OFFSET($M$15,0,0,$B$8,1))=FL$14))   /   SUM(OFFSET($BO$15,0,0,$B$14,1)) + $B$18/($B$19*$B$19*($DN53&lt;&gt;$DO53) + $B$19*($DN53=$DO53))</f>
        <v>3.7037037037037035E-4</v>
      </c>
      <c r="FM53" s="10" cm="1">
        <f t="array" aca="1" ref="FM53" ca="1">(1-$B$18)*SUMPRODUCT(OFFSET($BO$15,0,0,$B$14,1), 1*(_xlfn._xlws.FILTER(OFFSET($O$15,0,$DN53,$B$8,1),OFFSET($M$15,0,0,$B$8,1))=FM$13), 1*(_xlfn._xlws.FILTER(OFFSET($O$15,0,$DO53,$B$8,1),OFFSET($M$15,0,0,$B$8,1))=FM$14))   /   SUM(OFFSET($BO$15,0,0,$B$14,1)) + $B$18/($B$19*$B$19*($DN53&lt;&gt;$DO53) + $B$19*($DN53=$DO53))</f>
        <v>3.7037037037037035E-4</v>
      </c>
      <c r="FN53" s="10" cm="1">
        <f t="array" aca="1" ref="FN53" ca="1">(1-$B$18)*SUMPRODUCT(OFFSET($BO$15,0,0,$B$14,1), 1*(_xlfn._xlws.FILTER(OFFSET($O$15,0,$DN53,$B$8,1),OFFSET($M$15,0,0,$B$8,1))=FN$13), 1*(_xlfn._xlws.FILTER(OFFSET($O$15,0,$DO53,$B$8,1),OFFSET($M$15,0,0,$B$8,1))=FN$14))   /   SUM(OFFSET($BO$15,0,0,$B$14,1)) + $B$18/($B$19*$B$19*($DN53&lt;&gt;$DO53) + $B$19*($DN53=$DO53))</f>
        <v>3.7037037037037035E-4</v>
      </c>
      <c r="FO53" s="10" cm="1">
        <f t="array" aca="1" ref="FO53" ca="1">(1-$B$18)*SUMPRODUCT(OFFSET($BO$15,0,0,$B$14,1), 1*(_xlfn._xlws.FILTER(OFFSET($O$15,0,$DN53,$B$8,1),OFFSET($M$15,0,0,$B$8,1))=FO$13), 1*(_xlfn._xlws.FILTER(OFFSET($O$15,0,$DO53,$B$8,1),OFFSET($M$15,0,0,$B$8,1))=FO$14))   /   SUM(OFFSET($BO$15,0,0,$B$14,1)) + $B$18/($B$19*$B$19*($DN53&lt;&gt;$DO53) + $B$19*($DN53=$DO53))</f>
        <v>3.7037037037037035E-4</v>
      </c>
      <c r="FP53" s="10" cm="1">
        <f t="array" aca="1" ref="FP53" ca="1">(1-$B$18)*SUMPRODUCT(OFFSET($BO$15,0,0,$B$14,1), 1*(_xlfn._xlws.FILTER(OFFSET($O$15,0,$DN53,$B$8,1),OFFSET($M$15,0,0,$B$8,1))=FP$13), 1*(_xlfn._xlws.FILTER(OFFSET($O$15,0,$DO53,$B$8,1),OFFSET($M$15,0,0,$B$8,1))=FP$14))   /   SUM(OFFSET($BO$15,0,0,$B$14,1)) + $B$18/($B$19*$B$19*($DN53&lt;&gt;$DO53) + $B$19*($DN53=$DO53))</f>
        <v>3.7037037037037035E-4</v>
      </c>
      <c r="FQ53" s="10" cm="1">
        <f t="array" aca="1" ref="FQ53" ca="1">(1-$B$18)*SUMPRODUCT(OFFSET($BO$15,0,0,$B$14,1), 1*(_xlfn._xlws.FILTER(OFFSET($O$15,0,$DN53,$B$8,1),OFFSET($M$15,0,0,$B$8,1))=FQ$13), 1*(_xlfn._xlws.FILTER(OFFSET($O$15,0,$DO53,$B$8,1),OFFSET($M$15,0,0,$B$8,1))=FQ$14))   /   SUM(OFFSET($BO$15,0,0,$B$14,1)) + $B$18/($B$19*$B$19*($DN53&lt;&gt;$DO53) + $B$19*($DN53=$DO53))</f>
        <v>3.7037037037037035E-4</v>
      </c>
      <c r="FR53" s="10" cm="1">
        <f t="array" aca="1" ref="FR53" ca="1">(1-$B$18)*SUMPRODUCT(OFFSET($BO$15,0,0,$B$14,1), 1*(_xlfn._xlws.FILTER(OFFSET($O$15,0,$DN53,$B$8,1),OFFSET($M$15,0,0,$B$8,1))=FR$13), 1*(_xlfn._xlws.FILTER(OFFSET($O$15,0,$DO53,$B$8,1),OFFSET($M$15,0,0,$B$8,1))=FR$14))   /   SUM(OFFSET($BO$15,0,0,$B$14,1)) + $B$18/($B$19*$B$19*($DN53&lt;&gt;$DO53) + $B$19*($DN53=$DO53))</f>
        <v>0.97037037037037033</v>
      </c>
      <c r="FS53" s="10" cm="1">
        <f t="array" aca="1" ref="FS53" ca="1">(1-$B$18)*SUMPRODUCT(OFFSET($BO$15,0,0,$B$14,1), 1*(_xlfn._xlws.FILTER(OFFSET($O$15,0,$DN53,$B$8,1),OFFSET($M$15,0,0,$B$8,1))=FS$13), 1*(_xlfn._xlws.FILTER(OFFSET($O$15,0,$DO53,$B$8,1),OFFSET($M$15,0,0,$B$8,1))=FS$14))   /   SUM(OFFSET($BO$15,0,0,$B$14,1)) + $B$18/($B$19*$B$19*($DN53&lt;&gt;$DO53) + $B$19*($DN53=$DO53))</f>
        <v>3.7037037037037035E-4</v>
      </c>
      <c r="FT53" s="10" cm="1">
        <f t="array" aca="1" ref="FT53" ca="1">(1-$B$18)*SUMPRODUCT(OFFSET($BO$15,0,0,$B$14,1), 1*(_xlfn._xlws.FILTER(OFFSET($O$15,0,$DN53,$B$8,1),OFFSET($M$15,0,0,$B$8,1))=FT$13), 1*(_xlfn._xlws.FILTER(OFFSET($O$15,0,$DO53,$B$8,1),OFFSET($M$15,0,0,$B$8,1))=FT$14))   /   SUM(OFFSET($BO$15,0,0,$B$14,1)) + $B$18/($B$19*$B$19*($DN53&lt;&gt;$DO53) + $B$19*($DN53=$DO53))</f>
        <v>3.7037037037037035E-4</v>
      </c>
      <c r="FU53" s="10" cm="1">
        <f t="array" aca="1" ref="FU53" ca="1">(1-$B$18)*SUMPRODUCT(OFFSET($BO$15,0,0,$B$14,1), 1*(_xlfn._xlws.FILTER(OFFSET($O$15,0,$DN53,$B$8,1),OFFSET($M$15,0,0,$B$8,1))=FU$13), 1*(_xlfn._xlws.FILTER(OFFSET($O$15,0,$DO53,$B$8,1),OFFSET($M$15,0,0,$B$8,1))=FU$14))   /   SUM(OFFSET($BO$15,0,0,$B$14,1)) + $B$18/($B$19*$B$19*($DN53&lt;&gt;$DO53) + $B$19*($DN53=$DO53))</f>
        <v>3.7037037037037035E-4</v>
      </c>
      <c r="FV53" s="10" cm="1">
        <f t="array" aca="1" ref="FV53" ca="1">(1-$B$18)*SUMPRODUCT(OFFSET($BO$15,0,0,$B$14,1), 1*(_xlfn._xlws.FILTER(OFFSET($O$15,0,$DN53,$B$8,1),OFFSET($M$15,0,0,$B$8,1))=FV$13), 1*(_xlfn._xlws.FILTER(OFFSET($O$15,0,$DO53,$B$8,1),OFFSET($M$15,0,0,$B$8,1))=FV$14))   /   SUM(OFFSET($BO$15,0,0,$B$14,1)) + $B$18/($B$19*$B$19*($DN53&lt;&gt;$DO53) + $B$19*($DN53=$DO53))</f>
        <v>3.7037037037037035E-4</v>
      </c>
      <c r="FW53" s="10" cm="1">
        <f t="array" aca="1" ref="FW53" ca="1">(1-$B$18)*SUMPRODUCT(OFFSET($BO$15,0,0,$B$14,1), 1*(_xlfn._xlws.FILTER(OFFSET($O$15,0,$DN53,$B$8,1),OFFSET($M$15,0,0,$B$8,1))=FW$13), 1*(_xlfn._xlws.FILTER(OFFSET($O$15,0,$DO53,$B$8,1),OFFSET($M$15,0,0,$B$8,1))=FW$14))   /   SUM(OFFSET($BO$15,0,0,$B$14,1)) + $B$18/($B$19*$B$19*($DN53&lt;&gt;$DO53) + $B$19*($DN53=$DO53))</f>
        <v>3.7037037037037035E-4</v>
      </c>
      <c r="FX53" s="10" cm="1">
        <f t="array" aca="1" ref="FX53" ca="1">(1-$B$18)*SUMPRODUCT(OFFSET($BO$15,0,0,$B$14,1), 1*(_xlfn._xlws.FILTER(OFFSET($O$15,0,$DN53,$B$8,1),OFFSET($M$15,0,0,$B$8,1))=FX$13), 1*(_xlfn._xlws.FILTER(OFFSET($O$15,0,$DO53,$B$8,1),OFFSET($M$15,0,0,$B$8,1))=FX$14))   /   SUM(OFFSET($BO$15,0,0,$B$14,1)) + $B$18/($B$19*$B$19*($DN53&lt;&gt;$DO53) + $B$19*($DN53=$DO53))</f>
        <v>3.7037037037037035E-4</v>
      </c>
      <c r="FY53" s="10" cm="1">
        <f t="array" aca="1" ref="FY53" ca="1">(1-$B$18)*SUMPRODUCT(OFFSET($BO$15,0,0,$B$14,1), 1*(_xlfn._xlws.FILTER(OFFSET($O$15,0,$DN53,$B$8,1),OFFSET($M$15,0,0,$B$8,1))=FY$13), 1*(_xlfn._xlws.FILTER(OFFSET($O$15,0,$DO53,$B$8,1),OFFSET($M$15,0,0,$B$8,1))=FY$14))   /   SUM(OFFSET($BO$15,0,0,$B$14,1)) + $B$18/($B$19*$B$19*($DN53&lt;&gt;$DO53) + $B$19*($DN53=$DO53))</f>
        <v>3.7037037037037035E-4</v>
      </c>
      <c r="FZ53" s="10" cm="1">
        <f t="array" aca="1" ref="FZ53" ca="1">(1-$B$18)*SUMPRODUCT(OFFSET($BO$15,0,0,$B$14,1), 1*(_xlfn._xlws.FILTER(OFFSET($O$15,0,$DN53,$B$8,1),OFFSET($M$15,0,0,$B$8,1))=FZ$13), 1*(_xlfn._xlws.FILTER(OFFSET($O$15,0,$DO53,$B$8,1),OFFSET($M$15,0,0,$B$8,1))=FZ$14))   /   SUM(OFFSET($BO$15,0,0,$B$14,1)) + $B$18/($B$19*$B$19*($DN53&lt;&gt;$DO53) + $B$19*($DN53=$DO53))</f>
        <v>3.7037037037037035E-4</v>
      </c>
      <c r="GA53" s="10" cm="1">
        <f t="array" aca="1" ref="GA53" ca="1">(1-$B$18)*SUMPRODUCT(OFFSET($BO$15,0,0,$B$14,1), 1*(_xlfn._xlws.FILTER(OFFSET($O$15,0,$DN53,$B$8,1),OFFSET($M$15,0,0,$B$8,1))=GA$13), 1*(_xlfn._xlws.FILTER(OFFSET($O$15,0,$DO53,$B$8,1),OFFSET($M$15,0,0,$B$8,1))=GA$14))   /   SUM(OFFSET($BO$15,0,0,$B$14,1)) + $B$18/($B$19*$B$19*($DN53&lt;&gt;$DO53) + $B$19*($DN53=$DO53))</f>
        <v>3.7037037037037035E-4</v>
      </c>
    </row>
    <row r="54" spans="5:183" x14ac:dyDescent="0.2">
      <c r="AK54" s="2"/>
      <c r="AL54" s="2"/>
      <c r="CX54">
        <f ca="1"/>
        <v>0.2</v>
      </c>
      <c r="CY54">
        <f ca="1"/>
        <v>0</v>
      </c>
      <c r="DN54" cm="1">
        <f t="array" aca="1" ref="DN54" ca="1">INDEX(_xlfn.ANCHORARRAY($CP$15), 1 + INT((ROWS($DO$15:$DO54) - 1) / ROWS(_xlfn.ANCHORARRAY($CP$15))))</f>
        <v>2</v>
      </c>
      <c r="DO54" cm="1">
        <f t="array" aca="1" ref="DO54" ca="1">INDEX(_xlfn.ANCHORARRAY($CP$15),1+MOD(ROWS($DO$15:$DO54)-1,ROWS(_xlfn.ANCHORARRAY($CP$15))))</f>
        <v>1</v>
      </c>
      <c r="DP54" s="10" cm="1">
        <f t="array" aca="1" ref="DP54" ca="1">(1-$B$18)*SUMPRODUCT(OFFSET($BO$15,0,0,$B$14,1), 1*(_xlfn._xlws.FILTER(OFFSET($O$15,0,$DN54,$B$8,1),OFFSET($M$15,0,0,$B$8,1))=DP$13), 1*(_xlfn._xlws.FILTER(OFFSET($O$15,0,$DO54,$B$8,1),OFFSET($M$15,0,0,$B$8,1))=DP$14))   /   SUM(OFFSET($BO$15,0,0,$B$14,1)) + $B$18/($B$19*$B$19*($DN54&lt;&gt;$DO54) + $B$19*($DN54=$DO54))</f>
        <v>3.7037037037037035E-4</v>
      </c>
      <c r="DQ54" s="10" cm="1">
        <f t="array" aca="1" ref="DQ54" ca="1">(1-$B$18)*SUMPRODUCT(OFFSET($BO$15,0,0,$B$14,1), 1*(_xlfn._xlws.FILTER(OFFSET($O$15,0,$DN54,$B$8,1),OFFSET($M$15,0,0,$B$8,1))=DQ$13), 1*(_xlfn._xlws.FILTER(OFFSET($O$15,0,$DO54,$B$8,1),OFFSET($M$15,0,0,$B$8,1))=DQ$14))   /   SUM(OFFSET($BO$15,0,0,$B$14,1)) + $B$18/($B$19*$B$19*($DN54&lt;&gt;$DO54) + $B$19*($DN54=$DO54))</f>
        <v>3.7037037037037035E-4</v>
      </c>
      <c r="DR54" s="10" cm="1">
        <f t="array" aca="1" ref="DR54" ca="1">(1-$B$18)*SUMPRODUCT(OFFSET($BO$15,0,0,$B$14,1), 1*(_xlfn._xlws.FILTER(OFFSET($O$15,0,$DN54,$B$8,1),OFFSET($M$15,0,0,$B$8,1))=DR$13), 1*(_xlfn._xlws.FILTER(OFFSET($O$15,0,$DO54,$B$8,1),OFFSET($M$15,0,0,$B$8,1))=DR$14))   /   SUM(OFFSET($BO$15,0,0,$B$14,1)) + $B$18/($B$19*$B$19*($DN54&lt;&gt;$DO54) + $B$19*($DN54=$DO54))</f>
        <v>3.7037037037037035E-4</v>
      </c>
      <c r="DS54" s="10" cm="1">
        <f t="array" aca="1" ref="DS54" ca="1">(1-$B$18)*SUMPRODUCT(OFFSET($BO$15,0,0,$B$14,1), 1*(_xlfn._xlws.FILTER(OFFSET($O$15,0,$DN54,$B$8,1),OFFSET($M$15,0,0,$B$8,1))=DS$13), 1*(_xlfn._xlws.FILTER(OFFSET($O$15,0,$DO54,$B$8,1),OFFSET($M$15,0,0,$B$8,1))=DS$14))   /   SUM(OFFSET($BO$15,0,0,$B$14,1)) + $B$18/($B$19*$B$19*($DN54&lt;&gt;$DO54) + $B$19*($DN54=$DO54))</f>
        <v>3.7037037037037035E-4</v>
      </c>
      <c r="DT54" s="10" cm="1">
        <f t="array" aca="1" ref="DT54" ca="1">(1-$B$18)*SUMPRODUCT(OFFSET($BO$15,0,0,$B$14,1), 1*(_xlfn._xlws.FILTER(OFFSET($O$15,0,$DN54,$B$8,1),OFFSET($M$15,0,0,$B$8,1))=DT$13), 1*(_xlfn._xlws.FILTER(OFFSET($O$15,0,$DO54,$B$8,1),OFFSET($M$15,0,0,$B$8,1))=DT$14))   /   SUM(OFFSET($BO$15,0,0,$B$14,1)) + $B$18/($B$19*$B$19*($DN54&lt;&gt;$DO54) + $B$19*($DN54=$DO54))</f>
        <v>3.7037037037037035E-4</v>
      </c>
      <c r="DU54" s="10" cm="1">
        <f t="array" aca="1" ref="DU54" ca="1">(1-$B$18)*SUMPRODUCT(OFFSET($BO$15,0,0,$B$14,1), 1*(_xlfn._xlws.FILTER(OFFSET($O$15,0,$DN54,$B$8,1),OFFSET($M$15,0,0,$B$8,1))=DU$13), 1*(_xlfn._xlws.FILTER(OFFSET($O$15,0,$DO54,$B$8,1),OFFSET($M$15,0,0,$B$8,1))=DU$14))   /   SUM(OFFSET($BO$15,0,0,$B$14,1)) + $B$18/($B$19*$B$19*($DN54&lt;&gt;$DO54) + $B$19*($DN54=$DO54))</f>
        <v>3.7037037037037035E-4</v>
      </c>
      <c r="DV54" s="10" cm="1">
        <f t="array" aca="1" ref="DV54" ca="1">(1-$B$18)*SUMPRODUCT(OFFSET($BO$15,0,0,$B$14,1), 1*(_xlfn._xlws.FILTER(OFFSET($O$15,0,$DN54,$B$8,1),OFFSET($M$15,0,0,$B$8,1))=DV$13), 1*(_xlfn._xlws.FILTER(OFFSET($O$15,0,$DO54,$B$8,1),OFFSET($M$15,0,0,$B$8,1))=DV$14))   /   SUM(OFFSET($BO$15,0,0,$B$14,1)) + $B$18/($B$19*$B$19*($DN54&lt;&gt;$DO54) + $B$19*($DN54=$DO54))</f>
        <v>3.7037037037037035E-4</v>
      </c>
      <c r="DW54" s="10" cm="1">
        <f t="array" aca="1" ref="DW54" ca="1">(1-$B$18)*SUMPRODUCT(OFFSET($BO$15,0,0,$B$14,1), 1*(_xlfn._xlws.FILTER(OFFSET($O$15,0,$DN54,$B$8,1),OFFSET($M$15,0,0,$B$8,1))=DW$13), 1*(_xlfn._xlws.FILTER(OFFSET($O$15,0,$DO54,$B$8,1),OFFSET($M$15,0,0,$B$8,1))=DW$14))   /   SUM(OFFSET($BO$15,0,0,$B$14,1)) + $B$18/($B$19*$B$19*($DN54&lt;&gt;$DO54) + $B$19*($DN54=$DO54))</f>
        <v>3.7037037037037035E-4</v>
      </c>
      <c r="DX54" s="10" cm="1">
        <f t="array" aca="1" ref="DX54" ca="1">(1-$B$18)*SUMPRODUCT(OFFSET($BO$15,0,0,$B$14,1), 1*(_xlfn._xlws.FILTER(OFFSET($O$15,0,$DN54,$B$8,1),OFFSET($M$15,0,0,$B$8,1))=DX$13), 1*(_xlfn._xlws.FILTER(OFFSET($O$15,0,$DO54,$B$8,1),OFFSET($M$15,0,0,$B$8,1))=DX$14))   /   SUM(OFFSET($BO$15,0,0,$B$14,1)) + $B$18/($B$19*$B$19*($DN54&lt;&gt;$DO54) + $B$19*($DN54=$DO54))</f>
        <v>3.7037037037037035E-4</v>
      </c>
      <c r="DY54" s="10" cm="1">
        <f t="array" aca="1" ref="DY54" ca="1">(1-$B$18)*SUMPRODUCT(OFFSET($BO$15,0,0,$B$14,1), 1*(_xlfn._xlws.FILTER(OFFSET($O$15,0,$DN54,$B$8,1),OFFSET($M$15,0,0,$B$8,1))=DY$13), 1*(_xlfn._xlws.FILTER(OFFSET($O$15,0,$DO54,$B$8,1),OFFSET($M$15,0,0,$B$8,1))=DY$14))   /   SUM(OFFSET($BO$15,0,0,$B$14,1)) + $B$18/($B$19*$B$19*($DN54&lt;&gt;$DO54) + $B$19*($DN54=$DO54))</f>
        <v>3.7037037037037035E-4</v>
      </c>
      <c r="DZ54" s="10" cm="1">
        <f t="array" aca="1" ref="DZ54" ca="1">(1-$B$18)*SUMPRODUCT(OFFSET($BO$15,0,0,$B$14,1), 1*(_xlfn._xlws.FILTER(OFFSET($O$15,0,$DN54,$B$8,1),OFFSET($M$15,0,0,$B$8,1))=DZ$13), 1*(_xlfn._xlws.FILTER(OFFSET($O$15,0,$DO54,$B$8,1),OFFSET($M$15,0,0,$B$8,1))=DZ$14))   /   SUM(OFFSET($BO$15,0,0,$B$14,1)) + $B$18/($B$19*$B$19*($DN54&lt;&gt;$DO54) + $B$19*($DN54=$DO54))</f>
        <v>3.7037037037037035E-4</v>
      </c>
      <c r="EA54" s="10" cm="1">
        <f t="array" aca="1" ref="EA54" ca="1">(1-$B$18)*SUMPRODUCT(OFFSET($BO$15,0,0,$B$14,1), 1*(_xlfn._xlws.FILTER(OFFSET($O$15,0,$DN54,$B$8,1),OFFSET($M$15,0,0,$B$8,1))=EA$13), 1*(_xlfn._xlws.FILTER(OFFSET($O$15,0,$DO54,$B$8,1),OFFSET($M$15,0,0,$B$8,1))=EA$14))   /   SUM(OFFSET($BO$15,0,0,$B$14,1)) + $B$18/($B$19*$B$19*($DN54&lt;&gt;$DO54) + $B$19*($DN54=$DO54))</f>
        <v>3.7037037037037035E-4</v>
      </c>
      <c r="EB54" s="10" cm="1">
        <f t="array" aca="1" ref="EB54" ca="1">(1-$B$18)*SUMPRODUCT(OFFSET($BO$15,0,0,$B$14,1), 1*(_xlfn._xlws.FILTER(OFFSET($O$15,0,$DN54,$B$8,1),OFFSET($M$15,0,0,$B$8,1))=EB$13), 1*(_xlfn._xlws.FILTER(OFFSET($O$15,0,$DO54,$B$8,1),OFFSET($M$15,0,0,$B$8,1))=EB$14))   /   SUM(OFFSET($BO$15,0,0,$B$14,1)) + $B$18/($B$19*$B$19*($DN54&lt;&gt;$DO54) + $B$19*($DN54=$DO54))</f>
        <v>3.7037037037037035E-4</v>
      </c>
      <c r="EC54" s="10" cm="1">
        <f t="array" aca="1" ref="EC54" ca="1">(1-$B$18)*SUMPRODUCT(OFFSET($BO$15,0,0,$B$14,1), 1*(_xlfn._xlws.FILTER(OFFSET($O$15,0,$DN54,$B$8,1),OFFSET($M$15,0,0,$B$8,1))=EC$13), 1*(_xlfn._xlws.FILTER(OFFSET($O$15,0,$DO54,$B$8,1),OFFSET($M$15,0,0,$B$8,1))=EC$14))   /   SUM(OFFSET($BO$15,0,0,$B$14,1)) + $B$18/($B$19*$B$19*($DN54&lt;&gt;$DO54) + $B$19*($DN54=$DO54))</f>
        <v>3.7037037037037035E-4</v>
      </c>
      <c r="ED54" s="10" cm="1">
        <f t="array" aca="1" ref="ED54" ca="1">(1-$B$18)*SUMPRODUCT(OFFSET($BO$15,0,0,$B$14,1), 1*(_xlfn._xlws.FILTER(OFFSET($O$15,0,$DN54,$B$8,1),OFFSET($M$15,0,0,$B$8,1))=ED$13), 1*(_xlfn._xlws.FILTER(OFFSET($O$15,0,$DO54,$B$8,1),OFFSET($M$15,0,0,$B$8,1))=ED$14))   /   SUM(OFFSET($BO$15,0,0,$B$14,1)) + $B$18/($B$19*$B$19*($DN54&lt;&gt;$DO54) + $B$19*($DN54=$DO54))</f>
        <v>3.7037037037037035E-4</v>
      </c>
      <c r="EE54" s="10" cm="1">
        <f t="array" aca="1" ref="EE54" ca="1">(1-$B$18)*SUMPRODUCT(OFFSET($BO$15,0,0,$B$14,1), 1*(_xlfn._xlws.FILTER(OFFSET($O$15,0,$DN54,$B$8,1),OFFSET($M$15,0,0,$B$8,1))=EE$13), 1*(_xlfn._xlws.FILTER(OFFSET($O$15,0,$DO54,$B$8,1),OFFSET($M$15,0,0,$B$8,1))=EE$14))   /   SUM(OFFSET($BO$15,0,0,$B$14,1)) + $B$18/($B$19*$B$19*($DN54&lt;&gt;$DO54) + $B$19*($DN54=$DO54))</f>
        <v>3.7037037037037035E-4</v>
      </c>
      <c r="EF54" s="10" cm="1">
        <f t="array" aca="1" ref="EF54" ca="1">(1-$B$18)*SUMPRODUCT(OFFSET($BO$15,0,0,$B$14,1), 1*(_xlfn._xlws.FILTER(OFFSET($O$15,0,$DN54,$B$8,1),OFFSET($M$15,0,0,$B$8,1))=EF$13), 1*(_xlfn._xlws.FILTER(OFFSET($O$15,0,$DO54,$B$8,1),OFFSET($M$15,0,0,$B$8,1))=EF$14))   /   SUM(OFFSET($BO$15,0,0,$B$14,1)) + $B$18/($B$19*$B$19*($DN54&lt;&gt;$DO54) + $B$19*($DN54=$DO54))</f>
        <v>3.7037037037037035E-4</v>
      </c>
      <c r="EG54" s="10" cm="1">
        <f t="array" aca="1" ref="EG54" ca="1">(1-$B$18)*SUMPRODUCT(OFFSET($BO$15,0,0,$B$14,1), 1*(_xlfn._xlws.FILTER(OFFSET($O$15,0,$DN54,$B$8,1),OFFSET($M$15,0,0,$B$8,1))=EG$13), 1*(_xlfn._xlws.FILTER(OFFSET($O$15,0,$DO54,$B$8,1),OFFSET($M$15,0,0,$B$8,1))=EG$14))   /   SUM(OFFSET($BO$15,0,0,$B$14,1)) + $B$18/($B$19*$B$19*($DN54&lt;&gt;$DO54) + $B$19*($DN54=$DO54))</f>
        <v>3.7037037037037035E-4</v>
      </c>
      <c r="EH54" s="10" cm="1">
        <f t="array" aca="1" ref="EH54" ca="1">(1-$B$18)*SUMPRODUCT(OFFSET($BO$15,0,0,$B$14,1), 1*(_xlfn._xlws.FILTER(OFFSET($O$15,0,$DN54,$B$8,1),OFFSET($M$15,0,0,$B$8,1))=EH$13), 1*(_xlfn._xlws.FILTER(OFFSET($O$15,0,$DO54,$B$8,1),OFFSET($M$15,0,0,$B$8,1))=EH$14))   /   SUM(OFFSET($BO$15,0,0,$B$14,1)) + $B$18/($B$19*$B$19*($DN54&lt;&gt;$DO54) + $B$19*($DN54=$DO54))</f>
        <v>3.7037037037037035E-4</v>
      </c>
      <c r="EI54" s="10" cm="1">
        <f t="array" aca="1" ref="EI54" ca="1">(1-$B$18)*SUMPRODUCT(OFFSET($BO$15,0,0,$B$14,1), 1*(_xlfn._xlws.FILTER(OFFSET($O$15,0,$DN54,$B$8,1),OFFSET($M$15,0,0,$B$8,1))=EI$13), 1*(_xlfn._xlws.FILTER(OFFSET($O$15,0,$DO54,$B$8,1),OFFSET($M$15,0,0,$B$8,1))=EI$14))   /   SUM(OFFSET($BO$15,0,0,$B$14,1)) + $B$18/($B$19*$B$19*($DN54&lt;&gt;$DO54) + $B$19*($DN54=$DO54))</f>
        <v>3.7037037037037035E-4</v>
      </c>
      <c r="EJ54" s="10" cm="1">
        <f t="array" aca="1" ref="EJ54" ca="1">(1-$B$18)*SUMPRODUCT(OFFSET($BO$15,0,0,$B$14,1), 1*(_xlfn._xlws.FILTER(OFFSET($O$15,0,$DN54,$B$8,1),OFFSET($M$15,0,0,$B$8,1))=EJ$13), 1*(_xlfn._xlws.FILTER(OFFSET($O$15,0,$DO54,$B$8,1),OFFSET($M$15,0,0,$B$8,1))=EJ$14))   /   SUM(OFFSET($BO$15,0,0,$B$14,1)) + $B$18/($B$19*$B$19*($DN54&lt;&gt;$DO54) + $B$19*($DN54=$DO54))</f>
        <v>3.7037037037037035E-4</v>
      </c>
      <c r="EK54" s="10" cm="1">
        <f t="array" aca="1" ref="EK54" ca="1">(1-$B$18)*SUMPRODUCT(OFFSET($BO$15,0,0,$B$14,1), 1*(_xlfn._xlws.FILTER(OFFSET($O$15,0,$DN54,$B$8,1),OFFSET($M$15,0,0,$B$8,1))=EK$13), 1*(_xlfn._xlws.FILTER(OFFSET($O$15,0,$DO54,$B$8,1),OFFSET($M$15,0,0,$B$8,1))=EK$14))   /   SUM(OFFSET($BO$15,0,0,$B$14,1)) + $B$18/($B$19*$B$19*($DN54&lt;&gt;$DO54) + $B$19*($DN54=$DO54))</f>
        <v>3.7037037037037035E-4</v>
      </c>
      <c r="EL54" s="10" cm="1">
        <f t="array" aca="1" ref="EL54" ca="1">(1-$B$18)*SUMPRODUCT(OFFSET($BO$15,0,0,$B$14,1), 1*(_xlfn._xlws.FILTER(OFFSET($O$15,0,$DN54,$B$8,1),OFFSET($M$15,0,0,$B$8,1))=EL$13), 1*(_xlfn._xlws.FILTER(OFFSET($O$15,0,$DO54,$B$8,1),OFFSET($M$15,0,0,$B$8,1))=EL$14))   /   SUM(OFFSET($BO$15,0,0,$B$14,1)) + $B$18/($B$19*$B$19*($DN54&lt;&gt;$DO54) + $B$19*($DN54=$DO54))</f>
        <v>3.7037037037037035E-4</v>
      </c>
      <c r="EM54" s="10" cm="1">
        <f t="array" aca="1" ref="EM54" ca="1">(1-$B$18)*SUMPRODUCT(OFFSET($BO$15,0,0,$B$14,1), 1*(_xlfn._xlws.FILTER(OFFSET($O$15,0,$DN54,$B$8,1),OFFSET($M$15,0,0,$B$8,1))=EM$13), 1*(_xlfn._xlws.FILTER(OFFSET($O$15,0,$DO54,$B$8,1),OFFSET($M$15,0,0,$B$8,1))=EM$14))   /   SUM(OFFSET($BO$15,0,0,$B$14,1)) + $B$18/($B$19*$B$19*($DN54&lt;&gt;$DO54) + $B$19*($DN54=$DO54))</f>
        <v>3.7037037037037035E-4</v>
      </c>
      <c r="EN54" s="10" cm="1">
        <f t="array" aca="1" ref="EN54" ca="1">(1-$B$18)*SUMPRODUCT(OFFSET($BO$15,0,0,$B$14,1), 1*(_xlfn._xlws.FILTER(OFFSET($O$15,0,$DN54,$B$8,1),OFFSET($M$15,0,0,$B$8,1))=EN$13), 1*(_xlfn._xlws.FILTER(OFFSET($O$15,0,$DO54,$B$8,1),OFFSET($M$15,0,0,$B$8,1))=EN$14))   /   SUM(OFFSET($BO$15,0,0,$B$14,1)) + $B$18/($B$19*$B$19*($DN54&lt;&gt;$DO54) + $B$19*($DN54=$DO54))</f>
        <v>3.7037037037037035E-4</v>
      </c>
      <c r="EO54" s="10" cm="1">
        <f t="array" aca="1" ref="EO54" ca="1">(1-$B$18)*SUMPRODUCT(OFFSET($BO$15,0,0,$B$14,1), 1*(_xlfn._xlws.FILTER(OFFSET($O$15,0,$DN54,$B$8,1),OFFSET($M$15,0,0,$B$8,1))=EO$13), 1*(_xlfn._xlws.FILTER(OFFSET($O$15,0,$DO54,$B$8,1),OFFSET($M$15,0,0,$B$8,1))=EO$14))   /   SUM(OFFSET($BO$15,0,0,$B$14,1)) + $B$18/($B$19*$B$19*($DN54&lt;&gt;$DO54) + $B$19*($DN54=$DO54))</f>
        <v>3.7037037037037035E-4</v>
      </c>
      <c r="EP54" s="10" cm="1">
        <f t="array" aca="1" ref="EP54" ca="1">(1-$B$18)*SUMPRODUCT(OFFSET($BO$15,0,0,$B$14,1), 1*(_xlfn._xlws.FILTER(OFFSET($O$15,0,$DN54,$B$8,1),OFFSET($M$15,0,0,$B$8,1))=EP$13), 1*(_xlfn._xlws.FILTER(OFFSET($O$15,0,$DO54,$B$8,1),OFFSET($M$15,0,0,$B$8,1))=EP$14))   /   SUM(OFFSET($BO$15,0,0,$B$14,1)) + $B$18/($B$19*$B$19*($DN54&lt;&gt;$DO54) + $B$19*($DN54=$DO54))</f>
        <v>3.7037037037037035E-4</v>
      </c>
      <c r="EQ54" s="10" cm="1">
        <f t="array" aca="1" ref="EQ54" ca="1">(1-$B$18)*SUMPRODUCT(OFFSET($BO$15,0,0,$B$14,1), 1*(_xlfn._xlws.FILTER(OFFSET($O$15,0,$DN54,$B$8,1),OFFSET($M$15,0,0,$B$8,1))=EQ$13), 1*(_xlfn._xlws.FILTER(OFFSET($O$15,0,$DO54,$B$8,1),OFFSET($M$15,0,0,$B$8,1))=EQ$14))   /   SUM(OFFSET($BO$15,0,0,$B$14,1)) + $B$18/($B$19*$B$19*($DN54&lt;&gt;$DO54) + $B$19*($DN54=$DO54))</f>
        <v>3.7037037037037035E-4</v>
      </c>
      <c r="ER54" s="10" cm="1">
        <f t="array" aca="1" ref="ER54" ca="1">(1-$B$18)*SUMPRODUCT(OFFSET($BO$15,0,0,$B$14,1), 1*(_xlfn._xlws.FILTER(OFFSET($O$15,0,$DN54,$B$8,1),OFFSET($M$15,0,0,$B$8,1))=ER$13), 1*(_xlfn._xlws.FILTER(OFFSET($O$15,0,$DO54,$B$8,1),OFFSET($M$15,0,0,$B$8,1))=ER$14))   /   SUM(OFFSET($BO$15,0,0,$B$14,1)) + $B$18/($B$19*$B$19*($DN54&lt;&gt;$DO54) + $B$19*($DN54=$DO54))</f>
        <v>3.7037037037037035E-4</v>
      </c>
      <c r="ES54" s="10" cm="1">
        <f t="array" aca="1" ref="ES54" ca="1">(1-$B$18)*SUMPRODUCT(OFFSET($BO$15,0,0,$B$14,1), 1*(_xlfn._xlws.FILTER(OFFSET($O$15,0,$DN54,$B$8,1),OFFSET($M$15,0,0,$B$8,1))=ES$13), 1*(_xlfn._xlws.FILTER(OFFSET($O$15,0,$DO54,$B$8,1),OFFSET($M$15,0,0,$B$8,1))=ES$14))   /   SUM(OFFSET($BO$15,0,0,$B$14,1)) + $B$18/($B$19*$B$19*($DN54&lt;&gt;$DO54) + $B$19*($DN54=$DO54))</f>
        <v>3.7037037037037035E-4</v>
      </c>
      <c r="ET54" s="10" cm="1">
        <f t="array" aca="1" ref="ET54" ca="1">(1-$B$18)*SUMPRODUCT(OFFSET($BO$15,0,0,$B$14,1), 1*(_xlfn._xlws.FILTER(OFFSET($O$15,0,$DN54,$B$8,1),OFFSET($M$15,0,0,$B$8,1))=ET$13), 1*(_xlfn._xlws.FILTER(OFFSET($O$15,0,$DO54,$B$8,1),OFFSET($M$15,0,0,$B$8,1))=ET$14))   /   SUM(OFFSET($BO$15,0,0,$B$14,1)) + $B$18/($B$19*$B$19*($DN54&lt;&gt;$DO54) + $B$19*($DN54=$DO54))</f>
        <v>3.7037037037037035E-4</v>
      </c>
      <c r="EU54" s="10" cm="1">
        <f t="array" aca="1" ref="EU54" ca="1">(1-$B$18)*SUMPRODUCT(OFFSET($BO$15,0,0,$B$14,1), 1*(_xlfn._xlws.FILTER(OFFSET($O$15,0,$DN54,$B$8,1),OFFSET($M$15,0,0,$B$8,1))=EU$13), 1*(_xlfn._xlws.FILTER(OFFSET($O$15,0,$DO54,$B$8,1),OFFSET($M$15,0,0,$B$8,1))=EU$14))   /   SUM(OFFSET($BO$15,0,0,$B$14,1)) + $B$18/($B$19*$B$19*($DN54&lt;&gt;$DO54) + $B$19*($DN54=$DO54))</f>
        <v>3.7037037037037035E-4</v>
      </c>
      <c r="EV54" s="10" cm="1">
        <f t="array" aca="1" ref="EV54" ca="1">(1-$B$18)*SUMPRODUCT(OFFSET($BO$15,0,0,$B$14,1), 1*(_xlfn._xlws.FILTER(OFFSET($O$15,0,$DN54,$B$8,1),OFFSET($M$15,0,0,$B$8,1))=EV$13), 1*(_xlfn._xlws.FILTER(OFFSET($O$15,0,$DO54,$B$8,1),OFFSET($M$15,0,0,$B$8,1))=EV$14))   /   SUM(OFFSET($BO$15,0,0,$B$14,1)) + $B$18/($B$19*$B$19*($DN54&lt;&gt;$DO54) + $B$19*($DN54=$DO54))</f>
        <v>3.7037037037037035E-4</v>
      </c>
      <c r="EW54" s="10" cm="1">
        <f t="array" aca="1" ref="EW54" ca="1">(1-$B$18)*SUMPRODUCT(OFFSET($BO$15,0,0,$B$14,1), 1*(_xlfn._xlws.FILTER(OFFSET($O$15,0,$DN54,$B$8,1),OFFSET($M$15,0,0,$B$8,1))=EW$13), 1*(_xlfn._xlws.FILTER(OFFSET($O$15,0,$DO54,$B$8,1),OFFSET($M$15,0,0,$B$8,1))=EW$14))   /   SUM(OFFSET($BO$15,0,0,$B$14,1)) + $B$18/($B$19*$B$19*($DN54&lt;&gt;$DO54) + $B$19*($DN54=$DO54))</f>
        <v>3.7037037037037035E-4</v>
      </c>
      <c r="EX54" s="10" cm="1">
        <f t="array" aca="1" ref="EX54" ca="1">(1-$B$18)*SUMPRODUCT(OFFSET($BO$15,0,0,$B$14,1), 1*(_xlfn._xlws.FILTER(OFFSET($O$15,0,$DN54,$B$8,1),OFFSET($M$15,0,0,$B$8,1))=EX$13), 1*(_xlfn._xlws.FILTER(OFFSET($O$15,0,$DO54,$B$8,1),OFFSET($M$15,0,0,$B$8,1))=EX$14))   /   SUM(OFFSET($BO$15,0,0,$B$14,1)) + $B$18/($B$19*$B$19*($DN54&lt;&gt;$DO54) + $B$19*($DN54=$DO54))</f>
        <v>3.7037037037037035E-4</v>
      </c>
      <c r="EY54" s="10" cm="1">
        <f t="array" aca="1" ref="EY54" ca="1">(1-$B$18)*SUMPRODUCT(OFFSET($BO$15,0,0,$B$14,1), 1*(_xlfn._xlws.FILTER(OFFSET($O$15,0,$DN54,$B$8,1),OFFSET($M$15,0,0,$B$8,1))=EY$13), 1*(_xlfn._xlws.FILTER(OFFSET($O$15,0,$DO54,$B$8,1),OFFSET($M$15,0,0,$B$8,1))=EY$14))   /   SUM(OFFSET($BO$15,0,0,$B$14,1)) + $B$18/($B$19*$B$19*($DN54&lt;&gt;$DO54) + $B$19*($DN54=$DO54))</f>
        <v>3.7037037037037035E-4</v>
      </c>
      <c r="EZ54" s="10" cm="1">
        <f t="array" aca="1" ref="EZ54" ca="1">(1-$B$18)*SUMPRODUCT(OFFSET($BO$15,0,0,$B$14,1), 1*(_xlfn._xlws.FILTER(OFFSET($O$15,0,$DN54,$B$8,1),OFFSET($M$15,0,0,$B$8,1))=EZ$13), 1*(_xlfn._xlws.FILTER(OFFSET($O$15,0,$DO54,$B$8,1),OFFSET($M$15,0,0,$B$8,1))=EZ$14))   /   SUM(OFFSET($BO$15,0,0,$B$14,1)) + $B$18/($B$19*$B$19*($DN54&lt;&gt;$DO54) + $B$19*($DN54=$DO54))</f>
        <v>3.7037037037037035E-4</v>
      </c>
      <c r="FA54" s="10" cm="1">
        <f t="array" aca="1" ref="FA54" ca="1">(1-$B$18)*SUMPRODUCT(OFFSET($BO$15,0,0,$B$14,1), 1*(_xlfn._xlws.FILTER(OFFSET($O$15,0,$DN54,$B$8,1),OFFSET($M$15,0,0,$B$8,1))=FA$13), 1*(_xlfn._xlws.FILTER(OFFSET($O$15,0,$DO54,$B$8,1),OFFSET($M$15,0,0,$B$8,1))=FA$14))   /   SUM(OFFSET($BO$15,0,0,$B$14,1)) + $B$18/($B$19*$B$19*($DN54&lt;&gt;$DO54) + $B$19*($DN54=$DO54))</f>
        <v>3.7037037037037035E-4</v>
      </c>
      <c r="FB54" s="10" cm="1">
        <f t="array" aca="1" ref="FB54" ca="1">(1-$B$18)*SUMPRODUCT(OFFSET($BO$15,0,0,$B$14,1), 1*(_xlfn._xlws.FILTER(OFFSET($O$15,0,$DN54,$B$8,1),OFFSET($M$15,0,0,$B$8,1))=FB$13), 1*(_xlfn._xlws.FILTER(OFFSET($O$15,0,$DO54,$B$8,1),OFFSET($M$15,0,0,$B$8,1))=FB$14))   /   SUM(OFFSET($BO$15,0,0,$B$14,1)) + $B$18/($B$19*$B$19*($DN54&lt;&gt;$DO54) + $B$19*($DN54=$DO54))</f>
        <v>3.7037037037037035E-4</v>
      </c>
      <c r="FC54" s="10" cm="1">
        <f t="array" aca="1" ref="FC54" ca="1">(1-$B$18)*SUMPRODUCT(OFFSET($BO$15,0,0,$B$14,1), 1*(_xlfn._xlws.FILTER(OFFSET($O$15,0,$DN54,$B$8,1),OFFSET($M$15,0,0,$B$8,1))=FC$13), 1*(_xlfn._xlws.FILTER(OFFSET($O$15,0,$DO54,$B$8,1),OFFSET($M$15,0,0,$B$8,1))=FC$14))   /   SUM(OFFSET($BO$15,0,0,$B$14,1)) + $B$18/($B$19*$B$19*($DN54&lt;&gt;$DO54) + $B$19*($DN54=$DO54))</f>
        <v>3.7037037037037035E-4</v>
      </c>
      <c r="FD54" s="10" cm="1">
        <f t="array" aca="1" ref="FD54" ca="1">(1-$B$18)*SUMPRODUCT(OFFSET($BO$15,0,0,$B$14,1), 1*(_xlfn._xlws.FILTER(OFFSET($O$15,0,$DN54,$B$8,1),OFFSET($M$15,0,0,$B$8,1))=FD$13), 1*(_xlfn._xlws.FILTER(OFFSET($O$15,0,$DO54,$B$8,1),OFFSET($M$15,0,0,$B$8,1))=FD$14))   /   SUM(OFFSET($BO$15,0,0,$B$14,1)) + $B$18/($B$19*$B$19*($DN54&lt;&gt;$DO54) + $B$19*($DN54=$DO54))</f>
        <v>3.7037037037037035E-4</v>
      </c>
      <c r="FE54" s="10" cm="1">
        <f t="array" aca="1" ref="FE54" ca="1">(1-$B$18)*SUMPRODUCT(OFFSET($BO$15,0,0,$B$14,1), 1*(_xlfn._xlws.FILTER(OFFSET($O$15,0,$DN54,$B$8,1),OFFSET($M$15,0,0,$B$8,1))=FE$13), 1*(_xlfn._xlws.FILTER(OFFSET($O$15,0,$DO54,$B$8,1),OFFSET($M$15,0,0,$B$8,1))=FE$14))   /   SUM(OFFSET($BO$15,0,0,$B$14,1)) + $B$18/($B$19*$B$19*($DN54&lt;&gt;$DO54) + $B$19*($DN54=$DO54))</f>
        <v>3.7037037037037035E-4</v>
      </c>
      <c r="FF54" s="10" cm="1">
        <f t="array" aca="1" ref="FF54" ca="1">(1-$B$18)*SUMPRODUCT(OFFSET($BO$15,0,0,$B$14,1), 1*(_xlfn._xlws.FILTER(OFFSET($O$15,0,$DN54,$B$8,1),OFFSET($M$15,0,0,$B$8,1))=FF$13), 1*(_xlfn._xlws.FILTER(OFFSET($O$15,0,$DO54,$B$8,1),OFFSET($M$15,0,0,$B$8,1))=FF$14))   /   SUM(OFFSET($BO$15,0,0,$B$14,1)) + $B$18/($B$19*$B$19*($DN54&lt;&gt;$DO54) + $B$19*($DN54=$DO54))</f>
        <v>3.7037037037037035E-4</v>
      </c>
      <c r="FG54" s="10" cm="1">
        <f t="array" aca="1" ref="FG54" ca="1">(1-$B$18)*SUMPRODUCT(OFFSET($BO$15,0,0,$B$14,1), 1*(_xlfn._xlws.FILTER(OFFSET($O$15,0,$DN54,$B$8,1),OFFSET($M$15,0,0,$B$8,1))=FG$13), 1*(_xlfn._xlws.FILTER(OFFSET($O$15,0,$DO54,$B$8,1),OFFSET($M$15,0,0,$B$8,1))=FG$14))   /   SUM(OFFSET($BO$15,0,0,$B$14,1)) + $B$18/($B$19*$B$19*($DN54&lt;&gt;$DO54) + $B$19*($DN54=$DO54))</f>
        <v>3.7037037037037035E-4</v>
      </c>
      <c r="FH54" s="10" cm="1">
        <f t="array" aca="1" ref="FH54" ca="1">(1-$B$18)*SUMPRODUCT(OFFSET($BO$15,0,0,$B$14,1), 1*(_xlfn._xlws.FILTER(OFFSET($O$15,0,$DN54,$B$8,1),OFFSET($M$15,0,0,$B$8,1))=FH$13), 1*(_xlfn._xlws.FILTER(OFFSET($O$15,0,$DO54,$B$8,1),OFFSET($M$15,0,0,$B$8,1))=FH$14))   /   SUM(OFFSET($BO$15,0,0,$B$14,1)) + $B$18/($B$19*$B$19*($DN54&lt;&gt;$DO54) + $B$19*($DN54=$DO54))</f>
        <v>3.7037037037037035E-4</v>
      </c>
      <c r="FI54" s="10" cm="1">
        <f t="array" aca="1" ref="FI54" ca="1">(1-$B$18)*SUMPRODUCT(OFFSET($BO$15,0,0,$B$14,1), 1*(_xlfn._xlws.FILTER(OFFSET($O$15,0,$DN54,$B$8,1),OFFSET($M$15,0,0,$B$8,1))=FI$13), 1*(_xlfn._xlws.FILTER(OFFSET($O$15,0,$DO54,$B$8,1),OFFSET($M$15,0,0,$B$8,1))=FI$14))   /   SUM(OFFSET($BO$15,0,0,$B$14,1)) + $B$18/($B$19*$B$19*($DN54&lt;&gt;$DO54) + $B$19*($DN54=$DO54))</f>
        <v>3.7037037037037035E-4</v>
      </c>
      <c r="FJ54" s="10" cm="1">
        <f t="array" aca="1" ref="FJ54" ca="1">(1-$B$18)*SUMPRODUCT(OFFSET($BO$15,0,0,$B$14,1), 1*(_xlfn._xlws.FILTER(OFFSET($O$15,0,$DN54,$B$8,1),OFFSET($M$15,0,0,$B$8,1))=FJ$13), 1*(_xlfn._xlws.FILTER(OFFSET($O$15,0,$DO54,$B$8,1),OFFSET($M$15,0,0,$B$8,1))=FJ$14))   /   SUM(OFFSET($BO$15,0,0,$B$14,1)) + $B$18/($B$19*$B$19*($DN54&lt;&gt;$DO54) + $B$19*($DN54=$DO54))</f>
        <v>3.7037037037037035E-4</v>
      </c>
      <c r="FK54" s="10" cm="1">
        <f t="array" aca="1" ref="FK54" ca="1">(1-$B$18)*SUMPRODUCT(OFFSET($BO$15,0,0,$B$14,1), 1*(_xlfn._xlws.FILTER(OFFSET($O$15,0,$DN54,$B$8,1),OFFSET($M$15,0,0,$B$8,1))=FK$13), 1*(_xlfn._xlws.FILTER(OFFSET($O$15,0,$DO54,$B$8,1),OFFSET($M$15,0,0,$B$8,1))=FK$14))   /   SUM(OFFSET($BO$15,0,0,$B$14,1)) + $B$18/($B$19*$B$19*($DN54&lt;&gt;$DO54) + $B$19*($DN54=$DO54))</f>
        <v>3.7037037037037035E-4</v>
      </c>
      <c r="FL54" s="10" cm="1">
        <f t="array" aca="1" ref="FL54" ca="1">(1-$B$18)*SUMPRODUCT(OFFSET($BO$15,0,0,$B$14,1), 1*(_xlfn._xlws.FILTER(OFFSET($O$15,0,$DN54,$B$8,1),OFFSET($M$15,0,0,$B$8,1))=FL$13), 1*(_xlfn._xlws.FILTER(OFFSET($O$15,0,$DO54,$B$8,1),OFFSET($M$15,0,0,$B$8,1))=FL$14))   /   SUM(OFFSET($BO$15,0,0,$B$14,1)) + $B$18/($B$19*$B$19*($DN54&lt;&gt;$DO54) + $B$19*($DN54=$DO54))</f>
        <v>3.7037037037037035E-4</v>
      </c>
      <c r="FM54" s="10" cm="1">
        <f t="array" aca="1" ref="FM54" ca="1">(1-$B$18)*SUMPRODUCT(OFFSET($BO$15,0,0,$B$14,1), 1*(_xlfn._xlws.FILTER(OFFSET($O$15,0,$DN54,$B$8,1),OFFSET($M$15,0,0,$B$8,1))=FM$13), 1*(_xlfn._xlws.FILTER(OFFSET($O$15,0,$DO54,$B$8,1),OFFSET($M$15,0,0,$B$8,1))=FM$14))   /   SUM(OFFSET($BO$15,0,0,$B$14,1)) + $B$18/($B$19*$B$19*($DN54&lt;&gt;$DO54) + $B$19*($DN54=$DO54))</f>
        <v>3.7037037037037035E-4</v>
      </c>
      <c r="FN54" s="10" cm="1">
        <f t="array" aca="1" ref="FN54" ca="1">(1-$B$18)*SUMPRODUCT(OFFSET($BO$15,0,0,$B$14,1), 1*(_xlfn._xlws.FILTER(OFFSET($O$15,0,$DN54,$B$8,1),OFFSET($M$15,0,0,$B$8,1))=FN$13), 1*(_xlfn._xlws.FILTER(OFFSET($O$15,0,$DO54,$B$8,1),OFFSET($M$15,0,0,$B$8,1))=FN$14))   /   SUM(OFFSET($BO$15,0,0,$B$14,1)) + $B$18/($B$19*$B$19*($DN54&lt;&gt;$DO54) + $B$19*($DN54=$DO54))</f>
        <v>3.7037037037037035E-4</v>
      </c>
      <c r="FO54" s="10" cm="1">
        <f t="array" aca="1" ref="FO54" ca="1">(1-$B$18)*SUMPRODUCT(OFFSET($BO$15,0,0,$B$14,1), 1*(_xlfn._xlws.FILTER(OFFSET($O$15,0,$DN54,$B$8,1),OFFSET($M$15,0,0,$B$8,1))=FO$13), 1*(_xlfn._xlws.FILTER(OFFSET($O$15,0,$DO54,$B$8,1),OFFSET($M$15,0,0,$B$8,1))=FO$14))   /   SUM(OFFSET($BO$15,0,0,$B$14,1)) + $B$18/($B$19*$B$19*($DN54&lt;&gt;$DO54) + $B$19*($DN54=$DO54))</f>
        <v>3.7037037037037035E-4</v>
      </c>
      <c r="FP54" s="10" cm="1">
        <f t="array" aca="1" ref="FP54" ca="1">(1-$B$18)*SUMPRODUCT(OFFSET($BO$15,0,0,$B$14,1), 1*(_xlfn._xlws.FILTER(OFFSET($O$15,0,$DN54,$B$8,1),OFFSET($M$15,0,0,$B$8,1))=FP$13), 1*(_xlfn._xlws.FILTER(OFFSET($O$15,0,$DO54,$B$8,1),OFFSET($M$15,0,0,$B$8,1))=FP$14))   /   SUM(OFFSET($BO$15,0,0,$B$14,1)) + $B$18/($B$19*$B$19*($DN54&lt;&gt;$DO54) + $B$19*($DN54=$DO54))</f>
        <v>3.7037037037037035E-4</v>
      </c>
      <c r="FQ54" s="10" cm="1">
        <f t="array" aca="1" ref="FQ54" ca="1">(1-$B$18)*SUMPRODUCT(OFFSET($BO$15,0,0,$B$14,1), 1*(_xlfn._xlws.FILTER(OFFSET($O$15,0,$DN54,$B$8,1),OFFSET($M$15,0,0,$B$8,1))=FQ$13), 1*(_xlfn._xlws.FILTER(OFFSET($O$15,0,$DO54,$B$8,1),OFFSET($M$15,0,0,$B$8,1))=FQ$14))   /   SUM(OFFSET($BO$15,0,0,$B$14,1)) + $B$18/($B$19*$B$19*($DN54&lt;&gt;$DO54) + $B$19*($DN54=$DO54))</f>
        <v>3.7037037037037035E-4</v>
      </c>
      <c r="FR54" s="10" cm="1">
        <f t="array" aca="1" ref="FR54" ca="1">(1-$B$18)*SUMPRODUCT(OFFSET($BO$15,0,0,$B$14,1), 1*(_xlfn._xlws.FILTER(OFFSET($O$15,0,$DN54,$B$8,1),OFFSET($M$15,0,0,$B$8,1))=FR$13), 1*(_xlfn._xlws.FILTER(OFFSET($O$15,0,$DO54,$B$8,1),OFFSET($M$15,0,0,$B$8,1))=FR$14))   /   SUM(OFFSET($BO$15,0,0,$B$14,1)) + $B$18/($B$19*$B$19*($DN54&lt;&gt;$DO54) + $B$19*($DN54=$DO54))</f>
        <v>0.97037037037037033</v>
      </c>
      <c r="FS54" s="10" cm="1">
        <f t="array" aca="1" ref="FS54" ca="1">(1-$B$18)*SUMPRODUCT(OFFSET($BO$15,0,0,$B$14,1), 1*(_xlfn._xlws.FILTER(OFFSET($O$15,0,$DN54,$B$8,1),OFFSET($M$15,0,0,$B$8,1))=FS$13), 1*(_xlfn._xlws.FILTER(OFFSET($O$15,0,$DO54,$B$8,1),OFFSET($M$15,0,0,$B$8,1))=FS$14))   /   SUM(OFFSET($BO$15,0,0,$B$14,1)) + $B$18/($B$19*$B$19*($DN54&lt;&gt;$DO54) + $B$19*($DN54=$DO54))</f>
        <v>3.7037037037037035E-4</v>
      </c>
      <c r="FT54" s="10" cm="1">
        <f t="array" aca="1" ref="FT54" ca="1">(1-$B$18)*SUMPRODUCT(OFFSET($BO$15,0,0,$B$14,1), 1*(_xlfn._xlws.FILTER(OFFSET($O$15,0,$DN54,$B$8,1),OFFSET($M$15,0,0,$B$8,1))=FT$13), 1*(_xlfn._xlws.FILTER(OFFSET($O$15,0,$DO54,$B$8,1),OFFSET($M$15,0,0,$B$8,1))=FT$14))   /   SUM(OFFSET($BO$15,0,0,$B$14,1)) + $B$18/($B$19*$B$19*($DN54&lt;&gt;$DO54) + $B$19*($DN54=$DO54))</f>
        <v>3.7037037037037035E-4</v>
      </c>
      <c r="FU54" s="10" cm="1">
        <f t="array" aca="1" ref="FU54" ca="1">(1-$B$18)*SUMPRODUCT(OFFSET($BO$15,0,0,$B$14,1), 1*(_xlfn._xlws.FILTER(OFFSET($O$15,0,$DN54,$B$8,1),OFFSET($M$15,0,0,$B$8,1))=FU$13), 1*(_xlfn._xlws.FILTER(OFFSET($O$15,0,$DO54,$B$8,1),OFFSET($M$15,0,0,$B$8,1))=FU$14))   /   SUM(OFFSET($BO$15,0,0,$B$14,1)) + $B$18/($B$19*$B$19*($DN54&lt;&gt;$DO54) + $B$19*($DN54=$DO54))</f>
        <v>3.7037037037037035E-4</v>
      </c>
      <c r="FV54" s="10" cm="1">
        <f t="array" aca="1" ref="FV54" ca="1">(1-$B$18)*SUMPRODUCT(OFFSET($BO$15,0,0,$B$14,1), 1*(_xlfn._xlws.FILTER(OFFSET($O$15,0,$DN54,$B$8,1),OFFSET($M$15,0,0,$B$8,1))=FV$13), 1*(_xlfn._xlws.FILTER(OFFSET($O$15,0,$DO54,$B$8,1),OFFSET($M$15,0,0,$B$8,1))=FV$14))   /   SUM(OFFSET($BO$15,0,0,$B$14,1)) + $B$18/($B$19*$B$19*($DN54&lt;&gt;$DO54) + $B$19*($DN54=$DO54))</f>
        <v>3.7037037037037035E-4</v>
      </c>
      <c r="FW54" s="10" cm="1">
        <f t="array" aca="1" ref="FW54" ca="1">(1-$B$18)*SUMPRODUCT(OFFSET($BO$15,0,0,$B$14,1), 1*(_xlfn._xlws.FILTER(OFFSET($O$15,0,$DN54,$B$8,1),OFFSET($M$15,0,0,$B$8,1))=FW$13), 1*(_xlfn._xlws.FILTER(OFFSET($O$15,0,$DO54,$B$8,1),OFFSET($M$15,0,0,$B$8,1))=FW$14))   /   SUM(OFFSET($BO$15,0,0,$B$14,1)) + $B$18/($B$19*$B$19*($DN54&lt;&gt;$DO54) + $B$19*($DN54=$DO54))</f>
        <v>3.7037037037037035E-4</v>
      </c>
      <c r="FX54" s="10" cm="1">
        <f t="array" aca="1" ref="FX54" ca="1">(1-$B$18)*SUMPRODUCT(OFFSET($BO$15,0,0,$B$14,1), 1*(_xlfn._xlws.FILTER(OFFSET($O$15,0,$DN54,$B$8,1),OFFSET($M$15,0,0,$B$8,1))=FX$13), 1*(_xlfn._xlws.FILTER(OFFSET($O$15,0,$DO54,$B$8,1),OFFSET($M$15,0,0,$B$8,1))=FX$14))   /   SUM(OFFSET($BO$15,0,0,$B$14,1)) + $B$18/($B$19*$B$19*($DN54&lt;&gt;$DO54) + $B$19*($DN54=$DO54))</f>
        <v>3.7037037037037035E-4</v>
      </c>
      <c r="FY54" s="10" cm="1">
        <f t="array" aca="1" ref="FY54" ca="1">(1-$B$18)*SUMPRODUCT(OFFSET($BO$15,0,0,$B$14,1), 1*(_xlfn._xlws.FILTER(OFFSET($O$15,0,$DN54,$B$8,1),OFFSET($M$15,0,0,$B$8,1))=FY$13), 1*(_xlfn._xlws.FILTER(OFFSET($O$15,0,$DO54,$B$8,1),OFFSET($M$15,0,0,$B$8,1))=FY$14))   /   SUM(OFFSET($BO$15,0,0,$B$14,1)) + $B$18/($B$19*$B$19*($DN54&lt;&gt;$DO54) + $B$19*($DN54=$DO54))</f>
        <v>3.7037037037037035E-4</v>
      </c>
      <c r="FZ54" s="10" cm="1">
        <f t="array" aca="1" ref="FZ54" ca="1">(1-$B$18)*SUMPRODUCT(OFFSET($BO$15,0,0,$B$14,1), 1*(_xlfn._xlws.FILTER(OFFSET($O$15,0,$DN54,$B$8,1),OFFSET($M$15,0,0,$B$8,1))=FZ$13), 1*(_xlfn._xlws.FILTER(OFFSET($O$15,0,$DO54,$B$8,1),OFFSET($M$15,0,0,$B$8,1))=FZ$14))   /   SUM(OFFSET($BO$15,0,0,$B$14,1)) + $B$18/($B$19*$B$19*($DN54&lt;&gt;$DO54) + $B$19*($DN54=$DO54))</f>
        <v>3.7037037037037035E-4</v>
      </c>
      <c r="GA54" s="10" cm="1">
        <f t="array" aca="1" ref="GA54" ca="1">(1-$B$18)*SUMPRODUCT(OFFSET($BO$15,0,0,$B$14,1), 1*(_xlfn._xlws.FILTER(OFFSET($O$15,0,$DN54,$B$8,1),OFFSET($M$15,0,0,$B$8,1))=GA$13), 1*(_xlfn._xlws.FILTER(OFFSET($O$15,0,$DO54,$B$8,1),OFFSET($M$15,0,0,$B$8,1))=GA$14))   /   SUM(OFFSET($BO$15,0,0,$B$14,1)) + $B$18/($B$19*$B$19*($DN54&lt;&gt;$DO54) + $B$19*($DN54=$DO54))</f>
        <v>3.7037037037037035E-4</v>
      </c>
    </row>
    <row r="55" spans="5:183" x14ac:dyDescent="0.2">
      <c r="AK55" s="2"/>
      <c r="AL55" s="2"/>
      <c r="CX55">
        <f ca="1"/>
        <v>0.1</v>
      </c>
      <c r="CY55">
        <f ca="1"/>
        <v>0</v>
      </c>
      <c r="DN55" cm="1">
        <f t="array" aca="1" ref="DN55" ca="1">INDEX(_xlfn.ANCHORARRAY($CP$15), 1 + INT((ROWS($DO$15:$DO55) - 1) / ROWS(_xlfn.ANCHORARRAY($CP$15))))</f>
        <v>2</v>
      </c>
      <c r="DO55" cm="1">
        <f t="array" aca="1" ref="DO55" ca="1">INDEX(_xlfn.ANCHORARRAY($CP$15),1+MOD(ROWS($DO$15:$DO55)-1,ROWS(_xlfn.ANCHORARRAY($CP$15))))</f>
        <v>2</v>
      </c>
      <c r="DP55" s="10" cm="1">
        <f t="array" aca="1" ref="DP55" ca="1">(1-$B$18)*SUMPRODUCT(OFFSET($BO$15,0,0,$B$14,1), 1*(_xlfn._xlws.FILTER(OFFSET($O$15,0,$DN55,$B$8,1),OFFSET($M$15,0,0,$B$8,1))=DP$13), 1*(_xlfn._xlws.FILTER(OFFSET($O$15,0,$DO55,$B$8,1),OFFSET($M$15,0,0,$B$8,1))=DP$14))   /   SUM(OFFSET($BO$15,0,0,$B$14,1)) + $B$18/($B$19*$B$19*($DN55&lt;&gt;$DO55) + $B$19*($DN55=$DO55))</f>
        <v>3.3333333333333331E-3</v>
      </c>
      <c r="DQ55" s="10" cm="1">
        <f t="array" aca="1" ref="DQ55" ca="1">(1-$B$18)*SUMPRODUCT(OFFSET($BO$15,0,0,$B$14,1), 1*(_xlfn._xlws.FILTER(OFFSET($O$15,0,$DN55,$B$8,1),OFFSET($M$15,0,0,$B$8,1))=DQ$13), 1*(_xlfn._xlws.FILTER(OFFSET($O$15,0,$DO55,$B$8,1),OFFSET($M$15,0,0,$B$8,1))=DQ$14))   /   SUM(OFFSET($BO$15,0,0,$B$14,1)) + $B$18/($B$19*$B$19*($DN55&lt;&gt;$DO55) + $B$19*($DN55=$DO55))</f>
        <v>3.3333333333333331E-3</v>
      </c>
      <c r="DR55" s="10" cm="1">
        <f t="array" aca="1" ref="DR55" ca="1">(1-$B$18)*SUMPRODUCT(OFFSET($BO$15,0,0,$B$14,1), 1*(_xlfn._xlws.FILTER(OFFSET($O$15,0,$DN55,$B$8,1),OFFSET($M$15,0,0,$B$8,1))=DR$13), 1*(_xlfn._xlws.FILTER(OFFSET($O$15,0,$DO55,$B$8,1),OFFSET($M$15,0,0,$B$8,1))=DR$14))   /   SUM(OFFSET($BO$15,0,0,$B$14,1)) + $B$18/($B$19*$B$19*($DN55&lt;&gt;$DO55) + $B$19*($DN55=$DO55))</f>
        <v>3.3333333333333331E-3</v>
      </c>
      <c r="DS55" s="10" cm="1">
        <f t="array" aca="1" ref="DS55" ca="1">(1-$B$18)*SUMPRODUCT(OFFSET($BO$15,0,0,$B$14,1), 1*(_xlfn._xlws.FILTER(OFFSET($O$15,0,$DN55,$B$8,1),OFFSET($M$15,0,0,$B$8,1))=DS$13), 1*(_xlfn._xlws.FILTER(OFFSET($O$15,0,$DO55,$B$8,1),OFFSET($M$15,0,0,$B$8,1))=DS$14))   /   SUM(OFFSET($BO$15,0,0,$B$14,1)) + $B$18/($B$19*$B$19*($DN55&lt;&gt;$DO55) + $B$19*($DN55=$DO55))</f>
        <v>3.3333333333333331E-3</v>
      </c>
      <c r="DT55" s="10" cm="1">
        <f t="array" aca="1" ref="DT55" ca="1">(1-$B$18)*SUMPRODUCT(OFFSET($BO$15,0,0,$B$14,1), 1*(_xlfn._xlws.FILTER(OFFSET($O$15,0,$DN55,$B$8,1),OFFSET($M$15,0,0,$B$8,1))=DT$13), 1*(_xlfn._xlws.FILTER(OFFSET($O$15,0,$DO55,$B$8,1),OFFSET($M$15,0,0,$B$8,1))=DT$14))   /   SUM(OFFSET($BO$15,0,0,$B$14,1)) + $B$18/($B$19*$B$19*($DN55&lt;&gt;$DO55) + $B$19*($DN55=$DO55))</f>
        <v>3.3333333333333331E-3</v>
      </c>
      <c r="DU55" s="10" cm="1">
        <f t="array" aca="1" ref="DU55" ca="1">(1-$B$18)*SUMPRODUCT(OFFSET($BO$15,0,0,$B$14,1), 1*(_xlfn._xlws.FILTER(OFFSET($O$15,0,$DN55,$B$8,1),OFFSET($M$15,0,0,$B$8,1))=DU$13), 1*(_xlfn._xlws.FILTER(OFFSET($O$15,0,$DO55,$B$8,1),OFFSET($M$15,0,0,$B$8,1))=DU$14))   /   SUM(OFFSET($BO$15,0,0,$B$14,1)) + $B$18/($B$19*$B$19*($DN55&lt;&gt;$DO55) + $B$19*($DN55=$DO55))</f>
        <v>3.3333333333333331E-3</v>
      </c>
      <c r="DV55" s="10" cm="1">
        <f t="array" aca="1" ref="DV55" ca="1">(1-$B$18)*SUMPRODUCT(OFFSET($BO$15,0,0,$B$14,1), 1*(_xlfn._xlws.FILTER(OFFSET($O$15,0,$DN55,$B$8,1),OFFSET($M$15,0,0,$B$8,1))=DV$13), 1*(_xlfn._xlws.FILTER(OFFSET($O$15,0,$DO55,$B$8,1),OFFSET($M$15,0,0,$B$8,1))=DV$14))   /   SUM(OFFSET($BO$15,0,0,$B$14,1)) + $B$18/($B$19*$B$19*($DN55&lt;&gt;$DO55) + $B$19*($DN55=$DO55))</f>
        <v>3.3333333333333331E-3</v>
      </c>
      <c r="DW55" s="10" cm="1">
        <f t="array" aca="1" ref="DW55" ca="1">(1-$B$18)*SUMPRODUCT(OFFSET($BO$15,0,0,$B$14,1), 1*(_xlfn._xlws.FILTER(OFFSET($O$15,0,$DN55,$B$8,1),OFFSET($M$15,0,0,$B$8,1))=DW$13), 1*(_xlfn._xlws.FILTER(OFFSET($O$15,0,$DO55,$B$8,1),OFFSET($M$15,0,0,$B$8,1))=DW$14))   /   SUM(OFFSET($BO$15,0,0,$B$14,1)) + $B$18/($B$19*$B$19*($DN55&lt;&gt;$DO55) + $B$19*($DN55=$DO55))</f>
        <v>3.3333333333333331E-3</v>
      </c>
      <c r="DX55" s="10" cm="1">
        <f t="array" aca="1" ref="DX55" ca="1">(1-$B$18)*SUMPRODUCT(OFFSET($BO$15,0,0,$B$14,1), 1*(_xlfn._xlws.FILTER(OFFSET($O$15,0,$DN55,$B$8,1),OFFSET($M$15,0,0,$B$8,1))=DX$13), 1*(_xlfn._xlws.FILTER(OFFSET($O$15,0,$DO55,$B$8,1),OFFSET($M$15,0,0,$B$8,1))=DX$14))   /   SUM(OFFSET($BO$15,0,0,$B$14,1)) + $B$18/($B$19*$B$19*($DN55&lt;&gt;$DO55) + $B$19*($DN55=$DO55))</f>
        <v>3.3333333333333331E-3</v>
      </c>
      <c r="DY55" s="10" cm="1">
        <f t="array" aca="1" ref="DY55" ca="1">(1-$B$18)*SUMPRODUCT(OFFSET($BO$15,0,0,$B$14,1), 1*(_xlfn._xlws.FILTER(OFFSET($O$15,0,$DN55,$B$8,1),OFFSET($M$15,0,0,$B$8,1))=DY$13), 1*(_xlfn._xlws.FILTER(OFFSET($O$15,0,$DO55,$B$8,1),OFFSET($M$15,0,0,$B$8,1))=DY$14))   /   SUM(OFFSET($BO$15,0,0,$B$14,1)) + $B$18/($B$19*$B$19*($DN55&lt;&gt;$DO55) + $B$19*($DN55=$DO55))</f>
        <v>3.3333333333333331E-3</v>
      </c>
      <c r="DZ55" s="10" cm="1">
        <f t="array" aca="1" ref="DZ55" ca="1">(1-$B$18)*SUMPRODUCT(OFFSET($BO$15,0,0,$B$14,1), 1*(_xlfn._xlws.FILTER(OFFSET($O$15,0,$DN55,$B$8,1),OFFSET($M$15,0,0,$B$8,1))=DZ$13), 1*(_xlfn._xlws.FILTER(OFFSET($O$15,0,$DO55,$B$8,1),OFFSET($M$15,0,0,$B$8,1))=DZ$14))   /   SUM(OFFSET($BO$15,0,0,$B$14,1)) + $B$18/($B$19*$B$19*($DN55&lt;&gt;$DO55) + $B$19*($DN55=$DO55))</f>
        <v>3.3333333333333331E-3</v>
      </c>
      <c r="EA55" s="10" cm="1">
        <f t="array" aca="1" ref="EA55" ca="1">(1-$B$18)*SUMPRODUCT(OFFSET($BO$15,0,0,$B$14,1), 1*(_xlfn._xlws.FILTER(OFFSET($O$15,0,$DN55,$B$8,1),OFFSET($M$15,0,0,$B$8,1))=EA$13), 1*(_xlfn._xlws.FILTER(OFFSET($O$15,0,$DO55,$B$8,1),OFFSET($M$15,0,0,$B$8,1))=EA$14))   /   SUM(OFFSET($BO$15,0,0,$B$14,1)) + $B$18/($B$19*$B$19*($DN55&lt;&gt;$DO55) + $B$19*($DN55=$DO55))</f>
        <v>3.3333333333333331E-3</v>
      </c>
      <c r="EB55" s="10" cm="1">
        <f t="array" aca="1" ref="EB55" ca="1">(1-$B$18)*SUMPRODUCT(OFFSET($BO$15,0,0,$B$14,1), 1*(_xlfn._xlws.FILTER(OFFSET($O$15,0,$DN55,$B$8,1),OFFSET($M$15,0,0,$B$8,1))=EB$13), 1*(_xlfn._xlws.FILTER(OFFSET($O$15,0,$DO55,$B$8,1),OFFSET($M$15,0,0,$B$8,1))=EB$14))   /   SUM(OFFSET($BO$15,0,0,$B$14,1)) + $B$18/($B$19*$B$19*($DN55&lt;&gt;$DO55) + $B$19*($DN55=$DO55))</f>
        <v>3.3333333333333331E-3</v>
      </c>
      <c r="EC55" s="10" cm="1">
        <f t="array" aca="1" ref="EC55" ca="1">(1-$B$18)*SUMPRODUCT(OFFSET($BO$15,0,0,$B$14,1), 1*(_xlfn._xlws.FILTER(OFFSET($O$15,0,$DN55,$B$8,1),OFFSET($M$15,0,0,$B$8,1))=EC$13), 1*(_xlfn._xlws.FILTER(OFFSET($O$15,0,$DO55,$B$8,1),OFFSET($M$15,0,0,$B$8,1))=EC$14))   /   SUM(OFFSET($BO$15,0,0,$B$14,1)) + $B$18/($B$19*$B$19*($DN55&lt;&gt;$DO55) + $B$19*($DN55=$DO55))</f>
        <v>3.3333333333333331E-3</v>
      </c>
      <c r="ED55" s="10" cm="1">
        <f t="array" aca="1" ref="ED55" ca="1">(1-$B$18)*SUMPRODUCT(OFFSET($BO$15,0,0,$B$14,1), 1*(_xlfn._xlws.FILTER(OFFSET($O$15,0,$DN55,$B$8,1),OFFSET($M$15,0,0,$B$8,1))=ED$13), 1*(_xlfn._xlws.FILTER(OFFSET($O$15,0,$DO55,$B$8,1),OFFSET($M$15,0,0,$B$8,1))=ED$14))   /   SUM(OFFSET($BO$15,0,0,$B$14,1)) + $B$18/($B$19*$B$19*($DN55&lt;&gt;$DO55) + $B$19*($DN55=$DO55))</f>
        <v>3.3333333333333331E-3</v>
      </c>
      <c r="EE55" s="10" cm="1">
        <f t="array" aca="1" ref="EE55" ca="1">(1-$B$18)*SUMPRODUCT(OFFSET($BO$15,0,0,$B$14,1), 1*(_xlfn._xlws.FILTER(OFFSET($O$15,0,$DN55,$B$8,1),OFFSET($M$15,0,0,$B$8,1))=EE$13), 1*(_xlfn._xlws.FILTER(OFFSET($O$15,0,$DO55,$B$8,1),OFFSET($M$15,0,0,$B$8,1))=EE$14))   /   SUM(OFFSET($BO$15,0,0,$B$14,1)) + $B$18/($B$19*$B$19*($DN55&lt;&gt;$DO55) + $B$19*($DN55=$DO55))</f>
        <v>3.3333333333333331E-3</v>
      </c>
      <c r="EF55" s="10" cm="1">
        <f t="array" aca="1" ref="EF55" ca="1">(1-$B$18)*SUMPRODUCT(OFFSET($BO$15,0,0,$B$14,1), 1*(_xlfn._xlws.FILTER(OFFSET($O$15,0,$DN55,$B$8,1),OFFSET($M$15,0,0,$B$8,1))=EF$13), 1*(_xlfn._xlws.FILTER(OFFSET($O$15,0,$DO55,$B$8,1),OFFSET($M$15,0,0,$B$8,1))=EF$14))   /   SUM(OFFSET($BO$15,0,0,$B$14,1)) + $B$18/($B$19*$B$19*($DN55&lt;&gt;$DO55) + $B$19*($DN55=$DO55))</f>
        <v>3.3333333333333331E-3</v>
      </c>
      <c r="EG55" s="10" cm="1">
        <f t="array" aca="1" ref="EG55" ca="1">(1-$B$18)*SUMPRODUCT(OFFSET($BO$15,0,0,$B$14,1), 1*(_xlfn._xlws.FILTER(OFFSET($O$15,0,$DN55,$B$8,1),OFFSET($M$15,0,0,$B$8,1))=EG$13), 1*(_xlfn._xlws.FILTER(OFFSET($O$15,0,$DO55,$B$8,1),OFFSET($M$15,0,0,$B$8,1))=EG$14))   /   SUM(OFFSET($BO$15,0,0,$B$14,1)) + $B$18/($B$19*$B$19*($DN55&lt;&gt;$DO55) + $B$19*($DN55=$DO55))</f>
        <v>3.3333333333333331E-3</v>
      </c>
      <c r="EH55" s="10" cm="1">
        <f t="array" aca="1" ref="EH55" ca="1">(1-$B$18)*SUMPRODUCT(OFFSET($BO$15,0,0,$B$14,1), 1*(_xlfn._xlws.FILTER(OFFSET($O$15,0,$DN55,$B$8,1),OFFSET($M$15,0,0,$B$8,1))=EH$13), 1*(_xlfn._xlws.FILTER(OFFSET($O$15,0,$DO55,$B$8,1),OFFSET($M$15,0,0,$B$8,1))=EH$14))   /   SUM(OFFSET($BO$15,0,0,$B$14,1)) + $B$18/($B$19*$B$19*($DN55&lt;&gt;$DO55) + $B$19*($DN55=$DO55))</f>
        <v>3.3333333333333331E-3</v>
      </c>
      <c r="EI55" s="10" cm="1">
        <f t="array" aca="1" ref="EI55" ca="1">(1-$B$18)*SUMPRODUCT(OFFSET($BO$15,0,0,$B$14,1), 1*(_xlfn._xlws.FILTER(OFFSET($O$15,0,$DN55,$B$8,1),OFFSET($M$15,0,0,$B$8,1))=EI$13), 1*(_xlfn._xlws.FILTER(OFFSET($O$15,0,$DO55,$B$8,1),OFFSET($M$15,0,0,$B$8,1))=EI$14))   /   SUM(OFFSET($BO$15,0,0,$B$14,1)) + $B$18/($B$19*$B$19*($DN55&lt;&gt;$DO55) + $B$19*($DN55=$DO55))</f>
        <v>3.3333333333333331E-3</v>
      </c>
      <c r="EJ55" s="10" cm="1">
        <f t="array" aca="1" ref="EJ55" ca="1">(1-$B$18)*SUMPRODUCT(OFFSET($BO$15,0,0,$B$14,1), 1*(_xlfn._xlws.FILTER(OFFSET($O$15,0,$DN55,$B$8,1),OFFSET($M$15,0,0,$B$8,1))=EJ$13), 1*(_xlfn._xlws.FILTER(OFFSET($O$15,0,$DO55,$B$8,1),OFFSET($M$15,0,0,$B$8,1))=EJ$14))   /   SUM(OFFSET($BO$15,0,0,$B$14,1)) + $B$18/($B$19*$B$19*($DN55&lt;&gt;$DO55) + $B$19*($DN55=$DO55))</f>
        <v>3.3333333333333331E-3</v>
      </c>
      <c r="EK55" s="10" cm="1">
        <f t="array" aca="1" ref="EK55" ca="1">(1-$B$18)*SUMPRODUCT(OFFSET($BO$15,0,0,$B$14,1), 1*(_xlfn._xlws.FILTER(OFFSET($O$15,0,$DN55,$B$8,1),OFFSET($M$15,0,0,$B$8,1))=EK$13), 1*(_xlfn._xlws.FILTER(OFFSET($O$15,0,$DO55,$B$8,1),OFFSET($M$15,0,0,$B$8,1))=EK$14))   /   SUM(OFFSET($BO$15,0,0,$B$14,1)) + $B$18/($B$19*$B$19*($DN55&lt;&gt;$DO55) + $B$19*($DN55=$DO55))</f>
        <v>3.3333333333333331E-3</v>
      </c>
      <c r="EL55" s="10" cm="1">
        <f t="array" aca="1" ref="EL55" ca="1">(1-$B$18)*SUMPRODUCT(OFFSET($BO$15,0,0,$B$14,1), 1*(_xlfn._xlws.FILTER(OFFSET($O$15,0,$DN55,$B$8,1),OFFSET($M$15,0,0,$B$8,1))=EL$13), 1*(_xlfn._xlws.FILTER(OFFSET($O$15,0,$DO55,$B$8,1),OFFSET($M$15,0,0,$B$8,1))=EL$14))   /   SUM(OFFSET($BO$15,0,0,$B$14,1)) + $B$18/($B$19*$B$19*($DN55&lt;&gt;$DO55) + $B$19*($DN55=$DO55))</f>
        <v>3.3333333333333331E-3</v>
      </c>
      <c r="EM55" s="10" cm="1">
        <f t="array" aca="1" ref="EM55" ca="1">(1-$B$18)*SUMPRODUCT(OFFSET($BO$15,0,0,$B$14,1), 1*(_xlfn._xlws.FILTER(OFFSET($O$15,0,$DN55,$B$8,1),OFFSET($M$15,0,0,$B$8,1))=EM$13), 1*(_xlfn._xlws.FILTER(OFFSET($O$15,0,$DO55,$B$8,1),OFFSET($M$15,0,0,$B$8,1))=EM$14))   /   SUM(OFFSET($BO$15,0,0,$B$14,1)) + $B$18/($B$19*$B$19*($DN55&lt;&gt;$DO55) + $B$19*($DN55=$DO55))</f>
        <v>3.3333333333333331E-3</v>
      </c>
      <c r="EN55" s="10" cm="1">
        <f t="array" aca="1" ref="EN55" ca="1">(1-$B$18)*SUMPRODUCT(OFFSET($BO$15,0,0,$B$14,1), 1*(_xlfn._xlws.FILTER(OFFSET($O$15,0,$DN55,$B$8,1),OFFSET($M$15,0,0,$B$8,1))=EN$13), 1*(_xlfn._xlws.FILTER(OFFSET($O$15,0,$DO55,$B$8,1),OFFSET($M$15,0,0,$B$8,1))=EN$14))   /   SUM(OFFSET($BO$15,0,0,$B$14,1)) + $B$18/($B$19*$B$19*($DN55&lt;&gt;$DO55) + $B$19*($DN55=$DO55))</f>
        <v>3.3333333333333331E-3</v>
      </c>
      <c r="EO55" s="10" cm="1">
        <f t="array" aca="1" ref="EO55" ca="1">(1-$B$18)*SUMPRODUCT(OFFSET($BO$15,0,0,$B$14,1), 1*(_xlfn._xlws.FILTER(OFFSET($O$15,0,$DN55,$B$8,1),OFFSET($M$15,0,0,$B$8,1))=EO$13), 1*(_xlfn._xlws.FILTER(OFFSET($O$15,0,$DO55,$B$8,1),OFFSET($M$15,0,0,$B$8,1))=EO$14))   /   SUM(OFFSET($BO$15,0,0,$B$14,1)) + $B$18/($B$19*$B$19*($DN55&lt;&gt;$DO55) + $B$19*($DN55=$DO55))</f>
        <v>3.3333333333333331E-3</v>
      </c>
      <c r="EP55" s="10" cm="1">
        <f t="array" aca="1" ref="EP55" ca="1">(1-$B$18)*SUMPRODUCT(OFFSET($BO$15,0,0,$B$14,1), 1*(_xlfn._xlws.FILTER(OFFSET($O$15,0,$DN55,$B$8,1),OFFSET($M$15,0,0,$B$8,1))=EP$13), 1*(_xlfn._xlws.FILTER(OFFSET($O$15,0,$DO55,$B$8,1),OFFSET($M$15,0,0,$B$8,1))=EP$14))   /   SUM(OFFSET($BO$15,0,0,$B$14,1)) + $B$18/($B$19*$B$19*($DN55&lt;&gt;$DO55) + $B$19*($DN55=$DO55))</f>
        <v>3.3333333333333331E-3</v>
      </c>
      <c r="EQ55" s="10" cm="1">
        <f t="array" aca="1" ref="EQ55" ca="1">(1-$B$18)*SUMPRODUCT(OFFSET($BO$15,0,0,$B$14,1), 1*(_xlfn._xlws.FILTER(OFFSET($O$15,0,$DN55,$B$8,1),OFFSET($M$15,0,0,$B$8,1))=EQ$13), 1*(_xlfn._xlws.FILTER(OFFSET($O$15,0,$DO55,$B$8,1),OFFSET($M$15,0,0,$B$8,1))=EQ$14))   /   SUM(OFFSET($BO$15,0,0,$B$14,1)) + $B$18/($B$19*$B$19*($DN55&lt;&gt;$DO55) + $B$19*($DN55=$DO55))</f>
        <v>3.3333333333333331E-3</v>
      </c>
      <c r="ER55" s="10" cm="1">
        <f t="array" aca="1" ref="ER55" ca="1">(1-$B$18)*SUMPRODUCT(OFFSET($BO$15,0,0,$B$14,1), 1*(_xlfn._xlws.FILTER(OFFSET($O$15,0,$DN55,$B$8,1),OFFSET($M$15,0,0,$B$8,1))=ER$13), 1*(_xlfn._xlws.FILTER(OFFSET($O$15,0,$DO55,$B$8,1),OFFSET($M$15,0,0,$B$8,1))=ER$14))   /   SUM(OFFSET($BO$15,0,0,$B$14,1)) + $B$18/($B$19*$B$19*($DN55&lt;&gt;$DO55) + $B$19*($DN55=$DO55))</f>
        <v>3.3333333333333331E-3</v>
      </c>
      <c r="ES55" s="10" cm="1">
        <f t="array" aca="1" ref="ES55" ca="1">(1-$B$18)*SUMPRODUCT(OFFSET($BO$15,0,0,$B$14,1), 1*(_xlfn._xlws.FILTER(OFFSET($O$15,0,$DN55,$B$8,1),OFFSET($M$15,0,0,$B$8,1))=ES$13), 1*(_xlfn._xlws.FILTER(OFFSET($O$15,0,$DO55,$B$8,1),OFFSET($M$15,0,0,$B$8,1))=ES$14))   /   SUM(OFFSET($BO$15,0,0,$B$14,1)) + $B$18/($B$19*$B$19*($DN55&lt;&gt;$DO55) + $B$19*($DN55=$DO55))</f>
        <v>3.3333333333333331E-3</v>
      </c>
      <c r="ET55" s="10" cm="1">
        <f t="array" aca="1" ref="ET55" ca="1">(1-$B$18)*SUMPRODUCT(OFFSET($BO$15,0,0,$B$14,1), 1*(_xlfn._xlws.FILTER(OFFSET($O$15,0,$DN55,$B$8,1),OFFSET($M$15,0,0,$B$8,1))=ET$13), 1*(_xlfn._xlws.FILTER(OFFSET($O$15,0,$DO55,$B$8,1),OFFSET($M$15,0,0,$B$8,1))=ET$14))   /   SUM(OFFSET($BO$15,0,0,$B$14,1)) + $B$18/($B$19*$B$19*($DN55&lt;&gt;$DO55) + $B$19*($DN55=$DO55))</f>
        <v>3.3333333333333331E-3</v>
      </c>
      <c r="EU55" s="10" cm="1">
        <f t="array" aca="1" ref="EU55" ca="1">(1-$B$18)*SUMPRODUCT(OFFSET($BO$15,0,0,$B$14,1), 1*(_xlfn._xlws.FILTER(OFFSET($O$15,0,$DN55,$B$8,1),OFFSET($M$15,0,0,$B$8,1))=EU$13), 1*(_xlfn._xlws.FILTER(OFFSET($O$15,0,$DO55,$B$8,1),OFFSET($M$15,0,0,$B$8,1))=EU$14))   /   SUM(OFFSET($BO$15,0,0,$B$14,1)) + $B$18/($B$19*$B$19*($DN55&lt;&gt;$DO55) + $B$19*($DN55=$DO55))</f>
        <v>3.3333333333333331E-3</v>
      </c>
      <c r="EV55" s="10" cm="1">
        <f t="array" aca="1" ref="EV55" ca="1">(1-$B$18)*SUMPRODUCT(OFFSET($BO$15,0,0,$B$14,1), 1*(_xlfn._xlws.FILTER(OFFSET($O$15,0,$DN55,$B$8,1),OFFSET($M$15,0,0,$B$8,1))=EV$13), 1*(_xlfn._xlws.FILTER(OFFSET($O$15,0,$DO55,$B$8,1),OFFSET($M$15,0,0,$B$8,1))=EV$14))   /   SUM(OFFSET($BO$15,0,0,$B$14,1)) + $B$18/($B$19*$B$19*($DN55&lt;&gt;$DO55) + $B$19*($DN55=$DO55))</f>
        <v>3.3333333333333331E-3</v>
      </c>
      <c r="EW55" s="10" cm="1">
        <f t="array" aca="1" ref="EW55" ca="1">(1-$B$18)*SUMPRODUCT(OFFSET($BO$15,0,0,$B$14,1), 1*(_xlfn._xlws.FILTER(OFFSET($O$15,0,$DN55,$B$8,1),OFFSET($M$15,0,0,$B$8,1))=EW$13), 1*(_xlfn._xlws.FILTER(OFFSET($O$15,0,$DO55,$B$8,1),OFFSET($M$15,0,0,$B$8,1))=EW$14))   /   SUM(OFFSET($BO$15,0,0,$B$14,1)) + $B$18/($B$19*$B$19*($DN55&lt;&gt;$DO55) + $B$19*($DN55=$DO55))</f>
        <v>3.3333333333333331E-3</v>
      </c>
      <c r="EX55" s="10" cm="1">
        <f t="array" aca="1" ref="EX55" ca="1">(1-$B$18)*SUMPRODUCT(OFFSET($BO$15,0,0,$B$14,1), 1*(_xlfn._xlws.FILTER(OFFSET($O$15,0,$DN55,$B$8,1),OFFSET($M$15,0,0,$B$8,1))=EX$13), 1*(_xlfn._xlws.FILTER(OFFSET($O$15,0,$DO55,$B$8,1),OFFSET($M$15,0,0,$B$8,1))=EX$14))   /   SUM(OFFSET($BO$15,0,0,$B$14,1)) + $B$18/($B$19*$B$19*($DN55&lt;&gt;$DO55) + $B$19*($DN55=$DO55))</f>
        <v>3.3333333333333331E-3</v>
      </c>
      <c r="EY55" s="10" cm="1">
        <f t="array" aca="1" ref="EY55" ca="1">(1-$B$18)*SUMPRODUCT(OFFSET($BO$15,0,0,$B$14,1), 1*(_xlfn._xlws.FILTER(OFFSET($O$15,0,$DN55,$B$8,1),OFFSET($M$15,0,0,$B$8,1))=EY$13), 1*(_xlfn._xlws.FILTER(OFFSET($O$15,0,$DO55,$B$8,1),OFFSET($M$15,0,0,$B$8,1))=EY$14))   /   SUM(OFFSET($BO$15,0,0,$B$14,1)) + $B$18/($B$19*$B$19*($DN55&lt;&gt;$DO55) + $B$19*($DN55=$DO55))</f>
        <v>3.3333333333333331E-3</v>
      </c>
      <c r="EZ55" s="10" cm="1">
        <f t="array" aca="1" ref="EZ55" ca="1">(1-$B$18)*SUMPRODUCT(OFFSET($BO$15,0,0,$B$14,1), 1*(_xlfn._xlws.FILTER(OFFSET($O$15,0,$DN55,$B$8,1),OFFSET($M$15,0,0,$B$8,1))=EZ$13), 1*(_xlfn._xlws.FILTER(OFFSET($O$15,0,$DO55,$B$8,1),OFFSET($M$15,0,0,$B$8,1))=EZ$14))   /   SUM(OFFSET($BO$15,0,0,$B$14,1)) + $B$18/($B$19*$B$19*($DN55&lt;&gt;$DO55) + $B$19*($DN55=$DO55))</f>
        <v>3.3333333333333331E-3</v>
      </c>
      <c r="FA55" s="10" cm="1">
        <f t="array" aca="1" ref="FA55" ca="1">(1-$B$18)*SUMPRODUCT(OFFSET($BO$15,0,0,$B$14,1), 1*(_xlfn._xlws.FILTER(OFFSET($O$15,0,$DN55,$B$8,1),OFFSET($M$15,0,0,$B$8,1))=FA$13), 1*(_xlfn._xlws.FILTER(OFFSET($O$15,0,$DO55,$B$8,1),OFFSET($M$15,0,0,$B$8,1))=FA$14))   /   SUM(OFFSET($BO$15,0,0,$B$14,1)) + $B$18/($B$19*$B$19*($DN55&lt;&gt;$DO55) + $B$19*($DN55=$DO55))</f>
        <v>3.3333333333333331E-3</v>
      </c>
      <c r="FB55" s="10" cm="1">
        <f t="array" aca="1" ref="FB55" ca="1">(1-$B$18)*SUMPRODUCT(OFFSET($BO$15,0,0,$B$14,1), 1*(_xlfn._xlws.FILTER(OFFSET($O$15,0,$DN55,$B$8,1),OFFSET($M$15,0,0,$B$8,1))=FB$13), 1*(_xlfn._xlws.FILTER(OFFSET($O$15,0,$DO55,$B$8,1),OFFSET($M$15,0,0,$B$8,1))=FB$14))   /   SUM(OFFSET($BO$15,0,0,$B$14,1)) + $B$18/($B$19*$B$19*($DN55&lt;&gt;$DO55) + $B$19*($DN55=$DO55))</f>
        <v>3.3333333333333331E-3</v>
      </c>
      <c r="FC55" s="10" cm="1">
        <f t="array" aca="1" ref="FC55" ca="1">(1-$B$18)*SUMPRODUCT(OFFSET($BO$15,0,0,$B$14,1), 1*(_xlfn._xlws.FILTER(OFFSET($O$15,0,$DN55,$B$8,1),OFFSET($M$15,0,0,$B$8,1))=FC$13), 1*(_xlfn._xlws.FILTER(OFFSET($O$15,0,$DO55,$B$8,1),OFFSET($M$15,0,0,$B$8,1))=FC$14))   /   SUM(OFFSET($BO$15,0,0,$B$14,1)) + $B$18/($B$19*$B$19*($DN55&lt;&gt;$DO55) + $B$19*($DN55=$DO55))</f>
        <v>3.3333333333333331E-3</v>
      </c>
      <c r="FD55" s="10" cm="1">
        <f t="array" aca="1" ref="FD55" ca="1">(1-$B$18)*SUMPRODUCT(OFFSET($BO$15,0,0,$B$14,1), 1*(_xlfn._xlws.FILTER(OFFSET($O$15,0,$DN55,$B$8,1),OFFSET($M$15,0,0,$B$8,1))=FD$13), 1*(_xlfn._xlws.FILTER(OFFSET($O$15,0,$DO55,$B$8,1),OFFSET($M$15,0,0,$B$8,1))=FD$14))   /   SUM(OFFSET($BO$15,0,0,$B$14,1)) + $B$18/($B$19*$B$19*($DN55&lt;&gt;$DO55) + $B$19*($DN55=$DO55))</f>
        <v>3.3333333333333331E-3</v>
      </c>
      <c r="FE55" s="10" cm="1">
        <f t="array" aca="1" ref="FE55" ca="1">(1-$B$18)*SUMPRODUCT(OFFSET($BO$15,0,0,$B$14,1), 1*(_xlfn._xlws.FILTER(OFFSET($O$15,0,$DN55,$B$8,1),OFFSET($M$15,0,0,$B$8,1))=FE$13), 1*(_xlfn._xlws.FILTER(OFFSET($O$15,0,$DO55,$B$8,1),OFFSET($M$15,0,0,$B$8,1))=FE$14))   /   SUM(OFFSET($BO$15,0,0,$B$14,1)) + $B$18/($B$19*$B$19*($DN55&lt;&gt;$DO55) + $B$19*($DN55=$DO55))</f>
        <v>3.3333333333333331E-3</v>
      </c>
      <c r="FF55" s="10" cm="1">
        <f t="array" aca="1" ref="FF55" ca="1">(1-$B$18)*SUMPRODUCT(OFFSET($BO$15,0,0,$B$14,1), 1*(_xlfn._xlws.FILTER(OFFSET($O$15,0,$DN55,$B$8,1),OFFSET($M$15,0,0,$B$8,1))=FF$13), 1*(_xlfn._xlws.FILTER(OFFSET($O$15,0,$DO55,$B$8,1),OFFSET($M$15,0,0,$B$8,1))=FF$14))   /   SUM(OFFSET($BO$15,0,0,$B$14,1)) + $B$18/($B$19*$B$19*($DN55&lt;&gt;$DO55) + $B$19*($DN55=$DO55))</f>
        <v>3.3333333333333331E-3</v>
      </c>
      <c r="FG55" s="10" cm="1">
        <f t="array" aca="1" ref="FG55" ca="1">(1-$B$18)*SUMPRODUCT(OFFSET($BO$15,0,0,$B$14,1), 1*(_xlfn._xlws.FILTER(OFFSET($O$15,0,$DN55,$B$8,1),OFFSET($M$15,0,0,$B$8,1))=FG$13), 1*(_xlfn._xlws.FILTER(OFFSET($O$15,0,$DO55,$B$8,1),OFFSET($M$15,0,0,$B$8,1))=FG$14))   /   SUM(OFFSET($BO$15,0,0,$B$14,1)) + $B$18/($B$19*$B$19*($DN55&lt;&gt;$DO55) + $B$19*($DN55=$DO55))</f>
        <v>3.3333333333333331E-3</v>
      </c>
      <c r="FH55" s="10" cm="1">
        <f t="array" aca="1" ref="FH55" ca="1">(1-$B$18)*SUMPRODUCT(OFFSET($BO$15,0,0,$B$14,1), 1*(_xlfn._xlws.FILTER(OFFSET($O$15,0,$DN55,$B$8,1),OFFSET($M$15,0,0,$B$8,1))=FH$13), 1*(_xlfn._xlws.FILTER(OFFSET($O$15,0,$DO55,$B$8,1),OFFSET($M$15,0,0,$B$8,1))=FH$14))   /   SUM(OFFSET($BO$15,0,0,$B$14,1)) + $B$18/($B$19*$B$19*($DN55&lt;&gt;$DO55) + $B$19*($DN55=$DO55))</f>
        <v>3.3333333333333331E-3</v>
      </c>
      <c r="FI55" s="10" cm="1">
        <f t="array" aca="1" ref="FI55" ca="1">(1-$B$18)*SUMPRODUCT(OFFSET($BO$15,0,0,$B$14,1), 1*(_xlfn._xlws.FILTER(OFFSET($O$15,0,$DN55,$B$8,1),OFFSET($M$15,0,0,$B$8,1))=FI$13), 1*(_xlfn._xlws.FILTER(OFFSET($O$15,0,$DO55,$B$8,1),OFFSET($M$15,0,0,$B$8,1))=FI$14))   /   SUM(OFFSET($BO$15,0,0,$B$14,1)) + $B$18/($B$19*$B$19*($DN55&lt;&gt;$DO55) + $B$19*($DN55=$DO55))</f>
        <v>3.3333333333333331E-3</v>
      </c>
      <c r="FJ55" s="10" cm="1">
        <f t="array" aca="1" ref="FJ55" ca="1">(1-$B$18)*SUMPRODUCT(OFFSET($BO$15,0,0,$B$14,1), 1*(_xlfn._xlws.FILTER(OFFSET($O$15,0,$DN55,$B$8,1),OFFSET($M$15,0,0,$B$8,1))=FJ$13), 1*(_xlfn._xlws.FILTER(OFFSET($O$15,0,$DO55,$B$8,1),OFFSET($M$15,0,0,$B$8,1))=FJ$14))   /   SUM(OFFSET($BO$15,0,0,$B$14,1)) + $B$18/($B$19*$B$19*($DN55&lt;&gt;$DO55) + $B$19*($DN55=$DO55))</f>
        <v>3.3333333333333331E-3</v>
      </c>
      <c r="FK55" s="10" cm="1">
        <f t="array" aca="1" ref="FK55" ca="1">(1-$B$18)*SUMPRODUCT(OFFSET($BO$15,0,0,$B$14,1), 1*(_xlfn._xlws.FILTER(OFFSET($O$15,0,$DN55,$B$8,1),OFFSET($M$15,0,0,$B$8,1))=FK$13), 1*(_xlfn._xlws.FILTER(OFFSET($O$15,0,$DO55,$B$8,1),OFFSET($M$15,0,0,$B$8,1))=FK$14))   /   SUM(OFFSET($BO$15,0,0,$B$14,1)) + $B$18/($B$19*$B$19*($DN55&lt;&gt;$DO55) + $B$19*($DN55=$DO55))</f>
        <v>3.3333333333333331E-3</v>
      </c>
      <c r="FL55" s="10" cm="1">
        <f t="array" aca="1" ref="FL55" ca="1">(1-$B$18)*SUMPRODUCT(OFFSET($BO$15,0,0,$B$14,1), 1*(_xlfn._xlws.FILTER(OFFSET($O$15,0,$DN55,$B$8,1),OFFSET($M$15,0,0,$B$8,1))=FL$13), 1*(_xlfn._xlws.FILTER(OFFSET($O$15,0,$DO55,$B$8,1),OFFSET($M$15,0,0,$B$8,1))=FL$14))   /   SUM(OFFSET($BO$15,0,0,$B$14,1)) + $B$18/($B$19*$B$19*($DN55&lt;&gt;$DO55) + $B$19*($DN55=$DO55))</f>
        <v>3.3333333333333331E-3</v>
      </c>
      <c r="FM55" s="10" cm="1">
        <f t="array" aca="1" ref="FM55" ca="1">(1-$B$18)*SUMPRODUCT(OFFSET($BO$15,0,0,$B$14,1), 1*(_xlfn._xlws.FILTER(OFFSET($O$15,0,$DN55,$B$8,1),OFFSET($M$15,0,0,$B$8,1))=FM$13), 1*(_xlfn._xlws.FILTER(OFFSET($O$15,0,$DO55,$B$8,1),OFFSET($M$15,0,0,$B$8,1))=FM$14))   /   SUM(OFFSET($BO$15,0,0,$B$14,1)) + $B$18/($B$19*$B$19*($DN55&lt;&gt;$DO55) + $B$19*($DN55=$DO55))</f>
        <v>3.3333333333333331E-3</v>
      </c>
      <c r="FN55" s="10" cm="1">
        <f t="array" aca="1" ref="FN55" ca="1">(1-$B$18)*SUMPRODUCT(OFFSET($BO$15,0,0,$B$14,1), 1*(_xlfn._xlws.FILTER(OFFSET($O$15,0,$DN55,$B$8,1),OFFSET($M$15,0,0,$B$8,1))=FN$13), 1*(_xlfn._xlws.FILTER(OFFSET($O$15,0,$DO55,$B$8,1),OFFSET($M$15,0,0,$B$8,1))=FN$14))   /   SUM(OFFSET($BO$15,0,0,$B$14,1)) + $B$18/($B$19*$B$19*($DN55&lt;&gt;$DO55) + $B$19*($DN55=$DO55))</f>
        <v>3.3333333333333331E-3</v>
      </c>
      <c r="FO55" s="10" cm="1">
        <f t="array" aca="1" ref="FO55" ca="1">(1-$B$18)*SUMPRODUCT(OFFSET($BO$15,0,0,$B$14,1), 1*(_xlfn._xlws.FILTER(OFFSET($O$15,0,$DN55,$B$8,1),OFFSET($M$15,0,0,$B$8,1))=FO$13), 1*(_xlfn._xlws.FILTER(OFFSET($O$15,0,$DO55,$B$8,1),OFFSET($M$15,0,0,$B$8,1))=FO$14))   /   SUM(OFFSET($BO$15,0,0,$B$14,1)) + $B$18/($B$19*$B$19*($DN55&lt;&gt;$DO55) + $B$19*($DN55=$DO55))</f>
        <v>3.3333333333333331E-3</v>
      </c>
      <c r="FP55" s="10" cm="1">
        <f t="array" aca="1" ref="FP55" ca="1">(1-$B$18)*SUMPRODUCT(OFFSET($BO$15,0,0,$B$14,1), 1*(_xlfn._xlws.FILTER(OFFSET($O$15,0,$DN55,$B$8,1),OFFSET($M$15,0,0,$B$8,1))=FP$13), 1*(_xlfn._xlws.FILTER(OFFSET($O$15,0,$DO55,$B$8,1),OFFSET($M$15,0,0,$B$8,1))=FP$14))   /   SUM(OFFSET($BO$15,0,0,$B$14,1)) + $B$18/($B$19*$B$19*($DN55&lt;&gt;$DO55) + $B$19*($DN55=$DO55))</f>
        <v>3.3333333333333331E-3</v>
      </c>
      <c r="FQ55" s="10" cm="1">
        <f t="array" aca="1" ref="FQ55" ca="1">(1-$B$18)*SUMPRODUCT(OFFSET($BO$15,0,0,$B$14,1), 1*(_xlfn._xlws.FILTER(OFFSET($O$15,0,$DN55,$B$8,1),OFFSET($M$15,0,0,$B$8,1))=FQ$13), 1*(_xlfn._xlws.FILTER(OFFSET($O$15,0,$DO55,$B$8,1),OFFSET($M$15,0,0,$B$8,1))=FQ$14))   /   SUM(OFFSET($BO$15,0,0,$B$14,1)) + $B$18/($B$19*$B$19*($DN55&lt;&gt;$DO55) + $B$19*($DN55=$DO55))</f>
        <v>3.3333333333333331E-3</v>
      </c>
      <c r="FR55" s="10" cm="1">
        <f t="array" aca="1" ref="FR55" ca="1">(1-$B$18)*SUMPRODUCT(OFFSET($BO$15,0,0,$B$14,1), 1*(_xlfn._xlws.FILTER(OFFSET($O$15,0,$DN55,$B$8,1),OFFSET($M$15,0,0,$B$8,1))=FR$13), 1*(_xlfn._xlws.FILTER(OFFSET($O$15,0,$DO55,$B$8,1),OFFSET($M$15,0,0,$B$8,1))=FR$14))   /   SUM(OFFSET($BO$15,0,0,$B$14,1)) + $B$18/($B$19*$B$19*($DN55&lt;&gt;$DO55) + $B$19*($DN55=$DO55))</f>
        <v>0.97333333333333327</v>
      </c>
      <c r="FS55" s="10" cm="1">
        <f t="array" aca="1" ref="FS55" ca="1">(1-$B$18)*SUMPRODUCT(OFFSET($BO$15,0,0,$B$14,1), 1*(_xlfn._xlws.FILTER(OFFSET($O$15,0,$DN55,$B$8,1),OFFSET($M$15,0,0,$B$8,1))=FS$13), 1*(_xlfn._xlws.FILTER(OFFSET($O$15,0,$DO55,$B$8,1),OFFSET($M$15,0,0,$B$8,1))=FS$14))   /   SUM(OFFSET($BO$15,0,0,$B$14,1)) + $B$18/($B$19*$B$19*($DN55&lt;&gt;$DO55) + $B$19*($DN55=$DO55))</f>
        <v>3.3333333333333331E-3</v>
      </c>
      <c r="FT55" s="10" cm="1">
        <f t="array" aca="1" ref="FT55" ca="1">(1-$B$18)*SUMPRODUCT(OFFSET($BO$15,0,0,$B$14,1), 1*(_xlfn._xlws.FILTER(OFFSET($O$15,0,$DN55,$B$8,1),OFFSET($M$15,0,0,$B$8,1))=FT$13), 1*(_xlfn._xlws.FILTER(OFFSET($O$15,0,$DO55,$B$8,1),OFFSET($M$15,0,0,$B$8,1))=FT$14))   /   SUM(OFFSET($BO$15,0,0,$B$14,1)) + $B$18/($B$19*$B$19*($DN55&lt;&gt;$DO55) + $B$19*($DN55=$DO55))</f>
        <v>3.3333333333333331E-3</v>
      </c>
      <c r="FU55" s="10" cm="1">
        <f t="array" aca="1" ref="FU55" ca="1">(1-$B$18)*SUMPRODUCT(OFFSET($BO$15,0,0,$B$14,1), 1*(_xlfn._xlws.FILTER(OFFSET($O$15,0,$DN55,$B$8,1),OFFSET($M$15,0,0,$B$8,1))=FU$13), 1*(_xlfn._xlws.FILTER(OFFSET($O$15,0,$DO55,$B$8,1),OFFSET($M$15,0,0,$B$8,1))=FU$14))   /   SUM(OFFSET($BO$15,0,0,$B$14,1)) + $B$18/($B$19*$B$19*($DN55&lt;&gt;$DO55) + $B$19*($DN55=$DO55))</f>
        <v>3.3333333333333331E-3</v>
      </c>
      <c r="FV55" s="10" cm="1">
        <f t="array" aca="1" ref="FV55" ca="1">(1-$B$18)*SUMPRODUCT(OFFSET($BO$15,0,0,$B$14,1), 1*(_xlfn._xlws.FILTER(OFFSET($O$15,0,$DN55,$B$8,1),OFFSET($M$15,0,0,$B$8,1))=FV$13), 1*(_xlfn._xlws.FILTER(OFFSET($O$15,0,$DO55,$B$8,1),OFFSET($M$15,0,0,$B$8,1))=FV$14))   /   SUM(OFFSET($BO$15,0,0,$B$14,1)) + $B$18/($B$19*$B$19*($DN55&lt;&gt;$DO55) + $B$19*($DN55=$DO55))</f>
        <v>3.3333333333333331E-3</v>
      </c>
      <c r="FW55" s="10" cm="1">
        <f t="array" aca="1" ref="FW55" ca="1">(1-$B$18)*SUMPRODUCT(OFFSET($BO$15,0,0,$B$14,1), 1*(_xlfn._xlws.FILTER(OFFSET($O$15,0,$DN55,$B$8,1),OFFSET($M$15,0,0,$B$8,1))=FW$13), 1*(_xlfn._xlws.FILTER(OFFSET($O$15,0,$DO55,$B$8,1),OFFSET($M$15,0,0,$B$8,1))=FW$14))   /   SUM(OFFSET($BO$15,0,0,$B$14,1)) + $B$18/($B$19*$B$19*($DN55&lt;&gt;$DO55) + $B$19*($DN55=$DO55))</f>
        <v>3.3333333333333331E-3</v>
      </c>
      <c r="FX55" s="10" cm="1">
        <f t="array" aca="1" ref="FX55" ca="1">(1-$B$18)*SUMPRODUCT(OFFSET($BO$15,0,0,$B$14,1), 1*(_xlfn._xlws.FILTER(OFFSET($O$15,0,$DN55,$B$8,1),OFFSET($M$15,0,0,$B$8,1))=FX$13), 1*(_xlfn._xlws.FILTER(OFFSET($O$15,0,$DO55,$B$8,1),OFFSET($M$15,0,0,$B$8,1))=FX$14))   /   SUM(OFFSET($BO$15,0,0,$B$14,1)) + $B$18/($B$19*$B$19*($DN55&lt;&gt;$DO55) + $B$19*($DN55=$DO55))</f>
        <v>3.3333333333333331E-3</v>
      </c>
      <c r="FY55" s="10" cm="1">
        <f t="array" aca="1" ref="FY55" ca="1">(1-$B$18)*SUMPRODUCT(OFFSET($BO$15,0,0,$B$14,1), 1*(_xlfn._xlws.FILTER(OFFSET($O$15,0,$DN55,$B$8,1),OFFSET($M$15,0,0,$B$8,1))=FY$13), 1*(_xlfn._xlws.FILTER(OFFSET($O$15,0,$DO55,$B$8,1),OFFSET($M$15,0,0,$B$8,1))=FY$14))   /   SUM(OFFSET($BO$15,0,0,$B$14,1)) + $B$18/($B$19*$B$19*($DN55&lt;&gt;$DO55) + $B$19*($DN55=$DO55))</f>
        <v>3.3333333333333331E-3</v>
      </c>
      <c r="FZ55" s="10" cm="1">
        <f t="array" aca="1" ref="FZ55" ca="1">(1-$B$18)*SUMPRODUCT(OFFSET($BO$15,0,0,$B$14,1), 1*(_xlfn._xlws.FILTER(OFFSET($O$15,0,$DN55,$B$8,1),OFFSET($M$15,0,0,$B$8,1))=FZ$13), 1*(_xlfn._xlws.FILTER(OFFSET($O$15,0,$DO55,$B$8,1),OFFSET($M$15,0,0,$B$8,1))=FZ$14))   /   SUM(OFFSET($BO$15,0,0,$B$14,1)) + $B$18/($B$19*$B$19*($DN55&lt;&gt;$DO55) + $B$19*($DN55=$DO55))</f>
        <v>3.3333333333333331E-3</v>
      </c>
      <c r="GA55" s="10" cm="1">
        <f t="array" aca="1" ref="GA55" ca="1">(1-$B$18)*SUMPRODUCT(OFFSET($BO$15,0,0,$B$14,1), 1*(_xlfn._xlws.FILTER(OFFSET($O$15,0,$DN55,$B$8,1),OFFSET($M$15,0,0,$B$8,1))=GA$13), 1*(_xlfn._xlws.FILTER(OFFSET($O$15,0,$DO55,$B$8,1),OFFSET($M$15,0,0,$B$8,1))=GA$14))   /   SUM(OFFSET($BO$15,0,0,$B$14,1)) + $B$18/($B$19*$B$19*($DN55&lt;&gt;$DO55) + $B$19*($DN55=$DO55))</f>
        <v>3.3333333333333331E-3</v>
      </c>
    </row>
    <row r="56" spans="5:183" x14ac:dyDescent="0.2">
      <c r="AK56" s="2"/>
      <c r="AL56" s="2"/>
      <c r="CX56">
        <f ca="1"/>
        <v>0.1</v>
      </c>
      <c r="CY56">
        <f ca="1"/>
        <v>0</v>
      </c>
      <c r="DN56" cm="1">
        <f t="array" aca="1" ref="DN56" ca="1">INDEX(_xlfn.ANCHORARRAY($CP$15), 1 + INT((ROWS($DO$15:$DO56) - 1) / ROWS(_xlfn.ANCHORARRAY($CP$15))))</f>
        <v>2</v>
      </c>
      <c r="DO56" cm="1">
        <f t="array" aca="1" ref="DO56" ca="1">INDEX(_xlfn.ANCHORARRAY($CP$15),1+MOD(ROWS($DO$15:$DO56)-1,ROWS(_xlfn.ANCHORARRAY($CP$15))))</f>
        <v>3</v>
      </c>
      <c r="DP56" s="10" cm="1">
        <f t="array" aca="1" ref="DP56" ca="1">(1-$B$18)*SUMPRODUCT(OFFSET($BO$15,0,0,$B$14,1), 1*(_xlfn._xlws.FILTER(OFFSET($O$15,0,$DN56,$B$8,1),OFFSET($M$15,0,0,$B$8,1))=DP$13), 1*(_xlfn._xlws.FILTER(OFFSET($O$15,0,$DO56,$B$8,1),OFFSET($M$15,0,0,$B$8,1))=DP$14))   /   SUM(OFFSET($BO$15,0,0,$B$14,1)) + $B$18/($B$19*$B$19*($DN56&lt;&gt;$DO56) + $B$19*($DN56=$DO56))</f>
        <v>3.7037037037037035E-4</v>
      </c>
      <c r="DQ56" s="10" cm="1">
        <f t="array" aca="1" ref="DQ56" ca="1">(1-$B$18)*SUMPRODUCT(OFFSET($BO$15,0,0,$B$14,1), 1*(_xlfn._xlws.FILTER(OFFSET($O$15,0,$DN56,$B$8,1),OFFSET($M$15,0,0,$B$8,1))=DQ$13), 1*(_xlfn._xlws.FILTER(OFFSET($O$15,0,$DO56,$B$8,1),OFFSET($M$15,0,0,$B$8,1))=DQ$14))   /   SUM(OFFSET($BO$15,0,0,$B$14,1)) + $B$18/($B$19*$B$19*($DN56&lt;&gt;$DO56) + $B$19*($DN56=$DO56))</f>
        <v>3.7037037037037035E-4</v>
      </c>
      <c r="DR56" s="10" cm="1">
        <f t="array" aca="1" ref="DR56" ca="1">(1-$B$18)*SUMPRODUCT(OFFSET($BO$15,0,0,$B$14,1), 1*(_xlfn._xlws.FILTER(OFFSET($O$15,0,$DN56,$B$8,1),OFFSET($M$15,0,0,$B$8,1))=DR$13), 1*(_xlfn._xlws.FILTER(OFFSET($O$15,0,$DO56,$B$8,1),OFFSET($M$15,0,0,$B$8,1))=DR$14))   /   SUM(OFFSET($BO$15,0,0,$B$14,1)) + $B$18/($B$19*$B$19*($DN56&lt;&gt;$DO56) + $B$19*($DN56=$DO56))</f>
        <v>3.7037037037037035E-4</v>
      </c>
      <c r="DS56" s="10" cm="1">
        <f t="array" aca="1" ref="DS56" ca="1">(1-$B$18)*SUMPRODUCT(OFFSET($BO$15,0,0,$B$14,1), 1*(_xlfn._xlws.FILTER(OFFSET($O$15,0,$DN56,$B$8,1),OFFSET($M$15,0,0,$B$8,1))=DS$13), 1*(_xlfn._xlws.FILTER(OFFSET($O$15,0,$DO56,$B$8,1),OFFSET($M$15,0,0,$B$8,1))=DS$14))   /   SUM(OFFSET($BO$15,0,0,$B$14,1)) + $B$18/($B$19*$B$19*($DN56&lt;&gt;$DO56) + $B$19*($DN56=$DO56))</f>
        <v>3.7037037037037035E-4</v>
      </c>
      <c r="DT56" s="10" cm="1">
        <f t="array" aca="1" ref="DT56" ca="1">(1-$B$18)*SUMPRODUCT(OFFSET($BO$15,0,0,$B$14,1), 1*(_xlfn._xlws.FILTER(OFFSET($O$15,0,$DN56,$B$8,1),OFFSET($M$15,0,0,$B$8,1))=DT$13), 1*(_xlfn._xlws.FILTER(OFFSET($O$15,0,$DO56,$B$8,1),OFFSET($M$15,0,0,$B$8,1))=DT$14))   /   SUM(OFFSET($BO$15,0,0,$B$14,1)) + $B$18/($B$19*$B$19*($DN56&lt;&gt;$DO56) + $B$19*($DN56=$DO56))</f>
        <v>3.7037037037037035E-4</v>
      </c>
      <c r="DU56" s="10" cm="1">
        <f t="array" aca="1" ref="DU56" ca="1">(1-$B$18)*SUMPRODUCT(OFFSET($BO$15,0,0,$B$14,1), 1*(_xlfn._xlws.FILTER(OFFSET($O$15,0,$DN56,$B$8,1),OFFSET($M$15,0,0,$B$8,1))=DU$13), 1*(_xlfn._xlws.FILTER(OFFSET($O$15,0,$DO56,$B$8,1),OFFSET($M$15,0,0,$B$8,1))=DU$14))   /   SUM(OFFSET($BO$15,0,0,$B$14,1)) + $B$18/($B$19*$B$19*($DN56&lt;&gt;$DO56) + $B$19*($DN56=$DO56))</f>
        <v>3.7037037037037035E-4</v>
      </c>
      <c r="DV56" s="10" cm="1">
        <f t="array" aca="1" ref="DV56" ca="1">(1-$B$18)*SUMPRODUCT(OFFSET($BO$15,0,0,$B$14,1), 1*(_xlfn._xlws.FILTER(OFFSET($O$15,0,$DN56,$B$8,1),OFFSET($M$15,0,0,$B$8,1))=DV$13), 1*(_xlfn._xlws.FILTER(OFFSET($O$15,0,$DO56,$B$8,1),OFFSET($M$15,0,0,$B$8,1))=DV$14))   /   SUM(OFFSET($BO$15,0,0,$B$14,1)) + $B$18/($B$19*$B$19*($DN56&lt;&gt;$DO56) + $B$19*($DN56=$DO56))</f>
        <v>3.7037037037037035E-4</v>
      </c>
      <c r="DW56" s="10" cm="1">
        <f t="array" aca="1" ref="DW56" ca="1">(1-$B$18)*SUMPRODUCT(OFFSET($BO$15,0,0,$B$14,1), 1*(_xlfn._xlws.FILTER(OFFSET($O$15,0,$DN56,$B$8,1),OFFSET($M$15,0,0,$B$8,1))=DW$13), 1*(_xlfn._xlws.FILTER(OFFSET($O$15,0,$DO56,$B$8,1),OFFSET($M$15,0,0,$B$8,1))=DW$14))   /   SUM(OFFSET($BO$15,0,0,$B$14,1)) + $B$18/($B$19*$B$19*($DN56&lt;&gt;$DO56) + $B$19*($DN56=$DO56))</f>
        <v>3.7037037037037035E-4</v>
      </c>
      <c r="DX56" s="10" cm="1">
        <f t="array" aca="1" ref="DX56" ca="1">(1-$B$18)*SUMPRODUCT(OFFSET($BO$15,0,0,$B$14,1), 1*(_xlfn._xlws.FILTER(OFFSET($O$15,0,$DN56,$B$8,1),OFFSET($M$15,0,0,$B$8,1))=DX$13), 1*(_xlfn._xlws.FILTER(OFFSET($O$15,0,$DO56,$B$8,1),OFFSET($M$15,0,0,$B$8,1))=DX$14))   /   SUM(OFFSET($BO$15,0,0,$B$14,1)) + $B$18/($B$19*$B$19*($DN56&lt;&gt;$DO56) + $B$19*($DN56=$DO56))</f>
        <v>3.7037037037037035E-4</v>
      </c>
      <c r="DY56" s="10" cm="1">
        <f t="array" aca="1" ref="DY56" ca="1">(1-$B$18)*SUMPRODUCT(OFFSET($BO$15,0,0,$B$14,1), 1*(_xlfn._xlws.FILTER(OFFSET($O$15,0,$DN56,$B$8,1),OFFSET($M$15,0,0,$B$8,1))=DY$13), 1*(_xlfn._xlws.FILTER(OFFSET($O$15,0,$DO56,$B$8,1),OFFSET($M$15,0,0,$B$8,1))=DY$14))   /   SUM(OFFSET($BO$15,0,0,$B$14,1)) + $B$18/($B$19*$B$19*($DN56&lt;&gt;$DO56) + $B$19*($DN56=$DO56))</f>
        <v>3.7037037037037035E-4</v>
      </c>
      <c r="DZ56" s="10" cm="1">
        <f t="array" aca="1" ref="DZ56" ca="1">(1-$B$18)*SUMPRODUCT(OFFSET($BO$15,0,0,$B$14,1), 1*(_xlfn._xlws.FILTER(OFFSET($O$15,0,$DN56,$B$8,1),OFFSET($M$15,0,0,$B$8,1))=DZ$13), 1*(_xlfn._xlws.FILTER(OFFSET($O$15,0,$DO56,$B$8,1),OFFSET($M$15,0,0,$B$8,1))=DZ$14))   /   SUM(OFFSET($BO$15,0,0,$B$14,1)) + $B$18/($B$19*$B$19*($DN56&lt;&gt;$DO56) + $B$19*($DN56=$DO56))</f>
        <v>3.7037037037037035E-4</v>
      </c>
      <c r="EA56" s="10" cm="1">
        <f t="array" aca="1" ref="EA56" ca="1">(1-$B$18)*SUMPRODUCT(OFFSET($BO$15,0,0,$B$14,1), 1*(_xlfn._xlws.FILTER(OFFSET($O$15,0,$DN56,$B$8,1),OFFSET($M$15,0,0,$B$8,1))=EA$13), 1*(_xlfn._xlws.FILTER(OFFSET($O$15,0,$DO56,$B$8,1),OFFSET($M$15,0,0,$B$8,1))=EA$14))   /   SUM(OFFSET($BO$15,0,0,$B$14,1)) + $B$18/($B$19*$B$19*($DN56&lt;&gt;$DO56) + $B$19*($DN56=$DO56))</f>
        <v>3.7037037037037035E-4</v>
      </c>
      <c r="EB56" s="10" cm="1">
        <f t="array" aca="1" ref="EB56" ca="1">(1-$B$18)*SUMPRODUCT(OFFSET($BO$15,0,0,$B$14,1), 1*(_xlfn._xlws.FILTER(OFFSET($O$15,0,$DN56,$B$8,1),OFFSET($M$15,0,0,$B$8,1))=EB$13), 1*(_xlfn._xlws.FILTER(OFFSET($O$15,0,$DO56,$B$8,1),OFFSET($M$15,0,0,$B$8,1))=EB$14))   /   SUM(OFFSET($BO$15,0,0,$B$14,1)) + $B$18/($B$19*$B$19*($DN56&lt;&gt;$DO56) + $B$19*($DN56=$DO56))</f>
        <v>3.7037037037037035E-4</v>
      </c>
      <c r="EC56" s="10" cm="1">
        <f t="array" aca="1" ref="EC56" ca="1">(1-$B$18)*SUMPRODUCT(OFFSET($BO$15,0,0,$B$14,1), 1*(_xlfn._xlws.FILTER(OFFSET($O$15,0,$DN56,$B$8,1),OFFSET($M$15,0,0,$B$8,1))=EC$13), 1*(_xlfn._xlws.FILTER(OFFSET($O$15,0,$DO56,$B$8,1),OFFSET($M$15,0,0,$B$8,1))=EC$14))   /   SUM(OFFSET($BO$15,0,0,$B$14,1)) + $B$18/($B$19*$B$19*($DN56&lt;&gt;$DO56) + $B$19*($DN56=$DO56))</f>
        <v>3.7037037037037035E-4</v>
      </c>
      <c r="ED56" s="10" cm="1">
        <f t="array" aca="1" ref="ED56" ca="1">(1-$B$18)*SUMPRODUCT(OFFSET($BO$15,0,0,$B$14,1), 1*(_xlfn._xlws.FILTER(OFFSET($O$15,0,$DN56,$B$8,1),OFFSET($M$15,0,0,$B$8,1))=ED$13), 1*(_xlfn._xlws.FILTER(OFFSET($O$15,0,$DO56,$B$8,1),OFFSET($M$15,0,0,$B$8,1))=ED$14))   /   SUM(OFFSET($BO$15,0,0,$B$14,1)) + $B$18/($B$19*$B$19*($DN56&lt;&gt;$DO56) + $B$19*($DN56=$DO56))</f>
        <v>3.7037037037037035E-4</v>
      </c>
      <c r="EE56" s="10" cm="1">
        <f t="array" aca="1" ref="EE56" ca="1">(1-$B$18)*SUMPRODUCT(OFFSET($BO$15,0,0,$B$14,1), 1*(_xlfn._xlws.FILTER(OFFSET($O$15,0,$DN56,$B$8,1),OFFSET($M$15,0,0,$B$8,1))=EE$13), 1*(_xlfn._xlws.FILTER(OFFSET($O$15,0,$DO56,$B$8,1),OFFSET($M$15,0,0,$B$8,1))=EE$14))   /   SUM(OFFSET($BO$15,0,0,$B$14,1)) + $B$18/($B$19*$B$19*($DN56&lt;&gt;$DO56) + $B$19*($DN56=$DO56))</f>
        <v>3.7037037037037035E-4</v>
      </c>
      <c r="EF56" s="10" cm="1">
        <f t="array" aca="1" ref="EF56" ca="1">(1-$B$18)*SUMPRODUCT(OFFSET($BO$15,0,0,$B$14,1), 1*(_xlfn._xlws.FILTER(OFFSET($O$15,0,$DN56,$B$8,1),OFFSET($M$15,0,0,$B$8,1))=EF$13), 1*(_xlfn._xlws.FILTER(OFFSET($O$15,0,$DO56,$B$8,1),OFFSET($M$15,0,0,$B$8,1))=EF$14))   /   SUM(OFFSET($BO$15,0,0,$B$14,1)) + $B$18/($B$19*$B$19*($DN56&lt;&gt;$DO56) + $B$19*($DN56=$DO56))</f>
        <v>3.7037037037037035E-4</v>
      </c>
      <c r="EG56" s="10" cm="1">
        <f t="array" aca="1" ref="EG56" ca="1">(1-$B$18)*SUMPRODUCT(OFFSET($BO$15,0,0,$B$14,1), 1*(_xlfn._xlws.FILTER(OFFSET($O$15,0,$DN56,$B$8,1),OFFSET($M$15,0,0,$B$8,1))=EG$13), 1*(_xlfn._xlws.FILTER(OFFSET($O$15,0,$DO56,$B$8,1),OFFSET($M$15,0,0,$B$8,1))=EG$14))   /   SUM(OFFSET($BO$15,0,0,$B$14,1)) + $B$18/($B$19*$B$19*($DN56&lt;&gt;$DO56) + $B$19*($DN56=$DO56))</f>
        <v>3.7037037037037035E-4</v>
      </c>
      <c r="EH56" s="10" cm="1">
        <f t="array" aca="1" ref="EH56" ca="1">(1-$B$18)*SUMPRODUCT(OFFSET($BO$15,0,0,$B$14,1), 1*(_xlfn._xlws.FILTER(OFFSET($O$15,0,$DN56,$B$8,1),OFFSET($M$15,0,0,$B$8,1))=EH$13), 1*(_xlfn._xlws.FILTER(OFFSET($O$15,0,$DO56,$B$8,1),OFFSET($M$15,0,0,$B$8,1))=EH$14))   /   SUM(OFFSET($BO$15,0,0,$B$14,1)) + $B$18/($B$19*$B$19*($DN56&lt;&gt;$DO56) + $B$19*($DN56=$DO56))</f>
        <v>3.7037037037037035E-4</v>
      </c>
      <c r="EI56" s="10" cm="1">
        <f t="array" aca="1" ref="EI56" ca="1">(1-$B$18)*SUMPRODUCT(OFFSET($BO$15,0,0,$B$14,1), 1*(_xlfn._xlws.FILTER(OFFSET($O$15,0,$DN56,$B$8,1),OFFSET($M$15,0,0,$B$8,1))=EI$13), 1*(_xlfn._xlws.FILTER(OFFSET($O$15,0,$DO56,$B$8,1),OFFSET($M$15,0,0,$B$8,1))=EI$14))   /   SUM(OFFSET($BO$15,0,0,$B$14,1)) + $B$18/($B$19*$B$19*($DN56&lt;&gt;$DO56) + $B$19*($DN56=$DO56))</f>
        <v>3.7037037037037035E-4</v>
      </c>
      <c r="EJ56" s="10" cm="1">
        <f t="array" aca="1" ref="EJ56" ca="1">(1-$B$18)*SUMPRODUCT(OFFSET($BO$15,0,0,$B$14,1), 1*(_xlfn._xlws.FILTER(OFFSET($O$15,0,$DN56,$B$8,1),OFFSET($M$15,0,0,$B$8,1))=EJ$13), 1*(_xlfn._xlws.FILTER(OFFSET($O$15,0,$DO56,$B$8,1),OFFSET($M$15,0,0,$B$8,1))=EJ$14))   /   SUM(OFFSET($BO$15,0,0,$B$14,1)) + $B$18/($B$19*$B$19*($DN56&lt;&gt;$DO56) + $B$19*($DN56=$DO56))</f>
        <v>3.7037037037037035E-4</v>
      </c>
      <c r="EK56" s="10" cm="1">
        <f t="array" aca="1" ref="EK56" ca="1">(1-$B$18)*SUMPRODUCT(OFFSET($BO$15,0,0,$B$14,1), 1*(_xlfn._xlws.FILTER(OFFSET($O$15,0,$DN56,$B$8,1),OFFSET($M$15,0,0,$B$8,1))=EK$13), 1*(_xlfn._xlws.FILTER(OFFSET($O$15,0,$DO56,$B$8,1),OFFSET($M$15,0,0,$B$8,1))=EK$14))   /   SUM(OFFSET($BO$15,0,0,$B$14,1)) + $B$18/($B$19*$B$19*($DN56&lt;&gt;$DO56) + $B$19*($DN56=$DO56))</f>
        <v>3.7037037037037035E-4</v>
      </c>
      <c r="EL56" s="10" cm="1">
        <f t="array" aca="1" ref="EL56" ca="1">(1-$B$18)*SUMPRODUCT(OFFSET($BO$15,0,0,$B$14,1), 1*(_xlfn._xlws.FILTER(OFFSET($O$15,0,$DN56,$B$8,1),OFFSET($M$15,0,0,$B$8,1))=EL$13), 1*(_xlfn._xlws.FILTER(OFFSET($O$15,0,$DO56,$B$8,1),OFFSET($M$15,0,0,$B$8,1))=EL$14))   /   SUM(OFFSET($BO$15,0,0,$B$14,1)) + $B$18/($B$19*$B$19*($DN56&lt;&gt;$DO56) + $B$19*($DN56=$DO56))</f>
        <v>3.7037037037037035E-4</v>
      </c>
      <c r="EM56" s="10" cm="1">
        <f t="array" aca="1" ref="EM56" ca="1">(1-$B$18)*SUMPRODUCT(OFFSET($BO$15,0,0,$B$14,1), 1*(_xlfn._xlws.FILTER(OFFSET($O$15,0,$DN56,$B$8,1),OFFSET($M$15,0,0,$B$8,1))=EM$13), 1*(_xlfn._xlws.FILTER(OFFSET($O$15,0,$DO56,$B$8,1),OFFSET($M$15,0,0,$B$8,1))=EM$14))   /   SUM(OFFSET($BO$15,0,0,$B$14,1)) + $B$18/($B$19*$B$19*($DN56&lt;&gt;$DO56) + $B$19*($DN56=$DO56))</f>
        <v>3.7037037037037035E-4</v>
      </c>
      <c r="EN56" s="10" cm="1">
        <f t="array" aca="1" ref="EN56" ca="1">(1-$B$18)*SUMPRODUCT(OFFSET($BO$15,0,0,$B$14,1), 1*(_xlfn._xlws.FILTER(OFFSET($O$15,0,$DN56,$B$8,1),OFFSET($M$15,0,0,$B$8,1))=EN$13), 1*(_xlfn._xlws.FILTER(OFFSET($O$15,0,$DO56,$B$8,1),OFFSET($M$15,0,0,$B$8,1))=EN$14))   /   SUM(OFFSET($BO$15,0,0,$B$14,1)) + $B$18/($B$19*$B$19*($DN56&lt;&gt;$DO56) + $B$19*($DN56=$DO56))</f>
        <v>3.7037037037037035E-4</v>
      </c>
      <c r="EO56" s="10" cm="1">
        <f t="array" aca="1" ref="EO56" ca="1">(1-$B$18)*SUMPRODUCT(OFFSET($BO$15,0,0,$B$14,1), 1*(_xlfn._xlws.FILTER(OFFSET($O$15,0,$DN56,$B$8,1),OFFSET($M$15,0,0,$B$8,1))=EO$13), 1*(_xlfn._xlws.FILTER(OFFSET($O$15,0,$DO56,$B$8,1),OFFSET($M$15,0,0,$B$8,1))=EO$14))   /   SUM(OFFSET($BO$15,0,0,$B$14,1)) + $B$18/($B$19*$B$19*($DN56&lt;&gt;$DO56) + $B$19*($DN56=$DO56))</f>
        <v>3.7037037037037035E-4</v>
      </c>
      <c r="EP56" s="10" cm="1">
        <f t="array" aca="1" ref="EP56" ca="1">(1-$B$18)*SUMPRODUCT(OFFSET($BO$15,0,0,$B$14,1), 1*(_xlfn._xlws.FILTER(OFFSET($O$15,0,$DN56,$B$8,1),OFFSET($M$15,0,0,$B$8,1))=EP$13), 1*(_xlfn._xlws.FILTER(OFFSET($O$15,0,$DO56,$B$8,1),OFFSET($M$15,0,0,$B$8,1))=EP$14))   /   SUM(OFFSET($BO$15,0,0,$B$14,1)) + $B$18/($B$19*$B$19*($DN56&lt;&gt;$DO56) + $B$19*($DN56=$DO56))</f>
        <v>3.7037037037037035E-4</v>
      </c>
      <c r="EQ56" s="10" cm="1">
        <f t="array" aca="1" ref="EQ56" ca="1">(1-$B$18)*SUMPRODUCT(OFFSET($BO$15,0,0,$B$14,1), 1*(_xlfn._xlws.FILTER(OFFSET($O$15,0,$DN56,$B$8,1),OFFSET($M$15,0,0,$B$8,1))=EQ$13), 1*(_xlfn._xlws.FILTER(OFFSET($O$15,0,$DO56,$B$8,1),OFFSET($M$15,0,0,$B$8,1))=EQ$14))   /   SUM(OFFSET($BO$15,0,0,$B$14,1)) + $B$18/($B$19*$B$19*($DN56&lt;&gt;$DO56) + $B$19*($DN56=$DO56))</f>
        <v>3.7037037037037035E-4</v>
      </c>
      <c r="ER56" s="10" cm="1">
        <f t="array" aca="1" ref="ER56" ca="1">(1-$B$18)*SUMPRODUCT(OFFSET($BO$15,0,0,$B$14,1), 1*(_xlfn._xlws.FILTER(OFFSET($O$15,0,$DN56,$B$8,1),OFFSET($M$15,0,0,$B$8,1))=ER$13), 1*(_xlfn._xlws.FILTER(OFFSET($O$15,0,$DO56,$B$8,1),OFFSET($M$15,0,0,$B$8,1))=ER$14))   /   SUM(OFFSET($BO$15,0,0,$B$14,1)) + $B$18/($B$19*$B$19*($DN56&lt;&gt;$DO56) + $B$19*($DN56=$DO56))</f>
        <v>3.7037037037037035E-4</v>
      </c>
      <c r="ES56" s="10" cm="1">
        <f t="array" aca="1" ref="ES56" ca="1">(1-$B$18)*SUMPRODUCT(OFFSET($BO$15,0,0,$B$14,1), 1*(_xlfn._xlws.FILTER(OFFSET($O$15,0,$DN56,$B$8,1),OFFSET($M$15,0,0,$B$8,1))=ES$13), 1*(_xlfn._xlws.FILTER(OFFSET($O$15,0,$DO56,$B$8,1),OFFSET($M$15,0,0,$B$8,1))=ES$14))   /   SUM(OFFSET($BO$15,0,0,$B$14,1)) + $B$18/($B$19*$B$19*($DN56&lt;&gt;$DO56) + $B$19*($DN56=$DO56))</f>
        <v>3.7037037037037035E-4</v>
      </c>
      <c r="ET56" s="10" cm="1">
        <f t="array" aca="1" ref="ET56" ca="1">(1-$B$18)*SUMPRODUCT(OFFSET($BO$15,0,0,$B$14,1), 1*(_xlfn._xlws.FILTER(OFFSET($O$15,0,$DN56,$B$8,1),OFFSET($M$15,0,0,$B$8,1))=ET$13), 1*(_xlfn._xlws.FILTER(OFFSET($O$15,0,$DO56,$B$8,1),OFFSET($M$15,0,0,$B$8,1))=ET$14))   /   SUM(OFFSET($BO$15,0,0,$B$14,1)) + $B$18/($B$19*$B$19*($DN56&lt;&gt;$DO56) + $B$19*($DN56=$DO56))</f>
        <v>3.7037037037037035E-4</v>
      </c>
      <c r="EU56" s="10" cm="1">
        <f t="array" aca="1" ref="EU56" ca="1">(1-$B$18)*SUMPRODUCT(OFFSET($BO$15,0,0,$B$14,1), 1*(_xlfn._xlws.FILTER(OFFSET($O$15,0,$DN56,$B$8,1),OFFSET($M$15,0,0,$B$8,1))=EU$13), 1*(_xlfn._xlws.FILTER(OFFSET($O$15,0,$DO56,$B$8,1),OFFSET($M$15,0,0,$B$8,1))=EU$14))   /   SUM(OFFSET($BO$15,0,0,$B$14,1)) + $B$18/($B$19*$B$19*($DN56&lt;&gt;$DO56) + $B$19*($DN56=$DO56))</f>
        <v>3.7037037037037035E-4</v>
      </c>
      <c r="EV56" s="10" cm="1">
        <f t="array" aca="1" ref="EV56" ca="1">(1-$B$18)*SUMPRODUCT(OFFSET($BO$15,0,0,$B$14,1), 1*(_xlfn._xlws.FILTER(OFFSET($O$15,0,$DN56,$B$8,1),OFFSET($M$15,0,0,$B$8,1))=EV$13), 1*(_xlfn._xlws.FILTER(OFFSET($O$15,0,$DO56,$B$8,1),OFFSET($M$15,0,0,$B$8,1))=EV$14))   /   SUM(OFFSET($BO$15,0,0,$B$14,1)) + $B$18/($B$19*$B$19*($DN56&lt;&gt;$DO56) + $B$19*($DN56=$DO56))</f>
        <v>3.7037037037037035E-4</v>
      </c>
      <c r="EW56" s="10" cm="1">
        <f t="array" aca="1" ref="EW56" ca="1">(1-$B$18)*SUMPRODUCT(OFFSET($BO$15,0,0,$B$14,1), 1*(_xlfn._xlws.FILTER(OFFSET($O$15,0,$DN56,$B$8,1),OFFSET($M$15,0,0,$B$8,1))=EW$13), 1*(_xlfn._xlws.FILTER(OFFSET($O$15,0,$DO56,$B$8,1),OFFSET($M$15,0,0,$B$8,1))=EW$14))   /   SUM(OFFSET($BO$15,0,0,$B$14,1)) + $B$18/($B$19*$B$19*($DN56&lt;&gt;$DO56) + $B$19*($DN56=$DO56))</f>
        <v>3.7037037037037035E-4</v>
      </c>
      <c r="EX56" s="10" cm="1">
        <f t="array" aca="1" ref="EX56" ca="1">(1-$B$18)*SUMPRODUCT(OFFSET($BO$15,0,0,$B$14,1), 1*(_xlfn._xlws.FILTER(OFFSET($O$15,0,$DN56,$B$8,1),OFFSET($M$15,0,0,$B$8,1))=EX$13), 1*(_xlfn._xlws.FILTER(OFFSET($O$15,0,$DO56,$B$8,1),OFFSET($M$15,0,0,$B$8,1))=EX$14))   /   SUM(OFFSET($BO$15,0,0,$B$14,1)) + $B$18/($B$19*$B$19*($DN56&lt;&gt;$DO56) + $B$19*($DN56=$DO56))</f>
        <v>3.7037037037037035E-4</v>
      </c>
      <c r="EY56" s="10" cm="1">
        <f t="array" aca="1" ref="EY56" ca="1">(1-$B$18)*SUMPRODUCT(OFFSET($BO$15,0,0,$B$14,1), 1*(_xlfn._xlws.FILTER(OFFSET($O$15,0,$DN56,$B$8,1),OFFSET($M$15,0,0,$B$8,1))=EY$13), 1*(_xlfn._xlws.FILTER(OFFSET($O$15,0,$DO56,$B$8,1),OFFSET($M$15,0,0,$B$8,1))=EY$14))   /   SUM(OFFSET($BO$15,0,0,$B$14,1)) + $B$18/($B$19*$B$19*($DN56&lt;&gt;$DO56) + $B$19*($DN56=$DO56))</f>
        <v>3.7037037037037035E-4</v>
      </c>
      <c r="EZ56" s="10" cm="1">
        <f t="array" aca="1" ref="EZ56" ca="1">(1-$B$18)*SUMPRODUCT(OFFSET($BO$15,0,0,$B$14,1), 1*(_xlfn._xlws.FILTER(OFFSET($O$15,0,$DN56,$B$8,1),OFFSET($M$15,0,0,$B$8,1))=EZ$13), 1*(_xlfn._xlws.FILTER(OFFSET($O$15,0,$DO56,$B$8,1),OFFSET($M$15,0,0,$B$8,1))=EZ$14))   /   SUM(OFFSET($BO$15,0,0,$B$14,1)) + $B$18/($B$19*$B$19*($DN56&lt;&gt;$DO56) + $B$19*($DN56=$DO56))</f>
        <v>3.7037037037037035E-4</v>
      </c>
      <c r="FA56" s="10" cm="1">
        <f t="array" aca="1" ref="FA56" ca="1">(1-$B$18)*SUMPRODUCT(OFFSET($BO$15,0,0,$B$14,1), 1*(_xlfn._xlws.FILTER(OFFSET($O$15,0,$DN56,$B$8,1),OFFSET($M$15,0,0,$B$8,1))=FA$13), 1*(_xlfn._xlws.FILTER(OFFSET($O$15,0,$DO56,$B$8,1),OFFSET($M$15,0,0,$B$8,1))=FA$14))   /   SUM(OFFSET($BO$15,0,0,$B$14,1)) + $B$18/($B$19*$B$19*($DN56&lt;&gt;$DO56) + $B$19*($DN56=$DO56))</f>
        <v>3.7037037037037035E-4</v>
      </c>
      <c r="FB56" s="10" cm="1">
        <f t="array" aca="1" ref="FB56" ca="1">(1-$B$18)*SUMPRODUCT(OFFSET($BO$15,0,0,$B$14,1), 1*(_xlfn._xlws.FILTER(OFFSET($O$15,0,$DN56,$B$8,1),OFFSET($M$15,0,0,$B$8,1))=FB$13), 1*(_xlfn._xlws.FILTER(OFFSET($O$15,0,$DO56,$B$8,1),OFFSET($M$15,0,0,$B$8,1))=FB$14))   /   SUM(OFFSET($BO$15,0,0,$B$14,1)) + $B$18/($B$19*$B$19*($DN56&lt;&gt;$DO56) + $B$19*($DN56=$DO56))</f>
        <v>3.7037037037037035E-4</v>
      </c>
      <c r="FC56" s="10" cm="1">
        <f t="array" aca="1" ref="FC56" ca="1">(1-$B$18)*SUMPRODUCT(OFFSET($BO$15,0,0,$B$14,1), 1*(_xlfn._xlws.FILTER(OFFSET($O$15,0,$DN56,$B$8,1),OFFSET($M$15,0,0,$B$8,1))=FC$13), 1*(_xlfn._xlws.FILTER(OFFSET($O$15,0,$DO56,$B$8,1),OFFSET($M$15,0,0,$B$8,1))=FC$14))   /   SUM(OFFSET($BO$15,0,0,$B$14,1)) + $B$18/($B$19*$B$19*($DN56&lt;&gt;$DO56) + $B$19*($DN56=$DO56))</f>
        <v>3.7037037037037035E-4</v>
      </c>
      <c r="FD56" s="10" cm="1">
        <f t="array" aca="1" ref="FD56" ca="1">(1-$B$18)*SUMPRODUCT(OFFSET($BO$15,0,0,$B$14,1), 1*(_xlfn._xlws.FILTER(OFFSET($O$15,0,$DN56,$B$8,1),OFFSET($M$15,0,0,$B$8,1))=FD$13), 1*(_xlfn._xlws.FILTER(OFFSET($O$15,0,$DO56,$B$8,1),OFFSET($M$15,0,0,$B$8,1))=FD$14))   /   SUM(OFFSET($BO$15,0,0,$B$14,1)) + $B$18/($B$19*$B$19*($DN56&lt;&gt;$DO56) + $B$19*($DN56=$DO56))</f>
        <v>3.7037037037037035E-4</v>
      </c>
      <c r="FE56" s="10" cm="1">
        <f t="array" aca="1" ref="FE56" ca="1">(1-$B$18)*SUMPRODUCT(OFFSET($BO$15,0,0,$B$14,1), 1*(_xlfn._xlws.FILTER(OFFSET($O$15,0,$DN56,$B$8,1),OFFSET($M$15,0,0,$B$8,1))=FE$13), 1*(_xlfn._xlws.FILTER(OFFSET($O$15,0,$DO56,$B$8,1),OFFSET($M$15,0,0,$B$8,1))=FE$14))   /   SUM(OFFSET($BO$15,0,0,$B$14,1)) + $B$18/($B$19*$B$19*($DN56&lt;&gt;$DO56) + $B$19*($DN56=$DO56))</f>
        <v>3.7037037037037035E-4</v>
      </c>
      <c r="FF56" s="10" cm="1">
        <f t="array" aca="1" ref="FF56" ca="1">(1-$B$18)*SUMPRODUCT(OFFSET($BO$15,0,0,$B$14,1), 1*(_xlfn._xlws.FILTER(OFFSET($O$15,0,$DN56,$B$8,1),OFFSET($M$15,0,0,$B$8,1))=FF$13), 1*(_xlfn._xlws.FILTER(OFFSET($O$15,0,$DO56,$B$8,1),OFFSET($M$15,0,0,$B$8,1))=FF$14))   /   SUM(OFFSET($BO$15,0,0,$B$14,1)) + $B$18/($B$19*$B$19*($DN56&lt;&gt;$DO56) + $B$19*($DN56=$DO56))</f>
        <v>3.7037037037037035E-4</v>
      </c>
      <c r="FG56" s="10" cm="1">
        <f t="array" aca="1" ref="FG56" ca="1">(1-$B$18)*SUMPRODUCT(OFFSET($BO$15,0,0,$B$14,1), 1*(_xlfn._xlws.FILTER(OFFSET($O$15,0,$DN56,$B$8,1),OFFSET($M$15,0,0,$B$8,1))=FG$13), 1*(_xlfn._xlws.FILTER(OFFSET($O$15,0,$DO56,$B$8,1),OFFSET($M$15,0,0,$B$8,1))=FG$14))   /   SUM(OFFSET($BO$15,0,0,$B$14,1)) + $B$18/($B$19*$B$19*($DN56&lt;&gt;$DO56) + $B$19*($DN56=$DO56))</f>
        <v>3.7037037037037035E-4</v>
      </c>
      <c r="FH56" s="10" cm="1">
        <f t="array" aca="1" ref="FH56" ca="1">(1-$B$18)*SUMPRODUCT(OFFSET($BO$15,0,0,$B$14,1), 1*(_xlfn._xlws.FILTER(OFFSET($O$15,0,$DN56,$B$8,1),OFFSET($M$15,0,0,$B$8,1))=FH$13), 1*(_xlfn._xlws.FILTER(OFFSET($O$15,0,$DO56,$B$8,1),OFFSET($M$15,0,0,$B$8,1))=FH$14))   /   SUM(OFFSET($BO$15,0,0,$B$14,1)) + $B$18/($B$19*$B$19*($DN56&lt;&gt;$DO56) + $B$19*($DN56=$DO56))</f>
        <v>3.7037037037037035E-4</v>
      </c>
      <c r="FI56" s="10" cm="1">
        <f t="array" aca="1" ref="FI56" ca="1">(1-$B$18)*SUMPRODUCT(OFFSET($BO$15,0,0,$B$14,1), 1*(_xlfn._xlws.FILTER(OFFSET($O$15,0,$DN56,$B$8,1),OFFSET($M$15,0,0,$B$8,1))=FI$13), 1*(_xlfn._xlws.FILTER(OFFSET($O$15,0,$DO56,$B$8,1),OFFSET($M$15,0,0,$B$8,1))=FI$14))   /   SUM(OFFSET($BO$15,0,0,$B$14,1)) + $B$18/($B$19*$B$19*($DN56&lt;&gt;$DO56) + $B$19*($DN56=$DO56))</f>
        <v>3.7037037037037035E-4</v>
      </c>
      <c r="FJ56" s="10" cm="1">
        <f t="array" aca="1" ref="FJ56" ca="1">(1-$B$18)*SUMPRODUCT(OFFSET($BO$15,0,0,$B$14,1), 1*(_xlfn._xlws.FILTER(OFFSET($O$15,0,$DN56,$B$8,1),OFFSET($M$15,0,0,$B$8,1))=FJ$13), 1*(_xlfn._xlws.FILTER(OFFSET($O$15,0,$DO56,$B$8,1),OFFSET($M$15,0,0,$B$8,1))=FJ$14))   /   SUM(OFFSET($BO$15,0,0,$B$14,1)) + $B$18/($B$19*$B$19*($DN56&lt;&gt;$DO56) + $B$19*($DN56=$DO56))</f>
        <v>3.7037037037037035E-4</v>
      </c>
      <c r="FK56" s="10" cm="1">
        <f t="array" aca="1" ref="FK56" ca="1">(1-$B$18)*SUMPRODUCT(OFFSET($BO$15,0,0,$B$14,1), 1*(_xlfn._xlws.FILTER(OFFSET($O$15,0,$DN56,$B$8,1),OFFSET($M$15,0,0,$B$8,1))=FK$13), 1*(_xlfn._xlws.FILTER(OFFSET($O$15,0,$DO56,$B$8,1),OFFSET($M$15,0,0,$B$8,1))=FK$14))   /   SUM(OFFSET($BO$15,0,0,$B$14,1)) + $B$18/($B$19*$B$19*($DN56&lt;&gt;$DO56) + $B$19*($DN56=$DO56))</f>
        <v>3.7037037037037035E-4</v>
      </c>
      <c r="FL56" s="10" cm="1">
        <f t="array" aca="1" ref="FL56" ca="1">(1-$B$18)*SUMPRODUCT(OFFSET($BO$15,0,0,$B$14,1), 1*(_xlfn._xlws.FILTER(OFFSET($O$15,0,$DN56,$B$8,1),OFFSET($M$15,0,0,$B$8,1))=FL$13), 1*(_xlfn._xlws.FILTER(OFFSET($O$15,0,$DO56,$B$8,1),OFFSET($M$15,0,0,$B$8,1))=FL$14))   /   SUM(OFFSET($BO$15,0,0,$B$14,1)) + $B$18/($B$19*$B$19*($DN56&lt;&gt;$DO56) + $B$19*($DN56=$DO56))</f>
        <v>3.7037037037037035E-4</v>
      </c>
      <c r="FM56" s="10" cm="1">
        <f t="array" aca="1" ref="FM56" ca="1">(1-$B$18)*SUMPRODUCT(OFFSET($BO$15,0,0,$B$14,1), 1*(_xlfn._xlws.FILTER(OFFSET($O$15,0,$DN56,$B$8,1),OFFSET($M$15,0,0,$B$8,1))=FM$13), 1*(_xlfn._xlws.FILTER(OFFSET($O$15,0,$DO56,$B$8,1),OFFSET($M$15,0,0,$B$8,1))=FM$14))   /   SUM(OFFSET($BO$15,0,0,$B$14,1)) + $B$18/($B$19*$B$19*($DN56&lt;&gt;$DO56) + $B$19*($DN56=$DO56))</f>
        <v>3.7037037037037035E-4</v>
      </c>
      <c r="FN56" s="10" cm="1">
        <f t="array" aca="1" ref="FN56" ca="1">(1-$B$18)*SUMPRODUCT(OFFSET($BO$15,0,0,$B$14,1), 1*(_xlfn._xlws.FILTER(OFFSET($O$15,0,$DN56,$B$8,1),OFFSET($M$15,0,0,$B$8,1))=FN$13), 1*(_xlfn._xlws.FILTER(OFFSET($O$15,0,$DO56,$B$8,1),OFFSET($M$15,0,0,$B$8,1))=FN$14))   /   SUM(OFFSET($BO$15,0,0,$B$14,1)) + $B$18/($B$19*$B$19*($DN56&lt;&gt;$DO56) + $B$19*($DN56=$DO56))</f>
        <v>3.7037037037037035E-4</v>
      </c>
      <c r="FO56" s="10" cm="1">
        <f t="array" aca="1" ref="FO56" ca="1">(1-$B$18)*SUMPRODUCT(OFFSET($BO$15,0,0,$B$14,1), 1*(_xlfn._xlws.FILTER(OFFSET($O$15,0,$DN56,$B$8,1),OFFSET($M$15,0,0,$B$8,1))=FO$13), 1*(_xlfn._xlws.FILTER(OFFSET($O$15,0,$DO56,$B$8,1),OFFSET($M$15,0,0,$B$8,1))=FO$14))   /   SUM(OFFSET($BO$15,0,0,$B$14,1)) + $B$18/($B$19*$B$19*($DN56&lt;&gt;$DO56) + $B$19*($DN56=$DO56))</f>
        <v>3.7037037037037035E-4</v>
      </c>
      <c r="FP56" s="10" cm="1">
        <f t="array" aca="1" ref="FP56" ca="1">(1-$B$18)*SUMPRODUCT(OFFSET($BO$15,0,0,$B$14,1), 1*(_xlfn._xlws.FILTER(OFFSET($O$15,0,$DN56,$B$8,1),OFFSET($M$15,0,0,$B$8,1))=FP$13), 1*(_xlfn._xlws.FILTER(OFFSET($O$15,0,$DO56,$B$8,1),OFFSET($M$15,0,0,$B$8,1))=FP$14))   /   SUM(OFFSET($BO$15,0,0,$B$14,1)) + $B$18/($B$19*$B$19*($DN56&lt;&gt;$DO56) + $B$19*($DN56=$DO56))</f>
        <v>3.7037037037037035E-4</v>
      </c>
      <c r="FQ56" s="10" cm="1">
        <f t="array" aca="1" ref="FQ56" ca="1">(1-$B$18)*SUMPRODUCT(OFFSET($BO$15,0,0,$B$14,1), 1*(_xlfn._xlws.FILTER(OFFSET($O$15,0,$DN56,$B$8,1),OFFSET($M$15,0,0,$B$8,1))=FQ$13), 1*(_xlfn._xlws.FILTER(OFFSET($O$15,0,$DO56,$B$8,1),OFFSET($M$15,0,0,$B$8,1))=FQ$14))   /   SUM(OFFSET($BO$15,0,0,$B$14,1)) + $B$18/($B$19*$B$19*($DN56&lt;&gt;$DO56) + $B$19*($DN56=$DO56))</f>
        <v>3.7037037037037035E-4</v>
      </c>
      <c r="FR56" s="10" cm="1">
        <f t="array" aca="1" ref="FR56" ca="1">(1-$B$18)*SUMPRODUCT(OFFSET($BO$15,0,0,$B$14,1), 1*(_xlfn._xlws.FILTER(OFFSET($O$15,0,$DN56,$B$8,1),OFFSET($M$15,0,0,$B$8,1))=FR$13), 1*(_xlfn._xlws.FILTER(OFFSET($O$15,0,$DO56,$B$8,1),OFFSET($M$15,0,0,$B$8,1))=FR$14))   /   SUM(OFFSET($BO$15,0,0,$B$14,1)) + $B$18/($B$19*$B$19*($DN56&lt;&gt;$DO56) + $B$19*($DN56=$DO56))</f>
        <v>0.97037037037037033</v>
      </c>
      <c r="FS56" s="10" cm="1">
        <f t="array" aca="1" ref="FS56" ca="1">(1-$B$18)*SUMPRODUCT(OFFSET($BO$15,0,0,$B$14,1), 1*(_xlfn._xlws.FILTER(OFFSET($O$15,0,$DN56,$B$8,1),OFFSET($M$15,0,0,$B$8,1))=FS$13), 1*(_xlfn._xlws.FILTER(OFFSET($O$15,0,$DO56,$B$8,1),OFFSET($M$15,0,0,$B$8,1))=FS$14))   /   SUM(OFFSET($BO$15,0,0,$B$14,1)) + $B$18/($B$19*$B$19*($DN56&lt;&gt;$DO56) + $B$19*($DN56=$DO56))</f>
        <v>3.7037037037037035E-4</v>
      </c>
      <c r="FT56" s="10" cm="1">
        <f t="array" aca="1" ref="FT56" ca="1">(1-$B$18)*SUMPRODUCT(OFFSET($BO$15,0,0,$B$14,1), 1*(_xlfn._xlws.FILTER(OFFSET($O$15,0,$DN56,$B$8,1),OFFSET($M$15,0,0,$B$8,1))=FT$13), 1*(_xlfn._xlws.FILTER(OFFSET($O$15,0,$DO56,$B$8,1),OFFSET($M$15,0,0,$B$8,1))=FT$14))   /   SUM(OFFSET($BO$15,0,0,$B$14,1)) + $B$18/($B$19*$B$19*($DN56&lt;&gt;$DO56) + $B$19*($DN56=$DO56))</f>
        <v>3.7037037037037035E-4</v>
      </c>
      <c r="FU56" s="10" cm="1">
        <f t="array" aca="1" ref="FU56" ca="1">(1-$B$18)*SUMPRODUCT(OFFSET($BO$15,0,0,$B$14,1), 1*(_xlfn._xlws.FILTER(OFFSET($O$15,0,$DN56,$B$8,1),OFFSET($M$15,0,0,$B$8,1))=FU$13), 1*(_xlfn._xlws.FILTER(OFFSET($O$15,0,$DO56,$B$8,1),OFFSET($M$15,0,0,$B$8,1))=FU$14))   /   SUM(OFFSET($BO$15,0,0,$B$14,1)) + $B$18/($B$19*$B$19*($DN56&lt;&gt;$DO56) + $B$19*($DN56=$DO56))</f>
        <v>3.7037037037037035E-4</v>
      </c>
      <c r="FV56" s="10" cm="1">
        <f t="array" aca="1" ref="FV56" ca="1">(1-$B$18)*SUMPRODUCT(OFFSET($BO$15,0,0,$B$14,1), 1*(_xlfn._xlws.FILTER(OFFSET($O$15,0,$DN56,$B$8,1),OFFSET($M$15,0,0,$B$8,1))=FV$13), 1*(_xlfn._xlws.FILTER(OFFSET($O$15,0,$DO56,$B$8,1),OFFSET($M$15,0,0,$B$8,1))=FV$14))   /   SUM(OFFSET($BO$15,0,0,$B$14,1)) + $B$18/($B$19*$B$19*($DN56&lt;&gt;$DO56) + $B$19*($DN56=$DO56))</f>
        <v>3.7037037037037035E-4</v>
      </c>
      <c r="FW56" s="10" cm="1">
        <f t="array" aca="1" ref="FW56" ca="1">(1-$B$18)*SUMPRODUCT(OFFSET($BO$15,0,0,$B$14,1), 1*(_xlfn._xlws.FILTER(OFFSET($O$15,0,$DN56,$B$8,1),OFFSET($M$15,0,0,$B$8,1))=FW$13), 1*(_xlfn._xlws.FILTER(OFFSET($O$15,0,$DO56,$B$8,1),OFFSET($M$15,0,0,$B$8,1))=FW$14))   /   SUM(OFFSET($BO$15,0,0,$B$14,1)) + $B$18/($B$19*$B$19*($DN56&lt;&gt;$DO56) + $B$19*($DN56=$DO56))</f>
        <v>3.7037037037037035E-4</v>
      </c>
      <c r="FX56" s="10" cm="1">
        <f t="array" aca="1" ref="FX56" ca="1">(1-$B$18)*SUMPRODUCT(OFFSET($BO$15,0,0,$B$14,1), 1*(_xlfn._xlws.FILTER(OFFSET($O$15,0,$DN56,$B$8,1),OFFSET($M$15,0,0,$B$8,1))=FX$13), 1*(_xlfn._xlws.FILTER(OFFSET($O$15,0,$DO56,$B$8,1),OFFSET($M$15,0,0,$B$8,1))=FX$14))   /   SUM(OFFSET($BO$15,0,0,$B$14,1)) + $B$18/($B$19*$B$19*($DN56&lt;&gt;$DO56) + $B$19*($DN56=$DO56))</f>
        <v>3.7037037037037035E-4</v>
      </c>
      <c r="FY56" s="10" cm="1">
        <f t="array" aca="1" ref="FY56" ca="1">(1-$B$18)*SUMPRODUCT(OFFSET($BO$15,0,0,$B$14,1), 1*(_xlfn._xlws.FILTER(OFFSET($O$15,0,$DN56,$B$8,1),OFFSET($M$15,0,0,$B$8,1))=FY$13), 1*(_xlfn._xlws.FILTER(OFFSET($O$15,0,$DO56,$B$8,1),OFFSET($M$15,0,0,$B$8,1))=FY$14))   /   SUM(OFFSET($BO$15,0,0,$B$14,1)) + $B$18/($B$19*$B$19*($DN56&lt;&gt;$DO56) + $B$19*($DN56=$DO56))</f>
        <v>3.7037037037037035E-4</v>
      </c>
      <c r="FZ56" s="10" cm="1">
        <f t="array" aca="1" ref="FZ56" ca="1">(1-$B$18)*SUMPRODUCT(OFFSET($BO$15,0,0,$B$14,1), 1*(_xlfn._xlws.FILTER(OFFSET($O$15,0,$DN56,$B$8,1),OFFSET($M$15,0,0,$B$8,1))=FZ$13), 1*(_xlfn._xlws.FILTER(OFFSET($O$15,0,$DO56,$B$8,1),OFFSET($M$15,0,0,$B$8,1))=FZ$14))   /   SUM(OFFSET($BO$15,0,0,$B$14,1)) + $B$18/($B$19*$B$19*($DN56&lt;&gt;$DO56) + $B$19*($DN56=$DO56))</f>
        <v>3.7037037037037035E-4</v>
      </c>
      <c r="GA56" s="10" cm="1">
        <f t="array" aca="1" ref="GA56" ca="1">(1-$B$18)*SUMPRODUCT(OFFSET($BO$15,0,0,$B$14,1), 1*(_xlfn._xlws.FILTER(OFFSET($O$15,0,$DN56,$B$8,1),OFFSET($M$15,0,0,$B$8,1))=GA$13), 1*(_xlfn._xlws.FILTER(OFFSET($O$15,0,$DO56,$B$8,1),OFFSET($M$15,0,0,$B$8,1))=GA$14))   /   SUM(OFFSET($BO$15,0,0,$B$14,1)) + $B$18/($B$19*$B$19*($DN56&lt;&gt;$DO56) + $B$19*($DN56=$DO56))</f>
        <v>3.7037037037037035E-4</v>
      </c>
    </row>
    <row r="57" spans="5:183" x14ac:dyDescent="0.2">
      <c r="AI57" s="4"/>
      <c r="AK57" s="2"/>
      <c r="AL57" s="2"/>
      <c r="CX57">
        <f ca="1"/>
        <v>0.1</v>
      </c>
      <c r="CY57">
        <f ca="1"/>
        <v>0</v>
      </c>
      <c r="DN57" cm="1">
        <f t="array" aca="1" ref="DN57" ca="1">INDEX(_xlfn.ANCHORARRAY($CP$15), 1 + INT((ROWS($DO$15:$DO57) - 1) / ROWS(_xlfn.ANCHORARRAY($CP$15))))</f>
        <v>2</v>
      </c>
      <c r="DO57" cm="1">
        <f t="array" aca="1" ref="DO57" ca="1">INDEX(_xlfn.ANCHORARRAY($CP$15),1+MOD(ROWS($DO$15:$DO57)-1,ROWS(_xlfn.ANCHORARRAY($CP$15))))</f>
        <v>4</v>
      </c>
      <c r="DP57" s="10" cm="1">
        <f t="array" aca="1" ref="DP57" ca="1">(1-$B$18)*SUMPRODUCT(OFFSET($BO$15,0,0,$B$14,1), 1*(_xlfn._xlws.FILTER(OFFSET($O$15,0,$DN57,$B$8,1),OFFSET($M$15,0,0,$B$8,1))=DP$13), 1*(_xlfn._xlws.FILTER(OFFSET($O$15,0,$DO57,$B$8,1),OFFSET($M$15,0,0,$B$8,1))=DP$14))   /   SUM(OFFSET($BO$15,0,0,$B$14,1)) + $B$18/($B$19*$B$19*($DN57&lt;&gt;$DO57) + $B$19*($DN57=$DO57))</f>
        <v>3.7037037037037035E-4</v>
      </c>
      <c r="DQ57" s="10" cm="1">
        <f t="array" aca="1" ref="DQ57" ca="1">(1-$B$18)*SUMPRODUCT(OFFSET($BO$15,0,0,$B$14,1), 1*(_xlfn._xlws.FILTER(OFFSET($O$15,0,$DN57,$B$8,1),OFFSET($M$15,0,0,$B$8,1))=DQ$13), 1*(_xlfn._xlws.FILTER(OFFSET($O$15,0,$DO57,$B$8,1),OFFSET($M$15,0,0,$B$8,1))=DQ$14))   /   SUM(OFFSET($BO$15,0,0,$B$14,1)) + $B$18/($B$19*$B$19*($DN57&lt;&gt;$DO57) + $B$19*($DN57=$DO57))</f>
        <v>3.7037037037037035E-4</v>
      </c>
      <c r="DR57" s="10" cm="1">
        <f t="array" aca="1" ref="DR57" ca="1">(1-$B$18)*SUMPRODUCT(OFFSET($BO$15,0,0,$B$14,1), 1*(_xlfn._xlws.FILTER(OFFSET($O$15,0,$DN57,$B$8,1),OFFSET($M$15,0,0,$B$8,1))=DR$13), 1*(_xlfn._xlws.FILTER(OFFSET($O$15,0,$DO57,$B$8,1),OFFSET($M$15,0,0,$B$8,1))=DR$14))   /   SUM(OFFSET($BO$15,0,0,$B$14,1)) + $B$18/($B$19*$B$19*($DN57&lt;&gt;$DO57) + $B$19*($DN57=$DO57))</f>
        <v>3.7037037037037035E-4</v>
      </c>
      <c r="DS57" s="10" cm="1">
        <f t="array" aca="1" ref="DS57" ca="1">(1-$B$18)*SUMPRODUCT(OFFSET($BO$15,0,0,$B$14,1), 1*(_xlfn._xlws.FILTER(OFFSET($O$15,0,$DN57,$B$8,1),OFFSET($M$15,0,0,$B$8,1))=DS$13), 1*(_xlfn._xlws.FILTER(OFFSET($O$15,0,$DO57,$B$8,1),OFFSET($M$15,0,0,$B$8,1))=DS$14))   /   SUM(OFFSET($BO$15,0,0,$B$14,1)) + $B$18/($B$19*$B$19*($DN57&lt;&gt;$DO57) + $B$19*($DN57=$DO57))</f>
        <v>3.7037037037037035E-4</v>
      </c>
      <c r="DT57" s="10" cm="1">
        <f t="array" aca="1" ref="DT57" ca="1">(1-$B$18)*SUMPRODUCT(OFFSET($BO$15,0,0,$B$14,1), 1*(_xlfn._xlws.FILTER(OFFSET($O$15,0,$DN57,$B$8,1),OFFSET($M$15,0,0,$B$8,1))=DT$13), 1*(_xlfn._xlws.FILTER(OFFSET($O$15,0,$DO57,$B$8,1),OFFSET($M$15,0,0,$B$8,1))=DT$14))   /   SUM(OFFSET($BO$15,0,0,$B$14,1)) + $B$18/($B$19*$B$19*($DN57&lt;&gt;$DO57) + $B$19*($DN57=$DO57))</f>
        <v>3.7037037037037035E-4</v>
      </c>
      <c r="DU57" s="10" cm="1">
        <f t="array" aca="1" ref="DU57" ca="1">(1-$B$18)*SUMPRODUCT(OFFSET($BO$15,0,0,$B$14,1), 1*(_xlfn._xlws.FILTER(OFFSET($O$15,0,$DN57,$B$8,1),OFFSET($M$15,0,0,$B$8,1))=DU$13), 1*(_xlfn._xlws.FILTER(OFFSET($O$15,0,$DO57,$B$8,1),OFFSET($M$15,0,0,$B$8,1))=DU$14))   /   SUM(OFFSET($BO$15,0,0,$B$14,1)) + $B$18/($B$19*$B$19*($DN57&lt;&gt;$DO57) + $B$19*($DN57=$DO57))</f>
        <v>3.7037037037037035E-4</v>
      </c>
      <c r="DV57" s="10" cm="1">
        <f t="array" aca="1" ref="DV57" ca="1">(1-$B$18)*SUMPRODUCT(OFFSET($BO$15,0,0,$B$14,1), 1*(_xlfn._xlws.FILTER(OFFSET($O$15,0,$DN57,$B$8,1),OFFSET($M$15,0,0,$B$8,1))=DV$13), 1*(_xlfn._xlws.FILTER(OFFSET($O$15,0,$DO57,$B$8,1),OFFSET($M$15,0,0,$B$8,1))=DV$14))   /   SUM(OFFSET($BO$15,0,0,$B$14,1)) + $B$18/($B$19*$B$19*($DN57&lt;&gt;$DO57) + $B$19*($DN57=$DO57))</f>
        <v>3.7037037037037035E-4</v>
      </c>
      <c r="DW57" s="10" cm="1">
        <f t="array" aca="1" ref="DW57" ca="1">(1-$B$18)*SUMPRODUCT(OFFSET($BO$15,0,0,$B$14,1), 1*(_xlfn._xlws.FILTER(OFFSET($O$15,0,$DN57,$B$8,1),OFFSET($M$15,0,0,$B$8,1))=DW$13), 1*(_xlfn._xlws.FILTER(OFFSET($O$15,0,$DO57,$B$8,1),OFFSET($M$15,0,0,$B$8,1))=DW$14))   /   SUM(OFFSET($BO$15,0,0,$B$14,1)) + $B$18/($B$19*$B$19*($DN57&lt;&gt;$DO57) + $B$19*($DN57=$DO57))</f>
        <v>3.7037037037037035E-4</v>
      </c>
      <c r="DX57" s="10" cm="1">
        <f t="array" aca="1" ref="DX57" ca="1">(1-$B$18)*SUMPRODUCT(OFFSET($BO$15,0,0,$B$14,1), 1*(_xlfn._xlws.FILTER(OFFSET($O$15,0,$DN57,$B$8,1),OFFSET($M$15,0,0,$B$8,1))=DX$13), 1*(_xlfn._xlws.FILTER(OFFSET($O$15,0,$DO57,$B$8,1),OFFSET($M$15,0,0,$B$8,1))=DX$14))   /   SUM(OFFSET($BO$15,0,0,$B$14,1)) + $B$18/($B$19*$B$19*($DN57&lt;&gt;$DO57) + $B$19*($DN57=$DO57))</f>
        <v>3.7037037037037035E-4</v>
      </c>
      <c r="DY57" s="10" cm="1">
        <f t="array" aca="1" ref="DY57" ca="1">(1-$B$18)*SUMPRODUCT(OFFSET($BO$15,0,0,$B$14,1), 1*(_xlfn._xlws.FILTER(OFFSET($O$15,0,$DN57,$B$8,1),OFFSET($M$15,0,0,$B$8,1))=DY$13), 1*(_xlfn._xlws.FILTER(OFFSET($O$15,0,$DO57,$B$8,1),OFFSET($M$15,0,0,$B$8,1))=DY$14))   /   SUM(OFFSET($BO$15,0,0,$B$14,1)) + $B$18/($B$19*$B$19*($DN57&lt;&gt;$DO57) + $B$19*($DN57=$DO57))</f>
        <v>3.7037037037037035E-4</v>
      </c>
      <c r="DZ57" s="10" cm="1">
        <f t="array" aca="1" ref="DZ57" ca="1">(1-$B$18)*SUMPRODUCT(OFFSET($BO$15,0,0,$B$14,1), 1*(_xlfn._xlws.FILTER(OFFSET($O$15,0,$DN57,$B$8,1),OFFSET($M$15,0,0,$B$8,1))=DZ$13), 1*(_xlfn._xlws.FILTER(OFFSET($O$15,0,$DO57,$B$8,1),OFFSET($M$15,0,0,$B$8,1))=DZ$14))   /   SUM(OFFSET($BO$15,0,0,$B$14,1)) + $B$18/($B$19*$B$19*($DN57&lt;&gt;$DO57) + $B$19*($DN57=$DO57))</f>
        <v>3.7037037037037035E-4</v>
      </c>
      <c r="EA57" s="10" cm="1">
        <f t="array" aca="1" ref="EA57" ca="1">(1-$B$18)*SUMPRODUCT(OFFSET($BO$15,0,0,$B$14,1), 1*(_xlfn._xlws.FILTER(OFFSET($O$15,0,$DN57,$B$8,1),OFFSET($M$15,0,0,$B$8,1))=EA$13), 1*(_xlfn._xlws.FILTER(OFFSET($O$15,0,$DO57,$B$8,1),OFFSET($M$15,0,0,$B$8,1))=EA$14))   /   SUM(OFFSET($BO$15,0,0,$B$14,1)) + $B$18/($B$19*$B$19*($DN57&lt;&gt;$DO57) + $B$19*($DN57=$DO57))</f>
        <v>3.7037037037037035E-4</v>
      </c>
      <c r="EB57" s="10" cm="1">
        <f t="array" aca="1" ref="EB57" ca="1">(1-$B$18)*SUMPRODUCT(OFFSET($BO$15,0,0,$B$14,1), 1*(_xlfn._xlws.FILTER(OFFSET($O$15,0,$DN57,$B$8,1),OFFSET($M$15,0,0,$B$8,1))=EB$13), 1*(_xlfn._xlws.FILTER(OFFSET($O$15,0,$DO57,$B$8,1),OFFSET($M$15,0,0,$B$8,1))=EB$14))   /   SUM(OFFSET($BO$15,0,0,$B$14,1)) + $B$18/($B$19*$B$19*($DN57&lt;&gt;$DO57) + $B$19*($DN57=$DO57))</f>
        <v>3.7037037037037035E-4</v>
      </c>
      <c r="EC57" s="10" cm="1">
        <f t="array" aca="1" ref="EC57" ca="1">(1-$B$18)*SUMPRODUCT(OFFSET($BO$15,0,0,$B$14,1), 1*(_xlfn._xlws.FILTER(OFFSET($O$15,0,$DN57,$B$8,1),OFFSET($M$15,0,0,$B$8,1))=EC$13), 1*(_xlfn._xlws.FILTER(OFFSET($O$15,0,$DO57,$B$8,1),OFFSET($M$15,0,0,$B$8,1))=EC$14))   /   SUM(OFFSET($BO$15,0,0,$B$14,1)) + $B$18/($B$19*$B$19*($DN57&lt;&gt;$DO57) + $B$19*($DN57=$DO57))</f>
        <v>3.7037037037037035E-4</v>
      </c>
      <c r="ED57" s="10" cm="1">
        <f t="array" aca="1" ref="ED57" ca="1">(1-$B$18)*SUMPRODUCT(OFFSET($BO$15,0,0,$B$14,1), 1*(_xlfn._xlws.FILTER(OFFSET($O$15,0,$DN57,$B$8,1),OFFSET($M$15,0,0,$B$8,1))=ED$13), 1*(_xlfn._xlws.FILTER(OFFSET($O$15,0,$DO57,$B$8,1),OFFSET($M$15,0,0,$B$8,1))=ED$14))   /   SUM(OFFSET($BO$15,0,0,$B$14,1)) + $B$18/($B$19*$B$19*($DN57&lt;&gt;$DO57) + $B$19*($DN57=$DO57))</f>
        <v>3.7037037037037035E-4</v>
      </c>
      <c r="EE57" s="10" cm="1">
        <f t="array" aca="1" ref="EE57" ca="1">(1-$B$18)*SUMPRODUCT(OFFSET($BO$15,0,0,$B$14,1), 1*(_xlfn._xlws.FILTER(OFFSET($O$15,0,$DN57,$B$8,1),OFFSET($M$15,0,0,$B$8,1))=EE$13), 1*(_xlfn._xlws.FILTER(OFFSET($O$15,0,$DO57,$B$8,1),OFFSET($M$15,0,0,$B$8,1))=EE$14))   /   SUM(OFFSET($BO$15,0,0,$B$14,1)) + $B$18/($B$19*$B$19*($DN57&lt;&gt;$DO57) + $B$19*($DN57=$DO57))</f>
        <v>3.7037037037037035E-4</v>
      </c>
      <c r="EF57" s="10" cm="1">
        <f t="array" aca="1" ref="EF57" ca="1">(1-$B$18)*SUMPRODUCT(OFFSET($BO$15,0,0,$B$14,1), 1*(_xlfn._xlws.FILTER(OFFSET($O$15,0,$DN57,$B$8,1),OFFSET($M$15,0,0,$B$8,1))=EF$13), 1*(_xlfn._xlws.FILTER(OFFSET($O$15,0,$DO57,$B$8,1),OFFSET($M$15,0,0,$B$8,1))=EF$14))   /   SUM(OFFSET($BO$15,0,0,$B$14,1)) + $B$18/($B$19*$B$19*($DN57&lt;&gt;$DO57) + $B$19*($DN57=$DO57))</f>
        <v>3.7037037037037035E-4</v>
      </c>
      <c r="EG57" s="10" cm="1">
        <f t="array" aca="1" ref="EG57" ca="1">(1-$B$18)*SUMPRODUCT(OFFSET($BO$15,0,0,$B$14,1), 1*(_xlfn._xlws.FILTER(OFFSET($O$15,0,$DN57,$B$8,1),OFFSET($M$15,0,0,$B$8,1))=EG$13), 1*(_xlfn._xlws.FILTER(OFFSET($O$15,0,$DO57,$B$8,1),OFFSET($M$15,0,0,$B$8,1))=EG$14))   /   SUM(OFFSET($BO$15,0,0,$B$14,1)) + $B$18/($B$19*$B$19*($DN57&lt;&gt;$DO57) + $B$19*($DN57=$DO57))</f>
        <v>3.7037037037037035E-4</v>
      </c>
      <c r="EH57" s="10" cm="1">
        <f t="array" aca="1" ref="EH57" ca="1">(1-$B$18)*SUMPRODUCT(OFFSET($BO$15,0,0,$B$14,1), 1*(_xlfn._xlws.FILTER(OFFSET($O$15,0,$DN57,$B$8,1),OFFSET($M$15,0,0,$B$8,1))=EH$13), 1*(_xlfn._xlws.FILTER(OFFSET($O$15,0,$DO57,$B$8,1),OFFSET($M$15,0,0,$B$8,1))=EH$14))   /   SUM(OFFSET($BO$15,0,0,$B$14,1)) + $B$18/($B$19*$B$19*($DN57&lt;&gt;$DO57) + $B$19*($DN57=$DO57))</f>
        <v>3.7037037037037035E-4</v>
      </c>
      <c r="EI57" s="10" cm="1">
        <f t="array" aca="1" ref="EI57" ca="1">(1-$B$18)*SUMPRODUCT(OFFSET($BO$15,0,0,$B$14,1), 1*(_xlfn._xlws.FILTER(OFFSET($O$15,0,$DN57,$B$8,1),OFFSET($M$15,0,0,$B$8,1))=EI$13), 1*(_xlfn._xlws.FILTER(OFFSET($O$15,0,$DO57,$B$8,1),OFFSET($M$15,0,0,$B$8,1))=EI$14))   /   SUM(OFFSET($BO$15,0,0,$B$14,1)) + $B$18/($B$19*$B$19*($DN57&lt;&gt;$DO57) + $B$19*($DN57=$DO57))</f>
        <v>3.7037037037037035E-4</v>
      </c>
      <c r="EJ57" s="10" cm="1">
        <f t="array" aca="1" ref="EJ57" ca="1">(1-$B$18)*SUMPRODUCT(OFFSET($BO$15,0,0,$B$14,1), 1*(_xlfn._xlws.FILTER(OFFSET($O$15,0,$DN57,$B$8,1),OFFSET($M$15,0,0,$B$8,1))=EJ$13), 1*(_xlfn._xlws.FILTER(OFFSET($O$15,0,$DO57,$B$8,1),OFFSET($M$15,0,0,$B$8,1))=EJ$14))   /   SUM(OFFSET($BO$15,0,0,$B$14,1)) + $B$18/($B$19*$B$19*($DN57&lt;&gt;$DO57) + $B$19*($DN57=$DO57))</f>
        <v>3.7037037037037035E-4</v>
      </c>
      <c r="EK57" s="10" cm="1">
        <f t="array" aca="1" ref="EK57" ca="1">(1-$B$18)*SUMPRODUCT(OFFSET($BO$15,0,0,$B$14,1), 1*(_xlfn._xlws.FILTER(OFFSET($O$15,0,$DN57,$B$8,1),OFFSET($M$15,0,0,$B$8,1))=EK$13), 1*(_xlfn._xlws.FILTER(OFFSET($O$15,0,$DO57,$B$8,1),OFFSET($M$15,0,0,$B$8,1))=EK$14))   /   SUM(OFFSET($BO$15,0,0,$B$14,1)) + $B$18/($B$19*$B$19*($DN57&lt;&gt;$DO57) + $B$19*($DN57=$DO57))</f>
        <v>3.7037037037037035E-4</v>
      </c>
      <c r="EL57" s="10" cm="1">
        <f t="array" aca="1" ref="EL57" ca="1">(1-$B$18)*SUMPRODUCT(OFFSET($BO$15,0,0,$B$14,1), 1*(_xlfn._xlws.FILTER(OFFSET($O$15,0,$DN57,$B$8,1),OFFSET($M$15,0,0,$B$8,1))=EL$13), 1*(_xlfn._xlws.FILTER(OFFSET($O$15,0,$DO57,$B$8,1),OFFSET($M$15,0,0,$B$8,1))=EL$14))   /   SUM(OFFSET($BO$15,0,0,$B$14,1)) + $B$18/($B$19*$B$19*($DN57&lt;&gt;$DO57) + $B$19*($DN57=$DO57))</f>
        <v>3.7037037037037035E-4</v>
      </c>
      <c r="EM57" s="10" cm="1">
        <f t="array" aca="1" ref="EM57" ca="1">(1-$B$18)*SUMPRODUCT(OFFSET($BO$15,0,0,$B$14,1), 1*(_xlfn._xlws.FILTER(OFFSET($O$15,0,$DN57,$B$8,1),OFFSET($M$15,0,0,$B$8,1))=EM$13), 1*(_xlfn._xlws.FILTER(OFFSET($O$15,0,$DO57,$B$8,1),OFFSET($M$15,0,0,$B$8,1))=EM$14))   /   SUM(OFFSET($BO$15,0,0,$B$14,1)) + $B$18/($B$19*$B$19*($DN57&lt;&gt;$DO57) + $B$19*($DN57=$DO57))</f>
        <v>3.7037037037037035E-4</v>
      </c>
      <c r="EN57" s="10" cm="1">
        <f t="array" aca="1" ref="EN57" ca="1">(1-$B$18)*SUMPRODUCT(OFFSET($BO$15,0,0,$B$14,1), 1*(_xlfn._xlws.FILTER(OFFSET($O$15,0,$DN57,$B$8,1),OFFSET($M$15,0,0,$B$8,1))=EN$13), 1*(_xlfn._xlws.FILTER(OFFSET($O$15,0,$DO57,$B$8,1),OFFSET($M$15,0,0,$B$8,1))=EN$14))   /   SUM(OFFSET($BO$15,0,0,$B$14,1)) + $B$18/($B$19*$B$19*($DN57&lt;&gt;$DO57) + $B$19*($DN57=$DO57))</f>
        <v>3.7037037037037035E-4</v>
      </c>
      <c r="EO57" s="10" cm="1">
        <f t="array" aca="1" ref="EO57" ca="1">(1-$B$18)*SUMPRODUCT(OFFSET($BO$15,0,0,$B$14,1), 1*(_xlfn._xlws.FILTER(OFFSET($O$15,0,$DN57,$B$8,1),OFFSET($M$15,0,0,$B$8,1))=EO$13), 1*(_xlfn._xlws.FILTER(OFFSET($O$15,0,$DO57,$B$8,1),OFFSET($M$15,0,0,$B$8,1))=EO$14))   /   SUM(OFFSET($BO$15,0,0,$B$14,1)) + $B$18/($B$19*$B$19*($DN57&lt;&gt;$DO57) + $B$19*($DN57=$DO57))</f>
        <v>3.7037037037037035E-4</v>
      </c>
      <c r="EP57" s="10" cm="1">
        <f t="array" aca="1" ref="EP57" ca="1">(1-$B$18)*SUMPRODUCT(OFFSET($BO$15,0,0,$B$14,1), 1*(_xlfn._xlws.FILTER(OFFSET($O$15,0,$DN57,$B$8,1),OFFSET($M$15,0,0,$B$8,1))=EP$13), 1*(_xlfn._xlws.FILTER(OFFSET($O$15,0,$DO57,$B$8,1),OFFSET($M$15,0,0,$B$8,1))=EP$14))   /   SUM(OFFSET($BO$15,0,0,$B$14,1)) + $B$18/($B$19*$B$19*($DN57&lt;&gt;$DO57) + $B$19*($DN57=$DO57))</f>
        <v>3.7037037037037035E-4</v>
      </c>
      <c r="EQ57" s="10" cm="1">
        <f t="array" aca="1" ref="EQ57" ca="1">(1-$B$18)*SUMPRODUCT(OFFSET($BO$15,0,0,$B$14,1), 1*(_xlfn._xlws.FILTER(OFFSET($O$15,0,$DN57,$B$8,1),OFFSET($M$15,0,0,$B$8,1))=EQ$13), 1*(_xlfn._xlws.FILTER(OFFSET($O$15,0,$DO57,$B$8,1),OFFSET($M$15,0,0,$B$8,1))=EQ$14))   /   SUM(OFFSET($BO$15,0,0,$B$14,1)) + $B$18/($B$19*$B$19*($DN57&lt;&gt;$DO57) + $B$19*($DN57=$DO57))</f>
        <v>3.7037037037037035E-4</v>
      </c>
      <c r="ER57" s="10" cm="1">
        <f t="array" aca="1" ref="ER57" ca="1">(1-$B$18)*SUMPRODUCT(OFFSET($BO$15,0,0,$B$14,1), 1*(_xlfn._xlws.FILTER(OFFSET($O$15,0,$DN57,$B$8,1),OFFSET($M$15,0,0,$B$8,1))=ER$13), 1*(_xlfn._xlws.FILTER(OFFSET($O$15,0,$DO57,$B$8,1),OFFSET($M$15,0,0,$B$8,1))=ER$14))   /   SUM(OFFSET($BO$15,0,0,$B$14,1)) + $B$18/($B$19*$B$19*($DN57&lt;&gt;$DO57) + $B$19*($DN57=$DO57))</f>
        <v>3.7037037037037035E-4</v>
      </c>
      <c r="ES57" s="10" cm="1">
        <f t="array" aca="1" ref="ES57" ca="1">(1-$B$18)*SUMPRODUCT(OFFSET($BO$15,0,0,$B$14,1), 1*(_xlfn._xlws.FILTER(OFFSET($O$15,0,$DN57,$B$8,1),OFFSET($M$15,0,0,$B$8,1))=ES$13), 1*(_xlfn._xlws.FILTER(OFFSET($O$15,0,$DO57,$B$8,1),OFFSET($M$15,0,0,$B$8,1))=ES$14))   /   SUM(OFFSET($BO$15,0,0,$B$14,1)) + $B$18/($B$19*$B$19*($DN57&lt;&gt;$DO57) + $B$19*($DN57=$DO57))</f>
        <v>3.7037037037037035E-4</v>
      </c>
      <c r="ET57" s="10" cm="1">
        <f t="array" aca="1" ref="ET57" ca="1">(1-$B$18)*SUMPRODUCT(OFFSET($BO$15,0,0,$B$14,1), 1*(_xlfn._xlws.FILTER(OFFSET($O$15,0,$DN57,$B$8,1),OFFSET($M$15,0,0,$B$8,1))=ET$13), 1*(_xlfn._xlws.FILTER(OFFSET($O$15,0,$DO57,$B$8,1),OFFSET($M$15,0,0,$B$8,1))=ET$14))   /   SUM(OFFSET($BO$15,0,0,$B$14,1)) + $B$18/($B$19*$B$19*($DN57&lt;&gt;$DO57) + $B$19*($DN57=$DO57))</f>
        <v>3.7037037037037035E-4</v>
      </c>
      <c r="EU57" s="10" cm="1">
        <f t="array" aca="1" ref="EU57" ca="1">(1-$B$18)*SUMPRODUCT(OFFSET($BO$15,0,0,$B$14,1), 1*(_xlfn._xlws.FILTER(OFFSET($O$15,0,$DN57,$B$8,1),OFFSET($M$15,0,0,$B$8,1))=EU$13), 1*(_xlfn._xlws.FILTER(OFFSET($O$15,0,$DO57,$B$8,1),OFFSET($M$15,0,0,$B$8,1))=EU$14))   /   SUM(OFFSET($BO$15,0,0,$B$14,1)) + $B$18/($B$19*$B$19*($DN57&lt;&gt;$DO57) + $B$19*($DN57=$DO57))</f>
        <v>3.7037037037037035E-4</v>
      </c>
      <c r="EV57" s="10" cm="1">
        <f t="array" aca="1" ref="EV57" ca="1">(1-$B$18)*SUMPRODUCT(OFFSET($BO$15,0,0,$B$14,1), 1*(_xlfn._xlws.FILTER(OFFSET($O$15,0,$DN57,$B$8,1),OFFSET($M$15,0,0,$B$8,1))=EV$13), 1*(_xlfn._xlws.FILTER(OFFSET($O$15,0,$DO57,$B$8,1),OFFSET($M$15,0,0,$B$8,1))=EV$14))   /   SUM(OFFSET($BO$15,0,0,$B$14,1)) + $B$18/($B$19*$B$19*($DN57&lt;&gt;$DO57) + $B$19*($DN57=$DO57))</f>
        <v>3.7037037037037035E-4</v>
      </c>
      <c r="EW57" s="10" cm="1">
        <f t="array" aca="1" ref="EW57" ca="1">(1-$B$18)*SUMPRODUCT(OFFSET($BO$15,0,0,$B$14,1), 1*(_xlfn._xlws.FILTER(OFFSET($O$15,0,$DN57,$B$8,1),OFFSET($M$15,0,0,$B$8,1))=EW$13), 1*(_xlfn._xlws.FILTER(OFFSET($O$15,0,$DO57,$B$8,1),OFFSET($M$15,0,0,$B$8,1))=EW$14))   /   SUM(OFFSET($BO$15,0,0,$B$14,1)) + $B$18/($B$19*$B$19*($DN57&lt;&gt;$DO57) + $B$19*($DN57=$DO57))</f>
        <v>3.7037037037037035E-4</v>
      </c>
      <c r="EX57" s="10" cm="1">
        <f t="array" aca="1" ref="EX57" ca="1">(1-$B$18)*SUMPRODUCT(OFFSET($BO$15,0,0,$B$14,1), 1*(_xlfn._xlws.FILTER(OFFSET($O$15,0,$DN57,$B$8,1),OFFSET($M$15,0,0,$B$8,1))=EX$13), 1*(_xlfn._xlws.FILTER(OFFSET($O$15,0,$DO57,$B$8,1),OFFSET($M$15,0,0,$B$8,1))=EX$14))   /   SUM(OFFSET($BO$15,0,0,$B$14,1)) + $B$18/($B$19*$B$19*($DN57&lt;&gt;$DO57) + $B$19*($DN57=$DO57))</f>
        <v>3.7037037037037035E-4</v>
      </c>
      <c r="EY57" s="10" cm="1">
        <f t="array" aca="1" ref="EY57" ca="1">(1-$B$18)*SUMPRODUCT(OFFSET($BO$15,0,0,$B$14,1), 1*(_xlfn._xlws.FILTER(OFFSET($O$15,0,$DN57,$B$8,1),OFFSET($M$15,0,0,$B$8,1))=EY$13), 1*(_xlfn._xlws.FILTER(OFFSET($O$15,0,$DO57,$B$8,1),OFFSET($M$15,0,0,$B$8,1))=EY$14))   /   SUM(OFFSET($BO$15,0,0,$B$14,1)) + $B$18/($B$19*$B$19*($DN57&lt;&gt;$DO57) + $B$19*($DN57=$DO57))</f>
        <v>3.7037037037037035E-4</v>
      </c>
      <c r="EZ57" s="10" cm="1">
        <f t="array" aca="1" ref="EZ57" ca="1">(1-$B$18)*SUMPRODUCT(OFFSET($BO$15,0,0,$B$14,1), 1*(_xlfn._xlws.FILTER(OFFSET($O$15,0,$DN57,$B$8,1),OFFSET($M$15,0,0,$B$8,1))=EZ$13), 1*(_xlfn._xlws.FILTER(OFFSET($O$15,0,$DO57,$B$8,1),OFFSET($M$15,0,0,$B$8,1))=EZ$14))   /   SUM(OFFSET($BO$15,0,0,$B$14,1)) + $B$18/($B$19*$B$19*($DN57&lt;&gt;$DO57) + $B$19*($DN57=$DO57))</f>
        <v>3.7037037037037035E-4</v>
      </c>
      <c r="FA57" s="10" cm="1">
        <f t="array" aca="1" ref="FA57" ca="1">(1-$B$18)*SUMPRODUCT(OFFSET($BO$15,0,0,$B$14,1), 1*(_xlfn._xlws.FILTER(OFFSET($O$15,0,$DN57,$B$8,1),OFFSET($M$15,0,0,$B$8,1))=FA$13), 1*(_xlfn._xlws.FILTER(OFFSET($O$15,0,$DO57,$B$8,1),OFFSET($M$15,0,0,$B$8,1))=FA$14))   /   SUM(OFFSET($BO$15,0,0,$B$14,1)) + $B$18/($B$19*$B$19*($DN57&lt;&gt;$DO57) + $B$19*($DN57=$DO57))</f>
        <v>3.7037037037037035E-4</v>
      </c>
      <c r="FB57" s="10" cm="1">
        <f t="array" aca="1" ref="FB57" ca="1">(1-$B$18)*SUMPRODUCT(OFFSET($BO$15,0,0,$B$14,1), 1*(_xlfn._xlws.FILTER(OFFSET($O$15,0,$DN57,$B$8,1),OFFSET($M$15,0,0,$B$8,1))=FB$13), 1*(_xlfn._xlws.FILTER(OFFSET($O$15,0,$DO57,$B$8,1),OFFSET($M$15,0,0,$B$8,1))=FB$14))   /   SUM(OFFSET($BO$15,0,0,$B$14,1)) + $B$18/($B$19*$B$19*($DN57&lt;&gt;$DO57) + $B$19*($DN57=$DO57))</f>
        <v>3.7037037037037035E-4</v>
      </c>
      <c r="FC57" s="10" cm="1">
        <f t="array" aca="1" ref="FC57" ca="1">(1-$B$18)*SUMPRODUCT(OFFSET($BO$15,0,0,$B$14,1), 1*(_xlfn._xlws.FILTER(OFFSET($O$15,0,$DN57,$B$8,1),OFFSET($M$15,0,0,$B$8,1))=FC$13), 1*(_xlfn._xlws.FILTER(OFFSET($O$15,0,$DO57,$B$8,1),OFFSET($M$15,0,0,$B$8,1))=FC$14))   /   SUM(OFFSET($BO$15,0,0,$B$14,1)) + $B$18/($B$19*$B$19*($DN57&lt;&gt;$DO57) + $B$19*($DN57=$DO57))</f>
        <v>3.7037037037037035E-4</v>
      </c>
      <c r="FD57" s="10" cm="1">
        <f t="array" aca="1" ref="FD57" ca="1">(1-$B$18)*SUMPRODUCT(OFFSET($BO$15,0,0,$B$14,1), 1*(_xlfn._xlws.FILTER(OFFSET($O$15,0,$DN57,$B$8,1),OFFSET($M$15,0,0,$B$8,1))=FD$13), 1*(_xlfn._xlws.FILTER(OFFSET($O$15,0,$DO57,$B$8,1),OFFSET($M$15,0,0,$B$8,1))=FD$14))   /   SUM(OFFSET($BO$15,0,0,$B$14,1)) + $B$18/($B$19*$B$19*($DN57&lt;&gt;$DO57) + $B$19*($DN57=$DO57))</f>
        <v>3.7037037037037035E-4</v>
      </c>
      <c r="FE57" s="10" cm="1">
        <f t="array" aca="1" ref="FE57" ca="1">(1-$B$18)*SUMPRODUCT(OFFSET($BO$15,0,0,$B$14,1), 1*(_xlfn._xlws.FILTER(OFFSET($O$15,0,$DN57,$B$8,1),OFFSET($M$15,0,0,$B$8,1))=FE$13), 1*(_xlfn._xlws.FILTER(OFFSET($O$15,0,$DO57,$B$8,1),OFFSET($M$15,0,0,$B$8,1))=FE$14))   /   SUM(OFFSET($BO$15,0,0,$B$14,1)) + $B$18/($B$19*$B$19*($DN57&lt;&gt;$DO57) + $B$19*($DN57=$DO57))</f>
        <v>3.7037037037037035E-4</v>
      </c>
      <c r="FF57" s="10" cm="1">
        <f t="array" aca="1" ref="FF57" ca="1">(1-$B$18)*SUMPRODUCT(OFFSET($BO$15,0,0,$B$14,1), 1*(_xlfn._xlws.FILTER(OFFSET($O$15,0,$DN57,$B$8,1),OFFSET($M$15,0,0,$B$8,1))=FF$13), 1*(_xlfn._xlws.FILTER(OFFSET($O$15,0,$DO57,$B$8,1),OFFSET($M$15,0,0,$B$8,1))=FF$14))   /   SUM(OFFSET($BO$15,0,0,$B$14,1)) + $B$18/($B$19*$B$19*($DN57&lt;&gt;$DO57) + $B$19*($DN57=$DO57))</f>
        <v>3.7037037037037035E-4</v>
      </c>
      <c r="FG57" s="10" cm="1">
        <f t="array" aca="1" ref="FG57" ca="1">(1-$B$18)*SUMPRODUCT(OFFSET($BO$15,0,0,$B$14,1), 1*(_xlfn._xlws.FILTER(OFFSET($O$15,0,$DN57,$B$8,1),OFFSET($M$15,0,0,$B$8,1))=FG$13), 1*(_xlfn._xlws.FILTER(OFFSET($O$15,0,$DO57,$B$8,1),OFFSET($M$15,0,0,$B$8,1))=FG$14))   /   SUM(OFFSET($BO$15,0,0,$B$14,1)) + $B$18/($B$19*$B$19*($DN57&lt;&gt;$DO57) + $B$19*($DN57=$DO57))</f>
        <v>3.7037037037037035E-4</v>
      </c>
      <c r="FH57" s="10" cm="1">
        <f t="array" aca="1" ref="FH57" ca="1">(1-$B$18)*SUMPRODUCT(OFFSET($BO$15,0,0,$B$14,1), 1*(_xlfn._xlws.FILTER(OFFSET($O$15,0,$DN57,$B$8,1),OFFSET($M$15,0,0,$B$8,1))=FH$13), 1*(_xlfn._xlws.FILTER(OFFSET($O$15,0,$DO57,$B$8,1),OFFSET($M$15,0,0,$B$8,1))=FH$14))   /   SUM(OFFSET($BO$15,0,0,$B$14,1)) + $B$18/($B$19*$B$19*($DN57&lt;&gt;$DO57) + $B$19*($DN57=$DO57))</f>
        <v>3.7037037037037035E-4</v>
      </c>
      <c r="FI57" s="10" cm="1">
        <f t="array" aca="1" ref="FI57" ca="1">(1-$B$18)*SUMPRODUCT(OFFSET($BO$15,0,0,$B$14,1), 1*(_xlfn._xlws.FILTER(OFFSET($O$15,0,$DN57,$B$8,1),OFFSET($M$15,0,0,$B$8,1))=FI$13), 1*(_xlfn._xlws.FILTER(OFFSET($O$15,0,$DO57,$B$8,1),OFFSET($M$15,0,0,$B$8,1))=FI$14))   /   SUM(OFFSET($BO$15,0,0,$B$14,1)) + $B$18/($B$19*$B$19*($DN57&lt;&gt;$DO57) + $B$19*($DN57=$DO57))</f>
        <v>3.7037037037037035E-4</v>
      </c>
      <c r="FJ57" s="10" cm="1">
        <f t="array" aca="1" ref="FJ57" ca="1">(1-$B$18)*SUMPRODUCT(OFFSET($BO$15,0,0,$B$14,1), 1*(_xlfn._xlws.FILTER(OFFSET($O$15,0,$DN57,$B$8,1),OFFSET($M$15,0,0,$B$8,1))=FJ$13), 1*(_xlfn._xlws.FILTER(OFFSET($O$15,0,$DO57,$B$8,1),OFFSET($M$15,0,0,$B$8,1))=FJ$14))   /   SUM(OFFSET($BO$15,0,0,$B$14,1)) + $B$18/($B$19*$B$19*($DN57&lt;&gt;$DO57) + $B$19*($DN57=$DO57))</f>
        <v>3.7037037037037035E-4</v>
      </c>
      <c r="FK57" s="10" cm="1">
        <f t="array" aca="1" ref="FK57" ca="1">(1-$B$18)*SUMPRODUCT(OFFSET($BO$15,0,0,$B$14,1), 1*(_xlfn._xlws.FILTER(OFFSET($O$15,0,$DN57,$B$8,1),OFFSET($M$15,0,0,$B$8,1))=FK$13), 1*(_xlfn._xlws.FILTER(OFFSET($O$15,0,$DO57,$B$8,1),OFFSET($M$15,0,0,$B$8,1))=FK$14))   /   SUM(OFFSET($BO$15,0,0,$B$14,1)) + $B$18/($B$19*$B$19*($DN57&lt;&gt;$DO57) + $B$19*($DN57=$DO57))</f>
        <v>3.7037037037037035E-4</v>
      </c>
      <c r="FL57" s="10" cm="1">
        <f t="array" aca="1" ref="FL57" ca="1">(1-$B$18)*SUMPRODUCT(OFFSET($BO$15,0,0,$B$14,1), 1*(_xlfn._xlws.FILTER(OFFSET($O$15,0,$DN57,$B$8,1),OFFSET($M$15,0,0,$B$8,1))=FL$13), 1*(_xlfn._xlws.FILTER(OFFSET($O$15,0,$DO57,$B$8,1),OFFSET($M$15,0,0,$B$8,1))=FL$14))   /   SUM(OFFSET($BO$15,0,0,$B$14,1)) + $B$18/($B$19*$B$19*($DN57&lt;&gt;$DO57) + $B$19*($DN57=$DO57))</f>
        <v>3.7037037037037035E-4</v>
      </c>
      <c r="FM57" s="10" cm="1">
        <f t="array" aca="1" ref="FM57" ca="1">(1-$B$18)*SUMPRODUCT(OFFSET($BO$15,0,0,$B$14,1), 1*(_xlfn._xlws.FILTER(OFFSET($O$15,0,$DN57,$B$8,1),OFFSET($M$15,0,0,$B$8,1))=FM$13), 1*(_xlfn._xlws.FILTER(OFFSET($O$15,0,$DO57,$B$8,1),OFFSET($M$15,0,0,$B$8,1))=FM$14))   /   SUM(OFFSET($BO$15,0,0,$B$14,1)) + $B$18/($B$19*$B$19*($DN57&lt;&gt;$DO57) + $B$19*($DN57=$DO57))</f>
        <v>3.7037037037037035E-4</v>
      </c>
      <c r="FN57" s="10" cm="1">
        <f t="array" aca="1" ref="FN57" ca="1">(1-$B$18)*SUMPRODUCT(OFFSET($BO$15,0,0,$B$14,1), 1*(_xlfn._xlws.FILTER(OFFSET($O$15,0,$DN57,$B$8,1),OFFSET($M$15,0,0,$B$8,1))=FN$13), 1*(_xlfn._xlws.FILTER(OFFSET($O$15,0,$DO57,$B$8,1),OFFSET($M$15,0,0,$B$8,1))=FN$14))   /   SUM(OFFSET($BO$15,0,0,$B$14,1)) + $B$18/($B$19*$B$19*($DN57&lt;&gt;$DO57) + $B$19*($DN57=$DO57))</f>
        <v>3.7037037037037035E-4</v>
      </c>
      <c r="FO57" s="10" cm="1">
        <f t="array" aca="1" ref="FO57" ca="1">(1-$B$18)*SUMPRODUCT(OFFSET($BO$15,0,0,$B$14,1), 1*(_xlfn._xlws.FILTER(OFFSET($O$15,0,$DN57,$B$8,1),OFFSET($M$15,0,0,$B$8,1))=FO$13), 1*(_xlfn._xlws.FILTER(OFFSET($O$15,0,$DO57,$B$8,1),OFFSET($M$15,0,0,$B$8,1))=FO$14))   /   SUM(OFFSET($BO$15,0,0,$B$14,1)) + $B$18/($B$19*$B$19*($DN57&lt;&gt;$DO57) + $B$19*($DN57=$DO57))</f>
        <v>3.7037037037037035E-4</v>
      </c>
      <c r="FP57" s="10" cm="1">
        <f t="array" aca="1" ref="FP57" ca="1">(1-$B$18)*SUMPRODUCT(OFFSET($BO$15,0,0,$B$14,1), 1*(_xlfn._xlws.FILTER(OFFSET($O$15,0,$DN57,$B$8,1),OFFSET($M$15,0,0,$B$8,1))=FP$13), 1*(_xlfn._xlws.FILTER(OFFSET($O$15,0,$DO57,$B$8,1),OFFSET($M$15,0,0,$B$8,1))=FP$14))   /   SUM(OFFSET($BO$15,0,0,$B$14,1)) + $B$18/($B$19*$B$19*($DN57&lt;&gt;$DO57) + $B$19*($DN57=$DO57))</f>
        <v>3.7037037037037035E-4</v>
      </c>
      <c r="FQ57" s="10" cm="1">
        <f t="array" aca="1" ref="FQ57" ca="1">(1-$B$18)*SUMPRODUCT(OFFSET($BO$15,0,0,$B$14,1), 1*(_xlfn._xlws.FILTER(OFFSET($O$15,0,$DN57,$B$8,1),OFFSET($M$15,0,0,$B$8,1))=FQ$13), 1*(_xlfn._xlws.FILTER(OFFSET($O$15,0,$DO57,$B$8,1),OFFSET($M$15,0,0,$B$8,1))=FQ$14))   /   SUM(OFFSET($BO$15,0,0,$B$14,1)) + $B$18/($B$19*$B$19*($DN57&lt;&gt;$DO57) + $B$19*($DN57=$DO57))</f>
        <v>3.7037037037037035E-4</v>
      </c>
      <c r="FR57" s="10" cm="1">
        <f t="array" aca="1" ref="FR57" ca="1">(1-$B$18)*SUMPRODUCT(OFFSET($BO$15,0,0,$B$14,1), 1*(_xlfn._xlws.FILTER(OFFSET($O$15,0,$DN57,$B$8,1),OFFSET($M$15,0,0,$B$8,1))=FR$13), 1*(_xlfn._xlws.FILTER(OFFSET($O$15,0,$DO57,$B$8,1),OFFSET($M$15,0,0,$B$8,1))=FR$14))   /   SUM(OFFSET($BO$15,0,0,$B$14,1)) + $B$18/($B$19*$B$19*($DN57&lt;&gt;$DO57) + $B$19*($DN57=$DO57))</f>
        <v>0.97037037037037033</v>
      </c>
      <c r="FS57" s="10" cm="1">
        <f t="array" aca="1" ref="FS57" ca="1">(1-$B$18)*SUMPRODUCT(OFFSET($BO$15,0,0,$B$14,1), 1*(_xlfn._xlws.FILTER(OFFSET($O$15,0,$DN57,$B$8,1),OFFSET($M$15,0,0,$B$8,1))=FS$13), 1*(_xlfn._xlws.FILTER(OFFSET($O$15,0,$DO57,$B$8,1),OFFSET($M$15,0,0,$B$8,1))=FS$14))   /   SUM(OFFSET($BO$15,0,0,$B$14,1)) + $B$18/($B$19*$B$19*($DN57&lt;&gt;$DO57) + $B$19*($DN57=$DO57))</f>
        <v>3.7037037037037035E-4</v>
      </c>
      <c r="FT57" s="10" cm="1">
        <f t="array" aca="1" ref="FT57" ca="1">(1-$B$18)*SUMPRODUCT(OFFSET($BO$15,0,0,$B$14,1), 1*(_xlfn._xlws.FILTER(OFFSET($O$15,0,$DN57,$B$8,1),OFFSET($M$15,0,0,$B$8,1))=FT$13), 1*(_xlfn._xlws.FILTER(OFFSET($O$15,0,$DO57,$B$8,1),OFFSET($M$15,0,0,$B$8,1))=FT$14))   /   SUM(OFFSET($BO$15,0,0,$B$14,1)) + $B$18/($B$19*$B$19*($DN57&lt;&gt;$DO57) + $B$19*($DN57=$DO57))</f>
        <v>3.7037037037037035E-4</v>
      </c>
      <c r="FU57" s="10" cm="1">
        <f t="array" aca="1" ref="FU57" ca="1">(1-$B$18)*SUMPRODUCT(OFFSET($BO$15,0,0,$B$14,1), 1*(_xlfn._xlws.FILTER(OFFSET($O$15,0,$DN57,$B$8,1),OFFSET($M$15,0,0,$B$8,1))=FU$13), 1*(_xlfn._xlws.FILTER(OFFSET($O$15,0,$DO57,$B$8,1),OFFSET($M$15,0,0,$B$8,1))=FU$14))   /   SUM(OFFSET($BO$15,0,0,$B$14,1)) + $B$18/($B$19*$B$19*($DN57&lt;&gt;$DO57) + $B$19*($DN57=$DO57))</f>
        <v>3.7037037037037035E-4</v>
      </c>
      <c r="FV57" s="10" cm="1">
        <f t="array" aca="1" ref="FV57" ca="1">(1-$B$18)*SUMPRODUCT(OFFSET($BO$15,0,0,$B$14,1), 1*(_xlfn._xlws.FILTER(OFFSET($O$15,0,$DN57,$B$8,1),OFFSET($M$15,0,0,$B$8,1))=FV$13), 1*(_xlfn._xlws.FILTER(OFFSET($O$15,0,$DO57,$B$8,1),OFFSET($M$15,0,0,$B$8,1))=FV$14))   /   SUM(OFFSET($BO$15,0,0,$B$14,1)) + $B$18/($B$19*$B$19*($DN57&lt;&gt;$DO57) + $B$19*($DN57=$DO57))</f>
        <v>3.7037037037037035E-4</v>
      </c>
      <c r="FW57" s="10" cm="1">
        <f t="array" aca="1" ref="FW57" ca="1">(1-$B$18)*SUMPRODUCT(OFFSET($BO$15,0,0,$B$14,1), 1*(_xlfn._xlws.FILTER(OFFSET($O$15,0,$DN57,$B$8,1),OFFSET($M$15,0,0,$B$8,1))=FW$13), 1*(_xlfn._xlws.FILTER(OFFSET($O$15,0,$DO57,$B$8,1),OFFSET($M$15,0,0,$B$8,1))=FW$14))   /   SUM(OFFSET($BO$15,0,0,$B$14,1)) + $B$18/($B$19*$B$19*($DN57&lt;&gt;$DO57) + $B$19*($DN57=$DO57))</f>
        <v>3.7037037037037035E-4</v>
      </c>
      <c r="FX57" s="10" cm="1">
        <f t="array" aca="1" ref="FX57" ca="1">(1-$B$18)*SUMPRODUCT(OFFSET($BO$15,0,0,$B$14,1), 1*(_xlfn._xlws.FILTER(OFFSET($O$15,0,$DN57,$B$8,1),OFFSET($M$15,0,0,$B$8,1))=FX$13), 1*(_xlfn._xlws.FILTER(OFFSET($O$15,0,$DO57,$B$8,1),OFFSET($M$15,0,0,$B$8,1))=FX$14))   /   SUM(OFFSET($BO$15,0,0,$B$14,1)) + $B$18/($B$19*$B$19*($DN57&lt;&gt;$DO57) + $B$19*($DN57=$DO57))</f>
        <v>3.7037037037037035E-4</v>
      </c>
      <c r="FY57" s="10" cm="1">
        <f t="array" aca="1" ref="FY57" ca="1">(1-$B$18)*SUMPRODUCT(OFFSET($BO$15,0,0,$B$14,1), 1*(_xlfn._xlws.FILTER(OFFSET($O$15,0,$DN57,$B$8,1),OFFSET($M$15,0,0,$B$8,1))=FY$13), 1*(_xlfn._xlws.FILTER(OFFSET($O$15,0,$DO57,$B$8,1),OFFSET($M$15,0,0,$B$8,1))=FY$14))   /   SUM(OFFSET($BO$15,0,0,$B$14,1)) + $B$18/($B$19*$B$19*($DN57&lt;&gt;$DO57) + $B$19*($DN57=$DO57))</f>
        <v>3.7037037037037035E-4</v>
      </c>
      <c r="FZ57" s="10" cm="1">
        <f t="array" aca="1" ref="FZ57" ca="1">(1-$B$18)*SUMPRODUCT(OFFSET($BO$15,0,0,$B$14,1), 1*(_xlfn._xlws.FILTER(OFFSET($O$15,0,$DN57,$B$8,1),OFFSET($M$15,0,0,$B$8,1))=FZ$13), 1*(_xlfn._xlws.FILTER(OFFSET($O$15,0,$DO57,$B$8,1),OFFSET($M$15,0,0,$B$8,1))=FZ$14))   /   SUM(OFFSET($BO$15,0,0,$B$14,1)) + $B$18/($B$19*$B$19*($DN57&lt;&gt;$DO57) + $B$19*($DN57=$DO57))</f>
        <v>3.7037037037037035E-4</v>
      </c>
      <c r="GA57" s="10" cm="1">
        <f t="array" aca="1" ref="GA57" ca="1">(1-$B$18)*SUMPRODUCT(OFFSET($BO$15,0,0,$B$14,1), 1*(_xlfn._xlws.FILTER(OFFSET($O$15,0,$DN57,$B$8,1),OFFSET($M$15,0,0,$B$8,1))=GA$13), 1*(_xlfn._xlws.FILTER(OFFSET($O$15,0,$DO57,$B$8,1),OFFSET($M$15,0,0,$B$8,1))=GA$14))   /   SUM(OFFSET($BO$15,0,0,$B$14,1)) + $B$18/($B$19*$B$19*($DN57&lt;&gt;$DO57) + $B$19*($DN57=$DO57))</f>
        <v>3.7037037037037035E-4</v>
      </c>
    </row>
    <row r="58" spans="5:183" x14ac:dyDescent="0.2">
      <c r="AK58" s="2"/>
      <c r="AL58" s="2"/>
      <c r="CX58">
        <f ca="1"/>
        <v>0.1</v>
      </c>
      <c r="CY58">
        <f ca="1"/>
        <v>0</v>
      </c>
      <c r="DN58" cm="1">
        <f t="array" aca="1" ref="DN58" ca="1">INDEX(_xlfn.ANCHORARRAY($CP$15), 1 + INT((ROWS($DO$15:$DO58) - 1) / ROWS(_xlfn.ANCHORARRAY($CP$15))))</f>
        <v>2</v>
      </c>
      <c r="DO58" cm="1">
        <f t="array" aca="1" ref="DO58" ca="1">INDEX(_xlfn.ANCHORARRAY($CP$15),1+MOD(ROWS($DO$15:$DO58)-1,ROWS(_xlfn.ANCHORARRAY($CP$15))))</f>
        <v>5</v>
      </c>
      <c r="DP58" s="10" cm="1">
        <f t="array" aca="1" ref="DP58" ca="1">(1-$B$18)*SUMPRODUCT(OFFSET($BO$15,0,0,$B$14,1), 1*(_xlfn._xlws.FILTER(OFFSET($O$15,0,$DN58,$B$8,1),OFFSET($M$15,0,0,$B$8,1))=DP$13), 1*(_xlfn._xlws.FILTER(OFFSET($O$15,0,$DO58,$B$8,1),OFFSET($M$15,0,0,$B$8,1))=DP$14))   /   SUM(OFFSET($BO$15,0,0,$B$14,1)) + $B$18/($B$19*$B$19*($DN58&lt;&gt;$DO58) + $B$19*($DN58=$DO58))</f>
        <v>3.7037037037037035E-4</v>
      </c>
      <c r="DQ58" s="10" cm="1">
        <f t="array" aca="1" ref="DQ58" ca="1">(1-$B$18)*SUMPRODUCT(OFFSET($BO$15,0,0,$B$14,1), 1*(_xlfn._xlws.FILTER(OFFSET($O$15,0,$DN58,$B$8,1),OFFSET($M$15,0,0,$B$8,1))=DQ$13), 1*(_xlfn._xlws.FILTER(OFFSET($O$15,0,$DO58,$B$8,1),OFFSET($M$15,0,0,$B$8,1))=DQ$14))   /   SUM(OFFSET($BO$15,0,0,$B$14,1)) + $B$18/($B$19*$B$19*($DN58&lt;&gt;$DO58) + $B$19*($DN58=$DO58))</f>
        <v>3.7037037037037035E-4</v>
      </c>
      <c r="DR58" s="10" cm="1">
        <f t="array" aca="1" ref="DR58" ca="1">(1-$B$18)*SUMPRODUCT(OFFSET($BO$15,0,0,$B$14,1), 1*(_xlfn._xlws.FILTER(OFFSET($O$15,0,$DN58,$B$8,1),OFFSET($M$15,0,0,$B$8,1))=DR$13), 1*(_xlfn._xlws.FILTER(OFFSET($O$15,0,$DO58,$B$8,1),OFFSET($M$15,0,0,$B$8,1))=DR$14))   /   SUM(OFFSET($BO$15,0,0,$B$14,1)) + $B$18/($B$19*$B$19*($DN58&lt;&gt;$DO58) + $B$19*($DN58=$DO58))</f>
        <v>3.7037037037037035E-4</v>
      </c>
      <c r="DS58" s="10" cm="1">
        <f t="array" aca="1" ref="DS58" ca="1">(1-$B$18)*SUMPRODUCT(OFFSET($BO$15,0,0,$B$14,1), 1*(_xlfn._xlws.FILTER(OFFSET($O$15,0,$DN58,$B$8,1),OFFSET($M$15,0,0,$B$8,1))=DS$13), 1*(_xlfn._xlws.FILTER(OFFSET($O$15,0,$DO58,$B$8,1),OFFSET($M$15,0,0,$B$8,1))=DS$14))   /   SUM(OFFSET($BO$15,0,0,$B$14,1)) + $B$18/($B$19*$B$19*($DN58&lt;&gt;$DO58) + $B$19*($DN58=$DO58))</f>
        <v>3.7037037037037035E-4</v>
      </c>
      <c r="DT58" s="10" cm="1">
        <f t="array" aca="1" ref="DT58" ca="1">(1-$B$18)*SUMPRODUCT(OFFSET($BO$15,0,0,$B$14,1), 1*(_xlfn._xlws.FILTER(OFFSET($O$15,0,$DN58,$B$8,1),OFFSET($M$15,0,0,$B$8,1))=DT$13), 1*(_xlfn._xlws.FILTER(OFFSET($O$15,0,$DO58,$B$8,1),OFFSET($M$15,0,0,$B$8,1))=DT$14))   /   SUM(OFFSET($BO$15,0,0,$B$14,1)) + $B$18/($B$19*$B$19*($DN58&lt;&gt;$DO58) + $B$19*($DN58=$DO58))</f>
        <v>3.7037037037037035E-4</v>
      </c>
      <c r="DU58" s="10" cm="1">
        <f t="array" aca="1" ref="DU58" ca="1">(1-$B$18)*SUMPRODUCT(OFFSET($BO$15,0,0,$B$14,1), 1*(_xlfn._xlws.FILTER(OFFSET($O$15,0,$DN58,$B$8,1),OFFSET($M$15,0,0,$B$8,1))=DU$13), 1*(_xlfn._xlws.FILTER(OFFSET($O$15,0,$DO58,$B$8,1),OFFSET($M$15,0,0,$B$8,1))=DU$14))   /   SUM(OFFSET($BO$15,0,0,$B$14,1)) + $B$18/($B$19*$B$19*($DN58&lt;&gt;$DO58) + $B$19*($DN58=$DO58))</f>
        <v>3.7037037037037035E-4</v>
      </c>
      <c r="DV58" s="10" cm="1">
        <f t="array" aca="1" ref="DV58" ca="1">(1-$B$18)*SUMPRODUCT(OFFSET($BO$15,0,0,$B$14,1), 1*(_xlfn._xlws.FILTER(OFFSET($O$15,0,$DN58,$B$8,1),OFFSET($M$15,0,0,$B$8,1))=DV$13), 1*(_xlfn._xlws.FILTER(OFFSET($O$15,0,$DO58,$B$8,1),OFFSET($M$15,0,0,$B$8,1))=DV$14))   /   SUM(OFFSET($BO$15,0,0,$B$14,1)) + $B$18/($B$19*$B$19*($DN58&lt;&gt;$DO58) + $B$19*($DN58=$DO58))</f>
        <v>3.7037037037037035E-4</v>
      </c>
      <c r="DW58" s="10" cm="1">
        <f t="array" aca="1" ref="DW58" ca="1">(1-$B$18)*SUMPRODUCT(OFFSET($BO$15,0,0,$B$14,1), 1*(_xlfn._xlws.FILTER(OFFSET($O$15,0,$DN58,$B$8,1),OFFSET($M$15,0,0,$B$8,1))=DW$13), 1*(_xlfn._xlws.FILTER(OFFSET($O$15,0,$DO58,$B$8,1),OFFSET($M$15,0,0,$B$8,1))=DW$14))   /   SUM(OFFSET($BO$15,0,0,$B$14,1)) + $B$18/($B$19*$B$19*($DN58&lt;&gt;$DO58) + $B$19*($DN58=$DO58))</f>
        <v>3.7037037037037035E-4</v>
      </c>
      <c r="DX58" s="10" cm="1">
        <f t="array" aca="1" ref="DX58" ca="1">(1-$B$18)*SUMPRODUCT(OFFSET($BO$15,0,0,$B$14,1), 1*(_xlfn._xlws.FILTER(OFFSET($O$15,0,$DN58,$B$8,1),OFFSET($M$15,0,0,$B$8,1))=DX$13), 1*(_xlfn._xlws.FILTER(OFFSET($O$15,0,$DO58,$B$8,1),OFFSET($M$15,0,0,$B$8,1))=DX$14))   /   SUM(OFFSET($BO$15,0,0,$B$14,1)) + $B$18/($B$19*$B$19*($DN58&lt;&gt;$DO58) + $B$19*($DN58=$DO58))</f>
        <v>3.7037037037037035E-4</v>
      </c>
      <c r="DY58" s="10" cm="1">
        <f t="array" aca="1" ref="DY58" ca="1">(1-$B$18)*SUMPRODUCT(OFFSET($BO$15,0,0,$B$14,1), 1*(_xlfn._xlws.FILTER(OFFSET($O$15,0,$DN58,$B$8,1),OFFSET($M$15,0,0,$B$8,1))=DY$13), 1*(_xlfn._xlws.FILTER(OFFSET($O$15,0,$DO58,$B$8,1),OFFSET($M$15,0,0,$B$8,1))=DY$14))   /   SUM(OFFSET($BO$15,0,0,$B$14,1)) + $B$18/($B$19*$B$19*($DN58&lt;&gt;$DO58) + $B$19*($DN58=$DO58))</f>
        <v>3.7037037037037035E-4</v>
      </c>
      <c r="DZ58" s="10" cm="1">
        <f t="array" aca="1" ref="DZ58" ca="1">(1-$B$18)*SUMPRODUCT(OFFSET($BO$15,0,0,$B$14,1), 1*(_xlfn._xlws.FILTER(OFFSET($O$15,0,$DN58,$B$8,1),OFFSET($M$15,0,0,$B$8,1))=DZ$13), 1*(_xlfn._xlws.FILTER(OFFSET($O$15,0,$DO58,$B$8,1),OFFSET($M$15,0,0,$B$8,1))=DZ$14))   /   SUM(OFFSET($BO$15,0,0,$B$14,1)) + $B$18/($B$19*$B$19*($DN58&lt;&gt;$DO58) + $B$19*($DN58=$DO58))</f>
        <v>3.7037037037037035E-4</v>
      </c>
      <c r="EA58" s="10" cm="1">
        <f t="array" aca="1" ref="EA58" ca="1">(1-$B$18)*SUMPRODUCT(OFFSET($BO$15,0,0,$B$14,1), 1*(_xlfn._xlws.FILTER(OFFSET($O$15,0,$DN58,$B$8,1),OFFSET($M$15,0,0,$B$8,1))=EA$13), 1*(_xlfn._xlws.FILTER(OFFSET($O$15,0,$DO58,$B$8,1),OFFSET($M$15,0,0,$B$8,1))=EA$14))   /   SUM(OFFSET($BO$15,0,0,$B$14,1)) + $B$18/($B$19*$B$19*($DN58&lt;&gt;$DO58) + $B$19*($DN58=$DO58))</f>
        <v>3.7037037037037035E-4</v>
      </c>
      <c r="EB58" s="10" cm="1">
        <f t="array" aca="1" ref="EB58" ca="1">(1-$B$18)*SUMPRODUCT(OFFSET($BO$15,0,0,$B$14,1), 1*(_xlfn._xlws.FILTER(OFFSET($O$15,0,$DN58,$B$8,1),OFFSET($M$15,0,0,$B$8,1))=EB$13), 1*(_xlfn._xlws.FILTER(OFFSET($O$15,0,$DO58,$B$8,1),OFFSET($M$15,0,0,$B$8,1))=EB$14))   /   SUM(OFFSET($BO$15,0,0,$B$14,1)) + $B$18/($B$19*$B$19*($DN58&lt;&gt;$DO58) + $B$19*($DN58=$DO58))</f>
        <v>3.7037037037037035E-4</v>
      </c>
      <c r="EC58" s="10" cm="1">
        <f t="array" aca="1" ref="EC58" ca="1">(1-$B$18)*SUMPRODUCT(OFFSET($BO$15,0,0,$B$14,1), 1*(_xlfn._xlws.FILTER(OFFSET($O$15,0,$DN58,$B$8,1),OFFSET($M$15,0,0,$B$8,1))=EC$13), 1*(_xlfn._xlws.FILTER(OFFSET($O$15,0,$DO58,$B$8,1),OFFSET($M$15,0,0,$B$8,1))=EC$14))   /   SUM(OFFSET($BO$15,0,0,$B$14,1)) + $B$18/($B$19*$B$19*($DN58&lt;&gt;$DO58) + $B$19*($DN58=$DO58))</f>
        <v>3.7037037037037035E-4</v>
      </c>
      <c r="ED58" s="10" cm="1">
        <f t="array" aca="1" ref="ED58" ca="1">(1-$B$18)*SUMPRODUCT(OFFSET($BO$15,0,0,$B$14,1), 1*(_xlfn._xlws.FILTER(OFFSET($O$15,0,$DN58,$B$8,1),OFFSET($M$15,0,0,$B$8,1))=ED$13), 1*(_xlfn._xlws.FILTER(OFFSET($O$15,0,$DO58,$B$8,1),OFFSET($M$15,0,0,$B$8,1))=ED$14))   /   SUM(OFFSET($BO$15,0,0,$B$14,1)) + $B$18/($B$19*$B$19*($DN58&lt;&gt;$DO58) + $B$19*($DN58=$DO58))</f>
        <v>3.7037037037037035E-4</v>
      </c>
      <c r="EE58" s="10" cm="1">
        <f t="array" aca="1" ref="EE58" ca="1">(1-$B$18)*SUMPRODUCT(OFFSET($BO$15,0,0,$B$14,1), 1*(_xlfn._xlws.FILTER(OFFSET($O$15,0,$DN58,$B$8,1),OFFSET($M$15,0,0,$B$8,1))=EE$13), 1*(_xlfn._xlws.FILTER(OFFSET($O$15,0,$DO58,$B$8,1),OFFSET($M$15,0,0,$B$8,1))=EE$14))   /   SUM(OFFSET($BO$15,0,0,$B$14,1)) + $B$18/($B$19*$B$19*($DN58&lt;&gt;$DO58) + $B$19*($DN58=$DO58))</f>
        <v>3.7037037037037035E-4</v>
      </c>
      <c r="EF58" s="10" cm="1">
        <f t="array" aca="1" ref="EF58" ca="1">(1-$B$18)*SUMPRODUCT(OFFSET($BO$15,0,0,$B$14,1), 1*(_xlfn._xlws.FILTER(OFFSET($O$15,0,$DN58,$B$8,1),OFFSET($M$15,0,0,$B$8,1))=EF$13), 1*(_xlfn._xlws.FILTER(OFFSET($O$15,0,$DO58,$B$8,1),OFFSET($M$15,0,0,$B$8,1))=EF$14))   /   SUM(OFFSET($BO$15,0,0,$B$14,1)) + $B$18/($B$19*$B$19*($DN58&lt;&gt;$DO58) + $B$19*($DN58=$DO58))</f>
        <v>3.7037037037037035E-4</v>
      </c>
      <c r="EG58" s="10" cm="1">
        <f t="array" aca="1" ref="EG58" ca="1">(1-$B$18)*SUMPRODUCT(OFFSET($BO$15,0,0,$B$14,1), 1*(_xlfn._xlws.FILTER(OFFSET($O$15,0,$DN58,$B$8,1),OFFSET($M$15,0,0,$B$8,1))=EG$13), 1*(_xlfn._xlws.FILTER(OFFSET($O$15,0,$DO58,$B$8,1),OFFSET($M$15,0,0,$B$8,1))=EG$14))   /   SUM(OFFSET($BO$15,0,0,$B$14,1)) + $B$18/($B$19*$B$19*($DN58&lt;&gt;$DO58) + $B$19*($DN58=$DO58))</f>
        <v>3.7037037037037035E-4</v>
      </c>
      <c r="EH58" s="10" cm="1">
        <f t="array" aca="1" ref="EH58" ca="1">(1-$B$18)*SUMPRODUCT(OFFSET($BO$15,0,0,$B$14,1), 1*(_xlfn._xlws.FILTER(OFFSET($O$15,0,$DN58,$B$8,1),OFFSET($M$15,0,0,$B$8,1))=EH$13), 1*(_xlfn._xlws.FILTER(OFFSET($O$15,0,$DO58,$B$8,1),OFFSET($M$15,0,0,$B$8,1))=EH$14))   /   SUM(OFFSET($BO$15,0,0,$B$14,1)) + $B$18/($B$19*$B$19*($DN58&lt;&gt;$DO58) + $B$19*($DN58=$DO58))</f>
        <v>3.7037037037037035E-4</v>
      </c>
      <c r="EI58" s="10" cm="1">
        <f t="array" aca="1" ref="EI58" ca="1">(1-$B$18)*SUMPRODUCT(OFFSET($BO$15,0,0,$B$14,1), 1*(_xlfn._xlws.FILTER(OFFSET($O$15,0,$DN58,$B$8,1),OFFSET($M$15,0,0,$B$8,1))=EI$13), 1*(_xlfn._xlws.FILTER(OFFSET($O$15,0,$DO58,$B$8,1),OFFSET($M$15,0,0,$B$8,1))=EI$14))   /   SUM(OFFSET($BO$15,0,0,$B$14,1)) + $B$18/($B$19*$B$19*($DN58&lt;&gt;$DO58) + $B$19*($DN58=$DO58))</f>
        <v>3.7037037037037035E-4</v>
      </c>
      <c r="EJ58" s="10" cm="1">
        <f t="array" aca="1" ref="EJ58" ca="1">(1-$B$18)*SUMPRODUCT(OFFSET($BO$15,0,0,$B$14,1), 1*(_xlfn._xlws.FILTER(OFFSET($O$15,0,$DN58,$B$8,1),OFFSET($M$15,0,0,$B$8,1))=EJ$13), 1*(_xlfn._xlws.FILTER(OFFSET($O$15,0,$DO58,$B$8,1),OFFSET($M$15,0,0,$B$8,1))=EJ$14))   /   SUM(OFFSET($BO$15,0,0,$B$14,1)) + $B$18/($B$19*$B$19*($DN58&lt;&gt;$DO58) + $B$19*($DN58=$DO58))</f>
        <v>3.7037037037037035E-4</v>
      </c>
      <c r="EK58" s="10" cm="1">
        <f t="array" aca="1" ref="EK58" ca="1">(1-$B$18)*SUMPRODUCT(OFFSET($BO$15,0,0,$B$14,1), 1*(_xlfn._xlws.FILTER(OFFSET($O$15,0,$DN58,$B$8,1),OFFSET($M$15,0,0,$B$8,1))=EK$13), 1*(_xlfn._xlws.FILTER(OFFSET($O$15,0,$DO58,$B$8,1),OFFSET($M$15,0,0,$B$8,1))=EK$14))   /   SUM(OFFSET($BO$15,0,0,$B$14,1)) + $B$18/($B$19*$B$19*($DN58&lt;&gt;$DO58) + $B$19*($DN58=$DO58))</f>
        <v>3.7037037037037035E-4</v>
      </c>
      <c r="EL58" s="10" cm="1">
        <f t="array" aca="1" ref="EL58" ca="1">(1-$B$18)*SUMPRODUCT(OFFSET($BO$15,0,0,$B$14,1), 1*(_xlfn._xlws.FILTER(OFFSET($O$15,0,$DN58,$B$8,1),OFFSET($M$15,0,0,$B$8,1))=EL$13), 1*(_xlfn._xlws.FILTER(OFFSET($O$15,0,$DO58,$B$8,1),OFFSET($M$15,0,0,$B$8,1))=EL$14))   /   SUM(OFFSET($BO$15,0,0,$B$14,1)) + $B$18/($B$19*$B$19*($DN58&lt;&gt;$DO58) + $B$19*($DN58=$DO58))</f>
        <v>3.7037037037037035E-4</v>
      </c>
      <c r="EM58" s="10" cm="1">
        <f t="array" aca="1" ref="EM58" ca="1">(1-$B$18)*SUMPRODUCT(OFFSET($BO$15,0,0,$B$14,1), 1*(_xlfn._xlws.FILTER(OFFSET($O$15,0,$DN58,$B$8,1),OFFSET($M$15,0,0,$B$8,1))=EM$13), 1*(_xlfn._xlws.FILTER(OFFSET($O$15,0,$DO58,$B$8,1),OFFSET($M$15,0,0,$B$8,1))=EM$14))   /   SUM(OFFSET($BO$15,0,0,$B$14,1)) + $B$18/($B$19*$B$19*($DN58&lt;&gt;$DO58) + $B$19*($DN58=$DO58))</f>
        <v>3.7037037037037035E-4</v>
      </c>
      <c r="EN58" s="10" cm="1">
        <f t="array" aca="1" ref="EN58" ca="1">(1-$B$18)*SUMPRODUCT(OFFSET($BO$15,0,0,$B$14,1), 1*(_xlfn._xlws.FILTER(OFFSET($O$15,0,$DN58,$B$8,1),OFFSET($M$15,0,0,$B$8,1))=EN$13), 1*(_xlfn._xlws.FILTER(OFFSET($O$15,0,$DO58,$B$8,1),OFFSET($M$15,0,0,$B$8,1))=EN$14))   /   SUM(OFFSET($BO$15,0,0,$B$14,1)) + $B$18/($B$19*$B$19*($DN58&lt;&gt;$DO58) + $B$19*($DN58=$DO58))</f>
        <v>3.7037037037037035E-4</v>
      </c>
      <c r="EO58" s="10" cm="1">
        <f t="array" aca="1" ref="EO58" ca="1">(1-$B$18)*SUMPRODUCT(OFFSET($BO$15,0,0,$B$14,1), 1*(_xlfn._xlws.FILTER(OFFSET($O$15,0,$DN58,$B$8,1),OFFSET($M$15,0,0,$B$8,1))=EO$13), 1*(_xlfn._xlws.FILTER(OFFSET($O$15,0,$DO58,$B$8,1),OFFSET($M$15,0,0,$B$8,1))=EO$14))   /   SUM(OFFSET($BO$15,0,0,$B$14,1)) + $B$18/($B$19*$B$19*($DN58&lt;&gt;$DO58) + $B$19*($DN58=$DO58))</f>
        <v>3.7037037037037035E-4</v>
      </c>
      <c r="EP58" s="10" cm="1">
        <f t="array" aca="1" ref="EP58" ca="1">(1-$B$18)*SUMPRODUCT(OFFSET($BO$15,0,0,$B$14,1), 1*(_xlfn._xlws.FILTER(OFFSET($O$15,0,$DN58,$B$8,1),OFFSET($M$15,0,0,$B$8,1))=EP$13), 1*(_xlfn._xlws.FILTER(OFFSET($O$15,0,$DO58,$B$8,1),OFFSET($M$15,0,0,$B$8,1))=EP$14))   /   SUM(OFFSET($BO$15,0,0,$B$14,1)) + $B$18/($B$19*$B$19*($DN58&lt;&gt;$DO58) + $B$19*($DN58=$DO58))</f>
        <v>3.7037037037037035E-4</v>
      </c>
      <c r="EQ58" s="10" cm="1">
        <f t="array" aca="1" ref="EQ58" ca="1">(1-$B$18)*SUMPRODUCT(OFFSET($BO$15,0,0,$B$14,1), 1*(_xlfn._xlws.FILTER(OFFSET($O$15,0,$DN58,$B$8,1),OFFSET($M$15,0,0,$B$8,1))=EQ$13), 1*(_xlfn._xlws.FILTER(OFFSET($O$15,0,$DO58,$B$8,1),OFFSET($M$15,0,0,$B$8,1))=EQ$14))   /   SUM(OFFSET($BO$15,0,0,$B$14,1)) + $B$18/($B$19*$B$19*($DN58&lt;&gt;$DO58) + $B$19*($DN58=$DO58))</f>
        <v>3.7037037037037035E-4</v>
      </c>
      <c r="ER58" s="10" cm="1">
        <f t="array" aca="1" ref="ER58" ca="1">(1-$B$18)*SUMPRODUCT(OFFSET($BO$15,0,0,$B$14,1), 1*(_xlfn._xlws.FILTER(OFFSET($O$15,0,$DN58,$B$8,1),OFFSET($M$15,0,0,$B$8,1))=ER$13), 1*(_xlfn._xlws.FILTER(OFFSET($O$15,0,$DO58,$B$8,1),OFFSET($M$15,0,0,$B$8,1))=ER$14))   /   SUM(OFFSET($BO$15,0,0,$B$14,1)) + $B$18/($B$19*$B$19*($DN58&lt;&gt;$DO58) + $B$19*($DN58=$DO58))</f>
        <v>3.7037037037037035E-4</v>
      </c>
      <c r="ES58" s="10" cm="1">
        <f t="array" aca="1" ref="ES58" ca="1">(1-$B$18)*SUMPRODUCT(OFFSET($BO$15,0,0,$B$14,1), 1*(_xlfn._xlws.FILTER(OFFSET($O$15,0,$DN58,$B$8,1),OFFSET($M$15,0,0,$B$8,1))=ES$13), 1*(_xlfn._xlws.FILTER(OFFSET($O$15,0,$DO58,$B$8,1),OFFSET($M$15,0,0,$B$8,1))=ES$14))   /   SUM(OFFSET($BO$15,0,0,$B$14,1)) + $B$18/($B$19*$B$19*($DN58&lt;&gt;$DO58) + $B$19*($DN58=$DO58))</f>
        <v>3.7037037037037035E-4</v>
      </c>
      <c r="ET58" s="10" cm="1">
        <f t="array" aca="1" ref="ET58" ca="1">(1-$B$18)*SUMPRODUCT(OFFSET($BO$15,0,0,$B$14,1), 1*(_xlfn._xlws.FILTER(OFFSET($O$15,0,$DN58,$B$8,1),OFFSET($M$15,0,0,$B$8,1))=ET$13), 1*(_xlfn._xlws.FILTER(OFFSET($O$15,0,$DO58,$B$8,1),OFFSET($M$15,0,0,$B$8,1))=ET$14))   /   SUM(OFFSET($BO$15,0,0,$B$14,1)) + $B$18/($B$19*$B$19*($DN58&lt;&gt;$DO58) + $B$19*($DN58=$DO58))</f>
        <v>3.7037037037037035E-4</v>
      </c>
      <c r="EU58" s="10" cm="1">
        <f t="array" aca="1" ref="EU58" ca="1">(1-$B$18)*SUMPRODUCT(OFFSET($BO$15,0,0,$B$14,1), 1*(_xlfn._xlws.FILTER(OFFSET($O$15,0,$DN58,$B$8,1),OFFSET($M$15,0,0,$B$8,1))=EU$13), 1*(_xlfn._xlws.FILTER(OFFSET($O$15,0,$DO58,$B$8,1),OFFSET($M$15,0,0,$B$8,1))=EU$14))   /   SUM(OFFSET($BO$15,0,0,$B$14,1)) + $B$18/($B$19*$B$19*($DN58&lt;&gt;$DO58) + $B$19*($DN58=$DO58))</f>
        <v>3.7037037037037035E-4</v>
      </c>
      <c r="EV58" s="10" cm="1">
        <f t="array" aca="1" ref="EV58" ca="1">(1-$B$18)*SUMPRODUCT(OFFSET($BO$15,0,0,$B$14,1), 1*(_xlfn._xlws.FILTER(OFFSET($O$15,0,$DN58,$B$8,1),OFFSET($M$15,0,0,$B$8,1))=EV$13), 1*(_xlfn._xlws.FILTER(OFFSET($O$15,0,$DO58,$B$8,1),OFFSET($M$15,0,0,$B$8,1))=EV$14))   /   SUM(OFFSET($BO$15,0,0,$B$14,1)) + $B$18/($B$19*$B$19*($DN58&lt;&gt;$DO58) + $B$19*($DN58=$DO58))</f>
        <v>3.7037037037037035E-4</v>
      </c>
      <c r="EW58" s="10" cm="1">
        <f t="array" aca="1" ref="EW58" ca="1">(1-$B$18)*SUMPRODUCT(OFFSET($BO$15,0,0,$B$14,1), 1*(_xlfn._xlws.FILTER(OFFSET($O$15,0,$DN58,$B$8,1),OFFSET($M$15,0,0,$B$8,1))=EW$13), 1*(_xlfn._xlws.FILTER(OFFSET($O$15,0,$DO58,$B$8,1),OFFSET($M$15,0,0,$B$8,1))=EW$14))   /   SUM(OFFSET($BO$15,0,0,$B$14,1)) + $B$18/($B$19*$B$19*($DN58&lt;&gt;$DO58) + $B$19*($DN58=$DO58))</f>
        <v>3.7037037037037035E-4</v>
      </c>
      <c r="EX58" s="10" cm="1">
        <f t="array" aca="1" ref="EX58" ca="1">(1-$B$18)*SUMPRODUCT(OFFSET($BO$15,0,0,$B$14,1), 1*(_xlfn._xlws.FILTER(OFFSET($O$15,0,$DN58,$B$8,1),OFFSET($M$15,0,0,$B$8,1))=EX$13), 1*(_xlfn._xlws.FILTER(OFFSET($O$15,0,$DO58,$B$8,1),OFFSET($M$15,0,0,$B$8,1))=EX$14))   /   SUM(OFFSET($BO$15,0,0,$B$14,1)) + $B$18/($B$19*$B$19*($DN58&lt;&gt;$DO58) + $B$19*($DN58=$DO58))</f>
        <v>3.7037037037037035E-4</v>
      </c>
      <c r="EY58" s="10" cm="1">
        <f t="array" aca="1" ref="EY58" ca="1">(1-$B$18)*SUMPRODUCT(OFFSET($BO$15,0,0,$B$14,1), 1*(_xlfn._xlws.FILTER(OFFSET($O$15,0,$DN58,$B$8,1),OFFSET($M$15,0,0,$B$8,1))=EY$13), 1*(_xlfn._xlws.FILTER(OFFSET($O$15,0,$DO58,$B$8,1),OFFSET($M$15,0,0,$B$8,1))=EY$14))   /   SUM(OFFSET($BO$15,0,0,$B$14,1)) + $B$18/($B$19*$B$19*($DN58&lt;&gt;$DO58) + $B$19*($DN58=$DO58))</f>
        <v>3.7037037037037035E-4</v>
      </c>
      <c r="EZ58" s="10" cm="1">
        <f t="array" aca="1" ref="EZ58" ca="1">(1-$B$18)*SUMPRODUCT(OFFSET($BO$15,0,0,$B$14,1), 1*(_xlfn._xlws.FILTER(OFFSET($O$15,0,$DN58,$B$8,1),OFFSET($M$15,0,0,$B$8,1))=EZ$13), 1*(_xlfn._xlws.FILTER(OFFSET($O$15,0,$DO58,$B$8,1),OFFSET($M$15,0,0,$B$8,1))=EZ$14))   /   SUM(OFFSET($BO$15,0,0,$B$14,1)) + $B$18/($B$19*$B$19*($DN58&lt;&gt;$DO58) + $B$19*($DN58=$DO58))</f>
        <v>3.7037037037037035E-4</v>
      </c>
      <c r="FA58" s="10" cm="1">
        <f t="array" aca="1" ref="FA58" ca="1">(1-$B$18)*SUMPRODUCT(OFFSET($BO$15,0,0,$B$14,1), 1*(_xlfn._xlws.FILTER(OFFSET($O$15,0,$DN58,$B$8,1),OFFSET($M$15,0,0,$B$8,1))=FA$13), 1*(_xlfn._xlws.FILTER(OFFSET($O$15,0,$DO58,$B$8,1),OFFSET($M$15,0,0,$B$8,1))=FA$14))   /   SUM(OFFSET($BO$15,0,0,$B$14,1)) + $B$18/($B$19*$B$19*($DN58&lt;&gt;$DO58) + $B$19*($DN58=$DO58))</f>
        <v>3.7037037037037035E-4</v>
      </c>
      <c r="FB58" s="10" cm="1">
        <f t="array" aca="1" ref="FB58" ca="1">(1-$B$18)*SUMPRODUCT(OFFSET($BO$15,0,0,$B$14,1), 1*(_xlfn._xlws.FILTER(OFFSET($O$15,0,$DN58,$B$8,1),OFFSET($M$15,0,0,$B$8,1))=FB$13), 1*(_xlfn._xlws.FILTER(OFFSET($O$15,0,$DO58,$B$8,1),OFFSET($M$15,0,0,$B$8,1))=FB$14))   /   SUM(OFFSET($BO$15,0,0,$B$14,1)) + $B$18/($B$19*$B$19*($DN58&lt;&gt;$DO58) + $B$19*($DN58=$DO58))</f>
        <v>3.7037037037037035E-4</v>
      </c>
      <c r="FC58" s="10" cm="1">
        <f t="array" aca="1" ref="FC58" ca="1">(1-$B$18)*SUMPRODUCT(OFFSET($BO$15,0,0,$B$14,1), 1*(_xlfn._xlws.FILTER(OFFSET($O$15,0,$DN58,$B$8,1),OFFSET($M$15,0,0,$B$8,1))=FC$13), 1*(_xlfn._xlws.FILTER(OFFSET($O$15,0,$DO58,$B$8,1),OFFSET($M$15,0,0,$B$8,1))=FC$14))   /   SUM(OFFSET($BO$15,0,0,$B$14,1)) + $B$18/($B$19*$B$19*($DN58&lt;&gt;$DO58) + $B$19*($DN58=$DO58))</f>
        <v>3.7037037037037035E-4</v>
      </c>
      <c r="FD58" s="10" cm="1">
        <f t="array" aca="1" ref="FD58" ca="1">(1-$B$18)*SUMPRODUCT(OFFSET($BO$15,0,0,$B$14,1), 1*(_xlfn._xlws.FILTER(OFFSET($O$15,0,$DN58,$B$8,1),OFFSET($M$15,0,0,$B$8,1))=FD$13), 1*(_xlfn._xlws.FILTER(OFFSET($O$15,0,$DO58,$B$8,1),OFFSET($M$15,0,0,$B$8,1))=FD$14))   /   SUM(OFFSET($BO$15,0,0,$B$14,1)) + $B$18/($B$19*$B$19*($DN58&lt;&gt;$DO58) + $B$19*($DN58=$DO58))</f>
        <v>3.7037037037037035E-4</v>
      </c>
      <c r="FE58" s="10" cm="1">
        <f t="array" aca="1" ref="FE58" ca="1">(1-$B$18)*SUMPRODUCT(OFFSET($BO$15,0,0,$B$14,1), 1*(_xlfn._xlws.FILTER(OFFSET($O$15,0,$DN58,$B$8,1),OFFSET($M$15,0,0,$B$8,1))=FE$13), 1*(_xlfn._xlws.FILTER(OFFSET($O$15,0,$DO58,$B$8,1),OFFSET($M$15,0,0,$B$8,1))=FE$14))   /   SUM(OFFSET($BO$15,0,0,$B$14,1)) + $B$18/($B$19*$B$19*($DN58&lt;&gt;$DO58) + $B$19*($DN58=$DO58))</f>
        <v>3.7037037037037035E-4</v>
      </c>
      <c r="FF58" s="10" cm="1">
        <f t="array" aca="1" ref="FF58" ca="1">(1-$B$18)*SUMPRODUCT(OFFSET($BO$15,0,0,$B$14,1), 1*(_xlfn._xlws.FILTER(OFFSET($O$15,0,$DN58,$B$8,1),OFFSET($M$15,0,0,$B$8,1))=FF$13), 1*(_xlfn._xlws.FILTER(OFFSET($O$15,0,$DO58,$B$8,1),OFFSET($M$15,0,0,$B$8,1))=FF$14))   /   SUM(OFFSET($BO$15,0,0,$B$14,1)) + $B$18/($B$19*$B$19*($DN58&lt;&gt;$DO58) + $B$19*($DN58=$DO58))</f>
        <v>3.7037037037037035E-4</v>
      </c>
      <c r="FG58" s="10" cm="1">
        <f t="array" aca="1" ref="FG58" ca="1">(1-$B$18)*SUMPRODUCT(OFFSET($BO$15,0,0,$B$14,1), 1*(_xlfn._xlws.FILTER(OFFSET($O$15,0,$DN58,$B$8,1),OFFSET($M$15,0,0,$B$8,1))=FG$13), 1*(_xlfn._xlws.FILTER(OFFSET($O$15,0,$DO58,$B$8,1),OFFSET($M$15,0,0,$B$8,1))=FG$14))   /   SUM(OFFSET($BO$15,0,0,$B$14,1)) + $B$18/($B$19*$B$19*($DN58&lt;&gt;$DO58) + $B$19*($DN58=$DO58))</f>
        <v>3.7037037037037035E-4</v>
      </c>
      <c r="FH58" s="10" cm="1">
        <f t="array" aca="1" ref="FH58" ca="1">(1-$B$18)*SUMPRODUCT(OFFSET($BO$15,0,0,$B$14,1), 1*(_xlfn._xlws.FILTER(OFFSET($O$15,0,$DN58,$B$8,1),OFFSET($M$15,0,0,$B$8,1))=FH$13), 1*(_xlfn._xlws.FILTER(OFFSET($O$15,0,$DO58,$B$8,1),OFFSET($M$15,0,0,$B$8,1))=FH$14))   /   SUM(OFFSET($BO$15,0,0,$B$14,1)) + $B$18/($B$19*$B$19*($DN58&lt;&gt;$DO58) + $B$19*($DN58=$DO58))</f>
        <v>3.7037037037037035E-4</v>
      </c>
      <c r="FI58" s="10" cm="1">
        <f t="array" aca="1" ref="FI58" ca="1">(1-$B$18)*SUMPRODUCT(OFFSET($BO$15,0,0,$B$14,1), 1*(_xlfn._xlws.FILTER(OFFSET($O$15,0,$DN58,$B$8,1),OFFSET($M$15,0,0,$B$8,1))=FI$13), 1*(_xlfn._xlws.FILTER(OFFSET($O$15,0,$DO58,$B$8,1),OFFSET($M$15,0,0,$B$8,1))=FI$14))   /   SUM(OFFSET($BO$15,0,0,$B$14,1)) + $B$18/($B$19*$B$19*($DN58&lt;&gt;$DO58) + $B$19*($DN58=$DO58))</f>
        <v>3.7037037037037035E-4</v>
      </c>
      <c r="FJ58" s="10" cm="1">
        <f t="array" aca="1" ref="FJ58" ca="1">(1-$B$18)*SUMPRODUCT(OFFSET($BO$15,0,0,$B$14,1), 1*(_xlfn._xlws.FILTER(OFFSET($O$15,0,$DN58,$B$8,1),OFFSET($M$15,0,0,$B$8,1))=FJ$13), 1*(_xlfn._xlws.FILTER(OFFSET($O$15,0,$DO58,$B$8,1),OFFSET($M$15,0,0,$B$8,1))=FJ$14))   /   SUM(OFFSET($BO$15,0,0,$B$14,1)) + $B$18/($B$19*$B$19*($DN58&lt;&gt;$DO58) + $B$19*($DN58=$DO58))</f>
        <v>3.7037037037037035E-4</v>
      </c>
      <c r="FK58" s="10" cm="1">
        <f t="array" aca="1" ref="FK58" ca="1">(1-$B$18)*SUMPRODUCT(OFFSET($BO$15,0,0,$B$14,1), 1*(_xlfn._xlws.FILTER(OFFSET($O$15,0,$DN58,$B$8,1),OFFSET($M$15,0,0,$B$8,1))=FK$13), 1*(_xlfn._xlws.FILTER(OFFSET($O$15,0,$DO58,$B$8,1),OFFSET($M$15,0,0,$B$8,1))=FK$14))   /   SUM(OFFSET($BO$15,0,0,$B$14,1)) + $B$18/($B$19*$B$19*($DN58&lt;&gt;$DO58) + $B$19*($DN58=$DO58))</f>
        <v>3.7037037037037035E-4</v>
      </c>
      <c r="FL58" s="10" cm="1">
        <f t="array" aca="1" ref="FL58" ca="1">(1-$B$18)*SUMPRODUCT(OFFSET($BO$15,0,0,$B$14,1), 1*(_xlfn._xlws.FILTER(OFFSET($O$15,0,$DN58,$B$8,1),OFFSET($M$15,0,0,$B$8,1))=FL$13), 1*(_xlfn._xlws.FILTER(OFFSET($O$15,0,$DO58,$B$8,1),OFFSET($M$15,0,0,$B$8,1))=FL$14))   /   SUM(OFFSET($BO$15,0,0,$B$14,1)) + $B$18/($B$19*$B$19*($DN58&lt;&gt;$DO58) + $B$19*($DN58=$DO58))</f>
        <v>3.7037037037037035E-4</v>
      </c>
      <c r="FM58" s="10" cm="1">
        <f t="array" aca="1" ref="FM58" ca="1">(1-$B$18)*SUMPRODUCT(OFFSET($BO$15,0,0,$B$14,1), 1*(_xlfn._xlws.FILTER(OFFSET($O$15,0,$DN58,$B$8,1),OFFSET($M$15,0,0,$B$8,1))=FM$13), 1*(_xlfn._xlws.FILTER(OFFSET($O$15,0,$DO58,$B$8,1),OFFSET($M$15,0,0,$B$8,1))=FM$14))   /   SUM(OFFSET($BO$15,0,0,$B$14,1)) + $B$18/($B$19*$B$19*($DN58&lt;&gt;$DO58) + $B$19*($DN58=$DO58))</f>
        <v>3.7037037037037035E-4</v>
      </c>
      <c r="FN58" s="10" cm="1">
        <f t="array" aca="1" ref="FN58" ca="1">(1-$B$18)*SUMPRODUCT(OFFSET($BO$15,0,0,$B$14,1), 1*(_xlfn._xlws.FILTER(OFFSET($O$15,0,$DN58,$B$8,1),OFFSET($M$15,0,0,$B$8,1))=FN$13), 1*(_xlfn._xlws.FILTER(OFFSET($O$15,0,$DO58,$B$8,1),OFFSET($M$15,0,0,$B$8,1))=FN$14))   /   SUM(OFFSET($BO$15,0,0,$B$14,1)) + $B$18/($B$19*$B$19*($DN58&lt;&gt;$DO58) + $B$19*($DN58=$DO58))</f>
        <v>3.7037037037037035E-4</v>
      </c>
      <c r="FO58" s="10" cm="1">
        <f t="array" aca="1" ref="FO58" ca="1">(1-$B$18)*SUMPRODUCT(OFFSET($BO$15,0,0,$B$14,1), 1*(_xlfn._xlws.FILTER(OFFSET($O$15,0,$DN58,$B$8,1),OFFSET($M$15,0,0,$B$8,1))=FO$13), 1*(_xlfn._xlws.FILTER(OFFSET($O$15,0,$DO58,$B$8,1),OFFSET($M$15,0,0,$B$8,1))=FO$14))   /   SUM(OFFSET($BO$15,0,0,$B$14,1)) + $B$18/($B$19*$B$19*($DN58&lt;&gt;$DO58) + $B$19*($DN58=$DO58))</f>
        <v>3.7037037037037035E-4</v>
      </c>
      <c r="FP58" s="10" cm="1">
        <f t="array" aca="1" ref="FP58" ca="1">(1-$B$18)*SUMPRODUCT(OFFSET($BO$15,0,0,$B$14,1), 1*(_xlfn._xlws.FILTER(OFFSET($O$15,0,$DN58,$B$8,1),OFFSET($M$15,0,0,$B$8,1))=FP$13), 1*(_xlfn._xlws.FILTER(OFFSET($O$15,0,$DO58,$B$8,1),OFFSET($M$15,0,0,$B$8,1))=FP$14))   /   SUM(OFFSET($BO$15,0,0,$B$14,1)) + $B$18/($B$19*$B$19*($DN58&lt;&gt;$DO58) + $B$19*($DN58=$DO58))</f>
        <v>3.7037037037037035E-4</v>
      </c>
      <c r="FQ58" s="10" cm="1">
        <f t="array" aca="1" ref="FQ58" ca="1">(1-$B$18)*SUMPRODUCT(OFFSET($BO$15,0,0,$B$14,1), 1*(_xlfn._xlws.FILTER(OFFSET($O$15,0,$DN58,$B$8,1),OFFSET($M$15,0,0,$B$8,1))=FQ$13), 1*(_xlfn._xlws.FILTER(OFFSET($O$15,0,$DO58,$B$8,1),OFFSET($M$15,0,0,$B$8,1))=FQ$14))   /   SUM(OFFSET($BO$15,0,0,$B$14,1)) + $B$18/($B$19*$B$19*($DN58&lt;&gt;$DO58) + $B$19*($DN58=$DO58))</f>
        <v>3.7037037037037035E-4</v>
      </c>
      <c r="FR58" s="10" cm="1">
        <f t="array" aca="1" ref="FR58" ca="1">(1-$B$18)*SUMPRODUCT(OFFSET($BO$15,0,0,$B$14,1), 1*(_xlfn._xlws.FILTER(OFFSET($O$15,0,$DN58,$B$8,1),OFFSET($M$15,0,0,$B$8,1))=FR$13), 1*(_xlfn._xlws.FILTER(OFFSET($O$15,0,$DO58,$B$8,1),OFFSET($M$15,0,0,$B$8,1))=FR$14))   /   SUM(OFFSET($BO$15,0,0,$B$14,1)) + $B$18/($B$19*$B$19*($DN58&lt;&gt;$DO58) + $B$19*($DN58=$DO58))</f>
        <v>0.97037037037037033</v>
      </c>
      <c r="FS58" s="10" cm="1">
        <f t="array" aca="1" ref="FS58" ca="1">(1-$B$18)*SUMPRODUCT(OFFSET($BO$15,0,0,$B$14,1), 1*(_xlfn._xlws.FILTER(OFFSET($O$15,0,$DN58,$B$8,1),OFFSET($M$15,0,0,$B$8,1))=FS$13), 1*(_xlfn._xlws.FILTER(OFFSET($O$15,0,$DO58,$B$8,1),OFFSET($M$15,0,0,$B$8,1))=FS$14))   /   SUM(OFFSET($BO$15,0,0,$B$14,1)) + $B$18/($B$19*$B$19*($DN58&lt;&gt;$DO58) + $B$19*($DN58=$DO58))</f>
        <v>3.7037037037037035E-4</v>
      </c>
      <c r="FT58" s="10" cm="1">
        <f t="array" aca="1" ref="FT58" ca="1">(1-$B$18)*SUMPRODUCT(OFFSET($BO$15,0,0,$B$14,1), 1*(_xlfn._xlws.FILTER(OFFSET($O$15,0,$DN58,$B$8,1),OFFSET($M$15,0,0,$B$8,1))=FT$13), 1*(_xlfn._xlws.FILTER(OFFSET($O$15,0,$DO58,$B$8,1),OFFSET($M$15,0,0,$B$8,1))=FT$14))   /   SUM(OFFSET($BO$15,0,0,$B$14,1)) + $B$18/($B$19*$B$19*($DN58&lt;&gt;$DO58) + $B$19*($DN58=$DO58))</f>
        <v>3.7037037037037035E-4</v>
      </c>
      <c r="FU58" s="10" cm="1">
        <f t="array" aca="1" ref="FU58" ca="1">(1-$B$18)*SUMPRODUCT(OFFSET($BO$15,0,0,$B$14,1), 1*(_xlfn._xlws.FILTER(OFFSET($O$15,0,$DN58,$B$8,1),OFFSET($M$15,0,0,$B$8,1))=FU$13), 1*(_xlfn._xlws.FILTER(OFFSET($O$15,0,$DO58,$B$8,1),OFFSET($M$15,0,0,$B$8,1))=FU$14))   /   SUM(OFFSET($BO$15,0,0,$B$14,1)) + $B$18/($B$19*$B$19*($DN58&lt;&gt;$DO58) + $B$19*($DN58=$DO58))</f>
        <v>3.7037037037037035E-4</v>
      </c>
      <c r="FV58" s="10" cm="1">
        <f t="array" aca="1" ref="FV58" ca="1">(1-$B$18)*SUMPRODUCT(OFFSET($BO$15,0,0,$B$14,1), 1*(_xlfn._xlws.FILTER(OFFSET($O$15,0,$DN58,$B$8,1),OFFSET($M$15,0,0,$B$8,1))=FV$13), 1*(_xlfn._xlws.FILTER(OFFSET($O$15,0,$DO58,$B$8,1),OFFSET($M$15,0,0,$B$8,1))=FV$14))   /   SUM(OFFSET($BO$15,0,0,$B$14,1)) + $B$18/($B$19*$B$19*($DN58&lt;&gt;$DO58) + $B$19*($DN58=$DO58))</f>
        <v>3.7037037037037035E-4</v>
      </c>
      <c r="FW58" s="10" cm="1">
        <f t="array" aca="1" ref="FW58" ca="1">(1-$B$18)*SUMPRODUCT(OFFSET($BO$15,0,0,$B$14,1), 1*(_xlfn._xlws.FILTER(OFFSET($O$15,0,$DN58,$B$8,1),OFFSET($M$15,0,0,$B$8,1))=FW$13), 1*(_xlfn._xlws.FILTER(OFFSET($O$15,0,$DO58,$B$8,1),OFFSET($M$15,0,0,$B$8,1))=FW$14))   /   SUM(OFFSET($BO$15,0,0,$B$14,1)) + $B$18/($B$19*$B$19*($DN58&lt;&gt;$DO58) + $B$19*($DN58=$DO58))</f>
        <v>3.7037037037037035E-4</v>
      </c>
      <c r="FX58" s="10" cm="1">
        <f t="array" aca="1" ref="FX58" ca="1">(1-$B$18)*SUMPRODUCT(OFFSET($BO$15,0,0,$B$14,1), 1*(_xlfn._xlws.FILTER(OFFSET($O$15,0,$DN58,$B$8,1),OFFSET($M$15,0,0,$B$8,1))=FX$13), 1*(_xlfn._xlws.FILTER(OFFSET($O$15,0,$DO58,$B$8,1),OFFSET($M$15,0,0,$B$8,1))=FX$14))   /   SUM(OFFSET($BO$15,0,0,$B$14,1)) + $B$18/($B$19*$B$19*($DN58&lt;&gt;$DO58) + $B$19*($DN58=$DO58))</f>
        <v>3.7037037037037035E-4</v>
      </c>
      <c r="FY58" s="10" cm="1">
        <f t="array" aca="1" ref="FY58" ca="1">(1-$B$18)*SUMPRODUCT(OFFSET($BO$15,0,0,$B$14,1), 1*(_xlfn._xlws.FILTER(OFFSET($O$15,0,$DN58,$B$8,1),OFFSET($M$15,0,0,$B$8,1))=FY$13), 1*(_xlfn._xlws.FILTER(OFFSET($O$15,0,$DO58,$B$8,1),OFFSET($M$15,0,0,$B$8,1))=FY$14))   /   SUM(OFFSET($BO$15,0,0,$B$14,1)) + $B$18/($B$19*$B$19*($DN58&lt;&gt;$DO58) + $B$19*($DN58=$DO58))</f>
        <v>3.7037037037037035E-4</v>
      </c>
      <c r="FZ58" s="10" cm="1">
        <f t="array" aca="1" ref="FZ58" ca="1">(1-$B$18)*SUMPRODUCT(OFFSET($BO$15,0,0,$B$14,1), 1*(_xlfn._xlws.FILTER(OFFSET($O$15,0,$DN58,$B$8,1),OFFSET($M$15,0,0,$B$8,1))=FZ$13), 1*(_xlfn._xlws.FILTER(OFFSET($O$15,0,$DO58,$B$8,1),OFFSET($M$15,0,0,$B$8,1))=FZ$14))   /   SUM(OFFSET($BO$15,0,0,$B$14,1)) + $B$18/($B$19*$B$19*($DN58&lt;&gt;$DO58) + $B$19*($DN58=$DO58))</f>
        <v>3.7037037037037035E-4</v>
      </c>
      <c r="GA58" s="10" cm="1">
        <f t="array" aca="1" ref="GA58" ca="1">(1-$B$18)*SUMPRODUCT(OFFSET($BO$15,0,0,$B$14,1), 1*(_xlfn._xlws.FILTER(OFFSET($O$15,0,$DN58,$B$8,1),OFFSET($M$15,0,0,$B$8,1))=GA$13), 1*(_xlfn._xlws.FILTER(OFFSET($O$15,0,$DO58,$B$8,1),OFFSET($M$15,0,0,$B$8,1))=GA$14))   /   SUM(OFFSET($BO$15,0,0,$B$14,1)) + $B$18/($B$19*$B$19*($DN58&lt;&gt;$DO58) + $B$19*($DN58=$DO58))</f>
        <v>3.7037037037037035E-4</v>
      </c>
    </row>
    <row r="59" spans="5:183" x14ac:dyDescent="0.2">
      <c r="AK59" s="2"/>
      <c r="AL59" s="2"/>
      <c r="CX59">
        <f ca="1"/>
        <v>0.1</v>
      </c>
      <c r="CY59">
        <f ca="1"/>
        <v>0</v>
      </c>
      <c r="DN59" cm="1">
        <f t="array" aca="1" ref="DN59" ca="1">INDEX(_xlfn.ANCHORARRAY($CP$15), 1 + INT((ROWS($DO$15:$DO59) - 1) / ROWS(_xlfn.ANCHORARRAY($CP$15))))</f>
        <v>2</v>
      </c>
      <c r="DO59" cm="1">
        <f t="array" aca="1" ref="DO59" ca="1">INDEX(_xlfn.ANCHORARRAY($CP$15),1+MOD(ROWS($DO$15:$DO59)-1,ROWS(_xlfn.ANCHORARRAY($CP$15))))</f>
        <v>6</v>
      </c>
      <c r="DP59" s="10" cm="1">
        <f t="array" aca="1" ref="DP59" ca="1">(1-$B$18)*SUMPRODUCT(OFFSET($BO$15,0,0,$B$14,1), 1*(_xlfn._xlws.FILTER(OFFSET($O$15,0,$DN59,$B$8,1),OFFSET($M$15,0,0,$B$8,1))=DP$13), 1*(_xlfn._xlws.FILTER(OFFSET($O$15,0,$DO59,$B$8,1),OFFSET($M$15,0,0,$B$8,1))=DP$14))   /   SUM(OFFSET($BO$15,0,0,$B$14,1)) + $B$18/($B$19*$B$19*($DN59&lt;&gt;$DO59) + $B$19*($DN59=$DO59))</f>
        <v>3.7037037037037035E-4</v>
      </c>
      <c r="DQ59" s="10" cm="1">
        <f t="array" aca="1" ref="DQ59" ca="1">(1-$B$18)*SUMPRODUCT(OFFSET($BO$15,0,0,$B$14,1), 1*(_xlfn._xlws.FILTER(OFFSET($O$15,0,$DN59,$B$8,1),OFFSET($M$15,0,0,$B$8,1))=DQ$13), 1*(_xlfn._xlws.FILTER(OFFSET($O$15,0,$DO59,$B$8,1),OFFSET($M$15,0,0,$B$8,1))=DQ$14))   /   SUM(OFFSET($BO$15,0,0,$B$14,1)) + $B$18/($B$19*$B$19*($DN59&lt;&gt;$DO59) + $B$19*($DN59=$DO59))</f>
        <v>3.7037037037037035E-4</v>
      </c>
      <c r="DR59" s="10" cm="1">
        <f t="array" aca="1" ref="DR59" ca="1">(1-$B$18)*SUMPRODUCT(OFFSET($BO$15,0,0,$B$14,1), 1*(_xlfn._xlws.FILTER(OFFSET($O$15,0,$DN59,$B$8,1),OFFSET($M$15,0,0,$B$8,1))=DR$13), 1*(_xlfn._xlws.FILTER(OFFSET($O$15,0,$DO59,$B$8,1),OFFSET($M$15,0,0,$B$8,1))=DR$14))   /   SUM(OFFSET($BO$15,0,0,$B$14,1)) + $B$18/($B$19*$B$19*($DN59&lt;&gt;$DO59) + $B$19*($DN59=$DO59))</f>
        <v>3.7037037037037035E-4</v>
      </c>
      <c r="DS59" s="10" cm="1">
        <f t="array" aca="1" ref="DS59" ca="1">(1-$B$18)*SUMPRODUCT(OFFSET($BO$15,0,0,$B$14,1), 1*(_xlfn._xlws.FILTER(OFFSET($O$15,0,$DN59,$B$8,1),OFFSET($M$15,0,0,$B$8,1))=DS$13), 1*(_xlfn._xlws.FILTER(OFFSET($O$15,0,$DO59,$B$8,1),OFFSET($M$15,0,0,$B$8,1))=DS$14))   /   SUM(OFFSET($BO$15,0,0,$B$14,1)) + $B$18/($B$19*$B$19*($DN59&lt;&gt;$DO59) + $B$19*($DN59=$DO59))</f>
        <v>3.7037037037037035E-4</v>
      </c>
      <c r="DT59" s="10" cm="1">
        <f t="array" aca="1" ref="DT59" ca="1">(1-$B$18)*SUMPRODUCT(OFFSET($BO$15,0,0,$B$14,1), 1*(_xlfn._xlws.FILTER(OFFSET($O$15,0,$DN59,$B$8,1),OFFSET($M$15,0,0,$B$8,1))=DT$13), 1*(_xlfn._xlws.FILTER(OFFSET($O$15,0,$DO59,$B$8,1),OFFSET($M$15,0,0,$B$8,1))=DT$14))   /   SUM(OFFSET($BO$15,0,0,$B$14,1)) + $B$18/($B$19*$B$19*($DN59&lt;&gt;$DO59) + $B$19*($DN59=$DO59))</f>
        <v>3.7037037037037035E-4</v>
      </c>
      <c r="DU59" s="10" cm="1">
        <f t="array" aca="1" ref="DU59" ca="1">(1-$B$18)*SUMPRODUCT(OFFSET($BO$15,0,0,$B$14,1), 1*(_xlfn._xlws.FILTER(OFFSET($O$15,0,$DN59,$B$8,1),OFFSET($M$15,0,0,$B$8,1))=DU$13), 1*(_xlfn._xlws.FILTER(OFFSET($O$15,0,$DO59,$B$8,1),OFFSET($M$15,0,0,$B$8,1))=DU$14))   /   SUM(OFFSET($BO$15,0,0,$B$14,1)) + $B$18/($B$19*$B$19*($DN59&lt;&gt;$DO59) + $B$19*($DN59=$DO59))</f>
        <v>3.7037037037037035E-4</v>
      </c>
      <c r="DV59" s="10" cm="1">
        <f t="array" aca="1" ref="DV59" ca="1">(1-$B$18)*SUMPRODUCT(OFFSET($BO$15,0,0,$B$14,1), 1*(_xlfn._xlws.FILTER(OFFSET($O$15,0,$DN59,$B$8,1),OFFSET($M$15,0,0,$B$8,1))=DV$13), 1*(_xlfn._xlws.FILTER(OFFSET($O$15,0,$DO59,$B$8,1),OFFSET($M$15,0,0,$B$8,1))=DV$14))   /   SUM(OFFSET($BO$15,0,0,$B$14,1)) + $B$18/($B$19*$B$19*($DN59&lt;&gt;$DO59) + $B$19*($DN59=$DO59))</f>
        <v>3.7037037037037035E-4</v>
      </c>
      <c r="DW59" s="10" cm="1">
        <f t="array" aca="1" ref="DW59" ca="1">(1-$B$18)*SUMPRODUCT(OFFSET($BO$15,0,0,$B$14,1), 1*(_xlfn._xlws.FILTER(OFFSET($O$15,0,$DN59,$B$8,1),OFFSET($M$15,0,0,$B$8,1))=DW$13), 1*(_xlfn._xlws.FILTER(OFFSET($O$15,0,$DO59,$B$8,1),OFFSET($M$15,0,0,$B$8,1))=DW$14))   /   SUM(OFFSET($BO$15,0,0,$B$14,1)) + $B$18/($B$19*$B$19*($DN59&lt;&gt;$DO59) + $B$19*($DN59=$DO59))</f>
        <v>3.7037037037037035E-4</v>
      </c>
      <c r="DX59" s="10" cm="1">
        <f t="array" aca="1" ref="DX59" ca="1">(1-$B$18)*SUMPRODUCT(OFFSET($BO$15,0,0,$B$14,1), 1*(_xlfn._xlws.FILTER(OFFSET($O$15,0,$DN59,$B$8,1),OFFSET($M$15,0,0,$B$8,1))=DX$13), 1*(_xlfn._xlws.FILTER(OFFSET($O$15,0,$DO59,$B$8,1),OFFSET($M$15,0,0,$B$8,1))=DX$14))   /   SUM(OFFSET($BO$15,0,0,$B$14,1)) + $B$18/($B$19*$B$19*($DN59&lt;&gt;$DO59) + $B$19*($DN59=$DO59))</f>
        <v>3.7037037037037035E-4</v>
      </c>
      <c r="DY59" s="10" cm="1">
        <f t="array" aca="1" ref="DY59" ca="1">(1-$B$18)*SUMPRODUCT(OFFSET($BO$15,0,0,$B$14,1), 1*(_xlfn._xlws.FILTER(OFFSET($O$15,0,$DN59,$B$8,1),OFFSET($M$15,0,0,$B$8,1))=DY$13), 1*(_xlfn._xlws.FILTER(OFFSET($O$15,0,$DO59,$B$8,1),OFFSET($M$15,0,0,$B$8,1))=DY$14))   /   SUM(OFFSET($BO$15,0,0,$B$14,1)) + $B$18/($B$19*$B$19*($DN59&lt;&gt;$DO59) + $B$19*($DN59=$DO59))</f>
        <v>3.7037037037037035E-4</v>
      </c>
      <c r="DZ59" s="10" cm="1">
        <f t="array" aca="1" ref="DZ59" ca="1">(1-$B$18)*SUMPRODUCT(OFFSET($BO$15,0,0,$B$14,1), 1*(_xlfn._xlws.FILTER(OFFSET($O$15,0,$DN59,$B$8,1),OFFSET($M$15,0,0,$B$8,1))=DZ$13), 1*(_xlfn._xlws.FILTER(OFFSET($O$15,0,$DO59,$B$8,1),OFFSET($M$15,0,0,$B$8,1))=DZ$14))   /   SUM(OFFSET($BO$15,0,0,$B$14,1)) + $B$18/($B$19*$B$19*($DN59&lt;&gt;$DO59) + $B$19*($DN59=$DO59))</f>
        <v>3.7037037037037035E-4</v>
      </c>
      <c r="EA59" s="10" cm="1">
        <f t="array" aca="1" ref="EA59" ca="1">(1-$B$18)*SUMPRODUCT(OFFSET($BO$15,0,0,$B$14,1), 1*(_xlfn._xlws.FILTER(OFFSET($O$15,0,$DN59,$B$8,1),OFFSET($M$15,0,0,$B$8,1))=EA$13), 1*(_xlfn._xlws.FILTER(OFFSET($O$15,0,$DO59,$B$8,1),OFFSET($M$15,0,0,$B$8,1))=EA$14))   /   SUM(OFFSET($BO$15,0,0,$B$14,1)) + $B$18/($B$19*$B$19*($DN59&lt;&gt;$DO59) + $B$19*($DN59=$DO59))</f>
        <v>3.7037037037037035E-4</v>
      </c>
      <c r="EB59" s="10" cm="1">
        <f t="array" aca="1" ref="EB59" ca="1">(1-$B$18)*SUMPRODUCT(OFFSET($BO$15,0,0,$B$14,1), 1*(_xlfn._xlws.FILTER(OFFSET($O$15,0,$DN59,$B$8,1),OFFSET($M$15,0,0,$B$8,1))=EB$13), 1*(_xlfn._xlws.FILTER(OFFSET($O$15,0,$DO59,$B$8,1),OFFSET($M$15,0,0,$B$8,1))=EB$14))   /   SUM(OFFSET($BO$15,0,0,$B$14,1)) + $B$18/($B$19*$B$19*($DN59&lt;&gt;$DO59) + $B$19*($DN59=$DO59))</f>
        <v>3.7037037037037035E-4</v>
      </c>
      <c r="EC59" s="10" cm="1">
        <f t="array" aca="1" ref="EC59" ca="1">(1-$B$18)*SUMPRODUCT(OFFSET($BO$15,0,0,$B$14,1), 1*(_xlfn._xlws.FILTER(OFFSET($O$15,0,$DN59,$B$8,1),OFFSET($M$15,0,0,$B$8,1))=EC$13), 1*(_xlfn._xlws.FILTER(OFFSET($O$15,0,$DO59,$B$8,1),OFFSET($M$15,0,0,$B$8,1))=EC$14))   /   SUM(OFFSET($BO$15,0,0,$B$14,1)) + $B$18/($B$19*$B$19*($DN59&lt;&gt;$DO59) + $B$19*($DN59=$DO59))</f>
        <v>3.7037037037037035E-4</v>
      </c>
      <c r="ED59" s="10" cm="1">
        <f t="array" aca="1" ref="ED59" ca="1">(1-$B$18)*SUMPRODUCT(OFFSET($BO$15,0,0,$B$14,1), 1*(_xlfn._xlws.FILTER(OFFSET($O$15,0,$DN59,$B$8,1),OFFSET($M$15,0,0,$B$8,1))=ED$13), 1*(_xlfn._xlws.FILTER(OFFSET($O$15,0,$DO59,$B$8,1),OFFSET($M$15,0,0,$B$8,1))=ED$14))   /   SUM(OFFSET($BO$15,0,0,$B$14,1)) + $B$18/($B$19*$B$19*($DN59&lt;&gt;$DO59) + $B$19*($DN59=$DO59))</f>
        <v>3.7037037037037035E-4</v>
      </c>
      <c r="EE59" s="10" cm="1">
        <f t="array" aca="1" ref="EE59" ca="1">(1-$B$18)*SUMPRODUCT(OFFSET($BO$15,0,0,$B$14,1), 1*(_xlfn._xlws.FILTER(OFFSET($O$15,0,$DN59,$B$8,1),OFFSET($M$15,0,0,$B$8,1))=EE$13), 1*(_xlfn._xlws.FILTER(OFFSET($O$15,0,$DO59,$B$8,1),OFFSET($M$15,0,0,$B$8,1))=EE$14))   /   SUM(OFFSET($BO$15,0,0,$B$14,1)) + $B$18/($B$19*$B$19*($DN59&lt;&gt;$DO59) + $B$19*($DN59=$DO59))</f>
        <v>3.7037037037037035E-4</v>
      </c>
      <c r="EF59" s="10" cm="1">
        <f t="array" aca="1" ref="EF59" ca="1">(1-$B$18)*SUMPRODUCT(OFFSET($BO$15,0,0,$B$14,1), 1*(_xlfn._xlws.FILTER(OFFSET($O$15,0,$DN59,$B$8,1),OFFSET($M$15,0,0,$B$8,1))=EF$13), 1*(_xlfn._xlws.FILTER(OFFSET($O$15,0,$DO59,$B$8,1),OFFSET($M$15,0,0,$B$8,1))=EF$14))   /   SUM(OFFSET($BO$15,0,0,$B$14,1)) + $B$18/($B$19*$B$19*($DN59&lt;&gt;$DO59) + $B$19*($DN59=$DO59))</f>
        <v>3.7037037037037035E-4</v>
      </c>
      <c r="EG59" s="10" cm="1">
        <f t="array" aca="1" ref="EG59" ca="1">(1-$B$18)*SUMPRODUCT(OFFSET($BO$15,0,0,$B$14,1), 1*(_xlfn._xlws.FILTER(OFFSET($O$15,0,$DN59,$B$8,1),OFFSET($M$15,0,0,$B$8,1))=EG$13), 1*(_xlfn._xlws.FILTER(OFFSET($O$15,0,$DO59,$B$8,1),OFFSET($M$15,0,0,$B$8,1))=EG$14))   /   SUM(OFFSET($BO$15,0,0,$B$14,1)) + $B$18/($B$19*$B$19*($DN59&lt;&gt;$DO59) + $B$19*($DN59=$DO59))</f>
        <v>3.7037037037037035E-4</v>
      </c>
      <c r="EH59" s="10" cm="1">
        <f t="array" aca="1" ref="EH59" ca="1">(1-$B$18)*SUMPRODUCT(OFFSET($BO$15,0,0,$B$14,1), 1*(_xlfn._xlws.FILTER(OFFSET($O$15,0,$DN59,$B$8,1),OFFSET($M$15,0,0,$B$8,1))=EH$13), 1*(_xlfn._xlws.FILTER(OFFSET($O$15,0,$DO59,$B$8,1),OFFSET($M$15,0,0,$B$8,1))=EH$14))   /   SUM(OFFSET($BO$15,0,0,$B$14,1)) + $B$18/($B$19*$B$19*($DN59&lt;&gt;$DO59) + $B$19*($DN59=$DO59))</f>
        <v>3.7037037037037035E-4</v>
      </c>
      <c r="EI59" s="10" cm="1">
        <f t="array" aca="1" ref="EI59" ca="1">(1-$B$18)*SUMPRODUCT(OFFSET($BO$15,0,0,$B$14,1), 1*(_xlfn._xlws.FILTER(OFFSET($O$15,0,$DN59,$B$8,1),OFFSET($M$15,0,0,$B$8,1))=EI$13), 1*(_xlfn._xlws.FILTER(OFFSET($O$15,0,$DO59,$B$8,1),OFFSET($M$15,0,0,$B$8,1))=EI$14))   /   SUM(OFFSET($BO$15,0,0,$B$14,1)) + $B$18/($B$19*$B$19*($DN59&lt;&gt;$DO59) + $B$19*($DN59=$DO59))</f>
        <v>3.7037037037037035E-4</v>
      </c>
      <c r="EJ59" s="10" cm="1">
        <f t="array" aca="1" ref="EJ59" ca="1">(1-$B$18)*SUMPRODUCT(OFFSET($BO$15,0,0,$B$14,1), 1*(_xlfn._xlws.FILTER(OFFSET($O$15,0,$DN59,$B$8,1),OFFSET($M$15,0,0,$B$8,1))=EJ$13), 1*(_xlfn._xlws.FILTER(OFFSET($O$15,0,$DO59,$B$8,1),OFFSET($M$15,0,0,$B$8,1))=EJ$14))   /   SUM(OFFSET($BO$15,0,0,$B$14,1)) + $B$18/($B$19*$B$19*($DN59&lt;&gt;$DO59) + $B$19*($DN59=$DO59))</f>
        <v>3.7037037037037035E-4</v>
      </c>
      <c r="EK59" s="10" cm="1">
        <f t="array" aca="1" ref="EK59" ca="1">(1-$B$18)*SUMPRODUCT(OFFSET($BO$15,0,0,$B$14,1), 1*(_xlfn._xlws.FILTER(OFFSET($O$15,0,$DN59,$B$8,1),OFFSET($M$15,0,0,$B$8,1))=EK$13), 1*(_xlfn._xlws.FILTER(OFFSET($O$15,0,$DO59,$B$8,1),OFFSET($M$15,0,0,$B$8,1))=EK$14))   /   SUM(OFFSET($BO$15,0,0,$B$14,1)) + $B$18/($B$19*$B$19*($DN59&lt;&gt;$DO59) + $B$19*($DN59=$DO59))</f>
        <v>3.7037037037037035E-4</v>
      </c>
      <c r="EL59" s="10" cm="1">
        <f t="array" aca="1" ref="EL59" ca="1">(1-$B$18)*SUMPRODUCT(OFFSET($BO$15,0,0,$B$14,1), 1*(_xlfn._xlws.FILTER(OFFSET($O$15,0,$DN59,$B$8,1),OFFSET($M$15,0,0,$B$8,1))=EL$13), 1*(_xlfn._xlws.FILTER(OFFSET($O$15,0,$DO59,$B$8,1),OFFSET($M$15,0,0,$B$8,1))=EL$14))   /   SUM(OFFSET($BO$15,0,0,$B$14,1)) + $B$18/($B$19*$B$19*($DN59&lt;&gt;$DO59) + $B$19*($DN59=$DO59))</f>
        <v>3.7037037037037035E-4</v>
      </c>
      <c r="EM59" s="10" cm="1">
        <f t="array" aca="1" ref="EM59" ca="1">(1-$B$18)*SUMPRODUCT(OFFSET($BO$15,0,0,$B$14,1), 1*(_xlfn._xlws.FILTER(OFFSET($O$15,0,$DN59,$B$8,1),OFFSET($M$15,0,0,$B$8,1))=EM$13), 1*(_xlfn._xlws.FILTER(OFFSET($O$15,0,$DO59,$B$8,1),OFFSET($M$15,0,0,$B$8,1))=EM$14))   /   SUM(OFFSET($BO$15,0,0,$B$14,1)) + $B$18/($B$19*$B$19*($DN59&lt;&gt;$DO59) + $B$19*($DN59=$DO59))</f>
        <v>3.7037037037037035E-4</v>
      </c>
      <c r="EN59" s="10" cm="1">
        <f t="array" aca="1" ref="EN59" ca="1">(1-$B$18)*SUMPRODUCT(OFFSET($BO$15,0,0,$B$14,1), 1*(_xlfn._xlws.FILTER(OFFSET($O$15,0,$DN59,$B$8,1),OFFSET($M$15,0,0,$B$8,1))=EN$13), 1*(_xlfn._xlws.FILTER(OFFSET($O$15,0,$DO59,$B$8,1),OFFSET($M$15,0,0,$B$8,1))=EN$14))   /   SUM(OFFSET($BO$15,0,0,$B$14,1)) + $B$18/($B$19*$B$19*($DN59&lt;&gt;$DO59) + $B$19*($DN59=$DO59))</f>
        <v>3.7037037037037035E-4</v>
      </c>
      <c r="EO59" s="10" cm="1">
        <f t="array" aca="1" ref="EO59" ca="1">(1-$B$18)*SUMPRODUCT(OFFSET($BO$15,0,0,$B$14,1), 1*(_xlfn._xlws.FILTER(OFFSET($O$15,0,$DN59,$B$8,1),OFFSET($M$15,0,0,$B$8,1))=EO$13), 1*(_xlfn._xlws.FILTER(OFFSET($O$15,0,$DO59,$B$8,1),OFFSET($M$15,0,0,$B$8,1))=EO$14))   /   SUM(OFFSET($BO$15,0,0,$B$14,1)) + $B$18/($B$19*$B$19*($DN59&lt;&gt;$DO59) + $B$19*($DN59=$DO59))</f>
        <v>3.7037037037037035E-4</v>
      </c>
      <c r="EP59" s="10" cm="1">
        <f t="array" aca="1" ref="EP59" ca="1">(1-$B$18)*SUMPRODUCT(OFFSET($BO$15,0,0,$B$14,1), 1*(_xlfn._xlws.FILTER(OFFSET($O$15,0,$DN59,$B$8,1),OFFSET($M$15,0,0,$B$8,1))=EP$13), 1*(_xlfn._xlws.FILTER(OFFSET($O$15,0,$DO59,$B$8,1),OFFSET($M$15,0,0,$B$8,1))=EP$14))   /   SUM(OFFSET($BO$15,0,0,$B$14,1)) + $B$18/($B$19*$B$19*($DN59&lt;&gt;$DO59) + $B$19*($DN59=$DO59))</f>
        <v>3.7037037037037035E-4</v>
      </c>
      <c r="EQ59" s="10" cm="1">
        <f t="array" aca="1" ref="EQ59" ca="1">(1-$B$18)*SUMPRODUCT(OFFSET($BO$15,0,0,$B$14,1), 1*(_xlfn._xlws.FILTER(OFFSET($O$15,0,$DN59,$B$8,1),OFFSET($M$15,0,0,$B$8,1))=EQ$13), 1*(_xlfn._xlws.FILTER(OFFSET($O$15,0,$DO59,$B$8,1),OFFSET($M$15,0,0,$B$8,1))=EQ$14))   /   SUM(OFFSET($BO$15,0,0,$B$14,1)) + $B$18/($B$19*$B$19*($DN59&lt;&gt;$DO59) + $B$19*($DN59=$DO59))</f>
        <v>3.7037037037037035E-4</v>
      </c>
      <c r="ER59" s="10" cm="1">
        <f t="array" aca="1" ref="ER59" ca="1">(1-$B$18)*SUMPRODUCT(OFFSET($BO$15,0,0,$B$14,1), 1*(_xlfn._xlws.FILTER(OFFSET($O$15,0,$DN59,$B$8,1),OFFSET($M$15,0,0,$B$8,1))=ER$13), 1*(_xlfn._xlws.FILTER(OFFSET($O$15,0,$DO59,$B$8,1),OFFSET($M$15,0,0,$B$8,1))=ER$14))   /   SUM(OFFSET($BO$15,0,0,$B$14,1)) + $B$18/($B$19*$B$19*($DN59&lt;&gt;$DO59) + $B$19*($DN59=$DO59))</f>
        <v>3.7037037037037035E-4</v>
      </c>
      <c r="ES59" s="10" cm="1">
        <f t="array" aca="1" ref="ES59" ca="1">(1-$B$18)*SUMPRODUCT(OFFSET($BO$15,0,0,$B$14,1), 1*(_xlfn._xlws.FILTER(OFFSET($O$15,0,$DN59,$B$8,1),OFFSET($M$15,0,0,$B$8,1))=ES$13), 1*(_xlfn._xlws.FILTER(OFFSET($O$15,0,$DO59,$B$8,1),OFFSET($M$15,0,0,$B$8,1))=ES$14))   /   SUM(OFFSET($BO$15,0,0,$B$14,1)) + $B$18/($B$19*$B$19*($DN59&lt;&gt;$DO59) + $B$19*($DN59=$DO59))</f>
        <v>3.7037037037037035E-4</v>
      </c>
      <c r="ET59" s="10" cm="1">
        <f t="array" aca="1" ref="ET59" ca="1">(1-$B$18)*SUMPRODUCT(OFFSET($BO$15,0,0,$B$14,1), 1*(_xlfn._xlws.FILTER(OFFSET($O$15,0,$DN59,$B$8,1),OFFSET($M$15,0,0,$B$8,1))=ET$13), 1*(_xlfn._xlws.FILTER(OFFSET($O$15,0,$DO59,$B$8,1),OFFSET($M$15,0,0,$B$8,1))=ET$14))   /   SUM(OFFSET($BO$15,0,0,$B$14,1)) + $B$18/($B$19*$B$19*($DN59&lt;&gt;$DO59) + $B$19*($DN59=$DO59))</f>
        <v>3.7037037037037035E-4</v>
      </c>
      <c r="EU59" s="10" cm="1">
        <f t="array" aca="1" ref="EU59" ca="1">(1-$B$18)*SUMPRODUCT(OFFSET($BO$15,0,0,$B$14,1), 1*(_xlfn._xlws.FILTER(OFFSET($O$15,0,$DN59,$B$8,1),OFFSET($M$15,0,0,$B$8,1))=EU$13), 1*(_xlfn._xlws.FILTER(OFFSET($O$15,0,$DO59,$B$8,1),OFFSET($M$15,0,0,$B$8,1))=EU$14))   /   SUM(OFFSET($BO$15,0,0,$B$14,1)) + $B$18/($B$19*$B$19*($DN59&lt;&gt;$DO59) + $B$19*($DN59=$DO59))</f>
        <v>3.7037037037037035E-4</v>
      </c>
      <c r="EV59" s="10" cm="1">
        <f t="array" aca="1" ref="EV59" ca="1">(1-$B$18)*SUMPRODUCT(OFFSET($BO$15,0,0,$B$14,1), 1*(_xlfn._xlws.FILTER(OFFSET($O$15,0,$DN59,$B$8,1),OFFSET($M$15,0,0,$B$8,1))=EV$13), 1*(_xlfn._xlws.FILTER(OFFSET($O$15,0,$DO59,$B$8,1),OFFSET($M$15,0,0,$B$8,1))=EV$14))   /   SUM(OFFSET($BO$15,0,0,$B$14,1)) + $B$18/($B$19*$B$19*($DN59&lt;&gt;$DO59) + $B$19*($DN59=$DO59))</f>
        <v>3.7037037037037035E-4</v>
      </c>
      <c r="EW59" s="10" cm="1">
        <f t="array" aca="1" ref="EW59" ca="1">(1-$B$18)*SUMPRODUCT(OFFSET($BO$15,0,0,$B$14,1), 1*(_xlfn._xlws.FILTER(OFFSET($O$15,0,$DN59,$B$8,1),OFFSET($M$15,0,0,$B$8,1))=EW$13), 1*(_xlfn._xlws.FILTER(OFFSET($O$15,0,$DO59,$B$8,1),OFFSET($M$15,0,0,$B$8,1))=EW$14))   /   SUM(OFFSET($BO$15,0,0,$B$14,1)) + $B$18/($B$19*$B$19*($DN59&lt;&gt;$DO59) + $B$19*($DN59=$DO59))</f>
        <v>3.7037037037037035E-4</v>
      </c>
      <c r="EX59" s="10" cm="1">
        <f t="array" aca="1" ref="EX59" ca="1">(1-$B$18)*SUMPRODUCT(OFFSET($BO$15,0,0,$B$14,1), 1*(_xlfn._xlws.FILTER(OFFSET($O$15,0,$DN59,$B$8,1),OFFSET($M$15,0,0,$B$8,1))=EX$13), 1*(_xlfn._xlws.FILTER(OFFSET($O$15,0,$DO59,$B$8,1),OFFSET($M$15,0,0,$B$8,1))=EX$14))   /   SUM(OFFSET($BO$15,0,0,$B$14,1)) + $B$18/($B$19*$B$19*($DN59&lt;&gt;$DO59) + $B$19*($DN59=$DO59))</f>
        <v>3.7037037037037035E-4</v>
      </c>
      <c r="EY59" s="10" cm="1">
        <f t="array" aca="1" ref="EY59" ca="1">(1-$B$18)*SUMPRODUCT(OFFSET($BO$15,0,0,$B$14,1), 1*(_xlfn._xlws.FILTER(OFFSET($O$15,0,$DN59,$B$8,1),OFFSET($M$15,0,0,$B$8,1))=EY$13), 1*(_xlfn._xlws.FILTER(OFFSET($O$15,0,$DO59,$B$8,1),OFFSET($M$15,0,0,$B$8,1))=EY$14))   /   SUM(OFFSET($BO$15,0,0,$B$14,1)) + $B$18/($B$19*$B$19*($DN59&lt;&gt;$DO59) + $B$19*($DN59=$DO59))</f>
        <v>3.7037037037037035E-4</v>
      </c>
      <c r="EZ59" s="10" cm="1">
        <f t="array" aca="1" ref="EZ59" ca="1">(1-$B$18)*SUMPRODUCT(OFFSET($BO$15,0,0,$B$14,1), 1*(_xlfn._xlws.FILTER(OFFSET($O$15,0,$DN59,$B$8,1),OFFSET($M$15,0,0,$B$8,1))=EZ$13), 1*(_xlfn._xlws.FILTER(OFFSET($O$15,0,$DO59,$B$8,1),OFFSET($M$15,0,0,$B$8,1))=EZ$14))   /   SUM(OFFSET($BO$15,0,0,$B$14,1)) + $B$18/($B$19*$B$19*($DN59&lt;&gt;$DO59) + $B$19*($DN59=$DO59))</f>
        <v>3.7037037037037035E-4</v>
      </c>
      <c r="FA59" s="10" cm="1">
        <f t="array" aca="1" ref="FA59" ca="1">(1-$B$18)*SUMPRODUCT(OFFSET($BO$15,0,0,$B$14,1), 1*(_xlfn._xlws.FILTER(OFFSET($O$15,0,$DN59,$B$8,1),OFFSET($M$15,0,0,$B$8,1))=FA$13), 1*(_xlfn._xlws.FILTER(OFFSET($O$15,0,$DO59,$B$8,1),OFFSET($M$15,0,0,$B$8,1))=FA$14))   /   SUM(OFFSET($BO$15,0,0,$B$14,1)) + $B$18/($B$19*$B$19*($DN59&lt;&gt;$DO59) + $B$19*($DN59=$DO59))</f>
        <v>3.7037037037037035E-4</v>
      </c>
      <c r="FB59" s="10" cm="1">
        <f t="array" aca="1" ref="FB59" ca="1">(1-$B$18)*SUMPRODUCT(OFFSET($BO$15,0,0,$B$14,1), 1*(_xlfn._xlws.FILTER(OFFSET($O$15,0,$DN59,$B$8,1),OFFSET($M$15,0,0,$B$8,1))=FB$13), 1*(_xlfn._xlws.FILTER(OFFSET($O$15,0,$DO59,$B$8,1),OFFSET($M$15,0,0,$B$8,1))=FB$14))   /   SUM(OFFSET($BO$15,0,0,$B$14,1)) + $B$18/($B$19*$B$19*($DN59&lt;&gt;$DO59) + $B$19*($DN59=$DO59))</f>
        <v>3.7037037037037035E-4</v>
      </c>
      <c r="FC59" s="10" cm="1">
        <f t="array" aca="1" ref="FC59" ca="1">(1-$B$18)*SUMPRODUCT(OFFSET($BO$15,0,0,$B$14,1), 1*(_xlfn._xlws.FILTER(OFFSET($O$15,0,$DN59,$B$8,1),OFFSET($M$15,0,0,$B$8,1))=FC$13), 1*(_xlfn._xlws.FILTER(OFFSET($O$15,0,$DO59,$B$8,1),OFFSET($M$15,0,0,$B$8,1))=FC$14))   /   SUM(OFFSET($BO$15,0,0,$B$14,1)) + $B$18/($B$19*$B$19*($DN59&lt;&gt;$DO59) + $B$19*($DN59=$DO59))</f>
        <v>3.7037037037037035E-4</v>
      </c>
      <c r="FD59" s="10" cm="1">
        <f t="array" aca="1" ref="FD59" ca="1">(1-$B$18)*SUMPRODUCT(OFFSET($BO$15,0,0,$B$14,1), 1*(_xlfn._xlws.FILTER(OFFSET($O$15,0,$DN59,$B$8,1),OFFSET($M$15,0,0,$B$8,1))=FD$13), 1*(_xlfn._xlws.FILTER(OFFSET($O$15,0,$DO59,$B$8,1),OFFSET($M$15,0,0,$B$8,1))=FD$14))   /   SUM(OFFSET($BO$15,0,0,$B$14,1)) + $B$18/($B$19*$B$19*($DN59&lt;&gt;$DO59) + $B$19*($DN59=$DO59))</f>
        <v>3.7037037037037035E-4</v>
      </c>
      <c r="FE59" s="10" cm="1">
        <f t="array" aca="1" ref="FE59" ca="1">(1-$B$18)*SUMPRODUCT(OFFSET($BO$15,0,0,$B$14,1), 1*(_xlfn._xlws.FILTER(OFFSET($O$15,0,$DN59,$B$8,1),OFFSET($M$15,0,0,$B$8,1))=FE$13), 1*(_xlfn._xlws.FILTER(OFFSET($O$15,0,$DO59,$B$8,1),OFFSET($M$15,0,0,$B$8,1))=FE$14))   /   SUM(OFFSET($BO$15,0,0,$B$14,1)) + $B$18/($B$19*$B$19*($DN59&lt;&gt;$DO59) + $B$19*($DN59=$DO59))</f>
        <v>3.7037037037037035E-4</v>
      </c>
      <c r="FF59" s="10" cm="1">
        <f t="array" aca="1" ref="FF59" ca="1">(1-$B$18)*SUMPRODUCT(OFFSET($BO$15,0,0,$B$14,1), 1*(_xlfn._xlws.FILTER(OFFSET($O$15,0,$DN59,$B$8,1),OFFSET($M$15,0,0,$B$8,1))=FF$13), 1*(_xlfn._xlws.FILTER(OFFSET($O$15,0,$DO59,$B$8,1),OFFSET($M$15,0,0,$B$8,1))=FF$14))   /   SUM(OFFSET($BO$15,0,0,$B$14,1)) + $B$18/($B$19*$B$19*($DN59&lt;&gt;$DO59) + $B$19*($DN59=$DO59))</f>
        <v>3.7037037037037035E-4</v>
      </c>
      <c r="FG59" s="10" cm="1">
        <f t="array" aca="1" ref="FG59" ca="1">(1-$B$18)*SUMPRODUCT(OFFSET($BO$15,0,0,$B$14,1), 1*(_xlfn._xlws.FILTER(OFFSET($O$15,0,$DN59,$B$8,1),OFFSET($M$15,0,0,$B$8,1))=FG$13), 1*(_xlfn._xlws.FILTER(OFFSET($O$15,0,$DO59,$B$8,1),OFFSET($M$15,0,0,$B$8,1))=FG$14))   /   SUM(OFFSET($BO$15,0,0,$B$14,1)) + $B$18/($B$19*$B$19*($DN59&lt;&gt;$DO59) + $B$19*($DN59=$DO59))</f>
        <v>3.7037037037037035E-4</v>
      </c>
      <c r="FH59" s="10" cm="1">
        <f t="array" aca="1" ref="FH59" ca="1">(1-$B$18)*SUMPRODUCT(OFFSET($BO$15,0,0,$B$14,1), 1*(_xlfn._xlws.FILTER(OFFSET($O$15,0,$DN59,$B$8,1),OFFSET($M$15,0,0,$B$8,1))=FH$13), 1*(_xlfn._xlws.FILTER(OFFSET($O$15,0,$DO59,$B$8,1),OFFSET($M$15,0,0,$B$8,1))=FH$14))   /   SUM(OFFSET($BO$15,0,0,$B$14,1)) + $B$18/($B$19*$B$19*($DN59&lt;&gt;$DO59) + $B$19*($DN59=$DO59))</f>
        <v>3.7037037037037035E-4</v>
      </c>
      <c r="FI59" s="10" cm="1">
        <f t="array" aca="1" ref="FI59" ca="1">(1-$B$18)*SUMPRODUCT(OFFSET($BO$15,0,0,$B$14,1), 1*(_xlfn._xlws.FILTER(OFFSET($O$15,0,$DN59,$B$8,1),OFFSET($M$15,0,0,$B$8,1))=FI$13), 1*(_xlfn._xlws.FILTER(OFFSET($O$15,0,$DO59,$B$8,1),OFFSET($M$15,0,0,$B$8,1))=FI$14))   /   SUM(OFFSET($BO$15,0,0,$B$14,1)) + $B$18/($B$19*$B$19*($DN59&lt;&gt;$DO59) + $B$19*($DN59=$DO59))</f>
        <v>3.7037037037037035E-4</v>
      </c>
      <c r="FJ59" s="10" cm="1">
        <f t="array" aca="1" ref="FJ59" ca="1">(1-$B$18)*SUMPRODUCT(OFFSET($BO$15,0,0,$B$14,1), 1*(_xlfn._xlws.FILTER(OFFSET($O$15,0,$DN59,$B$8,1),OFFSET($M$15,0,0,$B$8,1))=FJ$13), 1*(_xlfn._xlws.FILTER(OFFSET($O$15,0,$DO59,$B$8,1),OFFSET($M$15,0,0,$B$8,1))=FJ$14))   /   SUM(OFFSET($BO$15,0,0,$B$14,1)) + $B$18/($B$19*$B$19*($DN59&lt;&gt;$DO59) + $B$19*($DN59=$DO59))</f>
        <v>3.7037037037037035E-4</v>
      </c>
      <c r="FK59" s="10" cm="1">
        <f t="array" aca="1" ref="FK59" ca="1">(1-$B$18)*SUMPRODUCT(OFFSET($BO$15,0,0,$B$14,1), 1*(_xlfn._xlws.FILTER(OFFSET($O$15,0,$DN59,$B$8,1),OFFSET($M$15,0,0,$B$8,1))=FK$13), 1*(_xlfn._xlws.FILTER(OFFSET($O$15,0,$DO59,$B$8,1),OFFSET($M$15,0,0,$B$8,1))=FK$14))   /   SUM(OFFSET($BO$15,0,0,$B$14,1)) + $B$18/($B$19*$B$19*($DN59&lt;&gt;$DO59) + $B$19*($DN59=$DO59))</f>
        <v>3.7037037037037035E-4</v>
      </c>
      <c r="FL59" s="10" cm="1">
        <f t="array" aca="1" ref="FL59" ca="1">(1-$B$18)*SUMPRODUCT(OFFSET($BO$15,0,0,$B$14,1), 1*(_xlfn._xlws.FILTER(OFFSET($O$15,0,$DN59,$B$8,1),OFFSET($M$15,0,0,$B$8,1))=FL$13), 1*(_xlfn._xlws.FILTER(OFFSET($O$15,0,$DO59,$B$8,1),OFFSET($M$15,0,0,$B$8,1))=FL$14))   /   SUM(OFFSET($BO$15,0,0,$B$14,1)) + $B$18/($B$19*$B$19*($DN59&lt;&gt;$DO59) + $B$19*($DN59=$DO59))</f>
        <v>3.7037037037037035E-4</v>
      </c>
      <c r="FM59" s="10" cm="1">
        <f t="array" aca="1" ref="FM59" ca="1">(1-$B$18)*SUMPRODUCT(OFFSET($BO$15,0,0,$B$14,1), 1*(_xlfn._xlws.FILTER(OFFSET($O$15,0,$DN59,$B$8,1),OFFSET($M$15,0,0,$B$8,1))=FM$13), 1*(_xlfn._xlws.FILTER(OFFSET($O$15,0,$DO59,$B$8,1),OFFSET($M$15,0,0,$B$8,1))=FM$14))   /   SUM(OFFSET($BO$15,0,0,$B$14,1)) + $B$18/($B$19*$B$19*($DN59&lt;&gt;$DO59) + $B$19*($DN59=$DO59))</f>
        <v>3.7037037037037035E-4</v>
      </c>
      <c r="FN59" s="10" cm="1">
        <f t="array" aca="1" ref="FN59" ca="1">(1-$B$18)*SUMPRODUCT(OFFSET($BO$15,0,0,$B$14,1), 1*(_xlfn._xlws.FILTER(OFFSET($O$15,0,$DN59,$B$8,1),OFFSET($M$15,0,0,$B$8,1))=FN$13), 1*(_xlfn._xlws.FILTER(OFFSET($O$15,0,$DO59,$B$8,1),OFFSET($M$15,0,0,$B$8,1))=FN$14))   /   SUM(OFFSET($BO$15,0,0,$B$14,1)) + $B$18/($B$19*$B$19*($DN59&lt;&gt;$DO59) + $B$19*($DN59=$DO59))</f>
        <v>3.7037037037037035E-4</v>
      </c>
      <c r="FO59" s="10" cm="1">
        <f t="array" aca="1" ref="FO59" ca="1">(1-$B$18)*SUMPRODUCT(OFFSET($BO$15,0,0,$B$14,1), 1*(_xlfn._xlws.FILTER(OFFSET($O$15,0,$DN59,$B$8,1),OFFSET($M$15,0,0,$B$8,1))=FO$13), 1*(_xlfn._xlws.FILTER(OFFSET($O$15,0,$DO59,$B$8,1),OFFSET($M$15,0,0,$B$8,1))=FO$14))   /   SUM(OFFSET($BO$15,0,0,$B$14,1)) + $B$18/($B$19*$B$19*($DN59&lt;&gt;$DO59) + $B$19*($DN59=$DO59))</f>
        <v>3.7037037037037035E-4</v>
      </c>
      <c r="FP59" s="10" cm="1">
        <f t="array" aca="1" ref="FP59" ca="1">(1-$B$18)*SUMPRODUCT(OFFSET($BO$15,0,0,$B$14,1), 1*(_xlfn._xlws.FILTER(OFFSET($O$15,0,$DN59,$B$8,1),OFFSET($M$15,0,0,$B$8,1))=FP$13), 1*(_xlfn._xlws.FILTER(OFFSET($O$15,0,$DO59,$B$8,1),OFFSET($M$15,0,0,$B$8,1))=FP$14))   /   SUM(OFFSET($BO$15,0,0,$B$14,1)) + $B$18/($B$19*$B$19*($DN59&lt;&gt;$DO59) + $B$19*($DN59=$DO59))</f>
        <v>3.7037037037037035E-4</v>
      </c>
      <c r="FQ59" s="10" cm="1">
        <f t="array" aca="1" ref="FQ59" ca="1">(1-$B$18)*SUMPRODUCT(OFFSET($BO$15,0,0,$B$14,1), 1*(_xlfn._xlws.FILTER(OFFSET($O$15,0,$DN59,$B$8,1),OFFSET($M$15,0,0,$B$8,1))=FQ$13), 1*(_xlfn._xlws.FILTER(OFFSET($O$15,0,$DO59,$B$8,1),OFFSET($M$15,0,0,$B$8,1))=FQ$14))   /   SUM(OFFSET($BO$15,0,0,$B$14,1)) + $B$18/($B$19*$B$19*($DN59&lt;&gt;$DO59) + $B$19*($DN59=$DO59))</f>
        <v>3.7037037037037035E-4</v>
      </c>
      <c r="FR59" s="10" cm="1">
        <f t="array" aca="1" ref="FR59" ca="1">(1-$B$18)*SUMPRODUCT(OFFSET($BO$15,0,0,$B$14,1), 1*(_xlfn._xlws.FILTER(OFFSET($O$15,0,$DN59,$B$8,1),OFFSET($M$15,0,0,$B$8,1))=FR$13), 1*(_xlfn._xlws.FILTER(OFFSET($O$15,0,$DO59,$B$8,1),OFFSET($M$15,0,0,$B$8,1))=FR$14))   /   SUM(OFFSET($BO$15,0,0,$B$14,1)) + $B$18/($B$19*$B$19*($DN59&lt;&gt;$DO59) + $B$19*($DN59=$DO59))</f>
        <v>0.97037037037037033</v>
      </c>
      <c r="FS59" s="10" cm="1">
        <f t="array" aca="1" ref="FS59" ca="1">(1-$B$18)*SUMPRODUCT(OFFSET($BO$15,0,0,$B$14,1), 1*(_xlfn._xlws.FILTER(OFFSET($O$15,0,$DN59,$B$8,1),OFFSET($M$15,0,0,$B$8,1))=FS$13), 1*(_xlfn._xlws.FILTER(OFFSET($O$15,0,$DO59,$B$8,1),OFFSET($M$15,0,0,$B$8,1))=FS$14))   /   SUM(OFFSET($BO$15,0,0,$B$14,1)) + $B$18/($B$19*$B$19*($DN59&lt;&gt;$DO59) + $B$19*($DN59=$DO59))</f>
        <v>3.7037037037037035E-4</v>
      </c>
      <c r="FT59" s="10" cm="1">
        <f t="array" aca="1" ref="FT59" ca="1">(1-$B$18)*SUMPRODUCT(OFFSET($BO$15,0,0,$B$14,1), 1*(_xlfn._xlws.FILTER(OFFSET($O$15,0,$DN59,$B$8,1),OFFSET($M$15,0,0,$B$8,1))=FT$13), 1*(_xlfn._xlws.FILTER(OFFSET($O$15,0,$DO59,$B$8,1),OFFSET($M$15,0,0,$B$8,1))=FT$14))   /   SUM(OFFSET($BO$15,0,0,$B$14,1)) + $B$18/($B$19*$B$19*($DN59&lt;&gt;$DO59) + $B$19*($DN59=$DO59))</f>
        <v>3.7037037037037035E-4</v>
      </c>
      <c r="FU59" s="10" cm="1">
        <f t="array" aca="1" ref="FU59" ca="1">(1-$B$18)*SUMPRODUCT(OFFSET($BO$15,0,0,$B$14,1), 1*(_xlfn._xlws.FILTER(OFFSET($O$15,0,$DN59,$B$8,1),OFFSET($M$15,0,0,$B$8,1))=FU$13), 1*(_xlfn._xlws.FILTER(OFFSET($O$15,0,$DO59,$B$8,1),OFFSET($M$15,0,0,$B$8,1))=FU$14))   /   SUM(OFFSET($BO$15,0,0,$B$14,1)) + $B$18/($B$19*$B$19*($DN59&lt;&gt;$DO59) + $B$19*($DN59=$DO59))</f>
        <v>3.7037037037037035E-4</v>
      </c>
      <c r="FV59" s="10" cm="1">
        <f t="array" aca="1" ref="FV59" ca="1">(1-$B$18)*SUMPRODUCT(OFFSET($BO$15,0,0,$B$14,1), 1*(_xlfn._xlws.FILTER(OFFSET($O$15,0,$DN59,$B$8,1),OFFSET($M$15,0,0,$B$8,1))=FV$13), 1*(_xlfn._xlws.FILTER(OFFSET($O$15,0,$DO59,$B$8,1),OFFSET($M$15,0,0,$B$8,1))=FV$14))   /   SUM(OFFSET($BO$15,0,0,$B$14,1)) + $B$18/($B$19*$B$19*($DN59&lt;&gt;$DO59) + $B$19*($DN59=$DO59))</f>
        <v>3.7037037037037035E-4</v>
      </c>
      <c r="FW59" s="10" cm="1">
        <f t="array" aca="1" ref="FW59" ca="1">(1-$B$18)*SUMPRODUCT(OFFSET($BO$15,0,0,$B$14,1), 1*(_xlfn._xlws.FILTER(OFFSET($O$15,0,$DN59,$B$8,1),OFFSET($M$15,0,0,$B$8,1))=FW$13), 1*(_xlfn._xlws.FILTER(OFFSET($O$15,0,$DO59,$B$8,1),OFFSET($M$15,0,0,$B$8,1))=FW$14))   /   SUM(OFFSET($BO$15,0,0,$B$14,1)) + $B$18/($B$19*$B$19*($DN59&lt;&gt;$DO59) + $B$19*($DN59=$DO59))</f>
        <v>3.7037037037037035E-4</v>
      </c>
      <c r="FX59" s="10" cm="1">
        <f t="array" aca="1" ref="FX59" ca="1">(1-$B$18)*SUMPRODUCT(OFFSET($BO$15,0,0,$B$14,1), 1*(_xlfn._xlws.FILTER(OFFSET($O$15,0,$DN59,$B$8,1),OFFSET($M$15,0,0,$B$8,1))=FX$13), 1*(_xlfn._xlws.FILTER(OFFSET($O$15,0,$DO59,$B$8,1),OFFSET($M$15,0,0,$B$8,1))=FX$14))   /   SUM(OFFSET($BO$15,0,0,$B$14,1)) + $B$18/($B$19*$B$19*($DN59&lt;&gt;$DO59) + $B$19*($DN59=$DO59))</f>
        <v>3.7037037037037035E-4</v>
      </c>
      <c r="FY59" s="10" cm="1">
        <f t="array" aca="1" ref="FY59" ca="1">(1-$B$18)*SUMPRODUCT(OFFSET($BO$15,0,0,$B$14,1), 1*(_xlfn._xlws.FILTER(OFFSET($O$15,0,$DN59,$B$8,1),OFFSET($M$15,0,0,$B$8,1))=FY$13), 1*(_xlfn._xlws.FILTER(OFFSET($O$15,0,$DO59,$B$8,1),OFFSET($M$15,0,0,$B$8,1))=FY$14))   /   SUM(OFFSET($BO$15,0,0,$B$14,1)) + $B$18/($B$19*$B$19*($DN59&lt;&gt;$DO59) + $B$19*($DN59=$DO59))</f>
        <v>3.7037037037037035E-4</v>
      </c>
      <c r="FZ59" s="10" cm="1">
        <f t="array" aca="1" ref="FZ59" ca="1">(1-$B$18)*SUMPRODUCT(OFFSET($BO$15,0,0,$B$14,1), 1*(_xlfn._xlws.FILTER(OFFSET($O$15,0,$DN59,$B$8,1),OFFSET($M$15,0,0,$B$8,1))=FZ$13), 1*(_xlfn._xlws.FILTER(OFFSET($O$15,0,$DO59,$B$8,1),OFFSET($M$15,0,0,$B$8,1))=FZ$14))   /   SUM(OFFSET($BO$15,0,0,$B$14,1)) + $B$18/($B$19*$B$19*($DN59&lt;&gt;$DO59) + $B$19*($DN59=$DO59))</f>
        <v>3.7037037037037035E-4</v>
      </c>
      <c r="GA59" s="10" cm="1">
        <f t="array" aca="1" ref="GA59" ca="1">(1-$B$18)*SUMPRODUCT(OFFSET($BO$15,0,0,$B$14,1), 1*(_xlfn._xlws.FILTER(OFFSET($O$15,0,$DN59,$B$8,1),OFFSET($M$15,0,0,$B$8,1))=GA$13), 1*(_xlfn._xlws.FILTER(OFFSET($O$15,0,$DO59,$B$8,1),OFFSET($M$15,0,0,$B$8,1))=GA$14))   /   SUM(OFFSET($BO$15,0,0,$B$14,1)) + $B$18/($B$19*$B$19*($DN59&lt;&gt;$DO59) + $B$19*($DN59=$DO59))</f>
        <v>3.7037037037037035E-4</v>
      </c>
    </row>
    <row r="60" spans="5:183" x14ac:dyDescent="0.2">
      <c r="CX60">
        <f ca="1"/>
        <v>0.1</v>
      </c>
      <c r="CY60">
        <f ca="1"/>
        <v>0</v>
      </c>
      <c r="DN60" cm="1">
        <f t="array" aca="1" ref="DN60" ca="1">INDEX(_xlfn.ANCHORARRAY($CP$15), 1 + INT((ROWS($DO$15:$DO60) - 1) / ROWS(_xlfn.ANCHORARRAY($CP$15))))</f>
        <v>2</v>
      </c>
      <c r="DO60" cm="1">
        <f t="array" aca="1" ref="DO60" ca="1">INDEX(_xlfn.ANCHORARRAY($CP$15),1+MOD(ROWS($DO$15:$DO60)-1,ROWS(_xlfn.ANCHORARRAY($CP$15))))</f>
        <v>7</v>
      </c>
      <c r="DP60" s="10" cm="1">
        <f t="array" aca="1" ref="DP60" ca="1">(1-$B$18)*SUMPRODUCT(OFFSET($BO$15,0,0,$B$14,1), 1*(_xlfn._xlws.FILTER(OFFSET($O$15,0,$DN60,$B$8,1),OFFSET($M$15,0,0,$B$8,1))=DP$13), 1*(_xlfn._xlws.FILTER(OFFSET($O$15,0,$DO60,$B$8,1),OFFSET($M$15,0,0,$B$8,1))=DP$14))   /   SUM(OFFSET($BO$15,0,0,$B$14,1)) + $B$18/($B$19*$B$19*($DN60&lt;&gt;$DO60) + $B$19*($DN60=$DO60))</f>
        <v>3.7037037037037035E-4</v>
      </c>
      <c r="DQ60" s="10" cm="1">
        <f t="array" aca="1" ref="DQ60" ca="1">(1-$B$18)*SUMPRODUCT(OFFSET($BO$15,0,0,$B$14,1), 1*(_xlfn._xlws.FILTER(OFFSET($O$15,0,$DN60,$B$8,1),OFFSET($M$15,0,0,$B$8,1))=DQ$13), 1*(_xlfn._xlws.FILTER(OFFSET($O$15,0,$DO60,$B$8,1),OFFSET($M$15,0,0,$B$8,1))=DQ$14))   /   SUM(OFFSET($BO$15,0,0,$B$14,1)) + $B$18/($B$19*$B$19*($DN60&lt;&gt;$DO60) + $B$19*($DN60=$DO60))</f>
        <v>3.7037037037037035E-4</v>
      </c>
      <c r="DR60" s="10" cm="1">
        <f t="array" aca="1" ref="DR60" ca="1">(1-$B$18)*SUMPRODUCT(OFFSET($BO$15,0,0,$B$14,1), 1*(_xlfn._xlws.FILTER(OFFSET($O$15,0,$DN60,$B$8,1),OFFSET($M$15,0,0,$B$8,1))=DR$13), 1*(_xlfn._xlws.FILTER(OFFSET($O$15,0,$DO60,$B$8,1),OFFSET($M$15,0,0,$B$8,1))=DR$14))   /   SUM(OFFSET($BO$15,0,0,$B$14,1)) + $B$18/($B$19*$B$19*($DN60&lt;&gt;$DO60) + $B$19*($DN60=$DO60))</f>
        <v>3.7037037037037035E-4</v>
      </c>
      <c r="DS60" s="10" cm="1">
        <f t="array" aca="1" ref="DS60" ca="1">(1-$B$18)*SUMPRODUCT(OFFSET($BO$15,0,0,$B$14,1), 1*(_xlfn._xlws.FILTER(OFFSET($O$15,0,$DN60,$B$8,1),OFFSET($M$15,0,0,$B$8,1))=DS$13), 1*(_xlfn._xlws.FILTER(OFFSET($O$15,0,$DO60,$B$8,1),OFFSET($M$15,0,0,$B$8,1))=DS$14))   /   SUM(OFFSET($BO$15,0,0,$B$14,1)) + $B$18/($B$19*$B$19*($DN60&lt;&gt;$DO60) + $B$19*($DN60=$DO60))</f>
        <v>3.7037037037037035E-4</v>
      </c>
      <c r="DT60" s="10" cm="1">
        <f t="array" aca="1" ref="DT60" ca="1">(1-$B$18)*SUMPRODUCT(OFFSET($BO$15,0,0,$B$14,1), 1*(_xlfn._xlws.FILTER(OFFSET($O$15,0,$DN60,$B$8,1),OFFSET($M$15,0,0,$B$8,1))=DT$13), 1*(_xlfn._xlws.FILTER(OFFSET($O$15,0,$DO60,$B$8,1),OFFSET($M$15,0,0,$B$8,1))=DT$14))   /   SUM(OFFSET($BO$15,0,0,$B$14,1)) + $B$18/($B$19*$B$19*($DN60&lt;&gt;$DO60) + $B$19*($DN60=$DO60))</f>
        <v>3.7037037037037035E-4</v>
      </c>
      <c r="DU60" s="10" cm="1">
        <f t="array" aca="1" ref="DU60" ca="1">(1-$B$18)*SUMPRODUCT(OFFSET($BO$15,0,0,$B$14,1), 1*(_xlfn._xlws.FILTER(OFFSET($O$15,0,$DN60,$B$8,1),OFFSET($M$15,0,0,$B$8,1))=DU$13), 1*(_xlfn._xlws.FILTER(OFFSET($O$15,0,$DO60,$B$8,1),OFFSET($M$15,0,0,$B$8,1))=DU$14))   /   SUM(OFFSET($BO$15,0,0,$B$14,1)) + $B$18/($B$19*$B$19*($DN60&lt;&gt;$DO60) + $B$19*($DN60=$DO60))</f>
        <v>3.7037037037037035E-4</v>
      </c>
      <c r="DV60" s="10" cm="1">
        <f t="array" aca="1" ref="DV60" ca="1">(1-$B$18)*SUMPRODUCT(OFFSET($BO$15,0,0,$B$14,1), 1*(_xlfn._xlws.FILTER(OFFSET($O$15,0,$DN60,$B$8,1),OFFSET($M$15,0,0,$B$8,1))=DV$13), 1*(_xlfn._xlws.FILTER(OFFSET($O$15,0,$DO60,$B$8,1),OFFSET($M$15,0,0,$B$8,1))=DV$14))   /   SUM(OFFSET($BO$15,0,0,$B$14,1)) + $B$18/($B$19*$B$19*($DN60&lt;&gt;$DO60) + $B$19*($DN60=$DO60))</f>
        <v>3.7037037037037035E-4</v>
      </c>
      <c r="DW60" s="10" cm="1">
        <f t="array" aca="1" ref="DW60" ca="1">(1-$B$18)*SUMPRODUCT(OFFSET($BO$15,0,0,$B$14,1), 1*(_xlfn._xlws.FILTER(OFFSET($O$15,0,$DN60,$B$8,1),OFFSET($M$15,0,0,$B$8,1))=DW$13), 1*(_xlfn._xlws.FILTER(OFFSET($O$15,0,$DO60,$B$8,1),OFFSET($M$15,0,0,$B$8,1))=DW$14))   /   SUM(OFFSET($BO$15,0,0,$B$14,1)) + $B$18/($B$19*$B$19*($DN60&lt;&gt;$DO60) + $B$19*($DN60=$DO60))</f>
        <v>3.7037037037037035E-4</v>
      </c>
      <c r="DX60" s="10" cm="1">
        <f t="array" aca="1" ref="DX60" ca="1">(1-$B$18)*SUMPRODUCT(OFFSET($BO$15,0,0,$B$14,1), 1*(_xlfn._xlws.FILTER(OFFSET($O$15,0,$DN60,$B$8,1),OFFSET($M$15,0,0,$B$8,1))=DX$13), 1*(_xlfn._xlws.FILTER(OFFSET($O$15,0,$DO60,$B$8,1),OFFSET($M$15,0,0,$B$8,1))=DX$14))   /   SUM(OFFSET($BO$15,0,0,$B$14,1)) + $B$18/($B$19*$B$19*($DN60&lt;&gt;$DO60) + $B$19*($DN60=$DO60))</f>
        <v>3.7037037037037035E-4</v>
      </c>
      <c r="DY60" s="10" cm="1">
        <f t="array" aca="1" ref="DY60" ca="1">(1-$B$18)*SUMPRODUCT(OFFSET($BO$15,0,0,$B$14,1), 1*(_xlfn._xlws.FILTER(OFFSET($O$15,0,$DN60,$B$8,1),OFFSET($M$15,0,0,$B$8,1))=DY$13), 1*(_xlfn._xlws.FILTER(OFFSET($O$15,0,$DO60,$B$8,1),OFFSET($M$15,0,0,$B$8,1))=DY$14))   /   SUM(OFFSET($BO$15,0,0,$B$14,1)) + $B$18/($B$19*$B$19*($DN60&lt;&gt;$DO60) + $B$19*($DN60=$DO60))</f>
        <v>3.7037037037037035E-4</v>
      </c>
      <c r="DZ60" s="10" cm="1">
        <f t="array" aca="1" ref="DZ60" ca="1">(1-$B$18)*SUMPRODUCT(OFFSET($BO$15,0,0,$B$14,1), 1*(_xlfn._xlws.FILTER(OFFSET($O$15,0,$DN60,$B$8,1),OFFSET($M$15,0,0,$B$8,1))=DZ$13), 1*(_xlfn._xlws.FILTER(OFFSET($O$15,0,$DO60,$B$8,1),OFFSET($M$15,0,0,$B$8,1))=DZ$14))   /   SUM(OFFSET($BO$15,0,0,$B$14,1)) + $B$18/($B$19*$B$19*($DN60&lt;&gt;$DO60) + $B$19*($DN60=$DO60))</f>
        <v>3.7037037037037035E-4</v>
      </c>
      <c r="EA60" s="10" cm="1">
        <f t="array" aca="1" ref="EA60" ca="1">(1-$B$18)*SUMPRODUCT(OFFSET($BO$15,0,0,$B$14,1), 1*(_xlfn._xlws.FILTER(OFFSET($O$15,0,$DN60,$B$8,1),OFFSET($M$15,0,0,$B$8,1))=EA$13), 1*(_xlfn._xlws.FILTER(OFFSET($O$15,0,$DO60,$B$8,1),OFFSET($M$15,0,0,$B$8,1))=EA$14))   /   SUM(OFFSET($BO$15,0,0,$B$14,1)) + $B$18/($B$19*$B$19*($DN60&lt;&gt;$DO60) + $B$19*($DN60=$DO60))</f>
        <v>3.7037037037037035E-4</v>
      </c>
      <c r="EB60" s="10" cm="1">
        <f t="array" aca="1" ref="EB60" ca="1">(1-$B$18)*SUMPRODUCT(OFFSET($BO$15,0,0,$B$14,1), 1*(_xlfn._xlws.FILTER(OFFSET($O$15,0,$DN60,$B$8,1),OFFSET($M$15,0,0,$B$8,1))=EB$13), 1*(_xlfn._xlws.FILTER(OFFSET($O$15,0,$DO60,$B$8,1),OFFSET($M$15,0,0,$B$8,1))=EB$14))   /   SUM(OFFSET($BO$15,0,0,$B$14,1)) + $B$18/($B$19*$B$19*($DN60&lt;&gt;$DO60) + $B$19*($DN60=$DO60))</f>
        <v>3.7037037037037035E-4</v>
      </c>
      <c r="EC60" s="10" cm="1">
        <f t="array" aca="1" ref="EC60" ca="1">(1-$B$18)*SUMPRODUCT(OFFSET($BO$15,0,0,$B$14,1), 1*(_xlfn._xlws.FILTER(OFFSET($O$15,0,$DN60,$B$8,1),OFFSET($M$15,0,0,$B$8,1))=EC$13), 1*(_xlfn._xlws.FILTER(OFFSET($O$15,0,$DO60,$B$8,1),OFFSET($M$15,0,0,$B$8,1))=EC$14))   /   SUM(OFFSET($BO$15,0,0,$B$14,1)) + $B$18/($B$19*$B$19*($DN60&lt;&gt;$DO60) + $B$19*($DN60=$DO60))</f>
        <v>3.7037037037037035E-4</v>
      </c>
      <c r="ED60" s="10" cm="1">
        <f t="array" aca="1" ref="ED60" ca="1">(1-$B$18)*SUMPRODUCT(OFFSET($BO$15,0,0,$B$14,1), 1*(_xlfn._xlws.FILTER(OFFSET($O$15,0,$DN60,$B$8,1),OFFSET($M$15,0,0,$B$8,1))=ED$13), 1*(_xlfn._xlws.FILTER(OFFSET($O$15,0,$DO60,$B$8,1),OFFSET($M$15,0,0,$B$8,1))=ED$14))   /   SUM(OFFSET($BO$15,0,0,$B$14,1)) + $B$18/($B$19*$B$19*($DN60&lt;&gt;$DO60) + $B$19*($DN60=$DO60))</f>
        <v>3.7037037037037035E-4</v>
      </c>
      <c r="EE60" s="10" cm="1">
        <f t="array" aca="1" ref="EE60" ca="1">(1-$B$18)*SUMPRODUCT(OFFSET($BO$15,0,0,$B$14,1), 1*(_xlfn._xlws.FILTER(OFFSET($O$15,0,$DN60,$B$8,1),OFFSET($M$15,0,0,$B$8,1))=EE$13), 1*(_xlfn._xlws.FILTER(OFFSET($O$15,0,$DO60,$B$8,1),OFFSET($M$15,0,0,$B$8,1))=EE$14))   /   SUM(OFFSET($BO$15,0,0,$B$14,1)) + $B$18/($B$19*$B$19*($DN60&lt;&gt;$DO60) + $B$19*($DN60=$DO60))</f>
        <v>3.7037037037037035E-4</v>
      </c>
      <c r="EF60" s="10" cm="1">
        <f t="array" aca="1" ref="EF60" ca="1">(1-$B$18)*SUMPRODUCT(OFFSET($BO$15,0,0,$B$14,1), 1*(_xlfn._xlws.FILTER(OFFSET($O$15,0,$DN60,$B$8,1),OFFSET($M$15,0,0,$B$8,1))=EF$13), 1*(_xlfn._xlws.FILTER(OFFSET($O$15,0,$DO60,$B$8,1),OFFSET($M$15,0,0,$B$8,1))=EF$14))   /   SUM(OFFSET($BO$15,0,0,$B$14,1)) + $B$18/($B$19*$B$19*($DN60&lt;&gt;$DO60) + $B$19*($DN60=$DO60))</f>
        <v>3.7037037037037035E-4</v>
      </c>
      <c r="EG60" s="10" cm="1">
        <f t="array" aca="1" ref="EG60" ca="1">(1-$B$18)*SUMPRODUCT(OFFSET($BO$15,0,0,$B$14,1), 1*(_xlfn._xlws.FILTER(OFFSET($O$15,0,$DN60,$B$8,1),OFFSET($M$15,0,0,$B$8,1))=EG$13), 1*(_xlfn._xlws.FILTER(OFFSET($O$15,0,$DO60,$B$8,1),OFFSET($M$15,0,0,$B$8,1))=EG$14))   /   SUM(OFFSET($BO$15,0,0,$B$14,1)) + $B$18/($B$19*$B$19*($DN60&lt;&gt;$DO60) + $B$19*($DN60=$DO60))</f>
        <v>3.7037037037037035E-4</v>
      </c>
      <c r="EH60" s="10" cm="1">
        <f t="array" aca="1" ref="EH60" ca="1">(1-$B$18)*SUMPRODUCT(OFFSET($BO$15,0,0,$B$14,1), 1*(_xlfn._xlws.FILTER(OFFSET($O$15,0,$DN60,$B$8,1),OFFSET($M$15,0,0,$B$8,1))=EH$13), 1*(_xlfn._xlws.FILTER(OFFSET($O$15,0,$DO60,$B$8,1),OFFSET($M$15,0,0,$B$8,1))=EH$14))   /   SUM(OFFSET($BO$15,0,0,$B$14,1)) + $B$18/($B$19*$B$19*($DN60&lt;&gt;$DO60) + $B$19*($DN60=$DO60))</f>
        <v>3.7037037037037035E-4</v>
      </c>
      <c r="EI60" s="10" cm="1">
        <f t="array" aca="1" ref="EI60" ca="1">(1-$B$18)*SUMPRODUCT(OFFSET($BO$15,0,0,$B$14,1), 1*(_xlfn._xlws.FILTER(OFFSET($O$15,0,$DN60,$B$8,1),OFFSET($M$15,0,0,$B$8,1))=EI$13), 1*(_xlfn._xlws.FILTER(OFFSET($O$15,0,$DO60,$B$8,1),OFFSET($M$15,0,0,$B$8,1))=EI$14))   /   SUM(OFFSET($BO$15,0,0,$B$14,1)) + $B$18/($B$19*$B$19*($DN60&lt;&gt;$DO60) + $B$19*($DN60=$DO60))</f>
        <v>3.7037037037037035E-4</v>
      </c>
      <c r="EJ60" s="10" cm="1">
        <f t="array" aca="1" ref="EJ60" ca="1">(1-$B$18)*SUMPRODUCT(OFFSET($BO$15,0,0,$B$14,1), 1*(_xlfn._xlws.FILTER(OFFSET($O$15,0,$DN60,$B$8,1),OFFSET($M$15,0,0,$B$8,1))=EJ$13), 1*(_xlfn._xlws.FILTER(OFFSET($O$15,0,$DO60,$B$8,1),OFFSET($M$15,0,0,$B$8,1))=EJ$14))   /   SUM(OFFSET($BO$15,0,0,$B$14,1)) + $B$18/($B$19*$B$19*($DN60&lt;&gt;$DO60) + $B$19*($DN60=$DO60))</f>
        <v>3.7037037037037035E-4</v>
      </c>
      <c r="EK60" s="10" cm="1">
        <f t="array" aca="1" ref="EK60" ca="1">(1-$B$18)*SUMPRODUCT(OFFSET($BO$15,0,0,$B$14,1), 1*(_xlfn._xlws.FILTER(OFFSET($O$15,0,$DN60,$B$8,1),OFFSET($M$15,0,0,$B$8,1))=EK$13), 1*(_xlfn._xlws.FILTER(OFFSET($O$15,0,$DO60,$B$8,1),OFFSET($M$15,0,0,$B$8,1))=EK$14))   /   SUM(OFFSET($BO$15,0,0,$B$14,1)) + $B$18/($B$19*$B$19*($DN60&lt;&gt;$DO60) + $B$19*($DN60=$DO60))</f>
        <v>3.7037037037037035E-4</v>
      </c>
      <c r="EL60" s="10" cm="1">
        <f t="array" aca="1" ref="EL60" ca="1">(1-$B$18)*SUMPRODUCT(OFFSET($BO$15,0,0,$B$14,1), 1*(_xlfn._xlws.FILTER(OFFSET($O$15,0,$DN60,$B$8,1),OFFSET($M$15,0,0,$B$8,1))=EL$13), 1*(_xlfn._xlws.FILTER(OFFSET($O$15,0,$DO60,$B$8,1),OFFSET($M$15,0,0,$B$8,1))=EL$14))   /   SUM(OFFSET($BO$15,0,0,$B$14,1)) + $B$18/($B$19*$B$19*($DN60&lt;&gt;$DO60) + $B$19*($DN60=$DO60))</f>
        <v>3.7037037037037035E-4</v>
      </c>
      <c r="EM60" s="10" cm="1">
        <f t="array" aca="1" ref="EM60" ca="1">(1-$B$18)*SUMPRODUCT(OFFSET($BO$15,0,0,$B$14,1), 1*(_xlfn._xlws.FILTER(OFFSET($O$15,0,$DN60,$B$8,1),OFFSET($M$15,0,0,$B$8,1))=EM$13), 1*(_xlfn._xlws.FILTER(OFFSET($O$15,0,$DO60,$B$8,1),OFFSET($M$15,0,0,$B$8,1))=EM$14))   /   SUM(OFFSET($BO$15,0,0,$B$14,1)) + $B$18/($B$19*$B$19*($DN60&lt;&gt;$DO60) + $B$19*($DN60=$DO60))</f>
        <v>3.7037037037037035E-4</v>
      </c>
      <c r="EN60" s="10" cm="1">
        <f t="array" aca="1" ref="EN60" ca="1">(1-$B$18)*SUMPRODUCT(OFFSET($BO$15,0,0,$B$14,1), 1*(_xlfn._xlws.FILTER(OFFSET($O$15,0,$DN60,$B$8,1),OFFSET($M$15,0,0,$B$8,1))=EN$13), 1*(_xlfn._xlws.FILTER(OFFSET($O$15,0,$DO60,$B$8,1),OFFSET($M$15,0,0,$B$8,1))=EN$14))   /   SUM(OFFSET($BO$15,0,0,$B$14,1)) + $B$18/($B$19*$B$19*($DN60&lt;&gt;$DO60) + $B$19*($DN60=$DO60))</f>
        <v>3.7037037037037035E-4</v>
      </c>
      <c r="EO60" s="10" cm="1">
        <f t="array" aca="1" ref="EO60" ca="1">(1-$B$18)*SUMPRODUCT(OFFSET($BO$15,0,0,$B$14,1), 1*(_xlfn._xlws.FILTER(OFFSET($O$15,0,$DN60,$B$8,1),OFFSET($M$15,0,0,$B$8,1))=EO$13), 1*(_xlfn._xlws.FILTER(OFFSET($O$15,0,$DO60,$B$8,1),OFFSET($M$15,0,0,$B$8,1))=EO$14))   /   SUM(OFFSET($BO$15,0,0,$B$14,1)) + $B$18/($B$19*$B$19*($DN60&lt;&gt;$DO60) + $B$19*($DN60=$DO60))</f>
        <v>3.7037037037037035E-4</v>
      </c>
      <c r="EP60" s="10" cm="1">
        <f t="array" aca="1" ref="EP60" ca="1">(1-$B$18)*SUMPRODUCT(OFFSET($BO$15,0,0,$B$14,1), 1*(_xlfn._xlws.FILTER(OFFSET($O$15,0,$DN60,$B$8,1),OFFSET($M$15,0,0,$B$8,1))=EP$13), 1*(_xlfn._xlws.FILTER(OFFSET($O$15,0,$DO60,$B$8,1),OFFSET($M$15,0,0,$B$8,1))=EP$14))   /   SUM(OFFSET($BO$15,0,0,$B$14,1)) + $B$18/($B$19*$B$19*($DN60&lt;&gt;$DO60) + $B$19*($DN60=$DO60))</f>
        <v>3.7037037037037035E-4</v>
      </c>
      <c r="EQ60" s="10" cm="1">
        <f t="array" aca="1" ref="EQ60" ca="1">(1-$B$18)*SUMPRODUCT(OFFSET($BO$15,0,0,$B$14,1), 1*(_xlfn._xlws.FILTER(OFFSET($O$15,0,$DN60,$B$8,1),OFFSET($M$15,0,0,$B$8,1))=EQ$13), 1*(_xlfn._xlws.FILTER(OFFSET($O$15,0,$DO60,$B$8,1),OFFSET($M$15,0,0,$B$8,1))=EQ$14))   /   SUM(OFFSET($BO$15,0,0,$B$14,1)) + $B$18/($B$19*$B$19*($DN60&lt;&gt;$DO60) + $B$19*($DN60=$DO60))</f>
        <v>3.7037037037037035E-4</v>
      </c>
      <c r="ER60" s="10" cm="1">
        <f t="array" aca="1" ref="ER60" ca="1">(1-$B$18)*SUMPRODUCT(OFFSET($BO$15,0,0,$B$14,1), 1*(_xlfn._xlws.FILTER(OFFSET($O$15,0,$DN60,$B$8,1),OFFSET($M$15,0,0,$B$8,1))=ER$13), 1*(_xlfn._xlws.FILTER(OFFSET($O$15,0,$DO60,$B$8,1),OFFSET($M$15,0,0,$B$8,1))=ER$14))   /   SUM(OFFSET($BO$15,0,0,$B$14,1)) + $B$18/($B$19*$B$19*($DN60&lt;&gt;$DO60) + $B$19*($DN60=$DO60))</f>
        <v>3.7037037037037035E-4</v>
      </c>
      <c r="ES60" s="10" cm="1">
        <f t="array" aca="1" ref="ES60" ca="1">(1-$B$18)*SUMPRODUCT(OFFSET($BO$15,0,0,$B$14,1), 1*(_xlfn._xlws.FILTER(OFFSET($O$15,0,$DN60,$B$8,1),OFFSET($M$15,0,0,$B$8,1))=ES$13), 1*(_xlfn._xlws.FILTER(OFFSET($O$15,0,$DO60,$B$8,1),OFFSET($M$15,0,0,$B$8,1))=ES$14))   /   SUM(OFFSET($BO$15,0,0,$B$14,1)) + $B$18/($B$19*$B$19*($DN60&lt;&gt;$DO60) + $B$19*($DN60=$DO60))</f>
        <v>3.7037037037037035E-4</v>
      </c>
      <c r="ET60" s="10" cm="1">
        <f t="array" aca="1" ref="ET60" ca="1">(1-$B$18)*SUMPRODUCT(OFFSET($BO$15,0,0,$B$14,1), 1*(_xlfn._xlws.FILTER(OFFSET($O$15,0,$DN60,$B$8,1),OFFSET($M$15,0,0,$B$8,1))=ET$13), 1*(_xlfn._xlws.FILTER(OFFSET($O$15,0,$DO60,$B$8,1),OFFSET($M$15,0,0,$B$8,1))=ET$14))   /   SUM(OFFSET($BO$15,0,0,$B$14,1)) + $B$18/($B$19*$B$19*($DN60&lt;&gt;$DO60) + $B$19*($DN60=$DO60))</f>
        <v>3.7037037037037035E-4</v>
      </c>
      <c r="EU60" s="10" cm="1">
        <f t="array" aca="1" ref="EU60" ca="1">(1-$B$18)*SUMPRODUCT(OFFSET($BO$15,0,0,$B$14,1), 1*(_xlfn._xlws.FILTER(OFFSET($O$15,0,$DN60,$B$8,1),OFFSET($M$15,0,0,$B$8,1))=EU$13), 1*(_xlfn._xlws.FILTER(OFFSET($O$15,0,$DO60,$B$8,1),OFFSET($M$15,0,0,$B$8,1))=EU$14))   /   SUM(OFFSET($BO$15,0,0,$B$14,1)) + $B$18/($B$19*$B$19*($DN60&lt;&gt;$DO60) + $B$19*($DN60=$DO60))</f>
        <v>3.7037037037037035E-4</v>
      </c>
      <c r="EV60" s="10" cm="1">
        <f t="array" aca="1" ref="EV60" ca="1">(1-$B$18)*SUMPRODUCT(OFFSET($BO$15,0,0,$B$14,1), 1*(_xlfn._xlws.FILTER(OFFSET($O$15,0,$DN60,$B$8,1),OFFSET($M$15,0,0,$B$8,1))=EV$13), 1*(_xlfn._xlws.FILTER(OFFSET($O$15,0,$DO60,$B$8,1),OFFSET($M$15,0,0,$B$8,1))=EV$14))   /   SUM(OFFSET($BO$15,0,0,$B$14,1)) + $B$18/($B$19*$B$19*($DN60&lt;&gt;$DO60) + $B$19*($DN60=$DO60))</f>
        <v>3.7037037037037035E-4</v>
      </c>
      <c r="EW60" s="10" cm="1">
        <f t="array" aca="1" ref="EW60" ca="1">(1-$B$18)*SUMPRODUCT(OFFSET($BO$15,0,0,$B$14,1), 1*(_xlfn._xlws.FILTER(OFFSET($O$15,0,$DN60,$B$8,1),OFFSET($M$15,0,0,$B$8,1))=EW$13), 1*(_xlfn._xlws.FILTER(OFFSET($O$15,0,$DO60,$B$8,1),OFFSET($M$15,0,0,$B$8,1))=EW$14))   /   SUM(OFFSET($BO$15,0,0,$B$14,1)) + $B$18/($B$19*$B$19*($DN60&lt;&gt;$DO60) + $B$19*($DN60=$DO60))</f>
        <v>3.7037037037037035E-4</v>
      </c>
      <c r="EX60" s="10" cm="1">
        <f t="array" aca="1" ref="EX60" ca="1">(1-$B$18)*SUMPRODUCT(OFFSET($BO$15,0,0,$B$14,1), 1*(_xlfn._xlws.FILTER(OFFSET($O$15,0,$DN60,$B$8,1),OFFSET($M$15,0,0,$B$8,1))=EX$13), 1*(_xlfn._xlws.FILTER(OFFSET($O$15,0,$DO60,$B$8,1),OFFSET($M$15,0,0,$B$8,1))=EX$14))   /   SUM(OFFSET($BO$15,0,0,$B$14,1)) + $B$18/($B$19*$B$19*($DN60&lt;&gt;$DO60) + $B$19*($DN60=$DO60))</f>
        <v>3.7037037037037035E-4</v>
      </c>
      <c r="EY60" s="10" cm="1">
        <f t="array" aca="1" ref="EY60" ca="1">(1-$B$18)*SUMPRODUCT(OFFSET($BO$15,0,0,$B$14,1), 1*(_xlfn._xlws.FILTER(OFFSET($O$15,0,$DN60,$B$8,1),OFFSET($M$15,0,0,$B$8,1))=EY$13), 1*(_xlfn._xlws.FILTER(OFFSET($O$15,0,$DO60,$B$8,1),OFFSET($M$15,0,0,$B$8,1))=EY$14))   /   SUM(OFFSET($BO$15,0,0,$B$14,1)) + $B$18/($B$19*$B$19*($DN60&lt;&gt;$DO60) + $B$19*($DN60=$DO60))</f>
        <v>3.7037037037037035E-4</v>
      </c>
      <c r="EZ60" s="10" cm="1">
        <f t="array" aca="1" ref="EZ60" ca="1">(1-$B$18)*SUMPRODUCT(OFFSET($BO$15,0,0,$B$14,1), 1*(_xlfn._xlws.FILTER(OFFSET($O$15,0,$DN60,$B$8,1),OFFSET($M$15,0,0,$B$8,1))=EZ$13), 1*(_xlfn._xlws.FILTER(OFFSET($O$15,0,$DO60,$B$8,1),OFFSET($M$15,0,0,$B$8,1))=EZ$14))   /   SUM(OFFSET($BO$15,0,0,$B$14,1)) + $B$18/($B$19*$B$19*($DN60&lt;&gt;$DO60) + $B$19*($DN60=$DO60))</f>
        <v>3.7037037037037035E-4</v>
      </c>
      <c r="FA60" s="10" cm="1">
        <f t="array" aca="1" ref="FA60" ca="1">(1-$B$18)*SUMPRODUCT(OFFSET($BO$15,0,0,$B$14,1), 1*(_xlfn._xlws.FILTER(OFFSET($O$15,0,$DN60,$B$8,1),OFFSET($M$15,0,0,$B$8,1))=FA$13), 1*(_xlfn._xlws.FILTER(OFFSET($O$15,0,$DO60,$B$8,1),OFFSET($M$15,0,0,$B$8,1))=FA$14))   /   SUM(OFFSET($BO$15,0,0,$B$14,1)) + $B$18/($B$19*$B$19*($DN60&lt;&gt;$DO60) + $B$19*($DN60=$DO60))</f>
        <v>3.7037037037037035E-4</v>
      </c>
      <c r="FB60" s="10" cm="1">
        <f t="array" aca="1" ref="FB60" ca="1">(1-$B$18)*SUMPRODUCT(OFFSET($BO$15,0,0,$B$14,1), 1*(_xlfn._xlws.FILTER(OFFSET($O$15,0,$DN60,$B$8,1),OFFSET($M$15,0,0,$B$8,1))=FB$13), 1*(_xlfn._xlws.FILTER(OFFSET($O$15,0,$DO60,$B$8,1),OFFSET($M$15,0,0,$B$8,1))=FB$14))   /   SUM(OFFSET($BO$15,0,0,$B$14,1)) + $B$18/($B$19*$B$19*($DN60&lt;&gt;$DO60) + $B$19*($DN60=$DO60))</f>
        <v>3.7037037037037035E-4</v>
      </c>
      <c r="FC60" s="10" cm="1">
        <f t="array" aca="1" ref="FC60" ca="1">(1-$B$18)*SUMPRODUCT(OFFSET($BO$15,0,0,$B$14,1), 1*(_xlfn._xlws.FILTER(OFFSET($O$15,0,$DN60,$B$8,1),OFFSET($M$15,0,0,$B$8,1))=FC$13), 1*(_xlfn._xlws.FILTER(OFFSET($O$15,0,$DO60,$B$8,1),OFFSET($M$15,0,0,$B$8,1))=FC$14))   /   SUM(OFFSET($BO$15,0,0,$B$14,1)) + $B$18/($B$19*$B$19*($DN60&lt;&gt;$DO60) + $B$19*($DN60=$DO60))</f>
        <v>3.7037037037037035E-4</v>
      </c>
      <c r="FD60" s="10" cm="1">
        <f t="array" aca="1" ref="FD60" ca="1">(1-$B$18)*SUMPRODUCT(OFFSET($BO$15,0,0,$B$14,1), 1*(_xlfn._xlws.FILTER(OFFSET($O$15,0,$DN60,$B$8,1),OFFSET($M$15,0,0,$B$8,1))=FD$13), 1*(_xlfn._xlws.FILTER(OFFSET($O$15,0,$DO60,$B$8,1),OFFSET($M$15,0,0,$B$8,1))=FD$14))   /   SUM(OFFSET($BO$15,0,0,$B$14,1)) + $B$18/($B$19*$B$19*($DN60&lt;&gt;$DO60) + $B$19*($DN60=$DO60))</f>
        <v>3.7037037037037035E-4</v>
      </c>
      <c r="FE60" s="10" cm="1">
        <f t="array" aca="1" ref="FE60" ca="1">(1-$B$18)*SUMPRODUCT(OFFSET($BO$15,0,0,$B$14,1), 1*(_xlfn._xlws.FILTER(OFFSET($O$15,0,$DN60,$B$8,1),OFFSET($M$15,0,0,$B$8,1))=FE$13), 1*(_xlfn._xlws.FILTER(OFFSET($O$15,0,$DO60,$B$8,1),OFFSET($M$15,0,0,$B$8,1))=FE$14))   /   SUM(OFFSET($BO$15,0,0,$B$14,1)) + $B$18/($B$19*$B$19*($DN60&lt;&gt;$DO60) + $B$19*($DN60=$DO60))</f>
        <v>3.7037037037037035E-4</v>
      </c>
      <c r="FF60" s="10" cm="1">
        <f t="array" aca="1" ref="FF60" ca="1">(1-$B$18)*SUMPRODUCT(OFFSET($BO$15,0,0,$B$14,1), 1*(_xlfn._xlws.FILTER(OFFSET($O$15,0,$DN60,$B$8,1),OFFSET($M$15,0,0,$B$8,1))=FF$13), 1*(_xlfn._xlws.FILTER(OFFSET($O$15,0,$DO60,$B$8,1),OFFSET($M$15,0,0,$B$8,1))=FF$14))   /   SUM(OFFSET($BO$15,0,0,$B$14,1)) + $B$18/($B$19*$B$19*($DN60&lt;&gt;$DO60) + $B$19*($DN60=$DO60))</f>
        <v>3.7037037037037035E-4</v>
      </c>
      <c r="FG60" s="10" cm="1">
        <f t="array" aca="1" ref="FG60" ca="1">(1-$B$18)*SUMPRODUCT(OFFSET($BO$15,0,0,$B$14,1), 1*(_xlfn._xlws.FILTER(OFFSET($O$15,0,$DN60,$B$8,1),OFFSET($M$15,0,0,$B$8,1))=FG$13), 1*(_xlfn._xlws.FILTER(OFFSET($O$15,0,$DO60,$B$8,1),OFFSET($M$15,0,0,$B$8,1))=FG$14))   /   SUM(OFFSET($BO$15,0,0,$B$14,1)) + $B$18/($B$19*$B$19*($DN60&lt;&gt;$DO60) + $B$19*($DN60=$DO60))</f>
        <v>3.7037037037037035E-4</v>
      </c>
      <c r="FH60" s="10" cm="1">
        <f t="array" aca="1" ref="FH60" ca="1">(1-$B$18)*SUMPRODUCT(OFFSET($BO$15,0,0,$B$14,1), 1*(_xlfn._xlws.FILTER(OFFSET($O$15,0,$DN60,$B$8,1),OFFSET($M$15,0,0,$B$8,1))=FH$13), 1*(_xlfn._xlws.FILTER(OFFSET($O$15,0,$DO60,$B$8,1),OFFSET($M$15,0,0,$B$8,1))=FH$14))   /   SUM(OFFSET($BO$15,0,0,$B$14,1)) + $B$18/($B$19*$B$19*($DN60&lt;&gt;$DO60) + $B$19*($DN60=$DO60))</f>
        <v>3.7037037037037035E-4</v>
      </c>
      <c r="FI60" s="10" cm="1">
        <f t="array" aca="1" ref="FI60" ca="1">(1-$B$18)*SUMPRODUCT(OFFSET($BO$15,0,0,$B$14,1), 1*(_xlfn._xlws.FILTER(OFFSET($O$15,0,$DN60,$B$8,1),OFFSET($M$15,0,0,$B$8,1))=FI$13), 1*(_xlfn._xlws.FILTER(OFFSET($O$15,0,$DO60,$B$8,1),OFFSET($M$15,0,0,$B$8,1))=FI$14))   /   SUM(OFFSET($BO$15,0,0,$B$14,1)) + $B$18/($B$19*$B$19*($DN60&lt;&gt;$DO60) + $B$19*($DN60=$DO60))</f>
        <v>3.7037037037037035E-4</v>
      </c>
      <c r="FJ60" s="10" cm="1">
        <f t="array" aca="1" ref="FJ60" ca="1">(1-$B$18)*SUMPRODUCT(OFFSET($BO$15,0,0,$B$14,1), 1*(_xlfn._xlws.FILTER(OFFSET($O$15,0,$DN60,$B$8,1),OFFSET($M$15,0,0,$B$8,1))=FJ$13), 1*(_xlfn._xlws.FILTER(OFFSET($O$15,0,$DO60,$B$8,1),OFFSET($M$15,0,0,$B$8,1))=FJ$14))   /   SUM(OFFSET($BO$15,0,0,$B$14,1)) + $B$18/($B$19*$B$19*($DN60&lt;&gt;$DO60) + $B$19*($DN60=$DO60))</f>
        <v>3.7037037037037035E-4</v>
      </c>
      <c r="FK60" s="10" cm="1">
        <f t="array" aca="1" ref="FK60" ca="1">(1-$B$18)*SUMPRODUCT(OFFSET($BO$15,0,0,$B$14,1), 1*(_xlfn._xlws.FILTER(OFFSET($O$15,0,$DN60,$B$8,1),OFFSET($M$15,0,0,$B$8,1))=FK$13), 1*(_xlfn._xlws.FILTER(OFFSET($O$15,0,$DO60,$B$8,1),OFFSET($M$15,0,0,$B$8,1))=FK$14))   /   SUM(OFFSET($BO$15,0,0,$B$14,1)) + $B$18/($B$19*$B$19*($DN60&lt;&gt;$DO60) + $B$19*($DN60=$DO60))</f>
        <v>3.7037037037037035E-4</v>
      </c>
      <c r="FL60" s="10" cm="1">
        <f t="array" aca="1" ref="FL60" ca="1">(1-$B$18)*SUMPRODUCT(OFFSET($BO$15,0,0,$B$14,1), 1*(_xlfn._xlws.FILTER(OFFSET($O$15,0,$DN60,$B$8,1),OFFSET($M$15,0,0,$B$8,1))=FL$13), 1*(_xlfn._xlws.FILTER(OFFSET($O$15,0,$DO60,$B$8,1),OFFSET($M$15,0,0,$B$8,1))=FL$14))   /   SUM(OFFSET($BO$15,0,0,$B$14,1)) + $B$18/($B$19*$B$19*($DN60&lt;&gt;$DO60) + $B$19*($DN60=$DO60))</f>
        <v>3.7037037037037035E-4</v>
      </c>
      <c r="FM60" s="10" cm="1">
        <f t="array" aca="1" ref="FM60" ca="1">(1-$B$18)*SUMPRODUCT(OFFSET($BO$15,0,0,$B$14,1), 1*(_xlfn._xlws.FILTER(OFFSET($O$15,0,$DN60,$B$8,1),OFFSET($M$15,0,0,$B$8,1))=FM$13), 1*(_xlfn._xlws.FILTER(OFFSET($O$15,0,$DO60,$B$8,1),OFFSET($M$15,0,0,$B$8,1))=FM$14))   /   SUM(OFFSET($BO$15,0,0,$B$14,1)) + $B$18/($B$19*$B$19*($DN60&lt;&gt;$DO60) + $B$19*($DN60=$DO60))</f>
        <v>3.7037037037037035E-4</v>
      </c>
      <c r="FN60" s="10" cm="1">
        <f t="array" aca="1" ref="FN60" ca="1">(1-$B$18)*SUMPRODUCT(OFFSET($BO$15,0,0,$B$14,1), 1*(_xlfn._xlws.FILTER(OFFSET($O$15,0,$DN60,$B$8,1),OFFSET($M$15,0,0,$B$8,1))=FN$13), 1*(_xlfn._xlws.FILTER(OFFSET($O$15,0,$DO60,$B$8,1),OFFSET($M$15,0,0,$B$8,1))=FN$14))   /   SUM(OFFSET($BO$15,0,0,$B$14,1)) + $B$18/($B$19*$B$19*($DN60&lt;&gt;$DO60) + $B$19*($DN60=$DO60))</f>
        <v>3.7037037037037035E-4</v>
      </c>
      <c r="FO60" s="10" cm="1">
        <f t="array" aca="1" ref="FO60" ca="1">(1-$B$18)*SUMPRODUCT(OFFSET($BO$15,0,0,$B$14,1), 1*(_xlfn._xlws.FILTER(OFFSET($O$15,0,$DN60,$B$8,1),OFFSET($M$15,0,0,$B$8,1))=FO$13), 1*(_xlfn._xlws.FILTER(OFFSET($O$15,0,$DO60,$B$8,1),OFFSET($M$15,0,0,$B$8,1))=FO$14))   /   SUM(OFFSET($BO$15,0,0,$B$14,1)) + $B$18/($B$19*$B$19*($DN60&lt;&gt;$DO60) + $B$19*($DN60=$DO60))</f>
        <v>3.7037037037037035E-4</v>
      </c>
      <c r="FP60" s="10" cm="1">
        <f t="array" aca="1" ref="FP60" ca="1">(1-$B$18)*SUMPRODUCT(OFFSET($BO$15,0,0,$B$14,1), 1*(_xlfn._xlws.FILTER(OFFSET($O$15,0,$DN60,$B$8,1),OFFSET($M$15,0,0,$B$8,1))=FP$13), 1*(_xlfn._xlws.FILTER(OFFSET($O$15,0,$DO60,$B$8,1),OFFSET($M$15,0,0,$B$8,1))=FP$14))   /   SUM(OFFSET($BO$15,0,0,$B$14,1)) + $B$18/($B$19*$B$19*($DN60&lt;&gt;$DO60) + $B$19*($DN60=$DO60))</f>
        <v>3.7037037037037035E-4</v>
      </c>
      <c r="FQ60" s="10" cm="1">
        <f t="array" aca="1" ref="FQ60" ca="1">(1-$B$18)*SUMPRODUCT(OFFSET($BO$15,0,0,$B$14,1), 1*(_xlfn._xlws.FILTER(OFFSET($O$15,0,$DN60,$B$8,1),OFFSET($M$15,0,0,$B$8,1))=FQ$13), 1*(_xlfn._xlws.FILTER(OFFSET($O$15,0,$DO60,$B$8,1),OFFSET($M$15,0,0,$B$8,1))=FQ$14))   /   SUM(OFFSET($BO$15,0,0,$B$14,1)) + $B$18/($B$19*$B$19*($DN60&lt;&gt;$DO60) + $B$19*($DN60=$DO60))</f>
        <v>3.7037037037037035E-4</v>
      </c>
      <c r="FR60" s="10" cm="1">
        <f t="array" aca="1" ref="FR60" ca="1">(1-$B$18)*SUMPRODUCT(OFFSET($BO$15,0,0,$B$14,1), 1*(_xlfn._xlws.FILTER(OFFSET($O$15,0,$DN60,$B$8,1),OFFSET($M$15,0,0,$B$8,1))=FR$13), 1*(_xlfn._xlws.FILTER(OFFSET($O$15,0,$DO60,$B$8,1),OFFSET($M$15,0,0,$B$8,1))=FR$14))   /   SUM(OFFSET($BO$15,0,0,$B$14,1)) + $B$18/($B$19*$B$19*($DN60&lt;&gt;$DO60) + $B$19*($DN60=$DO60))</f>
        <v>0.97037037037037033</v>
      </c>
      <c r="FS60" s="10" cm="1">
        <f t="array" aca="1" ref="FS60" ca="1">(1-$B$18)*SUMPRODUCT(OFFSET($BO$15,0,0,$B$14,1), 1*(_xlfn._xlws.FILTER(OFFSET($O$15,0,$DN60,$B$8,1),OFFSET($M$15,0,0,$B$8,1))=FS$13), 1*(_xlfn._xlws.FILTER(OFFSET($O$15,0,$DO60,$B$8,1),OFFSET($M$15,0,0,$B$8,1))=FS$14))   /   SUM(OFFSET($BO$15,0,0,$B$14,1)) + $B$18/($B$19*$B$19*($DN60&lt;&gt;$DO60) + $B$19*($DN60=$DO60))</f>
        <v>3.7037037037037035E-4</v>
      </c>
      <c r="FT60" s="10" cm="1">
        <f t="array" aca="1" ref="FT60" ca="1">(1-$B$18)*SUMPRODUCT(OFFSET($BO$15,0,0,$B$14,1), 1*(_xlfn._xlws.FILTER(OFFSET($O$15,0,$DN60,$B$8,1),OFFSET($M$15,0,0,$B$8,1))=FT$13), 1*(_xlfn._xlws.FILTER(OFFSET($O$15,0,$DO60,$B$8,1),OFFSET($M$15,0,0,$B$8,1))=FT$14))   /   SUM(OFFSET($BO$15,0,0,$B$14,1)) + $B$18/($B$19*$B$19*($DN60&lt;&gt;$DO60) + $B$19*($DN60=$DO60))</f>
        <v>3.7037037037037035E-4</v>
      </c>
      <c r="FU60" s="10" cm="1">
        <f t="array" aca="1" ref="FU60" ca="1">(1-$B$18)*SUMPRODUCT(OFFSET($BO$15,0,0,$B$14,1), 1*(_xlfn._xlws.FILTER(OFFSET($O$15,0,$DN60,$B$8,1),OFFSET($M$15,0,0,$B$8,1))=FU$13), 1*(_xlfn._xlws.FILTER(OFFSET($O$15,0,$DO60,$B$8,1),OFFSET($M$15,0,0,$B$8,1))=FU$14))   /   SUM(OFFSET($BO$15,0,0,$B$14,1)) + $B$18/($B$19*$B$19*($DN60&lt;&gt;$DO60) + $B$19*($DN60=$DO60))</f>
        <v>3.7037037037037035E-4</v>
      </c>
      <c r="FV60" s="10" cm="1">
        <f t="array" aca="1" ref="FV60" ca="1">(1-$B$18)*SUMPRODUCT(OFFSET($BO$15,0,0,$B$14,1), 1*(_xlfn._xlws.FILTER(OFFSET($O$15,0,$DN60,$B$8,1),OFFSET($M$15,0,0,$B$8,1))=FV$13), 1*(_xlfn._xlws.FILTER(OFFSET($O$15,0,$DO60,$B$8,1),OFFSET($M$15,0,0,$B$8,1))=FV$14))   /   SUM(OFFSET($BO$15,0,0,$B$14,1)) + $B$18/($B$19*$B$19*($DN60&lt;&gt;$DO60) + $B$19*($DN60=$DO60))</f>
        <v>3.7037037037037035E-4</v>
      </c>
      <c r="FW60" s="10" cm="1">
        <f t="array" aca="1" ref="FW60" ca="1">(1-$B$18)*SUMPRODUCT(OFFSET($BO$15,0,0,$B$14,1), 1*(_xlfn._xlws.FILTER(OFFSET($O$15,0,$DN60,$B$8,1),OFFSET($M$15,0,0,$B$8,1))=FW$13), 1*(_xlfn._xlws.FILTER(OFFSET($O$15,0,$DO60,$B$8,1),OFFSET($M$15,0,0,$B$8,1))=FW$14))   /   SUM(OFFSET($BO$15,0,0,$B$14,1)) + $B$18/($B$19*$B$19*($DN60&lt;&gt;$DO60) + $B$19*($DN60=$DO60))</f>
        <v>3.7037037037037035E-4</v>
      </c>
      <c r="FX60" s="10" cm="1">
        <f t="array" aca="1" ref="FX60" ca="1">(1-$B$18)*SUMPRODUCT(OFFSET($BO$15,0,0,$B$14,1), 1*(_xlfn._xlws.FILTER(OFFSET($O$15,0,$DN60,$B$8,1),OFFSET($M$15,0,0,$B$8,1))=FX$13), 1*(_xlfn._xlws.FILTER(OFFSET($O$15,0,$DO60,$B$8,1),OFFSET($M$15,0,0,$B$8,1))=FX$14))   /   SUM(OFFSET($BO$15,0,0,$B$14,1)) + $B$18/($B$19*$B$19*($DN60&lt;&gt;$DO60) + $B$19*($DN60=$DO60))</f>
        <v>3.7037037037037035E-4</v>
      </c>
      <c r="FY60" s="10" cm="1">
        <f t="array" aca="1" ref="FY60" ca="1">(1-$B$18)*SUMPRODUCT(OFFSET($BO$15,0,0,$B$14,1), 1*(_xlfn._xlws.FILTER(OFFSET($O$15,0,$DN60,$B$8,1),OFFSET($M$15,0,0,$B$8,1))=FY$13), 1*(_xlfn._xlws.FILTER(OFFSET($O$15,0,$DO60,$B$8,1),OFFSET($M$15,0,0,$B$8,1))=FY$14))   /   SUM(OFFSET($BO$15,0,0,$B$14,1)) + $B$18/($B$19*$B$19*($DN60&lt;&gt;$DO60) + $B$19*($DN60=$DO60))</f>
        <v>3.7037037037037035E-4</v>
      </c>
      <c r="FZ60" s="10" cm="1">
        <f t="array" aca="1" ref="FZ60" ca="1">(1-$B$18)*SUMPRODUCT(OFFSET($BO$15,0,0,$B$14,1), 1*(_xlfn._xlws.FILTER(OFFSET($O$15,0,$DN60,$B$8,1),OFFSET($M$15,0,0,$B$8,1))=FZ$13), 1*(_xlfn._xlws.FILTER(OFFSET($O$15,0,$DO60,$B$8,1),OFFSET($M$15,0,0,$B$8,1))=FZ$14))   /   SUM(OFFSET($BO$15,0,0,$B$14,1)) + $B$18/($B$19*$B$19*($DN60&lt;&gt;$DO60) + $B$19*($DN60=$DO60))</f>
        <v>3.7037037037037035E-4</v>
      </c>
      <c r="GA60" s="10" cm="1">
        <f t="array" aca="1" ref="GA60" ca="1">(1-$B$18)*SUMPRODUCT(OFFSET($BO$15,0,0,$B$14,1), 1*(_xlfn._xlws.FILTER(OFFSET($O$15,0,$DN60,$B$8,1),OFFSET($M$15,0,0,$B$8,1))=GA$13), 1*(_xlfn._xlws.FILTER(OFFSET($O$15,0,$DO60,$B$8,1),OFFSET($M$15,0,0,$B$8,1))=GA$14))   /   SUM(OFFSET($BO$15,0,0,$B$14,1)) + $B$18/($B$19*$B$19*($DN60&lt;&gt;$DO60) + $B$19*($DN60=$DO60))</f>
        <v>3.7037037037037035E-4</v>
      </c>
    </row>
    <row r="61" spans="5:183" x14ac:dyDescent="0.2">
      <c r="CX61">
        <f ca="1"/>
        <v>0.2</v>
      </c>
      <c r="CY61">
        <f ca="1"/>
        <v>0</v>
      </c>
      <c r="DN61" cm="1">
        <f t="array" aca="1" ref="DN61" ca="1">INDEX(_xlfn.ANCHORARRAY($CP$15), 1 + INT((ROWS($DO$15:$DO61) - 1) / ROWS(_xlfn.ANCHORARRAY($CP$15))))</f>
        <v>2</v>
      </c>
      <c r="DO61" cm="1">
        <f t="array" aca="1" ref="DO61" ca="1">INDEX(_xlfn.ANCHORARRAY($CP$15),1+MOD(ROWS($DO$15:$DO61)-1,ROWS(_xlfn.ANCHORARRAY($CP$15))))</f>
        <v>8</v>
      </c>
      <c r="DP61" s="10" cm="1">
        <f t="array" aca="1" ref="DP61" ca="1">(1-$B$18)*SUMPRODUCT(OFFSET($BO$15,0,0,$B$14,1), 1*(_xlfn._xlws.FILTER(OFFSET($O$15,0,$DN61,$B$8,1),OFFSET($M$15,0,0,$B$8,1))=DP$13), 1*(_xlfn._xlws.FILTER(OFFSET($O$15,0,$DO61,$B$8,1),OFFSET($M$15,0,0,$B$8,1))=DP$14))   /   SUM(OFFSET($BO$15,0,0,$B$14,1)) + $B$18/($B$19*$B$19*($DN61&lt;&gt;$DO61) + $B$19*($DN61=$DO61))</f>
        <v>3.7037037037037035E-4</v>
      </c>
      <c r="DQ61" s="10" cm="1">
        <f t="array" aca="1" ref="DQ61" ca="1">(1-$B$18)*SUMPRODUCT(OFFSET($BO$15,0,0,$B$14,1), 1*(_xlfn._xlws.FILTER(OFFSET($O$15,0,$DN61,$B$8,1),OFFSET($M$15,0,0,$B$8,1))=DQ$13), 1*(_xlfn._xlws.FILTER(OFFSET($O$15,0,$DO61,$B$8,1),OFFSET($M$15,0,0,$B$8,1))=DQ$14))   /   SUM(OFFSET($BO$15,0,0,$B$14,1)) + $B$18/($B$19*$B$19*($DN61&lt;&gt;$DO61) + $B$19*($DN61=$DO61))</f>
        <v>3.7037037037037035E-4</v>
      </c>
      <c r="DR61" s="10" cm="1">
        <f t="array" aca="1" ref="DR61" ca="1">(1-$B$18)*SUMPRODUCT(OFFSET($BO$15,0,0,$B$14,1), 1*(_xlfn._xlws.FILTER(OFFSET($O$15,0,$DN61,$B$8,1),OFFSET($M$15,0,0,$B$8,1))=DR$13), 1*(_xlfn._xlws.FILTER(OFFSET($O$15,0,$DO61,$B$8,1),OFFSET($M$15,0,0,$B$8,1))=DR$14))   /   SUM(OFFSET($BO$15,0,0,$B$14,1)) + $B$18/($B$19*$B$19*($DN61&lt;&gt;$DO61) + $B$19*($DN61=$DO61))</f>
        <v>3.7037037037037035E-4</v>
      </c>
      <c r="DS61" s="10" cm="1">
        <f t="array" aca="1" ref="DS61" ca="1">(1-$B$18)*SUMPRODUCT(OFFSET($BO$15,0,0,$B$14,1), 1*(_xlfn._xlws.FILTER(OFFSET($O$15,0,$DN61,$B$8,1),OFFSET($M$15,0,0,$B$8,1))=DS$13), 1*(_xlfn._xlws.FILTER(OFFSET($O$15,0,$DO61,$B$8,1),OFFSET($M$15,0,0,$B$8,1))=DS$14))   /   SUM(OFFSET($BO$15,0,0,$B$14,1)) + $B$18/($B$19*$B$19*($DN61&lt;&gt;$DO61) + $B$19*($DN61=$DO61))</f>
        <v>3.7037037037037035E-4</v>
      </c>
      <c r="DT61" s="10" cm="1">
        <f t="array" aca="1" ref="DT61" ca="1">(1-$B$18)*SUMPRODUCT(OFFSET($BO$15,0,0,$B$14,1), 1*(_xlfn._xlws.FILTER(OFFSET($O$15,0,$DN61,$B$8,1),OFFSET($M$15,0,0,$B$8,1))=DT$13), 1*(_xlfn._xlws.FILTER(OFFSET($O$15,0,$DO61,$B$8,1),OFFSET($M$15,0,0,$B$8,1))=DT$14))   /   SUM(OFFSET($BO$15,0,0,$B$14,1)) + $B$18/($B$19*$B$19*($DN61&lt;&gt;$DO61) + $B$19*($DN61=$DO61))</f>
        <v>3.7037037037037035E-4</v>
      </c>
      <c r="DU61" s="10" cm="1">
        <f t="array" aca="1" ref="DU61" ca="1">(1-$B$18)*SUMPRODUCT(OFFSET($BO$15,0,0,$B$14,1), 1*(_xlfn._xlws.FILTER(OFFSET($O$15,0,$DN61,$B$8,1),OFFSET($M$15,0,0,$B$8,1))=DU$13), 1*(_xlfn._xlws.FILTER(OFFSET($O$15,0,$DO61,$B$8,1),OFFSET($M$15,0,0,$B$8,1))=DU$14))   /   SUM(OFFSET($BO$15,0,0,$B$14,1)) + $B$18/($B$19*$B$19*($DN61&lt;&gt;$DO61) + $B$19*($DN61=$DO61))</f>
        <v>3.7037037037037035E-4</v>
      </c>
      <c r="DV61" s="10" cm="1">
        <f t="array" aca="1" ref="DV61" ca="1">(1-$B$18)*SUMPRODUCT(OFFSET($BO$15,0,0,$B$14,1), 1*(_xlfn._xlws.FILTER(OFFSET($O$15,0,$DN61,$B$8,1),OFFSET($M$15,0,0,$B$8,1))=DV$13), 1*(_xlfn._xlws.FILTER(OFFSET($O$15,0,$DO61,$B$8,1),OFFSET($M$15,0,0,$B$8,1))=DV$14))   /   SUM(OFFSET($BO$15,0,0,$B$14,1)) + $B$18/($B$19*$B$19*($DN61&lt;&gt;$DO61) + $B$19*($DN61=$DO61))</f>
        <v>3.7037037037037035E-4</v>
      </c>
      <c r="DW61" s="10" cm="1">
        <f t="array" aca="1" ref="DW61" ca="1">(1-$B$18)*SUMPRODUCT(OFFSET($BO$15,0,0,$B$14,1), 1*(_xlfn._xlws.FILTER(OFFSET($O$15,0,$DN61,$B$8,1),OFFSET($M$15,0,0,$B$8,1))=DW$13), 1*(_xlfn._xlws.FILTER(OFFSET($O$15,0,$DO61,$B$8,1),OFFSET($M$15,0,0,$B$8,1))=DW$14))   /   SUM(OFFSET($BO$15,0,0,$B$14,1)) + $B$18/($B$19*$B$19*($DN61&lt;&gt;$DO61) + $B$19*($DN61=$DO61))</f>
        <v>3.7037037037037035E-4</v>
      </c>
      <c r="DX61" s="10" cm="1">
        <f t="array" aca="1" ref="DX61" ca="1">(1-$B$18)*SUMPRODUCT(OFFSET($BO$15,0,0,$B$14,1), 1*(_xlfn._xlws.FILTER(OFFSET($O$15,0,$DN61,$B$8,1),OFFSET($M$15,0,0,$B$8,1))=DX$13), 1*(_xlfn._xlws.FILTER(OFFSET($O$15,0,$DO61,$B$8,1),OFFSET($M$15,0,0,$B$8,1))=DX$14))   /   SUM(OFFSET($BO$15,0,0,$B$14,1)) + $B$18/($B$19*$B$19*($DN61&lt;&gt;$DO61) + $B$19*($DN61=$DO61))</f>
        <v>3.7037037037037035E-4</v>
      </c>
      <c r="DY61" s="10" cm="1">
        <f t="array" aca="1" ref="DY61" ca="1">(1-$B$18)*SUMPRODUCT(OFFSET($BO$15,0,0,$B$14,1), 1*(_xlfn._xlws.FILTER(OFFSET($O$15,0,$DN61,$B$8,1),OFFSET($M$15,0,0,$B$8,1))=DY$13), 1*(_xlfn._xlws.FILTER(OFFSET($O$15,0,$DO61,$B$8,1),OFFSET($M$15,0,0,$B$8,1))=DY$14))   /   SUM(OFFSET($BO$15,0,0,$B$14,1)) + $B$18/($B$19*$B$19*($DN61&lt;&gt;$DO61) + $B$19*($DN61=$DO61))</f>
        <v>3.7037037037037035E-4</v>
      </c>
      <c r="DZ61" s="10" cm="1">
        <f t="array" aca="1" ref="DZ61" ca="1">(1-$B$18)*SUMPRODUCT(OFFSET($BO$15,0,0,$B$14,1), 1*(_xlfn._xlws.FILTER(OFFSET($O$15,0,$DN61,$B$8,1),OFFSET($M$15,0,0,$B$8,1))=DZ$13), 1*(_xlfn._xlws.FILTER(OFFSET($O$15,0,$DO61,$B$8,1),OFFSET($M$15,0,0,$B$8,1))=DZ$14))   /   SUM(OFFSET($BO$15,0,0,$B$14,1)) + $B$18/($B$19*$B$19*($DN61&lt;&gt;$DO61) + $B$19*($DN61=$DO61))</f>
        <v>3.7037037037037035E-4</v>
      </c>
      <c r="EA61" s="10" cm="1">
        <f t="array" aca="1" ref="EA61" ca="1">(1-$B$18)*SUMPRODUCT(OFFSET($BO$15,0,0,$B$14,1), 1*(_xlfn._xlws.FILTER(OFFSET($O$15,0,$DN61,$B$8,1),OFFSET($M$15,0,0,$B$8,1))=EA$13), 1*(_xlfn._xlws.FILTER(OFFSET($O$15,0,$DO61,$B$8,1),OFFSET($M$15,0,0,$B$8,1))=EA$14))   /   SUM(OFFSET($BO$15,0,0,$B$14,1)) + $B$18/($B$19*$B$19*($DN61&lt;&gt;$DO61) + $B$19*($DN61=$DO61))</f>
        <v>3.7037037037037035E-4</v>
      </c>
      <c r="EB61" s="10" cm="1">
        <f t="array" aca="1" ref="EB61" ca="1">(1-$B$18)*SUMPRODUCT(OFFSET($BO$15,0,0,$B$14,1), 1*(_xlfn._xlws.FILTER(OFFSET($O$15,0,$DN61,$B$8,1),OFFSET($M$15,0,0,$B$8,1))=EB$13), 1*(_xlfn._xlws.FILTER(OFFSET($O$15,0,$DO61,$B$8,1),OFFSET($M$15,0,0,$B$8,1))=EB$14))   /   SUM(OFFSET($BO$15,0,0,$B$14,1)) + $B$18/($B$19*$B$19*($DN61&lt;&gt;$DO61) + $B$19*($DN61=$DO61))</f>
        <v>3.7037037037037035E-4</v>
      </c>
      <c r="EC61" s="10" cm="1">
        <f t="array" aca="1" ref="EC61" ca="1">(1-$B$18)*SUMPRODUCT(OFFSET($BO$15,0,0,$B$14,1), 1*(_xlfn._xlws.FILTER(OFFSET($O$15,0,$DN61,$B$8,1),OFFSET($M$15,0,0,$B$8,1))=EC$13), 1*(_xlfn._xlws.FILTER(OFFSET($O$15,0,$DO61,$B$8,1),OFFSET($M$15,0,0,$B$8,1))=EC$14))   /   SUM(OFFSET($BO$15,0,0,$B$14,1)) + $B$18/($B$19*$B$19*($DN61&lt;&gt;$DO61) + $B$19*($DN61=$DO61))</f>
        <v>3.7037037037037035E-4</v>
      </c>
      <c r="ED61" s="10" cm="1">
        <f t="array" aca="1" ref="ED61" ca="1">(1-$B$18)*SUMPRODUCT(OFFSET($BO$15,0,0,$B$14,1), 1*(_xlfn._xlws.FILTER(OFFSET($O$15,0,$DN61,$B$8,1),OFFSET($M$15,0,0,$B$8,1))=ED$13), 1*(_xlfn._xlws.FILTER(OFFSET($O$15,0,$DO61,$B$8,1),OFFSET($M$15,0,0,$B$8,1))=ED$14))   /   SUM(OFFSET($BO$15,0,0,$B$14,1)) + $B$18/($B$19*$B$19*($DN61&lt;&gt;$DO61) + $B$19*($DN61=$DO61))</f>
        <v>3.7037037037037035E-4</v>
      </c>
      <c r="EE61" s="10" cm="1">
        <f t="array" aca="1" ref="EE61" ca="1">(1-$B$18)*SUMPRODUCT(OFFSET($BO$15,0,0,$B$14,1), 1*(_xlfn._xlws.FILTER(OFFSET($O$15,0,$DN61,$B$8,1),OFFSET($M$15,0,0,$B$8,1))=EE$13), 1*(_xlfn._xlws.FILTER(OFFSET($O$15,0,$DO61,$B$8,1),OFFSET($M$15,0,0,$B$8,1))=EE$14))   /   SUM(OFFSET($BO$15,0,0,$B$14,1)) + $B$18/($B$19*$B$19*($DN61&lt;&gt;$DO61) + $B$19*($DN61=$DO61))</f>
        <v>3.7037037037037035E-4</v>
      </c>
      <c r="EF61" s="10" cm="1">
        <f t="array" aca="1" ref="EF61" ca="1">(1-$B$18)*SUMPRODUCT(OFFSET($BO$15,0,0,$B$14,1), 1*(_xlfn._xlws.FILTER(OFFSET($O$15,0,$DN61,$B$8,1),OFFSET($M$15,0,0,$B$8,1))=EF$13), 1*(_xlfn._xlws.FILTER(OFFSET($O$15,0,$DO61,$B$8,1),OFFSET($M$15,0,0,$B$8,1))=EF$14))   /   SUM(OFFSET($BO$15,0,0,$B$14,1)) + $B$18/($B$19*$B$19*($DN61&lt;&gt;$DO61) + $B$19*($DN61=$DO61))</f>
        <v>3.7037037037037035E-4</v>
      </c>
      <c r="EG61" s="10" cm="1">
        <f t="array" aca="1" ref="EG61" ca="1">(1-$B$18)*SUMPRODUCT(OFFSET($BO$15,0,0,$B$14,1), 1*(_xlfn._xlws.FILTER(OFFSET($O$15,0,$DN61,$B$8,1),OFFSET($M$15,0,0,$B$8,1))=EG$13), 1*(_xlfn._xlws.FILTER(OFFSET($O$15,0,$DO61,$B$8,1),OFFSET($M$15,0,0,$B$8,1))=EG$14))   /   SUM(OFFSET($BO$15,0,0,$B$14,1)) + $B$18/($B$19*$B$19*($DN61&lt;&gt;$DO61) + $B$19*($DN61=$DO61))</f>
        <v>3.7037037037037035E-4</v>
      </c>
      <c r="EH61" s="10" cm="1">
        <f t="array" aca="1" ref="EH61" ca="1">(1-$B$18)*SUMPRODUCT(OFFSET($BO$15,0,0,$B$14,1), 1*(_xlfn._xlws.FILTER(OFFSET($O$15,0,$DN61,$B$8,1),OFFSET($M$15,0,0,$B$8,1))=EH$13), 1*(_xlfn._xlws.FILTER(OFFSET($O$15,0,$DO61,$B$8,1),OFFSET($M$15,0,0,$B$8,1))=EH$14))   /   SUM(OFFSET($BO$15,0,0,$B$14,1)) + $B$18/($B$19*$B$19*($DN61&lt;&gt;$DO61) + $B$19*($DN61=$DO61))</f>
        <v>3.7037037037037035E-4</v>
      </c>
      <c r="EI61" s="10" cm="1">
        <f t="array" aca="1" ref="EI61" ca="1">(1-$B$18)*SUMPRODUCT(OFFSET($BO$15,0,0,$B$14,1), 1*(_xlfn._xlws.FILTER(OFFSET($O$15,0,$DN61,$B$8,1),OFFSET($M$15,0,0,$B$8,1))=EI$13), 1*(_xlfn._xlws.FILTER(OFFSET($O$15,0,$DO61,$B$8,1),OFFSET($M$15,0,0,$B$8,1))=EI$14))   /   SUM(OFFSET($BO$15,0,0,$B$14,1)) + $B$18/($B$19*$B$19*($DN61&lt;&gt;$DO61) + $B$19*($DN61=$DO61))</f>
        <v>3.7037037037037035E-4</v>
      </c>
      <c r="EJ61" s="10" cm="1">
        <f t="array" aca="1" ref="EJ61" ca="1">(1-$B$18)*SUMPRODUCT(OFFSET($BO$15,0,0,$B$14,1), 1*(_xlfn._xlws.FILTER(OFFSET($O$15,0,$DN61,$B$8,1),OFFSET($M$15,0,0,$B$8,1))=EJ$13), 1*(_xlfn._xlws.FILTER(OFFSET($O$15,0,$DO61,$B$8,1),OFFSET($M$15,0,0,$B$8,1))=EJ$14))   /   SUM(OFFSET($BO$15,0,0,$B$14,1)) + $B$18/($B$19*$B$19*($DN61&lt;&gt;$DO61) + $B$19*($DN61=$DO61))</f>
        <v>3.7037037037037035E-4</v>
      </c>
      <c r="EK61" s="10" cm="1">
        <f t="array" aca="1" ref="EK61" ca="1">(1-$B$18)*SUMPRODUCT(OFFSET($BO$15,0,0,$B$14,1), 1*(_xlfn._xlws.FILTER(OFFSET($O$15,0,$DN61,$B$8,1),OFFSET($M$15,0,0,$B$8,1))=EK$13), 1*(_xlfn._xlws.FILTER(OFFSET($O$15,0,$DO61,$B$8,1),OFFSET($M$15,0,0,$B$8,1))=EK$14))   /   SUM(OFFSET($BO$15,0,0,$B$14,1)) + $B$18/($B$19*$B$19*($DN61&lt;&gt;$DO61) + $B$19*($DN61=$DO61))</f>
        <v>3.7037037037037035E-4</v>
      </c>
      <c r="EL61" s="10" cm="1">
        <f t="array" aca="1" ref="EL61" ca="1">(1-$B$18)*SUMPRODUCT(OFFSET($BO$15,0,0,$B$14,1), 1*(_xlfn._xlws.FILTER(OFFSET($O$15,0,$DN61,$B$8,1),OFFSET($M$15,0,0,$B$8,1))=EL$13), 1*(_xlfn._xlws.FILTER(OFFSET($O$15,0,$DO61,$B$8,1),OFFSET($M$15,0,0,$B$8,1))=EL$14))   /   SUM(OFFSET($BO$15,0,0,$B$14,1)) + $B$18/($B$19*$B$19*($DN61&lt;&gt;$DO61) + $B$19*($DN61=$DO61))</f>
        <v>3.7037037037037035E-4</v>
      </c>
      <c r="EM61" s="10" cm="1">
        <f t="array" aca="1" ref="EM61" ca="1">(1-$B$18)*SUMPRODUCT(OFFSET($BO$15,0,0,$B$14,1), 1*(_xlfn._xlws.FILTER(OFFSET($O$15,0,$DN61,$B$8,1),OFFSET($M$15,0,0,$B$8,1))=EM$13), 1*(_xlfn._xlws.FILTER(OFFSET($O$15,0,$DO61,$B$8,1),OFFSET($M$15,0,0,$B$8,1))=EM$14))   /   SUM(OFFSET($BO$15,0,0,$B$14,1)) + $B$18/($B$19*$B$19*($DN61&lt;&gt;$DO61) + $B$19*($DN61=$DO61))</f>
        <v>3.7037037037037035E-4</v>
      </c>
      <c r="EN61" s="10" cm="1">
        <f t="array" aca="1" ref="EN61" ca="1">(1-$B$18)*SUMPRODUCT(OFFSET($BO$15,0,0,$B$14,1), 1*(_xlfn._xlws.FILTER(OFFSET($O$15,0,$DN61,$B$8,1),OFFSET($M$15,0,0,$B$8,1))=EN$13), 1*(_xlfn._xlws.FILTER(OFFSET($O$15,0,$DO61,$B$8,1),OFFSET($M$15,0,0,$B$8,1))=EN$14))   /   SUM(OFFSET($BO$15,0,0,$B$14,1)) + $B$18/($B$19*$B$19*($DN61&lt;&gt;$DO61) + $B$19*($DN61=$DO61))</f>
        <v>3.7037037037037035E-4</v>
      </c>
      <c r="EO61" s="10" cm="1">
        <f t="array" aca="1" ref="EO61" ca="1">(1-$B$18)*SUMPRODUCT(OFFSET($BO$15,0,0,$B$14,1), 1*(_xlfn._xlws.FILTER(OFFSET($O$15,0,$DN61,$B$8,1),OFFSET($M$15,0,0,$B$8,1))=EO$13), 1*(_xlfn._xlws.FILTER(OFFSET($O$15,0,$DO61,$B$8,1),OFFSET($M$15,0,0,$B$8,1))=EO$14))   /   SUM(OFFSET($BO$15,0,0,$B$14,1)) + $B$18/($B$19*$B$19*($DN61&lt;&gt;$DO61) + $B$19*($DN61=$DO61))</f>
        <v>3.7037037037037035E-4</v>
      </c>
      <c r="EP61" s="10" cm="1">
        <f t="array" aca="1" ref="EP61" ca="1">(1-$B$18)*SUMPRODUCT(OFFSET($BO$15,0,0,$B$14,1), 1*(_xlfn._xlws.FILTER(OFFSET($O$15,0,$DN61,$B$8,1),OFFSET($M$15,0,0,$B$8,1))=EP$13), 1*(_xlfn._xlws.FILTER(OFFSET($O$15,0,$DO61,$B$8,1),OFFSET($M$15,0,0,$B$8,1))=EP$14))   /   SUM(OFFSET($BO$15,0,0,$B$14,1)) + $B$18/($B$19*$B$19*($DN61&lt;&gt;$DO61) + $B$19*($DN61=$DO61))</f>
        <v>3.7037037037037035E-4</v>
      </c>
      <c r="EQ61" s="10" cm="1">
        <f t="array" aca="1" ref="EQ61" ca="1">(1-$B$18)*SUMPRODUCT(OFFSET($BO$15,0,0,$B$14,1), 1*(_xlfn._xlws.FILTER(OFFSET($O$15,0,$DN61,$B$8,1),OFFSET($M$15,0,0,$B$8,1))=EQ$13), 1*(_xlfn._xlws.FILTER(OFFSET($O$15,0,$DO61,$B$8,1),OFFSET($M$15,0,0,$B$8,1))=EQ$14))   /   SUM(OFFSET($BO$15,0,0,$B$14,1)) + $B$18/($B$19*$B$19*($DN61&lt;&gt;$DO61) + $B$19*($DN61=$DO61))</f>
        <v>3.7037037037037035E-4</v>
      </c>
      <c r="ER61" s="10" cm="1">
        <f t="array" aca="1" ref="ER61" ca="1">(1-$B$18)*SUMPRODUCT(OFFSET($BO$15,0,0,$B$14,1), 1*(_xlfn._xlws.FILTER(OFFSET($O$15,0,$DN61,$B$8,1),OFFSET($M$15,0,0,$B$8,1))=ER$13), 1*(_xlfn._xlws.FILTER(OFFSET($O$15,0,$DO61,$B$8,1),OFFSET($M$15,0,0,$B$8,1))=ER$14))   /   SUM(OFFSET($BO$15,0,0,$B$14,1)) + $B$18/($B$19*$B$19*($DN61&lt;&gt;$DO61) + $B$19*($DN61=$DO61))</f>
        <v>3.7037037037037035E-4</v>
      </c>
      <c r="ES61" s="10" cm="1">
        <f t="array" aca="1" ref="ES61" ca="1">(1-$B$18)*SUMPRODUCT(OFFSET($BO$15,0,0,$B$14,1), 1*(_xlfn._xlws.FILTER(OFFSET($O$15,0,$DN61,$B$8,1),OFFSET($M$15,0,0,$B$8,1))=ES$13), 1*(_xlfn._xlws.FILTER(OFFSET($O$15,0,$DO61,$B$8,1),OFFSET($M$15,0,0,$B$8,1))=ES$14))   /   SUM(OFFSET($BO$15,0,0,$B$14,1)) + $B$18/($B$19*$B$19*($DN61&lt;&gt;$DO61) + $B$19*($DN61=$DO61))</f>
        <v>3.7037037037037035E-4</v>
      </c>
      <c r="ET61" s="10" cm="1">
        <f t="array" aca="1" ref="ET61" ca="1">(1-$B$18)*SUMPRODUCT(OFFSET($BO$15,0,0,$B$14,1), 1*(_xlfn._xlws.FILTER(OFFSET($O$15,0,$DN61,$B$8,1),OFFSET($M$15,0,0,$B$8,1))=ET$13), 1*(_xlfn._xlws.FILTER(OFFSET($O$15,0,$DO61,$B$8,1),OFFSET($M$15,0,0,$B$8,1))=ET$14))   /   SUM(OFFSET($BO$15,0,0,$B$14,1)) + $B$18/($B$19*$B$19*($DN61&lt;&gt;$DO61) + $B$19*($DN61=$DO61))</f>
        <v>3.7037037037037035E-4</v>
      </c>
      <c r="EU61" s="10" cm="1">
        <f t="array" aca="1" ref="EU61" ca="1">(1-$B$18)*SUMPRODUCT(OFFSET($BO$15,0,0,$B$14,1), 1*(_xlfn._xlws.FILTER(OFFSET($O$15,0,$DN61,$B$8,1),OFFSET($M$15,0,0,$B$8,1))=EU$13), 1*(_xlfn._xlws.FILTER(OFFSET($O$15,0,$DO61,$B$8,1),OFFSET($M$15,0,0,$B$8,1))=EU$14))   /   SUM(OFFSET($BO$15,0,0,$B$14,1)) + $B$18/($B$19*$B$19*($DN61&lt;&gt;$DO61) + $B$19*($DN61=$DO61))</f>
        <v>3.7037037037037035E-4</v>
      </c>
      <c r="EV61" s="10" cm="1">
        <f t="array" aca="1" ref="EV61" ca="1">(1-$B$18)*SUMPRODUCT(OFFSET($BO$15,0,0,$B$14,1), 1*(_xlfn._xlws.FILTER(OFFSET($O$15,0,$DN61,$B$8,1),OFFSET($M$15,0,0,$B$8,1))=EV$13), 1*(_xlfn._xlws.FILTER(OFFSET($O$15,0,$DO61,$B$8,1),OFFSET($M$15,0,0,$B$8,1))=EV$14))   /   SUM(OFFSET($BO$15,0,0,$B$14,1)) + $B$18/($B$19*$B$19*($DN61&lt;&gt;$DO61) + $B$19*($DN61=$DO61))</f>
        <v>3.7037037037037035E-4</v>
      </c>
      <c r="EW61" s="10" cm="1">
        <f t="array" aca="1" ref="EW61" ca="1">(1-$B$18)*SUMPRODUCT(OFFSET($BO$15,0,0,$B$14,1), 1*(_xlfn._xlws.FILTER(OFFSET($O$15,0,$DN61,$B$8,1),OFFSET($M$15,0,0,$B$8,1))=EW$13), 1*(_xlfn._xlws.FILTER(OFFSET($O$15,0,$DO61,$B$8,1),OFFSET($M$15,0,0,$B$8,1))=EW$14))   /   SUM(OFFSET($BO$15,0,0,$B$14,1)) + $B$18/($B$19*$B$19*($DN61&lt;&gt;$DO61) + $B$19*($DN61=$DO61))</f>
        <v>3.7037037037037035E-4</v>
      </c>
      <c r="EX61" s="10" cm="1">
        <f t="array" aca="1" ref="EX61" ca="1">(1-$B$18)*SUMPRODUCT(OFFSET($BO$15,0,0,$B$14,1), 1*(_xlfn._xlws.FILTER(OFFSET($O$15,0,$DN61,$B$8,1),OFFSET($M$15,0,0,$B$8,1))=EX$13), 1*(_xlfn._xlws.FILTER(OFFSET($O$15,0,$DO61,$B$8,1),OFFSET($M$15,0,0,$B$8,1))=EX$14))   /   SUM(OFFSET($BO$15,0,0,$B$14,1)) + $B$18/($B$19*$B$19*($DN61&lt;&gt;$DO61) + $B$19*($DN61=$DO61))</f>
        <v>3.7037037037037035E-4</v>
      </c>
      <c r="EY61" s="10" cm="1">
        <f t="array" aca="1" ref="EY61" ca="1">(1-$B$18)*SUMPRODUCT(OFFSET($BO$15,0,0,$B$14,1), 1*(_xlfn._xlws.FILTER(OFFSET($O$15,0,$DN61,$B$8,1),OFFSET($M$15,0,0,$B$8,1))=EY$13), 1*(_xlfn._xlws.FILTER(OFFSET($O$15,0,$DO61,$B$8,1),OFFSET($M$15,0,0,$B$8,1))=EY$14))   /   SUM(OFFSET($BO$15,0,0,$B$14,1)) + $B$18/($B$19*$B$19*($DN61&lt;&gt;$DO61) + $B$19*($DN61=$DO61))</f>
        <v>3.7037037037037035E-4</v>
      </c>
      <c r="EZ61" s="10" cm="1">
        <f t="array" aca="1" ref="EZ61" ca="1">(1-$B$18)*SUMPRODUCT(OFFSET($BO$15,0,0,$B$14,1), 1*(_xlfn._xlws.FILTER(OFFSET($O$15,0,$DN61,$B$8,1),OFFSET($M$15,0,0,$B$8,1))=EZ$13), 1*(_xlfn._xlws.FILTER(OFFSET($O$15,0,$DO61,$B$8,1),OFFSET($M$15,0,0,$B$8,1))=EZ$14))   /   SUM(OFFSET($BO$15,0,0,$B$14,1)) + $B$18/($B$19*$B$19*($DN61&lt;&gt;$DO61) + $B$19*($DN61=$DO61))</f>
        <v>3.7037037037037035E-4</v>
      </c>
      <c r="FA61" s="10" cm="1">
        <f t="array" aca="1" ref="FA61" ca="1">(1-$B$18)*SUMPRODUCT(OFFSET($BO$15,0,0,$B$14,1), 1*(_xlfn._xlws.FILTER(OFFSET($O$15,0,$DN61,$B$8,1),OFFSET($M$15,0,0,$B$8,1))=FA$13), 1*(_xlfn._xlws.FILTER(OFFSET($O$15,0,$DO61,$B$8,1),OFFSET($M$15,0,0,$B$8,1))=FA$14))   /   SUM(OFFSET($BO$15,0,0,$B$14,1)) + $B$18/($B$19*$B$19*($DN61&lt;&gt;$DO61) + $B$19*($DN61=$DO61))</f>
        <v>3.7037037037037035E-4</v>
      </c>
      <c r="FB61" s="10" cm="1">
        <f t="array" aca="1" ref="FB61" ca="1">(1-$B$18)*SUMPRODUCT(OFFSET($BO$15,0,0,$B$14,1), 1*(_xlfn._xlws.FILTER(OFFSET($O$15,0,$DN61,$B$8,1),OFFSET($M$15,0,0,$B$8,1))=FB$13), 1*(_xlfn._xlws.FILTER(OFFSET($O$15,0,$DO61,$B$8,1),OFFSET($M$15,0,0,$B$8,1))=FB$14))   /   SUM(OFFSET($BO$15,0,0,$B$14,1)) + $B$18/($B$19*$B$19*($DN61&lt;&gt;$DO61) + $B$19*($DN61=$DO61))</f>
        <v>3.7037037037037035E-4</v>
      </c>
      <c r="FC61" s="10" cm="1">
        <f t="array" aca="1" ref="FC61" ca="1">(1-$B$18)*SUMPRODUCT(OFFSET($BO$15,0,0,$B$14,1), 1*(_xlfn._xlws.FILTER(OFFSET($O$15,0,$DN61,$B$8,1),OFFSET($M$15,0,0,$B$8,1))=FC$13), 1*(_xlfn._xlws.FILTER(OFFSET($O$15,0,$DO61,$B$8,1),OFFSET($M$15,0,0,$B$8,1))=FC$14))   /   SUM(OFFSET($BO$15,0,0,$B$14,1)) + $B$18/($B$19*$B$19*($DN61&lt;&gt;$DO61) + $B$19*($DN61=$DO61))</f>
        <v>3.7037037037037035E-4</v>
      </c>
      <c r="FD61" s="10" cm="1">
        <f t="array" aca="1" ref="FD61" ca="1">(1-$B$18)*SUMPRODUCT(OFFSET($BO$15,0,0,$B$14,1), 1*(_xlfn._xlws.FILTER(OFFSET($O$15,0,$DN61,$B$8,1),OFFSET($M$15,0,0,$B$8,1))=FD$13), 1*(_xlfn._xlws.FILTER(OFFSET($O$15,0,$DO61,$B$8,1),OFFSET($M$15,0,0,$B$8,1))=FD$14))   /   SUM(OFFSET($BO$15,0,0,$B$14,1)) + $B$18/($B$19*$B$19*($DN61&lt;&gt;$DO61) + $B$19*($DN61=$DO61))</f>
        <v>3.7037037037037035E-4</v>
      </c>
      <c r="FE61" s="10" cm="1">
        <f t="array" aca="1" ref="FE61" ca="1">(1-$B$18)*SUMPRODUCT(OFFSET($BO$15,0,0,$B$14,1), 1*(_xlfn._xlws.FILTER(OFFSET($O$15,0,$DN61,$B$8,1),OFFSET($M$15,0,0,$B$8,1))=FE$13), 1*(_xlfn._xlws.FILTER(OFFSET($O$15,0,$DO61,$B$8,1),OFFSET($M$15,0,0,$B$8,1))=FE$14))   /   SUM(OFFSET($BO$15,0,0,$B$14,1)) + $B$18/($B$19*$B$19*($DN61&lt;&gt;$DO61) + $B$19*($DN61=$DO61))</f>
        <v>3.7037037037037035E-4</v>
      </c>
      <c r="FF61" s="10" cm="1">
        <f t="array" aca="1" ref="FF61" ca="1">(1-$B$18)*SUMPRODUCT(OFFSET($BO$15,0,0,$B$14,1), 1*(_xlfn._xlws.FILTER(OFFSET($O$15,0,$DN61,$B$8,1),OFFSET($M$15,0,0,$B$8,1))=FF$13), 1*(_xlfn._xlws.FILTER(OFFSET($O$15,0,$DO61,$B$8,1),OFFSET($M$15,0,0,$B$8,1))=FF$14))   /   SUM(OFFSET($BO$15,0,0,$B$14,1)) + $B$18/($B$19*$B$19*($DN61&lt;&gt;$DO61) + $B$19*($DN61=$DO61))</f>
        <v>3.7037037037037035E-4</v>
      </c>
      <c r="FG61" s="10" cm="1">
        <f t="array" aca="1" ref="FG61" ca="1">(1-$B$18)*SUMPRODUCT(OFFSET($BO$15,0,0,$B$14,1), 1*(_xlfn._xlws.FILTER(OFFSET($O$15,0,$DN61,$B$8,1),OFFSET($M$15,0,0,$B$8,1))=FG$13), 1*(_xlfn._xlws.FILTER(OFFSET($O$15,0,$DO61,$B$8,1),OFFSET($M$15,0,0,$B$8,1))=FG$14))   /   SUM(OFFSET($BO$15,0,0,$B$14,1)) + $B$18/($B$19*$B$19*($DN61&lt;&gt;$DO61) + $B$19*($DN61=$DO61))</f>
        <v>3.7037037037037035E-4</v>
      </c>
      <c r="FH61" s="10" cm="1">
        <f t="array" aca="1" ref="FH61" ca="1">(1-$B$18)*SUMPRODUCT(OFFSET($BO$15,0,0,$B$14,1), 1*(_xlfn._xlws.FILTER(OFFSET($O$15,0,$DN61,$B$8,1),OFFSET($M$15,0,0,$B$8,1))=FH$13), 1*(_xlfn._xlws.FILTER(OFFSET($O$15,0,$DO61,$B$8,1),OFFSET($M$15,0,0,$B$8,1))=FH$14))   /   SUM(OFFSET($BO$15,0,0,$B$14,1)) + $B$18/($B$19*$B$19*($DN61&lt;&gt;$DO61) + $B$19*($DN61=$DO61))</f>
        <v>3.7037037037037035E-4</v>
      </c>
      <c r="FI61" s="10" cm="1">
        <f t="array" aca="1" ref="FI61" ca="1">(1-$B$18)*SUMPRODUCT(OFFSET($BO$15,0,0,$B$14,1), 1*(_xlfn._xlws.FILTER(OFFSET($O$15,0,$DN61,$B$8,1),OFFSET($M$15,0,0,$B$8,1))=FI$13), 1*(_xlfn._xlws.FILTER(OFFSET($O$15,0,$DO61,$B$8,1),OFFSET($M$15,0,0,$B$8,1))=FI$14))   /   SUM(OFFSET($BO$15,0,0,$B$14,1)) + $B$18/($B$19*$B$19*($DN61&lt;&gt;$DO61) + $B$19*($DN61=$DO61))</f>
        <v>3.7037037037037035E-4</v>
      </c>
      <c r="FJ61" s="10" cm="1">
        <f t="array" aca="1" ref="FJ61" ca="1">(1-$B$18)*SUMPRODUCT(OFFSET($BO$15,0,0,$B$14,1), 1*(_xlfn._xlws.FILTER(OFFSET($O$15,0,$DN61,$B$8,1),OFFSET($M$15,0,0,$B$8,1))=FJ$13), 1*(_xlfn._xlws.FILTER(OFFSET($O$15,0,$DO61,$B$8,1),OFFSET($M$15,0,0,$B$8,1))=FJ$14))   /   SUM(OFFSET($BO$15,0,0,$B$14,1)) + $B$18/($B$19*$B$19*($DN61&lt;&gt;$DO61) + $B$19*($DN61=$DO61))</f>
        <v>3.7037037037037035E-4</v>
      </c>
      <c r="FK61" s="10" cm="1">
        <f t="array" aca="1" ref="FK61" ca="1">(1-$B$18)*SUMPRODUCT(OFFSET($BO$15,0,0,$B$14,1), 1*(_xlfn._xlws.FILTER(OFFSET($O$15,0,$DN61,$B$8,1),OFFSET($M$15,0,0,$B$8,1))=FK$13), 1*(_xlfn._xlws.FILTER(OFFSET($O$15,0,$DO61,$B$8,1),OFFSET($M$15,0,0,$B$8,1))=FK$14))   /   SUM(OFFSET($BO$15,0,0,$B$14,1)) + $B$18/($B$19*$B$19*($DN61&lt;&gt;$DO61) + $B$19*($DN61=$DO61))</f>
        <v>3.7037037037037035E-4</v>
      </c>
      <c r="FL61" s="10" cm="1">
        <f t="array" aca="1" ref="FL61" ca="1">(1-$B$18)*SUMPRODUCT(OFFSET($BO$15,0,0,$B$14,1), 1*(_xlfn._xlws.FILTER(OFFSET($O$15,0,$DN61,$B$8,1),OFFSET($M$15,0,0,$B$8,1))=FL$13), 1*(_xlfn._xlws.FILTER(OFFSET($O$15,0,$DO61,$B$8,1),OFFSET($M$15,0,0,$B$8,1))=FL$14))   /   SUM(OFFSET($BO$15,0,0,$B$14,1)) + $B$18/($B$19*$B$19*($DN61&lt;&gt;$DO61) + $B$19*($DN61=$DO61))</f>
        <v>3.7037037037037035E-4</v>
      </c>
      <c r="FM61" s="10" cm="1">
        <f t="array" aca="1" ref="FM61" ca="1">(1-$B$18)*SUMPRODUCT(OFFSET($BO$15,0,0,$B$14,1), 1*(_xlfn._xlws.FILTER(OFFSET($O$15,0,$DN61,$B$8,1),OFFSET($M$15,0,0,$B$8,1))=FM$13), 1*(_xlfn._xlws.FILTER(OFFSET($O$15,0,$DO61,$B$8,1),OFFSET($M$15,0,0,$B$8,1))=FM$14))   /   SUM(OFFSET($BO$15,0,0,$B$14,1)) + $B$18/($B$19*$B$19*($DN61&lt;&gt;$DO61) + $B$19*($DN61=$DO61))</f>
        <v>3.7037037037037035E-4</v>
      </c>
      <c r="FN61" s="10" cm="1">
        <f t="array" aca="1" ref="FN61" ca="1">(1-$B$18)*SUMPRODUCT(OFFSET($BO$15,0,0,$B$14,1), 1*(_xlfn._xlws.FILTER(OFFSET($O$15,0,$DN61,$B$8,1),OFFSET($M$15,0,0,$B$8,1))=FN$13), 1*(_xlfn._xlws.FILTER(OFFSET($O$15,0,$DO61,$B$8,1),OFFSET($M$15,0,0,$B$8,1))=FN$14))   /   SUM(OFFSET($BO$15,0,0,$B$14,1)) + $B$18/($B$19*$B$19*($DN61&lt;&gt;$DO61) + $B$19*($DN61=$DO61))</f>
        <v>3.7037037037037035E-4</v>
      </c>
      <c r="FO61" s="10" cm="1">
        <f t="array" aca="1" ref="FO61" ca="1">(1-$B$18)*SUMPRODUCT(OFFSET($BO$15,0,0,$B$14,1), 1*(_xlfn._xlws.FILTER(OFFSET($O$15,0,$DN61,$B$8,1),OFFSET($M$15,0,0,$B$8,1))=FO$13), 1*(_xlfn._xlws.FILTER(OFFSET($O$15,0,$DO61,$B$8,1),OFFSET($M$15,0,0,$B$8,1))=FO$14))   /   SUM(OFFSET($BO$15,0,0,$B$14,1)) + $B$18/($B$19*$B$19*($DN61&lt;&gt;$DO61) + $B$19*($DN61=$DO61))</f>
        <v>3.7037037037037035E-4</v>
      </c>
      <c r="FP61" s="10" cm="1">
        <f t="array" aca="1" ref="FP61" ca="1">(1-$B$18)*SUMPRODUCT(OFFSET($BO$15,0,0,$B$14,1), 1*(_xlfn._xlws.FILTER(OFFSET($O$15,0,$DN61,$B$8,1),OFFSET($M$15,0,0,$B$8,1))=FP$13), 1*(_xlfn._xlws.FILTER(OFFSET($O$15,0,$DO61,$B$8,1),OFFSET($M$15,0,0,$B$8,1))=FP$14))   /   SUM(OFFSET($BO$15,0,0,$B$14,1)) + $B$18/($B$19*$B$19*($DN61&lt;&gt;$DO61) + $B$19*($DN61=$DO61))</f>
        <v>3.7037037037037035E-4</v>
      </c>
      <c r="FQ61" s="10" cm="1">
        <f t="array" aca="1" ref="FQ61" ca="1">(1-$B$18)*SUMPRODUCT(OFFSET($BO$15,0,0,$B$14,1), 1*(_xlfn._xlws.FILTER(OFFSET($O$15,0,$DN61,$B$8,1),OFFSET($M$15,0,0,$B$8,1))=FQ$13), 1*(_xlfn._xlws.FILTER(OFFSET($O$15,0,$DO61,$B$8,1),OFFSET($M$15,0,0,$B$8,1))=FQ$14))   /   SUM(OFFSET($BO$15,0,0,$B$14,1)) + $B$18/($B$19*$B$19*($DN61&lt;&gt;$DO61) + $B$19*($DN61=$DO61))</f>
        <v>3.7037037037037035E-4</v>
      </c>
      <c r="FR61" s="10" cm="1">
        <f t="array" aca="1" ref="FR61" ca="1">(1-$B$18)*SUMPRODUCT(OFFSET($BO$15,0,0,$B$14,1), 1*(_xlfn._xlws.FILTER(OFFSET($O$15,0,$DN61,$B$8,1),OFFSET($M$15,0,0,$B$8,1))=FR$13), 1*(_xlfn._xlws.FILTER(OFFSET($O$15,0,$DO61,$B$8,1),OFFSET($M$15,0,0,$B$8,1))=FR$14))   /   SUM(OFFSET($BO$15,0,0,$B$14,1)) + $B$18/($B$19*$B$19*($DN61&lt;&gt;$DO61) + $B$19*($DN61=$DO61))</f>
        <v>0.97037037037037033</v>
      </c>
      <c r="FS61" s="10" cm="1">
        <f t="array" aca="1" ref="FS61" ca="1">(1-$B$18)*SUMPRODUCT(OFFSET($BO$15,0,0,$B$14,1), 1*(_xlfn._xlws.FILTER(OFFSET($O$15,0,$DN61,$B$8,1),OFFSET($M$15,0,0,$B$8,1))=FS$13), 1*(_xlfn._xlws.FILTER(OFFSET($O$15,0,$DO61,$B$8,1),OFFSET($M$15,0,0,$B$8,1))=FS$14))   /   SUM(OFFSET($BO$15,0,0,$B$14,1)) + $B$18/($B$19*$B$19*($DN61&lt;&gt;$DO61) + $B$19*($DN61=$DO61))</f>
        <v>3.7037037037037035E-4</v>
      </c>
      <c r="FT61" s="10" cm="1">
        <f t="array" aca="1" ref="FT61" ca="1">(1-$B$18)*SUMPRODUCT(OFFSET($BO$15,0,0,$B$14,1), 1*(_xlfn._xlws.FILTER(OFFSET($O$15,0,$DN61,$B$8,1),OFFSET($M$15,0,0,$B$8,1))=FT$13), 1*(_xlfn._xlws.FILTER(OFFSET($O$15,0,$DO61,$B$8,1),OFFSET($M$15,0,0,$B$8,1))=FT$14))   /   SUM(OFFSET($BO$15,0,0,$B$14,1)) + $B$18/($B$19*$B$19*($DN61&lt;&gt;$DO61) + $B$19*($DN61=$DO61))</f>
        <v>3.7037037037037035E-4</v>
      </c>
      <c r="FU61" s="10" cm="1">
        <f t="array" aca="1" ref="FU61" ca="1">(1-$B$18)*SUMPRODUCT(OFFSET($BO$15,0,0,$B$14,1), 1*(_xlfn._xlws.FILTER(OFFSET($O$15,0,$DN61,$B$8,1),OFFSET($M$15,0,0,$B$8,1))=FU$13), 1*(_xlfn._xlws.FILTER(OFFSET($O$15,0,$DO61,$B$8,1),OFFSET($M$15,0,0,$B$8,1))=FU$14))   /   SUM(OFFSET($BO$15,0,0,$B$14,1)) + $B$18/($B$19*$B$19*($DN61&lt;&gt;$DO61) + $B$19*($DN61=$DO61))</f>
        <v>3.7037037037037035E-4</v>
      </c>
      <c r="FV61" s="10" cm="1">
        <f t="array" aca="1" ref="FV61" ca="1">(1-$B$18)*SUMPRODUCT(OFFSET($BO$15,0,0,$B$14,1), 1*(_xlfn._xlws.FILTER(OFFSET($O$15,0,$DN61,$B$8,1),OFFSET($M$15,0,0,$B$8,1))=FV$13), 1*(_xlfn._xlws.FILTER(OFFSET($O$15,0,$DO61,$B$8,1),OFFSET($M$15,0,0,$B$8,1))=FV$14))   /   SUM(OFFSET($BO$15,0,0,$B$14,1)) + $B$18/($B$19*$B$19*($DN61&lt;&gt;$DO61) + $B$19*($DN61=$DO61))</f>
        <v>3.7037037037037035E-4</v>
      </c>
      <c r="FW61" s="10" cm="1">
        <f t="array" aca="1" ref="FW61" ca="1">(1-$B$18)*SUMPRODUCT(OFFSET($BO$15,0,0,$B$14,1), 1*(_xlfn._xlws.FILTER(OFFSET($O$15,0,$DN61,$B$8,1),OFFSET($M$15,0,0,$B$8,1))=FW$13), 1*(_xlfn._xlws.FILTER(OFFSET($O$15,0,$DO61,$B$8,1),OFFSET($M$15,0,0,$B$8,1))=FW$14))   /   SUM(OFFSET($BO$15,0,0,$B$14,1)) + $B$18/($B$19*$B$19*($DN61&lt;&gt;$DO61) + $B$19*($DN61=$DO61))</f>
        <v>3.7037037037037035E-4</v>
      </c>
      <c r="FX61" s="10" cm="1">
        <f t="array" aca="1" ref="FX61" ca="1">(1-$B$18)*SUMPRODUCT(OFFSET($BO$15,0,0,$B$14,1), 1*(_xlfn._xlws.FILTER(OFFSET($O$15,0,$DN61,$B$8,1),OFFSET($M$15,0,0,$B$8,1))=FX$13), 1*(_xlfn._xlws.FILTER(OFFSET($O$15,0,$DO61,$B$8,1),OFFSET($M$15,0,0,$B$8,1))=FX$14))   /   SUM(OFFSET($BO$15,0,0,$B$14,1)) + $B$18/($B$19*$B$19*($DN61&lt;&gt;$DO61) + $B$19*($DN61=$DO61))</f>
        <v>3.7037037037037035E-4</v>
      </c>
      <c r="FY61" s="10" cm="1">
        <f t="array" aca="1" ref="FY61" ca="1">(1-$B$18)*SUMPRODUCT(OFFSET($BO$15,0,0,$B$14,1), 1*(_xlfn._xlws.FILTER(OFFSET($O$15,0,$DN61,$B$8,1),OFFSET($M$15,0,0,$B$8,1))=FY$13), 1*(_xlfn._xlws.FILTER(OFFSET($O$15,0,$DO61,$B$8,1),OFFSET($M$15,0,0,$B$8,1))=FY$14))   /   SUM(OFFSET($BO$15,0,0,$B$14,1)) + $B$18/($B$19*$B$19*($DN61&lt;&gt;$DO61) + $B$19*($DN61=$DO61))</f>
        <v>3.7037037037037035E-4</v>
      </c>
      <c r="FZ61" s="10" cm="1">
        <f t="array" aca="1" ref="FZ61" ca="1">(1-$B$18)*SUMPRODUCT(OFFSET($BO$15,0,0,$B$14,1), 1*(_xlfn._xlws.FILTER(OFFSET($O$15,0,$DN61,$B$8,1),OFFSET($M$15,0,0,$B$8,1))=FZ$13), 1*(_xlfn._xlws.FILTER(OFFSET($O$15,0,$DO61,$B$8,1),OFFSET($M$15,0,0,$B$8,1))=FZ$14))   /   SUM(OFFSET($BO$15,0,0,$B$14,1)) + $B$18/($B$19*$B$19*($DN61&lt;&gt;$DO61) + $B$19*($DN61=$DO61))</f>
        <v>3.7037037037037035E-4</v>
      </c>
      <c r="GA61" s="10" cm="1">
        <f t="array" aca="1" ref="GA61" ca="1">(1-$B$18)*SUMPRODUCT(OFFSET($BO$15,0,0,$B$14,1), 1*(_xlfn._xlws.FILTER(OFFSET($O$15,0,$DN61,$B$8,1),OFFSET($M$15,0,0,$B$8,1))=GA$13), 1*(_xlfn._xlws.FILTER(OFFSET($O$15,0,$DO61,$B$8,1),OFFSET($M$15,0,0,$B$8,1))=GA$14))   /   SUM(OFFSET($BO$15,0,0,$B$14,1)) + $B$18/($B$19*$B$19*($DN61&lt;&gt;$DO61) + $B$19*($DN61=$DO61))</f>
        <v>3.7037037037037035E-4</v>
      </c>
    </row>
    <row r="62" spans="5:183" x14ac:dyDescent="0.2">
      <c r="CX62">
        <f ca="1"/>
        <v>0.2</v>
      </c>
      <c r="CY62">
        <f ca="1"/>
        <v>0</v>
      </c>
      <c r="DN62" cm="1">
        <f t="array" aca="1" ref="DN62" ca="1">INDEX(_xlfn.ANCHORARRAY($CP$15), 1 + INT((ROWS($DO$15:$DO62) - 1) / ROWS(_xlfn.ANCHORARRAY($CP$15))))</f>
        <v>2</v>
      </c>
      <c r="DO62" cm="1">
        <f t="array" aca="1" ref="DO62" ca="1">INDEX(_xlfn.ANCHORARRAY($CP$15),1+MOD(ROWS($DO$15:$DO62)-1,ROWS(_xlfn.ANCHORARRAY($CP$15))))</f>
        <v>9</v>
      </c>
      <c r="DP62" s="10" cm="1">
        <f t="array" aca="1" ref="DP62" ca="1">(1-$B$18)*SUMPRODUCT(OFFSET($BO$15,0,0,$B$14,1), 1*(_xlfn._xlws.FILTER(OFFSET($O$15,0,$DN62,$B$8,1),OFFSET($M$15,0,0,$B$8,1))=DP$13), 1*(_xlfn._xlws.FILTER(OFFSET($O$15,0,$DO62,$B$8,1),OFFSET($M$15,0,0,$B$8,1))=DP$14))   /   SUM(OFFSET($BO$15,0,0,$B$14,1)) + $B$18/($B$19*$B$19*($DN62&lt;&gt;$DO62) + $B$19*($DN62=$DO62))</f>
        <v>3.7037037037037035E-4</v>
      </c>
      <c r="DQ62" s="10" cm="1">
        <f t="array" aca="1" ref="DQ62" ca="1">(1-$B$18)*SUMPRODUCT(OFFSET($BO$15,0,0,$B$14,1), 1*(_xlfn._xlws.FILTER(OFFSET($O$15,0,$DN62,$B$8,1),OFFSET($M$15,0,0,$B$8,1))=DQ$13), 1*(_xlfn._xlws.FILTER(OFFSET($O$15,0,$DO62,$B$8,1),OFFSET($M$15,0,0,$B$8,1))=DQ$14))   /   SUM(OFFSET($BO$15,0,0,$B$14,1)) + $B$18/($B$19*$B$19*($DN62&lt;&gt;$DO62) + $B$19*($DN62=$DO62))</f>
        <v>3.7037037037037035E-4</v>
      </c>
      <c r="DR62" s="10" cm="1">
        <f t="array" aca="1" ref="DR62" ca="1">(1-$B$18)*SUMPRODUCT(OFFSET($BO$15,0,0,$B$14,1), 1*(_xlfn._xlws.FILTER(OFFSET($O$15,0,$DN62,$B$8,1),OFFSET($M$15,0,0,$B$8,1))=DR$13), 1*(_xlfn._xlws.FILTER(OFFSET($O$15,0,$DO62,$B$8,1),OFFSET($M$15,0,0,$B$8,1))=DR$14))   /   SUM(OFFSET($BO$15,0,0,$B$14,1)) + $B$18/($B$19*$B$19*($DN62&lt;&gt;$DO62) + $B$19*($DN62=$DO62))</f>
        <v>3.7037037037037035E-4</v>
      </c>
      <c r="DS62" s="10" cm="1">
        <f t="array" aca="1" ref="DS62" ca="1">(1-$B$18)*SUMPRODUCT(OFFSET($BO$15,0,0,$B$14,1), 1*(_xlfn._xlws.FILTER(OFFSET($O$15,0,$DN62,$B$8,1),OFFSET($M$15,0,0,$B$8,1))=DS$13), 1*(_xlfn._xlws.FILTER(OFFSET($O$15,0,$DO62,$B$8,1),OFFSET($M$15,0,0,$B$8,1))=DS$14))   /   SUM(OFFSET($BO$15,0,0,$B$14,1)) + $B$18/($B$19*$B$19*($DN62&lt;&gt;$DO62) + $B$19*($DN62=$DO62))</f>
        <v>3.7037037037037035E-4</v>
      </c>
      <c r="DT62" s="10" cm="1">
        <f t="array" aca="1" ref="DT62" ca="1">(1-$B$18)*SUMPRODUCT(OFFSET($BO$15,0,0,$B$14,1), 1*(_xlfn._xlws.FILTER(OFFSET($O$15,0,$DN62,$B$8,1),OFFSET($M$15,0,0,$B$8,1))=DT$13), 1*(_xlfn._xlws.FILTER(OFFSET($O$15,0,$DO62,$B$8,1),OFFSET($M$15,0,0,$B$8,1))=DT$14))   /   SUM(OFFSET($BO$15,0,0,$B$14,1)) + $B$18/($B$19*$B$19*($DN62&lt;&gt;$DO62) + $B$19*($DN62=$DO62))</f>
        <v>3.7037037037037035E-4</v>
      </c>
      <c r="DU62" s="10" cm="1">
        <f t="array" aca="1" ref="DU62" ca="1">(1-$B$18)*SUMPRODUCT(OFFSET($BO$15,0,0,$B$14,1), 1*(_xlfn._xlws.FILTER(OFFSET($O$15,0,$DN62,$B$8,1),OFFSET($M$15,0,0,$B$8,1))=DU$13), 1*(_xlfn._xlws.FILTER(OFFSET($O$15,0,$DO62,$B$8,1),OFFSET($M$15,0,0,$B$8,1))=DU$14))   /   SUM(OFFSET($BO$15,0,0,$B$14,1)) + $B$18/($B$19*$B$19*($DN62&lt;&gt;$DO62) + $B$19*($DN62=$DO62))</f>
        <v>3.7037037037037035E-4</v>
      </c>
      <c r="DV62" s="10" cm="1">
        <f t="array" aca="1" ref="DV62" ca="1">(1-$B$18)*SUMPRODUCT(OFFSET($BO$15,0,0,$B$14,1), 1*(_xlfn._xlws.FILTER(OFFSET($O$15,0,$DN62,$B$8,1),OFFSET($M$15,0,0,$B$8,1))=DV$13), 1*(_xlfn._xlws.FILTER(OFFSET($O$15,0,$DO62,$B$8,1),OFFSET($M$15,0,0,$B$8,1))=DV$14))   /   SUM(OFFSET($BO$15,0,0,$B$14,1)) + $B$18/($B$19*$B$19*($DN62&lt;&gt;$DO62) + $B$19*($DN62=$DO62))</f>
        <v>3.7037037037037035E-4</v>
      </c>
      <c r="DW62" s="10" cm="1">
        <f t="array" aca="1" ref="DW62" ca="1">(1-$B$18)*SUMPRODUCT(OFFSET($BO$15,0,0,$B$14,1), 1*(_xlfn._xlws.FILTER(OFFSET($O$15,0,$DN62,$B$8,1),OFFSET($M$15,0,0,$B$8,1))=DW$13), 1*(_xlfn._xlws.FILTER(OFFSET($O$15,0,$DO62,$B$8,1),OFFSET($M$15,0,0,$B$8,1))=DW$14))   /   SUM(OFFSET($BO$15,0,0,$B$14,1)) + $B$18/($B$19*$B$19*($DN62&lt;&gt;$DO62) + $B$19*($DN62=$DO62))</f>
        <v>3.7037037037037035E-4</v>
      </c>
      <c r="DX62" s="10" cm="1">
        <f t="array" aca="1" ref="DX62" ca="1">(1-$B$18)*SUMPRODUCT(OFFSET($BO$15,0,0,$B$14,1), 1*(_xlfn._xlws.FILTER(OFFSET($O$15,0,$DN62,$B$8,1),OFFSET($M$15,0,0,$B$8,1))=DX$13), 1*(_xlfn._xlws.FILTER(OFFSET($O$15,0,$DO62,$B$8,1),OFFSET($M$15,0,0,$B$8,1))=DX$14))   /   SUM(OFFSET($BO$15,0,0,$B$14,1)) + $B$18/($B$19*$B$19*($DN62&lt;&gt;$DO62) + $B$19*($DN62=$DO62))</f>
        <v>3.7037037037037035E-4</v>
      </c>
      <c r="DY62" s="10" cm="1">
        <f t="array" aca="1" ref="DY62" ca="1">(1-$B$18)*SUMPRODUCT(OFFSET($BO$15,0,0,$B$14,1), 1*(_xlfn._xlws.FILTER(OFFSET($O$15,0,$DN62,$B$8,1),OFFSET($M$15,0,0,$B$8,1))=DY$13), 1*(_xlfn._xlws.FILTER(OFFSET($O$15,0,$DO62,$B$8,1),OFFSET($M$15,0,0,$B$8,1))=DY$14))   /   SUM(OFFSET($BO$15,0,0,$B$14,1)) + $B$18/($B$19*$B$19*($DN62&lt;&gt;$DO62) + $B$19*($DN62=$DO62))</f>
        <v>3.7037037037037035E-4</v>
      </c>
      <c r="DZ62" s="10" cm="1">
        <f t="array" aca="1" ref="DZ62" ca="1">(1-$B$18)*SUMPRODUCT(OFFSET($BO$15,0,0,$B$14,1), 1*(_xlfn._xlws.FILTER(OFFSET($O$15,0,$DN62,$B$8,1),OFFSET($M$15,0,0,$B$8,1))=DZ$13), 1*(_xlfn._xlws.FILTER(OFFSET($O$15,0,$DO62,$B$8,1),OFFSET($M$15,0,0,$B$8,1))=DZ$14))   /   SUM(OFFSET($BO$15,0,0,$B$14,1)) + $B$18/($B$19*$B$19*($DN62&lt;&gt;$DO62) + $B$19*($DN62=$DO62))</f>
        <v>3.7037037037037035E-4</v>
      </c>
      <c r="EA62" s="10" cm="1">
        <f t="array" aca="1" ref="EA62" ca="1">(1-$B$18)*SUMPRODUCT(OFFSET($BO$15,0,0,$B$14,1), 1*(_xlfn._xlws.FILTER(OFFSET($O$15,0,$DN62,$B$8,1),OFFSET($M$15,0,0,$B$8,1))=EA$13), 1*(_xlfn._xlws.FILTER(OFFSET($O$15,0,$DO62,$B$8,1),OFFSET($M$15,0,0,$B$8,1))=EA$14))   /   SUM(OFFSET($BO$15,0,0,$B$14,1)) + $B$18/($B$19*$B$19*($DN62&lt;&gt;$DO62) + $B$19*($DN62=$DO62))</f>
        <v>3.7037037037037035E-4</v>
      </c>
      <c r="EB62" s="10" cm="1">
        <f t="array" aca="1" ref="EB62" ca="1">(1-$B$18)*SUMPRODUCT(OFFSET($BO$15,0,0,$B$14,1), 1*(_xlfn._xlws.FILTER(OFFSET($O$15,0,$DN62,$B$8,1),OFFSET($M$15,0,0,$B$8,1))=EB$13), 1*(_xlfn._xlws.FILTER(OFFSET($O$15,0,$DO62,$B$8,1),OFFSET($M$15,0,0,$B$8,1))=EB$14))   /   SUM(OFFSET($BO$15,0,0,$B$14,1)) + $B$18/($B$19*$B$19*($DN62&lt;&gt;$DO62) + $B$19*($DN62=$DO62))</f>
        <v>3.7037037037037035E-4</v>
      </c>
      <c r="EC62" s="10" cm="1">
        <f t="array" aca="1" ref="EC62" ca="1">(1-$B$18)*SUMPRODUCT(OFFSET($BO$15,0,0,$B$14,1), 1*(_xlfn._xlws.FILTER(OFFSET($O$15,0,$DN62,$B$8,1),OFFSET($M$15,0,0,$B$8,1))=EC$13), 1*(_xlfn._xlws.FILTER(OFFSET($O$15,0,$DO62,$B$8,1),OFFSET($M$15,0,0,$B$8,1))=EC$14))   /   SUM(OFFSET($BO$15,0,0,$B$14,1)) + $B$18/($B$19*$B$19*($DN62&lt;&gt;$DO62) + $B$19*($DN62=$DO62))</f>
        <v>3.7037037037037035E-4</v>
      </c>
      <c r="ED62" s="10" cm="1">
        <f t="array" aca="1" ref="ED62" ca="1">(1-$B$18)*SUMPRODUCT(OFFSET($BO$15,0,0,$B$14,1), 1*(_xlfn._xlws.FILTER(OFFSET($O$15,0,$DN62,$B$8,1),OFFSET($M$15,0,0,$B$8,1))=ED$13), 1*(_xlfn._xlws.FILTER(OFFSET($O$15,0,$DO62,$B$8,1),OFFSET($M$15,0,0,$B$8,1))=ED$14))   /   SUM(OFFSET($BO$15,0,0,$B$14,1)) + $B$18/($B$19*$B$19*($DN62&lt;&gt;$DO62) + $B$19*($DN62=$DO62))</f>
        <v>3.7037037037037035E-4</v>
      </c>
      <c r="EE62" s="10" cm="1">
        <f t="array" aca="1" ref="EE62" ca="1">(1-$B$18)*SUMPRODUCT(OFFSET($BO$15,0,0,$B$14,1), 1*(_xlfn._xlws.FILTER(OFFSET($O$15,0,$DN62,$B$8,1),OFFSET($M$15,0,0,$B$8,1))=EE$13), 1*(_xlfn._xlws.FILTER(OFFSET($O$15,0,$DO62,$B$8,1),OFFSET($M$15,0,0,$B$8,1))=EE$14))   /   SUM(OFFSET($BO$15,0,0,$B$14,1)) + $B$18/($B$19*$B$19*($DN62&lt;&gt;$DO62) + $B$19*($DN62=$DO62))</f>
        <v>3.7037037037037035E-4</v>
      </c>
      <c r="EF62" s="10" cm="1">
        <f t="array" aca="1" ref="EF62" ca="1">(1-$B$18)*SUMPRODUCT(OFFSET($BO$15,0,0,$B$14,1), 1*(_xlfn._xlws.FILTER(OFFSET($O$15,0,$DN62,$B$8,1),OFFSET($M$15,0,0,$B$8,1))=EF$13), 1*(_xlfn._xlws.FILTER(OFFSET($O$15,0,$DO62,$B$8,1),OFFSET($M$15,0,0,$B$8,1))=EF$14))   /   SUM(OFFSET($BO$15,0,0,$B$14,1)) + $B$18/($B$19*$B$19*($DN62&lt;&gt;$DO62) + $B$19*($DN62=$DO62))</f>
        <v>3.7037037037037035E-4</v>
      </c>
      <c r="EG62" s="10" cm="1">
        <f t="array" aca="1" ref="EG62" ca="1">(1-$B$18)*SUMPRODUCT(OFFSET($BO$15,0,0,$B$14,1), 1*(_xlfn._xlws.FILTER(OFFSET($O$15,0,$DN62,$B$8,1),OFFSET($M$15,0,0,$B$8,1))=EG$13), 1*(_xlfn._xlws.FILTER(OFFSET($O$15,0,$DO62,$B$8,1),OFFSET($M$15,0,0,$B$8,1))=EG$14))   /   SUM(OFFSET($BO$15,0,0,$B$14,1)) + $B$18/($B$19*$B$19*($DN62&lt;&gt;$DO62) + $B$19*($DN62=$DO62))</f>
        <v>3.7037037037037035E-4</v>
      </c>
      <c r="EH62" s="10" cm="1">
        <f t="array" aca="1" ref="EH62" ca="1">(1-$B$18)*SUMPRODUCT(OFFSET($BO$15,0,0,$B$14,1), 1*(_xlfn._xlws.FILTER(OFFSET($O$15,0,$DN62,$B$8,1),OFFSET($M$15,0,0,$B$8,1))=EH$13), 1*(_xlfn._xlws.FILTER(OFFSET($O$15,0,$DO62,$B$8,1),OFFSET($M$15,0,0,$B$8,1))=EH$14))   /   SUM(OFFSET($BO$15,0,0,$B$14,1)) + $B$18/($B$19*$B$19*($DN62&lt;&gt;$DO62) + $B$19*($DN62=$DO62))</f>
        <v>3.7037037037037035E-4</v>
      </c>
      <c r="EI62" s="10" cm="1">
        <f t="array" aca="1" ref="EI62" ca="1">(1-$B$18)*SUMPRODUCT(OFFSET($BO$15,0,0,$B$14,1), 1*(_xlfn._xlws.FILTER(OFFSET($O$15,0,$DN62,$B$8,1),OFFSET($M$15,0,0,$B$8,1))=EI$13), 1*(_xlfn._xlws.FILTER(OFFSET($O$15,0,$DO62,$B$8,1),OFFSET($M$15,0,0,$B$8,1))=EI$14))   /   SUM(OFFSET($BO$15,0,0,$B$14,1)) + $B$18/($B$19*$B$19*($DN62&lt;&gt;$DO62) + $B$19*($DN62=$DO62))</f>
        <v>3.7037037037037035E-4</v>
      </c>
      <c r="EJ62" s="10" cm="1">
        <f t="array" aca="1" ref="EJ62" ca="1">(1-$B$18)*SUMPRODUCT(OFFSET($BO$15,0,0,$B$14,1), 1*(_xlfn._xlws.FILTER(OFFSET($O$15,0,$DN62,$B$8,1),OFFSET($M$15,0,0,$B$8,1))=EJ$13), 1*(_xlfn._xlws.FILTER(OFFSET($O$15,0,$DO62,$B$8,1),OFFSET($M$15,0,0,$B$8,1))=EJ$14))   /   SUM(OFFSET($BO$15,0,0,$B$14,1)) + $B$18/($B$19*$B$19*($DN62&lt;&gt;$DO62) + $B$19*($DN62=$DO62))</f>
        <v>3.7037037037037035E-4</v>
      </c>
      <c r="EK62" s="10" cm="1">
        <f t="array" aca="1" ref="EK62" ca="1">(1-$B$18)*SUMPRODUCT(OFFSET($BO$15,0,0,$B$14,1), 1*(_xlfn._xlws.FILTER(OFFSET($O$15,0,$DN62,$B$8,1),OFFSET($M$15,0,0,$B$8,1))=EK$13), 1*(_xlfn._xlws.FILTER(OFFSET($O$15,0,$DO62,$B$8,1),OFFSET($M$15,0,0,$B$8,1))=EK$14))   /   SUM(OFFSET($BO$15,0,0,$B$14,1)) + $B$18/($B$19*$B$19*($DN62&lt;&gt;$DO62) + $B$19*($DN62=$DO62))</f>
        <v>3.7037037037037035E-4</v>
      </c>
      <c r="EL62" s="10" cm="1">
        <f t="array" aca="1" ref="EL62" ca="1">(1-$B$18)*SUMPRODUCT(OFFSET($BO$15,0,0,$B$14,1), 1*(_xlfn._xlws.FILTER(OFFSET($O$15,0,$DN62,$B$8,1),OFFSET($M$15,0,0,$B$8,1))=EL$13), 1*(_xlfn._xlws.FILTER(OFFSET($O$15,0,$DO62,$B$8,1),OFFSET($M$15,0,0,$B$8,1))=EL$14))   /   SUM(OFFSET($BO$15,0,0,$B$14,1)) + $B$18/($B$19*$B$19*($DN62&lt;&gt;$DO62) + $B$19*($DN62=$DO62))</f>
        <v>3.7037037037037035E-4</v>
      </c>
      <c r="EM62" s="10" cm="1">
        <f t="array" aca="1" ref="EM62" ca="1">(1-$B$18)*SUMPRODUCT(OFFSET($BO$15,0,0,$B$14,1), 1*(_xlfn._xlws.FILTER(OFFSET($O$15,0,$DN62,$B$8,1),OFFSET($M$15,0,0,$B$8,1))=EM$13), 1*(_xlfn._xlws.FILTER(OFFSET($O$15,0,$DO62,$B$8,1),OFFSET($M$15,0,0,$B$8,1))=EM$14))   /   SUM(OFFSET($BO$15,0,0,$B$14,1)) + $B$18/($B$19*$B$19*($DN62&lt;&gt;$DO62) + $B$19*($DN62=$DO62))</f>
        <v>3.7037037037037035E-4</v>
      </c>
      <c r="EN62" s="10" cm="1">
        <f t="array" aca="1" ref="EN62" ca="1">(1-$B$18)*SUMPRODUCT(OFFSET($BO$15,0,0,$B$14,1), 1*(_xlfn._xlws.FILTER(OFFSET($O$15,0,$DN62,$B$8,1),OFFSET($M$15,0,0,$B$8,1))=EN$13), 1*(_xlfn._xlws.FILTER(OFFSET($O$15,0,$DO62,$B$8,1),OFFSET($M$15,0,0,$B$8,1))=EN$14))   /   SUM(OFFSET($BO$15,0,0,$B$14,1)) + $B$18/($B$19*$B$19*($DN62&lt;&gt;$DO62) + $B$19*($DN62=$DO62))</f>
        <v>3.7037037037037035E-4</v>
      </c>
      <c r="EO62" s="10" cm="1">
        <f t="array" aca="1" ref="EO62" ca="1">(1-$B$18)*SUMPRODUCT(OFFSET($BO$15,0,0,$B$14,1), 1*(_xlfn._xlws.FILTER(OFFSET($O$15,0,$DN62,$B$8,1),OFFSET($M$15,0,0,$B$8,1))=EO$13), 1*(_xlfn._xlws.FILTER(OFFSET($O$15,0,$DO62,$B$8,1),OFFSET($M$15,0,0,$B$8,1))=EO$14))   /   SUM(OFFSET($BO$15,0,0,$B$14,1)) + $B$18/($B$19*$B$19*($DN62&lt;&gt;$DO62) + $B$19*($DN62=$DO62))</f>
        <v>3.7037037037037035E-4</v>
      </c>
      <c r="EP62" s="10" cm="1">
        <f t="array" aca="1" ref="EP62" ca="1">(1-$B$18)*SUMPRODUCT(OFFSET($BO$15,0,0,$B$14,1), 1*(_xlfn._xlws.FILTER(OFFSET($O$15,0,$DN62,$B$8,1),OFFSET($M$15,0,0,$B$8,1))=EP$13), 1*(_xlfn._xlws.FILTER(OFFSET($O$15,0,$DO62,$B$8,1),OFFSET($M$15,0,0,$B$8,1))=EP$14))   /   SUM(OFFSET($BO$15,0,0,$B$14,1)) + $B$18/($B$19*$B$19*($DN62&lt;&gt;$DO62) + $B$19*($DN62=$DO62))</f>
        <v>3.7037037037037035E-4</v>
      </c>
      <c r="EQ62" s="10" cm="1">
        <f t="array" aca="1" ref="EQ62" ca="1">(1-$B$18)*SUMPRODUCT(OFFSET($BO$15,0,0,$B$14,1), 1*(_xlfn._xlws.FILTER(OFFSET($O$15,0,$DN62,$B$8,1),OFFSET($M$15,0,0,$B$8,1))=EQ$13), 1*(_xlfn._xlws.FILTER(OFFSET($O$15,0,$DO62,$B$8,1),OFFSET($M$15,0,0,$B$8,1))=EQ$14))   /   SUM(OFFSET($BO$15,0,0,$B$14,1)) + $B$18/($B$19*$B$19*($DN62&lt;&gt;$DO62) + $B$19*($DN62=$DO62))</f>
        <v>3.7037037037037035E-4</v>
      </c>
      <c r="ER62" s="10" cm="1">
        <f t="array" aca="1" ref="ER62" ca="1">(1-$B$18)*SUMPRODUCT(OFFSET($BO$15,0,0,$B$14,1), 1*(_xlfn._xlws.FILTER(OFFSET($O$15,0,$DN62,$B$8,1),OFFSET($M$15,0,0,$B$8,1))=ER$13), 1*(_xlfn._xlws.FILTER(OFFSET($O$15,0,$DO62,$B$8,1),OFFSET($M$15,0,0,$B$8,1))=ER$14))   /   SUM(OFFSET($BO$15,0,0,$B$14,1)) + $B$18/($B$19*$B$19*($DN62&lt;&gt;$DO62) + $B$19*($DN62=$DO62))</f>
        <v>3.7037037037037035E-4</v>
      </c>
      <c r="ES62" s="10" cm="1">
        <f t="array" aca="1" ref="ES62" ca="1">(1-$B$18)*SUMPRODUCT(OFFSET($BO$15,0,0,$B$14,1), 1*(_xlfn._xlws.FILTER(OFFSET($O$15,0,$DN62,$B$8,1),OFFSET($M$15,0,0,$B$8,1))=ES$13), 1*(_xlfn._xlws.FILTER(OFFSET($O$15,0,$DO62,$B$8,1),OFFSET($M$15,0,0,$B$8,1))=ES$14))   /   SUM(OFFSET($BO$15,0,0,$B$14,1)) + $B$18/($B$19*$B$19*($DN62&lt;&gt;$DO62) + $B$19*($DN62=$DO62))</f>
        <v>3.7037037037037035E-4</v>
      </c>
      <c r="ET62" s="10" cm="1">
        <f t="array" aca="1" ref="ET62" ca="1">(1-$B$18)*SUMPRODUCT(OFFSET($BO$15,0,0,$B$14,1), 1*(_xlfn._xlws.FILTER(OFFSET($O$15,0,$DN62,$B$8,1),OFFSET($M$15,0,0,$B$8,1))=ET$13), 1*(_xlfn._xlws.FILTER(OFFSET($O$15,0,$DO62,$B$8,1),OFFSET($M$15,0,0,$B$8,1))=ET$14))   /   SUM(OFFSET($BO$15,0,0,$B$14,1)) + $B$18/($B$19*$B$19*($DN62&lt;&gt;$DO62) + $B$19*($DN62=$DO62))</f>
        <v>3.7037037037037035E-4</v>
      </c>
      <c r="EU62" s="10" cm="1">
        <f t="array" aca="1" ref="EU62" ca="1">(1-$B$18)*SUMPRODUCT(OFFSET($BO$15,0,0,$B$14,1), 1*(_xlfn._xlws.FILTER(OFFSET($O$15,0,$DN62,$B$8,1),OFFSET($M$15,0,0,$B$8,1))=EU$13), 1*(_xlfn._xlws.FILTER(OFFSET($O$15,0,$DO62,$B$8,1),OFFSET($M$15,0,0,$B$8,1))=EU$14))   /   SUM(OFFSET($BO$15,0,0,$B$14,1)) + $B$18/($B$19*$B$19*($DN62&lt;&gt;$DO62) + $B$19*($DN62=$DO62))</f>
        <v>3.7037037037037035E-4</v>
      </c>
      <c r="EV62" s="10" cm="1">
        <f t="array" aca="1" ref="EV62" ca="1">(1-$B$18)*SUMPRODUCT(OFFSET($BO$15,0,0,$B$14,1), 1*(_xlfn._xlws.FILTER(OFFSET($O$15,0,$DN62,$B$8,1),OFFSET($M$15,0,0,$B$8,1))=EV$13), 1*(_xlfn._xlws.FILTER(OFFSET($O$15,0,$DO62,$B$8,1),OFFSET($M$15,0,0,$B$8,1))=EV$14))   /   SUM(OFFSET($BO$15,0,0,$B$14,1)) + $B$18/($B$19*$B$19*($DN62&lt;&gt;$DO62) + $B$19*($DN62=$DO62))</f>
        <v>3.7037037037037035E-4</v>
      </c>
      <c r="EW62" s="10" cm="1">
        <f t="array" aca="1" ref="EW62" ca="1">(1-$B$18)*SUMPRODUCT(OFFSET($BO$15,0,0,$B$14,1), 1*(_xlfn._xlws.FILTER(OFFSET($O$15,0,$DN62,$B$8,1),OFFSET($M$15,0,0,$B$8,1))=EW$13), 1*(_xlfn._xlws.FILTER(OFFSET($O$15,0,$DO62,$B$8,1),OFFSET($M$15,0,0,$B$8,1))=EW$14))   /   SUM(OFFSET($BO$15,0,0,$B$14,1)) + $B$18/($B$19*$B$19*($DN62&lt;&gt;$DO62) + $B$19*($DN62=$DO62))</f>
        <v>3.7037037037037035E-4</v>
      </c>
      <c r="EX62" s="10" cm="1">
        <f t="array" aca="1" ref="EX62" ca="1">(1-$B$18)*SUMPRODUCT(OFFSET($BO$15,0,0,$B$14,1), 1*(_xlfn._xlws.FILTER(OFFSET($O$15,0,$DN62,$B$8,1),OFFSET($M$15,0,0,$B$8,1))=EX$13), 1*(_xlfn._xlws.FILTER(OFFSET($O$15,0,$DO62,$B$8,1),OFFSET($M$15,0,0,$B$8,1))=EX$14))   /   SUM(OFFSET($BO$15,0,0,$B$14,1)) + $B$18/($B$19*$B$19*($DN62&lt;&gt;$DO62) + $B$19*($DN62=$DO62))</f>
        <v>3.7037037037037035E-4</v>
      </c>
      <c r="EY62" s="10" cm="1">
        <f t="array" aca="1" ref="EY62" ca="1">(1-$B$18)*SUMPRODUCT(OFFSET($BO$15,0,0,$B$14,1), 1*(_xlfn._xlws.FILTER(OFFSET($O$15,0,$DN62,$B$8,1),OFFSET($M$15,0,0,$B$8,1))=EY$13), 1*(_xlfn._xlws.FILTER(OFFSET($O$15,0,$DO62,$B$8,1),OFFSET($M$15,0,0,$B$8,1))=EY$14))   /   SUM(OFFSET($BO$15,0,0,$B$14,1)) + $B$18/($B$19*$B$19*($DN62&lt;&gt;$DO62) + $B$19*($DN62=$DO62))</f>
        <v>3.7037037037037035E-4</v>
      </c>
      <c r="EZ62" s="10" cm="1">
        <f t="array" aca="1" ref="EZ62" ca="1">(1-$B$18)*SUMPRODUCT(OFFSET($BO$15,0,0,$B$14,1), 1*(_xlfn._xlws.FILTER(OFFSET($O$15,0,$DN62,$B$8,1),OFFSET($M$15,0,0,$B$8,1))=EZ$13), 1*(_xlfn._xlws.FILTER(OFFSET($O$15,0,$DO62,$B$8,1),OFFSET($M$15,0,0,$B$8,1))=EZ$14))   /   SUM(OFFSET($BO$15,0,0,$B$14,1)) + $B$18/($B$19*$B$19*($DN62&lt;&gt;$DO62) + $B$19*($DN62=$DO62))</f>
        <v>3.7037037037037035E-4</v>
      </c>
      <c r="FA62" s="10" cm="1">
        <f t="array" aca="1" ref="FA62" ca="1">(1-$B$18)*SUMPRODUCT(OFFSET($BO$15,0,0,$B$14,1), 1*(_xlfn._xlws.FILTER(OFFSET($O$15,0,$DN62,$B$8,1),OFFSET($M$15,0,0,$B$8,1))=FA$13), 1*(_xlfn._xlws.FILTER(OFFSET($O$15,0,$DO62,$B$8,1),OFFSET($M$15,0,0,$B$8,1))=FA$14))   /   SUM(OFFSET($BO$15,0,0,$B$14,1)) + $B$18/($B$19*$B$19*($DN62&lt;&gt;$DO62) + $B$19*($DN62=$DO62))</f>
        <v>3.7037037037037035E-4</v>
      </c>
      <c r="FB62" s="10" cm="1">
        <f t="array" aca="1" ref="FB62" ca="1">(1-$B$18)*SUMPRODUCT(OFFSET($BO$15,0,0,$B$14,1), 1*(_xlfn._xlws.FILTER(OFFSET($O$15,0,$DN62,$B$8,1),OFFSET($M$15,0,0,$B$8,1))=FB$13), 1*(_xlfn._xlws.FILTER(OFFSET($O$15,0,$DO62,$B$8,1),OFFSET($M$15,0,0,$B$8,1))=FB$14))   /   SUM(OFFSET($BO$15,0,0,$B$14,1)) + $B$18/($B$19*$B$19*($DN62&lt;&gt;$DO62) + $B$19*($DN62=$DO62))</f>
        <v>3.7037037037037035E-4</v>
      </c>
      <c r="FC62" s="10" cm="1">
        <f t="array" aca="1" ref="FC62" ca="1">(1-$B$18)*SUMPRODUCT(OFFSET($BO$15,0,0,$B$14,1), 1*(_xlfn._xlws.FILTER(OFFSET($O$15,0,$DN62,$B$8,1),OFFSET($M$15,0,0,$B$8,1))=FC$13), 1*(_xlfn._xlws.FILTER(OFFSET($O$15,0,$DO62,$B$8,1),OFFSET($M$15,0,0,$B$8,1))=FC$14))   /   SUM(OFFSET($BO$15,0,0,$B$14,1)) + $B$18/($B$19*$B$19*($DN62&lt;&gt;$DO62) + $B$19*($DN62=$DO62))</f>
        <v>3.7037037037037035E-4</v>
      </c>
      <c r="FD62" s="10" cm="1">
        <f t="array" aca="1" ref="FD62" ca="1">(1-$B$18)*SUMPRODUCT(OFFSET($BO$15,0,0,$B$14,1), 1*(_xlfn._xlws.FILTER(OFFSET($O$15,0,$DN62,$B$8,1),OFFSET($M$15,0,0,$B$8,1))=FD$13), 1*(_xlfn._xlws.FILTER(OFFSET($O$15,0,$DO62,$B$8,1),OFFSET($M$15,0,0,$B$8,1))=FD$14))   /   SUM(OFFSET($BO$15,0,0,$B$14,1)) + $B$18/($B$19*$B$19*($DN62&lt;&gt;$DO62) + $B$19*($DN62=$DO62))</f>
        <v>3.7037037037037035E-4</v>
      </c>
      <c r="FE62" s="10" cm="1">
        <f t="array" aca="1" ref="FE62" ca="1">(1-$B$18)*SUMPRODUCT(OFFSET($BO$15,0,0,$B$14,1), 1*(_xlfn._xlws.FILTER(OFFSET($O$15,0,$DN62,$B$8,1),OFFSET($M$15,0,0,$B$8,1))=FE$13), 1*(_xlfn._xlws.FILTER(OFFSET($O$15,0,$DO62,$B$8,1),OFFSET($M$15,0,0,$B$8,1))=FE$14))   /   SUM(OFFSET($BO$15,0,0,$B$14,1)) + $B$18/($B$19*$B$19*($DN62&lt;&gt;$DO62) + $B$19*($DN62=$DO62))</f>
        <v>3.7037037037037035E-4</v>
      </c>
      <c r="FF62" s="10" cm="1">
        <f t="array" aca="1" ref="FF62" ca="1">(1-$B$18)*SUMPRODUCT(OFFSET($BO$15,0,0,$B$14,1), 1*(_xlfn._xlws.FILTER(OFFSET($O$15,0,$DN62,$B$8,1),OFFSET($M$15,0,0,$B$8,1))=FF$13), 1*(_xlfn._xlws.FILTER(OFFSET($O$15,0,$DO62,$B$8,1),OFFSET($M$15,0,0,$B$8,1))=FF$14))   /   SUM(OFFSET($BO$15,0,0,$B$14,1)) + $B$18/($B$19*$B$19*($DN62&lt;&gt;$DO62) + $B$19*($DN62=$DO62))</f>
        <v>3.7037037037037035E-4</v>
      </c>
      <c r="FG62" s="10" cm="1">
        <f t="array" aca="1" ref="FG62" ca="1">(1-$B$18)*SUMPRODUCT(OFFSET($BO$15,0,0,$B$14,1), 1*(_xlfn._xlws.FILTER(OFFSET($O$15,0,$DN62,$B$8,1),OFFSET($M$15,0,0,$B$8,1))=FG$13), 1*(_xlfn._xlws.FILTER(OFFSET($O$15,0,$DO62,$B$8,1),OFFSET($M$15,0,0,$B$8,1))=FG$14))   /   SUM(OFFSET($BO$15,0,0,$B$14,1)) + $B$18/($B$19*$B$19*($DN62&lt;&gt;$DO62) + $B$19*($DN62=$DO62))</f>
        <v>3.7037037037037035E-4</v>
      </c>
      <c r="FH62" s="10" cm="1">
        <f t="array" aca="1" ref="FH62" ca="1">(1-$B$18)*SUMPRODUCT(OFFSET($BO$15,0,0,$B$14,1), 1*(_xlfn._xlws.FILTER(OFFSET($O$15,0,$DN62,$B$8,1),OFFSET($M$15,0,0,$B$8,1))=FH$13), 1*(_xlfn._xlws.FILTER(OFFSET($O$15,0,$DO62,$B$8,1),OFFSET($M$15,0,0,$B$8,1))=FH$14))   /   SUM(OFFSET($BO$15,0,0,$B$14,1)) + $B$18/($B$19*$B$19*($DN62&lt;&gt;$DO62) + $B$19*($DN62=$DO62))</f>
        <v>3.7037037037037035E-4</v>
      </c>
      <c r="FI62" s="10" cm="1">
        <f t="array" aca="1" ref="FI62" ca="1">(1-$B$18)*SUMPRODUCT(OFFSET($BO$15,0,0,$B$14,1), 1*(_xlfn._xlws.FILTER(OFFSET($O$15,0,$DN62,$B$8,1),OFFSET($M$15,0,0,$B$8,1))=FI$13), 1*(_xlfn._xlws.FILTER(OFFSET($O$15,0,$DO62,$B$8,1),OFFSET($M$15,0,0,$B$8,1))=FI$14))   /   SUM(OFFSET($BO$15,0,0,$B$14,1)) + $B$18/($B$19*$B$19*($DN62&lt;&gt;$DO62) + $B$19*($DN62=$DO62))</f>
        <v>3.7037037037037035E-4</v>
      </c>
      <c r="FJ62" s="10" cm="1">
        <f t="array" aca="1" ref="FJ62" ca="1">(1-$B$18)*SUMPRODUCT(OFFSET($BO$15,0,0,$B$14,1), 1*(_xlfn._xlws.FILTER(OFFSET($O$15,0,$DN62,$B$8,1),OFFSET($M$15,0,0,$B$8,1))=FJ$13), 1*(_xlfn._xlws.FILTER(OFFSET($O$15,0,$DO62,$B$8,1),OFFSET($M$15,0,0,$B$8,1))=FJ$14))   /   SUM(OFFSET($BO$15,0,0,$B$14,1)) + $B$18/($B$19*$B$19*($DN62&lt;&gt;$DO62) + $B$19*($DN62=$DO62))</f>
        <v>3.7037037037037035E-4</v>
      </c>
      <c r="FK62" s="10" cm="1">
        <f t="array" aca="1" ref="FK62" ca="1">(1-$B$18)*SUMPRODUCT(OFFSET($BO$15,0,0,$B$14,1), 1*(_xlfn._xlws.FILTER(OFFSET($O$15,0,$DN62,$B$8,1),OFFSET($M$15,0,0,$B$8,1))=FK$13), 1*(_xlfn._xlws.FILTER(OFFSET($O$15,0,$DO62,$B$8,1),OFFSET($M$15,0,0,$B$8,1))=FK$14))   /   SUM(OFFSET($BO$15,0,0,$B$14,1)) + $B$18/($B$19*$B$19*($DN62&lt;&gt;$DO62) + $B$19*($DN62=$DO62))</f>
        <v>3.7037037037037035E-4</v>
      </c>
      <c r="FL62" s="10" cm="1">
        <f t="array" aca="1" ref="FL62" ca="1">(1-$B$18)*SUMPRODUCT(OFFSET($BO$15,0,0,$B$14,1), 1*(_xlfn._xlws.FILTER(OFFSET($O$15,0,$DN62,$B$8,1),OFFSET($M$15,0,0,$B$8,1))=FL$13), 1*(_xlfn._xlws.FILTER(OFFSET($O$15,0,$DO62,$B$8,1),OFFSET($M$15,0,0,$B$8,1))=FL$14))   /   SUM(OFFSET($BO$15,0,0,$B$14,1)) + $B$18/($B$19*$B$19*($DN62&lt;&gt;$DO62) + $B$19*($DN62=$DO62))</f>
        <v>3.7037037037037035E-4</v>
      </c>
      <c r="FM62" s="10" cm="1">
        <f t="array" aca="1" ref="FM62" ca="1">(1-$B$18)*SUMPRODUCT(OFFSET($BO$15,0,0,$B$14,1), 1*(_xlfn._xlws.FILTER(OFFSET($O$15,0,$DN62,$B$8,1),OFFSET($M$15,0,0,$B$8,1))=FM$13), 1*(_xlfn._xlws.FILTER(OFFSET($O$15,0,$DO62,$B$8,1),OFFSET($M$15,0,0,$B$8,1))=FM$14))   /   SUM(OFFSET($BO$15,0,0,$B$14,1)) + $B$18/($B$19*$B$19*($DN62&lt;&gt;$DO62) + $B$19*($DN62=$DO62))</f>
        <v>3.7037037037037035E-4</v>
      </c>
      <c r="FN62" s="10" cm="1">
        <f t="array" aca="1" ref="FN62" ca="1">(1-$B$18)*SUMPRODUCT(OFFSET($BO$15,0,0,$B$14,1), 1*(_xlfn._xlws.FILTER(OFFSET($O$15,0,$DN62,$B$8,1),OFFSET($M$15,0,0,$B$8,1))=FN$13), 1*(_xlfn._xlws.FILTER(OFFSET($O$15,0,$DO62,$B$8,1),OFFSET($M$15,0,0,$B$8,1))=FN$14))   /   SUM(OFFSET($BO$15,0,0,$B$14,1)) + $B$18/($B$19*$B$19*($DN62&lt;&gt;$DO62) + $B$19*($DN62=$DO62))</f>
        <v>3.7037037037037035E-4</v>
      </c>
      <c r="FO62" s="10" cm="1">
        <f t="array" aca="1" ref="FO62" ca="1">(1-$B$18)*SUMPRODUCT(OFFSET($BO$15,0,0,$B$14,1), 1*(_xlfn._xlws.FILTER(OFFSET($O$15,0,$DN62,$B$8,1),OFFSET($M$15,0,0,$B$8,1))=FO$13), 1*(_xlfn._xlws.FILTER(OFFSET($O$15,0,$DO62,$B$8,1),OFFSET($M$15,0,0,$B$8,1))=FO$14))   /   SUM(OFFSET($BO$15,0,0,$B$14,1)) + $B$18/($B$19*$B$19*($DN62&lt;&gt;$DO62) + $B$19*($DN62=$DO62))</f>
        <v>3.7037037037037035E-4</v>
      </c>
      <c r="FP62" s="10" cm="1">
        <f t="array" aca="1" ref="FP62" ca="1">(1-$B$18)*SUMPRODUCT(OFFSET($BO$15,0,0,$B$14,1), 1*(_xlfn._xlws.FILTER(OFFSET($O$15,0,$DN62,$B$8,1),OFFSET($M$15,0,0,$B$8,1))=FP$13), 1*(_xlfn._xlws.FILTER(OFFSET($O$15,0,$DO62,$B$8,1),OFFSET($M$15,0,0,$B$8,1))=FP$14))   /   SUM(OFFSET($BO$15,0,0,$B$14,1)) + $B$18/($B$19*$B$19*($DN62&lt;&gt;$DO62) + $B$19*($DN62=$DO62))</f>
        <v>3.7037037037037035E-4</v>
      </c>
      <c r="FQ62" s="10" cm="1">
        <f t="array" aca="1" ref="FQ62" ca="1">(1-$B$18)*SUMPRODUCT(OFFSET($BO$15,0,0,$B$14,1), 1*(_xlfn._xlws.FILTER(OFFSET($O$15,0,$DN62,$B$8,1),OFFSET($M$15,0,0,$B$8,1))=FQ$13), 1*(_xlfn._xlws.FILTER(OFFSET($O$15,0,$DO62,$B$8,1),OFFSET($M$15,0,0,$B$8,1))=FQ$14))   /   SUM(OFFSET($BO$15,0,0,$B$14,1)) + $B$18/($B$19*$B$19*($DN62&lt;&gt;$DO62) + $B$19*($DN62=$DO62))</f>
        <v>3.7037037037037035E-4</v>
      </c>
      <c r="FR62" s="10" cm="1">
        <f t="array" aca="1" ref="FR62" ca="1">(1-$B$18)*SUMPRODUCT(OFFSET($BO$15,0,0,$B$14,1), 1*(_xlfn._xlws.FILTER(OFFSET($O$15,0,$DN62,$B$8,1),OFFSET($M$15,0,0,$B$8,1))=FR$13), 1*(_xlfn._xlws.FILTER(OFFSET($O$15,0,$DO62,$B$8,1),OFFSET($M$15,0,0,$B$8,1))=FR$14))   /   SUM(OFFSET($BO$15,0,0,$B$14,1)) + $B$18/($B$19*$B$19*($DN62&lt;&gt;$DO62) + $B$19*($DN62=$DO62))</f>
        <v>0.97037037037037033</v>
      </c>
      <c r="FS62" s="10" cm="1">
        <f t="array" aca="1" ref="FS62" ca="1">(1-$B$18)*SUMPRODUCT(OFFSET($BO$15,0,0,$B$14,1), 1*(_xlfn._xlws.FILTER(OFFSET($O$15,0,$DN62,$B$8,1),OFFSET($M$15,0,0,$B$8,1))=FS$13), 1*(_xlfn._xlws.FILTER(OFFSET($O$15,0,$DO62,$B$8,1),OFFSET($M$15,0,0,$B$8,1))=FS$14))   /   SUM(OFFSET($BO$15,0,0,$B$14,1)) + $B$18/($B$19*$B$19*($DN62&lt;&gt;$DO62) + $B$19*($DN62=$DO62))</f>
        <v>3.7037037037037035E-4</v>
      </c>
      <c r="FT62" s="10" cm="1">
        <f t="array" aca="1" ref="FT62" ca="1">(1-$B$18)*SUMPRODUCT(OFFSET($BO$15,0,0,$B$14,1), 1*(_xlfn._xlws.FILTER(OFFSET($O$15,0,$DN62,$B$8,1),OFFSET($M$15,0,0,$B$8,1))=FT$13), 1*(_xlfn._xlws.FILTER(OFFSET($O$15,0,$DO62,$B$8,1),OFFSET($M$15,0,0,$B$8,1))=FT$14))   /   SUM(OFFSET($BO$15,0,0,$B$14,1)) + $B$18/($B$19*$B$19*($DN62&lt;&gt;$DO62) + $B$19*($DN62=$DO62))</f>
        <v>3.7037037037037035E-4</v>
      </c>
      <c r="FU62" s="10" cm="1">
        <f t="array" aca="1" ref="FU62" ca="1">(1-$B$18)*SUMPRODUCT(OFFSET($BO$15,0,0,$B$14,1), 1*(_xlfn._xlws.FILTER(OFFSET($O$15,0,$DN62,$B$8,1),OFFSET($M$15,0,0,$B$8,1))=FU$13), 1*(_xlfn._xlws.FILTER(OFFSET($O$15,0,$DO62,$B$8,1),OFFSET($M$15,0,0,$B$8,1))=FU$14))   /   SUM(OFFSET($BO$15,0,0,$B$14,1)) + $B$18/($B$19*$B$19*($DN62&lt;&gt;$DO62) + $B$19*($DN62=$DO62))</f>
        <v>3.7037037037037035E-4</v>
      </c>
      <c r="FV62" s="10" cm="1">
        <f t="array" aca="1" ref="FV62" ca="1">(1-$B$18)*SUMPRODUCT(OFFSET($BO$15,0,0,$B$14,1), 1*(_xlfn._xlws.FILTER(OFFSET($O$15,0,$DN62,$B$8,1),OFFSET($M$15,0,0,$B$8,1))=FV$13), 1*(_xlfn._xlws.FILTER(OFFSET($O$15,0,$DO62,$B$8,1),OFFSET($M$15,0,0,$B$8,1))=FV$14))   /   SUM(OFFSET($BO$15,0,0,$B$14,1)) + $B$18/($B$19*$B$19*($DN62&lt;&gt;$DO62) + $B$19*($DN62=$DO62))</f>
        <v>3.7037037037037035E-4</v>
      </c>
      <c r="FW62" s="10" cm="1">
        <f t="array" aca="1" ref="FW62" ca="1">(1-$B$18)*SUMPRODUCT(OFFSET($BO$15,0,0,$B$14,1), 1*(_xlfn._xlws.FILTER(OFFSET($O$15,0,$DN62,$B$8,1),OFFSET($M$15,0,0,$B$8,1))=FW$13), 1*(_xlfn._xlws.FILTER(OFFSET($O$15,0,$DO62,$B$8,1),OFFSET($M$15,0,0,$B$8,1))=FW$14))   /   SUM(OFFSET($BO$15,0,0,$B$14,1)) + $B$18/($B$19*$B$19*($DN62&lt;&gt;$DO62) + $B$19*($DN62=$DO62))</f>
        <v>3.7037037037037035E-4</v>
      </c>
      <c r="FX62" s="10" cm="1">
        <f t="array" aca="1" ref="FX62" ca="1">(1-$B$18)*SUMPRODUCT(OFFSET($BO$15,0,0,$B$14,1), 1*(_xlfn._xlws.FILTER(OFFSET($O$15,0,$DN62,$B$8,1),OFFSET($M$15,0,0,$B$8,1))=FX$13), 1*(_xlfn._xlws.FILTER(OFFSET($O$15,0,$DO62,$B$8,1),OFFSET($M$15,0,0,$B$8,1))=FX$14))   /   SUM(OFFSET($BO$15,0,0,$B$14,1)) + $B$18/($B$19*$B$19*($DN62&lt;&gt;$DO62) + $B$19*($DN62=$DO62))</f>
        <v>3.7037037037037035E-4</v>
      </c>
      <c r="FY62" s="10" cm="1">
        <f t="array" aca="1" ref="FY62" ca="1">(1-$B$18)*SUMPRODUCT(OFFSET($BO$15,0,0,$B$14,1), 1*(_xlfn._xlws.FILTER(OFFSET($O$15,0,$DN62,$B$8,1),OFFSET($M$15,0,0,$B$8,1))=FY$13), 1*(_xlfn._xlws.FILTER(OFFSET($O$15,0,$DO62,$B$8,1),OFFSET($M$15,0,0,$B$8,1))=FY$14))   /   SUM(OFFSET($BO$15,0,0,$B$14,1)) + $B$18/($B$19*$B$19*($DN62&lt;&gt;$DO62) + $B$19*($DN62=$DO62))</f>
        <v>3.7037037037037035E-4</v>
      </c>
      <c r="FZ62" s="10" cm="1">
        <f t="array" aca="1" ref="FZ62" ca="1">(1-$B$18)*SUMPRODUCT(OFFSET($BO$15,0,0,$B$14,1), 1*(_xlfn._xlws.FILTER(OFFSET($O$15,0,$DN62,$B$8,1),OFFSET($M$15,0,0,$B$8,1))=FZ$13), 1*(_xlfn._xlws.FILTER(OFFSET($O$15,0,$DO62,$B$8,1),OFFSET($M$15,0,0,$B$8,1))=FZ$14))   /   SUM(OFFSET($BO$15,0,0,$B$14,1)) + $B$18/($B$19*$B$19*($DN62&lt;&gt;$DO62) + $B$19*($DN62=$DO62))</f>
        <v>3.7037037037037035E-4</v>
      </c>
      <c r="GA62" s="10" cm="1">
        <f t="array" aca="1" ref="GA62" ca="1">(1-$B$18)*SUMPRODUCT(OFFSET($BO$15,0,0,$B$14,1), 1*(_xlfn._xlws.FILTER(OFFSET($O$15,0,$DN62,$B$8,1),OFFSET($M$15,0,0,$B$8,1))=GA$13), 1*(_xlfn._xlws.FILTER(OFFSET($O$15,0,$DO62,$B$8,1),OFFSET($M$15,0,0,$B$8,1))=GA$14))   /   SUM(OFFSET($BO$15,0,0,$B$14,1)) + $B$18/($B$19*$B$19*($DN62&lt;&gt;$DO62) + $B$19*($DN62=$DO62))</f>
        <v>3.7037037037037035E-4</v>
      </c>
    </row>
    <row r="63" spans="5:183" x14ac:dyDescent="0.2">
      <c r="CX63">
        <f ca="1"/>
        <v>0.1</v>
      </c>
      <c r="CY63">
        <f ca="1"/>
        <v>0</v>
      </c>
      <c r="DN63" cm="1">
        <f t="array" aca="1" ref="DN63" ca="1">INDEX(_xlfn.ANCHORARRAY($CP$15), 1 + INT((ROWS($DO$15:$DO63) - 1) / ROWS(_xlfn.ANCHORARRAY($CP$15))))</f>
        <v>2</v>
      </c>
      <c r="DO63" cm="1">
        <f t="array" aca="1" ref="DO63" ca="1">INDEX(_xlfn.ANCHORARRAY($CP$15),1+MOD(ROWS($DO$15:$DO63)-1,ROWS(_xlfn.ANCHORARRAY($CP$15))))</f>
        <v>11</v>
      </c>
      <c r="DP63" s="10" cm="1">
        <f t="array" aca="1" ref="DP63" ca="1">(1-$B$18)*SUMPRODUCT(OFFSET($BO$15,0,0,$B$14,1), 1*(_xlfn._xlws.FILTER(OFFSET($O$15,0,$DN63,$B$8,1),OFFSET($M$15,0,0,$B$8,1))=DP$13), 1*(_xlfn._xlws.FILTER(OFFSET($O$15,0,$DO63,$B$8,1),OFFSET($M$15,0,0,$B$8,1))=DP$14))   /   SUM(OFFSET($BO$15,0,0,$B$14,1)) + $B$18/($B$19*$B$19*($DN63&lt;&gt;$DO63) + $B$19*($DN63=$DO63))</f>
        <v>3.7037037037037035E-4</v>
      </c>
      <c r="DQ63" s="10" cm="1">
        <f t="array" aca="1" ref="DQ63" ca="1">(1-$B$18)*SUMPRODUCT(OFFSET($BO$15,0,0,$B$14,1), 1*(_xlfn._xlws.FILTER(OFFSET($O$15,0,$DN63,$B$8,1),OFFSET($M$15,0,0,$B$8,1))=DQ$13), 1*(_xlfn._xlws.FILTER(OFFSET($O$15,0,$DO63,$B$8,1),OFFSET($M$15,0,0,$B$8,1))=DQ$14))   /   SUM(OFFSET($BO$15,0,0,$B$14,1)) + $B$18/($B$19*$B$19*($DN63&lt;&gt;$DO63) + $B$19*($DN63=$DO63))</f>
        <v>3.7037037037037035E-4</v>
      </c>
      <c r="DR63" s="10" cm="1">
        <f t="array" aca="1" ref="DR63" ca="1">(1-$B$18)*SUMPRODUCT(OFFSET($BO$15,0,0,$B$14,1), 1*(_xlfn._xlws.FILTER(OFFSET($O$15,0,$DN63,$B$8,1),OFFSET($M$15,0,0,$B$8,1))=DR$13), 1*(_xlfn._xlws.FILTER(OFFSET($O$15,0,$DO63,$B$8,1),OFFSET($M$15,0,0,$B$8,1))=DR$14))   /   SUM(OFFSET($BO$15,0,0,$B$14,1)) + $B$18/($B$19*$B$19*($DN63&lt;&gt;$DO63) + $B$19*($DN63=$DO63))</f>
        <v>3.7037037037037035E-4</v>
      </c>
      <c r="DS63" s="10" cm="1">
        <f t="array" aca="1" ref="DS63" ca="1">(1-$B$18)*SUMPRODUCT(OFFSET($BO$15,0,0,$B$14,1), 1*(_xlfn._xlws.FILTER(OFFSET($O$15,0,$DN63,$B$8,1),OFFSET($M$15,0,0,$B$8,1))=DS$13), 1*(_xlfn._xlws.FILTER(OFFSET($O$15,0,$DO63,$B$8,1),OFFSET($M$15,0,0,$B$8,1))=DS$14))   /   SUM(OFFSET($BO$15,0,0,$B$14,1)) + $B$18/($B$19*$B$19*($DN63&lt;&gt;$DO63) + $B$19*($DN63=$DO63))</f>
        <v>3.7037037037037035E-4</v>
      </c>
      <c r="DT63" s="10" cm="1">
        <f t="array" aca="1" ref="DT63" ca="1">(1-$B$18)*SUMPRODUCT(OFFSET($BO$15,0,0,$B$14,1), 1*(_xlfn._xlws.FILTER(OFFSET($O$15,0,$DN63,$B$8,1),OFFSET($M$15,0,0,$B$8,1))=DT$13), 1*(_xlfn._xlws.FILTER(OFFSET($O$15,0,$DO63,$B$8,1),OFFSET($M$15,0,0,$B$8,1))=DT$14))   /   SUM(OFFSET($BO$15,0,0,$B$14,1)) + $B$18/($B$19*$B$19*($DN63&lt;&gt;$DO63) + $B$19*($DN63=$DO63))</f>
        <v>3.7037037037037035E-4</v>
      </c>
      <c r="DU63" s="10" cm="1">
        <f t="array" aca="1" ref="DU63" ca="1">(1-$B$18)*SUMPRODUCT(OFFSET($BO$15,0,0,$B$14,1), 1*(_xlfn._xlws.FILTER(OFFSET($O$15,0,$DN63,$B$8,1),OFFSET($M$15,0,0,$B$8,1))=DU$13), 1*(_xlfn._xlws.FILTER(OFFSET($O$15,0,$DO63,$B$8,1),OFFSET($M$15,0,0,$B$8,1))=DU$14))   /   SUM(OFFSET($BO$15,0,0,$B$14,1)) + $B$18/($B$19*$B$19*($DN63&lt;&gt;$DO63) + $B$19*($DN63=$DO63))</f>
        <v>3.7037037037037035E-4</v>
      </c>
      <c r="DV63" s="10" cm="1">
        <f t="array" aca="1" ref="DV63" ca="1">(1-$B$18)*SUMPRODUCT(OFFSET($BO$15,0,0,$B$14,1), 1*(_xlfn._xlws.FILTER(OFFSET($O$15,0,$DN63,$B$8,1),OFFSET($M$15,0,0,$B$8,1))=DV$13), 1*(_xlfn._xlws.FILTER(OFFSET($O$15,0,$DO63,$B$8,1),OFFSET($M$15,0,0,$B$8,1))=DV$14))   /   SUM(OFFSET($BO$15,0,0,$B$14,1)) + $B$18/($B$19*$B$19*($DN63&lt;&gt;$DO63) + $B$19*($DN63=$DO63))</f>
        <v>3.7037037037037035E-4</v>
      </c>
      <c r="DW63" s="10" cm="1">
        <f t="array" aca="1" ref="DW63" ca="1">(1-$B$18)*SUMPRODUCT(OFFSET($BO$15,0,0,$B$14,1), 1*(_xlfn._xlws.FILTER(OFFSET($O$15,0,$DN63,$B$8,1),OFFSET($M$15,0,0,$B$8,1))=DW$13), 1*(_xlfn._xlws.FILTER(OFFSET($O$15,0,$DO63,$B$8,1),OFFSET($M$15,0,0,$B$8,1))=DW$14))   /   SUM(OFFSET($BO$15,0,0,$B$14,1)) + $B$18/($B$19*$B$19*($DN63&lt;&gt;$DO63) + $B$19*($DN63=$DO63))</f>
        <v>3.7037037037037035E-4</v>
      </c>
      <c r="DX63" s="10" cm="1">
        <f t="array" aca="1" ref="DX63" ca="1">(1-$B$18)*SUMPRODUCT(OFFSET($BO$15,0,0,$B$14,1), 1*(_xlfn._xlws.FILTER(OFFSET($O$15,0,$DN63,$B$8,1),OFFSET($M$15,0,0,$B$8,1))=DX$13), 1*(_xlfn._xlws.FILTER(OFFSET($O$15,0,$DO63,$B$8,1),OFFSET($M$15,0,0,$B$8,1))=DX$14))   /   SUM(OFFSET($BO$15,0,0,$B$14,1)) + $B$18/($B$19*$B$19*($DN63&lt;&gt;$DO63) + $B$19*($DN63=$DO63))</f>
        <v>3.7037037037037035E-4</v>
      </c>
      <c r="DY63" s="10" cm="1">
        <f t="array" aca="1" ref="DY63" ca="1">(1-$B$18)*SUMPRODUCT(OFFSET($BO$15,0,0,$B$14,1), 1*(_xlfn._xlws.FILTER(OFFSET($O$15,0,$DN63,$B$8,1),OFFSET($M$15,0,0,$B$8,1))=DY$13), 1*(_xlfn._xlws.FILTER(OFFSET($O$15,0,$DO63,$B$8,1),OFFSET($M$15,0,0,$B$8,1))=DY$14))   /   SUM(OFFSET($BO$15,0,0,$B$14,1)) + $B$18/($B$19*$B$19*($DN63&lt;&gt;$DO63) + $B$19*($DN63=$DO63))</f>
        <v>3.7037037037037035E-4</v>
      </c>
      <c r="DZ63" s="10" cm="1">
        <f t="array" aca="1" ref="DZ63" ca="1">(1-$B$18)*SUMPRODUCT(OFFSET($BO$15,0,0,$B$14,1), 1*(_xlfn._xlws.FILTER(OFFSET($O$15,0,$DN63,$B$8,1),OFFSET($M$15,0,0,$B$8,1))=DZ$13), 1*(_xlfn._xlws.FILTER(OFFSET($O$15,0,$DO63,$B$8,1),OFFSET($M$15,0,0,$B$8,1))=DZ$14))   /   SUM(OFFSET($BO$15,0,0,$B$14,1)) + $B$18/($B$19*$B$19*($DN63&lt;&gt;$DO63) + $B$19*($DN63=$DO63))</f>
        <v>3.7037037037037035E-4</v>
      </c>
      <c r="EA63" s="10" cm="1">
        <f t="array" aca="1" ref="EA63" ca="1">(1-$B$18)*SUMPRODUCT(OFFSET($BO$15,0,0,$B$14,1), 1*(_xlfn._xlws.FILTER(OFFSET($O$15,0,$DN63,$B$8,1),OFFSET($M$15,0,0,$B$8,1))=EA$13), 1*(_xlfn._xlws.FILTER(OFFSET($O$15,0,$DO63,$B$8,1),OFFSET($M$15,0,0,$B$8,1))=EA$14))   /   SUM(OFFSET($BO$15,0,0,$B$14,1)) + $B$18/($B$19*$B$19*($DN63&lt;&gt;$DO63) + $B$19*($DN63=$DO63))</f>
        <v>3.7037037037037035E-4</v>
      </c>
      <c r="EB63" s="10" cm="1">
        <f t="array" aca="1" ref="EB63" ca="1">(1-$B$18)*SUMPRODUCT(OFFSET($BO$15,0,0,$B$14,1), 1*(_xlfn._xlws.FILTER(OFFSET($O$15,0,$DN63,$B$8,1),OFFSET($M$15,0,0,$B$8,1))=EB$13), 1*(_xlfn._xlws.FILTER(OFFSET($O$15,0,$DO63,$B$8,1),OFFSET($M$15,0,0,$B$8,1))=EB$14))   /   SUM(OFFSET($BO$15,0,0,$B$14,1)) + $B$18/($B$19*$B$19*($DN63&lt;&gt;$DO63) + $B$19*($DN63=$DO63))</f>
        <v>3.7037037037037035E-4</v>
      </c>
      <c r="EC63" s="10" cm="1">
        <f t="array" aca="1" ref="EC63" ca="1">(1-$B$18)*SUMPRODUCT(OFFSET($BO$15,0,0,$B$14,1), 1*(_xlfn._xlws.FILTER(OFFSET($O$15,0,$DN63,$B$8,1),OFFSET($M$15,0,0,$B$8,1))=EC$13), 1*(_xlfn._xlws.FILTER(OFFSET($O$15,0,$DO63,$B$8,1),OFFSET($M$15,0,0,$B$8,1))=EC$14))   /   SUM(OFFSET($BO$15,0,0,$B$14,1)) + $B$18/($B$19*$B$19*($DN63&lt;&gt;$DO63) + $B$19*($DN63=$DO63))</f>
        <v>3.7037037037037035E-4</v>
      </c>
      <c r="ED63" s="10" cm="1">
        <f t="array" aca="1" ref="ED63" ca="1">(1-$B$18)*SUMPRODUCT(OFFSET($BO$15,0,0,$B$14,1), 1*(_xlfn._xlws.FILTER(OFFSET($O$15,0,$DN63,$B$8,1),OFFSET($M$15,0,0,$B$8,1))=ED$13), 1*(_xlfn._xlws.FILTER(OFFSET($O$15,0,$DO63,$B$8,1),OFFSET($M$15,0,0,$B$8,1))=ED$14))   /   SUM(OFFSET($BO$15,0,0,$B$14,1)) + $B$18/($B$19*$B$19*($DN63&lt;&gt;$DO63) + $B$19*($DN63=$DO63))</f>
        <v>3.7037037037037035E-4</v>
      </c>
      <c r="EE63" s="10" cm="1">
        <f t="array" aca="1" ref="EE63" ca="1">(1-$B$18)*SUMPRODUCT(OFFSET($BO$15,0,0,$B$14,1), 1*(_xlfn._xlws.FILTER(OFFSET($O$15,0,$DN63,$B$8,1),OFFSET($M$15,0,0,$B$8,1))=EE$13), 1*(_xlfn._xlws.FILTER(OFFSET($O$15,0,$DO63,$B$8,1),OFFSET($M$15,0,0,$B$8,1))=EE$14))   /   SUM(OFFSET($BO$15,0,0,$B$14,1)) + $B$18/($B$19*$B$19*($DN63&lt;&gt;$DO63) + $B$19*($DN63=$DO63))</f>
        <v>3.7037037037037035E-4</v>
      </c>
      <c r="EF63" s="10" cm="1">
        <f t="array" aca="1" ref="EF63" ca="1">(1-$B$18)*SUMPRODUCT(OFFSET($BO$15,0,0,$B$14,1), 1*(_xlfn._xlws.FILTER(OFFSET($O$15,0,$DN63,$B$8,1),OFFSET($M$15,0,0,$B$8,1))=EF$13), 1*(_xlfn._xlws.FILTER(OFFSET($O$15,0,$DO63,$B$8,1),OFFSET($M$15,0,0,$B$8,1))=EF$14))   /   SUM(OFFSET($BO$15,0,0,$B$14,1)) + $B$18/($B$19*$B$19*($DN63&lt;&gt;$DO63) + $B$19*($DN63=$DO63))</f>
        <v>3.7037037037037035E-4</v>
      </c>
      <c r="EG63" s="10" cm="1">
        <f t="array" aca="1" ref="EG63" ca="1">(1-$B$18)*SUMPRODUCT(OFFSET($BO$15,0,0,$B$14,1), 1*(_xlfn._xlws.FILTER(OFFSET($O$15,0,$DN63,$B$8,1),OFFSET($M$15,0,0,$B$8,1))=EG$13), 1*(_xlfn._xlws.FILTER(OFFSET($O$15,0,$DO63,$B$8,1),OFFSET($M$15,0,0,$B$8,1))=EG$14))   /   SUM(OFFSET($BO$15,0,0,$B$14,1)) + $B$18/($B$19*$B$19*($DN63&lt;&gt;$DO63) + $B$19*($DN63=$DO63))</f>
        <v>3.7037037037037035E-4</v>
      </c>
      <c r="EH63" s="10" cm="1">
        <f t="array" aca="1" ref="EH63" ca="1">(1-$B$18)*SUMPRODUCT(OFFSET($BO$15,0,0,$B$14,1), 1*(_xlfn._xlws.FILTER(OFFSET($O$15,0,$DN63,$B$8,1),OFFSET($M$15,0,0,$B$8,1))=EH$13), 1*(_xlfn._xlws.FILTER(OFFSET($O$15,0,$DO63,$B$8,1),OFFSET($M$15,0,0,$B$8,1))=EH$14))   /   SUM(OFFSET($BO$15,0,0,$B$14,1)) + $B$18/($B$19*$B$19*($DN63&lt;&gt;$DO63) + $B$19*($DN63=$DO63))</f>
        <v>3.7037037037037035E-4</v>
      </c>
      <c r="EI63" s="10" cm="1">
        <f t="array" aca="1" ref="EI63" ca="1">(1-$B$18)*SUMPRODUCT(OFFSET($BO$15,0,0,$B$14,1), 1*(_xlfn._xlws.FILTER(OFFSET($O$15,0,$DN63,$B$8,1),OFFSET($M$15,0,0,$B$8,1))=EI$13), 1*(_xlfn._xlws.FILTER(OFFSET($O$15,0,$DO63,$B$8,1),OFFSET($M$15,0,0,$B$8,1))=EI$14))   /   SUM(OFFSET($BO$15,0,0,$B$14,1)) + $B$18/($B$19*$B$19*($DN63&lt;&gt;$DO63) + $B$19*($DN63=$DO63))</f>
        <v>3.7037037037037035E-4</v>
      </c>
      <c r="EJ63" s="10" cm="1">
        <f t="array" aca="1" ref="EJ63" ca="1">(1-$B$18)*SUMPRODUCT(OFFSET($BO$15,0,0,$B$14,1), 1*(_xlfn._xlws.FILTER(OFFSET($O$15,0,$DN63,$B$8,1),OFFSET($M$15,0,0,$B$8,1))=EJ$13), 1*(_xlfn._xlws.FILTER(OFFSET($O$15,0,$DO63,$B$8,1),OFFSET($M$15,0,0,$B$8,1))=EJ$14))   /   SUM(OFFSET($BO$15,0,0,$B$14,1)) + $B$18/($B$19*$B$19*($DN63&lt;&gt;$DO63) + $B$19*($DN63=$DO63))</f>
        <v>3.7037037037037035E-4</v>
      </c>
      <c r="EK63" s="10" cm="1">
        <f t="array" aca="1" ref="EK63" ca="1">(1-$B$18)*SUMPRODUCT(OFFSET($BO$15,0,0,$B$14,1), 1*(_xlfn._xlws.FILTER(OFFSET($O$15,0,$DN63,$B$8,1),OFFSET($M$15,0,0,$B$8,1))=EK$13), 1*(_xlfn._xlws.FILTER(OFFSET($O$15,0,$DO63,$B$8,1),OFFSET($M$15,0,0,$B$8,1))=EK$14))   /   SUM(OFFSET($BO$15,0,0,$B$14,1)) + $B$18/($B$19*$B$19*($DN63&lt;&gt;$DO63) + $B$19*($DN63=$DO63))</f>
        <v>3.7037037037037035E-4</v>
      </c>
      <c r="EL63" s="10" cm="1">
        <f t="array" aca="1" ref="EL63" ca="1">(1-$B$18)*SUMPRODUCT(OFFSET($BO$15,0,0,$B$14,1), 1*(_xlfn._xlws.FILTER(OFFSET($O$15,0,$DN63,$B$8,1),OFFSET($M$15,0,0,$B$8,1))=EL$13), 1*(_xlfn._xlws.FILTER(OFFSET($O$15,0,$DO63,$B$8,1),OFFSET($M$15,0,0,$B$8,1))=EL$14))   /   SUM(OFFSET($BO$15,0,0,$B$14,1)) + $B$18/($B$19*$B$19*($DN63&lt;&gt;$DO63) + $B$19*($DN63=$DO63))</f>
        <v>3.7037037037037035E-4</v>
      </c>
      <c r="EM63" s="10" cm="1">
        <f t="array" aca="1" ref="EM63" ca="1">(1-$B$18)*SUMPRODUCT(OFFSET($BO$15,0,0,$B$14,1), 1*(_xlfn._xlws.FILTER(OFFSET($O$15,0,$DN63,$B$8,1),OFFSET($M$15,0,0,$B$8,1))=EM$13), 1*(_xlfn._xlws.FILTER(OFFSET($O$15,0,$DO63,$B$8,1),OFFSET($M$15,0,0,$B$8,1))=EM$14))   /   SUM(OFFSET($BO$15,0,0,$B$14,1)) + $B$18/($B$19*$B$19*($DN63&lt;&gt;$DO63) + $B$19*($DN63=$DO63))</f>
        <v>3.7037037037037035E-4</v>
      </c>
      <c r="EN63" s="10" cm="1">
        <f t="array" aca="1" ref="EN63" ca="1">(1-$B$18)*SUMPRODUCT(OFFSET($BO$15,0,0,$B$14,1), 1*(_xlfn._xlws.FILTER(OFFSET($O$15,0,$DN63,$B$8,1),OFFSET($M$15,0,0,$B$8,1))=EN$13), 1*(_xlfn._xlws.FILTER(OFFSET($O$15,0,$DO63,$B$8,1),OFFSET($M$15,0,0,$B$8,1))=EN$14))   /   SUM(OFFSET($BO$15,0,0,$B$14,1)) + $B$18/($B$19*$B$19*($DN63&lt;&gt;$DO63) + $B$19*($DN63=$DO63))</f>
        <v>3.7037037037037035E-4</v>
      </c>
      <c r="EO63" s="10" cm="1">
        <f t="array" aca="1" ref="EO63" ca="1">(1-$B$18)*SUMPRODUCT(OFFSET($BO$15,0,0,$B$14,1), 1*(_xlfn._xlws.FILTER(OFFSET($O$15,0,$DN63,$B$8,1),OFFSET($M$15,0,0,$B$8,1))=EO$13), 1*(_xlfn._xlws.FILTER(OFFSET($O$15,0,$DO63,$B$8,1),OFFSET($M$15,0,0,$B$8,1))=EO$14))   /   SUM(OFFSET($BO$15,0,0,$B$14,1)) + $B$18/($B$19*$B$19*($DN63&lt;&gt;$DO63) + $B$19*($DN63=$DO63))</f>
        <v>3.7037037037037035E-4</v>
      </c>
      <c r="EP63" s="10" cm="1">
        <f t="array" aca="1" ref="EP63" ca="1">(1-$B$18)*SUMPRODUCT(OFFSET($BO$15,0,0,$B$14,1), 1*(_xlfn._xlws.FILTER(OFFSET($O$15,0,$DN63,$B$8,1),OFFSET($M$15,0,0,$B$8,1))=EP$13), 1*(_xlfn._xlws.FILTER(OFFSET($O$15,0,$DO63,$B$8,1),OFFSET($M$15,0,0,$B$8,1))=EP$14))   /   SUM(OFFSET($BO$15,0,0,$B$14,1)) + $B$18/($B$19*$B$19*($DN63&lt;&gt;$DO63) + $B$19*($DN63=$DO63))</f>
        <v>3.7037037037037035E-4</v>
      </c>
      <c r="EQ63" s="10" cm="1">
        <f t="array" aca="1" ref="EQ63" ca="1">(1-$B$18)*SUMPRODUCT(OFFSET($BO$15,0,0,$B$14,1), 1*(_xlfn._xlws.FILTER(OFFSET($O$15,0,$DN63,$B$8,1),OFFSET($M$15,0,0,$B$8,1))=EQ$13), 1*(_xlfn._xlws.FILTER(OFFSET($O$15,0,$DO63,$B$8,1),OFFSET($M$15,0,0,$B$8,1))=EQ$14))   /   SUM(OFFSET($BO$15,0,0,$B$14,1)) + $B$18/($B$19*$B$19*($DN63&lt;&gt;$DO63) + $B$19*($DN63=$DO63))</f>
        <v>3.7037037037037035E-4</v>
      </c>
      <c r="ER63" s="10" cm="1">
        <f t="array" aca="1" ref="ER63" ca="1">(1-$B$18)*SUMPRODUCT(OFFSET($BO$15,0,0,$B$14,1), 1*(_xlfn._xlws.FILTER(OFFSET($O$15,0,$DN63,$B$8,1),OFFSET($M$15,0,0,$B$8,1))=ER$13), 1*(_xlfn._xlws.FILTER(OFFSET($O$15,0,$DO63,$B$8,1),OFFSET($M$15,0,0,$B$8,1))=ER$14))   /   SUM(OFFSET($BO$15,0,0,$B$14,1)) + $B$18/($B$19*$B$19*($DN63&lt;&gt;$DO63) + $B$19*($DN63=$DO63))</f>
        <v>3.7037037037037035E-4</v>
      </c>
      <c r="ES63" s="10" cm="1">
        <f t="array" aca="1" ref="ES63" ca="1">(1-$B$18)*SUMPRODUCT(OFFSET($BO$15,0,0,$B$14,1), 1*(_xlfn._xlws.FILTER(OFFSET($O$15,0,$DN63,$B$8,1),OFFSET($M$15,0,0,$B$8,1))=ES$13), 1*(_xlfn._xlws.FILTER(OFFSET($O$15,0,$DO63,$B$8,1),OFFSET($M$15,0,0,$B$8,1))=ES$14))   /   SUM(OFFSET($BO$15,0,0,$B$14,1)) + $B$18/($B$19*$B$19*($DN63&lt;&gt;$DO63) + $B$19*($DN63=$DO63))</f>
        <v>3.7037037037037035E-4</v>
      </c>
      <c r="ET63" s="10" cm="1">
        <f t="array" aca="1" ref="ET63" ca="1">(1-$B$18)*SUMPRODUCT(OFFSET($BO$15,0,0,$B$14,1), 1*(_xlfn._xlws.FILTER(OFFSET($O$15,0,$DN63,$B$8,1),OFFSET($M$15,0,0,$B$8,1))=ET$13), 1*(_xlfn._xlws.FILTER(OFFSET($O$15,0,$DO63,$B$8,1),OFFSET($M$15,0,0,$B$8,1))=ET$14))   /   SUM(OFFSET($BO$15,0,0,$B$14,1)) + $B$18/($B$19*$B$19*($DN63&lt;&gt;$DO63) + $B$19*($DN63=$DO63))</f>
        <v>3.7037037037037035E-4</v>
      </c>
      <c r="EU63" s="10" cm="1">
        <f t="array" aca="1" ref="EU63" ca="1">(1-$B$18)*SUMPRODUCT(OFFSET($BO$15,0,0,$B$14,1), 1*(_xlfn._xlws.FILTER(OFFSET($O$15,0,$DN63,$B$8,1),OFFSET($M$15,0,0,$B$8,1))=EU$13), 1*(_xlfn._xlws.FILTER(OFFSET($O$15,0,$DO63,$B$8,1),OFFSET($M$15,0,0,$B$8,1))=EU$14))   /   SUM(OFFSET($BO$15,0,0,$B$14,1)) + $B$18/($B$19*$B$19*($DN63&lt;&gt;$DO63) + $B$19*($DN63=$DO63))</f>
        <v>3.7037037037037035E-4</v>
      </c>
      <c r="EV63" s="10" cm="1">
        <f t="array" aca="1" ref="EV63" ca="1">(1-$B$18)*SUMPRODUCT(OFFSET($BO$15,0,0,$B$14,1), 1*(_xlfn._xlws.FILTER(OFFSET($O$15,0,$DN63,$B$8,1),OFFSET($M$15,0,0,$B$8,1))=EV$13), 1*(_xlfn._xlws.FILTER(OFFSET($O$15,0,$DO63,$B$8,1),OFFSET($M$15,0,0,$B$8,1))=EV$14))   /   SUM(OFFSET($BO$15,0,0,$B$14,1)) + $B$18/($B$19*$B$19*($DN63&lt;&gt;$DO63) + $B$19*($DN63=$DO63))</f>
        <v>3.7037037037037035E-4</v>
      </c>
      <c r="EW63" s="10" cm="1">
        <f t="array" aca="1" ref="EW63" ca="1">(1-$B$18)*SUMPRODUCT(OFFSET($BO$15,0,0,$B$14,1), 1*(_xlfn._xlws.FILTER(OFFSET($O$15,0,$DN63,$B$8,1),OFFSET($M$15,0,0,$B$8,1))=EW$13), 1*(_xlfn._xlws.FILTER(OFFSET($O$15,0,$DO63,$B$8,1),OFFSET($M$15,0,0,$B$8,1))=EW$14))   /   SUM(OFFSET($BO$15,0,0,$B$14,1)) + $B$18/($B$19*$B$19*($DN63&lt;&gt;$DO63) + $B$19*($DN63=$DO63))</f>
        <v>3.7037037037037035E-4</v>
      </c>
      <c r="EX63" s="10" cm="1">
        <f t="array" aca="1" ref="EX63" ca="1">(1-$B$18)*SUMPRODUCT(OFFSET($BO$15,0,0,$B$14,1), 1*(_xlfn._xlws.FILTER(OFFSET($O$15,0,$DN63,$B$8,1),OFFSET($M$15,0,0,$B$8,1))=EX$13), 1*(_xlfn._xlws.FILTER(OFFSET($O$15,0,$DO63,$B$8,1),OFFSET($M$15,0,0,$B$8,1))=EX$14))   /   SUM(OFFSET($BO$15,0,0,$B$14,1)) + $B$18/($B$19*$B$19*($DN63&lt;&gt;$DO63) + $B$19*($DN63=$DO63))</f>
        <v>3.7037037037037035E-4</v>
      </c>
      <c r="EY63" s="10" cm="1">
        <f t="array" aca="1" ref="EY63" ca="1">(1-$B$18)*SUMPRODUCT(OFFSET($BO$15,0,0,$B$14,1), 1*(_xlfn._xlws.FILTER(OFFSET($O$15,0,$DN63,$B$8,1),OFFSET($M$15,0,0,$B$8,1))=EY$13), 1*(_xlfn._xlws.FILTER(OFFSET($O$15,0,$DO63,$B$8,1),OFFSET($M$15,0,0,$B$8,1))=EY$14))   /   SUM(OFFSET($BO$15,0,0,$B$14,1)) + $B$18/($B$19*$B$19*($DN63&lt;&gt;$DO63) + $B$19*($DN63=$DO63))</f>
        <v>3.7037037037037035E-4</v>
      </c>
      <c r="EZ63" s="10" cm="1">
        <f t="array" aca="1" ref="EZ63" ca="1">(1-$B$18)*SUMPRODUCT(OFFSET($BO$15,0,0,$B$14,1), 1*(_xlfn._xlws.FILTER(OFFSET($O$15,0,$DN63,$B$8,1),OFFSET($M$15,0,0,$B$8,1))=EZ$13), 1*(_xlfn._xlws.FILTER(OFFSET($O$15,0,$DO63,$B$8,1),OFFSET($M$15,0,0,$B$8,1))=EZ$14))   /   SUM(OFFSET($BO$15,0,0,$B$14,1)) + $B$18/($B$19*$B$19*($DN63&lt;&gt;$DO63) + $B$19*($DN63=$DO63))</f>
        <v>3.7037037037037035E-4</v>
      </c>
      <c r="FA63" s="10" cm="1">
        <f t="array" aca="1" ref="FA63" ca="1">(1-$B$18)*SUMPRODUCT(OFFSET($BO$15,0,0,$B$14,1), 1*(_xlfn._xlws.FILTER(OFFSET($O$15,0,$DN63,$B$8,1),OFFSET($M$15,0,0,$B$8,1))=FA$13), 1*(_xlfn._xlws.FILTER(OFFSET($O$15,0,$DO63,$B$8,1),OFFSET($M$15,0,0,$B$8,1))=FA$14))   /   SUM(OFFSET($BO$15,0,0,$B$14,1)) + $B$18/($B$19*$B$19*($DN63&lt;&gt;$DO63) + $B$19*($DN63=$DO63))</f>
        <v>3.7037037037037035E-4</v>
      </c>
      <c r="FB63" s="10" cm="1">
        <f t="array" aca="1" ref="FB63" ca="1">(1-$B$18)*SUMPRODUCT(OFFSET($BO$15,0,0,$B$14,1), 1*(_xlfn._xlws.FILTER(OFFSET($O$15,0,$DN63,$B$8,1),OFFSET($M$15,0,0,$B$8,1))=FB$13), 1*(_xlfn._xlws.FILTER(OFFSET($O$15,0,$DO63,$B$8,1),OFFSET($M$15,0,0,$B$8,1))=FB$14))   /   SUM(OFFSET($BO$15,0,0,$B$14,1)) + $B$18/($B$19*$B$19*($DN63&lt;&gt;$DO63) + $B$19*($DN63=$DO63))</f>
        <v>3.7037037037037035E-4</v>
      </c>
      <c r="FC63" s="10" cm="1">
        <f t="array" aca="1" ref="FC63" ca="1">(1-$B$18)*SUMPRODUCT(OFFSET($BO$15,0,0,$B$14,1), 1*(_xlfn._xlws.FILTER(OFFSET($O$15,0,$DN63,$B$8,1),OFFSET($M$15,0,0,$B$8,1))=FC$13), 1*(_xlfn._xlws.FILTER(OFFSET($O$15,0,$DO63,$B$8,1),OFFSET($M$15,0,0,$B$8,1))=FC$14))   /   SUM(OFFSET($BO$15,0,0,$B$14,1)) + $B$18/($B$19*$B$19*($DN63&lt;&gt;$DO63) + $B$19*($DN63=$DO63))</f>
        <v>3.7037037037037035E-4</v>
      </c>
      <c r="FD63" s="10" cm="1">
        <f t="array" aca="1" ref="FD63" ca="1">(1-$B$18)*SUMPRODUCT(OFFSET($BO$15,0,0,$B$14,1), 1*(_xlfn._xlws.FILTER(OFFSET($O$15,0,$DN63,$B$8,1),OFFSET($M$15,0,0,$B$8,1))=FD$13), 1*(_xlfn._xlws.FILTER(OFFSET($O$15,0,$DO63,$B$8,1),OFFSET($M$15,0,0,$B$8,1))=FD$14))   /   SUM(OFFSET($BO$15,0,0,$B$14,1)) + $B$18/($B$19*$B$19*($DN63&lt;&gt;$DO63) + $B$19*($DN63=$DO63))</f>
        <v>3.7037037037037035E-4</v>
      </c>
      <c r="FE63" s="10" cm="1">
        <f t="array" aca="1" ref="FE63" ca="1">(1-$B$18)*SUMPRODUCT(OFFSET($BO$15,0,0,$B$14,1), 1*(_xlfn._xlws.FILTER(OFFSET($O$15,0,$DN63,$B$8,1),OFFSET($M$15,0,0,$B$8,1))=FE$13), 1*(_xlfn._xlws.FILTER(OFFSET($O$15,0,$DO63,$B$8,1),OFFSET($M$15,0,0,$B$8,1))=FE$14))   /   SUM(OFFSET($BO$15,0,0,$B$14,1)) + $B$18/($B$19*$B$19*($DN63&lt;&gt;$DO63) + $B$19*($DN63=$DO63))</f>
        <v>3.7037037037037035E-4</v>
      </c>
      <c r="FF63" s="10" cm="1">
        <f t="array" aca="1" ref="FF63" ca="1">(1-$B$18)*SUMPRODUCT(OFFSET($BO$15,0,0,$B$14,1), 1*(_xlfn._xlws.FILTER(OFFSET($O$15,0,$DN63,$B$8,1),OFFSET($M$15,0,0,$B$8,1))=FF$13), 1*(_xlfn._xlws.FILTER(OFFSET($O$15,0,$DO63,$B$8,1),OFFSET($M$15,0,0,$B$8,1))=FF$14))   /   SUM(OFFSET($BO$15,0,0,$B$14,1)) + $B$18/($B$19*$B$19*($DN63&lt;&gt;$DO63) + $B$19*($DN63=$DO63))</f>
        <v>3.7037037037037035E-4</v>
      </c>
      <c r="FG63" s="10" cm="1">
        <f t="array" aca="1" ref="FG63" ca="1">(1-$B$18)*SUMPRODUCT(OFFSET($BO$15,0,0,$B$14,1), 1*(_xlfn._xlws.FILTER(OFFSET($O$15,0,$DN63,$B$8,1),OFFSET($M$15,0,0,$B$8,1))=FG$13), 1*(_xlfn._xlws.FILTER(OFFSET($O$15,0,$DO63,$B$8,1),OFFSET($M$15,0,0,$B$8,1))=FG$14))   /   SUM(OFFSET($BO$15,0,0,$B$14,1)) + $B$18/($B$19*$B$19*($DN63&lt;&gt;$DO63) + $B$19*($DN63=$DO63))</f>
        <v>3.7037037037037035E-4</v>
      </c>
      <c r="FH63" s="10" cm="1">
        <f t="array" aca="1" ref="FH63" ca="1">(1-$B$18)*SUMPRODUCT(OFFSET($BO$15,0,0,$B$14,1), 1*(_xlfn._xlws.FILTER(OFFSET($O$15,0,$DN63,$B$8,1),OFFSET($M$15,0,0,$B$8,1))=FH$13), 1*(_xlfn._xlws.FILTER(OFFSET($O$15,0,$DO63,$B$8,1),OFFSET($M$15,0,0,$B$8,1))=FH$14))   /   SUM(OFFSET($BO$15,0,0,$B$14,1)) + $B$18/($B$19*$B$19*($DN63&lt;&gt;$DO63) + $B$19*($DN63=$DO63))</f>
        <v>3.7037037037037035E-4</v>
      </c>
      <c r="FI63" s="10" cm="1">
        <f t="array" aca="1" ref="FI63" ca="1">(1-$B$18)*SUMPRODUCT(OFFSET($BO$15,0,0,$B$14,1), 1*(_xlfn._xlws.FILTER(OFFSET($O$15,0,$DN63,$B$8,1),OFFSET($M$15,0,0,$B$8,1))=FI$13), 1*(_xlfn._xlws.FILTER(OFFSET($O$15,0,$DO63,$B$8,1),OFFSET($M$15,0,0,$B$8,1))=FI$14))   /   SUM(OFFSET($BO$15,0,0,$B$14,1)) + $B$18/($B$19*$B$19*($DN63&lt;&gt;$DO63) + $B$19*($DN63=$DO63))</f>
        <v>3.7037037037037035E-4</v>
      </c>
      <c r="FJ63" s="10" cm="1">
        <f t="array" aca="1" ref="FJ63" ca="1">(1-$B$18)*SUMPRODUCT(OFFSET($BO$15,0,0,$B$14,1), 1*(_xlfn._xlws.FILTER(OFFSET($O$15,0,$DN63,$B$8,1),OFFSET($M$15,0,0,$B$8,1))=FJ$13), 1*(_xlfn._xlws.FILTER(OFFSET($O$15,0,$DO63,$B$8,1),OFFSET($M$15,0,0,$B$8,1))=FJ$14))   /   SUM(OFFSET($BO$15,0,0,$B$14,1)) + $B$18/($B$19*$B$19*($DN63&lt;&gt;$DO63) + $B$19*($DN63=$DO63))</f>
        <v>3.7037037037037035E-4</v>
      </c>
      <c r="FK63" s="10" cm="1">
        <f t="array" aca="1" ref="FK63" ca="1">(1-$B$18)*SUMPRODUCT(OFFSET($BO$15,0,0,$B$14,1), 1*(_xlfn._xlws.FILTER(OFFSET($O$15,0,$DN63,$B$8,1),OFFSET($M$15,0,0,$B$8,1))=FK$13), 1*(_xlfn._xlws.FILTER(OFFSET($O$15,0,$DO63,$B$8,1),OFFSET($M$15,0,0,$B$8,1))=FK$14))   /   SUM(OFFSET($BO$15,0,0,$B$14,1)) + $B$18/($B$19*$B$19*($DN63&lt;&gt;$DO63) + $B$19*($DN63=$DO63))</f>
        <v>3.7037037037037035E-4</v>
      </c>
      <c r="FL63" s="10" cm="1">
        <f t="array" aca="1" ref="FL63" ca="1">(1-$B$18)*SUMPRODUCT(OFFSET($BO$15,0,0,$B$14,1), 1*(_xlfn._xlws.FILTER(OFFSET($O$15,0,$DN63,$B$8,1),OFFSET($M$15,0,0,$B$8,1))=FL$13), 1*(_xlfn._xlws.FILTER(OFFSET($O$15,0,$DO63,$B$8,1),OFFSET($M$15,0,0,$B$8,1))=FL$14))   /   SUM(OFFSET($BO$15,0,0,$B$14,1)) + $B$18/($B$19*$B$19*($DN63&lt;&gt;$DO63) + $B$19*($DN63=$DO63))</f>
        <v>0.48537037037037034</v>
      </c>
      <c r="FM63" s="10" cm="1">
        <f t="array" aca="1" ref="FM63" ca="1">(1-$B$18)*SUMPRODUCT(OFFSET($BO$15,0,0,$B$14,1), 1*(_xlfn._xlws.FILTER(OFFSET($O$15,0,$DN63,$B$8,1),OFFSET($M$15,0,0,$B$8,1))=FM$13), 1*(_xlfn._xlws.FILTER(OFFSET($O$15,0,$DO63,$B$8,1),OFFSET($M$15,0,0,$B$8,1))=FM$14))   /   SUM(OFFSET($BO$15,0,0,$B$14,1)) + $B$18/($B$19*$B$19*($DN63&lt;&gt;$DO63) + $B$19*($DN63=$DO63))</f>
        <v>3.7037037037037035E-4</v>
      </c>
      <c r="FN63" s="10" cm="1">
        <f t="array" aca="1" ref="FN63" ca="1">(1-$B$18)*SUMPRODUCT(OFFSET($BO$15,0,0,$B$14,1), 1*(_xlfn._xlws.FILTER(OFFSET($O$15,0,$DN63,$B$8,1),OFFSET($M$15,0,0,$B$8,1))=FN$13), 1*(_xlfn._xlws.FILTER(OFFSET($O$15,0,$DO63,$B$8,1),OFFSET($M$15,0,0,$B$8,1))=FN$14))   /   SUM(OFFSET($BO$15,0,0,$B$14,1)) + $B$18/($B$19*$B$19*($DN63&lt;&gt;$DO63) + $B$19*($DN63=$DO63))</f>
        <v>0.24287037037037026</v>
      </c>
      <c r="FO63" s="10" cm="1">
        <f t="array" aca="1" ref="FO63" ca="1">(1-$B$18)*SUMPRODUCT(OFFSET($BO$15,0,0,$B$14,1), 1*(_xlfn._xlws.FILTER(OFFSET($O$15,0,$DN63,$B$8,1),OFFSET($M$15,0,0,$B$8,1))=FO$13), 1*(_xlfn._xlws.FILTER(OFFSET($O$15,0,$DO63,$B$8,1),OFFSET($M$15,0,0,$B$8,1))=FO$14))   /   SUM(OFFSET($BO$15,0,0,$B$14,1)) + $B$18/($B$19*$B$19*($DN63&lt;&gt;$DO63) + $B$19*($DN63=$DO63))</f>
        <v>0.24287037037037026</v>
      </c>
      <c r="FP63" s="10" cm="1">
        <f t="array" aca="1" ref="FP63" ca="1">(1-$B$18)*SUMPRODUCT(OFFSET($BO$15,0,0,$B$14,1), 1*(_xlfn._xlws.FILTER(OFFSET($O$15,0,$DN63,$B$8,1),OFFSET($M$15,0,0,$B$8,1))=FP$13), 1*(_xlfn._xlws.FILTER(OFFSET($O$15,0,$DO63,$B$8,1),OFFSET($M$15,0,0,$B$8,1))=FP$14))   /   SUM(OFFSET($BO$15,0,0,$B$14,1)) + $B$18/($B$19*$B$19*($DN63&lt;&gt;$DO63) + $B$19*($DN63=$DO63))</f>
        <v>3.7037037037037035E-4</v>
      </c>
      <c r="FQ63" s="10" cm="1">
        <f t="array" aca="1" ref="FQ63" ca="1">(1-$B$18)*SUMPRODUCT(OFFSET($BO$15,0,0,$B$14,1), 1*(_xlfn._xlws.FILTER(OFFSET($O$15,0,$DN63,$B$8,1),OFFSET($M$15,0,0,$B$8,1))=FQ$13), 1*(_xlfn._xlws.FILTER(OFFSET($O$15,0,$DO63,$B$8,1),OFFSET($M$15,0,0,$B$8,1))=FQ$14))   /   SUM(OFFSET($BO$15,0,0,$B$14,1)) + $B$18/($B$19*$B$19*($DN63&lt;&gt;$DO63) + $B$19*($DN63=$DO63))</f>
        <v>3.7037037037037035E-4</v>
      </c>
      <c r="FR63" s="10" cm="1">
        <f t="array" aca="1" ref="FR63" ca="1">(1-$B$18)*SUMPRODUCT(OFFSET($BO$15,0,0,$B$14,1), 1*(_xlfn._xlws.FILTER(OFFSET($O$15,0,$DN63,$B$8,1),OFFSET($M$15,0,0,$B$8,1))=FR$13), 1*(_xlfn._xlws.FILTER(OFFSET($O$15,0,$DO63,$B$8,1),OFFSET($M$15,0,0,$B$8,1))=FR$14))   /   SUM(OFFSET($BO$15,0,0,$B$14,1)) + $B$18/($B$19*$B$19*($DN63&lt;&gt;$DO63) + $B$19*($DN63=$DO63))</f>
        <v>3.7037037037037035E-4</v>
      </c>
      <c r="FS63" s="10" cm="1">
        <f t="array" aca="1" ref="FS63" ca="1">(1-$B$18)*SUMPRODUCT(OFFSET($BO$15,0,0,$B$14,1), 1*(_xlfn._xlws.FILTER(OFFSET($O$15,0,$DN63,$B$8,1),OFFSET($M$15,0,0,$B$8,1))=FS$13), 1*(_xlfn._xlws.FILTER(OFFSET($O$15,0,$DO63,$B$8,1),OFFSET($M$15,0,0,$B$8,1))=FS$14))   /   SUM(OFFSET($BO$15,0,0,$B$14,1)) + $B$18/($B$19*$B$19*($DN63&lt;&gt;$DO63) + $B$19*($DN63=$DO63))</f>
        <v>3.7037037037037035E-4</v>
      </c>
      <c r="FT63" s="10" cm="1">
        <f t="array" aca="1" ref="FT63" ca="1">(1-$B$18)*SUMPRODUCT(OFFSET($BO$15,0,0,$B$14,1), 1*(_xlfn._xlws.FILTER(OFFSET($O$15,0,$DN63,$B$8,1),OFFSET($M$15,0,0,$B$8,1))=FT$13), 1*(_xlfn._xlws.FILTER(OFFSET($O$15,0,$DO63,$B$8,1),OFFSET($M$15,0,0,$B$8,1))=FT$14))   /   SUM(OFFSET($BO$15,0,0,$B$14,1)) + $B$18/($B$19*$B$19*($DN63&lt;&gt;$DO63) + $B$19*($DN63=$DO63))</f>
        <v>3.7037037037037035E-4</v>
      </c>
      <c r="FU63" s="10" cm="1">
        <f t="array" aca="1" ref="FU63" ca="1">(1-$B$18)*SUMPRODUCT(OFFSET($BO$15,0,0,$B$14,1), 1*(_xlfn._xlws.FILTER(OFFSET($O$15,0,$DN63,$B$8,1),OFFSET($M$15,0,0,$B$8,1))=FU$13), 1*(_xlfn._xlws.FILTER(OFFSET($O$15,0,$DO63,$B$8,1),OFFSET($M$15,0,0,$B$8,1))=FU$14))   /   SUM(OFFSET($BO$15,0,0,$B$14,1)) + $B$18/($B$19*$B$19*($DN63&lt;&gt;$DO63) + $B$19*($DN63=$DO63))</f>
        <v>3.7037037037037035E-4</v>
      </c>
      <c r="FV63" s="10" cm="1">
        <f t="array" aca="1" ref="FV63" ca="1">(1-$B$18)*SUMPRODUCT(OFFSET($BO$15,0,0,$B$14,1), 1*(_xlfn._xlws.FILTER(OFFSET($O$15,0,$DN63,$B$8,1),OFFSET($M$15,0,0,$B$8,1))=FV$13), 1*(_xlfn._xlws.FILTER(OFFSET($O$15,0,$DO63,$B$8,1),OFFSET($M$15,0,0,$B$8,1))=FV$14))   /   SUM(OFFSET($BO$15,0,0,$B$14,1)) + $B$18/($B$19*$B$19*($DN63&lt;&gt;$DO63) + $B$19*($DN63=$DO63))</f>
        <v>3.7037037037037035E-4</v>
      </c>
      <c r="FW63" s="10" cm="1">
        <f t="array" aca="1" ref="FW63" ca="1">(1-$B$18)*SUMPRODUCT(OFFSET($BO$15,0,0,$B$14,1), 1*(_xlfn._xlws.FILTER(OFFSET($O$15,0,$DN63,$B$8,1),OFFSET($M$15,0,0,$B$8,1))=FW$13), 1*(_xlfn._xlws.FILTER(OFFSET($O$15,0,$DO63,$B$8,1),OFFSET($M$15,0,0,$B$8,1))=FW$14))   /   SUM(OFFSET($BO$15,0,0,$B$14,1)) + $B$18/($B$19*$B$19*($DN63&lt;&gt;$DO63) + $B$19*($DN63=$DO63))</f>
        <v>3.7037037037037035E-4</v>
      </c>
      <c r="FX63" s="10" cm="1">
        <f t="array" aca="1" ref="FX63" ca="1">(1-$B$18)*SUMPRODUCT(OFFSET($BO$15,0,0,$B$14,1), 1*(_xlfn._xlws.FILTER(OFFSET($O$15,0,$DN63,$B$8,1),OFFSET($M$15,0,0,$B$8,1))=FX$13), 1*(_xlfn._xlws.FILTER(OFFSET($O$15,0,$DO63,$B$8,1),OFFSET($M$15,0,0,$B$8,1))=FX$14))   /   SUM(OFFSET($BO$15,0,0,$B$14,1)) + $B$18/($B$19*$B$19*($DN63&lt;&gt;$DO63) + $B$19*($DN63=$DO63))</f>
        <v>3.7037037037037035E-4</v>
      </c>
      <c r="FY63" s="10" cm="1">
        <f t="array" aca="1" ref="FY63" ca="1">(1-$B$18)*SUMPRODUCT(OFFSET($BO$15,0,0,$B$14,1), 1*(_xlfn._xlws.FILTER(OFFSET($O$15,0,$DN63,$B$8,1),OFFSET($M$15,0,0,$B$8,1))=FY$13), 1*(_xlfn._xlws.FILTER(OFFSET($O$15,0,$DO63,$B$8,1),OFFSET($M$15,0,0,$B$8,1))=FY$14))   /   SUM(OFFSET($BO$15,0,0,$B$14,1)) + $B$18/($B$19*$B$19*($DN63&lt;&gt;$DO63) + $B$19*($DN63=$DO63))</f>
        <v>3.7037037037037035E-4</v>
      </c>
      <c r="FZ63" s="10" cm="1">
        <f t="array" aca="1" ref="FZ63" ca="1">(1-$B$18)*SUMPRODUCT(OFFSET($BO$15,0,0,$B$14,1), 1*(_xlfn._xlws.FILTER(OFFSET($O$15,0,$DN63,$B$8,1),OFFSET($M$15,0,0,$B$8,1))=FZ$13), 1*(_xlfn._xlws.FILTER(OFFSET($O$15,0,$DO63,$B$8,1),OFFSET($M$15,0,0,$B$8,1))=FZ$14))   /   SUM(OFFSET($BO$15,0,0,$B$14,1)) + $B$18/($B$19*$B$19*($DN63&lt;&gt;$DO63) + $B$19*($DN63=$DO63))</f>
        <v>3.7037037037037035E-4</v>
      </c>
      <c r="GA63" s="10" cm="1">
        <f t="array" aca="1" ref="GA63" ca="1">(1-$B$18)*SUMPRODUCT(OFFSET($BO$15,0,0,$B$14,1), 1*(_xlfn._xlws.FILTER(OFFSET($O$15,0,$DN63,$B$8,1),OFFSET($M$15,0,0,$B$8,1))=GA$13), 1*(_xlfn._xlws.FILTER(OFFSET($O$15,0,$DO63,$B$8,1),OFFSET($M$15,0,0,$B$8,1))=GA$14))   /   SUM(OFFSET($BO$15,0,0,$B$14,1)) + $B$18/($B$19*$B$19*($DN63&lt;&gt;$DO63) + $B$19*($DN63=$DO63))</f>
        <v>3.7037037037037035E-4</v>
      </c>
    </row>
    <row r="64" spans="5:183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CX64">
        <f ca="1"/>
        <v>0.2</v>
      </c>
      <c r="CY64">
        <f ca="1"/>
        <v>0</v>
      </c>
      <c r="DN64" cm="1">
        <f t="array" aca="1" ref="DN64" ca="1">INDEX(_xlfn.ANCHORARRAY($CP$15), 1 + INT((ROWS($DO$15:$DO64) - 1) / ROWS(_xlfn.ANCHORARRAY($CP$15))))</f>
        <v>2</v>
      </c>
      <c r="DO64" cm="1">
        <f t="array" aca="1" ref="DO64" ca="1">INDEX(_xlfn.ANCHORARRAY($CP$15),1+MOD(ROWS($DO$15:$DO64)-1,ROWS(_xlfn.ANCHORARRAY($CP$15))))</f>
        <v>12</v>
      </c>
      <c r="DP64" s="10" cm="1">
        <f t="array" aca="1" ref="DP64" ca="1">(1-$B$18)*SUMPRODUCT(OFFSET($BO$15,0,0,$B$14,1), 1*(_xlfn._xlws.FILTER(OFFSET($O$15,0,$DN64,$B$8,1),OFFSET($M$15,0,0,$B$8,1))=DP$13), 1*(_xlfn._xlws.FILTER(OFFSET($O$15,0,$DO64,$B$8,1),OFFSET($M$15,0,0,$B$8,1))=DP$14))   /   SUM(OFFSET($BO$15,0,0,$B$14,1)) + $B$18/($B$19*$B$19*($DN64&lt;&gt;$DO64) + $B$19*($DN64=$DO64))</f>
        <v>3.7037037037037035E-4</v>
      </c>
      <c r="DQ64" s="10" cm="1">
        <f t="array" aca="1" ref="DQ64" ca="1">(1-$B$18)*SUMPRODUCT(OFFSET($BO$15,0,0,$B$14,1), 1*(_xlfn._xlws.FILTER(OFFSET($O$15,0,$DN64,$B$8,1),OFFSET($M$15,0,0,$B$8,1))=DQ$13), 1*(_xlfn._xlws.FILTER(OFFSET($O$15,0,$DO64,$B$8,1),OFFSET($M$15,0,0,$B$8,1))=DQ$14))   /   SUM(OFFSET($BO$15,0,0,$B$14,1)) + $B$18/($B$19*$B$19*($DN64&lt;&gt;$DO64) + $B$19*($DN64=$DO64))</f>
        <v>3.7037037037037035E-4</v>
      </c>
      <c r="DR64" s="10" cm="1">
        <f t="array" aca="1" ref="DR64" ca="1">(1-$B$18)*SUMPRODUCT(OFFSET($BO$15,0,0,$B$14,1), 1*(_xlfn._xlws.FILTER(OFFSET($O$15,0,$DN64,$B$8,1),OFFSET($M$15,0,0,$B$8,1))=DR$13), 1*(_xlfn._xlws.FILTER(OFFSET($O$15,0,$DO64,$B$8,1),OFFSET($M$15,0,0,$B$8,1))=DR$14))   /   SUM(OFFSET($BO$15,0,0,$B$14,1)) + $B$18/($B$19*$B$19*($DN64&lt;&gt;$DO64) + $B$19*($DN64=$DO64))</f>
        <v>3.7037037037037035E-4</v>
      </c>
      <c r="DS64" s="10" cm="1">
        <f t="array" aca="1" ref="DS64" ca="1">(1-$B$18)*SUMPRODUCT(OFFSET($BO$15,0,0,$B$14,1), 1*(_xlfn._xlws.FILTER(OFFSET($O$15,0,$DN64,$B$8,1),OFFSET($M$15,0,0,$B$8,1))=DS$13), 1*(_xlfn._xlws.FILTER(OFFSET($O$15,0,$DO64,$B$8,1),OFFSET($M$15,0,0,$B$8,1))=DS$14))   /   SUM(OFFSET($BO$15,0,0,$B$14,1)) + $B$18/($B$19*$B$19*($DN64&lt;&gt;$DO64) + $B$19*($DN64=$DO64))</f>
        <v>3.7037037037037035E-4</v>
      </c>
      <c r="DT64" s="10" cm="1">
        <f t="array" aca="1" ref="DT64" ca="1">(1-$B$18)*SUMPRODUCT(OFFSET($BO$15,0,0,$B$14,1), 1*(_xlfn._xlws.FILTER(OFFSET($O$15,0,$DN64,$B$8,1),OFFSET($M$15,0,0,$B$8,1))=DT$13), 1*(_xlfn._xlws.FILTER(OFFSET($O$15,0,$DO64,$B$8,1),OFFSET($M$15,0,0,$B$8,1))=DT$14))   /   SUM(OFFSET($BO$15,0,0,$B$14,1)) + $B$18/($B$19*$B$19*($DN64&lt;&gt;$DO64) + $B$19*($DN64=$DO64))</f>
        <v>3.7037037037037035E-4</v>
      </c>
      <c r="DU64" s="10" cm="1">
        <f t="array" aca="1" ref="DU64" ca="1">(1-$B$18)*SUMPRODUCT(OFFSET($BO$15,0,0,$B$14,1), 1*(_xlfn._xlws.FILTER(OFFSET($O$15,0,$DN64,$B$8,1),OFFSET($M$15,0,0,$B$8,1))=DU$13), 1*(_xlfn._xlws.FILTER(OFFSET($O$15,0,$DO64,$B$8,1),OFFSET($M$15,0,0,$B$8,1))=DU$14))   /   SUM(OFFSET($BO$15,0,0,$B$14,1)) + $B$18/($B$19*$B$19*($DN64&lt;&gt;$DO64) + $B$19*($DN64=$DO64))</f>
        <v>3.7037037037037035E-4</v>
      </c>
      <c r="DV64" s="10" cm="1">
        <f t="array" aca="1" ref="DV64" ca="1">(1-$B$18)*SUMPRODUCT(OFFSET($BO$15,0,0,$B$14,1), 1*(_xlfn._xlws.FILTER(OFFSET($O$15,0,$DN64,$B$8,1),OFFSET($M$15,0,0,$B$8,1))=DV$13), 1*(_xlfn._xlws.FILTER(OFFSET($O$15,0,$DO64,$B$8,1),OFFSET($M$15,0,0,$B$8,1))=DV$14))   /   SUM(OFFSET($BO$15,0,0,$B$14,1)) + $B$18/($B$19*$B$19*($DN64&lt;&gt;$DO64) + $B$19*($DN64=$DO64))</f>
        <v>3.7037037037037035E-4</v>
      </c>
      <c r="DW64" s="10" cm="1">
        <f t="array" aca="1" ref="DW64" ca="1">(1-$B$18)*SUMPRODUCT(OFFSET($BO$15,0,0,$B$14,1), 1*(_xlfn._xlws.FILTER(OFFSET($O$15,0,$DN64,$B$8,1),OFFSET($M$15,0,0,$B$8,1))=DW$13), 1*(_xlfn._xlws.FILTER(OFFSET($O$15,0,$DO64,$B$8,1),OFFSET($M$15,0,0,$B$8,1))=DW$14))   /   SUM(OFFSET($BO$15,0,0,$B$14,1)) + $B$18/($B$19*$B$19*($DN64&lt;&gt;$DO64) + $B$19*($DN64=$DO64))</f>
        <v>3.7037037037037035E-4</v>
      </c>
      <c r="DX64" s="10" cm="1">
        <f t="array" aca="1" ref="DX64" ca="1">(1-$B$18)*SUMPRODUCT(OFFSET($BO$15,0,0,$B$14,1), 1*(_xlfn._xlws.FILTER(OFFSET($O$15,0,$DN64,$B$8,1),OFFSET($M$15,0,0,$B$8,1))=DX$13), 1*(_xlfn._xlws.FILTER(OFFSET($O$15,0,$DO64,$B$8,1),OFFSET($M$15,0,0,$B$8,1))=DX$14))   /   SUM(OFFSET($BO$15,0,0,$B$14,1)) + $B$18/($B$19*$B$19*($DN64&lt;&gt;$DO64) + $B$19*($DN64=$DO64))</f>
        <v>3.7037037037037035E-4</v>
      </c>
      <c r="DY64" s="10" cm="1">
        <f t="array" aca="1" ref="DY64" ca="1">(1-$B$18)*SUMPRODUCT(OFFSET($BO$15,0,0,$B$14,1), 1*(_xlfn._xlws.FILTER(OFFSET($O$15,0,$DN64,$B$8,1),OFFSET($M$15,0,0,$B$8,1))=DY$13), 1*(_xlfn._xlws.FILTER(OFFSET($O$15,0,$DO64,$B$8,1),OFFSET($M$15,0,0,$B$8,1))=DY$14))   /   SUM(OFFSET($BO$15,0,0,$B$14,1)) + $B$18/($B$19*$B$19*($DN64&lt;&gt;$DO64) + $B$19*($DN64=$DO64))</f>
        <v>3.7037037037037035E-4</v>
      </c>
      <c r="DZ64" s="10" cm="1">
        <f t="array" aca="1" ref="DZ64" ca="1">(1-$B$18)*SUMPRODUCT(OFFSET($BO$15,0,0,$B$14,1), 1*(_xlfn._xlws.FILTER(OFFSET($O$15,0,$DN64,$B$8,1),OFFSET($M$15,0,0,$B$8,1))=DZ$13), 1*(_xlfn._xlws.FILTER(OFFSET($O$15,0,$DO64,$B$8,1),OFFSET($M$15,0,0,$B$8,1))=DZ$14))   /   SUM(OFFSET($BO$15,0,0,$B$14,1)) + $B$18/($B$19*$B$19*($DN64&lt;&gt;$DO64) + $B$19*($DN64=$DO64))</f>
        <v>3.7037037037037035E-4</v>
      </c>
      <c r="EA64" s="10" cm="1">
        <f t="array" aca="1" ref="EA64" ca="1">(1-$B$18)*SUMPRODUCT(OFFSET($BO$15,0,0,$B$14,1), 1*(_xlfn._xlws.FILTER(OFFSET($O$15,0,$DN64,$B$8,1),OFFSET($M$15,0,0,$B$8,1))=EA$13), 1*(_xlfn._xlws.FILTER(OFFSET($O$15,0,$DO64,$B$8,1),OFFSET($M$15,0,0,$B$8,1))=EA$14))   /   SUM(OFFSET($BO$15,0,0,$B$14,1)) + $B$18/($B$19*$B$19*($DN64&lt;&gt;$DO64) + $B$19*($DN64=$DO64))</f>
        <v>3.7037037037037035E-4</v>
      </c>
      <c r="EB64" s="10" cm="1">
        <f t="array" aca="1" ref="EB64" ca="1">(1-$B$18)*SUMPRODUCT(OFFSET($BO$15,0,0,$B$14,1), 1*(_xlfn._xlws.FILTER(OFFSET($O$15,0,$DN64,$B$8,1),OFFSET($M$15,0,0,$B$8,1))=EB$13), 1*(_xlfn._xlws.FILTER(OFFSET($O$15,0,$DO64,$B$8,1),OFFSET($M$15,0,0,$B$8,1))=EB$14))   /   SUM(OFFSET($BO$15,0,0,$B$14,1)) + $B$18/($B$19*$B$19*($DN64&lt;&gt;$DO64) + $B$19*($DN64=$DO64))</f>
        <v>3.7037037037037035E-4</v>
      </c>
      <c r="EC64" s="10" cm="1">
        <f t="array" aca="1" ref="EC64" ca="1">(1-$B$18)*SUMPRODUCT(OFFSET($BO$15,0,0,$B$14,1), 1*(_xlfn._xlws.FILTER(OFFSET($O$15,0,$DN64,$B$8,1),OFFSET($M$15,0,0,$B$8,1))=EC$13), 1*(_xlfn._xlws.FILTER(OFFSET($O$15,0,$DO64,$B$8,1),OFFSET($M$15,0,0,$B$8,1))=EC$14))   /   SUM(OFFSET($BO$15,0,0,$B$14,1)) + $B$18/($B$19*$B$19*($DN64&lt;&gt;$DO64) + $B$19*($DN64=$DO64))</f>
        <v>3.7037037037037035E-4</v>
      </c>
      <c r="ED64" s="10" cm="1">
        <f t="array" aca="1" ref="ED64" ca="1">(1-$B$18)*SUMPRODUCT(OFFSET($BO$15,0,0,$B$14,1), 1*(_xlfn._xlws.FILTER(OFFSET($O$15,0,$DN64,$B$8,1),OFFSET($M$15,0,0,$B$8,1))=ED$13), 1*(_xlfn._xlws.FILTER(OFFSET($O$15,0,$DO64,$B$8,1),OFFSET($M$15,0,0,$B$8,1))=ED$14))   /   SUM(OFFSET($BO$15,0,0,$B$14,1)) + $B$18/($B$19*$B$19*($DN64&lt;&gt;$DO64) + $B$19*($DN64=$DO64))</f>
        <v>3.7037037037037035E-4</v>
      </c>
      <c r="EE64" s="10" cm="1">
        <f t="array" aca="1" ref="EE64" ca="1">(1-$B$18)*SUMPRODUCT(OFFSET($BO$15,0,0,$B$14,1), 1*(_xlfn._xlws.FILTER(OFFSET($O$15,0,$DN64,$B$8,1),OFFSET($M$15,0,0,$B$8,1))=EE$13), 1*(_xlfn._xlws.FILTER(OFFSET($O$15,0,$DO64,$B$8,1),OFFSET($M$15,0,0,$B$8,1))=EE$14))   /   SUM(OFFSET($BO$15,0,0,$B$14,1)) + $B$18/($B$19*$B$19*($DN64&lt;&gt;$DO64) + $B$19*($DN64=$DO64))</f>
        <v>3.7037037037037035E-4</v>
      </c>
      <c r="EF64" s="10" cm="1">
        <f t="array" aca="1" ref="EF64" ca="1">(1-$B$18)*SUMPRODUCT(OFFSET($BO$15,0,0,$B$14,1), 1*(_xlfn._xlws.FILTER(OFFSET($O$15,0,$DN64,$B$8,1),OFFSET($M$15,0,0,$B$8,1))=EF$13), 1*(_xlfn._xlws.FILTER(OFFSET($O$15,0,$DO64,$B$8,1),OFFSET($M$15,0,0,$B$8,1))=EF$14))   /   SUM(OFFSET($BO$15,0,0,$B$14,1)) + $B$18/($B$19*$B$19*($DN64&lt;&gt;$DO64) + $B$19*($DN64=$DO64))</f>
        <v>3.7037037037037035E-4</v>
      </c>
      <c r="EG64" s="10" cm="1">
        <f t="array" aca="1" ref="EG64" ca="1">(1-$B$18)*SUMPRODUCT(OFFSET($BO$15,0,0,$B$14,1), 1*(_xlfn._xlws.FILTER(OFFSET($O$15,0,$DN64,$B$8,1),OFFSET($M$15,0,0,$B$8,1))=EG$13), 1*(_xlfn._xlws.FILTER(OFFSET($O$15,0,$DO64,$B$8,1),OFFSET($M$15,0,0,$B$8,1))=EG$14))   /   SUM(OFFSET($BO$15,0,0,$B$14,1)) + $B$18/($B$19*$B$19*($DN64&lt;&gt;$DO64) + $B$19*($DN64=$DO64))</f>
        <v>3.7037037037037035E-4</v>
      </c>
      <c r="EH64" s="10" cm="1">
        <f t="array" aca="1" ref="EH64" ca="1">(1-$B$18)*SUMPRODUCT(OFFSET($BO$15,0,0,$B$14,1), 1*(_xlfn._xlws.FILTER(OFFSET($O$15,0,$DN64,$B$8,1),OFFSET($M$15,0,0,$B$8,1))=EH$13), 1*(_xlfn._xlws.FILTER(OFFSET($O$15,0,$DO64,$B$8,1),OFFSET($M$15,0,0,$B$8,1))=EH$14))   /   SUM(OFFSET($BO$15,0,0,$B$14,1)) + $B$18/($B$19*$B$19*($DN64&lt;&gt;$DO64) + $B$19*($DN64=$DO64))</f>
        <v>3.7037037037037035E-4</v>
      </c>
      <c r="EI64" s="10" cm="1">
        <f t="array" aca="1" ref="EI64" ca="1">(1-$B$18)*SUMPRODUCT(OFFSET($BO$15,0,0,$B$14,1), 1*(_xlfn._xlws.FILTER(OFFSET($O$15,0,$DN64,$B$8,1),OFFSET($M$15,0,0,$B$8,1))=EI$13), 1*(_xlfn._xlws.FILTER(OFFSET($O$15,0,$DO64,$B$8,1),OFFSET($M$15,0,0,$B$8,1))=EI$14))   /   SUM(OFFSET($BO$15,0,0,$B$14,1)) + $B$18/($B$19*$B$19*($DN64&lt;&gt;$DO64) + $B$19*($DN64=$DO64))</f>
        <v>3.7037037037037035E-4</v>
      </c>
      <c r="EJ64" s="10" cm="1">
        <f t="array" aca="1" ref="EJ64" ca="1">(1-$B$18)*SUMPRODUCT(OFFSET($BO$15,0,0,$B$14,1), 1*(_xlfn._xlws.FILTER(OFFSET($O$15,0,$DN64,$B$8,1),OFFSET($M$15,0,0,$B$8,1))=EJ$13), 1*(_xlfn._xlws.FILTER(OFFSET($O$15,0,$DO64,$B$8,1),OFFSET($M$15,0,0,$B$8,1))=EJ$14))   /   SUM(OFFSET($BO$15,0,0,$B$14,1)) + $B$18/($B$19*$B$19*($DN64&lt;&gt;$DO64) + $B$19*($DN64=$DO64))</f>
        <v>3.7037037037037035E-4</v>
      </c>
      <c r="EK64" s="10" cm="1">
        <f t="array" aca="1" ref="EK64" ca="1">(1-$B$18)*SUMPRODUCT(OFFSET($BO$15,0,0,$B$14,1), 1*(_xlfn._xlws.FILTER(OFFSET($O$15,0,$DN64,$B$8,1),OFFSET($M$15,0,0,$B$8,1))=EK$13), 1*(_xlfn._xlws.FILTER(OFFSET($O$15,0,$DO64,$B$8,1),OFFSET($M$15,0,0,$B$8,1))=EK$14))   /   SUM(OFFSET($BO$15,0,0,$B$14,1)) + $B$18/($B$19*$B$19*($DN64&lt;&gt;$DO64) + $B$19*($DN64=$DO64))</f>
        <v>3.7037037037037035E-4</v>
      </c>
      <c r="EL64" s="10" cm="1">
        <f t="array" aca="1" ref="EL64" ca="1">(1-$B$18)*SUMPRODUCT(OFFSET($BO$15,0,0,$B$14,1), 1*(_xlfn._xlws.FILTER(OFFSET($O$15,0,$DN64,$B$8,1),OFFSET($M$15,0,0,$B$8,1))=EL$13), 1*(_xlfn._xlws.FILTER(OFFSET($O$15,0,$DO64,$B$8,1),OFFSET($M$15,0,0,$B$8,1))=EL$14))   /   SUM(OFFSET($BO$15,0,0,$B$14,1)) + $B$18/($B$19*$B$19*($DN64&lt;&gt;$DO64) + $B$19*($DN64=$DO64))</f>
        <v>3.7037037037037035E-4</v>
      </c>
      <c r="EM64" s="10" cm="1">
        <f t="array" aca="1" ref="EM64" ca="1">(1-$B$18)*SUMPRODUCT(OFFSET($BO$15,0,0,$B$14,1), 1*(_xlfn._xlws.FILTER(OFFSET($O$15,0,$DN64,$B$8,1),OFFSET($M$15,0,0,$B$8,1))=EM$13), 1*(_xlfn._xlws.FILTER(OFFSET($O$15,0,$DO64,$B$8,1),OFFSET($M$15,0,0,$B$8,1))=EM$14))   /   SUM(OFFSET($BO$15,0,0,$B$14,1)) + $B$18/($B$19*$B$19*($DN64&lt;&gt;$DO64) + $B$19*($DN64=$DO64))</f>
        <v>3.7037037037037035E-4</v>
      </c>
      <c r="EN64" s="10" cm="1">
        <f t="array" aca="1" ref="EN64" ca="1">(1-$B$18)*SUMPRODUCT(OFFSET($BO$15,0,0,$B$14,1), 1*(_xlfn._xlws.FILTER(OFFSET($O$15,0,$DN64,$B$8,1),OFFSET($M$15,0,0,$B$8,1))=EN$13), 1*(_xlfn._xlws.FILTER(OFFSET($O$15,0,$DO64,$B$8,1),OFFSET($M$15,0,0,$B$8,1))=EN$14))   /   SUM(OFFSET($BO$15,0,0,$B$14,1)) + $B$18/($B$19*$B$19*($DN64&lt;&gt;$DO64) + $B$19*($DN64=$DO64))</f>
        <v>3.7037037037037035E-4</v>
      </c>
      <c r="EO64" s="10" cm="1">
        <f t="array" aca="1" ref="EO64" ca="1">(1-$B$18)*SUMPRODUCT(OFFSET($BO$15,0,0,$B$14,1), 1*(_xlfn._xlws.FILTER(OFFSET($O$15,0,$DN64,$B$8,1),OFFSET($M$15,0,0,$B$8,1))=EO$13), 1*(_xlfn._xlws.FILTER(OFFSET($O$15,0,$DO64,$B$8,1),OFFSET($M$15,0,0,$B$8,1))=EO$14))   /   SUM(OFFSET($BO$15,0,0,$B$14,1)) + $B$18/($B$19*$B$19*($DN64&lt;&gt;$DO64) + $B$19*($DN64=$DO64))</f>
        <v>3.7037037037037035E-4</v>
      </c>
      <c r="EP64" s="10" cm="1">
        <f t="array" aca="1" ref="EP64" ca="1">(1-$B$18)*SUMPRODUCT(OFFSET($BO$15,0,0,$B$14,1), 1*(_xlfn._xlws.FILTER(OFFSET($O$15,0,$DN64,$B$8,1),OFFSET($M$15,0,0,$B$8,1))=EP$13), 1*(_xlfn._xlws.FILTER(OFFSET($O$15,0,$DO64,$B$8,1),OFFSET($M$15,0,0,$B$8,1))=EP$14))   /   SUM(OFFSET($BO$15,0,0,$B$14,1)) + $B$18/($B$19*$B$19*($DN64&lt;&gt;$DO64) + $B$19*($DN64=$DO64))</f>
        <v>3.7037037037037035E-4</v>
      </c>
      <c r="EQ64" s="10" cm="1">
        <f t="array" aca="1" ref="EQ64" ca="1">(1-$B$18)*SUMPRODUCT(OFFSET($BO$15,0,0,$B$14,1), 1*(_xlfn._xlws.FILTER(OFFSET($O$15,0,$DN64,$B$8,1),OFFSET($M$15,0,0,$B$8,1))=EQ$13), 1*(_xlfn._xlws.FILTER(OFFSET($O$15,0,$DO64,$B$8,1),OFFSET($M$15,0,0,$B$8,1))=EQ$14))   /   SUM(OFFSET($BO$15,0,0,$B$14,1)) + $B$18/($B$19*$B$19*($DN64&lt;&gt;$DO64) + $B$19*($DN64=$DO64))</f>
        <v>3.7037037037037035E-4</v>
      </c>
      <c r="ER64" s="10" cm="1">
        <f t="array" aca="1" ref="ER64" ca="1">(1-$B$18)*SUMPRODUCT(OFFSET($BO$15,0,0,$B$14,1), 1*(_xlfn._xlws.FILTER(OFFSET($O$15,0,$DN64,$B$8,1),OFFSET($M$15,0,0,$B$8,1))=ER$13), 1*(_xlfn._xlws.FILTER(OFFSET($O$15,0,$DO64,$B$8,1),OFFSET($M$15,0,0,$B$8,1))=ER$14))   /   SUM(OFFSET($BO$15,0,0,$B$14,1)) + $B$18/($B$19*$B$19*($DN64&lt;&gt;$DO64) + $B$19*($DN64=$DO64))</f>
        <v>3.7037037037037035E-4</v>
      </c>
      <c r="ES64" s="10" cm="1">
        <f t="array" aca="1" ref="ES64" ca="1">(1-$B$18)*SUMPRODUCT(OFFSET($BO$15,0,0,$B$14,1), 1*(_xlfn._xlws.FILTER(OFFSET($O$15,0,$DN64,$B$8,1),OFFSET($M$15,0,0,$B$8,1))=ES$13), 1*(_xlfn._xlws.FILTER(OFFSET($O$15,0,$DO64,$B$8,1),OFFSET($M$15,0,0,$B$8,1))=ES$14))   /   SUM(OFFSET($BO$15,0,0,$B$14,1)) + $B$18/($B$19*$B$19*($DN64&lt;&gt;$DO64) + $B$19*($DN64=$DO64))</f>
        <v>3.7037037037037035E-4</v>
      </c>
      <c r="ET64" s="10" cm="1">
        <f t="array" aca="1" ref="ET64" ca="1">(1-$B$18)*SUMPRODUCT(OFFSET($BO$15,0,0,$B$14,1), 1*(_xlfn._xlws.FILTER(OFFSET($O$15,0,$DN64,$B$8,1),OFFSET($M$15,0,0,$B$8,1))=ET$13), 1*(_xlfn._xlws.FILTER(OFFSET($O$15,0,$DO64,$B$8,1),OFFSET($M$15,0,0,$B$8,1))=ET$14))   /   SUM(OFFSET($BO$15,0,0,$B$14,1)) + $B$18/($B$19*$B$19*($DN64&lt;&gt;$DO64) + $B$19*($DN64=$DO64))</f>
        <v>3.7037037037037035E-4</v>
      </c>
      <c r="EU64" s="10" cm="1">
        <f t="array" aca="1" ref="EU64" ca="1">(1-$B$18)*SUMPRODUCT(OFFSET($BO$15,0,0,$B$14,1), 1*(_xlfn._xlws.FILTER(OFFSET($O$15,0,$DN64,$B$8,1),OFFSET($M$15,0,0,$B$8,1))=EU$13), 1*(_xlfn._xlws.FILTER(OFFSET($O$15,0,$DO64,$B$8,1),OFFSET($M$15,0,0,$B$8,1))=EU$14))   /   SUM(OFFSET($BO$15,0,0,$B$14,1)) + $B$18/($B$19*$B$19*($DN64&lt;&gt;$DO64) + $B$19*($DN64=$DO64))</f>
        <v>3.7037037037037035E-4</v>
      </c>
      <c r="EV64" s="10" cm="1">
        <f t="array" aca="1" ref="EV64" ca="1">(1-$B$18)*SUMPRODUCT(OFFSET($BO$15,0,0,$B$14,1), 1*(_xlfn._xlws.FILTER(OFFSET($O$15,0,$DN64,$B$8,1),OFFSET($M$15,0,0,$B$8,1))=EV$13), 1*(_xlfn._xlws.FILTER(OFFSET($O$15,0,$DO64,$B$8,1),OFFSET($M$15,0,0,$B$8,1))=EV$14))   /   SUM(OFFSET($BO$15,0,0,$B$14,1)) + $B$18/($B$19*$B$19*($DN64&lt;&gt;$DO64) + $B$19*($DN64=$DO64))</f>
        <v>3.7037037037037035E-4</v>
      </c>
      <c r="EW64" s="10" cm="1">
        <f t="array" aca="1" ref="EW64" ca="1">(1-$B$18)*SUMPRODUCT(OFFSET($BO$15,0,0,$B$14,1), 1*(_xlfn._xlws.FILTER(OFFSET($O$15,0,$DN64,$B$8,1),OFFSET($M$15,0,0,$B$8,1))=EW$13), 1*(_xlfn._xlws.FILTER(OFFSET($O$15,0,$DO64,$B$8,1),OFFSET($M$15,0,0,$B$8,1))=EW$14))   /   SUM(OFFSET($BO$15,0,0,$B$14,1)) + $B$18/($B$19*$B$19*($DN64&lt;&gt;$DO64) + $B$19*($DN64=$DO64))</f>
        <v>3.7037037037037035E-4</v>
      </c>
      <c r="EX64" s="10" cm="1">
        <f t="array" aca="1" ref="EX64" ca="1">(1-$B$18)*SUMPRODUCT(OFFSET($BO$15,0,0,$B$14,1), 1*(_xlfn._xlws.FILTER(OFFSET($O$15,0,$DN64,$B$8,1),OFFSET($M$15,0,0,$B$8,1))=EX$13), 1*(_xlfn._xlws.FILTER(OFFSET($O$15,0,$DO64,$B$8,1),OFFSET($M$15,0,0,$B$8,1))=EX$14))   /   SUM(OFFSET($BO$15,0,0,$B$14,1)) + $B$18/($B$19*$B$19*($DN64&lt;&gt;$DO64) + $B$19*($DN64=$DO64))</f>
        <v>3.7037037037037035E-4</v>
      </c>
      <c r="EY64" s="10" cm="1">
        <f t="array" aca="1" ref="EY64" ca="1">(1-$B$18)*SUMPRODUCT(OFFSET($BO$15,0,0,$B$14,1), 1*(_xlfn._xlws.FILTER(OFFSET($O$15,0,$DN64,$B$8,1),OFFSET($M$15,0,0,$B$8,1))=EY$13), 1*(_xlfn._xlws.FILTER(OFFSET($O$15,0,$DO64,$B$8,1),OFFSET($M$15,0,0,$B$8,1))=EY$14))   /   SUM(OFFSET($BO$15,0,0,$B$14,1)) + $B$18/($B$19*$B$19*($DN64&lt;&gt;$DO64) + $B$19*($DN64=$DO64))</f>
        <v>3.7037037037037035E-4</v>
      </c>
      <c r="EZ64" s="10" cm="1">
        <f t="array" aca="1" ref="EZ64" ca="1">(1-$B$18)*SUMPRODUCT(OFFSET($BO$15,0,0,$B$14,1), 1*(_xlfn._xlws.FILTER(OFFSET($O$15,0,$DN64,$B$8,1),OFFSET($M$15,0,0,$B$8,1))=EZ$13), 1*(_xlfn._xlws.FILTER(OFFSET($O$15,0,$DO64,$B$8,1),OFFSET($M$15,0,0,$B$8,1))=EZ$14))   /   SUM(OFFSET($BO$15,0,0,$B$14,1)) + $B$18/($B$19*$B$19*($DN64&lt;&gt;$DO64) + $B$19*($DN64=$DO64))</f>
        <v>3.7037037037037035E-4</v>
      </c>
      <c r="FA64" s="10" cm="1">
        <f t="array" aca="1" ref="FA64" ca="1">(1-$B$18)*SUMPRODUCT(OFFSET($BO$15,0,0,$B$14,1), 1*(_xlfn._xlws.FILTER(OFFSET($O$15,0,$DN64,$B$8,1),OFFSET($M$15,0,0,$B$8,1))=FA$13), 1*(_xlfn._xlws.FILTER(OFFSET($O$15,0,$DO64,$B$8,1),OFFSET($M$15,0,0,$B$8,1))=FA$14))   /   SUM(OFFSET($BO$15,0,0,$B$14,1)) + $B$18/($B$19*$B$19*($DN64&lt;&gt;$DO64) + $B$19*($DN64=$DO64))</f>
        <v>3.7037037037037035E-4</v>
      </c>
      <c r="FB64" s="10" cm="1">
        <f t="array" aca="1" ref="FB64" ca="1">(1-$B$18)*SUMPRODUCT(OFFSET($BO$15,0,0,$B$14,1), 1*(_xlfn._xlws.FILTER(OFFSET($O$15,0,$DN64,$B$8,1),OFFSET($M$15,0,0,$B$8,1))=FB$13), 1*(_xlfn._xlws.FILTER(OFFSET($O$15,0,$DO64,$B$8,1),OFFSET($M$15,0,0,$B$8,1))=FB$14))   /   SUM(OFFSET($BO$15,0,0,$B$14,1)) + $B$18/($B$19*$B$19*($DN64&lt;&gt;$DO64) + $B$19*($DN64=$DO64))</f>
        <v>3.7037037037037035E-4</v>
      </c>
      <c r="FC64" s="10" cm="1">
        <f t="array" aca="1" ref="FC64" ca="1">(1-$B$18)*SUMPRODUCT(OFFSET($BO$15,0,0,$B$14,1), 1*(_xlfn._xlws.FILTER(OFFSET($O$15,0,$DN64,$B$8,1),OFFSET($M$15,0,0,$B$8,1))=FC$13), 1*(_xlfn._xlws.FILTER(OFFSET($O$15,0,$DO64,$B$8,1),OFFSET($M$15,0,0,$B$8,1))=FC$14))   /   SUM(OFFSET($BO$15,0,0,$B$14,1)) + $B$18/($B$19*$B$19*($DN64&lt;&gt;$DO64) + $B$19*($DN64=$DO64))</f>
        <v>3.7037037037037035E-4</v>
      </c>
      <c r="FD64" s="10" cm="1">
        <f t="array" aca="1" ref="FD64" ca="1">(1-$B$18)*SUMPRODUCT(OFFSET($BO$15,0,0,$B$14,1), 1*(_xlfn._xlws.FILTER(OFFSET($O$15,0,$DN64,$B$8,1),OFFSET($M$15,0,0,$B$8,1))=FD$13), 1*(_xlfn._xlws.FILTER(OFFSET($O$15,0,$DO64,$B$8,1),OFFSET($M$15,0,0,$B$8,1))=FD$14))   /   SUM(OFFSET($BO$15,0,0,$B$14,1)) + $B$18/($B$19*$B$19*($DN64&lt;&gt;$DO64) + $B$19*($DN64=$DO64))</f>
        <v>3.7037037037037035E-4</v>
      </c>
      <c r="FE64" s="10" cm="1">
        <f t="array" aca="1" ref="FE64" ca="1">(1-$B$18)*SUMPRODUCT(OFFSET($BO$15,0,0,$B$14,1), 1*(_xlfn._xlws.FILTER(OFFSET($O$15,0,$DN64,$B$8,1),OFFSET($M$15,0,0,$B$8,1))=FE$13), 1*(_xlfn._xlws.FILTER(OFFSET($O$15,0,$DO64,$B$8,1),OFFSET($M$15,0,0,$B$8,1))=FE$14))   /   SUM(OFFSET($BO$15,0,0,$B$14,1)) + $B$18/($B$19*$B$19*($DN64&lt;&gt;$DO64) + $B$19*($DN64=$DO64))</f>
        <v>3.7037037037037035E-4</v>
      </c>
      <c r="FF64" s="10" cm="1">
        <f t="array" aca="1" ref="FF64" ca="1">(1-$B$18)*SUMPRODUCT(OFFSET($BO$15,0,0,$B$14,1), 1*(_xlfn._xlws.FILTER(OFFSET($O$15,0,$DN64,$B$8,1),OFFSET($M$15,0,0,$B$8,1))=FF$13), 1*(_xlfn._xlws.FILTER(OFFSET($O$15,0,$DO64,$B$8,1),OFFSET($M$15,0,0,$B$8,1))=FF$14))   /   SUM(OFFSET($BO$15,0,0,$B$14,1)) + $B$18/($B$19*$B$19*($DN64&lt;&gt;$DO64) + $B$19*($DN64=$DO64))</f>
        <v>3.7037037037037035E-4</v>
      </c>
      <c r="FG64" s="10" cm="1">
        <f t="array" aca="1" ref="FG64" ca="1">(1-$B$18)*SUMPRODUCT(OFFSET($BO$15,0,0,$B$14,1), 1*(_xlfn._xlws.FILTER(OFFSET($O$15,0,$DN64,$B$8,1),OFFSET($M$15,0,0,$B$8,1))=FG$13), 1*(_xlfn._xlws.FILTER(OFFSET($O$15,0,$DO64,$B$8,1),OFFSET($M$15,0,0,$B$8,1))=FG$14))   /   SUM(OFFSET($BO$15,0,0,$B$14,1)) + $B$18/($B$19*$B$19*($DN64&lt;&gt;$DO64) + $B$19*($DN64=$DO64))</f>
        <v>3.7037037037037035E-4</v>
      </c>
      <c r="FH64" s="10" cm="1">
        <f t="array" aca="1" ref="FH64" ca="1">(1-$B$18)*SUMPRODUCT(OFFSET($BO$15,0,0,$B$14,1), 1*(_xlfn._xlws.FILTER(OFFSET($O$15,0,$DN64,$B$8,1),OFFSET($M$15,0,0,$B$8,1))=FH$13), 1*(_xlfn._xlws.FILTER(OFFSET($O$15,0,$DO64,$B$8,1),OFFSET($M$15,0,0,$B$8,1))=FH$14))   /   SUM(OFFSET($BO$15,0,0,$B$14,1)) + $B$18/($B$19*$B$19*($DN64&lt;&gt;$DO64) + $B$19*($DN64=$DO64))</f>
        <v>3.7037037037037035E-4</v>
      </c>
      <c r="FI64" s="10" cm="1">
        <f t="array" aca="1" ref="FI64" ca="1">(1-$B$18)*SUMPRODUCT(OFFSET($BO$15,0,0,$B$14,1), 1*(_xlfn._xlws.FILTER(OFFSET($O$15,0,$DN64,$B$8,1),OFFSET($M$15,0,0,$B$8,1))=FI$13), 1*(_xlfn._xlws.FILTER(OFFSET($O$15,0,$DO64,$B$8,1),OFFSET($M$15,0,0,$B$8,1))=FI$14))   /   SUM(OFFSET($BO$15,0,0,$B$14,1)) + $B$18/($B$19*$B$19*($DN64&lt;&gt;$DO64) + $B$19*($DN64=$DO64))</f>
        <v>3.7037037037037035E-4</v>
      </c>
      <c r="FJ64" s="10" cm="1">
        <f t="array" aca="1" ref="FJ64" ca="1">(1-$B$18)*SUMPRODUCT(OFFSET($BO$15,0,0,$B$14,1), 1*(_xlfn._xlws.FILTER(OFFSET($O$15,0,$DN64,$B$8,1),OFFSET($M$15,0,0,$B$8,1))=FJ$13), 1*(_xlfn._xlws.FILTER(OFFSET($O$15,0,$DO64,$B$8,1),OFFSET($M$15,0,0,$B$8,1))=FJ$14))   /   SUM(OFFSET($BO$15,0,0,$B$14,1)) + $B$18/($B$19*$B$19*($DN64&lt;&gt;$DO64) + $B$19*($DN64=$DO64))</f>
        <v>3.7037037037037035E-4</v>
      </c>
      <c r="FK64" s="10" cm="1">
        <f t="array" aca="1" ref="FK64" ca="1">(1-$B$18)*SUMPRODUCT(OFFSET($BO$15,0,0,$B$14,1), 1*(_xlfn._xlws.FILTER(OFFSET($O$15,0,$DN64,$B$8,1),OFFSET($M$15,0,0,$B$8,1))=FK$13), 1*(_xlfn._xlws.FILTER(OFFSET($O$15,0,$DO64,$B$8,1),OFFSET($M$15,0,0,$B$8,1))=FK$14))   /   SUM(OFFSET($BO$15,0,0,$B$14,1)) + $B$18/($B$19*$B$19*($DN64&lt;&gt;$DO64) + $B$19*($DN64=$DO64))</f>
        <v>3.7037037037037035E-4</v>
      </c>
      <c r="FL64" s="10" cm="1">
        <f t="array" aca="1" ref="FL64" ca="1">(1-$B$18)*SUMPRODUCT(OFFSET($BO$15,0,0,$B$14,1), 1*(_xlfn._xlws.FILTER(OFFSET($O$15,0,$DN64,$B$8,1),OFFSET($M$15,0,0,$B$8,1))=FL$13), 1*(_xlfn._xlws.FILTER(OFFSET($O$15,0,$DO64,$B$8,1),OFFSET($M$15,0,0,$B$8,1))=FL$14))   /   SUM(OFFSET($BO$15,0,0,$B$14,1)) + $B$18/($B$19*$B$19*($DN64&lt;&gt;$DO64) + $B$19*($DN64=$DO64))</f>
        <v>3.7037037037037035E-4</v>
      </c>
      <c r="FM64" s="10" cm="1">
        <f t="array" aca="1" ref="FM64" ca="1">(1-$B$18)*SUMPRODUCT(OFFSET($BO$15,0,0,$B$14,1), 1*(_xlfn._xlws.FILTER(OFFSET($O$15,0,$DN64,$B$8,1),OFFSET($M$15,0,0,$B$8,1))=FM$13), 1*(_xlfn._xlws.FILTER(OFFSET($O$15,0,$DO64,$B$8,1),OFFSET($M$15,0,0,$B$8,1))=FM$14))   /   SUM(OFFSET($BO$15,0,0,$B$14,1)) + $B$18/($B$19*$B$19*($DN64&lt;&gt;$DO64) + $B$19*($DN64=$DO64))</f>
        <v>0.97037037037037033</v>
      </c>
      <c r="FN64" s="10" cm="1">
        <f t="array" aca="1" ref="FN64" ca="1">(1-$B$18)*SUMPRODUCT(OFFSET($BO$15,0,0,$B$14,1), 1*(_xlfn._xlws.FILTER(OFFSET($O$15,0,$DN64,$B$8,1),OFFSET($M$15,0,0,$B$8,1))=FN$13), 1*(_xlfn._xlws.FILTER(OFFSET($O$15,0,$DO64,$B$8,1),OFFSET($M$15,0,0,$B$8,1))=FN$14))   /   SUM(OFFSET($BO$15,0,0,$B$14,1)) + $B$18/($B$19*$B$19*($DN64&lt;&gt;$DO64) + $B$19*($DN64=$DO64))</f>
        <v>3.7037037037037035E-4</v>
      </c>
      <c r="FO64" s="10" cm="1">
        <f t="array" aca="1" ref="FO64" ca="1">(1-$B$18)*SUMPRODUCT(OFFSET($BO$15,0,0,$B$14,1), 1*(_xlfn._xlws.FILTER(OFFSET($O$15,0,$DN64,$B$8,1),OFFSET($M$15,0,0,$B$8,1))=FO$13), 1*(_xlfn._xlws.FILTER(OFFSET($O$15,0,$DO64,$B$8,1),OFFSET($M$15,0,0,$B$8,1))=FO$14))   /   SUM(OFFSET($BO$15,0,0,$B$14,1)) + $B$18/($B$19*$B$19*($DN64&lt;&gt;$DO64) + $B$19*($DN64=$DO64))</f>
        <v>3.7037037037037035E-4</v>
      </c>
      <c r="FP64" s="10" cm="1">
        <f t="array" aca="1" ref="FP64" ca="1">(1-$B$18)*SUMPRODUCT(OFFSET($BO$15,0,0,$B$14,1), 1*(_xlfn._xlws.FILTER(OFFSET($O$15,0,$DN64,$B$8,1),OFFSET($M$15,0,0,$B$8,1))=FP$13), 1*(_xlfn._xlws.FILTER(OFFSET($O$15,0,$DO64,$B$8,1),OFFSET($M$15,0,0,$B$8,1))=FP$14))   /   SUM(OFFSET($BO$15,0,0,$B$14,1)) + $B$18/($B$19*$B$19*($DN64&lt;&gt;$DO64) + $B$19*($DN64=$DO64))</f>
        <v>3.7037037037037035E-4</v>
      </c>
      <c r="FQ64" s="10" cm="1">
        <f t="array" aca="1" ref="FQ64" ca="1">(1-$B$18)*SUMPRODUCT(OFFSET($BO$15,0,0,$B$14,1), 1*(_xlfn._xlws.FILTER(OFFSET($O$15,0,$DN64,$B$8,1),OFFSET($M$15,0,0,$B$8,1))=FQ$13), 1*(_xlfn._xlws.FILTER(OFFSET($O$15,0,$DO64,$B$8,1),OFFSET($M$15,0,0,$B$8,1))=FQ$14))   /   SUM(OFFSET($BO$15,0,0,$B$14,1)) + $B$18/($B$19*$B$19*($DN64&lt;&gt;$DO64) + $B$19*($DN64=$DO64))</f>
        <v>3.7037037037037035E-4</v>
      </c>
      <c r="FR64" s="10" cm="1">
        <f t="array" aca="1" ref="FR64" ca="1">(1-$B$18)*SUMPRODUCT(OFFSET($BO$15,0,0,$B$14,1), 1*(_xlfn._xlws.FILTER(OFFSET($O$15,0,$DN64,$B$8,1),OFFSET($M$15,0,0,$B$8,1))=FR$13), 1*(_xlfn._xlws.FILTER(OFFSET($O$15,0,$DO64,$B$8,1),OFFSET($M$15,0,0,$B$8,1))=FR$14))   /   SUM(OFFSET($BO$15,0,0,$B$14,1)) + $B$18/($B$19*$B$19*($DN64&lt;&gt;$DO64) + $B$19*($DN64=$DO64))</f>
        <v>3.7037037037037035E-4</v>
      </c>
      <c r="FS64" s="10" cm="1">
        <f t="array" aca="1" ref="FS64" ca="1">(1-$B$18)*SUMPRODUCT(OFFSET($BO$15,0,0,$B$14,1), 1*(_xlfn._xlws.FILTER(OFFSET($O$15,0,$DN64,$B$8,1),OFFSET($M$15,0,0,$B$8,1))=FS$13), 1*(_xlfn._xlws.FILTER(OFFSET($O$15,0,$DO64,$B$8,1),OFFSET($M$15,0,0,$B$8,1))=FS$14))   /   SUM(OFFSET($BO$15,0,0,$B$14,1)) + $B$18/($B$19*$B$19*($DN64&lt;&gt;$DO64) + $B$19*($DN64=$DO64))</f>
        <v>3.7037037037037035E-4</v>
      </c>
      <c r="FT64" s="10" cm="1">
        <f t="array" aca="1" ref="FT64" ca="1">(1-$B$18)*SUMPRODUCT(OFFSET($BO$15,0,0,$B$14,1), 1*(_xlfn._xlws.FILTER(OFFSET($O$15,0,$DN64,$B$8,1),OFFSET($M$15,0,0,$B$8,1))=FT$13), 1*(_xlfn._xlws.FILTER(OFFSET($O$15,0,$DO64,$B$8,1),OFFSET($M$15,0,0,$B$8,1))=FT$14))   /   SUM(OFFSET($BO$15,0,0,$B$14,1)) + $B$18/($B$19*$B$19*($DN64&lt;&gt;$DO64) + $B$19*($DN64=$DO64))</f>
        <v>3.7037037037037035E-4</v>
      </c>
      <c r="FU64" s="10" cm="1">
        <f t="array" aca="1" ref="FU64" ca="1">(1-$B$18)*SUMPRODUCT(OFFSET($BO$15,0,0,$B$14,1), 1*(_xlfn._xlws.FILTER(OFFSET($O$15,0,$DN64,$B$8,1),OFFSET($M$15,0,0,$B$8,1))=FU$13), 1*(_xlfn._xlws.FILTER(OFFSET($O$15,0,$DO64,$B$8,1),OFFSET($M$15,0,0,$B$8,1))=FU$14))   /   SUM(OFFSET($BO$15,0,0,$B$14,1)) + $B$18/($B$19*$B$19*($DN64&lt;&gt;$DO64) + $B$19*($DN64=$DO64))</f>
        <v>3.7037037037037035E-4</v>
      </c>
      <c r="FV64" s="10" cm="1">
        <f t="array" aca="1" ref="FV64" ca="1">(1-$B$18)*SUMPRODUCT(OFFSET($BO$15,0,0,$B$14,1), 1*(_xlfn._xlws.FILTER(OFFSET($O$15,0,$DN64,$B$8,1),OFFSET($M$15,0,0,$B$8,1))=FV$13), 1*(_xlfn._xlws.FILTER(OFFSET($O$15,0,$DO64,$B$8,1),OFFSET($M$15,0,0,$B$8,1))=FV$14))   /   SUM(OFFSET($BO$15,0,0,$B$14,1)) + $B$18/($B$19*$B$19*($DN64&lt;&gt;$DO64) + $B$19*($DN64=$DO64))</f>
        <v>3.7037037037037035E-4</v>
      </c>
      <c r="FW64" s="10" cm="1">
        <f t="array" aca="1" ref="FW64" ca="1">(1-$B$18)*SUMPRODUCT(OFFSET($BO$15,0,0,$B$14,1), 1*(_xlfn._xlws.FILTER(OFFSET($O$15,0,$DN64,$B$8,1),OFFSET($M$15,0,0,$B$8,1))=FW$13), 1*(_xlfn._xlws.FILTER(OFFSET($O$15,0,$DO64,$B$8,1),OFFSET($M$15,0,0,$B$8,1))=FW$14))   /   SUM(OFFSET($BO$15,0,0,$B$14,1)) + $B$18/($B$19*$B$19*($DN64&lt;&gt;$DO64) + $B$19*($DN64=$DO64))</f>
        <v>3.7037037037037035E-4</v>
      </c>
      <c r="FX64" s="10" cm="1">
        <f t="array" aca="1" ref="FX64" ca="1">(1-$B$18)*SUMPRODUCT(OFFSET($BO$15,0,0,$B$14,1), 1*(_xlfn._xlws.FILTER(OFFSET($O$15,0,$DN64,$B$8,1),OFFSET($M$15,0,0,$B$8,1))=FX$13), 1*(_xlfn._xlws.FILTER(OFFSET($O$15,0,$DO64,$B$8,1),OFFSET($M$15,0,0,$B$8,1))=FX$14))   /   SUM(OFFSET($BO$15,0,0,$B$14,1)) + $B$18/($B$19*$B$19*($DN64&lt;&gt;$DO64) + $B$19*($DN64=$DO64))</f>
        <v>3.7037037037037035E-4</v>
      </c>
      <c r="FY64" s="10" cm="1">
        <f t="array" aca="1" ref="FY64" ca="1">(1-$B$18)*SUMPRODUCT(OFFSET($BO$15,0,0,$B$14,1), 1*(_xlfn._xlws.FILTER(OFFSET($O$15,0,$DN64,$B$8,1),OFFSET($M$15,0,0,$B$8,1))=FY$13), 1*(_xlfn._xlws.FILTER(OFFSET($O$15,0,$DO64,$B$8,1),OFFSET($M$15,0,0,$B$8,1))=FY$14))   /   SUM(OFFSET($BO$15,0,0,$B$14,1)) + $B$18/($B$19*$B$19*($DN64&lt;&gt;$DO64) + $B$19*($DN64=$DO64))</f>
        <v>3.7037037037037035E-4</v>
      </c>
      <c r="FZ64" s="10" cm="1">
        <f t="array" aca="1" ref="FZ64" ca="1">(1-$B$18)*SUMPRODUCT(OFFSET($BO$15,0,0,$B$14,1), 1*(_xlfn._xlws.FILTER(OFFSET($O$15,0,$DN64,$B$8,1),OFFSET($M$15,0,0,$B$8,1))=FZ$13), 1*(_xlfn._xlws.FILTER(OFFSET($O$15,0,$DO64,$B$8,1),OFFSET($M$15,0,0,$B$8,1))=FZ$14))   /   SUM(OFFSET($BO$15,0,0,$B$14,1)) + $B$18/($B$19*$B$19*($DN64&lt;&gt;$DO64) + $B$19*($DN64=$DO64))</f>
        <v>3.7037037037037035E-4</v>
      </c>
      <c r="GA64" s="10" cm="1">
        <f t="array" aca="1" ref="GA64" ca="1">(1-$B$18)*SUMPRODUCT(OFFSET($BO$15,0,0,$B$14,1), 1*(_xlfn._xlws.FILTER(OFFSET($O$15,0,$DN64,$B$8,1),OFFSET($M$15,0,0,$B$8,1))=GA$13), 1*(_xlfn._xlws.FILTER(OFFSET($O$15,0,$DO64,$B$8,1),OFFSET($M$15,0,0,$B$8,1))=GA$14))   /   SUM(OFFSET($BO$15,0,0,$B$14,1)) + $B$18/($B$19*$B$19*($DN64&lt;&gt;$DO64) + $B$19*($DN64=$DO64))</f>
        <v>3.7037037037037035E-4</v>
      </c>
    </row>
    <row r="65" spans="7:183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CX65">
        <f ca="1"/>
        <v>0.1</v>
      </c>
      <c r="CY65">
        <f ca="1"/>
        <v>0</v>
      </c>
      <c r="DN65" cm="1">
        <f t="array" aca="1" ref="DN65" ca="1">INDEX(_xlfn.ANCHORARRAY($CP$15), 1 + INT((ROWS($DO$15:$DO65) - 1) / ROWS(_xlfn.ANCHORARRAY($CP$15))))</f>
        <v>2</v>
      </c>
      <c r="DO65" cm="1">
        <f t="array" aca="1" ref="DO65" ca="1">INDEX(_xlfn.ANCHORARRAY($CP$15),1+MOD(ROWS($DO$15:$DO65)-1,ROWS(_xlfn.ANCHORARRAY($CP$15))))</f>
        <v>13</v>
      </c>
      <c r="DP65" s="10" cm="1">
        <f t="array" aca="1" ref="DP65" ca="1">(1-$B$18)*SUMPRODUCT(OFFSET($BO$15,0,0,$B$14,1), 1*(_xlfn._xlws.FILTER(OFFSET($O$15,0,$DN65,$B$8,1),OFFSET($M$15,0,0,$B$8,1))=DP$13), 1*(_xlfn._xlws.FILTER(OFFSET($O$15,0,$DO65,$B$8,1),OFFSET($M$15,0,0,$B$8,1))=DP$14))   /   SUM(OFFSET($BO$15,0,0,$B$14,1)) + $B$18/($B$19*$B$19*($DN65&lt;&gt;$DO65) + $B$19*($DN65=$DO65))</f>
        <v>3.7037037037037035E-4</v>
      </c>
      <c r="DQ65" s="10" cm="1">
        <f t="array" aca="1" ref="DQ65" ca="1">(1-$B$18)*SUMPRODUCT(OFFSET($BO$15,0,0,$B$14,1), 1*(_xlfn._xlws.FILTER(OFFSET($O$15,0,$DN65,$B$8,1),OFFSET($M$15,0,0,$B$8,1))=DQ$13), 1*(_xlfn._xlws.FILTER(OFFSET($O$15,0,$DO65,$B$8,1),OFFSET($M$15,0,0,$B$8,1))=DQ$14))   /   SUM(OFFSET($BO$15,0,0,$B$14,1)) + $B$18/($B$19*$B$19*($DN65&lt;&gt;$DO65) + $B$19*($DN65=$DO65))</f>
        <v>3.7037037037037035E-4</v>
      </c>
      <c r="DR65" s="10" cm="1">
        <f t="array" aca="1" ref="DR65" ca="1">(1-$B$18)*SUMPRODUCT(OFFSET($BO$15,0,0,$B$14,1), 1*(_xlfn._xlws.FILTER(OFFSET($O$15,0,$DN65,$B$8,1),OFFSET($M$15,0,0,$B$8,1))=DR$13), 1*(_xlfn._xlws.FILTER(OFFSET($O$15,0,$DO65,$B$8,1),OFFSET($M$15,0,0,$B$8,1))=DR$14))   /   SUM(OFFSET($BO$15,0,0,$B$14,1)) + $B$18/($B$19*$B$19*($DN65&lt;&gt;$DO65) + $B$19*($DN65=$DO65))</f>
        <v>3.7037037037037035E-4</v>
      </c>
      <c r="DS65" s="10" cm="1">
        <f t="array" aca="1" ref="DS65" ca="1">(1-$B$18)*SUMPRODUCT(OFFSET($BO$15,0,0,$B$14,1), 1*(_xlfn._xlws.FILTER(OFFSET($O$15,0,$DN65,$B$8,1),OFFSET($M$15,0,0,$B$8,1))=DS$13), 1*(_xlfn._xlws.FILTER(OFFSET($O$15,0,$DO65,$B$8,1),OFFSET($M$15,0,0,$B$8,1))=DS$14))   /   SUM(OFFSET($BO$15,0,0,$B$14,1)) + $B$18/($B$19*$B$19*($DN65&lt;&gt;$DO65) + $B$19*($DN65=$DO65))</f>
        <v>3.7037037037037035E-4</v>
      </c>
      <c r="DT65" s="10" cm="1">
        <f t="array" aca="1" ref="DT65" ca="1">(1-$B$18)*SUMPRODUCT(OFFSET($BO$15,0,0,$B$14,1), 1*(_xlfn._xlws.FILTER(OFFSET($O$15,0,$DN65,$B$8,1),OFFSET($M$15,0,0,$B$8,1))=DT$13), 1*(_xlfn._xlws.FILTER(OFFSET($O$15,0,$DO65,$B$8,1),OFFSET($M$15,0,0,$B$8,1))=DT$14))   /   SUM(OFFSET($BO$15,0,0,$B$14,1)) + $B$18/($B$19*$B$19*($DN65&lt;&gt;$DO65) + $B$19*($DN65=$DO65))</f>
        <v>3.7037037037037035E-4</v>
      </c>
      <c r="DU65" s="10" cm="1">
        <f t="array" aca="1" ref="DU65" ca="1">(1-$B$18)*SUMPRODUCT(OFFSET($BO$15,0,0,$B$14,1), 1*(_xlfn._xlws.FILTER(OFFSET($O$15,0,$DN65,$B$8,1),OFFSET($M$15,0,0,$B$8,1))=DU$13), 1*(_xlfn._xlws.FILTER(OFFSET($O$15,0,$DO65,$B$8,1),OFFSET($M$15,0,0,$B$8,1))=DU$14))   /   SUM(OFFSET($BO$15,0,0,$B$14,1)) + $B$18/($B$19*$B$19*($DN65&lt;&gt;$DO65) + $B$19*($DN65=$DO65))</f>
        <v>3.7037037037037035E-4</v>
      </c>
      <c r="DV65" s="10" cm="1">
        <f t="array" aca="1" ref="DV65" ca="1">(1-$B$18)*SUMPRODUCT(OFFSET($BO$15,0,0,$B$14,1), 1*(_xlfn._xlws.FILTER(OFFSET($O$15,0,$DN65,$B$8,1),OFFSET($M$15,0,0,$B$8,1))=DV$13), 1*(_xlfn._xlws.FILTER(OFFSET($O$15,0,$DO65,$B$8,1),OFFSET($M$15,0,0,$B$8,1))=DV$14))   /   SUM(OFFSET($BO$15,0,0,$B$14,1)) + $B$18/($B$19*$B$19*($DN65&lt;&gt;$DO65) + $B$19*($DN65=$DO65))</f>
        <v>3.7037037037037035E-4</v>
      </c>
      <c r="DW65" s="10" cm="1">
        <f t="array" aca="1" ref="DW65" ca="1">(1-$B$18)*SUMPRODUCT(OFFSET($BO$15,0,0,$B$14,1), 1*(_xlfn._xlws.FILTER(OFFSET($O$15,0,$DN65,$B$8,1),OFFSET($M$15,0,0,$B$8,1))=DW$13), 1*(_xlfn._xlws.FILTER(OFFSET($O$15,0,$DO65,$B$8,1),OFFSET($M$15,0,0,$B$8,1))=DW$14))   /   SUM(OFFSET($BO$15,0,0,$B$14,1)) + $B$18/($B$19*$B$19*($DN65&lt;&gt;$DO65) + $B$19*($DN65=$DO65))</f>
        <v>3.7037037037037035E-4</v>
      </c>
      <c r="DX65" s="10" cm="1">
        <f t="array" aca="1" ref="DX65" ca="1">(1-$B$18)*SUMPRODUCT(OFFSET($BO$15,0,0,$B$14,1), 1*(_xlfn._xlws.FILTER(OFFSET($O$15,0,$DN65,$B$8,1),OFFSET($M$15,0,0,$B$8,1))=DX$13), 1*(_xlfn._xlws.FILTER(OFFSET($O$15,0,$DO65,$B$8,1),OFFSET($M$15,0,0,$B$8,1))=DX$14))   /   SUM(OFFSET($BO$15,0,0,$B$14,1)) + $B$18/($B$19*$B$19*($DN65&lt;&gt;$DO65) + $B$19*($DN65=$DO65))</f>
        <v>3.7037037037037035E-4</v>
      </c>
      <c r="DY65" s="10" cm="1">
        <f t="array" aca="1" ref="DY65" ca="1">(1-$B$18)*SUMPRODUCT(OFFSET($BO$15,0,0,$B$14,1), 1*(_xlfn._xlws.FILTER(OFFSET($O$15,0,$DN65,$B$8,1),OFFSET($M$15,0,0,$B$8,1))=DY$13), 1*(_xlfn._xlws.FILTER(OFFSET($O$15,0,$DO65,$B$8,1),OFFSET($M$15,0,0,$B$8,1))=DY$14))   /   SUM(OFFSET($BO$15,0,0,$B$14,1)) + $B$18/($B$19*$B$19*($DN65&lt;&gt;$DO65) + $B$19*($DN65=$DO65))</f>
        <v>3.7037037037037035E-4</v>
      </c>
      <c r="DZ65" s="10" cm="1">
        <f t="array" aca="1" ref="DZ65" ca="1">(1-$B$18)*SUMPRODUCT(OFFSET($BO$15,0,0,$B$14,1), 1*(_xlfn._xlws.FILTER(OFFSET($O$15,0,$DN65,$B$8,1),OFFSET($M$15,0,0,$B$8,1))=DZ$13), 1*(_xlfn._xlws.FILTER(OFFSET($O$15,0,$DO65,$B$8,1),OFFSET($M$15,0,0,$B$8,1))=DZ$14))   /   SUM(OFFSET($BO$15,0,0,$B$14,1)) + $B$18/($B$19*$B$19*($DN65&lt;&gt;$DO65) + $B$19*($DN65=$DO65))</f>
        <v>3.7037037037037035E-4</v>
      </c>
      <c r="EA65" s="10" cm="1">
        <f t="array" aca="1" ref="EA65" ca="1">(1-$B$18)*SUMPRODUCT(OFFSET($BO$15,0,0,$B$14,1), 1*(_xlfn._xlws.FILTER(OFFSET($O$15,0,$DN65,$B$8,1),OFFSET($M$15,0,0,$B$8,1))=EA$13), 1*(_xlfn._xlws.FILTER(OFFSET($O$15,0,$DO65,$B$8,1),OFFSET($M$15,0,0,$B$8,1))=EA$14))   /   SUM(OFFSET($BO$15,0,0,$B$14,1)) + $B$18/($B$19*$B$19*($DN65&lt;&gt;$DO65) + $B$19*($DN65=$DO65))</f>
        <v>3.7037037037037035E-4</v>
      </c>
      <c r="EB65" s="10" cm="1">
        <f t="array" aca="1" ref="EB65" ca="1">(1-$B$18)*SUMPRODUCT(OFFSET($BO$15,0,0,$B$14,1), 1*(_xlfn._xlws.FILTER(OFFSET($O$15,0,$DN65,$B$8,1),OFFSET($M$15,0,0,$B$8,1))=EB$13), 1*(_xlfn._xlws.FILTER(OFFSET($O$15,0,$DO65,$B$8,1),OFFSET($M$15,0,0,$B$8,1))=EB$14))   /   SUM(OFFSET($BO$15,0,0,$B$14,1)) + $B$18/($B$19*$B$19*($DN65&lt;&gt;$DO65) + $B$19*($DN65=$DO65))</f>
        <v>3.7037037037037035E-4</v>
      </c>
      <c r="EC65" s="10" cm="1">
        <f t="array" aca="1" ref="EC65" ca="1">(1-$B$18)*SUMPRODUCT(OFFSET($BO$15,0,0,$B$14,1), 1*(_xlfn._xlws.FILTER(OFFSET($O$15,0,$DN65,$B$8,1),OFFSET($M$15,0,0,$B$8,1))=EC$13), 1*(_xlfn._xlws.FILTER(OFFSET($O$15,0,$DO65,$B$8,1),OFFSET($M$15,0,0,$B$8,1))=EC$14))   /   SUM(OFFSET($BO$15,0,0,$B$14,1)) + $B$18/($B$19*$B$19*($DN65&lt;&gt;$DO65) + $B$19*($DN65=$DO65))</f>
        <v>3.7037037037037035E-4</v>
      </c>
      <c r="ED65" s="10" cm="1">
        <f t="array" aca="1" ref="ED65" ca="1">(1-$B$18)*SUMPRODUCT(OFFSET($BO$15,0,0,$B$14,1), 1*(_xlfn._xlws.FILTER(OFFSET($O$15,0,$DN65,$B$8,1),OFFSET($M$15,0,0,$B$8,1))=ED$13), 1*(_xlfn._xlws.FILTER(OFFSET($O$15,0,$DO65,$B$8,1),OFFSET($M$15,0,0,$B$8,1))=ED$14))   /   SUM(OFFSET($BO$15,0,0,$B$14,1)) + $B$18/($B$19*$B$19*($DN65&lt;&gt;$DO65) + $B$19*($DN65=$DO65))</f>
        <v>3.7037037037037035E-4</v>
      </c>
      <c r="EE65" s="10" cm="1">
        <f t="array" aca="1" ref="EE65" ca="1">(1-$B$18)*SUMPRODUCT(OFFSET($BO$15,0,0,$B$14,1), 1*(_xlfn._xlws.FILTER(OFFSET($O$15,0,$DN65,$B$8,1),OFFSET($M$15,0,0,$B$8,1))=EE$13), 1*(_xlfn._xlws.FILTER(OFFSET($O$15,0,$DO65,$B$8,1),OFFSET($M$15,0,0,$B$8,1))=EE$14))   /   SUM(OFFSET($BO$15,0,0,$B$14,1)) + $B$18/($B$19*$B$19*($DN65&lt;&gt;$DO65) + $B$19*($DN65=$DO65))</f>
        <v>3.7037037037037035E-4</v>
      </c>
      <c r="EF65" s="10" cm="1">
        <f t="array" aca="1" ref="EF65" ca="1">(1-$B$18)*SUMPRODUCT(OFFSET($BO$15,0,0,$B$14,1), 1*(_xlfn._xlws.FILTER(OFFSET($O$15,0,$DN65,$B$8,1),OFFSET($M$15,0,0,$B$8,1))=EF$13), 1*(_xlfn._xlws.FILTER(OFFSET($O$15,0,$DO65,$B$8,1),OFFSET($M$15,0,0,$B$8,1))=EF$14))   /   SUM(OFFSET($BO$15,0,0,$B$14,1)) + $B$18/($B$19*$B$19*($DN65&lt;&gt;$DO65) + $B$19*($DN65=$DO65))</f>
        <v>3.7037037037037035E-4</v>
      </c>
      <c r="EG65" s="10" cm="1">
        <f t="array" aca="1" ref="EG65" ca="1">(1-$B$18)*SUMPRODUCT(OFFSET($BO$15,0,0,$B$14,1), 1*(_xlfn._xlws.FILTER(OFFSET($O$15,0,$DN65,$B$8,1),OFFSET($M$15,0,0,$B$8,1))=EG$13), 1*(_xlfn._xlws.FILTER(OFFSET($O$15,0,$DO65,$B$8,1),OFFSET($M$15,0,0,$B$8,1))=EG$14))   /   SUM(OFFSET($BO$15,0,0,$B$14,1)) + $B$18/($B$19*$B$19*($DN65&lt;&gt;$DO65) + $B$19*($DN65=$DO65))</f>
        <v>3.7037037037037035E-4</v>
      </c>
      <c r="EH65" s="10" cm="1">
        <f t="array" aca="1" ref="EH65" ca="1">(1-$B$18)*SUMPRODUCT(OFFSET($BO$15,0,0,$B$14,1), 1*(_xlfn._xlws.FILTER(OFFSET($O$15,0,$DN65,$B$8,1),OFFSET($M$15,0,0,$B$8,1))=EH$13), 1*(_xlfn._xlws.FILTER(OFFSET($O$15,0,$DO65,$B$8,1),OFFSET($M$15,0,0,$B$8,1))=EH$14))   /   SUM(OFFSET($BO$15,0,0,$B$14,1)) + $B$18/($B$19*$B$19*($DN65&lt;&gt;$DO65) + $B$19*($DN65=$DO65))</f>
        <v>3.7037037037037035E-4</v>
      </c>
      <c r="EI65" s="10" cm="1">
        <f t="array" aca="1" ref="EI65" ca="1">(1-$B$18)*SUMPRODUCT(OFFSET($BO$15,0,0,$B$14,1), 1*(_xlfn._xlws.FILTER(OFFSET($O$15,0,$DN65,$B$8,1),OFFSET($M$15,0,0,$B$8,1))=EI$13), 1*(_xlfn._xlws.FILTER(OFFSET($O$15,0,$DO65,$B$8,1),OFFSET($M$15,0,0,$B$8,1))=EI$14))   /   SUM(OFFSET($BO$15,0,0,$B$14,1)) + $B$18/($B$19*$B$19*($DN65&lt;&gt;$DO65) + $B$19*($DN65=$DO65))</f>
        <v>3.7037037037037035E-4</v>
      </c>
      <c r="EJ65" s="10" cm="1">
        <f t="array" aca="1" ref="EJ65" ca="1">(1-$B$18)*SUMPRODUCT(OFFSET($BO$15,0,0,$B$14,1), 1*(_xlfn._xlws.FILTER(OFFSET($O$15,0,$DN65,$B$8,1),OFFSET($M$15,0,0,$B$8,1))=EJ$13), 1*(_xlfn._xlws.FILTER(OFFSET($O$15,0,$DO65,$B$8,1),OFFSET($M$15,0,0,$B$8,1))=EJ$14))   /   SUM(OFFSET($BO$15,0,0,$B$14,1)) + $B$18/($B$19*$B$19*($DN65&lt;&gt;$DO65) + $B$19*($DN65=$DO65))</f>
        <v>3.7037037037037035E-4</v>
      </c>
      <c r="EK65" s="10" cm="1">
        <f t="array" aca="1" ref="EK65" ca="1">(1-$B$18)*SUMPRODUCT(OFFSET($BO$15,0,0,$B$14,1), 1*(_xlfn._xlws.FILTER(OFFSET($O$15,0,$DN65,$B$8,1),OFFSET($M$15,0,0,$B$8,1))=EK$13), 1*(_xlfn._xlws.FILTER(OFFSET($O$15,0,$DO65,$B$8,1),OFFSET($M$15,0,0,$B$8,1))=EK$14))   /   SUM(OFFSET($BO$15,0,0,$B$14,1)) + $B$18/($B$19*$B$19*($DN65&lt;&gt;$DO65) + $B$19*($DN65=$DO65))</f>
        <v>3.7037037037037035E-4</v>
      </c>
      <c r="EL65" s="10" cm="1">
        <f t="array" aca="1" ref="EL65" ca="1">(1-$B$18)*SUMPRODUCT(OFFSET($BO$15,0,0,$B$14,1), 1*(_xlfn._xlws.FILTER(OFFSET($O$15,0,$DN65,$B$8,1),OFFSET($M$15,0,0,$B$8,1))=EL$13), 1*(_xlfn._xlws.FILTER(OFFSET($O$15,0,$DO65,$B$8,1),OFFSET($M$15,0,0,$B$8,1))=EL$14))   /   SUM(OFFSET($BO$15,0,0,$B$14,1)) + $B$18/($B$19*$B$19*($DN65&lt;&gt;$DO65) + $B$19*($DN65=$DO65))</f>
        <v>3.7037037037037035E-4</v>
      </c>
      <c r="EM65" s="10" cm="1">
        <f t="array" aca="1" ref="EM65" ca="1">(1-$B$18)*SUMPRODUCT(OFFSET($BO$15,0,0,$B$14,1), 1*(_xlfn._xlws.FILTER(OFFSET($O$15,0,$DN65,$B$8,1),OFFSET($M$15,0,0,$B$8,1))=EM$13), 1*(_xlfn._xlws.FILTER(OFFSET($O$15,0,$DO65,$B$8,1),OFFSET($M$15,0,0,$B$8,1))=EM$14))   /   SUM(OFFSET($BO$15,0,0,$B$14,1)) + $B$18/($B$19*$B$19*($DN65&lt;&gt;$DO65) + $B$19*($DN65=$DO65))</f>
        <v>3.7037037037037035E-4</v>
      </c>
      <c r="EN65" s="10" cm="1">
        <f t="array" aca="1" ref="EN65" ca="1">(1-$B$18)*SUMPRODUCT(OFFSET($BO$15,0,0,$B$14,1), 1*(_xlfn._xlws.FILTER(OFFSET($O$15,0,$DN65,$B$8,1),OFFSET($M$15,0,0,$B$8,1))=EN$13), 1*(_xlfn._xlws.FILTER(OFFSET($O$15,0,$DO65,$B$8,1),OFFSET($M$15,0,0,$B$8,1))=EN$14))   /   SUM(OFFSET($BO$15,0,0,$B$14,1)) + $B$18/($B$19*$B$19*($DN65&lt;&gt;$DO65) + $B$19*($DN65=$DO65))</f>
        <v>3.7037037037037035E-4</v>
      </c>
      <c r="EO65" s="10" cm="1">
        <f t="array" aca="1" ref="EO65" ca="1">(1-$B$18)*SUMPRODUCT(OFFSET($BO$15,0,0,$B$14,1), 1*(_xlfn._xlws.FILTER(OFFSET($O$15,0,$DN65,$B$8,1),OFFSET($M$15,0,0,$B$8,1))=EO$13), 1*(_xlfn._xlws.FILTER(OFFSET($O$15,0,$DO65,$B$8,1),OFFSET($M$15,0,0,$B$8,1))=EO$14))   /   SUM(OFFSET($BO$15,0,0,$B$14,1)) + $B$18/($B$19*$B$19*($DN65&lt;&gt;$DO65) + $B$19*($DN65=$DO65))</f>
        <v>3.7037037037037035E-4</v>
      </c>
      <c r="EP65" s="10" cm="1">
        <f t="array" aca="1" ref="EP65" ca="1">(1-$B$18)*SUMPRODUCT(OFFSET($BO$15,0,0,$B$14,1), 1*(_xlfn._xlws.FILTER(OFFSET($O$15,0,$DN65,$B$8,1),OFFSET($M$15,0,0,$B$8,1))=EP$13), 1*(_xlfn._xlws.FILTER(OFFSET($O$15,0,$DO65,$B$8,1),OFFSET($M$15,0,0,$B$8,1))=EP$14))   /   SUM(OFFSET($BO$15,0,0,$B$14,1)) + $B$18/($B$19*$B$19*($DN65&lt;&gt;$DO65) + $B$19*($DN65=$DO65))</f>
        <v>3.7037037037037035E-4</v>
      </c>
      <c r="EQ65" s="10" cm="1">
        <f t="array" aca="1" ref="EQ65" ca="1">(1-$B$18)*SUMPRODUCT(OFFSET($BO$15,0,0,$B$14,1), 1*(_xlfn._xlws.FILTER(OFFSET($O$15,0,$DN65,$B$8,1),OFFSET($M$15,0,0,$B$8,1))=EQ$13), 1*(_xlfn._xlws.FILTER(OFFSET($O$15,0,$DO65,$B$8,1),OFFSET($M$15,0,0,$B$8,1))=EQ$14))   /   SUM(OFFSET($BO$15,0,0,$B$14,1)) + $B$18/($B$19*$B$19*($DN65&lt;&gt;$DO65) + $B$19*($DN65=$DO65))</f>
        <v>3.7037037037037035E-4</v>
      </c>
      <c r="ER65" s="10" cm="1">
        <f t="array" aca="1" ref="ER65" ca="1">(1-$B$18)*SUMPRODUCT(OFFSET($BO$15,0,0,$B$14,1), 1*(_xlfn._xlws.FILTER(OFFSET($O$15,0,$DN65,$B$8,1),OFFSET($M$15,0,0,$B$8,1))=ER$13), 1*(_xlfn._xlws.FILTER(OFFSET($O$15,0,$DO65,$B$8,1),OFFSET($M$15,0,0,$B$8,1))=ER$14))   /   SUM(OFFSET($BO$15,0,0,$B$14,1)) + $B$18/($B$19*$B$19*($DN65&lt;&gt;$DO65) + $B$19*($DN65=$DO65))</f>
        <v>3.7037037037037035E-4</v>
      </c>
      <c r="ES65" s="10" cm="1">
        <f t="array" aca="1" ref="ES65" ca="1">(1-$B$18)*SUMPRODUCT(OFFSET($BO$15,0,0,$B$14,1), 1*(_xlfn._xlws.FILTER(OFFSET($O$15,0,$DN65,$B$8,1),OFFSET($M$15,0,0,$B$8,1))=ES$13), 1*(_xlfn._xlws.FILTER(OFFSET($O$15,0,$DO65,$B$8,1),OFFSET($M$15,0,0,$B$8,1))=ES$14))   /   SUM(OFFSET($BO$15,0,0,$B$14,1)) + $B$18/($B$19*$B$19*($DN65&lt;&gt;$DO65) + $B$19*($DN65=$DO65))</f>
        <v>3.7037037037037035E-4</v>
      </c>
      <c r="ET65" s="10" cm="1">
        <f t="array" aca="1" ref="ET65" ca="1">(1-$B$18)*SUMPRODUCT(OFFSET($BO$15,0,0,$B$14,1), 1*(_xlfn._xlws.FILTER(OFFSET($O$15,0,$DN65,$B$8,1),OFFSET($M$15,0,0,$B$8,1))=ET$13), 1*(_xlfn._xlws.FILTER(OFFSET($O$15,0,$DO65,$B$8,1),OFFSET($M$15,0,0,$B$8,1))=ET$14))   /   SUM(OFFSET($BO$15,0,0,$B$14,1)) + $B$18/($B$19*$B$19*($DN65&lt;&gt;$DO65) + $B$19*($DN65=$DO65))</f>
        <v>3.7037037037037035E-4</v>
      </c>
      <c r="EU65" s="10" cm="1">
        <f t="array" aca="1" ref="EU65" ca="1">(1-$B$18)*SUMPRODUCT(OFFSET($BO$15,0,0,$B$14,1), 1*(_xlfn._xlws.FILTER(OFFSET($O$15,0,$DN65,$B$8,1),OFFSET($M$15,0,0,$B$8,1))=EU$13), 1*(_xlfn._xlws.FILTER(OFFSET($O$15,0,$DO65,$B$8,1),OFFSET($M$15,0,0,$B$8,1))=EU$14))   /   SUM(OFFSET($BO$15,0,0,$B$14,1)) + $B$18/($B$19*$B$19*($DN65&lt;&gt;$DO65) + $B$19*($DN65=$DO65))</f>
        <v>3.7037037037037035E-4</v>
      </c>
      <c r="EV65" s="10" cm="1">
        <f t="array" aca="1" ref="EV65" ca="1">(1-$B$18)*SUMPRODUCT(OFFSET($BO$15,0,0,$B$14,1), 1*(_xlfn._xlws.FILTER(OFFSET($O$15,0,$DN65,$B$8,1),OFFSET($M$15,0,0,$B$8,1))=EV$13), 1*(_xlfn._xlws.FILTER(OFFSET($O$15,0,$DO65,$B$8,1),OFFSET($M$15,0,0,$B$8,1))=EV$14))   /   SUM(OFFSET($BO$15,0,0,$B$14,1)) + $B$18/($B$19*$B$19*($DN65&lt;&gt;$DO65) + $B$19*($DN65=$DO65))</f>
        <v>3.7037037037037035E-4</v>
      </c>
      <c r="EW65" s="10" cm="1">
        <f t="array" aca="1" ref="EW65" ca="1">(1-$B$18)*SUMPRODUCT(OFFSET($BO$15,0,0,$B$14,1), 1*(_xlfn._xlws.FILTER(OFFSET($O$15,0,$DN65,$B$8,1),OFFSET($M$15,0,0,$B$8,1))=EW$13), 1*(_xlfn._xlws.FILTER(OFFSET($O$15,0,$DO65,$B$8,1),OFFSET($M$15,0,0,$B$8,1))=EW$14))   /   SUM(OFFSET($BO$15,0,0,$B$14,1)) + $B$18/($B$19*$B$19*($DN65&lt;&gt;$DO65) + $B$19*($DN65=$DO65))</f>
        <v>3.7037037037037035E-4</v>
      </c>
      <c r="EX65" s="10" cm="1">
        <f t="array" aca="1" ref="EX65" ca="1">(1-$B$18)*SUMPRODUCT(OFFSET($BO$15,0,0,$B$14,1), 1*(_xlfn._xlws.FILTER(OFFSET($O$15,0,$DN65,$B$8,1),OFFSET($M$15,0,0,$B$8,1))=EX$13), 1*(_xlfn._xlws.FILTER(OFFSET($O$15,0,$DO65,$B$8,1),OFFSET($M$15,0,0,$B$8,1))=EX$14))   /   SUM(OFFSET($BO$15,0,0,$B$14,1)) + $B$18/($B$19*$B$19*($DN65&lt;&gt;$DO65) + $B$19*($DN65=$DO65))</f>
        <v>3.7037037037037035E-4</v>
      </c>
      <c r="EY65" s="10" cm="1">
        <f t="array" aca="1" ref="EY65" ca="1">(1-$B$18)*SUMPRODUCT(OFFSET($BO$15,0,0,$B$14,1), 1*(_xlfn._xlws.FILTER(OFFSET($O$15,0,$DN65,$B$8,1),OFFSET($M$15,0,0,$B$8,1))=EY$13), 1*(_xlfn._xlws.FILTER(OFFSET($O$15,0,$DO65,$B$8,1),OFFSET($M$15,0,0,$B$8,1))=EY$14))   /   SUM(OFFSET($BO$15,0,0,$B$14,1)) + $B$18/($B$19*$B$19*($DN65&lt;&gt;$DO65) + $B$19*($DN65=$DO65))</f>
        <v>3.7037037037037035E-4</v>
      </c>
      <c r="EZ65" s="10" cm="1">
        <f t="array" aca="1" ref="EZ65" ca="1">(1-$B$18)*SUMPRODUCT(OFFSET($BO$15,0,0,$B$14,1), 1*(_xlfn._xlws.FILTER(OFFSET($O$15,0,$DN65,$B$8,1),OFFSET($M$15,0,0,$B$8,1))=EZ$13), 1*(_xlfn._xlws.FILTER(OFFSET($O$15,0,$DO65,$B$8,1),OFFSET($M$15,0,0,$B$8,1))=EZ$14))   /   SUM(OFFSET($BO$15,0,0,$B$14,1)) + $B$18/($B$19*$B$19*($DN65&lt;&gt;$DO65) + $B$19*($DN65=$DO65))</f>
        <v>3.7037037037037035E-4</v>
      </c>
      <c r="FA65" s="10" cm="1">
        <f t="array" aca="1" ref="FA65" ca="1">(1-$B$18)*SUMPRODUCT(OFFSET($BO$15,0,0,$B$14,1), 1*(_xlfn._xlws.FILTER(OFFSET($O$15,0,$DN65,$B$8,1),OFFSET($M$15,0,0,$B$8,1))=FA$13), 1*(_xlfn._xlws.FILTER(OFFSET($O$15,0,$DO65,$B$8,1),OFFSET($M$15,0,0,$B$8,1))=FA$14))   /   SUM(OFFSET($BO$15,0,0,$B$14,1)) + $B$18/($B$19*$B$19*($DN65&lt;&gt;$DO65) + $B$19*($DN65=$DO65))</f>
        <v>3.7037037037037035E-4</v>
      </c>
      <c r="FB65" s="10" cm="1">
        <f t="array" aca="1" ref="FB65" ca="1">(1-$B$18)*SUMPRODUCT(OFFSET($BO$15,0,0,$B$14,1), 1*(_xlfn._xlws.FILTER(OFFSET($O$15,0,$DN65,$B$8,1),OFFSET($M$15,0,0,$B$8,1))=FB$13), 1*(_xlfn._xlws.FILTER(OFFSET($O$15,0,$DO65,$B$8,1),OFFSET($M$15,0,0,$B$8,1))=FB$14))   /   SUM(OFFSET($BO$15,0,0,$B$14,1)) + $B$18/($B$19*$B$19*($DN65&lt;&gt;$DO65) + $B$19*($DN65=$DO65))</f>
        <v>3.7037037037037035E-4</v>
      </c>
      <c r="FC65" s="10" cm="1">
        <f t="array" aca="1" ref="FC65" ca="1">(1-$B$18)*SUMPRODUCT(OFFSET($BO$15,0,0,$B$14,1), 1*(_xlfn._xlws.FILTER(OFFSET($O$15,0,$DN65,$B$8,1),OFFSET($M$15,0,0,$B$8,1))=FC$13), 1*(_xlfn._xlws.FILTER(OFFSET($O$15,0,$DO65,$B$8,1),OFFSET($M$15,0,0,$B$8,1))=FC$14))   /   SUM(OFFSET($BO$15,0,0,$B$14,1)) + $B$18/($B$19*$B$19*($DN65&lt;&gt;$DO65) + $B$19*($DN65=$DO65))</f>
        <v>3.7037037037037035E-4</v>
      </c>
      <c r="FD65" s="10" cm="1">
        <f t="array" aca="1" ref="FD65" ca="1">(1-$B$18)*SUMPRODUCT(OFFSET($BO$15,0,0,$B$14,1), 1*(_xlfn._xlws.FILTER(OFFSET($O$15,0,$DN65,$B$8,1),OFFSET($M$15,0,0,$B$8,1))=FD$13), 1*(_xlfn._xlws.FILTER(OFFSET($O$15,0,$DO65,$B$8,1),OFFSET($M$15,0,0,$B$8,1))=FD$14))   /   SUM(OFFSET($BO$15,0,0,$B$14,1)) + $B$18/($B$19*$B$19*($DN65&lt;&gt;$DO65) + $B$19*($DN65=$DO65))</f>
        <v>3.7037037037037035E-4</v>
      </c>
      <c r="FE65" s="10" cm="1">
        <f t="array" aca="1" ref="FE65" ca="1">(1-$B$18)*SUMPRODUCT(OFFSET($BO$15,0,0,$B$14,1), 1*(_xlfn._xlws.FILTER(OFFSET($O$15,0,$DN65,$B$8,1),OFFSET($M$15,0,0,$B$8,1))=FE$13), 1*(_xlfn._xlws.FILTER(OFFSET($O$15,0,$DO65,$B$8,1),OFFSET($M$15,0,0,$B$8,1))=FE$14))   /   SUM(OFFSET($BO$15,0,0,$B$14,1)) + $B$18/($B$19*$B$19*($DN65&lt;&gt;$DO65) + $B$19*($DN65=$DO65))</f>
        <v>3.7037037037037035E-4</v>
      </c>
      <c r="FF65" s="10" cm="1">
        <f t="array" aca="1" ref="FF65" ca="1">(1-$B$18)*SUMPRODUCT(OFFSET($BO$15,0,0,$B$14,1), 1*(_xlfn._xlws.FILTER(OFFSET($O$15,0,$DN65,$B$8,1),OFFSET($M$15,0,0,$B$8,1))=FF$13), 1*(_xlfn._xlws.FILTER(OFFSET($O$15,0,$DO65,$B$8,1),OFFSET($M$15,0,0,$B$8,1))=FF$14))   /   SUM(OFFSET($BO$15,0,0,$B$14,1)) + $B$18/($B$19*$B$19*($DN65&lt;&gt;$DO65) + $B$19*($DN65=$DO65))</f>
        <v>3.7037037037037035E-4</v>
      </c>
      <c r="FG65" s="10" cm="1">
        <f t="array" aca="1" ref="FG65" ca="1">(1-$B$18)*SUMPRODUCT(OFFSET($BO$15,0,0,$B$14,1), 1*(_xlfn._xlws.FILTER(OFFSET($O$15,0,$DN65,$B$8,1),OFFSET($M$15,0,0,$B$8,1))=FG$13), 1*(_xlfn._xlws.FILTER(OFFSET($O$15,0,$DO65,$B$8,1),OFFSET($M$15,0,0,$B$8,1))=FG$14))   /   SUM(OFFSET($BO$15,0,0,$B$14,1)) + $B$18/($B$19*$B$19*($DN65&lt;&gt;$DO65) + $B$19*($DN65=$DO65))</f>
        <v>3.7037037037037035E-4</v>
      </c>
      <c r="FH65" s="10" cm="1">
        <f t="array" aca="1" ref="FH65" ca="1">(1-$B$18)*SUMPRODUCT(OFFSET($BO$15,0,0,$B$14,1), 1*(_xlfn._xlws.FILTER(OFFSET($O$15,0,$DN65,$B$8,1),OFFSET($M$15,0,0,$B$8,1))=FH$13), 1*(_xlfn._xlws.FILTER(OFFSET($O$15,0,$DO65,$B$8,1),OFFSET($M$15,0,0,$B$8,1))=FH$14))   /   SUM(OFFSET($BO$15,0,0,$B$14,1)) + $B$18/($B$19*$B$19*($DN65&lt;&gt;$DO65) + $B$19*($DN65=$DO65))</f>
        <v>3.7037037037037035E-4</v>
      </c>
      <c r="FI65" s="10" cm="1">
        <f t="array" aca="1" ref="FI65" ca="1">(1-$B$18)*SUMPRODUCT(OFFSET($BO$15,0,0,$B$14,1), 1*(_xlfn._xlws.FILTER(OFFSET($O$15,0,$DN65,$B$8,1),OFFSET($M$15,0,0,$B$8,1))=FI$13), 1*(_xlfn._xlws.FILTER(OFFSET($O$15,0,$DO65,$B$8,1),OFFSET($M$15,0,0,$B$8,1))=FI$14))   /   SUM(OFFSET($BO$15,0,0,$B$14,1)) + $B$18/($B$19*$B$19*($DN65&lt;&gt;$DO65) + $B$19*($DN65=$DO65))</f>
        <v>3.7037037037037035E-4</v>
      </c>
      <c r="FJ65" s="10" cm="1">
        <f t="array" aca="1" ref="FJ65" ca="1">(1-$B$18)*SUMPRODUCT(OFFSET($BO$15,0,0,$B$14,1), 1*(_xlfn._xlws.FILTER(OFFSET($O$15,0,$DN65,$B$8,1),OFFSET($M$15,0,0,$B$8,1))=FJ$13), 1*(_xlfn._xlws.FILTER(OFFSET($O$15,0,$DO65,$B$8,1),OFFSET($M$15,0,0,$B$8,1))=FJ$14))   /   SUM(OFFSET($BO$15,0,0,$B$14,1)) + $B$18/($B$19*$B$19*($DN65&lt;&gt;$DO65) + $B$19*($DN65=$DO65))</f>
        <v>3.7037037037037035E-4</v>
      </c>
      <c r="FK65" s="10" cm="1">
        <f t="array" aca="1" ref="FK65" ca="1">(1-$B$18)*SUMPRODUCT(OFFSET($BO$15,0,0,$B$14,1), 1*(_xlfn._xlws.FILTER(OFFSET($O$15,0,$DN65,$B$8,1),OFFSET($M$15,0,0,$B$8,1))=FK$13), 1*(_xlfn._xlws.FILTER(OFFSET($O$15,0,$DO65,$B$8,1),OFFSET($M$15,0,0,$B$8,1))=FK$14))   /   SUM(OFFSET($BO$15,0,0,$B$14,1)) + $B$18/($B$19*$B$19*($DN65&lt;&gt;$DO65) + $B$19*($DN65=$DO65))</f>
        <v>3.7037037037037035E-4</v>
      </c>
      <c r="FL65" s="10" cm="1">
        <f t="array" aca="1" ref="FL65" ca="1">(1-$B$18)*SUMPRODUCT(OFFSET($BO$15,0,0,$B$14,1), 1*(_xlfn._xlws.FILTER(OFFSET($O$15,0,$DN65,$B$8,1),OFFSET($M$15,0,0,$B$8,1))=FL$13), 1*(_xlfn._xlws.FILTER(OFFSET($O$15,0,$DO65,$B$8,1),OFFSET($M$15,0,0,$B$8,1))=FL$14))   /   SUM(OFFSET($BO$15,0,0,$B$14,1)) + $B$18/($B$19*$B$19*($DN65&lt;&gt;$DO65) + $B$19*($DN65=$DO65))</f>
        <v>3.7037037037037035E-4</v>
      </c>
      <c r="FM65" s="10" cm="1">
        <f t="array" aca="1" ref="FM65" ca="1">(1-$B$18)*SUMPRODUCT(OFFSET($BO$15,0,0,$B$14,1), 1*(_xlfn._xlws.FILTER(OFFSET($O$15,0,$DN65,$B$8,1),OFFSET($M$15,0,0,$B$8,1))=FM$13), 1*(_xlfn._xlws.FILTER(OFFSET($O$15,0,$DO65,$B$8,1),OFFSET($M$15,0,0,$B$8,1))=FM$14))   /   SUM(OFFSET($BO$15,0,0,$B$14,1)) + $B$18/($B$19*$B$19*($DN65&lt;&gt;$DO65) + $B$19*($DN65=$DO65))</f>
        <v>0.97037037037037033</v>
      </c>
      <c r="FN65" s="10" cm="1">
        <f t="array" aca="1" ref="FN65" ca="1">(1-$B$18)*SUMPRODUCT(OFFSET($BO$15,0,0,$B$14,1), 1*(_xlfn._xlws.FILTER(OFFSET($O$15,0,$DN65,$B$8,1),OFFSET($M$15,0,0,$B$8,1))=FN$13), 1*(_xlfn._xlws.FILTER(OFFSET($O$15,0,$DO65,$B$8,1),OFFSET($M$15,0,0,$B$8,1))=FN$14))   /   SUM(OFFSET($BO$15,0,0,$B$14,1)) + $B$18/($B$19*$B$19*($DN65&lt;&gt;$DO65) + $B$19*($DN65=$DO65))</f>
        <v>3.7037037037037035E-4</v>
      </c>
      <c r="FO65" s="10" cm="1">
        <f t="array" aca="1" ref="FO65" ca="1">(1-$B$18)*SUMPRODUCT(OFFSET($BO$15,0,0,$B$14,1), 1*(_xlfn._xlws.FILTER(OFFSET($O$15,0,$DN65,$B$8,1),OFFSET($M$15,0,0,$B$8,1))=FO$13), 1*(_xlfn._xlws.FILTER(OFFSET($O$15,0,$DO65,$B$8,1),OFFSET($M$15,0,0,$B$8,1))=FO$14))   /   SUM(OFFSET($BO$15,0,0,$B$14,1)) + $B$18/($B$19*$B$19*($DN65&lt;&gt;$DO65) + $B$19*($DN65=$DO65))</f>
        <v>3.7037037037037035E-4</v>
      </c>
      <c r="FP65" s="10" cm="1">
        <f t="array" aca="1" ref="FP65" ca="1">(1-$B$18)*SUMPRODUCT(OFFSET($BO$15,0,0,$B$14,1), 1*(_xlfn._xlws.FILTER(OFFSET($O$15,0,$DN65,$B$8,1),OFFSET($M$15,0,0,$B$8,1))=FP$13), 1*(_xlfn._xlws.FILTER(OFFSET($O$15,0,$DO65,$B$8,1),OFFSET($M$15,0,0,$B$8,1))=FP$14))   /   SUM(OFFSET($BO$15,0,0,$B$14,1)) + $B$18/($B$19*$B$19*($DN65&lt;&gt;$DO65) + $B$19*($DN65=$DO65))</f>
        <v>3.7037037037037035E-4</v>
      </c>
      <c r="FQ65" s="10" cm="1">
        <f t="array" aca="1" ref="FQ65" ca="1">(1-$B$18)*SUMPRODUCT(OFFSET($BO$15,0,0,$B$14,1), 1*(_xlfn._xlws.FILTER(OFFSET($O$15,0,$DN65,$B$8,1),OFFSET($M$15,0,0,$B$8,1))=FQ$13), 1*(_xlfn._xlws.FILTER(OFFSET($O$15,0,$DO65,$B$8,1),OFFSET($M$15,0,0,$B$8,1))=FQ$14))   /   SUM(OFFSET($BO$15,0,0,$B$14,1)) + $B$18/($B$19*$B$19*($DN65&lt;&gt;$DO65) + $B$19*($DN65=$DO65))</f>
        <v>3.7037037037037035E-4</v>
      </c>
      <c r="FR65" s="10" cm="1">
        <f t="array" aca="1" ref="FR65" ca="1">(1-$B$18)*SUMPRODUCT(OFFSET($BO$15,0,0,$B$14,1), 1*(_xlfn._xlws.FILTER(OFFSET($O$15,0,$DN65,$B$8,1),OFFSET($M$15,0,0,$B$8,1))=FR$13), 1*(_xlfn._xlws.FILTER(OFFSET($O$15,0,$DO65,$B$8,1),OFFSET($M$15,0,0,$B$8,1))=FR$14))   /   SUM(OFFSET($BO$15,0,0,$B$14,1)) + $B$18/($B$19*$B$19*($DN65&lt;&gt;$DO65) + $B$19*($DN65=$DO65))</f>
        <v>3.7037037037037035E-4</v>
      </c>
      <c r="FS65" s="10" cm="1">
        <f t="array" aca="1" ref="FS65" ca="1">(1-$B$18)*SUMPRODUCT(OFFSET($BO$15,0,0,$B$14,1), 1*(_xlfn._xlws.FILTER(OFFSET($O$15,0,$DN65,$B$8,1),OFFSET($M$15,0,0,$B$8,1))=FS$13), 1*(_xlfn._xlws.FILTER(OFFSET($O$15,0,$DO65,$B$8,1),OFFSET($M$15,0,0,$B$8,1))=FS$14))   /   SUM(OFFSET($BO$15,0,0,$B$14,1)) + $B$18/($B$19*$B$19*($DN65&lt;&gt;$DO65) + $B$19*($DN65=$DO65))</f>
        <v>3.7037037037037035E-4</v>
      </c>
      <c r="FT65" s="10" cm="1">
        <f t="array" aca="1" ref="FT65" ca="1">(1-$B$18)*SUMPRODUCT(OFFSET($BO$15,0,0,$B$14,1), 1*(_xlfn._xlws.FILTER(OFFSET($O$15,0,$DN65,$B$8,1),OFFSET($M$15,0,0,$B$8,1))=FT$13), 1*(_xlfn._xlws.FILTER(OFFSET($O$15,0,$DO65,$B$8,1),OFFSET($M$15,0,0,$B$8,1))=FT$14))   /   SUM(OFFSET($BO$15,0,0,$B$14,1)) + $B$18/($B$19*$B$19*($DN65&lt;&gt;$DO65) + $B$19*($DN65=$DO65))</f>
        <v>3.7037037037037035E-4</v>
      </c>
      <c r="FU65" s="10" cm="1">
        <f t="array" aca="1" ref="FU65" ca="1">(1-$B$18)*SUMPRODUCT(OFFSET($BO$15,0,0,$B$14,1), 1*(_xlfn._xlws.FILTER(OFFSET($O$15,0,$DN65,$B$8,1),OFFSET($M$15,0,0,$B$8,1))=FU$13), 1*(_xlfn._xlws.FILTER(OFFSET($O$15,0,$DO65,$B$8,1),OFFSET($M$15,0,0,$B$8,1))=FU$14))   /   SUM(OFFSET($BO$15,0,0,$B$14,1)) + $B$18/($B$19*$B$19*($DN65&lt;&gt;$DO65) + $B$19*($DN65=$DO65))</f>
        <v>3.7037037037037035E-4</v>
      </c>
      <c r="FV65" s="10" cm="1">
        <f t="array" aca="1" ref="FV65" ca="1">(1-$B$18)*SUMPRODUCT(OFFSET($BO$15,0,0,$B$14,1), 1*(_xlfn._xlws.FILTER(OFFSET($O$15,0,$DN65,$B$8,1),OFFSET($M$15,0,0,$B$8,1))=FV$13), 1*(_xlfn._xlws.FILTER(OFFSET($O$15,0,$DO65,$B$8,1),OFFSET($M$15,0,0,$B$8,1))=FV$14))   /   SUM(OFFSET($BO$15,0,0,$B$14,1)) + $B$18/($B$19*$B$19*($DN65&lt;&gt;$DO65) + $B$19*($DN65=$DO65))</f>
        <v>3.7037037037037035E-4</v>
      </c>
      <c r="FW65" s="10" cm="1">
        <f t="array" aca="1" ref="FW65" ca="1">(1-$B$18)*SUMPRODUCT(OFFSET($BO$15,0,0,$B$14,1), 1*(_xlfn._xlws.FILTER(OFFSET($O$15,0,$DN65,$B$8,1),OFFSET($M$15,0,0,$B$8,1))=FW$13), 1*(_xlfn._xlws.FILTER(OFFSET($O$15,0,$DO65,$B$8,1),OFFSET($M$15,0,0,$B$8,1))=FW$14))   /   SUM(OFFSET($BO$15,0,0,$B$14,1)) + $B$18/($B$19*$B$19*($DN65&lt;&gt;$DO65) + $B$19*($DN65=$DO65))</f>
        <v>3.7037037037037035E-4</v>
      </c>
      <c r="FX65" s="10" cm="1">
        <f t="array" aca="1" ref="FX65" ca="1">(1-$B$18)*SUMPRODUCT(OFFSET($BO$15,0,0,$B$14,1), 1*(_xlfn._xlws.FILTER(OFFSET($O$15,0,$DN65,$B$8,1),OFFSET($M$15,0,0,$B$8,1))=FX$13), 1*(_xlfn._xlws.FILTER(OFFSET($O$15,0,$DO65,$B$8,1),OFFSET($M$15,0,0,$B$8,1))=FX$14))   /   SUM(OFFSET($BO$15,0,0,$B$14,1)) + $B$18/($B$19*$B$19*($DN65&lt;&gt;$DO65) + $B$19*($DN65=$DO65))</f>
        <v>3.7037037037037035E-4</v>
      </c>
      <c r="FY65" s="10" cm="1">
        <f t="array" aca="1" ref="FY65" ca="1">(1-$B$18)*SUMPRODUCT(OFFSET($BO$15,0,0,$B$14,1), 1*(_xlfn._xlws.FILTER(OFFSET($O$15,0,$DN65,$B$8,1),OFFSET($M$15,0,0,$B$8,1))=FY$13), 1*(_xlfn._xlws.FILTER(OFFSET($O$15,0,$DO65,$B$8,1),OFFSET($M$15,0,0,$B$8,1))=FY$14))   /   SUM(OFFSET($BO$15,0,0,$B$14,1)) + $B$18/($B$19*$B$19*($DN65&lt;&gt;$DO65) + $B$19*($DN65=$DO65))</f>
        <v>3.7037037037037035E-4</v>
      </c>
      <c r="FZ65" s="10" cm="1">
        <f t="array" aca="1" ref="FZ65" ca="1">(1-$B$18)*SUMPRODUCT(OFFSET($BO$15,0,0,$B$14,1), 1*(_xlfn._xlws.FILTER(OFFSET($O$15,0,$DN65,$B$8,1),OFFSET($M$15,0,0,$B$8,1))=FZ$13), 1*(_xlfn._xlws.FILTER(OFFSET($O$15,0,$DO65,$B$8,1),OFFSET($M$15,0,0,$B$8,1))=FZ$14))   /   SUM(OFFSET($BO$15,0,0,$B$14,1)) + $B$18/($B$19*$B$19*($DN65&lt;&gt;$DO65) + $B$19*($DN65=$DO65))</f>
        <v>3.7037037037037035E-4</v>
      </c>
      <c r="GA65" s="10" cm="1">
        <f t="array" aca="1" ref="GA65" ca="1">(1-$B$18)*SUMPRODUCT(OFFSET($BO$15,0,0,$B$14,1), 1*(_xlfn._xlws.FILTER(OFFSET($O$15,0,$DN65,$B$8,1),OFFSET($M$15,0,0,$B$8,1))=GA$13), 1*(_xlfn._xlws.FILTER(OFFSET($O$15,0,$DO65,$B$8,1),OFFSET($M$15,0,0,$B$8,1))=GA$14))   /   SUM(OFFSET($BO$15,0,0,$B$14,1)) + $B$18/($B$19*$B$19*($DN65&lt;&gt;$DO65) + $B$19*($DN65=$DO65))</f>
        <v>3.7037037037037035E-4</v>
      </c>
    </row>
    <row r="66" spans="7:183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  <c r="CX66">
        <f ca="1"/>
        <v>1</v>
      </c>
      <c r="CY66">
        <f ca="1"/>
        <v>0</v>
      </c>
      <c r="DN66" cm="1">
        <f t="array" aca="1" ref="DN66" ca="1">INDEX(_xlfn.ANCHORARRAY($CP$15), 1 + INT((ROWS($DO$15:$DO66) - 1) / ROWS(_xlfn.ANCHORARRAY($CP$15))))</f>
        <v>2</v>
      </c>
      <c r="DO66" cm="1">
        <f t="array" aca="1" ref="DO66" ca="1">INDEX(_xlfn.ANCHORARRAY($CP$15),1+MOD(ROWS($DO$15:$DO66)-1,ROWS(_xlfn.ANCHORARRAY($CP$15))))</f>
        <v>14</v>
      </c>
      <c r="DP66" s="10" cm="1">
        <f t="array" aca="1" ref="DP66" ca="1">(1-$B$18)*SUMPRODUCT(OFFSET($BO$15,0,0,$B$14,1), 1*(_xlfn._xlws.FILTER(OFFSET($O$15,0,$DN66,$B$8,1),OFFSET($M$15,0,0,$B$8,1))=DP$13), 1*(_xlfn._xlws.FILTER(OFFSET($O$15,0,$DO66,$B$8,1),OFFSET($M$15,0,0,$B$8,1))=DP$14))   /   SUM(OFFSET($BO$15,0,0,$B$14,1)) + $B$18/($B$19*$B$19*($DN66&lt;&gt;$DO66) + $B$19*($DN66=$DO66))</f>
        <v>3.7037037037037035E-4</v>
      </c>
      <c r="DQ66" s="10" cm="1">
        <f t="array" aca="1" ref="DQ66" ca="1">(1-$B$18)*SUMPRODUCT(OFFSET($BO$15,0,0,$B$14,1), 1*(_xlfn._xlws.FILTER(OFFSET($O$15,0,$DN66,$B$8,1),OFFSET($M$15,0,0,$B$8,1))=DQ$13), 1*(_xlfn._xlws.FILTER(OFFSET($O$15,0,$DO66,$B$8,1),OFFSET($M$15,0,0,$B$8,1))=DQ$14))   /   SUM(OFFSET($BO$15,0,0,$B$14,1)) + $B$18/($B$19*$B$19*($DN66&lt;&gt;$DO66) + $B$19*($DN66=$DO66))</f>
        <v>3.7037037037037035E-4</v>
      </c>
      <c r="DR66" s="10" cm="1">
        <f t="array" aca="1" ref="DR66" ca="1">(1-$B$18)*SUMPRODUCT(OFFSET($BO$15,0,0,$B$14,1), 1*(_xlfn._xlws.FILTER(OFFSET($O$15,0,$DN66,$B$8,1),OFFSET($M$15,0,0,$B$8,1))=DR$13), 1*(_xlfn._xlws.FILTER(OFFSET($O$15,0,$DO66,$B$8,1),OFFSET($M$15,0,0,$B$8,1))=DR$14))   /   SUM(OFFSET($BO$15,0,0,$B$14,1)) + $B$18/($B$19*$B$19*($DN66&lt;&gt;$DO66) + $B$19*($DN66=$DO66))</f>
        <v>3.7037037037037035E-4</v>
      </c>
      <c r="DS66" s="10" cm="1">
        <f t="array" aca="1" ref="DS66" ca="1">(1-$B$18)*SUMPRODUCT(OFFSET($BO$15,0,0,$B$14,1), 1*(_xlfn._xlws.FILTER(OFFSET($O$15,0,$DN66,$B$8,1),OFFSET($M$15,0,0,$B$8,1))=DS$13), 1*(_xlfn._xlws.FILTER(OFFSET($O$15,0,$DO66,$B$8,1),OFFSET($M$15,0,0,$B$8,1))=DS$14))   /   SUM(OFFSET($BO$15,0,0,$B$14,1)) + $B$18/($B$19*$B$19*($DN66&lt;&gt;$DO66) + $B$19*($DN66=$DO66))</f>
        <v>3.7037037037037035E-4</v>
      </c>
      <c r="DT66" s="10" cm="1">
        <f t="array" aca="1" ref="DT66" ca="1">(1-$B$18)*SUMPRODUCT(OFFSET($BO$15,0,0,$B$14,1), 1*(_xlfn._xlws.FILTER(OFFSET($O$15,0,$DN66,$B$8,1),OFFSET($M$15,0,0,$B$8,1))=DT$13), 1*(_xlfn._xlws.FILTER(OFFSET($O$15,0,$DO66,$B$8,1),OFFSET($M$15,0,0,$B$8,1))=DT$14))   /   SUM(OFFSET($BO$15,0,0,$B$14,1)) + $B$18/($B$19*$B$19*($DN66&lt;&gt;$DO66) + $B$19*($DN66=$DO66))</f>
        <v>3.7037037037037035E-4</v>
      </c>
      <c r="DU66" s="10" cm="1">
        <f t="array" aca="1" ref="DU66" ca="1">(1-$B$18)*SUMPRODUCT(OFFSET($BO$15,0,0,$B$14,1), 1*(_xlfn._xlws.FILTER(OFFSET($O$15,0,$DN66,$B$8,1),OFFSET($M$15,0,0,$B$8,1))=DU$13), 1*(_xlfn._xlws.FILTER(OFFSET($O$15,0,$DO66,$B$8,1),OFFSET($M$15,0,0,$B$8,1))=DU$14))   /   SUM(OFFSET($BO$15,0,0,$B$14,1)) + $B$18/($B$19*$B$19*($DN66&lt;&gt;$DO66) + $B$19*($DN66=$DO66))</f>
        <v>3.7037037037037035E-4</v>
      </c>
      <c r="DV66" s="10" cm="1">
        <f t="array" aca="1" ref="DV66" ca="1">(1-$B$18)*SUMPRODUCT(OFFSET($BO$15,0,0,$B$14,1), 1*(_xlfn._xlws.FILTER(OFFSET($O$15,0,$DN66,$B$8,1),OFFSET($M$15,0,0,$B$8,1))=DV$13), 1*(_xlfn._xlws.FILTER(OFFSET($O$15,0,$DO66,$B$8,1),OFFSET($M$15,0,0,$B$8,1))=DV$14))   /   SUM(OFFSET($BO$15,0,0,$B$14,1)) + $B$18/($B$19*$B$19*($DN66&lt;&gt;$DO66) + $B$19*($DN66=$DO66))</f>
        <v>3.7037037037037035E-4</v>
      </c>
      <c r="DW66" s="10" cm="1">
        <f t="array" aca="1" ref="DW66" ca="1">(1-$B$18)*SUMPRODUCT(OFFSET($BO$15,0,0,$B$14,1), 1*(_xlfn._xlws.FILTER(OFFSET($O$15,0,$DN66,$B$8,1),OFFSET($M$15,0,0,$B$8,1))=DW$13), 1*(_xlfn._xlws.FILTER(OFFSET($O$15,0,$DO66,$B$8,1),OFFSET($M$15,0,0,$B$8,1))=DW$14))   /   SUM(OFFSET($BO$15,0,0,$B$14,1)) + $B$18/($B$19*$B$19*($DN66&lt;&gt;$DO66) + $B$19*($DN66=$DO66))</f>
        <v>3.7037037037037035E-4</v>
      </c>
      <c r="DX66" s="10" cm="1">
        <f t="array" aca="1" ref="DX66" ca="1">(1-$B$18)*SUMPRODUCT(OFFSET($BO$15,0,0,$B$14,1), 1*(_xlfn._xlws.FILTER(OFFSET($O$15,0,$DN66,$B$8,1),OFFSET($M$15,0,0,$B$8,1))=DX$13), 1*(_xlfn._xlws.FILTER(OFFSET($O$15,0,$DO66,$B$8,1),OFFSET($M$15,0,0,$B$8,1))=DX$14))   /   SUM(OFFSET($BO$15,0,0,$B$14,1)) + $B$18/($B$19*$B$19*($DN66&lt;&gt;$DO66) + $B$19*($DN66=$DO66))</f>
        <v>3.7037037037037035E-4</v>
      </c>
      <c r="DY66" s="10" cm="1">
        <f t="array" aca="1" ref="DY66" ca="1">(1-$B$18)*SUMPRODUCT(OFFSET($BO$15,0,0,$B$14,1), 1*(_xlfn._xlws.FILTER(OFFSET($O$15,0,$DN66,$B$8,1),OFFSET($M$15,0,0,$B$8,1))=DY$13), 1*(_xlfn._xlws.FILTER(OFFSET($O$15,0,$DO66,$B$8,1),OFFSET($M$15,0,0,$B$8,1))=DY$14))   /   SUM(OFFSET($BO$15,0,0,$B$14,1)) + $B$18/($B$19*$B$19*($DN66&lt;&gt;$DO66) + $B$19*($DN66=$DO66))</f>
        <v>3.7037037037037035E-4</v>
      </c>
      <c r="DZ66" s="10" cm="1">
        <f t="array" aca="1" ref="DZ66" ca="1">(1-$B$18)*SUMPRODUCT(OFFSET($BO$15,0,0,$B$14,1), 1*(_xlfn._xlws.FILTER(OFFSET($O$15,0,$DN66,$B$8,1),OFFSET($M$15,0,0,$B$8,1))=DZ$13), 1*(_xlfn._xlws.FILTER(OFFSET($O$15,0,$DO66,$B$8,1),OFFSET($M$15,0,0,$B$8,1))=DZ$14))   /   SUM(OFFSET($BO$15,0,0,$B$14,1)) + $B$18/($B$19*$B$19*($DN66&lt;&gt;$DO66) + $B$19*($DN66=$DO66))</f>
        <v>3.7037037037037035E-4</v>
      </c>
      <c r="EA66" s="10" cm="1">
        <f t="array" aca="1" ref="EA66" ca="1">(1-$B$18)*SUMPRODUCT(OFFSET($BO$15,0,0,$B$14,1), 1*(_xlfn._xlws.FILTER(OFFSET($O$15,0,$DN66,$B$8,1),OFFSET($M$15,0,0,$B$8,1))=EA$13), 1*(_xlfn._xlws.FILTER(OFFSET($O$15,0,$DO66,$B$8,1),OFFSET($M$15,0,0,$B$8,1))=EA$14))   /   SUM(OFFSET($BO$15,0,0,$B$14,1)) + $B$18/($B$19*$B$19*($DN66&lt;&gt;$DO66) + $B$19*($DN66=$DO66))</f>
        <v>3.7037037037037035E-4</v>
      </c>
      <c r="EB66" s="10" cm="1">
        <f t="array" aca="1" ref="EB66" ca="1">(1-$B$18)*SUMPRODUCT(OFFSET($BO$15,0,0,$B$14,1), 1*(_xlfn._xlws.FILTER(OFFSET($O$15,0,$DN66,$B$8,1),OFFSET($M$15,0,0,$B$8,1))=EB$13), 1*(_xlfn._xlws.FILTER(OFFSET($O$15,0,$DO66,$B$8,1),OFFSET($M$15,0,0,$B$8,1))=EB$14))   /   SUM(OFFSET($BO$15,0,0,$B$14,1)) + $B$18/($B$19*$B$19*($DN66&lt;&gt;$DO66) + $B$19*($DN66=$DO66))</f>
        <v>3.7037037037037035E-4</v>
      </c>
      <c r="EC66" s="10" cm="1">
        <f t="array" aca="1" ref="EC66" ca="1">(1-$B$18)*SUMPRODUCT(OFFSET($BO$15,0,0,$B$14,1), 1*(_xlfn._xlws.FILTER(OFFSET($O$15,0,$DN66,$B$8,1),OFFSET($M$15,0,0,$B$8,1))=EC$13), 1*(_xlfn._xlws.FILTER(OFFSET($O$15,0,$DO66,$B$8,1),OFFSET($M$15,0,0,$B$8,1))=EC$14))   /   SUM(OFFSET($BO$15,0,0,$B$14,1)) + $B$18/($B$19*$B$19*($DN66&lt;&gt;$DO66) + $B$19*($DN66=$DO66))</f>
        <v>3.7037037037037035E-4</v>
      </c>
      <c r="ED66" s="10" cm="1">
        <f t="array" aca="1" ref="ED66" ca="1">(1-$B$18)*SUMPRODUCT(OFFSET($BO$15,0,0,$B$14,1), 1*(_xlfn._xlws.FILTER(OFFSET($O$15,0,$DN66,$B$8,1),OFFSET($M$15,0,0,$B$8,1))=ED$13), 1*(_xlfn._xlws.FILTER(OFFSET($O$15,0,$DO66,$B$8,1),OFFSET($M$15,0,0,$B$8,1))=ED$14))   /   SUM(OFFSET($BO$15,0,0,$B$14,1)) + $B$18/($B$19*$B$19*($DN66&lt;&gt;$DO66) + $B$19*($DN66=$DO66))</f>
        <v>3.7037037037037035E-4</v>
      </c>
      <c r="EE66" s="10" cm="1">
        <f t="array" aca="1" ref="EE66" ca="1">(1-$B$18)*SUMPRODUCT(OFFSET($BO$15,0,0,$B$14,1), 1*(_xlfn._xlws.FILTER(OFFSET($O$15,0,$DN66,$B$8,1),OFFSET($M$15,0,0,$B$8,1))=EE$13), 1*(_xlfn._xlws.FILTER(OFFSET($O$15,0,$DO66,$B$8,1),OFFSET($M$15,0,0,$B$8,1))=EE$14))   /   SUM(OFFSET($BO$15,0,0,$B$14,1)) + $B$18/($B$19*$B$19*($DN66&lt;&gt;$DO66) + $B$19*($DN66=$DO66))</f>
        <v>3.7037037037037035E-4</v>
      </c>
      <c r="EF66" s="10" cm="1">
        <f t="array" aca="1" ref="EF66" ca="1">(1-$B$18)*SUMPRODUCT(OFFSET($BO$15,0,0,$B$14,1), 1*(_xlfn._xlws.FILTER(OFFSET($O$15,0,$DN66,$B$8,1),OFFSET($M$15,0,0,$B$8,1))=EF$13), 1*(_xlfn._xlws.FILTER(OFFSET($O$15,0,$DO66,$B$8,1),OFFSET($M$15,0,0,$B$8,1))=EF$14))   /   SUM(OFFSET($BO$15,0,0,$B$14,1)) + $B$18/($B$19*$B$19*($DN66&lt;&gt;$DO66) + $B$19*($DN66=$DO66))</f>
        <v>3.7037037037037035E-4</v>
      </c>
      <c r="EG66" s="10" cm="1">
        <f t="array" aca="1" ref="EG66" ca="1">(1-$B$18)*SUMPRODUCT(OFFSET($BO$15,0,0,$B$14,1), 1*(_xlfn._xlws.FILTER(OFFSET($O$15,0,$DN66,$B$8,1),OFFSET($M$15,0,0,$B$8,1))=EG$13), 1*(_xlfn._xlws.FILTER(OFFSET($O$15,0,$DO66,$B$8,1),OFFSET($M$15,0,0,$B$8,1))=EG$14))   /   SUM(OFFSET($BO$15,0,0,$B$14,1)) + $B$18/($B$19*$B$19*($DN66&lt;&gt;$DO66) + $B$19*($DN66=$DO66))</f>
        <v>3.7037037037037035E-4</v>
      </c>
      <c r="EH66" s="10" cm="1">
        <f t="array" aca="1" ref="EH66" ca="1">(1-$B$18)*SUMPRODUCT(OFFSET($BO$15,0,0,$B$14,1), 1*(_xlfn._xlws.FILTER(OFFSET($O$15,0,$DN66,$B$8,1),OFFSET($M$15,0,0,$B$8,1))=EH$13), 1*(_xlfn._xlws.FILTER(OFFSET($O$15,0,$DO66,$B$8,1),OFFSET($M$15,0,0,$B$8,1))=EH$14))   /   SUM(OFFSET($BO$15,0,0,$B$14,1)) + $B$18/($B$19*$B$19*($DN66&lt;&gt;$DO66) + $B$19*($DN66=$DO66))</f>
        <v>3.7037037037037035E-4</v>
      </c>
      <c r="EI66" s="10" cm="1">
        <f t="array" aca="1" ref="EI66" ca="1">(1-$B$18)*SUMPRODUCT(OFFSET($BO$15,0,0,$B$14,1), 1*(_xlfn._xlws.FILTER(OFFSET($O$15,0,$DN66,$B$8,1),OFFSET($M$15,0,0,$B$8,1))=EI$13), 1*(_xlfn._xlws.FILTER(OFFSET($O$15,0,$DO66,$B$8,1),OFFSET($M$15,0,0,$B$8,1))=EI$14))   /   SUM(OFFSET($BO$15,0,0,$B$14,1)) + $B$18/($B$19*$B$19*($DN66&lt;&gt;$DO66) + $B$19*($DN66=$DO66))</f>
        <v>3.7037037037037035E-4</v>
      </c>
      <c r="EJ66" s="10" cm="1">
        <f t="array" aca="1" ref="EJ66" ca="1">(1-$B$18)*SUMPRODUCT(OFFSET($BO$15,0,0,$B$14,1), 1*(_xlfn._xlws.FILTER(OFFSET($O$15,0,$DN66,$B$8,1),OFFSET($M$15,0,0,$B$8,1))=EJ$13), 1*(_xlfn._xlws.FILTER(OFFSET($O$15,0,$DO66,$B$8,1),OFFSET($M$15,0,0,$B$8,1))=EJ$14))   /   SUM(OFFSET($BO$15,0,0,$B$14,1)) + $B$18/($B$19*$B$19*($DN66&lt;&gt;$DO66) + $B$19*($DN66=$DO66))</f>
        <v>3.7037037037037035E-4</v>
      </c>
      <c r="EK66" s="10" cm="1">
        <f t="array" aca="1" ref="EK66" ca="1">(1-$B$18)*SUMPRODUCT(OFFSET($BO$15,0,0,$B$14,1), 1*(_xlfn._xlws.FILTER(OFFSET($O$15,0,$DN66,$B$8,1),OFFSET($M$15,0,0,$B$8,1))=EK$13), 1*(_xlfn._xlws.FILTER(OFFSET($O$15,0,$DO66,$B$8,1),OFFSET($M$15,0,0,$B$8,1))=EK$14))   /   SUM(OFFSET($BO$15,0,0,$B$14,1)) + $B$18/($B$19*$B$19*($DN66&lt;&gt;$DO66) + $B$19*($DN66=$DO66))</f>
        <v>3.7037037037037035E-4</v>
      </c>
      <c r="EL66" s="10" cm="1">
        <f t="array" aca="1" ref="EL66" ca="1">(1-$B$18)*SUMPRODUCT(OFFSET($BO$15,0,0,$B$14,1), 1*(_xlfn._xlws.FILTER(OFFSET($O$15,0,$DN66,$B$8,1),OFFSET($M$15,0,0,$B$8,1))=EL$13), 1*(_xlfn._xlws.FILTER(OFFSET($O$15,0,$DO66,$B$8,1),OFFSET($M$15,0,0,$B$8,1))=EL$14))   /   SUM(OFFSET($BO$15,0,0,$B$14,1)) + $B$18/($B$19*$B$19*($DN66&lt;&gt;$DO66) + $B$19*($DN66=$DO66))</f>
        <v>3.7037037037037035E-4</v>
      </c>
      <c r="EM66" s="10" cm="1">
        <f t="array" aca="1" ref="EM66" ca="1">(1-$B$18)*SUMPRODUCT(OFFSET($BO$15,0,0,$B$14,1), 1*(_xlfn._xlws.FILTER(OFFSET($O$15,0,$DN66,$B$8,1),OFFSET($M$15,0,0,$B$8,1))=EM$13), 1*(_xlfn._xlws.FILTER(OFFSET($O$15,0,$DO66,$B$8,1),OFFSET($M$15,0,0,$B$8,1))=EM$14))   /   SUM(OFFSET($BO$15,0,0,$B$14,1)) + $B$18/($B$19*$B$19*($DN66&lt;&gt;$DO66) + $B$19*($DN66=$DO66))</f>
        <v>3.7037037037037035E-4</v>
      </c>
      <c r="EN66" s="10" cm="1">
        <f t="array" aca="1" ref="EN66" ca="1">(1-$B$18)*SUMPRODUCT(OFFSET($BO$15,0,0,$B$14,1), 1*(_xlfn._xlws.FILTER(OFFSET($O$15,0,$DN66,$B$8,1),OFFSET($M$15,0,0,$B$8,1))=EN$13), 1*(_xlfn._xlws.FILTER(OFFSET($O$15,0,$DO66,$B$8,1),OFFSET($M$15,0,0,$B$8,1))=EN$14))   /   SUM(OFFSET($BO$15,0,0,$B$14,1)) + $B$18/($B$19*$B$19*($DN66&lt;&gt;$DO66) + $B$19*($DN66=$DO66))</f>
        <v>3.7037037037037035E-4</v>
      </c>
      <c r="EO66" s="10" cm="1">
        <f t="array" aca="1" ref="EO66" ca="1">(1-$B$18)*SUMPRODUCT(OFFSET($BO$15,0,0,$B$14,1), 1*(_xlfn._xlws.FILTER(OFFSET($O$15,0,$DN66,$B$8,1),OFFSET($M$15,0,0,$B$8,1))=EO$13), 1*(_xlfn._xlws.FILTER(OFFSET($O$15,0,$DO66,$B$8,1),OFFSET($M$15,0,0,$B$8,1))=EO$14))   /   SUM(OFFSET($BO$15,0,0,$B$14,1)) + $B$18/($B$19*$B$19*($DN66&lt;&gt;$DO66) + $B$19*($DN66=$DO66))</f>
        <v>3.7037037037037035E-4</v>
      </c>
      <c r="EP66" s="10" cm="1">
        <f t="array" aca="1" ref="EP66" ca="1">(1-$B$18)*SUMPRODUCT(OFFSET($BO$15,0,0,$B$14,1), 1*(_xlfn._xlws.FILTER(OFFSET($O$15,0,$DN66,$B$8,1),OFFSET($M$15,0,0,$B$8,1))=EP$13), 1*(_xlfn._xlws.FILTER(OFFSET($O$15,0,$DO66,$B$8,1),OFFSET($M$15,0,0,$B$8,1))=EP$14))   /   SUM(OFFSET($BO$15,0,0,$B$14,1)) + $B$18/($B$19*$B$19*($DN66&lt;&gt;$DO66) + $B$19*($DN66=$DO66))</f>
        <v>3.7037037037037035E-4</v>
      </c>
      <c r="EQ66" s="10" cm="1">
        <f t="array" aca="1" ref="EQ66" ca="1">(1-$B$18)*SUMPRODUCT(OFFSET($BO$15,0,0,$B$14,1), 1*(_xlfn._xlws.FILTER(OFFSET($O$15,0,$DN66,$B$8,1),OFFSET($M$15,0,0,$B$8,1))=EQ$13), 1*(_xlfn._xlws.FILTER(OFFSET($O$15,0,$DO66,$B$8,1),OFFSET($M$15,0,0,$B$8,1))=EQ$14))   /   SUM(OFFSET($BO$15,0,0,$B$14,1)) + $B$18/($B$19*$B$19*($DN66&lt;&gt;$DO66) + $B$19*($DN66=$DO66))</f>
        <v>3.7037037037037035E-4</v>
      </c>
      <c r="ER66" s="10" cm="1">
        <f t="array" aca="1" ref="ER66" ca="1">(1-$B$18)*SUMPRODUCT(OFFSET($BO$15,0,0,$B$14,1), 1*(_xlfn._xlws.FILTER(OFFSET($O$15,0,$DN66,$B$8,1),OFFSET($M$15,0,0,$B$8,1))=ER$13), 1*(_xlfn._xlws.FILTER(OFFSET($O$15,0,$DO66,$B$8,1),OFFSET($M$15,0,0,$B$8,1))=ER$14))   /   SUM(OFFSET($BO$15,0,0,$B$14,1)) + $B$18/($B$19*$B$19*($DN66&lt;&gt;$DO66) + $B$19*($DN66=$DO66))</f>
        <v>3.7037037037037035E-4</v>
      </c>
      <c r="ES66" s="10" cm="1">
        <f t="array" aca="1" ref="ES66" ca="1">(1-$B$18)*SUMPRODUCT(OFFSET($BO$15,0,0,$B$14,1), 1*(_xlfn._xlws.FILTER(OFFSET($O$15,0,$DN66,$B$8,1),OFFSET($M$15,0,0,$B$8,1))=ES$13), 1*(_xlfn._xlws.FILTER(OFFSET($O$15,0,$DO66,$B$8,1),OFFSET($M$15,0,0,$B$8,1))=ES$14))   /   SUM(OFFSET($BO$15,0,0,$B$14,1)) + $B$18/($B$19*$B$19*($DN66&lt;&gt;$DO66) + $B$19*($DN66=$DO66))</f>
        <v>3.7037037037037035E-4</v>
      </c>
      <c r="ET66" s="10" cm="1">
        <f t="array" aca="1" ref="ET66" ca="1">(1-$B$18)*SUMPRODUCT(OFFSET($BO$15,0,0,$B$14,1), 1*(_xlfn._xlws.FILTER(OFFSET($O$15,0,$DN66,$B$8,1),OFFSET($M$15,0,0,$B$8,1))=ET$13), 1*(_xlfn._xlws.FILTER(OFFSET($O$15,0,$DO66,$B$8,1),OFFSET($M$15,0,0,$B$8,1))=ET$14))   /   SUM(OFFSET($BO$15,0,0,$B$14,1)) + $B$18/($B$19*$B$19*($DN66&lt;&gt;$DO66) + $B$19*($DN66=$DO66))</f>
        <v>3.7037037037037035E-4</v>
      </c>
      <c r="EU66" s="10" cm="1">
        <f t="array" aca="1" ref="EU66" ca="1">(1-$B$18)*SUMPRODUCT(OFFSET($BO$15,0,0,$B$14,1), 1*(_xlfn._xlws.FILTER(OFFSET($O$15,0,$DN66,$B$8,1),OFFSET($M$15,0,0,$B$8,1))=EU$13), 1*(_xlfn._xlws.FILTER(OFFSET($O$15,0,$DO66,$B$8,1),OFFSET($M$15,0,0,$B$8,1))=EU$14))   /   SUM(OFFSET($BO$15,0,0,$B$14,1)) + $B$18/($B$19*$B$19*($DN66&lt;&gt;$DO66) + $B$19*($DN66=$DO66))</f>
        <v>3.7037037037037035E-4</v>
      </c>
      <c r="EV66" s="10" cm="1">
        <f t="array" aca="1" ref="EV66" ca="1">(1-$B$18)*SUMPRODUCT(OFFSET($BO$15,0,0,$B$14,1), 1*(_xlfn._xlws.FILTER(OFFSET($O$15,0,$DN66,$B$8,1),OFFSET($M$15,0,0,$B$8,1))=EV$13), 1*(_xlfn._xlws.FILTER(OFFSET($O$15,0,$DO66,$B$8,1),OFFSET($M$15,0,0,$B$8,1))=EV$14))   /   SUM(OFFSET($BO$15,0,0,$B$14,1)) + $B$18/($B$19*$B$19*($DN66&lt;&gt;$DO66) + $B$19*($DN66=$DO66))</f>
        <v>3.7037037037037035E-4</v>
      </c>
      <c r="EW66" s="10" cm="1">
        <f t="array" aca="1" ref="EW66" ca="1">(1-$B$18)*SUMPRODUCT(OFFSET($BO$15,0,0,$B$14,1), 1*(_xlfn._xlws.FILTER(OFFSET($O$15,0,$DN66,$B$8,1),OFFSET($M$15,0,0,$B$8,1))=EW$13), 1*(_xlfn._xlws.FILTER(OFFSET($O$15,0,$DO66,$B$8,1),OFFSET($M$15,0,0,$B$8,1))=EW$14))   /   SUM(OFFSET($BO$15,0,0,$B$14,1)) + $B$18/($B$19*$B$19*($DN66&lt;&gt;$DO66) + $B$19*($DN66=$DO66))</f>
        <v>3.7037037037037035E-4</v>
      </c>
      <c r="EX66" s="10" cm="1">
        <f t="array" aca="1" ref="EX66" ca="1">(1-$B$18)*SUMPRODUCT(OFFSET($BO$15,0,0,$B$14,1), 1*(_xlfn._xlws.FILTER(OFFSET($O$15,0,$DN66,$B$8,1),OFFSET($M$15,0,0,$B$8,1))=EX$13), 1*(_xlfn._xlws.FILTER(OFFSET($O$15,0,$DO66,$B$8,1),OFFSET($M$15,0,0,$B$8,1))=EX$14))   /   SUM(OFFSET($BO$15,0,0,$B$14,1)) + $B$18/($B$19*$B$19*($DN66&lt;&gt;$DO66) + $B$19*($DN66=$DO66))</f>
        <v>3.7037037037037035E-4</v>
      </c>
      <c r="EY66" s="10" cm="1">
        <f t="array" aca="1" ref="EY66" ca="1">(1-$B$18)*SUMPRODUCT(OFFSET($BO$15,0,0,$B$14,1), 1*(_xlfn._xlws.FILTER(OFFSET($O$15,0,$DN66,$B$8,1),OFFSET($M$15,0,0,$B$8,1))=EY$13), 1*(_xlfn._xlws.FILTER(OFFSET($O$15,0,$DO66,$B$8,1),OFFSET($M$15,0,0,$B$8,1))=EY$14))   /   SUM(OFFSET($BO$15,0,0,$B$14,1)) + $B$18/($B$19*$B$19*($DN66&lt;&gt;$DO66) + $B$19*($DN66=$DO66))</f>
        <v>3.7037037037037035E-4</v>
      </c>
      <c r="EZ66" s="10" cm="1">
        <f t="array" aca="1" ref="EZ66" ca="1">(1-$B$18)*SUMPRODUCT(OFFSET($BO$15,0,0,$B$14,1), 1*(_xlfn._xlws.FILTER(OFFSET($O$15,0,$DN66,$B$8,1),OFFSET($M$15,0,0,$B$8,1))=EZ$13), 1*(_xlfn._xlws.FILTER(OFFSET($O$15,0,$DO66,$B$8,1),OFFSET($M$15,0,0,$B$8,1))=EZ$14))   /   SUM(OFFSET($BO$15,0,0,$B$14,1)) + $B$18/($B$19*$B$19*($DN66&lt;&gt;$DO66) + $B$19*($DN66=$DO66))</f>
        <v>3.7037037037037035E-4</v>
      </c>
      <c r="FA66" s="10" cm="1">
        <f t="array" aca="1" ref="FA66" ca="1">(1-$B$18)*SUMPRODUCT(OFFSET($BO$15,0,0,$B$14,1), 1*(_xlfn._xlws.FILTER(OFFSET($O$15,0,$DN66,$B$8,1),OFFSET($M$15,0,0,$B$8,1))=FA$13), 1*(_xlfn._xlws.FILTER(OFFSET($O$15,0,$DO66,$B$8,1),OFFSET($M$15,0,0,$B$8,1))=FA$14))   /   SUM(OFFSET($BO$15,0,0,$B$14,1)) + $B$18/($B$19*$B$19*($DN66&lt;&gt;$DO66) + $B$19*($DN66=$DO66))</f>
        <v>3.7037037037037035E-4</v>
      </c>
      <c r="FB66" s="10" cm="1">
        <f t="array" aca="1" ref="FB66" ca="1">(1-$B$18)*SUMPRODUCT(OFFSET($BO$15,0,0,$B$14,1), 1*(_xlfn._xlws.FILTER(OFFSET($O$15,0,$DN66,$B$8,1),OFFSET($M$15,0,0,$B$8,1))=FB$13), 1*(_xlfn._xlws.FILTER(OFFSET($O$15,0,$DO66,$B$8,1),OFFSET($M$15,0,0,$B$8,1))=FB$14))   /   SUM(OFFSET($BO$15,0,0,$B$14,1)) + $B$18/($B$19*$B$19*($DN66&lt;&gt;$DO66) + $B$19*($DN66=$DO66))</f>
        <v>3.7037037037037035E-4</v>
      </c>
      <c r="FC66" s="10" cm="1">
        <f t="array" aca="1" ref="FC66" ca="1">(1-$B$18)*SUMPRODUCT(OFFSET($BO$15,0,0,$B$14,1), 1*(_xlfn._xlws.FILTER(OFFSET($O$15,0,$DN66,$B$8,1),OFFSET($M$15,0,0,$B$8,1))=FC$13), 1*(_xlfn._xlws.FILTER(OFFSET($O$15,0,$DO66,$B$8,1),OFFSET($M$15,0,0,$B$8,1))=FC$14))   /   SUM(OFFSET($BO$15,0,0,$B$14,1)) + $B$18/($B$19*$B$19*($DN66&lt;&gt;$DO66) + $B$19*($DN66=$DO66))</f>
        <v>3.7037037037037035E-4</v>
      </c>
      <c r="FD66" s="10" cm="1">
        <f t="array" aca="1" ref="FD66" ca="1">(1-$B$18)*SUMPRODUCT(OFFSET($BO$15,0,0,$B$14,1), 1*(_xlfn._xlws.FILTER(OFFSET($O$15,0,$DN66,$B$8,1),OFFSET($M$15,0,0,$B$8,1))=FD$13), 1*(_xlfn._xlws.FILTER(OFFSET($O$15,0,$DO66,$B$8,1),OFFSET($M$15,0,0,$B$8,1))=FD$14))   /   SUM(OFFSET($BO$15,0,0,$B$14,1)) + $B$18/($B$19*$B$19*($DN66&lt;&gt;$DO66) + $B$19*($DN66=$DO66))</f>
        <v>3.7037037037037035E-4</v>
      </c>
      <c r="FE66" s="10" cm="1">
        <f t="array" aca="1" ref="FE66" ca="1">(1-$B$18)*SUMPRODUCT(OFFSET($BO$15,0,0,$B$14,1), 1*(_xlfn._xlws.FILTER(OFFSET($O$15,0,$DN66,$B$8,1),OFFSET($M$15,0,0,$B$8,1))=FE$13), 1*(_xlfn._xlws.FILTER(OFFSET($O$15,0,$DO66,$B$8,1),OFFSET($M$15,0,0,$B$8,1))=FE$14))   /   SUM(OFFSET($BO$15,0,0,$B$14,1)) + $B$18/($B$19*$B$19*($DN66&lt;&gt;$DO66) + $B$19*($DN66=$DO66))</f>
        <v>3.7037037037037035E-4</v>
      </c>
      <c r="FF66" s="10" cm="1">
        <f t="array" aca="1" ref="FF66" ca="1">(1-$B$18)*SUMPRODUCT(OFFSET($BO$15,0,0,$B$14,1), 1*(_xlfn._xlws.FILTER(OFFSET($O$15,0,$DN66,$B$8,1),OFFSET($M$15,0,0,$B$8,1))=FF$13), 1*(_xlfn._xlws.FILTER(OFFSET($O$15,0,$DO66,$B$8,1),OFFSET($M$15,0,0,$B$8,1))=FF$14))   /   SUM(OFFSET($BO$15,0,0,$B$14,1)) + $B$18/($B$19*$B$19*($DN66&lt;&gt;$DO66) + $B$19*($DN66=$DO66))</f>
        <v>3.7037037037037035E-4</v>
      </c>
      <c r="FG66" s="10" cm="1">
        <f t="array" aca="1" ref="FG66" ca="1">(1-$B$18)*SUMPRODUCT(OFFSET($BO$15,0,0,$B$14,1), 1*(_xlfn._xlws.FILTER(OFFSET($O$15,0,$DN66,$B$8,1),OFFSET($M$15,0,0,$B$8,1))=FG$13), 1*(_xlfn._xlws.FILTER(OFFSET($O$15,0,$DO66,$B$8,1),OFFSET($M$15,0,0,$B$8,1))=FG$14))   /   SUM(OFFSET($BO$15,0,0,$B$14,1)) + $B$18/($B$19*$B$19*($DN66&lt;&gt;$DO66) + $B$19*($DN66=$DO66))</f>
        <v>3.7037037037037035E-4</v>
      </c>
      <c r="FH66" s="10" cm="1">
        <f t="array" aca="1" ref="FH66" ca="1">(1-$B$18)*SUMPRODUCT(OFFSET($BO$15,0,0,$B$14,1), 1*(_xlfn._xlws.FILTER(OFFSET($O$15,0,$DN66,$B$8,1),OFFSET($M$15,0,0,$B$8,1))=FH$13), 1*(_xlfn._xlws.FILTER(OFFSET($O$15,0,$DO66,$B$8,1),OFFSET($M$15,0,0,$B$8,1))=FH$14))   /   SUM(OFFSET($BO$15,0,0,$B$14,1)) + $B$18/($B$19*$B$19*($DN66&lt;&gt;$DO66) + $B$19*($DN66=$DO66))</f>
        <v>3.7037037037037035E-4</v>
      </c>
      <c r="FI66" s="10" cm="1">
        <f t="array" aca="1" ref="FI66" ca="1">(1-$B$18)*SUMPRODUCT(OFFSET($BO$15,0,0,$B$14,1), 1*(_xlfn._xlws.FILTER(OFFSET($O$15,0,$DN66,$B$8,1),OFFSET($M$15,0,0,$B$8,1))=FI$13), 1*(_xlfn._xlws.FILTER(OFFSET($O$15,0,$DO66,$B$8,1),OFFSET($M$15,0,0,$B$8,1))=FI$14))   /   SUM(OFFSET($BO$15,0,0,$B$14,1)) + $B$18/($B$19*$B$19*($DN66&lt;&gt;$DO66) + $B$19*($DN66=$DO66))</f>
        <v>3.7037037037037035E-4</v>
      </c>
      <c r="FJ66" s="10" cm="1">
        <f t="array" aca="1" ref="FJ66" ca="1">(1-$B$18)*SUMPRODUCT(OFFSET($BO$15,0,0,$B$14,1), 1*(_xlfn._xlws.FILTER(OFFSET($O$15,0,$DN66,$B$8,1),OFFSET($M$15,0,0,$B$8,1))=FJ$13), 1*(_xlfn._xlws.FILTER(OFFSET($O$15,0,$DO66,$B$8,1),OFFSET($M$15,0,0,$B$8,1))=FJ$14))   /   SUM(OFFSET($BO$15,0,0,$B$14,1)) + $B$18/($B$19*$B$19*($DN66&lt;&gt;$DO66) + $B$19*($DN66=$DO66))</f>
        <v>3.7037037037037035E-4</v>
      </c>
      <c r="FK66" s="10" cm="1">
        <f t="array" aca="1" ref="FK66" ca="1">(1-$B$18)*SUMPRODUCT(OFFSET($BO$15,0,0,$B$14,1), 1*(_xlfn._xlws.FILTER(OFFSET($O$15,0,$DN66,$B$8,1),OFFSET($M$15,0,0,$B$8,1))=FK$13), 1*(_xlfn._xlws.FILTER(OFFSET($O$15,0,$DO66,$B$8,1),OFFSET($M$15,0,0,$B$8,1))=FK$14))   /   SUM(OFFSET($BO$15,0,0,$B$14,1)) + $B$18/($B$19*$B$19*($DN66&lt;&gt;$DO66) + $B$19*($DN66=$DO66))</f>
        <v>3.7037037037037035E-4</v>
      </c>
      <c r="FL66" s="10" cm="1">
        <f t="array" aca="1" ref="FL66" ca="1">(1-$B$18)*SUMPRODUCT(OFFSET($BO$15,0,0,$B$14,1), 1*(_xlfn._xlws.FILTER(OFFSET($O$15,0,$DN66,$B$8,1),OFFSET($M$15,0,0,$B$8,1))=FL$13), 1*(_xlfn._xlws.FILTER(OFFSET($O$15,0,$DO66,$B$8,1),OFFSET($M$15,0,0,$B$8,1))=FL$14))   /   SUM(OFFSET($BO$15,0,0,$B$14,1)) + $B$18/($B$19*$B$19*($DN66&lt;&gt;$DO66) + $B$19*($DN66=$DO66))</f>
        <v>3.7037037037037035E-4</v>
      </c>
      <c r="FM66" s="10" cm="1">
        <f t="array" aca="1" ref="FM66" ca="1">(1-$B$18)*SUMPRODUCT(OFFSET($BO$15,0,0,$B$14,1), 1*(_xlfn._xlws.FILTER(OFFSET($O$15,0,$DN66,$B$8,1),OFFSET($M$15,0,0,$B$8,1))=FM$13), 1*(_xlfn._xlws.FILTER(OFFSET($O$15,0,$DO66,$B$8,1),OFFSET($M$15,0,0,$B$8,1))=FM$14))   /   SUM(OFFSET($BO$15,0,0,$B$14,1)) + $B$18/($B$19*$B$19*($DN66&lt;&gt;$DO66) + $B$19*($DN66=$DO66))</f>
        <v>3.7037037037037035E-4</v>
      </c>
      <c r="FN66" s="10" cm="1">
        <f t="array" aca="1" ref="FN66" ca="1">(1-$B$18)*SUMPRODUCT(OFFSET($BO$15,0,0,$B$14,1), 1*(_xlfn._xlws.FILTER(OFFSET($O$15,0,$DN66,$B$8,1),OFFSET($M$15,0,0,$B$8,1))=FN$13), 1*(_xlfn._xlws.FILTER(OFFSET($O$15,0,$DO66,$B$8,1),OFFSET($M$15,0,0,$B$8,1))=FN$14))   /   SUM(OFFSET($BO$15,0,0,$B$14,1)) + $B$18/($B$19*$B$19*($DN66&lt;&gt;$DO66) + $B$19*($DN66=$DO66))</f>
        <v>0.97037037037037033</v>
      </c>
      <c r="FO66" s="10" cm="1">
        <f t="array" aca="1" ref="FO66" ca="1">(1-$B$18)*SUMPRODUCT(OFFSET($BO$15,0,0,$B$14,1), 1*(_xlfn._xlws.FILTER(OFFSET($O$15,0,$DN66,$B$8,1),OFFSET($M$15,0,0,$B$8,1))=FO$13), 1*(_xlfn._xlws.FILTER(OFFSET($O$15,0,$DO66,$B$8,1),OFFSET($M$15,0,0,$B$8,1))=FO$14))   /   SUM(OFFSET($BO$15,0,0,$B$14,1)) + $B$18/($B$19*$B$19*($DN66&lt;&gt;$DO66) + $B$19*($DN66=$DO66))</f>
        <v>3.7037037037037035E-4</v>
      </c>
      <c r="FP66" s="10" cm="1">
        <f t="array" aca="1" ref="FP66" ca="1">(1-$B$18)*SUMPRODUCT(OFFSET($BO$15,0,0,$B$14,1), 1*(_xlfn._xlws.FILTER(OFFSET($O$15,0,$DN66,$B$8,1),OFFSET($M$15,0,0,$B$8,1))=FP$13), 1*(_xlfn._xlws.FILTER(OFFSET($O$15,0,$DO66,$B$8,1),OFFSET($M$15,0,0,$B$8,1))=FP$14))   /   SUM(OFFSET($BO$15,0,0,$B$14,1)) + $B$18/($B$19*$B$19*($DN66&lt;&gt;$DO66) + $B$19*($DN66=$DO66))</f>
        <v>3.7037037037037035E-4</v>
      </c>
      <c r="FQ66" s="10" cm="1">
        <f t="array" aca="1" ref="FQ66" ca="1">(1-$B$18)*SUMPRODUCT(OFFSET($BO$15,0,0,$B$14,1), 1*(_xlfn._xlws.FILTER(OFFSET($O$15,0,$DN66,$B$8,1),OFFSET($M$15,0,0,$B$8,1))=FQ$13), 1*(_xlfn._xlws.FILTER(OFFSET($O$15,0,$DO66,$B$8,1),OFFSET($M$15,0,0,$B$8,1))=FQ$14))   /   SUM(OFFSET($BO$15,0,0,$B$14,1)) + $B$18/($B$19*$B$19*($DN66&lt;&gt;$DO66) + $B$19*($DN66=$DO66))</f>
        <v>3.7037037037037035E-4</v>
      </c>
      <c r="FR66" s="10" cm="1">
        <f t="array" aca="1" ref="FR66" ca="1">(1-$B$18)*SUMPRODUCT(OFFSET($BO$15,0,0,$B$14,1), 1*(_xlfn._xlws.FILTER(OFFSET($O$15,0,$DN66,$B$8,1),OFFSET($M$15,0,0,$B$8,1))=FR$13), 1*(_xlfn._xlws.FILTER(OFFSET($O$15,0,$DO66,$B$8,1),OFFSET($M$15,0,0,$B$8,1))=FR$14))   /   SUM(OFFSET($BO$15,0,0,$B$14,1)) + $B$18/($B$19*$B$19*($DN66&lt;&gt;$DO66) + $B$19*($DN66=$DO66))</f>
        <v>3.7037037037037035E-4</v>
      </c>
      <c r="FS66" s="10" cm="1">
        <f t="array" aca="1" ref="FS66" ca="1">(1-$B$18)*SUMPRODUCT(OFFSET($BO$15,0,0,$B$14,1), 1*(_xlfn._xlws.FILTER(OFFSET($O$15,0,$DN66,$B$8,1),OFFSET($M$15,0,0,$B$8,1))=FS$13), 1*(_xlfn._xlws.FILTER(OFFSET($O$15,0,$DO66,$B$8,1),OFFSET($M$15,0,0,$B$8,1))=FS$14))   /   SUM(OFFSET($BO$15,0,0,$B$14,1)) + $B$18/($B$19*$B$19*($DN66&lt;&gt;$DO66) + $B$19*($DN66=$DO66))</f>
        <v>3.7037037037037035E-4</v>
      </c>
      <c r="FT66" s="10" cm="1">
        <f t="array" aca="1" ref="FT66" ca="1">(1-$B$18)*SUMPRODUCT(OFFSET($BO$15,0,0,$B$14,1), 1*(_xlfn._xlws.FILTER(OFFSET($O$15,0,$DN66,$B$8,1),OFFSET($M$15,0,0,$B$8,1))=FT$13), 1*(_xlfn._xlws.FILTER(OFFSET($O$15,0,$DO66,$B$8,1),OFFSET($M$15,0,0,$B$8,1))=FT$14))   /   SUM(OFFSET($BO$15,0,0,$B$14,1)) + $B$18/($B$19*$B$19*($DN66&lt;&gt;$DO66) + $B$19*($DN66=$DO66))</f>
        <v>3.7037037037037035E-4</v>
      </c>
      <c r="FU66" s="10" cm="1">
        <f t="array" aca="1" ref="FU66" ca="1">(1-$B$18)*SUMPRODUCT(OFFSET($BO$15,0,0,$B$14,1), 1*(_xlfn._xlws.FILTER(OFFSET($O$15,0,$DN66,$B$8,1),OFFSET($M$15,0,0,$B$8,1))=FU$13), 1*(_xlfn._xlws.FILTER(OFFSET($O$15,0,$DO66,$B$8,1),OFFSET($M$15,0,0,$B$8,1))=FU$14))   /   SUM(OFFSET($BO$15,0,0,$B$14,1)) + $B$18/($B$19*$B$19*($DN66&lt;&gt;$DO66) + $B$19*($DN66=$DO66))</f>
        <v>3.7037037037037035E-4</v>
      </c>
      <c r="FV66" s="10" cm="1">
        <f t="array" aca="1" ref="FV66" ca="1">(1-$B$18)*SUMPRODUCT(OFFSET($BO$15,0,0,$B$14,1), 1*(_xlfn._xlws.FILTER(OFFSET($O$15,0,$DN66,$B$8,1),OFFSET($M$15,0,0,$B$8,1))=FV$13), 1*(_xlfn._xlws.FILTER(OFFSET($O$15,0,$DO66,$B$8,1),OFFSET($M$15,0,0,$B$8,1))=FV$14))   /   SUM(OFFSET($BO$15,0,0,$B$14,1)) + $B$18/($B$19*$B$19*($DN66&lt;&gt;$DO66) + $B$19*($DN66=$DO66))</f>
        <v>3.7037037037037035E-4</v>
      </c>
      <c r="FW66" s="10" cm="1">
        <f t="array" aca="1" ref="FW66" ca="1">(1-$B$18)*SUMPRODUCT(OFFSET($BO$15,0,0,$B$14,1), 1*(_xlfn._xlws.FILTER(OFFSET($O$15,0,$DN66,$B$8,1),OFFSET($M$15,0,0,$B$8,1))=FW$13), 1*(_xlfn._xlws.FILTER(OFFSET($O$15,0,$DO66,$B$8,1),OFFSET($M$15,0,0,$B$8,1))=FW$14))   /   SUM(OFFSET($BO$15,0,0,$B$14,1)) + $B$18/($B$19*$B$19*($DN66&lt;&gt;$DO66) + $B$19*($DN66=$DO66))</f>
        <v>3.7037037037037035E-4</v>
      </c>
      <c r="FX66" s="10" cm="1">
        <f t="array" aca="1" ref="FX66" ca="1">(1-$B$18)*SUMPRODUCT(OFFSET($BO$15,0,0,$B$14,1), 1*(_xlfn._xlws.FILTER(OFFSET($O$15,0,$DN66,$B$8,1),OFFSET($M$15,0,0,$B$8,1))=FX$13), 1*(_xlfn._xlws.FILTER(OFFSET($O$15,0,$DO66,$B$8,1),OFFSET($M$15,0,0,$B$8,1))=FX$14))   /   SUM(OFFSET($BO$15,0,0,$B$14,1)) + $B$18/($B$19*$B$19*($DN66&lt;&gt;$DO66) + $B$19*($DN66=$DO66))</f>
        <v>3.7037037037037035E-4</v>
      </c>
      <c r="FY66" s="10" cm="1">
        <f t="array" aca="1" ref="FY66" ca="1">(1-$B$18)*SUMPRODUCT(OFFSET($BO$15,0,0,$B$14,1), 1*(_xlfn._xlws.FILTER(OFFSET($O$15,0,$DN66,$B$8,1),OFFSET($M$15,0,0,$B$8,1))=FY$13), 1*(_xlfn._xlws.FILTER(OFFSET($O$15,0,$DO66,$B$8,1),OFFSET($M$15,0,0,$B$8,1))=FY$14))   /   SUM(OFFSET($BO$15,0,0,$B$14,1)) + $B$18/($B$19*$B$19*($DN66&lt;&gt;$DO66) + $B$19*($DN66=$DO66))</f>
        <v>3.7037037037037035E-4</v>
      </c>
      <c r="FZ66" s="10" cm="1">
        <f t="array" aca="1" ref="FZ66" ca="1">(1-$B$18)*SUMPRODUCT(OFFSET($BO$15,0,0,$B$14,1), 1*(_xlfn._xlws.FILTER(OFFSET($O$15,0,$DN66,$B$8,1),OFFSET($M$15,0,0,$B$8,1))=FZ$13), 1*(_xlfn._xlws.FILTER(OFFSET($O$15,0,$DO66,$B$8,1),OFFSET($M$15,0,0,$B$8,1))=FZ$14))   /   SUM(OFFSET($BO$15,0,0,$B$14,1)) + $B$18/($B$19*$B$19*($DN66&lt;&gt;$DO66) + $B$19*($DN66=$DO66))</f>
        <v>3.7037037037037035E-4</v>
      </c>
      <c r="GA66" s="10" cm="1">
        <f t="array" aca="1" ref="GA66" ca="1">(1-$B$18)*SUMPRODUCT(OFFSET($BO$15,0,0,$B$14,1), 1*(_xlfn._xlws.FILTER(OFFSET($O$15,0,$DN66,$B$8,1),OFFSET($M$15,0,0,$B$8,1))=GA$13), 1*(_xlfn._xlws.FILTER(OFFSET($O$15,0,$DO66,$B$8,1),OFFSET($M$15,0,0,$B$8,1))=GA$14))   /   SUM(OFFSET($BO$15,0,0,$B$14,1)) + $B$18/($B$19*$B$19*($DN66&lt;&gt;$DO66) + $B$19*($DN66=$DO66))</f>
        <v>3.7037037037037035E-4</v>
      </c>
    </row>
    <row r="67" spans="7:183" x14ac:dyDescent="0.2">
      <c r="G67" s="2"/>
      <c r="H67" s="2"/>
      <c r="AK67" s="8"/>
      <c r="AL67" s="8"/>
      <c r="DN67" cm="1">
        <f t="array" aca="1" ref="DN67" ca="1">INDEX(_xlfn.ANCHORARRAY($CP$15), 1 + INT((ROWS($DO$15:$DO67) - 1) / ROWS(_xlfn.ANCHORARRAY($CP$15))))</f>
        <v>2</v>
      </c>
      <c r="DO67" cm="1">
        <f t="array" aca="1" ref="DO67" ca="1">INDEX(_xlfn.ANCHORARRAY($CP$15),1+MOD(ROWS($DO$15:$DO67)-1,ROWS(_xlfn.ANCHORARRAY($CP$15))))</f>
        <v>15</v>
      </c>
      <c r="DP67" s="10" cm="1">
        <f t="array" aca="1" ref="DP67" ca="1">(1-$B$18)*SUMPRODUCT(OFFSET($BO$15,0,0,$B$14,1), 1*(_xlfn._xlws.FILTER(OFFSET($O$15,0,$DN67,$B$8,1),OFFSET($M$15,0,0,$B$8,1))=DP$13), 1*(_xlfn._xlws.FILTER(OFFSET($O$15,0,$DO67,$B$8,1),OFFSET($M$15,0,0,$B$8,1))=DP$14))   /   SUM(OFFSET($BO$15,0,0,$B$14,1)) + $B$18/($B$19*$B$19*($DN67&lt;&gt;$DO67) + $B$19*($DN67=$DO67))</f>
        <v>3.7037037037037035E-4</v>
      </c>
      <c r="DQ67" s="10" cm="1">
        <f t="array" aca="1" ref="DQ67" ca="1">(1-$B$18)*SUMPRODUCT(OFFSET($BO$15,0,0,$B$14,1), 1*(_xlfn._xlws.FILTER(OFFSET($O$15,0,$DN67,$B$8,1),OFFSET($M$15,0,0,$B$8,1))=DQ$13), 1*(_xlfn._xlws.FILTER(OFFSET($O$15,0,$DO67,$B$8,1),OFFSET($M$15,0,0,$B$8,1))=DQ$14))   /   SUM(OFFSET($BO$15,0,0,$B$14,1)) + $B$18/($B$19*$B$19*($DN67&lt;&gt;$DO67) + $B$19*($DN67=$DO67))</f>
        <v>3.7037037037037035E-4</v>
      </c>
      <c r="DR67" s="10" cm="1">
        <f t="array" aca="1" ref="DR67" ca="1">(1-$B$18)*SUMPRODUCT(OFFSET($BO$15,0,0,$B$14,1), 1*(_xlfn._xlws.FILTER(OFFSET($O$15,0,$DN67,$B$8,1),OFFSET($M$15,0,0,$B$8,1))=DR$13), 1*(_xlfn._xlws.FILTER(OFFSET($O$15,0,$DO67,$B$8,1),OFFSET($M$15,0,0,$B$8,1))=DR$14))   /   SUM(OFFSET($BO$15,0,0,$B$14,1)) + $B$18/($B$19*$B$19*($DN67&lt;&gt;$DO67) + $B$19*($DN67=$DO67))</f>
        <v>3.7037037037037035E-4</v>
      </c>
      <c r="DS67" s="10" cm="1">
        <f t="array" aca="1" ref="DS67" ca="1">(1-$B$18)*SUMPRODUCT(OFFSET($BO$15,0,0,$B$14,1), 1*(_xlfn._xlws.FILTER(OFFSET($O$15,0,$DN67,$B$8,1),OFFSET($M$15,0,0,$B$8,1))=DS$13), 1*(_xlfn._xlws.FILTER(OFFSET($O$15,0,$DO67,$B$8,1),OFFSET($M$15,0,0,$B$8,1))=DS$14))   /   SUM(OFFSET($BO$15,0,0,$B$14,1)) + $B$18/($B$19*$B$19*($DN67&lt;&gt;$DO67) + $B$19*($DN67=$DO67))</f>
        <v>3.7037037037037035E-4</v>
      </c>
      <c r="DT67" s="10" cm="1">
        <f t="array" aca="1" ref="DT67" ca="1">(1-$B$18)*SUMPRODUCT(OFFSET($BO$15,0,0,$B$14,1), 1*(_xlfn._xlws.FILTER(OFFSET($O$15,0,$DN67,$B$8,1),OFFSET($M$15,0,0,$B$8,1))=DT$13), 1*(_xlfn._xlws.FILTER(OFFSET($O$15,0,$DO67,$B$8,1),OFFSET($M$15,0,0,$B$8,1))=DT$14))   /   SUM(OFFSET($BO$15,0,0,$B$14,1)) + $B$18/($B$19*$B$19*($DN67&lt;&gt;$DO67) + $B$19*($DN67=$DO67))</f>
        <v>3.7037037037037035E-4</v>
      </c>
      <c r="DU67" s="10" cm="1">
        <f t="array" aca="1" ref="DU67" ca="1">(1-$B$18)*SUMPRODUCT(OFFSET($BO$15,0,0,$B$14,1), 1*(_xlfn._xlws.FILTER(OFFSET($O$15,0,$DN67,$B$8,1),OFFSET($M$15,0,0,$B$8,1))=DU$13), 1*(_xlfn._xlws.FILTER(OFFSET($O$15,0,$DO67,$B$8,1),OFFSET($M$15,0,0,$B$8,1))=DU$14))   /   SUM(OFFSET($BO$15,0,0,$B$14,1)) + $B$18/($B$19*$B$19*($DN67&lt;&gt;$DO67) + $B$19*($DN67=$DO67))</f>
        <v>3.7037037037037035E-4</v>
      </c>
      <c r="DV67" s="10" cm="1">
        <f t="array" aca="1" ref="DV67" ca="1">(1-$B$18)*SUMPRODUCT(OFFSET($BO$15,0,0,$B$14,1), 1*(_xlfn._xlws.FILTER(OFFSET($O$15,0,$DN67,$B$8,1),OFFSET($M$15,0,0,$B$8,1))=DV$13), 1*(_xlfn._xlws.FILTER(OFFSET($O$15,0,$DO67,$B$8,1),OFFSET($M$15,0,0,$B$8,1))=DV$14))   /   SUM(OFFSET($BO$15,0,0,$B$14,1)) + $B$18/($B$19*$B$19*($DN67&lt;&gt;$DO67) + $B$19*($DN67=$DO67))</f>
        <v>3.7037037037037035E-4</v>
      </c>
      <c r="DW67" s="10" cm="1">
        <f t="array" aca="1" ref="DW67" ca="1">(1-$B$18)*SUMPRODUCT(OFFSET($BO$15,0,0,$B$14,1), 1*(_xlfn._xlws.FILTER(OFFSET($O$15,0,$DN67,$B$8,1),OFFSET($M$15,0,0,$B$8,1))=DW$13), 1*(_xlfn._xlws.FILTER(OFFSET($O$15,0,$DO67,$B$8,1),OFFSET($M$15,0,0,$B$8,1))=DW$14))   /   SUM(OFFSET($BO$15,0,0,$B$14,1)) + $B$18/($B$19*$B$19*($DN67&lt;&gt;$DO67) + $B$19*($DN67=$DO67))</f>
        <v>3.7037037037037035E-4</v>
      </c>
      <c r="DX67" s="10" cm="1">
        <f t="array" aca="1" ref="DX67" ca="1">(1-$B$18)*SUMPRODUCT(OFFSET($BO$15,0,0,$B$14,1), 1*(_xlfn._xlws.FILTER(OFFSET($O$15,0,$DN67,$B$8,1),OFFSET($M$15,0,0,$B$8,1))=DX$13), 1*(_xlfn._xlws.FILTER(OFFSET($O$15,0,$DO67,$B$8,1),OFFSET($M$15,0,0,$B$8,1))=DX$14))   /   SUM(OFFSET($BO$15,0,0,$B$14,1)) + $B$18/($B$19*$B$19*($DN67&lt;&gt;$DO67) + $B$19*($DN67=$DO67))</f>
        <v>3.7037037037037035E-4</v>
      </c>
      <c r="DY67" s="10" cm="1">
        <f t="array" aca="1" ref="DY67" ca="1">(1-$B$18)*SUMPRODUCT(OFFSET($BO$15,0,0,$B$14,1), 1*(_xlfn._xlws.FILTER(OFFSET($O$15,0,$DN67,$B$8,1),OFFSET($M$15,0,0,$B$8,1))=DY$13), 1*(_xlfn._xlws.FILTER(OFFSET($O$15,0,$DO67,$B$8,1),OFFSET($M$15,0,0,$B$8,1))=DY$14))   /   SUM(OFFSET($BO$15,0,0,$B$14,1)) + $B$18/($B$19*$B$19*($DN67&lt;&gt;$DO67) + $B$19*($DN67=$DO67))</f>
        <v>3.7037037037037035E-4</v>
      </c>
      <c r="DZ67" s="10" cm="1">
        <f t="array" aca="1" ref="DZ67" ca="1">(1-$B$18)*SUMPRODUCT(OFFSET($BO$15,0,0,$B$14,1), 1*(_xlfn._xlws.FILTER(OFFSET($O$15,0,$DN67,$B$8,1),OFFSET($M$15,0,0,$B$8,1))=DZ$13), 1*(_xlfn._xlws.FILTER(OFFSET($O$15,0,$DO67,$B$8,1),OFFSET($M$15,0,0,$B$8,1))=DZ$14))   /   SUM(OFFSET($BO$15,0,0,$B$14,1)) + $B$18/($B$19*$B$19*($DN67&lt;&gt;$DO67) + $B$19*($DN67=$DO67))</f>
        <v>3.7037037037037035E-4</v>
      </c>
      <c r="EA67" s="10" cm="1">
        <f t="array" aca="1" ref="EA67" ca="1">(1-$B$18)*SUMPRODUCT(OFFSET($BO$15,0,0,$B$14,1), 1*(_xlfn._xlws.FILTER(OFFSET($O$15,0,$DN67,$B$8,1),OFFSET($M$15,0,0,$B$8,1))=EA$13), 1*(_xlfn._xlws.FILTER(OFFSET($O$15,0,$DO67,$B$8,1),OFFSET($M$15,0,0,$B$8,1))=EA$14))   /   SUM(OFFSET($BO$15,0,0,$B$14,1)) + $B$18/($B$19*$B$19*($DN67&lt;&gt;$DO67) + $B$19*($DN67=$DO67))</f>
        <v>3.7037037037037035E-4</v>
      </c>
      <c r="EB67" s="10" cm="1">
        <f t="array" aca="1" ref="EB67" ca="1">(1-$B$18)*SUMPRODUCT(OFFSET($BO$15,0,0,$B$14,1), 1*(_xlfn._xlws.FILTER(OFFSET($O$15,0,$DN67,$B$8,1),OFFSET($M$15,0,0,$B$8,1))=EB$13), 1*(_xlfn._xlws.FILTER(OFFSET($O$15,0,$DO67,$B$8,1),OFFSET($M$15,0,0,$B$8,1))=EB$14))   /   SUM(OFFSET($BO$15,0,0,$B$14,1)) + $B$18/($B$19*$B$19*($DN67&lt;&gt;$DO67) + $B$19*($DN67=$DO67))</f>
        <v>3.7037037037037035E-4</v>
      </c>
      <c r="EC67" s="10" cm="1">
        <f t="array" aca="1" ref="EC67" ca="1">(1-$B$18)*SUMPRODUCT(OFFSET($BO$15,0,0,$B$14,1), 1*(_xlfn._xlws.FILTER(OFFSET($O$15,0,$DN67,$B$8,1),OFFSET($M$15,0,0,$B$8,1))=EC$13), 1*(_xlfn._xlws.FILTER(OFFSET($O$15,0,$DO67,$B$8,1),OFFSET($M$15,0,0,$B$8,1))=EC$14))   /   SUM(OFFSET($BO$15,0,0,$B$14,1)) + $B$18/($B$19*$B$19*($DN67&lt;&gt;$DO67) + $B$19*($DN67=$DO67))</f>
        <v>3.7037037037037035E-4</v>
      </c>
      <c r="ED67" s="10" cm="1">
        <f t="array" aca="1" ref="ED67" ca="1">(1-$B$18)*SUMPRODUCT(OFFSET($BO$15,0,0,$B$14,1), 1*(_xlfn._xlws.FILTER(OFFSET($O$15,0,$DN67,$B$8,1),OFFSET($M$15,0,0,$B$8,1))=ED$13), 1*(_xlfn._xlws.FILTER(OFFSET($O$15,0,$DO67,$B$8,1),OFFSET($M$15,0,0,$B$8,1))=ED$14))   /   SUM(OFFSET($BO$15,0,0,$B$14,1)) + $B$18/($B$19*$B$19*($DN67&lt;&gt;$DO67) + $B$19*($DN67=$DO67))</f>
        <v>3.7037037037037035E-4</v>
      </c>
      <c r="EE67" s="10" cm="1">
        <f t="array" aca="1" ref="EE67" ca="1">(1-$B$18)*SUMPRODUCT(OFFSET($BO$15,0,0,$B$14,1), 1*(_xlfn._xlws.FILTER(OFFSET($O$15,0,$DN67,$B$8,1),OFFSET($M$15,0,0,$B$8,1))=EE$13), 1*(_xlfn._xlws.FILTER(OFFSET($O$15,0,$DO67,$B$8,1),OFFSET($M$15,0,0,$B$8,1))=EE$14))   /   SUM(OFFSET($BO$15,0,0,$B$14,1)) + $B$18/($B$19*$B$19*($DN67&lt;&gt;$DO67) + $B$19*($DN67=$DO67))</f>
        <v>3.7037037037037035E-4</v>
      </c>
      <c r="EF67" s="10" cm="1">
        <f t="array" aca="1" ref="EF67" ca="1">(1-$B$18)*SUMPRODUCT(OFFSET($BO$15,0,0,$B$14,1), 1*(_xlfn._xlws.FILTER(OFFSET($O$15,0,$DN67,$B$8,1),OFFSET($M$15,0,0,$B$8,1))=EF$13), 1*(_xlfn._xlws.FILTER(OFFSET($O$15,0,$DO67,$B$8,1),OFFSET($M$15,0,0,$B$8,1))=EF$14))   /   SUM(OFFSET($BO$15,0,0,$B$14,1)) + $B$18/($B$19*$B$19*($DN67&lt;&gt;$DO67) + $B$19*($DN67=$DO67))</f>
        <v>3.7037037037037035E-4</v>
      </c>
      <c r="EG67" s="10" cm="1">
        <f t="array" aca="1" ref="EG67" ca="1">(1-$B$18)*SUMPRODUCT(OFFSET($BO$15,0,0,$B$14,1), 1*(_xlfn._xlws.FILTER(OFFSET($O$15,0,$DN67,$B$8,1),OFFSET($M$15,0,0,$B$8,1))=EG$13), 1*(_xlfn._xlws.FILTER(OFFSET($O$15,0,$DO67,$B$8,1),OFFSET($M$15,0,0,$B$8,1))=EG$14))   /   SUM(OFFSET($BO$15,0,0,$B$14,1)) + $B$18/($B$19*$B$19*($DN67&lt;&gt;$DO67) + $B$19*($DN67=$DO67))</f>
        <v>3.7037037037037035E-4</v>
      </c>
      <c r="EH67" s="10" cm="1">
        <f t="array" aca="1" ref="EH67" ca="1">(1-$B$18)*SUMPRODUCT(OFFSET($BO$15,0,0,$B$14,1), 1*(_xlfn._xlws.FILTER(OFFSET($O$15,0,$DN67,$B$8,1),OFFSET($M$15,0,0,$B$8,1))=EH$13), 1*(_xlfn._xlws.FILTER(OFFSET($O$15,0,$DO67,$B$8,1),OFFSET($M$15,0,0,$B$8,1))=EH$14))   /   SUM(OFFSET($BO$15,0,0,$B$14,1)) + $B$18/($B$19*$B$19*($DN67&lt;&gt;$DO67) + $B$19*($DN67=$DO67))</f>
        <v>3.7037037037037035E-4</v>
      </c>
      <c r="EI67" s="10" cm="1">
        <f t="array" aca="1" ref="EI67" ca="1">(1-$B$18)*SUMPRODUCT(OFFSET($BO$15,0,0,$B$14,1), 1*(_xlfn._xlws.FILTER(OFFSET($O$15,0,$DN67,$B$8,1),OFFSET($M$15,0,0,$B$8,1))=EI$13), 1*(_xlfn._xlws.FILTER(OFFSET($O$15,0,$DO67,$B$8,1),OFFSET($M$15,0,0,$B$8,1))=EI$14))   /   SUM(OFFSET($BO$15,0,0,$B$14,1)) + $B$18/($B$19*$B$19*($DN67&lt;&gt;$DO67) + $B$19*($DN67=$DO67))</f>
        <v>3.7037037037037035E-4</v>
      </c>
      <c r="EJ67" s="10" cm="1">
        <f t="array" aca="1" ref="EJ67" ca="1">(1-$B$18)*SUMPRODUCT(OFFSET($BO$15,0,0,$B$14,1), 1*(_xlfn._xlws.FILTER(OFFSET($O$15,0,$DN67,$B$8,1),OFFSET($M$15,0,0,$B$8,1))=EJ$13), 1*(_xlfn._xlws.FILTER(OFFSET($O$15,0,$DO67,$B$8,1),OFFSET($M$15,0,0,$B$8,1))=EJ$14))   /   SUM(OFFSET($BO$15,0,0,$B$14,1)) + $B$18/($B$19*$B$19*($DN67&lt;&gt;$DO67) + $B$19*($DN67=$DO67))</f>
        <v>3.7037037037037035E-4</v>
      </c>
      <c r="EK67" s="10" cm="1">
        <f t="array" aca="1" ref="EK67" ca="1">(1-$B$18)*SUMPRODUCT(OFFSET($BO$15,0,0,$B$14,1), 1*(_xlfn._xlws.FILTER(OFFSET($O$15,0,$DN67,$B$8,1),OFFSET($M$15,0,0,$B$8,1))=EK$13), 1*(_xlfn._xlws.FILTER(OFFSET($O$15,0,$DO67,$B$8,1),OFFSET($M$15,0,0,$B$8,1))=EK$14))   /   SUM(OFFSET($BO$15,0,0,$B$14,1)) + $B$18/($B$19*$B$19*($DN67&lt;&gt;$DO67) + $B$19*($DN67=$DO67))</f>
        <v>3.7037037037037035E-4</v>
      </c>
      <c r="EL67" s="10" cm="1">
        <f t="array" aca="1" ref="EL67" ca="1">(1-$B$18)*SUMPRODUCT(OFFSET($BO$15,0,0,$B$14,1), 1*(_xlfn._xlws.FILTER(OFFSET($O$15,0,$DN67,$B$8,1),OFFSET($M$15,0,0,$B$8,1))=EL$13), 1*(_xlfn._xlws.FILTER(OFFSET($O$15,0,$DO67,$B$8,1),OFFSET($M$15,0,0,$B$8,1))=EL$14))   /   SUM(OFFSET($BO$15,0,0,$B$14,1)) + $B$18/($B$19*$B$19*($DN67&lt;&gt;$DO67) + $B$19*($DN67=$DO67))</f>
        <v>3.7037037037037035E-4</v>
      </c>
      <c r="EM67" s="10" cm="1">
        <f t="array" aca="1" ref="EM67" ca="1">(1-$B$18)*SUMPRODUCT(OFFSET($BO$15,0,0,$B$14,1), 1*(_xlfn._xlws.FILTER(OFFSET($O$15,0,$DN67,$B$8,1),OFFSET($M$15,0,0,$B$8,1))=EM$13), 1*(_xlfn._xlws.FILTER(OFFSET($O$15,0,$DO67,$B$8,1),OFFSET($M$15,0,0,$B$8,1))=EM$14))   /   SUM(OFFSET($BO$15,0,0,$B$14,1)) + $B$18/($B$19*$B$19*($DN67&lt;&gt;$DO67) + $B$19*($DN67=$DO67))</f>
        <v>3.7037037037037035E-4</v>
      </c>
      <c r="EN67" s="10" cm="1">
        <f t="array" aca="1" ref="EN67" ca="1">(1-$B$18)*SUMPRODUCT(OFFSET($BO$15,0,0,$B$14,1), 1*(_xlfn._xlws.FILTER(OFFSET($O$15,0,$DN67,$B$8,1),OFFSET($M$15,0,0,$B$8,1))=EN$13), 1*(_xlfn._xlws.FILTER(OFFSET($O$15,0,$DO67,$B$8,1),OFFSET($M$15,0,0,$B$8,1))=EN$14))   /   SUM(OFFSET($BO$15,0,0,$B$14,1)) + $B$18/($B$19*$B$19*($DN67&lt;&gt;$DO67) + $B$19*($DN67=$DO67))</f>
        <v>3.7037037037037035E-4</v>
      </c>
      <c r="EO67" s="10" cm="1">
        <f t="array" aca="1" ref="EO67" ca="1">(1-$B$18)*SUMPRODUCT(OFFSET($BO$15,0,0,$B$14,1), 1*(_xlfn._xlws.FILTER(OFFSET($O$15,0,$DN67,$B$8,1),OFFSET($M$15,0,0,$B$8,1))=EO$13), 1*(_xlfn._xlws.FILTER(OFFSET($O$15,0,$DO67,$B$8,1),OFFSET($M$15,0,0,$B$8,1))=EO$14))   /   SUM(OFFSET($BO$15,0,0,$B$14,1)) + $B$18/($B$19*$B$19*($DN67&lt;&gt;$DO67) + $B$19*($DN67=$DO67))</f>
        <v>3.7037037037037035E-4</v>
      </c>
      <c r="EP67" s="10" cm="1">
        <f t="array" aca="1" ref="EP67" ca="1">(1-$B$18)*SUMPRODUCT(OFFSET($BO$15,0,0,$B$14,1), 1*(_xlfn._xlws.FILTER(OFFSET($O$15,0,$DN67,$B$8,1),OFFSET($M$15,0,0,$B$8,1))=EP$13), 1*(_xlfn._xlws.FILTER(OFFSET($O$15,0,$DO67,$B$8,1),OFFSET($M$15,0,0,$B$8,1))=EP$14))   /   SUM(OFFSET($BO$15,0,0,$B$14,1)) + $B$18/($B$19*$B$19*($DN67&lt;&gt;$DO67) + $B$19*($DN67=$DO67))</f>
        <v>3.7037037037037035E-4</v>
      </c>
      <c r="EQ67" s="10" cm="1">
        <f t="array" aca="1" ref="EQ67" ca="1">(1-$B$18)*SUMPRODUCT(OFFSET($BO$15,0,0,$B$14,1), 1*(_xlfn._xlws.FILTER(OFFSET($O$15,0,$DN67,$B$8,1),OFFSET($M$15,0,0,$B$8,1))=EQ$13), 1*(_xlfn._xlws.FILTER(OFFSET($O$15,0,$DO67,$B$8,1),OFFSET($M$15,0,0,$B$8,1))=EQ$14))   /   SUM(OFFSET($BO$15,0,0,$B$14,1)) + $B$18/($B$19*$B$19*($DN67&lt;&gt;$DO67) + $B$19*($DN67=$DO67))</f>
        <v>3.7037037037037035E-4</v>
      </c>
      <c r="ER67" s="10" cm="1">
        <f t="array" aca="1" ref="ER67" ca="1">(1-$B$18)*SUMPRODUCT(OFFSET($BO$15,0,0,$B$14,1), 1*(_xlfn._xlws.FILTER(OFFSET($O$15,0,$DN67,$B$8,1),OFFSET($M$15,0,0,$B$8,1))=ER$13), 1*(_xlfn._xlws.FILTER(OFFSET($O$15,0,$DO67,$B$8,1),OFFSET($M$15,0,0,$B$8,1))=ER$14))   /   SUM(OFFSET($BO$15,0,0,$B$14,1)) + $B$18/($B$19*$B$19*($DN67&lt;&gt;$DO67) + $B$19*($DN67=$DO67))</f>
        <v>3.7037037037037035E-4</v>
      </c>
      <c r="ES67" s="10" cm="1">
        <f t="array" aca="1" ref="ES67" ca="1">(1-$B$18)*SUMPRODUCT(OFFSET($BO$15,0,0,$B$14,1), 1*(_xlfn._xlws.FILTER(OFFSET($O$15,0,$DN67,$B$8,1),OFFSET($M$15,0,0,$B$8,1))=ES$13), 1*(_xlfn._xlws.FILTER(OFFSET($O$15,0,$DO67,$B$8,1),OFFSET($M$15,0,0,$B$8,1))=ES$14))   /   SUM(OFFSET($BO$15,0,0,$B$14,1)) + $B$18/($B$19*$B$19*($DN67&lt;&gt;$DO67) + $B$19*($DN67=$DO67))</f>
        <v>3.7037037037037035E-4</v>
      </c>
      <c r="ET67" s="10" cm="1">
        <f t="array" aca="1" ref="ET67" ca="1">(1-$B$18)*SUMPRODUCT(OFFSET($BO$15,0,0,$B$14,1), 1*(_xlfn._xlws.FILTER(OFFSET($O$15,0,$DN67,$B$8,1),OFFSET($M$15,0,0,$B$8,1))=ET$13), 1*(_xlfn._xlws.FILTER(OFFSET($O$15,0,$DO67,$B$8,1),OFFSET($M$15,0,0,$B$8,1))=ET$14))   /   SUM(OFFSET($BO$15,0,0,$B$14,1)) + $B$18/($B$19*$B$19*($DN67&lt;&gt;$DO67) + $B$19*($DN67=$DO67))</f>
        <v>3.7037037037037035E-4</v>
      </c>
      <c r="EU67" s="10" cm="1">
        <f t="array" aca="1" ref="EU67" ca="1">(1-$B$18)*SUMPRODUCT(OFFSET($BO$15,0,0,$B$14,1), 1*(_xlfn._xlws.FILTER(OFFSET($O$15,0,$DN67,$B$8,1),OFFSET($M$15,0,0,$B$8,1))=EU$13), 1*(_xlfn._xlws.FILTER(OFFSET($O$15,0,$DO67,$B$8,1),OFFSET($M$15,0,0,$B$8,1))=EU$14))   /   SUM(OFFSET($BO$15,0,0,$B$14,1)) + $B$18/($B$19*$B$19*($DN67&lt;&gt;$DO67) + $B$19*($DN67=$DO67))</f>
        <v>3.7037037037037035E-4</v>
      </c>
      <c r="EV67" s="10" cm="1">
        <f t="array" aca="1" ref="EV67" ca="1">(1-$B$18)*SUMPRODUCT(OFFSET($BO$15,0,0,$B$14,1), 1*(_xlfn._xlws.FILTER(OFFSET($O$15,0,$DN67,$B$8,1),OFFSET($M$15,0,0,$B$8,1))=EV$13), 1*(_xlfn._xlws.FILTER(OFFSET($O$15,0,$DO67,$B$8,1),OFFSET($M$15,0,0,$B$8,1))=EV$14))   /   SUM(OFFSET($BO$15,0,0,$B$14,1)) + $B$18/($B$19*$B$19*($DN67&lt;&gt;$DO67) + $B$19*($DN67=$DO67))</f>
        <v>3.7037037037037035E-4</v>
      </c>
      <c r="EW67" s="10" cm="1">
        <f t="array" aca="1" ref="EW67" ca="1">(1-$B$18)*SUMPRODUCT(OFFSET($BO$15,0,0,$B$14,1), 1*(_xlfn._xlws.FILTER(OFFSET($O$15,0,$DN67,$B$8,1),OFFSET($M$15,0,0,$B$8,1))=EW$13), 1*(_xlfn._xlws.FILTER(OFFSET($O$15,0,$DO67,$B$8,1),OFFSET($M$15,0,0,$B$8,1))=EW$14))   /   SUM(OFFSET($BO$15,0,0,$B$14,1)) + $B$18/($B$19*$B$19*($DN67&lt;&gt;$DO67) + $B$19*($DN67=$DO67))</f>
        <v>3.7037037037037035E-4</v>
      </c>
      <c r="EX67" s="10" cm="1">
        <f t="array" aca="1" ref="EX67" ca="1">(1-$B$18)*SUMPRODUCT(OFFSET($BO$15,0,0,$B$14,1), 1*(_xlfn._xlws.FILTER(OFFSET($O$15,0,$DN67,$B$8,1),OFFSET($M$15,0,0,$B$8,1))=EX$13), 1*(_xlfn._xlws.FILTER(OFFSET($O$15,0,$DO67,$B$8,1),OFFSET($M$15,0,0,$B$8,1))=EX$14))   /   SUM(OFFSET($BO$15,0,0,$B$14,1)) + $B$18/($B$19*$B$19*($DN67&lt;&gt;$DO67) + $B$19*($DN67=$DO67))</f>
        <v>3.7037037037037035E-4</v>
      </c>
      <c r="EY67" s="10" cm="1">
        <f t="array" aca="1" ref="EY67" ca="1">(1-$B$18)*SUMPRODUCT(OFFSET($BO$15,0,0,$B$14,1), 1*(_xlfn._xlws.FILTER(OFFSET($O$15,0,$DN67,$B$8,1),OFFSET($M$15,0,0,$B$8,1))=EY$13), 1*(_xlfn._xlws.FILTER(OFFSET($O$15,0,$DO67,$B$8,1),OFFSET($M$15,0,0,$B$8,1))=EY$14))   /   SUM(OFFSET($BO$15,0,0,$B$14,1)) + $B$18/($B$19*$B$19*($DN67&lt;&gt;$DO67) + $B$19*($DN67=$DO67))</f>
        <v>3.7037037037037035E-4</v>
      </c>
      <c r="EZ67" s="10" cm="1">
        <f t="array" aca="1" ref="EZ67" ca="1">(1-$B$18)*SUMPRODUCT(OFFSET($BO$15,0,0,$B$14,1), 1*(_xlfn._xlws.FILTER(OFFSET($O$15,0,$DN67,$B$8,1),OFFSET($M$15,0,0,$B$8,1))=EZ$13), 1*(_xlfn._xlws.FILTER(OFFSET($O$15,0,$DO67,$B$8,1),OFFSET($M$15,0,0,$B$8,1))=EZ$14))   /   SUM(OFFSET($BO$15,0,0,$B$14,1)) + $B$18/($B$19*$B$19*($DN67&lt;&gt;$DO67) + $B$19*($DN67=$DO67))</f>
        <v>3.7037037037037035E-4</v>
      </c>
      <c r="FA67" s="10" cm="1">
        <f t="array" aca="1" ref="FA67" ca="1">(1-$B$18)*SUMPRODUCT(OFFSET($BO$15,0,0,$B$14,1), 1*(_xlfn._xlws.FILTER(OFFSET($O$15,0,$DN67,$B$8,1),OFFSET($M$15,0,0,$B$8,1))=FA$13), 1*(_xlfn._xlws.FILTER(OFFSET($O$15,0,$DO67,$B$8,1),OFFSET($M$15,0,0,$B$8,1))=FA$14))   /   SUM(OFFSET($BO$15,0,0,$B$14,1)) + $B$18/($B$19*$B$19*($DN67&lt;&gt;$DO67) + $B$19*($DN67=$DO67))</f>
        <v>3.7037037037037035E-4</v>
      </c>
      <c r="FB67" s="10" cm="1">
        <f t="array" aca="1" ref="FB67" ca="1">(1-$B$18)*SUMPRODUCT(OFFSET($BO$15,0,0,$B$14,1), 1*(_xlfn._xlws.FILTER(OFFSET($O$15,0,$DN67,$B$8,1),OFFSET($M$15,0,0,$B$8,1))=FB$13), 1*(_xlfn._xlws.FILTER(OFFSET($O$15,0,$DO67,$B$8,1),OFFSET($M$15,0,0,$B$8,1))=FB$14))   /   SUM(OFFSET($BO$15,0,0,$B$14,1)) + $B$18/($B$19*$B$19*($DN67&lt;&gt;$DO67) + $B$19*($DN67=$DO67))</f>
        <v>3.7037037037037035E-4</v>
      </c>
      <c r="FC67" s="10" cm="1">
        <f t="array" aca="1" ref="FC67" ca="1">(1-$B$18)*SUMPRODUCT(OFFSET($BO$15,0,0,$B$14,1), 1*(_xlfn._xlws.FILTER(OFFSET($O$15,0,$DN67,$B$8,1),OFFSET($M$15,0,0,$B$8,1))=FC$13), 1*(_xlfn._xlws.FILTER(OFFSET($O$15,0,$DO67,$B$8,1),OFFSET($M$15,0,0,$B$8,1))=FC$14))   /   SUM(OFFSET($BO$15,0,0,$B$14,1)) + $B$18/($B$19*$B$19*($DN67&lt;&gt;$DO67) + $B$19*($DN67=$DO67))</f>
        <v>3.7037037037037035E-4</v>
      </c>
      <c r="FD67" s="10" cm="1">
        <f t="array" aca="1" ref="FD67" ca="1">(1-$B$18)*SUMPRODUCT(OFFSET($BO$15,0,0,$B$14,1), 1*(_xlfn._xlws.FILTER(OFFSET($O$15,0,$DN67,$B$8,1),OFFSET($M$15,0,0,$B$8,1))=FD$13), 1*(_xlfn._xlws.FILTER(OFFSET($O$15,0,$DO67,$B$8,1),OFFSET($M$15,0,0,$B$8,1))=FD$14))   /   SUM(OFFSET($BO$15,0,0,$B$14,1)) + $B$18/($B$19*$B$19*($DN67&lt;&gt;$DO67) + $B$19*($DN67=$DO67))</f>
        <v>3.7037037037037035E-4</v>
      </c>
      <c r="FE67" s="10" cm="1">
        <f t="array" aca="1" ref="FE67" ca="1">(1-$B$18)*SUMPRODUCT(OFFSET($BO$15,0,0,$B$14,1), 1*(_xlfn._xlws.FILTER(OFFSET($O$15,0,$DN67,$B$8,1),OFFSET($M$15,0,0,$B$8,1))=FE$13), 1*(_xlfn._xlws.FILTER(OFFSET($O$15,0,$DO67,$B$8,1),OFFSET($M$15,0,0,$B$8,1))=FE$14))   /   SUM(OFFSET($BO$15,0,0,$B$14,1)) + $B$18/($B$19*$B$19*($DN67&lt;&gt;$DO67) + $B$19*($DN67=$DO67))</f>
        <v>3.7037037037037035E-4</v>
      </c>
      <c r="FF67" s="10" cm="1">
        <f t="array" aca="1" ref="FF67" ca="1">(1-$B$18)*SUMPRODUCT(OFFSET($BO$15,0,0,$B$14,1), 1*(_xlfn._xlws.FILTER(OFFSET($O$15,0,$DN67,$B$8,1),OFFSET($M$15,0,0,$B$8,1))=FF$13), 1*(_xlfn._xlws.FILTER(OFFSET($O$15,0,$DO67,$B$8,1),OFFSET($M$15,0,0,$B$8,1))=FF$14))   /   SUM(OFFSET($BO$15,0,0,$B$14,1)) + $B$18/($B$19*$B$19*($DN67&lt;&gt;$DO67) + $B$19*($DN67=$DO67))</f>
        <v>3.7037037037037035E-4</v>
      </c>
      <c r="FG67" s="10" cm="1">
        <f t="array" aca="1" ref="FG67" ca="1">(1-$B$18)*SUMPRODUCT(OFFSET($BO$15,0,0,$B$14,1), 1*(_xlfn._xlws.FILTER(OFFSET($O$15,0,$DN67,$B$8,1),OFFSET($M$15,0,0,$B$8,1))=FG$13), 1*(_xlfn._xlws.FILTER(OFFSET($O$15,0,$DO67,$B$8,1),OFFSET($M$15,0,0,$B$8,1))=FG$14))   /   SUM(OFFSET($BO$15,0,0,$B$14,1)) + $B$18/($B$19*$B$19*($DN67&lt;&gt;$DO67) + $B$19*($DN67=$DO67))</f>
        <v>3.7037037037037035E-4</v>
      </c>
      <c r="FH67" s="10" cm="1">
        <f t="array" aca="1" ref="FH67" ca="1">(1-$B$18)*SUMPRODUCT(OFFSET($BO$15,0,0,$B$14,1), 1*(_xlfn._xlws.FILTER(OFFSET($O$15,0,$DN67,$B$8,1),OFFSET($M$15,0,0,$B$8,1))=FH$13), 1*(_xlfn._xlws.FILTER(OFFSET($O$15,0,$DO67,$B$8,1),OFFSET($M$15,0,0,$B$8,1))=FH$14))   /   SUM(OFFSET($BO$15,0,0,$B$14,1)) + $B$18/($B$19*$B$19*($DN67&lt;&gt;$DO67) + $B$19*($DN67=$DO67))</f>
        <v>3.7037037037037035E-4</v>
      </c>
      <c r="FI67" s="10" cm="1">
        <f t="array" aca="1" ref="FI67" ca="1">(1-$B$18)*SUMPRODUCT(OFFSET($BO$15,0,0,$B$14,1), 1*(_xlfn._xlws.FILTER(OFFSET($O$15,0,$DN67,$B$8,1),OFFSET($M$15,0,0,$B$8,1))=FI$13), 1*(_xlfn._xlws.FILTER(OFFSET($O$15,0,$DO67,$B$8,1),OFFSET($M$15,0,0,$B$8,1))=FI$14))   /   SUM(OFFSET($BO$15,0,0,$B$14,1)) + $B$18/($B$19*$B$19*($DN67&lt;&gt;$DO67) + $B$19*($DN67=$DO67))</f>
        <v>3.7037037037037035E-4</v>
      </c>
      <c r="FJ67" s="10" cm="1">
        <f t="array" aca="1" ref="FJ67" ca="1">(1-$B$18)*SUMPRODUCT(OFFSET($BO$15,0,0,$B$14,1), 1*(_xlfn._xlws.FILTER(OFFSET($O$15,0,$DN67,$B$8,1),OFFSET($M$15,0,0,$B$8,1))=FJ$13), 1*(_xlfn._xlws.FILTER(OFFSET($O$15,0,$DO67,$B$8,1),OFFSET($M$15,0,0,$B$8,1))=FJ$14))   /   SUM(OFFSET($BO$15,0,0,$B$14,1)) + $B$18/($B$19*$B$19*($DN67&lt;&gt;$DO67) + $B$19*($DN67=$DO67))</f>
        <v>3.7037037037037035E-4</v>
      </c>
      <c r="FK67" s="10" cm="1">
        <f t="array" aca="1" ref="FK67" ca="1">(1-$B$18)*SUMPRODUCT(OFFSET($BO$15,0,0,$B$14,1), 1*(_xlfn._xlws.FILTER(OFFSET($O$15,0,$DN67,$B$8,1),OFFSET($M$15,0,0,$B$8,1))=FK$13), 1*(_xlfn._xlws.FILTER(OFFSET($O$15,0,$DO67,$B$8,1),OFFSET($M$15,0,0,$B$8,1))=FK$14))   /   SUM(OFFSET($BO$15,0,0,$B$14,1)) + $B$18/($B$19*$B$19*($DN67&lt;&gt;$DO67) + $B$19*($DN67=$DO67))</f>
        <v>3.7037037037037035E-4</v>
      </c>
      <c r="FL67" s="10" cm="1">
        <f t="array" aca="1" ref="FL67" ca="1">(1-$B$18)*SUMPRODUCT(OFFSET($BO$15,0,0,$B$14,1), 1*(_xlfn._xlws.FILTER(OFFSET($O$15,0,$DN67,$B$8,1),OFFSET($M$15,0,0,$B$8,1))=FL$13), 1*(_xlfn._xlws.FILTER(OFFSET($O$15,0,$DO67,$B$8,1),OFFSET($M$15,0,0,$B$8,1))=FL$14))   /   SUM(OFFSET($BO$15,0,0,$B$14,1)) + $B$18/($B$19*$B$19*($DN67&lt;&gt;$DO67) + $B$19*($DN67=$DO67))</f>
        <v>3.7037037037037035E-4</v>
      </c>
      <c r="FM67" s="10" cm="1">
        <f t="array" aca="1" ref="FM67" ca="1">(1-$B$18)*SUMPRODUCT(OFFSET($BO$15,0,0,$B$14,1), 1*(_xlfn._xlws.FILTER(OFFSET($O$15,0,$DN67,$B$8,1),OFFSET($M$15,0,0,$B$8,1))=FM$13), 1*(_xlfn._xlws.FILTER(OFFSET($O$15,0,$DO67,$B$8,1),OFFSET($M$15,0,0,$B$8,1))=FM$14))   /   SUM(OFFSET($BO$15,0,0,$B$14,1)) + $B$18/($B$19*$B$19*($DN67&lt;&gt;$DO67) + $B$19*($DN67=$DO67))</f>
        <v>3.7037037037037035E-4</v>
      </c>
      <c r="FN67" s="10" cm="1">
        <f t="array" aca="1" ref="FN67" ca="1">(1-$B$18)*SUMPRODUCT(OFFSET($BO$15,0,0,$B$14,1), 1*(_xlfn._xlws.FILTER(OFFSET($O$15,0,$DN67,$B$8,1),OFFSET($M$15,0,0,$B$8,1))=FN$13), 1*(_xlfn._xlws.FILTER(OFFSET($O$15,0,$DO67,$B$8,1),OFFSET($M$15,0,0,$B$8,1))=FN$14))   /   SUM(OFFSET($BO$15,0,0,$B$14,1)) + $B$18/($B$19*$B$19*($DN67&lt;&gt;$DO67) + $B$19*($DN67=$DO67))</f>
        <v>0.97037037037037033</v>
      </c>
      <c r="FO67" s="10" cm="1">
        <f t="array" aca="1" ref="FO67" ca="1">(1-$B$18)*SUMPRODUCT(OFFSET($BO$15,0,0,$B$14,1), 1*(_xlfn._xlws.FILTER(OFFSET($O$15,0,$DN67,$B$8,1),OFFSET($M$15,0,0,$B$8,1))=FO$13), 1*(_xlfn._xlws.FILTER(OFFSET($O$15,0,$DO67,$B$8,1),OFFSET($M$15,0,0,$B$8,1))=FO$14))   /   SUM(OFFSET($BO$15,0,0,$B$14,1)) + $B$18/($B$19*$B$19*($DN67&lt;&gt;$DO67) + $B$19*($DN67=$DO67))</f>
        <v>3.7037037037037035E-4</v>
      </c>
      <c r="FP67" s="10" cm="1">
        <f t="array" aca="1" ref="FP67" ca="1">(1-$B$18)*SUMPRODUCT(OFFSET($BO$15,0,0,$B$14,1), 1*(_xlfn._xlws.FILTER(OFFSET($O$15,0,$DN67,$B$8,1),OFFSET($M$15,0,0,$B$8,1))=FP$13), 1*(_xlfn._xlws.FILTER(OFFSET($O$15,0,$DO67,$B$8,1),OFFSET($M$15,0,0,$B$8,1))=FP$14))   /   SUM(OFFSET($BO$15,0,0,$B$14,1)) + $B$18/($B$19*$B$19*($DN67&lt;&gt;$DO67) + $B$19*($DN67=$DO67))</f>
        <v>3.7037037037037035E-4</v>
      </c>
      <c r="FQ67" s="10" cm="1">
        <f t="array" aca="1" ref="FQ67" ca="1">(1-$B$18)*SUMPRODUCT(OFFSET($BO$15,0,0,$B$14,1), 1*(_xlfn._xlws.FILTER(OFFSET($O$15,0,$DN67,$B$8,1),OFFSET($M$15,0,0,$B$8,1))=FQ$13), 1*(_xlfn._xlws.FILTER(OFFSET($O$15,0,$DO67,$B$8,1),OFFSET($M$15,0,0,$B$8,1))=FQ$14))   /   SUM(OFFSET($BO$15,0,0,$B$14,1)) + $B$18/($B$19*$B$19*($DN67&lt;&gt;$DO67) + $B$19*($DN67=$DO67))</f>
        <v>3.7037037037037035E-4</v>
      </c>
      <c r="FR67" s="10" cm="1">
        <f t="array" aca="1" ref="FR67" ca="1">(1-$B$18)*SUMPRODUCT(OFFSET($BO$15,0,0,$B$14,1), 1*(_xlfn._xlws.FILTER(OFFSET($O$15,0,$DN67,$B$8,1),OFFSET($M$15,0,0,$B$8,1))=FR$13), 1*(_xlfn._xlws.FILTER(OFFSET($O$15,0,$DO67,$B$8,1),OFFSET($M$15,0,0,$B$8,1))=FR$14))   /   SUM(OFFSET($BO$15,0,0,$B$14,1)) + $B$18/($B$19*$B$19*($DN67&lt;&gt;$DO67) + $B$19*($DN67=$DO67))</f>
        <v>3.7037037037037035E-4</v>
      </c>
      <c r="FS67" s="10" cm="1">
        <f t="array" aca="1" ref="FS67" ca="1">(1-$B$18)*SUMPRODUCT(OFFSET($BO$15,0,0,$B$14,1), 1*(_xlfn._xlws.FILTER(OFFSET($O$15,0,$DN67,$B$8,1),OFFSET($M$15,0,0,$B$8,1))=FS$13), 1*(_xlfn._xlws.FILTER(OFFSET($O$15,0,$DO67,$B$8,1),OFFSET($M$15,0,0,$B$8,1))=FS$14))   /   SUM(OFFSET($BO$15,0,0,$B$14,1)) + $B$18/($B$19*$B$19*($DN67&lt;&gt;$DO67) + $B$19*($DN67=$DO67))</f>
        <v>3.7037037037037035E-4</v>
      </c>
      <c r="FT67" s="10" cm="1">
        <f t="array" aca="1" ref="FT67" ca="1">(1-$B$18)*SUMPRODUCT(OFFSET($BO$15,0,0,$B$14,1), 1*(_xlfn._xlws.FILTER(OFFSET($O$15,0,$DN67,$B$8,1),OFFSET($M$15,0,0,$B$8,1))=FT$13), 1*(_xlfn._xlws.FILTER(OFFSET($O$15,0,$DO67,$B$8,1),OFFSET($M$15,0,0,$B$8,1))=FT$14))   /   SUM(OFFSET($BO$15,0,0,$B$14,1)) + $B$18/($B$19*$B$19*($DN67&lt;&gt;$DO67) + $B$19*($DN67=$DO67))</f>
        <v>3.7037037037037035E-4</v>
      </c>
      <c r="FU67" s="10" cm="1">
        <f t="array" aca="1" ref="FU67" ca="1">(1-$B$18)*SUMPRODUCT(OFFSET($BO$15,0,0,$B$14,1), 1*(_xlfn._xlws.FILTER(OFFSET($O$15,0,$DN67,$B$8,1),OFFSET($M$15,0,0,$B$8,1))=FU$13), 1*(_xlfn._xlws.FILTER(OFFSET($O$15,0,$DO67,$B$8,1),OFFSET($M$15,0,0,$B$8,1))=FU$14))   /   SUM(OFFSET($BO$15,0,0,$B$14,1)) + $B$18/($B$19*$B$19*($DN67&lt;&gt;$DO67) + $B$19*($DN67=$DO67))</f>
        <v>3.7037037037037035E-4</v>
      </c>
      <c r="FV67" s="10" cm="1">
        <f t="array" aca="1" ref="FV67" ca="1">(1-$B$18)*SUMPRODUCT(OFFSET($BO$15,0,0,$B$14,1), 1*(_xlfn._xlws.FILTER(OFFSET($O$15,0,$DN67,$B$8,1),OFFSET($M$15,0,0,$B$8,1))=FV$13), 1*(_xlfn._xlws.FILTER(OFFSET($O$15,0,$DO67,$B$8,1),OFFSET($M$15,0,0,$B$8,1))=FV$14))   /   SUM(OFFSET($BO$15,0,0,$B$14,1)) + $B$18/($B$19*$B$19*($DN67&lt;&gt;$DO67) + $B$19*($DN67=$DO67))</f>
        <v>3.7037037037037035E-4</v>
      </c>
      <c r="FW67" s="10" cm="1">
        <f t="array" aca="1" ref="FW67" ca="1">(1-$B$18)*SUMPRODUCT(OFFSET($BO$15,0,0,$B$14,1), 1*(_xlfn._xlws.FILTER(OFFSET($O$15,0,$DN67,$B$8,1),OFFSET($M$15,0,0,$B$8,1))=FW$13), 1*(_xlfn._xlws.FILTER(OFFSET($O$15,0,$DO67,$B$8,1),OFFSET($M$15,0,0,$B$8,1))=FW$14))   /   SUM(OFFSET($BO$15,0,0,$B$14,1)) + $B$18/($B$19*$B$19*($DN67&lt;&gt;$DO67) + $B$19*($DN67=$DO67))</f>
        <v>3.7037037037037035E-4</v>
      </c>
      <c r="FX67" s="10" cm="1">
        <f t="array" aca="1" ref="FX67" ca="1">(1-$B$18)*SUMPRODUCT(OFFSET($BO$15,0,0,$B$14,1), 1*(_xlfn._xlws.FILTER(OFFSET($O$15,0,$DN67,$B$8,1),OFFSET($M$15,0,0,$B$8,1))=FX$13), 1*(_xlfn._xlws.FILTER(OFFSET($O$15,0,$DO67,$B$8,1),OFFSET($M$15,0,0,$B$8,1))=FX$14))   /   SUM(OFFSET($BO$15,0,0,$B$14,1)) + $B$18/($B$19*$B$19*($DN67&lt;&gt;$DO67) + $B$19*($DN67=$DO67))</f>
        <v>3.7037037037037035E-4</v>
      </c>
      <c r="FY67" s="10" cm="1">
        <f t="array" aca="1" ref="FY67" ca="1">(1-$B$18)*SUMPRODUCT(OFFSET($BO$15,0,0,$B$14,1), 1*(_xlfn._xlws.FILTER(OFFSET($O$15,0,$DN67,$B$8,1),OFFSET($M$15,0,0,$B$8,1))=FY$13), 1*(_xlfn._xlws.FILTER(OFFSET($O$15,0,$DO67,$B$8,1),OFFSET($M$15,0,0,$B$8,1))=FY$14))   /   SUM(OFFSET($BO$15,0,0,$B$14,1)) + $B$18/($B$19*$B$19*($DN67&lt;&gt;$DO67) + $B$19*($DN67=$DO67))</f>
        <v>3.7037037037037035E-4</v>
      </c>
      <c r="FZ67" s="10" cm="1">
        <f t="array" aca="1" ref="FZ67" ca="1">(1-$B$18)*SUMPRODUCT(OFFSET($BO$15,0,0,$B$14,1), 1*(_xlfn._xlws.FILTER(OFFSET($O$15,0,$DN67,$B$8,1),OFFSET($M$15,0,0,$B$8,1))=FZ$13), 1*(_xlfn._xlws.FILTER(OFFSET($O$15,0,$DO67,$B$8,1),OFFSET($M$15,0,0,$B$8,1))=FZ$14))   /   SUM(OFFSET($BO$15,0,0,$B$14,1)) + $B$18/($B$19*$B$19*($DN67&lt;&gt;$DO67) + $B$19*($DN67=$DO67))</f>
        <v>3.7037037037037035E-4</v>
      </c>
      <c r="GA67" s="10" cm="1">
        <f t="array" aca="1" ref="GA67" ca="1">(1-$B$18)*SUMPRODUCT(OFFSET($BO$15,0,0,$B$14,1), 1*(_xlfn._xlws.FILTER(OFFSET($O$15,0,$DN67,$B$8,1),OFFSET($M$15,0,0,$B$8,1))=GA$13), 1*(_xlfn._xlws.FILTER(OFFSET($O$15,0,$DO67,$B$8,1),OFFSET($M$15,0,0,$B$8,1))=GA$14))   /   SUM(OFFSET($BO$15,0,0,$B$14,1)) + $B$18/($B$19*$B$19*($DN67&lt;&gt;$DO67) + $B$19*($DN67=$DO67))</f>
        <v>3.7037037037037035E-4</v>
      </c>
    </row>
    <row r="68" spans="7:183" x14ac:dyDescent="0.2">
      <c r="G68" s="2"/>
      <c r="H68" s="2"/>
      <c r="DN68" cm="1">
        <f t="array" aca="1" ref="DN68" ca="1">INDEX(_xlfn.ANCHORARRAY($CP$15), 1 + INT((ROWS($DO$15:$DO68) - 1) / ROWS(_xlfn.ANCHORARRAY($CP$15))))</f>
        <v>2</v>
      </c>
      <c r="DO68" cm="1">
        <f t="array" aca="1" ref="DO68" ca="1">INDEX(_xlfn.ANCHORARRAY($CP$15),1+MOD(ROWS($DO$15:$DO68)-1,ROWS(_xlfn.ANCHORARRAY($CP$15))))</f>
        <v>18</v>
      </c>
      <c r="DP68" s="10" cm="1">
        <f t="array" aca="1" ref="DP68" ca="1">(1-$B$18)*SUMPRODUCT(OFFSET($BO$15,0,0,$B$14,1), 1*(_xlfn._xlws.FILTER(OFFSET($O$15,0,$DN68,$B$8,1),OFFSET($M$15,0,0,$B$8,1))=DP$13), 1*(_xlfn._xlws.FILTER(OFFSET($O$15,0,$DO68,$B$8,1),OFFSET($M$15,0,0,$B$8,1))=DP$14))   /   SUM(OFFSET($BO$15,0,0,$B$14,1)) + $B$18/($B$19*$B$19*($DN68&lt;&gt;$DO68) + $B$19*($DN68=$DO68))</f>
        <v>3.7037037037037035E-4</v>
      </c>
      <c r="DQ68" s="10" cm="1">
        <f t="array" aca="1" ref="DQ68" ca="1">(1-$B$18)*SUMPRODUCT(OFFSET($BO$15,0,0,$B$14,1), 1*(_xlfn._xlws.FILTER(OFFSET($O$15,0,$DN68,$B$8,1),OFFSET($M$15,0,0,$B$8,1))=DQ$13), 1*(_xlfn._xlws.FILTER(OFFSET($O$15,0,$DO68,$B$8,1),OFFSET($M$15,0,0,$B$8,1))=DQ$14))   /   SUM(OFFSET($BO$15,0,0,$B$14,1)) + $B$18/($B$19*$B$19*($DN68&lt;&gt;$DO68) + $B$19*($DN68=$DO68))</f>
        <v>3.7037037037037035E-4</v>
      </c>
      <c r="DR68" s="10" cm="1">
        <f t="array" aca="1" ref="DR68" ca="1">(1-$B$18)*SUMPRODUCT(OFFSET($BO$15,0,0,$B$14,1), 1*(_xlfn._xlws.FILTER(OFFSET($O$15,0,$DN68,$B$8,1),OFFSET($M$15,0,0,$B$8,1))=DR$13), 1*(_xlfn._xlws.FILTER(OFFSET($O$15,0,$DO68,$B$8,1),OFFSET($M$15,0,0,$B$8,1))=DR$14))   /   SUM(OFFSET($BO$15,0,0,$B$14,1)) + $B$18/($B$19*$B$19*($DN68&lt;&gt;$DO68) + $B$19*($DN68=$DO68))</f>
        <v>3.7037037037037035E-4</v>
      </c>
      <c r="DS68" s="10" cm="1">
        <f t="array" aca="1" ref="DS68" ca="1">(1-$B$18)*SUMPRODUCT(OFFSET($BO$15,0,0,$B$14,1), 1*(_xlfn._xlws.FILTER(OFFSET($O$15,0,$DN68,$B$8,1),OFFSET($M$15,0,0,$B$8,1))=DS$13), 1*(_xlfn._xlws.FILTER(OFFSET($O$15,0,$DO68,$B$8,1),OFFSET($M$15,0,0,$B$8,1))=DS$14))   /   SUM(OFFSET($BO$15,0,0,$B$14,1)) + $B$18/($B$19*$B$19*($DN68&lt;&gt;$DO68) + $B$19*($DN68=$DO68))</f>
        <v>3.7037037037037035E-4</v>
      </c>
      <c r="DT68" s="10" cm="1">
        <f t="array" aca="1" ref="DT68" ca="1">(1-$B$18)*SUMPRODUCT(OFFSET($BO$15,0,0,$B$14,1), 1*(_xlfn._xlws.FILTER(OFFSET($O$15,0,$DN68,$B$8,1),OFFSET($M$15,0,0,$B$8,1))=DT$13), 1*(_xlfn._xlws.FILTER(OFFSET($O$15,0,$DO68,$B$8,1),OFFSET($M$15,0,0,$B$8,1))=DT$14))   /   SUM(OFFSET($BO$15,0,0,$B$14,1)) + $B$18/($B$19*$B$19*($DN68&lt;&gt;$DO68) + $B$19*($DN68=$DO68))</f>
        <v>3.7037037037037035E-4</v>
      </c>
      <c r="DU68" s="10" cm="1">
        <f t="array" aca="1" ref="DU68" ca="1">(1-$B$18)*SUMPRODUCT(OFFSET($BO$15,0,0,$B$14,1), 1*(_xlfn._xlws.FILTER(OFFSET($O$15,0,$DN68,$B$8,1),OFFSET($M$15,0,0,$B$8,1))=DU$13), 1*(_xlfn._xlws.FILTER(OFFSET($O$15,0,$DO68,$B$8,1),OFFSET($M$15,0,0,$B$8,1))=DU$14))   /   SUM(OFFSET($BO$15,0,0,$B$14,1)) + $B$18/($B$19*$B$19*($DN68&lt;&gt;$DO68) + $B$19*($DN68=$DO68))</f>
        <v>3.7037037037037035E-4</v>
      </c>
      <c r="DV68" s="10" cm="1">
        <f t="array" aca="1" ref="DV68" ca="1">(1-$B$18)*SUMPRODUCT(OFFSET($BO$15,0,0,$B$14,1), 1*(_xlfn._xlws.FILTER(OFFSET($O$15,0,$DN68,$B$8,1),OFFSET($M$15,0,0,$B$8,1))=DV$13), 1*(_xlfn._xlws.FILTER(OFFSET($O$15,0,$DO68,$B$8,1),OFFSET($M$15,0,0,$B$8,1))=DV$14))   /   SUM(OFFSET($BO$15,0,0,$B$14,1)) + $B$18/($B$19*$B$19*($DN68&lt;&gt;$DO68) + $B$19*($DN68=$DO68))</f>
        <v>3.7037037037037035E-4</v>
      </c>
      <c r="DW68" s="10" cm="1">
        <f t="array" aca="1" ref="DW68" ca="1">(1-$B$18)*SUMPRODUCT(OFFSET($BO$15,0,0,$B$14,1), 1*(_xlfn._xlws.FILTER(OFFSET($O$15,0,$DN68,$B$8,1),OFFSET($M$15,0,0,$B$8,1))=DW$13), 1*(_xlfn._xlws.FILTER(OFFSET($O$15,0,$DO68,$B$8,1),OFFSET($M$15,0,0,$B$8,1))=DW$14))   /   SUM(OFFSET($BO$15,0,0,$B$14,1)) + $B$18/($B$19*$B$19*($DN68&lt;&gt;$DO68) + $B$19*($DN68=$DO68))</f>
        <v>3.7037037037037035E-4</v>
      </c>
      <c r="DX68" s="10" cm="1">
        <f t="array" aca="1" ref="DX68" ca="1">(1-$B$18)*SUMPRODUCT(OFFSET($BO$15,0,0,$B$14,1), 1*(_xlfn._xlws.FILTER(OFFSET($O$15,0,$DN68,$B$8,1),OFFSET($M$15,0,0,$B$8,1))=DX$13), 1*(_xlfn._xlws.FILTER(OFFSET($O$15,0,$DO68,$B$8,1),OFFSET($M$15,0,0,$B$8,1))=DX$14))   /   SUM(OFFSET($BO$15,0,0,$B$14,1)) + $B$18/($B$19*$B$19*($DN68&lt;&gt;$DO68) + $B$19*($DN68=$DO68))</f>
        <v>3.7037037037037035E-4</v>
      </c>
      <c r="DY68" s="10" cm="1">
        <f t="array" aca="1" ref="DY68" ca="1">(1-$B$18)*SUMPRODUCT(OFFSET($BO$15,0,0,$B$14,1), 1*(_xlfn._xlws.FILTER(OFFSET($O$15,0,$DN68,$B$8,1),OFFSET($M$15,0,0,$B$8,1))=DY$13), 1*(_xlfn._xlws.FILTER(OFFSET($O$15,0,$DO68,$B$8,1),OFFSET($M$15,0,0,$B$8,1))=DY$14))   /   SUM(OFFSET($BO$15,0,0,$B$14,1)) + $B$18/($B$19*$B$19*($DN68&lt;&gt;$DO68) + $B$19*($DN68=$DO68))</f>
        <v>3.7037037037037035E-4</v>
      </c>
      <c r="DZ68" s="10" cm="1">
        <f t="array" aca="1" ref="DZ68" ca="1">(1-$B$18)*SUMPRODUCT(OFFSET($BO$15,0,0,$B$14,1), 1*(_xlfn._xlws.FILTER(OFFSET($O$15,0,$DN68,$B$8,1),OFFSET($M$15,0,0,$B$8,1))=DZ$13), 1*(_xlfn._xlws.FILTER(OFFSET($O$15,0,$DO68,$B$8,1),OFFSET($M$15,0,0,$B$8,1))=DZ$14))   /   SUM(OFFSET($BO$15,0,0,$B$14,1)) + $B$18/($B$19*$B$19*($DN68&lt;&gt;$DO68) + $B$19*($DN68=$DO68))</f>
        <v>3.7037037037037035E-4</v>
      </c>
      <c r="EA68" s="10" cm="1">
        <f t="array" aca="1" ref="EA68" ca="1">(1-$B$18)*SUMPRODUCT(OFFSET($BO$15,0,0,$B$14,1), 1*(_xlfn._xlws.FILTER(OFFSET($O$15,0,$DN68,$B$8,1),OFFSET($M$15,0,0,$B$8,1))=EA$13), 1*(_xlfn._xlws.FILTER(OFFSET($O$15,0,$DO68,$B$8,1),OFFSET($M$15,0,0,$B$8,1))=EA$14))   /   SUM(OFFSET($BO$15,0,0,$B$14,1)) + $B$18/($B$19*$B$19*($DN68&lt;&gt;$DO68) + $B$19*($DN68=$DO68))</f>
        <v>3.7037037037037035E-4</v>
      </c>
      <c r="EB68" s="10" cm="1">
        <f t="array" aca="1" ref="EB68" ca="1">(1-$B$18)*SUMPRODUCT(OFFSET($BO$15,0,0,$B$14,1), 1*(_xlfn._xlws.FILTER(OFFSET($O$15,0,$DN68,$B$8,1),OFFSET($M$15,0,0,$B$8,1))=EB$13), 1*(_xlfn._xlws.FILTER(OFFSET($O$15,0,$DO68,$B$8,1),OFFSET($M$15,0,0,$B$8,1))=EB$14))   /   SUM(OFFSET($BO$15,0,0,$B$14,1)) + $B$18/($B$19*$B$19*($DN68&lt;&gt;$DO68) + $B$19*($DN68=$DO68))</f>
        <v>3.7037037037037035E-4</v>
      </c>
      <c r="EC68" s="10" cm="1">
        <f t="array" aca="1" ref="EC68" ca="1">(1-$B$18)*SUMPRODUCT(OFFSET($BO$15,0,0,$B$14,1), 1*(_xlfn._xlws.FILTER(OFFSET($O$15,0,$DN68,$B$8,1),OFFSET($M$15,0,0,$B$8,1))=EC$13), 1*(_xlfn._xlws.FILTER(OFFSET($O$15,0,$DO68,$B$8,1),OFFSET($M$15,0,0,$B$8,1))=EC$14))   /   SUM(OFFSET($BO$15,0,0,$B$14,1)) + $B$18/($B$19*$B$19*($DN68&lt;&gt;$DO68) + $B$19*($DN68=$DO68))</f>
        <v>3.7037037037037035E-4</v>
      </c>
      <c r="ED68" s="10" cm="1">
        <f t="array" aca="1" ref="ED68" ca="1">(1-$B$18)*SUMPRODUCT(OFFSET($BO$15,0,0,$B$14,1), 1*(_xlfn._xlws.FILTER(OFFSET($O$15,0,$DN68,$B$8,1),OFFSET($M$15,0,0,$B$8,1))=ED$13), 1*(_xlfn._xlws.FILTER(OFFSET($O$15,0,$DO68,$B$8,1),OFFSET($M$15,0,0,$B$8,1))=ED$14))   /   SUM(OFFSET($BO$15,0,0,$B$14,1)) + $B$18/($B$19*$B$19*($DN68&lt;&gt;$DO68) + $B$19*($DN68=$DO68))</f>
        <v>3.7037037037037035E-4</v>
      </c>
      <c r="EE68" s="10" cm="1">
        <f t="array" aca="1" ref="EE68" ca="1">(1-$B$18)*SUMPRODUCT(OFFSET($BO$15,0,0,$B$14,1), 1*(_xlfn._xlws.FILTER(OFFSET($O$15,0,$DN68,$B$8,1),OFFSET($M$15,0,0,$B$8,1))=EE$13), 1*(_xlfn._xlws.FILTER(OFFSET($O$15,0,$DO68,$B$8,1),OFFSET($M$15,0,0,$B$8,1))=EE$14))   /   SUM(OFFSET($BO$15,0,0,$B$14,1)) + $B$18/($B$19*$B$19*($DN68&lt;&gt;$DO68) + $B$19*($DN68=$DO68))</f>
        <v>3.7037037037037035E-4</v>
      </c>
      <c r="EF68" s="10" cm="1">
        <f t="array" aca="1" ref="EF68" ca="1">(1-$B$18)*SUMPRODUCT(OFFSET($BO$15,0,0,$B$14,1), 1*(_xlfn._xlws.FILTER(OFFSET($O$15,0,$DN68,$B$8,1),OFFSET($M$15,0,0,$B$8,1))=EF$13), 1*(_xlfn._xlws.FILTER(OFFSET($O$15,0,$DO68,$B$8,1),OFFSET($M$15,0,0,$B$8,1))=EF$14))   /   SUM(OFFSET($BO$15,0,0,$B$14,1)) + $B$18/($B$19*$B$19*($DN68&lt;&gt;$DO68) + $B$19*($DN68=$DO68))</f>
        <v>3.7037037037037035E-4</v>
      </c>
      <c r="EG68" s="10" cm="1">
        <f t="array" aca="1" ref="EG68" ca="1">(1-$B$18)*SUMPRODUCT(OFFSET($BO$15,0,0,$B$14,1), 1*(_xlfn._xlws.FILTER(OFFSET($O$15,0,$DN68,$B$8,1),OFFSET($M$15,0,0,$B$8,1))=EG$13), 1*(_xlfn._xlws.FILTER(OFFSET($O$15,0,$DO68,$B$8,1),OFFSET($M$15,0,0,$B$8,1))=EG$14))   /   SUM(OFFSET($BO$15,0,0,$B$14,1)) + $B$18/($B$19*$B$19*($DN68&lt;&gt;$DO68) + $B$19*($DN68=$DO68))</f>
        <v>3.7037037037037035E-4</v>
      </c>
      <c r="EH68" s="10" cm="1">
        <f t="array" aca="1" ref="EH68" ca="1">(1-$B$18)*SUMPRODUCT(OFFSET($BO$15,0,0,$B$14,1), 1*(_xlfn._xlws.FILTER(OFFSET($O$15,0,$DN68,$B$8,1),OFFSET($M$15,0,0,$B$8,1))=EH$13), 1*(_xlfn._xlws.FILTER(OFFSET($O$15,0,$DO68,$B$8,1),OFFSET($M$15,0,0,$B$8,1))=EH$14))   /   SUM(OFFSET($BO$15,0,0,$B$14,1)) + $B$18/($B$19*$B$19*($DN68&lt;&gt;$DO68) + $B$19*($DN68=$DO68))</f>
        <v>3.7037037037037035E-4</v>
      </c>
      <c r="EI68" s="10" cm="1">
        <f t="array" aca="1" ref="EI68" ca="1">(1-$B$18)*SUMPRODUCT(OFFSET($BO$15,0,0,$B$14,1), 1*(_xlfn._xlws.FILTER(OFFSET($O$15,0,$DN68,$B$8,1),OFFSET($M$15,0,0,$B$8,1))=EI$13), 1*(_xlfn._xlws.FILTER(OFFSET($O$15,0,$DO68,$B$8,1),OFFSET($M$15,0,0,$B$8,1))=EI$14))   /   SUM(OFFSET($BO$15,0,0,$B$14,1)) + $B$18/($B$19*$B$19*($DN68&lt;&gt;$DO68) + $B$19*($DN68=$DO68))</f>
        <v>3.7037037037037035E-4</v>
      </c>
      <c r="EJ68" s="10" cm="1">
        <f t="array" aca="1" ref="EJ68" ca="1">(1-$B$18)*SUMPRODUCT(OFFSET($BO$15,0,0,$B$14,1), 1*(_xlfn._xlws.FILTER(OFFSET($O$15,0,$DN68,$B$8,1),OFFSET($M$15,0,0,$B$8,1))=EJ$13), 1*(_xlfn._xlws.FILTER(OFFSET($O$15,0,$DO68,$B$8,1),OFFSET($M$15,0,0,$B$8,1))=EJ$14))   /   SUM(OFFSET($BO$15,0,0,$B$14,1)) + $B$18/($B$19*$B$19*($DN68&lt;&gt;$DO68) + $B$19*($DN68=$DO68))</f>
        <v>3.7037037037037035E-4</v>
      </c>
      <c r="EK68" s="10" cm="1">
        <f t="array" aca="1" ref="EK68" ca="1">(1-$B$18)*SUMPRODUCT(OFFSET($BO$15,0,0,$B$14,1), 1*(_xlfn._xlws.FILTER(OFFSET($O$15,0,$DN68,$B$8,1),OFFSET($M$15,0,0,$B$8,1))=EK$13), 1*(_xlfn._xlws.FILTER(OFFSET($O$15,0,$DO68,$B$8,1),OFFSET($M$15,0,0,$B$8,1))=EK$14))   /   SUM(OFFSET($BO$15,0,0,$B$14,1)) + $B$18/($B$19*$B$19*($DN68&lt;&gt;$DO68) + $B$19*($DN68=$DO68))</f>
        <v>3.7037037037037035E-4</v>
      </c>
      <c r="EL68" s="10" cm="1">
        <f t="array" aca="1" ref="EL68" ca="1">(1-$B$18)*SUMPRODUCT(OFFSET($BO$15,0,0,$B$14,1), 1*(_xlfn._xlws.FILTER(OFFSET($O$15,0,$DN68,$B$8,1),OFFSET($M$15,0,0,$B$8,1))=EL$13), 1*(_xlfn._xlws.FILTER(OFFSET($O$15,0,$DO68,$B$8,1),OFFSET($M$15,0,0,$B$8,1))=EL$14))   /   SUM(OFFSET($BO$15,0,0,$B$14,1)) + $B$18/($B$19*$B$19*($DN68&lt;&gt;$DO68) + $B$19*($DN68=$DO68))</f>
        <v>3.7037037037037035E-4</v>
      </c>
      <c r="EM68" s="10" cm="1">
        <f t="array" aca="1" ref="EM68" ca="1">(1-$B$18)*SUMPRODUCT(OFFSET($BO$15,0,0,$B$14,1), 1*(_xlfn._xlws.FILTER(OFFSET($O$15,0,$DN68,$B$8,1),OFFSET($M$15,0,0,$B$8,1))=EM$13), 1*(_xlfn._xlws.FILTER(OFFSET($O$15,0,$DO68,$B$8,1),OFFSET($M$15,0,0,$B$8,1))=EM$14))   /   SUM(OFFSET($BO$15,0,0,$B$14,1)) + $B$18/($B$19*$B$19*($DN68&lt;&gt;$DO68) + $B$19*($DN68=$DO68))</f>
        <v>3.7037037037037035E-4</v>
      </c>
      <c r="EN68" s="10" cm="1">
        <f t="array" aca="1" ref="EN68" ca="1">(1-$B$18)*SUMPRODUCT(OFFSET($BO$15,0,0,$B$14,1), 1*(_xlfn._xlws.FILTER(OFFSET($O$15,0,$DN68,$B$8,1),OFFSET($M$15,0,0,$B$8,1))=EN$13), 1*(_xlfn._xlws.FILTER(OFFSET($O$15,0,$DO68,$B$8,1),OFFSET($M$15,0,0,$B$8,1))=EN$14))   /   SUM(OFFSET($BO$15,0,0,$B$14,1)) + $B$18/($B$19*$B$19*($DN68&lt;&gt;$DO68) + $B$19*($DN68=$DO68))</f>
        <v>3.7037037037037035E-4</v>
      </c>
      <c r="EO68" s="10" cm="1">
        <f t="array" aca="1" ref="EO68" ca="1">(1-$B$18)*SUMPRODUCT(OFFSET($BO$15,0,0,$B$14,1), 1*(_xlfn._xlws.FILTER(OFFSET($O$15,0,$DN68,$B$8,1),OFFSET($M$15,0,0,$B$8,1))=EO$13), 1*(_xlfn._xlws.FILTER(OFFSET($O$15,0,$DO68,$B$8,1),OFFSET($M$15,0,0,$B$8,1))=EO$14))   /   SUM(OFFSET($BO$15,0,0,$B$14,1)) + $B$18/($B$19*$B$19*($DN68&lt;&gt;$DO68) + $B$19*($DN68=$DO68))</f>
        <v>3.7037037037037035E-4</v>
      </c>
      <c r="EP68" s="10" cm="1">
        <f t="array" aca="1" ref="EP68" ca="1">(1-$B$18)*SUMPRODUCT(OFFSET($BO$15,0,0,$B$14,1), 1*(_xlfn._xlws.FILTER(OFFSET($O$15,0,$DN68,$B$8,1),OFFSET($M$15,0,0,$B$8,1))=EP$13), 1*(_xlfn._xlws.FILTER(OFFSET($O$15,0,$DO68,$B$8,1),OFFSET($M$15,0,0,$B$8,1))=EP$14))   /   SUM(OFFSET($BO$15,0,0,$B$14,1)) + $B$18/($B$19*$B$19*($DN68&lt;&gt;$DO68) + $B$19*($DN68=$DO68))</f>
        <v>3.7037037037037035E-4</v>
      </c>
      <c r="EQ68" s="10" cm="1">
        <f t="array" aca="1" ref="EQ68" ca="1">(1-$B$18)*SUMPRODUCT(OFFSET($BO$15,0,0,$B$14,1), 1*(_xlfn._xlws.FILTER(OFFSET($O$15,0,$DN68,$B$8,1),OFFSET($M$15,0,0,$B$8,1))=EQ$13), 1*(_xlfn._xlws.FILTER(OFFSET($O$15,0,$DO68,$B$8,1),OFFSET($M$15,0,0,$B$8,1))=EQ$14))   /   SUM(OFFSET($BO$15,0,0,$B$14,1)) + $B$18/($B$19*$B$19*($DN68&lt;&gt;$DO68) + $B$19*($DN68=$DO68))</f>
        <v>3.7037037037037035E-4</v>
      </c>
      <c r="ER68" s="10" cm="1">
        <f t="array" aca="1" ref="ER68" ca="1">(1-$B$18)*SUMPRODUCT(OFFSET($BO$15,0,0,$B$14,1), 1*(_xlfn._xlws.FILTER(OFFSET($O$15,0,$DN68,$B$8,1),OFFSET($M$15,0,0,$B$8,1))=ER$13), 1*(_xlfn._xlws.FILTER(OFFSET($O$15,0,$DO68,$B$8,1),OFFSET($M$15,0,0,$B$8,1))=ER$14))   /   SUM(OFFSET($BO$15,0,0,$B$14,1)) + $B$18/($B$19*$B$19*($DN68&lt;&gt;$DO68) + $B$19*($DN68=$DO68))</f>
        <v>3.7037037037037035E-4</v>
      </c>
      <c r="ES68" s="10" cm="1">
        <f t="array" aca="1" ref="ES68" ca="1">(1-$B$18)*SUMPRODUCT(OFFSET($BO$15,0,0,$B$14,1), 1*(_xlfn._xlws.FILTER(OFFSET($O$15,0,$DN68,$B$8,1),OFFSET($M$15,0,0,$B$8,1))=ES$13), 1*(_xlfn._xlws.FILTER(OFFSET($O$15,0,$DO68,$B$8,1),OFFSET($M$15,0,0,$B$8,1))=ES$14))   /   SUM(OFFSET($BO$15,0,0,$B$14,1)) + $B$18/($B$19*$B$19*($DN68&lt;&gt;$DO68) + $B$19*($DN68=$DO68))</f>
        <v>3.7037037037037035E-4</v>
      </c>
      <c r="ET68" s="10" cm="1">
        <f t="array" aca="1" ref="ET68" ca="1">(1-$B$18)*SUMPRODUCT(OFFSET($BO$15,0,0,$B$14,1), 1*(_xlfn._xlws.FILTER(OFFSET($O$15,0,$DN68,$B$8,1),OFFSET($M$15,0,0,$B$8,1))=ET$13), 1*(_xlfn._xlws.FILTER(OFFSET($O$15,0,$DO68,$B$8,1),OFFSET($M$15,0,0,$B$8,1))=ET$14))   /   SUM(OFFSET($BO$15,0,0,$B$14,1)) + $B$18/($B$19*$B$19*($DN68&lt;&gt;$DO68) + $B$19*($DN68=$DO68))</f>
        <v>3.7037037037037035E-4</v>
      </c>
      <c r="EU68" s="10" cm="1">
        <f t="array" aca="1" ref="EU68" ca="1">(1-$B$18)*SUMPRODUCT(OFFSET($BO$15,0,0,$B$14,1), 1*(_xlfn._xlws.FILTER(OFFSET($O$15,0,$DN68,$B$8,1),OFFSET($M$15,0,0,$B$8,1))=EU$13), 1*(_xlfn._xlws.FILTER(OFFSET($O$15,0,$DO68,$B$8,1),OFFSET($M$15,0,0,$B$8,1))=EU$14))   /   SUM(OFFSET($BO$15,0,0,$B$14,1)) + $B$18/($B$19*$B$19*($DN68&lt;&gt;$DO68) + $B$19*($DN68=$DO68))</f>
        <v>3.7037037037037035E-4</v>
      </c>
      <c r="EV68" s="10" cm="1">
        <f t="array" aca="1" ref="EV68" ca="1">(1-$B$18)*SUMPRODUCT(OFFSET($BO$15,0,0,$B$14,1), 1*(_xlfn._xlws.FILTER(OFFSET($O$15,0,$DN68,$B$8,1),OFFSET($M$15,0,0,$B$8,1))=EV$13), 1*(_xlfn._xlws.FILTER(OFFSET($O$15,0,$DO68,$B$8,1),OFFSET($M$15,0,0,$B$8,1))=EV$14))   /   SUM(OFFSET($BO$15,0,0,$B$14,1)) + $B$18/($B$19*$B$19*($DN68&lt;&gt;$DO68) + $B$19*($DN68=$DO68))</f>
        <v>3.7037037037037035E-4</v>
      </c>
      <c r="EW68" s="10" cm="1">
        <f t="array" aca="1" ref="EW68" ca="1">(1-$B$18)*SUMPRODUCT(OFFSET($BO$15,0,0,$B$14,1), 1*(_xlfn._xlws.FILTER(OFFSET($O$15,0,$DN68,$B$8,1),OFFSET($M$15,0,0,$B$8,1))=EW$13), 1*(_xlfn._xlws.FILTER(OFFSET($O$15,0,$DO68,$B$8,1),OFFSET($M$15,0,0,$B$8,1))=EW$14))   /   SUM(OFFSET($BO$15,0,0,$B$14,1)) + $B$18/($B$19*$B$19*($DN68&lt;&gt;$DO68) + $B$19*($DN68=$DO68))</f>
        <v>3.7037037037037035E-4</v>
      </c>
      <c r="EX68" s="10" cm="1">
        <f t="array" aca="1" ref="EX68" ca="1">(1-$B$18)*SUMPRODUCT(OFFSET($BO$15,0,0,$B$14,1), 1*(_xlfn._xlws.FILTER(OFFSET($O$15,0,$DN68,$B$8,1),OFFSET($M$15,0,0,$B$8,1))=EX$13), 1*(_xlfn._xlws.FILTER(OFFSET($O$15,0,$DO68,$B$8,1),OFFSET($M$15,0,0,$B$8,1))=EX$14))   /   SUM(OFFSET($BO$15,0,0,$B$14,1)) + $B$18/($B$19*$B$19*($DN68&lt;&gt;$DO68) + $B$19*($DN68=$DO68))</f>
        <v>3.7037037037037035E-4</v>
      </c>
      <c r="EY68" s="10" cm="1">
        <f t="array" aca="1" ref="EY68" ca="1">(1-$B$18)*SUMPRODUCT(OFFSET($BO$15,0,0,$B$14,1), 1*(_xlfn._xlws.FILTER(OFFSET($O$15,0,$DN68,$B$8,1),OFFSET($M$15,0,0,$B$8,1))=EY$13), 1*(_xlfn._xlws.FILTER(OFFSET($O$15,0,$DO68,$B$8,1),OFFSET($M$15,0,0,$B$8,1))=EY$14))   /   SUM(OFFSET($BO$15,0,0,$B$14,1)) + $B$18/($B$19*$B$19*($DN68&lt;&gt;$DO68) + $B$19*($DN68=$DO68))</f>
        <v>3.7037037037037035E-4</v>
      </c>
      <c r="EZ68" s="10" cm="1">
        <f t="array" aca="1" ref="EZ68" ca="1">(1-$B$18)*SUMPRODUCT(OFFSET($BO$15,0,0,$B$14,1), 1*(_xlfn._xlws.FILTER(OFFSET($O$15,0,$DN68,$B$8,1),OFFSET($M$15,0,0,$B$8,1))=EZ$13), 1*(_xlfn._xlws.FILTER(OFFSET($O$15,0,$DO68,$B$8,1),OFFSET($M$15,0,0,$B$8,1))=EZ$14))   /   SUM(OFFSET($BO$15,0,0,$B$14,1)) + $B$18/($B$19*$B$19*($DN68&lt;&gt;$DO68) + $B$19*($DN68=$DO68))</f>
        <v>3.7037037037037035E-4</v>
      </c>
      <c r="FA68" s="10" cm="1">
        <f t="array" aca="1" ref="FA68" ca="1">(1-$B$18)*SUMPRODUCT(OFFSET($BO$15,0,0,$B$14,1), 1*(_xlfn._xlws.FILTER(OFFSET($O$15,0,$DN68,$B$8,1),OFFSET($M$15,0,0,$B$8,1))=FA$13), 1*(_xlfn._xlws.FILTER(OFFSET($O$15,0,$DO68,$B$8,1),OFFSET($M$15,0,0,$B$8,1))=FA$14))   /   SUM(OFFSET($BO$15,0,0,$B$14,1)) + $B$18/($B$19*$B$19*($DN68&lt;&gt;$DO68) + $B$19*($DN68=$DO68))</f>
        <v>3.7037037037037035E-4</v>
      </c>
      <c r="FB68" s="10" cm="1">
        <f t="array" aca="1" ref="FB68" ca="1">(1-$B$18)*SUMPRODUCT(OFFSET($BO$15,0,0,$B$14,1), 1*(_xlfn._xlws.FILTER(OFFSET($O$15,0,$DN68,$B$8,1),OFFSET($M$15,0,0,$B$8,1))=FB$13), 1*(_xlfn._xlws.FILTER(OFFSET($O$15,0,$DO68,$B$8,1),OFFSET($M$15,0,0,$B$8,1))=FB$14))   /   SUM(OFFSET($BO$15,0,0,$B$14,1)) + $B$18/($B$19*$B$19*($DN68&lt;&gt;$DO68) + $B$19*($DN68=$DO68))</f>
        <v>3.7037037037037035E-4</v>
      </c>
      <c r="FC68" s="10" cm="1">
        <f t="array" aca="1" ref="FC68" ca="1">(1-$B$18)*SUMPRODUCT(OFFSET($BO$15,0,0,$B$14,1), 1*(_xlfn._xlws.FILTER(OFFSET($O$15,0,$DN68,$B$8,1),OFFSET($M$15,0,0,$B$8,1))=FC$13), 1*(_xlfn._xlws.FILTER(OFFSET($O$15,0,$DO68,$B$8,1),OFFSET($M$15,0,0,$B$8,1))=FC$14))   /   SUM(OFFSET($BO$15,0,0,$B$14,1)) + $B$18/($B$19*$B$19*($DN68&lt;&gt;$DO68) + $B$19*($DN68=$DO68))</f>
        <v>3.7037037037037035E-4</v>
      </c>
      <c r="FD68" s="10" cm="1">
        <f t="array" aca="1" ref="FD68" ca="1">(1-$B$18)*SUMPRODUCT(OFFSET($BO$15,0,0,$B$14,1), 1*(_xlfn._xlws.FILTER(OFFSET($O$15,0,$DN68,$B$8,1),OFFSET($M$15,0,0,$B$8,1))=FD$13), 1*(_xlfn._xlws.FILTER(OFFSET($O$15,0,$DO68,$B$8,1),OFFSET($M$15,0,0,$B$8,1))=FD$14))   /   SUM(OFFSET($BO$15,0,0,$B$14,1)) + $B$18/($B$19*$B$19*($DN68&lt;&gt;$DO68) + $B$19*($DN68=$DO68))</f>
        <v>3.7037037037037035E-4</v>
      </c>
      <c r="FE68" s="10" cm="1">
        <f t="array" aca="1" ref="FE68" ca="1">(1-$B$18)*SUMPRODUCT(OFFSET($BO$15,0,0,$B$14,1), 1*(_xlfn._xlws.FILTER(OFFSET($O$15,0,$DN68,$B$8,1),OFFSET($M$15,0,0,$B$8,1))=FE$13), 1*(_xlfn._xlws.FILTER(OFFSET($O$15,0,$DO68,$B$8,1),OFFSET($M$15,0,0,$B$8,1))=FE$14))   /   SUM(OFFSET($BO$15,0,0,$B$14,1)) + $B$18/($B$19*$B$19*($DN68&lt;&gt;$DO68) + $B$19*($DN68=$DO68))</f>
        <v>3.7037037037037035E-4</v>
      </c>
      <c r="FF68" s="10" cm="1">
        <f t="array" aca="1" ref="FF68" ca="1">(1-$B$18)*SUMPRODUCT(OFFSET($BO$15,0,0,$B$14,1), 1*(_xlfn._xlws.FILTER(OFFSET($O$15,0,$DN68,$B$8,1),OFFSET($M$15,0,0,$B$8,1))=FF$13), 1*(_xlfn._xlws.FILTER(OFFSET($O$15,0,$DO68,$B$8,1),OFFSET($M$15,0,0,$B$8,1))=FF$14))   /   SUM(OFFSET($BO$15,0,0,$B$14,1)) + $B$18/($B$19*$B$19*($DN68&lt;&gt;$DO68) + $B$19*($DN68=$DO68))</f>
        <v>3.7037037037037035E-4</v>
      </c>
      <c r="FG68" s="10" cm="1">
        <f t="array" aca="1" ref="FG68" ca="1">(1-$B$18)*SUMPRODUCT(OFFSET($BO$15,0,0,$B$14,1), 1*(_xlfn._xlws.FILTER(OFFSET($O$15,0,$DN68,$B$8,1),OFFSET($M$15,0,0,$B$8,1))=FG$13), 1*(_xlfn._xlws.FILTER(OFFSET($O$15,0,$DO68,$B$8,1),OFFSET($M$15,0,0,$B$8,1))=FG$14))   /   SUM(OFFSET($BO$15,0,0,$B$14,1)) + $B$18/($B$19*$B$19*($DN68&lt;&gt;$DO68) + $B$19*($DN68=$DO68))</f>
        <v>3.7037037037037035E-4</v>
      </c>
      <c r="FH68" s="10" cm="1">
        <f t="array" aca="1" ref="FH68" ca="1">(1-$B$18)*SUMPRODUCT(OFFSET($BO$15,0,0,$B$14,1), 1*(_xlfn._xlws.FILTER(OFFSET($O$15,0,$DN68,$B$8,1),OFFSET($M$15,0,0,$B$8,1))=FH$13), 1*(_xlfn._xlws.FILTER(OFFSET($O$15,0,$DO68,$B$8,1),OFFSET($M$15,0,0,$B$8,1))=FH$14))   /   SUM(OFFSET($BO$15,0,0,$B$14,1)) + $B$18/($B$19*$B$19*($DN68&lt;&gt;$DO68) + $B$19*($DN68=$DO68))</f>
        <v>3.7037037037037035E-4</v>
      </c>
      <c r="FI68" s="10" cm="1">
        <f t="array" aca="1" ref="FI68" ca="1">(1-$B$18)*SUMPRODUCT(OFFSET($BO$15,0,0,$B$14,1), 1*(_xlfn._xlws.FILTER(OFFSET($O$15,0,$DN68,$B$8,1),OFFSET($M$15,0,0,$B$8,1))=FI$13), 1*(_xlfn._xlws.FILTER(OFFSET($O$15,0,$DO68,$B$8,1),OFFSET($M$15,0,0,$B$8,1))=FI$14))   /   SUM(OFFSET($BO$15,0,0,$B$14,1)) + $B$18/($B$19*$B$19*($DN68&lt;&gt;$DO68) + $B$19*($DN68=$DO68))</f>
        <v>3.7037037037037035E-4</v>
      </c>
      <c r="FJ68" s="10" cm="1">
        <f t="array" aca="1" ref="FJ68" ca="1">(1-$B$18)*SUMPRODUCT(OFFSET($BO$15,0,0,$B$14,1), 1*(_xlfn._xlws.FILTER(OFFSET($O$15,0,$DN68,$B$8,1),OFFSET($M$15,0,0,$B$8,1))=FJ$13), 1*(_xlfn._xlws.FILTER(OFFSET($O$15,0,$DO68,$B$8,1),OFFSET($M$15,0,0,$B$8,1))=FJ$14))   /   SUM(OFFSET($BO$15,0,0,$B$14,1)) + $B$18/($B$19*$B$19*($DN68&lt;&gt;$DO68) + $B$19*($DN68=$DO68))</f>
        <v>3.7037037037037035E-4</v>
      </c>
      <c r="FK68" s="10" cm="1">
        <f t="array" aca="1" ref="FK68" ca="1">(1-$B$18)*SUMPRODUCT(OFFSET($BO$15,0,0,$B$14,1), 1*(_xlfn._xlws.FILTER(OFFSET($O$15,0,$DN68,$B$8,1),OFFSET($M$15,0,0,$B$8,1))=FK$13), 1*(_xlfn._xlws.FILTER(OFFSET($O$15,0,$DO68,$B$8,1),OFFSET($M$15,0,0,$B$8,1))=FK$14))   /   SUM(OFFSET($BO$15,0,0,$B$14,1)) + $B$18/($B$19*$B$19*($DN68&lt;&gt;$DO68) + $B$19*($DN68=$DO68))</f>
        <v>3.7037037037037035E-4</v>
      </c>
      <c r="FL68" s="10" cm="1">
        <f t="array" aca="1" ref="FL68" ca="1">(1-$B$18)*SUMPRODUCT(OFFSET($BO$15,0,0,$B$14,1), 1*(_xlfn._xlws.FILTER(OFFSET($O$15,0,$DN68,$B$8,1),OFFSET($M$15,0,0,$B$8,1))=FL$13), 1*(_xlfn._xlws.FILTER(OFFSET($O$15,0,$DO68,$B$8,1),OFFSET($M$15,0,0,$B$8,1))=FL$14))   /   SUM(OFFSET($BO$15,0,0,$B$14,1)) + $B$18/($B$19*$B$19*($DN68&lt;&gt;$DO68) + $B$19*($DN68=$DO68))</f>
        <v>3.7037037037037035E-4</v>
      </c>
      <c r="FM68" s="10" cm="1">
        <f t="array" aca="1" ref="FM68" ca="1">(1-$B$18)*SUMPRODUCT(OFFSET($BO$15,0,0,$B$14,1), 1*(_xlfn._xlws.FILTER(OFFSET($O$15,0,$DN68,$B$8,1),OFFSET($M$15,0,0,$B$8,1))=FM$13), 1*(_xlfn._xlws.FILTER(OFFSET($O$15,0,$DO68,$B$8,1),OFFSET($M$15,0,0,$B$8,1))=FM$14))   /   SUM(OFFSET($BO$15,0,0,$B$14,1)) + $B$18/($B$19*$B$19*($DN68&lt;&gt;$DO68) + $B$19*($DN68=$DO68))</f>
        <v>3.7037037037037035E-4</v>
      </c>
      <c r="FN68" s="10" cm="1">
        <f t="array" aca="1" ref="FN68" ca="1">(1-$B$18)*SUMPRODUCT(OFFSET($BO$15,0,0,$B$14,1), 1*(_xlfn._xlws.FILTER(OFFSET($O$15,0,$DN68,$B$8,1),OFFSET($M$15,0,0,$B$8,1))=FN$13), 1*(_xlfn._xlws.FILTER(OFFSET($O$15,0,$DO68,$B$8,1),OFFSET($M$15,0,0,$B$8,1))=FN$14))   /   SUM(OFFSET($BO$15,0,0,$B$14,1)) + $B$18/($B$19*$B$19*($DN68&lt;&gt;$DO68) + $B$19*($DN68=$DO68))</f>
        <v>3.7037037037037035E-4</v>
      </c>
      <c r="FO68" s="10" cm="1">
        <f t="array" aca="1" ref="FO68" ca="1">(1-$B$18)*SUMPRODUCT(OFFSET($BO$15,0,0,$B$14,1), 1*(_xlfn._xlws.FILTER(OFFSET($O$15,0,$DN68,$B$8,1),OFFSET($M$15,0,0,$B$8,1))=FO$13), 1*(_xlfn._xlws.FILTER(OFFSET($O$15,0,$DO68,$B$8,1),OFFSET($M$15,0,0,$B$8,1))=FO$14))   /   SUM(OFFSET($BO$15,0,0,$B$14,1)) + $B$18/($B$19*$B$19*($DN68&lt;&gt;$DO68) + $B$19*($DN68=$DO68))</f>
        <v>0.97037037037037033</v>
      </c>
      <c r="FP68" s="10" cm="1">
        <f t="array" aca="1" ref="FP68" ca="1">(1-$B$18)*SUMPRODUCT(OFFSET($BO$15,0,0,$B$14,1), 1*(_xlfn._xlws.FILTER(OFFSET($O$15,0,$DN68,$B$8,1),OFFSET($M$15,0,0,$B$8,1))=FP$13), 1*(_xlfn._xlws.FILTER(OFFSET($O$15,0,$DO68,$B$8,1),OFFSET($M$15,0,0,$B$8,1))=FP$14))   /   SUM(OFFSET($BO$15,0,0,$B$14,1)) + $B$18/($B$19*$B$19*($DN68&lt;&gt;$DO68) + $B$19*($DN68=$DO68))</f>
        <v>3.7037037037037035E-4</v>
      </c>
      <c r="FQ68" s="10" cm="1">
        <f t="array" aca="1" ref="FQ68" ca="1">(1-$B$18)*SUMPRODUCT(OFFSET($BO$15,0,0,$B$14,1), 1*(_xlfn._xlws.FILTER(OFFSET($O$15,0,$DN68,$B$8,1),OFFSET($M$15,0,0,$B$8,1))=FQ$13), 1*(_xlfn._xlws.FILTER(OFFSET($O$15,0,$DO68,$B$8,1),OFFSET($M$15,0,0,$B$8,1))=FQ$14))   /   SUM(OFFSET($BO$15,0,0,$B$14,1)) + $B$18/($B$19*$B$19*($DN68&lt;&gt;$DO68) + $B$19*($DN68=$DO68))</f>
        <v>3.7037037037037035E-4</v>
      </c>
      <c r="FR68" s="10" cm="1">
        <f t="array" aca="1" ref="FR68" ca="1">(1-$B$18)*SUMPRODUCT(OFFSET($BO$15,0,0,$B$14,1), 1*(_xlfn._xlws.FILTER(OFFSET($O$15,0,$DN68,$B$8,1),OFFSET($M$15,0,0,$B$8,1))=FR$13), 1*(_xlfn._xlws.FILTER(OFFSET($O$15,0,$DO68,$B$8,1),OFFSET($M$15,0,0,$B$8,1))=FR$14))   /   SUM(OFFSET($BO$15,0,0,$B$14,1)) + $B$18/($B$19*$B$19*($DN68&lt;&gt;$DO68) + $B$19*($DN68=$DO68))</f>
        <v>3.7037037037037035E-4</v>
      </c>
      <c r="FS68" s="10" cm="1">
        <f t="array" aca="1" ref="FS68" ca="1">(1-$B$18)*SUMPRODUCT(OFFSET($BO$15,0,0,$B$14,1), 1*(_xlfn._xlws.FILTER(OFFSET($O$15,0,$DN68,$B$8,1),OFFSET($M$15,0,0,$B$8,1))=FS$13), 1*(_xlfn._xlws.FILTER(OFFSET($O$15,0,$DO68,$B$8,1),OFFSET($M$15,0,0,$B$8,1))=FS$14))   /   SUM(OFFSET($BO$15,0,0,$B$14,1)) + $B$18/($B$19*$B$19*($DN68&lt;&gt;$DO68) + $B$19*($DN68=$DO68))</f>
        <v>3.7037037037037035E-4</v>
      </c>
      <c r="FT68" s="10" cm="1">
        <f t="array" aca="1" ref="FT68" ca="1">(1-$B$18)*SUMPRODUCT(OFFSET($BO$15,0,0,$B$14,1), 1*(_xlfn._xlws.FILTER(OFFSET($O$15,0,$DN68,$B$8,1),OFFSET($M$15,0,0,$B$8,1))=FT$13), 1*(_xlfn._xlws.FILTER(OFFSET($O$15,0,$DO68,$B$8,1),OFFSET($M$15,0,0,$B$8,1))=FT$14))   /   SUM(OFFSET($BO$15,0,0,$B$14,1)) + $B$18/($B$19*$B$19*($DN68&lt;&gt;$DO68) + $B$19*($DN68=$DO68))</f>
        <v>3.7037037037037035E-4</v>
      </c>
      <c r="FU68" s="10" cm="1">
        <f t="array" aca="1" ref="FU68" ca="1">(1-$B$18)*SUMPRODUCT(OFFSET($BO$15,0,0,$B$14,1), 1*(_xlfn._xlws.FILTER(OFFSET($O$15,0,$DN68,$B$8,1),OFFSET($M$15,0,0,$B$8,1))=FU$13), 1*(_xlfn._xlws.FILTER(OFFSET($O$15,0,$DO68,$B$8,1),OFFSET($M$15,0,0,$B$8,1))=FU$14))   /   SUM(OFFSET($BO$15,0,0,$B$14,1)) + $B$18/($B$19*$B$19*($DN68&lt;&gt;$DO68) + $B$19*($DN68=$DO68))</f>
        <v>3.7037037037037035E-4</v>
      </c>
      <c r="FV68" s="10" cm="1">
        <f t="array" aca="1" ref="FV68" ca="1">(1-$B$18)*SUMPRODUCT(OFFSET($BO$15,0,0,$B$14,1), 1*(_xlfn._xlws.FILTER(OFFSET($O$15,0,$DN68,$B$8,1),OFFSET($M$15,0,0,$B$8,1))=FV$13), 1*(_xlfn._xlws.FILTER(OFFSET($O$15,0,$DO68,$B$8,1),OFFSET($M$15,0,0,$B$8,1))=FV$14))   /   SUM(OFFSET($BO$15,0,0,$B$14,1)) + $B$18/($B$19*$B$19*($DN68&lt;&gt;$DO68) + $B$19*($DN68=$DO68))</f>
        <v>3.7037037037037035E-4</v>
      </c>
      <c r="FW68" s="10" cm="1">
        <f t="array" aca="1" ref="FW68" ca="1">(1-$B$18)*SUMPRODUCT(OFFSET($BO$15,0,0,$B$14,1), 1*(_xlfn._xlws.FILTER(OFFSET($O$15,0,$DN68,$B$8,1),OFFSET($M$15,0,0,$B$8,1))=FW$13), 1*(_xlfn._xlws.FILTER(OFFSET($O$15,0,$DO68,$B$8,1),OFFSET($M$15,0,0,$B$8,1))=FW$14))   /   SUM(OFFSET($BO$15,0,0,$B$14,1)) + $B$18/($B$19*$B$19*($DN68&lt;&gt;$DO68) + $B$19*($DN68=$DO68))</f>
        <v>3.7037037037037035E-4</v>
      </c>
      <c r="FX68" s="10" cm="1">
        <f t="array" aca="1" ref="FX68" ca="1">(1-$B$18)*SUMPRODUCT(OFFSET($BO$15,0,0,$B$14,1), 1*(_xlfn._xlws.FILTER(OFFSET($O$15,0,$DN68,$B$8,1),OFFSET($M$15,0,0,$B$8,1))=FX$13), 1*(_xlfn._xlws.FILTER(OFFSET($O$15,0,$DO68,$B$8,1),OFFSET($M$15,0,0,$B$8,1))=FX$14))   /   SUM(OFFSET($BO$15,0,0,$B$14,1)) + $B$18/($B$19*$B$19*($DN68&lt;&gt;$DO68) + $B$19*($DN68=$DO68))</f>
        <v>3.7037037037037035E-4</v>
      </c>
      <c r="FY68" s="10" cm="1">
        <f t="array" aca="1" ref="FY68" ca="1">(1-$B$18)*SUMPRODUCT(OFFSET($BO$15,0,0,$B$14,1), 1*(_xlfn._xlws.FILTER(OFFSET($O$15,0,$DN68,$B$8,1),OFFSET($M$15,0,0,$B$8,1))=FY$13), 1*(_xlfn._xlws.FILTER(OFFSET($O$15,0,$DO68,$B$8,1),OFFSET($M$15,0,0,$B$8,1))=FY$14))   /   SUM(OFFSET($BO$15,0,0,$B$14,1)) + $B$18/($B$19*$B$19*($DN68&lt;&gt;$DO68) + $B$19*($DN68=$DO68))</f>
        <v>3.7037037037037035E-4</v>
      </c>
      <c r="FZ68" s="10" cm="1">
        <f t="array" aca="1" ref="FZ68" ca="1">(1-$B$18)*SUMPRODUCT(OFFSET($BO$15,0,0,$B$14,1), 1*(_xlfn._xlws.FILTER(OFFSET($O$15,0,$DN68,$B$8,1),OFFSET($M$15,0,0,$B$8,1))=FZ$13), 1*(_xlfn._xlws.FILTER(OFFSET($O$15,0,$DO68,$B$8,1),OFFSET($M$15,0,0,$B$8,1))=FZ$14))   /   SUM(OFFSET($BO$15,0,0,$B$14,1)) + $B$18/($B$19*$B$19*($DN68&lt;&gt;$DO68) + $B$19*($DN68=$DO68))</f>
        <v>3.7037037037037035E-4</v>
      </c>
      <c r="GA68" s="10" cm="1">
        <f t="array" aca="1" ref="GA68" ca="1">(1-$B$18)*SUMPRODUCT(OFFSET($BO$15,0,0,$B$14,1), 1*(_xlfn._xlws.FILTER(OFFSET($O$15,0,$DN68,$B$8,1),OFFSET($M$15,0,0,$B$8,1))=GA$13), 1*(_xlfn._xlws.FILTER(OFFSET($O$15,0,$DO68,$B$8,1),OFFSET($M$15,0,0,$B$8,1))=GA$14))   /   SUM(OFFSET($BO$15,0,0,$B$14,1)) + $B$18/($B$19*$B$19*($DN68&lt;&gt;$DO68) + $B$19*($DN68=$DO68))</f>
        <v>3.7037037037037035E-4</v>
      </c>
    </row>
    <row r="69" spans="7:183" x14ac:dyDescent="0.2">
      <c r="G69" s="2"/>
      <c r="H69" s="2"/>
      <c r="DN69" cm="1">
        <f t="array" aca="1" ref="DN69" ca="1">INDEX(_xlfn.ANCHORARRAY($CP$15), 1 + INT((ROWS($DO$15:$DO69) - 1) / ROWS(_xlfn.ANCHORARRAY($CP$15))))</f>
        <v>2</v>
      </c>
      <c r="DO69" cm="1">
        <f t="array" aca="1" ref="DO69" ca="1">INDEX(_xlfn.ANCHORARRAY($CP$15),1+MOD(ROWS($DO$15:$DO69)-1,ROWS(_xlfn.ANCHORARRAY($CP$15))))</f>
        <v>19</v>
      </c>
      <c r="DP69" s="10" cm="1">
        <f t="array" aca="1" ref="DP69" ca="1">(1-$B$18)*SUMPRODUCT(OFFSET($BO$15,0,0,$B$14,1), 1*(_xlfn._xlws.FILTER(OFFSET($O$15,0,$DN69,$B$8,1),OFFSET($M$15,0,0,$B$8,1))=DP$13), 1*(_xlfn._xlws.FILTER(OFFSET($O$15,0,$DO69,$B$8,1),OFFSET($M$15,0,0,$B$8,1))=DP$14))   /   SUM(OFFSET($BO$15,0,0,$B$14,1)) + $B$18/($B$19*$B$19*($DN69&lt;&gt;$DO69) + $B$19*($DN69=$DO69))</f>
        <v>3.7037037037037035E-4</v>
      </c>
      <c r="DQ69" s="10" cm="1">
        <f t="array" aca="1" ref="DQ69" ca="1">(1-$B$18)*SUMPRODUCT(OFFSET($BO$15,0,0,$B$14,1), 1*(_xlfn._xlws.FILTER(OFFSET($O$15,0,$DN69,$B$8,1),OFFSET($M$15,0,0,$B$8,1))=DQ$13), 1*(_xlfn._xlws.FILTER(OFFSET($O$15,0,$DO69,$B$8,1),OFFSET($M$15,0,0,$B$8,1))=DQ$14))   /   SUM(OFFSET($BO$15,0,0,$B$14,1)) + $B$18/($B$19*$B$19*($DN69&lt;&gt;$DO69) + $B$19*($DN69=$DO69))</f>
        <v>3.7037037037037035E-4</v>
      </c>
      <c r="DR69" s="10" cm="1">
        <f t="array" aca="1" ref="DR69" ca="1">(1-$B$18)*SUMPRODUCT(OFFSET($BO$15,0,0,$B$14,1), 1*(_xlfn._xlws.FILTER(OFFSET($O$15,0,$DN69,$B$8,1),OFFSET($M$15,0,0,$B$8,1))=DR$13), 1*(_xlfn._xlws.FILTER(OFFSET($O$15,0,$DO69,$B$8,1),OFFSET($M$15,0,0,$B$8,1))=DR$14))   /   SUM(OFFSET($BO$15,0,0,$B$14,1)) + $B$18/($B$19*$B$19*($DN69&lt;&gt;$DO69) + $B$19*($DN69=$DO69))</f>
        <v>3.7037037037037035E-4</v>
      </c>
      <c r="DS69" s="10" cm="1">
        <f t="array" aca="1" ref="DS69" ca="1">(1-$B$18)*SUMPRODUCT(OFFSET($BO$15,0,0,$B$14,1), 1*(_xlfn._xlws.FILTER(OFFSET($O$15,0,$DN69,$B$8,1),OFFSET($M$15,0,0,$B$8,1))=DS$13), 1*(_xlfn._xlws.FILTER(OFFSET($O$15,0,$DO69,$B$8,1),OFFSET($M$15,0,0,$B$8,1))=DS$14))   /   SUM(OFFSET($BO$15,0,0,$B$14,1)) + $B$18/($B$19*$B$19*($DN69&lt;&gt;$DO69) + $B$19*($DN69=$DO69))</f>
        <v>3.7037037037037035E-4</v>
      </c>
      <c r="DT69" s="10" cm="1">
        <f t="array" aca="1" ref="DT69" ca="1">(1-$B$18)*SUMPRODUCT(OFFSET($BO$15,0,0,$B$14,1), 1*(_xlfn._xlws.FILTER(OFFSET($O$15,0,$DN69,$B$8,1),OFFSET($M$15,0,0,$B$8,1))=DT$13), 1*(_xlfn._xlws.FILTER(OFFSET($O$15,0,$DO69,$B$8,1),OFFSET($M$15,0,0,$B$8,1))=DT$14))   /   SUM(OFFSET($BO$15,0,0,$B$14,1)) + $B$18/($B$19*$B$19*($DN69&lt;&gt;$DO69) + $B$19*($DN69=$DO69))</f>
        <v>3.7037037037037035E-4</v>
      </c>
      <c r="DU69" s="10" cm="1">
        <f t="array" aca="1" ref="DU69" ca="1">(1-$B$18)*SUMPRODUCT(OFFSET($BO$15,0,0,$B$14,1), 1*(_xlfn._xlws.FILTER(OFFSET($O$15,0,$DN69,$B$8,1),OFFSET($M$15,0,0,$B$8,1))=DU$13), 1*(_xlfn._xlws.FILTER(OFFSET($O$15,0,$DO69,$B$8,1),OFFSET($M$15,0,0,$B$8,1))=DU$14))   /   SUM(OFFSET($BO$15,0,0,$B$14,1)) + $B$18/($B$19*$B$19*($DN69&lt;&gt;$DO69) + $B$19*($DN69=$DO69))</f>
        <v>3.7037037037037035E-4</v>
      </c>
      <c r="DV69" s="10" cm="1">
        <f t="array" aca="1" ref="DV69" ca="1">(1-$B$18)*SUMPRODUCT(OFFSET($BO$15,0,0,$B$14,1), 1*(_xlfn._xlws.FILTER(OFFSET($O$15,0,$DN69,$B$8,1),OFFSET($M$15,0,0,$B$8,1))=DV$13), 1*(_xlfn._xlws.FILTER(OFFSET($O$15,0,$DO69,$B$8,1),OFFSET($M$15,0,0,$B$8,1))=DV$14))   /   SUM(OFFSET($BO$15,0,0,$B$14,1)) + $B$18/($B$19*$B$19*($DN69&lt;&gt;$DO69) + $B$19*($DN69=$DO69))</f>
        <v>3.7037037037037035E-4</v>
      </c>
      <c r="DW69" s="10" cm="1">
        <f t="array" aca="1" ref="DW69" ca="1">(1-$B$18)*SUMPRODUCT(OFFSET($BO$15,0,0,$B$14,1), 1*(_xlfn._xlws.FILTER(OFFSET($O$15,0,$DN69,$B$8,1),OFFSET($M$15,0,0,$B$8,1))=DW$13), 1*(_xlfn._xlws.FILTER(OFFSET($O$15,0,$DO69,$B$8,1),OFFSET($M$15,0,0,$B$8,1))=DW$14))   /   SUM(OFFSET($BO$15,0,0,$B$14,1)) + $B$18/($B$19*$B$19*($DN69&lt;&gt;$DO69) + $B$19*($DN69=$DO69))</f>
        <v>3.7037037037037035E-4</v>
      </c>
      <c r="DX69" s="10" cm="1">
        <f t="array" aca="1" ref="DX69" ca="1">(1-$B$18)*SUMPRODUCT(OFFSET($BO$15,0,0,$B$14,1), 1*(_xlfn._xlws.FILTER(OFFSET($O$15,0,$DN69,$B$8,1),OFFSET($M$15,0,0,$B$8,1))=DX$13), 1*(_xlfn._xlws.FILTER(OFFSET($O$15,0,$DO69,$B$8,1),OFFSET($M$15,0,0,$B$8,1))=DX$14))   /   SUM(OFFSET($BO$15,0,0,$B$14,1)) + $B$18/($B$19*$B$19*($DN69&lt;&gt;$DO69) + $B$19*($DN69=$DO69))</f>
        <v>3.7037037037037035E-4</v>
      </c>
      <c r="DY69" s="10" cm="1">
        <f t="array" aca="1" ref="DY69" ca="1">(1-$B$18)*SUMPRODUCT(OFFSET($BO$15,0,0,$B$14,1), 1*(_xlfn._xlws.FILTER(OFFSET($O$15,0,$DN69,$B$8,1),OFFSET($M$15,0,0,$B$8,1))=DY$13), 1*(_xlfn._xlws.FILTER(OFFSET($O$15,0,$DO69,$B$8,1),OFFSET($M$15,0,0,$B$8,1))=DY$14))   /   SUM(OFFSET($BO$15,0,0,$B$14,1)) + $B$18/($B$19*$B$19*($DN69&lt;&gt;$DO69) + $B$19*($DN69=$DO69))</f>
        <v>3.7037037037037035E-4</v>
      </c>
      <c r="DZ69" s="10" cm="1">
        <f t="array" aca="1" ref="DZ69" ca="1">(1-$B$18)*SUMPRODUCT(OFFSET($BO$15,0,0,$B$14,1), 1*(_xlfn._xlws.FILTER(OFFSET($O$15,0,$DN69,$B$8,1),OFFSET($M$15,0,0,$B$8,1))=DZ$13), 1*(_xlfn._xlws.FILTER(OFFSET($O$15,0,$DO69,$B$8,1),OFFSET($M$15,0,0,$B$8,1))=DZ$14))   /   SUM(OFFSET($BO$15,0,0,$B$14,1)) + $B$18/($B$19*$B$19*($DN69&lt;&gt;$DO69) + $B$19*($DN69=$DO69))</f>
        <v>3.7037037037037035E-4</v>
      </c>
      <c r="EA69" s="10" cm="1">
        <f t="array" aca="1" ref="EA69" ca="1">(1-$B$18)*SUMPRODUCT(OFFSET($BO$15,0,0,$B$14,1), 1*(_xlfn._xlws.FILTER(OFFSET($O$15,0,$DN69,$B$8,1),OFFSET($M$15,0,0,$B$8,1))=EA$13), 1*(_xlfn._xlws.FILTER(OFFSET($O$15,0,$DO69,$B$8,1),OFFSET($M$15,0,0,$B$8,1))=EA$14))   /   SUM(OFFSET($BO$15,0,0,$B$14,1)) + $B$18/($B$19*$B$19*($DN69&lt;&gt;$DO69) + $B$19*($DN69=$DO69))</f>
        <v>3.7037037037037035E-4</v>
      </c>
      <c r="EB69" s="10" cm="1">
        <f t="array" aca="1" ref="EB69" ca="1">(1-$B$18)*SUMPRODUCT(OFFSET($BO$15,0,0,$B$14,1), 1*(_xlfn._xlws.FILTER(OFFSET($O$15,0,$DN69,$B$8,1),OFFSET($M$15,0,0,$B$8,1))=EB$13), 1*(_xlfn._xlws.FILTER(OFFSET($O$15,0,$DO69,$B$8,1),OFFSET($M$15,0,0,$B$8,1))=EB$14))   /   SUM(OFFSET($BO$15,0,0,$B$14,1)) + $B$18/($B$19*$B$19*($DN69&lt;&gt;$DO69) + $B$19*($DN69=$DO69))</f>
        <v>3.7037037037037035E-4</v>
      </c>
      <c r="EC69" s="10" cm="1">
        <f t="array" aca="1" ref="EC69" ca="1">(1-$B$18)*SUMPRODUCT(OFFSET($BO$15,0,0,$B$14,1), 1*(_xlfn._xlws.FILTER(OFFSET($O$15,0,$DN69,$B$8,1),OFFSET($M$15,0,0,$B$8,1))=EC$13), 1*(_xlfn._xlws.FILTER(OFFSET($O$15,0,$DO69,$B$8,1),OFFSET($M$15,0,0,$B$8,1))=EC$14))   /   SUM(OFFSET($BO$15,0,0,$B$14,1)) + $B$18/($B$19*$B$19*($DN69&lt;&gt;$DO69) + $B$19*($DN69=$DO69))</f>
        <v>3.7037037037037035E-4</v>
      </c>
      <c r="ED69" s="10" cm="1">
        <f t="array" aca="1" ref="ED69" ca="1">(1-$B$18)*SUMPRODUCT(OFFSET($BO$15,0,0,$B$14,1), 1*(_xlfn._xlws.FILTER(OFFSET($O$15,0,$DN69,$B$8,1),OFFSET($M$15,0,0,$B$8,1))=ED$13), 1*(_xlfn._xlws.FILTER(OFFSET($O$15,0,$DO69,$B$8,1),OFFSET($M$15,0,0,$B$8,1))=ED$14))   /   SUM(OFFSET($BO$15,0,0,$B$14,1)) + $B$18/($B$19*$B$19*($DN69&lt;&gt;$DO69) + $B$19*($DN69=$DO69))</f>
        <v>3.7037037037037035E-4</v>
      </c>
      <c r="EE69" s="10" cm="1">
        <f t="array" aca="1" ref="EE69" ca="1">(1-$B$18)*SUMPRODUCT(OFFSET($BO$15,0,0,$B$14,1), 1*(_xlfn._xlws.FILTER(OFFSET($O$15,0,$DN69,$B$8,1),OFFSET($M$15,0,0,$B$8,1))=EE$13), 1*(_xlfn._xlws.FILTER(OFFSET($O$15,0,$DO69,$B$8,1),OFFSET($M$15,0,0,$B$8,1))=EE$14))   /   SUM(OFFSET($BO$15,0,0,$B$14,1)) + $B$18/($B$19*$B$19*($DN69&lt;&gt;$DO69) + $B$19*($DN69=$DO69))</f>
        <v>3.7037037037037035E-4</v>
      </c>
      <c r="EF69" s="10" cm="1">
        <f t="array" aca="1" ref="EF69" ca="1">(1-$B$18)*SUMPRODUCT(OFFSET($BO$15,0,0,$B$14,1), 1*(_xlfn._xlws.FILTER(OFFSET($O$15,0,$DN69,$B$8,1),OFFSET($M$15,0,0,$B$8,1))=EF$13), 1*(_xlfn._xlws.FILTER(OFFSET($O$15,0,$DO69,$B$8,1),OFFSET($M$15,0,0,$B$8,1))=EF$14))   /   SUM(OFFSET($BO$15,0,0,$B$14,1)) + $B$18/($B$19*$B$19*($DN69&lt;&gt;$DO69) + $B$19*($DN69=$DO69))</f>
        <v>3.7037037037037035E-4</v>
      </c>
      <c r="EG69" s="10" cm="1">
        <f t="array" aca="1" ref="EG69" ca="1">(1-$B$18)*SUMPRODUCT(OFFSET($BO$15,0,0,$B$14,1), 1*(_xlfn._xlws.FILTER(OFFSET($O$15,0,$DN69,$B$8,1),OFFSET($M$15,0,0,$B$8,1))=EG$13), 1*(_xlfn._xlws.FILTER(OFFSET($O$15,0,$DO69,$B$8,1),OFFSET($M$15,0,0,$B$8,1))=EG$14))   /   SUM(OFFSET($BO$15,0,0,$B$14,1)) + $B$18/($B$19*$B$19*($DN69&lt;&gt;$DO69) + $B$19*($DN69=$DO69))</f>
        <v>3.7037037037037035E-4</v>
      </c>
      <c r="EH69" s="10" cm="1">
        <f t="array" aca="1" ref="EH69" ca="1">(1-$B$18)*SUMPRODUCT(OFFSET($BO$15,0,0,$B$14,1), 1*(_xlfn._xlws.FILTER(OFFSET($O$15,0,$DN69,$B$8,1),OFFSET($M$15,0,0,$B$8,1))=EH$13), 1*(_xlfn._xlws.FILTER(OFFSET($O$15,0,$DO69,$B$8,1),OFFSET($M$15,0,0,$B$8,1))=EH$14))   /   SUM(OFFSET($BO$15,0,0,$B$14,1)) + $B$18/($B$19*$B$19*($DN69&lt;&gt;$DO69) + $B$19*($DN69=$DO69))</f>
        <v>3.7037037037037035E-4</v>
      </c>
      <c r="EI69" s="10" cm="1">
        <f t="array" aca="1" ref="EI69" ca="1">(1-$B$18)*SUMPRODUCT(OFFSET($BO$15,0,0,$B$14,1), 1*(_xlfn._xlws.FILTER(OFFSET($O$15,0,$DN69,$B$8,1),OFFSET($M$15,0,0,$B$8,1))=EI$13), 1*(_xlfn._xlws.FILTER(OFFSET($O$15,0,$DO69,$B$8,1),OFFSET($M$15,0,0,$B$8,1))=EI$14))   /   SUM(OFFSET($BO$15,0,0,$B$14,1)) + $B$18/($B$19*$B$19*($DN69&lt;&gt;$DO69) + $B$19*($DN69=$DO69))</f>
        <v>3.7037037037037035E-4</v>
      </c>
      <c r="EJ69" s="10" cm="1">
        <f t="array" aca="1" ref="EJ69" ca="1">(1-$B$18)*SUMPRODUCT(OFFSET($BO$15,0,0,$B$14,1), 1*(_xlfn._xlws.FILTER(OFFSET($O$15,0,$DN69,$B$8,1),OFFSET($M$15,0,0,$B$8,1))=EJ$13), 1*(_xlfn._xlws.FILTER(OFFSET($O$15,0,$DO69,$B$8,1),OFFSET($M$15,0,0,$B$8,1))=EJ$14))   /   SUM(OFFSET($BO$15,0,0,$B$14,1)) + $B$18/($B$19*$B$19*($DN69&lt;&gt;$DO69) + $B$19*($DN69=$DO69))</f>
        <v>3.7037037037037035E-4</v>
      </c>
      <c r="EK69" s="10" cm="1">
        <f t="array" aca="1" ref="EK69" ca="1">(1-$B$18)*SUMPRODUCT(OFFSET($BO$15,0,0,$B$14,1), 1*(_xlfn._xlws.FILTER(OFFSET($O$15,0,$DN69,$B$8,1),OFFSET($M$15,0,0,$B$8,1))=EK$13), 1*(_xlfn._xlws.FILTER(OFFSET($O$15,0,$DO69,$B$8,1),OFFSET($M$15,0,0,$B$8,1))=EK$14))   /   SUM(OFFSET($BO$15,0,0,$B$14,1)) + $B$18/($B$19*$B$19*($DN69&lt;&gt;$DO69) + $B$19*($DN69=$DO69))</f>
        <v>3.7037037037037035E-4</v>
      </c>
      <c r="EL69" s="10" cm="1">
        <f t="array" aca="1" ref="EL69" ca="1">(1-$B$18)*SUMPRODUCT(OFFSET($BO$15,0,0,$B$14,1), 1*(_xlfn._xlws.FILTER(OFFSET($O$15,0,$DN69,$B$8,1),OFFSET($M$15,0,0,$B$8,1))=EL$13), 1*(_xlfn._xlws.FILTER(OFFSET($O$15,0,$DO69,$B$8,1),OFFSET($M$15,0,0,$B$8,1))=EL$14))   /   SUM(OFFSET($BO$15,0,0,$B$14,1)) + $B$18/($B$19*$B$19*($DN69&lt;&gt;$DO69) + $B$19*($DN69=$DO69))</f>
        <v>3.7037037037037035E-4</v>
      </c>
      <c r="EM69" s="10" cm="1">
        <f t="array" aca="1" ref="EM69" ca="1">(1-$B$18)*SUMPRODUCT(OFFSET($BO$15,0,0,$B$14,1), 1*(_xlfn._xlws.FILTER(OFFSET($O$15,0,$DN69,$B$8,1),OFFSET($M$15,0,0,$B$8,1))=EM$13), 1*(_xlfn._xlws.FILTER(OFFSET($O$15,0,$DO69,$B$8,1),OFFSET($M$15,0,0,$B$8,1))=EM$14))   /   SUM(OFFSET($BO$15,0,0,$B$14,1)) + $B$18/($B$19*$B$19*($DN69&lt;&gt;$DO69) + $B$19*($DN69=$DO69))</f>
        <v>3.7037037037037035E-4</v>
      </c>
      <c r="EN69" s="10" cm="1">
        <f t="array" aca="1" ref="EN69" ca="1">(1-$B$18)*SUMPRODUCT(OFFSET($BO$15,0,0,$B$14,1), 1*(_xlfn._xlws.FILTER(OFFSET($O$15,0,$DN69,$B$8,1),OFFSET($M$15,0,0,$B$8,1))=EN$13), 1*(_xlfn._xlws.FILTER(OFFSET($O$15,0,$DO69,$B$8,1),OFFSET($M$15,0,0,$B$8,1))=EN$14))   /   SUM(OFFSET($BO$15,0,0,$B$14,1)) + $B$18/($B$19*$B$19*($DN69&lt;&gt;$DO69) + $B$19*($DN69=$DO69))</f>
        <v>3.7037037037037035E-4</v>
      </c>
      <c r="EO69" s="10" cm="1">
        <f t="array" aca="1" ref="EO69" ca="1">(1-$B$18)*SUMPRODUCT(OFFSET($BO$15,0,0,$B$14,1), 1*(_xlfn._xlws.FILTER(OFFSET($O$15,0,$DN69,$B$8,1),OFFSET($M$15,0,0,$B$8,1))=EO$13), 1*(_xlfn._xlws.FILTER(OFFSET($O$15,0,$DO69,$B$8,1),OFFSET($M$15,0,0,$B$8,1))=EO$14))   /   SUM(OFFSET($BO$15,0,0,$B$14,1)) + $B$18/($B$19*$B$19*($DN69&lt;&gt;$DO69) + $B$19*($DN69=$DO69))</f>
        <v>3.7037037037037035E-4</v>
      </c>
      <c r="EP69" s="10" cm="1">
        <f t="array" aca="1" ref="EP69" ca="1">(1-$B$18)*SUMPRODUCT(OFFSET($BO$15,0,0,$B$14,1), 1*(_xlfn._xlws.FILTER(OFFSET($O$15,0,$DN69,$B$8,1),OFFSET($M$15,0,0,$B$8,1))=EP$13), 1*(_xlfn._xlws.FILTER(OFFSET($O$15,0,$DO69,$B$8,1),OFFSET($M$15,0,0,$B$8,1))=EP$14))   /   SUM(OFFSET($BO$15,0,0,$B$14,1)) + $B$18/($B$19*$B$19*($DN69&lt;&gt;$DO69) + $B$19*($DN69=$DO69))</f>
        <v>3.7037037037037035E-4</v>
      </c>
      <c r="EQ69" s="10" cm="1">
        <f t="array" aca="1" ref="EQ69" ca="1">(1-$B$18)*SUMPRODUCT(OFFSET($BO$15,0,0,$B$14,1), 1*(_xlfn._xlws.FILTER(OFFSET($O$15,0,$DN69,$B$8,1),OFFSET($M$15,0,0,$B$8,1))=EQ$13), 1*(_xlfn._xlws.FILTER(OFFSET($O$15,0,$DO69,$B$8,1),OFFSET($M$15,0,0,$B$8,1))=EQ$14))   /   SUM(OFFSET($BO$15,0,0,$B$14,1)) + $B$18/($B$19*$B$19*($DN69&lt;&gt;$DO69) + $B$19*($DN69=$DO69))</f>
        <v>3.7037037037037035E-4</v>
      </c>
      <c r="ER69" s="10" cm="1">
        <f t="array" aca="1" ref="ER69" ca="1">(1-$B$18)*SUMPRODUCT(OFFSET($BO$15,0,0,$B$14,1), 1*(_xlfn._xlws.FILTER(OFFSET($O$15,0,$DN69,$B$8,1),OFFSET($M$15,0,0,$B$8,1))=ER$13), 1*(_xlfn._xlws.FILTER(OFFSET($O$15,0,$DO69,$B$8,1),OFFSET($M$15,0,0,$B$8,1))=ER$14))   /   SUM(OFFSET($BO$15,0,0,$B$14,1)) + $B$18/($B$19*$B$19*($DN69&lt;&gt;$DO69) + $B$19*($DN69=$DO69))</f>
        <v>3.7037037037037035E-4</v>
      </c>
      <c r="ES69" s="10" cm="1">
        <f t="array" aca="1" ref="ES69" ca="1">(1-$B$18)*SUMPRODUCT(OFFSET($BO$15,0,0,$B$14,1), 1*(_xlfn._xlws.FILTER(OFFSET($O$15,0,$DN69,$B$8,1),OFFSET($M$15,0,0,$B$8,1))=ES$13), 1*(_xlfn._xlws.FILTER(OFFSET($O$15,0,$DO69,$B$8,1),OFFSET($M$15,0,0,$B$8,1))=ES$14))   /   SUM(OFFSET($BO$15,0,0,$B$14,1)) + $B$18/($B$19*$B$19*($DN69&lt;&gt;$DO69) + $B$19*($DN69=$DO69))</f>
        <v>3.7037037037037035E-4</v>
      </c>
      <c r="ET69" s="10" cm="1">
        <f t="array" aca="1" ref="ET69" ca="1">(1-$B$18)*SUMPRODUCT(OFFSET($BO$15,0,0,$B$14,1), 1*(_xlfn._xlws.FILTER(OFFSET($O$15,0,$DN69,$B$8,1),OFFSET($M$15,0,0,$B$8,1))=ET$13), 1*(_xlfn._xlws.FILTER(OFFSET($O$15,0,$DO69,$B$8,1),OFFSET($M$15,0,0,$B$8,1))=ET$14))   /   SUM(OFFSET($BO$15,0,0,$B$14,1)) + $B$18/($B$19*$B$19*($DN69&lt;&gt;$DO69) + $B$19*($DN69=$DO69))</f>
        <v>3.7037037037037035E-4</v>
      </c>
      <c r="EU69" s="10" cm="1">
        <f t="array" aca="1" ref="EU69" ca="1">(1-$B$18)*SUMPRODUCT(OFFSET($BO$15,0,0,$B$14,1), 1*(_xlfn._xlws.FILTER(OFFSET($O$15,0,$DN69,$B$8,1),OFFSET($M$15,0,0,$B$8,1))=EU$13), 1*(_xlfn._xlws.FILTER(OFFSET($O$15,0,$DO69,$B$8,1),OFFSET($M$15,0,0,$B$8,1))=EU$14))   /   SUM(OFFSET($BO$15,0,0,$B$14,1)) + $B$18/($B$19*$B$19*($DN69&lt;&gt;$DO69) + $B$19*($DN69=$DO69))</f>
        <v>3.7037037037037035E-4</v>
      </c>
      <c r="EV69" s="10" cm="1">
        <f t="array" aca="1" ref="EV69" ca="1">(1-$B$18)*SUMPRODUCT(OFFSET($BO$15,0,0,$B$14,1), 1*(_xlfn._xlws.FILTER(OFFSET($O$15,0,$DN69,$B$8,1),OFFSET($M$15,0,0,$B$8,1))=EV$13), 1*(_xlfn._xlws.FILTER(OFFSET($O$15,0,$DO69,$B$8,1),OFFSET($M$15,0,0,$B$8,1))=EV$14))   /   SUM(OFFSET($BO$15,0,0,$B$14,1)) + $B$18/($B$19*$B$19*($DN69&lt;&gt;$DO69) + $B$19*($DN69=$DO69))</f>
        <v>3.7037037037037035E-4</v>
      </c>
      <c r="EW69" s="10" cm="1">
        <f t="array" aca="1" ref="EW69" ca="1">(1-$B$18)*SUMPRODUCT(OFFSET($BO$15,0,0,$B$14,1), 1*(_xlfn._xlws.FILTER(OFFSET($O$15,0,$DN69,$B$8,1),OFFSET($M$15,0,0,$B$8,1))=EW$13), 1*(_xlfn._xlws.FILTER(OFFSET($O$15,0,$DO69,$B$8,1),OFFSET($M$15,0,0,$B$8,1))=EW$14))   /   SUM(OFFSET($BO$15,0,0,$B$14,1)) + $B$18/($B$19*$B$19*($DN69&lt;&gt;$DO69) + $B$19*($DN69=$DO69))</f>
        <v>3.7037037037037035E-4</v>
      </c>
      <c r="EX69" s="10" cm="1">
        <f t="array" aca="1" ref="EX69" ca="1">(1-$B$18)*SUMPRODUCT(OFFSET($BO$15,0,0,$B$14,1), 1*(_xlfn._xlws.FILTER(OFFSET($O$15,0,$DN69,$B$8,1),OFFSET($M$15,0,0,$B$8,1))=EX$13), 1*(_xlfn._xlws.FILTER(OFFSET($O$15,0,$DO69,$B$8,1),OFFSET($M$15,0,0,$B$8,1))=EX$14))   /   SUM(OFFSET($BO$15,0,0,$B$14,1)) + $B$18/($B$19*$B$19*($DN69&lt;&gt;$DO69) + $B$19*($DN69=$DO69))</f>
        <v>3.7037037037037035E-4</v>
      </c>
      <c r="EY69" s="10" cm="1">
        <f t="array" aca="1" ref="EY69" ca="1">(1-$B$18)*SUMPRODUCT(OFFSET($BO$15,0,0,$B$14,1), 1*(_xlfn._xlws.FILTER(OFFSET($O$15,0,$DN69,$B$8,1),OFFSET($M$15,0,0,$B$8,1))=EY$13), 1*(_xlfn._xlws.FILTER(OFFSET($O$15,0,$DO69,$B$8,1),OFFSET($M$15,0,0,$B$8,1))=EY$14))   /   SUM(OFFSET($BO$15,0,0,$B$14,1)) + $B$18/($B$19*$B$19*($DN69&lt;&gt;$DO69) + $B$19*($DN69=$DO69))</f>
        <v>3.7037037037037035E-4</v>
      </c>
      <c r="EZ69" s="10" cm="1">
        <f t="array" aca="1" ref="EZ69" ca="1">(1-$B$18)*SUMPRODUCT(OFFSET($BO$15,0,0,$B$14,1), 1*(_xlfn._xlws.FILTER(OFFSET($O$15,0,$DN69,$B$8,1),OFFSET($M$15,0,0,$B$8,1))=EZ$13), 1*(_xlfn._xlws.FILTER(OFFSET($O$15,0,$DO69,$B$8,1),OFFSET($M$15,0,0,$B$8,1))=EZ$14))   /   SUM(OFFSET($BO$15,0,0,$B$14,1)) + $B$18/($B$19*$B$19*($DN69&lt;&gt;$DO69) + $B$19*($DN69=$DO69))</f>
        <v>3.7037037037037035E-4</v>
      </c>
      <c r="FA69" s="10" cm="1">
        <f t="array" aca="1" ref="FA69" ca="1">(1-$B$18)*SUMPRODUCT(OFFSET($BO$15,0,0,$B$14,1), 1*(_xlfn._xlws.FILTER(OFFSET($O$15,0,$DN69,$B$8,1),OFFSET($M$15,0,0,$B$8,1))=FA$13), 1*(_xlfn._xlws.FILTER(OFFSET($O$15,0,$DO69,$B$8,1),OFFSET($M$15,0,0,$B$8,1))=FA$14))   /   SUM(OFFSET($BO$15,0,0,$B$14,1)) + $B$18/($B$19*$B$19*($DN69&lt;&gt;$DO69) + $B$19*($DN69=$DO69))</f>
        <v>3.7037037037037035E-4</v>
      </c>
      <c r="FB69" s="10" cm="1">
        <f t="array" aca="1" ref="FB69" ca="1">(1-$B$18)*SUMPRODUCT(OFFSET($BO$15,0,0,$B$14,1), 1*(_xlfn._xlws.FILTER(OFFSET($O$15,0,$DN69,$B$8,1),OFFSET($M$15,0,0,$B$8,1))=FB$13), 1*(_xlfn._xlws.FILTER(OFFSET($O$15,0,$DO69,$B$8,1),OFFSET($M$15,0,0,$B$8,1))=FB$14))   /   SUM(OFFSET($BO$15,0,0,$B$14,1)) + $B$18/($B$19*$B$19*($DN69&lt;&gt;$DO69) + $B$19*($DN69=$DO69))</f>
        <v>3.7037037037037035E-4</v>
      </c>
      <c r="FC69" s="10" cm="1">
        <f t="array" aca="1" ref="FC69" ca="1">(1-$B$18)*SUMPRODUCT(OFFSET($BO$15,0,0,$B$14,1), 1*(_xlfn._xlws.FILTER(OFFSET($O$15,0,$DN69,$B$8,1),OFFSET($M$15,0,0,$B$8,1))=FC$13), 1*(_xlfn._xlws.FILTER(OFFSET($O$15,0,$DO69,$B$8,1),OFFSET($M$15,0,0,$B$8,1))=FC$14))   /   SUM(OFFSET($BO$15,0,0,$B$14,1)) + $B$18/($B$19*$B$19*($DN69&lt;&gt;$DO69) + $B$19*($DN69=$DO69))</f>
        <v>3.7037037037037035E-4</v>
      </c>
      <c r="FD69" s="10" cm="1">
        <f t="array" aca="1" ref="FD69" ca="1">(1-$B$18)*SUMPRODUCT(OFFSET($BO$15,0,0,$B$14,1), 1*(_xlfn._xlws.FILTER(OFFSET($O$15,0,$DN69,$B$8,1),OFFSET($M$15,0,0,$B$8,1))=FD$13), 1*(_xlfn._xlws.FILTER(OFFSET($O$15,0,$DO69,$B$8,1),OFFSET($M$15,0,0,$B$8,1))=FD$14))   /   SUM(OFFSET($BO$15,0,0,$B$14,1)) + $B$18/($B$19*$B$19*($DN69&lt;&gt;$DO69) + $B$19*($DN69=$DO69))</f>
        <v>3.7037037037037035E-4</v>
      </c>
      <c r="FE69" s="10" cm="1">
        <f t="array" aca="1" ref="FE69" ca="1">(1-$B$18)*SUMPRODUCT(OFFSET($BO$15,0,0,$B$14,1), 1*(_xlfn._xlws.FILTER(OFFSET($O$15,0,$DN69,$B$8,1),OFFSET($M$15,0,0,$B$8,1))=FE$13), 1*(_xlfn._xlws.FILTER(OFFSET($O$15,0,$DO69,$B$8,1),OFFSET($M$15,0,0,$B$8,1))=FE$14))   /   SUM(OFFSET($BO$15,0,0,$B$14,1)) + $B$18/($B$19*$B$19*($DN69&lt;&gt;$DO69) + $B$19*($DN69=$DO69))</f>
        <v>3.7037037037037035E-4</v>
      </c>
      <c r="FF69" s="10" cm="1">
        <f t="array" aca="1" ref="FF69" ca="1">(1-$B$18)*SUMPRODUCT(OFFSET($BO$15,0,0,$B$14,1), 1*(_xlfn._xlws.FILTER(OFFSET($O$15,0,$DN69,$B$8,1),OFFSET($M$15,0,0,$B$8,1))=FF$13), 1*(_xlfn._xlws.FILTER(OFFSET($O$15,0,$DO69,$B$8,1),OFFSET($M$15,0,0,$B$8,1))=FF$14))   /   SUM(OFFSET($BO$15,0,0,$B$14,1)) + $B$18/($B$19*$B$19*($DN69&lt;&gt;$DO69) + $B$19*($DN69=$DO69))</f>
        <v>3.7037037037037035E-4</v>
      </c>
      <c r="FG69" s="10" cm="1">
        <f t="array" aca="1" ref="FG69" ca="1">(1-$B$18)*SUMPRODUCT(OFFSET($BO$15,0,0,$B$14,1), 1*(_xlfn._xlws.FILTER(OFFSET($O$15,0,$DN69,$B$8,1),OFFSET($M$15,0,0,$B$8,1))=FG$13), 1*(_xlfn._xlws.FILTER(OFFSET($O$15,0,$DO69,$B$8,1),OFFSET($M$15,0,0,$B$8,1))=FG$14))   /   SUM(OFFSET($BO$15,0,0,$B$14,1)) + $B$18/($B$19*$B$19*($DN69&lt;&gt;$DO69) + $B$19*($DN69=$DO69))</f>
        <v>3.7037037037037035E-4</v>
      </c>
      <c r="FH69" s="10" cm="1">
        <f t="array" aca="1" ref="FH69" ca="1">(1-$B$18)*SUMPRODUCT(OFFSET($BO$15,0,0,$B$14,1), 1*(_xlfn._xlws.FILTER(OFFSET($O$15,0,$DN69,$B$8,1),OFFSET($M$15,0,0,$B$8,1))=FH$13), 1*(_xlfn._xlws.FILTER(OFFSET($O$15,0,$DO69,$B$8,1),OFFSET($M$15,0,0,$B$8,1))=FH$14))   /   SUM(OFFSET($BO$15,0,0,$B$14,1)) + $B$18/($B$19*$B$19*($DN69&lt;&gt;$DO69) + $B$19*($DN69=$DO69))</f>
        <v>3.7037037037037035E-4</v>
      </c>
      <c r="FI69" s="10" cm="1">
        <f t="array" aca="1" ref="FI69" ca="1">(1-$B$18)*SUMPRODUCT(OFFSET($BO$15,0,0,$B$14,1), 1*(_xlfn._xlws.FILTER(OFFSET($O$15,0,$DN69,$B$8,1),OFFSET($M$15,0,0,$B$8,1))=FI$13), 1*(_xlfn._xlws.FILTER(OFFSET($O$15,0,$DO69,$B$8,1),OFFSET($M$15,0,0,$B$8,1))=FI$14))   /   SUM(OFFSET($BO$15,0,0,$B$14,1)) + $B$18/($B$19*$B$19*($DN69&lt;&gt;$DO69) + $B$19*($DN69=$DO69))</f>
        <v>3.7037037037037035E-4</v>
      </c>
      <c r="FJ69" s="10" cm="1">
        <f t="array" aca="1" ref="FJ69" ca="1">(1-$B$18)*SUMPRODUCT(OFFSET($BO$15,0,0,$B$14,1), 1*(_xlfn._xlws.FILTER(OFFSET($O$15,0,$DN69,$B$8,1),OFFSET($M$15,0,0,$B$8,1))=FJ$13), 1*(_xlfn._xlws.FILTER(OFFSET($O$15,0,$DO69,$B$8,1),OFFSET($M$15,0,0,$B$8,1))=FJ$14))   /   SUM(OFFSET($BO$15,0,0,$B$14,1)) + $B$18/($B$19*$B$19*($DN69&lt;&gt;$DO69) + $B$19*($DN69=$DO69))</f>
        <v>3.7037037037037035E-4</v>
      </c>
      <c r="FK69" s="10" cm="1">
        <f t="array" aca="1" ref="FK69" ca="1">(1-$B$18)*SUMPRODUCT(OFFSET($BO$15,0,0,$B$14,1), 1*(_xlfn._xlws.FILTER(OFFSET($O$15,0,$DN69,$B$8,1),OFFSET($M$15,0,0,$B$8,1))=FK$13), 1*(_xlfn._xlws.FILTER(OFFSET($O$15,0,$DO69,$B$8,1),OFFSET($M$15,0,0,$B$8,1))=FK$14))   /   SUM(OFFSET($BO$15,0,0,$B$14,1)) + $B$18/($B$19*$B$19*($DN69&lt;&gt;$DO69) + $B$19*($DN69=$DO69))</f>
        <v>3.7037037037037035E-4</v>
      </c>
      <c r="FL69" s="10" cm="1">
        <f t="array" aca="1" ref="FL69" ca="1">(1-$B$18)*SUMPRODUCT(OFFSET($BO$15,0,0,$B$14,1), 1*(_xlfn._xlws.FILTER(OFFSET($O$15,0,$DN69,$B$8,1),OFFSET($M$15,0,0,$B$8,1))=FL$13), 1*(_xlfn._xlws.FILTER(OFFSET($O$15,0,$DO69,$B$8,1),OFFSET($M$15,0,0,$B$8,1))=FL$14))   /   SUM(OFFSET($BO$15,0,0,$B$14,1)) + $B$18/($B$19*$B$19*($DN69&lt;&gt;$DO69) + $B$19*($DN69=$DO69))</f>
        <v>3.7037037037037035E-4</v>
      </c>
      <c r="FM69" s="10" cm="1">
        <f t="array" aca="1" ref="FM69" ca="1">(1-$B$18)*SUMPRODUCT(OFFSET($BO$15,0,0,$B$14,1), 1*(_xlfn._xlws.FILTER(OFFSET($O$15,0,$DN69,$B$8,1),OFFSET($M$15,0,0,$B$8,1))=FM$13), 1*(_xlfn._xlws.FILTER(OFFSET($O$15,0,$DO69,$B$8,1),OFFSET($M$15,0,0,$B$8,1))=FM$14))   /   SUM(OFFSET($BO$15,0,0,$B$14,1)) + $B$18/($B$19*$B$19*($DN69&lt;&gt;$DO69) + $B$19*($DN69=$DO69))</f>
        <v>3.7037037037037035E-4</v>
      </c>
      <c r="FN69" s="10" cm="1">
        <f t="array" aca="1" ref="FN69" ca="1">(1-$B$18)*SUMPRODUCT(OFFSET($BO$15,0,0,$B$14,1), 1*(_xlfn._xlws.FILTER(OFFSET($O$15,0,$DN69,$B$8,1),OFFSET($M$15,0,0,$B$8,1))=FN$13), 1*(_xlfn._xlws.FILTER(OFFSET($O$15,0,$DO69,$B$8,1),OFFSET($M$15,0,0,$B$8,1))=FN$14))   /   SUM(OFFSET($BO$15,0,0,$B$14,1)) + $B$18/($B$19*$B$19*($DN69&lt;&gt;$DO69) + $B$19*($DN69=$DO69))</f>
        <v>3.7037037037037035E-4</v>
      </c>
      <c r="FO69" s="10" cm="1">
        <f t="array" aca="1" ref="FO69" ca="1">(1-$B$18)*SUMPRODUCT(OFFSET($BO$15,0,0,$B$14,1), 1*(_xlfn._xlws.FILTER(OFFSET($O$15,0,$DN69,$B$8,1),OFFSET($M$15,0,0,$B$8,1))=FO$13), 1*(_xlfn._xlws.FILTER(OFFSET($O$15,0,$DO69,$B$8,1),OFFSET($M$15,0,0,$B$8,1))=FO$14))   /   SUM(OFFSET($BO$15,0,0,$B$14,1)) + $B$18/($B$19*$B$19*($DN69&lt;&gt;$DO69) + $B$19*($DN69=$DO69))</f>
        <v>0.97037037037037033</v>
      </c>
      <c r="FP69" s="10" cm="1">
        <f t="array" aca="1" ref="FP69" ca="1">(1-$B$18)*SUMPRODUCT(OFFSET($BO$15,0,0,$B$14,1), 1*(_xlfn._xlws.FILTER(OFFSET($O$15,0,$DN69,$B$8,1),OFFSET($M$15,0,0,$B$8,1))=FP$13), 1*(_xlfn._xlws.FILTER(OFFSET($O$15,0,$DO69,$B$8,1),OFFSET($M$15,0,0,$B$8,1))=FP$14))   /   SUM(OFFSET($BO$15,0,0,$B$14,1)) + $B$18/($B$19*$B$19*($DN69&lt;&gt;$DO69) + $B$19*($DN69=$DO69))</f>
        <v>3.7037037037037035E-4</v>
      </c>
      <c r="FQ69" s="10" cm="1">
        <f t="array" aca="1" ref="FQ69" ca="1">(1-$B$18)*SUMPRODUCT(OFFSET($BO$15,0,0,$B$14,1), 1*(_xlfn._xlws.FILTER(OFFSET($O$15,0,$DN69,$B$8,1),OFFSET($M$15,0,0,$B$8,1))=FQ$13), 1*(_xlfn._xlws.FILTER(OFFSET($O$15,0,$DO69,$B$8,1),OFFSET($M$15,0,0,$B$8,1))=FQ$14))   /   SUM(OFFSET($BO$15,0,0,$B$14,1)) + $B$18/($B$19*$B$19*($DN69&lt;&gt;$DO69) + $B$19*($DN69=$DO69))</f>
        <v>3.7037037037037035E-4</v>
      </c>
      <c r="FR69" s="10" cm="1">
        <f t="array" aca="1" ref="FR69" ca="1">(1-$B$18)*SUMPRODUCT(OFFSET($BO$15,0,0,$B$14,1), 1*(_xlfn._xlws.FILTER(OFFSET($O$15,0,$DN69,$B$8,1),OFFSET($M$15,0,0,$B$8,1))=FR$13), 1*(_xlfn._xlws.FILTER(OFFSET($O$15,0,$DO69,$B$8,1),OFFSET($M$15,0,0,$B$8,1))=FR$14))   /   SUM(OFFSET($BO$15,0,0,$B$14,1)) + $B$18/($B$19*$B$19*($DN69&lt;&gt;$DO69) + $B$19*($DN69=$DO69))</f>
        <v>3.7037037037037035E-4</v>
      </c>
      <c r="FS69" s="10" cm="1">
        <f t="array" aca="1" ref="FS69" ca="1">(1-$B$18)*SUMPRODUCT(OFFSET($BO$15,0,0,$B$14,1), 1*(_xlfn._xlws.FILTER(OFFSET($O$15,0,$DN69,$B$8,1),OFFSET($M$15,0,0,$B$8,1))=FS$13), 1*(_xlfn._xlws.FILTER(OFFSET($O$15,0,$DO69,$B$8,1),OFFSET($M$15,0,0,$B$8,1))=FS$14))   /   SUM(OFFSET($BO$15,0,0,$B$14,1)) + $B$18/($B$19*$B$19*($DN69&lt;&gt;$DO69) + $B$19*($DN69=$DO69))</f>
        <v>3.7037037037037035E-4</v>
      </c>
      <c r="FT69" s="10" cm="1">
        <f t="array" aca="1" ref="FT69" ca="1">(1-$B$18)*SUMPRODUCT(OFFSET($BO$15,0,0,$B$14,1), 1*(_xlfn._xlws.FILTER(OFFSET($O$15,0,$DN69,$B$8,1),OFFSET($M$15,0,0,$B$8,1))=FT$13), 1*(_xlfn._xlws.FILTER(OFFSET($O$15,0,$DO69,$B$8,1),OFFSET($M$15,0,0,$B$8,1))=FT$14))   /   SUM(OFFSET($BO$15,0,0,$B$14,1)) + $B$18/($B$19*$B$19*($DN69&lt;&gt;$DO69) + $B$19*($DN69=$DO69))</f>
        <v>3.7037037037037035E-4</v>
      </c>
      <c r="FU69" s="10" cm="1">
        <f t="array" aca="1" ref="FU69" ca="1">(1-$B$18)*SUMPRODUCT(OFFSET($BO$15,0,0,$B$14,1), 1*(_xlfn._xlws.FILTER(OFFSET($O$15,0,$DN69,$B$8,1),OFFSET($M$15,0,0,$B$8,1))=FU$13), 1*(_xlfn._xlws.FILTER(OFFSET($O$15,0,$DO69,$B$8,1),OFFSET($M$15,0,0,$B$8,1))=FU$14))   /   SUM(OFFSET($BO$15,0,0,$B$14,1)) + $B$18/($B$19*$B$19*($DN69&lt;&gt;$DO69) + $B$19*($DN69=$DO69))</f>
        <v>3.7037037037037035E-4</v>
      </c>
      <c r="FV69" s="10" cm="1">
        <f t="array" aca="1" ref="FV69" ca="1">(1-$B$18)*SUMPRODUCT(OFFSET($BO$15,0,0,$B$14,1), 1*(_xlfn._xlws.FILTER(OFFSET($O$15,0,$DN69,$B$8,1),OFFSET($M$15,0,0,$B$8,1))=FV$13), 1*(_xlfn._xlws.FILTER(OFFSET($O$15,0,$DO69,$B$8,1),OFFSET($M$15,0,0,$B$8,1))=FV$14))   /   SUM(OFFSET($BO$15,0,0,$B$14,1)) + $B$18/($B$19*$B$19*($DN69&lt;&gt;$DO69) + $B$19*($DN69=$DO69))</f>
        <v>3.7037037037037035E-4</v>
      </c>
      <c r="FW69" s="10" cm="1">
        <f t="array" aca="1" ref="FW69" ca="1">(1-$B$18)*SUMPRODUCT(OFFSET($BO$15,0,0,$B$14,1), 1*(_xlfn._xlws.FILTER(OFFSET($O$15,0,$DN69,$B$8,1),OFFSET($M$15,0,0,$B$8,1))=FW$13), 1*(_xlfn._xlws.FILTER(OFFSET($O$15,0,$DO69,$B$8,1),OFFSET($M$15,0,0,$B$8,1))=FW$14))   /   SUM(OFFSET($BO$15,0,0,$B$14,1)) + $B$18/($B$19*$B$19*($DN69&lt;&gt;$DO69) + $B$19*($DN69=$DO69))</f>
        <v>3.7037037037037035E-4</v>
      </c>
      <c r="FX69" s="10" cm="1">
        <f t="array" aca="1" ref="FX69" ca="1">(1-$B$18)*SUMPRODUCT(OFFSET($BO$15,0,0,$B$14,1), 1*(_xlfn._xlws.FILTER(OFFSET($O$15,0,$DN69,$B$8,1),OFFSET($M$15,0,0,$B$8,1))=FX$13), 1*(_xlfn._xlws.FILTER(OFFSET($O$15,0,$DO69,$B$8,1),OFFSET($M$15,0,0,$B$8,1))=FX$14))   /   SUM(OFFSET($BO$15,0,0,$B$14,1)) + $B$18/($B$19*$B$19*($DN69&lt;&gt;$DO69) + $B$19*($DN69=$DO69))</f>
        <v>3.7037037037037035E-4</v>
      </c>
      <c r="FY69" s="10" cm="1">
        <f t="array" aca="1" ref="FY69" ca="1">(1-$B$18)*SUMPRODUCT(OFFSET($BO$15,0,0,$B$14,1), 1*(_xlfn._xlws.FILTER(OFFSET($O$15,0,$DN69,$B$8,1),OFFSET($M$15,0,0,$B$8,1))=FY$13), 1*(_xlfn._xlws.FILTER(OFFSET($O$15,0,$DO69,$B$8,1),OFFSET($M$15,0,0,$B$8,1))=FY$14))   /   SUM(OFFSET($BO$15,0,0,$B$14,1)) + $B$18/($B$19*$B$19*($DN69&lt;&gt;$DO69) + $B$19*($DN69=$DO69))</f>
        <v>3.7037037037037035E-4</v>
      </c>
      <c r="FZ69" s="10" cm="1">
        <f t="array" aca="1" ref="FZ69" ca="1">(1-$B$18)*SUMPRODUCT(OFFSET($BO$15,0,0,$B$14,1), 1*(_xlfn._xlws.FILTER(OFFSET($O$15,0,$DN69,$B$8,1),OFFSET($M$15,0,0,$B$8,1))=FZ$13), 1*(_xlfn._xlws.FILTER(OFFSET($O$15,0,$DO69,$B$8,1),OFFSET($M$15,0,0,$B$8,1))=FZ$14))   /   SUM(OFFSET($BO$15,0,0,$B$14,1)) + $B$18/($B$19*$B$19*($DN69&lt;&gt;$DO69) + $B$19*($DN69=$DO69))</f>
        <v>3.7037037037037035E-4</v>
      </c>
      <c r="GA69" s="10" cm="1">
        <f t="array" aca="1" ref="GA69" ca="1">(1-$B$18)*SUMPRODUCT(OFFSET($BO$15,0,0,$B$14,1), 1*(_xlfn._xlws.FILTER(OFFSET($O$15,0,$DN69,$B$8,1),OFFSET($M$15,0,0,$B$8,1))=GA$13), 1*(_xlfn._xlws.FILTER(OFFSET($O$15,0,$DO69,$B$8,1),OFFSET($M$15,0,0,$B$8,1))=GA$14))   /   SUM(OFFSET($BO$15,0,0,$B$14,1)) + $B$18/($B$19*$B$19*($DN69&lt;&gt;$DO69) + $B$19*($DN69=$DO69))</f>
        <v>3.7037037037037035E-4</v>
      </c>
    </row>
    <row r="70" spans="7:183" x14ac:dyDescent="0.2">
      <c r="G70" s="2"/>
      <c r="H70" s="2"/>
      <c r="DN70" cm="1">
        <f t="array" aca="1" ref="DN70" ca="1">INDEX(_xlfn.ANCHORARRAY($CP$15), 1 + INT((ROWS($DO$15:$DO70) - 1) / ROWS(_xlfn.ANCHORARRAY($CP$15))))</f>
        <v>2</v>
      </c>
      <c r="DO70" cm="1">
        <f t="array" aca="1" ref="DO70" ca="1">INDEX(_xlfn.ANCHORARRAY($CP$15),1+MOD(ROWS($DO$15:$DO70)-1,ROWS(_xlfn.ANCHORARRAY($CP$15))))</f>
        <v>20</v>
      </c>
      <c r="DP70" s="10" cm="1">
        <f t="array" aca="1" ref="DP70" ca="1">(1-$B$18)*SUMPRODUCT(OFFSET($BO$15,0,0,$B$14,1), 1*(_xlfn._xlws.FILTER(OFFSET($O$15,0,$DN70,$B$8,1),OFFSET($M$15,0,0,$B$8,1))=DP$13), 1*(_xlfn._xlws.FILTER(OFFSET($O$15,0,$DO70,$B$8,1),OFFSET($M$15,0,0,$B$8,1))=DP$14))   /   SUM(OFFSET($BO$15,0,0,$B$14,1)) + $B$18/($B$19*$B$19*($DN70&lt;&gt;$DO70) + $B$19*($DN70=$DO70))</f>
        <v>3.7037037037037035E-4</v>
      </c>
      <c r="DQ70" s="10" cm="1">
        <f t="array" aca="1" ref="DQ70" ca="1">(1-$B$18)*SUMPRODUCT(OFFSET($BO$15,0,0,$B$14,1), 1*(_xlfn._xlws.FILTER(OFFSET($O$15,0,$DN70,$B$8,1),OFFSET($M$15,0,0,$B$8,1))=DQ$13), 1*(_xlfn._xlws.FILTER(OFFSET($O$15,0,$DO70,$B$8,1),OFFSET($M$15,0,0,$B$8,1))=DQ$14))   /   SUM(OFFSET($BO$15,0,0,$B$14,1)) + $B$18/($B$19*$B$19*($DN70&lt;&gt;$DO70) + $B$19*($DN70=$DO70))</f>
        <v>3.7037037037037035E-4</v>
      </c>
      <c r="DR70" s="10" cm="1">
        <f t="array" aca="1" ref="DR70" ca="1">(1-$B$18)*SUMPRODUCT(OFFSET($BO$15,0,0,$B$14,1), 1*(_xlfn._xlws.FILTER(OFFSET($O$15,0,$DN70,$B$8,1),OFFSET($M$15,0,0,$B$8,1))=DR$13), 1*(_xlfn._xlws.FILTER(OFFSET($O$15,0,$DO70,$B$8,1),OFFSET($M$15,0,0,$B$8,1))=DR$14))   /   SUM(OFFSET($BO$15,0,0,$B$14,1)) + $B$18/($B$19*$B$19*($DN70&lt;&gt;$DO70) + $B$19*($DN70=$DO70))</f>
        <v>3.7037037037037035E-4</v>
      </c>
      <c r="DS70" s="10" cm="1">
        <f t="array" aca="1" ref="DS70" ca="1">(1-$B$18)*SUMPRODUCT(OFFSET($BO$15,0,0,$B$14,1), 1*(_xlfn._xlws.FILTER(OFFSET($O$15,0,$DN70,$B$8,1),OFFSET($M$15,0,0,$B$8,1))=DS$13), 1*(_xlfn._xlws.FILTER(OFFSET($O$15,0,$DO70,$B$8,1),OFFSET($M$15,0,0,$B$8,1))=DS$14))   /   SUM(OFFSET($BO$15,0,0,$B$14,1)) + $B$18/($B$19*$B$19*($DN70&lt;&gt;$DO70) + $B$19*($DN70=$DO70))</f>
        <v>3.7037037037037035E-4</v>
      </c>
      <c r="DT70" s="10" cm="1">
        <f t="array" aca="1" ref="DT70" ca="1">(1-$B$18)*SUMPRODUCT(OFFSET($BO$15,0,0,$B$14,1), 1*(_xlfn._xlws.FILTER(OFFSET($O$15,0,$DN70,$B$8,1),OFFSET($M$15,0,0,$B$8,1))=DT$13), 1*(_xlfn._xlws.FILTER(OFFSET($O$15,0,$DO70,$B$8,1),OFFSET($M$15,0,0,$B$8,1))=DT$14))   /   SUM(OFFSET($BO$15,0,0,$B$14,1)) + $B$18/($B$19*$B$19*($DN70&lt;&gt;$DO70) + $B$19*($DN70=$DO70))</f>
        <v>3.7037037037037035E-4</v>
      </c>
      <c r="DU70" s="10" cm="1">
        <f t="array" aca="1" ref="DU70" ca="1">(1-$B$18)*SUMPRODUCT(OFFSET($BO$15,0,0,$B$14,1), 1*(_xlfn._xlws.FILTER(OFFSET($O$15,0,$DN70,$B$8,1),OFFSET($M$15,0,0,$B$8,1))=DU$13), 1*(_xlfn._xlws.FILTER(OFFSET($O$15,0,$DO70,$B$8,1),OFFSET($M$15,0,0,$B$8,1))=DU$14))   /   SUM(OFFSET($BO$15,0,0,$B$14,1)) + $B$18/($B$19*$B$19*($DN70&lt;&gt;$DO70) + $B$19*($DN70=$DO70))</f>
        <v>3.7037037037037035E-4</v>
      </c>
      <c r="DV70" s="10" cm="1">
        <f t="array" aca="1" ref="DV70" ca="1">(1-$B$18)*SUMPRODUCT(OFFSET($BO$15,0,0,$B$14,1), 1*(_xlfn._xlws.FILTER(OFFSET($O$15,0,$DN70,$B$8,1),OFFSET($M$15,0,0,$B$8,1))=DV$13), 1*(_xlfn._xlws.FILTER(OFFSET($O$15,0,$DO70,$B$8,1),OFFSET($M$15,0,0,$B$8,1))=DV$14))   /   SUM(OFFSET($BO$15,0,0,$B$14,1)) + $B$18/($B$19*$B$19*($DN70&lt;&gt;$DO70) + $B$19*($DN70=$DO70))</f>
        <v>3.7037037037037035E-4</v>
      </c>
      <c r="DW70" s="10" cm="1">
        <f t="array" aca="1" ref="DW70" ca="1">(1-$B$18)*SUMPRODUCT(OFFSET($BO$15,0,0,$B$14,1), 1*(_xlfn._xlws.FILTER(OFFSET($O$15,0,$DN70,$B$8,1),OFFSET($M$15,0,0,$B$8,1))=DW$13), 1*(_xlfn._xlws.FILTER(OFFSET($O$15,0,$DO70,$B$8,1),OFFSET($M$15,0,0,$B$8,1))=DW$14))   /   SUM(OFFSET($BO$15,0,0,$B$14,1)) + $B$18/($B$19*$B$19*($DN70&lt;&gt;$DO70) + $B$19*($DN70=$DO70))</f>
        <v>3.7037037037037035E-4</v>
      </c>
      <c r="DX70" s="10" cm="1">
        <f t="array" aca="1" ref="DX70" ca="1">(1-$B$18)*SUMPRODUCT(OFFSET($BO$15,0,0,$B$14,1), 1*(_xlfn._xlws.FILTER(OFFSET($O$15,0,$DN70,$B$8,1),OFFSET($M$15,0,0,$B$8,1))=DX$13), 1*(_xlfn._xlws.FILTER(OFFSET($O$15,0,$DO70,$B$8,1),OFFSET($M$15,0,0,$B$8,1))=DX$14))   /   SUM(OFFSET($BO$15,0,0,$B$14,1)) + $B$18/($B$19*$B$19*($DN70&lt;&gt;$DO70) + $B$19*($DN70=$DO70))</f>
        <v>3.7037037037037035E-4</v>
      </c>
      <c r="DY70" s="10" cm="1">
        <f t="array" aca="1" ref="DY70" ca="1">(1-$B$18)*SUMPRODUCT(OFFSET($BO$15,0,0,$B$14,1), 1*(_xlfn._xlws.FILTER(OFFSET($O$15,0,$DN70,$B$8,1),OFFSET($M$15,0,0,$B$8,1))=DY$13), 1*(_xlfn._xlws.FILTER(OFFSET($O$15,0,$DO70,$B$8,1),OFFSET($M$15,0,0,$B$8,1))=DY$14))   /   SUM(OFFSET($BO$15,0,0,$B$14,1)) + $B$18/($B$19*$B$19*($DN70&lt;&gt;$DO70) + $B$19*($DN70=$DO70))</f>
        <v>3.7037037037037035E-4</v>
      </c>
      <c r="DZ70" s="10" cm="1">
        <f t="array" aca="1" ref="DZ70" ca="1">(1-$B$18)*SUMPRODUCT(OFFSET($BO$15,0,0,$B$14,1), 1*(_xlfn._xlws.FILTER(OFFSET($O$15,0,$DN70,$B$8,1),OFFSET($M$15,0,0,$B$8,1))=DZ$13), 1*(_xlfn._xlws.FILTER(OFFSET($O$15,0,$DO70,$B$8,1),OFFSET($M$15,0,0,$B$8,1))=DZ$14))   /   SUM(OFFSET($BO$15,0,0,$B$14,1)) + $B$18/($B$19*$B$19*($DN70&lt;&gt;$DO70) + $B$19*($DN70=$DO70))</f>
        <v>3.7037037037037035E-4</v>
      </c>
      <c r="EA70" s="10" cm="1">
        <f t="array" aca="1" ref="EA70" ca="1">(1-$B$18)*SUMPRODUCT(OFFSET($BO$15,0,0,$B$14,1), 1*(_xlfn._xlws.FILTER(OFFSET($O$15,0,$DN70,$B$8,1),OFFSET($M$15,0,0,$B$8,1))=EA$13), 1*(_xlfn._xlws.FILTER(OFFSET($O$15,0,$DO70,$B$8,1),OFFSET($M$15,0,0,$B$8,1))=EA$14))   /   SUM(OFFSET($BO$15,0,0,$B$14,1)) + $B$18/($B$19*$B$19*($DN70&lt;&gt;$DO70) + $B$19*($DN70=$DO70))</f>
        <v>3.7037037037037035E-4</v>
      </c>
      <c r="EB70" s="10" cm="1">
        <f t="array" aca="1" ref="EB70" ca="1">(1-$B$18)*SUMPRODUCT(OFFSET($BO$15,0,0,$B$14,1), 1*(_xlfn._xlws.FILTER(OFFSET($O$15,0,$DN70,$B$8,1),OFFSET($M$15,0,0,$B$8,1))=EB$13), 1*(_xlfn._xlws.FILTER(OFFSET($O$15,0,$DO70,$B$8,1),OFFSET($M$15,0,0,$B$8,1))=EB$14))   /   SUM(OFFSET($BO$15,0,0,$B$14,1)) + $B$18/($B$19*$B$19*($DN70&lt;&gt;$DO70) + $B$19*($DN70=$DO70))</f>
        <v>3.7037037037037035E-4</v>
      </c>
      <c r="EC70" s="10" cm="1">
        <f t="array" aca="1" ref="EC70" ca="1">(1-$B$18)*SUMPRODUCT(OFFSET($BO$15,0,0,$B$14,1), 1*(_xlfn._xlws.FILTER(OFFSET($O$15,0,$DN70,$B$8,1),OFFSET($M$15,0,0,$B$8,1))=EC$13), 1*(_xlfn._xlws.FILTER(OFFSET($O$15,0,$DO70,$B$8,1),OFFSET($M$15,0,0,$B$8,1))=EC$14))   /   SUM(OFFSET($BO$15,0,0,$B$14,1)) + $B$18/($B$19*$B$19*($DN70&lt;&gt;$DO70) + $B$19*($DN70=$DO70))</f>
        <v>3.7037037037037035E-4</v>
      </c>
      <c r="ED70" s="10" cm="1">
        <f t="array" aca="1" ref="ED70" ca="1">(1-$B$18)*SUMPRODUCT(OFFSET($BO$15,0,0,$B$14,1), 1*(_xlfn._xlws.FILTER(OFFSET($O$15,0,$DN70,$B$8,1),OFFSET($M$15,0,0,$B$8,1))=ED$13), 1*(_xlfn._xlws.FILTER(OFFSET($O$15,0,$DO70,$B$8,1),OFFSET($M$15,0,0,$B$8,1))=ED$14))   /   SUM(OFFSET($BO$15,0,0,$B$14,1)) + $B$18/($B$19*$B$19*($DN70&lt;&gt;$DO70) + $B$19*($DN70=$DO70))</f>
        <v>3.7037037037037035E-4</v>
      </c>
      <c r="EE70" s="10" cm="1">
        <f t="array" aca="1" ref="EE70" ca="1">(1-$B$18)*SUMPRODUCT(OFFSET($BO$15,0,0,$B$14,1), 1*(_xlfn._xlws.FILTER(OFFSET($O$15,0,$DN70,$B$8,1),OFFSET($M$15,0,0,$B$8,1))=EE$13), 1*(_xlfn._xlws.FILTER(OFFSET($O$15,0,$DO70,$B$8,1),OFFSET($M$15,0,0,$B$8,1))=EE$14))   /   SUM(OFFSET($BO$15,0,0,$B$14,1)) + $B$18/($B$19*$B$19*($DN70&lt;&gt;$DO70) + $B$19*($DN70=$DO70))</f>
        <v>3.7037037037037035E-4</v>
      </c>
      <c r="EF70" s="10" cm="1">
        <f t="array" aca="1" ref="EF70" ca="1">(1-$B$18)*SUMPRODUCT(OFFSET($BO$15,0,0,$B$14,1), 1*(_xlfn._xlws.FILTER(OFFSET($O$15,0,$DN70,$B$8,1),OFFSET($M$15,0,0,$B$8,1))=EF$13), 1*(_xlfn._xlws.FILTER(OFFSET($O$15,0,$DO70,$B$8,1),OFFSET($M$15,0,0,$B$8,1))=EF$14))   /   SUM(OFFSET($BO$15,0,0,$B$14,1)) + $B$18/($B$19*$B$19*($DN70&lt;&gt;$DO70) + $B$19*($DN70=$DO70))</f>
        <v>3.7037037037037035E-4</v>
      </c>
      <c r="EG70" s="10" cm="1">
        <f t="array" aca="1" ref="EG70" ca="1">(1-$B$18)*SUMPRODUCT(OFFSET($BO$15,0,0,$B$14,1), 1*(_xlfn._xlws.FILTER(OFFSET($O$15,0,$DN70,$B$8,1),OFFSET($M$15,0,0,$B$8,1))=EG$13), 1*(_xlfn._xlws.FILTER(OFFSET($O$15,0,$DO70,$B$8,1),OFFSET($M$15,0,0,$B$8,1))=EG$14))   /   SUM(OFFSET($BO$15,0,0,$B$14,1)) + $B$18/($B$19*$B$19*($DN70&lt;&gt;$DO70) + $B$19*($DN70=$DO70))</f>
        <v>3.7037037037037035E-4</v>
      </c>
      <c r="EH70" s="10" cm="1">
        <f t="array" aca="1" ref="EH70" ca="1">(1-$B$18)*SUMPRODUCT(OFFSET($BO$15,0,0,$B$14,1), 1*(_xlfn._xlws.FILTER(OFFSET($O$15,0,$DN70,$B$8,1),OFFSET($M$15,0,0,$B$8,1))=EH$13), 1*(_xlfn._xlws.FILTER(OFFSET($O$15,0,$DO70,$B$8,1),OFFSET($M$15,0,0,$B$8,1))=EH$14))   /   SUM(OFFSET($BO$15,0,0,$B$14,1)) + $B$18/($B$19*$B$19*($DN70&lt;&gt;$DO70) + $B$19*($DN70=$DO70))</f>
        <v>3.7037037037037035E-4</v>
      </c>
      <c r="EI70" s="10" cm="1">
        <f t="array" aca="1" ref="EI70" ca="1">(1-$B$18)*SUMPRODUCT(OFFSET($BO$15,0,0,$B$14,1), 1*(_xlfn._xlws.FILTER(OFFSET($O$15,0,$DN70,$B$8,1),OFFSET($M$15,0,0,$B$8,1))=EI$13), 1*(_xlfn._xlws.FILTER(OFFSET($O$15,0,$DO70,$B$8,1),OFFSET($M$15,0,0,$B$8,1))=EI$14))   /   SUM(OFFSET($BO$15,0,0,$B$14,1)) + $B$18/($B$19*$B$19*($DN70&lt;&gt;$DO70) + $B$19*($DN70=$DO70))</f>
        <v>3.7037037037037035E-4</v>
      </c>
      <c r="EJ70" s="10" cm="1">
        <f t="array" aca="1" ref="EJ70" ca="1">(1-$B$18)*SUMPRODUCT(OFFSET($BO$15,0,0,$B$14,1), 1*(_xlfn._xlws.FILTER(OFFSET($O$15,0,$DN70,$B$8,1),OFFSET($M$15,0,0,$B$8,1))=EJ$13), 1*(_xlfn._xlws.FILTER(OFFSET($O$15,0,$DO70,$B$8,1),OFFSET($M$15,0,0,$B$8,1))=EJ$14))   /   SUM(OFFSET($BO$15,0,0,$B$14,1)) + $B$18/($B$19*$B$19*($DN70&lt;&gt;$DO70) + $B$19*($DN70=$DO70))</f>
        <v>3.7037037037037035E-4</v>
      </c>
      <c r="EK70" s="10" cm="1">
        <f t="array" aca="1" ref="EK70" ca="1">(1-$B$18)*SUMPRODUCT(OFFSET($BO$15,0,0,$B$14,1), 1*(_xlfn._xlws.FILTER(OFFSET($O$15,0,$DN70,$B$8,1),OFFSET($M$15,0,0,$B$8,1))=EK$13), 1*(_xlfn._xlws.FILTER(OFFSET($O$15,0,$DO70,$B$8,1),OFFSET($M$15,0,0,$B$8,1))=EK$14))   /   SUM(OFFSET($BO$15,0,0,$B$14,1)) + $B$18/($B$19*$B$19*($DN70&lt;&gt;$DO70) + $B$19*($DN70=$DO70))</f>
        <v>3.7037037037037035E-4</v>
      </c>
      <c r="EL70" s="10" cm="1">
        <f t="array" aca="1" ref="EL70" ca="1">(1-$B$18)*SUMPRODUCT(OFFSET($BO$15,0,0,$B$14,1), 1*(_xlfn._xlws.FILTER(OFFSET($O$15,0,$DN70,$B$8,1),OFFSET($M$15,0,0,$B$8,1))=EL$13), 1*(_xlfn._xlws.FILTER(OFFSET($O$15,0,$DO70,$B$8,1),OFFSET($M$15,0,0,$B$8,1))=EL$14))   /   SUM(OFFSET($BO$15,0,0,$B$14,1)) + $B$18/($B$19*$B$19*($DN70&lt;&gt;$DO70) + $B$19*($DN70=$DO70))</f>
        <v>3.7037037037037035E-4</v>
      </c>
      <c r="EM70" s="10" cm="1">
        <f t="array" aca="1" ref="EM70" ca="1">(1-$B$18)*SUMPRODUCT(OFFSET($BO$15,0,0,$B$14,1), 1*(_xlfn._xlws.FILTER(OFFSET($O$15,0,$DN70,$B$8,1),OFFSET($M$15,0,0,$B$8,1))=EM$13), 1*(_xlfn._xlws.FILTER(OFFSET($O$15,0,$DO70,$B$8,1),OFFSET($M$15,0,0,$B$8,1))=EM$14))   /   SUM(OFFSET($BO$15,0,0,$B$14,1)) + $B$18/($B$19*$B$19*($DN70&lt;&gt;$DO70) + $B$19*($DN70=$DO70))</f>
        <v>3.7037037037037035E-4</v>
      </c>
      <c r="EN70" s="10" cm="1">
        <f t="array" aca="1" ref="EN70" ca="1">(1-$B$18)*SUMPRODUCT(OFFSET($BO$15,0,0,$B$14,1), 1*(_xlfn._xlws.FILTER(OFFSET($O$15,0,$DN70,$B$8,1),OFFSET($M$15,0,0,$B$8,1))=EN$13), 1*(_xlfn._xlws.FILTER(OFFSET($O$15,0,$DO70,$B$8,1),OFFSET($M$15,0,0,$B$8,1))=EN$14))   /   SUM(OFFSET($BO$15,0,0,$B$14,1)) + $B$18/($B$19*$B$19*($DN70&lt;&gt;$DO70) + $B$19*($DN70=$DO70))</f>
        <v>3.7037037037037035E-4</v>
      </c>
      <c r="EO70" s="10" cm="1">
        <f t="array" aca="1" ref="EO70" ca="1">(1-$B$18)*SUMPRODUCT(OFFSET($BO$15,0,0,$B$14,1), 1*(_xlfn._xlws.FILTER(OFFSET($O$15,0,$DN70,$B$8,1),OFFSET($M$15,0,0,$B$8,1))=EO$13), 1*(_xlfn._xlws.FILTER(OFFSET($O$15,0,$DO70,$B$8,1),OFFSET($M$15,0,0,$B$8,1))=EO$14))   /   SUM(OFFSET($BO$15,0,0,$B$14,1)) + $B$18/($B$19*$B$19*($DN70&lt;&gt;$DO70) + $B$19*($DN70=$DO70))</f>
        <v>3.7037037037037035E-4</v>
      </c>
      <c r="EP70" s="10" cm="1">
        <f t="array" aca="1" ref="EP70" ca="1">(1-$B$18)*SUMPRODUCT(OFFSET($BO$15,0,0,$B$14,1), 1*(_xlfn._xlws.FILTER(OFFSET($O$15,0,$DN70,$B$8,1),OFFSET($M$15,0,0,$B$8,1))=EP$13), 1*(_xlfn._xlws.FILTER(OFFSET($O$15,0,$DO70,$B$8,1),OFFSET($M$15,0,0,$B$8,1))=EP$14))   /   SUM(OFFSET($BO$15,0,0,$B$14,1)) + $B$18/($B$19*$B$19*($DN70&lt;&gt;$DO70) + $B$19*($DN70=$DO70))</f>
        <v>3.7037037037037035E-4</v>
      </c>
      <c r="EQ70" s="10" cm="1">
        <f t="array" aca="1" ref="EQ70" ca="1">(1-$B$18)*SUMPRODUCT(OFFSET($BO$15,0,0,$B$14,1), 1*(_xlfn._xlws.FILTER(OFFSET($O$15,0,$DN70,$B$8,1),OFFSET($M$15,0,0,$B$8,1))=EQ$13), 1*(_xlfn._xlws.FILTER(OFFSET($O$15,0,$DO70,$B$8,1),OFFSET($M$15,0,0,$B$8,1))=EQ$14))   /   SUM(OFFSET($BO$15,0,0,$B$14,1)) + $B$18/($B$19*$B$19*($DN70&lt;&gt;$DO70) + $B$19*($DN70=$DO70))</f>
        <v>3.7037037037037035E-4</v>
      </c>
      <c r="ER70" s="10" cm="1">
        <f t="array" aca="1" ref="ER70" ca="1">(1-$B$18)*SUMPRODUCT(OFFSET($BO$15,0,0,$B$14,1), 1*(_xlfn._xlws.FILTER(OFFSET($O$15,0,$DN70,$B$8,1),OFFSET($M$15,0,0,$B$8,1))=ER$13), 1*(_xlfn._xlws.FILTER(OFFSET($O$15,0,$DO70,$B$8,1),OFFSET($M$15,0,0,$B$8,1))=ER$14))   /   SUM(OFFSET($BO$15,0,0,$B$14,1)) + $B$18/($B$19*$B$19*($DN70&lt;&gt;$DO70) + $B$19*($DN70=$DO70))</f>
        <v>3.7037037037037035E-4</v>
      </c>
      <c r="ES70" s="10" cm="1">
        <f t="array" aca="1" ref="ES70" ca="1">(1-$B$18)*SUMPRODUCT(OFFSET($BO$15,0,0,$B$14,1), 1*(_xlfn._xlws.FILTER(OFFSET($O$15,0,$DN70,$B$8,1),OFFSET($M$15,0,0,$B$8,1))=ES$13), 1*(_xlfn._xlws.FILTER(OFFSET($O$15,0,$DO70,$B$8,1),OFFSET($M$15,0,0,$B$8,1))=ES$14))   /   SUM(OFFSET($BO$15,0,0,$B$14,1)) + $B$18/($B$19*$B$19*($DN70&lt;&gt;$DO70) + $B$19*($DN70=$DO70))</f>
        <v>3.7037037037037035E-4</v>
      </c>
      <c r="ET70" s="10" cm="1">
        <f t="array" aca="1" ref="ET70" ca="1">(1-$B$18)*SUMPRODUCT(OFFSET($BO$15,0,0,$B$14,1), 1*(_xlfn._xlws.FILTER(OFFSET($O$15,0,$DN70,$B$8,1),OFFSET($M$15,0,0,$B$8,1))=ET$13), 1*(_xlfn._xlws.FILTER(OFFSET($O$15,0,$DO70,$B$8,1),OFFSET($M$15,0,0,$B$8,1))=ET$14))   /   SUM(OFFSET($BO$15,0,0,$B$14,1)) + $B$18/($B$19*$B$19*($DN70&lt;&gt;$DO70) + $B$19*($DN70=$DO70))</f>
        <v>3.7037037037037035E-4</v>
      </c>
      <c r="EU70" s="10" cm="1">
        <f t="array" aca="1" ref="EU70" ca="1">(1-$B$18)*SUMPRODUCT(OFFSET($BO$15,0,0,$B$14,1), 1*(_xlfn._xlws.FILTER(OFFSET($O$15,0,$DN70,$B$8,1),OFFSET($M$15,0,0,$B$8,1))=EU$13), 1*(_xlfn._xlws.FILTER(OFFSET($O$15,0,$DO70,$B$8,1),OFFSET($M$15,0,0,$B$8,1))=EU$14))   /   SUM(OFFSET($BO$15,0,0,$B$14,1)) + $B$18/($B$19*$B$19*($DN70&lt;&gt;$DO70) + $B$19*($DN70=$DO70))</f>
        <v>3.7037037037037035E-4</v>
      </c>
      <c r="EV70" s="10" cm="1">
        <f t="array" aca="1" ref="EV70" ca="1">(1-$B$18)*SUMPRODUCT(OFFSET($BO$15,0,0,$B$14,1), 1*(_xlfn._xlws.FILTER(OFFSET($O$15,0,$DN70,$B$8,1),OFFSET($M$15,0,0,$B$8,1))=EV$13), 1*(_xlfn._xlws.FILTER(OFFSET($O$15,0,$DO70,$B$8,1),OFFSET($M$15,0,0,$B$8,1))=EV$14))   /   SUM(OFFSET($BO$15,0,0,$B$14,1)) + $B$18/($B$19*$B$19*($DN70&lt;&gt;$DO70) + $B$19*($DN70=$DO70))</f>
        <v>3.7037037037037035E-4</v>
      </c>
      <c r="EW70" s="10" cm="1">
        <f t="array" aca="1" ref="EW70" ca="1">(1-$B$18)*SUMPRODUCT(OFFSET($BO$15,0,0,$B$14,1), 1*(_xlfn._xlws.FILTER(OFFSET($O$15,0,$DN70,$B$8,1),OFFSET($M$15,0,0,$B$8,1))=EW$13), 1*(_xlfn._xlws.FILTER(OFFSET($O$15,0,$DO70,$B$8,1),OFFSET($M$15,0,0,$B$8,1))=EW$14))   /   SUM(OFFSET($BO$15,0,0,$B$14,1)) + $B$18/($B$19*$B$19*($DN70&lt;&gt;$DO70) + $B$19*($DN70=$DO70))</f>
        <v>3.7037037037037035E-4</v>
      </c>
      <c r="EX70" s="10" cm="1">
        <f t="array" aca="1" ref="EX70" ca="1">(1-$B$18)*SUMPRODUCT(OFFSET($BO$15,0,0,$B$14,1), 1*(_xlfn._xlws.FILTER(OFFSET($O$15,0,$DN70,$B$8,1),OFFSET($M$15,0,0,$B$8,1))=EX$13), 1*(_xlfn._xlws.FILTER(OFFSET($O$15,0,$DO70,$B$8,1),OFFSET($M$15,0,0,$B$8,1))=EX$14))   /   SUM(OFFSET($BO$15,0,0,$B$14,1)) + $B$18/($B$19*$B$19*($DN70&lt;&gt;$DO70) + $B$19*($DN70=$DO70))</f>
        <v>3.7037037037037035E-4</v>
      </c>
      <c r="EY70" s="10" cm="1">
        <f t="array" aca="1" ref="EY70" ca="1">(1-$B$18)*SUMPRODUCT(OFFSET($BO$15,0,0,$B$14,1), 1*(_xlfn._xlws.FILTER(OFFSET($O$15,0,$DN70,$B$8,1),OFFSET($M$15,0,0,$B$8,1))=EY$13), 1*(_xlfn._xlws.FILTER(OFFSET($O$15,0,$DO70,$B$8,1),OFFSET($M$15,0,0,$B$8,1))=EY$14))   /   SUM(OFFSET($BO$15,0,0,$B$14,1)) + $B$18/($B$19*$B$19*($DN70&lt;&gt;$DO70) + $B$19*($DN70=$DO70))</f>
        <v>3.7037037037037035E-4</v>
      </c>
      <c r="EZ70" s="10" cm="1">
        <f t="array" aca="1" ref="EZ70" ca="1">(1-$B$18)*SUMPRODUCT(OFFSET($BO$15,0,0,$B$14,1), 1*(_xlfn._xlws.FILTER(OFFSET($O$15,0,$DN70,$B$8,1),OFFSET($M$15,0,0,$B$8,1))=EZ$13), 1*(_xlfn._xlws.FILTER(OFFSET($O$15,0,$DO70,$B$8,1),OFFSET($M$15,0,0,$B$8,1))=EZ$14))   /   SUM(OFFSET($BO$15,0,0,$B$14,1)) + $B$18/($B$19*$B$19*($DN70&lt;&gt;$DO70) + $B$19*($DN70=$DO70))</f>
        <v>3.7037037037037035E-4</v>
      </c>
      <c r="FA70" s="10" cm="1">
        <f t="array" aca="1" ref="FA70" ca="1">(1-$B$18)*SUMPRODUCT(OFFSET($BO$15,0,0,$B$14,1), 1*(_xlfn._xlws.FILTER(OFFSET($O$15,0,$DN70,$B$8,1),OFFSET($M$15,0,0,$B$8,1))=FA$13), 1*(_xlfn._xlws.FILTER(OFFSET($O$15,0,$DO70,$B$8,1),OFFSET($M$15,0,0,$B$8,1))=FA$14))   /   SUM(OFFSET($BO$15,0,0,$B$14,1)) + $B$18/($B$19*$B$19*($DN70&lt;&gt;$DO70) + $B$19*($DN70=$DO70))</f>
        <v>3.7037037037037035E-4</v>
      </c>
      <c r="FB70" s="10" cm="1">
        <f t="array" aca="1" ref="FB70" ca="1">(1-$B$18)*SUMPRODUCT(OFFSET($BO$15,0,0,$B$14,1), 1*(_xlfn._xlws.FILTER(OFFSET($O$15,0,$DN70,$B$8,1),OFFSET($M$15,0,0,$B$8,1))=FB$13), 1*(_xlfn._xlws.FILTER(OFFSET($O$15,0,$DO70,$B$8,1),OFFSET($M$15,0,0,$B$8,1))=FB$14))   /   SUM(OFFSET($BO$15,0,0,$B$14,1)) + $B$18/($B$19*$B$19*($DN70&lt;&gt;$DO70) + $B$19*($DN70=$DO70))</f>
        <v>3.7037037037037035E-4</v>
      </c>
      <c r="FC70" s="10" cm="1">
        <f t="array" aca="1" ref="FC70" ca="1">(1-$B$18)*SUMPRODUCT(OFFSET($BO$15,0,0,$B$14,1), 1*(_xlfn._xlws.FILTER(OFFSET($O$15,0,$DN70,$B$8,1),OFFSET($M$15,0,0,$B$8,1))=FC$13), 1*(_xlfn._xlws.FILTER(OFFSET($O$15,0,$DO70,$B$8,1),OFFSET($M$15,0,0,$B$8,1))=FC$14))   /   SUM(OFFSET($BO$15,0,0,$B$14,1)) + $B$18/($B$19*$B$19*($DN70&lt;&gt;$DO70) + $B$19*($DN70=$DO70))</f>
        <v>3.7037037037037035E-4</v>
      </c>
      <c r="FD70" s="10" cm="1">
        <f t="array" aca="1" ref="FD70" ca="1">(1-$B$18)*SUMPRODUCT(OFFSET($BO$15,0,0,$B$14,1), 1*(_xlfn._xlws.FILTER(OFFSET($O$15,0,$DN70,$B$8,1),OFFSET($M$15,0,0,$B$8,1))=FD$13), 1*(_xlfn._xlws.FILTER(OFFSET($O$15,0,$DO70,$B$8,1),OFFSET($M$15,0,0,$B$8,1))=FD$14))   /   SUM(OFFSET($BO$15,0,0,$B$14,1)) + $B$18/($B$19*$B$19*($DN70&lt;&gt;$DO70) + $B$19*($DN70=$DO70))</f>
        <v>3.7037037037037035E-4</v>
      </c>
      <c r="FE70" s="10" cm="1">
        <f t="array" aca="1" ref="FE70" ca="1">(1-$B$18)*SUMPRODUCT(OFFSET($BO$15,0,0,$B$14,1), 1*(_xlfn._xlws.FILTER(OFFSET($O$15,0,$DN70,$B$8,1),OFFSET($M$15,0,0,$B$8,1))=FE$13), 1*(_xlfn._xlws.FILTER(OFFSET($O$15,0,$DO70,$B$8,1),OFFSET($M$15,0,0,$B$8,1))=FE$14))   /   SUM(OFFSET($BO$15,0,0,$B$14,1)) + $B$18/($B$19*$B$19*($DN70&lt;&gt;$DO70) + $B$19*($DN70=$DO70))</f>
        <v>3.7037037037037035E-4</v>
      </c>
      <c r="FF70" s="10" cm="1">
        <f t="array" aca="1" ref="FF70" ca="1">(1-$B$18)*SUMPRODUCT(OFFSET($BO$15,0,0,$B$14,1), 1*(_xlfn._xlws.FILTER(OFFSET($O$15,0,$DN70,$B$8,1),OFFSET($M$15,0,0,$B$8,1))=FF$13), 1*(_xlfn._xlws.FILTER(OFFSET($O$15,0,$DO70,$B$8,1),OFFSET($M$15,0,0,$B$8,1))=FF$14))   /   SUM(OFFSET($BO$15,0,0,$B$14,1)) + $B$18/($B$19*$B$19*($DN70&lt;&gt;$DO70) + $B$19*($DN70=$DO70))</f>
        <v>3.7037037037037035E-4</v>
      </c>
      <c r="FG70" s="10" cm="1">
        <f t="array" aca="1" ref="FG70" ca="1">(1-$B$18)*SUMPRODUCT(OFFSET($BO$15,0,0,$B$14,1), 1*(_xlfn._xlws.FILTER(OFFSET($O$15,0,$DN70,$B$8,1),OFFSET($M$15,0,0,$B$8,1))=FG$13), 1*(_xlfn._xlws.FILTER(OFFSET($O$15,0,$DO70,$B$8,1),OFFSET($M$15,0,0,$B$8,1))=FG$14))   /   SUM(OFFSET($BO$15,0,0,$B$14,1)) + $B$18/($B$19*$B$19*($DN70&lt;&gt;$DO70) + $B$19*($DN70=$DO70))</f>
        <v>3.7037037037037035E-4</v>
      </c>
      <c r="FH70" s="10" cm="1">
        <f t="array" aca="1" ref="FH70" ca="1">(1-$B$18)*SUMPRODUCT(OFFSET($BO$15,0,0,$B$14,1), 1*(_xlfn._xlws.FILTER(OFFSET($O$15,0,$DN70,$B$8,1),OFFSET($M$15,0,0,$B$8,1))=FH$13), 1*(_xlfn._xlws.FILTER(OFFSET($O$15,0,$DO70,$B$8,1),OFFSET($M$15,0,0,$B$8,1))=FH$14))   /   SUM(OFFSET($BO$15,0,0,$B$14,1)) + $B$18/($B$19*$B$19*($DN70&lt;&gt;$DO70) + $B$19*($DN70=$DO70))</f>
        <v>3.7037037037037035E-4</v>
      </c>
      <c r="FI70" s="10" cm="1">
        <f t="array" aca="1" ref="FI70" ca="1">(1-$B$18)*SUMPRODUCT(OFFSET($BO$15,0,0,$B$14,1), 1*(_xlfn._xlws.FILTER(OFFSET($O$15,0,$DN70,$B$8,1),OFFSET($M$15,0,0,$B$8,1))=FI$13), 1*(_xlfn._xlws.FILTER(OFFSET($O$15,0,$DO70,$B$8,1),OFFSET($M$15,0,0,$B$8,1))=FI$14))   /   SUM(OFFSET($BO$15,0,0,$B$14,1)) + $B$18/($B$19*$B$19*($DN70&lt;&gt;$DO70) + $B$19*($DN70=$DO70))</f>
        <v>3.7037037037037035E-4</v>
      </c>
      <c r="FJ70" s="10" cm="1">
        <f t="array" aca="1" ref="FJ70" ca="1">(1-$B$18)*SUMPRODUCT(OFFSET($BO$15,0,0,$B$14,1), 1*(_xlfn._xlws.FILTER(OFFSET($O$15,0,$DN70,$B$8,1),OFFSET($M$15,0,0,$B$8,1))=FJ$13), 1*(_xlfn._xlws.FILTER(OFFSET($O$15,0,$DO70,$B$8,1),OFFSET($M$15,0,0,$B$8,1))=FJ$14))   /   SUM(OFFSET($BO$15,0,0,$B$14,1)) + $B$18/($B$19*$B$19*($DN70&lt;&gt;$DO70) + $B$19*($DN70=$DO70))</f>
        <v>3.7037037037037035E-4</v>
      </c>
      <c r="FK70" s="10" cm="1">
        <f t="array" aca="1" ref="FK70" ca="1">(1-$B$18)*SUMPRODUCT(OFFSET($BO$15,0,0,$B$14,1), 1*(_xlfn._xlws.FILTER(OFFSET($O$15,0,$DN70,$B$8,1),OFFSET($M$15,0,0,$B$8,1))=FK$13), 1*(_xlfn._xlws.FILTER(OFFSET($O$15,0,$DO70,$B$8,1),OFFSET($M$15,0,0,$B$8,1))=FK$14))   /   SUM(OFFSET($BO$15,0,0,$B$14,1)) + $B$18/($B$19*$B$19*($DN70&lt;&gt;$DO70) + $B$19*($DN70=$DO70))</f>
        <v>3.7037037037037035E-4</v>
      </c>
      <c r="FL70" s="10" cm="1">
        <f t="array" aca="1" ref="FL70" ca="1">(1-$B$18)*SUMPRODUCT(OFFSET($BO$15,0,0,$B$14,1), 1*(_xlfn._xlws.FILTER(OFFSET($O$15,0,$DN70,$B$8,1),OFFSET($M$15,0,0,$B$8,1))=FL$13), 1*(_xlfn._xlws.FILTER(OFFSET($O$15,0,$DO70,$B$8,1),OFFSET($M$15,0,0,$B$8,1))=FL$14))   /   SUM(OFFSET($BO$15,0,0,$B$14,1)) + $B$18/($B$19*$B$19*($DN70&lt;&gt;$DO70) + $B$19*($DN70=$DO70))</f>
        <v>3.7037037037037035E-4</v>
      </c>
      <c r="FM70" s="10" cm="1">
        <f t="array" aca="1" ref="FM70" ca="1">(1-$B$18)*SUMPRODUCT(OFFSET($BO$15,0,0,$B$14,1), 1*(_xlfn._xlws.FILTER(OFFSET($O$15,0,$DN70,$B$8,1),OFFSET($M$15,0,0,$B$8,1))=FM$13), 1*(_xlfn._xlws.FILTER(OFFSET($O$15,0,$DO70,$B$8,1),OFFSET($M$15,0,0,$B$8,1))=FM$14))   /   SUM(OFFSET($BO$15,0,0,$B$14,1)) + $B$18/($B$19*$B$19*($DN70&lt;&gt;$DO70) + $B$19*($DN70=$DO70))</f>
        <v>3.7037037037037035E-4</v>
      </c>
      <c r="FN70" s="10" cm="1">
        <f t="array" aca="1" ref="FN70" ca="1">(1-$B$18)*SUMPRODUCT(OFFSET($BO$15,0,0,$B$14,1), 1*(_xlfn._xlws.FILTER(OFFSET($O$15,0,$DN70,$B$8,1),OFFSET($M$15,0,0,$B$8,1))=FN$13), 1*(_xlfn._xlws.FILTER(OFFSET($O$15,0,$DO70,$B$8,1),OFFSET($M$15,0,0,$B$8,1))=FN$14))   /   SUM(OFFSET($BO$15,0,0,$B$14,1)) + $B$18/($B$19*$B$19*($DN70&lt;&gt;$DO70) + $B$19*($DN70=$DO70))</f>
        <v>3.7037037037037035E-4</v>
      </c>
      <c r="FO70" s="10" cm="1">
        <f t="array" aca="1" ref="FO70" ca="1">(1-$B$18)*SUMPRODUCT(OFFSET($BO$15,0,0,$B$14,1), 1*(_xlfn._xlws.FILTER(OFFSET($O$15,0,$DN70,$B$8,1),OFFSET($M$15,0,0,$B$8,1))=FO$13), 1*(_xlfn._xlws.FILTER(OFFSET($O$15,0,$DO70,$B$8,1),OFFSET($M$15,0,0,$B$8,1))=FO$14))   /   SUM(OFFSET($BO$15,0,0,$B$14,1)) + $B$18/($B$19*$B$19*($DN70&lt;&gt;$DO70) + $B$19*($DN70=$DO70))</f>
        <v>3.7037037037037035E-4</v>
      </c>
      <c r="FP70" s="10" cm="1">
        <f t="array" aca="1" ref="FP70" ca="1">(1-$B$18)*SUMPRODUCT(OFFSET($BO$15,0,0,$B$14,1), 1*(_xlfn._xlws.FILTER(OFFSET($O$15,0,$DN70,$B$8,1),OFFSET($M$15,0,0,$B$8,1))=FP$13), 1*(_xlfn._xlws.FILTER(OFFSET($O$15,0,$DO70,$B$8,1),OFFSET($M$15,0,0,$B$8,1))=FP$14))   /   SUM(OFFSET($BO$15,0,0,$B$14,1)) + $B$18/($B$19*$B$19*($DN70&lt;&gt;$DO70) + $B$19*($DN70=$DO70))</f>
        <v>0.24287037037037024</v>
      </c>
      <c r="FQ70" s="10" cm="1">
        <f t="array" aca="1" ref="FQ70" ca="1">(1-$B$18)*SUMPRODUCT(OFFSET($BO$15,0,0,$B$14,1), 1*(_xlfn._xlws.FILTER(OFFSET($O$15,0,$DN70,$B$8,1),OFFSET($M$15,0,0,$B$8,1))=FQ$13), 1*(_xlfn._xlws.FILTER(OFFSET($O$15,0,$DO70,$B$8,1),OFFSET($M$15,0,0,$B$8,1))=FQ$14))   /   SUM(OFFSET($BO$15,0,0,$B$14,1)) + $B$18/($B$19*$B$19*($DN70&lt;&gt;$DO70) + $B$19*($DN70=$DO70))</f>
        <v>0.24287037037037026</v>
      </c>
      <c r="FR70" s="10" cm="1">
        <f t="array" aca="1" ref="FR70" ca="1">(1-$B$18)*SUMPRODUCT(OFFSET($BO$15,0,0,$B$14,1), 1*(_xlfn._xlws.FILTER(OFFSET($O$15,0,$DN70,$B$8,1),OFFSET($M$15,0,0,$B$8,1))=FR$13), 1*(_xlfn._xlws.FILTER(OFFSET($O$15,0,$DO70,$B$8,1),OFFSET($M$15,0,0,$B$8,1))=FR$14))   /   SUM(OFFSET($BO$15,0,0,$B$14,1)) + $B$18/($B$19*$B$19*($DN70&lt;&gt;$DO70) + $B$19*($DN70=$DO70))</f>
        <v>0.48537037037037012</v>
      </c>
      <c r="FS70" s="10" cm="1">
        <f t="array" aca="1" ref="FS70" ca="1">(1-$B$18)*SUMPRODUCT(OFFSET($BO$15,0,0,$B$14,1), 1*(_xlfn._xlws.FILTER(OFFSET($O$15,0,$DN70,$B$8,1),OFFSET($M$15,0,0,$B$8,1))=FS$13), 1*(_xlfn._xlws.FILTER(OFFSET($O$15,0,$DO70,$B$8,1),OFFSET($M$15,0,0,$B$8,1))=FS$14))   /   SUM(OFFSET($BO$15,0,0,$B$14,1)) + $B$18/($B$19*$B$19*($DN70&lt;&gt;$DO70) + $B$19*($DN70=$DO70))</f>
        <v>3.7037037037037035E-4</v>
      </c>
      <c r="FT70" s="10" cm="1">
        <f t="array" aca="1" ref="FT70" ca="1">(1-$B$18)*SUMPRODUCT(OFFSET($BO$15,0,0,$B$14,1), 1*(_xlfn._xlws.FILTER(OFFSET($O$15,0,$DN70,$B$8,1),OFFSET($M$15,0,0,$B$8,1))=FT$13), 1*(_xlfn._xlws.FILTER(OFFSET($O$15,0,$DO70,$B$8,1),OFFSET($M$15,0,0,$B$8,1))=FT$14))   /   SUM(OFFSET($BO$15,0,0,$B$14,1)) + $B$18/($B$19*$B$19*($DN70&lt;&gt;$DO70) + $B$19*($DN70=$DO70))</f>
        <v>3.7037037037037035E-4</v>
      </c>
      <c r="FU70" s="10" cm="1">
        <f t="array" aca="1" ref="FU70" ca="1">(1-$B$18)*SUMPRODUCT(OFFSET($BO$15,0,0,$B$14,1), 1*(_xlfn._xlws.FILTER(OFFSET($O$15,0,$DN70,$B$8,1),OFFSET($M$15,0,0,$B$8,1))=FU$13), 1*(_xlfn._xlws.FILTER(OFFSET($O$15,0,$DO70,$B$8,1),OFFSET($M$15,0,0,$B$8,1))=FU$14))   /   SUM(OFFSET($BO$15,0,0,$B$14,1)) + $B$18/($B$19*$B$19*($DN70&lt;&gt;$DO70) + $B$19*($DN70=$DO70))</f>
        <v>3.7037037037037035E-4</v>
      </c>
      <c r="FV70" s="10" cm="1">
        <f t="array" aca="1" ref="FV70" ca="1">(1-$B$18)*SUMPRODUCT(OFFSET($BO$15,0,0,$B$14,1), 1*(_xlfn._xlws.FILTER(OFFSET($O$15,0,$DN70,$B$8,1),OFFSET($M$15,0,0,$B$8,1))=FV$13), 1*(_xlfn._xlws.FILTER(OFFSET($O$15,0,$DO70,$B$8,1),OFFSET($M$15,0,0,$B$8,1))=FV$14))   /   SUM(OFFSET($BO$15,0,0,$B$14,1)) + $B$18/($B$19*$B$19*($DN70&lt;&gt;$DO70) + $B$19*($DN70=$DO70))</f>
        <v>3.7037037037037035E-4</v>
      </c>
      <c r="FW70" s="10" cm="1">
        <f t="array" aca="1" ref="FW70" ca="1">(1-$B$18)*SUMPRODUCT(OFFSET($BO$15,0,0,$B$14,1), 1*(_xlfn._xlws.FILTER(OFFSET($O$15,0,$DN70,$B$8,1),OFFSET($M$15,0,0,$B$8,1))=FW$13), 1*(_xlfn._xlws.FILTER(OFFSET($O$15,0,$DO70,$B$8,1),OFFSET($M$15,0,0,$B$8,1))=FW$14))   /   SUM(OFFSET($BO$15,0,0,$B$14,1)) + $B$18/($B$19*$B$19*($DN70&lt;&gt;$DO70) + $B$19*($DN70=$DO70))</f>
        <v>3.7037037037037035E-4</v>
      </c>
      <c r="FX70" s="10" cm="1">
        <f t="array" aca="1" ref="FX70" ca="1">(1-$B$18)*SUMPRODUCT(OFFSET($BO$15,0,0,$B$14,1), 1*(_xlfn._xlws.FILTER(OFFSET($O$15,0,$DN70,$B$8,1),OFFSET($M$15,0,0,$B$8,1))=FX$13), 1*(_xlfn._xlws.FILTER(OFFSET($O$15,0,$DO70,$B$8,1),OFFSET($M$15,0,0,$B$8,1))=FX$14))   /   SUM(OFFSET($BO$15,0,0,$B$14,1)) + $B$18/($B$19*$B$19*($DN70&lt;&gt;$DO70) + $B$19*($DN70=$DO70))</f>
        <v>3.7037037037037035E-4</v>
      </c>
      <c r="FY70" s="10" cm="1">
        <f t="array" aca="1" ref="FY70" ca="1">(1-$B$18)*SUMPRODUCT(OFFSET($BO$15,0,0,$B$14,1), 1*(_xlfn._xlws.FILTER(OFFSET($O$15,0,$DN70,$B$8,1),OFFSET($M$15,0,0,$B$8,1))=FY$13), 1*(_xlfn._xlws.FILTER(OFFSET($O$15,0,$DO70,$B$8,1),OFFSET($M$15,0,0,$B$8,1))=FY$14))   /   SUM(OFFSET($BO$15,0,0,$B$14,1)) + $B$18/($B$19*$B$19*($DN70&lt;&gt;$DO70) + $B$19*($DN70=$DO70))</f>
        <v>3.7037037037037035E-4</v>
      </c>
      <c r="FZ70" s="10" cm="1">
        <f t="array" aca="1" ref="FZ70" ca="1">(1-$B$18)*SUMPRODUCT(OFFSET($BO$15,0,0,$B$14,1), 1*(_xlfn._xlws.FILTER(OFFSET($O$15,0,$DN70,$B$8,1),OFFSET($M$15,0,0,$B$8,1))=FZ$13), 1*(_xlfn._xlws.FILTER(OFFSET($O$15,0,$DO70,$B$8,1),OFFSET($M$15,0,0,$B$8,1))=FZ$14))   /   SUM(OFFSET($BO$15,0,0,$B$14,1)) + $B$18/($B$19*$B$19*($DN70&lt;&gt;$DO70) + $B$19*($DN70=$DO70))</f>
        <v>3.7037037037037035E-4</v>
      </c>
      <c r="GA70" s="10" cm="1">
        <f t="array" aca="1" ref="GA70" ca="1">(1-$B$18)*SUMPRODUCT(OFFSET($BO$15,0,0,$B$14,1), 1*(_xlfn._xlws.FILTER(OFFSET($O$15,0,$DN70,$B$8,1),OFFSET($M$15,0,0,$B$8,1))=GA$13), 1*(_xlfn._xlws.FILTER(OFFSET($O$15,0,$DO70,$B$8,1),OFFSET($M$15,0,0,$B$8,1))=GA$14))   /   SUM(OFFSET($BO$15,0,0,$B$14,1)) + $B$18/($B$19*$B$19*($DN70&lt;&gt;$DO70) + $B$19*($DN70=$DO70))</f>
        <v>3.7037037037037035E-4</v>
      </c>
    </row>
    <row r="71" spans="7:183" x14ac:dyDescent="0.2">
      <c r="G71" s="2"/>
      <c r="H71" s="2"/>
      <c r="DN71" cm="1">
        <f t="array" aca="1" ref="DN71" ca="1">INDEX(_xlfn.ANCHORARRAY($CP$15), 1 + INT((ROWS($DO$15:$DO71) - 1) / ROWS(_xlfn.ANCHORARRAY($CP$15))))</f>
        <v>2</v>
      </c>
      <c r="DO71" cm="1">
        <f t="array" aca="1" ref="DO71" ca="1">INDEX(_xlfn.ANCHORARRAY($CP$15),1+MOD(ROWS($DO$15:$DO71)-1,ROWS(_xlfn.ANCHORARRAY($CP$15))))</f>
        <v>21</v>
      </c>
      <c r="DP71" s="10" cm="1">
        <f t="array" aca="1" ref="DP71" ca="1">(1-$B$18)*SUMPRODUCT(OFFSET($BO$15,0,0,$B$14,1), 1*(_xlfn._xlws.FILTER(OFFSET($O$15,0,$DN71,$B$8,1),OFFSET($M$15,0,0,$B$8,1))=DP$13), 1*(_xlfn._xlws.FILTER(OFFSET($O$15,0,$DO71,$B$8,1),OFFSET($M$15,0,0,$B$8,1))=DP$14))   /   SUM(OFFSET($BO$15,0,0,$B$14,1)) + $B$18/($B$19*$B$19*($DN71&lt;&gt;$DO71) + $B$19*($DN71=$DO71))</f>
        <v>3.7037037037037035E-4</v>
      </c>
      <c r="DQ71" s="10" cm="1">
        <f t="array" aca="1" ref="DQ71" ca="1">(1-$B$18)*SUMPRODUCT(OFFSET($BO$15,0,0,$B$14,1), 1*(_xlfn._xlws.FILTER(OFFSET($O$15,0,$DN71,$B$8,1),OFFSET($M$15,0,0,$B$8,1))=DQ$13), 1*(_xlfn._xlws.FILTER(OFFSET($O$15,0,$DO71,$B$8,1),OFFSET($M$15,0,0,$B$8,1))=DQ$14))   /   SUM(OFFSET($BO$15,0,0,$B$14,1)) + $B$18/($B$19*$B$19*($DN71&lt;&gt;$DO71) + $B$19*($DN71=$DO71))</f>
        <v>3.7037037037037035E-4</v>
      </c>
      <c r="DR71" s="10" cm="1">
        <f t="array" aca="1" ref="DR71" ca="1">(1-$B$18)*SUMPRODUCT(OFFSET($BO$15,0,0,$B$14,1), 1*(_xlfn._xlws.FILTER(OFFSET($O$15,0,$DN71,$B$8,1),OFFSET($M$15,0,0,$B$8,1))=DR$13), 1*(_xlfn._xlws.FILTER(OFFSET($O$15,0,$DO71,$B$8,1),OFFSET($M$15,0,0,$B$8,1))=DR$14))   /   SUM(OFFSET($BO$15,0,0,$B$14,1)) + $B$18/($B$19*$B$19*($DN71&lt;&gt;$DO71) + $B$19*($DN71=$DO71))</f>
        <v>3.7037037037037035E-4</v>
      </c>
      <c r="DS71" s="10" cm="1">
        <f t="array" aca="1" ref="DS71" ca="1">(1-$B$18)*SUMPRODUCT(OFFSET($BO$15,0,0,$B$14,1), 1*(_xlfn._xlws.FILTER(OFFSET($O$15,0,$DN71,$B$8,1),OFFSET($M$15,0,0,$B$8,1))=DS$13), 1*(_xlfn._xlws.FILTER(OFFSET($O$15,0,$DO71,$B$8,1),OFFSET($M$15,0,0,$B$8,1))=DS$14))   /   SUM(OFFSET($BO$15,0,0,$B$14,1)) + $B$18/($B$19*$B$19*($DN71&lt;&gt;$DO71) + $B$19*($DN71=$DO71))</f>
        <v>3.7037037037037035E-4</v>
      </c>
      <c r="DT71" s="10" cm="1">
        <f t="array" aca="1" ref="DT71" ca="1">(1-$B$18)*SUMPRODUCT(OFFSET($BO$15,0,0,$B$14,1), 1*(_xlfn._xlws.FILTER(OFFSET($O$15,0,$DN71,$B$8,1),OFFSET($M$15,0,0,$B$8,1))=DT$13), 1*(_xlfn._xlws.FILTER(OFFSET($O$15,0,$DO71,$B$8,1),OFFSET($M$15,0,0,$B$8,1))=DT$14))   /   SUM(OFFSET($BO$15,0,0,$B$14,1)) + $B$18/($B$19*$B$19*($DN71&lt;&gt;$DO71) + $B$19*($DN71=$DO71))</f>
        <v>3.7037037037037035E-4</v>
      </c>
      <c r="DU71" s="10" cm="1">
        <f t="array" aca="1" ref="DU71" ca="1">(1-$B$18)*SUMPRODUCT(OFFSET($BO$15,0,0,$B$14,1), 1*(_xlfn._xlws.FILTER(OFFSET($O$15,0,$DN71,$B$8,1),OFFSET($M$15,0,0,$B$8,1))=DU$13), 1*(_xlfn._xlws.FILTER(OFFSET($O$15,0,$DO71,$B$8,1),OFFSET($M$15,0,0,$B$8,1))=DU$14))   /   SUM(OFFSET($BO$15,0,0,$B$14,1)) + $B$18/($B$19*$B$19*($DN71&lt;&gt;$DO71) + $B$19*($DN71=$DO71))</f>
        <v>3.7037037037037035E-4</v>
      </c>
      <c r="DV71" s="10" cm="1">
        <f t="array" aca="1" ref="DV71" ca="1">(1-$B$18)*SUMPRODUCT(OFFSET($BO$15,0,0,$B$14,1), 1*(_xlfn._xlws.FILTER(OFFSET($O$15,0,$DN71,$B$8,1),OFFSET($M$15,0,0,$B$8,1))=DV$13), 1*(_xlfn._xlws.FILTER(OFFSET($O$15,0,$DO71,$B$8,1),OFFSET($M$15,0,0,$B$8,1))=DV$14))   /   SUM(OFFSET($BO$15,0,0,$B$14,1)) + $B$18/($B$19*$B$19*($DN71&lt;&gt;$DO71) + $B$19*($DN71=$DO71))</f>
        <v>3.7037037037037035E-4</v>
      </c>
      <c r="DW71" s="10" cm="1">
        <f t="array" aca="1" ref="DW71" ca="1">(1-$B$18)*SUMPRODUCT(OFFSET($BO$15,0,0,$B$14,1), 1*(_xlfn._xlws.FILTER(OFFSET($O$15,0,$DN71,$B$8,1),OFFSET($M$15,0,0,$B$8,1))=DW$13), 1*(_xlfn._xlws.FILTER(OFFSET($O$15,0,$DO71,$B$8,1),OFFSET($M$15,0,0,$B$8,1))=DW$14))   /   SUM(OFFSET($BO$15,0,0,$B$14,1)) + $B$18/($B$19*$B$19*($DN71&lt;&gt;$DO71) + $B$19*($DN71=$DO71))</f>
        <v>3.7037037037037035E-4</v>
      </c>
      <c r="DX71" s="10" cm="1">
        <f t="array" aca="1" ref="DX71" ca="1">(1-$B$18)*SUMPRODUCT(OFFSET($BO$15,0,0,$B$14,1), 1*(_xlfn._xlws.FILTER(OFFSET($O$15,0,$DN71,$B$8,1),OFFSET($M$15,0,0,$B$8,1))=DX$13), 1*(_xlfn._xlws.FILTER(OFFSET($O$15,0,$DO71,$B$8,1),OFFSET($M$15,0,0,$B$8,1))=DX$14))   /   SUM(OFFSET($BO$15,0,0,$B$14,1)) + $B$18/($B$19*$B$19*($DN71&lt;&gt;$DO71) + $B$19*($DN71=$DO71))</f>
        <v>3.7037037037037035E-4</v>
      </c>
      <c r="DY71" s="10" cm="1">
        <f t="array" aca="1" ref="DY71" ca="1">(1-$B$18)*SUMPRODUCT(OFFSET($BO$15,0,0,$B$14,1), 1*(_xlfn._xlws.FILTER(OFFSET($O$15,0,$DN71,$B$8,1),OFFSET($M$15,0,0,$B$8,1))=DY$13), 1*(_xlfn._xlws.FILTER(OFFSET($O$15,0,$DO71,$B$8,1),OFFSET($M$15,0,0,$B$8,1))=DY$14))   /   SUM(OFFSET($BO$15,0,0,$B$14,1)) + $B$18/($B$19*$B$19*($DN71&lt;&gt;$DO71) + $B$19*($DN71=$DO71))</f>
        <v>3.7037037037037035E-4</v>
      </c>
      <c r="DZ71" s="10" cm="1">
        <f t="array" aca="1" ref="DZ71" ca="1">(1-$B$18)*SUMPRODUCT(OFFSET($BO$15,0,0,$B$14,1), 1*(_xlfn._xlws.FILTER(OFFSET($O$15,0,$DN71,$B$8,1),OFFSET($M$15,0,0,$B$8,1))=DZ$13), 1*(_xlfn._xlws.FILTER(OFFSET($O$15,0,$DO71,$B$8,1),OFFSET($M$15,0,0,$B$8,1))=DZ$14))   /   SUM(OFFSET($BO$15,0,0,$B$14,1)) + $B$18/($B$19*$B$19*($DN71&lt;&gt;$DO71) + $B$19*($DN71=$DO71))</f>
        <v>3.7037037037037035E-4</v>
      </c>
      <c r="EA71" s="10" cm="1">
        <f t="array" aca="1" ref="EA71" ca="1">(1-$B$18)*SUMPRODUCT(OFFSET($BO$15,0,0,$B$14,1), 1*(_xlfn._xlws.FILTER(OFFSET($O$15,0,$DN71,$B$8,1),OFFSET($M$15,0,0,$B$8,1))=EA$13), 1*(_xlfn._xlws.FILTER(OFFSET($O$15,0,$DO71,$B$8,1),OFFSET($M$15,0,0,$B$8,1))=EA$14))   /   SUM(OFFSET($BO$15,0,0,$B$14,1)) + $B$18/($B$19*$B$19*($DN71&lt;&gt;$DO71) + $B$19*($DN71=$DO71))</f>
        <v>3.7037037037037035E-4</v>
      </c>
      <c r="EB71" s="10" cm="1">
        <f t="array" aca="1" ref="EB71" ca="1">(1-$B$18)*SUMPRODUCT(OFFSET($BO$15,0,0,$B$14,1), 1*(_xlfn._xlws.FILTER(OFFSET($O$15,0,$DN71,$B$8,1),OFFSET($M$15,0,0,$B$8,1))=EB$13), 1*(_xlfn._xlws.FILTER(OFFSET($O$15,0,$DO71,$B$8,1),OFFSET($M$15,0,0,$B$8,1))=EB$14))   /   SUM(OFFSET($BO$15,0,0,$B$14,1)) + $B$18/($B$19*$B$19*($DN71&lt;&gt;$DO71) + $B$19*($DN71=$DO71))</f>
        <v>3.7037037037037035E-4</v>
      </c>
      <c r="EC71" s="10" cm="1">
        <f t="array" aca="1" ref="EC71" ca="1">(1-$B$18)*SUMPRODUCT(OFFSET($BO$15,0,0,$B$14,1), 1*(_xlfn._xlws.FILTER(OFFSET($O$15,0,$DN71,$B$8,1),OFFSET($M$15,0,0,$B$8,1))=EC$13), 1*(_xlfn._xlws.FILTER(OFFSET($O$15,0,$DO71,$B$8,1),OFFSET($M$15,0,0,$B$8,1))=EC$14))   /   SUM(OFFSET($BO$15,0,0,$B$14,1)) + $B$18/($B$19*$B$19*($DN71&lt;&gt;$DO71) + $B$19*($DN71=$DO71))</f>
        <v>3.7037037037037035E-4</v>
      </c>
      <c r="ED71" s="10" cm="1">
        <f t="array" aca="1" ref="ED71" ca="1">(1-$B$18)*SUMPRODUCT(OFFSET($BO$15,0,0,$B$14,1), 1*(_xlfn._xlws.FILTER(OFFSET($O$15,0,$DN71,$B$8,1),OFFSET($M$15,0,0,$B$8,1))=ED$13), 1*(_xlfn._xlws.FILTER(OFFSET($O$15,0,$DO71,$B$8,1),OFFSET($M$15,0,0,$B$8,1))=ED$14))   /   SUM(OFFSET($BO$15,0,0,$B$14,1)) + $B$18/($B$19*$B$19*($DN71&lt;&gt;$DO71) + $B$19*($DN71=$DO71))</f>
        <v>3.7037037037037035E-4</v>
      </c>
      <c r="EE71" s="10" cm="1">
        <f t="array" aca="1" ref="EE71" ca="1">(1-$B$18)*SUMPRODUCT(OFFSET($BO$15,0,0,$B$14,1), 1*(_xlfn._xlws.FILTER(OFFSET($O$15,0,$DN71,$B$8,1),OFFSET($M$15,0,0,$B$8,1))=EE$13), 1*(_xlfn._xlws.FILTER(OFFSET($O$15,0,$DO71,$B$8,1),OFFSET($M$15,0,0,$B$8,1))=EE$14))   /   SUM(OFFSET($BO$15,0,0,$B$14,1)) + $B$18/($B$19*$B$19*($DN71&lt;&gt;$DO71) + $B$19*($DN71=$DO71))</f>
        <v>3.7037037037037035E-4</v>
      </c>
      <c r="EF71" s="10" cm="1">
        <f t="array" aca="1" ref="EF71" ca="1">(1-$B$18)*SUMPRODUCT(OFFSET($BO$15,0,0,$B$14,1), 1*(_xlfn._xlws.FILTER(OFFSET($O$15,0,$DN71,$B$8,1),OFFSET($M$15,0,0,$B$8,1))=EF$13), 1*(_xlfn._xlws.FILTER(OFFSET($O$15,0,$DO71,$B$8,1),OFFSET($M$15,0,0,$B$8,1))=EF$14))   /   SUM(OFFSET($BO$15,0,0,$B$14,1)) + $B$18/($B$19*$B$19*($DN71&lt;&gt;$DO71) + $B$19*($DN71=$DO71))</f>
        <v>3.7037037037037035E-4</v>
      </c>
      <c r="EG71" s="10" cm="1">
        <f t="array" aca="1" ref="EG71" ca="1">(1-$B$18)*SUMPRODUCT(OFFSET($BO$15,0,0,$B$14,1), 1*(_xlfn._xlws.FILTER(OFFSET($O$15,0,$DN71,$B$8,1),OFFSET($M$15,0,0,$B$8,1))=EG$13), 1*(_xlfn._xlws.FILTER(OFFSET($O$15,0,$DO71,$B$8,1),OFFSET($M$15,0,0,$B$8,1))=EG$14))   /   SUM(OFFSET($BO$15,0,0,$B$14,1)) + $B$18/($B$19*$B$19*($DN71&lt;&gt;$DO71) + $B$19*($DN71=$DO71))</f>
        <v>3.7037037037037035E-4</v>
      </c>
      <c r="EH71" s="10" cm="1">
        <f t="array" aca="1" ref="EH71" ca="1">(1-$B$18)*SUMPRODUCT(OFFSET($BO$15,0,0,$B$14,1), 1*(_xlfn._xlws.FILTER(OFFSET($O$15,0,$DN71,$B$8,1),OFFSET($M$15,0,0,$B$8,1))=EH$13), 1*(_xlfn._xlws.FILTER(OFFSET($O$15,0,$DO71,$B$8,1),OFFSET($M$15,0,0,$B$8,1))=EH$14))   /   SUM(OFFSET($BO$15,0,0,$B$14,1)) + $B$18/($B$19*$B$19*($DN71&lt;&gt;$DO71) + $B$19*($DN71=$DO71))</f>
        <v>3.7037037037037035E-4</v>
      </c>
      <c r="EI71" s="10" cm="1">
        <f t="array" aca="1" ref="EI71" ca="1">(1-$B$18)*SUMPRODUCT(OFFSET($BO$15,0,0,$B$14,1), 1*(_xlfn._xlws.FILTER(OFFSET($O$15,0,$DN71,$B$8,1),OFFSET($M$15,0,0,$B$8,1))=EI$13), 1*(_xlfn._xlws.FILTER(OFFSET($O$15,0,$DO71,$B$8,1),OFFSET($M$15,0,0,$B$8,1))=EI$14))   /   SUM(OFFSET($BO$15,0,0,$B$14,1)) + $B$18/($B$19*$B$19*($DN71&lt;&gt;$DO71) + $B$19*($DN71=$DO71))</f>
        <v>3.7037037037037035E-4</v>
      </c>
      <c r="EJ71" s="10" cm="1">
        <f t="array" aca="1" ref="EJ71" ca="1">(1-$B$18)*SUMPRODUCT(OFFSET($BO$15,0,0,$B$14,1), 1*(_xlfn._xlws.FILTER(OFFSET($O$15,0,$DN71,$B$8,1),OFFSET($M$15,0,0,$B$8,1))=EJ$13), 1*(_xlfn._xlws.FILTER(OFFSET($O$15,0,$DO71,$B$8,1),OFFSET($M$15,0,0,$B$8,1))=EJ$14))   /   SUM(OFFSET($BO$15,0,0,$B$14,1)) + $B$18/($B$19*$B$19*($DN71&lt;&gt;$DO71) + $B$19*($DN71=$DO71))</f>
        <v>3.7037037037037035E-4</v>
      </c>
      <c r="EK71" s="10" cm="1">
        <f t="array" aca="1" ref="EK71" ca="1">(1-$B$18)*SUMPRODUCT(OFFSET($BO$15,0,0,$B$14,1), 1*(_xlfn._xlws.FILTER(OFFSET($O$15,0,$DN71,$B$8,1),OFFSET($M$15,0,0,$B$8,1))=EK$13), 1*(_xlfn._xlws.FILTER(OFFSET($O$15,0,$DO71,$B$8,1),OFFSET($M$15,0,0,$B$8,1))=EK$14))   /   SUM(OFFSET($BO$15,0,0,$B$14,1)) + $B$18/($B$19*$B$19*($DN71&lt;&gt;$DO71) + $B$19*($DN71=$DO71))</f>
        <v>3.7037037037037035E-4</v>
      </c>
      <c r="EL71" s="10" cm="1">
        <f t="array" aca="1" ref="EL71" ca="1">(1-$B$18)*SUMPRODUCT(OFFSET($BO$15,0,0,$B$14,1), 1*(_xlfn._xlws.FILTER(OFFSET($O$15,0,$DN71,$B$8,1),OFFSET($M$15,0,0,$B$8,1))=EL$13), 1*(_xlfn._xlws.FILTER(OFFSET($O$15,0,$DO71,$B$8,1),OFFSET($M$15,0,0,$B$8,1))=EL$14))   /   SUM(OFFSET($BO$15,0,0,$B$14,1)) + $B$18/($B$19*$B$19*($DN71&lt;&gt;$DO71) + $B$19*($DN71=$DO71))</f>
        <v>3.7037037037037035E-4</v>
      </c>
      <c r="EM71" s="10" cm="1">
        <f t="array" aca="1" ref="EM71" ca="1">(1-$B$18)*SUMPRODUCT(OFFSET($BO$15,0,0,$B$14,1), 1*(_xlfn._xlws.FILTER(OFFSET($O$15,0,$DN71,$B$8,1),OFFSET($M$15,0,0,$B$8,1))=EM$13), 1*(_xlfn._xlws.FILTER(OFFSET($O$15,0,$DO71,$B$8,1),OFFSET($M$15,0,0,$B$8,1))=EM$14))   /   SUM(OFFSET($BO$15,0,0,$B$14,1)) + $B$18/($B$19*$B$19*($DN71&lt;&gt;$DO71) + $B$19*($DN71=$DO71))</f>
        <v>3.7037037037037035E-4</v>
      </c>
      <c r="EN71" s="10" cm="1">
        <f t="array" aca="1" ref="EN71" ca="1">(1-$B$18)*SUMPRODUCT(OFFSET($BO$15,0,0,$B$14,1), 1*(_xlfn._xlws.FILTER(OFFSET($O$15,0,$DN71,$B$8,1),OFFSET($M$15,0,0,$B$8,1))=EN$13), 1*(_xlfn._xlws.FILTER(OFFSET($O$15,0,$DO71,$B$8,1),OFFSET($M$15,0,0,$B$8,1))=EN$14))   /   SUM(OFFSET($BO$15,0,0,$B$14,1)) + $B$18/($B$19*$B$19*($DN71&lt;&gt;$DO71) + $B$19*($DN71=$DO71))</f>
        <v>3.7037037037037035E-4</v>
      </c>
      <c r="EO71" s="10" cm="1">
        <f t="array" aca="1" ref="EO71" ca="1">(1-$B$18)*SUMPRODUCT(OFFSET($BO$15,0,0,$B$14,1), 1*(_xlfn._xlws.FILTER(OFFSET($O$15,0,$DN71,$B$8,1),OFFSET($M$15,0,0,$B$8,1))=EO$13), 1*(_xlfn._xlws.FILTER(OFFSET($O$15,0,$DO71,$B$8,1),OFFSET($M$15,0,0,$B$8,1))=EO$14))   /   SUM(OFFSET($BO$15,0,0,$B$14,1)) + $B$18/($B$19*$B$19*($DN71&lt;&gt;$DO71) + $B$19*($DN71=$DO71))</f>
        <v>3.7037037037037035E-4</v>
      </c>
      <c r="EP71" s="10" cm="1">
        <f t="array" aca="1" ref="EP71" ca="1">(1-$B$18)*SUMPRODUCT(OFFSET($BO$15,0,0,$B$14,1), 1*(_xlfn._xlws.FILTER(OFFSET($O$15,0,$DN71,$B$8,1),OFFSET($M$15,0,0,$B$8,1))=EP$13), 1*(_xlfn._xlws.FILTER(OFFSET($O$15,0,$DO71,$B$8,1),OFFSET($M$15,0,0,$B$8,1))=EP$14))   /   SUM(OFFSET($BO$15,0,0,$B$14,1)) + $B$18/($B$19*$B$19*($DN71&lt;&gt;$DO71) + $B$19*($DN71=$DO71))</f>
        <v>3.7037037037037035E-4</v>
      </c>
      <c r="EQ71" s="10" cm="1">
        <f t="array" aca="1" ref="EQ71" ca="1">(1-$B$18)*SUMPRODUCT(OFFSET($BO$15,0,0,$B$14,1), 1*(_xlfn._xlws.FILTER(OFFSET($O$15,0,$DN71,$B$8,1),OFFSET($M$15,0,0,$B$8,1))=EQ$13), 1*(_xlfn._xlws.FILTER(OFFSET($O$15,0,$DO71,$B$8,1),OFFSET($M$15,0,0,$B$8,1))=EQ$14))   /   SUM(OFFSET($BO$15,0,0,$B$14,1)) + $B$18/($B$19*$B$19*($DN71&lt;&gt;$DO71) + $B$19*($DN71=$DO71))</f>
        <v>3.7037037037037035E-4</v>
      </c>
      <c r="ER71" s="10" cm="1">
        <f t="array" aca="1" ref="ER71" ca="1">(1-$B$18)*SUMPRODUCT(OFFSET($BO$15,0,0,$B$14,1), 1*(_xlfn._xlws.FILTER(OFFSET($O$15,0,$DN71,$B$8,1),OFFSET($M$15,0,0,$B$8,1))=ER$13), 1*(_xlfn._xlws.FILTER(OFFSET($O$15,0,$DO71,$B$8,1),OFFSET($M$15,0,0,$B$8,1))=ER$14))   /   SUM(OFFSET($BO$15,0,0,$B$14,1)) + $B$18/($B$19*$B$19*($DN71&lt;&gt;$DO71) + $B$19*($DN71=$DO71))</f>
        <v>3.7037037037037035E-4</v>
      </c>
      <c r="ES71" s="10" cm="1">
        <f t="array" aca="1" ref="ES71" ca="1">(1-$B$18)*SUMPRODUCT(OFFSET($BO$15,0,0,$B$14,1), 1*(_xlfn._xlws.FILTER(OFFSET($O$15,0,$DN71,$B$8,1),OFFSET($M$15,0,0,$B$8,1))=ES$13), 1*(_xlfn._xlws.FILTER(OFFSET($O$15,0,$DO71,$B$8,1),OFFSET($M$15,0,0,$B$8,1))=ES$14))   /   SUM(OFFSET($BO$15,0,0,$B$14,1)) + $B$18/($B$19*$B$19*($DN71&lt;&gt;$DO71) + $B$19*($DN71=$DO71))</f>
        <v>3.7037037037037035E-4</v>
      </c>
      <c r="ET71" s="10" cm="1">
        <f t="array" aca="1" ref="ET71" ca="1">(1-$B$18)*SUMPRODUCT(OFFSET($BO$15,0,0,$B$14,1), 1*(_xlfn._xlws.FILTER(OFFSET($O$15,0,$DN71,$B$8,1),OFFSET($M$15,0,0,$B$8,1))=ET$13), 1*(_xlfn._xlws.FILTER(OFFSET($O$15,0,$DO71,$B$8,1),OFFSET($M$15,0,0,$B$8,1))=ET$14))   /   SUM(OFFSET($BO$15,0,0,$B$14,1)) + $B$18/($B$19*$B$19*($DN71&lt;&gt;$DO71) + $B$19*($DN71=$DO71))</f>
        <v>3.7037037037037035E-4</v>
      </c>
      <c r="EU71" s="10" cm="1">
        <f t="array" aca="1" ref="EU71" ca="1">(1-$B$18)*SUMPRODUCT(OFFSET($BO$15,0,0,$B$14,1), 1*(_xlfn._xlws.FILTER(OFFSET($O$15,0,$DN71,$B$8,1),OFFSET($M$15,0,0,$B$8,1))=EU$13), 1*(_xlfn._xlws.FILTER(OFFSET($O$15,0,$DO71,$B$8,1),OFFSET($M$15,0,0,$B$8,1))=EU$14))   /   SUM(OFFSET($BO$15,0,0,$B$14,1)) + $B$18/($B$19*$B$19*($DN71&lt;&gt;$DO71) + $B$19*($DN71=$DO71))</f>
        <v>3.7037037037037035E-4</v>
      </c>
      <c r="EV71" s="10" cm="1">
        <f t="array" aca="1" ref="EV71" ca="1">(1-$B$18)*SUMPRODUCT(OFFSET($BO$15,0,0,$B$14,1), 1*(_xlfn._xlws.FILTER(OFFSET($O$15,0,$DN71,$B$8,1),OFFSET($M$15,0,0,$B$8,1))=EV$13), 1*(_xlfn._xlws.FILTER(OFFSET($O$15,0,$DO71,$B$8,1),OFFSET($M$15,0,0,$B$8,1))=EV$14))   /   SUM(OFFSET($BO$15,0,0,$B$14,1)) + $B$18/($B$19*$B$19*($DN71&lt;&gt;$DO71) + $B$19*($DN71=$DO71))</f>
        <v>3.7037037037037035E-4</v>
      </c>
      <c r="EW71" s="10" cm="1">
        <f t="array" aca="1" ref="EW71" ca="1">(1-$B$18)*SUMPRODUCT(OFFSET($BO$15,0,0,$B$14,1), 1*(_xlfn._xlws.FILTER(OFFSET($O$15,0,$DN71,$B$8,1),OFFSET($M$15,0,0,$B$8,1))=EW$13), 1*(_xlfn._xlws.FILTER(OFFSET($O$15,0,$DO71,$B$8,1),OFFSET($M$15,0,0,$B$8,1))=EW$14))   /   SUM(OFFSET($BO$15,0,0,$B$14,1)) + $B$18/($B$19*$B$19*($DN71&lt;&gt;$DO71) + $B$19*($DN71=$DO71))</f>
        <v>3.7037037037037035E-4</v>
      </c>
      <c r="EX71" s="10" cm="1">
        <f t="array" aca="1" ref="EX71" ca="1">(1-$B$18)*SUMPRODUCT(OFFSET($BO$15,0,0,$B$14,1), 1*(_xlfn._xlws.FILTER(OFFSET($O$15,0,$DN71,$B$8,1),OFFSET($M$15,0,0,$B$8,1))=EX$13), 1*(_xlfn._xlws.FILTER(OFFSET($O$15,0,$DO71,$B$8,1),OFFSET($M$15,0,0,$B$8,1))=EX$14))   /   SUM(OFFSET($BO$15,0,0,$B$14,1)) + $B$18/($B$19*$B$19*($DN71&lt;&gt;$DO71) + $B$19*($DN71=$DO71))</f>
        <v>3.7037037037037035E-4</v>
      </c>
      <c r="EY71" s="10" cm="1">
        <f t="array" aca="1" ref="EY71" ca="1">(1-$B$18)*SUMPRODUCT(OFFSET($BO$15,0,0,$B$14,1), 1*(_xlfn._xlws.FILTER(OFFSET($O$15,0,$DN71,$B$8,1),OFFSET($M$15,0,0,$B$8,1))=EY$13), 1*(_xlfn._xlws.FILTER(OFFSET($O$15,0,$DO71,$B$8,1),OFFSET($M$15,0,0,$B$8,1))=EY$14))   /   SUM(OFFSET($BO$15,0,0,$B$14,1)) + $B$18/($B$19*$B$19*($DN71&lt;&gt;$DO71) + $B$19*($DN71=$DO71))</f>
        <v>3.7037037037037035E-4</v>
      </c>
      <c r="EZ71" s="10" cm="1">
        <f t="array" aca="1" ref="EZ71" ca="1">(1-$B$18)*SUMPRODUCT(OFFSET($BO$15,0,0,$B$14,1), 1*(_xlfn._xlws.FILTER(OFFSET($O$15,0,$DN71,$B$8,1),OFFSET($M$15,0,0,$B$8,1))=EZ$13), 1*(_xlfn._xlws.FILTER(OFFSET($O$15,0,$DO71,$B$8,1),OFFSET($M$15,0,0,$B$8,1))=EZ$14))   /   SUM(OFFSET($BO$15,0,0,$B$14,1)) + $B$18/($B$19*$B$19*($DN71&lt;&gt;$DO71) + $B$19*($DN71=$DO71))</f>
        <v>3.7037037037037035E-4</v>
      </c>
      <c r="FA71" s="10" cm="1">
        <f t="array" aca="1" ref="FA71" ca="1">(1-$B$18)*SUMPRODUCT(OFFSET($BO$15,0,0,$B$14,1), 1*(_xlfn._xlws.FILTER(OFFSET($O$15,0,$DN71,$B$8,1),OFFSET($M$15,0,0,$B$8,1))=FA$13), 1*(_xlfn._xlws.FILTER(OFFSET($O$15,0,$DO71,$B$8,1),OFFSET($M$15,0,0,$B$8,1))=FA$14))   /   SUM(OFFSET($BO$15,0,0,$B$14,1)) + $B$18/($B$19*$B$19*($DN71&lt;&gt;$DO71) + $B$19*($DN71=$DO71))</f>
        <v>3.7037037037037035E-4</v>
      </c>
      <c r="FB71" s="10" cm="1">
        <f t="array" aca="1" ref="FB71" ca="1">(1-$B$18)*SUMPRODUCT(OFFSET($BO$15,0,0,$B$14,1), 1*(_xlfn._xlws.FILTER(OFFSET($O$15,0,$DN71,$B$8,1),OFFSET($M$15,0,0,$B$8,1))=FB$13), 1*(_xlfn._xlws.FILTER(OFFSET($O$15,0,$DO71,$B$8,1),OFFSET($M$15,0,0,$B$8,1))=FB$14))   /   SUM(OFFSET($BO$15,0,0,$B$14,1)) + $B$18/($B$19*$B$19*($DN71&lt;&gt;$DO71) + $B$19*($DN71=$DO71))</f>
        <v>3.7037037037037035E-4</v>
      </c>
      <c r="FC71" s="10" cm="1">
        <f t="array" aca="1" ref="FC71" ca="1">(1-$B$18)*SUMPRODUCT(OFFSET($BO$15,0,0,$B$14,1), 1*(_xlfn._xlws.FILTER(OFFSET($O$15,0,$DN71,$B$8,1),OFFSET($M$15,0,0,$B$8,1))=FC$13), 1*(_xlfn._xlws.FILTER(OFFSET($O$15,0,$DO71,$B$8,1),OFFSET($M$15,0,0,$B$8,1))=FC$14))   /   SUM(OFFSET($BO$15,0,0,$B$14,1)) + $B$18/($B$19*$B$19*($DN71&lt;&gt;$DO71) + $B$19*($DN71=$DO71))</f>
        <v>3.7037037037037035E-4</v>
      </c>
      <c r="FD71" s="10" cm="1">
        <f t="array" aca="1" ref="FD71" ca="1">(1-$B$18)*SUMPRODUCT(OFFSET($BO$15,0,0,$B$14,1), 1*(_xlfn._xlws.FILTER(OFFSET($O$15,0,$DN71,$B$8,1),OFFSET($M$15,0,0,$B$8,1))=FD$13), 1*(_xlfn._xlws.FILTER(OFFSET($O$15,0,$DO71,$B$8,1),OFFSET($M$15,0,0,$B$8,1))=FD$14))   /   SUM(OFFSET($BO$15,0,0,$B$14,1)) + $B$18/($B$19*$B$19*($DN71&lt;&gt;$DO71) + $B$19*($DN71=$DO71))</f>
        <v>3.7037037037037035E-4</v>
      </c>
      <c r="FE71" s="10" cm="1">
        <f t="array" aca="1" ref="FE71" ca="1">(1-$B$18)*SUMPRODUCT(OFFSET($BO$15,0,0,$B$14,1), 1*(_xlfn._xlws.FILTER(OFFSET($O$15,0,$DN71,$B$8,1),OFFSET($M$15,0,0,$B$8,1))=FE$13), 1*(_xlfn._xlws.FILTER(OFFSET($O$15,0,$DO71,$B$8,1),OFFSET($M$15,0,0,$B$8,1))=FE$14))   /   SUM(OFFSET($BO$15,0,0,$B$14,1)) + $B$18/($B$19*$B$19*($DN71&lt;&gt;$DO71) + $B$19*($DN71=$DO71))</f>
        <v>3.7037037037037035E-4</v>
      </c>
      <c r="FF71" s="10" cm="1">
        <f t="array" aca="1" ref="FF71" ca="1">(1-$B$18)*SUMPRODUCT(OFFSET($BO$15,0,0,$B$14,1), 1*(_xlfn._xlws.FILTER(OFFSET($O$15,0,$DN71,$B$8,1),OFFSET($M$15,0,0,$B$8,1))=FF$13), 1*(_xlfn._xlws.FILTER(OFFSET($O$15,0,$DO71,$B$8,1),OFFSET($M$15,0,0,$B$8,1))=FF$14))   /   SUM(OFFSET($BO$15,0,0,$B$14,1)) + $B$18/($B$19*$B$19*($DN71&lt;&gt;$DO71) + $B$19*($DN71=$DO71))</f>
        <v>3.7037037037037035E-4</v>
      </c>
      <c r="FG71" s="10" cm="1">
        <f t="array" aca="1" ref="FG71" ca="1">(1-$B$18)*SUMPRODUCT(OFFSET($BO$15,0,0,$B$14,1), 1*(_xlfn._xlws.FILTER(OFFSET($O$15,0,$DN71,$B$8,1),OFFSET($M$15,0,0,$B$8,1))=FG$13), 1*(_xlfn._xlws.FILTER(OFFSET($O$15,0,$DO71,$B$8,1),OFFSET($M$15,0,0,$B$8,1))=FG$14))   /   SUM(OFFSET($BO$15,0,0,$B$14,1)) + $B$18/($B$19*$B$19*($DN71&lt;&gt;$DO71) + $B$19*($DN71=$DO71))</f>
        <v>3.7037037037037035E-4</v>
      </c>
      <c r="FH71" s="10" cm="1">
        <f t="array" aca="1" ref="FH71" ca="1">(1-$B$18)*SUMPRODUCT(OFFSET($BO$15,0,0,$B$14,1), 1*(_xlfn._xlws.FILTER(OFFSET($O$15,0,$DN71,$B$8,1),OFFSET($M$15,0,0,$B$8,1))=FH$13), 1*(_xlfn._xlws.FILTER(OFFSET($O$15,0,$DO71,$B$8,1),OFFSET($M$15,0,0,$B$8,1))=FH$14))   /   SUM(OFFSET($BO$15,0,0,$B$14,1)) + $B$18/($B$19*$B$19*($DN71&lt;&gt;$DO71) + $B$19*($DN71=$DO71))</f>
        <v>3.7037037037037035E-4</v>
      </c>
      <c r="FI71" s="10" cm="1">
        <f t="array" aca="1" ref="FI71" ca="1">(1-$B$18)*SUMPRODUCT(OFFSET($BO$15,0,0,$B$14,1), 1*(_xlfn._xlws.FILTER(OFFSET($O$15,0,$DN71,$B$8,1),OFFSET($M$15,0,0,$B$8,1))=FI$13), 1*(_xlfn._xlws.FILTER(OFFSET($O$15,0,$DO71,$B$8,1),OFFSET($M$15,0,0,$B$8,1))=FI$14))   /   SUM(OFFSET($BO$15,0,0,$B$14,1)) + $B$18/($B$19*$B$19*($DN71&lt;&gt;$DO71) + $B$19*($DN71=$DO71))</f>
        <v>3.7037037037037035E-4</v>
      </c>
      <c r="FJ71" s="10" cm="1">
        <f t="array" aca="1" ref="FJ71" ca="1">(1-$B$18)*SUMPRODUCT(OFFSET($BO$15,0,0,$B$14,1), 1*(_xlfn._xlws.FILTER(OFFSET($O$15,0,$DN71,$B$8,1),OFFSET($M$15,0,0,$B$8,1))=FJ$13), 1*(_xlfn._xlws.FILTER(OFFSET($O$15,0,$DO71,$B$8,1),OFFSET($M$15,0,0,$B$8,1))=FJ$14))   /   SUM(OFFSET($BO$15,0,0,$B$14,1)) + $B$18/($B$19*$B$19*($DN71&lt;&gt;$DO71) + $B$19*($DN71=$DO71))</f>
        <v>3.7037037037037035E-4</v>
      </c>
      <c r="FK71" s="10" cm="1">
        <f t="array" aca="1" ref="FK71" ca="1">(1-$B$18)*SUMPRODUCT(OFFSET($BO$15,0,0,$B$14,1), 1*(_xlfn._xlws.FILTER(OFFSET($O$15,0,$DN71,$B$8,1),OFFSET($M$15,0,0,$B$8,1))=FK$13), 1*(_xlfn._xlws.FILTER(OFFSET($O$15,0,$DO71,$B$8,1),OFFSET($M$15,0,0,$B$8,1))=FK$14))   /   SUM(OFFSET($BO$15,0,0,$B$14,1)) + $B$18/($B$19*$B$19*($DN71&lt;&gt;$DO71) + $B$19*($DN71=$DO71))</f>
        <v>3.7037037037037035E-4</v>
      </c>
      <c r="FL71" s="10" cm="1">
        <f t="array" aca="1" ref="FL71" ca="1">(1-$B$18)*SUMPRODUCT(OFFSET($BO$15,0,0,$B$14,1), 1*(_xlfn._xlws.FILTER(OFFSET($O$15,0,$DN71,$B$8,1),OFFSET($M$15,0,0,$B$8,1))=FL$13), 1*(_xlfn._xlws.FILTER(OFFSET($O$15,0,$DO71,$B$8,1),OFFSET($M$15,0,0,$B$8,1))=FL$14))   /   SUM(OFFSET($BO$15,0,0,$B$14,1)) + $B$18/($B$19*$B$19*($DN71&lt;&gt;$DO71) + $B$19*($DN71=$DO71))</f>
        <v>3.7037037037037035E-4</v>
      </c>
      <c r="FM71" s="10" cm="1">
        <f t="array" aca="1" ref="FM71" ca="1">(1-$B$18)*SUMPRODUCT(OFFSET($BO$15,0,0,$B$14,1), 1*(_xlfn._xlws.FILTER(OFFSET($O$15,0,$DN71,$B$8,1),OFFSET($M$15,0,0,$B$8,1))=FM$13), 1*(_xlfn._xlws.FILTER(OFFSET($O$15,0,$DO71,$B$8,1),OFFSET($M$15,0,0,$B$8,1))=FM$14))   /   SUM(OFFSET($BO$15,0,0,$B$14,1)) + $B$18/($B$19*$B$19*($DN71&lt;&gt;$DO71) + $B$19*($DN71=$DO71))</f>
        <v>3.7037037037037035E-4</v>
      </c>
      <c r="FN71" s="10" cm="1">
        <f t="array" aca="1" ref="FN71" ca="1">(1-$B$18)*SUMPRODUCT(OFFSET($BO$15,0,0,$B$14,1), 1*(_xlfn._xlws.FILTER(OFFSET($O$15,0,$DN71,$B$8,1),OFFSET($M$15,0,0,$B$8,1))=FN$13), 1*(_xlfn._xlws.FILTER(OFFSET($O$15,0,$DO71,$B$8,1),OFFSET($M$15,0,0,$B$8,1))=FN$14))   /   SUM(OFFSET($BO$15,0,0,$B$14,1)) + $B$18/($B$19*$B$19*($DN71&lt;&gt;$DO71) + $B$19*($DN71=$DO71))</f>
        <v>3.7037037037037035E-4</v>
      </c>
      <c r="FO71" s="10" cm="1">
        <f t="array" aca="1" ref="FO71" ca="1">(1-$B$18)*SUMPRODUCT(OFFSET($BO$15,0,0,$B$14,1), 1*(_xlfn._xlws.FILTER(OFFSET($O$15,0,$DN71,$B$8,1),OFFSET($M$15,0,0,$B$8,1))=FO$13), 1*(_xlfn._xlws.FILTER(OFFSET($O$15,0,$DO71,$B$8,1),OFFSET($M$15,0,0,$B$8,1))=FO$14))   /   SUM(OFFSET($BO$15,0,0,$B$14,1)) + $B$18/($B$19*$B$19*($DN71&lt;&gt;$DO71) + $B$19*($DN71=$DO71))</f>
        <v>3.7037037037037035E-4</v>
      </c>
      <c r="FP71" s="10" cm="1">
        <f t="array" aca="1" ref="FP71" ca="1">(1-$B$18)*SUMPRODUCT(OFFSET($BO$15,0,0,$B$14,1), 1*(_xlfn._xlws.FILTER(OFFSET($O$15,0,$DN71,$B$8,1),OFFSET($M$15,0,0,$B$8,1))=FP$13), 1*(_xlfn._xlws.FILTER(OFFSET($O$15,0,$DO71,$B$8,1),OFFSET($M$15,0,0,$B$8,1))=FP$14))   /   SUM(OFFSET($BO$15,0,0,$B$14,1)) + $B$18/($B$19*$B$19*($DN71&lt;&gt;$DO71) + $B$19*($DN71=$DO71))</f>
        <v>0.24287037037037024</v>
      </c>
      <c r="FQ71" s="10" cm="1">
        <f t="array" aca="1" ref="FQ71" ca="1">(1-$B$18)*SUMPRODUCT(OFFSET($BO$15,0,0,$B$14,1), 1*(_xlfn._xlws.FILTER(OFFSET($O$15,0,$DN71,$B$8,1),OFFSET($M$15,0,0,$B$8,1))=FQ$13), 1*(_xlfn._xlws.FILTER(OFFSET($O$15,0,$DO71,$B$8,1),OFFSET($M$15,0,0,$B$8,1))=FQ$14))   /   SUM(OFFSET($BO$15,0,0,$B$14,1)) + $B$18/($B$19*$B$19*($DN71&lt;&gt;$DO71) + $B$19*($DN71=$DO71))</f>
        <v>0.48537037037037012</v>
      </c>
      <c r="FR71" s="10" cm="1">
        <f t="array" aca="1" ref="FR71" ca="1">(1-$B$18)*SUMPRODUCT(OFFSET($BO$15,0,0,$B$14,1), 1*(_xlfn._xlws.FILTER(OFFSET($O$15,0,$DN71,$B$8,1),OFFSET($M$15,0,0,$B$8,1))=FR$13), 1*(_xlfn._xlws.FILTER(OFFSET($O$15,0,$DO71,$B$8,1),OFFSET($M$15,0,0,$B$8,1))=FR$14))   /   SUM(OFFSET($BO$15,0,0,$B$14,1)) + $B$18/($B$19*$B$19*($DN71&lt;&gt;$DO71) + $B$19*($DN71=$DO71))</f>
        <v>0.24287037037037026</v>
      </c>
      <c r="FS71" s="10" cm="1">
        <f t="array" aca="1" ref="FS71" ca="1">(1-$B$18)*SUMPRODUCT(OFFSET($BO$15,0,0,$B$14,1), 1*(_xlfn._xlws.FILTER(OFFSET($O$15,0,$DN71,$B$8,1),OFFSET($M$15,0,0,$B$8,1))=FS$13), 1*(_xlfn._xlws.FILTER(OFFSET($O$15,0,$DO71,$B$8,1),OFFSET($M$15,0,0,$B$8,1))=FS$14))   /   SUM(OFFSET($BO$15,0,0,$B$14,1)) + $B$18/($B$19*$B$19*($DN71&lt;&gt;$DO71) + $B$19*($DN71=$DO71))</f>
        <v>3.7037037037037035E-4</v>
      </c>
      <c r="FT71" s="10" cm="1">
        <f t="array" aca="1" ref="FT71" ca="1">(1-$B$18)*SUMPRODUCT(OFFSET($BO$15,0,0,$B$14,1), 1*(_xlfn._xlws.FILTER(OFFSET($O$15,0,$DN71,$B$8,1),OFFSET($M$15,0,0,$B$8,1))=FT$13), 1*(_xlfn._xlws.FILTER(OFFSET($O$15,0,$DO71,$B$8,1),OFFSET($M$15,0,0,$B$8,1))=FT$14))   /   SUM(OFFSET($BO$15,0,0,$B$14,1)) + $B$18/($B$19*$B$19*($DN71&lt;&gt;$DO71) + $B$19*($DN71=$DO71))</f>
        <v>3.7037037037037035E-4</v>
      </c>
      <c r="FU71" s="10" cm="1">
        <f t="array" aca="1" ref="FU71" ca="1">(1-$B$18)*SUMPRODUCT(OFFSET($BO$15,0,0,$B$14,1), 1*(_xlfn._xlws.FILTER(OFFSET($O$15,0,$DN71,$B$8,1),OFFSET($M$15,0,0,$B$8,1))=FU$13), 1*(_xlfn._xlws.FILTER(OFFSET($O$15,0,$DO71,$B$8,1),OFFSET($M$15,0,0,$B$8,1))=FU$14))   /   SUM(OFFSET($BO$15,0,0,$B$14,1)) + $B$18/($B$19*$B$19*($DN71&lt;&gt;$DO71) + $B$19*($DN71=$DO71))</f>
        <v>3.7037037037037035E-4</v>
      </c>
      <c r="FV71" s="10" cm="1">
        <f t="array" aca="1" ref="FV71" ca="1">(1-$B$18)*SUMPRODUCT(OFFSET($BO$15,0,0,$B$14,1), 1*(_xlfn._xlws.FILTER(OFFSET($O$15,0,$DN71,$B$8,1),OFFSET($M$15,0,0,$B$8,1))=FV$13), 1*(_xlfn._xlws.FILTER(OFFSET($O$15,0,$DO71,$B$8,1),OFFSET($M$15,0,0,$B$8,1))=FV$14))   /   SUM(OFFSET($BO$15,0,0,$B$14,1)) + $B$18/($B$19*$B$19*($DN71&lt;&gt;$DO71) + $B$19*($DN71=$DO71))</f>
        <v>3.7037037037037035E-4</v>
      </c>
      <c r="FW71" s="10" cm="1">
        <f t="array" aca="1" ref="FW71" ca="1">(1-$B$18)*SUMPRODUCT(OFFSET($BO$15,0,0,$B$14,1), 1*(_xlfn._xlws.FILTER(OFFSET($O$15,0,$DN71,$B$8,1),OFFSET($M$15,0,0,$B$8,1))=FW$13), 1*(_xlfn._xlws.FILTER(OFFSET($O$15,0,$DO71,$B$8,1),OFFSET($M$15,0,0,$B$8,1))=FW$14))   /   SUM(OFFSET($BO$15,0,0,$B$14,1)) + $B$18/($B$19*$B$19*($DN71&lt;&gt;$DO71) + $B$19*($DN71=$DO71))</f>
        <v>3.7037037037037035E-4</v>
      </c>
      <c r="FX71" s="10" cm="1">
        <f t="array" aca="1" ref="FX71" ca="1">(1-$B$18)*SUMPRODUCT(OFFSET($BO$15,0,0,$B$14,1), 1*(_xlfn._xlws.FILTER(OFFSET($O$15,0,$DN71,$B$8,1),OFFSET($M$15,0,0,$B$8,1))=FX$13), 1*(_xlfn._xlws.FILTER(OFFSET($O$15,0,$DO71,$B$8,1),OFFSET($M$15,0,0,$B$8,1))=FX$14))   /   SUM(OFFSET($BO$15,0,0,$B$14,1)) + $B$18/($B$19*$B$19*($DN71&lt;&gt;$DO71) + $B$19*($DN71=$DO71))</f>
        <v>3.7037037037037035E-4</v>
      </c>
      <c r="FY71" s="10" cm="1">
        <f t="array" aca="1" ref="FY71" ca="1">(1-$B$18)*SUMPRODUCT(OFFSET($BO$15,0,0,$B$14,1), 1*(_xlfn._xlws.FILTER(OFFSET($O$15,0,$DN71,$B$8,1),OFFSET($M$15,0,0,$B$8,1))=FY$13), 1*(_xlfn._xlws.FILTER(OFFSET($O$15,0,$DO71,$B$8,1),OFFSET($M$15,0,0,$B$8,1))=FY$14))   /   SUM(OFFSET($BO$15,0,0,$B$14,1)) + $B$18/($B$19*$B$19*($DN71&lt;&gt;$DO71) + $B$19*($DN71=$DO71))</f>
        <v>3.7037037037037035E-4</v>
      </c>
      <c r="FZ71" s="10" cm="1">
        <f t="array" aca="1" ref="FZ71" ca="1">(1-$B$18)*SUMPRODUCT(OFFSET($BO$15,0,0,$B$14,1), 1*(_xlfn._xlws.FILTER(OFFSET($O$15,0,$DN71,$B$8,1),OFFSET($M$15,0,0,$B$8,1))=FZ$13), 1*(_xlfn._xlws.FILTER(OFFSET($O$15,0,$DO71,$B$8,1),OFFSET($M$15,0,0,$B$8,1))=FZ$14))   /   SUM(OFFSET($BO$15,0,0,$B$14,1)) + $B$18/($B$19*$B$19*($DN71&lt;&gt;$DO71) + $B$19*($DN71=$DO71))</f>
        <v>3.7037037037037035E-4</v>
      </c>
      <c r="GA71" s="10" cm="1">
        <f t="array" aca="1" ref="GA71" ca="1">(1-$B$18)*SUMPRODUCT(OFFSET($BO$15,0,0,$B$14,1), 1*(_xlfn._xlws.FILTER(OFFSET($O$15,0,$DN71,$B$8,1),OFFSET($M$15,0,0,$B$8,1))=GA$13), 1*(_xlfn._xlws.FILTER(OFFSET($O$15,0,$DO71,$B$8,1),OFFSET($M$15,0,0,$B$8,1))=GA$14))   /   SUM(OFFSET($BO$15,0,0,$B$14,1)) + $B$18/($B$19*$B$19*($DN71&lt;&gt;$DO71) + $B$19*($DN71=$DO71))</f>
        <v>3.7037037037037035E-4</v>
      </c>
    </row>
    <row r="72" spans="7:183" x14ac:dyDescent="0.2">
      <c r="G72" s="2"/>
      <c r="H72" s="2"/>
      <c r="DN72" cm="1">
        <f t="array" aca="1" ref="DN72" ca="1">INDEX(_xlfn.ANCHORARRAY($CP$15), 1 + INT((ROWS($DO$15:$DO72) - 1) / ROWS(_xlfn.ANCHORARRAY($CP$15))))</f>
        <v>3</v>
      </c>
      <c r="DO72" cm="1">
        <f t="array" aca="1" ref="DO72" ca="1">INDEX(_xlfn.ANCHORARRAY($CP$15),1+MOD(ROWS($DO$15:$DO72)-1,ROWS(_xlfn.ANCHORARRAY($CP$15))))</f>
        <v>0</v>
      </c>
      <c r="DP72" s="10" cm="1">
        <f t="array" aca="1" ref="DP72" ca="1">(1-$B$18)*SUMPRODUCT(OFFSET($BO$15,0,0,$B$14,1), 1*(_xlfn._xlws.FILTER(OFFSET($O$15,0,$DN72,$B$8,1),OFFSET($M$15,0,0,$B$8,1))=DP$13), 1*(_xlfn._xlws.FILTER(OFFSET($O$15,0,$DO72,$B$8,1),OFFSET($M$15,0,0,$B$8,1))=DP$14))   /   SUM(OFFSET($BO$15,0,0,$B$14,1)) + $B$18/($B$19*$B$19*($DN72&lt;&gt;$DO72) + $B$19*($DN72=$DO72))</f>
        <v>3.7037037037037035E-4</v>
      </c>
      <c r="DQ72" s="10" cm="1">
        <f t="array" aca="1" ref="DQ72" ca="1">(1-$B$18)*SUMPRODUCT(OFFSET($BO$15,0,0,$B$14,1), 1*(_xlfn._xlws.FILTER(OFFSET($O$15,0,$DN72,$B$8,1),OFFSET($M$15,0,0,$B$8,1))=DQ$13), 1*(_xlfn._xlws.FILTER(OFFSET($O$15,0,$DO72,$B$8,1),OFFSET($M$15,0,0,$B$8,1))=DQ$14))   /   SUM(OFFSET($BO$15,0,0,$B$14,1)) + $B$18/($B$19*$B$19*($DN72&lt;&gt;$DO72) + $B$19*($DN72=$DO72))</f>
        <v>3.7037037037037035E-4</v>
      </c>
      <c r="DR72" s="10" cm="1">
        <f t="array" aca="1" ref="DR72" ca="1">(1-$B$18)*SUMPRODUCT(OFFSET($BO$15,0,0,$B$14,1), 1*(_xlfn._xlws.FILTER(OFFSET($O$15,0,$DN72,$B$8,1),OFFSET($M$15,0,0,$B$8,1))=DR$13), 1*(_xlfn._xlws.FILTER(OFFSET($O$15,0,$DO72,$B$8,1),OFFSET($M$15,0,0,$B$8,1))=DR$14))   /   SUM(OFFSET($BO$15,0,0,$B$14,1)) + $B$18/($B$19*$B$19*($DN72&lt;&gt;$DO72) + $B$19*($DN72=$DO72))</f>
        <v>3.7037037037037035E-4</v>
      </c>
      <c r="DS72" s="10" cm="1">
        <f t="array" aca="1" ref="DS72" ca="1">(1-$B$18)*SUMPRODUCT(OFFSET($BO$15,0,0,$B$14,1), 1*(_xlfn._xlws.FILTER(OFFSET($O$15,0,$DN72,$B$8,1),OFFSET($M$15,0,0,$B$8,1))=DS$13), 1*(_xlfn._xlws.FILTER(OFFSET($O$15,0,$DO72,$B$8,1),OFFSET($M$15,0,0,$B$8,1))=DS$14))   /   SUM(OFFSET($BO$15,0,0,$B$14,1)) + $B$18/($B$19*$B$19*($DN72&lt;&gt;$DO72) + $B$19*($DN72=$DO72))</f>
        <v>3.7037037037037035E-4</v>
      </c>
      <c r="DT72" s="10" cm="1">
        <f t="array" aca="1" ref="DT72" ca="1">(1-$B$18)*SUMPRODUCT(OFFSET($BO$15,0,0,$B$14,1), 1*(_xlfn._xlws.FILTER(OFFSET($O$15,0,$DN72,$B$8,1),OFFSET($M$15,0,0,$B$8,1))=DT$13), 1*(_xlfn._xlws.FILTER(OFFSET($O$15,0,$DO72,$B$8,1),OFFSET($M$15,0,0,$B$8,1))=DT$14))   /   SUM(OFFSET($BO$15,0,0,$B$14,1)) + $B$18/($B$19*$B$19*($DN72&lt;&gt;$DO72) + $B$19*($DN72=$DO72))</f>
        <v>3.7037037037037035E-4</v>
      </c>
      <c r="DU72" s="10" cm="1">
        <f t="array" aca="1" ref="DU72" ca="1">(1-$B$18)*SUMPRODUCT(OFFSET($BO$15,0,0,$B$14,1), 1*(_xlfn._xlws.FILTER(OFFSET($O$15,0,$DN72,$B$8,1),OFFSET($M$15,0,0,$B$8,1))=DU$13), 1*(_xlfn._xlws.FILTER(OFFSET($O$15,0,$DO72,$B$8,1),OFFSET($M$15,0,0,$B$8,1))=DU$14))   /   SUM(OFFSET($BO$15,0,0,$B$14,1)) + $B$18/($B$19*$B$19*($DN72&lt;&gt;$DO72) + $B$19*($DN72=$DO72))</f>
        <v>3.7037037037037035E-4</v>
      </c>
      <c r="DV72" s="10" cm="1">
        <f t="array" aca="1" ref="DV72" ca="1">(1-$B$18)*SUMPRODUCT(OFFSET($BO$15,0,0,$B$14,1), 1*(_xlfn._xlws.FILTER(OFFSET($O$15,0,$DN72,$B$8,1),OFFSET($M$15,0,0,$B$8,1))=DV$13), 1*(_xlfn._xlws.FILTER(OFFSET($O$15,0,$DO72,$B$8,1),OFFSET($M$15,0,0,$B$8,1))=DV$14))   /   SUM(OFFSET($BO$15,0,0,$B$14,1)) + $B$18/($B$19*$B$19*($DN72&lt;&gt;$DO72) + $B$19*($DN72=$DO72))</f>
        <v>3.7037037037037035E-4</v>
      </c>
      <c r="DW72" s="10" cm="1">
        <f t="array" aca="1" ref="DW72" ca="1">(1-$B$18)*SUMPRODUCT(OFFSET($BO$15,0,0,$B$14,1), 1*(_xlfn._xlws.FILTER(OFFSET($O$15,0,$DN72,$B$8,1),OFFSET($M$15,0,0,$B$8,1))=DW$13), 1*(_xlfn._xlws.FILTER(OFFSET($O$15,0,$DO72,$B$8,1),OFFSET($M$15,0,0,$B$8,1))=DW$14))   /   SUM(OFFSET($BO$15,0,0,$B$14,1)) + $B$18/($B$19*$B$19*($DN72&lt;&gt;$DO72) + $B$19*($DN72=$DO72))</f>
        <v>3.7037037037037035E-4</v>
      </c>
      <c r="DX72" s="10" cm="1">
        <f t="array" aca="1" ref="DX72" ca="1">(1-$B$18)*SUMPRODUCT(OFFSET($BO$15,0,0,$B$14,1), 1*(_xlfn._xlws.FILTER(OFFSET($O$15,0,$DN72,$B$8,1),OFFSET($M$15,0,0,$B$8,1))=DX$13), 1*(_xlfn._xlws.FILTER(OFFSET($O$15,0,$DO72,$B$8,1),OFFSET($M$15,0,0,$B$8,1))=DX$14))   /   SUM(OFFSET($BO$15,0,0,$B$14,1)) + $B$18/($B$19*$B$19*($DN72&lt;&gt;$DO72) + $B$19*($DN72=$DO72))</f>
        <v>3.7037037037037035E-4</v>
      </c>
      <c r="DY72" s="10" cm="1">
        <f t="array" aca="1" ref="DY72" ca="1">(1-$B$18)*SUMPRODUCT(OFFSET($BO$15,0,0,$B$14,1), 1*(_xlfn._xlws.FILTER(OFFSET($O$15,0,$DN72,$B$8,1),OFFSET($M$15,0,0,$B$8,1))=DY$13), 1*(_xlfn._xlws.FILTER(OFFSET($O$15,0,$DO72,$B$8,1),OFFSET($M$15,0,0,$B$8,1))=DY$14))   /   SUM(OFFSET($BO$15,0,0,$B$14,1)) + $B$18/($B$19*$B$19*($DN72&lt;&gt;$DO72) + $B$19*($DN72=$DO72))</f>
        <v>3.7037037037037035E-4</v>
      </c>
      <c r="DZ72" s="10" cm="1">
        <f t="array" aca="1" ref="DZ72" ca="1">(1-$B$18)*SUMPRODUCT(OFFSET($BO$15,0,0,$B$14,1), 1*(_xlfn._xlws.FILTER(OFFSET($O$15,0,$DN72,$B$8,1),OFFSET($M$15,0,0,$B$8,1))=DZ$13), 1*(_xlfn._xlws.FILTER(OFFSET($O$15,0,$DO72,$B$8,1),OFFSET($M$15,0,0,$B$8,1))=DZ$14))   /   SUM(OFFSET($BO$15,0,0,$B$14,1)) + $B$18/($B$19*$B$19*($DN72&lt;&gt;$DO72) + $B$19*($DN72=$DO72))</f>
        <v>3.7037037037037035E-4</v>
      </c>
      <c r="EA72" s="10" cm="1">
        <f t="array" aca="1" ref="EA72" ca="1">(1-$B$18)*SUMPRODUCT(OFFSET($BO$15,0,0,$B$14,1), 1*(_xlfn._xlws.FILTER(OFFSET($O$15,0,$DN72,$B$8,1),OFFSET($M$15,0,0,$B$8,1))=EA$13), 1*(_xlfn._xlws.FILTER(OFFSET($O$15,0,$DO72,$B$8,1),OFFSET($M$15,0,0,$B$8,1))=EA$14))   /   SUM(OFFSET($BO$15,0,0,$B$14,1)) + $B$18/($B$19*$B$19*($DN72&lt;&gt;$DO72) + $B$19*($DN72=$DO72))</f>
        <v>3.7037037037037035E-4</v>
      </c>
      <c r="EB72" s="10" cm="1">
        <f t="array" aca="1" ref="EB72" ca="1">(1-$B$18)*SUMPRODUCT(OFFSET($BO$15,0,0,$B$14,1), 1*(_xlfn._xlws.FILTER(OFFSET($O$15,0,$DN72,$B$8,1),OFFSET($M$15,0,0,$B$8,1))=EB$13), 1*(_xlfn._xlws.FILTER(OFFSET($O$15,0,$DO72,$B$8,1),OFFSET($M$15,0,0,$B$8,1))=EB$14))   /   SUM(OFFSET($BO$15,0,0,$B$14,1)) + $B$18/($B$19*$B$19*($DN72&lt;&gt;$DO72) + $B$19*($DN72=$DO72))</f>
        <v>3.7037037037037035E-4</v>
      </c>
      <c r="EC72" s="10" cm="1">
        <f t="array" aca="1" ref="EC72" ca="1">(1-$B$18)*SUMPRODUCT(OFFSET($BO$15,0,0,$B$14,1), 1*(_xlfn._xlws.FILTER(OFFSET($O$15,0,$DN72,$B$8,1),OFFSET($M$15,0,0,$B$8,1))=EC$13), 1*(_xlfn._xlws.FILTER(OFFSET($O$15,0,$DO72,$B$8,1),OFFSET($M$15,0,0,$B$8,1))=EC$14))   /   SUM(OFFSET($BO$15,0,0,$B$14,1)) + $B$18/($B$19*$B$19*($DN72&lt;&gt;$DO72) + $B$19*($DN72=$DO72))</f>
        <v>3.7037037037037035E-4</v>
      </c>
      <c r="ED72" s="10" cm="1">
        <f t="array" aca="1" ref="ED72" ca="1">(1-$B$18)*SUMPRODUCT(OFFSET($BO$15,0,0,$B$14,1), 1*(_xlfn._xlws.FILTER(OFFSET($O$15,0,$DN72,$B$8,1),OFFSET($M$15,0,0,$B$8,1))=ED$13), 1*(_xlfn._xlws.FILTER(OFFSET($O$15,0,$DO72,$B$8,1),OFFSET($M$15,0,0,$B$8,1))=ED$14))   /   SUM(OFFSET($BO$15,0,0,$B$14,1)) + $B$18/($B$19*$B$19*($DN72&lt;&gt;$DO72) + $B$19*($DN72=$DO72))</f>
        <v>3.7037037037037035E-4</v>
      </c>
      <c r="EE72" s="10" cm="1">
        <f t="array" aca="1" ref="EE72" ca="1">(1-$B$18)*SUMPRODUCT(OFFSET($BO$15,0,0,$B$14,1), 1*(_xlfn._xlws.FILTER(OFFSET($O$15,0,$DN72,$B$8,1),OFFSET($M$15,0,0,$B$8,1))=EE$13), 1*(_xlfn._xlws.FILTER(OFFSET($O$15,0,$DO72,$B$8,1),OFFSET($M$15,0,0,$B$8,1))=EE$14))   /   SUM(OFFSET($BO$15,0,0,$B$14,1)) + $B$18/($B$19*$B$19*($DN72&lt;&gt;$DO72) + $B$19*($DN72=$DO72))</f>
        <v>3.7037037037037035E-4</v>
      </c>
      <c r="EF72" s="10" cm="1">
        <f t="array" aca="1" ref="EF72" ca="1">(1-$B$18)*SUMPRODUCT(OFFSET($BO$15,0,0,$B$14,1), 1*(_xlfn._xlws.FILTER(OFFSET($O$15,0,$DN72,$B$8,1),OFFSET($M$15,0,0,$B$8,1))=EF$13), 1*(_xlfn._xlws.FILTER(OFFSET($O$15,0,$DO72,$B$8,1),OFFSET($M$15,0,0,$B$8,1))=EF$14))   /   SUM(OFFSET($BO$15,0,0,$B$14,1)) + $B$18/($B$19*$B$19*($DN72&lt;&gt;$DO72) + $B$19*($DN72=$DO72))</f>
        <v>3.7037037037037035E-4</v>
      </c>
      <c r="EG72" s="10" cm="1">
        <f t="array" aca="1" ref="EG72" ca="1">(1-$B$18)*SUMPRODUCT(OFFSET($BO$15,0,0,$B$14,1), 1*(_xlfn._xlws.FILTER(OFFSET($O$15,0,$DN72,$B$8,1),OFFSET($M$15,0,0,$B$8,1))=EG$13), 1*(_xlfn._xlws.FILTER(OFFSET($O$15,0,$DO72,$B$8,1),OFFSET($M$15,0,0,$B$8,1))=EG$14))   /   SUM(OFFSET($BO$15,0,0,$B$14,1)) + $B$18/($B$19*$B$19*($DN72&lt;&gt;$DO72) + $B$19*($DN72=$DO72))</f>
        <v>3.7037037037037035E-4</v>
      </c>
      <c r="EH72" s="10" cm="1">
        <f t="array" aca="1" ref="EH72" ca="1">(1-$B$18)*SUMPRODUCT(OFFSET($BO$15,0,0,$B$14,1), 1*(_xlfn._xlws.FILTER(OFFSET($O$15,0,$DN72,$B$8,1),OFFSET($M$15,0,0,$B$8,1))=EH$13), 1*(_xlfn._xlws.FILTER(OFFSET($O$15,0,$DO72,$B$8,1),OFFSET($M$15,0,0,$B$8,1))=EH$14))   /   SUM(OFFSET($BO$15,0,0,$B$14,1)) + $B$18/($B$19*$B$19*($DN72&lt;&gt;$DO72) + $B$19*($DN72=$DO72))</f>
        <v>3.7037037037037035E-4</v>
      </c>
      <c r="EI72" s="10" cm="1">
        <f t="array" aca="1" ref="EI72" ca="1">(1-$B$18)*SUMPRODUCT(OFFSET($BO$15,0,0,$B$14,1), 1*(_xlfn._xlws.FILTER(OFFSET($O$15,0,$DN72,$B$8,1),OFFSET($M$15,0,0,$B$8,1))=EI$13), 1*(_xlfn._xlws.FILTER(OFFSET($O$15,0,$DO72,$B$8,1),OFFSET($M$15,0,0,$B$8,1))=EI$14))   /   SUM(OFFSET($BO$15,0,0,$B$14,1)) + $B$18/($B$19*$B$19*($DN72&lt;&gt;$DO72) + $B$19*($DN72=$DO72))</f>
        <v>3.7037037037037035E-4</v>
      </c>
      <c r="EJ72" s="10" cm="1">
        <f t="array" aca="1" ref="EJ72" ca="1">(1-$B$18)*SUMPRODUCT(OFFSET($BO$15,0,0,$B$14,1), 1*(_xlfn._xlws.FILTER(OFFSET($O$15,0,$DN72,$B$8,1),OFFSET($M$15,0,0,$B$8,1))=EJ$13), 1*(_xlfn._xlws.FILTER(OFFSET($O$15,0,$DO72,$B$8,1),OFFSET($M$15,0,0,$B$8,1))=EJ$14))   /   SUM(OFFSET($BO$15,0,0,$B$14,1)) + $B$18/($B$19*$B$19*($DN72&lt;&gt;$DO72) + $B$19*($DN72=$DO72))</f>
        <v>3.7037037037037035E-4</v>
      </c>
      <c r="EK72" s="10" cm="1">
        <f t="array" aca="1" ref="EK72" ca="1">(1-$B$18)*SUMPRODUCT(OFFSET($BO$15,0,0,$B$14,1), 1*(_xlfn._xlws.FILTER(OFFSET($O$15,0,$DN72,$B$8,1),OFFSET($M$15,0,0,$B$8,1))=EK$13), 1*(_xlfn._xlws.FILTER(OFFSET($O$15,0,$DO72,$B$8,1),OFFSET($M$15,0,0,$B$8,1))=EK$14))   /   SUM(OFFSET($BO$15,0,0,$B$14,1)) + $B$18/($B$19*$B$19*($DN72&lt;&gt;$DO72) + $B$19*($DN72=$DO72))</f>
        <v>3.7037037037037035E-4</v>
      </c>
      <c r="EL72" s="10" cm="1">
        <f t="array" aca="1" ref="EL72" ca="1">(1-$B$18)*SUMPRODUCT(OFFSET($BO$15,0,0,$B$14,1), 1*(_xlfn._xlws.FILTER(OFFSET($O$15,0,$DN72,$B$8,1),OFFSET($M$15,0,0,$B$8,1))=EL$13), 1*(_xlfn._xlws.FILTER(OFFSET($O$15,0,$DO72,$B$8,1),OFFSET($M$15,0,0,$B$8,1))=EL$14))   /   SUM(OFFSET($BO$15,0,0,$B$14,1)) + $B$18/($B$19*$B$19*($DN72&lt;&gt;$DO72) + $B$19*($DN72=$DO72))</f>
        <v>3.7037037037037035E-4</v>
      </c>
      <c r="EM72" s="10" cm="1">
        <f t="array" aca="1" ref="EM72" ca="1">(1-$B$18)*SUMPRODUCT(OFFSET($BO$15,0,0,$B$14,1), 1*(_xlfn._xlws.FILTER(OFFSET($O$15,0,$DN72,$B$8,1),OFFSET($M$15,0,0,$B$8,1))=EM$13), 1*(_xlfn._xlws.FILTER(OFFSET($O$15,0,$DO72,$B$8,1),OFFSET($M$15,0,0,$B$8,1))=EM$14))   /   SUM(OFFSET($BO$15,0,0,$B$14,1)) + $B$18/($B$19*$B$19*($DN72&lt;&gt;$DO72) + $B$19*($DN72=$DO72))</f>
        <v>3.7037037037037035E-4</v>
      </c>
      <c r="EN72" s="10" cm="1">
        <f t="array" aca="1" ref="EN72" ca="1">(1-$B$18)*SUMPRODUCT(OFFSET($BO$15,0,0,$B$14,1), 1*(_xlfn._xlws.FILTER(OFFSET($O$15,0,$DN72,$B$8,1),OFFSET($M$15,0,0,$B$8,1))=EN$13), 1*(_xlfn._xlws.FILTER(OFFSET($O$15,0,$DO72,$B$8,1),OFFSET($M$15,0,0,$B$8,1))=EN$14))   /   SUM(OFFSET($BO$15,0,0,$B$14,1)) + $B$18/($B$19*$B$19*($DN72&lt;&gt;$DO72) + $B$19*($DN72=$DO72))</f>
        <v>3.7037037037037035E-4</v>
      </c>
      <c r="EO72" s="10" cm="1">
        <f t="array" aca="1" ref="EO72" ca="1">(1-$B$18)*SUMPRODUCT(OFFSET($BO$15,0,0,$B$14,1), 1*(_xlfn._xlws.FILTER(OFFSET($O$15,0,$DN72,$B$8,1),OFFSET($M$15,0,0,$B$8,1))=EO$13), 1*(_xlfn._xlws.FILTER(OFFSET($O$15,0,$DO72,$B$8,1),OFFSET($M$15,0,0,$B$8,1))=EO$14))   /   SUM(OFFSET($BO$15,0,0,$B$14,1)) + $B$18/($B$19*$B$19*($DN72&lt;&gt;$DO72) + $B$19*($DN72=$DO72))</f>
        <v>3.7037037037037035E-4</v>
      </c>
      <c r="EP72" s="10" cm="1">
        <f t="array" aca="1" ref="EP72" ca="1">(1-$B$18)*SUMPRODUCT(OFFSET($BO$15,0,0,$B$14,1), 1*(_xlfn._xlws.FILTER(OFFSET($O$15,0,$DN72,$B$8,1),OFFSET($M$15,0,0,$B$8,1))=EP$13), 1*(_xlfn._xlws.FILTER(OFFSET($O$15,0,$DO72,$B$8,1),OFFSET($M$15,0,0,$B$8,1))=EP$14))   /   SUM(OFFSET($BO$15,0,0,$B$14,1)) + $B$18/($B$19*$B$19*($DN72&lt;&gt;$DO72) + $B$19*($DN72=$DO72))</f>
        <v>3.7037037037037035E-4</v>
      </c>
      <c r="EQ72" s="10" cm="1">
        <f t="array" aca="1" ref="EQ72" ca="1">(1-$B$18)*SUMPRODUCT(OFFSET($BO$15,0,0,$B$14,1), 1*(_xlfn._xlws.FILTER(OFFSET($O$15,0,$DN72,$B$8,1),OFFSET($M$15,0,0,$B$8,1))=EQ$13), 1*(_xlfn._xlws.FILTER(OFFSET($O$15,0,$DO72,$B$8,1),OFFSET($M$15,0,0,$B$8,1))=EQ$14))   /   SUM(OFFSET($BO$15,0,0,$B$14,1)) + $B$18/($B$19*$B$19*($DN72&lt;&gt;$DO72) + $B$19*($DN72=$DO72))</f>
        <v>3.7037037037037035E-4</v>
      </c>
      <c r="ER72" s="10" cm="1">
        <f t="array" aca="1" ref="ER72" ca="1">(1-$B$18)*SUMPRODUCT(OFFSET($BO$15,0,0,$B$14,1), 1*(_xlfn._xlws.FILTER(OFFSET($O$15,0,$DN72,$B$8,1),OFFSET($M$15,0,0,$B$8,1))=ER$13), 1*(_xlfn._xlws.FILTER(OFFSET($O$15,0,$DO72,$B$8,1),OFFSET($M$15,0,0,$B$8,1))=ER$14))   /   SUM(OFFSET($BO$15,0,0,$B$14,1)) + $B$18/($B$19*$B$19*($DN72&lt;&gt;$DO72) + $B$19*($DN72=$DO72))</f>
        <v>3.7037037037037035E-4</v>
      </c>
      <c r="ES72" s="10" cm="1">
        <f t="array" aca="1" ref="ES72" ca="1">(1-$B$18)*SUMPRODUCT(OFFSET($BO$15,0,0,$B$14,1), 1*(_xlfn._xlws.FILTER(OFFSET($O$15,0,$DN72,$B$8,1),OFFSET($M$15,0,0,$B$8,1))=ES$13), 1*(_xlfn._xlws.FILTER(OFFSET($O$15,0,$DO72,$B$8,1),OFFSET($M$15,0,0,$B$8,1))=ES$14))   /   SUM(OFFSET($BO$15,0,0,$B$14,1)) + $B$18/($B$19*$B$19*($DN72&lt;&gt;$DO72) + $B$19*($DN72=$DO72))</f>
        <v>3.7037037037037035E-4</v>
      </c>
      <c r="ET72" s="10" cm="1">
        <f t="array" aca="1" ref="ET72" ca="1">(1-$B$18)*SUMPRODUCT(OFFSET($BO$15,0,0,$B$14,1), 1*(_xlfn._xlws.FILTER(OFFSET($O$15,0,$DN72,$B$8,1),OFFSET($M$15,0,0,$B$8,1))=ET$13), 1*(_xlfn._xlws.FILTER(OFFSET($O$15,0,$DO72,$B$8,1),OFFSET($M$15,0,0,$B$8,1))=ET$14))   /   SUM(OFFSET($BO$15,0,0,$B$14,1)) + $B$18/($B$19*$B$19*($DN72&lt;&gt;$DO72) + $B$19*($DN72=$DO72))</f>
        <v>3.7037037037037035E-4</v>
      </c>
      <c r="EU72" s="10" cm="1">
        <f t="array" aca="1" ref="EU72" ca="1">(1-$B$18)*SUMPRODUCT(OFFSET($BO$15,0,0,$B$14,1), 1*(_xlfn._xlws.FILTER(OFFSET($O$15,0,$DN72,$B$8,1),OFFSET($M$15,0,0,$B$8,1))=EU$13), 1*(_xlfn._xlws.FILTER(OFFSET($O$15,0,$DO72,$B$8,1),OFFSET($M$15,0,0,$B$8,1))=EU$14))   /   SUM(OFFSET($BO$15,0,0,$B$14,1)) + $B$18/($B$19*$B$19*($DN72&lt;&gt;$DO72) + $B$19*($DN72=$DO72))</f>
        <v>3.7037037037037035E-4</v>
      </c>
      <c r="EV72" s="10" cm="1">
        <f t="array" aca="1" ref="EV72" ca="1">(1-$B$18)*SUMPRODUCT(OFFSET($BO$15,0,0,$B$14,1), 1*(_xlfn._xlws.FILTER(OFFSET($O$15,0,$DN72,$B$8,1),OFFSET($M$15,0,0,$B$8,1))=EV$13), 1*(_xlfn._xlws.FILTER(OFFSET($O$15,0,$DO72,$B$8,1),OFFSET($M$15,0,0,$B$8,1))=EV$14))   /   SUM(OFFSET($BO$15,0,0,$B$14,1)) + $B$18/($B$19*$B$19*($DN72&lt;&gt;$DO72) + $B$19*($DN72=$DO72))</f>
        <v>3.7037037037037035E-4</v>
      </c>
      <c r="EW72" s="10" cm="1">
        <f t="array" aca="1" ref="EW72" ca="1">(1-$B$18)*SUMPRODUCT(OFFSET($BO$15,0,0,$B$14,1), 1*(_xlfn._xlws.FILTER(OFFSET($O$15,0,$DN72,$B$8,1),OFFSET($M$15,0,0,$B$8,1))=EW$13), 1*(_xlfn._xlws.FILTER(OFFSET($O$15,0,$DO72,$B$8,1),OFFSET($M$15,0,0,$B$8,1))=EW$14))   /   SUM(OFFSET($BO$15,0,0,$B$14,1)) + $B$18/($B$19*$B$19*($DN72&lt;&gt;$DO72) + $B$19*($DN72=$DO72))</f>
        <v>3.7037037037037035E-4</v>
      </c>
      <c r="EX72" s="10" cm="1">
        <f t="array" aca="1" ref="EX72" ca="1">(1-$B$18)*SUMPRODUCT(OFFSET($BO$15,0,0,$B$14,1), 1*(_xlfn._xlws.FILTER(OFFSET($O$15,0,$DN72,$B$8,1),OFFSET($M$15,0,0,$B$8,1))=EX$13), 1*(_xlfn._xlws.FILTER(OFFSET($O$15,0,$DO72,$B$8,1),OFFSET($M$15,0,0,$B$8,1))=EX$14))   /   SUM(OFFSET($BO$15,0,0,$B$14,1)) + $B$18/($B$19*$B$19*($DN72&lt;&gt;$DO72) + $B$19*($DN72=$DO72))</f>
        <v>3.7037037037037035E-4</v>
      </c>
      <c r="EY72" s="10" cm="1">
        <f t="array" aca="1" ref="EY72" ca="1">(1-$B$18)*SUMPRODUCT(OFFSET($BO$15,0,0,$B$14,1), 1*(_xlfn._xlws.FILTER(OFFSET($O$15,0,$DN72,$B$8,1),OFFSET($M$15,0,0,$B$8,1))=EY$13), 1*(_xlfn._xlws.FILTER(OFFSET($O$15,0,$DO72,$B$8,1),OFFSET($M$15,0,0,$B$8,1))=EY$14))   /   SUM(OFFSET($BO$15,0,0,$B$14,1)) + $B$18/($B$19*$B$19*($DN72&lt;&gt;$DO72) + $B$19*($DN72=$DO72))</f>
        <v>3.7037037037037035E-4</v>
      </c>
      <c r="EZ72" s="10" cm="1">
        <f t="array" aca="1" ref="EZ72" ca="1">(1-$B$18)*SUMPRODUCT(OFFSET($BO$15,0,0,$B$14,1), 1*(_xlfn._xlws.FILTER(OFFSET($O$15,0,$DN72,$B$8,1),OFFSET($M$15,0,0,$B$8,1))=EZ$13), 1*(_xlfn._xlws.FILTER(OFFSET($O$15,0,$DO72,$B$8,1),OFFSET($M$15,0,0,$B$8,1))=EZ$14))   /   SUM(OFFSET($BO$15,0,0,$B$14,1)) + $B$18/($B$19*$B$19*($DN72&lt;&gt;$DO72) + $B$19*($DN72=$DO72))</f>
        <v>3.7037037037037035E-4</v>
      </c>
      <c r="FA72" s="10" cm="1">
        <f t="array" aca="1" ref="FA72" ca="1">(1-$B$18)*SUMPRODUCT(OFFSET($BO$15,0,0,$B$14,1), 1*(_xlfn._xlws.FILTER(OFFSET($O$15,0,$DN72,$B$8,1),OFFSET($M$15,0,0,$B$8,1))=FA$13), 1*(_xlfn._xlws.FILTER(OFFSET($O$15,0,$DO72,$B$8,1),OFFSET($M$15,0,0,$B$8,1))=FA$14))   /   SUM(OFFSET($BO$15,0,0,$B$14,1)) + $B$18/($B$19*$B$19*($DN72&lt;&gt;$DO72) + $B$19*($DN72=$DO72))</f>
        <v>3.7037037037037035E-4</v>
      </c>
      <c r="FB72" s="10" cm="1">
        <f t="array" aca="1" ref="FB72" ca="1">(1-$B$18)*SUMPRODUCT(OFFSET($BO$15,0,0,$B$14,1), 1*(_xlfn._xlws.FILTER(OFFSET($O$15,0,$DN72,$B$8,1),OFFSET($M$15,0,0,$B$8,1))=FB$13), 1*(_xlfn._xlws.FILTER(OFFSET($O$15,0,$DO72,$B$8,1),OFFSET($M$15,0,0,$B$8,1))=FB$14))   /   SUM(OFFSET($BO$15,0,0,$B$14,1)) + $B$18/($B$19*$B$19*($DN72&lt;&gt;$DO72) + $B$19*($DN72=$DO72))</f>
        <v>3.7037037037037035E-4</v>
      </c>
      <c r="FC72" s="10" cm="1">
        <f t="array" aca="1" ref="FC72" ca="1">(1-$B$18)*SUMPRODUCT(OFFSET($BO$15,0,0,$B$14,1), 1*(_xlfn._xlws.FILTER(OFFSET($O$15,0,$DN72,$B$8,1),OFFSET($M$15,0,0,$B$8,1))=FC$13), 1*(_xlfn._xlws.FILTER(OFFSET($O$15,0,$DO72,$B$8,1),OFFSET($M$15,0,0,$B$8,1))=FC$14))   /   SUM(OFFSET($BO$15,0,0,$B$14,1)) + $B$18/($B$19*$B$19*($DN72&lt;&gt;$DO72) + $B$19*($DN72=$DO72))</f>
        <v>3.7037037037037035E-4</v>
      </c>
      <c r="FD72" s="10" cm="1">
        <f t="array" aca="1" ref="FD72" ca="1">(1-$B$18)*SUMPRODUCT(OFFSET($BO$15,0,0,$B$14,1), 1*(_xlfn._xlws.FILTER(OFFSET($O$15,0,$DN72,$B$8,1),OFFSET($M$15,0,0,$B$8,1))=FD$13), 1*(_xlfn._xlws.FILTER(OFFSET($O$15,0,$DO72,$B$8,1),OFFSET($M$15,0,0,$B$8,1))=FD$14))   /   SUM(OFFSET($BO$15,0,0,$B$14,1)) + $B$18/($B$19*$B$19*($DN72&lt;&gt;$DO72) + $B$19*($DN72=$DO72))</f>
        <v>3.7037037037037035E-4</v>
      </c>
      <c r="FE72" s="10" cm="1">
        <f t="array" aca="1" ref="FE72" ca="1">(1-$B$18)*SUMPRODUCT(OFFSET($BO$15,0,0,$B$14,1), 1*(_xlfn._xlws.FILTER(OFFSET($O$15,0,$DN72,$B$8,1),OFFSET($M$15,0,0,$B$8,1))=FE$13), 1*(_xlfn._xlws.FILTER(OFFSET($O$15,0,$DO72,$B$8,1),OFFSET($M$15,0,0,$B$8,1))=FE$14))   /   SUM(OFFSET($BO$15,0,0,$B$14,1)) + $B$18/($B$19*$B$19*($DN72&lt;&gt;$DO72) + $B$19*($DN72=$DO72))</f>
        <v>3.7037037037037035E-4</v>
      </c>
      <c r="FF72" s="10" cm="1">
        <f t="array" aca="1" ref="FF72" ca="1">(1-$B$18)*SUMPRODUCT(OFFSET($BO$15,0,0,$B$14,1), 1*(_xlfn._xlws.FILTER(OFFSET($O$15,0,$DN72,$B$8,1),OFFSET($M$15,0,0,$B$8,1))=FF$13), 1*(_xlfn._xlws.FILTER(OFFSET($O$15,0,$DO72,$B$8,1),OFFSET($M$15,0,0,$B$8,1))=FF$14))   /   SUM(OFFSET($BO$15,0,0,$B$14,1)) + $B$18/($B$19*$B$19*($DN72&lt;&gt;$DO72) + $B$19*($DN72=$DO72))</f>
        <v>3.7037037037037035E-4</v>
      </c>
      <c r="FG72" s="10" cm="1">
        <f t="array" aca="1" ref="FG72" ca="1">(1-$B$18)*SUMPRODUCT(OFFSET($BO$15,0,0,$B$14,1), 1*(_xlfn._xlws.FILTER(OFFSET($O$15,0,$DN72,$B$8,1),OFFSET($M$15,0,0,$B$8,1))=FG$13), 1*(_xlfn._xlws.FILTER(OFFSET($O$15,0,$DO72,$B$8,1),OFFSET($M$15,0,0,$B$8,1))=FG$14))   /   SUM(OFFSET($BO$15,0,0,$B$14,1)) + $B$18/($B$19*$B$19*($DN72&lt;&gt;$DO72) + $B$19*($DN72=$DO72))</f>
        <v>3.7037037037037035E-4</v>
      </c>
      <c r="FH72" s="10" cm="1">
        <f t="array" aca="1" ref="FH72" ca="1">(1-$B$18)*SUMPRODUCT(OFFSET($BO$15,0,0,$B$14,1), 1*(_xlfn._xlws.FILTER(OFFSET($O$15,0,$DN72,$B$8,1),OFFSET($M$15,0,0,$B$8,1))=FH$13), 1*(_xlfn._xlws.FILTER(OFFSET($O$15,0,$DO72,$B$8,1),OFFSET($M$15,0,0,$B$8,1))=FH$14))   /   SUM(OFFSET($BO$15,0,0,$B$14,1)) + $B$18/($B$19*$B$19*($DN72&lt;&gt;$DO72) + $B$19*($DN72=$DO72))</f>
        <v>3.7037037037037035E-4</v>
      </c>
      <c r="FI72" s="10" cm="1">
        <f t="array" aca="1" ref="FI72" ca="1">(1-$B$18)*SUMPRODUCT(OFFSET($BO$15,0,0,$B$14,1), 1*(_xlfn._xlws.FILTER(OFFSET($O$15,0,$DN72,$B$8,1),OFFSET($M$15,0,0,$B$8,1))=FI$13), 1*(_xlfn._xlws.FILTER(OFFSET($O$15,0,$DO72,$B$8,1),OFFSET($M$15,0,0,$B$8,1))=FI$14))   /   SUM(OFFSET($BO$15,0,0,$B$14,1)) + $B$18/($B$19*$B$19*($DN72&lt;&gt;$DO72) + $B$19*($DN72=$DO72))</f>
        <v>3.7037037037037035E-4</v>
      </c>
      <c r="FJ72" s="10" cm="1">
        <f t="array" aca="1" ref="FJ72" ca="1">(1-$B$18)*SUMPRODUCT(OFFSET($BO$15,0,0,$B$14,1), 1*(_xlfn._xlws.FILTER(OFFSET($O$15,0,$DN72,$B$8,1),OFFSET($M$15,0,0,$B$8,1))=FJ$13), 1*(_xlfn._xlws.FILTER(OFFSET($O$15,0,$DO72,$B$8,1),OFFSET($M$15,0,0,$B$8,1))=FJ$14))   /   SUM(OFFSET($BO$15,0,0,$B$14,1)) + $B$18/($B$19*$B$19*($DN72&lt;&gt;$DO72) + $B$19*($DN72=$DO72))</f>
        <v>3.7037037037037035E-4</v>
      </c>
      <c r="FK72" s="10" cm="1">
        <f t="array" aca="1" ref="FK72" ca="1">(1-$B$18)*SUMPRODUCT(OFFSET($BO$15,0,0,$B$14,1), 1*(_xlfn._xlws.FILTER(OFFSET($O$15,0,$DN72,$B$8,1),OFFSET($M$15,0,0,$B$8,1))=FK$13), 1*(_xlfn._xlws.FILTER(OFFSET($O$15,0,$DO72,$B$8,1),OFFSET($M$15,0,0,$B$8,1))=FK$14))   /   SUM(OFFSET($BO$15,0,0,$B$14,1)) + $B$18/($B$19*$B$19*($DN72&lt;&gt;$DO72) + $B$19*($DN72=$DO72))</f>
        <v>3.7037037037037035E-4</v>
      </c>
      <c r="FL72" s="10" cm="1">
        <f t="array" aca="1" ref="FL72" ca="1">(1-$B$18)*SUMPRODUCT(OFFSET($BO$15,0,0,$B$14,1), 1*(_xlfn._xlws.FILTER(OFFSET($O$15,0,$DN72,$B$8,1),OFFSET($M$15,0,0,$B$8,1))=FL$13), 1*(_xlfn._xlws.FILTER(OFFSET($O$15,0,$DO72,$B$8,1),OFFSET($M$15,0,0,$B$8,1))=FL$14))   /   SUM(OFFSET($BO$15,0,0,$B$14,1)) + $B$18/($B$19*$B$19*($DN72&lt;&gt;$DO72) + $B$19*($DN72=$DO72))</f>
        <v>3.7037037037037035E-4</v>
      </c>
      <c r="FM72" s="10" cm="1">
        <f t="array" aca="1" ref="FM72" ca="1">(1-$B$18)*SUMPRODUCT(OFFSET($BO$15,0,0,$B$14,1), 1*(_xlfn._xlws.FILTER(OFFSET($O$15,0,$DN72,$B$8,1),OFFSET($M$15,0,0,$B$8,1))=FM$13), 1*(_xlfn._xlws.FILTER(OFFSET($O$15,0,$DO72,$B$8,1),OFFSET($M$15,0,0,$B$8,1))=FM$14))   /   SUM(OFFSET($BO$15,0,0,$B$14,1)) + $B$18/($B$19*$B$19*($DN72&lt;&gt;$DO72) + $B$19*($DN72=$DO72))</f>
        <v>3.7037037037037035E-4</v>
      </c>
      <c r="FN72" s="10" cm="1">
        <f t="array" aca="1" ref="FN72" ca="1">(1-$B$18)*SUMPRODUCT(OFFSET($BO$15,0,0,$B$14,1), 1*(_xlfn._xlws.FILTER(OFFSET($O$15,0,$DN72,$B$8,1),OFFSET($M$15,0,0,$B$8,1))=FN$13), 1*(_xlfn._xlws.FILTER(OFFSET($O$15,0,$DO72,$B$8,1),OFFSET($M$15,0,0,$B$8,1))=FN$14))   /   SUM(OFFSET($BO$15,0,0,$B$14,1)) + $B$18/($B$19*$B$19*($DN72&lt;&gt;$DO72) + $B$19*($DN72=$DO72))</f>
        <v>3.7037037037037035E-4</v>
      </c>
      <c r="FO72" s="10" cm="1">
        <f t="array" aca="1" ref="FO72" ca="1">(1-$B$18)*SUMPRODUCT(OFFSET($BO$15,0,0,$B$14,1), 1*(_xlfn._xlws.FILTER(OFFSET($O$15,0,$DN72,$B$8,1),OFFSET($M$15,0,0,$B$8,1))=FO$13), 1*(_xlfn._xlws.FILTER(OFFSET($O$15,0,$DO72,$B$8,1),OFFSET($M$15,0,0,$B$8,1))=FO$14))   /   SUM(OFFSET($BO$15,0,0,$B$14,1)) + $B$18/($B$19*$B$19*($DN72&lt;&gt;$DO72) + $B$19*($DN72=$DO72))</f>
        <v>3.7037037037037035E-4</v>
      </c>
      <c r="FP72" s="10" cm="1">
        <f t="array" aca="1" ref="FP72" ca="1">(1-$B$18)*SUMPRODUCT(OFFSET($BO$15,0,0,$B$14,1), 1*(_xlfn._xlws.FILTER(OFFSET($O$15,0,$DN72,$B$8,1),OFFSET($M$15,0,0,$B$8,1))=FP$13), 1*(_xlfn._xlws.FILTER(OFFSET($O$15,0,$DO72,$B$8,1),OFFSET($M$15,0,0,$B$8,1))=FP$14))   /   SUM(OFFSET($BO$15,0,0,$B$14,1)) + $B$18/($B$19*$B$19*($DN72&lt;&gt;$DO72) + $B$19*($DN72=$DO72))</f>
        <v>3.7037037037037035E-4</v>
      </c>
      <c r="FQ72" s="10" cm="1">
        <f t="array" aca="1" ref="FQ72" ca="1">(1-$B$18)*SUMPRODUCT(OFFSET($BO$15,0,0,$B$14,1), 1*(_xlfn._xlws.FILTER(OFFSET($O$15,0,$DN72,$B$8,1),OFFSET($M$15,0,0,$B$8,1))=FQ$13), 1*(_xlfn._xlws.FILTER(OFFSET($O$15,0,$DO72,$B$8,1),OFFSET($M$15,0,0,$B$8,1))=FQ$14))   /   SUM(OFFSET($BO$15,0,0,$B$14,1)) + $B$18/($B$19*$B$19*($DN72&lt;&gt;$DO72) + $B$19*($DN72=$DO72))</f>
        <v>3.7037037037037035E-4</v>
      </c>
      <c r="FR72" s="10" cm="1">
        <f t="array" aca="1" ref="FR72" ca="1">(1-$B$18)*SUMPRODUCT(OFFSET($BO$15,0,0,$B$14,1), 1*(_xlfn._xlws.FILTER(OFFSET($O$15,0,$DN72,$B$8,1),OFFSET($M$15,0,0,$B$8,1))=FR$13), 1*(_xlfn._xlws.FILTER(OFFSET($O$15,0,$DO72,$B$8,1),OFFSET($M$15,0,0,$B$8,1))=FR$14))   /   SUM(OFFSET($BO$15,0,0,$B$14,1)) + $B$18/($B$19*$B$19*($DN72&lt;&gt;$DO72) + $B$19*($DN72=$DO72))</f>
        <v>0.97037037037037033</v>
      </c>
      <c r="FS72" s="10" cm="1">
        <f t="array" aca="1" ref="FS72" ca="1">(1-$B$18)*SUMPRODUCT(OFFSET($BO$15,0,0,$B$14,1), 1*(_xlfn._xlws.FILTER(OFFSET($O$15,0,$DN72,$B$8,1),OFFSET($M$15,0,0,$B$8,1))=FS$13), 1*(_xlfn._xlws.FILTER(OFFSET($O$15,0,$DO72,$B$8,1),OFFSET($M$15,0,0,$B$8,1))=FS$14))   /   SUM(OFFSET($BO$15,0,0,$B$14,1)) + $B$18/($B$19*$B$19*($DN72&lt;&gt;$DO72) + $B$19*($DN72=$DO72))</f>
        <v>3.7037037037037035E-4</v>
      </c>
      <c r="FT72" s="10" cm="1">
        <f t="array" aca="1" ref="FT72" ca="1">(1-$B$18)*SUMPRODUCT(OFFSET($BO$15,0,0,$B$14,1), 1*(_xlfn._xlws.FILTER(OFFSET($O$15,0,$DN72,$B$8,1),OFFSET($M$15,0,0,$B$8,1))=FT$13), 1*(_xlfn._xlws.FILTER(OFFSET($O$15,0,$DO72,$B$8,1),OFFSET($M$15,0,0,$B$8,1))=FT$14))   /   SUM(OFFSET($BO$15,0,0,$B$14,1)) + $B$18/($B$19*$B$19*($DN72&lt;&gt;$DO72) + $B$19*($DN72=$DO72))</f>
        <v>3.7037037037037035E-4</v>
      </c>
      <c r="FU72" s="10" cm="1">
        <f t="array" aca="1" ref="FU72" ca="1">(1-$B$18)*SUMPRODUCT(OFFSET($BO$15,0,0,$B$14,1), 1*(_xlfn._xlws.FILTER(OFFSET($O$15,0,$DN72,$B$8,1),OFFSET($M$15,0,0,$B$8,1))=FU$13), 1*(_xlfn._xlws.FILTER(OFFSET($O$15,0,$DO72,$B$8,1),OFFSET($M$15,0,0,$B$8,1))=FU$14))   /   SUM(OFFSET($BO$15,0,0,$B$14,1)) + $B$18/($B$19*$B$19*($DN72&lt;&gt;$DO72) + $B$19*($DN72=$DO72))</f>
        <v>3.7037037037037035E-4</v>
      </c>
      <c r="FV72" s="10" cm="1">
        <f t="array" aca="1" ref="FV72" ca="1">(1-$B$18)*SUMPRODUCT(OFFSET($BO$15,0,0,$B$14,1), 1*(_xlfn._xlws.FILTER(OFFSET($O$15,0,$DN72,$B$8,1),OFFSET($M$15,0,0,$B$8,1))=FV$13), 1*(_xlfn._xlws.FILTER(OFFSET($O$15,0,$DO72,$B$8,1),OFFSET($M$15,0,0,$B$8,1))=FV$14))   /   SUM(OFFSET($BO$15,0,0,$B$14,1)) + $B$18/($B$19*$B$19*($DN72&lt;&gt;$DO72) + $B$19*($DN72=$DO72))</f>
        <v>3.7037037037037035E-4</v>
      </c>
      <c r="FW72" s="10" cm="1">
        <f t="array" aca="1" ref="FW72" ca="1">(1-$B$18)*SUMPRODUCT(OFFSET($BO$15,0,0,$B$14,1), 1*(_xlfn._xlws.FILTER(OFFSET($O$15,0,$DN72,$B$8,1),OFFSET($M$15,0,0,$B$8,1))=FW$13), 1*(_xlfn._xlws.FILTER(OFFSET($O$15,0,$DO72,$B$8,1),OFFSET($M$15,0,0,$B$8,1))=FW$14))   /   SUM(OFFSET($BO$15,0,0,$B$14,1)) + $B$18/($B$19*$B$19*($DN72&lt;&gt;$DO72) + $B$19*($DN72=$DO72))</f>
        <v>3.7037037037037035E-4</v>
      </c>
      <c r="FX72" s="10" cm="1">
        <f t="array" aca="1" ref="FX72" ca="1">(1-$B$18)*SUMPRODUCT(OFFSET($BO$15,0,0,$B$14,1), 1*(_xlfn._xlws.FILTER(OFFSET($O$15,0,$DN72,$B$8,1),OFFSET($M$15,0,0,$B$8,1))=FX$13), 1*(_xlfn._xlws.FILTER(OFFSET($O$15,0,$DO72,$B$8,1),OFFSET($M$15,0,0,$B$8,1))=FX$14))   /   SUM(OFFSET($BO$15,0,0,$B$14,1)) + $B$18/($B$19*$B$19*($DN72&lt;&gt;$DO72) + $B$19*($DN72=$DO72))</f>
        <v>3.7037037037037035E-4</v>
      </c>
      <c r="FY72" s="10" cm="1">
        <f t="array" aca="1" ref="FY72" ca="1">(1-$B$18)*SUMPRODUCT(OFFSET($BO$15,0,0,$B$14,1), 1*(_xlfn._xlws.FILTER(OFFSET($O$15,0,$DN72,$B$8,1),OFFSET($M$15,0,0,$B$8,1))=FY$13), 1*(_xlfn._xlws.FILTER(OFFSET($O$15,0,$DO72,$B$8,1),OFFSET($M$15,0,0,$B$8,1))=FY$14))   /   SUM(OFFSET($BO$15,0,0,$B$14,1)) + $B$18/($B$19*$B$19*($DN72&lt;&gt;$DO72) + $B$19*($DN72=$DO72))</f>
        <v>3.7037037037037035E-4</v>
      </c>
      <c r="FZ72" s="10" cm="1">
        <f t="array" aca="1" ref="FZ72" ca="1">(1-$B$18)*SUMPRODUCT(OFFSET($BO$15,0,0,$B$14,1), 1*(_xlfn._xlws.FILTER(OFFSET($O$15,0,$DN72,$B$8,1),OFFSET($M$15,0,0,$B$8,1))=FZ$13), 1*(_xlfn._xlws.FILTER(OFFSET($O$15,0,$DO72,$B$8,1),OFFSET($M$15,0,0,$B$8,1))=FZ$14))   /   SUM(OFFSET($BO$15,0,0,$B$14,1)) + $B$18/($B$19*$B$19*($DN72&lt;&gt;$DO72) + $B$19*($DN72=$DO72))</f>
        <v>3.7037037037037035E-4</v>
      </c>
      <c r="GA72" s="10" cm="1">
        <f t="array" aca="1" ref="GA72" ca="1">(1-$B$18)*SUMPRODUCT(OFFSET($BO$15,0,0,$B$14,1), 1*(_xlfn._xlws.FILTER(OFFSET($O$15,0,$DN72,$B$8,1),OFFSET($M$15,0,0,$B$8,1))=GA$13), 1*(_xlfn._xlws.FILTER(OFFSET($O$15,0,$DO72,$B$8,1),OFFSET($M$15,0,0,$B$8,1))=GA$14))   /   SUM(OFFSET($BO$15,0,0,$B$14,1)) + $B$18/($B$19*$B$19*($DN72&lt;&gt;$DO72) + $B$19*($DN72=$DO72))</f>
        <v>3.7037037037037035E-4</v>
      </c>
    </row>
    <row r="73" spans="7:183" x14ac:dyDescent="0.2">
      <c r="G73" s="2"/>
      <c r="H73" s="2"/>
      <c r="DN73" cm="1">
        <f t="array" aca="1" ref="DN73" ca="1">INDEX(_xlfn.ANCHORARRAY($CP$15), 1 + INT((ROWS($DO$15:$DO73) - 1) / ROWS(_xlfn.ANCHORARRAY($CP$15))))</f>
        <v>3</v>
      </c>
      <c r="DO73" cm="1">
        <f t="array" aca="1" ref="DO73" ca="1">INDEX(_xlfn.ANCHORARRAY($CP$15),1+MOD(ROWS($DO$15:$DO73)-1,ROWS(_xlfn.ANCHORARRAY($CP$15))))</f>
        <v>1</v>
      </c>
      <c r="DP73" s="10" cm="1">
        <f t="array" aca="1" ref="DP73" ca="1">(1-$B$18)*SUMPRODUCT(OFFSET($BO$15,0,0,$B$14,1), 1*(_xlfn._xlws.FILTER(OFFSET($O$15,0,$DN73,$B$8,1),OFFSET($M$15,0,0,$B$8,1))=DP$13), 1*(_xlfn._xlws.FILTER(OFFSET($O$15,0,$DO73,$B$8,1),OFFSET($M$15,0,0,$B$8,1))=DP$14))   /   SUM(OFFSET($BO$15,0,0,$B$14,1)) + $B$18/($B$19*$B$19*($DN73&lt;&gt;$DO73) + $B$19*($DN73=$DO73))</f>
        <v>3.7037037037037035E-4</v>
      </c>
      <c r="DQ73" s="10" cm="1">
        <f t="array" aca="1" ref="DQ73" ca="1">(1-$B$18)*SUMPRODUCT(OFFSET($BO$15,0,0,$B$14,1), 1*(_xlfn._xlws.FILTER(OFFSET($O$15,0,$DN73,$B$8,1),OFFSET($M$15,0,0,$B$8,1))=DQ$13), 1*(_xlfn._xlws.FILTER(OFFSET($O$15,0,$DO73,$B$8,1),OFFSET($M$15,0,0,$B$8,1))=DQ$14))   /   SUM(OFFSET($BO$15,0,0,$B$14,1)) + $B$18/($B$19*$B$19*($DN73&lt;&gt;$DO73) + $B$19*($DN73=$DO73))</f>
        <v>3.7037037037037035E-4</v>
      </c>
      <c r="DR73" s="10" cm="1">
        <f t="array" aca="1" ref="DR73" ca="1">(1-$B$18)*SUMPRODUCT(OFFSET($BO$15,0,0,$B$14,1), 1*(_xlfn._xlws.FILTER(OFFSET($O$15,0,$DN73,$B$8,1),OFFSET($M$15,0,0,$B$8,1))=DR$13), 1*(_xlfn._xlws.FILTER(OFFSET($O$15,0,$DO73,$B$8,1),OFFSET($M$15,0,0,$B$8,1))=DR$14))   /   SUM(OFFSET($BO$15,0,0,$B$14,1)) + $B$18/($B$19*$B$19*($DN73&lt;&gt;$DO73) + $B$19*($DN73=$DO73))</f>
        <v>3.7037037037037035E-4</v>
      </c>
      <c r="DS73" s="10" cm="1">
        <f t="array" aca="1" ref="DS73" ca="1">(1-$B$18)*SUMPRODUCT(OFFSET($BO$15,0,0,$B$14,1), 1*(_xlfn._xlws.FILTER(OFFSET($O$15,0,$DN73,$B$8,1),OFFSET($M$15,0,0,$B$8,1))=DS$13), 1*(_xlfn._xlws.FILTER(OFFSET($O$15,0,$DO73,$B$8,1),OFFSET($M$15,0,0,$B$8,1))=DS$14))   /   SUM(OFFSET($BO$15,0,0,$B$14,1)) + $B$18/($B$19*$B$19*($DN73&lt;&gt;$DO73) + $B$19*($DN73=$DO73))</f>
        <v>3.7037037037037035E-4</v>
      </c>
      <c r="DT73" s="10" cm="1">
        <f t="array" aca="1" ref="DT73" ca="1">(1-$B$18)*SUMPRODUCT(OFFSET($BO$15,0,0,$B$14,1), 1*(_xlfn._xlws.FILTER(OFFSET($O$15,0,$DN73,$B$8,1),OFFSET($M$15,0,0,$B$8,1))=DT$13), 1*(_xlfn._xlws.FILTER(OFFSET($O$15,0,$DO73,$B$8,1),OFFSET($M$15,0,0,$B$8,1))=DT$14))   /   SUM(OFFSET($BO$15,0,0,$B$14,1)) + $B$18/($B$19*$B$19*($DN73&lt;&gt;$DO73) + $B$19*($DN73=$DO73))</f>
        <v>3.7037037037037035E-4</v>
      </c>
      <c r="DU73" s="10" cm="1">
        <f t="array" aca="1" ref="DU73" ca="1">(1-$B$18)*SUMPRODUCT(OFFSET($BO$15,0,0,$B$14,1), 1*(_xlfn._xlws.FILTER(OFFSET($O$15,0,$DN73,$B$8,1),OFFSET($M$15,0,0,$B$8,1))=DU$13), 1*(_xlfn._xlws.FILTER(OFFSET($O$15,0,$DO73,$B$8,1),OFFSET($M$15,0,0,$B$8,1))=DU$14))   /   SUM(OFFSET($BO$15,0,0,$B$14,1)) + $B$18/($B$19*$B$19*($DN73&lt;&gt;$DO73) + $B$19*($DN73=$DO73))</f>
        <v>3.7037037037037035E-4</v>
      </c>
      <c r="DV73" s="10" cm="1">
        <f t="array" aca="1" ref="DV73" ca="1">(1-$B$18)*SUMPRODUCT(OFFSET($BO$15,0,0,$B$14,1), 1*(_xlfn._xlws.FILTER(OFFSET($O$15,0,$DN73,$B$8,1),OFFSET($M$15,0,0,$B$8,1))=DV$13), 1*(_xlfn._xlws.FILTER(OFFSET($O$15,0,$DO73,$B$8,1),OFFSET($M$15,0,0,$B$8,1))=DV$14))   /   SUM(OFFSET($BO$15,0,0,$B$14,1)) + $B$18/($B$19*$B$19*($DN73&lt;&gt;$DO73) + $B$19*($DN73=$DO73))</f>
        <v>3.7037037037037035E-4</v>
      </c>
      <c r="DW73" s="10" cm="1">
        <f t="array" aca="1" ref="DW73" ca="1">(1-$B$18)*SUMPRODUCT(OFFSET($BO$15,0,0,$B$14,1), 1*(_xlfn._xlws.FILTER(OFFSET($O$15,0,$DN73,$B$8,1),OFFSET($M$15,0,0,$B$8,1))=DW$13), 1*(_xlfn._xlws.FILTER(OFFSET($O$15,0,$DO73,$B$8,1),OFFSET($M$15,0,0,$B$8,1))=DW$14))   /   SUM(OFFSET($BO$15,0,0,$B$14,1)) + $B$18/($B$19*$B$19*($DN73&lt;&gt;$DO73) + $B$19*($DN73=$DO73))</f>
        <v>3.7037037037037035E-4</v>
      </c>
      <c r="DX73" s="10" cm="1">
        <f t="array" aca="1" ref="DX73" ca="1">(1-$B$18)*SUMPRODUCT(OFFSET($BO$15,0,0,$B$14,1), 1*(_xlfn._xlws.FILTER(OFFSET($O$15,0,$DN73,$B$8,1),OFFSET($M$15,0,0,$B$8,1))=DX$13), 1*(_xlfn._xlws.FILTER(OFFSET($O$15,0,$DO73,$B$8,1),OFFSET($M$15,0,0,$B$8,1))=DX$14))   /   SUM(OFFSET($BO$15,0,0,$B$14,1)) + $B$18/($B$19*$B$19*($DN73&lt;&gt;$DO73) + $B$19*($DN73=$DO73))</f>
        <v>3.7037037037037035E-4</v>
      </c>
      <c r="DY73" s="10" cm="1">
        <f t="array" aca="1" ref="DY73" ca="1">(1-$B$18)*SUMPRODUCT(OFFSET($BO$15,0,0,$B$14,1), 1*(_xlfn._xlws.FILTER(OFFSET($O$15,0,$DN73,$B$8,1),OFFSET($M$15,0,0,$B$8,1))=DY$13), 1*(_xlfn._xlws.FILTER(OFFSET($O$15,0,$DO73,$B$8,1),OFFSET($M$15,0,0,$B$8,1))=DY$14))   /   SUM(OFFSET($BO$15,0,0,$B$14,1)) + $B$18/($B$19*$B$19*($DN73&lt;&gt;$DO73) + $B$19*($DN73=$DO73))</f>
        <v>3.7037037037037035E-4</v>
      </c>
      <c r="DZ73" s="10" cm="1">
        <f t="array" aca="1" ref="DZ73" ca="1">(1-$B$18)*SUMPRODUCT(OFFSET($BO$15,0,0,$B$14,1), 1*(_xlfn._xlws.FILTER(OFFSET($O$15,0,$DN73,$B$8,1),OFFSET($M$15,0,0,$B$8,1))=DZ$13), 1*(_xlfn._xlws.FILTER(OFFSET($O$15,0,$DO73,$B$8,1),OFFSET($M$15,0,0,$B$8,1))=DZ$14))   /   SUM(OFFSET($BO$15,0,0,$B$14,1)) + $B$18/($B$19*$B$19*($DN73&lt;&gt;$DO73) + $B$19*($DN73=$DO73))</f>
        <v>3.7037037037037035E-4</v>
      </c>
      <c r="EA73" s="10" cm="1">
        <f t="array" aca="1" ref="EA73" ca="1">(1-$B$18)*SUMPRODUCT(OFFSET($BO$15,0,0,$B$14,1), 1*(_xlfn._xlws.FILTER(OFFSET($O$15,0,$DN73,$B$8,1),OFFSET($M$15,0,0,$B$8,1))=EA$13), 1*(_xlfn._xlws.FILTER(OFFSET($O$15,0,$DO73,$B$8,1),OFFSET($M$15,0,0,$B$8,1))=EA$14))   /   SUM(OFFSET($BO$15,0,0,$B$14,1)) + $B$18/($B$19*$B$19*($DN73&lt;&gt;$DO73) + $B$19*($DN73=$DO73))</f>
        <v>3.7037037037037035E-4</v>
      </c>
      <c r="EB73" s="10" cm="1">
        <f t="array" aca="1" ref="EB73" ca="1">(1-$B$18)*SUMPRODUCT(OFFSET($BO$15,0,0,$B$14,1), 1*(_xlfn._xlws.FILTER(OFFSET($O$15,0,$DN73,$B$8,1),OFFSET($M$15,0,0,$B$8,1))=EB$13), 1*(_xlfn._xlws.FILTER(OFFSET($O$15,0,$DO73,$B$8,1),OFFSET($M$15,0,0,$B$8,1))=EB$14))   /   SUM(OFFSET($BO$15,0,0,$B$14,1)) + $B$18/($B$19*$B$19*($DN73&lt;&gt;$DO73) + $B$19*($DN73=$DO73))</f>
        <v>3.7037037037037035E-4</v>
      </c>
      <c r="EC73" s="10" cm="1">
        <f t="array" aca="1" ref="EC73" ca="1">(1-$B$18)*SUMPRODUCT(OFFSET($BO$15,0,0,$B$14,1), 1*(_xlfn._xlws.FILTER(OFFSET($O$15,0,$DN73,$B$8,1),OFFSET($M$15,0,0,$B$8,1))=EC$13), 1*(_xlfn._xlws.FILTER(OFFSET($O$15,0,$DO73,$B$8,1),OFFSET($M$15,0,0,$B$8,1))=EC$14))   /   SUM(OFFSET($BO$15,0,0,$B$14,1)) + $B$18/($B$19*$B$19*($DN73&lt;&gt;$DO73) + $B$19*($DN73=$DO73))</f>
        <v>3.7037037037037035E-4</v>
      </c>
      <c r="ED73" s="10" cm="1">
        <f t="array" aca="1" ref="ED73" ca="1">(1-$B$18)*SUMPRODUCT(OFFSET($BO$15,0,0,$B$14,1), 1*(_xlfn._xlws.FILTER(OFFSET($O$15,0,$DN73,$B$8,1),OFFSET($M$15,0,0,$B$8,1))=ED$13), 1*(_xlfn._xlws.FILTER(OFFSET($O$15,0,$DO73,$B$8,1),OFFSET($M$15,0,0,$B$8,1))=ED$14))   /   SUM(OFFSET($BO$15,0,0,$B$14,1)) + $B$18/($B$19*$B$19*($DN73&lt;&gt;$DO73) + $B$19*($DN73=$DO73))</f>
        <v>3.7037037037037035E-4</v>
      </c>
      <c r="EE73" s="10" cm="1">
        <f t="array" aca="1" ref="EE73" ca="1">(1-$B$18)*SUMPRODUCT(OFFSET($BO$15,0,0,$B$14,1), 1*(_xlfn._xlws.FILTER(OFFSET($O$15,0,$DN73,$B$8,1),OFFSET($M$15,0,0,$B$8,1))=EE$13), 1*(_xlfn._xlws.FILTER(OFFSET($O$15,0,$DO73,$B$8,1),OFFSET($M$15,0,0,$B$8,1))=EE$14))   /   SUM(OFFSET($BO$15,0,0,$B$14,1)) + $B$18/($B$19*$B$19*($DN73&lt;&gt;$DO73) + $B$19*($DN73=$DO73))</f>
        <v>3.7037037037037035E-4</v>
      </c>
      <c r="EF73" s="10" cm="1">
        <f t="array" aca="1" ref="EF73" ca="1">(1-$B$18)*SUMPRODUCT(OFFSET($BO$15,0,0,$B$14,1), 1*(_xlfn._xlws.FILTER(OFFSET($O$15,0,$DN73,$B$8,1),OFFSET($M$15,0,0,$B$8,1))=EF$13), 1*(_xlfn._xlws.FILTER(OFFSET($O$15,0,$DO73,$B$8,1),OFFSET($M$15,0,0,$B$8,1))=EF$14))   /   SUM(OFFSET($BO$15,0,0,$B$14,1)) + $B$18/($B$19*$B$19*($DN73&lt;&gt;$DO73) + $B$19*($DN73=$DO73))</f>
        <v>3.7037037037037035E-4</v>
      </c>
      <c r="EG73" s="10" cm="1">
        <f t="array" aca="1" ref="EG73" ca="1">(1-$B$18)*SUMPRODUCT(OFFSET($BO$15,0,0,$B$14,1), 1*(_xlfn._xlws.FILTER(OFFSET($O$15,0,$DN73,$B$8,1),OFFSET($M$15,0,0,$B$8,1))=EG$13), 1*(_xlfn._xlws.FILTER(OFFSET($O$15,0,$DO73,$B$8,1),OFFSET($M$15,0,0,$B$8,1))=EG$14))   /   SUM(OFFSET($BO$15,0,0,$B$14,1)) + $B$18/($B$19*$B$19*($DN73&lt;&gt;$DO73) + $B$19*($DN73=$DO73))</f>
        <v>3.7037037037037035E-4</v>
      </c>
      <c r="EH73" s="10" cm="1">
        <f t="array" aca="1" ref="EH73" ca="1">(1-$B$18)*SUMPRODUCT(OFFSET($BO$15,0,0,$B$14,1), 1*(_xlfn._xlws.FILTER(OFFSET($O$15,0,$DN73,$B$8,1),OFFSET($M$15,0,0,$B$8,1))=EH$13), 1*(_xlfn._xlws.FILTER(OFFSET($O$15,0,$DO73,$B$8,1),OFFSET($M$15,0,0,$B$8,1))=EH$14))   /   SUM(OFFSET($BO$15,0,0,$B$14,1)) + $B$18/($B$19*$B$19*($DN73&lt;&gt;$DO73) + $B$19*($DN73=$DO73))</f>
        <v>3.7037037037037035E-4</v>
      </c>
      <c r="EI73" s="10" cm="1">
        <f t="array" aca="1" ref="EI73" ca="1">(1-$B$18)*SUMPRODUCT(OFFSET($BO$15,0,0,$B$14,1), 1*(_xlfn._xlws.FILTER(OFFSET($O$15,0,$DN73,$B$8,1),OFFSET($M$15,0,0,$B$8,1))=EI$13), 1*(_xlfn._xlws.FILTER(OFFSET($O$15,0,$DO73,$B$8,1),OFFSET($M$15,0,0,$B$8,1))=EI$14))   /   SUM(OFFSET($BO$15,0,0,$B$14,1)) + $B$18/($B$19*$B$19*($DN73&lt;&gt;$DO73) + $B$19*($DN73=$DO73))</f>
        <v>3.7037037037037035E-4</v>
      </c>
      <c r="EJ73" s="10" cm="1">
        <f t="array" aca="1" ref="EJ73" ca="1">(1-$B$18)*SUMPRODUCT(OFFSET($BO$15,0,0,$B$14,1), 1*(_xlfn._xlws.FILTER(OFFSET($O$15,0,$DN73,$B$8,1),OFFSET($M$15,0,0,$B$8,1))=EJ$13), 1*(_xlfn._xlws.FILTER(OFFSET($O$15,0,$DO73,$B$8,1),OFFSET($M$15,0,0,$B$8,1))=EJ$14))   /   SUM(OFFSET($BO$15,0,0,$B$14,1)) + $B$18/($B$19*$B$19*($DN73&lt;&gt;$DO73) + $B$19*($DN73=$DO73))</f>
        <v>3.7037037037037035E-4</v>
      </c>
      <c r="EK73" s="10" cm="1">
        <f t="array" aca="1" ref="EK73" ca="1">(1-$B$18)*SUMPRODUCT(OFFSET($BO$15,0,0,$B$14,1), 1*(_xlfn._xlws.FILTER(OFFSET($O$15,0,$DN73,$B$8,1),OFFSET($M$15,0,0,$B$8,1))=EK$13), 1*(_xlfn._xlws.FILTER(OFFSET($O$15,0,$DO73,$B$8,1),OFFSET($M$15,0,0,$B$8,1))=EK$14))   /   SUM(OFFSET($BO$15,0,0,$B$14,1)) + $B$18/($B$19*$B$19*($DN73&lt;&gt;$DO73) + $B$19*($DN73=$DO73))</f>
        <v>3.7037037037037035E-4</v>
      </c>
      <c r="EL73" s="10" cm="1">
        <f t="array" aca="1" ref="EL73" ca="1">(1-$B$18)*SUMPRODUCT(OFFSET($BO$15,0,0,$B$14,1), 1*(_xlfn._xlws.FILTER(OFFSET($O$15,0,$DN73,$B$8,1),OFFSET($M$15,0,0,$B$8,1))=EL$13), 1*(_xlfn._xlws.FILTER(OFFSET($O$15,0,$DO73,$B$8,1),OFFSET($M$15,0,0,$B$8,1))=EL$14))   /   SUM(OFFSET($BO$15,0,0,$B$14,1)) + $B$18/($B$19*$B$19*($DN73&lt;&gt;$DO73) + $B$19*($DN73=$DO73))</f>
        <v>3.7037037037037035E-4</v>
      </c>
      <c r="EM73" s="10" cm="1">
        <f t="array" aca="1" ref="EM73" ca="1">(1-$B$18)*SUMPRODUCT(OFFSET($BO$15,0,0,$B$14,1), 1*(_xlfn._xlws.FILTER(OFFSET($O$15,0,$DN73,$B$8,1),OFFSET($M$15,0,0,$B$8,1))=EM$13), 1*(_xlfn._xlws.FILTER(OFFSET($O$15,0,$DO73,$B$8,1),OFFSET($M$15,0,0,$B$8,1))=EM$14))   /   SUM(OFFSET($BO$15,0,0,$B$14,1)) + $B$18/($B$19*$B$19*($DN73&lt;&gt;$DO73) + $B$19*($DN73=$DO73))</f>
        <v>3.7037037037037035E-4</v>
      </c>
      <c r="EN73" s="10" cm="1">
        <f t="array" aca="1" ref="EN73" ca="1">(1-$B$18)*SUMPRODUCT(OFFSET($BO$15,0,0,$B$14,1), 1*(_xlfn._xlws.FILTER(OFFSET($O$15,0,$DN73,$B$8,1),OFFSET($M$15,0,0,$B$8,1))=EN$13), 1*(_xlfn._xlws.FILTER(OFFSET($O$15,0,$DO73,$B$8,1),OFFSET($M$15,0,0,$B$8,1))=EN$14))   /   SUM(OFFSET($BO$15,0,0,$B$14,1)) + $B$18/($B$19*$B$19*($DN73&lt;&gt;$DO73) + $B$19*($DN73=$DO73))</f>
        <v>3.7037037037037035E-4</v>
      </c>
      <c r="EO73" s="10" cm="1">
        <f t="array" aca="1" ref="EO73" ca="1">(1-$B$18)*SUMPRODUCT(OFFSET($BO$15,0,0,$B$14,1), 1*(_xlfn._xlws.FILTER(OFFSET($O$15,0,$DN73,$B$8,1),OFFSET($M$15,0,0,$B$8,1))=EO$13), 1*(_xlfn._xlws.FILTER(OFFSET($O$15,0,$DO73,$B$8,1),OFFSET($M$15,0,0,$B$8,1))=EO$14))   /   SUM(OFFSET($BO$15,0,0,$B$14,1)) + $B$18/($B$19*$B$19*($DN73&lt;&gt;$DO73) + $B$19*($DN73=$DO73))</f>
        <v>3.7037037037037035E-4</v>
      </c>
      <c r="EP73" s="10" cm="1">
        <f t="array" aca="1" ref="EP73" ca="1">(1-$B$18)*SUMPRODUCT(OFFSET($BO$15,0,0,$B$14,1), 1*(_xlfn._xlws.FILTER(OFFSET($O$15,0,$DN73,$B$8,1),OFFSET($M$15,0,0,$B$8,1))=EP$13), 1*(_xlfn._xlws.FILTER(OFFSET($O$15,0,$DO73,$B$8,1),OFFSET($M$15,0,0,$B$8,1))=EP$14))   /   SUM(OFFSET($BO$15,0,0,$B$14,1)) + $B$18/($B$19*$B$19*($DN73&lt;&gt;$DO73) + $B$19*($DN73=$DO73))</f>
        <v>3.7037037037037035E-4</v>
      </c>
      <c r="EQ73" s="10" cm="1">
        <f t="array" aca="1" ref="EQ73" ca="1">(1-$B$18)*SUMPRODUCT(OFFSET($BO$15,0,0,$B$14,1), 1*(_xlfn._xlws.FILTER(OFFSET($O$15,0,$DN73,$B$8,1),OFFSET($M$15,0,0,$B$8,1))=EQ$13), 1*(_xlfn._xlws.FILTER(OFFSET($O$15,0,$DO73,$B$8,1),OFFSET($M$15,0,0,$B$8,1))=EQ$14))   /   SUM(OFFSET($BO$15,0,0,$B$14,1)) + $B$18/($B$19*$B$19*($DN73&lt;&gt;$DO73) + $B$19*($DN73=$DO73))</f>
        <v>3.7037037037037035E-4</v>
      </c>
      <c r="ER73" s="10" cm="1">
        <f t="array" aca="1" ref="ER73" ca="1">(1-$B$18)*SUMPRODUCT(OFFSET($BO$15,0,0,$B$14,1), 1*(_xlfn._xlws.FILTER(OFFSET($O$15,0,$DN73,$B$8,1),OFFSET($M$15,0,0,$B$8,1))=ER$13), 1*(_xlfn._xlws.FILTER(OFFSET($O$15,0,$DO73,$B$8,1),OFFSET($M$15,0,0,$B$8,1))=ER$14))   /   SUM(OFFSET($BO$15,0,0,$B$14,1)) + $B$18/($B$19*$B$19*($DN73&lt;&gt;$DO73) + $B$19*($DN73=$DO73))</f>
        <v>3.7037037037037035E-4</v>
      </c>
      <c r="ES73" s="10" cm="1">
        <f t="array" aca="1" ref="ES73" ca="1">(1-$B$18)*SUMPRODUCT(OFFSET($BO$15,0,0,$B$14,1), 1*(_xlfn._xlws.FILTER(OFFSET($O$15,0,$DN73,$B$8,1),OFFSET($M$15,0,0,$B$8,1))=ES$13), 1*(_xlfn._xlws.FILTER(OFFSET($O$15,0,$DO73,$B$8,1),OFFSET($M$15,0,0,$B$8,1))=ES$14))   /   SUM(OFFSET($BO$15,0,0,$B$14,1)) + $B$18/($B$19*$B$19*($DN73&lt;&gt;$DO73) + $B$19*($DN73=$DO73))</f>
        <v>3.7037037037037035E-4</v>
      </c>
      <c r="ET73" s="10" cm="1">
        <f t="array" aca="1" ref="ET73" ca="1">(1-$B$18)*SUMPRODUCT(OFFSET($BO$15,0,0,$B$14,1), 1*(_xlfn._xlws.FILTER(OFFSET($O$15,0,$DN73,$B$8,1),OFFSET($M$15,0,0,$B$8,1))=ET$13), 1*(_xlfn._xlws.FILTER(OFFSET($O$15,0,$DO73,$B$8,1),OFFSET($M$15,0,0,$B$8,1))=ET$14))   /   SUM(OFFSET($BO$15,0,0,$B$14,1)) + $B$18/($B$19*$B$19*($DN73&lt;&gt;$DO73) + $B$19*($DN73=$DO73))</f>
        <v>3.7037037037037035E-4</v>
      </c>
      <c r="EU73" s="10" cm="1">
        <f t="array" aca="1" ref="EU73" ca="1">(1-$B$18)*SUMPRODUCT(OFFSET($BO$15,0,0,$B$14,1), 1*(_xlfn._xlws.FILTER(OFFSET($O$15,0,$DN73,$B$8,1),OFFSET($M$15,0,0,$B$8,1))=EU$13), 1*(_xlfn._xlws.FILTER(OFFSET($O$15,0,$DO73,$B$8,1),OFFSET($M$15,0,0,$B$8,1))=EU$14))   /   SUM(OFFSET($BO$15,0,0,$B$14,1)) + $B$18/($B$19*$B$19*($DN73&lt;&gt;$DO73) + $B$19*($DN73=$DO73))</f>
        <v>3.7037037037037035E-4</v>
      </c>
      <c r="EV73" s="10" cm="1">
        <f t="array" aca="1" ref="EV73" ca="1">(1-$B$18)*SUMPRODUCT(OFFSET($BO$15,0,0,$B$14,1), 1*(_xlfn._xlws.FILTER(OFFSET($O$15,0,$DN73,$B$8,1),OFFSET($M$15,0,0,$B$8,1))=EV$13), 1*(_xlfn._xlws.FILTER(OFFSET($O$15,0,$DO73,$B$8,1),OFFSET($M$15,0,0,$B$8,1))=EV$14))   /   SUM(OFFSET($BO$15,0,0,$B$14,1)) + $B$18/($B$19*$B$19*($DN73&lt;&gt;$DO73) + $B$19*($DN73=$DO73))</f>
        <v>3.7037037037037035E-4</v>
      </c>
      <c r="EW73" s="10" cm="1">
        <f t="array" aca="1" ref="EW73" ca="1">(1-$B$18)*SUMPRODUCT(OFFSET($BO$15,0,0,$B$14,1), 1*(_xlfn._xlws.FILTER(OFFSET($O$15,0,$DN73,$B$8,1),OFFSET($M$15,0,0,$B$8,1))=EW$13), 1*(_xlfn._xlws.FILTER(OFFSET($O$15,0,$DO73,$B$8,1),OFFSET($M$15,0,0,$B$8,1))=EW$14))   /   SUM(OFFSET($BO$15,0,0,$B$14,1)) + $B$18/($B$19*$B$19*($DN73&lt;&gt;$DO73) + $B$19*($DN73=$DO73))</f>
        <v>3.7037037037037035E-4</v>
      </c>
      <c r="EX73" s="10" cm="1">
        <f t="array" aca="1" ref="EX73" ca="1">(1-$B$18)*SUMPRODUCT(OFFSET($BO$15,0,0,$B$14,1), 1*(_xlfn._xlws.FILTER(OFFSET($O$15,0,$DN73,$B$8,1),OFFSET($M$15,0,0,$B$8,1))=EX$13), 1*(_xlfn._xlws.FILTER(OFFSET($O$15,0,$DO73,$B$8,1),OFFSET($M$15,0,0,$B$8,1))=EX$14))   /   SUM(OFFSET($BO$15,0,0,$B$14,1)) + $B$18/($B$19*$B$19*($DN73&lt;&gt;$DO73) + $B$19*($DN73=$DO73))</f>
        <v>3.7037037037037035E-4</v>
      </c>
      <c r="EY73" s="10" cm="1">
        <f t="array" aca="1" ref="EY73" ca="1">(1-$B$18)*SUMPRODUCT(OFFSET($BO$15,0,0,$B$14,1), 1*(_xlfn._xlws.FILTER(OFFSET($O$15,0,$DN73,$B$8,1),OFFSET($M$15,0,0,$B$8,1))=EY$13), 1*(_xlfn._xlws.FILTER(OFFSET($O$15,0,$DO73,$B$8,1),OFFSET($M$15,0,0,$B$8,1))=EY$14))   /   SUM(OFFSET($BO$15,0,0,$B$14,1)) + $B$18/($B$19*$B$19*($DN73&lt;&gt;$DO73) + $B$19*($DN73=$DO73))</f>
        <v>3.7037037037037035E-4</v>
      </c>
      <c r="EZ73" s="10" cm="1">
        <f t="array" aca="1" ref="EZ73" ca="1">(1-$B$18)*SUMPRODUCT(OFFSET($BO$15,0,0,$B$14,1), 1*(_xlfn._xlws.FILTER(OFFSET($O$15,0,$DN73,$B$8,1),OFFSET($M$15,0,0,$B$8,1))=EZ$13), 1*(_xlfn._xlws.FILTER(OFFSET($O$15,0,$DO73,$B$8,1),OFFSET($M$15,0,0,$B$8,1))=EZ$14))   /   SUM(OFFSET($BO$15,0,0,$B$14,1)) + $B$18/($B$19*$B$19*($DN73&lt;&gt;$DO73) + $B$19*($DN73=$DO73))</f>
        <v>3.7037037037037035E-4</v>
      </c>
      <c r="FA73" s="10" cm="1">
        <f t="array" aca="1" ref="FA73" ca="1">(1-$B$18)*SUMPRODUCT(OFFSET($BO$15,0,0,$B$14,1), 1*(_xlfn._xlws.FILTER(OFFSET($O$15,0,$DN73,$B$8,1),OFFSET($M$15,0,0,$B$8,1))=FA$13), 1*(_xlfn._xlws.FILTER(OFFSET($O$15,0,$DO73,$B$8,1),OFFSET($M$15,0,0,$B$8,1))=FA$14))   /   SUM(OFFSET($BO$15,0,0,$B$14,1)) + $B$18/($B$19*$B$19*($DN73&lt;&gt;$DO73) + $B$19*($DN73=$DO73))</f>
        <v>3.7037037037037035E-4</v>
      </c>
      <c r="FB73" s="10" cm="1">
        <f t="array" aca="1" ref="FB73" ca="1">(1-$B$18)*SUMPRODUCT(OFFSET($BO$15,0,0,$B$14,1), 1*(_xlfn._xlws.FILTER(OFFSET($O$15,0,$DN73,$B$8,1),OFFSET($M$15,0,0,$B$8,1))=FB$13), 1*(_xlfn._xlws.FILTER(OFFSET($O$15,0,$DO73,$B$8,1),OFFSET($M$15,0,0,$B$8,1))=FB$14))   /   SUM(OFFSET($BO$15,0,0,$B$14,1)) + $B$18/($B$19*$B$19*($DN73&lt;&gt;$DO73) + $B$19*($DN73=$DO73))</f>
        <v>3.7037037037037035E-4</v>
      </c>
      <c r="FC73" s="10" cm="1">
        <f t="array" aca="1" ref="FC73" ca="1">(1-$B$18)*SUMPRODUCT(OFFSET($BO$15,0,0,$B$14,1), 1*(_xlfn._xlws.FILTER(OFFSET($O$15,0,$DN73,$B$8,1),OFFSET($M$15,0,0,$B$8,1))=FC$13), 1*(_xlfn._xlws.FILTER(OFFSET($O$15,0,$DO73,$B$8,1),OFFSET($M$15,0,0,$B$8,1))=FC$14))   /   SUM(OFFSET($BO$15,0,0,$B$14,1)) + $B$18/($B$19*$B$19*($DN73&lt;&gt;$DO73) + $B$19*($DN73=$DO73))</f>
        <v>3.7037037037037035E-4</v>
      </c>
      <c r="FD73" s="10" cm="1">
        <f t="array" aca="1" ref="FD73" ca="1">(1-$B$18)*SUMPRODUCT(OFFSET($BO$15,0,0,$B$14,1), 1*(_xlfn._xlws.FILTER(OFFSET($O$15,0,$DN73,$B$8,1),OFFSET($M$15,0,0,$B$8,1))=FD$13), 1*(_xlfn._xlws.FILTER(OFFSET($O$15,0,$DO73,$B$8,1),OFFSET($M$15,0,0,$B$8,1))=FD$14))   /   SUM(OFFSET($BO$15,0,0,$B$14,1)) + $B$18/($B$19*$B$19*($DN73&lt;&gt;$DO73) + $B$19*($DN73=$DO73))</f>
        <v>3.7037037037037035E-4</v>
      </c>
      <c r="FE73" s="10" cm="1">
        <f t="array" aca="1" ref="FE73" ca="1">(1-$B$18)*SUMPRODUCT(OFFSET($BO$15,0,0,$B$14,1), 1*(_xlfn._xlws.FILTER(OFFSET($O$15,0,$DN73,$B$8,1),OFFSET($M$15,0,0,$B$8,1))=FE$13), 1*(_xlfn._xlws.FILTER(OFFSET($O$15,0,$DO73,$B$8,1),OFFSET($M$15,0,0,$B$8,1))=FE$14))   /   SUM(OFFSET($BO$15,0,0,$B$14,1)) + $B$18/($B$19*$B$19*($DN73&lt;&gt;$DO73) + $B$19*($DN73=$DO73))</f>
        <v>3.7037037037037035E-4</v>
      </c>
      <c r="FF73" s="10" cm="1">
        <f t="array" aca="1" ref="FF73" ca="1">(1-$B$18)*SUMPRODUCT(OFFSET($BO$15,0,0,$B$14,1), 1*(_xlfn._xlws.FILTER(OFFSET($O$15,0,$DN73,$B$8,1),OFFSET($M$15,0,0,$B$8,1))=FF$13), 1*(_xlfn._xlws.FILTER(OFFSET($O$15,0,$DO73,$B$8,1),OFFSET($M$15,0,0,$B$8,1))=FF$14))   /   SUM(OFFSET($BO$15,0,0,$B$14,1)) + $B$18/($B$19*$B$19*($DN73&lt;&gt;$DO73) + $B$19*($DN73=$DO73))</f>
        <v>3.7037037037037035E-4</v>
      </c>
      <c r="FG73" s="10" cm="1">
        <f t="array" aca="1" ref="FG73" ca="1">(1-$B$18)*SUMPRODUCT(OFFSET($BO$15,0,0,$B$14,1), 1*(_xlfn._xlws.FILTER(OFFSET($O$15,0,$DN73,$B$8,1),OFFSET($M$15,0,0,$B$8,1))=FG$13), 1*(_xlfn._xlws.FILTER(OFFSET($O$15,0,$DO73,$B$8,1),OFFSET($M$15,0,0,$B$8,1))=FG$14))   /   SUM(OFFSET($BO$15,0,0,$B$14,1)) + $B$18/($B$19*$B$19*($DN73&lt;&gt;$DO73) + $B$19*($DN73=$DO73))</f>
        <v>3.7037037037037035E-4</v>
      </c>
      <c r="FH73" s="10" cm="1">
        <f t="array" aca="1" ref="FH73" ca="1">(1-$B$18)*SUMPRODUCT(OFFSET($BO$15,0,0,$B$14,1), 1*(_xlfn._xlws.FILTER(OFFSET($O$15,0,$DN73,$B$8,1),OFFSET($M$15,0,0,$B$8,1))=FH$13), 1*(_xlfn._xlws.FILTER(OFFSET($O$15,0,$DO73,$B$8,1),OFFSET($M$15,0,0,$B$8,1))=FH$14))   /   SUM(OFFSET($BO$15,0,0,$B$14,1)) + $B$18/($B$19*$B$19*($DN73&lt;&gt;$DO73) + $B$19*($DN73=$DO73))</f>
        <v>3.7037037037037035E-4</v>
      </c>
      <c r="FI73" s="10" cm="1">
        <f t="array" aca="1" ref="FI73" ca="1">(1-$B$18)*SUMPRODUCT(OFFSET($BO$15,0,0,$B$14,1), 1*(_xlfn._xlws.FILTER(OFFSET($O$15,0,$DN73,$B$8,1),OFFSET($M$15,0,0,$B$8,1))=FI$13), 1*(_xlfn._xlws.FILTER(OFFSET($O$15,0,$DO73,$B$8,1),OFFSET($M$15,0,0,$B$8,1))=FI$14))   /   SUM(OFFSET($BO$15,0,0,$B$14,1)) + $B$18/($B$19*$B$19*($DN73&lt;&gt;$DO73) + $B$19*($DN73=$DO73))</f>
        <v>3.7037037037037035E-4</v>
      </c>
      <c r="FJ73" s="10" cm="1">
        <f t="array" aca="1" ref="FJ73" ca="1">(1-$B$18)*SUMPRODUCT(OFFSET($BO$15,0,0,$B$14,1), 1*(_xlfn._xlws.FILTER(OFFSET($O$15,0,$DN73,$B$8,1),OFFSET($M$15,0,0,$B$8,1))=FJ$13), 1*(_xlfn._xlws.FILTER(OFFSET($O$15,0,$DO73,$B$8,1),OFFSET($M$15,0,0,$B$8,1))=FJ$14))   /   SUM(OFFSET($BO$15,0,0,$B$14,1)) + $B$18/($B$19*$B$19*($DN73&lt;&gt;$DO73) + $B$19*($DN73=$DO73))</f>
        <v>3.7037037037037035E-4</v>
      </c>
      <c r="FK73" s="10" cm="1">
        <f t="array" aca="1" ref="FK73" ca="1">(1-$B$18)*SUMPRODUCT(OFFSET($BO$15,0,0,$B$14,1), 1*(_xlfn._xlws.FILTER(OFFSET($O$15,0,$DN73,$B$8,1),OFFSET($M$15,0,0,$B$8,1))=FK$13), 1*(_xlfn._xlws.FILTER(OFFSET($O$15,0,$DO73,$B$8,1),OFFSET($M$15,0,0,$B$8,1))=FK$14))   /   SUM(OFFSET($BO$15,0,0,$B$14,1)) + $B$18/($B$19*$B$19*($DN73&lt;&gt;$DO73) + $B$19*($DN73=$DO73))</f>
        <v>3.7037037037037035E-4</v>
      </c>
      <c r="FL73" s="10" cm="1">
        <f t="array" aca="1" ref="FL73" ca="1">(1-$B$18)*SUMPRODUCT(OFFSET($BO$15,0,0,$B$14,1), 1*(_xlfn._xlws.FILTER(OFFSET($O$15,0,$DN73,$B$8,1),OFFSET($M$15,0,0,$B$8,1))=FL$13), 1*(_xlfn._xlws.FILTER(OFFSET($O$15,0,$DO73,$B$8,1),OFFSET($M$15,0,0,$B$8,1))=FL$14))   /   SUM(OFFSET($BO$15,0,0,$B$14,1)) + $B$18/($B$19*$B$19*($DN73&lt;&gt;$DO73) + $B$19*($DN73=$DO73))</f>
        <v>3.7037037037037035E-4</v>
      </c>
      <c r="FM73" s="10" cm="1">
        <f t="array" aca="1" ref="FM73" ca="1">(1-$B$18)*SUMPRODUCT(OFFSET($BO$15,0,0,$B$14,1), 1*(_xlfn._xlws.FILTER(OFFSET($O$15,0,$DN73,$B$8,1),OFFSET($M$15,0,0,$B$8,1))=FM$13), 1*(_xlfn._xlws.FILTER(OFFSET($O$15,0,$DO73,$B$8,1),OFFSET($M$15,0,0,$B$8,1))=FM$14))   /   SUM(OFFSET($BO$15,0,0,$B$14,1)) + $B$18/($B$19*$B$19*($DN73&lt;&gt;$DO73) + $B$19*($DN73=$DO73))</f>
        <v>3.7037037037037035E-4</v>
      </c>
      <c r="FN73" s="10" cm="1">
        <f t="array" aca="1" ref="FN73" ca="1">(1-$B$18)*SUMPRODUCT(OFFSET($BO$15,0,0,$B$14,1), 1*(_xlfn._xlws.FILTER(OFFSET($O$15,0,$DN73,$B$8,1),OFFSET($M$15,0,0,$B$8,1))=FN$13), 1*(_xlfn._xlws.FILTER(OFFSET($O$15,0,$DO73,$B$8,1),OFFSET($M$15,0,0,$B$8,1))=FN$14))   /   SUM(OFFSET($BO$15,0,0,$B$14,1)) + $B$18/($B$19*$B$19*($DN73&lt;&gt;$DO73) + $B$19*($DN73=$DO73))</f>
        <v>3.7037037037037035E-4</v>
      </c>
      <c r="FO73" s="10" cm="1">
        <f t="array" aca="1" ref="FO73" ca="1">(1-$B$18)*SUMPRODUCT(OFFSET($BO$15,0,0,$B$14,1), 1*(_xlfn._xlws.FILTER(OFFSET($O$15,0,$DN73,$B$8,1),OFFSET($M$15,0,0,$B$8,1))=FO$13), 1*(_xlfn._xlws.FILTER(OFFSET($O$15,0,$DO73,$B$8,1),OFFSET($M$15,0,0,$B$8,1))=FO$14))   /   SUM(OFFSET($BO$15,0,0,$B$14,1)) + $B$18/($B$19*$B$19*($DN73&lt;&gt;$DO73) + $B$19*($DN73=$DO73))</f>
        <v>3.7037037037037035E-4</v>
      </c>
      <c r="FP73" s="10" cm="1">
        <f t="array" aca="1" ref="FP73" ca="1">(1-$B$18)*SUMPRODUCT(OFFSET($BO$15,0,0,$B$14,1), 1*(_xlfn._xlws.FILTER(OFFSET($O$15,0,$DN73,$B$8,1),OFFSET($M$15,0,0,$B$8,1))=FP$13), 1*(_xlfn._xlws.FILTER(OFFSET($O$15,0,$DO73,$B$8,1),OFFSET($M$15,0,0,$B$8,1))=FP$14))   /   SUM(OFFSET($BO$15,0,0,$B$14,1)) + $B$18/($B$19*$B$19*($DN73&lt;&gt;$DO73) + $B$19*($DN73=$DO73))</f>
        <v>3.7037037037037035E-4</v>
      </c>
      <c r="FQ73" s="10" cm="1">
        <f t="array" aca="1" ref="FQ73" ca="1">(1-$B$18)*SUMPRODUCT(OFFSET($BO$15,0,0,$B$14,1), 1*(_xlfn._xlws.FILTER(OFFSET($O$15,0,$DN73,$B$8,1),OFFSET($M$15,0,0,$B$8,1))=FQ$13), 1*(_xlfn._xlws.FILTER(OFFSET($O$15,0,$DO73,$B$8,1),OFFSET($M$15,0,0,$B$8,1))=FQ$14))   /   SUM(OFFSET($BO$15,0,0,$B$14,1)) + $B$18/($B$19*$B$19*($DN73&lt;&gt;$DO73) + $B$19*($DN73=$DO73))</f>
        <v>3.7037037037037035E-4</v>
      </c>
      <c r="FR73" s="10" cm="1">
        <f t="array" aca="1" ref="FR73" ca="1">(1-$B$18)*SUMPRODUCT(OFFSET($BO$15,0,0,$B$14,1), 1*(_xlfn._xlws.FILTER(OFFSET($O$15,0,$DN73,$B$8,1),OFFSET($M$15,0,0,$B$8,1))=FR$13), 1*(_xlfn._xlws.FILTER(OFFSET($O$15,0,$DO73,$B$8,1),OFFSET($M$15,0,0,$B$8,1))=FR$14))   /   SUM(OFFSET($BO$15,0,0,$B$14,1)) + $B$18/($B$19*$B$19*($DN73&lt;&gt;$DO73) + $B$19*($DN73=$DO73))</f>
        <v>0.97037037037037033</v>
      </c>
      <c r="FS73" s="10" cm="1">
        <f t="array" aca="1" ref="FS73" ca="1">(1-$B$18)*SUMPRODUCT(OFFSET($BO$15,0,0,$B$14,1), 1*(_xlfn._xlws.FILTER(OFFSET($O$15,0,$DN73,$B$8,1),OFFSET($M$15,0,0,$B$8,1))=FS$13), 1*(_xlfn._xlws.FILTER(OFFSET($O$15,0,$DO73,$B$8,1),OFFSET($M$15,0,0,$B$8,1))=FS$14))   /   SUM(OFFSET($BO$15,0,0,$B$14,1)) + $B$18/($B$19*$B$19*($DN73&lt;&gt;$DO73) + $B$19*($DN73=$DO73))</f>
        <v>3.7037037037037035E-4</v>
      </c>
      <c r="FT73" s="10" cm="1">
        <f t="array" aca="1" ref="FT73" ca="1">(1-$B$18)*SUMPRODUCT(OFFSET($BO$15,0,0,$B$14,1), 1*(_xlfn._xlws.FILTER(OFFSET($O$15,0,$DN73,$B$8,1),OFFSET($M$15,0,0,$B$8,1))=FT$13), 1*(_xlfn._xlws.FILTER(OFFSET($O$15,0,$DO73,$B$8,1),OFFSET($M$15,0,0,$B$8,1))=FT$14))   /   SUM(OFFSET($BO$15,0,0,$B$14,1)) + $B$18/($B$19*$B$19*($DN73&lt;&gt;$DO73) + $B$19*($DN73=$DO73))</f>
        <v>3.7037037037037035E-4</v>
      </c>
      <c r="FU73" s="10" cm="1">
        <f t="array" aca="1" ref="FU73" ca="1">(1-$B$18)*SUMPRODUCT(OFFSET($BO$15,0,0,$B$14,1), 1*(_xlfn._xlws.FILTER(OFFSET($O$15,0,$DN73,$B$8,1),OFFSET($M$15,0,0,$B$8,1))=FU$13), 1*(_xlfn._xlws.FILTER(OFFSET($O$15,0,$DO73,$B$8,1),OFFSET($M$15,0,0,$B$8,1))=FU$14))   /   SUM(OFFSET($BO$15,0,0,$B$14,1)) + $B$18/($B$19*$B$19*($DN73&lt;&gt;$DO73) + $B$19*($DN73=$DO73))</f>
        <v>3.7037037037037035E-4</v>
      </c>
      <c r="FV73" s="10" cm="1">
        <f t="array" aca="1" ref="FV73" ca="1">(1-$B$18)*SUMPRODUCT(OFFSET($BO$15,0,0,$B$14,1), 1*(_xlfn._xlws.FILTER(OFFSET($O$15,0,$DN73,$B$8,1),OFFSET($M$15,0,0,$B$8,1))=FV$13), 1*(_xlfn._xlws.FILTER(OFFSET($O$15,0,$DO73,$B$8,1),OFFSET($M$15,0,0,$B$8,1))=FV$14))   /   SUM(OFFSET($BO$15,0,0,$B$14,1)) + $B$18/($B$19*$B$19*($DN73&lt;&gt;$DO73) + $B$19*($DN73=$DO73))</f>
        <v>3.7037037037037035E-4</v>
      </c>
      <c r="FW73" s="10" cm="1">
        <f t="array" aca="1" ref="FW73" ca="1">(1-$B$18)*SUMPRODUCT(OFFSET($BO$15,0,0,$B$14,1), 1*(_xlfn._xlws.FILTER(OFFSET($O$15,0,$DN73,$B$8,1),OFFSET($M$15,0,0,$B$8,1))=FW$13), 1*(_xlfn._xlws.FILTER(OFFSET($O$15,0,$DO73,$B$8,1),OFFSET($M$15,0,0,$B$8,1))=FW$14))   /   SUM(OFFSET($BO$15,0,0,$B$14,1)) + $B$18/($B$19*$B$19*($DN73&lt;&gt;$DO73) + $B$19*($DN73=$DO73))</f>
        <v>3.7037037037037035E-4</v>
      </c>
      <c r="FX73" s="10" cm="1">
        <f t="array" aca="1" ref="FX73" ca="1">(1-$B$18)*SUMPRODUCT(OFFSET($BO$15,0,0,$B$14,1), 1*(_xlfn._xlws.FILTER(OFFSET($O$15,0,$DN73,$B$8,1),OFFSET($M$15,0,0,$B$8,1))=FX$13), 1*(_xlfn._xlws.FILTER(OFFSET($O$15,0,$DO73,$B$8,1),OFFSET($M$15,0,0,$B$8,1))=FX$14))   /   SUM(OFFSET($BO$15,0,0,$B$14,1)) + $B$18/($B$19*$B$19*($DN73&lt;&gt;$DO73) + $B$19*($DN73=$DO73))</f>
        <v>3.7037037037037035E-4</v>
      </c>
      <c r="FY73" s="10" cm="1">
        <f t="array" aca="1" ref="FY73" ca="1">(1-$B$18)*SUMPRODUCT(OFFSET($BO$15,0,0,$B$14,1), 1*(_xlfn._xlws.FILTER(OFFSET($O$15,0,$DN73,$B$8,1),OFFSET($M$15,0,0,$B$8,1))=FY$13), 1*(_xlfn._xlws.FILTER(OFFSET($O$15,0,$DO73,$B$8,1),OFFSET($M$15,0,0,$B$8,1))=FY$14))   /   SUM(OFFSET($BO$15,0,0,$B$14,1)) + $B$18/($B$19*$B$19*($DN73&lt;&gt;$DO73) + $B$19*($DN73=$DO73))</f>
        <v>3.7037037037037035E-4</v>
      </c>
      <c r="FZ73" s="10" cm="1">
        <f t="array" aca="1" ref="FZ73" ca="1">(1-$B$18)*SUMPRODUCT(OFFSET($BO$15,0,0,$B$14,1), 1*(_xlfn._xlws.FILTER(OFFSET($O$15,0,$DN73,$B$8,1),OFFSET($M$15,0,0,$B$8,1))=FZ$13), 1*(_xlfn._xlws.FILTER(OFFSET($O$15,0,$DO73,$B$8,1),OFFSET($M$15,0,0,$B$8,1))=FZ$14))   /   SUM(OFFSET($BO$15,0,0,$B$14,1)) + $B$18/($B$19*$B$19*($DN73&lt;&gt;$DO73) + $B$19*($DN73=$DO73))</f>
        <v>3.7037037037037035E-4</v>
      </c>
      <c r="GA73" s="10" cm="1">
        <f t="array" aca="1" ref="GA73" ca="1">(1-$B$18)*SUMPRODUCT(OFFSET($BO$15,0,0,$B$14,1), 1*(_xlfn._xlws.FILTER(OFFSET($O$15,0,$DN73,$B$8,1),OFFSET($M$15,0,0,$B$8,1))=GA$13), 1*(_xlfn._xlws.FILTER(OFFSET($O$15,0,$DO73,$B$8,1),OFFSET($M$15,0,0,$B$8,1))=GA$14))   /   SUM(OFFSET($BO$15,0,0,$B$14,1)) + $B$18/($B$19*$B$19*($DN73&lt;&gt;$DO73) + $B$19*($DN73=$DO73))</f>
        <v>3.7037037037037035E-4</v>
      </c>
    </row>
    <row r="74" spans="7:183" x14ac:dyDescent="0.2">
      <c r="G74" s="2"/>
      <c r="H74" s="2"/>
      <c r="DN74" cm="1">
        <f t="array" aca="1" ref="DN74" ca="1">INDEX(_xlfn.ANCHORARRAY($CP$15), 1 + INT((ROWS($DO$15:$DO74) - 1) / ROWS(_xlfn.ANCHORARRAY($CP$15))))</f>
        <v>3</v>
      </c>
      <c r="DO74" cm="1">
        <f t="array" aca="1" ref="DO74" ca="1">INDEX(_xlfn.ANCHORARRAY($CP$15),1+MOD(ROWS($DO$15:$DO74)-1,ROWS(_xlfn.ANCHORARRAY($CP$15))))</f>
        <v>2</v>
      </c>
      <c r="DP74" s="10" cm="1">
        <f t="array" aca="1" ref="DP74" ca="1">(1-$B$18)*SUMPRODUCT(OFFSET($BO$15,0,0,$B$14,1), 1*(_xlfn._xlws.FILTER(OFFSET($O$15,0,$DN74,$B$8,1),OFFSET($M$15,0,0,$B$8,1))=DP$13), 1*(_xlfn._xlws.FILTER(OFFSET($O$15,0,$DO74,$B$8,1),OFFSET($M$15,0,0,$B$8,1))=DP$14))   /   SUM(OFFSET($BO$15,0,0,$B$14,1)) + $B$18/($B$19*$B$19*($DN74&lt;&gt;$DO74) + $B$19*($DN74=$DO74))</f>
        <v>3.7037037037037035E-4</v>
      </c>
      <c r="DQ74" s="10" cm="1">
        <f t="array" aca="1" ref="DQ74" ca="1">(1-$B$18)*SUMPRODUCT(OFFSET($BO$15,0,0,$B$14,1), 1*(_xlfn._xlws.FILTER(OFFSET($O$15,0,$DN74,$B$8,1),OFFSET($M$15,0,0,$B$8,1))=DQ$13), 1*(_xlfn._xlws.FILTER(OFFSET($O$15,0,$DO74,$B$8,1),OFFSET($M$15,0,0,$B$8,1))=DQ$14))   /   SUM(OFFSET($BO$15,0,0,$B$14,1)) + $B$18/($B$19*$B$19*($DN74&lt;&gt;$DO74) + $B$19*($DN74=$DO74))</f>
        <v>3.7037037037037035E-4</v>
      </c>
      <c r="DR74" s="10" cm="1">
        <f t="array" aca="1" ref="DR74" ca="1">(1-$B$18)*SUMPRODUCT(OFFSET($BO$15,0,0,$B$14,1), 1*(_xlfn._xlws.FILTER(OFFSET($O$15,0,$DN74,$B$8,1),OFFSET($M$15,0,0,$B$8,1))=DR$13), 1*(_xlfn._xlws.FILTER(OFFSET($O$15,0,$DO74,$B$8,1),OFFSET($M$15,0,0,$B$8,1))=DR$14))   /   SUM(OFFSET($BO$15,0,0,$B$14,1)) + $B$18/($B$19*$B$19*($DN74&lt;&gt;$DO74) + $B$19*($DN74=$DO74))</f>
        <v>3.7037037037037035E-4</v>
      </c>
      <c r="DS74" s="10" cm="1">
        <f t="array" aca="1" ref="DS74" ca="1">(1-$B$18)*SUMPRODUCT(OFFSET($BO$15,0,0,$B$14,1), 1*(_xlfn._xlws.FILTER(OFFSET($O$15,0,$DN74,$B$8,1),OFFSET($M$15,0,0,$B$8,1))=DS$13), 1*(_xlfn._xlws.FILTER(OFFSET($O$15,0,$DO74,$B$8,1),OFFSET($M$15,0,0,$B$8,1))=DS$14))   /   SUM(OFFSET($BO$15,0,0,$B$14,1)) + $B$18/($B$19*$B$19*($DN74&lt;&gt;$DO74) + $B$19*($DN74=$DO74))</f>
        <v>3.7037037037037035E-4</v>
      </c>
      <c r="DT74" s="10" cm="1">
        <f t="array" aca="1" ref="DT74" ca="1">(1-$B$18)*SUMPRODUCT(OFFSET($BO$15,0,0,$B$14,1), 1*(_xlfn._xlws.FILTER(OFFSET($O$15,0,$DN74,$B$8,1),OFFSET($M$15,0,0,$B$8,1))=DT$13), 1*(_xlfn._xlws.FILTER(OFFSET($O$15,0,$DO74,$B$8,1),OFFSET($M$15,0,0,$B$8,1))=DT$14))   /   SUM(OFFSET($BO$15,0,0,$B$14,1)) + $B$18/($B$19*$B$19*($DN74&lt;&gt;$DO74) + $B$19*($DN74=$DO74))</f>
        <v>3.7037037037037035E-4</v>
      </c>
      <c r="DU74" s="10" cm="1">
        <f t="array" aca="1" ref="DU74" ca="1">(1-$B$18)*SUMPRODUCT(OFFSET($BO$15,0,0,$B$14,1), 1*(_xlfn._xlws.FILTER(OFFSET($O$15,0,$DN74,$B$8,1),OFFSET($M$15,0,0,$B$8,1))=DU$13), 1*(_xlfn._xlws.FILTER(OFFSET($O$15,0,$DO74,$B$8,1),OFFSET($M$15,0,0,$B$8,1))=DU$14))   /   SUM(OFFSET($BO$15,0,0,$B$14,1)) + $B$18/($B$19*$B$19*($DN74&lt;&gt;$DO74) + $B$19*($DN74=$DO74))</f>
        <v>3.7037037037037035E-4</v>
      </c>
      <c r="DV74" s="10" cm="1">
        <f t="array" aca="1" ref="DV74" ca="1">(1-$B$18)*SUMPRODUCT(OFFSET($BO$15,0,0,$B$14,1), 1*(_xlfn._xlws.FILTER(OFFSET($O$15,0,$DN74,$B$8,1),OFFSET($M$15,0,0,$B$8,1))=DV$13), 1*(_xlfn._xlws.FILTER(OFFSET($O$15,0,$DO74,$B$8,1),OFFSET($M$15,0,0,$B$8,1))=DV$14))   /   SUM(OFFSET($BO$15,0,0,$B$14,1)) + $B$18/($B$19*$B$19*($DN74&lt;&gt;$DO74) + $B$19*($DN74=$DO74))</f>
        <v>3.7037037037037035E-4</v>
      </c>
      <c r="DW74" s="10" cm="1">
        <f t="array" aca="1" ref="DW74" ca="1">(1-$B$18)*SUMPRODUCT(OFFSET($BO$15,0,0,$B$14,1), 1*(_xlfn._xlws.FILTER(OFFSET($O$15,0,$DN74,$B$8,1),OFFSET($M$15,0,0,$B$8,1))=DW$13), 1*(_xlfn._xlws.FILTER(OFFSET($O$15,0,$DO74,$B$8,1),OFFSET($M$15,0,0,$B$8,1))=DW$14))   /   SUM(OFFSET($BO$15,0,0,$B$14,1)) + $B$18/($B$19*$B$19*($DN74&lt;&gt;$DO74) + $B$19*($DN74=$DO74))</f>
        <v>3.7037037037037035E-4</v>
      </c>
      <c r="DX74" s="10" cm="1">
        <f t="array" aca="1" ref="DX74" ca="1">(1-$B$18)*SUMPRODUCT(OFFSET($BO$15,0,0,$B$14,1), 1*(_xlfn._xlws.FILTER(OFFSET($O$15,0,$DN74,$B$8,1),OFFSET($M$15,0,0,$B$8,1))=DX$13), 1*(_xlfn._xlws.FILTER(OFFSET($O$15,0,$DO74,$B$8,1),OFFSET($M$15,0,0,$B$8,1))=DX$14))   /   SUM(OFFSET($BO$15,0,0,$B$14,1)) + $B$18/($B$19*$B$19*($DN74&lt;&gt;$DO74) + $B$19*($DN74=$DO74))</f>
        <v>3.7037037037037035E-4</v>
      </c>
      <c r="DY74" s="10" cm="1">
        <f t="array" aca="1" ref="DY74" ca="1">(1-$B$18)*SUMPRODUCT(OFFSET($BO$15,0,0,$B$14,1), 1*(_xlfn._xlws.FILTER(OFFSET($O$15,0,$DN74,$B$8,1),OFFSET($M$15,0,0,$B$8,1))=DY$13), 1*(_xlfn._xlws.FILTER(OFFSET($O$15,0,$DO74,$B$8,1),OFFSET($M$15,0,0,$B$8,1))=DY$14))   /   SUM(OFFSET($BO$15,0,0,$B$14,1)) + $B$18/($B$19*$B$19*($DN74&lt;&gt;$DO74) + $B$19*($DN74=$DO74))</f>
        <v>3.7037037037037035E-4</v>
      </c>
      <c r="DZ74" s="10" cm="1">
        <f t="array" aca="1" ref="DZ74" ca="1">(1-$B$18)*SUMPRODUCT(OFFSET($BO$15,0,0,$B$14,1), 1*(_xlfn._xlws.FILTER(OFFSET($O$15,0,$DN74,$B$8,1),OFFSET($M$15,0,0,$B$8,1))=DZ$13), 1*(_xlfn._xlws.FILTER(OFFSET($O$15,0,$DO74,$B$8,1),OFFSET($M$15,0,0,$B$8,1))=DZ$14))   /   SUM(OFFSET($BO$15,0,0,$B$14,1)) + $B$18/($B$19*$B$19*($DN74&lt;&gt;$DO74) + $B$19*($DN74=$DO74))</f>
        <v>3.7037037037037035E-4</v>
      </c>
      <c r="EA74" s="10" cm="1">
        <f t="array" aca="1" ref="EA74" ca="1">(1-$B$18)*SUMPRODUCT(OFFSET($BO$15,0,0,$B$14,1), 1*(_xlfn._xlws.FILTER(OFFSET($O$15,0,$DN74,$B$8,1),OFFSET($M$15,0,0,$B$8,1))=EA$13), 1*(_xlfn._xlws.FILTER(OFFSET($O$15,0,$DO74,$B$8,1),OFFSET($M$15,0,0,$B$8,1))=EA$14))   /   SUM(OFFSET($BO$15,0,0,$B$14,1)) + $B$18/($B$19*$B$19*($DN74&lt;&gt;$DO74) + $B$19*($DN74=$DO74))</f>
        <v>3.7037037037037035E-4</v>
      </c>
      <c r="EB74" s="10" cm="1">
        <f t="array" aca="1" ref="EB74" ca="1">(1-$B$18)*SUMPRODUCT(OFFSET($BO$15,0,0,$B$14,1), 1*(_xlfn._xlws.FILTER(OFFSET($O$15,0,$DN74,$B$8,1),OFFSET($M$15,0,0,$B$8,1))=EB$13), 1*(_xlfn._xlws.FILTER(OFFSET($O$15,0,$DO74,$B$8,1),OFFSET($M$15,0,0,$B$8,1))=EB$14))   /   SUM(OFFSET($BO$15,0,0,$B$14,1)) + $B$18/($B$19*$B$19*($DN74&lt;&gt;$DO74) + $B$19*($DN74=$DO74))</f>
        <v>3.7037037037037035E-4</v>
      </c>
      <c r="EC74" s="10" cm="1">
        <f t="array" aca="1" ref="EC74" ca="1">(1-$B$18)*SUMPRODUCT(OFFSET($BO$15,0,0,$B$14,1), 1*(_xlfn._xlws.FILTER(OFFSET($O$15,0,$DN74,$B$8,1),OFFSET($M$15,0,0,$B$8,1))=EC$13), 1*(_xlfn._xlws.FILTER(OFFSET($O$15,0,$DO74,$B$8,1),OFFSET($M$15,0,0,$B$8,1))=EC$14))   /   SUM(OFFSET($BO$15,0,0,$B$14,1)) + $B$18/($B$19*$B$19*($DN74&lt;&gt;$DO74) + $B$19*($DN74=$DO74))</f>
        <v>3.7037037037037035E-4</v>
      </c>
      <c r="ED74" s="10" cm="1">
        <f t="array" aca="1" ref="ED74" ca="1">(1-$B$18)*SUMPRODUCT(OFFSET($BO$15,0,0,$B$14,1), 1*(_xlfn._xlws.FILTER(OFFSET($O$15,0,$DN74,$B$8,1),OFFSET($M$15,0,0,$B$8,1))=ED$13), 1*(_xlfn._xlws.FILTER(OFFSET($O$15,0,$DO74,$B$8,1),OFFSET($M$15,0,0,$B$8,1))=ED$14))   /   SUM(OFFSET($BO$15,0,0,$B$14,1)) + $B$18/($B$19*$B$19*($DN74&lt;&gt;$DO74) + $B$19*($DN74=$DO74))</f>
        <v>3.7037037037037035E-4</v>
      </c>
      <c r="EE74" s="10" cm="1">
        <f t="array" aca="1" ref="EE74" ca="1">(1-$B$18)*SUMPRODUCT(OFFSET($BO$15,0,0,$B$14,1), 1*(_xlfn._xlws.FILTER(OFFSET($O$15,0,$DN74,$B$8,1),OFFSET($M$15,0,0,$B$8,1))=EE$13), 1*(_xlfn._xlws.FILTER(OFFSET($O$15,0,$DO74,$B$8,1),OFFSET($M$15,0,0,$B$8,1))=EE$14))   /   SUM(OFFSET($BO$15,0,0,$B$14,1)) + $B$18/($B$19*$B$19*($DN74&lt;&gt;$DO74) + $B$19*($DN74=$DO74))</f>
        <v>3.7037037037037035E-4</v>
      </c>
      <c r="EF74" s="10" cm="1">
        <f t="array" aca="1" ref="EF74" ca="1">(1-$B$18)*SUMPRODUCT(OFFSET($BO$15,0,0,$B$14,1), 1*(_xlfn._xlws.FILTER(OFFSET($O$15,0,$DN74,$B$8,1),OFFSET($M$15,0,0,$B$8,1))=EF$13), 1*(_xlfn._xlws.FILTER(OFFSET($O$15,0,$DO74,$B$8,1),OFFSET($M$15,0,0,$B$8,1))=EF$14))   /   SUM(OFFSET($BO$15,0,0,$B$14,1)) + $B$18/($B$19*$B$19*($DN74&lt;&gt;$DO74) + $B$19*($DN74=$DO74))</f>
        <v>3.7037037037037035E-4</v>
      </c>
      <c r="EG74" s="10" cm="1">
        <f t="array" aca="1" ref="EG74" ca="1">(1-$B$18)*SUMPRODUCT(OFFSET($BO$15,0,0,$B$14,1), 1*(_xlfn._xlws.FILTER(OFFSET($O$15,0,$DN74,$B$8,1),OFFSET($M$15,0,0,$B$8,1))=EG$13), 1*(_xlfn._xlws.FILTER(OFFSET($O$15,0,$DO74,$B$8,1),OFFSET($M$15,0,0,$B$8,1))=EG$14))   /   SUM(OFFSET($BO$15,0,0,$B$14,1)) + $B$18/($B$19*$B$19*($DN74&lt;&gt;$DO74) + $B$19*($DN74=$DO74))</f>
        <v>3.7037037037037035E-4</v>
      </c>
      <c r="EH74" s="10" cm="1">
        <f t="array" aca="1" ref="EH74" ca="1">(1-$B$18)*SUMPRODUCT(OFFSET($BO$15,0,0,$B$14,1), 1*(_xlfn._xlws.FILTER(OFFSET($O$15,0,$DN74,$B$8,1),OFFSET($M$15,0,0,$B$8,1))=EH$13), 1*(_xlfn._xlws.FILTER(OFFSET($O$15,0,$DO74,$B$8,1),OFFSET($M$15,0,0,$B$8,1))=EH$14))   /   SUM(OFFSET($BO$15,0,0,$B$14,1)) + $B$18/($B$19*$B$19*($DN74&lt;&gt;$DO74) + $B$19*($DN74=$DO74))</f>
        <v>3.7037037037037035E-4</v>
      </c>
      <c r="EI74" s="10" cm="1">
        <f t="array" aca="1" ref="EI74" ca="1">(1-$B$18)*SUMPRODUCT(OFFSET($BO$15,0,0,$B$14,1), 1*(_xlfn._xlws.FILTER(OFFSET($O$15,0,$DN74,$B$8,1),OFFSET($M$15,0,0,$B$8,1))=EI$13), 1*(_xlfn._xlws.FILTER(OFFSET($O$15,0,$DO74,$B$8,1),OFFSET($M$15,0,0,$B$8,1))=EI$14))   /   SUM(OFFSET($BO$15,0,0,$B$14,1)) + $B$18/($B$19*$B$19*($DN74&lt;&gt;$DO74) + $B$19*($DN74=$DO74))</f>
        <v>3.7037037037037035E-4</v>
      </c>
      <c r="EJ74" s="10" cm="1">
        <f t="array" aca="1" ref="EJ74" ca="1">(1-$B$18)*SUMPRODUCT(OFFSET($BO$15,0,0,$B$14,1), 1*(_xlfn._xlws.FILTER(OFFSET($O$15,0,$DN74,$B$8,1),OFFSET($M$15,0,0,$B$8,1))=EJ$13), 1*(_xlfn._xlws.FILTER(OFFSET($O$15,0,$DO74,$B$8,1),OFFSET($M$15,0,0,$B$8,1))=EJ$14))   /   SUM(OFFSET($BO$15,0,0,$B$14,1)) + $B$18/($B$19*$B$19*($DN74&lt;&gt;$DO74) + $B$19*($DN74=$DO74))</f>
        <v>3.7037037037037035E-4</v>
      </c>
      <c r="EK74" s="10" cm="1">
        <f t="array" aca="1" ref="EK74" ca="1">(1-$B$18)*SUMPRODUCT(OFFSET($BO$15,0,0,$B$14,1), 1*(_xlfn._xlws.FILTER(OFFSET($O$15,0,$DN74,$B$8,1),OFFSET($M$15,0,0,$B$8,1))=EK$13), 1*(_xlfn._xlws.FILTER(OFFSET($O$15,0,$DO74,$B$8,1),OFFSET($M$15,0,0,$B$8,1))=EK$14))   /   SUM(OFFSET($BO$15,0,0,$B$14,1)) + $B$18/($B$19*$B$19*($DN74&lt;&gt;$DO74) + $B$19*($DN74=$DO74))</f>
        <v>3.7037037037037035E-4</v>
      </c>
      <c r="EL74" s="10" cm="1">
        <f t="array" aca="1" ref="EL74" ca="1">(1-$B$18)*SUMPRODUCT(OFFSET($BO$15,0,0,$B$14,1), 1*(_xlfn._xlws.FILTER(OFFSET($O$15,0,$DN74,$B$8,1),OFFSET($M$15,0,0,$B$8,1))=EL$13), 1*(_xlfn._xlws.FILTER(OFFSET($O$15,0,$DO74,$B$8,1),OFFSET($M$15,0,0,$B$8,1))=EL$14))   /   SUM(OFFSET($BO$15,0,0,$B$14,1)) + $B$18/($B$19*$B$19*($DN74&lt;&gt;$DO74) + $B$19*($DN74=$DO74))</f>
        <v>3.7037037037037035E-4</v>
      </c>
      <c r="EM74" s="10" cm="1">
        <f t="array" aca="1" ref="EM74" ca="1">(1-$B$18)*SUMPRODUCT(OFFSET($BO$15,0,0,$B$14,1), 1*(_xlfn._xlws.FILTER(OFFSET($O$15,0,$DN74,$B$8,1),OFFSET($M$15,0,0,$B$8,1))=EM$13), 1*(_xlfn._xlws.FILTER(OFFSET($O$15,0,$DO74,$B$8,1),OFFSET($M$15,0,0,$B$8,1))=EM$14))   /   SUM(OFFSET($BO$15,0,0,$B$14,1)) + $B$18/($B$19*$B$19*($DN74&lt;&gt;$DO74) + $B$19*($DN74=$DO74))</f>
        <v>3.7037037037037035E-4</v>
      </c>
      <c r="EN74" s="10" cm="1">
        <f t="array" aca="1" ref="EN74" ca="1">(1-$B$18)*SUMPRODUCT(OFFSET($BO$15,0,0,$B$14,1), 1*(_xlfn._xlws.FILTER(OFFSET($O$15,0,$DN74,$B$8,1),OFFSET($M$15,0,0,$B$8,1))=EN$13), 1*(_xlfn._xlws.FILTER(OFFSET($O$15,0,$DO74,$B$8,1),OFFSET($M$15,0,0,$B$8,1))=EN$14))   /   SUM(OFFSET($BO$15,0,0,$B$14,1)) + $B$18/($B$19*$B$19*($DN74&lt;&gt;$DO74) + $B$19*($DN74=$DO74))</f>
        <v>3.7037037037037035E-4</v>
      </c>
      <c r="EO74" s="10" cm="1">
        <f t="array" aca="1" ref="EO74" ca="1">(1-$B$18)*SUMPRODUCT(OFFSET($BO$15,0,0,$B$14,1), 1*(_xlfn._xlws.FILTER(OFFSET($O$15,0,$DN74,$B$8,1),OFFSET($M$15,0,0,$B$8,1))=EO$13), 1*(_xlfn._xlws.FILTER(OFFSET($O$15,0,$DO74,$B$8,1),OFFSET($M$15,0,0,$B$8,1))=EO$14))   /   SUM(OFFSET($BO$15,0,0,$B$14,1)) + $B$18/($B$19*$B$19*($DN74&lt;&gt;$DO74) + $B$19*($DN74=$DO74))</f>
        <v>3.7037037037037035E-4</v>
      </c>
      <c r="EP74" s="10" cm="1">
        <f t="array" aca="1" ref="EP74" ca="1">(1-$B$18)*SUMPRODUCT(OFFSET($BO$15,0,0,$B$14,1), 1*(_xlfn._xlws.FILTER(OFFSET($O$15,0,$DN74,$B$8,1),OFFSET($M$15,0,0,$B$8,1))=EP$13), 1*(_xlfn._xlws.FILTER(OFFSET($O$15,0,$DO74,$B$8,1),OFFSET($M$15,0,0,$B$8,1))=EP$14))   /   SUM(OFFSET($BO$15,0,0,$B$14,1)) + $B$18/($B$19*$B$19*($DN74&lt;&gt;$DO74) + $B$19*($DN74=$DO74))</f>
        <v>3.7037037037037035E-4</v>
      </c>
      <c r="EQ74" s="10" cm="1">
        <f t="array" aca="1" ref="EQ74" ca="1">(1-$B$18)*SUMPRODUCT(OFFSET($BO$15,0,0,$B$14,1), 1*(_xlfn._xlws.FILTER(OFFSET($O$15,0,$DN74,$B$8,1),OFFSET($M$15,0,0,$B$8,1))=EQ$13), 1*(_xlfn._xlws.FILTER(OFFSET($O$15,0,$DO74,$B$8,1),OFFSET($M$15,0,0,$B$8,1))=EQ$14))   /   SUM(OFFSET($BO$15,0,0,$B$14,1)) + $B$18/($B$19*$B$19*($DN74&lt;&gt;$DO74) + $B$19*($DN74=$DO74))</f>
        <v>3.7037037037037035E-4</v>
      </c>
      <c r="ER74" s="10" cm="1">
        <f t="array" aca="1" ref="ER74" ca="1">(1-$B$18)*SUMPRODUCT(OFFSET($BO$15,0,0,$B$14,1), 1*(_xlfn._xlws.FILTER(OFFSET($O$15,0,$DN74,$B$8,1),OFFSET($M$15,0,0,$B$8,1))=ER$13), 1*(_xlfn._xlws.FILTER(OFFSET($O$15,0,$DO74,$B$8,1),OFFSET($M$15,0,0,$B$8,1))=ER$14))   /   SUM(OFFSET($BO$15,0,0,$B$14,1)) + $B$18/($B$19*$B$19*($DN74&lt;&gt;$DO74) + $B$19*($DN74=$DO74))</f>
        <v>3.7037037037037035E-4</v>
      </c>
      <c r="ES74" s="10" cm="1">
        <f t="array" aca="1" ref="ES74" ca="1">(1-$B$18)*SUMPRODUCT(OFFSET($BO$15,0,0,$B$14,1), 1*(_xlfn._xlws.FILTER(OFFSET($O$15,0,$DN74,$B$8,1),OFFSET($M$15,0,0,$B$8,1))=ES$13), 1*(_xlfn._xlws.FILTER(OFFSET($O$15,0,$DO74,$B$8,1),OFFSET($M$15,0,0,$B$8,1))=ES$14))   /   SUM(OFFSET($BO$15,0,0,$B$14,1)) + $B$18/($B$19*$B$19*($DN74&lt;&gt;$DO74) + $B$19*($DN74=$DO74))</f>
        <v>3.7037037037037035E-4</v>
      </c>
      <c r="ET74" s="10" cm="1">
        <f t="array" aca="1" ref="ET74" ca="1">(1-$B$18)*SUMPRODUCT(OFFSET($BO$15,0,0,$B$14,1), 1*(_xlfn._xlws.FILTER(OFFSET($O$15,0,$DN74,$B$8,1),OFFSET($M$15,0,0,$B$8,1))=ET$13), 1*(_xlfn._xlws.FILTER(OFFSET($O$15,0,$DO74,$B$8,1),OFFSET($M$15,0,0,$B$8,1))=ET$14))   /   SUM(OFFSET($BO$15,0,0,$B$14,1)) + $B$18/($B$19*$B$19*($DN74&lt;&gt;$DO74) + $B$19*($DN74=$DO74))</f>
        <v>3.7037037037037035E-4</v>
      </c>
      <c r="EU74" s="10" cm="1">
        <f t="array" aca="1" ref="EU74" ca="1">(1-$B$18)*SUMPRODUCT(OFFSET($BO$15,0,0,$B$14,1), 1*(_xlfn._xlws.FILTER(OFFSET($O$15,0,$DN74,$B$8,1),OFFSET($M$15,0,0,$B$8,1))=EU$13), 1*(_xlfn._xlws.FILTER(OFFSET($O$15,0,$DO74,$B$8,1),OFFSET($M$15,0,0,$B$8,1))=EU$14))   /   SUM(OFFSET($BO$15,0,0,$B$14,1)) + $B$18/($B$19*$B$19*($DN74&lt;&gt;$DO74) + $B$19*($DN74=$DO74))</f>
        <v>3.7037037037037035E-4</v>
      </c>
      <c r="EV74" s="10" cm="1">
        <f t="array" aca="1" ref="EV74" ca="1">(1-$B$18)*SUMPRODUCT(OFFSET($BO$15,0,0,$B$14,1), 1*(_xlfn._xlws.FILTER(OFFSET($O$15,0,$DN74,$B$8,1),OFFSET($M$15,0,0,$B$8,1))=EV$13), 1*(_xlfn._xlws.FILTER(OFFSET($O$15,0,$DO74,$B$8,1),OFFSET($M$15,0,0,$B$8,1))=EV$14))   /   SUM(OFFSET($BO$15,0,0,$B$14,1)) + $B$18/($B$19*$B$19*($DN74&lt;&gt;$DO74) + $B$19*($DN74=$DO74))</f>
        <v>3.7037037037037035E-4</v>
      </c>
      <c r="EW74" s="10" cm="1">
        <f t="array" aca="1" ref="EW74" ca="1">(1-$B$18)*SUMPRODUCT(OFFSET($BO$15,0,0,$B$14,1), 1*(_xlfn._xlws.FILTER(OFFSET($O$15,0,$DN74,$B$8,1),OFFSET($M$15,0,0,$B$8,1))=EW$13), 1*(_xlfn._xlws.FILTER(OFFSET($O$15,0,$DO74,$B$8,1),OFFSET($M$15,0,0,$B$8,1))=EW$14))   /   SUM(OFFSET($BO$15,0,0,$B$14,1)) + $B$18/($B$19*$B$19*($DN74&lt;&gt;$DO74) + $B$19*($DN74=$DO74))</f>
        <v>3.7037037037037035E-4</v>
      </c>
      <c r="EX74" s="10" cm="1">
        <f t="array" aca="1" ref="EX74" ca="1">(1-$B$18)*SUMPRODUCT(OFFSET($BO$15,0,0,$B$14,1), 1*(_xlfn._xlws.FILTER(OFFSET($O$15,0,$DN74,$B$8,1),OFFSET($M$15,0,0,$B$8,1))=EX$13), 1*(_xlfn._xlws.FILTER(OFFSET($O$15,0,$DO74,$B$8,1),OFFSET($M$15,0,0,$B$8,1))=EX$14))   /   SUM(OFFSET($BO$15,0,0,$B$14,1)) + $B$18/($B$19*$B$19*($DN74&lt;&gt;$DO74) + $B$19*($DN74=$DO74))</f>
        <v>3.7037037037037035E-4</v>
      </c>
      <c r="EY74" s="10" cm="1">
        <f t="array" aca="1" ref="EY74" ca="1">(1-$B$18)*SUMPRODUCT(OFFSET($BO$15,0,0,$B$14,1), 1*(_xlfn._xlws.FILTER(OFFSET($O$15,0,$DN74,$B$8,1),OFFSET($M$15,0,0,$B$8,1))=EY$13), 1*(_xlfn._xlws.FILTER(OFFSET($O$15,0,$DO74,$B$8,1),OFFSET($M$15,0,0,$B$8,1))=EY$14))   /   SUM(OFFSET($BO$15,0,0,$B$14,1)) + $B$18/($B$19*$B$19*($DN74&lt;&gt;$DO74) + $B$19*($DN74=$DO74))</f>
        <v>3.7037037037037035E-4</v>
      </c>
      <c r="EZ74" s="10" cm="1">
        <f t="array" aca="1" ref="EZ74" ca="1">(1-$B$18)*SUMPRODUCT(OFFSET($BO$15,0,0,$B$14,1), 1*(_xlfn._xlws.FILTER(OFFSET($O$15,0,$DN74,$B$8,1),OFFSET($M$15,0,0,$B$8,1))=EZ$13), 1*(_xlfn._xlws.FILTER(OFFSET($O$15,0,$DO74,$B$8,1),OFFSET($M$15,0,0,$B$8,1))=EZ$14))   /   SUM(OFFSET($BO$15,0,0,$B$14,1)) + $B$18/($B$19*$B$19*($DN74&lt;&gt;$DO74) + $B$19*($DN74=$DO74))</f>
        <v>3.7037037037037035E-4</v>
      </c>
      <c r="FA74" s="10" cm="1">
        <f t="array" aca="1" ref="FA74" ca="1">(1-$B$18)*SUMPRODUCT(OFFSET($BO$15,0,0,$B$14,1), 1*(_xlfn._xlws.FILTER(OFFSET($O$15,0,$DN74,$B$8,1),OFFSET($M$15,0,0,$B$8,1))=FA$13), 1*(_xlfn._xlws.FILTER(OFFSET($O$15,0,$DO74,$B$8,1),OFFSET($M$15,0,0,$B$8,1))=FA$14))   /   SUM(OFFSET($BO$15,0,0,$B$14,1)) + $B$18/($B$19*$B$19*($DN74&lt;&gt;$DO74) + $B$19*($DN74=$DO74))</f>
        <v>3.7037037037037035E-4</v>
      </c>
      <c r="FB74" s="10" cm="1">
        <f t="array" aca="1" ref="FB74" ca="1">(1-$B$18)*SUMPRODUCT(OFFSET($BO$15,0,0,$B$14,1), 1*(_xlfn._xlws.FILTER(OFFSET($O$15,0,$DN74,$B$8,1),OFFSET($M$15,0,0,$B$8,1))=FB$13), 1*(_xlfn._xlws.FILTER(OFFSET($O$15,0,$DO74,$B$8,1),OFFSET($M$15,0,0,$B$8,1))=FB$14))   /   SUM(OFFSET($BO$15,0,0,$B$14,1)) + $B$18/($B$19*$B$19*($DN74&lt;&gt;$DO74) + $B$19*($DN74=$DO74))</f>
        <v>3.7037037037037035E-4</v>
      </c>
      <c r="FC74" s="10" cm="1">
        <f t="array" aca="1" ref="FC74" ca="1">(1-$B$18)*SUMPRODUCT(OFFSET($BO$15,0,0,$B$14,1), 1*(_xlfn._xlws.FILTER(OFFSET($O$15,0,$DN74,$B$8,1),OFFSET($M$15,0,0,$B$8,1))=FC$13), 1*(_xlfn._xlws.FILTER(OFFSET($O$15,0,$DO74,$B$8,1),OFFSET($M$15,0,0,$B$8,1))=FC$14))   /   SUM(OFFSET($BO$15,0,0,$B$14,1)) + $B$18/($B$19*$B$19*($DN74&lt;&gt;$DO74) + $B$19*($DN74=$DO74))</f>
        <v>3.7037037037037035E-4</v>
      </c>
      <c r="FD74" s="10" cm="1">
        <f t="array" aca="1" ref="FD74" ca="1">(1-$B$18)*SUMPRODUCT(OFFSET($BO$15,0,0,$B$14,1), 1*(_xlfn._xlws.FILTER(OFFSET($O$15,0,$DN74,$B$8,1),OFFSET($M$15,0,0,$B$8,1))=FD$13), 1*(_xlfn._xlws.FILTER(OFFSET($O$15,0,$DO74,$B$8,1),OFFSET($M$15,0,0,$B$8,1))=FD$14))   /   SUM(OFFSET($BO$15,0,0,$B$14,1)) + $B$18/($B$19*$B$19*($DN74&lt;&gt;$DO74) + $B$19*($DN74=$DO74))</f>
        <v>3.7037037037037035E-4</v>
      </c>
      <c r="FE74" s="10" cm="1">
        <f t="array" aca="1" ref="FE74" ca="1">(1-$B$18)*SUMPRODUCT(OFFSET($BO$15,0,0,$B$14,1), 1*(_xlfn._xlws.FILTER(OFFSET($O$15,0,$DN74,$B$8,1),OFFSET($M$15,0,0,$B$8,1))=FE$13), 1*(_xlfn._xlws.FILTER(OFFSET($O$15,0,$DO74,$B$8,1),OFFSET($M$15,0,0,$B$8,1))=FE$14))   /   SUM(OFFSET($BO$15,0,0,$B$14,1)) + $B$18/($B$19*$B$19*($DN74&lt;&gt;$DO74) + $B$19*($DN74=$DO74))</f>
        <v>3.7037037037037035E-4</v>
      </c>
      <c r="FF74" s="10" cm="1">
        <f t="array" aca="1" ref="FF74" ca="1">(1-$B$18)*SUMPRODUCT(OFFSET($BO$15,0,0,$B$14,1), 1*(_xlfn._xlws.FILTER(OFFSET($O$15,0,$DN74,$B$8,1),OFFSET($M$15,0,0,$B$8,1))=FF$13), 1*(_xlfn._xlws.FILTER(OFFSET($O$15,0,$DO74,$B$8,1),OFFSET($M$15,0,0,$B$8,1))=FF$14))   /   SUM(OFFSET($BO$15,0,0,$B$14,1)) + $B$18/($B$19*$B$19*($DN74&lt;&gt;$DO74) + $B$19*($DN74=$DO74))</f>
        <v>3.7037037037037035E-4</v>
      </c>
      <c r="FG74" s="10" cm="1">
        <f t="array" aca="1" ref="FG74" ca="1">(1-$B$18)*SUMPRODUCT(OFFSET($BO$15,0,0,$B$14,1), 1*(_xlfn._xlws.FILTER(OFFSET($O$15,0,$DN74,$B$8,1),OFFSET($M$15,0,0,$B$8,1))=FG$13), 1*(_xlfn._xlws.FILTER(OFFSET($O$15,0,$DO74,$B$8,1),OFFSET($M$15,0,0,$B$8,1))=FG$14))   /   SUM(OFFSET($BO$15,0,0,$B$14,1)) + $B$18/($B$19*$B$19*($DN74&lt;&gt;$DO74) + $B$19*($DN74=$DO74))</f>
        <v>3.7037037037037035E-4</v>
      </c>
      <c r="FH74" s="10" cm="1">
        <f t="array" aca="1" ref="FH74" ca="1">(1-$B$18)*SUMPRODUCT(OFFSET($BO$15,0,0,$B$14,1), 1*(_xlfn._xlws.FILTER(OFFSET($O$15,0,$DN74,$B$8,1),OFFSET($M$15,0,0,$B$8,1))=FH$13), 1*(_xlfn._xlws.FILTER(OFFSET($O$15,0,$DO74,$B$8,1),OFFSET($M$15,0,0,$B$8,1))=FH$14))   /   SUM(OFFSET($BO$15,0,0,$B$14,1)) + $B$18/($B$19*$B$19*($DN74&lt;&gt;$DO74) + $B$19*($DN74=$DO74))</f>
        <v>3.7037037037037035E-4</v>
      </c>
      <c r="FI74" s="10" cm="1">
        <f t="array" aca="1" ref="FI74" ca="1">(1-$B$18)*SUMPRODUCT(OFFSET($BO$15,0,0,$B$14,1), 1*(_xlfn._xlws.FILTER(OFFSET($O$15,0,$DN74,$B$8,1),OFFSET($M$15,0,0,$B$8,1))=FI$13), 1*(_xlfn._xlws.FILTER(OFFSET($O$15,0,$DO74,$B$8,1),OFFSET($M$15,0,0,$B$8,1))=FI$14))   /   SUM(OFFSET($BO$15,0,0,$B$14,1)) + $B$18/($B$19*$B$19*($DN74&lt;&gt;$DO74) + $B$19*($DN74=$DO74))</f>
        <v>3.7037037037037035E-4</v>
      </c>
      <c r="FJ74" s="10" cm="1">
        <f t="array" aca="1" ref="FJ74" ca="1">(1-$B$18)*SUMPRODUCT(OFFSET($BO$15,0,0,$B$14,1), 1*(_xlfn._xlws.FILTER(OFFSET($O$15,0,$DN74,$B$8,1),OFFSET($M$15,0,0,$B$8,1))=FJ$13), 1*(_xlfn._xlws.FILTER(OFFSET($O$15,0,$DO74,$B$8,1),OFFSET($M$15,0,0,$B$8,1))=FJ$14))   /   SUM(OFFSET($BO$15,0,0,$B$14,1)) + $B$18/($B$19*$B$19*($DN74&lt;&gt;$DO74) + $B$19*($DN74=$DO74))</f>
        <v>3.7037037037037035E-4</v>
      </c>
      <c r="FK74" s="10" cm="1">
        <f t="array" aca="1" ref="FK74" ca="1">(1-$B$18)*SUMPRODUCT(OFFSET($BO$15,0,0,$B$14,1), 1*(_xlfn._xlws.FILTER(OFFSET($O$15,0,$DN74,$B$8,1),OFFSET($M$15,0,0,$B$8,1))=FK$13), 1*(_xlfn._xlws.FILTER(OFFSET($O$15,0,$DO74,$B$8,1),OFFSET($M$15,0,0,$B$8,1))=FK$14))   /   SUM(OFFSET($BO$15,0,0,$B$14,1)) + $B$18/($B$19*$B$19*($DN74&lt;&gt;$DO74) + $B$19*($DN74=$DO74))</f>
        <v>3.7037037037037035E-4</v>
      </c>
      <c r="FL74" s="10" cm="1">
        <f t="array" aca="1" ref="FL74" ca="1">(1-$B$18)*SUMPRODUCT(OFFSET($BO$15,0,0,$B$14,1), 1*(_xlfn._xlws.FILTER(OFFSET($O$15,0,$DN74,$B$8,1),OFFSET($M$15,0,0,$B$8,1))=FL$13), 1*(_xlfn._xlws.FILTER(OFFSET($O$15,0,$DO74,$B$8,1),OFFSET($M$15,0,0,$B$8,1))=FL$14))   /   SUM(OFFSET($BO$15,0,0,$B$14,1)) + $B$18/($B$19*$B$19*($DN74&lt;&gt;$DO74) + $B$19*($DN74=$DO74))</f>
        <v>3.7037037037037035E-4</v>
      </c>
      <c r="FM74" s="10" cm="1">
        <f t="array" aca="1" ref="FM74" ca="1">(1-$B$18)*SUMPRODUCT(OFFSET($BO$15,0,0,$B$14,1), 1*(_xlfn._xlws.FILTER(OFFSET($O$15,0,$DN74,$B$8,1),OFFSET($M$15,0,0,$B$8,1))=FM$13), 1*(_xlfn._xlws.FILTER(OFFSET($O$15,0,$DO74,$B$8,1),OFFSET($M$15,0,0,$B$8,1))=FM$14))   /   SUM(OFFSET($BO$15,0,0,$B$14,1)) + $B$18/($B$19*$B$19*($DN74&lt;&gt;$DO74) + $B$19*($DN74=$DO74))</f>
        <v>3.7037037037037035E-4</v>
      </c>
      <c r="FN74" s="10" cm="1">
        <f t="array" aca="1" ref="FN74" ca="1">(1-$B$18)*SUMPRODUCT(OFFSET($BO$15,0,0,$B$14,1), 1*(_xlfn._xlws.FILTER(OFFSET($O$15,0,$DN74,$B$8,1),OFFSET($M$15,0,0,$B$8,1))=FN$13), 1*(_xlfn._xlws.FILTER(OFFSET($O$15,0,$DO74,$B$8,1),OFFSET($M$15,0,0,$B$8,1))=FN$14))   /   SUM(OFFSET($BO$15,0,0,$B$14,1)) + $B$18/($B$19*$B$19*($DN74&lt;&gt;$DO74) + $B$19*($DN74=$DO74))</f>
        <v>3.7037037037037035E-4</v>
      </c>
      <c r="FO74" s="10" cm="1">
        <f t="array" aca="1" ref="FO74" ca="1">(1-$B$18)*SUMPRODUCT(OFFSET($BO$15,0,0,$B$14,1), 1*(_xlfn._xlws.FILTER(OFFSET($O$15,0,$DN74,$B$8,1),OFFSET($M$15,0,0,$B$8,1))=FO$13), 1*(_xlfn._xlws.FILTER(OFFSET($O$15,0,$DO74,$B$8,1),OFFSET($M$15,0,0,$B$8,1))=FO$14))   /   SUM(OFFSET($BO$15,0,0,$B$14,1)) + $B$18/($B$19*$B$19*($DN74&lt;&gt;$DO74) + $B$19*($DN74=$DO74))</f>
        <v>3.7037037037037035E-4</v>
      </c>
      <c r="FP74" s="10" cm="1">
        <f t="array" aca="1" ref="FP74" ca="1">(1-$B$18)*SUMPRODUCT(OFFSET($BO$15,0,0,$B$14,1), 1*(_xlfn._xlws.FILTER(OFFSET($O$15,0,$DN74,$B$8,1),OFFSET($M$15,0,0,$B$8,1))=FP$13), 1*(_xlfn._xlws.FILTER(OFFSET($O$15,0,$DO74,$B$8,1),OFFSET($M$15,0,0,$B$8,1))=FP$14))   /   SUM(OFFSET($BO$15,0,0,$B$14,1)) + $B$18/($B$19*$B$19*($DN74&lt;&gt;$DO74) + $B$19*($DN74=$DO74))</f>
        <v>3.7037037037037035E-4</v>
      </c>
      <c r="FQ74" s="10" cm="1">
        <f t="array" aca="1" ref="FQ74" ca="1">(1-$B$18)*SUMPRODUCT(OFFSET($BO$15,0,0,$B$14,1), 1*(_xlfn._xlws.FILTER(OFFSET($O$15,0,$DN74,$B$8,1),OFFSET($M$15,0,0,$B$8,1))=FQ$13), 1*(_xlfn._xlws.FILTER(OFFSET($O$15,0,$DO74,$B$8,1),OFFSET($M$15,0,0,$B$8,1))=FQ$14))   /   SUM(OFFSET($BO$15,0,0,$B$14,1)) + $B$18/($B$19*$B$19*($DN74&lt;&gt;$DO74) + $B$19*($DN74=$DO74))</f>
        <v>3.7037037037037035E-4</v>
      </c>
      <c r="FR74" s="10" cm="1">
        <f t="array" aca="1" ref="FR74" ca="1">(1-$B$18)*SUMPRODUCT(OFFSET($BO$15,0,0,$B$14,1), 1*(_xlfn._xlws.FILTER(OFFSET($O$15,0,$DN74,$B$8,1),OFFSET($M$15,0,0,$B$8,1))=FR$13), 1*(_xlfn._xlws.FILTER(OFFSET($O$15,0,$DO74,$B$8,1),OFFSET($M$15,0,0,$B$8,1))=FR$14))   /   SUM(OFFSET($BO$15,0,0,$B$14,1)) + $B$18/($B$19*$B$19*($DN74&lt;&gt;$DO74) + $B$19*($DN74=$DO74))</f>
        <v>0.97037037037037033</v>
      </c>
      <c r="FS74" s="10" cm="1">
        <f t="array" aca="1" ref="FS74" ca="1">(1-$B$18)*SUMPRODUCT(OFFSET($BO$15,0,0,$B$14,1), 1*(_xlfn._xlws.FILTER(OFFSET($O$15,0,$DN74,$B$8,1),OFFSET($M$15,0,0,$B$8,1))=FS$13), 1*(_xlfn._xlws.FILTER(OFFSET($O$15,0,$DO74,$B$8,1),OFFSET($M$15,0,0,$B$8,1))=FS$14))   /   SUM(OFFSET($BO$15,0,0,$B$14,1)) + $B$18/($B$19*$B$19*($DN74&lt;&gt;$DO74) + $B$19*($DN74=$DO74))</f>
        <v>3.7037037037037035E-4</v>
      </c>
      <c r="FT74" s="10" cm="1">
        <f t="array" aca="1" ref="FT74" ca="1">(1-$B$18)*SUMPRODUCT(OFFSET($BO$15,0,0,$B$14,1), 1*(_xlfn._xlws.FILTER(OFFSET($O$15,0,$DN74,$B$8,1),OFFSET($M$15,0,0,$B$8,1))=FT$13), 1*(_xlfn._xlws.FILTER(OFFSET($O$15,0,$DO74,$B$8,1),OFFSET($M$15,0,0,$B$8,1))=FT$14))   /   SUM(OFFSET($BO$15,0,0,$B$14,1)) + $B$18/($B$19*$B$19*($DN74&lt;&gt;$DO74) + $B$19*($DN74=$DO74))</f>
        <v>3.7037037037037035E-4</v>
      </c>
      <c r="FU74" s="10" cm="1">
        <f t="array" aca="1" ref="FU74" ca="1">(1-$B$18)*SUMPRODUCT(OFFSET($BO$15,0,0,$B$14,1), 1*(_xlfn._xlws.FILTER(OFFSET($O$15,0,$DN74,$B$8,1),OFFSET($M$15,0,0,$B$8,1))=FU$13), 1*(_xlfn._xlws.FILTER(OFFSET($O$15,0,$DO74,$B$8,1),OFFSET($M$15,0,0,$B$8,1))=FU$14))   /   SUM(OFFSET($BO$15,0,0,$B$14,1)) + $B$18/($B$19*$B$19*($DN74&lt;&gt;$DO74) + $B$19*($DN74=$DO74))</f>
        <v>3.7037037037037035E-4</v>
      </c>
      <c r="FV74" s="10" cm="1">
        <f t="array" aca="1" ref="FV74" ca="1">(1-$B$18)*SUMPRODUCT(OFFSET($BO$15,0,0,$B$14,1), 1*(_xlfn._xlws.FILTER(OFFSET($O$15,0,$DN74,$B$8,1),OFFSET($M$15,0,0,$B$8,1))=FV$13), 1*(_xlfn._xlws.FILTER(OFFSET($O$15,0,$DO74,$B$8,1),OFFSET($M$15,0,0,$B$8,1))=FV$14))   /   SUM(OFFSET($BO$15,0,0,$B$14,1)) + $B$18/($B$19*$B$19*($DN74&lt;&gt;$DO74) + $B$19*($DN74=$DO74))</f>
        <v>3.7037037037037035E-4</v>
      </c>
      <c r="FW74" s="10" cm="1">
        <f t="array" aca="1" ref="FW74" ca="1">(1-$B$18)*SUMPRODUCT(OFFSET($BO$15,0,0,$B$14,1), 1*(_xlfn._xlws.FILTER(OFFSET($O$15,0,$DN74,$B$8,1),OFFSET($M$15,0,0,$B$8,1))=FW$13), 1*(_xlfn._xlws.FILTER(OFFSET($O$15,0,$DO74,$B$8,1),OFFSET($M$15,0,0,$B$8,1))=FW$14))   /   SUM(OFFSET($BO$15,0,0,$B$14,1)) + $B$18/($B$19*$B$19*($DN74&lt;&gt;$DO74) + $B$19*($DN74=$DO74))</f>
        <v>3.7037037037037035E-4</v>
      </c>
      <c r="FX74" s="10" cm="1">
        <f t="array" aca="1" ref="FX74" ca="1">(1-$B$18)*SUMPRODUCT(OFFSET($BO$15,0,0,$B$14,1), 1*(_xlfn._xlws.FILTER(OFFSET($O$15,0,$DN74,$B$8,1),OFFSET($M$15,0,0,$B$8,1))=FX$13), 1*(_xlfn._xlws.FILTER(OFFSET($O$15,0,$DO74,$B$8,1),OFFSET($M$15,0,0,$B$8,1))=FX$14))   /   SUM(OFFSET($BO$15,0,0,$B$14,1)) + $B$18/($B$19*$B$19*($DN74&lt;&gt;$DO74) + $B$19*($DN74=$DO74))</f>
        <v>3.7037037037037035E-4</v>
      </c>
      <c r="FY74" s="10" cm="1">
        <f t="array" aca="1" ref="FY74" ca="1">(1-$B$18)*SUMPRODUCT(OFFSET($BO$15,0,0,$B$14,1), 1*(_xlfn._xlws.FILTER(OFFSET($O$15,0,$DN74,$B$8,1),OFFSET($M$15,0,0,$B$8,1))=FY$13), 1*(_xlfn._xlws.FILTER(OFFSET($O$15,0,$DO74,$B$8,1),OFFSET($M$15,0,0,$B$8,1))=FY$14))   /   SUM(OFFSET($BO$15,0,0,$B$14,1)) + $B$18/($B$19*$B$19*($DN74&lt;&gt;$DO74) + $B$19*($DN74=$DO74))</f>
        <v>3.7037037037037035E-4</v>
      </c>
      <c r="FZ74" s="10" cm="1">
        <f t="array" aca="1" ref="FZ74" ca="1">(1-$B$18)*SUMPRODUCT(OFFSET($BO$15,0,0,$B$14,1), 1*(_xlfn._xlws.FILTER(OFFSET($O$15,0,$DN74,$B$8,1),OFFSET($M$15,0,0,$B$8,1))=FZ$13), 1*(_xlfn._xlws.FILTER(OFFSET($O$15,0,$DO74,$B$8,1),OFFSET($M$15,0,0,$B$8,1))=FZ$14))   /   SUM(OFFSET($BO$15,0,0,$B$14,1)) + $B$18/($B$19*$B$19*($DN74&lt;&gt;$DO74) + $B$19*($DN74=$DO74))</f>
        <v>3.7037037037037035E-4</v>
      </c>
      <c r="GA74" s="10" cm="1">
        <f t="array" aca="1" ref="GA74" ca="1">(1-$B$18)*SUMPRODUCT(OFFSET($BO$15,0,0,$B$14,1), 1*(_xlfn._xlws.FILTER(OFFSET($O$15,0,$DN74,$B$8,1),OFFSET($M$15,0,0,$B$8,1))=GA$13), 1*(_xlfn._xlws.FILTER(OFFSET($O$15,0,$DO74,$B$8,1),OFFSET($M$15,0,0,$B$8,1))=GA$14))   /   SUM(OFFSET($BO$15,0,0,$B$14,1)) + $B$18/($B$19*$B$19*($DN74&lt;&gt;$DO74) + $B$19*($DN74=$DO74))</f>
        <v>3.7037037037037035E-4</v>
      </c>
    </row>
    <row r="75" spans="7:183" x14ac:dyDescent="0.2">
      <c r="G75" s="2"/>
      <c r="H75" s="2"/>
      <c r="DN75" cm="1">
        <f t="array" aca="1" ref="DN75" ca="1">INDEX(_xlfn.ANCHORARRAY($CP$15), 1 + INT((ROWS($DO$15:$DO75) - 1) / ROWS(_xlfn.ANCHORARRAY($CP$15))))</f>
        <v>3</v>
      </c>
      <c r="DO75" cm="1">
        <f t="array" aca="1" ref="DO75" ca="1">INDEX(_xlfn.ANCHORARRAY($CP$15),1+MOD(ROWS($DO$15:$DO75)-1,ROWS(_xlfn.ANCHORARRAY($CP$15))))</f>
        <v>3</v>
      </c>
      <c r="DP75" s="10" cm="1">
        <f t="array" aca="1" ref="DP75" ca="1">(1-$B$18)*SUMPRODUCT(OFFSET($BO$15,0,0,$B$14,1), 1*(_xlfn._xlws.FILTER(OFFSET($O$15,0,$DN75,$B$8,1),OFFSET($M$15,0,0,$B$8,1))=DP$13), 1*(_xlfn._xlws.FILTER(OFFSET($O$15,0,$DO75,$B$8,1),OFFSET($M$15,0,0,$B$8,1))=DP$14))   /   SUM(OFFSET($BO$15,0,0,$B$14,1)) + $B$18/($B$19*$B$19*($DN75&lt;&gt;$DO75) + $B$19*($DN75=$DO75))</f>
        <v>3.3333333333333331E-3</v>
      </c>
      <c r="DQ75" s="10" cm="1">
        <f t="array" aca="1" ref="DQ75" ca="1">(1-$B$18)*SUMPRODUCT(OFFSET($BO$15,0,0,$B$14,1), 1*(_xlfn._xlws.FILTER(OFFSET($O$15,0,$DN75,$B$8,1),OFFSET($M$15,0,0,$B$8,1))=DQ$13), 1*(_xlfn._xlws.FILTER(OFFSET($O$15,0,$DO75,$B$8,1),OFFSET($M$15,0,0,$B$8,1))=DQ$14))   /   SUM(OFFSET($BO$15,0,0,$B$14,1)) + $B$18/($B$19*$B$19*($DN75&lt;&gt;$DO75) + $B$19*($DN75=$DO75))</f>
        <v>3.3333333333333331E-3</v>
      </c>
      <c r="DR75" s="10" cm="1">
        <f t="array" aca="1" ref="DR75" ca="1">(1-$B$18)*SUMPRODUCT(OFFSET($BO$15,0,0,$B$14,1), 1*(_xlfn._xlws.FILTER(OFFSET($O$15,0,$DN75,$B$8,1),OFFSET($M$15,0,0,$B$8,1))=DR$13), 1*(_xlfn._xlws.FILTER(OFFSET($O$15,0,$DO75,$B$8,1),OFFSET($M$15,0,0,$B$8,1))=DR$14))   /   SUM(OFFSET($BO$15,0,0,$B$14,1)) + $B$18/($B$19*$B$19*($DN75&lt;&gt;$DO75) + $B$19*($DN75=$DO75))</f>
        <v>3.3333333333333331E-3</v>
      </c>
      <c r="DS75" s="10" cm="1">
        <f t="array" aca="1" ref="DS75" ca="1">(1-$B$18)*SUMPRODUCT(OFFSET($BO$15,0,0,$B$14,1), 1*(_xlfn._xlws.FILTER(OFFSET($O$15,0,$DN75,$B$8,1),OFFSET($M$15,0,0,$B$8,1))=DS$13), 1*(_xlfn._xlws.FILTER(OFFSET($O$15,0,$DO75,$B$8,1),OFFSET($M$15,0,0,$B$8,1))=DS$14))   /   SUM(OFFSET($BO$15,0,0,$B$14,1)) + $B$18/($B$19*$B$19*($DN75&lt;&gt;$DO75) + $B$19*($DN75=$DO75))</f>
        <v>3.3333333333333331E-3</v>
      </c>
      <c r="DT75" s="10" cm="1">
        <f t="array" aca="1" ref="DT75" ca="1">(1-$B$18)*SUMPRODUCT(OFFSET($BO$15,0,0,$B$14,1), 1*(_xlfn._xlws.FILTER(OFFSET($O$15,0,$DN75,$B$8,1),OFFSET($M$15,0,0,$B$8,1))=DT$13), 1*(_xlfn._xlws.FILTER(OFFSET($O$15,0,$DO75,$B$8,1),OFFSET($M$15,0,0,$B$8,1))=DT$14))   /   SUM(OFFSET($BO$15,0,0,$B$14,1)) + $B$18/($B$19*$B$19*($DN75&lt;&gt;$DO75) + $B$19*($DN75=$DO75))</f>
        <v>3.3333333333333331E-3</v>
      </c>
      <c r="DU75" s="10" cm="1">
        <f t="array" aca="1" ref="DU75" ca="1">(1-$B$18)*SUMPRODUCT(OFFSET($BO$15,0,0,$B$14,1), 1*(_xlfn._xlws.FILTER(OFFSET($O$15,0,$DN75,$B$8,1),OFFSET($M$15,0,0,$B$8,1))=DU$13), 1*(_xlfn._xlws.FILTER(OFFSET($O$15,0,$DO75,$B$8,1),OFFSET($M$15,0,0,$B$8,1))=DU$14))   /   SUM(OFFSET($BO$15,0,0,$B$14,1)) + $B$18/($B$19*$B$19*($DN75&lt;&gt;$DO75) + $B$19*($DN75=$DO75))</f>
        <v>3.3333333333333331E-3</v>
      </c>
      <c r="DV75" s="10" cm="1">
        <f t="array" aca="1" ref="DV75" ca="1">(1-$B$18)*SUMPRODUCT(OFFSET($BO$15,0,0,$B$14,1), 1*(_xlfn._xlws.FILTER(OFFSET($O$15,0,$DN75,$B$8,1),OFFSET($M$15,0,0,$B$8,1))=DV$13), 1*(_xlfn._xlws.FILTER(OFFSET($O$15,0,$DO75,$B$8,1),OFFSET($M$15,0,0,$B$8,1))=DV$14))   /   SUM(OFFSET($BO$15,0,0,$B$14,1)) + $B$18/($B$19*$B$19*($DN75&lt;&gt;$DO75) + $B$19*($DN75=$DO75))</f>
        <v>3.3333333333333331E-3</v>
      </c>
      <c r="DW75" s="10" cm="1">
        <f t="array" aca="1" ref="DW75" ca="1">(1-$B$18)*SUMPRODUCT(OFFSET($BO$15,0,0,$B$14,1), 1*(_xlfn._xlws.FILTER(OFFSET($O$15,0,$DN75,$B$8,1),OFFSET($M$15,0,0,$B$8,1))=DW$13), 1*(_xlfn._xlws.FILTER(OFFSET($O$15,0,$DO75,$B$8,1),OFFSET($M$15,0,0,$B$8,1))=DW$14))   /   SUM(OFFSET($BO$15,0,0,$B$14,1)) + $B$18/($B$19*$B$19*($DN75&lt;&gt;$DO75) + $B$19*($DN75=$DO75))</f>
        <v>3.3333333333333331E-3</v>
      </c>
      <c r="DX75" s="10" cm="1">
        <f t="array" aca="1" ref="DX75" ca="1">(1-$B$18)*SUMPRODUCT(OFFSET($BO$15,0,0,$B$14,1), 1*(_xlfn._xlws.FILTER(OFFSET($O$15,0,$DN75,$B$8,1),OFFSET($M$15,0,0,$B$8,1))=DX$13), 1*(_xlfn._xlws.FILTER(OFFSET($O$15,0,$DO75,$B$8,1),OFFSET($M$15,0,0,$B$8,1))=DX$14))   /   SUM(OFFSET($BO$15,0,0,$B$14,1)) + $B$18/($B$19*$B$19*($DN75&lt;&gt;$DO75) + $B$19*($DN75=$DO75))</f>
        <v>3.3333333333333331E-3</v>
      </c>
      <c r="DY75" s="10" cm="1">
        <f t="array" aca="1" ref="DY75" ca="1">(1-$B$18)*SUMPRODUCT(OFFSET($BO$15,0,0,$B$14,1), 1*(_xlfn._xlws.FILTER(OFFSET($O$15,0,$DN75,$B$8,1),OFFSET($M$15,0,0,$B$8,1))=DY$13), 1*(_xlfn._xlws.FILTER(OFFSET($O$15,0,$DO75,$B$8,1),OFFSET($M$15,0,0,$B$8,1))=DY$14))   /   SUM(OFFSET($BO$15,0,0,$B$14,1)) + $B$18/($B$19*$B$19*($DN75&lt;&gt;$DO75) + $B$19*($DN75=$DO75))</f>
        <v>3.3333333333333331E-3</v>
      </c>
      <c r="DZ75" s="10" cm="1">
        <f t="array" aca="1" ref="DZ75" ca="1">(1-$B$18)*SUMPRODUCT(OFFSET($BO$15,0,0,$B$14,1), 1*(_xlfn._xlws.FILTER(OFFSET($O$15,0,$DN75,$B$8,1),OFFSET($M$15,0,0,$B$8,1))=DZ$13), 1*(_xlfn._xlws.FILTER(OFFSET($O$15,0,$DO75,$B$8,1),OFFSET($M$15,0,0,$B$8,1))=DZ$14))   /   SUM(OFFSET($BO$15,0,0,$B$14,1)) + $B$18/($B$19*$B$19*($DN75&lt;&gt;$DO75) + $B$19*($DN75=$DO75))</f>
        <v>3.3333333333333331E-3</v>
      </c>
      <c r="EA75" s="10" cm="1">
        <f t="array" aca="1" ref="EA75" ca="1">(1-$B$18)*SUMPRODUCT(OFFSET($BO$15,0,0,$B$14,1), 1*(_xlfn._xlws.FILTER(OFFSET($O$15,0,$DN75,$B$8,1),OFFSET($M$15,0,0,$B$8,1))=EA$13), 1*(_xlfn._xlws.FILTER(OFFSET($O$15,0,$DO75,$B$8,1),OFFSET($M$15,0,0,$B$8,1))=EA$14))   /   SUM(OFFSET($BO$15,0,0,$B$14,1)) + $B$18/($B$19*$B$19*($DN75&lt;&gt;$DO75) + $B$19*($DN75=$DO75))</f>
        <v>3.3333333333333331E-3</v>
      </c>
      <c r="EB75" s="10" cm="1">
        <f t="array" aca="1" ref="EB75" ca="1">(1-$B$18)*SUMPRODUCT(OFFSET($BO$15,0,0,$B$14,1), 1*(_xlfn._xlws.FILTER(OFFSET($O$15,0,$DN75,$B$8,1),OFFSET($M$15,0,0,$B$8,1))=EB$13), 1*(_xlfn._xlws.FILTER(OFFSET($O$15,0,$DO75,$B$8,1),OFFSET($M$15,0,0,$B$8,1))=EB$14))   /   SUM(OFFSET($BO$15,0,0,$B$14,1)) + $B$18/($B$19*$B$19*($DN75&lt;&gt;$DO75) + $B$19*($DN75=$DO75))</f>
        <v>3.3333333333333331E-3</v>
      </c>
      <c r="EC75" s="10" cm="1">
        <f t="array" aca="1" ref="EC75" ca="1">(1-$B$18)*SUMPRODUCT(OFFSET($BO$15,0,0,$B$14,1), 1*(_xlfn._xlws.FILTER(OFFSET($O$15,0,$DN75,$B$8,1),OFFSET($M$15,0,0,$B$8,1))=EC$13), 1*(_xlfn._xlws.FILTER(OFFSET($O$15,0,$DO75,$B$8,1),OFFSET($M$15,0,0,$B$8,1))=EC$14))   /   SUM(OFFSET($BO$15,0,0,$B$14,1)) + $B$18/($B$19*$B$19*($DN75&lt;&gt;$DO75) + $B$19*($DN75=$DO75))</f>
        <v>3.3333333333333331E-3</v>
      </c>
      <c r="ED75" s="10" cm="1">
        <f t="array" aca="1" ref="ED75" ca="1">(1-$B$18)*SUMPRODUCT(OFFSET($BO$15,0,0,$B$14,1), 1*(_xlfn._xlws.FILTER(OFFSET($O$15,0,$DN75,$B$8,1),OFFSET($M$15,0,0,$B$8,1))=ED$13), 1*(_xlfn._xlws.FILTER(OFFSET($O$15,0,$DO75,$B$8,1),OFFSET($M$15,0,0,$B$8,1))=ED$14))   /   SUM(OFFSET($BO$15,0,0,$B$14,1)) + $B$18/($B$19*$B$19*($DN75&lt;&gt;$DO75) + $B$19*($DN75=$DO75))</f>
        <v>3.3333333333333331E-3</v>
      </c>
      <c r="EE75" s="10" cm="1">
        <f t="array" aca="1" ref="EE75" ca="1">(1-$B$18)*SUMPRODUCT(OFFSET($BO$15,0,0,$B$14,1), 1*(_xlfn._xlws.FILTER(OFFSET($O$15,0,$DN75,$B$8,1),OFFSET($M$15,0,0,$B$8,1))=EE$13), 1*(_xlfn._xlws.FILTER(OFFSET($O$15,0,$DO75,$B$8,1),OFFSET($M$15,0,0,$B$8,1))=EE$14))   /   SUM(OFFSET($BO$15,0,0,$B$14,1)) + $B$18/($B$19*$B$19*($DN75&lt;&gt;$DO75) + $B$19*($DN75=$DO75))</f>
        <v>3.3333333333333331E-3</v>
      </c>
      <c r="EF75" s="10" cm="1">
        <f t="array" aca="1" ref="EF75" ca="1">(1-$B$18)*SUMPRODUCT(OFFSET($BO$15,0,0,$B$14,1), 1*(_xlfn._xlws.FILTER(OFFSET($O$15,0,$DN75,$B$8,1),OFFSET($M$15,0,0,$B$8,1))=EF$13), 1*(_xlfn._xlws.FILTER(OFFSET($O$15,0,$DO75,$B$8,1),OFFSET($M$15,0,0,$B$8,1))=EF$14))   /   SUM(OFFSET($BO$15,0,0,$B$14,1)) + $B$18/($B$19*$B$19*($DN75&lt;&gt;$DO75) + $B$19*($DN75=$DO75))</f>
        <v>3.3333333333333331E-3</v>
      </c>
      <c r="EG75" s="10" cm="1">
        <f t="array" aca="1" ref="EG75" ca="1">(1-$B$18)*SUMPRODUCT(OFFSET($BO$15,0,0,$B$14,1), 1*(_xlfn._xlws.FILTER(OFFSET($O$15,0,$DN75,$B$8,1),OFFSET($M$15,0,0,$B$8,1))=EG$13), 1*(_xlfn._xlws.FILTER(OFFSET($O$15,0,$DO75,$B$8,1),OFFSET($M$15,0,0,$B$8,1))=EG$14))   /   SUM(OFFSET($BO$15,0,0,$B$14,1)) + $B$18/($B$19*$B$19*($DN75&lt;&gt;$DO75) + $B$19*($DN75=$DO75))</f>
        <v>3.3333333333333331E-3</v>
      </c>
      <c r="EH75" s="10" cm="1">
        <f t="array" aca="1" ref="EH75" ca="1">(1-$B$18)*SUMPRODUCT(OFFSET($BO$15,0,0,$B$14,1), 1*(_xlfn._xlws.FILTER(OFFSET($O$15,0,$DN75,$B$8,1),OFFSET($M$15,0,0,$B$8,1))=EH$13), 1*(_xlfn._xlws.FILTER(OFFSET($O$15,0,$DO75,$B$8,1),OFFSET($M$15,0,0,$B$8,1))=EH$14))   /   SUM(OFFSET($BO$15,0,0,$B$14,1)) + $B$18/($B$19*$B$19*($DN75&lt;&gt;$DO75) + $B$19*($DN75=$DO75))</f>
        <v>3.3333333333333331E-3</v>
      </c>
      <c r="EI75" s="10" cm="1">
        <f t="array" aca="1" ref="EI75" ca="1">(1-$B$18)*SUMPRODUCT(OFFSET($BO$15,0,0,$B$14,1), 1*(_xlfn._xlws.FILTER(OFFSET($O$15,0,$DN75,$B$8,1),OFFSET($M$15,0,0,$B$8,1))=EI$13), 1*(_xlfn._xlws.FILTER(OFFSET($O$15,0,$DO75,$B$8,1),OFFSET($M$15,0,0,$B$8,1))=EI$14))   /   SUM(OFFSET($BO$15,0,0,$B$14,1)) + $B$18/($B$19*$B$19*($DN75&lt;&gt;$DO75) + $B$19*($DN75=$DO75))</f>
        <v>3.3333333333333331E-3</v>
      </c>
      <c r="EJ75" s="10" cm="1">
        <f t="array" aca="1" ref="EJ75" ca="1">(1-$B$18)*SUMPRODUCT(OFFSET($BO$15,0,0,$B$14,1), 1*(_xlfn._xlws.FILTER(OFFSET($O$15,0,$DN75,$B$8,1),OFFSET($M$15,0,0,$B$8,1))=EJ$13), 1*(_xlfn._xlws.FILTER(OFFSET($O$15,0,$DO75,$B$8,1),OFFSET($M$15,0,0,$B$8,1))=EJ$14))   /   SUM(OFFSET($BO$15,0,0,$B$14,1)) + $B$18/($B$19*$B$19*($DN75&lt;&gt;$DO75) + $B$19*($DN75=$DO75))</f>
        <v>3.3333333333333331E-3</v>
      </c>
      <c r="EK75" s="10" cm="1">
        <f t="array" aca="1" ref="EK75" ca="1">(1-$B$18)*SUMPRODUCT(OFFSET($BO$15,0,0,$B$14,1), 1*(_xlfn._xlws.FILTER(OFFSET($O$15,0,$DN75,$B$8,1),OFFSET($M$15,0,0,$B$8,1))=EK$13), 1*(_xlfn._xlws.FILTER(OFFSET($O$15,0,$DO75,$B$8,1),OFFSET($M$15,0,0,$B$8,1))=EK$14))   /   SUM(OFFSET($BO$15,0,0,$B$14,1)) + $B$18/($B$19*$B$19*($DN75&lt;&gt;$DO75) + $B$19*($DN75=$DO75))</f>
        <v>3.3333333333333331E-3</v>
      </c>
      <c r="EL75" s="10" cm="1">
        <f t="array" aca="1" ref="EL75" ca="1">(1-$B$18)*SUMPRODUCT(OFFSET($BO$15,0,0,$B$14,1), 1*(_xlfn._xlws.FILTER(OFFSET($O$15,0,$DN75,$B$8,1),OFFSET($M$15,0,0,$B$8,1))=EL$13), 1*(_xlfn._xlws.FILTER(OFFSET($O$15,0,$DO75,$B$8,1),OFFSET($M$15,0,0,$B$8,1))=EL$14))   /   SUM(OFFSET($BO$15,0,0,$B$14,1)) + $B$18/($B$19*$B$19*($DN75&lt;&gt;$DO75) + $B$19*($DN75=$DO75))</f>
        <v>3.3333333333333331E-3</v>
      </c>
      <c r="EM75" s="10" cm="1">
        <f t="array" aca="1" ref="EM75" ca="1">(1-$B$18)*SUMPRODUCT(OFFSET($BO$15,0,0,$B$14,1), 1*(_xlfn._xlws.FILTER(OFFSET($O$15,0,$DN75,$B$8,1),OFFSET($M$15,0,0,$B$8,1))=EM$13), 1*(_xlfn._xlws.FILTER(OFFSET($O$15,0,$DO75,$B$8,1),OFFSET($M$15,0,0,$B$8,1))=EM$14))   /   SUM(OFFSET($BO$15,0,0,$B$14,1)) + $B$18/($B$19*$B$19*($DN75&lt;&gt;$DO75) + $B$19*($DN75=$DO75))</f>
        <v>3.3333333333333331E-3</v>
      </c>
      <c r="EN75" s="10" cm="1">
        <f t="array" aca="1" ref="EN75" ca="1">(1-$B$18)*SUMPRODUCT(OFFSET($BO$15,0,0,$B$14,1), 1*(_xlfn._xlws.FILTER(OFFSET($O$15,0,$DN75,$B$8,1),OFFSET($M$15,0,0,$B$8,1))=EN$13), 1*(_xlfn._xlws.FILTER(OFFSET($O$15,0,$DO75,$B$8,1),OFFSET($M$15,0,0,$B$8,1))=EN$14))   /   SUM(OFFSET($BO$15,0,0,$B$14,1)) + $B$18/($B$19*$B$19*($DN75&lt;&gt;$DO75) + $B$19*($DN75=$DO75))</f>
        <v>3.3333333333333331E-3</v>
      </c>
      <c r="EO75" s="10" cm="1">
        <f t="array" aca="1" ref="EO75" ca="1">(1-$B$18)*SUMPRODUCT(OFFSET($BO$15,0,0,$B$14,1), 1*(_xlfn._xlws.FILTER(OFFSET($O$15,0,$DN75,$B$8,1),OFFSET($M$15,0,0,$B$8,1))=EO$13), 1*(_xlfn._xlws.FILTER(OFFSET($O$15,0,$DO75,$B$8,1),OFFSET($M$15,0,0,$B$8,1))=EO$14))   /   SUM(OFFSET($BO$15,0,0,$B$14,1)) + $B$18/($B$19*$B$19*($DN75&lt;&gt;$DO75) + $B$19*($DN75=$DO75))</f>
        <v>3.3333333333333331E-3</v>
      </c>
      <c r="EP75" s="10" cm="1">
        <f t="array" aca="1" ref="EP75" ca="1">(1-$B$18)*SUMPRODUCT(OFFSET($BO$15,0,0,$B$14,1), 1*(_xlfn._xlws.FILTER(OFFSET($O$15,0,$DN75,$B$8,1),OFFSET($M$15,0,0,$B$8,1))=EP$13), 1*(_xlfn._xlws.FILTER(OFFSET($O$15,0,$DO75,$B$8,1),OFFSET($M$15,0,0,$B$8,1))=EP$14))   /   SUM(OFFSET($BO$15,0,0,$B$14,1)) + $B$18/($B$19*$B$19*($DN75&lt;&gt;$DO75) + $B$19*($DN75=$DO75))</f>
        <v>3.3333333333333331E-3</v>
      </c>
      <c r="EQ75" s="10" cm="1">
        <f t="array" aca="1" ref="EQ75" ca="1">(1-$B$18)*SUMPRODUCT(OFFSET($BO$15,0,0,$B$14,1), 1*(_xlfn._xlws.FILTER(OFFSET($O$15,0,$DN75,$B$8,1),OFFSET($M$15,0,0,$B$8,1))=EQ$13), 1*(_xlfn._xlws.FILTER(OFFSET($O$15,0,$DO75,$B$8,1),OFFSET($M$15,0,0,$B$8,1))=EQ$14))   /   SUM(OFFSET($BO$15,0,0,$B$14,1)) + $B$18/($B$19*$B$19*($DN75&lt;&gt;$DO75) + $B$19*($DN75=$DO75))</f>
        <v>3.3333333333333331E-3</v>
      </c>
      <c r="ER75" s="10" cm="1">
        <f t="array" aca="1" ref="ER75" ca="1">(1-$B$18)*SUMPRODUCT(OFFSET($BO$15,0,0,$B$14,1), 1*(_xlfn._xlws.FILTER(OFFSET($O$15,0,$DN75,$B$8,1),OFFSET($M$15,0,0,$B$8,1))=ER$13), 1*(_xlfn._xlws.FILTER(OFFSET($O$15,0,$DO75,$B$8,1),OFFSET($M$15,0,0,$B$8,1))=ER$14))   /   SUM(OFFSET($BO$15,0,0,$B$14,1)) + $B$18/($B$19*$B$19*($DN75&lt;&gt;$DO75) + $B$19*($DN75=$DO75))</f>
        <v>3.3333333333333331E-3</v>
      </c>
      <c r="ES75" s="10" cm="1">
        <f t="array" aca="1" ref="ES75" ca="1">(1-$B$18)*SUMPRODUCT(OFFSET($BO$15,0,0,$B$14,1), 1*(_xlfn._xlws.FILTER(OFFSET($O$15,0,$DN75,$B$8,1),OFFSET($M$15,0,0,$B$8,1))=ES$13), 1*(_xlfn._xlws.FILTER(OFFSET($O$15,0,$DO75,$B$8,1),OFFSET($M$15,0,0,$B$8,1))=ES$14))   /   SUM(OFFSET($BO$15,0,0,$B$14,1)) + $B$18/($B$19*$B$19*($DN75&lt;&gt;$DO75) + $B$19*($DN75=$DO75))</f>
        <v>3.3333333333333331E-3</v>
      </c>
      <c r="ET75" s="10" cm="1">
        <f t="array" aca="1" ref="ET75" ca="1">(1-$B$18)*SUMPRODUCT(OFFSET($BO$15,0,0,$B$14,1), 1*(_xlfn._xlws.FILTER(OFFSET($O$15,0,$DN75,$B$8,1),OFFSET($M$15,0,0,$B$8,1))=ET$13), 1*(_xlfn._xlws.FILTER(OFFSET($O$15,0,$DO75,$B$8,1),OFFSET($M$15,0,0,$B$8,1))=ET$14))   /   SUM(OFFSET($BO$15,0,0,$B$14,1)) + $B$18/($B$19*$B$19*($DN75&lt;&gt;$DO75) + $B$19*($DN75=$DO75))</f>
        <v>3.3333333333333331E-3</v>
      </c>
      <c r="EU75" s="10" cm="1">
        <f t="array" aca="1" ref="EU75" ca="1">(1-$B$18)*SUMPRODUCT(OFFSET($BO$15,0,0,$B$14,1), 1*(_xlfn._xlws.FILTER(OFFSET($O$15,0,$DN75,$B$8,1),OFFSET($M$15,0,0,$B$8,1))=EU$13), 1*(_xlfn._xlws.FILTER(OFFSET($O$15,0,$DO75,$B$8,1),OFFSET($M$15,0,0,$B$8,1))=EU$14))   /   SUM(OFFSET($BO$15,0,0,$B$14,1)) + $B$18/($B$19*$B$19*($DN75&lt;&gt;$DO75) + $B$19*($DN75=$DO75))</f>
        <v>3.3333333333333331E-3</v>
      </c>
      <c r="EV75" s="10" cm="1">
        <f t="array" aca="1" ref="EV75" ca="1">(1-$B$18)*SUMPRODUCT(OFFSET($BO$15,0,0,$B$14,1), 1*(_xlfn._xlws.FILTER(OFFSET($O$15,0,$DN75,$B$8,1),OFFSET($M$15,0,0,$B$8,1))=EV$13), 1*(_xlfn._xlws.FILTER(OFFSET($O$15,0,$DO75,$B$8,1),OFFSET($M$15,0,0,$B$8,1))=EV$14))   /   SUM(OFFSET($BO$15,0,0,$B$14,1)) + $B$18/($B$19*$B$19*($DN75&lt;&gt;$DO75) + $B$19*($DN75=$DO75))</f>
        <v>3.3333333333333331E-3</v>
      </c>
      <c r="EW75" s="10" cm="1">
        <f t="array" aca="1" ref="EW75" ca="1">(1-$B$18)*SUMPRODUCT(OFFSET($BO$15,0,0,$B$14,1), 1*(_xlfn._xlws.FILTER(OFFSET($O$15,0,$DN75,$B$8,1),OFFSET($M$15,0,0,$B$8,1))=EW$13), 1*(_xlfn._xlws.FILTER(OFFSET($O$15,0,$DO75,$B$8,1),OFFSET($M$15,0,0,$B$8,1))=EW$14))   /   SUM(OFFSET($BO$15,0,0,$B$14,1)) + $B$18/($B$19*$B$19*($DN75&lt;&gt;$DO75) + $B$19*($DN75=$DO75))</f>
        <v>3.3333333333333331E-3</v>
      </c>
      <c r="EX75" s="10" cm="1">
        <f t="array" aca="1" ref="EX75" ca="1">(1-$B$18)*SUMPRODUCT(OFFSET($BO$15,0,0,$B$14,1), 1*(_xlfn._xlws.FILTER(OFFSET($O$15,0,$DN75,$B$8,1),OFFSET($M$15,0,0,$B$8,1))=EX$13), 1*(_xlfn._xlws.FILTER(OFFSET($O$15,0,$DO75,$B$8,1),OFFSET($M$15,0,0,$B$8,1))=EX$14))   /   SUM(OFFSET($BO$15,0,0,$B$14,1)) + $B$18/($B$19*$B$19*($DN75&lt;&gt;$DO75) + $B$19*($DN75=$DO75))</f>
        <v>3.3333333333333331E-3</v>
      </c>
      <c r="EY75" s="10" cm="1">
        <f t="array" aca="1" ref="EY75" ca="1">(1-$B$18)*SUMPRODUCT(OFFSET($BO$15,0,0,$B$14,1), 1*(_xlfn._xlws.FILTER(OFFSET($O$15,0,$DN75,$B$8,1),OFFSET($M$15,0,0,$B$8,1))=EY$13), 1*(_xlfn._xlws.FILTER(OFFSET($O$15,0,$DO75,$B$8,1),OFFSET($M$15,0,0,$B$8,1))=EY$14))   /   SUM(OFFSET($BO$15,0,0,$B$14,1)) + $B$18/($B$19*$B$19*($DN75&lt;&gt;$DO75) + $B$19*($DN75=$DO75))</f>
        <v>3.3333333333333331E-3</v>
      </c>
      <c r="EZ75" s="10" cm="1">
        <f t="array" aca="1" ref="EZ75" ca="1">(1-$B$18)*SUMPRODUCT(OFFSET($BO$15,0,0,$B$14,1), 1*(_xlfn._xlws.FILTER(OFFSET($O$15,0,$DN75,$B$8,1),OFFSET($M$15,0,0,$B$8,1))=EZ$13), 1*(_xlfn._xlws.FILTER(OFFSET($O$15,0,$DO75,$B$8,1),OFFSET($M$15,0,0,$B$8,1))=EZ$14))   /   SUM(OFFSET($BO$15,0,0,$B$14,1)) + $B$18/($B$19*$B$19*($DN75&lt;&gt;$DO75) + $B$19*($DN75=$DO75))</f>
        <v>3.3333333333333331E-3</v>
      </c>
      <c r="FA75" s="10" cm="1">
        <f t="array" aca="1" ref="FA75" ca="1">(1-$B$18)*SUMPRODUCT(OFFSET($BO$15,0,0,$B$14,1), 1*(_xlfn._xlws.FILTER(OFFSET($O$15,0,$DN75,$B$8,1),OFFSET($M$15,0,0,$B$8,1))=FA$13), 1*(_xlfn._xlws.FILTER(OFFSET($O$15,0,$DO75,$B$8,1),OFFSET($M$15,0,0,$B$8,1))=FA$14))   /   SUM(OFFSET($BO$15,0,0,$B$14,1)) + $B$18/($B$19*$B$19*($DN75&lt;&gt;$DO75) + $B$19*($DN75=$DO75))</f>
        <v>3.3333333333333331E-3</v>
      </c>
      <c r="FB75" s="10" cm="1">
        <f t="array" aca="1" ref="FB75" ca="1">(1-$B$18)*SUMPRODUCT(OFFSET($BO$15,0,0,$B$14,1), 1*(_xlfn._xlws.FILTER(OFFSET($O$15,0,$DN75,$B$8,1),OFFSET($M$15,0,0,$B$8,1))=FB$13), 1*(_xlfn._xlws.FILTER(OFFSET($O$15,0,$DO75,$B$8,1),OFFSET($M$15,0,0,$B$8,1))=FB$14))   /   SUM(OFFSET($BO$15,0,0,$B$14,1)) + $B$18/($B$19*$B$19*($DN75&lt;&gt;$DO75) + $B$19*($DN75=$DO75))</f>
        <v>3.3333333333333331E-3</v>
      </c>
      <c r="FC75" s="10" cm="1">
        <f t="array" aca="1" ref="FC75" ca="1">(1-$B$18)*SUMPRODUCT(OFFSET($BO$15,0,0,$B$14,1), 1*(_xlfn._xlws.FILTER(OFFSET($O$15,0,$DN75,$B$8,1),OFFSET($M$15,0,0,$B$8,1))=FC$13), 1*(_xlfn._xlws.FILTER(OFFSET($O$15,0,$DO75,$B$8,1),OFFSET($M$15,0,0,$B$8,1))=FC$14))   /   SUM(OFFSET($BO$15,0,0,$B$14,1)) + $B$18/($B$19*$B$19*($DN75&lt;&gt;$DO75) + $B$19*($DN75=$DO75))</f>
        <v>3.3333333333333331E-3</v>
      </c>
      <c r="FD75" s="10" cm="1">
        <f t="array" aca="1" ref="FD75" ca="1">(1-$B$18)*SUMPRODUCT(OFFSET($BO$15,0,0,$B$14,1), 1*(_xlfn._xlws.FILTER(OFFSET($O$15,0,$DN75,$B$8,1),OFFSET($M$15,0,0,$B$8,1))=FD$13), 1*(_xlfn._xlws.FILTER(OFFSET($O$15,0,$DO75,$B$8,1),OFFSET($M$15,0,0,$B$8,1))=FD$14))   /   SUM(OFFSET($BO$15,0,0,$B$14,1)) + $B$18/($B$19*$B$19*($DN75&lt;&gt;$DO75) + $B$19*($DN75=$DO75))</f>
        <v>3.3333333333333331E-3</v>
      </c>
      <c r="FE75" s="10" cm="1">
        <f t="array" aca="1" ref="FE75" ca="1">(1-$B$18)*SUMPRODUCT(OFFSET($BO$15,0,0,$B$14,1), 1*(_xlfn._xlws.FILTER(OFFSET($O$15,0,$DN75,$B$8,1),OFFSET($M$15,0,0,$B$8,1))=FE$13), 1*(_xlfn._xlws.FILTER(OFFSET($O$15,0,$DO75,$B$8,1),OFFSET($M$15,0,0,$B$8,1))=FE$14))   /   SUM(OFFSET($BO$15,0,0,$B$14,1)) + $B$18/($B$19*$B$19*($DN75&lt;&gt;$DO75) + $B$19*($DN75=$DO75))</f>
        <v>3.3333333333333331E-3</v>
      </c>
      <c r="FF75" s="10" cm="1">
        <f t="array" aca="1" ref="FF75" ca="1">(1-$B$18)*SUMPRODUCT(OFFSET($BO$15,0,0,$B$14,1), 1*(_xlfn._xlws.FILTER(OFFSET($O$15,0,$DN75,$B$8,1),OFFSET($M$15,0,0,$B$8,1))=FF$13), 1*(_xlfn._xlws.FILTER(OFFSET($O$15,0,$DO75,$B$8,1),OFFSET($M$15,0,0,$B$8,1))=FF$14))   /   SUM(OFFSET($BO$15,0,0,$B$14,1)) + $B$18/($B$19*$B$19*($DN75&lt;&gt;$DO75) + $B$19*($DN75=$DO75))</f>
        <v>3.3333333333333331E-3</v>
      </c>
      <c r="FG75" s="10" cm="1">
        <f t="array" aca="1" ref="FG75" ca="1">(1-$B$18)*SUMPRODUCT(OFFSET($BO$15,0,0,$B$14,1), 1*(_xlfn._xlws.FILTER(OFFSET($O$15,0,$DN75,$B$8,1),OFFSET($M$15,0,0,$B$8,1))=FG$13), 1*(_xlfn._xlws.FILTER(OFFSET($O$15,0,$DO75,$B$8,1),OFFSET($M$15,0,0,$B$8,1))=FG$14))   /   SUM(OFFSET($BO$15,0,0,$B$14,1)) + $B$18/($B$19*$B$19*($DN75&lt;&gt;$DO75) + $B$19*($DN75=$DO75))</f>
        <v>3.3333333333333331E-3</v>
      </c>
      <c r="FH75" s="10" cm="1">
        <f t="array" aca="1" ref="FH75" ca="1">(1-$B$18)*SUMPRODUCT(OFFSET($BO$15,0,0,$B$14,1), 1*(_xlfn._xlws.FILTER(OFFSET($O$15,0,$DN75,$B$8,1),OFFSET($M$15,0,0,$B$8,1))=FH$13), 1*(_xlfn._xlws.FILTER(OFFSET($O$15,0,$DO75,$B$8,1),OFFSET($M$15,0,0,$B$8,1))=FH$14))   /   SUM(OFFSET($BO$15,0,0,$B$14,1)) + $B$18/($B$19*$B$19*($DN75&lt;&gt;$DO75) + $B$19*($DN75=$DO75))</f>
        <v>3.3333333333333331E-3</v>
      </c>
      <c r="FI75" s="10" cm="1">
        <f t="array" aca="1" ref="FI75" ca="1">(1-$B$18)*SUMPRODUCT(OFFSET($BO$15,0,0,$B$14,1), 1*(_xlfn._xlws.FILTER(OFFSET($O$15,0,$DN75,$B$8,1),OFFSET($M$15,0,0,$B$8,1))=FI$13), 1*(_xlfn._xlws.FILTER(OFFSET($O$15,0,$DO75,$B$8,1),OFFSET($M$15,0,0,$B$8,1))=FI$14))   /   SUM(OFFSET($BO$15,0,0,$B$14,1)) + $B$18/($B$19*$B$19*($DN75&lt;&gt;$DO75) + $B$19*($DN75=$DO75))</f>
        <v>3.3333333333333331E-3</v>
      </c>
      <c r="FJ75" s="10" cm="1">
        <f t="array" aca="1" ref="FJ75" ca="1">(1-$B$18)*SUMPRODUCT(OFFSET($BO$15,0,0,$B$14,1), 1*(_xlfn._xlws.FILTER(OFFSET($O$15,0,$DN75,$B$8,1),OFFSET($M$15,0,0,$B$8,1))=FJ$13), 1*(_xlfn._xlws.FILTER(OFFSET($O$15,0,$DO75,$B$8,1),OFFSET($M$15,0,0,$B$8,1))=FJ$14))   /   SUM(OFFSET($BO$15,0,0,$B$14,1)) + $B$18/($B$19*$B$19*($DN75&lt;&gt;$DO75) + $B$19*($DN75=$DO75))</f>
        <v>3.3333333333333331E-3</v>
      </c>
      <c r="FK75" s="10" cm="1">
        <f t="array" aca="1" ref="FK75" ca="1">(1-$B$18)*SUMPRODUCT(OFFSET($BO$15,0,0,$B$14,1), 1*(_xlfn._xlws.FILTER(OFFSET($O$15,0,$DN75,$B$8,1),OFFSET($M$15,0,0,$B$8,1))=FK$13), 1*(_xlfn._xlws.FILTER(OFFSET($O$15,0,$DO75,$B$8,1),OFFSET($M$15,0,0,$B$8,1))=FK$14))   /   SUM(OFFSET($BO$15,0,0,$B$14,1)) + $B$18/($B$19*$B$19*($DN75&lt;&gt;$DO75) + $B$19*($DN75=$DO75))</f>
        <v>3.3333333333333331E-3</v>
      </c>
      <c r="FL75" s="10" cm="1">
        <f t="array" aca="1" ref="FL75" ca="1">(1-$B$18)*SUMPRODUCT(OFFSET($BO$15,0,0,$B$14,1), 1*(_xlfn._xlws.FILTER(OFFSET($O$15,0,$DN75,$B$8,1),OFFSET($M$15,0,0,$B$8,1))=FL$13), 1*(_xlfn._xlws.FILTER(OFFSET($O$15,0,$DO75,$B$8,1),OFFSET($M$15,0,0,$B$8,1))=FL$14))   /   SUM(OFFSET($BO$15,0,0,$B$14,1)) + $B$18/($B$19*$B$19*($DN75&lt;&gt;$DO75) + $B$19*($DN75=$DO75))</f>
        <v>3.3333333333333331E-3</v>
      </c>
      <c r="FM75" s="10" cm="1">
        <f t="array" aca="1" ref="FM75" ca="1">(1-$B$18)*SUMPRODUCT(OFFSET($BO$15,0,0,$B$14,1), 1*(_xlfn._xlws.FILTER(OFFSET($O$15,0,$DN75,$B$8,1),OFFSET($M$15,0,0,$B$8,1))=FM$13), 1*(_xlfn._xlws.FILTER(OFFSET($O$15,0,$DO75,$B$8,1),OFFSET($M$15,0,0,$B$8,1))=FM$14))   /   SUM(OFFSET($BO$15,0,0,$B$14,1)) + $B$18/($B$19*$B$19*($DN75&lt;&gt;$DO75) + $B$19*($DN75=$DO75))</f>
        <v>3.3333333333333331E-3</v>
      </c>
      <c r="FN75" s="10" cm="1">
        <f t="array" aca="1" ref="FN75" ca="1">(1-$B$18)*SUMPRODUCT(OFFSET($BO$15,0,0,$B$14,1), 1*(_xlfn._xlws.FILTER(OFFSET($O$15,0,$DN75,$B$8,1),OFFSET($M$15,0,0,$B$8,1))=FN$13), 1*(_xlfn._xlws.FILTER(OFFSET($O$15,0,$DO75,$B$8,1),OFFSET($M$15,0,0,$B$8,1))=FN$14))   /   SUM(OFFSET($BO$15,0,0,$B$14,1)) + $B$18/($B$19*$B$19*($DN75&lt;&gt;$DO75) + $B$19*($DN75=$DO75))</f>
        <v>3.3333333333333331E-3</v>
      </c>
      <c r="FO75" s="10" cm="1">
        <f t="array" aca="1" ref="FO75" ca="1">(1-$B$18)*SUMPRODUCT(OFFSET($BO$15,0,0,$B$14,1), 1*(_xlfn._xlws.FILTER(OFFSET($O$15,0,$DN75,$B$8,1),OFFSET($M$15,0,0,$B$8,1))=FO$13), 1*(_xlfn._xlws.FILTER(OFFSET($O$15,0,$DO75,$B$8,1),OFFSET($M$15,0,0,$B$8,1))=FO$14))   /   SUM(OFFSET($BO$15,0,0,$B$14,1)) + $B$18/($B$19*$B$19*($DN75&lt;&gt;$DO75) + $B$19*($DN75=$DO75))</f>
        <v>3.3333333333333331E-3</v>
      </c>
      <c r="FP75" s="10" cm="1">
        <f t="array" aca="1" ref="FP75" ca="1">(1-$B$18)*SUMPRODUCT(OFFSET($BO$15,0,0,$B$14,1), 1*(_xlfn._xlws.FILTER(OFFSET($O$15,0,$DN75,$B$8,1),OFFSET($M$15,0,0,$B$8,1))=FP$13), 1*(_xlfn._xlws.FILTER(OFFSET($O$15,0,$DO75,$B$8,1),OFFSET($M$15,0,0,$B$8,1))=FP$14))   /   SUM(OFFSET($BO$15,0,0,$B$14,1)) + $B$18/($B$19*$B$19*($DN75&lt;&gt;$DO75) + $B$19*($DN75=$DO75))</f>
        <v>3.3333333333333331E-3</v>
      </c>
      <c r="FQ75" s="10" cm="1">
        <f t="array" aca="1" ref="FQ75" ca="1">(1-$B$18)*SUMPRODUCT(OFFSET($BO$15,0,0,$B$14,1), 1*(_xlfn._xlws.FILTER(OFFSET($O$15,0,$DN75,$B$8,1),OFFSET($M$15,0,0,$B$8,1))=FQ$13), 1*(_xlfn._xlws.FILTER(OFFSET($O$15,0,$DO75,$B$8,1),OFFSET($M$15,0,0,$B$8,1))=FQ$14))   /   SUM(OFFSET($BO$15,0,0,$B$14,1)) + $B$18/($B$19*$B$19*($DN75&lt;&gt;$DO75) + $B$19*($DN75=$DO75))</f>
        <v>3.3333333333333331E-3</v>
      </c>
      <c r="FR75" s="10" cm="1">
        <f t="array" aca="1" ref="FR75" ca="1">(1-$B$18)*SUMPRODUCT(OFFSET($BO$15,0,0,$B$14,1), 1*(_xlfn._xlws.FILTER(OFFSET($O$15,0,$DN75,$B$8,1),OFFSET($M$15,0,0,$B$8,1))=FR$13), 1*(_xlfn._xlws.FILTER(OFFSET($O$15,0,$DO75,$B$8,1),OFFSET($M$15,0,0,$B$8,1))=FR$14))   /   SUM(OFFSET($BO$15,0,0,$B$14,1)) + $B$18/($B$19*$B$19*($DN75&lt;&gt;$DO75) + $B$19*($DN75=$DO75))</f>
        <v>0.97333333333333327</v>
      </c>
      <c r="FS75" s="10" cm="1">
        <f t="array" aca="1" ref="FS75" ca="1">(1-$B$18)*SUMPRODUCT(OFFSET($BO$15,0,0,$B$14,1), 1*(_xlfn._xlws.FILTER(OFFSET($O$15,0,$DN75,$B$8,1),OFFSET($M$15,0,0,$B$8,1))=FS$13), 1*(_xlfn._xlws.FILTER(OFFSET($O$15,0,$DO75,$B$8,1),OFFSET($M$15,0,0,$B$8,1))=FS$14))   /   SUM(OFFSET($BO$15,0,0,$B$14,1)) + $B$18/($B$19*$B$19*($DN75&lt;&gt;$DO75) + $B$19*($DN75=$DO75))</f>
        <v>3.3333333333333331E-3</v>
      </c>
      <c r="FT75" s="10" cm="1">
        <f t="array" aca="1" ref="FT75" ca="1">(1-$B$18)*SUMPRODUCT(OFFSET($BO$15,0,0,$B$14,1), 1*(_xlfn._xlws.FILTER(OFFSET($O$15,0,$DN75,$B$8,1),OFFSET($M$15,0,0,$B$8,1))=FT$13), 1*(_xlfn._xlws.FILTER(OFFSET($O$15,0,$DO75,$B$8,1),OFFSET($M$15,0,0,$B$8,1))=FT$14))   /   SUM(OFFSET($BO$15,0,0,$B$14,1)) + $B$18/($B$19*$B$19*($DN75&lt;&gt;$DO75) + $B$19*($DN75=$DO75))</f>
        <v>3.3333333333333331E-3</v>
      </c>
      <c r="FU75" s="10" cm="1">
        <f t="array" aca="1" ref="FU75" ca="1">(1-$B$18)*SUMPRODUCT(OFFSET($BO$15,0,0,$B$14,1), 1*(_xlfn._xlws.FILTER(OFFSET($O$15,0,$DN75,$B$8,1),OFFSET($M$15,0,0,$B$8,1))=FU$13), 1*(_xlfn._xlws.FILTER(OFFSET($O$15,0,$DO75,$B$8,1),OFFSET($M$15,0,0,$B$8,1))=FU$14))   /   SUM(OFFSET($BO$15,0,0,$B$14,1)) + $B$18/($B$19*$B$19*($DN75&lt;&gt;$DO75) + $B$19*($DN75=$DO75))</f>
        <v>3.3333333333333331E-3</v>
      </c>
      <c r="FV75" s="10" cm="1">
        <f t="array" aca="1" ref="FV75" ca="1">(1-$B$18)*SUMPRODUCT(OFFSET($BO$15,0,0,$B$14,1), 1*(_xlfn._xlws.FILTER(OFFSET($O$15,0,$DN75,$B$8,1),OFFSET($M$15,0,0,$B$8,1))=FV$13), 1*(_xlfn._xlws.FILTER(OFFSET($O$15,0,$DO75,$B$8,1),OFFSET($M$15,0,0,$B$8,1))=FV$14))   /   SUM(OFFSET($BO$15,0,0,$B$14,1)) + $B$18/($B$19*$B$19*($DN75&lt;&gt;$DO75) + $B$19*($DN75=$DO75))</f>
        <v>3.3333333333333331E-3</v>
      </c>
      <c r="FW75" s="10" cm="1">
        <f t="array" aca="1" ref="FW75" ca="1">(1-$B$18)*SUMPRODUCT(OFFSET($BO$15,0,0,$B$14,1), 1*(_xlfn._xlws.FILTER(OFFSET($O$15,0,$DN75,$B$8,1),OFFSET($M$15,0,0,$B$8,1))=FW$13), 1*(_xlfn._xlws.FILTER(OFFSET($O$15,0,$DO75,$B$8,1),OFFSET($M$15,0,0,$B$8,1))=FW$14))   /   SUM(OFFSET($BO$15,0,0,$B$14,1)) + $B$18/($B$19*$B$19*($DN75&lt;&gt;$DO75) + $B$19*($DN75=$DO75))</f>
        <v>3.3333333333333331E-3</v>
      </c>
      <c r="FX75" s="10" cm="1">
        <f t="array" aca="1" ref="FX75" ca="1">(1-$B$18)*SUMPRODUCT(OFFSET($BO$15,0,0,$B$14,1), 1*(_xlfn._xlws.FILTER(OFFSET($O$15,0,$DN75,$B$8,1),OFFSET($M$15,0,0,$B$8,1))=FX$13), 1*(_xlfn._xlws.FILTER(OFFSET($O$15,0,$DO75,$B$8,1),OFFSET($M$15,0,0,$B$8,1))=FX$14))   /   SUM(OFFSET($BO$15,0,0,$B$14,1)) + $B$18/($B$19*$B$19*($DN75&lt;&gt;$DO75) + $B$19*($DN75=$DO75))</f>
        <v>3.3333333333333331E-3</v>
      </c>
      <c r="FY75" s="10" cm="1">
        <f t="array" aca="1" ref="FY75" ca="1">(1-$B$18)*SUMPRODUCT(OFFSET($BO$15,0,0,$B$14,1), 1*(_xlfn._xlws.FILTER(OFFSET($O$15,0,$DN75,$B$8,1),OFFSET($M$15,0,0,$B$8,1))=FY$13), 1*(_xlfn._xlws.FILTER(OFFSET($O$15,0,$DO75,$B$8,1),OFFSET($M$15,0,0,$B$8,1))=FY$14))   /   SUM(OFFSET($BO$15,0,0,$B$14,1)) + $B$18/($B$19*$B$19*($DN75&lt;&gt;$DO75) + $B$19*($DN75=$DO75))</f>
        <v>3.3333333333333331E-3</v>
      </c>
      <c r="FZ75" s="10" cm="1">
        <f t="array" aca="1" ref="FZ75" ca="1">(1-$B$18)*SUMPRODUCT(OFFSET($BO$15,0,0,$B$14,1), 1*(_xlfn._xlws.FILTER(OFFSET($O$15,0,$DN75,$B$8,1),OFFSET($M$15,0,0,$B$8,1))=FZ$13), 1*(_xlfn._xlws.FILTER(OFFSET($O$15,0,$DO75,$B$8,1),OFFSET($M$15,0,0,$B$8,1))=FZ$14))   /   SUM(OFFSET($BO$15,0,0,$B$14,1)) + $B$18/($B$19*$B$19*($DN75&lt;&gt;$DO75) + $B$19*($DN75=$DO75))</f>
        <v>3.3333333333333331E-3</v>
      </c>
      <c r="GA75" s="10" cm="1">
        <f t="array" aca="1" ref="GA75" ca="1">(1-$B$18)*SUMPRODUCT(OFFSET($BO$15,0,0,$B$14,1), 1*(_xlfn._xlws.FILTER(OFFSET($O$15,0,$DN75,$B$8,1),OFFSET($M$15,0,0,$B$8,1))=GA$13), 1*(_xlfn._xlws.FILTER(OFFSET($O$15,0,$DO75,$B$8,1),OFFSET($M$15,0,0,$B$8,1))=GA$14))   /   SUM(OFFSET($BO$15,0,0,$B$14,1)) + $B$18/($B$19*$B$19*($DN75&lt;&gt;$DO75) + $B$19*($DN75=$DO75))</f>
        <v>3.3333333333333331E-3</v>
      </c>
    </row>
    <row r="76" spans="7:183" x14ac:dyDescent="0.2">
      <c r="G76" s="2"/>
      <c r="H76" s="2"/>
      <c r="DN76" cm="1">
        <f t="array" aca="1" ref="DN76" ca="1">INDEX(_xlfn.ANCHORARRAY($CP$15), 1 + INT((ROWS($DO$15:$DO76) - 1) / ROWS(_xlfn.ANCHORARRAY($CP$15))))</f>
        <v>3</v>
      </c>
      <c r="DO76" cm="1">
        <f t="array" aca="1" ref="DO76" ca="1">INDEX(_xlfn.ANCHORARRAY($CP$15),1+MOD(ROWS($DO$15:$DO76)-1,ROWS(_xlfn.ANCHORARRAY($CP$15))))</f>
        <v>4</v>
      </c>
      <c r="DP76" s="10" cm="1">
        <f t="array" aca="1" ref="DP76" ca="1">(1-$B$18)*SUMPRODUCT(OFFSET($BO$15,0,0,$B$14,1), 1*(_xlfn._xlws.FILTER(OFFSET($O$15,0,$DN76,$B$8,1),OFFSET($M$15,0,0,$B$8,1))=DP$13), 1*(_xlfn._xlws.FILTER(OFFSET($O$15,0,$DO76,$B$8,1),OFFSET($M$15,0,0,$B$8,1))=DP$14))   /   SUM(OFFSET($BO$15,0,0,$B$14,1)) + $B$18/($B$19*$B$19*($DN76&lt;&gt;$DO76) + $B$19*($DN76=$DO76))</f>
        <v>3.7037037037037035E-4</v>
      </c>
      <c r="DQ76" s="10" cm="1">
        <f t="array" aca="1" ref="DQ76" ca="1">(1-$B$18)*SUMPRODUCT(OFFSET($BO$15,0,0,$B$14,1), 1*(_xlfn._xlws.FILTER(OFFSET($O$15,0,$DN76,$B$8,1),OFFSET($M$15,0,0,$B$8,1))=DQ$13), 1*(_xlfn._xlws.FILTER(OFFSET($O$15,0,$DO76,$B$8,1),OFFSET($M$15,0,0,$B$8,1))=DQ$14))   /   SUM(OFFSET($BO$15,0,0,$B$14,1)) + $B$18/($B$19*$B$19*($DN76&lt;&gt;$DO76) + $B$19*($DN76=$DO76))</f>
        <v>3.7037037037037035E-4</v>
      </c>
      <c r="DR76" s="10" cm="1">
        <f t="array" aca="1" ref="DR76" ca="1">(1-$B$18)*SUMPRODUCT(OFFSET($BO$15,0,0,$B$14,1), 1*(_xlfn._xlws.FILTER(OFFSET($O$15,0,$DN76,$B$8,1),OFFSET($M$15,0,0,$B$8,1))=DR$13), 1*(_xlfn._xlws.FILTER(OFFSET($O$15,0,$DO76,$B$8,1),OFFSET($M$15,0,0,$B$8,1))=DR$14))   /   SUM(OFFSET($BO$15,0,0,$B$14,1)) + $B$18/($B$19*$B$19*($DN76&lt;&gt;$DO76) + $B$19*($DN76=$DO76))</f>
        <v>3.7037037037037035E-4</v>
      </c>
      <c r="DS76" s="10" cm="1">
        <f t="array" aca="1" ref="DS76" ca="1">(1-$B$18)*SUMPRODUCT(OFFSET($BO$15,0,0,$B$14,1), 1*(_xlfn._xlws.FILTER(OFFSET($O$15,0,$DN76,$B$8,1),OFFSET($M$15,0,0,$B$8,1))=DS$13), 1*(_xlfn._xlws.FILTER(OFFSET($O$15,0,$DO76,$B$8,1),OFFSET($M$15,0,0,$B$8,1))=DS$14))   /   SUM(OFFSET($BO$15,0,0,$B$14,1)) + $B$18/($B$19*$B$19*($DN76&lt;&gt;$DO76) + $B$19*($DN76=$DO76))</f>
        <v>3.7037037037037035E-4</v>
      </c>
      <c r="DT76" s="10" cm="1">
        <f t="array" aca="1" ref="DT76" ca="1">(1-$B$18)*SUMPRODUCT(OFFSET($BO$15,0,0,$B$14,1), 1*(_xlfn._xlws.FILTER(OFFSET($O$15,0,$DN76,$B$8,1),OFFSET($M$15,0,0,$B$8,1))=DT$13), 1*(_xlfn._xlws.FILTER(OFFSET($O$15,0,$DO76,$B$8,1),OFFSET($M$15,0,0,$B$8,1))=DT$14))   /   SUM(OFFSET($BO$15,0,0,$B$14,1)) + $B$18/($B$19*$B$19*($DN76&lt;&gt;$DO76) + $B$19*($DN76=$DO76))</f>
        <v>3.7037037037037035E-4</v>
      </c>
      <c r="DU76" s="10" cm="1">
        <f t="array" aca="1" ref="DU76" ca="1">(1-$B$18)*SUMPRODUCT(OFFSET($BO$15,0,0,$B$14,1), 1*(_xlfn._xlws.FILTER(OFFSET($O$15,0,$DN76,$B$8,1),OFFSET($M$15,0,0,$B$8,1))=DU$13), 1*(_xlfn._xlws.FILTER(OFFSET($O$15,0,$DO76,$B$8,1),OFFSET($M$15,0,0,$B$8,1))=DU$14))   /   SUM(OFFSET($BO$15,0,0,$B$14,1)) + $B$18/($B$19*$B$19*($DN76&lt;&gt;$DO76) + $B$19*($DN76=$DO76))</f>
        <v>3.7037037037037035E-4</v>
      </c>
      <c r="DV76" s="10" cm="1">
        <f t="array" aca="1" ref="DV76" ca="1">(1-$B$18)*SUMPRODUCT(OFFSET($BO$15,0,0,$B$14,1), 1*(_xlfn._xlws.FILTER(OFFSET($O$15,0,$DN76,$B$8,1),OFFSET($M$15,0,0,$B$8,1))=DV$13), 1*(_xlfn._xlws.FILTER(OFFSET($O$15,0,$DO76,$B$8,1),OFFSET($M$15,0,0,$B$8,1))=DV$14))   /   SUM(OFFSET($BO$15,0,0,$B$14,1)) + $B$18/($B$19*$B$19*($DN76&lt;&gt;$DO76) + $B$19*($DN76=$DO76))</f>
        <v>3.7037037037037035E-4</v>
      </c>
      <c r="DW76" s="10" cm="1">
        <f t="array" aca="1" ref="DW76" ca="1">(1-$B$18)*SUMPRODUCT(OFFSET($BO$15,0,0,$B$14,1), 1*(_xlfn._xlws.FILTER(OFFSET($O$15,0,$DN76,$B$8,1),OFFSET($M$15,0,0,$B$8,1))=DW$13), 1*(_xlfn._xlws.FILTER(OFFSET($O$15,0,$DO76,$B$8,1),OFFSET($M$15,0,0,$B$8,1))=DW$14))   /   SUM(OFFSET($BO$15,0,0,$B$14,1)) + $B$18/($B$19*$B$19*($DN76&lt;&gt;$DO76) + $B$19*($DN76=$DO76))</f>
        <v>3.7037037037037035E-4</v>
      </c>
      <c r="DX76" s="10" cm="1">
        <f t="array" aca="1" ref="DX76" ca="1">(1-$B$18)*SUMPRODUCT(OFFSET($BO$15,0,0,$B$14,1), 1*(_xlfn._xlws.FILTER(OFFSET($O$15,0,$DN76,$B$8,1),OFFSET($M$15,0,0,$B$8,1))=DX$13), 1*(_xlfn._xlws.FILTER(OFFSET($O$15,0,$DO76,$B$8,1),OFFSET($M$15,0,0,$B$8,1))=DX$14))   /   SUM(OFFSET($BO$15,0,0,$B$14,1)) + $B$18/($B$19*$B$19*($DN76&lt;&gt;$DO76) + $B$19*($DN76=$DO76))</f>
        <v>3.7037037037037035E-4</v>
      </c>
      <c r="DY76" s="10" cm="1">
        <f t="array" aca="1" ref="DY76" ca="1">(1-$B$18)*SUMPRODUCT(OFFSET($BO$15,0,0,$B$14,1), 1*(_xlfn._xlws.FILTER(OFFSET($O$15,0,$DN76,$B$8,1),OFFSET($M$15,0,0,$B$8,1))=DY$13), 1*(_xlfn._xlws.FILTER(OFFSET($O$15,0,$DO76,$B$8,1),OFFSET($M$15,0,0,$B$8,1))=DY$14))   /   SUM(OFFSET($BO$15,0,0,$B$14,1)) + $B$18/($B$19*$B$19*($DN76&lt;&gt;$DO76) + $B$19*($DN76=$DO76))</f>
        <v>3.7037037037037035E-4</v>
      </c>
      <c r="DZ76" s="10" cm="1">
        <f t="array" aca="1" ref="DZ76" ca="1">(1-$B$18)*SUMPRODUCT(OFFSET($BO$15,0,0,$B$14,1), 1*(_xlfn._xlws.FILTER(OFFSET($O$15,0,$DN76,$B$8,1),OFFSET($M$15,0,0,$B$8,1))=DZ$13), 1*(_xlfn._xlws.FILTER(OFFSET($O$15,0,$DO76,$B$8,1),OFFSET($M$15,0,0,$B$8,1))=DZ$14))   /   SUM(OFFSET($BO$15,0,0,$B$14,1)) + $B$18/($B$19*$B$19*($DN76&lt;&gt;$DO76) + $B$19*($DN76=$DO76))</f>
        <v>3.7037037037037035E-4</v>
      </c>
      <c r="EA76" s="10" cm="1">
        <f t="array" aca="1" ref="EA76" ca="1">(1-$B$18)*SUMPRODUCT(OFFSET($BO$15,0,0,$B$14,1), 1*(_xlfn._xlws.FILTER(OFFSET($O$15,0,$DN76,$B$8,1),OFFSET($M$15,0,0,$B$8,1))=EA$13), 1*(_xlfn._xlws.FILTER(OFFSET($O$15,0,$DO76,$B$8,1),OFFSET($M$15,0,0,$B$8,1))=EA$14))   /   SUM(OFFSET($BO$15,0,0,$B$14,1)) + $B$18/($B$19*$B$19*($DN76&lt;&gt;$DO76) + $B$19*($DN76=$DO76))</f>
        <v>3.7037037037037035E-4</v>
      </c>
      <c r="EB76" s="10" cm="1">
        <f t="array" aca="1" ref="EB76" ca="1">(1-$B$18)*SUMPRODUCT(OFFSET($BO$15,0,0,$B$14,1), 1*(_xlfn._xlws.FILTER(OFFSET($O$15,0,$DN76,$B$8,1),OFFSET($M$15,0,0,$B$8,1))=EB$13), 1*(_xlfn._xlws.FILTER(OFFSET($O$15,0,$DO76,$B$8,1),OFFSET($M$15,0,0,$B$8,1))=EB$14))   /   SUM(OFFSET($BO$15,0,0,$B$14,1)) + $B$18/($B$19*$B$19*($DN76&lt;&gt;$DO76) + $B$19*($DN76=$DO76))</f>
        <v>3.7037037037037035E-4</v>
      </c>
      <c r="EC76" s="10" cm="1">
        <f t="array" aca="1" ref="EC76" ca="1">(1-$B$18)*SUMPRODUCT(OFFSET($BO$15,0,0,$B$14,1), 1*(_xlfn._xlws.FILTER(OFFSET($O$15,0,$DN76,$B$8,1),OFFSET($M$15,0,0,$B$8,1))=EC$13), 1*(_xlfn._xlws.FILTER(OFFSET($O$15,0,$DO76,$B$8,1),OFFSET($M$15,0,0,$B$8,1))=EC$14))   /   SUM(OFFSET($BO$15,0,0,$B$14,1)) + $B$18/($B$19*$B$19*($DN76&lt;&gt;$DO76) + $B$19*($DN76=$DO76))</f>
        <v>3.7037037037037035E-4</v>
      </c>
      <c r="ED76" s="10" cm="1">
        <f t="array" aca="1" ref="ED76" ca="1">(1-$B$18)*SUMPRODUCT(OFFSET($BO$15,0,0,$B$14,1), 1*(_xlfn._xlws.FILTER(OFFSET($O$15,0,$DN76,$B$8,1),OFFSET($M$15,0,0,$B$8,1))=ED$13), 1*(_xlfn._xlws.FILTER(OFFSET($O$15,0,$DO76,$B$8,1),OFFSET($M$15,0,0,$B$8,1))=ED$14))   /   SUM(OFFSET($BO$15,0,0,$B$14,1)) + $B$18/($B$19*$B$19*($DN76&lt;&gt;$DO76) + $B$19*($DN76=$DO76))</f>
        <v>3.7037037037037035E-4</v>
      </c>
      <c r="EE76" s="10" cm="1">
        <f t="array" aca="1" ref="EE76" ca="1">(1-$B$18)*SUMPRODUCT(OFFSET($BO$15,0,0,$B$14,1), 1*(_xlfn._xlws.FILTER(OFFSET($O$15,0,$DN76,$B$8,1),OFFSET($M$15,0,0,$B$8,1))=EE$13), 1*(_xlfn._xlws.FILTER(OFFSET($O$15,0,$DO76,$B$8,1),OFFSET($M$15,0,0,$B$8,1))=EE$14))   /   SUM(OFFSET($BO$15,0,0,$B$14,1)) + $B$18/($B$19*$B$19*($DN76&lt;&gt;$DO76) + $B$19*($DN76=$DO76))</f>
        <v>3.7037037037037035E-4</v>
      </c>
      <c r="EF76" s="10" cm="1">
        <f t="array" aca="1" ref="EF76" ca="1">(1-$B$18)*SUMPRODUCT(OFFSET($BO$15,0,0,$B$14,1), 1*(_xlfn._xlws.FILTER(OFFSET($O$15,0,$DN76,$B$8,1),OFFSET($M$15,0,0,$B$8,1))=EF$13), 1*(_xlfn._xlws.FILTER(OFFSET($O$15,0,$DO76,$B$8,1),OFFSET($M$15,0,0,$B$8,1))=EF$14))   /   SUM(OFFSET($BO$15,0,0,$B$14,1)) + $B$18/($B$19*$B$19*($DN76&lt;&gt;$DO76) + $B$19*($DN76=$DO76))</f>
        <v>3.7037037037037035E-4</v>
      </c>
      <c r="EG76" s="10" cm="1">
        <f t="array" aca="1" ref="EG76" ca="1">(1-$B$18)*SUMPRODUCT(OFFSET($BO$15,0,0,$B$14,1), 1*(_xlfn._xlws.FILTER(OFFSET($O$15,0,$DN76,$B$8,1),OFFSET($M$15,0,0,$B$8,1))=EG$13), 1*(_xlfn._xlws.FILTER(OFFSET($O$15,0,$DO76,$B$8,1),OFFSET($M$15,0,0,$B$8,1))=EG$14))   /   SUM(OFFSET($BO$15,0,0,$B$14,1)) + $B$18/($B$19*$B$19*($DN76&lt;&gt;$DO76) + $B$19*($DN76=$DO76))</f>
        <v>3.7037037037037035E-4</v>
      </c>
      <c r="EH76" s="10" cm="1">
        <f t="array" aca="1" ref="EH76" ca="1">(1-$B$18)*SUMPRODUCT(OFFSET($BO$15,0,0,$B$14,1), 1*(_xlfn._xlws.FILTER(OFFSET($O$15,0,$DN76,$B$8,1),OFFSET($M$15,0,0,$B$8,1))=EH$13), 1*(_xlfn._xlws.FILTER(OFFSET($O$15,0,$DO76,$B$8,1),OFFSET($M$15,0,0,$B$8,1))=EH$14))   /   SUM(OFFSET($BO$15,0,0,$B$14,1)) + $B$18/($B$19*$B$19*($DN76&lt;&gt;$DO76) + $B$19*($DN76=$DO76))</f>
        <v>3.7037037037037035E-4</v>
      </c>
      <c r="EI76" s="10" cm="1">
        <f t="array" aca="1" ref="EI76" ca="1">(1-$B$18)*SUMPRODUCT(OFFSET($BO$15,0,0,$B$14,1), 1*(_xlfn._xlws.FILTER(OFFSET($O$15,0,$DN76,$B$8,1),OFFSET($M$15,0,0,$B$8,1))=EI$13), 1*(_xlfn._xlws.FILTER(OFFSET($O$15,0,$DO76,$B$8,1),OFFSET($M$15,0,0,$B$8,1))=EI$14))   /   SUM(OFFSET($BO$15,0,0,$B$14,1)) + $B$18/($B$19*$B$19*($DN76&lt;&gt;$DO76) + $B$19*($DN76=$DO76))</f>
        <v>3.7037037037037035E-4</v>
      </c>
      <c r="EJ76" s="10" cm="1">
        <f t="array" aca="1" ref="EJ76" ca="1">(1-$B$18)*SUMPRODUCT(OFFSET($BO$15,0,0,$B$14,1), 1*(_xlfn._xlws.FILTER(OFFSET($O$15,0,$DN76,$B$8,1),OFFSET($M$15,0,0,$B$8,1))=EJ$13), 1*(_xlfn._xlws.FILTER(OFFSET($O$15,0,$DO76,$B$8,1),OFFSET($M$15,0,0,$B$8,1))=EJ$14))   /   SUM(OFFSET($BO$15,0,0,$B$14,1)) + $B$18/($B$19*$B$19*($DN76&lt;&gt;$DO76) + $B$19*($DN76=$DO76))</f>
        <v>3.7037037037037035E-4</v>
      </c>
      <c r="EK76" s="10" cm="1">
        <f t="array" aca="1" ref="EK76" ca="1">(1-$B$18)*SUMPRODUCT(OFFSET($BO$15,0,0,$B$14,1), 1*(_xlfn._xlws.FILTER(OFFSET($O$15,0,$DN76,$B$8,1),OFFSET($M$15,0,0,$B$8,1))=EK$13), 1*(_xlfn._xlws.FILTER(OFFSET($O$15,0,$DO76,$B$8,1),OFFSET($M$15,0,0,$B$8,1))=EK$14))   /   SUM(OFFSET($BO$15,0,0,$B$14,1)) + $B$18/($B$19*$B$19*($DN76&lt;&gt;$DO76) + $B$19*($DN76=$DO76))</f>
        <v>3.7037037037037035E-4</v>
      </c>
      <c r="EL76" s="10" cm="1">
        <f t="array" aca="1" ref="EL76" ca="1">(1-$B$18)*SUMPRODUCT(OFFSET($BO$15,0,0,$B$14,1), 1*(_xlfn._xlws.FILTER(OFFSET($O$15,0,$DN76,$B$8,1),OFFSET($M$15,0,0,$B$8,1))=EL$13), 1*(_xlfn._xlws.FILTER(OFFSET($O$15,0,$DO76,$B$8,1),OFFSET($M$15,0,0,$B$8,1))=EL$14))   /   SUM(OFFSET($BO$15,0,0,$B$14,1)) + $B$18/($B$19*$B$19*($DN76&lt;&gt;$DO76) + $B$19*($DN76=$DO76))</f>
        <v>3.7037037037037035E-4</v>
      </c>
      <c r="EM76" s="10" cm="1">
        <f t="array" aca="1" ref="EM76" ca="1">(1-$B$18)*SUMPRODUCT(OFFSET($BO$15,0,0,$B$14,1), 1*(_xlfn._xlws.FILTER(OFFSET($O$15,0,$DN76,$B$8,1),OFFSET($M$15,0,0,$B$8,1))=EM$13), 1*(_xlfn._xlws.FILTER(OFFSET($O$15,0,$DO76,$B$8,1),OFFSET($M$15,0,0,$B$8,1))=EM$14))   /   SUM(OFFSET($BO$15,0,0,$B$14,1)) + $B$18/($B$19*$B$19*($DN76&lt;&gt;$DO76) + $B$19*($DN76=$DO76))</f>
        <v>3.7037037037037035E-4</v>
      </c>
      <c r="EN76" s="10" cm="1">
        <f t="array" aca="1" ref="EN76" ca="1">(1-$B$18)*SUMPRODUCT(OFFSET($BO$15,0,0,$B$14,1), 1*(_xlfn._xlws.FILTER(OFFSET($O$15,0,$DN76,$B$8,1),OFFSET($M$15,0,0,$B$8,1))=EN$13), 1*(_xlfn._xlws.FILTER(OFFSET($O$15,0,$DO76,$B$8,1),OFFSET($M$15,0,0,$B$8,1))=EN$14))   /   SUM(OFFSET($BO$15,0,0,$B$14,1)) + $B$18/($B$19*$B$19*($DN76&lt;&gt;$DO76) + $B$19*($DN76=$DO76))</f>
        <v>3.7037037037037035E-4</v>
      </c>
      <c r="EO76" s="10" cm="1">
        <f t="array" aca="1" ref="EO76" ca="1">(1-$B$18)*SUMPRODUCT(OFFSET($BO$15,0,0,$B$14,1), 1*(_xlfn._xlws.FILTER(OFFSET($O$15,0,$DN76,$B$8,1),OFFSET($M$15,0,0,$B$8,1))=EO$13), 1*(_xlfn._xlws.FILTER(OFFSET($O$15,0,$DO76,$B$8,1),OFFSET($M$15,0,0,$B$8,1))=EO$14))   /   SUM(OFFSET($BO$15,0,0,$B$14,1)) + $B$18/($B$19*$B$19*($DN76&lt;&gt;$DO76) + $B$19*($DN76=$DO76))</f>
        <v>3.7037037037037035E-4</v>
      </c>
      <c r="EP76" s="10" cm="1">
        <f t="array" aca="1" ref="EP76" ca="1">(1-$B$18)*SUMPRODUCT(OFFSET($BO$15,0,0,$B$14,1), 1*(_xlfn._xlws.FILTER(OFFSET($O$15,0,$DN76,$B$8,1),OFFSET($M$15,0,0,$B$8,1))=EP$13), 1*(_xlfn._xlws.FILTER(OFFSET($O$15,0,$DO76,$B$8,1),OFFSET($M$15,0,0,$B$8,1))=EP$14))   /   SUM(OFFSET($BO$15,0,0,$B$14,1)) + $B$18/($B$19*$B$19*($DN76&lt;&gt;$DO76) + $B$19*($DN76=$DO76))</f>
        <v>3.7037037037037035E-4</v>
      </c>
      <c r="EQ76" s="10" cm="1">
        <f t="array" aca="1" ref="EQ76" ca="1">(1-$B$18)*SUMPRODUCT(OFFSET($BO$15,0,0,$B$14,1), 1*(_xlfn._xlws.FILTER(OFFSET($O$15,0,$DN76,$B$8,1),OFFSET($M$15,0,0,$B$8,1))=EQ$13), 1*(_xlfn._xlws.FILTER(OFFSET($O$15,0,$DO76,$B$8,1),OFFSET($M$15,0,0,$B$8,1))=EQ$14))   /   SUM(OFFSET($BO$15,0,0,$B$14,1)) + $B$18/($B$19*$B$19*($DN76&lt;&gt;$DO76) + $B$19*($DN76=$DO76))</f>
        <v>3.7037037037037035E-4</v>
      </c>
      <c r="ER76" s="10" cm="1">
        <f t="array" aca="1" ref="ER76" ca="1">(1-$B$18)*SUMPRODUCT(OFFSET($BO$15,0,0,$B$14,1), 1*(_xlfn._xlws.FILTER(OFFSET($O$15,0,$DN76,$B$8,1),OFFSET($M$15,0,0,$B$8,1))=ER$13), 1*(_xlfn._xlws.FILTER(OFFSET($O$15,0,$DO76,$B$8,1),OFFSET($M$15,0,0,$B$8,1))=ER$14))   /   SUM(OFFSET($BO$15,0,0,$B$14,1)) + $B$18/($B$19*$B$19*($DN76&lt;&gt;$DO76) + $B$19*($DN76=$DO76))</f>
        <v>3.7037037037037035E-4</v>
      </c>
      <c r="ES76" s="10" cm="1">
        <f t="array" aca="1" ref="ES76" ca="1">(1-$B$18)*SUMPRODUCT(OFFSET($BO$15,0,0,$B$14,1), 1*(_xlfn._xlws.FILTER(OFFSET($O$15,0,$DN76,$B$8,1),OFFSET($M$15,0,0,$B$8,1))=ES$13), 1*(_xlfn._xlws.FILTER(OFFSET($O$15,0,$DO76,$B$8,1),OFFSET($M$15,0,0,$B$8,1))=ES$14))   /   SUM(OFFSET($BO$15,0,0,$B$14,1)) + $B$18/($B$19*$B$19*($DN76&lt;&gt;$DO76) + $B$19*($DN76=$DO76))</f>
        <v>3.7037037037037035E-4</v>
      </c>
      <c r="ET76" s="10" cm="1">
        <f t="array" aca="1" ref="ET76" ca="1">(1-$B$18)*SUMPRODUCT(OFFSET($BO$15,0,0,$B$14,1), 1*(_xlfn._xlws.FILTER(OFFSET($O$15,0,$DN76,$B$8,1),OFFSET($M$15,0,0,$B$8,1))=ET$13), 1*(_xlfn._xlws.FILTER(OFFSET($O$15,0,$DO76,$B$8,1),OFFSET($M$15,0,0,$B$8,1))=ET$14))   /   SUM(OFFSET($BO$15,0,0,$B$14,1)) + $B$18/($B$19*$B$19*($DN76&lt;&gt;$DO76) + $B$19*($DN76=$DO76))</f>
        <v>3.7037037037037035E-4</v>
      </c>
      <c r="EU76" s="10" cm="1">
        <f t="array" aca="1" ref="EU76" ca="1">(1-$B$18)*SUMPRODUCT(OFFSET($BO$15,0,0,$B$14,1), 1*(_xlfn._xlws.FILTER(OFFSET($O$15,0,$DN76,$B$8,1),OFFSET($M$15,0,0,$B$8,1))=EU$13), 1*(_xlfn._xlws.FILTER(OFFSET($O$15,0,$DO76,$B$8,1),OFFSET($M$15,0,0,$B$8,1))=EU$14))   /   SUM(OFFSET($BO$15,0,0,$B$14,1)) + $B$18/($B$19*$B$19*($DN76&lt;&gt;$DO76) + $B$19*($DN76=$DO76))</f>
        <v>3.7037037037037035E-4</v>
      </c>
      <c r="EV76" s="10" cm="1">
        <f t="array" aca="1" ref="EV76" ca="1">(1-$B$18)*SUMPRODUCT(OFFSET($BO$15,0,0,$B$14,1), 1*(_xlfn._xlws.FILTER(OFFSET($O$15,0,$DN76,$B$8,1),OFFSET($M$15,0,0,$B$8,1))=EV$13), 1*(_xlfn._xlws.FILTER(OFFSET($O$15,0,$DO76,$B$8,1),OFFSET($M$15,0,0,$B$8,1))=EV$14))   /   SUM(OFFSET($BO$15,0,0,$B$14,1)) + $B$18/($B$19*$B$19*($DN76&lt;&gt;$DO76) + $B$19*($DN76=$DO76))</f>
        <v>3.7037037037037035E-4</v>
      </c>
      <c r="EW76" s="10" cm="1">
        <f t="array" aca="1" ref="EW76" ca="1">(1-$B$18)*SUMPRODUCT(OFFSET($BO$15,0,0,$B$14,1), 1*(_xlfn._xlws.FILTER(OFFSET($O$15,0,$DN76,$B$8,1),OFFSET($M$15,0,0,$B$8,1))=EW$13), 1*(_xlfn._xlws.FILTER(OFFSET($O$15,0,$DO76,$B$8,1),OFFSET($M$15,0,0,$B$8,1))=EW$14))   /   SUM(OFFSET($BO$15,0,0,$B$14,1)) + $B$18/($B$19*$B$19*($DN76&lt;&gt;$DO76) + $B$19*($DN76=$DO76))</f>
        <v>3.7037037037037035E-4</v>
      </c>
      <c r="EX76" s="10" cm="1">
        <f t="array" aca="1" ref="EX76" ca="1">(1-$B$18)*SUMPRODUCT(OFFSET($BO$15,0,0,$B$14,1), 1*(_xlfn._xlws.FILTER(OFFSET($O$15,0,$DN76,$B$8,1),OFFSET($M$15,0,0,$B$8,1))=EX$13), 1*(_xlfn._xlws.FILTER(OFFSET($O$15,0,$DO76,$B$8,1),OFFSET($M$15,0,0,$B$8,1))=EX$14))   /   SUM(OFFSET($BO$15,0,0,$B$14,1)) + $B$18/($B$19*$B$19*($DN76&lt;&gt;$DO76) + $B$19*($DN76=$DO76))</f>
        <v>3.7037037037037035E-4</v>
      </c>
      <c r="EY76" s="10" cm="1">
        <f t="array" aca="1" ref="EY76" ca="1">(1-$B$18)*SUMPRODUCT(OFFSET($BO$15,0,0,$B$14,1), 1*(_xlfn._xlws.FILTER(OFFSET($O$15,0,$DN76,$B$8,1),OFFSET($M$15,0,0,$B$8,1))=EY$13), 1*(_xlfn._xlws.FILTER(OFFSET($O$15,0,$DO76,$B$8,1),OFFSET($M$15,0,0,$B$8,1))=EY$14))   /   SUM(OFFSET($BO$15,0,0,$B$14,1)) + $B$18/($B$19*$B$19*($DN76&lt;&gt;$DO76) + $B$19*($DN76=$DO76))</f>
        <v>3.7037037037037035E-4</v>
      </c>
      <c r="EZ76" s="10" cm="1">
        <f t="array" aca="1" ref="EZ76" ca="1">(1-$B$18)*SUMPRODUCT(OFFSET($BO$15,0,0,$B$14,1), 1*(_xlfn._xlws.FILTER(OFFSET($O$15,0,$DN76,$B$8,1),OFFSET($M$15,0,0,$B$8,1))=EZ$13), 1*(_xlfn._xlws.FILTER(OFFSET($O$15,0,$DO76,$B$8,1),OFFSET($M$15,0,0,$B$8,1))=EZ$14))   /   SUM(OFFSET($BO$15,0,0,$B$14,1)) + $B$18/($B$19*$B$19*($DN76&lt;&gt;$DO76) + $B$19*($DN76=$DO76))</f>
        <v>3.7037037037037035E-4</v>
      </c>
      <c r="FA76" s="10" cm="1">
        <f t="array" aca="1" ref="FA76" ca="1">(1-$B$18)*SUMPRODUCT(OFFSET($BO$15,0,0,$B$14,1), 1*(_xlfn._xlws.FILTER(OFFSET($O$15,0,$DN76,$B$8,1),OFFSET($M$15,0,0,$B$8,1))=FA$13), 1*(_xlfn._xlws.FILTER(OFFSET($O$15,0,$DO76,$B$8,1),OFFSET($M$15,0,0,$B$8,1))=FA$14))   /   SUM(OFFSET($BO$15,0,0,$B$14,1)) + $B$18/($B$19*$B$19*($DN76&lt;&gt;$DO76) + $B$19*($DN76=$DO76))</f>
        <v>3.7037037037037035E-4</v>
      </c>
      <c r="FB76" s="10" cm="1">
        <f t="array" aca="1" ref="FB76" ca="1">(1-$B$18)*SUMPRODUCT(OFFSET($BO$15,0,0,$B$14,1), 1*(_xlfn._xlws.FILTER(OFFSET($O$15,0,$DN76,$B$8,1),OFFSET($M$15,0,0,$B$8,1))=FB$13), 1*(_xlfn._xlws.FILTER(OFFSET($O$15,0,$DO76,$B$8,1),OFFSET($M$15,0,0,$B$8,1))=FB$14))   /   SUM(OFFSET($BO$15,0,0,$B$14,1)) + $B$18/($B$19*$B$19*($DN76&lt;&gt;$DO76) + $B$19*($DN76=$DO76))</f>
        <v>3.7037037037037035E-4</v>
      </c>
      <c r="FC76" s="10" cm="1">
        <f t="array" aca="1" ref="FC76" ca="1">(1-$B$18)*SUMPRODUCT(OFFSET($BO$15,0,0,$B$14,1), 1*(_xlfn._xlws.FILTER(OFFSET($O$15,0,$DN76,$B$8,1),OFFSET($M$15,0,0,$B$8,1))=FC$13), 1*(_xlfn._xlws.FILTER(OFFSET($O$15,0,$DO76,$B$8,1),OFFSET($M$15,0,0,$B$8,1))=FC$14))   /   SUM(OFFSET($BO$15,0,0,$B$14,1)) + $B$18/($B$19*$B$19*($DN76&lt;&gt;$DO76) + $B$19*($DN76=$DO76))</f>
        <v>3.7037037037037035E-4</v>
      </c>
      <c r="FD76" s="10" cm="1">
        <f t="array" aca="1" ref="FD76" ca="1">(1-$B$18)*SUMPRODUCT(OFFSET($BO$15,0,0,$B$14,1), 1*(_xlfn._xlws.FILTER(OFFSET($O$15,0,$DN76,$B$8,1),OFFSET($M$15,0,0,$B$8,1))=FD$13), 1*(_xlfn._xlws.FILTER(OFFSET($O$15,0,$DO76,$B$8,1),OFFSET($M$15,0,0,$B$8,1))=FD$14))   /   SUM(OFFSET($BO$15,0,0,$B$14,1)) + $B$18/($B$19*$B$19*($DN76&lt;&gt;$DO76) + $B$19*($DN76=$DO76))</f>
        <v>3.7037037037037035E-4</v>
      </c>
      <c r="FE76" s="10" cm="1">
        <f t="array" aca="1" ref="FE76" ca="1">(1-$B$18)*SUMPRODUCT(OFFSET($BO$15,0,0,$B$14,1), 1*(_xlfn._xlws.FILTER(OFFSET($O$15,0,$DN76,$B$8,1),OFFSET($M$15,0,0,$B$8,1))=FE$13), 1*(_xlfn._xlws.FILTER(OFFSET($O$15,0,$DO76,$B$8,1),OFFSET($M$15,0,0,$B$8,1))=FE$14))   /   SUM(OFFSET($BO$15,0,0,$B$14,1)) + $B$18/($B$19*$B$19*($DN76&lt;&gt;$DO76) + $B$19*($DN76=$DO76))</f>
        <v>3.7037037037037035E-4</v>
      </c>
      <c r="FF76" s="10" cm="1">
        <f t="array" aca="1" ref="FF76" ca="1">(1-$B$18)*SUMPRODUCT(OFFSET($BO$15,0,0,$B$14,1), 1*(_xlfn._xlws.FILTER(OFFSET($O$15,0,$DN76,$B$8,1),OFFSET($M$15,0,0,$B$8,1))=FF$13), 1*(_xlfn._xlws.FILTER(OFFSET($O$15,0,$DO76,$B$8,1),OFFSET($M$15,0,0,$B$8,1))=FF$14))   /   SUM(OFFSET($BO$15,0,0,$B$14,1)) + $B$18/($B$19*$B$19*($DN76&lt;&gt;$DO76) + $B$19*($DN76=$DO76))</f>
        <v>3.7037037037037035E-4</v>
      </c>
      <c r="FG76" s="10" cm="1">
        <f t="array" aca="1" ref="FG76" ca="1">(1-$B$18)*SUMPRODUCT(OFFSET($BO$15,0,0,$B$14,1), 1*(_xlfn._xlws.FILTER(OFFSET($O$15,0,$DN76,$B$8,1),OFFSET($M$15,0,0,$B$8,1))=FG$13), 1*(_xlfn._xlws.FILTER(OFFSET($O$15,0,$DO76,$B$8,1),OFFSET($M$15,0,0,$B$8,1))=FG$14))   /   SUM(OFFSET($BO$15,0,0,$B$14,1)) + $B$18/($B$19*$B$19*($DN76&lt;&gt;$DO76) + $B$19*($DN76=$DO76))</f>
        <v>3.7037037037037035E-4</v>
      </c>
      <c r="FH76" s="10" cm="1">
        <f t="array" aca="1" ref="FH76" ca="1">(1-$B$18)*SUMPRODUCT(OFFSET($BO$15,0,0,$B$14,1), 1*(_xlfn._xlws.FILTER(OFFSET($O$15,0,$DN76,$B$8,1),OFFSET($M$15,0,0,$B$8,1))=FH$13), 1*(_xlfn._xlws.FILTER(OFFSET($O$15,0,$DO76,$B$8,1),OFFSET($M$15,0,0,$B$8,1))=FH$14))   /   SUM(OFFSET($BO$15,0,0,$B$14,1)) + $B$18/($B$19*$B$19*($DN76&lt;&gt;$DO76) + $B$19*($DN76=$DO76))</f>
        <v>3.7037037037037035E-4</v>
      </c>
      <c r="FI76" s="10" cm="1">
        <f t="array" aca="1" ref="FI76" ca="1">(1-$B$18)*SUMPRODUCT(OFFSET($BO$15,0,0,$B$14,1), 1*(_xlfn._xlws.FILTER(OFFSET($O$15,0,$DN76,$B$8,1),OFFSET($M$15,0,0,$B$8,1))=FI$13), 1*(_xlfn._xlws.FILTER(OFFSET($O$15,0,$DO76,$B$8,1),OFFSET($M$15,0,0,$B$8,1))=FI$14))   /   SUM(OFFSET($BO$15,0,0,$B$14,1)) + $B$18/($B$19*$B$19*($DN76&lt;&gt;$DO76) + $B$19*($DN76=$DO76))</f>
        <v>3.7037037037037035E-4</v>
      </c>
      <c r="FJ76" s="10" cm="1">
        <f t="array" aca="1" ref="FJ76" ca="1">(1-$B$18)*SUMPRODUCT(OFFSET($BO$15,0,0,$B$14,1), 1*(_xlfn._xlws.FILTER(OFFSET($O$15,0,$DN76,$B$8,1),OFFSET($M$15,0,0,$B$8,1))=FJ$13), 1*(_xlfn._xlws.FILTER(OFFSET($O$15,0,$DO76,$B$8,1),OFFSET($M$15,0,0,$B$8,1))=FJ$14))   /   SUM(OFFSET($BO$15,0,0,$B$14,1)) + $B$18/($B$19*$B$19*($DN76&lt;&gt;$DO76) + $B$19*($DN76=$DO76))</f>
        <v>3.7037037037037035E-4</v>
      </c>
      <c r="FK76" s="10" cm="1">
        <f t="array" aca="1" ref="FK76" ca="1">(1-$B$18)*SUMPRODUCT(OFFSET($BO$15,0,0,$B$14,1), 1*(_xlfn._xlws.FILTER(OFFSET($O$15,0,$DN76,$B$8,1),OFFSET($M$15,0,0,$B$8,1))=FK$13), 1*(_xlfn._xlws.FILTER(OFFSET($O$15,0,$DO76,$B$8,1),OFFSET($M$15,0,0,$B$8,1))=FK$14))   /   SUM(OFFSET($BO$15,0,0,$B$14,1)) + $B$18/($B$19*$B$19*($DN76&lt;&gt;$DO76) + $B$19*($DN76=$DO76))</f>
        <v>3.7037037037037035E-4</v>
      </c>
      <c r="FL76" s="10" cm="1">
        <f t="array" aca="1" ref="FL76" ca="1">(1-$B$18)*SUMPRODUCT(OFFSET($BO$15,0,0,$B$14,1), 1*(_xlfn._xlws.FILTER(OFFSET($O$15,0,$DN76,$B$8,1),OFFSET($M$15,0,0,$B$8,1))=FL$13), 1*(_xlfn._xlws.FILTER(OFFSET($O$15,0,$DO76,$B$8,1),OFFSET($M$15,0,0,$B$8,1))=FL$14))   /   SUM(OFFSET($BO$15,0,0,$B$14,1)) + $B$18/($B$19*$B$19*($DN76&lt;&gt;$DO76) + $B$19*($DN76=$DO76))</f>
        <v>3.7037037037037035E-4</v>
      </c>
      <c r="FM76" s="10" cm="1">
        <f t="array" aca="1" ref="FM76" ca="1">(1-$B$18)*SUMPRODUCT(OFFSET($BO$15,0,0,$B$14,1), 1*(_xlfn._xlws.FILTER(OFFSET($O$15,0,$DN76,$B$8,1),OFFSET($M$15,0,0,$B$8,1))=FM$13), 1*(_xlfn._xlws.FILTER(OFFSET($O$15,0,$DO76,$B$8,1),OFFSET($M$15,0,0,$B$8,1))=FM$14))   /   SUM(OFFSET($BO$15,0,0,$B$14,1)) + $B$18/($B$19*$B$19*($DN76&lt;&gt;$DO76) + $B$19*($DN76=$DO76))</f>
        <v>3.7037037037037035E-4</v>
      </c>
      <c r="FN76" s="10" cm="1">
        <f t="array" aca="1" ref="FN76" ca="1">(1-$B$18)*SUMPRODUCT(OFFSET($BO$15,0,0,$B$14,1), 1*(_xlfn._xlws.FILTER(OFFSET($O$15,0,$DN76,$B$8,1),OFFSET($M$15,0,0,$B$8,1))=FN$13), 1*(_xlfn._xlws.FILTER(OFFSET($O$15,0,$DO76,$B$8,1),OFFSET($M$15,0,0,$B$8,1))=FN$14))   /   SUM(OFFSET($BO$15,0,0,$B$14,1)) + $B$18/($B$19*$B$19*($DN76&lt;&gt;$DO76) + $B$19*($DN76=$DO76))</f>
        <v>3.7037037037037035E-4</v>
      </c>
      <c r="FO76" s="10" cm="1">
        <f t="array" aca="1" ref="FO76" ca="1">(1-$B$18)*SUMPRODUCT(OFFSET($BO$15,0,0,$B$14,1), 1*(_xlfn._xlws.FILTER(OFFSET($O$15,0,$DN76,$B$8,1),OFFSET($M$15,0,0,$B$8,1))=FO$13), 1*(_xlfn._xlws.FILTER(OFFSET($O$15,0,$DO76,$B$8,1),OFFSET($M$15,0,0,$B$8,1))=FO$14))   /   SUM(OFFSET($BO$15,0,0,$B$14,1)) + $B$18/($B$19*$B$19*($DN76&lt;&gt;$DO76) + $B$19*($DN76=$DO76))</f>
        <v>3.7037037037037035E-4</v>
      </c>
      <c r="FP76" s="10" cm="1">
        <f t="array" aca="1" ref="FP76" ca="1">(1-$B$18)*SUMPRODUCT(OFFSET($BO$15,0,0,$B$14,1), 1*(_xlfn._xlws.FILTER(OFFSET($O$15,0,$DN76,$B$8,1),OFFSET($M$15,0,0,$B$8,1))=FP$13), 1*(_xlfn._xlws.FILTER(OFFSET($O$15,0,$DO76,$B$8,1),OFFSET($M$15,0,0,$B$8,1))=FP$14))   /   SUM(OFFSET($BO$15,0,0,$B$14,1)) + $B$18/($B$19*$B$19*($DN76&lt;&gt;$DO76) + $B$19*($DN76=$DO76))</f>
        <v>3.7037037037037035E-4</v>
      </c>
      <c r="FQ76" s="10" cm="1">
        <f t="array" aca="1" ref="FQ76" ca="1">(1-$B$18)*SUMPRODUCT(OFFSET($BO$15,0,0,$B$14,1), 1*(_xlfn._xlws.FILTER(OFFSET($O$15,0,$DN76,$B$8,1),OFFSET($M$15,0,0,$B$8,1))=FQ$13), 1*(_xlfn._xlws.FILTER(OFFSET($O$15,0,$DO76,$B$8,1),OFFSET($M$15,0,0,$B$8,1))=FQ$14))   /   SUM(OFFSET($BO$15,0,0,$B$14,1)) + $B$18/($B$19*$B$19*($DN76&lt;&gt;$DO76) + $B$19*($DN76=$DO76))</f>
        <v>3.7037037037037035E-4</v>
      </c>
      <c r="FR76" s="10" cm="1">
        <f t="array" aca="1" ref="FR76" ca="1">(1-$B$18)*SUMPRODUCT(OFFSET($BO$15,0,0,$B$14,1), 1*(_xlfn._xlws.FILTER(OFFSET($O$15,0,$DN76,$B$8,1),OFFSET($M$15,0,0,$B$8,1))=FR$13), 1*(_xlfn._xlws.FILTER(OFFSET($O$15,0,$DO76,$B$8,1),OFFSET($M$15,0,0,$B$8,1))=FR$14))   /   SUM(OFFSET($BO$15,0,0,$B$14,1)) + $B$18/($B$19*$B$19*($DN76&lt;&gt;$DO76) + $B$19*($DN76=$DO76))</f>
        <v>0.97037037037037033</v>
      </c>
      <c r="FS76" s="10" cm="1">
        <f t="array" aca="1" ref="FS76" ca="1">(1-$B$18)*SUMPRODUCT(OFFSET($BO$15,0,0,$B$14,1), 1*(_xlfn._xlws.FILTER(OFFSET($O$15,0,$DN76,$B$8,1),OFFSET($M$15,0,0,$B$8,1))=FS$13), 1*(_xlfn._xlws.FILTER(OFFSET($O$15,0,$DO76,$B$8,1),OFFSET($M$15,0,0,$B$8,1))=FS$14))   /   SUM(OFFSET($BO$15,0,0,$B$14,1)) + $B$18/($B$19*$B$19*($DN76&lt;&gt;$DO76) + $B$19*($DN76=$DO76))</f>
        <v>3.7037037037037035E-4</v>
      </c>
      <c r="FT76" s="10" cm="1">
        <f t="array" aca="1" ref="FT76" ca="1">(1-$B$18)*SUMPRODUCT(OFFSET($BO$15,0,0,$B$14,1), 1*(_xlfn._xlws.FILTER(OFFSET($O$15,0,$DN76,$B$8,1),OFFSET($M$15,0,0,$B$8,1))=FT$13), 1*(_xlfn._xlws.FILTER(OFFSET($O$15,0,$DO76,$B$8,1),OFFSET($M$15,0,0,$B$8,1))=FT$14))   /   SUM(OFFSET($BO$15,0,0,$B$14,1)) + $B$18/($B$19*$B$19*($DN76&lt;&gt;$DO76) + $B$19*($DN76=$DO76))</f>
        <v>3.7037037037037035E-4</v>
      </c>
      <c r="FU76" s="10" cm="1">
        <f t="array" aca="1" ref="FU76" ca="1">(1-$B$18)*SUMPRODUCT(OFFSET($BO$15,0,0,$B$14,1), 1*(_xlfn._xlws.FILTER(OFFSET($O$15,0,$DN76,$B$8,1),OFFSET($M$15,0,0,$B$8,1))=FU$13), 1*(_xlfn._xlws.FILTER(OFFSET($O$15,0,$DO76,$B$8,1),OFFSET($M$15,0,0,$B$8,1))=FU$14))   /   SUM(OFFSET($BO$15,0,0,$B$14,1)) + $B$18/($B$19*$B$19*($DN76&lt;&gt;$DO76) + $B$19*($DN76=$DO76))</f>
        <v>3.7037037037037035E-4</v>
      </c>
      <c r="FV76" s="10" cm="1">
        <f t="array" aca="1" ref="FV76" ca="1">(1-$B$18)*SUMPRODUCT(OFFSET($BO$15,0,0,$B$14,1), 1*(_xlfn._xlws.FILTER(OFFSET($O$15,0,$DN76,$B$8,1),OFFSET($M$15,0,0,$B$8,1))=FV$13), 1*(_xlfn._xlws.FILTER(OFFSET($O$15,0,$DO76,$B$8,1),OFFSET($M$15,0,0,$B$8,1))=FV$14))   /   SUM(OFFSET($BO$15,0,0,$B$14,1)) + $B$18/($B$19*$B$19*($DN76&lt;&gt;$DO76) + $B$19*($DN76=$DO76))</f>
        <v>3.7037037037037035E-4</v>
      </c>
      <c r="FW76" s="10" cm="1">
        <f t="array" aca="1" ref="FW76" ca="1">(1-$B$18)*SUMPRODUCT(OFFSET($BO$15,0,0,$B$14,1), 1*(_xlfn._xlws.FILTER(OFFSET($O$15,0,$DN76,$B$8,1),OFFSET($M$15,0,0,$B$8,1))=FW$13), 1*(_xlfn._xlws.FILTER(OFFSET($O$15,0,$DO76,$B$8,1),OFFSET($M$15,0,0,$B$8,1))=FW$14))   /   SUM(OFFSET($BO$15,0,0,$B$14,1)) + $B$18/($B$19*$B$19*($DN76&lt;&gt;$DO76) + $B$19*($DN76=$DO76))</f>
        <v>3.7037037037037035E-4</v>
      </c>
      <c r="FX76" s="10" cm="1">
        <f t="array" aca="1" ref="FX76" ca="1">(1-$B$18)*SUMPRODUCT(OFFSET($BO$15,0,0,$B$14,1), 1*(_xlfn._xlws.FILTER(OFFSET($O$15,0,$DN76,$B$8,1),OFFSET($M$15,0,0,$B$8,1))=FX$13), 1*(_xlfn._xlws.FILTER(OFFSET($O$15,0,$DO76,$B$8,1),OFFSET($M$15,0,0,$B$8,1))=FX$14))   /   SUM(OFFSET($BO$15,0,0,$B$14,1)) + $B$18/($B$19*$B$19*($DN76&lt;&gt;$DO76) + $B$19*($DN76=$DO76))</f>
        <v>3.7037037037037035E-4</v>
      </c>
      <c r="FY76" s="10" cm="1">
        <f t="array" aca="1" ref="FY76" ca="1">(1-$B$18)*SUMPRODUCT(OFFSET($BO$15,0,0,$B$14,1), 1*(_xlfn._xlws.FILTER(OFFSET($O$15,0,$DN76,$B$8,1),OFFSET($M$15,0,0,$B$8,1))=FY$13), 1*(_xlfn._xlws.FILTER(OFFSET($O$15,0,$DO76,$B$8,1),OFFSET($M$15,0,0,$B$8,1))=FY$14))   /   SUM(OFFSET($BO$15,0,0,$B$14,1)) + $B$18/($B$19*$B$19*($DN76&lt;&gt;$DO76) + $B$19*($DN76=$DO76))</f>
        <v>3.7037037037037035E-4</v>
      </c>
      <c r="FZ76" s="10" cm="1">
        <f t="array" aca="1" ref="FZ76" ca="1">(1-$B$18)*SUMPRODUCT(OFFSET($BO$15,0,0,$B$14,1), 1*(_xlfn._xlws.FILTER(OFFSET($O$15,0,$DN76,$B$8,1),OFFSET($M$15,0,0,$B$8,1))=FZ$13), 1*(_xlfn._xlws.FILTER(OFFSET($O$15,0,$DO76,$B$8,1),OFFSET($M$15,0,0,$B$8,1))=FZ$14))   /   SUM(OFFSET($BO$15,0,0,$B$14,1)) + $B$18/($B$19*$B$19*($DN76&lt;&gt;$DO76) + $B$19*($DN76=$DO76))</f>
        <v>3.7037037037037035E-4</v>
      </c>
      <c r="GA76" s="10" cm="1">
        <f t="array" aca="1" ref="GA76" ca="1">(1-$B$18)*SUMPRODUCT(OFFSET($BO$15,0,0,$B$14,1), 1*(_xlfn._xlws.FILTER(OFFSET($O$15,0,$DN76,$B$8,1),OFFSET($M$15,0,0,$B$8,1))=GA$13), 1*(_xlfn._xlws.FILTER(OFFSET($O$15,0,$DO76,$B$8,1),OFFSET($M$15,0,0,$B$8,1))=GA$14))   /   SUM(OFFSET($BO$15,0,0,$B$14,1)) + $B$18/($B$19*$B$19*($DN76&lt;&gt;$DO76) + $B$19*($DN76=$DO76))</f>
        <v>3.7037037037037035E-4</v>
      </c>
    </row>
    <row r="77" spans="7:183" x14ac:dyDescent="0.2">
      <c r="G77" s="2"/>
      <c r="H77" s="2"/>
      <c r="DN77" cm="1">
        <f t="array" aca="1" ref="DN77" ca="1">INDEX(_xlfn.ANCHORARRAY($CP$15), 1 + INT((ROWS($DO$15:$DO77) - 1) / ROWS(_xlfn.ANCHORARRAY($CP$15))))</f>
        <v>3</v>
      </c>
      <c r="DO77" cm="1">
        <f t="array" aca="1" ref="DO77" ca="1">INDEX(_xlfn.ANCHORARRAY($CP$15),1+MOD(ROWS($DO$15:$DO77)-1,ROWS(_xlfn.ANCHORARRAY($CP$15))))</f>
        <v>5</v>
      </c>
      <c r="DP77" s="10" cm="1">
        <f t="array" aca="1" ref="DP77" ca="1">(1-$B$18)*SUMPRODUCT(OFFSET($BO$15,0,0,$B$14,1), 1*(_xlfn._xlws.FILTER(OFFSET($O$15,0,$DN77,$B$8,1),OFFSET($M$15,0,0,$B$8,1))=DP$13), 1*(_xlfn._xlws.FILTER(OFFSET($O$15,0,$DO77,$B$8,1),OFFSET($M$15,0,0,$B$8,1))=DP$14))   /   SUM(OFFSET($BO$15,0,0,$B$14,1)) + $B$18/($B$19*$B$19*($DN77&lt;&gt;$DO77) + $B$19*($DN77=$DO77))</f>
        <v>3.7037037037037035E-4</v>
      </c>
      <c r="DQ77" s="10" cm="1">
        <f t="array" aca="1" ref="DQ77" ca="1">(1-$B$18)*SUMPRODUCT(OFFSET($BO$15,0,0,$B$14,1), 1*(_xlfn._xlws.FILTER(OFFSET($O$15,0,$DN77,$B$8,1),OFFSET($M$15,0,0,$B$8,1))=DQ$13), 1*(_xlfn._xlws.FILTER(OFFSET($O$15,0,$DO77,$B$8,1),OFFSET($M$15,0,0,$B$8,1))=DQ$14))   /   SUM(OFFSET($BO$15,0,0,$B$14,1)) + $B$18/($B$19*$B$19*($DN77&lt;&gt;$DO77) + $B$19*($DN77=$DO77))</f>
        <v>3.7037037037037035E-4</v>
      </c>
      <c r="DR77" s="10" cm="1">
        <f t="array" aca="1" ref="DR77" ca="1">(1-$B$18)*SUMPRODUCT(OFFSET($BO$15,0,0,$B$14,1), 1*(_xlfn._xlws.FILTER(OFFSET($O$15,0,$DN77,$B$8,1),OFFSET($M$15,0,0,$B$8,1))=DR$13), 1*(_xlfn._xlws.FILTER(OFFSET($O$15,0,$DO77,$B$8,1),OFFSET($M$15,0,0,$B$8,1))=DR$14))   /   SUM(OFFSET($BO$15,0,0,$B$14,1)) + $B$18/($B$19*$B$19*($DN77&lt;&gt;$DO77) + $B$19*($DN77=$DO77))</f>
        <v>3.7037037037037035E-4</v>
      </c>
      <c r="DS77" s="10" cm="1">
        <f t="array" aca="1" ref="DS77" ca="1">(1-$B$18)*SUMPRODUCT(OFFSET($BO$15,0,0,$B$14,1), 1*(_xlfn._xlws.FILTER(OFFSET($O$15,0,$DN77,$B$8,1),OFFSET($M$15,0,0,$B$8,1))=DS$13), 1*(_xlfn._xlws.FILTER(OFFSET($O$15,0,$DO77,$B$8,1),OFFSET($M$15,0,0,$B$8,1))=DS$14))   /   SUM(OFFSET($BO$15,0,0,$B$14,1)) + $B$18/($B$19*$B$19*($DN77&lt;&gt;$DO77) + $B$19*($DN77=$DO77))</f>
        <v>3.7037037037037035E-4</v>
      </c>
      <c r="DT77" s="10" cm="1">
        <f t="array" aca="1" ref="DT77" ca="1">(1-$B$18)*SUMPRODUCT(OFFSET($BO$15,0,0,$B$14,1), 1*(_xlfn._xlws.FILTER(OFFSET($O$15,0,$DN77,$B$8,1),OFFSET($M$15,0,0,$B$8,1))=DT$13), 1*(_xlfn._xlws.FILTER(OFFSET($O$15,0,$DO77,$B$8,1),OFFSET($M$15,0,0,$B$8,1))=DT$14))   /   SUM(OFFSET($BO$15,0,0,$B$14,1)) + $B$18/($B$19*$B$19*($DN77&lt;&gt;$DO77) + $B$19*($DN77=$DO77))</f>
        <v>3.7037037037037035E-4</v>
      </c>
      <c r="DU77" s="10" cm="1">
        <f t="array" aca="1" ref="DU77" ca="1">(1-$B$18)*SUMPRODUCT(OFFSET($BO$15,0,0,$B$14,1), 1*(_xlfn._xlws.FILTER(OFFSET($O$15,0,$DN77,$B$8,1),OFFSET($M$15,0,0,$B$8,1))=DU$13), 1*(_xlfn._xlws.FILTER(OFFSET($O$15,0,$DO77,$B$8,1),OFFSET($M$15,0,0,$B$8,1))=DU$14))   /   SUM(OFFSET($BO$15,0,0,$B$14,1)) + $B$18/($B$19*$B$19*($DN77&lt;&gt;$DO77) + $B$19*($DN77=$DO77))</f>
        <v>3.7037037037037035E-4</v>
      </c>
      <c r="DV77" s="10" cm="1">
        <f t="array" aca="1" ref="DV77" ca="1">(1-$B$18)*SUMPRODUCT(OFFSET($BO$15,0,0,$B$14,1), 1*(_xlfn._xlws.FILTER(OFFSET($O$15,0,$DN77,$B$8,1),OFFSET($M$15,0,0,$B$8,1))=DV$13), 1*(_xlfn._xlws.FILTER(OFFSET($O$15,0,$DO77,$B$8,1),OFFSET($M$15,0,0,$B$8,1))=DV$14))   /   SUM(OFFSET($BO$15,0,0,$B$14,1)) + $B$18/($B$19*$B$19*($DN77&lt;&gt;$DO77) + $B$19*($DN77=$DO77))</f>
        <v>3.7037037037037035E-4</v>
      </c>
      <c r="DW77" s="10" cm="1">
        <f t="array" aca="1" ref="DW77" ca="1">(1-$B$18)*SUMPRODUCT(OFFSET($BO$15,0,0,$B$14,1), 1*(_xlfn._xlws.FILTER(OFFSET($O$15,0,$DN77,$B$8,1),OFFSET($M$15,0,0,$B$8,1))=DW$13), 1*(_xlfn._xlws.FILTER(OFFSET($O$15,0,$DO77,$B$8,1),OFFSET($M$15,0,0,$B$8,1))=DW$14))   /   SUM(OFFSET($BO$15,0,0,$B$14,1)) + $B$18/($B$19*$B$19*($DN77&lt;&gt;$DO77) + $B$19*($DN77=$DO77))</f>
        <v>3.7037037037037035E-4</v>
      </c>
      <c r="DX77" s="10" cm="1">
        <f t="array" aca="1" ref="DX77" ca="1">(1-$B$18)*SUMPRODUCT(OFFSET($BO$15,0,0,$B$14,1), 1*(_xlfn._xlws.FILTER(OFFSET($O$15,0,$DN77,$B$8,1),OFFSET($M$15,0,0,$B$8,1))=DX$13), 1*(_xlfn._xlws.FILTER(OFFSET($O$15,0,$DO77,$B$8,1),OFFSET($M$15,0,0,$B$8,1))=DX$14))   /   SUM(OFFSET($BO$15,0,0,$B$14,1)) + $B$18/($B$19*$B$19*($DN77&lt;&gt;$DO77) + $B$19*($DN77=$DO77))</f>
        <v>3.7037037037037035E-4</v>
      </c>
      <c r="DY77" s="10" cm="1">
        <f t="array" aca="1" ref="DY77" ca="1">(1-$B$18)*SUMPRODUCT(OFFSET($BO$15,0,0,$B$14,1), 1*(_xlfn._xlws.FILTER(OFFSET($O$15,0,$DN77,$B$8,1),OFFSET($M$15,0,0,$B$8,1))=DY$13), 1*(_xlfn._xlws.FILTER(OFFSET($O$15,0,$DO77,$B$8,1),OFFSET($M$15,0,0,$B$8,1))=DY$14))   /   SUM(OFFSET($BO$15,0,0,$B$14,1)) + $B$18/($B$19*$B$19*($DN77&lt;&gt;$DO77) + $B$19*($DN77=$DO77))</f>
        <v>3.7037037037037035E-4</v>
      </c>
      <c r="DZ77" s="10" cm="1">
        <f t="array" aca="1" ref="DZ77" ca="1">(1-$B$18)*SUMPRODUCT(OFFSET($BO$15,0,0,$B$14,1), 1*(_xlfn._xlws.FILTER(OFFSET($O$15,0,$DN77,$B$8,1),OFFSET($M$15,0,0,$B$8,1))=DZ$13), 1*(_xlfn._xlws.FILTER(OFFSET($O$15,0,$DO77,$B$8,1),OFFSET($M$15,0,0,$B$8,1))=DZ$14))   /   SUM(OFFSET($BO$15,0,0,$B$14,1)) + $B$18/($B$19*$B$19*($DN77&lt;&gt;$DO77) + $B$19*($DN77=$DO77))</f>
        <v>3.7037037037037035E-4</v>
      </c>
      <c r="EA77" s="10" cm="1">
        <f t="array" aca="1" ref="EA77" ca="1">(1-$B$18)*SUMPRODUCT(OFFSET($BO$15,0,0,$B$14,1), 1*(_xlfn._xlws.FILTER(OFFSET($O$15,0,$DN77,$B$8,1),OFFSET($M$15,0,0,$B$8,1))=EA$13), 1*(_xlfn._xlws.FILTER(OFFSET($O$15,0,$DO77,$B$8,1),OFFSET($M$15,0,0,$B$8,1))=EA$14))   /   SUM(OFFSET($BO$15,0,0,$B$14,1)) + $B$18/($B$19*$B$19*($DN77&lt;&gt;$DO77) + $B$19*($DN77=$DO77))</f>
        <v>3.7037037037037035E-4</v>
      </c>
      <c r="EB77" s="10" cm="1">
        <f t="array" aca="1" ref="EB77" ca="1">(1-$B$18)*SUMPRODUCT(OFFSET($BO$15,0,0,$B$14,1), 1*(_xlfn._xlws.FILTER(OFFSET($O$15,0,$DN77,$B$8,1),OFFSET($M$15,0,0,$B$8,1))=EB$13), 1*(_xlfn._xlws.FILTER(OFFSET($O$15,0,$DO77,$B$8,1),OFFSET($M$15,0,0,$B$8,1))=EB$14))   /   SUM(OFFSET($BO$15,0,0,$B$14,1)) + $B$18/($B$19*$B$19*($DN77&lt;&gt;$DO77) + $B$19*($DN77=$DO77))</f>
        <v>3.7037037037037035E-4</v>
      </c>
      <c r="EC77" s="10" cm="1">
        <f t="array" aca="1" ref="EC77" ca="1">(1-$B$18)*SUMPRODUCT(OFFSET($BO$15,0,0,$B$14,1), 1*(_xlfn._xlws.FILTER(OFFSET($O$15,0,$DN77,$B$8,1),OFFSET($M$15,0,0,$B$8,1))=EC$13), 1*(_xlfn._xlws.FILTER(OFFSET($O$15,0,$DO77,$B$8,1),OFFSET($M$15,0,0,$B$8,1))=EC$14))   /   SUM(OFFSET($BO$15,0,0,$B$14,1)) + $B$18/($B$19*$B$19*($DN77&lt;&gt;$DO77) + $B$19*($DN77=$DO77))</f>
        <v>3.7037037037037035E-4</v>
      </c>
      <c r="ED77" s="10" cm="1">
        <f t="array" aca="1" ref="ED77" ca="1">(1-$B$18)*SUMPRODUCT(OFFSET($BO$15,0,0,$B$14,1), 1*(_xlfn._xlws.FILTER(OFFSET($O$15,0,$DN77,$B$8,1),OFFSET($M$15,0,0,$B$8,1))=ED$13), 1*(_xlfn._xlws.FILTER(OFFSET($O$15,0,$DO77,$B$8,1),OFFSET($M$15,0,0,$B$8,1))=ED$14))   /   SUM(OFFSET($BO$15,0,0,$B$14,1)) + $B$18/($B$19*$B$19*($DN77&lt;&gt;$DO77) + $B$19*($DN77=$DO77))</f>
        <v>3.7037037037037035E-4</v>
      </c>
      <c r="EE77" s="10" cm="1">
        <f t="array" aca="1" ref="EE77" ca="1">(1-$B$18)*SUMPRODUCT(OFFSET($BO$15,0,0,$B$14,1), 1*(_xlfn._xlws.FILTER(OFFSET($O$15,0,$DN77,$B$8,1),OFFSET($M$15,0,0,$B$8,1))=EE$13), 1*(_xlfn._xlws.FILTER(OFFSET($O$15,0,$DO77,$B$8,1),OFFSET($M$15,0,0,$B$8,1))=EE$14))   /   SUM(OFFSET($BO$15,0,0,$B$14,1)) + $B$18/($B$19*$B$19*($DN77&lt;&gt;$DO77) + $B$19*($DN77=$DO77))</f>
        <v>3.7037037037037035E-4</v>
      </c>
      <c r="EF77" s="10" cm="1">
        <f t="array" aca="1" ref="EF77" ca="1">(1-$B$18)*SUMPRODUCT(OFFSET($BO$15,0,0,$B$14,1), 1*(_xlfn._xlws.FILTER(OFFSET($O$15,0,$DN77,$B$8,1),OFFSET($M$15,0,0,$B$8,1))=EF$13), 1*(_xlfn._xlws.FILTER(OFFSET($O$15,0,$DO77,$B$8,1),OFFSET($M$15,0,0,$B$8,1))=EF$14))   /   SUM(OFFSET($BO$15,0,0,$B$14,1)) + $B$18/($B$19*$B$19*($DN77&lt;&gt;$DO77) + $B$19*($DN77=$DO77))</f>
        <v>3.7037037037037035E-4</v>
      </c>
      <c r="EG77" s="10" cm="1">
        <f t="array" aca="1" ref="EG77" ca="1">(1-$B$18)*SUMPRODUCT(OFFSET($BO$15,0,0,$B$14,1), 1*(_xlfn._xlws.FILTER(OFFSET($O$15,0,$DN77,$B$8,1),OFFSET($M$15,0,0,$B$8,1))=EG$13), 1*(_xlfn._xlws.FILTER(OFFSET($O$15,0,$DO77,$B$8,1),OFFSET($M$15,0,0,$B$8,1))=EG$14))   /   SUM(OFFSET($BO$15,0,0,$B$14,1)) + $B$18/($B$19*$B$19*($DN77&lt;&gt;$DO77) + $B$19*($DN77=$DO77))</f>
        <v>3.7037037037037035E-4</v>
      </c>
      <c r="EH77" s="10" cm="1">
        <f t="array" aca="1" ref="EH77" ca="1">(1-$B$18)*SUMPRODUCT(OFFSET($BO$15,0,0,$B$14,1), 1*(_xlfn._xlws.FILTER(OFFSET($O$15,0,$DN77,$B$8,1),OFFSET($M$15,0,0,$B$8,1))=EH$13), 1*(_xlfn._xlws.FILTER(OFFSET($O$15,0,$DO77,$B$8,1),OFFSET($M$15,0,0,$B$8,1))=EH$14))   /   SUM(OFFSET($BO$15,0,0,$B$14,1)) + $B$18/($B$19*$B$19*($DN77&lt;&gt;$DO77) + $B$19*($DN77=$DO77))</f>
        <v>3.7037037037037035E-4</v>
      </c>
      <c r="EI77" s="10" cm="1">
        <f t="array" aca="1" ref="EI77" ca="1">(1-$B$18)*SUMPRODUCT(OFFSET($BO$15,0,0,$B$14,1), 1*(_xlfn._xlws.FILTER(OFFSET($O$15,0,$DN77,$B$8,1),OFFSET($M$15,0,0,$B$8,1))=EI$13), 1*(_xlfn._xlws.FILTER(OFFSET($O$15,0,$DO77,$B$8,1),OFFSET($M$15,0,0,$B$8,1))=EI$14))   /   SUM(OFFSET($BO$15,0,0,$B$14,1)) + $B$18/($B$19*$B$19*($DN77&lt;&gt;$DO77) + $B$19*($DN77=$DO77))</f>
        <v>3.7037037037037035E-4</v>
      </c>
      <c r="EJ77" s="10" cm="1">
        <f t="array" aca="1" ref="EJ77" ca="1">(1-$B$18)*SUMPRODUCT(OFFSET($BO$15,0,0,$B$14,1), 1*(_xlfn._xlws.FILTER(OFFSET($O$15,0,$DN77,$B$8,1),OFFSET($M$15,0,0,$B$8,1))=EJ$13), 1*(_xlfn._xlws.FILTER(OFFSET($O$15,0,$DO77,$B$8,1),OFFSET($M$15,0,0,$B$8,1))=EJ$14))   /   SUM(OFFSET($BO$15,0,0,$B$14,1)) + $B$18/($B$19*$B$19*($DN77&lt;&gt;$DO77) + $B$19*($DN77=$DO77))</f>
        <v>3.7037037037037035E-4</v>
      </c>
      <c r="EK77" s="10" cm="1">
        <f t="array" aca="1" ref="EK77" ca="1">(1-$B$18)*SUMPRODUCT(OFFSET($BO$15,0,0,$B$14,1), 1*(_xlfn._xlws.FILTER(OFFSET($O$15,0,$DN77,$B$8,1),OFFSET($M$15,0,0,$B$8,1))=EK$13), 1*(_xlfn._xlws.FILTER(OFFSET($O$15,0,$DO77,$B$8,1),OFFSET($M$15,0,0,$B$8,1))=EK$14))   /   SUM(OFFSET($BO$15,0,0,$B$14,1)) + $B$18/($B$19*$B$19*($DN77&lt;&gt;$DO77) + $B$19*($DN77=$DO77))</f>
        <v>3.7037037037037035E-4</v>
      </c>
      <c r="EL77" s="10" cm="1">
        <f t="array" aca="1" ref="EL77" ca="1">(1-$B$18)*SUMPRODUCT(OFFSET($BO$15,0,0,$B$14,1), 1*(_xlfn._xlws.FILTER(OFFSET($O$15,0,$DN77,$B$8,1),OFFSET($M$15,0,0,$B$8,1))=EL$13), 1*(_xlfn._xlws.FILTER(OFFSET($O$15,0,$DO77,$B$8,1),OFFSET($M$15,0,0,$B$8,1))=EL$14))   /   SUM(OFFSET($BO$15,0,0,$B$14,1)) + $B$18/($B$19*$B$19*($DN77&lt;&gt;$DO77) + $B$19*($DN77=$DO77))</f>
        <v>3.7037037037037035E-4</v>
      </c>
      <c r="EM77" s="10" cm="1">
        <f t="array" aca="1" ref="EM77" ca="1">(1-$B$18)*SUMPRODUCT(OFFSET($BO$15,0,0,$B$14,1), 1*(_xlfn._xlws.FILTER(OFFSET($O$15,0,$DN77,$B$8,1),OFFSET($M$15,0,0,$B$8,1))=EM$13), 1*(_xlfn._xlws.FILTER(OFFSET($O$15,0,$DO77,$B$8,1),OFFSET($M$15,0,0,$B$8,1))=EM$14))   /   SUM(OFFSET($BO$15,0,0,$B$14,1)) + $B$18/($B$19*$B$19*($DN77&lt;&gt;$DO77) + $B$19*($DN77=$DO77))</f>
        <v>3.7037037037037035E-4</v>
      </c>
      <c r="EN77" s="10" cm="1">
        <f t="array" aca="1" ref="EN77" ca="1">(1-$B$18)*SUMPRODUCT(OFFSET($BO$15,0,0,$B$14,1), 1*(_xlfn._xlws.FILTER(OFFSET($O$15,0,$DN77,$B$8,1),OFFSET($M$15,0,0,$B$8,1))=EN$13), 1*(_xlfn._xlws.FILTER(OFFSET($O$15,0,$DO77,$B$8,1),OFFSET($M$15,0,0,$B$8,1))=EN$14))   /   SUM(OFFSET($BO$15,0,0,$B$14,1)) + $B$18/($B$19*$B$19*($DN77&lt;&gt;$DO77) + $B$19*($DN77=$DO77))</f>
        <v>3.7037037037037035E-4</v>
      </c>
      <c r="EO77" s="10" cm="1">
        <f t="array" aca="1" ref="EO77" ca="1">(1-$B$18)*SUMPRODUCT(OFFSET($BO$15,0,0,$B$14,1), 1*(_xlfn._xlws.FILTER(OFFSET($O$15,0,$DN77,$B$8,1),OFFSET($M$15,0,0,$B$8,1))=EO$13), 1*(_xlfn._xlws.FILTER(OFFSET($O$15,0,$DO77,$B$8,1),OFFSET($M$15,0,0,$B$8,1))=EO$14))   /   SUM(OFFSET($BO$15,0,0,$B$14,1)) + $B$18/($B$19*$B$19*($DN77&lt;&gt;$DO77) + $B$19*($DN77=$DO77))</f>
        <v>3.7037037037037035E-4</v>
      </c>
      <c r="EP77" s="10" cm="1">
        <f t="array" aca="1" ref="EP77" ca="1">(1-$B$18)*SUMPRODUCT(OFFSET($BO$15,0,0,$B$14,1), 1*(_xlfn._xlws.FILTER(OFFSET($O$15,0,$DN77,$B$8,1),OFFSET($M$15,0,0,$B$8,1))=EP$13), 1*(_xlfn._xlws.FILTER(OFFSET($O$15,0,$DO77,$B$8,1),OFFSET($M$15,0,0,$B$8,1))=EP$14))   /   SUM(OFFSET($BO$15,0,0,$B$14,1)) + $B$18/($B$19*$B$19*($DN77&lt;&gt;$DO77) + $B$19*($DN77=$DO77))</f>
        <v>3.7037037037037035E-4</v>
      </c>
      <c r="EQ77" s="10" cm="1">
        <f t="array" aca="1" ref="EQ77" ca="1">(1-$B$18)*SUMPRODUCT(OFFSET($BO$15,0,0,$B$14,1), 1*(_xlfn._xlws.FILTER(OFFSET($O$15,0,$DN77,$B$8,1),OFFSET($M$15,0,0,$B$8,1))=EQ$13), 1*(_xlfn._xlws.FILTER(OFFSET($O$15,0,$DO77,$B$8,1),OFFSET($M$15,0,0,$B$8,1))=EQ$14))   /   SUM(OFFSET($BO$15,0,0,$B$14,1)) + $B$18/($B$19*$B$19*($DN77&lt;&gt;$DO77) + $B$19*($DN77=$DO77))</f>
        <v>3.7037037037037035E-4</v>
      </c>
      <c r="ER77" s="10" cm="1">
        <f t="array" aca="1" ref="ER77" ca="1">(1-$B$18)*SUMPRODUCT(OFFSET($BO$15,0,0,$B$14,1), 1*(_xlfn._xlws.FILTER(OFFSET($O$15,0,$DN77,$B$8,1),OFFSET($M$15,0,0,$B$8,1))=ER$13), 1*(_xlfn._xlws.FILTER(OFFSET($O$15,0,$DO77,$B$8,1),OFFSET($M$15,0,0,$B$8,1))=ER$14))   /   SUM(OFFSET($BO$15,0,0,$B$14,1)) + $B$18/($B$19*$B$19*($DN77&lt;&gt;$DO77) + $B$19*($DN77=$DO77))</f>
        <v>3.7037037037037035E-4</v>
      </c>
      <c r="ES77" s="10" cm="1">
        <f t="array" aca="1" ref="ES77" ca="1">(1-$B$18)*SUMPRODUCT(OFFSET($BO$15,0,0,$B$14,1), 1*(_xlfn._xlws.FILTER(OFFSET($O$15,0,$DN77,$B$8,1),OFFSET($M$15,0,0,$B$8,1))=ES$13), 1*(_xlfn._xlws.FILTER(OFFSET($O$15,0,$DO77,$B$8,1),OFFSET($M$15,0,0,$B$8,1))=ES$14))   /   SUM(OFFSET($BO$15,0,0,$B$14,1)) + $B$18/($B$19*$B$19*($DN77&lt;&gt;$DO77) + $B$19*($DN77=$DO77))</f>
        <v>3.7037037037037035E-4</v>
      </c>
      <c r="ET77" s="10" cm="1">
        <f t="array" aca="1" ref="ET77" ca="1">(1-$B$18)*SUMPRODUCT(OFFSET($BO$15,0,0,$B$14,1), 1*(_xlfn._xlws.FILTER(OFFSET($O$15,0,$DN77,$B$8,1),OFFSET($M$15,0,0,$B$8,1))=ET$13), 1*(_xlfn._xlws.FILTER(OFFSET($O$15,0,$DO77,$B$8,1),OFFSET($M$15,0,0,$B$8,1))=ET$14))   /   SUM(OFFSET($BO$15,0,0,$B$14,1)) + $B$18/($B$19*$B$19*($DN77&lt;&gt;$DO77) + $B$19*($DN77=$DO77))</f>
        <v>3.7037037037037035E-4</v>
      </c>
      <c r="EU77" s="10" cm="1">
        <f t="array" aca="1" ref="EU77" ca="1">(1-$B$18)*SUMPRODUCT(OFFSET($BO$15,0,0,$B$14,1), 1*(_xlfn._xlws.FILTER(OFFSET($O$15,0,$DN77,$B$8,1),OFFSET($M$15,0,0,$B$8,1))=EU$13), 1*(_xlfn._xlws.FILTER(OFFSET($O$15,0,$DO77,$B$8,1),OFFSET($M$15,0,0,$B$8,1))=EU$14))   /   SUM(OFFSET($BO$15,0,0,$B$14,1)) + $B$18/($B$19*$B$19*($DN77&lt;&gt;$DO77) + $B$19*($DN77=$DO77))</f>
        <v>3.7037037037037035E-4</v>
      </c>
      <c r="EV77" s="10" cm="1">
        <f t="array" aca="1" ref="EV77" ca="1">(1-$B$18)*SUMPRODUCT(OFFSET($BO$15,0,0,$B$14,1), 1*(_xlfn._xlws.FILTER(OFFSET($O$15,0,$DN77,$B$8,1),OFFSET($M$15,0,0,$B$8,1))=EV$13), 1*(_xlfn._xlws.FILTER(OFFSET($O$15,0,$DO77,$B$8,1),OFFSET($M$15,0,0,$B$8,1))=EV$14))   /   SUM(OFFSET($BO$15,0,0,$B$14,1)) + $B$18/($B$19*$B$19*($DN77&lt;&gt;$DO77) + $B$19*($DN77=$DO77))</f>
        <v>3.7037037037037035E-4</v>
      </c>
      <c r="EW77" s="10" cm="1">
        <f t="array" aca="1" ref="EW77" ca="1">(1-$B$18)*SUMPRODUCT(OFFSET($BO$15,0,0,$B$14,1), 1*(_xlfn._xlws.FILTER(OFFSET($O$15,0,$DN77,$B$8,1),OFFSET($M$15,0,0,$B$8,1))=EW$13), 1*(_xlfn._xlws.FILTER(OFFSET($O$15,0,$DO77,$B$8,1),OFFSET($M$15,0,0,$B$8,1))=EW$14))   /   SUM(OFFSET($BO$15,0,0,$B$14,1)) + $B$18/($B$19*$B$19*($DN77&lt;&gt;$DO77) + $B$19*($DN77=$DO77))</f>
        <v>3.7037037037037035E-4</v>
      </c>
      <c r="EX77" s="10" cm="1">
        <f t="array" aca="1" ref="EX77" ca="1">(1-$B$18)*SUMPRODUCT(OFFSET($BO$15,0,0,$B$14,1), 1*(_xlfn._xlws.FILTER(OFFSET($O$15,0,$DN77,$B$8,1),OFFSET($M$15,0,0,$B$8,1))=EX$13), 1*(_xlfn._xlws.FILTER(OFFSET($O$15,0,$DO77,$B$8,1),OFFSET($M$15,0,0,$B$8,1))=EX$14))   /   SUM(OFFSET($BO$15,0,0,$B$14,1)) + $B$18/($B$19*$B$19*($DN77&lt;&gt;$DO77) + $B$19*($DN77=$DO77))</f>
        <v>3.7037037037037035E-4</v>
      </c>
      <c r="EY77" s="10" cm="1">
        <f t="array" aca="1" ref="EY77" ca="1">(1-$B$18)*SUMPRODUCT(OFFSET($BO$15,0,0,$B$14,1), 1*(_xlfn._xlws.FILTER(OFFSET($O$15,0,$DN77,$B$8,1),OFFSET($M$15,0,0,$B$8,1))=EY$13), 1*(_xlfn._xlws.FILTER(OFFSET($O$15,0,$DO77,$B$8,1),OFFSET($M$15,0,0,$B$8,1))=EY$14))   /   SUM(OFFSET($BO$15,0,0,$B$14,1)) + $B$18/($B$19*$B$19*($DN77&lt;&gt;$DO77) + $B$19*($DN77=$DO77))</f>
        <v>3.7037037037037035E-4</v>
      </c>
      <c r="EZ77" s="10" cm="1">
        <f t="array" aca="1" ref="EZ77" ca="1">(1-$B$18)*SUMPRODUCT(OFFSET($BO$15,0,0,$B$14,1), 1*(_xlfn._xlws.FILTER(OFFSET($O$15,0,$DN77,$B$8,1),OFFSET($M$15,0,0,$B$8,1))=EZ$13), 1*(_xlfn._xlws.FILTER(OFFSET($O$15,0,$DO77,$B$8,1),OFFSET($M$15,0,0,$B$8,1))=EZ$14))   /   SUM(OFFSET($BO$15,0,0,$B$14,1)) + $B$18/($B$19*$B$19*($DN77&lt;&gt;$DO77) + $B$19*($DN77=$DO77))</f>
        <v>3.7037037037037035E-4</v>
      </c>
      <c r="FA77" s="10" cm="1">
        <f t="array" aca="1" ref="FA77" ca="1">(1-$B$18)*SUMPRODUCT(OFFSET($BO$15,0,0,$B$14,1), 1*(_xlfn._xlws.FILTER(OFFSET($O$15,0,$DN77,$B$8,1),OFFSET($M$15,0,0,$B$8,1))=FA$13), 1*(_xlfn._xlws.FILTER(OFFSET($O$15,0,$DO77,$B$8,1),OFFSET($M$15,0,0,$B$8,1))=FA$14))   /   SUM(OFFSET($BO$15,0,0,$B$14,1)) + $B$18/($B$19*$B$19*($DN77&lt;&gt;$DO77) + $B$19*($DN77=$DO77))</f>
        <v>3.7037037037037035E-4</v>
      </c>
      <c r="FB77" s="10" cm="1">
        <f t="array" aca="1" ref="FB77" ca="1">(1-$B$18)*SUMPRODUCT(OFFSET($BO$15,0,0,$B$14,1), 1*(_xlfn._xlws.FILTER(OFFSET($O$15,0,$DN77,$B$8,1),OFFSET($M$15,0,0,$B$8,1))=FB$13), 1*(_xlfn._xlws.FILTER(OFFSET($O$15,0,$DO77,$B$8,1),OFFSET($M$15,0,0,$B$8,1))=FB$14))   /   SUM(OFFSET($BO$15,0,0,$B$14,1)) + $B$18/($B$19*$B$19*($DN77&lt;&gt;$DO77) + $B$19*($DN77=$DO77))</f>
        <v>3.7037037037037035E-4</v>
      </c>
      <c r="FC77" s="10" cm="1">
        <f t="array" aca="1" ref="FC77" ca="1">(1-$B$18)*SUMPRODUCT(OFFSET($BO$15,0,0,$B$14,1), 1*(_xlfn._xlws.FILTER(OFFSET($O$15,0,$DN77,$B$8,1),OFFSET($M$15,0,0,$B$8,1))=FC$13), 1*(_xlfn._xlws.FILTER(OFFSET($O$15,0,$DO77,$B$8,1),OFFSET($M$15,0,0,$B$8,1))=FC$14))   /   SUM(OFFSET($BO$15,0,0,$B$14,1)) + $B$18/($B$19*$B$19*($DN77&lt;&gt;$DO77) + $B$19*($DN77=$DO77))</f>
        <v>3.7037037037037035E-4</v>
      </c>
      <c r="FD77" s="10" cm="1">
        <f t="array" aca="1" ref="FD77" ca="1">(1-$B$18)*SUMPRODUCT(OFFSET($BO$15,0,0,$B$14,1), 1*(_xlfn._xlws.FILTER(OFFSET($O$15,0,$DN77,$B$8,1),OFFSET($M$15,0,0,$B$8,1))=FD$13), 1*(_xlfn._xlws.FILTER(OFFSET($O$15,0,$DO77,$B$8,1),OFFSET($M$15,0,0,$B$8,1))=FD$14))   /   SUM(OFFSET($BO$15,0,0,$B$14,1)) + $B$18/($B$19*$B$19*($DN77&lt;&gt;$DO77) + $B$19*($DN77=$DO77))</f>
        <v>3.7037037037037035E-4</v>
      </c>
      <c r="FE77" s="10" cm="1">
        <f t="array" aca="1" ref="FE77" ca="1">(1-$B$18)*SUMPRODUCT(OFFSET($BO$15,0,0,$B$14,1), 1*(_xlfn._xlws.FILTER(OFFSET($O$15,0,$DN77,$B$8,1),OFFSET($M$15,0,0,$B$8,1))=FE$13), 1*(_xlfn._xlws.FILTER(OFFSET($O$15,0,$DO77,$B$8,1),OFFSET($M$15,0,0,$B$8,1))=FE$14))   /   SUM(OFFSET($BO$15,0,0,$B$14,1)) + $B$18/($B$19*$B$19*($DN77&lt;&gt;$DO77) + $B$19*($DN77=$DO77))</f>
        <v>3.7037037037037035E-4</v>
      </c>
      <c r="FF77" s="10" cm="1">
        <f t="array" aca="1" ref="FF77" ca="1">(1-$B$18)*SUMPRODUCT(OFFSET($BO$15,0,0,$B$14,1), 1*(_xlfn._xlws.FILTER(OFFSET($O$15,0,$DN77,$B$8,1),OFFSET($M$15,0,0,$B$8,1))=FF$13), 1*(_xlfn._xlws.FILTER(OFFSET($O$15,0,$DO77,$B$8,1),OFFSET($M$15,0,0,$B$8,1))=FF$14))   /   SUM(OFFSET($BO$15,0,0,$B$14,1)) + $B$18/($B$19*$B$19*($DN77&lt;&gt;$DO77) + $B$19*($DN77=$DO77))</f>
        <v>3.7037037037037035E-4</v>
      </c>
      <c r="FG77" s="10" cm="1">
        <f t="array" aca="1" ref="FG77" ca="1">(1-$B$18)*SUMPRODUCT(OFFSET($BO$15,0,0,$B$14,1), 1*(_xlfn._xlws.FILTER(OFFSET($O$15,0,$DN77,$B$8,1),OFFSET($M$15,0,0,$B$8,1))=FG$13), 1*(_xlfn._xlws.FILTER(OFFSET($O$15,0,$DO77,$B$8,1),OFFSET($M$15,0,0,$B$8,1))=FG$14))   /   SUM(OFFSET($BO$15,0,0,$B$14,1)) + $B$18/($B$19*$B$19*($DN77&lt;&gt;$DO77) + $B$19*($DN77=$DO77))</f>
        <v>3.7037037037037035E-4</v>
      </c>
      <c r="FH77" s="10" cm="1">
        <f t="array" aca="1" ref="FH77" ca="1">(1-$B$18)*SUMPRODUCT(OFFSET($BO$15,0,0,$B$14,1), 1*(_xlfn._xlws.FILTER(OFFSET($O$15,0,$DN77,$B$8,1),OFFSET($M$15,0,0,$B$8,1))=FH$13), 1*(_xlfn._xlws.FILTER(OFFSET($O$15,0,$DO77,$B$8,1),OFFSET($M$15,0,0,$B$8,1))=FH$14))   /   SUM(OFFSET($BO$15,0,0,$B$14,1)) + $B$18/($B$19*$B$19*($DN77&lt;&gt;$DO77) + $B$19*($DN77=$DO77))</f>
        <v>3.7037037037037035E-4</v>
      </c>
      <c r="FI77" s="10" cm="1">
        <f t="array" aca="1" ref="FI77" ca="1">(1-$B$18)*SUMPRODUCT(OFFSET($BO$15,0,0,$B$14,1), 1*(_xlfn._xlws.FILTER(OFFSET($O$15,0,$DN77,$B$8,1),OFFSET($M$15,0,0,$B$8,1))=FI$13), 1*(_xlfn._xlws.FILTER(OFFSET($O$15,0,$DO77,$B$8,1),OFFSET($M$15,0,0,$B$8,1))=FI$14))   /   SUM(OFFSET($BO$15,0,0,$B$14,1)) + $B$18/($B$19*$B$19*($DN77&lt;&gt;$DO77) + $B$19*($DN77=$DO77))</f>
        <v>3.7037037037037035E-4</v>
      </c>
      <c r="FJ77" s="10" cm="1">
        <f t="array" aca="1" ref="FJ77" ca="1">(1-$B$18)*SUMPRODUCT(OFFSET($BO$15,0,0,$B$14,1), 1*(_xlfn._xlws.FILTER(OFFSET($O$15,0,$DN77,$B$8,1),OFFSET($M$15,0,0,$B$8,1))=FJ$13), 1*(_xlfn._xlws.FILTER(OFFSET($O$15,0,$DO77,$B$8,1),OFFSET($M$15,0,0,$B$8,1))=FJ$14))   /   SUM(OFFSET($BO$15,0,0,$B$14,1)) + $B$18/($B$19*$B$19*($DN77&lt;&gt;$DO77) + $B$19*($DN77=$DO77))</f>
        <v>3.7037037037037035E-4</v>
      </c>
      <c r="FK77" s="10" cm="1">
        <f t="array" aca="1" ref="FK77" ca="1">(1-$B$18)*SUMPRODUCT(OFFSET($BO$15,0,0,$B$14,1), 1*(_xlfn._xlws.FILTER(OFFSET($O$15,0,$DN77,$B$8,1),OFFSET($M$15,0,0,$B$8,1))=FK$13), 1*(_xlfn._xlws.FILTER(OFFSET($O$15,0,$DO77,$B$8,1),OFFSET($M$15,0,0,$B$8,1))=FK$14))   /   SUM(OFFSET($BO$15,0,0,$B$14,1)) + $B$18/($B$19*$B$19*($DN77&lt;&gt;$DO77) + $B$19*($DN77=$DO77))</f>
        <v>3.7037037037037035E-4</v>
      </c>
      <c r="FL77" s="10" cm="1">
        <f t="array" aca="1" ref="FL77" ca="1">(1-$B$18)*SUMPRODUCT(OFFSET($BO$15,0,0,$B$14,1), 1*(_xlfn._xlws.FILTER(OFFSET($O$15,0,$DN77,$B$8,1),OFFSET($M$15,0,0,$B$8,1))=FL$13), 1*(_xlfn._xlws.FILTER(OFFSET($O$15,0,$DO77,$B$8,1),OFFSET($M$15,0,0,$B$8,1))=FL$14))   /   SUM(OFFSET($BO$15,0,0,$B$14,1)) + $B$18/($B$19*$B$19*($DN77&lt;&gt;$DO77) + $B$19*($DN77=$DO77))</f>
        <v>3.7037037037037035E-4</v>
      </c>
      <c r="FM77" s="10" cm="1">
        <f t="array" aca="1" ref="FM77" ca="1">(1-$B$18)*SUMPRODUCT(OFFSET($BO$15,0,0,$B$14,1), 1*(_xlfn._xlws.FILTER(OFFSET($O$15,0,$DN77,$B$8,1),OFFSET($M$15,0,0,$B$8,1))=FM$13), 1*(_xlfn._xlws.FILTER(OFFSET($O$15,0,$DO77,$B$8,1),OFFSET($M$15,0,0,$B$8,1))=FM$14))   /   SUM(OFFSET($BO$15,0,0,$B$14,1)) + $B$18/($B$19*$B$19*($DN77&lt;&gt;$DO77) + $B$19*($DN77=$DO77))</f>
        <v>3.7037037037037035E-4</v>
      </c>
      <c r="FN77" s="10" cm="1">
        <f t="array" aca="1" ref="FN77" ca="1">(1-$B$18)*SUMPRODUCT(OFFSET($BO$15,0,0,$B$14,1), 1*(_xlfn._xlws.FILTER(OFFSET($O$15,0,$DN77,$B$8,1),OFFSET($M$15,0,0,$B$8,1))=FN$13), 1*(_xlfn._xlws.FILTER(OFFSET($O$15,0,$DO77,$B$8,1),OFFSET($M$15,0,0,$B$8,1))=FN$14))   /   SUM(OFFSET($BO$15,0,0,$B$14,1)) + $B$18/($B$19*$B$19*($DN77&lt;&gt;$DO77) + $B$19*($DN77=$DO77))</f>
        <v>3.7037037037037035E-4</v>
      </c>
      <c r="FO77" s="10" cm="1">
        <f t="array" aca="1" ref="FO77" ca="1">(1-$B$18)*SUMPRODUCT(OFFSET($BO$15,0,0,$B$14,1), 1*(_xlfn._xlws.FILTER(OFFSET($O$15,0,$DN77,$B$8,1),OFFSET($M$15,0,0,$B$8,1))=FO$13), 1*(_xlfn._xlws.FILTER(OFFSET($O$15,0,$DO77,$B$8,1),OFFSET($M$15,0,0,$B$8,1))=FO$14))   /   SUM(OFFSET($BO$15,0,0,$B$14,1)) + $B$18/($B$19*$B$19*($DN77&lt;&gt;$DO77) + $B$19*($DN77=$DO77))</f>
        <v>3.7037037037037035E-4</v>
      </c>
      <c r="FP77" s="10" cm="1">
        <f t="array" aca="1" ref="FP77" ca="1">(1-$B$18)*SUMPRODUCT(OFFSET($BO$15,0,0,$B$14,1), 1*(_xlfn._xlws.FILTER(OFFSET($O$15,0,$DN77,$B$8,1),OFFSET($M$15,0,0,$B$8,1))=FP$13), 1*(_xlfn._xlws.FILTER(OFFSET($O$15,0,$DO77,$B$8,1),OFFSET($M$15,0,0,$B$8,1))=FP$14))   /   SUM(OFFSET($BO$15,0,0,$B$14,1)) + $B$18/($B$19*$B$19*($DN77&lt;&gt;$DO77) + $B$19*($DN77=$DO77))</f>
        <v>3.7037037037037035E-4</v>
      </c>
      <c r="FQ77" s="10" cm="1">
        <f t="array" aca="1" ref="FQ77" ca="1">(1-$B$18)*SUMPRODUCT(OFFSET($BO$15,0,0,$B$14,1), 1*(_xlfn._xlws.FILTER(OFFSET($O$15,0,$DN77,$B$8,1),OFFSET($M$15,0,0,$B$8,1))=FQ$13), 1*(_xlfn._xlws.FILTER(OFFSET($O$15,0,$DO77,$B$8,1),OFFSET($M$15,0,0,$B$8,1))=FQ$14))   /   SUM(OFFSET($BO$15,0,0,$B$14,1)) + $B$18/($B$19*$B$19*($DN77&lt;&gt;$DO77) + $B$19*($DN77=$DO77))</f>
        <v>3.7037037037037035E-4</v>
      </c>
      <c r="FR77" s="10" cm="1">
        <f t="array" aca="1" ref="FR77" ca="1">(1-$B$18)*SUMPRODUCT(OFFSET($BO$15,0,0,$B$14,1), 1*(_xlfn._xlws.FILTER(OFFSET($O$15,0,$DN77,$B$8,1),OFFSET($M$15,0,0,$B$8,1))=FR$13), 1*(_xlfn._xlws.FILTER(OFFSET($O$15,0,$DO77,$B$8,1),OFFSET($M$15,0,0,$B$8,1))=FR$14))   /   SUM(OFFSET($BO$15,0,0,$B$14,1)) + $B$18/($B$19*$B$19*($DN77&lt;&gt;$DO77) + $B$19*($DN77=$DO77))</f>
        <v>0.97037037037037033</v>
      </c>
      <c r="FS77" s="10" cm="1">
        <f t="array" aca="1" ref="FS77" ca="1">(1-$B$18)*SUMPRODUCT(OFFSET($BO$15,0,0,$B$14,1), 1*(_xlfn._xlws.FILTER(OFFSET($O$15,0,$DN77,$B$8,1),OFFSET($M$15,0,0,$B$8,1))=FS$13), 1*(_xlfn._xlws.FILTER(OFFSET($O$15,0,$DO77,$B$8,1),OFFSET($M$15,0,0,$B$8,1))=FS$14))   /   SUM(OFFSET($BO$15,0,0,$B$14,1)) + $B$18/($B$19*$B$19*($DN77&lt;&gt;$DO77) + $B$19*($DN77=$DO77))</f>
        <v>3.7037037037037035E-4</v>
      </c>
      <c r="FT77" s="10" cm="1">
        <f t="array" aca="1" ref="FT77" ca="1">(1-$B$18)*SUMPRODUCT(OFFSET($BO$15,0,0,$B$14,1), 1*(_xlfn._xlws.FILTER(OFFSET($O$15,0,$DN77,$B$8,1),OFFSET($M$15,0,0,$B$8,1))=FT$13), 1*(_xlfn._xlws.FILTER(OFFSET($O$15,0,$DO77,$B$8,1),OFFSET($M$15,0,0,$B$8,1))=FT$14))   /   SUM(OFFSET($BO$15,0,0,$B$14,1)) + $B$18/($B$19*$B$19*($DN77&lt;&gt;$DO77) + $B$19*($DN77=$DO77))</f>
        <v>3.7037037037037035E-4</v>
      </c>
      <c r="FU77" s="10" cm="1">
        <f t="array" aca="1" ref="FU77" ca="1">(1-$B$18)*SUMPRODUCT(OFFSET($BO$15,0,0,$B$14,1), 1*(_xlfn._xlws.FILTER(OFFSET($O$15,0,$DN77,$B$8,1),OFFSET($M$15,0,0,$B$8,1))=FU$13), 1*(_xlfn._xlws.FILTER(OFFSET($O$15,0,$DO77,$B$8,1),OFFSET($M$15,0,0,$B$8,1))=FU$14))   /   SUM(OFFSET($BO$15,0,0,$B$14,1)) + $B$18/($B$19*$B$19*($DN77&lt;&gt;$DO77) + $B$19*($DN77=$DO77))</f>
        <v>3.7037037037037035E-4</v>
      </c>
      <c r="FV77" s="10" cm="1">
        <f t="array" aca="1" ref="FV77" ca="1">(1-$B$18)*SUMPRODUCT(OFFSET($BO$15,0,0,$B$14,1), 1*(_xlfn._xlws.FILTER(OFFSET($O$15,0,$DN77,$B$8,1),OFFSET($M$15,0,0,$B$8,1))=FV$13), 1*(_xlfn._xlws.FILTER(OFFSET($O$15,0,$DO77,$B$8,1),OFFSET($M$15,0,0,$B$8,1))=FV$14))   /   SUM(OFFSET($BO$15,0,0,$B$14,1)) + $B$18/($B$19*$B$19*($DN77&lt;&gt;$DO77) + $B$19*($DN77=$DO77))</f>
        <v>3.7037037037037035E-4</v>
      </c>
      <c r="FW77" s="10" cm="1">
        <f t="array" aca="1" ref="FW77" ca="1">(1-$B$18)*SUMPRODUCT(OFFSET($BO$15,0,0,$B$14,1), 1*(_xlfn._xlws.FILTER(OFFSET($O$15,0,$DN77,$B$8,1),OFFSET($M$15,0,0,$B$8,1))=FW$13), 1*(_xlfn._xlws.FILTER(OFFSET($O$15,0,$DO77,$B$8,1),OFFSET($M$15,0,0,$B$8,1))=FW$14))   /   SUM(OFFSET($BO$15,0,0,$B$14,1)) + $B$18/($B$19*$B$19*($DN77&lt;&gt;$DO77) + $B$19*($DN77=$DO77))</f>
        <v>3.7037037037037035E-4</v>
      </c>
      <c r="FX77" s="10" cm="1">
        <f t="array" aca="1" ref="FX77" ca="1">(1-$B$18)*SUMPRODUCT(OFFSET($BO$15,0,0,$B$14,1), 1*(_xlfn._xlws.FILTER(OFFSET($O$15,0,$DN77,$B$8,1),OFFSET($M$15,0,0,$B$8,1))=FX$13), 1*(_xlfn._xlws.FILTER(OFFSET($O$15,0,$DO77,$B$8,1),OFFSET($M$15,0,0,$B$8,1))=FX$14))   /   SUM(OFFSET($BO$15,0,0,$B$14,1)) + $B$18/($B$19*$B$19*($DN77&lt;&gt;$DO77) + $B$19*($DN77=$DO77))</f>
        <v>3.7037037037037035E-4</v>
      </c>
      <c r="FY77" s="10" cm="1">
        <f t="array" aca="1" ref="FY77" ca="1">(1-$B$18)*SUMPRODUCT(OFFSET($BO$15,0,0,$B$14,1), 1*(_xlfn._xlws.FILTER(OFFSET($O$15,0,$DN77,$B$8,1),OFFSET($M$15,0,0,$B$8,1))=FY$13), 1*(_xlfn._xlws.FILTER(OFFSET($O$15,0,$DO77,$B$8,1),OFFSET($M$15,0,0,$B$8,1))=FY$14))   /   SUM(OFFSET($BO$15,0,0,$B$14,1)) + $B$18/($B$19*$B$19*($DN77&lt;&gt;$DO77) + $B$19*($DN77=$DO77))</f>
        <v>3.7037037037037035E-4</v>
      </c>
      <c r="FZ77" s="10" cm="1">
        <f t="array" aca="1" ref="FZ77" ca="1">(1-$B$18)*SUMPRODUCT(OFFSET($BO$15,0,0,$B$14,1), 1*(_xlfn._xlws.FILTER(OFFSET($O$15,0,$DN77,$B$8,1),OFFSET($M$15,0,0,$B$8,1))=FZ$13), 1*(_xlfn._xlws.FILTER(OFFSET($O$15,0,$DO77,$B$8,1),OFFSET($M$15,0,0,$B$8,1))=FZ$14))   /   SUM(OFFSET($BO$15,0,0,$B$14,1)) + $B$18/($B$19*$B$19*($DN77&lt;&gt;$DO77) + $B$19*($DN77=$DO77))</f>
        <v>3.7037037037037035E-4</v>
      </c>
      <c r="GA77" s="10" cm="1">
        <f t="array" aca="1" ref="GA77" ca="1">(1-$B$18)*SUMPRODUCT(OFFSET($BO$15,0,0,$B$14,1), 1*(_xlfn._xlws.FILTER(OFFSET($O$15,0,$DN77,$B$8,1),OFFSET($M$15,0,0,$B$8,1))=GA$13), 1*(_xlfn._xlws.FILTER(OFFSET($O$15,0,$DO77,$B$8,1),OFFSET($M$15,0,0,$B$8,1))=GA$14))   /   SUM(OFFSET($BO$15,0,0,$B$14,1)) + $B$18/($B$19*$B$19*($DN77&lt;&gt;$DO77) + $B$19*($DN77=$DO77))</f>
        <v>3.7037037037037035E-4</v>
      </c>
    </row>
    <row r="78" spans="7:183" x14ac:dyDescent="0.2">
      <c r="G78" s="2"/>
      <c r="H78" s="2"/>
      <c r="DN78" cm="1">
        <f t="array" aca="1" ref="DN78" ca="1">INDEX(_xlfn.ANCHORARRAY($CP$15), 1 + INT((ROWS($DO$15:$DO78) - 1) / ROWS(_xlfn.ANCHORARRAY($CP$15))))</f>
        <v>3</v>
      </c>
      <c r="DO78" cm="1">
        <f t="array" aca="1" ref="DO78" ca="1">INDEX(_xlfn.ANCHORARRAY($CP$15),1+MOD(ROWS($DO$15:$DO78)-1,ROWS(_xlfn.ANCHORARRAY($CP$15))))</f>
        <v>6</v>
      </c>
      <c r="DP78" s="10" cm="1">
        <f t="array" aca="1" ref="DP78" ca="1">(1-$B$18)*SUMPRODUCT(OFFSET($BO$15,0,0,$B$14,1), 1*(_xlfn._xlws.FILTER(OFFSET($O$15,0,$DN78,$B$8,1),OFFSET($M$15,0,0,$B$8,1))=DP$13), 1*(_xlfn._xlws.FILTER(OFFSET($O$15,0,$DO78,$B$8,1),OFFSET($M$15,0,0,$B$8,1))=DP$14))   /   SUM(OFFSET($BO$15,0,0,$B$14,1)) + $B$18/($B$19*$B$19*($DN78&lt;&gt;$DO78) + $B$19*($DN78=$DO78))</f>
        <v>3.7037037037037035E-4</v>
      </c>
      <c r="DQ78" s="10" cm="1">
        <f t="array" aca="1" ref="DQ78" ca="1">(1-$B$18)*SUMPRODUCT(OFFSET($BO$15,0,0,$B$14,1), 1*(_xlfn._xlws.FILTER(OFFSET($O$15,0,$DN78,$B$8,1),OFFSET($M$15,0,0,$B$8,1))=DQ$13), 1*(_xlfn._xlws.FILTER(OFFSET($O$15,0,$DO78,$B$8,1),OFFSET($M$15,0,0,$B$8,1))=DQ$14))   /   SUM(OFFSET($BO$15,0,0,$B$14,1)) + $B$18/($B$19*$B$19*($DN78&lt;&gt;$DO78) + $B$19*($DN78=$DO78))</f>
        <v>3.7037037037037035E-4</v>
      </c>
      <c r="DR78" s="10" cm="1">
        <f t="array" aca="1" ref="DR78" ca="1">(1-$B$18)*SUMPRODUCT(OFFSET($BO$15,0,0,$B$14,1), 1*(_xlfn._xlws.FILTER(OFFSET($O$15,0,$DN78,$B$8,1),OFFSET($M$15,0,0,$B$8,1))=DR$13), 1*(_xlfn._xlws.FILTER(OFFSET($O$15,0,$DO78,$B$8,1),OFFSET($M$15,0,0,$B$8,1))=DR$14))   /   SUM(OFFSET($BO$15,0,0,$B$14,1)) + $B$18/($B$19*$B$19*($DN78&lt;&gt;$DO78) + $B$19*($DN78=$DO78))</f>
        <v>3.7037037037037035E-4</v>
      </c>
      <c r="DS78" s="10" cm="1">
        <f t="array" aca="1" ref="DS78" ca="1">(1-$B$18)*SUMPRODUCT(OFFSET($BO$15,0,0,$B$14,1), 1*(_xlfn._xlws.FILTER(OFFSET($O$15,0,$DN78,$B$8,1),OFFSET($M$15,0,0,$B$8,1))=DS$13), 1*(_xlfn._xlws.FILTER(OFFSET($O$15,0,$DO78,$B$8,1),OFFSET($M$15,0,0,$B$8,1))=DS$14))   /   SUM(OFFSET($BO$15,0,0,$B$14,1)) + $B$18/($B$19*$B$19*($DN78&lt;&gt;$DO78) + $B$19*($DN78=$DO78))</f>
        <v>3.7037037037037035E-4</v>
      </c>
      <c r="DT78" s="10" cm="1">
        <f t="array" aca="1" ref="DT78" ca="1">(1-$B$18)*SUMPRODUCT(OFFSET($BO$15,0,0,$B$14,1), 1*(_xlfn._xlws.FILTER(OFFSET($O$15,0,$DN78,$B$8,1),OFFSET($M$15,0,0,$B$8,1))=DT$13), 1*(_xlfn._xlws.FILTER(OFFSET($O$15,0,$DO78,$B$8,1),OFFSET($M$15,0,0,$B$8,1))=DT$14))   /   SUM(OFFSET($BO$15,0,0,$B$14,1)) + $B$18/($B$19*$B$19*($DN78&lt;&gt;$DO78) + $B$19*($DN78=$DO78))</f>
        <v>3.7037037037037035E-4</v>
      </c>
      <c r="DU78" s="10" cm="1">
        <f t="array" aca="1" ref="DU78" ca="1">(1-$B$18)*SUMPRODUCT(OFFSET($BO$15,0,0,$B$14,1), 1*(_xlfn._xlws.FILTER(OFFSET($O$15,0,$DN78,$B$8,1),OFFSET($M$15,0,0,$B$8,1))=DU$13), 1*(_xlfn._xlws.FILTER(OFFSET($O$15,0,$DO78,$B$8,1),OFFSET($M$15,0,0,$B$8,1))=DU$14))   /   SUM(OFFSET($BO$15,0,0,$B$14,1)) + $B$18/($B$19*$B$19*($DN78&lt;&gt;$DO78) + $B$19*($DN78=$DO78))</f>
        <v>3.7037037037037035E-4</v>
      </c>
      <c r="DV78" s="10" cm="1">
        <f t="array" aca="1" ref="DV78" ca="1">(1-$B$18)*SUMPRODUCT(OFFSET($BO$15,0,0,$B$14,1), 1*(_xlfn._xlws.FILTER(OFFSET($O$15,0,$DN78,$B$8,1),OFFSET($M$15,0,0,$B$8,1))=DV$13), 1*(_xlfn._xlws.FILTER(OFFSET($O$15,0,$DO78,$B$8,1),OFFSET($M$15,0,0,$B$8,1))=DV$14))   /   SUM(OFFSET($BO$15,0,0,$B$14,1)) + $B$18/($B$19*$B$19*($DN78&lt;&gt;$DO78) + $B$19*($DN78=$DO78))</f>
        <v>3.7037037037037035E-4</v>
      </c>
      <c r="DW78" s="10" cm="1">
        <f t="array" aca="1" ref="DW78" ca="1">(1-$B$18)*SUMPRODUCT(OFFSET($BO$15,0,0,$B$14,1), 1*(_xlfn._xlws.FILTER(OFFSET($O$15,0,$DN78,$B$8,1),OFFSET($M$15,0,0,$B$8,1))=DW$13), 1*(_xlfn._xlws.FILTER(OFFSET($O$15,0,$DO78,$B$8,1),OFFSET($M$15,0,0,$B$8,1))=DW$14))   /   SUM(OFFSET($BO$15,0,0,$B$14,1)) + $B$18/($B$19*$B$19*($DN78&lt;&gt;$DO78) + $B$19*($DN78=$DO78))</f>
        <v>3.7037037037037035E-4</v>
      </c>
      <c r="DX78" s="10" cm="1">
        <f t="array" aca="1" ref="DX78" ca="1">(1-$B$18)*SUMPRODUCT(OFFSET($BO$15,0,0,$B$14,1), 1*(_xlfn._xlws.FILTER(OFFSET($O$15,0,$DN78,$B$8,1),OFFSET($M$15,0,0,$B$8,1))=DX$13), 1*(_xlfn._xlws.FILTER(OFFSET($O$15,0,$DO78,$B$8,1),OFFSET($M$15,0,0,$B$8,1))=DX$14))   /   SUM(OFFSET($BO$15,0,0,$B$14,1)) + $B$18/($B$19*$B$19*($DN78&lt;&gt;$DO78) + $B$19*($DN78=$DO78))</f>
        <v>3.7037037037037035E-4</v>
      </c>
      <c r="DY78" s="10" cm="1">
        <f t="array" aca="1" ref="DY78" ca="1">(1-$B$18)*SUMPRODUCT(OFFSET($BO$15,0,0,$B$14,1), 1*(_xlfn._xlws.FILTER(OFFSET($O$15,0,$DN78,$B$8,1),OFFSET($M$15,0,0,$B$8,1))=DY$13), 1*(_xlfn._xlws.FILTER(OFFSET($O$15,0,$DO78,$B$8,1),OFFSET($M$15,0,0,$B$8,1))=DY$14))   /   SUM(OFFSET($BO$15,0,0,$B$14,1)) + $B$18/($B$19*$B$19*($DN78&lt;&gt;$DO78) + $B$19*($DN78=$DO78))</f>
        <v>3.7037037037037035E-4</v>
      </c>
      <c r="DZ78" s="10" cm="1">
        <f t="array" aca="1" ref="DZ78" ca="1">(1-$B$18)*SUMPRODUCT(OFFSET($BO$15,0,0,$B$14,1), 1*(_xlfn._xlws.FILTER(OFFSET($O$15,0,$DN78,$B$8,1),OFFSET($M$15,0,0,$B$8,1))=DZ$13), 1*(_xlfn._xlws.FILTER(OFFSET($O$15,0,$DO78,$B$8,1),OFFSET($M$15,0,0,$B$8,1))=DZ$14))   /   SUM(OFFSET($BO$15,0,0,$B$14,1)) + $B$18/($B$19*$B$19*($DN78&lt;&gt;$DO78) + $B$19*($DN78=$DO78))</f>
        <v>3.7037037037037035E-4</v>
      </c>
      <c r="EA78" s="10" cm="1">
        <f t="array" aca="1" ref="EA78" ca="1">(1-$B$18)*SUMPRODUCT(OFFSET($BO$15,0,0,$B$14,1), 1*(_xlfn._xlws.FILTER(OFFSET($O$15,0,$DN78,$B$8,1),OFFSET($M$15,0,0,$B$8,1))=EA$13), 1*(_xlfn._xlws.FILTER(OFFSET($O$15,0,$DO78,$B$8,1),OFFSET($M$15,0,0,$B$8,1))=EA$14))   /   SUM(OFFSET($BO$15,0,0,$B$14,1)) + $B$18/($B$19*$B$19*($DN78&lt;&gt;$DO78) + $B$19*($DN78=$DO78))</f>
        <v>3.7037037037037035E-4</v>
      </c>
      <c r="EB78" s="10" cm="1">
        <f t="array" aca="1" ref="EB78" ca="1">(1-$B$18)*SUMPRODUCT(OFFSET($BO$15,0,0,$B$14,1), 1*(_xlfn._xlws.FILTER(OFFSET($O$15,0,$DN78,$B$8,1),OFFSET($M$15,0,0,$B$8,1))=EB$13), 1*(_xlfn._xlws.FILTER(OFFSET($O$15,0,$DO78,$B$8,1),OFFSET($M$15,0,0,$B$8,1))=EB$14))   /   SUM(OFFSET($BO$15,0,0,$B$14,1)) + $B$18/($B$19*$B$19*($DN78&lt;&gt;$DO78) + $B$19*($DN78=$DO78))</f>
        <v>3.7037037037037035E-4</v>
      </c>
      <c r="EC78" s="10" cm="1">
        <f t="array" aca="1" ref="EC78" ca="1">(1-$B$18)*SUMPRODUCT(OFFSET($BO$15,0,0,$B$14,1), 1*(_xlfn._xlws.FILTER(OFFSET($O$15,0,$DN78,$B$8,1),OFFSET($M$15,0,0,$B$8,1))=EC$13), 1*(_xlfn._xlws.FILTER(OFFSET($O$15,0,$DO78,$B$8,1),OFFSET($M$15,0,0,$B$8,1))=EC$14))   /   SUM(OFFSET($BO$15,0,0,$B$14,1)) + $B$18/($B$19*$B$19*($DN78&lt;&gt;$DO78) + $B$19*($DN78=$DO78))</f>
        <v>3.7037037037037035E-4</v>
      </c>
      <c r="ED78" s="10" cm="1">
        <f t="array" aca="1" ref="ED78" ca="1">(1-$B$18)*SUMPRODUCT(OFFSET($BO$15,0,0,$B$14,1), 1*(_xlfn._xlws.FILTER(OFFSET($O$15,0,$DN78,$B$8,1),OFFSET($M$15,0,0,$B$8,1))=ED$13), 1*(_xlfn._xlws.FILTER(OFFSET($O$15,0,$DO78,$B$8,1),OFFSET($M$15,0,0,$B$8,1))=ED$14))   /   SUM(OFFSET($BO$15,0,0,$B$14,1)) + $B$18/($B$19*$B$19*($DN78&lt;&gt;$DO78) + $B$19*($DN78=$DO78))</f>
        <v>3.7037037037037035E-4</v>
      </c>
      <c r="EE78" s="10" cm="1">
        <f t="array" aca="1" ref="EE78" ca="1">(1-$B$18)*SUMPRODUCT(OFFSET($BO$15,0,0,$B$14,1), 1*(_xlfn._xlws.FILTER(OFFSET($O$15,0,$DN78,$B$8,1),OFFSET($M$15,0,0,$B$8,1))=EE$13), 1*(_xlfn._xlws.FILTER(OFFSET($O$15,0,$DO78,$B$8,1),OFFSET($M$15,0,0,$B$8,1))=EE$14))   /   SUM(OFFSET($BO$15,0,0,$B$14,1)) + $B$18/($B$19*$B$19*($DN78&lt;&gt;$DO78) + $B$19*($DN78=$DO78))</f>
        <v>3.7037037037037035E-4</v>
      </c>
      <c r="EF78" s="10" cm="1">
        <f t="array" aca="1" ref="EF78" ca="1">(1-$B$18)*SUMPRODUCT(OFFSET($BO$15,0,0,$B$14,1), 1*(_xlfn._xlws.FILTER(OFFSET($O$15,0,$DN78,$B$8,1),OFFSET($M$15,0,0,$B$8,1))=EF$13), 1*(_xlfn._xlws.FILTER(OFFSET($O$15,0,$DO78,$B$8,1),OFFSET($M$15,0,0,$B$8,1))=EF$14))   /   SUM(OFFSET($BO$15,0,0,$B$14,1)) + $B$18/($B$19*$B$19*($DN78&lt;&gt;$DO78) + $B$19*($DN78=$DO78))</f>
        <v>3.7037037037037035E-4</v>
      </c>
      <c r="EG78" s="10" cm="1">
        <f t="array" aca="1" ref="EG78" ca="1">(1-$B$18)*SUMPRODUCT(OFFSET($BO$15,0,0,$B$14,1), 1*(_xlfn._xlws.FILTER(OFFSET($O$15,0,$DN78,$B$8,1),OFFSET($M$15,0,0,$B$8,1))=EG$13), 1*(_xlfn._xlws.FILTER(OFFSET($O$15,0,$DO78,$B$8,1),OFFSET($M$15,0,0,$B$8,1))=EG$14))   /   SUM(OFFSET($BO$15,0,0,$B$14,1)) + $B$18/($B$19*$B$19*($DN78&lt;&gt;$DO78) + $B$19*($DN78=$DO78))</f>
        <v>3.7037037037037035E-4</v>
      </c>
      <c r="EH78" s="10" cm="1">
        <f t="array" aca="1" ref="EH78" ca="1">(1-$B$18)*SUMPRODUCT(OFFSET($BO$15,0,0,$B$14,1), 1*(_xlfn._xlws.FILTER(OFFSET($O$15,0,$DN78,$B$8,1),OFFSET($M$15,0,0,$B$8,1))=EH$13), 1*(_xlfn._xlws.FILTER(OFFSET($O$15,0,$DO78,$B$8,1),OFFSET($M$15,0,0,$B$8,1))=EH$14))   /   SUM(OFFSET($BO$15,0,0,$B$14,1)) + $B$18/($B$19*$B$19*($DN78&lt;&gt;$DO78) + $B$19*($DN78=$DO78))</f>
        <v>3.7037037037037035E-4</v>
      </c>
      <c r="EI78" s="10" cm="1">
        <f t="array" aca="1" ref="EI78" ca="1">(1-$B$18)*SUMPRODUCT(OFFSET($BO$15,0,0,$B$14,1), 1*(_xlfn._xlws.FILTER(OFFSET($O$15,0,$DN78,$B$8,1),OFFSET($M$15,0,0,$B$8,1))=EI$13), 1*(_xlfn._xlws.FILTER(OFFSET($O$15,0,$DO78,$B$8,1),OFFSET($M$15,0,0,$B$8,1))=EI$14))   /   SUM(OFFSET($BO$15,0,0,$B$14,1)) + $B$18/($B$19*$B$19*($DN78&lt;&gt;$DO78) + $B$19*($DN78=$DO78))</f>
        <v>3.7037037037037035E-4</v>
      </c>
      <c r="EJ78" s="10" cm="1">
        <f t="array" aca="1" ref="EJ78" ca="1">(1-$B$18)*SUMPRODUCT(OFFSET($BO$15,0,0,$B$14,1), 1*(_xlfn._xlws.FILTER(OFFSET($O$15,0,$DN78,$B$8,1),OFFSET($M$15,0,0,$B$8,1))=EJ$13), 1*(_xlfn._xlws.FILTER(OFFSET($O$15,0,$DO78,$B$8,1),OFFSET($M$15,0,0,$B$8,1))=EJ$14))   /   SUM(OFFSET($BO$15,0,0,$B$14,1)) + $B$18/($B$19*$B$19*($DN78&lt;&gt;$DO78) + $B$19*($DN78=$DO78))</f>
        <v>3.7037037037037035E-4</v>
      </c>
      <c r="EK78" s="10" cm="1">
        <f t="array" aca="1" ref="EK78" ca="1">(1-$B$18)*SUMPRODUCT(OFFSET($BO$15,0,0,$B$14,1), 1*(_xlfn._xlws.FILTER(OFFSET($O$15,0,$DN78,$B$8,1),OFFSET($M$15,0,0,$B$8,1))=EK$13), 1*(_xlfn._xlws.FILTER(OFFSET($O$15,0,$DO78,$B$8,1),OFFSET($M$15,0,0,$B$8,1))=EK$14))   /   SUM(OFFSET($BO$15,0,0,$B$14,1)) + $B$18/($B$19*$B$19*($DN78&lt;&gt;$DO78) + $B$19*($DN78=$DO78))</f>
        <v>3.7037037037037035E-4</v>
      </c>
      <c r="EL78" s="10" cm="1">
        <f t="array" aca="1" ref="EL78" ca="1">(1-$B$18)*SUMPRODUCT(OFFSET($BO$15,0,0,$B$14,1), 1*(_xlfn._xlws.FILTER(OFFSET($O$15,0,$DN78,$B$8,1),OFFSET($M$15,0,0,$B$8,1))=EL$13), 1*(_xlfn._xlws.FILTER(OFFSET($O$15,0,$DO78,$B$8,1),OFFSET($M$15,0,0,$B$8,1))=EL$14))   /   SUM(OFFSET($BO$15,0,0,$B$14,1)) + $B$18/($B$19*$B$19*($DN78&lt;&gt;$DO78) + $B$19*($DN78=$DO78))</f>
        <v>3.7037037037037035E-4</v>
      </c>
      <c r="EM78" s="10" cm="1">
        <f t="array" aca="1" ref="EM78" ca="1">(1-$B$18)*SUMPRODUCT(OFFSET($BO$15,0,0,$B$14,1), 1*(_xlfn._xlws.FILTER(OFFSET($O$15,0,$DN78,$B$8,1),OFFSET($M$15,0,0,$B$8,1))=EM$13), 1*(_xlfn._xlws.FILTER(OFFSET($O$15,0,$DO78,$B$8,1),OFFSET($M$15,0,0,$B$8,1))=EM$14))   /   SUM(OFFSET($BO$15,0,0,$B$14,1)) + $B$18/($B$19*$B$19*($DN78&lt;&gt;$DO78) + $B$19*($DN78=$DO78))</f>
        <v>3.7037037037037035E-4</v>
      </c>
      <c r="EN78" s="10" cm="1">
        <f t="array" aca="1" ref="EN78" ca="1">(1-$B$18)*SUMPRODUCT(OFFSET($BO$15,0,0,$B$14,1), 1*(_xlfn._xlws.FILTER(OFFSET($O$15,0,$DN78,$B$8,1),OFFSET($M$15,0,0,$B$8,1))=EN$13), 1*(_xlfn._xlws.FILTER(OFFSET($O$15,0,$DO78,$B$8,1),OFFSET($M$15,0,0,$B$8,1))=EN$14))   /   SUM(OFFSET($BO$15,0,0,$B$14,1)) + $B$18/($B$19*$B$19*($DN78&lt;&gt;$DO78) + $B$19*($DN78=$DO78))</f>
        <v>3.7037037037037035E-4</v>
      </c>
      <c r="EO78" s="10" cm="1">
        <f t="array" aca="1" ref="EO78" ca="1">(1-$B$18)*SUMPRODUCT(OFFSET($BO$15,0,0,$B$14,1), 1*(_xlfn._xlws.FILTER(OFFSET($O$15,0,$DN78,$B$8,1),OFFSET($M$15,0,0,$B$8,1))=EO$13), 1*(_xlfn._xlws.FILTER(OFFSET($O$15,0,$DO78,$B$8,1),OFFSET($M$15,0,0,$B$8,1))=EO$14))   /   SUM(OFFSET($BO$15,0,0,$B$14,1)) + $B$18/($B$19*$B$19*($DN78&lt;&gt;$DO78) + $B$19*($DN78=$DO78))</f>
        <v>3.7037037037037035E-4</v>
      </c>
      <c r="EP78" s="10" cm="1">
        <f t="array" aca="1" ref="EP78" ca="1">(1-$B$18)*SUMPRODUCT(OFFSET($BO$15,0,0,$B$14,1), 1*(_xlfn._xlws.FILTER(OFFSET($O$15,0,$DN78,$B$8,1),OFFSET($M$15,0,0,$B$8,1))=EP$13), 1*(_xlfn._xlws.FILTER(OFFSET($O$15,0,$DO78,$B$8,1),OFFSET($M$15,0,0,$B$8,1))=EP$14))   /   SUM(OFFSET($BO$15,0,0,$B$14,1)) + $B$18/($B$19*$B$19*($DN78&lt;&gt;$DO78) + $B$19*($DN78=$DO78))</f>
        <v>3.7037037037037035E-4</v>
      </c>
      <c r="EQ78" s="10" cm="1">
        <f t="array" aca="1" ref="EQ78" ca="1">(1-$B$18)*SUMPRODUCT(OFFSET($BO$15,0,0,$B$14,1), 1*(_xlfn._xlws.FILTER(OFFSET($O$15,0,$DN78,$B$8,1),OFFSET($M$15,0,0,$B$8,1))=EQ$13), 1*(_xlfn._xlws.FILTER(OFFSET($O$15,0,$DO78,$B$8,1),OFFSET($M$15,0,0,$B$8,1))=EQ$14))   /   SUM(OFFSET($BO$15,0,0,$B$14,1)) + $B$18/($B$19*$B$19*($DN78&lt;&gt;$DO78) + $B$19*($DN78=$DO78))</f>
        <v>3.7037037037037035E-4</v>
      </c>
      <c r="ER78" s="10" cm="1">
        <f t="array" aca="1" ref="ER78" ca="1">(1-$B$18)*SUMPRODUCT(OFFSET($BO$15,0,0,$B$14,1), 1*(_xlfn._xlws.FILTER(OFFSET($O$15,0,$DN78,$B$8,1),OFFSET($M$15,0,0,$B$8,1))=ER$13), 1*(_xlfn._xlws.FILTER(OFFSET($O$15,0,$DO78,$B$8,1),OFFSET($M$15,0,0,$B$8,1))=ER$14))   /   SUM(OFFSET($BO$15,0,0,$B$14,1)) + $B$18/($B$19*$B$19*($DN78&lt;&gt;$DO78) + $B$19*($DN78=$DO78))</f>
        <v>3.7037037037037035E-4</v>
      </c>
      <c r="ES78" s="10" cm="1">
        <f t="array" aca="1" ref="ES78" ca="1">(1-$B$18)*SUMPRODUCT(OFFSET($BO$15,0,0,$B$14,1), 1*(_xlfn._xlws.FILTER(OFFSET($O$15,0,$DN78,$B$8,1),OFFSET($M$15,0,0,$B$8,1))=ES$13), 1*(_xlfn._xlws.FILTER(OFFSET($O$15,0,$DO78,$B$8,1),OFFSET($M$15,0,0,$B$8,1))=ES$14))   /   SUM(OFFSET($BO$15,0,0,$B$14,1)) + $B$18/($B$19*$B$19*($DN78&lt;&gt;$DO78) + $B$19*($DN78=$DO78))</f>
        <v>3.7037037037037035E-4</v>
      </c>
      <c r="ET78" s="10" cm="1">
        <f t="array" aca="1" ref="ET78" ca="1">(1-$B$18)*SUMPRODUCT(OFFSET($BO$15,0,0,$B$14,1), 1*(_xlfn._xlws.FILTER(OFFSET($O$15,0,$DN78,$B$8,1),OFFSET($M$15,0,0,$B$8,1))=ET$13), 1*(_xlfn._xlws.FILTER(OFFSET($O$15,0,$DO78,$B$8,1),OFFSET($M$15,0,0,$B$8,1))=ET$14))   /   SUM(OFFSET($BO$15,0,0,$B$14,1)) + $B$18/($B$19*$B$19*($DN78&lt;&gt;$DO78) + $B$19*($DN78=$DO78))</f>
        <v>3.7037037037037035E-4</v>
      </c>
      <c r="EU78" s="10" cm="1">
        <f t="array" aca="1" ref="EU78" ca="1">(1-$B$18)*SUMPRODUCT(OFFSET($BO$15,0,0,$B$14,1), 1*(_xlfn._xlws.FILTER(OFFSET($O$15,0,$DN78,$B$8,1),OFFSET($M$15,0,0,$B$8,1))=EU$13), 1*(_xlfn._xlws.FILTER(OFFSET($O$15,0,$DO78,$B$8,1),OFFSET($M$15,0,0,$B$8,1))=EU$14))   /   SUM(OFFSET($BO$15,0,0,$B$14,1)) + $B$18/($B$19*$B$19*($DN78&lt;&gt;$DO78) + $B$19*($DN78=$DO78))</f>
        <v>3.7037037037037035E-4</v>
      </c>
      <c r="EV78" s="10" cm="1">
        <f t="array" aca="1" ref="EV78" ca="1">(1-$B$18)*SUMPRODUCT(OFFSET($BO$15,0,0,$B$14,1), 1*(_xlfn._xlws.FILTER(OFFSET($O$15,0,$DN78,$B$8,1),OFFSET($M$15,0,0,$B$8,1))=EV$13), 1*(_xlfn._xlws.FILTER(OFFSET($O$15,0,$DO78,$B$8,1),OFFSET($M$15,0,0,$B$8,1))=EV$14))   /   SUM(OFFSET($BO$15,0,0,$B$14,1)) + $B$18/($B$19*$B$19*($DN78&lt;&gt;$DO78) + $B$19*($DN78=$DO78))</f>
        <v>3.7037037037037035E-4</v>
      </c>
      <c r="EW78" s="10" cm="1">
        <f t="array" aca="1" ref="EW78" ca="1">(1-$B$18)*SUMPRODUCT(OFFSET($BO$15,0,0,$B$14,1), 1*(_xlfn._xlws.FILTER(OFFSET($O$15,0,$DN78,$B$8,1),OFFSET($M$15,0,0,$B$8,1))=EW$13), 1*(_xlfn._xlws.FILTER(OFFSET($O$15,0,$DO78,$B$8,1),OFFSET($M$15,0,0,$B$8,1))=EW$14))   /   SUM(OFFSET($BO$15,0,0,$B$14,1)) + $B$18/($B$19*$B$19*($DN78&lt;&gt;$DO78) + $B$19*($DN78=$DO78))</f>
        <v>3.7037037037037035E-4</v>
      </c>
      <c r="EX78" s="10" cm="1">
        <f t="array" aca="1" ref="EX78" ca="1">(1-$B$18)*SUMPRODUCT(OFFSET($BO$15,0,0,$B$14,1), 1*(_xlfn._xlws.FILTER(OFFSET($O$15,0,$DN78,$B$8,1),OFFSET($M$15,0,0,$B$8,1))=EX$13), 1*(_xlfn._xlws.FILTER(OFFSET($O$15,0,$DO78,$B$8,1),OFFSET($M$15,0,0,$B$8,1))=EX$14))   /   SUM(OFFSET($BO$15,0,0,$B$14,1)) + $B$18/($B$19*$B$19*($DN78&lt;&gt;$DO78) + $B$19*($DN78=$DO78))</f>
        <v>3.7037037037037035E-4</v>
      </c>
      <c r="EY78" s="10" cm="1">
        <f t="array" aca="1" ref="EY78" ca="1">(1-$B$18)*SUMPRODUCT(OFFSET($BO$15,0,0,$B$14,1), 1*(_xlfn._xlws.FILTER(OFFSET($O$15,0,$DN78,$B$8,1),OFFSET($M$15,0,0,$B$8,1))=EY$13), 1*(_xlfn._xlws.FILTER(OFFSET($O$15,0,$DO78,$B$8,1),OFFSET($M$15,0,0,$B$8,1))=EY$14))   /   SUM(OFFSET($BO$15,0,0,$B$14,1)) + $B$18/($B$19*$B$19*($DN78&lt;&gt;$DO78) + $B$19*($DN78=$DO78))</f>
        <v>3.7037037037037035E-4</v>
      </c>
      <c r="EZ78" s="10" cm="1">
        <f t="array" aca="1" ref="EZ78" ca="1">(1-$B$18)*SUMPRODUCT(OFFSET($BO$15,0,0,$B$14,1), 1*(_xlfn._xlws.FILTER(OFFSET($O$15,0,$DN78,$B$8,1),OFFSET($M$15,0,0,$B$8,1))=EZ$13), 1*(_xlfn._xlws.FILTER(OFFSET($O$15,0,$DO78,$B$8,1),OFFSET($M$15,0,0,$B$8,1))=EZ$14))   /   SUM(OFFSET($BO$15,0,0,$B$14,1)) + $B$18/($B$19*$B$19*($DN78&lt;&gt;$DO78) + $B$19*($DN78=$DO78))</f>
        <v>3.7037037037037035E-4</v>
      </c>
      <c r="FA78" s="10" cm="1">
        <f t="array" aca="1" ref="FA78" ca="1">(1-$B$18)*SUMPRODUCT(OFFSET($BO$15,0,0,$B$14,1), 1*(_xlfn._xlws.FILTER(OFFSET($O$15,0,$DN78,$B$8,1),OFFSET($M$15,0,0,$B$8,1))=FA$13), 1*(_xlfn._xlws.FILTER(OFFSET($O$15,0,$DO78,$B$8,1),OFFSET($M$15,0,0,$B$8,1))=FA$14))   /   SUM(OFFSET($BO$15,0,0,$B$14,1)) + $B$18/($B$19*$B$19*($DN78&lt;&gt;$DO78) + $B$19*($DN78=$DO78))</f>
        <v>3.7037037037037035E-4</v>
      </c>
      <c r="FB78" s="10" cm="1">
        <f t="array" aca="1" ref="FB78" ca="1">(1-$B$18)*SUMPRODUCT(OFFSET($BO$15,0,0,$B$14,1), 1*(_xlfn._xlws.FILTER(OFFSET($O$15,0,$DN78,$B$8,1),OFFSET($M$15,0,0,$B$8,1))=FB$13), 1*(_xlfn._xlws.FILTER(OFFSET($O$15,0,$DO78,$B$8,1),OFFSET($M$15,0,0,$B$8,1))=FB$14))   /   SUM(OFFSET($BO$15,0,0,$B$14,1)) + $B$18/($B$19*$B$19*($DN78&lt;&gt;$DO78) + $B$19*($DN78=$DO78))</f>
        <v>3.7037037037037035E-4</v>
      </c>
      <c r="FC78" s="10" cm="1">
        <f t="array" aca="1" ref="FC78" ca="1">(1-$B$18)*SUMPRODUCT(OFFSET($BO$15,0,0,$B$14,1), 1*(_xlfn._xlws.FILTER(OFFSET($O$15,0,$DN78,$B$8,1),OFFSET($M$15,0,0,$B$8,1))=FC$13), 1*(_xlfn._xlws.FILTER(OFFSET($O$15,0,$DO78,$B$8,1),OFFSET($M$15,0,0,$B$8,1))=FC$14))   /   SUM(OFFSET($BO$15,0,0,$B$14,1)) + $B$18/($B$19*$B$19*($DN78&lt;&gt;$DO78) + $B$19*($DN78=$DO78))</f>
        <v>3.7037037037037035E-4</v>
      </c>
      <c r="FD78" s="10" cm="1">
        <f t="array" aca="1" ref="FD78" ca="1">(1-$B$18)*SUMPRODUCT(OFFSET($BO$15,0,0,$B$14,1), 1*(_xlfn._xlws.FILTER(OFFSET($O$15,0,$DN78,$B$8,1),OFFSET($M$15,0,0,$B$8,1))=FD$13), 1*(_xlfn._xlws.FILTER(OFFSET($O$15,0,$DO78,$B$8,1),OFFSET($M$15,0,0,$B$8,1))=FD$14))   /   SUM(OFFSET($BO$15,0,0,$B$14,1)) + $B$18/($B$19*$B$19*($DN78&lt;&gt;$DO78) + $B$19*($DN78=$DO78))</f>
        <v>3.7037037037037035E-4</v>
      </c>
      <c r="FE78" s="10" cm="1">
        <f t="array" aca="1" ref="FE78" ca="1">(1-$B$18)*SUMPRODUCT(OFFSET($BO$15,0,0,$B$14,1), 1*(_xlfn._xlws.FILTER(OFFSET($O$15,0,$DN78,$B$8,1),OFFSET($M$15,0,0,$B$8,1))=FE$13), 1*(_xlfn._xlws.FILTER(OFFSET($O$15,0,$DO78,$B$8,1),OFFSET($M$15,0,0,$B$8,1))=FE$14))   /   SUM(OFFSET($BO$15,0,0,$B$14,1)) + $B$18/($B$19*$B$19*($DN78&lt;&gt;$DO78) + $B$19*($DN78=$DO78))</f>
        <v>3.7037037037037035E-4</v>
      </c>
      <c r="FF78" s="10" cm="1">
        <f t="array" aca="1" ref="FF78" ca="1">(1-$B$18)*SUMPRODUCT(OFFSET($BO$15,0,0,$B$14,1), 1*(_xlfn._xlws.FILTER(OFFSET($O$15,0,$DN78,$B$8,1),OFFSET($M$15,0,0,$B$8,1))=FF$13), 1*(_xlfn._xlws.FILTER(OFFSET($O$15,0,$DO78,$B$8,1),OFFSET($M$15,0,0,$B$8,1))=FF$14))   /   SUM(OFFSET($BO$15,0,0,$B$14,1)) + $B$18/($B$19*$B$19*($DN78&lt;&gt;$DO78) + $B$19*($DN78=$DO78))</f>
        <v>3.7037037037037035E-4</v>
      </c>
      <c r="FG78" s="10" cm="1">
        <f t="array" aca="1" ref="FG78" ca="1">(1-$B$18)*SUMPRODUCT(OFFSET($BO$15,0,0,$B$14,1), 1*(_xlfn._xlws.FILTER(OFFSET($O$15,0,$DN78,$B$8,1),OFFSET($M$15,0,0,$B$8,1))=FG$13), 1*(_xlfn._xlws.FILTER(OFFSET($O$15,0,$DO78,$B$8,1),OFFSET($M$15,0,0,$B$8,1))=FG$14))   /   SUM(OFFSET($BO$15,0,0,$B$14,1)) + $B$18/($B$19*$B$19*($DN78&lt;&gt;$DO78) + $B$19*($DN78=$DO78))</f>
        <v>3.7037037037037035E-4</v>
      </c>
      <c r="FH78" s="10" cm="1">
        <f t="array" aca="1" ref="FH78" ca="1">(1-$B$18)*SUMPRODUCT(OFFSET($BO$15,0,0,$B$14,1), 1*(_xlfn._xlws.FILTER(OFFSET($O$15,0,$DN78,$B$8,1),OFFSET($M$15,0,0,$B$8,1))=FH$13), 1*(_xlfn._xlws.FILTER(OFFSET($O$15,0,$DO78,$B$8,1),OFFSET($M$15,0,0,$B$8,1))=FH$14))   /   SUM(OFFSET($BO$15,0,0,$B$14,1)) + $B$18/($B$19*$B$19*($DN78&lt;&gt;$DO78) + $B$19*($DN78=$DO78))</f>
        <v>3.7037037037037035E-4</v>
      </c>
      <c r="FI78" s="10" cm="1">
        <f t="array" aca="1" ref="FI78" ca="1">(1-$B$18)*SUMPRODUCT(OFFSET($BO$15,0,0,$B$14,1), 1*(_xlfn._xlws.FILTER(OFFSET($O$15,0,$DN78,$B$8,1),OFFSET($M$15,0,0,$B$8,1))=FI$13), 1*(_xlfn._xlws.FILTER(OFFSET($O$15,0,$DO78,$B$8,1),OFFSET($M$15,0,0,$B$8,1))=FI$14))   /   SUM(OFFSET($BO$15,0,0,$B$14,1)) + $B$18/($B$19*$B$19*($DN78&lt;&gt;$DO78) + $B$19*($DN78=$DO78))</f>
        <v>3.7037037037037035E-4</v>
      </c>
      <c r="FJ78" s="10" cm="1">
        <f t="array" aca="1" ref="FJ78" ca="1">(1-$B$18)*SUMPRODUCT(OFFSET($BO$15,0,0,$B$14,1), 1*(_xlfn._xlws.FILTER(OFFSET($O$15,0,$DN78,$B$8,1),OFFSET($M$15,0,0,$B$8,1))=FJ$13), 1*(_xlfn._xlws.FILTER(OFFSET($O$15,0,$DO78,$B$8,1),OFFSET($M$15,0,0,$B$8,1))=FJ$14))   /   SUM(OFFSET($BO$15,0,0,$B$14,1)) + $B$18/($B$19*$B$19*($DN78&lt;&gt;$DO78) + $B$19*($DN78=$DO78))</f>
        <v>3.7037037037037035E-4</v>
      </c>
      <c r="FK78" s="10" cm="1">
        <f t="array" aca="1" ref="FK78" ca="1">(1-$B$18)*SUMPRODUCT(OFFSET($BO$15,0,0,$B$14,1), 1*(_xlfn._xlws.FILTER(OFFSET($O$15,0,$DN78,$B$8,1),OFFSET($M$15,0,0,$B$8,1))=FK$13), 1*(_xlfn._xlws.FILTER(OFFSET($O$15,0,$DO78,$B$8,1),OFFSET($M$15,0,0,$B$8,1))=FK$14))   /   SUM(OFFSET($BO$15,0,0,$B$14,1)) + $B$18/($B$19*$B$19*($DN78&lt;&gt;$DO78) + $B$19*($DN78=$DO78))</f>
        <v>3.7037037037037035E-4</v>
      </c>
      <c r="FL78" s="10" cm="1">
        <f t="array" aca="1" ref="FL78" ca="1">(1-$B$18)*SUMPRODUCT(OFFSET($BO$15,0,0,$B$14,1), 1*(_xlfn._xlws.FILTER(OFFSET($O$15,0,$DN78,$B$8,1),OFFSET($M$15,0,0,$B$8,1))=FL$13), 1*(_xlfn._xlws.FILTER(OFFSET($O$15,0,$DO78,$B$8,1),OFFSET($M$15,0,0,$B$8,1))=FL$14))   /   SUM(OFFSET($BO$15,0,0,$B$14,1)) + $B$18/($B$19*$B$19*($DN78&lt;&gt;$DO78) + $B$19*($DN78=$DO78))</f>
        <v>3.7037037037037035E-4</v>
      </c>
      <c r="FM78" s="10" cm="1">
        <f t="array" aca="1" ref="FM78" ca="1">(1-$B$18)*SUMPRODUCT(OFFSET($BO$15,0,0,$B$14,1), 1*(_xlfn._xlws.FILTER(OFFSET($O$15,0,$DN78,$B$8,1),OFFSET($M$15,0,0,$B$8,1))=FM$13), 1*(_xlfn._xlws.FILTER(OFFSET($O$15,0,$DO78,$B$8,1),OFFSET($M$15,0,0,$B$8,1))=FM$14))   /   SUM(OFFSET($BO$15,0,0,$B$14,1)) + $B$18/($B$19*$B$19*($DN78&lt;&gt;$DO78) + $B$19*($DN78=$DO78))</f>
        <v>3.7037037037037035E-4</v>
      </c>
      <c r="FN78" s="10" cm="1">
        <f t="array" aca="1" ref="FN78" ca="1">(1-$B$18)*SUMPRODUCT(OFFSET($BO$15,0,0,$B$14,1), 1*(_xlfn._xlws.FILTER(OFFSET($O$15,0,$DN78,$B$8,1),OFFSET($M$15,0,0,$B$8,1))=FN$13), 1*(_xlfn._xlws.FILTER(OFFSET($O$15,0,$DO78,$B$8,1),OFFSET($M$15,0,0,$B$8,1))=FN$14))   /   SUM(OFFSET($BO$15,0,0,$B$14,1)) + $B$18/($B$19*$B$19*($DN78&lt;&gt;$DO78) + $B$19*($DN78=$DO78))</f>
        <v>3.7037037037037035E-4</v>
      </c>
      <c r="FO78" s="10" cm="1">
        <f t="array" aca="1" ref="FO78" ca="1">(1-$B$18)*SUMPRODUCT(OFFSET($BO$15,0,0,$B$14,1), 1*(_xlfn._xlws.FILTER(OFFSET($O$15,0,$DN78,$B$8,1),OFFSET($M$15,0,0,$B$8,1))=FO$13), 1*(_xlfn._xlws.FILTER(OFFSET($O$15,0,$DO78,$B$8,1),OFFSET($M$15,0,0,$B$8,1))=FO$14))   /   SUM(OFFSET($BO$15,0,0,$B$14,1)) + $B$18/($B$19*$B$19*($DN78&lt;&gt;$DO78) + $B$19*($DN78=$DO78))</f>
        <v>3.7037037037037035E-4</v>
      </c>
      <c r="FP78" s="10" cm="1">
        <f t="array" aca="1" ref="FP78" ca="1">(1-$B$18)*SUMPRODUCT(OFFSET($BO$15,0,0,$B$14,1), 1*(_xlfn._xlws.FILTER(OFFSET($O$15,0,$DN78,$B$8,1),OFFSET($M$15,0,0,$B$8,1))=FP$13), 1*(_xlfn._xlws.FILTER(OFFSET($O$15,0,$DO78,$B$8,1),OFFSET($M$15,0,0,$B$8,1))=FP$14))   /   SUM(OFFSET($BO$15,0,0,$B$14,1)) + $B$18/($B$19*$B$19*($DN78&lt;&gt;$DO78) + $B$19*($DN78=$DO78))</f>
        <v>3.7037037037037035E-4</v>
      </c>
      <c r="FQ78" s="10" cm="1">
        <f t="array" aca="1" ref="FQ78" ca="1">(1-$B$18)*SUMPRODUCT(OFFSET($BO$15,0,0,$B$14,1), 1*(_xlfn._xlws.FILTER(OFFSET($O$15,0,$DN78,$B$8,1),OFFSET($M$15,0,0,$B$8,1))=FQ$13), 1*(_xlfn._xlws.FILTER(OFFSET($O$15,0,$DO78,$B$8,1),OFFSET($M$15,0,0,$B$8,1))=FQ$14))   /   SUM(OFFSET($BO$15,0,0,$B$14,1)) + $B$18/($B$19*$B$19*($DN78&lt;&gt;$DO78) + $B$19*($DN78=$DO78))</f>
        <v>3.7037037037037035E-4</v>
      </c>
      <c r="FR78" s="10" cm="1">
        <f t="array" aca="1" ref="FR78" ca="1">(1-$B$18)*SUMPRODUCT(OFFSET($BO$15,0,0,$B$14,1), 1*(_xlfn._xlws.FILTER(OFFSET($O$15,0,$DN78,$B$8,1),OFFSET($M$15,0,0,$B$8,1))=FR$13), 1*(_xlfn._xlws.FILTER(OFFSET($O$15,0,$DO78,$B$8,1),OFFSET($M$15,0,0,$B$8,1))=FR$14))   /   SUM(OFFSET($BO$15,0,0,$B$14,1)) + $B$18/($B$19*$B$19*($DN78&lt;&gt;$DO78) + $B$19*($DN78=$DO78))</f>
        <v>0.97037037037037033</v>
      </c>
      <c r="FS78" s="10" cm="1">
        <f t="array" aca="1" ref="FS78" ca="1">(1-$B$18)*SUMPRODUCT(OFFSET($BO$15,0,0,$B$14,1), 1*(_xlfn._xlws.FILTER(OFFSET($O$15,0,$DN78,$B$8,1),OFFSET($M$15,0,0,$B$8,1))=FS$13), 1*(_xlfn._xlws.FILTER(OFFSET($O$15,0,$DO78,$B$8,1),OFFSET($M$15,0,0,$B$8,1))=FS$14))   /   SUM(OFFSET($BO$15,0,0,$B$14,1)) + $B$18/($B$19*$B$19*($DN78&lt;&gt;$DO78) + $B$19*($DN78=$DO78))</f>
        <v>3.7037037037037035E-4</v>
      </c>
      <c r="FT78" s="10" cm="1">
        <f t="array" aca="1" ref="FT78" ca="1">(1-$B$18)*SUMPRODUCT(OFFSET($BO$15,0,0,$B$14,1), 1*(_xlfn._xlws.FILTER(OFFSET($O$15,0,$DN78,$B$8,1),OFFSET($M$15,0,0,$B$8,1))=FT$13), 1*(_xlfn._xlws.FILTER(OFFSET($O$15,0,$DO78,$B$8,1),OFFSET($M$15,0,0,$B$8,1))=FT$14))   /   SUM(OFFSET($BO$15,0,0,$B$14,1)) + $B$18/($B$19*$B$19*($DN78&lt;&gt;$DO78) + $B$19*($DN78=$DO78))</f>
        <v>3.7037037037037035E-4</v>
      </c>
      <c r="FU78" s="10" cm="1">
        <f t="array" aca="1" ref="FU78" ca="1">(1-$B$18)*SUMPRODUCT(OFFSET($BO$15,0,0,$B$14,1), 1*(_xlfn._xlws.FILTER(OFFSET($O$15,0,$DN78,$B$8,1),OFFSET($M$15,0,0,$B$8,1))=FU$13), 1*(_xlfn._xlws.FILTER(OFFSET($O$15,0,$DO78,$B$8,1),OFFSET($M$15,0,0,$B$8,1))=FU$14))   /   SUM(OFFSET($BO$15,0,0,$B$14,1)) + $B$18/($B$19*$B$19*($DN78&lt;&gt;$DO78) + $B$19*($DN78=$DO78))</f>
        <v>3.7037037037037035E-4</v>
      </c>
      <c r="FV78" s="10" cm="1">
        <f t="array" aca="1" ref="FV78" ca="1">(1-$B$18)*SUMPRODUCT(OFFSET($BO$15,0,0,$B$14,1), 1*(_xlfn._xlws.FILTER(OFFSET($O$15,0,$DN78,$B$8,1),OFFSET($M$15,0,0,$B$8,1))=FV$13), 1*(_xlfn._xlws.FILTER(OFFSET($O$15,0,$DO78,$B$8,1),OFFSET($M$15,0,0,$B$8,1))=FV$14))   /   SUM(OFFSET($BO$15,0,0,$B$14,1)) + $B$18/($B$19*$B$19*($DN78&lt;&gt;$DO78) + $B$19*($DN78=$DO78))</f>
        <v>3.7037037037037035E-4</v>
      </c>
      <c r="FW78" s="10" cm="1">
        <f t="array" aca="1" ref="FW78" ca="1">(1-$B$18)*SUMPRODUCT(OFFSET($BO$15,0,0,$B$14,1), 1*(_xlfn._xlws.FILTER(OFFSET($O$15,0,$DN78,$B$8,1),OFFSET($M$15,0,0,$B$8,1))=FW$13), 1*(_xlfn._xlws.FILTER(OFFSET($O$15,0,$DO78,$B$8,1),OFFSET($M$15,0,0,$B$8,1))=FW$14))   /   SUM(OFFSET($BO$15,0,0,$B$14,1)) + $B$18/($B$19*$B$19*($DN78&lt;&gt;$DO78) + $B$19*($DN78=$DO78))</f>
        <v>3.7037037037037035E-4</v>
      </c>
      <c r="FX78" s="10" cm="1">
        <f t="array" aca="1" ref="FX78" ca="1">(1-$B$18)*SUMPRODUCT(OFFSET($BO$15,0,0,$B$14,1), 1*(_xlfn._xlws.FILTER(OFFSET($O$15,0,$DN78,$B$8,1),OFFSET($M$15,0,0,$B$8,1))=FX$13), 1*(_xlfn._xlws.FILTER(OFFSET($O$15,0,$DO78,$B$8,1),OFFSET($M$15,0,0,$B$8,1))=FX$14))   /   SUM(OFFSET($BO$15,0,0,$B$14,1)) + $B$18/($B$19*$B$19*($DN78&lt;&gt;$DO78) + $B$19*($DN78=$DO78))</f>
        <v>3.7037037037037035E-4</v>
      </c>
      <c r="FY78" s="10" cm="1">
        <f t="array" aca="1" ref="FY78" ca="1">(1-$B$18)*SUMPRODUCT(OFFSET($BO$15,0,0,$B$14,1), 1*(_xlfn._xlws.FILTER(OFFSET($O$15,0,$DN78,$B$8,1),OFFSET($M$15,0,0,$B$8,1))=FY$13), 1*(_xlfn._xlws.FILTER(OFFSET($O$15,0,$DO78,$B$8,1),OFFSET($M$15,0,0,$B$8,1))=FY$14))   /   SUM(OFFSET($BO$15,0,0,$B$14,1)) + $B$18/($B$19*$B$19*($DN78&lt;&gt;$DO78) + $B$19*($DN78=$DO78))</f>
        <v>3.7037037037037035E-4</v>
      </c>
      <c r="FZ78" s="10" cm="1">
        <f t="array" aca="1" ref="FZ78" ca="1">(1-$B$18)*SUMPRODUCT(OFFSET($BO$15,0,0,$B$14,1), 1*(_xlfn._xlws.FILTER(OFFSET($O$15,0,$DN78,$B$8,1),OFFSET($M$15,0,0,$B$8,1))=FZ$13), 1*(_xlfn._xlws.FILTER(OFFSET($O$15,0,$DO78,$B$8,1),OFFSET($M$15,0,0,$B$8,1))=FZ$14))   /   SUM(OFFSET($BO$15,0,0,$B$14,1)) + $B$18/($B$19*$B$19*($DN78&lt;&gt;$DO78) + $B$19*($DN78=$DO78))</f>
        <v>3.7037037037037035E-4</v>
      </c>
      <c r="GA78" s="10" cm="1">
        <f t="array" aca="1" ref="GA78" ca="1">(1-$B$18)*SUMPRODUCT(OFFSET($BO$15,0,0,$B$14,1), 1*(_xlfn._xlws.FILTER(OFFSET($O$15,0,$DN78,$B$8,1),OFFSET($M$15,0,0,$B$8,1))=GA$13), 1*(_xlfn._xlws.FILTER(OFFSET($O$15,0,$DO78,$B$8,1),OFFSET($M$15,0,0,$B$8,1))=GA$14))   /   SUM(OFFSET($BO$15,0,0,$B$14,1)) + $B$18/($B$19*$B$19*($DN78&lt;&gt;$DO78) + $B$19*($DN78=$DO78))</f>
        <v>3.7037037037037035E-4</v>
      </c>
    </row>
    <row r="79" spans="7:183" x14ac:dyDescent="0.2">
      <c r="G79" s="2"/>
      <c r="H79" s="2"/>
      <c r="P79" s="1"/>
      <c r="DN79" cm="1">
        <f t="array" aca="1" ref="DN79" ca="1">INDEX(_xlfn.ANCHORARRAY($CP$15), 1 + INT((ROWS($DO$15:$DO79) - 1) / ROWS(_xlfn.ANCHORARRAY($CP$15))))</f>
        <v>3</v>
      </c>
      <c r="DO79" cm="1">
        <f t="array" aca="1" ref="DO79" ca="1">INDEX(_xlfn.ANCHORARRAY($CP$15),1+MOD(ROWS($DO$15:$DO79)-1,ROWS(_xlfn.ANCHORARRAY($CP$15))))</f>
        <v>7</v>
      </c>
      <c r="DP79" s="10" cm="1">
        <f t="array" aca="1" ref="DP79" ca="1">(1-$B$18)*SUMPRODUCT(OFFSET($BO$15,0,0,$B$14,1), 1*(_xlfn._xlws.FILTER(OFFSET($O$15,0,$DN79,$B$8,1),OFFSET($M$15,0,0,$B$8,1))=DP$13), 1*(_xlfn._xlws.FILTER(OFFSET($O$15,0,$DO79,$B$8,1),OFFSET($M$15,0,0,$B$8,1))=DP$14))   /   SUM(OFFSET($BO$15,0,0,$B$14,1)) + $B$18/($B$19*$B$19*($DN79&lt;&gt;$DO79) + $B$19*($DN79=$DO79))</f>
        <v>3.7037037037037035E-4</v>
      </c>
      <c r="DQ79" s="10" cm="1">
        <f t="array" aca="1" ref="DQ79" ca="1">(1-$B$18)*SUMPRODUCT(OFFSET($BO$15,0,0,$B$14,1), 1*(_xlfn._xlws.FILTER(OFFSET($O$15,0,$DN79,$B$8,1),OFFSET($M$15,0,0,$B$8,1))=DQ$13), 1*(_xlfn._xlws.FILTER(OFFSET($O$15,0,$DO79,$B$8,1),OFFSET($M$15,0,0,$B$8,1))=DQ$14))   /   SUM(OFFSET($BO$15,0,0,$B$14,1)) + $B$18/($B$19*$B$19*($DN79&lt;&gt;$DO79) + $B$19*($DN79=$DO79))</f>
        <v>3.7037037037037035E-4</v>
      </c>
      <c r="DR79" s="10" cm="1">
        <f t="array" aca="1" ref="DR79" ca="1">(1-$B$18)*SUMPRODUCT(OFFSET($BO$15,0,0,$B$14,1), 1*(_xlfn._xlws.FILTER(OFFSET($O$15,0,$DN79,$B$8,1),OFFSET($M$15,0,0,$B$8,1))=DR$13), 1*(_xlfn._xlws.FILTER(OFFSET($O$15,0,$DO79,$B$8,1),OFFSET($M$15,0,0,$B$8,1))=DR$14))   /   SUM(OFFSET($BO$15,0,0,$B$14,1)) + $B$18/($B$19*$B$19*($DN79&lt;&gt;$DO79) + $B$19*($DN79=$DO79))</f>
        <v>3.7037037037037035E-4</v>
      </c>
      <c r="DS79" s="10" cm="1">
        <f t="array" aca="1" ref="DS79" ca="1">(1-$B$18)*SUMPRODUCT(OFFSET($BO$15,0,0,$B$14,1), 1*(_xlfn._xlws.FILTER(OFFSET($O$15,0,$DN79,$B$8,1),OFFSET($M$15,0,0,$B$8,1))=DS$13), 1*(_xlfn._xlws.FILTER(OFFSET($O$15,0,$DO79,$B$8,1),OFFSET($M$15,0,0,$B$8,1))=DS$14))   /   SUM(OFFSET($BO$15,0,0,$B$14,1)) + $B$18/($B$19*$B$19*($DN79&lt;&gt;$DO79) + $B$19*($DN79=$DO79))</f>
        <v>3.7037037037037035E-4</v>
      </c>
      <c r="DT79" s="10" cm="1">
        <f t="array" aca="1" ref="DT79" ca="1">(1-$B$18)*SUMPRODUCT(OFFSET($BO$15,0,0,$B$14,1), 1*(_xlfn._xlws.FILTER(OFFSET($O$15,0,$DN79,$B$8,1),OFFSET($M$15,0,0,$B$8,1))=DT$13), 1*(_xlfn._xlws.FILTER(OFFSET($O$15,0,$DO79,$B$8,1),OFFSET($M$15,0,0,$B$8,1))=DT$14))   /   SUM(OFFSET($BO$15,0,0,$B$14,1)) + $B$18/($B$19*$B$19*($DN79&lt;&gt;$DO79) + $B$19*($DN79=$DO79))</f>
        <v>3.7037037037037035E-4</v>
      </c>
      <c r="DU79" s="10" cm="1">
        <f t="array" aca="1" ref="DU79" ca="1">(1-$B$18)*SUMPRODUCT(OFFSET($BO$15,0,0,$B$14,1), 1*(_xlfn._xlws.FILTER(OFFSET($O$15,0,$DN79,$B$8,1),OFFSET($M$15,0,0,$B$8,1))=DU$13), 1*(_xlfn._xlws.FILTER(OFFSET($O$15,0,$DO79,$B$8,1),OFFSET($M$15,0,0,$B$8,1))=DU$14))   /   SUM(OFFSET($BO$15,0,0,$B$14,1)) + $B$18/($B$19*$B$19*($DN79&lt;&gt;$DO79) + $B$19*($DN79=$DO79))</f>
        <v>3.7037037037037035E-4</v>
      </c>
      <c r="DV79" s="10" cm="1">
        <f t="array" aca="1" ref="DV79" ca="1">(1-$B$18)*SUMPRODUCT(OFFSET($BO$15,0,0,$B$14,1), 1*(_xlfn._xlws.FILTER(OFFSET($O$15,0,$DN79,$B$8,1),OFFSET($M$15,0,0,$B$8,1))=DV$13), 1*(_xlfn._xlws.FILTER(OFFSET($O$15,0,$DO79,$B$8,1),OFFSET($M$15,0,0,$B$8,1))=DV$14))   /   SUM(OFFSET($BO$15,0,0,$B$14,1)) + $B$18/($B$19*$B$19*($DN79&lt;&gt;$DO79) + $B$19*($DN79=$DO79))</f>
        <v>3.7037037037037035E-4</v>
      </c>
      <c r="DW79" s="10" cm="1">
        <f t="array" aca="1" ref="DW79" ca="1">(1-$B$18)*SUMPRODUCT(OFFSET($BO$15,0,0,$B$14,1), 1*(_xlfn._xlws.FILTER(OFFSET($O$15,0,$DN79,$B$8,1),OFFSET($M$15,0,0,$B$8,1))=DW$13), 1*(_xlfn._xlws.FILTER(OFFSET($O$15,0,$DO79,$B$8,1),OFFSET($M$15,0,0,$B$8,1))=DW$14))   /   SUM(OFFSET($BO$15,0,0,$B$14,1)) + $B$18/($B$19*$B$19*($DN79&lt;&gt;$DO79) + $B$19*($DN79=$DO79))</f>
        <v>3.7037037037037035E-4</v>
      </c>
      <c r="DX79" s="10" cm="1">
        <f t="array" aca="1" ref="DX79" ca="1">(1-$B$18)*SUMPRODUCT(OFFSET($BO$15,0,0,$B$14,1), 1*(_xlfn._xlws.FILTER(OFFSET($O$15,0,$DN79,$B$8,1),OFFSET($M$15,0,0,$B$8,1))=DX$13), 1*(_xlfn._xlws.FILTER(OFFSET($O$15,0,$DO79,$B$8,1),OFFSET($M$15,0,0,$B$8,1))=DX$14))   /   SUM(OFFSET($BO$15,0,0,$B$14,1)) + $B$18/($B$19*$B$19*($DN79&lt;&gt;$DO79) + $B$19*($DN79=$DO79))</f>
        <v>3.7037037037037035E-4</v>
      </c>
      <c r="DY79" s="10" cm="1">
        <f t="array" aca="1" ref="DY79" ca="1">(1-$B$18)*SUMPRODUCT(OFFSET($BO$15,0,0,$B$14,1), 1*(_xlfn._xlws.FILTER(OFFSET($O$15,0,$DN79,$B$8,1),OFFSET($M$15,0,0,$B$8,1))=DY$13), 1*(_xlfn._xlws.FILTER(OFFSET($O$15,0,$DO79,$B$8,1),OFFSET($M$15,0,0,$B$8,1))=DY$14))   /   SUM(OFFSET($BO$15,0,0,$B$14,1)) + $B$18/($B$19*$B$19*($DN79&lt;&gt;$DO79) + $B$19*($DN79=$DO79))</f>
        <v>3.7037037037037035E-4</v>
      </c>
      <c r="DZ79" s="10" cm="1">
        <f t="array" aca="1" ref="DZ79" ca="1">(1-$B$18)*SUMPRODUCT(OFFSET($BO$15,0,0,$B$14,1), 1*(_xlfn._xlws.FILTER(OFFSET($O$15,0,$DN79,$B$8,1),OFFSET($M$15,0,0,$B$8,1))=DZ$13), 1*(_xlfn._xlws.FILTER(OFFSET($O$15,0,$DO79,$B$8,1),OFFSET($M$15,0,0,$B$8,1))=DZ$14))   /   SUM(OFFSET($BO$15,0,0,$B$14,1)) + $B$18/($B$19*$B$19*($DN79&lt;&gt;$DO79) + $B$19*($DN79=$DO79))</f>
        <v>3.7037037037037035E-4</v>
      </c>
      <c r="EA79" s="10" cm="1">
        <f t="array" aca="1" ref="EA79" ca="1">(1-$B$18)*SUMPRODUCT(OFFSET($BO$15,0,0,$B$14,1), 1*(_xlfn._xlws.FILTER(OFFSET($O$15,0,$DN79,$B$8,1),OFFSET($M$15,0,0,$B$8,1))=EA$13), 1*(_xlfn._xlws.FILTER(OFFSET($O$15,0,$DO79,$B$8,1),OFFSET($M$15,0,0,$B$8,1))=EA$14))   /   SUM(OFFSET($BO$15,0,0,$B$14,1)) + $B$18/($B$19*$B$19*($DN79&lt;&gt;$DO79) + $B$19*($DN79=$DO79))</f>
        <v>3.7037037037037035E-4</v>
      </c>
      <c r="EB79" s="10" cm="1">
        <f t="array" aca="1" ref="EB79" ca="1">(1-$B$18)*SUMPRODUCT(OFFSET($BO$15,0,0,$B$14,1), 1*(_xlfn._xlws.FILTER(OFFSET($O$15,0,$DN79,$B$8,1),OFFSET($M$15,0,0,$B$8,1))=EB$13), 1*(_xlfn._xlws.FILTER(OFFSET($O$15,0,$DO79,$B$8,1),OFFSET($M$15,0,0,$B$8,1))=EB$14))   /   SUM(OFFSET($BO$15,0,0,$B$14,1)) + $B$18/($B$19*$B$19*($DN79&lt;&gt;$DO79) + $B$19*($DN79=$DO79))</f>
        <v>3.7037037037037035E-4</v>
      </c>
      <c r="EC79" s="10" cm="1">
        <f t="array" aca="1" ref="EC79" ca="1">(1-$B$18)*SUMPRODUCT(OFFSET($BO$15,0,0,$B$14,1), 1*(_xlfn._xlws.FILTER(OFFSET($O$15,0,$DN79,$B$8,1),OFFSET($M$15,0,0,$B$8,1))=EC$13), 1*(_xlfn._xlws.FILTER(OFFSET($O$15,0,$DO79,$B$8,1),OFFSET($M$15,0,0,$B$8,1))=EC$14))   /   SUM(OFFSET($BO$15,0,0,$B$14,1)) + $B$18/($B$19*$B$19*($DN79&lt;&gt;$DO79) + $B$19*($DN79=$DO79))</f>
        <v>3.7037037037037035E-4</v>
      </c>
      <c r="ED79" s="10" cm="1">
        <f t="array" aca="1" ref="ED79" ca="1">(1-$B$18)*SUMPRODUCT(OFFSET($BO$15,0,0,$B$14,1), 1*(_xlfn._xlws.FILTER(OFFSET($O$15,0,$DN79,$B$8,1),OFFSET($M$15,0,0,$B$8,1))=ED$13), 1*(_xlfn._xlws.FILTER(OFFSET($O$15,0,$DO79,$B$8,1),OFFSET($M$15,0,0,$B$8,1))=ED$14))   /   SUM(OFFSET($BO$15,0,0,$B$14,1)) + $B$18/($B$19*$B$19*($DN79&lt;&gt;$DO79) + $B$19*($DN79=$DO79))</f>
        <v>3.7037037037037035E-4</v>
      </c>
      <c r="EE79" s="10" cm="1">
        <f t="array" aca="1" ref="EE79" ca="1">(1-$B$18)*SUMPRODUCT(OFFSET($BO$15,0,0,$B$14,1), 1*(_xlfn._xlws.FILTER(OFFSET($O$15,0,$DN79,$B$8,1),OFFSET($M$15,0,0,$B$8,1))=EE$13), 1*(_xlfn._xlws.FILTER(OFFSET($O$15,0,$DO79,$B$8,1),OFFSET($M$15,0,0,$B$8,1))=EE$14))   /   SUM(OFFSET($BO$15,0,0,$B$14,1)) + $B$18/($B$19*$B$19*($DN79&lt;&gt;$DO79) + $B$19*($DN79=$DO79))</f>
        <v>3.7037037037037035E-4</v>
      </c>
      <c r="EF79" s="10" cm="1">
        <f t="array" aca="1" ref="EF79" ca="1">(1-$B$18)*SUMPRODUCT(OFFSET($BO$15,0,0,$B$14,1), 1*(_xlfn._xlws.FILTER(OFFSET($O$15,0,$DN79,$B$8,1),OFFSET($M$15,0,0,$B$8,1))=EF$13), 1*(_xlfn._xlws.FILTER(OFFSET($O$15,0,$DO79,$B$8,1),OFFSET($M$15,0,0,$B$8,1))=EF$14))   /   SUM(OFFSET($BO$15,0,0,$B$14,1)) + $B$18/($B$19*$B$19*($DN79&lt;&gt;$DO79) + $B$19*($DN79=$DO79))</f>
        <v>3.7037037037037035E-4</v>
      </c>
      <c r="EG79" s="10" cm="1">
        <f t="array" aca="1" ref="EG79" ca="1">(1-$B$18)*SUMPRODUCT(OFFSET($BO$15,0,0,$B$14,1), 1*(_xlfn._xlws.FILTER(OFFSET($O$15,0,$DN79,$B$8,1),OFFSET($M$15,0,0,$B$8,1))=EG$13), 1*(_xlfn._xlws.FILTER(OFFSET($O$15,0,$DO79,$B$8,1),OFFSET($M$15,0,0,$B$8,1))=EG$14))   /   SUM(OFFSET($BO$15,0,0,$B$14,1)) + $B$18/($B$19*$B$19*($DN79&lt;&gt;$DO79) + $B$19*($DN79=$DO79))</f>
        <v>3.7037037037037035E-4</v>
      </c>
      <c r="EH79" s="10" cm="1">
        <f t="array" aca="1" ref="EH79" ca="1">(1-$B$18)*SUMPRODUCT(OFFSET($BO$15,0,0,$B$14,1), 1*(_xlfn._xlws.FILTER(OFFSET($O$15,0,$DN79,$B$8,1),OFFSET($M$15,0,0,$B$8,1))=EH$13), 1*(_xlfn._xlws.FILTER(OFFSET($O$15,0,$DO79,$B$8,1),OFFSET($M$15,0,0,$B$8,1))=EH$14))   /   SUM(OFFSET($BO$15,0,0,$B$14,1)) + $B$18/($B$19*$B$19*($DN79&lt;&gt;$DO79) + $B$19*($DN79=$DO79))</f>
        <v>3.7037037037037035E-4</v>
      </c>
      <c r="EI79" s="10" cm="1">
        <f t="array" aca="1" ref="EI79" ca="1">(1-$B$18)*SUMPRODUCT(OFFSET($BO$15,0,0,$B$14,1), 1*(_xlfn._xlws.FILTER(OFFSET($O$15,0,$DN79,$B$8,1),OFFSET($M$15,0,0,$B$8,1))=EI$13), 1*(_xlfn._xlws.FILTER(OFFSET($O$15,0,$DO79,$B$8,1),OFFSET($M$15,0,0,$B$8,1))=EI$14))   /   SUM(OFFSET($BO$15,0,0,$B$14,1)) + $B$18/($B$19*$B$19*($DN79&lt;&gt;$DO79) + $B$19*($DN79=$DO79))</f>
        <v>3.7037037037037035E-4</v>
      </c>
      <c r="EJ79" s="10" cm="1">
        <f t="array" aca="1" ref="EJ79" ca="1">(1-$B$18)*SUMPRODUCT(OFFSET($BO$15,0,0,$B$14,1), 1*(_xlfn._xlws.FILTER(OFFSET($O$15,0,$DN79,$B$8,1),OFFSET($M$15,0,0,$B$8,1))=EJ$13), 1*(_xlfn._xlws.FILTER(OFFSET($O$15,0,$DO79,$B$8,1),OFFSET($M$15,0,0,$B$8,1))=EJ$14))   /   SUM(OFFSET($BO$15,0,0,$B$14,1)) + $B$18/($B$19*$B$19*($DN79&lt;&gt;$DO79) + $B$19*($DN79=$DO79))</f>
        <v>3.7037037037037035E-4</v>
      </c>
      <c r="EK79" s="10" cm="1">
        <f t="array" aca="1" ref="EK79" ca="1">(1-$B$18)*SUMPRODUCT(OFFSET($BO$15,0,0,$B$14,1), 1*(_xlfn._xlws.FILTER(OFFSET($O$15,0,$DN79,$B$8,1),OFFSET($M$15,0,0,$B$8,1))=EK$13), 1*(_xlfn._xlws.FILTER(OFFSET($O$15,0,$DO79,$B$8,1),OFFSET($M$15,0,0,$B$8,1))=EK$14))   /   SUM(OFFSET($BO$15,0,0,$B$14,1)) + $B$18/($B$19*$B$19*($DN79&lt;&gt;$DO79) + $B$19*($DN79=$DO79))</f>
        <v>3.7037037037037035E-4</v>
      </c>
      <c r="EL79" s="10" cm="1">
        <f t="array" aca="1" ref="EL79" ca="1">(1-$B$18)*SUMPRODUCT(OFFSET($BO$15,0,0,$B$14,1), 1*(_xlfn._xlws.FILTER(OFFSET($O$15,0,$DN79,$B$8,1),OFFSET($M$15,0,0,$B$8,1))=EL$13), 1*(_xlfn._xlws.FILTER(OFFSET($O$15,0,$DO79,$B$8,1),OFFSET($M$15,0,0,$B$8,1))=EL$14))   /   SUM(OFFSET($BO$15,0,0,$B$14,1)) + $B$18/($B$19*$B$19*($DN79&lt;&gt;$DO79) + $B$19*($DN79=$DO79))</f>
        <v>3.7037037037037035E-4</v>
      </c>
      <c r="EM79" s="10" cm="1">
        <f t="array" aca="1" ref="EM79" ca="1">(1-$B$18)*SUMPRODUCT(OFFSET($BO$15,0,0,$B$14,1), 1*(_xlfn._xlws.FILTER(OFFSET($O$15,0,$DN79,$B$8,1),OFFSET($M$15,0,0,$B$8,1))=EM$13), 1*(_xlfn._xlws.FILTER(OFFSET($O$15,0,$DO79,$B$8,1),OFFSET($M$15,0,0,$B$8,1))=EM$14))   /   SUM(OFFSET($BO$15,0,0,$B$14,1)) + $B$18/($B$19*$B$19*($DN79&lt;&gt;$DO79) + $B$19*($DN79=$DO79))</f>
        <v>3.7037037037037035E-4</v>
      </c>
      <c r="EN79" s="10" cm="1">
        <f t="array" aca="1" ref="EN79" ca="1">(1-$B$18)*SUMPRODUCT(OFFSET($BO$15,0,0,$B$14,1), 1*(_xlfn._xlws.FILTER(OFFSET($O$15,0,$DN79,$B$8,1),OFFSET($M$15,0,0,$B$8,1))=EN$13), 1*(_xlfn._xlws.FILTER(OFFSET($O$15,0,$DO79,$B$8,1),OFFSET($M$15,0,0,$B$8,1))=EN$14))   /   SUM(OFFSET($BO$15,0,0,$B$14,1)) + $B$18/($B$19*$B$19*($DN79&lt;&gt;$DO79) + $B$19*($DN79=$DO79))</f>
        <v>3.7037037037037035E-4</v>
      </c>
      <c r="EO79" s="10" cm="1">
        <f t="array" aca="1" ref="EO79" ca="1">(1-$B$18)*SUMPRODUCT(OFFSET($BO$15,0,0,$B$14,1), 1*(_xlfn._xlws.FILTER(OFFSET($O$15,0,$DN79,$B$8,1),OFFSET($M$15,0,0,$B$8,1))=EO$13), 1*(_xlfn._xlws.FILTER(OFFSET($O$15,0,$DO79,$B$8,1),OFFSET($M$15,0,0,$B$8,1))=EO$14))   /   SUM(OFFSET($BO$15,0,0,$B$14,1)) + $B$18/($B$19*$B$19*($DN79&lt;&gt;$DO79) + $B$19*($DN79=$DO79))</f>
        <v>3.7037037037037035E-4</v>
      </c>
      <c r="EP79" s="10" cm="1">
        <f t="array" aca="1" ref="EP79" ca="1">(1-$B$18)*SUMPRODUCT(OFFSET($BO$15,0,0,$B$14,1), 1*(_xlfn._xlws.FILTER(OFFSET($O$15,0,$DN79,$B$8,1),OFFSET($M$15,0,0,$B$8,1))=EP$13), 1*(_xlfn._xlws.FILTER(OFFSET($O$15,0,$DO79,$B$8,1),OFFSET($M$15,0,0,$B$8,1))=EP$14))   /   SUM(OFFSET($BO$15,0,0,$B$14,1)) + $B$18/($B$19*$B$19*($DN79&lt;&gt;$DO79) + $B$19*($DN79=$DO79))</f>
        <v>3.7037037037037035E-4</v>
      </c>
      <c r="EQ79" s="10" cm="1">
        <f t="array" aca="1" ref="EQ79" ca="1">(1-$B$18)*SUMPRODUCT(OFFSET($BO$15,0,0,$B$14,1), 1*(_xlfn._xlws.FILTER(OFFSET($O$15,0,$DN79,$B$8,1),OFFSET($M$15,0,0,$B$8,1))=EQ$13), 1*(_xlfn._xlws.FILTER(OFFSET($O$15,0,$DO79,$B$8,1),OFFSET($M$15,0,0,$B$8,1))=EQ$14))   /   SUM(OFFSET($BO$15,0,0,$B$14,1)) + $B$18/($B$19*$B$19*($DN79&lt;&gt;$DO79) + $B$19*($DN79=$DO79))</f>
        <v>3.7037037037037035E-4</v>
      </c>
      <c r="ER79" s="10" cm="1">
        <f t="array" aca="1" ref="ER79" ca="1">(1-$B$18)*SUMPRODUCT(OFFSET($BO$15,0,0,$B$14,1), 1*(_xlfn._xlws.FILTER(OFFSET($O$15,0,$DN79,$B$8,1),OFFSET($M$15,0,0,$B$8,1))=ER$13), 1*(_xlfn._xlws.FILTER(OFFSET($O$15,0,$DO79,$B$8,1),OFFSET($M$15,0,0,$B$8,1))=ER$14))   /   SUM(OFFSET($BO$15,0,0,$B$14,1)) + $B$18/($B$19*$B$19*($DN79&lt;&gt;$DO79) + $B$19*($DN79=$DO79))</f>
        <v>3.7037037037037035E-4</v>
      </c>
      <c r="ES79" s="10" cm="1">
        <f t="array" aca="1" ref="ES79" ca="1">(1-$B$18)*SUMPRODUCT(OFFSET($BO$15,0,0,$B$14,1), 1*(_xlfn._xlws.FILTER(OFFSET($O$15,0,$DN79,$B$8,1),OFFSET($M$15,0,0,$B$8,1))=ES$13), 1*(_xlfn._xlws.FILTER(OFFSET($O$15,0,$DO79,$B$8,1),OFFSET($M$15,0,0,$B$8,1))=ES$14))   /   SUM(OFFSET($BO$15,0,0,$B$14,1)) + $B$18/($B$19*$B$19*($DN79&lt;&gt;$DO79) + $B$19*($DN79=$DO79))</f>
        <v>3.7037037037037035E-4</v>
      </c>
      <c r="ET79" s="10" cm="1">
        <f t="array" aca="1" ref="ET79" ca="1">(1-$B$18)*SUMPRODUCT(OFFSET($BO$15,0,0,$B$14,1), 1*(_xlfn._xlws.FILTER(OFFSET($O$15,0,$DN79,$B$8,1),OFFSET($M$15,0,0,$B$8,1))=ET$13), 1*(_xlfn._xlws.FILTER(OFFSET($O$15,0,$DO79,$B$8,1),OFFSET($M$15,0,0,$B$8,1))=ET$14))   /   SUM(OFFSET($BO$15,0,0,$B$14,1)) + $B$18/($B$19*$B$19*($DN79&lt;&gt;$DO79) + $B$19*($DN79=$DO79))</f>
        <v>3.7037037037037035E-4</v>
      </c>
      <c r="EU79" s="10" cm="1">
        <f t="array" aca="1" ref="EU79" ca="1">(1-$B$18)*SUMPRODUCT(OFFSET($BO$15,0,0,$B$14,1), 1*(_xlfn._xlws.FILTER(OFFSET($O$15,0,$DN79,$B$8,1),OFFSET($M$15,0,0,$B$8,1))=EU$13), 1*(_xlfn._xlws.FILTER(OFFSET($O$15,0,$DO79,$B$8,1),OFFSET($M$15,0,0,$B$8,1))=EU$14))   /   SUM(OFFSET($BO$15,0,0,$B$14,1)) + $B$18/($B$19*$B$19*($DN79&lt;&gt;$DO79) + $B$19*($DN79=$DO79))</f>
        <v>3.7037037037037035E-4</v>
      </c>
      <c r="EV79" s="10" cm="1">
        <f t="array" aca="1" ref="EV79" ca="1">(1-$B$18)*SUMPRODUCT(OFFSET($BO$15,0,0,$B$14,1), 1*(_xlfn._xlws.FILTER(OFFSET($O$15,0,$DN79,$B$8,1),OFFSET($M$15,0,0,$B$8,1))=EV$13), 1*(_xlfn._xlws.FILTER(OFFSET($O$15,0,$DO79,$B$8,1),OFFSET($M$15,0,0,$B$8,1))=EV$14))   /   SUM(OFFSET($BO$15,0,0,$B$14,1)) + $B$18/($B$19*$B$19*($DN79&lt;&gt;$DO79) + $B$19*($DN79=$DO79))</f>
        <v>3.7037037037037035E-4</v>
      </c>
      <c r="EW79" s="10" cm="1">
        <f t="array" aca="1" ref="EW79" ca="1">(1-$B$18)*SUMPRODUCT(OFFSET($BO$15,0,0,$B$14,1), 1*(_xlfn._xlws.FILTER(OFFSET($O$15,0,$DN79,$B$8,1),OFFSET($M$15,0,0,$B$8,1))=EW$13), 1*(_xlfn._xlws.FILTER(OFFSET($O$15,0,$DO79,$B$8,1),OFFSET($M$15,0,0,$B$8,1))=EW$14))   /   SUM(OFFSET($BO$15,0,0,$B$14,1)) + $B$18/($B$19*$B$19*($DN79&lt;&gt;$DO79) + $B$19*($DN79=$DO79))</f>
        <v>3.7037037037037035E-4</v>
      </c>
      <c r="EX79" s="10" cm="1">
        <f t="array" aca="1" ref="EX79" ca="1">(1-$B$18)*SUMPRODUCT(OFFSET($BO$15,0,0,$B$14,1), 1*(_xlfn._xlws.FILTER(OFFSET($O$15,0,$DN79,$B$8,1),OFFSET($M$15,0,0,$B$8,1))=EX$13), 1*(_xlfn._xlws.FILTER(OFFSET($O$15,0,$DO79,$B$8,1),OFFSET($M$15,0,0,$B$8,1))=EX$14))   /   SUM(OFFSET($BO$15,0,0,$B$14,1)) + $B$18/($B$19*$B$19*($DN79&lt;&gt;$DO79) + $B$19*($DN79=$DO79))</f>
        <v>3.7037037037037035E-4</v>
      </c>
      <c r="EY79" s="10" cm="1">
        <f t="array" aca="1" ref="EY79" ca="1">(1-$B$18)*SUMPRODUCT(OFFSET($BO$15,0,0,$B$14,1), 1*(_xlfn._xlws.FILTER(OFFSET($O$15,0,$DN79,$B$8,1),OFFSET($M$15,0,0,$B$8,1))=EY$13), 1*(_xlfn._xlws.FILTER(OFFSET($O$15,0,$DO79,$B$8,1),OFFSET($M$15,0,0,$B$8,1))=EY$14))   /   SUM(OFFSET($BO$15,0,0,$B$14,1)) + $B$18/($B$19*$B$19*($DN79&lt;&gt;$DO79) + $B$19*($DN79=$DO79))</f>
        <v>3.7037037037037035E-4</v>
      </c>
      <c r="EZ79" s="10" cm="1">
        <f t="array" aca="1" ref="EZ79" ca="1">(1-$B$18)*SUMPRODUCT(OFFSET($BO$15,0,0,$B$14,1), 1*(_xlfn._xlws.FILTER(OFFSET($O$15,0,$DN79,$B$8,1),OFFSET($M$15,0,0,$B$8,1))=EZ$13), 1*(_xlfn._xlws.FILTER(OFFSET($O$15,0,$DO79,$B$8,1),OFFSET($M$15,0,0,$B$8,1))=EZ$14))   /   SUM(OFFSET($BO$15,0,0,$B$14,1)) + $B$18/($B$19*$B$19*($DN79&lt;&gt;$DO79) + $B$19*($DN79=$DO79))</f>
        <v>3.7037037037037035E-4</v>
      </c>
      <c r="FA79" s="10" cm="1">
        <f t="array" aca="1" ref="FA79" ca="1">(1-$B$18)*SUMPRODUCT(OFFSET($BO$15,0,0,$B$14,1), 1*(_xlfn._xlws.FILTER(OFFSET($O$15,0,$DN79,$B$8,1),OFFSET($M$15,0,0,$B$8,1))=FA$13), 1*(_xlfn._xlws.FILTER(OFFSET($O$15,0,$DO79,$B$8,1),OFFSET($M$15,0,0,$B$8,1))=FA$14))   /   SUM(OFFSET($BO$15,0,0,$B$14,1)) + $B$18/($B$19*$B$19*($DN79&lt;&gt;$DO79) + $B$19*($DN79=$DO79))</f>
        <v>3.7037037037037035E-4</v>
      </c>
      <c r="FB79" s="10" cm="1">
        <f t="array" aca="1" ref="FB79" ca="1">(1-$B$18)*SUMPRODUCT(OFFSET($BO$15,0,0,$B$14,1), 1*(_xlfn._xlws.FILTER(OFFSET($O$15,0,$DN79,$B$8,1),OFFSET($M$15,0,0,$B$8,1))=FB$13), 1*(_xlfn._xlws.FILTER(OFFSET($O$15,0,$DO79,$B$8,1),OFFSET($M$15,0,0,$B$8,1))=FB$14))   /   SUM(OFFSET($BO$15,0,0,$B$14,1)) + $B$18/($B$19*$B$19*($DN79&lt;&gt;$DO79) + $B$19*($DN79=$DO79))</f>
        <v>3.7037037037037035E-4</v>
      </c>
      <c r="FC79" s="10" cm="1">
        <f t="array" aca="1" ref="FC79" ca="1">(1-$B$18)*SUMPRODUCT(OFFSET($BO$15,0,0,$B$14,1), 1*(_xlfn._xlws.FILTER(OFFSET($O$15,0,$DN79,$B$8,1),OFFSET($M$15,0,0,$B$8,1))=FC$13), 1*(_xlfn._xlws.FILTER(OFFSET($O$15,0,$DO79,$B$8,1),OFFSET($M$15,0,0,$B$8,1))=FC$14))   /   SUM(OFFSET($BO$15,0,0,$B$14,1)) + $B$18/($B$19*$B$19*($DN79&lt;&gt;$DO79) + $B$19*($DN79=$DO79))</f>
        <v>3.7037037037037035E-4</v>
      </c>
      <c r="FD79" s="10" cm="1">
        <f t="array" aca="1" ref="FD79" ca="1">(1-$B$18)*SUMPRODUCT(OFFSET($BO$15,0,0,$B$14,1), 1*(_xlfn._xlws.FILTER(OFFSET($O$15,0,$DN79,$B$8,1),OFFSET($M$15,0,0,$B$8,1))=FD$13), 1*(_xlfn._xlws.FILTER(OFFSET($O$15,0,$DO79,$B$8,1),OFFSET($M$15,0,0,$B$8,1))=FD$14))   /   SUM(OFFSET($BO$15,0,0,$B$14,1)) + $B$18/($B$19*$B$19*($DN79&lt;&gt;$DO79) + $B$19*($DN79=$DO79))</f>
        <v>3.7037037037037035E-4</v>
      </c>
      <c r="FE79" s="10" cm="1">
        <f t="array" aca="1" ref="FE79" ca="1">(1-$B$18)*SUMPRODUCT(OFFSET($BO$15,0,0,$B$14,1), 1*(_xlfn._xlws.FILTER(OFFSET($O$15,0,$DN79,$B$8,1),OFFSET($M$15,0,0,$B$8,1))=FE$13), 1*(_xlfn._xlws.FILTER(OFFSET($O$15,0,$DO79,$B$8,1),OFFSET($M$15,0,0,$B$8,1))=FE$14))   /   SUM(OFFSET($BO$15,0,0,$B$14,1)) + $B$18/($B$19*$B$19*($DN79&lt;&gt;$DO79) + $B$19*($DN79=$DO79))</f>
        <v>3.7037037037037035E-4</v>
      </c>
      <c r="FF79" s="10" cm="1">
        <f t="array" aca="1" ref="FF79" ca="1">(1-$B$18)*SUMPRODUCT(OFFSET($BO$15,0,0,$B$14,1), 1*(_xlfn._xlws.FILTER(OFFSET($O$15,0,$DN79,$B$8,1),OFFSET($M$15,0,0,$B$8,1))=FF$13), 1*(_xlfn._xlws.FILTER(OFFSET($O$15,0,$DO79,$B$8,1),OFFSET($M$15,0,0,$B$8,1))=FF$14))   /   SUM(OFFSET($BO$15,0,0,$B$14,1)) + $B$18/($B$19*$B$19*($DN79&lt;&gt;$DO79) + $B$19*($DN79=$DO79))</f>
        <v>3.7037037037037035E-4</v>
      </c>
      <c r="FG79" s="10" cm="1">
        <f t="array" aca="1" ref="FG79" ca="1">(1-$B$18)*SUMPRODUCT(OFFSET($BO$15,0,0,$B$14,1), 1*(_xlfn._xlws.FILTER(OFFSET($O$15,0,$DN79,$B$8,1),OFFSET($M$15,0,0,$B$8,1))=FG$13), 1*(_xlfn._xlws.FILTER(OFFSET($O$15,0,$DO79,$B$8,1),OFFSET($M$15,0,0,$B$8,1))=FG$14))   /   SUM(OFFSET($BO$15,0,0,$B$14,1)) + $B$18/($B$19*$B$19*($DN79&lt;&gt;$DO79) + $B$19*($DN79=$DO79))</f>
        <v>3.7037037037037035E-4</v>
      </c>
      <c r="FH79" s="10" cm="1">
        <f t="array" aca="1" ref="FH79" ca="1">(1-$B$18)*SUMPRODUCT(OFFSET($BO$15,0,0,$B$14,1), 1*(_xlfn._xlws.FILTER(OFFSET($O$15,0,$DN79,$B$8,1),OFFSET($M$15,0,0,$B$8,1))=FH$13), 1*(_xlfn._xlws.FILTER(OFFSET($O$15,0,$DO79,$B$8,1),OFFSET($M$15,0,0,$B$8,1))=FH$14))   /   SUM(OFFSET($BO$15,0,0,$B$14,1)) + $B$18/($B$19*$B$19*($DN79&lt;&gt;$DO79) + $B$19*($DN79=$DO79))</f>
        <v>3.7037037037037035E-4</v>
      </c>
      <c r="FI79" s="10" cm="1">
        <f t="array" aca="1" ref="FI79" ca="1">(1-$B$18)*SUMPRODUCT(OFFSET($BO$15,0,0,$B$14,1), 1*(_xlfn._xlws.FILTER(OFFSET($O$15,0,$DN79,$B$8,1),OFFSET($M$15,0,0,$B$8,1))=FI$13), 1*(_xlfn._xlws.FILTER(OFFSET($O$15,0,$DO79,$B$8,1),OFFSET($M$15,0,0,$B$8,1))=FI$14))   /   SUM(OFFSET($BO$15,0,0,$B$14,1)) + $B$18/($B$19*$B$19*($DN79&lt;&gt;$DO79) + $B$19*($DN79=$DO79))</f>
        <v>3.7037037037037035E-4</v>
      </c>
      <c r="FJ79" s="10" cm="1">
        <f t="array" aca="1" ref="FJ79" ca="1">(1-$B$18)*SUMPRODUCT(OFFSET($BO$15,0,0,$B$14,1), 1*(_xlfn._xlws.FILTER(OFFSET($O$15,0,$DN79,$B$8,1),OFFSET($M$15,0,0,$B$8,1))=FJ$13), 1*(_xlfn._xlws.FILTER(OFFSET($O$15,0,$DO79,$B$8,1),OFFSET($M$15,0,0,$B$8,1))=FJ$14))   /   SUM(OFFSET($BO$15,0,0,$B$14,1)) + $B$18/($B$19*$B$19*($DN79&lt;&gt;$DO79) + $B$19*($DN79=$DO79))</f>
        <v>3.7037037037037035E-4</v>
      </c>
      <c r="FK79" s="10" cm="1">
        <f t="array" aca="1" ref="FK79" ca="1">(1-$B$18)*SUMPRODUCT(OFFSET($BO$15,0,0,$B$14,1), 1*(_xlfn._xlws.FILTER(OFFSET($O$15,0,$DN79,$B$8,1),OFFSET($M$15,0,0,$B$8,1))=FK$13), 1*(_xlfn._xlws.FILTER(OFFSET($O$15,0,$DO79,$B$8,1),OFFSET($M$15,0,0,$B$8,1))=FK$14))   /   SUM(OFFSET($BO$15,0,0,$B$14,1)) + $B$18/($B$19*$B$19*($DN79&lt;&gt;$DO79) + $B$19*($DN79=$DO79))</f>
        <v>3.7037037037037035E-4</v>
      </c>
      <c r="FL79" s="10" cm="1">
        <f t="array" aca="1" ref="FL79" ca="1">(1-$B$18)*SUMPRODUCT(OFFSET($BO$15,0,0,$B$14,1), 1*(_xlfn._xlws.FILTER(OFFSET($O$15,0,$DN79,$B$8,1),OFFSET($M$15,0,0,$B$8,1))=FL$13), 1*(_xlfn._xlws.FILTER(OFFSET($O$15,0,$DO79,$B$8,1),OFFSET($M$15,0,0,$B$8,1))=FL$14))   /   SUM(OFFSET($BO$15,0,0,$B$14,1)) + $B$18/($B$19*$B$19*($DN79&lt;&gt;$DO79) + $B$19*($DN79=$DO79))</f>
        <v>3.7037037037037035E-4</v>
      </c>
      <c r="FM79" s="10" cm="1">
        <f t="array" aca="1" ref="FM79" ca="1">(1-$B$18)*SUMPRODUCT(OFFSET($BO$15,0,0,$B$14,1), 1*(_xlfn._xlws.FILTER(OFFSET($O$15,0,$DN79,$B$8,1),OFFSET($M$15,0,0,$B$8,1))=FM$13), 1*(_xlfn._xlws.FILTER(OFFSET($O$15,0,$DO79,$B$8,1),OFFSET($M$15,0,0,$B$8,1))=FM$14))   /   SUM(OFFSET($BO$15,0,0,$B$14,1)) + $B$18/($B$19*$B$19*($DN79&lt;&gt;$DO79) + $B$19*($DN79=$DO79))</f>
        <v>3.7037037037037035E-4</v>
      </c>
      <c r="FN79" s="10" cm="1">
        <f t="array" aca="1" ref="FN79" ca="1">(1-$B$18)*SUMPRODUCT(OFFSET($BO$15,0,0,$B$14,1), 1*(_xlfn._xlws.FILTER(OFFSET($O$15,0,$DN79,$B$8,1),OFFSET($M$15,0,0,$B$8,1))=FN$13), 1*(_xlfn._xlws.FILTER(OFFSET($O$15,0,$DO79,$B$8,1),OFFSET($M$15,0,0,$B$8,1))=FN$14))   /   SUM(OFFSET($BO$15,0,0,$B$14,1)) + $B$18/($B$19*$B$19*($DN79&lt;&gt;$DO79) + $B$19*($DN79=$DO79))</f>
        <v>3.7037037037037035E-4</v>
      </c>
      <c r="FO79" s="10" cm="1">
        <f t="array" aca="1" ref="FO79" ca="1">(1-$B$18)*SUMPRODUCT(OFFSET($BO$15,0,0,$B$14,1), 1*(_xlfn._xlws.FILTER(OFFSET($O$15,0,$DN79,$B$8,1),OFFSET($M$15,0,0,$B$8,1))=FO$13), 1*(_xlfn._xlws.FILTER(OFFSET($O$15,0,$DO79,$B$8,1),OFFSET($M$15,0,0,$B$8,1))=FO$14))   /   SUM(OFFSET($BO$15,0,0,$B$14,1)) + $B$18/($B$19*$B$19*($DN79&lt;&gt;$DO79) + $B$19*($DN79=$DO79))</f>
        <v>3.7037037037037035E-4</v>
      </c>
      <c r="FP79" s="10" cm="1">
        <f t="array" aca="1" ref="FP79" ca="1">(1-$B$18)*SUMPRODUCT(OFFSET($BO$15,0,0,$B$14,1), 1*(_xlfn._xlws.FILTER(OFFSET($O$15,0,$DN79,$B$8,1),OFFSET($M$15,0,0,$B$8,1))=FP$13), 1*(_xlfn._xlws.FILTER(OFFSET($O$15,0,$DO79,$B$8,1),OFFSET($M$15,0,0,$B$8,1))=FP$14))   /   SUM(OFFSET($BO$15,0,0,$B$14,1)) + $B$18/($B$19*$B$19*($DN79&lt;&gt;$DO79) + $B$19*($DN79=$DO79))</f>
        <v>3.7037037037037035E-4</v>
      </c>
      <c r="FQ79" s="10" cm="1">
        <f t="array" aca="1" ref="FQ79" ca="1">(1-$B$18)*SUMPRODUCT(OFFSET($BO$15,0,0,$B$14,1), 1*(_xlfn._xlws.FILTER(OFFSET($O$15,0,$DN79,$B$8,1),OFFSET($M$15,0,0,$B$8,1))=FQ$13), 1*(_xlfn._xlws.FILTER(OFFSET($O$15,0,$DO79,$B$8,1),OFFSET($M$15,0,0,$B$8,1))=FQ$14))   /   SUM(OFFSET($BO$15,0,0,$B$14,1)) + $B$18/($B$19*$B$19*($DN79&lt;&gt;$DO79) + $B$19*($DN79=$DO79))</f>
        <v>3.7037037037037035E-4</v>
      </c>
      <c r="FR79" s="10" cm="1">
        <f t="array" aca="1" ref="FR79" ca="1">(1-$B$18)*SUMPRODUCT(OFFSET($BO$15,0,0,$B$14,1), 1*(_xlfn._xlws.FILTER(OFFSET($O$15,0,$DN79,$B$8,1),OFFSET($M$15,0,0,$B$8,1))=FR$13), 1*(_xlfn._xlws.FILTER(OFFSET($O$15,0,$DO79,$B$8,1),OFFSET($M$15,0,0,$B$8,1))=FR$14))   /   SUM(OFFSET($BO$15,0,0,$B$14,1)) + $B$18/($B$19*$B$19*($DN79&lt;&gt;$DO79) + $B$19*($DN79=$DO79))</f>
        <v>0.97037037037037033</v>
      </c>
      <c r="FS79" s="10" cm="1">
        <f t="array" aca="1" ref="FS79" ca="1">(1-$B$18)*SUMPRODUCT(OFFSET($BO$15,0,0,$B$14,1), 1*(_xlfn._xlws.FILTER(OFFSET($O$15,0,$DN79,$B$8,1),OFFSET($M$15,0,0,$B$8,1))=FS$13), 1*(_xlfn._xlws.FILTER(OFFSET($O$15,0,$DO79,$B$8,1),OFFSET($M$15,0,0,$B$8,1))=FS$14))   /   SUM(OFFSET($BO$15,0,0,$B$14,1)) + $B$18/($B$19*$B$19*($DN79&lt;&gt;$DO79) + $B$19*($DN79=$DO79))</f>
        <v>3.7037037037037035E-4</v>
      </c>
      <c r="FT79" s="10" cm="1">
        <f t="array" aca="1" ref="FT79" ca="1">(1-$B$18)*SUMPRODUCT(OFFSET($BO$15,0,0,$B$14,1), 1*(_xlfn._xlws.FILTER(OFFSET($O$15,0,$DN79,$B$8,1),OFFSET($M$15,0,0,$B$8,1))=FT$13), 1*(_xlfn._xlws.FILTER(OFFSET($O$15,0,$DO79,$B$8,1),OFFSET($M$15,0,0,$B$8,1))=FT$14))   /   SUM(OFFSET($BO$15,0,0,$B$14,1)) + $B$18/($B$19*$B$19*($DN79&lt;&gt;$DO79) + $B$19*($DN79=$DO79))</f>
        <v>3.7037037037037035E-4</v>
      </c>
      <c r="FU79" s="10" cm="1">
        <f t="array" aca="1" ref="FU79" ca="1">(1-$B$18)*SUMPRODUCT(OFFSET($BO$15,0,0,$B$14,1), 1*(_xlfn._xlws.FILTER(OFFSET($O$15,0,$DN79,$B$8,1),OFFSET($M$15,0,0,$B$8,1))=FU$13), 1*(_xlfn._xlws.FILTER(OFFSET($O$15,0,$DO79,$B$8,1),OFFSET($M$15,0,0,$B$8,1))=FU$14))   /   SUM(OFFSET($BO$15,0,0,$B$14,1)) + $B$18/($B$19*$B$19*($DN79&lt;&gt;$DO79) + $B$19*($DN79=$DO79))</f>
        <v>3.7037037037037035E-4</v>
      </c>
      <c r="FV79" s="10" cm="1">
        <f t="array" aca="1" ref="FV79" ca="1">(1-$B$18)*SUMPRODUCT(OFFSET($BO$15,0,0,$B$14,1), 1*(_xlfn._xlws.FILTER(OFFSET($O$15,0,$DN79,$B$8,1),OFFSET($M$15,0,0,$B$8,1))=FV$13), 1*(_xlfn._xlws.FILTER(OFFSET($O$15,0,$DO79,$B$8,1),OFFSET($M$15,0,0,$B$8,1))=FV$14))   /   SUM(OFFSET($BO$15,0,0,$B$14,1)) + $B$18/($B$19*$B$19*($DN79&lt;&gt;$DO79) + $B$19*($DN79=$DO79))</f>
        <v>3.7037037037037035E-4</v>
      </c>
      <c r="FW79" s="10" cm="1">
        <f t="array" aca="1" ref="FW79" ca="1">(1-$B$18)*SUMPRODUCT(OFFSET($BO$15,0,0,$B$14,1), 1*(_xlfn._xlws.FILTER(OFFSET($O$15,0,$DN79,$B$8,1),OFFSET($M$15,0,0,$B$8,1))=FW$13), 1*(_xlfn._xlws.FILTER(OFFSET($O$15,0,$DO79,$B$8,1),OFFSET($M$15,0,0,$B$8,1))=FW$14))   /   SUM(OFFSET($BO$15,0,0,$B$14,1)) + $B$18/($B$19*$B$19*($DN79&lt;&gt;$DO79) + $B$19*($DN79=$DO79))</f>
        <v>3.7037037037037035E-4</v>
      </c>
      <c r="FX79" s="10" cm="1">
        <f t="array" aca="1" ref="FX79" ca="1">(1-$B$18)*SUMPRODUCT(OFFSET($BO$15,0,0,$B$14,1), 1*(_xlfn._xlws.FILTER(OFFSET($O$15,0,$DN79,$B$8,1),OFFSET($M$15,0,0,$B$8,1))=FX$13), 1*(_xlfn._xlws.FILTER(OFFSET($O$15,0,$DO79,$B$8,1),OFFSET($M$15,0,0,$B$8,1))=FX$14))   /   SUM(OFFSET($BO$15,0,0,$B$14,1)) + $B$18/($B$19*$B$19*($DN79&lt;&gt;$DO79) + $B$19*($DN79=$DO79))</f>
        <v>3.7037037037037035E-4</v>
      </c>
      <c r="FY79" s="10" cm="1">
        <f t="array" aca="1" ref="FY79" ca="1">(1-$B$18)*SUMPRODUCT(OFFSET($BO$15,0,0,$B$14,1), 1*(_xlfn._xlws.FILTER(OFFSET($O$15,0,$DN79,$B$8,1),OFFSET($M$15,0,0,$B$8,1))=FY$13), 1*(_xlfn._xlws.FILTER(OFFSET($O$15,0,$DO79,$B$8,1),OFFSET($M$15,0,0,$B$8,1))=FY$14))   /   SUM(OFFSET($BO$15,0,0,$B$14,1)) + $B$18/($B$19*$B$19*($DN79&lt;&gt;$DO79) + $B$19*($DN79=$DO79))</f>
        <v>3.7037037037037035E-4</v>
      </c>
      <c r="FZ79" s="10" cm="1">
        <f t="array" aca="1" ref="FZ79" ca="1">(1-$B$18)*SUMPRODUCT(OFFSET($BO$15,0,0,$B$14,1), 1*(_xlfn._xlws.FILTER(OFFSET($O$15,0,$DN79,$B$8,1),OFFSET($M$15,0,0,$B$8,1))=FZ$13), 1*(_xlfn._xlws.FILTER(OFFSET($O$15,0,$DO79,$B$8,1),OFFSET($M$15,0,0,$B$8,1))=FZ$14))   /   SUM(OFFSET($BO$15,0,0,$B$14,1)) + $B$18/($B$19*$B$19*($DN79&lt;&gt;$DO79) + $B$19*($DN79=$DO79))</f>
        <v>3.7037037037037035E-4</v>
      </c>
      <c r="GA79" s="10" cm="1">
        <f t="array" aca="1" ref="GA79" ca="1">(1-$B$18)*SUMPRODUCT(OFFSET($BO$15,0,0,$B$14,1), 1*(_xlfn._xlws.FILTER(OFFSET($O$15,0,$DN79,$B$8,1),OFFSET($M$15,0,0,$B$8,1))=GA$13), 1*(_xlfn._xlws.FILTER(OFFSET($O$15,0,$DO79,$B$8,1),OFFSET($M$15,0,0,$B$8,1))=GA$14))   /   SUM(OFFSET($BO$15,0,0,$B$14,1)) + $B$18/($B$19*$B$19*($DN79&lt;&gt;$DO79) + $B$19*($DN79=$DO79))</f>
        <v>3.7037037037037035E-4</v>
      </c>
    </row>
    <row r="80" spans="7:183" x14ac:dyDescent="0.2">
      <c r="G80" s="2"/>
      <c r="H80" s="2"/>
      <c r="DN80" cm="1">
        <f t="array" aca="1" ref="DN80" ca="1">INDEX(_xlfn.ANCHORARRAY($CP$15), 1 + INT((ROWS($DO$15:$DO80) - 1) / ROWS(_xlfn.ANCHORARRAY($CP$15))))</f>
        <v>3</v>
      </c>
      <c r="DO80" cm="1">
        <f t="array" aca="1" ref="DO80" ca="1">INDEX(_xlfn.ANCHORARRAY($CP$15),1+MOD(ROWS($DO$15:$DO80)-1,ROWS(_xlfn.ANCHORARRAY($CP$15))))</f>
        <v>8</v>
      </c>
      <c r="DP80" s="10" cm="1">
        <f t="array" aca="1" ref="DP80" ca="1">(1-$B$18)*SUMPRODUCT(OFFSET($BO$15,0,0,$B$14,1), 1*(_xlfn._xlws.FILTER(OFFSET($O$15,0,$DN80,$B$8,1),OFFSET($M$15,0,0,$B$8,1))=DP$13), 1*(_xlfn._xlws.FILTER(OFFSET($O$15,0,$DO80,$B$8,1),OFFSET($M$15,0,0,$B$8,1))=DP$14))   /   SUM(OFFSET($BO$15,0,0,$B$14,1)) + $B$18/($B$19*$B$19*($DN80&lt;&gt;$DO80) + $B$19*($DN80=$DO80))</f>
        <v>3.7037037037037035E-4</v>
      </c>
      <c r="DQ80" s="10" cm="1">
        <f t="array" aca="1" ref="DQ80" ca="1">(1-$B$18)*SUMPRODUCT(OFFSET($BO$15,0,0,$B$14,1), 1*(_xlfn._xlws.FILTER(OFFSET($O$15,0,$DN80,$B$8,1),OFFSET($M$15,0,0,$B$8,1))=DQ$13), 1*(_xlfn._xlws.FILTER(OFFSET($O$15,0,$DO80,$B$8,1),OFFSET($M$15,0,0,$B$8,1))=DQ$14))   /   SUM(OFFSET($BO$15,0,0,$B$14,1)) + $B$18/($B$19*$B$19*($DN80&lt;&gt;$DO80) + $B$19*($DN80=$DO80))</f>
        <v>3.7037037037037035E-4</v>
      </c>
      <c r="DR80" s="10" cm="1">
        <f t="array" aca="1" ref="DR80" ca="1">(1-$B$18)*SUMPRODUCT(OFFSET($BO$15,0,0,$B$14,1), 1*(_xlfn._xlws.FILTER(OFFSET($O$15,0,$DN80,$B$8,1),OFFSET($M$15,0,0,$B$8,1))=DR$13), 1*(_xlfn._xlws.FILTER(OFFSET($O$15,0,$DO80,$B$8,1),OFFSET($M$15,0,0,$B$8,1))=DR$14))   /   SUM(OFFSET($BO$15,0,0,$B$14,1)) + $B$18/($B$19*$B$19*($DN80&lt;&gt;$DO80) + $B$19*($DN80=$DO80))</f>
        <v>3.7037037037037035E-4</v>
      </c>
      <c r="DS80" s="10" cm="1">
        <f t="array" aca="1" ref="DS80" ca="1">(1-$B$18)*SUMPRODUCT(OFFSET($BO$15,0,0,$B$14,1), 1*(_xlfn._xlws.FILTER(OFFSET($O$15,0,$DN80,$B$8,1),OFFSET($M$15,0,0,$B$8,1))=DS$13), 1*(_xlfn._xlws.FILTER(OFFSET($O$15,0,$DO80,$B$8,1),OFFSET($M$15,0,0,$B$8,1))=DS$14))   /   SUM(OFFSET($BO$15,0,0,$B$14,1)) + $B$18/($B$19*$B$19*($DN80&lt;&gt;$DO80) + $B$19*($DN80=$DO80))</f>
        <v>3.7037037037037035E-4</v>
      </c>
      <c r="DT80" s="10" cm="1">
        <f t="array" aca="1" ref="DT80" ca="1">(1-$B$18)*SUMPRODUCT(OFFSET($BO$15,0,0,$B$14,1), 1*(_xlfn._xlws.FILTER(OFFSET($O$15,0,$DN80,$B$8,1),OFFSET($M$15,0,0,$B$8,1))=DT$13), 1*(_xlfn._xlws.FILTER(OFFSET($O$15,0,$DO80,$B$8,1),OFFSET($M$15,0,0,$B$8,1))=DT$14))   /   SUM(OFFSET($BO$15,0,0,$B$14,1)) + $B$18/($B$19*$B$19*($DN80&lt;&gt;$DO80) + $B$19*($DN80=$DO80))</f>
        <v>3.7037037037037035E-4</v>
      </c>
      <c r="DU80" s="10" cm="1">
        <f t="array" aca="1" ref="DU80" ca="1">(1-$B$18)*SUMPRODUCT(OFFSET($BO$15,0,0,$B$14,1), 1*(_xlfn._xlws.FILTER(OFFSET($O$15,0,$DN80,$B$8,1),OFFSET($M$15,0,0,$B$8,1))=DU$13), 1*(_xlfn._xlws.FILTER(OFFSET($O$15,0,$DO80,$B$8,1),OFFSET($M$15,0,0,$B$8,1))=DU$14))   /   SUM(OFFSET($BO$15,0,0,$B$14,1)) + $B$18/($B$19*$B$19*($DN80&lt;&gt;$DO80) + $B$19*($DN80=$DO80))</f>
        <v>3.7037037037037035E-4</v>
      </c>
      <c r="DV80" s="10" cm="1">
        <f t="array" aca="1" ref="DV80" ca="1">(1-$B$18)*SUMPRODUCT(OFFSET($BO$15,0,0,$B$14,1), 1*(_xlfn._xlws.FILTER(OFFSET($O$15,0,$DN80,$B$8,1),OFFSET($M$15,0,0,$B$8,1))=DV$13), 1*(_xlfn._xlws.FILTER(OFFSET($O$15,0,$DO80,$B$8,1),OFFSET($M$15,0,0,$B$8,1))=DV$14))   /   SUM(OFFSET($BO$15,0,0,$B$14,1)) + $B$18/($B$19*$B$19*($DN80&lt;&gt;$DO80) + $B$19*($DN80=$DO80))</f>
        <v>3.7037037037037035E-4</v>
      </c>
      <c r="DW80" s="10" cm="1">
        <f t="array" aca="1" ref="DW80" ca="1">(1-$B$18)*SUMPRODUCT(OFFSET($BO$15,0,0,$B$14,1), 1*(_xlfn._xlws.FILTER(OFFSET($O$15,0,$DN80,$B$8,1),OFFSET($M$15,0,0,$B$8,1))=DW$13), 1*(_xlfn._xlws.FILTER(OFFSET($O$15,0,$DO80,$B$8,1),OFFSET($M$15,0,0,$B$8,1))=DW$14))   /   SUM(OFFSET($BO$15,0,0,$B$14,1)) + $B$18/($B$19*$B$19*($DN80&lt;&gt;$DO80) + $B$19*($DN80=$DO80))</f>
        <v>3.7037037037037035E-4</v>
      </c>
      <c r="DX80" s="10" cm="1">
        <f t="array" aca="1" ref="DX80" ca="1">(1-$B$18)*SUMPRODUCT(OFFSET($BO$15,0,0,$B$14,1), 1*(_xlfn._xlws.FILTER(OFFSET($O$15,0,$DN80,$B$8,1),OFFSET($M$15,0,0,$B$8,1))=DX$13), 1*(_xlfn._xlws.FILTER(OFFSET($O$15,0,$DO80,$B$8,1),OFFSET($M$15,0,0,$B$8,1))=DX$14))   /   SUM(OFFSET($BO$15,0,0,$B$14,1)) + $B$18/($B$19*$B$19*($DN80&lt;&gt;$DO80) + $B$19*($DN80=$DO80))</f>
        <v>3.7037037037037035E-4</v>
      </c>
      <c r="DY80" s="10" cm="1">
        <f t="array" aca="1" ref="DY80" ca="1">(1-$B$18)*SUMPRODUCT(OFFSET($BO$15,0,0,$B$14,1), 1*(_xlfn._xlws.FILTER(OFFSET($O$15,0,$DN80,$B$8,1),OFFSET($M$15,0,0,$B$8,1))=DY$13), 1*(_xlfn._xlws.FILTER(OFFSET($O$15,0,$DO80,$B$8,1),OFFSET($M$15,0,0,$B$8,1))=DY$14))   /   SUM(OFFSET($BO$15,0,0,$B$14,1)) + $B$18/($B$19*$B$19*($DN80&lt;&gt;$DO80) + $B$19*($DN80=$DO80))</f>
        <v>3.7037037037037035E-4</v>
      </c>
      <c r="DZ80" s="10" cm="1">
        <f t="array" aca="1" ref="DZ80" ca="1">(1-$B$18)*SUMPRODUCT(OFFSET($BO$15,0,0,$B$14,1), 1*(_xlfn._xlws.FILTER(OFFSET($O$15,0,$DN80,$B$8,1),OFFSET($M$15,0,0,$B$8,1))=DZ$13), 1*(_xlfn._xlws.FILTER(OFFSET($O$15,0,$DO80,$B$8,1),OFFSET($M$15,0,0,$B$8,1))=DZ$14))   /   SUM(OFFSET($BO$15,0,0,$B$14,1)) + $B$18/($B$19*$B$19*($DN80&lt;&gt;$DO80) + $B$19*($DN80=$DO80))</f>
        <v>3.7037037037037035E-4</v>
      </c>
      <c r="EA80" s="10" cm="1">
        <f t="array" aca="1" ref="EA80" ca="1">(1-$B$18)*SUMPRODUCT(OFFSET($BO$15,0,0,$B$14,1), 1*(_xlfn._xlws.FILTER(OFFSET($O$15,0,$DN80,$B$8,1),OFFSET($M$15,0,0,$B$8,1))=EA$13), 1*(_xlfn._xlws.FILTER(OFFSET($O$15,0,$DO80,$B$8,1),OFFSET($M$15,0,0,$B$8,1))=EA$14))   /   SUM(OFFSET($BO$15,0,0,$B$14,1)) + $B$18/($B$19*$B$19*($DN80&lt;&gt;$DO80) + $B$19*($DN80=$DO80))</f>
        <v>3.7037037037037035E-4</v>
      </c>
      <c r="EB80" s="10" cm="1">
        <f t="array" aca="1" ref="EB80" ca="1">(1-$B$18)*SUMPRODUCT(OFFSET($BO$15,0,0,$B$14,1), 1*(_xlfn._xlws.FILTER(OFFSET($O$15,0,$DN80,$B$8,1),OFFSET($M$15,0,0,$B$8,1))=EB$13), 1*(_xlfn._xlws.FILTER(OFFSET($O$15,0,$DO80,$B$8,1),OFFSET($M$15,0,0,$B$8,1))=EB$14))   /   SUM(OFFSET($BO$15,0,0,$B$14,1)) + $B$18/($B$19*$B$19*($DN80&lt;&gt;$DO80) + $B$19*($DN80=$DO80))</f>
        <v>3.7037037037037035E-4</v>
      </c>
      <c r="EC80" s="10" cm="1">
        <f t="array" aca="1" ref="EC80" ca="1">(1-$B$18)*SUMPRODUCT(OFFSET($BO$15,0,0,$B$14,1), 1*(_xlfn._xlws.FILTER(OFFSET($O$15,0,$DN80,$B$8,1),OFFSET($M$15,0,0,$B$8,1))=EC$13), 1*(_xlfn._xlws.FILTER(OFFSET($O$15,0,$DO80,$B$8,1),OFFSET($M$15,0,0,$B$8,1))=EC$14))   /   SUM(OFFSET($BO$15,0,0,$B$14,1)) + $B$18/($B$19*$B$19*($DN80&lt;&gt;$DO80) + $B$19*($DN80=$DO80))</f>
        <v>3.7037037037037035E-4</v>
      </c>
      <c r="ED80" s="10" cm="1">
        <f t="array" aca="1" ref="ED80" ca="1">(1-$B$18)*SUMPRODUCT(OFFSET($BO$15,0,0,$B$14,1), 1*(_xlfn._xlws.FILTER(OFFSET($O$15,0,$DN80,$B$8,1),OFFSET($M$15,0,0,$B$8,1))=ED$13), 1*(_xlfn._xlws.FILTER(OFFSET($O$15,0,$DO80,$B$8,1),OFFSET($M$15,0,0,$B$8,1))=ED$14))   /   SUM(OFFSET($BO$15,0,0,$B$14,1)) + $B$18/($B$19*$B$19*($DN80&lt;&gt;$DO80) + $B$19*($DN80=$DO80))</f>
        <v>3.7037037037037035E-4</v>
      </c>
      <c r="EE80" s="10" cm="1">
        <f t="array" aca="1" ref="EE80" ca="1">(1-$B$18)*SUMPRODUCT(OFFSET($BO$15,0,0,$B$14,1), 1*(_xlfn._xlws.FILTER(OFFSET($O$15,0,$DN80,$B$8,1),OFFSET($M$15,0,0,$B$8,1))=EE$13), 1*(_xlfn._xlws.FILTER(OFFSET($O$15,0,$DO80,$B$8,1),OFFSET($M$15,0,0,$B$8,1))=EE$14))   /   SUM(OFFSET($BO$15,0,0,$B$14,1)) + $B$18/($B$19*$B$19*($DN80&lt;&gt;$DO80) + $B$19*($DN80=$DO80))</f>
        <v>3.7037037037037035E-4</v>
      </c>
      <c r="EF80" s="10" cm="1">
        <f t="array" aca="1" ref="EF80" ca="1">(1-$B$18)*SUMPRODUCT(OFFSET($BO$15,0,0,$B$14,1), 1*(_xlfn._xlws.FILTER(OFFSET($O$15,0,$DN80,$B$8,1),OFFSET($M$15,0,0,$B$8,1))=EF$13), 1*(_xlfn._xlws.FILTER(OFFSET($O$15,0,$DO80,$B$8,1),OFFSET($M$15,0,0,$B$8,1))=EF$14))   /   SUM(OFFSET($BO$15,0,0,$B$14,1)) + $B$18/($B$19*$B$19*($DN80&lt;&gt;$DO80) + $B$19*($DN80=$DO80))</f>
        <v>3.7037037037037035E-4</v>
      </c>
      <c r="EG80" s="10" cm="1">
        <f t="array" aca="1" ref="EG80" ca="1">(1-$B$18)*SUMPRODUCT(OFFSET($BO$15,0,0,$B$14,1), 1*(_xlfn._xlws.FILTER(OFFSET($O$15,0,$DN80,$B$8,1),OFFSET($M$15,0,0,$B$8,1))=EG$13), 1*(_xlfn._xlws.FILTER(OFFSET($O$15,0,$DO80,$B$8,1),OFFSET($M$15,0,0,$B$8,1))=EG$14))   /   SUM(OFFSET($BO$15,0,0,$B$14,1)) + $B$18/($B$19*$B$19*($DN80&lt;&gt;$DO80) + $B$19*($DN80=$DO80))</f>
        <v>3.7037037037037035E-4</v>
      </c>
      <c r="EH80" s="10" cm="1">
        <f t="array" aca="1" ref="EH80" ca="1">(1-$B$18)*SUMPRODUCT(OFFSET($BO$15,0,0,$B$14,1), 1*(_xlfn._xlws.FILTER(OFFSET($O$15,0,$DN80,$B$8,1),OFFSET($M$15,0,0,$B$8,1))=EH$13), 1*(_xlfn._xlws.FILTER(OFFSET($O$15,0,$DO80,$B$8,1),OFFSET($M$15,0,0,$B$8,1))=EH$14))   /   SUM(OFFSET($BO$15,0,0,$B$14,1)) + $B$18/($B$19*$B$19*($DN80&lt;&gt;$DO80) + $B$19*($DN80=$DO80))</f>
        <v>3.7037037037037035E-4</v>
      </c>
      <c r="EI80" s="10" cm="1">
        <f t="array" aca="1" ref="EI80" ca="1">(1-$B$18)*SUMPRODUCT(OFFSET($BO$15,0,0,$B$14,1), 1*(_xlfn._xlws.FILTER(OFFSET($O$15,0,$DN80,$B$8,1),OFFSET($M$15,0,0,$B$8,1))=EI$13), 1*(_xlfn._xlws.FILTER(OFFSET($O$15,0,$DO80,$B$8,1),OFFSET($M$15,0,0,$B$8,1))=EI$14))   /   SUM(OFFSET($BO$15,0,0,$B$14,1)) + $B$18/($B$19*$B$19*($DN80&lt;&gt;$DO80) + $B$19*($DN80=$DO80))</f>
        <v>3.7037037037037035E-4</v>
      </c>
      <c r="EJ80" s="10" cm="1">
        <f t="array" aca="1" ref="EJ80" ca="1">(1-$B$18)*SUMPRODUCT(OFFSET($BO$15,0,0,$B$14,1), 1*(_xlfn._xlws.FILTER(OFFSET($O$15,0,$DN80,$B$8,1),OFFSET($M$15,0,0,$B$8,1))=EJ$13), 1*(_xlfn._xlws.FILTER(OFFSET($O$15,0,$DO80,$B$8,1),OFFSET($M$15,0,0,$B$8,1))=EJ$14))   /   SUM(OFFSET($BO$15,0,0,$B$14,1)) + $B$18/($B$19*$B$19*($DN80&lt;&gt;$DO80) + $B$19*($DN80=$DO80))</f>
        <v>3.7037037037037035E-4</v>
      </c>
      <c r="EK80" s="10" cm="1">
        <f t="array" aca="1" ref="EK80" ca="1">(1-$B$18)*SUMPRODUCT(OFFSET($BO$15,0,0,$B$14,1), 1*(_xlfn._xlws.FILTER(OFFSET($O$15,0,$DN80,$B$8,1),OFFSET($M$15,0,0,$B$8,1))=EK$13), 1*(_xlfn._xlws.FILTER(OFFSET($O$15,0,$DO80,$B$8,1),OFFSET($M$15,0,0,$B$8,1))=EK$14))   /   SUM(OFFSET($BO$15,0,0,$B$14,1)) + $B$18/($B$19*$B$19*($DN80&lt;&gt;$DO80) + $B$19*($DN80=$DO80))</f>
        <v>3.7037037037037035E-4</v>
      </c>
      <c r="EL80" s="10" cm="1">
        <f t="array" aca="1" ref="EL80" ca="1">(1-$B$18)*SUMPRODUCT(OFFSET($BO$15,0,0,$B$14,1), 1*(_xlfn._xlws.FILTER(OFFSET($O$15,0,$DN80,$B$8,1),OFFSET($M$15,0,0,$B$8,1))=EL$13), 1*(_xlfn._xlws.FILTER(OFFSET($O$15,0,$DO80,$B$8,1),OFFSET($M$15,0,0,$B$8,1))=EL$14))   /   SUM(OFFSET($BO$15,0,0,$B$14,1)) + $B$18/($B$19*$B$19*($DN80&lt;&gt;$DO80) + $B$19*($DN80=$DO80))</f>
        <v>3.7037037037037035E-4</v>
      </c>
      <c r="EM80" s="10" cm="1">
        <f t="array" aca="1" ref="EM80" ca="1">(1-$B$18)*SUMPRODUCT(OFFSET($BO$15,0,0,$B$14,1), 1*(_xlfn._xlws.FILTER(OFFSET($O$15,0,$DN80,$B$8,1),OFFSET($M$15,0,0,$B$8,1))=EM$13), 1*(_xlfn._xlws.FILTER(OFFSET($O$15,0,$DO80,$B$8,1),OFFSET($M$15,0,0,$B$8,1))=EM$14))   /   SUM(OFFSET($BO$15,0,0,$B$14,1)) + $B$18/($B$19*$B$19*($DN80&lt;&gt;$DO80) + $B$19*($DN80=$DO80))</f>
        <v>3.7037037037037035E-4</v>
      </c>
      <c r="EN80" s="10" cm="1">
        <f t="array" aca="1" ref="EN80" ca="1">(1-$B$18)*SUMPRODUCT(OFFSET($BO$15,0,0,$B$14,1), 1*(_xlfn._xlws.FILTER(OFFSET($O$15,0,$DN80,$B$8,1),OFFSET($M$15,0,0,$B$8,1))=EN$13), 1*(_xlfn._xlws.FILTER(OFFSET($O$15,0,$DO80,$B$8,1),OFFSET($M$15,0,0,$B$8,1))=EN$14))   /   SUM(OFFSET($BO$15,0,0,$B$14,1)) + $B$18/($B$19*$B$19*($DN80&lt;&gt;$DO80) + $B$19*($DN80=$DO80))</f>
        <v>3.7037037037037035E-4</v>
      </c>
      <c r="EO80" s="10" cm="1">
        <f t="array" aca="1" ref="EO80" ca="1">(1-$B$18)*SUMPRODUCT(OFFSET($BO$15,0,0,$B$14,1), 1*(_xlfn._xlws.FILTER(OFFSET($O$15,0,$DN80,$B$8,1),OFFSET($M$15,0,0,$B$8,1))=EO$13), 1*(_xlfn._xlws.FILTER(OFFSET($O$15,0,$DO80,$B$8,1),OFFSET($M$15,0,0,$B$8,1))=EO$14))   /   SUM(OFFSET($BO$15,0,0,$B$14,1)) + $B$18/($B$19*$B$19*($DN80&lt;&gt;$DO80) + $B$19*($DN80=$DO80))</f>
        <v>3.7037037037037035E-4</v>
      </c>
      <c r="EP80" s="10" cm="1">
        <f t="array" aca="1" ref="EP80" ca="1">(1-$B$18)*SUMPRODUCT(OFFSET($BO$15,0,0,$B$14,1), 1*(_xlfn._xlws.FILTER(OFFSET($O$15,0,$DN80,$B$8,1),OFFSET($M$15,0,0,$B$8,1))=EP$13), 1*(_xlfn._xlws.FILTER(OFFSET($O$15,0,$DO80,$B$8,1),OFFSET($M$15,0,0,$B$8,1))=EP$14))   /   SUM(OFFSET($BO$15,0,0,$B$14,1)) + $B$18/($B$19*$B$19*($DN80&lt;&gt;$DO80) + $B$19*($DN80=$DO80))</f>
        <v>3.7037037037037035E-4</v>
      </c>
      <c r="EQ80" s="10" cm="1">
        <f t="array" aca="1" ref="EQ80" ca="1">(1-$B$18)*SUMPRODUCT(OFFSET($BO$15,0,0,$B$14,1), 1*(_xlfn._xlws.FILTER(OFFSET($O$15,0,$DN80,$B$8,1),OFFSET($M$15,0,0,$B$8,1))=EQ$13), 1*(_xlfn._xlws.FILTER(OFFSET($O$15,0,$DO80,$B$8,1),OFFSET($M$15,0,0,$B$8,1))=EQ$14))   /   SUM(OFFSET($BO$15,0,0,$B$14,1)) + $B$18/($B$19*$B$19*($DN80&lt;&gt;$DO80) + $B$19*($DN80=$DO80))</f>
        <v>3.7037037037037035E-4</v>
      </c>
      <c r="ER80" s="10" cm="1">
        <f t="array" aca="1" ref="ER80" ca="1">(1-$B$18)*SUMPRODUCT(OFFSET($BO$15,0,0,$B$14,1), 1*(_xlfn._xlws.FILTER(OFFSET($O$15,0,$DN80,$B$8,1),OFFSET($M$15,0,0,$B$8,1))=ER$13), 1*(_xlfn._xlws.FILTER(OFFSET($O$15,0,$DO80,$B$8,1),OFFSET($M$15,0,0,$B$8,1))=ER$14))   /   SUM(OFFSET($BO$15,0,0,$B$14,1)) + $B$18/($B$19*$B$19*($DN80&lt;&gt;$DO80) + $B$19*($DN80=$DO80))</f>
        <v>3.7037037037037035E-4</v>
      </c>
      <c r="ES80" s="10" cm="1">
        <f t="array" aca="1" ref="ES80" ca="1">(1-$B$18)*SUMPRODUCT(OFFSET($BO$15,0,0,$B$14,1), 1*(_xlfn._xlws.FILTER(OFFSET($O$15,0,$DN80,$B$8,1),OFFSET($M$15,0,0,$B$8,1))=ES$13), 1*(_xlfn._xlws.FILTER(OFFSET($O$15,0,$DO80,$B$8,1),OFFSET($M$15,0,0,$B$8,1))=ES$14))   /   SUM(OFFSET($BO$15,0,0,$B$14,1)) + $B$18/($B$19*$B$19*($DN80&lt;&gt;$DO80) + $B$19*($DN80=$DO80))</f>
        <v>3.7037037037037035E-4</v>
      </c>
      <c r="ET80" s="10" cm="1">
        <f t="array" aca="1" ref="ET80" ca="1">(1-$B$18)*SUMPRODUCT(OFFSET($BO$15,0,0,$B$14,1), 1*(_xlfn._xlws.FILTER(OFFSET($O$15,0,$DN80,$B$8,1),OFFSET($M$15,0,0,$B$8,1))=ET$13), 1*(_xlfn._xlws.FILTER(OFFSET($O$15,0,$DO80,$B$8,1),OFFSET($M$15,0,0,$B$8,1))=ET$14))   /   SUM(OFFSET($BO$15,0,0,$B$14,1)) + $B$18/($B$19*$B$19*($DN80&lt;&gt;$DO80) + $B$19*($DN80=$DO80))</f>
        <v>3.7037037037037035E-4</v>
      </c>
      <c r="EU80" s="10" cm="1">
        <f t="array" aca="1" ref="EU80" ca="1">(1-$B$18)*SUMPRODUCT(OFFSET($BO$15,0,0,$B$14,1), 1*(_xlfn._xlws.FILTER(OFFSET($O$15,0,$DN80,$B$8,1),OFFSET($M$15,0,0,$B$8,1))=EU$13), 1*(_xlfn._xlws.FILTER(OFFSET($O$15,0,$DO80,$B$8,1),OFFSET($M$15,0,0,$B$8,1))=EU$14))   /   SUM(OFFSET($BO$15,0,0,$B$14,1)) + $B$18/($B$19*$B$19*($DN80&lt;&gt;$DO80) + $B$19*($DN80=$DO80))</f>
        <v>3.7037037037037035E-4</v>
      </c>
      <c r="EV80" s="10" cm="1">
        <f t="array" aca="1" ref="EV80" ca="1">(1-$B$18)*SUMPRODUCT(OFFSET($BO$15,0,0,$B$14,1), 1*(_xlfn._xlws.FILTER(OFFSET($O$15,0,$DN80,$B$8,1),OFFSET($M$15,0,0,$B$8,1))=EV$13), 1*(_xlfn._xlws.FILTER(OFFSET($O$15,0,$DO80,$B$8,1),OFFSET($M$15,0,0,$B$8,1))=EV$14))   /   SUM(OFFSET($BO$15,0,0,$B$14,1)) + $B$18/($B$19*$B$19*($DN80&lt;&gt;$DO80) + $B$19*($DN80=$DO80))</f>
        <v>3.7037037037037035E-4</v>
      </c>
      <c r="EW80" s="10" cm="1">
        <f t="array" aca="1" ref="EW80" ca="1">(1-$B$18)*SUMPRODUCT(OFFSET($BO$15,0,0,$B$14,1), 1*(_xlfn._xlws.FILTER(OFFSET($O$15,0,$DN80,$B$8,1),OFFSET($M$15,0,0,$B$8,1))=EW$13), 1*(_xlfn._xlws.FILTER(OFFSET($O$15,0,$DO80,$B$8,1),OFFSET($M$15,0,0,$B$8,1))=EW$14))   /   SUM(OFFSET($BO$15,0,0,$B$14,1)) + $B$18/($B$19*$B$19*($DN80&lt;&gt;$DO80) + $B$19*($DN80=$DO80))</f>
        <v>3.7037037037037035E-4</v>
      </c>
      <c r="EX80" s="10" cm="1">
        <f t="array" aca="1" ref="EX80" ca="1">(1-$B$18)*SUMPRODUCT(OFFSET($BO$15,0,0,$B$14,1), 1*(_xlfn._xlws.FILTER(OFFSET($O$15,0,$DN80,$B$8,1),OFFSET($M$15,0,0,$B$8,1))=EX$13), 1*(_xlfn._xlws.FILTER(OFFSET($O$15,0,$DO80,$B$8,1),OFFSET($M$15,0,0,$B$8,1))=EX$14))   /   SUM(OFFSET($BO$15,0,0,$B$14,1)) + $B$18/($B$19*$B$19*($DN80&lt;&gt;$DO80) + $B$19*($DN80=$DO80))</f>
        <v>3.7037037037037035E-4</v>
      </c>
      <c r="EY80" s="10" cm="1">
        <f t="array" aca="1" ref="EY80" ca="1">(1-$B$18)*SUMPRODUCT(OFFSET($BO$15,0,0,$B$14,1), 1*(_xlfn._xlws.FILTER(OFFSET($O$15,0,$DN80,$B$8,1),OFFSET($M$15,0,0,$B$8,1))=EY$13), 1*(_xlfn._xlws.FILTER(OFFSET($O$15,0,$DO80,$B$8,1),OFFSET($M$15,0,0,$B$8,1))=EY$14))   /   SUM(OFFSET($BO$15,0,0,$B$14,1)) + $B$18/($B$19*$B$19*($DN80&lt;&gt;$DO80) + $B$19*($DN80=$DO80))</f>
        <v>3.7037037037037035E-4</v>
      </c>
      <c r="EZ80" s="10" cm="1">
        <f t="array" aca="1" ref="EZ80" ca="1">(1-$B$18)*SUMPRODUCT(OFFSET($BO$15,0,0,$B$14,1), 1*(_xlfn._xlws.FILTER(OFFSET($O$15,0,$DN80,$B$8,1),OFFSET($M$15,0,0,$B$8,1))=EZ$13), 1*(_xlfn._xlws.FILTER(OFFSET($O$15,0,$DO80,$B$8,1),OFFSET($M$15,0,0,$B$8,1))=EZ$14))   /   SUM(OFFSET($BO$15,0,0,$B$14,1)) + $B$18/($B$19*$B$19*($DN80&lt;&gt;$DO80) + $B$19*($DN80=$DO80))</f>
        <v>3.7037037037037035E-4</v>
      </c>
      <c r="FA80" s="10" cm="1">
        <f t="array" aca="1" ref="FA80" ca="1">(1-$B$18)*SUMPRODUCT(OFFSET($BO$15,0,0,$B$14,1), 1*(_xlfn._xlws.FILTER(OFFSET($O$15,0,$DN80,$B$8,1),OFFSET($M$15,0,0,$B$8,1))=FA$13), 1*(_xlfn._xlws.FILTER(OFFSET($O$15,0,$DO80,$B$8,1),OFFSET($M$15,0,0,$B$8,1))=FA$14))   /   SUM(OFFSET($BO$15,0,0,$B$14,1)) + $B$18/($B$19*$B$19*($DN80&lt;&gt;$DO80) + $B$19*($DN80=$DO80))</f>
        <v>3.7037037037037035E-4</v>
      </c>
      <c r="FB80" s="10" cm="1">
        <f t="array" aca="1" ref="FB80" ca="1">(1-$B$18)*SUMPRODUCT(OFFSET($BO$15,0,0,$B$14,1), 1*(_xlfn._xlws.FILTER(OFFSET($O$15,0,$DN80,$B$8,1),OFFSET($M$15,0,0,$B$8,1))=FB$13), 1*(_xlfn._xlws.FILTER(OFFSET($O$15,0,$DO80,$B$8,1),OFFSET($M$15,0,0,$B$8,1))=FB$14))   /   SUM(OFFSET($BO$15,0,0,$B$14,1)) + $B$18/($B$19*$B$19*($DN80&lt;&gt;$DO80) + $B$19*($DN80=$DO80))</f>
        <v>3.7037037037037035E-4</v>
      </c>
      <c r="FC80" s="10" cm="1">
        <f t="array" aca="1" ref="FC80" ca="1">(1-$B$18)*SUMPRODUCT(OFFSET($BO$15,0,0,$B$14,1), 1*(_xlfn._xlws.FILTER(OFFSET($O$15,0,$DN80,$B$8,1),OFFSET($M$15,0,0,$B$8,1))=FC$13), 1*(_xlfn._xlws.FILTER(OFFSET($O$15,0,$DO80,$B$8,1),OFFSET($M$15,0,0,$B$8,1))=FC$14))   /   SUM(OFFSET($BO$15,0,0,$B$14,1)) + $B$18/($B$19*$B$19*($DN80&lt;&gt;$DO80) + $B$19*($DN80=$DO80))</f>
        <v>3.7037037037037035E-4</v>
      </c>
      <c r="FD80" s="10" cm="1">
        <f t="array" aca="1" ref="FD80" ca="1">(1-$B$18)*SUMPRODUCT(OFFSET($BO$15,0,0,$B$14,1), 1*(_xlfn._xlws.FILTER(OFFSET($O$15,0,$DN80,$B$8,1),OFFSET($M$15,0,0,$B$8,1))=FD$13), 1*(_xlfn._xlws.FILTER(OFFSET($O$15,0,$DO80,$B$8,1),OFFSET($M$15,0,0,$B$8,1))=FD$14))   /   SUM(OFFSET($BO$15,0,0,$B$14,1)) + $B$18/($B$19*$B$19*($DN80&lt;&gt;$DO80) + $B$19*($DN80=$DO80))</f>
        <v>3.7037037037037035E-4</v>
      </c>
      <c r="FE80" s="10" cm="1">
        <f t="array" aca="1" ref="FE80" ca="1">(1-$B$18)*SUMPRODUCT(OFFSET($BO$15,0,0,$B$14,1), 1*(_xlfn._xlws.FILTER(OFFSET($O$15,0,$DN80,$B$8,1),OFFSET($M$15,0,0,$B$8,1))=FE$13), 1*(_xlfn._xlws.FILTER(OFFSET($O$15,0,$DO80,$B$8,1),OFFSET($M$15,0,0,$B$8,1))=FE$14))   /   SUM(OFFSET($BO$15,0,0,$B$14,1)) + $B$18/($B$19*$B$19*($DN80&lt;&gt;$DO80) + $B$19*($DN80=$DO80))</f>
        <v>3.7037037037037035E-4</v>
      </c>
      <c r="FF80" s="10" cm="1">
        <f t="array" aca="1" ref="FF80" ca="1">(1-$B$18)*SUMPRODUCT(OFFSET($BO$15,0,0,$B$14,1), 1*(_xlfn._xlws.FILTER(OFFSET($O$15,0,$DN80,$B$8,1),OFFSET($M$15,0,0,$B$8,1))=FF$13), 1*(_xlfn._xlws.FILTER(OFFSET($O$15,0,$DO80,$B$8,1),OFFSET($M$15,0,0,$B$8,1))=FF$14))   /   SUM(OFFSET($BO$15,0,0,$B$14,1)) + $B$18/($B$19*$B$19*($DN80&lt;&gt;$DO80) + $B$19*($DN80=$DO80))</f>
        <v>3.7037037037037035E-4</v>
      </c>
      <c r="FG80" s="10" cm="1">
        <f t="array" aca="1" ref="FG80" ca="1">(1-$B$18)*SUMPRODUCT(OFFSET($BO$15,0,0,$B$14,1), 1*(_xlfn._xlws.FILTER(OFFSET($O$15,0,$DN80,$B$8,1),OFFSET($M$15,0,0,$B$8,1))=FG$13), 1*(_xlfn._xlws.FILTER(OFFSET($O$15,0,$DO80,$B$8,1),OFFSET($M$15,0,0,$B$8,1))=FG$14))   /   SUM(OFFSET($BO$15,0,0,$B$14,1)) + $B$18/($B$19*$B$19*($DN80&lt;&gt;$DO80) + $B$19*($DN80=$DO80))</f>
        <v>3.7037037037037035E-4</v>
      </c>
      <c r="FH80" s="10" cm="1">
        <f t="array" aca="1" ref="FH80" ca="1">(1-$B$18)*SUMPRODUCT(OFFSET($BO$15,0,0,$B$14,1), 1*(_xlfn._xlws.FILTER(OFFSET($O$15,0,$DN80,$B$8,1),OFFSET($M$15,0,0,$B$8,1))=FH$13), 1*(_xlfn._xlws.FILTER(OFFSET($O$15,0,$DO80,$B$8,1),OFFSET($M$15,0,0,$B$8,1))=FH$14))   /   SUM(OFFSET($BO$15,0,0,$B$14,1)) + $B$18/($B$19*$B$19*($DN80&lt;&gt;$DO80) + $B$19*($DN80=$DO80))</f>
        <v>3.7037037037037035E-4</v>
      </c>
      <c r="FI80" s="10" cm="1">
        <f t="array" aca="1" ref="FI80" ca="1">(1-$B$18)*SUMPRODUCT(OFFSET($BO$15,0,0,$B$14,1), 1*(_xlfn._xlws.FILTER(OFFSET($O$15,0,$DN80,$B$8,1),OFFSET($M$15,0,0,$B$8,1))=FI$13), 1*(_xlfn._xlws.FILTER(OFFSET($O$15,0,$DO80,$B$8,1),OFFSET($M$15,0,0,$B$8,1))=FI$14))   /   SUM(OFFSET($BO$15,0,0,$B$14,1)) + $B$18/($B$19*$B$19*($DN80&lt;&gt;$DO80) + $B$19*($DN80=$DO80))</f>
        <v>3.7037037037037035E-4</v>
      </c>
      <c r="FJ80" s="10" cm="1">
        <f t="array" aca="1" ref="FJ80" ca="1">(1-$B$18)*SUMPRODUCT(OFFSET($BO$15,0,0,$B$14,1), 1*(_xlfn._xlws.FILTER(OFFSET($O$15,0,$DN80,$B$8,1),OFFSET($M$15,0,0,$B$8,1))=FJ$13), 1*(_xlfn._xlws.FILTER(OFFSET($O$15,0,$DO80,$B$8,1),OFFSET($M$15,0,0,$B$8,1))=FJ$14))   /   SUM(OFFSET($BO$15,0,0,$B$14,1)) + $B$18/($B$19*$B$19*($DN80&lt;&gt;$DO80) + $B$19*($DN80=$DO80))</f>
        <v>3.7037037037037035E-4</v>
      </c>
      <c r="FK80" s="10" cm="1">
        <f t="array" aca="1" ref="FK80" ca="1">(1-$B$18)*SUMPRODUCT(OFFSET($BO$15,0,0,$B$14,1), 1*(_xlfn._xlws.FILTER(OFFSET($O$15,0,$DN80,$B$8,1),OFFSET($M$15,0,0,$B$8,1))=FK$13), 1*(_xlfn._xlws.FILTER(OFFSET($O$15,0,$DO80,$B$8,1),OFFSET($M$15,0,0,$B$8,1))=FK$14))   /   SUM(OFFSET($BO$15,0,0,$B$14,1)) + $B$18/($B$19*$B$19*($DN80&lt;&gt;$DO80) + $B$19*($DN80=$DO80))</f>
        <v>3.7037037037037035E-4</v>
      </c>
      <c r="FL80" s="10" cm="1">
        <f t="array" aca="1" ref="FL80" ca="1">(1-$B$18)*SUMPRODUCT(OFFSET($BO$15,0,0,$B$14,1), 1*(_xlfn._xlws.FILTER(OFFSET($O$15,0,$DN80,$B$8,1),OFFSET($M$15,0,0,$B$8,1))=FL$13), 1*(_xlfn._xlws.FILTER(OFFSET($O$15,0,$DO80,$B$8,1),OFFSET($M$15,0,0,$B$8,1))=FL$14))   /   SUM(OFFSET($BO$15,0,0,$B$14,1)) + $B$18/($B$19*$B$19*($DN80&lt;&gt;$DO80) + $B$19*($DN80=$DO80))</f>
        <v>3.7037037037037035E-4</v>
      </c>
      <c r="FM80" s="10" cm="1">
        <f t="array" aca="1" ref="FM80" ca="1">(1-$B$18)*SUMPRODUCT(OFFSET($BO$15,0,0,$B$14,1), 1*(_xlfn._xlws.FILTER(OFFSET($O$15,0,$DN80,$B$8,1),OFFSET($M$15,0,0,$B$8,1))=FM$13), 1*(_xlfn._xlws.FILTER(OFFSET($O$15,0,$DO80,$B$8,1),OFFSET($M$15,0,0,$B$8,1))=FM$14))   /   SUM(OFFSET($BO$15,0,0,$B$14,1)) + $B$18/($B$19*$B$19*($DN80&lt;&gt;$DO80) + $B$19*($DN80=$DO80))</f>
        <v>3.7037037037037035E-4</v>
      </c>
      <c r="FN80" s="10" cm="1">
        <f t="array" aca="1" ref="FN80" ca="1">(1-$B$18)*SUMPRODUCT(OFFSET($BO$15,0,0,$B$14,1), 1*(_xlfn._xlws.FILTER(OFFSET($O$15,0,$DN80,$B$8,1),OFFSET($M$15,0,0,$B$8,1))=FN$13), 1*(_xlfn._xlws.FILTER(OFFSET($O$15,0,$DO80,$B$8,1),OFFSET($M$15,0,0,$B$8,1))=FN$14))   /   SUM(OFFSET($BO$15,0,0,$B$14,1)) + $B$18/($B$19*$B$19*($DN80&lt;&gt;$DO80) + $B$19*($DN80=$DO80))</f>
        <v>3.7037037037037035E-4</v>
      </c>
      <c r="FO80" s="10" cm="1">
        <f t="array" aca="1" ref="FO80" ca="1">(1-$B$18)*SUMPRODUCT(OFFSET($BO$15,0,0,$B$14,1), 1*(_xlfn._xlws.FILTER(OFFSET($O$15,0,$DN80,$B$8,1),OFFSET($M$15,0,0,$B$8,1))=FO$13), 1*(_xlfn._xlws.FILTER(OFFSET($O$15,0,$DO80,$B$8,1),OFFSET($M$15,0,0,$B$8,1))=FO$14))   /   SUM(OFFSET($BO$15,0,0,$B$14,1)) + $B$18/($B$19*$B$19*($DN80&lt;&gt;$DO80) + $B$19*($DN80=$DO80))</f>
        <v>3.7037037037037035E-4</v>
      </c>
      <c r="FP80" s="10" cm="1">
        <f t="array" aca="1" ref="FP80" ca="1">(1-$B$18)*SUMPRODUCT(OFFSET($BO$15,0,0,$B$14,1), 1*(_xlfn._xlws.FILTER(OFFSET($O$15,0,$DN80,$B$8,1),OFFSET($M$15,0,0,$B$8,1))=FP$13), 1*(_xlfn._xlws.FILTER(OFFSET($O$15,0,$DO80,$B$8,1),OFFSET($M$15,0,0,$B$8,1))=FP$14))   /   SUM(OFFSET($BO$15,0,0,$B$14,1)) + $B$18/($B$19*$B$19*($DN80&lt;&gt;$DO80) + $B$19*($DN80=$DO80))</f>
        <v>3.7037037037037035E-4</v>
      </c>
      <c r="FQ80" s="10" cm="1">
        <f t="array" aca="1" ref="FQ80" ca="1">(1-$B$18)*SUMPRODUCT(OFFSET($BO$15,0,0,$B$14,1), 1*(_xlfn._xlws.FILTER(OFFSET($O$15,0,$DN80,$B$8,1),OFFSET($M$15,0,0,$B$8,1))=FQ$13), 1*(_xlfn._xlws.FILTER(OFFSET($O$15,0,$DO80,$B$8,1),OFFSET($M$15,0,0,$B$8,1))=FQ$14))   /   SUM(OFFSET($BO$15,0,0,$B$14,1)) + $B$18/($B$19*$B$19*($DN80&lt;&gt;$DO80) + $B$19*($DN80=$DO80))</f>
        <v>3.7037037037037035E-4</v>
      </c>
      <c r="FR80" s="10" cm="1">
        <f t="array" aca="1" ref="FR80" ca="1">(1-$B$18)*SUMPRODUCT(OFFSET($BO$15,0,0,$B$14,1), 1*(_xlfn._xlws.FILTER(OFFSET($O$15,0,$DN80,$B$8,1),OFFSET($M$15,0,0,$B$8,1))=FR$13), 1*(_xlfn._xlws.FILTER(OFFSET($O$15,0,$DO80,$B$8,1),OFFSET($M$15,0,0,$B$8,1))=FR$14))   /   SUM(OFFSET($BO$15,0,0,$B$14,1)) + $B$18/($B$19*$B$19*($DN80&lt;&gt;$DO80) + $B$19*($DN80=$DO80))</f>
        <v>0.97037037037037033</v>
      </c>
      <c r="FS80" s="10" cm="1">
        <f t="array" aca="1" ref="FS80" ca="1">(1-$B$18)*SUMPRODUCT(OFFSET($BO$15,0,0,$B$14,1), 1*(_xlfn._xlws.FILTER(OFFSET($O$15,0,$DN80,$B$8,1),OFFSET($M$15,0,0,$B$8,1))=FS$13), 1*(_xlfn._xlws.FILTER(OFFSET($O$15,0,$DO80,$B$8,1),OFFSET($M$15,0,0,$B$8,1))=FS$14))   /   SUM(OFFSET($BO$15,0,0,$B$14,1)) + $B$18/($B$19*$B$19*($DN80&lt;&gt;$DO80) + $B$19*($DN80=$DO80))</f>
        <v>3.7037037037037035E-4</v>
      </c>
      <c r="FT80" s="10" cm="1">
        <f t="array" aca="1" ref="FT80" ca="1">(1-$B$18)*SUMPRODUCT(OFFSET($BO$15,0,0,$B$14,1), 1*(_xlfn._xlws.FILTER(OFFSET($O$15,0,$DN80,$B$8,1),OFFSET($M$15,0,0,$B$8,1))=FT$13), 1*(_xlfn._xlws.FILTER(OFFSET($O$15,0,$DO80,$B$8,1),OFFSET($M$15,0,0,$B$8,1))=FT$14))   /   SUM(OFFSET($BO$15,0,0,$B$14,1)) + $B$18/($B$19*$B$19*($DN80&lt;&gt;$DO80) + $B$19*($DN80=$DO80))</f>
        <v>3.7037037037037035E-4</v>
      </c>
      <c r="FU80" s="10" cm="1">
        <f t="array" aca="1" ref="FU80" ca="1">(1-$B$18)*SUMPRODUCT(OFFSET($BO$15,0,0,$B$14,1), 1*(_xlfn._xlws.FILTER(OFFSET($O$15,0,$DN80,$B$8,1),OFFSET($M$15,0,0,$B$8,1))=FU$13), 1*(_xlfn._xlws.FILTER(OFFSET($O$15,0,$DO80,$B$8,1),OFFSET($M$15,0,0,$B$8,1))=FU$14))   /   SUM(OFFSET($BO$15,0,0,$B$14,1)) + $B$18/($B$19*$B$19*($DN80&lt;&gt;$DO80) + $B$19*($DN80=$DO80))</f>
        <v>3.7037037037037035E-4</v>
      </c>
      <c r="FV80" s="10" cm="1">
        <f t="array" aca="1" ref="FV80" ca="1">(1-$B$18)*SUMPRODUCT(OFFSET($BO$15,0,0,$B$14,1), 1*(_xlfn._xlws.FILTER(OFFSET($O$15,0,$DN80,$B$8,1),OFFSET($M$15,0,0,$B$8,1))=FV$13), 1*(_xlfn._xlws.FILTER(OFFSET($O$15,0,$DO80,$B$8,1),OFFSET($M$15,0,0,$B$8,1))=FV$14))   /   SUM(OFFSET($BO$15,0,0,$B$14,1)) + $B$18/($B$19*$B$19*($DN80&lt;&gt;$DO80) + $B$19*($DN80=$DO80))</f>
        <v>3.7037037037037035E-4</v>
      </c>
      <c r="FW80" s="10" cm="1">
        <f t="array" aca="1" ref="FW80" ca="1">(1-$B$18)*SUMPRODUCT(OFFSET($BO$15,0,0,$B$14,1), 1*(_xlfn._xlws.FILTER(OFFSET($O$15,0,$DN80,$B$8,1),OFFSET($M$15,0,0,$B$8,1))=FW$13), 1*(_xlfn._xlws.FILTER(OFFSET($O$15,0,$DO80,$B$8,1),OFFSET($M$15,0,0,$B$8,1))=FW$14))   /   SUM(OFFSET($BO$15,0,0,$B$14,1)) + $B$18/($B$19*$B$19*($DN80&lt;&gt;$DO80) + $B$19*($DN80=$DO80))</f>
        <v>3.7037037037037035E-4</v>
      </c>
      <c r="FX80" s="10" cm="1">
        <f t="array" aca="1" ref="FX80" ca="1">(1-$B$18)*SUMPRODUCT(OFFSET($BO$15,0,0,$B$14,1), 1*(_xlfn._xlws.FILTER(OFFSET($O$15,0,$DN80,$B$8,1),OFFSET($M$15,0,0,$B$8,1))=FX$13), 1*(_xlfn._xlws.FILTER(OFFSET($O$15,0,$DO80,$B$8,1),OFFSET($M$15,0,0,$B$8,1))=FX$14))   /   SUM(OFFSET($BO$15,0,0,$B$14,1)) + $B$18/($B$19*$B$19*($DN80&lt;&gt;$DO80) + $B$19*($DN80=$DO80))</f>
        <v>3.7037037037037035E-4</v>
      </c>
      <c r="FY80" s="10" cm="1">
        <f t="array" aca="1" ref="FY80" ca="1">(1-$B$18)*SUMPRODUCT(OFFSET($BO$15,0,0,$B$14,1), 1*(_xlfn._xlws.FILTER(OFFSET($O$15,0,$DN80,$B$8,1),OFFSET($M$15,0,0,$B$8,1))=FY$13), 1*(_xlfn._xlws.FILTER(OFFSET($O$15,0,$DO80,$B$8,1),OFFSET($M$15,0,0,$B$8,1))=FY$14))   /   SUM(OFFSET($BO$15,0,0,$B$14,1)) + $B$18/($B$19*$B$19*($DN80&lt;&gt;$DO80) + $B$19*($DN80=$DO80))</f>
        <v>3.7037037037037035E-4</v>
      </c>
      <c r="FZ80" s="10" cm="1">
        <f t="array" aca="1" ref="FZ80" ca="1">(1-$B$18)*SUMPRODUCT(OFFSET($BO$15,0,0,$B$14,1), 1*(_xlfn._xlws.FILTER(OFFSET($O$15,0,$DN80,$B$8,1),OFFSET($M$15,0,0,$B$8,1))=FZ$13), 1*(_xlfn._xlws.FILTER(OFFSET($O$15,0,$DO80,$B$8,1),OFFSET($M$15,0,0,$B$8,1))=FZ$14))   /   SUM(OFFSET($BO$15,0,0,$B$14,1)) + $B$18/($B$19*$B$19*($DN80&lt;&gt;$DO80) + $B$19*($DN80=$DO80))</f>
        <v>3.7037037037037035E-4</v>
      </c>
      <c r="GA80" s="10" cm="1">
        <f t="array" aca="1" ref="GA80" ca="1">(1-$B$18)*SUMPRODUCT(OFFSET($BO$15,0,0,$B$14,1), 1*(_xlfn._xlws.FILTER(OFFSET($O$15,0,$DN80,$B$8,1),OFFSET($M$15,0,0,$B$8,1))=GA$13), 1*(_xlfn._xlws.FILTER(OFFSET($O$15,0,$DO80,$B$8,1),OFFSET($M$15,0,0,$B$8,1))=GA$14))   /   SUM(OFFSET($BO$15,0,0,$B$14,1)) + $B$18/($B$19*$B$19*($DN80&lt;&gt;$DO80) + $B$19*($DN80=$DO80))</f>
        <v>3.7037037037037035E-4</v>
      </c>
    </row>
    <row r="81" spans="7:183" x14ac:dyDescent="0.2">
      <c r="G81" s="2"/>
      <c r="H81" s="2"/>
      <c r="DN81" cm="1">
        <f t="array" aca="1" ref="DN81" ca="1">INDEX(_xlfn.ANCHORARRAY($CP$15), 1 + INT((ROWS($DO$15:$DO81) - 1) / ROWS(_xlfn.ANCHORARRAY($CP$15))))</f>
        <v>3</v>
      </c>
      <c r="DO81" cm="1">
        <f t="array" aca="1" ref="DO81" ca="1">INDEX(_xlfn.ANCHORARRAY($CP$15),1+MOD(ROWS($DO$15:$DO81)-1,ROWS(_xlfn.ANCHORARRAY($CP$15))))</f>
        <v>9</v>
      </c>
      <c r="DP81" s="10" cm="1">
        <f t="array" aca="1" ref="DP81" ca="1">(1-$B$18)*SUMPRODUCT(OFFSET($BO$15,0,0,$B$14,1), 1*(_xlfn._xlws.FILTER(OFFSET($O$15,0,$DN81,$B$8,1),OFFSET($M$15,0,0,$B$8,1))=DP$13), 1*(_xlfn._xlws.FILTER(OFFSET($O$15,0,$DO81,$B$8,1),OFFSET($M$15,0,0,$B$8,1))=DP$14))   /   SUM(OFFSET($BO$15,0,0,$B$14,1)) + $B$18/($B$19*$B$19*($DN81&lt;&gt;$DO81) + $B$19*($DN81=$DO81))</f>
        <v>3.7037037037037035E-4</v>
      </c>
      <c r="DQ81" s="10" cm="1">
        <f t="array" aca="1" ref="DQ81" ca="1">(1-$B$18)*SUMPRODUCT(OFFSET($BO$15,0,0,$B$14,1), 1*(_xlfn._xlws.FILTER(OFFSET($O$15,0,$DN81,$B$8,1),OFFSET($M$15,0,0,$B$8,1))=DQ$13), 1*(_xlfn._xlws.FILTER(OFFSET($O$15,0,$DO81,$B$8,1),OFFSET($M$15,0,0,$B$8,1))=DQ$14))   /   SUM(OFFSET($BO$15,0,0,$B$14,1)) + $B$18/($B$19*$B$19*($DN81&lt;&gt;$DO81) + $B$19*($DN81=$DO81))</f>
        <v>3.7037037037037035E-4</v>
      </c>
      <c r="DR81" s="10" cm="1">
        <f t="array" aca="1" ref="DR81" ca="1">(1-$B$18)*SUMPRODUCT(OFFSET($BO$15,0,0,$B$14,1), 1*(_xlfn._xlws.FILTER(OFFSET($O$15,0,$DN81,$B$8,1),OFFSET($M$15,0,0,$B$8,1))=DR$13), 1*(_xlfn._xlws.FILTER(OFFSET($O$15,0,$DO81,$B$8,1),OFFSET($M$15,0,0,$B$8,1))=DR$14))   /   SUM(OFFSET($BO$15,0,0,$B$14,1)) + $B$18/($B$19*$B$19*($DN81&lt;&gt;$DO81) + $B$19*($DN81=$DO81))</f>
        <v>3.7037037037037035E-4</v>
      </c>
      <c r="DS81" s="10" cm="1">
        <f t="array" aca="1" ref="DS81" ca="1">(1-$B$18)*SUMPRODUCT(OFFSET($BO$15,0,0,$B$14,1), 1*(_xlfn._xlws.FILTER(OFFSET($O$15,0,$DN81,$B$8,1),OFFSET($M$15,0,0,$B$8,1))=DS$13), 1*(_xlfn._xlws.FILTER(OFFSET($O$15,0,$DO81,$B$8,1),OFFSET($M$15,0,0,$B$8,1))=DS$14))   /   SUM(OFFSET($BO$15,0,0,$B$14,1)) + $B$18/($B$19*$B$19*($DN81&lt;&gt;$DO81) + $B$19*($DN81=$DO81))</f>
        <v>3.7037037037037035E-4</v>
      </c>
      <c r="DT81" s="10" cm="1">
        <f t="array" aca="1" ref="DT81" ca="1">(1-$B$18)*SUMPRODUCT(OFFSET($BO$15,0,0,$B$14,1), 1*(_xlfn._xlws.FILTER(OFFSET($O$15,0,$DN81,$B$8,1),OFFSET($M$15,0,0,$B$8,1))=DT$13), 1*(_xlfn._xlws.FILTER(OFFSET($O$15,0,$DO81,$B$8,1),OFFSET($M$15,0,0,$B$8,1))=DT$14))   /   SUM(OFFSET($BO$15,0,0,$B$14,1)) + $B$18/($B$19*$B$19*($DN81&lt;&gt;$DO81) + $B$19*($DN81=$DO81))</f>
        <v>3.7037037037037035E-4</v>
      </c>
      <c r="DU81" s="10" cm="1">
        <f t="array" aca="1" ref="DU81" ca="1">(1-$B$18)*SUMPRODUCT(OFFSET($BO$15,0,0,$B$14,1), 1*(_xlfn._xlws.FILTER(OFFSET($O$15,0,$DN81,$B$8,1),OFFSET($M$15,0,0,$B$8,1))=DU$13), 1*(_xlfn._xlws.FILTER(OFFSET($O$15,0,$DO81,$B$8,1),OFFSET($M$15,0,0,$B$8,1))=DU$14))   /   SUM(OFFSET($BO$15,0,0,$B$14,1)) + $B$18/($B$19*$B$19*($DN81&lt;&gt;$DO81) + $B$19*($DN81=$DO81))</f>
        <v>3.7037037037037035E-4</v>
      </c>
      <c r="DV81" s="10" cm="1">
        <f t="array" aca="1" ref="DV81" ca="1">(1-$B$18)*SUMPRODUCT(OFFSET($BO$15,0,0,$B$14,1), 1*(_xlfn._xlws.FILTER(OFFSET($O$15,0,$DN81,$B$8,1),OFFSET($M$15,0,0,$B$8,1))=DV$13), 1*(_xlfn._xlws.FILTER(OFFSET($O$15,0,$DO81,$B$8,1),OFFSET($M$15,0,0,$B$8,1))=DV$14))   /   SUM(OFFSET($BO$15,0,0,$B$14,1)) + $B$18/($B$19*$B$19*($DN81&lt;&gt;$DO81) + $B$19*($DN81=$DO81))</f>
        <v>3.7037037037037035E-4</v>
      </c>
      <c r="DW81" s="10" cm="1">
        <f t="array" aca="1" ref="DW81" ca="1">(1-$B$18)*SUMPRODUCT(OFFSET($BO$15,0,0,$B$14,1), 1*(_xlfn._xlws.FILTER(OFFSET($O$15,0,$DN81,$B$8,1),OFFSET($M$15,0,0,$B$8,1))=DW$13), 1*(_xlfn._xlws.FILTER(OFFSET($O$15,0,$DO81,$B$8,1),OFFSET($M$15,0,0,$B$8,1))=DW$14))   /   SUM(OFFSET($BO$15,0,0,$B$14,1)) + $B$18/($B$19*$B$19*($DN81&lt;&gt;$DO81) + $B$19*($DN81=$DO81))</f>
        <v>3.7037037037037035E-4</v>
      </c>
      <c r="DX81" s="10" cm="1">
        <f t="array" aca="1" ref="DX81" ca="1">(1-$B$18)*SUMPRODUCT(OFFSET($BO$15,0,0,$B$14,1), 1*(_xlfn._xlws.FILTER(OFFSET($O$15,0,$DN81,$B$8,1),OFFSET($M$15,0,0,$B$8,1))=DX$13), 1*(_xlfn._xlws.FILTER(OFFSET($O$15,0,$DO81,$B$8,1),OFFSET($M$15,0,0,$B$8,1))=DX$14))   /   SUM(OFFSET($BO$15,0,0,$B$14,1)) + $B$18/($B$19*$B$19*($DN81&lt;&gt;$DO81) + $B$19*($DN81=$DO81))</f>
        <v>3.7037037037037035E-4</v>
      </c>
      <c r="DY81" s="10" cm="1">
        <f t="array" aca="1" ref="DY81" ca="1">(1-$B$18)*SUMPRODUCT(OFFSET($BO$15,0,0,$B$14,1), 1*(_xlfn._xlws.FILTER(OFFSET($O$15,0,$DN81,$B$8,1),OFFSET($M$15,0,0,$B$8,1))=DY$13), 1*(_xlfn._xlws.FILTER(OFFSET($O$15,0,$DO81,$B$8,1),OFFSET($M$15,0,0,$B$8,1))=DY$14))   /   SUM(OFFSET($BO$15,0,0,$B$14,1)) + $B$18/($B$19*$B$19*($DN81&lt;&gt;$DO81) + $B$19*($DN81=$DO81))</f>
        <v>3.7037037037037035E-4</v>
      </c>
      <c r="DZ81" s="10" cm="1">
        <f t="array" aca="1" ref="DZ81" ca="1">(1-$B$18)*SUMPRODUCT(OFFSET($BO$15,0,0,$B$14,1), 1*(_xlfn._xlws.FILTER(OFFSET($O$15,0,$DN81,$B$8,1),OFFSET($M$15,0,0,$B$8,1))=DZ$13), 1*(_xlfn._xlws.FILTER(OFFSET($O$15,0,$DO81,$B$8,1),OFFSET($M$15,0,0,$B$8,1))=DZ$14))   /   SUM(OFFSET($BO$15,0,0,$B$14,1)) + $B$18/($B$19*$B$19*($DN81&lt;&gt;$DO81) + $B$19*($DN81=$DO81))</f>
        <v>3.7037037037037035E-4</v>
      </c>
      <c r="EA81" s="10" cm="1">
        <f t="array" aca="1" ref="EA81" ca="1">(1-$B$18)*SUMPRODUCT(OFFSET($BO$15,0,0,$B$14,1), 1*(_xlfn._xlws.FILTER(OFFSET($O$15,0,$DN81,$B$8,1),OFFSET($M$15,0,0,$B$8,1))=EA$13), 1*(_xlfn._xlws.FILTER(OFFSET($O$15,0,$DO81,$B$8,1),OFFSET($M$15,0,0,$B$8,1))=EA$14))   /   SUM(OFFSET($BO$15,0,0,$B$14,1)) + $B$18/($B$19*$B$19*($DN81&lt;&gt;$DO81) + $B$19*($DN81=$DO81))</f>
        <v>3.7037037037037035E-4</v>
      </c>
      <c r="EB81" s="10" cm="1">
        <f t="array" aca="1" ref="EB81" ca="1">(1-$B$18)*SUMPRODUCT(OFFSET($BO$15,0,0,$B$14,1), 1*(_xlfn._xlws.FILTER(OFFSET($O$15,0,$DN81,$B$8,1),OFFSET($M$15,0,0,$B$8,1))=EB$13), 1*(_xlfn._xlws.FILTER(OFFSET($O$15,0,$DO81,$B$8,1),OFFSET($M$15,0,0,$B$8,1))=EB$14))   /   SUM(OFFSET($BO$15,0,0,$B$14,1)) + $B$18/($B$19*$B$19*($DN81&lt;&gt;$DO81) + $B$19*($DN81=$DO81))</f>
        <v>3.7037037037037035E-4</v>
      </c>
      <c r="EC81" s="10" cm="1">
        <f t="array" aca="1" ref="EC81" ca="1">(1-$B$18)*SUMPRODUCT(OFFSET($BO$15,0,0,$B$14,1), 1*(_xlfn._xlws.FILTER(OFFSET($O$15,0,$DN81,$B$8,1),OFFSET($M$15,0,0,$B$8,1))=EC$13), 1*(_xlfn._xlws.FILTER(OFFSET($O$15,0,$DO81,$B$8,1),OFFSET($M$15,0,0,$B$8,1))=EC$14))   /   SUM(OFFSET($BO$15,0,0,$B$14,1)) + $B$18/($B$19*$B$19*($DN81&lt;&gt;$DO81) + $B$19*($DN81=$DO81))</f>
        <v>3.7037037037037035E-4</v>
      </c>
      <c r="ED81" s="10" cm="1">
        <f t="array" aca="1" ref="ED81" ca="1">(1-$B$18)*SUMPRODUCT(OFFSET($BO$15,0,0,$B$14,1), 1*(_xlfn._xlws.FILTER(OFFSET($O$15,0,$DN81,$B$8,1),OFFSET($M$15,0,0,$B$8,1))=ED$13), 1*(_xlfn._xlws.FILTER(OFFSET($O$15,0,$DO81,$B$8,1),OFFSET($M$15,0,0,$B$8,1))=ED$14))   /   SUM(OFFSET($BO$15,0,0,$B$14,1)) + $B$18/($B$19*$B$19*($DN81&lt;&gt;$DO81) + $B$19*($DN81=$DO81))</f>
        <v>3.7037037037037035E-4</v>
      </c>
      <c r="EE81" s="10" cm="1">
        <f t="array" aca="1" ref="EE81" ca="1">(1-$B$18)*SUMPRODUCT(OFFSET($BO$15,0,0,$B$14,1), 1*(_xlfn._xlws.FILTER(OFFSET($O$15,0,$DN81,$B$8,1),OFFSET($M$15,0,0,$B$8,1))=EE$13), 1*(_xlfn._xlws.FILTER(OFFSET($O$15,0,$DO81,$B$8,1),OFFSET($M$15,0,0,$B$8,1))=EE$14))   /   SUM(OFFSET($BO$15,0,0,$B$14,1)) + $B$18/($B$19*$B$19*($DN81&lt;&gt;$DO81) + $B$19*($DN81=$DO81))</f>
        <v>3.7037037037037035E-4</v>
      </c>
      <c r="EF81" s="10" cm="1">
        <f t="array" aca="1" ref="EF81" ca="1">(1-$B$18)*SUMPRODUCT(OFFSET($BO$15,0,0,$B$14,1), 1*(_xlfn._xlws.FILTER(OFFSET($O$15,0,$DN81,$B$8,1),OFFSET($M$15,0,0,$B$8,1))=EF$13), 1*(_xlfn._xlws.FILTER(OFFSET($O$15,0,$DO81,$B$8,1),OFFSET($M$15,0,0,$B$8,1))=EF$14))   /   SUM(OFFSET($BO$15,0,0,$B$14,1)) + $B$18/($B$19*$B$19*($DN81&lt;&gt;$DO81) + $B$19*($DN81=$DO81))</f>
        <v>3.7037037037037035E-4</v>
      </c>
      <c r="EG81" s="10" cm="1">
        <f t="array" aca="1" ref="EG81" ca="1">(1-$B$18)*SUMPRODUCT(OFFSET($BO$15,0,0,$B$14,1), 1*(_xlfn._xlws.FILTER(OFFSET($O$15,0,$DN81,$B$8,1),OFFSET($M$15,0,0,$B$8,1))=EG$13), 1*(_xlfn._xlws.FILTER(OFFSET($O$15,0,$DO81,$B$8,1),OFFSET($M$15,0,0,$B$8,1))=EG$14))   /   SUM(OFFSET($BO$15,0,0,$B$14,1)) + $B$18/($B$19*$B$19*($DN81&lt;&gt;$DO81) + $B$19*($DN81=$DO81))</f>
        <v>3.7037037037037035E-4</v>
      </c>
      <c r="EH81" s="10" cm="1">
        <f t="array" aca="1" ref="EH81" ca="1">(1-$B$18)*SUMPRODUCT(OFFSET($BO$15,0,0,$B$14,1), 1*(_xlfn._xlws.FILTER(OFFSET($O$15,0,$DN81,$B$8,1),OFFSET($M$15,0,0,$B$8,1))=EH$13), 1*(_xlfn._xlws.FILTER(OFFSET($O$15,0,$DO81,$B$8,1),OFFSET($M$15,0,0,$B$8,1))=EH$14))   /   SUM(OFFSET($BO$15,0,0,$B$14,1)) + $B$18/($B$19*$B$19*($DN81&lt;&gt;$DO81) + $B$19*($DN81=$DO81))</f>
        <v>3.7037037037037035E-4</v>
      </c>
      <c r="EI81" s="10" cm="1">
        <f t="array" aca="1" ref="EI81" ca="1">(1-$B$18)*SUMPRODUCT(OFFSET($BO$15,0,0,$B$14,1), 1*(_xlfn._xlws.FILTER(OFFSET($O$15,0,$DN81,$B$8,1),OFFSET($M$15,0,0,$B$8,1))=EI$13), 1*(_xlfn._xlws.FILTER(OFFSET($O$15,0,$DO81,$B$8,1),OFFSET($M$15,0,0,$B$8,1))=EI$14))   /   SUM(OFFSET($BO$15,0,0,$B$14,1)) + $B$18/($B$19*$B$19*($DN81&lt;&gt;$DO81) + $B$19*($DN81=$DO81))</f>
        <v>3.7037037037037035E-4</v>
      </c>
      <c r="EJ81" s="10" cm="1">
        <f t="array" aca="1" ref="EJ81" ca="1">(1-$B$18)*SUMPRODUCT(OFFSET($BO$15,0,0,$B$14,1), 1*(_xlfn._xlws.FILTER(OFFSET($O$15,0,$DN81,$B$8,1),OFFSET($M$15,0,0,$B$8,1))=EJ$13), 1*(_xlfn._xlws.FILTER(OFFSET($O$15,0,$DO81,$B$8,1),OFFSET($M$15,0,0,$B$8,1))=EJ$14))   /   SUM(OFFSET($BO$15,0,0,$B$14,1)) + $B$18/($B$19*$B$19*($DN81&lt;&gt;$DO81) + $B$19*($DN81=$DO81))</f>
        <v>3.7037037037037035E-4</v>
      </c>
      <c r="EK81" s="10" cm="1">
        <f t="array" aca="1" ref="EK81" ca="1">(1-$B$18)*SUMPRODUCT(OFFSET($BO$15,0,0,$B$14,1), 1*(_xlfn._xlws.FILTER(OFFSET($O$15,0,$DN81,$B$8,1),OFFSET($M$15,0,0,$B$8,1))=EK$13), 1*(_xlfn._xlws.FILTER(OFFSET($O$15,0,$DO81,$B$8,1),OFFSET($M$15,0,0,$B$8,1))=EK$14))   /   SUM(OFFSET($BO$15,0,0,$B$14,1)) + $B$18/($B$19*$B$19*($DN81&lt;&gt;$DO81) + $B$19*($DN81=$DO81))</f>
        <v>3.7037037037037035E-4</v>
      </c>
      <c r="EL81" s="10" cm="1">
        <f t="array" aca="1" ref="EL81" ca="1">(1-$B$18)*SUMPRODUCT(OFFSET($BO$15,0,0,$B$14,1), 1*(_xlfn._xlws.FILTER(OFFSET($O$15,0,$DN81,$B$8,1),OFFSET($M$15,0,0,$B$8,1))=EL$13), 1*(_xlfn._xlws.FILTER(OFFSET($O$15,0,$DO81,$B$8,1),OFFSET($M$15,0,0,$B$8,1))=EL$14))   /   SUM(OFFSET($BO$15,0,0,$B$14,1)) + $B$18/($B$19*$B$19*($DN81&lt;&gt;$DO81) + $B$19*($DN81=$DO81))</f>
        <v>3.7037037037037035E-4</v>
      </c>
      <c r="EM81" s="10" cm="1">
        <f t="array" aca="1" ref="EM81" ca="1">(1-$B$18)*SUMPRODUCT(OFFSET($BO$15,0,0,$B$14,1), 1*(_xlfn._xlws.FILTER(OFFSET($O$15,0,$DN81,$B$8,1),OFFSET($M$15,0,0,$B$8,1))=EM$13), 1*(_xlfn._xlws.FILTER(OFFSET($O$15,0,$DO81,$B$8,1),OFFSET($M$15,0,0,$B$8,1))=EM$14))   /   SUM(OFFSET($BO$15,0,0,$B$14,1)) + $B$18/($B$19*$B$19*($DN81&lt;&gt;$DO81) + $B$19*($DN81=$DO81))</f>
        <v>3.7037037037037035E-4</v>
      </c>
      <c r="EN81" s="10" cm="1">
        <f t="array" aca="1" ref="EN81" ca="1">(1-$B$18)*SUMPRODUCT(OFFSET($BO$15,0,0,$B$14,1), 1*(_xlfn._xlws.FILTER(OFFSET($O$15,0,$DN81,$B$8,1),OFFSET($M$15,0,0,$B$8,1))=EN$13), 1*(_xlfn._xlws.FILTER(OFFSET($O$15,0,$DO81,$B$8,1),OFFSET($M$15,0,0,$B$8,1))=EN$14))   /   SUM(OFFSET($BO$15,0,0,$B$14,1)) + $B$18/($B$19*$B$19*($DN81&lt;&gt;$DO81) + $B$19*($DN81=$DO81))</f>
        <v>3.7037037037037035E-4</v>
      </c>
      <c r="EO81" s="10" cm="1">
        <f t="array" aca="1" ref="EO81" ca="1">(1-$B$18)*SUMPRODUCT(OFFSET($BO$15,0,0,$B$14,1), 1*(_xlfn._xlws.FILTER(OFFSET($O$15,0,$DN81,$B$8,1),OFFSET($M$15,0,0,$B$8,1))=EO$13), 1*(_xlfn._xlws.FILTER(OFFSET($O$15,0,$DO81,$B$8,1),OFFSET($M$15,0,0,$B$8,1))=EO$14))   /   SUM(OFFSET($BO$15,0,0,$B$14,1)) + $B$18/($B$19*$B$19*($DN81&lt;&gt;$DO81) + $B$19*($DN81=$DO81))</f>
        <v>3.7037037037037035E-4</v>
      </c>
      <c r="EP81" s="10" cm="1">
        <f t="array" aca="1" ref="EP81" ca="1">(1-$B$18)*SUMPRODUCT(OFFSET($BO$15,0,0,$B$14,1), 1*(_xlfn._xlws.FILTER(OFFSET($O$15,0,$DN81,$B$8,1),OFFSET($M$15,0,0,$B$8,1))=EP$13), 1*(_xlfn._xlws.FILTER(OFFSET($O$15,0,$DO81,$B$8,1),OFFSET($M$15,0,0,$B$8,1))=EP$14))   /   SUM(OFFSET($BO$15,0,0,$B$14,1)) + $B$18/($B$19*$B$19*($DN81&lt;&gt;$DO81) + $B$19*($DN81=$DO81))</f>
        <v>3.7037037037037035E-4</v>
      </c>
      <c r="EQ81" s="10" cm="1">
        <f t="array" aca="1" ref="EQ81" ca="1">(1-$B$18)*SUMPRODUCT(OFFSET($BO$15,0,0,$B$14,1), 1*(_xlfn._xlws.FILTER(OFFSET($O$15,0,$DN81,$B$8,1),OFFSET($M$15,0,0,$B$8,1))=EQ$13), 1*(_xlfn._xlws.FILTER(OFFSET($O$15,0,$DO81,$B$8,1),OFFSET($M$15,0,0,$B$8,1))=EQ$14))   /   SUM(OFFSET($BO$15,0,0,$B$14,1)) + $B$18/($B$19*$B$19*($DN81&lt;&gt;$DO81) + $B$19*($DN81=$DO81))</f>
        <v>3.7037037037037035E-4</v>
      </c>
      <c r="ER81" s="10" cm="1">
        <f t="array" aca="1" ref="ER81" ca="1">(1-$B$18)*SUMPRODUCT(OFFSET($BO$15,0,0,$B$14,1), 1*(_xlfn._xlws.FILTER(OFFSET($O$15,0,$DN81,$B$8,1),OFFSET($M$15,0,0,$B$8,1))=ER$13), 1*(_xlfn._xlws.FILTER(OFFSET($O$15,0,$DO81,$B$8,1),OFFSET($M$15,0,0,$B$8,1))=ER$14))   /   SUM(OFFSET($BO$15,0,0,$B$14,1)) + $B$18/($B$19*$B$19*($DN81&lt;&gt;$DO81) + $B$19*($DN81=$DO81))</f>
        <v>3.7037037037037035E-4</v>
      </c>
      <c r="ES81" s="10" cm="1">
        <f t="array" aca="1" ref="ES81" ca="1">(1-$B$18)*SUMPRODUCT(OFFSET($BO$15,0,0,$B$14,1), 1*(_xlfn._xlws.FILTER(OFFSET($O$15,0,$DN81,$B$8,1),OFFSET($M$15,0,0,$B$8,1))=ES$13), 1*(_xlfn._xlws.FILTER(OFFSET($O$15,0,$DO81,$B$8,1),OFFSET($M$15,0,0,$B$8,1))=ES$14))   /   SUM(OFFSET($BO$15,0,0,$B$14,1)) + $B$18/($B$19*$B$19*($DN81&lt;&gt;$DO81) + $B$19*($DN81=$DO81))</f>
        <v>3.7037037037037035E-4</v>
      </c>
      <c r="ET81" s="10" cm="1">
        <f t="array" aca="1" ref="ET81" ca="1">(1-$B$18)*SUMPRODUCT(OFFSET($BO$15,0,0,$B$14,1), 1*(_xlfn._xlws.FILTER(OFFSET($O$15,0,$DN81,$B$8,1),OFFSET($M$15,0,0,$B$8,1))=ET$13), 1*(_xlfn._xlws.FILTER(OFFSET($O$15,0,$DO81,$B$8,1),OFFSET($M$15,0,0,$B$8,1))=ET$14))   /   SUM(OFFSET($BO$15,0,0,$B$14,1)) + $B$18/($B$19*$B$19*($DN81&lt;&gt;$DO81) + $B$19*($DN81=$DO81))</f>
        <v>3.7037037037037035E-4</v>
      </c>
      <c r="EU81" s="10" cm="1">
        <f t="array" aca="1" ref="EU81" ca="1">(1-$B$18)*SUMPRODUCT(OFFSET($BO$15,0,0,$B$14,1), 1*(_xlfn._xlws.FILTER(OFFSET($O$15,0,$DN81,$B$8,1),OFFSET($M$15,0,0,$B$8,1))=EU$13), 1*(_xlfn._xlws.FILTER(OFFSET($O$15,0,$DO81,$B$8,1),OFFSET($M$15,0,0,$B$8,1))=EU$14))   /   SUM(OFFSET($BO$15,0,0,$B$14,1)) + $B$18/($B$19*$B$19*($DN81&lt;&gt;$DO81) + $B$19*($DN81=$DO81))</f>
        <v>3.7037037037037035E-4</v>
      </c>
      <c r="EV81" s="10" cm="1">
        <f t="array" aca="1" ref="EV81" ca="1">(1-$B$18)*SUMPRODUCT(OFFSET($BO$15,0,0,$B$14,1), 1*(_xlfn._xlws.FILTER(OFFSET($O$15,0,$DN81,$B$8,1),OFFSET($M$15,0,0,$B$8,1))=EV$13), 1*(_xlfn._xlws.FILTER(OFFSET($O$15,0,$DO81,$B$8,1),OFFSET($M$15,0,0,$B$8,1))=EV$14))   /   SUM(OFFSET($BO$15,0,0,$B$14,1)) + $B$18/($B$19*$B$19*($DN81&lt;&gt;$DO81) + $B$19*($DN81=$DO81))</f>
        <v>3.7037037037037035E-4</v>
      </c>
      <c r="EW81" s="10" cm="1">
        <f t="array" aca="1" ref="EW81" ca="1">(1-$B$18)*SUMPRODUCT(OFFSET($BO$15,0,0,$B$14,1), 1*(_xlfn._xlws.FILTER(OFFSET($O$15,0,$DN81,$B$8,1),OFFSET($M$15,0,0,$B$8,1))=EW$13), 1*(_xlfn._xlws.FILTER(OFFSET($O$15,0,$DO81,$B$8,1),OFFSET($M$15,0,0,$B$8,1))=EW$14))   /   SUM(OFFSET($BO$15,0,0,$B$14,1)) + $B$18/($B$19*$B$19*($DN81&lt;&gt;$DO81) + $B$19*($DN81=$DO81))</f>
        <v>3.7037037037037035E-4</v>
      </c>
      <c r="EX81" s="10" cm="1">
        <f t="array" aca="1" ref="EX81" ca="1">(1-$B$18)*SUMPRODUCT(OFFSET($BO$15,0,0,$B$14,1), 1*(_xlfn._xlws.FILTER(OFFSET($O$15,0,$DN81,$B$8,1),OFFSET($M$15,0,0,$B$8,1))=EX$13), 1*(_xlfn._xlws.FILTER(OFFSET($O$15,0,$DO81,$B$8,1),OFFSET($M$15,0,0,$B$8,1))=EX$14))   /   SUM(OFFSET($BO$15,0,0,$B$14,1)) + $B$18/($B$19*$B$19*($DN81&lt;&gt;$DO81) + $B$19*($DN81=$DO81))</f>
        <v>3.7037037037037035E-4</v>
      </c>
      <c r="EY81" s="10" cm="1">
        <f t="array" aca="1" ref="EY81" ca="1">(1-$B$18)*SUMPRODUCT(OFFSET($BO$15,0,0,$B$14,1), 1*(_xlfn._xlws.FILTER(OFFSET($O$15,0,$DN81,$B$8,1),OFFSET($M$15,0,0,$B$8,1))=EY$13), 1*(_xlfn._xlws.FILTER(OFFSET($O$15,0,$DO81,$B$8,1),OFFSET($M$15,0,0,$B$8,1))=EY$14))   /   SUM(OFFSET($BO$15,0,0,$B$14,1)) + $B$18/($B$19*$B$19*($DN81&lt;&gt;$DO81) + $B$19*($DN81=$DO81))</f>
        <v>3.7037037037037035E-4</v>
      </c>
      <c r="EZ81" s="10" cm="1">
        <f t="array" aca="1" ref="EZ81" ca="1">(1-$B$18)*SUMPRODUCT(OFFSET($BO$15,0,0,$B$14,1), 1*(_xlfn._xlws.FILTER(OFFSET($O$15,0,$DN81,$B$8,1),OFFSET($M$15,0,0,$B$8,1))=EZ$13), 1*(_xlfn._xlws.FILTER(OFFSET($O$15,0,$DO81,$B$8,1),OFFSET($M$15,0,0,$B$8,1))=EZ$14))   /   SUM(OFFSET($BO$15,0,0,$B$14,1)) + $B$18/($B$19*$B$19*($DN81&lt;&gt;$DO81) + $B$19*($DN81=$DO81))</f>
        <v>3.7037037037037035E-4</v>
      </c>
      <c r="FA81" s="10" cm="1">
        <f t="array" aca="1" ref="FA81" ca="1">(1-$B$18)*SUMPRODUCT(OFFSET($BO$15,0,0,$B$14,1), 1*(_xlfn._xlws.FILTER(OFFSET($O$15,0,$DN81,$B$8,1),OFFSET($M$15,0,0,$B$8,1))=FA$13), 1*(_xlfn._xlws.FILTER(OFFSET($O$15,0,$DO81,$B$8,1),OFFSET($M$15,0,0,$B$8,1))=FA$14))   /   SUM(OFFSET($BO$15,0,0,$B$14,1)) + $B$18/($B$19*$B$19*($DN81&lt;&gt;$DO81) + $B$19*($DN81=$DO81))</f>
        <v>3.7037037037037035E-4</v>
      </c>
      <c r="FB81" s="10" cm="1">
        <f t="array" aca="1" ref="FB81" ca="1">(1-$B$18)*SUMPRODUCT(OFFSET($BO$15,0,0,$B$14,1), 1*(_xlfn._xlws.FILTER(OFFSET($O$15,0,$DN81,$B$8,1),OFFSET($M$15,0,0,$B$8,1))=FB$13), 1*(_xlfn._xlws.FILTER(OFFSET($O$15,0,$DO81,$B$8,1),OFFSET($M$15,0,0,$B$8,1))=FB$14))   /   SUM(OFFSET($BO$15,0,0,$B$14,1)) + $B$18/($B$19*$B$19*($DN81&lt;&gt;$DO81) + $B$19*($DN81=$DO81))</f>
        <v>3.7037037037037035E-4</v>
      </c>
      <c r="FC81" s="10" cm="1">
        <f t="array" aca="1" ref="FC81" ca="1">(1-$B$18)*SUMPRODUCT(OFFSET($BO$15,0,0,$B$14,1), 1*(_xlfn._xlws.FILTER(OFFSET($O$15,0,$DN81,$B$8,1),OFFSET($M$15,0,0,$B$8,1))=FC$13), 1*(_xlfn._xlws.FILTER(OFFSET($O$15,0,$DO81,$B$8,1),OFFSET($M$15,0,0,$B$8,1))=FC$14))   /   SUM(OFFSET($BO$15,0,0,$B$14,1)) + $B$18/($B$19*$B$19*($DN81&lt;&gt;$DO81) + $B$19*($DN81=$DO81))</f>
        <v>3.7037037037037035E-4</v>
      </c>
      <c r="FD81" s="10" cm="1">
        <f t="array" aca="1" ref="FD81" ca="1">(1-$B$18)*SUMPRODUCT(OFFSET($BO$15,0,0,$B$14,1), 1*(_xlfn._xlws.FILTER(OFFSET($O$15,0,$DN81,$B$8,1),OFFSET($M$15,0,0,$B$8,1))=FD$13), 1*(_xlfn._xlws.FILTER(OFFSET($O$15,0,$DO81,$B$8,1),OFFSET($M$15,0,0,$B$8,1))=FD$14))   /   SUM(OFFSET($BO$15,0,0,$B$14,1)) + $B$18/($B$19*$B$19*($DN81&lt;&gt;$DO81) + $B$19*($DN81=$DO81))</f>
        <v>3.7037037037037035E-4</v>
      </c>
      <c r="FE81" s="10" cm="1">
        <f t="array" aca="1" ref="FE81" ca="1">(1-$B$18)*SUMPRODUCT(OFFSET($BO$15,0,0,$B$14,1), 1*(_xlfn._xlws.FILTER(OFFSET($O$15,0,$DN81,$B$8,1),OFFSET($M$15,0,0,$B$8,1))=FE$13), 1*(_xlfn._xlws.FILTER(OFFSET($O$15,0,$DO81,$B$8,1),OFFSET($M$15,0,0,$B$8,1))=FE$14))   /   SUM(OFFSET($BO$15,0,0,$B$14,1)) + $B$18/($B$19*$B$19*($DN81&lt;&gt;$DO81) + $B$19*($DN81=$DO81))</f>
        <v>3.7037037037037035E-4</v>
      </c>
      <c r="FF81" s="10" cm="1">
        <f t="array" aca="1" ref="FF81" ca="1">(1-$B$18)*SUMPRODUCT(OFFSET($BO$15,0,0,$B$14,1), 1*(_xlfn._xlws.FILTER(OFFSET($O$15,0,$DN81,$B$8,1),OFFSET($M$15,0,0,$B$8,1))=FF$13), 1*(_xlfn._xlws.FILTER(OFFSET($O$15,0,$DO81,$B$8,1),OFFSET($M$15,0,0,$B$8,1))=FF$14))   /   SUM(OFFSET($BO$15,0,0,$B$14,1)) + $B$18/($B$19*$B$19*($DN81&lt;&gt;$DO81) + $B$19*($DN81=$DO81))</f>
        <v>3.7037037037037035E-4</v>
      </c>
      <c r="FG81" s="10" cm="1">
        <f t="array" aca="1" ref="FG81" ca="1">(1-$B$18)*SUMPRODUCT(OFFSET($BO$15,0,0,$B$14,1), 1*(_xlfn._xlws.FILTER(OFFSET($O$15,0,$DN81,$B$8,1),OFFSET($M$15,0,0,$B$8,1))=FG$13), 1*(_xlfn._xlws.FILTER(OFFSET($O$15,0,$DO81,$B$8,1),OFFSET($M$15,0,0,$B$8,1))=FG$14))   /   SUM(OFFSET($BO$15,0,0,$B$14,1)) + $B$18/($B$19*$B$19*($DN81&lt;&gt;$DO81) + $B$19*($DN81=$DO81))</f>
        <v>3.7037037037037035E-4</v>
      </c>
      <c r="FH81" s="10" cm="1">
        <f t="array" aca="1" ref="FH81" ca="1">(1-$B$18)*SUMPRODUCT(OFFSET($BO$15,0,0,$B$14,1), 1*(_xlfn._xlws.FILTER(OFFSET($O$15,0,$DN81,$B$8,1),OFFSET($M$15,0,0,$B$8,1))=FH$13), 1*(_xlfn._xlws.FILTER(OFFSET($O$15,0,$DO81,$B$8,1),OFFSET($M$15,0,0,$B$8,1))=FH$14))   /   SUM(OFFSET($BO$15,0,0,$B$14,1)) + $B$18/($B$19*$B$19*($DN81&lt;&gt;$DO81) + $B$19*($DN81=$DO81))</f>
        <v>3.7037037037037035E-4</v>
      </c>
      <c r="FI81" s="10" cm="1">
        <f t="array" aca="1" ref="FI81" ca="1">(1-$B$18)*SUMPRODUCT(OFFSET($BO$15,0,0,$B$14,1), 1*(_xlfn._xlws.FILTER(OFFSET($O$15,0,$DN81,$B$8,1),OFFSET($M$15,0,0,$B$8,1))=FI$13), 1*(_xlfn._xlws.FILTER(OFFSET($O$15,0,$DO81,$B$8,1),OFFSET($M$15,0,0,$B$8,1))=FI$14))   /   SUM(OFFSET($BO$15,0,0,$B$14,1)) + $B$18/($B$19*$B$19*($DN81&lt;&gt;$DO81) + $B$19*($DN81=$DO81))</f>
        <v>3.7037037037037035E-4</v>
      </c>
      <c r="FJ81" s="10" cm="1">
        <f t="array" aca="1" ref="FJ81" ca="1">(1-$B$18)*SUMPRODUCT(OFFSET($BO$15,0,0,$B$14,1), 1*(_xlfn._xlws.FILTER(OFFSET($O$15,0,$DN81,$B$8,1),OFFSET($M$15,0,0,$B$8,1))=FJ$13), 1*(_xlfn._xlws.FILTER(OFFSET($O$15,0,$DO81,$B$8,1),OFFSET($M$15,0,0,$B$8,1))=FJ$14))   /   SUM(OFFSET($BO$15,0,0,$B$14,1)) + $B$18/($B$19*$B$19*($DN81&lt;&gt;$DO81) + $B$19*($DN81=$DO81))</f>
        <v>3.7037037037037035E-4</v>
      </c>
      <c r="FK81" s="10" cm="1">
        <f t="array" aca="1" ref="FK81" ca="1">(1-$B$18)*SUMPRODUCT(OFFSET($BO$15,0,0,$B$14,1), 1*(_xlfn._xlws.FILTER(OFFSET($O$15,0,$DN81,$B$8,1),OFFSET($M$15,0,0,$B$8,1))=FK$13), 1*(_xlfn._xlws.FILTER(OFFSET($O$15,0,$DO81,$B$8,1),OFFSET($M$15,0,0,$B$8,1))=FK$14))   /   SUM(OFFSET($BO$15,0,0,$B$14,1)) + $B$18/($B$19*$B$19*($DN81&lt;&gt;$DO81) + $B$19*($DN81=$DO81))</f>
        <v>3.7037037037037035E-4</v>
      </c>
      <c r="FL81" s="10" cm="1">
        <f t="array" aca="1" ref="FL81" ca="1">(1-$B$18)*SUMPRODUCT(OFFSET($BO$15,0,0,$B$14,1), 1*(_xlfn._xlws.FILTER(OFFSET($O$15,0,$DN81,$B$8,1),OFFSET($M$15,0,0,$B$8,1))=FL$13), 1*(_xlfn._xlws.FILTER(OFFSET($O$15,0,$DO81,$B$8,1),OFFSET($M$15,0,0,$B$8,1))=FL$14))   /   SUM(OFFSET($BO$15,0,0,$B$14,1)) + $B$18/($B$19*$B$19*($DN81&lt;&gt;$DO81) + $B$19*($DN81=$DO81))</f>
        <v>3.7037037037037035E-4</v>
      </c>
      <c r="FM81" s="10" cm="1">
        <f t="array" aca="1" ref="FM81" ca="1">(1-$B$18)*SUMPRODUCT(OFFSET($BO$15,0,0,$B$14,1), 1*(_xlfn._xlws.FILTER(OFFSET($O$15,0,$DN81,$B$8,1),OFFSET($M$15,0,0,$B$8,1))=FM$13), 1*(_xlfn._xlws.FILTER(OFFSET($O$15,0,$DO81,$B$8,1),OFFSET($M$15,0,0,$B$8,1))=FM$14))   /   SUM(OFFSET($BO$15,0,0,$B$14,1)) + $B$18/($B$19*$B$19*($DN81&lt;&gt;$DO81) + $B$19*($DN81=$DO81))</f>
        <v>3.7037037037037035E-4</v>
      </c>
      <c r="FN81" s="10" cm="1">
        <f t="array" aca="1" ref="FN81" ca="1">(1-$B$18)*SUMPRODUCT(OFFSET($BO$15,0,0,$B$14,1), 1*(_xlfn._xlws.FILTER(OFFSET($O$15,0,$DN81,$B$8,1),OFFSET($M$15,0,0,$B$8,1))=FN$13), 1*(_xlfn._xlws.FILTER(OFFSET($O$15,0,$DO81,$B$8,1),OFFSET($M$15,0,0,$B$8,1))=FN$14))   /   SUM(OFFSET($BO$15,0,0,$B$14,1)) + $B$18/($B$19*$B$19*($DN81&lt;&gt;$DO81) + $B$19*($DN81=$DO81))</f>
        <v>3.7037037037037035E-4</v>
      </c>
      <c r="FO81" s="10" cm="1">
        <f t="array" aca="1" ref="FO81" ca="1">(1-$B$18)*SUMPRODUCT(OFFSET($BO$15,0,0,$B$14,1), 1*(_xlfn._xlws.FILTER(OFFSET($O$15,0,$DN81,$B$8,1),OFFSET($M$15,0,0,$B$8,1))=FO$13), 1*(_xlfn._xlws.FILTER(OFFSET($O$15,0,$DO81,$B$8,1),OFFSET($M$15,0,0,$B$8,1))=FO$14))   /   SUM(OFFSET($BO$15,0,0,$B$14,1)) + $B$18/($B$19*$B$19*($DN81&lt;&gt;$DO81) + $B$19*($DN81=$DO81))</f>
        <v>3.7037037037037035E-4</v>
      </c>
      <c r="FP81" s="10" cm="1">
        <f t="array" aca="1" ref="FP81" ca="1">(1-$B$18)*SUMPRODUCT(OFFSET($BO$15,0,0,$B$14,1), 1*(_xlfn._xlws.FILTER(OFFSET($O$15,0,$DN81,$B$8,1),OFFSET($M$15,0,0,$B$8,1))=FP$13), 1*(_xlfn._xlws.FILTER(OFFSET($O$15,0,$DO81,$B$8,1),OFFSET($M$15,0,0,$B$8,1))=FP$14))   /   SUM(OFFSET($BO$15,0,0,$B$14,1)) + $B$18/($B$19*$B$19*($DN81&lt;&gt;$DO81) + $B$19*($DN81=$DO81))</f>
        <v>3.7037037037037035E-4</v>
      </c>
      <c r="FQ81" s="10" cm="1">
        <f t="array" aca="1" ref="FQ81" ca="1">(1-$B$18)*SUMPRODUCT(OFFSET($BO$15,0,0,$B$14,1), 1*(_xlfn._xlws.FILTER(OFFSET($O$15,0,$DN81,$B$8,1),OFFSET($M$15,0,0,$B$8,1))=FQ$13), 1*(_xlfn._xlws.FILTER(OFFSET($O$15,0,$DO81,$B$8,1),OFFSET($M$15,0,0,$B$8,1))=FQ$14))   /   SUM(OFFSET($BO$15,0,0,$B$14,1)) + $B$18/($B$19*$B$19*($DN81&lt;&gt;$DO81) + $B$19*($DN81=$DO81))</f>
        <v>3.7037037037037035E-4</v>
      </c>
      <c r="FR81" s="10" cm="1">
        <f t="array" aca="1" ref="FR81" ca="1">(1-$B$18)*SUMPRODUCT(OFFSET($BO$15,0,0,$B$14,1), 1*(_xlfn._xlws.FILTER(OFFSET($O$15,0,$DN81,$B$8,1),OFFSET($M$15,0,0,$B$8,1))=FR$13), 1*(_xlfn._xlws.FILTER(OFFSET($O$15,0,$DO81,$B$8,1),OFFSET($M$15,0,0,$B$8,1))=FR$14))   /   SUM(OFFSET($BO$15,0,0,$B$14,1)) + $B$18/($B$19*$B$19*($DN81&lt;&gt;$DO81) + $B$19*($DN81=$DO81))</f>
        <v>0.97037037037037033</v>
      </c>
      <c r="FS81" s="10" cm="1">
        <f t="array" aca="1" ref="FS81" ca="1">(1-$B$18)*SUMPRODUCT(OFFSET($BO$15,0,0,$B$14,1), 1*(_xlfn._xlws.FILTER(OFFSET($O$15,0,$DN81,$B$8,1),OFFSET($M$15,0,0,$B$8,1))=FS$13), 1*(_xlfn._xlws.FILTER(OFFSET($O$15,0,$DO81,$B$8,1),OFFSET($M$15,0,0,$B$8,1))=FS$14))   /   SUM(OFFSET($BO$15,0,0,$B$14,1)) + $B$18/($B$19*$B$19*($DN81&lt;&gt;$DO81) + $B$19*($DN81=$DO81))</f>
        <v>3.7037037037037035E-4</v>
      </c>
      <c r="FT81" s="10" cm="1">
        <f t="array" aca="1" ref="FT81" ca="1">(1-$B$18)*SUMPRODUCT(OFFSET($BO$15,0,0,$B$14,1), 1*(_xlfn._xlws.FILTER(OFFSET($O$15,0,$DN81,$B$8,1),OFFSET($M$15,0,0,$B$8,1))=FT$13), 1*(_xlfn._xlws.FILTER(OFFSET($O$15,0,$DO81,$B$8,1),OFFSET($M$15,0,0,$B$8,1))=FT$14))   /   SUM(OFFSET($BO$15,0,0,$B$14,1)) + $B$18/($B$19*$B$19*($DN81&lt;&gt;$DO81) + $B$19*($DN81=$DO81))</f>
        <v>3.7037037037037035E-4</v>
      </c>
      <c r="FU81" s="10" cm="1">
        <f t="array" aca="1" ref="FU81" ca="1">(1-$B$18)*SUMPRODUCT(OFFSET($BO$15,0,0,$B$14,1), 1*(_xlfn._xlws.FILTER(OFFSET($O$15,0,$DN81,$B$8,1),OFFSET($M$15,0,0,$B$8,1))=FU$13), 1*(_xlfn._xlws.FILTER(OFFSET($O$15,0,$DO81,$B$8,1),OFFSET($M$15,0,0,$B$8,1))=FU$14))   /   SUM(OFFSET($BO$15,0,0,$B$14,1)) + $B$18/($B$19*$B$19*($DN81&lt;&gt;$DO81) + $B$19*($DN81=$DO81))</f>
        <v>3.7037037037037035E-4</v>
      </c>
      <c r="FV81" s="10" cm="1">
        <f t="array" aca="1" ref="FV81" ca="1">(1-$B$18)*SUMPRODUCT(OFFSET($BO$15,0,0,$B$14,1), 1*(_xlfn._xlws.FILTER(OFFSET($O$15,0,$DN81,$B$8,1),OFFSET($M$15,0,0,$B$8,1))=FV$13), 1*(_xlfn._xlws.FILTER(OFFSET($O$15,0,$DO81,$B$8,1),OFFSET($M$15,0,0,$B$8,1))=FV$14))   /   SUM(OFFSET($BO$15,0,0,$B$14,1)) + $B$18/($B$19*$B$19*($DN81&lt;&gt;$DO81) + $B$19*($DN81=$DO81))</f>
        <v>3.7037037037037035E-4</v>
      </c>
      <c r="FW81" s="10" cm="1">
        <f t="array" aca="1" ref="FW81" ca="1">(1-$B$18)*SUMPRODUCT(OFFSET($BO$15,0,0,$B$14,1), 1*(_xlfn._xlws.FILTER(OFFSET($O$15,0,$DN81,$B$8,1),OFFSET($M$15,0,0,$B$8,1))=FW$13), 1*(_xlfn._xlws.FILTER(OFFSET($O$15,0,$DO81,$B$8,1),OFFSET($M$15,0,0,$B$8,1))=FW$14))   /   SUM(OFFSET($BO$15,0,0,$B$14,1)) + $B$18/($B$19*$B$19*($DN81&lt;&gt;$DO81) + $B$19*($DN81=$DO81))</f>
        <v>3.7037037037037035E-4</v>
      </c>
      <c r="FX81" s="10" cm="1">
        <f t="array" aca="1" ref="FX81" ca="1">(1-$B$18)*SUMPRODUCT(OFFSET($BO$15,0,0,$B$14,1), 1*(_xlfn._xlws.FILTER(OFFSET($O$15,0,$DN81,$B$8,1),OFFSET($M$15,0,0,$B$8,1))=FX$13), 1*(_xlfn._xlws.FILTER(OFFSET($O$15,0,$DO81,$B$8,1),OFFSET($M$15,0,0,$B$8,1))=FX$14))   /   SUM(OFFSET($BO$15,0,0,$B$14,1)) + $B$18/($B$19*$B$19*($DN81&lt;&gt;$DO81) + $B$19*($DN81=$DO81))</f>
        <v>3.7037037037037035E-4</v>
      </c>
      <c r="FY81" s="10" cm="1">
        <f t="array" aca="1" ref="FY81" ca="1">(1-$B$18)*SUMPRODUCT(OFFSET($BO$15,0,0,$B$14,1), 1*(_xlfn._xlws.FILTER(OFFSET($O$15,0,$DN81,$B$8,1),OFFSET($M$15,0,0,$B$8,1))=FY$13), 1*(_xlfn._xlws.FILTER(OFFSET($O$15,0,$DO81,$B$8,1),OFFSET($M$15,0,0,$B$8,1))=FY$14))   /   SUM(OFFSET($BO$15,0,0,$B$14,1)) + $B$18/($B$19*$B$19*($DN81&lt;&gt;$DO81) + $B$19*($DN81=$DO81))</f>
        <v>3.7037037037037035E-4</v>
      </c>
      <c r="FZ81" s="10" cm="1">
        <f t="array" aca="1" ref="FZ81" ca="1">(1-$B$18)*SUMPRODUCT(OFFSET($BO$15,0,0,$B$14,1), 1*(_xlfn._xlws.FILTER(OFFSET($O$15,0,$DN81,$B$8,1),OFFSET($M$15,0,0,$B$8,1))=FZ$13), 1*(_xlfn._xlws.FILTER(OFFSET($O$15,0,$DO81,$B$8,1),OFFSET($M$15,0,0,$B$8,1))=FZ$14))   /   SUM(OFFSET($BO$15,0,0,$B$14,1)) + $B$18/($B$19*$B$19*($DN81&lt;&gt;$DO81) + $B$19*($DN81=$DO81))</f>
        <v>3.7037037037037035E-4</v>
      </c>
      <c r="GA81" s="10" cm="1">
        <f t="array" aca="1" ref="GA81" ca="1">(1-$B$18)*SUMPRODUCT(OFFSET($BO$15,0,0,$B$14,1), 1*(_xlfn._xlws.FILTER(OFFSET($O$15,0,$DN81,$B$8,1),OFFSET($M$15,0,0,$B$8,1))=GA$13), 1*(_xlfn._xlws.FILTER(OFFSET($O$15,0,$DO81,$B$8,1),OFFSET($M$15,0,0,$B$8,1))=GA$14))   /   SUM(OFFSET($BO$15,0,0,$B$14,1)) + $B$18/($B$19*$B$19*($DN81&lt;&gt;$DO81) + $B$19*($DN81=$DO81))</f>
        <v>3.7037037037037035E-4</v>
      </c>
    </row>
    <row r="82" spans="7:183" x14ac:dyDescent="0.2">
      <c r="G82" s="2"/>
      <c r="H82" s="2"/>
      <c r="DN82" cm="1">
        <f t="array" aca="1" ref="DN82" ca="1">INDEX(_xlfn.ANCHORARRAY($CP$15), 1 + INT((ROWS($DO$15:$DO82) - 1) / ROWS(_xlfn.ANCHORARRAY($CP$15))))</f>
        <v>3</v>
      </c>
      <c r="DO82" cm="1">
        <f t="array" aca="1" ref="DO82" ca="1">INDEX(_xlfn.ANCHORARRAY($CP$15),1+MOD(ROWS($DO$15:$DO82)-1,ROWS(_xlfn.ANCHORARRAY($CP$15))))</f>
        <v>11</v>
      </c>
      <c r="DP82" s="10" cm="1">
        <f t="array" aca="1" ref="DP82" ca="1">(1-$B$18)*SUMPRODUCT(OFFSET($BO$15,0,0,$B$14,1), 1*(_xlfn._xlws.FILTER(OFFSET($O$15,0,$DN82,$B$8,1),OFFSET($M$15,0,0,$B$8,1))=DP$13), 1*(_xlfn._xlws.FILTER(OFFSET($O$15,0,$DO82,$B$8,1),OFFSET($M$15,0,0,$B$8,1))=DP$14))   /   SUM(OFFSET($BO$15,0,0,$B$14,1)) + $B$18/($B$19*$B$19*($DN82&lt;&gt;$DO82) + $B$19*($DN82=$DO82))</f>
        <v>3.7037037037037035E-4</v>
      </c>
      <c r="DQ82" s="10" cm="1">
        <f t="array" aca="1" ref="DQ82" ca="1">(1-$B$18)*SUMPRODUCT(OFFSET($BO$15,0,0,$B$14,1), 1*(_xlfn._xlws.FILTER(OFFSET($O$15,0,$DN82,$B$8,1),OFFSET($M$15,0,0,$B$8,1))=DQ$13), 1*(_xlfn._xlws.FILTER(OFFSET($O$15,0,$DO82,$B$8,1),OFFSET($M$15,0,0,$B$8,1))=DQ$14))   /   SUM(OFFSET($BO$15,0,0,$B$14,1)) + $B$18/($B$19*$B$19*($DN82&lt;&gt;$DO82) + $B$19*($DN82=$DO82))</f>
        <v>3.7037037037037035E-4</v>
      </c>
      <c r="DR82" s="10" cm="1">
        <f t="array" aca="1" ref="DR82" ca="1">(1-$B$18)*SUMPRODUCT(OFFSET($BO$15,0,0,$B$14,1), 1*(_xlfn._xlws.FILTER(OFFSET($O$15,0,$DN82,$B$8,1),OFFSET($M$15,0,0,$B$8,1))=DR$13), 1*(_xlfn._xlws.FILTER(OFFSET($O$15,0,$DO82,$B$8,1),OFFSET($M$15,0,0,$B$8,1))=DR$14))   /   SUM(OFFSET($BO$15,0,0,$B$14,1)) + $B$18/($B$19*$B$19*($DN82&lt;&gt;$DO82) + $B$19*($DN82=$DO82))</f>
        <v>3.7037037037037035E-4</v>
      </c>
      <c r="DS82" s="10" cm="1">
        <f t="array" aca="1" ref="DS82" ca="1">(1-$B$18)*SUMPRODUCT(OFFSET($BO$15,0,0,$B$14,1), 1*(_xlfn._xlws.FILTER(OFFSET($O$15,0,$DN82,$B$8,1),OFFSET($M$15,0,0,$B$8,1))=DS$13), 1*(_xlfn._xlws.FILTER(OFFSET($O$15,0,$DO82,$B$8,1),OFFSET($M$15,0,0,$B$8,1))=DS$14))   /   SUM(OFFSET($BO$15,0,0,$B$14,1)) + $B$18/($B$19*$B$19*($DN82&lt;&gt;$DO82) + $B$19*($DN82=$DO82))</f>
        <v>3.7037037037037035E-4</v>
      </c>
      <c r="DT82" s="10" cm="1">
        <f t="array" aca="1" ref="DT82" ca="1">(1-$B$18)*SUMPRODUCT(OFFSET($BO$15,0,0,$B$14,1), 1*(_xlfn._xlws.FILTER(OFFSET($O$15,0,$DN82,$B$8,1),OFFSET($M$15,0,0,$B$8,1))=DT$13), 1*(_xlfn._xlws.FILTER(OFFSET($O$15,0,$DO82,$B$8,1),OFFSET($M$15,0,0,$B$8,1))=DT$14))   /   SUM(OFFSET($BO$15,0,0,$B$14,1)) + $B$18/($B$19*$B$19*($DN82&lt;&gt;$DO82) + $B$19*($DN82=$DO82))</f>
        <v>3.7037037037037035E-4</v>
      </c>
      <c r="DU82" s="10" cm="1">
        <f t="array" aca="1" ref="DU82" ca="1">(1-$B$18)*SUMPRODUCT(OFFSET($BO$15,0,0,$B$14,1), 1*(_xlfn._xlws.FILTER(OFFSET($O$15,0,$DN82,$B$8,1),OFFSET($M$15,0,0,$B$8,1))=DU$13), 1*(_xlfn._xlws.FILTER(OFFSET($O$15,0,$DO82,$B$8,1),OFFSET($M$15,0,0,$B$8,1))=DU$14))   /   SUM(OFFSET($BO$15,0,0,$B$14,1)) + $B$18/($B$19*$B$19*($DN82&lt;&gt;$DO82) + $B$19*($DN82=$DO82))</f>
        <v>3.7037037037037035E-4</v>
      </c>
      <c r="DV82" s="10" cm="1">
        <f t="array" aca="1" ref="DV82" ca="1">(1-$B$18)*SUMPRODUCT(OFFSET($BO$15,0,0,$B$14,1), 1*(_xlfn._xlws.FILTER(OFFSET($O$15,0,$DN82,$B$8,1),OFFSET($M$15,0,0,$B$8,1))=DV$13), 1*(_xlfn._xlws.FILTER(OFFSET($O$15,0,$DO82,$B$8,1),OFFSET($M$15,0,0,$B$8,1))=DV$14))   /   SUM(OFFSET($BO$15,0,0,$B$14,1)) + $B$18/($B$19*$B$19*($DN82&lt;&gt;$DO82) + $B$19*($DN82=$DO82))</f>
        <v>3.7037037037037035E-4</v>
      </c>
      <c r="DW82" s="10" cm="1">
        <f t="array" aca="1" ref="DW82" ca="1">(1-$B$18)*SUMPRODUCT(OFFSET($BO$15,0,0,$B$14,1), 1*(_xlfn._xlws.FILTER(OFFSET($O$15,0,$DN82,$B$8,1),OFFSET($M$15,0,0,$B$8,1))=DW$13), 1*(_xlfn._xlws.FILTER(OFFSET($O$15,0,$DO82,$B$8,1),OFFSET($M$15,0,0,$B$8,1))=DW$14))   /   SUM(OFFSET($BO$15,0,0,$B$14,1)) + $B$18/($B$19*$B$19*($DN82&lt;&gt;$DO82) + $B$19*($DN82=$DO82))</f>
        <v>3.7037037037037035E-4</v>
      </c>
      <c r="DX82" s="10" cm="1">
        <f t="array" aca="1" ref="DX82" ca="1">(1-$B$18)*SUMPRODUCT(OFFSET($BO$15,0,0,$B$14,1), 1*(_xlfn._xlws.FILTER(OFFSET($O$15,0,$DN82,$B$8,1),OFFSET($M$15,0,0,$B$8,1))=DX$13), 1*(_xlfn._xlws.FILTER(OFFSET($O$15,0,$DO82,$B$8,1),OFFSET($M$15,0,0,$B$8,1))=DX$14))   /   SUM(OFFSET($BO$15,0,0,$B$14,1)) + $B$18/($B$19*$B$19*($DN82&lt;&gt;$DO82) + $B$19*($DN82=$DO82))</f>
        <v>3.7037037037037035E-4</v>
      </c>
      <c r="DY82" s="10" cm="1">
        <f t="array" aca="1" ref="DY82" ca="1">(1-$B$18)*SUMPRODUCT(OFFSET($BO$15,0,0,$B$14,1), 1*(_xlfn._xlws.FILTER(OFFSET($O$15,0,$DN82,$B$8,1),OFFSET($M$15,0,0,$B$8,1))=DY$13), 1*(_xlfn._xlws.FILTER(OFFSET($O$15,0,$DO82,$B$8,1),OFFSET($M$15,0,0,$B$8,1))=DY$14))   /   SUM(OFFSET($BO$15,0,0,$B$14,1)) + $B$18/($B$19*$B$19*($DN82&lt;&gt;$DO82) + $B$19*($DN82=$DO82))</f>
        <v>3.7037037037037035E-4</v>
      </c>
      <c r="DZ82" s="10" cm="1">
        <f t="array" aca="1" ref="DZ82" ca="1">(1-$B$18)*SUMPRODUCT(OFFSET($BO$15,0,0,$B$14,1), 1*(_xlfn._xlws.FILTER(OFFSET($O$15,0,$DN82,$B$8,1),OFFSET($M$15,0,0,$B$8,1))=DZ$13), 1*(_xlfn._xlws.FILTER(OFFSET($O$15,0,$DO82,$B$8,1),OFFSET($M$15,0,0,$B$8,1))=DZ$14))   /   SUM(OFFSET($BO$15,0,0,$B$14,1)) + $B$18/($B$19*$B$19*($DN82&lt;&gt;$DO82) + $B$19*($DN82=$DO82))</f>
        <v>3.7037037037037035E-4</v>
      </c>
      <c r="EA82" s="10" cm="1">
        <f t="array" aca="1" ref="EA82" ca="1">(1-$B$18)*SUMPRODUCT(OFFSET($BO$15,0,0,$B$14,1), 1*(_xlfn._xlws.FILTER(OFFSET($O$15,0,$DN82,$B$8,1),OFFSET($M$15,0,0,$B$8,1))=EA$13), 1*(_xlfn._xlws.FILTER(OFFSET($O$15,0,$DO82,$B$8,1),OFFSET($M$15,0,0,$B$8,1))=EA$14))   /   SUM(OFFSET($BO$15,0,0,$B$14,1)) + $B$18/($B$19*$B$19*($DN82&lt;&gt;$DO82) + $B$19*($DN82=$DO82))</f>
        <v>3.7037037037037035E-4</v>
      </c>
      <c r="EB82" s="10" cm="1">
        <f t="array" aca="1" ref="EB82" ca="1">(1-$B$18)*SUMPRODUCT(OFFSET($BO$15,0,0,$B$14,1), 1*(_xlfn._xlws.FILTER(OFFSET($O$15,0,$DN82,$B$8,1),OFFSET($M$15,0,0,$B$8,1))=EB$13), 1*(_xlfn._xlws.FILTER(OFFSET($O$15,0,$DO82,$B$8,1),OFFSET($M$15,0,0,$B$8,1))=EB$14))   /   SUM(OFFSET($BO$15,0,0,$B$14,1)) + $B$18/($B$19*$B$19*($DN82&lt;&gt;$DO82) + $B$19*($DN82=$DO82))</f>
        <v>3.7037037037037035E-4</v>
      </c>
      <c r="EC82" s="10" cm="1">
        <f t="array" aca="1" ref="EC82" ca="1">(1-$B$18)*SUMPRODUCT(OFFSET($BO$15,0,0,$B$14,1), 1*(_xlfn._xlws.FILTER(OFFSET($O$15,0,$DN82,$B$8,1),OFFSET($M$15,0,0,$B$8,1))=EC$13), 1*(_xlfn._xlws.FILTER(OFFSET($O$15,0,$DO82,$B$8,1),OFFSET($M$15,0,0,$B$8,1))=EC$14))   /   SUM(OFFSET($BO$15,0,0,$B$14,1)) + $B$18/($B$19*$B$19*($DN82&lt;&gt;$DO82) + $B$19*($DN82=$DO82))</f>
        <v>3.7037037037037035E-4</v>
      </c>
      <c r="ED82" s="10" cm="1">
        <f t="array" aca="1" ref="ED82" ca="1">(1-$B$18)*SUMPRODUCT(OFFSET($BO$15,0,0,$B$14,1), 1*(_xlfn._xlws.FILTER(OFFSET($O$15,0,$DN82,$B$8,1),OFFSET($M$15,0,0,$B$8,1))=ED$13), 1*(_xlfn._xlws.FILTER(OFFSET($O$15,0,$DO82,$B$8,1),OFFSET($M$15,0,0,$B$8,1))=ED$14))   /   SUM(OFFSET($BO$15,0,0,$B$14,1)) + $B$18/($B$19*$B$19*($DN82&lt;&gt;$DO82) + $B$19*($DN82=$DO82))</f>
        <v>3.7037037037037035E-4</v>
      </c>
      <c r="EE82" s="10" cm="1">
        <f t="array" aca="1" ref="EE82" ca="1">(1-$B$18)*SUMPRODUCT(OFFSET($BO$15,0,0,$B$14,1), 1*(_xlfn._xlws.FILTER(OFFSET($O$15,0,$DN82,$B$8,1),OFFSET($M$15,0,0,$B$8,1))=EE$13), 1*(_xlfn._xlws.FILTER(OFFSET($O$15,0,$DO82,$B$8,1),OFFSET($M$15,0,0,$B$8,1))=EE$14))   /   SUM(OFFSET($BO$15,0,0,$B$14,1)) + $B$18/($B$19*$B$19*($DN82&lt;&gt;$DO82) + $B$19*($DN82=$DO82))</f>
        <v>3.7037037037037035E-4</v>
      </c>
      <c r="EF82" s="10" cm="1">
        <f t="array" aca="1" ref="EF82" ca="1">(1-$B$18)*SUMPRODUCT(OFFSET($BO$15,0,0,$B$14,1), 1*(_xlfn._xlws.FILTER(OFFSET($O$15,0,$DN82,$B$8,1),OFFSET($M$15,0,0,$B$8,1))=EF$13), 1*(_xlfn._xlws.FILTER(OFFSET($O$15,0,$DO82,$B$8,1),OFFSET($M$15,0,0,$B$8,1))=EF$14))   /   SUM(OFFSET($BO$15,0,0,$B$14,1)) + $B$18/($B$19*$B$19*($DN82&lt;&gt;$DO82) + $B$19*($DN82=$DO82))</f>
        <v>3.7037037037037035E-4</v>
      </c>
      <c r="EG82" s="10" cm="1">
        <f t="array" aca="1" ref="EG82" ca="1">(1-$B$18)*SUMPRODUCT(OFFSET($BO$15,0,0,$B$14,1), 1*(_xlfn._xlws.FILTER(OFFSET($O$15,0,$DN82,$B$8,1),OFFSET($M$15,0,0,$B$8,1))=EG$13), 1*(_xlfn._xlws.FILTER(OFFSET($O$15,0,$DO82,$B$8,1),OFFSET($M$15,0,0,$B$8,1))=EG$14))   /   SUM(OFFSET($BO$15,0,0,$B$14,1)) + $B$18/($B$19*$B$19*($DN82&lt;&gt;$DO82) + $B$19*($DN82=$DO82))</f>
        <v>3.7037037037037035E-4</v>
      </c>
      <c r="EH82" s="10" cm="1">
        <f t="array" aca="1" ref="EH82" ca="1">(1-$B$18)*SUMPRODUCT(OFFSET($BO$15,0,0,$B$14,1), 1*(_xlfn._xlws.FILTER(OFFSET($O$15,0,$DN82,$B$8,1),OFFSET($M$15,0,0,$B$8,1))=EH$13), 1*(_xlfn._xlws.FILTER(OFFSET($O$15,0,$DO82,$B$8,1),OFFSET($M$15,0,0,$B$8,1))=EH$14))   /   SUM(OFFSET($BO$15,0,0,$B$14,1)) + $B$18/($B$19*$B$19*($DN82&lt;&gt;$DO82) + $B$19*($DN82=$DO82))</f>
        <v>3.7037037037037035E-4</v>
      </c>
      <c r="EI82" s="10" cm="1">
        <f t="array" aca="1" ref="EI82" ca="1">(1-$B$18)*SUMPRODUCT(OFFSET($BO$15,0,0,$B$14,1), 1*(_xlfn._xlws.FILTER(OFFSET($O$15,0,$DN82,$B$8,1),OFFSET($M$15,0,0,$B$8,1))=EI$13), 1*(_xlfn._xlws.FILTER(OFFSET($O$15,0,$DO82,$B$8,1),OFFSET($M$15,0,0,$B$8,1))=EI$14))   /   SUM(OFFSET($BO$15,0,0,$B$14,1)) + $B$18/($B$19*$B$19*($DN82&lt;&gt;$DO82) + $B$19*($DN82=$DO82))</f>
        <v>3.7037037037037035E-4</v>
      </c>
      <c r="EJ82" s="10" cm="1">
        <f t="array" aca="1" ref="EJ82" ca="1">(1-$B$18)*SUMPRODUCT(OFFSET($BO$15,0,0,$B$14,1), 1*(_xlfn._xlws.FILTER(OFFSET($O$15,0,$DN82,$B$8,1),OFFSET($M$15,0,0,$B$8,1))=EJ$13), 1*(_xlfn._xlws.FILTER(OFFSET($O$15,0,$DO82,$B$8,1),OFFSET($M$15,0,0,$B$8,1))=EJ$14))   /   SUM(OFFSET($BO$15,0,0,$B$14,1)) + $B$18/($B$19*$B$19*($DN82&lt;&gt;$DO82) + $B$19*($DN82=$DO82))</f>
        <v>3.7037037037037035E-4</v>
      </c>
      <c r="EK82" s="10" cm="1">
        <f t="array" aca="1" ref="EK82" ca="1">(1-$B$18)*SUMPRODUCT(OFFSET($BO$15,0,0,$B$14,1), 1*(_xlfn._xlws.FILTER(OFFSET($O$15,0,$DN82,$B$8,1),OFFSET($M$15,0,0,$B$8,1))=EK$13), 1*(_xlfn._xlws.FILTER(OFFSET($O$15,0,$DO82,$B$8,1),OFFSET($M$15,0,0,$B$8,1))=EK$14))   /   SUM(OFFSET($BO$15,0,0,$B$14,1)) + $B$18/($B$19*$B$19*($DN82&lt;&gt;$DO82) + $B$19*($DN82=$DO82))</f>
        <v>3.7037037037037035E-4</v>
      </c>
      <c r="EL82" s="10" cm="1">
        <f t="array" aca="1" ref="EL82" ca="1">(1-$B$18)*SUMPRODUCT(OFFSET($BO$15,0,0,$B$14,1), 1*(_xlfn._xlws.FILTER(OFFSET($O$15,0,$DN82,$B$8,1),OFFSET($M$15,0,0,$B$8,1))=EL$13), 1*(_xlfn._xlws.FILTER(OFFSET($O$15,0,$DO82,$B$8,1),OFFSET($M$15,0,0,$B$8,1))=EL$14))   /   SUM(OFFSET($BO$15,0,0,$B$14,1)) + $B$18/($B$19*$B$19*($DN82&lt;&gt;$DO82) + $B$19*($DN82=$DO82))</f>
        <v>3.7037037037037035E-4</v>
      </c>
      <c r="EM82" s="10" cm="1">
        <f t="array" aca="1" ref="EM82" ca="1">(1-$B$18)*SUMPRODUCT(OFFSET($BO$15,0,0,$B$14,1), 1*(_xlfn._xlws.FILTER(OFFSET($O$15,0,$DN82,$B$8,1),OFFSET($M$15,0,0,$B$8,1))=EM$13), 1*(_xlfn._xlws.FILTER(OFFSET($O$15,0,$DO82,$B$8,1),OFFSET($M$15,0,0,$B$8,1))=EM$14))   /   SUM(OFFSET($BO$15,0,0,$B$14,1)) + $B$18/($B$19*$B$19*($DN82&lt;&gt;$DO82) + $B$19*($DN82=$DO82))</f>
        <v>3.7037037037037035E-4</v>
      </c>
      <c r="EN82" s="10" cm="1">
        <f t="array" aca="1" ref="EN82" ca="1">(1-$B$18)*SUMPRODUCT(OFFSET($BO$15,0,0,$B$14,1), 1*(_xlfn._xlws.FILTER(OFFSET($O$15,0,$DN82,$B$8,1),OFFSET($M$15,0,0,$B$8,1))=EN$13), 1*(_xlfn._xlws.FILTER(OFFSET($O$15,0,$DO82,$B$8,1),OFFSET($M$15,0,0,$B$8,1))=EN$14))   /   SUM(OFFSET($BO$15,0,0,$B$14,1)) + $B$18/($B$19*$B$19*($DN82&lt;&gt;$DO82) + $B$19*($DN82=$DO82))</f>
        <v>3.7037037037037035E-4</v>
      </c>
      <c r="EO82" s="10" cm="1">
        <f t="array" aca="1" ref="EO82" ca="1">(1-$B$18)*SUMPRODUCT(OFFSET($BO$15,0,0,$B$14,1), 1*(_xlfn._xlws.FILTER(OFFSET($O$15,0,$DN82,$B$8,1),OFFSET($M$15,0,0,$B$8,1))=EO$13), 1*(_xlfn._xlws.FILTER(OFFSET($O$15,0,$DO82,$B$8,1),OFFSET($M$15,0,0,$B$8,1))=EO$14))   /   SUM(OFFSET($BO$15,0,0,$B$14,1)) + $B$18/($B$19*$B$19*($DN82&lt;&gt;$DO82) + $B$19*($DN82=$DO82))</f>
        <v>3.7037037037037035E-4</v>
      </c>
      <c r="EP82" s="10" cm="1">
        <f t="array" aca="1" ref="EP82" ca="1">(1-$B$18)*SUMPRODUCT(OFFSET($BO$15,0,0,$B$14,1), 1*(_xlfn._xlws.FILTER(OFFSET($O$15,0,$DN82,$B$8,1),OFFSET($M$15,0,0,$B$8,1))=EP$13), 1*(_xlfn._xlws.FILTER(OFFSET($O$15,0,$DO82,$B$8,1),OFFSET($M$15,0,0,$B$8,1))=EP$14))   /   SUM(OFFSET($BO$15,0,0,$B$14,1)) + $B$18/($B$19*$B$19*($DN82&lt;&gt;$DO82) + $B$19*($DN82=$DO82))</f>
        <v>3.7037037037037035E-4</v>
      </c>
      <c r="EQ82" s="10" cm="1">
        <f t="array" aca="1" ref="EQ82" ca="1">(1-$B$18)*SUMPRODUCT(OFFSET($BO$15,0,0,$B$14,1), 1*(_xlfn._xlws.FILTER(OFFSET($O$15,0,$DN82,$B$8,1),OFFSET($M$15,0,0,$B$8,1))=EQ$13), 1*(_xlfn._xlws.FILTER(OFFSET($O$15,0,$DO82,$B$8,1),OFFSET($M$15,0,0,$B$8,1))=EQ$14))   /   SUM(OFFSET($BO$15,0,0,$B$14,1)) + $B$18/($B$19*$B$19*($DN82&lt;&gt;$DO82) + $B$19*($DN82=$DO82))</f>
        <v>3.7037037037037035E-4</v>
      </c>
      <c r="ER82" s="10" cm="1">
        <f t="array" aca="1" ref="ER82" ca="1">(1-$B$18)*SUMPRODUCT(OFFSET($BO$15,0,0,$B$14,1), 1*(_xlfn._xlws.FILTER(OFFSET($O$15,0,$DN82,$B$8,1),OFFSET($M$15,0,0,$B$8,1))=ER$13), 1*(_xlfn._xlws.FILTER(OFFSET($O$15,0,$DO82,$B$8,1),OFFSET($M$15,0,0,$B$8,1))=ER$14))   /   SUM(OFFSET($BO$15,0,0,$B$14,1)) + $B$18/($B$19*$B$19*($DN82&lt;&gt;$DO82) + $B$19*($DN82=$DO82))</f>
        <v>3.7037037037037035E-4</v>
      </c>
      <c r="ES82" s="10" cm="1">
        <f t="array" aca="1" ref="ES82" ca="1">(1-$B$18)*SUMPRODUCT(OFFSET($BO$15,0,0,$B$14,1), 1*(_xlfn._xlws.FILTER(OFFSET($O$15,0,$DN82,$B$8,1),OFFSET($M$15,0,0,$B$8,1))=ES$13), 1*(_xlfn._xlws.FILTER(OFFSET($O$15,0,$DO82,$B$8,1),OFFSET($M$15,0,0,$B$8,1))=ES$14))   /   SUM(OFFSET($BO$15,0,0,$B$14,1)) + $B$18/($B$19*$B$19*($DN82&lt;&gt;$DO82) + $B$19*($DN82=$DO82))</f>
        <v>3.7037037037037035E-4</v>
      </c>
      <c r="ET82" s="10" cm="1">
        <f t="array" aca="1" ref="ET82" ca="1">(1-$B$18)*SUMPRODUCT(OFFSET($BO$15,0,0,$B$14,1), 1*(_xlfn._xlws.FILTER(OFFSET($O$15,0,$DN82,$B$8,1),OFFSET($M$15,0,0,$B$8,1))=ET$13), 1*(_xlfn._xlws.FILTER(OFFSET($O$15,0,$DO82,$B$8,1),OFFSET($M$15,0,0,$B$8,1))=ET$14))   /   SUM(OFFSET($BO$15,0,0,$B$14,1)) + $B$18/($B$19*$B$19*($DN82&lt;&gt;$DO82) + $B$19*($DN82=$DO82))</f>
        <v>3.7037037037037035E-4</v>
      </c>
      <c r="EU82" s="10" cm="1">
        <f t="array" aca="1" ref="EU82" ca="1">(1-$B$18)*SUMPRODUCT(OFFSET($BO$15,0,0,$B$14,1), 1*(_xlfn._xlws.FILTER(OFFSET($O$15,0,$DN82,$B$8,1),OFFSET($M$15,0,0,$B$8,1))=EU$13), 1*(_xlfn._xlws.FILTER(OFFSET($O$15,0,$DO82,$B$8,1),OFFSET($M$15,0,0,$B$8,1))=EU$14))   /   SUM(OFFSET($BO$15,0,0,$B$14,1)) + $B$18/($B$19*$B$19*($DN82&lt;&gt;$DO82) + $B$19*($DN82=$DO82))</f>
        <v>3.7037037037037035E-4</v>
      </c>
      <c r="EV82" s="10" cm="1">
        <f t="array" aca="1" ref="EV82" ca="1">(1-$B$18)*SUMPRODUCT(OFFSET($BO$15,0,0,$B$14,1), 1*(_xlfn._xlws.FILTER(OFFSET($O$15,0,$DN82,$B$8,1),OFFSET($M$15,0,0,$B$8,1))=EV$13), 1*(_xlfn._xlws.FILTER(OFFSET($O$15,0,$DO82,$B$8,1),OFFSET($M$15,0,0,$B$8,1))=EV$14))   /   SUM(OFFSET($BO$15,0,0,$B$14,1)) + $B$18/($B$19*$B$19*($DN82&lt;&gt;$DO82) + $B$19*($DN82=$DO82))</f>
        <v>3.7037037037037035E-4</v>
      </c>
      <c r="EW82" s="10" cm="1">
        <f t="array" aca="1" ref="EW82" ca="1">(1-$B$18)*SUMPRODUCT(OFFSET($BO$15,0,0,$B$14,1), 1*(_xlfn._xlws.FILTER(OFFSET($O$15,0,$DN82,$B$8,1),OFFSET($M$15,0,0,$B$8,1))=EW$13), 1*(_xlfn._xlws.FILTER(OFFSET($O$15,0,$DO82,$B$8,1),OFFSET($M$15,0,0,$B$8,1))=EW$14))   /   SUM(OFFSET($BO$15,0,0,$B$14,1)) + $B$18/($B$19*$B$19*($DN82&lt;&gt;$DO82) + $B$19*($DN82=$DO82))</f>
        <v>3.7037037037037035E-4</v>
      </c>
      <c r="EX82" s="10" cm="1">
        <f t="array" aca="1" ref="EX82" ca="1">(1-$B$18)*SUMPRODUCT(OFFSET($BO$15,0,0,$B$14,1), 1*(_xlfn._xlws.FILTER(OFFSET($O$15,0,$DN82,$B$8,1),OFFSET($M$15,0,0,$B$8,1))=EX$13), 1*(_xlfn._xlws.FILTER(OFFSET($O$15,0,$DO82,$B$8,1),OFFSET($M$15,0,0,$B$8,1))=EX$14))   /   SUM(OFFSET($BO$15,0,0,$B$14,1)) + $B$18/($B$19*$B$19*($DN82&lt;&gt;$DO82) + $B$19*($DN82=$DO82))</f>
        <v>3.7037037037037035E-4</v>
      </c>
      <c r="EY82" s="10" cm="1">
        <f t="array" aca="1" ref="EY82" ca="1">(1-$B$18)*SUMPRODUCT(OFFSET($BO$15,0,0,$B$14,1), 1*(_xlfn._xlws.FILTER(OFFSET($O$15,0,$DN82,$B$8,1),OFFSET($M$15,0,0,$B$8,1))=EY$13), 1*(_xlfn._xlws.FILTER(OFFSET($O$15,0,$DO82,$B$8,1),OFFSET($M$15,0,0,$B$8,1))=EY$14))   /   SUM(OFFSET($BO$15,0,0,$B$14,1)) + $B$18/($B$19*$B$19*($DN82&lt;&gt;$DO82) + $B$19*($DN82=$DO82))</f>
        <v>3.7037037037037035E-4</v>
      </c>
      <c r="EZ82" s="10" cm="1">
        <f t="array" aca="1" ref="EZ82" ca="1">(1-$B$18)*SUMPRODUCT(OFFSET($BO$15,0,0,$B$14,1), 1*(_xlfn._xlws.FILTER(OFFSET($O$15,0,$DN82,$B$8,1),OFFSET($M$15,0,0,$B$8,1))=EZ$13), 1*(_xlfn._xlws.FILTER(OFFSET($O$15,0,$DO82,$B$8,1),OFFSET($M$15,0,0,$B$8,1))=EZ$14))   /   SUM(OFFSET($BO$15,0,0,$B$14,1)) + $B$18/($B$19*$B$19*($DN82&lt;&gt;$DO82) + $B$19*($DN82=$DO82))</f>
        <v>3.7037037037037035E-4</v>
      </c>
      <c r="FA82" s="10" cm="1">
        <f t="array" aca="1" ref="FA82" ca="1">(1-$B$18)*SUMPRODUCT(OFFSET($BO$15,0,0,$B$14,1), 1*(_xlfn._xlws.FILTER(OFFSET($O$15,0,$DN82,$B$8,1),OFFSET($M$15,0,0,$B$8,1))=FA$13), 1*(_xlfn._xlws.FILTER(OFFSET($O$15,0,$DO82,$B$8,1),OFFSET($M$15,0,0,$B$8,1))=FA$14))   /   SUM(OFFSET($BO$15,0,0,$B$14,1)) + $B$18/($B$19*$B$19*($DN82&lt;&gt;$DO82) + $B$19*($DN82=$DO82))</f>
        <v>3.7037037037037035E-4</v>
      </c>
      <c r="FB82" s="10" cm="1">
        <f t="array" aca="1" ref="FB82" ca="1">(1-$B$18)*SUMPRODUCT(OFFSET($BO$15,0,0,$B$14,1), 1*(_xlfn._xlws.FILTER(OFFSET($O$15,0,$DN82,$B$8,1),OFFSET($M$15,0,0,$B$8,1))=FB$13), 1*(_xlfn._xlws.FILTER(OFFSET($O$15,0,$DO82,$B$8,1),OFFSET($M$15,0,0,$B$8,1))=FB$14))   /   SUM(OFFSET($BO$15,0,0,$B$14,1)) + $B$18/($B$19*$B$19*($DN82&lt;&gt;$DO82) + $B$19*($DN82=$DO82))</f>
        <v>3.7037037037037035E-4</v>
      </c>
      <c r="FC82" s="10" cm="1">
        <f t="array" aca="1" ref="FC82" ca="1">(1-$B$18)*SUMPRODUCT(OFFSET($BO$15,0,0,$B$14,1), 1*(_xlfn._xlws.FILTER(OFFSET($O$15,0,$DN82,$B$8,1),OFFSET($M$15,0,0,$B$8,1))=FC$13), 1*(_xlfn._xlws.FILTER(OFFSET($O$15,0,$DO82,$B$8,1),OFFSET($M$15,0,0,$B$8,1))=FC$14))   /   SUM(OFFSET($BO$15,0,0,$B$14,1)) + $B$18/($B$19*$B$19*($DN82&lt;&gt;$DO82) + $B$19*($DN82=$DO82))</f>
        <v>3.7037037037037035E-4</v>
      </c>
      <c r="FD82" s="10" cm="1">
        <f t="array" aca="1" ref="FD82" ca="1">(1-$B$18)*SUMPRODUCT(OFFSET($BO$15,0,0,$B$14,1), 1*(_xlfn._xlws.FILTER(OFFSET($O$15,0,$DN82,$B$8,1),OFFSET($M$15,0,0,$B$8,1))=FD$13), 1*(_xlfn._xlws.FILTER(OFFSET($O$15,0,$DO82,$B$8,1),OFFSET($M$15,0,0,$B$8,1))=FD$14))   /   SUM(OFFSET($BO$15,0,0,$B$14,1)) + $B$18/($B$19*$B$19*($DN82&lt;&gt;$DO82) + $B$19*($DN82=$DO82))</f>
        <v>3.7037037037037035E-4</v>
      </c>
      <c r="FE82" s="10" cm="1">
        <f t="array" aca="1" ref="FE82" ca="1">(1-$B$18)*SUMPRODUCT(OFFSET($BO$15,0,0,$B$14,1), 1*(_xlfn._xlws.FILTER(OFFSET($O$15,0,$DN82,$B$8,1),OFFSET($M$15,0,0,$B$8,1))=FE$13), 1*(_xlfn._xlws.FILTER(OFFSET($O$15,0,$DO82,$B$8,1),OFFSET($M$15,0,0,$B$8,1))=FE$14))   /   SUM(OFFSET($BO$15,0,0,$B$14,1)) + $B$18/($B$19*$B$19*($DN82&lt;&gt;$DO82) + $B$19*($DN82=$DO82))</f>
        <v>3.7037037037037035E-4</v>
      </c>
      <c r="FF82" s="10" cm="1">
        <f t="array" aca="1" ref="FF82" ca="1">(1-$B$18)*SUMPRODUCT(OFFSET($BO$15,0,0,$B$14,1), 1*(_xlfn._xlws.FILTER(OFFSET($O$15,0,$DN82,$B$8,1),OFFSET($M$15,0,0,$B$8,1))=FF$13), 1*(_xlfn._xlws.FILTER(OFFSET($O$15,0,$DO82,$B$8,1),OFFSET($M$15,0,0,$B$8,1))=FF$14))   /   SUM(OFFSET($BO$15,0,0,$B$14,1)) + $B$18/($B$19*$B$19*($DN82&lt;&gt;$DO82) + $B$19*($DN82=$DO82))</f>
        <v>3.7037037037037035E-4</v>
      </c>
      <c r="FG82" s="10" cm="1">
        <f t="array" aca="1" ref="FG82" ca="1">(1-$B$18)*SUMPRODUCT(OFFSET($BO$15,0,0,$B$14,1), 1*(_xlfn._xlws.FILTER(OFFSET($O$15,0,$DN82,$B$8,1),OFFSET($M$15,0,0,$B$8,1))=FG$13), 1*(_xlfn._xlws.FILTER(OFFSET($O$15,0,$DO82,$B$8,1),OFFSET($M$15,0,0,$B$8,1))=FG$14))   /   SUM(OFFSET($BO$15,0,0,$B$14,1)) + $B$18/($B$19*$B$19*($DN82&lt;&gt;$DO82) + $B$19*($DN82=$DO82))</f>
        <v>3.7037037037037035E-4</v>
      </c>
      <c r="FH82" s="10" cm="1">
        <f t="array" aca="1" ref="FH82" ca="1">(1-$B$18)*SUMPRODUCT(OFFSET($BO$15,0,0,$B$14,1), 1*(_xlfn._xlws.FILTER(OFFSET($O$15,0,$DN82,$B$8,1),OFFSET($M$15,0,0,$B$8,1))=FH$13), 1*(_xlfn._xlws.FILTER(OFFSET($O$15,0,$DO82,$B$8,1),OFFSET($M$15,0,0,$B$8,1))=FH$14))   /   SUM(OFFSET($BO$15,0,0,$B$14,1)) + $B$18/($B$19*$B$19*($DN82&lt;&gt;$DO82) + $B$19*($DN82=$DO82))</f>
        <v>3.7037037037037035E-4</v>
      </c>
      <c r="FI82" s="10" cm="1">
        <f t="array" aca="1" ref="FI82" ca="1">(1-$B$18)*SUMPRODUCT(OFFSET($BO$15,0,0,$B$14,1), 1*(_xlfn._xlws.FILTER(OFFSET($O$15,0,$DN82,$B$8,1),OFFSET($M$15,0,0,$B$8,1))=FI$13), 1*(_xlfn._xlws.FILTER(OFFSET($O$15,0,$DO82,$B$8,1),OFFSET($M$15,0,0,$B$8,1))=FI$14))   /   SUM(OFFSET($BO$15,0,0,$B$14,1)) + $B$18/($B$19*$B$19*($DN82&lt;&gt;$DO82) + $B$19*($DN82=$DO82))</f>
        <v>3.7037037037037035E-4</v>
      </c>
      <c r="FJ82" s="10" cm="1">
        <f t="array" aca="1" ref="FJ82" ca="1">(1-$B$18)*SUMPRODUCT(OFFSET($BO$15,0,0,$B$14,1), 1*(_xlfn._xlws.FILTER(OFFSET($O$15,0,$DN82,$B$8,1),OFFSET($M$15,0,0,$B$8,1))=FJ$13), 1*(_xlfn._xlws.FILTER(OFFSET($O$15,0,$DO82,$B$8,1),OFFSET($M$15,0,0,$B$8,1))=FJ$14))   /   SUM(OFFSET($BO$15,0,0,$B$14,1)) + $B$18/($B$19*$B$19*($DN82&lt;&gt;$DO82) + $B$19*($DN82=$DO82))</f>
        <v>3.7037037037037035E-4</v>
      </c>
      <c r="FK82" s="10" cm="1">
        <f t="array" aca="1" ref="FK82" ca="1">(1-$B$18)*SUMPRODUCT(OFFSET($BO$15,0,0,$B$14,1), 1*(_xlfn._xlws.FILTER(OFFSET($O$15,0,$DN82,$B$8,1),OFFSET($M$15,0,0,$B$8,1))=FK$13), 1*(_xlfn._xlws.FILTER(OFFSET($O$15,0,$DO82,$B$8,1),OFFSET($M$15,0,0,$B$8,1))=FK$14))   /   SUM(OFFSET($BO$15,0,0,$B$14,1)) + $B$18/($B$19*$B$19*($DN82&lt;&gt;$DO82) + $B$19*($DN82=$DO82))</f>
        <v>3.7037037037037035E-4</v>
      </c>
      <c r="FL82" s="10" cm="1">
        <f t="array" aca="1" ref="FL82" ca="1">(1-$B$18)*SUMPRODUCT(OFFSET($BO$15,0,0,$B$14,1), 1*(_xlfn._xlws.FILTER(OFFSET($O$15,0,$DN82,$B$8,1),OFFSET($M$15,0,0,$B$8,1))=FL$13), 1*(_xlfn._xlws.FILTER(OFFSET($O$15,0,$DO82,$B$8,1),OFFSET($M$15,0,0,$B$8,1))=FL$14))   /   SUM(OFFSET($BO$15,0,0,$B$14,1)) + $B$18/($B$19*$B$19*($DN82&lt;&gt;$DO82) + $B$19*($DN82=$DO82))</f>
        <v>0.48537037037037034</v>
      </c>
      <c r="FM82" s="10" cm="1">
        <f t="array" aca="1" ref="FM82" ca="1">(1-$B$18)*SUMPRODUCT(OFFSET($BO$15,0,0,$B$14,1), 1*(_xlfn._xlws.FILTER(OFFSET($O$15,0,$DN82,$B$8,1),OFFSET($M$15,0,0,$B$8,1))=FM$13), 1*(_xlfn._xlws.FILTER(OFFSET($O$15,0,$DO82,$B$8,1),OFFSET($M$15,0,0,$B$8,1))=FM$14))   /   SUM(OFFSET($BO$15,0,0,$B$14,1)) + $B$18/($B$19*$B$19*($DN82&lt;&gt;$DO82) + $B$19*($DN82=$DO82))</f>
        <v>3.7037037037037035E-4</v>
      </c>
      <c r="FN82" s="10" cm="1">
        <f t="array" aca="1" ref="FN82" ca="1">(1-$B$18)*SUMPRODUCT(OFFSET($BO$15,0,0,$B$14,1), 1*(_xlfn._xlws.FILTER(OFFSET($O$15,0,$DN82,$B$8,1),OFFSET($M$15,0,0,$B$8,1))=FN$13), 1*(_xlfn._xlws.FILTER(OFFSET($O$15,0,$DO82,$B$8,1),OFFSET($M$15,0,0,$B$8,1))=FN$14))   /   SUM(OFFSET($BO$15,0,0,$B$14,1)) + $B$18/($B$19*$B$19*($DN82&lt;&gt;$DO82) + $B$19*($DN82=$DO82))</f>
        <v>0.24287037037037026</v>
      </c>
      <c r="FO82" s="10" cm="1">
        <f t="array" aca="1" ref="FO82" ca="1">(1-$B$18)*SUMPRODUCT(OFFSET($BO$15,0,0,$B$14,1), 1*(_xlfn._xlws.FILTER(OFFSET($O$15,0,$DN82,$B$8,1),OFFSET($M$15,0,0,$B$8,1))=FO$13), 1*(_xlfn._xlws.FILTER(OFFSET($O$15,0,$DO82,$B$8,1),OFFSET($M$15,0,0,$B$8,1))=FO$14))   /   SUM(OFFSET($BO$15,0,0,$B$14,1)) + $B$18/($B$19*$B$19*($DN82&lt;&gt;$DO82) + $B$19*($DN82=$DO82))</f>
        <v>0.24287037037037026</v>
      </c>
      <c r="FP82" s="10" cm="1">
        <f t="array" aca="1" ref="FP82" ca="1">(1-$B$18)*SUMPRODUCT(OFFSET($BO$15,0,0,$B$14,1), 1*(_xlfn._xlws.FILTER(OFFSET($O$15,0,$DN82,$B$8,1),OFFSET($M$15,0,0,$B$8,1))=FP$13), 1*(_xlfn._xlws.FILTER(OFFSET($O$15,0,$DO82,$B$8,1),OFFSET($M$15,0,0,$B$8,1))=FP$14))   /   SUM(OFFSET($BO$15,0,0,$B$14,1)) + $B$18/($B$19*$B$19*($DN82&lt;&gt;$DO82) + $B$19*($DN82=$DO82))</f>
        <v>3.7037037037037035E-4</v>
      </c>
      <c r="FQ82" s="10" cm="1">
        <f t="array" aca="1" ref="FQ82" ca="1">(1-$B$18)*SUMPRODUCT(OFFSET($BO$15,0,0,$B$14,1), 1*(_xlfn._xlws.FILTER(OFFSET($O$15,0,$DN82,$B$8,1),OFFSET($M$15,0,0,$B$8,1))=FQ$13), 1*(_xlfn._xlws.FILTER(OFFSET($O$15,0,$DO82,$B$8,1),OFFSET($M$15,0,0,$B$8,1))=FQ$14))   /   SUM(OFFSET($BO$15,0,0,$B$14,1)) + $B$18/($B$19*$B$19*($DN82&lt;&gt;$DO82) + $B$19*($DN82=$DO82))</f>
        <v>3.7037037037037035E-4</v>
      </c>
      <c r="FR82" s="10" cm="1">
        <f t="array" aca="1" ref="FR82" ca="1">(1-$B$18)*SUMPRODUCT(OFFSET($BO$15,0,0,$B$14,1), 1*(_xlfn._xlws.FILTER(OFFSET($O$15,0,$DN82,$B$8,1),OFFSET($M$15,0,0,$B$8,1))=FR$13), 1*(_xlfn._xlws.FILTER(OFFSET($O$15,0,$DO82,$B$8,1),OFFSET($M$15,0,0,$B$8,1))=FR$14))   /   SUM(OFFSET($BO$15,0,0,$B$14,1)) + $B$18/($B$19*$B$19*($DN82&lt;&gt;$DO82) + $B$19*($DN82=$DO82))</f>
        <v>3.7037037037037035E-4</v>
      </c>
      <c r="FS82" s="10" cm="1">
        <f t="array" aca="1" ref="FS82" ca="1">(1-$B$18)*SUMPRODUCT(OFFSET($BO$15,0,0,$B$14,1), 1*(_xlfn._xlws.FILTER(OFFSET($O$15,0,$DN82,$B$8,1),OFFSET($M$15,0,0,$B$8,1))=FS$13), 1*(_xlfn._xlws.FILTER(OFFSET($O$15,0,$DO82,$B$8,1),OFFSET($M$15,0,0,$B$8,1))=FS$14))   /   SUM(OFFSET($BO$15,0,0,$B$14,1)) + $B$18/($B$19*$B$19*($DN82&lt;&gt;$DO82) + $B$19*($DN82=$DO82))</f>
        <v>3.7037037037037035E-4</v>
      </c>
      <c r="FT82" s="10" cm="1">
        <f t="array" aca="1" ref="FT82" ca="1">(1-$B$18)*SUMPRODUCT(OFFSET($BO$15,0,0,$B$14,1), 1*(_xlfn._xlws.FILTER(OFFSET($O$15,0,$DN82,$B$8,1),OFFSET($M$15,0,0,$B$8,1))=FT$13), 1*(_xlfn._xlws.FILTER(OFFSET($O$15,0,$DO82,$B$8,1),OFFSET($M$15,0,0,$B$8,1))=FT$14))   /   SUM(OFFSET($BO$15,0,0,$B$14,1)) + $B$18/($B$19*$B$19*($DN82&lt;&gt;$DO82) + $B$19*($DN82=$DO82))</f>
        <v>3.7037037037037035E-4</v>
      </c>
      <c r="FU82" s="10" cm="1">
        <f t="array" aca="1" ref="FU82" ca="1">(1-$B$18)*SUMPRODUCT(OFFSET($BO$15,0,0,$B$14,1), 1*(_xlfn._xlws.FILTER(OFFSET($O$15,0,$DN82,$B$8,1),OFFSET($M$15,0,0,$B$8,1))=FU$13), 1*(_xlfn._xlws.FILTER(OFFSET($O$15,0,$DO82,$B$8,1),OFFSET($M$15,0,0,$B$8,1))=FU$14))   /   SUM(OFFSET($BO$15,0,0,$B$14,1)) + $B$18/($B$19*$B$19*($DN82&lt;&gt;$DO82) + $B$19*($DN82=$DO82))</f>
        <v>3.7037037037037035E-4</v>
      </c>
      <c r="FV82" s="10" cm="1">
        <f t="array" aca="1" ref="FV82" ca="1">(1-$B$18)*SUMPRODUCT(OFFSET($BO$15,0,0,$B$14,1), 1*(_xlfn._xlws.FILTER(OFFSET($O$15,0,$DN82,$B$8,1),OFFSET($M$15,0,0,$B$8,1))=FV$13), 1*(_xlfn._xlws.FILTER(OFFSET($O$15,0,$DO82,$B$8,1),OFFSET($M$15,0,0,$B$8,1))=FV$14))   /   SUM(OFFSET($BO$15,0,0,$B$14,1)) + $B$18/($B$19*$B$19*($DN82&lt;&gt;$DO82) + $B$19*($DN82=$DO82))</f>
        <v>3.7037037037037035E-4</v>
      </c>
      <c r="FW82" s="10" cm="1">
        <f t="array" aca="1" ref="FW82" ca="1">(1-$B$18)*SUMPRODUCT(OFFSET($BO$15,0,0,$B$14,1), 1*(_xlfn._xlws.FILTER(OFFSET($O$15,0,$DN82,$B$8,1),OFFSET($M$15,0,0,$B$8,1))=FW$13), 1*(_xlfn._xlws.FILTER(OFFSET($O$15,0,$DO82,$B$8,1),OFFSET($M$15,0,0,$B$8,1))=FW$14))   /   SUM(OFFSET($BO$15,0,0,$B$14,1)) + $B$18/($B$19*$B$19*($DN82&lt;&gt;$DO82) + $B$19*($DN82=$DO82))</f>
        <v>3.7037037037037035E-4</v>
      </c>
      <c r="FX82" s="10" cm="1">
        <f t="array" aca="1" ref="FX82" ca="1">(1-$B$18)*SUMPRODUCT(OFFSET($BO$15,0,0,$B$14,1), 1*(_xlfn._xlws.FILTER(OFFSET($O$15,0,$DN82,$B$8,1),OFFSET($M$15,0,0,$B$8,1))=FX$13), 1*(_xlfn._xlws.FILTER(OFFSET($O$15,0,$DO82,$B$8,1),OFFSET($M$15,0,0,$B$8,1))=FX$14))   /   SUM(OFFSET($BO$15,0,0,$B$14,1)) + $B$18/($B$19*$B$19*($DN82&lt;&gt;$DO82) + $B$19*($DN82=$DO82))</f>
        <v>3.7037037037037035E-4</v>
      </c>
      <c r="FY82" s="10" cm="1">
        <f t="array" aca="1" ref="FY82" ca="1">(1-$B$18)*SUMPRODUCT(OFFSET($BO$15,0,0,$B$14,1), 1*(_xlfn._xlws.FILTER(OFFSET($O$15,0,$DN82,$B$8,1),OFFSET($M$15,0,0,$B$8,1))=FY$13), 1*(_xlfn._xlws.FILTER(OFFSET($O$15,0,$DO82,$B$8,1),OFFSET($M$15,0,0,$B$8,1))=FY$14))   /   SUM(OFFSET($BO$15,0,0,$B$14,1)) + $B$18/($B$19*$B$19*($DN82&lt;&gt;$DO82) + $B$19*($DN82=$DO82))</f>
        <v>3.7037037037037035E-4</v>
      </c>
      <c r="FZ82" s="10" cm="1">
        <f t="array" aca="1" ref="FZ82" ca="1">(1-$B$18)*SUMPRODUCT(OFFSET($BO$15,0,0,$B$14,1), 1*(_xlfn._xlws.FILTER(OFFSET($O$15,0,$DN82,$B$8,1),OFFSET($M$15,0,0,$B$8,1))=FZ$13), 1*(_xlfn._xlws.FILTER(OFFSET($O$15,0,$DO82,$B$8,1),OFFSET($M$15,0,0,$B$8,1))=FZ$14))   /   SUM(OFFSET($BO$15,0,0,$B$14,1)) + $B$18/($B$19*$B$19*($DN82&lt;&gt;$DO82) + $B$19*($DN82=$DO82))</f>
        <v>3.7037037037037035E-4</v>
      </c>
      <c r="GA82" s="10" cm="1">
        <f t="array" aca="1" ref="GA82" ca="1">(1-$B$18)*SUMPRODUCT(OFFSET($BO$15,0,0,$B$14,1), 1*(_xlfn._xlws.FILTER(OFFSET($O$15,0,$DN82,$B$8,1),OFFSET($M$15,0,0,$B$8,1))=GA$13), 1*(_xlfn._xlws.FILTER(OFFSET($O$15,0,$DO82,$B$8,1),OFFSET($M$15,0,0,$B$8,1))=GA$14))   /   SUM(OFFSET($BO$15,0,0,$B$14,1)) + $B$18/($B$19*$B$19*($DN82&lt;&gt;$DO82) + $B$19*($DN82=$DO82))</f>
        <v>3.7037037037037035E-4</v>
      </c>
    </row>
    <row r="83" spans="7:183" x14ac:dyDescent="0.2">
      <c r="G83" s="2"/>
      <c r="H83" s="2"/>
      <c r="DN83" cm="1">
        <f t="array" aca="1" ref="DN83" ca="1">INDEX(_xlfn.ANCHORARRAY($CP$15), 1 + INT((ROWS($DO$15:$DO83) - 1) / ROWS(_xlfn.ANCHORARRAY($CP$15))))</f>
        <v>3</v>
      </c>
      <c r="DO83" cm="1">
        <f t="array" aca="1" ref="DO83" ca="1">INDEX(_xlfn.ANCHORARRAY($CP$15),1+MOD(ROWS($DO$15:$DO83)-1,ROWS(_xlfn.ANCHORARRAY($CP$15))))</f>
        <v>12</v>
      </c>
      <c r="DP83" s="10" cm="1">
        <f t="array" aca="1" ref="DP83" ca="1">(1-$B$18)*SUMPRODUCT(OFFSET($BO$15,0,0,$B$14,1), 1*(_xlfn._xlws.FILTER(OFFSET($O$15,0,$DN83,$B$8,1),OFFSET($M$15,0,0,$B$8,1))=DP$13), 1*(_xlfn._xlws.FILTER(OFFSET($O$15,0,$DO83,$B$8,1),OFFSET($M$15,0,0,$B$8,1))=DP$14))   /   SUM(OFFSET($BO$15,0,0,$B$14,1)) + $B$18/($B$19*$B$19*($DN83&lt;&gt;$DO83) + $B$19*($DN83=$DO83))</f>
        <v>3.7037037037037035E-4</v>
      </c>
      <c r="DQ83" s="10" cm="1">
        <f t="array" aca="1" ref="DQ83" ca="1">(1-$B$18)*SUMPRODUCT(OFFSET($BO$15,0,0,$B$14,1), 1*(_xlfn._xlws.FILTER(OFFSET($O$15,0,$DN83,$B$8,1),OFFSET($M$15,0,0,$B$8,1))=DQ$13), 1*(_xlfn._xlws.FILTER(OFFSET($O$15,0,$DO83,$B$8,1),OFFSET($M$15,0,0,$B$8,1))=DQ$14))   /   SUM(OFFSET($BO$15,0,0,$B$14,1)) + $B$18/($B$19*$B$19*($DN83&lt;&gt;$DO83) + $B$19*($DN83=$DO83))</f>
        <v>3.7037037037037035E-4</v>
      </c>
      <c r="DR83" s="10" cm="1">
        <f t="array" aca="1" ref="DR83" ca="1">(1-$B$18)*SUMPRODUCT(OFFSET($BO$15,0,0,$B$14,1), 1*(_xlfn._xlws.FILTER(OFFSET($O$15,0,$DN83,$B$8,1),OFFSET($M$15,0,0,$B$8,1))=DR$13), 1*(_xlfn._xlws.FILTER(OFFSET($O$15,0,$DO83,$B$8,1),OFFSET($M$15,0,0,$B$8,1))=DR$14))   /   SUM(OFFSET($BO$15,0,0,$B$14,1)) + $B$18/($B$19*$B$19*($DN83&lt;&gt;$DO83) + $B$19*($DN83=$DO83))</f>
        <v>3.7037037037037035E-4</v>
      </c>
      <c r="DS83" s="10" cm="1">
        <f t="array" aca="1" ref="DS83" ca="1">(1-$B$18)*SUMPRODUCT(OFFSET($BO$15,0,0,$B$14,1), 1*(_xlfn._xlws.FILTER(OFFSET($O$15,0,$DN83,$B$8,1),OFFSET($M$15,0,0,$B$8,1))=DS$13), 1*(_xlfn._xlws.FILTER(OFFSET($O$15,0,$DO83,$B$8,1),OFFSET($M$15,0,0,$B$8,1))=DS$14))   /   SUM(OFFSET($BO$15,0,0,$B$14,1)) + $B$18/($B$19*$B$19*($DN83&lt;&gt;$DO83) + $B$19*($DN83=$DO83))</f>
        <v>3.7037037037037035E-4</v>
      </c>
      <c r="DT83" s="10" cm="1">
        <f t="array" aca="1" ref="DT83" ca="1">(1-$B$18)*SUMPRODUCT(OFFSET($BO$15,0,0,$B$14,1), 1*(_xlfn._xlws.FILTER(OFFSET($O$15,0,$DN83,$B$8,1),OFFSET($M$15,0,0,$B$8,1))=DT$13), 1*(_xlfn._xlws.FILTER(OFFSET($O$15,0,$DO83,$B$8,1),OFFSET($M$15,0,0,$B$8,1))=DT$14))   /   SUM(OFFSET($BO$15,0,0,$B$14,1)) + $B$18/($B$19*$B$19*($DN83&lt;&gt;$DO83) + $B$19*($DN83=$DO83))</f>
        <v>3.7037037037037035E-4</v>
      </c>
      <c r="DU83" s="10" cm="1">
        <f t="array" aca="1" ref="DU83" ca="1">(1-$B$18)*SUMPRODUCT(OFFSET($BO$15,0,0,$B$14,1), 1*(_xlfn._xlws.FILTER(OFFSET($O$15,0,$DN83,$B$8,1),OFFSET($M$15,0,0,$B$8,1))=DU$13), 1*(_xlfn._xlws.FILTER(OFFSET($O$15,0,$DO83,$B$8,1),OFFSET($M$15,0,0,$B$8,1))=DU$14))   /   SUM(OFFSET($BO$15,0,0,$B$14,1)) + $B$18/($B$19*$B$19*($DN83&lt;&gt;$DO83) + $B$19*($DN83=$DO83))</f>
        <v>3.7037037037037035E-4</v>
      </c>
      <c r="DV83" s="10" cm="1">
        <f t="array" aca="1" ref="DV83" ca="1">(1-$B$18)*SUMPRODUCT(OFFSET($BO$15,0,0,$B$14,1), 1*(_xlfn._xlws.FILTER(OFFSET($O$15,0,$DN83,$B$8,1),OFFSET($M$15,0,0,$B$8,1))=DV$13), 1*(_xlfn._xlws.FILTER(OFFSET($O$15,0,$DO83,$B$8,1),OFFSET($M$15,0,0,$B$8,1))=DV$14))   /   SUM(OFFSET($BO$15,0,0,$B$14,1)) + $B$18/($B$19*$B$19*($DN83&lt;&gt;$DO83) + $B$19*($DN83=$DO83))</f>
        <v>3.7037037037037035E-4</v>
      </c>
      <c r="DW83" s="10" cm="1">
        <f t="array" aca="1" ref="DW83" ca="1">(1-$B$18)*SUMPRODUCT(OFFSET($BO$15,0,0,$B$14,1), 1*(_xlfn._xlws.FILTER(OFFSET($O$15,0,$DN83,$B$8,1),OFFSET($M$15,0,0,$B$8,1))=DW$13), 1*(_xlfn._xlws.FILTER(OFFSET($O$15,0,$DO83,$B$8,1),OFFSET($M$15,0,0,$B$8,1))=DW$14))   /   SUM(OFFSET($BO$15,0,0,$B$14,1)) + $B$18/($B$19*$B$19*($DN83&lt;&gt;$DO83) + $B$19*($DN83=$DO83))</f>
        <v>3.7037037037037035E-4</v>
      </c>
      <c r="DX83" s="10" cm="1">
        <f t="array" aca="1" ref="DX83" ca="1">(1-$B$18)*SUMPRODUCT(OFFSET($BO$15,0,0,$B$14,1), 1*(_xlfn._xlws.FILTER(OFFSET($O$15,0,$DN83,$B$8,1),OFFSET($M$15,0,0,$B$8,1))=DX$13), 1*(_xlfn._xlws.FILTER(OFFSET($O$15,0,$DO83,$B$8,1),OFFSET($M$15,0,0,$B$8,1))=DX$14))   /   SUM(OFFSET($BO$15,0,0,$B$14,1)) + $B$18/($B$19*$B$19*($DN83&lt;&gt;$DO83) + $B$19*($DN83=$DO83))</f>
        <v>3.7037037037037035E-4</v>
      </c>
      <c r="DY83" s="10" cm="1">
        <f t="array" aca="1" ref="DY83" ca="1">(1-$B$18)*SUMPRODUCT(OFFSET($BO$15,0,0,$B$14,1), 1*(_xlfn._xlws.FILTER(OFFSET($O$15,0,$DN83,$B$8,1),OFFSET($M$15,0,0,$B$8,1))=DY$13), 1*(_xlfn._xlws.FILTER(OFFSET($O$15,0,$DO83,$B$8,1),OFFSET($M$15,0,0,$B$8,1))=DY$14))   /   SUM(OFFSET($BO$15,0,0,$B$14,1)) + $B$18/($B$19*$B$19*($DN83&lt;&gt;$DO83) + $B$19*($DN83=$DO83))</f>
        <v>3.7037037037037035E-4</v>
      </c>
      <c r="DZ83" s="10" cm="1">
        <f t="array" aca="1" ref="DZ83" ca="1">(1-$B$18)*SUMPRODUCT(OFFSET($BO$15,0,0,$B$14,1), 1*(_xlfn._xlws.FILTER(OFFSET($O$15,0,$DN83,$B$8,1),OFFSET($M$15,0,0,$B$8,1))=DZ$13), 1*(_xlfn._xlws.FILTER(OFFSET($O$15,0,$DO83,$B$8,1),OFFSET($M$15,0,0,$B$8,1))=DZ$14))   /   SUM(OFFSET($BO$15,0,0,$B$14,1)) + $B$18/($B$19*$B$19*($DN83&lt;&gt;$DO83) + $B$19*($DN83=$DO83))</f>
        <v>3.7037037037037035E-4</v>
      </c>
      <c r="EA83" s="10" cm="1">
        <f t="array" aca="1" ref="EA83" ca="1">(1-$B$18)*SUMPRODUCT(OFFSET($BO$15,0,0,$B$14,1), 1*(_xlfn._xlws.FILTER(OFFSET($O$15,0,$DN83,$B$8,1),OFFSET($M$15,0,0,$B$8,1))=EA$13), 1*(_xlfn._xlws.FILTER(OFFSET($O$15,0,$DO83,$B$8,1),OFFSET($M$15,0,0,$B$8,1))=EA$14))   /   SUM(OFFSET($BO$15,0,0,$B$14,1)) + $B$18/($B$19*$B$19*($DN83&lt;&gt;$DO83) + $B$19*($DN83=$DO83))</f>
        <v>3.7037037037037035E-4</v>
      </c>
      <c r="EB83" s="10" cm="1">
        <f t="array" aca="1" ref="EB83" ca="1">(1-$B$18)*SUMPRODUCT(OFFSET($BO$15,0,0,$B$14,1), 1*(_xlfn._xlws.FILTER(OFFSET($O$15,0,$DN83,$B$8,1),OFFSET($M$15,0,0,$B$8,1))=EB$13), 1*(_xlfn._xlws.FILTER(OFFSET($O$15,0,$DO83,$B$8,1),OFFSET($M$15,0,0,$B$8,1))=EB$14))   /   SUM(OFFSET($BO$15,0,0,$B$14,1)) + $B$18/($B$19*$B$19*($DN83&lt;&gt;$DO83) + $B$19*($DN83=$DO83))</f>
        <v>3.7037037037037035E-4</v>
      </c>
      <c r="EC83" s="10" cm="1">
        <f t="array" aca="1" ref="EC83" ca="1">(1-$B$18)*SUMPRODUCT(OFFSET($BO$15,0,0,$B$14,1), 1*(_xlfn._xlws.FILTER(OFFSET($O$15,0,$DN83,$B$8,1),OFFSET($M$15,0,0,$B$8,1))=EC$13), 1*(_xlfn._xlws.FILTER(OFFSET($O$15,0,$DO83,$B$8,1),OFFSET($M$15,0,0,$B$8,1))=EC$14))   /   SUM(OFFSET($BO$15,0,0,$B$14,1)) + $B$18/($B$19*$B$19*($DN83&lt;&gt;$DO83) + $B$19*($DN83=$DO83))</f>
        <v>3.7037037037037035E-4</v>
      </c>
      <c r="ED83" s="10" cm="1">
        <f t="array" aca="1" ref="ED83" ca="1">(1-$B$18)*SUMPRODUCT(OFFSET($BO$15,0,0,$B$14,1), 1*(_xlfn._xlws.FILTER(OFFSET($O$15,0,$DN83,$B$8,1),OFFSET($M$15,0,0,$B$8,1))=ED$13), 1*(_xlfn._xlws.FILTER(OFFSET($O$15,0,$DO83,$B$8,1),OFFSET($M$15,0,0,$B$8,1))=ED$14))   /   SUM(OFFSET($BO$15,0,0,$B$14,1)) + $B$18/($B$19*$B$19*($DN83&lt;&gt;$DO83) + $B$19*($DN83=$DO83))</f>
        <v>3.7037037037037035E-4</v>
      </c>
      <c r="EE83" s="10" cm="1">
        <f t="array" aca="1" ref="EE83" ca="1">(1-$B$18)*SUMPRODUCT(OFFSET($BO$15,0,0,$B$14,1), 1*(_xlfn._xlws.FILTER(OFFSET($O$15,0,$DN83,$B$8,1),OFFSET($M$15,0,0,$B$8,1))=EE$13), 1*(_xlfn._xlws.FILTER(OFFSET($O$15,0,$DO83,$B$8,1),OFFSET($M$15,0,0,$B$8,1))=EE$14))   /   SUM(OFFSET($BO$15,0,0,$B$14,1)) + $B$18/($B$19*$B$19*($DN83&lt;&gt;$DO83) + $B$19*($DN83=$DO83))</f>
        <v>3.7037037037037035E-4</v>
      </c>
      <c r="EF83" s="10" cm="1">
        <f t="array" aca="1" ref="EF83" ca="1">(1-$B$18)*SUMPRODUCT(OFFSET($BO$15,0,0,$B$14,1), 1*(_xlfn._xlws.FILTER(OFFSET($O$15,0,$DN83,$B$8,1),OFFSET($M$15,0,0,$B$8,1))=EF$13), 1*(_xlfn._xlws.FILTER(OFFSET($O$15,0,$DO83,$B$8,1),OFFSET($M$15,0,0,$B$8,1))=EF$14))   /   SUM(OFFSET($BO$15,0,0,$B$14,1)) + $B$18/($B$19*$B$19*($DN83&lt;&gt;$DO83) + $B$19*($DN83=$DO83))</f>
        <v>3.7037037037037035E-4</v>
      </c>
      <c r="EG83" s="10" cm="1">
        <f t="array" aca="1" ref="EG83" ca="1">(1-$B$18)*SUMPRODUCT(OFFSET($BO$15,0,0,$B$14,1), 1*(_xlfn._xlws.FILTER(OFFSET($O$15,0,$DN83,$B$8,1),OFFSET($M$15,0,0,$B$8,1))=EG$13), 1*(_xlfn._xlws.FILTER(OFFSET($O$15,0,$DO83,$B$8,1),OFFSET($M$15,0,0,$B$8,1))=EG$14))   /   SUM(OFFSET($BO$15,0,0,$B$14,1)) + $B$18/($B$19*$B$19*($DN83&lt;&gt;$DO83) + $B$19*($DN83=$DO83))</f>
        <v>3.7037037037037035E-4</v>
      </c>
      <c r="EH83" s="10" cm="1">
        <f t="array" aca="1" ref="EH83" ca="1">(1-$B$18)*SUMPRODUCT(OFFSET($BO$15,0,0,$B$14,1), 1*(_xlfn._xlws.FILTER(OFFSET($O$15,0,$DN83,$B$8,1),OFFSET($M$15,0,0,$B$8,1))=EH$13), 1*(_xlfn._xlws.FILTER(OFFSET($O$15,0,$DO83,$B$8,1),OFFSET($M$15,0,0,$B$8,1))=EH$14))   /   SUM(OFFSET($BO$15,0,0,$B$14,1)) + $B$18/($B$19*$B$19*($DN83&lt;&gt;$DO83) + $B$19*($DN83=$DO83))</f>
        <v>3.7037037037037035E-4</v>
      </c>
      <c r="EI83" s="10" cm="1">
        <f t="array" aca="1" ref="EI83" ca="1">(1-$B$18)*SUMPRODUCT(OFFSET($BO$15,0,0,$B$14,1), 1*(_xlfn._xlws.FILTER(OFFSET($O$15,0,$DN83,$B$8,1),OFFSET($M$15,0,0,$B$8,1))=EI$13), 1*(_xlfn._xlws.FILTER(OFFSET($O$15,0,$DO83,$B$8,1),OFFSET($M$15,0,0,$B$8,1))=EI$14))   /   SUM(OFFSET($BO$15,0,0,$B$14,1)) + $B$18/($B$19*$B$19*($DN83&lt;&gt;$DO83) + $B$19*($DN83=$DO83))</f>
        <v>3.7037037037037035E-4</v>
      </c>
      <c r="EJ83" s="10" cm="1">
        <f t="array" aca="1" ref="EJ83" ca="1">(1-$B$18)*SUMPRODUCT(OFFSET($BO$15,0,0,$B$14,1), 1*(_xlfn._xlws.FILTER(OFFSET($O$15,0,$DN83,$B$8,1),OFFSET($M$15,0,0,$B$8,1))=EJ$13), 1*(_xlfn._xlws.FILTER(OFFSET($O$15,0,$DO83,$B$8,1),OFFSET($M$15,0,0,$B$8,1))=EJ$14))   /   SUM(OFFSET($BO$15,0,0,$B$14,1)) + $B$18/($B$19*$B$19*($DN83&lt;&gt;$DO83) + $B$19*($DN83=$DO83))</f>
        <v>3.7037037037037035E-4</v>
      </c>
      <c r="EK83" s="10" cm="1">
        <f t="array" aca="1" ref="EK83" ca="1">(1-$B$18)*SUMPRODUCT(OFFSET($BO$15,0,0,$B$14,1), 1*(_xlfn._xlws.FILTER(OFFSET($O$15,0,$DN83,$B$8,1),OFFSET($M$15,0,0,$B$8,1))=EK$13), 1*(_xlfn._xlws.FILTER(OFFSET($O$15,0,$DO83,$B$8,1),OFFSET($M$15,0,0,$B$8,1))=EK$14))   /   SUM(OFFSET($BO$15,0,0,$B$14,1)) + $B$18/($B$19*$B$19*($DN83&lt;&gt;$DO83) + $B$19*($DN83=$DO83))</f>
        <v>3.7037037037037035E-4</v>
      </c>
      <c r="EL83" s="10" cm="1">
        <f t="array" aca="1" ref="EL83" ca="1">(1-$B$18)*SUMPRODUCT(OFFSET($BO$15,0,0,$B$14,1), 1*(_xlfn._xlws.FILTER(OFFSET($O$15,0,$DN83,$B$8,1),OFFSET($M$15,0,0,$B$8,1))=EL$13), 1*(_xlfn._xlws.FILTER(OFFSET($O$15,0,$DO83,$B$8,1),OFFSET($M$15,0,0,$B$8,1))=EL$14))   /   SUM(OFFSET($BO$15,0,0,$B$14,1)) + $B$18/($B$19*$B$19*($DN83&lt;&gt;$DO83) + $B$19*($DN83=$DO83))</f>
        <v>3.7037037037037035E-4</v>
      </c>
      <c r="EM83" s="10" cm="1">
        <f t="array" aca="1" ref="EM83" ca="1">(1-$B$18)*SUMPRODUCT(OFFSET($BO$15,0,0,$B$14,1), 1*(_xlfn._xlws.FILTER(OFFSET($O$15,0,$DN83,$B$8,1),OFFSET($M$15,0,0,$B$8,1))=EM$13), 1*(_xlfn._xlws.FILTER(OFFSET($O$15,0,$DO83,$B$8,1),OFFSET($M$15,0,0,$B$8,1))=EM$14))   /   SUM(OFFSET($BO$15,0,0,$B$14,1)) + $B$18/($B$19*$B$19*($DN83&lt;&gt;$DO83) + $B$19*($DN83=$DO83))</f>
        <v>3.7037037037037035E-4</v>
      </c>
      <c r="EN83" s="10" cm="1">
        <f t="array" aca="1" ref="EN83" ca="1">(1-$B$18)*SUMPRODUCT(OFFSET($BO$15,0,0,$B$14,1), 1*(_xlfn._xlws.FILTER(OFFSET($O$15,0,$DN83,$B$8,1),OFFSET($M$15,0,0,$B$8,1))=EN$13), 1*(_xlfn._xlws.FILTER(OFFSET($O$15,0,$DO83,$B$8,1),OFFSET($M$15,0,0,$B$8,1))=EN$14))   /   SUM(OFFSET($BO$15,0,0,$B$14,1)) + $B$18/($B$19*$B$19*($DN83&lt;&gt;$DO83) + $B$19*($DN83=$DO83))</f>
        <v>3.7037037037037035E-4</v>
      </c>
      <c r="EO83" s="10" cm="1">
        <f t="array" aca="1" ref="EO83" ca="1">(1-$B$18)*SUMPRODUCT(OFFSET($BO$15,0,0,$B$14,1), 1*(_xlfn._xlws.FILTER(OFFSET($O$15,0,$DN83,$B$8,1),OFFSET($M$15,0,0,$B$8,1))=EO$13), 1*(_xlfn._xlws.FILTER(OFFSET($O$15,0,$DO83,$B$8,1),OFFSET($M$15,0,0,$B$8,1))=EO$14))   /   SUM(OFFSET($BO$15,0,0,$B$14,1)) + $B$18/($B$19*$B$19*($DN83&lt;&gt;$DO83) + $B$19*($DN83=$DO83))</f>
        <v>3.7037037037037035E-4</v>
      </c>
      <c r="EP83" s="10" cm="1">
        <f t="array" aca="1" ref="EP83" ca="1">(1-$B$18)*SUMPRODUCT(OFFSET($BO$15,0,0,$B$14,1), 1*(_xlfn._xlws.FILTER(OFFSET($O$15,0,$DN83,$B$8,1),OFFSET($M$15,0,0,$B$8,1))=EP$13), 1*(_xlfn._xlws.FILTER(OFFSET($O$15,0,$DO83,$B$8,1),OFFSET($M$15,0,0,$B$8,1))=EP$14))   /   SUM(OFFSET($BO$15,0,0,$B$14,1)) + $B$18/($B$19*$B$19*($DN83&lt;&gt;$DO83) + $B$19*($DN83=$DO83))</f>
        <v>3.7037037037037035E-4</v>
      </c>
      <c r="EQ83" s="10" cm="1">
        <f t="array" aca="1" ref="EQ83" ca="1">(1-$B$18)*SUMPRODUCT(OFFSET($BO$15,0,0,$B$14,1), 1*(_xlfn._xlws.FILTER(OFFSET($O$15,0,$DN83,$B$8,1),OFFSET($M$15,0,0,$B$8,1))=EQ$13), 1*(_xlfn._xlws.FILTER(OFFSET($O$15,0,$DO83,$B$8,1),OFFSET($M$15,0,0,$B$8,1))=EQ$14))   /   SUM(OFFSET($BO$15,0,0,$B$14,1)) + $B$18/($B$19*$B$19*($DN83&lt;&gt;$DO83) + $B$19*($DN83=$DO83))</f>
        <v>3.7037037037037035E-4</v>
      </c>
      <c r="ER83" s="10" cm="1">
        <f t="array" aca="1" ref="ER83" ca="1">(1-$B$18)*SUMPRODUCT(OFFSET($BO$15,0,0,$B$14,1), 1*(_xlfn._xlws.FILTER(OFFSET($O$15,0,$DN83,$B$8,1),OFFSET($M$15,0,0,$B$8,1))=ER$13), 1*(_xlfn._xlws.FILTER(OFFSET($O$15,0,$DO83,$B$8,1),OFFSET($M$15,0,0,$B$8,1))=ER$14))   /   SUM(OFFSET($BO$15,0,0,$B$14,1)) + $B$18/($B$19*$B$19*($DN83&lt;&gt;$DO83) + $B$19*($DN83=$DO83))</f>
        <v>3.7037037037037035E-4</v>
      </c>
      <c r="ES83" s="10" cm="1">
        <f t="array" aca="1" ref="ES83" ca="1">(1-$B$18)*SUMPRODUCT(OFFSET($BO$15,0,0,$B$14,1), 1*(_xlfn._xlws.FILTER(OFFSET($O$15,0,$DN83,$B$8,1),OFFSET($M$15,0,0,$B$8,1))=ES$13), 1*(_xlfn._xlws.FILTER(OFFSET($O$15,0,$DO83,$B$8,1),OFFSET($M$15,0,0,$B$8,1))=ES$14))   /   SUM(OFFSET($BO$15,0,0,$B$14,1)) + $B$18/($B$19*$B$19*($DN83&lt;&gt;$DO83) + $B$19*($DN83=$DO83))</f>
        <v>3.7037037037037035E-4</v>
      </c>
      <c r="ET83" s="10" cm="1">
        <f t="array" aca="1" ref="ET83" ca="1">(1-$B$18)*SUMPRODUCT(OFFSET($BO$15,0,0,$B$14,1), 1*(_xlfn._xlws.FILTER(OFFSET($O$15,0,$DN83,$B$8,1),OFFSET($M$15,0,0,$B$8,1))=ET$13), 1*(_xlfn._xlws.FILTER(OFFSET($O$15,0,$DO83,$B$8,1),OFFSET($M$15,0,0,$B$8,1))=ET$14))   /   SUM(OFFSET($BO$15,0,0,$B$14,1)) + $B$18/($B$19*$B$19*($DN83&lt;&gt;$DO83) + $B$19*($DN83=$DO83))</f>
        <v>3.7037037037037035E-4</v>
      </c>
      <c r="EU83" s="10" cm="1">
        <f t="array" aca="1" ref="EU83" ca="1">(1-$B$18)*SUMPRODUCT(OFFSET($BO$15,0,0,$B$14,1), 1*(_xlfn._xlws.FILTER(OFFSET($O$15,0,$DN83,$B$8,1),OFFSET($M$15,0,0,$B$8,1))=EU$13), 1*(_xlfn._xlws.FILTER(OFFSET($O$15,0,$DO83,$B$8,1),OFFSET($M$15,0,0,$B$8,1))=EU$14))   /   SUM(OFFSET($BO$15,0,0,$B$14,1)) + $B$18/($B$19*$B$19*($DN83&lt;&gt;$DO83) + $B$19*($DN83=$DO83))</f>
        <v>3.7037037037037035E-4</v>
      </c>
      <c r="EV83" s="10" cm="1">
        <f t="array" aca="1" ref="EV83" ca="1">(1-$B$18)*SUMPRODUCT(OFFSET($BO$15,0,0,$B$14,1), 1*(_xlfn._xlws.FILTER(OFFSET($O$15,0,$DN83,$B$8,1),OFFSET($M$15,0,0,$B$8,1))=EV$13), 1*(_xlfn._xlws.FILTER(OFFSET($O$15,0,$DO83,$B$8,1),OFFSET($M$15,0,0,$B$8,1))=EV$14))   /   SUM(OFFSET($BO$15,0,0,$B$14,1)) + $B$18/($B$19*$B$19*($DN83&lt;&gt;$DO83) + $B$19*($DN83=$DO83))</f>
        <v>3.7037037037037035E-4</v>
      </c>
      <c r="EW83" s="10" cm="1">
        <f t="array" aca="1" ref="EW83" ca="1">(1-$B$18)*SUMPRODUCT(OFFSET($BO$15,0,0,$B$14,1), 1*(_xlfn._xlws.FILTER(OFFSET($O$15,0,$DN83,$B$8,1),OFFSET($M$15,0,0,$B$8,1))=EW$13), 1*(_xlfn._xlws.FILTER(OFFSET($O$15,0,$DO83,$B$8,1),OFFSET($M$15,0,0,$B$8,1))=EW$14))   /   SUM(OFFSET($BO$15,0,0,$B$14,1)) + $B$18/($B$19*$B$19*($DN83&lt;&gt;$DO83) + $B$19*($DN83=$DO83))</f>
        <v>3.7037037037037035E-4</v>
      </c>
      <c r="EX83" s="10" cm="1">
        <f t="array" aca="1" ref="EX83" ca="1">(1-$B$18)*SUMPRODUCT(OFFSET($BO$15,0,0,$B$14,1), 1*(_xlfn._xlws.FILTER(OFFSET($O$15,0,$DN83,$B$8,1),OFFSET($M$15,0,0,$B$8,1))=EX$13), 1*(_xlfn._xlws.FILTER(OFFSET($O$15,0,$DO83,$B$8,1),OFFSET($M$15,0,0,$B$8,1))=EX$14))   /   SUM(OFFSET($BO$15,0,0,$B$14,1)) + $B$18/($B$19*$B$19*($DN83&lt;&gt;$DO83) + $B$19*($DN83=$DO83))</f>
        <v>3.7037037037037035E-4</v>
      </c>
      <c r="EY83" s="10" cm="1">
        <f t="array" aca="1" ref="EY83" ca="1">(1-$B$18)*SUMPRODUCT(OFFSET($BO$15,0,0,$B$14,1), 1*(_xlfn._xlws.FILTER(OFFSET($O$15,0,$DN83,$B$8,1),OFFSET($M$15,0,0,$B$8,1))=EY$13), 1*(_xlfn._xlws.FILTER(OFFSET($O$15,0,$DO83,$B$8,1),OFFSET($M$15,0,0,$B$8,1))=EY$14))   /   SUM(OFFSET($BO$15,0,0,$B$14,1)) + $B$18/($B$19*$B$19*($DN83&lt;&gt;$DO83) + $B$19*($DN83=$DO83))</f>
        <v>3.7037037037037035E-4</v>
      </c>
      <c r="EZ83" s="10" cm="1">
        <f t="array" aca="1" ref="EZ83" ca="1">(1-$B$18)*SUMPRODUCT(OFFSET($BO$15,0,0,$B$14,1), 1*(_xlfn._xlws.FILTER(OFFSET($O$15,0,$DN83,$B$8,1),OFFSET($M$15,0,0,$B$8,1))=EZ$13), 1*(_xlfn._xlws.FILTER(OFFSET($O$15,0,$DO83,$B$8,1),OFFSET($M$15,0,0,$B$8,1))=EZ$14))   /   SUM(OFFSET($BO$15,0,0,$B$14,1)) + $B$18/($B$19*$B$19*($DN83&lt;&gt;$DO83) + $B$19*($DN83=$DO83))</f>
        <v>3.7037037037037035E-4</v>
      </c>
      <c r="FA83" s="10" cm="1">
        <f t="array" aca="1" ref="FA83" ca="1">(1-$B$18)*SUMPRODUCT(OFFSET($BO$15,0,0,$B$14,1), 1*(_xlfn._xlws.FILTER(OFFSET($O$15,0,$DN83,$B$8,1),OFFSET($M$15,0,0,$B$8,1))=FA$13), 1*(_xlfn._xlws.FILTER(OFFSET($O$15,0,$DO83,$B$8,1),OFFSET($M$15,0,0,$B$8,1))=FA$14))   /   SUM(OFFSET($BO$15,0,0,$B$14,1)) + $B$18/($B$19*$B$19*($DN83&lt;&gt;$DO83) + $B$19*($DN83=$DO83))</f>
        <v>3.7037037037037035E-4</v>
      </c>
      <c r="FB83" s="10" cm="1">
        <f t="array" aca="1" ref="FB83" ca="1">(1-$B$18)*SUMPRODUCT(OFFSET($BO$15,0,0,$B$14,1), 1*(_xlfn._xlws.FILTER(OFFSET($O$15,0,$DN83,$B$8,1),OFFSET($M$15,0,0,$B$8,1))=FB$13), 1*(_xlfn._xlws.FILTER(OFFSET($O$15,0,$DO83,$B$8,1),OFFSET($M$15,0,0,$B$8,1))=FB$14))   /   SUM(OFFSET($BO$15,0,0,$B$14,1)) + $B$18/($B$19*$B$19*($DN83&lt;&gt;$DO83) + $B$19*($DN83=$DO83))</f>
        <v>3.7037037037037035E-4</v>
      </c>
      <c r="FC83" s="10" cm="1">
        <f t="array" aca="1" ref="FC83" ca="1">(1-$B$18)*SUMPRODUCT(OFFSET($BO$15,0,0,$B$14,1), 1*(_xlfn._xlws.FILTER(OFFSET($O$15,0,$DN83,$B$8,1),OFFSET($M$15,0,0,$B$8,1))=FC$13), 1*(_xlfn._xlws.FILTER(OFFSET($O$15,0,$DO83,$B$8,1),OFFSET($M$15,0,0,$B$8,1))=FC$14))   /   SUM(OFFSET($BO$15,0,0,$B$14,1)) + $B$18/($B$19*$B$19*($DN83&lt;&gt;$DO83) + $B$19*($DN83=$DO83))</f>
        <v>3.7037037037037035E-4</v>
      </c>
      <c r="FD83" s="10" cm="1">
        <f t="array" aca="1" ref="FD83" ca="1">(1-$B$18)*SUMPRODUCT(OFFSET($BO$15,0,0,$B$14,1), 1*(_xlfn._xlws.FILTER(OFFSET($O$15,0,$DN83,$B$8,1),OFFSET($M$15,0,0,$B$8,1))=FD$13), 1*(_xlfn._xlws.FILTER(OFFSET($O$15,0,$DO83,$B$8,1),OFFSET($M$15,0,0,$B$8,1))=FD$14))   /   SUM(OFFSET($BO$15,0,0,$B$14,1)) + $B$18/($B$19*$B$19*($DN83&lt;&gt;$DO83) + $B$19*($DN83=$DO83))</f>
        <v>3.7037037037037035E-4</v>
      </c>
      <c r="FE83" s="10" cm="1">
        <f t="array" aca="1" ref="FE83" ca="1">(1-$B$18)*SUMPRODUCT(OFFSET($BO$15,0,0,$B$14,1), 1*(_xlfn._xlws.FILTER(OFFSET($O$15,0,$DN83,$B$8,1),OFFSET($M$15,0,0,$B$8,1))=FE$13), 1*(_xlfn._xlws.FILTER(OFFSET($O$15,0,$DO83,$B$8,1),OFFSET($M$15,0,0,$B$8,1))=FE$14))   /   SUM(OFFSET($BO$15,0,0,$B$14,1)) + $B$18/($B$19*$B$19*($DN83&lt;&gt;$DO83) + $B$19*($DN83=$DO83))</f>
        <v>3.7037037037037035E-4</v>
      </c>
      <c r="FF83" s="10" cm="1">
        <f t="array" aca="1" ref="FF83" ca="1">(1-$B$18)*SUMPRODUCT(OFFSET($BO$15,0,0,$B$14,1), 1*(_xlfn._xlws.FILTER(OFFSET($O$15,0,$DN83,$B$8,1),OFFSET($M$15,0,0,$B$8,1))=FF$13), 1*(_xlfn._xlws.FILTER(OFFSET($O$15,0,$DO83,$B$8,1),OFFSET($M$15,0,0,$B$8,1))=FF$14))   /   SUM(OFFSET($BO$15,0,0,$B$14,1)) + $B$18/($B$19*$B$19*($DN83&lt;&gt;$DO83) + $B$19*($DN83=$DO83))</f>
        <v>3.7037037037037035E-4</v>
      </c>
      <c r="FG83" s="10" cm="1">
        <f t="array" aca="1" ref="FG83" ca="1">(1-$B$18)*SUMPRODUCT(OFFSET($BO$15,0,0,$B$14,1), 1*(_xlfn._xlws.FILTER(OFFSET($O$15,0,$DN83,$B$8,1),OFFSET($M$15,0,0,$B$8,1))=FG$13), 1*(_xlfn._xlws.FILTER(OFFSET($O$15,0,$DO83,$B$8,1),OFFSET($M$15,0,0,$B$8,1))=FG$14))   /   SUM(OFFSET($BO$15,0,0,$B$14,1)) + $B$18/($B$19*$B$19*($DN83&lt;&gt;$DO83) + $B$19*($DN83=$DO83))</f>
        <v>3.7037037037037035E-4</v>
      </c>
      <c r="FH83" s="10" cm="1">
        <f t="array" aca="1" ref="FH83" ca="1">(1-$B$18)*SUMPRODUCT(OFFSET($BO$15,0,0,$B$14,1), 1*(_xlfn._xlws.FILTER(OFFSET($O$15,0,$DN83,$B$8,1),OFFSET($M$15,0,0,$B$8,1))=FH$13), 1*(_xlfn._xlws.FILTER(OFFSET($O$15,0,$DO83,$B$8,1),OFFSET($M$15,0,0,$B$8,1))=FH$14))   /   SUM(OFFSET($BO$15,0,0,$B$14,1)) + $B$18/($B$19*$B$19*($DN83&lt;&gt;$DO83) + $B$19*($DN83=$DO83))</f>
        <v>3.7037037037037035E-4</v>
      </c>
      <c r="FI83" s="10" cm="1">
        <f t="array" aca="1" ref="FI83" ca="1">(1-$B$18)*SUMPRODUCT(OFFSET($BO$15,0,0,$B$14,1), 1*(_xlfn._xlws.FILTER(OFFSET($O$15,0,$DN83,$B$8,1),OFFSET($M$15,0,0,$B$8,1))=FI$13), 1*(_xlfn._xlws.FILTER(OFFSET($O$15,0,$DO83,$B$8,1),OFFSET($M$15,0,0,$B$8,1))=FI$14))   /   SUM(OFFSET($BO$15,0,0,$B$14,1)) + $B$18/($B$19*$B$19*($DN83&lt;&gt;$DO83) + $B$19*($DN83=$DO83))</f>
        <v>3.7037037037037035E-4</v>
      </c>
      <c r="FJ83" s="10" cm="1">
        <f t="array" aca="1" ref="FJ83" ca="1">(1-$B$18)*SUMPRODUCT(OFFSET($BO$15,0,0,$B$14,1), 1*(_xlfn._xlws.FILTER(OFFSET($O$15,0,$DN83,$B$8,1),OFFSET($M$15,0,0,$B$8,1))=FJ$13), 1*(_xlfn._xlws.FILTER(OFFSET($O$15,0,$DO83,$B$8,1),OFFSET($M$15,0,0,$B$8,1))=FJ$14))   /   SUM(OFFSET($BO$15,0,0,$B$14,1)) + $B$18/($B$19*$B$19*($DN83&lt;&gt;$DO83) + $B$19*($DN83=$DO83))</f>
        <v>3.7037037037037035E-4</v>
      </c>
      <c r="FK83" s="10" cm="1">
        <f t="array" aca="1" ref="FK83" ca="1">(1-$B$18)*SUMPRODUCT(OFFSET($BO$15,0,0,$B$14,1), 1*(_xlfn._xlws.FILTER(OFFSET($O$15,0,$DN83,$B$8,1),OFFSET($M$15,0,0,$B$8,1))=FK$13), 1*(_xlfn._xlws.FILTER(OFFSET($O$15,0,$DO83,$B$8,1),OFFSET($M$15,0,0,$B$8,1))=FK$14))   /   SUM(OFFSET($BO$15,0,0,$B$14,1)) + $B$18/($B$19*$B$19*($DN83&lt;&gt;$DO83) + $B$19*($DN83=$DO83))</f>
        <v>3.7037037037037035E-4</v>
      </c>
      <c r="FL83" s="10" cm="1">
        <f t="array" aca="1" ref="FL83" ca="1">(1-$B$18)*SUMPRODUCT(OFFSET($BO$15,0,0,$B$14,1), 1*(_xlfn._xlws.FILTER(OFFSET($O$15,0,$DN83,$B$8,1),OFFSET($M$15,0,0,$B$8,1))=FL$13), 1*(_xlfn._xlws.FILTER(OFFSET($O$15,0,$DO83,$B$8,1),OFFSET($M$15,0,0,$B$8,1))=FL$14))   /   SUM(OFFSET($BO$15,0,0,$B$14,1)) + $B$18/($B$19*$B$19*($DN83&lt;&gt;$DO83) + $B$19*($DN83=$DO83))</f>
        <v>3.7037037037037035E-4</v>
      </c>
      <c r="FM83" s="10" cm="1">
        <f t="array" aca="1" ref="FM83" ca="1">(1-$B$18)*SUMPRODUCT(OFFSET($BO$15,0,0,$B$14,1), 1*(_xlfn._xlws.FILTER(OFFSET($O$15,0,$DN83,$B$8,1),OFFSET($M$15,0,0,$B$8,1))=FM$13), 1*(_xlfn._xlws.FILTER(OFFSET($O$15,0,$DO83,$B$8,1),OFFSET($M$15,0,0,$B$8,1))=FM$14))   /   SUM(OFFSET($BO$15,0,0,$B$14,1)) + $B$18/($B$19*$B$19*($DN83&lt;&gt;$DO83) + $B$19*($DN83=$DO83))</f>
        <v>0.97037037037037033</v>
      </c>
      <c r="FN83" s="10" cm="1">
        <f t="array" aca="1" ref="FN83" ca="1">(1-$B$18)*SUMPRODUCT(OFFSET($BO$15,0,0,$B$14,1), 1*(_xlfn._xlws.FILTER(OFFSET($O$15,0,$DN83,$B$8,1),OFFSET($M$15,0,0,$B$8,1))=FN$13), 1*(_xlfn._xlws.FILTER(OFFSET($O$15,0,$DO83,$B$8,1),OFFSET($M$15,0,0,$B$8,1))=FN$14))   /   SUM(OFFSET($BO$15,0,0,$B$14,1)) + $B$18/($B$19*$B$19*($DN83&lt;&gt;$DO83) + $B$19*($DN83=$DO83))</f>
        <v>3.7037037037037035E-4</v>
      </c>
      <c r="FO83" s="10" cm="1">
        <f t="array" aca="1" ref="FO83" ca="1">(1-$B$18)*SUMPRODUCT(OFFSET($BO$15,0,0,$B$14,1), 1*(_xlfn._xlws.FILTER(OFFSET($O$15,0,$DN83,$B$8,1),OFFSET($M$15,0,0,$B$8,1))=FO$13), 1*(_xlfn._xlws.FILTER(OFFSET($O$15,0,$DO83,$B$8,1),OFFSET($M$15,0,0,$B$8,1))=FO$14))   /   SUM(OFFSET($BO$15,0,0,$B$14,1)) + $B$18/($B$19*$B$19*($DN83&lt;&gt;$DO83) + $B$19*($DN83=$DO83))</f>
        <v>3.7037037037037035E-4</v>
      </c>
      <c r="FP83" s="10" cm="1">
        <f t="array" aca="1" ref="FP83" ca="1">(1-$B$18)*SUMPRODUCT(OFFSET($BO$15,0,0,$B$14,1), 1*(_xlfn._xlws.FILTER(OFFSET($O$15,0,$DN83,$B$8,1),OFFSET($M$15,0,0,$B$8,1))=FP$13), 1*(_xlfn._xlws.FILTER(OFFSET($O$15,0,$DO83,$B$8,1),OFFSET($M$15,0,0,$B$8,1))=FP$14))   /   SUM(OFFSET($BO$15,0,0,$B$14,1)) + $B$18/($B$19*$B$19*($DN83&lt;&gt;$DO83) + $B$19*($DN83=$DO83))</f>
        <v>3.7037037037037035E-4</v>
      </c>
      <c r="FQ83" s="10" cm="1">
        <f t="array" aca="1" ref="FQ83" ca="1">(1-$B$18)*SUMPRODUCT(OFFSET($BO$15,0,0,$B$14,1), 1*(_xlfn._xlws.FILTER(OFFSET($O$15,0,$DN83,$B$8,1),OFFSET($M$15,0,0,$B$8,1))=FQ$13), 1*(_xlfn._xlws.FILTER(OFFSET($O$15,0,$DO83,$B$8,1),OFFSET($M$15,0,0,$B$8,1))=FQ$14))   /   SUM(OFFSET($BO$15,0,0,$B$14,1)) + $B$18/($B$19*$B$19*($DN83&lt;&gt;$DO83) + $B$19*($DN83=$DO83))</f>
        <v>3.7037037037037035E-4</v>
      </c>
      <c r="FR83" s="10" cm="1">
        <f t="array" aca="1" ref="FR83" ca="1">(1-$B$18)*SUMPRODUCT(OFFSET($BO$15,0,0,$B$14,1), 1*(_xlfn._xlws.FILTER(OFFSET($O$15,0,$DN83,$B$8,1),OFFSET($M$15,0,0,$B$8,1))=FR$13), 1*(_xlfn._xlws.FILTER(OFFSET($O$15,0,$DO83,$B$8,1),OFFSET($M$15,0,0,$B$8,1))=FR$14))   /   SUM(OFFSET($BO$15,0,0,$B$14,1)) + $B$18/($B$19*$B$19*($DN83&lt;&gt;$DO83) + $B$19*($DN83=$DO83))</f>
        <v>3.7037037037037035E-4</v>
      </c>
      <c r="FS83" s="10" cm="1">
        <f t="array" aca="1" ref="FS83" ca="1">(1-$B$18)*SUMPRODUCT(OFFSET($BO$15,0,0,$B$14,1), 1*(_xlfn._xlws.FILTER(OFFSET($O$15,0,$DN83,$B$8,1),OFFSET($M$15,0,0,$B$8,1))=FS$13), 1*(_xlfn._xlws.FILTER(OFFSET($O$15,0,$DO83,$B$8,1),OFFSET($M$15,0,0,$B$8,1))=FS$14))   /   SUM(OFFSET($BO$15,0,0,$B$14,1)) + $B$18/($B$19*$B$19*($DN83&lt;&gt;$DO83) + $B$19*($DN83=$DO83))</f>
        <v>3.7037037037037035E-4</v>
      </c>
      <c r="FT83" s="10" cm="1">
        <f t="array" aca="1" ref="FT83" ca="1">(1-$B$18)*SUMPRODUCT(OFFSET($BO$15,0,0,$B$14,1), 1*(_xlfn._xlws.FILTER(OFFSET($O$15,0,$DN83,$B$8,1),OFFSET($M$15,0,0,$B$8,1))=FT$13), 1*(_xlfn._xlws.FILTER(OFFSET($O$15,0,$DO83,$B$8,1),OFFSET($M$15,0,0,$B$8,1))=FT$14))   /   SUM(OFFSET($BO$15,0,0,$B$14,1)) + $B$18/($B$19*$B$19*($DN83&lt;&gt;$DO83) + $B$19*($DN83=$DO83))</f>
        <v>3.7037037037037035E-4</v>
      </c>
      <c r="FU83" s="10" cm="1">
        <f t="array" aca="1" ref="FU83" ca="1">(1-$B$18)*SUMPRODUCT(OFFSET($BO$15,0,0,$B$14,1), 1*(_xlfn._xlws.FILTER(OFFSET($O$15,0,$DN83,$B$8,1),OFFSET($M$15,0,0,$B$8,1))=FU$13), 1*(_xlfn._xlws.FILTER(OFFSET($O$15,0,$DO83,$B$8,1),OFFSET($M$15,0,0,$B$8,1))=FU$14))   /   SUM(OFFSET($BO$15,0,0,$B$14,1)) + $B$18/($B$19*$B$19*($DN83&lt;&gt;$DO83) + $B$19*($DN83=$DO83))</f>
        <v>3.7037037037037035E-4</v>
      </c>
      <c r="FV83" s="10" cm="1">
        <f t="array" aca="1" ref="FV83" ca="1">(1-$B$18)*SUMPRODUCT(OFFSET($BO$15,0,0,$B$14,1), 1*(_xlfn._xlws.FILTER(OFFSET($O$15,0,$DN83,$B$8,1),OFFSET($M$15,0,0,$B$8,1))=FV$13), 1*(_xlfn._xlws.FILTER(OFFSET($O$15,0,$DO83,$B$8,1),OFFSET($M$15,0,0,$B$8,1))=FV$14))   /   SUM(OFFSET($BO$15,0,0,$B$14,1)) + $B$18/($B$19*$B$19*($DN83&lt;&gt;$DO83) + $B$19*($DN83=$DO83))</f>
        <v>3.7037037037037035E-4</v>
      </c>
      <c r="FW83" s="10" cm="1">
        <f t="array" aca="1" ref="FW83" ca="1">(1-$B$18)*SUMPRODUCT(OFFSET($BO$15,0,0,$B$14,1), 1*(_xlfn._xlws.FILTER(OFFSET($O$15,0,$DN83,$B$8,1),OFFSET($M$15,0,0,$B$8,1))=FW$13), 1*(_xlfn._xlws.FILTER(OFFSET($O$15,0,$DO83,$B$8,1),OFFSET($M$15,0,0,$B$8,1))=FW$14))   /   SUM(OFFSET($BO$15,0,0,$B$14,1)) + $B$18/($B$19*$B$19*($DN83&lt;&gt;$DO83) + $B$19*($DN83=$DO83))</f>
        <v>3.7037037037037035E-4</v>
      </c>
      <c r="FX83" s="10" cm="1">
        <f t="array" aca="1" ref="FX83" ca="1">(1-$B$18)*SUMPRODUCT(OFFSET($BO$15,0,0,$B$14,1), 1*(_xlfn._xlws.FILTER(OFFSET($O$15,0,$DN83,$B$8,1),OFFSET($M$15,0,0,$B$8,1))=FX$13), 1*(_xlfn._xlws.FILTER(OFFSET($O$15,0,$DO83,$B$8,1),OFFSET($M$15,0,0,$B$8,1))=FX$14))   /   SUM(OFFSET($BO$15,0,0,$B$14,1)) + $B$18/($B$19*$B$19*($DN83&lt;&gt;$DO83) + $B$19*($DN83=$DO83))</f>
        <v>3.7037037037037035E-4</v>
      </c>
      <c r="FY83" s="10" cm="1">
        <f t="array" aca="1" ref="FY83" ca="1">(1-$B$18)*SUMPRODUCT(OFFSET($BO$15,0,0,$B$14,1), 1*(_xlfn._xlws.FILTER(OFFSET($O$15,0,$DN83,$B$8,1),OFFSET($M$15,0,0,$B$8,1))=FY$13), 1*(_xlfn._xlws.FILTER(OFFSET($O$15,0,$DO83,$B$8,1),OFFSET($M$15,0,0,$B$8,1))=FY$14))   /   SUM(OFFSET($BO$15,0,0,$B$14,1)) + $B$18/($B$19*$B$19*($DN83&lt;&gt;$DO83) + $B$19*($DN83=$DO83))</f>
        <v>3.7037037037037035E-4</v>
      </c>
      <c r="FZ83" s="10" cm="1">
        <f t="array" aca="1" ref="FZ83" ca="1">(1-$B$18)*SUMPRODUCT(OFFSET($BO$15,0,0,$B$14,1), 1*(_xlfn._xlws.FILTER(OFFSET($O$15,0,$DN83,$B$8,1),OFFSET($M$15,0,0,$B$8,1))=FZ$13), 1*(_xlfn._xlws.FILTER(OFFSET($O$15,0,$DO83,$B$8,1),OFFSET($M$15,0,0,$B$8,1))=FZ$14))   /   SUM(OFFSET($BO$15,0,0,$B$14,1)) + $B$18/($B$19*$B$19*($DN83&lt;&gt;$DO83) + $B$19*($DN83=$DO83))</f>
        <v>3.7037037037037035E-4</v>
      </c>
      <c r="GA83" s="10" cm="1">
        <f t="array" aca="1" ref="GA83" ca="1">(1-$B$18)*SUMPRODUCT(OFFSET($BO$15,0,0,$B$14,1), 1*(_xlfn._xlws.FILTER(OFFSET($O$15,0,$DN83,$B$8,1),OFFSET($M$15,0,0,$B$8,1))=GA$13), 1*(_xlfn._xlws.FILTER(OFFSET($O$15,0,$DO83,$B$8,1),OFFSET($M$15,0,0,$B$8,1))=GA$14))   /   SUM(OFFSET($BO$15,0,0,$B$14,1)) + $B$18/($B$19*$B$19*($DN83&lt;&gt;$DO83) + $B$19*($DN83=$DO83))</f>
        <v>3.7037037037037035E-4</v>
      </c>
    </row>
    <row r="84" spans="7:183" x14ac:dyDescent="0.2">
      <c r="G84" s="2"/>
      <c r="H84" s="2"/>
      <c r="DN84" cm="1">
        <f t="array" aca="1" ref="DN84" ca="1">INDEX(_xlfn.ANCHORARRAY($CP$15), 1 + INT((ROWS($DO$15:$DO84) - 1) / ROWS(_xlfn.ANCHORARRAY($CP$15))))</f>
        <v>3</v>
      </c>
      <c r="DO84" cm="1">
        <f t="array" aca="1" ref="DO84" ca="1">INDEX(_xlfn.ANCHORARRAY($CP$15),1+MOD(ROWS($DO$15:$DO84)-1,ROWS(_xlfn.ANCHORARRAY($CP$15))))</f>
        <v>13</v>
      </c>
      <c r="DP84" s="10" cm="1">
        <f t="array" aca="1" ref="DP84" ca="1">(1-$B$18)*SUMPRODUCT(OFFSET($BO$15,0,0,$B$14,1), 1*(_xlfn._xlws.FILTER(OFFSET($O$15,0,$DN84,$B$8,1),OFFSET($M$15,0,0,$B$8,1))=DP$13), 1*(_xlfn._xlws.FILTER(OFFSET($O$15,0,$DO84,$B$8,1),OFFSET($M$15,0,0,$B$8,1))=DP$14))   /   SUM(OFFSET($BO$15,0,0,$B$14,1)) + $B$18/($B$19*$B$19*($DN84&lt;&gt;$DO84) + $B$19*($DN84=$DO84))</f>
        <v>3.7037037037037035E-4</v>
      </c>
      <c r="DQ84" s="10" cm="1">
        <f t="array" aca="1" ref="DQ84" ca="1">(1-$B$18)*SUMPRODUCT(OFFSET($BO$15,0,0,$B$14,1), 1*(_xlfn._xlws.FILTER(OFFSET($O$15,0,$DN84,$B$8,1),OFFSET($M$15,0,0,$B$8,1))=DQ$13), 1*(_xlfn._xlws.FILTER(OFFSET($O$15,0,$DO84,$B$8,1),OFFSET($M$15,0,0,$B$8,1))=DQ$14))   /   SUM(OFFSET($BO$15,0,0,$B$14,1)) + $B$18/($B$19*$B$19*($DN84&lt;&gt;$DO84) + $B$19*($DN84=$DO84))</f>
        <v>3.7037037037037035E-4</v>
      </c>
      <c r="DR84" s="10" cm="1">
        <f t="array" aca="1" ref="DR84" ca="1">(1-$B$18)*SUMPRODUCT(OFFSET($BO$15,0,0,$B$14,1), 1*(_xlfn._xlws.FILTER(OFFSET($O$15,0,$DN84,$B$8,1),OFFSET($M$15,0,0,$B$8,1))=DR$13), 1*(_xlfn._xlws.FILTER(OFFSET($O$15,0,$DO84,$B$8,1),OFFSET($M$15,0,0,$B$8,1))=DR$14))   /   SUM(OFFSET($BO$15,0,0,$B$14,1)) + $B$18/($B$19*$B$19*($DN84&lt;&gt;$DO84) + $B$19*($DN84=$DO84))</f>
        <v>3.7037037037037035E-4</v>
      </c>
      <c r="DS84" s="10" cm="1">
        <f t="array" aca="1" ref="DS84" ca="1">(1-$B$18)*SUMPRODUCT(OFFSET($BO$15,0,0,$B$14,1), 1*(_xlfn._xlws.FILTER(OFFSET($O$15,0,$DN84,$B$8,1),OFFSET($M$15,0,0,$B$8,1))=DS$13), 1*(_xlfn._xlws.FILTER(OFFSET($O$15,0,$DO84,$B$8,1),OFFSET($M$15,0,0,$B$8,1))=DS$14))   /   SUM(OFFSET($BO$15,0,0,$B$14,1)) + $B$18/($B$19*$B$19*($DN84&lt;&gt;$DO84) + $B$19*($DN84=$DO84))</f>
        <v>3.7037037037037035E-4</v>
      </c>
      <c r="DT84" s="10" cm="1">
        <f t="array" aca="1" ref="DT84" ca="1">(1-$B$18)*SUMPRODUCT(OFFSET($BO$15,0,0,$B$14,1), 1*(_xlfn._xlws.FILTER(OFFSET($O$15,0,$DN84,$B$8,1),OFFSET($M$15,0,0,$B$8,1))=DT$13), 1*(_xlfn._xlws.FILTER(OFFSET($O$15,0,$DO84,$B$8,1),OFFSET($M$15,0,0,$B$8,1))=DT$14))   /   SUM(OFFSET($BO$15,0,0,$B$14,1)) + $B$18/($B$19*$B$19*($DN84&lt;&gt;$DO84) + $B$19*($DN84=$DO84))</f>
        <v>3.7037037037037035E-4</v>
      </c>
      <c r="DU84" s="10" cm="1">
        <f t="array" aca="1" ref="DU84" ca="1">(1-$B$18)*SUMPRODUCT(OFFSET($BO$15,0,0,$B$14,1), 1*(_xlfn._xlws.FILTER(OFFSET($O$15,0,$DN84,$B$8,1),OFFSET($M$15,0,0,$B$8,1))=DU$13), 1*(_xlfn._xlws.FILTER(OFFSET($O$15,0,$DO84,$B$8,1),OFFSET($M$15,0,0,$B$8,1))=DU$14))   /   SUM(OFFSET($BO$15,0,0,$B$14,1)) + $B$18/($B$19*$B$19*($DN84&lt;&gt;$DO84) + $B$19*($DN84=$DO84))</f>
        <v>3.7037037037037035E-4</v>
      </c>
      <c r="DV84" s="10" cm="1">
        <f t="array" aca="1" ref="DV84" ca="1">(1-$B$18)*SUMPRODUCT(OFFSET($BO$15,0,0,$B$14,1), 1*(_xlfn._xlws.FILTER(OFFSET($O$15,0,$DN84,$B$8,1),OFFSET($M$15,0,0,$B$8,1))=DV$13), 1*(_xlfn._xlws.FILTER(OFFSET($O$15,0,$DO84,$B$8,1),OFFSET($M$15,0,0,$B$8,1))=DV$14))   /   SUM(OFFSET($BO$15,0,0,$B$14,1)) + $B$18/($B$19*$B$19*($DN84&lt;&gt;$DO84) + $B$19*($DN84=$DO84))</f>
        <v>3.7037037037037035E-4</v>
      </c>
      <c r="DW84" s="10" cm="1">
        <f t="array" aca="1" ref="DW84" ca="1">(1-$B$18)*SUMPRODUCT(OFFSET($BO$15,0,0,$B$14,1), 1*(_xlfn._xlws.FILTER(OFFSET($O$15,0,$DN84,$B$8,1),OFFSET($M$15,0,0,$B$8,1))=DW$13), 1*(_xlfn._xlws.FILTER(OFFSET($O$15,0,$DO84,$B$8,1),OFFSET($M$15,0,0,$B$8,1))=DW$14))   /   SUM(OFFSET($BO$15,0,0,$B$14,1)) + $B$18/($B$19*$B$19*($DN84&lt;&gt;$DO84) + $B$19*($DN84=$DO84))</f>
        <v>3.7037037037037035E-4</v>
      </c>
      <c r="DX84" s="10" cm="1">
        <f t="array" aca="1" ref="DX84" ca="1">(1-$B$18)*SUMPRODUCT(OFFSET($BO$15,0,0,$B$14,1), 1*(_xlfn._xlws.FILTER(OFFSET($O$15,0,$DN84,$B$8,1),OFFSET($M$15,0,0,$B$8,1))=DX$13), 1*(_xlfn._xlws.FILTER(OFFSET($O$15,0,$DO84,$B$8,1),OFFSET($M$15,0,0,$B$8,1))=DX$14))   /   SUM(OFFSET($BO$15,0,0,$B$14,1)) + $B$18/($B$19*$B$19*($DN84&lt;&gt;$DO84) + $B$19*($DN84=$DO84))</f>
        <v>3.7037037037037035E-4</v>
      </c>
      <c r="DY84" s="10" cm="1">
        <f t="array" aca="1" ref="DY84" ca="1">(1-$B$18)*SUMPRODUCT(OFFSET($BO$15,0,0,$B$14,1), 1*(_xlfn._xlws.FILTER(OFFSET($O$15,0,$DN84,$B$8,1),OFFSET($M$15,0,0,$B$8,1))=DY$13), 1*(_xlfn._xlws.FILTER(OFFSET($O$15,0,$DO84,$B$8,1),OFFSET($M$15,0,0,$B$8,1))=DY$14))   /   SUM(OFFSET($BO$15,0,0,$B$14,1)) + $B$18/($B$19*$B$19*($DN84&lt;&gt;$DO84) + $B$19*($DN84=$DO84))</f>
        <v>3.7037037037037035E-4</v>
      </c>
      <c r="DZ84" s="10" cm="1">
        <f t="array" aca="1" ref="DZ84" ca="1">(1-$B$18)*SUMPRODUCT(OFFSET($BO$15,0,0,$B$14,1), 1*(_xlfn._xlws.FILTER(OFFSET($O$15,0,$DN84,$B$8,1),OFFSET($M$15,0,0,$B$8,1))=DZ$13), 1*(_xlfn._xlws.FILTER(OFFSET($O$15,0,$DO84,$B$8,1),OFFSET($M$15,0,0,$B$8,1))=DZ$14))   /   SUM(OFFSET($BO$15,0,0,$B$14,1)) + $B$18/($B$19*$B$19*($DN84&lt;&gt;$DO84) + $B$19*($DN84=$DO84))</f>
        <v>3.7037037037037035E-4</v>
      </c>
      <c r="EA84" s="10" cm="1">
        <f t="array" aca="1" ref="EA84" ca="1">(1-$B$18)*SUMPRODUCT(OFFSET($BO$15,0,0,$B$14,1), 1*(_xlfn._xlws.FILTER(OFFSET($O$15,0,$DN84,$B$8,1),OFFSET($M$15,0,0,$B$8,1))=EA$13), 1*(_xlfn._xlws.FILTER(OFFSET($O$15,0,$DO84,$B$8,1),OFFSET($M$15,0,0,$B$8,1))=EA$14))   /   SUM(OFFSET($BO$15,0,0,$B$14,1)) + $B$18/($B$19*$B$19*($DN84&lt;&gt;$DO84) + $B$19*($DN84=$DO84))</f>
        <v>3.7037037037037035E-4</v>
      </c>
      <c r="EB84" s="10" cm="1">
        <f t="array" aca="1" ref="EB84" ca="1">(1-$B$18)*SUMPRODUCT(OFFSET($BO$15,0,0,$B$14,1), 1*(_xlfn._xlws.FILTER(OFFSET($O$15,0,$DN84,$B$8,1),OFFSET($M$15,0,0,$B$8,1))=EB$13), 1*(_xlfn._xlws.FILTER(OFFSET($O$15,0,$DO84,$B$8,1),OFFSET($M$15,0,0,$B$8,1))=EB$14))   /   SUM(OFFSET($BO$15,0,0,$B$14,1)) + $B$18/($B$19*$B$19*($DN84&lt;&gt;$DO84) + $B$19*($DN84=$DO84))</f>
        <v>3.7037037037037035E-4</v>
      </c>
      <c r="EC84" s="10" cm="1">
        <f t="array" aca="1" ref="EC84" ca="1">(1-$B$18)*SUMPRODUCT(OFFSET($BO$15,0,0,$B$14,1), 1*(_xlfn._xlws.FILTER(OFFSET($O$15,0,$DN84,$B$8,1),OFFSET($M$15,0,0,$B$8,1))=EC$13), 1*(_xlfn._xlws.FILTER(OFFSET($O$15,0,$DO84,$B$8,1),OFFSET($M$15,0,0,$B$8,1))=EC$14))   /   SUM(OFFSET($BO$15,0,0,$B$14,1)) + $B$18/($B$19*$B$19*($DN84&lt;&gt;$DO84) + $B$19*($DN84=$DO84))</f>
        <v>3.7037037037037035E-4</v>
      </c>
      <c r="ED84" s="10" cm="1">
        <f t="array" aca="1" ref="ED84" ca="1">(1-$B$18)*SUMPRODUCT(OFFSET($BO$15,0,0,$B$14,1), 1*(_xlfn._xlws.FILTER(OFFSET($O$15,0,$DN84,$B$8,1),OFFSET($M$15,0,0,$B$8,1))=ED$13), 1*(_xlfn._xlws.FILTER(OFFSET($O$15,0,$DO84,$B$8,1),OFFSET($M$15,0,0,$B$8,1))=ED$14))   /   SUM(OFFSET($BO$15,0,0,$B$14,1)) + $B$18/($B$19*$B$19*($DN84&lt;&gt;$DO84) + $B$19*($DN84=$DO84))</f>
        <v>3.7037037037037035E-4</v>
      </c>
      <c r="EE84" s="10" cm="1">
        <f t="array" aca="1" ref="EE84" ca="1">(1-$B$18)*SUMPRODUCT(OFFSET($BO$15,0,0,$B$14,1), 1*(_xlfn._xlws.FILTER(OFFSET($O$15,0,$DN84,$B$8,1),OFFSET($M$15,0,0,$B$8,1))=EE$13), 1*(_xlfn._xlws.FILTER(OFFSET($O$15,0,$DO84,$B$8,1),OFFSET($M$15,0,0,$B$8,1))=EE$14))   /   SUM(OFFSET($BO$15,0,0,$B$14,1)) + $B$18/($B$19*$B$19*($DN84&lt;&gt;$DO84) + $B$19*($DN84=$DO84))</f>
        <v>3.7037037037037035E-4</v>
      </c>
      <c r="EF84" s="10" cm="1">
        <f t="array" aca="1" ref="EF84" ca="1">(1-$B$18)*SUMPRODUCT(OFFSET($BO$15,0,0,$B$14,1), 1*(_xlfn._xlws.FILTER(OFFSET($O$15,0,$DN84,$B$8,1),OFFSET($M$15,0,0,$B$8,1))=EF$13), 1*(_xlfn._xlws.FILTER(OFFSET($O$15,0,$DO84,$B$8,1),OFFSET($M$15,0,0,$B$8,1))=EF$14))   /   SUM(OFFSET($BO$15,0,0,$B$14,1)) + $B$18/($B$19*$B$19*($DN84&lt;&gt;$DO84) + $B$19*($DN84=$DO84))</f>
        <v>3.7037037037037035E-4</v>
      </c>
      <c r="EG84" s="10" cm="1">
        <f t="array" aca="1" ref="EG84" ca="1">(1-$B$18)*SUMPRODUCT(OFFSET($BO$15,0,0,$B$14,1), 1*(_xlfn._xlws.FILTER(OFFSET($O$15,0,$DN84,$B$8,1),OFFSET($M$15,0,0,$B$8,1))=EG$13), 1*(_xlfn._xlws.FILTER(OFFSET($O$15,0,$DO84,$B$8,1),OFFSET($M$15,0,0,$B$8,1))=EG$14))   /   SUM(OFFSET($BO$15,0,0,$B$14,1)) + $B$18/($B$19*$B$19*($DN84&lt;&gt;$DO84) + $B$19*($DN84=$DO84))</f>
        <v>3.7037037037037035E-4</v>
      </c>
      <c r="EH84" s="10" cm="1">
        <f t="array" aca="1" ref="EH84" ca="1">(1-$B$18)*SUMPRODUCT(OFFSET($BO$15,0,0,$B$14,1), 1*(_xlfn._xlws.FILTER(OFFSET($O$15,0,$DN84,$B$8,1),OFFSET($M$15,0,0,$B$8,1))=EH$13), 1*(_xlfn._xlws.FILTER(OFFSET($O$15,0,$DO84,$B$8,1),OFFSET($M$15,0,0,$B$8,1))=EH$14))   /   SUM(OFFSET($BO$15,0,0,$B$14,1)) + $B$18/($B$19*$B$19*($DN84&lt;&gt;$DO84) + $B$19*($DN84=$DO84))</f>
        <v>3.7037037037037035E-4</v>
      </c>
      <c r="EI84" s="10" cm="1">
        <f t="array" aca="1" ref="EI84" ca="1">(1-$B$18)*SUMPRODUCT(OFFSET($BO$15,0,0,$B$14,1), 1*(_xlfn._xlws.FILTER(OFFSET($O$15,0,$DN84,$B$8,1),OFFSET($M$15,0,0,$B$8,1))=EI$13), 1*(_xlfn._xlws.FILTER(OFFSET($O$15,0,$DO84,$B$8,1),OFFSET($M$15,0,0,$B$8,1))=EI$14))   /   SUM(OFFSET($BO$15,0,0,$B$14,1)) + $B$18/($B$19*$B$19*($DN84&lt;&gt;$DO84) + $B$19*($DN84=$DO84))</f>
        <v>3.7037037037037035E-4</v>
      </c>
      <c r="EJ84" s="10" cm="1">
        <f t="array" aca="1" ref="EJ84" ca="1">(1-$B$18)*SUMPRODUCT(OFFSET($BO$15,0,0,$B$14,1), 1*(_xlfn._xlws.FILTER(OFFSET($O$15,0,$DN84,$B$8,1),OFFSET($M$15,0,0,$B$8,1))=EJ$13), 1*(_xlfn._xlws.FILTER(OFFSET($O$15,0,$DO84,$B$8,1),OFFSET($M$15,0,0,$B$8,1))=EJ$14))   /   SUM(OFFSET($BO$15,0,0,$B$14,1)) + $B$18/($B$19*$B$19*($DN84&lt;&gt;$DO84) + $B$19*($DN84=$DO84))</f>
        <v>3.7037037037037035E-4</v>
      </c>
      <c r="EK84" s="10" cm="1">
        <f t="array" aca="1" ref="EK84" ca="1">(1-$B$18)*SUMPRODUCT(OFFSET($BO$15,0,0,$B$14,1), 1*(_xlfn._xlws.FILTER(OFFSET($O$15,0,$DN84,$B$8,1),OFFSET($M$15,0,0,$B$8,1))=EK$13), 1*(_xlfn._xlws.FILTER(OFFSET($O$15,0,$DO84,$B$8,1),OFFSET($M$15,0,0,$B$8,1))=EK$14))   /   SUM(OFFSET($BO$15,0,0,$B$14,1)) + $B$18/($B$19*$B$19*($DN84&lt;&gt;$DO84) + $B$19*($DN84=$DO84))</f>
        <v>3.7037037037037035E-4</v>
      </c>
      <c r="EL84" s="10" cm="1">
        <f t="array" aca="1" ref="EL84" ca="1">(1-$B$18)*SUMPRODUCT(OFFSET($BO$15,0,0,$B$14,1), 1*(_xlfn._xlws.FILTER(OFFSET($O$15,0,$DN84,$B$8,1),OFFSET($M$15,0,0,$B$8,1))=EL$13), 1*(_xlfn._xlws.FILTER(OFFSET($O$15,0,$DO84,$B$8,1),OFFSET($M$15,0,0,$B$8,1))=EL$14))   /   SUM(OFFSET($BO$15,0,0,$B$14,1)) + $B$18/($B$19*$B$19*($DN84&lt;&gt;$DO84) + $B$19*($DN84=$DO84))</f>
        <v>3.7037037037037035E-4</v>
      </c>
      <c r="EM84" s="10" cm="1">
        <f t="array" aca="1" ref="EM84" ca="1">(1-$B$18)*SUMPRODUCT(OFFSET($BO$15,0,0,$B$14,1), 1*(_xlfn._xlws.FILTER(OFFSET($O$15,0,$DN84,$B$8,1),OFFSET($M$15,0,0,$B$8,1))=EM$13), 1*(_xlfn._xlws.FILTER(OFFSET($O$15,0,$DO84,$B$8,1),OFFSET($M$15,0,0,$B$8,1))=EM$14))   /   SUM(OFFSET($BO$15,0,0,$B$14,1)) + $B$18/($B$19*$B$19*($DN84&lt;&gt;$DO84) + $B$19*($DN84=$DO84))</f>
        <v>3.7037037037037035E-4</v>
      </c>
      <c r="EN84" s="10" cm="1">
        <f t="array" aca="1" ref="EN84" ca="1">(1-$B$18)*SUMPRODUCT(OFFSET($BO$15,0,0,$B$14,1), 1*(_xlfn._xlws.FILTER(OFFSET($O$15,0,$DN84,$B$8,1),OFFSET($M$15,0,0,$B$8,1))=EN$13), 1*(_xlfn._xlws.FILTER(OFFSET($O$15,0,$DO84,$B$8,1),OFFSET($M$15,0,0,$B$8,1))=EN$14))   /   SUM(OFFSET($BO$15,0,0,$B$14,1)) + $B$18/($B$19*$B$19*($DN84&lt;&gt;$DO84) + $B$19*($DN84=$DO84))</f>
        <v>3.7037037037037035E-4</v>
      </c>
      <c r="EO84" s="10" cm="1">
        <f t="array" aca="1" ref="EO84" ca="1">(1-$B$18)*SUMPRODUCT(OFFSET($BO$15,0,0,$B$14,1), 1*(_xlfn._xlws.FILTER(OFFSET($O$15,0,$DN84,$B$8,1),OFFSET($M$15,0,0,$B$8,1))=EO$13), 1*(_xlfn._xlws.FILTER(OFFSET($O$15,0,$DO84,$B$8,1),OFFSET($M$15,0,0,$B$8,1))=EO$14))   /   SUM(OFFSET($BO$15,0,0,$B$14,1)) + $B$18/($B$19*$B$19*($DN84&lt;&gt;$DO84) + $B$19*($DN84=$DO84))</f>
        <v>3.7037037037037035E-4</v>
      </c>
      <c r="EP84" s="10" cm="1">
        <f t="array" aca="1" ref="EP84" ca="1">(1-$B$18)*SUMPRODUCT(OFFSET($BO$15,0,0,$B$14,1), 1*(_xlfn._xlws.FILTER(OFFSET($O$15,0,$DN84,$B$8,1),OFFSET($M$15,0,0,$B$8,1))=EP$13), 1*(_xlfn._xlws.FILTER(OFFSET($O$15,0,$DO84,$B$8,1),OFFSET($M$15,0,0,$B$8,1))=EP$14))   /   SUM(OFFSET($BO$15,0,0,$B$14,1)) + $B$18/($B$19*$B$19*($DN84&lt;&gt;$DO84) + $B$19*($DN84=$DO84))</f>
        <v>3.7037037037037035E-4</v>
      </c>
      <c r="EQ84" s="10" cm="1">
        <f t="array" aca="1" ref="EQ84" ca="1">(1-$B$18)*SUMPRODUCT(OFFSET($BO$15,0,0,$B$14,1), 1*(_xlfn._xlws.FILTER(OFFSET($O$15,0,$DN84,$B$8,1),OFFSET($M$15,0,0,$B$8,1))=EQ$13), 1*(_xlfn._xlws.FILTER(OFFSET($O$15,0,$DO84,$B$8,1),OFFSET($M$15,0,0,$B$8,1))=EQ$14))   /   SUM(OFFSET($BO$15,0,0,$B$14,1)) + $B$18/($B$19*$B$19*($DN84&lt;&gt;$DO84) + $B$19*($DN84=$DO84))</f>
        <v>3.7037037037037035E-4</v>
      </c>
      <c r="ER84" s="10" cm="1">
        <f t="array" aca="1" ref="ER84" ca="1">(1-$B$18)*SUMPRODUCT(OFFSET($BO$15,0,0,$B$14,1), 1*(_xlfn._xlws.FILTER(OFFSET($O$15,0,$DN84,$B$8,1),OFFSET($M$15,0,0,$B$8,1))=ER$13), 1*(_xlfn._xlws.FILTER(OFFSET($O$15,0,$DO84,$B$8,1),OFFSET($M$15,0,0,$B$8,1))=ER$14))   /   SUM(OFFSET($BO$15,0,0,$B$14,1)) + $B$18/($B$19*$B$19*($DN84&lt;&gt;$DO84) + $B$19*($DN84=$DO84))</f>
        <v>3.7037037037037035E-4</v>
      </c>
      <c r="ES84" s="10" cm="1">
        <f t="array" aca="1" ref="ES84" ca="1">(1-$B$18)*SUMPRODUCT(OFFSET($BO$15,0,0,$B$14,1), 1*(_xlfn._xlws.FILTER(OFFSET($O$15,0,$DN84,$B$8,1),OFFSET($M$15,0,0,$B$8,1))=ES$13), 1*(_xlfn._xlws.FILTER(OFFSET($O$15,0,$DO84,$B$8,1),OFFSET($M$15,0,0,$B$8,1))=ES$14))   /   SUM(OFFSET($BO$15,0,0,$B$14,1)) + $B$18/($B$19*$B$19*($DN84&lt;&gt;$DO84) + $B$19*($DN84=$DO84))</f>
        <v>3.7037037037037035E-4</v>
      </c>
      <c r="ET84" s="10" cm="1">
        <f t="array" aca="1" ref="ET84" ca="1">(1-$B$18)*SUMPRODUCT(OFFSET($BO$15,0,0,$B$14,1), 1*(_xlfn._xlws.FILTER(OFFSET($O$15,0,$DN84,$B$8,1),OFFSET($M$15,0,0,$B$8,1))=ET$13), 1*(_xlfn._xlws.FILTER(OFFSET($O$15,0,$DO84,$B$8,1),OFFSET($M$15,0,0,$B$8,1))=ET$14))   /   SUM(OFFSET($BO$15,0,0,$B$14,1)) + $B$18/($B$19*$B$19*($DN84&lt;&gt;$DO84) + $B$19*($DN84=$DO84))</f>
        <v>3.7037037037037035E-4</v>
      </c>
      <c r="EU84" s="10" cm="1">
        <f t="array" aca="1" ref="EU84" ca="1">(1-$B$18)*SUMPRODUCT(OFFSET($BO$15,0,0,$B$14,1), 1*(_xlfn._xlws.FILTER(OFFSET($O$15,0,$DN84,$B$8,1),OFFSET($M$15,0,0,$B$8,1))=EU$13), 1*(_xlfn._xlws.FILTER(OFFSET($O$15,0,$DO84,$B$8,1),OFFSET($M$15,0,0,$B$8,1))=EU$14))   /   SUM(OFFSET($BO$15,0,0,$B$14,1)) + $B$18/($B$19*$B$19*($DN84&lt;&gt;$DO84) + $B$19*($DN84=$DO84))</f>
        <v>3.7037037037037035E-4</v>
      </c>
      <c r="EV84" s="10" cm="1">
        <f t="array" aca="1" ref="EV84" ca="1">(1-$B$18)*SUMPRODUCT(OFFSET($BO$15,0,0,$B$14,1), 1*(_xlfn._xlws.FILTER(OFFSET($O$15,0,$DN84,$B$8,1),OFFSET($M$15,0,0,$B$8,1))=EV$13), 1*(_xlfn._xlws.FILTER(OFFSET($O$15,0,$DO84,$B$8,1),OFFSET($M$15,0,0,$B$8,1))=EV$14))   /   SUM(OFFSET($BO$15,0,0,$B$14,1)) + $B$18/($B$19*$B$19*($DN84&lt;&gt;$DO84) + $B$19*($DN84=$DO84))</f>
        <v>3.7037037037037035E-4</v>
      </c>
      <c r="EW84" s="10" cm="1">
        <f t="array" aca="1" ref="EW84" ca="1">(1-$B$18)*SUMPRODUCT(OFFSET($BO$15,0,0,$B$14,1), 1*(_xlfn._xlws.FILTER(OFFSET($O$15,0,$DN84,$B$8,1),OFFSET($M$15,0,0,$B$8,1))=EW$13), 1*(_xlfn._xlws.FILTER(OFFSET($O$15,0,$DO84,$B$8,1),OFFSET($M$15,0,0,$B$8,1))=EW$14))   /   SUM(OFFSET($BO$15,0,0,$B$14,1)) + $B$18/($B$19*$B$19*($DN84&lt;&gt;$DO84) + $B$19*($DN84=$DO84))</f>
        <v>3.7037037037037035E-4</v>
      </c>
      <c r="EX84" s="10" cm="1">
        <f t="array" aca="1" ref="EX84" ca="1">(1-$B$18)*SUMPRODUCT(OFFSET($BO$15,0,0,$B$14,1), 1*(_xlfn._xlws.FILTER(OFFSET($O$15,0,$DN84,$B$8,1),OFFSET($M$15,0,0,$B$8,1))=EX$13), 1*(_xlfn._xlws.FILTER(OFFSET($O$15,0,$DO84,$B$8,1),OFFSET($M$15,0,0,$B$8,1))=EX$14))   /   SUM(OFFSET($BO$15,0,0,$B$14,1)) + $B$18/($B$19*$B$19*($DN84&lt;&gt;$DO84) + $B$19*($DN84=$DO84))</f>
        <v>3.7037037037037035E-4</v>
      </c>
      <c r="EY84" s="10" cm="1">
        <f t="array" aca="1" ref="EY84" ca="1">(1-$B$18)*SUMPRODUCT(OFFSET($BO$15,0,0,$B$14,1), 1*(_xlfn._xlws.FILTER(OFFSET($O$15,0,$DN84,$B$8,1),OFFSET($M$15,0,0,$B$8,1))=EY$13), 1*(_xlfn._xlws.FILTER(OFFSET($O$15,0,$DO84,$B$8,1),OFFSET($M$15,0,0,$B$8,1))=EY$14))   /   SUM(OFFSET($BO$15,0,0,$B$14,1)) + $B$18/($B$19*$B$19*($DN84&lt;&gt;$DO84) + $B$19*($DN84=$DO84))</f>
        <v>3.7037037037037035E-4</v>
      </c>
      <c r="EZ84" s="10" cm="1">
        <f t="array" aca="1" ref="EZ84" ca="1">(1-$B$18)*SUMPRODUCT(OFFSET($BO$15,0,0,$B$14,1), 1*(_xlfn._xlws.FILTER(OFFSET($O$15,0,$DN84,$B$8,1),OFFSET($M$15,0,0,$B$8,1))=EZ$13), 1*(_xlfn._xlws.FILTER(OFFSET($O$15,0,$DO84,$B$8,1),OFFSET($M$15,0,0,$B$8,1))=EZ$14))   /   SUM(OFFSET($BO$15,0,0,$B$14,1)) + $B$18/($B$19*$B$19*($DN84&lt;&gt;$DO84) + $B$19*($DN84=$DO84))</f>
        <v>3.7037037037037035E-4</v>
      </c>
      <c r="FA84" s="10" cm="1">
        <f t="array" aca="1" ref="FA84" ca="1">(1-$B$18)*SUMPRODUCT(OFFSET($BO$15,0,0,$B$14,1), 1*(_xlfn._xlws.FILTER(OFFSET($O$15,0,$DN84,$B$8,1),OFFSET($M$15,0,0,$B$8,1))=FA$13), 1*(_xlfn._xlws.FILTER(OFFSET($O$15,0,$DO84,$B$8,1),OFFSET($M$15,0,0,$B$8,1))=FA$14))   /   SUM(OFFSET($BO$15,0,0,$B$14,1)) + $B$18/($B$19*$B$19*($DN84&lt;&gt;$DO84) + $B$19*($DN84=$DO84))</f>
        <v>3.7037037037037035E-4</v>
      </c>
      <c r="FB84" s="10" cm="1">
        <f t="array" aca="1" ref="FB84" ca="1">(1-$B$18)*SUMPRODUCT(OFFSET($BO$15,0,0,$B$14,1), 1*(_xlfn._xlws.FILTER(OFFSET($O$15,0,$DN84,$B$8,1),OFFSET($M$15,0,0,$B$8,1))=FB$13), 1*(_xlfn._xlws.FILTER(OFFSET($O$15,0,$DO84,$B$8,1),OFFSET($M$15,0,0,$B$8,1))=FB$14))   /   SUM(OFFSET($BO$15,0,0,$B$14,1)) + $B$18/($B$19*$B$19*($DN84&lt;&gt;$DO84) + $B$19*($DN84=$DO84))</f>
        <v>3.7037037037037035E-4</v>
      </c>
      <c r="FC84" s="10" cm="1">
        <f t="array" aca="1" ref="FC84" ca="1">(1-$B$18)*SUMPRODUCT(OFFSET($BO$15,0,0,$B$14,1), 1*(_xlfn._xlws.FILTER(OFFSET($O$15,0,$DN84,$B$8,1),OFFSET($M$15,0,0,$B$8,1))=FC$13), 1*(_xlfn._xlws.FILTER(OFFSET($O$15,0,$DO84,$B$8,1),OFFSET($M$15,0,0,$B$8,1))=FC$14))   /   SUM(OFFSET($BO$15,0,0,$B$14,1)) + $B$18/($B$19*$B$19*($DN84&lt;&gt;$DO84) + $B$19*($DN84=$DO84))</f>
        <v>3.7037037037037035E-4</v>
      </c>
      <c r="FD84" s="10" cm="1">
        <f t="array" aca="1" ref="FD84" ca="1">(1-$B$18)*SUMPRODUCT(OFFSET($BO$15,0,0,$B$14,1), 1*(_xlfn._xlws.FILTER(OFFSET($O$15,0,$DN84,$B$8,1),OFFSET($M$15,0,0,$B$8,1))=FD$13), 1*(_xlfn._xlws.FILTER(OFFSET($O$15,0,$DO84,$B$8,1),OFFSET($M$15,0,0,$B$8,1))=FD$14))   /   SUM(OFFSET($BO$15,0,0,$B$14,1)) + $B$18/($B$19*$B$19*($DN84&lt;&gt;$DO84) + $B$19*($DN84=$DO84))</f>
        <v>3.7037037037037035E-4</v>
      </c>
      <c r="FE84" s="10" cm="1">
        <f t="array" aca="1" ref="FE84" ca="1">(1-$B$18)*SUMPRODUCT(OFFSET($BO$15,0,0,$B$14,1), 1*(_xlfn._xlws.FILTER(OFFSET($O$15,0,$DN84,$B$8,1),OFFSET($M$15,0,0,$B$8,1))=FE$13), 1*(_xlfn._xlws.FILTER(OFFSET($O$15,0,$DO84,$B$8,1),OFFSET($M$15,0,0,$B$8,1))=FE$14))   /   SUM(OFFSET($BO$15,0,0,$B$14,1)) + $B$18/($B$19*$B$19*($DN84&lt;&gt;$DO84) + $B$19*($DN84=$DO84))</f>
        <v>3.7037037037037035E-4</v>
      </c>
      <c r="FF84" s="10" cm="1">
        <f t="array" aca="1" ref="FF84" ca="1">(1-$B$18)*SUMPRODUCT(OFFSET($BO$15,0,0,$B$14,1), 1*(_xlfn._xlws.FILTER(OFFSET($O$15,0,$DN84,$B$8,1),OFFSET($M$15,0,0,$B$8,1))=FF$13), 1*(_xlfn._xlws.FILTER(OFFSET($O$15,0,$DO84,$B$8,1),OFFSET($M$15,0,0,$B$8,1))=FF$14))   /   SUM(OFFSET($BO$15,0,0,$B$14,1)) + $B$18/($B$19*$B$19*($DN84&lt;&gt;$DO84) + $B$19*($DN84=$DO84))</f>
        <v>3.7037037037037035E-4</v>
      </c>
      <c r="FG84" s="10" cm="1">
        <f t="array" aca="1" ref="FG84" ca="1">(1-$B$18)*SUMPRODUCT(OFFSET($BO$15,0,0,$B$14,1), 1*(_xlfn._xlws.FILTER(OFFSET($O$15,0,$DN84,$B$8,1),OFFSET($M$15,0,0,$B$8,1))=FG$13), 1*(_xlfn._xlws.FILTER(OFFSET($O$15,0,$DO84,$B$8,1),OFFSET($M$15,0,0,$B$8,1))=FG$14))   /   SUM(OFFSET($BO$15,0,0,$B$14,1)) + $B$18/($B$19*$B$19*($DN84&lt;&gt;$DO84) + $B$19*($DN84=$DO84))</f>
        <v>3.7037037037037035E-4</v>
      </c>
      <c r="FH84" s="10" cm="1">
        <f t="array" aca="1" ref="FH84" ca="1">(1-$B$18)*SUMPRODUCT(OFFSET($BO$15,0,0,$B$14,1), 1*(_xlfn._xlws.FILTER(OFFSET($O$15,0,$DN84,$B$8,1),OFFSET($M$15,0,0,$B$8,1))=FH$13), 1*(_xlfn._xlws.FILTER(OFFSET($O$15,0,$DO84,$B$8,1),OFFSET($M$15,0,0,$B$8,1))=FH$14))   /   SUM(OFFSET($BO$15,0,0,$B$14,1)) + $B$18/($B$19*$B$19*($DN84&lt;&gt;$DO84) + $B$19*($DN84=$DO84))</f>
        <v>3.7037037037037035E-4</v>
      </c>
      <c r="FI84" s="10" cm="1">
        <f t="array" aca="1" ref="FI84" ca="1">(1-$B$18)*SUMPRODUCT(OFFSET($BO$15,0,0,$B$14,1), 1*(_xlfn._xlws.FILTER(OFFSET($O$15,0,$DN84,$B$8,1),OFFSET($M$15,0,0,$B$8,1))=FI$13), 1*(_xlfn._xlws.FILTER(OFFSET($O$15,0,$DO84,$B$8,1),OFFSET($M$15,0,0,$B$8,1))=FI$14))   /   SUM(OFFSET($BO$15,0,0,$B$14,1)) + $B$18/($B$19*$B$19*($DN84&lt;&gt;$DO84) + $B$19*($DN84=$DO84))</f>
        <v>3.7037037037037035E-4</v>
      </c>
      <c r="FJ84" s="10" cm="1">
        <f t="array" aca="1" ref="FJ84" ca="1">(1-$B$18)*SUMPRODUCT(OFFSET($BO$15,0,0,$B$14,1), 1*(_xlfn._xlws.FILTER(OFFSET($O$15,0,$DN84,$B$8,1),OFFSET($M$15,0,0,$B$8,1))=FJ$13), 1*(_xlfn._xlws.FILTER(OFFSET($O$15,0,$DO84,$B$8,1),OFFSET($M$15,0,0,$B$8,1))=FJ$14))   /   SUM(OFFSET($BO$15,0,0,$B$14,1)) + $B$18/($B$19*$B$19*($DN84&lt;&gt;$DO84) + $B$19*($DN84=$DO84))</f>
        <v>3.7037037037037035E-4</v>
      </c>
      <c r="FK84" s="10" cm="1">
        <f t="array" aca="1" ref="FK84" ca="1">(1-$B$18)*SUMPRODUCT(OFFSET($BO$15,0,0,$B$14,1), 1*(_xlfn._xlws.FILTER(OFFSET($O$15,0,$DN84,$B$8,1),OFFSET($M$15,0,0,$B$8,1))=FK$13), 1*(_xlfn._xlws.FILTER(OFFSET($O$15,0,$DO84,$B$8,1),OFFSET($M$15,0,0,$B$8,1))=FK$14))   /   SUM(OFFSET($BO$15,0,0,$B$14,1)) + $B$18/($B$19*$B$19*($DN84&lt;&gt;$DO84) + $B$19*($DN84=$DO84))</f>
        <v>3.7037037037037035E-4</v>
      </c>
      <c r="FL84" s="10" cm="1">
        <f t="array" aca="1" ref="FL84" ca="1">(1-$B$18)*SUMPRODUCT(OFFSET($BO$15,0,0,$B$14,1), 1*(_xlfn._xlws.FILTER(OFFSET($O$15,0,$DN84,$B$8,1),OFFSET($M$15,0,0,$B$8,1))=FL$13), 1*(_xlfn._xlws.FILTER(OFFSET($O$15,0,$DO84,$B$8,1),OFFSET($M$15,0,0,$B$8,1))=FL$14))   /   SUM(OFFSET($BO$15,0,0,$B$14,1)) + $B$18/($B$19*$B$19*($DN84&lt;&gt;$DO84) + $B$19*($DN84=$DO84))</f>
        <v>3.7037037037037035E-4</v>
      </c>
      <c r="FM84" s="10" cm="1">
        <f t="array" aca="1" ref="FM84" ca="1">(1-$B$18)*SUMPRODUCT(OFFSET($BO$15,0,0,$B$14,1), 1*(_xlfn._xlws.FILTER(OFFSET($O$15,0,$DN84,$B$8,1),OFFSET($M$15,0,0,$B$8,1))=FM$13), 1*(_xlfn._xlws.FILTER(OFFSET($O$15,0,$DO84,$B$8,1),OFFSET($M$15,0,0,$B$8,1))=FM$14))   /   SUM(OFFSET($BO$15,0,0,$B$14,1)) + $B$18/($B$19*$B$19*($DN84&lt;&gt;$DO84) + $B$19*($DN84=$DO84))</f>
        <v>0.97037037037037033</v>
      </c>
      <c r="FN84" s="10" cm="1">
        <f t="array" aca="1" ref="FN84" ca="1">(1-$B$18)*SUMPRODUCT(OFFSET($BO$15,0,0,$B$14,1), 1*(_xlfn._xlws.FILTER(OFFSET($O$15,0,$DN84,$B$8,1),OFFSET($M$15,0,0,$B$8,1))=FN$13), 1*(_xlfn._xlws.FILTER(OFFSET($O$15,0,$DO84,$B$8,1),OFFSET($M$15,0,0,$B$8,1))=FN$14))   /   SUM(OFFSET($BO$15,0,0,$B$14,1)) + $B$18/($B$19*$B$19*($DN84&lt;&gt;$DO84) + $B$19*($DN84=$DO84))</f>
        <v>3.7037037037037035E-4</v>
      </c>
      <c r="FO84" s="10" cm="1">
        <f t="array" aca="1" ref="FO84" ca="1">(1-$B$18)*SUMPRODUCT(OFFSET($BO$15,0,0,$B$14,1), 1*(_xlfn._xlws.FILTER(OFFSET($O$15,0,$DN84,$B$8,1),OFFSET($M$15,0,0,$B$8,1))=FO$13), 1*(_xlfn._xlws.FILTER(OFFSET($O$15,0,$DO84,$B$8,1),OFFSET($M$15,0,0,$B$8,1))=FO$14))   /   SUM(OFFSET($BO$15,0,0,$B$14,1)) + $B$18/($B$19*$B$19*($DN84&lt;&gt;$DO84) + $B$19*($DN84=$DO84))</f>
        <v>3.7037037037037035E-4</v>
      </c>
      <c r="FP84" s="10" cm="1">
        <f t="array" aca="1" ref="FP84" ca="1">(1-$B$18)*SUMPRODUCT(OFFSET($BO$15,0,0,$B$14,1), 1*(_xlfn._xlws.FILTER(OFFSET($O$15,0,$DN84,$B$8,1),OFFSET($M$15,0,0,$B$8,1))=FP$13), 1*(_xlfn._xlws.FILTER(OFFSET($O$15,0,$DO84,$B$8,1),OFFSET($M$15,0,0,$B$8,1))=FP$14))   /   SUM(OFFSET($BO$15,0,0,$B$14,1)) + $B$18/($B$19*$B$19*($DN84&lt;&gt;$DO84) + $B$19*($DN84=$DO84))</f>
        <v>3.7037037037037035E-4</v>
      </c>
      <c r="FQ84" s="10" cm="1">
        <f t="array" aca="1" ref="FQ84" ca="1">(1-$B$18)*SUMPRODUCT(OFFSET($BO$15,0,0,$B$14,1), 1*(_xlfn._xlws.FILTER(OFFSET($O$15,0,$DN84,$B$8,1),OFFSET($M$15,0,0,$B$8,1))=FQ$13), 1*(_xlfn._xlws.FILTER(OFFSET($O$15,0,$DO84,$B$8,1),OFFSET($M$15,0,0,$B$8,1))=FQ$14))   /   SUM(OFFSET($BO$15,0,0,$B$14,1)) + $B$18/($B$19*$B$19*($DN84&lt;&gt;$DO84) + $B$19*($DN84=$DO84))</f>
        <v>3.7037037037037035E-4</v>
      </c>
      <c r="FR84" s="10" cm="1">
        <f t="array" aca="1" ref="FR84" ca="1">(1-$B$18)*SUMPRODUCT(OFFSET($BO$15,0,0,$B$14,1), 1*(_xlfn._xlws.FILTER(OFFSET($O$15,0,$DN84,$B$8,1),OFFSET($M$15,0,0,$B$8,1))=FR$13), 1*(_xlfn._xlws.FILTER(OFFSET($O$15,0,$DO84,$B$8,1),OFFSET($M$15,0,0,$B$8,1))=FR$14))   /   SUM(OFFSET($BO$15,0,0,$B$14,1)) + $B$18/($B$19*$B$19*($DN84&lt;&gt;$DO84) + $B$19*($DN84=$DO84))</f>
        <v>3.7037037037037035E-4</v>
      </c>
      <c r="FS84" s="10" cm="1">
        <f t="array" aca="1" ref="FS84" ca="1">(1-$B$18)*SUMPRODUCT(OFFSET($BO$15,0,0,$B$14,1), 1*(_xlfn._xlws.FILTER(OFFSET($O$15,0,$DN84,$B$8,1),OFFSET($M$15,0,0,$B$8,1))=FS$13), 1*(_xlfn._xlws.FILTER(OFFSET($O$15,0,$DO84,$B$8,1),OFFSET($M$15,0,0,$B$8,1))=FS$14))   /   SUM(OFFSET($BO$15,0,0,$B$14,1)) + $B$18/($B$19*$B$19*($DN84&lt;&gt;$DO84) + $B$19*($DN84=$DO84))</f>
        <v>3.7037037037037035E-4</v>
      </c>
      <c r="FT84" s="10" cm="1">
        <f t="array" aca="1" ref="FT84" ca="1">(1-$B$18)*SUMPRODUCT(OFFSET($BO$15,0,0,$B$14,1), 1*(_xlfn._xlws.FILTER(OFFSET($O$15,0,$DN84,$B$8,1),OFFSET($M$15,0,0,$B$8,1))=FT$13), 1*(_xlfn._xlws.FILTER(OFFSET($O$15,0,$DO84,$B$8,1),OFFSET($M$15,0,0,$B$8,1))=FT$14))   /   SUM(OFFSET($BO$15,0,0,$B$14,1)) + $B$18/($B$19*$B$19*($DN84&lt;&gt;$DO84) + $B$19*($DN84=$DO84))</f>
        <v>3.7037037037037035E-4</v>
      </c>
      <c r="FU84" s="10" cm="1">
        <f t="array" aca="1" ref="FU84" ca="1">(1-$B$18)*SUMPRODUCT(OFFSET($BO$15,0,0,$B$14,1), 1*(_xlfn._xlws.FILTER(OFFSET($O$15,0,$DN84,$B$8,1),OFFSET($M$15,0,0,$B$8,1))=FU$13), 1*(_xlfn._xlws.FILTER(OFFSET($O$15,0,$DO84,$B$8,1),OFFSET($M$15,0,0,$B$8,1))=FU$14))   /   SUM(OFFSET($BO$15,0,0,$B$14,1)) + $B$18/($B$19*$B$19*($DN84&lt;&gt;$DO84) + $B$19*($DN84=$DO84))</f>
        <v>3.7037037037037035E-4</v>
      </c>
      <c r="FV84" s="10" cm="1">
        <f t="array" aca="1" ref="FV84" ca="1">(1-$B$18)*SUMPRODUCT(OFFSET($BO$15,0,0,$B$14,1), 1*(_xlfn._xlws.FILTER(OFFSET($O$15,0,$DN84,$B$8,1),OFFSET($M$15,0,0,$B$8,1))=FV$13), 1*(_xlfn._xlws.FILTER(OFFSET($O$15,0,$DO84,$B$8,1),OFFSET($M$15,0,0,$B$8,1))=FV$14))   /   SUM(OFFSET($BO$15,0,0,$B$14,1)) + $B$18/($B$19*$B$19*($DN84&lt;&gt;$DO84) + $B$19*($DN84=$DO84))</f>
        <v>3.7037037037037035E-4</v>
      </c>
      <c r="FW84" s="10" cm="1">
        <f t="array" aca="1" ref="FW84" ca="1">(1-$B$18)*SUMPRODUCT(OFFSET($BO$15,0,0,$B$14,1), 1*(_xlfn._xlws.FILTER(OFFSET($O$15,0,$DN84,$B$8,1),OFFSET($M$15,0,0,$B$8,1))=FW$13), 1*(_xlfn._xlws.FILTER(OFFSET($O$15,0,$DO84,$B$8,1),OFFSET($M$15,0,0,$B$8,1))=FW$14))   /   SUM(OFFSET($BO$15,0,0,$B$14,1)) + $B$18/($B$19*$B$19*($DN84&lt;&gt;$DO84) + $B$19*($DN84=$DO84))</f>
        <v>3.7037037037037035E-4</v>
      </c>
      <c r="FX84" s="10" cm="1">
        <f t="array" aca="1" ref="FX84" ca="1">(1-$B$18)*SUMPRODUCT(OFFSET($BO$15,0,0,$B$14,1), 1*(_xlfn._xlws.FILTER(OFFSET($O$15,0,$DN84,$B$8,1),OFFSET($M$15,0,0,$B$8,1))=FX$13), 1*(_xlfn._xlws.FILTER(OFFSET($O$15,0,$DO84,$B$8,1),OFFSET($M$15,0,0,$B$8,1))=FX$14))   /   SUM(OFFSET($BO$15,0,0,$B$14,1)) + $B$18/($B$19*$B$19*($DN84&lt;&gt;$DO84) + $B$19*($DN84=$DO84))</f>
        <v>3.7037037037037035E-4</v>
      </c>
      <c r="FY84" s="10" cm="1">
        <f t="array" aca="1" ref="FY84" ca="1">(1-$B$18)*SUMPRODUCT(OFFSET($BO$15,0,0,$B$14,1), 1*(_xlfn._xlws.FILTER(OFFSET($O$15,0,$DN84,$B$8,1),OFFSET($M$15,0,0,$B$8,1))=FY$13), 1*(_xlfn._xlws.FILTER(OFFSET($O$15,0,$DO84,$B$8,1),OFFSET($M$15,0,0,$B$8,1))=FY$14))   /   SUM(OFFSET($BO$15,0,0,$B$14,1)) + $B$18/($B$19*$B$19*($DN84&lt;&gt;$DO84) + $B$19*($DN84=$DO84))</f>
        <v>3.7037037037037035E-4</v>
      </c>
      <c r="FZ84" s="10" cm="1">
        <f t="array" aca="1" ref="FZ84" ca="1">(1-$B$18)*SUMPRODUCT(OFFSET($BO$15,0,0,$B$14,1), 1*(_xlfn._xlws.FILTER(OFFSET($O$15,0,$DN84,$B$8,1),OFFSET($M$15,0,0,$B$8,1))=FZ$13), 1*(_xlfn._xlws.FILTER(OFFSET($O$15,0,$DO84,$B$8,1),OFFSET($M$15,0,0,$B$8,1))=FZ$14))   /   SUM(OFFSET($BO$15,0,0,$B$14,1)) + $B$18/($B$19*$B$19*($DN84&lt;&gt;$DO84) + $B$19*($DN84=$DO84))</f>
        <v>3.7037037037037035E-4</v>
      </c>
      <c r="GA84" s="10" cm="1">
        <f t="array" aca="1" ref="GA84" ca="1">(1-$B$18)*SUMPRODUCT(OFFSET($BO$15,0,0,$B$14,1), 1*(_xlfn._xlws.FILTER(OFFSET($O$15,0,$DN84,$B$8,1),OFFSET($M$15,0,0,$B$8,1))=GA$13), 1*(_xlfn._xlws.FILTER(OFFSET($O$15,0,$DO84,$B$8,1),OFFSET($M$15,0,0,$B$8,1))=GA$14))   /   SUM(OFFSET($BO$15,0,0,$B$14,1)) + $B$18/($B$19*$B$19*($DN84&lt;&gt;$DO84) + $B$19*($DN84=$DO84))</f>
        <v>3.7037037037037035E-4</v>
      </c>
    </row>
    <row r="85" spans="7:183" x14ac:dyDescent="0.2">
      <c r="G85" s="2"/>
      <c r="H85" s="2"/>
      <c r="DN85" cm="1">
        <f t="array" aca="1" ref="DN85" ca="1">INDEX(_xlfn.ANCHORARRAY($CP$15), 1 + INT((ROWS($DO$15:$DO85) - 1) / ROWS(_xlfn.ANCHORARRAY($CP$15))))</f>
        <v>3</v>
      </c>
      <c r="DO85" cm="1">
        <f t="array" aca="1" ref="DO85" ca="1">INDEX(_xlfn.ANCHORARRAY($CP$15),1+MOD(ROWS($DO$15:$DO85)-1,ROWS(_xlfn.ANCHORARRAY($CP$15))))</f>
        <v>14</v>
      </c>
      <c r="DP85" s="10" cm="1">
        <f t="array" aca="1" ref="DP85" ca="1">(1-$B$18)*SUMPRODUCT(OFFSET($BO$15,0,0,$B$14,1), 1*(_xlfn._xlws.FILTER(OFFSET($O$15,0,$DN85,$B$8,1),OFFSET($M$15,0,0,$B$8,1))=DP$13), 1*(_xlfn._xlws.FILTER(OFFSET($O$15,0,$DO85,$B$8,1),OFFSET($M$15,0,0,$B$8,1))=DP$14))   /   SUM(OFFSET($BO$15,0,0,$B$14,1)) + $B$18/($B$19*$B$19*($DN85&lt;&gt;$DO85) + $B$19*($DN85=$DO85))</f>
        <v>3.7037037037037035E-4</v>
      </c>
      <c r="DQ85" s="10" cm="1">
        <f t="array" aca="1" ref="DQ85" ca="1">(1-$B$18)*SUMPRODUCT(OFFSET($BO$15,0,0,$B$14,1), 1*(_xlfn._xlws.FILTER(OFFSET($O$15,0,$DN85,$B$8,1),OFFSET($M$15,0,0,$B$8,1))=DQ$13), 1*(_xlfn._xlws.FILTER(OFFSET($O$15,0,$DO85,$B$8,1),OFFSET($M$15,0,0,$B$8,1))=DQ$14))   /   SUM(OFFSET($BO$15,0,0,$B$14,1)) + $B$18/($B$19*$B$19*($DN85&lt;&gt;$DO85) + $B$19*($DN85=$DO85))</f>
        <v>3.7037037037037035E-4</v>
      </c>
      <c r="DR85" s="10" cm="1">
        <f t="array" aca="1" ref="DR85" ca="1">(1-$B$18)*SUMPRODUCT(OFFSET($BO$15,0,0,$B$14,1), 1*(_xlfn._xlws.FILTER(OFFSET($O$15,0,$DN85,$B$8,1),OFFSET($M$15,0,0,$B$8,1))=DR$13), 1*(_xlfn._xlws.FILTER(OFFSET($O$15,0,$DO85,$B$8,1),OFFSET($M$15,0,0,$B$8,1))=DR$14))   /   SUM(OFFSET($BO$15,0,0,$B$14,1)) + $B$18/($B$19*$B$19*($DN85&lt;&gt;$DO85) + $B$19*($DN85=$DO85))</f>
        <v>3.7037037037037035E-4</v>
      </c>
      <c r="DS85" s="10" cm="1">
        <f t="array" aca="1" ref="DS85" ca="1">(1-$B$18)*SUMPRODUCT(OFFSET($BO$15,0,0,$B$14,1), 1*(_xlfn._xlws.FILTER(OFFSET($O$15,0,$DN85,$B$8,1),OFFSET($M$15,0,0,$B$8,1))=DS$13), 1*(_xlfn._xlws.FILTER(OFFSET($O$15,0,$DO85,$B$8,1),OFFSET($M$15,0,0,$B$8,1))=DS$14))   /   SUM(OFFSET($BO$15,0,0,$B$14,1)) + $B$18/($B$19*$B$19*($DN85&lt;&gt;$DO85) + $B$19*($DN85=$DO85))</f>
        <v>3.7037037037037035E-4</v>
      </c>
      <c r="DT85" s="10" cm="1">
        <f t="array" aca="1" ref="DT85" ca="1">(1-$B$18)*SUMPRODUCT(OFFSET($BO$15,0,0,$B$14,1), 1*(_xlfn._xlws.FILTER(OFFSET($O$15,0,$DN85,$B$8,1),OFFSET($M$15,0,0,$B$8,1))=DT$13), 1*(_xlfn._xlws.FILTER(OFFSET($O$15,0,$DO85,$B$8,1),OFFSET($M$15,0,0,$B$8,1))=DT$14))   /   SUM(OFFSET($BO$15,0,0,$B$14,1)) + $B$18/($B$19*$B$19*($DN85&lt;&gt;$DO85) + $B$19*($DN85=$DO85))</f>
        <v>3.7037037037037035E-4</v>
      </c>
      <c r="DU85" s="10" cm="1">
        <f t="array" aca="1" ref="DU85" ca="1">(1-$B$18)*SUMPRODUCT(OFFSET($BO$15,0,0,$B$14,1), 1*(_xlfn._xlws.FILTER(OFFSET($O$15,0,$DN85,$B$8,1),OFFSET($M$15,0,0,$B$8,1))=DU$13), 1*(_xlfn._xlws.FILTER(OFFSET($O$15,0,$DO85,$B$8,1),OFFSET($M$15,0,0,$B$8,1))=DU$14))   /   SUM(OFFSET($BO$15,0,0,$B$14,1)) + $B$18/($B$19*$B$19*($DN85&lt;&gt;$DO85) + $B$19*($DN85=$DO85))</f>
        <v>3.7037037037037035E-4</v>
      </c>
      <c r="DV85" s="10" cm="1">
        <f t="array" aca="1" ref="DV85" ca="1">(1-$B$18)*SUMPRODUCT(OFFSET($BO$15,0,0,$B$14,1), 1*(_xlfn._xlws.FILTER(OFFSET($O$15,0,$DN85,$B$8,1),OFFSET($M$15,0,0,$B$8,1))=DV$13), 1*(_xlfn._xlws.FILTER(OFFSET($O$15,0,$DO85,$B$8,1),OFFSET($M$15,0,0,$B$8,1))=DV$14))   /   SUM(OFFSET($BO$15,0,0,$B$14,1)) + $B$18/($B$19*$B$19*($DN85&lt;&gt;$DO85) + $B$19*($DN85=$DO85))</f>
        <v>3.7037037037037035E-4</v>
      </c>
      <c r="DW85" s="10" cm="1">
        <f t="array" aca="1" ref="DW85" ca="1">(1-$B$18)*SUMPRODUCT(OFFSET($BO$15,0,0,$B$14,1), 1*(_xlfn._xlws.FILTER(OFFSET($O$15,0,$DN85,$B$8,1),OFFSET($M$15,0,0,$B$8,1))=DW$13), 1*(_xlfn._xlws.FILTER(OFFSET($O$15,0,$DO85,$B$8,1),OFFSET($M$15,0,0,$B$8,1))=DW$14))   /   SUM(OFFSET($BO$15,0,0,$B$14,1)) + $B$18/($B$19*$B$19*($DN85&lt;&gt;$DO85) + $B$19*($DN85=$DO85))</f>
        <v>3.7037037037037035E-4</v>
      </c>
      <c r="DX85" s="10" cm="1">
        <f t="array" aca="1" ref="DX85" ca="1">(1-$B$18)*SUMPRODUCT(OFFSET($BO$15,0,0,$B$14,1), 1*(_xlfn._xlws.FILTER(OFFSET($O$15,0,$DN85,$B$8,1),OFFSET($M$15,0,0,$B$8,1))=DX$13), 1*(_xlfn._xlws.FILTER(OFFSET($O$15,0,$DO85,$B$8,1),OFFSET($M$15,0,0,$B$8,1))=DX$14))   /   SUM(OFFSET($BO$15,0,0,$B$14,1)) + $B$18/($B$19*$B$19*($DN85&lt;&gt;$DO85) + $B$19*($DN85=$DO85))</f>
        <v>3.7037037037037035E-4</v>
      </c>
      <c r="DY85" s="10" cm="1">
        <f t="array" aca="1" ref="DY85" ca="1">(1-$B$18)*SUMPRODUCT(OFFSET($BO$15,0,0,$B$14,1), 1*(_xlfn._xlws.FILTER(OFFSET($O$15,0,$DN85,$B$8,1),OFFSET($M$15,0,0,$B$8,1))=DY$13), 1*(_xlfn._xlws.FILTER(OFFSET($O$15,0,$DO85,$B$8,1),OFFSET($M$15,0,0,$B$8,1))=DY$14))   /   SUM(OFFSET($BO$15,0,0,$B$14,1)) + $B$18/($B$19*$B$19*($DN85&lt;&gt;$DO85) + $B$19*($DN85=$DO85))</f>
        <v>3.7037037037037035E-4</v>
      </c>
      <c r="DZ85" s="10" cm="1">
        <f t="array" aca="1" ref="DZ85" ca="1">(1-$B$18)*SUMPRODUCT(OFFSET($BO$15,0,0,$B$14,1), 1*(_xlfn._xlws.FILTER(OFFSET($O$15,0,$DN85,$B$8,1),OFFSET($M$15,0,0,$B$8,1))=DZ$13), 1*(_xlfn._xlws.FILTER(OFFSET($O$15,0,$DO85,$B$8,1),OFFSET($M$15,0,0,$B$8,1))=DZ$14))   /   SUM(OFFSET($BO$15,0,0,$B$14,1)) + $B$18/($B$19*$B$19*($DN85&lt;&gt;$DO85) + $B$19*($DN85=$DO85))</f>
        <v>3.7037037037037035E-4</v>
      </c>
      <c r="EA85" s="10" cm="1">
        <f t="array" aca="1" ref="EA85" ca="1">(1-$B$18)*SUMPRODUCT(OFFSET($BO$15,0,0,$B$14,1), 1*(_xlfn._xlws.FILTER(OFFSET($O$15,0,$DN85,$B$8,1),OFFSET($M$15,0,0,$B$8,1))=EA$13), 1*(_xlfn._xlws.FILTER(OFFSET($O$15,0,$DO85,$B$8,1),OFFSET($M$15,0,0,$B$8,1))=EA$14))   /   SUM(OFFSET($BO$15,0,0,$B$14,1)) + $B$18/($B$19*$B$19*($DN85&lt;&gt;$DO85) + $B$19*($DN85=$DO85))</f>
        <v>3.7037037037037035E-4</v>
      </c>
      <c r="EB85" s="10" cm="1">
        <f t="array" aca="1" ref="EB85" ca="1">(1-$B$18)*SUMPRODUCT(OFFSET($BO$15,0,0,$B$14,1), 1*(_xlfn._xlws.FILTER(OFFSET($O$15,0,$DN85,$B$8,1),OFFSET($M$15,0,0,$B$8,1))=EB$13), 1*(_xlfn._xlws.FILTER(OFFSET($O$15,0,$DO85,$B$8,1),OFFSET($M$15,0,0,$B$8,1))=EB$14))   /   SUM(OFFSET($BO$15,0,0,$B$14,1)) + $B$18/($B$19*$B$19*($DN85&lt;&gt;$DO85) + $B$19*($DN85=$DO85))</f>
        <v>3.7037037037037035E-4</v>
      </c>
      <c r="EC85" s="10" cm="1">
        <f t="array" aca="1" ref="EC85" ca="1">(1-$B$18)*SUMPRODUCT(OFFSET($BO$15,0,0,$B$14,1), 1*(_xlfn._xlws.FILTER(OFFSET($O$15,0,$DN85,$B$8,1),OFFSET($M$15,0,0,$B$8,1))=EC$13), 1*(_xlfn._xlws.FILTER(OFFSET($O$15,0,$DO85,$B$8,1),OFFSET($M$15,0,0,$B$8,1))=EC$14))   /   SUM(OFFSET($BO$15,0,0,$B$14,1)) + $B$18/($B$19*$B$19*($DN85&lt;&gt;$DO85) + $B$19*($DN85=$DO85))</f>
        <v>3.7037037037037035E-4</v>
      </c>
      <c r="ED85" s="10" cm="1">
        <f t="array" aca="1" ref="ED85" ca="1">(1-$B$18)*SUMPRODUCT(OFFSET($BO$15,0,0,$B$14,1), 1*(_xlfn._xlws.FILTER(OFFSET($O$15,0,$DN85,$B$8,1),OFFSET($M$15,0,0,$B$8,1))=ED$13), 1*(_xlfn._xlws.FILTER(OFFSET($O$15,0,$DO85,$B$8,1),OFFSET($M$15,0,0,$B$8,1))=ED$14))   /   SUM(OFFSET($BO$15,0,0,$B$14,1)) + $B$18/($B$19*$B$19*($DN85&lt;&gt;$DO85) + $B$19*($DN85=$DO85))</f>
        <v>3.7037037037037035E-4</v>
      </c>
      <c r="EE85" s="10" cm="1">
        <f t="array" aca="1" ref="EE85" ca="1">(1-$B$18)*SUMPRODUCT(OFFSET($BO$15,0,0,$B$14,1), 1*(_xlfn._xlws.FILTER(OFFSET($O$15,0,$DN85,$B$8,1),OFFSET($M$15,0,0,$B$8,1))=EE$13), 1*(_xlfn._xlws.FILTER(OFFSET($O$15,0,$DO85,$B$8,1),OFFSET($M$15,0,0,$B$8,1))=EE$14))   /   SUM(OFFSET($BO$15,0,0,$B$14,1)) + $B$18/($B$19*$B$19*($DN85&lt;&gt;$DO85) + $B$19*($DN85=$DO85))</f>
        <v>3.7037037037037035E-4</v>
      </c>
      <c r="EF85" s="10" cm="1">
        <f t="array" aca="1" ref="EF85" ca="1">(1-$B$18)*SUMPRODUCT(OFFSET($BO$15,0,0,$B$14,1), 1*(_xlfn._xlws.FILTER(OFFSET($O$15,0,$DN85,$B$8,1),OFFSET($M$15,0,0,$B$8,1))=EF$13), 1*(_xlfn._xlws.FILTER(OFFSET($O$15,0,$DO85,$B$8,1),OFFSET($M$15,0,0,$B$8,1))=EF$14))   /   SUM(OFFSET($BO$15,0,0,$B$14,1)) + $B$18/($B$19*$B$19*($DN85&lt;&gt;$DO85) + $B$19*($DN85=$DO85))</f>
        <v>3.7037037037037035E-4</v>
      </c>
      <c r="EG85" s="10" cm="1">
        <f t="array" aca="1" ref="EG85" ca="1">(1-$B$18)*SUMPRODUCT(OFFSET($BO$15,0,0,$B$14,1), 1*(_xlfn._xlws.FILTER(OFFSET($O$15,0,$DN85,$B$8,1),OFFSET($M$15,0,0,$B$8,1))=EG$13), 1*(_xlfn._xlws.FILTER(OFFSET($O$15,0,$DO85,$B$8,1),OFFSET($M$15,0,0,$B$8,1))=EG$14))   /   SUM(OFFSET($BO$15,0,0,$B$14,1)) + $B$18/($B$19*$B$19*($DN85&lt;&gt;$DO85) + $B$19*($DN85=$DO85))</f>
        <v>3.7037037037037035E-4</v>
      </c>
      <c r="EH85" s="10" cm="1">
        <f t="array" aca="1" ref="EH85" ca="1">(1-$B$18)*SUMPRODUCT(OFFSET($BO$15,0,0,$B$14,1), 1*(_xlfn._xlws.FILTER(OFFSET($O$15,0,$DN85,$B$8,1),OFFSET($M$15,0,0,$B$8,1))=EH$13), 1*(_xlfn._xlws.FILTER(OFFSET($O$15,0,$DO85,$B$8,1),OFFSET($M$15,0,0,$B$8,1))=EH$14))   /   SUM(OFFSET($BO$15,0,0,$B$14,1)) + $B$18/($B$19*$B$19*($DN85&lt;&gt;$DO85) + $B$19*($DN85=$DO85))</f>
        <v>3.7037037037037035E-4</v>
      </c>
      <c r="EI85" s="10" cm="1">
        <f t="array" aca="1" ref="EI85" ca="1">(1-$B$18)*SUMPRODUCT(OFFSET($BO$15,0,0,$B$14,1), 1*(_xlfn._xlws.FILTER(OFFSET($O$15,0,$DN85,$B$8,1),OFFSET($M$15,0,0,$B$8,1))=EI$13), 1*(_xlfn._xlws.FILTER(OFFSET($O$15,0,$DO85,$B$8,1),OFFSET($M$15,0,0,$B$8,1))=EI$14))   /   SUM(OFFSET($BO$15,0,0,$B$14,1)) + $B$18/($B$19*$B$19*($DN85&lt;&gt;$DO85) + $B$19*($DN85=$DO85))</f>
        <v>3.7037037037037035E-4</v>
      </c>
      <c r="EJ85" s="10" cm="1">
        <f t="array" aca="1" ref="EJ85" ca="1">(1-$B$18)*SUMPRODUCT(OFFSET($BO$15,0,0,$B$14,1), 1*(_xlfn._xlws.FILTER(OFFSET($O$15,0,$DN85,$B$8,1),OFFSET($M$15,0,0,$B$8,1))=EJ$13), 1*(_xlfn._xlws.FILTER(OFFSET($O$15,0,$DO85,$B$8,1),OFFSET($M$15,0,0,$B$8,1))=EJ$14))   /   SUM(OFFSET($BO$15,0,0,$B$14,1)) + $B$18/($B$19*$B$19*($DN85&lt;&gt;$DO85) + $B$19*($DN85=$DO85))</f>
        <v>3.7037037037037035E-4</v>
      </c>
      <c r="EK85" s="10" cm="1">
        <f t="array" aca="1" ref="EK85" ca="1">(1-$B$18)*SUMPRODUCT(OFFSET($BO$15,0,0,$B$14,1), 1*(_xlfn._xlws.FILTER(OFFSET($O$15,0,$DN85,$B$8,1),OFFSET($M$15,0,0,$B$8,1))=EK$13), 1*(_xlfn._xlws.FILTER(OFFSET($O$15,0,$DO85,$B$8,1),OFFSET($M$15,0,0,$B$8,1))=EK$14))   /   SUM(OFFSET($BO$15,0,0,$B$14,1)) + $B$18/($B$19*$B$19*($DN85&lt;&gt;$DO85) + $B$19*($DN85=$DO85))</f>
        <v>3.7037037037037035E-4</v>
      </c>
      <c r="EL85" s="10" cm="1">
        <f t="array" aca="1" ref="EL85" ca="1">(1-$B$18)*SUMPRODUCT(OFFSET($BO$15,0,0,$B$14,1), 1*(_xlfn._xlws.FILTER(OFFSET($O$15,0,$DN85,$B$8,1),OFFSET($M$15,0,0,$B$8,1))=EL$13), 1*(_xlfn._xlws.FILTER(OFFSET($O$15,0,$DO85,$B$8,1),OFFSET($M$15,0,0,$B$8,1))=EL$14))   /   SUM(OFFSET($BO$15,0,0,$B$14,1)) + $B$18/($B$19*$B$19*($DN85&lt;&gt;$DO85) + $B$19*($DN85=$DO85))</f>
        <v>3.7037037037037035E-4</v>
      </c>
      <c r="EM85" s="10" cm="1">
        <f t="array" aca="1" ref="EM85" ca="1">(1-$B$18)*SUMPRODUCT(OFFSET($BO$15,0,0,$B$14,1), 1*(_xlfn._xlws.FILTER(OFFSET($O$15,0,$DN85,$B$8,1),OFFSET($M$15,0,0,$B$8,1))=EM$13), 1*(_xlfn._xlws.FILTER(OFFSET($O$15,0,$DO85,$B$8,1),OFFSET($M$15,0,0,$B$8,1))=EM$14))   /   SUM(OFFSET($BO$15,0,0,$B$14,1)) + $B$18/($B$19*$B$19*($DN85&lt;&gt;$DO85) + $B$19*($DN85=$DO85))</f>
        <v>3.7037037037037035E-4</v>
      </c>
      <c r="EN85" s="10" cm="1">
        <f t="array" aca="1" ref="EN85" ca="1">(1-$B$18)*SUMPRODUCT(OFFSET($BO$15,0,0,$B$14,1), 1*(_xlfn._xlws.FILTER(OFFSET($O$15,0,$DN85,$B$8,1),OFFSET($M$15,0,0,$B$8,1))=EN$13), 1*(_xlfn._xlws.FILTER(OFFSET($O$15,0,$DO85,$B$8,1),OFFSET($M$15,0,0,$B$8,1))=EN$14))   /   SUM(OFFSET($BO$15,0,0,$B$14,1)) + $B$18/($B$19*$B$19*($DN85&lt;&gt;$DO85) + $B$19*($DN85=$DO85))</f>
        <v>3.7037037037037035E-4</v>
      </c>
      <c r="EO85" s="10" cm="1">
        <f t="array" aca="1" ref="EO85" ca="1">(1-$B$18)*SUMPRODUCT(OFFSET($BO$15,0,0,$B$14,1), 1*(_xlfn._xlws.FILTER(OFFSET($O$15,0,$DN85,$B$8,1),OFFSET($M$15,0,0,$B$8,1))=EO$13), 1*(_xlfn._xlws.FILTER(OFFSET($O$15,0,$DO85,$B$8,1),OFFSET($M$15,0,0,$B$8,1))=EO$14))   /   SUM(OFFSET($BO$15,0,0,$B$14,1)) + $B$18/($B$19*$B$19*($DN85&lt;&gt;$DO85) + $B$19*($DN85=$DO85))</f>
        <v>3.7037037037037035E-4</v>
      </c>
      <c r="EP85" s="10" cm="1">
        <f t="array" aca="1" ref="EP85" ca="1">(1-$B$18)*SUMPRODUCT(OFFSET($BO$15,0,0,$B$14,1), 1*(_xlfn._xlws.FILTER(OFFSET($O$15,0,$DN85,$B$8,1),OFFSET($M$15,0,0,$B$8,1))=EP$13), 1*(_xlfn._xlws.FILTER(OFFSET($O$15,0,$DO85,$B$8,1),OFFSET($M$15,0,0,$B$8,1))=EP$14))   /   SUM(OFFSET($BO$15,0,0,$B$14,1)) + $B$18/($B$19*$B$19*($DN85&lt;&gt;$DO85) + $B$19*($DN85=$DO85))</f>
        <v>3.7037037037037035E-4</v>
      </c>
      <c r="EQ85" s="10" cm="1">
        <f t="array" aca="1" ref="EQ85" ca="1">(1-$B$18)*SUMPRODUCT(OFFSET($BO$15,0,0,$B$14,1), 1*(_xlfn._xlws.FILTER(OFFSET($O$15,0,$DN85,$B$8,1),OFFSET($M$15,0,0,$B$8,1))=EQ$13), 1*(_xlfn._xlws.FILTER(OFFSET($O$15,0,$DO85,$B$8,1),OFFSET($M$15,0,0,$B$8,1))=EQ$14))   /   SUM(OFFSET($BO$15,0,0,$B$14,1)) + $B$18/($B$19*$B$19*($DN85&lt;&gt;$DO85) + $B$19*($DN85=$DO85))</f>
        <v>3.7037037037037035E-4</v>
      </c>
      <c r="ER85" s="10" cm="1">
        <f t="array" aca="1" ref="ER85" ca="1">(1-$B$18)*SUMPRODUCT(OFFSET($BO$15,0,0,$B$14,1), 1*(_xlfn._xlws.FILTER(OFFSET($O$15,0,$DN85,$B$8,1),OFFSET($M$15,0,0,$B$8,1))=ER$13), 1*(_xlfn._xlws.FILTER(OFFSET($O$15,0,$DO85,$B$8,1),OFFSET($M$15,0,0,$B$8,1))=ER$14))   /   SUM(OFFSET($BO$15,0,0,$B$14,1)) + $B$18/($B$19*$B$19*($DN85&lt;&gt;$DO85) + $B$19*($DN85=$DO85))</f>
        <v>3.7037037037037035E-4</v>
      </c>
      <c r="ES85" s="10" cm="1">
        <f t="array" aca="1" ref="ES85" ca="1">(1-$B$18)*SUMPRODUCT(OFFSET($BO$15,0,0,$B$14,1), 1*(_xlfn._xlws.FILTER(OFFSET($O$15,0,$DN85,$B$8,1),OFFSET($M$15,0,0,$B$8,1))=ES$13), 1*(_xlfn._xlws.FILTER(OFFSET($O$15,0,$DO85,$B$8,1),OFFSET($M$15,0,0,$B$8,1))=ES$14))   /   SUM(OFFSET($BO$15,0,0,$B$14,1)) + $B$18/($B$19*$B$19*($DN85&lt;&gt;$DO85) + $B$19*($DN85=$DO85))</f>
        <v>3.7037037037037035E-4</v>
      </c>
      <c r="ET85" s="10" cm="1">
        <f t="array" aca="1" ref="ET85" ca="1">(1-$B$18)*SUMPRODUCT(OFFSET($BO$15,0,0,$B$14,1), 1*(_xlfn._xlws.FILTER(OFFSET($O$15,0,$DN85,$B$8,1),OFFSET($M$15,0,0,$B$8,1))=ET$13), 1*(_xlfn._xlws.FILTER(OFFSET($O$15,0,$DO85,$B$8,1),OFFSET($M$15,0,0,$B$8,1))=ET$14))   /   SUM(OFFSET($BO$15,0,0,$B$14,1)) + $B$18/($B$19*$B$19*($DN85&lt;&gt;$DO85) + $B$19*($DN85=$DO85))</f>
        <v>3.7037037037037035E-4</v>
      </c>
      <c r="EU85" s="10" cm="1">
        <f t="array" aca="1" ref="EU85" ca="1">(1-$B$18)*SUMPRODUCT(OFFSET($BO$15,0,0,$B$14,1), 1*(_xlfn._xlws.FILTER(OFFSET($O$15,0,$DN85,$B$8,1),OFFSET($M$15,0,0,$B$8,1))=EU$13), 1*(_xlfn._xlws.FILTER(OFFSET($O$15,0,$DO85,$B$8,1),OFFSET($M$15,0,0,$B$8,1))=EU$14))   /   SUM(OFFSET($BO$15,0,0,$B$14,1)) + $B$18/($B$19*$B$19*($DN85&lt;&gt;$DO85) + $B$19*($DN85=$DO85))</f>
        <v>3.7037037037037035E-4</v>
      </c>
      <c r="EV85" s="10" cm="1">
        <f t="array" aca="1" ref="EV85" ca="1">(1-$B$18)*SUMPRODUCT(OFFSET($BO$15,0,0,$B$14,1), 1*(_xlfn._xlws.FILTER(OFFSET($O$15,0,$DN85,$B$8,1),OFFSET($M$15,0,0,$B$8,1))=EV$13), 1*(_xlfn._xlws.FILTER(OFFSET($O$15,0,$DO85,$B$8,1),OFFSET($M$15,0,0,$B$8,1))=EV$14))   /   SUM(OFFSET($BO$15,0,0,$B$14,1)) + $B$18/($B$19*$B$19*($DN85&lt;&gt;$DO85) + $B$19*($DN85=$DO85))</f>
        <v>3.7037037037037035E-4</v>
      </c>
      <c r="EW85" s="10" cm="1">
        <f t="array" aca="1" ref="EW85" ca="1">(1-$B$18)*SUMPRODUCT(OFFSET($BO$15,0,0,$B$14,1), 1*(_xlfn._xlws.FILTER(OFFSET($O$15,0,$DN85,$B$8,1),OFFSET($M$15,0,0,$B$8,1))=EW$13), 1*(_xlfn._xlws.FILTER(OFFSET($O$15,0,$DO85,$B$8,1),OFFSET($M$15,0,0,$B$8,1))=EW$14))   /   SUM(OFFSET($BO$15,0,0,$B$14,1)) + $B$18/($B$19*$B$19*($DN85&lt;&gt;$DO85) + $B$19*($DN85=$DO85))</f>
        <v>3.7037037037037035E-4</v>
      </c>
      <c r="EX85" s="10" cm="1">
        <f t="array" aca="1" ref="EX85" ca="1">(1-$B$18)*SUMPRODUCT(OFFSET($BO$15,0,0,$B$14,1), 1*(_xlfn._xlws.FILTER(OFFSET($O$15,0,$DN85,$B$8,1),OFFSET($M$15,0,0,$B$8,1))=EX$13), 1*(_xlfn._xlws.FILTER(OFFSET($O$15,0,$DO85,$B$8,1),OFFSET($M$15,0,0,$B$8,1))=EX$14))   /   SUM(OFFSET($BO$15,0,0,$B$14,1)) + $B$18/($B$19*$B$19*($DN85&lt;&gt;$DO85) + $B$19*($DN85=$DO85))</f>
        <v>3.7037037037037035E-4</v>
      </c>
      <c r="EY85" s="10" cm="1">
        <f t="array" aca="1" ref="EY85" ca="1">(1-$B$18)*SUMPRODUCT(OFFSET($BO$15,0,0,$B$14,1), 1*(_xlfn._xlws.FILTER(OFFSET($O$15,0,$DN85,$B$8,1),OFFSET($M$15,0,0,$B$8,1))=EY$13), 1*(_xlfn._xlws.FILTER(OFFSET($O$15,0,$DO85,$B$8,1),OFFSET($M$15,0,0,$B$8,1))=EY$14))   /   SUM(OFFSET($BO$15,0,0,$B$14,1)) + $B$18/($B$19*$B$19*($DN85&lt;&gt;$DO85) + $B$19*($DN85=$DO85))</f>
        <v>3.7037037037037035E-4</v>
      </c>
      <c r="EZ85" s="10" cm="1">
        <f t="array" aca="1" ref="EZ85" ca="1">(1-$B$18)*SUMPRODUCT(OFFSET($BO$15,0,0,$B$14,1), 1*(_xlfn._xlws.FILTER(OFFSET($O$15,0,$DN85,$B$8,1),OFFSET($M$15,0,0,$B$8,1))=EZ$13), 1*(_xlfn._xlws.FILTER(OFFSET($O$15,0,$DO85,$B$8,1),OFFSET($M$15,0,0,$B$8,1))=EZ$14))   /   SUM(OFFSET($BO$15,0,0,$B$14,1)) + $B$18/($B$19*$B$19*($DN85&lt;&gt;$DO85) + $B$19*($DN85=$DO85))</f>
        <v>3.7037037037037035E-4</v>
      </c>
      <c r="FA85" s="10" cm="1">
        <f t="array" aca="1" ref="FA85" ca="1">(1-$B$18)*SUMPRODUCT(OFFSET($BO$15,0,0,$B$14,1), 1*(_xlfn._xlws.FILTER(OFFSET($O$15,0,$DN85,$B$8,1),OFFSET($M$15,0,0,$B$8,1))=FA$13), 1*(_xlfn._xlws.FILTER(OFFSET($O$15,0,$DO85,$B$8,1),OFFSET($M$15,0,0,$B$8,1))=FA$14))   /   SUM(OFFSET($BO$15,0,0,$B$14,1)) + $B$18/($B$19*$B$19*($DN85&lt;&gt;$DO85) + $B$19*($DN85=$DO85))</f>
        <v>3.7037037037037035E-4</v>
      </c>
      <c r="FB85" s="10" cm="1">
        <f t="array" aca="1" ref="FB85" ca="1">(1-$B$18)*SUMPRODUCT(OFFSET($BO$15,0,0,$B$14,1), 1*(_xlfn._xlws.FILTER(OFFSET($O$15,0,$DN85,$B$8,1),OFFSET($M$15,0,0,$B$8,1))=FB$13), 1*(_xlfn._xlws.FILTER(OFFSET($O$15,0,$DO85,$B$8,1),OFFSET($M$15,0,0,$B$8,1))=FB$14))   /   SUM(OFFSET($BO$15,0,0,$B$14,1)) + $B$18/($B$19*$B$19*($DN85&lt;&gt;$DO85) + $B$19*($DN85=$DO85))</f>
        <v>3.7037037037037035E-4</v>
      </c>
      <c r="FC85" s="10" cm="1">
        <f t="array" aca="1" ref="FC85" ca="1">(1-$B$18)*SUMPRODUCT(OFFSET($BO$15,0,0,$B$14,1), 1*(_xlfn._xlws.FILTER(OFFSET($O$15,0,$DN85,$B$8,1),OFFSET($M$15,0,0,$B$8,1))=FC$13), 1*(_xlfn._xlws.FILTER(OFFSET($O$15,0,$DO85,$B$8,1),OFFSET($M$15,0,0,$B$8,1))=FC$14))   /   SUM(OFFSET($BO$15,0,0,$B$14,1)) + $B$18/($B$19*$B$19*($DN85&lt;&gt;$DO85) + $B$19*($DN85=$DO85))</f>
        <v>3.7037037037037035E-4</v>
      </c>
      <c r="FD85" s="10" cm="1">
        <f t="array" aca="1" ref="FD85" ca="1">(1-$B$18)*SUMPRODUCT(OFFSET($BO$15,0,0,$B$14,1), 1*(_xlfn._xlws.FILTER(OFFSET($O$15,0,$DN85,$B$8,1),OFFSET($M$15,0,0,$B$8,1))=FD$13), 1*(_xlfn._xlws.FILTER(OFFSET($O$15,0,$DO85,$B$8,1),OFFSET($M$15,0,0,$B$8,1))=FD$14))   /   SUM(OFFSET($BO$15,0,0,$B$14,1)) + $B$18/($B$19*$B$19*($DN85&lt;&gt;$DO85) + $B$19*($DN85=$DO85))</f>
        <v>3.7037037037037035E-4</v>
      </c>
      <c r="FE85" s="10" cm="1">
        <f t="array" aca="1" ref="FE85" ca="1">(1-$B$18)*SUMPRODUCT(OFFSET($BO$15,0,0,$B$14,1), 1*(_xlfn._xlws.FILTER(OFFSET($O$15,0,$DN85,$B$8,1),OFFSET($M$15,0,0,$B$8,1))=FE$13), 1*(_xlfn._xlws.FILTER(OFFSET($O$15,0,$DO85,$B$8,1),OFFSET($M$15,0,0,$B$8,1))=FE$14))   /   SUM(OFFSET($BO$15,0,0,$B$14,1)) + $B$18/($B$19*$B$19*($DN85&lt;&gt;$DO85) + $B$19*($DN85=$DO85))</f>
        <v>3.7037037037037035E-4</v>
      </c>
      <c r="FF85" s="10" cm="1">
        <f t="array" aca="1" ref="FF85" ca="1">(1-$B$18)*SUMPRODUCT(OFFSET($BO$15,0,0,$B$14,1), 1*(_xlfn._xlws.FILTER(OFFSET($O$15,0,$DN85,$B$8,1),OFFSET($M$15,0,0,$B$8,1))=FF$13), 1*(_xlfn._xlws.FILTER(OFFSET($O$15,0,$DO85,$B$8,1),OFFSET($M$15,0,0,$B$8,1))=FF$14))   /   SUM(OFFSET($BO$15,0,0,$B$14,1)) + $B$18/($B$19*$B$19*($DN85&lt;&gt;$DO85) + $B$19*($DN85=$DO85))</f>
        <v>3.7037037037037035E-4</v>
      </c>
      <c r="FG85" s="10" cm="1">
        <f t="array" aca="1" ref="FG85" ca="1">(1-$B$18)*SUMPRODUCT(OFFSET($BO$15,0,0,$B$14,1), 1*(_xlfn._xlws.FILTER(OFFSET($O$15,0,$DN85,$B$8,1),OFFSET($M$15,0,0,$B$8,1))=FG$13), 1*(_xlfn._xlws.FILTER(OFFSET($O$15,0,$DO85,$B$8,1),OFFSET($M$15,0,0,$B$8,1))=FG$14))   /   SUM(OFFSET($BO$15,0,0,$B$14,1)) + $B$18/($B$19*$B$19*($DN85&lt;&gt;$DO85) + $B$19*($DN85=$DO85))</f>
        <v>3.7037037037037035E-4</v>
      </c>
      <c r="FH85" s="10" cm="1">
        <f t="array" aca="1" ref="FH85" ca="1">(1-$B$18)*SUMPRODUCT(OFFSET($BO$15,0,0,$B$14,1), 1*(_xlfn._xlws.FILTER(OFFSET($O$15,0,$DN85,$B$8,1),OFFSET($M$15,0,0,$B$8,1))=FH$13), 1*(_xlfn._xlws.FILTER(OFFSET($O$15,0,$DO85,$B$8,1),OFFSET($M$15,0,0,$B$8,1))=FH$14))   /   SUM(OFFSET($BO$15,0,0,$B$14,1)) + $B$18/($B$19*$B$19*($DN85&lt;&gt;$DO85) + $B$19*($DN85=$DO85))</f>
        <v>3.7037037037037035E-4</v>
      </c>
      <c r="FI85" s="10" cm="1">
        <f t="array" aca="1" ref="FI85" ca="1">(1-$B$18)*SUMPRODUCT(OFFSET($BO$15,0,0,$B$14,1), 1*(_xlfn._xlws.FILTER(OFFSET($O$15,0,$DN85,$B$8,1),OFFSET($M$15,0,0,$B$8,1))=FI$13), 1*(_xlfn._xlws.FILTER(OFFSET($O$15,0,$DO85,$B$8,1),OFFSET($M$15,0,0,$B$8,1))=FI$14))   /   SUM(OFFSET($BO$15,0,0,$B$14,1)) + $B$18/($B$19*$B$19*($DN85&lt;&gt;$DO85) + $B$19*($DN85=$DO85))</f>
        <v>3.7037037037037035E-4</v>
      </c>
      <c r="FJ85" s="10" cm="1">
        <f t="array" aca="1" ref="FJ85" ca="1">(1-$B$18)*SUMPRODUCT(OFFSET($BO$15,0,0,$B$14,1), 1*(_xlfn._xlws.FILTER(OFFSET($O$15,0,$DN85,$B$8,1),OFFSET($M$15,0,0,$B$8,1))=FJ$13), 1*(_xlfn._xlws.FILTER(OFFSET($O$15,0,$DO85,$B$8,1),OFFSET($M$15,0,0,$B$8,1))=FJ$14))   /   SUM(OFFSET($BO$15,0,0,$B$14,1)) + $B$18/($B$19*$B$19*($DN85&lt;&gt;$DO85) + $B$19*($DN85=$DO85))</f>
        <v>3.7037037037037035E-4</v>
      </c>
      <c r="FK85" s="10" cm="1">
        <f t="array" aca="1" ref="FK85" ca="1">(1-$B$18)*SUMPRODUCT(OFFSET($BO$15,0,0,$B$14,1), 1*(_xlfn._xlws.FILTER(OFFSET($O$15,0,$DN85,$B$8,1),OFFSET($M$15,0,0,$B$8,1))=FK$13), 1*(_xlfn._xlws.FILTER(OFFSET($O$15,0,$DO85,$B$8,1),OFFSET($M$15,0,0,$B$8,1))=FK$14))   /   SUM(OFFSET($BO$15,0,0,$B$14,1)) + $B$18/($B$19*$B$19*($DN85&lt;&gt;$DO85) + $B$19*($DN85=$DO85))</f>
        <v>3.7037037037037035E-4</v>
      </c>
      <c r="FL85" s="10" cm="1">
        <f t="array" aca="1" ref="FL85" ca="1">(1-$B$18)*SUMPRODUCT(OFFSET($BO$15,0,0,$B$14,1), 1*(_xlfn._xlws.FILTER(OFFSET($O$15,0,$DN85,$B$8,1),OFFSET($M$15,0,0,$B$8,1))=FL$13), 1*(_xlfn._xlws.FILTER(OFFSET($O$15,0,$DO85,$B$8,1),OFFSET($M$15,0,0,$B$8,1))=FL$14))   /   SUM(OFFSET($BO$15,0,0,$B$14,1)) + $B$18/($B$19*$B$19*($DN85&lt;&gt;$DO85) + $B$19*($DN85=$DO85))</f>
        <v>3.7037037037037035E-4</v>
      </c>
      <c r="FM85" s="10" cm="1">
        <f t="array" aca="1" ref="FM85" ca="1">(1-$B$18)*SUMPRODUCT(OFFSET($BO$15,0,0,$B$14,1), 1*(_xlfn._xlws.FILTER(OFFSET($O$15,0,$DN85,$B$8,1),OFFSET($M$15,0,0,$B$8,1))=FM$13), 1*(_xlfn._xlws.FILTER(OFFSET($O$15,0,$DO85,$B$8,1),OFFSET($M$15,0,0,$B$8,1))=FM$14))   /   SUM(OFFSET($BO$15,0,0,$B$14,1)) + $B$18/($B$19*$B$19*($DN85&lt;&gt;$DO85) + $B$19*($DN85=$DO85))</f>
        <v>3.7037037037037035E-4</v>
      </c>
      <c r="FN85" s="10" cm="1">
        <f t="array" aca="1" ref="FN85" ca="1">(1-$B$18)*SUMPRODUCT(OFFSET($BO$15,0,0,$B$14,1), 1*(_xlfn._xlws.FILTER(OFFSET($O$15,0,$DN85,$B$8,1),OFFSET($M$15,0,0,$B$8,1))=FN$13), 1*(_xlfn._xlws.FILTER(OFFSET($O$15,0,$DO85,$B$8,1),OFFSET($M$15,0,0,$B$8,1))=FN$14))   /   SUM(OFFSET($BO$15,0,0,$B$14,1)) + $B$18/($B$19*$B$19*($DN85&lt;&gt;$DO85) + $B$19*($DN85=$DO85))</f>
        <v>0.97037037037037033</v>
      </c>
      <c r="FO85" s="10" cm="1">
        <f t="array" aca="1" ref="FO85" ca="1">(1-$B$18)*SUMPRODUCT(OFFSET($BO$15,0,0,$B$14,1), 1*(_xlfn._xlws.FILTER(OFFSET($O$15,0,$DN85,$B$8,1),OFFSET($M$15,0,0,$B$8,1))=FO$13), 1*(_xlfn._xlws.FILTER(OFFSET($O$15,0,$DO85,$B$8,1),OFFSET($M$15,0,0,$B$8,1))=FO$14))   /   SUM(OFFSET($BO$15,0,0,$B$14,1)) + $B$18/($B$19*$B$19*($DN85&lt;&gt;$DO85) + $B$19*($DN85=$DO85))</f>
        <v>3.7037037037037035E-4</v>
      </c>
      <c r="FP85" s="10" cm="1">
        <f t="array" aca="1" ref="FP85" ca="1">(1-$B$18)*SUMPRODUCT(OFFSET($BO$15,0,0,$B$14,1), 1*(_xlfn._xlws.FILTER(OFFSET($O$15,0,$DN85,$B$8,1),OFFSET($M$15,0,0,$B$8,1))=FP$13), 1*(_xlfn._xlws.FILTER(OFFSET($O$15,0,$DO85,$B$8,1),OFFSET($M$15,0,0,$B$8,1))=FP$14))   /   SUM(OFFSET($BO$15,0,0,$B$14,1)) + $B$18/($B$19*$B$19*($DN85&lt;&gt;$DO85) + $B$19*($DN85=$DO85))</f>
        <v>3.7037037037037035E-4</v>
      </c>
      <c r="FQ85" s="10" cm="1">
        <f t="array" aca="1" ref="FQ85" ca="1">(1-$B$18)*SUMPRODUCT(OFFSET($BO$15,0,0,$B$14,1), 1*(_xlfn._xlws.FILTER(OFFSET($O$15,0,$DN85,$B$8,1),OFFSET($M$15,0,0,$B$8,1))=FQ$13), 1*(_xlfn._xlws.FILTER(OFFSET($O$15,0,$DO85,$B$8,1),OFFSET($M$15,0,0,$B$8,1))=FQ$14))   /   SUM(OFFSET($BO$15,0,0,$B$14,1)) + $B$18/($B$19*$B$19*($DN85&lt;&gt;$DO85) + $B$19*($DN85=$DO85))</f>
        <v>3.7037037037037035E-4</v>
      </c>
      <c r="FR85" s="10" cm="1">
        <f t="array" aca="1" ref="FR85" ca="1">(1-$B$18)*SUMPRODUCT(OFFSET($BO$15,0,0,$B$14,1), 1*(_xlfn._xlws.FILTER(OFFSET($O$15,0,$DN85,$B$8,1),OFFSET($M$15,0,0,$B$8,1))=FR$13), 1*(_xlfn._xlws.FILTER(OFFSET($O$15,0,$DO85,$B$8,1),OFFSET($M$15,0,0,$B$8,1))=FR$14))   /   SUM(OFFSET($BO$15,0,0,$B$14,1)) + $B$18/($B$19*$B$19*($DN85&lt;&gt;$DO85) + $B$19*($DN85=$DO85))</f>
        <v>3.7037037037037035E-4</v>
      </c>
      <c r="FS85" s="10" cm="1">
        <f t="array" aca="1" ref="FS85" ca="1">(1-$B$18)*SUMPRODUCT(OFFSET($BO$15,0,0,$B$14,1), 1*(_xlfn._xlws.FILTER(OFFSET($O$15,0,$DN85,$B$8,1),OFFSET($M$15,0,0,$B$8,1))=FS$13), 1*(_xlfn._xlws.FILTER(OFFSET($O$15,0,$DO85,$B$8,1),OFFSET($M$15,0,0,$B$8,1))=FS$14))   /   SUM(OFFSET($BO$15,0,0,$B$14,1)) + $B$18/($B$19*$B$19*($DN85&lt;&gt;$DO85) + $B$19*($DN85=$DO85))</f>
        <v>3.7037037037037035E-4</v>
      </c>
      <c r="FT85" s="10" cm="1">
        <f t="array" aca="1" ref="FT85" ca="1">(1-$B$18)*SUMPRODUCT(OFFSET($BO$15,0,0,$B$14,1), 1*(_xlfn._xlws.FILTER(OFFSET($O$15,0,$DN85,$B$8,1),OFFSET($M$15,0,0,$B$8,1))=FT$13), 1*(_xlfn._xlws.FILTER(OFFSET($O$15,0,$DO85,$B$8,1),OFFSET($M$15,0,0,$B$8,1))=FT$14))   /   SUM(OFFSET($BO$15,0,0,$B$14,1)) + $B$18/($B$19*$B$19*($DN85&lt;&gt;$DO85) + $B$19*($DN85=$DO85))</f>
        <v>3.7037037037037035E-4</v>
      </c>
      <c r="FU85" s="10" cm="1">
        <f t="array" aca="1" ref="FU85" ca="1">(1-$B$18)*SUMPRODUCT(OFFSET($BO$15,0,0,$B$14,1), 1*(_xlfn._xlws.FILTER(OFFSET($O$15,0,$DN85,$B$8,1),OFFSET($M$15,0,0,$B$8,1))=FU$13), 1*(_xlfn._xlws.FILTER(OFFSET($O$15,0,$DO85,$B$8,1),OFFSET($M$15,0,0,$B$8,1))=FU$14))   /   SUM(OFFSET($BO$15,0,0,$B$14,1)) + $B$18/($B$19*$B$19*($DN85&lt;&gt;$DO85) + $B$19*($DN85=$DO85))</f>
        <v>3.7037037037037035E-4</v>
      </c>
      <c r="FV85" s="10" cm="1">
        <f t="array" aca="1" ref="FV85" ca="1">(1-$B$18)*SUMPRODUCT(OFFSET($BO$15,0,0,$B$14,1), 1*(_xlfn._xlws.FILTER(OFFSET($O$15,0,$DN85,$B$8,1),OFFSET($M$15,0,0,$B$8,1))=FV$13), 1*(_xlfn._xlws.FILTER(OFFSET($O$15,0,$DO85,$B$8,1),OFFSET($M$15,0,0,$B$8,1))=FV$14))   /   SUM(OFFSET($BO$15,0,0,$B$14,1)) + $B$18/($B$19*$B$19*($DN85&lt;&gt;$DO85) + $B$19*($DN85=$DO85))</f>
        <v>3.7037037037037035E-4</v>
      </c>
      <c r="FW85" s="10" cm="1">
        <f t="array" aca="1" ref="FW85" ca="1">(1-$B$18)*SUMPRODUCT(OFFSET($BO$15,0,0,$B$14,1), 1*(_xlfn._xlws.FILTER(OFFSET($O$15,0,$DN85,$B$8,1),OFFSET($M$15,0,0,$B$8,1))=FW$13), 1*(_xlfn._xlws.FILTER(OFFSET($O$15,0,$DO85,$B$8,1),OFFSET($M$15,0,0,$B$8,1))=FW$14))   /   SUM(OFFSET($BO$15,0,0,$B$14,1)) + $B$18/($B$19*$B$19*($DN85&lt;&gt;$DO85) + $B$19*($DN85=$DO85))</f>
        <v>3.7037037037037035E-4</v>
      </c>
      <c r="FX85" s="10" cm="1">
        <f t="array" aca="1" ref="FX85" ca="1">(1-$B$18)*SUMPRODUCT(OFFSET($BO$15,0,0,$B$14,1), 1*(_xlfn._xlws.FILTER(OFFSET($O$15,0,$DN85,$B$8,1),OFFSET($M$15,0,0,$B$8,1))=FX$13), 1*(_xlfn._xlws.FILTER(OFFSET($O$15,0,$DO85,$B$8,1),OFFSET($M$15,0,0,$B$8,1))=FX$14))   /   SUM(OFFSET($BO$15,0,0,$B$14,1)) + $B$18/($B$19*$B$19*($DN85&lt;&gt;$DO85) + $B$19*($DN85=$DO85))</f>
        <v>3.7037037037037035E-4</v>
      </c>
      <c r="FY85" s="10" cm="1">
        <f t="array" aca="1" ref="FY85" ca="1">(1-$B$18)*SUMPRODUCT(OFFSET($BO$15,0,0,$B$14,1), 1*(_xlfn._xlws.FILTER(OFFSET($O$15,0,$DN85,$B$8,1),OFFSET($M$15,0,0,$B$8,1))=FY$13), 1*(_xlfn._xlws.FILTER(OFFSET($O$15,0,$DO85,$B$8,1),OFFSET($M$15,0,0,$B$8,1))=FY$14))   /   SUM(OFFSET($BO$15,0,0,$B$14,1)) + $B$18/($B$19*$B$19*($DN85&lt;&gt;$DO85) + $B$19*($DN85=$DO85))</f>
        <v>3.7037037037037035E-4</v>
      </c>
      <c r="FZ85" s="10" cm="1">
        <f t="array" aca="1" ref="FZ85" ca="1">(1-$B$18)*SUMPRODUCT(OFFSET($BO$15,0,0,$B$14,1), 1*(_xlfn._xlws.FILTER(OFFSET($O$15,0,$DN85,$B$8,1),OFFSET($M$15,0,0,$B$8,1))=FZ$13), 1*(_xlfn._xlws.FILTER(OFFSET($O$15,0,$DO85,$B$8,1),OFFSET($M$15,0,0,$B$8,1))=FZ$14))   /   SUM(OFFSET($BO$15,0,0,$B$14,1)) + $B$18/($B$19*$B$19*($DN85&lt;&gt;$DO85) + $B$19*($DN85=$DO85))</f>
        <v>3.7037037037037035E-4</v>
      </c>
      <c r="GA85" s="10" cm="1">
        <f t="array" aca="1" ref="GA85" ca="1">(1-$B$18)*SUMPRODUCT(OFFSET($BO$15,0,0,$B$14,1), 1*(_xlfn._xlws.FILTER(OFFSET($O$15,0,$DN85,$B$8,1),OFFSET($M$15,0,0,$B$8,1))=GA$13), 1*(_xlfn._xlws.FILTER(OFFSET($O$15,0,$DO85,$B$8,1),OFFSET($M$15,0,0,$B$8,1))=GA$14))   /   SUM(OFFSET($BO$15,0,0,$B$14,1)) + $B$18/($B$19*$B$19*($DN85&lt;&gt;$DO85) + $B$19*($DN85=$DO85))</f>
        <v>3.7037037037037035E-4</v>
      </c>
    </row>
    <row r="86" spans="7:183" x14ac:dyDescent="0.2">
      <c r="DN86" cm="1">
        <f t="array" aca="1" ref="DN86" ca="1">INDEX(_xlfn.ANCHORARRAY($CP$15), 1 + INT((ROWS($DO$15:$DO86) - 1) / ROWS(_xlfn.ANCHORARRAY($CP$15))))</f>
        <v>3</v>
      </c>
      <c r="DO86" cm="1">
        <f t="array" aca="1" ref="DO86" ca="1">INDEX(_xlfn.ANCHORARRAY($CP$15),1+MOD(ROWS($DO$15:$DO86)-1,ROWS(_xlfn.ANCHORARRAY($CP$15))))</f>
        <v>15</v>
      </c>
      <c r="DP86" s="10" cm="1">
        <f t="array" aca="1" ref="DP86" ca="1">(1-$B$18)*SUMPRODUCT(OFFSET($BO$15,0,0,$B$14,1), 1*(_xlfn._xlws.FILTER(OFFSET($O$15,0,$DN86,$B$8,1),OFFSET($M$15,0,0,$B$8,1))=DP$13), 1*(_xlfn._xlws.FILTER(OFFSET($O$15,0,$DO86,$B$8,1),OFFSET($M$15,0,0,$B$8,1))=DP$14))   /   SUM(OFFSET($BO$15,0,0,$B$14,1)) + $B$18/($B$19*$B$19*($DN86&lt;&gt;$DO86) + $B$19*($DN86=$DO86))</f>
        <v>3.7037037037037035E-4</v>
      </c>
      <c r="DQ86" s="10" cm="1">
        <f t="array" aca="1" ref="DQ86" ca="1">(1-$B$18)*SUMPRODUCT(OFFSET($BO$15,0,0,$B$14,1), 1*(_xlfn._xlws.FILTER(OFFSET($O$15,0,$DN86,$B$8,1),OFFSET($M$15,0,0,$B$8,1))=DQ$13), 1*(_xlfn._xlws.FILTER(OFFSET($O$15,0,$DO86,$B$8,1),OFFSET($M$15,0,0,$B$8,1))=DQ$14))   /   SUM(OFFSET($BO$15,0,0,$B$14,1)) + $B$18/($B$19*$B$19*($DN86&lt;&gt;$DO86) + $B$19*($DN86=$DO86))</f>
        <v>3.7037037037037035E-4</v>
      </c>
      <c r="DR86" s="10" cm="1">
        <f t="array" aca="1" ref="DR86" ca="1">(1-$B$18)*SUMPRODUCT(OFFSET($BO$15,0,0,$B$14,1), 1*(_xlfn._xlws.FILTER(OFFSET($O$15,0,$DN86,$B$8,1),OFFSET($M$15,0,0,$B$8,1))=DR$13), 1*(_xlfn._xlws.FILTER(OFFSET($O$15,0,$DO86,$B$8,1),OFFSET($M$15,0,0,$B$8,1))=DR$14))   /   SUM(OFFSET($BO$15,0,0,$B$14,1)) + $B$18/($B$19*$B$19*($DN86&lt;&gt;$DO86) + $B$19*($DN86=$DO86))</f>
        <v>3.7037037037037035E-4</v>
      </c>
      <c r="DS86" s="10" cm="1">
        <f t="array" aca="1" ref="DS86" ca="1">(1-$B$18)*SUMPRODUCT(OFFSET($BO$15,0,0,$B$14,1), 1*(_xlfn._xlws.FILTER(OFFSET($O$15,0,$DN86,$B$8,1),OFFSET($M$15,0,0,$B$8,1))=DS$13), 1*(_xlfn._xlws.FILTER(OFFSET($O$15,0,$DO86,$B$8,1),OFFSET($M$15,0,0,$B$8,1))=DS$14))   /   SUM(OFFSET($BO$15,0,0,$B$14,1)) + $B$18/($B$19*$B$19*($DN86&lt;&gt;$DO86) + $B$19*($DN86=$DO86))</f>
        <v>3.7037037037037035E-4</v>
      </c>
      <c r="DT86" s="10" cm="1">
        <f t="array" aca="1" ref="DT86" ca="1">(1-$B$18)*SUMPRODUCT(OFFSET($BO$15,0,0,$B$14,1), 1*(_xlfn._xlws.FILTER(OFFSET($O$15,0,$DN86,$B$8,1),OFFSET($M$15,0,0,$B$8,1))=DT$13), 1*(_xlfn._xlws.FILTER(OFFSET($O$15,0,$DO86,$B$8,1),OFFSET($M$15,0,0,$B$8,1))=DT$14))   /   SUM(OFFSET($BO$15,0,0,$B$14,1)) + $B$18/($B$19*$B$19*($DN86&lt;&gt;$DO86) + $B$19*($DN86=$DO86))</f>
        <v>3.7037037037037035E-4</v>
      </c>
      <c r="DU86" s="10" cm="1">
        <f t="array" aca="1" ref="DU86" ca="1">(1-$B$18)*SUMPRODUCT(OFFSET($BO$15,0,0,$B$14,1), 1*(_xlfn._xlws.FILTER(OFFSET($O$15,0,$DN86,$B$8,1),OFFSET($M$15,0,0,$B$8,1))=DU$13), 1*(_xlfn._xlws.FILTER(OFFSET($O$15,0,$DO86,$B$8,1),OFFSET($M$15,0,0,$B$8,1))=DU$14))   /   SUM(OFFSET($BO$15,0,0,$B$14,1)) + $B$18/($B$19*$B$19*($DN86&lt;&gt;$DO86) + $B$19*($DN86=$DO86))</f>
        <v>3.7037037037037035E-4</v>
      </c>
      <c r="DV86" s="10" cm="1">
        <f t="array" aca="1" ref="DV86" ca="1">(1-$B$18)*SUMPRODUCT(OFFSET($BO$15,0,0,$B$14,1), 1*(_xlfn._xlws.FILTER(OFFSET($O$15,0,$DN86,$B$8,1),OFFSET($M$15,0,0,$B$8,1))=DV$13), 1*(_xlfn._xlws.FILTER(OFFSET($O$15,0,$DO86,$B$8,1),OFFSET($M$15,0,0,$B$8,1))=DV$14))   /   SUM(OFFSET($BO$15,0,0,$B$14,1)) + $B$18/($B$19*$B$19*($DN86&lt;&gt;$DO86) + $B$19*($DN86=$DO86))</f>
        <v>3.7037037037037035E-4</v>
      </c>
      <c r="DW86" s="10" cm="1">
        <f t="array" aca="1" ref="DW86" ca="1">(1-$B$18)*SUMPRODUCT(OFFSET($BO$15,0,0,$B$14,1), 1*(_xlfn._xlws.FILTER(OFFSET($O$15,0,$DN86,$B$8,1),OFFSET($M$15,0,0,$B$8,1))=DW$13), 1*(_xlfn._xlws.FILTER(OFFSET($O$15,0,$DO86,$B$8,1),OFFSET($M$15,0,0,$B$8,1))=DW$14))   /   SUM(OFFSET($BO$15,0,0,$B$14,1)) + $B$18/($B$19*$B$19*($DN86&lt;&gt;$DO86) + $B$19*($DN86=$DO86))</f>
        <v>3.7037037037037035E-4</v>
      </c>
      <c r="DX86" s="10" cm="1">
        <f t="array" aca="1" ref="DX86" ca="1">(1-$B$18)*SUMPRODUCT(OFFSET($BO$15,0,0,$B$14,1), 1*(_xlfn._xlws.FILTER(OFFSET($O$15,0,$DN86,$B$8,1),OFFSET($M$15,0,0,$B$8,1))=DX$13), 1*(_xlfn._xlws.FILTER(OFFSET($O$15,0,$DO86,$B$8,1),OFFSET($M$15,0,0,$B$8,1))=DX$14))   /   SUM(OFFSET($BO$15,0,0,$B$14,1)) + $B$18/($B$19*$B$19*($DN86&lt;&gt;$DO86) + $B$19*($DN86=$DO86))</f>
        <v>3.7037037037037035E-4</v>
      </c>
      <c r="DY86" s="10" cm="1">
        <f t="array" aca="1" ref="DY86" ca="1">(1-$B$18)*SUMPRODUCT(OFFSET($BO$15,0,0,$B$14,1), 1*(_xlfn._xlws.FILTER(OFFSET($O$15,0,$DN86,$B$8,1),OFFSET($M$15,0,0,$B$8,1))=DY$13), 1*(_xlfn._xlws.FILTER(OFFSET($O$15,0,$DO86,$B$8,1),OFFSET($M$15,0,0,$B$8,1))=DY$14))   /   SUM(OFFSET($BO$15,0,0,$B$14,1)) + $B$18/($B$19*$B$19*($DN86&lt;&gt;$DO86) + $B$19*($DN86=$DO86))</f>
        <v>3.7037037037037035E-4</v>
      </c>
      <c r="DZ86" s="10" cm="1">
        <f t="array" aca="1" ref="DZ86" ca="1">(1-$B$18)*SUMPRODUCT(OFFSET($BO$15,0,0,$B$14,1), 1*(_xlfn._xlws.FILTER(OFFSET($O$15,0,$DN86,$B$8,1),OFFSET($M$15,0,0,$B$8,1))=DZ$13), 1*(_xlfn._xlws.FILTER(OFFSET($O$15,0,$DO86,$B$8,1),OFFSET($M$15,0,0,$B$8,1))=DZ$14))   /   SUM(OFFSET($BO$15,0,0,$B$14,1)) + $B$18/($B$19*$B$19*($DN86&lt;&gt;$DO86) + $B$19*($DN86=$DO86))</f>
        <v>3.7037037037037035E-4</v>
      </c>
      <c r="EA86" s="10" cm="1">
        <f t="array" aca="1" ref="EA86" ca="1">(1-$B$18)*SUMPRODUCT(OFFSET($BO$15,0,0,$B$14,1), 1*(_xlfn._xlws.FILTER(OFFSET($O$15,0,$DN86,$B$8,1),OFFSET($M$15,0,0,$B$8,1))=EA$13), 1*(_xlfn._xlws.FILTER(OFFSET($O$15,0,$DO86,$B$8,1),OFFSET($M$15,0,0,$B$8,1))=EA$14))   /   SUM(OFFSET($BO$15,0,0,$B$14,1)) + $B$18/($B$19*$B$19*($DN86&lt;&gt;$DO86) + $B$19*($DN86=$DO86))</f>
        <v>3.7037037037037035E-4</v>
      </c>
      <c r="EB86" s="10" cm="1">
        <f t="array" aca="1" ref="EB86" ca="1">(1-$B$18)*SUMPRODUCT(OFFSET($BO$15,0,0,$B$14,1), 1*(_xlfn._xlws.FILTER(OFFSET($O$15,0,$DN86,$B$8,1),OFFSET($M$15,0,0,$B$8,1))=EB$13), 1*(_xlfn._xlws.FILTER(OFFSET($O$15,0,$DO86,$B$8,1),OFFSET($M$15,0,0,$B$8,1))=EB$14))   /   SUM(OFFSET($BO$15,0,0,$B$14,1)) + $B$18/($B$19*$B$19*($DN86&lt;&gt;$DO86) + $B$19*($DN86=$DO86))</f>
        <v>3.7037037037037035E-4</v>
      </c>
      <c r="EC86" s="10" cm="1">
        <f t="array" aca="1" ref="EC86" ca="1">(1-$B$18)*SUMPRODUCT(OFFSET($BO$15,0,0,$B$14,1), 1*(_xlfn._xlws.FILTER(OFFSET($O$15,0,$DN86,$B$8,1),OFFSET($M$15,0,0,$B$8,1))=EC$13), 1*(_xlfn._xlws.FILTER(OFFSET($O$15,0,$DO86,$B$8,1),OFFSET($M$15,0,0,$B$8,1))=EC$14))   /   SUM(OFFSET($BO$15,0,0,$B$14,1)) + $B$18/($B$19*$B$19*($DN86&lt;&gt;$DO86) + $B$19*($DN86=$DO86))</f>
        <v>3.7037037037037035E-4</v>
      </c>
      <c r="ED86" s="10" cm="1">
        <f t="array" aca="1" ref="ED86" ca="1">(1-$B$18)*SUMPRODUCT(OFFSET($BO$15,0,0,$B$14,1), 1*(_xlfn._xlws.FILTER(OFFSET($O$15,0,$DN86,$B$8,1),OFFSET($M$15,0,0,$B$8,1))=ED$13), 1*(_xlfn._xlws.FILTER(OFFSET($O$15,0,$DO86,$B$8,1),OFFSET($M$15,0,0,$B$8,1))=ED$14))   /   SUM(OFFSET($BO$15,0,0,$B$14,1)) + $B$18/($B$19*$B$19*($DN86&lt;&gt;$DO86) + $B$19*($DN86=$DO86))</f>
        <v>3.7037037037037035E-4</v>
      </c>
      <c r="EE86" s="10" cm="1">
        <f t="array" aca="1" ref="EE86" ca="1">(1-$B$18)*SUMPRODUCT(OFFSET($BO$15,0,0,$B$14,1), 1*(_xlfn._xlws.FILTER(OFFSET($O$15,0,$DN86,$B$8,1),OFFSET($M$15,0,0,$B$8,1))=EE$13), 1*(_xlfn._xlws.FILTER(OFFSET($O$15,0,$DO86,$B$8,1),OFFSET($M$15,0,0,$B$8,1))=EE$14))   /   SUM(OFFSET($BO$15,0,0,$B$14,1)) + $B$18/($B$19*$B$19*($DN86&lt;&gt;$DO86) + $B$19*($DN86=$DO86))</f>
        <v>3.7037037037037035E-4</v>
      </c>
      <c r="EF86" s="10" cm="1">
        <f t="array" aca="1" ref="EF86" ca="1">(1-$B$18)*SUMPRODUCT(OFFSET($BO$15,0,0,$B$14,1), 1*(_xlfn._xlws.FILTER(OFFSET($O$15,0,$DN86,$B$8,1),OFFSET($M$15,0,0,$B$8,1))=EF$13), 1*(_xlfn._xlws.FILTER(OFFSET($O$15,0,$DO86,$B$8,1),OFFSET($M$15,0,0,$B$8,1))=EF$14))   /   SUM(OFFSET($BO$15,0,0,$B$14,1)) + $B$18/($B$19*$B$19*($DN86&lt;&gt;$DO86) + $B$19*($DN86=$DO86))</f>
        <v>3.7037037037037035E-4</v>
      </c>
      <c r="EG86" s="10" cm="1">
        <f t="array" aca="1" ref="EG86" ca="1">(1-$B$18)*SUMPRODUCT(OFFSET($BO$15,0,0,$B$14,1), 1*(_xlfn._xlws.FILTER(OFFSET($O$15,0,$DN86,$B$8,1),OFFSET($M$15,0,0,$B$8,1))=EG$13), 1*(_xlfn._xlws.FILTER(OFFSET($O$15,0,$DO86,$B$8,1),OFFSET($M$15,0,0,$B$8,1))=EG$14))   /   SUM(OFFSET($BO$15,0,0,$B$14,1)) + $B$18/($B$19*$B$19*($DN86&lt;&gt;$DO86) + $B$19*($DN86=$DO86))</f>
        <v>3.7037037037037035E-4</v>
      </c>
      <c r="EH86" s="10" cm="1">
        <f t="array" aca="1" ref="EH86" ca="1">(1-$B$18)*SUMPRODUCT(OFFSET($BO$15,0,0,$B$14,1), 1*(_xlfn._xlws.FILTER(OFFSET($O$15,0,$DN86,$B$8,1),OFFSET($M$15,0,0,$B$8,1))=EH$13), 1*(_xlfn._xlws.FILTER(OFFSET($O$15,0,$DO86,$B$8,1),OFFSET($M$15,0,0,$B$8,1))=EH$14))   /   SUM(OFFSET($BO$15,0,0,$B$14,1)) + $B$18/($B$19*$B$19*($DN86&lt;&gt;$DO86) + $B$19*($DN86=$DO86))</f>
        <v>3.7037037037037035E-4</v>
      </c>
      <c r="EI86" s="10" cm="1">
        <f t="array" aca="1" ref="EI86" ca="1">(1-$B$18)*SUMPRODUCT(OFFSET($BO$15,0,0,$B$14,1), 1*(_xlfn._xlws.FILTER(OFFSET($O$15,0,$DN86,$B$8,1),OFFSET($M$15,0,0,$B$8,1))=EI$13), 1*(_xlfn._xlws.FILTER(OFFSET($O$15,0,$DO86,$B$8,1),OFFSET($M$15,0,0,$B$8,1))=EI$14))   /   SUM(OFFSET($BO$15,0,0,$B$14,1)) + $B$18/($B$19*$B$19*($DN86&lt;&gt;$DO86) + $B$19*($DN86=$DO86))</f>
        <v>3.7037037037037035E-4</v>
      </c>
      <c r="EJ86" s="10" cm="1">
        <f t="array" aca="1" ref="EJ86" ca="1">(1-$B$18)*SUMPRODUCT(OFFSET($BO$15,0,0,$B$14,1), 1*(_xlfn._xlws.FILTER(OFFSET($O$15,0,$DN86,$B$8,1),OFFSET($M$15,0,0,$B$8,1))=EJ$13), 1*(_xlfn._xlws.FILTER(OFFSET($O$15,0,$DO86,$B$8,1),OFFSET($M$15,0,0,$B$8,1))=EJ$14))   /   SUM(OFFSET($BO$15,0,0,$B$14,1)) + $B$18/($B$19*$B$19*($DN86&lt;&gt;$DO86) + $B$19*($DN86=$DO86))</f>
        <v>3.7037037037037035E-4</v>
      </c>
      <c r="EK86" s="10" cm="1">
        <f t="array" aca="1" ref="EK86" ca="1">(1-$B$18)*SUMPRODUCT(OFFSET($BO$15,0,0,$B$14,1), 1*(_xlfn._xlws.FILTER(OFFSET($O$15,0,$DN86,$B$8,1),OFFSET($M$15,0,0,$B$8,1))=EK$13), 1*(_xlfn._xlws.FILTER(OFFSET($O$15,0,$DO86,$B$8,1),OFFSET($M$15,0,0,$B$8,1))=EK$14))   /   SUM(OFFSET($BO$15,0,0,$B$14,1)) + $B$18/($B$19*$B$19*($DN86&lt;&gt;$DO86) + $B$19*($DN86=$DO86))</f>
        <v>3.7037037037037035E-4</v>
      </c>
      <c r="EL86" s="10" cm="1">
        <f t="array" aca="1" ref="EL86" ca="1">(1-$B$18)*SUMPRODUCT(OFFSET($BO$15,0,0,$B$14,1), 1*(_xlfn._xlws.FILTER(OFFSET($O$15,0,$DN86,$B$8,1),OFFSET($M$15,0,0,$B$8,1))=EL$13), 1*(_xlfn._xlws.FILTER(OFFSET($O$15,0,$DO86,$B$8,1),OFFSET($M$15,0,0,$B$8,1))=EL$14))   /   SUM(OFFSET($BO$15,0,0,$B$14,1)) + $B$18/($B$19*$B$19*($DN86&lt;&gt;$DO86) + $B$19*($DN86=$DO86))</f>
        <v>3.7037037037037035E-4</v>
      </c>
      <c r="EM86" s="10" cm="1">
        <f t="array" aca="1" ref="EM86" ca="1">(1-$B$18)*SUMPRODUCT(OFFSET($BO$15,0,0,$B$14,1), 1*(_xlfn._xlws.FILTER(OFFSET($O$15,0,$DN86,$B$8,1),OFFSET($M$15,0,0,$B$8,1))=EM$13), 1*(_xlfn._xlws.FILTER(OFFSET($O$15,0,$DO86,$B$8,1),OFFSET($M$15,0,0,$B$8,1))=EM$14))   /   SUM(OFFSET($BO$15,0,0,$B$14,1)) + $B$18/($B$19*$B$19*($DN86&lt;&gt;$DO86) + $B$19*($DN86=$DO86))</f>
        <v>3.7037037037037035E-4</v>
      </c>
      <c r="EN86" s="10" cm="1">
        <f t="array" aca="1" ref="EN86" ca="1">(1-$B$18)*SUMPRODUCT(OFFSET($BO$15,0,0,$B$14,1), 1*(_xlfn._xlws.FILTER(OFFSET($O$15,0,$DN86,$B$8,1),OFFSET($M$15,0,0,$B$8,1))=EN$13), 1*(_xlfn._xlws.FILTER(OFFSET($O$15,0,$DO86,$B$8,1),OFFSET($M$15,0,0,$B$8,1))=EN$14))   /   SUM(OFFSET($BO$15,0,0,$B$14,1)) + $B$18/($B$19*$B$19*($DN86&lt;&gt;$DO86) + $B$19*($DN86=$DO86))</f>
        <v>3.7037037037037035E-4</v>
      </c>
      <c r="EO86" s="10" cm="1">
        <f t="array" aca="1" ref="EO86" ca="1">(1-$B$18)*SUMPRODUCT(OFFSET($BO$15,0,0,$B$14,1), 1*(_xlfn._xlws.FILTER(OFFSET($O$15,0,$DN86,$B$8,1),OFFSET($M$15,0,0,$B$8,1))=EO$13), 1*(_xlfn._xlws.FILTER(OFFSET($O$15,0,$DO86,$B$8,1),OFFSET($M$15,0,0,$B$8,1))=EO$14))   /   SUM(OFFSET($BO$15,0,0,$B$14,1)) + $B$18/($B$19*$B$19*($DN86&lt;&gt;$DO86) + $B$19*($DN86=$DO86))</f>
        <v>3.7037037037037035E-4</v>
      </c>
      <c r="EP86" s="10" cm="1">
        <f t="array" aca="1" ref="EP86" ca="1">(1-$B$18)*SUMPRODUCT(OFFSET($BO$15,0,0,$B$14,1), 1*(_xlfn._xlws.FILTER(OFFSET($O$15,0,$DN86,$B$8,1),OFFSET($M$15,0,0,$B$8,1))=EP$13), 1*(_xlfn._xlws.FILTER(OFFSET($O$15,0,$DO86,$B$8,1),OFFSET($M$15,0,0,$B$8,1))=EP$14))   /   SUM(OFFSET($BO$15,0,0,$B$14,1)) + $B$18/($B$19*$B$19*($DN86&lt;&gt;$DO86) + $B$19*($DN86=$DO86))</f>
        <v>3.7037037037037035E-4</v>
      </c>
      <c r="EQ86" s="10" cm="1">
        <f t="array" aca="1" ref="EQ86" ca="1">(1-$B$18)*SUMPRODUCT(OFFSET($BO$15,0,0,$B$14,1), 1*(_xlfn._xlws.FILTER(OFFSET($O$15,0,$DN86,$B$8,1),OFFSET($M$15,0,0,$B$8,1))=EQ$13), 1*(_xlfn._xlws.FILTER(OFFSET($O$15,0,$DO86,$B$8,1),OFFSET($M$15,0,0,$B$8,1))=EQ$14))   /   SUM(OFFSET($BO$15,0,0,$B$14,1)) + $B$18/($B$19*$B$19*($DN86&lt;&gt;$DO86) + $B$19*($DN86=$DO86))</f>
        <v>3.7037037037037035E-4</v>
      </c>
      <c r="ER86" s="10" cm="1">
        <f t="array" aca="1" ref="ER86" ca="1">(1-$B$18)*SUMPRODUCT(OFFSET($BO$15,0,0,$B$14,1), 1*(_xlfn._xlws.FILTER(OFFSET($O$15,0,$DN86,$B$8,1),OFFSET($M$15,0,0,$B$8,1))=ER$13), 1*(_xlfn._xlws.FILTER(OFFSET($O$15,0,$DO86,$B$8,1),OFFSET($M$15,0,0,$B$8,1))=ER$14))   /   SUM(OFFSET($BO$15,0,0,$B$14,1)) + $B$18/($B$19*$B$19*($DN86&lt;&gt;$DO86) + $B$19*($DN86=$DO86))</f>
        <v>3.7037037037037035E-4</v>
      </c>
      <c r="ES86" s="10" cm="1">
        <f t="array" aca="1" ref="ES86" ca="1">(1-$B$18)*SUMPRODUCT(OFFSET($BO$15,0,0,$B$14,1), 1*(_xlfn._xlws.FILTER(OFFSET($O$15,0,$DN86,$B$8,1),OFFSET($M$15,0,0,$B$8,1))=ES$13), 1*(_xlfn._xlws.FILTER(OFFSET($O$15,0,$DO86,$B$8,1),OFFSET($M$15,0,0,$B$8,1))=ES$14))   /   SUM(OFFSET($BO$15,0,0,$B$14,1)) + $B$18/($B$19*$B$19*($DN86&lt;&gt;$DO86) + $B$19*($DN86=$DO86))</f>
        <v>3.7037037037037035E-4</v>
      </c>
      <c r="ET86" s="10" cm="1">
        <f t="array" aca="1" ref="ET86" ca="1">(1-$B$18)*SUMPRODUCT(OFFSET($BO$15,0,0,$B$14,1), 1*(_xlfn._xlws.FILTER(OFFSET($O$15,0,$DN86,$B$8,1),OFFSET($M$15,0,0,$B$8,1))=ET$13), 1*(_xlfn._xlws.FILTER(OFFSET($O$15,0,$DO86,$B$8,1),OFFSET($M$15,0,0,$B$8,1))=ET$14))   /   SUM(OFFSET($BO$15,0,0,$B$14,1)) + $B$18/($B$19*$B$19*($DN86&lt;&gt;$DO86) + $B$19*($DN86=$DO86))</f>
        <v>3.7037037037037035E-4</v>
      </c>
      <c r="EU86" s="10" cm="1">
        <f t="array" aca="1" ref="EU86" ca="1">(1-$B$18)*SUMPRODUCT(OFFSET($BO$15,0,0,$B$14,1), 1*(_xlfn._xlws.FILTER(OFFSET($O$15,0,$DN86,$B$8,1),OFFSET($M$15,0,0,$B$8,1))=EU$13), 1*(_xlfn._xlws.FILTER(OFFSET($O$15,0,$DO86,$B$8,1),OFFSET($M$15,0,0,$B$8,1))=EU$14))   /   SUM(OFFSET($BO$15,0,0,$B$14,1)) + $B$18/($B$19*$B$19*($DN86&lt;&gt;$DO86) + $B$19*($DN86=$DO86))</f>
        <v>3.7037037037037035E-4</v>
      </c>
      <c r="EV86" s="10" cm="1">
        <f t="array" aca="1" ref="EV86" ca="1">(1-$B$18)*SUMPRODUCT(OFFSET($BO$15,0,0,$B$14,1), 1*(_xlfn._xlws.FILTER(OFFSET($O$15,0,$DN86,$B$8,1),OFFSET($M$15,0,0,$B$8,1))=EV$13), 1*(_xlfn._xlws.FILTER(OFFSET($O$15,0,$DO86,$B$8,1),OFFSET($M$15,0,0,$B$8,1))=EV$14))   /   SUM(OFFSET($BO$15,0,0,$B$14,1)) + $B$18/($B$19*$B$19*($DN86&lt;&gt;$DO86) + $B$19*($DN86=$DO86))</f>
        <v>3.7037037037037035E-4</v>
      </c>
      <c r="EW86" s="10" cm="1">
        <f t="array" aca="1" ref="EW86" ca="1">(1-$B$18)*SUMPRODUCT(OFFSET($BO$15,0,0,$B$14,1), 1*(_xlfn._xlws.FILTER(OFFSET($O$15,0,$DN86,$B$8,1),OFFSET($M$15,0,0,$B$8,1))=EW$13), 1*(_xlfn._xlws.FILTER(OFFSET($O$15,0,$DO86,$B$8,1),OFFSET($M$15,0,0,$B$8,1))=EW$14))   /   SUM(OFFSET($BO$15,0,0,$B$14,1)) + $B$18/($B$19*$B$19*($DN86&lt;&gt;$DO86) + $B$19*($DN86=$DO86))</f>
        <v>3.7037037037037035E-4</v>
      </c>
      <c r="EX86" s="10" cm="1">
        <f t="array" aca="1" ref="EX86" ca="1">(1-$B$18)*SUMPRODUCT(OFFSET($BO$15,0,0,$B$14,1), 1*(_xlfn._xlws.FILTER(OFFSET($O$15,0,$DN86,$B$8,1),OFFSET($M$15,0,0,$B$8,1))=EX$13), 1*(_xlfn._xlws.FILTER(OFFSET($O$15,0,$DO86,$B$8,1),OFFSET($M$15,0,0,$B$8,1))=EX$14))   /   SUM(OFFSET($BO$15,0,0,$B$14,1)) + $B$18/($B$19*$B$19*($DN86&lt;&gt;$DO86) + $B$19*($DN86=$DO86))</f>
        <v>3.7037037037037035E-4</v>
      </c>
      <c r="EY86" s="10" cm="1">
        <f t="array" aca="1" ref="EY86" ca="1">(1-$B$18)*SUMPRODUCT(OFFSET($BO$15,0,0,$B$14,1), 1*(_xlfn._xlws.FILTER(OFFSET($O$15,0,$DN86,$B$8,1),OFFSET($M$15,0,0,$B$8,1))=EY$13), 1*(_xlfn._xlws.FILTER(OFFSET($O$15,0,$DO86,$B$8,1),OFFSET($M$15,0,0,$B$8,1))=EY$14))   /   SUM(OFFSET($BO$15,0,0,$B$14,1)) + $B$18/($B$19*$B$19*($DN86&lt;&gt;$DO86) + $B$19*($DN86=$DO86))</f>
        <v>3.7037037037037035E-4</v>
      </c>
      <c r="EZ86" s="10" cm="1">
        <f t="array" aca="1" ref="EZ86" ca="1">(1-$B$18)*SUMPRODUCT(OFFSET($BO$15,0,0,$B$14,1), 1*(_xlfn._xlws.FILTER(OFFSET($O$15,0,$DN86,$B$8,1),OFFSET($M$15,0,0,$B$8,1))=EZ$13), 1*(_xlfn._xlws.FILTER(OFFSET($O$15,0,$DO86,$B$8,1),OFFSET($M$15,0,0,$B$8,1))=EZ$14))   /   SUM(OFFSET($BO$15,0,0,$B$14,1)) + $B$18/($B$19*$B$19*($DN86&lt;&gt;$DO86) + $B$19*($DN86=$DO86))</f>
        <v>3.7037037037037035E-4</v>
      </c>
      <c r="FA86" s="10" cm="1">
        <f t="array" aca="1" ref="FA86" ca="1">(1-$B$18)*SUMPRODUCT(OFFSET($BO$15,0,0,$B$14,1), 1*(_xlfn._xlws.FILTER(OFFSET($O$15,0,$DN86,$B$8,1),OFFSET($M$15,0,0,$B$8,1))=FA$13), 1*(_xlfn._xlws.FILTER(OFFSET($O$15,0,$DO86,$B$8,1),OFFSET($M$15,0,0,$B$8,1))=FA$14))   /   SUM(OFFSET($BO$15,0,0,$B$14,1)) + $B$18/($B$19*$B$19*($DN86&lt;&gt;$DO86) + $B$19*($DN86=$DO86))</f>
        <v>3.7037037037037035E-4</v>
      </c>
      <c r="FB86" s="10" cm="1">
        <f t="array" aca="1" ref="FB86" ca="1">(1-$B$18)*SUMPRODUCT(OFFSET($BO$15,0,0,$B$14,1), 1*(_xlfn._xlws.FILTER(OFFSET($O$15,0,$DN86,$B$8,1),OFFSET($M$15,0,0,$B$8,1))=FB$13), 1*(_xlfn._xlws.FILTER(OFFSET($O$15,0,$DO86,$B$8,1),OFFSET($M$15,0,0,$B$8,1))=FB$14))   /   SUM(OFFSET($BO$15,0,0,$B$14,1)) + $B$18/($B$19*$B$19*($DN86&lt;&gt;$DO86) + $B$19*($DN86=$DO86))</f>
        <v>3.7037037037037035E-4</v>
      </c>
      <c r="FC86" s="10" cm="1">
        <f t="array" aca="1" ref="FC86" ca="1">(1-$B$18)*SUMPRODUCT(OFFSET($BO$15,0,0,$B$14,1), 1*(_xlfn._xlws.FILTER(OFFSET($O$15,0,$DN86,$B$8,1),OFFSET($M$15,0,0,$B$8,1))=FC$13), 1*(_xlfn._xlws.FILTER(OFFSET($O$15,0,$DO86,$B$8,1),OFFSET($M$15,0,0,$B$8,1))=FC$14))   /   SUM(OFFSET($BO$15,0,0,$B$14,1)) + $B$18/($B$19*$B$19*($DN86&lt;&gt;$DO86) + $B$19*($DN86=$DO86))</f>
        <v>3.7037037037037035E-4</v>
      </c>
      <c r="FD86" s="10" cm="1">
        <f t="array" aca="1" ref="FD86" ca="1">(1-$B$18)*SUMPRODUCT(OFFSET($BO$15,0,0,$B$14,1), 1*(_xlfn._xlws.FILTER(OFFSET($O$15,0,$DN86,$B$8,1),OFFSET($M$15,0,0,$B$8,1))=FD$13), 1*(_xlfn._xlws.FILTER(OFFSET($O$15,0,$DO86,$B$8,1),OFFSET($M$15,0,0,$B$8,1))=FD$14))   /   SUM(OFFSET($BO$15,0,0,$B$14,1)) + $B$18/($B$19*$B$19*($DN86&lt;&gt;$DO86) + $B$19*($DN86=$DO86))</f>
        <v>3.7037037037037035E-4</v>
      </c>
      <c r="FE86" s="10" cm="1">
        <f t="array" aca="1" ref="FE86" ca="1">(1-$B$18)*SUMPRODUCT(OFFSET($BO$15,0,0,$B$14,1), 1*(_xlfn._xlws.FILTER(OFFSET($O$15,0,$DN86,$B$8,1),OFFSET($M$15,0,0,$B$8,1))=FE$13), 1*(_xlfn._xlws.FILTER(OFFSET($O$15,0,$DO86,$B$8,1),OFFSET($M$15,0,0,$B$8,1))=FE$14))   /   SUM(OFFSET($BO$15,0,0,$B$14,1)) + $B$18/($B$19*$B$19*($DN86&lt;&gt;$DO86) + $B$19*($DN86=$DO86))</f>
        <v>3.7037037037037035E-4</v>
      </c>
      <c r="FF86" s="10" cm="1">
        <f t="array" aca="1" ref="FF86" ca="1">(1-$B$18)*SUMPRODUCT(OFFSET($BO$15,0,0,$B$14,1), 1*(_xlfn._xlws.FILTER(OFFSET($O$15,0,$DN86,$B$8,1),OFFSET($M$15,0,0,$B$8,1))=FF$13), 1*(_xlfn._xlws.FILTER(OFFSET($O$15,0,$DO86,$B$8,1),OFFSET($M$15,0,0,$B$8,1))=FF$14))   /   SUM(OFFSET($BO$15,0,0,$B$14,1)) + $B$18/($B$19*$B$19*($DN86&lt;&gt;$DO86) + $B$19*($DN86=$DO86))</f>
        <v>3.7037037037037035E-4</v>
      </c>
      <c r="FG86" s="10" cm="1">
        <f t="array" aca="1" ref="FG86" ca="1">(1-$B$18)*SUMPRODUCT(OFFSET($BO$15,0,0,$B$14,1), 1*(_xlfn._xlws.FILTER(OFFSET($O$15,0,$DN86,$B$8,1),OFFSET($M$15,0,0,$B$8,1))=FG$13), 1*(_xlfn._xlws.FILTER(OFFSET($O$15,0,$DO86,$B$8,1),OFFSET($M$15,0,0,$B$8,1))=FG$14))   /   SUM(OFFSET($BO$15,0,0,$B$14,1)) + $B$18/($B$19*$B$19*($DN86&lt;&gt;$DO86) + $B$19*($DN86=$DO86))</f>
        <v>3.7037037037037035E-4</v>
      </c>
      <c r="FH86" s="10" cm="1">
        <f t="array" aca="1" ref="FH86" ca="1">(1-$B$18)*SUMPRODUCT(OFFSET($BO$15,0,0,$B$14,1), 1*(_xlfn._xlws.FILTER(OFFSET($O$15,0,$DN86,$B$8,1),OFFSET($M$15,0,0,$B$8,1))=FH$13), 1*(_xlfn._xlws.FILTER(OFFSET($O$15,0,$DO86,$B$8,1),OFFSET($M$15,0,0,$B$8,1))=FH$14))   /   SUM(OFFSET($BO$15,0,0,$B$14,1)) + $B$18/($B$19*$B$19*($DN86&lt;&gt;$DO86) + $B$19*($DN86=$DO86))</f>
        <v>3.7037037037037035E-4</v>
      </c>
      <c r="FI86" s="10" cm="1">
        <f t="array" aca="1" ref="FI86" ca="1">(1-$B$18)*SUMPRODUCT(OFFSET($BO$15,0,0,$B$14,1), 1*(_xlfn._xlws.FILTER(OFFSET($O$15,0,$DN86,$B$8,1),OFFSET($M$15,0,0,$B$8,1))=FI$13), 1*(_xlfn._xlws.FILTER(OFFSET($O$15,0,$DO86,$B$8,1),OFFSET($M$15,0,0,$B$8,1))=FI$14))   /   SUM(OFFSET($BO$15,0,0,$B$14,1)) + $B$18/($B$19*$B$19*($DN86&lt;&gt;$DO86) + $B$19*($DN86=$DO86))</f>
        <v>3.7037037037037035E-4</v>
      </c>
      <c r="FJ86" s="10" cm="1">
        <f t="array" aca="1" ref="FJ86" ca="1">(1-$B$18)*SUMPRODUCT(OFFSET($BO$15,0,0,$B$14,1), 1*(_xlfn._xlws.FILTER(OFFSET($O$15,0,$DN86,$B$8,1),OFFSET($M$15,0,0,$B$8,1))=FJ$13), 1*(_xlfn._xlws.FILTER(OFFSET($O$15,0,$DO86,$B$8,1),OFFSET($M$15,0,0,$B$8,1))=FJ$14))   /   SUM(OFFSET($BO$15,0,0,$B$14,1)) + $B$18/($B$19*$B$19*($DN86&lt;&gt;$DO86) + $B$19*($DN86=$DO86))</f>
        <v>3.7037037037037035E-4</v>
      </c>
      <c r="FK86" s="10" cm="1">
        <f t="array" aca="1" ref="FK86" ca="1">(1-$B$18)*SUMPRODUCT(OFFSET($BO$15,0,0,$B$14,1), 1*(_xlfn._xlws.FILTER(OFFSET($O$15,0,$DN86,$B$8,1),OFFSET($M$15,0,0,$B$8,1))=FK$13), 1*(_xlfn._xlws.FILTER(OFFSET($O$15,0,$DO86,$B$8,1),OFFSET($M$15,0,0,$B$8,1))=FK$14))   /   SUM(OFFSET($BO$15,0,0,$B$14,1)) + $B$18/($B$19*$B$19*($DN86&lt;&gt;$DO86) + $B$19*($DN86=$DO86))</f>
        <v>3.7037037037037035E-4</v>
      </c>
      <c r="FL86" s="10" cm="1">
        <f t="array" aca="1" ref="FL86" ca="1">(1-$B$18)*SUMPRODUCT(OFFSET($BO$15,0,0,$B$14,1), 1*(_xlfn._xlws.FILTER(OFFSET($O$15,0,$DN86,$B$8,1),OFFSET($M$15,0,0,$B$8,1))=FL$13), 1*(_xlfn._xlws.FILTER(OFFSET($O$15,0,$DO86,$B$8,1),OFFSET($M$15,0,0,$B$8,1))=FL$14))   /   SUM(OFFSET($BO$15,0,0,$B$14,1)) + $B$18/($B$19*$B$19*($DN86&lt;&gt;$DO86) + $B$19*($DN86=$DO86))</f>
        <v>3.7037037037037035E-4</v>
      </c>
      <c r="FM86" s="10" cm="1">
        <f t="array" aca="1" ref="FM86" ca="1">(1-$B$18)*SUMPRODUCT(OFFSET($BO$15,0,0,$B$14,1), 1*(_xlfn._xlws.FILTER(OFFSET($O$15,0,$DN86,$B$8,1),OFFSET($M$15,0,0,$B$8,1))=FM$13), 1*(_xlfn._xlws.FILTER(OFFSET($O$15,0,$DO86,$B$8,1),OFFSET($M$15,0,0,$B$8,1))=FM$14))   /   SUM(OFFSET($BO$15,0,0,$B$14,1)) + $B$18/($B$19*$B$19*($DN86&lt;&gt;$DO86) + $B$19*($DN86=$DO86))</f>
        <v>3.7037037037037035E-4</v>
      </c>
      <c r="FN86" s="10" cm="1">
        <f t="array" aca="1" ref="FN86" ca="1">(1-$B$18)*SUMPRODUCT(OFFSET($BO$15,0,0,$B$14,1), 1*(_xlfn._xlws.FILTER(OFFSET($O$15,0,$DN86,$B$8,1),OFFSET($M$15,0,0,$B$8,1))=FN$13), 1*(_xlfn._xlws.FILTER(OFFSET($O$15,0,$DO86,$B$8,1),OFFSET($M$15,0,0,$B$8,1))=FN$14))   /   SUM(OFFSET($BO$15,0,0,$B$14,1)) + $B$18/($B$19*$B$19*($DN86&lt;&gt;$DO86) + $B$19*($DN86=$DO86))</f>
        <v>0.97037037037037033</v>
      </c>
      <c r="FO86" s="10" cm="1">
        <f t="array" aca="1" ref="FO86" ca="1">(1-$B$18)*SUMPRODUCT(OFFSET($BO$15,0,0,$B$14,1), 1*(_xlfn._xlws.FILTER(OFFSET($O$15,0,$DN86,$B$8,1),OFFSET($M$15,0,0,$B$8,1))=FO$13), 1*(_xlfn._xlws.FILTER(OFFSET($O$15,0,$DO86,$B$8,1),OFFSET($M$15,0,0,$B$8,1))=FO$14))   /   SUM(OFFSET($BO$15,0,0,$B$14,1)) + $B$18/($B$19*$B$19*($DN86&lt;&gt;$DO86) + $B$19*($DN86=$DO86))</f>
        <v>3.7037037037037035E-4</v>
      </c>
      <c r="FP86" s="10" cm="1">
        <f t="array" aca="1" ref="FP86" ca="1">(1-$B$18)*SUMPRODUCT(OFFSET($BO$15,0,0,$B$14,1), 1*(_xlfn._xlws.FILTER(OFFSET($O$15,0,$DN86,$B$8,1),OFFSET($M$15,0,0,$B$8,1))=FP$13), 1*(_xlfn._xlws.FILTER(OFFSET($O$15,0,$DO86,$B$8,1),OFFSET($M$15,0,0,$B$8,1))=FP$14))   /   SUM(OFFSET($BO$15,0,0,$B$14,1)) + $B$18/($B$19*$B$19*($DN86&lt;&gt;$DO86) + $B$19*($DN86=$DO86))</f>
        <v>3.7037037037037035E-4</v>
      </c>
      <c r="FQ86" s="10" cm="1">
        <f t="array" aca="1" ref="FQ86" ca="1">(1-$B$18)*SUMPRODUCT(OFFSET($BO$15,0,0,$B$14,1), 1*(_xlfn._xlws.FILTER(OFFSET($O$15,0,$DN86,$B$8,1),OFFSET($M$15,0,0,$B$8,1))=FQ$13), 1*(_xlfn._xlws.FILTER(OFFSET($O$15,0,$DO86,$B$8,1),OFFSET($M$15,0,0,$B$8,1))=FQ$14))   /   SUM(OFFSET($BO$15,0,0,$B$14,1)) + $B$18/($B$19*$B$19*($DN86&lt;&gt;$DO86) + $B$19*($DN86=$DO86))</f>
        <v>3.7037037037037035E-4</v>
      </c>
      <c r="FR86" s="10" cm="1">
        <f t="array" aca="1" ref="FR86" ca="1">(1-$B$18)*SUMPRODUCT(OFFSET($BO$15,0,0,$B$14,1), 1*(_xlfn._xlws.FILTER(OFFSET($O$15,0,$DN86,$B$8,1),OFFSET($M$15,0,0,$B$8,1))=FR$13), 1*(_xlfn._xlws.FILTER(OFFSET($O$15,0,$DO86,$B$8,1),OFFSET($M$15,0,0,$B$8,1))=FR$14))   /   SUM(OFFSET($BO$15,0,0,$B$14,1)) + $B$18/($B$19*$B$19*($DN86&lt;&gt;$DO86) + $B$19*($DN86=$DO86))</f>
        <v>3.7037037037037035E-4</v>
      </c>
      <c r="FS86" s="10" cm="1">
        <f t="array" aca="1" ref="FS86" ca="1">(1-$B$18)*SUMPRODUCT(OFFSET($BO$15,0,0,$B$14,1), 1*(_xlfn._xlws.FILTER(OFFSET($O$15,0,$DN86,$B$8,1),OFFSET($M$15,0,0,$B$8,1))=FS$13), 1*(_xlfn._xlws.FILTER(OFFSET($O$15,0,$DO86,$B$8,1),OFFSET($M$15,0,0,$B$8,1))=FS$14))   /   SUM(OFFSET($BO$15,0,0,$B$14,1)) + $B$18/($B$19*$B$19*($DN86&lt;&gt;$DO86) + $B$19*($DN86=$DO86))</f>
        <v>3.7037037037037035E-4</v>
      </c>
      <c r="FT86" s="10" cm="1">
        <f t="array" aca="1" ref="FT86" ca="1">(1-$B$18)*SUMPRODUCT(OFFSET($BO$15,0,0,$B$14,1), 1*(_xlfn._xlws.FILTER(OFFSET($O$15,0,$DN86,$B$8,1),OFFSET($M$15,0,0,$B$8,1))=FT$13), 1*(_xlfn._xlws.FILTER(OFFSET($O$15,0,$DO86,$B$8,1),OFFSET($M$15,0,0,$B$8,1))=FT$14))   /   SUM(OFFSET($BO$15,0,0,$B$14,1)) + $B$18/($B$19*$B$19*($DN86&lt;&gt;$DO86) + $B$19*($DN86=$DO86))</f>
        <v>3.7037037037037035E-4</v>
      </c>
      <c r="FU86" s="10" cm="1">
        <f t="array" aca="1" ref="FU86" ca="1">(1-$B$18)*SUMPRODUCT(OFFSET($BO$15,0,0,$B$14,1), 1*(_xlfn._xlws.FILTER(OFFSET($O$15,0,$DN86,$B$8,1),OFFSET($M$15,0,0,$B$8,1))=FU$13), 1*(_xlfn._xlws.FILTER(OFFSET($O$15,0,$DO86,$B$8,1),OFFSET($M$15,0,0,$B$8,1))=FU$14))   /   SUM(OFFSET($BO$15,0,0,$B$14,1)) + $B$18/($B$19*$B$19*($DN86&lt;&gt;$DO86) + $B$19*($DN86=$DO86))</f>
        <v>3.7037037037037035E-4</v>
      </c>
      <c r="FV86" s="10" cm="1">
        <f t="array" aca="1" ref="FV86" ca="1">(1-$B$18)*SUMPRODUCT(OFFSET($BO$15,0,0,$B$14,1), 1*(_xlfn._xlws.FILTER(OFFSET($O$15,0,$DN86,$B$8,1),OFFSET($M$15,0,0,$B$8,1))=FV$13), 1*(_xlfn._xlws.FILTER(OFFSET($O$15,0,$DO86,$B$8,1),OFFSET($M$15,0,0,$B$8,1))=FV$14))   /   SUM(OFFSET($BO$15,0,0,$B$14,1)) + $B$18/($B$19*$B$19*($DN86&lt;&gt;$DO86) + $B$19*($DN86=$DO86))</f>
        <v>3.7037037037037035E-4</v>
      </c>
      <c r="FW86" s="10" cm="1">
        <f t="array" aca="1" ref="FW86" ca="1">(1-$B$18)*SUMPRODUCT(OFFSET($BO$15,0,0,$B$14,1), 1*(_xlfn._xlws.FILTER(OFFSET($O$15,0,$DN86,$B$8,1),OFFSET($M$15,0,0,$B$8,1))=FW$13), 1*(_xlfn._xlws.FILTER(OFFSET($O$15,0,$DO86,$B$8,1),OFFSET($M$15,0,0,$B$8,1))=FW$14))   /   SUM(OFFSET($BO$15,0,0,$B$14,1)) + $B$18/($B$19*$B$19*($DN86&lt;&gt;$DO86) + $B$19*($DN86=$DO86))</f>
        <v>3.7037037037037035E-4</v>
      </c>
      <c r="FX86" s="10" cm="1">
        <f t="array" aca="1" ref="FX86" ca="1">(1-$B$18)*SUMPRODUCT(OFFSET($BO$15,0,0,$B$14,1), 1*(_xlfn._xlws.FILTER(OFFSET($O$15,0,$DN86,$B$8,1),OFFSET($M$15,0,0,$B$8,1))=FX$13), 1*(_xlfn._xlws.FILTER(OFFSET($O$15,0,$DO86,$B$8,1),OFFSET($M$15,0,0,$B$8,1))=FX$14))   /   SUM(OFFSET($BO$15,0,0,$B$14,1)) + $B$18/($B$19*$B$19*($DN86&lt;&gt;$DO86) + $B$19*($DN86=$DO86))</f>
        <v>3.7037037037037035E-4</v>
      </c>
      <c r="FY86" s="10" cm="1">
        <f t="array" aca="1" ref="FY86" ca="1">(1-$B$18)*SUMPRODUCT(OFFSET($BO$15,0,0,$B$14,1), 1*(_xlfn._xlws.FILTER(OFFSET($O$15,0,$DN86,$B$8,1),OFFSET($M$15,0,0,$B$8,1))=FY$13), 1*(_xlfn._xlws.FILTER(OFFSET($O$15,0,$DO86,$B$8,1),OFFSET($M$15,0,0,$B$8,1))=FY$14))   /   SUM(OFFSET($BO$15,0,0,$B$14,1)) + $B$18/($B$19*$B$19*($DN86&lt;&gt;$DO86) + $B$19*($DN86=$DO86))</f>
        <v>3.7037037037037035E-4</v>
      </c>
      <c r="FZ86" s="10" cm="1">
        <f t="array" aca="1" ref="FZ86" ca="1">(1-$B$18)*SUMPRODUCT(OFFSET($BO$15,0,0,$B$14,1), 1*(_xlfn._xlws.FILTER(OFFSET($O$15,0,$DN86,$B$8,1),OFFSET($M$15,0,0,$B$8,1))=FZ$13), 1*(_xlfn._xlws.FILTER(OFFSET($O$15,0,$DO86,$B$8,1),OFFSET($M$15,0,0,$B$8,1))=FZ$14))   /   SUM(OFFSET($BO$15,0,0,$B$14,1)) + $B$18/($B$19*$B$19*($DN86&lt;&gt;$DO86) + $B$19*($DN86=$DO86))</f>
        <v>3.7037037037037035E-4</v>
      </c>
      <c r="GA86" s="10" cm="1">
        <f t="array" aca="1" ref="GA86" ca="1">(1-$B$18)*SUMPRODUCT(OFFSET($BO$15,0,0,$B$14,1), 1*(_xlfn._xlws.FILTER(OFFSET($O$15,0,$DN86,$B$8,1),OFFSET($M$15,0,0,$B$8,1))=GA$13), 1*(_xlfn._xlws.FILTER(OFFSET($O$15,0,$DO86,$B$8,1),OFFSET($M$15,0,0,$B$8,1))=GA$14))   /   SUM(OFFSET($BO$15,0,0,$B$14,1)) + $B$18/($B$19*$B$19*($DN86&lt;&gt;$DO86) + $B$19*($DN86=$DO86))</f>
        <v>3.7037037037037035E-4</v>
      </c>
    </row>
    <row r="87" spans="7:183" x14ac:dyDescent="0.2">
      <c r="H87" s="2"/>
      <c r="DN87" cm="1">
        <f t="array" aca="1" ref="DN87" ca="1">INDEX(_xlfn.ANCHORARRAY($CP$15), 1 + INT((ROWS($DO$15:$DO87) - 1) / ROWS(_xlfn.ANCHORARRAY($CP$15))))</f>
        <v>3</v>
      </c>
      <c r="DO87" cm="1">
        <f t="array" aca="1" ref="DO87" ca="1">INDEX(_xlfn.ANCHORARRAY($CP$15),1+MOD(ROWS($DO$15:$DO87)-1,ROWS(_xlfn.ANCHORARRAY($CP$15))))</f>
        <v>18</v>
      </c>
      <c r="DP87" s="10" cm="1">
        <f t="array" aca="1" ref="DP87" ca="1">(1-$B$18)*SUMPRODUCT(OFFSET($BO$15,0,0,$B$14,1), 1*(_xlfn._xlws.FILTER(OFFSET($O$15,0,$DN87,$B$8,1),OFFSET($M$15,0,0,$B$8,1))=DP$13), 1*(_xlfn._xlws.FILTER(OFFSET($O$15,0,$DO87,$B$8,1),OFFSET($M$15,0,0,$B$8,1))=DP$14))   /   SUM(OFFSET($BO$15,0,0,$B$14,1)) + $B$18/($B$19*$B$19*($DN87&lt;&gt;$DO87) + $B$19*($DN87=$DO87))</f>
        <v>3.7037037037037035E-4</v>
      </c>
      <c r="DQ87" s="10" cm="1">
        <f t="array" aca="1" ref="DQ87" ca="1">(1-$B$18)*SUMPRODUCT(OFFSET($BO$15,0,0,$B$14,1), 1*(_xlfn._xlws.FILTER(OFFSET($O$15,0,$DN87,$B$8,1),OFFSET($M$15,0,0,$B$8,1))=DQ$13), 1*(_xlfn._xlws.FILTER(OFFSET($O$15,0,$DO87,$B$8,1),OFFSET($M$15,0,0,$B$8,1))=DQ$14))   /   SUM(OFFSET($BO$15,0,0,$B$14,1)) + $B$18/($B$19*$B$19*($DN87&lt;&gt;$DO87) + $B$19*($DN87=$DO87))</f>
        <v>3.7037037037037035E-4</v>
      </c>
      <c r="DR87" s="10" cm="1">
        <f t="array" aca="1" ref="DR87" ca="1">(1-$B$18)*SUMPRODUCT(OFFSET($BO$15,0,0,$B$14,1), 1*(_xlfn._xlws.FILTER(OFFSET($O$15,0,$DN87,$B$8,1),OFFSET($M$15,0,0,$B$8,1))=DR$13), 1*(_xlfn._xlws.FILTER(OFFSET($O$15,0,$DO87,$B$8,1),OFFSET($M$15,0,0,$B$8,1))=DR$14))   /   SUM(OFFSET($BO$15,0,0,$B$14,1)) + $B$18/($B$19*$B$19*($DN87&lt;&gt;$DO87) + $B$19*($DN87=$DO87))</f>
        <v>3.7037037037037035E-4</v>
      </c>
      <c r="DS87" s="10" cm="1">
        <f t="array" aca="1" ref="DS87" ca="1">(1-$B$18)*SUMPRODUCT(OFFSET($BO$15,0,0,$B$14,1), 1*(_xlfn._xlws.FILTER(OFFSET($O$15,0,$DN87,$B$8,1),OFFSET($M$15,0,0,$B$8,1))=DS$13), 1*(_xlfn._xlws.FILTER(OFFSET($O$15,0,$DO87,$B$8,1),OFFSET($M$15,0,0,$B$8,1))=DS$14))   /   SUM(OFFSET($BO$15,0,0,$B$14,1)) + $B$18/($B$19*$B$19*($DN87&lt;&gt;$DO87) + $B$19*($DN87=$DO87))</f>
        <v>3.7037037037037035E-4</v>
      </c>
      <c r="DT87" s="10" cm="1">
        <f t="array" aca="1" ref="DT87" ca="1">(1-$B$18)*SUMPRODUCT(OFFSET($BO$15,0,0,$B$14,1), 1*(_xlfn._xlws.FILTER(OFFSET($O$15,0,$DN87,$B$8,1),OFFSET($M$15,0,0,$B$8,1))=DT$13), 1*(_xlfn._xlws.FILTER(OFFSET($O$15,0,$DO87,$B$8,1),OFFSET($M$15,0,0,$B$8,1))=DT$14))   /   SUM(OFFSET($BO$15,0,0,$B$14,1)) + $B$18/($B$19*$B$19*($DN87&lt;&gt;$DO87) + $B$19*($DN87=$DO87))</f>
        <v>3.7037037037037035E-4</v>
      </c>
      <c r="DU87" s="10" cm="1">
        <f t="array" aca="1" ref="DU87" ca="1">(1-$B$18)*SUMPRODUCT(OFFSET($BO$15,0,0,$B$14,1), 1*(_xlfn._xlws.FILTER(OFFSET($O$15,0,$DN87,$B$8,1),OFFSET($M$15,0,0,$B$8,1))=DU$13), 1*(_xlfn._xlws.FILTER(OFFSET($O$15,0,$DO87,$B$8,1),OFFSET($M$15,0,0,$B$8,1))=DU$14))   /   SUM(OFFSET($BO$15,0,0,$B$14,1)) + $B$18/($B$19*$B$19*($DN87&lt;&gt;$DO87) + $B$19*($DN87=$DO87))</f>
        <v>3.7037037037037035E-4</v>
      </c>
      <c r="DV87" s="10" cm="1">
        <f t="array" aca="1" ref="DV87" ca="1">(1-$B$18)*SUMPRODUCT(OFFSET($BO$15,0,0,$B$14,1), 1*(_xlfn._xlws.FILTER(OFFSET($O$15,0,$DN87,$B$8,1),OFFSET($M$15,0,0,$B$8,1))=DV$13), 1*(_xlfn._xlws.FILTER(OFFSET($O$15,0,$DO87,$B$8,1),OFFSET($M$15,0,0,$B$8,1))=DV$14))   /   SUM(OFFSET($BO$15,0,0,$B$14,1)) + $B$18/($B$19*$B$19*($DN87&lt;&gt;$DO87) + $B$19*($DN87=$DO87))</f>
        <v>3.7037037037037035E-4</v>
      </c>
      <c r="DW87" s="10" cm="1">
        <f t="array" aca="1" ref="DW87" ca="1">(1-$B$18)*SUMPRODUCT(OFFSET($BO$15,0,0,$B$14,1), 1*(_xlfn._xlws.FILTER(OFFSET($O$15,0,$DN87,$B$8,1),OFFSET($M$15,0,0,$B$8,1))=DW$13), 1*(_xlfn._xlws.FILTER(OFFSET($O$15,0,$DO87,$B$8,1),OFFSET($M$15,0,0,$B$8,1))=DW$14))   /   SUM(OFFSET($BO$15,0,0,$B$14,1)) + $B$18/($B$19*$B$19*($DN87&lt;&gt;$DO87) + $B$19*($DN87=$DO87))</f>
        <v>3.7037037037037035E-4</v>
      </c>
      <c r="DX87" s="10" cm="1">
        <f t="array" aca="1" ref="DX87" ca="1">(1-$B$18)*SUMPRODUCT(OFFSET($BO$15,0,0,$B$14,1), 1*(_xlfn._xlws.FILTER(OFFSET($O$15,0,$DN87,$B$8,1),OFFSET($M$15,0,0,$B$8,1))=DX$13), 1*(_xlfn._xlws.FILTER(OFFSET($O$15,0,$DO87,$B$8,1),OFFSET($M$15,0,0,$B$8,1))=DX$14))   /   SUM(OFFSET($BO$15,0,0,$B$14,1)) + $B$18/($B$19*$B$19*($DN87&lt;&gt;$DO87) + $B$19*($DN87=$DO87))</f>
        <v>3.7037037037037035E-4</v>
      </c>
      <c r="DY87" s="10" cm="1">
        <f t="array" aca="1" ref="DY87" ca="1">(1-$B$18)*SUMPRODUCT(OFFSET($BO$15,0,0,$B$14,1), 1*(_xlfn._xlws.FILTER(OFFSET($O$15,0,$DN87,$B$8,1),OFFSET($M$15,0,0,$B$8,1))=DY$13), 1*(_xlfn._xlws.FILTER(OFFSET($O$15,0,$DO87,$B$8,1),OFFSET($M$15,0,0,$B$8,1))=DY$14))   /   SUM(OFFSET($BO$15,0,0,$B$14,1)) + $B$18/($B$19*$B$19*($DN87&lt;&gt;$DO87) + $B$19*($DN87=$DO87))</f>
        <v>3.7037037037037035E-4</v>
      </c>
      <c r="DZ87" s="10" cm="1">
        <f t="array" aca="1" ref="DZ87" ca="1">(1-$B$18)*SUMPRODUCT(OFFSET($BO$15,0,0,$B$14,1), 1*(_xlfn._xlws.FILTER(OFFSET($O$15,0,$DN87,$B$8,1),OFFSET($M$15,0,0,$B$8,1))=DZ$13), 1*(_xlfn._xlws.FILTER(OFFSET($O$15,0,$DO87,$B$8,1),OFFSET($M$15,0,0,$B$8,1))=DZ$14))   /   SUM(OFFSET($BO$15,0,0,$B$14,1)) + $B$18/($B$19*$B$19*($DN87&lt;&gt;$DO87) + $B$19*($DN87=$DO87))</f>
        <v>3.7037037037037035E-4</v>
      </c>
      <c r="EA87" s="10" cm="1">
        <f t="array" aca="1" ref="EA87" ca="1">(1-$B$18)*SUMPRODUCT(OFFSET($BO$15,0,0,$B$14,1), 1*(_xlfn._xlws.FILTER(OFFSET($O$15,0,$DN87,$B$8,1),OFFSET($M$15,0,0,$B$8,1))=EA$13), 1*(_xlfn._xlws.FILTER(OFFSET($O$15,0,$DO87,$B$8,1),OFFSET($M$15,0,0,$B$8,1))=EA$14))   /   SUM(OFFSET($BO$15,0,0,$B$14,1)) + $B$18/($B$19*$B$19*($DN87&lt;&gt;$DO87) + $B$19*($DN87=$DO87))</f>
        <v>3.7037037037037035E-4</v>
      </c>
      <c r="EB87" s="10" cm="1">
        <f t="array" aca="1" ref="EB87" ca="1">(1-$B$18)*SUMPRODUCT(OFFSET($BO$15,0,0,$B$14,1), 1*(_xlfn._xlws.FILTER(OFFSET($O$15,0,$DN87,$B$8,1),OFFSET($M$15,0,0,$B$8,1))=EB$13), 1*(_xlfn._xlws.FILTER(OFFSET($O$15,0,$DO87,$B$8,1),OFFSET($M$15,0,0,$B$8,1))=EB$14))   /   SUM(OFFSET($BO$15,0,0,$B$14,1)) + $B$18/($B$19*$B$19*($DN87&lt;&gt;$DO87) + $B$19*($DN87=$DO87))</f>
        <v>3.7037037037037035E-4</v>
      </c>
      <c r="EC87" s="10" cm="1">
        <f t="array" aca="1" ref="EC87" ca="1">(1-$B$18)*SUMPRODUCT(OFFSET($BO$15,0,0,$B$14,1), 1*(_xlfn._xlws.FILTER(OFFSET($O$15,0,$DN87,$B$8,1),OFFSET($M$15,0,0,$B$8,1))=EC$13), 1*(_xlfn._xlws.FILTER(OFFSET($O$15,0,$DO87,$B$8,1),OFFSET($M$15,0,0,$B$8,1))=EC$14))   /   SUM(OFFSET($BO$15,0,0,$B$14,1)) + $B$18/($B$19*$B$19*($DN87&lt;&gt;$DO87) + $B$19*($DN87=$DO87))</f>
        <v>3.7037037037037035E-4</v>
      </c>
      <c r="ED87" s="10" cm="1">
        <f t="array" aca="1" ref="ED87" ca="1">(1-$B$18)*SUMPRODUCT(OFFSET($BO$15,0,0,$B$14,1), 1*(_xlfn._xlws.FILTER(OFFSET($O$15,0,$DN87,$B$8,1),OFFSET($M$15,0,0,$B$8,1))=ED$13), 1*(_xlfn._xlws.FILTER(OFFSET($O$15,0,$DO87,$B$8,1),OFFSET($M$15,0,0,$B$8,1))=ED$14))   /   SUM(OFFSET($BO$15,0,0,$B$14,1)) + $B$18/($B$19*$B$19*($DN87&lt;&gt;$DO87) + $B$19*($DN87=$DO87))</f>
        <v>3.7037037037037035E-4</v>
      </c>
      <c r="EE87" s="10" cm="1">
        <f t="array" aca="1" ref="EE87" ca="1">(1-$B$18)*SUMPRODUCT(OFFSET($BO$15,0,0,$B$14,1), 1*(_xlfn._xlws.FILTER(OFFSET($O$15,0,$DN87,$B$8,1),OFFSET($M$15,0,0,$B$8,1))=EE$13), 1*(_xlfn._xlws.FILTER(OFFSET($O$15,0,$DO87,$B$8,1),OFFSET($M$15,0,0,$B$8,1))=EE$14))   /   SUM(OFFSET($BO$15,0,0,$B$14,1)) + $B$18/($B$19*$B$19*($DN87&lt;&gt;$DO87) + $B$19*($DN87=$DO87))</f>
        <v>3.7037037037037035E-4</v>
      </c>
      <c r="EF87" s="10" cm="1">
        <f t="array" aca="1" ref="EF87" ca="1">(1-$B$18)*SUMPRODUCT(OFFSET($BO$15,0,0,$B$14,1), 1*(_xlfn._xlws.FILTER(OFFSET($O$15,0,$DN87,$B$8,1),OFFSET($M$15,0,0,$B$8,1))=EF$13), 1*(_xlfn._xlws.FILTER(OFFSET($O$15,0,$DO87,$B$8,1),OFFSET($M$15,0,0,$B$8,1))=EF$14))   /   SUM(OFFSET($BO$15,0,0,$B$14,1)) + $B$18/($B$19*$B$19*($DN87&lt;&gt;$DO87) + $B$19*($DN87=$DO87))</f>
        <v>3.7037037037037035E-4</v>
      </c>
      <c r="EG87" s="10" cm="1">
        <f t="array" aca="1" ref="EG87" ca="1">(1-$B$18)*SUMPRODUCT(OFFSET($BO$15,0,0,$B$14,1), 1*(_xlfn._xlws.FILTER(OFFSET($O$15,0,$DN87,$B$8,1),OFFSET($M$15,0,0,$B$8,1))=EG$13), 1*(_xlfn._xlws.FILTER(OFFSET($O$15,0,$DO87,$B$8,1),OFFSET($M$15,0,0,$B$8,1))=EG$14))   /   SUM(OFFSET($BO$15,0,0,$B$14,1)) + $B$18/($B$19*$B$19*($DN87&lt;&gt;$DO87) + $B$19*($DN87=$DO87))</f>
        <v>3.7037037037037035E-4</v>
      </c>
      <c r="EH87" s="10" cm="1">
        <f t="array" aca="1" ref="EH87" ca="1">(1-$B$18)*SUMPRODUCT(OFFSET($BO$15,0,0,$B$14,1), 1*(_xlfn._xlws.FILTER(OFFSET($O$15,0,$DN87,$B$8,1),OFFSET($M$15,0,0,$B$8,1))=EH$13), 1*(_xlfn._xlws.FILTER(OFFSET($O$15,0,$DO87,$B$8,1),OFFSET($M$15,0,0,$B$8,1))=EH$14))   /   SUM(OFFSET($BO$15,0,0,$B$14,1)) + $B$18/($B$19*$B$19*($DN87&lt;&gt;$DO87) + $B$19*($DN87=$DO87))</f>
        <v>3.7037037037037035E-4</v>
      </c>
      <c r="EI87" s="10" cm="1">
        <f t="array" aca="1" ref="EI87" ca="1">(1-$B$18)*SUMPRODUCT(OFFSET($BO$15,0,0,$B$14,1), 1*(_xlfn._xlws.FILTER(OFFSET($O$15,0,$DN87,$B$8,1),OFFSET($M$15,0,0,$B$8,1))=EI$13), 1*(_xlfn._xlws.FILTER(OFFSET($O$15,0,$DO87,$B$8,1),OFFSET($M$15,0,0,$B$8,1))=EI$14))   /   SUM(OFFSET($BO$15,0,0,$B$14,1)) + $B$18/($B$19*$B$19*($DN87&lt;&gt;$DO87) + $B$19*($DN87=$DO87))</f>
        <v>3.7037037037037035E-4</v>
      </c>
      <c r="EJ87" s="10" cm="1">
        <f t="array" aca="1" ref="EJ87" ca="1">(1-$B$18)*SUMPRODUCT(OFFSET($BO$15,0,0,$B$14,1), 1*(_xlfn._xlws.FILTER(OFFSET($O$15,0,$DN87,$B$8,1),OFFSET($M$15,0,0,$B$8,1))=EJ$13), 1*(_xlfn._xlws.FILTER(OFFSET($O$15,0,$DO87,$B$8,1),OFFSET($M$15,0,0,$B$8,1))=EJ$14))   /   SUM(OFFSET($BO$15,0,0,$B$14,1)) + $B$18/($B$19*$B$19*($DN87&lt;&gt;$DO87) + $B$19*($DN87=$DO87))</f>
        <v>3.7037037037037035E-4</v>
      </c>
      <c r="EK87" s="10" cm="1">
        <f t="array" aca="1" ref="EK87" ca="1">(1-$B$18)*SUMPRODUCT(OFFSET($BO$15,0,0,$B$14,1), 1*(_xlfn._xlws.FILTER(OFFSET($O$15,0,$DN87,$B$8,1),OFFSET($M$15,0,0,$B$8,1))=EK$13), 1*(_xlfn._xlws.FILTER(OFFSET($O$15,0,$DO87,$B$8,1),OFFSET($M$15,0,0,$B$8,1))=EK$14))   /   SUM(OFFSET($BO$15,0,0,$B$14,1)) + $B$18/($B$19*$B$19*($DN87&lt;&gt;$DO87) + $B$19*($DN87=$DO87))</f>
        <v>3.7037037037037035E-4</v>
      </c>
      <c r="EL87" s="10" cm="1">
        <f t="array" aca="1" ref="EL87" ca="1">(1-$B$18)*SUMPRODUCT(OFFSET($BO$15,0,0,$B$14,1), 1*(_xlfn._xlws.FILTER(OFFSET($O$15,0,$DN87,$B$8,1),OFFSET($M$15,0,0,$B$8,1))=EL$13), 1*(_xlfn._xlws.FILTER(OFFSET($O$15,0,$DO87,$B$8,1),OFFSET($M$15,0,0,$B$8,1))=EL$14))   /   SUM(OFFSET($BO$15,0,0,$B$14,1)) + $B$18/($B$19*$B$19*($DN87&lt;&gt;$DO87) + $B$19*($DN87=$DO87))</f>
        <v>3.7037037037037035E-4</v>
      </c>
      <c r="EM87" s="10" cm="1">
        <f t="array" aca="1" ref="EM87" ca="1">(1-$B$18)*SUMPRODUCT(OFFSET($BO$15,0,0,$B$14,1), 1*(_xlfn._xlws.FILTER(OFFSET($O$15,0,$DN87,$B$8,1),OFFSET($M$15,0,0,$B$8,1))=EM$13), 1*(_xlfn._xlws.FILTER(OFFSET($O$15,0,$DO87,$B$8,1),OFFSET($M$15,0,0,$B$8,1))=EM$14))   /   SUM(OFFSET($BO$15,0,0,$B$14,1)) + $B$18/($B$19*$B$19*($DN87&lt;&gt;$DO87) + $B$19*($DN87=$DO87))</f>
        <v>3.7037037037037035E-4</v>
      </c>
      <c r="EN87" s="10" cm="1">
        <f t="array" aca="1" ref="EN87" ca="1">(1-$B$18)*SUMPRODUCT(OFFSET($BO$15,0,0,$B$14,1), 1*(_xlfn._xlws.FILTER(OFFSET($O$15,0,$DN87,$B$8,1),OFFSET($M$15,0,0,$B$8,1))=EN$13), 1*(_xlfn._xlws.FILTER(OFFSET($O$15,0,$DO87,$B$8,1),OFFSET($M$15,0,0,$B$8,1))=EN$14))   /   SUM(OFFSET($BO$15,0,0,$B$14,1)) + $B$18/($B$19*$B$19*($DN87&lt;&gt;$DO87) + $B$19*($DN87=$DO87))</f>
        <v>3.7037037037037035E-4</v>
      </c>
      <c r="EO87" s="10" cm="1">
        <f t="array" aca="1" ref="EO87" ca="1">(1-$B$18)*SUMPRODUCT(OFFSET($BO$15,0,0,$B$14,1), 1*(_xlfn._xlws.FILTER(OFFSET($O$15,0,$DN87,$B$8,1),OFFSET($M$15,0,0,$B$8,1))=EO$13), 1*(_xlfn._xlws.FILTER(OFFSET($O$15,0,$DO87,$B$8,1),OFFSET($M$15,0,0,$B$8,1))=EO$14))   /   SUM(OFFSET($BO$15,0,0,$B$14,1)) + $B$18/($B$19*$B$19*($DN87&lt;&gt;$DO87) + $B$19*($DN87=$DO87))</f>
        <v>3.7037037037037035E-4</v>
      </c>
      <c r="EP87" s="10" cm="1">
        <f t="array" aca="1" ref="EP87" ca="1">(1-$B$18)*SUMPRODUCT(OFFSET($BO$15,0,0,$B$14,1), 1*(_xlfn._xlws.FILTER(OFFSET($O$15,0,$DN87,$B$8,1),OFFSET($M$15,0,0,$B$8,1))=EP$13), 1*(_xlfn._xlws.FILTER(OFFSET($O$15,0,$DO87,$B$8,1),OFFSET($M$15,0,0,$B$8,1))=EP$14))   /   SUM(OFFSET($BO$15,0,0,$B$14,1)) + $B$18/($B$19*$B$19*($DN87&lt;&gt;$DO87) + $B$19*($DN87=$DO87))</f>
        <v>3.7037037037037035E-4</v>
      </c>
      <c r="EQ87" s="10" cm="1">
        <f t="array" aca="1" ref="EQ87" ca="1">(1-$B$18)*SUMPRODUCT(OFFSET($BO$15,0,0,$B$14,1), 1*(_xlfn._xlws.FILTER(OFFSET($O$15,0,$DN87,$B$8,1),OFFSET($M$15,0,0,$B$8,1))=EQ$13), 1*(_xlfn._xlws.FILTER(OFFSET($O$15,0,$DO87,$B$8,1),OFFSET($M$15,0,0,$B$8,1))=EQ$14))   /   SUM(OFFSET($BO$15,0,0,$B$14,1)) + $B$18/($B$19*$B$19*($DN87&lt;&gt;$DO87) + $B$19*($DN87=$DO87))</f>
        <v>3.7037037037037035E-4</v>
      </c>
      <c r="ER87" s="10" cm="1">
        <f t="array" aca="1" ref="ER87" ca="1">(1-$B$18)*SUMPRODUCT(OFFSET($BO$15,0,0,$B$14,1), 1*(_xlfn._xlws.FILTER(OFFSET($O$15,0,$DN87,$B$8,1),OFFSET($M$15,0,0,$B$8,1))=ER$13), 1*(_xlfn._xlws.FILTER(OFFSET($O$15,0,$DO87,$B$8,1),OFFSET($M$15,0,0,$B$8,1))=ER$14))   /   SUM(OFFSET($BO$15,0,0,$B$14,1)) + $B$18/($B$19*$B$19*($DN87&lt;&gt;$DO87) + $B$19*($DN87=$DO87))</f>
        <v>3.7037037037037035E-4</v>
      </c>
      <c r="ES87" s="10" cm="1">
        <f t="array" aca="1" ref="ES87" ca="1">(1-$B$18)*SUMPRODUCT(OFFSET($BO$15,0,0,$B$14,1), 1*(_xlfn._xlws.FILTER(OFFSET($O$15,0,$DN87,$B$8,1),OFFSET($M$15,0,0,$B$8,1))=ES$13), 1*(_xlfn._xlws.FILTER(OFFSET($O$15,0,$DO87,$B$8,1),OFFSET($M$15,0,0,$B$8,1))=ES$14))   /   SUM(OFFSET($BO$15,0,0,$B$14,1)) + $B$18/($B$19*$B$19*($DN87&lt;&gt;$DO87) + $B$19*($DN87=$DO87))</f>
        <v>3.7037037037037035E-4</v>
      </c>
      <c r="ET87" s="10" cm="1">
        <f t="array" aca="1" ref="ET87" ca="1">(1-$B$18)*SUMPRODUCT(OFFSET($BO$15,0,0,$B$14,1), 1*(_xlfn._xlws.FILTER(OFFSET($O$15,0,$DN87,$B$8,1),OFFSET($M$15,0,0,$B$8,1))=ET$13), 1*(_xlfn._xlws.FILTER(OFFSET($O$15,0,$DO87,$B$8,1),OFFSET($M$15,0,0,$B$8,1))=ET$14))   /   SUM(OFFSET($BO$15,0,0,$B$14,1)) + $B$18/($B$19*$B$19*($DN87&lt;&gt;$DO87) + $B$19*($DN87=$DO87))</f>
        <v>3.7037037037037035E-4</v>
      </c>
      <c r="EU87" s="10" cm="1">
        <f t="array" aca="1" ref="EU87" ca="1">(1-$B$18)*SUMPRODUCT(OFFSET($BO$15,0,0,$B$14,1), 1*(_xlfn._xlws.FILTER(OFFSET($O$15,0,$DN87,$B$8,1),OFFSET($M$15,0,0,$B$8,1))=EU$13), 1*(_xlfn._xlws.FILTER(OFFSET($O$15,0,$DO87,$B$8,1),OFFSET($M$15,0,0,$B$8,1))=EU$14))   /   SUM(OFFSET($BO$15,0,0,$B$14,1)) + $B$18/($B$19*$B$19*($DN87&lt;&gt;$DO87) + $B$19*($DN87=$DO87))</f>
        <v>3.7037037037037035E-4</v>
      </c>
      <c r="EV87" s="10" cm="1">
        <f t="array" aca="1" ref="EV87" ca="1">(1-$B$18)*SUMPRODUCT(OFFSET($BO$15,0,0,$B$14,1), 1*(_xlfn._xlws.FILTER(OFFSET($O$15,0,$DN87,$B$8,1),OFFSET($M$15,0,0,$B$8,1))=EV$13), 1*(_xlfn._xlws.FILTER(OFFSET($O$15,0,$DO87,$B$8,1),OFFSET($M$15,0,0,$B$8,1))=EV$14))   /   SUM(OFFSET($BO$15,0,0,$B$14,1)) + $B$18/($B$19*$B$19*($DN87&lt;&gt;$DO87) + $B$19*($DN87=$DO87))</f>
        <v>3.7037037037037035E-4</v>
      </c>
      <c r="EW87" s="10" cm="1">
        <f t="array" aca="1" ref="EW87" ca="1">(1-$B$18)*SUMPRODUCT(OFFSET($BO$15,0,0,$B$14,1), 1*(_xlfn._xlws.FILTER(OFFSET($O$15,0,$DN87,$B$8,1),OFFSET($M$15,0,0,$B$8,1))=EW$13), 1*(_xlfn._xlws.FILTER(OFFSET($O$15,0,$DO87,$B$8,1),OFFSET($M$15,0,0,$B$8,1))=EW$14))   /   SUM(OFFSET($BO$15,0,0,$B$14,1)) + $B$18/($B$19*$B$19*($DN87&lt;&gt;$DO87) + $B$19*($DN87=$DO87))</f>
        <v>3.7037037037037035E-4</v>
      </c>
      <c r="EX87" s="10" cm="1">
        <f t="array" aca="1" ref="EX87" ca="1">(1-$B$18)*SUMPRODUCT(OFFSET($BO$15,0,0,$B$14,1), 1*(_xlfn._xlws.FILTER(OFFSET($O$15,0,$DN87,$B$8,1),OFFSET($M$15,0,0,$B$8,1))=EX$13), 1*(_xlfn._xlws.FILTER(OFFSET($O$15,0,$DO87,$B$8,1),OFFSET($M$15,0,0,$B$8,1))=EX$14))   /   SUM(OFFSET($BO$15,0,0,$B$14,1)) + $B$18/($B$19*$B$19*($DN87&lt;&gt;$DO87) + $B$19*($DN87=$DO87))</f>
        <v>3.7037037037037035E-4</v>
      </c>
      <c r="EY87" s="10" cm="1">
        <f t="array" aca="1" ref="EY87" ca="1">(1-$B$18)*SUMPRODUCT(OFFSET($BO$15,0,0,$B$14,1), 1*(_xlfn._xlws.FILTER(OFFSET($O$15,0,$DN87,$B$8,1),OFFSET($M$15,0,0,$B$8,1))=EY$13), 1*(_xlfn._xlws.FILTER(OFFSET($O$15,0,$DO87,$B$8,1),OFFSET($M$15,0,0,$B$8,1))=EY$14))   /   SUM(OFFSET($BO$15,0,0,$B$14,1)) + $B$18/($B$19*$B$19*($DN87&lt;&gt;$DO87) + $B$19*($DN87=$DO87))</f>
        <v>3.7037037037037035E-4</v>
      </c>
      <c r="EZ87" s="10" cm="1">
        <f t="array" aca="1" ref="EZ87" ca="1">(1-$B$18)*SUMPRODUCT(OFFSET($BO$15,0,0,$B$14,1), 1*(_xlfn._xlws.FILTER(OFFSET($O$15,0,$DN87,$B$8,1),OFFSET($M$15,0,0,$B$8,1))=EZ$13), 1*(_xlfn._xlws.FILTER(OFFSET($O$15,0,$DO87,$B$8,1),OFFSET($M$15,0,0,$B$8,1))=EZ$14))   /   SUM(OFFSET($BO$15,0,0,$B$14,1)) + $B$18/($B$19*$B$19*($DN87&lt;&gt;$DO87) + $B$19*($DN87=$DO87))</f>
        <v>3.7037037037037035E-4</v>
      </c>
      <c r="FA87" s="10" cm="1">
        <f t="array" aca="1" ref="FA87" ca="1">(1-$B$18)*SUMPRODUCT(OFFSET($BO$15,0,0,$B$14,1), 1*(_xlfn._xlws.FILTER(OFFSET($O$15,0,$DN87,$B$8,1),OFFSET($M$15,0,0,$B$8,1))=FA$13), 1*(_xlfn._xlws.FILTER(OFFSET($O$15,0,$DO87,$B$8,1),OFFSET($M$15,0,0,$B$8,1))=FA$14))   /   SUM(OFFSET($BO$15,0,0,$B$14,1)) + $B$18/($B$19*$B$19*($DN87&lt;&gt;$DO87) + $B$19*($DN87=$DO87))</f>
        <v>3.7037037037037035E-4</v>
      </c>
      <c r="FB87" s="10" cm="1">
        <f t="array" aca="1" ref="FB87" ca="1">(1-$B$18)*SUMPRODUCT(OFFSET($BO$15,0,0,$B$14,1), 1*(_xlfn._xlws.FILTER(OFFSET($O$15,0,$DN87,$B$8,1),OFFSET($M$15,0,0,$B$8,1))=FB$13), 1*(_xlfn._xlws.FILTER(OFFSET($O$15,0,$DO87,$B$8,1),OFFSET($M$15,0,0,$B$8,1))=FB$14))   /   SUM(OFFSET($BO$15,0,0,$B$14,1)) + $B$18/($B$19*$B$19*($DN87&lt;&gt;$DO87) + $B$19*($DN87=$DO87))</f>
        <v>3.7037037037037035E-4</v>
      </c>
      <c r="FC87" s="10" cm="1">
        <f t="array" aca="1" ref="FC87" ca="1">(1-$B$18)*SUMPRODUCT(OFFSET($BO$15,0,0,$B$14,1), 1*(_xlfn._xlws.FILTER(OFFSET($O$15,0,$DN87,$B$8,1),OFFSET($M$15,0,0,$B$8,1))=FC$13), 1*(_xlfn._xlws.FILTER(OFFSET($O$15,0,$DO87,$B$8,1),OFFSET($M$15,0,0,$B$8,1))=FC$14))   /   SUM(OFFSET($BO$15,0,0,$B$14,1)) + $B$18/($B$19*$B$19*($DN87&lt;&gt;$DO87) + $B$19*($DN87=$DO87))</f>
        <v>3.7037037037037035E-4</v>
      </c>
      <c r="FD87" s="10" cm="1">
        <f t="array" aca="1" ref="FD87" ca="1">(1-$B$18)*SUMPRODUCT(OFFSET($BO$15,0,0,$B$14,1), 1*(_xlfn._xlws.FILTER(OFFSET($O$15,0,$DN87,$B$8,1),OFFSET($M$15,0,0,$B$8,1))=FD$13), 1*(_xlfn._xlws.FILTER(OFFSET($O$15,0,$DO87,$B$8,1),OFFSET($M$15,0,0,$B$8,1))=FD$14))   /   SUM(OFFSET($BO$15,0,0,$B$14,1)) + $B$18/($B$19*$B$19*($DN87&lt;&gt;$DO87) + $B$19*($DN87=$DO87))</f>
        <v>3.7037037037037035E-4</v>
      </c>
      <c r="FE87" s="10" cm="1">
        <f t="array" aca="1" ref="FE87" ca="1">(1-$B$18)*SUMPRODUCT(OFFSET($BO$15,0,0,$B$14,1), 1*(_xlfn._xlws.FILTER(OFFSET($O$15,0,$DN87,$B$8,1),OFFSET($M$15,0,0,$B$8,1))=FE$13), 1*(_xlfn._xlws.FILTER(OFFSET($O$15,0,$DO87,$B$8,1),OFFSET($M$15,0,0,$B$8,1))=FE$14))   /   SUM(OFFSET($BO$15,0,0,$B$14,1)) + $B$18/($B$19*$B$19*($DN87&lt;&gt;$DO87) + $B$19*($DN87=$DO87))</f>
        <v>3.7037037037037035E-4</v>
      </c>
      <c r="FF87" s="10" cm="1">
        <f t="array" aca="1" ref="FF87" ca="1">(1-$B$18)*SUMPRODUCT(OFFSET($BO$15,0,0,$B$14,1), 1*(_xlfn._xlws.FILTER(OFFSET($O$15,0,$DN87,$B$8,1),OFFSET($M$15,0,0,$B$8,1))=FF$13), 1*(_xlfn._xlws.FILTER(OFFSET($O$15,0,$DO87,$B$8,1),OFFSET($M$15,0,0,$B$8,1))=FF$14))   /   SUM(OFFSET($BO$15,0,0,$B$14,1)) + $B$18/($B$19*$B$19*($DN87&lt;&gt;$DO87) + $B$19*($DN87=$DO87))</f>
        <v>3.7037037037037035E-4</v>
      </c>
      <c r="FG87" s="10" cm="1">
        <f t="array" aca="1" ref="FG87" ca="1">(1-$B$18)*SUMPRODUCT(OFFSET($BO$15,0,0,$B$14,1), 1*(_xlfn._xlws.FILTER(OFFSET($O$15,0,$DN87,$B$8,1),OFFSET($M$15,0,0,$B$8,1))=FG$13), 1*(_xlfn._xlws.FILTER(OFFSET($O$15,0,$DO87,$B$8,1),OFFSET($M$15,0,0,$B$8,1))=FG$14))   /   SUM(OFFSET($BO$15,0,0,$B$14,1)) + $B$18/($B$19*$B$19*($DN87&lt;&gt;$DO87) + $B$19*($DN87=$DO87))</f>
        <v>3.7037037037037035E-4</v>
      </c>
      <c r="FH87" s="10" cm="1">
        <f t="array" aca="1" ref="FH87" ca="1">(1-$B$18)*SUMPRODUCT(OFFSET($BO$15,0,0,$B$14,1), 1*(_xlfn._xlws.FILTER(OFFSET($O$15,0,$DN87,$B$8,1),OFFSET($M$15,0,0,$B$8,1))=FH$13), 1*(_xlfn._xlws.FILTER(OFFSET($O$15,0,$DO87,$B$8,1),OFFSET($M$15,0,0,$B$8,1))=FH$14))   /   SUM(OFFSET($BO$15,0,0,$B$14,1)) + $B$18/($B$19*$B$19*($DN87&lt;&gt;$DO87) + $B$19*($DN87=$DO87))</f>
        <v>3.7037037037037035E-4</v>
      </c>
      <c r="FI87" s="10" cm="1">
        <f t="array" aca="1" ref="FI87" ca="1">(1-$B$18)*SUMPRODUCT(OFFSET($BO$15,0,0,$B$14,1), 1*(_xlfn._xlws.FILTER(OFFSET($O$15,0,$DN87,$B$8,1),OFFSET($M$15,0,0,$B$8,1))=FI$13), 1*(_xlfn._xlws.FILTER(OFFSET($O$15,0,$DO87,$B$8,1),OFFSET($M$15,0,0,$B$8,1))=FI$14))   /   SUM(OFFSET($BO$15,0,0,$B$14,1)) + $B$18/($B$19*$B$19*($DN87&lt;&gt;$DO87) + $B$19*($DN87=$DO87))</f>
        <v>3.7037037037037035E-4</v>
      </c>
      <c r="FJ87" s="10" cm="1">
        <f t="array" aca="1" ref="FJ87" ca="1">(1-$B$18)*SUMPRODUCT(OFFSET($BO$15,0,0,$B$14,1), 1*(_xlfn._xlws.FILTER(OFFSET($O$15,0,$DN87,$B$8,1),OFFSET($M$15,0,0,$B$8,1))=FJ$13), 1*(_xlfn._xlws.FILTER(OFFSET($O$15,0,$DO87,$B$8,1),OFFSET($M$15,0,0,$B$8,1))=FJ$14))   /   SUM(OFFSET($BO$15,0,0,$B$14,1)) + $B$18/($B$19*$B$19*($DN87&lt;&gt;$DO87) + $B$19*($DN87=$DO87))</f>
        <v>3.7037037037037035E-4</v>
      </c>
      <c r="FK87" s="10" cm="1">
        <f t="array" aca="1" ref="FK87" ca="1">(1-$B$18)*SUMPRODUCT(OFFSET($BO$15,0,0,$B$14,1), 1*(_xlfn._xlws.FILTER(OFFSET($O$15,0,$DN87,$B$8,1),OFFSET($M$15,0,0,$B$8,1))=FK$13), 1*(_xlfn._xlws.FILTER(OFFSET($O$15,0,$DO87,$B$8,1),OFFSET($M$15,0,0,$B$8,1))=FK$14))   /   SUM(OFFSET($BO$15,0,0,$B$14,1)) + $B$18/($B$19*$B$19*($DN87&lt;&gt;$DO87) + $B$19*($DN87=$DO87))</f>
        <v>3.7037037037037035E-4</v>
      </c>
      <c r="FL87" s="10" cm="1">
        <f t="array" aca="1" ref="FL87" ca="1">(1-$B$18)*SUMPRODUCT(OFFSET($BO$15,0,0,$B$14,1), 1*(_xlfn._xlws.FILTER(OFFSET($O$15,0,$DN87,$B$8,1),OFFSET($M$15,0,0,$B$8,1))=FL$13), 1*(_xlfn._xlws.FILTER(OFFSET($O$15,0,$DO87,$B$8,1),OFFSET($M$15,0,0,$B$8,1))=FL$14))   /   SUM(OFFSET($BO$15,0,0,$B$14,1)) + $B$18/($B$19*$B$19*($DN87&lt;&gt;$DO87) + $B$19*($DN87=$DO87))</f>
        <v>3.7037037037037035E-4</v>
      </c>
      <c r="FM87" s="10" cm="1">
        <f t="array" aca="1" ref="FM87" ca="1">(1-$B$18)*SUMPRODUCT(OFFSET($BO$15,0,0,$B$14,1), 1*(_xlfn._xlws.FILTER(OFFSET($O$15,0,$DN87,$B$8,1),OFFSET($M$15,0,0,$B$8,1))=FM$13), 1*(_xlfn._xlws.FILTER(OFFSET($O$15,0,$DO87,$B$8,1),OFFSET($M$15,0,0,$B$8,1))=FM$14))   /   SUM(OFFSET($BO$15,0,0,$B$14,1)) + $B$18/($B$19*$B$19*($DN87&lt;&gt;$DO87) + $B$19*($DN87=$DO87))</f>
        <v>3.7037037037037035E-4</v>
      </c>
      <c r="FN87" s="10" cm="1">
        <f t="array" aca="1" ref="FN87" ca="1">(1-$B$18)*SUMPRODUCT(OFFSET($BO$15,0,0,$B$14,1), 1*(_xlfn._xlws.FILTER(OFFSET($O$15,0,$DN87,$B$8,1),OFFSET($M$15,0,0,$B$8,1))=FN$13), 1*(_xlfn._xlws.FILTER(OFFSET($O$15,0,$DO87,$B$8,1),OFFSET($M$15,0,0,$B$8,1))=FN$14))   /   SUM(OFFSET($BO$15,0,0,$B$14,1)) + $B$18/($B$19*$B$19*($DN87&lt;&gt;$DO87) + $B$19*($DN87=$DO87))</f>
        <v>3.7037037037037035E-4</v>
      </c>
      <c r="FO87" s="10" cm="1">
        <f t="array" aca="1" ref="FO87" ca="1">(1-$B$18)*SUMPRODUCT(OFFSET($BO$15,0,0,$B$14,1), 1*(_xlfn._xlws.FILTER(OFFSET($O$15,0,$DN87,$B$8,1),OFFSET($M$15,0,0,$B$8,1))=FO$13), 1*(_xlfn._xlws.FILTER(OFFSET($O$15,0,$DO87,$B$8,1),OFFSET($M$15,0,0,$B$8,1))=FO$14))   /   SUM(OFFSET($BO$15,0,0,$B$14,1)) + $B$18/($B$19*$B$19*($DN87&lt;&gt;$DO87) + $B$19*($DN87=$DO87))</f>
        <v>0.97037037037037033</v>
      </c>
      <c r="FP87" s="10" cm="1">
        <f t="array" aca="1" ref="FP87" ca="1">(1-$B$18)*SUMPRODUCT(OFFSET($BO$15,0,0,$B$14,1), 1*(_xlfn._xlws.FILTER(OFFSET($O$15,0,$DN87,$B$8,1),OFFSET($M$15,0,0,$B$8,1))=FP$13), 1*(_xlfn._xlws.FILTER(OFFSET($O$15,0,$DO87,$B$8,1),OFFSET($M$15,0,0,$B$8,1))=FP$14))   /   SUM(OFFSET($BO$15,0,0,$B$14,1)) + $B$18/($B$19*$B$19*($DN87&lt;&gt;$DO87) + $B$19*($DN87=$DO87))</f>
        <v>3.7037037037037035E-4</v>
      </c>
      <c r="FQ87" s="10" cm="1">
        <f t="array" aca="1" ref="FQ87" ca="1">(1-$B$18)*SUMPRODUCT(OFFSET($BO$15,0,0,$B$14,1), 1*(_xlfn._xlws.FILTER(OFFSET($O$15,0,$DN87,$B$8,1),OFFSET($M$15,0,0,$B$8,1))=FQ$13), 1*(_xlfn._xlws.FILTER(OFFSET($O$15,0,$DO87,$B$8,1),OFFSET($M$15,0,0,$B$8,1))=FQ$14))   /   SUM(OFFSET($BO$15,0,0,$B$14,1)) + $B$18/($B$19*$B$19*($DN87&lt;&gt;$DO87) + $B$19*($DN87=$DO87))</f>
        <v>3.7037037037037035E-4</v>
      </c>
      <c r="FR87" s="10" cm="1">
        <f t="array" aca="1" ref="FR87" ca="1">(1-$B$18)*SUMPRODUCT(OFFSET($BO$15,0,0,$B$14,1), 1*(_xlfn._xlws.FILTER(OFFSET($O$15,0,$DN87,$B$8,1),OFFSET($M$15,0,0,$B$8,1))=FR$13), 1*(_xlfn._xlws.FILTER(OFFSET($O$15,0,$DO87,$B$8,1),OFFSET($M$15,0,0,$B$8,1))=FR$14))   /   SUM(OFFSET($BO$15,0,0,$B$14,1)) + $B$18/($B$19*$B$19*($DN87&lt;&gt;$DO87) + $B$19*($DN87=$DO87))</f>
        <v>3.7037037037037035E-4</v>
      </c>
      <c r="FS87" s="10" cm="1">
        <f t="array" aca="1" ref="FS87" ca="1">(1-$B$18)*SUMPRODUCT(OFFSET($BO$15,0,0,$B$14,1), 1*(_xlfn._xlws.FILTER(OFFSET($O$15,0,$DN87,$B$8,1),OFFSET($M$15,0,0,$B$8,1))=FS$13), 1*(_xlfn._xlws.FILTER(OFFSET($O$15,0,$DO87,$B$8,1),OFFSET($M$15,0,0,$B$8,1))=FS$14))   /   SUM(OFFSET($BO$15,0,0,$B$14,1)) + $B$18/($B$19*$B$19*($DN87&lt;&gt;$DO87) + $B$19*($DN87=$DO87))</f>
        <v>3.7037037037037035E-4</v>
      </c>
      <c r="FT87" s="10" cm="1">
        <f t="array" aca="1" ref="FT87" ca="1">(1-$B$18)*SUMPRODUCT(OFFSET($BO$15,0,0,$B$14,1), 1*(_xlfn._xlws.FILTER(OFFSET($O$15,0,$DN87,$B$8,1),OFFSET($M$15,0,0,$B$8,1))=FT$13), 1*(_xlfn._xlws.FILTER(OFFSET($O$15,0,$DO87,$B$8,1),OFFSET($M$15,0,0,$B$8,1))=FT$14))   /   SUM(OFFSET($BO$15,0,0,$B$14,1)) + $B$18/($B$19*$B$19*($DN87&lt;&gt;$DO87) + $B$19*($DN87=$DO87))</f>
        <v>3.7037037037037035E-4</v>
      </c>
      <c r="FU87" s="10" cm="1">
        <f t="array" aca="1" ref="FU87" ca="1">(1-$B$18)*SUMPRODUCT(OFFSET($BO$15,0,0,$B$14,1), 1*(_xlfn._xlws.FILTER(OFFSET($O$15,0,$DN87,$B$8,1),OFFSET($M$15,0,0,$B$8,1))=FU$13), 1*(_xlfn._xlws.FILTER(OFFSET($O$15,0,$DO87,$B$8,1),OFFSET($M$15,0,0,$B$8,1))=FU$14))   /   SUM(OFFSET($BO$15,0,0,$B$14,1)) + $B$18/($B$19*$B$19*($DN87&lt;&gt;$DO87) + $B$19*($DN87=$DO87))</f>
        <v>3.7037037037037035E-4</v>
      </c>
      <c r="FV87" s="10" cm="1">
        <f t="array" aca="1" ref="FV87" ca="1">(1-$B$18)*SUMPRODUCT(OFFSET($BO$15,0,0,$B$14,1), 1*(_xlfn._xlws.FILTER(OFFSET($O$15,0,$DN87,$B$8,1),OFFSET($M$15,0,0,$B$8,1))=FV$13), 1*(_xlfn._xlws.FILTER(OFFSET($O$15,0,$DO87,$B$8,1),OFFSET($M$15,0,0,$B$8,1))=FV$14))   /   SUM(OFFSET($BO$15,0,0,$B$14,1)) + $B$18/($B$19*$B$19*($DN87&lt;&gt;$DO87) + $B$19*($DN87=$DO87))</f>
        <v>3.7037037037037035E-4</v>
      </c>
      <c r="FW87" s="10" cm="1">
        <f t="array" aca="1" ref="FW87" ca="1">(1-$B$18)*SUMPRODUCT(OFFSET($BO$15,0,0,$B$14,1), 1*(_xlfn._xlws.FILTER(OFFSET($O$15,0,$DN87,$B$8,1),OFFSET($M$15,0,0,$B$8,1))=FW$13), 1*(_xlfn._xlws.FILTER(OFFSET($O$15,0,$DO87,$B$8,1),OFFSET($M$15,0,0,$B$8,1))=FW$14))   /   SUM(OFFSET($BO$15,0,0,$B$14,1)) + $B$18/($B$19*$B$19*($DN87&lt;&gt;$DO87) + $B$19*($DN87=$DO87))</f>
        <v>3.7037037037037035E-4</v>
      </c>
      <c r="FX87" s="10" cm="1">
        <f t="array" aca="1" ref="FX87" ca="1">(1-$B$18)*SUMPRODUCT(OFFSET($BO$15,0,0,$B$14,1), 1*(_xlfn._xlws.FILTER(OFFSET($O$15,0,$DN87,$B$8,1),OFFSET($M$15,0,0,$B$8,1))=FX$13), 1*(_xlfn._xlws.FILTER(OFFSET($O$15,0,$DO87,$B$8,1),OFFSET($M$15,0,0,$B$8,1))=FX$14))   /   SUM(OFFSET($BO$15,0,0,$B$14,1)) + $B$18/($B$19*$B$19*($DN87&lt;&gt;$DO87) + $B$19*($DN87=$DO87))</f>
        <v>3.7037037037037035E-4</v>
      </c>
      <c r="FY87" s="10" cm="1">
        <f t="array" aca="1" ref="FY87" ca="1">(1-$B$18)*SUMPRODUCT(OFFSET($BO$15,0,0,$B$14,1), 1*(_xlfn._xlws.FILTER(OFFSET($O$15,0,$DN87,$B$8,1),OFFSET($M$15,0,0,$B$8,1))=FY$13), 1*(_xlfn._xlws.FILTER(OFFSET($O$15,0,$DO87,$B$8,1),OFFSET($M$15,0,0,$B$8,1))=FY$14))   /   SUM(OFFSET($BO$15,0,0,$B$14,1)) + $B$18/($B$19*$B$19*($DN87&lt;&gt;$DO87) + $B$19*($DN87=$DO87))</f>
        <v>3.7037037037037035E-4</v>
      </c>
      <c r="FZ87" s="10" cm="1">
        <f t="array" aca="1" ref="FZ87" ca="1">(1-$B$18)*SUMPRODUCT(OFFSET($BO$15,0,0,$B$14,1), 1*(_xlfn._xlws.FILTER(OFFSET($O$15,0,$DN87,$B$8,1),OFFSET($M$15,0,0,$B$8,1))=FZ$13), 1*(_xlfn._xlws.FILTER(OFFSET($O$15,0,$DO87,$B$8,1),OFFSET($M$15,0,0,$B$8,1))=FZ$14))   /   SUM(OFFSET($BO$15,0,0,$B$14,1)) + $B$18/($B$19*$B$19*($DN87&lt;&gt;$DO87) + $B$19*($DN87=$DO87))</f>
        <v>3.7037037037037035E-4</v>
      </c>
      <c r="GA87" s="10" cm="1">
        <f t="array" aca="1" ref="GA87" ca="1">(1-$B$18)*SUMPRODUCT(OFFSET($BO$15,0,0,$B$14,1), 1*(_xlfn._xlws.FILTER(OFFSET($O$15,0,$DN87,$B$8,1),OFFSET($M$15,0,0,$B$8,1))=GA$13), 1*(_xlfn._xlws.FILTER(OFFSET($O$15,0,$DO87,$B$8,1),OFFSET($M$15,0,0,$B$8,1))=GA$14))   /   SUM(OFFSET($BO$15,0,0,$B$14,1)) + $B$18/($B$19*$B$19*($DN87&lt;&gt;$DO87) + $B$19*($DN87=$DO87))</f>
        <v>3.7037037037037035E-4</v>
      </c>
    </row>
    <row r="88" spans="7:183" x14ac:dyDescent="0.2">
      <c r="H88" s="2"/>
      <c r="DN88" cm="1">
        <f t="array" aca="1" ref="DN88" ca="1">INDEX(_xlfn.ANCHORARRAY($CP$15), 1 + INT((ROWS($DO$15:$DO88) - 1) / ROWS(_xlfn.ANCHORARRAY($CP$15))))</f>
        <v>3</v>
      </c>
      <c r="DO88" cm="1">
        <f t="array" aca="1" ref="DO88" ca="1">INDEX(_xlfn.ANCHORARRAY($CP$15),1+MOD(ROWS($DO$15:$DO88)-1,ROWS(_xlfn.ANCHORARRAY($CP$15))))</f>
        <v>19</v>
      </c>
      <c r="DP88" s="10" cm="1">
        <f t="array" aca="1" ref="DP88" ca="1">(1-$B$18)*SUMPRODUCT(OFFSET($BO$15,0,0,$B$14,1), 1*(_xlfn._xlws.FILTER(OFFSET($O$15,0,$DN88,$B$8,1),OFFSET($M$15,0,0,$B$8,1))=DP$13), 1*(_xlfn._xlws.FILTER(OFFSET($O$15,0,$DO88,$B$8,1),OFFSET($M$15,0,0,$B$8,1))=DP$14))   /   SUM(OFFSET($BO$15,0,0,$B$14,1)) + $B$18/($B$19*$B$19*($DN88&lt;&gt;$DO88) + $B$19*($DN88=$DO88))</f>
        <v>3.7037037037037035E-4</v>
      </c>
      <c r="DQ88" s="10" cm="1">
        <f t="array" aca="1" ref="DQ88" ca="1">(1-$B$18)*SUMPRODUCT(OFFSET($BO$15,0,0,$B$14,1), 1*(_xlfn._xlws.FILTER(OFFSET($O$15,0,$DN88,$B$8,1),OFFSET($M$15,0,0,$B$8,1))=DQ$13), 1*(_xlfn._xlws.FILTER(OFFSET($O$15,0,$DO88,$B$8,1),OFFSET($M$15,0,0,$B$8,1))=DQ$14))   /   SUM(OFFSET($BO$15,0,0,$B$14,1)) + $B$18/($B$19*$B$19*($DN88&lt;&gt;$DO88) + $B$19*($DN88=$DO88))</f>
        <v>3.7037037037037035E-4</v>
      </c>
      <c r="DR88" s="10" cm="1">
        <f t="array" aca="1" ref="DR88" ca="1">(1-$B$18)*SUMPRODUCT(OFFSET($BO$15,0,0,$B$14,1), 1*(_xlfn._xlws.FILTER(OFFSET($O$15,0,$DN88,$B$8,1),OFFSET($M$15,0,0,$B$8,1))=DR$13), 1*(_xlfn._xlws.FILTER(OFFSET($O$15,0,$DO88,$B$8,1),OFFSET($M$15,0,0,$B$8,1))=DR$14))   /   SUM(OFFSET($BO$15,0,0,$B$14,1)) + $B$18/($B$19*$B$19*($DN88&lt;&gt;$DO88) + $B$19*($DN88=$DO88))</f>
        <v>3.7037037037037035E-4</v>
      </c>
      <c r="DS88" s="10" cm="1">
        <f t="array" aca="1" ref="DS88" ca="1">(1-$B$18)*SUMPRODUCT(OFFSET($BO$15,0,0,$B$14,1), 1*(_xlfn._xlws.FILTER(OFFSET($O$15,0,$DN88,$B$8,1),OFFSET($M$15,0,0,$B$8,1))=DS$13), 1*(_xlfn._xlws.FILTER(OFFSET($O$15,0,$DO88,$B$8,1),OFFSET($M$15,0,0,$B$8,1))=DS$14))   /   SUM(OFFSET($BO$15,0,0,$B$14,1)) + $B$18/($B$19*$B$19*($DN88&lt;&gt;$DO88) + $B$19*($DN88=$DO88))</f>
        <v>3.7037037037037035E-4</v>
      </c>
      <c r="DT88" s="10" cm="1">
        <f t="array" aca="1" ref="DT88" ca="1">(1-$B$18)*SUMPRODUCT(OFFSET($BO$15,0,0,$B$14,1), 1*(_xlfn._xlws.FILTER(OFFSET($O$15,0,$DN88,$B$8,1),OFFSET($M$15,0,0,$B$8,1))=DT$13), 1*(_xlfn._xlws.FILTER(OFFSET($O$15,0,$DO88,$B$8,1),OFFSET($M$15,0,0,$B$8,1))=DT$14))   /   SUM(OFFSET($BO$15,0,0,$B$14,1)) + $B$18/($B$19*$B$19*($DN88&lt;&gt;$DO88) + $B$19*($DN88=$DO88))</f>
        <v>3.7037037037037035E-4</v>
      </c>
      <c r="DU88" s="10" cm="1">
        <f t="array" aca="1" ref="DU88" ca="1">(1-$B$18)*SUMPRODUCT(OFFSET($BO$15,0,0,$B$14,1), 1*(_xlfn._xlws.FILTER(OFFSET($O$15,0,$DN88,$B$8,1),OFFSET($M$15,0,0,$B$8,1))=DU$13), 1*(_xlfn._xlws.FILTER(OFFSET($O$15,0,$DO88,$B$8,1),OFFSET($M$15,0,0,$B$8,1))=DU$14))   /   SUM(OFFSET($BO$15,0,0,$B$14,1)) + $B$18/($B$19*$B$19*($DN88&lt;&gt;$DO88) + $B$19*($DN88=$DO88))</f>
        <v>3.7037037037037035E-4</v>
      </c>
      <c r="DV88" s="10" cm="1">
        <f t="array" aca="1" ref="DV88" ca="1">(1-$B$18)*SUMPRODUCT(OFFSET($BO$15,0,0,$B$14,1), 1*(_xlfn._xlws.FILTER(OFFSET($O$15,0,$DN88,$B$8,1),OFFSET($M$15,0,0,$B$8,1))=DV$13), 1*(_xlfn._xlws.FILTER(OFFSET($O$15,0,$DO88,$B$8,1),OFFSET($M$15,0,0,$B$8,1))=DV$14))   /   SUM(OFFSET($BO$15,0,0,$B$14,1)) + $B$18/($B$19*$B$19*($DN88&lt;&gt;$DO88) + $B$19*($DN88=$DO88))</f>
        <v>3.7037037037037035E-4</v>
      </c>
      <c r="DW88" s="10" cm="1">
        <f t="array" aca="1" ref="DW88" ca="1">(1-$B$18)*SUMPRODUCT(OFFSET($BO$15,0,0,$B$14,1), 1*(_xlfn._xlws.FILTER(OFFSET($O$15,0,$DN88,$B$8,1),OFFSET($M$15,0,0,$B$8,1))=DW$13), 1*(_xlfn._xlws.FILTER(OFFSET($O$15,0,$DO88,$B$8,1),OFFSET($M$15,0,0,$B$8,1))=DW$14))   /   SUM(OFFSET($BO$15,0,0,$B$14,1)) + $B$18/($B$19*$B$19*($DN88&lt;&gt;$DO88) + $B$19*($DN88=$DO88))</f>
        <v>3.7037037037037035E-4</v>
      </c>
      <c r="DX88" s="10" cm="1">
        <f t="array" aca="1" ref="DX88" ca="1">(1-$B$18)*SUMPRODUCT(OFFSET($BO$15,0,0,$B$14,1), 1*(_xlfn._xlws.FILTER(OFFSET($O$15,0,$DN88,$B$8,1),OFFSET($M$15,0,0,$B$8,1))=DX$13), 1*(_xlfn._xlws.FILTER(OFFSET($O$15,0,$DO88,$B$8,1),OFFSET($M$15,0,0,$B$8,1))=DX$14))   /   SUM(OFFSET($BO$15,0,0,$B$14,1)) + $B$18/($B$19*$B$19*($DN88&lt;&gt;$DO88) + $B$19*($DN88=$DO88))</f>
        <v>3.7037037037037035E-4</v>
      </c>
      <c r="DY88" s="10" cm="1">
        <f t="array" aca="1" ref="DY88" ca="1">(1-$B$18)*SUMPRODUCT(OFFSET($BO$15,0,0,$B$14,1), 1*(_xlfn._xlws.FILTER(OFFSET($O$15,0,$DN88,$B$8,1),OFFSET($M$15,0,0,$B$8,1))=DY$13), 1*(_xlfn._xlws.FILTER(OFFSET($O$15,0,$DO88,$B$8,1),OFFSET($M$15,0,0,$B$8,1))=DY$14))   /   SUM(OFFSET($BO$15,0,0,$B$14,1)) + $B$18/($B$19*$B$19*($DN88&lt;&gt;$DO88) + $B$19*($DN88=$DO88))</f>
        <v>3.7037037037037035E-4</v>
      </c>
      <c r="DZ88" s="10" cm="1">
        <f t="array" aca="1" ref="DZ88" ca="1">(1-$B$18)*SUMPRODUCT(OFFSET($BO$15,0,0,$B$14,1), 1*(_xlfn._xlws.FILTER(OFFSET($O$15,0,$DN88,$B$8,1),OFFSET($M$15,0,0,$B$8,1))=DZ$13), 1*(_xlfn._xlws.FILTER(OFFSET($O$15,0,$DO88,$B$8,1),OFFSET($M$15,0,0,$B$8,1))=DZ$14))   /   SUM(OFFSET($BO$15,0,0,$B$14,1)) + $B$18/($B$19*$B$19*($DN88&lt;&gt;$DO88) + $B$19*($DN88=$DO88))</f>
        <v>3.7037037037037035E-4</v>
      </c>
      <c r="EA88" s="10" cm="1">
        <f t="array" aca="1" ref="EA88" ca="1">(1-$B$18)*SUMPRODUCT(OFFSET($BO$15,0,0,$B$14,1), 1*(_xlfn._xlws.FILTER(OFFSET($O$15,0,$DN88,$B$8,1),OFFSET($M$15,0,0,$B$8,1))=EA$13), 1*(_xlfn._xlws.FILTER(OFFSET($O$15,0,$DO88,$B$8,1),OFFSET($M$15,0,0,$B$8,1))=EA$14))   /   SUM(OFFSET($BO$15,0,0,$B$14,1)) + $B$18/($B$19*$B$19*($DN88&lt;&gt;$DO88) + $B$19*($DN88=$DO88))</f>
        <v>3.7037037037037035E-4</v>
      </c>
      <c r="EB88" s="10" cm="1">
        <f t="array" aca="1" ref="EB88" ca="1">(1-$B$18)*SUMPRODUCT(OFFSET($BO$15,0,0,$B$14,1), 1*(_xlfn._xlws.FILTER(OFFSET($O$15,0,$DN88,$B$8,1),OFFSET($M$15,0,0,$B$8,1))=EB$13), 1*(_xlfn._xlws.FILTER(OFFSET($O$15,0,$DO88,$B$8,1),OFFSET($M$15,0,0,$B$8,1))=EB$14))   /   SUM(OFFSET($BO$15,0,0,$B$14,1)) + $B$18/($B$19*$B$19*($DN88&lt;&gt;$DO88) + $B$19*($DN88=$DO88))</f>
        <v>3.7037037037037035E-4</v>
      </c>
      <c r="EC88" s="10" cm="1">
        <f t="array" aca="1" ref="EC88" ca="1">(1-$B$18)*SUMPRODUCT(OFFSET($BO$15,0,0,$B$14,1), 1*(_xlfn._xlws.FILTER(OFFSET($O$15,0,$DN88,$B$8,1),OFFSET($M$15,0,0,$B$8,1))=EC$13), 1*(_xlfn._xlws.FILTER(OFFSET($O$15,0,$DO88,$B$8,1),OFFSET($M$15,0,0,$B$8,1))=EC$14))   /   SUM(OFFSET($BO$15,0,0,$B$14,1)) + $B$18/($B$19*$B$19*($DN88&lt;&gt;$DO88) + $B$19*($DN88=$DO88))</f>
        <v>3.7037037037037035E-4</v>
      </c>
      <c r="ED88" s="10" cm="1">
        <f t="array" aca="1" ref="ED88" ca="1">(1-$B$18)*SUMPRODUCT(OFFSET($BO$15,0,0,$B$14,1), 1*(_xlfn._xlws.FILTER(OFFSET($O$15,0,$DN88,$B$8,1),OFFSET($M$15,0,0,$B$8,1))=ED$13), 1*(_xlfn._xlws.FILTER(OFFSET($O$15,0,$DO88,$B$8,1),OFFSET($M$15,0,0,$B$8,1))=ED$14))   /   SUM(OFFSET($BO$15,0,0,$B$14,1)) + $B$18/($B$19*$B$19*($DN88&lt;&gt;$DO88) + $B$19*($DN88=$DO88))</f>
        <v>3.7037037037037035E-4</v>
      </c>
      <c r="EE88" s="10" cm="1">
        <f t="array" aca="1" ref="EE88" ca="1">(1-$B$18)*SUMPRODUCT(OFFSET($BO$15,0,0,$B$14,1), 1*(_xlfn._xlws.FILTER(OFFSET($O$15,0,$DN88,$B$8,1),OFFSET($M$15,0,0,$B$8,1))=EE$13), 1*(_xlfn._xlws.FILTER(OFFSET($O$15,0,$DO88,$B$8,1),OFFSET($M$15,0,0,$B$8,1))=EE$14))   /   SUM(OFFSET($BO$15,0,0,$B$14,1)) + $B$18/($B$19*$B$19*($DN88&lt;&gt;$DO88) + $B$19*($DN88=$DO88))</f>
        <v>3.7037037037037035E-4</v>
      </c>
      <c r="EF88" s="10" cm="1">
        <f t="array" aca="1" ref="EF88" ca="1">(1-$B$18)*SUMPRODUCT(OFFSET($BO$15,0,0,$B$14,1), 1*(_xlfn._xlws.FILTER(OFFSET($O$15,0,$DN88,$B$8,1),OFFSET($M$15,0,0,$B$8,1))=EF$13), 1*(_xlfn._xlws.FILTER(OFFSET($O$15,0,$DO88,$B$8,1),OFFSET($M$15,0,0,$B$8,1))=EF$14))   /   SUM(OFFSET($BO$15,0,0,$B$14,1)) + $B$18/($B$19*$B$19*($DN88&lt;&gt;$DO88) + $B$19*($DN88=$DO88))</f>
        <v>3.7037037037037035E-4</v>
      </c>
      <c r="EG88" s="10" cm="1">
        <f t="array" aca="1" ref="EG88" ca="1">(1-$B$18)*SUMPRODUCT(OFFSET($BO$15,0,0,$B$14,1), 1*(_xlfn._xlws.FILTER(OFFSET($O$15,0,$DN88,$B$8,1),OFFSET($M$15,0,0,$B$8,1))=EG$13), 1*(_xlfn._xlws.FILTER(OFFSET($O$15,0,$DO88,$B$8,1),OFFSET($M$15,0,0,$B$8,1))=EG$14))   /   SUM(OFFSET($BO$15,0,0,$B$14,1)) + $B$18/($B$19*$B$19*($DN88&lt;&gt;$DO88) + $B$19*($DN88=$DO88))</f>
        <v>3.7037037037037035E-4</v>
      </c>
      <c r="EH88" s="10" cm="1">
        <f t="array" aca="1" ref="EH88" ca="1">(1-$B$18)*SUMPRODUCT(OFFSET($BO$15,0,0,$B$14,1), 1*(_xlfn._xlws.FILTER(OFFSET($O$15,0,$DN88,$B$8,1),OFFSET($M$15,0,0,$B$8,1))=EH$13), 1*(_xlfn._xlws.FILTER(OFFSET($O$15,0,$DO88,$B$8,1),OFFSET($M$15,0,0,$B$8,1))=EH$14))   /   SUM(OFFSET($BO$15,0,0,$B$14,1)) + $B$18/($B$19*$B$19*($DN88&lt;&gt;$DO88) + $B$19*($DN88=$DO88))</f>
        <v>3.7037037037037035E-4</v>
      </c>
      <c r="EI88" s="10" cm="1">
        <f t="array" aca="1" ref="EI88" ca="1">(1-$B$18)*SUMPRODUCT(OFFSET($BO$15,0,0,$B$14,1), 1*(_xlfn._xlws.FILTER(OFFSET($O$15,0,$DN88,$B$8,1),OFFSET($M$15,0,0,$B$8,1))=EI$13), 1*(_xlfn._xlws.FILTER(OFFSET($O$15,0,$DO88,$B$8,1),OFFSET($M$15,0,0,$B$8,1))=EI$14))   /   SUM(OFFSET($BO$15,0,0,$B$14,1)) + $B$18/($B$19*$B$19*($DN88&lt;&gt;$DO88) + $B$19*($DN88=$DO88))</f>
        <v>3.7037037037037035E-4</v>
      </c>
      <c r="EJ88" s="10" cm="1">
        <f t="array" aca="1" ref="EJ88" ca="1">(1-$B$18)*SUMPRODUCT(OFFSET($BO$15,0,0,$B$14,1), 1*(_xlfn._xlws.FILTER(OFFSET($O$15,0,$DN88,$B$8,1),OFFSET($M$15,0,0,$B$8,1))=EJ$13), 1*(_xlfn._xlws.FILTER(OFFSET($O$15,0,$DO88,$B$8,1),OFFSET($M$15,0,0,$B$8,1))=EJ$14))   /   SUM(OFFSET($BO$15,0,0,$B$14,1)) + $B$18/($B$19*$B$19*($DN88&lt;&gt;$DO88) + $B$19*($DN88=$DO88))</f>
        <v>3.7037037037037035E-4</v>
      </c>
      <c r="EK88" s="10" cm="1">
        <f t="array" aca="1" ref="EK88" ca="1">(1-$B$18)*SUMPRODUCT(OFFSET($BO$15,0,0,$B$14,1), 1*(_xlfn._xlws.FILTER(OFFSET($O$15,0,$DN88,$B$8,1),OFFSET($M$15,0,0,$B$8,1))=EK$13), 1*(_xlfn._xlws.FILTER(OFFSET($O$15,0,$DO88,$B$8,1),OFFSET($M$15,0,0,$B$8,1))=EK$14))   /   SUM(OFFSET($BO$15,0,0,$B$14,1)) + $B$18/($B$19*$B$19*($DN88&lt;&gt;$DO88) + $B$19*($DN88=$DO88))</f>
        <v>3.7037037037037035E-4</v>
      </c>
      <c r="EL88" s="10" cm="1">
        <f t="array" aca="1" ref="EL88" ca="1">(1-$B$18)*SUMPRODUCT(OFFSET($BO$15,0,0,$B$14,1), 1*(_xlfn._xlws.FILTER(OFFSET($O$15,0,$DN88,$B$8,1),OFFSET($M$15,0,0,$B$8,1))=EL$13), 1*(_xlfn._xlws.FILTER(OFFSET($O$15,0,$DO88,$B$8,1),OFFSET($M$15,0,0,$B$8,1))=EL$14))   /   SUM(OFFSET($BO$15,0,0,$B$14,1)) + $B$18/($B$19*$B$19*($DN88&lt;&gt;$DO88) + $B$19*($DN88=$DO88))</f>
        <v>3.7037037037037035E-4</v>
      </c>
      <c r="EM88" s="10" cm="1">
        <f t="array" aca="1" ref="EM88" ca="1">(1-$B$18)*SUMPRODUCT(OFFSET($BO$15,0,0,$B$14,1), 1*(_xlfn._xlws.FILTER(OFFSET($O$15,0,$DN88,$B$8,1),OFFSET($M$15,0,0,$B$8,1))=EM$13), 1*(_xlfn._xlws.FILTER(OFFSET($O$15,0,$DO88,$B$8,1),OFFSET($M$15,0,0,$B$8,1))=EM$14))   /   SUM(OFFSET($BO$15,0,0,$B$14,1)) + $B$18/($B$19*$B$19*($DN88&lt;&gt;$DO88) + $B$19*($DN88=$DO88))</f>
        <v>3.7037037037037035E-4</v>
      </c>
      <c r="EN88" s="10" cm="1">
        <f t="array" aca="1" ref="EN88" ca="1">(1-$B$18)*SUMPRODUCT(OFFSET($BO$15,0,0,$B$14,1), 1*(_xlfn._xlws.FILTER(OFFSET($O$15,0,$DN88,$B$8,1),OFFSET($M$15,0,0,$B$8,1))=EN$13), 1*(_xlfn._xlws.FILTER(OFFSET($O$15,0,$DO88,$B$8,1),OFFSET($M$15,0,0,$B$8,1))=EN$14))   /   SUM(OFFSET($BO$15,0,0,$B$14,1)) + $B$18/($B$19*$B$19*($DN88&lt;&gt;$DO88) + $B$19*($DN88=$DO88))</f>
        <v>3.7037037037037035E-4</v>
      </c>
      <c r="EO88" s="10" cm="1">
        <f t="array" aca="1" ref="EO88" ca="1">(1-$B$18)*SUMPRODUCT(OFFSET($BO$15,0,0,$B$14,1), 1*(_xlfn._xlws.FILTER(OFFSET($O$15,0,$DN88,$B$8,1),OFFSET($M$15,0,0,$B$8,1))=EO$13), 1*(_xlfn._xlws.FILTER(OFFSET($O$15,0,$DO88,$B$8,1),OFFSET($M$15,0,0,$B$8,1))=EO$14))   /   SUM(OFFSET($BO$15,0,0,$B$14,1)) + $B$18/($B$19*$B$19*($DN88&lt;&gt;$DO88) + $B$19*($DN88=$DO88))</f>
        <v>3.7037037037037035E-4</v>
      </c>
      <c r="EP88" s="10" cm="1">
        <f t="array" aca="1" ref="EP88" ca="1">(1-$B$18)*SUMPRODUCT(OFFSET($BO$15,0,0,$B$14,1), 1*(_xlfn._xlws.FILTER(OFFSET($O$15,0,$DN88,$B$8,1),OFFSET($M$15,0,0,$B$8,1))=EP$13), 1*(_xlfn._xlws.FILTER(OFFSET($O$15,0,$DO88,$B$8,1),OFFSET($M$15,0,0,$B$8,1))=EP$14))   /   SUM(OFFSET($BO$15,0,0,$B$14,1)) + $B$18/($B$19*$B$19*($DN88&lt;&gt;$DO88) + $B$19*($DN88=$DO88))</f>
        <v>3.7037037037037035E-4</v>
      </c>
      <c r="EQ88" s="10" cm="1">
        <f t="array" aca="1" ref="EQ88" ca="1">(1-$B$18)*SUMPRODUCT(OFFSET($BO$15,0,0,$B$14,1), 1*(_xlfn._xlws.FILTER(OFFSET($O$15,0,$DN88,$B$8,1),OFFSET($M$15,0,0,$B$8,1))=EQ$13), 1*(_xlfn._xlws.FILTER(OFFSET($O$15,0,$DO88,$B$8,1),OFFSET($M$15,0,0,$B$8,1))=EQ$14))   /   SUM(OFFSET($BO$15,0,0,$B$14,1)) + $B$18/($B$19*$B$19*($DN88&lt;&gt;$DO88) + $B$19*($DN88=$DO88))</f>
        <v>3.7037037037037035E-4</v>
      </c>
      <c r="ER88" s="10" cm="1">
        <f t="array" aca="1" ref="ER88" ca="1">(1-$B$18)*SUMPRODUCT(OFFSET($BO$15,0,0,$B$14,1), 1*(_xlfn._xlws.FILTER(OFFSET($O$15,0,$DN88,$B$8,1),OFFSET($M$15,0,0,$B$8,1))=ER$13), 1*(_xlfn._xlws.FILTER(OFFSET($O$15,0,$DO88,$B$8,1),OFFSET($M$15,0,0,$B$8,1))=ER$14))   /   SUM(OFFSET($BO$15,0,0,$B$14,1)) + $B$18/($B$19*$B$19*($DN88&lt;&gt;$DO88) + $B$19*($DN88=$DO88))</f>
        <v>3.7037037037037035E-4</v>
      </c>
      <c r="ES88" s="10" cm="1">
        <f t="array" aca="1" ref="ES88" ca="1">(1-$B$18)*SUMPRODUCT(OFFSET($BO$15,0,0,$B$14,1), 1*(_xlfn._xlws.FILTER(OFFSET($O$15,0,$DN88,$B$8,1),OFFSET($M$15,0,0,$B$8,1))=ES$13), 1*(_xlfn._xlws.FILTER(OFFSET($O$15,0,$DO88,$B$8,1),OFFSET($M$15,0,0,$B$8,1))=ES$14))   /   SUM(OFFSET($BO$15,0,0,$B$14,1)) + $B$18/($B$19*$B$19*($DN88&lt;&gt;$DO88) + $B$19*($DN88=$DO88))</f>
        <v>3.7037037037037035E-4</v>
      </c>
      <c r="ET88" s="10" cm="1">
        <f t="array" aca="1" ref="ET88" ca="1">(1-$B$18)*SUMPRODUCT(OFFSET($BO$15,0,0,$B$14,1), 1*(_xlfn._xlws.FILTER(OFFSET($O$15,0,$DN88,$B$8,1),OFFSET($M$15,0,0,$B$8,1))=ET$13), 1*(_xlfn._xlws.FILTER(OFFSET($O$15,0,$DO88,$B$8,1),OFFSET($M$15,0,0,$B$8,1))=ET$14))   /   SUM(OFFSET($BO$15,0,0,$B$14,1)) + $B$18/($B$19*$B$19*($DN88&lt;&gt;$DO88) + $B$19*($DN88=$DO88))</f>
        <v>3.7037037037037035E-4</v>
      </c>
      <c r="EU88" s="10" cm="1">
        <f t="array" aca="1" ref="EU88" ca="1">(1-$B$18)*SUMPRODUCT(OFFSET($BO$15,0,0,$B$14,1), 1*(_xlfn._xlws.FILTER(OFFSET($O$15,0,$DN88,$B$8,1),OFFSET($M$15,0,0,$B$8,1))=EU$13), 1*(_xlfn._xlws.FILTER(OFFSET($O$15,0,$DO88,$B$8,1),OFFSET($M$15,0,0,$B$8,1))=EU$14))   /   SUM(OFFSET($BO$15,0,0,$B$14,1)) + $B$18/($B$19*$B$19*($DN88&lt;&gt;$DO88) + $B$19*($DN88=$DO88))</f>
        <v>3.7037037037037035E-4</v>
      </c>
      <c r="EV88" s="10" cm="1">
        <f t="array" aca="1" ref="EV88" ca="1">(1-$B$18)*SUMPRODUCT(OFFSET($BO$15,0,0,$B$14,1), 1*(_xlfn._xlws.FILTER(OFFSET($O$15,0,$DN88,$B$8,1),OFFSET($M$15,0,0,$B$8,1))=EV$13), 1*(_xlfn._xlws.FILTER(OFFSET($O$15,0,$DO88,$B$8,1),OFFSET($M$15,0,0,$B$8,1))=EV$14))   /   SUM(OFFSET($BO$15,0,0,$B$14,1)) + $B$18/($B$19*$B$19*($DN88&lt;&gt;$DO88) + $B$19*($DN88=$DO88))</f>
        <v>3.7037037037037035E-4</v>
      </c>
      <c r="EW88" s="10" cm="1">
        <f t="array" aca="1" ref="EW88" ca="1">(1-$B$18)*SUMPRODUCT(OFFSET($BO$15,0,0,$B$14,1), 1*(_xlfn._xlws.FILTER(OFFSET($O$15,0,$DN88,$B$8,1),OFFSET($M$15,0,0,$B$8,1))=EW$13), 1*(_xlfn._xlws.FILTER(OFFSET($O$15,0,$DO88,$B$8,1),OFFSET($M$15,0,0,$B$8,1))=EW$14))   /   SUM(OFFSET($BO$15,0,0,$B$14,1)) + $B$18/($B$19*$B$19*($DN88&lt;&gt;$DO88) + $B$19*($DN88=$DO88))</f>
        <v>3.7037037037037035E-4</v>
      </c>
      <c r="EX88" s="10" cm="1">
        <f t="array" aca="1" ref="EX88" ca="1">(1-$B$18)*SUMPRODUCT(OFFSET($BO$15,0,0,$B$14,1), 1*(_xlfn._xlws.FILTER(OFFSET($O$15,0,$DN88,$B$8,1),OFFSET($M$15,0,0,$B$8,1))=EX$13), 1*(_xlfn._xlws.FILTER(OFFSET($O$15,0,$DO88,$B$8,1),OFFSET($M$15,0,0,$B$8,1))=EX$14))   /   SUM(OFFSET($BO$15,0,0,$B$14,1)) + $B$18/($B$19*$B$19*($DN88&lt;&gt;$DO88) + $B$19*($DN88=$DO88))</f>
        <v>3.7037037037037035E-4</v>
      </c>
      <c r="EY88" s="10" cm="1">
        <f t="array" aca="1" ref="EY88" ca="1">(1-$B$18)*SUMPRODUCT(OFFSET($BO$15,0,0,$B$14,1), 1*(_xlfn._xlws.FILTER(OFFSET($O$15,0,$DN88,$B$8,1),OFFSET($M$15,0,0,$B$8,1))=EY$13), 1*(_xlfn._xlws.FILTER(OFFSET($O$15,0,$DO88,$B$8,1),OFFSET($M$15,0,0,$B$8,1))=EY$14))   /   SUM(OFFSET($BO$15,0,0,$B$14,1)) + $B$18/($B$19*$B$19*($DN88&lt;&gt;$DO88) + $B$19*($DN88=$DO88))</f>
        <v>3.7037037037037035E-4</v>
      </c>
      <c r="EZ88" s="10" cm="1">
        <f t="array" aca="1" ref="EZ88" ca="1">(1-$B$18)*SUMPRODUCT(OFFSET($BO$15,0,0,$B$14,1), 1*(_xlfn._xlws.FILTER(OFFSET($O$15,0,$DN88,$B$8,1),OFFSET($M$15,0,0,$B$8,1))=EZ$13), 1*(_xlfn._xlws.FILTER(OFFSET($O$15,0,$DO88,$B$8,1),OFFSET($M$15,0,0,$B$8,1))=EZ$14))   /   SUM(OFFSET($BO$15,0,0,$B$14,1)) + $B$18/($B$19*$B$19*($DN88&lt;&gt;$DO88) + $B$19*($DN88=$DO88))</f>
        <v>3.7037037037037035E-4</v>
      </c>
      <c r="FA88" s="10" cm="1">
        <f t="array" aca="1" ref="FA88" ca="1">(1-$B$18)*SUMPRODUCT(OFFSET($BO$15,0,0,$B$14,1), 1*(_xlfn._xlws.FILTER(OFFSET($O$15,0,$DN88,$B$8,1),OFFSET($M$15,0,0,$B$8,1))=FA$13), 1*(_xlfn._xlws.FILTER(OFFSET($O$15,0,$DO88,$B$8,1),OFFSET($M$15,0,0,$B$8,1))=FA$14))   /   SUM(OFFSET($BO$15,0,0,$B$14,1)) + $B$18/($B$19*$B$19*($DN88&lt;&gt;$DO88) + $B$19*($DN88=$DO88))</f>
        <v>3.7037037037037035E-4</v>
      </c>
      <c r="FB88" s="10" cm="1">
        <f t="array" aca="1" ref="FB88" ca="1">(1-$B$18)*SUMPRODUCT(OFFSET($BO$15,0,0,$B$14,1), 1*(_xlfn._xlws.FILTER(OFFSET($O$15,0,$DN88,$B$8,1),OFFSET($M$15,0,0,$B$8,1))=FB$13), 1*(_xlfn._xlws.FILTER(OFFSET($O$15,0,$DO88,$B$8,1),OFFSET($M$15,0,0,$B$8,1))=FB$14))   /   SUM(OFFSET($BO$15,0,0,$B$14,1)) + $B$18/($B$19*$B$19*($DN88&lt;&gt;$DO88) + $B$19*($DN88=$DO88))</f>
        <v>3.7037037037037035E-4</v>
      </c>
      <c r="FC88" s="10" cm="1">
        <f t="array" aca="1" ref="FC88" ca="1">(1-$B$18)*SUMPRODUCT(OFFSET($BO$15,0,0,$B$14,1), 1*(_xlfn._xlws.FILTER(OFFSET($O$15,0,$DN88,$B$8,1),OFFSET($M$15,0,0,$B$8,1))=FC$13), 1*(_xlfn._xlws.FILTER(OFFSET($O$15,0,$DO88,$B$8,1),OFFSET($M$15,0,0,$B$8,1))=FC$14))   /   SUM(OFFSET($BO$15,0,0,$B$14,1)) + $B$18/($B$19*$B$19*($DN88&lt;&gt;$DO88) + $B$19*($DN88=$DO88))</f>
        <v>3.7037037037037035E-4</v>
      </c>
      <c r="FD88" s="10" cm="1">
        <f t="array" aca="1" ref="FD88" ca="1">(1-$B$18)*SUMPRODUCT(OFFSET($BO$15,0,0,$B$14,1), 1*(_xlfn._xlws.FILTER(OFFSET($O$15,0,$DN88,$B$8,1),OFFSET($M$15,0,0,$B$8,1))=FD$13), 1*(_xlfn._xlws.FILTER(OFFSET($O$15,0,$DO88,$B$8,1),OFFSET($M$15,0,0,$B$8,1))=FD$14))   /   SUM(OFFSET($BO$15,0,0,$B$14,1)) + $B$18/($B$19*$B$19*($DN88&lt;&gt;$DO88) + $B$19*($DN88=$DO88))</f>
        <v>3.7037037037037035E-4</v>
      </c>
      <c r="FE88" s="10" cm="1">
        <f t="array" aca="1" ref="FE88" ca="1">(1-$B$18)*SUMPRODUCT(OFFSET($BO$15,0,0,$B$14,1), 1*(_xlfn._xlws.FILTER(OFFSET($O$15,0,$DN88,$B$8,1),OFFSET($M$15,0,0,$B$8,1))=FE$13), 1*(_xlfn._xlws.FILTER(OFFSET($O$15,0,$DO88,$B$8,1),OFFSET($M$15,0,0,$B$8,1))=FE$14))   /   SUM(OFFSET($BO$15,0,0,$B$14,1)) + $B$18/($B$19*$B$19*($DN88&lt;&gt;$DO88) + $B$19*($DN88=$DO88))</f>
        <v>3.7037037037037035E-4</v>
      </c>
      <c r="FF88" s="10" cm="1">
        <f t="array" aca="1" ref="FF88" ca="1">(1-$B$18)*SUMPRODUCT(OFFSET($BO$15,0,0,$B$14,1), 1*(_xlfn._xlws.FILTER(OFFSET($O$15,0,$DN88,$B$8,1),OFFSET($M$15,0,0,$B$8,1))=FF$13), 1*(_xlfn._xlws.FILTER(OFFSET($O$15,0,$DO88,$B$8,1),OFFSET($M$15,0,0,$B$8,1))=FF$14))   /   SUM(OFFSET($BO$15,0,0,$B$14,1)) + $B$18/($B$19*$B$19*($DN88&lt;&gt;$DO88) + $B$19*($DN88=$DO88))</f>
        <v>3.7037037037037035E-4</v>
      </c>
      <c r="FG88" s="10" cm="1">
        <f t="array" aca="1" ref="FG88" ca="1">(1-$B$18)*SUMPRODUCT(OFFSET($BO$15,0,0,$B$14,1), 1*(_xlfn._xlws.FILTER(OFFSET($O$15,0,$DN88,$B$8,1),OFFSET($M$15,0,0,$B$8,1))=FG$13), 1*(_xlfn._xlws.FILTER(OFFSET($O$15,0,$DO88,$B$8,1),OFFSET($M$15,0,0,$B$8,1))=FG$14))   /   SUM(OFFSET($BO$15,0,0,$B$14,1)) + $B$18/($B$19*$B$19*($DN88&lt;&gt;$DO88) + $B$19*($DN88=$DO88))</f>
        <v>3.7037037037037035E-4</v>
      </c>
      <c r="FH88" s="10" cm="1">
        <f t="array" aca="1" ref="FH88" ca="1">(1-$B$18)*SUMPRODUCT(OFFSET($BO$15,0,0,$B$14,1), 1*(_xlfn._xlws.FILTER(OFFSET($O$15,0,$DN88,$B$8,1),OFFSET($M$15,0,0,$B$8,1))=FH$13), 1*(_xlfn._xlws.FILTER(OFFSET($O$15,0,$DO88,$B$8,1),OFFSET($M$15,0,0,$B$8,1))=FH$14))   /   SUM(OFFSET($BO$15,0,0,$B$14,1)) + $B$18/($B$19*$B$19*($DN88&lt;&gt;$DO88) + $B$19*($DN88=$DO88))</f>
        <v>3.7037037037037035E-4</v>
      </c>
      <c r="FI88" s="10" cm="1">
        <f t="array" aca="1" ref="FI88" ca="1">(1-$B$18)*SUMPRODUCT(OFFSET($BO$15,0,0,$B$14,1), 1*(_xlfn._xlws.FILTER(OFFSET($O$15,0,$DN88,$B$8,1),OFFSET($M$15,0,0,$B$8,1))=FI$13), 1*(_xlfn._xlws.FILTER(OFFSET($O$15,0,$DO88,$B$8,1),OFFSET($M$15,0,0,$B$8,1))=FI$14))   /   SUM(OFFSET($BO$15,0,0,$B$14,1)) + $B$18/($B$19*$B$19*($DN88&lt;&gt;$DO88) + $B$19*($DN88=$DO88))</f>
        <v>3.7037037037037035E-4</v>
      </c>
      <c r="FJ88" s="10" cm="1">
        <f t="array" aca="1" ref="FJ88" ca="1">(1-$B$18)*SUMPRODUCT(OFFSET($BO$15,0,0,$B$14,1), 1*(_xlfn._xlws.FILTER(OFFSET($O$15,0,$DN88,$B$8,1),OFFSET($M$15,0,0,$B$8,1))=FJ$13), 1*(_xlfn._xlws.FILTER(OFFSET($O$15,0,$DO88,$B$8,1),OFFSET($M$15,0,0,$B$8,1))=FJ$14))   /   SUM(OFFSET($BO$15,0,0,$B$14,1)) + $B$18/($B$19*$B$19*($DN88&lt;&gt;$DO88) + $B$19*($DN88=$DO88))</f>
        <v>3.7037037037037035E-4</v>
      </c>
      <c r="FK88" s="10" cm="1">
        <f t="array" aca="1" ref="FK88" ca="1">(1-$B$18)*SUMPRODUCT(OFFSET($BO$15,0,0,$B$14,1), 1*(_xlfn._xlws.FILTER(OFFSET($O$15,0,$DN88,$B$8,1),OFFSET($M$15,0,0,$B$8,1))=FK$13), 1*(_xlfn._xlws.FILTER(OFFSET($O$15,0,$DO88,$B$8,1),OFFSET($M$15,0,0,$B$8,1))=FK$14))   /   SUM(OFFSET($BO$15,0,0,$B$14,1)) + $B$18/($B$19*$B$19*($DN88&lt;&gt;$DO88) + $B$19*($DN88=$DO88))</f>
        <v>3.7037037037037035E-4</v>
      </c>
      <c r="FL88" s="10" cm="1">
        <f t="array" aca="1" ref="FL88" ca="1">(1-$B$18)*SUMPRODUCT(OFFSET($BO$15,0,0,$B$14,1), 1*(_xlfn._xlws.FILTER(OFFSET($O$15,0,$DN88,$B$8,1),OFFSET($M$15,0,0,$B$8,1))=FL$13), 1*(_xlfn._xlws.FILTER(OFFSET($O$15,0,$DO88,$B$8,1),OFFSET($M$15,0,0,$B$8,1))=FL$14))   /   SUM(OFFSET($BO$15,0,0,$B$14,1)) + $B$18/($B$19*$B$19*($DN88&lt;&gt;$DO88) + $B$19*($DN88=$DO88))</f>
        <v>3.7037037037037035E-4</v>
      </c>
      <c r="FM88" s="10" cm="1">
        <f t="array" aca="1" ref="FM88" ca="1">(1-$B$18)*SUMPRODUCT(OFFSET($BO$15,0,0,$B$14,1), 1*(_xlfn._xlws.FILTER(OFFSET($O$15,0,$DN88,$B$8,1),OFFSET($M$15,0,0,$B$8,1))=FM$13), 1*(_xlfn._xlws.FILTER(OFFSET($O$15,0,$DO88,$B$8,1),OFFSET($M$15,0,0,$B$8,1))=FM$14))   /   SUM(OFFSET($BO$15,0,0,$B$14,1)) + $B$18/($B$19*$B$19*($DN88&lt;&gt;$DO88) + $B$19*($DN88=$DO88))</f>
        <v>3.7037037037037035E-4</v>
      </c>
      <c r="FN88" s="10" cm="1">
        <f t="array" aca="1" ref="FN88" ca="1">(1-$B$18)*SUMPRODUCT(OFFSET($BO$15,0,0,$B$14,1), 1*(_xlfn._xlws.FILTER(OFFSET($O$15,0,$DN88,$B$8,1),OFFSET($M$15,0,0,$B$8,1))=FN$13), 1*(_xlfn._xlws.FILTER(OFFSET($O$15,0,$DO88,$B$8,1),OFFSET($M$15,0,0,$B$8,1))=FN$14))   /   SUM(OFFSET($BO$15,0,0,$B$14,1)) + $B$18/($B$19*$B$19*($DN88&lt;&gt;$DO88) + $B$19*($DN88=$DO88))</f>
        <v>3.7037037037037035E-4</v>
      </c>
      <c r="FO88" s="10" cm="1">
        <f t="array" aca="1" ref="FO88" ca="1">(1-$B$18)*SUMPRODUCT(OFFSET($BO$15,0,0,$B$14,1), 1*(_xlfn._xlws.FILTER(OFFSET($O$15,0,$DN88,$B$8,1),OFFSET($M$15,0,0,$B$8,1))=FO$13), 1*(_xlfn._xlws.FILTER(OFFSET($O$15,0,$DO88,$B$8,1),OFFSET($M$15,0,0,$B$8,1))=FO$14))   /   SUM(OFFSET($BO$15,0,0,$B$14,1)) + $B$18/($B$19*$B$19*($DN88&lt;&gt;$DO88) + $B$19*($DN88=$DO88))</f>
        <v>0.97037037037037033</v>
      </c>
      <c r="FP88" s="10" cm="1">
        <f t="array" aca="1" ref="FP88" ca="1">(1-$B$18)*SUMPRODUCT(OFFSET($BO$15,0,0,$B$14,1), 1*(_xlfn._xlws.FILTER(OFFSET($O$15,0,$DN88,$B$8,1),OFFSET($M$15,0,0,$B$8,1))=FP$13), 1*(_xlfn._xlws.FILTER(OFFSET($O$15,0,$DO88,$B$8,1),OFFSET($M$15,0,0,$B$8,1))=FP$14))   /   SUM(OFFSET($BO$15,0,0,$B$14,1)) + $B$18/($B$19*$B$19*($DN88&lt;&gt;$DO88) + $B$19*($DN88=$DO88))</f>
        <v>3.7037037037037035E-4</v>
      </c>
      <c r="FQ88" s="10" cm="1">
        <f t="array" aca="1" ref="FQ88" ca="1">(1-$B$18)*SUMPRODUCT(OFFSET($BO$15,0,0,$B$14,1), 1*(_xlfn._xlws.FILTER(OFFSET($O$15,0,$DN88,$B$8,1),OFFSET($M$15,0,0,$B$8,1))=FQ$13), 1*(_xlfn._xlws.FILTER(OFFSET($O$15,0,$DO88,$B$8,1),OFFSET($M$15,0,0,$B$8,1))=FQ$14))   /   SUM(OFFSET($BO$15,0,0,$B$14,1)) + $B$18/($B$19*$B$19*($DN88&lt;&gt;$DO88) + $B$19*($DN88=$DO88))</f>
        <v>3.7037037037037035E-4</v>
      </c>
      <c r="FR88" s="10" cm="1">
        <f t="array" aca="1" ref="FR88" ca="1">(1-$B$18)*SUMPRODUCT(OFFSET($BO$15,0,0,$B$14,1), 1*(_xlfn._xlws.FILTER(OFFSET($O$15,0,$DN88,$B$8,1),OFFSET($M$15,0,0,$B$8,1))=FR$13), 1*(_xlfn._xlws.FILTER(OFFSET($O$15,0,$DO88,$B$8,1),OFFSET($M$15,0,0,$B$8,1))=FR$14))   /   SUM(OFFSET($BO$15,0,0,$B$14,1)) + $B$18/($B$19*$B$19*($DN88&lt;&gt;$DO88) + $B$19*($DN88=$DO88))</f>
        <v>3.7037037037037035E-4</v>
      </c>
      <c r="FS88" s="10" cm="1">
        <f t="array" aca="1" ref="FS88" ca="1">(1-$B$18)*SUMPRODUCT(OFFSET($BO$15,0,0,$B$14,1), 1*(_xlfn._xlws.FILTER(OFFSET($O$15,0,$DN88,$B$8,1),OFFSET($M$15,0,0,$B$8,1))=FS$13), 1*(_xlfn._xlws.FILTER(OFFSET($O$15,0,$DO88,$B$8,1),OFFSET($M$15,0,0,$B$8,1))=FS$14))   /   SUM(OFFSET($BO$15,0,0,$B$14,1)) + $B$18/($B$19*$B$19*($DN88&lt;&gt;$DO88) + $B$19*($DN88=$DO88))</f>
        <v>3.7037037037037035E-4</v>
      </c>
      <c r="FT88" s="10" cm="1">
        <f t="array" aca="1" ref="FT88" ca="1">(1-$B$18)*SUMPRODUCT(OFFSET($BO$15,0,0,$B$14,1), 1*(_xlfn._xlws.FILTER(OFFSET($O$15,0,$DN88,$B$8,1),OFFSET($M$15,0,0,$B$8,1))=FT$13), 1*(_xlfn._xlws.FILTER(OFFSET($O$15,0,$DO88,$B$8,1),OFFSET($M$15,0,0,$B$8,1))=FT$14))   /   SUM(OFFSET($BO$15,0,0,$B$14,1)) + $B$18/($B$19*$B$19*($DN88&lt;&gt;$DO88) + $B$19*($DN88=$DO88))</f>
        <v>3.7037037037037035E-4</v>
      </c>
      <c r="FU88" s="10" cm="1">
        <f t="array" aca="1" ref="FU88" ca="1">(1-$B$18)*SUMPRODUCT(OFFSET($BO$15,0,0,$B$14,1), 1*(_xlfn._xlws.FILTER(OFFSET($O$15,0,$DN88,$B$8,1),OFFSET($M$15,0,0,$B$8,1))=FU$13), 1*(_xlfn._xlws.FILTER(OFFSET($O$15,0,$DO88,$B$8,1),OFFSET($M$15,0,0,$B$8,1))=FU$14))   /   SUM(OFFSET($BO$15,0,0,$B$14,1)) + $B$18/($B$19*$B$19*($DN88&lt;&gt;$DO88) + $B$19*($DN88=$DO88))</f>
        <v>3.7037037037037035E-4</v>
      </c>
      <c r="FV88" s="10" cm="1">
        <f t="array" aca="1" ref="FV88" ca="1">(1-$B$18)*SUMPRODUCT(OFFSET($BO$15,0,0,$B$14,1), 1*(_xlfn._xlws.FILTER(OFFSET($O$15,0,$DN88,$B$8,1),OFFSET($M$15,0,0,$B$8,1))=FV$13), 1*(_xlfn._xlws.FILTER(OFFSET($O$15,0,$DO88,$B$8,1),OFFSET($M$15,0,0,$B$8,1))=FV$14))   /   SUM(OFFSET($BO$15,0,0,$B$14,1)) + $B$18/($B$19*$B$19*($DN88&lt;&gt;$DO88) + $B$19*($DN88=$DO88))</f>
        <v>3.7037037037037035E-4</v>
      </c>
      <c r="FW88" s="10" cm="1">
        <f t="array" aca="1" ref="FW88" ca="1">(1-$B$18)*SUMPRODUCT(OFFSET($BO$15,0,0,$B$14,1), 1*(_xlfn._xlws.FILTER(OFFSET($O$15,0,$DN88,$B$8,1),OFFSET($M$15,0,0,$B$8,1))=FW$13), 1*(_xlfn._xlws.FILTER(OFFSET($O$15,0,$DO88,$B$8,1),OFFSET($M$15,0,0,$B$8,1))=FW$14))   /   SUM(OFFSET($BO$15,0,0,$B$14,1)) + $B$18/($B$19*$B$19*($DN88&lt;&gt;$DO88) + $B$19*($DN88=$DO88))</f>
        <v>3.7037037037037035E-4</v>
      </c>
      <c r="FX88" s="10" cm="1">
        <f t="array" aca="1" ref="FX88" ca="1">(1-$B$18)*SUMPRODUCT(OFFSET($BO$15,0,0,$B$14,1), 1*(_xlfn._xlws.FILTER(OFFSET($O$15,0,$DN88,$B$8,1),OFFSET($M$15,0,0,$B$8,1))=FX$13), 1*(_xlfn._xlws.FILTER(OFFSET($O$15,0,$DO88,$B$8,1),OFFSET($M$15,0,0,$B$8,1))=FX$14))   /   SUM(OFFSET($BO$15,0,0,$B$14,1)) + $B$18/($B$19*$B$19*($DN88&lt;&gt;$DO88) + $B$19*($DN88=$DO88))</f>
        <v>3.7037037037037035E-4</v>
      </c>
      <c r="FY88" s="10" cm="1">
        <f t="array" aca="1" ref="FY88" ca="1">(1-$B$18)*SUMPRODUCT(OFFSET($BO$15,0,0,$B$14,1), 1*(_xlfn._xlws.FILTER(OFFSET($O$15,0,$DN88,$B$8,1),OFFSET($M$15,0,0,$B$8,1))=FY$13), 1*(_xlfn._xlws.FILTER(OFFSET($O$15,0,$DO88,$B$8,1),OFFSET($M$15,0,0,$B$8,1))=FY$14))   /   SUM(OFFSET($BO$15,0,0,$B$14,1)) + $B$18/($B$19*$B$19*($DN88&lt;&gt;$DO88) + $B$19*($DN88=$DO88))</f>
        <v>3.7037037037037035E-4</v>
      </c>
      <c r="FZ88" s="10" cm="1">
        <f t="array" aca="1" ref="FZ88" ca="1">(1-$B$18)*SUMPRODUCT(OFFSET($BO$15,0,0,$B$14,1), 1*(_xlfn._xlws.FILTER(OFFSET($O$15,0,$DN88,$B$8,1),OFFSET($M$15,0,0,$B$8,1))=FZ$13), 1*(_xlfn._xlws.FILTER(OFFSET($O$15,0,$DO88,$B$8,1),OFFSET($M$15,0,0,$B$8,1))=FZ$14))   /   SUM(OFFSET($BO$15,0,0,$B$14,1)) + $B$18/($B$19*$B$19*($DN88&lt;&gt;$DO88) + $B$19*($DN88=$DO88))</f>
        <v>3.7037037037037035E-4</v>
      </c>
      <c r="GA88" s="10" cm="1">
        <f t="array" aca="1" ref="GA88" ca="1">(1-$B$18)*SUMPRODUCT(OFFSET($BO$15,0,0,$B$14,1), 1*(_xlfn._xlws.FILTER(OFFSET($O$15,0,$DN88,$B$8,1),OFFSET($M$15,0,0,$B$8,1))=GA$13), 1*(_xlfn._xlws.FILTER(OFFSET($O$15,0,$DO88,$B$8,1),OFFSET($M$15,0,0,$B$8,1))=GA$14))   /   SUM(OFFSET($BO$15,0,0,$B$14,1)) + $B$18/($B$19*$B$19*($DN88&lt;&gt;$DO88) + $B$19*($DN88=$DO88))</f>
        <v>3.7037037037037035E-4</v>
      </c>
    </row>
    <row r="89" spans="7:183" x14ac:dyDescent="0.2">
      <c r="DN89" cm="1">
        <f t="array" aca="1" ref="DN89" ca="1">INDEX(_xlfn.ANCHORARRAY($CP$15), 1 + INT((ROWS($DO$15:$DO89) - 1) / ROWS(_xlfn.ANCHORARRAY($CP$15))))</f>
        <v>3</v>
      </c>
      <c r="DO89" cm="1">
        <f t="array" aca="1" ref="DO89" ca="1">INDEX(_xlfn.ANCHORARRAY($CP$15),1+MOD(ROWS($DO$15:$DO89)-1,ROWS(_xlfn.ANCHORARRAY($CP$15))))</f>
        <v>20</v>
      </c>
      <c r="DP89" s="10" cm="1">
        <f t="array" aca="1" ref="DP89" ca="1">(1-$B$18)*SUMPRODUCT(OFFSET($BO$15,0,0,$B$14,1), 1*(_xlfn._xlws.FILTER(OFFSET($O$15,0,$DN89,$B$8,1),OFFSET($M$15,0,0,$B$8,1))=DP$13), 1*(_xlfn._xlws.FILTER(OFFSET($O$15,0,$DO89,$B$8,1),OFFSET($M$15,0,0,$B$8,1))=DP$14))   /   SUM(OFFSET($BO$15,0,0,$B$14,1)) + $B$18/($B$19*$B$19*($DN89&lt;&gt;$DO89) + $B$19*($DN89=$DO89))</f>
        <v>3.7037037037037035E-4</v>
      </c>
      <c r="DQ89" s="10" cm="1">
        <f t="array" aca="1" ref="DQ89" ca="1">(1-$B$18)*SUMPRODUCT(OFFSET($BO$15,0,0,$B$14,1), 1*(_xlfn._xlws.FILTER(OFFSET($O$15,0,$DN89,$B$8,1),OFFSET($M$15,0,0,$B$8,1))=DQ$13), 1*(_xlfn._xlws.FILTER(OFFSET($O$15,0,$DO89,$B$8,1),OFFSET($M$15,0,0,$B$8,1))=DQ$14))   /   SUM(OFFSET($BO$15,0,0,$B$14,1)) + $B$18/($B$19*$B$19*($DN89&lt;&gt;$DO89) + $B$19*($DN89=$DO89))</f>
        <v>3.7037037037037035E-4</v>
      </c>
      <c r="DR89" s="10" cm="1">
        <f t="array" aca="1" ref="DR89" ca="1">(1-$B$18)*SUMPRODUCT(OFFSET($BO$15,0,0,$B$14,1), 1*(_xlfn._xlws.FILTER(OFFSET($O$15,0,$DN89,$B$8,1),OFFSET($M$15,0,0,$B$8,1))=DR$13), 1*(_xlfn._xlws.FILTER(OFFSET($O$15,0,$DO89,$B$8,1),OFFSET($M$15,0,0,$B$8,1))=DR$14))   /   SUM(OFFSET($BO$15,0,0,$B$14,1)) + $B$18/($B$19*$B$19*($DN89&lt;&gt;$DO89) + $B$19*($DN89=$DO89))</f>
        <v>3.7037037037037035E-4</v>
      </c>
      <c r="DS89" s="10" cm="1">
        <f t="array" aca="1" ref="DS89" ca="1">(1-$B$18)*SUMPRODUCT(OFFSET($BO$15,0,0,$B$14,1), 1*(_xlfn._xlws.FILTER(OFFSET($O$15,0,$DN89,$B$8,1),OFFSET($M$15,0,0,$B$8,1))=DS$13), 1*(_xlfn._xlws.FILTER(OFFSET($O$15,0,$DO89,$B$8,1),OFFSET($M$15,0,0,$B$8,1))=DS$14))   /   SUM(OFFSET($BO$15,0,0,$B$14,1)) + $B$18/($B$19*$B$19*($DN89&lt;&gt;$DO89) + $B$19*($DN89=$DO89))</f>
        <v>3.7037037037037035E-4</v>
      </c>
      <c r="DT89" s="10" cm="1">
        <f t="array" aca="1" ref="DT89" ca="1">(1-$B$18)*SUMPRODUCT(OFFSET($BO$15,0,0,$B$14,1), 1*(_xlfn._xlws.FILTER(OFFSET($O$15,0,$DN89,$B$8,1),OFFSET($M$15,0,0,$B$8,1))=DT$13), 1*(_xlfn._xlws.FILTER(OFFSET($O$15,0,$DO89,$B$8,1),OFFSET($M$15,0,0,$B$8,1))=DT$14))   /   SUM(OFFSET($BO$15,0,0,$B$14,1)) + $B$18/($B$19*$B$19*($DN89&lt;&gt;$DO89) + $B$19*($DN89=$DO89))</f>
        <v>3.7037037037037035E-4</v>
      </c>
      <c r="DU89" s="10" cm="1">
        <f t="array" aca="1" ref="DU89" ca="1">(1-$B$18)*SUMPRODUCT(OFFSET($BO$15,0,0,$B$14,1), 1*(_xlfn._xlws.FILTER(OFFSET($O$15,0,$DN89,$B$8,1),OFFSET($M$15,0,0,$B$8,1))=DU$13), 1*(_xlfn._xlws.FILTER(OFFSET($O$15,0,$DO89,$B$8,1),OFFSET($M$15,0,0,$B$8,1))=DU$14))   /   SUM(OFFSET($BO$15,0,0,$B$14,1)) + $B$18/($B$19*$B$19*($DN89&lt;&gt;$DO89) + $B$19*($DN89=$DO89))</f>
        <v>3.7037037037037035E-4</v>
      </c>
      <c r="DV89" s="10" cm="1">
        <f t="array" aca="1" ref="DV89" ca="1">(1-$B$18)*SUMPRODUCT(OFFSET($BO$15,0,0,$B$14,1), 1*(_xlfn._xlws.FILTER(OFFSET($O$15,0,$DN89,$B$8,1),OFFSET($M$15,0,0,$B$8,1))=DV$13), 1*(_xlfn._xlws.FILTER(OFFSET($O$15,0,$DO89,$B$8,1),OFFSET($M$15,0,0,$B$8,1))=DV$14))   /   SUM(OFFSET($BO$15,0,0,$B$14,1)) + $B$18/($B$19*$B$19*($DN89&lt;&gt;$DO89) + $B$19*($DN89=$DO89))</f>
        <v>3.7037037037037035E-4</v>
      </c>
      <c r="DW89" s="10" cm="1">
        <f t="array" aca="1" ref="DW89" ca="1">(1-$B$18)*SUMPRODUCT(OFFSET($BO$15,0,0,$B$14,1), 1*(_xlfn._xlws.FILTER(OFFSET($O$15,0,$DN89,$B$8,1),OFFSET($M$15,0,0,$B$8,1))=DW$13), 1*(_xlfn._xlws.FILTER(OFFSET($O$15,0,$DO89,$B$8,1),OFFSET($M$15,0,0,$B$8,1))=DW$14))   /   SUM(OFFSET($BO$15,0,0,$B$14,1)) + $B$18/($B$19*$B$19*($DN89&lt;&gt;$DO89) + $B$19*($DN89=$DO89))</f>
        <v>3.7037037037037035E-4</v>
      </c>
      <c r="DX89" s="10" cm="1">
        <f t="array" aca="1" ref="DX89" ca="1">(1-$B$18)*SUMPRODUCT(OFFSET($BO$15,0,0,$B$14,1), 1*(_xlfn._xlws.FILTER(OFFSET($O$15,0,$DN89,$B$8,1),OFFSET($M$15,0,0,$B$8,1))=DX$13), 1*(_xlfn._xlws.FILTER(OFFSET($O$15,0,$DO89,$B$8,1),OFFSET($M$15,0,0,$B$8,1))=DX$14))   /   SUM(OFFSET($BO$15,0,0,$B$14,1)) + $B$18/($B$19*$B$19*($DN89&lt;&gt;$DO89) + $B$19*($DN89=$DO89))</f>
        <v>3.7037037037037035E-4</v>
      </c>
      <c r="DY89" s="10" cm="1">
        <f t="array" aca="1" ref="DY89" ca="1">(1-$B$18)*SUMPRODUCT(OFFSET($BO$15,0,0,$B$14,1), 1*(_xlfn._xlws.FILTER(OFFSET($O$15,0,$DN89,$B$8,1),OFFSET($M$15,0,0,$B$8,1))=DY$13), 1*(_xlfn._xlws.FILTER(OFFSET($O$15,0,$DO89,$B$8,1),OFFSET($M$15,0,0,$B$8,1))=DY$14))   /   SUM(OFFSET($BO$15,0,0,$B$14,1)) + $B$18/($B$19*$B$19*($DN89&lt;&gt;$DO89) + $B$19*($DN89=$DO89))</f>
        <v>3.7037037037037035E-4</v>
      </c>
      <c r="DZ89" s="10" cm="1">
        <f t="array" aca="1" ref="DZ89" ca="1">(1-$B$18)*SUMPRODUCT(OFFSET($BO$15,0,0,$B$14,1), 1*(_xlfn._xlws.FILTER(OFFSET($O$15,0,$DN89,$B$8,1),OFFSET($M$15,0,0,$B$8,1))=DZ$13), 1*(_xlfn._xlws.FILTER(OFFSET($O$15,0,$DO89,$B$8,1),OFFSET($M$15,0,0,$B$8,1))=DZ$14))   /   SUM(OFFSET($BO$15,0,0,$B$14,1)) + $B$18/($B$19*$B$19*($DN89&lt;&gt;$DO89) + $B$19*($DN89=$DO89))</f>
        <v>3.7037037037037035E-4</v>
      </c>
      <c r="EA89" s="10" cm="1">
        <f t="array" aca="1" ref="EA89" ca="1">(1-$B$18)*SUMPRODUCT(OFFSET($BO$15,0,0,$B$14,1), 1*(_xlfn._xlws.FILTER(OFFSET($O$15,0,$DN89,$B$8,1),OFFSET($M$15,0,0,$B$8,1))=EA$13), 1*(_xlfn._xlws.FILTER(OFFSET($O$15,0,$DO89,$B$8,1),OFFSET($M$15,0,0,$B$8,1))=EA$14))   /   SUM(OFFSET($BO$15,0,0,$B$14,1)) + $B$18/($B$19*$B$19*($DN89&lt;&gt;$DO89) + $B$19*($DN89=$DO89))</f>
        <v>3.7037037037037035E-4</v>
      </c>
      <c r="EB89" s="10" cm="1">
        <f t="array" aca="1" ref="EB89" ca="1">(1-$B$18)*SUMPRODUCT(OFFSET($BO$15,0,0,$B$14,1), 1*(_xlfn._xlws.FILTER(OFFSET($O$15,0,$DN89,$B$8,1),OFFSET($M$15,0,0,$B$8,1))=EB$13), 1*(_xlfn._xlws.FILTER(OFFSET($O$15,0,$DO89,$B$8,1),OFFSET($M$15,0,0,$B$8,1))=EB$14))   /   SUM(OFFSET($BO$15,0,0,$B$14,1)) + $B$18/($B$19*$B$19*($DN89&lt;&gt;$DO89) + $B$19*($DN89=$DO89))</f>
        <v>3.7037037037037035E-4</v>
      </c>
      <c r="EC89" s="10" cm="1">
        <f t="array" aca="1" ref="EC89" ca="1">(1-$B$18)*SUMPRODUCT(OFFSET($BO$15,0,0,$B$14,1), 1*(_xlfn._xlws.FILTER(OFFSET($O$15,0,$DN89,$B$8,1),OFFSET($M$15,0,0,$B$8,1))=EC$13), 1*(_xlfn._xlws.FILTER(OFFSET($O$15,0,$DO89,$B$8,1),OFFSET($M$15,0,0,$B$8,1))=EC$14))   /   SUM(OFFSET($BO$15,0,0,$B$14,1)) + $B$18/($B$19*$B$19*($DN89&lt;&gt;$DO89) + $B$19*($DN89=$DO89))</f>
        <v>3.7037037037037035E-4</v>
      </c>
      <c r="ED89" s="10" cm="1">
        <f t="array" aca="1" ref="ED89" ca="1">(1-$B$18)*SUMPRODUCT(OFFSET($BO$15,0,0,$B$14,1), 1*(_xlfn._xlws.FILTER(OFFSET($O$15,0,$DN89,$B$8,1),OFFSET($M$15,0,0,$B$8,1))=ED$13), 1*(_xlfn._xlws.FILTER(OFFSET($O$15,0,$DO89,$B$8,1),OFFSET($M$15,0,0,$B$8,1))=ED$14))   /   SUM(OFFSET($BO$15,0,0,$B$14,1)) + $B$18/($B$19*$B$19*($DN89&lt;&gt;$DO89) + $B$19*($DN89=$DO89))</f>
        <v>3.7037037037037035E-4</v>
      </c>
      <c r="EE89" s="10" cm="1">
        <f t="array" aca="1" ref="EE89" ca="1">(1-$B$18)*SUMPRODUCT(OFFSET($BO$15,0,0,$B$14,1), 1*(_xlfn._xlws.FILTER(OFFSET($O$15,0,$DN89,$B$8,1),OFFSET($M$15,0,0,$B$8,1))=EE$13), 1*(_xlfn._xlws.FILTER(OFFSET($O$15,0,$DO89,$B$8,1),OFFSET($M$15,0,0,$B$8,1))=EE$14))   /   SUM(OFFSET($BO$15,0,0,$B$14,1)) + $B$18/($B$19*$B$19*($DN89&lt;&gt;$DO89) + $B$19*($DN89=$DO89))</f>
        <v>3.7037037037037035E-4</v>
      </c>
      <c r="EF89" s="10" cm="1">
        <f t="array" aca="1" ref="EF89" ca="1">(1-$B$18)*SUMPRODUCT(OFFSET($BO$15,0,0,$B$14,1), 1*(_xlfn._xlws.FILTER(OFFSET($O$15,0,$DN89,$B$8,1),OFFSET($M$15,0,0,$B$8,1))=EF$13), 1*(_xlfn._xlws.FILTER(OFFSET($O$15,0,$DO89,$B$8,1),OFFSET($M$15,0,0,$B$8,1))=EF$14))   /   SUM(OFFSET($BO$15,0,0,$B$14,1)) + $B$18/($B$19*$B$19*($DN89&lt;&gt;$DO89) + $B$19*($DN89=$DO89))</f>
        <v>3.7037037037037035E-4</v>
      </c>
      <c r="EG89" s="10" cm="1">
        <f t="array" aca="1" ref="EG89" ca="1">(1-$B$18)*SUMPRODUCT(OFFSET($BO$15,0,0,$B$14,1), 1*(_xlfn._xlws.FILTER(OFFSET($O$15,0,$DN89,$B$8,1),OFFSET($M$15,0,0,$B$8,1))=EG$13), 1*(_xlfn._xlws.FILTER(OFFSET($O$15,0,$DO89,$B$8,1),OFFSET($M$15,0,0,$B$8,1))=EG$14))   /   SUM(OFFSET($BO$15,0,0,$B$14,1)) + $B$18/($B$19*$B$19*($DN89&lt;&gt;$DO89) + $B$19*($DN89=$DO89))</f>
        <v>3.7037037037037035E-4</v>
      </c>
      <c r="EH89" s="10" cm="1">
        <f t="array" aca="1" ref="EH89" ca="1">(1-$B$18)*SUMPRODUCT(OFFSET($BO$15,0,0,$B$14,1), 1*(_xlfn._xlws.FILTER(OFFSET($O$15,0,$DN89,$B$8,1),OFFSET($M$15,0,0,$B$8,1))=EH$13), 1*(_xlfn._xlws.FILTER(OFFSET($O$15,0,$DO89,$B$8,1),OFFSET($M$15,0,0,$B$8,1))=EH$14))   /   SUM(OFFSET($BO$15,0,0,$B$14,1)) + $B$18/($B$19*$B$19*($DN89&lt;&gt;$DO89) + $B$19*($DN89=$DO89))</f>
        <v>3.7037037037037035E-4</v>
      </c>
      <c r="EI89" s="10" cm="1">
        <f t="array" aca="1" ref="EI89" ca="1">(1-$B$18)*SUMPRODUCT(OFFSET($BO$15,0,0,$B$14,1), 1*(_xlfn._xlws.FILTER(OFFSET($O$15,0,$DN89,$B$8,1),OFFSET($M$15,0,0,$B$8,1))=EI$13), 1*(_xlfn._xlws.FILTER(OFFSET($O$15,0,$DO89,$B$8,1),OFFSET($M$15,0,0,$B$8,1))=EI$14))   /   SUM(OFFSET($BO$15,0,0,$B$14,1)) + $B$18/($B$19*$B$19*($DN89&lt;&gt;$DO89) + $B$19*($DN89=$DO89))</f>
        <v>3.7037037037037035E-4</v>
      </c>
      <c r="EJ89" s="10" cm="1">
        <f t="array" aca="1" ref="EJ89" ca="1">(1-$B$18)*SUMPRODUCT(OFFSET($BO$15,0,0,$B$14,1), 1*(_xlfn._xlws.FILTER(OFFSET($O$15,0,$DN89,$B$8,1),OFFSET($M$15,0,0,$B$8,1))=EJ$13), 1*(_xlfn._xlws.FILTER(OFFSET($O$15,0,$DO89,$B$8,1),OFFSET($M$15,0,0,$B$8,1))=EJ$14))   /   SUM(OFFSET($BO$15,0,0,$B$14,1)) + $B$18/($B$19*$B$19*($DN89&lt;&gt;$DO89) + $B$19*($DN89=$DO89))</f>
        <v>3.7037037037037035E-4</v>
      </c>
      <c r="EK89" s="10" cm="1">
        <f t="array" aca="1" ref="EK89" ca="1">(1-$B$18)*SUMPRODUCT(OFFSET($BO$15,0,0,$B$14,1), 1*(_xlfn._xlws.FILTER(OFFSET($O$15,0,$DN89,$B$8,1),OFFSET($M$15,0,0,$B$8,1))=EK$13), 1*(_xlfn._xlws.FILTER(OFFSET($O$15,0,$DO89,$B$8,1),OFFSET($M$15,0,0,$B$8,1))=EK$14))   /   SUM(OFFSET($BO$15,0,0,$B$14,1)) + $B$18/($B$19*$B$19*($DN89&lt;&gt;$DO89) + $B$19*($DN89=$DO89))</f>
        <v>3.7037037037037035E-4</v>
      </c>
      <c r="EL89" s="10" cm="1">
        <f t="array" aca="1" ref="EL89" ca="1">(1-$B$18)*SUMPRODUCT(OFFSET($BO$15,0,0,$B$14,1), 1*(_xlfn._xlws.FILTER(OFFSET($O$15,0,$DN89,$B$8,1),OFFSET($M$15,0,0,$B$8,1))=EL$13), 1*(_xlfn._xlws.FILTER(OFFSET($O$15,0,$DO89,$B$8,1),OFFSET($M$15,0,0,$B$8,1))=EL$14))   /   SUM(OFFSET($BO$15,0,0,$B$14,1)) + $B$18/($B$19*$B$19*($DN89&lt;&gt;$DO89) + $B$19*($DN89=$DO89))</f>
        <v>3.7037037037037035E-4</v>
      </c>
      <c r="EM89" s="10" cm="1">
        <f t="array" aca="1" ref="EM89" ca="1">(1-$B$18)*SUMPRODUCT(OFFSET($BO$15,0,0,$B$14,1), 1*(_xlfn._xlws.FILTER(OFFSET($O$15,0,$DN89,$B$8,1),OFFSET($M$15,0,0,$B$8,1))=EM$13), 1*(_xlfn._xlws.FILTER(OFFSET($O$15,0,$DO89,$B$8,1),OFFSET($M$15,0,0,$B$8,1))=EM$14))   /   SUM(OFFSET($BO$15,0,0,$B$14,1)) + $B$18/($B$19*$B$19*($DN89&lt;&gt;$DO89) + $B$19*($DN89=$DO89))</f>
        <v>3.7037037037037035E-4</v>
      </c>
      <c r="EN89" s="10" cm="1">
        <f t="array" aca="1" ref="EN89" ca="1">(1-$B$18)*SUMPRODUCT(OFFSET($BO$15,0,0,$B$14,1), 1*(_xlfn._xlws.FILTER(OFFSET($O$15,0,$DN89,$B$8,1),OFFSET($M$15,0,0,$B$8,1))=EN$13), 1*(_xlfn._xlws.FILTER(OFFSET($O$15,0,$DO89,$B$8,1),OFFSET($M$15,0,0,$B$8,1))=EN$14))   /   SUM(OFFSET($BO$15,0,0,$B$14,1)) + $B$18/($B$19*$B$19*($DN89&lt;&gt;$DO89) + $B$19*($DN89=$DO89))</f>
        <v>3.7037037037037035E-4</v>
      </c>
      <c r="EO89" s="10" cm="1">
        <f t="array" aca="1" ref="EO89" ca="1">(1-$B$18)*SUMPRODUCT(OFFSET($BO$15,0,0,$B$14,1), 1*(_xlfn._xlws.FILTER(OFFSET($O$15,0,$DN89,$B$8,1),OFFSET($M$15,0,0,$B$8,1))=EO$13), 1*(_xlfn._xlws.FILTER(OFFSET($O$15,0,$DO89,$B$8,1),OFFSET($M$15,0,0,$B$8,1))=EO$14))   /   SUM(OFFSET($BO$15,0,0,$B$14,1)) + $B$18/($B$19*$B$19*($DN89&lt;&gt;$DO89) + $B$19*($DN89=$DO89))</f>
        <v>3.7037037037037035E-4</v>
      </c>
      <c r="EP89" s="10" cm="1">
        <f t="array" aca="1" ref="EP89" ca="1">(1-$B$18)*SUMPRODUCT(OFFSET($BO$15,0,0,$B$14,1), 1*(_xlfn._xlws.FILTER(OFFSET($O$15,0,$DN89,$B$8,1),OFFSET($M$15,0,0,$B$8,1))=EP$13), 1*(_xlfn._xlws.FILTER(OFFSET($O$15,0,$DO89,$B$8,1),OFFSET($M$15,0,0,$B$8,1))=EP$14))   /   SUM(OFFSET($BO$15,0,0,$B$14,1)) + $B$18/($B$19*$B$19*($DN89&lt;&gt;$DO89) + $B$19*($DN89=$DO89))</f>
        <v>3.7037037037037035E-4</v>
      </c>
      <c r="EQ89" s="10" cm="1">
        <f t="array" aca="1" ref="EQ89" ca="1">(1-$B$18)*SUMPRODUCT(OFFSET($BO$15,0,0,$B$14,1), 1*(_xlfn._xlws.FILTER(OFFSET($O$15,0,$DN89,$B$8,1),OFFSET($M$15,0,0,$B$8,1))=EQ$13), 1*(_xlfn._xlws.FILTER(OFFSET($O$15,0,$DO89,$B$8,1),OFFSET($M$15,0,0,$B$8,1))=EQ$14))   /   SUM(OFFSET($BO$15,0,0,$B$14,1)) + $B$18/($B$19*$B$19*($DN89&lt;&gt;$DO89) + $B$19*($DN89=$DO89))</f>
        <v>3.7037037037037035E-4</v>
      </c>
      <c r="ER89" s="10" cm="1">
        <f t="array" aca="1" ref="ER89" ca="1">(1-$B$18)*SUMPRODUCT(OFFSET($BO$15,0,0,$B$14,1), 1*(_xlfn._xlws.FILTER(OFFSET($O$15,0,$DN89,$B$8,1),OFFSET($M$15,0,0,$B$8,1))=ER$13), 1*(_xlfn._xlws.FILTER(OFFSET($O$15,0,$DO89,$B$8,1),OFFSET($M$15,0,0,$B$8,1))=ER$14))   /   SUM(OFFSET($BO$15,0,0,$B$14,1)) + $B$18/($B$19*$B$19*($DN89&lt;&gt;$DO89) + $B$19*($DN89=$DO89))</f>
        <v>3.7037037037037035E-4</v>
      </c>
      <c r="ES89" s="10" cm="1">
        <f t="array" aca="1" ref="ES89" ca="1">(1-$B$18)*SUMPRODUCT(OFFSET($BO$15,0,0,$B$14,1), 1*(_xlfn._xlws.FILTER(OFFSET($O$15,0,$DN89,$B$8,1),OFFSET($M$15,0,0,$B$8,1))=ES$13), 1*(_xlfn._xlws.FILTER(OFFSET($O$15,0,$DO89,$B$8,1),OFFSET($M$15,0,0,$B$8,1))=ES$14))   /   SUM(OFFSET($BO$15,0,0,$B$14,1)) + $B$18/($B$19*$B$19*($DN89&lt;&gt;$DO89) + $B$19*($DN89=$DO89))</f>
        <v>3.7037037037037035E-4</v>
      </c>
      <c r="ET89" s="10" cm="1">
        <f t="array" aca="1" ref="ET89" ca="1">(1-$B$18)*SUMPRODUCT(OFFSET($BO$15,0,0,$B$14,1), 1*(_xlfn._xlws.FILTER(OFFSET($O$15,0,$DN89,$B$8,1),OFFSET($M$15,0,0,$B$8,1))=ET$13), 1*(_xlfn._xlws.FILTER(OFFSET($O$15,0,$DO89,$B$8,1),OFFSET($M$15,0,0,$B$8,1))=ET$14))   /   SUM(OFFSET($BO$15,0,0,$B$14,1)) + $B$18/($B$19*$B$19*($DN89&lt;&gt;$DO89) + $B$19*($DN89=$DO89))</f>
        <v>3.7037037037037035E-4</v>
      </c>
      <c r="EU89" s="10" cm="1">
        <f t="array" aca="1" ref="EU89" ca="1">(1-$B$18)*SUMPRODUCT(OFFSET($BO$15,0,0,$B$14,1), 1*(_xlfn._xlws.FILTER(OFFSET($O$15,0,$DN89,$B$8,1),OFFSET($M$15,0,0,$B$8,1))=EU$13), 1*(_xlfn._xlws.FILTER(OFFSET($O$15,0,$DO89,$B$8,1),OFFSET($M$15,0,0,$B$8,1))=EU$14))   /   SUM(OFFSET($BO$15,0,0,$B$14,1)) + $B$18/($B$19*$B$19*($DN89&lt;&gt;$DO89) + $B$19*($DN89=$DO89))</f>
        <v>3.7037037037037035E-4</v>
      </c>
      <c r="EV89" s="10" cm="1">
        <f t="array" aca="1" ref="EV89" ca="1">(1-$B$18)*SUMPRODUCT(OFFSET($BO$15,0,0,$B$14,1), 1*(_xlfn._xlws.FILTER(OFFSET($O$15,0,$DN89,$B$8,1),OFFSET($M$15,0,0,$B$8,1))=EV$13), 1*(_xlfn._xlws.FILTER(OFFSET($O$15,0,$DO89,$B$8,1),OFFSET($M$15,0,0,$B$8,1))=EV$14))   /   SUM(OFFSET($BO$15,0,0,$B$14,1)) + $B$18/($B$19*$B$19*($DN89&lt;&gt;$DO89) + $B$19*($DN89=$DO89))</f>
        <v>3.7037037037037035E-4</v>
      </c>
      <c r="EW89" s="10" cm="1">
        <f t="array" aca="1" ref="EW89" ca="1">(1-$B$18)*SUMPRODUCT(OFFSET($BO$15,0,0,$B$14,1), 1*(_xlfn._xlws.FILTER(OFFSET($O$15,0,$DN89,$B$8,1),OFFSET($M$15,0,0,$B$8,1))=EW$13), 1*(_xlfn._xlws.FILTER(OFFSET($O$15,0,$DO89,$B$8,1),OFFSET($M$15,0,0,$B$8,1))=EW$14))   /   SUM(OFFSET($BO$15,0,0,$B$14,1)) + $B$18/($B$19*$B$19*($DN89&lt;&gt;$DO89) + $B$19*($DN89=$DO89))</f>
        <v>3.7037037037037035E-4</v>
      </c>
      <c r="EX89" s="10" cm="1">
        <f t="array" aca="1" ref="EX89" ca="1">(1-$B$18)*SUMPRODUCT(OFFSET($BO$15,0,0,$B$14,1), 1*(_xlfn._xlws.FILTER(OFFSET($O$15,0,$DN89,$B$8,1),OFFSET($M$15,0,0,$B$8,1))=EX$13), 1*(_xlfn._xlws.FILTER(OFFSET($O$15,0,$DO89,$B$8,1),OFFSET($M$15,0,0,$B$8,1))=EX$14))   /   SUM(OFFSET($BO$15,0,0,$B$14,1)) + $B$18/($B$19*$B$19*($DN89&lt;&gt;$DO89) + $B$19*($DN89=$DO89))</f>
        <v>3.7037037037037035E-4</v>
      </c>
      <c r="EY89" s="10" cm="1">
        <f t="array" aca="1" ref="EY89" ca="1">(1-$B$18)*SUMPRODUCT(OFFSET($BO$15,0,0,$B$14,1), 1*(_xlfn._xlws.FILTER(OFFSET($O$15,0,$DN89,$B$8,1),OFFSET($M$15,0,0,$B$8,1))=EY$13), 1*(_xlfn._xlws.FILTER(OFFSET($O$15,0,$DO89,$B$8,1),OFFSET($M$15,0,0,$B$8,1))=EY$14))   /   SUM(OFFSET($BO$15,0,0,$B$14,1)) + $B$18/($B$19*$B$19*($DN89&lt;&gt;$DO89) + $B$19*($DN89=$DO89))</f>
        <v>3.7037037037037035E-4</v>
      </c>
      <c r="EZ89" s="10" cm="1">
        <f t="array" aca="1" ref="EZ89" ca="1">(1-$B$18)*SUMPRODUCT(OFFSET($BO$15,0,0,$B$14,1), 1*(_xlfn._xlws.FILTER(OFFSET($O$15,0,$DN89,$B$8,1),OFFSET($M$15,0,0,$B$8,1))=EZ$13), 1*(_xlfn._xlws.FILTER(OFFSET($O$15,0,$DO89,$B$8,1),OFFSET($M$15,0,0,$B$8,1))=EZ$14))   /   SUM(OFFSET($BO$15,0,0,$B$14,1)) + $B$18/($B$19*$B$19*($DN89&lt;&gt;$DO89) + $B$19*($DN89=$DO89))</f>
        <v>3.7037037037037035E-4</v>
      </c>
      <c r="FA89" s="10" cm="1">
        <f t="array" aca="1" ref="FA89" ca="1">(1-$B$18)*SUMPRODUCT(OFFSET($BO$15,0,0,$B$14,1), 1*(_xlfn._xlws.FILTER(OFFSET($O$15,0,$DN89,$B$8,1),OFFSET($M$15,0,0,$B$8,1))=FA$13), 1*(_xlfn._xlws.FILTER(OFFSET($O$15,0,$DO89,$B$8,1),OFFSET($M$15,0,0,$B$8,1))=FA$14))   /   SUM(OFFSET($BO$15,0,0,$B$14,1)) + $B$18/($B$19*$B$19*($DN89&lt;&gt;$DO89) + $B$19*($DN89=$DO89))</f>
        <v>3.7037037037037035E-4</v>
      </c>
      <c r="FB89" s="10" cm="1">
        <f t="array" aca="1" ref="FB89" ca="1">(1-$B$18)*SUMPRODUCT(OFFSET($BO$15,0,0,$B$14,1), 1*(_xlfn._xlws.FILTER(OFFSET($O$15,0,$DN89,$B$8,1),OFFSET($M$15,0,0,$B$8,1))=FB$13), 1*(_xlfn._xlws.FILTER(OFFSET($O$15,0,$DO89,$B$8,1),OFFSET($M$15,0,0,$B$8,1))=FB$14))   /   SUM(OFFSET($BO$15,0,0,$B$14,1)) + $B$18/($B$19*$B$19*($DN89&lt;&gt;$DO89) + $B$19*($DN89=$DO89))</f>
        <v>3.7037037037037035E-4</v>
      </c>
      <c r="FC89" s="10" cm="1">
        <f t="array" aca="1" ref="FC89" ca="1">(1-$B$18)*SUMPRODUCT(OFFSET($BO$15,0,0,$B$14,1), 1*(_xlfn._xlws.FILTER(OFFSET($O$15,0,$DN89,$B$8,1),OFFSET($M$15,0,0,$B$8,1))=FC$13), 1*(_xlfn._xlws.FILTER(OFFSET($O$15,0,$DO89,$B$8,1),OFFSET($M$15,0,0,$B$8,1))=FC$14))   /   SUM(OFFSET($BO$15,0,0,$B$14,1)) + $B$18/($B$19*$B$19*($DN89&lt;&gt;$DO89) + $B$19*($DN89=$DO89))</f>
        <v>3.7037037037037035E-4</v>
      </c>
      <c r="FD89" s="10" cm="1">
        <f t="array" aca="1" ref="FD89" ca="1">(1-$B$18)*SUMPRODUCT(OFFSET($BO$15,0,0,$B$14,1), 1*(_xlfn._xlws.FILTER(OFFSET($O$15,0,$DN89,$B$8,1),OFFSET($M$15,0,0,$B$8,1))=FD$13), 1*(_xlfn._xlws.FILTER(OFFSET($O$15,0,$DO89,$B$8,1),OFFSET($M$15,0,0,$B$8,1))=FD$14))   /   SUM(OFFSET($BO$15,0,0,$B$14,1)) + $B$18/($B$19*$B$19*($DN89&lt;&gt;$DO89) + $B$19*($DN89=$DO89))</f>
        <v>3.7037037037037035E-4</v>
      </c>
      <c r="FE89" s="10" cm="1">
        <f t="array" aca="1" ref="FE89" ca="1">(1-$B$18)*SUMPRODUCT(OFFSET($BO$15,0,0,$B$14,1), 1*(_xlfn._xlws.FILTER(OFFSET($O$15,0,$DN89,$B$8,1),OFFSET($M$15,0,0,$B$8,1))=FE$13), 1*(_xlfn._xlws.FILTER(OFFSET($O$15,0,$DO89,$B$8,1),OFFSET($M$15,0,0,$B$8,1))=FE$14))   /   SUM(OFFSET($BO$15,0,0,$B$14,1)) + $B$18/($B$19*$B$19*($DN89&lt;&gt;$DO89) + $B$19*($DN89=$DO89))</f>
        <v>3.7037037037037035E-4</v>
      </c>
      <c r="FF89" s="10" cm="1">
        <f t="array" aca="1" ref="FF89" ca="1">(1-$B$18)*SUMPRODUCT(OFFSET($BO$15,0,0,$B$14,1), 1*(_xlfn._xlws.FILTER(OFFSET($O$15,0,$DN89,$B$8,1),OFFSET($M$15,0,0,$B$8,1))=FF$13), 1*(_xlfn._xlws.FILTER(OFFSET($O$15,0,$DO89,$B$8,1),OFFSET($M$15,0,0,$B$8,1))=FF$14))   /   SUM(OFFSET($BO$15,0,0,$B$14,1)) + $B$18/($B$19*$B$19*($DN89&lt;&gt;$DO89) + $B$19*($DN89=$DO89))</f>
        <v>3.7037037037037035E-4</v>
      </c>
      <c r="FG89" s="10" cm="1">
        <f t="array" aca="1" ref="FG89" ca="1">(1-$B$18)*SUMPRODUCT(OFFSET($BO$15,0,0,$B$14,1), 1*(_xlfn._xlws.FILTER(OFFSET($O$15,0,$DN89,$B$8,1),OFFSET($M$15,0,0,$B$8,1))=FG$13), 1*(_xlfn._xlws.FILTER(OFFSET($O$15,0,$DO89,$B$8,1),OFFSET($M$15,0,0,$B$8,1))=FG$14))   /   SUM(OFFSET($BO$15,0,0,$B$14,1)) + $B$18/($B$19*$B$19*($DN89&lt;&gt;$DO89) + $B$19*($DN89=$DO89))</f>
        <v>3.7037037037037035E-4</v>
      </c>
      <c r="FH89" s="10" cm="1">
        <f t="array" aca="1" ref="FH89" ca="1">(1-$B$18)*SUMPRODUCT(OFFSET($BO$15,0,0,$B$14,1), 1*(_xlfn._xlws.FILTER(OFFSET($O$15,0,$DN89,$B$8,1),OFFSET($M$15,0,0,$B$8,1))=FH$13), 1*(_xlfn._xlws.FILTER(OFFSET($O$15,0,$DO89,$B$8,1),OFFSET($M$15,0,0,$B$8,1))=FH$14))   /   SUM(OFFSET($BO$15,0,0,$B$14,1)) + $B$18/($B$19*$B$19*($DN89&lt;&gt;$DO89) + $B$19*($DN89=$DO89))</f>
        <v>3.7037037037037035E-4</v>
      </c>
      <c r="FI89" s="10" cm="1">
        <f t="array" aca="1" ref="FI89" ca="1">(1-$B$18)*SUMPRODUCT(OFFSET($BO$15,0,0,$B$14,1), 1*(_xlfn._xlws.FILTER(OFFSET($O$15,0,$DN89,$B$8,1),OFFSET($M$15,0,0,$B$8,1))=FI$13), 1*(_xlfn._xlws.FILTER(OFFSET($O$15,0,$DO89,$B$8,1),OFFSET($M$15,0,0,$B$8,1))=FI$14))   /   SUM(OFFSET($BO$15,0,0,$B$14,1)) + $B$18/($B$19*$B$19*($DN89&lt;&gt;$DO89) + $B$19*($DN89=$DO89))</f>
        <v>3.7037037037037035E-4</v>
      </c>
      <c r="FJ89" s="10" cm="1">
        <f t="array" aca="1" ref="FJ89" ca="1">(1-$B$18)*SUMPRODUCT(OFFSET($BO$15,0,0,$B$14,1), 1*(_xlfn._xlws.FILTER(OFFSET($O$15,0,$DN89,$B$8,1),OFFSET($M$15,0,0,$B$8,1))=FJ$13), 1*(_xlfn._xlws.FILTER(OFFSET($O$15,0,$DO89,$B$8,1),OFFSET($M$15,0,0,$B$8,1))=FJ$14))   /   SUM(OFFSET($BO$15,0,0,$B$14,1)) + $B$18/($B$19*$B$19*($DN89&lt;&gt;$DO89) + $B$19*($DN89=$DO89))</f>
        <v>3.7037037037037035E-4</v>
      </c>
      <c r="FK89" s="10" cm="1">
        <f t="array" aca="1" ref="FK89" ca="1">(1-$B$18)*SUMPRODUCT(OFFSET($BO$15,0,0,$B$14,1), 1*(_xlfn._xlws.FILTER(OFFSET($O$15,0,$DN89,$B$8,1),OFFSET($M$15,0,0,$B$8,1))=FK$13), 1*(_xlfn._xlws.FILTER(OFFSET($O$15,0,$DO89,$B$8,1),OFFSET($M$15,0,0,$B$8,1))=FK$14))   /   SUM(OFFSET($BO$15,0,0,$B$14,1)) + $B$18/($B$19*$B$19*($DN89&lt;&gt;$DO89) + $B$19*($DN89=$DO89))</f>
        <v>3.7037037037037035E-4</v>
      </c>
      <c r="FL89" s="10" cm="1">
        <f t="array" aca="1" ref="FL89" ca="1">(1-$B$18)*SUMPRODUCT(OFFSET($BO$15,0,0,$B$14,1), 1*(_xlfn._xlws.FILTER(OFFSET($O$15,0,$DN89,$B$8,1),OFFSET($M$15,0,0,$B$8,1))=FL$13), 1*(_xlfn._xlws.FILTER(OFFSET($O$15,0,$DO89,$B$8,1),OFFSET($M$15,0,0,$B$8,1))=FL$14))   /   SUM(OFFSET($BO$15,0,0,$B$14,1)) + $B$18/($B$19*$B$19*($DN89&lt;&gt;$DO89) + $B$19*($DN89=$DO89))</f>
        <v>3.7037037037037035E-4</v>
      </c>
      <c r="FM89" s="10" cm="1">
        <f t="array" aca="1" ref="FM89" ca="1">(1-$B$18)*SUMPRODUCT(OFFSET($BO$15,0,0,$B$14,1), 1*(_xlfn._xlws.FILTER(OFFSET($O$15,0,$DN89,$B$8,1),OFFSET($M$15,0,0,$B$8,1))=FM$13), 1*(_xlfn._xlws.FILTER(OFFSET($O$15,0,$DO89,$B$8,1),OFFSET($M$15,0,0,$B$8,1))=FM$14))   /   SUM(OFFSET($BO$15,0,0,$B$14,1)) + $B$18/($B$19*$B$19*($DN89&lt;&gt;$DO89) + $B$19*($DN89=$DO89))</f>
        <v>3.7037037037037035E-4</v>
      </c>
      <c r="FN89" s="10" cm="1">
        <f t="array" aca="1" ref="FN89" ca="1">(1-$B$18)*SUMPRODUCT(OFFSET($BO$15,0,0,$B$14,1), 1*(_xlfn._xlws.FILTER(OFFSET($O$15,0,$DN89,$B$8,1),OFFSET($M$15,0,0,$B$8,1))=FN$13), 1*(_xlfn._xlws.FILTER(OFFSET($O$15,0,$DO89,$B$8,1),OFFSET($M$15,0,0,$B$8,1))=FN$14))   /   SUM(OFFSET($BO$15,0,0,$B$14,1)) + $B$18/($B$19*$B$19*($DN89&lt;&gt;$DO89) + $B$19*($DN89=$DO89))</f>
        <v>3.7037037037037035E-4</v>
      </c>
      <c r="FO89" s="10" cm="1">
        <f t="array" aca="1" ref="FO89" ca="1">(1-$B$18)*SUMPRODUCT(OFFSET($BO$15,0,0,$B$14,1), 1*(_xlfn._xlws.FILTER(OFFSET($O$15,0,$DN89,$B$8,1),OFFSET($M$15,0,0,$B$8,1))=FO$13), 1*(_xlfn._xlws.FILTER(OFFSET($O$15,0,$DO89,$B$8,1),OFFSET($M$15,0,0,$B$8,1))=FO$14))   /   SUM(OFFSET($BO$15,0,0,$B$14,1)) + $B$18/($B$19*$B$19*($DN89&lt;&gt;$DO89) + $B$19*($DN89=$DO89))</f>
        <v>3.7037037037037035E-4</v>
      </c>
      <c r="FP89" s="10" cm="1">
        <f t="array" aca="1" ref="FP89" ca="1">(1-$B$18)*SUMPRODUCT(OFFSET($BO$15,0,0,$B$14,1), 1*(_xlfn._xlws.FILTER(OFFSET($O$15,0,$DN89,$B$8,1),OFFSET($M$15,0,0,$B$8,1))=FP$13), 1*(_xlfn._xlws.FILTER(OFFSET($O$15,0,$DO89,$B$8,1),OFFSET($M$15,0,0,$B$8,1))=FP$14))   /   SUM(OFFSET($BO$15,0,0,$B$14,1)) + $B$18/($B$19*$B$19*($DN89&lt;&gt;$DO89) + $B$19*($DN89=$DO89))</f>
        <v>0.24287037037037024</v>
      </c>
      <c r="FQ89" s="10" cm="1">
        <f t="array" aca="1" ref="FQ89" ca="1">(1-$B$18)*SUMPRODUCT(OFFSET($BO$15,0,0,$B$14,1), 1*(_xlfn._xlws.FILTER(OFFSET($O$15,0,$DN89,$B$8,1),OFFSET($M$15,0,0,$B$8,1))=FQ$13), 1*(_xlfn._xlws.FILTER(OFFSET($O$15,0,$DO89,$B$8,1),OFFSET($M$15,0,0,$B$8,1))=FQ$14))   /   SUM(OFFSET($BO$15,0,0,$B$14,1)) + $B$18/($B$19*$B$19*($DN89&lt;&gt;$DO89) + $B$19*($DN89=$DO89))</f>
        <v>0.24287037037037026</v>
      </c>
      <c r="FR89" s="10" cm="1">
        <f t="array" aca="1" ref="FR89" ca="1">(1-$B$18)*SUMPRODUCT(OFFSET($BO$15,0,0,$B$14,1), 1*(_xlfn._xlws.FILTER(OFFSET($O$15,0,$DN89,$B$8,1),OFFSET($M$15,0,0,$B$8,1))=FR$13), 1*(_xlfn._xlws.FILTER(OFFSET($O$15,0,$DO89,$B$8,1),OFFSET($M$15,0,0,$B$8,1))=FR$14))   /   SUM(OFFSET($BO$15,0,0,$B$14,1)) + $B$18/($B$19*$B$19*($DN89&lt;&gt;$DO89) + $B$19*($DN89=$DO89))</f>
        <v>0.48537037037037012</v>
      </c>
      <c r="FS89" s="10" cm="1">
        <f t="array" aca="1" ref="FS89" ca="1">(1-$B$18)*SUMPRODUCT(OFFSET($BO$15,0,0,$B$14,1), 1*(_xlfn._xlws.FILTER(OFFSET($O$15,0,$DN89,$B$8,1),OFFSET($M$15,0,0,$B$8,1))=FS$13), 1*(_xlfn._xlws.FILTER(OFFSET($O$15,0,$DO89,$B$8,1),OFFSET($M$15,0,0,$B$8,1))=FS$14))   /   SUM(OFFSET($BO$15,0,0,$B$14,1)) + $B$18/($B$19*$B$19*($DN89&lt;&gt;$DO89) + $B$19*($DN89=$DO89))</f>
        <v>3.7037037037037035E-4</v>
      </c>
      <c r="FT89" s="10" cm="1">
        <f t="array" aca="1" ref="FT89" ca="1">(1-$B$18)*SUMPRODUCT(OFFSET($BO$15,0,0,$B$14,1), 1*(_xlfn._xlws.FILTER(OFFSET($O$15,0,$DN89,$B$8,1),OFFSET($M$15,0,0,$B$8,1))=FT$13), 1*(_xlfn._xlws.FILTER(OFFSET($O$15,0,$DO89,$B$8,1),OFFSET($M$15,0,0,$B$8,1))=FT$14))   /   SUM(OFFSET($BO$15,0,0,$B$14,1)) + $B$18/($B$19*$B$19*($DN89&lt;&gt;$DO89) + $B$19*($DN89=$DO89))</f>
        <v>3.7037037037037035E-4</v>
      </c>
      <c r="FU89" s="10" cm="1">
        <f t="array" aca="1" ref="FU89" ca="1">(1-$B$18)*SUMPRODUCT(OFFSET($BO$15,0,0,$B$14,1), 1*(_xlfn._xlws.FILTER(OFFSET($O$15,0,$DN89,$B$8,1),OFFSET($M$15,0,0,$B$8,1))=FU$13), 1*(_xlfn._xlws.FILTER(OFFSET($O$15,0,$DO89,$B$8,1),OFFSET($M$15,0,0,$B$8,1))=FU$14))   /   SUM(OFFSET($BO$15,0,0,$B$14,1)) + $B$18/($B$19*$B$19*($DN89&lt;&gt;$DO89) + $B$19*($DN89=$DO89))</f>
        <v>3.7037037037037035E-4</v>
      </c>
      <c r="FV89" s="10" cm="1">
        <f t="array" aca="1" ref="FV89" ca="1">(1-$B$18)*SUMPRODUCT(OFFSET($BO$15,0,0,$B$14,1), 1*(_xlfn._xlws.FILTER(OFFSET($O$15,0,$DN89,$B$8,1),OFFSET($M$15,0,0,$B$8,1))=FV$13), 1*(_xlfn._xlws.FILTER(OFFSET($O$15,0,$DO89,$B$8,1),OFFSET($M$15,0,0,$B$8,1))=FV$14))   /   SUM(OFFSET($BO$15,0,0,$B$14,1)) + $B$18/($B$19*$B$19*($DN89&lt;&gt;$DO89) + $B$19*($DN89=$DO89))</f>
        <v>3.7037037037037035E-4</v>
      </c>
      <c r="FW89" s="10" cm="1">
        <f t="array" aca="1" ref="FW89" ca="1">(1-$B$18)*SUMPRODUCT(OFFSET($BO$15,0,0,$B$14,1), 1*(_xlfn._xlws.FILTER(OFFSET($O$15,0,$DN89,$B$8,1),OFFSET($M$15,0,0,$B$8,1))=FW$13), 1*(_xlfn._xlws.FILTER(OFFSET($O$15,0,$DO89,$B$8,1),OFFSET($M$15,0,0,$B$8,1))=FW$14))   /   SUM(OFFSET($BO$15,0,0,$B$14,1)) + $B$18/($B$19*$B$19*($DN89&lt;&gt;$DO89) + $B$19*($DN89=$DO89))</f>
        <v>3.7037037037037035E-4</v>
      </c>
      <c r="FX89" s="10" cm="1">
        <f t="array" aca="1" ref="FX89" ca="1">(1-$B$18)*SUMPRODUCT(OFFSET($BO$15,0,0,$B$14,1), 1*(_xlfn._xlws.FILTER(OFFSET($O$15,0,$DN89,$B$8,1),OFFSET($M$15,0,0,$B$8,1))=FX$13), 1*(_xlfn._xlws.FILTER(OFFSET($O$15,0,$DO89,$B$8,1),OFFSET($M$15,0,0,$B$8,1))=FX$14))   /   SUM(OFFSET($BO$15,0,0,$B$14,1)) + $B$18/($B$19*$B$19*($DN89&lt;&gt;$DO89) + $B$19*($DN89=$DO89))</f>
        <v>3.7037037037037035E-4</v>
      </c>
      <c r="FY89" s="10" cm="1">
        <f t="array" aca="1" ref="FY89" ca="1">(1-$B$18)*SUMPRODUCT(OFFSET($BO$15,0,0,$B$14,1), 1*(_xlfn._xlws.FILTER(OFFSET($O$15,0,$DN89,$B$8,1),OFFSET($M$15,0,0,$B$8,1))=FY$13), 1*(_xlfn._xlws.FILTER(OFFSET($O$15,0,$DO89,$B$8,1),OFFSET($M$15,0,0,$B$8,1))=FY$14))   /   SUM(OFFSET($BO$15,0,0,$B$14,1)) + $B$18/($B$19*$B$19*($DN89&lt;&gt;$DO89) + $B$19*($DN89=$DO89))</f>
        <v>3.7037037037037035E-4</v>
      </c>
      <c r="FZ89" s="10" cm="1">
        <f t="array" aca="1" ref="FZ89" ca="1">(1-$B$18)*SUMPRODUCT(OFFSET($BO$15,0,0,$B$14,1), 1*(_xlfn._xlws.FILTER(OFFSET($O$15,0,$DN89,$B$8,1),OFFSET($M$15,0,0,$B$8,1))=FZ$13), 1*(_xlfn._xlws.FILTER(OFFSET($O$15,0,$DO89,$B$8,1),OFFSET($M$15,0,0,$B$8,1))=FZ$14))   /   SUM(OFFSET($BO$15,0,0,$B$14,1)) + $B$18/($B$19*$B$19*($DN89&lt;&gt;$DO89) + $B$19*($DN89=$DO89))</f>
        <v>3.7037037037037035E-4</v>
      </c>
      <c r="GA89" s="10" cm="1">
        <f t="array" aca="1" ref="GA89" ca="1">(1-$B$18)*SUMPRODUCT(OFFSET($BO$15,0,0,$B$14,1), 1*(_xlfn._xlws.FILTER(OFFSET($O$15,0,$DN89,$B$8,1),OFFSET($M$15,0,0,$B$8,1))=GA$13), 1*(_xlfn._xlws.FILTER(OFFSET($O$15,0,$DO89,$B$8,1),OFFSET($M$15,0,0,$B$8,1))=GA$14))   /   SUM(OFFSET($BO$15,0,0,$B$14,1)) + $B$18/($B$19*$B$19*($DN89&lt;&gt;$DO89) + $B$19*($DN89=$DO89))</f>
        <v>3.7037037037037035E-4</v>
      </c>
    </row>
    <row r="90" spans="7:183" x14ac:dyDescent="0.2">
      <c r="DN90" cm="1">
        <f t="array" aca="1" ref="DN90" ca="1">INDEX(_xlfn.ANCHORARRAY($CP$15), 1 + INT((ROWS($DO$15:$DO90) - 1) / ROWS(_xlfn.ANCHORARRAY($CP$15))))</f>
        <v>3</v>
      </c>
      <c r="DO90" cm="1">
        <f t="array" aca="1" ref="DO90" ca="1">INDEX(_xlfn.ANCHORARRAY($CP$15),1+MOD(ROWS($DO$15:$DO90)-1,ROWS(_xlfn.ANCHORARRAY($CP$15))))</f>
        <v>21</v>
      </c>
      <c r="DP90" s="10" cm="1">
        <f t="array" aca="1" ref="DP90" ca="1">(1-$B$18)*SUMPRODUCT(OFFSET($BO$15,0,0,$B$14,1), 1*(_xlfn._xlws.FILTER(OFFSET($O$15,0,$DN90,$B$8,1),OFFSET($M$15,0,0,$B$8,1))=DP$13), 1*(_xlfn._xlws.FILTER(OFFSET($O$15,0,$DO90,$B$8,1),OFFSET($M$15,0,0,$B$8,1))=DP$14))   /   SUM(OFFSET($BO$15,0,0,$B$14,1)) + $B$18/($B$19*$B$19*($DN90&lt;&gt;$DO90) + $B$19*($DN90=$DO90))</f>
        <v>3.7037037037037035E-4</v>
      </c>
      <c r="DQ90" s="10" cm="1">
        <f t="array" aca="1" ref="DQ90" ca="1">(1-$B$18)*SUMPRODUCT(OFFSET($BO$15,0,0,$B$14,1), 1*(_xlfn._xlws.FILTER(OFFSET($O$15,0,$DN90,$B$8,1),OFFSET($M$15,0,0,$B$8,1))=DQ$13), 1*(_xlfn._xlws.FILTER(OFFSET($O$15,0,$DO90,$B$8,1),OFFSET($M$15,0,0,$B$8,1))=DQ$14))   /   SUM(OFFSET($BO$15,0,0,$B$14,1)) + $B$18/($B$19*$B$19*($DN90&lt;&gt;$DO90) + $B$19*($DN90=$DO90))</f>
        <v>3.7037037037037035E-4</v>
      </c>
      <c r="DR90" s="10" cm="1">
        <f t="array" aca="1" ref="DR90" ca="1">(1-$B$18)*SUMPRODUCT(OFFSET($BO$15,0,0,$B$14,1), 1*(_xlfn._xlws.FILTER(OFFSET($O$15,0,$DN90,$B$8,1),OFFSET($M$15,0,0,$B$8,1))=DR$13), 1*(_xlfn._xlws.FILTER(OFFSET($O$15,0,$DO90,$B$8,1),OFFSET($M$15,0,0,$B$8,1))=DR$14))   /   SUM(OFFSET($BO$15,0,0,$B$14,1)) + $B$18/($B$19*$B$19*($DN90&lt;&gt;$DO90) + $B$19*($DN90=$DO90))</f>
        <v>3.7037037037037035E-4</v>
      </c>
      <c r="DS90" s="10" cm="1">
        <f t="array" aca="1" ref="DS90" ca="1">(1-$B$18)*SUMPRODUCT(OFFSET($BO$15,0,0,$B$14,1), 1*(_xlfn._xlws.FILTER(OFFSET($O$15,0,$DN90,$B$8,1),OFFSET($M$15,0,0,$B$8,1))=DS$13), 1*(_xlfn._xlws.FILTER(OFFSET($O$15,0,$DO90,$B$8,1),OFFSET($M$15,0,0,$B$8,1))=DS$14))   /   SUM(OFFSET($BO$15,0,0,$B$14,1)) + $B$18/($B$19*$B$19*($DN90&lt;&gt;$DO90) + $B$19*($DN90=$DO90))</f>
        <v>3.7037037037037035E-4</v>
      </c>
      <c r="DT90" s="10" cm="1">
        <f t="array" aca="1" ref="DT90" ca="1">(1-$B$18)*SUMPRODUCT(OFFSET($BO$15,0,0,$B$14,1), 1*(_xlfn._xlws.FILTER(OFFSET($O$15,0,$DN90,$B$8,1),OFFSET($M$15,0,0,$B$8,1))=DT$13), 1*(_xlfn._xlws.FILTER(OFFSET($O$15,0,$DO90,$B$8,1),OFFSET($M$15,0,0,$B$8,1))=DT$14))   /   SUM(OFFSET($BO$15,0,0,$B$14,1)) + $B$18/($B$19*$B$19*($DN90&lt;&gt;$DO90) + $B$19*($DN90=$DO90))</f>
        <v>3.7037037037037035E-4</v>
      </c>
      <c r="DU90" s="10" cm="1">
        <f t="array" aca="1" ref="DU90" ca="1">(1-$B$18)*SUMPRODUCT(OFFSET($BO$15,0,0,$B$14,1), 1*(_xlfn._xlws.FILTER(OFFSET($O$15,0,$DN90,$B$8,1),OFFSET($M$15,0,0,$B$8,1))=DU$13), 1*(_xlfn._xlws.FILTER(OFFSET($O$15,0,$DO90,$B$8,1),OFFSET($M$15,0,0,$B$8,1))=DU$14))   /   SUM(OFFSET($BO$15,0,0,$B$14,1)) + $B$18/($B$19*$B$19*($DN90&lt;&gt;$DO90) + $B$19*($DN90=$DO90))</f>
        <v>3.7037037037037035E-4</v>
      </c>
      <c r="DV90" s="10" cm="1">
        <f t="array" aca="1" ref="DV90" ca="1">(1-$B$18)*SUMPRODUCT(OFFSET($BO$15,0,0,$B$14,1), 1*(_xlfn._xlws.FILTER(OFFSET($O$15,0,$DN90,$B$8,1),OFFSET($M$15,0,0,$B$8,1))=DV$13), 1*(_xlfn._xlws.FILTER(OFFSET($O$15,0,$DO90,$B$8,1),OFFSET($M$15,0,0,$B$8,1))=DV$14))   /   SUM(OFFSET($BO$15,0,0,$B$14,1)) + $B$18/($B$19*$B$19*($DN90&lt;&gt;$DO90) + $B$19*($DN90=$DO90))</f>
        <v>3.7037037037037035E-4</v>
      </c>
      <c r="DW90" s="10" cm="1">
        <f t="array" aca="1" ref="DW90" ca="1">(1-$B$18)*SUMPRODUCT(OFFSET($BO$15,0,0,$B$14,1), 1*(_xlfn._xlws.FILTER(OFFSET($O$15,0,$DN90,$B$8,1),OFFSET($M$15,0,0,$B$8,1))=DW$13), 1*(_xlfn._xlws.FILTER(OFFSET($O$15,0,$DO90,$B$8,1),OFFSET($M$15,0,0,$B$8,1))=DW$14))   /   SUM(OFFSET($BO$15,0,0,$B$14,1)) + $B$18/($B$19*$B$19*($DN90&lt;&gt;$DO90) + $B$19*($DN90=$DO90))</f>
        <v>3.7037037037037035E-4</v>
      </c>
      <c r="DX90" s="10" cm="1">
        <f t="array" aca="1" ref="DX90" ca="1">(1-$B$18)*SUMPRODUCT(OFFSET($BO$15,0,0,$B$14,1), 1*(_xlfn._xlws.FILTER(OFFSET($O$15,0,$DN90,$B$8,1),OFFSET($M$15,0,0,$B$8,1))=DX$13), 1*(_xlfn._xlws.FILTER(OFFSET($O$15,0,$DO90,$B$8,1),OFFSET($M$15,0,0,$B$8,1))=DX$14))   /   SUM(OFFSET($BO$15,0,0,$B$14,1)) + $B$18/($B$19*$B$19*($DN90&lt;&gt;$DO90) + $B$19*($DN90=$DO90))</f>
        <v>3.7037037037037035E-4</v>
      </c>
      <c r="DY90" s="10" cm="1">
        <f t="array" aca="1" ref="DY90" ca="1">(1-$B$18)*SUMPRODUCT(OFFSET($BO$15,0,0,$B$14,1), 1*(_xlfn._xlws.FILTER(OFFSET($O$15,0,$DN90,$B$8,1),OFFSET($M$15,0,0,$B$8,1))=DY$13), 1*(_xlfn._xlws.FILTER(OFFSET($O$15,0,$DO90,$B$8,1),OFFSET($M$15,0,0,$B$8,1))=DY$14))   /   SUM(OFFSET($BO$15,0,0,$B$14,1)) + $B$18/($B$19*$B$19*($DN90&lt;&gt;$DO90) + $B$19*($DN90=$DO90))</f>
        <v>3.7037037037037035E-4</v>
      </c>
      <c r="DZ90" s="10" cm="1">
        <f t="array" aca="1" ref="DZ90" ca="1">(1-$B$18)*SUMPRODUCT(OFFSET($BO$15,0,0,$B$14,1), 1*(_xlfn._xlws.FILTER(OFFSET($O$15,0,$DN90,$B$8,1),OFFSET($M$15,0,0,$B$8,1))=DZ$13), 1*(_xlfn._xlws.FILTER(OFFSET($O$15,0,$DO90,$B$8,1),OFFSET($M$15,0,0,$B$8,1))=DZ$14))   /   SUM(OFFSET($BO$15,0,0,$B$14,1)) + $B$18/($B$19*$B$19*($DN90&lt;&gt;$DO90) + $B$19*($DN90=$DO90))</f>
        <v>3.7037037037037035E-4</v>
      </c>
      <c r="EA90" s="10" cm="1">
        <f t="array" aca="1" ref="EA90" ca="1">(1-$B$18)*SUMPRODUCT(OFFSET($BO$15,0,0,$B$14,1), 1*(_xlfn._xlws.FILTER(OFFSET($O$15,0,$DN90,$B$8,1),OFFSET($M$15,0,0,$B$8,1))=EA$13), 1*(_xlfn._xlws.FILTER(OFFSET($O$15,0,$DO90,$B$8,1),OFFSET($M$15,0,0,$B$8,1))=EA$14))   /   SUM(OFFSET($BO$15,0,0,$B$14,1)) + $B$18/($B$19*$B$19*($DN90&lt;&gt;$DO90) + $B$19*($DN90=$DO90))</f>
        <v>3.7037037037037035E-4</v>
      </c>
      <c r="EB90" s="10" cm="1">
        <f t="array" aca="1" ref="EB90" ca="1">(1-$B$18)*SUMPRODUCT(OFFSET($BO$15,0,0,$B$14,1), 1*(_xlfn._xlws.FILTER(OFFSET($O$15,0,$DN90,$B$8,1),OFFSET($M$15,0,0,$B$8,1))=EB$13), 1*(_xlfn._xlws.FILTER(OFFSET($O$15,0,$DO90,$B$8,1),OFFSET($M$15,0,0,$B$8,1))=EB$14))   /   SUM(OFFSET($BO$15,0,0,$B$14,1)) + $B$18/($B$19*$B$19*($DN90&lt;&gt;$DO90) + $B$19*($DN90=$DO90))</f>
        <v>3.7037037037037035E-4</v>
      </c>
      <c r="EC90" s="10" cm="1">
        <f t="array" aca="1" ref="EC90" ca="1">(1-$B$18)*SUMPRODUCT(OFFSET($BO$15,0,0,$B$14,1), 1*(_xlfn._xlws.FILTER(OFFSET($O$15,0,$DN90,$B$8,1),OFFSET($M$15,0,0,$B$8,1))=EC$13), 1*(_xlfn._xlws.FILTER(OFFSET($O$15,0,$DO90,$B$8,1),OFFSET($M$15,0,0,$B$8,1))=EC$14))   /   SUM(OFFSET($BO$15,0,0,$B$14,1)) + $B$18/($B$19*$B$19*($DN90&lt;&gt;$DO90) + $B$19*($DN90=$DO90))</f>
        <v>3.7037037037037035E-4</v>
      </c>
      <c r="ED90" s="10" cm="1">
        <f t="array" aca="1" ref="ED90" ca="1">(1-$B$18)*SUMPRODUCT(OFFSET($BO$15,0,0,$B$14,1), 1*(_xlfn._xlws.FILTER(OFFSET($O$15,0,$DN90,$B$8,1),OFFSET($M$15,0,0,$B$8,1))=ED$13), 1*(_xlfn._xlws.FILTER(OFFSET($O$15,0,$DO90,$B$8,1),OFFSET($M$15,0,0,$B$8,1))=ED$14))   /   SUM(OFFSET($BO$15,0,0,$B$14,1)) + $B$18/($B$19*$B$19*($DN90&lt;&gt;$DO90) + $B$19*($DN90=$DO90))</f>
        <v>3.7037037037037035E-4</v>
      </c>
      <c r="EE90" s="10" cm="1">
        <f t="array" aca="1" ref="EE90" ca="1">(1-$B$18)*SUMPRODUCT(OFFSET($BO$15,0,0,$B$14,1), 1*(_xlfn._xlws.FILTER(OFFSET($O$15,0,$DN90,$B$8,1),OFFSET($M$15,0,0,$B$8,1))=EE$13), 1*(_xlfn._xlws.FILTER(OFFSET($O$15,0,$DO90,$B$8,1),OFFSET($M$15,0,0,$B$8,1))=EE$14))   /   SUM(OFFSET($BO$15,0,0,$B$14,1)) + $B$18/($B$19*$B$19*($DN90&lt;&gt;$DO90) + $B$19*($DN90=$DO90))</f>
        <v>3.7037037037037035E-4</v>
      </c>
      <c r="EF90" s="10" cm="1">
        <f t="array" aca="1" ref="EF90" ca="1">(1-$B$18)*SUMPRODUCT(OFFSET($BO$15,0,0,$B$14,1), 1*(_xlfn._xlws.FILTER(OFFSET($O$15,0,$DN90,$B$8,1),OFFSET($M$15,0,0,$B$8,1))=EF$13), 1*(_xlfn._xlws.FILTER(OFFSET($O$15,0,$DO90,$B$8,1),OFFSET($M$15,0,0,$B$8,1))=EF$14))   /   SUM(OFFSET($BO$15,0,0,$B$14,1)) + $B$18/($B$19*$B$19*($DN90&lt;&gt;$DO90) + $B$19*($DN90=$DO90))</f>
        <v>3.7037037037037035E-4</v>
      </c>
      <c r="EG90" s="10" cm="1">
        <f t="array" aca="1" ref="EG90" ca="1">(1-$B$18)*SUMPRODUCT(OFFSET($BO$15,0,0,$B$14,1), 1*(_xlfn._xlws.FILTER(OFFSET($O$15,0,$DN90,$B$8,1),OFFSET($M$15,0,0,$B$8,1))=EG$13), 1*(_xlfn._xlws.FILTER(OFFSET($O$15,0,$DO90,$B$8,1),OFFSET($M$15,0,0,$B$8,1))=EG$14))   /   SUM(OFFSET($BO$15,0,0,$B$14,1)) + $B$18/($B$19*$B$19*($DN90&lt;&gt;$DO90) + $B$19*($DN90=$DO90))</f>
        <v>3.7037037037037035E-4</v>
      </c>
      <c r="EH90" s="10" cm="1">
        <f t="array" aca="1" ref="EH90" ca="1">(1-$B$18)*SUMPRODUCT(OFFSET($BO$15,0,0,$B$14,1), 1*(_xlfn._xlws.FILTER(OFFSET($O$15,0,$DN90,$B$8,1),OFFSET($M$15,0,0,$B$8,1))=EH$13), 1*(_xlfn._xlws.FILTER(OFFSET($O$15,0,$DO90,$B$8,1),OFFSET($M$15,0,0,$B$8,1))=EH$14))   /   SUM(OFFSET($BO$15,0,0,$B$14,1)) + $B$18/($B$19*$B$19*($DN90&lt;&gt;$DO90) + $B$19*($DN90=$DO90))</f>
        <v>3.7037037037037035E-4</v>
      </c>
      <c r="EI90" s="10" cm="1">
        <f t="array" aca="1" ref="EI90" ca="1">(1-$B$18)*SUMPRODUCT(OFFSET($BO$15,0,0,$B$14,1), 1*(_xlfn._xlws.FILTER(OFFSET($O$15,0,$DN90,$B$8,1),OFFSET($M$15,0,0,$B$8,1))=EI$13), 1*(_xlfn._xlws.FILTER(OFFSET($O$15,0,$DO90,$B$8,1),OFFSET($M$15,0,0,$B$8,1))=EI$14))   /   SUM(OFFSET($BO$15,0,0,$B$14,1)) + $B$18/($B$19*$B$19*($DN90&lt;&gt;$DO90) + $B$19*($DN90=$DO90))</f>
        <v>3.7037037037037035E-4</v>
      </c>
      <c r="EJ90" s="10" cm="1">
        <f t="array" aca="1" ref="EJ90" ca="1">(1-$B$18)*SUMPRODUCT(OFFSET($BO$15,0,0,$B$14,1), 1*(_xlfn._xlws.FILTER(OFFSET($O$15,0,$DN90,$B$8,1),OFFSET($M$15,0,0,$B$8,1))=EJ$13), 1*(_xlfn._xlws.FILTER(OFFSET($O$15,0,$DO90,$B$8,1),OFFSET($M$15,0,0,$B$8,1))=EJ$14))   /   SUM(OFFSET($BO$15,0,0,$B$14,1)) + $B$18/($B$19*$B$19*($DN90&lt;&gt;$DO90) + $B$19*($DN90=$DO90))</f>
        <v>3.7037037037037035E-4</v>
      </c>
      <c r="EK90" s="10" cm="1">
        <f t="array" aca="1" ref="EK90" ca="1">(1-$B$18)*SUMPRODUCT(OFFSET($BO$15,0,0,$B$14,1), 1*(_xlfn._xlws.FILTER(OFFSET($O$15,0,$DN90,$B$8,1),OFFSET($M$15,0,0,$B$8,1))=EK$13), 1*(_xlfn._xlws.FILTER(OFFSET($O$15,0,$DO90,$B$8,1),OFFSET($M$15,0,0,$B$8,1))=EK$14))   /   SUM(OFFSET($BO$15,0,0,$B$14,1)) + $B$18/($B$19*$B$19*($DN90&lt;&gt;$DO90) + $B$19*($DN90=$DO90))</f>
        <v>3.7037037037037035E-4</v>
      </c>
      <c r="EL90" s="10" cm="1">
        <f t="array" aca="1" ref="EL90" ca="1">(1-$B$18)*SUMPRODUCT(OFFSET($BO$15,0,0,$B$14,1), 1*(_xlfn._xlws.FILTER(OFFSET($O$15,0,$DN90,$B$8,1),OFFSET($M$15,0,0,$B$8,1))=EL$13), 1*(_xlfn._xlws.FILTER(OFFSET($O$15,0,$DO90,$B$8,1),OFFSET($M$15,0,0,$B$8,1))=EL$14))   /   SUM(OFFSET($BO$15,0,0,$B$14,1)) + $B$18/($B$19*$B$19*($DN90&lt;&gt;$DO90) + $B$19*($DN90=$DO90))</f>
        <v>3.7037037037037035E-4</v>
      </c>
      <c r="EM90" s="10" cm="1">
        <f t="array" aca="1" ref="EM90" ca="1">(1-$B$18)*SUMPRODUCT(OFFSET($BO$15,0,0,$B$14,1), 1*(_xlfn._xlws.FILTER(OFFSET($O$15,0,$DN90,$B$8,1),OFFSET($M$15,0,0,$B$8,1))=EM$13), 1*(_xlfn._xlws.FILTER(OFFSET($O$15,0,$DO90,$B$8,1),OFFSET($M$15,0,0,$B$8,1))=EM$14))   /   SUM(OFFSET($BO$15,0,0,$B$14,1)) + $B$18/($B$19*$B$19*($DN90&lt;&gt;$DO90) + $B$19*($DN90=$DO90))</f>
        <v>3.7037037037037035E-4</v>
      </c>
      <c r="EN90" s="10" cm="1">
        <f t="array" aca="1" ref="EN90" ca="1">(1-$B$18)*SUMPRODUCT(OFFSET($BO$15,0,0,$B$14,1), 1*(_xlfn._xlws.FILTER(OFFSET($O$15,0,$DN90,$B$8,1),OFFSET($M$15,0,0,$B$8,1))=EN$13), 1*(_xlfn._xlws.FILTER(OFFSET($O$15,0,$DO90,$B$8,1),OFFSET($M$15,0,0,$B$8,1))=EN$14))   /   SUM(OFFSET($BO$15,0,0,$B$14,1)) + $B$18/($B$19*$B$19*($DN90&lt;&gt;$DO90) + $B$19*($DN90=$DO90))</f>
        <v>3.7037037037037035E-4</v>
      </c>
      <c r="EO90" s="10" cm="1">
        <f t="array" aca="1" ref="EO90" ca="1">(1-$B$18)*SUMPRODUCT(OFFSET($BO$15,0,0,$B$14,1), 1*(_xlfn._xlws.FILTER(OFFSET($O$15,0,$DN90,$B$8,1),OFFSET($M$15,0,0,$B$8,1))=EO$13), 1*(_xlfn._xlws.FILTER(OFFSET($O$15,0,$DO90,$B$8,1),OFFSET($M$15,0,0,$B$8,1))=EO$14))   /   SUM(OFFSET($BO$15,0,0,$B$14,1)) + $B$18/($B$19*$B$19*($DN90&lt;&gt;$DO90) + $B$19*($DN90=$DO90))</f>
        <v>3.7037037037037035E-4</v>
      </c>
      <c r="EP90" s="10" cm="1">
        <f t="array" aca="1" ref="EP90" ca="1">(1-$B$18)*SUMPRODUCT(OFFSET($BO$15,0,0,$B$14,1), 1*(_xlfn._xlws.FILTER(OFFSET($O$15,0,$DN90,$B$8,1),OFFSET($M$15,0,0,$B$8,1))=EP$13), 1*(_xlfn._xlws.FILTER(OFFSET($O$15,0,$DO90,$B$8,1),OFFSET($M$15,0,0,$B$8,1))=EP$14))   /   SUM(OFFSET($BO$15,0,0,$B$14,1)) + $B$18/($B$19*$B$19*($DN90&lt;&gt;$DO90) + $B$19*($DN90=$DO90))</f>
        <v>3.7037037037037035E-4</v>
      </c>
      <c r="EQ90" s="10" cm="1">
        <f t="array" aca="1" ref="EQ90" ca="1">(1-$B$18)*SUMPRODUCT(OFFSET($BO$15,0,0,$B$14,1), 1*(_xlfn._xlws.FILTER(OFFSET($O$15,0,$DN90,$B$8,1),OFFSET($M$15,0,0,$B$8,1))=EQ$13), 1*(_xlfn._xlws.FILTER(OFFSET($O$15,0,$DO90,$B$8,1),OFFSET($M$15,0,0,$B$8,1))=EQ$14))   /   SUM(OFFSET($BO$15,0,0,$B$14,1)) + $B$18/($B$19*$B$19*($DN90&lt;&gt;$DO90) + $B$19*($DN90=$DO90))</f>
        <v>3.7037037037037035E-4</v>
      </c>
      <c r="ER90" s="10" cm="1">
        <f t="array" aca="1" ref="ER90" ca="1">(1-$B$18)*SUMPRODUCT(OFFSET($BO$15,0,0,$B$14,1), 1*(_xlfn._xlws.FILTER(OFFSET($O$15,0,$DN90,$B$8,1),OFFSET($M$15,0,0,$B$8,1))=ER$13), 1*(_xlfn._xlws.FILTER(OFFSET($O$15,0,$DO90,$B$8,1),OFFSET($M$15,0,0,$B$8,1))=ER$14))   /   SUM(OFFSET($BO$15,0,0,$B$14,1)) + $B$18/($B$19*$B$19*($DN90&lt;&gt;$DO90) + $B$19*($DN90=$DO90))</f>
        <v>3.7037037037037035E-4</v>
      </c>
      <c r="ES90" s="10" cm="1">
        <f t="array" aca="1" ref="ES90" ca="1">(1-$B$18)*SUMPRODUCT(OFFSET($BO$15,0,0,$B$14,1), 1*(_xlfn._xlws.FILTER(OFFSET($O$15,0,$DN90,$B$8,1),OFFSET($M$15,0,0,$B$8,1))=ES$13), 1*(_xlfn._xlws.FILTER(OFFSET($O$15,0,$DO90,$B$8,1),OFFSET($M$15,0,0,$B$8,1))=ES$14))   /   SUM(OFFSET($BO$15,0,0,$B$14,1)) + $B$18/($B$19*$B$19*($DN90&lt;&gt;$DO90) + $B$19*($DN90=$DO90))</f>
        <v>3.7037037037037035E-4</v>
      </c>
      <c r="ET90" s="10" cm="1">
        <f t="array" aca="1" ref="ET90" ca="1">(1-$B$18)*SUMPRODUCT(OFFSET($BO$15,0,0,$B$14,1), 1*(_xlfn._xlws.FILTER(OFFSET($O$15,0,$DN90,$B$8,1),OFFSET($M$15,0,0,$B$8,1))=ET$13), 1*(_xlfn._xlws.FILTER(OFFSET($O$15,0,$DO90,$B$8,1),OFFSET($M$15,0,0,$B$8,1))=ET$14))   /   SUM(OFFSET($BO$15,0,0,$B$14,1)) + $B$18/($B$19*$B$19*($DN90&lt;&gt;$DO90) + $B$19*($DN90=$DO90))</f>
        <v>3.7037037037037035E-4</v>
      </c>
      <c r="EU90" s="10" cm="1">
        <f t="array" aca="1" ref="EU90" ca="1">(1-$B$18)*SUMPRODUCT(OFFSET($BO$15,0,0,$B$14,1), 1*(_xlfn._xlws.FILTER(OFFSET($O$15,0,$DN90,$B$8,1),OFFSET($M$15,0,0,$B$8,1))=EU$13), 1*(_xlfn._xlws.FILTER(OFFSET($O$15,0,$DO90,$B$8,1),OFFSET($M$15,0,0,$B$8,1))=EU$14))   /   SUM(OFFSET($BO$15,0,0,$B$14,1)) + $B$18/($B$19*$B$19*($DN90&lt;&gt;$DO90) + $B$19*($DN90=$DO90))</f>
        <v>3.7037037037037035E-4</v>
      </c>
      <c r="EV90" s="10" cm="1">
        <f t="array" aca="1" ref="EV90" ca="1">(1-$B$18)*SUMPRODUCT(OFFSET($BO$15,0,0,$B$14,1), 1*(_xlfn._xlws.FILTER(OFFSET($O$15,0,$DN90,$B$8,1),OFFSET($M$15,0,0,$B$8,1))=EV$13), 1*(_xlfn._xlws.FILTER(OFFSET($O$15,0,$DO90,$B$8,1),OFFSET($M$15,0,0,$B$8,1))=EV$14))   /   SUM(OFFSET($BO$15,0,0,$B$14,1)) + $B$18/($B$19*$B$19*($DN90&lt;&gt;$DO90) + $B$19*($DN90=$DO90))</f>
        <v>3.7037037037037035E-4</v>
      </c>
      <c r="EW90" s="10" cm="1">
        <f t="array" aca="1" ref="EW90" ca="1">(1-$B$18)*SUMPRODUCT(OFFSET($BO$15,0,0,$B$14,1), 1*(_xlfn._xlws.FILTER(OFFSET($O$15,0,$DN90,$B$8,1),OFFSET($M$15,0,0,$B$8,1))=EW$13), 1*(_xlfn._xlws.FILTER(OFFSET($O$15,0,$DO90,$B$8,1),OFFSET($M$15,0,0,$B$8,1))=EW$14))   /   SUM(OFFSET($BO$15,0,0,$B$14,1)) + $B$18/($B$19*$B$19*($DN90&lt;&gt;$DO90) + $B$19*($DN90=$DO90))</f>
        <v>3.7037037037037035E-4</v>
      </c>
      <c r="EX90" s="10" cm="1">
        <f t="array" aca="1" ref="EX90" ca="1">(1-$B$18)*SUMPRODUCT(OFFSET($BO$15,0,0,$B$14,1), 1*(_xlfn._xlws.FILTER(OFFSET($O$15,0,$DN90,$B$8,1),OFFSET($M$15,0,0,$B$8,1))=EX$13), 1*(_xlfn._xlws.FILTER(OFFSET($O$15,0,$DO90,$B$8,1),OFFSET($M$15,0,0,$B$8,1))=EX$14))   /   SUM(OFFSET($BO$15,0,0,$B$14,1)) + $B$18/($B$19*$B$19*($DN90&lt;&gt;$DO90) + $B$19*($DN90=$DO90))</f>
        <v>3.7037037037037035E-4</v>
      </c>
      <c r="EY90" s="10" cm="1">
        <f t="array" aca="1" ref="EY90" ca="1">(1-$B$18)*SUMPRODUCT(OFFSET($BO$15,0,0,$B$14,1), 1*(_xlfn._xlws.FILTER(OFFSET($O$15,0,$DN90,$B$8,1),OFFSET($M$15,0,0,$B$8,1))=EY$13), 1*(_xlfn._xlws.FILTER(OFFSET($O$15,0,$DO90,$B$8,1),OFFSET($M$15,0,0,$B$8,1))=EY$14))   /   SUM(OFFSET($BO$15,0,0,$B$14,1)) + $B$18/($B$19*$B$19*($DN90&lt;&gt;$DO90) + $B$19*($DN90=$DO90))</f>
        <v>3.7037037037037035E-4</v>
      </c>
      <c r="EZ90" s="10" cm="1">
        <f t="array" aca="1" ref="EZ90" ca="1">(1-$B$18)*SUMPRODUCT(OFFSET($BO$15,0,0,$B$14,1), 1*(_xlfn._xlws.FILTER(OFFSET($O$15,0,$DN90,$B$8,1),OFFSET($M$15,0,0,$B$8,1))=EZ$13), 1*(_xlfn._xlws.FILTER(OFFSET($O$15,0,$DO90,$B$8,1),OFFSET($M$15,0,0,$B$8,1))=EZ$14))   /   SUM(OFFSET($BO$15,0,0,$B$14,1)) + $B$18/($B$19*$B$19*($DN90&lt;&gt;$DO90) + $B$19*($DN90=$DO90))</f>
        <v>3.7037037037037035E-4</v>
      </c>
      <c r="FA90" s="10" cm="1">
        <f t="array" aca="1" ref="FA90" ca="1">(1-$B$18)*SUMPRODUCT(OFFSET($BO$15,0,0,$B$14,1), 1*(_xlfn._xlws.FILTER(OFFSET($O$15,0,$DN90,$B$8,1),OFFSET($M$15,0,0,$B$8,1))=FA$13), 1*(_xlfn._xlws.FILTER(OFFSET($O$15,0,$DO90,$B$8,1),OFFSET($M$15,0,0,$B$8,1))=FA$14))   /   SUM(OFFSET($BO$15,0,0,$B$14,1)) + $B$18/($B$19*$B$19*($DN90&lt;&gt;$DO90) + $B$19*($DN90=$DO90))</f>
        <v>3.7037037037037035E-4</v>
      </c>
      <c r="FB90" s="10" cm="1">
        <f t="array" aca="1" ref="FB90" ca="1">(1-$B$18)*SUMPRODUCT(OFFSET($BO$15,0,0,$B$14,1), 1*(_xlfn._xlws.FILTER(OFFSET($O$15,0,$DN90,$B$8,1),OFFSET($M$15,0,0,$B$8,1))=FB$13), 1*(_xlfn._xlws.FILTER(OFFSET($O$15,0,$DO90,$B$8,1),OFFSET($M$15,0,0,$B$8,1))=FB$14))   /   SUM(OFFSET($BO$15,0,0,$B$14,1)) + $B$18/($B$19*$B$19*($DN90&lt;&gt;$DO90) + $B$19*($DN90=$DO90))</f>
        <v>3.7037037037037035E-4</v>
      </c>
      <c r="FC90" s="10" cm="1">
        <f t="array" aca="1" ref="FC90" ca="1">(1-$B$18)*SUMPRODUCT(OFFSET($BO$15,0,0,$B$14,1), 1*(_xlfn._xlws.FILTER(OFFSET($O$15,0,$DN90,$B$8,1),OFFSET($M$15,0,0,$B$8,1))=FC$13), 1*(_xlfn._xlws.FILTER(OFFSET($O$15,0,$DO90,$B$8,1),OFFSET($M$15,0,0,$B$8,1))=FC$14))   /   SUM(OFFSET($BO$15,0,0,$B$14,1)) + $B$18/($B$19*$B$19*($DN90&lt;&gt;$DO90) + $B$19*($DN90=$DO90))</f>
        <v>3.7037037037037035E-4</v>
      </c>
      <c r="FD90" s="10" cm="1">
        <f t="array" aca="1" ref="FD90" ca="1">(1-$B$18)*SUMPRODUCT(OFFSET($BO$15,0,0,$B$14,1), 1*(_xlfn._xlws.FILTER(OFFSET($O$15,0,$DN90,$B$8,1),OFFSET($M$15,0,0,$B$8,1))=FD$13), 1*(_xlfn._xlws.FILTER(OFFSET($O$15,0,$DO90,$B$8,1),OFFSET($M$15,0,0,$B$8,1))=FD$14))   /   SUM(OFFSET($BO$15,0,0,$B$14,1)) + $B$18/($B$19*$B$19*($DN90&lt;&gt;$DO90) + $B$19*($DN90=$DO90))</f>
        <v>3.7037037037037035E-4</v>
      </c>
      <c r="FE90" s="10" cm="1">
        <f t="array" aca="1" ref="FE90" ca="1">(1-$B$18)*SUMPRODUCT(OFFSET($BO$15,0,0,$B$14,1), 1*(_xlfn._xlws.FILTER(OFFSET($O$15,0,$DN90,$B$8,1),OFFSET($M$15,0,0,$B$8,1))=FE$13), 1*(_xlfn._xlws.FILTER(OFFSET($O$15,0,$DO90,$B$8,1),OFFSET($M$15,0,0,$B$8,1))=FE$14))   /   SUM(OFFSET($BO$15,0,0,$B$14,1)) + $B$18/($B$19*$B$19*($DN90&lt;&gt;$DO90) + $B$19*($DN90=$DO90))</f>
        <v>3.7037037037037035E-4</v>
      </c>
      <c r="FF90" s="10" cm="1">
        <f t="array" aca="1" ref="FF90" ca="1">(1-$B$18)*SUMPRODUCT(OFFSET($BO$15,0,0,$B$14,1), 1*(_xlfn._xlws.FILTER(OFFSET($O$15,0,$DN90,$B$8,1),OFFSET($M$15,0,0,$B$8,1))=FF$13), 1*(_xlfn._xlws.FILTER(OFFSET($O$15,0,$DO90,$B$8,1),OFFSET($M$15,0,0,$B$8,1))=FF$14))   /   SUM(OFFSET($BO$15,0,0,$B$14,1)) + $B$18/($B$19*$B$19*($DN90&lt;&gt;$DO90) + $B$19*($DN90=$DO90))</f>
        <v>3.7037037037037035E-4</v>
      </c>
      <c r="FG90" s="10" cm="1">
        <f t="array" aca="1" ref="FG90" ca="1">(1-$B$18)*SUMPRODUCT(OFFSET($BO$15,0,0,$B$14,1), 1*(_xlfn._xlws.FILTER(OFFSET($O$15,0,$DN90,$B$8,1),OFFSET($M$15,0,0,$B$8,1))=FG$13), 1*(_xlfn._xlws.FILTER(OFFSET($O$15,0,$DO90,$B$8,1),OFFSET($M$15,0,0,$B$8,1))=FG$14))   /   SUM(OFFSET($BO$15,0,0,$B$14,1)) + $B$18/($B$19*$B$19*($DN90&lt;&gt;$DO90) + $B$19*($DN90=$DO90))</f>
        <v>3.7037037037037035E-4</v>
      </c>
      <c r="FH90" s="10" cm="1">
        <f t="array" aca="1" ref="FH90" ca="1">(1-$B$18)*SUMPRODUCT(OFFSET($BO$15,0,0,$B$14,1), 1*(_xlfn._xlws.FILTER(OFFSET($O$15,0,$DN90,$B$8,1),OFFSET($M$15,0,0,$B$8,1))=FH$13), 1*(_xlfn._xlws.FILTER(OFFSET($O$15,0,$DO90,$B$8,1),OFFSET($M$15,0,0,$B$8,1))=FH$14))   /   SUM(OFFSET($BO$15,0,0,$B$14,1)) + $B$18/($B$19*$B$19*($DN90&lt;&gt;$DO90) + $B$19*($DN90=$DO90))</f>
        <v>3.7037037037037035E-4</v>
      </c>
      <c r="FI90" s="10" cm="1">
        <f t="array" aca="1" ref="FI90" ca="1">(1-$B$18)*SUMPRODUCT(OFFSET($BO$15,0,0,$B$14,1), 1*(_xlfn._xlws.FILTER(OFFSET($O$15,0,$DN90,$B$8,1),OFFSET($M$15,0,0,$B$8,1))=FI$13), 1*(_xlfn._xlws.FILTER(OFFSET($O$15,0,$DO90,$B$8,1),OFFSET($M$15,0,0,$B$8,1))=FI$14))   /   SUM(OFFSET($BO$15,0,0,$B$14,1)) + $B$18/($B$19*$B$19*($DN90&lt;&gt;$DO90) + $B$19*($DN90=$DO90))</f>
        <v>3.7037037037037035E-4</v>
      </c>
      <c r="FJ90" s="10" cm="1">
        <f t="array" aca="1" ref="FJ90" ca="1">(1-$B$18)*SUMPRODUCT(OFFSET($BO$15,0,0,$B$14,1), 1*(_xlfn._xlws.FILTER(OFFSET($O$15,0,$DN90,$B$8,1),OFFSET($M$15,0,0,$B$8,1))=FJ$13), 1*(_xlfn._xlws.FILTER(OFFSET($O$15,0,$DO90,$B$8,1),OFFSET($M$15,0,0,$B$8,1))=FJ$14))   /   SUM(OFFSET($BO$15,0,0,$B$14,1)) + $B$18/($B$19*$B$19*($DN90&lt;&gt;$DO90) + $B$19*($DN90=$DO90))</f>
        <v>3.7037037037037035E-4</v>
      </c>
      <c r="FK90" s="10" cm="1">
        <f t="array" aca="1" ref="FK90" ca="1">(1-$B$18)*SUMPRODUCT(OFFSET($BO$15,0,0,$B$14,1), 1*(_xlfn._xlws.FILTER(OFFSET($O$15,0,$DN90,$B$8,1),OFFSET($M$15,0,0,$B$8,1))=FK$13), 1*(_xlfn._xlws.FILTER(OFFSET($O$15,0,$DO90,$B$8,1),OFFSET($M$15,0,0,$B$8,1))=FK$14))   /   SUM(OFFSET($BO$15,0,0,$B$14,1)) + $B$18/($B$19*$B$19*($DN90&lt;&gt;$DO90) + $B$19*($DN90=$DO90))</f>
        <v>3.7037037037037035E-4</v>
      </c>
      <c r="FL90" s="10" cm="1">
        <f t="array" aca="1" ref="FL90" ca="1">(1-$B$18)*SUMPRODUCT(OFFSET($BO$15,0,0,$B$14,1), 1*(_xlfn._xlws.FILTER(OFFSET($O$15,0,$DN90,$B$8,1),OFFSET($M$15,0,0,$B$8,1))=FL$13), 1*(_xlfn._xlws.FILTER(OFFSET($O$15,0,$DO90,$B$8,1),OFFSET($M$15,0,0,$B$8,1))=FL$14))   /   SUM(OFFSET($BO$15,0,0,$B$14,1)) + $B$18/($B$19*$B$19*($DN90&lt;&gt;$DO90) + $B$19*($DN90=$DO90))</f>
        <v>3.7037037037037035E-4</v>
      </c>
      <c r="FM90" s="10" cm="1">
        <f t="array" aca="1" ref="FM90" ca="1">(1-$B$18)*SUMPRODUCT(OFFSET($BO$15,0,0,$B$14,1), 1*(_xlfn._xlws.FILTER(OFFSET($O$15,0,$DN90,$B$8,1),OFFSET($M$15,0,0,$B$8,1))=FM$13), 1*(_xlfn._xlws.FILTER(OFFSET($O$15,0,$DO90,$B$8,1),OFFSET($M$15,0,0,$B$8,1))=FM$14))   /   SUM(OFFSET($BO$15,0,0,$B$14,1)) + $B$18/($B$19*$B$19*($DN90&lt;&gt;$DO90) + $B$19*($DN90=$DO90))</f>
        <v>3.7037037037037035E-4</v>
      </c>
      <c r="FN90" s="10" cm="1">
        <f t="array" aca="1" ref="FN90" ca="1">(1-$B$18)*SUMPRODUCT(OFFSET($BO$15,0,0,$B$14,1), 1*(_xlfn._xlws.FILTER(OFFSET($O$15,0,$DN90,$B$8,1),OFFSET($M$15,0,0,$B$8,1))=FN$13), 1*(_xlfn._xlws.FILTER(OFFSET($O$15,0,$DO90,$B$8,1),OFFSET($M$15,0,0,$B$8,1))=FN$14))   /   SUM(OFFSET($BO$15,0,0,$B$14,1)) + $B$18/($B$19*$B$19*($DN90&lt;&gt;$DO90) + $B$19*($DN90=$DO90))</f>
        <v>3.7037037037037035E-4</v>
      </c>
      <c r="FO90" s="10" cm="1">
        <f t="array" aca="1" ref="FO90" ca="1">(1-$B$18)*SUMPRODUCT(OFFSET($BO$15,0,0,$B$14,1), 1*(_xlfn._xlws.FILTER(OFFSET($O$15,0,$DN90,$B$8,1),OFFSET($M$15,0,0,$B$8,1))=FO$13), 1*(_xlfn._xlws.FILTER(OFFSET($O$15,0,$DO90,$B$8,1),OFFSET($M$15,0,0,$B$8,1))=FO$14))   /   SUM(OFFSET($BO$15,0,0,$B$14,1)) + $B$18/($B$19*$B$19*($DN90&lt;&gt;$DO90) + $B$19*($DN90=$DO90))</f>
        <v>3.7037037037037035E-4</v>
      </c>
      <c r="FP90" s="10" cm="1">
        <f t="array" aca="1" ref="FP90" ca="1">(1-$B$18)*SUMPRODUCT(OFFSET($BO$15,0,0,$B$14,1), 1*(_xlfn._xlws.FILTER(OFFSET($O$15,0,$DN90,$B$8,1),OFFSET($M$15,0,0,$B$8,1))=FP$13), 1*(_xlfn._xlws.FILTER(OFFSET($O$15,0,$DO90,$B$8,1),OFFSET($M$15,0,0,$B$8,1))=FP$14))   /   SUM(OFFSET($BO$15,0,0,$B$14,1)) + $B$18/($B$19*$B$19*($DN90&lt;&gt;$DO90) + $B$19*($DN90=$DO90))</f>
        <v>0.24287037037037024</v>
      </c>
      <c r="FQ90" s="10" cm="1">
        <f t="array" aca="1" ref="FQ90" ca="1">(1-$B$18)*SUMPRODUCT(OFFSET($BO$15,0,0,$B$14,1), 1*(_xlfn._xlws.FILTER(OFFSET($O$15,0,$DN90,$B$8,1),OFFSET($M$15,0,0,$B$8,1))=FQ$13), 1*(_xlfn._xlws.FILTER(OFFSET($O$15,0,$DO90,$B$8,1),OFFSET($M$15,0,0,$B$8,1))=FQ$14))   /   SUM(OFFSET($BO$15,0,0,$B$14,1)) + $B$18/($B$19*$B$19*($DN90&lt;&gt;$DO90) + $B$19*($DN90=$DO90))</f>
        <v>0.48537037037037012</v>
      </c>
      <c r="FR90" s="10" cm="1">
        <f t="array" aca="1" ref="FR90" ca="1">(1-$B$18)*SUMPRODUCT(OFFSET($BO$15,0,0,$B$14,1), 1*(_xlfn._xlws.FILTER(OFFSET($O$15,0,$DN90,$B$8,1),OFFSET($M$15,0,0,$B$8,1))=FR$13), 1*(_xlfn._xlws.FILTER(OFFSET($O$15,0,$DO90,$B$8,1),OFFSET($M$15,0,0,$B$8,1))=FR$14))   /   SUM(OFFSET($BO$15,0,0,$B$14,1)) + $B$18/($B$19*$B$19*($DN90&lt;&gt;$DO90) + $B$19*($DN90=$DO90))</f>
        <v>0.24287037037037026</v>
      </c>
      <c r="FS90" s="10" cm="1">
        <f t="array" aca="1" ref="FS90" ca="1">(1-$B$18)*SUMPRODUCT(OFFSET($BO$15,0,0,$B$14,1), 1*(_xlfn._xlws.FILTER(OFFSET($O$15,0,$DN90,$B$8,1),OFFSET($M$15,0,0,$B$8,1))=FS$13), 1*(_xlfn._xlws.FILTER(OFFSET($O$15,0,$DO90,$B$8,1),OFFSET($M$15,0,0,$B$8,1))=FS$14))   /   SUM(OFFSET($BO$15,0,0,$B$14,1)) + $B$18/($B$19*$B$19*($DN90&lt;&gt;$DO90) + $B$19*($DN90=$DO90))</f>
        <v>3.7037037037037035E-4</v>
      </c>
      <c r="FT90" s="10" cm="1">
        <f t="array" aca="1" ref="FT90" ca="1">(1-$B$18)*SUMPRODUCT(OFFSET($BO$15,0,0,$B$14,1), 1*(_xlfn._xlws.FILTER(OFFSET($O$15,0,$DN90,$B$8,1),OFFSET($M$15,0,0,$B$8,1))=FT$13), 1*(_xlfn._xlws.FILTER(OFFSET($O$15,0,$DO90,$B$8,1),OFFSET($M$15,0,0,$B$8,1))=FT$14))   /   SUM(OFFSET($BO$15,0,0,$B$14,1)) + $B$18/($B$19*$B$19*($DN90&lt;&gt;$DO90) + $B$19*($DN90=$DO90))</f>
        <v>3.7037037037037035E-4</v>
      </c>
      <c r="FU90" s="10" cm="1">
        <f t="array" aca="1" ref="FU90" ca="1">(1-$B$18)*SUMPRODUCT(OFFSET($BO$15,0,0,$B$14,1), 1*(_xlfn._xlws.FILTER(OFFSET($O$15,0,$DN90,$B$8,1),OFFSET($M$15,0,0,$B$8,1))=FU$13), 1*(_xlfn._xlws.FILTER(OFFSET($O$15,0,$DO90,$B$8,1),OFFSET($M$15,0,0,$B$8,1))=FU$14))   /   SUM(OFFSET($BO$15,0,0,$B$14,1)) + $B$18/($B$19*$B$19*($DN90&lt;&gt;$DO90) + $B$19*($DN90=$DO90))</f>
        <v>3.7037037037037035E-4</v>
      </c>
      <c r="FV90" s="10" cm="1">
        <f t="array" aca="1" ref="FV90" ca="1">(1-$B$18)*SUMPRODUCT(OFFSET($BO$15,0,0,$B$14,1), 1*(_xlfn._xlws.FILTER(OFFSET($O$15,0,$DN90,$B$8,1),OFFSET($M$15,0,0,$B$8,1))=FV$13), 1*(_xlfn._xlws.FILTER(OFFSET($O$15,0,$DO90,$B$8,1),OFFSET($M$15,0,0,$B$8,1))=FV$14))   /   SUM(OFFSET($BO$15,0,0,$B$14,1)) + $B$18/($B$19*$B$19*($DN90&lt;&gt;$DO90) + $B$19*($DN90=$DO90))</f>
        <v>3.7037037037037035E-4</v>
      </c>
      <c r="FW90" s="10" cm="1">
        <f t="array" aca="1" ref="FW90" ca="1">(1-$B$18)*SUMPRODUCT(OFFSET($BO$15,0,0,$B$14,1), 1*(_xlfn._xlws.FILTER(OFFSET($O$15,0,$DN90,$B$8,1),OFFSET($M$15,0,0,$B$8,1))=FW$13), 1*(_xlfn._xlws.FILTER(OFFSET($O$15,0,$DO90,$B$8,1),OFFSET($M$15,0,0,$B$8,1))=FW$14))   /   SUM(OFFSET($BO$15,0,0,$B$14,1)) + $B$18/($B$19*$B$19*($DN90&lt;&gt;$DO90) + $B$19*($DN90=$DO90))</f>
        <v>3.7037037037037035E-4</v>
      </c>
      <c r="FX90" s="10" cm="1">
        <f t="array" aca="1" ref="FX90" ca="1">(1-$B$18)*SUMPRODUCT(OFFSET($BO$15,0,0,$B$14,1), 1*(_xlfn._xlws.FILTER(OFFSET($O$15,0,$DN90,$B$8,1),OFFSET($M$15,0,0,$B$8,1))=FX$13), 1*(_xlfn._xlws.FILTER(OFFSET($O$15,0,$DO90,$B$8,1),OFFSET($M$15,0,0,$B$8,1))=FX$14))   /   SUM(OFFSET($BO$15,0,0,$B$14,1)) + $B$18/($B$19*$B$19*($DN90&lt;&gt;$DO90) + $B$19*($DN90=$DO90))</f>
        <v>3.7037037037037035E-4</v>
      </c>
      <c r="FY90" s="10" cm="1">
        <f t="array" aca="1" ref="FY90" ca="1">(1-$B$18)*SUMPRODUCT(OFFSET($BO$15,0,0,$B$14,1), 1*(_xlfn._xlws.FILTER(OFFSET($O$15,0,$DN90,$B$8,1),OFFSET($M$15,0,0,$B$8,1))=FY$13), 1*(_xlfn._xlws.FILTER(OFFSET($O$15,0,$DO90,$B$8,1),OFFSET($M$15,0,0,$B$8,1))=FY$14))   /   SUM(OFFSET($BO$15,0,0,$B$14,1)) + $B$18/($B$19*$B$19*($DN90&lt;&gt;$DO90) + $B$19*($DN90=$DO90))</f>
        <v>3.7037037037037035E-4</v>
      </c>
      <c r="FZ90" s="10" cm="1">
        <f t="array" aca="1" ref="FZ90" ca="1">(1-$B$18)*SUMPRODUCT(OFFSET($BO$15,0,0,$B$14,1), 1*(_xlfn._xlws.FILTER(OFFSET($O$15,0,$DN90,$B$8,1),OFFSET($M$15,0,0,$B$8,1))=FZ$13), 1*(_xlfn._xlws.FILTER(OFFSET($O$15,0,$DO90,$B$8,1),OFFSET($M$15,0,0,$B$8,1))=FZ$14))   /   SUM(OFFSET($BO$15,0,0,$B$14,1)) + $B$18/($B$19*$B$19*($DN90&lt;&gt;$DO90) + $B$19*($DN90=$DO90))</f>
        <v>3.7037037037037035E-4</v>
      </c>
      <c r="GA90" s="10" cm="1">
        <f t="array" aca="1" ref="GA90" ca="1">(1-$B$18)*SUMPRODUCT(OFFSET($BO$15,0,0,$B$14,1), 1*(_xlfn._xlws.FILTER(OFFSET($O$15,0,$DN90,$B$8,1),OFFSET($M$15,0,0,$B$8,1))=GA$13), 1*(_xlfn._xlws.FILTER(OFFSET($O$15,0,$DO90,$B$8,1),OFFSET($M$15,0,0,$B$8,1))=GA$14))   /   SUM(OFFSET($BO$15,0,0,$B$14,1)) + $B$18/($B$19*$B$19*($DN90&lt;&gt;$DO90) + $B$19*($DN90=$DO90))</f>
        <v>3.7037037037037035E-4</v>
      </c>
    </row>
    <row r="91" spans="7:183" x14ac:dyDescent="0.2">
      <c r="I91" s="2"/>
      <c r="DN91" cm="1">
        <f t="array" aca="1" ref="DN91" ca="1">INDEX(_xlfn.ANCHORARRAY($CP$15), 1 + INT((ROWS($DO$15:$DO91) - 1) / ROWS(_xlfn.ANCHORARRAY($CP$15))))</f>
        <v>4</v>
      </c>
      <c r="DO91" cm="1">
        <f t="array" aca="1" ref="DO91" ca="1">INDEX(_xlfn.ANCHORARRAY($CP$15),1+MOD(ROWS($DO$15:$DO91)-1,ROWS(_xlfn.ANCHORARRAY($CP$15))))</f>
        <v>0</v>
      </c>
      <c r="DP91" s="10" cm="1">
        <f t="array" aca="1" ref="DP91" ca="1">(1-$B$18)*SUMPRODUCT(OFFSET($BO$15,0,0,$B$14,1), 1*(_xlfn._xlws.FILTER(OFFSET($O$15,0,$DN91,$B$8,1),OFFSET($M$15,0,0,$B$8,1))=DP$13), 1*(_xlfn._xlws.FILTER(OFFSET($O$15,0,$DO91,$B$8,1),OFFSET($M$15,0,0,$B$8,1))=DP$14))   /   SUM(OFFSET($BO$15,0,0,$B$14,1)) + $B$18/($B$19*$B$19*($DN91&lt;&gt;$DO91) + $B$19*($DN91=$DO91))</f>
        <v>3.7037037037037035E-4</v>
      </c>
      <c r="DQ91" s="10" cm="1">
        <f t="array" aca="1" ref="DQ91" ca="1">(1-$B$18)*SUMPRODUCT(OFFSET($BO$15,0,0,$B$14,1), 1*(_xlfn._xlws.FILTER(OFFSET($O$15,0,$DN91,$B$8,1),OFFSET($M$15,0,0,$B$8,1))=DQ$13), 1*(_xlfn._xlws.FILTER(OFFSET($O$15,0,$DO91,$B$8,1),OFFSET($M$15,0,0,$B$8,1))=DQ$14))   /   SUM(OFFSET($BO$15,0,0,$B$14,1)) + $B$18/($B$19*$B$19*($DN91&lt;&gt;$DO91) + $B$19*($DN91=$DO91))</f>
        <v>3.7037037037037035E-4</v>
      </c>
      <c r="DR91" s="10" cm="1">
        <f t="array" aca="1" ref="DR91" ca="1">(1-$B$18)*SUMPRODUCT(OFFSET($BO$15,0,0,$B$14,1), 1*(_xlfn._xlws.FILTER(OFFSET($O$15,0,$DN91,$B$8,1),OFFSET($M$15,0,0,$B$8,1))=DR$13), 1*(_xlfn._xlws.FILTER(OFFSET($O$15,0,$DO91,$B$8,1),OFFSET($M$15,0,0,$B$8,1))=DR$14))   /   SUM(OFFSET($BO$15,0,0,$B$14,1)) + $B$18/($B$19*$B$19*($DN91&lt;&gt;$DO91) + $B$19*($DN91=$DO91))</f>
        <v>3.7037037037037035E-4</v>
      </c>
      <c r="DS91" s="10" cm="1">
        <f t="array" aca="1" ref="DS91" ca="1">(1-$B$18)*SUMPRODUCT(OFFSET($BO$15,0,0,$B$14,1), 1*(_xlfn._xlws.FILTER(OFFSET($O$15,0,$DN91,$B$8,1),OFFSET($M$15,0,0,$B$8,1))=DS$13), 1*(_xlfn._xlws.FILTER(OFFSET($O$15,0,$DO91,$B$8,1),OFFSET($M$15,0,0,$B$8,1))=DS$14))   /   SUM(OFFSET($BO$15,0,0,$B$14,1)) + $B$18/($B$19*$B$19*($DN91&lt;&gt;$DO91) + $B$19*($DN91=$DO91))</f>
        <v>3.7037037037037035E-4</v>
      </c>
      <c r="DT91" s="10" cm="1">
        <f t="array" aca="1" ref="DT91" ca="1">(1-$B$18)*SUMPRODUCT(OFFSET($BO$15,0,0,$B$14,1), 1*(_xlfn._xlws.FILTER(OFFSET($O$15,0,$DN91,$B$8,1),OFFSET($M$15,0,0,$B$8,1))=DT$13), 1*(_xlfn._xlws.FILTER(OFFSET($O$15,0,$DO91,$B$8,1),OFFSET($M$15,0,0,$B$8,1))=DT$14))   /   SUM(OFFSET($BO$15,0,0,$B$14,1)) + $B$18/($B$19*$B$19*($DN91&lt;&gt;$DO91) + $B$19*($DN91=$DO91))</f>
        <v>3.7037037037037035E-4</v>
      </c>
      <c r="DU91" s="10" cm="1">
        <f t="array" aca="1" ref="DU91" ca="1">(1-$B$18)*SUMPRODUCT(OFFSET($BO$15,0,0,$B$14,1), 1*(_xlfn._xlws.FILTER(OFFSET($O$15,0,$DN91,$B$8,1),OFFSET($M$15,0,0,$B$8,1))=DU$13), 1*(_xlfn._xlws.FILTER(OFFSET($O$15,0,$DO91,$B$8,1),OFFSET($M$15,0,0,$B$8,1))=DU$14))   /   SUM(OFFSET($BO$15,0,0,$B$14,1)) + $B$18/($B$19*$B$19*($DN91&lt;&gt;$DO91) + $B$19*($DN91=$DO91))</f>
        <v>3.7037037037037035E-4</v>
      </c>
      <c r="DV91" s="10" cm="1">
        <f t="array" aca="1" ref="DV91" ca="1">(1-$B$18)*SUMPRODUCT(OFFSET($BO$15,0,0,$B$14,1), 1*(_xlfn._xlws.FILTER(OFFSET($O$15,0,$DN91,$B$8,1),OFFSET($M$15,0,0,$B$8,1))=DV$13), 1*(_xlfn._xlws.FILTER(OFFSET($O$15,0,$DO91,$B$8,1),OFFSET($M$15,0,0,$B$8,1))=DV$14))   /   SUM(OFFSET($BO$15,0,0,$B$14,1)) + $B$18/($B$19*$B$19*($DN91&lt;&gt;$DO91) + $B$19*($DN91=$DO91))</f>
        <v>3.7037037037037035E-4</v>
      </c>
      <c r="DW91" s="10" cm="1">
        <f t="array" aca="1" ref="DW91" ca="1">(1-$B$18)*SUMPRODUCT(OFFSET($BO$15,0,0,$B$14,1), 1*(_xlfn._xlws.FILTER(OFFSET($O$15,0,$DN91,$B$8,1),OFFSET($M$15,0,0,$B$8,1))=DW$13), 1*(_xlfn._xlws.FILTER(OFFSET($O$15,0,$DO91,$B$8,1),OFFSET($M$15,0,0,$B$8,1))=DW$14))   /   SUM(OFFSET($BO$15,0,0,$B$14,1)) + $B$18/($B$19*$B$19*($DN91&lt;&gt;$DO91) + $B$19*($DN91=$DO91))</f>
        <v>3.7037037037037035E-4</v>
      </c>
      <c r="DX91" s="10" cm="1">
        <f t="array" aca="1" ref="DX91" ca="1">(1-$B$18)*SUMPRODUCT(OFFSET($BO$15,0,0,$B$14,1), 1*(_xlfn._xlws.FILTER(OFFSET($O$15,0,$DN91,$B$8,1),OFFSET($M$15,0,0,$B$8,1))=DX$13), 1*(_xlfn._xlws.FILTER(OFFSET($O$15,0,$DO91,$B$8,1),OFFSET($M$15,0,0,$B$8,1))=DX$14))   /   SUM(OFFSET($BO$15,0,0,$B$14,1)) + $B$18/($B$19*$B$19*($DN91&lt;&gt;$DO91) + $B$19*($DN91=$DO91))</f>
        <v>3.7037037037037035E-4</v>
      </c>
      <c r="DY91" s="10" cm="1">
        <f t="array" aca="1" ref="DY91" ca="1">(1-$B$18)*SUMPRODUCT(OFFSET($BO$15,0,0,$B$14,1), 1*(_xlfn._xlws.FILTER(OFFSET($O$15,0,$DN91,$B$8,1),OFFSET($M$15,0,0,$B$8,1))=DY$13), 1*(_xlfn._xlws.FILTER(OFFSET($O$15,0,$DO91,$B$8,1),OFFSET($M$15,0,0,$B$8,1))=DY$14))   /   SUM(OFFSET($BO$15,0,0,$B$14,1)) + $B$18/($B$19*$B$19*($DN91&lt;&gt;$DO91) + $B$19*($DN91=$DO91))</f>
        <v>3.7037037037037035E-4</v>
      </c>
      <c r="DZ91" s="10" cm="1">
        <f t="array" aca="1" ref="DZ91" ca="1">(1-$B$18)*SUMPRODUCT(OFFSET($BO$15,0,0,$B$14,1), 1*(_xlfn._xlws.FILTER(OFFSET($O$15,0,$DN91,$B$8,1),OFFSET($M$15,0,0,$B$8,1))=DZ$13), 1*(_xlfn._xlws.FILTER(OFFSET($O$15,0,$DO91,$B$8,1),OFFSET($M$15,0,0,$B$8,1))=DZ$14))   /   SUM(OFFSET($BO$15,0,0,$B$14,1)) + $B$18/($B$19*$B$19*($DN91&lt;&gt;$DO91) + $B$19*($DN91=$DO91))</f>
        <v>3.7037037037037035E-4</v>
      </c>
      <c r="EA91" s="10" cm="1">
        <f t="array" aca="1" ref="EA91" ca="1">(1-$B$18)*SUMPRODUCT(OFFSET($BO$15,0,0,$B$14,1), 1*(_xlfn._xlws.FILTER(OFFSET($O$15,0,$DN91,$B$8,1),OFFSET($M$15,0,0,$B$8,1))=EA$13), 1*(_xlfn._xlws.FILTER(OFFSET($O$15,0,$DO91,$B$8,1),OFFSET($M$15,0,0,$B$8,1))=EA$14))   /   SUM(OFFSET($BO$15,0,0,$B$14,1)) + $B$18/($B$19*$B$19*($DN91&lt;&gt;$DO91) + $B$19*($DN91=$DO91))</f>
        <v>3.7037037037037035E-4</v>
      </c>
      <c r="EB91" s="10" cm="1">
        <f t="array" aca="1" ref="EB91" ca="1">(1-$B$18)*SUMPRODUCT(OFFSET($BO$15,0,0,$B$14,1), 1*(_xlfn._xlws.FILTER(OFFSET($O$15,0,$DN91,$B$8,1),OFFSET($M$15,0,0,$B$8,1))=EB$13), 1*(_xlfn._xlws.FILTER(OFFSET($O$15,0,$DO91,$B$8,1),OFFSET($M$15,0,0,$B$8,1))=EB$14))   /   SUM(OFFSET($BO$15,0,0,$B$14,1)) + $B$18/($B$19*$B$19*($DN91&lt;&gt;$DO91) + $B$19*($DN91=$DO91))</f>
        <v>3.7037037037037035E-4</v>
      </c>
      <c r="EC91" s="10" cm="1">
        <f t="array" aca="1" ref="EC91" ca="1">(1-$B$18)*SUMPRODUCT(OFFSET($BO$15,0,0,$B$14,1), 1*(_xlfn._xlws.FILTER(OFFSET($O$15,0,$DN91,$B$8,1),OFFSET($M$15,0,0,$B$8,1))=EC$13), 1*(_xlfn._xlws.FILTER(OFFSET($O$15,0,$DO91,$B$8,1),OFFSET($M$15,0,0,$B$8,1))=EC$14))   /   SUM(OFFSET($BO$15,0,0,$B$14,1)) + $B$18/($B$19*$B$19*($DN91&lt;&gt;$DO91) + $B$19*($DN91=$DO91))</f>
        <v>3.7037037037037035E-4</v>
      </c>
      <c r="ED91" s="10" cm="1">
        <f t="array" aca="1" ref="ED91" ca="1">(1-$B$18)*SUMPRODUCT(OFFSET($BO$15,0,0,$B$14,1), 1*(_xlfn._xlws.FILTER(OFFSET($O$15,0,$DN91,$B$8,1),OFFSET($M$15,0,0,$B$8,1))=ED$13), 1*(_xlfn._xlws.FILTER(OFFSET($O$15,0,$DO91,$B$8,1),OFFSET($M$15,0,0,$B$8,1))=ED$14))   /   SUM(OFFSET($BO$15,0,0,$B$14,1)) + $B$18/($B$19*$B$19*($DN91&lt;&gt;$DO91) + $B$19*($DN91=$DO91))</f>
        <v>3.7037037037037035E-4</v>
      </c>
      <c r="EE91" s="10" cm="1">
        <f t="array" aca="1" ref="EE91" ca="1">(1-$B$18)*SUMPRODUCT(OFFSET($BO$15,0,0,$B$14,1), 1*(_xlfn._xlws.FILTER(OFFSET($O$15,0,$DN91,$B$8,1),OFFSET($M$15,0,0,$B$8,1))=EE$13), 1*(_xlfn._xlws.FILTER(OFFSET($O$15,0,$DO91,$B$8,1),OFFSET($M$15,0,0,$B$8,1))=EE$14))   /   SUM(OFFSET($BO$15,0,0,$B$14,1)) + $B$18/($B$19*$B$19*($DN91&lt;&gt;$DO91) + $B$19*($DN91=$DO91))</f>
        <v>3.7037037037037035E-4</v>
      </c>
      <c r="EF91" s="10" cm="1">
        <f t="array" aca="1" ref="EF91" ca="1">(1-$B$18)*SUMPRODUCT(OFFSET($BO$15,0,0,$B$14,1), 1*(_xlfn._xlws.FILTER(OFFSET($O$15,0,$DN91,$B$8,1),OFFSET($M$15,0,0,$B$8,1))=EF$13), 1*(_xlfn._xlws.FILTER(OFFSET($O$15,0,$DO91,$B$8,1),OFFSET($M$15,0,0,$B$8,1))=EF$14))   /   SUM(OFFSET($BO$15,0,0,$B$14,1)) + $B$18/($B$19*$B$19*($DN91&lt;&gt;$DO91) + $B$19*($DN91=$DO91))</f>
        <v>3.7037037037037035E-4</v>
      </c>
      <c r="EG91" s="10" cm="1">
        <f t="array" aca="1" ref="EG91" ca="1">(1-$B$18)*SUMPRODUCT(OFFSET($BO$15,0,0,$B$14,1), 1*(_xlfn._xlws.FILTER(OFFSET($O$15,0,$DN91,$B$8,1),OFFSET($M$15,0,0,$B$8,1))=EG$13), 1*(_xlfn._xlws.FILTER(OFFSET($O$15,0,$DO91,$B$8,1),OFFSET($M$15,0,0,$B$8,1))=EG$14))   /   SUM(OFFSET($BO$15,0,0,$B$14,1)) + $B$18/($B$19*$B$19*($DN91&lt;&gt;$DO91) + $B$19*($DN91=$DO91))</f>
        <v>3.7037037037037035E-4</v>
      </c>
      <c r="EH91" s="10" cm="1">
        <f t="array" aca="1" ref="EH91" ca="1">(1-$B$18)*SUMPRODUCT(OFFSET($BO$15,0,0,$B$14,1), 1*(_xlfn._xlws.FILTER(OFFSET($O$15,0,$DN91,$B$8,1),OFFSET($M$15,0,0,$B$8,1))=EH$13), 1*(_xlfn._xlws.FILTER(OFFSET($O$15,0,$DO91,$B$8,1),OFFSET($M$15,0,0,$B$8,1))=EH$14))   /   SUM(OFFSET($BO$15,0,0,$B$14,1)) + $B$18/($B$19*$B$19*($DN91&lt;&gt;$DO91) + $B$19*($DN91=$DO91))</f>
        <v>3.7037037037037035E-4</v>
      </c>
      <c r="EI91" s="10" cm="1">
        <f t="array" aca="1" ref="EI91" ca="1">(1-$B$18)*SUMPRODUCT(OFFSET($BO$15,0,0,$B$14,1), 1*(_xlfn._xlws.FILTER(OFFSET($O$15,0,$DN91,$B$8,1),OFFSET($M$15,0,0,$B$8,1))=EI$13), 1*(_xlfn._xlws.FILTER(OFFSET($O$15,0,$DO91,$B$8,1),OFFSET($M$15,0,0,$B$8,1))=EI$14))   /   SUM(OFFSET($BO$15,0,0,$B$14,1)) + $B$18/($B$19*$B$19*($DN91&lt;&gt;$DO91) + $B$19*($DN91=$DO91))</f>
        <v>3.7037037037037035E-4</v>
      </c>
      <c r="EJ91" s="10" cm="1">
        <f t="array" aca="1" ref="EJ91" ca="1">(1-$B$18)*SUMPRODUCT(OFFSET($BO$15,0,0,$B$14,1), 1*(_xlfn._xlws.FILTER(OFFSET($O$15,0,$DN91,$B$8,1),OFFSET($M$15,0,0,$B$8,1))=EJ$13), 1*(_xlfn._xlws.FILTER(OFFSET($O$15,0,$DO91,$B$8,1),OFFSET($M$15,0,0,$B$8,1))=EJ$14))   /   SUM(OFFSET($BO$15,0,0,$B$14,1)) + $B$18/($B$19*$B$19*($DN91&lt;&gt;$DO91) + $B$19*($DN91=$DO91))</f>
        <v>3.7037037037037035E-4</v>
      </c>
      <c r="EK91" s="10" cm="1">
        <f t="array" aca="1" ref="EK91" ca="1">(1-$B$18)*SUMPRODUCT(OFFSET($BO$15,0,0,$B$14,1), 1*(_xlfn._xlws.FILTER(OFFSET($O$15,0,$DN91,$B$8,1),OFFSET($M$15,0,0,$B$8,1))=EK$13), 1*(_xlfn._xlws.FILTER(OFFSET($O$15,0,$DO91,$B$8,1),OFFSET($M$15,0,0,$B$8,1))=EK$14))   /   SUM(OFFSET($BO$15,0,0,$B$14,1)) + $B$18/($B$19*$B$19*($DN91&lt;&gt;$DO91) + $B$19*($DN91=$DO91))</f>
        <v>3.7037037037037035E-4</v>
      </c>
      <c r="EL91" s="10" cm="1">
        <f t="array" aca="1" ref="EL91" ca="1">(1-$B$18)*SUMPRODUCT(OFFSET($BO$15,0,0,$B$14,1), 1*(_xlfn._xlws.FILTER(OFFSET($O$15,0,$DN91,$B$8,1),OFFSET($M$15,0,0,$B$8,1))=EL$13), 1*(_xlfn._xlws.FILTER(OFFSET($O$15,0,$DO91,$B$8,1),OFFSET($M$15,0,0,$B$8,1))=EL$14))   /   SUM(OFFSET($BO$15,0,0,$B$14,1)) + $B$18/($B$19*$B$19*($DN91&lt;&gt;$DO91) + $B$19*($DN91=$DO91))</f>
        <v>3.7037037037037035E-4</v>
      </c>
      <c r="EM91" s="10" cm="1">
        <f t="array" aca="1" ref="EM91" ca="1">(1-$B$18)*SUMPRODUCT(OFFSET($BO$15,0,0,$B$14,1), 1*(_xlfn._xlws.FILTER(OFFSET($O$15,0,$DN91,$B$8,1),OFFSET($M$15,0,0,$B$8,1))=EM$13), 1*(_xlfn._xlws.FILTER(OFFSET($O$15,0,$DO91,$B$8,1),OFFSET($M$15,0,0,$B$8,1))=EM$14))   /   SUM(OFFSET($BO$15,0,0,$B$14,1)) + $B$18/($B$19*$B$19*($DN91&lt;&gt;$DO91) + $B$19*($DN91=$DO91))</f>
        <v>3.7037037037037035E-4</v>
      </c>
      <c r="EN91" s="10" cm="1">
        <f t="array" aca="1" ref="EN91" ca="1">(1-$B$18)*SUMPRODUCT(OFFSET($BO$15,0,0,$B$14,1), 1*(_xlfn._xlws.FILTER(OFFSET($O$15,0,$DN91,$B$8,1),OFFSET($M$15,0,0,$B$8,1))=EN$13), 1*(_xlfn._xlws.FILTER(OFFSET($O$15,0,$DO91,$B$8,1),OFFSET($M$15,0,0,$B$8,1))=EN$14))   /   SUM(OFFSET($BO$15,0,0,$B$14,1)) + $B$18/($B$19*$B$19*($DN91&lt;&gt;$DO91) + $B$19*($DN91=$DO91))</f>
        <v>3.7037037037037035E-4</v>
      </c>
      <c r="EO91" s="10" cm="1">
        <f t="array" aca="1" ref="EO91" ca="1">(1-$B$18)*SUMPRODUCT(OFFSET($BO$15,0,0,$B$14,1), 1*(_xlfn._xlws.FILTER(OFFSET($O$15,0,$DN91,$B$8,1),OFFSET($M$15,0,0,$B$8,1))=EO$13), 1*(_xlfn._xlws.FILTER(OFFSET($O$15,0,$DO91,$B$8,1),OFFSET($M$15,0,0,$B$8,1))=EO$14))   /   SUM(OFFSET($BO$15,0,0,$B$14,1)) + $B$18/($B$19*$B$19*($DN91&lt;&gt;$DO91) + $B$19*($DN91=$DO91))</f>
        <v>3.7037037037037035E-4</v>
      </c>
      <c r="EP91" s="10" cm="1">
        <f t="array" aca="1" ref="EP91" ca="1">(1-$B$18)*SUMPRODUCT(OFFSET($BO$15,0,0,$B$14,1), 1*(_xlfn._xlws.FILTER(OFFSET($O$15,0,$DN91,$B$8,1),OFFSET($M$15,0,0,$B$8,1))=EP$13), 1*(_xlfn._xlws.FILTER(OFFSET($O$15,0,$DO91,$B$8,1),OFFSET($M$15,0,0,$B$8,1))=EP$14))   /   SUM(OFFSET($BO$15,0,0,$B$14,1)) + $B$18/($B$19*$B$19*($DN91&lt;&gt;$DO91) + $B$19*($DN91=$DO91))</f>
        <v>3.7037037037037035E-4</v>
      </c>
      <c r="EQ91" s="10" cm="1">
        <f t="array" aca="1" ref="EQ91" ca="1">(1-$B$18)*SUMPRODUCT(OFFSET($BO$15,0,0,$B$14,1), 1*(_xlfn._xlws.FILTER(OFFSET($O$15,0,$DN91,$B$8,1),OFFSET($M$15,0,0,$B$8,1))=EQ$13), 1*(_xlfn._xlws.FILTER(OFFSET($O$15,0,$DO91,$B$8,1),OFFSET($M$15,0,0,$B$8,1))=EQ$14))   /   SUM(OFFSET($BO$15,0,0,$B$14,1)) + $B$18/($B$19*$B$19*($DN91&lt;&gt;$DO91) + $B$19*($DN91=$DO91))</f>
        <v>3.7037037037037035E-4</v>
      </c>
      <c r="ER91" s="10" cm="1">
        <f t="array" aca="1" ref="ER91" ca="1">(1-$B$18)*SUMPRODUCT(OFFSET($BO$15,0,0,$B$14,1), 1*(_xlfn._xlws.FILTER(OFFSET($O$15,0,$DN91,$B$8,1),OFFSET($M$15,0,0,$B$8,1))=ER$13), 1*(_xlfn._xlws.FILTER(OFFSET($O$15,0,$DO91,$B$8,1),OFFSET($M$15,0,0,$B$8,1))=ER$14))   /   SUM(OFFSET($BO$15,0,0,$B$14,1)) + $B$18/($B$19*$B$19*($DN91&lt;&gt;$DO91) + $B$19*($DN91=$DO91))</f>
        <v>3.7037037037037035E-4</v>
      </c>
      <c r="ES91" s="10" cm="1">
        <f t="array" aca="1" ref="ES91" ca="1">(1-$B$18)*SUMPRODUCT(OFFSET($BO$15,0,0,$B$14,1), 1*(_xlfn._xlws.FILTER(OFFSET($O$15,0,$DN91,$B$8,1),OFFSET($M$15,0,0,$B$8,1))=ES$13), 1*(_xlfn._xlws.FILTER(OFFSET($O$15,0,$DO91,$B$8,1),OFFSET($M$15,0,0,$B$8,1))=ES$14))   /   SUM(OFFSET($BO$15,0,0,$B$14,1)) + $B$18/($B$19*$B$19*($DN91&lt;&gt;$DO91) + $B$19*($DN91=$DO91))</f>
        <v>3.7037037037037035E-4</v>
      </c>
      <c r="ET91" s="10" cm="1">
        <f t="array" aca="1" ref="ET91" ca="1">(1-$B$18)*SUMPRODUCT(OFFSET($BO$15,0,0,$B$14,1), 1*(_xlfn._xlws.FILTER(OFFSET($O$15,0,$DN91,$B$8,1),OFFSET($M$15,0,0,$B$8,1))=ET$13), 1*(_xlfn._xlws.FILTER(OFFSET($O$15,0,$DO91,$B$8,1),OFFSET($M$15,0,0,$B$8,1))=ET$14))   /   SUM(OFFSET($BO$15,0,0,$B$14,1)) + $B$18/($B$19*$B$19*($DN91&lt;&gt;$DO91) + $B$19*($DN91=$DO91))</f>
        <v>3.7037037037037035E-4</v>
      </c>
      <c r="EU91" s="10" cm="1">
        <f t="array" aca="1" ref="EU91" ca="1">(1-$B$18)*SUMPRODUCT(OFFSET($BO$15,0,0,$B$14,1), 1*(_xlfn._xlws.FILTER(OFFSET($O$15,0,$DN91,$B$8,1),OFFSET($M$15,0,0,$B$8,1))=EU$13), 1*(_xlfn._xlws.FILTER(OFFSET($O$15,0,$DO91,$B$8,1),OFFSET($M$15,0,0,$B$8,1))=EU$14))   /   SUM(OFFSET($BO$15,0,0,$B$14,1)) + $B$18/($B$19*$B$19*($DN91&lt;&gt;$DO91) + $B$19*($DN91=$DO91))</f>
        <v>3.7037037037037035E-4</v>
      </c>
      <c r="EV91" s="10" cm="1">
        <f t="array" aca="1" ref="EV91" ca="1">(1-$B$18)*SUMPRODUCT(OFFSET($BO$15,0,0,$B$14,1), 1*(_xlfn._xlws.FILTER(OFFSET($O$15,0,$DN91,$B$8,1),OFFSET($M$15,0,0,$B$8,1))=EV$13), 1*(_xlfn._xlws.FILTER(OFFSET($O$15,0,$DO91,$B$8,1),OFFSET($M$15,0,0,$B$8,1))=EV$14))   /   SUM(OFFSET($BO$15,0,0,$B$14,1)) + $B$18/($B$19*$B$19*($DN91&lt;&gt;$DO91) + $B$19*($DN91=$DO91))</f>
        <v>3.7037037037037035E-4</v>
      </c>
      <c r="EW91" s="10" cm="1">
        <f t="array" aca="1" ref="EW91" ca="1">(1-$B$18)*SUMPRODUCT(OFFSET($BO$15,0,0,$B$14,1), 1*(_xlfn._xlws.FILTER(OFFSET($O$15,0,$DN91,$B$8,1),OFFSET($M$15,0,0,$B$8,1))=EW$13), 1*(_xlfn._xlws.FILTER(OFFSET($O$15,0,$DO91,$B$8,1),OFFSET($M$15,0,0,$B$8,1))=EW$14))   /   SUM(OFFSET($BO$15,0,0,$B$14,1)) + $B$18/($B$19*$B$19*($DN91&lt;&gt;$DO91) + $B$19*($DN91=$DO91))</f>
        <v>3.7037037037037035E-4</v>
      </c>
      <c r="EX91" s="10" cm="1">
        <f t="array" aca="1" ref="EX91" ca="1">(1-$B$18)*SUMPRODUCT(OFFSET($BO$15,0,0,$B$14,1), 1*(_xlfn._xlws.FILTER(OFFSET($O$15,0,$DN91,$B$8,1),OFFSET($M$15,0,0,$B$8,1))=EX$13), 1*(_xlfn._xlws.FILTER(OFFSET($O$15,0,$DO91,$B$8,1),OFFSET($M$15,0,0,$B$8,1))=EX$14))   /   SUM(OFFSET($BO$15,0,0,$B$14,1)) + $B$18/($B$19*$B$19*($DN91&lt;&gt;$DO91) + $B$19*($DN91=$DO91))</f>
        <v>3.7037037037037035E-4</v>
      </c>
      <c r="EY91" s="10" cm="1">
        <f t="array" aca="1" ref="EY91" ca="1">(1-$B$18)*SUMPRODUCT(OFFSET($BO$15,0,0,$B$14,1), 1*(_xlfn._xlws.FILTER(OFFSET($O$15,0,$DN91,$B$8,1),OFFSET($M$15,0,0,$B$8,1))=EY$13), 1*(_xlfn._xlws.FILTER(OFFSET($O$15,0,$DO91,$B$8,1),OFFSET($M$15,0,0,$B$8,1))=EY$14))   /   SUM(OFFSET($BO$15,0,0,$B$14,1)) + $B$18/($B$19*$B$19*($DN91&lt;&gt;$DO91) + $B$19*($DN91=$DO91))</f>
        <v>3.7037037037037035E-4</v>
      </c>
      <c r="EZ91" s="10" cm="1">
        <f t="array" aca="1" ref="EZ91" ca="1">(1-$B$18)*SUMPRODUCT(OFFSET($BO$15,0,0,$B$14,1), 1*(_xlfn._xlws.FILTER(OFFSET($O$15,0,$DN91,$B$8,1),OFFSET($M$15,0,0,$B$8,1))=EZ$13), 1*(_xlfn._xlws.FILTER(OFFSET($O$15,0,$DO91,$B$8,1),OFFSET($M$15,0,0,$B$8,1))=EZ$14))   /   SUM(OFFSET($BO$15,0,0,$B$14,1)) + $B$18/($B$19*$B$19*($DN91&lt;&gt;$DO91) + $B$19*($DN91=$DO91))</f>
        <v>3.7037037037037035E-4</v>
      </c>
      <c r="FA91" s="10" cm="1">
        <f t="array" aca="1" ref="FA91" ca="1">(1-$B$18)*SUMPRODUCT(OFFSET($BO$15,0,0,$B$14,1), 1*(_xlfn._xlws.FILTER(OFFSET($O$15,0,$DN91,$B$8,1),OFFSET($M$15,0,0,$B$8,1))=FA$13), 1*(_xlfn._xlws.FILTER(OFFSET($O$15,0,$DO91,$B$8,1),OFFSET($M$15,0,0,$B$8,1))=FA$14))   /   SUM(OFFSET($BO$15,0,0,$B$14,1)) + $B$18/($B$19*$B$19*($DN91&lt;&gt;$DO91) + $B$19*($DN91=$DO91))</f>
        <v>3.7037037037037035E-4</v>
      </c>
      <c r="FB91" s="10" cm="1">
        <f t="array" aca="1" ref="FB91" ca="1">(1-$B$18)*SUMPRODUCT(OFFSET($BO$15,0,0,$B$14,1), 1*(_xlfn._xlws.FILTER(OFFSET($O$15,0,$DN91,$B$8,1),OFFSET($M$15,0,0,$B$8,1))=FB$13), 1*(_xlfn._xlws.FILTER(OFFSET($O$15,0,$DO91,$B$8,1),OFFSET($M$15,0,0,$B$8,1))=FB$14))   /   SUM(OFFSET($BO$15,0,0,$B$14,1)) + $B$18/($B$19*$B$19*($DN91&lt;&gt;$DO91) + $B$19*($DN91=$DO91))</f>
        <v>3.7037037037037035E-4</v>
      </c>
      <c r="FC91" s="10" cm="1">
        <f t="array" aca="1" ref="FC91" ca="1">(1-$B$18)*SUMPRODUCT(OFFSET($BO$15,0,0,$B$14,1), 1*(_xlfn._xlws.FILTER(OFFSET($O$15,0,$DN91,$B$8,1),OFFSET($M$15,0,0,$B$8,1))=FC$13), 1*(_xlfn._xlws.FILTER(OFFSET($O$15,0,$DO91,$B$8,1),OFFSET($M$15,0,0,$B$8,1))=FC$14))   /   SUM(OFFSET($BO$15,0,0,$B$14,1)) + $B$18/($B$19*$B$19*($DN91&lt;&gt;$DO91) + $B$19*($DN91=$DO91))</f>
        <v>3.7037037037037035E-4</v>
      </c>
      <c r="FD91" s="10" cm="1">
        <f t="array" aca="1" ref="FD91" ca="1">(1-$B$18)*SUMPRODUCT(OFFSET($BO$15,0,0,$B$14,1), 1*(_xlfn._xlws.FILTER(OFFSET($O$15,0,$DN91,$B$8,1),OFFSET($M$15,0,0,$B$8,1))=FD$13), 1*(_xlfn._xlws.FILTER(OFFSET($O$15,0,$DO91,$B$8,1),OFFSET($M$15,0,0,$B$8,1))=FD$14))   /   SUM(OFFSET($BO$15,0,0,$B$14,1)) + $B$18/($B$19*$B$19*($DN91&lt;&gt;$DO91) + $B$19*($DN91=$DO91))</f>
        <v>3.7037037037037035E-4</v>
      </c>
      <c r="FE91" s="10" cm="1">
        <f t="array" aca="1" ref="FE91" ca="1">(1-$B$18)*SUMPRODUCT(OFFSET($BO$15,0,0,$B$14,1), 1*(_xlfn._xlws.FILTER(OFFSET($O$15,0,$DN91,$B$8,1),OFFSET($M$15,0,0,$B$8,1))=FE$13), 1*(_xlfn._xlws.FILTER(OFFSET($O$15,0,$DO91,$B$8,1),OFFSET($M$15,0,0,$B$8,1))=FE$14))   /   SUM(OFFSET($BO$15,0,0,$B$14,1)) + $B$18/($B$19*$B$19*($DN91&lt;&gt;$DO91) + $B$19*($DN91=$DO91))</f>
        <v>3.7037037037037035E-4</v>
      </c>
      <c r="FF91" s="10" cm="1">
        <f t="array" aca="1" ref="FF91" ca="1">(1-$B$18)*SUMPRODUCT(OFFSET($BO$15,0,0,$B$14,1), 1*(_xlfn._xlws.FILTER(OFFSET($O$15,0,$DN91,$B$8,1),OFFSET($M$15,0,0,$B$8,1))=FF$13), 1*(_xlfn._xlws.FILTER(OFFSET($O$15,0,$DO91,$B$8,1),OFFSET($M$15,0,0,$B$8,1))=FF$14))   /   SUM(OFFSET($BO$15,0,0,$B$14,1)) + $B$18/($B$19*$B$19*($DN91&lt;&gt;$DO91) + $B$19*($DN91=$DO91))</f>
        <v>3.7037037037037035E-4</v>
      </c>
      <c r="FG91" s="10" cm="1">
        <f t="array" aca="1" ref="FG91" ca="1">(1-$B$18)*SUMPRODUCT(OFFSET($BO$15,0,0,$B$14,1), 1*(_xlfn._xlws.FILTER(OFFSET($O$15,0,$DN91,$B$8,1),OFFSET($M$15,0,0,$B$8,1))=FG$13), 1*(_xlfn._xlws.FILTER(OFFSET($O$15,0,$DO91,$B$8,1),OFFSET($M$15,0,0,$B$8,1))=FG$14))   /   SUM(OFFSET($BO$15,0,0,$B$14,1)) + $B$18/($B$19*$B$19*($DN91&lt;&gt;$DO91) + $B$19*($DN91=$DO91))</f>
        <v>3.7037037037037035E-4</v>
      </c>
      <c r="FH91" s="10" cm="1">
        <f t="array" aca="1" ref="FH91" ca="1">(1-$B$18)*SUMPRODUCT(OFFSET($BO$15,0,0,$B$14,1), 1*(_xlfn._xlws.FILTER(OFFSET($O$15,0,$DN91,$B$8,1),OFFSET($M$15,0,0,$B$8,1))=FH$13), 1*(_xlfn._xlws.FILTER(OFFSET($O$15,0,$DO91,$B$8,1),OFFSET($M$15,0,0,$B$8,1))=FH$14))   /   SUM(OFFSET($BO$15,0,0,$B$14,1)) + $B$18/($B$19*$B$19*($DN91&lt;&gt;$DO91) + $B$19*($DN91=$DO91))</f>
        <v>3.7037037037037035E-4</v>
      </c>
      <c r="FI91" s="10" cm="1">
        <f t="array" aca="1" ref="FI91" ca="1">(1-$B$18)*SUMPRODUCT(OFFSET($BO$15,0,0,$B$14,1), 1*(_xlfn._xlws.FILTER(OFFSET($O$15,0,$DN91,$B$8,1),OFFSET($M$15,0,0,$B$8,1))=FI$13), 1*(_xlfn._xlws.FILTER(OFFSET($O$15,0,$DO91,$B$8,1),OFFSET($M$15,0,0,$B$8,1))=FI$14))   /   SUM(OFFSET($BO$15,0,0,$B$14,1)) + $B$18/($B$19*$B$19*($DN91&lt;&gt;$DO91) + $B$19*($DN91=$DO91))</f>
        <v>3.7037037037037035E-4</v>
      </c>
      <c r="FJ91" s="10" cm="1">
        <f t="array" aca="1" ref="FJ91" ca="1">(1-$B$18)*SUMPRODUCT(OFFSET($BO$15,0,0,$B$14,1), 1*(_xlfn._xlws.FILTER(OFFSET($O$15,0,$DN91,$B$8,1),OFFSET($M$15,0,0,$B$8,1))=FJ$13), 1*(_xlfn._xlws.FILTER(OFFSET($O$15,0,$DO91,$B$8,1),OFFSET($M$15,0,0,$B$8,1))=FJ$14))   /   SUM(OFFSET($BO$15,0,0,$B$14,1)) + $B$18/($B$19*$B$19*($DN91&lt;&gt;$DO91) + $B$19*($DN91=$DO91))</f>
        <v>3.7037037037037035E-4</v>
      </c>
      <c r="FK91" s="10" cm="1">
        <f t="array" aca="1" ref="FK91" ca="1">(1-$B$18)*SUMPRODUCT(OFFSET($BO$15,0,0,$B$14,1), 1*(_xlfn._xlws.FILTER(OFFSET($O$15,0,$DN91,$B$8,1),OFFSET($M$15,0,0,$B$8,1))=FK$13), 1*(_xlfn._xlws.FILTER(OFFSET($O$15,0,$DO91,$B$8,1),OFFSET($M$15,0,0,$B$8,1))=FK$14))   /   SUM(OFFSET($BO$15,0,0,$B$14,1)) + $B$18/($B$19*$B$19*($DN91&lt;&gt;$DO91) + $B$19*($DN91=$DO91))</f>
        <v>3.7037037037037035E-4</v>
      </c>
      <c r="FL91" s="10" cm="1">
        <f t="array" aca="1" ref="FL91" ca="1">(1-$B$18)*SUMPRODUCT(OFFSET($BO$15,0,0,$B$14,1), 1*(_xlfn._xlws.FILTER(OFFSET($O$15,0,$DN91,$B$8,1),OFFSET($M$15,0,0,$B$8,1))=FL$13), 1*(_xlfn._xlws.FILTER(OFFSET($O$15,0,$DO91,$B$8,1),OFFSET($M$15,0,0,$B$8,1))=FL$14))   /   SUM(OFFSET($BO$15,0,0,$B$14,1)) + $B$18/($B$19*$B$19*($DN91&lt;&gt;$DO91) + $B$19*($DN91=$DO91))</f>
        <v>3.7037037037037035E-4</v>
      </c>
      <c r="FM91" s="10" cm="1">
        <f t="array" aca="1" ref="FM91" ca="1">(1-$B$18)*SUMPRODUCT(OFFSET($BO$15,0,0,$B$14,1), 1*(_xlfn._xlws.FILTER(OFFSET($O$15,0,$DN91,$B$8,1),OFFSET($M$15,0,0,$B$8,1))=FM$13), 1*(_xlfn._xlws.FILTER(OFFSET($O$15,0,$DO91,$B$8,1),OFFSET($M$15,0,0,$B$8,1))=FM$14))   /   SUM(OFFSET($BO$15,0,0,$B$14,1)) + $B$18/($B$19*$B$19*($DN91&lt;&gt;$DO91) + $B$19*($DN91=$DO91))</f>
        <v>3.7037037037037035E-4</v>
      </c>
      <c r="FN91" s="10" cm="1">
        <f t="array" aca="1" ref="FN91" ca="1">(1-$B$18)*SUMPRODUCT(OFFSET($BO$15,0,0,$B$14,1), 1*(_xlfn._xlws.FILTER(OFFSET($O$15,0,$DN91,$B$8,1),OFFSET($M$15,0,0,$B$8,1))=FN$13), 1*(_xlfn._xlws.FILTER(OFFSET($O$15,0,$DO91,$B$8,1),OFFSET($M$15,0,0,$B$8,1))=FN$14))   /   SUM(OFFSET($BO$15,0,0,$B$14,1)) + $B$18/($B$19*$B$19*($DN91&lt;&gt;$DO91) + $B$19*($DN91=$DO91))</f>
        <v>3.7037037037037035E-4</v>
      </c>
      <c r="FO91" s="10" cm="1">
        <f t="array" aca="1" ref="FO91" ca="1">(1-$B$18)*SUMPRODUCT(OFFSET($BO$15,0,0,$B$14,1), 1*(_xlfn._xlws.FILTER(OFFSET($O$15,0,$DN91,$B$8,1),OFFSET($M$15,0,0,$B$8,1))=FO$13), 1*(_xlfn._xlws.FILTER(OFFSET($O$15,0,$DO91,$B$8,1),OFFSET($M$15,0,0,$B$8,1))=FO$14))   /   SUM(OFFSET($BO$15,0,0,$B$14,1)) + $B$18/($B$19*$B$19*($DN91&lt;&gt;$DO91) + $B$19*($DN91=$DO91))</f>
        <v>3.7037037037037035E-4</v>
      </c>
      <c r="FP91" s="10" cm="1">
        <f t="array" aca="1" ref="FP91" ca="1">(1-$B$18)*SUMPRODUCT(OFFSET($BO$15,0,0,$B$14,1), 1*(_xlfn._xlws.FILTER(OFFSET($O$15,0,$DN91,$B$8,1),OFFSET($M$15,0,0,$B$8,1))=FP$13), 1*(_xlfn._xlws.FILTER(OFFSET($O$15,0,$DO91,$B$8,1),OFFSET($M$15,0,0,$B$8,1))=FP$14))   /   SUM(OFFSET($BO$15,0,0,$B$14,1)) + $B$18/($B$19*$B$19*($DN91&lt;&gt;$DO91) + $B$19*($DN91=$DO91))</f>
        <v>3.7037037037037035E-4</v>
      </c>
      <c r="FQ91" s="10" cm="1">
        <f t="array" aca="1" ref="FQ91" ca="1">(1-$B$18)*SUMPRODUCT(OFFSET($BO$15,0,0,$B$14,1), 1*(_xlfn._xlws.FILTER(OFFSET($O$15,0,$DN91,$B$8,1),OFFSET($M$15,0,0,$B$8,1))=FQ$13), 1*(_xlfn._xlws.FILTER(OFFSET($O$15,0,$DO91,$B$8,1),OFFSET($M$15,0,0,$B$8,1))=FQ$14))   /   SUM(OFFSET($BO$15,0,0,$B$14,1)) + $B$18/($B$19*$B$19*($DN91&lt;&gt;$DO91) + $B$19*($DN91=$DO91))</f>
        <v>3.7037037037037035E-4</v>
      </c>
      <c r="FR91" s="10" cm="1">
        <f t="array" aca="1" ref="FR91" ca="1">(1-$B$18)*SUMPRODUCT(OFFSET($BO$15,0,0,$B$14,1), 1*(_xlfn._xlws.FILTER(OFFSET($O$15,0,$DN91,$B$8,1),OFFSET($M$15,0,0,$B$8,1))=FR$13), 1*(_xlfn._xlws.FILTER(OFFSET($O$15,0,$DO91,$B$8,1),OFFSET($M$15,0,0,$B$8,1))=FR$14))   /   SUM(OFFSET($BO$15,0,0,$B$14,1)) + $B$18/($B$19*$B$19*($DN91&lt;&gt;$DO91) + $B$19*($DN91=$DO91))</f>
        <v>0.97037037037037033</v>
      </c>
      <c r="FS91" s="10" cm="1">
        <f t="array" aca="1" ref="FS91" ca="1">(1-$B$18)*SUMPRODUCT(OFFSET($BO$15,0,0,$B$14,1), 1*(_xlfn._xlws.FILTER(OFFSET($O$15,0,$DN91,$B$8,1),OFFSET($M$15,0,0,$B$8,1))=FS$13), 1*(_xlfn._xlws.FILTER(OFFSET($O$15,0,$DO91,$B$8,1),OFFSET($M$15,0,0,$B$8,1))=FS$14))   /   SUM(OFFSET($BO$15,0,0,$B$14,1)) + $B$18/($B$19*$B$19*($DN91&lt;&gt;$DO91) + $B$19*($DN91=$DO91))</f>
        <v>3.7037037037037035E-4</v>
      </c>
      <c r="FT91" s="10" cm="1">
        <f t="array" aca="1" ref="FT91" ca="1">(1-$B$18)*SUMPRODUCT(OFFSET($BO$15,0,0,$B$14,1), 1*(_xlfn._xlws.FILTER(OFFSET($O$15,0,$DN91,$B$8,1),OFFSET($M$15,0,0,$B$8,1))=FT$13), 1*(_xlfn._xlws.FILTER(OFFSET($O$15,0,$DO91,$B$8,1),OFFSET($M$15,0,0,$B$8,1))=FT$14))   /   SUM(OFFSET($BO$15,0,0,$B$14,1)) + $B$18/($B$19*$B$19*($DN91&lt;&gt;$DO91) + $B$19*($DN91=$DO91))</f>
        <v>3.7037037037037035E-4</v>
      </c>
      <c r="FU91" s="10" cm="1">
        <f t="array" aca="1" ref="FU91" ca="1">(1-$B$18)*SUMPRODUCT(OFFSET($BO$15,0,0,$B$14,1), 1*(_xlfn._xlws.FILTER(OFFSET($O$15,0,$DN91,$B$8,1),OFFSET($M$15,0,0,$B$8,1))=FU$13), 1*(_xlfn._xlws.FILTER(OFFSET($O$15,0,$DO91,$B$8,1),OFFSET($M$15,0,0,$B$8,1))=FU$14))   /   SUM(OFFSET($BO$15,0,0,$B$14,1)) + $B$18/($B$19*$B$19*($DN91&lt;&gt;$DO91) + $B$19*($DN91=$DO91))</f>
        <v>3.7037037037037035E-4</v>
      </c>
      <c r="FV91" s="10" cm="1">
        <f t="array" aca="1" ref="FV91" ca="1">(1-$B$18)*SUMPRODUCT(OFFSET($BO$15,0,0,$B$14,1), 1*(_xlfn._xlws.FILTER(OFFSET($O$15,0,$DN91,$B$8,1),OFFSET($M$15,0,0,$B$8,1))=FV$13), 1*(_xlfn._xlws.FILTER(OFFSET($O$15,0,$DO91,$B$8,1),OFFSET($M$15,0,0,$B$8,1))=FV$14))   /   SUM(OFFSET($BO$15,0,0,$B$14,1)) + $B$18/($B$19*$B$19*($DN91&lt;&gt;$DO91) + $B$19*($DN91=$DO91))</f>
        <v>3.7037037037037035E-4</v>
      </c>
      <c r="FW91" s="10" cm="1">
        <f t="array" aca="1" ref="FW91" ca="1">(1-$B$18)*SUMPRODUCT(OFFSET($BO$15,0,0,$B$14,1), 1*(_xlfn._xlws.FILTER(OFFSET($O$15,0,$DN91,$B$8,1),OFFSET($M$15,0,0,$B$8,1))=FW$13), 1*(_xlfn._xlws.FILTER(OFFSET($O$15,0,$DO91,$B$8,1),OFFSET($M$15,0,0,$B$8,1))=FW$14))   /   SUM(OFFSET($BO$15,0,0,$B$14,1)) + $B$18/($B$19*$B$19*($DN91&lt;&gt;$DO91) + $B$19*($DN91=$DO91))</f>
        <v>3.7037037037037035E-4</v>
      </c>
      <c r="FX91" s="10" cm="1">
        <f t="array" aca="1" ref="FX91" ca="1">(1-$B$18)*SUMPRODUCT(OFFSET($BO$15,0,0,$B$14,1), 1*(_xlfn._xlws.FILTER(OFFSET($O$15,0,$DN91,$B$8,1),OFFSET($M$15,0,0,$B$8,1))=FX$13), 1*(_xlfn._xlws.FILTER(OFFSET($O$15,0,$DO91,$B$8,1),OFFSET($M$15,0,0,$B$8,1))=FX$14))   /   SUM(OFFSET($BO$15,0,0,$B$14,1)) + $B$18/($B$19*$B$19*($DN91&lt;&gt;$DO91) + $B$19*($DN91=$DO91))</f>
        <v>3.7037037037037035E-4</v>
      </c>
      <c r="FY91" s="10" cm="1">
        <f t="array" aca="1" ref="FY91" ca="1">(1-$B$18)*SUMPRODUCT(OFFSET($BO$15,0,0,$B$14,1), 1*(_xlfn._xlws.FILTER(OFFSET($O$15,0,$DN91,$B$8,1),OFFSET($M$15,0,0,$B$8,1))=FY$13), 1*(_xlfn._xlws.FILTER(OFFSET($O$15,0,$DO91,$B$8,1),OFFSET($M$15,0,0,$B$8,1))=FY$14))   /   SUM(OFFSET($BO$15,0,0,$B$14,1)) + $B$18/($B$19*$B$19*($DN91&lt;&gt;$DO91) + $B$19*($DN91=$DO91))</f>
        <v>3.7037037037037035E-4</v>
      </c>
      <c r="FZ91" s="10" cm="1">
        <f t="array" aca="1" ref="FZ91" ca="1">(1-$B$18)*SUMPRODUCT(OFFSET($BO$15,0,0,$B$14,1), 1*(_xlfn._xlws.FILTER(OFFSET($O$15,0,$DN91,$B$8,1),OFFSET($M$15,0,0,$B$8,1))=FZ$13), 1*(_xlfn._xlws.FILTER(OFFSET($O$15,0,$DO91,$B$8,1),OFFSET($M$15,0,0,$B$8,1))=FZ$14))   /   SUM(OFFSET($BO$15,0,0,$B$14,1)) + $B$18/($B$19*$B$19*($DN91&lt;&gt;$DO91) + $B$19*($DN91=$DO91))</f>
        <v>3.7037037037037035E-4</v>
      </c>
      <c r="GA91" s="10" cm="1">
        <f t="array" aca="1" ref="GA91" ca="1">(1-$B$18)*SUMPRODUCT(OFFSET($BO$15,0,0,$B$14,1), 1*(_xlfn._xlws.FILTER(OFFSET($O$15,0,$DN91,$B$8,1),OFFSET($M$15,0,0,$B$8,1))=GA$13), 1*(_xlfn._xlws.FILTER(OFFSET($O$15,0,$DO91,$B$8,1),OFFSET($M$15,0,0,$B$8,1))=GA$14))   /   SUM(OFFSET($BO$15,0,0,$B$14,1)) + $B$18/($B$19*$B$19*($DN91&lt;&gt;$DO91) + $B$19*($DN91=$DO91))</f>
        <v>3.7037037037037035E-4</v>
      </c>
    </row>
    <row r="92" spans="7:183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DN92" cm="1">
        <f t="array" aca="1" ref="DN92" ca="1">INDEX(_xlfn.ANCHORARRAY($CP$15), 1 + INT((ROWS($DO$15:$DO92) - 1) / ROWS(_xlfn.ANCHORARRAY($CP$15))))</f>
        <v>4</v>
      </c>
      <c r="DO92" cm="1">
        <f t="array" aca="1" ref="DO92" ca="1">INDEX(_xlfn.ANCHORARRAY($CP$15),1+MOD(ROWS($DO$15:$DO92)-1,ROWS(_xlfn.ANCHORARRAY($CP$15))))</f>
        <v>1</v>
      </c>
      <c r="DP92" s="10" cm="1">
        <f t="array" aca="1" ref="DP92" ca="1">(1-$B$18)*SUMPRODUCT(OFFSET($BO$15,0,0,$B$14,1), 1*(_xlfn._xlws.FILTER(OFFSET($O$15,0,$DN92,$B$8,1),OFFSET($M$15,0,0,$B$8,1))=DP$13), 1*(_xlfn._xlws.FILTER(OFFSET($O$15,0,$DO92,$B$8,1),OFFSET($M$15,0,0,$B$8,1))=DP$14))   /   SUM(OFFSET($BO$15,0,0,$B$14,1)) + $B$18/($B$19*$B$19*($DN92&lt;&gt;$DO92) + $B$19*($DN92=$DO92))</f>
        <v>3.7037037037037035E-4</v>
      </c>
      <c r="DQ92" s="10" cm="1">
        <f t="array" aca="1" ref="DQ92" ca="1">(1-$B$18)*SUMPRODUCT(OFFSET($BO$15,0,0,$B$14,1), 1*(_xlfn._xlws.FILTER(OFFSET($O$15,0,$DN92,$B$8,1),OFFSET($M$15,0,0,$B$8,1))=DQ$13), 1*(_xlfn._xlws.FILTER(OFFSET($O$15,0,$DO92,$B$8,1),OFFSET($M$15,0,0,$B$8,1))=DQ$14))   /   SUM(OFFSET($BO$15,0,0,$B$14,1)) + $B$18/($B$19*$B$19*($DN92&lt;&gt;$DO92) + $B$19*($DN92=$DO92))</f>
        <v>3.7037037037037035E-4</v>
      </c>
      <c r="DR92" s="10" cm="1">
        <f t="array" aca="1" ref="DR92" ca="1">(1-$B$18)*SUMPRODUCT(OFFSET($BO$15,0,0,$B$14,1), 1*(_xlfn._xlws.FILTER(OFFSET($O$15,0,$DN92,$B$8,1),OFFSET($M$15,0,0,$B$8,1))=DR$13), 1*(_xlfn._xlws.FILTER(OFFSET($O$15,0,$DO92,$B$8,1),OFFSET($M$15,0,0,$B$8,1))=DR$14))   /   SUM(OFFSET($BO$15,0,0,$B$14,1)) + $B$18/($B$19*$B$19*($DN92&lt;&gt;$DO92) + $B$19*($DN92=$DO92))</f>
        <v>3.7037037037037035E-4</v>
      </c>
      <c r="DS92" s="10" cm="1">
        <f t="array" aca="1" ref="DS92" ca="1">(1-$B$18)*SUMPRODUCT(OFFSET($BO$15,0,0,$B$14,1), 1*(_xlfn._xlws.FILTER(OFFSET($O$15,0,$DN92,$B$8,1),OFFSET($M$15,0,0,$B$8,1))=DS$13), 1*(_xlfn._xlws.FILTER(OFFSET($O$15,0,$DO92,$B$8,1),OFFSET($M$15,0,0,$B$8,1))=DS$14))   /   SUM(OFFSET($BO$15,0,0,$B$14,1)) + $B$18/($B$19*$B$19*($DN92&lt;&gt;$DO92) + $B$19*($DN92=$DO92))</f>
        <v>3.7037037037037035E-4</v>
      </c>
      <c r="DT92" s="10" cm="1">
        <f t="array" aca="1" ref="DT92" ca="1">(1-$B$18)*SUMPRODUCT(OFFSET($BO$15,0,0,$B$14,1), 1*(_xlfn._xlws.FILTER(OFFSET($O$15,0,$DN92,$B$8,1),OFFSET($M$15,0,0,$B$8,1))=DT$13), 1*(_xlfn._xlws.FILTER(OFFSET($O$15,0,$DO92,$B$8,1),OFFSET($M$15,0,0,$B$8,1))=DT$14))   /   SUM(OFFSET($BO$15,0,0,$B$14,1)) + $B$18/($B$19*$B$19*($DN92&lt;&gt;$DO92) + $B$19*($DN92=$DO92))</f>
        <v>3.7037037037037035E-4</v>
      </c>
      <c r="DU92" s="10" cm="1">
        <f t="array" aca="1" ref="DU92" ca="1">(1-$B$18)*SUMPRODUCT(OFFSET($BO$15,0,0,$B$14,1), 1*(_xlfn._xlws.FILTER(OFFSET($O$15,0,$DN92,$B$8,1),OFFSET($M$15,0,0,$B$8,1))=DU$13), 1*(_xlfn._xlws.FILTER(OFFSET($O$15,0,$DO92,$B$8,1),OFFSET($M$15,0,0,$B$8,1))=DU$14))   /   SUM(OFFSET($BO$15,0,0,$B$14,1)) + $B$18/($B$19*$B$19*($DN92&lt;&gt;$DO92) + $B$19*($DN92=$DO92))</f>
        <v>3.7037037037037035E-4</v>
      </c>
      <c r="DV92" s="10" cm="1">
        <f t="array" aca="1" ref="DV92" ca="1">(1-$B$18)*SUMPRODUCT(OFFSET($BO$15,0,0,$B$14,1), 1*(_xlfn._xlws.FILTER(OFFSET($O$15,0,$DN92,$B$8,1),OFFSET($M$15,0,0,$B$8,1))=DV$13), 1*(_xlfn._xlws.FILTER(OFFSET($O$15,0,$DO92,$B$8,1),OFFSET($M$15,0,0,$B$8,1))=DV$14))   /   SUM(OFFSET($BO$15,0,0,$B$14,1)) + $B$18/($B$19*$B$19*($DN92&lt;&gt;$DO92) + $B$19*($DN92=$DO92))</f>
        <v>3.7037037037037035E-4</v>
      </c>
      <c r="DW92" s="10" cm="1">
        <f t="array" aca="1" ref="DW92" ca="1">(1-$B$18)*SUMPRODUCT(OFFSET($BO$15,0,0,$B$14,1), 1*(_xlfn._xlws.FILTER(OFFSET($O$15,0,$DN92,$B$8,1),OFFSET($M$15,0,0,$B$8,1))=DW$13), 1*(_xlfn._xlws.FILTER(OFFSET($O$15,0,$DO92,$B$8,1),OFFSET($M$15,0,0,$B$8,1))=DW$14))   /   SUM(OFFSET($BO$15,0,0,$B$14,1)) + $B$18/($B$19*$B$19*($DN92&lt;&gt;$DO92) + $B$19*($DN92=$DO92))</f>
        <v>3.7037037037037035E-4</v>
      </c>
      <c r="DX92" s="10" cm="1">
        <f t="array" aca="1" ref="DX92" ca="1">(1-$B$18)*SUMPRODUCT(OFFSET($BO$15,0,0,$B$14,1), 1*(_xlfn._xlws.FILTER(OFFSET($O$15,0,$DN92,$B$8,1),OFFSET($M$15,0,0,$B$8,1))=DX$13), 1*(_xlfn._xlws.FILTER(OFFSET($O$15,0,$DO92,$B$8,1),OFFSET($M$15,0,0,$B$8,1))=DX$14))   /   SUM(OFFSET($BO$15,0,0,$B$14,1)) + $B$18/($B$19*$B$19*($DN92&lt;&gt;$DO92) + $B$19*($DN92=$DO92))</f>
        <v>3.7037037037037035E-4</v>
      </c>
      <c r="DY92" s="10" cm="1">
        <f t="array" aca="1" ref="DY92" ca="1">(1-$B$18)*SUMPRODUCT(OFFSET($BO$15,0,0,$B$14,1), 1*(_xlfn._xlws.FILTER(OFFSET($O$15,0,$DN92,$B$8,1),OFFSET($M$15,0,0,$B$8,1))=DY$13), 1*(_xlfn._xlws.FILTER(OFFSET($O$15,0,$DO92,$B$8,1),OFFSET($M$15,0,0,$B$8,1))=DY$14))   /   SUM(OFFSET($BO$15,0,0,$B$14,1)) + $B$18/($B$19*$B$19*($DN92&lt;&gt;$DO92) + $B$19*($DN92=$DO92))</f>
        <v>3.7037037037037035E-4</v>
      </c>
      <c r="DZ92" s="10" cm="1">
        <f t="array" aca="1" ref="DZ92" ca="1">(1-$B$18)*SUMPRODUCT(OFFSET($BO$15,0,0,$B$14,1), 1*(_xlfn._xlws.FILTER(OFFSET($O$15,0,$DN92,$B$8,1),OFFSET($M$15,0,0,$B$8,1))=DZ$13), 1*(_xlfn._xlws.FILTER(OFFSET($O$15,0,$DO92,$B$8,1),OFFSET($M$15,0,0,$B$8,1))=DZ$14))   /   SUM(OFFSET($BO$15,0,0,$B$14,1)) + $B$18/($B$19*$B$19*($DN92&lt;&gt;$DO92) + $B$19*($DN92=$DO92))</f>
        <v>3.7037037037037035E-4</v>
      </c>
      <c r="EA92" s="10" cm="1">
        <f t="array" aca="1" ref="EA92" ca="1">(1-$B$18)*SUMPRODUCT(OFFSET($BO$15,0,0,$B$14,1), 1*(_xlfn._xlws.FILTER(OFFSET($O$15,0,$DN92,$B$8,1),OFFSET($M$15,0,0,$B$8,1))=EA$13), 1*(_xlfn._xlws.FILTER(OFFSET($O$15,0,$DO92,$B$8,1),OFFSET($M$15,0,0,$B$8,1))=EA$14))   /   SUM(OFFSET($BO$15,0,0,$B$14,1)) + $B$18/($B$19*$B$19*($DN92&lt;&gt;$DO92) + $B$19*($DN92=$DO92))</f>
        <v>3.7037037037037035E-4</v>
      </c>
      <c r="EB92" s="10" cm="1">
        <f t="array" aca="1" ref="EB92" ca="1">(1-$B$18)*SUMPRODUCT(OFFSET($BO$15,0,0,$B$14,1), 1*(_xlfn._xlws.FILTER(OFFSET($O$15,0,$DN92,$B$8,1),OFFSET($M$15,0,0,$B$8,1))=EB$13), 1*(_xlfn._xlws.FILTER(OFFSET($O$15,0,$DO92,$B$8,1),OFFSET($M$15,0,0,$B$8,1))=EB$14))   /   SUM(OFFSET($BO$15,0,0,$B$14,1)) + $B$18/($B$19*$B$19*($DN92&lt;&gt;$DO92) + $B$19*($DN92=$DO92))</f>
        <v>3.7037037037037035E-4</v>
      </c>
      <c r="EC92" s="10" cm="1">
        <f t="array" aca="1" ref="EC92" ca="1">(1-$B$18)*SUMPRODUCT(OFFSET($BO$15,0,0,$B$14,1), 1*(_xlfn._xlws.FILTER(OFFSET($O$15,0,$DN92,$B$8,1),OFFSET($M$15,0,0,$B$8,1))=EC$13), 1*(_xlfn._xlws.FILTER(OFFSET($O$15,0,$DO92,$B$8,1),OFFSET($M$15,0,0,$B$8,1))=EC$14))   /   SUM(OFFSET($BO$15,0,0,$B$14,1)) + $B$18/($B$19*$B$19*($DN92&lt;&gt;$DO92) + $B$19*($DN92=$DO92))</f>
        <v>3.7037037037037035E-4</v>
      </c>
      <c r="ED92" s="10" cm="1">
        <f t="array" aca="1" ref="ED92" ca="1">(1-$B$18)*SUMPRODUCT(OFFSET($BO$15,0,0,$B$14,1), 1*(_xlfn._xlws.FILTER(OFFSET($O$15,0,$DN92,$B$8,1),OFFSET($M$15,0,0,$B$8,1))=ED$13), 1*(_xlfn._xlws.FILTER(OFFSET($O$15,0,$DO92,$B$8,1),OFFSET($M$15,0,0,$B$8,1))=ED$14))   /   SUM(OFFSET($BO$15,0,0,$B$14,1)) + $B$18/($B$19*$B$19*($DN92&lt;&gt;$DO92) + $B$19*($DN92=$DO92))</f>
        <v>3.7037037037037035E-4</v>
      </c>
      <c r="EE92" s="10" cm="1">
        <f t="array" aca="1" ref="EE92" ca="1">(1-$B$18)*SUMPRODUCT(OFFSET($BO$15,0,0,$B$14,1), 1*(_xlfn._xlws.FILTER(OFFSET($O$15,0,$DN92,$B$8,1),OFFSET($M$15,0,0,$B$8,1))=EE$13), 1*(_xlfn._xlws.FILTER(OFFSET($O$15,0,$DO92,$B$8,1),OFFSET($M$15,0,0,$B$8,1))=EE$14))   /   SUM(OFFSET($BO$15,0,0,$B$14,1)) + $B$18/($B$19*$B$19*($DN92&lt;&gt;$DO92) + $B$19*($DN92=$DO92))</f>
        <v>3.7037037037037035E-4</v>
      </c>
      <c r="EF92" s="10" cm="1">
        <f t="array" aca="1" ref="EF92" ca="1">(1-$B$18)*SUMPRODUCT(OFFSET($BO$15,0,0,$B$14,1), 1*(_xlfn._xlws.FILTER(OFFSET($O$15,0,$DN92,$B$8,1),OFFSET($M$15,0,0,$B$8,1))=EF$13), 1*(_xlfn._xlws.FILTER(OFFSET($O$15,0,$DO92,$B$8,1),OFFSET($M$15,0,0,$B$8,1))=EF$14))   /   SUM(OFFSET($BO$15,0,0,$B$14,1)) + $B$18/($B$19*$B$19*($DN92&lt;&gt;$DO92) + $B$19*($DN92=$DO92))</f>
        <v>3.7037037037037035E-4</v>
      </c>
      <c r="EG92" s="10" cm="1">
        <f t="array" aca="1" ref="EG92" ca="1">(1-$B$18)*SUMPRODUCT(OFFSET($BO$15,0,0,$B$14,1), 1*(_xlfn._xlws.FILTER(OFFSET($O$15,0,$DN92,$B$8,1),OFFSET($M$15,0,0,$B$8,1))=EG$13), 1*(_xlfn._xlws.FILTER(OFFSET($O$15,0,$DO92,$B$8,1),OFFSET($M$15,0,0,$B$8,1))=EG$14))   /   SUM(OFFSET($BO$15,0,0,$B$14,1)) + $B$18/($B$19*$B$19*($DN92&lt;&gt;$DO92) + $B$19*($DN92=$DO92))</f>
        <v>3.7037037037037035E-4</v>
      </c>
      <c r="EH92" s="10" cm="1">
        <f t="array" aca="1" ref="EH92" ca="1">(1-$B$18)*SUMPRODUCT(OFFSET($BO$15,0,0,$B$14,1), 1*(_xlfn._xlws.FILTER(OFFSET($O$15,0,$DN92,$B$8,1),OFFSET($M$15,0,0,$B$8,1))=EH$13), 1*(_xlfn._xlws.FILTER(OFFSET($O$15,0,$DO92,$B$8,1),OFFSET($M$15,0,0,$B$8,1))=EH$14))   /   SUM(OFFSET($BO$15,0,0,$B$14,1)) + $B$18/($B$19*$B$19*($DN92&lt;&gt;$DO92) + $B$19*($DN92=$DO92))</f>
        <v>3.7037037037037035E-4</v>
      </c>
      <c r="EI92" s="10" cm="1">
        <f t="array" aca="1" ref="EI92" ca="1">(1-$B$18)*SUMPRODUCT(OFFSET($BO$15,0,0,$B$14,1), 1*(_xlfn._xlws.FILTER(OFFSET($O$15,0,$DN92,$B$8,1),OFFSET($M$15,0,0,$B$8,1))=EI$13), 1*(_xlfn._xlws.FILTER(OFFSET($O$15,0,$DO92,$B$8,1),OFFSET($M$15,0,0,$B$8,1))=EI$14))   /   SUM(OFFSET($BO$15,0,0,$B$14,1)) + $B$18/($B$19*$B$19*($DN92&lt;&gt;$DO92) + $B$19*($DN92=$DO92))</f>
        <v>3.7037037037037035E-4</v>
      </c>
      <c r="EJ92" s="10" cm="1">
        <f t="array" aca="1" ref="EJ92" ca="1">(1-$B$18)*SUMPRODUCT(OFFSET($BO$15,0,0,$B$14,1), 1*(_xlfn._xlws.FILTER(OFFSET($O$15,0,$DN92,$B$8,1),OFFSET($M$15,0,0,$B$8,1))=EJ$13), 1*(_xlfn._xlws.FILTER(OFFSET($O$15,0,$DO92,$B$8,1),OFFSET($M$15,0,0,$B$8,1))=EJ$14))   /   SUM(OFFSET($BO$15,0,0,$B$14,1)) + $B$18/($B$19*$B$19*($DN92&lt;&gt;$DO92) + $B$19*($DN92=$DO92))</f>
        <v>3.7037037037037035E-4</v>
      </c>
      <c r="EK92" s="10" cm="1">
        <f t="array" aca="1" ref="EK92" ca="1">(1-$B$18)*SUMPRODUCT(OFFSET($BO$15,0,0,$B$14,1), 1*(_xlfn._xlws.FILTER(OFFSET($O$15,0,$DN92,$B$8,1),OFFSET($M$15,0,0,$B$8,1))=EK$13), 1*(_xlfn._xlws.FILTER(OFFSET($O$15,0,$DO92,$B$8,1),OFFSET($M$15,0,0,$B$8,1))=EK$14))   /   SUM(OFFSET($BO$15,0,0,$B$14,1)) + $B$18/($B$19*$B$19*($DN92&lt;&gt;$DO92) + $B$19*($DN92=$DO92))</f>
        <v>3.7037037037037035E-4</v>
      </c>
      <c r="EL92" s="10" cm="1">
        <f t="array" aca="1" ref="EL92" ca="1">(1-$B$18)*SUMPRODUCT(OFFSET($BO$15,0,0,$B$14,1), 1*(_xlfn._xlws.FILTER(OFFSET($O$15,0,$DN92,$B$8,1),OFFSET($M$15,0,0,$B$8,1))=EL$13), 1*(_xlfn._xlws.FILTER(OFFSET($O$15,0,$DO92,$B$8,1),OFFSET($M$15,0,0,$B$8,1))=EL$14))   /   SUM(OFFSET($BO$15,0,0,$B$14,1)) + $B$18/($B$19*$B$19*($DN92&lt;&gt;$DO92) + $B$19*($DN92=$DO92))</f>
        <v>3.7037037037037035E-4</v>
      </c>
      <c r="EM92" s="10" cm="1">
        <f t="array" aca="1" ref="EM92" ca="1">(1-$B$18)*SUMPRODUCT(OFFSET($BO$15,0,0,$B$14,1), 1*(_xlfn._xlws.FILTER(OFFSET($O$15,0,$DN92,$B$8,1),OFFSET($M$15,0,0,$B$8,1))=EM$13), 1*(_xlfn._xlws.FILTER(OFFSET($O$15,0,$DO92,$B$8,1),OFFSET($M$15,0,0,$B$8,1))=EM$14))   /   SUM(OFFSET($BO$15,0,0,$B$14,1)) + $B$18/($B$19*$B$19*($DN92&lt;&gt;$DO92) + $B$19*($DN92=$DO92))</f>
        <v>3.7037037037037035E-4</v>
      </c>
      <c r="EN92" s="10" cm="1">
        <f t="array" aca="1" ref="EN92" ca="1">(1-$B$18)*SUMPRODUCT(OFFSET($BO$15,0,0,$B$14,1), 1*(_xlfn._xlws.FILTER(OFFSET($O$15,0,$DN92,$B$8,1),OFFSET($M$15,0,0,$B$8,1))=EN$13), 1*(_xlfn._xlws.FILTER(OFFSET($O$15,0,$DO92,$B$8,1),OFFSET($M$15,0,0,$B$8,1))=EN$14))   /   SUM(OFFSET($BO$15,0,0,$B$14,1)) + $B$18/($B$19*$B$19*($DN92&lt;&gt;$DO92) + $B$19*($DN92=$DO92))</f>
        <v>3.7037037037037035E-4</v>
      </c>
      <c r="EO92" s="10" cm="1">
        <f t="array" aca="1" ref="EO92" ca="1">(1-$B$18)*SUMPRODUCT(OFFSET($BO$15,0,0,$B$14,1), 1*(_xlfn._xlws.FILTER(OFFSET($O$15,0,$DN92,$B$8,1),OFFSET($M$15,0,0,$B$8,1))=EO$13), 1*(_xlfn._xlws.FILTER(OFFSET($O$15,0,$DO92,$B$8,1),OFFSET($M$15,0,0,$B$8,1))=EO$14))   /   SUM(OFFSET($BO$15,0,0,$B$14,1)) + $B$18/($B$19*$B$19*($DN92&lt;&gt;$DO92) + $B$19*($DN92=$DO92))</f>
        <v>3.7037037037037035E-4</v>
      </c>
      <c r="EP92" s="10" cm="1">
        <f t="array" aca="1" ref="EP92" ca="1">(1-$B$18)*SUMPRODUCT(OFFSET($BO$15,0,0,$B$14,1), 1*(_xlfn._xlws.FILTER(OFFSET($O$15,0,$DN92,$B$8,1),OFFSET($M$15,0,0,$B$8,1))=EP$13), 1*(_xlfn._xlws.FILTER(OFFSET($O$15,0,$DO92,$B$8,1),OFFSET($M$15,0,0,$B$8,1))=EP$14))   /   SUM(OFFSET($BO$15,0,0,$B$14,1)) + $B$18/($B$19*$B$19*($DN92&lt;&gt;$DO92) + $B$19*($DN92=$DO92))</f>
        <v>3.7037037037037035E-4</v>
      </c>
      <c r="EQ92" s="10" cm="1">
        <f t="array" aca="1" ref="EQ92" ca="1">(1-$B$18)*SUMPRODUCT(OFFSET($BO$15,0,0,$B$14,1), 1*(_xlfn._xlws.FILTER(OFFSET($O$15,0,$DN92,$B$8,1),OFFSET($M$15,0,0,$B$8,1))=EQ$13), 1*(_xlfn._xlws.FILTER(OFFSET($O$15,0,$DO92,$B$8,1),OFFSET($M$15,0,0,$B$8,1))=EQ$14))   /   SUM(OFFSET($BO$15,0,0,$B$14,1)) + $B$18/($B$19*$B$19*($DN92&lt;&gt;$DO92) + $B$19*($DN92=$DO92))</f>
        <v>3.7037037037037035E-4</v>
      </c>
      <c r="ER92" s="10" cm="1">
        <f t="array" aca="1" ref="ER92" ca="1">(1-$B$18)*SUMPRODUCT(OFFSET($BO$15,0,0,$B$14,1), 1*(_xlfn._xlws.FILTER(OFFSET($O$15,0,$DN92,$B$8,1),OFFSET($M$15,0,0,$B$8,1))=ER$13), 1*(_xlfn._xlws.FILTER(OFFSET($O$15,0,$DO92,$B$8,1),OFFSET($M$15,0,0,$B$8,1))=ER$14))   /   SUM(OFFSET($BO$15,0,0,$B$14,1)) + $B$18/($B$19*$B$19*($DN92&lt;&gt;$DO92) + $B$19*($DN92=$DO92))</f>
        <v>3.7037037037037035E-4</v>
      </c>
      <c r="ES92" s="10" cm="1">
        <f t="array" aca="1" ref="ES92" ca="1">(1-$B$18)*SUMPRODUCT(OFFSET($BO$15,0,0,$B$14,1), 1*(_xlfn._xlws.FILTER(OFFSET($O$15,0,$DN92,$B$8,1),OFFSET($M$15,0,0,$B$8,1))=ES$13), 1*(_xlfn._xlws.FILTER(OFFSET($O$15,0,$DO92,$B$8,1),OFFSET($M$15,0,0,$B$8,1))=ES$14))   /   SUM(OFFSET($BO$15,0,0,$B$14,1)) + $B$18/($B$19*$B$19*($DN92&lt;&gt;$DO92) + $B$19*($DN92=$DO92))</f>
        <v>3.7037037037037035E-4</v>
      </c>
      <c r="ET92" s="10" cm="1">
        <f t="array" aca="1" ref="ET92" ca="1">(1-$B$18)*SUMPRODUCT(OFFSET($BO$15,0,0,$B$14,1), 1*(_xlfn._xlws.FILTER(OFFSET($O$15,0,$DN92,$B$8,1),OFFSET($M$15,0,0,$B$8,1))=ET$13), 1*(_xlfn._xlws.FILTER(OFFSET($O$15,0,$DO92,$B$8,1),OFFSET($M$15,0,0,$B$8,1))=ET$14))   /   SUM(OFFSET($BO$15,0,0,$B$14,1)) + $B$18/($B$19*$B$19*($DN92&lt;&gt;$DO92) + $B$19*($DN92=$DO92))</f>
        <v>3.7037037037037035E-4</v>
      </c>
      <c r="EU92" s="10" cm="1">
        <f t="array" aca="1" ref="EU92" ca="1">(1-$B$18)*SUMPRODUCT(OFFSET($BO$15,0,0,$B$14,1), 1*(_xlfn._xlws.FILTER(OFFSET($O$15,0,$DN92,$B$8,1),OFFSET($M$15,0,0,$B$8,1))=EU$13), 1*(_xlfn._xlws.FILTER(OFFSET($O$15,0,$DO92,$B$8,1),OFFSET($M$15,0,0,$B$8,1))=EU$14))   /   SUM(OFFSET($BO$15,0,0,$B$14,1)) + $B$18/($B$19*$B$19*($DN92&lt;&gt;$DO92) + $B$19*($DN92=$DO92))</f>
        <v>3.7037037037037035E-4</v>
      </c>
      <c r="EV92" s="10" cm="1">
        <f t="array" aca="1" ref="EV92" ca="1">(1-$B$18)*SUMPRODUCT(OFFSET($BO$15,0,0,$B$14,1), 1*(_xlfn._xlws.FILTER(OFFSET($O$15,0,$DN92,$B$8,1),OFFSET($M$15,0,0,$B$8,1))=EV$13), 1*(_xlfn._xlws.FILTER(OFFSET($O$15,0,$DO92,$B$8,1),OFFSET($M$15,0,0,$B$8,1))=EV$14))   /   SUM(OFFSET($BO$15,0,0,$B$14,1)) + $B$18/($B$19*$B$19*($DN92&lt;&gt;$DO92) + $B$19*($DN92=$DO92))</f>
        <v>3.7037037037037035E-4</v>
      </c>
      <c r="EW92" s="10" cm="1">
        <f t="array" aca="1" ref="EW92" ca="1">(1-$B$18)*SUMPRODUCT(OFFSET($BO$15,0,0,$B$14,1), 1*(_xlfn._xlws.FILTER(OFFSET($O$15,0,$DN92,$B$8,1),OFFSET($M$15,0,0,$B$8,1))=EW$13), 1*(_xlfn._xlws.FILTER(OFFSET($O$15,0,$DO92,$B$8,1),OFFSET($M$15,0,0,$B$8,1))=EW$14))   /   SUM(OFFSET($BO$15,0,0,$B$14,1)) + $B$18/($B$19*$B$19*($DN92&lt;&gt;$DO92) + $B$19*($DN92=$DO92))</f>
        <v>3.7037037037037035E-4</v>
      </c>
      <c r="EX92" s="10" cm="1">
        <f t="array" aca="1" ref="EX92" ca="1">(1-$B$18)*SUMPRODUCT(OFFSET($BO$15,0,0,$B$14,1), 1*(_xlfn._xlws.FILTER(OFFSET($O$15,0,$DN92,$B$8,1),OFFSET($M$15,0,0,$B$8,1))=EX$13), 1*(_xlfn._xlws.FILTER(OFFSET($O$15,0,$DO92,$B$8,1),OFFSET($M$15,0,0,$B$8,1))=EX$14))   /   SUM(OFFSET($BO$15,0,0,$B$14,1)) + $B$18/($B$19*$B$19*($DN92&lt;&gt;$DO92) + $B$19*($DN92=$DO92))</f>
        <v>3.7037037037037035E-4</v>
      </c>
      <c r="EY92" s="10" cm="1">
        <f t="array" aca="1" ref="EY92" ca="1">(1-$B$18)*SUMPRODUCT(OFFSET($BO$15,0,0,$B$14,1), 1*(_xlfn._xlws.FILTER(OFFSET($O$15,0,$DN92,$B$8,1),OFFSET($M$15,0,0,$B$8,1))=EY$13), 1*(_xlfn._xlws.FILTER(OFFSET($O$15,0,$DO92,$B$8,1),OFFSET($M$15,0,0,$B$8,1))=EY$14))   /   SUM(OFFSET($BO$15,0,0,$B$14,1)) + $B$18/($B$19*$B$19*($DN92&lt;&gt;$DO92) + $B$19*($DN92=$DO92))</f>
        <v>3.7037037037037035E-4</v>
      </c>
      <c r="EZ92" s="10" cm="1">
        <f t="array" aca="1" ref="EZ92" ca="1">(1-$B$18)*SUMPRODUCT(OFFSET($BO$15,0,0,$B$14,1), 1*(_xlfn._xlws.FILTER(OFFSET($O$15,0,$DN92,$B$8,1),OFFSET($M$15,0,0,$B$8,1))=EZ$13), 1*(_xlfn._xlws.FILTER(OFFSET($O$15,0,$DO92,$B$8,1),OFFSET($M$15,0,0,$B$8,1))=EZ$14))   /   SUM(OFFSET($BO$15,0,0,$B$14,1)) + $B$18/($B$19*$B$19*($DN92&lt;&gt;$DO92) + $B$19*($DN92=$DO92))</f>
        <v>3.7037037037037035E-4</v>
      </c>
      <c r="FA92" s="10" cm="1">
        <f t="array" aca="1" ref="FA92" ca="1">(1-$B$18)*SUMPRODUCT(OFFSET($BO$15,0,0,$B$14,1), 1*(_xlfn._xlws.FILTER(OFFSET($O$15,0,$DN92,$B$8,1),OFFSET($M$15,0,0,$B$8,1))=FA$13), 1*(_xlfn._xlws.FILTER(OFFSET($O$15,0,$DO92,$B$8,1),OFFSET($M$15,0,0,$B$8,1))=FA$14))   /   SUM(OFFSET($BO$15,0,0,$B$14,1)) + $B$18/($B$19*$B$19*($DN92&lt;&gt;$DO92) + $B$19*($DN92=$DO92))</f>
        <v>3.7037037037037035E-4</v>
      </c>
      <c r="FB92" s="10" cm="1">
        <f t="array" aca="1" ref="FB92" ca="1">(1-$B$18)*SUMPRODUCT(OFFSET($BO$15,0,0,$B$14,1), 1*(_xlfn._xlws.FILTER(OFFSET($O$15,0,$DN92,$B$8,1),OFFSET($M$15,0,0,$B$8,1))=FB$13), 1*(_xlfn._xlws.FILTER(OFFSET($O$15,0,$DO92,$B$8,1),OFFSET($M$15,0,0,$B$8,1))=FB$14))   /   SUM(OFFSET($BO$15,0,0,$B$14,1)) + $B$18/($B$19*$B$19*($DN92&lt;&gt;$DO92) + $B$19*($DN92=$DO92))</f>
        <v>3.7037037037037035E-4</v>
      </c>
      <c r="FC92" s="10" cm="1">
        <f t="array" aca="1" ref="FC92" ca="1">(1-$B$18)*SUMPRODUCT(OFFSET($BO$15,0,0,$B$14,1), 1*(_xlfn._xlws.FILTER(OFFSET($O$15,0,$DN92,$B$8,1),OFFSET($M$15,0,0,$B$8,1))=FC$13), 1*(_xlfn._xlws.FILTER(OFFSET($O$15,0,$DO92,$B$8,1),OFFSET($M$15,0,0,$B$8,1))=FC$14))   /   SUM(OFFSET($BO$15,0,0,$B$14,1)) + $B$18/($B$19*$B$19*($DN92&lt;&gt;$DO92) + $B$19*($DN92=$DO92))</f>
        <v>3.7037037037037035E-4</v>
      </c>
      <c r="FD92" s="10" cm="1">
        <f t="array" aca="1" ref="FD92" ca="1">(1-$B$18)*SUMPRODUCT(OFFSET($BO$15,0,0,$B$14,1), 1*(_xlfn._xlws.FILTER(OFFSET($O$15,0,$DN92,$B$8,1),OFFSET($M$15,0,0,$B$8,1))=FD$13), 1*(_xlfn._xlws.FILTER(OFFSET($O$15,0,$DO92,$B$8,1),OFFSET($M$15,0,0,$B$8,1))=FD$14))   /   SUM(OFFSET($BO$15,0,0,$B$14,1)) + $B$18/($B$19*$B$19*($DN92&lt;&gt;$DO92) + $B$19*($DN92=$DO92))</f>
        <v>3.7037037037037035E-4</v>
      </c>
      <c r="FE92" s="10" cm="1">
        <f t="array" aca="1" ref="FE92" ca="1">(1-$B$18)*SUMPRODUCT(OFFSET($BO$15,0,0,$B$14,1), 1*(_xlfn._xlws.FILTER(OFFSET($O$15,0,$DN92,$B$8,1),OFFSET($M$15,0,0,$B$8,1))=FE$13), 1*(_xlfn._xlws.FILTER(OFFSET($O$15,0,$DO92,$B$8,1),OFFSET($M$15,0,0,$B$8,1))=FE$14))   /   SUM(OFFSET($BO$15,0,0,$B$14,1)) + $B$18/($B$19*$B$19*($DN92&lt;&gt;$DO92) + $B$19*($DN92=$DO92))</f>
        <v>3.7037037037037035E-4</v>
      </c>
      <c r="FF92" s="10" cm="1">
        <f t="array" aca="1" ref="FF92" ca="1">(1-$B$18)*SUMPRODUCT(OFFSET($BO$15,0,0,$B$14,1), 1*(_xlfn._xlws.FILTER(OFFSET($O$15,0,$DN92,$B$8,1),OFFSET($M$15,0,0,$B$8,1))=FF$13), 1*(_xlfn._xlws.FILTER(OFFSET($O$15,0,$DO92,$B$8,1),OFFSET($M$15,0,0,$B$8,1))=FF$14))   /   SUM(OFFSET($BO$15,0,0,$B$14,1)) + $B$18/($B$19*$B$19*($DN92&lt;&gt;$DO92) + $B$19*($DN92=$DO92))</f>
        <v>3.7037037037037035E-4</v>
      </c>
      <c r="FG92" s="10" cm="1">
        <f t="array" aca="1" ref="FG92" ca="1">(1-$B$18)*SUMPRODUCT(OFFSET($BO$15,0,0,$B$14,1), 1*(_xlfn._xlws.FILTER(OFFSET($O$15,0,$DN92,$B$8,1),OFFSET($M$15,0,0,$B$8,1))=FG$13), 1*(_xlfn._xlws.FILTER(OFFSET($O$15,0,$DO92,$B$8,1),OFFSET($M$15,0,0,$B$8,1))=FG$14))   /   SUM(OFFSET($BO$15,0,0,$B$14,1)) + $B$18/($B$19*$B$19*($DN92&lt;&gt;$DO92) + $B$19*($DN92=$DO92))</f>
        <v>3.7037037037037035E-4</v>
      </c>
      <c r="FH92" s="10" cm="1">
        <f t="array" aca="1" ref="FH92" ca="1">(1-$B$18)*SUMPRODUCT(OFFSET($BO$15,0,0,$B$14,1), 1*(_xlfn._xlws.FILTER(OFFSET($O$15,0,$DN92,$B$8,1),OFFSET($M$15,0,0,$B$8,1))=FH$13), 1*(_xlfn._xlws.FILTER(OFFSET($O$15,0,$DO92,$B$8,1),OFFSET($M$15,0,0,$B$8,1))=FH$14))   /   SUM(OFFSET($BO$15,0,0,$B$14,1)) + $B$18/($B$19*$B$19*($DN92&lt;&gt;$DO92) + $B$19*($DN92=$DO92))</f>
        <v>3.7037037037037035E-4</v>
      </c>
      <c r="FI92" s="10" cm="1">
        <f t="array" aca="1" ref="FI92" ca="1">(1-$B$18)*SUMPRODUCT(OFFSET($BO$15,0,0,$B$14,1), 1*(_xlfn._xlws.FILTER(OFFSET($O$15,0,$DN92,$B$8,1),OFFSET($M$15,0,0,$B$8,1))=FI$13), 1*(_xlfn._xlws.FILTER(OFFSET($O$15,0,$DO92,$B$8,1),OFFSET($M$15,0,0,$B$8,1))=FI$14))   /   SUM(OFFSET($BO$15,0,0,$B$14,1)) + $B$18/($B$19*$B$19*($DN92&lt;&gt;$DO92) + $B$19*($DN92=$DO92))</f>
        <v>3.7037037037037035E-4</v>
      </c>
      <c r="FJ92" s="10" cm="1">
        <f t="array" aca="1" ref="FJ92" ca="1">(1-$B$18)*SUMPRODUCT(OFFSET($BO$15,0,0,$B$14,1), 1*(_xlfn._xlws.FILTER(OFFSET($O$15,0,$DN92,$B$8,1),OFFSET($M$15,0,0,$B$8,1))=FJ$13), 1*(_xlfn._xlws.FILTER(OFFSET($O$15,0,$DO92,$B$8,1),OFFSET($M$15,0,0,$B$8,1))=FJ$14))   /   SUM(OFFSET($BO$15,0,0,$B$14,1)) + $B$18/($B$19*$B$19*($DN92&lt;&gt;$DO92) + $B$19*($DN92=$DO92))</f>
        <v>3.7037037037037035E-4</v>
      </c>
      <c r="FK92" s="10" cm="1">
        <f t="array" aca="1" ref="FK92" ca="1">(1-$B$18)*SUMPRODUCT(OFFSET($BO$15,0,0,$B$14,1), 1*(_xlfn._xlws.FILTER(OFFSET($O$15,0,$DN92,$B$8,1),OFFSET($M$15,0,0,$B$8,1))=FK$13), 1*(_xlfn._xlws.FILTER(OFFSET($O$15,0,$DO92,$B$8,1),OFFSET($M$15,0,0,$B$8,1))=FK$14))   /   SUM(OFFSET($BO$15,0,0,$B$14,1)) + $B$18/($B$19*$B$19*($DN92&lt;&gt;$DO92) + $B$19*($DN92=$DO92))</f>
        <v>3.7037037037037035E-4</v>
      </c>
      <c r="FL92" s="10" cm="1">
        <f t="array" aca="1" ref="FL92" ca="1">(1-$B$18)*SUMPRODUCT(OFFSET($BO$15,0,0,$B$14,1), 1*(_xlfn._xlws.FILTER(OFFSET($O$15,0,$DN92,$B$8,1),OFFSET($M$15,0,0,$B$8,1))=FL$13), 1*(_xlfn._xlws.FILTER(OFFSET($O$15,0,$DO92,$B$8,1),OFFSET($M$15,0,0,$B$8,1))=FL$14))   /   SUM(OFFSET($BO$15,0,0,$B$14,1)) + $B$18/($B$19*$B$19*($DN92&lt;&gt;$DO92) + $B$19*($DN92=$DO92))</f>
        <v>3.7037037037037035E-4</v>
      </c>
      <c r="FM92" s="10" cm="1">
        <f t="array" aca="1" ref="FM92" ca="1">(1-$B$18)*SUMPRODUCT(OFFSET($BO$15,0,0,$B$14,1), 1*(_xlfn._xlws.FILTER(OFFSET($O$15,0,$DN92,$B$8,1),OFFSET($M$15,0,0,$B$8,1))=FM$13), 1*(_xlfn._xlws.FILTER(OFFSET($O$15,0,$DO92,$B$8,1),OFFSET($M$15,0,0,$B$8,1))=FM$14))   /   SUM(OFFSET($BO$15,0,0,$B$14,1)) + $B$18/($B$19*$B$19*($DN92&lt;&gt;$DO92) + $B$19*($DN92=$DO92))</f>
        <v>3.7037037037037035E-4</v>
      </c>
      <c r="FN92" s="10" cm="1">
        <f t="array" aca="1" ref="FN92" ca="1">(1-$B$18)*SUMPRODUCT(OFFSET($BO$15,0,0,$B$14,1), 1*(_xlfn._xlws.FILTER(OFFSET($O$15,0,$DN92,$B$8,1),OFFSET($M$15,0,0,$B$8,1))=FN$13), 1*(_xlfn._xlws.FILTER(OFFSET($O$15,0,$DO92,$B$8,1),OFFSET($M$15,0,0,$B$8,1))=FN$14))   /   SUM(OFFSET($BO$15,0,0,$B$14,1)) + $B$18/($B$19*$B$19*($DN92&lt;&gt;$DO92) + $B$19*($DN92=$DO92))</f>
        <v>3.7037037037037035E-4</v>
      </c>
      <c r="FO92" s="10" cm="1">
        <f t="array" aca="1" ref="FO92" ca="1">(1-$B$18)*SUMPRODUCT(OFFSET($BO$15,0,0,$B$14,1), 1*(_xlfn._xlws.FILTER(OFFSET($O$15,0,$DN92,$B$8,1),OFFSET($M$15,0,0,$B$8,1))=FO$13), 1*(_xlfn._xlws.FILTER(OFFSET($O$15,0,$DO92,$B$8,1),OFFSET($M$15,0,0,$B$8,1))=FO$14))   /   SUM(OFFSET($BO$15,0,0,$B$14,1)) + $B$18/($B$19*$B$19*($DN92&lt;&gt;$DO92) + $B$19*($DN92=$DO92))</f>
        <v>3.7037037037037035E-4</v>
      </c>
      <c r="FP92" s="10" cm="1">
        <f t="array" aca="1" ref="FP92" ca="1">(1-$B$18)*SUMPRODUCT(OFFSET($BO$15,0,0,$B$14,1), 1*(_xlfn._xlws.FILTER(OFFSET($O$15,0,$DN92,$B$8,1),OFFSET($M$15,0,0,$B$8,1))=FP$13), 1*(_xlfn._xlws.FILTER(OFFSET($O$15,0,$DO92,$B$8,1),OFFSET($M$15,0,0,$B$8,1))=FP$14))   /   SUM(OFFSET($BO$15,0,0,$B$14,1)) + $B$18/($B$19*$B$19*($DN92&lt;&gt;$DO92) + $B$19*($DN92=$DO92))</f>
        <v>3.7037037037037035E-4</v>
      </c>
      <c r="FQ92" s="10" cm="1">
        <f t="array" aca="1" ref="FQ92" ca="1">(1-$B$18)*SUMPRODUCT(OFFSET($BO$15,0,0,$B$14,1), 1*(_xlfn._xlws.FILTER(OFFSET($O$15,0,$DN92,$B$8,1),OFFSET($M$15,0,0,$B$8,1))=FQ$13), 1*(_xlfn._xlws.FILTER(OFFSET($O$15,0,$DO92,$B$8,1),OFFSET($M$15,0,0,$B$8,1))=FQ$14))   /   SUM(OFFSET($BO$15,0,0,$B$14,1)) + $B$18/($B$19*$B$19*($DN92&lt;&gt;$DO92) + $B$19*($DN92=$DO92))</f>
        <v>3.7037037037037035E-4</v>
      </c>
      <c r="FR92" s="10" cm="1">
        <f t="array" aca="1" ref="FR92" ca="1">(1-$B$18)*SUMPRODUCT(OFFSET($BO$15,0,0,$B$14,1), 1*(_xlfn._xlws.FILTER(OFFSET($O$15,0,$DN92,$B$8,1),OFFSET($M$15,0,0,$B$8,1))=FR$13), 1*(_xlfn._xlws.FILTER(OFFSET($O$15,0,$DO92,$B$8,1),OFFSET($M$15,0,0,$B$8,1))=FR$14))   /   SUM(OFFSET($BO$15,0,0,$B$14,1)) + $B$18/($B$19*$B$19*($DN92&lt;&gt;$DO92) + $B$19*($DN92=$DO92))</f>
        <v>0.97037037037037033</v>
      </c>
      <c r="FS92" s="10" cm="1">
        <f t="array" aca="1" ref="FS92" ca="1">(1-$B$18)*SUMPRODUCT(OFFSET($BO$15,0,0,$B$14,1), 1*(_xlfn._xlws.FILTER(OFFSET($O$15,0,$DN92,$B$8,1),OFFSET($M$15,0,0,$B$8,1))=FS$13), 1*(_xlfn._xlws.FILTER(OFFSET($O$15,0,$DO92,$B$8,1),OFFSET($M$15,0,0,$B$8,1))=FS$14))   /   SUM(OFFSET($BO$15,0,0,$B$14,1)) + $B$18/($B$19*$B$19*($DN92&lt;&gt;$DO92) + $B$19*($DN92=$DO92))</f>
        <v>3.7037037037037035E-4</v>
      </c>
      <c r="FT92" s="10" cm="1">
        <f t="array" aca="1" ref="FT92" ca="1">(1-$B$18)*SUMPRODUCT(OFFSET($BO$15,0,0,$B$14,1), 1*(_xlfn._xlws.FILTER(OFFSET($O$15,0,$DN92,$B$8,1),OFFSET($M$15,0,0,$B$8,1))=FT$13), 1*(_xlfn._xlws.FILTER(OFFSET($O$15,0,$DO92,$B$8,1),OFFSET($M$15,0,0,$B$8,1))=FT$14))   /   SUM(OFFSET($BO$15,0,0,$B$14,1)) + $B$18/($B$19*$B$19*($DN92&lt;&gt;$DO92) + $B$19*($DN92=$DO92))</f>
        <v>3.7037037037037035E-4</v>
      </c>
      <c r="FU92" s="10" cm="1">
        <f t="array" aca="1" ref="FU92" ca="1">(1-$B$18)*SUMPRODUCT(OFFSET($BO$15,0,0,$B$14,1), 1*(_xlfn._xlws.FILTER(OFFSET($O$15,0,$DN92,$B$8,1),OFFSET($M$15,0,0,$B$8,1))=FU$13), 1*(_xlfn._xlws.FILTER(OFFSET($O$15,0,$DO92,$B$8,1),OFFSET($M$15,0,0,$B$8,1))=FU$14))   /   SUM(OFFSET($BO$15,0,0,$B$14,1)) + $B$18/($B$19*$B$19*($DN92&lt;&gt;$DO92) + $B$19*($DN92=$DO92))</f>
        <v>3.7037037037037035E-4</v>
      </c>
      <c r="FV92" s="10" cm="1">
        <f t="array" aca="1" ref="FV92" ca="1">(1-$B$18)*SUMPRODUCT(OFFSET($BO$15,0,0,$B$14,1), 1*(_xlfn._xlws.FILTER(OFFSET($O$15,0,$DN92,$B$8,1),OFFSET($M$15,0,0,$B$8,1))=FV$13), 1*(_xlfn._xlws.FILTER(OFFSET($O$15,0,$DO92,$B$8,1),OFFSET($M$15,0,0,$B$8,1))=FV$14))   /   SUM(OFFSET($BO$15,0,0,$B$14,1)) + $B$18/($B$19*$B$19*($DN92&lt;&gt;$DO92) + $B$19*($DN92=$DO92))</f>
        <v>3.7037037037037035E-4</v>
      </c>
      <c r="FW92" s="10" cm="1">
        <f t="array" aca="1" ref="FW92" ca="1">(1-$B$18)*SUMPRODUCT(OFFSET($BO$15,0,0,$B$14,1), 1*(_xlfn._xlws.FILTER(OFFSET($O$15,0,$DN92,$B$8,1),OFFSET($M$15,0,0,$B$8,1))=FW$13), 1*(_xlfn._xlws.FILTER(OFFSET($O$15,0,$DO92,$B$8,1),OFFSET($M$15,0,0,$B$8,1))=FW$14))   /   SUM(OFFSET($BO$15,0,0,$B$14,1)) + $B$18/($B$19*$B$19*($DN92&lt;&gt;$DO92) + $B$19*($DN92=$DO92))</f>
        <v>3.7037037037037035E-4</v>
      </c>
      <c r="FX92" s="10" cm="1">
        <f t="array" aca="1" ref="FX92" ca="1">(1-$B$18)*SUMPRODUCT(OFFSET($BO$15,0,0,$B$14,1), 1*(_xlfn._xlws.FILTER(OFFSET($O$15,0,$DN92,$B$8,1),OFFSET($M$15,0,0,$B$8,1))=FX$13), 1*(_xlfn._xlws.FILTER(OFFSET($O$15,0,$DO92,$B$8,1),OFFSET($M$15,0,0,$B$8,1))=FX$14))   /   SUM(OFFSET($BO$15,0,0,$B$14,1)) + $B$18/($B$19*$B$19*($DN92&lt;&gt;$DO92) + $B$19*($DN92=$DO92))</f>
        <v>3.7037037037037035E-4</v>
      </c>
      <c r="FY92" s="10" cm="1">
        <f t="array" aca="1" ref="FY92" ca="1">(1-$B$18)*SUMPRODUCT(OFFSET($BO$15,0,0,$B$14,1), 1*(_xlfn._xlws.FILTER(OFFSET($O$15,0,$DN92,$B$8,1),OFFSET($M$15,0,0,$B$8,1))=FY$13), 1*(_xlfn._xlws.FILTER(OFFSET($O$15,0,$DO92,$B$8,1),OFFSET($M$15,0,0,$B$8,1))=FY$14))   /   SUM(OFFSET($BO$15,0,0,$B$14,1)) + $B$18/($B$19*$B$19*($DN92&lt;&gt;$DO92) + $B$19*($DN92=$DO92))</f>
        <v>3.7037037037037035E-4</v>
      </c>
      <c r="FZ92" s="10" cm="1">
        <f t="array" aca="1" ref="FZ92" ca="1">(1-$B$18)*SUMPRODUCT(OFFSET($BO$15,0,0,$B$14,1), 1*(_xlfn._xlws.FILTER(OFFSET($O$15,0,$DN92,$B$8,1),OFFSET($M$15,0,0,$B$8,1))=FZ$13), 1*(_xlfn._xlws.FILTER(OFFSET($O$15,0,$DO92,$B$8,1),OFFSET($M$15,0,0,$B$8,1))=FZ$14))   /   SUM(OFFSET($BO$15,0,0,$B$14,1)) + $B$18/($B$19*$B$19*($DN92&lt;&gt;$DO92) + $B$19*($DN92=$DO92))</f>
        <v>3.7037037037037035E-4</v>
      </c>
      <c r="GA92" s="10" cm="1">
        <f t="array" aca="1" ref="GA92" ca="1">(1-$B$18)*SUMPRODUCT(OFFSET($BO$15,0,0,$B$14,1), 1*(_xlfn._xlws.FILTER(OFFSET($O$15,0,$DN92,$B$8,1),OFFSET($M$15,0,0,$B$8,1))=GA$13), 1*(_xlfn._xlws.FILTER(OFFSET($O$15,0,$DO92,$B$8,1),OFFSET($M$15,0,0,$B$8,1))=GA$14))   /   SUM(OFFSET($BO$15,0,0,$B$14,1)) + $B$18/($B$19*$B$19*($DN92&lt;&gt;$DO92) + $B$19*($DN92=$DO92))</f>
        <v>3.7037037037037035E-4</v>
      </c>
    </row>
    <row r="93" spans="7:183" x14ac:dyDescent="0.2">
      <c r="G93" s="4"/>
      <c r="H93" s="2"/>
      <c r="DN93" cm="1">
        <f t="array" aca="1" ref="DN93" ca="1">INDEX(_xlfn.ANCHORARRAY($CP$15), 1 + INT((ROWS($DO$15:$DO93) - 1) / ROWS(_xlfn.ANCHORARRAY($CP$15))))</f>
        <v>4</v>
      </c>
      <c r="DO93" cm="1">
        <f t="array" aca="1" ref="DO93" ca="1">INDEX(_xlfn.ANCHORARRAY($CP$15),1+MOD(ROWS($DO$15:$DO93)-1,ROWS(_xlfn.ANCHORARRAY($CP$15))))</f>
        <v>2</v>
      </c>
      <c r="DP93" s="10" cm="1">
        <f t="array" aca="1" ref="DP93" ca="1">(1-$B$18)*SUMPRODUCT(OFFSET($BO$15,0,0,$B$14,1), 1*(_xlfn._xlws.FILTER(OFFSET($O$15,0,$DN93,$B$8,1),OFFSET($M$15,0,0,$B$8,1))=DP$13), 1*(_xlfn._xlws.FILTER(OFFSET($O$15,0,$DO93,$B$8,1),OFFSET($M$15,0,0,$B$8,1))=DP$14))   /   SUM(OFFSET($BO$15,0,0,$B$14,1)) + $B$18/($B$19*$B$19*($DN93&lt;&gt;$DO93) + $B$19*($DN93=$DO93))</f>
        <v>3.7037037037037035E-4</v>
      </c>
      <c r="DQ93" s="10" cm="1">
        <f t="array" aca="1" ref="DQ93" ca="1">(1-$B$18)*SUMPRODUCT(OFFSET($BO$15,0,0,$B$14,1), 1*(_xlfn._xlws.FILTER(OFFSET($O$15,0,$DN93,$B$8,1),OFFSET($M$15,0,0,$B$8,1))=DQ$13), 1*(_xlfn._xlws.FILTER(OFFSET($O$15,0,$DO93,$B$8,1),OFFSET($M$15,0,0,$B$8,1))=DQ$14))   /   SUM(OFFSET($BO$15,0,0,$B$14,1)) + $B$18/($B$19*$B$19*($DN93&lt;&gt;$DO93) + $B$19*($DN93=$DO93))</f>
        <v>3.7037037037037035E-4</v>
      </c>
      <c r="DR93" s="10" cm="1">
        <f t="array" aca="1" ref="DR93" ca="1">(1-$B$18)*SUMPRODUCT(OFFSET($BO$15,0,0,$B$14,1), 1*(_xlfn._xlws.FILTER(OFFSET($O$15,0,$DN93,$B$8,1),OFFSET($M$15,0,0,$B$8,1))=DR$13), 1*(_xlfn._xlws.FILTER(OFFSET($O$15,0,$DO93,$B$8,1),OFFSET($M$15,0,0,$B$8,1))=DR$14))   /   SUM(OFFSET($BO$15,0,0,$B$14,1)) + $B$18/($B$19*$B$19*($DN93&lt;&gt;$DO93) + $B$19*($DN93=$DO93))</f>
        <v>3.7037037037037035E-4</v>
      </c>
      <c r="DS93" s="10" cm="1">
        <f t="array" aca="1" ref="DS93" ca="1">(1-$B$18)*SUMPRODUCT(OFFSET($BO$15,0,0,$B$14,1), 1*(_xlfn._xlws.FILTER(OFFSET($O$15,0,$DN93,$B$8,1),OFFSET($M$15,0,0,$B$8,1))=DS$13), 1*(_xlfn._xlws.FILTER(OFFSET($O$15,0,$DO93,$B$8,1),OFFSET($M$15,0,0,$B$8,1))=DS$14))   /   SUM(OFFSET($BO$15,0,0,$B$14,1)) + $B$18/($B$19*$B$19*($DN93&lt;&gt;$DO93) + $B$19*($DN93=$DO93))</f>
        <v>3.7037037037037035E-4</v>
      </c>
      <c r="DT93" s="10" cm="1">
        <f t="array" aca="1" ref="DT93" ca="1">(1-$B$18)*SUMPRODUCT(OFFSET($BO$15,0,0,$B$14,1), 1*(_xlfn._xlws.FILTER(OFFSET($O$15,0,$DN93,$B$8,1),OFFSET($M$15,0,0,$B$8,1))=DT$13), 1*(_xlfn._xlws.FILTER(OFFSET($O$15,0,$DO93,$B$8,1),OFFSET($M$15,0,0,$B$8,1))=DT$14))   /   SUM(OFFSET($BO$15,0,0,$B$14,1)) + $B$18/($B$19*$B$19*($DN93&lt;&gt;$DO93) + $B$19*($DN93=$DO93))</f>
        <v>3.7037037037037035E-4</v>
      </c>
      <c r="DU93" s="10" cm="1">
        <f t="array" aca="1" ref="DU93" ca="1">(1-$B$18)*SUMPRODUCT(OFFSET($BO$15,0,0,$B$14,1), 1*(_xlfn._xlws.FILTER(OFFSET($O$15,0,$DN93,$B$8,1),OFFSET($M$15,0,0,$B$8,1))=DU$13), 1*(_xlfn._xlws.FILTER(OFFSET($O$15,0,$DO93,$B$8,1),OFFSET($M$15,0,0,$B$8,1))=DU$14))   /   SUM(OFFSET($BO$15,0,0,$B$14,1)) + $B$18/($B$19*$B$19*($DN93&lt;&gt;$DO93) + $B$19*($DN93=$DO93))</f>
        <v>3.7037037037037035E-4</v>
      </c>
      <c r="DV93" s="10" cm="1">
        <f t="array" aca="1" ref="DV93" ca="1">(1-$B$18)*SUMPRODUCT(OFFSET($BO$15,0,0,$B$14,1), 1*(_xlfn._xlws.FILTER(OFFSET($O$15,0,$DN93,$B$8,1),OFFSET($M$15,0,0,$B$8,1))=DV$13), 1*(_xlfn._xlws.FILTER(OFFSET($O$15,0,$DO93,$B$8,1),OFFSET($M$15,0,0,$B$8,1))=DV$14))   /   SUM(OFFSET($BO$15,0,0,$B$14,1)) + $B$18/($B$19*$B$19*($DN93&lt;&gt;$DO93) + $B$19*($DN93=$DO93))</f>
        <v>3.7037037037037035E-4</v>
      </c>
      <c r="DW93" s="10" cm="1">
        <f t="array" aca="1" ref="DW93" ca="1">(1-$B$18)*SUMPRODUCT(OFFSET($BO$15,0,0,$B$14,1), 1*(_xlfn._xlws.FILTER(OFFSET($O$15,0,$DN93,$B$8,1),OFFSET($M$15,0,0,$B$8,1))=DW$13), 1*(_xlfn._xlws.FILTER(OFFSET($O$15,0,$DO93,$B$8,1),OFFSET($M$15,0,0,$B$8,1))=DW$14))   /   SUM(OFFSET($BO$15,0,0,$B$14,1)) + $B$18/($B$19*$B$19*($DN93&lt;&gt;$DO93) + $B$19*($DN93=$DO93))</f>
        <v>3.7037037037037035E-4</v>
      </c>
      <c r="DX93" s="10" cm="1">
        <f t="array" aca="1" ref="DX93" ca="1">(1-$B$18)*SUMPRODUCT(OFFSET($BO$15,0,0,$B$14,1), 1*(_xlfn._xlws.FILTER(OFFSET($O$15,0,$DN93,$B$8,1),OFFSET($M$15,0,0,$B$8,1))=DX$13), 1*(_xlfn._xlws.FILTER(OFFSET($O$15,0,$DO93,$B$8,1),OFFSET($M$15,0,0,$B$8,1))=DX$14))   /   SUM(OFFSET($BO$15,0,0,$B$14,1)) + $B$18/($B$19*$B$19*($DN93&lt;&gt;$DO93) + $B$19*($DN93=$DO93))</f>
        <v>3.7037037037037035E-4</v>
      </c>
      <c r="DY93" s="10" cm="1">
        <f t="array" aca="1" ref="DY93" ca="1">(1-$B$18)*SUMPRODUCT(OFFSET($BO$15,0,0,$B$14,1), 1*(_xlfn._xlws.FILTER(OFFSET($O$15,0,$DN93,$B$8,1),OFFSET($M$15,0,0,$B$8,1))=DY$13), 1*(_xlfn._xlws.FILTER(OFFSET($O$15,0,$DO93,$B$8,1),OFFSET($M$15,0,0,$B$8,1))=DY$14))   /   SUM(OFFSET($BO$15,0,0,$B$14,1)) + $B$18/($B$19*$B$19*($DN93&lt;&gt;$DO93) + $B$19*($DN93=$DO93))</f>
        <v>3.7037037037037035E-4</v>
      </c>
      <c r="DZ93" s="10" cm="1">
        <f t="array" aca="1" ref="DZ93" ca="1">(1-$B$18)*SUMPRODUCT(OFFSET($BO$15,0,0,$B$14,1), 1*(_xlfn._xlws.FILTER(OFFSET($O$15,0,$DN93,$B$8,1),OFFSET($M$15,0,0,$B$8,1))=DZ$13), 1*(_xlfn._xlws.FILTER(OFFSET($O$15,0,$DO93,$B$8,1),OFFSET($M$15,0,0,$B$8,1))=DZ$14))   /   SUM(OFFSET($BO$15,0,0,$B$14,1)) + $B$18/($B$19*$B$19*($DN93&lt;&gt;$DO93) + $B$19*($DN93=$DO93))</f>
        <v>3.7037037037037035E-4</v>
      </c>
      <c r="EA93" s="10" cm="1">
        <f t="array" aca="1" ref="EA93" ca="1">(1-$B$18)*SUMPRODUCT(OFFSET($BO$15,0,0,$B$14,1), 1*(_xlfn._xlws.FILTER(OFFSET($O$15,0,$DN93,$B$8,1),OFFSET($M$15,0,0,$B$8,1))=EA$13), 1*(_xlfn._xlws.FILTER(OFFSET($O$15,0,$DO93,$B$8,1),OFFSET($M$15,0,0,$B$8,1))=EA$14))   /   SUM(OFFSET($BO$15,0,0,$B$14,1)) + $B$18/($B$19*$B$19*($DN93&lt;&gt;$DO93) + $B$19*($DN93=$DO93))</f>
        <v>3.7037037037037035E-4</v>
      </c>
      <c r="EB93" s="10" cm="1">
        <f t="array" aca="1" ref="EB93" ca="1">(1-$B$18)*SUMPRODUCT(OFFSET($BO$15,0,0,$B$14,1), 1*(_xlfn._xlws.FILTER(OFFSET($O$15,0,$DN93,$B$8,1),OFFSET($M$15,0,0,$B$8,1))=EB$13), 1*(_xlfn._xlws.FILTER(OFFSET($O$15,0,$DO93,$B$8,1),OFFSET($M$15,0,0,$B$8,1))=EB$14))   /   SUM(OFFSET($BO$15,0,0,$B$14,1)) + $B$18/($B$19*$B$19*($DN93&lt;&gt;$DO93) + $B$19*($DN93=$DO93))</f>
        <v>3.7037037037037035E-4</v>
      </c>
      <c r="EC93" s="10" cm="1">
        <f t="array" aca="1" ref="EC93" ca="1">(1-$B$18)*SUMPRODUCT(OFFSET($BO$15,0,0,$B$14,1), 1*(_xlfn._xlws.FILTER(OFFSET($O$15,0,$DN93,$B$8,1),OFFSET($M$15,0,0,$B$8,1))=EC$13), 1*(_xlfn._xlws.FILTER(OFFSET($O$15,0,$DO93,$B$8,1),OFFSET($M$15,0,0,$B$8,1))=EC$14))   /   SUM(OFFSET($BO$15,0,0,$B$14,1)) + $B$18/($B$19*$B$19*($DN93&lt;&gt;$DO93) + $B$19*($DN93=$DO93))</f>
        <v>3.7037037037037035E-4</v>
      </c>
      <c r="ED93" s="10" cm="1">
        <f t="array" aca="1" ref="ED93" ca="1">(1-$B$18)*SUMPRODUCT(OFFSET($BO$15,0,0,$B$14,1), 1*(_xlfn._xlws.FILTER(OFFSET($O$15,0,$DN93,$B$8,1),OFFSET($M$15,0,0,$B$8,1))=ED$13), 1*(_xlfn._xlws.FILTER(OFFSET($O$15,0,$DO93,$B$8,1),OFFSET($M$15,0,0,$B$8,1))=ED$14))   /   SUM(OFFSET($BO$15,0,0,$B$14,1)) + $B$18/($B$19*$B$19*($DN93&lt;&gt;$DO93) + $B$19*($DN93=$DO93))</f>
        <v>3.7037037037037035E-4</v>
      </c>
      <c r="EE93" s="10" cm="1">
        <f t="array" aca="1" ref="EE93" ca="1">(1-$B$18)*SUMPRODUCT(OFFSET($BO$15,0,0,$B$14,1), 1*(_xlfn._xlws.FILTER(OFFSET($O$15,0,$DN93,$B$8,1),OFFSET($M$15,0,0,$B$8,1))=EE$13), 1*(_xlfn._xlws.FILTER(OFFSET($O$15,0,$DO93,$B$8,1),OFFSET($M$15,0,0,$B$8,1))=EE$14))   /   SUM(OFFSET($BO$15,0,0,$B$14,1)) + $B$18/($B$19*$B$19*($DN93&lt;&gt;$DO93) + $B$19*($DN93=$DO93))</f>
        <v>3.7037037037037035E-4</v>
      </c>
      <c r="EF93" s="10" cm="1">
        <f t="array" aca="1" ref="EF93" ca="1">(1-$B$18)*SUMPRODUCT(OFFSET($BO$15,0,0,$B$14,1), 1*(_xlfn._xlws.FILTER(OFFSET($O$15,0,$DN93,$B$8,1),OFFSET($M$15,0,0,$B$8,1))=EF$13), 1*(_xlfn._xlws.FILTER(OFFSET($O$15,0,$DO93,$B$8,1),OFFSET($M$15,0,0,$B$8,1))=EF$14))   /   SUM(OFFSET($BO$15,0,0,$B$14,1)) + $B$18/($B$19*$B$19*($DN93&lt;&gt;$DO93) + $B$19*($DN93=$DO93))</f>
        <v>3.7037037037037035E-4</v>
      </c>
      <c r="EG93" s="10" cm="1">
        <f t="array" aca="1" ref="EG93" ca="1">(1-$B$18)*SUMPRODUCT(OFFSET($BO$15,0,0,$B$14,1), 1*(_xlfn._xlws.FILTER(OFFSET($O$15,0,$DN93,$B$8,1),OFFSET($M$15,0,0,$B$8,1))=EG$13), 1*(_xlfn._xlws.FILTER(OFFSET($O$15,0,$DO93,$B$8,1),OFFSET($M$15,0,0,$B$8,1))=EG$14))   /   SUM(OFFSET($BO$15,0,0,$B$14,1)) + $B$18/($B$19*$B$19*($DN93&lt;&gt;$DO93) + $B$19*($DN93=$DO93))</f>
        <v>3.7037037037037035E-4</v>
      </c>
      <c r="EH93" s="10" cm="1">
        <f t="array" aca="1" ref="EH93" ca="1">(1-$B$18)*SUMPRODUCT(OFFSET($BO$15,0,0,$B$14,1), 1*(_xlfn._xlws.FILTER(OFFSET($O$15,0,$DN93,$B$8,1),OFFSET($M$15,0,0,$B$8,1))=EH$13), 1*(_xlfn._xlws.FILTER(OFFSET($O$15,0,$DO93,$B$8,1),OFFSET($M$15,0,0,$B$8,1))=EH$14))   /   SUM(OFFSET($BO$15,0,0,$B$14,1)) + $B$18/($B$19*$B$19*($DN93&lt;&gt;$DO93) + $B$19*($DN93=$DO93))</f>
        <v>3.7037037037037035E-4</v>
      </c>
      <c r="EI93" s="10" cm="1">
        <f t="array" aca="1" ref="EI93" ca="1">(1-$B$18)*SUMPRODUCT(OFFSET($BO$15,0,0,$B$14,1), 1*(_xlfn._xlws.FILTER(OFFSET($O$15,0,$DN93,$B$8,1),OFFSET($M$15,0,0,$B$8,1))=EI$13), 1*(_xlfn._xlws.FILTER(OFFSET($O$15,0,$DO93,$B$8,1),OFFSET($M$15,0,0,$B$8,1))=EI$14))   /   SUM(OFFSET($BO$15,0,0,$B$14,1)) + $B$18/($B$19*$B$19*($DN93&lt;&gt;$DO93) + $B$19*($DN93=$DO93))</f>
        <v>3.7037037037037035E-4</v>
      </c>
      <c r="EJ93" s="10" cm="1">
        <f t="array" aca="1" ref="EJ93" ca="1">(1-$B$18)*SUMPRODUCT(OFFSET($BO$15,0,0,$B$14,1), 1*(_xlfn._xlws.FILTER(OFFSET($O$15,0,$DN93,$B$8,1),OFFSET($M$15,0,0,$B$8,1))=EJ$13), 1*(_xlfn._xlws.FILTER(OFFSET($O$15,0,$DO93,$B$8,1),OFFSET($M$15,0,0,$B$8,1))=EJ$14))   /   SUM(OFFSET($BO$15,0,0,$B$14,1)) + $B$18/($B$19*$B$19*($DN93&lt;&gt;$DO93) + $B$19*($DN93=$DO93))</f>
        <v>3.7037037037037035E-4</v>
      </c>
      <c r="EK93" s="10" cm="1">
        <f t="array" aca="1" ref="EK93" ca="1">(1-$B$18)*SUMPRODUCT(OFFSET($BO$15,0,0,$B$14,1), 1*(_xlfn._xlws.FILTER(OFFSET($O$15,0,$DN93,$B$8,1),OFFSET($M$15,0,0,$B$8,1))=EK$13), 1*(_xlfn._xlws.FILTER(OFFSET($O$15,0,$DO93,$B$8,1),OFFSET($M$15,0,0,$B$8,1))=EK$14))   /   SUM(OFFSET($BO$15,0,0,$B$14,1)) + $B$18/($B$19*$B$19*($DN93&lt;&gt;$DO93) + $B$19*($DN93=$DO93))</f>
        <v>3.7037037037037035E-4</v>
      </c>
      <c r="EL93" s="10" cm="1">
        <f t="array" aca="1" ref="EL93" ca="1">(1-$B$18)*SUMPRODUCT(OFFSET($BO$15,0,0,$B$14,1), 1*(_xlfn._xlws.FILTER(OFFSET($O$15,0,$DN93,$B$8,1),OFFSET($M$15,0,0,$B$8,1))=EL$13), 1*(_xlfn._xlws.FILTER(OFFSET($O$15,0,$DO93,$B$8,1),OFFSET($M$15,0,0,$B$8,1))=EL$14))   /   SUM(OFFSET($BO$15,0,0,$B$14,1)) + $B$18/($B$19*$B$19*($DN93&lt;&gt;$DO93) + $B$19*($DN93=$DO93))</f>
        <v>3.7037037037037035E-4</v>
      </c>
      <c r="EM93" s="10" cm="1">
        <f t="array" aca="1" ref="EM93" ca="1">(1-$B$18)*SUMPRODUCT(OFFSET($BO$15,0,0,$B$14,1), 1*(_xlfn._xlws.FILTER(OFFSET($O$15,0,$DN93,$B$8,1),OFFSET($M$15,0,0,$B$8,1))=EM$13), 1*(_xlfn._xlws.FILTER(OFFSET($O$15,0,$DO93,$B$8,1),OFFSET($M$15,0,0,$B$8,1))=EM$14))   /   SUM(OFFSET($BO$15,0,0,$B$14,1)) + $B$18/($B$19*$B$19*($DN93&lt;&gt;$DO93) + $B$19*($DN93=$DO93))</f>
        <v>3.7037037037037035E-4</v>
      </c>
      <c r="EN93" s="10" cm="1">
        <f t="array" aca="1" ref="EN93" ca="1">(1-$B$18)*SUMPRODUCT(OFFSET($BO$15,0,0,$B$14,1), 1*(_xlfn._xlws.FILTER(OFFSET($O$15,0,$DN93,$B$8,1),OFFSET($M$15,0,0,$B$8,1))=EN$13), 1*(_xlfn._xlws.FILTER(OFFSET($O$15,0,$DO93,$B$8,1),OFFSET($M$15,0,0,$B$8,1))=EN$14))   /   SUM(OFFSET($BO$15,0,0,$B$14,1)) + $B$18/($B$19*$B$19*($DN93&lt;&gt;$DO93) + $B$19*($DN93=$DO93))</f>
        <v>3.7037037037037035E-4</v>
      </c>
      <c r="EO93" s="10" cm="1">
        <f t="array" aca="1" ref="EO93" ca="1">(1-$B$18)*SUMPRODUCT(OFFSET($BO$15,0,0,$B$14,1), 1*(_xlfn._xlws.FILTER(OFFSET($O$15,0,$DN93,$B$8,1),OFFSET($M$15,0,0,$B$8,1))=EO$13), 1*(_xlfn._xlws.FILTER(OFFSET($O$15,0,$DO93,$B$8,1),OFFSET($M$15,0,0,$B$8,1))=EO$14))   /   SUM(OFFSET($BO$15,0,0,$B$14,1)) + $B$18/($B$19*$B$19*($DN93&lt;&gt;$DO93) + $B$19*($DN93=$DO93))</f>
        <v>3.7037037037037035E-4</v>
      </c>
      <c r="EP93" s="10" cm="1">
        <f t="array" aca="1" ref="EP93" ca="1">(1-$B$18)*SUMPRODUCT(OFFSET($BO$15,0,0,$B$14,1), 1*(_xlfn._xlws.FILTER(OFFSET($O$15,0,$DN93,$B$8,1),OFFSET($M$15,0,0,$B$8,1))=EP$13), 1*(_xlfn._xlws.FILTER(OFFSET($O$15,0,$DO93,$B$8,1),OFFSET($M$15,0,0,$B$8,1))=EP$14))   /   SUM(OFFSET($BO$15,0,0,$B$14,1)) + $B$18/($B$19*$B$19*($DN93&lt;&gt;$DO93) + $B$19*($DN93=$DO93))</f>
        <v>3.7037037037037035E-4</v>
      </c>
      <c r="EQ93" s="10" cm="1">
        <f t="array" aca="1" ref="EQ93" ca="1">(1-$B$18)*SUMPRODUCT(OFFSET($BO$15,0,0,$B$14,1), 1*(_xlfn._xlws.FILTER(OFFSET($O$15,0,$DN93,$B$8,1),OFFSET($M$15,0,0,$B$8,1))=EQ$13), 1*(_xlfn._xlws.FILTER(OFFSET($O$15,0,$DO93,$B$8,1),OFFSET($M$15,0,0,$B$8,1))=EQ$14))   /   SUM(OFFSET($BO$15,0,0,$B$14,1)) + $B$18/($B$19*$B$19*($DN93&lt;&gt;$DO93) + $B$19*($DN93=$DO93))</f>
        <v>3.7037037037037035E-4</v>
      </c>
      <c r="ER93" s="10" cm="1">
        <f t="array" aca="1" ref="ER93" ca="1">(1-$B$18)*SUMPRODUCT(OFFSET($BO$15,0,0,$B$14,1), 1*(_xlfn._xlws.FILTER(OFFSET($O$15,0,$DN93,$B$8,1),OFFSET($M$15,0,0,$B$8,1))=ER$13), 1*(_xlfn._xlws.FILTER(OFFSET($O$15,0,$DO93,$B$8,1),OFFSET($M$15,0,0,$B$8,1))=ER$14))   /   SUM(OFFSET($BO$15,0,0,$B$14,1)) + $B$18/($B$19*$B$19*($DN93&lt;&gt;$DO93) + $B$19*($DN93=$DO93))</f>
        <v>3.7037037037037035E-4</v>
      </c>
      <c r="ES93" s="10" cm="1">
        <f t="array" aca="1" ref="ES93" ca="1">(1-$B$18)*SUMPRODUCT(OFFSET($BO$15,0,0,$B$14,1), 1*(_xlfn._xlws.FILTER(OFFSET($O$15,0,$DN93,$B$8,1),OFFSET($M$15,0,0,$B$8,1))=ES$13), 1*(_xlfn._xlws.FILTER(OFFSET($O$15,0,$DO93,$B$8,1),OFFSET($M$15,0,0,$B$8,1))=ES$14))   /   SUM(OFFSET($BO$15,0,0,$B$14,1)) + $B$18/($B$19*$B$19*($DN93&lt;&gt;$DO93) + $B$19*($DN93=$DO93))</f>
        <v>3.7037037037037035E-4</v>
      </c>
      <c r="ET93" s="10" cm="1">
        <f t="array" aca="1" ref="ET93" ca="1">(1-$B$18)*SUMPRODUCT(OFFSET($BO$15,0,0,$B$14,1), 1*(_xlfn._xlws.FILTER(OFFSET($O$15,0,$DN93,$B$8,1),OFFSET($M$15,0,0,$B$8,1))=ET$13), 1*(_xlfn._xlws.FILTER(OFFSET($O$15,0,$DO93,$B$8,1),OFFSET($M$15,0,0,$B$8,1))=ET$14))   /   SUM(OFFSET($BO$15,0,0,$B$14,1)) + $B$18/($B$19*$B$19*($DN93&lt;&gt;$DO93) + $B$19*($DN93=$DO93))</f>
        <v>3.7037037037037035E-4</v>
      </c>
      <c r="EU93" s="10" cm="1">
        <f t="array" aca="1" ref="EU93" ca="1">(1-$B$18)*SUMPRODUCT(OFFSET($BO$15,0,0,$B$14,1), 1*(_xlfn._xlws.FILTER(OFFSET($O$15,0,$DN93,$B$8,1),OFFSET($M$15,0,0,$B$8,1))=EU$13), 1*(_xlfn._xlws.FILTER(OFFSET($O$15,0,$DO93,$B$8,1),OFFSET($M$15,0,0,$B$8,1))=EU$14))   /   SUM(OFFSET($BO$15,0,0,$B$14,1)) + $B$18/($B$19*$B$19*($DN93&lt;&gt;$DO93) + $B$19*($DN93=$DO93))</f>
        <v>3.7037037037037035E-4</v>
      </c>
      <c r="EV93" s="10" cm="1">
        <f t="array" aca="1" ref="EV93" ca="1">(1-$B$18)*SUMPRODUCT(OFFSET($BO$15,0,0,$B$14,1), 1*(_xlfn._xlws.FILTER(OFFSET($O$15,0,$DN93,$B$8,1),OFFSET($M$15,0,0,$B$8,1))=EV$13), 1*(_xlfn._xlws.FILTER(OFFSET($O$15,0,$DO93,$B$8,1),OFFSET($M$15,0,0,$B$8,1))=EV$14))   /   SUM(OFFSET($BO$15,0,0,$B$14,1)) + $B$18/($B$19*$B$19*($DN93&lt;&gt;$DO93) + $B$19*($DN93=$DO93))</f>
        <v>3.7037037037037035E-4</v>
      </c>
      <c r="EW93" s="10" cm="1">
        <f t="array" aca="1" ref="EW93" ca="1">(1-$B$18)*SUMPRODUCT(OFFSET($BO$15,0,0,$B$14,1), 1*(_xlfn._xlws.FILTER(OFFSET($O$15,0,$DN93,$B$8,1),OFFSET($M$15,0,0,$B$8,1))=EW$13), 1*(_xlfn._xlws.FILTER(OFFSET($O$15,0,$DO93,$B$8,1),OFFSET($M$15,0,0,$B$8,1))=EW$14))   /   SUM(OFFSET($BO$15,0,0,$B$14,1)) + $B$18/($B$19*$B$19*($DN93&lt;&gt;$DO93) + $B$19*($DN93=$DO93))</f>
        <v>3.7037037037037035E-4</v>
      </c>
      <c r="EX93" s="10" cm="1">
        <f t="array" aca="1" ref="EX93" ca="1">(1-$B$18)*SUMPRODUCT(OFFSET($BO$15,0,0,$B$14,1), 1*(_xlfn._xlws.FILTER(OFFSET($O$15,0,$DN93,$B$8,1),OFFSET($M$15,0,0,$B$8,1))=EX$13), 1*(_xlfn._xlws.FILTER(OFFSET($O$15,0,$DO93,$B$8,1),OFFSET($M$15,0,0,$B$8,1))=EX$14))   /   SUM(OFFSET($BO$15,0,0,$B$14,1)) + $B$18/($B$19*$B$19*($DN93&lt;&gt;$DO93) + $B$19*($DN93=$DO93))</f>
        <v>3.7037037037037035E-4</v>
      </c>
      <c r="EY93" s="10" cm="1">
        <f t="array" aca="1" ref="EY93" ca="1">(1-$B$18)*SUMPRODUCT(OFFSET($BO$15,0,0,$B$14,1), 1*(_xlfn._xlws.FILTER(OFFSET($O$15,0,$DN93,$B$8,1),OFFSET($M$15,0,0,$B$8,1))=EY$13), 1*(_xlfn._xlws.FILTER(OFFSET($O$15,0,$DO93,$B$8,1),OFFSET($M$15,0,0,$B$8,1))=EY$14))   /   SUM(OFFSET($BO$15,0,0,$B$14,1)) + $B$18/($B$19*$B$19*($DN93&lt;&gt;$DO93) + $B$19*($DN93=$DO93))</f>
        <v>3.7037037037037035E-4</v>
      </c>
      <c r="EZ93" s="10" cm="1">
        <f t="array" aca="1" ref="EZ93" ca="1">(1-$B$18)*SUMPRODUCT(OFFSET($BO$15,0,0,$B$14,1), 1*(_xlfn._xlws.FILTER(OFFSET($O$15,0,$DN93,$B$8,1),OFFSET($M$15,0,0,$B$8,1))=EZ$13), 1*(_xlfn._xlws.FILTER(OFFSET($O$15,0,$DO93,$B$8,1),OFFSET($M$15,0,0,$B$8,1))=EZ$14))   /   SUM(OFFSET($BO$15,0,0,$B$14,1)) + $B$18/($B$19*$B$19*($DN93&lt;&gt;$DO93) + $B$19*($DN93=$DO93))</f>
        <v>3.7037037037037035E-4</v>
      </c>
      <c r="FA93" s="10" cm="1">
        <f t="array" aca="1" ref="FA93" ca="1">(1-$B$18)*SUMPRODUCT(OFFSET($BO$15,0,0,$B$14,1), 1*(_xlfn._xlws.FILTER(OFFSET($O$15,0,$DN93,$B$8,1),OFFSET($M$15,0,0,$B$8,1))=FA$13), 1*(_xlfn._xlws.FILTER(OFFSET($O$15,0,$DO93,$B$8,1),OFFSET($M$15,0,0,$B$8,1))=FA$14))   /   SUM(OFFSET($BO$15,0,0,$B$14,1)) + $B$18/($B$19*$B$19*($DN93&lt;&gt;$DO93) + $B$19*($DN93=$DO93))</f>
        <v>3.7037037037037035E-4</v>
      </c>
      <c r="FB93" s="10" cm="1">
        <f t="array" aca="1" ref="FB93" ca="1">(1-$B$18)*SUMPRODUCT(OFFSET($BO$15,0,0,$B$14,1), 1*(_xlfn._xlws.FILTER(OFFSET($O$15,0,$DN93,$B$8,1),OFFSET($M$15,0,0,$B$8,1))=FB$13), 1*(_xlfn._xlws.FILTER(OFFSET($O$15,0,$DO93,$B$8,1),OFFSET($M$15,0,0,$B$8,1))=FB$14))   /   SUM(OFFSET($BO$15,0,0,$B$14,1)) + $B$18/($B$19*$B$19*($DN93&lt;&gt;$DO93) + $B$19*($DN93=$DO93))</f>
        <v>3.7037037037037035E-4</v>
      </c>
      <c r="FC93" s="10" cm="1">
        <f t="array" aca="1" ref="FC93" ca="1">(1-$B$18)*SUMPRODUCT(OFFSET($BO$15,0,0,$B$14,1), 1*(_xlfn._xlws.FILTER(OFFSET($O$15,0,$DN93,$B$8,1),OFFSET($M$15,0,0,$B$8,1))=FC$13), 1*(_xlfn._xlws.FILTER(OFFSET($O$15,0,$DO93,$B$8,1),OFFSET($M$15,0,0,$B$8,1))=FC$14))   /   SUM(OFFSET($BO$15,0,0,$B$14,1)) + $B$18/($B$19*$B$19*($DN93&lt;&gt;$DO93) + $B$19*($DN93=$DO93))</f>
        <v>3.7037037037037035E-4</v>
      </c>
      <c r="FD93" s="10" cm="1">
        <f t="array" aca="1" ref="FD93" ca="1">(1-$B$18)*SUMPRODUCT(OFFSET($BO$15,0,0,$B$14,1), 1*(_xlfn._xlws.FILTER(OFFSET($O$15,0,$DN93,$B$8,1),OFFSET($M$15,0,0,$B$8,1))=FD$13), 1*(_xlfn._xlws.FILTER(OFFSET($O$15,0,$DO93,$B$8,1),OFFSET($M$15,0,0,$B$8,1))=FD$14))   /   SUM(OFFSET($BO$15,0,0,$B$14,1)) + $B$18/($B$19*$B$19*($DN93&lt;&gt;$DO93) + $B$19*($DN93=$DO93))</f>
        <v>3.7037037037037035E-4</v>
      </c>
      <c r="FE93" s="10" cm="1">
        <f t="array" aca="1" ref="FE93" ca="1">(1-$B$18)*SUMPRODUCT(OFFSET($BO$15,0,0,$B$14,1), 1*(_xlfn._xlws.FILTER(OFFSET($O$15,0,$DN93,$B$8,1),OFFSET($M$15,0,0,$B$8,1))=FE$13), 1*(_xlfn._xlws.FILTER(OFFSET($O$15,0,$DO93,$B$8,1),OFFSET($M$15,0,0,$B$8,1))=FE$14))   /   SUM(OFFSET($BO$15,0,0,$B$14,1)) + $B$18/($B$19*$B$19*($DN93&lt;&gt;$DO93) + $B$19*($DN93=$DO93))</f>
        <v>3.7037037037037035E-4</v>
      </c>
      <c r="FF93" s="10" cm="1">
        <f t="array" aca="1" ref="FF93" ca="1">(1-$B$18)*SUMPRODUCT(OFFSET($BO$15,0,0,$B$14,1), 1*(_xlfn._xlws.FILTER(OFFSET($O$15,0,$DN93,$B$8,1),OFFSET($M$15,0,0,$B$8,1))=FF$13), 1*(_xlfn._xlws.FILTER(OFFSET($O$15,0,$DO93,$B$8,1),OFFSET($M$15,0,0,$B$8,1))=FF$14))   /   SUM(OFFSET($BO$15,0,0,$B$14,1)) + $B$18/($B$19*$B$19*($DN93&lt;&gt;$DO93) + $B$19*($DN93=$DO93))</f>
        <v>3.7037037037037035E-4</v>
      </c>
      <c r="FG93" s="10" cm="1">
        <f t="array" aca="1" ref="FG93" ca="1">(1-$B$18)*SUMPRODUCT(OFFSET($BO$15,0,0,$B$14,1), 1*(_xlfn._xlws.FILTER(OFFSET($O$15,0,$DN93,$B$8,1),OFFSET($M$15,0,0,$B$8,1))=FG$13), 1*(_xlfn._xlws.FILTER(OFFSET($O$15,0,$DO93,$B$8,1),OFFSET($M$15,0,0,$B$8,1))=FG$14))   /   SUM(OFFSET($BO$15,0,0,$B$14,1)) + $B$18/($B$19*$B$19*($DN93&lt;&gt;$DO93) + $B$19*($DN93=$DO93))</f>
        <v>3.7037037037037035E-4</v>
      </c>
      <c r="FH93" s="10" cm="1">
        <f t="array" aca="1" ref="FH93" ca="1">(1-$B$18)*SUMPRODUCT(OFFSET($BO$15,0,0,$B$14,1), 1*(_xlfn._xlws.FILTER(OFFSET($O$15,0,$DN93,$B$8,1),OFFSET($M$15,0,0,$B$8,1))=FH$13), 1*(_xlfn._xlws.FILTER(OFFSET($O$15,0,$DO93,$B$8,1),OFFSET($M$15,0,0,$B$8,1))=FH$14))   /   SUM(OFFSET($BO$15,0,0,$B$14,1)) + $B$18/($B$19*$B$19*($DN93&lt;&gt;$DO93) + $B$19*($DN93=$DO93))</f>
        <v>3.7037037037037035E-4</v>
      </c>
      <c r="FI93" s="10" cm="1">
        <f t="array" aca="1" ref="FI93" ca="1">(1-$B$18)*SUMPRODUCT(OFFSET($BO$15,0,0,$B$14,1), 1*(_xlfn._xlws.FILTER(OFFSET($O$15,0,$DN93,$B$8,1),OFFSET($M$15,0,0,$B$8,1))=FI$13), 1*(_xlfn._xlws.FILTER(OFFSET($O$15,0,$DO93,$B$8,1),OFFSET($M$15,0,0,$B$8,1))=FI$14))   /   SUM(OFFSET($BO$15,0,0,$B$14,1)) + $B$18/($B$19*$B$19*($DN93&lt;&gt;$DO93) + $B$19*($DN93=$DO93))</f>
        <v>3.7037037037037035E-4</v>
      </c>
      <c r="FJ93" s="10" cm="1">
        <f t="array" aca="1" ref="FJ93" ca="1">(1-$B$18)*SUMPRODUCT(OFFSET($BO$15,0,0,$B$14,1), 1*(_xlfn._xlws.FILTER(OFFSET($O$15,0,$DN93,$B$8,1),OFFSET($M$15,0,0,$B$8,1))=FJ$13), 1*(_xlfn._xlws.FILTER(OFFSET($O$15,0,$DO93,$B$8,1),OFFSET($M$15,0,0,$B$8,1))=FJ$14))   /   SUM(OFFSET($BO$15,0,0,$B$14,1)) + $B$18/($B$19*$B$19*($DN93&lt;&gt;$DO93) + $B$19*($DN93=$DO93))</f>
        <v>3.7037037037037035E-4</v>
      </c>
      <c r="FK93" s="10" cm="1">
        <f t="array" aca="1" ref="FK93" ca="1">(1-$B$18)*SUMPRODUCT(OFFSET($BO$15,0,0,$B$14,1), 1*(_xlfn._xlws.FILTER(OFFSET($O$15,0,$DN93,$B$8,1),OFFSET($M$15,0,0,$B$8,1))=FK$13), 1*(_xlfn._xlws.FILTER(OFFSET($O$15,0,$DO93,$B$8,1),OFFSET($M$15,0,0,$B$8,1))=FK$14))   /   SUM(OFFSET($BO$15,0,0,$B$14,1)) + $B$18/($B$19*$B$19*($DN93&lt;&gt;$DO93) + $B$19*($DN93=$DO93))</f>
        <v>3.7037037037037035E-4</v>
      </c>
      <c r="FL93" s="10" cm="1">
        <f t="array" aca="1" ref="FL93" ca="1">(1-$B$18)*SUMPRODUCT(OFFSET($BO$15,0,0,$B$14,1), 1*(_xlfn._xlws.FILTER(OFFSET($O$15,0,$DN93,$B$8,1),OFFSET($M$15,0,0,$B$8,1))=FL$13), 1*(_xlfn._xlws.FILTER(OFFSET($O$15,0,$DO93,$B$8,1),OFFSET($M$15,0,0,$B$8,1))=FL$14))   /   SUM(OFFSET($BO$15,0,0,$B$14,1)) + $B$18/($B$19*$B$19*($DN93&lt;&gt;$DO93) + $B$19*($DN93=$DO93))</f>
        <v>3.7037037037037035E-4</v>
      </c>
      <c r="FM93" s="10" cm="1">
        <f t="array" aca="1" ref="FM93" ca="1">(1-$B$18)*SUMPRODUCT(OFFSET($BO$15,0,0,$B$14,1), 1*(_xlfn._xlws.FILTER(OFFSET($O$15,0,$DN93,$B$8,1),OFFSET($M$15,0,0,$B$8,1))=FM$13), 1*(_xlfn._xlws.FILTER(OFFSET($O$15,0,$DO93,$B$8,1),OFFSET($M$15,0,0,$B$8,1))=FM$14))   /   SUM(OFFSET($BO$15,0,0,$B$14,1)) + $B$18/($B$19*$B$19*($DN93&lt;&gt;$DO93) + $B$19*($DN93=$DO93))</f>
        <v>3.7037037037037035E-4</v>
      </c>
      <c r="FN93" s="10" cm="1">
        <f t="array" aca="1" ref="FN93" ca="1">(1-$B$18)*SUMPRODUCT(OFFSET($BO$15,0,0,$B$14,1), 1*(_xlfn._xlws.FILTER(OFFSET($O$15,0,$DN93,$B$8,1),OFFSET($M$15,0,0,$B$8,1))=FN$13), 1*(_xlfn._xlws.FILTER(OFFSET($O$15,0,$DO93,$B$8,1),OFFSET($M$15,0,0,$B$8,1))=FN$14))   /   SUM(OFFSET($BO$15,0,0,$B$14,1)) + $B$18/($B$19*$B$19*($DN93&lt;&gt;$DO93) + $B$19*($DN93=$DO93))</f>
        <v>3.7037037037037035E-4</v>
      </c>
      <c r="FO93" s="10" cm="1">
        <f t="array" aca="1" ref="FO93" ca="1">(1-$B$18)*SUMPRODUCT(OFFSET($BO$15,0,0,$B$14,1), 1*(_xlfn._xlws.FILTER(OFFSET($O$15,0,$DN93,$B$8,1),OFFSET($M$15,0,0,$B$8,1))=FO$13), 1*(_xlfn._xlws.FILTER(OFFSET($O$15,0,$DO93,$B$8,1),OFFSET($M$15,0,0,$B$8,1))=FO$14))   /   SUM(OFFSET($BO$15,0,0,$B$14,1)) + $B$18/($B$19*$B$19*($DN93&lt;&gt;$DO93) + $B$19*($DN93=$DO93))</f>
        <v>3.7037037037037035E-4</v>
      </c>
      <c r="FP93" s="10" cm="1">
        <f t="array" aca="1" ref="FP93" ca="1">(1-$B$18)*SUMPRODUCT(OFFSET($BO$15,0,0,$B$14,1), 1*(_xlfn._xlws.FILTER(OFFSET($O$15,0,$DN93,$B$8,1),OFFSET($M$15,0,0,$B$8,1))=FP$13), 1*(_xlfn._xlws.FILTER(OFFSET($O$15,0,$DO93,$B$8,1),OFFSET($M$15,0,0,$B$8,1))=FP$14))   /   SUM(OFFSET($BO$15,0,0,$B$14,1)) + $B$18/($B$19*$B$19*($DN93&lt;&gt;$DO93) + $B$19*($DN93=$DO93))</f>
        <v>3.7037037037037035E-4</v>
      </c>
      <c r="FQ93" s="10" cm="1">
        <f t="array" aca="1" ref="FQ93" ca="1">(1-$B$18)*SUMPRODUCT(OFFSET($BO$15,0,0,$B$14,1), 1*(_xlfn._xlws.FILTER(OFFSET($O$15,0,$DN93,$B$8,1),OFFSET($M$15,0,0,$B$8,1))=FQ$13), 1*(_xlfn._xlws.FILTER(OFFSET($O$15,0,$DO93,$B$8,1),OFFSET($M$15,0,0,$B$8,1))=FQ$14))   /   SUM(OFFSET($BO$15,0,0,$B$14,1)) + $B$18/($B$19*$B$19*($DN93&lt;&gt;$DO93) + $B$19*($DN93=$DO93))</f>
        <v>3.7037037037037035E-4</v>
      </c>
      <c r="FR93" s="10" cm="1">
        <f t="array" aca="1" ref="FR93" ca="1">(1-$B$18)*SUMPRODUCT(OFFSET($BO$15,0,0,$B$14,1), 1*(_xlfn._xlws.FILTER(OFFSET($O$15,0,$DN93,$B$8,1),OFFSET($M$15,0,0,$B$8,1))=FR$13), 1*(_xlfn._xlws.FILTER(OFFSET($O$15,0,$DO93,$B$8,1),OFFSET($M$15,0,0,$B$8,1))=FR$14))   /   SUM(OFFSET($BO$15,0,0,$B$14,1)) + $B$18/($B$19*$B$19*($DN93&lt;&gt;$DO93) + $B$19*($DN93=$DO93))</f>
        <v>0.97037037037037033</v>
      </c>
      <c r="FS93" s="10" cm="1">
        <f t="array" aca="1" ref="FS93" ca="1">(1-$B$18)*SUMPRODUCT(OFFSET($BO$15,0,0,$B$14,1), 1*(_xlfn._xlws.FILTER(OFFSET($O$15,0,$DN93,$B$8,1),OFFSET($M$15,0,0,$B$8,1))=FS$13), 1*(_xlfn._xlws.FILTER(OFFSET($O$15,0,$DO93,$B$8,1),OFFSET($M$15,0,0,$B$8,1))=FS$14))   /   SUM(OFFSET($BO$15,0,0,$B$14,1)) + $B$18/($B$19*$B$19*($DN93&lt;&gt;$DO93) + $B$19*($DN93=$DO93))</f>
        <v>3.7037037037037035E-4</v>
      </c>
      <c r="FT93" s="10" cm="1">
        <f t="array" aca="1" ref="FT93" ca="1">(1-$B$18)*SUMPRODUCT(OFFSET($BO$15,0,0,$B$14,1), 1*(_xlfn._xlws.FILTER(OFFSET($O$15,0,$DN93,$B$8,1),OFFSET($M$15,0,0,$B$8,1))=FT$13), 1*(_xlfn._xlws.FILTER(OFFSET($O$15,0,$DO93,$B$8,1),OFFSET($M$15,0,0,$B$8,1))=FT$14))   /   SUM(OFFSET($BO$15,0,0,$B$14,1)) + $B$18/($B$19*$B$19*($DN93&lt;&gt;$DO93) + $B$19*($DN93=$DO93))</f>
        <v>3.7037037037037035E-4</v>
      </c>
      <c r="FU93" s="10" cm="1">
        <f t="array" aca="1" ref="FU93" ca="1">(1-$B$18)*SUMPRODUCT(OFFSET($BO$15,0,0,$B$14,1), 1*(_xlfn._xlws.FILTER(OFFSET($O$15,0,$DN93,$B$8,1),OFFSET($M$15,0,0,$B$8,1))=FU$13), 1*(_xlfn._xlws.FILTER(OFFSET($O$15,0,$DO93,$B$8,1),OFFSET($M$15,0,0,$B$8,1))=FU$14))   /   SUM(OFFSET($BO$15,0,0,$B$14,1)) + $B$18/($B$19*$B$19*($DN93&lt;&gt;$DO93) + $B$19*($DN93=$DO93))</f>
        <v>3.7037037037037035E-4</v>
      </c>
      <c r="FV93" s="10" cm="1">
        <f t="array" aca="1" ref="FV93" ca="1">(1-$B$18)*SUMPRODUCT(OFFSET($BO$15,0,0,$B$14,1), 1*(_xlfn._xlws.FILTER(OFFSET($O$15,0,$DN93,$B$8,1),OFFSET($M$15,0,0,$B$8,1))=FV$13), 1*(_xlfn._xlws.FILTER(OFFSET($O$15,0,$DO93,$B$8,1),OFFSET($M$15,0,0,$B$8,1))=FV$14))   /   SUM(OFFSET($BO$15,0,0,$B$14,1)) + $B$18/($B$19*$B$19*($DN93&lt;&gt;$DO93) + $B$19*($DN93=$DO93))</f>
        <v>3.7037037037037035E-4</v>
      </c>
      <c r="FW93" s="10" cm="1">
        <f t="array" aca="1" ref="FW93" ca="1">(1-$B$18)*SUMPRODUCT(OFFSET($BO$15,0,0,$B$14,1), 1*(_xlfn._xlws.FILTER(OFFSET($O$15,0,$DN93,$B$8,1),OFFSET($M$15,0,0,$B$8,1))=FW$13), 1*(_xlfn._xlws.FILTER(OFFSET($O$15,0,$DO93,$B$8,1),OFFSET($M$15,0,0,$B$8,1))=FW$14))   /   SUM(OFFSET($BO$15,0,0,$B$14,1)) + $B$18/($B$19*$B$19*($DN93&lt;&gt;$DO93) + $B$19*($DN93=$DO93))</f>
        <v>3.7037037037037035E-4</v>
      </c>
      <c r="FX93" s="10" cm="1">
        <f t="array" aca="1" ref="FX93" ca="1">(1-$B$18)*SUMPRODUCT(OFFSET($BO$15,0,0,$B$14,1), 1*(_xlfn._xlws.FILTER(OFFSET($O$15,0,$DN93,$B$8,1),OFFSET($M$15,0,0,$B$8,1))=FX$13), 1*(_xlfn._xlws.FILTER(OFFSET($O$15,0,$DO93,$B$8,1),OFFSET($M$15,0,0,$B$8,1))=FX$14))   /   SUM(OFFSET($BO$15,0,0,$B$14,1)) + $B$18/($B$19*$B$19*($DN93&lt;&gt;$DO93) + $B$19*($DN93=$DO93))</f>
        <v>3.7037037037037035E-4</v>
      </c>
      <c r="FY93" s="10" cm="1">
        <f t="array" aca="1" ref="FY93" ca="1">(1-$B$18)*SUMPRODUCT(OFFSET($BO$15,0,0,$B$14,1), 1*(_xlfn._xlws.FILTER(OFFSET($O$15,0,$DN93,$B$8,1),OFFSET($M$15,0,0,$B$8,1))=FY$13), 1*(_xlfn._xlws.FILTER(OFFSET($O$15,0,$DO93,$B$8,1),OFFSET($M$15,0,0,$B$8,1))=FY$14))   /   SUM(OFFSET($BO$15,0,0,$B$14,1)) + $B$18/($B$19*$B$19*($DN93&lt;&gt;$DO93) + $B$19*($DN93=$DO93))</f>
        <v>3.7037037037037035E-4</v>
      </c>
      <c r="FZ93" s="10" cm="1">
        <f t="array" aca="1" ref="FZ93" ca="1">(1-$B$18)*SUMPRODUCT(OFFSET($BO$15,0,0,$B$14,1), 1*(_xlfn._xlws.FILTER(OFFSET($O$15,0,$DN93,$B$8,1),OFFSET($M$15,0,0,$B$8,1))=FZ$13), 1*(_xlfn._xlws.FILTER(OFFSET($O$15,0,$DO93,$B$8,1),OFFSET($M$15,0,0,$B$8,1))=FZ$14))   /   SUM(OFFSET($BO$15,0,0,$B$14,1)) + $B$18/($B$19*$B$19*($DN93&lt;&gt;$DO93) + $B$19*($DN93=$DO93))</f>
        <v>3.7037037037037035E-4</v>
      </c>
      <c r="GA93" s="10" cm="1">
        <f t="array" aca="1" ref="GA93" ca="1">(1-$B$18)*SUMPRODUCT(OFFSET($BO$15,0,0,$B$14,1), 1*(_xlfn._xlws.FILTER(OFFSET($O$15,0,$DN93,$B$8,1),OFFSET($M$15,0,0,$B$8,1))=GA$13), 1*(_xlfn._xlws.FILTER(OFFSET($O$15,0,$DO93,$B$8,1),OFFSET($M$15,0,0,$B$8,1))=GA$14))   /   SUM(OFFSET($BO$15,0,0,$B$14,1)) + $B$18/($B$19*$B$19*($DN93&lt;&gt;$DO93) + $B$19*($DN93=$DO93))</f>
        <v>3.7037037037037035E-4</v>
      </c>
    </row>
    <row r="94" spans="7:183" x14ac:dyDescent="0.2">
      <c r="H94" s="2"/>
      <c r="DN94" cm="1">
        <f t="array" aca="1" ref="DN94" ca="1">INDEX(_xlfn.ANCHORARRAY($CP$15), 1 + INT((ROWS($DO$15:$DO94) - 1) / ROWS(_xlfn.ANCHORARRAY($CP$15))))</f>
        <v>4</v>
      </c>
      <c r="DO94" cm="1">
        <f t="array" aca="1" ref="DO94" ca="1">INDEX(_xlfn.ANCHORARRAY($CP$15),1+MOD(ROWS($DO$15:$DO94)-1,ROWS(_xlfn.ANCHORARRAY($CP$15))))</f>
        <v>3</v>
      </c>
      <c r="DP94" s="10" cm="1">
        <f t="array" aca="1" ref="DP94" ca="1">(1-$B$18)*SUMPRODUCT(OFFSET($BO$15,0,0,$B$14,1), 1*(_xlfn._xlws.FILTER(OFFSET($O$15,0,$DN94,$B$8,1),OFFSET($M$15,0,0,$B$8,1))=DP$13), 1*(_xlfn._xlws.FILTER(OFFSET($O$15,0,$DO94,$B$8,1),OFFSET($M$15,0,0,$B$8,1))=DP$14))   /   SUM(OFFSET($BO$15,0,0,$B$14,1)) + $B$18/($B$19*$B$19*($DN94&lt;&gt;$DO94) + $B$19*($DN94=$DO94))</f>
        <v>3.7037037037037035E-4</v>
      </c>
      <c r="DQ94" s="10" cm="1">
        <f t="array" aca="1" ref="DQ94" ca="1">(1-$B$18)*SUMPRODUCT(OFFSET($BO$15,0,0,$B$14,1), 1*(_xlfn._xlws.FILTER(OFFSET($O$15,0,$DN94,$B$8,1),OFFSET($M$15,0,0,$B$8,1))=DQ$13), 1*(_xlfn._xlws.FILTER(OFFSET($O$15,0,$DO94,$B$8,1),OFFSET($M$15,0,0,$B$8,1))=DQ$14))   /   SUM(OFFSET($BO$15,0,0,$B$14,1)) + $B$18/($B$19*$B$19*($DN94&lt;&gt;$DO94) + $B$19*($DN94=$DO94))</f>
        <v>3.7037037037037035E-4</v>
      </c>
      <c r="DR94" s="10" cm="1">
        <f t="array" aca="1" ref="DR94" ca="1">(1-$B$18)*SUMPRODUCT(OFFSET($BO$15,0,0,$B$14,1), 1*(_xlfn._xlws.FILTER(OFFSET($O$15,0,$DN94,$B$8,1),OFFSET($M$15,0,0,$B$8,1))=DR$13), 1*(_xlfn._xlws.FILTER(OFFSET($O$15,0,$DO94,$B$8,1),OFFSET($M$15,0,0,$B$8,1))=DR$14))   /   SUM(OFFSET($BO$15,0,0,$B$14,1)) + $B$18/($B$19*$B$19*($DN94&lt;&gt;$DO94) + $B$19*($DN94=$DO94))</f>
        <v>3.7037037037037035E-4</v>
      </c>
      <c r="DS94" s="10" cm="1">
        <f t="array" aca="1" ref="DS94" ca="1">(1-$B$18)*SUMPRODUCT(OFFSET($BO$15,0,0,$B$14,1), 1*(_xlfn._xlws.FILTER(OFFSET($O$15,0,$DN94,$B$8,1),OFFSET($M$15,0,0,$B$8,1))=DS$13), 1*(_xlfn._xlws.FILTER(OFFSET($O$15,0,$DO94,$B$8,1),OFFSET($M$15,0,0,$B$8,1))=DS$14))   /   SUM(OFFSET($BO$15,0,0,$B$14,1)) + $B$18/($B$19*$B$19*($DN94&lt;&gt;$DO94) + $B$19*($DN94=$DO94))</f>
        <v>3.7037037037037035E-4</v>
      </c>
      <c r="DT94" s="10" cm="1">
        <f t="array" aca="1" ref="DT94" ca="1">(1-$B$18)*SUMPRODUCT(OFFSET($BO$15,0,0,$B$14,1), 1*(_xlfn._xlws.FILTER(OFFSET($O$15,0,$DN94,$B$8,1),OFFSET($M$15,0,0,$B$8,1))=DT$13), 1*(_xlfn._xlws.FILTER(OFFSET($O$15,0,$DO94,$B$8,1),OFFSET($M$15,0,0,$B$8,1))=DT$14))   /   SUM(OFFSET($BO$15,0,0,$B$14,1)) + $B$18/($B$19*$B$19*($DN94&lt;&gt;$DO94) + $B$19*($DN94=$DO94))</f>
        <v>3.7037037037037035E-4</v>
      </c>
      <c r="DU94" s="10" cm="1">
        <f t="array" aca="1" ref="DU94" ca="1">(1-$B$18)*SUMPRODUCT(OFFSET($BO$15,0,0,$B$14,1), 1*(_xlfn._xlws.FILTER(OFFSET($O$15,0,$DN94,$B$8,1),OFFSET($M$15,0,0,$B$8,1))=DU$13), 1*(_xlfn._xlws.FILTER(OFFSET($O$15,0,$DO94,$B$8,1),OFFSET($M$15,0,0,$B$8,1))=DU$14))   /   SUM(OFFSET($BO$15,0,0,$B$14,1)) + $B$18/($B$19*$B$19*($DN94&lt;&gt;$DO94) + $B$19*($DN94=$DO94))</f>
        <v>3.7037037037037035E-4</v>
      </c>
      <c r="DV94" s="10" cm="1">
        <f t="array" aca="1" ref="DV94" ca="1">(1-$B$18)*SUMPRODUCT(OFFSET($BO$15,0,0,$B$14,1), 1*(_xlfn._xlws.FILTER(OFFSET($O$15,0,$DN94,$B$8,1),OFFSET($M$15,0,0,$B$8,1))=DV$13), 1*(_xlfn._xlws.FILTER(OFFSET($O$15,0,$DO94,$B$8,1),OFFSET($M$15,0,0,$B$8,1))=DV$14))   /   SUM(OFFSET($BO$15,0,0,$B$14,1)) + $B$18/($B$19*$B$19*($DN94&lt;&gt;$DO94) + $B$19*($DN94=$DO94))</f>
        <v>3.7037037037037035E-4</v>
      </c>
      <c r="DW94" s="10" cm="1">
        <f t="array" aca="1" ref="DW94" ca="1">(1-$B$18)*SUMPRODUCT(OFFSET($BO$15,0,0,$B$14,1), 1*(_xlfn._xlws.FILTER(OFFSET($O$15,0,$DN94,$B$8,1),OFFSET($M$15,0,0,$B$8,1))=DW$13), 1*(_xlfn._xlws.FILTER(OFFSET($O$15,0,$DO94,$B$8,1),OFFSET($M$15,0,0,$B$8,1))=DW$14))   /   SUM(OFFSET($BO$15,0,0,$B$14,1)) + $B$18/($B$19*$B$19*($DN94&lt;&gt;$DO94) + $B$19*($DN94=$DO94))</f>
        <v>3.7037037037037035E-4</v>
      </c>
      <c r="DX94" s="10" cm="1">
        <f t="array" aca="1" ref="DX94" ca="1">(1-$B$18)*SUMPRODUCT(OFFSET($BO$15,0,0,$B$14,1), 1*(_xlfn._xlws.FILTER(OFFSET($O$15,0,$DN94,$B$8,1),OFFSET($M$15,0,0,$B$8,1))=DX$13), 1*(_xlfn._xlws.FILTER(OFFSET($O$15,0,$DO94,$B$8,1),OFFSET($M$15,0,0,$B$8,1))=DX$14))   /   SUM(OFFSET($BO$15,0,0,$B$14,1)) + $B$18/($B$19*$B$19*($DN94&lt;&gt;$DO94) + $B$19*($DN94=$DO94))</f>
        <v>3.7037037037037035E-4</v>
      </c>
      <c r="DY94" s="10" cm="1">
        <f t="array" aca="1" ref="DY94" ca="1">(1-$B$18)*SUMPRODUCT(OFFSET($BO$15,0,0,$B$14,1), 1*(_xlfn._xlws.FILTER(OFFSET($O$15,0,$DN94,$B$8,1),OFFSET($M$15,0,0,$B$8,1))=DY$13), 1*(_xlfn._xlws.FILTER(OFFSET($O$15,0,$DO94,$B$8,1),OFFSET($M$15,0,0,$B$8,1))=DY$14))   /   SUM(OFFSET($BO$15,0,0,$B$14,1)) + $B$18/($B$19*$B$19*($DN94&lt;&gt;$DO94) + $B$19*($DN94=$DO94))</f>
        <v>3.7037037037037035E-4</v>
      </c>
      <c r="DZ94" s="10" cm="1">
        <f t="array" aca="1" ref="DZ94" ca="1">(1-$B$18)*SUMPRODUCT(OFFSET($BO$15,0,0,$B$14,1), 1*(_xlfn._xlws.FILTER(OFFSET($O$15,0,$DN94,$B$8,1),OFFSET($M$15,0,0,$B$8,1))=DZ$13), 1*(_xlfn._xlws.FILTER(OFFSET($O$15,0,$DO94,$B$8,1),OFFSET($M$15,0,0,$B$8,1))=DZ$14))   /   SUM(OFFSET($BO$15,0,0,$B$14,1)) + $B$18/($B$19*$B$19*($DN94&lt;&gt;$DO94) + $B$19*($DN94=$DO94))</f>
        <v>3.7037037037037035E-4</v>
      </c>
      <c r="EA94" s="10" cm="1">
        <f t="array" aca="1" ref="EA94" ca="1">(1-$B$18)*SUMPRODUCT(OFFSET($BO$15,0,0,$B$14,1), 1*(_xlfn._xlws.FILTER(OFFSET($O$15,0,$DN94,$B$8,1),OFFSET($M$15,0,0,$B$8,1))=EA$13), 1*(_xlfn._xlws.FILTER(OFFSET($O$15,0,$DO94,$B$8,1),OFFSET($M$15,0,0,$B$8,1))=EA$14))   /   SUM(OFFSET($BO$15,0,0,$B$14,1)) + $B$18/($B$19*$B$19*($DN94&lt;&gt;$DO94) + $B$19*($DN94=$DO94))</f>
        <v>3.7037037037037035E-4</v>
      </c>
      <c r="EB94" s="10" cm="1">
        <f t="array" aca="1" ref="EB94" ca="1">(1-$B$18)*SUMPRODUCT(OFFSET($BO$15,0,0,$B$14,1), 1*(_xlfn._xlws.FILTER(OFFSET($O$15,0,$DN94,$B$8,1),OFFSET($M$15,0,0,$B$8,1))=EB$13), 1*(_xlfn._xlws.FILTER(OFFSET($O$15,0,$DO94,$B$8,1),OFFSET($M$15,0,0,$B$8,1))=EB$14))   /   SUM(OFFSET($BO$15,0,0,$B$14,1)) + $B$18/($B$19*$B$19*($DN94&lt;&gt;$DO94) + $B$19*($DN94=$DO94))</f>
        <v>3.7037037037037035E-4</v>
      </c>
      <c r="EC94" s="10" cm="1">
        <f t="array" aca="1" ref="EC94" ca="1">(1-$B$18)*SUMPRODUCT(OFFSET($BO$15,0,0,$B$14,1), 1*(_xlfn._xlws.FILTER(OFFSET($O$15,0,$DN94,$B$8,1),OFFSET($M$15,0,0,$B$8,1))=EC$13), 1*(_xlfn._xlws.FILTER(OFFSET($O$15,0,$DO94,$B$8,1),OFFSET($M$15,0,0,$B$8,1))=EC$14))   /   SUM(OFFSET($BO$15,0,0,$B$14,1)) + $B$18/($B$19*$B$19*($DN94&lt;&gt;$DO94) + $B$19*($DN94=$DO94))</f>
        <v>3.7037037037037035E-4</v>
      </c>
      <c r="ED94" s="10" cm="1">
        <f t="array" aca="1" ref="ED94" ca="1">(1-$B$18)*SUMPRODUCT(OFFSET($BO$15,0,0,$B$14,1), 1*(_xlfn._xlws.FILTER(OFFSET($O$15,0,$DN94,$B$8,1),OFFSET($M$15,0,0,$B$8,1))=ED$13), 1*(_xlfn._xlws.FILTER(OFFSET($O$15,0,$DO94,$B$8,1),OFFSET($M$15,0,0,$B$8,1))=ED$14))   /   SUM(OFFSET($BO$15,0,0,$B$14,1)) + $B$18/($B$19*$B$19*($DN94&lt;&gt;$DO94) + $B$19*($DN94=$DO94))</f>
        <v>3.7037037037037035E-4</v>
      </c>
      <c r="EE94" s="10" cm="1">
        <f t="array" aca="1" ref="EE94" ca="1">(1-$B$18)*SUMPRODUCT(OFFSET($BO$15,0,0,$B$14,1), 1*(_xlfn._xlws.FILTER(OFFSET($O$15,0,$DN94,$B$8,1),OFFSET($M$15,0,0,$B$8,1))=EE$13), 1*(_xlfn._xlws.FILTER(OFFSET($O$15,0,$DO94,$B$8,1),OFFSET($M$15,0,0,$B$8,1))=EE$14))   /   SUM(OFFSET($BO$15,0,0,$B$14,1)) + $B$18/($B$19*$B$19*($DN94&lt;&gt;$DO94) + $B$19*($DN94=$DO94))</f>
        <v>3.7037037037037035E-4</v>
      </c>
      <c r="EF94" s="10" cm="1">
        <f t="array" aca="1" ref="EF94" ca="1">(1-$B$18)*SUMPRODUCT(OFFSET($BO$15,0,0,$B$14,1), 1*(_xlfn._xlws.FILTER(OFFSET($O$15,0,$DN94,$B$8,1),OFFSET($M$15,0,0,$B$8,1))=EF$13), 1*(_xlfn._xlws.FILTER(OFFSET($O$15,0,$DO94,$B$8,1),OFFSET($M$15,0,0,$B$8,1))=EF$14))   /   SUM(OFFSET($BO$15,0,0,$B$14,1)) + $B$18/($B$19*$B$19*($DN94&lt;&gt;$DO94) + $B$19*($DN94=$DO94))</f>
        <v>3.7037037037037035E-4</v>
      </c>
      <c r="EG94" s="10" cm="1">
        <f t="array" aca="1" ref="EG94" ca="1">(1-$B$18)*SUMPRODUCT(OFFSET($BO$15,0,0,$B$14,1), 1*(_xlfn._xlws.FILTER(OFFSET($O$15,0,$DN94,$B$8,1),OFFSET($M$15,0,0,$B$8,1))=EG$13), 1*(_xlfn._xlws.FILTER(OFFSET($O$15,0,$DO94,$B$8,1),OFFSET($M$15,0,0,$B$8,1))=EG$14))   /   SUM(OFFSET($BO$15,0,0,$B$14,1)) + $B$18/($B$19*$B$19*($DN94&lt;&gt;$DO94) + $B$19*($DN94=$DO94))</f>
        <v>3.7037037037037035E-4</v>
      </c>
      <c r="EH94" s="10" cm="1">
        <f t="array" aca="1" ref="EH94" ca="1">(1-$B$18)*SUMPRODUCT(OFFSET($BO$15,0,0,$B$14,1), 1*(_xlfn._xlws.FILTER(OFFSET($O$15,0,$DN94,$B$8,1),OFFSET($M$15,0,0,$B$8,1))=EH$13), 1*(_xlfn._xlws.FILTER(OFFSET($O$15,0,$DO94,$B$8,1),OFFSET($M$15,0,0,$B$8,1))=EH$14))   /   SUM(OFFSET($BO$15,0,0,$B$14,1)) + $B$18/($B$19*$B$19*($DN94&lt;&gt;$DO94) + $B$19*($DN94=$DO94))</f>
        <v>3.7037037037037035E-4</v>
      </c>
      <c r="EI94" s="10" cm="1">
        <f t="array" aca="1" ref="EI94" ca="1">(1-$B$18)*SUMPRODUCT(OFFSET($BO$15,0,0,$B$14,1), 1*(_xlfn._xlws.FILTER(OFFSET($O$15,0,$DN94,$B$8,1),OFFSET($M$15,0,0,$B$8,1))=EI$13), 1*(_xlfn._xlws.FILTER(OFFSET($O$15,0,$DO94,$B$8,1),OFFSET($M$15,0,0,$B$8,1))=EI$14))   /   SUM(OFFSET($BO$15,0,0,$B$14,1)) + $B$18/($B$19*$B$19*($DN94&lt;&gt;$DO94) + $B$19*($DN94=$DO94))</f>
        <v>3.7037037037037035E-4</v>
      </c>
      <c r="EJ94" s="10" cm="1">
        <f t="array" aca="1" ref="EJ94" ca="1">(1-$B$18)*SUMPRODUCT(OFFSET($BO$15,0,0,$B$14,1), 1*(_xlfn._xlws.FILTER(OFFSET($O$15,0,$DN94,$B$8,1),OFFSET($M$15,0,0,$B$8,1))=EJ$13), 1*(_xlfn._xlws.FILTER(OFFSET($O$15,0,$DO94,$B$8,1),OFFSET($M$15,0,0,$B$8,1))=EJ$14))   /   SUM(OFFSET($BO$15,0,0,$B$14,1)) + $B$18/($B$19*$B$19*($DN94&lt;&gt;$DO94) + $B$19*($DN94=$DO94))</f>
        <v>3.7037037037037035E-4</v>
      </c>
      <c r="EK94" s="10" cm="1">
        <f t="array" aca="1" ref="EK94" ca="1">(1-$B$18)*SUMPRODUCT(OFFSET($BO$15,0,0,$B$14,1), 1*(_xlfn._xlws.FILTER(OFFSET($O$15,0,$DN94,$B$8,1),OFFSET($M$15,0,0,$B$8,1))=EK$13), 1*(_xlfn._xlws.FILTER(OFFSET($O$15,0,$DO94,$B$8,1),OFFSET($M$15,0,0,$B$8,1))=EK$14))   /   SUM(OFFSET($BO$15,0,0,$B$14,1)) + $B$18/($B$19*$B$19*($DN94&lt;&gt;$DO94) + $B$19*($DN94=$DO94))</f>
        <v>3.7037037037037035E-4</v>
      </c>
      <c r="EL94" s="10" cm="1">
        <f t="array" aca="1" ref="EL94" ca="1">(1-$B$18)*SUMPRODUCT(OFFSET($BO$15,0,0,$B$14,1), 1*(_xlfn._xlws.FILTER(OFFSET($O$15,0,$DN94,$B$8,1),OFFSET($M$15,0,0,$B$8,1))=EL$13), 1*(_xlfn._xlws.FILTER(OFFSET($O$15,0,$DO94,$B$8,1),OFFSET($M$15,0,0,$B$8,1))=EL$14))   /   SUM(OFFSET($BO$15,0,0,$B$14,1)) + $B$18/($B$19*$B$19*($DN94&lt;&gt;$DO94) + $B$19*($DN94=$DO94))</f>
        <v>3.7037037037037035E-4</v>
      </c>
      <c r="EM94" s="10" cm="1">
        <f t="array" aca="1" ref="EM94" ca="1">(1-$B$18)*SUMPRODUCT(OFFSET($BO$15,0,0,$B$14,1), 1*(_xlfn._xlws.FILTER(OFFSET($O$15,0,$DN94,$B$8,1),OFFSET($M$15,0,0,$B$8,1))=EM$13), 1*(_xlfn._xlws.FILTER(OFFSET($O$15,0,$DO94,$B$8,1),OFFSET($M$15,0,0,$B$8,1))=EM$14))   /   SUM(OFFSET($BO$15,0,0,$B$14,1)) + $B$18/($B$19*$B$19*($DN94&lt;&gt;$DO94) + $B$19*($DN94=$DO94))</f>
        <v>3.7037037037037035E-4</v>
      </c>
      <c r="EN94" s="10" cm="1">
        <f t="array" aca="1" ref="EN94" ca="1">(1-$B$18)*SUMPRODUCT(OFFSET($BO$15,0,0,$B$14,1), 1*(_xlfn._xlws.FILTER(OFFSET($O$15,0,$DN94,$B$8,1),OFFSET($M$15,0,0,$B$8,1))=EN$13), 1*(_xlfn._xlws.FILTER(OFFSET($O$15,0,$DO94,$B$8,1),OFFSET($M$15,0,0,$B$8,1))=EN$14))   /   SUM(OFFSET($BO$15,0,0,$B$14,1)) + $B$18/($B$19*$B$19*($DN94&lt;&gt;$DO94) + $B$19*($DN94=$DO94))</f>
        <v>3.7037037037037035E-4</v>
      </c>
      <c r="EO94" s="10" cm="1">
        <f t="array" aca="1" ref="EO94" ca="1">(1-$B$18)*SUMPRODUCT(OFFSET($BO$15,0,0,$B$14,1), 1*(_xlfn._xlws.FILTER(OFFSET($O$15,0,$DN94,$B$8,1),OFFSET($M$15,0,0,$B$8,1))=EO$13), 1*(_xlfn._xlws.FILTER(OFFSET($O$15,0,$DO94,$B$8,1),OFFSET($M$15,0,0,$B$8,1))=EO$14))   /   SUM(OFFSET($BO$15,0,0,$B$14,1)) + $B$18/($B$19*$B$19*($DN94&lt;&gt;$DO94) + $B$19*($DN94=$DO94))</f>
        <v>3.7037037037037035E-4</v>
      </c>
      <c r="EP94" s="10" cm="1">
        <f t="array" aca="1" ref="EP94" ca="1">(1-$B$18)*SUMPRODUCT(OFFSET($BO$15,0,0,$B$14,1), 1*(_xlfn._xlws.FILTER(OFFSET($O$15,0,$DN94,$B$8,1),OFFSET($M$15,0,0,$B$8,1))=EP$13), 1*(_xlfn._xlws.FILTER(OFFSET($O$15,0,$DO94,$B$8,1),OFFSET($M$15,0,0,$B$8,1))=EP$14))   /   SUM(OFFSET($BO$15,0,0,$B$14,1)) + $B$18/($B$19*$B$19*($DN94&lt;&gt;$DO94) + $B$19*($DN94=$DO94))</f>
        <v>3.7037037037037035E-4</v>
      </c>
      <c r="EQ94" s="10" cm="1">
        <f t="array" aca="1" ref="EQ94" ca="1">(1-$B$18)*SUMPRODUCT(OFFSET($BO$15,0,0,$B$14,1), 1*(_xlfn._xlws.FILTER(OFFSET($O$15,0,$DN94,$B$8,1),OFFSET($M$15,0,0,$B$8,1))=EQ$13), 1*(_xlfn._xlws.FILTER(OFFSET($O$15,0,$DO94,$B$8,1),OFFSET($M$15,0,0,$B$8,1))=EQ$14))   /   SUM(OFFSET($BO$15,0,0,$B$14,1)) + $B$18/($B$19*$B$19*($DN94&lt;&gt;$DO94) + $B$19*($DN94=$DO94))</f>
        <v>3.7037037037037035E-4</v>
      </c>
      <c r="ER94" s="10" cm="1">
        <f t="array" aca="1" ref="ER94" ca="1">(1-$B$18)*SUMPRODUCT(OFFSET($BO$15,0,0,$B$14,1), 1*(_xlfn._xlws.FILTER(OFFSET($O$15,0,$DN94,$B$8,1),OFFSET($M$15,0,0,$B$8,1))=ER$13), 1*(_xlfn._xlws.FILTER(OFFSET($O$15,0,$DO94,$B$8,1),OFFSET($M$15,0,0,$B$8,1))=ER$14))   /   SUM(OFFSET($BO$15,0,0,$B$14,1)) + $B$18/($B$19*$B$19*($DN94&lt;&gt;$DO94) + $B$19*($DN94=$DO94))</f>
        <v>3.7037037037037035E-4</v>
      </c>
      <c r="ES94" s="10" cm="1">
        <f t="array" aca="1" ref="ES94" ca="1">(1-$B$18)*SUMPRODUCT(OFFSET($BO$15,0,0,$B$14,1), 1*(_xlfn._xlws.FILTER(OFFSET($O$15,0,$DN94,$B$8,1),OFFSET($M$15,0,0,$B$8,1))=ES$13), 1*(_xlfn._xlws.FILTER(OFFSET($O$15,0,$DO94,$B$8,1),OFFSET($M$15,0,0,$B$8,1))=ES$14))   /   SUM(OFFSET($BO$15,0,0,$B$14,1)) + $B$18/($B$19*$B$19*($DN94&lt;&gt;$DO94) + $B$19*($DN94=$DO94))</f>
        <v>3.7037037037037035E-4</v>
      </c>
      <c r="ET94" s="10" cm="1">
        <f t="array" aca="1" ref="ET94" ca="1">(1-$B$18)*SUMPRODUCT(OFFSET($BO$15,0,0,$B$14,1), 1*(_xlfn._xlws.FILTER(OFFSET($O$15,0,$DN94,$B$8,1),OFFSET($M$15,0,0,$B$8,1))=ET$13), 1*(_xlfn._xlws.FILTER(OFFSET($O$15,0,$DO94,$B$8,1),OFFSET($M$15,0,0,$B$8,1))=ET$14))   /   SUM(OFFSET($BO$15,0,0,$B$14,1)) + $B$18/($B$19*$B$19*($DN94&lt;&gt;$DO94) + $B$19*($DN94=$DO94))</f>
        <v>3.7037037037037035E-4</v>
      </c>
      <c r="EU94" s="10" cm="1">
        <f t="array" aca="1" ref="EU94" ca="1">(1-$B$18)*SUMPRODUCT(OFFSET($BO$15,0,0,$B$14,1), 1*(_xlfn._xlws.FILTER(OFFSET($O$15,0,$DN94,$B$8,1),OFFSET($M$15,0,0,$B$8,1))=EU$13), 1*(_xlfn._xlws.FILTER(OFFSET($O$15,0,$DO94,$B$8,1),OFFSET($M$15,0,0,$B$8,1))=EU$14))   /   SUM(OFFSET($BO$15,0,0,$B$14,1)) + $B$18/($B$19*$B$19*($DN94&lt;&gt;$DO94) + $B$19*($DN94=$DO94))</f>
        <v>3.7037037037037035E-4</v>
      </c>
      <c r="EV94" s="10" cm="1">
        <f t="array" aca="1" ref="EV94" ca="1">(1-$B$18)*SUMPRODUCT(OFFSET($BO$15,0,0,$B$14,1), 1*(_xlfn._xlws.FILTER(OFFSET($O$15,0,$DN94,$B$8,1),OFFSET($M$15,0,0,$B$8,1))=EV$13), 1*(_xlfn._xlws.FILTER(OFFSET($O$15,0,$DO94,$B$8,1),OFFSET($M$15,0,0,$B$8,1))=EV$14))   /   SUM(OFFSET($BO$15,0,0,$B$14,1)) + $B$18/($B$19*$B$19*($DN94&lt;&gt;$DO94) + $B$19*($DN94=$DO94))</f>
        <v>3.7037037037037035E-4</v>
      </c>
      <c r="EW94" s="10" cm="1">
        <f t="array" aca="1" ref="EW94" ca="1">(1-$B$18)*SUMPRODUCT(OFFSET($BO$15,0,0,$B$14,1), 1*(_xlfn._xlws.FILTER(OFFSET($O$15,0,$DN94,$B$8,1),OFFSET($M$15,0,0,$B$8,1))=EW$13), 1*(_xlfn._xlws.FILTER(OFFSET($O$15,0,$DO94,$B$8,1),OFFSET($M$15,0,0,$B$8,1))=EW$14))   /   SUM(OFFSET($BO$15,0,0,$B$14,1)) + $B$18/($B$19*$B$19*($DN94&lt;&gt;$DO94) + $B$19*($DN94=$DO94))</f>
        <v>3.7037037037037035E-4</v>
      </c>
      <c r="EX94" s="10" cm="1">
        <f t="array" aca="1" ref="EX94" ca="1">(1-$B$18)*SUMPRODUCT(OFFSET($BO$15,0,0,$B$14,1), 1*(_xlfn._xlws.FILTER(OFFSET($O$15,0,$DN94,$B$8,1),OFFSET($M$15,0,0,$B$8,1))=EX$13), 1*(_xlfn._xlws.FILTER(OFFSET($O$15,0,$DO94,$B$8,1),OFFSET($M$15,0,0,$B$8,1))=EX$14))   /   SUM(OFFSET($BO$15,0,0,$B$14,1)) + $B$18/($B$19*$B$19*($DN94&lt;&gt;$DO94) + $B$19*($DN94=$DO94))</f>
        <v>3.7037037037037035E-4</v>
      </c>
      <c r="EY94" s="10" cm="1">
        <f t="array" aca="1" ref="EY94" ca="1">(1-$B$18)*SUMPRODUCT(OFFSET($BO$15,0,0,$B$14,1), 1*(_xlfn._xlws.FILTER(OFFSET($O$15,0,$DN94,$B$8,1),OFFSET($M$15,0,0,$B$8,1))=EY$13), 1*(_xlfn._xlws.FILTER(OFFSET($O$15,0,$DO94,$B$8,1),OFFSET($M$15,0,0,$B$8,1))=EY$14))   /   SUM(OFFSET($BO$15,0,0,$B$14,1)) + $B$18/($B$19*$B$19*($DN94&lt;&gt;$DO94) + $B$19*($DN94=$DO94))</f>
        <v>3.7037037037037035E-4</v>
      </c>
      <c r="EZ94" s="10" cm="1">
        <f t="array" aca="1" ref="EZ94" ca="1">(1-$B$18)*SUMPRODUCT(OFFSET($BO$15,0,0,$B$14,1), 1*(_xlfn._xlws.FILTER(OFFSET($O$15,0,$DN94,$B$8,1),OFFSET($M$15,0,0,$B$8,1))=EZ$13), 1*(_xlfn._xlws.FILTER(OFFSET($O$15,0,$DO94,$B$8,1),OFFSET($M$15,0,0,$B$8,1))=EZ$14))   /   SUM(OFFSET($BO$15,0,0,$B$14,1)) + $B$18/($B$19*$B$19*($DN94&lt;&gt;$DO94) + $B$19*($DN94=$DO94))</f>
        <v>3.7037037037037035E-4</v>
      </c>
      <c r="FA94" s="10" cm="1">
        <f t="array" aca="1" ref="FA94" ca="1">(1-$B$18)*SUMPRODUCT(OFFSET($BO$15,0,0,$B$14,1), 1*(_xlfn._xlws.FILTER(OFFSET($O$15,0,$DN94,$B$8,1),OFFSET($M$15,0,0,$B$8,1))=FA$13), 1*(_xlfn._xlws.FILTER(OFFSET($O$15,0,$DO94,$B$8,1),OFFSET($M$15,0,0,$B$8,1))=FA$14))   /   SUM(OFFSET($BO$15,0,0,$B$14,1)) + $B$18/($B$19*$B$19*($DN94&lt;&gt;$DO94) + $B$19*($DN94=$DO94))</f>
        <v>3.7037037037037035E-4</v>
      </c>
      <c r="FB94" s="10" cm="1">
        <f t="array" aca="1" ref="FB94" ca="1">(1-$B$18)*SUMPRODUCT(OFFSET($BO$15,0,0,$B$14,1), 1*(_xlfn._xlws.FILTER(OFFSET($O$15,0,$DN94,$B$8,1),OFFSET($M$15,0,0,$B$8,1))=FB$13), 1*(_xlfn._xlws.FILTER(OFFSET($O$15,0,$DO94,$B$8,1),OFFSET($M$15,0,0,$B$8,1))=FB$14))   /   SUM(OFFSET($BO$15,0,0,$B$14,1)) + $B$18/($B$19*$B$19*($DN94&lt;&gt;$DO94) + $B$19*($DN94=$DO94))</f>
        <v>3.7037037037037035E-4</v>
      </c>
      <c r="FC94" s="10" cm="1">
        <f t="array" aca="1" ref="FC94" ca="1">(1-$B$18)*SUMPRODUCT(OFFSET($BO$15,0,0,$B$14,1), 1*(_xlfn._xlws.FILTER(OFFSET($O$15,0,$DN94,$B$8,1),OFFSET($M$15,0,0,$B$8,1))=FC$13), 1*(_xlfn._xlws.FILTER(OFFSET($O$15,0,$DO94,$B$8,1),OFFSET($M$15,0,0,$B$8,1))=FC$14))   /   SUM(OFFSET($BO$15,0,0,$B$14,1)) + $B$18/($B$19*$B$19*($DN94&lt;&gt;$DO94) + $B$19*($DN94=$DO94))</f>
        <v>3.7037037037037035E-4</v>
      </c>
      <c r="FD94" s="10" cm="1">
        <f t="array" aca="1" ref="FD94" ca="1">(1-$B$18)*SUMPRODUCT(OFFSET($BO$15,0,0,$B$14,1), 1*(_xlfn._xlws.FILTER(OFFSET($O$15,0,$DN94,$B$8,1),OFFSET($M$15,0,0,$B$8,1))=FD$13), 1*(_xlfn._xlws.FILTER(OFFSET($O$15,0,$DO94,$B$8,1),OFFSET($M$15,0,0,$B$8,1))=FD$14))   /   SUM(OFFSET($BO$15,0,0,$B$14,1)) + $B$18/($B$19*$B$19*($DN94&lt;&gt;$DO94) + $B$19*($DN94=$DO94))</f>
        <v>3.7037037037037035E-4</v>
      </c>
      <c r="FE94" s="10" cm="1">
        <f t="array" aca="1" ref="FE94" ca="1">(1-$B$18)*SUMPRODUCT(OFFSET($BO$15,0,0,$B$14,1), 1*(_xlfn._xlws.FILTER(OFFSET($O$15,0,$DN94,$B$8,1),OFFSET($M$15,0,0,$B$8,1))=FE$13), 1*(_xlfn._xlws.FILTER(OFFSET($O$15,0,$DO94,$B$8,1),OFFSET($M$15,0,0,$B$8,1))=FE$14))   /   SUM(OFFSET($BO$15,0,0,$B$14,1)) + $B$18/($B$19*$B$19*($DN94&lt;&gt;$DO94) + $B$19*($DN94=$DO94))</f>
        <v>3.7037037037037035E-4</v>
      </c>
      <c r="FF94" s="10" cm="1">
        <f t="array" aca="1" ref="FF94" ca="1">(1-$B$18)*SUMPRODUCT(OFFSET($BO$15,0,0,$B$14,1), 1*(_xlfn._xlws.FILTER(OFFSET($O$15,0,$DN94,$B$8,1),OFFSET($M$15,0,0,$B$8,1))=FF$13), 1*(_xlfn._xlws.FILTER(OFFSET($O$15,0,$DO94,$B$8,1),OFFSET($M$15,0,0,$B$8,1))=FF$14))   /   SUM(OFFSET($BO$15,0,0,$B$14,1)) + $B$18/($B$19*$B$19*($DN94&lt;&gt;$DO94) + $B$19*($DN94=$DO94))</f>
        <v>3.7037037037037035E-4</v>
      </c>
      <c r="FG94" s="10" cm="1">
        <f t="array" aca="1" ref="FG94" ca="1">(1-$B$18)*SUMPRODUCT(OFFSET($BO$15,0,0,$B$14,1), 1*(_xlfn._xlws.FILTER(OFFSET($O$15,0,$DN94,$B$8,1),OFFSET($M$15,0,0,$B$8,1))=FG$13), 1*(_xlfn._xlws.FILTER(OFFSET($O$15,0,$DO94,$B$8,1),OFFSET($M$15,0,0,$B$8,1))=FG$14))   /   SUM(OFFSET($BO$15,0,0,$B$14,1)) + $B$18/($B$19*$B$19*($DN94&lt;&gt;$DO94) + $B$19*($DN94=$DO94))</f>
        <v>3.7037037037037035E-4</v>
      </c>
      <c r="FH94" s="10" cm="1">
        <f t="array" aca="1" ref="FH94" ca="1">(1-$B$18)*SUMPRODUCT(OFFSET($BO$15,0,0,$B$14,1), 1*(_xlfn._xlws.FILTER(OFFSET($O$15,0,$DN94,$B$8,1),OFFSET($M$15,0,0,$B$8,1))=FH$13), 1*(_xlfn._xlws.FILTER(OFFSET($O$15,0,$DO94,$B$8,1),OFFSET($M$15,0,0,$B$8,1))=FH$14))   /   SUM(OFFSET($BO$15,0,0,$B$14,1)) + $B$18/($B$19*$B$19*($DN94&lt;&gt;$DO94) + $B$19*($DN94=$DO94))</f>
        <v>3.7037037037037035E-4</v>
      </c>
      <c r="FI94" s="10" cm="1">
        <f t="array" aca="1" ref="FI94" ca="1">(1-$B$18)*SUMPRODUCT(OFFSET($BO$15,0,0,$B$14,1), 1*(_xlfn._xlws.FILTER(OFFSET($O$15,0,$DN94,$B$8,1),OFFSET($M$15,0,0,$B$8,1))=FI$13), 1*(_xlfn._xlws.FILTER(OFFSET($O$15,0,$DO94,$B$8,1),OFFSET($M$15,0,0,$B$8,1))=FI$14))   /   SUM(OFFSET($BO$15,0,0,$B$14,1)) + $B$18/($B$19*$B$19*($DN94&lt;&gt;$DO94) + $B$19*($DN94=$DO94))</f>
        <v>3.7037037037037035E-4</v>
      </c>
      <c r="FJ94" s="10" cm="1">
        <f t="array" aca="1" ref="FJ94" ca="1">(1-$B$18)*SUMPRODUCT(OFFSET($BO$15,0,0,$B$14,1), 1*(_xlfn._xlws.FILTER(OFFSET($O$15,0,$DN94,$B$8,1),OFFSET($M$15,0,0,$B$8,1))=FJ$13), 1*(_xlfn._xlws.FILTER(OFFSET($O$15,0,$DO94,$B$8,1),OFFSET($M$15,0,0,$B$8,1))=FJ$14))   /   SUM(OFFSET($BO$15,0,0,$B$14,1)) + $B$18/($B$19*$B$19*($DN94&lt;&gt;$DO94) + $B$19*($DN94=$DO94))</f>
        <v>3.7037037037037035E-4</v>
      </c>
      <c r="FK94" s="10" cm="1">
        <f t="array" aca="1" ref="FK94" ca="1">(1-$B$18)*SUMPRODUCT(OFFSET($BO$15,0,0,$B$14,1), 1*(_xlfn._xlws.FILTER(OFFSET($O$15,0,$DN94,$B$8,1),OFFSET($M$15,0,0,$B$8,1))=FK$13), 1*(_xlfn._xlws.FILTER(OFFSET($O$15,0,$DO94,$B$8,1),OFFSET($M$15,0,0,$B$8,1))=FK$14))   /   SUM(OFFSET($BO$15,0,0,$B$14,1)) + $B$18/($B$19*$B$19*($DN94&lt;&gt;$DO94) + $B$19*($DN94=$DO94))</f>
        <v>3.7037037037037035E-4</v>
      </c>
      <c r="FL94" s="10" cm="1">
        <f t="array" aca="1" ref="FL94" ca="1">(1-$B$18)*SUMPRODUCT(OFFSET($BO$15,0,0,$B$14,1), 1*(_xlfn._xlws.FILTER(OFFSET($O$15,0,$DN94,$B$8,1),OFFSET($M$15,0,0,$B$8,1))=FL$13), 1*(_xlfn._xlws.FILTER(OFFSET($O$15,0,$DO94,$B$8,1),OFFSET($M$15,0,0,$B$8,1))=FL$14))   /   SUM(OFFSET($BO$15,0,0,$B$14,1)) + $B$18/($B$19*$B$19*($DN94&lt;&gt;$DO94) + $B$19*($DN94=$DO94))</f>
        <v>3.7037037037037035E-4</v>
      </c>
      <c r="FM94" s="10" cm="1">
        <f t="array" aca="1" ref="FM94" ca="1">(1-$B$18)*SUMPRODUCT(OFFSET($BO$15,0,0,$B$14,1), 1*(_xlfn._xlws.FILTER(OFFSET($O$15,0,$DN94,$B$8,1),OFFSET($M$15,0,0,$B$8,1))=FM$13), 1*(_xlfn._xlws.FILTER(OFFSET($O$15,0,$DO94,$B$8,1),OFFSET($M$15,0,0,$B$8,1))=FM$14))   /   SUM(OFFSET($BO$15,0,0,$B$14,1)) + $B$18/($B$19*$B$19*($DN94&lt;&gt;$DO94) + $B$19*($DN94=$DO94))</f>
        <v>3.7037037037037035E-4</v>
      </c>
      <c r="FN94" s="10" cm="1">
        <f t="array" aca="1" ref="FN94" ca="1">(1-$B$18)*SUMPRODUCT(OFFSET($BO$15,0,0,$B$14,1), 1*(_xlfn._xlws.FILTER(OFFSET($O$15,0,$DN94,$B$8,1),OFFSET($M$15,0,0,$B$8,1))=FN$13), 1*(_xlfn._xlws.FILTER(OFFSET($O$15,0,$DO94,$B$8,1),OFFSET($M$15,0,0,$B$8,1))=FN$14))   /   SUM(OFFSET($BO$15,0,0,$B$14,1)) + $B$18/($B$19*$B$19*($DN94&lt;&gt;$DO94) + $B$19*($DN94=$DO94))</f>
        <v>3.7037037037037035E-4</v>
      </c>
      <c r="FO94" s="10" cm="1">
        <f t="array" aca="1" ref="FO94" ca="1">(1-$B$18)*SUMPRODUCT(OFFSET($BO$15,0,0,$B$14,1), 1*(_xlfn._xlws.FILTER(OFFSET($O$15,0,$DN94,$B$8,1),OFFSET($M$15,0,0,$B$8,1))=FO$13), 1*(_xlfn._xlws.FILTER(OFFSET($O$15,0,$DO94,$B$8,1),OFFSET($M$15,0,0,$B$8,1))=FO$14))   /   SUM(OFFSET($BO$15,0,0,$B$14,1)) + $B$18/($B$19*$B$19*($DN94&lt;&gt;$DO94) + $B$19*($DN94=$DO94))</f>
        <v>3.7037037037037035E-4</v>
      </c>
      <c r="FP94" s="10" cm="1">
        <f t="array" aca="1" ref="FP94" ca="1">(1-$B$18)*SUMPRODUCT(OFFSET($BO$15,0,0,$B$14,1), 1*(_xlfn._xlws.FILTER(OFFSET($O$15,0,$DN94,$B$8,1),OFFSET($M$15,0,0,$B$8,1))=FP$13), 1*(_xlfn._xlws.FILTER(OFFSET($O$15,0,$DO94,$B$8,1),OFFSET($M$15,0,0,$B$8,1))=FP$14))   /   SUM(OFFSET($BO$15,0,0,$B$14,1)) + $B$18/($B$19*$B$19*($DN94&lt;&gt;$DO94) + $B$19*($DN94=$DO94))</f>
        <v>3.7037037037037035E-4</v>
      </c>
      <c r="FQ94" s="10" cm="1">
        <f t="array" aca="1" ref="FQ94" ca="1">(1-$B$18)*SUMPRODUCT(OFFSET($BO$15,0,0,$B$14,1), 1*(_xlfn._xlws.FILTER(OFFSET($O$15,0,$DN94,$B$8,1),OFFSET($M$15,0,0,$B$8,1))=FQ$13), 1*(_xlfn._xlws.FILTER(OFFSET($O$15,0,$DO94,$B$8,1),OFFSET($M$15,0,0,$B$8,1))=FQ$14))   /   SUM(OFFSET($BO$15,0,0,$B$14,1)) + $B$18/($B$19*$B$19*($DN94&lt;&gt;$DO94) + $B$19*($DN94=$DO94))</f>
        <v>3.7037037037037035E-4</v>
      </c>
      <c r="FR94" s="10" cm="1">
        <f t="array" aca="1" ref="FR94" ca="1">(1-$B$18)*SUMPRODUCT(OFFSET($BO$15,0,0,$B$14,1), 1*(_xlfn._xlws.FILTER(OFFSET($O$15,0,$DN94,$B$8,1),OFFSET($M$15,0,0,$B$8,1))=FR$13), 1*(_xlfn._xlws.FILTER(OFFSET($O$15,0,$DO94,$B$8,1),OFFSET($M$15,0,0,$B$8,1))=FR$14))   /   SUM(OFFSET($BO$15,0,0,$B$14,1)) + $B$18/($B$19*$B$19*($DN94&lt;&gt;$DO94) + $B$19*($DN94=$DO94))</f>
        <v>0.97037037037037033</v>
      </c>
      <c r="FS94" s="10" cm="1">
        <f t="array" aca="1" ref="FS94" ca="1">(1-$B$18)*SUMPRODUCT(OFFSET($BO$15,0,0,$B$14,1), 1*(_xlfn._xlws.FILTER(OFFSET($O$15,0,$DN94,$B$8,1),OFFSET($M$15,0,0,$B$8,1))=FS$13), 1*(_xlfn._xlws.FILTER(OFFSET($O$15,0,$DO94,$B$8,1),OFFSET($M$15,0,0,$B$8,1))=FS$14))   /   SUM(OFFSET($BO$15,0,0,$B$14,1)) + $B$18/($B$19*$B$19*($DN94&lt;&gt;$DO94) + $B$19*($DN94=$DO94))</f>
        <v>3.7037037037037035E-4</v>
      </c>
      <c r="FT94" s="10" cm="1">
        <f t="array" aca="1" ref="FT94" ca="1">(1-$B$18)*SUMPRODUCT(OFFSET($BO$15,0,0,$B$14,1), 1*(_xlfn._xlws.FILTER(OFFSET($O$15,0,$DN94,$B$8,1),OFFSET($M$15,0,0,$B$8,1))=FT$13), 1*(_xlfn._xlws.FILTER(OFFSET($O$15,0,$DO94,$B$8,1),OFFSET($M$15,0,0,$B$8,1))=FT$14))   /   SUM(OFFSET($BO$15,0,0,$B$14,1)) + $B$18/($B$19*$B$19*($DN94&lt;&gt;$DO94) + $B$19*($DN94=$DO94))</f>
        <v>3.7037037037037035E-4</v>
      </c>
      <c r="FU94" s="10" cm="1">
        <f t="array" aca="1" ref="FU94" ca="1">(1-$B$18)*SUMPRODUCT(OFFSET($BO$15,0,0,$B$14,1), 1*(_xlfn._xlws.FILTER(OFFSET($O$15,0,$DN94,$B$8,1),OFFSET($M$15,0,0,$B$8,1))=FU$13), 1*(_xlfn._xlws.FILTER(OFFSET($O$15,0,$DO94,$B$8,1),OFFSET($M$15,0,0,$B$8,1))=FU$14))   /   SUM(OFFSET($BO$15,0,0,$B$14,1)) + $B$18/($B$19*$B$19*($DN94&lt;&gt;$DO94) + $B$19*($DN94=$DO94))</f>
        <v>3.7037037037037035E-4</v>
      </c>
      <c r="FV94" s="10" cm="1">
        <f t="array" aca="1" ref="FV94" ca="1">(1-$B$18)*SUMPRODUCT(OFFSET($BO$15,0,0,$B$14,1), 1*(_xlfn._xlws.FILTER(OFFSET($O$15,0,$DN94,$B$8,1),OFFSET($M$15,0,0,$B$8,1))=FV$13), 1*(_xlfn._xlws.FILTER(OFFSET($O$15,0,$DO94,$B$8,1),OFFSET($M$15,0,0,$B$8,1))=FV$14))   /   SUM(OFFSET($BO$15,0,0,$B$14,1)) + $B$18/($B$19*$B$19*($DN94&lt;&gt;$DO94) + $B$19*($DN94=$DO94))</f>
        <v>3.7037037037037035E-4</v>
      </c>
      <c r="FW94" s="10" cm="1">
        <f t="array" aca="1" ref="FW94" ca="1">(1-$B$18)*SUMPRODUCT(OFFSET($BO$15,0,0,$B$14,1), 1*(_xlfn._xlws.FILTER(OFFSET($O$15,0,$DN94,$B$8,1),OFFSET($M$15,0,0,$B$8,1))=FW$13), 1*(_xlfn._xlws.FILTER(OFFSET($O$15,0,$DO94,$B$8,1),OFFSET($M$15,0,0,$B$8,1))=FW$14))   /   SUM(OFFSET($BO$15,0,0,$B$14,1)) + $B$18/($B$19*$B$19*($DN94&lt;&gt;$DO94) + $B$19*($DN94=$DO94))</f>
        <v>3.7037037037037035E-4</v>
      </c>
      <c r="FX94" s="10" cm="1">
        <f t="array" aca="1" ref="FX94" ca="1">(1-$B$18)*SUMPRODUCT(OFFSET($BO$15,0,0,$B$14,1), 1*(_xlfn._xlws.FILTER(OFFSET($O$15,0,$DN94,$B$8,1),OFFSET($M$15,0,0,$B$8,1))=FX$13), 1*(_xlfn._xlws.FILTER(OFFSET($O$15,0,$DO94,$B$8,1),OFFSET($M$15,0,0,$B$8,1))=FX$14))   /   SUM(OFFSET($BO$15,0,0,$B$14,1)) + $B$18/($B$19*$B$19*($DN94&lt;&gt;$DO94) + $B$19*($DN94=$DO94))</f>
        <v>3.7037037037037035E-4</v>
      </c>
      <c r="FY94" s="10" cm="1">
        <f t="array" aca="1" ref="FY94" ca="1">(1-$B$18)*SUMPRODUCT(OFFSET($BO$15,0,0,$B$14,1), 1*(_xlfn._xlws.FILTER(OFFSET($O$15,0,$DN94,$B$8,1),OFFSET($M$15,0,0,$B$8,1))=FY$13), 1*(_xlfn._xlws.FILTER(OFFSET($O$15,0,$DO94,$B$8,1),OFFSET($M$15,0,0,$B$8,1))=FY$14))   /   SUM(OFFSET($BO$15,0,0,$B$14,1)) + $B$18/($B$19*$B$19*($DN94&lt;&gt;$DO94) + $B$19*($DN94=$DO94))</f>
        <v>3.7037037037037035E-4</v>
      </c>
      <c r="FZ94" s="10" cm="1">
        <f t="array" aca="1" ref="FZ94" ca="1">(1-$B$18)*SUMPRODUCT(OFFSET($BO$15,0,0,$B$14,1), 1*(_xlfn._xlws.FILTER(OFFSET($O$15,0,$DN94,$B$8,1),OFFSET($M$15,0,0,$B$8,1))=FZ$13), 1*(_xlfn._xlws.FILTER(OFFSET($O$15,0,$DO94,$B$8,1),OFFSET($M$15,0,0,$B$8,1))=FZ$14))   /   SUM(OFFSET($BO$15,0,0,$B$14,1)) + $B$18/($B$19*$B$19*($DN94&lt;&gt;$DO94) + $B$19*($DN94=$DO94))</f>
        <v>3.7037037037037035E-4</v>
      </c>
      <c r="GA94" s="10" cm="1">
        <f t="array" aca="1" ref="GA94" ca="1">(1-$B$18)*SUMPRODUCT(OFFSET($BO$15,0,0,$B$14,1), 1*(_xlfn._xlws.FILTER(OFFSET($O$15,0,$DN94,$B$8,1),OFFSET($M$15,0,0,$B$8,1))=GA$13), 1*(_xlfn._xlws.FILTER(OFFSET($O$15,0,$DO94,$B$8,1),OFFSET($M$15,0,0,$B$8,1))=GA$14))   /   SUM(OFFSET($BO$15,0,0,$B$14,1)) + $B$18/($B$19*$B$19*($DN94&lt;&gt;$DO94) + $B$19*($DN94=$DO94))</f>
        <v>3.7037037037037035E-4</v>
      </c>
    </row>
    <row r="95" spans="7:183" x14ac:dyDescent="0.2">
      <c r="H95" s="2"/>
      <c r="DN95" cm="1">
        <f t="array" aca="1" ref="DN95" ca="1">INDEX(_xlfn.ANCHORARRAY($CP$15), 1 + INT((ROWS($DO$15:$DO95) - 1) / ROWS(_xlfn.ANCHORARRAY($CP$15))))</f>
        <v>4</v>
      </c>
      <c r="DO95" cm="1">
        <f t="array" aca="1" ref="DO95" ca="1">INDEX(_xlfn.ANCHORARRAY($CP$15),1+MOD(ROWS($DO$15:$DO95)-1,ROWS(_xlfn.ANCHORARRAY($CP$15))))</f>
        <v>4</v>
      </c>
      <c r="DP95" s="10" cm="1">
        <f t="array" aca="1" ref="DP95" ca="1">(1-$B$18)*SUMPRODUCT(OFFSET($BO$15,0,0,$B$14,1), 1*(_xlfn._xlws.FILTER(OFFSET($O$15,0,$DN95,$B$8,1),OFFSET($M$15,0,0,$B$8,1))=DP$13), 1*(_xlfn._xlws.FILTER(OFFSET($O$15,0,$DO95,$B$8,1),OFFSET($M$15,0,0,$B$8,1))=DP$14))   /   SUM(OFFSET($BO$15,0,0,$B$14,1)) + $B$18/($B$19*$B$19*($DN95&lt;&gt;$DO95) + $B$19*($DN95=$DO95))</f>
        <v>3.3333333333333331E-3</v>
      </c>
      <c r="DQ95" s="10" cm="1">
        <f t="array" aca="1" ref="DQ95" ca="1">(1-$B$18)*SUMPRODUCT(OFFSET($BO$15,0,0,$B$14,1), 1*(_xlfn._xlws.FILTER(OFFSET($O$15,0,$DN95,$B$8,1),OFFSET($M$15,0,0,$B$8,1))=DQ$13), 1*(_xlfn._xlws.FILTER(OFFSET($O$15,0,$DO95,$B$8,1),OFFSET($M$15,0,0,$B$8,1))=DQ$14))   /   SUM(OFFSET($BO$15,0,0,$B$14,1)) + $B$18/($B$19*$B$19*($DN95&lt;&gt;$DO95) + $B$19*($DN95=$DO95))</f>
        <v>3.3333333333333331E-3</v>
      </c>
      <c r="DR95" s="10" cm="1">
        <f t="array" aca="1" ref="DR95" ca="1">(1-$B$18)*SUMPRODUCT(OFFSET($BO$15,0,0,$B$14,1), 1*(_xlfn._xlws.FILTER(OFFSET($O$15,0,$DN95,$B$8,1),OFFSET($M$15,0,0,$B$8,1))=DR$13), 1*(_xlfn._xlws.FILTER(OFFSET($O$15,0,$DO95,$B$8,1),OFFSET($M$15,0,0,$B$8,1))=DR$14))   /   SUM(OFFSET($BO$15,0,0,$B$14,1)) + $B$18/($B$19*$B$19*($DN95&lt;&gt;$DO95) + $B$19*($DN95=$DO95))</f>
        <v>3.3333333333333331E-3</v>
      </c>
      <c r="DS95" s="10" cm="1">
        <f t="array" aca="1" ref="DS95" ca="1">(1-$B$18)*SUMPRODUCT(OFFSET($BO$15,0,0,$B$14,1), 1*(_xlfn._xlws.FILTER(OFFSET($O$15,0,$DN95,$B$8,1),OFFSET($M$15,0,0,$B$8,1))=DS$13), 1*(_xlfn._xlws.FILTER(OFFSET($O$15,0,$DO95,$B$8,1),OFFSET($M$15,0,0,$B$8,1))=DS$14))   /   SUM(OFFSET($BO$15,0,0,$B$14,1)) + $B$18/($B$19*$B$19*($DN95&lt;&gt;$DO95) + $B$19*($DN95=$DO95))</f>
        <v>3.3333333333333331E-3</v>
      </c>
      <c r="DT95" s="10" cm="1">
        <f t="array" aca="1" ref="DT95" ca="1">(1-$B$18)*SUMPRODUCT(OFFSET($BO$15,0,0,$B$14,1), 1*(_xlfn._xlws.FILTER(OFFSET($O$15,0,$DN95,$B$8,1),OFFSET($M$15,0,0,$B$8,1))=DT$13), 1*(_xlfn._xlws.FILTER(OFFSET($O$15,0,$DO95,$B$8,1),OFFSET($M$15,0,0,$B$8,1))=DT$14))   /   SUM(OFFSET($BO$15,0,0,$B$14,1)) + $B$18/($B$19*$B$19*($DN95&lt;&gt;$DO95) + $B$19*($DN95=$DO95))</f>
        <v>3.3333333333333331E-3</v>
      </c>
      <c r="DU95" s="10" cm="1">
        <f t="array" aca="1" ref="DU95" ca="1">(1-$B$18)*SUMPRODUCT(OFFSET($BO$15,0,0,$B$14,1), 1*(_xlfn._xlws.FILTER(OFFSET($O$15,0,$DN95,$B$8,1),OFFSET($M$15,0,0,$B$8,1))=DU$13), 1*(_xlfn._xlws.FILTER(OFFSET($O$15,0,$DO95,$B$8,1),OFFSET($M$15,0,0,$B$8,1))=DU$14))   /   SUM(OFFSET($BO$15,0,0,$B$14,1)) + $B$18/($B$19*$B$19*($DN95&lt;&gt;$DO95) + $B$19*($DN95=$DO95))</f>
        <v>3.3333333333333331E-3</v>
      </c>
      <c r="DV95" s="10" cm="1">
        <f t="array" aca="1" ref="DV95" ca="1">(1-$B$18)*SUMPRODUCT(OFFSET($BO$15,0,0,$B$14,1), 1*(_xlfn._xlws.FILTER(OFFSET($O$15,0,$DN95,$B$8,1),OFFSET($M$15,0,0,$B$8,1))=DV$13), 1*(_xlfn._xlws.FILTER(OFFSET($O$15,0,$DO95,$B$8,1),OFFSET($M$15,0,0,$B$8,1))=DV$14))   /   SUM(OFFSET($BO$15,0,0,$B$14,1)) + $B$18/($B$19*$B$19*($DN95&lt;&gt;$DO95) + $B$19*($DN95=$DO95))</f>
        <v>3.3333333333333331E-3</v>
      </c>
      <c r="DW95" s="10" cm="1">
        <f t="array" aca="1" ref="DW95" ca="1">(1-$B$18)*SUMPRODUCT(OFFSET($BO$15,0,0,$B$14,1), 1*(_xlfn._xlws.FILTER(OFFSET($O$15,0,$DN95,$B$8,1),OFFSET($M$15,0,0,$B$8,1))=DW$13), 1*(_xlfn._xlws.FILTER(OFFSET($O$15,0,$DO95,$B$8,1),OFFSET($M$15,0,0,$B$8,1))=DW$14))   /   SUM(OFFSET($BO$15,0,0,$B$14,1)) + $B$18/($B$19*$B$19*($DN95&lt;&gt;$DO95) + $B$19*($DN95=$DO95))</f>
        <v>3.3333333333333331E-3</v>
      </c>
      <c r="DX95" s="10" cm="1">
        <f t="array" aca="1" ref="DX95" ca="1">(1-$B$18)*SUMPRODUCT(OFFSET($BO$15,0,0,$B$14,1), 1*(_xlfn._xlws.FILTER(OFFSET($O$15,0,$DN95,$B$8,1),OFFSET($M$15,0,0,$B$8,1))=DX$13), 1*(_xlfn._xlws.FILTER(OFFSET($O$15,0,$DO95,$B$8,1),OFFSET($M$15,0,0,$B$8,1))=DX$14))   /   SUM(OFFSET($BO$15,0,0,$B$14,1)) + $B$18/($B$19*$B$19*($DN95&lt;&gt;$DO95) + $B$19*($DN95=$DO95))</f>
        <v>3.3333333333333331E-3</v>
      </c>
      <c r="DY95" s="10" cm="1">
        <f t="array" aca="1" ref="DY95" ca="1">(1-$B$18)*SUMPRODUCT(OFFSET($BO$15,0,0,$B$14,1), 1*(_xlfn._xlws.FILTER(OFFSET($O$15,0,$DN95,$B$8,1),OFFSET($M$15,0,0,$B$8,1))=DY$13), 1*(_xlfn._xlws.FILTER(OFFSET($O$15,0,$DO95,$B$8,1),OFFSET($M$15,0,0,$B$8,1))=DY$14))   /   SUM(OFFSET($BO$15,0,0,$B$14,1)) + $B$18/($B$19*$B$19*($DN95&lt;&gt;$DO95) + $B$19*($DN95=$DO95))</f>
        <v>3.3333333333333331E-3</v>
      </c>
      <c r="DZ95" s="10" cm="1">
        <f t="array" aca="1" ref="DZ95" ca="1">(1-$B$18)*SUMPRODUCT(OFFSET($BO$15,0,0,$B$14,1), 1*(_xlfn._xlws.FILTER(OFFSET($O$15,0,$DN95,$B$8,1),OFFSET($M$15,0,0,$B$8,1))=DZ$13), 1*(_xlfn._xlws.FILTER(OFFSET($O$15,0,$DO95,$B$8,1),OFFSET($M$15,0,0,$B$8,1))=DZ$14))   /   SUM(OFFSET($BO$15,0,0,$B$14,1)) + $B$18/($B$19*$B$19*($DN95&lt;&gt;$DO95) + $B$19*($DN95=$DO95))</f>
        <v>3.3333333333333331E-3</v>
      </c>
      <c r="EA95" s="10" cm="1">
        <f t="array" aca="1" ref="EA95" ca="1">(1-$B$18)*SUMPRODUCT(OFFSET($BO$15,0,0,$B$14,1), 1*(_xlfn._xlws.FILTER(OFFSET($O$15,0,$DN95,$B$8,1),OFFSET($M$15,0,0,$B$8,1))=EA$13), 1*(_xlfn._xlws.FILTER(OFFSET($O$15,0,$DO95,$B$8,1),OFFSET($M$15,0,0,$B$8,1))=EA$14))   /   SUM(OFFSET($BO$15,0,0,$B$14,1)) + $B$18/($B$19*$B$19*($DN95&lt;&gt;$DO95) + $B$19*($DN95=$DO95))</f>
        <v>3.3333333333333331E-3</v>
      </c>
      <c r="EB95" s="10" cm="1">
        <f t="array" aca="1" ref="EB95" ca="1">(1-$B$18)*SUMPRODUCT(OFFSET($BO$15,0,0,$B$14,1), 1*(_xlfn._xlws.FILTER(OFFSET($O$15,0,$DN95,$B$8,1),OFFSET($M$15,0,0,$B$8,1))=EB$13), 1*(_xlfn._xlws.FILTER(OFFSET($O$15,0,$DO95,$B$8,1),OFFSET($M$15,0,0,$B$8,1))=EB$14))   /   SUM(OFFSET($BO$15,0,0,$B$14,1)) + $B$18/($B$19*$B$19*($DN95&lt;&gt;$DO95) + $B$19*($DN95=$DO95))</f>
        <v>3.3333333333333331E-3</v>
      </c>
      <c r="EC95" s="10" cm="1">
        <f t="array" aca="1" ref="EC95" ca="1">(1-$B$18)*SUMPRODUCT(OFFSET($BO$15,0,0,$B$14,1), 1*(_xlfn._xlws.FILTER(OFFSET($O$15,0,$DN95,$B$8,1),OFFSET($M$15,0,0,$B$8,1))=EC$13), 1*(_xlfn._xlws.FILTER(OFFSET($O$15,0,$DO95,$B$8,1),OFFSET($M$15,0,0,$B$8,1))=EC$14))   /   SUM(OFFSET($BO$15,0,0,$B$14,1)) + $B$18/($B$19*$B$19*($DN95&lt;&gt;$DO95) + $B$19*($DN95=$DO95))</f>
        <v>3.3333333333333331E-3</v>
      </c>
      <c r="ED95" s="10" cm="1">
        <f t="array" aca="1" ref="ED95" ca="1">(1-$B$18)*SUMPRODUCT(OFFSET($BO$15,0,0,$B$14,1), 1*(_xlfn._xlws.FILTER(OFFSET($O$15,0,$DN95,$B$8,1),OFFSET($M$15,0,0,$B$8,1))=ED$13), 1*(_xlfn._xlws.FILTER(OFFSET($O$15,0,$DO95,$B$8,1),OFFSET($M$15,0,0,$B$8,1))=ED$14))   /   SUM(OFFSET($BO$15,0,0,$B$14,1)) + $B$18/($B$19*$B$19*($DN95&lt;&gt;$DO95) + $B$19*($DN95=$DO95))</f>
        <v>3.3333333333333331E-3</v>
      </c>
      <c r="EE95" s="10" cm="1">
        <f t="array" aca="1" ref="EE95" ca="1">(1-$B$18)*SUMPRODUCT(OFFSET($BO$15,0,0,$B$14,1), 1*(_xlfn._xlws.FILTER(OFFSET($O$15,0,$DN95,$B$8,1),OFFSET($M$15,0,0,$B$8,1))=EE$13), 1*(_xlfn._xlws.FILTER(OFFSET($O$15,0,$DO95,$B$8,1),OFFSET($M$15,0,0,$B$8,1))=EE$14))   /   SUM(OFFSET($BO$15,0,0,$B$14,1)) + $B$18/($B$19*$B$19*($DN95&lt;&gt;$DO95) + $B$19*($DN95=$DO95))</f>
        <v>3.3333333333333331E-3</v>
      </c>
      <c r="EF95" s="10" cm="1">
        <f t="array" aca="1" ref="EF95" ca="1">(1-$B$18)*SUMPRODUCT(OFFSET($BO$15,0,0,$B$14,1), 1*(_xlfn._xlws.FILTER(OFFSET($O$15,0,$DN95,$B$8,1),OFFSET($M$15,0,0,$B$8,1))=EF$13), 1*(_xlfn._xlws.FILTER(OFFSET($O$15,0,$DO95,$B$8,1),OFFSET($M$15,0,0,$B$8,1))=EF$14))   /   SUM(OFFSET($BO$15,0,0,$B$14,1)) + $B$18/($B$19*$B$19*($DN95&lt;&gt;$DO95) + $B$19*($DN95=$DO95))</f>
        <v>3.3333333333333331E-3</v>
      </c>
      <c r="EG95" s="10" cm="1">
        <f t="array" aca="1" ref="EG95" ca="1">(1-$B$18)*SUMPRODUCT(OFFSET($BO$15,0,0,$B$14,1), 1*(_xlfn._xlws.FILTER(OFFSET($O$15,0,$DN95,$B$8,1),OFFSET($M$15,0,0,$B$8,1))=EG$13), 1*(_xlfn._xlws.FILTER(OFFSET($O$15,0,$DO95,$B$8,1),OFFSET($M$15,0,0,$B$8,1))=EG$14))   /   SUM(OFFSET($BO$15,0,0,$B$14,1)) + $B$18/($B$19*$B$19*($DN95&lt;&gt;$DO95) + $B$19*($DN95=$DO95))</f>
        <v>3.3333333333333331E-3</v>
      </c>
      <c r="EH95" s="10" cm="1">
        <f t="array" aca="1" ref="EH95" ca="1">(1-$B$18)*SUMPRODUCT(OFFSET($BO$15,0,0,$B$14,1), 1*(_xlfn._xlws.FILTER(OFFSET($O$15,0,$DN95,$B$8,1),OFFSET($M$15,0,0,$B$8,1))=EH$13), 1*(_xlfn._xlws.FILTER(OFFSET($O$15,0,$DO95,$B$8,1),OFFSET($M$15,0,0,$B$8,1))=EH$14))   /   SUM(OFFSET($BO$15,0,0,$B$14,1)) + $B$18/($B$19*$B$19*($DN95&lt;&gt;$DO95) + $B$19*($DN95=$DO95))</f>
        <v>3.3333333333333331E-3</v>
      </c>
      <c r="EI95" s="10" cm="1">
        <f t="array" aca="1" ref="EI95" ca="1">(1-$B$18)*SUMPRODUCT(OFFSET($BO$15,0,0,$B$14,1), 1*(_xlfn._xlws.FILTER(OFFSET($O$15,0,$DN95,$B$8,1),OFFSET($M$15,0,0,$B$8,1))=EI$13), 1*(_xlfn._xlws.FILTER(OFFSET($O$15,0,$DO95,$B$8,1),OFFSET($M$15,0,0,$B$8,1))=EI$14))   /   SUM(OFFSET($BO$15,0,0,$B$14,1)) + $B$18/($B$19*$B$19*($DN95&lt;&gt;$DO95) + $B$19*($DN95=$DO95))</f>
        <v>3.3333333333333331E-3</v>
      </c>
      <c r="EJ95" s="10" cm="1">
        <f t="array" aca="1" ref="EJ95" ca="1">(1-$B$18)*SUMPRODUCT(OFFSET($BO$15,0,0,$B$14,1), 1*(_xlfn._xlws.FILTER(OFFSET($O$15,0,$DN95,$B$8,1),OFFSET($M$15,0,0,$B$8,1))=EJ$13), 1*(_xlfn._xlws.FILTER(OFFSET($O$15,0,$DO95,$B$8,1),OFFSET($M$15,0,0,$B$8,1))=EJ$14))   /   SUM(OFFSET($BO$15,0,0,$B$14,1)) + $B$18/($B$19*$B$19*($DN95&lt;&gt;$DO95) + $B$19*($DN95=$DO95))</f>
        <v>3.3333333333333331E-3</v>
      </c>
      <c r="EK95" s="10" cm="1">
        <f t="array" aca="1" ref="EK95" ca="1">(1-$B$18)*SUMPRODUCT(OFFSET($BO$15,0,0,$B$14,1), 1*(_xlfn._xlws.FILTER(OFFSET($O$15,0,$DN95,$B$8,1),OFFSET($M$15,0,0,$B$8,1))=EK$13), 1*(_xlfn._xlws.FILTER(OFFSET($O$15,0,$DO95,$B$8,1),OFFSET($M$15,0,0,$B$8,1))=EK$14))   /   SUM(OFFSET($BO$15,0,0,$B$14,1)) + $B$18/($B$19*$B$19*($DN95&lt;&gt;$DO95) + $B$19*($DN95=$DO95))</f>
        <v>3.3333333333333331E-3</v>
      </c>
      <c r="EL95" s="10" cm="1">
        <f t="array" aca="1" ref="EL95" ca="1">(1-$B$18)*SUMPRODUCT(OFFSET($BO$15,0,0,$B$14,1), 1*(_xlfn._xlws.FILTER(OFFSET($O$15,0,$DN95,$B$8,1),OFFSET($M$15,0,0,$B$8,1))=EL$13), 1*(_xlfn._xlws.FILTER(OFFSET($O$15,0,$DO95,$B$8,1),OFFSET($M$15,0,0,$B$8,1))=EL$14))   /   SUM(OFFSET($BO$15,0,0,$B$14,1)) + $B$18/($B$19*$B$19*($DN95&lt;&gt;$DO95) + $B$19*($DN95=$DO95))</f>
        <v>3.3333333333333331E-3</v>
      </c>
      <c r="EM95" s="10" cm="1">
        <f t="array" aca="1" ref="EM95" ca="1">(1-$B$18)*SUMPRODUCT(OFFSET($BO$15,0,0,$B$14,1), 1*(_xlfn._xlws.FILTER(OFFSET($O$15,0,$DN95,$B$8,1),OFFSET($M$15,0,0,$B$8,1))=EM$13), 1*(_xlfn._xlws.FILTER(OFFSET($O$15,0,$DO95,$B$8,1),OFFSET($M$15,0,0,$B$8,1))=EM$14))   /   SUM(OFFSET($BO$15,0,0,$B$14,1)) + $B$18/($B$19*$B$19*($DN95&lt;&gt;$DO95) + $B$19*($DN95=$DO95))</f>
        <v>3.3333333333333331E-3</v>
      </c>
      <c r="EN95" s="10" cm="1">
        <f t="array" aca="1" ref="EN95" ca="1">(1-$B$18)*SUMPRODUCT(OFFSET($BO$15,0,0,$B$14,1), 1*(_xlfn._xlws.FILTER(OFFSET($O$15,0,$DN95,$B$8,1),OFFSET($M$15,0,0,$B$8,1))=EN$13), 1*(_xlfn._xlws.FILTER(OFFSET($O$15,0,$DO95,$B$8,1),OFFSET($M$15,0,0,$B$8,1))=EN$14))   /   SUM(OFFSET($BO$15,0,0,$B$14,1)) + $B$18/($B$19*$B$19*($DN95&lt;&gt;$DO95) + $B$19*($DN95=$DO95))</f>
        <v>3.3333333333333331E-3</v>
      </c>
      <c r="EO95" s="10" cm="1">
        <f t="array" aca="1" ref="EO95" ca="1">(1-$B$18)*SUMPRODUCT(OFFSET($BO$15,0,0,$B$14,1), 1*(_xlfn._xlws.FILTER(OFFSET($O$15,0,$DN95,$B$8,1),OFFSET($M$15,0,0,$B$8,1))=EO$13), 1*(_xlfn._xlws.FILTER(OFFSET($O$15,0,$DO95,$B$8,1),OFFSET($M$15,0,0,$B$8,1))=EO$14))   /   SUM(OFFSET($BO$15,0,0,$B$14,1)) + $B$18/($B$19*$B$19*($DN95&lt;&gt;$DO95) + $B$19*($DN95=$DO95))</f>
        <v>3.3333333333333331E-3</v>
      </c>
      <c r="EP95" s="10" cm="1">
        <f t="array" aca="1" ref="EP95" ca="1">(1-$B$18)*SUMPRODUCT(OFFSET($BO$15,0,0,$B$14,1), 1*(_xlfn._xlws.FILTER(OFFSET($O$15,0,$DN95,$B$8,1),OFFSET($M$15,0,0,$B$8,1))=EP$13), 1*(_xlfn._xlws.FILTER(OFFSET($O$15,0,$DO95,$B$8,1),OFFSET($M$15,0,0,$B$8,1))=EP$14))   /   SUM(OFFSET($BO$15,0,0,$B$14,1)) + $B$18/($B$19*$B$19*($DN95&lt;&gt;$DO95) + $B$19*($DN95=$DO95))</f>
        <v>3.3333333333333331E-3</v>
      </c>
      <c r="EQ95" s="10" cm="1">
        <f t="array" aca="1" ref="EQ95" ca="1">(1-$B$18)*SUMPRODUCT(OFFSET($BO$15,0,0,$B$14,1), 1*(_xlfn._xlws.FILTER(OFFSET($O$15,0,$DN95,$B$8,1),OFFSET($M$15,0,0,$B$8,1))=EQ$13), 1*(_xlfn._xlws.FILTER(OFFSET($O$15,0,$DO95,$B$8,1),OFFSET($M$15,0,0,$B$8,1))=EQ$14))   /   SUM(OFFSET($BO$15,0,0,$B$14,1)) + $B$18/($B$19*$B$19*($DN95&lt;&gt;$DO95) + $B$19*($DN95=$DO95))</f>
        <v>3.3333333333333331E-3</v>
      </c>
      <c r="ER95" s="10" cm="1">
        <f t="array" aca="1" ref="ER95" ca="1">(1-$B$18)*SUMPRODUCT(OFFSET($BO$15,0,0,$B$14,1), 1*(_xlfn._xlws.FILTER(OFFSET($O$15,0,$DN95,$B$8,1),OFFSET($M$15,0,0,$B$8,1))=ER$13), 1*(_xlfn._xlws.FILTER(OFFSET($O$15,0,$DO95,$B$8,1),OFFSET($M$15,0,0,$B$8,1))=ER$14))   /   SUM(OFFSET($BO$15,0,0,$B$14,1)) + $B$18/($B$19*$B$19*($DN95&lt;&gt;$DO95) + $B$19*($DN95=$DO95))</f>
        <v>3.3333333333333331E-3</v>
      </c>
      <c r="ES95" s="10" cm="1">
        <f t="array" aca="1" ref="ES95" ca="1">(1-$B$18)*SUMPRODUCT(OFFSET($BO$15,0,0,$B$14,1), 1*(_xlfn._xlws.FILTER(OFFSET($O$15,0,$DN95,$B$8,1),OFFSET($M$15,0,0,$B$8,1))=ES$13), 1*(_xlfn._xlws.FILTER(OFFSET($O$15,0,$DO95,$B$8,1),OFFSET($M$15,0,0,$B$8,1))=ES$14))   /   SUM(OFFSET($BO$15,0,0,$B$14,1)) + $B$18/($B$19*$B$19*($DN95&lt;&gt;$DO95) + $B$19*($DN95=$DO95))</f>
        <v>3.3333333333333331E-3</v>
      </c>
      <c r="ET95" s="10" cm="1">
        <f t="array" aca="1" ref="ET95" ca="1">(1-$B$18)*SUMPRODUCT(OFFSET($BO$15,0,0,$B$14,1), 1*(_xlfn._xlws.FILTER(OFFSET($O$15,0,$DN95,$B$8,1),OFFSET($M$15,0,0,$B$8,1))=ET$13), 1*(_xlfn._xlws.FILTER(OFFSET($O$15,0,$DO95,$B$8,1),OFFSET($M$15,0,0,$B$8,1))=ET$14))   /   SUM(OFFSET($BO$15,0,0,$B$14,1)) + $B$18/($B$19*$B$19*($DN95&lt;&gt;$DO95) + $B$19*($DN95=$DO95))</f>
        <v>3.3333333333333331E-3</v>
      </c>
      <c r="EU95" s="10" cm="1">
        <f t="array" aca="1" ref="EU95" ca="1">(1-$B$18)*SUMPRODUCT(OFFSET($BO$15,0,0,$B$14,1), 1*(_xlfn._xlws.FILTER(OFFSET($O$15,0,$DN95,$B$8,1),OFFSET($M$15,0,0,$B$8,1))=EU$13), 1*(_xlfn._xlws.FILTER(OFFSET($O$15,0,$DO95,$B$8,1),OFFSET($M$15,0,0,$B$8,1))=EU$14))   /   SUM(OFFSET($BO$15,0,0,$B$14,1)) + $B$18/($B$19*$B$19*($DN95&lt;&gt;$DO95) + $B$19*($DN95=$DO95))</f>
        <v>3.3333333333333331E-3</v>
      </c>
      <c r="EV95" s="10" cm="1">
        <f t="array" aca="1" ref="EV95" ca="1">(1-$B$18)*SUMPRODUCT(OFFSET($BO$15,0,0,$B$14,1), 1*(_xlfn._xlws.FILTER(OFFSET($O$15,0,$DN95,$B$8,1),OFFSET($M$15,0,0,$B$8,1))=EV$13), 1*(_xlfn._xlws.FILTER(OFFSET($O$15,0,$DO95,$B$8,1),OFFSET($M$15,0,0,$B$8,1))=EV$14))   /   SUM(OFFSET($BO$15,0,0,$B$14,1)) + $B$18/($B$19*$B$19*($DN95&lt;&gt;$DO95) + $B$19*($DN95=$DO95))</f>
        <v>3.3333333333333331E-3</v>
      </c>
      <c r="EW95" s="10" cm="1">
        <f t="array" aca="1" ref="EW95" ca="1">(1-$B$18)*SUMPRODUCT(OFFSET($BO$15,0,0,$B$14,1), 1*(_xlfn._xlws.FILTER(OFFSET($O$15,0,$DN95,$B$8,1),OFFSET($M$15,0,0,$B$8,1))=EW$13), 1*(_xlfn._xlws.FILTER(OFFSET($O$15,0,$DO95,$B$8,1),OFFSET($M$15,0,0,$B$8,1))=EW$14))   /   SUM(OFFSET($BO$15,0,0,$B$14,1)) + $B$18/($B$19*$B$19*($DN95&lt;&gt;$DO95) + $B$19*($DN95=$DO95))</f>
        <v>3.3333333333333331E-3</v>
      </c>
      <c r="EX95" s="10" cm="1">
        <f t="array" aca="1" ref="EX95" ca="1">(1-$B$18)*SUMPRODUCT(OFFSET($BO$15,0,0,$B$14,1), 1*(_xlfn._xlws.FILTER(OFFSET($O$15,0,$DN95,$B$8,1),OFFSET($M$15,0,0,$B$8,1))=EX$13), 1*(_xlfn._xlws.FILTER(OFFSET($O$15,0,$DO95,$B$8,1),OFFSET($M$15,0,0,$B$8,1))=EX$14))   /   SUM(OFFSET($BO$15,0,0,$B$14,1)) + $B$18/($B$19*$B$19*($DN95&lt;&gt;$DO95) + $B$19*($DN95=$DO95))</f>
        <v>3.3333333333333331E-3</v>
      </c>
      <c r="EY95" s="10" cm="1">
        <f t="array" aca="1" ref="EY95" ca="1">(1-$B$18)*SUMPRODUCT(OFFSET($BO$15,0,0,$B$14,1), 1*(_xlfn._xlws.FILTER(OFFSET($O$15,0,$DN95,$B$8,1),OFFSET($M$15,0,0,$B$8,1))=EY$13), 1*(_xlfn._xlws.FILTER(OFFSET($O$15,0,$DO95,$B$8,1),OFFSET($M$15,0,0,$B$8,1))=EY$14))   /   SUM(OFFSET($BO$15,0,0,$B$14,1)) + $B$18/($B$19*$B$19*($DN95&lt;&gt;$DO95) + $B$19*($DN95=$DO95))</f>
        <v>3.3333333333333331E-3</v>
      </c>
      <c r="EZ95" s="10" cm="1">
        <f t="array" aca="1" ref="EZ95" ca="1">(1-$B$18)*SUMPRODUCT(OFFSET($BO$15,0,0,$B$14,1), 1*(_xlfn._xlws.FILTER(OFFSET($O$15,0,$DN95,$B$8,1),OFFSET($M$15,0,0,$B$8,1))=EZ$13), 1*(_xlfn._xlws.FILTER(OFFSET($O$15,0,$DO95,$B$8,1),OFFSET($M$15,0,0,$B$8,1))=EZ$14))   /   SUM(OFFSET($BO$15,0,0,$B$14,1)) + $B$18/($B$19*$B$19*($DN95&lt;&gt;$DO95) + $B$19*($DN95=$DO95))</f>
        <v>3.3333333333333331E-3</v>
      </c>
      <c r="FA95" s="10" cm="1">
        <f t="array" aca="1" ref="FA95" ca="1">(1-$B$18)*SUMPRODUCT(OFFSET($BO$15,0,0,$B$14,1), 1*(_xlfn._xlws.FILTER(OFFSET($O$15,0,$DN95,$B$8,1),OFFSET($M$15,0,0,$B$8,1))=FA$13), 1*(_xlfn._xlws.FILTER(OFFSET($O$15,0,$DO95,$B$8,1),OFFSET($M$15,0,0,$B$8,1))=FA$14))   /   SUM(OFFSET($BO$15,0,0,$B$14,1)) + $B$18/($B$19*$B$19*($DN95&lt;&gt;$DO95) + $B$19*($DN95=$DO95))</f>
        <v>3.3333333333333331E-3</v>
      </c>
      <c r="FB95" s="10" cm="1">
        <f t="array" aca="1" ref="FB95" ca="1">(1-$B$18)*SUMPRODUCT(OFFSET($BO$15,0,0,$B$14,1), 1*(_xlfn._xlws.FILTER(OFFSET($O$15,0,$DN95,$B$8,1),OFFSET($M$15,0,0,$B$8,1))=FB$13), 1*(_xlfn._xlws.FILTER(OFFSET($O$15,0,$DO95,$B$8,1),OFFSET($M$15,0,0,$B$8,1))=FB$14))   /   SUM(OFFSET($BO$15,0,0,$B$14,1)) + $B$18/($B$19*$B$19*($DN95&lt;&gt;$DO95) + $B$19*($DN95=$DO95))</f>
        <v>3.3333333333333331E-3</v>
      </c>
      <c r="FC95" s="10" cm="1">
        <f t="array" aca="1" ref="FC95" ca="1">(1-$B$18)*SUMPRODUCT(OFFSET($BO$15,0,0,$B$14,1), 1*(_xlfn._xlws.FILTER(OFFSET($O$15,0,$DN95,$B$8,1),OFFSET($M$15,0,0,$B$8,1))=FC$13), 1*(_xlfn._xlws.FILTER(OFFSET($O$15,0,$DO95,$B$8,1),OFFSET($M$15,0,0,$B$8,1))=FC$14))   /   SUM(OFFSET($BO$15,0,0,$B$14,1)) + $B$18/($B$19*$B$19*($DN95&lt;&gt;$DO95) + $B$19*($DN95=$DO95))</f>
        <v>3.3333333333333331E-3</v>
      </c>
      <c r="FD95" s="10" cm="1">
        <f t="array" aca="1" ref="FD95" ca="1">(1-$B$18)*SUMPRODUCT(OFFSET($BO$15,0,0,$B$14,1), 1*(_xlfn._xlws.FILTER(OFFSET($O$15,0,$DN95,$B$8,1),OFFSET($M$15,0,0,$B$8,1))=FD$13), 1*(_xlfn._xlws.FILTER(OFFSET($O$15,0,$DO95,$B$8,1),OFFSET($M$15,0,0,$B$8,1))=FD$14))   /   SUM(OFFSET($BO$15,0,0,$B$14,1)) + $B$18/($B$19*$B$19*($DN95&lt;&gt;$DO95) + $B$19*($DN95=$DO95))</f>
        <v>3.3333333333333331E-3</v>
      </c>
      <c r="FE95" s="10" cm="1">
        <f t="array" aca="1" ref="FE95" ca="1">(1-$B$18)*SUMPRODUCT(OFFSET($BO$15,0,0,$B$14,1), 1*(_xlfn._xlws.FILTER(OFFSET($O$15,0,$DN95,$B$8,1),OFFSET($M$15,0,0,$B$8,1))=FE$13), 1*(_xlfn._xlws.FILTER(OFFSET($O$15,0,$DO95,$B$8,1),OFFSET($M$15,0,0,$B$8,1))=FE$14))   /   SUM(OFFSET($BO$15,0,0,$B$14,1)) + $B$18/($B$19*$B$19*($DN95&lt;&gt;$DO95) + $B$19*($DN95=$DO95))</f>
        <v>3.3333333333333331E-3</v>
      </c>
      <c r="FF95" s="10" cm="1">
        <f t="array" aca="1" ref="FF95" ca="1">(1-$B$18)*SUMPRODUCT(OFFSET($BO$15,0,0,$B$14,1), 1*(_xlfn._xlws.FILTER(OFFSET($O$15,0,$DN95,$B$8,1),OFFSET($M$15,0,0,$B$8,1))=FF$13), 1*(_xlfn._xlws.FILTER(OFFSET($O$15,0,$DO95,$B$8,1),OFFSET($M$15,0,0,$B$8,1))=FF$14))   /   SUM(OFFSET($BO$15,0,0,$B$14,1)) + $B$18/($B$19*$B$19*($DN95&lt;&gt;$DO95) + $B$19*($DN95=$DO95))</f>
        <v>3.3333333333333331E-3</v>
      </c>
      <c r="FG95" s="10" cm="1">
        <f t="array" aca="1" ref="FG95" ca="1">(1-$B$18)*SUMPRODUCT(OFFSET($BO$15,0,0,$B$14,1), 1*(_xlfn._xlws.FILTER(OFFSET($O$15,0,$DN95,$B$8,1),OFFSET($M$15,0,0,$B$8,1))=FG$13), 1*(_xlfn._xlws.FILTER(OFFSET($O$15,0,$DO95,$B$8,1),OFFSET($M$15,0,0,$B$8,1))=FG$14))   /   SUM(OFFSET($BO$15,0,0,$B$14,1)) + $B$18/($B$19*$B$19*($DN95&lt;&gt;$DO95) + $B$19*($DN95=$DO95))</f>
        <v>3.3333333333333331E-3</v>
      </c>
      <c r="FH95" s="10" cm="1">
        <f t="array" aca="1" ref="FH95" ca="1">(1-$B$18)*SUMPRODUCT(OFFSET($BO$15,0,0,$B$14,1), 1*(_xlfn._xlws.FILTER(OFFSET($O$15,0,$DN95,$B$8,1),OFFSET($M$15,0,0,$B$8,1))=FH$13), 1*(_xlfn._xlws.FILTER(OFFSET($O$15,0,$DO95,$B$8,1),OFFSET($M$15,0,0,$B$8,1))=FH$14))   /   SUM(OFFSET($BO$15,0,0,$B$14,1)) + $B$18/($B$19*$B$19*($DN95&lt;&gt;$DO95) + $B$19*($DN95=$DO95))</f>
        <v>3.3333333333333331E-3</v>
      </c>
      <c r="FI95" s="10" cm="1">
        <f t="array" aca="1" ref="FI95" ca="1">(1-$B$18)*SUMPRODUCT(OFFSET($BO$15,0,0,$B$14,1), 1*(_xlfn._xlws.FILTER(OFFSET($O$15,0,$DN95,$B$8,1),OFFSET($M$15,0,0,$B$8,1))=FI$13), 1*(_xlfn._xlws.FILTER(OFFSET($O$15,0,$DO95,$B$8,1),OFFSET($M$15,0,0,$B$8,1))=FI$14))   /   SUM(OFFSET($BO$15,0,0,$B$14,1)) + $B$18/($B$19*$B$19*($DN95&lt;&gt;$DO95) + $B$19*($DN95=$DO95))</f>
        <v>3.3333333333333331E-3</v>
      </c>
      <c r="FJ95" s="10" cm="1">
        <f t="array" aca="1" ref="FJ95" ca="1">(1-$B$18)*SUMPRODUCT(OFFSET($BO$15,0,0,$B$14,1), 1*(_xlfn._xlws.FILTER(OFFSET($O$15,0,$DN95,$B$8,1),OFFSET($M$15,0,0,$B$8,1))=FJ$13), 1*(_xlfn._xlws.FILTER(OFFSET($O$15,0,$DO95,$B$8,1),OFFSET($M$15,0,0,$B$8,1))=FJ$14))   /   SUM(OFFSET($BO$15,0,0,$B$14,1)) + $B$18/($B$19*$B$19*($DN95&lt;&gt;$DO95) + $B$19*($DN95=$DO95))</f>
        <v>3.3333333333333331E-3</v>
      </c>
      <c r="FK95" s="10" cm="1">
        <f t="array" aca="1" ref="FK95" ca="1">(1-$B$18)*SUMPRODUCT(OFFSET($BO$15,0,0,$B$14,1), 1*(_xlfn._xlws.FILTER(OFFSET($O$15,0,$DN95,$B$8,1),OFFSET($M$15,0,0,$B$8,1))=FK$13), 1*(_xlfn._xlws.FILTER(OFFSET($O$15,0,$DO95,$B$8,1),OFFSET($M$15,0,0,$B$8,1))=FK$14))   /   SUM(OFFSET($BO$15,0,0,$B$14,1)) + $B$18/($B$19*$B$19*($DN95&lt;&gt;$DO95) + $B$19*($DN95=$DO95))</f>
        <v>3.3333333333333331E-3</v>
      </c>
      <c r="FL95" s="10" cm="1">
        <f t="array" aca="1" ref="FL95" ca="1">(1-$B$18)*SUMPRODUCT(OFFSET($BO$15,0,0,$B$14,1), 1*(_xlfn._xlws.FILTER(OFFSET($O$15,0,$DN95,$B$8,1),OFFSET($M$15,0,0,$B$8,1))=FL$13), 1*(_xlfn._xlws.FILTER(OFFSET($O$15,0,$DO95,$B$8,1),OFFSET($M$15,0,0,$B$8,1))=FL$14))   /   SUM(OFFSET($BO$15,0,0,$B$14,1)) + $B$18/($B$19*$B$19*($DN95&lt;&gt;$DO95) + $B$19*($DN95=$DO95))</f>
        <v>3.3333333333333331E-3</v>
      </c>
      <c r="FM95" s="10" cm="1">
        <f t="array" aca="1" ref="FM95" ca="1">(1-$B$18)*SUMPRODUCT(OFFSET($BO$15,0,0,$B$14,1), 1*(_xlfn._xlws.FILTER(OFFSET($O$15,0,$DN95,$B$8,1),OFFSET($M$15,0,0,$B$8,1))=FM$13), 1*(_xlfn._xlws.FILTER(OFFSET($O$15,0,$DO95,$B$8,1),OFFSET($M$15,0,0,$B$8,1))=FM$14))   /   SUM(OFFSET($BO$15,0,0,$B$14,1)) + $B$18/($B$19*$B$19*($DN95&lt;&gt;$DO95) + $B$19*($DN95=$DO95))</f>
        <v>3.3333333333333331E-3</v>
      </c>
      <c r="FN95" s="10" cm="1">
        <f t="array" aca="1" ref="FN95" ca="1">(1-$B$18)*SUMPRODUCT(OFFSET($BO$15,0,0,$B$14,1), 1*(_xlfn._xlws.FILTER(OFFSET($O$15,0,$DN95,$B$8,1),OFFSET($M$15,0,0,$B$8,1))=FN$13), 1*(_xlfn._xlws.FILTER(OFFSET($O$15,0,$DO95,$B$8,1),OFFSET($M$15,0,0,$B$8,1))=FN$14))   /   SUM(OFFSET($BO$15,0,0,$B$14,1)) + $B$18/($B$19*$B$19*($DN95&lt;&gt;$DO95) + $B$19*($DN95=$DO95))</f>
        <v>3.3333333333333331E-3</v>
      </c>
      <c r="FO95" s="10" cm="1">
        <f t="array" aca="1" ref="FO95" ca="1">(1-$B$18)*SUMPRODUCT(OFFSET($BO$15,0,0,$B$14,1), 1*(_xlfn._xlws.FILTER(OFFSET($O$15,0,$DN95,$B$8,1),OFFSET($M$15,0,0,$B$8,1))=FO$13), 1*(_xlfn._xlws.FILTER(OFFSET($O$15,0,$DO95,$B$8,1),OFFSET($M$15,0,0,$B$8,1))=FO$14))   /   SUM(OFFSET($BO$15,0,0,$B$14,1)) + $B$18/($B$19*$B$19*($DN95&lt;&gt;$DO95) + $B$19*($DN95=$DO95))</f>
        <v>3.3333333333333331E-3</v>
      </c>
      <c r="FP95" s="10" cm="1">
        <f t="array" aca="1" ref="FP95" ca="1">(1-$B$18)*SUMPRODUCT(OFFSET($BO$15,0,0,$B$14,1), 1*(_xlfn._xlws.FILTER(OFFSET($O$15,0,$DN95,$B$8,1),OFFSET($M$15,0,0,$B$8,1))=FP$13), 1*(_xlfn._xlws.FILTER(OFFSET($O$15,0,$DO95,$B$8,1),OFFSET($M$15,0,0,$B$8,1))=FP$14))   /   SUM(OFFSET($BO$15,0,0,$B$14,1)) + $B$18/($B$19*$B$19*($DN95&lt;&gt;$DO95) + $B$19*($DN95=$DO95))</f>
        <v>3.3333333333333331E-3</v>
      </c>
      <c r="FQ95" s="10" cm="1">
        <f t="array" aca="1" ref="FQ95" ca="1">(1-$B$18)*SUMPRODUCT(OFFSET($BO$15,0,0,$B$14,1), 1*(_xlfn._xlws.FILTER(OFFSET($O$15,0,$DN95,$B$8,1),OFFSET($M$15,0,0,$B$8,1))=FQ$13), 1*(_xlfn._xlws.FILTER(OFFSET($O$15,0,$DO95,$B$8,1),OFFSET($M$15,0,0,$B$8,1))=FQ$14))   /   SUM(OFFSET($BO$15,0,0,$B$14,1)) + $B$18/($B$19*$B$19*($DN95&lt;&gt;$DO95) + $B$19*($DN95=$DO95))</f>
        <v>3.3333333333333331E-3</v>
      </c>
      <c r="FR95" s="10" cm="1">
        <f t="array" aca="1" ref="FR95" ca="1">(1-$B$18)*SUMPRODUCT(OFFSET($BO$15,0,0,$B$14,1), 1*(_xlfn._xlws.FILTER(OFFSET($O$15,0,$DN95,$B$8,1),OFFSET($M$15,0,0,$B$8,1))=FR$13), 1*(_xlfn._xlws.FILTER(OFFSET($O$15,0,$DO95,$B$8,1),OFFSET($M$15,0,0,$B$8,1))=FR$14))   /   SUM(OFFSET($BO$15,0,0,$B$14,1)) + $B$18/($B$19*$B$19*($DN95&lt;&gt;$DO95) + $B$19*($DN95=$DO95))</f>
        <v>0.97333333333333327</v>
      </c>
      <c r="FS95" s="10" cm="1">
        <f t="array" aca="1" ref="FS95" ca="1">(1-$B$18)*SUMPRODUCT(OFFSET($BO$15,0,0,$B$14,1), 1*(_xlfn._xlws.FILTER(OFFSET($O$15,0,$DN95,$B$8,1),OFFSET($M$15,0,0,$B$8,1))=FS$13), 1*(_xlfn._xlws.FILTER(OFFSET($O$15,0,$DO95,$B$8,1),OFFSET($M$15,0,0,$B$8,1))=FS$14))   /   SUM(OFFSET($BO$15,0,0,$B$14,1)) + $B$18/($B$19*$B$19*($DN95&lt;&gt;$DO95) + $B$19*($DN95=$DO95))</f>
        <v>3.3333333333333331E-3</v>
      </c>
      <c r="FT95" s="10" cm="1">
        <f t="array" aca="1" ref="FT95" ca="1">(1-$B$18)*SUMPRODUCT(OFFSET($BO$15,0,0,$B$14,1), 1*(_xlfn._xlws.FILTER(OFFSET($O$15,0,$DN95,$B$8,1),OFFSET($M$15,0,0,$B$8,1))=FT$13), 1*(_xlfn._xlws.FILTER(OFFSET($O$15,0,$DO95,$B$8,1),OFFSET($M$15,0,0,$B$8,1))=FT$14))   /   SUM(OFFSET($BO$15,0,0,$B$14,1)) + $B$18/($B$19*$B$19*($DN95&lt;&gt;$DO95) + $B$19*($DN95=$DO95))</f>
        <v>3.3333333333333331E-3</v>
      </c>
      <c r="FU95" s="10" cm="1">
        <f t="array" aca="1" ref="FU95" ca="1">(1-$B$18)*SUMPRODUCT(OFFSET($BO$15,0,0,$B$14,1), 1*(_xlfn._xlws.FILTER(OFFSET($O$15,0,$DN95,$B$8,1),OFFSET($M$15,0,0,$B$8,1))=FU$13), 1*(_xlfn._xlws.FILTER(OFFSET($O$15,0,$DO95,$B$8,1),OFFSET($M$15,0,0,$B$8,1))=FU$14))   /   SUM(OFFSET($BO$15,0,0,$B$14,1)) + $B$18/($B$19*$B$19*($DN95&lt;&gt;$DO95) + $B$19*($DN95=$DO95))</f>
        <v>3.3333333333333331E-3</v>
      </c>
      <c r="FV95" s="10" cm="1">
        <f t="array" aca="1" ref="FV95" ca="1">(1-$B$18)*SUMPRODUCT(OFFSET($BO$15,0,0,$B$14,1), 1*(_xlfn._xlws.FILTER(OFFSET($O$15,0,$DN95,$B$8,1),OFFSET($M$15,0,0,$B$8,1))=FV$13), 1*(_xlfn._xlws.FILTER(OFFSET($O$15,0,$DO95,$B$8,1),OFFSET($M$15,0,0,$B$8,1))=FV$14))   /   SUM(OFFSET($BO$15,0,0,$B$14,1)) + $B$18/($B$19*$B$19*($DN95&lt;&gt;$DO95) + $B$19*($DN95=$DO95))</f>
        <v>3.3333333333333331E-3</v>
      </c>
      <c r="FW95" s="10" cm="1">
        <f t="array" aca="1" ref="FW95" ca="1">(1-$B$18)*SUMPRODUCT(OFFSET($BO$15,0,0,$B$14,1), 1*(_xlfn._xlws.FILTER(OFFSET($O$15,0,$DN95,$B$8,1),OFFSET($M$15,0,0,$B$8,1))=FW$13), 1*(_xlfn._xlws.FILTER(OFFSET($O$15,0,$DO95,$B$8,1),OFFSET($M$15,0,0,$B$8,1))=FW$14))   /   SUM(OFFSET($BO$15,0,0,$B$14,1)) + $B$18/($B$19*$B$19*($DN95&lt;&gt;$DO95) + $B$19*($DN95=$DO95))</f>
        <v>3.3333333333333331E-3</v>
      </c>
      <c r="FX95" s="10" cm="1">
        <f t="array" aca="1" ref="FX95" ca="1">(1-$B$18)*SUMPRODUCT(OFFSET($BO$15,0,0,$B$14,1), 1*(_xlfn._xlws.FILTER(OFFSET($O$15,0,$DN95,$B$8,1),OFFSET($M$15,0,0,$B$8,1))=FX$13), 1*(_xlfn._xlws.FILTER(OFFSET($O$15,0,$DO95,$B$8,1),OFFSET($M$15,0,0,$B$8,1))=FX$14))   /   SUM(OFFSET($BO$15,0,0,$B$14,1)) + $B$18/($B$19*$B$19*($DN95&lt;&gt;$DO95) + $B$19*($DN95=$DO95))</f>
        <v>3.3333333333333331E-3</v>
      </c>
      <c r="FY95" s="10" cm="1">
        <f t="array" aca="1" ref="FY95" ca="1">(1-$B$18)*SUMPRODUCT(OFFSET($BO$15,0,0,$B$14,1), 1*(_xlfn._xlws.FILTER(OFFSET($O$15,0,$DN95,$B$8,1),OFFSET($M$15,0,0,$B$8,1))=FY$13), 1*(_xlfn._xlws.FILTER(OFFSET($O$15,0,$DO95,$B$8,1),OFFSET($M$15,0,0,$B$8,1))=FY$14))   /   SUM(OFFSET($BO$15,0,0,$B$14,1)) + $B$18/($B$19*$B$19*($DN95&lt;&gt;$DO95) + $B$19*($DN95=$DO95))</f>
        <v>3.3333333333333331E-3</v>
      </c>
      <c r="FZ95" s="10" cm="1">
        <f t="array" aca="1" ref="FZ95" ca="1">(1-$B$18)*SUMPRODUCT(OFFSET($BO$15,0,0,$B$14,1), 1*(_xlfn._xlws.FILTER(OFFSET($O$15,0,$DN95,$B$8,1),OFFSET($M$15,0,0,$B$8,1))=FZ$13), 1*(_xlfn._xlws.FILTER(OFFSET($O$15,0,$DO95,$B$8,1),OFFSET($M$15,0,0,$B$8,1))=FZ$14))   /   SUM(OFFSET($BO$15,0,0,$B$14,1)) + $B$18/($B$19*$B$19*($DN95&lt;&gt;$DO95) + $B$19*($DN95=$DO95))</f>
        <v>3.3333333333333331E-3</v>
      </c>
      <c r="GA95" s="10" cm="1">
        <f t="array" aca="1" ref="GA95" ca="1">(1-$B$18)*SUMPRODUCT(OFFSET($BO$15,0,0,$B$14,1), 1*(_xlfn._xlws.FILTER(OFFSET($O$15,0,$DN95,$B$8,1),OFFSET($M$15,0,0,$B$8,1))=GA$13), 1*(_xlfn._xlws.FILTER(OFFSET($O$15,0,$DO95,$B$8,1),OFFSET($M$15,0,0,$B$8,1))=GA$14))   /   SUM(OFFSET($BO$15,0,0,$B$14,1)) + $B$18/($B$19*$B$19*($DN95&lt;&gt;$DO95) + $B$19*($DN95=$DO95))</f>
        <v>3.3333333333333331E-3</v>
      </c>
    </row>
    <row r="96" spans="7:183" x14ac:dyDescent="0.2">
      <c r="H96" s="2"/>
      <c r="DN96" cm="1">
        <f t="array" aca="1" ref="DN96" ca="1">INDEX(_xlfn.ANCHORARRAY($CP$15), 1 + INT((ROWS($DO$15:$DO96) - 1) / ROWS(_xlfn.ANCHORARRAY($CP$15))))</f>
        <v>4</v>
      </c>
      <c r="DO96" cm="1">
        <f t="array" aca="1" ref="DO96" ca="1">INDEX(_xlfn.ANCHORARRAY($CP$15),1+MOD(ROWS($DO$15:$DO96)-1,ROWS(_xlfn.ANCHORARRAY($CP$15))))</f>
        <v>5</v>
      </c>
      <c r="DP96" s="10" cm="1">
        <f t="array" aca="1" ref="DP96" ca="1">(1-$B$18)*SUMPRODUCT(OFFSET($BO$15,0,0,$B$14,1), 1*(_xlfn._xlws.FILTER(OFFSET($O$15,0,$DN96,$B$8,1),OFFSET($M$15,0,0,$B$8,1))=DP$13), 1*(_xlfn._xlws.FILTER(OFFSET($O$15,0,$DO96,$B$8,1),OFFSET($M$15,0,0,$B$8,1))=DP$14))   /   SUM(OFFSET($BO$15,0,0,$B$14,1)) + $B$18/($B$19*$B$19*($DN96&lt;&gt;$DO96) + $B$19*($DN96=$DO96))</f>
        <v>3.7037037037037035E-4</v>
      </c>
      <c r="DQ96" s="10" cm="1">
        <f t="array" aca="1" ref="DQ96" ca="1">(1-$B$18)*SUMPRODUCT(OFFSET($BO$15,0,0,$B$14,1), 1*(_xlfn._xlws.FILTER(OFFSET($O$15,0,$DN96,$B$8,1),OFFSET($M$15,0,0,$B$8,1))=DQ$13), 1*(_xlfn._xlws.FILTER(OFFSET($O$15,0,$DO96,$B$8,1),OFFSET($M$15,0,0,$B$8,1))=DQ$14))   /   SUM(OFFSET($BO$15,0,0,$B$14,1)) + $B$18/($B$19*$B$19*($DN96&lt;&gt;$DO96) + $B$19*($DN96=$DO96))</f>
        <v>3.7037037037037035E-4</v>
      </c>
      <c r="DR96" s="10" cm="1">
        <f t="array" aca="1" ref="DR96" ca="1">(1-$B$18)*SUMPRODUCT(OFFSET($BO$15,0,0,$B$14,1), 1*(_xlfn._xlws.FILTER(OFFSET($O$15,0,$DN96,$B$8,1),OFFSET($M$15,0,0,$B$8,1))=DR$13), 1*(_xlfn._xlws.FILTER(OFFSET($O$15,0,$DO96,$B$8,1),OFFSET($M$15,0,0,$B$8,1))=DR$14))   /   SUM(OFFSET($BO$15,0,0,$B$14,1)) + $B$18/($B$19*$B$19*($DN96&lt;&gt;$DO96) + $B$19*($DN96=$DO96))</f>
        <v>3.7037037037037035E-4</v>
      </c>
      <c r="DS96" s="10" cm="1">
        <f t="array" aca="1" ref="DS96" ca="1">(1-$B$18)*SUMPRODUCT(OFFSET($BO$15,0,0,$B$14,1), 1*(_xlfn._xlws.FILTER(OFFSET($O$15,0,$DN96,$B$8,1),OFFSET($M$15,0,0,$B$8,1))=DS$13), 1*(_xlfn._xlws.FILTER(OFFSET($O$15,0,$DO96,$B$8,1),OFFSET($M$15,0,0,$B$8,1))=DS$14))   /   SUM(OFFSET($BO$15,0,0,$B$14,1)) + $B$18/($B$19*$B$19*($DN96&lt;&gt;$DO96) + $B$19*($DN96=$DO96))</f>
        <v>3.7037037037037035E-4</v>
      </c>
      <c r="DT96" s="10" cm="1">
        <f t="array" aca="1" ref="DT96" ca="1">(1-$B$18)*SUMPRODUCT(OFFSET($BO$15,0,0,$B$14,1), 1*(_xlfn._xlws.FILTER(OFFSET($O$15,0,$DN96,$B$8,1),OFFSET($M$15,0,0,$B$8,1))=DT$13), 1*(_xlfn._xlws.FILTER(OFFSET($O$15,0,$DO96,$B$8,1),OFFSET($M$15,0,0,$B$8,1))=DT$14))   /   SUM(OFFSET($BO$15,0,0,$B$14,1)) + $B$18/($B$19*$B$19*($DN96&lt;&gt;$DO96) + $B$19*($DN96=$DO96))</f>
        <v>3.7037037037037035E-4</v>
      </c>
      <c r="DU96" s="10" cm="1">
        <f t="array" aca="1" ref="DU96" ca="1">(1-$B$18)*SUMPRODUCT(OFFSET($BO$15,0,0,$B$14,1), 1*(_xlfn._xlws.FILTER(OFFSET($O$15,0,$DN96,$B$8,1),OFFSET($M$15,0,0,$B$8,1))=DU$13), 1*(_xlfn._xlws.FILTER(OFFSET($O$15,0,$DO96,$B$8,1),OFFSET($M$15,0,0,$B$8,1))=DU$14))   /   SUM(OFFSET($BO$15,0,0,$B$14,1)) + $B$18/($B$19*$B$19*($DN96&lt;&gt;$DO96) + $B$19*($DN96=$DO96))</f>
        <v>3.7037037037037035E-4</v>
      </c>
      <c r="DV96" s="10" cm="1">
        <f t="array" aca="1" ref="DV96" ca="1">(1-$B$18)*SUMPRODUCT(OFFSET($BO$15,0,0,$B$14,1), 1*(_xlfn._xlws.FILTER(OFFSET($O$15,0,$DN96,$B$8,1),OFFSET($M$15,0,0,$B$8,1))=DV$13), 1*(_xlfn._xlws.FILTER(OFFSET($O$15,0,$DO96,$B$8,1),OFFSET($M$15,0,0,$B$8,1))=DV$14))   /   SUM(OFFSET($BO$15,0,0,$B$14,1)) + $B$18/($B$19*$B$19*($DN96&lt;&gt;$DO96) + $B$19*($DN96=$DO96))</f>
        <v>3.7037037037037035E-4</v>
      </c>
      <c r="DW96" s="10" cm="1">
        <f t="array" aca="1" ref="DW96" ca="1">(1-$B$18)*SUMPRODUCT(OFFSET($BO$15,0,0,$B$14,1), 1*(_xlfn._xlws.FILTER(OFFSET($O$15,0,$DN96,$B$8,1),OFFSET($M$15,0,0,$B$8,1))=DW$13), 1*(_xlfn._xlws.FILTER(OFFSET($O$15,0,$DO96,$B$8,1),OFFSET($M$15,0,0,$B$8,1))=DW$14))   /   SUM(OFFSET($BO$15,0,0,$B$14,1)) + $B$18/($B$19*$B$19*($DN96&lt;&gt;$DO96) + $B$19*($DN96=$DO96))</f>
        <v>3.7037037037037035E-4</v>
      </c>
      <c r="DX96" s="10" cm="1">
        <f t="array" aca="1" ref="DX96" ca="1">(1-$B$18)*SUMPRODUCT(OFFSET($BO$15,0,0,$B$14,1), 1*(_xlfn._xlws.FILTER(OFFSET($O$15,0,$DN96,$B$8,1),OFFSET($M$15,0,0,$B$8,1))=DX$13), 1*(_xlfn._xlws.FILTER(OFFSET($O$15,0,$DO96,$B$8,1),OFFSET($M$15,0,0,$B$8,1))=DX$14))   /   SUM(OFFSET($BO$15,0,0,$B$14,1)) + $B$18/($B$19*$B$19*($DN96&lt;&gt;$DO96) + $B$19*($DN96=$DO96))</f>
        <v>3.7037037037037035E-4</v>
      </c>
      <c r="DY96" s="10" cm="1">
        <f t="array" aca="1" ref="DY96" ca="1">(1-$B$18)*SUMPRODUCT(OFFSET($BO$15,0,0,$B$14,1), 1*(_xlfn._xlws.FILTER(OFFSET($O$15,0,$DN96,$B$8,1),OFFSET($M$15,0,0,$B$8,1))=DY$13), 1*(_xlfn._xlws.FILTER(OFFSET($O$15,0,$DO96,$B$8,1),OFFSET($M$15,0,0,$B$8,1))=DY$14))   /   SUM(OFFSET($BO$15,0,0,$B$14,1)) + $B$18/($B$19*$B$19*($DN96&lt;&gt;$DO96) + $B$19*($DN96=$DO96))</f>
        <v>3.7037037037037035E-4</v>
      </c>
      <c r="DZ96" s="10" cm="1">
        <f t="array" aca="1" ref="DZ96" ca="1">(1-$B$18)*SUMPRODUCT(OFFSET($BO$15,0,0,$B$14,1), 1*(_xlfn._xlws.FILTER(OFFSET($O$15,0,$DN96,$B$8,1),OFFSET($M$15,0,0,$B$8,1))=DZ$13), 1*(_xlfn._xlws.FILTER(OFFSET($O$15,0,$DO96,$B$8,1),OFFSET($M$15,0,0,$B$8,1))=DZ$14))   /   SUM(OFFSET($BO$15,0,0,$B$14,1)) + $B$18/($B$19*$B$19*($DN96&lt;&gt;$DO96) + $B$19*($DN96=$DO96))</f>
        <v>3.7037037037037035E-4</v>
      </c>
      <c r="EA96" s="10" cm="1">
        <f t="array" aca="1" ref="EA96" ca="1">(1-$B$18)*SUMPRODUCT(OFFSET($BO$15,0,0,$B$14,1), 1*(_xlfn._xlws.FILTER(OFFSET($O$15,0,$DN96,$B$8,1),OFFSET($M$15,0,0,$B$8,1))=EA$13), 1*(_xlfn._xlws.FILTER(OFFSET($O$15,0,$DO96,$B$8,1),OFFSET($M$15,0,0,$B$8,1))=EA$14))   /   SUM(OFFSET($BO$15,0,0,$B$14,1)) + $B$18/($B$19*$B$19*($DN96&lt;&gt;$DO96) + $B$19*($DN96=$DO96))</f>
        <v>3.7037037037037035E-4</v>
      </c>
      <c r="EB96" s="10" cm="1">
        <f t="array" aca="1" ref="EB96" ca="1">(1-$B$18)*SUMPRODUCT(OFFSET($BO$15,0,0,$B$14,1), 1*(_xlfn._xlws.FILTER(OFFSET($O$15,0,$DN96,$B$8,1),OFFSET($M$15,0,0,$B$8,1))=EB$13), 1*(_xlfn._xlws.FILTER(OFFSET($O$15,0,$DO96,$B$8,1),OFFSET($M$15,0,0,$B$8,1))=EB$14))   /   SUM(OFFSET($BO$15,0,0,$B$14,1)) + $B$18/($B$19*$B$19*($DN96&lt;&gt;$DO96) + $B$19*($DN96=$DO96))</f>
        <v>3.7037037037037035E-4</v>
      </c>
      <c r="EC96" s="10" cm="1">
        <f t="array" aca="1" ref="EC96" ca="1">(1-$B$18)*SUMPRODUCT(OFFSET($BO$15,0,0,$B$14,1), 1*(_xlfn._xlws.FILTER(OFFSET($O$15,0,$DN96,$B$8,1),OFFSET($M$15,0,0,$B$8,1))=EC$13), 1*(_xlfn._xlws.FILTER(OFFSET($O$15,0,$DO96,$B$8,1),OFFSET($M$15,0,0,$B$8,1))=EC$14))   /   SUM(OFFSET($BO$15,0,0,$B$14,1)) + $B$18/($B$19*$B$19*($DN96&lt;&gt;$DO96) + $B$19*($DN96=$DO96))</f>
        <v>3.7037037037037035E-4</v>
      </c>
      <c r="ED96" s="10" cm="1">
        <f t="array" aca="1" ref="ED96" ca="1">(1-$B$18)*SUMPRODUCT(OFFSET($BO$15,0,0,$B$14,1), 1*(_xlfn._xlws.FILTER(OFFSET($O$15,0,$DN96,$B$8,1),OFFSET($M$15,0,0,$B$8,1))=ED$13), 1*(_xlfn._xlws.FILTER(OFFSET($O$15,0,$DO96,$B$8,1),OFFSET($M$15,0,0,$B$8,1))=ED$14))   /   SUM(OFFSET($BO$15,0,0,$B$14,1)) + $B$18/($B$19*$B$19*($DN96&lt;&gt;$DO96) + $B$19*($DN96=$DO96))</f>
        <v>3.7037037037037035E-4</v>
      </c>
      <c r="EE96" s="10" cm="1">
        <f t="array" aca="1" ref="EE96" ca="1">(1-$B$18)*SUMPRODUCT(OFFSET($BO$15,0,0,$B$14,1), 1*(_xlfn._xlws.FILTER(OFFSET($O$15,0,$DN96,$B$8,1),OFFSET($M$15,0,0,$B$8,1))=EE$13), 1*(_xlfn._xlws.FILTER(OFFSET($O$15,0,$DO96,$B$8,1),OFFSET($M$15,0,0,$B$8,1))=EE$14))   /   SUM(OFFSET($BO$15,0,0,$B$14,1)) + $B$18/($B$19*$B$19*($DN96&lt;&gt;$DO96) + $B$19*($DN96=$DO96))</f>
        <v>3.7037037037037035E-4</v>
      </c>
      <c r="EF96" s="10" cm="1">
        <f t="array" aca="1" ref="EF96" ca="1">(1-$B$18)*SUMPRODUCT(OFFSET($BO$15,0,0,$B$14,1), 1*(_xlfn._xlws.FILTER(OFFSET($O$15,0,$DN96,$B$8,1),OFFSET($M$15,0,0,$B$8,1))=EF$13), 1*(_xlfn._xlws.FILTER(OFFSET($O$15,0,$DO96,$B$8,1),OFFSET($M$15,0,0,$B$8,1))=EF$14))   /   SUM(OFFSET($BO$15,0,0,$B$14,1)) + $B$18/($B$19*$B$19*($DN96&lt;&gt;$DO96) + $B$19*($DN96=$DO96))</f>
        <v>3.7037037037037035E-4</v>
      </c>
      <c r="EG96" s="10" cm="1">
        <f t="array" aca="1" ref="EG96" ca="1">(1-$B$18)*SUMPRODUCT(OFFSET($BO$15,0,0,$B$14,1), 1*(_xlfn._xlws.FILTER(OFFSET($O$15,0,$DN96,$B$8,1),OFFSET($M$15,0,0,$B$8,1))=EG$13), 1*(_xlfn._xlws.FILTER(OFFSET($O$15,0,$DO96,$B$8,1),OFFSET($M$15,0,0,$B$8,1))=EG$14))   /   SUM(OFFSET($BO$15,0,0,$B$14,1)) + $B$18/($B$19*$B$19*($DN96&lt;&gt;$DO96) + $B$19*($DN96=$DO96))</f>
        <v>3.7037037037037035E-4</v>
      </c>
      <c r="EH96" s="10" cm="1">
        <f t="array" aca="1" ref="EH96" ca="1">(1-$B$18)*SUMPRODUCT(OFFSET($BO$15,0,0,$B$14,1), 1*(_xlfn._xlws.FILTER(OFFSET($O$15,0,$DN96,$B$8,1),OFFSET($M$15,0,0,$B$8,1))=EH$13), 1*(_xlfn._xlws.FILTER(OFFSET($O$15,0,$DO96,$B$8,1),OFFSET($M$15,0,0,$B$8,1))=EH$14))   /   SUM(OFFSET($BO$15,0,0,$B$14,1)) + $B$18/($B$19*$B$19*($DN96&lt;&gt;$DO96) + $B$19*($DN96=$DO96))</f>
        <v>3.7037037037037035E-4</v>
      </c>
      <c r="EI96" s="10" cm="1">
        <f t="array" aca="1" ref="EI96" ca="1">(1-$B$18)*SUMPRODUCT(OFFSET($BO$15,0,0,$B$14,1), 1*(_xlfn._xlws.FILTER(OFFSET($O$15,0,$DN96,$B$8,1),OFFSET($M$15,0,0,$B$8,1))=EI$13), 1*(_xlfn._xlws.FILTER(OFFSET($O$15,0,$DO96,$B$8,1),OFFSET($M$15,0,0,$B$8,1))=EI$14))   /   SUM(OFFSET($BO$15,0,0,$B$14,1)) + $B$18/($B$19*$B$19*($DN96&lt;&gt;$DO96) + $B$19*($DN96=$DO96))</f>
        <v>3.7037037037037035E-4</v>
      </c>
      <c r="EJ96" s="10" cm="1">
        <f t="array" aca="1" ref="EJ96" ca="1">(1-$B$18)*SUMPRODUCT(OFFSET($BO$15,0,0,$B$14,1), 1*(_xlfn._xlws.FILTER(OFFSET($O$15,0,$DN96,$B$8,1),OFFSET($M$15,0,0,$B$8,1))=EJ$13), 1*(_xlfn._xlws.FILTER(OFFSET($O$15,0,$DO96,$B$8,1),OFFSET($M$15,0,0,$B$8,1))=EJ$14))   /   SUM(OFFSET($BO$15,0,0,$B$14,1)) + $B$18/($B$19*$B$19*($DN96&lt;&gt;$DO96) + $B$19*($DN96=$DO96))</f>
        <v>3.7037037037037035E-4</v>
      </c>
      <c r="EK96" s="10" cm="1">
        <f t="array" aca="1" ref="EK96" ca="1">(1-$B$18)*SUMPRODUCT(OFFSET($BO$15,0,0,$B$14,1), 1*(_xlfn._xlws.FILTER(OFFSET($O$15,0,$DN96,$B$8,1),OFFSET($M$15,0,0,$B$8,1))=EK$13), 1*(_xlfn._xlws.FILTER(OFFSET($O$15,0,$DO96,$B$8,1),OFFSET($M$15,0,0,$B$8,1))=EK$14))   /   SUM(OFFSET($BO$15,0,0,$B$14,1)) + $B$18/($B$19*$B$19*($DN96&lt;&gt;$DO96) + $B$19*($DN96=$DO96))</f>
        <v>3.7037037037037035E-4</v>
      </c>
      <c r="EL96" s="10" cm="1">
        <f t="array" aca="1" ref="EL96" ca="1">(1-$B$18)*SUMPRODUCT(OFFSET($BO$15,0,0,$B$14,1), 1*(_xlfn._xlws.FILTER(OFFSET($O$15,0,$DN96,$B$8,1),OFFSET($M$15,0,0,$B$8,1))=EL$13), 1*(_xlfn._xlws.FILTER(OFFSET($O$15,0,$DO96,$B$8,1),OFFSET($M$15,0,0,$B$8,1))=EL$14))   /   SUM(OFFSET($BO$15,0,0,$B$14,1)) + $B$18/($B$19*$B$19*($DN96&lt;&gt;$DO96) + $B$19*($DN96=$DO96))</f>
        <v>3.7037037037037035E-4</v>
      </c>
      <c r="EM96" s="10" cm="1">
        <f t="array" aca="1" ref="EM96" ca="1">(1-$B$18)*SUMPRODUCT(OFFSET($BO$15,0,0,$B$14,1), 1*(_xlfn._xlws.FILTER(OFFSET($O$15,0,$DN96,$B$8,1),OFFSET($M$15,0,0,$B$8,1))=EM$13), 1*(_xlfn._xlws.FILTER(OFFSET($O$15,0,$DO96,$B$8,1),OFFSET($M$15,0,0,$B$8,1))=EM$14))   /   SUM(OFFSET($BO$15,0,0,$B$14,1)) + $B$18/($B$19*$B$19*($DN96&lt;&gt;$DO96) + $B$19*($DN96=$DO96))</f>
        <v>3.7037037037037035E-4</v>
      </c>
      <c r="EN96" s="10" cm="1">
        <f t="array" aca="1" ref="EN96" ca="1">(1-$B$18)*SUMPRODUCT(OFFSET($BO$15,0,0,$B$14,1), 1*(_xlfn._xlws.FILTER(OFFSET($O$15,0,$DN96,$B$8,1),OFFSET($M$15,0,0,$B$8,1))=EN$13), 1*(_xlfn._xlws.FILTER(OFFSET($O$15,0,$DO96,$B$8,1),OFFSET($M$15,0,0,$B$8,1))=EN$14))   /   SUM(OFFSET($BO$15,0,0,$B$14,1)) + $B$18/($B$19*$B$19*($DN96&lt;&gt;$DO96) + $B$19*($DN96=$DO96))</f>
        <v>3.7037037037037035E-4</v>
      </c>
      <c r="EO96" s="10" cm="1">
        <f t="array" aca="1" ref="EO96" ca="1">(1-$B$18)*SUMPRODUCT(OFFSET($BO$15,0,0,$B$14,1), 1*(_xlfn._xlws.FILTER(OFFSET($O$15,0,$DN96,$B$8,1),OFFSET($M$15,0,0,$B$8,1))=EO$13), 1*(_xlfn._xlws.FILTER(OFFSET($O$15,0,$DO96,$B$8,1),OFFSET($M$15,0,0,$B$8,1))=EO$14))   /   SUM(OFFSET($BO$15,0,0,$B$14,1)) + $B$18/($B$19*$B$19*($DN96&lt;&gt;$DO96) + $B$19*($DN96=$DO96))</f>
        <v>3.7037037037037035E-4</v>
      </c>
      <c r="EP96" s="10" cm="1">
        <f t="array" aca="1" ref="EP96" ca="1">(1-$B$18)*SUMPRODUCT(OFFSET($BO$15,0,0,$B$14,1), 1*(_xlfn._xlws.FILTER(OFFSET($O$15,0,$DN96,$B$8,1),OFFSET($M$15,0,0,$B$8,1))=EP$13), 1*(_xlfn._xlws.FILTER(OFFSET($O$15,0,$DO96,$B$8,1),OFFSET($M$15,0,0,$B$8,1))=EP$14))   /   SUM(OFFSET($BO$15,0,0,$B$14,1)) + $B$18/($B$19*$B$19*($DN96&lt;&gt;$DO96) + $B$19*($DN96=$DO96))</f>
        <v>3.7037037037037035E-4</v>
      </c>
      <c r="EQ96" s="10" cm="1">
        <f t="array" aca="1" ref="EQ96" ca="1">(1-$B$18)*SUMPRODUCT(OFFSET($BO$15,0,0,$B$14,1), 1*(_xlfn._xlws.FILTER(OFFSET($O$15,0,$DN96,$B$8,1),OFFSET($M$15,0,0,$B$8,1))=EQ$13), 1*(_xlfn._xlws.FILTER(OFFSET($O$15,0,$DO96,$B$8,1),OFFSET($M$15,0,0,$B$8,1))=EQ$14))   /   SUM(OFFSET($BO$15,0,0,$B$14,1)) + $B$18/($B$19*$B$19*($DN96&lt;&gt;$DO96) + $B$19*($DN96=$DO96))</f>
        <v>3.7037037037037035E-4</v>
      </c>
      <c r="ER96" s="10" cm="1">
        <f t="array" aca="1" ref="ER96" ca="1">(1-$B$18)*SUMPRODUCT(OFFSET($BO$15,0,0,$B$14,1), 1*(_xlfn._xlws.FILTER(OFFSET($O$15,0,$DN96,$B$8,1),OFFSET($M$15,0,0,$B$8,1))=ER$13), 1*(_xlfn._xlws.FILTER(OFFSET($O$15,0,$DO96,$B$8,1),OFFSET($M$15,0,0,$B$8,1))=ER$14))   /   SUM(OFFSET($BO$15,0,0,$B$14,1)) + $B$18/($B$19*$B$19*($DN96&lt;&gt;$DO96) + $B$19*($DN96=$DO96))</f>
        <v>3.7037037037037035E-4</v>
      </c>
      <c r="ES96" s="10" cm="1">
        <f t="array" aca="1" ref="ES96" ca="1">(1-$B$18)*SUMPRODUCT(OFFSET($BO$15,0,0,$B$14,1), 1*(_xlfn._xlws.FILTER(OFFSET($O$15,0,$DN96,$B$8,1),OFFSET($M$15,0,0,$B$8,1))=ES$13), 1*(_xlfn._xlws.FILTER(OFFSET($O$15,0,$DO96,$B$8,1),OFFSET($M$15,0,0,$B$8,1))=ES$14))   /   SUM(OFFSET($BO$15,0,0,$B$14,1)) + $B$18/($B$19*$B$19*($DN96&lt;&gt;$DO96) + $B$19*($DN96=$DO96))</f>
        <v>3.7037037037037035E-4</v>
      </c>
      <c r="ET96" s="10" cm="1">
        <f t="array" aca="1" ref="ET96" ca="1">(1-$B$18)*SUMPRODUCT(OFFSET($BO$15,0,0,$B$14,1), 1*(_xlfn._xlws.FILTER(OFFSET($O$15,0,$DN96,$B$8,1),OFFSET($M$15,0,0,$B$8,1))=ET$13), 1*(_xlfn._xlws.FILTER(OFFSET($O$15,0,$DO96,$B$8,1),OFFSET($M$15,0,0,$B$8,1))=ET$14))   /   SUM(OFFSET($BO$15,0,0,$B$14,1)) + $B$18/($B$19*$B$19*($DN96&lt;&gt;$DO96) + $B$19*($DN96=$DO96))</f>
        <v>3.7037037037037035E-4</v>
      </c>
      <c r="EU96" s="10" cm="1">
        <f t="array" aca="1" ref="EU96" ca="1">(1-$B$18)*SUMPRODUCT(OFFSET($BO$15,0,0,$B$14,1), 1*(_xlfn._xlws.FILTER(OFFSET($O$15,0,$DN96,$B$8,1),OFFSET($M$15,0,0,$B$8,1))=EU$13), 1*(_xlfn._xlws.FILTER(OFFSET($O$15,0,$DO96,$B$8,1),OFFSET($M$15,0,0,$B$8,1))=EU$14))   /   SUM(OFFSET($BO$15,0,0,$B$14,1)) + $B$18/($B$19*$B$19*($DN96&lt;&gt;$DO96) + $B$19*($DN96=$DO96))</f>
        <v>3.7037037037037035E-4</v>
      </c>
      <c r="EV96" s="10" cm="1">
        <f t="array" aca="1" ref="EV96" ca="1">(1-$B$18)*SUMPRODUCT(OFFSET($BO$15,0,0,$B$14,1), 1*(_xlfn._xlws.FILTER(OFFSET($O$15,0,$DN96,$B$8,1),OFFSET($M$15,0,0,$B$8,1))=EV$13), 1*(_xlfn._xlws.FILTER(OFFSET($O$15,0,$DO96,$B$8,1),OFFSET($M$15,0,0,$B$8,1))=EV$14))   /   SUM(OFFSET($BO$15,0,0,$B$14,1)) + $B$18/($B$19*$B$19*($DN96&lt;&gt;$DO96) + $B$19*($DN96=$DO96))</f>
        <v>3.7037037037037035E-4</v>
      </c>
      <c r="EW96" s="10" cm="1">
        <f t="array" aca="1" ref="EW96" ca="1">(1-$B$18)*SUMPRODUCT(OFFSET($BO$15,0,0,$B$14,1), 1*(_xlfn._xlws.FILTER(OFFSET($O$15,0,$DN96,$B$8,1),OFFSET($M$15,0,0,$B$8,1))=EW$13), 1*(_xlfn._xlws.FILTER(OFFSET($O$15,0,$DO96,$B$8,1),OFFSET($M$15,0,0,$B$8,1))=EW$14))   /   SUM(OFFSET($BO$15,0,0,$B$14,1)) + $B$18/($B$19*$B$19*($DN96&lt;&gt;$DO96) + $B$19*($DN96=$DO96))</f>
        <v>3.7037037037037035E-4</v>
      </c>
      <c r="EX96" s="10" cm="1">
        <f t="array" aca="1" ref="EX96" ca="1">(1-$B$18)*SUMPRODUCT(OFFSET($BO$15,0,0,$B$14,1), 1*(_xlfn._xlws.FILTER(OFFSET($O$15,0,$DN96,$B$8,1),OFFSET($M$15,0,0,$B$8,1))=EX$13), 1*(_xlfn._xlws.FILTER(OFFSET($O$15,0,$DO96,$B$8,1),OFFSET($M$15,0,0,$B$8,1))=EX$14))   /   SUM(OFFSET($BO$15,0,0,$B$14,1)) + $B$18/($B$19*$B$19*($DN96&lt;&gt;$DO96) + $B$19*($DN96=$DO96))</f>
        <v>3.7037037037037035E-4</v>
      </c>
      <c r="EY96" s="10" cm="1">
        <f t="array" aca="1" ref="EY96" ca="1">(1-$B$18)*SUMPRODUCT(OFFSET($BO$15,0,0,$B$14,1), 1*(_xlfn._xlws.FILTER(OFFSET($O$15,0,$DN96,$B$8,1),OFFSET($M$15,0,0,$B$8,1))=EY$13), 1*(_xlfn._xlws.FILTER(OFFSET($O$15,0,$DO96,$B$8,1),OFFSET($M$15,0,0,$B$8,1))=EY$14))   /   SUM(OFFSET($BO$15,0,0,$B$14,1)) + $B$18/($B$19*$B$19*($DN96&lt;&gt;$DO96) + $B$19*($DN96=$DO96))</f>
        <v>3.7037037037037035E-4</v>
      </c>
      <c r="EZ96" s="10" cm="1">
        <f t="array" aca="1" ref="EZ96" ca="1">(1-$B$18)*SUMPRODUCT(OFFSET($BO$15,0,0,$B$14,1), 1*(_xlfn._xlws.FILTER(OFFSET($O$15,0,$DN96,$B$8,1),OFFSET($M$15,0,0,$B$8,1))=EZ$13), 1*(_xlfn._xlws.FILTER(OFFSET($O$15,0,$DO96,$B$8,1),OFFSET($M$15,0,0,$B$8,1))=EZ$14))   /   SUM(OFFSET($BO$15,0,0,$B$14,1)) + $B$18/($B$19*$B$19*($DN96&lt;&gt;$DO96) + $B$19*($DN96=$DO96))</f>
        <v>3.7037037037037035E-4</v>
      </c>
      <c r="FA96" s="10" cm="1">
        <f t="array" aca="1" ref="FA96" ca="1">(1-$B$18)*SUMPRODUCT(OFFSET($BO$15,0,0,$B$14,1), 1*(_xlfn._xlws.FILTER(OFFSET($O$15,0,$DN96,$B$8,1),OFFSET($M$15,0,0,$B$8,1))=FA$13), 1*(_xlfn._xlws.FILTER(OFFSET($O$15,0,$DO96,$B$8,1),OFFSET($M$15,0,0,$B$8,1))=FA$14))   /   SUM(OFFSET($BO$15,0,0,$B$14,1)) + $B$18/($B$19*$B$19*($DN96&lt;&gt;$DO96) + $B$19*($DN96=$DO96))</f>
        <v>3.7037037037037035E-4</v>
      </c>
      <c r="FB96" s="10" cm="1">
        <f t="array" aca="1" ref="FB96" ca="1">(1-$B$18)*SUMPRODUCT(OFFSET($BO$15,0,0,$B$14,1), 1*(_xlfn._xlws.FILTER(OFFSET($O$15,0,$DN96,$B$8,1),OFFSET($M$15,0,0,$B$8,1))=FB$13), 1*(_xlfn._xlws.FILTER(OFFSET($O$15,0,$DO96,$B$8,1),OFFSET($M$15,0,0,$B$8,1))=FB$14))   /   SUM(OFFSET($BO$15,0,0,$B$14,1)) + $B$18/($B$19*$B$19*($DN96&lt;&gt;$DO96) + $B$19*($DN96=$DO96))</f>
        <v>3.7037037037037035E-4</v>
      </c>
      <c r="FC96" s="10" cm="1">
        <f t="array" aca="1" ref="FC96" ca="1">(1-$B$18)*SUMPRODUCT(OFFSET($BO$15,0,0,$B$14,1), 1*(_xlfn._xlws.FILTER(OFFSET($O$15,0,$DN96,$B$8,1),OFFSET($M$15,0,0,$B$8,1))=FC$13), 1*(_xlfn._xlws.FILTER(OFFSET($O$15,0,$DO96,$B$8,1),OFFSET($M$15,0,0,$B$8,1))=FC$14))   /   SUM(OFFSET($BO$15,0,0,$B$14,1)) + $B$18/($B$19*$B$19*($DN96&lt;&gt;$DO96) + $B$19*($DN96=$DO96))</f>
        <v>3.7037037037037035E-4</v>
      </c>
      <c r="FD96" s="10" cm="1">
        <f t="array" aca="1" ref="FD96" ca="1">(1-$B$18)*SUMPRODUCT(OFFSET($BO$15,0,0,$B$14,1), 1*(_xlfn._xlws.FILTER(OFFSET($O$15,0,$DN96,$B$8,1),OFFSET($M$15,0,0,$B$8,1))=FD$13), 1*(_xlfn._xlws.FILTER(OFFSET($O$15,0,$DO96,$B$8,1),OFFSET($M$15,0,0,$B$8,1))=FD$14))   /   SUM(OFFSET($BO$15,0,0,$B$14,1)) + $B$18/($B$19*$B$19*($DN96&lt;&gt;$DO96) + $B$19*($DN96=$DO96))</f>
        <v>3.7037037037037035E-4</v>
      </c>
      <c r="FE96" s="10" cm="1">
        <f t="array" aca="1" ref="FE96" ca="1">(1-$B$18)*SUMPRODUCT(OFFSET($BO$15,0,0,$B$14,1), 1*(_xlfn._xlws.FILTER(OFFSET($O$15,0,$DN96,$B$8,1),OFFSET($M$15,0,0,$B$8,1))=FE$13), 1*(_xlfn._xlws.FILTER(OFFSET($O$15,0,$DO96,$B$8,1),OFFSET($M$15,0,0,$B$8,1))=FE$14))   /   SUM(OFFSET($BO$15,0,0,$B$14,1)) + $B$18/($B$19*$B$19*($DN96&lt;&gt;$DO96) + $B$19*($DN96=$DO96))</f>
        <v>3.7037037037037035E-4</v>
      </c>
      <c r="FF96" s="10" cm="1">
        <f t="array" aca="1" ref="FF96" ca="1">(1-$B$18)*SUMPRODUCT(OFFSET($BO$15,0,0,$B$14,1), 1*(_xlfn._xlws.FILTER(OFFSET($O$15,0,$DN96,$B$8,1),OFFSET($M$15,0,0,$B$8,1))=FF$13), 1*(_xlfn._xlws.FILTER(OFFSET($O$15,0,$DO96,$B$8,1),OFFSET($M$15,0,0,$B$8,1))=FF$14))   /   SUM(OFFSET($BO$15,0,0,$B$14,1)) + $B$18/($B$19*$B$19*($DN96&lt;&gt;$DO96) + $B$19*($DN96=$DO96))</f>
        <v>3.7037037037037035E-4</v>
      </c>
      <c r="FG96" s="10" cm="1">
        <f t="array" aca="1" ref="FG96" ca="1">(1-$B$18)*SUMPRODUCT(OFFSET($BO$15,0,0,$B$14,1), 1*(_xlfn._xlws.FILTER(OFFSET($O$15,0,$DN96,$B$8,1),OFFSET($M$15,0,0,$B$8,1))=FG$13), 1*(_xlfn._xlws.FILTER(OFFSET($O$15,0,$DO96,$B$8,1),OFFSET($M$15,0,0,$B$8,1))=FG$14))   /   SUM(OFFSET($BO$15,0,0,$B$14,1)) + $B$18/($B$19*$B$19*($DN96&lt;&gt;$DO96) + $B$19*($DN96=$DO96))</f>
        <v>3.7037037037037035E-4</v>
      </c>
      <c r="FH96" s="10" cm="1">
        <f t="array" aca="1" ref="FH96" ca="1">(1-$B$18)*SUMPRODUCT(OFFSET($BO$15,0,0,$B$14,1), 1*(_xlfn._xlws.FILTER(OFFSET($O$15,0,$DN96,$B$8,1),OFFSET($M$15,0,0,$B$8,1))=FH$13), 1*(_xlfn._xlws.FILTER(OFFSET($O$15,0,$DO96,$B$8,1),OFFSET($M$15,0,0,$B$8,1))=FH$14))   /   SUM(OFFSET($BO$15,0,0,$B$14,1)) + $B$18/($B$19*$B$19*($DN96&lt;&gt;$DO96) + $B$19*($DN96=$DO96))</f>
        <v>3.7037037037037035E-4</v>
      </c>
      <c r="FI96" s="10" cm="1">
        <f t="array" aca="1" ref="FI96" ca="1">(1-$B$18)*SUMPRODUCT(OFFSET($BO$15,0,0,$B$14,1), 1*(_xlfn._xlws.FILTER(OFFSET($O$15,0,$DN96,$B$8,1),OFFSET($M$15,0,0,$B$8,1))=FI$13), 1*(_xlfn._xlws.FILTER(OFFSET($O$15,0,$DO96,$B$8,1),OFFSET($M$15,0,0,$B$8,1))=FI$14))   /   SUM(OFFSET($BO$15,0,0,$B$14,1)) + $B$18/($B$19*$B$19*($DN96&lt;&gt;$DO96) + $B$19*($DN96=$DO96))</f>
        <v>3.7037037037037035E-4</v>
      </c>
      <c r="FJ96" s="10" cm="1">
        <f t="array" aca="1" ref="FJ96" ca="1">(1-$B$18)*SUMPRODUCT(OFFSET($BO$15,0,0,$B$14,1), 1*(_xlfn._xlws.FILTER(OFFSET($O$15,0,$DN96,$B$8,1),OFFSET($M$15,0,0,$B$8,1))=FJ$13), 1*(_xlfn._xlws.FILTER(OFFSET($O$15,0,$DO96,$B$8,1),OFFSET($M$15,0,0,$B$8,1))=FJ$14))   /   SUM(OFFSET($BO$15,0,0,$B$14,1)) + $B$18/($B$19*$B$19*($DN96&lt;&gt;$DO96) + $B$19*($DN96=$DO96))</f>
        <v>3.7037037037037035E-4</v>
      </c>
      <c r="FK96" s="10" cm="1">
        <f t="array" aca="1" ref="FK96" ca="1">(1-$B$18)*SUMPRODUCT(OFFSET($BO$15,0,0,$B$14,1), 1*(_xlfn._xlws.FILTER(OFFSET($O$15,0,$DN96,$B$8,1),OFFSET($M$15,0,0,$B$8,1))=FK$13), 1*(_xlfn._xlws.FILTER(OFFSET($O$15,0,$DO96,$B$8,1),OFFSET($M$15,0,0,$B$8,1))=FK$14))   /   SUM(OFFSET($BO$15,0,0,$B$14,1)) + $B$18/($B$19*$B$19*($DN96&lt;&gt;$DO96) + $B$19*($DN96=$DO96))</f>
        <v>3.7037037037037035E-4</v>
      </c>
      <c r="FL96" s="10" cm="1">
        <f t="array" aca="1" ref="FL96" ca="1">(1-$B$18)*SUMPRODUCT(OFFSET($BO$15,0,0,$B$14,1), 1*(_xlfn._xlws.FILTER(OFFSET($O$15,0,$DN96,$B$8,1),OFFSET($M$15,0,0,$B$8,1))=FL$13), 1*(_xlfn._xlws.FILTER(OFFSET($O$15,0,$DO96,$B$8,1),OFFSET($M$15,0,0,$B$8,1))=FL$14))   /   SUM(OFFSET($BO$15,0,0,$B$14,1)) + $B$18/($B$19*$B$19*($DN96&lt;&gt;$DO96) + $B$19*($DN96=$DO96))</f>
        <v>3.7037037037037035E-4</v>
      </c>
      <c r="FM96" s="10" cm="1">
        <f t="array" aca="1" ref="FM96" ca="1">(1-$B$18)*SUMPRODUCT(OFFSET($BO$15,0,0,$B$14,1), 1*(_xlfn._xlws.FILTER(OFFSET($O$15,0,$DN96,$B$8,1),OFFSET($M$15,0,0,$B$8,1))=FM$13), 1*(_xlfn._xlws.FILTER(OFFSET($O$15,0,$DO96,$B$8,1),OFFSET($M$15,0,0,$B$8,1))=FM$14))   /   SUM(OFFSET($BO$15,0,0,$B$14,1)) + $B$18/($B$19*$B$19*($DN96&lt;&gt;$DO96) + $B$19*($DN96=$DO96))</f>
        <v>3.7037037037037035E-4</v>
      </c>
      <c r="FN96" s="10" cm="1">
        <f t="array" aca="1" ref="FN96" ca="1">(1-$B$18)*SUMPRODUCT(OFFSET($BO$15,0,0,$B$14,1), 1*(_xlfn._xlws.FILTER(OFFSET($O$15,0,$DN96,$B$8,1),OFFSET($M$15,0,0,$B$8,1))=FN$13), 1*(_xlfn._xlws.FILTER(OFFSET($O$15,0,$DO96,$B$8,1),OFFSET($M$15,0,0,$B$8,1))=FN$14))   /   SUM(OFFSET($BO$15,0,0,$B$14,1)) + $B$18/($B$19*$B$19*($DN96&lt;&gt;$DO96) + $B$19*($DN96=$DO96))</f>
        <v>3.7037037037037035E-4</v>
      </c>
      <c r="FO96" s="10" cm="1">
        <f t="array" aca="1" ref="FO96" ca="1">(1-$B$18)*SUMPRODUCT(OFFSET($BO$15,0,0,$B$14,1), 1*(_xlfn._xlws.FILTER(OFFSET($O$15,0,$DN96,$B$8,1),OFFSET($M$15,0,0,$B$8,1))=FO$13), 1*(_xlfn._xlws.FILTER(OFFSET($O$15,0,$DO96,$B$8,1),OFFSET($M$15,0,0,$B$8,1))=FO$14))   /   SUM(OFFSET($BO$15,0,0,$B$14,1)) + $B$18/($B$19*$B$19*($DN96&lt;&gt;$DO96) + $B$19*($DN96=$DO96))</f>
        <v>3.7037037037037035E-4</v>
      </c>
      <c r="FP96" s="10" cm="1">
        <f t="array" aca="1" ref="FP96" ca="1">(1-$B$18)*SUMPRODUCT(OFFSET($BO$15,0,0,$B$14,1), 1*(_xlfn._xlws.FILTER(OFFSET($O$15,0,$DN96,$B$8,1),OFFSET($M$15,0,0,$B$8,1))=FP$13), 1*(_xlfn._xlws.FILTER(OFFSET($O$15,0,$DO96,$B$8,1),OFFSET($M$15,0,0,$B$8,1))=FP$14))   /   SUM(OFFSET($BO$15,0,0,$B$14,1)) + $B$18/($B$19*$B$19*($DN96&lt;&gt;$DO96) + $B$19*($DN96=$DO96))</f>
        <v>3.7037037037037035E-4</v>
      </c>
      <c r="FQ96" s="10" cm="1">
        <f t="array" aca="1" ref="FQ96" ca="1">(1-$B$18)*SUMPRODUCT(OFFSET($BO$15,0,0,$B$14,1), 1*(_xlfn._xlws.FILTER(OFFSET($O$15,0,$DN96,$B$8,1),OFFSET($M$15,0,0,$B$8,1))=FQ$13), 1*(_xlfn._xlws.FILTER(OFFSET($O$15,0,$DO96,$B$8,1),OFFSET($M$15,0,0,$B$8,1))=FQ$14))   /   SUM(OFFSET($BO$15,0,0,$B$14,1)) + $B$18/($B$19*$B$19*($DN96&lt;&gt;$DO96) + $B$19*($DN96=$DO96))</f>
        <v>3.7037037037037035E-4</v>
      </c>
      <c r="FR96" s="10" cm="1">
        <f t="array" aca="1" ref="FR96" ca="1">(1-$B$18)*SUMPRODUCT(OFFSET($BO$15,0,0,$B$14,1), 1*(_xlfn._xlws.FILTER(OFFSET($O$15,0,$DN96,$B$8,1),OFFSET($M$15,0,0,$B$8,1))=FR$13), 1*(_xlfn._xlws.FILTER(OFFSET($O$15,0,$DO96,$B$8,1),OFFSET($M$15,0,0,$B$8,1))=FR$14))   /   SUM(OFFSET($BO$15,0,0,$B$14,1)) + $B$18/($B$19*$B$19*($DN96&lt;&gt;$DO96) + $B$19*($DN96=$DO96))</f>
        <v>0.97037037037037033</v>
      </c>
      <c r="FS96" s="10" cm="1">
        <f t="array" aca="1" ref="FS96" ca="1">(1-$B$18)*SUMPRODUCT(OFFSET($BO$15,0,0,$B$14,1), 1*(_xlfn._xlws.FILTER(OFFSET($O$15,0,$DN96,$B$8,1),OFFSET($M$15,0,0,$B$8,1))=FS$13), 1*(_xlfn._xlws.FILTER(OFFSET($O$15,0,$DO96,$B$8,1),OFFSET($M$15,0,0,$B$8,1))=FS$14))   /   SUM(OFFSET($BO$15,0,0,$B$14,1)) + $B$18/($B$19*$B$19*($DN96&lt;&gt;$DO96) + $B$19*($DN96=$DO96))</f>
        <v>3.7037037037037035E-4</v>
      </c>
      <c r="FT96" s="10" cm="1">
        <f t="array" aca="1" ref="FT96" ca="1">(1-$B$18)*SUMPRODUCT(OFFSET($BO$15,0,0,$B$14,1), 1*(_xlfn._xlws.FILTER(OFFSET($O$15,0,$DN96,$B$8,1),OFFSET($M$15,0,0,$B$8,1))=FT$13), 1*(_xlfn._xlws.FILTER(OFFSET($O$15,0,$DO96,$B$8,1),OFFSET($M$15,0,0,$B$8,1))=FT$14))   /   SUM(OFFSET($BO$15,0,0,$B$14,1)) + $B$18/($B$19*$B$19*($DN96&lt;&gt;$DO96) + $B$19*($DN96=$DO96))</f>
        <v>3.7037037037037035E-4</v>
      </c>
      <c r="FU96" s="10" cm="1">
        <f t="array" aca="1" ref="FU96" ca="1">(1-$B$18)*SUMPRODUCT(OFFSET($BO$15,0,0,$B$14,1), 1*(_xlfn._xlws.FILTER(OFFSET($O$15,0,$DN96,$B$8,1),OFFSET($M$15,0,0,$B$8,1))=FU$13), 1*(_xlfn._xlws.FILTER(OFFSET($O$15,0,$DO96,$B$8,1),OFFSET($M$15,0,0,$B$8,1))=FU$14))   /   SUM(OFFSET($BO$15,0,0,$B$14,1)) + $B$18/($B$19*$B$19*($DN96&lt;&gt;$DO96) + $B$19*($DN96=$DO96))</f>
        <v>3.7037037037037035E-4</v>
      </c>
      <c r="FV96" s="10" cm="1">
        <f t="array" aca="1" ref="FV96" ca="1">(1-$B$18)*SUMPRODUCT(OFFSET($BO$15,0,0,$B$14,1), 1*(_xlfn._xlws.FILTER(OFFSET($O$15,0,$DN96,$B$8,1),OFFSET($M$15,0,0,$B$8,1))=FV$13), 1*(_xlfn._xlws.FILTER(OFFSET($O$15,0,$DO96,$B$8,1),OFFSET($M$15,0,0,$B$8,1))=FV$14))   /   SUM(OFFSET($BO$15,0,0,$B$14,1)) + $B$18/($B$19*$B$19*($DN96&lt;&gt;$DO96) + $B$19*($DN96=$DO96))</f>
        <v>3.7037037037037035E-4</v>
      </c>
      <c r="FW96" s="10" cm="1">
        <f t="array" aca="1" ref="FW96" ca="1">(1-$B$18)*SUMPRODUCT(OFFSET($BO$15,0,0,$B$14,1), 1*(_xlfn._xlws.FILTER(OFFSET($O$15,0,$DN96,$B$8,1),OFFSET($M$15,0,0,$B$8,1))=FW$13), 1*(_xlfn._xlws.FILTER(OFFSET($O$15,0,$DO96,$B$8,1),OFFSET($M$15,0,0,$B$8,1))=FW$14))   /   SUM(OFFSET($BO$15,0,0,$B$14,1)) + $B$18/($B$19*$B$19*($DN96&lt;&gt;$DO96) + $B$19*($DN96=$DO96))</f>
        <v>3.7037037037037035E-4</v>
      </c>
      <c r="FX96" s="10" cm="1">
        <f t="array" aca="1" ref="FX96" ca="1">(1-$B$18)*SUMPRODUCT(OFFSET($BO$15,0,0,$B$14,1), 1*(_xlfn._xlws.FILTER(OFFSET($O$15,0,$DN96,$B$8,1),OFFSET($M$15,0,0,$B$8,1))=FX$13), 1*(_xlfn._xlws.FILTER(OFFSET($O$15,0,$DO96,$B$8,1),OFFSET($M$15,0,0,$B$8,1))=FX$14))   /   SUM(OFFSET($BO$15,0,0,$B$14,1)) + $B$18/($B$19*$B$19*($DN96&lt;&gt;$DO96) + $B$19*($DN96=$DO96))</f>
        <v>3.7037037037037035E-4</v>
      </c>
      <c r="FY96" s="10" cm="1">
        <f t="array" aca="1" ref="FY96" ca="1">(1-$B$18)*SUMPRODUCT(OFFSET($BO$15,0,0,$B$14,1), 1*(_xlfn._xlws.FILTER(OFFSET($O$15,0,$DN96,$B$8,1),OFFSET($M$15,0,0,$B$8,1))=FY$13), 1*(_xlfn._xlws.FILTER(OFFSET($O$15,0,$DO96,$B$8,1),OFFSET($M$15,0,0,$B$8,1))=FY$14))   /   SUM(OFFSET($BO$15,0,0,$B$14,1)) + $B$18/($B$19*$B$19*($DN96&lt;&gt;$DO96) + $B$19*($DN96=$DO96))</f>
        <v>3.7037037037037035E-4</v>
      </c>
      <c r="FZ96" s="10" cm="1">
        <f t="array" aca="1" ref="FZ96" ca="1">(1-$B$18)*SUMPRODUCT(OFFSET($BO$15,0,0,$B$14,1), 1*(_xlfn._xlws.FILTER(OFFSET($O$15,0,$DN96,$B$8,1),OFFSET($M$15,0,0,$B$8,1))=FZ$13), 1*(_xlfn._xlws.FILTER(OFFSET($O$15,0,$DO96,$B$8,1),OFFSET($M$15,0,0,$B$8,1))=FZ$14))   /   SUM(OFFSET($BO$15,0,0,$B$14,1)) + $B$18/($B$19*$B$19*($DN96&lt;&gt;$DO96) + $B$19*($DN96=$DO96))</f>
        <v>3.7037037037037035E-4</v>
      </c>
      <c r="GA96" s="10" cm="1">
        <f t="array" aca="1" ref="GA96" ca="1">(1-$B$18)*SUMPRODUCT(OFFSET($BO$15,0,0,$B$14,1), 1*(_xlfn._xlws.FILTER(OFFSET($O$15,0,$DN96,$B$8,1),OFFSET($M$15,0,0,$B$8,1))=GA$13), 1*(_xlfn._xlws.FILTER(OFFSET($O$15,0,$DO96,$B$8,1),OFFSET($M$15,0,0,$B$8,1))=GA$14))   /   SUM(OFFSET($BO$15,0,0,$B$14,1)) + $B$18/($B$19*$B$19*($DN96&lt;&gt;$DO96) + $B$19*($DN96=$DO96))</f>
        <v>3.7037037037037035E-4</v>
      </c>
    </row>
    <row r="97" spans="8:183" x14ac:dyDescent="0.2">
      <c r="H97" s="2"/>
      <c r="DN97" cm="1">
        <f t="array" aca="1" ref="DN97" ca="1">INDEX(_xlfn.ANCHORARRAY($CP$15), 1 + INT((ROWS($DO$15:$DO97) - 1) / ROWS(_xlfn.ANCHORARRAY($CP$15))))</f>
        <v>4</v>
      </c>
      <c r="DO97" cm="1">
        <f t="array" aca="1" ref="DO97" ca="1">INDEX(_xlfn.ANCHORARRAY($CP$15),1+MOD(ROWS($DO$15:$DO97)-1,ROWS(_xlfn.ANCHORARRAY($CP$15))))</f>
        <v>6</v>
      </c>
      <c r="DP97" s="10" cm="1">
        <f t="array" aca="1" ref="DP97" ca="1">(1-$B$18)*SUMPRODUCT(OFFSET($BO$15,0,0,$B$14,1), 1*(_xlfn._xlws.FILTER(OFFSET($O$15,0,$DN97,$B$8,1),OFFSET($M$15,0,0,$B$8,1))=DP$13), 1*(_xlfn._xlws.FILTER(OFFSET($O$15,0,$DO97,$B$8,1),OFFSET($M$15,0,0,$B$8,1))=DP$14))   /   SUM(OFFSET($BO$15,0,0,$B$14,1)) + $B$18/($B$19*$B$19*($DN97&lt;&gt;$DO97) + $B$19*($DN97=$DO97))</f>
        <v>3.7037037037037035E-4</v>
      </c>
      <c r="DQ97" s="10" cm="1">
        <f t="array" aca="1" ref="DQ97" ca="1">(1-$B$18)*SUMPRODUCT(OFFSET($BO$15,0,0,$B$14,1), 1*(_xlfn._xlws.FILTER(OFFSET($O$15,0,$DN97,$B$8,1),OFFSET($M$15,0,0,$B$8,1))=DQ$13), 1*(_xlfn._xlws.FILTER(OFFSET($O$15,0,$DO97,$B$8,1),OFFSET($M$15,0,0,$B$8,1))=DQ$14))   /   SUM(OFFSET($BO$15,0,0,$B$14,1)) + $B$18/($B$19*$B$19*($DN97&lt;&gt;$DO97) + $B$19*($DN97=$DO97))</f>
        <v>3.7037037037037035E-4</v>
      </c>
      <c r="DR97" s="10" cm="1">
        <f t="array" aca="1" ref="DR97" ca="1">(1-$B$18)*SUMPRODUCT(OFFSET($BO$15,0,0,$B$14,1), 1*(_xlfn._xlws.FILTER(OFFSET($O$15,0,$DN97,$B$8,1),OFFSET($M$15,0,0,$B$8,1))=DR$13), 1*(_xlfn._xlws.FILTER(OFFSET($O$15,0,$DO97,$B$8,1),OFFSET($M$15,0,0,$B$8,1))=DR$14))   /   SUM(OFFSET($BO$15,0,0,$B$14,1)) + $B$18/($B$19*$B$19*($DN97&lt;&gt;$DO97) + $B$19*($DN97=$DO97))</f>
        <v>3.7037037037037035E-4</v>
      </c>
      <c r="DS97" s="10" cm="1">
        <f t="array" aca="1" ref="DS97" ca="1">(1-$B$18)*SUMPRODUCT(OFFSET($BO$15,0,0,$B$14,1), 1*(_xlfn._xlws.FILTER(OFFSET($O$15,0,$DN97,$B$8,1),OFFSET($M$15,0,0,$B$8,1))=DS$13), 1*(_xlfn._xlws.FILTER(OFFSET($O$15,0,$DO97,$B$8,1),OFFSET($M$15,0,0,$B$8,1))=DS$14))   /   SUM(OFFSET($BO$15,0,0,$B$14,1)) + $B$18/($B$19*$B$19*($DN97&lt;&gt;$DO97) + $B$19*($DN97=$DO97))</f>
        <v>3.7037037037037035E-4</v>
      </c>
      <c r="DT97" s="10" cm="1">
        <f t="array" aca="1" ref="DT97" ca="1">(1-$B$18)*SUMPRODUCT(OFFSET($BO$15,0,0,$B$14,1), 1*(_xlfn._xlws.FILTER(OFFSET($O$15,0,$DN97,$B$8,1),OFFSET($M$15,0,0,$B$8,1))=DT$13), 1*(_xlfn._xlws.FILTER(OFFSET($O$15,0,$DO97,$B$8,1),OFFSET($M$15,0,0,$B$8,1))=DT$14))   /   SUM(OFFSET($BO$15,0,0,$B$14,1)) + $B$18/($B$19*$B$19*($DN97&lt;&gt;$DO97) + $B$19*($DN97=$DO97))</f>
        <v>3.7037037037037035E-4</v>
      </c>
      <c r="DU97" s="10" cm="1">
        <f t="array" aca="1" ref="DU97" ca="1">(1-$B$18)*SUMPRODUCT(OFFSET($BO$15,0,0,$B$14,1), 1*(_xlfn._xlws.FILTER(OFFSET($O$15,0,$DN97,$B$8,1),OFFSET($M$15,0,0,$B$8,1))=DU$13), 1*(_xlfn._xlws.FILTER(OFFSET($O$15,0,$DO97,$B$8,1),OFFSET($M$15,0,0,$B$8,1))=DU$14))   /   SUM(OFFSET($BO$15,0,0,$B$14,1)) + $B$18/($B$19*$B$19*($DN97&lt;&gt;$DO97) + $B$19*($DN97=$DO97))</f>
        <v>3.7037037037037035E-4</v>
      </c>
      <c r="DV97" s="10" cm="1">
        <f t="array" aca="1" ref="DV97" ca="1">(1-$B$18)*SUMPRODUCT(OFFSET($BO$15,0,0,$B$14,1), 1*(_xlfn._xlws.FILTER(OFFSET($O$15,0,$DN97,$B$8,1),OFFSET($M$15,0,0,$B$8,1))=DV$13), 1*(_xlfn._xlws.FILTER(OFFSET($O$15,0,$DO97,$B$8,1),OFFSET($M$15,0,0,$B$8,1))=DV$14))   /   SUM(OFFSET($BO$15,0,0,$B$14,1)) + $B$18/($B$19*$B$19*($DN97&lt;&gt;$DO97) + $B$19*($DN97=$DO97))</f>
        <v>3.7037037037037035E-4</v>
      </c>
      <c r="DW97" s="10" cm="1">
        <f t="array" aca="1" ref="DW97" ca="1">(1-$B$18)*SUMPRODUCT(OFFSET($BO$15,0,0,$B$14,1), 1*(_xlfn._xlws.FILTER(OFFSET($O$15,0,$DN97,$B$8,1),OFFSET($M$15,0,0,$B$8,1))=DW$13), 1*(_xlfn._xlws.FILTER(OFFSET($O$15,0,$DO97,$B$8,1),OFFSET($M$15,0,0,$B$8,1))=DW$14))   /   SUM(OFFSET($BO$15,0,0,$B$14,1)) + $B$18/($B$19*$B$19*($DN97&lt;&gt;$DO97) + $B$19*($DN97=$DO97))</f>
        <v>3.7037037037037035E-4</v>
      </c>
      <c r="DX97" s="10" cm="1">
        <f t="array" aca="1" ref="DX97" ca="1">(1-$B$18)*SUMPRODUCT(OFFSET($BO$15,0,0,$B$14,1), 1*(_xlfn._xlws.FILTER(OFFSET($O$15,0,$DN97,$B$8,1),OFFSET($M$15,0,0,$B$8,1))=DX$13), 1*(_xlfn._xlws.FILTER(OFFSET($O$15,0,$DO97,$B$8,1),OFFSET($M$15,0,0,$B$8,1))=DX$14))   /   SUM(OFFSET($BO$15,0,0,$B$14,1)) + $B$18/($B$19*$B$19*($DN97&lt;&gt;$DO97) + $B$19*($DN97=$DO97))</f>
        <v>3.7037037037037035E-4</v>
      </c>
      <c r="DY97" s="10" cm="1">
        <f t="array" aca="1" ref="DY97" ca="1">(1-$B$18)*SUMPRODUCT(OFFSET($BO$15,0,0,$B$14,1), 1*(_xlfn._xlws.FILTER(OFFSET($O$15,0,$DN97,$B$8,1),OFFSET($M$15,0,0,$B$8,1))=DY$13), 1*(_xlfn._xlws.FILTER(OFFSET($O$15,0,$DO97,$B$8,1),OFFSET($M$15,0,0,$B$8,1))=DY$14))   /   SUM(OFFSET($BO$15,0,0,$B$14,1)) + $B$18/($B$19*$B$19*($DN97&lt;&gt;$DO97) + $B$19*($DN97=$DO97))</f>
        <v>3.7037037037037035E-4</v>
      </c>
      <c r="DZ97" s="10" cm="1">
        <f t="array" aca="1" ref="DZ97" ca="1">(1-$B$18)*SUMPRODUCT(OFFSET($BO$15,0,0,$B$14,1), 1*(_xlfn._xlws.FILTER(OFFSET($O$15,0,$DN97,$B$8,1),OFFSET($M$15,0,0,$B$8,1))=DZ$13), 1*(_xlfn._xlws.FILTER(OFFSET($O$15,0,$DO97,$B$8,1),OFFSET($M$15,0,0,$B$8,1))=DZ$14))   /   SUM(OFFSET($BO$15,0,0,$B$14,1)) + $B$18/($B$19*$B$19*($DN97&lt;&gt;$DO97) + $B$19*($DN97=$DO97))</f>
        <v>3.7037037037037035E-4</v>
      </c>
      <c r="EA97" s="10" cm="1">
        <f t="array" aca="1" ref="EA97" ca="1">(1-$B$18)*SUMPRODUCT(OFFSET($BO$15,0,0,$B$14,1), 1*(_xlfn._xlws.FILTER(OFFSET($O$15,0,$DN97,$B$8,1),OFFSET($M$15,0,0,$B$8,1))=EA$13), 1*(_xlfn._xlws.FILTER(OFFSET($O$15,0,$DO97,$B$8,1),OFFSET($M$15,0,0,$B$8,1))=EA$14))   /   SUM(OFFSET($BO$15,0,0,$B$14,1)) + $B$18/($B$19*$B$19*($DN97&lt;&gt;$DO97) + $B$19*($DN97=$DO97))</f>
        <v>3.7037037037037035E-4</v>
      </c>
      <c r="EB97" s="10" cm="1">
        <f t="array" aca="1" ref="EB97" ca="1">(1-$B$18)*SUMPRODUCT(OFFSET($BO$15,0,0,$B$14,1), 1*(_xlfn._xlws.FILTER(OFFSET($O$15,0,$DN97,$B$8,1),OFFSET($M$15,0,0,$B$8,1))=EB$13), 1*(_xlfn._xlws.FILTER(OFFSET($O$15,0,$DO97,$B$8,1),OFFSET($M$15,0,0,$B$8,1))=EB$14))   /   SUM(OFFSET($BO$15,0,0,$B$14,1)) + $B$18/($B$19*$B$19*($DN97&lt;&gt;$DO97) + $B$19*($DN97=$DO97))</f>
        <v>3.7037037037037035E-4</v>
      </c>
      <c r="EC97" s="10" cm="1">
        <f t="array" aca="1" ref="EC97" ca="1">(1-$B$18)*SUMPRODUCT(OFFSET($BO$15,0,0,$B$14,1), 1*(_xlfn._xlws.FILTER(OFFSET($O$15,0,$DN97,$B$8,1),OFFSET($M$15,0,0,$B$8,1))=EC$13), 1*(_xlfn._xlws.FILTER(OFFSET($O$15,0,$DO97,$B$8,1),OFFSET($M$15,0,0,$B$8,1))=EC$14))   /   SUM(OFFSET($BO$15,0,0,$B$14,1)) + $B$18/($B$19*$B$19*($DN97&lt;&gt;$DO97) + $B$19*($DN97=$DO97))</f>
        <v>3.7037037037037035E-4</v>
      </c>
      <c r="ED97" s="10" cm="1">
        <f t="array" aca="1" ref="ED97" ca="1">(1-$B$18)*SUMPRODUCT(OFFSET($BO$15,0,0,$B$14,1), 1*(_xlfn._xlws.FILTER(OFFSET($O$15,0,$DN97,$B$8,1),OFFSET($M$15,0,0,$B$8,1))=ED$13), 1*(_xlfn._xlws.FILTER(OFFSET($O$15,0,$DO97,$B$8,1),OFFSET($M$15,0,0,$B$8,1))=ED$14))   /   SUM(OFFSET($BO$15,0,0,$B$14,1)) + $B$18/($B$19*$B$19*($DN97&lt;&gt;$DO97) + $B$19*($DN97=$DO97))</f>
        <v>3.7037037037037035E-4</v>
      </c>
      <c r="EE97" s="10" cm="1">
        <f t="array" aca="1" ref="EE97" ca="1">(1-$B$18)*SUMPRODUCT(OFFSET($BO$15,0,0,$B$14,1), 1*(_xlfn._xlws.FILTER(OFFSET($O$15,0,$DN97,$B$8,1),OFFSET($M$15,0,0,$B$8,1))=EE$13), 1*(_xlfn._xlws.FILTER(OFFSET($O$15,0,$DO97,$B$8,1),OFFSET($M$15,0,0,$B$8,1))=EE$14))   /   SUM(OFFSET($BO$15,0,0,$B$14,1)) + $B$18/($B$19*$B$19*($DN97&lt;&gt;$DO97) + $B$19*($DN97=$DO97))</f>
        <v>3.7037037037037035E-4</v>
      </c>
      <c r="EF97" s="10" cm="1">
        <f t="array" aca="1" ref="EF97" ca="1">(1-$B$18)*SUMPRODUCT(OFFSET($BO$15,0,0,$B$14,1), 1*(_xlfn._xlws.FILTER(OFFSET($O$15,0,$DN97,$B$8,1),OFFSET($M$15,0,0,$B$8,1))=EF$13), 1*(_xlfn._xlws.FILTER(OFFSET($O$15,0,$DO97,$B$8,1),OFFSET($M$15,0,0,$B$8,1))=EF$14))   /   SUM(OFFSET($BO$15,0,0,$B$14,1)) + $B$18/($B$19*$B$19*($DN97&lt;&gt;$DO97) + $B$19*($DN97=$DO97))</f>
        <v>3.7037037037037035E-4</v>
      </c>
      <c r="EG97" s="10" cm="1">
        <f t="array" aca="1" ref="EG97" ca="1">(1-$B$18)*SUMPRODUCT(OFFSET($BO$15,0,0,$B$14,1), 1*(_xlfn._xlws.FILTER(OFFSET($O$15,0,$DN97,$B$8,1),OFFSET($M$15,0,0,$B$8,1))=EG$13), 1*(_xlfn._xlws.FILTER(OFFSET($O$15,0,$DO97,$B$8,1),OFFSET($M$15,0,0,$B$8,1))=EG$14))   /   SUM(OFFSET($BO$15,0,0,$B$14,1)) + $B$18/($B$19*$B$19*($DN97&lt;&gt;$DO97) + $B$19*($DN97=$DO97))</f>
        <v>3.7037037037037035E-4</v>
      </c>
      <c r="EH97" s="10" cm="1">
        <f t="array" aca="1" ref="EH97" ca="1">(1-$B$18)*SUMPRODUCT(OFFSET($BO$15,0,0,$B$14,1), 1*(_xlfn._xlws.FILTER(OFFSET($O$15,0,$DN97,$B$8,1),OFFSET($M$15,0,0,$B$8,1))=EH$13), 1*(_xlfn._xlws.FILTER(OFFSET($O$15,0,$DO97,$B$8,1),OFFSET($M$15,0,0,$B$8,1))=EH$14))   /   SUM(OFFSET($BO$15,0,0,$B$14,1)) + $B$18/($B$19*$B$19*($DN97&lt;&gt;$DO97) + $B$19*($DN97=$DO97))</f>
        <v>3.7037037037037035E-4</v>
      </c>
      <c r="EI97" s="10" cm="1">
        <f t="array" aca="1" ref="EI97" ca="1">(1-$B$18)*SUMPRODUCT(OFFSET($BO$15,0,0,$B$14,1), 1*(_xlfn._xlws.FILTER(OFFSET($O$15,0,$DN97,$B$8,1),OFFSET($M$15,0,0,$B$8,1))=EI$13), 1*(_xlfn._xlws.FILTER(OFFSET($O$15,0,$DO97,$B$8,1),OFFSET($M$15,0,0,$B$8,1))=EI$14))   /   SUM(OFFSET($BO$15,0,0,$B$14,1)) + $B$18/($B$19*$B$19*($DN97&lt;&gt;$DO97) + $B$19*($DN97=$DO97))</f>
        <v>3.7037037037037035E-4</v>
      </c>
      <c r="EJ97" s="10" cm="1">
        <f t="array" aca="1" ref="EJ97" ca="1">(1-$B$18)*SUMPRODUCT(OFFSET($BO$15,0,0,$B$14,1), 1*(_xlfn._xlws.FILTER(OFFSET($O$15,0,$DN97,$B$8,1),OFFSET($M$15,0,0,$B$8,1))=EJ$13), 1*(_xlfn._xlws.FILTER(OFFSET($O$15,0,$DO97,$B$8,1),OFFSET($M$15,0,0,$B$8,1))=EJ$14))   /   SUM(OFFSET($BO$15,0,0,$B$14,1)) + $B$18/($B$19*$B$19*($DN97&lt;&gt;$DO97) + $B$19*($DN97=$DO97))</f>
        <v>3.7037037037037035E-4</v>
      </c>
      <c r="EK97" s="10" cm="1">
        <f t="array" aca="1" ref="EK97" ca="1">(1-$B$18)*SUMPRODUCT(OFFSET($BO$15,0,0,$B$14,1), 1*(_xlfn._xlws.FILTER(OFFSET($O$15,0,$DN97,$B$8,1),OFFSET($M$15,0,0,$B$8,1))=EK$13), 1*(_xlfn._xlws.FILTER(OFFSET($O$15,0,$DO97,$B$8,1),OFFSET($M$15,0,0,$B$8,1))=EK$14))   /   SUM(OFFSET($BO$15,0,0,$B$14,1)) + $B$18/($B$19*$B$19*($DN97&lt;&gt;$DO97) + $B$19*($DN97=$DO97))</f>
        <v>3.7037037037037035E-4</v>
      </c>
      <c r="EL97" s="10" cm="1">
        <f t="array" aca="1" ref="EL97" ca="1">(1-$B$18)*SUMPRODUCT(OFFSET($BO$15,0,0,$B$14,1), 1*(_xlfn._xlws.FILTER(OFFSET($O$15,0,$DN97,$B$8,1),OFFSET($M$15,0,0,$B$8,1))=EL$13), 1*(_xlfn._xlws.FILTER(OFFSET($O$15,0,$DO97,$B$8,1),OFFSET($M$15,0,0,$B$8,1))=EL$14))   /   SUM(OFFSET($BO$15,0,0,$B$14,1)) + $B$18/($B$19*$B$19*($DN97&lt;&gt;$DO97) + $B$19*($DN97=$DO97))</f>
        <v>3.7037037037037035E-4</v>
      </c>
      <c r="EM97" s="10" cm="1">
        <f t="array" aca="1" ref="EM97" ca="1">(1-$B$18)*SUMPRODUCT(OFFSET($BO$15,0,0,$B$14,1), 1*(_xlfn._xlws.FILTER(OFFSET($O$15,0,$DN97,$B$8,1),OFFSET($M$15,0,0,$B$8,1))=EM$13), 1*(_xlfn._xlws.FILTER(OFFSET($O$15,0,$DO97,$B$8,1),OFFSET($M$15,0,0,$B$8,1))=EM$14))   /   SUM(OFFSET($BO$15,0,0,$B$14,1)) + $B$18/($B$19*$B$19*($DN97&lt;&gt;$DO97) + $B$19*($DN97=$DO97))</f>
        <v>3.7037037037037035E-4</v>
      </c>
      <c r="EN97" s="10" cm="1">
        <f t="array" aca="1" ref="EN97" ca="1">(1-$B$18)*SUMPRODUCT(OFFSET($BO$15,0,0,$B$14,1), 1*(_xlfn._xlws.FILTER(OFFSET($O$15,0,$DN97,$B$8,1),OFFSET($M$15,0,0,$B$8,1))=EN$13), 1*(_xlfn._xlws.FILTER(OFFSET($O$15,0,$DO97,$B$8,1),OFFSET($M$15,0,0,$B$8,1))=EN$14))   /   SUM(OFFSET($BO$15,0,0,$B$14,1)) + $B$18/($B$19*$B$19*($DN97&lt;&gt;$DO97) + $B$19*($DN97=$DO97))</f>
        <v>3.7037037037037035E-4</v>
      </c>
      <c r="EO97" s="10" cm="1">
        <f t="array" aca="1" ref="EO97" ca="1">(1-$B$18)*SUMPRODUCT(OFFSET($BO$15,0,0,$B$14,1), 1*(_xlfn._xlws.FILTER(OFFSET($O$15,0,$DN97,$B$8,1),OFFSET($M$15,0,0,$B$8,1))=EO$13), 1*(_xlfn._xlws.FILTER(OFFSET($O$15,0,$DO97,$B$8,1),OFFSET($M$15,0,0,$B$8,1))=EO$14))   /   SUM(OFFSET($BO$15,0,0,$B$14,1)) + $B$18/($B$19*$B$19*($DN97&lt;&gt;$DO97) + $B$19*($DN97=$DO97))</f>
        <v>3.7037037037037035E-4</v>
      </c>
      <c r="EP97" s="10" cm="1">
        <f t="array" aca="1" ref="EP97" ca="1">(1-$B$18)*SUMPRODUCT(OFFSET($BO$15,0,0,$B$14,1), 1*(_xlfn._xlws.FILTER(OFFSET($O$15,0,$DN97,$B$8,1),OFFSET($M$15,0,0,$B$8,1))=EP$13), 1*(_xlfn._xlws.FILTER(OFFSET($O$15,0,$DO97,$B$8,1),OFFSET($M$15,0,0,$B$8,1))=EP$14))   /   SUM(OFFSET($BO$15,0,0,$B$14,1)) + $B$18/($B$19*$B$19*($DN97&lt;&gt;$DO97) + $B$19*($DN97=$DO97))</f>
        <v>3.7037037037037035E-4</v>
      </c>
      <c r="EQ97" s="10" cm="1">
        <f t="array" aca="1" ref="EQ97" ca="1">(1-$B$18)*SUMPRODUCT(OFFSET($BO$15,0,0,$B$14,1), 1*(_xlfn._xlws.FILTER(OFFSET($O$15,0,$DN97,$B$8,1),OFFSET($M$15,0,0,$B$8,1))=EQ$13), 1*(_xlfn._xlws.FILTER(OFFSET($O$15,0,$DO97,$B$8,1),OFFSET($M$15,0,0,$B$8,1))=EQ$14))   /   SUM(OFFSET($BO$15,0,0,$B$14,1)) + $B$18/($B$19*$B$19*($DN97&lt;&gt;$DO97) + $B$19*($DN97=$DO97))</f>
        <v>3.7037037037037035E-4</v>
      </c>
      <c r="ER97" s="10" cm="1">
        <f t="array" aca="1" ref="ER97" ca="1">(1-$B$18)*SUMPRODUCT(OFFSET($BO$15,0,0,$B$14,1), 1*(_xlfn._xlws.FILTER(OFFSET($O$15,0,$DN97,$B$8,1),OFFSET($M$15,0,0,$B$8,1))=ER$13), 1*(_xlfn._xlws.FILTER(OFFSET($O$15,0,$DO97,$B$8,1),OFFSET($M$15,0,0,$B$8,1))=ER$14))   /   SUM(OFFSET($BO$15,0,0,$B$14,1)) + $B$18/($B$19*$B$19*($DN97&lt;&gt;$DO97) + $B$19*($DN97=$DO97))</f>
        <v>3.7037037037037035E-4</v>
      </c>
      <c r="ES97" s="10" cm="1">
        <f t="array" aca="1" ref="ES97" ca="1">(1-$B$18)*SUMPRODUCT(OFFSET($BO$15,0,0,$B$14,1), 1*(_xlfn._xlws.FILTER(OFFSET($O$15,0,$DN97,$B$8,1),OFFSET($M$15,0,0,$B$8,1))=ES$13), 1*(_xlfn._xlws.FILTER(OFFSET($O$15,0,$DO97,$B$8,1),OFFSET($M$15,0,0,$B$8,1))=ES$14))   /   SUM(OFFSET($BO$15,0,0,$B$14,1)) + $B$18/($B$19*$B$19*($DN97&lt;&gt;$DO97) + $B$19*($DN97=$DO97))</f>
        <v>3.7037037037037035E-4</v>
      </c>
      <c r="ET97" s="10" cm="1">
        <f t="array" aca="1" ref="ET97" ca="1">(1-$B$18)*SUMPRODUCT(OFFSET($BO$15,0,0,$B$14,1), 1*(_xlfn._xlws.FILTER(OFFSET($O$15,0,$DN97,$B$8,1),OFFSET($M$15,0,0,$B$8,1))=ET$13), 1*(_xlfn._xlws.FILTER(OFFSET($O$15,0,$DO97,$B$8,1),OFFSET($M$15,0,0,$B$8,1))=ET$14))   /   SUM(OFFSET($BO$15,0,0,$B$14,1)) + $B$18/($B$19*$B$19*($DN97&lt;&gt;$DO97) + $B$19*($DN97=$DO97))</f>
        <v>3.7037037037037035E-4</v>
      </c>
      <c r="EU97" s="10" cm="1">
        <f t="array" aca="1" ref="EU97" ca="1">(1-$B$18)*SUMPRODUCT(OFFSET($BO$15,0,0,$B$14,1), 1*(_xlfn._xlws.FILTER(OFFSET($O$15,0,$DN97,$B$8,1),OFFSET($M$15,0,0,$B$8,1))=EU$13), 1*(_xlfn._xlws.FILTER(OFFSET($O$15,0,$DO97,$B$8,1),OFFSET($M$15,0,0,$B$8,1))=EU$14))   /   SUM(OFFSET($BO$15,0,0,$B$14,1)) + $B$18/($B$19*$B$19*($DN97&lt;&gt;$DO97) + $B$19*($DN97=$DO97))</f>
        <v>3.7037037037037035E-4</v>
      </c>
      <c r="EV97" s="10" cm="1">
        <f t="array" aca="1" ref="EV97" ca="1">(1-$B$18)*SUMPRODUCT(OFFSET($BO$15,0,0,$B$14,1), 1*(_xlfn._xlws.FILTER(OFFSET($O$15,0,$DN97,$B$8,1),OFFSET($M$15,0,0,$B$8,1))=EV$13), 1*(_xlfn._xlws.FILTER(OFFSET($O$15,0,$DO97,$B$8,1),OFFSET($M$15,0,0,$B$8,1))=EV$14))   /   SUM(OFFSET($BO$15,0,0,$B$14,1)) + $B$18/($B$19*$B$19*($DN97&lt;&gt;$DO97) + $B$19*($DN97=$DO97))</f>
        <v>3.7037037037037035E-4</v>
      </c>
      <c r="EW97" s="10" cm="1">
        <f t="array" aca="1" ref="EW97" ca="1">(1-$B$18)*SUMPRODUCT(OFFSET($BO$15,0,0,$B$14,1), 1*(_xlfn._xlws.FILTER(OFFSET($O$15,0,$DN97,$B$8,1),OFFSET($M$15,0,0,$B$8,1))=EW$13), 1*(_xlfn._xlws.FILTER(OFFSET($O$15,0,$DO97,$B$8,1),OFFSET($M$15,0,0,$B$8,1))=EW$14))   /   SUM(OFFSET($BO$15,0,0,$B$14,1)) + $B$18/($B$19*$B$19*($DN97&lt;&gt;$DO97) + $B$19*($DN97=$DO97))</f>
        <v>3.7037037037037035E-4</v>
      </c>
      <c r="EX97" s="10" cm="1">
        <f t="array" aca="1" ref="EX97" ca="1">(1-$B$18)*SUMPRODUCT(OFFSET($BO$15,0,0,$B$14,1), 1*(_xlfn._xlws.FILTER(OFFSET($O$15,0,$DN97,$B$8,1),OFFSET($M$15,0,0,$B$8,1))=EX$13), 1*(_xlfn._xlws.FILTER(OFFSET($O$15,0,$DO97,$B$8,1),OFFSET($M$15,0,0,$B$8,1))=EX$14))   /   SUM(OFFSET($BO$15,0,0,$B$14,1)) + $B$18/($B$19*$B$19*($DN97&lt;&gt;$DO97) + $B$19*($DN97=$DO97))</f>
        <v>3.7037037037037035E-4</v>
      </c>
      <c r="EY97" s="10" cm="1">
        <f t="array" aca="1" ref="EY97" ca="1">(1-$B$18)*SUMPRODUCT(OFFSET($BO$15,0,0,$B$14,1), 1*(_xlfn._xlws.FILTER(OFFSET($O$15,0,$DN97,$B$8,1),OFFSET($M$15,0,0,$B$8,1))=EY$13), 1*(_xlfn._xlws.FILTER(OFFSET($O$15,0,$DO97,$B$8,1),OFFSET($M$15,0,0,$B$8,1))=EY$14))   /   SUM(OFFSET($BO$15,0,0,$B$14,1)) + $B$18/($B$19*$B$19*($DN97&lt;&gt;$DO97) + $B$19*($DN97=$DO97))</f>
        <v>3.7037037037037035E-4</v>
      </c>
      <c r="EZ97" s="10" cm="1">
        <f t="array" aca="1" ref="EZ97" ca="1">(1-$B$18)*SUMPRODUCT(OFFSET($BO$15,0,0,$B$14,1), 1*(_xlfn._xlws.FILTER(OFFSET($O$15,0,$DN97,$B$8,1),OFFSET($M$15,0,0,$B$8,1))=EZ$13), 1*(_xlfn._xlws.FILTER(OFFSET($O$15,0,$DO97,$B$8,1),OFFSET($M$15,0,0,$B$8,1))=EZ$14))   /   SUM(OFFSET($BO$15,0,0,$B$14,1)) + $B$18/($B$19*$B$19*($DN97&lt;&gt;$DO97) + $B$19*($DN97=$DO97))</f>
        <v>3.7037037037037035E-4</v>
      </c>
      <c r="FA97" s="10" cm="1">
        <f t="array" aca="1" ref="FA97" ca="1">(1-$B$18)*SUMPRODUCT(OFFSET($BO$15,0,0,$B$14,1), 1*(_xlfn._xlws.FILTER(OFFSET($O$15,0,$DN97,$B$8,1),OFFSET($M$15,0,0,$B$8,1))=FA$13), 1*(_xlfn._xlws.FILTER(OFFSET($O$15,0,$DO97,$B$8,1),OFFSET($M$15,0,0,$B$8,1))=FA$14))   /   SUM(OFFSET($BO$15,0,0,$B$14,1)) + $B$18/($B$19*$B$19*($DN97&lt;&gt;$DO97) + $B$19*($DN97=$DO97))</f>
        <v>3.7037037037037035E-4</v>
      </c>
      <c r="FB97" s="10" cm="1">
        <f t="array" aca="1" ref="FB97" ca="1">(1-$B$18)*SUMPRODUCT(OFFSET($BO$15,0,0,$B$14,1), 1*(_xlfn._xlws.FILTER(OFFSET($O$15,0,$DN97,$B$8,1),OFFSET($M$15,0,0,$B$8,1))=FB$13), 1*(_xlfn._xlws.FILTER(OFFSET($O$15,0,$DO97,$B$8,1),OFFSET($M$15,0,0,$B$8,1))=FB$14))   /   SUM(OFFSET($BO$15,0,0,$B$14,1)) + $B$18/($B$19*$B$19*($DN97&lt;&gt;$DO97) + $B$19*($DN97=$DO97))</f>
        <v>3.7037037037037035E-4</v>
      </c>
      <c r="FC97" s="10" cm="1">
        <f t="array" aca="1" ref="FC97" ca="1">(1-$B$18)*SUMPRODUCT(OFFSET($BO$15,0,0,$B$14,1), 1*(_xlfn._xlws.FILTER(OFFSET($O$15,0,$DN97,$B$8,1),OFFSET($M$15,0,0,$B$8,1))=FC$13), 1*(_xlfn._xlws.FILTER(OFFSET($O$15,0,$DO97,$B$8,1),OFFSET($M$15,0,0,$B$8,1))=FC$14))   /   SUM(OFFSET($BO$15,0,0,$B$14,1)) + $B$18/($B$19*$B$19*($DN97&lt;&gt;$DO97) + $B$19*($DN97=$DO97))</f>
        <v>3.7037037037037035E-4</v>
      </c>
      <c r="FD97" s="10" cm="1">
        <f t="array" aca="1" ref="FD97" ca="1">(1-$B$18)*SUMPRODUCT(OFFSET($BO$15,0,0,$B$14,1), 1*(_xlfn._xlws.FILTER(OFFSET($O$15,0,$DN97,$B$8,1),OFFSET($M$15,0,0,$B$8,1))=FD$13), 1*(_xlfn._xlws.FILTER(OFFSET($O$15,0,$DO97,$B$8,1),OFFSET($M$15,0,0,$B$8,1))=FD$14))   /   SUM(OFFSET($BO$15,0,0,$B$14,1)) + $B$18/($B$19*$B$19*($DN97&lt;&gt;$DO97) + $B$19*($DN97=$DO97))</f>
        <v>3.7037037037037035E-4</v>
      </c>
      <c r="FE97" s="10" cm="1">
        <f t="array" aca="1" ref="FE97" ca="1">(1-$B$18)*SUMPRODUCT(OFFSET($BO$15,0,0,$B$14,1), 1*(_xlfn._xlws.FILTER(OFFSET($O$15,0,$DN97,$B$8,1),OFFSET($M$15,0,0,$B$8,1))=FE$13), 1*(_xlfn._xlws.FILTER(OFFSET($O$15,0,$DO97,$B$8,1),OFFSET($M$15,0,0,$B$8,1))=FE$14))   /   SUM(OFFSET($BO$15,0,0,$B$14,1)) + $B$18/($B$19*$B$19*($DN97&lt;&gt;$DO97) + $B$19*($DN97=$DO97))</f>
        <v>3.7037037037037035E-4</v>
      </c>
      <c r="FF97" s="10" cm="1">
        <f t="array" aca="1" ref="FF97" ca="1">(1-$B$18)*SUMPRODUCT(OFFSET($BO$15,0,0,$B$14,1), 1*(_xlfn._xlws.FILTER(OFFSET($O$15,0,$DN97,$B$8,1),OFFSET($M$15,0,0,$B$8,1))=FF$13), 1*(_xlfn._xlws.FILTER(OFFSET($O$15,0,$DO97,$B$8,1),OFFSET($M$15,0,0,$B$8,1))=FF$14))   /   SUM(OFFSET($BO$15,0,0,$B$14,1)) + $B$18/($B$19*$B$19*($DN97&lt;&gt;$DO97) + $B$19*($DN97=$DO97))</f>
        <v>3.7037037037037035E-4</v>
      </c>
      <c r="FG97" s="10" cm="1">
        <f t="array" aca="1" ref="FG97" ca="1">(1-$B$18)*SUMPRODUCT(OFFSET($BO$15,0,0,$B$14,1), 1*(_xlfn._xlws.FILTER(OFFSET($O$15,0,$DN97,$B$8,1),OFFSET($M$15,0,0,$B$8,1))=FG$13), 1*(_xlfn._xlws.FILTER(OFFSET($O$15,0,$DO97,$B$8,1),OFFSET($M$15,0,0,$B$8,1))=FG$14))   /   SUM(OFFSET($BO$15,0,0,$B$14,1)) + $B$18/($B$19*$B$19*($DN97&lt;&gt;$DO97) + $B$19*($DN97=$DO97))</f>
        <v>3.7037037037037035E-4</v>
      </c>
      <c r="FH97" s="10" cm="1">
        <f t="array" aca="1" ref="FH97" ca="1">(1-$B$18)*SUMPRODUCT(OFFSET($BO$15,0,0,$B$14,1), 1*(_xlfn._xlws.FILTER(OFFSET($O$15,0,$DN97,$B$8,1),OFFSET($M$15,0,0,$B$8,1))=FH$13), 1*(_xlfn._xlws.FILTER(OFFSET($O$15,0,$DO97,$B$8,1),OFFSET($M$15,0,0,$B$8,1))=FH$14))   /   SUM(OFFSET($BO$15,0,0,$B$14,1)) + $B$18/($B$19*$B$19*($DN97&lt;&gt;$DO97) + $B$19*($DN97=$DO97))</f>
        <v>3.7037037037037035E-4</v>
      </c>
      <c r="FI97" s="10" cm="1">
        <f t="array" aca="1" ref="FI97" ca="1">(1-$B$18)*SUMPRODUCT(OFFSET($BO$15,0,0,$B$14,1), 1*(_xlfn._xlws.FILTER(OFFSET($O$15,0,$DN97,$B$8,1),OFFSET($M$15,0,0,$B$8,1))=FI$13), 1*(_xlfn._xlws.FILTER(OFFSET($O$15,0,$DO97,$B$8,1),OFFSET($M$15,0,0,$B$8,1))=FI$14))   /   SUM(OFFSET($BO$15,0,0,$B$14,1)) + $B$18/($B$19*$B$19*($DN97&lt;&gt;$DO97) + $B$19*($DN97=$DO97))</f>
        <v>3.7037037037037035E-4</v>
      </c>
      <c r="FJ97" s="10" cm="1">
        <f t="array" aca="1" ref="FJ97" ca="1">(1-$B$18)*SUMPRODUCT(OFFSET($BO$15,0,0,$B$14,1), 1*(_xlfn._xlws.FILTER(OFFSET($O$15,0,$DN97,$B$8,1),OFFSET($M$15,0,0,$B$8,1))=FJ$13), 1*(_xlfn._xlws.FILTER(OFFSET($O$15,0,$DO97,$B$8,1),OFFSET($M$15,0,0,$B$8,1))=FJ$14))   /   SUM(OFFSET($BO$15,0,0,$B$14,1)) + $B$18/($B$19*$B$19*($DN97&lt;&gt;$DO97) + $B$19*($DN97=$DO97))</f>
        <v>3.7037037037037035E-4</v>
      </c>
      <c r="FK97" s="10" cm="1">
        <f t="array" aca="1" ref="FK97" ca="1">(1-$B$18)*SUMPRODUCT(OFFSET($BO$15,0,0,$B$14,1), 1*(_xlfn._xlws.FILTER(OFFSET($O$15,0,$DN97,$B$8,1),OFFSET($M$15,0,0,$B$8,1))=FK$13), 1*(_xlfn._xlws.FILTER(OFFSET($O$15,0,$DO97,$B$8,1),OFFSET($M$15,0,0,$B$8,1))=FK$14))   /   SUM(OFFSET($BO$15,0,0,$B$14,1)) + $B$18/($B$19*$B$19*($DN97&lt;&gt;$DO97) + $B$19*($DN97=$DO97))</f>
        <v>3.7037037037037035E-4</v>
      </c>
      <c r="FL97" s="10" cm="1">
        <f t="array" aca="1" ref="FL97" ca="1">(1-$B$18)*SUMPRODUCT(OFFSET($BO$15,0,0,$B$14,1), 1*(_xlfn._xlws.FILTER(OFFSET($O$15,0,$DN97,$B$8,1),OFFSET($M$15,0,0,$B$8,1))=FL$13), 1*(_xlfn._xlws.FILTER(OFFSET($O$15,0,$DO97,$B$8,1),OFFSET($M$15,0,0,$B$8,1))=FL$14))   /   SUM(OFFSET($BO$15,0,0,$B$14,1)) + $B$18/($B$19*$B$19*($DN97&lt;&gt;$DO97) + $B$19*($DN97=$DO97))</f>
        <v>3.7037037037037035E-4</v>
      </c>
      <c r="FM97" s="10" cm="1">
        <f t="array" aca="1" ref="FM97" ca="1">(1-$B$18)*SUMPRODUCT(OFFSET($BO$15,0,0,$B$14,1), 1*(_xlfn._xlws.FILTER(OFFSET($O$15,0,$DN97,$B$8,1),OFFSET($M$15,0,0,$B$8,1))=FM$13), 1*(_xlfn._xlws.FILTER(OFFSET($O$15,0,$DO97,$B$8,1),OFFSET($M$15,0,0,$B$8,1))=FM$14))   /   SUM(OFFSET($BO$15,0,0,$B$14,1)) + $B$18/($B$19*$B$19*($DN97&lt;&gt;$DO97) + $B$19*($DN97=$DO97))</f>
        <v>3.7037037037037035E-4</v>
      </c>
      <c r="FN97" s="10" cm="1">
        <f t="array" aca="1" ref="FN97" ca="1">(1-$B$18)*SUMPRODUCT(OFFSET($BO$15,0,0,$B$14,1), 1*(_xlfn._xlws.FILTER(OFFSET($O$15,0,$DN97,$B$8,1),OFFSET($M$15,0,0,$B$8,1))=FN$13), 1*(_xlfn._xlws.FILTER(OFFSET($O$15,0,$DO97,$B$8,1),OFFSET($M$15,0,0,$B$8,1))=FN$14))   /   SUM(OFFSET($BO$15,0,0,$B$14,1)) + $B$18/($B$19*$B$19*($DN97&lt;&gt;$DO97) + $B$19*($DN97=$DO97))</f>
        <v>3.7037037037037035E-4</v>
      </c>
      <c r="FO97" s="10" cm="1">
        <f t="array" aca="1" ref="FO97" ca="1">(1-$B$18)*SUMPRODUCT(OFFSET($BO$15,0,0,$B$14,1), 1*(_xlfn._xlws.FILTER(OFFSET($O$15,0,$DN97,$B$8,1),OFFSET($M$15,0,0,$B$8,1))=FO$13), 1*(_xlfn._xlws.FILTER(OFFSET($O$15,0,$DO97,$B$8,1),OFFSET($M$15,0,0,$B$8,1))=FO$14))   /   SUM(OFFSET($BO$15,0,0,$B$14,1)) + $B$18/($B$19*$B$19*($DN97&lt;&gt;$DO97) + $B$19*($DN97=$DO97))</f>
        <v>3.7037037037037035E-4</v>
      </c>
      <c r="FP97" s="10" cm="1">
        <f t="array" aca="1" ref="FP97" ca="1">(1-$B$18)*SUMPRODUCT(OFFSET($BO$15,0,0,$B$14,1), 1*(_xlfn._xlws.FILTER(OFFSET($O$15,0,$DN97,$B$8,1),OFFSET($M$15,0,0,$B$8,1))=FP$13), 1*(_xlfn._xlws.FILTER(OFFSET($O$15,0,$DO97,$B$8,1),OFFSET($M$15,0,0,$B$8,1))=FP$14))   /   SUM(OFFSET($BO$15,0,0,$B$14,1)) + $B$18/($B$19*$B$19*($DN97&lt;&gt;$DO97) + $B$19*($DN97=$DO97))</f>
        <v>3.7037037037037035E-4</v>
      </c>
      <c r="FQ97" s="10" cm="1">
        <f t="array" aca="1" ref="FQ97" ca="1">(1-$B$18)*SUMPRODUCT(OFFSET($BO$15,0,0,$B$14,1), 1*(_xlfn._xlws.FILTER(OFFSET($O$15,0,$DN97,$B$8,1),OFFSET($M$15,0,0,$B$8,1))=FQ$13), 1*(_xlfn._xlws.FILTER(OFFSET($O$15,0,$DO97,$B$8,1),OFFSET($M$15,0,0,$B$8,1))=FQ$14))   /   SUM(OFFSET($BO$15,0,0,$B$14,1)) + $B$18/($B$19*$B$19*($DN97&lt;&gt;$DO97) + $B$19*($DN97=$DO97))</f>
        <v>3.7037037037037035E-4</v>
      </c>
      <c r="FR97" s="10" cm="1">
        <f t="array" aca="1" ref="FR97" ca="1">(1-$B$18)*SUMPRODUCT(OFFSET($BO$15,0,0,$B$14,1), 1*(_xlfn._xlws.FILTER(OFFSET($O$15,0,$DN97,$B$8,1),OFFSET($M$15,0,0,$B$8,1))=FR$13), 1*(_xlfn._xlws.FILTER(OFFSET($O$15,0,$DO97,$B$8,1),OFFSET($M$15,0,0,$B$8,1))=FR$14))   /   SUM(OFFSET($BO$15,0,0,$B$14,1)) + $B$18/($B$19*$B$19*($DN97&lt;&gt;$DO97) + $B$19*($DN97=$DO97))</f>
        <v>0.97037037037037033</v>
      </c>
      <c r="FS97" s="10" cm="1">
        <f t="array" aca="1" ref="FS97" ca="1">(1-$B$18)*SUMPRODUCT(OFFSET($BO$15,0,0,$B$14,1), 1*(_xlfn._xlws.FILTER(OFFSET($O$15,0,$DN97,$B$8,1),OFFSET($M$15,0,0,$B$8,1))=FS$13), 1*(_xlfn._xlws.FILTER(OFFSET($O$15,0,$DO97,$B$8,1),OFFSET($M$15,0,0,$B$8,1))=FS$14))   /   SUM(OFFSET($BO$15,0,0,$B$14,1)) + $B$18/($B$19*$B$19*($DN97&lt;&gt;$DO97) + $B$19*($DN97=$DO97))</f>
        <v>3.7037037037037035E-4</v>
      </c>
      <c r="FT97" s="10" cm="1">
        <f t="array" aca="1" ref="FT97" ca="1">(1-$B$18)*SUMPRODUCT(OFFSET($BO$15,0,0,$B$14,1), 1*(_xlfn._xlws.FILTER(OFFSET($O$15,0,$DN97,$B$8,1),OFFSET($M$15,0,0,$B$8,1))=FT$13), 1*(_xlfn._xlws.FILTER(OFFSET($O$15,0,$DO97,$B$8,1),OFFSET($M$15,0,0,$B$8,1))=FT$14))   /   SUM(OFFSET($BO$15,0,0,$B$14,1)) + $B$18/($B$19*$B$19*($DN97&lt;&gt;$DO97) + $B$19*($DN97=$DO97))</f>
        <v>3.7037037037037035E-4</v>
      </c>
      <c r="FU97" s="10" cm="1">
        <f t="array" aca="1" ref="FU97" ca="1">(1-$B$18)*SUMPRODUCT(OFFSET($BO$15,0,0,$B$14,1), 1*(_xlfn._xlws.FILTER(OFFSET($O$15,0,$DN97,$B$8,1),OFFSET($M$15,0,0,$B$8,1))=FU$13), 1*(_xlfn._xlws.FILTER(OFFSET($O$15,0,$DO97,$B$8,1),OFFSET($M$15,0,0,$B$8,1))=FU$14))   /   SUM(OFFSET($BO$15,0,0,$B$14,1)) + $B$18/($B$19*$B$19*($DN97&lt;&gt;$DO97) + $B$19*($DN97=$DO97))</f>
        <v>3.7037037037037035E-4</v>
      </c>
      <c r="FV97" s="10" cm="1">
        <f t="array" aca="1" ref="FV97" ca="1">(1-$B$18)*SUMPRODUCT(OFFSET($BO$15,0,0,$B$14,1), 1*(_xlfn._xlws.FILTER(OFFSET($O$15,0,$DN97,$B$8,1),OFFSET($M$15,0,0,$B$8,1))=FV$13), 1*(_xlfn._xlws.FILTER(OFFSET($O$15,0,$DO97,$B$8,1),OFFSET($M$15,0,0,$B$8,1))=FV$14))   /   SUM(OFFSET($BO$15,0,0,$B$14,1)) + $B$18/($B$19*$B$19*($DN97&lt;&gt;$DO97) + $B$19*($DN97=$DO97))</f>
        <v>3.7037037037037035E-4</v>
      </c>
      <c r="FW97" s="10" cm="1">
        <f t="array" aca="1" ref="FW97" ca="1">(1-$B$18)*SUMPRODUCT(OFFSET($BO$15,0,0,$B$14,1), 1*(_xlfn._xlws.FILTER(OFFSET($O$15,0,$DN97,$B$8,1),OFFSET($M$15,0,0,$B$8,1))=FW$13), 1*(_xlfn._xlws.FILTER(OFFSET($O$15,0,$DO97,$B$8,1),OFFSET($M$15,0,0,$B$8,1))=FW$14))   /   SUM(OFFSET($BO$15,0,0,$B$14,1)) + $B$18/($B$19*$B$19*($DN97&lt;&gt;$DO97) + $B$19*($DN97=$DO97))</f>
        <v>3.7037037037037035E-4</v>
      </c>
      <c r="FX97" s="10" cm="1">
        <f t="array" aca="1" ref="FX97" ca="1">(1-$B$18)*SUMPRODUCT(OFFSET($BO$15,0,0,$B$14,1), 1*(_xlfn._xlws.FILTER(OFFSET($O$15,0,$DN97,$B$8,1),OFFSET($M$15,0,0,$B$8,1))=FX$13), 1*(_xlfn._xlws.FILTER(OFFSET($O$15,0,$DO97,$B$8,1),OFFSET($M$15,0,0,$B$8,1))=FX$14))   /   SUM(OFFSET($BO$15,0,0,$B$14,1)) + $B$18/($B$19*$B$19*($DN97&lt;&gt;$DO97) + $B$19*($DN97=$DO97))</f>
        <v>3.7037037037037035E-4</v>
      </c>
      <c r="FY97" s="10" cm="1">
        <f t="array" aca="1" ref="FY97" ca="1">(1-$B$18)*SUMPRODUCT(OFFSET($BO$15,0,0,$B$14,1), 1*(_xlfn._xlws.FILTER(OFFSET($O$15,0,$DN97,$B$8,1),OFFSET($M$15,0,0,$B$8,1))=FY$13), 1*(_xlfn._xlws.FILTER(OFFSET($O$15,0,$DO97,$B$8,1),OFFSET($M$15,0,0,$B$8,1))=FY$14))   /   SUM(OFFSET($BO$15,0,0,$B$14,1)) + $B$18/($B$19*$B$19*($DN97&lt;&gt;$DO97) + $B$19*($DN97=$DO97))</f>
        <v>3.7037037037037035E-4</v>
      </c>
      <c r="FZ97" s="10" cm="1">
        <f t="array" aca="1" ref="FZ97" ca="1">(1-$B$18)*SUMPRODUCT(OFFSET($BO$15,0,0,$B$14,1), 1*(_xlfn._xlws.FILTER(OFFSET($O$15,0,$DN97,$B$8,1),OFFSET($M$15,0,0,$B$8,1))=FZ$13), 1*(_xlfn._xlws.FILTER(OFFSET($O$15,0,$DO97,$B$8,1),OFFSET($M$15,0,0,$B$8,1))=FZ$14))   /   SUM(OFFSET($BO$15,0,0,$B$14,1)) + $B$18/($B$19*$B$19*($DN97&lt;&gt;$DO97) + $B$19*($DN97=$DO97))</f>
        <v>3.7037037037037035E-4</v>
      </c>
      <c r="GA97" s="10" cm="1">
        <f t="array" aca="1" ref="GA97" ca="1">(1-$B$18)*SUMPRODUCT(OFFSET($BO$15,0,0,$B$14,1), 1*(_xlfn._xlws.FILTER(OFFSET($O$15,0,$DN97,$B$8,1),OFFSET($M$15,0,0,$B$8,1))=GA$13), 1*(_xlfn._xlws.FILTER(OFFSET($O$15,0,$DO97,$B$8,1),OFFSET($M$15,0,0,$B$8,1))=GA$14))   /   SUM(OFFSET($BO$15,0,0,$B$14,1)) + $B$18/($B$19*$B$19*($DN97&lt;&gt;$DO97) + $B$19*($DN97=$DO97))</f>
        <v>3.7037037037037035E-4</v>
      </c>
    </row>
    <row r="98" spans="8:183" x14ac:dyDescent="0.2">
      <c r="H98" s="2"/>
      <c r="DN98" cm="1">
        <f t="array" aca="1" ref="DN98" ca="1">INDEX(_xlfn.ANCHORARRAY($CP$15), 1 + INT((ROWS($DO$15:$DO98) - 1) / ROWS(_xlfn.ANCHORARRAY($CP$15))))</f>
        <v>4</v>
      </c>
      <c r="DO98" cm="1">
        <f t="array" aca="1" ref="DO98" ca="1">INDEX(_xlfn.ANCHORARRAY($CP$15),1+MOD(ROWS($DO$15:$DO98)-1,ROWS(_xlfn.ANCHORARRAY($CP$15))))</f>
        <v>7</v>
      </c>
      <c r="DP98" s="10" cm="1">
        <f t="array" aca="1" ref="DP98" ca="1">(1-$B$18)*SUMPRODUCT(OFFSET($BO$15,0,0,$B$14,1), 1*(_xlfn._xlws.FILTER(OFFSET($O$15,0,$DN98,$B$8,1),OFFSET($M$15,0,0,$B$8,1))=DP$13), 1*(_xlfn._xlws.FILTER(OFFSET($O$15,0,$DO98,$B$8,1),OFFSET($M$15,0,0,$B$8,1))=DP$14))   /   SUM(OFFSET($BO$15,0,0,$B$14,1)) + $B$18/($B$19*$B$19*($DN98&lt;&gt;$DO98) + $B$19*($DN98=$DO98))</f>
        <v>3.7037037037037035E-4</v>
      </c>
      <c r="DQ98" s="10" cm="1">
        <f t="array" aca="1" ref="DQ98" ca="1">(1-$B$18)*SUMPRODUCT(OFFSET($BO$15,0,0,$B$14,1), 1*(_xlfn._xlws.FILTER(OFFSET($O$15,0,$DN98,$B$8,1),OFFSET($M$15,0,0,$B$8,1))=DQ$13), 1*(_xlfn._xlws.FILTER(OFFSET($O$15,0,$DO98,$B$8,1),OFFSET($M$15,0,0,$B$8,1))=DQ$14))   /   SUM(OFFSET($BO$15,0,0,$B$14,1)) + $B$18/($B$19*$B$19*($DN98&lt;&gt;$DO98) + $B$19*($DN98=$DO98))</f>
        <v>3.7037037037037035E-4</v>
      </c>
      <c r="DR98" s="10" cm="1">
        <f t="array" aca="1" ref="DR98" ca="1">(1-$B$18)*SUMPRODUCT(OFFSET($BO$15,0,0,$B$14,1), 1*(_xlfn._xlws.FILTER(OFFSET($O$15,0,$DN98,$B$8,1),OFFSET($M$15,0,0,$B$8,1))=DR$13), 1*(_xlfn._xlws.FILTER(OFFSET($O$15,0,$DO98,$B$8,1),OFFSET($M$15,0,0,$B$8,1))=DR$14))   /   SUM(OFFSET($BO$15,0,0,$B$14,1)) + $B$18/($B$19*$B$19*($DN98&lt;&gt;$DO98) + $B$19*($DN98=$DO98))</f>
        <v>3.7037037037037035E-4</v>
      </c>
      <c r="DS98" s="10" cm="1">
        <f t="array" aca="1" ref="DS98" ca="1">(1-$B$18)*SUMPRODUCT(OFFSET($BO$15,0,0,$B$14,1), 1*(_xlfn._xlws.FILTER(OFFSET($O$15,0,$DN98,$B$8,1),OFFSET($M$15,0,0,$B$8,1))=DS$13), 1*(_xlfn._xlws.FILTER(OFFSET($O$15,0,$DO98,$B$8,1),OFFSET($M$15,0,0,$B$8,1))=DS$14))   /   SUM(OFFSET($BO$15,0,0,$B$14,1)) + $B$18/($B$19*$B$19*($DN98&lt;&gt;$DO98) + $B$19*($DN98=$DO98))</f>
        <v>3.7037037037037035E-4</v>
      </c>
      <c r="DT98" s="10" cm="1">
        <f t="array" aca="1" ref="DT98" ca="1">(1-$B$18)*SUMPRODUCT(OFFSET($BO$15,0,0,$B$14,1), 1*(_xlfn._xlws.FILTER(OFFSET($O$15,0,$DN98,$B$8,1),OFFSET($M$15,0,0,$B$8,1))=DT$13), 1*(_xlfn._xlws.FILTER(OFFSET($O$15,0,$DO98,$B$8,1),OFFSET($M$15,0,0,$B$8,1))=DT$14))   /   SUM(OFFSET($BO$15,0,0,$B$14,1)) + $B$18/($B$19*$B$19*($DN98&lt;&gt;$DO98) + $B$19*($DN98=$DO98))</f>
        <v>3.7037037037037035E-4</v>
      </c>
      <c r="DU98" s="10" cm="1">
        <f t="array" aca="1" ref="DU98" ca="1">(1-$B$18)*SUMPRODUCT(OFFSET($BO$15,0,0,$B$14,1), 1*(_xlfn._xlws.FILTER(OFFSET($O$15,0,$DN98,$B$8,1),OFFSET($M$15,0,0,$B$8,1))=DU$13), 1*(_xlfn._xlws.FILTER(OFFSET($O$15,0,$DO98,$B$8,1),OFFSET($M$15,0,0,$B$8,1))=DU$14))   /   SUM(OFFSET($BO$15,0,0,$B$14,1)) + $B$18/($B$19*$B$19*($DN98&lt;&gt;$DO98) + $B$19*($DN98=$DO98))</f>
        <v>3.7037037037037035E-4</v>
      </c>
      <c r="DV98" s="10" cm="1">
        <f t="array" aca="1" ref="DV98" ca="1">(1-$B$18)*SUMPRODUCT(OFFSET($BO$15,0,0,$B$14,1), 1*(_xlfn._xlws.FILTER(OFFSET($O$15,0,$DN98,$B$8,1),OFFSET($M$15,0,0,$B$8,1))=DV$13), 1*(_xlfn._xlws.FILTER(OFFSET($O$15,0,$DO98,$B$8,1),OFFSET($M$15,0,0,$B$8,1))=DV$14))   /   SUM(OFFSET($BO$15,0,0,$B$14,1)) + $B$18/($B$19*$B$19*($DN98&lt;&gt;$DO98) + $B$19*($DN98=$DO98))</f>
        <v>3.7037037037037035E-4</v>
      </c>
      <c r="DW98" s="10" cm="1">
        <f t="array" aca="1" ref="DW98" ca="1">(1-$B$18)*SUMPRODUCT(OFFSET($BO$15,0,0,$B$14,1), 1*(_xlfn._xlws.FILTER(OFFSET($O$15,0,$DN98,$B$8,1),OFFSET($M$15,0,0,$B$8,1))=DW$13), 1*(_xlfn._xlws.FILTER(OFFSET($O$15,0,$DO98,$B$8,1),OFFSET($M$15,0,0,$B$8,1))=DW$14))   /   SUM(OFFSET($BO$15,0,0,$B$14,1)) + $B$18/($B$19*$B$19*($DN98&lt;&gt;$DO98) + $B$19*($DN98=$DO98))</f>
        <v>3.7037037037037035E-4</v>
      </c>
      <c r="DX98" s="10" cm="1">
        <f t="array" aca="1" ref="DX98" ca="1">(1-$B$18)*SUMPRODUCT(OFFSET($BO$15,0,0,$B$14,1), 1*(_xlfn._xlws.FILTER(OFFSET($O$15,0,$DN98,$B$8,1),OFFSET($M$15,0,0,$B$8,1))=DX$13), 1*(_xlfn._xlws.FILTER(OFFSET($O$15,0,$DO98,$B$8,1),OFFSET($M$15,0,0,$B$8,1))=DX$14))   /   SUM(OFFSET($BO$15,0,0,$B$14,1)) + $B$18/($B$19*$B$19*($DN98&lt;&gt;$DO98) + $B$19*($DN98=$DO98))</f>
        <v>3.7037037037037035E-4</v>
      </c>
      <c r="DY98" s="10" cm="1">
        <f t="array" aca="1" ref="DY98" ca="1">(1-$B$18)*SUMPRODUCT(OFFSET($BO$15,0,0,$B$14,1), 1*(_xlfn._xlws.FILTER(OFFSET($O$15,0,$DN98,$B$8,1),OFFSET($M$15,0,0,$B$8,1))=DY$13), 1*(_xlfn._xlws.FILTER(OFFSET($O$15,0,$DO98,$B$8,1),OFFSET($M$15,0,0,$B$8,1))=DY$14))   /   SUM(OFFSET($BO$15,0,0,$B$14,1)) + $B$18/($B$19*$B$19*($DN98&lt;&gt;$DO98) + $B$19*($DN98=$DO98))</f>
        <v>3.7037037037037035E-4</v>
      </c>
      <c r="DZ98" s="10" cm="1">
        <f t="array" aca="1" ref="DZ98" ca="1">(1-$B$18)*SUMPRODUCT(OFFSET($BO$15,0,0,$B$14,1), 1*(_xlfn._xlws.FILTER(OFFSET($O$15,0,$DN98,$B$8,1),OFFSET($M$15,0,0,$B$8,1))=DZ$13), 1*(_xlfn._xlws.FILTER(OFFSET($O$15,0,$DO98,$B$8,1),OFFSET($M$15,0,0,$B$8,1))=DZ$14))   /   SUM(OFFSET($BO$15,0,0,$B$14,1)) + $B$18/($B$19*$B$19*($DN98&lt;&gt;$DO98) + $B$19*($DN98=$DO98))</f>
        <v>3.7037037037037035E-4</v>
      </c>
      <c r="EA98" s="10" cm="1">
        <f t="array" aca="1" ref="EA98" ca="1">(1-$B$18)*SUMPRODUCT(OFFSET($BO$15,0,0,$B$14,1), 1*(_xlfn._xlws.FILTER(OFFSET($O$15,0,$DN98,$B$8,1),OFFSET($M$15,0,0,$B$8,1))=EA$13), 1*(_xlfn._xlws.FILTER(OFFSET($O$15,0,$DO98,$B$8,1),OFFSET($M$15,0,0,$B$8,1))=EA$14))   /   SUM(OFFSET($BO$15,0,0,$B$14,1)) + $B$18/($B$19*$B$19*($DN98&lt;&gt;$DO98) + $B$19*($DN98=$DO98))</f>
        <v>3.7037037037037035E-4</v>
      </c>
      <c r="EB98" s="10" cm="1">
        <f t="array" aca="1" ref="EB98" ca="1">(1-$B$18)*SUMPRODUCT(OFFSET($BO$15,0,0,$B$14,1), 1*(_xlfn._xlws.FILTER(OFFSET($O$15,0,$DN98,$B$8,1),OFFSET($M$15,0,0,$B$8,1))=EB$13), 1*(_xlfn._xlws.FILTER(OFFSET($O$15,0,$DO98,$B$8,1),OFFSET($M$15,0,0,$B$8,1))=EB$14))   /   SUM(OFFSET($BO$15,0,0,$B$14,1)) + $B$18/($B$19*$B$19*($DN98&lt;&gt;$DO98) + $B$19*($DN98=$DO98))</f>
        <v>3.7037037037037035E-4</v>
      </c>
      <c r="EC98" s="10" cm="1">
        <f t="array" aca="1" ref="EC98" ca="1">(1-$B$18)*SUMPRODUCT(OFFSET($BO$15,0,0,$B$14,1), 1*(_xlfn._xlws.FILTER(OFFSET($O$15,0,$DN98,$B$8,1),OFFSET($M$15,0,0,$B$8,1))=EC$13), 1*(_xlfn._xlws.FILTER(OFFSET($O$15,0,$DO98,$B$8,1),OFFSET($M$15,0,0,$B$8,1))=EC$14))   /   SUM(OFFSET($BO$15,0,0,$B$14,1)) + $B$18/($B$19*$B$19*($DN98&lt;&gt;$DO98) + $B$19*($DN98=$DO98))</f>
        <v>3.7037037037037035E-4</v>
      </c>
      <c r="ED98" s="10" cm="1">
        <f t="array" aca="1" ref="ED98" ca="1">(1-$B$18)*SUMPRODUCT(OFFSET($BO$15,0,0,$B$14,1), 1*(_xlfn._xlws.FILTER(OFFSET($O$15,0,$DN98,$B$8,1),OFFSET($M$15,0,0,$B$8,1))=ED$13), 1*(_xlfn._xlws.FILTER(OFFSET($O$15,0,$DO98,$B$8,1),OFFSET($M$15,0,0,$B$8,1))=ED$14))   /   SUM(OFFSET($BO$15,0,0,$B$14,1)) + $B$18/($B$19*$B$19*($DN98&lt;&gt;$DO98) + $B$19*($DN98=$DO98))</f>
        <v>3.7037037037037035E-4</v>
      </c>
      <c r="EE98" s="10" cm="1">
        <f t="array" aca="1" ref="EE98" ca="1">(1-$B$18)*SUMPRODUCT(OFFSET($BO$15,0,0,$B$14,1), 1*(_xlfn._xlws.FILTER(OFFSET($O$15,0,$DN98,$B$8,1),OFFSET($M$15,0,0,$B$8,1))=EE$13), 1*(_xlfn._xlws.FILTER(OFFSET($O$15,0,$DO98,$B$8,1),OFFSET($M$15,0,0,$B$8,1))=EE$14))   /   SUM(OFFSET($BO$15,0,0,$B$14,1)) + $B$18/($B$19*$B$19*($DN98&lt;&gt;$DO98) + $B$19*($DN98=$DO98))</f>
        <v>3.7037037037037035E-4</v>
      </c>
      <c r="EF98" s="10" cm="1">
        <f t="array" aca="1" ref="EF98" ca="1">(1-$B$18)*SUMPRODUCT(OFFSET($BO$15,0,0,$B$14,1), 1*(_xlfn._xlws.FILTER(OFFSET($O$15,0,$DN98,$B$8,1),OFFSET($M$15,0,0,$B$8,1))=EF$13), 1*(_xlfn._xlws.FILTER(OFFSET($O$15,0,$DO98,$B$8,1),OFFSET($M$15,0,0,$B$8,1))=EF$14))   /   SUM(OFFSET($BO$15,0,0,$B$14,1)) + $B$18/($B$19*$B$19*($DN98&lt;&gt;$DO98) + $B$19*($DN98=$DO98))</f>
        <v>3.7037037037037035E-4</v>
      </c>
      <c r="EG98" s="10" cm="1">
        <f t="array" aca="1" ref="EG98" ca="1">(1-$B$18)*SUMPRODUCT(OFFSET($BO$15,0,0,$B$14,1), 1*(_xlfn._xlws.FILTER(OFFSET($O$15,0,$DN98,$B$8,1),OFFSET($M$15,0,0,$B$8,1))=EG$13), 1*(_xlfn._xlws.FILTER(OFFSET($O$15,0,$DO98,$B$8,1),OFFSET($M$15,0,0,$B$8,1))=EG$14))   /   SUM(OFFSET($BO$15,0,0,$B$14,1)) + $B$18/($B$19*$B$19*($DN98&lt;&gt;$DO98) + $B$19*($DN98=$DO98))</f>
        <v>3.7037037037037035E-4</v>
      </c>
      <c r="EH98" s="10" cm="1">
        <f t="array" aca="1" ref="EH98" ca="1">(1-$B$18)*SUMPRODUCT(OFFSET($BO$15,0,0,$B$14,1), 1*(_xlfn._xlws.FILTER(OFFSET($O$15,0,$DN98,$B$8,1),OFFSET($M$15,0,0,$B$8,1))=EH$13), 1*(_xlfn._xlws.FILTER(OFFSET($O$15,0,$DO98,$B$8,1),OFFSET($M$15,0,0,$B$8,1))=EH$14))   /   SUM(OFFSET($BO$15,0,0,$B$14,1)) + $B$18/($B$19*$B$19*($DN98&lt;&gt;$DO98) + $B$19*($DN98=$DO98))</f>
        <v>3.7037037037037035E-4</v>
      </c>
      <c r="EI98" s="10" cm="1">
        <f t="array" aca="1" ref="EI98" ca="1">(1-$B$18)*SUMPRODUCT(OFFSET($BO$15,0,0,$B$14,1), 1*(_xlfn._xlws.FILTER(OFFSET($O$15,0,$DN98,$B$8,1),OFFSET($M$15,0,0,$B$8,1))=EI$13), 1*(_xlfn._xlws.FILTER(OFFSET($O$15,0,$DO98,$B$8,1),OFFSET($M$15,0,0,$B$8,1))=EI$14))   /   SUM(OFFSET($BO$15,0,0,$B$14,1)) + $B$18/($B$19*$B$19*($DN98&lt;&gt;$DO98) + $B$19*($DN98=$DO98))</f>
        <v>3.7037037037037035E-4</v>
      </c>
      <c r="EJ98" s="10" cm="1">
        <f t="array" aca="1" ref="EJ98" ca="1">(1-$B$18)*SUMPRODUCT(OFFSET($BO$15,0,0,$B$14,1), 1*(_xlfn._xlws.FILTER(OFFSET($O$15,0,$DN98,$B$8,1),OFFSET($M$15,0,0,$B$8,1))=EJ$13), 1*(_xlfn._xlws.FILTER(OFFSET($O$15,0,$DO98,$B$8,1),OFFSET($M$15,0,0,$B$8,1))=EJ$14))   /   SUM(OFFSET($BO$15,0,0,$B$14,1)) + $B$18/($B$19*$B$19*($DN98&lt;&gt;$DO98) + $B$19*($DN98=$DO98))</f>
        <v>3.7037037037037035E-4</v>
      </c>
      <c r="EK98" s="10" cm="1">
        <f t="array" aca="1" ref="EK98" ca="1">(1-$B$18)*SUMPRODUCT(OFFSET($BO$15,0,0,$B$14,1), 1*(_xlfn._xlws.FILTER(OFFSET($O$15,0,$DN98,$B$8,1),OFFSET($M$15,0,0,$B$8,1))=EK$13), 1*(_xlfn._xlws.FILTER(OFFSET($O$15,0,$DO98,$B$8,1),OFFSET($M$15,0,0,$B$8,1))=EK$14))   /   SUM(OFFSET($BO$15,0,0,$B$14,1)) + $B$18/($B$19*$B$19*($DN98&lt;&gt;$DO98) + $B$19*($DN98=$DO98))</f>
        <v>3.7037037037037035E-4</v>
      </c>
      <c r="EL98" s="10" cm="1">
        <f t="array" aca="1" ref="EL98" ca="1">(1-$B$18)*SUMPRODUCT(OFFSET($BO$15,0,0,$B$14,1), 1*(_xlfn._xlws.FILTER(OFFSET($O$15,0,$DN98,$B$8,1),OFFSET($M$15,0,0,$B$8,1))=EL$13), 1*(_xlfn._xlws.FILTER(OFFSET($O$15,0,$DO98,$B$8,1),OFFSET($M$15,0,0,$B$8,1))=EL$14))   /   SUM(OFFSET($BO$15,0,0,$B$14,1)) + $B$18/($B$19*$B$19*($DN98&lt;&gt;$DO98) + $B$19*($DN98=$DO98))</f>
        <v>3.7037037037037035E-4</v>
      </c>
      <c r="EM98" s="10" cm="1">
        <f t="array" aca="1" ref="EM98" ca="1">(1-$B$18)*SUMPRODUCT(OFFSET($BO$15,0,0,$B$14,1), 1*(_xlfn._xlws.FILTER(OFFSET($O$15,0,$DN98,$B$8,1),OFFSET($M$15,0,0,$B$8,1))=EM$13), 1*(_xlfn._xlws.FILTER(OFFSET($O$15,0,$DO98,$B$8,1),OFFSET($M$15,0,0,$B$8,1))=EM$14))   /   SUM(OFFSET($BO$15,0,0,$B$14,1)) + $B$18/($B$19*$B$19*($DN98&lt;&gt;$DO98) + $B$19*($DN98=$DO98))</f>
        <v>3.7037037037037035E-4</v>
      </c>
      <c r="EN98" s="10" cm="1">
        <f t="array" aca="1" ref="EN98" ca="1">(1-$B$18)*SUMPRODUCT(OFFSET($BO$15,0,0,$B$14,1), 1*(_xlfn._xlws.FILTER(OFFSET($O$15,0,$DN98,$B$8,1),OFFSET($M$15,0,0,$B$8,1))=EN$13), 1*(_xlfn._xlws.FILTER(OFFSET($O$15,0,$DO98,$B$8,1),OFFSET($M$15,0,0,$B$8,1))=EN$14))   /   SUM(OFFSET($BO$15,0,0,$B$14,1)) + $B$18/($B$19*$B$19*($DN98&lt;&gt;$DO98) + $B$19*($DN98=$DO98))</f>
        <v>3.7037037037037035E-4</v>
      </c>
      <c r="EO98" s="10" cm="1">
        <f t="array" aca="1" ref="EO98" ca="1">(1-$B$18)*SUMPRODUCT(OFFSET($BO$15,0,0,$B$14,1), 1*(_xlfn._xlws.FILTER(OFFSET($O$15,0,$DN98,$B$8,1),OFFSET($M$15,0,0,$B$8,1))=EO$13), 1*(_xlfn._xlws.FILTER(OFFSET($O$15,0,$DO98,$B$8,1),OFFSET($M$15,0,0,$B$8,1))=EO$14))   /   SUM(OFFSET($BO$15,0,0,$B$14,1)) + $B$18/($B$19*$B$19*($DN98&lt;&gt;$DO98) + $B$19*($DN98=$DO98))</f>
        <v>3.7037037037037035E-4</v>
      </c>
      <c r="EP98" s="10" cm="1">
        <f t="array" aca="1" ref="EP98" ca="1">(1-$B$18)*SUMPRODUCT(OFFSET($BO$15,0,0,$B$14,1), 1*(_xlfn._xlws.FILTER(OFFSET($O$15,0,$DN98,$B$8,1),OFFSET($M$15,0,0,$B$8,1))=EP$13), 1*(_xlfn._xlws.FILTER(OFFSET($O$15,0,$DO98,$B$8,1),OFFSET($M$15,0,0,$B$8,1))=EP$14))   /   SUM(OFFSET($BO$15,0,0,$B$14,1)) + $B$18/($B$19*$B$19*($DN98&lt;&gt;$DO98) + $B$19*($DN98=$DO98))</f>
        <v>3.7037037037037035E-4</v>
      </c>
      <c r="EQ98" s="10" cm="1">
        <f t="array" aca="1" ref="EQ98" ca="1">(1-$B$18)*SUMPRODUCT(OFFSET($BO$15,0,0,$B$14,1), 1*(_xlfn._xlws.FILTER(OFFSET($O$15,0,$DN98,$B$8,1),OFFSET($M$15,0,0,$B$8,1))=EQ$13), 1*(_xlfn._xlws.FILTER(OFFSET($O$15,0,$DO98,$B$8,1),OFFSET($M$15,0,0,$B$8,1))=EQ$14))   /   SUM(OFFSET($BO$15,0,0,$B$14,1)) + $B$18/($B$19*$B$19*($DN98&lt;&gt;$DO98) + $B$19*($DN98=$DO98))</f>
        <v>3.7037037037037035E-4</v>
      </c>
      <c r="ER98" s="10" cm="1">
        <f t="array" aca="1" ref="ER98" ca="1">(1-$B$18)*SUMPRODUCT(OFFSET($BO$15,0,0,$B$14,1), 1*(_xlfn._xlws.FILTER(OFFSET($O$15,0,$DN98,$B$8,1),OFFSET($M$15,0,0,$B$8,1))=ER$13), 1*(_xlfn._xlws.FILTER(OFFSET($O$15,0,$DO98,$B$8,1),OFFSET($M$15,0,0,$B$8,1))=ER$14))   /   SUM(OFFSET($BO$15,0,0,$B$14,1)) + $B$18/($B$19*$B$19*($DN98&lt;&gt;$DO98) + $B$19*($DN98=$DO98))</f>
        <v>3.7037037037037035E-4</v>
      </c>
      <c r="ES98" s="10" cm="1">
        <f t="array" aca="1" ref="ES98" ca="1">(1-$B$18)*SUMPRODUCT(OFFSET($BO$15,0,0,$B$14,1), 1*(_xlfn._xlws.FILTER(OFFSET($O$15,0,$DN98,$B$8,1),OFFSET($M$15,0,0,$B$8,1))=ES$13), 1*(_xlfn._xlws.FILTER(OFFSET($O$15,0,$DO98,$B$8,1),OFFSET($M$15,0,0,$B$8,1))=ES$14))   /   SUM(OFFSET($BO$15,0,0,$B$14,1)) + $B$18/($B$19*$B$19*($DN98&lt;&gt;$DO98) + $B$19*($DN98=$DO98))</f>
        <v>3.7037037037037035E-4</v>
      </c>
      <c r="ET98" s="10" cm="1">
        <f t="array" aca="1" ref="ET98" ca="1">(1-$B$18)*SUMPRODUCT(OFFSET($BO$15,0,0,$B$14,1), 1*(_xlfn._xlws.FILTER(OFFSET($O$15,0,$DN98,$B$8,1),OFFSET($M$15,0,0,$B$8,1))=ET$13), 1*(_xlfn._xlws.FILTER(OFFSET($O$15,0,$DO98,$B$8,1),OFFSET($M$15,0,0,$B$8,1))=ET$14))   /   SUM(OFFSET($BO$15,0,0,$B$14,1)) + $B$18/($B$19*$B$19*($DN98&lt;&gt;$DO98) + $B$19*($DN98=$DO98))</f>
        <v>3.7037037037037035E-4</v>
      </c>
      <c r="EU98" s="10" cm="1">
        <f t="array" aca="1" ref="EU98" ca="1">(1-$B$18)*SUMPRODUCT(OFFSET($BO$15,0,0,$B$14,1), 1*(_xlfn._xlws.FILTER(OFFSET($O$15,0,$DN98,$B$8,1),OFFSET($M$15,0,0,$B$8,1))=EU$13), 1*(_xlfn._xlws.FILTER(OFFSET($O$15,0,$DO98,$B$8,1),OFFSET($M$15,0,0,$B$8,1))=EU$14))   /   SUM(OFFSET($BO$15,0,0,$B$14,1)) + $B$18/($B$19*$B$19*($DN98&lt;&gt;$DO98) + $B$19*($DN98=$DO98))</f>
        <v>3.7037037037037035E-4</v>
      </c>
      <c r="EV98" s="10" cm="1">
        <f t="array" aca="1" ref="EV98" ca="1">(1-$B$18)*SUMPRODUCT(OFFSET($BO$15,0,0,$B$14,1), 1*(_xlfn._xlws.FILTER(OFFSET($O$15,0,$DN98,$B$8,1),OFFSET($M$15,0,0,$B$8,1))=EV$13), 1*(_xlfn._xlws.FILTER(OFFSET($O$15,0,$DO98,$B$8,1),OFFSET($M$15,0,0,$B$8,1))=EV$14))   /   SUM(OFFSET($BO$15,0,0,$B$14,1)) + $B$18/($B$19*$B$19*($DN98&lt;&gt;$DO98) + $B$19*($DN98=$DO98))</f>
        <v>3.7037037037037035E-4</v>
      </c>
      <c r="EW98" s="10" cm="1">
        <f t="array" aca="1" ref="EW98" ca="1">(1-$B$18)*SUMPRODUCT(OFFSET($BO$15,0,0,$B$14,1), 1*(_xlfn._xlws.FILTER(OFFSET($O$15,0,$DN98,$B$8,1),OFFSET($M$15,0,0,$B$8,1))=EW$13), 1*(_xlfn._xlws.FILTER(OFFSET($O$15,0,$DO98,$B$8,1),OFFSET($M$15,0,0,$B$8,1))=EW$14))   /   SUM(OFFSET($BO$15,0,0,$B$14,1)) + $B$18/($B$19*$B$19*($DN98&lt;&gt;$DO98) + $B$19*($DN98=$DO98))</f>
        <v>3.7037037037037035E-4</v>
      </c>
      <c r="EX98" s="10" cm="1">
        <f t="array" aca="1" ref="EX98" ca="1">(1-$B$18)*SUMPRODUCT(OFFSET($BO$15,0,0,$B$14,1), 1*(_xlfn._xlws.FILTER(OFFSET($O$15,0,$DN98,$B$8,1),OFFSET($M$15,0,0,$B$8,1))=EX$13), 1*(_xlfn._xlws.FILTER(OFFSET($O$15,0,$DO98,$B$8,1),OFFSET($M$15,0,0,$B$8,1))=EX$14))   /   SUM(OFFSET($BO$15,0,0,$B$14,1)) + $B$18/($B$19*$B$19*($DN98&lt;&gt;$DO98) + $B$19*($DN98=$DO98))</f>
        <v>3.7037037037037035E-4</v>
      </c>
      <c r="EY98" s="10" cm="1">
        <f t="array" aca="1" ref="EY98" ca="1">(1-$B$18)*SUMPRODUCT(OFFSET($BO$15,0,0,$B$14,1), 1*(_xlfn._xlws.FILTER(OFFSET($O$15,0,$DN98,$B$8,1),OFFSET($M$15,0,0,$B$8,1))=EY$13), 1*(_xlfn._xlws.FILTER(OFFSET($O$15,0,$DO98,$B$8,1),OFFSET($M$15,0,0,$B$8,1))=EY$14))   /   SUM(OFFSET($BO$15,0,0,$B$14,1)) + $B$18/($B$19*$B$19*($DN98&lt;&gt;$DO98) + $B$19*($DN98=$DO98))</f>
        <v>3.7037037037037035E-4</v>
      </c>
      <c r="EZ98" s="10" cm="1">
        <f t="array" aca="1" ref="EZ98" ca="1">(1-$B$18)*SUMPRODUCT(OFFSET($BO$15,0,0,$B$14,1), 1*(_xlfn._xlws.FILTER(OFFSET($O$15,0,$DN98,$B$8,1),OFFSET($M$15,0,0,$B$8,1))=EZ$13), 1*(_xlfn._xlws.FILTER(OFFSET($O$15,0,$DO98,$B$8,1),OFFSET($M$15,0,0,$B$8,1))=EZ$14))   /   SUM(OFFSET($BO$15,0,0,$B$14,1)) + $B$18/($B$19*$B$19*($DN98&lt;&gt;$DO98) + $B$19*($DN98=$DO98))</f>
        <v>3.7037037037037035E-4</v>
      </c>
      <c r="FA98" s="10" cm="1">
        <f t="array" aca="1" ref="FA98" ca="1">(1-$B$18)*SUMPRODUCT(OFFSET($BO$15,0,0,$B$14,1), 1*(_xlfn._xlws.FILTER(OFFSET($O$15,0,$DN98,$B$8,1),OFFSET($M$15,0,0,$B$8,1))=FA$13), 1*(_xlfn._xlws.FILTER(OFFSET($O$15,0,$DO98,$B$8,1),OFFSET($M$15,0,0,$B$8,1))=FA$14))   /   SUM(OFFSET($BO$15,0,0,$B$14,1)) + $B$18/($B$19*$B$19*($DN98&lt;&gt;$DO98) + $B$19*($DN98=$DO98))</f>
        <v>3.7037037037037035E-4</v>
      </c>
      <c r="FB98" s="10" cm="1">
        <f t="array" aca="1" ref="FB98" ca="1">(1-$B$18)*SUMPRODUCT(OFFSET($BO$15,0,0,$B$14,1), 1*(_xlfn._xlws.FILTER(OFFSET($O$15,0,$DN98,$B$8,1),OFFSET($M$15,0,0,$B$8,1))=FB$13), 1*(_xlfn._xlws.FILTER(OFFSET($O$15,0,$DO98,$B$8,1),OFFSET($M$15,0,0,$B$8,1))=FB$14))   /   SUM(OFFSET($BO$15,0,0,$B$14,1)) + $B$18/($B$19*$B$19*($DN98&lt;&gt;$DO98) + $B$19*($DN98=$DO98))</f>
        <v>3.7037037037037035E-4</v>
      </c>
      <c r="FC98" s="10" cm="1">
        <f t="array" aca="1" ref="FC98" ca="1">(1-$B$18)*SUMPRODUCT(OFFSET($BO$15,0,0,$B$14,1), 1*(_xlfn._xlws.FILTER(OFFSET($O$15,0,$DN98,$B$8,1),OFFSET($M$15,0,0,$B$8,1))=FC$13), 1*(_xlfn._xlws.FILTER(OFFSET($O$15,0,$DO98,$B$8,1),OFFSET($M$15,0,0,$B$8,1))=FC$14))   /   SUM(OFFSET($BO$15,0,0,$B$14,1)) + $B$18/($B$19*$B$19*($DN98&lt;&gt;$DO98) + $B$19*($DN98=$DO98))</f>
        <v>3.7037037037037035E-4</v>
      </c>
      <c r="FD98" s="10" cm="1">
        <f t="array" aca="1" ref="FD98" ca="1">(1-$B$18)*SUMPRODUCT(OFFSET($BO$15,0,0,$B$14,1), 1*(_xlfn._xlws.FILTER(OFFSET($O$15,0,$DN98,$B$8,1),OFFSET($M$15,0,0,$B$8,1))=FD$13), 1*(_xlfn._xlws.FILTER(OFFSET($O$15,0,$DO98,$B$8,1),OFFSET($M$15,0,0,$B$8,1))=FD$14))   /   SUM(OFFSET($BO$15,0,0,$B$14,1)) + $B$18/($B$19*$B$19*($DN98&lt;&gt;$DO98) + $B$19*($DN98=$DO98))</f>
        <v>3.7037037037037035E-4</v>
      </c>
      <c r="FE98" s="10" cm="1">
        <f t="array" aca="1" ref="FE98" ca="1">(1-$B$18)*SUMPRODUCT(OFFSET($BO$15,0,0,$B$14,1), 1*(_xlfn._xlws.FILTER(OFFSET($O$15,0,$DN98,$B$8,1),OFFSET($M$15,0,0,$B$8,1))=FE$13), 1*(_xlfn._xlws.FILTER(OFFSET($O$15,0,$DO98,$B$8,1),OFFSET($M$15,0,0,$B$8,1))=FE$14))   /   SUM(OFFSET($BO$15,0,0,$B$14,1)) + $B$18/($B$19*$B$19*($DN98&lt;&gt;$DO98) + $B$19*($DN98=$DO98))</f>
        <v>3.7037037037037035E-4</v>
      </c>
      <c r="FF98" s="10" cm="1">
        <f t="array" aca="1" ref="FF98" ca="1">(1-$B$18)*SUMPRODUCT(OFFSET($BO$15,0,0,$B$14,1), 1*(_xlfn._xlws.FILTER(OFFSET($O$15,0,$DN98,$B$8,1),OFFSET($M$15,0,0,$B$8,1))=FF$13), 1*(_xlfn._xlws.FILTER(OFFSET($O$15,0,$DO98,$B$8,1),OFFSET($M$15,0,0,$B$8,1))=FF$14))   /   SUM(OFFSET($BO$15,0,0,$B$14,1)) + $B$18/($B$19*$B$19*($DN98&lt;&gt;$DO98) + $B$19*($DN98=$DO98))</f>
        <v>3.7037037037037035E-4</v>
      </c>
      <c r="FG98" s="10" cm="1">
        <f t="array" aca="1" ref="FG98" ca="1">(1-$B$18)*SUMPRODUCT(OFFSET($BO$15,0,0,$B$14,1), 1*(_xlfn._xlws.FILTER(OFFSET($O$15,0,$DN98,$B$8,1),OFFSET($M$15,0,0,$B$8,1))=FG$13), 1*(_xlfn._xlws.FILTER(OFFSET($O$15,0,$DO98,$B$8,1),OFFSET($M$15,0,0,$B$8,1))=FG$14))   /   SUM(OFFSET($BO$15,0,0,$B$14,1)) + $B$18/($B$19*$B$19*($DN98&lt;&gt;$DO98) + $B$19*($DN98=$DO98))</f>
        <v>3.7037037037037035E-4</v>
      </c>
      <c r="FH98" s="10" cm="1">
        <f t="array" aca="1" ref="FH98" ca="1">(1-$B$18)*SUMPRODUCT(OFFSET($BO$15,0,0,$B$14,1), 1*(_xlfn._xlws.FILTER(OFFSET($O$15,0,$DN98,$B$8,1),OFFSET($M$15,0,0,$B$8,1))=FH$13), 1*(_xlfn._xlws.FILTER(OFFSET($O$15,0,$DO98,$B$8,1),OFFSET($M$15,0,0,$B$8,1))=FH$14))   /   SUM(OFFSET($BO$15,0,0,$B$14,1)) + $B$18/($B$19*$B$19*($DN98&lt;&gt;$DO98) + $B$19*($DN98=$DO98))</f>
        <v>3.7037037037037035E-4</v>
      </c>
      <c r="FI98" s="10" cm="1">
        <f t="array" aca="1" ref="FI98" ca="1">(1-$B$18)*SUMPRODUCT(OFFSET($BO$15,0,0,$B$14,1), 1*(_xlfn._xlws.FILTER(OFFSET($O$15,0,$DN98,$B$8,1),OFFSET($M$15,0,0,$B$8,1))=FI$13), 1*(_xlfn._xlws.FILTER(OFFSET($O$15,0,$DO98,$B$8,1),OFFSET($M$15,0,0,$B$8,1))=FI$14))   /   SUM(OFFSET($BO$15,0,0,$B$14,1)) + $B$18/($B$19*$B$19*($DN98&lt;&gt;$DO98) + $B$19*($DN98=$DO98))</f>
        <v>3.7037037037037035E-4</v>
      </c>
      <c r="FJ98" s="10" cm="1">
        <f t="array" aca="1" ref="FJ98" ca="1">(1-$B$18)*SUMPRODUCT(OFFSET($BO$15,0,0,$B$14,1), 1*(_xlfn._xlws.FILTER(OFFSET($O$15,0,$DN98,$B$8,1),OFFSET($M$15,0,0,$B$8,1))=FJ$13), 1*(_xlfn._xlws.FILTER(OFFSET($O$15,0,$DO98,$B$8,1),OFFSET($M$15,0,0,$B$8,1))=FJ$14))   /   SUM(OFFSET($BO$15,0,0,$B$14,1)) + $B$18/($B$19*$B$19*($DN98&lt;&gt;$DO98) + $B$19*($DN98=$DO98))</f>
        <v>3.7037037037037035E-4</v>
      </c>
      <c r="FK98" s="10" cm="1">
        <f t="array" aca="1" ref="FK98" ca="1">(1-$B$18)*SUMPRODUCT(OFFSET($BO$15,0,0,$B$14,1), 1*(_xlfn._xlws.FILTER(OFFSET($O$15,0,$DN98,$B$8,1),OFFSET($M$15,0,0,$B$8,1))=FK$13), 1*(_xlfn._xlws.FILTER(OFFSET($O$15,0,$DO98,$B$8,1),OFFSET($M$15,0,0,$B$8,1))=FK$14))   /   SUM(OFFSET($BO$15,0,0,$B$14,1)) + $B$18/($B$19*$B$19*($DN98&lt;&gt;$DO98) + $B$19*($DN98=$DO98))</f>
        <v>3.7037037037037035E-4</v>
      </c>
      <c r="FL98" s="10" cm="1">
        <f t="array" aca="1" ref="FL98" ca="1">(1-$B$18)*SUMPRODUCT(OFFSET($BO$15,0,0,$B$14,1), 1*(_xlfn._xlws.FILTER(OFFSET($O$15,0,$DN98,$B$8,1),OFFSET($M$15,0,0,$B$8,1))=FL$13), 1*(_xlfn._xlws.FILTER(OFFSET($O$15,0,$DO98,$B$8,1),OFFSET($M$15,0,0,$B$8,1))=FL$14))   /   SUM(OFFSET($BO$15,0,0,$B$14,1)) + $B$18/($B$19*$B$19*($DN98&lt;&gt;$DO98) + $B$19*($DN98=$DO98))</f>
        <v>3.7037037037037035E-4</v>
      </c>
      <c r="FM98" s="10" cm="1">
        <f t="array" aca="1" ref="FM98" ca="1">(1-$B$18)*SUMPRODUCT(OFFSET($BO$15,0,0,$B$14,1), 1*(_xlfn._xlws.FILTER(OFFSET($O$15,0,$DN98,$B$8,1),OFFSET($M$15,0,0,$B$8,1))=FM$13), 1*(_xlfn._xlws.FILTER(OFFSET($O$15,0,$DO98,$B$8,1),OFFSET($M$15,0,0,$B$8,1))=FM$14))   /   SUM(OFFSET($BO$15,0,0,$B$14,1)) + $B$18/($B$19*$B$19*($DN98&lt;&gt;$DO98) + $B$19*($DN98=$DO98))</f>
        <v>3.7037037037037035E-4</v>
      </c>
      <c r="FN98" s="10" cm="1">
        <f t="array" aca="1" ref="FN98" ca="1">(1-$B$18)*SUMPRODUCT(OFFSET($BO$15,0,0,$B$14,1), 1*(_xlfn._xlws.FILTER(OFFSET($O$15,0,$DN98,$B$8,1),OFFSET($M$15,0,0,$B$8,1))=FN$13), 1*(_xlfn._xlws.FILTER(OFFSET($O$15,0,$DO98,$B$8,1),OFFSET($M$15,0,0,$B$8,1))=FN$14))   /   SUM(OFFSET($BO$15,0,0,$B$14,1)) + $B$18/($B$19*$B$19*($DN98&lt;&gt;$DO98) + $B$19*($DN98=$DO98))</f>
        <v>3.7037037037037035E-4</v>
      </c>
      <c r="FO98" s="10" cm="1">
        <f t="array" aca="1" ref="FO98" ca="1">(1-$B$18)*SUMPRODUCT(OFFSET($BO$15,0,0,$B$14,1), 1*(_xlfn._xlws.FILTER(OFFSET($O$15,0,$DN98,$B$8,1),OFFSET($M$15,0,0,$B$8,1))=FO$13), 1*(_xlfn._xlws.FILTER(OFFSET($O$15,0,$DO98,$B$8,1),OFFSET($M$15,0,0,$B$8,1))=FO$14))   /   SUM(OFFSET($BO$15,0,0,$B$14,1)) + $B$18/($B$19*$B$19*($DN98&lt;&gt;$DO98) + $B$19*($DN98=$DO98))</f>
        <v>3.7037037037037035E-4</v>
      </c>
      <c r="FP98" s="10" cm="1">
        <f t="array" aca="1" ref="FP98" ca="1">(1-$B$18)*SUMPRODUCT(OFFSET($BO$15,0,0,$B$14,1), 1*(_xlfn._xlws.FILTER(OFFSET($O$15,0,$DN98,$B$8,1),OFFSET($M$15,0,0,$B$8,1))=FP$13), 1*(_xlfn._xlws.FILTER(OFFSET($O$15,0,$DO98,$B$8,1),OFFSET($M$15,0,0,$B$8,1))=FP$14))   /   SUM(OFFSET($BO$15,0,0,$B$14,1)) + $B$18/($B$19*$B$19*($DN98&lt;&gt;$DO98) + $B$19*($DN98=$DO98))</f>
        <v>3.7037037037037035E-4</v>
      </c>
      <c r="FQ98" s="10" cm="1">
        <f t="array" aca="1" ref="FQ98" ca="1">(1-$B$18)*SUMPRODUCT(OFFSET($BO$15,0,0,$B$14,1), 1*(_xlfn._xlws.FILTER(OFFSET($O$15,0,$DN98,$B$8,1),OFFSET($M$15,0,0,$B$8,1))=FQ$13), 1*(_xlfn._xlws.FILTER(OFFSET($O$15,0,$DO98,$B$8,1),OFFSET($M$15,0,0,$B$8,1))=FQ$14))   /   SUM(OFFSET($BO$15,0,0,$B$14,1)) + $B$18/($B$19*$B$19*($DN98&lt;&gt;$DO98) + $B$19*($DN98=$DO98))</f>
        <v>3.7037037037037035E-4</v>
      </c>
      <c r="FR98" s="10" cm="1">
        <f t="array" aca="1" ref="FR98" ca="1">(1-$B$18)*SUMPRODUCT(OFFSET($BO$15,0,0,$B$14,1), 1*(_xlfn._xlws.FILTER(OFFSET($O$15,0,$DN98,$B$8,1),OFFSET($M$15,0,0,$B$8,1))=FR$13), 1*(_xlfn._xlws.FILTER(OFFSET($O$15,0,$DO98,$B$8,1),OFFSET($M$15,0,0,$B$8,1))=FR$14))   /   SUM(OFFSET($BO$15,0,0,$B$14,1)) + $B$18/($B$19*$B$19*($DN98&lt;&gt;$DO98) + $B$19*($DN98=$DO98))</f>
        <v>0.97037037037037033</v>
      </c>
      <c r="FS98" s="10" cm="1">
        <f t="array" aca="1" ref="FS98" ca="1">(1-$B$18)*SUMPRODUCT(OFFSET($BO$15,0,0,$B$14,1), 1*(_xlfn._xlws.FILTER(OFFSET($O$15,0,$DN98,$B$8,1),OFFSET($M$15,0,0,$B$8,1))=FS$13), 1*(_xlfn._xlws.FILTER(OFFSET($O$15,0,$DO98,$B$8,1),OFFSET($M$15,0,0,$B$8,1))=FS$14))   /   SUM(OFFSET($BO$15,0,0,$B$14,1)) + $B$18/($B$19*$B$19*($DN98&lt;&gt;$DO98) + $B$19*($DN98=$DO98))</f>
        <v>3.7037037037037035E-4</v>
      </c>
      <c r="FT98" s="10" cm="1">
        <f t="array" aca="1" ref="FT98" ca="1">(1-$B$18)*SUMPRODUCT(OFFSET($BO$15,0,0,$B$14,1), 1*(_xlfn._xlws.FILTER(OFFSET($O$15,0,$DN98,$B$8,1),OFFSET($M$15,0,0,$B$8,1))=FT$13), 1*(_xlfn._xlws.FILTER(OFFSET($O$15,0,$DO98,$B$8,1),OFFSET($M$15,0,0,$B$8,1))=FT$14))   /   SUM(OFFSET($BO$15,0,0,$B$14,1)) + $B$18/($B$19*$B$19*($DN98&lt;&gt;$DO98) + $B$19*($DN98=$DO98))</f>
        <v>3.7037037037037035E-4</v>
      </c>
      <c r="FU98" s="10" cm="1">
        <f t="array" aca="1" ref="FU98" ca="1">(1-$B$18)*SUMPRODUCT(OFFSET($BO$15,0,0,$B$14,1), 1*(_xlfn._xlws.FILTER(OFFSET($O$15,0,$DN98,$B$8,1),OFFSET($M$15,0,0,$B$8,1))=FU$13), 1*(_xlfn._xlws.FILTER(OFFSET($O$15,0,$DO98,$B$8,1),OFFSET($M$15,0,0,$B$8,1))=FU$14))   /   SUM(OFFSET($BO$15,0,0,$B$14,1)) + $B$18/($B$19*$B$19*($DN98&lt;&gt;$DO98) + $B$19*($DN98=$DO98))</f>
        <v>3.7037037037037035E-4</v>
      </c>
      <c r="FV98" s="10" cm="1">
        <f t="array" aca="1" ref="FV98" ca="1">(1-$B$18)*SUMPRODUCT(OFFSET($BO$15,0,0,$B$14,1), 1*(_xlfn._xlws.FILTER(OFFSET($O$15,0,$DN98,$B$8,1),OFFSET($M$15,0,0,$B$8,1))=FV$13), 1*(_xlfn._xlws.FILTER(OFFSET($O$15,0,$DO98,$B$8,1),OFFSET($M$15,0,0,$B$8,1))=FV$14))   /   SUM(OFFSET($BO$15,0,0,$B$14,1)) + $B$18/($B$19*$B$19*($DN98&lt;&gt;$DO98) + $B$19*($DN98=$DO98))</f>
        <v>3.7037037037037035E-4</v>
      </c>
      <c r="FW98" s="10" cm="1">
        <f t="array" aca="1" ref="FW98" ca="1">(1-$B$18)*SUMPRODUCT(OFFSET($BO$15,0,0,$B$14,1), 1*(_xlfn._xlws.FILTER(OFFSET($O$15,0,$DN98,$B$8,1),OFFSET($M$15,0,0,$B$8,1))=FW$13), 1*(_xlfn._xlws.FILTER(OFFSET($O$15,0,$DO98,$B$8,1),OFFSET($M$15,0,0,$B$8,1))=FW$14))   /   SUM(OFFSET($BO$15,0,0,$B$14,1)) + $B$18/($B$19*$B$19*($DN98&lt;&gt;$DO98) + $B$19*($DN98=$DO98))</f>
        <v>3.7037037037037035E-4</v>
      </c>
      <c r="FX98" s="10" cm="1">
        <f t="array" aca="1" ref="FX98" ca="1">(1-$B$18)*SUMPRODUCT(OFFSET($BO$15,0,0,$B$14,1), 1*(_xlfn._xlws.FILTER(OFFSET($O$15,0,$DN98,$B$8,1),OFFSET($M$15,0,0,$B$8,1))=FX$13), 1*(_xlfn._xlws.FILTER(OFFSET($O$15,0,$DO98,$B$8,1),OFFSET($M$15,0,0,$B$8,1))=FX$14))   /   SUM(OFFSET($BO$15,0,0,$B$14,1)) + $B$18/($B$19*$B$19*($DN98&lt;&gt;$DO98) + $B$19*($DN98=$DO98))</f>
        <v>3.7037037037037035E-4</v>
      </c>
      <c r="FY98" s="10" cm="1">
        <f t="array" aca="1" ref="FY98" ca="1">(1-$B$18)*SUMPRODUCT(OFFSET($BO$15,0,0,$B$14,1), 1*(_xlfn._xlws.FILTER(OFFSET($O$15,0,$DN98,$B$8,1),OFFSET($M$15,0,0,$B$8,1))=FY$13), 1*(_xlfn._xlws.FILTER(OFFSET($O$15,0,$DO98,$B$8,1),OFFSET($M$15,0,0,$B$8,1))=FY$14))   /   SUM(OFFSET($BO$15,0,0,$B$14,1)) + $B$18/($B$19*$B$19*($DN98&lt;&gt;$DO98) + $B$19*($DN98=$DO98))</f>
        <v>3.7037037037037035E-4</v>
      </c>
      <c r="FZ98" s="10" cm="1">
        <f t="array" aca="1" ref="FZ98" ca="1">(1-$B$18)*SUMPRODUCT(OFFSET($BO$15,0,0,$B$14,1), 1*(_xlfn._xlws.FILTER(OFFSET($O$15,0,$DN98,$B$8,1),OFFSET($M$15,0,0,$B$8,1))=FZ$13), 1*(_xlfn._xlws.FILTER(OFFSET($O$15,0,$DO98,$B$8,1),OFFSET($M$15,0,0,$B$8,1))=FZ$14))   /   SUM(OFFSET($BO$15,0,0,$B$14,1)) + $B$18/($B$19*$B$19*($DN98&lt;&gt;$DO98) + $B$19*($DN98=$DO98))</f>
        <v>3.7037037037037035E-4</v>
      </c>
      <c r="GA98" s="10" cm="1">
        <f t="array" aca="1" ref="GA98" ca="1">(1-$B$18)*SUMPRODUCT(OFFSET($BO$15,0,0,$B$14,1), 1*(_xlfn._xlws.FILTER(OFFSET($O$15,0,$DN98,$B$8,1),OFFSET($M$15,0,0,$B$8,1))=GA$13), 1*(_xlfn._xlws.FILTER(OFFSET($O$15,0,$DO98,$B$8,1),OFFSET($M$15,0,0,$B$8,1))=GA$14))   /   SUM(OFFSET($BO$15,0,0,$B$14,1)) + $B$18/($B$19*$B$19*($DN98&lt;&gt;$DO98) + $B$19*($DN98=$DO98))</f>
        <v>3.7037037037037035E-4</v>
      </c>
    </row>
    <row r="99" spans="8:183" x14ac:dyDescent="0.2">
      <c r="H99" s="2"/>
      <c r="DN99" cm="1">
        <f t="array" aca="1" ref="DN99" ca="1">INDEX(_xlfn.ANCHORARRAY($CP$15), 1 + INT((ROWS($DO$15:$DO99) - 1) / ROWS(_xlfn.ANCHORARRAY($CP$15))))</f>
        <v>4</v>
      </c>
      <c r="DO99" cm="1">
        <f t="array" aca="1" ref="DO99" ca="1">INDEX(_xlfn.ANCHORARRAY($CP$15),1+MOD(ROWS($DO$15:$DO99)-1,ROWS(_xlfn.ANCHORARRAY($CP$15))))</f>
        <v>8</v>
      </c>
      <c r="DP99" s="10" cm="1">
        <f t="array" aca="1" ref="DP99" ca="1">(1-$B$18)*SUMPRODUCT(OFFSET($BO$15,0,0,$B$14,1), 1*(_xlfn._xlws.FILTER(OFFSET($O$15,0,$DN99,$B$8,1),OFFSET($M$15,0,0,$B$8,1))=DP$13), 1*(_xlfn._xlws.FILTER(OFFSET($O$15,0,$DO99,$B$8,1),OFFSET($M$15,0,0,$B$8,1))=DP$14))   /   SUM(OFFSET($BO$15,0,0,$B$14,1)) + $B$18/($B$19*$B$19*($DN99&lt;&gt;$DO99) + $B$19*($DN99=$DO99))</f>
        <v>3.7037037037037035E-4</v>
      </c>
      <c r="DQ99" s="10" cm="1">
        <f t="array" aca="1" ref="DQ99" ca="1">(1-$B$18)*SUMPRODUCT(OFFSET($BO$15,0,0,$B$14,1), 1*(_xlfn._xlws.FILTER(OFFSET($O$15,0,$DN99,$B$8,1),OFFSET($M$15,0,0,$B$8,1))=DQ$13), 1*(_xlfn._xlws.FILTER(OFFSET($O$15,0,$DO99,$B$8,1),OFFSET($M$15,0,0,$B$8,1))=DQ$14))   /   SUM(OFFSET($BO$15,0,0,$B$14,1)) + $B$18/($B$19*$B$19*($DN99&lt;&gt;$DO99) + $B$19*($DN99=$DO99))</f>
        <v>3.7037037037037035E-4</v>
      </c>
      <c r="DR99" s="10" cm="1">
        <f t="array" aca="1" ref="DR99" ca="1">(1-$B$18)*SUMPRODUCT(OFFSET($BO$15,0,0,$B$14,1), 1*(_xlfn._xlws.FILTER(OFFSET($O$15,0,$DN99,$B$8,1),OFFSET($M$15,0,0,$B$8,1))=DR$13), 1*(_xlfn._xlws.FILTER(OFFSET($O$15,0,$DO99,$B$8,1),OFFSET($M$15,0,0,$B$8,1))=DR$14))   /   SUM(OFFSET($BO$15,0,0,$B$14,1)) + $B$18/($B$19*$B$19*($DN99&lt;&gt;$DO99) + $B$19*($DN99=$DO99))</f>
        <v>3.7037037037037035E-4</v>
      </c>
      <c r="DS99" s="10" cm="1">
        <f t="array" aca="1" ref="DS99" ca="1">(1-$B$18)*SUMPRODUCT(OFFSET($BO$15,0,0,$B$14,1), 1*(_xlfn._xlws.FILTER(OFFSET($O$15,0,$DN99,$B$8,1),OFFSET($M$15,0,0,$B$8,1))=DS$13), 1*(_xlfn._xlws.FILTER(OFFSET($O$15,0,$DO99,$B$8,1),OFFSET($M$15,0,0,$B$8,1))=DS$14))   /   SUM(OFFSET($BO$15,0,0,$B$14,1)) + $B$18/($B$19*$B$19*($DN99&lt;&gt;$DO99) + $B$19*($DN99=$DO99))</f>
        <v>3.7037037037037035E-4</v>
      </c>
      <c r="DT99" s="10" cm="1">
        <f t="array" aca="1" ref="DT99" ca="1">(1-$B$18)*SUMPRODUCT(OFFSET($BO$15,0,0,$B$14,1), 1*(_xlfn._xlws.FILTER(OFFSET($O$15,0,$DN99,$B$8,1),OFFSET($M$15,0,0,$B$8,1))=DT$13), 1*(_xlfn._xlws.FILTER(OFFSET($O$15,0,$DO99,$B$8,1),OFFSET($M$15,0,0,$B$8,1))=DT$14))   /   SUM(OFFSET($BO$15,0,0,$B$14,1)) + $B$18/($B$19*$B$19*($DN99&lt;&gt;$DO99) + $B$19*($DN99=$DO99))</f>
        <v>3.7037037037037035E-4</v>
      </c>
      <c r="DU99" s="10" cm="1">
        <f t="array" aca="1" ref="DU99" ca="1">(1-$B$18)*SUMPRODUCT(OFFSET($BO$15,0,0,$B$14,1), 1*(_xlfn._xlws.FILTER(OFFSET($O$15,0,$DN99,$B$8,1),OFFSET($M$15,0,0,$B$8,1))=DU$13), 1*(_xlfn._xlws.FILTER(OFFSET($O$15,0,$DO99,$B$8,1),OFFSET($M$15,0,0,$B$8,1))=DU$14))   /   SUM(OFFSET($BO$15,0,0,$B$14,1)) + $B$18/($B$19*$B$19*($DN99&lt;&gt;$DO99) + $B$19*($DN99=$DO99))</f>
        <v>3.7037037037037035E-4</v>
      </c>
      <c r="DV99" s="10" cm="1">
        <f t="array" aca="1" ref="DV99" ca="1">(1-$B$18)*SUMPRODUCT(OFFSET($BO$15,0,0,$B$14,1), 1*(_xlfn._xlws.FILTER(OFFSET($O$15,0,$DN99,$B$8,1),OFFSET($M$15,0,0,$B$8,1))=DV$13), 1*(_xlfn._xlws.FILTER(OFFSET($O$15,0,$DO99,$B$8,1),OFFSET($M$15,0,0,$B$8,1))=DV$14))   /   SUM(OFFSET($BO$15,0,0,$B$14,1)) + $B$18/($B$19*$B$19*($DN99&lt;&gt;$DO99) + $B$19*($DN99=$DO99))</f>
        <v>3.7037037037037035E-4</v>
      </c>
      <c r="DW99" s="10" cm="1">
        <f t="array" aca="1" ref="DW99" ca="1">(1-$B$18)*SUMPRODUCT(OFFSET($BO$15,0,0,$B$14,1), 1*(_xlfn._xlws.FILTER(OFFSET($O$15,0,$DN99,$B$8,1),OFFSET($M$15,0,0,$B$8,1))=DW$13), 1*(_xlfn._xlws.FILTER(OFFSET($O$15,0,$DO99,$B$8,1),OFFSET($M$15,0,0,$B$8,1))=DW$14))   /   SUM(OFFSET($BO$15,0,0,$B$14,1)) + $B$18/($B$19*$B$19*($DN99&lt;&gt;$DO99) + $B$19*($DN99=$DO99))</f>
        <v>3.7037037037037035E-4</v>
      </c>
      <c r="DX99" s="10" cm="1">
        <f t="array" aca="1" ref="DX99" ca="1">(1-$B$18)*SUMPRODUCT(OFFSET($BO$15,0,0,$B$14,1), 1*(_xlfn._xlws.FILTER(OFFSET($O$15,0,$DN99,$B$8,1),OFFSET($M$15,0,0,$B$8,1))=DX$13), 1*(_xlfn._xlws.FILTER(OFFSET($O$15,0,$DO99,$B$8,1),OFFSET($M$15,0,0,$B$8,1))=DX$14))   /   SUM(OFFSET($BO$15,0,0,$B$14,1)) + $B$18/($B$19*$B$19*($DN99&lt;&gt;$DO99) + $B$19*($DN99=$DO99))</f>
        <v>3.7037037037037035E-4</v>
      </c>
      <c r="DY99" s="10" cm="1">
        <f t="array" aca="1" ref="DY99" ca="1">(1-$B$18)*SUMPRODUCT(OFFSET($BO$15,0,0,$B$14,1), 1*(_xlfn._xlws.FILTER(OFFSET($O$15,0,$DN99,$B$8,1),OFFSET($M$15,0,0,$B$8,1))=DY$13), 1*(_xlfn._xlws.FILTER(OFFSET($O$15,0,$DO99,$B$8,1),OFFSET($M$15,0,0,$B$8,1))=DY$14))   /   SUM(OFFSET($BO$15,0,0,$B$14,1)) + $B$18/($B$19*$B$19*($DN99&lt;&gt;$DO99) + $B$19*($DN99=$DO99))</f>
        <v>3.7037037037037035E-4</v>
      </c>
      <c r="DZ99" s="10" cm="1">
        <f t="array" aca="1" ref="DZ99" ca="1">(1-$B$18)*SUMPRODUCT(OFFSET($BO$15,0,0,$B$14,1), 1*(_xlfn._xlws.FILTER(OFFSET($O$15,0,$DN99,$B$8,1),OFFSET($M$15,0,0,$B$8,1))=DZ$13), 1*(_xlfn._xlws.FILTER(OFFSET($O$15,0,$DO99,$B$8,1),OFFSET($M$15,0,0,$B$8,1))=DZ$14))   /   SUM(OFFSET($BO$15,0,0,$B$14,1)) + $B$18/($B$19*$B$19*($DN99&lt;&gt;$DO99) + $B$19*($DN99=$DO99))</f>
        <v>3.7037037037037035E-4</v>
      </c>
      <c r="EA99" s="10" cm="1">
        <f t="array" aca="1" ref="EA99" ca="1">(1-$B$18)*SUMPRODUCT(OFFSET($BO$15,0,0,$B$14,1), 1*(_xlfn._xlws.FILTER(OFFSET($O$15,0,$DN99,$B$8,1),OFFSET($M$15,0,0,$B$8,1))=EA$13), 1*(_xlfn._xlws.FILTER(OFFSET($O$15,0,$DO99,$B$8,1),OFFSET($M$15,0,0,$B$8,1))=EA$14))   /   SUM(OFFSET($BO$15,0,0,$B$14,1)) + $B$18/($B$19*$B$19*($DN99&lt;&gt;$DO99) + $B$19*($DN99=$DO99))</f>
        <v>3.7037037037037035E-4</v>
      </c>
      <c r="EB99" s="10" cm="1">
        <f t="array" aca="1" ref="EB99" ca="1">(1-$B$18)*SUMPRODUCT(OFFSET($BO$15,0,0,$B$14,1), 1*(_xlfn._xlws.FILTER(OFFSET($O$15,0,$DN99,$B$8,1),OFFSET($M$15,0,0,$B$8,1))=EB$13), 1*(_xlfn._xlws.FILTER(OFFSET($O$15,0,$DO99,$B$8,1),OFFSET($M$15,0,0,$B$8,1))=EB$14))   /   SUM(OFFSET($BO$15,0,0,$B$14,1)) + $B$18/($B$19*$B$19*($DN99&lt;&gt;$DO99) + $B$19*($DN99=$DO99))</f>
        <v>3.7037037037037035E-4</v>
      </c>
      <c r="EC99" s="10" cm="1">
        <f t="array" aca="1" ref="EC99" ca="1">(1-$B$18)*SUMPRODUCT(OFFSET($BO$15,0,0,$B$14,1), 1*(_xlfn._xlws.FILTER(OFFSET($O$15,0,$DN99,$B$8,1),OFFSET($M$15,0,0,$B$8,1))=EC$13), 1*(_xlfn._xlws.FILTER(OFFSET($O$15,0,$DO99,$B$8,1),OFFSET($M$15,0,0,$B$8,1))=EC$14))   /   SUM(OFFSET($BO$15,0,0,$B$14,1)) + $B$18/($B$19*$B$19*($DN99&lt;&gt;$DO99) + $B$19*($DN99=$DO99))</f>
        <v>3.7037037037037035E-4</v>
      </c>
      <c r="ED99" s="10" cm="1">
        <f t="array" aca="1" ref="ED99" ca="1">(1-$B$18)*SUMPRODUCT(OFFSET($BO$15,0,0,$B$14,1), 1*(_xlfn._xlws.FILTER(OFFSET($O$15,0,$DN99,$B$8,1),OFFSET($M$15,0,0,$B$8,1))=ED$13), 1*(_xlfn._xlws.FILTER(OFFSET($O$15,0,$DO99,$B$8,1),OFFSET($M$15,0,0,$B$8,1))=ED$14))   /   SUM(OFFSET($BO$15,0,0,$B$14,1)) + $B$18/($B$19*$B$19*($DN99&lt;&gt;$DO99) + $B$19*($DN99=$DO99))</f>
        <v>3.7037037037037035E-4</v>
      </c>
      <c r="EE99" s="10" cm="1">
        <f t="array" aca="1" ref="EE99" ca="1">(1-$B$18)*SUMPRODUCT(OFFSET($BO$15,0,0,$B$14,1), 1*(_xlfn._xlws.FILTER(OFFSET($O$15,0,$DN99,$B$8,1),OFFSET($M$15,0,0,$B$8,1))=EE$13), 1*(_xlfn._xlws.FILTER(OFFSET($O$15,0,$DO99,$B$8,1),OFFSET($M$15,0,0,$B$8,1))=EE$14))   /   SUM(OFFSET($BO$15,0,0,$B$14,1)) + $B$18/($B$19*$B$19*($DN99&lt;&gt;$DO99) + $B$19*($DN99=$DO99))</f>
        <v>3.7037037037037035E-4</v>
      </c>
      <c r="EF99" s="10" cm="1">
        <f t="array" aca="1" ref="EF99" ca="1">(1-$B$18)*SUMPRODUCT(OFFSET($BO$15,0,0,$B$14,1), 1*(_xlfn._xlws.FILTER(OFFSET($O$15,0,$DN99,$B$8,1),OFFSET($M$15,0,0,$B$8,1))=EF$13), 1*(_xlfn._xlws.FILTER(OFFSET($O$15,0,$DO99,$B$8,1),OFFSET($M$15,0,0,$B$8,1))=EF$14))   /   SUM(OFFSET($BO$15,0,0,$B$14,1)) + $B$18/($B$19*$B$19*($DN99&lt;&gt;$DO99) + $B$19*($DN99=$DO99))</f>
        <v>3.7037037037037035E-4</v>
      </c>
      <c r="EG99" s="10" cm="1">
        <f t="array" aca="1" ref="EG99" ca="1">(1-$B$18)*SUMPRODUCT(OFFSET($BO$15,0,0,$B$14,1), 1*(_xlfn._xlws.FILTER(OFFSET($O$15,0,$DN99,$B$8,1),OFFSET($M$15,0,0,$B$8,1))=EG$13), 1*(_xlfn._xlws.FILTER(OFFSET($O$15,0,$DO99,$B$8,1),OFFSET($M$15,0,0,$B$8,1))=EG$14))   /   SUM(OFFSET($BO$15,0,0,$B$14,1)) + $B$18/($B$19*$B$19*($DN99&lt;&gt;$DO99) + $B$19*($DN99=$DO99))</f>
        <v>3.7037037037037035E-4</v>
      </c>
      <c r="EH99" s="10" cm="1">
        <f t="array" aca="1" ref="EH99" ca="1">(1-$B$18)*SUMPRODUCT(OFFSET($BO$15,0,0,$B$14,1), 1*(_xlfn._xlws.FILTER(OFFSET($O$15,0,$DN99,$B$8,1),OFFSET($M$15,0,0,$B$8,1))=EH$13), 1*(_xlfn._xlws.FILTER(OFFSET($O$15,0,$DO99,$B$8,1),OFFSET($M$15,0,0,$B$8,1))=EH$14))   /   SUM(OFFSET($BO$15,0,0,$B$14,1)) + $B$18/($B$19*$B$19*($DN99&lt;&gt;$DO99) + $B$19*($DN99=$DO99))</f>
        <v>3.7037037037037035E-4</v>
      </c>
      <c r="EI99" s="10" cm="1">
        <f t="array" aca="1" ref="EI99" ca="1">(1-$B$18)*SUMPRODUCT(OFFSET($BO$15,0,0,$B$14,1), 1*(_xlfn._xlws.FILTER(OFFSET($O$15,0,$DN99,$B$8,1),OFFSET($M$15,0,0,$B$8,1))=EI$13), 1*(_xlfn._xlws.FILTER(OFFSET($O$15,0,$DO99,$B$8,1),OFFSET($M$15,0,0,$B$8,1))=EI$14))   /   SUM(OFFSET($BO$15,0,0,$B$14,1)) + $B$18/($B$19*$B$19*($DN99&lt;&gt;$DO99) + $B$19*($DN99=$DO99))</f>
        <v>3.7037037037037035E-4</v>
      </c>
      <c r="EJ99" s="10" cm="1">
        <f t="array" aca="1" ref="EJ99" ca="1">(1-$B$18)*SUMPRODUCT(OFFSET($BO$15,0,0,$B$14,1), 1*(_xlfn._xlws.FILTER(OFFSET($O$15,0,$DN99,$B$8,1),OFFSET($M$15,0,0,$B$8,1))=EJ$13), 1*(_xlfn._xlws.FILTER(OFFSET($O$15,0,$DO99,$B$8,1),OFFSET($M$15,0,0,$B$8,1))=EJ$14))   /   SUM(OFFSET($BO$15,0,0,$B$14,1)) + $B$18/($B$19*$B$19*($DN99&lt;&gt;$DO99) + $B$19*($DN99=$DO99))</f>
        <v>3.7037037037037035E-4</v>
      </c>
      <c r="EK99" s="10" cm="1">
        <f t="array" aca="1" ref="EK99" ca="1">(1-$B$18)*SUMPRODUCT(OFFSET($BO$15,0,0,$B$14,1), 1*(_xlfn._xlws.FILTER(OFFSET($O$15,0,$DN99,$B$8,1),OFFSET($M$15,0,0,$B$8,1))=EK$13), 1*(_xlfn._xlws.FILTER(OFFSET($O$15,0,$DO99,$B$8,1),OFFSET($M$15,0,0,$B$8,1))=EK$14))   /   SUM(OFFSET($BO$15,0,0,$B$14,1)) + $B$18/($B$19*$B$19*($DN99&lt;&gt;$DO99) + $B$19*($DN99=$DO99))</f>
        <v>3.7037037037037035E-4</v>
      </c>
      <c r="EL99" s="10" cm="1">
        <f t="array" aca="1" ref="EL99" ca="1">(1-$B$18)*SUMPRODUCT(OFFSET($BO$15,0,0,$B$14,1), 1*(_xlfn._xlws.FILTER(OFFSET($O$15,0,$DN99,$B$8,1),OFFSET($M$15,0,0,$B$8,1))=EL$13), 1*(_xlfn._xlws.FILTER(OFFSET($O$15,0,$DO99,$B$8,1),OFFSET($M$15,0,0,$B$8,1))=EL$14))   /   SUM(OFFSET($BO$15,0,0,$B$14,1)) + $B$18/($B$19*$B$19*($DN99&lt;&gt;$DO99) + $B$19*($DN99=$DO99))</f>
        <v>3.7037037037037035E-4</v>
      </c>
      <c r="EM99" s="10" cm="1">
        <f t="array" aca="1" ref="EM99" ca="1">(1-$B$18)*SUMPRODUCT(OFFSET($BO$15,0,0,$B$14,1), 1*(_xlfn._xlws.FILTER(OFFSET($O$15,0,$DN99,$B$8,1),OFFSET($M$15,0,0,$B$8,1))=EM$13), 1*(_xlfn._xlws.FILTER(OFFSET($O$15,0,$DO99,$B$8,1),OFFSET($M$15,0,0,$B$8,1))=EM$14))   /   SUM(OFFSET($BO$15,0,0,$B$14,1)) + $B$18/($B$19*$B$19*($DN99&lt;&gt;$DO99) + $B$19*($DN99=$DO99))</f>
        <v>3.7037037037037035E-4</v>
      </c>
      <c r="EN99" s="10" cm="1">
        <f t="array" aca="1" ref="EN99" ca="1">(1-$B$18)*SUMPRODUCT(OFFSET($BO$15,0,0,$B$14,1), 1*(_xlfn._xlws.FILTER(OFFSET($O$15,0,$DN99,$B$8,1),OFFSET($M$15,0,0,$B$8,1))=EN$13), 1*(_xlfn._xlws.FILTER(OFFSET($O$15,0,$DO99,$B$8,1),OFFSET($M$15,0,0,$B$8,1))=EN$14))   /   SUM(OFFSET($BO$15,0,0,$B$14,1)) + $B$18/($B$19*$B$19*($DN99&lt;&gt;$DO99) + $B$19*($DN99=$DO99))</f>
        <v>3.7037037037037035E-4</v>
      </c>
      <c r="EO99" s="10" cm="1">
        <f t="array" aca="1" ref="EO99" ca="1">(1-$B$18)*SUMPRODUCT(OFFSET($BO$15,0,0,$B$14,1), 1*(_xlfn._xlws.FILTER(OFFSET($O$15,0,$DN99,$B$8,1),OFFSET($M$15,0,0,$B$8,1))=EO$13), 1*(_xlfn._xlws.FILTER(OFFSET($O$15,0,$DO99,$B$8,1),OFFSET($M$15,0,0,$B$8,1))=EO$14))   /   SUM(OFFSET($BO$15,0,0,$B$14,1)) + $B$18/($B$19*$B$19*($DN99&lt;&gt;$DO99) + $B$19*($DN99=$DO99))</f>
        <v>3.7037037037037035E-4</v>
      </c>
      <c r="EP99" s="10" cm="1">
        <f t="array" aca="1" ref="EP99" ca="1">(1-$B$18)*SUMPRODUCT(OFFSET($BO$15,0,0,$B$14,1), 1*(_xlfn._xlws.FILTER(OFFSET($O$15,0,$DN99,$B$8,1),OFFSET($M$15,0,0,$B$8,1))=EP$13), 1*(_xlfn._xlws.FILTER(OFFSET($O$15,0,$DO99,$B$8,1),OFFSET($M$15,0,0,$B$8,1))=EP$14))   /   SUM(OFFSET($BO$15,0,0,$B$14,1)) + $B$18/($B$19*$B$19*($DN99&lt;&gt;$DO99) + $B$19*($DN99=$DO99))</f>
        <v>3.7037037037037035E-4</v>
      </c>
      <c r="EQ99" s="10" cm="1">
        <f t="array" aca="1" ref="EQ99" ca="1">(1-$B$18)*SUMPRODUCT(OFFSET($BO$15,0,0,$B$14,1), 1*(_xlfn._xlws.FILTER(OFFSET($O$15,0,$DN99,$B$8,1),OFFSET($M$15,0,0,$B$8,1))=EQ$13), 1*(_xlfn._xlws.FILTER(OFFSET($O$15,0,$DO99,$B$8,1),OFFSET($M$15,0,0,$B$8,1))=EQ$14))   /   SUM(OFFSET($BO$15,0,0,$B$14,1)) + $B$18/($B$19*$B$19*($DN99&lt;&gt;$DO99) + $B$19*($DN99=$DO99))</f>
        <v>3.7037037037037035E-4</v>
      </c>
      <c r="ER99" s="10" cm="1">
        <f t="array" aca="1" ref="ER99" ca="1">(1-$B$18)*SUMPRODUCT(OFFSET($BO$15,0,0,$B$14,1), 1*(_xlfn._xlws.FILTER(OFFSET($O$15,0,$DN99,$B$8,1),OFFSET($M$15,0,0,$B$8,1))=ER$13), 1*(_xlfn._xlws.FILTER(OFFSET($O$15,0,$DO99,$B$8,1),OFFSET($M$15,0,0,$B$8,1))=ER$14))   /   SUM(OFFSET($BO$15,0,0,$B$14,1)) + $B$18/($B$19*$B$19*($DN99&lt;&gt;$DO99) + $B$19*($DN99=$DO99))</f>
        <v>3.7037037037037035E-4</v>
      </c>
      <c r="ES99" s="10" cm="1">
        <f t="array" aca="1" ref="ES99" ca="1">(1-$B$18)*SUMPRODUCT(OFFSET($BO$15,0,0,$B$14,1), 1*(_xlfn._xlws.FILTER(OFFSET($O$15,0,$DN99,$B$8,1),OFFSET($M$15,0,0,$B$8,1))=ES$13), 1*(_xlfn._xlws.FILTER(OFFSET($O$15,0,$DO99,$B$8,1),OFFSET($M$15,0,0,$B$8,1))=ES$14))   /   SUM(OFFSET($BO$15,0,0,$B$14,1)) + $B$18/($B$19*$B$19*($DN99&lt;&gt;$DO99) + $B$19*($DN99=$DO99))</f>
        <v>3.7037037037037035E-4</v>
      </c>
      <c r="ET99" s="10" cm="1">
        <f t="array" aca="1" ref="ET99" ca="1">(1-$B$18)*SUMPRODUCT(OFFSET($BO$15,0,0,$B$14,1), 1*(_xlfn._xlws.FILTER(OFFSET($O$15,0,$DN99,$B$8,1),OFFSET($M$15,0,0,$B$8,1))=ET$13), 1*(_xlfn._xlws.FILTER(OFFSET($O$15,0,$DO99,$B$8,1),OFFSET($M$15,0,0,$B$8,1))=ET$14))   /   SUM(OFFSET($BO$15,0,0,$B$14,1)) + $B$18/($B$19*$B$19*($DN99&lt;&gt;$DO99) + $B$19*($DN99=$DO99))</f>
        <v>3.7037037037037035E-4</v>
      </c>
      <c r="EU99" s="10" cm="1">
        <f t="array" aca="1" ref="EU99" ca="1">(1-$B$18)*SUMPRODUCT(OFFSET($BO$15,0,0,$B$14,1), 1*(_xlfn._xlws.FILTER(OFFSET($O$15,0,$DN99,$B$8,1),OFFSET($M$15,0,0,$B$8,1))=EU$13), 1*(_xlfn._xlws.FILTER(OFFSET($O$15,0,$DO99,$B$8,1),OFFSET($M$15,0,0,$B$8,1))=EU$14))   /   SUM(OFFSET($BO$15,0,0,$B$14,1)) + $B$18/($B$19*$B$19*($DN99&lt;&gt;$DO99) + $B$19*($DN99=$DO99))</f>
        <v>3.7037037037037035E-4</v>
      </c>
      <c r="EV99" s="10" cm="1">
        <f t="array" aca="1" ref="EV99" ca="1">(1-$B$18)*SUMPRODUCT(OFFSET($BO$15,0,0,$B$14,1), 1*(_xlfn._xlws.FILTER(OFFSET($O$15,0,$DN99,$B$8,1),OFFSET($M$15,0,0,$B$8,1))=EV$13), 1*(_xlfn._xlws.FILTER(OFFSET($O$15,0,$DO99,$B$8,1),OFFSET($M$15,0,0,$B$8,1))=EV$14))   /   SUM(OFFSET($BO$15,0,0,$B$14,1)) + $B$18/($B$19*$B$19*($DN99&lt;&gt;$DO99) + $B$19*($DN99=$DO99))</f>
        <v>3.7037037037037035E-4</v>
      </c>
      <c r="EW99" s="10" cm="1">
        <f t="array" aca="1" ref="EW99" ca="1">(1-$B$18)*SUMPRODUCT(OFFSET($BO$15,0,0,$B$14,1), 1*(_xlfn._xlws.FILTER(OFFSET($O$15,0,$DN99,$B$8,1),OFFSET($M$15,0,0,$B$8,1))=EW$13), 1*(_xlfn._xlws.FILTER(OFFSET($O$15,0,$DO99,$B$8,1),OFFSET($M$15,0,0,$B$8,1))=EW$14))   /   SUM(OFFSET($BO$15,0,0,$B$14,1)) + $B$18/($B$19*$B$19*($DN99&lt;&gt;$DO99) + $B$19*($DN99=$DO99))</f>
        <v>3.7037037037037035E-4</v>
      </c>
      <c r="EX99" s="10" cm="1">
        <f t="array" aca="1" ref="EX99" ca="1">(1-$B$18)*SUMPRODUCT(OFFSET($BO$15,0,0,$B$14,1), 1*(_xlfn._xlws.FILTER(OFFSET($O$15,0,$DN99,$B$8,1),OFFSET($M$15,0,0,$B$8,1))=EX$13), 1*(_xlfn._xlws.FILTER(OFFSET($O$15,0,$DO99,$B$8,1),OFFSET($M$15,0,0,$B$8,1))=EX$14))   /   SUM(OFFSET($BO$15,0,0,$B$14,1)) + $B$18/($B$19*$B$19*($DN99&lt;&gt;$DO99) + $B$19*($DN99=$DO99))</f>
        <v>3.7037037037037035E-4</v>
      </c>
      <c r="EY99" s="10" cm="1">
        <f t="array" aca="1" ref="EY99" ca="1">(1-$B$18)*SUMPRODUCT(OFFSET($BO$15,0,0,$B$14,1), 1*(_xlfn._xlws.FILTER(OFFSET($O$15,0,$DN99,$B$8,1),OFFSET($M$15,0,0,$B$8,1))=EY$13), 1*(_xlfn._xlws.FILTER(OFFSET($O$15,0,$DO99,$B$8,1),OFFSET($M$15,0,0,$B$8,1))=EY$14))   /   SUM(OFFSET($BO$15,0,0,$B$14,1)) + $B$18/($B$19*$B$19*($DN99&lt;&gt;$DO99) + $B$19*($DN99=$DO99))</f>
        <v>3.7037037037037035E-4</v>
      </c>
      <c r="EZ99" s="10" cm="1">
        <f t="array" aca="1" ref="EZ99" ca="1">(1-$B$18)*SUMPRODUCT(OFFSET($BO$15,0,0,$B$14,1), 1*(_xlfn._xlws.FILTER(OFFSET($O$15,0,$DN99,$B$8,1),OFFSET($M$15,0,0,$B$8,1))=EZ$13), 1*(_xlfn._xlws.FILTER(OFFSET($O$15,0,$DO99,$B$8,1),OFFSET($M$15,0,0,$B$8,1))=EZ$14))   /   SUM(OFFSET($BO$15,0,0,$B$14,1)) + $B$18/($B$19*$B$19*($DN99&lt;&gt;$DO99) + $B$19*($DN99=$DO99))</f>
        <v>3.7037037037037035E-4</v>
      </c>
      <c r="FA99" s="10" cm="1">
        <f t="array" aca="1" ref="FA99" ca="1">(1-$B$18)*SUMPRODUCT(OFFSET($BO$15,0,0,$B$14,1), 1*(_xlfn._xlws.FILTER(OFFSET($O$15,0,$DN99,$B$8,1),OFFSET($M$15,0,0,$B$8,1))=FA$13), 1*(_xlfn._xlws.FILTER(OFFSET($O$15,0,$DO99,$B$8,1),OFFSET($M$15,0,0,$B$8,1))=FA$14))   /   SUM(OFFSET($BO$15,0,0,$B$14,1)) + $B$18/($B$19*$B$19*($DN99&lt;&gt;$DO99) + $B$19*($DN99=$DO99))</f>
        <v>3.7037037037037035E-4</v>
      </c>
      <c r="FB99" s="10" cm="1">
        <f t="array" aca="1" ref="FB99" ca="1">(1-$B$18)*SUMPRODUCT(OFFSET($BO$15,0,0,$B$14,1), 1*(_xlfn._xlws.FILTER(OFFSET($O$15,0,$DN99,$B$8,1),OFFSET($M$15,0,0,$B$8,1))=FB$13), 1*(_xlfn._xlws.FILTER(OFFSET($O$15,0,$DO99,$B$8,1),OFFSET($M$15,0,0,$B$8,1))=FB$14))   /   SUM(OFFSET($BO$15,0,0,$B$14,1)) + $B$18/($B$19*$B$19*($DN99&lt;&gt;$DO99) + $B$19*($DN99=$DO99))</f>
        <v>3.7037037037037035E-4</v>
      </c>
      <c r="FC99" s="10" cm="1">
        <f t="array" aca="1" ref="FC99" ca="1">(1-$B$18)*SUMPRODUCT(OFFSET($BO$15,0,0,$B$14,1), 1*(_xlfn._xlws.FILTER(OFFSET($O$15,0,$DN99,$B$8,1),OFFSET($M$15,0,0,$B$8,1))=FC$13), 1*(_xlfn._xlws.FILTER(OFFSET($O$15,0,$DO99,$B$8,1),OFFSET($M$15,0,0,$B$8,1))=FC$14))   /   SUM(OFFSET($BO$15,0,0,$B$14,1)) + $B$18/($B$19*$B$19*($DN99&lt;&gt;$DO99) + $B$19*($DN99=$DO99))</f>
        <v>3.7037037037037035E-4</v>
      </c>
      <c r="FD99" s="10" cm="1">
        <f t="array" aca="1" ref="FD99" ca="1">(1-$B$18)*SUMPRODUCT(OFFSET($BO$15,0,0,$B$14,1), 1*(_xlfn._xlws.FILTER(OFFSET($O$15,0,$DN99,$B$8,1),OFFSET($M$15,0,0,$B$8,1))=FD$13), 1*(_xlfn._xlws.FILTER(OFFSET($O$15,0,$DO99,$B$8,1),OFFSET($M$15,0,0,$B$8,1))=FD$14))   /   SUM(OFFSET($BO$15,0,0,$B$14,1)) + $B$18/($B$19*$B$19*($DN99&lt;&gt;$DO99) + $B$19*($DN99=$DO99))</f>
        <v>3.7037037037037035E-4</v>
      </c>
      <c r="FE99" s="10" cm="1">
        <f t="array" aca="1" ref="FE99" ca="1">(1-$B$18)*SUMPRODUCT(OFFSET($BO$15,0,0,$B$14,1), 1*(_xlfn._xlws.FILTER(OFFSET($O$15,0,$DN99,$B$8,1),OFFSET($M$15,0,0,$B$8,1))=FE$13), 1*(_xlfn._xlws.FILTER(OFFSET($O$15,0,$DO99,$B$8,1),OFFSET($M$15,0,0,$B$8,1))=FE$14))   /   SUM(OFFSET($BO$15,0,0,$B$14,1)) + $B$18/($B$19*$B$19*($DN99&lt;&gt;$DO99) + $B$19*($DN99=$DO99))</f>
        <v>3.7037037037037035E-4</v>
      </c>
      <c r="FF99" s="10" cm="1">
        <f t="array" aca="1" ref="FF99" ca="1">(1-$B$18)*SUMPRODUCT(OFFSET($BO$15,0,0,$B$14,1), 1*(_xlfn._xlws.FILTER(OFFSET($O$15,0,$DN99,$B$8,1),OFFSET($M$15,0,0,$B$8,1))=FF$13), 1*(_xlfn._xlws.FILTER(OFFSET($O$15,0,$DO99,$B$8,1),OFFSET($M$15,0,0,$B$8,1))=FF$14))   /   SUM(OFFSET($BO$15,0,0,$B$14,1)) + $B$18/($B$19*$B$19*($DN99&lt;&gt;$DO99) + $B$19*($DN99=$DO99))</f>
        <v>3.7037037037037035E-4</v>
      </c>
      <c r="FG99" s="10" cm="1">
        <f t="array" aca="1" ref="FG99" ca="1">(1-$B$18)*SUMPRODUCT(OFFSET($BO$15,0,0,$B$14,1), 1*(_xlfn._xlws.FILTER(OFFSET($O$15,0,$DN99,$B$8,1),OFFSET($M$15,0,0,$B$8,1))=FG$13), 1*(_xlfn._xlws.FILTER(OFFSET($O$15,0,$DO99,$B$8,1),OFFSET($M$15,0,0,$B$8,1))=FG$14))   /   SUM(OFFSET($BO$15,0,0,$B$14,1)) + $B$18/($B$19*$B$19*($DN99&lt;&gt;$DO99) + $B$19*($DN99=$DO99))</f>
        <v>3.7037037037037035E-4</v>
      </c>
      <c r="FH99" s="10" cm="1">
        <f t="array" aca="1" ref="FH99" ca="1">(1-$B$18)*SUMPRODUCT(OFFSET($BO$15,0,0,$B$14,1), 1*(_xlfn._xlws.FILTER(OFFSET($O$15,0,$DN99,$B$8,1),OFFSET($M$15,0,0,$B$8,1))=FH$13), 1*(_xlfn._xlws.FILTER(OFFSET($O$15,0,$DO99,$B$8,1),OFFSET($M$15,0,0,$B$8,1))=FH$14))   /   SUM(OFFSET($BO$15,0,0,$B$14,1)) + $B$18/($B$19*$B$19*($DN99&lt;&gt;$DO99) + $B$19*($DN99=$DO99))</f>
        <v>3.7037037037037035E-4</v>
      </c>
      <c r="FI99" s="10" cm="1">
        <f t="array" aca="1" ref="FI99" ca="1">(1-$B$18)*SUMPRODUCT(OFFSET($BO$15,0,0,$B$14,1), 1*(_xlfn._xlws.FILTER(OFFSET($O$15,0,$DN99,$B$8,1),OFFSET($M$15,0,0,$B$8,1))=FI$13), 1*(_xlfn._xlws.FILTER(OFFSET($O$15,0,$DO99,$B$8,1),OFFSET($M$15,0,0,$B$8,1))=FI$14))   /   SUM(OFFSET($BO$15,0,0,$B$14,1)) + $B$18/($B$19*$B$19*($DN99&lt;&gt;$DO99) + $B$19*($DN99=$DO99))</f>
        <v>3.7037037037037035E-4</v>
      </c>
      <c r="FJ99" s="10" cm="1">
        <f t="array" aca="1" ref="FJ99" ca="1">(1-$B$18)*SUMPRODUCT(OFFSET($BO$15,0,0,$B$14,1), 1*(_xlfn._xlws.FILTER(OFFSET($O$15,0,$DN99,$B$8,1),OFFSET($M$15,0,0,$B$8,1))=FJ$13), 1*(_xlfn._xlws.FILTER(OFFSET($O$15,0,$DO99,$B$8,1),OFFSET($M$15,0,0,$B$8,1))=FJ$14))   /   SUM(OFFSET($BO$15,0,0,$B$14,1)) + $B$18/($B$19*$B$19*($DN99&lt;&gt;$DO99) + $B$19*($DN99=$DO99))</f>
        <v>3.7037037037037035E-4</v>
      </c>
      <c r="FK99" s="10" cm="1">
        <f t="array" aca="1" ref="FK99" ca="1">(1-$B$18)*SUMPRODUCT(OFFSET($BO$15,0,0,$B$14,1), 1*(_xlfn._xlws.FILTER(OFFSET($O$15,0,$DN99,$B$8,1),OFFSET($M$15,0,0,$B$8,1))=FK$13), 1*(_xlfn._xlws.FILTER(OFFSET($O$15,0,$DO99,$B$8,1),OFFSET($M$15,0,0,$B$8,1))=FK$14))   /   SUM(OFFSET($BO$15,0,0,$B$14,1)) + $B$18/($B$19*$B$19*($DN99&lt;&gt;$DO99) + $B$19*($DN99=$DO99))</f>
        <v>3.7037037037037035E-4</v>
      </c>
      <c r="FL99" s="10" cm="1">
        <f t="array" aca="1" ref="FL99" ca="1">(1-$B$18)*SUMPRODUCT(OFFSET($BO$15,0,0,$B$14,1), 1*(_xlfn._xlws.FILTER(OFFSET($O$15,0,$DN99,$B$8,1),OFFSET($M$15,0,0,$B$8,1))=FL$13), 1*(_xlfn._xlws.FILTER(OFFSET($O$15,0,$DO99,$B$8,1),OFFSET($M$15,0,0,$B$8,1))=FL$14))   /   SUM(OFFSET($BO$15,0,0,$B$14,1)) + $B$18/($B$19*$B$19*($DN99&lt;&gt;$DO99) + $B$19*($DN99=$DO99))</f>
        <v>3.7037037037037035E-4</v>
      </c>
      <c r="FM99" s="10" cm="1">
        <f t="array" aca="1" ref="FM99" ca="1">(1-$B$18)*SUMPRODUCT(OFFSET($BO$15,0,0,$B$14,1), 1*(_xlfn._xlws.FILTER(OFFSET($O$15,0,$DN99,$B$8,1),OFFSET($M$15,0,0,$B$8,1))=FM$13), 1*(_xlfn._xlws.FILTER(OFFSET($O$15,0,$DO99,$B$8,1),OFFSET($M$15,0,0,$B$8,1))=FM$14))   /   SUM(OFFSET($BO$15,0,0,$B$14,1)) + $B$18/($B$19*$B$19*($DN99&lt;&gt;$DO99) + $B$19*($DN99=$DO99))</f>
        <v>3.7037037037037035E-4</v>
      </c>
      <c r="FN99" s="10" cm="1">
        <f t="array" aca="1" ref="FN99" ca="1">(1-$B$18)*SUMPRODUCT(OFFSET($BO$15,0,0,$B$14,1), 1*(_xlfn._xlws.FILTER(OFFSET($O$15,0,$DN99,$B$8,1),OFFSET($M$15,0,0,$B$8,1))=FN$13), 1*(_xlfn._xlws.FILTER(OFFSET($O$15,0,$DO99,$B$8,1),OFFSET($M$15,0,0,$B$8,1))=FN$14))   /   SUM(OFFSET($BO$15,0,0,$B$14,1)) + $B$18/($B$19*$B$19*($DN99&lt;&gt;$DO99) + $B$19*($DN99=$DO99))</f>
        <v>3.7037037037037035E-4</v>
      </c>
      <c r="FO99" s="10" cm="1">
        <f t="array" aca="1" ref="FO99" ca="1">(1-$B$18)*SUMPRODUCT(OFFSET($BO$15,0,0,$B$14,1), 1*(_xlfn._xlws.FILTER(OFFSET($O$15,0,$DN99,$B$8,1),OFFSET($M$15,0,0,$B$8,1))=FO$13), 1*(_xlfn._xlws.FILTER(OFFSET($O$15,0,$DO99,$B$8,1),OFFSET($M$15,0,0,$B$8,1))=FO$14))   /   SUM(OFFSET($BO$15,0,0,$B$14,1)) + $B$18/($B$19*$B$19*($DN99&lt;&gt;$DO99) + $B$19*($DN99=$DO99))</f>
        <v>3.7037037037037035E-4</v>
      </c>
      <c r="FP99" s="10" cm="1">
        <f t="array" aca="1" ref="FP99" ca="1">(1-$B$18)*SUMPRODUCT(OFFSET($BO$15,0,0,$B$14,1), 1*(_xlfn._xlws.FILTER(OFFSET($O$15,0,$DN99,$B$8,1),OFFSET($M$15,0,0,$B$8,1))=FP$13), 1*(_xlfn._xlws.FILTER(OFFSET($O$15,0,$DO99,$B$8,1),OFFSET($M$15,0,0,$B$8,1))=FP$14))   /   SUM(OFFSET($BO$15,0,0,$B$14,1)) + $B$18/($B$19*$B$19*($DN99&lt;&gt;$DO99) + $B$19*($DN99=$DO99))</f>
        <v>3.7037037037037035E-4</v>
      </c>
      <c r="FQ99" s="10" cm="1">
        <f t="array" aca="1" ref="FQ99" ca="1">(1-$B$18)*SUMPRODUCT(OFFSET($BO$15,0,0,$B$14,1), 1*(_xlfn._xlws.FILTER(OFFSET($O$15,0,$DN99,$B$8,1),OFFSET($M$15,0,0,$B$8,1))=FQ$13), 1*(_xlfn._xlws.FILTER(OFFSET($O$15,0,$DO99,$B$8,1),OFFSET($M$15,0,0,$B$8,1))=FQ$14))   /   SUM(OFFSET($BO$15,0,0,$B$14,1)) + $B$18/($B$19*$B$19*($DN99&lt;&gt;$DO99) + $B$19*($DN99=$DO99))</f>
        <v>3.7037037037037035E-4</v>
      </c>
      <c r="FR99" s="10" cm="1">
        <f t="array" aca="1" ref="FR99" ca="1">(1-$B$18)*SUMPRODUCT(OFFSET($BO$15,0,0,$B$14,1), 1*(_xlfn._xlws.FILTER(OFFSET($O$15,0,$DN99,$B$8,1),OFFSET($M$15,0,0,$B$8,1))=FR$13), 1*(_xlfn._xlws.FILTER(OFFSET($O$15,0,$DO99,$B$8,1),OFFSET($M$15,0,0,$B$8,1))=FR$14))   /   SUM(OFFSET($BO$15,0,0,$B$14,1)) + $B$18/($B$19*$B$19*($DN99&lt;&gt;$DO99) + $B$19*($DN99=$DO99))</f>
        <v>0.97037037037037033</v>
      </c>
      <c r="FS99" s="10" cm="1">
        <f t="array" aca="1" ref="FS99" ca="1">(1-$B$18)*SUMPRODUCT(OFFSET($BO$15,0,0,$B$14,1), 1*(_xlfn._xlws.FILTER(OFFSET($O$15,0,$DN99,$B$8,1),OFFSET($M$15,0,0,$B$8,1))=FS$13), 1*(_xlfn._xlws.FILTER(OFFSET($O$15,0,$DO99,$B$8,1),OFFSET($M$15,0,0,$B$8,1))=FS$14))   /   SUM(OFFSET($BO$15,0,0,$B$14,1)) + $B$18/($B$19*$B$19*($DN99&lt;&gt;$DO99) + $B$19*($DN99=$DO99))</f>
        <v>3.7037037037037035E-4</v>
      </c>
      <c r="FT99" s="10" cm="1">
        <f t="array" aca="1" ref="FT99" ca="1">(1-$B$18)*SUMPRODUCT(OFFSET($BO$15,0,0,$B$14,1), 1*(_xlfn._xlws.FILTER(OFFSET($O$15,0,$DN99,$B$8,1),OFFSET($M$15,0,0,$B$8,1))=FT$13), 1*(_xlfn._xlws.FILTER(OFFSET($O$15,0,$DO99,$B$8,1),OFFSET($M$15,0,0,$B$8,1))=FT$14))   /   SUM(OFFSET($BO$15,0,0,$B$14,1)) + $B$18/($B$19*$B$19*($DN99&lt;&gt;$DO99) + $B$19*($DN99=$DO99))</f>
        <v>3.7037037037037035E-4</v>
      </c>
      <c r="FU99" s="10" cm="1">
        <f t="array" aca="1" ref="FU99" ca="1">(1-$B$18)*SUMPRODUCT(OFFSET($BO$15,0,0,$B$14,1), 1*(_xlfn._xlws.FILTER(OFFSET($O$15,0,$DN99,$B$8,1),OFFSET($M$15,0,0,$B$8,1))=FU$13), 1*(_xlfn._xlws.FILTER(OFFSET($O$15,0,$DO99,$B$8,1),OFFSET($M$15,0,0,$B$8,1))=FU$14))   /   SUM(OFFSET($BO$15,0,0,$B$14,1)) + $B$18/($B$19*$B$19*($DN99&lt;&gt;$DO99) + $B$19*($DN99=$DO99))</f>
        <v>3.7037037037037035E-4</v>
      </c>
      <c r="FV99" s="10" cm="1">
        <f t="array" aca="1" ref="FV99" ca="1">(1-$B$18)*SUMPRODUCT(OFFSET($BO$15,0,0,$B$14,1), 1*(_xlfn._xlws.FILTER(OFFSET($O$15,0,$DN99,$B$8,1),OFFSET($M$15,0,0,$B$8,1))=FV$13), 1*(_xlfn._xlws.FILTER(OFFSET($O$15,0,$DO99,$B$8,1),OFFSET($M$15,0,0,$B$8,1))=FV$14))   /   SUM(OFFSET($BO$15,0,0,$B$14,1)) + $B$18/($B$19*$B$19*($DN99&lt;&gt;$DO99) + $B$19*($DN99=$DO99))</f>
        <v>3.7037037037037035E-4</v>
      </c>
      <c r="FW99" s="10" cm="1">
        <f t="array" aca="1" ref="FW99" ca="1">(1-$B$18)*SUMPRODUCT(OFFSET($BO$15,0,0,$B$14,1), 1*(_xlfn._xlws.FILTER(OFFSET($O$15,0,$DN99,$B$8,1),OFFSET($M$15,0,0,$B$8,1))=FW$13), 1*(_xlfn._xlws.FILTER(OFFSET($O$15,0,$DO99,$B$8,1),OFFSET($M$15,0,0,$B$8,1))=FW$14))   /   SUM(OFFSET($BO$15,0,0,$B$14,1)) + $B$18/($B$19*$B$19*($DN99&lt;&gt;$DO99) + $B$19*($DN99=$DO99))</f>
        <v>3.7037037037037035E-4</v>
      </c>
      <c r="FX99" s="10" cm="1">
        <f t="array" aca="1" ref="FX99" ca="1">(1-$B$18)*SUMPRODUCT(OFFSET($BO$15,0,0,$B$14,1), 1*(_xlfn._xlws.FILTER(OFFSET($O$15,0,$DN99,$B$8,1),OFFSET($M$15,0,0,$B$8,1))=FX$13), 1*(_xlfn._xlws.FILTER(OFFSET($O$15,0,$DO99,$B$8,1),OFFSET($M$15,0,0,$B$8,1))=FX$14))   /   SUM(OFFSET($BO$15,0,0,$B$14,1)) + $B$18/($B$19*$B$19*($DN99&lt;&gt;$DO99) + $B$19*($DN99=$DO99))</f>
        <v>3.7037037037037035E-4</v>
      </c>
      <c r="FY99" s="10" cm="1">
        <f t="array" aca="1" ref="FY99" ca="1">(1-$B$18)*SUMPRODUCT(OFFSET($BO$15,0,0,$B$14,1), 1*(_xlfn._xlws.FILTER(OFFSET($O$15,0,$DN99,$B$8,1),OFFSET($M$15,0,0,$B$8,1))=FY$13), 1*(_xlfn._xlws.FILTER(OFFSET($O$15,0,$DO99,$B$8,1),OFFSET($M$15,0,0,$B$8,1))=FY$14))   /   SUM(OFFSET($BO$15,0,0,$B$14,1)) + $B$18/($B$19*$B$19*($DN99&lt;&gt;$DO99) + $B$19*($DN99=$DO99))</f>
        <v>3.7037037037037035E-4</v>
      </c>
      <c r="FZ99" s="10" cm="1">
        <f t="array" aca="1" ref="FZ99" ca="1">(1-$B$18)*SUMPRODUCT(OFFSET($BO$15,0,0,$B$14,1), 1*(_xlfn._xlws.FILTER(OFFSET($O$15,0,$DN99,$B$8,1),OFFSET($M$15,0,0,$B$8,1))=FZ$13), 1*(_xlfn._xlws.FILTER(OFFSET($O$15,0,$DO99,$B$8,1),OFFSET($M$15,0,0,$B$8,1))=FZ$14))   /   SUM(OFFSET($BO$15,0,0,$B$14,1)) + $B$18/($B$19*$B$19*($DN99&lt;&gt;$DO99) + $B$19*($DN99=$DO99))</f>
        <v>3.7037037037037035E-4</v>
      </c>
      <c r="GA99" s="10" cm="1">
        <f t="array" aca="1" ref="GA99" ca="1">(1-$B$18)*SUMPRODUCT(OFFSET($BO$15,0,0,$B$14,1), 1*(_xlfn._xlws.FILTER(OFFSET($O$15,0,$DN99,$B$8,1),OFFSET($M$15,0,0,$B$8,1))=GA$13), 1*(_xlfn._xlws.FILTER(OFFSET($O$15,0,$DO99,$B$8,1),OFFSET($M$15,0,0,$B$8,1))=GA$14))   /   SUM(OFFSET($BO$15,0,0,$B$14,1)) + $B$18/($B$19*$B$19*($DN99&lt;&gt;$DO99) + $B$19*($DN99=$DO99))</f>
        <v>3.7037037037037035E-4</v>
      </c>
    </row>
    <row r="100" spans="8:183" x14ac:dyDescent="0.2">
      <c r="H100" s="2"/>
      <c r="DN100" cm="1">
        <f t="array" aca="1" ref="DN100" ca="1">INDEX(_xlfn.ANCHORARRAY($CP$15), 1 + INT((ROWS($DO$15:$DO100) - 1) / ROWS(_xlfn.ANCHORARRAY($CP$15))))</f>
        <v>4</v>
      </c>
      <c r="DO100" cm="1">
        <f t="array" aca="1" ref="DO100" ca="1">INDEX(_xlfn.ANCHORARRAY($CP$15),1+MOD(ROWS($DO$15:$DO100)-1,ROWS(_xlfn.ANCHORARRAY($CP$15))))</f>
        <v>9</v>
      </c>
      <c r="DP100" s="10" cm="1">
        <f t="array" aca="1" ref="DP100" ca="1">(1-$B$18)*SUMPRODUCT(OFFSET($BO$15,0,0,$B$14,1), 1*(_xlfn._xlws.FILTER(OFFSET($O$15,0,$DN100,$B$8,1),OFFSET($M$15,0,0,$B$8,1))=DP$13), 1*(_xlfn._xlws.FILTER(OFFSET($O$15,0,$DO100,$B$8,1),OFFSET($M$15,0,0,$B$8,1))=DP$14))   /   SUM(OFFSET($BO$15,0,0,$B$14,1)) + $B$18/($B$19*$B$19*($DN100&lt;&gt;$DO100) + $B$19*($DN100=$DO100))</f>
        <v>3.7037037037037035E-4</v>
      </c>
      <c r="DQ100" s="10" cm="1">
        <f t="array" aca="1" ref="DQ100" ca="1">(1-$B$18)*SUMPRODUCT(OFFSET($BO$15,0,0,$B$14,1), 1*(_xlfn._xlws.FILTER(OFFSET($O$15,0,$DN100,$B$8,1),OFFSET($M$15,0,0,$B$8,1))=DQ$13), 1*(_xlfn._xlws.FILTER(OFFSET($O$15,0,$DO100,$B$8,1),OFFSET($M$15,0,0,$B$8,1))=DQ$14))   /   SUM(OFFSET($BO$15,0,0,$B$14,1)) + $B$18/($B$19*$B$19*($DN100&lt;&gt;$DO100) + $B$19*($DN100=$DO100))</f>
        <v>3.7037037037037035E-4</v>
      </c>
      <c r="DR100" s="10" cm="1">
        <f t="array" aca="1" ref="DR100" ca="1">(1-$B$18)*SUMPRODUCT(OFFSET($BO$15,0,0,$B$14,1), 1*(_xlfn._xlws.FILTER(OFFSET($O$15,0,$DN100,$B$8,1),OFFSET($M$15,0,0,$B$8,1))=DR$13), 1*(_xlfn._xlws.FILTER(OFFSET($O$15,0,$DO100,$B$8,1),OFFSET($M$15,0,0,$B$8,1))=DR$14))   /   SUM(OFFSET($BO$15,0,0,$B$14,1)) + $B$18/($B$19*$B$19*($DN100&lt;&gt;$DO100) + $B$19*($DN100=$DO100))</f>
        <v>3.7037037037037035E-4</v>
      </c>
      <c r="DS100" s="10" cm="1">
        <f t="array" aca="1" ref="DS100" ca="1">(1-$B$18)*SUMPRODUCT(OFFSET($BO$15,0,0,$B$14,1), 1*(_xlfn._xlws.FILTER(OFFSET($O$15,0,$DN100,$B$8,1),OFFSET($M$15,0,0,$B$8,1))=DS$13), 1*(_xlfn._xlws.FILTER(OFFSET($O$15,0,$DO100,$B$8,1),OFFSET($M$15,0,0,$B$8,1))=DS$14))   /   SUM(OFFSET($BO$15,0,0,$B$14,1)) + $B$18/($B$19*$B$19*($DN100&lt;&gt;$DO100) + $B$19*($DN100=$DO100))</f>
        <v>3.7037037037037035E-4</v>
      </c>
      <c r="DT100" s="10" cm="1">
        <f t="array" aca="1" ref="DT100" ca="1">(1-$B$18)*SUMPRODUCT(OFFSET($BO$15,0,0,$B$14,1), 1*(_xlfn._xlws.FILTER(OFFSET($O$15,0,$DN100,$B$8,1),OFFSET($M$15,0,0,$B$8,1))=DT$13), 1*(_xlfn._xlws.FILTER(OFFSET($O$15,0,$DO100,$B$8,1),OFFSET($M$15,0,0,$B$8,1))=DT$14))   /   SUM(OFFSET($BO$15,0,0,$B$14,1)) + $B$18/($B$19*$B$19*($DN100&lt;&gt;$DO100) + $B$19*($DN100=$DO100))</f>
        <v>3.7037037037037035E-4</v>
      </c>
      <c r="DU100" s="10" cm="1">
        <f t="array" aca="1" ref="DU100" ca="1">(1-$B$18)*SUMPRODUCT(OFFSET($BO$15,0,0,$B$14,1), 1*(_xlfn._xlws.FILTER(OFFSET($O$15,0,$DN100,$B$8,1),OFFSET($M$15,0,0,$B$8,1))=DU$13), 1*(_xlfn._xlws.FILTER(OFFSET($O$15,0,$DO100,$B$8,1),OFFSET($M$15,0,0,$B$8,1))=DU$14))   /   SUM(OFFSET($BO$15,0,0,$B$14,1)) + $B$18/($B$19*$B$19*($DN100&lt;&gt;$DO100) + $B$19*($DN100=$DO100))</f>
        <v>3.7037037037037035E-4</v>
      </c>
      <c r="DV100" s="10" cm="1">
        <f t="array" aca="1" ref="DV100" ca="1">(1-$B$18)*SUMPRODUCT(OFFSET($BO$15,0,0,$B$14,1), 1*(_xlfn._xlws.FILTER(OFFSET($O$15,0,$DN100,$B$8,1),OFFSET($M$15,0,0,$B$8,1))=DV$13), 1*(_xlfn._xlws.FILTER(OFFSET($O$15,0,$DO100,$B$8,1),OFFSET($M$15,0,0,$B$8,1))=DV$14))   /   SUM(OFFSET($BO$15,0,0,$B$14,1)) + $B$18/($B$19*$B$19*($DN100&lt;&gt;$DO100) + $B$19*($DN100=$DO100))</f>
        <v>3.7037037037037035E-4</v>
      </c>
      <c r="DW100" s="10" cm="1">
        <f t="array" aca="1" ref="DW100" ca="1">(1-$B$18)*SUMPRODUCT(OFFSET($BO$15,0,0,$B$14,1), 1*(_xlfn._xlws.FILTER(OFFSET($O$15,0,$DN100,$B$8,1),OFFSET($M$15,0,0,$B$8,1))=DW$13), 1*(_xlfn._xlws.FILTER(OFFSET($O$15,0,$DO100,$B$8,1),OFFSET($M$15,0,0,$B$8,1))=DW$14))   /   SUM(OFFSET($BO$15,0,0,$B$14,1)) + $B$18/($B$19*$B$19*($DN100&lt;&gt;$DO100) + $B$19*($DN100=$DO100))</f>
        <v>3.7037037037037035E-4</v>
      </c>
      <c r="DX100" s="10" cm="1">
        <f t="array" aca="1" ref="DX100" ca="1">(1-$B$18)*SUMPRODUCT(OFFSET($BO$15,0,0,$B$14,1), 1*(_xlfn._xlws.FILTER(OFFSET($O$15,0,$DN100,$B$8,1),OFFSET($M$15,0,0,$B$8,1))=DX$13), 1*(_xlfn._xlws.FILTER(OFFSET($O$15,0,$DO100,$B$8,1),OFFSET($M$15,0,0,$B$8,1))=DX$14))   /   SUM(OFFSET($BO$15,0,0,$B$14,1)) + $B$18/($B$19*$B$19*($DN100&lt;&gt;$DO100) + $B$19*($DN100=$DO100))</f>
        <v>3.7037037037037035E-4</v>
      </c>
      <c r="DY100" s="10" cm="1">
        <f t="array" aca="1" ref="DY100" ca="1">(1-$B$18)*SUMPRODUCT(OFFSET($BO$15,0,0,$B$14,1), 1*(_xlfn._xlws.FILTER(OFFSET($O$15,0,$DN100,$B$8,1),OFFSET($M$15,0,0,$B$8,1))=DY$13), 1*(_xlfn._xlws.FILTER(OFFSET($O$15,0,$DO100,$B$8,1),OFFSET($M$15,0,0,$B$8,1))=DY$14))   /   SUM(OFFSET($BO$15,0,0,$B$14,1)) + $B$18/($B$19*$B$19*($DN100&lt;&gt;$DO100) + $B$19*($DN100=$DO100))</f>
        <v>3.7037037037037035E-4</v>
      </c>
      <c r="DZ100" s="10" cm="1">
        <f t="array" aca="1" ref="DZ100" ca="1">(1-$B$18)*SUMPRODUCT(OFFSET($BO$15,0,0,$B$14,1), 1*(_xlfn._xlws.FILTER(OFFSET($O$15,0,$DN100,$B$8,1),OFFSET($M$15,0,0,$B$8,1))=DZ$13), 1*(_xlfn._xlws.FILTER(OFFSET($O$15,0,$DO100,$B$8,1),OFFSET($M$15,0,0,$B$8,1))=DZ$14))   /   SUM(OFFSET($BO$15,0,0,$B$14,1)) + $B$18/($B$19*$B$19*($DN100&lt;&gt;$DO100) + $B$19*($DN100=$DO100))</f>
        <v>3.7037037037037035E-4</v>
      </c>
      <c r="EA100" s="10" cm="1">
        <f t="array" aca="1" ref="EA100" ca="1">(1-$B$18)*SUMPRODUCT(OFFSET($BO$15,0,0,$B$14,1), 1*(_xlfn._xlws.FILTER(OFFSET($O$15,0,$DN100,$B$8,1),OFFSET($M$15,0,0,$B$8,1))=EA$13), 1*(_xlfn._xlws.FILTER(OFFSET($O$15,0,$DO100,$B$8,1),OFFSET($M$15,0,0,$B$8,1))=EA$14))   /   SUM(OFFSET($BO$15,0,0,$B$14,1)) + $B$18/($B$19*$B$19*($DN100&lt;&gt;$DO100) + $B$19*($DN100=$DO100))</f>
        <v>3.7037037037037035E-4</v>
      </c>
      <c r="EB100" s="10" cm="1">
        <f t="array" aca="1" ref="EB100" ca="1">(1-$B$18)*SUMPRODUCT(OFFSET($BO$15,0,0,$B$14,1), 1*(_xlfn._xlws.FILTER(OFFSET($O$15,0,$DN100,$B$8,1),OFFSET($M$15,0,0,$B$8,1))=EB$13), 1*(_xlfn._xlws.FILTER(OFFSET($O$15,0,$DO100,$B$8,1),OFFSET($M$15,0,0,$B$8,1))=EB$14))   /   SUM(OFFSET($BO$15,0,0,$B$14,1)) + $B$18/($B$19*$B$19*($DN100&lt;&gt;$DO100) + $B$19*($DN100=$DO100))</f>
        <v>3.7037037037037035E-4</v>
      </c>
      <c r="EC100" s="10" cm="1">
        <f t="array" aca="1" ref="EC100" ca="1">(1-$B$18)*SUMPRODUCT(OFFSET($BO$15,0,0,$B$14,1), 1*(_xlfn._xlws.FILTER(OFFSET($O$15,0,$DN100,$B$8,1),OFFSET($M$15,0,0,$B$8,1))=EC$13), 1*(_xlfn._xlws.FILTER(OFFSET($O$15,0,$DO100,$B$8,1),OFFSET($M$15,0,0,$B$8,1))=EC$14))   /   SUM(OFFSET($BO$15,0,0,$B$14,1)) + $B$18/($B$19*$B$19*($DN100&lt;&gt;$DO100) + $B$19*($DN100=$DO100))</f>
        <v>3.7037037037037035E-4</v>
      </c>
      <c r="ED100" s="10" cm="1">
        <f t="array" aca="1" ref="ED100" ca="1">(1-$B$18)*SUMPRODUCT(OFFSET($BO$15,0,0,$B$14,1), 1*(_xlfn._xlws.FILTER(OFFSET($O$15,0,$DN100,$B$8,1),OFFSET($M$15,0,0,$B$8,1))=ED$13), 1*(_xlfn._xlws.FILTER(OFFSET($O$15,0,$DO100,$B$8,1),OFFSET($M$15,0,0,$B$8,1))=ED$14))   /   SUM(OFFSET($BO$15,0,0,$B$14,1)) + $B$18/($B$19*$B$19*($DN100&lt;&gt;$DO100) + $B$19*($DN100=$DO100))</f>
        <v>3.7037037037037035E-4</v>
      </c>
      <c r="EE100" s="10" cm="1">
        <f t="array" aca="1" ref="EE100" ca="1">(1-$B$18)*SUMPRODUCT(OFFSET($BO$15,0,0,$B$14,1), 1*(_xlfn._xlws.FILTER(OFFSET($O$15,0,$DN100,$B$8,1),OFFSET($M$15,0,0,$B$8,1))=EE$13), 1*(_xlfn._xlws.FILTER(OFFSET($O$15,0,$DO100,$B$8,1),OFFSET($M$15,0,0,$B$8,1))=EE$14))   /   SUM(OFFSET($BO$15,0,0,$B$14,1)) + $B$18/($B$19*$B$19*($DN100&lt;&gt;$DO100) + $B$19*($DN100=$DO100))</f>
        <v>3.7037037037037035E-4</v>
      </c>
      <c r="EF100" s="10" cm="1">
        <f t="array" aca="1" ref="EF100" ca="1">(1-$B$18)*SUMPRODUCT(OFFSET($BO$15,0,0,$B$14,1), 1*(_xlfn._xlws.FILTER(OFFSET($O$15,0,$DN100,$B$8,1),OFFSET($M$15,0,0,$B$8,1))=EF$13), 1*(_xlfn._xlws.FILTER(OFFSET($O$15,0,$DO100,$B$8,1),OFFSET($M$15,0,0,$B$8,1))=EF$14))   /   SUM(OFFSET($BO$15,0,0,$B$14,1)) + $B$18/($B$19*$B$19*($DN100&lt;&gt;$DO100) + $B$19*($DN100=$DO100))</f>
        <v>3.7037037037037035E-4</v>
      </c>
      <c r="EG100" s="10" cm="1">
        <f t="array" aca="1" ref="EG100" ca="1">(1-$B$18)*SUMPRODUCT(OFFSET($BO$15,0,0,$B$14,1), 1*(_xlfn._xlws.FILTER(OFFSET($O$15,0,$DN100,$B$8,1),OFFSET($M$15,0,0,$B$8,1))=EG$13), 1*(_xlfn._xlws.FILTER(OFFSET($O$15,0,$DO100,$B$8,1),OFFSET($M$15,0,0,$B$8,1))=EG$14))   /   SUM(OFFSET($BO$15,0,0,$B$14,1)) + $B$18/($B$19*$B$19*($DN100&lt;&gt;$DO100) + $B$19*($DN100=$DO100))</f>
        <v>3.7037037037037035E-4</v>
      </c>
      <c r="EH100" s="10" cm="1">
        <f t="array" aca="1" ref="EH100" ca="1">(1-$B$18)*SUMPRODUCT(OFFSET($BO$15,0,0,$B$14,1), 1*(_xlfn._xlws.FILTER(OFFSET($O$15,0,$DN100,$B$8,1),OFFSET($M$15,0,0,$B$8,1))=EH$13), 1*(_xlfn._xlws.FILTER(OFFSET($O$15,0,$DO100,$B$8,1),OFFSET($M$15,0,0,$B$8,1))=EH$14))   /   SUM(OFFSET($BO$15,0,0,$B$14,1)) + $B$18/($B$19*$B$19*($DN100&lt;&gt;$DO100) + $B$19*($DN100=$DO100))</f>
        <v>3.7037037037037035E-4</v>
      </c>
      <c r="EI100" s="10" cm="1">
        <f t="array" aca="1" ref="EI100" ca="1">(1-$B$18)*SUMPRODUCT(OFFSET($BO$15,0,0,$B$14,1), 1*(_xlfn._xlws.FILTER(OFFSET($O$15,0,$DN100,$B$8,1),OFFSET($M$15,0,0,$B$8,1))=EI$13), 1*(_xlfn._xlws.FILTER(OFFSET($O$15,0,$DO100,$B$8,1),OFFSET($M$15,0,0,$B$8,1))=EI$14))   /   SUM(OFFSET($BO$15,0,0,$B$14,1)) + $B$18/($B$19*$B$19*($DN100&lt;&gt;$DO100) + $B$19*($DN100=$DO100))</f>
        <v>3.7037037037037035E-4</v>
      </c>
      <c r="EJ100" s="10" cm="1">
        <f t="array" aca="1" ref="EJ100" ca="1">(1-$B$18)*SUMPRODUCT(OFFSET($BO$15,0,0,$B$14,1), 1*(_xlfn._xlws.FILTER(OFFSET($O$15,0,$DN100,$B$8,1),OFFSET($M$15,0,0,$B$8,1))=EJ$13), 1*(_xlfn._xlws.FILTER(OFFSET($O$15,0,$DO100,$B$8,1),OFFSET($M$15,0,0,$B$8,1))=EJ$14))   /   SUM(OFFSET($BO$15,0,0,$B$14,1)) + $B$18/($B$19*$B$19*($DN100&lt;&gt;$DO100) + $B$19*($DN100=$DO100))</f>
        <v>3.7037037037037035E-4</v>
      </c>
      <c r="EK100" s="10" cm="1">
        <f t="array" aca="1" ref="EK100" ca="1">(1-$B$18)*SUMPRODUCT(OFFSET($BO$15,0,0,$B$14,1), 1*(_xlfn._xlws.FILTER(OFFSET($O$15,0,$DN100,$B$8,1),OFFSET($M$15,0,0,$B$8,1))=EK$13), 1*(_xlfn._xlws.FILTER(OFFSET($O$15,0,$DO100,$B$8,1),OFFSET($M$15,0,0,$B$8,1))=EK$14))   /   SUM(OFFSET($BO$15,0,0,$B$14,1)) + $B$18/($B$19*$B$19*($DN100&lt;&gt;$DO100) + $B$19*($DN100=$DO100))</f>
        <v>3.7037037037037035E-4</v>
      </c>
      <c r="EL100" s="10" cm="1">
        <f t="array" aca="1" ref="EL100" ca="1">(1-$B$18)*SUMPRODUCT(OFFSET($BO$15,0,0,$B$14,1), 1*(_xlfn._xlws.FILTER(OFFSET($O$15,0,$DN100,$B$8,1),OFFSET($M$15,0,0,$B$8,1))=EL$13), 1*(_xlfn._xlws.FILTER(OFFSET($O$15,0,$DO100,$B$8,1),OFFSET($M$15,0,0,$B$8,1))=EL$14))   /   SUM(OFFSET($BO$15,0,0,$B$14,1)) + $B$18/($B$19*$B$19*($DN100&lt;&gt;$DO100) + $B$19*($DN100=$DO100))</f>
        <v>3.7037037037037035E-4</v>
      </c>
      <c r="EM100" s="10" cm="1">
        <f t="array" aca="1" ref="EM100" ca="1">(1-$B$18)*SUMPRODUCT(OFFSET($BO$15,0,0,$B$14,1), 1*(_xlfn._xlws.FILTER(OFFSET($O$15,0,$DN100,$B$8,1),OFFSET($M$15,0,0,$B$8,1))=EM$13), 1*(_xlfn._xlws.FILTER(OFFSET($O$15,0,$DO100,$B$8,1),OFFSET($M$15,0,0,$B$8,1))=EM$14))   /   SUM(OFFSET($BO$15,0,0,$B$14,1)) + $B$18/($B$19*$B$19*($DN100&lt;&gt;$DO100) + $B$19*($DN100=$DO100))</f>
        <v>3.7037037037037035E-4</v>
      </c>
      <c r="EN100" s="10" cm="1">
        <f t="array" aca="1" ref="EN100" ca="1">(1-$B$18)*SUMPRODUCT(OFFSET($BO$15,0,0,$B$14,1), 1*(_xlfn._xlws.FILTER(OFFSET($O$15,0,$DN100,$B$8,1),OFFSET($M$15,0,0,$B$8,1))=EN$13), 1*(_xlfn._xlws.FILTER(OFFSET($O$15,0,$DO100,$B$8,1),OFFSET($M$15,0,0,$B$8,1))=EN$14))   /   SUM(OFFSET($BO$15,0,0,$B$14,1)) + $B$18/($B$19*$B$19*($DN100&lt;&gt;$DO100) + $B$19*($DN100=$DO100))</f>
        <v>3.7037037037037035E-4</v>
      </c>
      <c r="EO100" s="10" cm="1">
        <f t="array" aca="1" ref="EO100" ca="1">(1-$B$18)*SUMPRODUCT(OFFSET($BO$15,0,0,$B$14,1), 1*(_xlfn._xlws.FILTER(OFFSET($O$15,0,$DN100,$B$8,1),OFFSET($M$15,0,0,$B$8,1))=EO$13), 1*(_xlfn._xlws.FILTER(OFFSET($O$15,0,$DO100,$B$8,1),OFFSET($M$15,0,0,$B$8,1))=EO$14))   /   SUM(OFFSET($BO$15,0,0,$B$14,1)) + $B$18/($B$19*$B$19*($DN100&lt;&gt;$DO100) + $B$19*($DN100=$DO100))</f>
        <v>3.7037037037037035E-4</v>
      </c>
      <c r="EP100" s="10" cm="1">
        <f t="array" aca="1" ref="EP100" ca="1">(1-$B$18)*SUMPRODUCT(OFFSET($BO$15,0,0,$B$14,1), 1*(_xlfn._xlws.FILTER(OFFSET($O$15,0,$DN100,$B$8,1),OFFSET($M$15,0,0,$B$8,1))=EP$13), 1*(_xlfn._xlws.FILTER(OFFSET($O$15,0,$DO100,$B$8,1),OFFSET($M$15,0,0,$B$8,1))=EP$14))   /   SUM(OFFSET($BO$15,0,0,$B$14,1)) + $B$18/($B$19*$B$19*($DN100&lt;&gt;$DO100) + $B$19*($DN100=$DO100))</f>
        <v>3.7037037037037035E-4</v>
      </c>
      <c r="EQ100" s="10" cm="1">
        <f t="array" aca="1" ref="EQ100" ca="1">(1-$B$18)*SUMPRODUCT(OFFSET($BO$15,0,0,$B$14,1), 1*(_xlfn._xlws.FILTER(OFFSET($O$15,0,$DN100,$B$8,1),OFFSET($M$15,0,0,$B$8,1))=EQ$13), 1*(_xlfn._xlws.FILTER(OFFSET($O$15,0,$DO100,$B$8,1),OFFSET($M$15,0,0,$B$8,1))=EQ$14))   /   SUM(OFFSET($BO$15,0,0,$B$14,1)) + $B$18/($B$19*$B$19*($DN100&lt;&gt;$DO100) + $B$19*($DN100=$DO100))</f>
        <v>3.7037037037037035E-4</v>
      </c>
      <c r="ER100" s="10" cm="1">
        <f t="array" aca="1" ref="ER100" ca="1">(1-$B$18)*SUMPRODUCT(OFFSET($BO$15,0,0,$B$14,1), 1*(_xlfn._xlws.FILTER(OFFSET($O$15,0,$DN100,$B$8,1),OFFSET($M$15,0,0,$B$8,1))=ER$13), 1*(_xlfn._xlws.FILTER(OFFSET($O$15,0,$DO100,$B$8,1),OFFSET($M$15,0,0,$B$8,1))=ER$14))   /   SUM(OFFSET($BO$15,0,0,$B$14,1)) + $B$18/($B$19*$B$19*($DN100&lt;&gt;$DO100) + $B$19*($DN100=$DO100))</f>
        <v>3.7037037037037035E-4</v>
      </c>
      <c r="ES100" s="10" cm="1">
        <f t="array" aca="1" ref="ES100" ca="1">(1-$B$18)*SUMPRODUCT(OFFSET($BO$15,0,0,$B$14,1), 1*(_xlfn._xlws.FILTER(OFFSET($O$15,0,$DN100,$B$8,1),OFFSET($M$15,0,0,$B$8,1))=ES$13), 1*(_xlfn._xlws.FILTER(OFFSET($O$15,0,$DO100,$B$8,1),OFFSET($M$15,0,0,$B$8,1))=ES$14))   /   SUM(OFFSET($BO$15,0,0,$B$14,1)) + $B$18/($B$19*$B$19*($DN100&lt;&gt;$DO100) + $B$19*($DN100=$DO100))</f>
        <v>3.7037037037037035E-4</v>
      </c>
      <c r="ET100" s="10" cm="1">
        <f t="array" aca="1" ref="ET100" ca="1">(1-$B$18)*SUMPRODUCT(OFFSET($BO$15,0,0,$B$14,1), 1*(_xlfn._xlws.FILTER(OFFSET($O$15,0,$DN100,$B$8,1),OFFSET($M$15,0,0,$B$8,1))=ET$13), 1*(_xlfn._xlws.FILTER(OFFSET($O$15,0,$DO100,$B$8,1),OFFSET($M$15,0,0,$B$8,1))=ET$14))   /   SUM(OFFSET($BO$15,0,0,$B$14,1)) + $B$18/($B$19*$B$19*($DN100&lt;&gt;$DO100) + $B$19*($DN100=$DO100))</f>
        <v>3.7037037037037035E-4</v>
      </c>
      <c r="EU100" s="10" cm="1">
        <f t="array" aca="1" ref="EU100" ca="1">(1-$B$18)*SUMPRODUCT(OFFSET($BO$15,0,0,$B$14,1), 1*(_xlfn._xlws.FILTER(OFFSET($O$15,0,$DN100,$B$8,1),OFFSET($M$15,0,0,$B$8,1))=EU$13), 1*(_xlfn._xlws.FILTER(OFFSET($O$15,0,$DO100,$B$8,1),OFFSET($M$15,0,0,$B$8,1))=EU$14))   /   SUM(OFFSET($BO$15,0,0,$B$14,1)) + $B$18/($B$19*$B$19*($DN100&lt;&gt;$DO100) + $B$19*($DN100=$DO100))</f>
        <v>3.7037037037037035E-4</v>
      </c>
      <c r="EV100" s="10" cm="1">
        <f t="array" aca="1" ref="EV100" ca="1">(1-$B$18)*SUMPRODUCT(OFFSET($BO$15,0,0,$B$14,1), 1*(_xlfn._xlws.FILTER(OFFSET($O$15,0,$DN100,$B$8,1),OFFSET($M$15,0,0,$B$8,1))=EV$13), 1*(_xlfn._xlws.FILTER(OFFSET($O$15,0,$DO100,$B$8,1),OFFSET($M$15,0,0,$B$8,1))=EV$14))   /   SUM(OFFSET($BO$15,0,0,$B$14,1)) + $B$18/($B$19*$B$19*($DN100&lt;&gt;$DO100) + $B$19*($DN100=$DO100))</f>
        <v>3.7037037037037035E-4</v>
      </c>
      <c r="EW100" s="10" cm="1">
        <f t="array" aca="1" ref="EW100" ca="1">(1-$B$18)*SUMPRODUCT(OFFSET($BO$15,0,0,$B$14,1), 1*(_xlfn._xlws.FILTER(OFFSET($O$15,0,$DN100,$B$8,1),OFFSET($M$15,0,0,$B$8,1))=EW$13), 1*(_xlfn._xlws.FILTER(OFFSET($O$15,0,$DO100,$B$8,1),OFFSET($M$15,0,0,$B$8,1))=EW$14))   /   SUM(OFFSET($BO$15,0,0,$B$14,1)) + $B$18/($B$19*$B$19*($DN100&lt;&gt;$DO100) + $B$19*($DN100=$DO100))</f>
        <v>3.7037037037037035E-4</v>
      </c>
      <c r="EX100" s="10" cm="1">
        <f t="array" aca="1" ref="EX100" ca="1">(1-$B$18)*SUMPRODUCT(OFFSET($BO$15,0,0,$B$14,1), 1*(_xlfn._xlws.FILTER(OFFSET($O$15,0,$DN100,$B$8,1),OFFSET($M$15,0,0,$B$8,1))=EX$13), 1*(_xlfn._xlws.FILTER(OFFSET($O$15,0,$DO100,$B$8,1),OFFSET($M$15,0,0,$B$8,1))=EX$14))   /   SUM(OFFSET($BO$15,0,0,$B$14,1)) + $B$18/($B$19*$B$19*($DN100&lt;&gt;$DO100) + $B$19*($DN100=$DO100))</f>
        <v>3.7037037037037035E-4</v>
      </c>
      <c r="EY100" s="10" cm="1">
        <f t="array" aca="1" ref="EY100" ca="1">(1-$B$18)*SUMPRODUCT(OFFSET($BO$15,0,0,$B$14,1), 1*(_xlfn._xlws.FILTER(OFFSET($O$15,0,$DN100,$B$8,1),OFFSET($M$15,0,0,$B$8,1))=EY$13), 1*(_xlfn._xlws.FILTER(OFFSET($O$15,0,$DO100,$B$8,1),OFFSET($M$15,0,0,$B$8,1))=EY$14))   /   SUM(OFFSET($BO$15,0,0,$B$14,1)) + $B$18/($B$19*$B$19*($DN100&lt;&gt;$DO100) + $B$19*($DN100=$DO100))</f>
        <v>3.7037037037037035E-4</v>
      </c>
      <c r="EZ100" s="10" cm="1">
        <f t="array" aca="1" ref="EZ100" ca="1">(1-$B$18)*SUMPRODUCT(OFFSET($BO$15,0,0,$B$14,1), 1*(_xlfn._xlws.FILTER(OFFSET($O$15,0,$DN100,$B$8,1),OFFSET($M$15,0,0,$B$8,1))=EZ$13), 1*(_xlfn._xlws.FILTER(OFFSET($O$15,0,$DO100,$B$8,1),OFFSET($M$15,0,0,$B$8,1))=EZ$14))   /   SUM(OFFSET($BO$15,0,0,$B$14,1)) + $B$18/($B$19*$B$19*($DN100&lt;&gt;$DO100) + $B$19*($DN100=$DO100))</f>
        <v>3.7037037037037035E-4</v>
      </c>
      <c r="FA100" s="10" cm="1">
        <f t="array" aca="1" ref="FA100" ca="1">(1-$B$18)*SUMPRODUCT(OFFSET($BO$15,0,0,$B$14,1), 1*(_xlfn._xlws.FILTER(OFFSET($O$15,0,$DN100,$B$8,1),OFFSET($M$15,0,0,$B$8,1))=FA$13), 1*(_xlfn._xlws.FILTER(OFFSET($O$15,0,$DO100,$B$8,1),OFFSET($M$15,0,0,$B$8,1))=FA$14))   /   SUM(OFFSET($BO$15,0,0,$B$14,1)) + $B$18/($B$19*$B$19*($DN100&lt;&gt;$DO100) + $B$19*($DN100=$DO100))</f>
        <v>3.7037037037037035E-4</v>
      </c>
      <c r="FB100" s="10" cm="1">
        <f t="array" aca="1" ref="FB100" ca="1">(1-$B$18)*SUMPRODUCT(OFFSET($BO$15,0,0,$B$14,1), 1*(_xlfn._xlws.FILTER(OFFSET($O$15,0,$DN100,$B$8,1),OFFSET($M$15,0,0,$B$8,1))=FB$13), 1*(_xlfn._xlws.FILTER(OFFSET($O$15,0,$DO100,$B$8,1),OFFSET($M$15,0,0,$B$8,1))=FB$14))   /   SUM(OFFSET($BO$15,0,0,$B$14,1)) + $B$18/($B$19*$B$19*($DN100&lt;&gt;$DO100) + $B$19*($DN100=$DO100))</f>
        <v>3.7037037037037035E-4</v>
      </c>
      <c r="FC100" s="10" cm="1">
        <f t="array" aca="1" ref="FC100" ca="1">(1-$B$18)*SUMPRODUCT(OFFSET($BO$15,0,0,$B$14,1), 1*(_xlfn._xlws.FILTER(OFFSET($O$15,0,$DN100,$B$8,1),OFFSET($M$15,0,0,$B$8,1))=FC$13), 1*(_xlfn._xlws.FILTER(OFFSET($O$15,0,$DO100,$B$8,1),OFFSET($M$15,0,0,$B$8,1))=FC$14))   /   SUM(OFFSET($BO$15,0,0,$B$14,1)) + $B$18/($B$19*$B$19*($DN100&lt;&gt;$DO100) + $B$19*($DN100=$DO100))</f>
        <v>3.7037037037037035E-4</v>
      </c>
      <c r="FD100" s="10" cm="1">
        <f t="array" aca="1" ref="FD100" ca="1">(1-$B$18)*SUMPRODUCT(OFFSET($BO$15,0,0,$B$14,1), 1*(_xlfn._xlws.FILTER(OFFSET($O$15,0,$DN100,$B$8,1),OFFSET($M$15,0,0,$B$8,1))=FD$13), 1*(_xlfn._xlws.FILTER(OFFSET($O$15,0,$DO100,$B$8,1),OFFSET($M$15,0,0,$B$8,1))=FD$14))   /   SUM(OFFSET($BO$15,0,0,$B$14,1)) + $B$18/($B$19*$B$19*($DN100&lt;&gt;$DO100) + $B$19*($DN100=$DO100))</f>
        <v>3.7037037037037035E-4</v>
      </c>
      <c r="FE100" s="10" cm="1">
        <f t="array" aca="1" ref="FE100" ca="1">(1-$B$18)*SUMPRODUCT(OFFSET($BO$15,0,0,$B$14,1), 1*(_xlfn._xlws.FILTER(OFFSET($O$15,0,$DN100,$B$8,1),OFFSET($M$15,0,0,$B$8,1))=FE$13), 1*(_xlfn._xlws.FILTER(OFFSET($O$15,0,$DO100,$B$8,1),OFFSET($M$15,0,0,$B$8,1))=FE$14))   /   SUM(OFFSET($BO$15,0,0,$B$14,1)) + $B$18/($B$19*$B$19*($DN100&lt;&gt;$DO100) + $B$19*($DN100=$DO100))</f>
        <v>3.7037037037037035E-4</v>
      </c>
      <c r="FF100" s="10" cm="1">
        <f t="array" aca="1" ref="FF100" ca="1">(1-$B$18)*SUMPRODUCT(OFFSET($BO$15,0,0,$B$14,1), 1*(_xlfn._xlws.FILTER(OFFSET($O$15,0,$DN100,$B$8,1),OFFSET($M$15,0,0,$B$8,1))=FF$13), 1*(_xlfn._xlws.FILTER(OFFSET($O$15,0,$DO100,$B$8,1),OFFSET($M$15,0,0,$B$8,1))=FF$14))   /   SUM(OFFSET($BO$15,0,0,$B$14,1)) + $B$18/($B$19*$B$19*($DN100&lt;&gt;$DO100) + $B$19*($DN100=$DO100))</f>
        <v>3.7037037037037035E-4</v>
      </c>
      <c r="FG100" s="10" cm="1">
        <f t="array" aca="1" ref="FG100" ca="1">(1-$B$18)*SUMPRODUCT(OFFSET($BO$15,0,0,$B$14,1), 1*(_xlfn._xlws.FILTER(OFFSET($O$15,0,$DN100,$B$8,1),OFFSET($M$15,0,0,$B$8,1))=FG$13), 1*(_xlfn._xlws.FILTER(OFFSET($O$15,0,$DO100,$B$8,1),OFFSET($M$15,0,0,$B$8,1))=FG$14))   /   SUM(OFFSET($BO$15,0,0,$B$14,1)) + $B$18/($B$19*$B$19*($DN100&lt;&gt;$DO100) + $B$19*($DN100=$DO100))</f>
        <v>3.7037037037037035E-4</v>
      </c>
      <c r="FH100" s="10" cm="1">
        <f t="array" aca="1" ref="FH100" ca="1">(1-$B$18)*SUMPRODUCT(OFFSET($BO$15,0,0,$B$14,1), 1*(_xlfn._xlws.FILTER(OFFSET($O$15,0,$DN100,$B$8,1),OFFSET($M$15,0,0,$B$8,1))=FH$13), 1*(_xlfn._xlws.FILTER(OFFSET($O$15,0,$DO100,$B$8,1),OFFSET($M$15,0,0,$B$8,1))=FH$14))   /   SUM(OFFSET($BO$15,0,0,$B$14,1)) + $B$18/($B$19*$B$19*($DN100&lt;&gt;$DO100) + $B$19*($DN100=$DO100))</f>
        <v>3.7037037037037035E-4</v>
      </c>
      <c r="FI100" s="10" cm="1">
        <f t="array" aca="1" ref="FI100" ca="1">(1-$B$18)*SUMPRODUCT(OFFSET($BO$15,0,0,$B$14,1), 1*(_xlfn._xlws.FILTER(OFFSET($O$15,0,$DN100,$B$8,1),OFFSET($M$15,0,0,$B$8,1))=FI$13), 1*(_xlfn._xlws.FILTER(OFFSET($O$15,0,$DO100,$B$8,1),OFFSET($M$15,0,0,$B$8,1))=FI$14))   /   SUM(OFFSET($BO$15,0,0,$B$14,1)) + $B$18/($B$19*$B$19*($DN100&lt;&gt;$DO100) + $B$19*($DN100=$DO100))</f>
        <v>3.7037037037037035E-4</v>
      </c>
      <c r="FJ100" s="10" cm="1">
        <f t="array" aca="1" ref="FJ100" ca="1">(1-$B$18)*SUMPRODUCT(OFFSET($BO$15,0,0,$B$14,1), 1*(_xlfn._xlws.FILTER(OFFSET($O$15,0,$DN100,$B$8,1),OFFSET($M$15,0,0,$B$8,1))=FJ$13), 1*(_xlfn._xlws.FILTER(OFFSET($O$15,0,$DO100,$B$8,1),OFFSET($M$15,0,0,$B$8,1))=FJ$14))   /   SUM(OFFSET($BO$15,0,0,$B$14,1)) + $B$18/($B$19*$B$19*($DN100&lt;&gt;$DO100) + $B$19*($DN100=$DO100))</f>
        <v>3.7037037037037035E-4</v>
      </c>
      <c r="FK100" s="10" cm="1">
        <f t="array" aca="1" ref="FK100" ca="1">(1-$B$18)*SUMPRODUCT(OFFSET($BO$15,0,0,$B$14,1), 1*(_xlfn._xlws.FILTER(OFFSET($O$15,0,$DN100,$B$8,1),OFFSET($M$15,0,0,$B$8,1))=FK$13), 1*(_xlfn._xlws.FILTER(OFFSET($O$15,0,$DO100,$B$8,1),OFFSET($M$15,0,0,$B$8,1))=FK$14))   /   SUM(OFFSET($BO$15,0,0,$B$14,1)) + $B$18/($B$19*$B$19*($DN100&lt;&gt;$DO100) + $B$19*($DN100=$DO100))</f>
        <v>3.7037037037037035E-4</v>
      </c>
      <c r="FL100" s="10" cm="1">
        <f t="array" aca="1" ref="FL100" ca="1">(1-$B$18)*SUMPRODUCT(OFFSET($BO$15,0,0,$B$14,1), 1*(_xlfn._xlws.FILTER(OFFSET($O$15,0,$DN100,$B$8,1),OFFSET($M$15,0,0,$B$8,1))=FL$13), 1*(_xlfn._xlws.FILTER(OFFSET($O$15,0,$DO100,$B$8,1),OFFSET($M$15,0,0,$B$8,1))=FL$14))   /   SUM(OFFSET($BO$15,0,0,$B$14,1)) + $B$18/($B$19*$B$19*($DN100&lt;&gt;$DO100) + $B$19*($DN100=$DO100))</f>
        <v>3.7037037037037035E-4</v>
      </c>
      <c r="FM100" s="10" cm="1">
        <f t="array" aca="1" ref="FM100" ca="1">(1-$B$18)*SUMPRODUCT(OFFSET($BO$15,0,0,$B$14,1), 1*(_xlfn._xlws.FILTER(OFFSET($O$15,0,$DN100,$B$8,1),OFFSET($M$15,0,0,$B$8,1))=FM$13), 1*(_xlfn._xlws.FILTER(OFFSET($O$15,0,$DO100,$B$8,1),OFFSET($M$15,0,0,$B$8,1))=FM$14))   /   SUM(OFFSET($BO$15,0,0,$B$14,1)) + $B$18/($B$19*$B$19*($DN100&lt;&gt;$DO100) + $B$19*($DN100=$DO100))</f>
        <v>3.7037037037037035E-4</v>
      </c>
      <c r="FN100" s="10" cm="1">
        <f t="array" aca="1" ref="FN100" ca="1">(1-$B$18)*SUMPRODUCT(OFFSET($BO$15,0,0,$B$14,1), 1*(_xlfn._xlws.FILTER(OFFSET($O$15,0,$DN100,$B$8,1),OFFSET($M$15,0,0,$B$8,1))=FN$13), 1*(_xlfn._xlws.FILTER(OFFSET($O$15,0,$DO100,$B$8,1),OFFSET($M$15,0,0,$B$8,1))=FN$14))   /   SUM(OFFSET($BO$15,0,0,$B$14,1)) + $B$18/($B$19*$B$19*($DN100&lt;&gt;$DO100) + $B$19*($DN100=$DO100))</f>
        <v>3.7037037037037035E-4</v>
      </c>
      <c r="FO100" s="10" cm="1">
        <f t="array" aca="1" ref="FO100" ca="1">(1-$B$18)*SUMPRODUCT(OFFSET($BO$15,0,0,$B$14,1), 1*(_xlfn._xlws.FILTER(OFFSET($O$15,0,$DN100,$B$8,1),OFFSET($M$15,0,0,$B$8,1))=FO$13), 1*(_xlfn._xlws.FILTER(OFFSET($O$15,0,$DO100,$B$8,1),OFFSET($M$15,0,0,$B$8,1))=FO$14))   /   SUM(OFFSET($BO$15,0,0,$B$14,1)) + $B$18/($B$19*$B$19*($DN100&lt;&gt;$DO100) + $B$19*($DN100=$DO100))</f>
        <v>3.7037037037037035E-4</v>
      </c>
      <c r="FP100" s="10" cm="1">
        <f t="array" aca="1" ref="FP100" ca="1">(1-$B$18)*SUMPRODUCT(OFFSET($BO$15,0,0,$B$14,1), 1*(_xlfn._xlws.FILTER(OFFSET($O$15,0,$DN100,$B$8,1),OFFSET($M$15,0,0,$B$8,1))=FP$13), 1*(_xlfn._xlws.FILTER(OFFSET($O$15,0,$DO100,$B$8,1),OFFSET($M$15,0,0,$B$8,1))=FP$14))   /   SUM(OFFSET($BO$15,0,0,$B$14,1)) + $B$18/($B$19*$B$19*($DN100&lt;&gt;$DO100) + $B$19*($DN100=$DO100))</f>
        <v>3.7037037037037035E-4</v>
      </c>
      <c r="FQ100" s="10" cm="1">
        <f t="array" aca="1" ref="FQ100" ca="1">(1-$B$18)*SUMPRODUCT(OFFSET($BO$15,0,0,$B$14,1), 1*(_xlfn._xlws.FILTER(OFFSET($O$15,0,$DN100,$B$8,1),OFFSET($M$15,0,0,$B$8,1))=FQ$13), 1*(_xlfn._xlws.FILTER(OFFSET($O$15,0,$DO100,$B$8,1),OFFSET($M$15,0,0,$B$8,1))=FQ$14))   /   SUM(OFFSET($BO$15,0,0,$B$14,1)) + $B$18/($B$19*$B$19*($DN100&lt;&gt;$DO100) + $B$19*($DN100=$DO100))</f>
        <v>3.7037037037037035E-4</v>
      </c>
      <c r="FR100" s="10" cm="1">
        <f t="array" aca="1" ref="FR100" ca="1">(1-$B$18)*SUMPRODUCT(OFFSET($BO$15,0,0,$B$14,1), 1*(_xlfn._xlws.FILTER(OFFSET($O$15,0,$DN100,$B$8,1),OFFSET($M$15,0,0,$B$8,1))=FR$13), 1*(_xlfn._xlws.FILTER(OFFSET($O$15,0,$DO100,$B$8,1),OFFSET($M$15,0,0,$B$8,1))=FR$14))   /   SUM(OFFSET($BO$15,0,0,$B$14,1)) + $B$18/($B$19*$B$19*($DN100&lt;&gt;$DO100) + $B$19*($DN100=$DO100))</f>
        <v>0.97037037037037033</v>
      </c>
      <c r="FS100" s="10" cm="1">
        <f t="array" aca="1" ref="FS100" ca="1">(1-$B$18)*SUMPRODUCT(OFFSET($BO$15,0,0,$B$14,1), 1*(_xlfn._xlws.FILTER(OFFSET($O$15,0,$DN100,$B$8,1),OFFSET($M$15,0,0,$B$8,1))=FS$13), 1*(_xlfn._xlws.FILTER(OFFSET($O$15,0,$DO100,$B$8,1),OFFSET($M$15,0,0,$B$8,1))=FS$14))   /   SUM(OFFSET($BO$15,0,0,$B$14,1)) + $B$18/($B$19*$B$19*($DN100&lt;&gt;$DO100) + $B$19*($DN100=$DO100))</f>
        <v>3.7037037037037035E-4</v>
      </c>
      <c r="FT100" s="10" cm="1">
        <f t="array" aca="1" ref="FT100" ca="1">(1-$B$18)*SUMPRODUCT(OFFSET($BO$15,0,0,$B$14,1), 1*(_xlfn._xlws.FILTER(OFFSET($O$15,0,$DN100,$B$8,1),OFFSET($M$15,0,0,$B$8,1))=FT$13), 1*(_xlfn._xlws.FILTER(OFFSET($O$15,0,$DO100,$B$8,1),OFFSET($M$15,0,0,$B$8,1))=FT$14))   /   SUM(OFFSET($BO$15,0,0,$B$14,1)) + $B$18/($B$19*$B$19*($DN100&lt;&gt;$DO100) + $B$19*($DN100=$DO100))</f>
        <v>3.7037037037037035E-4</v>
      </c>
      <c r="FU100" s="10" cm="1">
        <f t="array" aca="1" ref="FU100" ca="1">(1-$B$18)*SUMPRODUCT(OFFSET($BO$15,0,0,$B$14,1), 1*(_xlfn._xlws.FILTER(OFFSET($O$15,0,$DN100,$B$8,1),OFFSET($M$15,0,0,$B$8,1))=FU$13), 1*(_xlfn._xlws.FILTER(OFFSET($O$15,0,$DO100,$B$8,1),OFFSET($M$15,0,0,$B$8,1))=FU$14))   /   SUM(OFFSET($BO$15,0,0,$B$14,1)) + $B$18/($B$19*$B$19*($DN100&lt;&gt;$DO100) + $B$19*($DN100=$DO100))</f>
        <v>3.7037037037037035E-4</v>
      </c>
      <c r="FV100" s="10" cm="1">
        <f t="array" aca="1" ref="FV100" ca="1">(1-$B$18)*SUMPRODUCT(OFFSET($BO$15,0,0,$B$14,1), 1*(_xlfn._xlws.FILTER(OFFSET($O$15,0,$DN100,$B$8,1),OFFSET($M$15,0,0,$B$8,1))=FV$13), 1*(_xlfn._xlws.FILTER(OFFSET($O$15,0,$DO100,$B$8,1),OFFSET($M$15,0,0,$B$8,1))=FV$14))   /   SUM(OFFSET($BO$15,0,0,$B$14,1)) + $B$18/($B$19*$B$19*($DN100&lt;&gt;$DO100) + $B$19*($DN100=$DO100))</f>
        <v>3.7037037037037035E-4</v>
      </c>
      <c r="FW100" s="10" cm="1">
        <f t="array" aca="1" ref="FW100" ca="1">(1-$B$18)*SUMPRODUCT(OFFSET($BO$15,0,0,$B$14,1), 1*(_xlfn._xlws.FILTER(OFFSET($O$15,0,$DN100,$B$8,1),OFFSET($M$15,0,0,$B$8,1))=FW$13), 1*(_xlfn._xlws.FILTER(OFFSET($O$15,0,$DO100,$B$8,1),OFFSET($M$15,0,0,$B$8,1))=FW$14))   /   SUM(OFFSET($BO$15,0,0,$B$14,1)) + $B$18/($B$19*$B$19*($DN100&lt;&gt;$DO100) + $B$19*($DN100=$DO100))</f>
        <v>3.7037037037037035E-4</v>
      </c>
      <c r="FX100" s="10" cm="1">
        <f t="array" aca="1" ref="FX100" ca="1">(1-$B$18)*SUMPRODUCT(OFFSET($BO$15,0,0,$B$14,1), 1*(_xlfn._xlws.FILTER(OFFSET($O$15,0,$DN100,$B$8,1),OFFSET($M$15,0,0,$B$8,1))=FX$13), 1*(_xlfn._xlws.FILTER(OFFSET($O$15,0,$DO100,$B$8,1),OFFSET($M$15,0,0,$B$8,1))=FX$14))   /   SUM(OFFSET($BO$15,0,0,$B$14,1)) + $B$18/($B$19*$B$19*($DN100&lt;&gt;$DO100) + $B$19*($DN100=$DO100))</f>
        <v>3.7037037037037035E-4</v>
      </c>
      <c r="FY100" s="10" cm="1">
        <f t="array" aca="1" ref="FY100" ca="1">(1-$B$18)*SUMPRODUCT(OFFSET($BO$15,0,0,$B$14,1), 1*(_xlfn._xlws.FILTER(OFFSET($O$15,0,$DN100,$B$8,1),OFFSET($M$15,0,0,$B$8,1))=FY$13), 1*(_xlfn._xlws.FILTER(OFFSET($O$15,0,$DO100,$B$8,1),OFFSET($M$15,0,0,$B$8,1))=FY$14))   /   SUM(OFFSET($BO$15,0,0,$B$14,1)) + $B$18/($B$19*$B$19*($DN100&lt;&gt;$DO100) + $B$19*($DN100=$DO100))</f>
        <v>3.7037037037037035E-4</v>
      </c>
      <c r="FZ100" s="10" cm="1">
        <f t="array" aca="1" ref="FZ100" ca="1">(1-$B$18)*SUMPRODUCT(OFFSET($BO$15,0,0,$B$14,1), 1*(_xlfn._xlws.FILTER(OFFSET($O$15,0,$DN100,$B$8,1),OFFSET($M$15,0,0,$B$8,1))=FZ$13), 1*(_xlfn._xlws.FILTER(OFFSET($O$15,0,$DO100,$B$8,1),OFFSET($M$15,0,0,$B$8,1))=FZ$14))   /   SUM(OFFSET($BO$15,0,0,$B$14,1)) + $B$18/($B$19*$B$19*($DN100&lt;&gt;$DO100) + $B$19*($DN100=$DO100))</f>
        <v>3.7037037037037035E-4</v>
      </c>
      <c r="GA100" s="10" cm="1">
        <f t="array" aca="1" ref="GA100" ca="1">(1-$B$18)*SUMPRODUCT(OFFSET($BO$15,0,0,$B$14,1), 1*(_xlfn._xlws.FILTER(OFFSET($O$15,0,$DN100,$B$8,1),OFFSET($M$15,0,0,$B$8,1))=GA$13), 1*(_xlfn._xlws.FILTER(OFFSET($O$15,0,$DO100,$B$8,1),OFFSET($M$15,0,0,$B$8,1))=GA$14))   /   SUM(OFFSET($BO$15,0,0,$B$14,1)) + $B$18/($B$19*$B$19*($DN100&lt;&gt;$DO100) + $B$19*($DN100=$DO100))</f>
        <v>3.7037037037037035E-4</v>
      </c>
    </row>
    <row r="101" spans="8:183" x14ac:dyDescent="0.2">
      <c r="H101" s="2"/>
      <c r="DN101" cm="1">
        <f t="array" aca="1" ref="DN101" ca="1">INDEX(_xlfn.ANCHORARRAY($CP$15), 1 + INT((ROWS($DO$15:$DO101) - 1) / ROWS(_xlfn.ANCHORARRAY($CP$15))))</f>
        <v>4</v>
      </c>
      <c r="DO101" cm="1">
        <f t="array" aca="1" ref="DO101" ca="1">INDEX(_xlfn.ANCHORARRAY($CP$15),1+MOD(ROWS($DO$15:$DO101)-1,ROWS(_xlfn.ANCHORARRAY($CP$15))))</f>
        <v>11</v>
      </c>
      <c r="DP101" s="10" cm="1">
        <f t="array" aca="1" ref="DP101" ca="1">(1-$B$18)*SUMPRODUCT(OFFSET($BO$15,0,0,$B$14,1), 1*(_xlfn._xlws.FILTER(OFFSET($O$15,0,$DN101,$B$8,1),OFFSET($M$15,0,0,$B$8,1))=DP$13), 1*(_xlfn._xlws.FILTER(OFFSET($O$15,0,$DO101,$B$8,1),OFFSET($M$15,0,0,$B$8,1))=DP$14))   /   SUM(OFFSET($BO$15,0,0,$B$14,1)) + $B$18/($B$19*$B$19*($DN101&lt;&gt;$DO101) + $B$19*($DN101=$DO101))</f>
        <v>3.7037037037037035E-4</v>
      </c>
      <c r="DQ101" s="10" cm="1">
        <f t="array" aca="1" ref="DQ101" ca="1">(1-$B$18)*SUMPRODUCT(OFFSET($BO$15,0,0,$B$14,1), 1*(_xlfn._xlws.FILTER(OFFSET($O$15,0,$DN101,$B$8,1),OFFSET($M$15,0,0,$B$8,1))=DQ$13), 1*(_xlfn._xlws.FILTER(OFFSET($O$15,0,$DO101,$B$8,1),OFFSET($M$15,0,0,$B$8,1))=DQ$14))   /   SUM(OFFSET($BO$15,0,0,$B$14,1)) + $B$18/($B$19*$B$19*($DN101&lt;&gt;$DO101) + $B$19*($DN101=$DO101))</f>
        <v>3.7037037037037035E-4</v>
      </c>
      <c r="DR101" s="10" cm="1">
        <f t="array" aca="1" ref="DR101" ca="1">(1-$B$18)*SUMPRODUCT(OFFSET($BO$15,0,0,$B$14,1), 1*(_xlfn._xlws.FILTER(OFFSET($O$15,0,$DN101,$B$8,1),OFFSET($M$15,0,0,$B$8,1))=DR$13), 1*(_xlfn._xlws.FILTER(OFFSET($O$15,0,$DO101,$B$8,1),OFFSET($M$15,0,0,$B$8,1))=DR$14))   /   SUM(OFFSET($BO$15,0,0,$B$14,1)) + $B$18/($B$19*$B$19*($DN101&lt;&gt;$DO101) + $B$19*($DN101=$DO101))</f>
        <v>3.7037037037037035E-4</v>
      </c>
      <c r="DS101" s="10" cm="1">
        <f t="array" aca="1" ref="DS101" ca="1">(1-$B$18)*SUMPRODUCT(OFFSET($BO$15,0,0,$B$14,1), 1*(_xlfn._xlws.FILTER(OFFSET($O$15,0,$DN101,$B$8,1),OFFSET($M$15,0,0,$B$8,1))=DS$13), 1*(_xlfn._xlws.FILTER(OFFSET($O$15,0,$DO101,$B$8,1),OFFSET($M$15,0,0,$B$8,1))=DS$14))   /   SUM(OFFSET($BO$15,0,0,$B$14,1)) + $B$18/($B$19*$B$19*($DN101&lt;&gt;$DO101) + $B$19*($DN101=$DO101))</f>
        <v>3.7037037037037035E-4</v>
      </c>
      <c r="DT101" s="10" cm="1">
        <f t="array" aca="1" ref="DT101" ca="1">(1-$B$18)*SUMPRODUCT(OFFSET($BO$15,0,0,$B$14,1), 1*(_xlfn._xlws.FILTER(OFFSET($O$15,0,$DN101,$B$8,1),OFFSET($M$15,0,0,$B$8,1))=DT$13), 1*(_xlfn._xlws.FILTER(OFFSET($O$15,0,$DO101,$B$8,1),OFFSET($M$15,0,0,$B$8,1))=DT$14))   /   SUM(OFFSET($BO$15,0,0,$B$14,1)) + $B$18/($B$19*$B$19*($DN101&lt;&gt;$DO101) + $B$19*($DN101=$DO101))</f>
        <v>3.7037037037037035E-4</v>
      </c>
      <c r="DU101" s="10" cm="1">
        <f t="array" aca="1" ref="DU101" ca="1">(1-$B$18)*SUMPRODUCT(OFFSET($BO$15,0,0,$B$14,1), 1*(_xlfn._xlws.FILTER(OFFSET($O$15,0,$DN101,$B$8,1),OFFSET($M$15,0,0,$B$8,1))=DU$13), 1*(_xlfn._xlws.FILTER(OFFSET($O$15,0,$DO101,$B$8,1),OFFSET($M$15,0,0,$B$8,1))=DU$14))   /   SUM(OFFSET($BO$15,0,0,$B$14,1)) + $B$18/($B$19*$B$19*($DN101&lt;&gt;$DO101) + $B$19*($DN101=$DO101))</f>
        <v>3.7037037037037035E-4</v>
      </c>
      <c r="DV101" s="10" cm="1">
        <f t="array" aca="1" ref="DV101" ca="1">(1-$B$18)*SUMPRODUCT(OFFSET($BO$15,0,0,$B$14,1), 1*(_xlfn._xlws.FILTER(OFFSET($O$15,0,$DN101,$B$8,1),OFFSET($M$15,0,0,$B$8,1))=DV$13), 1*(_xlfn._xlws.FILTER(OFFSET($O$15,0,$DO101,$B$8,1),OFFSET($M$15,0,0,$B$8,1))=DV$14))   /   SUM(OFFSET($BO$15,0,0,$B$14,1)) + $B$18/($B$19*$B$19*($DN101&lt;&gt;$DO101) + $B$19*($DN101=$DO101))</f>
        <v>3.7037037037037035E-4</v>
      </c>
      <c r="DW101" s="10" cm="1">
        <f t="array" aca="1" ref="DW101" ca="1">(1-$B$18)*SUMPRODUCT(OFFSET($BO$15,0,0,$B$14,1), 1*(_xlfn._xlws.FILTER(OFFSET($O$15,0,$DN101,$B$8,1),OFFSET($M$15,0,0,$B$8,1))=DW$13), 1*(_xlfn._xlws.FILTER(OFFSET($O$15,0,$DO101,$B$8,1),OFFSET($M$15,0,0,$B$8,1))=DW$14))   /   SUM(OFFSET($BO$15,0,0,$B$14,1)) + $B$18/($B$19*$B$19*($DN101&lt;&gt;$DO101) + $B$19*($DN101=$DO101))</f>
        <v>3.7037037037037035E-4</v>
      </c>
      <c r="DX101" s="10" cm="1">
        <f t="array" aca="1" ref="DX101" ca="1">(1-$B$18)*SUMPRODUCT(OFFSET($BO$15,0,0,$B$14,1), 1*(_xlfn._xlws.FILTER(OFFSET($O$15,0,$DN101,$B$8,1),OFFSET($M$15,0,0,$B$8,1))=DX$13), 1*(_xlfn._xlws.FILTER(OFFSET($O$15,0,$DO101,$B$8,1),OFFSET($M$15,0,0,$B$8,1))=DX$14))   /   SUM(OFFSET($BO$15,0,0,$B$14,1)) + $B$18/($B$19*$B$19*($DN101&lt;&gt;$DO101) + $B$19*($DN101=$DO101))</f>
        <v>3.7037037037037035E-4</v>
      </c>
      <c r="DY101" s="10" cm="1">
        <f t="array" aca="1" ref="DY101" ca="1">(1-$B$18)*SUMPRODUCT(OFFSET($BO$15,0,0,$B$14,1), 1*(_xlfn._xlws.FILTER(OFFSET($O$15,0,$DN101,$B$8,1),OFFSET($M$15,0,0,$B$8,1))=DY$13), 1*(_xlfn._xlws.FILTER(OFFSET($O$15,0,$DO101,$B$8,1),OFFSET($M$15,0,0,$B$8,1))=DY$14))   /   SUM(OFFSET($BO$15,0,0,$B$14,1)) + $B$18/($B$19*$B$19*($DN101&lt;&gt;$DO101) + $B$19*($DN101=$DO101))</f>
        <v>3.7037037037037035E-4</v>
      </c>
      <c r="DZ101" s="10" cm="1">
        <f t="array" aca="1" ref="DZ101" ca="1">(1-$B$18)*SUMPRODUCT(OFFSET($BO$15,0,0,$B$14,1), 1*(_xlfn._xlws.FILTER(OFFSET($O$15,0,$DN101,$B$8,1),OFFSET($M$15,0,0,$B$8,1))=DZ$13), 1*(_xlfn._xlws.FILTER(OFFSET($O$15,0,$DO101,$B$8,1),OFFSET($M$15,0,0,$B$8,1))=DZ$14))   /   SUM(OFFSET($BO$15,0,0,$B$14,1)) + $B$18/($B$19*$B$19*($DN101&lt;&gt;$DO101) + $B$19*($DN101=$DO101))</f>
        <v>3.7037037037037035E-4</v>
      </c>
      <c r="EA101" s="10" cm="1">
        <f t="array" aca="1" ref="EA101" ca="1">(1-$B$18)*SUMPRODUCT(OFFSET($BO$15,0,0,$B$14,1), 1*(_xlfn._xlws.FILTER(OFFSET($O$15,0,$DN101,$B$8,1),OFFSET($M$15,0,0,$B$8,1))=EA$13), 1*(_xlfn._xlws.FILTER(OFFSET($O$15,0,$DO101,$B$8,1),OFFSET($M$15,0,0,$B$8,1))=EA$14))   /   SUM(OFFSET($BO$15,0,0,$B$14,1)) + $B$18/($B$19*$B$19*($DN101&lt;&gt;$DO101) + $B$19*($DN101=$DO101))</f>
        <v>3.7037037037037035E-4</v>
      </c>
      <c r="EB101" s="10" cm="1">
        <f t="array" aca="1" ref="EB101" ca="1">(1-$B$18)*SUMPRODUCT(OFFSET($BO$15,0,0,$B$14,1), 1*(_xlfn._xlws.FILTER(OFFSET($O$15,0,$DN101,$B$8,1),OFFSET($M$15,0,0,$B$8,1))=EB$13), 1*(_xlfn._xlws.FILTER(OFFSET($O$15,0,$DO101,$B$8,1),OFFSET($M$15,0,0,$B$8,1))=EB$14))   /   SUM(OFFSET($BO$15,0,0,$B$14,1)) + $B$18/($B$19*$B$19*($DN101&lt;&gt;$DO101) + $B$19*($DN101=$DO101))</f>
        <v>3.7037037037037035E-4</v>
      </c>
      <c r="EC101" s="10" cm="1">
        <f t="array" aca="1" ref="EC101" ca="1">(1-$B$18)*SUMPRODUCT(OFFSET($BO$15,0,0,$B$14,1), 1*(_xlfn._xlws.FILTER(OFFSET($O$15,0,$DN101,$B$8,1),OFFSET($M$15,0,0,$B$8,1))=EC$13), 1*(_xlfn._xlws.FILTER(OFFSET($O$15,0,$DO101,$B$8,1),OFFSET($M$15,0,0,$B$8,1))=EC$14))   /   SUM(OFFSET($BO$15,0,0,$B$14,1)) + $B$18/($B$19*$B$19*($DN101&lt;&gt;$DO101) + $B$19*($DN101=$DO101))</f>
        <v>3.7037037037037035E-4</v>
      </c>
      <c r="ED101" s="10" cm="1">
        <f t="array" aca="1" ref="ED101" ca="1">(1-$B$18)*SUMPRODUCT(OFFSET($BO$15,0,0,$B$14,1), 1*(_xlfn._xlws.FILTER(OFFSET($O$15,0,$DN101,$B$8,1),OFFSET($M$15,0,0,$B$8,1))=ED$13), 1*(_xlfn._xlws.FILTER(OFFSET($O$15,0,$DO101,$B$8,1),OFFSET($M$15,0,0,$B$8,1))=ED$14))   /   SUM(OFFSET($BO$15,0,0,$B$14,1)) + $B$18/($B$19*$B$19*($DN101&lt;&gt;$DO101) + $B$19*($DN101=$DO101))</f>
        <v>3.7037037037037035E-4</v>
      </c>
      <c r="EE101" s="10" cm="1">
        <f t="array" aca="1" ref="EE101" ca="1">(1-$B$18)*SUMPRODUCT(OFFSET($BO$15,0,0,$B$14,1), 1*(_xlfn._xlws.FILTER(OFFSET($O$15,0,$DN101,$B$8,1),OFFSET($M$15,0,0,$B$8,1))=EE$13), 1*(_xlfn._xlws.FILTER(OFFSET($O$15,0,$DO101,$B$8,1),OFFSET($M$15,0,0,$B$8,1))=EE$14))   /   SUM(OFFSET($BO$15,0,0,$B$14,1)) + $B$18/($B$19*$B$19*($DN101&lt;&gt;$DO101) + $B$19*($DN101=$DO101))</f>
        <v>3.7037037037037035E-4</v>
      </c>
      <c r="EF101" s="10" cm="1">
        <f t="array" aca="1" ref="EF101" ca="1">(1-$B$18)*SUMPRODUCT(OFFSET($BO$15,0,0,$B$14,1), 1*(_xlfn._xlws.FILTER(OFFSET($O$15,0,$DN101,$B$8,1),OFFSET($M$15,0,0,$B$8,1))=EF$13), 1*(_xlfn._xlws.FILTER(OFFSET($O$15,0,$DO101,$B$8,1),OFFSET($M$15,0,0,$B$8,1))=EF$14))   /   SUM(OFFSET($BO$15,0,0,$B$14,1)) + $B$18/($B$19*$B$19*($DN101&lt;&gt;$DO101) + $B$19*($DN101=$DO101))</f>
        <v>3.7037037037037035E-4</v>
      </c>
      <c r="EG101" s="10" cm="1">
        <f t="array" aca="1" ref="EG101" ca="1">(1-$B$18)*SUMPRODUCT(OFFSET($BO$15,0,0,$B$14,1), 1*(_xlfn._xlws.FILTER(OFFSET($O$15,0,$DN101,$B$8,1),OFFSET($M$15,0,0,$B$8,1))=EG$13), 1*(_xlfn._xlws.FILTER(OFFSET($O$15,0,$DO101,$B$8,1),OFFSET($M$15,0,0,$B$8,1))=EG$14))   /   SUM(OFFSET($BO$15,0,0,$B$14,1)) + $B$18/($B$19*$B$19*($DN101&lt;&gt;$DO101) + $B$19*($DN101=$DO101))</f>
        <v>3.7037037037037035E-4</v>
      </c>
      <c r="EH101" s="10" cm="1">
        <f t="array" aca="1" ref="EH101" ca="1">(1-$B$18)*SUMPRODUCT(OFFSET($BO$15,0,0,$B$14,1), 1*(_xlfn._xlws.FILTER(OFFSET($O$15,0,$DN101,$B$8,1),OFFSET($M$15,0,0,$B$8,1))=EH$13), 1*(_xlfn._xlws.FILTER(OFFSET($O$15,0,$DO101,$B$8,1),OFFSET($M$15,0,0,$B$8,1))=EH$14))   /   SUM(OFFSET($BO$15,0,0,$B$14,1)) + $B$18/($B$19*$B$19*($DN101&lt;&gt;$DO101) + $B$19*($DN101=$DO101))</f>
        <v>3.7037037037037035E-4</v>
      </c>
      <c r="EI101" s="10" cm="1">
        <f t="array" aca="1" ref="EI101" ca="1">(1-$B$18)*SUMPRODUCT(OFFSET($BO$15,0,0,$B$14,1), 1*(_xlfn._xlws.FILTER(OFFSET($O$15,0,$DN101,$B$8,1),OFFSET($M$15,0,0,$B$8,1))=EI$13), 1*(_xlfn._xlws.FILTER(OFFSET($O$15,0,$DO101,$B$8,1),OFFSET($M$15,0,0,$B$8,1))=EI$14))   /   SUM(OFFSET($BO$15,0,0,$B$14,1)) + $B$18/($B$19*$B$19*($DN101&lt;&gt;$DO101) + $B$19*($DN101=$DO101))</f>
        <v>3.7037037037037035E-4</v>
      </c>
      <c r="EJ101" s="10" cm="1">
        <f t="array" aca="1" ref="EJ101" ca="1">(1-$B$18)*SUMPRODUCT(OFFSET($BO$15,0,0,$B$14,1), 1*(_xlfn._xlws.FILTER(OFFSET($O$15,0,$DN101,$B$8,1),OFFSET($M$15,0,0,$B$8,1))=EJ$13), 1*(_xlfn._xlws.FILTER(OFFSET($O$15,0,$DO101,$B$8,1),OFFSET($M$15,0,0,$B$8,1))=EJ$14))   /   SUM(OFFSET($BO$15,0,0,$B$14,1)) + $B$18/($B$19*$B$19*($DN101&lt;&gt;$DO101) + $B$19*($DN101=$DO101))</f>
        <v>3.7037037037037035E-4</v>
      </c>
      <c r="EK101" s="10" cm="1">
        <f t="array" aca="1" ref="EK101" ca="1">(1-$B$18)*SUMPRODUCT(OFFSET($BO$15,0,0,$B$14,1), 1*(_xlfn._xlws.FILTER(OFFSET($O$15,0,$DN101,$B$8,1),OFFSET($M$15,0,0,$B$8,1))=EK$13), 1*(_xlfn._xlws.FILTER(OFFSET($O$15,0,$DO101,$B$8,1),OFFSET($M$15,0,0,$B$8,1))=EK$14))   /   SUM(OFFSET($BO$15,0,0,$B$14,1)) + $B$18/($B$19*$B$19*($DN101&lt;&gt;$DO101) + $B$19*($DN101=$DO101))</f>
        <v>3.7037037037037035E-4</v>
      </c>
      <c r="EL101" s="10" cm="1">
        <f t="array" aca="1" ref="EL101" ca="1">(1-$B$18)*SUMPRODUCT(OFFSET($BO$15,0,0,$B$14,1), 1*(_xlfn._xlws.FILTER(OFFSET($O$15,0,$DN101,$B$8,1),OFFSET($M$15,0,0,$B$8,1))=EL$13), 1*(_xlfn._xlws.FILTER(OFFSET($O$15,0,$DO101,$B$8,1),OFFSET($M$15,0,0,$B$8,1))=EL$14))   /   SUM(OFFSET($BO$15,0,0,$B$14,1)) + $B$18/($B$19*$B$19*($DN101&lt;&gt;$DO101) + $B$19*($DN101=$DO101))</f>
        <v>3.7037037037037035E-4</v>
      </c>
      <c r="EM101" s="10" cm="1">
        <f t="array" aca="1" ref="EM101" ca="1">(1-$B$18)*SUMPRODUCT(OFFSET($BO$15,0,0,$B$14,1), 1*(_xlfn._xlws.FILTER(OFFSET($O$15,0,$DN101,$B$8,1),OFFSET($M$15,0,0,$B$8,1))=EM$13), 1*(_xlfn._xlws.FILTER(OFFSET($O$15,0,$DO101,$B$8,1),OFFSET($M$15,0,0,$B$8,1))=EM$14))   /   SUM(OFFSET($BO$15,0,0,$B$14,1)) + $B$18/($B$19*$B$19*($DN101&lt;&gt;$DO101) + $B$19*($DN101=$DO101))</f>
        <v>3.7037037037037035E-4</v>
      </c>
      <c r="EN101" s="10" cm="1">
        <f t="array" aca="1" ref="EN101" ca="1">(1-$B$18)*SUMPRODUCT(OFFSET($BO$15,0,0,$B$14,1), 1*(_xlfn._xlws.FILTER(OFFSET($O$15,0,$DN101,$B$8,1),OFFSET($M$15,0,0,$B$8,1))=EN$13), 1*(_xlfn._xlws.FILTER(OFFSET($O$15,0,$DO101,$B$8,1),OFFSET($M$15,0,0,$B$8,1))=EN$14))   /   SUM(OFFSET($BO$15,0,0,$B$14,1)) + $B$18/($B$19*$B$19*($DN101&lt;&gt;$DO101) + $B$19*($DN101=$DO101))</f>
        <v>3.7037037037037035E-4</v>
      </c>
      <c r="EO101" s="10" cm="1">
        <f t="array" aca="1" ref="EO101" ca="1">(1-$B$18)*SUMPRODUCT(OFFSET($BO$15,0,0,$B$14,1), 1*(_xlfn._xlws.FILTER(OFFSET($O$15,0,$DN101,$B$8,1),OFFSET($M$15,0,0,$B$8,1))=EO$13), 1*(_xlfn._xlws.FILTER(OFFSET($O$15,0,$DO101,$B$8,1),OFFSET($M$15,0,0,$B$8,1))=EO$14))   /   SUM(OFFSET($BO$15,0,0,$B$14,1)) + $B$18/($B$19*$B$19*($DN101&lt;&gt;$DO101) + $B$19*($DN101=$DO101))</f>
        <v>3.7037037037037035E-4</v>
      </c>
      <c r="EP101" s="10" cm="1">
        <f t="array" aca="1" ref="EP101" ca="1">(1-$B$18)*SUMPRODUCT(OFFSET($BO$15,0,0,$B$14,1), 1*(_xlfn._xlws.FILTER(OFFSET($O$15,0,$DN101,$B$8,1),OFFSET($M$15,0,0,$B$8,1))=EP$13), 1*(_xlfn._xlws.FILTER(OFFSET($O$15,0,$DO101,$B$8,1),OFFSET($M$15,0,0,$B$8,1))=EP$14))   /   SUM(OFFSET($BO$15,0,0,$B$14,1)) + $B$18/($B$19*$B$19*($DN101&lt;&gt;$DO101) + $B$19*($DN101=$DO101))</f>
        <v>3.7037037037037035E-4</v>
      </c>
      <c r="EQ101" s="10" cm="1">
        <f t="array" aca="1" ref="EQ101" ca="1">(1-$B$18)*SUMPRODUCT(OFFSET($BO$15,0,0,$B$14,1), 1*(_xlfn._xlws.FILTER(OFFSET($O$15,0,$DN101,$B$8,1),OFFSET($M$15,0,0,$B$8,1))=EQ$13), 1*(_xlfn._xlws.FILTER(OFFSET($O$15,0,$DO101,$B$8,1),OFFSET($M$15,0,0,$B$8,1))=EQ$14))   /   SUM(OFFSET($BO$15,0,0,$B$14,1)) + $B$18/($B$19*$B$19*($DN101&lt;&gt;$DO101) + $B$19*($DN101=$DO101))</f>
        <v>3.7037037037037035E-4</v>
      </c>
      <c r="ER101" s="10" cm="1">
        <f t="array" aca="1" ref="ER101" ca="1">(1-$B$18)*SUMPRODUCT(OFFSET($BO$15,0,0,$B$14,1), 1*(_xlfn._xlws.FILTER(OFFSET($O$15,0,$DN101,$B$8,1),OFFSET($M$15,0,0,$B$8,1))=ER$13), 1*(_xlfn._xlws.FILTER(OFFSET($O$15,0,$DO101,$B$8,1),OFFSET($M$15,0,0,$B$8,1))=ER$14))   /   SUM(OFFSET($BO$15,0,0,$B$14,1)) + $B$18/($B$19*$B$19*($DN101&lt;&gt;$DO101) + $B$19*($DN101=$DO101))</f>
        <v>3.7037037037037035E-4</v>
      </c>
      <c r="ES101" s="10" cm="1">
        <f t="array" aca="1" ref="ES101" ca="1">(1-$B$18)*SUMPRODUCT(OFFSET($BO$15,0,0,$B$14,1), 1*(_xlfn._xlws.FILTER(OFFSET($O$15,0,$DN101,$B$8,1),OFFSET($M$15,0,0,$B$8,1))=ES$13), 1*(_xlfn._xlws.FILTER(OFFSET($O$15,0,$DO101,$B$8,1),OFFSET($M$15,0,0,$B$8,1))=ES$14))   /   SUM(OFFSET($BO$15,0,0,$B$14,1)) + $B$18/($B$19*$B$19*($DN101&lt;&gt;$DO101) + $B$19*($DN101=$DO101))</f>
        <v>3.7037037037037035E-4</v>
      </c>
      <c r="ET101" s="10" cm="1">
        <f t="array" aca="1" ref="ET101" ca="1">(1-$B$18)*SUMPRODUCT(OFFSET($BO$15,0,0,$B$14,1), 1*(_xlfn._xlws.FILTER(OFFSET($O$15,0,$DN101,$B$8,1),OFFSET($M$15,0,0,$B$8,1))=ET$13), 1*(_xlfn._xlws.FILTER(OFFSET($O$15,0,$DO101,$B$8,1),OFFSET($M$15,0,0,$B$8,1))=ET$14))   /   SUM(OFFSET($BO$15,0,0,$B$14,1)) + $B$18/($B$19*$B$19*($DN101&lt;&gt;$DO101) + $B$19*($DN101=$DO101))</f>
        <v>3.7037037037037035E-4</v>
      </c>
      <c r="EU101" s="10" cm="1">
        <f t="array" aca="1" ref="EU101" ca="1">(1-$B$18)*SUMPRODUCT(OFFSET($BO$15,0,0,$B$14,1), 1*(_xlfn._xlws.FILTER(OFFSET($O$15,0,$DN101,$B$8,1),OFFSET($M$15,0,0,$B$8,1))=EU$13), 1*(_xlfn._xlws.FILTER(OFFSET($O$15,0,$DO101,$B$8,1),OFFSET($M$15,0,0,$B$8,1))=EU$14))   /   SUM(OFFSET($BO$15,0,0,$B$14,1)) + $B$18/($B$19*$B$19*($DN101&lt;&gt;$DO101) + $B$19*($DN101=$DO101))</f>
        <v>3.7037037037037035E-4</v>
      </c>
      <c r="EV101" s="10" cm="1">
        <f t="array" aca="1" ref="EV101" ca="1">(1-$B$18)*SUMPRODUCT(OFFSET($BO$15,0,0,$B$14,1), 1*(_xlfn._xlws.FILTER(OFFSET($O$15,0,$DN101,$B$8,1),OFFSET($M$15,0,0,$B$8,1))=EV$13), 1*(_xlfn._xlws.FILTER(OFFSET($O$15,0,$DO101,$B$8,1),OFFSET($M$15,0,0,$B$8,1))=EV$14))   /   SUM(OFFSET($BO$15,0,0,$B$14,1)) + $B$18/($B$19*$B$19*($DN101&lt;&gt;$DO101) + $B$19*($DN101=$DO101))</f>
        <v>3.7037037037037035E-4</v>
      </c>
      <c r="EW101" s="10" cm="1">
        <f t="array" aca="1" ref="EW101" ca="1">(1-$B$18)*SUMPRODUCT(OFFSET($BO$15,0,0,$B$14,1), 1*(_xlfn._xlws.FILTER(OFFSET($O$15,0,$DN101,$B$8,1),OFFSET($M$15,0,0,$B$8,1))=EW$13), 1*(_xlfn._xlws.FILTER(OFFSET($O$15,0,$DO101,$B$8,1),OFFSET($M$15,0,0,$B$8,1))=EW$14))   /   SUM(OFFSET($BO$15,0,0,$B$14,1)) + $B$18/($B$19*$B$19*($DN101&lt;&gt;$DO101) + $B$19*($DN101=$DO101))</f>
        <v>3.7037037037037035E-4</v>
      </c>
      <c r="EX101" s="10" cm="1">
        <f t="array" aca="1" ref="EX101" ca="1">(1-$B$18)*SUMPRODUCT(OFFSET($BO$15,0,0,$B$14,1), 1*(_xlfn._xlws.FILTER(OFFSET($O$15,0,$DN101,$B$8,1),OFFSET($M$15,0,0,$B$8,1))=EX$13), 1*(_xlfn._xlws.FILTER(OFFSET($O$15,0,$DO101,$B$8,1),OFFSET($M$15,0,0,$B$8,1))=EX$14))   /   SUM(OFFSET($BO$15,0,0,$B$14,1)) + $B$18/($B$19*$B$19*($DN101&lt;&gt;$DO101) + $B$19*($DN101=$DO101))</f>
        <v>3.7037037037037035E-4</v>
      </c>
      <c r="EY101" s="10" cm="1">
        <f t="array" aca="1" ref="EY101" ca="1">(1-$B$18)*SUMPRODUCT(OFFSET($BO$15,0,0,$B$14,1), 1*(_xlfn._xlws.FILTER(OFFSET($O$15,0,$DN101,$B$8,1),OFFSET($M$15,0,0,$B$8,1))=EY$13), 1*(_xlfn._xlws.FILTER(OFFSET($O$15,0,$DO101,$B$8,1),OFFSET($M$15,0,0,$B$8,1))=EY$14))   /   SUM(OFFSET($BO$15,0,0,$B$14,1)) + $B$18/($B$19*$B$19*($DN101&lt;&gt;$DO101) + $B$19*($DN101=$DO101))</f>
        <v>3.7037037037037035E-4</v>
      </c>
      <c r="EZ101" s="10" cm="1">
        <f t="array" aca="1" ref="EZ101" ca="1">(1-$B$18)*SUMPRODUCT(OFFSET($BO$15,0,0,$B$14,1), 1*(_xlfn._xlws.FILTER(OFFSET($O$15,0,$DN101,$B$8,1),OFFSET($M$15,0,0,$B$8,1))=EZ$13), 1*(_xlfn._xlws.FILTER(OFFSET($O$15,0,$DO101,$B$8,1),OFFSET($M$15,0,0,$B$8,1))=EZ$14))   /   SUM(OFFSET($BO$15,0,0,$B$14,1)) + $B$18/($B$19*$B$19*($DN101&lt;&gt;$DO101) + $B$19*($DN101=$DO101))</f>
        <v>3.7037037037037035E-4</v>
      </c>
      <c r="FA101" s="10" cm="1">
        <f t="array" aca="1" ref="FA101" ca="1">(1-$B$18)*SUMPRODUCT(OFFSET($BO$15,0,0,$B$14,1), 1*(_xlfn._xlws.FILTER(OFFSET($O$15,0,$DN101,$B$8,1),OFFSET($M$15,0,0,$B$8,1))=FA$13), 1*(_xlfn._xlws.FILTER(OFFSET($O$15,0,$DO101,$B$8,1),OFFSET($M$15,0,0,$B$8,1))=FA$14))   /   SUM(OFFSET($BO$15,0,0,$B$14,1)) + $B$18/($B$19*$B$19*($DN101&lt;&gt;$DO101) + $B$19*($DN101=$DO101))</f>
        <v>3.7037037037037035E-4</v>
      </c>
      <c r="FB101" s="10" cm="1">
        <f t="array" aca="1" ref="FB101" ca="1">(1-$B$18)*SUMPRODUCT(OFFSET($BO$15,0,0,$B$14,1), 1*(_xlfn._xlws.FILTER(OFFSET($O$15,0,$DN101,$B$8,1),OFFSET($M$15,0,0,$B$8,1))=FB$13), 1*(_xlfn._xlws.FILTER(OFFSET($O$15,0,$DO101,$B$8,1),OFFSET($M$15,0,0,$B$8,1))=FB$14))   /   SUM(OFFSET($BO$15,0,0,$B$14,1)) + $B$18/($B$19*$B$19*($DN101&lt;&gt;$DO101) + $B$19*($DN101=$DO101))</f>
        <v>3.7037037037037035E-4</v>
      </c>
      <c r="FC101" s="10" cm="1">
        <f t="array" aca="1" ref="FC101" ca="1">(1-$B$18)*SUMPRODUCT(OFFSET($BO$15,0,0,$B$14,1), 1*(_xlfn._xlws.FILTER(OFFSET($O$15,0,$DN101,$B$8,1),OFFSET($M$15,0,0,$B$8,1))=FC$13), 1*(_xlfn._xlws.FILTER(OFFSET($O$15,0,$DO101,$B$8,1),OFFSET($M$15,0,0,$B$8,1))=FC$14))   /   SUM(OFFSET($BO$15,0,0,$B$14,1)) + $B$18/($B$19*$B$19*($DN101&lt;&gt;$DO101) + $B$19*($DN101=$DO101))</f>
        <v>3.7037037037037035E-4</v>
      </c>
      <c r="FD101" s="10" cm="1">
        <f t="array" aca="1" ref="FD101" ca="1">(1-$B$18)*SUMPRODUCT(OFFSET($BO$15,0,0,$B$14,1), 1*(_xlfn._xlws.FILTER(OFFSET($O$15,0,$DN101,$B$8,1),OFFSET($M$15,0,0,$B$8,1))=FD$13), 1*(_xlfn._xlws.FILTER(OFFSET($O$15,0,$DO101,$B$8,1),OFFSET($M$15,0,0,$B$8,1))=FD$14))   /   SUM(OFFSET($BO$15,0,0,$B$14,1)) + $B$18/($B$19*$B$19*($DN101&lt;&gt;$DO101) + $B$19*($DN101=$DO101))</f>
        <v>3.7037037037037035E-4</v>
      </c>
      <c r="FE101" s="10" cm="1">
        <f t="array" aca="1" ref="FE101" ca="1">(1-$B$18)*SUMPRODUCT(OFFSET($BO$15,0,0,$B$14,1), 1*(_xlfn._xlws.FILTER(OFFSET($O$15,0,$DN101,$B$8,1),OFFSET($M$15,0,0,$B$8,1))=FE$13), 1*(_xlfn._xlws.FILTER(OFFSET($O$15,0,$DO101,$B$8,1),OFFSET($M$15,0,0,$B$8,1))=FE$14))   /   SUM(OFFSET($BO$15,0,0,$B$14,1)) + $B$18/($B$19*$B$19*($DN101&lt;&gt;$DO101) + $B$19*($DN101=$DO101))</f>
        <v>3.7037037037037035E-4</v>
      </c>
      <c r="FF101" s="10" cm="1">
        <f t="array" aca="1" ref="FF101" ca="1">(1-$B$18)*SUMPRODUCT(OFFSET($BO$15,0,0,$B$14,1), 1*(_xlfn._xlws.FILTER(OFFSET($O$15,0,$DN101,$B$8,1),OFFSET($M$15,0,0,$B$8,1))=FF$13), 1*(_xlfn._xlws.FILTER(OFFSET($O$15,0,$DO101,$B$8,1),OFFSET($M$15,0,0,$B$8,1))=FF$14))   /   SUM(OFFSET($BO$15,0,0,$B$14,1)) + $B$18/($B$19*$B$19*($DN101&lt;&gt;$DO101) + $B$19*($DN101=$DO101))</f>
        <v>3.7037037037037035E-4</v>
      </c>
      <c r="FG101" s="10" cm="1">
        <f t="array" aca="1" ref="FG101" ca="1">(1-$B$18)*SUMPRODUCT(OFFSET($BO$15,0,0,$B$14,1), 1*(_xlfn._xlws.FILTER(OFFSET($O$15,0,$DN101,$B$8,1),OFFSET($M$15,0,0,$B$8,1))=FG$13), 1*(_xlfn._xlws.FILTER(OFFSET($O$15,0,$DO101,$B$8,1),OFFSET($M$15,0,0,$B$8,1))=FG$14))   /   SUM(OFFSET($BO$15,0,0,$B$14,1)) + $B$18/($B$19*$B$19*($DN101&lt;&gt;$DO101) + $B$19*($DN101=$DO101))</f>
        <v>3.7037037037037035E-4</v>
      </c>
      <c r="FH101" s="10" cm="1">
        <f t="array" aca="1" ref="FH101" ca="1">(1-$B$18)*SUMPRODUCT(OFFSET($BO$15,0,0,$B$14,1), 1*(_xlfn._xlws.FILTER(OFFSET($O$15,0,$DN101,$B$8,1),OFFSET($M$15,0,0,$B$8,1))=FH$13), 1*(_xlfn._xlws.FILTER(OFFSET($O$15,0,$DO101,$B$8,1),OFFSET($M$15,0,0,$B$8,1))=FH$14))   /   SUM(OFFSET($BO$15,0,0,$B$14,1)) + $B$18/($B$19*$B$19*($DN101&lt;&gt;$DO101) + $B$19*($DN101=$DO101))</f>
        <v>3.7037037037037035E-4</v>
      </c>
      <c r="FI101" s="10" cm="1">
        <f t="array" aca="1" ref="FI101" ca="1">(1-$B$18)*SUMPRODUCT(OFFSET($BO$15,0,0,$B$14,1), 1*(_xlfn._xlws.FILTER(OFFSET($O$15,0,$DN101,$B$8,1),OFFSET($M$15,0,0,$B$8,1))=FI$13), 1*(_xlfn._xlws.FILTER(OFFSET($O$15,0,$DO101,$B$8,1),OFFSET($M$15,0,0,$B$8,1))=FI$14))   /   SUM(OFFSET($BO$15,0,0,$B$14,1)) + $B$18/($B$19*$B$19*($DN101&lt;&gt;$DO101) + $B$19*($DN101=$DO101))</f>
        <v>3.7037037037037035E-4</v>
      </c>
      <c r="FJ101" s="10" cm="1">
        <f t="array" aca="1" ref="FJ101" ca="1">(1-$B$18)*SUMPRODUCT(OFFSET($BO$15,0,0,$B$14,1), 1*(_xlfn._xlws.FILTER(OFFSET($O$15,0,$DN101,$B$8,1),OFFSET($M$15,0,0,$B$8,1))=FJ$13), 1*(_xlfn._xlws.FILTER(OFFSET($O$15,0,$DO101,$B$8,1),OFFSET($M$15,0,0,$B$8,1))=FJ$14))   /   SUM(OFFSET($BO$15,0,0,$B$14,1)) + $B$18/($B$19*$B$19*($DN101&lt;&gt;$DO101) + $B$19*($DN101=$DO101))</f>
        <v>3.7037037037037035E-4</v>
      </c>
      <c r="FK101" s="10" cm="1">
        <f t="array" aca="1" ref="FK101" ca="1">(1-$B$18)*SUMPRODUCT(OFFSET($BO$15,0,0,$B$14,1), 1*(_xlfn._xlws.FILTER(OFFSET($O$15,0,$DN101,$B$8,1),OFFSET($M$15,0,0,$B$8,1))=FK$13), 1*(_xlfn._xlws.FILTER(OFFSET($O$15,0,$DO101,$B$8,1),OFFSET($M$15,0,0,$B$8,1))=FK$14))   /   SUM(OFFSET($BO$15,0,0,$B$14,1)) + $B$18/($B$19*$B$19*($DN101&lt;&gt;$DO101) + $B$19*($DN101=$DO101))</f>
        <v>3.7037037037037035E-4</v>
      </c>
      <c r="FL101" s="10" cm="1">
        <f t="array" aca="1" ref="FL101" ca="1">(1-$B$18)*SUMPRODUCT(OFFSET($BO$15,0,0,$B$14,1), 1*(_xlfn._xlws.FILTER(OFFSET($O$15,0,$DN101,$B$8,1),OFFSET($M$15,0,0,$B$8,1))=FL$13), 1*(_xlfn._xlws.FILTER(OFFSET($O$15,0,$DO101,$B$8,1),OFFSET($M$15,0,0,$B$8,1))=FL$14))   /   SUM(OFFSET($BO$15,0,0,$B$14,1)) + $B$18/($B$19*$B$19*($DN101&lt;&gt;$DO101) + $B$19*($DN101=$DO101))</f>
        <v>0.48537037037037034</v>
      </c>
      <c r="FM101" s="10" cm="1">
        <f t="array" aca="1" ref="FM101" ca="1">(1-$B$18)*SUMPRODUCT(OFFSET($BO$15,0,0,$B$14,1), 1*(_xlfn._xlws.FILTER(OFFSET($O$15,0,$DN101,$B$8,1),OFFSET($M$15,0,0,$B$8,1))=FM$13), 1*(_xlfn._xlws.FILTER(OFFSET($O$15,0,$DO101,$B$8,1),OFFSET($M$15,0,0,$B$8,1))=FM$14))   /   SUM(OFFSET($BO$15,0,0,$B$14,1)) + $B$18/($B$19*$B$19*($DN101&lt;&gt;$DO101) + $B$19*($DN101=$DO101))</f>
        <v>3.7037037037037035E-4</v>
      </c>
      <c r="FN101" s="10" cm="1">
        <f t="array" aca="1" ref="FN101" ca="1">(1-$B$18)*SUMPRODUCT(OFFSET($BO$15,0,0,$B$14,1), 1*(_xlfn._xlws.FILTER(OFFSET($O$15,0,$DN101,$B$8,1),OFFSET($M$15,0,0,$B$8,1))=FN$13), 1*(_xlfn._xlws.FILTER(OFFSET($O$15,0,$DO101,$B$8,1),OFFSET($M$15,0,0,$B$8,1))=FN$14))   /   SUM(OFFSET($BO$15,0,0,$B$14,1)) + $B$18/($B$19*$B$19*($DN101&lt;&gt;$DO101) + $B$19*($DN101=$DO101))</f>
        <v>0.24287037037037026</v>
      </c>
      <c r="FO101" s="10" cm="1">
        <f t="array" aca="1" ref="FO101" ca="1">(1-$B$18)*SUMPRODUCT(OFFSET($BO$15,0,0,$B$14,1), 1*(_xlfn._xlws.FILTER(OFFSET($O$15,0,$DN101,$B$8,1),OFFSET($M$15,0,0,$B$8,1))=FO$13), 1*(_xlfn._xlws.FILTER(OFFSET($O$15,0,$DO101,$B$8,1),OFFSET($M$15,0,0,$B$8,1))=FO$14))   /   SUM(OFFSET($BO$15,0,0,$B$14,1)) + $B$18/($B$19*$B$19*($DN101&lt;&gt;$DO101) + $B$19*($DN101=$DO101))</f>
        <v>0.24287037037037026</v>
      </c>
      <c r="FP101" s="10" cm="1">
        <f t="array" aca="1" ref="FP101" ca="1">(1-$B$18)*SUMPRODUCT(OFFSET($BO$15,0,0,$B$14,1), 1*(_xlfn._xlws.FILTER(OFFSET($O$15,0,$DN101,$B$8,1),OFFSET($M$15,0,0,$B$8,1))=FP$13), 1*(_xlfn._xlws.FILTER(OFFSET($O$15,0,$DO101,$B$8,1),OFFSET($M$15,0,0,$B$8,1))=FP$14))   /   SUM(OFFSET($BO$15,0,0,$B$14,1)) + $B$18/($B$19*$B$19*($DN101&lt;&gt;$DO101) + $B$19*($DN101=$DO101))</f>
        <v>3.7037037037037035E-4</v>
      </c>
      <c r="FQ101" s="10" cm="1">
        <f t="array" aca="1" ref="FQ101" ca="1">(1-$B$18)*SUMPRODUCT(OFFSET($BO$15,0,0,$B$14,1), 1*(_xlfn._xlws.FILTER(OFFSET($O$15,0,$DN101,$B$8,1),OFFSET($M$15,0,0,$B$8,1))=FQ$13), 1*(_xlfn._xlws.FILTER(OFFSET($O$15,0,$DO101,$B$8,1),OFFSET($M$15,0,0,$B$8,1))=FQ$14))   /   SUM(OFFSET($BO$15,0,0,$B$14,1)) + $B$18/($B$19*$B$19*($DN101&lt;&gt;$DO101) + $B$19*($DN101=$DO101))</f>
        <v>3.7037037037037035E-4</v>
      </c>
      <c r="FR101" s="10" cm="1">
        <f t="array" aca="1" ref="FR101" ca="1">(1-$B$18)*SUMPRODUCT(OFFSET($BO$15,0,0,$B$14,1), 1*(_xlfn._xlws.FILTER(OFFSET($O$15,0,$DN101,$B$8,1),OFFSET($M$15,0,0,$B$8,1))=FR$13), 1*(_xlfn._xlws.FILTER(OFFSET($O$15,0,$DO101,$B$8,1),OFFSET($M$15,0,0,$B$8,1))=FR$14))   /   SUM(OFFSET($BO$15,0,0,$B$14,1)) + $B$18/($B$19*$B$19*($DN101&lt;&gt;$DO101) + $B$19*($DN101=$DO101))</f>
        <v>3.7037037037037035E-4</v>
      </c>
      <c r="FS101" s="10" cm="1">
        <f t="array" aca="1" ref="FS101" ca="1">(1-$B$18)*SUMPRODUCT(OFFSET($BO$15,0,0,$B$14,1), 1*(_xlfn._xlws.FILTER(OFFSET($O$15,0,$DN101,$B$8,1),OFFSET($M$15,0,0,$B$8,1))=FS$13), 1*(_xlfn._xlws.FILTER(OFFSET($O$15,0,$DO101,$B$8,1),OFFSET($M$15,0,0,$B$8,1))=FS$14))   /   SUM(OFFSET($BO$15,0,0,$B$14,1)) + $B$18/($B$19*$B$19*($DN101&lt;&gt;$DO101) + $B$19*($DN101=$DO101))</f>
        <v>3.7037037037037035E-4</v>
      </c>
      <c r="FT101" s="10" cm="1">
        <f t="array" aca="1" ref="FT101" ca="1">(1-$B$18)*SUMPRODUCT(OFFSET($BO$15,0,0,$B$14,1), 1*(_xlfn._xlws.FILTER(OFFSET($O$15,0,$DN101,$B$8,1),OFFSET($M$15,0,0,$B$8,1))=FT$13), 1*(_xlfn._xlws.FILTER(OFFSET($O$15,0,$DO101,$B$8,1),OFFSET($M$15,0,0,$B$8,1))=FT$14))   /   SUM(OFFSET($BO$15,0,0,$B$14,1)) + $B$18/($B$19*$B$19*($DN101&lt;&gt;$DO101) + $B$19*($DN101=$DO101))</f>
        <v>3.7037037037037035E-4</v>
      </c>
      <c r="FU101" s="10" cm="1">
        <f t="array" aca="1" ref="FU101" ca="1">(1-$B$18)*SUMPRODUCT(OFFSET($BO$15,0,0,$B$14,1), 1*(_xlfn._xlws.FILTER(OFFSET($O$15,0,$DN101,$B$8,1),OFFSET($M$15,0,0,$B$8,1))=FU$13), 1*(_xlfn._xlws.FILTER(OFFSET($O$15,0,$DO101,$B$8,1),OFFSET($M$15,0,0,$B$8,1))=FU$14))   /   SUM(OFFSET($BO$15,0,0,$B$14,1)) + $B$18/($B$19*$B$19*($DN101&lt;&gt;$DO101) + $B$19*($DN101=$DO101))</f>
        <v>3.7037037037037035E-4</v>
      </c>
      <c r="FV101" s="10" cm="1">
        <f t="array" aca="1" ref="FV101" ca="1">(1-$B$18)*SUMPRODUCT(OFFSET($BO$15,0,0,$B$14,1), 1*(_xlfn._xlws.FILTER(OFFSET($O$15,0,$DN101,$B$8,1),OFFSET($M$15,0,0,$B$8,1))=FV$13), 1*(_xlfn._xlws.FILTER(OFFSET($O$15,0,$DO101,$B$8,1),OFFSET($M$15,0,0,$B$8,1))=FV$14))   /   SUM(OFFSET($BO$15,0,0,$B$14,1)) + $B$18/($B$19*$B$19*($DN101&lt;&gt;$DO101) + $B$19*($DN101=$DO101))</f>
        <v>3.7037037037037035E-4</v>
      </c>
      <c r="FW101" s="10" cm="1">
        <f t="array" aca="1" ref="FW101" ca="1">(1-$B$18)*SUMPRODUCT(OFFSET($BO$15,0,0,$B$14,1), 1*(_xlfn._xlws.FILTER(OFFSET($O$15,0,$DN101,$B$8,1),OFFSET($M$15,0,0,$B$8,1))=FW$13), 1*(_xlfn._xlws.FILTER(OFFSET($O$15,0,$DO101,$B$8,1),OFFSET($M$15,0,0,$B$8,1))=FW$14))   /   SUM(OFFSET($BO$15,0,0,$B$14,1)) + $B$18/($B$19*$B$19*($DN101&lt;&gt;$DO101) + $B$19*($DN101=$DO101))</f>
        <v>3.7037037037037035E-4</v>
      </c>
      <c r="FX101" s="10" cm="1">
        <f t="array" aca="1" ref="FX101" ca="1">(1-$B$18)*SUMPRODUCT(OFFSET($BO$15,0,0,$B$14,1), 1*(_xlfn._xlws.FILTER(OFFSET($O$15,0,$DN101,$B$8,1),OFFSET($M$15,0,0,$B$8,1))=FX$13), 1*(_xlfn._xlws.FILTER(OFFSET($O$15,0,$DO101,$B$8,1),OFFSET($M$15,0,0,$B$8,1))=FX$14))   /   SUM(OFFSET($BO$15,0,0,$B$14,1)) + $B$18/($B$19*$B$19*($DN101&lt;&gt;$DO101) + $B$19*($DN101=$DO101))</f>
        <v>3.7037037037037035E-4</v>
      </c>
      <c r="FY101" s="10" cm="1">
        <f t="array" aca="1" ref="FY101" ca="1">(1-$B$18)*SUMPRODUCT(OFFSET($BO$15,0,0,$B$14,1), 1*(_xlfn._xlws.FILTER(OFFSET($O$15,0,$DN101,$B$8,1),OFFSET($M$15,0,0,$B$8,1))=FY$13), 1*(_xlfn._xlws.FILTER(OFFSET($O$15,0,$DO101,$B$8,1),OFFSET($M$15,0,0,$B$8,1))=FY$14))   /   SUM(OFFSET($BO$15,0,0,$B$14,1)) + $B$18/($B$19*$B$19*($DN101&lt;&gt;$DO101) + $B$19*($DN101=$DO101))</f>
        <v>3.7037037037037035E-4</v>
      </c>
      <c r="FZ101" s="10" cm="1">
        <f t="array" aca="1" ref="FZ101" ca="1">(1-$B$18)*SUMPRODUCT(OFFSET($BO$15,0,0,$B$14,1), 1*(_xlfn._xlws.FILTER(OFFSET($O$15,0,$DN101,$B$8,1),OFFSET($M$15,0,0,$B$8,1))=FZ$13), 1*(_xlfn._xlws.FILTER(OFFSET($O$15,0,$DO101,$B$8,1),OFFSET($M$15,0,0,$B$8,1))=FZ$14))   /   SUM(OFFSET($BO$15,0,0,$B$14,1)) + $B$18/($B$19*$B$19*($DN101&lt;&gt;$DO101) + $B$19*($DN101=$DO101))</f>
        <v>3.7037037037037035E-4</v>
      </c>
      <c r="GA101" s="10" cm="1">
        <f t="array" aca="1" ref="GA101" ca="1">(1-$B$18)*SUMPRODUCT(OFFSET($BO$15,0,0,$B$14,1), 1*(_xlfn._xlws.FILTER(OFFSET($O$15,0,$DN101,$B$8,1),OFFSET($M$15,0,0,$B$8,1))=GA$13), 1*(_xlfn._xlws.FILTER(OFFSET($O$15,0,$DO101,$B$8,1),OFFSET($M$15,0,0,$B$8,1))=GA$14))   /   SUM(OFFSET($BO$15,0,0,$B$14,1)) + $B$18/($B$19*$B$19*($DN101&lt;&gt;$DO101) + $B$19*($DN101=$DO101))</f>
        <v>3.7037037037037035E-4</v>
      </c>
    </row>
    <row r="102" spans="8:183" x14ac:dyDescent="0.2">
      <c r="H102" s="2"/>
      <c r="DN102" cm="1">
        <f t="array" aca="1" ref="DN102" ca="1">INDEX(_xlfn.ANCHORARRAY($CP$15), 1 + INT((ROWS($DO$15:$DO102) - 1) / ROWS(_xlfn.ANCHORARRAY($CP$15))))</f>
        <v>4</v>
      </c>
      <c r="DO102" cm="1">
        <f t="array" aca="1" ref="DO102" ca="1">INDEX(_xlfn.ANCHORARRAY($CP$15),1+MOD(ROWS($DO$15:$DO102)-1,ROWS(_xlfn.ANCHORARRAY($CP$15))))</f>
        <v>12</v>
      </c>
      <c r="DP102" s="10" cm="1">
        <f t="array" aca="1" ref="DP102" ca="1">(1-$B$18)*SUMPRODUCT(OFFSET($BO$15,0,0,$B$14,1), 1*(_xlfn._xlws.FILTER(OFFSET($O$15,0,$DN102,$B$8,1),OFFSET($M$15,0,0,$B$8,1))=DP$13), 1*(_xlfn._xlws.FILTER(OFFSET($O$15,0,$DO102,$B$8,1),OFFSET($M$15,0,0,$B$8,1))=DP$14))   /   SUM(OFFSET($BO$15,0,0,$B$14,1)) + $B$18/($B$19*$B$19*($DN102&lt;&gt;$DO102) + $B$19*($DN102=$DO102))</f>
        <v>3.7037037037037035E-4</v>
      </c>
      <c r="DQ102" s="10" cm="1">
        <f t="array" aca="1" ref="DQ102" ca="1">(1-$B$18)*SUMPRODUCT(OFFSET($BO$15,0,0,$B$14,1), 1*(_xlfn._xlws.FILTER(OFFSET($O$15,0,$DN102,$B$8,1),OFFSET($M$15,0,0,$B$8,1))=DQ$13), 1*(_xlfn._xlws.FILTER(OFFSET($O$15,0,$DO102,$B$8,1),OFFSET($M$15,0,0,$B$8,1))=DQ$14))   /   SUM(OFFSET($BO$15,0,0,$B$14,1)) + $B$18/($B$19*$B$19*($DN102&lt;&gt;$DO102) + $B$19*($DN102=$DO102))</f>
        <v>3.7037037037037035E-4</v>
      </c>
      <c r="DR102" s="10" cm="1">
        <f t="array" aca="1" ref="DR102" ca="1">(1-$B$18)*SUMPRODUCT(OFFSET($BO$15,0,0,$B$14,1), 1*(_xlfn._xlws.FILTER(OFFSET($O$15,0,$DN102,$B$8,1),OFFSET($M$15,0,0,$B$8,1))=DR$13), 1*(_xlfn._xlws.FILTER(OFFSET($O$15,0,$DO102,$B$8,1),OFFSET($M$15,0,0,$B$8,1))=DR$14))   /   SUM(OFFSET($BO$15,0,0,$B$14,1)) + $B$18/($B$19*$B$19*($DN102&lt;&gt;$DO102) + $B$19*($DN102=$DO102))</f>
        <v>3.7037037037037035E-4</v>
      </c>
      <c r="DS102" s="10" cm="1">
        <f t="array" aca="1" ref="DS102" ca="1">(1-$B$18)*SUMPRODUCT(OFFSET($BO$15,0,0,$B$14,1), 1*(_xlfn._xlws.FILTER(OFFSET($O$15,0,$DN102,$B$8,1),OFFSET($M$15,0,0,$B$8,1))=DS$13), 1*(_xlfn._xlws.FILTER(OFFSET($O$15,0,$DO102,$B$8,1),OFFSET($M$15,0,0,$B$8,1))=DS$14))   /   SUM(OFFSET($BO$15,0,0,$B$14,1)) + $B$18/($B$19*$B$19*($DN102&lt;&gt;$DO102) + $B$19*($DN102=$DO102))</f>
        <v>3.7037037037037035E-4</v>
      </c>
      <c r="DT102" s="10" cm="1">
        <f t="array" aca="1" ref="DT102" ca="1">(1-$B$18)*SUMPRODUCT(OFFSET($BO$15,0,0,$B$14,1), 1*(_xlfn._xlws.FILTER(OFFSET($O$15,0,$DN102,$B$8,1),OFFSET($M$15,0,0,$B$8,1))=DT$13), 1*(_xlfn._xlws.FILTER(OFFSET($O$15,0,$DO102,$B$8,1),OFFSET($M$15,0,0,$B$8,1))=DT$14))   /   SUM(OFFSET($BO$15,0,0,$B$14,1)) + $B$18/($B$19*$B$19*($DN102&lt;&gt;$DO102) + $B$19*($DN102=$DO102))</f>
        <v>3.7037037037037035E-4</v>
      </c>
      <c r="DU102" s="10" cm="1">
        <f t="array" aca="1" ref="DU102" ca="1">(1-$B$18)*SUMPRODUCT(OFFSET($BO$15,0,0,$B$14,1), 1*(_xlfn._xlws.FILTER(OFFSET($O$15,0,$DN102,$B$8,1),OFFSET($M$15,0,0,$B$8,1))=DU$13), 1*(_xlfn._xlws.FILTER(OFFSET($O$15,0,$DO102,$B$8,1),OFFSET($M$15,0,0,$B$8,1))=DU$14))   /   SUM(OFFSET($BO$15,0,0,$B$14,1)) + $B$18/($B$19*$B$19*($DN102&lt;&gt;$DO102) + $B$19*($DN102=$DO102))</f>
        <v>3.7037037037037035E-4</v>
      </c>
      <c r="DV102" s="10" cm="1">
        <f t="array" aca="1" ref="DV102" ca="1">(1-$B$18)*SUMPRODUCT(OFFSET($BO$15,0,0,$B$14,1), 1*(_xlfn._xlws.FILTER(OFFSET($O$15,0,$DN102,$B$8,1),OFFSET($M$15,0,0,$B$8,1))=DV$13), 1*(_xlfn._xlws.FILTER(OFFSET($O$15,0,$DO102,$B$8,1),OFFSET($M$15,0,0,$B$8,1))=DV$14))   /   SUM(OFFSET($BO$15,0,0,$B$14,1)) + $B$18/($B$19*$B$19*($DN102&lt;&gt;$DO102) + $B$19*($DN102=$DO102))</f>
        <v>3.7037037037037035E-4</v>
      </c>
      <c r="DW102" s="10" cm="1">
        <f t="array" aca="1" ref="DW102" ca="1">(1-$B$18)*SUMPRODUCT(OFFSET($BO$15,0,0,$B$14,1), 1*(_xlfn._xlws.FILTER(OFFSET($O$15,0,$DN102,$B$8,1),OFFSET($M$15,0,0,$B$8,1))=DW$13), 1*(_xlfn._xlws.FILTER(OFFSET($O$15,0,$DO102,$B$8,1),OFFSET($M$15,0,0,$B$8,1))=DW$14))   /   SUM(OFFSET($BO$15,0,0,$B$14,1)) + $B$18/($B$19*$B$19*($DN102&lt;&gt;$DO102) + $B$19*($DN102=$DO102))</f>
        <v>3.7037037037037035E-4</v>
      </c>
      <c r="DX102" s="10" cm="1">
        <f t="array" aca="1" ref="DX102" ca="1">(1-$B$18)*SUMPRODUCT(OFFSET($BO$15,0,0,$B$14,1), 1*(_xlfn._xlws.FILTER(OFFSET($O$15,0,$DN102,$B$8,1),OFFSET($M$15,0,0,$B$8,1))=DX$13), 1*(_xlfn._xlws.FILTER(OFFSET($O$15,0,$DO102,$B$8,1),OFFSET($M$15,0,0,$B$8,1))=DX$14))   /   SUM(OFFSET($BO$15,0,0,$B$14,1)) + $B$18/($B$19*$B$19*($DN102&lt;&gt;$DO102) + $B$19*($DN102=$DO102))</f>
        <v>3.7037037037037035E-4</v>
      </c>
      <c r="DY102" s="10" cm="1">
        <f t="array" aca="1" ref="DY102" ca="1">(1-$B$18)*SUMPRODUCT(OFFSET($BO$15,0,0,$B$14,1), 1*(_xlfn._xlws.FILTER(OFFSET($O$15,0,$DN102,$B$8,1),OFFSET($M$15,0,0,$B$8,1))=DY$13), 1*(_xlfn._xlws.FILTER(OFFSET($O$15,0,$DO102,$B$8,1),OFFSET($M$15,0,0,$B$8,1))=DY$14))   /   SUM(OFFSET($BO$15,0,0,$B$14,1)) + $B$18/($B$19*$B$19*($DN102&lt;&gt;$DO102) + $B$19*($DN102=$DO102))</f>
        <v>3.7037037037037035E-4</v>
      </c>
      <c r="DZ102" s="10" cm="1">
        <f t="array" aca="1" ref="DZ102" ca="1">(1-$B$18)*SUMPRODUCT(OFFSET($BO$15,0,0,$B$14,1), 1*(_xlfn._xlws.FILTER(OFFSET($O$15,0,$DN102,$B$8,1),OFFSET($M$15,0,0,$B$8,1))=DZ$13), 1*(_xlfn._xlws.FILTER(OFFSET($O$15,0,$DO102,$B$8,1),OFFSET($M$15,0,0,$B$8,1))=DZ$14))   /   SUM(OFFSET($BO$15,0,0,$B$14,1)) + $B$18/($B$19*$B$19*($DN102&lt;&gt;$DO102) + $B$19*($DN102=$DO102))</f>
        <v>3.7037037037037035E-4</v>
      </c>
      <c r="EA102" s="10" cm="1">
        <f t="array" aca="1" ref="EA102" ca="1">(1-$B$18)*SUMPRODUCT(OFFSET($BO$15,0,0,$B$14,1), 1*(_xlfn._xlws.FILTER(OFFSET($O$15,0,$DN102,$B$8,1),OFFSET($M$15,0,0,$B$8,1))=EA$13), 1*(_xlfn._xlws.FILTER(OFFSET($O$15,0,$DO102,$B$8,1),OFFSET($M$15,0,0,$B$8,1))=EA$14))   /   SUM(OFFSET($BO$15,0,0,$B$14,1)) + $B$18/($B$19*$B$19*($DN102&lt;&gt;$DO102) + $B$19*($DN102=$DO102))</f>
        <v>3.7037037037037035E-4</v>
      </c>
      <c r="EB102" s="10" cm="1">
        <f t="array" aca="1" ref="EB102" ca="1">(1-$B$18)*SUMPRODUCT(OFFSET($BO$15,0,0,$B$14,1), 1*(_xlfn._xlws.FILTER(OFFSET($O$15,0,$DN102,$B$8,1),OFFSET($M$15,0,0,$B$8,1))=EB$13), 1*(_xlfn._xlws.FILTER(OFFSET($O$15,0,$DO102,$B$8,1),OFFSET($M$15,0,0,$B$8,1))=EB$14))   /   SUM(OFFSET($BO$15,0,0,$B$14,1)) + $B$18/($B$19*$B$19*($DN102&lt;&gt;$DO102) + $B$19*($DN102=$DO102))</f>
        <v>3.7037037037037035E-4</v>
      </c>
      <c r="EC102" s="10" cm="1">
        <f t="array" aca="1" ref="EC102" ca="1">(1-$B$18)*SUMPRODUCT(OFFSET($BO$15,0,0,$B$14,1), 1*(_xlfn._xlws.FILTER(OFFSET($O$15,0,$DN102,$B$8,1),OFFSET($M$15,0,0,$B$8,1))=EC$13), 1*(_xlfn._xlws.FILTER(OFFSET($O$15,0,$DO102,$B$8,1),OFFSET($M$15,0,0,$B$8,1))=EC$14))   /   SUM(OFFSET($BO$15,0,0,$B$14,1)) + $B$18/($B$19*$B$19*($DN102&lt;&gt;$DO102) + $B$19*($DN102=$DO102))</f>
        <v>3.7037037037037035E-4</v>
      </c>
      <c r="ED102" s="10" cm="1">
        <f t="array" aca="1" ref="ED102" ca="1">(1-$B$18)*SUMPRODUCT(OFFSET($BO$15,0,0,$B$14,1), 1*(_xlfn._xlws.FILTER(OFFSET($O$15,0,$DN102,$B$8,1),OFFSET($M$15,0,0,$B$8,1))=ED$13), 1*(_xlfn._xlws.FILTER(OFFSET($O$15,0,$DO102,$B$8,1),OFFSET($M$15,0,0,$B$8,1))=ED$14))   /   SUM(OFFSET($BO$15,0,0,$B$14,1)) + $B$18/($B$19*$B$19*($DN102&lt;&gt;$DO102) + $B$19*($DN102=$DO102))</f>
        <v>3.7037037037037035E-4</v>
      </c>
      <c r="EE102" s="10" cm="1">
        <f t="array" aca="1" ref="EE102" ca="1">(1-$B$18)*SUMPRODUCT(OFFSET($BO$15,0,0,$B$14,1), 1*(_xlfn._xlws.FILTER(OFFSET($O$15,0,$DN102,$B$8,1),OFFSET($M$15,0,0,$B$8,1))=EE$13), 1*(_xlfn._xlws.FILTER(OFFSET($O$15,0,$DO102,$B$8,1),OFFSET($M$15,0,0,$B$8,1))=EE$14))   /   SUM(OFFSET($BO$15,0,0,$B$14,1)) + $B$18/($B$19*$B$19*($DN102&lt;&gt;$DO102) + $B$19*($DN102=$DO102))</f>
        <v>3.7037037037037035E-4</v>
      </c>
      <c r="EF102" s="10" cm="1">
        <f t="array" aca="1" ref="EF102" ca="1">(1-$B$18)*SUMPRODUCT(OFFSET($BO$15,0,0,$B$14,1), 1*(_xlfn._xlws.FILTER(OFFSET($O$15,0,$DN102,$B$8,1),OFFSET($M$15,0,0,$B$8,1))=EF$13), 1*(_xlfn._xlws.FILTER(OFFSET($O$15,0,$DO102,$B$8,1),OFFSET($M$15,0,0,$B$8,1))=EF$14))   /   SUM(OFFSET($BO$15,0,0,$B$14,1)) + $B$18/($B$19*$B$19*($DN102&lt;&gt;$DO102) + $B$19*($DN102=$DO102))</f>
        <v>3.7037037037037035E-4</v>
      </c>
      <c r="EG102" s="10" cm="1">
        <f t="array" aca="1" ref="EG102" ca="1">(1-$B$18)*SUMPRODUCT(OFFSET($BO$15,0,0,$B$14,1), 1*(_xlfn._xlws.FILTER(OFFSET($O$15,0,$DN102,$B$8,1),OFFSET($M$15,0,0,$B$8,1))=EG$13), 1*(_xlfn._xlws.FILTER(OFFSET($O$15,0,$DO102,$B$8,1),OFFSET($M$15,0,0,$B$8,1))=EG$14))   /   SUM(OFFSET($BO$15,0,0,$B$14,1)) + $B$18/($B$19*$B$19*($DN102&lt;&gt;$DO102) + $B$19*($DN102=$DO102))</f>
        <v>3.7037037037037035E-4</v>
      </c>
      <c r="EH102" s="10" cm="1">
        <f t="array" aca="1" ref="EH102" ca="1">(1-$B$18)*SUMPRODUCT(OFFSET($BO$15,0,0,$B$14,1), 1*(_xlfn._xlws.FILTER(OFFSET($O$15,0,$DN102,$B$8,1),OFFSET($M$15,0,0,$B$8,1))=EH$13), 1*(_xlfn._xlws.FILTER(OFFSET($O$15,0,$DO102,$B$8,1),OFFSET($M$15,0,0,$B$8,1))=EH$14))   /   SUM(OFFSET($BO$15,0,0,$B$14,1)) + $B$18/($B$19*$B$19*($DN102&lt;&gt;$DO102) + $B$19*($DN102=$DO102))</f>
        <v>3.7037037037037035E-4</v>
      </c>
      <c r="EI102" s="10" cm="1">
        <f t="array" aca="1" ref="EI102" ca="1">(1-$B$18)*SUMPRODUCT(OFFSET($BO$15,0,0,$B$14,1), 1*(_xlfn._xlws.FILTER(OFFSET($O$15,0,$DN102,$B$8,1),OFFSET($M$15,0,0,$B$8,1))=EI$13), 1*(_xlfn._xlws.FILTER(OFFSET($O$15,0,$DO102,$B$8,1),OFFSET($M$15,0,0,$B$8,1))=EI$14))   /   SUM(OFFSET($BO$15,0,0,$B$14,1)) + $B$18/($B$19*$B$19*($DN102&lt;&gt;$DO102) + $B$19*($DN102=$DO102))</f>
        <v>3.7037037037037035E-4</v>
      </c>
      <c r="EJ102" s="10" cm="1">
        <f t="array" aca="1" ref="EJ102" ca="1">(1-$B$18)*SUMPRODUCT(OFFSET($BO$15,0,0,$B$14,1), 1*(_xlfn._xlws.FILTER(OFFSET($O$15,0,$DN102,$B$8,1),OFFSET($M$15,0,0,$B$8,1))=EJ$13), 1*(_xlfn._xlws.FILTER(OFFSET($O$15,0,$DO102,$B$8,1),OFFSET($M$15,0,0,$B$8,1))=EJ$14))   /   SUM(OFFSET($BO$15,0,0,$B$14,1)) + $B$18/($B$19*$B$19*($DN102&lt;&gt;$DO102) + $B$19*($DN102=$DO102))</f>
        <v>3.7037037037037035E-4</v>
      </c>
      <c r="EK102" s="10" cm="1">
        <f t="array" aca="1" ref="EK102" ca="1">(1-$B$18)*SUMPRODUCT(OFFSET($BO$15,0,0,$B$14,1), 1*(_xlfn._xlws.FILTER(OFFSET($O$15,0,$DN102,$B$8,1),OFFSET($M$15,0,0,$B$8,1))=EK$13), 1*(_xlfn._xlws.FILTER(OFFSET($O$15,0,$DO102,$B$8,1),OFFSET($M$15,0,0,$B$8,1))=EK$14))   /   SUM(OFFSET($BO$15,0,0,$B$14,1)) + $B$18/($B$19*$B$19*($DN102&lt;&gt;$DO102) + $B$19*($DN102=$DO102))</f>
        <v>3.7037037037037035E-4</v>
      </c>
      <c r="EL102" s="10" cm="1">
        <f t="array" aca="1" ref="EL102" ca="1">(1-$B$18)*SUMPRODUCT(OFFSET($BO$15,0,0,$B$14,1), 1*(_xlfn._xlws.FILTER(OFFSET($O$15,0,$DN102,$B$8,1),OFFSET($M$15,0,0,$B$8,1))=EL$13), 1*(_xlfn._xlws.FILTER(OFFSET($O$15,0,$DO102,$B$8,1),OFFSET($M$15,0,0,$B$8,1))=EL$14))   /   SUM(OFFSET($BO$15,0,0,$B$14,1)) + $B$18/($B$19*$B$19*($DN102&lt;&gt;$DO102) + $B$19*($DN102=$DO102))</f>
        <v>3.7037037037037035E-4</v>
      </c>
      <c r="EM102" s="10" cm="1">
        <f t="array" aca="1" ref="EM102" ca="1">(1-$B$18)*SUMPRODUCT(OFFSET($BO$15,0,0,$B$14,1), 1*(_xlfn._xlws.FILTER(OFFSET($O$15,0,$DN102,$B$8,1),OFFSET($M$15,0,0,$B$8,1))=EM$13), 1*(_xlfn._xlws.FILTER(OFFSET($O$15,0,$DO102,$B$8,1),OFFSET($M$15,0,0,$B$8,1))=EM$14))   /   SUM(OFFSET($BO$15,0,0,$B$14,1)) + $B$18/($B$19*$B$19*($DN102&lt;&gt;$DO102) + $B$19*($DN102=$DO102))</f>
        <v>3.7037037037037035E-4</v>
      </c>
      <c r="EN102" s="10" cm="1">
        <f t="array" aca="1" ref="EN102" ca="1">(1-$B$18)*SUMPRODUCT(OFFSET($BO$15,0,0,$B$14,1), 1*(_xlfn._xlws.FILTER(OFFSET($O$15,0,$DN102,$B$8,1),OFFSET($M$15,0,0,$B$8,1))=EN$13), 1*(_xlfn._xlws.FILTER(OFFSET($O$15,0,$DO102,$B$8,1),OFFSET($M$15,0,0,$B$8,1))=EN$14))   /   SUM(OFFSET($BO$15,0,0,$B$14,1)) + $B$18/($B$19*$B$19*($DN102&lt;&gt;$DO102) + $B$19*($DN102=$DO102))</f>
        <v>3.7037037037037035E-4</v>
      </c>
      <c r="EO102" s="10" cm="1">
        <f t="array" aca="1" ref="EO102" ca="1">(1-$B$18)*SUMPRODUCT(OFFSET($BO$15,0,0,$B$14,1), 1*(_xlfn._xlws.FILTER(OFFSET($O$15,0,$DN102,$B$8,1),OFFSET($M$15,0,0,$B$8,1))=EO$13), 1*(_xlfn._xlws.FILTER(OFFSET($O$15,0,$DO102,$B$8,1),OFFSET($M$15,0,0,$B$8,1))=EO$14))   /   SUM(OFFSET($BO$15,0,0,$B$14,1)) + $B$18/($B$19*$B$19*($DN102&lt;&gt;$DO102) + $B$19*($DN102=$DO102))</f>
        <v>3.7037037037037035E-4</v>
      </c>
      <c r="EP102" s="10" cm="1">
        <f t="array" aca="1" ref="EP102" ca="1">(1-$B$18)*SUMPRODUCT(OFFSET($BO$15,0,0,$B$14,1), 1*(_xlfn._xlws.FILTER(OFFSET($O$15,0,$DN102,$B$8,1),OFFSET($M$15,0,0,$B$8,1))=EP$13), 1*(_xlfn._xlws.FILTER(OFFSET($O$15,0,$DO102,$B$8,1),OFFSET($M$15,0,0,$B$8,1))=EP$14))   /   SUM(OFFSET($BO$15,0,0,$B$14,1)) + $B$18/($B$19*$B$19*($DN102&lt;&gt;$DO102) + $B$19*($DN102=$DO102))</f>
        <v>3.7037037037037035E-4</v>
      </c>
      <c r="EQ102" s="10" cm="1">
        <f t="array" aca="1" ref="EQ102" ca="1">(1-$B$18)*SUMPRODUCT(OFFSET($BO$15,0,0,$B$14,1), 1*(_xlfn._xlws.FILTER(OFFSET($O$15,0,$DN102,$B$8,1),OFFSET($M$15,0,0,$B$8,1))=EQ$13), 1*(_xlfn._xlws.FILTER(OFFSET($O$15,0,$DO102,$B$8,1),OFFSET($M$15,0,0,$B$8,1))=EQ$14))   /   SUM(OFFSET($BO$15,0,0,$B$14,1)) + $B$18/($B$19*$B$19*($DN102&lt;&gt;$DO102) + $B$19*($DN102=$DO102))</f>
        <v>3.7037037037037035E-4</v>
      </c>
      <c r="ER102" s="10" cm="1">
        <f t="array" aca="1" ref="ER102" ca="1">(1-$B$18)*SUMPRODUCT(OFFSET($BO$15,0,0,$B$14,1), 1*(_xlfn._xlws.FILTER(OFFSET($O$15,0,$DN102,$B$8,1),OFFSET($M$15,0,0,$B$8,1))=ER$13), 1*(_xlfn._xlws.FILTER(OFFSET($O$15,0,$DO102,$B$8,1),OFFSET($M$15,0,0,$B$8,1))=ER$14))   /   SUM(OFFSET($BO$15,0,0,$B$14,1)) + $B$18/($B$19*$B$19*($DN102&lt;&gt;$DO102) + $B$19*($DN102=$DO102))</f>
        <v>3.7037037037037035E-4</v>
      </c>
      <c r="ES102" s="10" cm="1">
        <f t="array" aca="1" ref="ES102" ca="1">(1-$B$18)*SUMPRODUCT(OFFSET($BO$15,0,0,$B$14,1), 1*(_xlfn._xlws.FILTER(OFFSET($O$15,0,$DN102,$B$8,1),OFFSET($M$15,0,0,$B$8,1))=ES$13), 1*(_xlfn._xlws.FILTER(OFFSET($O$15,0,$DO102,$B$8,1),OFFSET($M$15,0,0,$B$8,1))=ES$14))   /   SUM(OFFSET($BO$15,0,0,$B$14,1)) + $B$18/($B$19*$B$19*($DN102&lt;&gt;$DO102) + $B$19*($DN102=$DO102))</f>
        <v>3.7037037037037035E-4</v>
      </c>
      <c r="ET102" s="10" cm="1">
        <f t="array" aca="1" ref="ET102" ca="1">(1-$B$18)*SUMPRODUCT(OFFSET($BO$15,0,0,$B$14,1), 1*(_xlfn._xlws.FILTER(OFFSET($O$15,0,$DN102,$B$8,1),OFFSET($M$15,0,0,$B$8,1))=ET$13), 1*(_xlfn._xlws.FILTER(OFFSET($O$15,0,$DO102,$B$8,1),OFFSET($M$15,0,0,$B$8,1))=ET$14))   /   SUM(OFFSET($BO$15,0,0,$B$14,1)) + $B$18/($B$19*$B$19*($DN102&lt;&gt;$DO102) + $B$19*($DN102=$DO102))</f>
        <v>3.7037037037037035E-4</v>
      </c>
      <c r="EU102" s="10" cm="1">
        <f t="array" aca="1" ref="EU102" ca="1">(1-$B$18)*SUMPRODUCT(OFFSET($BO$15,0,0,$B$14,1), 1*(_xlfn._xlws.FILTER(OFFSET($O$15,0,$DN102,$B$8,1),OFFSET($M$15,0,0,$B$8,1))=EU$13), 1*(_xlfn._xlws.FILTER(OFFSET($O$15,0,$DO102,$B$8,1),OFFSET($M$15,0,0,$B$8,1))=EU$14))   /   SUM(OFFSET($BO$15,0,0,$B$14,1)) + $B$18/($B$19*$B$19*($DN102&lt;&gt;$DO102) + $B$19*($DN102=$DO102))</f>
        <v>3.7037037037037035E-4</v>
      </c>
      <c r="EV102" s="10" cm="1">
        <f t="array" aca="1" ref="EV102" ca="1">(1-$B$18)*SUMPRODUCT(OFFSET($BO$15,0,0,$B$14,1), 1*(_xlfn._xlws.FILTER(OFFSET($O$15,0,$DN102,$B$8,1),OFFSET($M$15,0,0,$B$8,1))=EV$13), 1*(_xlfn._xlws.FILTER(OFFSET($O$15,0,$DO102,$B$8,1),OFFSET($M$15,0,0,$B$8,1))=EV$14))   /   SUM(OFFSET($BO$15,0,0,$B$14,1)) + $B$18/($B$19*$B$19*($DN102&lt;&gt;$DO102) + $B$19*($DN102=$DO102))</f>
        <v>3.7037037037037035E-4</v>
      </c>
      <c r="EW102" s="10" cm="1">
        <f t="array" aca="1" ref="EW102" ca="1">(1-$B$18)*SUMPRODUCT(OFFSET($BO$15,0,0,$B$14,1), 1*(_xlfn._xlws.FILTER(OFFSET($O$15,0,$DN102,$B$8,1),OFFSET($M$15,0,0,$B$8,1))=EW$13), 1*(_xlfn._xlws.FILTER(OFFSET($O$15,0,$DO102,$B$8,1),OFFSET($M$15,0,0,$B$8,1))=EW$14))   /   SUM(OFFSET($BO$15,0,0,$B$14,1)) + $B$18/($B$19*$B$19*($DN102&lt;&gt;$DO102) + $B$19*($DN102=$DO102))</f>
        <v>3.7037037037037035E-4</v>
      </c>
      <c r="EX102" s="10" cm="1">
        <f t="array" aca="1" ref="EX102" ca="1">(1-$B$18)*SUMPRODUCT(OFFSET($BO$15,0,0,$B$14,1), 1*(_xlfn._xlws.FILTER(OFFSET($O$15,0,$DN102,$B$8,1),OFFSET($M$15,0,0,$B$8,1))=EX$13), 1*(_xlfn._xlws.FILTER(OFFSET($O$15,0,$DO102,$B$8,1),OFFSET($M$15,0,0,$B$8,1))=EX$14))   /   SUM(OFFSET($BO$15,0,0,$B$14,1)) + $B$18/($B$19*$B$19*($DN102&lt;&gt;$DO102) + $B$19*($DN102=$DO102))</f>
        <v>3.7037037037037035E-4</v>
      </c>
      <c r="EY102" s="10" cm="1">
        <f t="array" aca="1" ref="EY102" ca="1">(1-$B$18)*SUMPRODUCT(OFFSET($BO$15,0,0,$B$14,1), 1*(_xlfn._xlws.FILTER(OFFSET($O$15,0,$DN102,$B$8,1),OFFSET($M$15,0,0,$B$8,1))=EY$13), 1*(_xlfn._xlws.FILTER(OFFSET($O$15,0,$DO102,$B$8,1),OFFSET($M$15,0,0,$B$8,1))=EY$14))   /   SUM(OFFSET($BO$15,0,0,$B$14,1)) + $B$18/($B$19*$B$19*($DN102&lt;&gt;$DO102) + $B$19*($DN102=$DO102))</f>
        <v>3.7037037037037035E-4</v>
      </c>
      <c r="EZ102" s="10" cm="1">
        <f t="array" aca="1" ref="EZ102" ca="1">(1-$B$18)*SUMPRODUCT(OFFSET($BO$15,0,0,$B$14,1), 1*(_xlfn._xlws.FILTER(OFFSET($O$15,0,$DN102,$B$8,1),OFFSET($M$15,0,0,$B$8,1))=EZ$13), 1*(_xlfn._xlws.FILTER(OFFSET($O$15,0,$DO102,$B$8,1),OFFSET($M$15,0,0,$B$8,1))=EZ$14))   /   SUM(OFFSET($BO$15,0,0,$B$14,1)) + $B$18/($B$19*$B$19*($DN102&lt;&gt;$DO102) + $B$19*($DN102=$DO102))</f>
        <v>3.7037037037037035E-4</v>
      </c>
      <c r="FA102" s="10" cm="1">
        <f t="array" aca="1" ref="FA102" ca="1">(1-$B$18)*SUMPRODUCT(OFFSET($BO$15,0,0,$B$14,1), 1*(_xlfn._xlws.FILTER(OFFSET($O$15,0,$DN102,$B$8,1),OFFSET($M$15,0,0,$B$8,1))=FA$13), 1*(_xlfn._xlws.FILTER(OFFSET($O$15,0,$DO102,$B$8,1),OFFSET($M$15,0,0,$B$8,1))=FA$14))   /   SUM(OFFSET($BO$15,0,0,$B$14,1)) + $B$18/($B$19*$B$19*($DN102&lt;&gt;$DO102) + $B$19*($DN102=$DO102))</f>
        <v>3.7037037037037035E-4</v>
      </c>
      <c r="FB102" s="10" cm="1">
        <f t="array" aca="1" ref="FB102" ca="1">(1-$B$18)*SUMPRODUCT(OFFSET($BO$15,0,0,$B$14,1), 1*(_xlfn._xlws.FILTER(OFFSET($O$15,0,$DN102,$B$8,1),OFFSET($M$15,0,0,$B$8,1))=FB$13), 1*(_xlfn._xlws.FILTER(OFFSET($O$15,0,$DO102,$B$8,1),OFFSET($M$15,0,0,$B$8,1))=FB$14))   /   SUM(OFFSET($BO$15,0,0,$B$14,1)) + $B$18/($B$19*$B$19*($DN102&lt;&gt;$DO102) + $B$19*($DN102=$DO102))</f>
        <v>3.7037037037037035E-4</v>
      </c>
      <c r="FC102" s="10" cm="1">
        <f t="array" aca="1" ref="FC102" ca="1">(1-$B$18)*SUMPRODUCT(OFFSET($BO$15,0,0,$B$14,1), 1*(_xlfn._xlws.FILTER(OFFSET($O$15,0,$DN102,$B$8,1),OFFSET($M$15,0,0,$B$8,1))=FC$13), 1*(_xlfn._xlws.FILTER(OFFSET($O$15,0,$DO102,$B$8,1),OFFSET($M$15,0,0,$B$8,1))=FC$14))   /   SUM(OFFSET($BO$15,0,0,$B$14,1)) + $B$18/($B$19*$B$19*($DN102&lt;&gt;$DO102) + $B$19*($DN102=$DO102))</f>
        <v>3.7037037037037035E-4</v>
      </c>
      <c r="FD102" s="10" cm="1">
        <f t="array" aca="1" ref="FD102" ca="1">(1-$B$18)*SUMPRODUCT(OFFSET($BO$15,0,0,$B$14,1), 1*(_xlfn._xlws.FILTER(OFFSET($O$15,0,$DN102,$B$8,1),OFFSET($M$15,0,0,$B$8,1))=FD$13), 1*(_xlfn._xlws.FILTER(OFFSET($O$15,0,$DO102,$B$8,1),OFFSET($M$15,0,0,$B$8,1))=FD$14))   /   SUM(OFFSET($BO$15,0,0,$B$14,1)) + $B$18/($B$19*$B$19*($DN102&lt;&gt;$DO102) + $B$19*($DN102=$DO102))</f>
        <v>3.7037037037037035E-4</v>
      </c>
      <c r="FE102" s="10" cm="1">
        <f t="array" aca="1" ref="FE102" ca="1">(1-$B$18)*SUMPRODUCT(OFFSET($BO$15,0,0,$B$14,1), 1*(_xlfn._xlws.FILTER(OFFSET($O$15,0,$DN102,$B$8,1),OFFSET($M$15,0,0,$B$8,1))=FE$13), 1*(_xlfn._xlws.FILTER(OFFSET($O$15,0,$DO102,$B$8,1),OFFSET($M$15,0,0,$B$8,1))=FE$14))   /   SUM(OFFSET($BO$15,0,0,$B$14,1)) + $B$18/($B$19*$B$19*($DN102&lt;&gt;$DO102) + $B$19*($DN102=$DO102))</f>
        <v>3.7037037037037035E-4</v>
      </c>
      <c r="FF102" s="10" cm="1">
        <f t="array" aca="1" ref="FF102" ca="1">(1-$B$18)*SUMPRODUCT(OFFSET($BO$15,0,0,$B$14,1), 1*(_xlfn._xlws.FILTER(OFFSET($O$15,0,$DN102,$B$8,1),OFFSET($M$15,0,0,$B$8,1))=FF$13), 1*(_xlfn._xlws.FILTER(OFFSET($O$15,0,$DO102,$B$8,1),OFFSET($M$15,0,0,$B$8,1))=FF$14))   /   SUM(OFFSET($BO$15,0,0,$B$14,1)) + $B$18/($B$19*$B$19*($DN102&lt;&gt;$DO102) + $B$19*($DN102=$DO102))</f>
        <v>3.7037037037037035E-4</v>
      </c>
      <c r="FG102" s="10" cm="1">
        <f t="array" aca="1" ref="FG102" ca="1">(1-$B$18)*SUMPRODUCT(OFFSET($BO$15,0,0,$B$14,1), 1*(_xlfn._xlws.FILTER(OFFSET($O$15,0,$DN102,$B$8,1),OFFSET($M$15,0,0,$B$8,1))=FG$13), 1*(_xlfn._xlws.FILTER(OFFSET($O$15,0,$DO102,$B$8,1),OFFSET($M$15,0,0,$B$8,1))=FG$14))   /   SUM(OFFSET($BO$15,0,0,$B$14,1)) + $B$18/($B$19*$B$19*($DN102&lt;&gt;$DO102) + $B$19*($DN102=$DO102))</f>
        <v>3.7037037037037035E-4</v>
      </c>
      <c r="FH102" s="10" cm="1">
        <f t="array" aca="1" ref="FH102" ca="1">(1-$B$18)*SUMPRODUCT(OFFSET($BO$15,0,0,$B$14,1), 1*(_xlfn._xlws.FILTER(OFFSET($O$15,0,$DN102,$B$8,1),OFFSET($M$15,0,0,$B$8,1))=FH$13), 1*(_xlfn._xlws.FILTER(OFFSET($O$15,0,$DO102,$B$8,1),OFFSET($M$15,0,0,$B$8,1))=FH$14))   /   SUM(OFFSET($BO$15,0,0,$B$14,1)) + $B$18/($B$19*$B$19*($DN102&lt;&gt;$DO102) + $B$19*($DN102=$DO102))</f>
        <v>3.7037037037037035E-4</v>
      </c>
      <c r="FI102" s="10" cm="1">
        <f t="array" aca="1" ref="FI102" ca="1">(1-$B$18)*SUMPRODUCT(OFFSET($BO$15,0,0,$B$14,1), 1*(_xlfn._xlws.FILTER(OFFSET($O$15,0,$DN102,$B$8,1),OFFSET($M$15,0,0,$B$8,1))=FI$13), 1*(_xlfn._xlws.FILTER(OFFSET($O$15,0,$DO102,$B$8,1),OFFSET($M$15,0,0,$B$8,1))=FI$14))   /   SUM(OFFSET($BO$15,0,0,$B$14,1)) + $B$18/($B$19*$B$19*($DN102&lt;&gt;$DO102) + $B$19*($DN102=$DO102))</f>
        <v>3.7037037037037035E-4</v>
      </c>
      <c r="FJ102" s="10" cm="1">
        <f t="array" aca="1" ref="FJ102" ca="1">(1-$B$18)*SUMPRODUCT(OFFSET($BO$15,0,0,$B$14,1), 1*(_xlfn._xlws.FILTER(OFFSET($O$15,0,$DN102,$B$8,1),OFFSET($M$15,0,0,$B$8,1))=FJ$13), 1*(_xlfn._xlws.FILTER(OFFSET($O$15,0,$DO102,$B$8,1),OFFSET($M$15,0,0,$B$8,1))=FJ$14))   /   SUM(OFFSET($BO$15,0,0,$B$14,1)) + $B$18/($B$19*$B$19*($DN102&lt;&gt;$DO102) + $B$19*($DN102=$DO102))</f>
        <v>3.7037037037037035E-4</v>
      </c>
      <c r="FK102" s="10" cm="1">
        <f t="array" aca="1" ref="FK102" ca="1">(1-$B$18)*SUMPRODUCT(OFFSET($BO$15,0,0,$B$14,1), 1*(_xlfn._xlws.FILTER(OFFSET($O$15,0,$DN102,$B$8,1),OFFSET($M$15,0,0,$B$8,1))=FK$13), 1*(_xlfn._xlws.FILTER(OFFSET($O$15,0,$DO102,$B$8,1),OFFSET($M$15,0,0,$B$8,1))=FK$14))   /   SUM(OFFSET($BO$15,0,0,$B$14,1)) + $B$18/($B$19*$B$19*($DN102&lt;&gt;$DO102) + $B$19*($DN102=$DO102))</f>
        <v>3.7037037037037035E-4</v>
      </c>
      <c r="FL102" s="10" cm="1">
        <f t="array" aca="1" ref="FL102" ca="1">(1-$B$18)*SUMPRODUCT(OFFSET($BO$15,0,0,$B$14,1), 1*(_xlfn._xlws.FILTER(OFFSET($O$15,0,$DN102,$B$8,1),OFFSET($M$15,0,0,$B$8,1))=FL$13), 1*(_xlfn._xlws.FILTER(OFFSET($O$15,0,$DO102,$B$8,1),OFFSET($M$15,0,0,$B$8,1))=FL$14))   /   SUM(OFFSET($BO$15,0,0,$B$14,1)) + $B$18/($B$19*$B$19*($DN102&lt;&gt;$DO102) + $B$19*($DN102=$DO102))</f>
        <v>3.7037037037037035E-4</v>
      </c>
      <c r="FM102" s="10" cm="1">
        <f t="array" aca="1" ref="FM102" ca="1">(1-$B$18)*SUMPRODUCT(OFFSET($BO$15,0,0,$B$14,1), 1*(_xlfn._xlws.FILTER(OFFSET($O$15,0,$DN102,$B$8,1),OFFSET($M$15,0,0,$B$8,1))=FM$13), 1*(_xlfn._xlws.FILTER(OFFSET($O$15,0,$DO102,$B$8,1),OFFSET($M$15,0,0,$B$8,1))=FM$14))   /   SUM(OFFSET($BO$15,0,0,$B$14,1)) + $B$18/($B$19*$B$19*($DN102&lt;&gt;$DO102) + $B$19*($DN102=$DO102))</f>
        <v>0.97037037037037033</v>
      </c>
      <c r="FN102" s="10" cm="1">
        <f t="array" aca="1" ref="FN102" ca="1">(1-$B$18)*SUMPRODUCT(OFFSET($BO$15,0,0,$B$14,1), 1*(_xlfn._xlws.FILTER(OFFSET($O$15,0,$DN102,$B$8,1),OFFSET($M$15,0,0,$B$8,1))=FN$13), 1*(_xlfn._xlws.FILTER(OFFSET($O$15,0,$DO102,$B$8,1),OFFSET($M$15,0,0,$B$8,1))=FN$14))   /   SUM(OFFSET($BO$15,0,0,$B$14,1)) + $B$18/($B$19*$B$19*($DN102&lt;&gt;$DO102) + $B$19*($DN102=$DO102))</f>
        <v>3.7037037037037035E-4</v>
      </c>
      <c r="FO102" s="10" cm="1">
        <f t="array" aca="1" ref="FO102" ca="1">(1-$B$18)*SUMPRODUCT(OFFSET($BO$15,0,0,$B$14,1), 1*(_xlfn._xlws.FILTER(OFFSET($O$15,0,$DN102,$B$8,1),OFFSET($M$15,0,0,$B$8,1))=FO$13), 1*(_xlfn._xlws.FILTER(OFFSET($O$15,0,$DO102,$B$8,1),OFFSET($M$15,0,0,$B$8,1))=FO$14))   /   SUM(OFFSET($BO$15,0,0,$B$14,1)) + $B$18/($B$19*$B$19*($DN102&lt;&gt;$DO102) + $B$19*($DN102=$DO102))</f>
        <v>3.7037037037037035E-4</v>
      </c>
      <c r="FP102" s="10" cm="1">
        <f t="array" aca="1" ref="FP102" ca="1">(1-$B$18)*SUMPRODUCT(OFFSET($BO$15,0,0,$B$14,1), 1*(_xlfn._xlws.FILTER(OFFSET($O$15,0,$DN102,$B$8,1),OFFSET($M$15,0,0,$B$8,1))=FP$13), 1*(_xlfn._xlws.FILTER(OFFSET($O$15,0,$DO102,$B$8,1),OFFSET($M$15,0,0,$B$8,1))=FP$14))   /   SUM(OFFSET($BO$15,0,0,$B$14,1)) + $B$18/($B$19*$B$19*($DN102&lt;&gt;$DO102) + $B$19*($DN102=$DO102))</f>
        <v>3.7037037037037035E-4</v>
      </c>
      <c r="FQ102" s="10" cm="1">
        <f t="array" aca="1" ref="FQ102" ca="1">(1-$B$18)*SUMPRODUCT(OFFSET($BO$15,0,0,$B$14,1), 1*(_xlfn._xlws.FILTER(OFFSET($O$15,0,$DN102,$B$8,1),OFFSET($M$15,0,0,$B$8,1))=FQ$13), 1*(_xlfn._xlws.FILTER(OFFSET($O$15,0,$DO102,$B$8,1),OFFSET($M$15,0,0,$B$8,1))=FQ$14))   /   SUM(OFFSET($BO$15,0,0,$B$14,1)) + $B$18/($B$19*$B$19*($DN102&lt;&gt;$DO102) + $B$19*($DN102=$DO102))</f>
        <v>3.7037037037037035E-4</v>
      </c>
      <c r="FR102" s="10" cm="1">
        <f t="array" aca="1" ref="FR102" ca="1">(1-$B$18)*SUMPRODUCT(OFFSET($BO$15,0,0,$B$14,1), 1*(_xlfn._xlws.FILTER(OFFSET($O$15,0,$DN102,$B$8,1),OFFSET($M$15,0,0,$B$8,1))=FR$13), 1*(_xlfn._xlws.FILTER(OFFSET($O$15,0,$DO102,$B$8,1),OFFSET($M$15,0,0,$B$8,1))=FR$14))   /   SUM(OFFSET($BO$15,0,0,$B$14,1)) + $B$18/($B$19*$B$19*($DN102&lt;&gt;$DO102) + $B$19*($DN102=$DO102))</f>
        <v>3.7037037037037035E-4</v>
      </c>
      <c r="FS102" s="10" cm="1">
        <f t="array" aca="1" ref="FS102" ca="1">(1-$B$18)*SUMPRODUCT(OFFSET($BO$15,0,0,$B$14,1), 1*(_xlfn._xlws.FILTER(OFFSET($O$15,0,$DN102,$B$8,1),OFFSET($M$15,0,0,$B$8,1))=FS$13), 1*(_xlfn._xlws.FILTER(OFFSET($O$15,0,$DO102,$B$8,1),OFFSET($M$15,0,0,$B$8,1))=FS$14))   /   SUM(OFFSET($BO$15,0,0,$B$14,1)) + $B$18/($B$19*$B$19*($DN102&lt;&gt;$DO102) + $B$19*($DN102=$DO102))</f>
        <v>3.7037037037037035E-4</v>
      </c>
      <c r="FT102" s="10" cm="1">
        <f t="array" aca="1" ref="FT102" ca="1">(1-$B$18)*SUMPRODUCT(OFFSET($BO$15,0,0,$B$14,1), 1*(_xlfn._xlws.FILTER(OFFSET($O$15,0,$DN102,$B$8,1),OFFSET($M$15,0,0,$B$8,1))=FT$13), 1*(_xlfn._xlws.FILTER(OFFSET($O$15,0,$DO102,$B$8,1),OFFSET($M$15,0,0,$B$8,1))=FT$14))   /   SUM(OFFSET($BO$15,0,0,$B$14,1)) + $B$18/($B$19*$B$19*($DN102&lt;&gt;$DO102) + $B$19*($DN102=$DO102))</f>
        <v>3.7037037037037035E-4</v>
      </c>
      <c r="FU102" s="10" cm="1">
        <f t="array" aca="1" ref="FU102" ca="1">(1-$B$18)*SUMPRODUCT(OFFSET($BO$15,0,0,$B$14,1), 1*(_xlfn._xlws.FILTER(OFFSET($O$15,0,$DN102,$B$8,1),OFFSET($M$15,0,0,$B$8,1))=FU$13), 1*(_xlfn._xlws.FILTER(OFFSET($O$15,0,$DO102,$B$8,1),OFFSET($M$15,0,0,$B$8,1))=FU$14))   /   SUM(OFFSET($BO$15,0,0,$B$14,1)) + $B$18/($B$19*$B$19*($DN102&lt;&gt;$DO102) + $B$19*($DN102=$DO102))</f>
        <v>3.7037037037037035E-4</v>
      </c>
      <c r="FV102" s="10" cm="1">
        <f t="array" aca="1" ref="FV102" ca="1">(1-$B$18)*SUMPRODUCT(OFFSET($BO$15,0,0,$B$14,1), 1*(_xlfn._xlws.FILTER(OFFSET($O$15,0,$DN102,$B$8,1),OFFSET($M$15,0,0,$B$8,1))=FV$13), 1*(_xlfn._xlws.FILTER(OFFSET($O$15,0,$DO102,$B$8,1),OFFSET($M$15,0,0,$B$8,1))=FV$14))   /   SUM(OFFSET($BO$15,0,0,$B$14,1)) + $B$18/($B$19*$B$19*($DN102&lt;&gt;$DO102) + $B$19*($DN102=$DO102))</f>
        <v>3.7037037037037035E-4</v>
      </c>
      <c r="FW102" s="10" cm="1">
        <f t="array" aca="1" ref="FW102" ca="1">(1-$B$18)*SUMPRODUCT(OFFSET($BO$15,0,0,$B$14,1), 1*(_xlfn._xlws.FILTER(OFFSET($O$15,0,$DN102,$B$8,1),OFFSET($M$15,0,0,$B$8,1))=FW$13), 1*(_xlfn._xlws.FILTER(OFFSET($O$15,0,$DO102,$B$8,1),OFFSET($M$15,0,0,$B$8,1))=FW$14))   /   SUM(OFFSET($BO$15,0,0,$B$14,1)) + $B$18/($B$19*$B$19*($DN102&lt;&gt;$DO102) + $B$19*($DN102=$DO102))</f>
        <v>3.7037037037037035E-4</v>
      </c>
      <c r="FX102" s="10" cm="1">
        <f t="array" aca="1" ref="FX102" ca="1">(1-$B$18)*SUMPRODUCT(OFFSET($BO$15,0,0,$B$14,1), 1*(_xlfn._xlws.FILTER(OFFSET($O$15,0,$DN102,$B$8,1),OFFSET($M$15,0,0,$B$8,1))=FX$13), 1*(_xlfn._xlws.FILTER(OFFSET($O$15,0,$DO102,$B$8,1),OFFSET($M$15,0,0,$B$8,1))=FX$14))   /   SUM(OFFSET($BO$15,0,0,$B$14,1)) + $B$18/($B$19*$B$19*($DN102&lt;&gt;$DO102) + $B$19*($DN102=$DO102))</f>
        <v>3.7037037037037035E-4</v>
      </c>
      <c r="FY102" s="10" cm="1">
        <f t="array" aca="1" ref="FY102" ca="1">(1-$B$18)*SUMPRODUCT(OFFSET($BO$15,0,0,$B$14,1), 1*(_xlfn._xlws.FILTER(OFFSET($O$15,0,$DN102,$B$8,1),OFFSET($M$15,0,0,$B$8,1))=FY$13), 1*(_xlfn._xlws.FILTER(OFFSET($O$15,0,$DO102,$B$8,1),OFFSET($M$15,0,0,$B$8,1))=FY$14))   /   SUM(OFFSET($BO$15,0,0,$B$14,1)) + $B$18/($B$19*$B$19*($DN102&lt;&gt;$DO102) + $B$19*($DN102=$DO102))</f>
        <v>3.7037037037037035E-4</v>
      </c>
      <c r="FZ102" s="10" cm="1">
        <f t="array" aca="1" ref="FZ102" ca="1">(1-$B$18)*SUMPRODUCT(OFFSET($BO$15,0,0,$B$14,1), 1*(_xlfn._xlws.FILTER(OFFSET($O$15,0,$DN102,$B$8,1),OFFSET($M$15,0,0,$B$8,1))=FZ$13), 1*(_xlfn._xlws.FILTER(OFFSET($O$15,0,$DO102,$B$8,1),OFFSET($M$15,0,0,$B$8,1))=FZ$14))   /   SUM(OFFSET($BO$15,0,0,$B$14,1)) + $B$18/($B$19*$B$19*($DN102&lt;&gt;$DO102) + $B$19*($DN102=$DO102))</f>
        <v>3.7037037037037035E-4</v>
      </c>
      <c r="GA102" s="10" cm="1">
        <f t="array" aca="1" ref="GA102" ca="1">(1-$B$18)*SUMPRODUCT(OFFSET($BO$15,0,0,$B$14,1), 1*(_xlfn._xlws.FILTER(OFFSET($O$15,0,$DN102,$B$8,1),OFFSET($M$15,0,0,$B$8,1))=GA$13), 1*(_xlfn._xlws.FILTER(OFFSET($O$15,0,$DO102,$B$8,1),OFFSET($M$15,0,0,$B$8,1))=GA$14))   /   SUM(OFFSET($BO$15,0,0,$B$14,1)) + $B$18/($B$19*$B$19*($DN102&lt;&gt;$DO102) + $B$19*($DN102=$DO102))</f>
        <v>3.7037037037037035E-4</v>
      </c>
    </row>
    <row r="103" spans="8:183" x14ac:dyDescent="0.2">
      <c r="H103" s="2"/>
      <c r="DN103" cm="1">
        <f t="array" aca="1" ref="DN103" ca="1">INDEX(_xlfn.ANCHORARRAY($CP$15), 1 + INT((ROWS($DO$15:$DO103) - 1) / ROWS(_xlfn.ANCHORARRAY($CP$15))))</f>
        <v>4</v>
      </c>
      <c r="DO103" cm="1">
        <f t="array" aca="1" ref="DO103" ca="1">INDEX(_xlfn.ANCHORARRAY($CP$15),1+MOD(ROWS($DO$15:$DO103)-1,ROWS(_xlfn.ANCHORARRAY($CP$15))))</f>
        <v>13</v>
      </c>
      <c r="DP103" s="10" cm="1">
        <f t="array" aca="1" ref="DP103" ca="1">(1-$B$18)*SUMPRODUCT(OFFSET($BO$15,0,0,$B$14,1), 1*(_xlfn._xlws.FILTER(OFFSET($O$15,0,$DN103,$B$8,1),OFFSET($M$15,0,0,$B$8,1))=DP$13), 1*(_xlfn._xlws.FILTER(OFFSET($O$15,0,$DO103,$B$8,1),OFFSET($M$15,0,0,$B$8,1))=DP$14))   /   SUM(OFFSET($BO$15,0,0,$B$14,1)) + $B$18/($B$19*$B$19*($DN103&lt;&gt;$DO103) + $B$19*($DN103=$DO103))</f>
        <v>3.7037037037037035E-4</v>
      </c>
      <c r="DQ103" s="10" cm="1">
        <f t="array" aca="1" ref="DQ103" ca="1">(1-$B$18)*SUMPRODUCT(OFFSET($BO$15,0,0,$B$14,1), 1*(_xlfn._xlws.FILTER(OFFSET($O$15,0,$DN103,$B$8,1),OFFSET($M$15,0,0,$B$8,1))=DQ$13), 1*(_xlfn._xlws.FILTER(OFFSET($O$15,0,$DO103,$B$8,1),OFFSET($M$15,0,0,$B$8,1))=DQ$14))   /   SUM(OFFSET($BO$15,0,0,$B$14,1)) + $B$18/($B$19*$B$19*($DN103&lt;&gt;$DO103) + $B$19*($DN103=$DO103))</f>
        <v>3.7037037037037035E-4</v>
      </c>
      <c r="DR103" s="10" cm="1">
        <f t="array" aca="1" ref="DR103" ca="1">(1-$B$18)*SUMPRODUCT(OFFSET($BO$15,0,0,$B$14,1), 1*(_xlfn._xlws.FILTER(OFFSET($O$15,0,$DN103,$B$8,1),OFFSET($M$15,0,0,$B$8,1))=DR$13), 1*(_xlfn._xlws.FILTER(OFFSET($O$15,0,$DO103,$B$8,1),OFFSET($M$15,0,0,$B$8,1))=DR$14))   /   SUM(OFFSET($BO$15,0,0,$B$14,1)) + $B$18/($B$19*$B$19*($DN103&lt;&gt;$DO103) + $B$19*($DN103=$DO103))</f>
        <v>3.7037037037037035E-4</v>
      </c>
      <c r="DS103" s="10" cm="1">
        <f t="array" aca="1" ref="DS103" ca="1">(1-$B$18)*SUMPRODUCT(OFFSET($BO$15,0,0,$B$14,1), 1*(_xlfn._xlws.FILTER(OFFSET($O$15,0,$DN103,$B$8,1),OFFSET($M$15,0,0,$B$8,1))=DS$13), 1*(_xlfn._xlws.FILTER(OFFSET($O$15,0,$DO103,$B$8,1),OFFSET($M$15,0,0,$B$8,1))=DS$14))   /   SUM(OFFSET($BO$15,0,0,$B$14,1)) + $B$18/($B$19*$B$19*($DN103&lt;&gt;$DO103) + $B$19*($DN103=$DO103))</f>
        <v>3.7037037037037035E-4</v>
      </c>
      <c r="DT103" s="10" cm="1">
        <f t="array" aca="1" ref="DT103" ca="1">(1-$B$18)*SUMPRODUCT(OFFSET($BO$15,0,0,$B$14,1), 1*(_xlfn._xlws.FILTER(OFFSET($O$15,0,$DN103,$B$8,1),OFFSET($M$15,0,0,$B$8,1))=DT$13), 1*(_xlfn._xlws.FILTER(OFFSET($O$15,0,$DO103,$B$8,1),OFFSET($M$15,0,0,$B$8,1))=DT$14))   /   SUM(OFFSET($BO$15,0,0,$B$14,1)) + $B$18/($B$19*$B$19*($DN103&lt;&gt;$DO103) + $B$19*($DN103=$DO103))</f>
        <v>3.7037037037037035E-4</v>
      </c>
      <c r="DU103" s="10" cm="1">
        <f t="array" aca="1" ref="DU103" ca="1">(1-$B$18)*SUMPRODUCT(OFFSET($BO$15,0,0,$B$14,1), 1*(_xlfn._xlws.FILTER(OFFSET($O$15,0,$DN103,$B$8,1),OFFSET($M$15,0,0,$B$8,1))=DU$13), 1*(_xlfn._xlws.FILTER(OFFSET($O$15,0,$DO103,$B$8,1),OFFSET($M$15,0,0,$B$8,1))=DU$14))   /   SUM(OFFSET($BO$15,0,0,$B$14,1)) + $B$18/($B$19*$B$19*($DN103&lt;&gt;$DO103) + $B$19*($DN103=$DO103))</f>
        <v>3.7037037037037035E-4</v>
      </c>
      <c r="DV103" s="10" cm="1">
        <f t="array" aca="1" ref="DV103" ca="1">(1-$B$18)*SUMPRODUCT(OFFSET($BO$15,0,0,$B$14,1), 1*(_xlfn._xlws.FILTER(OFFSET($O$15,0,$DN103,$B$8,1),OFFSET($M$15,0,0,$B$8,1))=DV$13), 1*(_xlfn._xlws.FILTER(OFFSET($O$15,0,$DO103,$B$8,1),OFFSET($M$15,0,0,$B$8,1))=DV$14))   /   SUM(OFFSET($BO$15,0,0,$B$14,1)) + $B$18/($B$19*$B$19*($DN103&lt;&gt;$DO103) + $B$19*($DN103=$DO103))</f>
        <v>3.7037037037037035E-4</v>
      </c>
      <c r="DW103" s="10" cm="1">
        <f t="array" aca="1" ref="DW103" ca="1">(1-$B$18)*SUMPRODUCT(OFFSET($BO$15,0,0,$B$14,1), 1*(_xlfn._xlws.FILTER(OFFSET($O$15,0,$DN103,$B$8,1),OFFSET($M$15,0,0,$B$8,1))=DW$13), 1*(_xlfn._xlws.FILTER(OFFSET($O$15,0,$DO103,$B$8,1),OFFSET($M$15,0,0,$B$8,1))=DW$14))   /   SUM(OFFSET($BO$15,0,0,$B$14,1)) + $B$18/($B$19*$B$19*($DN103&lt;&gt;$DO103) + $B$19*($DN103=$DO103))</f>
        <v>3.7037037037037035E-4</v>
      </c>
      <c r="DX103" s="10" cm="1">
        <f t="array" aca="1" ref="DX103" ca="1">(1-$B$18)*SUMPRODUCT(OFFSET($BO$15,0,0,$B$14,1), 1*(_xlfn._xlws.FILTER(OFFSET($O$15,0,$DN103,$B$8,1),OFFSET($M$15,0,0,$B$8,1))=DX$13), 1*(_xlfn._xlws.FILTER(OFFSET($O$15,0,$DO103,$B$8,1),OFFSET($M$15,0,0,$B$8,1))=DX$14))   /   SUM(OFFSET($BO$15,0,0,$B$14,1)) + $B$18/($B$19*$B$19*($DN103&lt;&gt;$DO103) + $B$19*($DN103=$DO103))</f>
        <v>3.7037037037037035E-4</v>
      </c>
      <c r="DY103" s="10" cm="1">
        <f t="array" aca="1" ref="DY103" ca="1">(1-$B$18)*SUMPRODUCT(OFFSET($BO$15,0,0,$B$14,1), 1*(_xlfn._xlws.FILTER(OFFSET($O$15,0,$DN103,$B$8,1),OFFSET($M$15,0,0,$B$8,1))=DY$13), 1*(_xlfn._xlws.FILTER(OFFSET($O$15,0,$DO103,$B$8,1),OFFSET($M$15,0,0,$B$8,1))=DY$14))   /   SUM(OFFSET($BO$15,0,0,$B$14,1)) + $B$18/($B$19*$B$19*($DN103&lt;&gt;$DO103) + $B$19*($DN103=$DO103))</f>
        <v>3.7037037037037035E-4</v>
      </c>
      <c r="DZ103" s="10" cm="1">
        <f t="array" aca="1" ref="DZ103" ca="1">(1-$B$18)*SUMPRODUCT(OFFSET($BO$15,0,0,$B$14,1), 1*(_xlfn._xlws.FILTER(OFFSET($O$15,0,$DN103,$B$8,1),OFFSET($M$15,0,0,$B$8,1))=DZ$13), 1*(_xlfn._xlws.FILTER(OFFSET($O$15,0,$DO103,$B$8,1),OFFSET($M$15,0,0,$B$8,1))=DZ$14))   /   SUM(OFFSET($BO$15,0,0,$B$14,1)) + $B$18/($B$19*$B$19*($DN103&lt;&gt;$DO103) + $B$19*($DN103=$DO103))</f>
        <v>3.7037037037037035E-4</v>
      </c>
      <c r="EA103" s="10" cm="1">
        <f t="array" aca="1" ref="EA103" ca="1">(1-$B$18)*SUMPRODUCT(OFFSET($BO$15,0,0,$B$14,1), 1*(_xlfn._xlws.FILTER(OFFSET($O$15,0,$DN103,$B$8,1),OFFSET($M$15,0,0,$B$8,1))=EA$13), 1*(_xlfn._xlws.FILTER(OFFSET($O$15,0,$DO103,$B$8,1),OFFSET($M$15,0,0,$B$8,1))=EA$14))   /   SUM(OFFSET($BO$15,0,0,$B$14,1)) + $B$18/($B$19*$B$19*($DN103&lt;&gt;$DO103) + $B$19*($DN103=$DO103))</f>
        <v>3.7037037037037035E-4</v>
      </c>
      <c r="EB103" s="10" cm="1">
        <f t="array" aca="1" ref="EB103" ca="1">(1-$B$18)*SUMPRODUCT(OFFSET($BO$15,0,0,$B$14,1), 1*(_xlfn._xlws.FILTER(OFFSET($O$15,0,$DN103,$B$8,1),OFFSET($M$15,0,0,$B$8,1))=EB$13), 1*(_xlfn._xlws.FILTER(OFFSET($O$15,0,$DO103,$B$8,1),OFFSET($M$15,0,0,$B$8,1))=EB$14))   /   SUM(OFFSET($BO$15,0,0,$B$14,1)) + $B$18/($B$19*$B$19*($DN103&lt;&gt;$DO103) + $B$19*($DN103=$DO103))</f>
        <v>3.7037037037037035E-4</v>
      </c>
      <c r="EC103" s="10" cm="1">
        <f t="array" aca="1" ref="EC103" ca="1">(1-$B$18)*SUMPRODUCT(OFFSET($BO$15,0,0,$B$14,1), 1*(_xlfn._xlws.FILTER(OFFSET($O$15,0,$DN103,$B$8,1),OFFSET($M$15,0,0,$B$8,1))=EC$13), 1*(_xlfn._xlws.FILTER(OFFSET($O$15,0,$DO103,$B$8,1),OFFSET($M$15,0,0,$B$8,1))=EC$14))   /   SUM(OFFSET($BO$15,0,0,$B$14,1)) + $B$18/($B$19*$B$19*($DN103&lt;&gt;$DO103) + $B$19*($DN103=$DO103))</f>
        <v>3.7037037037037035E-4</v>
      </c>
      <c r="ED103" s="10" cm="1">
        <f t="array" aca="1" ref="ED103" ca="1">(1-$B$18)*SUMPRODUCT(OFFSET($BO$15,0,0,$B$14,1), 1*(_xlfn._xlws.FILTER(OFFSET($O$15,0,$DN103,$B$8,1),OFFSET($M$15,0,0,$B$8,1))=ED$13), 1*(_xlfn._xlws.FILTER(OFFSET($O$15,0,$DO103,$B$8,1),OFFSET($M$15,0,0,$B$8,1))=ED$14))   /   SUM(OFFSET($BO$15,0,0,$B$14,1)) + $B$18/($B$19*$B$19*($DN103&lt;&gt;$DO103) + $B$19*($DN103=$DO103))</f>
        <v>3.7037037037037035E-4</v>
      </c>
      <c r="EE103" s="10" cm="1">
        <f t="array" aca="1" ref="EE103" ca="1">(1-$B$18)*SUMPRODUCT(OFFSET($BO$15,0,0,$B$14,1), 1*(_xlfn._xlws.FILTER(OFFSET($O$15,0,$DN103,$B$8,1),OFFSET($M$15,0,0,$B$8,1))=EE$13), 1*(_xlfn._xlws.FILTER(OFFSET($O$15,0,$DO103,$B$8,1),OFFSET($M$15,0,0,$B$8,1))=EE$14))   /   SUM(OFFSET($BO$15,0,0,$B$14,1)) + $B$18/($B$19*$B$19*($DN103&lt;&gt;$DO103) + $B$19*($DN103=$DO103))</f>
        <v>3.7037037037037035E-4</v>
      </c>
      <c r="EF103" s="10" cm="1">
        <f t="array" aca="1" ref="EF103" ca="1">(1-$B$18)*SUMPRODUCT(OFFSET($BO$15,0,0,$B$14,1), 1*(_xlfn._xlws.FILTER(OFFSET($O$15,0,$DN103,$B$8,1),OFFSET($M$15,0,0,$B$8,1))=EF$13), 1*(_xlfn._xlws.FILTER(OFFSET($O$15,0,$DO103,$B$8,1),OFFSET($M$15,0,0,$B$8,1))=EF$14))   /   SUM(OFFSET($BO$15,0,0,$B$14,1)) + $B$18/($B$19*$B$19*($DN103&lt;&gt;$DO103) + $B$19*($DN103=$DO103))</f>
        <v>3.7037037037037035E-4</v>
      </c>
      <c r="EG103" s="10" cm="1">
        <f t="array" aca="1" ref="EG103" ca="1">(1-$B$18)*SUMPRODUCT(OFFSET($BO$15,0,0,$B$14,1), 1*(_xlfn._xlws.FILTER(OFFSET($O$15,0,$DN103,$B$8,1),OFFSET($M$15,0,0,$B$8,1))=EG$13), 1*(_xlfn._xlws.FILTER(OFFSET($O$15,0,$DO103,$B$8,1),OFFSET($M$15,0,0,$B$8,1))=EG$14))   /   SUM(OFFSET($BO$15,0,0,$B$14,1)) + $B$18/($B$19*$B$19*($DN103&lt;&gt;$DO103) + $B$19*($DN103=$DO103))</f>
        <v>3.7037037037037035E-4</v>
      </c>
      <c r="EH103" s="10" cm="1">
        <f t="array" aca="1" ref="EH103" ca="1">(1-$B$18)*SUMPRODUCT(OFFSET($BO$15,0,0,$B$14,1), 1*(_xlfn._xlws.FILTER(OFFSET($O$15,0,$DN103,$B$8,1),OFFSET($M$15,0,0,$B$8,1))=EH$13), 1*(_xlfn._xlws.FILTER(OFFSET($O$15,0,$DO103,$B$8,1),OFFSET($M$15,0,0,$B$8,1))=EH$14))   /   SUM(OFFSET($BO$15,0,0,$B$14,1)) + $B$18/($B$19*$B$19*($DN103&lt;&gt;$DO103) + $B$19*($DN103=$DO103))</f>
        <v>3.7037037037037035E-4</v>
      </c>
      <c r="EI103" s="10" cm="1">
        <f t="array" aca="1" ref="EI103" ca="1">(1-$B$18)*SUMPRODUCT(OFFSET($BO$15,0,0,$B$14,1), 1*(_xlfn._xlws.FILTER(OFFSET($O$15,0,$DN103,$B$8,1),OFFSET($M$15,0,0,$B$8,1))=EI$13), 1*(_xlfn._xlws.FILTER(OFFSET($O$15,0,$DO103,$B$8,1),OFFSET($M$15,0,0,$B$8,1))=EI$14))   /   SUM(OFFSET($BO$15,0,0,$B$14,1)) + $B$18/($B$19*$B$19*($DN103&lt;&gt;$DO103) + $B$19*($DN103=$DO103))</f>
        <v>3.7037037037037035E-4</v>
      </c>
      <c r="EJ103" s="10" cm="1">
        <f t="array" aca="1" ref="EJ103" ca="1">(1-$B$18)*SUMPRODUCT(OFFSET($BO$15,0,0,$B$14,1), 1*(_xlfn._xlws.FILTER(OFFSET($O$15,0,$DN103,$B$8,1),OFFSET($M$15,0,0,$B$8,1))=EJ$13), 1*(_xlfn._xlws.FILTER(OFFSET($O$15,0,$DO103,$B$8,1),OFFSET($M$15,0,0,$B$8,1))=EJ$14))   /   SUM(OFFSET($BO$15,0,0,$B$14,1)) + $B$18/($B$19*$B$19*($DN103&lt;&gt;$DO103) + $B$19*($DN103=$DO103))</f>
        <v>3.7037037037037035E-4</v>
      </c>
      <c r="EK103" s="10" cm="1">
        <f t="array" aca="1" ref="EK103" ca="1">(1-$B$18)*SUMPRODUCT(OFFSET($BO$15,0,0,$B$14,1), 1*(_xlfn._xlws.FILTER(OFFSET($O$15,0,$DN103,$B$8,1),OFFSET($M$15,0,0,$B$8,1))=EK$13), 1*(_xlfn._xlws.FILTER(OFFSET($O$15,0,$DO103,$B$8,1),OFFSET($M$15,0,0,$B$8,1))=EK$14))   /   SUM(OFFSET($BO$15,0,0,$B$14,1)) + $B$18/($B$19*$B$19*($DN103&lt;&gt;$DO103) + $B$19*($DN103=$DO103))</f>
        <v>3.7037037037037035E-4</v>
      </c>
      <c r="EL103" s="10" cm="1">
        <f t="array" aca="1" ref="EL103" ca="1">(1-$B$18)*SUMPRODUCT(OFFSET($BO$15,0,0,$B$14,1), 1*(_xlfn._xlws.FILTER(OFFSET($O$15,0,$DN103,$B$8,1),OFFSET($M$15,0,0,$B$8,1))=EL$13), 1*(_xlfn._xlws.FILTER(OFFSET($O$15,0,$DO103,$B$8,1),OFFSET($M$15,0,0,$B$8,1))=EL$14))   /   SUM(OFFSET($BO$15,0,0,$B$14,1)) + $B$18/($B$19*$B$19*($DN103&lt;&gt;$DO103) + $B$19*($DN103=$DO103))</f>
        <v>3.7037037037037035E-4</v>
      </c>
      <c r="EM103" s="10" cm="1">
        <f t="array" aca="1" ref="EM103" ca="1">(1-$B$18)*SUMPRODUCT(OFFSET($BO$15,0,0,$B$14,1), 1*(_xlfn._xlws.FILTER(OFFSET($O$15,0,$DN103,$B$8,1),OFFSET($M$15,0,0,$B$8,1))=EM$13), 1*(_xlfn._xlws.FILTER(OFFSET($O$15,0,$DO103,$B$8,1),OFFSET($M$15,0,0,$B$8,1))=EM$14))   /   SUM(OFFSET($BO$15,0,0,$B$14,1)) + $B$18/($B$19*$B$19*($DN103&lt;&gt;$DO103) + $B$19*($DN103=$DO103))</f>
        <v>3.7037037037037035E-4</v>
      </c>
      <c r="EN103" s="10" cm="1">
        <f t="array" aca="1" ref="EN103" ca="1">(1-$B$18)*SUMPRODUCT(OFFSET($BO$15,0,0,$B$14,1), 1*(_xlfn._xlws.FILTER(OFFSET($O$15,0,$DN103,$B$8,1),OFFSET($M$15,0,0,$B$8,1))=EN$13), 1*(_xlfn._xlws.FILTER(OFFSET($O$15,0,$DO103,$B$8,1),OFFSET($M$15,0,0,$B$8,1))=EN$14))   /   SUM(OFFSET($BO$15,0,0,$B$14,1)) + $B$18/($B$19*$B$19*($DN103&lt;&gt;$DO103) + $B$19*($DN103=$DO103))</f>
        <v>3.7037037037037035E-4</v>
      </c>
      <c r="EO103" s="10" cm="1">
        <f t="array" aca="1" ref="EO103" ca="1">(1-$B$18)*SUMPRODUCT(OFFSET($BO$15,0,0,$B$14,1), 1*(_xlfn._xlws.FILTER(OFFSET($O$15,0,$DN103,$B$8,1),OFFSET($M$15,0,0,$B$8,1))=EO$13), 1*(_xlfn._xlws.FILTER(OFFSET($O$15,0,$DO103,$B$8,1),OFFSET($M$15,0,0,$B$8,1))=EO$14))   /   SUM(OFFSET($BO$15,0,0,$B$14,1)) + $B$18/($B$19*$B$19*($DN103&lt;&gt;$DO103) + $B$19*($DN103=$DO103))</f>
        <v>3.7037037037037035E-4</v>
      </c>
      <c r="EP103" s="10" cm="1">
        <f t="array" aca="1" ref="EP103" ca="1">(1-$B$18)*SUMPRODUCT(OFFSET($BO$15,0,0,$B$14,1), 1*(_xlfn._xlws.FILTER(OFFSET($O$15,0,$DN103,$B$8,1),OFFSET($M$15,0,0,$B$8,1))=EP$13), 1*(_xlfn._xlws.FILTER(OFFSET($O$15,0,$DO103,$B$8,1),OFFSET($M$15,0,0,$B$8,1))=EP$14))   /   SUM(OFFSET($BO$15,0,0,$B$14,1)) + $B$18/($B$19*$B$19*($DN103&lt;&gt;$DO103) + $B$19*($DN103=$DO103))</f>
        <v>3.7037037037037035E-4</v>
      </c>
      <c r="EQ103" s="10" cm="1">
        <f t="array" aca="1" ref="EQ103" ca="1">(1-$B$18)*SUMPRODUCT(OFFSET($BO$15,0,0,$B$14,1), 1*(_xlfn._xlws.FILTER(OFFSET($O$15,0,$DN103,$B$8,1),OFFSET($M$15,0,0,$B$8,1))=EQ$13), 1*(_xlfn._xlws.FILTER(OFFSET($O$15,0,$DO103,$B$8,1),OFFSET($M$15,0,0,$B$8,1))=EQ$14))   /   SUM(OFFSET($BO$15,0,0,$B$14,1)) + $B$18/($B$19*$B$19*($DN103&lt;&gt;$DO103) + $B$19*($DN103=$DO103))</f>
        <v>3.7037037037037035E-4</v>
      </c>
      <c r="ER103" s="10" cm="1">
        <f t="array" aca="1" ref="ER103" ca="1">(1-$B$18)*SUMPRODUCT(OFFSET($BO$15,0,0,$B$14,1), 1*(_xlfn._xlws.FILTER(OFFSET($O$15,0,$DN103,$B$8,1),OFFSET($M$15,0,0,$B$8,1))=ER$13), 1*(_xlfn._xlws.FILTER(OFFSET($O$15,0,$DO103,$B$8,1),OFFSET($M$15,0,0,$B$8,1))=ER$14))   /   SUM(OFFSET($BO$15,0,0,$B$14,1)) + $B$18/($B$19*$B$19*($DN103&lt;&gt;$DO103) + $B$19*($DN103=$DO103))</f>
        <v>3.7037037037037035E-4</v>
      </c>
      <c r="ES103" s="10" cm="1">
        <f t="array" aca="1" ref="ES103" ca="1">(1-$B$18)*SUMPRODUCT(OFFSET($BO$15,0,0,$B$14,1), 1*(_xlfn._xlws.FILTER(OFFSET($O$15,0,$DN103,$B$8,1),OFFSET($M$15,0,0,$B$8,1))=ES$13), 1*(_xlfn._xlws.FILTER(OFFSET($O$15,0,$DO103,$B$8,1),OFFSET($M$15,0,0,$B$8,1))=ES$14))   /   SUM(OFFSET($BO$15,0,0,$B$14,1)) + $B$18/($B$19*$B$19*($DN103&lt;&gt;$DO103) + $B$19*($DN103=$DO103))</f>
        <v>3.7037037037037035E-4</v>
      </c>
      <c r="ET103" s="10" cm="1">
        <f t="array" aca="1" ref="ET103" ca="1">(1-$B$18)*SUMPRODUCT(OFFSET($BO$15,0,0,$B$14,1), 1*(_xlfn._xlws.FILTER(OFFSET($O$15,0,$DN103,$B$8,1),OFFSET($M$15,0,0,$B$8,1))=ET$13), 1*(_xlfn._xlws.FILTER(OFFSET($O$15,0,$DO103,$B$8,1),OFFSET($M$15,0,0,$B$8,1))=ET$14))   /   SUM(OFFSET($BO$15,0,0,$B$14,1)) + $B$18/($B$19*$B$19*($DN103&lt;&gt;$DO103) + $B$19*($DN103=$DO103))</f>
        <v>3.7037037037037035E-4</v>
      </c>
      <c r="EU103" s="10" cm="1">
        <f t="array" aca="1" ref="EU103" ca="1">(1-$B$18)*SUMPRODUCT(OFFSET($BO$15,0,0,$B$14,1), 1*(_xlfn._xlws.FILTER(OFFSET($O$15,0,$DN103,$B$8,1),OFFSET($M$15,0,0,$B$8,1))=EU$13), 1*(_xlfn._xlws.FILTER(OFFSET($O$15,0,$DO103,$B$8,1),OFFSET($M$15,0,0,$B$8,1))=EU$14))   /   SUM(OFFSET($BO$15,0,0,$B$14,1)) + $B$18/($B$19*$B$19*($DN103&lt;&gt;$DO103) + $B$19*($DN103=$DO103))</f>
        <v>3.7037037037037035E-4</v>
      </c>
      <c r="EV103" s="10" cm="1">
        <f t="array" aca="1" ref="EV103" ca="1">(1-$B$18)*SUMPRODUCT(OFFSET($BO$15,0,0,$B$14,1), 1*(_xlfn._xlws.FILTER(OFFSET($O$15,0,$DN103,$B$8,1),OFFSET($M$15,0,0,$B$8,1))=EV$13), 1*(_xlfn._xlws.FILTER(OFFSET($O$15,0,$DO103,$B$8,1),OFFSET($M$15,0,0,$B$8,1))=EV$14))   /   SUM(OFFSET($BO$15,0,0,$B$14,1)) + $B$18/($B$19*$B$19*($DN103&lt;&gt;$DO103) + $B$19*($DN103=$DO103))</f>
        <v>3.7037037037037035E-4</v>
      </c>
      <c r="EW103" s="10" cm="1">
        <f t="array" aca="1" ref="EW103" ca="1">(1-$B$18)*SUMPRODUCT(OFFSET($BO$15,0,0,$B$14,1), 1*(_xlfn._xlws.FILTER(OFFSET($O$15,0,$DN103,$B$8,1),OFFSET($M$15,0,0,$B$8,1))=EW$13), 1*(_xlfn._xlws.FILTER(OFFSET($O$15,0,$DO103,$B$8,1),OFFSET($M$15,0,0,$B$8,1))=EW$14))   /   SUM(OFFSET($BO$15,0,0,$B$14,1)) + $B$18/($B$19*$B$19*($DN103&lt;&gt;$DO103) + $B$19*($DN103=$DO103))</f>
        <v>3.7037037037037035E-4</v>
      </c>
      <c r="EX103" s="10" cm="1">
        <f t="array" aca="1" ref="EX103" ca="1">(1-$B$18)*SUMPRODUCT(OFFSET($BO$15,0,0,$B$14,1), 1*(_xlfn._xlws.FILTER(OFFSET($O$15,0,$DN103,$B$8,1),OFFSET($M$15,0,0,$B$8,1))=EX$13), 1*(_xlfn._xlws.FILTER(OFFSET($O$15,0,$DO103,$B$8,1),OFFSET($M$15,0,0,$B$8,1))=EX$14))   /   SUM(OFFSET($BO$15,0,0,$B$14,1)) + $B$18/($B$19*$B$19*($DN103&lt;&gt;$DO103) + $B$19*($DN103=$DO103))</f>
        <v>3.7037037037037035E-4</v>
      </c>
      <c r="EY103" s="10" cm="1">
        <f t="array" aca="1" ref="EY103" ca="1">(1-$B$18)*SUMPRODUCT(OFFSET($BO$15,0,0,$B$14,1), 1*(_xlfn._xlws.FILTER(OFFSET($O$15,0,$DN103,$B$8,1),OFFSET($M$15,0,0,$B$8,1))=EY$13), 1*(_xlfn._xlws.FILTER(OFFSET($O$15,0,$DO103,$B$8,1),OFFSET($M$15,0,0,$B$8,1))=EY$14))   /   SUM(OFFSET($BO$15,0,0,$B$14,1)) + $B$18/($B$19*$B$19*($DN103&lt;&gt;$DO103) + $B$19*($DN103=$DO103))</f>
        <v>3.7037037037037035E-4</v>
      </c>
      <c r="EZ103" s="10" cm="1">
        <f t="array" aca="1" ref="EZ103" ca="1">(1-$B$18)*SUMPRODUCT(OFFSET($BO$15,0,0,$B$14,1), 1*(_xlfn._xlws.FILTER(OFFSET($O$15,0,$DN103,$B$8,1),OFFSET($M$15,0,0,$B$8,1))=EZ$13), 1*(_xlfn._xlws.FILTER(OFFSET($O$15,0,$DO103,$B$8,1),OFFSET($M$15,0,0,$B$8,1))=EZ$14))   /   SUM(OFFSET($BO$15,0,0,$B$14,1)) + $B$18/($B$19*$B$19*($DN103&lt;&gt;$DO103) + $B$19*($DN103=$DO103))</f>
        <v>3.7037037037037035E-4</v>
      </c>
      <c r="FA103" s="10" cm="1">
        <f t="array" aca="1" ref="FA103" ca="1">(1-$B$18)*SUMPRODUCT(OFFSET($BO$15,0,0,$B$14,1), 1*(_xlfn._xlws.FILTER(OFFSET($O$15,0,$DN103,$B$8,1),OFFSET($M$15,0,0,$B$8,1))=FA$13), 1*(_xlfn._xlws.FILTER(OFFSET($O$15,0,$DO103,$B$8,1),OFFSET($M$15,0,0,$B$8,1))=FA$14))   /   SUM(OFFSET($BO$15,0,0,$B$14,1)) + $B$18/($B$19*$B$19*($DN103&lt;&gt;$DO103) + $B$19*($DN103=$DO103))</f>
        <v>3.7037037037037035E-4</v>
      </c>
      <c r="FB103" s="10" cm="1">
        <f t="array" aca="1" ref="FB103" ca="1">(1-$B$18)*SUMPRODUCT(OFFSET($BO$15,0,0,$B$14,1), 1*(_xlfn._xlws.FILTER(OFFSET($O$15,0,$DN103,$B$8,1),OFFSET($M$15,0,0,$B$8,1))=FB$13), 1*(_xlfn._xlws.FILTER(OFFSET($O$15,0,$DO103,$B$8,1),OFFSET($M$15,0,0,$B$8,1))=FB$14))   /   SUM(OFFSET($BO$15,0,0,$B$14,1)) + $B$18/($B$19*$B$19*($DN103&lt;&gt;$DO103) + $B$19*($DN103=$DO103))</f>
        <v>3.7037037037037035E-4</v>
      </c>
      <c r="FC103" s="10" cm="1">
        <f t="array" aca="1" ref="FC103" ca="1">(1-$B$18)*SUMPRODUCT(OFFSET($BO$15,0,0,$B$14,1), 1*(_xlfn._xlws.FILTER(OFFSET($O$15,0,$DN103,$B$8,1),OFFSET($M$15,0,0,$B$8,1))=FC$13), 1*(_xlfn._xlws.FILTER(OFFSET($O$15,0,$DO103,$B$8,1),OFFSET($M$15,0,0,$B$8,1))=FC$14))   /   SUM(OFFSET($BO$15,0,0,$B$14,1)) + $B$18/($B$19*$B$19*($DN103&lt;&gt;$DO103) + $B$19*($DN103=$DO103))</f>
        <v>3.7037037037037035E-4</v>
      </c>
      <c r="FD103" s="10" cm="1">
        <f t="array" aca="1" ref="FD103" ca="1">(1-$B$18)*SUMPRODUCT(OFFSET($BO$15,0,0,$B$14,1), 1*(_xlfn._xlws.FILTER(OFFSET($O$15,0,$DN103,$B$8,1),OFFSET($M$15,0,0,$B$8,1))=FD$13), 1*(_xlfn._xlws.FILTER(OFFSET($O$15,0,$DO103,$B$8,1),OFFSET($M$15,0,0,$B$8,1))=FD$14))   /   SUM(OFFSET($BO$15,0,0,$B$14,1)) + $B$18/($B$19*$B$19*($DN103&lt;&gt;$DO103) + $B$19*($DN103=$DO103))</f>
        <v>3.7037037037037035E-4</v>
      </c>
      <c r="FE103" s="10" cm="1">
        <f t="array" aca="1" ref="FE103" ca="1">(1-$B$18)*SUMPRODUCT(OFFSET($BO$15,0,0,$B$14,1), 1*(_xlfn._xlws.FILTER(OFFSET($O$15,0,$DN103,$B$8,1),OFFSET($M$15,0,0,$B$8,1))=FE$13), 1*(_xlfn._xlws.FILTER(OFFSET($O$15,0,$DO103,$B$8,1),OFFSET($M$15,0,0,$B$8,1))=FE$14))   /   SUM(OFFSET($BO$15,0,0,$B$14,1)) + $B$18/($B$19*$B$19*($DN103&lt;&gt;$DO103) + $B$19*($DN103=$DO103))</f>
        <v>3.7037037037037035E-4</v>
      </c>
      <c r="FF103" s="10" cm="1">
        <f t="array" aca="1" ref="FF103" ca="1">(1-$B$18)*SUMPRODUCT(OFFSET($BO$15,0,0,$B$14,1), 1*(_xlfn._xlws.FILTER(OFFSET($O$15,0,$DN103,$B$8,1),OFFSET($M$15,0,0,$B$8,1))=FF$13), 1*(_xlfn._xlws.FILTER(OFFSET($O$15,0,$DO103,$B$8,1),OFFSET($M$15,0,0,$B$8,1))=FF$14))   /   SUM(OFFSET($BO$15,0,0,$B$14,1)) + $B$18/($B$19*$B$19*($DN103&lt;&gt;$DO103) + $B$19*($DN103=$DO103))</f>
        <v>3.7037037037037035E-4</v>
      </c>
      <c r="FG103" s="10" cm="1">
        <f t="array" aca="1" ref="FG103" ca="1">(1-$B$18)*SUMPRODUCT(OFFSET($BO$15,0,0,$B$14,1), 1*(_xlfn._xlws.FILTER(OFFSET($O$15,0,$DN103,$B$8,1),OFFSET($M$15,0,0,$B$8,1))=FG$13), 1*(_xlfn._xlws.FILTER(OFFSET($O$15,0,$DO103,$B$8,1),OFFSET($M$15,0,0,$B$8,1))=FG$14))   /   SUM(OFFSET($BO$15,0,0,$B$14,1)) + $B$18/($B$19*$B$19*($DN103&lt;&gt;$DO103) + $B$19*($DN103=$DO103))</f>
        <v>3.7037037037037035E-4</v>
      </c>
      <c r="FH103" s="10" cm="1">
        <f t="array" aca="1" ref="FH103" ca="1">(1-$B$18)*SUMPRODUCT(OFFSET($BO$15,0,0,$B$14,1), 1*(_xlfn._xlws.FILTER(OFFSET($O$15,0,$DN103,$B$8,1),OFFSET($M$15,0,0,$B$8,1))=FH$13), 1*(_xlfn._xlws.FILTER(OFFSET($O$15,0,$DO103,$B$8,1),OFFSET($M$15,0,0,$B$8,1))=FH$14))   /   SUM(OFFSET($BO$15,0,0,$B$14,1)) + $B$18/($B$19*$B$19*($DN103&lt;&gt;$DO103) + $B$19*($DN103=$DO103))</f>
        <v>3.7037037037037035E-4</v>
      </c>
      <c r="FI103" s="10" cm="1">
        <f t="array" aca="1" ref="FI103" ca="1">(1-$B$18)*SUMPRODUCT(OFFSET($BO$15,0,0,$B$14,1), 1*(_xlfn._xlws.FILTER(OFFSET($O$15,0,$DN103,$B$8,1),OFFSET($M$15,0,0,$B$8,1))=FI$13), 1*(_xlfn._xlws.FILTER(OFFSET($O$15,0,$DO103,$B$8,1),OFFSET($M$15,0,0,$B$8,1))=FI$14))   /   SUM(OFFSET($BO$15,0,0,$B$14,1)) + $B$18/($B$19*$B$19*($DN103&lt;&gt;$DO103) + $B$19*($DN103=$DO103))</f>
        <v>3.7037037037037035E-4</v>
      </c>
      <c r="FJ103" s="10" cm="1">
        <f t="array" aca="1" ref="FJ103" ca="1">(1-$B$18)*SUMPRODUCT(OFFSET($BO$15,0,0,$B$14,1), 1*(_xlfn._xlws.FILTER(OFFSET($O$15,0,$DN103,$B$8,1),OFFSET($M$15,0,0,$B$8,1))=FJ$13), 1*(_xlfn._xlws.FILTER(OFFSET($O$15,0,$DO103,$B$8,1),OFFSET($M$15,0,0,$B$8,1))=FJ$14))   /   SUM(OFFSET($BO$15,0,0,$B$14,1)) + $B$18/($B$19*$B$19*($DN103&lt;&gt;$DO103) + $B$19*($DN103=$DO103))</f>
        <v>3.7037037037037035E-4</v>
      </c>
      <c r="FK103" s="10" cm="1">
        <f t="array" aca="1" ref="FK103" ca="1">(1-$B$18)*SUMPRODUCT(OFFSET($BO$15,0,0,$B$14,1), 1*(_xlfn._xlws.FILTER(OFFSET($O$15,0,$DN103,$B$8,1),OFFSET($M$15,0,0,$B$8,1))=FK$13), 1*(_xlfn._xlws.FILTER(OFFSET($O$15,0,$DO103,$B$8,1),OFFSET($M$15,0,0,$B$8,1))=FK$14))   /   SUM(OFFSET($BO$15,0,0,$B$14,1)) + $B$18/($B$19*$B$19*($DN103&lt;&gt;$DO103) + $B$19*($DN103=$DO103))</f>
        <v>3.7037037037037035E-4</v>
      </c>
      <c r="FL103" s="10" cm="1">
        <f t="array" aca="1" ref="FL103" ca="1">(1-$B$18)*SUMPRODUCT(OFFSET($BO$15,0,0,$B$14,1), 1*(_xlfn._xlws.FILTER(OFFSET($O$15,0,$DN103,$B$8,1),OFFSET($M$15,0,0,$B$8,1))=FL$13), 1*(_xlfn._xlws.FILTER(OFFSET($O$15,0,$DO103,$B$8,1),OFFSET($M$15,0,0,$B$8,1))=FL$14))   /   SUM(OFFSET($BO$15,0,0,$B$14,1)) + $B$18/($B$19*$B$19*($DN103&lt;&gt;$DO103) + $B$19*($DN103=$DO103))</f>
        <v>3.7037037037037035E-4</v>
      </c>
      <c r="FM103" s="10" cm="1">
        <f t="array" aca="1" ref="FM103" ca="1">(1-$B$18)*SUMPRODUCT(OFFSET($BO$15,0,0,$B$14,1), 1*(_xlfn._xlws.FILTER(OFFSET($O$15,0,$DN103,$B$8,1),OFFSET($M$15,0,0,$B$8,1))=FM$13), 1*(_xlfn._xlws.FILTER(OFFSET($O$15,0,$DO103,$B$8,1),OFFSET($M$15,0,0,$B$8,1))=FM$14))   /   SUM(OFFSET($BO$15,0,0,$B$14,1)) + $B$18/($B$19*$B$19*($DN103&lt;&gt;$DO103) + $B$19*($DN103=$DO103))</f>
        <v>0.97037037037037033</v>
      </c>
      <c r="FN103" s="10" cm="1">
        <f t="array" aca="1" ref="FN103" ca="1">(1-$B$18)*SUMPRODUCT(OFFSET($BO$15,0,0,$B$14,1), 1*(_xlfn._xlws.FILTER(OFFSET($O$15,0,$DN103,$B$8,1),OFFSET($M$15,0,0,$B$8,1))=FN$13), 1*(_xlfn._xlws.FILTER(OFFSET($O$15,0,$DO103,$B$8,1),OFFSET($M$15,0,0,$B$8,1))=FN$14))   /   SUM(OFFSET($BO$15,0,0,$B$14,1)) + $B$18/($B$19*$B$19*($DN103&lt;&gt;$DO103) + $B$19*($DN103=$DO103))</f>
        <v>3.7037037037037035E-4</v>
      </c>
      <c r="FO103" s="10" cm="1">
        <f t="array" aca="1" ref="FO103" ca="1">(1-$B$18)*SUMPRODUCT(OFFSET($BO$15,0,0,$B$14,1), 1*(_xlfn._xlws.FILTER(OFFSET($O$15,0,$DN103,$B$8,1),OFFSET($M$15,0,0,$B$8,1))=FO$13), 1*(_xlfn._xlws.FILTER(OFFSET($O$15,0,$DO103,$B$8,1),OFFSET($M$15,0,0,$B$8,1))=FO$14))   /   SUM(OFFSET($BO$15,0,0,$B$14,1)) + $B$18/($B$19*$B$19*($DN103&lt;&gt;$DO103) + $B$19*($DN103=$DO103))</f>
        <v>3.7037037037037035E-4</v>
      </c>
      <c r="FP103" s="10" cm="1">
        <f t="array" aca="1" ref="FP103" ca="1">(1-$B$18)*SUMPRODUCT(OFFSET($BO$15,0,0,$B$14,1), 1*(_xlfn._xlws.FILTER(OFFSET($O$15,0,$DN103,$B$8,1),OFFSET($M$15,0,0,$B$8,1))=FP$13), 1*(_xlfn._xlws.FILTER(OFFSET($O$15,0,$DO103,$B$8,1),OFFSET($M$15,0,0,$B$8,1))=FP$14))   /   SUM(OFFSET($BO$15,0,0,$B$14,1)) + $B$18/($B$19*$B$19*($DN103&lt;&gt;$DO103) + $B$19*($DN103=$DO103))</f>
        <v>3.7037037037037035E-4</v>
      </c>
      <c r="FQ103" s="10" cm="1">
        <f t="array" aca="1" ref="FQ103" ca="1">(1-$B$18)*SUMPRODUCT(OFFSET($BO$15,0,0,$B$14,1), 1*(_xlfn._xlws.FILTER(OFFSET($O$15,0,$DN103,$B$8,1),OFFSET($M$15,0,0,$B$8,1))=FQ$13), 1*(_xlfn._xlws.FILTER(OFFSET($O$15,0,$DO103,$B$8,1),OFFSET($M$15,0,0,$B$8,1))=FQ$14))   /   SUM(OFFSET($BO$15,0,0,$B$14,1)) + $B$18/($B$19*$B$19*($DN103&lt;&gt;$DO103) + $B$19*($DN103=$DO103))</f>
        <v>3.7037037037037035E-4</v>
      </c>
      <c r="FR103" s="10" cm="1">
        <f t="array" aca="1" ref="FR103" ca="1">(1-$B$18)*SUMPRODUCT(OFFSET($BO$15,0,0,$B$14,1), 1*(_xlfn._xlws.FILTER(OFFSET($O$15,0,$DN103,$B$8,1),OFFSET($M$15,0,0,$B$8,1))=FR$13), 1*(_xlfn._xlws.FILTER(OFFSET($O$15,0,$DO103,$B$8,1),OFFSET($M$15,0,0,$B$8,1))=FR$14))   /   SUM(OFFSET($BO$15,0,0,$B$14,1)) + $B$18/($B$19*$B$19*($DN103&lt;&gt;$DO103) + $B$19*($DN103=$DO103))</f>
        <v>3.7037037037037035E-4</v>
      </c>
      <c r="FS103" s="10" cm="1">
        <f t="array" aca="1" ref="FS103" ca="1">(1-$B$18)*SUMPRODUCT(OFFSET($BO$15,0,0,$B$14,1), 1*(_xlfn._xlws.FILTER(OFFSET($O$15,0,$DN103,$B$8,1),OFFSET($M$15,0,0,$B$8,1))=FS$13), 1*(_xlfn._xlws.FILTER(OFFSET($O$15,0,$DO103,$B$8,1),OFFSET($M$15,0,0,$B$8,1))=FS$14))   /   SUM(OFFSET($BO$15,0,0,$B$14,1)) + $B$18/($B$19*$B$19*($DN103&lt;&gt;$DO103) + $B$19*($DN103=$DO103))</f>
        <v>3.7037037037037035E-4</v>
      </c>
      <c r="FT103" s="10" cm="1">
        <f t="array" aca="1" ref="FT103" ca="1">(1-$B$18)*SUMPRODUCT(OFFSET($BO$15,0,0,$B$14,1), 1*(_xlfn._xlws.FILTER(OFFSET($O$15,0,$DN103,$B$8,1),OFFSET($M$15,0,0,$B$8,1))=FT$13), 1*(_xlfn._xlws.FILTER(OFFSET($O$15,0,$DO103,$B$8,1),OFFSET($M$15,0,0,$B$8,1))=FT$14))   /   SUM(OFFSET($BO$15,0,0,$B$14,1)) + $B$18/($B$19*$B$19*($DN103&lt;&gt;$DO103) + $B$19*($DN103=$DO103))</f>
        <v>3.7037037037037035E-4</v>
      </c>
      <c r="FU103" s="10" cm="1">
        <f t="array" aca="1" ref="FU103" ca="1">(1-$B$18)*SUMPRODUCT(OFFSET($BO$15,0,0,$B$14,1), 1*(_xlfn._xlws.FILTER(OFFSET($O$15,0,$DN103,$B$8,1),OFFSET($M$15,0,0,$B$8,1))=FU$13), 1*(_xlfn._xlws.FILTER(OFFSET($O$15,0,$DO103,$B$8,1),OFFSET($M$15,0,0,$B$8,1))=FU$14))   /   SUM(OFFSET($BO$15,0,0,$B$14,1)) + $B$18/($B$19*$B$19*($DN103&lt;&gt;$DO103) + $B$19*($DN103=$DO103))</f>
        <v>3.7037037037037035E-4</v>
      </c>
      <c r="FV103" s="10" cm="1">
        <f t="array" aca="1" ref="FV103" ca="1">(1-$B$18)*SUMPRODUCT(OFFSET($BO$15,0,0,$B$14,1), 1*(_xlfn._xlws.FILTER(OFFSET($O$15,0,$DN103,$B$8,1),OFFSET($M$15,0,0,$B$8,1))=FV$13), 1*(_xlfn._xlws.FILTER(OFFSET($O$15,0,$DO103,$B$8,1),OFFSET($M$15,0,0,$B$8,1))=FV$14))   /   SUM(OFFSET($BO$15,0,0,$B$14,1)) + $B$18/($B$19*$B$19*($DN103&lt;&gt;$DO103) + $B$19*($DN103=$DO103))</f>
        <v>3.7037037037037035E-4</v>
      </c>
      <c r="FW103" s="10" cm="1">
        <f t="array" aca="1" ref="FW103" ca="1">(1-$B$18)*SUMPRODUCT(OFFSET($BO$15,0,0,$B$14,1), 1*(_xlfn._xlws.FILTER(OFFSET($O$15,0,$DN103,$B$8,1),OFFSET($M$15,0,0,$B$8,1))=FW$13), 1*(_xlfn._xlws.FILTER(OFFSET($O$15,0,$DO103,$B$8,1),OFFSET($M$15,0,0,$B$8,1))=FW$14))   /   SUM(OFFSET($BO$15,0,0,$B$14,1)) + $B$18/($B$19*$B$19*($DN103&lt;&gt;$DO103) + $B$19*($DN103=$DO103))</f>
        <v>3.7037037037037035E-4</v>
      </c>
      <c r="FX103" s="10" cm="1">
        <f t="array" aca="1" ref="FX103" ca="1">(1-$B$18)*SUMPRODUCT(OFFSET($BO$15,0,0,$B$14,1), 1*(_xlfn._xlws.FILTER(OFFSET($O$15,0,$DN103,$B$8,1),OFFSET($M$15,0,0,$B$8,1))=FX$13), 1*(_xlfn._xlws.FILTER(OFFSET($O$15,0,$DO103,$B$8,1),OFFSET($M$15,0,0,$B$8,1))=FX$14))   /   SUM(OFFSET($BO$15,0,0,$B$14,1)) + $B$18/($B$19*$B$19*($DN103&lt;&gt;$DO103) + $B$19*($DN103=$DO103))</f>
        <v>3.7037037037037035E-4</v>
      </c>
      <c r="FY103" s="10" cm="1">
        <f t="array" aca="1" ref="FY103" ca="1">(1-$B$18)*SUMPRODUCT(OFFSET($BO$15,0,0,$B$14,1), 1*(_xlfn._xlws.FILTER(OFFSET($O$15,0,$DN103,$B$8,1),OFFSET($M$15,0,0,$B$8,1))=FY$13), 1*(_xlfn._xlws.FILTER(OFFSET($O$15,0,$DO103,$B$8,1),OFFSET($M$15,0,0,$B$8,1))=FY$14))   /   SUM(OFFSET($BO$15,0,0,$B$14,1)) + $B$18/($B$19*$B$19*($DN103&lt;&gt;$DO103) + $B$19*($DN103=$DO103))</f>
        <v>3.7037037037037035E-4</v>
      </c>
      <c r="FZ103" s="10" cm="1">
        <f t="array" aca="1" ref="FZ103" ca="1">(1-$B$18)*SUMPRODUCT(OFFSET($BO$15,0,0,$B$14,1), 1*(_xlfn._xlws.FILTER(OFFSET($O$15,0,$DN103,$B$8,1),OFFSET($M$15,0,0,$B$8,1))=FZ$13), 1*(_xlfn._xlws.FILTER(OFFSET($O$15,0,$DO103,$B$8,1),OFFSET($M$15,0,0,$B$8,1))=FZ$14))   /   SUM(OFFSET($BO$15,0,0,$B$14,1)) + $B$18/($B$19*$B$19*($DN103&lt;&gt;$DO103) + $B$19*($DN103=$DO103))</f>
        <v>3.7037037037037035E-4</v>
      </c>
      <c r="GA103" s="10" cm="1">
        <f t="array" aca="1" ref="GA103" ca="1">(1-$B$18)*SUMPRODUCT(OFFSET($BO$15,0,0,$B$14,1), 1*(_xlfn._xlws.FILTER(OFFSET($O$15,0,$DN103,$B$8,1),OFFSET($M$15,0,0,$B$8,1))=GA$13), 1*(_xlfn._xlws.FILTER(OFFSET($O$15,0,$DO103,$B$8,1),OFFSET($M$15,0,0,$B$8,1))=GA$14))   /   SUM(OFFSET($BO$15,0,0,$B$14,1)) + $B$18/($B$19*$B$19*($DN103&lt;&gt;$DO103) + $B$19*($DN103=$DO103))</f>
        <v>3.7037037037037035E-4</v>
      </c>
    </row>
    <row r="104" spans="8:183" x14ac:dyDescent="0.2">
      <c r="H104" s="2"/>
      <c r="DN104" cm="1">
        <f t="array" aca="1" ref="DN104" ca="1">INDEX(_xlfn.ANCHORARRAY($CP$15), 1 + INT((ROWS($DO$15:$DO104) - 1) / ROWS(_xlfn.ANCHORARRAY($CP$15))))</f>
        <v>4</v>
      </c>
      <c r="DO104" cm="1">
        <f t="array" aca="1" ref="DO104" ca="1">INDEX(_xlfn.ANCHORARRAY($CP$15),1+MOD(ROWS($DO$15:$DO104)-1,ROWS(_xlfn.ANCHORARRAY($CP$15))))</f>
        <v>14</v>
      </c>
      <c r="DP104" s="10" cm="1">
        <f t="array" aca="1" ref="DP104" ca="1">(1-$B$18)*SUMPRODUCT(OFFSET($BO$15,0,0,$B$14,1), 1*(_xlfn._xlws.FILTER(OFFSET($O$15,0,$DN104,$B$8,1),OFFSET($M$15,0,0,$B$8,1))=DP$13), 1*(_xlfn._xlws.FILTER(OFFSET($O$15,0,$DO104,$B$8,1),OFFSET($M$15,0,0,$B$8,1))=DP$14))   /   SUM(OFFSET($BO$15,0,0,$B$14,1)) + $B$18/($B$19*$B$19*($DN104&lt;&gt;$DO104) + $B$19*($DN104=$DO104))</f>
        <v>3.7037037037037035E-4</v>
      </c>
      <c r="DQ104" s="10" cm="1">
        <f t="array" aca="1" ref="DQ104" ca="1">(1-$B$18)*SUMPRODUCT(OFFSET($BO$15,0,0,$B$14,1), 1*(_xlfn._xlws.FILTER(OFFSET($O$15,0,$DN104,$B$8,1),OFFSET($M$15,0,0,$B$8,1))=DQ$13), 1*(_xlfn._xlws.FILTER(OFFSET($O$15,0,$DO104,$B$8,1),OFFSET($M$15,0,0,$B$8,1))=DQ$14))   /   SUM(OFFSET($BO$15,0,0,$B$14,1)) + $B$18/($B$19*$B$19*($DN104&lt;&gt;$DO104) + $B$19*($DN104=$DO104))</f>
        <v>3.7037037037037035E-4</v>
      </c>
      <c r="DR104" s="10" cm="1">
        <f t="array" aca="1" ref="DR104" ca="1">(1-$B$18)*SUMPRODUCT(OFFSET($BO$15,0,0,$B$14,1), 1*(_xlfn._xlws.FILTER(OFFSET($O$15,0,$DN104,$B$8,1),OFFSET($M$15,0,0,$B$8,1))=DR$13), 1*(_xlfn._xlws.FILTER(OFFSET($O$15,0,$DO104,$B$8,1),OFFSET($M$15,0,0,$B$8,1))=DR$14))   /   SUM(OFFSET($BO$15,0,0,$B$14,1)) + $B$18/($B$19*$B$19*($DN104&lt;&gt;$DO104) + $B$19*($DN104=$DO104))</f>
        <v>3.7037037037037035E-4</v>
      </c>
      <c r="DS104" s="10" cm="1">
        <f t="array" aca="1" ref="DS104" ca="1">(1-$B$18)*SUMPRODUCT(OFFSET($BO$15,0,0,$B$14,1), 1*(_xlfn._xlws.FILTER(OFFSET($O$15,0,$DN104,$B$8,1),OFFSET($M$15,0,0,$B$8,1))=DS$13), 1*(_xlfn._xlws.FILTER(OFFSET($O$15,0,$DO104,$B$8,1),OFFSET($M$15,0,0,$B$8,1))=DS$14))   /   SUM(OFFSET($BO$15,0,0,$B$14,1)) + $B$18/($B$19*$B$19*($DN104&lt;&gt;$DO104) + $B$19*($DN104=$DO104))</f>
        <v>3.7037037037037035E-4</v>
      </c>
      <c r="DT104" s="10" cm="1">
        <f t="array" aca="1" ref="DT104" ca="1">(1-$B$18)*SUMPRODUCT(OFFSET($BO$15,0,0,$B$14,1), 1*(_xlfn._xlws.FILTER(OFFSET($O$15,0,$DN104,$B$8,1),OFFSET($M$15,0,0,$B$8,1))=DT$13), 1*(_xlfn._xlws.FILTER(OFFSET($O$15,0,$DO104,$B$8,1),OFFSET($M$15,0,0,$B$8,1))=DT$14))   /   SUM(OFFSET($BO$15,0,0,$B$14,1)) + $B$18/($B$19*$B$19*($DN104&lt;&gt;$DO104) + $B$19*($DN104=$DO104))</f>
        <v>3.7037037037037035E-4</v>
      </c>
      <c r="DU104" s="10" cm="1">
        <f t="array" aca="1" ref="DU104" ca="1">(1-$B$18)*SUMPRODUCT(OFFSET($BO$15,0,0,$B$14,1), 1*(_xlfn._xlws.FILTER(OFFSET($O$15,0,$DN104,$B$8,1),OFFSET($M$15,0,0,$B$8,1))=DU$13), 1*(_xlfn._xlws.FILTER(OFFSET($O$15,0,$DO104,$B$8,1),OFFSET($M$15,0,0,$B$8,1))=DU$14))   /   SUM(OFFSET($BO$15,0,0,$B$14,1)) + $B$18/($B$19*$B$19*($DN104&lt;&gt;$DO104) + $B$19*($DN104=$DO104))</f>
        <v>3.7037037037037035E-4</v>
      </c>
      <c r="DV104" s="10" cm="1">
        <f t="array" aca="1" ref="DV104" ca="1">(1-$B$18)*SUMPRODUCT(OFFSET($BO$15,0,0,$B$14,1), 1*(_xlfn._xlws.FILTER(OFFSET($O$15,0,$DN104,$B$8,1),OFFSET($M$15,0,0,$B$8,1))=DV$13), 1*(_xlfn._xlws.FILTER(OFFSET($O$15,0,$DO104,$B$8,1),OFFSET($M$15,0,0,$B$8,1))=DV$14))   /   SUM(OFFSET($BO$15,0,0,$B$14,1)) + $B$18/($B$19*$B$19*($DN104&lt;&gt;$DO104) + $B$19*($DN104=$DO104))</f>
        <v>3.7037037037037035E-4</v>
      </c>
      <c r="DW104" s="10" cm="1">
        <f t="array" aca="1" ref="DW104" ca="1">(1-$B$18)*SUMPRODUCT(OFFSET($BO$15,0,0,$B$14,1), 1*(_xlfn._xlws.FILTER(OFFSET($O$15,0,$DN104,$B$8,1),OFFSET($M$15,0,0,$B$8,1))=DW$13), 1*(_xlfn._xlws.FILTER(OFFSET($O$15,0,$DO104,$B$8,1),OFFSET($M$15,0,0,$B$8,1))=DW$14))   /   SUM(OFFSET($BO$15,0,0,$B$14,1)) + $B$18/($B$19*$B$19*($DN104&lt;&gt;$DO104) + $B$19*($DN104=$DO104))</f>
        <v>3.7037037037037035E-4</v>
      </c>
      <c r="DX104" s="10" cm="1">
        <f t="array" aca="1" ref="DX104" ca="1">(1-$B$18)*SUMPRODUCT(OFFSET($BO$15,0,0,$B$14,1), 1*(_xlfn._xlws.FILTER(OFFSET($O$15,0,$DN104,$B$8,1),OFFSET($M$15,0,0,$B$8,1))=DX$13), 1*(_xlfn._xlws.FILTER(OFFSET($O$15,0,$DO104,$B$8,1),OFFSET($M$15,0,0,$B$8,1))=DX$14))   /   SUM(OFFSET($BO$15,0,0,$B$14,1)) + $B$18/($B$19*$B$19*($DN104&lt;&gt;$DO104) + $B$19*($DN104=$DO104))</f>
        <v>3.7037037037037035E-4</v>
      </c>
      <c r="DY104" s="10" cm="1">
        <f t="array" aca="1" ref="DY104" ca="1">(1-$B$18)*SUMPRODUCT(OFFSET($BO$15,0,0,$B$14,1), 1*(_xlfn._xlws.FILTER(OFFSET($O$15,0,$DN104,$B$8,1),OFFSET($M$15,0,0,$B$8,1))=DY$13), 1*(_xlfn._xlws.FILTER(OFFSET($O$15,0,$DO104,$B$8,1),OFFSET($M$15,0,0,$B$8,1))=DY$14))   /   SUM(OFFSET($BO$15,0,0,$B$14,1)) + $B$18/($B$19*$B$19*($DN104&lt;&gt;$DO104) + $B$19*($DN104=$DO104))</f>
        <v>3.7037037037037035E-4</v>
      </c>
      <c r="DZ104" s="10" cm="1">
        <f t="array" aca="1" ref="DZ104" ca="1">(1-$B$18)*SUMPRODUCT(OFFSET($BO$15,0,0,$B$14,1), 1*(_xlfn._xlws.FILTER(OFFSET($O$15,0,$DN104,$B$8,1),OFFSET($M$15,0,0,$B$8,1))=DZ$13), 1*(_xlfn._xlws.FILTER(OFFSET($O$15,0,$DO104,$B$8,1),OFFSET($M$15,0,0,$B$8,1))=DZ$14))   /   SUM(OFFSET($BO$15,0,0,$B$14,1)) + $B$18/($B$19*$B$19*($DN104&lt;&gt;$DO104) + $B$19*($DN104=$DO104))</f>
        <v>3.7037037037037035E-4</v>
      </c>
      <c r="EA104" s="10" cm="1">
        <f t="array" aca="1" ref="EA104" ca="1">(1-$B$18)*SUMPRODUCT(OFFSET($BO$15,0,0,$B$14,1), 1*(_xlfn._xlws.FILTER(OFFSET($O$15,0,$DN104,$B$8,1),OFFSET($M$15,0,0,$B$8,1))=EA$13), 1*(_xlfn._xlws.FILTER(OFFSET($O$15,0,$DO104,$B$8,1),OFFSET($M$15,0,0,$B$8,1))=EA$14))   /   SUM(OFFSET($BO$15,0,0,$B$14,1)) + $B$18/($B$19*$B$19*($DN104&lt;&gt;$DO104) + $B$19*($DN104=$DO104))</f>
        <v>3.7037037037037035E-4</v>
      </c>
      <c r="EB104" s="10" cm="1">
        <f t="array" aca="1" ref="EB104" ca="1">(1-$B$18)*SUMPRODUCT(OFFSET($BO$15,0,0,$B$14,1), 1*(_xlfn._xlws.FILTER(OFFSET($O$15,0,$DN104,$B$8,1),OFFSET($M$15,0,0,$B$8,1))=EB$13), 1*(_xlfn._xlws.FILTER(OFFSET($O$15,0,$DO104,$B$8,1),OFFSET($M$15,0,0,$B$8,1))=EB$14))   /   SUM(OFFSET($BO$15,0,0,$B$14,1)) + $B$18/($B$19*$B$19*($DN104&lt;&gt;$DO104) + $B$19*($DN104=$DO104))</f>
        <v>3.7037037037037035E-4</v>
      </c>
      <c r="EC104" s="10" cm="1">
        <f t="array" aca="1" ref="EC104" ca="1">(1-$B$18)*SUMPRODUCT(OFFSET($BO$15,0,0,$B$14,1), 1*(_xlfn._xlws.FILTER(OFFSET($O$15,0,$DN104,$B$8,1),OFFSET($M$15,0,0,$B$8,1))=EC$13), 1*(_xlfn._xlws.FILTER(OFFSET($O$15,0,$DO104,$B$8,1),OFFSET($M$15,0,0,$B$8,1))=EC$14))   /   SUM(OFFSET($BO$15,0,0,$B$14,1)) + $B$18/($B$19*$B$19*($DN104&lt;&gt;$DO104) + $B$19*($DN104=$DO104))</f>
        <v>3.7037037037037035E-4</v>
      </c>
      <c r="ED104" s="10" cm="1">
        <f t="array" aca="1" ref="ED104" ca="1">(1-$B$18)*SUMPRODUCT(OFFSET($BO$15,0,0,$B$14,1), 1*(_xlfn._xlws.FILTER(OFFSET($O$15,0,$DN104,$B$8,1),OFFSET($M$15,0,0,$B$8,1))=ED$13), 1*(_xlfn._xlws.FILTER(OFFSET($O$15,0,$DO104,$B$8,1),OFFSET($M$15,0,0,$B$8,1))=ED$14))   /   SUM(OFFSET($BO$15,0,0,$B$14,1)) + $B$18/($B$19*$B$19*($DN104&lt;&gt;$DO104) + $B$19*($DN104=$DO104))</f>
        <v>3.7037037037037035E-4</v>
      </c>
      <c r="EE104" s="10" cm="1">
        <f t="array" aca="1" ref="EE104" ca="1">(1-$B$18)*SUMPRODUCT(OFFSET($BO$15,0,0,$B$14,1), 1*(_xlfn._xlws.FILTER(OFFSET($O$15,0,$DN104,$B$8,1),OFFSET($M$15,0,0,$B$8,1))=EE$13), 1*(_xlfn._xlws.FILTER(OFFSET($O$15,0,$DO104,$B$8,1),OFFSET($M$15,0,0,$B$8,1))=EE$14))   /   SUM(OFFSET($BO$15,0,0,$B$14,1)) + $B$18/($B$19*$B$19*($DN104&lt;&gt;$DO104) + $B$19*($DN104=$DO104))</f>
        <v>3.7037037037037035E-4</v>
      </c>
      <c r="EF104" s="10" cm="1">
        <f t="array" aca="1" ref="EF104" ca="1">(1-$B$18)*SUMPRODUCT(OFFSET($BO$15,0,0,$B$14,1), 1*(_xlfn._xlws.FILTER(OFFSET($O$15,0,$DN104,$B$8,1),OFFSET($M$15,0,0,$B$8,1))=EF$13), 1*(_xlfn._xlws.FILTER(OFFSET($O$15,0,$DO104,$B$8,1),OFFSET($M$15,0,0,$B$8,1))=EF$14))   /   SUM(OFFSET($BO$15,0,0,$B$14,1)) + $B$18/($B$19*$B$19*($DN104&lt;&gt;$DO104) + $B$19*($DN104=$DO104))</f>
        <v>3.7037037037037035E-4</v>
      </c>
      <c r="EG104" s="10" cm="1">
        <f t="array" aca="1" ref="EG104" ca="1">(1-$B$18)*SUMPRODUCT(OFFSET($BO$15,0,0,$B$14,1), 1*(_xlfn._xlws.FILTER(OFFSET($O$15,0,$DN104,$B$8,1),OFFSET($M$15,0,0,$B$8,1))=EG$13), 1*(_xlfn._xlws.FILTER(OFFSET($O$15,0,$DO104,$B$8,1),OFFSET($M$15,0,0,$B$8,1))=EG$14))   /   SUM(OFFSET($BO$15,0,0,$B$14,1)) + $B$18/($B$19*$B$19*($DN104&lt;&gt;$DO104) + $B$19*($DN104=$DO104))</f>
        <v>3.7037037037037035E-4</v>
      </c>
      <c r="EH104" s="10" cm="1">
        <f t="array" aca="1" ref="EH104" ca="1">(1-$B$18)*SUMPRODUCT(OFFSET($BO$15,0,0,$B$14,1), 1*(_xlfn._xlws.FILTER(OFFSET($O$15,0,$DN104,$B$8,1),OFFSET($M$15,0,0,$B$8,1))=EH$13), 1*(_xlfn._xlws.FILTER(OFFSET($O$15,0,$DO104,$B$8,1),OFFSET($M$15,0,0,$B$8,1))=EH$14))   /   SUM(OFFSET($BO$15,0,0,$B$14,1)) + $B$18/($B$19*$B$19*($DN104&lt;&gt;$DO104) + $B$19*($DN104=$DO104))</f>
        <v>3.7037037037037035E-4</v>
      </c>
      <c r="EI104" s="10" cm="1">
        <f t="array" aca="1" ref="EI104" ca="1">(1-$B$18)*SUMPRODUCT(OFFSET($BO$15,0,0,$B$14,1), 1*(_xlfn._xlws.FILTER(OFFSET($O$15,0,$DN104,$B$8,1),OFFSET($M$15,0,0,$B$8,1))=EI$13), 1*(_xlfn._xlws.FILTER(OFFSET($O$15,0,$DO104,$B$8,1),OFFSET($M$15,0,0,$B$8,1))=EI$14))   /   SUM(OFFSET($BO$15,0,0,$B$14,1)) + $B$18/($B$19*$B$19*($DN104&lt;&gt;$DO104) + $B$19*($DN104=$DO104))</f>
        <v>3.7037037037037035E-4</v>
      </c>
      <c r="EJ104" s="10" cm="1">
        <f t="array" aca="1" ref="EJ104" ca="1">(1-$B$18)*SUMPRODUCT(OFFSET($BO$15,0,0,$B$14,1), 1*(_xlfn._xlws.FILTER(OFFSET($O$15,0,$DN104,$B$8,1),OFFSET($M$15,0,0,$B$8,1))=EJ$13), 1*(_xlfn._xlws.FILTER(OFFSET($O$15,0,$DO104,$B$8,1),OFFSET($M$15,0,0,$B$8,1))=EJ$14))   /   SUM(OFFSET($BO$15,0,0,$B$14,1)) + $B$18/($B$19*$B$19*($DN104&lt;&gt;$DO104) + $B$19*($DN104=$DO104))</f>
        <v>3.7037037037037035E-4</v>
      </c>
      <c r="EK104" s="10" cm="1">
        <f t="array" aca="1" ref="EK104" ca="1">(1-$B$18)*SUMPRODUCT(OFFSET($BO$15,0,0,$B$14,1), 1*(_xlfn._xlws.FILTER(OFFSET($O$15,0,$DN104,$B$8,1),OFFSET($M$15,0,0,$B$8,1))=EK$13), 1*(_xlfn._xlws.FILTER(OFFSET($O$15,0,$DO104,$B$8,1),OFFSET($M$15,0,0,$B$8,1))=EK$14))   /   SUM(OFFSET($BO$15,0,0,$B$14,1)) + $B$18/($B$19*$B$19*($DN104&lt;&gt;$DO104) + $B$19*($DN104=$DO104))</f>
        <v>3.7037037037037035E-4</v>
      </c>
      <c r="EL104" s="10" cm="1">
        <f t="array" aca="1" ref="EL104" ca="1">(1-$B$18)*SUMPRODUCT(OFFSET($BO$15,0,0,$B$14,1), 1*(_xlfn._xlws.FILTER(OFFSET($O$15,0,$DN104,$B$8,1),OFFSET($M$15,0,0,$B$8,1))=EL$13), 1*(_xlfn._xlws.FILTER(OFFSET($O$15,0,$DO104,$B$8,1),OFFSET($M$15,0,0,$B$8,1))=EL$14))   /   SUM(OFFSET($BO$15,0,0,$B$14,1)) + $B$18/($B$19*$B$19*($DN104&lt;&gt;$DO104) + $B$19*($DN104=$DO104))</f>
        <v>3.7037037037037035E-4</v>
      </c>
      <c r="EM104" s="10" cm="1">
        <f t="array" aca="1" ref="EM104" ca="1">(1-$B$18)*SUMPRODUCT(OFFSET($BO$15,0,0,$B$14,1), 1*(_xlfn._xlws.FILTER(OFFSET($O$15,0,$DN104,$B$8,1),OFFSET($M$15,0,0,$B$8,1))=EM$13), 1*(_xlfn._xlws.FILTER(OFFSET($O$15,0,$DO104,$B$8,1),OFFSET($M$15,0,0,$B$8,1))=EM$14))   /   SUM(OFFSET($BO$15,0,0,$B$14,1)) + $B$18/($B$19*$B$19*($DN104&lt;&gt;$DO104) + $B$19*($DN104=$DO104))</f>
        <v>3.7037037037037035E-4</v>
      </c>
      <c r="EN104" s="10" cm="1">
        <f t="array" aca="1" ref="EN104" ca="1">(1-$B$18)*SUMPRODUCT(OFFSET($BO$15,0,0,$B$14,1), 1*(_xlfn._xlws.FILTER(OFFSET($O$15,0,$DN104,$B$8,1),OFFSET($M$15,0,0,$B$8,1))=EN$13), 1*(_xlfn._xlws.FILTER(OFFSET($O$15,0,$DO104,$B$8,1),OFFSET($M$15,0,0,$B$8,1))=EN$14))   /   SUM(OFFSET($BO$15,0,0,$B$14,1)) + $B$18/($B$19*$B$19*($DN104&lt;&gt;$DO104) + $B$19*($DN104=$DO104))</f>
        <v>3.7037037037037035E-4</v>
      </c>
      <c r="EO104" s="10" cm="1">
        <f t="array" aca="1" ref="EO104" ca="1">(1-$B$18)*SUMPRODUCT(OFFSET($BO$15,0,0,$B$14,1), 1*(_xlfn._xlws.FILTER(OFFSET($O$15,0,$DN104,$B$8,1),OFFSET($M$15,0,0,$B$8,1))=EO$13), 1*(_xlfn._xlws.FILTER(OFFSET($O$15,0,$DO104,$B$8,1),OFFSET($M$15,0,0,$B$8,1))=EO$14))   /   SUM(OFFSET($BO$15,0,0,$B$14,1)) + $B$18/($B$19*$B$19*($DN104&lt;&gt;$DO104) + $B$19*($DN104=$DO104))</f>
        <v>3.7037037037037035E-4</v>
      </c>
      <c r="EP104" s="10" cm="1">
        <f t="array" aca="1" ref="EP104" ca="1">(1-$B$18)*SUMPRODUCT(OFFSET($BO$15,0,0,$B$14,1), 1*(_xlfn._xlws.FILTER(OFFSET($O$15,0,$DN104,$B$8,1),OFFSET($M$15,0,0,$B$8,1))=EP$13), 1*(_xlfn._xlws.FILTER(OFFSET($O$15,0,$DO104,$B$8,1),OFFSET($M$15,0,0,$B$8,1))=EP$14))   /   SUM(OFFSET($BO$15,0,0,$B$14,1)) + $B$18/($B$19*$B$19*($DN104&lt;&gt;$DO104) + $B$19*($DN104=$DO104))</f>
        <v>3.7037037037037035E-4</v>
      </c>
      <c r="EQ104" s="10" cm="1">
        <f t="array" aca="1" ref="EQ104" ca="1">(1-$B$18)*SUMPRODUCT(OFFSET($BO$15,0,0,$B$14,1), 1*(_xlfn._xlws.FILTER(OFFSET($O$15,0,$DN104,$B$8,1),OFFSET($M$15,0,0,$B$8,1))=EQ$13), 1*(_xlfn._xlws.FILTER(OFFSET($O$15,0,$DO104,$B$8,1),OFFSET($M$15,0,0,$B$8,1))=EQ$14))   /   SUM(OFFSET($BO$15,0,0,$B$14,1)) + $B$18/($B$19*$B$19*($DN104&lt;&gt;$DO104) + $B$19*($DN104=$DO104))</f>
        <v>3.7037037037037035E-4</v>
      </c>
      <c r="ER104" s="10" cm="1">
        <f t="array" aca="1" ref="ER104" ca="1">(1-$B$18)*SUMPRODUCT(OFFSET($BO$15,0,0,$B$14,1), 1*(_xlfn._xlws.FILTER(OFFSET($O$15,0,$DN104,$B$8,1),OFFSET($M$15,0,0,$B$8,1))=ER$13), 1*(_xlfn._xlws.FILTER(OFFSET($O$15,0,$DO104,$B$8,1),OFFSET($M$15,0,0,$B$8,1))=ER$14))   /   SUM(OFFSET($BO$15,0,0,$B$14,1)) + $B$18/($B$19*$B$19*($DN104&lt;&gt;$DO104) + $B$19*($DN104=$DO104))</f>
        <v>3.7037037037037035E-4</v>
      </c>
      <c r="ES104" s="10" cm="1">
        <f t="array" aca="1" ref="ES104" ca="1">(1-$B$18)*SUMPRODUCT(OFFSET($BO$15,0,0,$B$14,1), 1*(_xlfn._xlws.FILTER(OFFSET($O$15,0,$DN104,$B$8,1),OFFSET($M$15,0,0,$B$8,1))=ES$13), 1*(_xlfn._xlws.FILTER(OFFSET($O$15,0,$DO104,$B$8,1),OFFSET($M$15,0,0,$B$8,1))=ES$14))   /   SUM(OFFSET($BO$15,0,0,$B$14,1)) + $B$18/($B$19*$B$19*($DN104&lt;&gt;$DO104) + $B$19*($DN104=$DO104))</f>
        <v>3.7037037037037035E-4</v>
      </c>
      <c r="ET104" s="10" cm="1">
        <f t="array" aca="1" ref="ET104" ca="1">(1-$B$18)*SUMPRODUCT(OFFSET($BO$15,0,0,$B$14,1), 1*(_xlfn._xlws.FILTER(OFFSET($O$15,0,$DN104,$B$8,1),OFFSET($M$15,0,0,$B$8,1))=ET$13), 1*(_xlfn._xlws.FILTER(OFFSET($O$15,0,$DO104,$B$8,1),OFFSET($M$15,0,0,$B$8,1))=ET$14))   /   SUM(OFFSET($BO$15,0,0,$B$14,1)) + $B$18/($B$19*$B$19*($DN104&lt;&gt;$DO104) + $B$19*($DN104=$DO104))</f>
        <v>3.7037037037037035E-4</v>
      </c>
      <c r="EU104" s="10" cm="1">
        <f t="array" aca="1" ref="EU104" ca="1">(1-$B$18)*SUMPRODUCT(OFFSET($BO$15,0,0,$B$14,1), 1*(_xlfn._xlws.FILTER(OFFSET($O$15,0,$DN104,$B$8,1),OFFSET($M$15,0,0,$B$8,1))=EU$13), 1*(_xlfn._xlws.FILTER(OFFSET($O$15,0,$DO104,$B$8,1),OFFSET($M$15,0,0,$B$8,1))=EU$14))   /   SUM(OFFSET($BO$15,0,0,$B$14,1)) + $B$18/($B$19*$B$19*($DN104&lt;&gt;$DO104) + $B$19*($DN104=$DO104))</f>
        <v>3.7037037037037035E-4</v>
      </c>
      <c r="EV104" s="10" cm="1">
        <f t="array" aca="1" ref="EV104" ca="1">(1-$B$18)*SUMPRODUCT(OFFSET($BO$15,0,0,$B$14,1), 1*(_xlfn._xlws.FILTER(OFFSET($O$15,0,$DN104,$B$8,1),OFFSET($M$15,0,0,$B$8,1))=EV$13), 1*(_xlfn._xlws.FILTER(OFFSET($O$15,0,$DO104,$B$8,1),OFFSET($M$15,0,0,$B$8,1))=EV$14))   /   SUM(OFFSET($BO$15,0,0,$B$14,1)) + $B$18/($B$19*$B$19*($DN104&lt;&gt;$DO104) + $B$19*($DN104=$DO104))</f>
        <v>3.7037037037037035E-4</v>
      </c>
      <c r="EW104" s="10" cm="1">
        <f t="array" aca="1" ref="EW104" ca="1">(1-$B$18)*SUMPRODUCT(OFFSET($BO$15,0,0,$B$14,1), 1*(_xlfn._xlws.FILTER(OFFSET($O$15,0,$DN104,$B$8,1),OFFSET($M$15,0,0,$B$8,1))=EW$13), 1*(_xlfn._xlws.FILTER(OFFSET($O$15,0,$DO104,$B$8,1),OFFSET($M$15,0,0,$B$8,1))=EW$14))   /   SUM(OFFSET($BO$15,0,0,$B$14,1)) + $B$18/($B$19*$B$19*($DN104&lt;&gt;$DO104) + $B$19*($DN104=$DO104))</f>
        <v>3.7037037037037035E-4</v>
      </c>
      <c r="EX104" s="10" cm="1">
        <f t="array" aca="1" ref="EX104" ca="1">(1-$B$18)*SUMPRODUCT(OFFSET($BO$15,0,0,$B$14,1), 1*(_xlfn._xlws.FILTER(OFFSET($O$15,0,$DN104,$B$8,1),OFFSET($M$15,0,0,$B$8,1))=EX$13), 1*(_xlfn._xlws.FILTER(OFFSET($O$15,0,$DO104,$B$8,1),OFFSET($M$15,0,0,$B$8,1))=EX$14))   /   SUM(OFFSET($BO$15,0,0,$B$14,1)) + $B$18/($B$19*$B$19*($DN104&lt;&gt;$DO104) + $B$19*($DN104=$DO104))</f>
        <v>3.7037037037037035E-4</v>
      </c>
      <c r="EY104" s="10" cm="1">
        <f t="array" aca="1" ref="EY104" ca="1">(1-$B$18)*SUMPRODUCT(OFFSET($BO$15,0,0,$B$14,1), 1*(_xlfn._xlws.FILTER(OFFSET($O$15,0,$DN104,$B$8,1),OFFSET($M$15,0,0,$B$8,1))=EY$13), 1*(_xlfn._xlws.FILTER(OFFSET($O$15,0,$DO104,$B$8,1),OFFSET($M$15,0,0,$B$8,1))=EY$14))   /   SUM(OFFSET($BO$15,0,0,$B$14,1)) + $B$18/($B$19*$B$19*($DN104&lt;&gt;$DO104) + $B$19*($DN104=$DO104))</f>
        <v>3.7037037037037035E-4</v>
      </c>
      <c r="EZ104" s="10" cm="1">
        <f t="array" aca="1" ref="EZ104" ca="1">(1-$B$18)*SUMPRODUCT(OFFSET($BO$15,0,0,$B$14,1), 1*(_xlfn._xlws.FILTER(OFFSET($O$15,0,$DN104,$B$8,1),OFFSET($M$15,0,0,$B$8,1))=EZ$13), 1*(_xlfn._xlws.FILTER(OFFSET($O$15,0,$DO104,$B$8,1),OFFSET($M$15,0,0,$B$8,1))=EZ$14))   /   SUM(OFFSET($BO$15,0,0,$B$14,1)) + $B$18/($B$19*$B$19*($DN104&lt;&gt;$DO104) + $B$19*($DN104=$DO104))</f>
        <v>3.7037037037037035E-4</v>
      </c>
      <c r="FA104" s="10" cm="1">
        <f t="array" aca="1" ref="FA104" ca="1">(1-$B$18)*SUMPRODUCT(OFFSET($BO$15,0,0,$B$14,1), 1*(_xlfn._xlws.FILTER(OFFSET($O$15,0,$DN104,$B$8,1),OFFSET($M$15,0,0,$B$8,1))=FA$13), 1*(_xlfn._xlws.FILTER(OFFSET($O$15,0,$DO104,$B$8,1),OFFSET($M$15,0,0,$B$8,1))=FA$14))   /   SUM(OFFSET($BO$15,0,0,$B$14,1)) + $B$18/($B$19*$B$19*($DN104&lt;&gt;$DO104) + $B$19*($DN104=$DO104))</f>
        <v>3.7037037037037035E-4</v>
      </c>
      <c r="FB104" s="10" cm="1">
        <f t="array" aca="1" ref="FB104" ca="1">(1-$B$18)*SUMPRODUCT(OFFSET($BO$15,0,0,$B$14,1), 1*(_xlfn._xlws.FILTER(OFFSET($O$15,0,$DN104,$B$8,1),OFFSET($M$15,0,0,$B$8,1))=FB$13), 1*(_xlfn._xlws.FILTER(OFFSET($O$15,0,$DO104,$B$8,1),OFFSET($M$15,0,0,$B$8,1))=FB$14))   /   SUM(OFFSET($BO$15,0,0,$B$14,1)) + $B$18/($B$19*$B$19*($DN104&lt;&gt;$DO104) + $B$19*($DN104=$DO104))</f>
        <v>3.7037037037037035E-4</v>
      </c>
      <c r="FC104" s="10" cm="1">
        <f t="array" aca="1" ref="FC104" ca="1">(1-$B$18)*SUMPRODUCT(OFFSET($BO$15,0,0,$B$14,1), 1*(_xlfn._xlws.FILTER(OFFSET($O$15,0,$DN104,$B$8,1),OFFSET($M$15,0,0,$B$8,1))=FC$13), 1*(_xlfn._xlws.FILTER(OFFSET($O$15,0,$DO104,$B$8,1),OFFSET($M$15,0,0,$B$8,1))=FC$14))   /   SUM(OFFSET($BO$15,0,0,$B$14,1)) + $B$18/($B$19*$B$19*($DN104&lt;&gt;$DO104) + $B$19*($DN104=$DO104))</f>
        <v>3.7037037037037035E-4</v>
      </c>
      <c r="FD104" s="10" cm="1">
        <f t="array" aca="1" ref="FD104" ca="1">(1-$B$18)*SUMPRODUCT(OFFSET($BO$15,0,0,$B$14,1), 1*(_xlfn._xlws.FILTER(OFFSET($O$15,0,$DN104,$B$8,1),OFFSET($M$15,0,0,$B$8,1))=FD$13), 1*(_xlfn._xlws.FILTER(OFFSET($O$15,0,$DO104,$B$8,1),OFFSET($M$15,0,0,$B$8,1))=FD$14))   /   SUM(OFFSET($BO$15,0,0,$B$14,1)) + $B$18/($B$19*$B$19*($DN104&lt;&gt;$DO104) + $B$19*($DN104=$DO104))</f>
        <v>3.7037037037037035E-4</v>
      </c>
      <c r="FE104" s="10" cm="1">
        <f t="array" aca="1" ref="FE104" ca="1">(1-$B$18)*SUMPRODUCT(OFFSET($BO$15,0,0,$B$14,1), 1*(_xlfn._xlws.FILTER(OFFSET($O$15,0,$DN104,$B$8,1),OFFSET($M$15,0,0,$B$8,1))=FE$13), 1*(_xlfn._xlws.FILTER(OFFSET($O$15,0,$DO104,$B$8,1),OFFSET($M$15,0,0,$B$8,1))=FE$14))   /   SUM(OFFSET($BO$15,0,0,$B$14,1)) + $B$18/($B$19*$B$19*($DN104&lt;&gt;$DO104) + $B$19*($DN104=$DO104))</f>
        <v>3.7037037037037035E-4</v>
      </c>
      <c r="FF104" s="10" cm="1">
        <f t="array" aca="1" ref="FF104" ca="1">(1-$B$18)*SUMPRODUCT(OFFSET($BO$15,0,0,$B$14,1), 1*(_xlfn._xlws.FILTER(OFFSET($O$15,0,$DN104,$B$8,1),OFFSET($M$15,0,0,$B$8,1))=FF$13), 1*(_xlfn._xlws.FILTER(OFFSET($O$15,0,$DO104,$B$8,1),OFFSET($M$15,0,0,$B$8,1))=FF$14))   /   SUM(OFFSET($BO$15,0,0,$B$14,1)) + $B$18/($B$19*$B$19*($DN104&lt;&gt;$DO104) + $B$19*($DN104=$DO104))</f>
        <v>3.7037037037037035E-4</v>
      </c>
      <c r="FG104" s="10" cm="1">
        <f t="array" aca="1" ref="FG104" ca="1">(1-$B$18)*SUMPRODUCT(OFFSET($BO$15,0,0,$B$14,1), 1*(_xlfn._xlws.FILTER(OFFSET($O$15,0,$DN104,$B$8,1),OFFSET($M$15,0,0,$B$8,1))=FG$13), 1*(_xlfn._xlws.FILTER(OFFSET($O$15,0,$DO104,$B$8,1),OFFSET($M$15,0,0,$B$8,1))=FG$14))   /   SUM(OFFSET($BO$15,0,0,$B$14,1)) + $B$18/($B$19*$B$19*($DN104&lt;&gt;$DO104) + $B$19*($DN104=$DO104))</f>
        <v>3.7037037037037035E-4</v>
      </c>
      <c r="FH104" s="10" cm="1">
        <f t="array" aca="1" ref="FH104" ca="1">(1-$B$18)*SUMPRODUCT(OFFSET($BO$15,0,0,$B$14,1), 1*(_xlfn._xlws.FILTER(OFFSET($O$15,0,$DN104,$B$8,1),OFFSET($M$15,0,0,$B$8,1))=FH$13), 1*(_xlfn._xlws.FILTER(OFFSET($O$15,0,$DO104,$B$8,1),OFFSET($M$15,0,0,$B$8,1))=FH$14))   /   SUM(OFFSET($BO$15,0,0,$B$14,1)) + $B$18/($B$19*$B$19*($DN104&lt;&gt;$DO104) + $B$19*($DN104=$DO104))</f>
        <v>3.7037037037037035E-4</v>
      </c>
      <c r="FI104" s="10" cm="1">
        <f t="array" aca="1" ref="FI104" ca="1">(1-$B$18)*SUMPRODUCT(OFFSET($BO$15,0,0,$B$14,1), 1*(_xlfn._xlws.FILTER(OFFSET($O$15,0,$DN104,$B$8,1),OFFSET($M$15,0,0,$B$8,1))=FI$13), 1*(_xlfn._xlws.FILTER(OFFSET($O$15,0,$DO104,$B$8,1),OFFSET($M$15,0,0,$B$8,1))=FI$14))   /   SUM(OFFSET($BO$15,0,0,$B$14,1)) + $B$18/($B$19*$B$19*($DN104&lt;&gt;$DO104) + $B$19*($DN104=$DO104))</f>
        <v>3.7037037037037035E-4</v>
      </c>
      <c r="FJ104" s="10" cm="1">
        <f t="array" aca="1" ref="FJ104" ca="1">(1-$B$18)*SUMPRODUCT(OFFSET($BO$15,0,0,$B$14,1), 1*(_xlfn._xlws.FILTER(OFFSET($O$15,0,$DN104,$B$8,1),OFFSET($M$15,0,0,$B$8,1))=FJ$13), 1*(_xlfn._xlws.FILTER(OFFSET($O$15,0,$DO104,$B$8,1),OFFSET($M$15,0,0,$B$8,1))=FJ$14))   /   SUM(OFFSET($BO$15,0,0,$B$14,1)) + $B$18/($B$19*$B$19*($DN104&lt;&gt;$DO104) + $B$19*($DN104=$DO104))</f>
        <v>3.7037037037037035E-4</v>
      </c>
      <c r="FK104" s="10" cm="1">
        <f t="array" aca="1" ref="FK104" ca="1">(1-$B$18)*SUMPRODUCT(OFFSET($BO$15,0,0,$B$14,1), 1*(_xlfn._xlws.FILTER(OFFSET($O$15,0,$DN104,$B$8,1),OFFSET($M$15,0,0,$B$8,1))=FK$13), 1*(_xlfn._xlws.FILTER(OFFSET($O$15,0,$DO104,$B$8,1),OFFSET($M$15,0,0,$B$8,1))=FK$14))   /   SUM(OFFSET($BO$15,0,0,$B$14,1)) + $B$18/($B$19*$B$19*($DN104&lt;&gt;$DO104) + $B$19*($DN104=$DO104))</f>
        <v>3.7037037037037035E-4</v>
      </c>
      <c r="FL104" s="10" cm="1">
        <f t="array" aca="1" ref="FL104" ca="1">(1-$B$18)*SUMPRODUCT(OFFSET($BO$15,0,0,$B$14,1), 1*(_xlfn._xlws.FILTER(OFFSET($O$15,0,$DN104,$B$8,1),OFFSET($M$15,0,0,$B$8,1))=FL$13), 1*(_xlfn._xlws.FILTER(OFFSET($O$15,0,$DO104,$B$8,1),OFFSET($M$15,0,0,$B$8,1))=FL$14))   /   SUM(OFFSET($BO$15,0,0,$B$14,1)) + $B$18/($B$19*$B$19*($DN104&lt;&gt;$DO104) + $B$19*($DN104=$DO104))</f>
        <v>3.7037037037037035E-4</v>
      </c>
      <c r="FM104" s="10" cm="1">
        <f t="array" aca="1" ref="FM104" ca="1">(1-$B$18)*SUMPRODUCT(OFFSET($BO$15,0,0,$B$14,1), 1*(_xlfn._xlws.FILTER(OFFSET($O$15,0,$DN104,$B$8,1),OFFSET($M$15,0,0,$B$8,1))=FM$13), 1*(_xlfn._xlws.FILTER(OFFSET($O$15,0,$DO104,$B$8,1),OFFSET($M$15,0,0,$B$8,1))=FM$14))   /   SUM(OFFSET($BO$15,0,0,$B$14,1)) + $B$18/($B$19*$B$19*($DN104&lt;&gt;$DO104) + $B$19*($DN104=$DO104))</f>
        <v>3.7037037037037035E-4</v>
      </c>
      <c r="FN104" s="10" cm="1">
        <f t="array" aca="1" ref="FN104" ca="1">(1-$B$18)*SUMPRODUCT(OFFSET($BO$15,0,0,$B$14,1), 1*(_xlfn._xlws.FILTER(OFFSET($O$15,0,$DN104,$B$8,1),OFFSET($M$15,0,0,$B$8,1))=FN$13), 1*(_xlfn._xlws.FILTER(OFFSET($O$15,0,$DO104,$B$8,1),OFFSET($M$15,0,0,$B$8,1))=FN$14))   /   SUM(OFFSET($BO$15,0,0,$B$14,1)) + $B$18/($B$19*$B$19*($DN104&lt;&gt;$DO104) + $B$19*($DN104=$DO104))</f>
        <v>0.97037037037037033</v>
      </c>
      <c r="FO104" s="10" cm="1">
        <f t="array" aca="1" ref="FO104" ca="1">(1-$B$18)*SUMPRODUCT(OFFSET($BO$15,0,0,$B$14,1), 1*(_xlfn._xlws.FILTER(OFFSET($O$15,0,$DN104,$B$8,1),OFFSET($M$15,0,0,$B$8,1))=FO$13), 1*(_xlfn._xlws.FILTER(OFFSET($O$15,0,$DO104,$B$8,1),OFFSET($M$15,0,0,$B$8,1))=FO$14))   /   SUM(OFFSET($BO$15,0,0,$B$14,1)) + $B$18/($B$19*$B$19*($DN104&lt;&gt;$DO104) + $B$19*($DN104=$DO104))</f>
        <v>3.7037037037037035E-4</v>
      </c>
      <c r="FP104" s="10" cm="1">
        <f t="array" aca="1" ref="FP104" ca="1">(1-$B$18)*SUMPRODUCT(OFFSET($BO$15,0,0,$B$14,1), 1*(_xlfn._xlws.FILTER(OFFSET($O$15,0,$DN104,$B$8,1),OFFSET($M$15,0,0,$B$8,1))=FP$13), 1*(_xlfn._xlws.FILTER(OFFSET($O$15,0,$DO104,$B$8,1),OFFSET($M$15,0,0,$B$8,1))=FP$14))   /   SUM(OFFSET($BO$15,0,0,$B$14,1)) + $B$18/($B$19*$B$19*($DN104&lt;&gt;$DO104) + $B$19*($DN104=$DO104))</f>
        <v>3.7037037037037035E-4</v>
      </c>
      <c r="FQ104" s="10" cm="1">
        <f t="array" aca="1" ref="FQ104" ca="1">(1-$B$18)*SUMPRODUCT(OFFSET($BO$15,0,0,$B$14,1), 1*(_xlfn._xlws.FILTER(OFFSET($O$15,0,$DN104,$B$8,1),OFFSET($M$15,0,0,$B$8,1))=FQ$13), 1*(_xlfn._xlws.FILTER(OFFSET($O$15,0,$DO104,$B$8,1),OFFSET($M$15,0,0,$B$8,1))=FQ$14))   /   SUM(OFFSET($BO$15,0,0,$B$14,1)) + $B$18/($B$19*$B$19*($DN104&lt;&gt;$DO104) + $B$19*($DN104=$DO104))</f>
        <v>3.7037037037037035E-4</v>
      </c>
      <c r="FR104" s="10" cm="1">
        <f t="array" aca="1" ref="FR104" ca="1">(1-$B$18)*SUMPRODUCT(OFFSET($BO$15,0,0,$B$14,1), 1*(_xlfn._xlws.FILTER(OFFSET($O$15,0,$DN104,$B$8,1),OFFSET($M$15,0,0,$B$8,1))=FR$13), 1*(_xlfn._xlws.FILTER(OFFSET($O$15,0,$DO104,$B$8,1),OFFSET($M$15,0,0,$B$8,1))=FR$14))   /   SUM(OFFSET($BO$15,0,0,$B$14,1)) + $B$18/($B$19*$B$19*($DN104&lt;&gt;$DO104) + $B$19*($DN104=$DO104))</f>
        <v>3.7037037037037035E-4</v>
      </c>
      <c r="FS104" s="10" cm="1">
        <f t="array" aca="1" ref="FS104" ca="1">(1-$B$18)*SUMPRODUCT(OFFSET($BO$15,0,0,$B$14,1), 1*(_xlfn._xlws.FILTER(OFFSET($O$15,0,$DN104,$B$8,1),OFFSET($M$15,0,0,$B$8,1))=FS$13), 1*(_xlfn._xlws.FILTER(OFFSET($O$15,0,$DO104,$B$8,1),OFFSET($M$15,0,0,$B$8,1))=FS$14))   /   SUM(OFFSET($BO$15,0,0,$B$14,1)) + $B$18/($B$19*$B$19*($DN104&lt;&gt;$DO104) + $B$19*($DN104=$DO104))</f>
        <v>3.7037037037037035E-4</v>
      </c>
      <c r="FT104" s="10" cm="1">
        <f t="array" aca="1" ref="FT104" ca="1">(1-$B$18)*SUMPRODUCT(OFFSET($BO$15,0,0,$B$14,1), 1*(_xlfn._xlws.FILTER(OFFSET($O$15,0,$DN104,$B$8,1),OFFSET($M$15,0,0,$B$8,1))=FT$13), 1*(_xlfn._xlws.FILTER(OFFSET($O$15,0,$DO104,$B$8,1),OFFSET($M$15,0,0,$B$8,1))=FT$14))   /   SUM(OFFSET($BO$15,0,0,$B$14,1)) + $B$18/($B$19*$B$19*($DN104&lt;&gt;$DO104) + $B$19*($DN104=$DO104))</f>
        <v>3.7037037037037035E-4</v>
      </c>
      <c r="FU104" s="10" cm="1">
        <f t="array" aca="1" ref="FU104" ca="1">(1-$B$18)*SUMPRODUCT(OFFSET($BO$15,0,0,$B$14,1), 1*(_xlfn._xlws.FILTER(OFFSET($O$15,0,$DN104,$B$8,1),OFFSET($M$15,0,0,$B$8,1))=FU$13), 1*(_xlfn._xlws.FILTER(OFFSET($O$15,0,$DO104,$B$8,1),OFFSET($M$15,0,0,$B$8,1))=FU$14))   /   SUM(OFFSET($BO$15,0,0,$B$14,1)) + $B$18/($B$19*$B$19*($DN104&lt;&gt;$DO104) + $B$19*($DN104=$DO104))</f>
        <v>3.7037037037037035E-4</v>
      </c>
      <c r="FV104" s="10" cm="1">
        <f t="array" aca="1" ref="FV104" ca="1">(1-$B$18)*SUMPRODUCT(OFFSET($BO$15,0,0,$B$14,1), 1*(_xlfn._xlws.FILTER(OFFSET($O$15,0,$DN104,$B$8,1),OFFSET($M$15,0,0,$B$8,1))=FV$13), 1*(_xlfn._xlws.FILTER(OFFSET($O$15,0,$DO104,$B$8,1),OFFSET($M$15,0,0,$B$8,1))=FV$14))   /   SUM(OFFSET($BO$15,0,0,$B$14,1)) + $B$18/($B$19*$B$19*($DN104&lt;&gt;$DO104) + $B$19*($DN104=$DO104))</f>
        <v>3.7037037037037035E-4</v>
      </c>
      <c r="FW104" s="10" cm="1">
        <f t="array" aca="1" ref="FW104" ca="1">(1-$B$18)*SUMPRODUCT(OFFSET($BO$15,0,0,$B$14,1), 1*(_xlfn._xlws.FILTER(OFFSET($O$15,0,$DN104,$B$8,1),OFFSET($M$15,0,0,$B$8,1))=FW$13), 1*(_xlfn._xlws.FILTER(OFFSET($O$15,0,$DO104,$B$8,1),OFFSET($M$15,0,0,$B$8,1))=FW$14))   /   SUM(OFFSET($BO$15,0,0,$B$14,1)) + $B$18/($B$19*$B$19*($DN104&lt;&gt;$DO104) + $B$19*($DN104=$DO104))</f>
        <v>3.7037037037037035E-4</v>
      </c>
      <c r="FX104" s="10" cm="1">
        <f t="array" aca="1" ref="FX104" ca="1">(1-$B$18)*SUMPRODUCT(OFFSET($BO$15,0,0,$B$14,1), 1*(_xlfn._xlws.FILTER(OFFSET($O$15,0,$DN104,$B$8,1),OFFSET($M$15,0,0,$B$8,1))=FX$13), 1*(_xlfn._xlws.FILTER(OFFSET($O$15,0,$DO104,$B$8,1),OFFSET($M$15,0,0,$B$8,1))=FX$14))   /   SUM(OFFSET($BO$15,0,0,$B$14,1)) + $B$18/($B$19*$B$19*($DN104&lt;&gt;$DO104) + $B$19*($DN104=$DO104))</f>
        <v>3.7037037037037035E-4</v>
      </c>
      <c r="FY104" s="10" cm="1">
        <f t="array" aca="1" ref="FY104" ca="1">(1-$B$18)*SUMPRODUCT(OFFSET($BO$15,0,0,$B$14,1), 1*(_xlfn._xlws.FILTER(OFFSET($O$15,0,$DN104,$B$8,1),OFFSET($M$15,0,0,$B$8,1))=FY$13), 1*(_xlfn._xlws.FILTER(OFFSET($O$15,0,$DO104,$B$8,1),OFFSET($M$15,0,0,$B$8,1))=FY$14))   /   SUM(OFFSET($BO$15,0,0,$B$14,1)) + $B$18/($B$19*$B$19*($DN104&lt;&gt;$DO104) + $B$19*($DN104=$DO104))</f>
        <v>3.7037037037037035E-4</v>
      </c>
      <c r="FZ104" s="10" cm="1">
        <f t="array" aca="1" ref="FZ104" ca="1">(1-$B$18)*SUMPRODUCT(OFFSET($BO$15,0,0,$B$14,1), 1*(_xlfn._xlws.FILTER(OFFSET($O$15,0,$DN104,$B$8,1),OFFSET($M$15,0,0,$B$8,1))=FZ$13), 1*(_xlfn._xlws.FILTER(OFFSET($O$15,0,$DO104,$B$8,1),OFFSET($M$15,0,0,$B$8,1))=FZ$14))   /   SUM(OFFSET($BO$15,0,0,$B$14,1)) + $B$18/($B$19*$B$19*($DN104&lt;&gt;$DO104) + $B$19*($DN104=$DO104))</f>
        <v>3.7037037037037035E-4</v>
      </c>
      <c r="GA104" s="10" cm="1">
        <f t="array" aca="1" ref="GA104" ca="1">(1-$B$18)*SUMPRODUCT(OFFSET($BO$15,0,0,$B$14,1), 1*(_xlfn._xlws.FILTER(OFFSET($O$15,0,$DN104,$B$8,1),OFFSET($M$15,0,0,$B$8,1))=GA$13), 1*(_xlfn._xlws.FILTER(OFFSET($O$15,0,$DO104,$B$8,1),OFFSET($M$15,0,0,$B$8,1))=GA$14))   /   SUM(OFFSET($BO$15,0,0,$B$14,1)) + $B$18/($B$19*$B$19*($DN104&lt;&gt;$DO104) + $B$19*($DN104=$DO104))</f>
        <v>3.7037037037037035E-4</v>
      </c>
    </row>
    <row r="105" spans="8:183" x14ac:dyDescent="0.2">
      <c r="H105" s="2"/>
      <c r="DN105" cm="1">
        <f t="array" aca="1" ref="DN105" ca="1">INDEX(_xlfn.ANCHORARRAY($CP$15), 1 + INT((ROWS($DO$15:$DO105) - 1) / ROWS(_xlfn.ANCHORARRAY($CP$15))))</f>
        <v>4</v>
      </c>
      <c r="DO105" cm="1">
        <f t="array" aca="1" ref="DO105" ca="1">INDEX(_xlfn.ANCHORARRAY($CP$15),1+MOD(ROWS($DO$15:$DO105)-1,ROWS(_xlfn.ANCHORARRAY($CP$15))))</f>
        <v>15</v>
      </c>
      <c r="DP105" s="10" cm="1">
        <f t="array" aca="1" ref="DP105" ca="1">(1-$B$18)*SUMPRODUCT(OFFSET($BO$15,0,0,$B$14,1), 1*(_xlfn._xlws.FILTER(OFFSET($O$15,0,$DN105,$B$8,1),OFFSET($M$15,0,0,$B$8,1))=DP$13), 1*(_xlfn._xlws.FILTER(OFFSET($O$15,0,$DO105,$B$8,1),OFFSET($M$15,0,0,$B$8,1))=DP$14))   /   SUM(OFFSET($BO$15,0,0,$B$14,1)) + $B$18/($B$19*$B$19*($DN105&lt;&gt;$DO105) + $B$19*($DN105=$DO105))</f>
        <v>3.7037037037037035E-4</v>
      </c>
      <c r="DQ105" s="10" cm="1">
        <f t="array" aca="1" ref="DQ105" ca="1">(1-$B$18)*SUMPRODUCT(OFFSET($BO$15,0,0,$B$14,1), 1*(_xlfn._xlws.FILTER(OFFSET($O$15,0,$DN105,$B$8,1),OFFSET($M$15,0,0,$B$8,1))=DQ$13), 1*(_xlfn._xlws.FILTER(OFFSET($O$15,0,$DO105,$B$8,1),OFFSET($M$15,0,0,$B$8,1))=DQ$14))   /   SUM(OFFSET($BO$15,0,0,$B$14,1)) + $B$18/($B$19*$B$19*($DN105&lt;&gt;$DO105) + $B$19*($DN105=$DO105))</f>
        <v>3.7037037037037035E-4</v>
      </c>
      <c r="DR105" s="10" cm="1">
        <f t="array" aca="1" ref="DR105" ca="1">(1-$B$18)*SUMPRODUCT(OFFSET($BO$15,0,0,$B$14,1), 1*(_xlfn._xlws.FILTER(OFFSET($O$15,0,$DN105,$B$8,1),OFFSET($M$15,0,0,$B$8,1))=DR$13), 1*(_xlfn._xlws.FILTER(OFFSET($O$15,0,$DO105,$B$8,1),OFFSET($M$15,0,0,$B$8,1))=DR$14))   /   SUM(OFFSET($BO$15,0,0,$B$14,1)) + $B$18/($B$19*$B$19*($DN105&lt;&gt;$DO105) + $B$19*($DN105=$DO105))</f>
        <v>3.7037037037037035E-4</v>
      </c>
      <c r="DS105" s="10" cm="1">
        <f t="array" aca="1" ref="DS105" ca="1">(1-$B$18)*SUMPRODUCT(OFFSET($BO$15,0,0,$B$14,1), 1*(_xlfn._xlws.FILTER(OFFSET($O$15,0,$DN105,$B$8,1),OFFSET($M$15,0,0,$B$8,1))=DS$13), 1*(_xlfn._xlws.FILTER(OFFSET($O$15,0,$DO105,$B$8,1),OFFSET($M$15,0,0,$B$8,1))=DS$14))   /   SUM(OFFSET($BO$15,0,0,$B$14,1)) + $B$18/($B$19*$B$19*($DN105&lt;&gt;$DO105) + $B$19*($DN105=$DO105))</f>
        <v>3.7037037037037035E-4</v>
      </c>
      <c r="DT105" s="10" cm="1">
        <f t="array" aca="1" ref="DT105" ca="1">(1-$B$18)*SUMPRODUCT(OFFSET($BO$15,0,0,$B$14,1), 1*(_xlfn._xlws.FILTER(OFFSET($O$15,0,$DN105,$B$8,1),OFFSET($M$15,0,0,$B$8,1))=DT$13), 1*(_xlfn._xlws.FILTER(OFFSET($O$15,0,$DO105,$B$8,1),OFFSET($M$15,0,0,$B$8,1))=DT$14))   /   SUM(OFFSET($BO$15,0,0,$B$14,1)) + $B$18/($B$19*$B$19*($DN105&lt;&gt;$DO105) + $B$19*($DN105=$DO105))</f>
        <v>3.7037037037037035E-4</v>
      </c>
      <c r="DU105" s="10" cm="1">
        <f t="array" aca="1" ref="DU105" ca="1">(1-$B$18)*SUMPRODUCT(OFFSET($BO$15,0,0,$B$14,1), 1*(_xlfn._xlws.FILTER(OFFSET($O$15,0,$DN105,$B$8,1),OFFSET($M$15,0,0,$B$8,1))=DU$13), 1*(_xlfn._xlws.FILTER(OFFSET($O$15,0,$DO105,$B$8,1),OFFSET($M$15,0,0,$B$8,1))=DU$14))   /   SUM(OFFSET($BO$15,0,0,$B$14,1)) + $B$18/($B$19*$B$19*($DN105&lt;&gt;$DO105) + $B$19*($DN105=$DO105))</f>
        <v>3.7037037037037035E-4</v>
      </c>
      <c r="DV105" s="10" cm="1">
        <f t="array" aca="1" ref="DV105" ca="1">(1-$B$18)*SUMPRODUCT(OFFSET($BO$15,0,0,$B$14,1), 1*(_xlfn._xlws.FILTER(OFFSET($O$15,0,$DN105,$B$8,1),OFFSET($M$15,0,0,$B$8,1))=DV$13), 1*(_xlfn._xlws.FILTER(OFFSET($O$15,0,$DO105,$B$8,1),OFFSET($M$15,0,0,$B$8,1))=DV$14))   /   SUM(OFFSET($BO$15,0,0,$B$14,1)) + $B$18/($B$19*$B$19*($DN105&lt;&gt;$DO105) + $B$19*($DN105=$DO105))</f>
        <v>3.7037037037037035E-4</v>
      </c>
      <c r="DW105" s="10" cm="1">
        <f t="array" aca="1" ref="DW105" ca="1">(1-$B$18)*SUMPRODUCT(OFFSET($BO$15,0,0,$B$14,1), 1*(_xlfn._xlws.FILTER(OFFSET($O$15,0,$DN105,$B$8,1),OFFSET($M$15,0,0,$B$8,1))=DW$13), 1*(_xlfn._xlws.FILTER(OFFSET($O$15,0,$DO105,$B$8,1),OFFSET($M$15,0,0,$B$8,1))=DW$14))   /   SUM(OFFSET($BO$15,0,0,$B$14,1)) + $B$18/($B$19*$B$19*($DN105&lt;&gt;$DO105) + $B$19*($DN105=$DO105))</f>
        <v>3.7037037037037035E-4</v>
      </c>
      <c r="DX105" s="10" cm="1">
        <f t="array" aca="1" ref="DX105" ca="1">(1-$B$18)*SUMPRODUCT(OFFSET($BO$15,0,0,$B$14,1), 1*(_xlfn._xlws.FILTER(OFFSET($O$15,0,$DN105,$B$8,1),OFFSET($M$15,0,0,$B$8,1))=DX$13), 1*(_xlfn._xlws.FILTER(OFFSET($O$15,0,$DO105,$B$8,1),OFFSET($M$15,0,0,$B$8,1))=DX$14))   /   SUM(OFFSET($BO$15,0,0,$B$14,1)) + $B$18/($B$19*$B$19*($DN105&lt;&gt;$DO105) + $B$19*($DN105=$DO105))</f>
        <v>3.7037037037037035E-4</v>
      </c>
      <c r="DY105" s="10" cm="1">
        <f t="array" aca="1" ref="DY105" ca="1">(1-$B$18)*SUMPRODUCT(OFFSET($BO$15,0,0,$B$14,1), 1*(_xlfn._xlws.FILTER(OFFSET($O$15,0,$DN105,$B$8,1),OFFSET($M$15,0,0,$B$8,1))=DY$13), 1*(_xlfn._xlws.FILTER(OFFSET($O$15,0,$DO105,$B$8,1),OFFSET($M$15,0,0,$B$8,1))=DY$14))   /   SUM(OFFSET($BO$15,0,0,$B$14,1)) + $B$18/($B$19*$B$19*($DN105&lt;&gt;$DO105) + $B$19*($DN105=$DO105))</f>
        <v>3.7037037037037035E-4</v>
      </c>
      <c r="DZ105" s="10" cm="1">
        <f t="array" aca="1" ref="DZ105" ca="1">(1-$B$18)*SUMPRODUCT(OFFSET($BO$15,0,0,$B$14,1), 1*(_xlfn._xlws.FILTER(OFFSET($O$15,0,$DN105,$B$8,1),OFFSET($M$15,0,0,$B$8,1))=DZ$13), 1*(_xlfn._xlws.FILTER(OFFSET($O$15,0,$DO105,$B$8,1),OFFSET($M$15,0,0,$B$8,1))=DZ$14))   /   SUM(OFFSET($BO$15,0,0,$B$14,1)) + $B$18/($B$19*$B$19*($DN105&lt;&gt;$DO105) + $B$19*($DN105=$DO105))</f>
        <v>3.7037037037037035E-4</v>
      </c>
      <c r="EA105" s="10" cm="1">
        <f t="array" aca="1" ref="EA105" ca="1">(1-$B$18)*SUMPRODUCT(OFFSET($BO$15,0,0,$B$14,1), 1*(_xlfn._xlws.FILTER(OFFSET($O$15,0,$DN105,$B$8,1),OFFSET($M$15,0,0,$B$8,1))=EA$13), 1*(_xlfn._xlws.FILTER(OFFSET($O$15,0,$DO105,$B$8,1),OFFSET($M$15,0,0,$B$8,1))=EA$14))   /   SUM(OFFSET($BO$15,0,0,$B$14,1)) + $B$18/($B$19*$B$19*($DN105&lt;&gt;$DO105) + $B$19*($DN105=$DO105))</f>
        <v>3.7037037037037035E-4</v>
      </c>
      <c r="EB105" s="10" cm="1">
        <f t="array" aca="1" ref="EB105" ca="1">(1-$B$18)*SUMPRODUCT(OFFSET($BO$15,0,0,$B$14,1), 1*(_xlfn._xlws.FILTER(OFFSET($O$15,0,$DN105,$B$8,1),OFFSET($M$15,0,0,$B$8,1))=EB$13), 1*(_xlfn._xlws.FILTER(OFFSET($O$15,0,$DO105,$B$8,1),OFFSET($M$15,0,0,$B$8,1))=EB$14))   /   SUM(OFFSET($BO$15,0,0,$B$14,1)) + $B$18/($B$19*$B$19*($DN105&lt;&gt;$DO105) + $B$19*($DN105=$DO105))</f>
        <v>3.7037037037037035E-4</v>
      </c>
      <c r="EC105" s="10" cm="1">
        <f t="array" aca="1" ref="EC105" ca="1">(1-$B$18)*SUMPRODUCT(OFFSET($BO$15,0,0,$B$14,1), 1*(_xlfn._xlws.FILTER(OFFSET($O$15,0,$DN105,$B$8,1),OFFSET($M$15,0,0,$B$8,1))=EC$13), 1*(_xlfn._xlws.FILTER(OFFSET($O$15,0,$DO105,$B$8,1),OFFSET($M$15,0,0,$B$8,1))=EC$14))   /   SUM(OFFSET($BO$15,0,0,$B$14,1)) + $B$18/($B$19*$B$19*($DN105&lt;&gt;$DO105) + $B$19*($DN105=$DO105))</f>
        <v>3.7037037037037035E-4</v>
      </c>
      <c r="ED105" s="10" cm="1">
        <f t="array" aca="1" ref="ED105" ca="1">(1-$B$18)*SUMPRODUCT(OFFSET($BO$15,0,0,$B$14,1), 1*(_xlfn._xlws.FILTER(OFFSET($O$15,0,$DN105,$B$8,1),OFFSET($M$15,0,0,$B$8,1))=ED$13), 1*(_xlfn._xlws.FILTER(OFFSET($O$15,0,$DO105,$B$8,1),OFFSET($M$15,0,0,$B$8,1))=ED$14))   /   SUM(OFFSET($BO$15,0,0,$B$14,1)) + $B$18/($B$19*$B$19*($DN105&lt;&gt;$DO105) + $B$19*($DN105=$DO105))</f>
        <v>3.7037037037037035E-4</v>
      </c>
      <c r="EE105" s="10" cm="1">
        <f t="array" aca="1" ref="EE105" ca="1">(1-$B$18)*SUMPRODUCT(OFFSET($BO$15,0,0,$B$14,1), 1*(_xlfn._xlws.FILTER(OFFSET($O$15,0,$DN105,$B$8,1),OFFSET($M$15,0,0,$B$8,1))=EE$13), 1*(_xlfn._xlws.FILTER(OFFSET($O$15,0,$DO105,$B$8,1),OFFSET($M$15,0,0,$B$8,1))=EE$14))   /   SUM(OFFSET($BO$15,0,0,$B$14,1)) + $B$18/($B$19*$B$19*($DN105&lt;&gt;$DO105) + $B$19*($DN105=$DO105))</f>
        <v>3.7037037037037035E-4</v>
      </c>
      <c r="EF105" s="10" cm="1">
        <f t="array" aca="1" ref="EF105" ca="1">(1-$B$18)*SUMPRODUCT(OFFSET($BO$15,0,0,$B$14,1), 1*(_xlfn._xlws.FILTER(OFFSET($O$15,0,$DN105,$B$8,1),OFFSET($M$15,0,0,$B$8,1))=EF$13), 1*(_xlfn._xlws.FILTER(OFFSET($O$15,0,$DO105,$B$8,1),OFFSET($M$15,0,0,$B$8,1))=EF$14))   /   SUM(OFFSET($BO$15,0,0,$B$14,1)) + $B$18/($B$19*$B$19*($DN105&lt;&gt;$DO105) + $B$19*($DN105=$DO105))</f>
        <v>3.7037037037037035E-4</v>
      </c>
      <c r="EG105" s="10" cm="1">
        <f t="array" aca="1" ref="EG105" ca="1">(1-$B$18)*SUMPRODUCT(OFFSET($BO$15,0,0,$B$14,1), 1*(_xlfn._xlws.FILTER(OFFSET($O$15,0,$DN105,$B$8,1),OFFSET($M$15,0,0,$B$8,1))=EG$13), 1*(_xlfn._xlws.FILTER(OFFSET($O$15,0,$DO105,$B$8,1),OFFSET($M$15,0,0,$B$8,1))=EG$14))   /   SUM(OFFSET($BO$15,0,0,$B$14,1)) + $B$18/($B$19*$B$19*($DN105&lt;&gt;$DO105) + $B$19*($DN105=$DO105))</f>
        <v>3.7037037037037035E-4</v>
      </c>
      <c r="EH105" s="10" cm="1">
        <f t="array" aca="1" ref="EH105" ca="1">(1-$B$18)*SUMPRODUCT(OFFSET($BO$15,0,0,$B$14,1), 1*(_xlfn._xlws.FILTER(OFFSET($O$15,0,$DN105,$B$8,1),OFFSET($M$15,0,0,$B$8,1))=EH$13), 1*(_xlfn._xlws.FILTER(OFFSET($O$15,0,$DO105,$B$8,1),OFFSET($M$15,0,0,$B$8,1))=EH$14))   /   SUM(OFFSET($BO$15,0,0,$B$14,1)) + $B$18/($B$19*$B$19*($DN105&lt;&gt;$DO105) + $B$19*($DN105=$DO105))</f>
        <v>3.7037037037037035E-4</v>
      </c>
      <c r="EI105" s="10" cm="1">
        <f t="array" aca="1" ref="EI105" ca="1">(1-$B$18)*SUMPRODUCT(OFFSET($BO$15,0,0,$B$14,1), 1*(_xlfn._xlws.FILTER(OFFSET($O$15,0,$DN105,$B$8,1),OFFSET($M$15,0,0,$B$8,1))=EI$13), 1*(_xlfn._xlws.FILTER(OFFSET($O$15,0,$DO105,$B$8,1),OFFSET($M$15,0,0,$B$8,1))=EI$14))   /   SUM(OFFSET($BO$15,0,0,$B$14,1)) + $B$18/($B$19*$B$19*($DN105&lt;&gt;$DO105) + $B$19*($DN105=$DO105))</f>
        <v>3.7037037037037035E-4</v>
      </c>
      <c r="EJ105" s="10" cm="1">
        <f t="array" aca="1" ref="EJ105" ca="1">(1-$B$18)*SUMPRODUCT(OFFSET($BO$15,0,0,$B$14,1), 1*(_xlfn._xlws.FILTER(OFFSET($O$15,0,$DN105,$B$8,1),OFFSET($M$15,0,0,$B$8,1))=EJ$13), 1*(_xlfn._xlws.FILTER(OFFSET($O$15,0,$DO105,$B$8,1),OFFSET($M$15,0,0,$B$8,1))=EJ$14))   /   SUM(OFFSET($BO$15,0,0,$B$14,1)) + $B$18/($B$19*$B$19*($DN105&lt;&gt;$DO105) + $B$19*($DN105=$DO105))</f>
        <v>3.7037037037037035E-4</v>
      </c>
      <c r="EK105" s="10" cm="1">
        <f t="array" aca="1" ref="EK105" ca="1">(1-$B$18)*SUMPRODUCT(OFFSET($BO$15,0,0,$B$14,1), 1*(_xlfn._xlws.FILTER(OFFSET($O$15,0,$DN105,$B$8,1),OFFSET($M$15,0,0,$B$8,1))=EK$13), 1*(_xlfn._xlws.FILTER(OFFSET($O$15,0,$DO105,$B$8,1),OFFSET($M$15,0,0,$B$8,1))=EK$14))   /   SUM(OFFSET($BO$15,0,0,$B$14,1)) + $B$18/($B$19*$B$19*($DN105&lt;&gt;$DO105) + $B$19*($DN105=$DO105))</f>
        <v>3.7037037037037035E-4</v>
      </c>
      <c r="EL105" s="10" cm="1">
        <f t="array" aca="1" ref="EL105" ca="1">(1-$B$18)*SUMPRODUCT(OFFSET($BO$15,0,0,$B$14,1), 1*(_xlfn._xlws.FILTER(OFFSET($O$15,0,$DN105,$B$8,1),OFFSET($M$15,0,0,$B$8,1))=EL$13), 1*(_xlfn._xlws.FILTER(OFFSET($O$15,0,$DO105,$B$8,1),OFFSET($M$15,0,0,$B$8,1))=EL$14))   /   SUM(OFFSET($BO$15,0,0,$B$14,1)) + $B$18/($B$19*$B$19*($DN105&lt;&gt;$DO105) + $B$19*($DN105=$DO105))</f>
        <v>3.7037037037037035E-4</v>
      </c>
      <c r="EM105" s="10" cm="1">
        <f t="array" aca="1" ref="EM105" ca="1">(1-$B$18)*SUMPRODUCT(OFFSET($BO$15,0,0,$B$14,1), 1*(_xlfn._xlws.FILTER(OFFSET($O$15,0,$DN105,$B$8,1),OFFSET($M$15,0,0,$B$8,1))=EM$13), 1*(_xlfn._xlws.FILTER(OFFSET($O$15,0,$DO105,$B$8,1),OFFSET($M$15,0,0,$B$8,1))=EM$14))   /   SUM(OFFSET($BO$15,0,0,$B$14,1)) + $B$18/($B$19*$B$19*($DN105&lt;&gt;$DO105) + $B$19*($DN105=$DO105))</f>
        <v>3.7037037037037035E-4</v>
      </c>
      <c r="EN105" s="10" cm="1">
        <f t="array" aca="1" ref="EN105" ca="1">(1-$B$18)*SUMPRODUCT(OFFSET($BO$15,0,0,$B$14,1), 1*(_xlfn._xlws.FILTER(OFFSET($O$15,0,$DN105,$B$8,1),OFFSET($M$15,0,0,$B$8,1))=EN$13), 1*(_xlfn._xlws.FILTER(OFFSET($O$15,0,$DO105,$B$8,1),OFFSET($M$15,0,0,$B$8,1))=EN$14))   /   SUM(OFFSET($BO$15,0,0,$B$14,1)) + $B$18/($B$19*$B$19*($DN105&lt;&gt;$DO105) + $B$19*($DN105=$DO105))</f>
        <v>3.7037037037037035E-4</v>
      </c>
      <c r="EO105" s="10" cm="1">
        <f t="array" aca="1" ref="EO105" ca="1">(1-$B$18)*SUMPRODUCT(OFFSET($BO$15,0,0,$B$14,1), 1*(_xlfn._xlws.FILTER(OFFSET($O$15,0,$DN105,$B$8,1),OFFSET($M$15,0,0,$B$8,1))=EO$13), 1*(_xlfn._xlws.FILTER(OFFSET($O$15,0,$DO105,$B$8,1),OFFSET($M$15,0,0,$B$8,1))=EO$14))   /   SUM(OFFSET($BO$15,0,0,$B$14,1)) + $B$18/($B$19*$B$19*($DN105&lt;&gt;$DO105) + $B$19*($DN105=$DO105))</f>
        <v>3.7037037037037035E-4</v>
      </c>
      <c r="EP105" s="10" cm="1">
        <f t="array" aca="1" ref="EP105" ca="1">(1-$B$18)*SUMPRODUCT(OFFSET($BO$15,0,0,$B$14,1), 1*(_xlfn._xlws.FILTER(OFFSET($O$15,0,$DN105,$B$8,1),OFFSET($M$15,0,0,$B$8,1))=EP$13), 1*(_xlfn._xlws.FILTER(OFFSET($O$15,0,$DO105,$B$8,1),OFFSET($M$15,0,0,$B$8,1))=EP$14))   /   SUM(OFFSET($BO$15,0,0,$B$14,1)) + $B$18/($B$19*$B$19*($DN105&lt;&gt;$DO105) + $B$19*($DN105=$DO105))</f>
        <v>3.7037037037037035E-4</v>
      </c>
      <c r="EQ105" s="10" cm="1">
        <f t="array" aca="1" ref="EQ105" ca="1">(1-$B$18)*SUMPRODUCT(OFFSET($BO$15,0,0,$B$14,1), 1*(_xlfn._xlws.FILTER(OFFSET($O$15,0,$DN105,$B$8,1),OFFSET($M$15,0,0,$B$8,1))=EQ$13), 1*(_xlfn._xlws.FILTER(OFFSET($O$15,0,$DO105,$B$8,1),OFFSET($M$15,0,0,$B$8,1))=EQ$14))   /   SUM(OFFSET($BO$15,0,0,$B$14,1)) + $B$18/($B$19*$B$19*($DN105&lt;&gt;$DO105) + $B$19*($DN105=$DO105))</f>
        <v>3.7037037037037035E-4</v>
      </c>
      <c r="ER105" s="10" cm="1">
        <f t="array" aca="1" ref="ER105" ca="1">(1-$B$18)*SUMPRODUCT(OFFSET($BO$15,0,0,$B$14,1), 1*(_xlfn._xlws.FILTER(OFFSET($O$15,0,$DN105,$B$8,1),OFFSET($M$15,0,0,$B$8,1))=ER$13), 1*(_xlfn._xlws.FILTER(OFFSET($O$15,0,$DO105,$B$8,1),OFFSET($M$15,0,0,$B$8,1))=ER$14))   /   SUM(OFFSET($BO$15,0,0,$B$14,1)) + $B$18/($B$19*$B$19*($DN105&lt;&gt;$DO105) + $B$19*($DN105=$DO105))</f>
        <v>3.7037037037037035E-4</v>
      </c>
      <c r="ES105" s="10" cm="1">
        <f t="array" aca="1" ref="ES105" ca="1">(1-$B$18)*SUMPRODUCT(OFFSET($BO$15,0,0,$B$14,1), 1*(_xlfn._xlws.FILTER(OFFSET($O$15,0,$DN105,$B$8,1),OFFSET($M$15,0,0,$B$8,1))=ES$13), 1*(_xlfn._xlws.FILTER(OFFSET($O$15,0,$DO105,$B$8,1),OFFSET($M$15,0,0,$B$8,1))=ES$14))   /   SUM(OFFSET($BO$15,0,0,$B$14,1)) + $B$18/($B$19*$B$19*($DN105&lt;&gt;$DO105) + $B$19*($DN105=$DO105))</f>
        <v>3.7037037037037035E-4</v>
      </c>
      <c r="ET105" s="10" cm="1">
        <f t="array" aca="1" ref="ET105" ca="1">(1-$B$18)*SUMPRODUCT(OFFSET($BO$15,0,0,$B$14,1), 1*(_xlfn._xlws.FILTER(OFFSET($O$15,0,$DN105,$B$8,1),OFFSET($M$15,0,0,$B$8,1))=ET$13), 1*(_xlfn._xlws.FILTER(OFFSET($O$15,0,$DO105,$B$8,1),OFFSET($M$15,0,0,$B$8,1))=ET$14))   /   SUM(OFFSET($BO$15,0,0,$B$14,1)) + $B$18/($B$19*$B$19*($DN105&lt;&gt;$DO105) + $B$19*($DN105=$DO105))</f>
        <v>3.7037037037037035E-4</v>
      </c>
      <c r="EU105" s="10" cm="1">
        <f t="array" aca="1" ref="EU105" ca="1">(1-$B$18)*SUMPRODUCT(OFFSET($BO$15,0,0,$B$14,1), 1*(_xlfn._xlws.FILTER(OFFSET($O$15,0,$DN105,$B$8,1),OFFSET($M$15,0,0,$B$8,1))=EU$13), 1*(_xlfn._xlws.FILTER(OFFSET($O$15,0,$DO105,$B$8,1),OFFSET($M$15,0,0,$B$8,1))=EU$14))   /   SUM(OFFSET($BO$15,0,0,$B$14,1)) + $B$18/($B$19*$B$19*($DN105&lt;&gt;$DO105) + $B$19*($DN105=$DO105))</f>
        <v>3.7037037037037035E-4</v>
      </c>
      <c r="EV105" s="10" cm="1">
        <f t="array" aca="1" ref="EV105" ca="1">(1-$B$18)*SUMPRODUCT(OFFSET($BO$15,0,0,$B$14,1), 1*(_xlfn._xlws.FILTER(OFFSET($O$15,0,$DN105,$B$8,1),OFFSET($M$15,0,0,$B$8,1))=EV$13), 1*(_xlfn._xlws.FILTER(OFFSET($O$15,0,$DO105,$B$8,1),OFFSET($M$15,0,0,$B$8,1))=EV$14))   /   SUM(OFFSET($BO$15,0,0,$B$14,1)) + $B$18/($B$19*$B$19*($DN105&lt;&gt;$DO105) + $B$19*($DN105=$DO105))</f>
        <v>3.7037037037037035E-4</v>
      </c>
      <c r="EW105" s="10" cm="1">
        <f t="array" aca="1" ref="EW105" ca="1">(1-$B$18)*SUMPRODUCT(OFFSET($BO$15,0,0,$B$14,1), 1*(_xlfn._xlws.FILTER(OFFSET($O$15,0,$DN105,$B$8,1),OFFSET($M$15,0,0,$B$8,1))=EW$13), 1*(_xlfn._xlws.FILTER(OFFSET($O$15,0,$DO105,$B$8,1),OFFSET($M$15,0,0,$B$8,1))=EW$14))   /   SUM(OFFSET($BO$15,0,0,$B$14,1)) + $B$18/($B$19*$B$19*($DN105&lt;&gt;$DO105) + $B$19*($DN105=$DO105))</f>
        <v>3.7037037037037035E-4</v>
      </c>
      <c r="EX105" s="10" cm="1">
        <f t="array" aca="1" ref="EX105" ca="1">(1-$B$18)*SUMPRODUCT(OFFSET($BO$15,0,0,$B$14,1), 1*(_xlfn._xlws.FILTER(OFFSET($O$15,0,$DN105,$B$8,1),OFFSET($M$15,0,0,$B$8,1))=EX$13), 1*(_xlfn._xlws.FILTER(OFFSET($O$15,0,$DO105,$B$8,1),OFFSET($M$15,0,0,$B$8,1))=EX$14))   /   SUM(OFFSET($BO$15,0,0,$B$14,1)) + $B$18/($B$19*$B$19*($DN105&lt;&gt;$DO105) + $B$19*($DN105=$DO105))</f>
        <v>3.7037037037037035E-4</v>
      </c>
      <c r="EY105" s="10" cm="1">
        <f t="array" aca="1" ref="EY105" ca="1">(1-$B$18)*SUMPRODUCT(OFFSET($BO$15,0,0,$B$14,1), 1*(_xlfn._xlws.FILTER(OFFSET($O$15,0,$DN105,$B$8,1),OFFSET($M$15,0,0,$B$8,1))=EY$13), 1*(_xlfn._xlws.FILTER(OFFSET($O$15,0,$DO105,$B$8,1),OFFSET($M$15,0,0,$B$8,1))=EY$14))   /   SUM(OFFSET($BO$15,0,0,$B$14,1)) + $B$18/($B$19*$B$19*($DN105&lt;&gt;$DO105) + $B$19*($DN105=$DO105))</f>
        <v>3.7037037037037035E-4</v>
      </c>
      <c r="EZ105" s="10" cm="1">
        <f t="array" aca="1" ref="EZ105" ca="1">(1-$B$18)*SUMPRODUCT(OFFSET($BO$15,0,0,$B$14,1), 1*(_xlfn._xlws.FILTER(OFFSET($O$15,0,$DN105,$B$8,1),OFFSET($M$15,0,0,$B$8,1))=EZ$13), 1*(_xlfn._xlws.FILTER(OFFSET($O$15,0,$DO105,$B$8,1),OFFSET($M$15,0,0,$B$8,1))=EZ$14))   /   SUM(OFFSET($BO$15,0,0,$B$14,1)) + $B$18/($B$19*$B$19*($DN105&lt;&gt;$DO105) + $B$19*($DN105=$DO105))</f>
        <v>3.7037037037037035E-4</v>
      </c>
      <c r="FA105" s="10" cm="1">
        <f t="array" aca="1" ref="FA105" ca="1">(1-$B$18)*SUMPRODUCT(OFFSET($BO$15,0,0,$B$14,1), 1*(_xlfn._xlws.FILTER(OFFSET($O$15,0,$DN105,$B$8,1),OFFSET($M$15,0,0,$B$8,1))=FA$13), 1*(_xlfn._xlws.FILTER(OFFSET($O$15,0,$DO105,$B$8,1),OFFSET($M$15,0,0,$B$8,1))=FA$14))   /   SUM(OFFSET($BO$15,0,0,$B$14,1)) + $B$18/($B$19*$B$19*($DN105&lt;&gt;$DO105) + $B$19*($DN105=$DO105))</f>
        <v>3.7037037037037035E-4</v>
      </c>
      <c r="FB105" s="10" cm="1">
        <f t="array" aca="1" ref="FB105" ca="1">(1-$B$18)*SUMPRODUCT(OFFSET($BO$15,0,0,$B$14,1), 1*(_xlfn._xlws.FILTER(OFFSET($O$15,0,$DN105,$B$8,1),OFFSET($M$15,0,0,$B$8,1))=FB$13), 1*(_xlfn._xlws.FILTER(OFFSET($O$15,0,$DO105,$B$8,1),OFFSET($M$15,0,0,$B$8,1))=FB$14))   /   SUM(OFFSET($BO$15,0,0,$B$14,1)) + $B$18/($B$19*$B$19*($DN105&lt;&gt;$DO105) + $B$19*($DN105=$DO105))</f>
        <v>3.7037037037037035E-4</v>
      </c>
      <c r="FC105" s="10" cm="1">
        <f t="array" aca="1" ref="FC105" ca="1">(1-$B$18)*SUMPRODUCT(OFFSET($BO$15,0,0,$B$14,1), 1*(_xlfn._xlws.FILTER(OFFSET($O$15,0,$DN105,$B$8,1),OFFSET($M$15,0,0,$B$8,1))=FC$13), 1*(_xlfn._xlws.FILTER(OFFSET($O$15,0,$DO105,$B$8,1),OFFSET($M$15,0,0,$B$8,1))=FC$14))   /   SUM(OFFSET($BO$15,0,0,$B$14,1)) + $B$18/($B$19*$B$19*($DN105&lt;&gt;$DO105) + $B$19*($DN105=$DO105))</f>
        <v>3.7037037037037035E-4</v>
      </c>
      <c r="FD105" s="10" cm="1">
        <f t="array" aca="1" ref="FD105" ca="1">(1-$B$18)*SUMPRODUCT(OFFSET($BO$15,0,0,$B$14,1), 1*(_xlfn._xlws.FILTER(OFFSET($O$15,0,$DN105,$B$8,1),OFFSET($M$15,0,0,$B$8,1))=FD$13), 1*(_xlfn._xlws.FILTER(OFFSET($O$15,0,$DO105,$B$8,1),OFFSET($M$15,0,0,$B$8,1))=FD$14))   /   SUM(OFFSET($BO$15,0,0,$B$14,1)) + $B$18/($B$19*$B$19*($DN105&lt;&gt;$DO105) + $B$19*($DN105=$DO105))</f>
        <v>3.7037037037037035E-4</v>
      </c>
      <c r="FE105" s="10" cm="1">
        <f t="array" aca="1" ref="FE105" ca="1">(1-$B$18)*SUMPRODUCT(OFFSET($BO$15,0,0,$B$14,1), 1*(_xlfn._xlws.FILTER(OFFSET($O$15,0,$DN105,$B$8,1),OFFSET($M$15,0,0,$B$8,1))=FE$13), 1*(_xlfn._xlws.FILTER(OFFSET($O$15,0,$DO105,$B$8,1),OFFSET($M$15,0,0,$B$8,1))=FE$14))   /   SUM(OFFSET($BO$15,0,0,$B$14,1)) + $B$18/($B$19*$B$19*($DN105&lt;&gt;$DO105) + $B$19*($DN105=$DO105))</f>
        <v>3.7037037037037035E-4</v>
      </c>
      <c r="FF105" s="10" cm="1">
        <f t="array" aca="1" ref="FF105" ca="1">(1-$B$18)*SUMPRODUCT(OFFSET($BO$15,0,0,$B$14,1), 1*(_xlfn._xlws.FILTER(OFFSET($O$15,0,$DN105,$B$8,1),OFFSET($M$15,0,0,$B$8,1))=FF$13), 1*(_xlfn._xlws.FILTER(OFFSET($O$15,0,$DO105,$B$8,1),OFFSET($M$15,0,0,$B$8,1))=FF$14))   /   SUM(OFFSET($BO$15,0,0,$B$14,1)) + $B$18/($B$19*$B$19*($DN105&lt;&gt;$DO105) + $B$19*($DN105=$DO105))</f>
        <v>3.7037037037037035E-4</v>
      </c>
      <c r="FG105" s="10" cm="1">
        <f t="array" aca="1" ref="FG105" ca="1">(1-$B$18)*SUMPRODUCT(OFFSET($BO$15,0,0,$B$14,1), 1*(_xlfn._xlws.FILTER(OFFSET($O$15,0,$DN105,$B$8,1),OFFSET($M$15,0,0,$B$8,1))=FG$13), 1*(_xlfn._xlws.FILTER(OFFSET($O$15,0,$DO105,$B$8,1),OFFSET($M$15,0,0,$B$8,1))=FG$14))   /   SUM(OFFSET($BO$15,0,0,$B$14,1)) + $B$18/($B$19*$B$19*($DN105&lt;&gt;$DO105) + $B$19*($DN105=$DO105))</f>
        <v>3.7037037037037035E-4</v>
      </c>
      <c r="FH105" s="10" cm="1">
        <f t="array" aca="1" ref="FH105" ca="1">(1-$B$18)*SUMPRODUCT(OFFSET($BO$15,0,0,$B$14,1), 1*(_xlfn._xlws.FILTER(OFFSET($O$15,0,$DN105,$B$8,1),OFFSET($M$15,0,0,$B$8,1))=FH$13), 1*(_xlfn._xlws.FILTER(OFFSET($O$15,0,$DO105,$B$8,1),OFFSET($M$15,0,0,$B$8,1))=FH$14))   /   SUM(OFFSET($BO$15,0,0,$B$14,1)) + $B$18/($B$19*$B$19*($DN105&lt;&gt;$DO105) + $B$19*($DN105=$DO105))</f>
        <v>3.7037037037037035E-4</v>
      </c>
      <c r="FI105" s="10" cm="1">
        <f t="array" aca="1" ref="FI105" ca="1">(1-$B$18)*SUMPRODUCT(OFFSET($BO$15,0,0,$B$14,1), 1*(_xlfn._xlws.FILTER(OFFSET($O$15,0,$DN105,$B$8,1),OFFSET($M$15,0,0,$B$8,1))=FI$13), 1*(_xlfn._xlws.FILTER(OFFSET($O$15,0,$DO105,$B$8,1),OFFSET($M$15,0,0,$B$8,1))=FI$14))   /   SUM(OFFSET($BO$15,0,0,$B$14,1)) + $B$18/($B$19*$B$19*($DN105&lt;&gt;$DO105) + $B$19*($DN105=$DO105))</f>
        <v>3.7037037037037035E-4</v>
      </c>
      <c r="FJ105" s="10" cm="1">
        <f t="array" aca="1" ref="FJ105" ca="1">(1-$B$18)*SUMPRODUCT(OFFSET($BO$15,0,0,$B$14,1), 1*(_xlfn._xlws.FILTER(OFFSET($O$15,0,$DN105,$B$8,1),OFFSET($M$15,0,0,$B$8,1))=FJ$13), 1*(_xlfn._xlws.FILTER(OFFSET($O$15,0,$DO105,$B$8,1),OFFSET($M$15,0,0,$B$8,1))=FJ$14))   /   SUM(OFFSET($BO$15,0,0,$B$14,1)) + $B$18/($B$19*$B$19*($DN105&lt;&gt;$DO105) + $B$19*($DN105=$DO105))</f>
        <v>3.7037037037037035E-4</v>
      </c>
      <c r="FK105" s="10" cm="1">
        <f t="array" aca="1" ref="FK105" ca="1">(1-$B$18)*SUMPRODUCT(OFFSET($BO$15,0,0,$B$14,1), 1*(_xlfn._xlws.FILTER(OFFSET($O$15,0,$DN105,$B$8,1),OFFSET($M$15,0,0,$B$8,1))=FK$13), 1*(_xlfn._xlws.FILTER(OFFSET($O$15,0,$DO105,$B$8,1),OFFSET($M$15,0,0,$B$8,1))=FK$14))   /   SUM(OFFSET($BO$15,0,0,$B$14,1)) + $B$18/($B$19*$B$19*($DN105&lt;&gt;$DO105) + $B$19*($DN105=$DO105))</f>
        <v>3.7037037037037035E-4</v>
      </c>
      <c r="FL105" s="10" cm="1">
        <f t="array" aca="1" ref="FL105" ca="1">(1-$B$18)*SUMPRODUCT(OFFSET($BO$15,0,0,$B$14,1), 1*(_xlfn._xlws.FILTER(OFFSET($O$15,0,$DN105,$B$8,1),OFFSET($M$15,0,0,$B$8,1))=FL$13), 1*(_xlfn._xlws.FILTER(OFFSET($O$15,0,$DO105,$B$8,1),OFFSET($M$15,0,0,$B$8,1))=FL$14))   /   SUM(OFFSET($BO$15,0,0,$B$14,1)) + $B$18/($B$19*$B$19*($DN105&lt;&gt;$DO105) + $B$19*($DN105=$DO105))</f>
        <v>3.7037037037037035E-4</v>
      </c>
      <c r="FM105" s="10" cm="1">
        <f t="array" aca="1" ref="FM105" ca="1">(1-$B$18)*SUMPRODUCT(OFFSET($BO$15,0,0,$B$14,1), 1*(_xlfn._xlws.FILTER(OFFSET($O$15,0,$DN105,$B$8,1),OFFSET($M$15,0,0,$B$8,1))=FM$13), 1*(_xlfn._xlws.FILTER(OFFSET($O$15,0,$DO105,$B$8,1),OFFSET($M$15,0,0,$B$8,1))=FM$14))   /   SUM(OFFSET($BO$15,0,0,$B$14,1)) + $B$18/($B$19*$B$19*($DN105&lt;&gt;$DO105) + $B$19*($DN105=$DO105))</f>
        <v>3.7037037037037035E-4</v>
      </c>
      <c r="FN105" s="10" cm="1">
        <f t="array" aca="1" ref="FN105" ca="1">(1-$B$18)*SUMPRODUCT(OFFSET($BO$15,0,0,$B$14,1), 1*(_xlfn._xlws.FILTER(OFFSET($O$15,0,$DN105,$B$8,1),OFFSET($M$15,0,0,$B$8,1))=FN$13), 1*(_xlfn._xlws.FILTER(OFFSET($O$15,0,$DO105,$B$8,1),OFFSET($M$15,0,0,$B$8,1))=FN$14))   /   SUM(OFFSET($BO$15,0,0,$B$14,1)) + $B$18/($B$19*$B$19*($DN105&lt;&gt;$DO105) + $B$19*($DN105=$DO105))</f>
        <v>0.97037037037037033</v>
      </c>
      <c r="FO105" s="10" cm="1">
        <f t="array" aca="1" ref="FO105" ca="1">(1-$B$18)*SUMPRODUCT(OFFSET($BO$15,0,0,$B$14,1), 1*(_xlfn._xlws.FILTER(OFFSET($O$15,0,$DN105,$B$8,1),OFFSET($M$15,0,0,$B$8,1))=FO$13), 1*(_xlfn._xlws.FILTER(OFFSET($O$15,0,$DO105,$B$8,1),OFFSET($M$15,0,0,$B$8,1))=FO$14))   /   SUM(OFFSET($BO$15,0,0,$B$14,1)) + $B$18/($B$19*$B$19*($DN105&lt;&gt;$DO105) + $B$19*($DN105=$DO105))</f>
        <v>3.7037037037037035E-4</v>
      </c>
      <c r="FP105" s="10" cm="1">
        <f t="array" aca="1" ref="FP105" ca="1">(1-$B$18)*SUMPRODUCT(OFFSET($BO$15,0,0,$B$14,1), 1*(_xlfn._xlws.FILTER(OFFSET($O$15,0,$DN105,$B$8,1),OFFSET($M$15,0,0,$B$8,1))=FP$13), 1*(_xlfn._xlws.FILTER(OFFSET($O$15,0,$DO105,$B$8,1),OFFSET($M$15,0,0,$B$8,1))=FP$14))   /   SUM(OFFSET($BO$15,0,0,$B$14,1)) + $B$18/($B$19*$B$19*($DN105&lt;&gt;$DO105) + $B$19*($DN105=$DO105))</f>
        <v>3.7037037037037035E-4</v>
      </c>
      <c r="FQ105" s="10" cm="1">
        <f t="array" aca="1" ref="FQ105" ca="1">(1-$B$18)*SUMPRODUCT(OFFSET($BO$15,0,0,$B$14,1), 1*(_xlfn._xlws.FILTER(OFFSET($O$15,0,$DN105,$B$8,1),OFFSET($M$15,0,0,$B$8,1))=FQ$13), 1*(_xlfn._xlws.FILTER(OFFSET($O$15,0,$DO105,$B$8,1),OFFSET($M$15,0,0,$B$8,1))=FQ$14))   /   SUM(OFFSET($BO$15,0,0,$B$14,1)) + $B$18/($B$19*$B$19*($DN105&lt;&gt;$DO105) + $B$19*($DN105=$DO105))</f>
        <v>3.7037037037037035E-4</v>
      </c>
      <c r="FR105" s="10" cm="1">
        <f t="array" aca="1" ref="FR105" ca="1">(1-$B$18)*SUMPRODUCT(OFFSET($BO$15,0,0,$B$14,1), 1*(_xlfn._xlws.FILTER(OFFSET($O$15,0,$DN105,$B$8,1),OFFSET($M$15,0,0,$B$8,1))=FR$13), 1*(_xlfn._xlws.FILTER(OFFSET($O$15,0,$DO105,$B$8,1),OFFSET($M$15,0,0,$B$8,1))=FR$14))   /   SUM(OFFSET($BO$15,0,0,$B$14,1)) + $B$18/($B$19*$B$19*($DN105&lt;&gt;$DO105) + $B$19*($DN105=$DO105))</f>
        <v>3.7037037037037035E-4</v>
      </c>
      <c r="FS105" s="10" cm="1">
        <f t="array" aca="1" ref="FS105" ca="1">(1-$B$18)*SUMPRODUCT(OFFSET($BO$15,0,0,$B$14,1), 1*(_xlfn._xlws.FILTER(OFFSET($O$15,0,$DN105,$B$8,1),OFFSET($M$15,0,0,$B$8,1))=FS$13), 1*(_xlfn._xlws.FILTER(OFFSET($O$15,0,$DO105,$B$8,1),OFFSET($M$15,0,0,$B$8,1))=FS$14))   /   SUM(OFFSET($BO$15,0,0,$B$14,1)) + $B$18/($B$19*$B$19*($DN105&lt;&gt;$DO105) + $B$19*($DN105=$DO105))</f>
        <v>3.7037037037037035E-4</v>
      </c>
      <c r="FT105" s="10" cm="1">
        <f t="array" aca="1" ref="FT105" ca="1">(1-$B$18)*SUMPRODUCT(OFFSET($BO$15,0,0,$B$14,1), 1*(_xlfn._xlws.FILTER(OFFSET($O$15,0,$DN105,$B$8,1),OFFSET($M$15,0,0,$B$8,1))=FT$13), 1*(_xlfn._xlws.FILTER(OFFSET($O$15,0,$DO105,$B$8,1),OFFSET($M$15,0,0,$B$8,1))=FT$14))   /   SUM(OFFSET($BO$15,0,0,$B$14,1)) + $B$18/($B$19*$B$19*($DN105&lt;&gt;$DO105) + $B$19*($DN105=$DO105))</f>
        <v>3.7037037037037035E-4</v>
      </c>
      <c r="FU105" s="10" cm="1">
        <f t="array" aca="1" ref="FU105" ca="1">(1-$B$18)*SUMPRODUCT(OFFSET($BO$15,0,0,$B$14,1), 1*(_xlfn._xlws.FILTER(OFFSET($O$15,0,$DN105,$B$8,1),OFFSET($M$15,0,0,$B$8,1))=FU$13), 1*(_xlfn._xlws.FILTER(OFFSET($O$15,0,$DO105,$B$8,1),OFFSET($M$15,0,0,$B$8,1))=FU$14))   /   SUM(OFFSET($BO$15,0,0,$B$14,1)) + $B$18/($B$19*$B$19*($DN105&lt;&gt;$DO105) + $B$19*($DN105=$DO105))</f>
        <v>3.7037037037037035E-4</v>
      </c>
      <c r="FV105" s="10" cm="1">
        <f t="array" aca="1" ref="FV105" ca="1">(1-$B$18)*SUMPRODUCT(OFFSET($BO$15,0,0,$B$14,1), 1*(_xlfn._xlws.FILTER(OFFSET($O$15,0,$DN105,$B$8,1),OFFSET($M$15,0,0,$B$8,1))=FV$13), 1*(_xlfn._xlws.FILTER(OFFSET($O$15,0,$DO105,$B$8,1),OFFSET($M$15,0,0,$B$8,1))=FV$14))   /   SUM(OFFSET($BO$15,0,0,$B$14,1)) + $B$18/($B$19*$B$19*($DN105&lt;&gt;$DO105) + $B$19*($DN105=$DO105))</f>
        <v>3.7037037037037035E-4</v>
      </c>
      <c r="FW105" s="10" cm="1">
        <f t="array" aca="1" ref="FW105" ca="1">(1-$B$18)*SUMPRODUCT(OFFSET($BO$15,0,0,$B$14,1), 1*(_xlfn._xlws.FILTER(OFFSET($O$15,0,$DN105,$B$8,1),OFFSET($M$15,0,0,$B$8,1))=FW$13), 1*(_xlfn._xlws.FILTER(OFFSET($O$15,0,$DO105,$B$8,1),OFFSET($M$15,0,0,$B$8,1))=FW$14))   /   SUM(OFFSET($BO$15,0,0,$B$14,1)) + $B$18/($B$19*$B$19*($DN105&lt;&gt;$DO105) + $B$19*($DN105=$DO105))</f>
        <v>3.7037037037037035E-4</v>
      </c>
      <c r="FX105" s="10" cm="1">
        <f t="array" aca="1" ref="FX105" ca="1">(1-$B$18)*SUMPRODUCT(OFFSET($BO$15,0,0,$B$14,1), 1*(_xlfn._xlws.FILTER(OFFSET($O$15,0,$DN105,$B$8,1),OFFSET($M$15,0,0,$B$8,1))=FX$13), 1*(_xlfn._xlws.FILTER(OFFSET($O$15,0,$DO105,$B$8,1),OFFSET($M$15,0,0,$B$8,1))=FX$14))   /   SUM(OFFSET($BO$15,0,0,$B$14,1)) + $B$18/($B$19*$B$19*($DN105&lt;&gt;$DO105) + $B$19*($DN105=$DO105))</f>
        <v>3.7037037037037035E-4</v>
      </c>
      <c r="FY105" s="10" cm="1">
        <f t="array" aca="1" ref="FY105" ca="1">(1-$B$18)*SUMPRODUCT(OFFSET($BO$15,0,0,$B$14,1), 1*(_xlfn._xlws.FILTER(OFFSET($O$15,0,$DN105,$B$8,1),OFFSET($M$15,0,0,$B$8,1))=FY$13), 1*(_xlfn._xlws.FILTER(OFFSET($O$15,0,$DO105,$B$8,1),OFFSET($M$15,0,0,$B$8,1))=FY$14))   /   SUM(OFFSET($BO$15,0,0,$B$14,1)) + $B$18/($B$19*$B$19*($DN105&lt;&gt;$DO105) + $B$19*($DN105=$DO105))</f>
        <v>3.7037037037037035E-4</v>
      </c>
      <c r="FZ105" s="10" cm="1">
        <f t="array" aca="1" ref="FZ105" ca="1">(1-$B$18)*SUMPRODUCT(OFFSET($BO$15,0,0,$B$14,1), 1*(_xlfn._xlws.FILTER(OFFSET($O$15,0,$DN105,$B$8,1),OFFSET($M$15,0,0,$B$8,1))=FZ$13), 1*(_xlfn._xlws.FILTER(OFFSET($O$15,0,$DO105,$B$8,1),OFFSET($M$15,0,0,$B$8,1))=FZ$14))   /   SUM(OFFSET($BO$15,0,0,$B$14,1)) + $B$18/($B$19*$B$19*($DN105&lt;&gt;$DO105) + $B$19*($DN105=$DO105))</f>
        <v>3.7037037037037035E-4</v>
      </c>
      <c r="GA105" s="10" cm="1">
        <f t="array" aca="1" ref="GA105" ca="1">(1-$B$18)*SUMPRODUCT(OFFSET($BO$15,0,0,$B$14,1), 1*(_xlfn._xlws.FILTER(OFFSET($O$15,0,$DN105,$B$8,1),OFFSET($M$15,0,0,$B$8,1))=GA$13), 1*(_xlfn._xlws.FILTER(OFFSET($O$15,0,$DO105,$B$8,1),OFFSET($M$15,0,0,$B$8,1))=GA$14))   /   SUM(OFFSET($BO$15,0,0,$B$14,1)) + $B$18/($B$19*$B$19*($DN105&lt;&gt;$DO105) + $B$19*($DN105=$DO105))</f>
        <v>3.7037037037037035E-4</v>
      </c>
    </row>
    <row r="106" spans="8:183" x14ac:dyDescent="0.2">
      <c r="H106" s="2"/>
      <c r="DN106" cm="1">
        <f t="array" aca="1" ref="DN106" ca="1">INDEX(_xlfn.ANCHORARRAY($CP$15), 1 + INT((ROWS($DO$15:$DO106) - 1) / ROWS(_xlfn.ANCHORARRAY($CP$15))))</f>
        <v>4</v>
      </c>
      <c r="DO106" cm="1">
        <f t="array" aca="1" ref="DO106" ca="1">INDEX(_xlfn.ANCHORARRAY($CP$15),1+MOD(ROWS($DO$15:$DO106)-1,ROWS(_xlfn.ANCHORARRAY($CP$15))))</f>
        <v>18</v>
      </c>
      <c r="DP106" s="10" cm="1">
        <f t="array" aca="1" ref="DP106" ca="1">(1-$B$18)*SUMPRODUCT(OFFSET($BO$15,0,0,$B$14,1), 1*(_xlfn._xlws.FILTER(OFFSET($O$15,0,$DN106,$B$8,1),OFFSET($M$15,0,0,$B$8,1))=DP$13), 1*(_xlfn._xlws.FILTER(OFFSET($O$15,0,$DO106,$B$8,1),OFFSET($M$15,0,0,$B$8,1))=DP$14))   /   SUM(OFFSET($BO$15,0,0,$B$14,1)) + $B$18/($B$19*$B$19*($DN106&lt;&gt;$DO106) + $B$19*($DN106=$DO106))</f>
        <v>3.7037037037037035E-4</v>
      </c>
      <c r="DQ106" s="10" cm="1">
        <f t="array" aca="1" ref="DQ106" ca="1">(1-$B$18)*SUMPRODUCT(OFFSET($BO$15,0,0,$B$14,1), 1*(_xlfn._xlws.FILTER(OFFSET($O$15,0,$DN106,$B$8,1),OFFSET($M$15,0,0,$B$8,1))=DQ$13), 1*(_xlfn._xlws.FILTER(OFFSET($O$15,0,$DO106,$B$8,1),OFFSET($M$15,0,0,$B$8,1))=DQ$14))   /   SUM(OFFSET($BO$15,0,0,$B$14,1)) + $B$18/($B$19*$B$19*($DN106&lt;&gt;$DO106) + $B$19*($DN106=$DO106))</f>
        <v>3.7037037037037035E-4</v>
      </c>
      <c r="DR106" s="10" cm="1">
        <f t="array" aca="1" ref="DR106" ca="1">(1-$B$18)*SUMPRODUCT(OFFSET($BO$15,0,0,$B$14,1), 1*(_xlfn._xlws.FILTER(OFFSET($O$15,0,$DN106,$B$8,1),OFFSET($M$15,0,0,$B$8,1))=DR$13), 1*(_xlfn._xlws.FILTER(OFFSET($O$15,0,$DO106,$B$8,1),OFFSET($M$15,0,0,$B$8,1))=DR$14))   /   SUM(OFFSET($BO$15,0,0,$B$14,1)) + $B$18/($B$19*$B$19*($DN106&lt;&gt;$DO106) + $B$19*($DN106=$DO106))</f>
        <v>3.7037037037037035E-4</v>
      </c>
      <c r="DS106" s="10" cm="1">
        <f t="array" aca="1" ref="DS106" ca="1">(1-$B$18)*SUMPRODUCT(OFFSET($BO$15,0,0,$B$14,1), 1*(_xlfn._xlws.FILTER(OFFSET($O$15,0,$DN106,$B$8,1),OFFSET($M$15,0,0,$B$8,1))=DS$13), 1*(_xlfn._xlws.FILTER(OFFSET($O$15,0,$DO106,$B$8,1),OFFSET($M$15,0,0,$B$8,1))=DS$14))   /   SUM(OFFSET($BO$15,0,0,$B$14,1)) + $B$18/($B$19*$B$19*($DN106&lt;&gt;$DO106) + $B$19*($DN106=$DO106))</f>
        <v>3.7037037037037035E-4</v>
      </c>
      <c r="DT106" s="10" cm="1">
        <f t="array" aca="1" ref="DT106" ca="1">(1-$B$18)*SUMPRODUCT(OFFSET($BO$15,0,0,$B$14,1), 1*(_xlfn._xlws.FILTER(OFFSET($O$15,0,$DN106,$B$8,1),OFFSET($M$15,0,0,$B$8,1))=DT$13), 1*(_xlfn._xlws.FILTER(OFFSET($O$15,0,$DO106,$B$8,1),OFFSET($M$15,0,0,$B$8,1))=DT$14))   /   SUM(OFFSET($BO$15,0,0,$B$14,1)) + $B$18/($B$19*$B$19*($DN106&lt;&gt;$DO106) + $B$19*($DN106=$DO106))</f>
        <v>3.7037037037037035E-4</v>
      </c>
      <c r="DU106" s="10" cm="1">
        <f t="array" aca="1" ref="DU106" ca="1">(1-$B$18)*SUMPRODUCT(OFFSET($BO$15,0,0,$B$14,1), 1*(_xlfn._xlws.FILTER(OFFSET($O$15,0,$DN106,$B$8,1),OFFSET($M$15,0,0,$B$8,1))=DU$13), 1*(_xlfn._xlws.FILTER(OFFSET($O$15,0,$DO106,$B$8,1),OFFSET($M$15,0,0,$B$8,1))=DU$14))   /   SUM(OFFSET($BO$15,0,0,$B$14,1)) + $B$18/($B$19*$B$19*($DN106&lt;&gt;$DO106) + $B$19*($DN106=$DO106))</f>
        <v>3.7037037037037035E-4</v>
      </c>
      <c r="DV106" s="10" cm="1">
        <f t="array" aca="1" ref="DV106" ca="1">(1-$B$18)*SUMPRODUCT(OFFSET($BO$15,0,0,$B$14,1), 1*(_xlfn._xlws.FILTER(OFFSET($O$15,0,$DN106,$B$8,1),OFFSET($M$15,0,0,$B$8,1))=DV$13), 1*(_xlfn._xlws.FILTER(OFFSET($O$15,0,$DO106,$B$8,1),OFFSET($M$15,0,0,$B$8,1))=DV$14))   /   SUM(OFFSET($BO$15,0,0,$B$14,1)) + $B$18/($B$19*$B$19*($DN106&lt;&gt;$DO106) + $B$19*($DN106=$DO106))</f>
        <v>3.7037037037037035E-4</v>
      </c>
      <c r="DW106" s="10" cm="1">
        <f t="array" aca="1" ref="DW106" ca="1">(1-$B$18)*SUMPRODUCT(OFFSET($BO$15,0,0,$B$14,1), 1*(_xlfn._xlws.FILTER(OFFSET($O$15,0,$DN106,$B$8,1),OFFSET($M$15,0,0,$B$8,1))=DW$13), 1*(_xlfn._xlws.FILTER(OFFSET($O$15,0,$DO106,$B$8,1),OFFSET($M$15,0,0,$B$8,1))=DW$14))   /   SUM(OFFSET($BO$15,0,0,$B$14,1)) + $B$18/($B$19*$B$19*($DN106&lt;&gt;$DO106) + $B$19*($DN106=$DO106))</f>
        <v>3.7037037037037035E-4</v>
      </c>
      <c r="DX106" s="10" cm="1">
        <f t="array" aca="1" ref="DX106" ca="1">(1-$B$18)*SUMPRODUCT(OFFSET($BO$15,0,0,$B$14,1), 1*(_xlfn._xlws.FILTER(OFFSET($O$15,0,$DN106,$B$8,1),OFFSET($M$15,0,0,$B$8,1))=DX$13), 1*(_xlfn._xlws.FILTER(OFFSET($O$15,0,$DO106,$B$8,1),OFFSET($M$15,0,0,$B$8,1))=DX$14))   /   SUM(OFFSET($BO$15,0,0,$B$14,1)) + $B$18/($B$19*$B$19*($DN106&lt;&gt;$DO106) + $B$19*($DN106=$DO106))</f>
        <v>3.7037037037037035E-4</v>
      </c>
      <c r="DY106" s="10" cm="1">
        <f t="array" aca="1" ref="DY106" ca="1">(1-$B$18)*SUMPRODUCT(OFFSET($BO$15,0,0,$B$14,1), 1*(_xlfn._xlws.FILTER(OFFSET($O$15,0,$DN106,$B$8,1),OFFSET($M$15,0,0,$B$8,1))=DY$13), 1*(_xlfn._xlws.FILTER(OFFSET($O$15,0,$DO106,$B$8,1),OFFSET($M$15,0,0,$B$8,1))=DY$14))   /   SUM(OFFSET($BO$15,0,0,$B$14,1)) + $B$18/($B$19*$B$19*($DN106&lt;&gt;$DO106) + $B$19*($DN106=$DO106))</f>
        <v>3.7037037037037035E-4</v>
      </c>
      <c r="DZ106" s="10" cm="1">
        <f t="array" aca="1" ref="DZ106" ca="1">(1-$B$18)*SUMPRODUCT(OFFSET($BO$15,0,0,$B$14,1), 1*(_xlfn._xlws.FILTER(OFFSET($O$15,0,$DN106,$B$8,1),OFFSET($M$15,0,0,$B$8,1))=DZ$13), 1*(_xlfn._xlws.FILTER(OFFSET($O$15,0,$DO106,$B$8,1),OFFSET($M$15,0,0,$B$8,1))=DZ$14))   /   SUM(OFFSET($BO$15,0,0,$B$14,1)) + $B$18/($B$19*$B$19*($DN106&lt;&gt;$DO106) + $B$19*($DN106=$DO106))</f>
        <v>3.7037037037037035E-4</v>
      </c>
      <c r="EA106" s="10" cm="1">
        <f t="array" aca="1" ref="EA106" ca="1">(1-$B$18)*SUMPRODUCT(OFFSET($BO$15,0,0,$B$14,1), 1*(_xlfn._xlws.FILTER(OFFSET($O$15,0,$DN106,$B$8,1),OFFSET($M$15,0,0,$B$8,1))=EA$13), 1*(_xlfn._xlws.FILTER(OFFSET($O$15,0,$DO106,$B$8,1),OFFSET($M$15,0,0,$B$8,1))=EA$14))   /   SUM(OFFSET($BO$15,0,0,$B$14,1)) + $B$18/($B$19*$B$19*($DN106&lt;&gt;$DO106) + $B$19*($DN106=$DO106))</f>
        <v>3.7037037037037035E-4</v>
      </c>
      <c r="EB106" s="10" cm="1">
        <f t="array" aca="1" ref="EB106" ca="1">(1-$B$18)*SUMPRODUCT(OFFSET($BO$15,0,0,$B$14,1), 1*(_xlfn._xlws.FILTER(OFFSET($O$15,0,$DN106,$B$8,1),OFFSET($M$15,0,0,$B$8,1))=EB$13), 1*(_xlfn._xlws.FILTER(OFFSET($O$15,0,$DO106,$B$8,1),OFFSET($M$15,0,0,$B$8,1))=EB$14))   /   SUM(OFFSET($BO$15,0,0,$B$14,1)) + $B$18/($B$19*$B$19*($DN106&lt;&gt;$DO106) + $B$19*($DN106=$DO106))</f>
        <v>3.7037037037037035E-4</v>
      </c>
      <c r="EC106" s="10" cm="1">
        <f t="array" aca="1" ref="EC106" ca="1">(1-$B$18)*SUMPRODUCT(OFFSET($BO$15,0,0,$B$14,1), 1*(_xlfn._xlws.FILTER(OFFSET($O$15,0,$DN106,$B$8,1),OFFSET($M$15,0,0,$B$8,1))=EC$13), 1*(_xlfn._xlws.FILTER(OFFSET($O$15,0,$DO106,$B$8,1),OFFSET($M$15,0,0,$B$8,1))=EC$14))   /   SUM(OFFSET($BO$15,0,0,$B$14,1)) + $B$18/($B$19*$B$19*($DN106&lt;&gt;$DO106) + $B$19*($DN106=$DO106))</f>
        <v>3.7037037037037035E-4</v>
      </c>
      <c r="ED106" s="10" cm="1">
        <f t="array" aca="1" ref="ED106" ca="1">(1-$B$18)*SUMPRODUCT(OFFSET($BO$15,0,0,$B$14,1), 1*(_xlfn._xlws.FILTER(OFFSET($O$15,0,$DN106,$B$8,1),OFFSET($M$15,0,0,$B$8,1))=ED$13), 1*(_xlfn._xlws.FILTER(OFFSET($O$15,0,$DO106,$B$8,1),OFFSET($M$15,0,0,$B$8,1))=ED$14))   /   SUM(OFFSET($BO$15,0,0,$B$14,1)) + $B$18/($B$19*$B$19*($DN106&lt;&gt;$DO106) + $B$19*($DN106=$DO106))</f>
        <v>3.7037037037037035E-4</v>
      </c>
      <c r="EE106" s="10" cm="1">
        <f t="array" aca="1" ref="EE106" ca="1">(1-$B$18)*SUMPRODUCT(OFFSET($BO$15,0,0,$B$14,1), 1*(_xlfn._xlws.FILTER(OFFSET($O$15,0,$DN106,$B$8,1),OFFSET($M$15,0,0,$B$8,1))=EE$13), 1*(_xlfn._xlws.FILTER(OFFSET($O$15,0,$DO106,$B$8,1),OFFSET($M$15,0,0,$B$8,1))=EE$14))   /   SUM(OFFSET($BO$15,0,0,$B$14,1)) + $B$18/($B$19*$B$19*($DN106&lt;&gt;$DO106) + $B$19*($DN106=$DO106))</f>
        <v>3.7037037037037035E-4</v>
      </c>
      <c r="EF106" s="10" cm="1">
        <f t="array" aca="1" ref="EF106" ca="1">(1-$B$18)*SUMPRODUCT(OFFSET($BO$15,0,0,$B$14,1), 1*(_xlfn._xlws.FILTER(OFFSET($O$15,0,$DN106,$B$8,1),OFFSET($M$15,0,0,$B$8,1))=EF$13), 1*(_xlfn._xlws.FILTER(OFFSET($O$15,0,$DO106,$B$8,1),OFFSET($M$15,0,0,$B$8,1))=EF$14))   /   SUM(OFFSET($BO$15,0,0,$B$14,1)) + $B$18/($B$19*$B$19*($DN106&lt;&gt;$DO106) + $B$19*($DN106=$DO106))</f>
        <v>3.7037037037037035E-4</v>
      </c>
      <c r="EG106" s="10" cm="1">
        <f t="array" aca="1" ref="EG106" ca="1">(1-$B$18)*SUMPRODUCT(OFFSET($BO$15,0,0,$B$14,1), 1*(_xlfn._xlws.FILTER(OFFSET($O$15,0,$DN106,$B$8,1),OFFSET($M$15,0,0,$B$8,1))=EG$13), 1*(_xlfn._xlws.FILTER(OFFSET($O$15,0,$DO106,$B$8,1),OFFSET($M$15,0,0,$B$8,1))=EG$14))   /   SUM(OFFSET($BO$15,0,0,$B$14,1)) + $B$18/($B$19*$B$19*($DN106&lt;&gt;$DO106) + $B$19*($DN106=$DO106))</f>
        <v>3.7037037037037035E-4</v>
      </c>
      <c r="EH106" s="10" cm="1">
        <f t="array" aca="1" ref="EH106" ca="1">(1-$B$18)*SUMPRODUCT(OFFSET($BO$15,0,0,$B$14,1), 1*(_xlfn._xlws.FILTER(OFFSET($O$15,0,$DN106,$B$8,1),OFFSET($M$15,0,0,$B$8,1))=EH$13), 1*(_xlfn._xlws.FILTER(OFFSET($O$15,0,$DO106,$B$8,1),OFFSET($M$15,0,0,$B$8,1))=EH$14))   /   SUM(OFFSET($BO$15,0,0,$B$14,1)) + $B$18/($B$19*$B$19*($DN106&lt;&gt;$DO106) + $B$19*($DN106=$DO106))</f>
        <v>3.7037037037037035E-4</v>
      </c>
      <c r="EI106" s="10" cm="1">
        <f t="array" aca="1" ref="EI106" ca="1">(1-$B$18)*SUMPRODUCT(OFFSET($BO$15,0,0,$B$14,1), 1*(_xlfn._xlws.FILTER(OFFSET($O$15,0,$DN106,$B$8,1),OFFSET($M$15,0,0,$B$8,1))=EI$13), 1*(_xlfn._xlws.FILTER(OFFSET($O$15,0,$DO106,$B$8,1),OFFSET($M$15,0,0,$B$8,1))=EI$14))   /   SUM(OFFSET($BO$15,0,0,$B$14,1)) + $B$18/($B$19*$B$19*($DN106&lt;&gt;$DO106) + $B$19*($DN106=$DO106))</f>
        <v>3.7037037037037035E-4</v>
      </c>
      <c r="EJ106" s="10" cm="1">
        <f t="array" aca="1" ref="EJ106" ca="1">(1-$B$18)*SUMPRODUCT(OFFSET($BO$15,0,0,$B$14,1), 1*(_xlfn._xlws.FILTER(OFFSET($O$15,0,$DN106,$B$8,1),OFFSET($M$15,0,0,$B$8,1))=EJ$13), 1*(_xlfn._xlws.FILTER(OFFSET($O$15,0,$DO106,$B$8,1),OFFSET($M$15,0,0,$B$8,1))=EJ$14))   /   SUM(OFFSET($BO$15,0,0,$B$14,1)) + $B$18/($B$19*$B$19*($DN106&lt;&gt;$DO106) + $B$19*($DN106=$DO106))</f>
        <v>3.7037037037037035E-4</v>
      </c>
      <c r="EK106" s="10" cm="1">
        <f t="array" aca="1" ref="EK106" ca="1">(1-$B$18)*SUMPRODUCT(OFFSET($BO$15,0,0,$B$14,1), 1*(_xlfn._xlws.FILTER(OFFSET($O$15,0,$DN106,$B$8,1),OFFSET($M$15,0,0,$B$8,1))=EK$13), 1*(_xlfn._xlws.FILTER(OFFSET($O$15,0,$DO106,$B$8,1),OFFSET($M$15,0,0,$B$8,1))=EK$14))   /   SUM(OFFSET($BO$15,0,0,$B$14,1)) + $B$18/($B$19*$B$19*($DN106&lt;&gt;$DO106) + $B$19*($DN106=$DO106))</f>
        <v>3.7037037037037035E-4</v>
      </c>
      <c r="EL106" s="10" cm="1">
        <f t="array" aca="1" ref="EL106" ca="1">(1-$B$18)*SUMPRODUCT(OFFSET($BO$15,0,0,$B$14,1), 1*(_xlfn._xlws.FILTER(OFFSET($O$15,0,$DN106,$B$8,1),OFFSET($M$15,0,0,$B$8,1))=EL$13), 1*(_xlfn._xlws.FILTER(OFFSET($O$15,0,$DO106,$B$8,1),OFFSET($M$15,0,0,$B$8,1))=EL$14))   /   SUM(OFFSET($BO$15,0,0,$B$14,1)) + $B$18/($B$19*$B$19*($DN106&lt;&gt;$DO106) + $B$19*($DN106=$DO106))</f>
        <v>3.7037037037037035E-4</v>
      </c>
      <c r="EM106" s="10" cm="1">
        <f t="array" aca="1" ref="EM106" ca="1">(1-$B$18)*SUMPRODUCT(OFFSET($BO$15,0,0,$B$14,1), 1*(_xlfn._xlws.FILTER(OFFSET($O$15,0,$DN106,$B$8,1),OFFSET($M$15,0,0,$B$8,1))=EM$13), 1*(_xlfn._xlws.FILTER(OFFSET($O$15,0,$DO106,$B$8,1),OFFSET($M$15,0,0,$B$8,1))=EM$14))   /   SUM(OFFSET($BO$15,0,0,$B$14,1)) + $B$18/($B$19*$B$19*($DN106&lt;&gt;$DO106) + $B$19*($DN106=$DO106))</f>
        <v>3.7037037037037035E-4</v>
      </c>
      <c r="EN106" s="10" cm="1">
        <f t="array" aca="1" ref="EN106" ca="1">(1-$B$18)*SUMPRODUCT(OFFSET($BO$15,0,0,$B$14,1), 1*(_xlfn._xlws.FILTER(OFFSET($O$15,0,$DN106,$B$8,1),OFFSET($M$15,0,0,$B$8,1))=EN$13), 1*(_xlfn._xlws.FILTER(OFFSET($O$15,0,$DO106,$B$8,1),OFFSET($M$15,0,0,$B$8,1))=EN$14))   /   SUM(OFFSET($BO$15,0,0,$B$14,1)) + $B$18/($B$19*$B$19*($DN106&lt;&gt;$DO106) + $B$19*($DN106=$DO106))</f>
        <v>3.7037037037037035E-4</v>
      </c>
      <c r="EO106" s="10" cm="1">
        <f t="array" aca="1" ref="EO106" ca="1">(1-$B$18)*SUMPRODUCT(OFFSET($BO$15,0,0,$B$14,1), 1*(_xlfn._xlws.FILTER(OFFSET($O$15,0,$DN106,$B$8,1),OFFSET($M$15,0,0,$B$8,1))=EO$13), 1*(_xlfn._xlws.FILTER(OFFSET($O$15,0,$DO106,$B$8,1),OFFSET($M$15,0,0,$B$8,1))=EO$14))   /   SUM(OFFSET($BO$15,0,0,$B$14,1)) + $B$18/($B$19*$B$19*($DN106&lt;&gt;$DO106) + $B$19*($DN106=$DO106))</f>
        <v>3.7037037037037035E-4</v>
      </c>
      <c r="EP106" s="10" cm="1">
        <f t="array" aca="1" ref="EP106" ca="1">(1-$B$18)*SUMPRODUCT(OFFSET($BO$15,0,0,$B$14,1), 1*(_xlfn._xlws.FILTER(OFFSET($O$15,0,$DN106,$B$8,1),OFFSET($M$15,0,0,$B$8,1))=EP$13), 1*(_xlfn._xlws.FILTER(OFFSET($O$15,0,$DO106,$B$8,1),OFFSET($M$15,0,0,$B$8,1))=EP$14))   /   SUM(OFFSET($BO$15,0,0,$B$14,1)) + $B$18/($B$19*$B$19*($DN106&lt;&gt;$DO106) + $B$19*($DN106=$DO106))</f>
        <v>3.7037037037037035E-4</v>
      </c>
      <c r="EQ106" s="10" cm="1">
        <f t="array" aca="1" ref="EQ106" ca="1">(1-$B$18)*SUMPRODUCT(OFFSET($BO$15,0,0,$B$14,1), 1*(_xlfn._xlws.FILTER(OFFSET($O$15,0,$DN106,$B$8,1),OFFSET($M$15,0,0,$B$8,1))=EQ$13), 1*(_xlfn._xlws.FILTER(OFFSET($O$15,0,$DO106,$B$8,1),OFFSET($M$15,0,0,$B$8,1))=EQ$14))   /   SUM(OFFSET($BO$15,0,0,$B$14,1)) + $B$18/($B$19*$B$19*($DN106&lt;&gt;$DO106) + $B$19*($DN106=$DO106))</f>
        <v>3.7037037037037035E-4</v>
      </c>
      <c r="ER106" s="10" cm="1">
        <f t="array" aca="1" ref="ER106" ca="1">(1-$B$18)*SUMPRODUCT(OFFSET($BO$15,0,0,$B$14,1), 1*(_xlfn._xlws.FILTER(OFFSET($O$15,0,$DN106,$B$8,1),OFFSET($M$15,0,0,$B$8,1))=ER$13), 1*(_xlfn._xlws.FILTER(OFFSET($O$15,0,$DO106,$B$8,1),OFFSET($M$15,0,0,$B$8,1))=ER$14))   /   SUM(OFFSET($BO$15,0,0,$B$14,1)) + $B$18/($B$19*$B$19*($DN106&lt;&gt;$DO106) + $B$19*($DN106=$DO106))</f>
        <v>3.7037037037037035E-4</v>
      </c>
      <c r="ES106" s="10" cm="1">
        <f t="array" aca="1" ref="ES106" ca="1">(1-$B$18)*SUMPRODUCT(OFFSET($BO$15,0,0,$B$14,1), 1*(_xlfn._xlws.FILTER(OFFSET($O$15,0,$DN106,$B$8,1),OFFSET($M$15,0,0,$B$8,1))=ES$13), 1*(_xlfn._xlws.FILTER(OFFSET($O$15,0,$DO106,$B$8,1),OFFSET($M$15,0,0,$B$8,1))=ES$14))   /   SUM(OFFSET($BO$15,0,0,$B$14,1)) + $B$18/($B$19*$B$19*($DN106&lt;&gt;$DO106) + $B$19*($DN106=$DO106))</f>
        <v>3.7037037037037035E-4</v>
      </c>
      <c r="ET106" s="10" cm="1">
        <f t="array" aca="1" ref="ET106" ca="1">(1-$B$18)*SUMPRODUCT(OFFSET($BO$15,0,0,$B$14,1), 1*(_xlfn._xlws.FILTER(OFFSET($O$15,0,$DN106,$B$8,1),OFFSET($M$15,0,0,$B$8,1))=ET$13), 1*(_xlfn._xlws.FILTER(OFFSET($O$15,0,$DO106,$B$8,1),OFFSET($M$15,0,0,$B$8,1))=ET$14))   /   SUM(OFFSET($BO$15,0,0,$B$14,1)) + $B$18/($B$19*$B$19*($DN106&lt;&gt;$DO106) + $B$19*($DN106=$DO106))</f>
        <v>3.7037037037037035E-4</v>
      </c>
      <c r="EU106" s="10" cm="1">
        <f t="array" aca="1" ref="EU106" ca="1">(1-$B$18)*SUMPRODUCT(OFFSET($BO$15,0,0,$B$14,1), 1*(_xlfn._xlws.FILTER(OFFSET($O$15,0,$DN106,$B$8,1),OFFSET($M$15,0,0,$B$8,1))=EU$13), 1*(_xlfn._xlws.FILTER(OFFSET($O$15,0,$DO106,$B$8,1),OFFSET($M$15,0,0,$B$8,1))=EU$14))   /   SUM(OFFSET($BO$15,0,0,$B$14,1)) + $B$18/($B$19*$B$19*($DN106&lt;&gt;$DO106) + $B$19*($DN106=$DO106))</f>
        <v>3.7037037037037035E-4</v>
      </c>
      <c r="EV106" s="10" cm="1">
        <f t="array" aca="1" ref="EV106" ca="1">(1-$B$18)*SUMPRODUCT(OFFSET($BO$15,0,0,$B$14,1), 1*(_xlfn._xlws.FILTER(OFFSET($O$15,0,$DN106,$B$8,1),OFFSET($M$15,0,0,$B$8,1))=EV$13), 1*(_xlfn._xlws.FILTER(OFFSET($O$15,0,$DO106,$B$8,1),OFFSET($M$15,0,0,$B$8,1))=EV$14))   /   SUM(OFFSET($BO$15,0,0,$B$14,1)) + $B$18/($B$19*$B$19*($DN106&lt;&gt;$DO106) + $B$19*($DN106=$DO106))</f>
        <v>3.7037037037037035E-4</v>
      </c>
      <c r="EW106" s="10" cm="1">
        <f t="array" aca="1" ref="EW106" ca="1">(1-$B$18)*SUMPRODUCT(OFFSET($BO$15,0,0,$B$14,1), 1*(_xlfn._xlws.FILTER(OFFSET($O$15,0,$DN106,$B$8,1),OFFSET($M$15,0,0,$B$8,1))=EW$13), 1*(_xlfn._xlws.FILTER(OFFSET($O$15,0,$DO106,$B$8,1),OFFSET($M$15,0,0,$B$8,1))=EW$14))   /   SUM(OFFSET($BO$15,0,0,$B$14,1)) + $B$18/($B$19*$B$19*($DN106&lt;&gt;$DO106) + $B$19*($DN106=$DO106))</f>
        <v>3.7037037037037035E-4</v>
      </c>
      <c r="EX106" s="10" cm="1">
        <f t="array" aca="1" ref="EX106" ca="1">(1-$B$18)*SUMPRODUCT(OFFSET($BO$15,0,0,$B$14,1), 1*(_xlfn._xlws.FILTER(OFFSET($O$15,0,$DN106,$B$8,1),OFFSET($M$15,0,0,$B$8,1))=EX$13), 1*(_xlfn._xlws.FILTER(OFFSET($O$15,0,$DO106,$B$8,1),OFFSET($M$15,0,0,$B$8,1))=EX$14))   /   SUM(OFFSET($BO$15,0,0,$B$14,1)) + $B$18/($B$19*$B$19*($DN106&lt;&gt;$DO106) + $B$19*($DN106=$DO106))</f>
        <v>3.7037037037037035E-4</v>
      </c>
      <c r="EY106" s="10" cm="1">
        <f t="array" aca="1" ref="EY106" ca="1">(1-$B$18)*SUMPRODUCT(OFFSET($BO$15,0,0,$B$14,1), 1*(_xlfn._xlws.FILTER(OFFSET($O$15,0,$DN106,$B$8,1),OFFSET($M$15,0,0,$B$8,1))=EY$13), 1*(_xlfn._xlws.FILTER(OFFSET($O$15,0,$DO106,$B$8,1),OFFSET($M$15,0,0,$B$8,1))=EY$14))   /   SUM(OFFSET($BO$15,0,0,$B$14,1)) + $B$18/($B$19*$B$19*($DN106&lt;&gt;$DO106) + $B$19*($DN106=$DO106))</f>
        <v>3.7037037037037035E-4</v>
      </c>
      <c r="EZ106" s="10" cm="1">
        <f t="array" aca="1" ref="EZ106" ca="1">(1-$B$18)*SUMPRODUCT(OFFSET($BO$15,0,0,$B$14,1), 1*(_xlfn._xlws.FILTER(OFFSET($O$15,0,$DN106,$B$8,1),OFFSET($M$15,0,0,$B$8,1))=EZ$13), 1*(_xlfn._xlws.FILTER(OFFSET($O$15,0,$DO106,$B$8,1),OFFSET($M$15,0,0,$B$8,1))=EZ$14))   /   SUM(OFFSET($BO$15,0,0,$B$14,1)) + $B$18/($B$19*$B$19*($DN106&lt;&gt;$DO106) + $B$19*($DN106=$DO106))</f>
        <v>3.7037037037037035E-4</v>
      </c>
      <c r="FA106" s="10" cm="1">
        <f t="array" aca="1" ref="FA106" ca="1">(1-$B$18)*SUMPRODUCT(OFFSET($BO$15,0,0,$B$14,1), 1*(_xlfn._xlws.FILTER(OFFSET($O$15,0,$DN106,$B$8,1),OFFSET($M$15,0,0,$B$8,1))=FA$13), 1*(_xlfn._xlws.FILTER(OFFSET($O$15,0,$DO106,$B$8,1),OFFSET($M$15,0,0,$B$8,1))=FA$14))   /   SUM(OFFSET($BO$15,0,0,$B$14,1)) + $B$18/($B$19*$B$19*($DN106&lt;&gt;$DO106) + $B$19*($DN106=$DO106))</f>
        <v>3.7037037037037035E-4</v>
      </c>
      <c r="FB106" s="10" cm="1">
        <f t="array" aca="1" ref="FB106" ca="1">(1-$B$18)*SUMPRODUCT(OFFSET($BO$15,0,0,$B$14,1), 1*(_xlfn._xlws.FILTER(OFFSET($O$15,0,$DN106,$B$8,1),OFFSET($M$15,0,0,$B$8,1))=FB$13), 1*(_xlfn._xlws.FILTER(OFFSET($O$15,0,$DO106,$B$8,1),OFFSET($M$15,0,0,$B$8,1))=FB$14))   /   SUM(OFFSET($BO$15,0,0,$B$14,1)) + $B$18/($B$19*$B$19*($DN106&lt;&gt;$DO106) + $B$19*($DN106=$DO106))</f>
        <v>3.7037037037037035E-4</v>
      </c>
      <c r="FC106" s="10" cm="1">
        <f t="array" aca="1" ref="FC106" ca="1">(1-$B$18)*SUMPRODUCT(OFFSET($BO$15,0,0,$B$14,1), 1*(_xlfn._xlws.FILTER(OFFSET($O$15,0,$DN106,$B$8,1),OFFSET($M$15,0,0,$B$8,1))=FC$13), 1*(_xlfn._xlws.FILTER(OFFSET($O$15,0,$DO106,$B$8,1),OFFSET($M$15,0,0,$B$8,1))=FC$14))   /   SUM(OFFSET($BO$15,0,0,$B$14,1)) + $B$18/($B$19*$B$19*($DN106&lt;&gt;$DO106) + $B$19*($DN106=$DO106))</f>
        <v>3.7037037037037035E-4</v>
      </c>
      <c r="FD106" s="10" cm="1">
        <f t="array" aca="1" ref="FD106" ca="1">(1-$B$18)*SUMPRODUCT(OFFSET($BO$15,0,0,$B$14,1), 1*(_xlfn._xlws.FILTER(OFFSET($O$15,0,$DN106,$B$8,1),OFFSET($M$15,0,0,$B$8,1))=FD$13), 1*(_xlfn._xlws.FILTER(OFFSET($O$15,0,$DO106,$B$8,1),OFFSET($M$15,0,0,$B$8,1))=FD$14))   /   SUM(OFFSET($BO$15,0,0,$B$14,1)) + $B$18/($B$19*$B$19*($DN106&lt;&gt;$DO106) + $B$19*($DN106=$DO106))</f>
        <v>3.7037037037037035E-4</v>
      </c>
      <c r="FE106" s="10" cm="1">
        <f t="array" aca="1" ref="FE106" ca="1">(1-$B$18)*SUMPRODUCT(OFFSET($BO$15,0,0,$B$14,1), 1*(_xlfn._xlws.FILTER(OFFSET($O$15,0,$DN106,$B$8,1),OFFSET($M$15,0,0,$B$8,1))=FE$13), 1*(_xlfn._xlws.FILTER(OFFSET($O$15,0,$DO106,$B$8,1),OFFSET($M$15,0,0,$B$8,1))=FE$14))   /   SUM(OFFSET($BO$15,0,0,$B$14,1)) + $B$18/($B$19*$B$19*($DN106&lt;&gt;$DO106) + $B$19*($DN106=$DO106))</f>
        <v>3.7037037037037035E-4</v>
      </c>
      <c r="FF106" s="10" cm="1">
        <f t="array" aca="1" ref="FF106" ca="1">(1-$B$18)*SUMPRODUCT(OFFSET($BO$15,0,0,$B$14,1), 1*(_xlfn._xlws.FILTER(OFFSET($O$15,0,$DN106,$B$8,1),OFFSET($M$15,0,0,$B$8,1))=FF$13), 1*(_xlfn._xlws.FILTER(OFFSET($O$15,0,$DO106,$B$8,1),OFFSET($M$15,0,0,$B$8,1))=FF$14))   /   SUM(OFFSET($BO$15,0,0,$B$14,1)) + $B$18/($B$19*$B$19*($DN106&lt;&gt;$DO106) + $B$19*($DN106=$DO106))</f>
        <v>3.7037037037037035E-4</v>
      </c>
      <c r="FG106" s="10" cm="1">
        <f t="array" aca="1" ref="FG106" ca="1">(1-$B$18)*SUMPRODUCT(OFFSET($BO$15,0,0,$B$14,1), 1*(_xlfn._xlws.FILTER(OFFSET($O$15,0,$DN106,$B$8,1),OFFSET($M$15,0,0,$B$8,1))=FG$13), 1*(_xlfn._xlws.FILTER(OFFSET($O$15,0,$DO106,$B$8,1),OFFSET($M$15,0,0,$B$8,1))=FG$14))   /   SUM(OFFSET($BO$15,0,0,$B$14,1)) + $B$18/($B$19*$B$19*($DN106&lt;&gt;$DO106) + $B$19*($DN106=$DO106))</f>
        <v>3.7037037037037035E-4</v>
      </c>
      <c r="FH106" s="10" cm="1">
        <f t="array" aca="1" ref="FH106" ca="1">(1-$B$18)*SUMPRODUCT(OFFSET($BO$15,0,0,$B$14,1), 1*(_xlfn._xlws.FILTER(OFFSET($O$15,0,$DN106,$B$8,1),OFFSET($M$15,0,0,$B$8,1))=FH$13), 1*(_xlfn._xlws.FILTER(OFFSET($O$15,0,$DO106,$B$8,1),OFFSET($M$15,0,0,$B$8,1))=FH$14))   /   SUM(OFFSET($BO$15,0,0,$B$14,1)) + $B$18/($B$19*$B$19*($DN106&lt;&gt;$DO106) + $B$19*($DN106=$DO106))</f>
        <v>3.7037037037037035E-4</v>
      </c>
      <c r="FI106" s="10" cm="1">
        <f t="array" aca="1" ref="FI106" ca="1">(1-$B$18)*SUMPRODUCT(OFFSET($BO$15,0,0,$B$14,1), 1*(_xlfn._xlws.FILTER(OFFSET($O$15,0,$DN106,$B$8,1),OFFSET($M$15,0,0,$B$8,1))=FI$13), 1*(_xlfn._xlws.FILTER(OFFSET($O$15,0,$DO106,$B$8,1),OFFSET($M$15,0,0,$B$8,1))=FI$14))   /   SUM(OFFSET($BO$15,0,0,$B$14,1)) + $B$18/($B$19*$B$19*($DN106&lt;&gt;$DO106) + $B$19*($DN106=$DO106))</f>
        <v>3.7037037037037035E-4</v>
      </c>
      <c r="FJ106" s="10" cm="1">
        <f t="array" aca="1" ref="FJ106" ca="1">(1-$B$18)*SUMPRODUCT(OFFSET($BO$15,0,0,$B$14,1), 1*(_xlfn._xlws.FILTER(OFFSET($O$15,0,$DN106,$B$8,1),OFFSET($M$15,0,0,$B$8,1))=FJ$13), 1*(_xlfn._xlws.FILTER(OFFSET($O$15,0,$DO106,$B$8,1),OFFSET($M$15,0,0,$B$8,1))=FJ$14))   /   SUM(OFFSET($BO$15,0,0,$B$14,1)) + $B$18/($B$19*$B$19*($DN106&lt;&gt;$DO106) + $B$19*($DN106=$DO106))</f>
        <v>3.7037037037037035E-4</v>
      </c>
      <c r="FK106" s="10" cm="1">
        <f t="array" aca="1" ref="FK106" ca="1">(1-$B$18)*SUMPRODUCT(OFFSET($BO$15,0,0,$B$14,1), 1*(_xlfn._xlws.FILTER(OFFSET($O$15,0,$DN106,$B$8,1),OFFSET($M$15,0,0,$B$8,1))=FK$13), 1*(_xlfn._xlws.FILTER(OFFSET($O$15,0,$DO106,$B$8,1),OFFSET($M$15,0,0,$B$8,1))=FK$14))   /   SUM(OFFSET($BO$15,0,0,$B$14,1)) + $B$18/($B$19*$B$19*($DN106&lt;&gt;$DO106) + $B$19*($DN106=$DO106))</f>
        <v>3.7037037037037035E-4</v>
      </c>
      <c r="FL106" s="10" cm="1">
        <f t="array" aca="1" ref="FL106" ca="1">(1-$B$18)*SUMPRODUCT(OFFSET($BO$15,0,0,$B$14,1), 1*(_xlfn._xlws.FILTER(OFFSET($O$15,0,$DN106,$B$8,1),OFFSET($M$15,0,0,$B$8,1))=FL$13), 1*(_xlfn._xlws.FILTER(OFFSET($O$15,0,$DO106,$B$8,1),OFFSET($M$15,0,0,$B$8,1))=FL$14))   /   SUM(OFFSET($BO$15,0,0,$B$14,1)) + $B$18/($B$19*$B$19*($DN106&lt;&gt;$DO106) + $B$19*($DN106=$DO106))</f>
        <v>3.7037037037037035E-4</v>
      </c>
      <c r="FM106" s="10" cm="1">
        <f t="array" aca="1" ref="FM106" ca="1">(1-$B$18)*SUMPRODUCT(OFFSET($BO$15,0,0,$B$14,1), 1*(_xlfn._xlws.FILTER(OFFSET($O$15,0,$DN106,$B$8,1),OFFSET($M$15,0,0,$B$8,1))=FM$13), 1*(_xlfn._xlws.FILTER(OFFSET($O$15,0,$DO106,$B$8,1),OFFSET($M$15,0,0,$B$8,1))=FM$14))   /   SUM(OFFSET($BO$15,0,0,$B$14,1)) + $B$18/($B$19*$B$19*($DN106&lt;&gt;$DO106) + $B$19*($DN106=$DO106))</f>
        <v>3.7037037037037035E-4</v>
      </c>
      <c r="FN106" s="10" cm="1">
        <f t="array" aca="1" ref="FN106" ca="1">(1-$B$18)*SUMPRODUCT(OFFSET($BO$15,0,0,$B$14,1), 1*(_xlfn._xlws.FILTER(OFFSET($O$15,0,$DN106,$B$8,1),OFFSET($M$15,0,0,$B$8,1))=FN$13), 1*(_xlfn._xlws.FILTER(OFFSET($O$15,0,$DO106,$B$8,1),OFFSET($M$15,0,0,$B$8,1))=FN$14))   /   SUM(OFFSET($BO$15,0,0,$B$14,1)) + $B$18/($B$19*$B$19*($DN106&lt;&gt;$DO106) + $B$19*($DN106=$DO106))</f>
        <v>3.7037037037037035E-4</v>
      </c>
      <c r="FO106" s="10" cm="1">
        <f t="array" aca="1" ref="FO106" ca="1">(1-$B$18)*SUMPRODUCT(OFFSET($BO$15,0,0,$B$14,1), 1*(_xlfn._xlws.FILTER(OFFSET($O$15,0,$DN106,$B$8,1),OFFSET($M$15,0,0,$B$8,1))=FO$13), 1*(_xlfn._xlws.FILTER(OFFSET($O$15,0,$DO106,$B$8,1),OFFSET($M$15,0,0,$B$8,1))=FO$14))   /   SUM(OFFSET($BO$15,0,0,$B$14,1)) + $B$18/($B$19*$B$19*($DN106&lt;&gt;$DO106) + $B$19*($DN106=$DO106))</f>
        <v>0.97037037037037033</v>
      </c>
      <c r="FP106" s="10" cm="1">
        <f t="array" aca="1" ref="FP106" ca="1">(1-$B$18)*SUMPRODUCT(OFFSET($BO$15,0,0,$B$14,1), 1*(_xlfn._xlws.FILTER(OFFSET($O$15,0,$DN106,$B$8,1),OFFSET($M$15,0,0,$B$8,1))=FP$13), 1*(_xlfn._xlws.FILTER(OFFSET($O$15,0,$DO106,$B$8,1),OFFSET($M$15,0,0,$B$8,1))=FP$14))   /   SUM(OFFSET($BO$15,0,0,$B$14,1)) + $B$18/($B$19*$B$19*($DN106&lt;&gt;$DO106) + $B$19*($DN106=$DO106))</f>
        <v>3.7037037037037035E-4</v>
      </c>
      <c r="FQ106" s="10" cm="1">
        <f t="array" aca="1" ref="FQ106" ca="1">(1-$B$18)*SUMPRODUCT(OFFSET($BO$15,0,0,$B$14,1), 1*(_xlfn._xlws.FILTER(OFFSET($O$15,0,$DN106,$B$8,1),OFFSET($M$15,0,0,$B$8,1))=FQ$13), 1*(_xlfn._xlws.FILTER(OFFSET($O$15,0,$DO106,$B$8,1),OFFSET($M$15,0,0,$B$8,1))=FQ$14))   /   SUM(OFFSET($BO$15,0,0,$B$14,1)) + $B$18/($B$19*$B$19*($DN106&lt;&gt;$DO106) + $B$19*($DN106=$DO106))</f>
        <v>3.7037037037037035E-4</v>
      </c>
      <c r="FR106" s="10" cm="1">
        <f t="array" aca="1" ref="FR106" ca="1">(1-$B$18)*SUMPRODUCT(OFFSET($BO$15,0,0,$B$14,1), 1*(_xlfn._xlws.FILTER(OFFSET($O$15,0,$DN106,$B$8,1),OFFSET($M$15,0,0,$B$8,1))=FR$13), 1*(_xlfn._xlws.FILTER(OFFSET($O$15,0,$DO106,$B$8,1),OFFSET($M$15,0,0,$B$8,1))=FR$14))   /   SUM(OFFSET($BO$15,0,0,$B$14,1)) + $B$18/($B$19*$B$19*($DN106&lt;&gt;$DO106) + $B$19*($DN106=$DO106))</f>
        <v>3.7037037037037035E-4</v>
      </c>
      <c r="FS106" s="10" cm="1">
        <f t="array" aca="1" ref="FS106" ca="1">(1-$B$18)*SUMPRODUCT(OFFSET($BO$15,0,0,$B$14,1), 1*(_xlfn._xlws.FILTER(OFFSET($O$15,0,$DN106,$B$8,1),OFFSET($M$15,0,0,$B$8,1))=FS$13), 1*(_xlfn._xlws.FILTER(OFFSET($O$15,0,$DO106,$B$8,1),OFFSET($M$15,0,0,$B$8,1))=FS$14))   /   SUM(OFFSET($BO$15,0,0,$B$14,1)) + $B$18/($B$19*$B$19*($DN106&lt;&gt;$DO106) + $B$19*($DN106=$DO106))</f>
        <v>3.7037037037037035E-4</v>
      </c>
      <c r="FT106" s="10" cm="1">
        <f t="array" aca="1" ref="FT106" ca="1">(1-$B$18)*SUMPRODUCT(OFFSET($BO$15,0,0,$B$14,1), 1*(_xlfn._xlws.FILTER(OFFSET($O$15,0,$DN106,$B$8,1),OFFSET($M$15,0,0,$B$8,1))=FT$13), 1*(_xlfn._xlws.FILTER(OFFSET($O$15,0,$DO106,$B$8,1),OFFSET($M$15,0,0,$B$8,1))=FT$14))   /   SUM(OFFSET($BO$15,0,0,$B$14,1)) + $B$18/($B$19*$B$19*($DN106&lt;&gt;$DO106) + $B$19*($DN106=$DO106))</f>
        <v>3.7037037037037035E-4</v>
      </c>
      <c r="FU106" s="10" cm="1">
        <f t="array" aca="1" ref="FU106" ca="1">(1-$B$18)*SUMPRODUCT(OFFSET($BO$15,0,0,$B$14,1), 1*(_xlfn._xlws.FILTER(OFFSET($O$15,0,$DN106,$B$8,1),OFFSET($M$15,0,0,$B$8,1))=FU$13), 1*(_xlfn._xlws.FILTER(OFFSET($O$15,0,$DO106,$B$8,1),OFFSET($M$15,0,0,$B$8,1))=FU$14))   /   SUM(OFFSET($BO$15,0,0,$B$14,1)) + $B$18/($B$19*$B$19*($DN106&lt;&gt;$DO106) + $B$19*($DN106=$DO106))</f>
        <v>3.7037037037037035E-4</v>
      </c>
      <c r="FV106" s="10" cm="1">
        <f t="array" aca="1" ref="FV106" ca="1">(1-$B$18)*SUMPRODUCT(OFFSET($BO$15,0,0,$B$14,1), 1*(_xlfn._xlws.FILTER(OFFSET($O$15,0,$DN106,$B$8,1),OFFSET($M$15,0,0,$B$8,1))=FV$13), 1*(_xlfn._xlws.FILTER(OFFSET($O$15,0,$DO106,$B$8,1),OFFSET($M$15,0,0,$B$8,1))=FV$14))   /   SUM(OFFSET($BO$15,0,0,$B$14,1)) + $B$18/($B$19*$B$19*($DN106&lt;&gt;$DO106) + $B$19*($DN106=$DO106))</f>
        <v>3.7037037037037035E-4</v>
      </c>
      <c r="FW106" s="10" cm="1">
        <f t="array" aca="1" ref="FW106" ca="1">(1-$B$18)*SUMPRODUCT(OFFSET($BO$15,0,0,$B$14,1), 1*(_xlfn._xlws.FILTER(OFFSET($O$15,0,$DN106,$B$8,1),OFFSET($M$15,0,0,$B$8,1))=FW$13), 1*(_xlfn._xlws.FILTER(OFFSET($O$15,0,$DO106,$B$8,1),OFFSET($M$15,0,0,$B$8,1))=FW$14))   /   SUM(OFFSET($BO$15,0,0,$B$14,1)) + $B$18/($B$19*$B$19*($DN106&lt;&gt;$DO106) + $B$19*($DN106=$DO106))</f>
        <v>3.7037037037037035E-4</v>
      </c>
      <c r="FX106" s="10" cm="1">
        <f t="array" aca="1" ref="FX106" ca="1">(1-$B$18)*SUMPRODUCT(OFFSET($BO$15,0,0,$B$14,1), 1*(_xlfn._xlws.FILTER(OFFSET($O$15,0,$DN106,$B$8,1),OFFSET($M$15,0,0,$B$8,1))=FX$13), 1*(_xlfn._xlws.FILTER(OFFSET($O$15,0,$DO106,$B$8,1),OFFSET($M$15,0,0,$B$8,1))=FX$14))   /   SUM(OFFSET($BO$15,0,0,$B$14,1)) + $B$18/($B$19*$B$19*($DN106&lt;&gt;$DO106) + $B$19*($DN106=$DO106))</f>
        <v>3.7037037037037035E-4</v>
      </c>
      <c r="FY106" s="10" cm="1">
        <f t="array" aca="1" ref="FY106" ca="1">(1-$B$18)*SUMPRODUCT(OFFSET($BO$15,0,0,$B$14,1), 1*(_xlfn._xlws.FILTER(OFFSET($O$15,0,$DN106,$B$8,1),OFFSET($M$15,0,0,$B$8,1))=FY$13), 1*(_xlfn._xlws.FILTER(OFFSET($O$15,0,$DO106,$B$8,1),OFFSET($M$15,0,0,$B$8,1))=FY$14))   /   SUM(OFFSET($BO$15,0,0,$B$14,1)) + $B$18/($B$19*$B$19*($DN106&lt;&gt;$DO106) + $B$19*($DN106=$DO106))</f>
        <v>3.7037037037037035E-4</v>
      </c>
      <c r="FZ106" s="10" cm="1">
        <f t="array" aca="1" ref="FZ106" ca="1">(1-$B$18)*SUMPRODUCT(OFFSET($BO$15,0,0,$B$14,1), 1*(_xlfn._xlws.FILTER(OFFSET($O$15,0,$DN106,$B$8,1),OFFSET($M$15,0,0,$B$8,1))=FZ$13), 1*(_xlfn._xlws.FILTER(OFFSET($O$15,0,$DO106,$B$8,1),OFFSET($M$15,0,0,$B$8,1))=FZ$14))   /   SUM(OFFSET($BO$15,0,0,$B$14,1)) + $B$18/($B$19*$B$19*($DN106&lt;&gt;$DO106) + $B$19*($DN106=$DO106))</f>
        <v>3.7037037037037035E-4</v>
      </c>
      <c r="GA106" s="10" cm="1">
        <f t="array" aca="1" ref="GA106" ca="1">(1-$B$18)*SUMPRODUCT(OFFSET($BO$15,0,0,$B$14,1), 1*(_xlfn._xlws.FILTER(OFFSET($O$15,0,$DN106,$B$8,1),OFFSET($M$15,0,0,$B$8,1))=GA$13), 1*(_xlfn._xlws.FILTER(OFFSET($O$15,0,$DO106,$B$8,1),OFFSET($M$15,0,0,$B$8,1))=GA$14))   /   SUM(OFFSET($BO$15,0,0,$B$14,1)) + $B$18/($B$19*$B$19*($DN106&lt;&gt;$DO106) + $B$19*($DN106=$DO106))</f>
        <v>3.7037037037037035E-4</v>
      </c>
    </row>
    <row r="107" spans="8:183" x14ac:dyDescent="0.2">
      <c r="H107" s="2"/>
      <c r="DN107" cm="1">
        <f t="array" aca="1" ref="DN107" ca="1">INDEX(_xlfn.ANCHORARRAY($CP$15), 1 + INT((ROWS($DO$15:$DO107) - 1) / ROWS(_xlfn.ANCHORARRAY($CP$15))))</f>
        <v>4</v>
      </c>
      <c r="DO107" cm="1">
        <f t="array" aca="1" ref="DO107" ca="1">INDEX(_xlfn.ANCHORARRAY($CP$15),1+MOD(ROWS($DO$15:$DO107)-1,ROWS(_xlfn.ANCHORARRAY($CP$15))))</f>
        <v>19</v>
      </c>
      <c r="DP107" s="10" cm="1">
        <f t="array" aca="1" ref="DP107" ca="1">(1-$B$18)*SUMPRODUCT(OFFSET($BO$15,0,0,$B$14,1), 1*(_xlfn._xlws.FILTER(OFFSET($O$15,0,$DN107,$B$8,1),OFFSET($M$15,0,0,$B$8,1))=DP$13), 1*(_xlfn._xlws.FILTER(OFFSET($O$15,0,$DO107,$B$8,1),OFFSET($M$15,0,0,$B$8,1))=DP$14))   /   SUM(OFFSET($BO$15,0,0,$B$14,1)) + $B$18/($B$19*$B$19*($DN107&lt;&gt;$DO107) + $B$19*($DN107=$DO107))</f>
        <v>3.7037037037037035E-4</v>
      </c>
      <c r="DQ107" s="10" cm="1">
        <f t="array" aca="1" ref="DQ107" ca="1">(1-$B$18)*SUMPRODUCT(OFFSET($BO$15,0,0,$B$14,1), 1*(_xlfn._xlws.FILTER(OFFSET($O$15,0,$DN107,$B$8,1),OFFSET($M$15,0,0,$B$8,1))=DQ$13), 1*(_xlfn._xlws.FILTER(OFFSET($O$15,0,$DO107,$B$8,1),OFFSET($M$15,0,0,$B$8,1))=DQ$14))   /   SUM(OFFSET($BO$15,0,0,$B$14,1)) + $B$18/($B$19*$B$19*($DN107&lt;&gt;$DO107) + $B$19*($DN107=$DO107))</f>
        <v>3.7037037037037035E-4</v>
      </c>
      <c r="DR107" s="10" cm="1">
        <f t="array" aca="1" ref="DR107" ca="1">(1-$B$18)*SUMPRODUCT(OFFSET($BO$15,0,0,$B$14,1), 1*(_xlfn._xlws.FILTER(OFFSET($O$15,0,$DN107,$B$8,1),OFFSET($M$15,0,0,$B$8,1))=DR$13), 1*(_xlfn._xlws.FILTER(OFFSET($O$15,0,$DO107,$B$8,1),OFFSET($M$15,0,0,$B$8,1))=DR$14))   /   SUM(OFFSET($BO$15,0,0,$B$14,1)) + $B$18/($B$19*$B$19*($DN107&lt;&gt;$DO107) + $B$19*($DN107=$DO107))</f>
        <v>3.7037037037037035E-4</v>
      </c>
      <c r="DS107" s="10" cm="1">
        <f t="array" aca="1" ref="DS107" ca="1">(1-$B$18)*SUMPRODUCT(OFFSET($BO$15,0,0,$B$14,1), 1*(_xlfn._xlws.FILTER(OFFSET($O$15,0,$DN107,$B$8,1),OFFSET($M$15,0,0,$B$8,1))=DS$13), 1*(_xlfn._xlws.FILTER(OFFSET($O$15,0,$DO107,$B$8,1),OFFSET($M$15,0,0,$B$8,1))=DS$14))   /   SUM(OFFSET($BO$15,0,0,$B$14,1)) + $B$18/($B$19*$B$19*($DN107&lt;&gt;$DO107) + $B$19*($DN107=$DO107))</f>
        <v>3.7037037037037035E-4</v>
      </c>
      <c r="DT107" s="10" cm="1">
        <f t="array" aca="1" ref="DT107" ca="1">(1-$B$18)*SUMPRODUCT(OFFSET($BO$15,0,0,$B$14,1), 1*(_xlfn._xlws.FILTER(OFFSET($O$15,0,$DN107,$B$8,1),OFFSET($M$15,0,0,$B$8,1))=DT$13), 1*(_xlfn._xlws.FILTER(OFFSET($O$15,0,$DO107,$B$8,1),OFFSET($M$15,0,0,$B$8,1))=DT$14))   /   SUM(OFFSET($BO$15,0,0,$B$14,1)) + $B$18/($B$19*$B$19*($DN107&lt;&gt;$DO107) + $B$19*($DN107=$DO107))</f>
        <v>3.7037037037037035E-4</v>
      </c>
      <c r="DU107" s="10" cm="1">
        <f t="array" aca="1" ref="DU107" ca="1">(1-$B$18)*SUMPRODUCT(OFFSET($BO$15,0,0,$B$14,1), 1*(_xlfn._xlws.FILTER(OFFSET($O$15,0,$DN107,$B$8,1),OFFSET($M$15,0,0,$B$8,1))=DU$13), 1*(_xlfn._xlws.FILTER(OFFSET($O$15,0,$DO107,$B$8,1),OFFSET($M$15,0,0,$B$8,1))=DU$14))   /   SUM(OFFSET($BO$15,0,0,$B$14,1)) + $B$18/($B$19*$B$19*($DN107&lt;&gt;$DO107) + $B$19*($DN107=$DO107))</f>
        <v>3.7037037037037035E-4</v>
      </c>
      <c r="DV107" s="10" cm="1">
        <f t="array" aca="1" ref="DV107" ca="1">(1-$B$18)*SUMPRODUCT(OFFSET($BO$15,0,0,$B$14,1), 1*(_xlfn._xlws.FILTER(OFFSET($O$15,0,$DN107,$B$8,1),OFFSET($M$15,0,0,$B$8,1))=DV$13), 1*(_xlfn._xlws.FILTER(OFFSET($O$15,0,$DO107,$B$8,1),OFFSET($M$15,0,0,$B$8,1))=DV$14))   /   SUM(OFFSET($BO$15,0,0,$B$14,1)) + $B$18/($B$19*$B$19*($DN107&lt;&gt;$DO107) + $B$19*($DN107=$DO107))</f>
        <v>3.7037037037037035E-4</v>
      </c>
      <c r="DW107" s="10" cm="1">
        <f t="array" aca="1" ref="DW107" ca="1">(1-$B$18)*SUMPRODUCT(OFFSET($BO$15,0,0,$B$14,1), 1*(_xlfn._xlws.FILTER(OFFSET($O$15,0,$DN107,$B$8,1),OFFSET($M$15,0,0,$B$8,1))=DW$13), 1*(_xlfn._xlws.FILTER(OFFSET($O$15,0,$DO107,$B$8,1),OFFSET($M$15,0,0,$B$8,1))=DW$14))   /   SUM(OFFSET($BO$15,0,0,$B$14,1)) + $B$18/($B$19*$B$19*($DN107&lt;&gt;$DO107) + $B$19*($DN107=$DO107))</f>
        <v>3.7037037037037035E-4</v>
      </c>
      <c r="DX107" s="10" cm="1">
        <f t="array" aca="1" ref="DX107" ca="1">(1-$B$18)*SUMPRODUCT(OFFSET($BO$15,0,0,$B$14,1), 1*(_xlfn._xlws.FILTER(OFFSET($O$15,0,$DN107,$B$8,1),OFFSET($M$15,0,0,$B$8,1))=DX$13), 1*(_xlfn._xlws.FILTER(OFFSET($O$15,0,$DO107,$B$8,1),OFFSET($M$15,0,0,$B$8,1))=DX$14))   /   SUM(OFFSET($BO$15,0,0,$B$14,1)) + $B$18/($B$19*$B$19*($DN107&lt;&gt;$DO107) + $B$19*($DN107=$DO107))</f>
        <v>3.7037037037037035E-4</v>
      </c>
      <c r="DY107" s="10" cm="1">
        <f t="array" aca="1" ref="DY107" ca="1">(1-$B$18)*SUMPRODUCT(OFFSET($BO$15,0,0,$B$14,1), 1*(_xlfn._xlws.FILTER(OFFSET($O$15,0,$DN107,$B$8,1),OFFSET($M$15,0,0,$B$8,1))=DY$13), 1*(_xlfn._xlws.FILTER(OFFSET($O$15,0,$DO107,$B$8,1),OFFSET($M$15,0,0,$B$8,1))=DY$14))   /   SUM(OFFSET($BO$15,0,0,$B$14,1)) + $B$18/($B$19*$B$19*($DN107&lt;&gt;$DO107) + $B$19*($DN107=$DO107))</f>
        <v>3.7037037037037035E-4</v>
      </c>
      <c r="DZ107" s="10" cm="1">
        <f t="array" aca="1" ref="DZ107" ca="1">(1-$B$18)*SUMPRODUCT(OFFSET($BO$15,0,0,$B$14,1), 1*(_xlfn._xlws.FILTER(OFFSET($O$15,0,$DN107,$B$8,1),OFFSET($M$15,0,0,$B$8,1))=DZ$13), 1*(_xlfn._xlws.FILTER(OFFSET($O$15,0,$DO107,$B$8,1),OFFSET($M$15,0,0,$B$8,1))=DZ$14))   /   SUM(OFFSET($BO$15,0,0,$B$14,1)) + $B$18/($B$19*$B$19*($DN107&lt;&gt;$DO107) + $B$19*($DN107=$DO107))</f>
        <v>3.7037037037037035E-4</v>
      </c>
      <c r="EA107" s="10" cm="1">
        <f t="array" aca="1" ref="EA107" ca="1">(1-$B$18)*SUMPRODUCT(OFFSET($BO$15,0,0,$B$14,1), 1*(_xlfn._xlws.FILTER(OFFSET($O$15,0,$DN107,$B$8,1),OFFSET($M$15,0,0,$B$8,1))=EA$13), 1*(_xlfn._xlws.FILTER(OFFSET($O$15,0,$DO107,$B$8,1),OFFSET($M$15,0,0,$B$8,1))=EA$14))   /   SUM(OFFSET($BO$15,0,0,$B$14,1)) + $B$18/($B$19*$B$19*($DN107&lt;&gt;$DO107) + $B$19*($DN107=$DO107))</f>
        <v>3.7037037037037035E-4</v>
      </c>
      <c r="EB107" s="10" cm="1">
        <f t="array" aca="1" ref="EB107" ca="1">(1-$B$18)*SUMPRODUCT(OFFSET($BO$15,0,0,$B$14,1), 1*(_xlfn._xlws.FILTER(OFFSET($O$15,0,$DN107,$B$8,1),OFFSET($M$15,0,0,$B$8,1))=EB$13), 1*(_xlfn._xlws.FILTER(OFFSET($O$15,0,$DO107,$B$8,1),OFFSET($M$15,0,0,$B$8,1))=EB$14))   /   SUM(OFFSET($BO$15,0,0,$B$14,1)) + $B$18/($B$19*$B$19*($DN107&lt;&gt;$DO107) + $B$19*($DN107=$DO107))</f>
        <v>3.7037037037037035E-4</v>
      </c>
      <c r="EC107" s="10" cm="1">
        <f t="array" aca="1" ref="EC107" ca="1">(1-$B$18)*SUMPRODUCT(OFFSET($BO$15,0,0,$B$14,1), 1*(_xlfn._xlws.FILTER(OFFSET($O$15,0,$DN107,$B$8,1),OFFSET($M$15,0,0,$B$8,1))=EC$13), 1*(_xlfn._xlws.FILTER(OFFSET($O$15,0,$DO107,$B$8,1),OFFSET($M$15,0,0,$B$8,1))=EC$14))   /   SUM(OFFSET($BO$15,0,0,$B$14,1)) + $B$18/($B$19*$B$19*($DN107&lt;&gt;$DO107) + $B$19*($DN107=$DO107))</f>
        <v>3.7037037037037035E-4</v>
      </c>
      <c r="ED107" s="10" cm="1">
        <f t="array" aca="1" ref="ED107" ca="1">(1-$B$18)*SUMPRODUCT(OFFSET($BO$15,0,0,$B$14,1), 1*(_xlfn._xlws.FILTER(OFFSET($O$15,0,$DN107,$B$8,1),OFFSET($M$15,0,0,$B$8,1))=ED$13), 1*(_xlfn._xlws.FILTER(OFFSET($O$15,0,$DO107,$B$8,1),OFFSET($M$15,0,0,$B$8,1))=ED$14))   /   SUM(OFFSET($BO$15,0,0,$B$14,1)) + $B$18/($B$19*$B$19*($DN107&lt;&gt;$DO107) + $B$19*($DN107=$DO107))</f>
        <v>3.7037037037037035E-4</v>
      </c>
      <c r="EE107" s="10" cm="1">
        <f t="array" aca="1" ref="EE107" ca="1">(1-$B$18)*SUMPRODUCT(OFFSET($BO$15,0,0,$B$14,1), 1*(_xlfn._xlws.FILTER(OFFSET($O$15,0,$DN107,$B$8,1),OFFSET($M$15,0,0,$B$8,1))=EE$13), 1*(_xlfn._xlws.FILTER(OFFSET($O$15,0,$DO107,$B$8,1),OFFSET($M$15,0,0,$B$8,1))=EE$14))   /   SUM(OFFSET($BO$15,0,0,$B$14,1)) + $B$18/($B$19*$B$19*($DN107&lt;&gt;$DO107) + $B$19*($DN107=$DO107))</f>
        <v>3.7037037037037035E-4</v>
      </c>
      <c r="EF107" s="10" cm="1">
        <f t="array" aca="1" ref="EF107" ca="1">(1-$B$18)*SUMPRODUCT(OFFSET($BO$15,0,0,$B$14,1), 1*(_xlfn._xlws.FILTER(OFFSET($O$15,0,$DN107,$B$8,1),OFFSET($M$15,0,0,$B$8,1))=EF$13), 1*(_xlfn._xlws.FILTER(OFFSET($O$15,0,$DO107,$B$8,1),OFFSET($M$15,0,0,$B$8,1))=EF$14))   /   SUM(OFFSET($BO$15,0,0,$B$14,1)) + $B$18/($B$19*$B$19*($DN107&lt;&gt;$DO107) + $B$19*($DN107=$DO107))</f>
        <v>3.7037037037037035E-4</v>
      </c>
      <c r="EG107" s="10" cm="1">
        <f t="array" aca="1" ref="EG107" ca="1">(1-$B$18)*SUMPRODUCT(OFFSET($BO$15,0,0,$B$14,1), 1*(_xlfn._xlws.FILTER(OFFSET($O$15,0,$DN107,$B$8,1),OFFSET($M$15,0,0,$B$8,1))=EG$13), 1*(_xlfn._xlws.FILTER(OFFSET($O$15,0,$DO107,$B$8,1),OFFSET($M$15,0,0,$B$8,1))=EG$14))   /   SUM(OFFSET($BO$15,0,0,$B$14,1)) + $B$18/($B$19*$B$19*($DN107&lt;&gt;$DO107) + $B$19*($DN107=$DO107))</f>
        <v>3.7037037037037035E-4</v>
      </c>
      <c r="EH107" s="10" cm="1">
        <f t="array" aca="1" ref="EH107" ca="1">(1-$B$18)*SUMPRODUCT(OFFSET($BO$15,0,0,$B$14,1), 1*(_xlfn._xlws.FILTER(OFFSET($O$15,0,$DN107,$B$8,1),OFFSET($M$15,0,0,$B$8,1))=EH$13), 1*(_xlfn._xlws.FILTER(OFFSET($O$15,0,$DO107,$B$8,1),OFFSET($M$15,0,0,$B$8,1))=EH$14))   /   SUM(OFFSET($BO$15,0,0,$B$14,1)) + $B$18/($B$19*$B$19*($DN107&lt;&gt;$DO107) + $B$19*($DN107=$DO107))</f>
        <v>3.7037037037037035E-4</v>
      </c>
      <c r="EI107" s="10" cm="1">
        <f t="array" aca="1" ref="EI107" ca="1">(1-$B$18)*SUMPRODUCT(OFFSET($BO$15,0,0,$B$14,1), 1*(_xlfn._xlws.FILTER(OFFSET($O$15,0,$DN107,$B$8,1),OFFSET($M$15,0,0,$B$8,1))=EI$13), 1*(_xlfn._xlws.FILTER(OFFSET($O$15,0,$DO107,$B$8,1),OFFSET($M$15,0,0,$B$8,1))=EI$14))   /   SUM(OFFSET($BO$15,0,0,$B$14,1)) + $B$18/($B$19*$B$19*($DN107&lt;&gt;$DO107) + $B$19*($DN107=$DO107))</f>
        <v>3.7037037037037035E-4</v>
      </c>
      <c r="EJ107" s="10" cm="1">
        <f t="array" aca="1" ref="EJ107" ca="1">(1-$B$18)*SUMPRODUCT(OFFSET($BO$15,0,0,$B$14,1), 1*(_xlfn._xlws.FILTER(OFFSET($O$15,0,$DN107,$B$8,1),OFFSET($M$15,0,0,$B$8,1))=EJ$13), 1*(_xlfn._xlws.FILTER(OFFSET($O$15,0,$DO107,$B$8,1),OFFSET($M$15,0,0,$B$8,1))=EJ$14))   /   SUM(OFFSET($BO$15,0,0,$B$14,1)) + $B$18/($B$19*$B$19*($DN107&lt;&gt;$DO107) + $B$19*($DN107=$DO107))</f>
        <v>3.7037037037037035E-4</v>
      </c>
      <c r="EK107" s="10" cm="1">
        <f t="array" aca="1" ref="EK107" ca="1">(1-$B$18)*SUMPRODUCT(OFFSET($BO$15,0,0,$B$14,1), 1*(_xlfn._xlws.FILTER(OFFSET($O$15,0,$DN107,$B$8,1),OFFSET($M$15,0,0,$B$8,1))=EK$13), 1*(_xlfn._xlws.FILTER(OFFSET($O$15,0,$DO107,$B$8,1),OFFSET($M$15,0,0,$B$8,1))=EK$14))   /   SUM(OFFSET($BO$15,0,0,$B$14,1)) + $B$18/($B$19*$B$19*($DN107&lt;&gt;$DO107) + $B$19*($DN107=$DO107))</f>
        <v>3.7037037037037035E-4</v>
      </c>
      <c r="EL107" s="10" cm="1">
        <f t="array" aca="1" ref="EL107" ca="1">(1-$B$18)*SUMPRODUCT(OFFSET($BO$15,0,0,$B$14,1), 1*(_xlfn._xlws.FILTER(OFFSET($O$15,0,$DN107,$B$8,1),OFFSET($M$15,0,0,$B$8,1))=EL$13), 1*(_xlfn._xlws.FILTER(OFFSET($O$15,0,$DO107,$B$8,1),OFFSET($M$15,0,0,$B$8,1))=EL$14))   /   SUM(OFFSET($BO$15,0,0,$B$14,1)) + $B$18/($B$19*$B$19*($DN107&lt;&gt;$DO107) + $B$19*($DN107=$DO107))</f>
        <v>3.7037037037037035E-4</v>
      </c>
      <c r="EM107" s="10" cm="1">
        <f t="array" aca="1" ref="EM107" ca="1">(1-$B$18)*SUMPRODUCT(OFFSET($BO$15,0,0,$B$14,1), 1*(_xlfn._xlws.FILTER(OFFSET($O$15,0,$DN107,$B$8,1),OFFSET($M$15,0,0,$B$8,1))=EM$13), 1*(_xlfn._xlws.FILTER(OFFSET($O$15,0,$DO107,$B$8,1),OFFSET($M$15,0,0,$B$8,1))=EM$14))   /   SUM(OFFSET($BO$15,0,0,$B$14,1)) + $B$18/($B$19*$B$19*($DN107&lt;&gt;$DO107) + $B$19*($DN107=$DO107))</f>
        <v>3.7037037037037035E-4</v>
      </c>
      <c r="EN107" s="10" cm="1">
        <f t="array" aca="1" ref="EN107" ca="1">(1-$B$18)*SUMPRODUCT(OFFSET($BO$15,0,0,$B$14,1), 1*(_xlfn._xlws.FILTER(OFFSET($O$15,0,$DN107,$B$8,1),OFFSET($M$15,0,0,$B$8,1))=EN$13), 1*(_xlfn._xlws.FILTER(OFFSET($O$15,0,$DO107,$B$8,1),OFFSET($M$15,0,0,$B$8,1))=EN$14))   /   SUM(OFFSET($BO$15,0,0,$B$14,1)) + $B$18/($B$19*$B$19*($DN107&lt;&gt;$DO107) + $B$19*($DN107=$DO107))</f>
        <v>3.7037037037037035E-4</v>
      </c>
      <c r="EO107" s="10" cm="1">
        <f t="array" aca="1" ref="EO107" ca="1">(1-$B$18)*SUMPRODUCT(OFFSET($BO$15,0,0,$B$14,1), 1*(_xlfn._xlws.FILTER(OFFSET($O$15,0,$DN107,$B$8,1),OFFSET($M$15,0,0,$B$8,1))=EO$13), 1*(_xlfn._xlws.FILTER(OFFSET($O$15,0,$DO107,$B$8,1),OFFSET($M$15,0,0,$B$8,1))=EO$14))   /   SUM(OFFSET($BO$15,0,0,$B$14,1)) + $B$18/($B$19*$B$19*($DN107&lt;&gt;$DO107) + $B$19*($DN107=$DO107))</f>
        <v>3.7037037037037035E-4</v>
      </c>
      <c r="EP107" s="10" cm="1">
        <f t="array" aca="1" ref="EP107" ca="1">(1-$B$18)*SUMPRODUCT(OFFSET($BO$15,0,0,$B$14,1), 1*(_xlfn._xlws.FILTER(OFFSET($O$15,0,$DN107,$B$8,1),OFFSET($M$15,0,0,$B$8,1))=EP$13), 1*(_xlfn._xlws.FILTER(OFFSET($O$15,0,$DO107,$B$8,1),OFFSET($M$15,0,0,$B$8,1))=EP$14))   /   SUM(OFFSET($BO$15,0,0,$B$14,1)) + $B$18/($B$19*$B$19*($DN107&lt;&gt;$DO107) + $B$19*($DN107=$DO107))</f>
        <v>3.7037037037037035E-4</v>
      </c>
      <c r="EQ107" s="10" cm="1">
        <f t="array" aca="1" ref="EQ107" ca="1">(1-$B$18)*SUMPRODUCT(OFFSET($BO$15,0,0,$B$14,1), 1*(_xlfn._xlws.FILTER(OFFSET($O$15,0,$DN107,$B$8,1),OFFSET($M$15,0,0,$B$8,1))=EQ$13), 1*(_xlfn._xlws.FILTER(OFFSET($O$15,0,$DO107,$B$8,1),OFFSET($M$15,0,0,$B$8,1))=EQ$14))   /   SUM(OFFSET($BO$15,0,0,$B$14,1)) + $B$18/($B$19*$B$19*($DN107&lt;&gt;$DO107) + $B$19*($DN107=$DO107))</f>
        <v>3.7037037037037035E-4</v>
      </c>
      <c r="ER107" s="10" cm="1">
        <f t="array" aca="1" ref="ER107" ca="1">(1-$B$18)*SUMPRODUCT(OFFSET($BO$15,0,0,$B$14,1), 1*(_xlfn._xlws.FILTER(OFFSET($O$15,0,$DN107,$B$8,1),OFFSET($M$15,0,0,$B$8,1))=ER$13), 1*(_xlfn._xlws.FILTER(OFFSET($O$15,0,$DO107,$B$8,1),OFFSET($M$15,0,0,$B$8,1))=ER$14))   /   SUM(OFFSET($BO$15,0,0,$B$14,1)) + $B$18/($B$19*$B$19*($DN107&lt;&gt;$DO107) + $B$19*($DN107=$DO107))</f>
        <v>3.7037037037037035E-4</v>
      </c>
      <c r="ES107" s="10" cm="1">
        <f t="array" aca="1" ref="ES107" ca="1">(1-$B$18)*SUMPRODUCT(OFFSET($BO$15,0,0,$B$14,1), 1*(_xlfn._xlws.FILTER(OFFSET($O$15,0,$DN107,$B$8,1),OFFSET($M$15,0,0,$B$8,1))=ES$13), 1*(_xlfn._xlws.FILTER(OFFSET($O$15,0,$DO107,$B$8,1),OFFSET($M$15,0,0,$B$8,1))=ES$14))   /   SUM(OFFSET($BO$15,0,0,$B$14,1)) + $B$18/($B$19*$B$19*($DN107&lt;&gt;$DO107) + $B$19*($DN107=$DO107))</f>
        <v>3.7037037037037035E-4</v>
      </c>
      <c r="ET107" s="10" cm="1">
        <f t="array" aca="1" ref="ET107" ca="1">(1-$B$18)*SUMPRODUCT(OFFSET($BO$15,0,0,$B$14,1), 1*(_xlfn._xlws.FILTER(OFFSET($O$15,0,$DN107,$B$8,1),OFFSET($M$15,0,0,$B$8,1))=ET$13), 1*(_xlfn._xlws.FILTER(OFFSET($O$15,0,$DO107,$B$8,1),OFFSET($M$15,0,0,$B$8,1))=ET$14))   /   SUM(OFFSET($BO$15,0,0,$B$14,1)) + $B$18/($B$19*$B$19*($DN107&lt;&gt;$DO107) + $B$19*($DN107=$DO107))</f>
        <v>3.7037037037037035E-4</v>
      </c>
      <c r="EU107" s="10" cm="1">
        <f t="array" aca="1" ref="EU107" ca="1">(1-$B$18)*SUMPRODUCT(OFFSET($BO$15,0,0,$B$14,1), 1*(_xlfn._xlws.FILTER(OFFSET($O$15,0,$DN107,$B$8,1),OFFSET($M$15,0,0,$B$8,1))=EU$13), 1*(_xlfn._xlws.FILTER(OFFSET($O$15,0,$DO107,$B$8,1),OFFSET($M$15,0,0,$B$8,1))=EU$14))   /   SUM(OFFSET($BO$15,0,0,$B$14,1)) + $B$18/($B$19*$B$19*($DN107&lt;&gt;$DO107) + $B$19*($DN107=$DO107))</f>
        <v>3.7037037037037035E-4</v>
      </c>
      <c r="EV107" s="10" cm="1">
        <f t="array" aca="1" ref="EV107" ca="1">(1-$B$18)*SUMPRODUCT(OFFSET($BO$15,0,0,$B$14,1), 1*(_xlfn._xlws.FILTER(OFFSET($O$15,0,$DN107,$B$8,1),OFFSET($M$15,0,0,$B$8,1))=EV$13), 1*(_xlfn._xlws.FILTER(OFFSET($O$15,0,$DO107,$B$8,1),OFFSET($M$15,0,0,$B$8,1))=EV$14))   /   SUM(OFFSET($BO$15,0,0,$B$14,1)) + $B$18/($B$19*$B$19*($DN107&lt;&gt;$DO107) + $B$19*($DN107=$DO107))</f>
        <v>3.7037037037037035E-4</v>
      </c>
      <c r="EW107" s="10" cm="1">
        <f t="array" aca="1" ref="EW107" ca="1">(1-$B$18)*SUMPRODUCT(OFFSET($BO$15,0,0,$B$14,1), 1*(_xlfn._xlws.FILTER(OFFSET($O$15,0,$DN107,$B$8,1),OFFSET($M$15,0,0,$B$8,1))=EW$13), 1*(_xlfn._xlws.FILTER(OFFSET($O$15,0,$DO107,$B$8,1),OFFSET($M$15,0,0,$B$8,1))=EW$14))   /   SUM(OFFSET($BO$15,0,0,$B$14,1)) + $B$18/($B$19*$B$19*($DN107&lt;&gt;$DO107) + $B$19*($DN107=$DO107))</f>
        <v>3.7037037037037035E-4</v>
      </c>
      <c r="EX107" s="10" cm="1">
        <f t="array" aca="1" ref="EX107" ca="1">(1-$B$18)*SUMPRODUCT(OFFSET($BO$15,0,0,$B$14,1), 1*(_xlfn._xlws.FILTER(OFFSET($O$15,0,$DN107,$B$8,1),OFFSET($M$15,0,0,$B$8,1))=EX$13), 1*(_xlfn._xlws.FILTER(OFFSET($O$15,0,$DO107,$B$8,1),OFFSET($M$15,0,0,$B$8,1))=EX$14))   /   SUM(OFFSET($BO$15,0,0,$B$14,1)) + $B$18/($B$19*$B$19*($DN107&lt;&gt;$DO107) + $B$19*($DN107=$DO107))</f>
        <v>3.7037037037037035E-4</v>
      </c>
      <c r="EY107" s="10" cm="1">
        <f t="array" aca="1" ref="EY107" ca="1">(1-$B$18)*SUMPRODUCT(OFFSET($BO$15,0,0,$B$14,1), 1*(_xlfn._xlws.FILTER(OFFSET($O$15,0,$DN107,$B$8,1),OFFSET($M$15,0,0,$B$8,1))=EY$13), 1*(_xlfn._xlws.FILTER(OFFSET($O$15,0,$DO107,$B$8,1),OFFSET($M$15,0,0,$B$8,1))=EY$14))   /   SUM(OFFSET($BO$15,0,0,$B$14,1)) + $B$18/($B$19*$B$19*($DN107&lt;&gt;$DO107) + $B$19*($DN107=$DO107))</f>
        <v>3.7037037037037035E-4</v>
      </c>
      <c r="EZ107" s="10" cm="1">
        <f t="array" aca="1" ref="EZ107" ca="1">(1-$B$18)*SUMPRODUCT(OFFSET($BO$15,0,0,$B$14,1), 1*(_xlfn._xlws.FILTER(OFFSET($O$15,0,$DN107,$B$8,1),OFFSET($M$15,0,0,$B$8,1))=EZ$13), 1*(_xlfn._xlws.FILTER(OFFSET($O$15,0,$DO107,$B$8,1),OFFSET($M$15,0,0,$B$8,1))=EZ$14))   /   SUM(OFFSET($BO$15,0,0,$B$14,1)) + $B$18/($B$19*$B$19*($DN107&lt;&gt;$DO107) + $B$19*($DN107=$DO107))</f>
        <v>3.7037037037037035E-4</v>
      </c>
      <c r="FA107" s="10" cm="1">
        <f t="array" aca="1" ref="FA107" ca="1">(1-$B$18)*SUMPRODUCT(OFFSET($BO$15,0,0,$B$14,1), 1*(_xlfn._xlws.FILTER(OFFSET($O$15,0,$DN107,$B$8,1),OFFSET($M$15,0,0,$B$8,1))=FA$13), 1*(_xlfn._xlws.FILTER(OFFSET($O$15,0,$DO107,$B$8,1),OFFSET($M$15,0,0,$B$8,1))=FA$14))   /   SUM(OFFSET($BO$15,0,0,$B$14,1)) + $B$18/($B$19*$B$19*($DN107&lt;&gt;$DO107) + $B$19*($DN107=$DO107))</f>
        <v>3.7037037037037035E-4</v>
      </c>
      <c r="FB107" s="10" cm="1">
        <f t="array" aca="1" ref="FB107" ca="1">(1-$B$18)*SUMPRODUCT(OFFSET($BO$15,0,0,$B$14,1), 1*(_xlfn._xlws.FILTER(OFFSET($O$15,0,$DN107,$B$8,1),OFFSET($M$15,0,0,$B$8,1))=FB$13), 1*(_xlfn._xlws.FILTER(OFFSET($O$15,0,$DO107,$B$8,1),OFFSET($M$15,0,0,$B$8,1))=FB$14))   /   SUM(OFFSET($BO$15,0,0,$B$14,1)) + $B$18/($B$19*$B$19*($DN107&lt;&gt;$DO107) + $B$19*($DN107=$DO107))</f>
        <v>3.7037037037037035E-4</v>
      </c>
      <c r="FC107" s="10" cm="1">
        <f t="array" aca="1" ref="FC107" ca="1">(1-$B$18)*SUMPRODUCT(OFFSET($BO$15,0,0,$B$14,1), 1*(_xlfn._xlws.FILTER(OFFSET($O$15,0,$DN107,$B$8,1),OFFSET($M$15,0,0,$B$8,1))=FC$13), 1*(_xlfn._xlws.FILTER(OFFSET($O$15,0,$DO107,$B$8,1),OFFSET($M$15,0,0,$B$8,1))=FC$14))   /   SUM(OFFSET($BO$15,0,0,$B$14,1)) + $B$18/($B$19*$B$19*($DN107&lt;&gt;$DO107) + $B$19*($DN107=$DO107))</f>
        <v>3.7037037037037035E-4</v>
      </c>
      <c r="FD107" s="10" cm="1">
        <f t="array" aca="1" ref="FD107" ca="1">(1-$B$18)*SUMPRODUCT(OFFSET($BO$15,0,0,$B$14,1), 1*(_xlfn._xlws.FILTER(OFFSET($O$15,0,$DN107,$B$8,1),OFFSET($M$15,0,0,$B$8,1))=FD$13), 1*(_xlfn._xlws.FILTER(OFFSET($O$15,0,$DO107,$B$8,1),OFFSET($M$15,0,0,$B$8,1))=FD$14))   /   SUM(OFFSET($BO$15,0,0,$B$14,1)) + $B$18/($B$19*$B$19*($DN107&lt;&gt;$DO107) + $B$19*($DN107=$DO107))</f>
        <v>3.7037037037037035E-4</v>
      </c>
      <c r="FE107" s="10" cm="1">
        <f t="array" aca="1" ref="FE107" ca="1">(1-$B$18)*SUMPRODUCT(OFFSET($BO$15,0,0,$B$14,1), 1*(_xlfn._xlws.FILTER(OFFSET($O$15,0,$DN107,$B$8,1),OFFSET($M$15,0,0,$B$8,1))=FE$13), 1*(_xlfn._xlws.FILTER(OFFSET($O$15,0,$DO107,$B$8,1),OFFSET($M$15,0,0,$B$8,1))=FE$14))   /   SUM(OFFSET($BO$15,0,0,$B$14,1)) + $B$18/($B$19*$B$19*($DN107&lt;&gt;$DO107) + $B$19*($DN107=$DO107))</f>
        <v>3.7037037037037035E-4</v>
      </c>
      <c r="FF107" s="10" cm="1">
        <f t="array" aca="1" ref="FF107" ca="1">(1-$B$18)*SUMPRODUCT(OFFSET($BO$15,0,0,$B$14,1), 1*(_xlfn._xlws.FILTER(OFFSET($O$15,0,$DN107,$B$8,1),OFFSET($M$15,0,0,$B$8,1))=FF$13), 1*(_xlfn._xlws.FILTER(OFFSET($O$15,0,$DO107,$B$8,1),OFFSET($M$15,0,0,$B$8,1))=FF$14))   /   SUM(OFFSET($BO$15,0,0,$B$14,1)) + $B$18/($B$19*$B$19*($DN107&lt;&gt;$DO107) + $B$19*($DN107=$DO107))</f>
        <v>3.7037037037037035E-4</v>
      </c>
      <c r="FG107" s="10" cm="1">
        <f t="array" aca="1" ref="FG107" ca="1">(1-$B$18)*SUMPRODUCT(OFFSET($BO$15,0,0,$B$14,1), 1*(_xlfn._xlws.FILTER(OFFSET($O$15,0,$DN107,$B$8,1),OFFSET($M$15,0,0,$B$8,1))=FG$13), 1*(_xlfn._xlws.FILTER(OFFSET($O$15,0,$DO107,$B$8,1),OFFSET($M$15,0,0,$B$8,1))=FG$14))   /   SUM(OFFSET($BO$15,0,0,$B$14,1)) + $B$18/($B$19*$B$19*($DN107&lt;&gt;$DO107) + $B$19*($DN107=$DO107))</f>
        <v>3.7037037037037035E-4</v>
      </c>
      <c r="FH107" s="10" cm="1">
        <f t="array" aca="1" ref="FH107" ca="1">(1-$B$18)*SUMPRODUCT(OFFSET($BO$15,0,0,$B$14,1), 1*(_xlfn._xlws.FILTER(OFFSET($O$15,0,$DN107,$B$8,1),OFFSET($M$15,0,0,$B$8,1))=FH$13), 1*(_xlfn._xlws.FILTER(OFFSET($O$15,0,$DO107,$B$8,1),OFFSET($M$15,0,0,$B$8,1))=FH$14))   /   SUM(OFFSET($BO$15,0,0,$B$14,1)) + $B$18/($B$19*$B$19*($DN107&lt;&gt;$DO107) + $B$19*($DN107=$DO107))</f>
        <v>3.7037037037037035E-4</v>
      </c>
      <c r="FI107" s="10" cm="1">
        <f t="array" aca="1" ref="FI107" ca="1">(1-$B$18)*SUMPRODUCT(OFFSET($BO$15,0,0,$B$14,1), 1*(_xlfn._xlws.FILTER(OFFSET($O$15,0,$DN107,$B$8,1),OFFSET($M$15,0,0,$B$8,1))=FI$13), 1*(_xlfn._xlws.FILTER(OFFSET($O$15,0,$DO107,$B$8,1),OFFSET($M$15,0,0,$B$8,1))=FI$14))   /   SUM(OFFSET($BO$15,0,0,$B$14,1)) + $B$18/($B$19*$B$19*($DN107&lt;&gt;$DO107) + $B$19*($DN107=$DO107))</f>
        <v>3.7037037037037035E-4</v>
      </c>
      <c r="FJ107" s="10" cm="1">
        <f t="array" aca="1" ref="FJ107" ca="1">(1-$B$18)*SUMPRODUCT(OFFSET($BO$15,0,0,$B$14,1), 1*(_xlfn._xlws.FILTER(OFFSET($O$15,0,$DN107,$B$8,1),OFFSET($M$15,0,0,$B$8,1))=FJ$13), 1*(_xlfn._xlws.FILTER(OFFSET($O$15,0,$DO107,$B$8,1),OFFSET($M$15,0,0,$B$8,1))=FJ$14))   /   SUM(OFFSET($BO$15,0,0,$B$14,1)) + $B$18/($B$19*$B$19*($DN107&lt;&gt;$DO107) + $B$19*($DN107=$DO107))</f>
        <v>3.7037037037037035E-4</v>
      </c>
      <c r="FK107" s="10" cm="1">
        <f t="array" aca="1" ref="FK107" ca="1">(1-$B$18)*SUMPRODUCT(OFFSET($BO$15,0,0,$B$14,1), 1*(_xlfn._xlws.FILTER(OFFSET($O$15,0,$DN107,$B$8,1),OFFSET($M$15,0,0,$B$8,1))=FK$13), 1*(_xlfn._xlws.FILTER(OFFSET($O$15,0,$DO107,$B$8,1),OFFSET($M$15,0,0,$B$8,1))=FK$14))   /   SUM(OFFSET($BO$15,0,0,$B$14,1)) + $B$18/($B$19*$B$19*($DN107&lt;&gt;$DO107) + $B$19*($DN107=$DO107))</f>
        <v>3.7037037037037035E-4</v>
      </c>
      <c r="FL107" s="10" cm="1">
        <f t="array" aca="1" ref="FL107" ca="1">(1-$B$18)*SUMPRODUCT(OFFSET($BO$15,0,0,$B$14,1), 1*(_xlfn._xlws.FILTER(OFFSET($O$15,0,$DN107,$B$8,1),OFFSET($M$15,0,0,$B$8,1))=FL$13), 1*(_xlfn._xlws.FILTER(OFFSET($O$15,0,$DO107,$B$8,1),OFFSET($M$15,0,0,$B$8,1))=FL$14))   /   SUM(OFFSET($BO$15,0,0,$B$14,1)) + $B$18/($B$19*$B$19*($DN107&lt;&gt;$DO107) + $B$19*($DN107=$DO107))</f>
        <v>3.7037037037037035E-4</v>
      </c>
      <c r="FM107" s="10" cm="1">
        <f t="array" aca="1" ref="FM107" ca="1">(1-$B$18)*SUMPRODUCT(OFFSET($BO$15,0,0,$B$14,1), 1*(_xlfn._xlws.FILTER(OFFSET($O$15,0,$DN107,$B$8,1),OFFSET($M$15,0,0,$B$8,1))=FM$13), 1*(_xlfn._xlws.FILTER(OFFSET($O$15,0,$DO107,$B$8,1),OFFSET($M$15,0,0,$B$8,1))=FM$14))   /   SUM(OFFSET($BO$15,0,0,$B$14,1)) + $B$18/($B$19*$B$19*($DN107&lt;&gt;$DO107) + $B$19*($DN107=$DO107))</f>
        <v>3.7037037037037035E-4</v>
      </c>
      <c r="FN107" s="10" cm="1">
        <f t="array" aca="1" ref="FN107" ca="1">(1-$B$18)*SUMPRODUCT(OFFSET($BO$15,0,0,$B$14,1), 1*(_xlfn._xlws.FILTER(OFFSET($O$15,0,$DN107,$B$8,1),OFFSET($M$15,0,0,$B$8,1))=FN$13), 1*(_xlfn._xlws.FILTER(OFFSET($O$15,0,$DO107,$B$8,1),OFFSET($M$15,0,0,$B$8,1))=FN$14))   /   SUM(OFFSET($BO$15,0,0,$B$14,1)) + $B$18/($B$19*$B$19*($DN107&lt;&gt;$DO107) + $B$19*($DN107=$DO107))</f>
        <v>3.7037037037037035E-4</v>
      </c>
      <c r="FO107" s="10" cm="1">
        <f t="array" aca="1" ref="FO107" ca="1">(1-$B$18)*SUMPRODUCT(OFFSET($BO$15,0,0,$B$14,1), 1*(_xlfn._xlws.FILTER(OFFSET($O$15,0,$DN107,$B$8,1),OFFSET($M$15,0,0,$B$8,1))=FO$13), 1*(_xlfn._xlws.FILTER(OFFSET($O$15,0,$DO107,$B$8,1),OFFSET($M$15,0,0,$B$8,1))=FO$14))   /   SUM(OFFSET($BO$15,0,0,$B$14,1)) + $B$18/($B$19*$B$19*($DN107&lt;&gt;$DO107) + $B$19*($DN107=$DO107))</f>
        <v>0.97037037037037033</v>
      </c>
      <c r="FP107" s="10" cm="1">
        <f t="array" aca="1" ref="FP107" ca="1">(1-$B$18)*SUMPRODUCT(OFFSET($BO$15,0,0,$B$14,1), 1*(_xlfn._xlws.FILTER(OFFSET($O$15,0,$DN107,$B$8,1),OFFSET($M$15,0,0,$B$8,1))=FP$13), 1*(_xlfn._xlws.FILTER(OFFSET($O$15,0,$DO107,$B$8,1),OFFSET($M$15,0,0,$B$8,1))=FP$14))   /   SUM(OFFSET($BO$15,0,0,$B$14,1)) + $B$18/($B$19*$B$19*($DN107&lt;&gt;$DO107) + $B$19*($DN107=$DO107))</f>
        <v>3.7037037037037035E-4</v>
      </c>
      <c r="FQ107" s="10" cm="1">
        <f t="array" aca="1" ref="FQ107" ca="1">(1-$B$18)*SUMPRODUCT(OFFSET($BO$15,0,0,$B$14,1), 1*(_xlfn._xlws.FILTER(OFFSET($O$15,0,$DN107,$B$8,1),OFFSET($M$15,0,0,$B$8,1))=FQ$13), 1*(_xlfn._xlws.FILTER(OFFSET($O$15,0,$DO107,$B$8,1),OFFSET($M$15,0,0,$B$8,1))=FQ$14))   /   SUM(OFFSET($BO$15,0,0,$B$14,1)) + $B$18/($B$19*$B$19*($DN107&lt;&gt;$DO107) + $B$19*($DN107=$DO107))</f>
        <v>3.7037037037037035E-4</v>
      </c>
      <c r="FR107" s="10" cm="1">
        <f t="array" aca="1" ref="FR107" ca="1">(1-$B$18)*SUMPRODUCT(OFFSET($BO$15,0,0,$B$14,1), 1*(_xlfn._xlws.FILTER(OFFSET($O$15,0,$DN107,$B$8,1),OFFSET($M$15,0,0,$B$8,1))=FR$13), 1*(_xlfn._xlws.FILTER(OFFSET($O$15,0,$DO107,$B$8,1),OFFSET($M$15,0,0,$B$8,1))=FR$14))   /   SUM(OFFSET($BO$15,0,0,$B$14,1)) + $B$18/($B$19*$B$19*($DN107&lt;&gt;$DO107) + $B$19*($DN107=$DO107))</f>
        <v>3.7037037037037035E-4</v>
      </c>
      <c r="FS107" s="10" cm="1">
        <f t="array" aca="1" ref="FS107" ca="1">(1-$B$18)*SUMPRODUCT(OFFSET($BO$15,0,0,$B$14,1), 1*(_xlfn._xlws.FILTER(OFFSET($O$15,0,$DN107,$B$8,1),OFFSET($M$15,0,0,$B$8,1))=FS$13), 1*(_xlfn._xlws.FILTER(OFFSET($O$15,0,$DO107,$B$8,1),OFFSET($M$15,0,0,$B$8,1))=FS$14))   /   SUM(OFFSET($BO$15,0,0,$B$14,1)) + $B$18/($B$19*$B$19*($DN107&lt;&gt;$DO107) + $B$19*($DN107=$DO107))</f>
        <v>3.7037037037037035E-4</v>
      </c>
      <c r="FT107" s="10" cm="1">
        <f t="array" aca="1" ref="FT107" ca="1">(1-$B$18)*SUMPRODUCT(OFFSET($BO$15,0,0,$B$14,1), 1*(_xlfn._xlws.FILTER(OFFSET($O$15,0,$DN107,$B$8,1),OFFSET($M$15,0,0,$B$8,1))=FT$13), 1*(_xlfn._xlws.FILTER(OFFSET($O$15,0,$DO107,$B$8,1),OFFSET($M$15,0,0,$B$8,1))=FT$14))   /   SUM(OFFSET($BO$15,0,0,$B$14,1)) + $B$18/($B$19*$B$19*($DN107&lt;&gt;$DO107) + $B$19*($DN107=$DO107))</f>
        <v>3.7037037037037035E-4</v>
      </c>
      <c r="FU107" s="10" cm="1">
        <f t="array" aca="1" ref="FU107" ca="1">(1-$B$18)*SUMPRODUCT(OFFSET($BO$15,0,0,$B$14,1), 1*(_xlfn._xlws.FILTER(OFFSET($O$15,0,$DN107,$B$8,1),OFFSET($M$15,0,0,$B$8,1))=FU$13), 1*(_xlfn._xlws.FILTER(OFFSET($O$15,0,$DO107,$B$8,1),OFFSET($M$15,0,0,$B$8,1))=FU$14))   /   SUM(OFFSET($BO$15,0,0,$B$14,1)) + $B$18/($B$19*$B$19*($DN107&lt;&gt;$DO107) + $B$19*($DN107=$DO107))</f>
        <v>3.7037037037037035E-4</v>
      </c>
      <c r="FV107" s="10" cm="1">
        <f t="array" aca="1" ref="FV107" ca="1">(1-$B$18)*SUMPRODUCT(OFFSET($BO$15,0,0,$B$14,1), 1*(_xlfn._xlws.FILTER(OFFSET($O$15,0,$DN107,$B$8,1),OFFSET($M$15,0,0,$B$8,1))=FV$13), 1*(_xlfn._xlws.FILTER(OFFSET($O$15,0,$DO107,$B$8,1),OFFSET($M$15,0,0,$B$8,1))=FV$14))   /   SUM(OFFSET($BO$15,0,0,$B$14,1)) + $B$18/($B$19*$B$19*($DN107&lt;&gt;$DO107) + $B$19*($DN107=$DO107))</f>
        <v>3.7037037037037035E-4</v>
      </c>
      <c r="FW107" s="10" cm="1">
        <f t="array" aca="1" ref="FW107" ca="1">(1-$B$18)*SUMPRODUCT(OFFSET($BO$15,0,0,$B$14,1), 1*(_xlfn._xlws.FILTER(OFFSET($O$15,0,$DN107,$B$8,1),OFFSET($M$15,0,0,$B$8,1))=FW$13), 1*(_xlfn._xlws.FILTER(OFFSET($O$15,0,$DO107,$B$8,1),OFFSET($M$15,0,0,$B$8,1))=FW$14))   /   SUM(OFFSET($BO$15,0,0,$B$14,1)) + $B$18/($B$19*$B$19*($DN107&lt;&gt;$DO107) + $B$19*($DN107=$DO107))</f>
        <v>3.7037037037037035E-4</v>
      </c>
      <c r="FX107" s="10" cm="1">
        <f t="array" aca="1" ref="FX107" ca="1">(1-$B$18)*SUMPRODUCT(OFFSET($BO$15,0,0,$B$14,1), 1*(_xlfn._xlws.FILTER(OFFSET($O$15,0,$DN107,$B$8,1),OFFSET($M$15,0,0,$B$8,1))=FX$13), 1*(_xlfn._xlws.FILTER(OFFSET($O$15,0,$DO107,$B$8,1),OFFSET($M$15,0,0,$B$8,1))=FX$14))   /   SUM(OFFSET($BO$15,0,0,$B$14,1)) + $B$18/($B$19*$B$19*($DN107&lt;&gt;$DO107) + $B$19*($DN107=$DO107))</f>
        <v>3.7037037037037035E-4</v>
      </c>
      <c r="FY107" s="10" cm="1">
        <f t="array" aca="1" ref="FY107" ca="1">(1-$B$18)*SUMPRODUCT(OFFSET($BO$15,0,0,$B$14,1), 1*(_xlfn._xlws.FILTER(OFFSET($O$15,0,$DN107,$B$8,1),OFFSET($M$15,0,0,$B$8,1))=FY$13), 1*(_xlfn._xlws.FILTER(OFFSET($O$15,0,$DO107,$B$8,1),OFFSET($M$15,0,0,$B$8,1))=FY$14))   /   SUM(OFFSET($BO$15,0,0,$B$14,1)) + $B$18/($B$19*$B$19*($DN107&lt;&gt;$DO107) + $B$19*($DN107=$DO107))</f>
        <v>3.7037037037037035E-4</v>
      </c>
      <c r="FZ107" s="10" cm="1">
        <f t="array" aca="1" ref="FZ107" ca="1">(1-$B$18)*SUMPRODUCT(OFFSET($BO$15,0,0,$B$14,1), 1*(_xlfn._xlws.FILTER(OFFSET($O$15,0,$DN107,$B$8,1),OFFSET($M$15,0,0,$B$8,1))=FZ$13), 1*(_xlfn._xlws.FILTER(OFFSET($O$15,0,$DO107,$B$8,1),OFFSET($M$15,0,0,$B$8,1))=FZ$14))   /   SUM(OFFSET($BO$15,0,0,$B$14,1)) + $B$18/($B$19*$B$19*($DN107&lt;&gt;$DO107) + $B$19*($DN107=$DO107))</f>
        <v>3.7037037037037035E-4</v>
      </c>
      <c r="GA107" s="10" cm="1">
        <f t="array" aca="1" ref="GA107" ca="1">(1-$B$18)*SUMPRODUCT(OFFSET($BO$15,0,0,$B$14,1), 1*(_xlfn._xlws.FILTER(OFFSET($O$15,0,$DN107,$B$8,1),OFFSET($M$15,0,0,$B$8,1))=GA$13), 1*(_xlfn._xlws.FILTER(OFFSET($O$15,0,$DO107,$B$8,1),OFFSET($M$15,0,0,$B$8,1))=GA$14))   /   SUM(OFFSET($BO$15,0,0,$B$14,1)) + $B$18/($B$19*$B$19*($DN107&lt;&gt;$DO107) + $B$19*($DN107=$DO107))</f>
        <v>3.7037037037037035E-4</v>
      </c>
    </row>
    <row r="108" spans="8:183" x14ac:dyDescent="0.2">
      <c r="H108" s="2"/>
      <c r="DN108" cm="1">
        <f t="array" aca="1" ref="DN108" ca="1">INDEX(_xlfn.ANCHORARRAY($CP$15), 1 + INT((ROWS($DO$15:$DO108) - 1) / ROWS(_xlfn.ANCHORARRAY($CP$15))))</f>
        <v>4</v>
      </c>
      <c r="DO108" cm="1">
        <f t="array" aca="1" ref="DO108" ca="1">INDEX(_xlfn.ANCHORARRAY($CP$15),1+MOD(ROWS($DO$15:$DO108)-1,ROWS(_xlfn.ANCHORARRAY($CP$15))))</f>
        <v>20</v>
      </c>
      <c r="DP108" s="10" cm="1">
        <f t="array" aca="1" ref="DP108" ca="1">(1-$B$18)*SUMPRODUCT(OFFSET($BO$15,0,0,$B$14,1), 1*(_xlfn._xlws.FILTER(OFFSET($O$15,0,$DN108,$B$8,1),OFFSET($M$15,0,0,$B$8,1))=DP$13), 1*(_xlfn._xlws.FILTER(OFFSET($O$15,0,$DO108,$B$8,1),OFFSET($M$15,0,0,$B$8,1))=DP$14))   /   SUM(OFFSET($BO$15,0,0,$B$14,1)) + $B$18/($B$19*$B$19*($DN108&lt;&gt;$DO108) + $B$19*($DN108=$DO108))</f>
        <v>3.7037037037037035E-4</v>
      </c>
      <c r="DQ108" s="10" cm="1">
        <f t="array" aca="1" ref="DQ108" ca="1">(1-$B$18)*SUMPRODUCT(OFFSET($BO$15,0,0,$B$14,1), 1*(_xlfn._xlws.FILTER(OFFSET($O$15,0,$DN108,$B$8,1),OFFSET($M$15,0,0,$B$8,1))=DQ$13), 1*(_xlfn._xlws.FILTER(OFFSET($O$15,0,$DO108,$B$8,1),OFFSET($M$15,0,0,$B$8,1))=DQ$14))   /   SUM(OFFSET($BO$15,0,0,$B$14,1)) + $B$18/($B$19*$B$19*($DN108&lt;&gt;$DO108) + $B$19*($DN108=$DO108))</f>
        <v>3.7037037037037035E-4</v>
      </c>
      <c r="DR108" s="10" cm="1">
        <f t="array" aca="1" ref="DR108" ca="1">(1-$B$18)*SUMPRODUCT(OFFSET($BO$15,0,0,$B$14,1), 1*(_xlfn._xlws.FILTER(OFFSET($O$15,0,$DN108,$B$8,1),OFFSET($M$15,0,0,$B$8,1))=DR$13), 1*(_xlfn._xlws.FILTER(OFFSET($O$15,0,$DO108,$B$8,1),OFFSET($M$15,0,0,$B$8,1))=DR$14))   /   SUM(OFFSET($BO$15,0,0,$B$14,1)) + $B$18/($B$19*$B$19*($DN108&lt;&gt;$DO108) + $B$19*($DN108=$DO108))</f>
        <v>3.7037037037037035E-4</v>
      </c>
      <c r="DS108" s="10" cm="1">
        <f t="array" aca="1" ref="DS108" ca="1">(1-$B$18)*SUMPRODUCT(OFFSET($BO$15,0,0,$B$14,1), 1*(_xlfn._xlws.FILTER(OFFSET($O$15,0,$DN108,$B$8,1),OFFSET($M$15,0,0,$B$8,1))=DS$13), 1*(_xlfn._xlws.FILTER(OFFSET($O$15,0,$DO108,$B$8,1),OFFSET($M$15,0,0,$B$8,1))=DS$14))   /   SUM(OFFSET($BO$15,0,0,$B$14,1)) + $B$18/($B$19*$B$19*($DN108&lt;&gt;$DO108) + $B$19*($DN108=$DO108))</f>
        <v>3.7037037037037035E-4</v>
      </c>
      <c r="DT108" s="10" cm="1">
        <f t="array" aca="1" ref="DT108" ca="1">(1-$B$18)*SUMPRODUCT(OFFSET($BO$15,0,0,$B$14,1), 1*(_xlfn._xlws.FILTER(OFFSET($O$15,0,$DN108,$B$8,1),OFFSET($M$15,0,0,$B$8,1))=DT$13), 1*(_xlfn._xlws.FILTER(OFFSET($O$15,0,$DO108,$B$8,1),OFFSET($M$15,0,0,$B$8,1))=DT$14))   /   SUM(OFFSET($BO$15,0,0,$B$14,1)) + $B$18/($B$19*$B$19*($DN108&lt;&gt;$DO108) + $B$19*($DN108=$DO108))</f>
        <v>3.7037037037037035E-4</v>
      </c>
      <c r="DU108" s="10" cm="1">
        <f t="array" aca="1" ref="DU108" ca="1">(1-$B$18)*SUMPRODUCT(OFFSET($BO$15,0,0,$B$14,1), 1*(_xlfn._xlws.FILTER(OFFSET($O$15,0,$DN108,$B$8,1),OFFSET($M$15,0,0,$B$8,1))=DU$13), 1*(_xlfn._xlws.FILTER(OFFSET($O$15,0,$DO108,$B$8,1),OFFSET($M$15,0,0,$B$8,1))=DU$14))   /   SUM(OFFSET($BO$15,0,0,$B$14,1)) + $B$18/($B$19*$B$19*($DN108&lt;&gt;$DO108) + $B$19*($DN108=$DO108))</f>
        <v>3.7037037037037035E-4</v>
      </c>
      <c r="DV108" s="10" cm="1">
        <f t="array" aca="1" ref="DV108" ca="1">(1-$B$18)*SUMPRODUCT(OFFSET($BO$15,0,0,$B$14,1), 1*(_xlfn._xlws.FILTER(OFFSET($O$15,0,$DN108,$B$8,1),OFFSET($M$15,0,0,$B$8,1))=DV$13), 1*(_xlfn._xlws.FILTER(OFFSET($O$15,0,$DO108,$B$8,1),OFFSET($M$15,0,0,$B$8,1))=DV$14))   /   SUM(OFFSET($BO$15,0,0,$B$14,1)) + $B$18/($B$19*$B$19*($DN108&lt;&gt;$DO108) + $B$19*($DN108=$DO108))</f>
        <v>3.7037037037037035E-4</v>
      </c>
      <c r="DW108" s="10" cm="1">
        <f t="array" aca="1" ref="DW108" ca="1">(1-$B$18)*SUMPRODUCT(OFFSET($BO$15,0,0,$B$14,1), 1*(_xlfn._xlws.FILTER(OFFSET($O$15,0,$DN108,$B$8,1),OFFSET($M$15,0,0,$B$8,1))=DW$13), 1*(_xlfn._xlws.FILTER(OFFSET($O$15,0,$DO108,$B$8,1),OFFSET($M$15,0,0,$B$8,1))=DW$14))   /   SUM(OFFSET($BO$15,0,0,$B$14,1)) + $B$18/($B$19*$B$19*($DN108&lt;&gt;$DO108) + $B$19*($DN108=$DO108))</f>
        <v>3.7037037037037035E-4</v>
      </c>
      <c r="DX108" s="10" cm="1">
        <f t="array" aca="1" ref="DX108" ca="1">(1-$B$18)*SUMPRODUCT(OFFSET($BO$15,0,0,$B$14,1), 1*(_xlfn._xlws.FILTER(OFFSET($O$15,0,$DN108,$B$8,1),OFFSET($M$15,0,0,$B$8,1))=DX$13), 1*(_xlfn._xlws.FILTER(OFFSET($O$15,0,$DO108,$B$8,1),OFFSET($M$15,0,0,$B$8,1))=DX$14))   /   SUM(OFFSET($BO$15,0,0,$B$14,1)) + $B$18/($B$19*$B$19*($DN108&lt;&gt;$DO108) + $B$19*($DN108=$DO108))</f>
        <v>3.7037037037037035E-4</v>
      </c>
      <c r="DY108" s="10" cm="1">
        <f t="array" aca="1" ref="DY108" ca="1">(1-$B$18)*SUMPRODUCT(OFFSET($BO$15,0,0,$B$14,1), 1*(_xlfn._xlws.FILTER(OFFSET($O$15,0,$DN108,$B$8,1),OFFSET($M$15,0,0,$B$8,1))=DY$13), 1*(_xlfn._xlws.FILTER(OFFSET($O$15,0,$DO108,$B$8,1),OFFSET($M$15,0,0,$B$8,1))=DY$14))   /   SUM(OFFSET($BO$15,0,0,$B$14,1)) + $B$18/($B$19*$B$19*($DN108&lt;&gt;$DO108) + $B$19*($DN108=$DO108))</f>
        <v>3.7037037037037035E-4</v>
      </c>
      <c r="DZ108" s="10" cm="1">
        <f t="array" aca="1" ref="DZ108" ca="1">(1-$B$18)*SUMPRODUCT(OFFSET($BO$15,0,0,$B$14,1), 1*(_xlfn._xlws.FILTER(OFFSET($O$15,0,$DN108,$B$8,1),OFFSET($M$15,0,0,$B$8,1))=DZ$13), 1*(_xlfn._xlws.FILTER(OFFSET($O$15,0,$DO108,$B$8,1),OFFSET($M$15,0,0,$B$8,1))=DZ$14))   /   SUM(OFFSET($BO$15,0,0,$B$14,1)) + $B$18/($B$19*$B$19*($DN108&lt;&gt;$DO108) + $B$19*($DN108=$DO108))</f>
        <v>3.7037037037037035E-4</v>
      </c>
      <c r="EA108" s="10" cm="1">
        <f t="array" aca="1" ref="EA108" ca="1">(1-$B$18)*SUMPRODUCT(OFFSET($BO$15,0,0,$B$14,1), 1*(_xlfn._xlws.FILTER(OFFSET($O$15,0,$DN108,$B$8,1),OFFSET($M$15,0,0,$B$8,1))=EA$13), 1*(_xlfn._xlws.FILTER(OFFSET($O$15,0,$DO108,$B$8,1),OFFSET($M$15,0,0,$B$8,1))=EA$14))   /   SUM(OFFSET($BO$15,0,0,$B$14,1)) + $B$18/($B$19*$B$19*($DN108&lt;&gt;$DO108) + $B$19*($DN108=$DO108))</f>
        <v>3.7037037037037035E-4</v>
      </c>
      <c r="EB108" s="10" cm="1">
        <f t="array" aca="1" ref="EB108" ca="1">(1-$B$18)*SUMPRODUCT(OFFSET($BO$15,0,0,$B$14,1), 1*(_xlfn._xlws.FILTER(OFFSET($O$15,0,$DN108,$B$8,1),OFFSET($M$15,0,0,$B$8,1))=EB$13), 1*(_xlfn._xlws.FILTER(OFFSET($O$15,0,$DO108,$B$8,1),OFFSET($M$15,0,0,$B$8,1))=EB$14))   /   SUM(OFFSET($BO$15,0,0,$B$14,1)) + $B$18/($B$19*$B$19*($DN108&lt;&gt;$DO108) + $B$19*($DN108=$DO108))</f>
        <v>3.7037037037037035E-4</v>
      </c>
      <c r="EC108" s="10" cm="1">
        <f t="array" aca="1" ref="EC108" ca="1">(1-$B$18)*SUMPRODUCT(OFFSET($BO$15,0,0,$B$14,1), 1*(_xlfn._xlws.FILTER(OFFSET($O$15,0,$DN108,$B$8,1),OFFSET($M$15,0,0,$B$8,1))=EC$13), 1*(_xlfn._xlws.FILTER(OFFSET($O$15,0,$DO108,$B$8,1),OFFSET($M$15,0,0,$B$8,1))=EC$14))   /   SUM(OFFSET($BO$15,0,0,$B$14,1)) + $B$18/($B$19*$B$19*($DN108&lt;&gt;$DO108) + $B$19*($DN108=$DO108))</f>
        <v>3.7037037037037035E-4</v>
      </c>
      <c r="ED108" s="10" cm="1">
        <f t="array" aca="1" ref="ED108" ca="1">(1-$B$18)*SUMPRODUCT(OFFSET($BO$15,0,0,$B$14,1), 1*(_xlfn._xlws.FILTER(OFFSET($O$15,0,$DN108,$B$8,1),OFFSET($M$15,0,0,$B$8,1))=ED$13), 1*(_xlfn._xlws.FILTER(OFFSET($O$15,0,$DO108,$B$8,1),OFFSET($M$15,0,0,$B$8,1))=ED$14))   /   SUM(OFFSET($BO$15,0,0,$B$14,1)) + $B$18/($B$19*$B$19*($DN108&lt;&gt;$DO108) + $B$19*($DN108=$DO108))</f>
        <v>3.7037037037037035E-4</v>
      </c>
      <c r="EE108" s="10" cm="1">
        <f t="array" aca="1" ref="EE108" ca="1">(1-$B$18)*SUMPRODUCT(OFFSET($BO$15,0,0,$B$14,1), 1*(_xlfn._xlws.FILTER(OFFSET($O$15,0,$DN108,$B$8,1),OFFSET($M$15,0,0,$B$8,1))=EE$13), 1*(_xlfn._xlws.FILTER(OFFSET($O$15,0,$DO108,$B$8,1),OFFSET($M$15,0,0,$B$8,1))=EE$14))   /   SUM(OFFSET($BO$15,0,0,$B$14,1)) + $B$18/($B$19*$B$19*($DN108&lt;&gt;$DO108) + $B$19*($DN108=$DO108))</f>
        <v>3.7037037037037035E-4</v>
      </c>
      <c r="EF108" s="10" cm="1">
        <f t="array" aca="1" ref="EF108" ca="1">(1-$B$18)*SUMPRODUCT(OFFSET($BO$15,0,0,$B$14,1), 1*(_xlfn._xlws.FILTER(OFFSET($O$15,0,$DN108,$B$8,1),OFFSET($M$15,0,0,$B$8,1))=EF$13), 1*(_xlfn._xlws.FILTER(OFFSET($O$15,0,$DO108,$B$8,1),OFFSET($M$15,0,0,$B$8,1))=EF$14))   /   SUM(OFFSET($BO$15,0,0,$B$14,1)) + $B$18/($B$19*$B$19*($DN108&lt;&gt;$DO108) + $B$19*($DN108=$DO108))</f>
        <v>3.7037037037037035E-4</v>
      </c>
      <c r="EG108" s="10" cm="1">
        <f t="array" aca="1" ref="EG108" ca="1">(1-$B$18)*SUMPRODUCT(OFFSET($BO$15,0,0,$B$14,1), 1*(_xlfn._xlws.FILTER(OFFSET($O$15,0,$DN108,$B$8,1),OFFSET($M$15,0,0,$B$8,1))=EG$13), 1*(_xlfn._xlws.FILTER(OFFSET($O$15,0,$DO108,$B$8,1),OFFSET($M$15,0,0,$B$8,1))=EG$14))   /   SUM(OFFSET($BO$15,0,0,$B$14,1)) + $B$18/($B$19*$B$19*($DN108&lt;&gt;$DO108) + $B$19*($DN108=$DO108))</f>
        <v>3.7037037037037035E-4</v>
      </c>
      <c r="EH108" s="10" cm="1">
        <f t="array" aca="1" ref="EH108" ca="1">(1-$B$18)*SUMPRODUCT(OFFSET($BO$15,0,0,$B$14,1), 1*(_xlfn._xlws.FILTER(OFFSET($O$15,0,$DN108,$B$8,1),OFFSET($M$15,0,0,$B$8,1))=EH$13), 1*(_xlfn._xlws.FILTER(OFFSET($O$15,0,$DO108,$B$8,1),OFFSET($M$15,0,0,$B$8,1))=EH$14))   /   SUM(OFFSET($BO$15,0,0,$B$14,1)) + $B$18/($B$19*$B$19*($DN108&lt;&gt;$DO108) + $B$19*($DN108=$DO108))</f>
        <v>3.7037037037037035E-4</v>
      </c>
      <c r="EI108" s="10" cm="1">
        <f t="array" aca="1" ref="EI108" ca="1">(1-$B$18)*SUMPRODUCT(OFFSET($BO$15,0,0,$B$14,1), 1*(_xlfn._xlws.FILTER(OFFSET($O$15,0,$DN108,$B$8,1),OFFSET($M$15,0,0,$B$8,1))=EI$13), 1*(_xlfn._xlws.FILTER(OFFSET($O$15,0,$DO108,$B$8,1),OFFSET($M$15,0,0,$B$8,1))=EI$14))   /   SUM(OFFSET($BO$15,0,0,$B$14,1)) + $B$18/($B$19*$B$19*($DN108&lt;&gt;$DO108) + $B$19*($DN108=$DO108))</f>
        <v>3.7037037037037035E-4</v>
      </c>
      <c r="EJ108" s="10" cm="1">
        <f t="array" aca="1" ref="EJ108" ca="1">(1-$B$18)*SUMPRODUCT(OFFSET($BO$15,0,0,$B$14,1), 1*(_xlfn._xlws.FILTER(OFFSET($O$15,0,$DN108,$B$8,1),OFFSET($M$15,0,0,$B$8,1))=EJ$13), 1*(_xlfn._xlws.FILTER(OFFSET($O$15,0,$DO108,$B$8,1),OFFSET($M$15,0,0,$B$8,1))=EJ$14))   /   SUM(OFFSET($BO$15,0,0,$B$14,1)) + $B$18/($B$19*$B$19*($DN108&lt;&gt;$DO108) + $B$19*($DN108=$DO108))</f>
        <v>3.7037037037037035E-4</v>
      </c>
      <c r="EK108" s="10" cm="1">
        <f t="array" aca="1" ref="EK108" ca="1">(1-$B$18)*SUMPRODUCT(OFFSET($BO$15,0,0,$B$14,1), 1*(_xlfn._xlws.FILTER(OFFSET($O$15,0,$DN108,$B$8,1),OFFSET($M$15,0,0,$B$8,1))=EK$13), 1*(_xlfn._xlws.FILTER(OFFSET($O$15,0,$DO108,$B$8,1),OFFSET($M$15,0,0,$B$8,1))=EK$14))   /   SUM(OFFSET($BO$15,0,0,$B$14,1)) + $B$18/($B$19*$B$19*($DN108&lt;&gt;$DO108) + $B$19*($DN108=$DO108))</f>
        <v>3.7037037037037035E-4</v>
      </c>
      <c r="EL108" s="10" cm="1">
        <f t="array" aca="1" ref="EL108" ca="1">(1-$B$18)*SUMPRODUCT(OFFSET($BO$15,0,0,$B$14,1), 1*(_xlfn._xlws.FILTER(OFFSET($O$15,0,$DN108,$B$8,1),OFFSET($M$15,0,0,$B$8,1))=EL$13), 1*(_xlfn._xlws.FILTER(OFFSET($O$15,0,$DO108,$B$8,1),OFFSET($M$15,0,0,$B$8,1))=EL$14))   /   SUM(OFFSET($BO$15,0,0,$B$14,1)) + $B$18/($B$19*$B$19*($DN108&lt;&gt;$DO108) + $B$19*($DN108=$DO108))</f>
        <v>3.7037037037037035E-4</v>
      </c>
      <c r="EM108" s="10" cm="1">
        <f t="array" aca="1" ref="EM108" ca="1">(1-$B$18)*SUMPRODUCT(OFFSET($BO$15,0,0,$B$14,1), 1*(_xlfn._xlws.FILTER(OFFSET($O$15,0,$DN108,$B$8,1),OFFSET($M$15,0,0,$B$8,1))=EM$13), 1*(_xlfn._xlws.FILTER(OFFSET($O$15,0,$DO108,$B$8,1),OFFSET($M$15,0,0,$B$8,1))=EM$14))   /   SUM(OFFSET($BO$15,0,0,$B$14,1)) + $B$18/($B$19*$B$19*($DN108&lt;&gt;$DO108) + $B$19*($DN108=$DO108))</f>
        <v>3.7037037037037035E-4</v>
      </c>
      <c r="EN108" s="10" cm="1">
        <f t="array" aca="1" ref="EN108" ca="1">(1-$B$18)*SUMPRODUCT(OFFSET($BO$15,0,0,$B$14,1), 1*(_xlfn._xlws.FILTER(OFFSET($O$15,0,$DN108,$B$8,1),OFFSET($M$15,0,0,$B$8,1))=EN$13), 1*(_xlfn._xlws.FILTER(OFFSET($O$15,0,$DO108,$B$8,1),OFFSET($M$15,0,0,$B$8,1))=EN$14))   /   SUM(OFFSET($BO$15,0,0,$B$14,1)) + $B$18/($B$19*$B$19*($DN108&lt;&gt;$DO108) + $B$19*($DN108=$DO108))</f>
        <v>3.7037037037037035E-4</v>
      </c>
      <c r="EO108" s="10" cm="1">
        <f t="array" aca="1" ref="EO108" ca="1">(1-$B$18)*SUMPRODUCT(OFFSET($BO$15,0,0,$B$14,1), 1*(_xlfn._xlws.FILTER(OFFSET($O$15,0,$DN108,$B$8,1),OFFSET($M$15,0,0,$B$8,1))=EO$13), 1*(_xlfn._xlws.FILTER(OFFSET($O$15,0,$DO108,$B$8,1),OFFSET($M$15,0,0,$B$8,1))=EO$14))   /   SUM(OFFSET($BO$15,0,0,$B$14,1)) + $B$18/($B$19*$B$19*($DN108&lt;&gt;$DO108) + $B$19*($DN108=$DO108))</f>
        <v>3.7037037037037035E-4</v>
      </c>
      <c r="EP108" s="10" cm="1">
        <f t="array" aca="1" ref="EP108" ca="1">(1-$B$18)*SUMPRODUCT(OFFSET($BO$15,0,0,$B$14,1), 1*(_xlfn._xlws.FILTER(OFFSET($O$15,0,$DN108,$B$8,1),OFFSET($M$15,0,0,$B$8,1))=EP$13), 1*(_xlfn._xlws.FILTER(OFFSET($O$15,0,$DO108,$B$8,1),OFFSET($M$15,0,0,$B$8,1))=EP$14))   /   SUM(OFFSET($BO$15,0,0,$B$14,1)) + $B$18/($B$19*$B$19*($DN108&lt;&gt;$DO108) + $B$19*($DN108=$DO108))</f>
        <v>3.7037037037037035E-4</v>
      </c>
      <c r="EQ108" s="10" cm="1">
        <f t="array" aca="1" ref="EQ108" ca="1">(1-$B$18)*SUMPRODUCT(OFFSET($BO$15,0,0,$B$14,1), 1*(_xlfn._xlws.FILTER(OFFSET($O$15,0,$DN108,$B$8,1),OFFSET($M$15,0,0,$B$8,1))=EQ$13), 1*(_xlfn._xlws.FILTER(OFFSET($O$15,0,$DO108,$B$8,1),OFFSET($M$15,0,0,$B$8,1))=EQ$14))   /   SUM(OFFSET($BO$15,0,0,$B$14,1)) + $B$18/($B$19*$B$19*($DN108&lt;&gt;$DO108) + $B$19*($DN108=$DO108))</f>
        <v>3.7037037037037035E-4</v>
      </c>
      <c r="ER108" s="10" cm="1">
        <f t="array" aca="1" ref="ER108" ca="1">(1-$B$18)*SUMPRODUCT(OFFSET($BO$15,0,0,$B$14,1), 1*(_xlfn._xlws.FILTER(OFFSET($O$15,0,$DN108,$B$8,1),OFFSET($M$15,0,0,$B$8,1))=ER$13), 1*(_xlfn._xlws.FILTER(OFFSET($O$15,0,$DO108,$B$8,1),OFFSET($M$15,0,0,$B$8,1))=ER$14))   /   SUM(OFFSET($BO$15,0,0,$B$14,1)) + $B$18/($B$19*$B$19*($DN108&lt;&gt;$DO108) + $B$19*($DN108=$DO108))</f>
        <v>3.7037037037037035E-4</v>
      </c>
      <c r="ES108" s="10" cm="1">
        <f t="array" aca="1" ref="ES108" ca="1">(1-$B$18)*SUMPRODUCT(OFFSET($BO$15,0,0,$B$14,1), 1*(_xlfn._xlws.FILTER(OFFSET($O$15,0,$DN108,$B$8,1),OFFSET($M$15,0,0,$B$8,1))=ES$13), 1*(_xlfn._xlws.FILTER(OFFSET($O$15,0,$DO108,$B$8,1),OFFSET($M$15,0,0,$B$8,1))=ES$14))   /   SUM(OFFSET($BO$15,0,0,$B$14,1)) + $B$18/($B$19*$B$19*($DN108&lt;&gt;$DO108) + $B$19*($DN108=$DO108))</f>
        <v>3.7037037037037035E-4</v>
      </c>
      <c r="ET108" s="10" cm="1">
        <f t="array" aca="1" ref="ET108" ca="1">(1-$B$18)*SUMPRODUCT(OFFSET($BO$15,0,0,$B$14,1), 1*(_xlfn._xlws.FILTER(OFFSET($O$15,0,$DN108,$B$8,1),OFFSET($M$15,0,0,$B$8,1))=ET$13), 1*(_xlfn._xlws.FILTER(OFFSET($O$15,0,$DO108,$B$8,1),OFFSET($M$15,0,0,$B$8,1))=ET$14))   /   SUM(OFFSET($BO$15,0,0,$B$14,1)) + $B$18/($B$19*$B$19*($DN108&lt;&gt;$DO108) + $B$19*($DN108=$DO108))</f>
        <v>3.7037037037037035E-4</v>
      </c>
      <c r="EU108" s="10" cm="1">
        <f t="array" aca="1" ref="EU108" ca="1">(1-$B$18)*SUMPRODUCT(OFFSET($BO$15,0,0,$B$14,1), 1*(_xlfn._xlws.FILTER(OFFSET($O$15,0,$DN108,$B$8,1),OFFSET($M$15,0,0,$B$8,1))=EU$13), 1*(_xlfn._xlws.FILTER(OFFSET($O$15,0,$DO108,$B$8,1),OFFSET($M$15,0,0,$B$8,1))=EU$14))   /   SUM(OFFSET($BO$15,0,0,$B$14,1)) + $B$18/($B$19*$B$19*($DN108&lt;&gt;$DO108) + $B$19*($DN108=$DO108))</f>
        <v>3.7037037037037035E-4</v>
      </c>
      <c r="EV108" s="10" cm="1">
        <f t="array" aca="1" ref="EV108" ca="1">(1-$B$18)*SUMPRODUCT(OFFSET($BO$15,0,0,$B$14,1), 1*(_xlfn._xlws.FILTER(OFFSET($O$15,0,$DN108,$B$8,1),OFFSET($M$15,0,0,$B$8,1))=EV$13), 1*(_xlfn._xlws.FILTER(OFFSET($O$15,0,$DO108,$B$8,1),OFFSET($M$15,0,0,$B$8,1))=EV$14))   /   SUM(OFFSET($BO$15,0,0,$B$14,1)) + $B$18/($B$19*$B$19*($DN108&lt;&gt;$DO108) + $B$19*($DN108=$DO108))</f>
        <v>3.7037037037037035E-4</v>
      </c>
      <c r="EW108" s="10" cm="1">
        <f t="array" aca="1" ref="EW108" ca="1">(1-$B$18)*SUMPRODUCT(OFFSET($BO$15,0,0,$B$14,1), 1*(_xlfn._xlws.FILTER(OFFSET($O$15,0,$DN108,$B$8,1),OFFSET($M$15,0,0,$B$8,1))=EW$13), 1*(_xlfn._xlws.FILTER(OFFSET($O$15,0,$DO108,$B$8,1),OFFSET($M$15,0,0,$B$8,1))=EW$14))   /   SUM(OFFSET($BO$15,0,0,$B$14,1)) + $B$18/($B$19*$B$19*($DN108&lt;&gt;$DO108) + $B$19*($DN108=$DO108))</f>
        <v>3.7037037037037035E-4</v>
      </c>
      <c r="EX108" s="10" cm="1">
        <f t="array" aca="1" ref="EX108" ca="1">(1-$B$18)*SUMPRODUCT(OFFSET($BO$15,0,0,$B$14,1), 1*(_xlfn._xlws.FILTER(OFFSET($O$15,0,$DN108,$B$8,1),OFFSET($M$15,0,0,$B$8,1))=EX$13), 1*(_xlfn._xlws.FILTER(OFFSET($O$15,0,$DO108,$B$8,1),OFFSET($M$15,0,0,$B$8,1))=EX$14))   /   SUM(OFFSET($BO$15,0,0,$B$14,1)) + $B$18/($B$19*$B$19*($DN108&lt;&gt;$DO108) + $B$19*($DN108=$DO108))</f>
        <v>3.7037037037037035E-4</v>
      </c>
      <c r="EY108" s="10" cm="1">
        <f t="array" aca="1" ref="EY108" ca="1">(1-$B$18)*SUMPRODUCT(OFFSET($BO$15,0,0,$B$14,1), 1*(_xlfn._xlws.FILTER(OFFSET($O$15,0,$DN108,$B$8,1),OFFSET($M$15,0,0,$B$8,1))=EY$13), 1*(_xlfn._xlws.FILTER(OFFSET($O$15,0,$DO108,$B$8,1),OFFSET($M$15,0,0,$B$8,1))=EY$14))   /   SUM(OFFSET($BO$15,0,0,$B$14,1)) + $B$18/($B$19*$B$19*($DN108&lt;&gt;$DO108) + $B$19*($DN108=$DO108))</f>
        <v>3.7037037037037035E-4</v>
      </c>
      <c r="EZ108" s="10" cm="1">
        <f t="array" aca="1" ref="EZ108" ca="1">(1-$B$18)*SUMPRODUCT(OFFSET($BO$15,0,0,$B$14,1), 1*(_xlfn._xlws.FILTER(OFFSET($O$15,0,$DN108,$B$8,1),OFFSET($M$15,0,0,$B$8,1))=EZ$13), 1*(_xlfn._xlws.FILTER(OFFSET($O$15,0,$DO108,$B$8,1),OFFSET($M$15,0,0,$B$8,1))=EZ$14))   /   SUM(OFFSET($BO$15,0,0,$B$14,1)) + $B$18/($B$19*$B$19*($DN108&lt;&gt;$DO108) + $B$19*($DN108=$DO108))</f>
        <v>3.7037037037037035E-4</v>
      </c>
      <c r="FA108" s="10" cm="1">
        <f t="array" aca="1" ref="FA108" ca="1">(1-$B$18)*SUMPRODUCT(OFFSET($BO$15,0,0,$B$14,1), 1*(_xlfn._xlws.FILTER(OFFSET($O$15,0,$DN108,$B$8,1),OFFSET($M$15,0,0,$B$8,1))=FA$13), 1*(_xlfn._xlws.FILTER(OFFSET($O$15,0,$DO108,$B$8,1),OFFSET($M$15,0,0,$B$8,1))=FA$14))   /   SUM(OFFSET($BO$15,0,0,$B$14,1)) + $B$18/($B$19*$B$19*($DN108&lt;&gt;$DO108) + $B$19*($DN108=$DO108))</f>
        <v>3.7037037037037035E-4</v>
      </c>
      <c r="FB108" s="10" cm="1">
        <f t="array" aca="1" ref="FB108" ca="1">(1-$B$18)*SUMPRODUCT(OFFSET($BO$15,0,0,$B$14,1), 1*(_xlfn._xlws.FILTER(OFFSET($O$15,0,$DN108,$B$8,1),OFFSET($M$15,0,0,$B$8,1))=FB$13), 1*(_xlfn._xlws.FILTER(OFFSET($O$15,0,$DO108,$B$8,1),OFFSET($M$15,0,0,$B$8,1))=FB$14))   /   SUM(OFFSET($BO$15,0,0,$B$14,1)) + $B$18/($B$19*$B$19*($DN108&lt;&gt;$DO108) + $B$19*($DN108=$DO108))</f>
        <v>3.7037037037037035E-4</v>
      </c>
      <c r="FC108" s="10" cm="1">
        <f t="array" aca="1" ref="FC108" ca="1">(1-$B$18)*SUMPRODUCT(OFFSET($BO$15,0,0,$B$14,1), 1*(_xlfn._xlws.FILTER(OFFSET($O$15,0,$DN108,$B$8,1),OFFSET($M$15,0,0,$B$8,1))=FC$13), 1*(_xlfn._xlws.FILTER(OFFSET($O$15,0,$DO108,$B$8,1),OFFSET($M$15,0,0,$B$8,1))=FC$14))   /   SUM(OFFSET($BO$15,0,0,$B$14,1)) + $B$18/($B$19*$B$19*($DN108&lt;&gt;$DO108) + $B$19*($DN108=$DO108))</f>
        <v>3.7037037037037035E-4</v>
      </c>
      <c r="FD108" s="10" cm="1">
        <f t="array" aca="1" ref="FD108" ca="1">(1-$B$18)*SUMPRODUCT(OFFSET($BO$15,0,0,$B$14,1), 1*(_xlfn._xlws.FILTER(OFFSET($O$15,0,$DN108,$B$8,1),OFFSET($M$15,0,0,$B$8,1))=FD$13), 1*(_xlfn._xlws.FILTER(OFFSET($O$15,0,$DO108,$B$8,1),OFFSET($M$15,0,0,$B$8,1))=FD$14))   /   SUM(OFFSET($BO$15,0,0,$B$14,1)) + $B$18/($B$19*$B$19*($DN108&lt;&gt;$DO108) + $B$19*($DN108=$DO108))</f>
        <v>3.7037037037037035E-4</v>
      </c>
      <c r="FE108" s="10" cm="1">
        <f t="array" aca="1" ref="FE108" ca="1">(1-$B$18)*SUMPRODUCT(OFFSET($BO$15,0,0,$B$14,1), 1*(_xlfn._xlws.FILTER(OFFSET($O$15,0,$DN108,$B$8,1),OFFSET($M$15,0,0,$B$8,1))=FE$13), 1*(_xlfn._xlws.FILTER(OFFSET($O$15,0,$DO108,$B$8,1),OFFSET($M$15,0,0,$B$8,1))=FE$14))   /   SUM(OFFSET($BO$15,0,0,$B$14,1)) + $B$18/($B$19*$B$19*($DN108&lt;&gt;$DO108) + $B$19*($DN108=$DO108))</f>
        <v>3.7037037037037035E-4</v>
      </c>
      <c r="FF108" s="10" cm="1">
        <f t="array" aca="1" ref="FF108" ca="1">(1-$B$18)*SUMPRODUCT(OFFSET($BO$15,0,0,$B$14,1), 1*(_xlfn._xlws.FILTER(OFFSET($O$15,0,$DN108,$B$8,1),OFFSET($M$15,0,0,$B$8,1))=FF$13), 1*(_xlfn._xlws.FILTER(OFFSET($O$15,0,$DO108,$B$8,1),OFFSET($M$15,0,0,$B$8,1))=FF$14))   /   SUM(OFFSET($BO$15,0,0,$B$14,1)) + $B$18/($B$19*$B$19*($DN108&lt;&gt;$DO108) + $B$19*($DN108=$DO108))</f>
        <v>3.7037037037037035E-4</v>
      </c>
      <c r="FG108" s="10" cm="1">
        <f t="array" aca="1" ref="FG108" ca="1">(1-$B$18)*SUMPRODUCT(OFFSET($BO$15,0,0,$B$14,1), 1*(_xlfn._xlws.FILTER(OFFSET($O$15,0,$DN108,$B$8,1),OFFSET($M$15,0,0,$B$8,1))=FG$13), 1*(_xlfn._xlws.FILTER(OFFSET($O$15,0,$DO108,$B$8,1),OFFSET($M$15,0,0,$B$8,1))=FG$14))   /   SUM(OFFSET($BO$15,0,0,$B$14,1)) + $B$18/($B$19*$B$19*($DN108&lt;&gt;$DO108) + $B$19*($DN108=$DO108))</f>
        <v>3.7037037037037035E-4</v>
      </c>
      <c r="FH108" s="10" cm="1">
        <f t="array" aca="1" ref="FH108" ca="1">(1-$B$18)*SUMPRODUCT(OFFSET($BO$15,0,0,$B$14,1), 1*(_xlfn._xlws.FILTER(OFFSET($O$15,0,$DN108,$B$8,1),OFFSET($M$15,0,0,$B$8,1))=FH$13), 1*(_xlfn._xlws.FILTER(OFFSET($O$15,0,$DO108,$B$8,1),OFFSET($M$15,0,0,$B$8,1))=FH$14))   /   SUM(OFFSET($BO$15,0,0,$B$14,1)) + $B$18/($B$19*$B$19*($DN108&lt;&gt;$DO108) + $B$19*($DN108=$DO108))</f>
        <v>3.7037037037037035E-4</v>
      </c>
      <c r="FI108" s="10" cm="1">
        <f t="array" aca="1" ref="FI108" ca="1">(1-$B$18)*SUMPRODUCT(OFFSET($BO$15,0,0,$B$14,1), 1*(_xlfn._xlws.FILTER(OFFSET($O$15,0,$DN108,$B$8,1),OFFSET($M$15,0,0,$B$8,1))=FI$13), 1*(_xlfn._xlws.FILTER(OFFSET($O$15,0,$DO108,$B$8,1),OFFSET($M$15,0,0,$B$8,1))=FI$14))   /   SUM(OFFSET($BO$15,0,0,$B$14,1)) + $B$18/($B$19*$B$19*($DN108&lt;&gt;$DO108) + $B$19*($DN108=$DO108))</f>
        <v>3.7037037037037035E-4</v>
      </c>
      <c r="FJ108" s="10" cm="1">
        <f t="array" aca="1" ref="FJ108" ca="1">(1-$B$18)*SUMPRODUCT(OFFSET($BO$15,0,0,$B$14,1), 1*(_xlfn._xlws.FILTER(OFFSET($O$15,0,$DN108,$B$8,1),OFFSET($M$15,0,0,$B$8,1))=FJ$13), 1*(_xlfn._xlws.FILTER(OFFSET($O$15,0,$DO108,$B$8,1),OFFSET($M$15,0,0,$B$8,1))=FJ$14))   /   SUM(OFFSET($BO$15,0,0,$B$14,1)) + $B$18/($B$19*$B$19*($DN108&lt;&gt;$DO108) + $B$19*($DN108=$DO108))</f>
        <v>3.7037037037037035E-4</v>
      </c>
      <c r="FK108" s="10" cm="1">
        <f t="array" aca="1" ref="FK108" ca="1">(1-$B$18)*SUMPRODUCT(OFFSET($BO$15,0,0,$B$14,1), 1*(_xlfn._xlws.FILTER(OFFSET($O$15,0,$DN108,$B$8,1),OFFSET($M$15,0,0,$B$8,1))=FK$13), 1*(_xlfn._xlws.FILTER(OFFSET($O$15,0,$DO108,$B$8,1),OFFSET($M$15,0,0,$B$8,1))=FK$14))   /   SUM(OFFSET($BO$15,0,0,$B$14,1)) + $B$18/($B$19*$B$19*($DN108&lt;&gt;$DO108) + $B$19*($DN108=$DO108))</f>
        <v>3.7037037037037035E-4</v>
      </c>
      <c r="FL108" s="10" cm="1">
        <f t="array" aca="1" ref="FL108" ca="1">(1-$B$18)*SUMPRODUCT(OFFSET($BO$15,0,0,$B$14,1), 1*(_xlfn._xlws.FILTER(OFFSET($O$15,0,$DN108,$B$8,1),OFFSET($M$15,0,0,$B$8,1))=FL$13), 1*(_xlfn._xlws.FILTER(OFFSET($O$15,0,$DO108,$B$8,1),OFFSET($M$15,0,0,$B$8,1))=FL$14))   /   SUM(OFFSET($BO$15,0,0,$B$14,1)) + $B$18/($B$19*$B$19*($DN108&lt;&gt;$DO108) + $B$19*($DN108=$DO108))</f>
        <v>3.7037037037037035E-4</v>
      </c>
      <c r="FM108" s="10" cm="1">
        <f t="array" aca="1" ref="FM108" ca="1">(1-$B$18)*SUMPRODUCT(OFFSET($BO$15,0,0,$B$14,1), 1*(_xlfn._xlws.FILTER(OFFSET($O$15,0,$DN108,$B$8,1),OFFSET($M$15,0,0,$B$8,1))=FM$13), 1*(_xlfn._xlws.FILTER(OFFSET($O$15,0,$DO108,$B$8,1),OFFSET($M$15,0,0,$B$8,1))=FM$14))   /   SUM(OFFSET($BO$15,0,0,$B$14,1)) + $B$18/($B$19*$B$19*($DN108&lt;&gt;$DO108) + $B$19*($DN108=$DO108))</f>
        <v>3.7037037037037035E-4</v>
      </c>
      <c r="FN108" s="10" cm="1">
        <f t="array" aca="1" ref="FN108" ca="1">(1-$B$18)*SUMPRODUCT(OFFSET($BO$15,0,0,$B$14,1), 1*(_xlfn._xlws.FILTER(OFFSET($O$15,0,$DN108,$B$8,1),OFFSET($M$15,0,0,$B$8,1))=FN$13), 1*(_xlfn._xlws.FILTER(OFFSET($O$15,0,$DO108,$B$8,1),OFFSET($M$15,0,0,$B$8,1))=FN$14))   /   SUM(OFFSET($BO$15,0,0,$B$14,1)) + $B$18/($B$19*$B$19*($DN108&lt;&gt;$DO108) + $B$19*($DN108=$DO108))</f>
        <v>3.7037037037037035E-4</v>
      </c>
      <c r="FO108" s="10" cm="1">
        <f t="array" aca="1" ref="FO108" ca="1">(1-$B$18)*SUMPRODUCT(OFFSET($BO$15,0,0,$B$14,1), 1*(_xlfn._xlws.FILTER(OFFSET($O$15,0,$DN108,$B$8,1),OFFSET($M$15,0,0,$B$8,1))=FO$13), 1*(_xlfn._xlws.FILTER(OFFSET($O$15,0,$DO108,$B$8,1),OFFSET($M$15,0,0,$B$8,1))=FO$14))   /   SUM(OFFSET($BO$15,0,0,$B$14,1)) + $B$18/($B$19*$B$19*($DN108&lt;&gt;$DO108) + $B$19*($DN108=$DO108))</f>
        <v>3.7037037037037035E-4</v>
      </c>
      <c r="FP108" s="10" cm="1">
        <f t="array" aca="1" ref="FP108" ca="1">(1-$B$18)*SUMPRODUCT(OFFSET($BO$15,0,0,$B$14,1), 1*(_xlfn._xlws.FILTER(OFFSET($O$15,0,$DN108,$B$8,1),OFFSET($M$15,0,0,$B$8,1))=FP$13), 1*(_xlfn._xlws.FILTER(OFFSET($O$15,0,$DO108,$B$8,1),OFFSET($M$15,0,0,$B$8,1))=FP$14))   /   SUM(OFFSET($BO$15,0,0,$B$14,1)) + $B$18/($B$19*$B$19*($DN108&lt;&gt;$DO108) + $B$19*($DN108=$DO108))</f>
        <v>0.24287037037037024</v>
      </c>
      <c r="FQ108" s="10" cm="1">
        <f t="array" aca="1" ref="FQ108" ca="1">(1-$B$18)*SUMPRODUCT(OFFSET($BO$15,0,0,$B$14,1), 1*(_xlfn._xlws.FILTER(OFFSET($O$15,0,$DN108,$B$8,1),OFFSET($M$15,0,0,$B$8,1))=FQ$13), 1*(_xlfn._xlws.FILTER(OFFSET($O$15,0,$DO108,$B$8,1),OFFSET($M$15,0,0,$B$8,1))=FQ$14))   /   SUM(OFFSET($BO$15,0,0,$B$14,1)) + $B$18/($B$19*$B$19*($DN108&lt;&gt;$DO108) + $B$19*($DN108=$DO108))</f>
        <v>0.24287037037037026</v>
      </c>
      <c r="FR108" s="10" cm="1">
        <f t="array" aca="1" ref="FR108" ca="1">(1-$B$18)*SUMPRODUCT(OFFSET($BO$15,0,0,$B$14,1), 1*(_xlfn._xlws.FILTER(OFFSET($O$15,0,$DN108,$B$8,1),OFFSET($M$15,0,0,$B$8,1))=FR$13), 1*(_xlfn._xlws.FILTER(OFFSET($O$15,0,$DO108,$B$8,1),OFFSET($M$15,0,0,$B$8,1))=FR$14))   /   SUM(OFFSET($BO$15,0,0,$B$14,1)) + $B$18/($B$19*$B$19*($DN108&lt;&gt;$DO108) + $B$19*($DN108=$DO108))</f>
        <v>0.48537037037037012</v>
      </c>
      <c r="FS108" s="10" cm="1">
        <f t="array" aca="1" ref="FS108" ca="1">(1-$B$18)*SUMPRODUCT(OFFSET($BO$15,0,0,$B$14,1), 1*(_xlfn._xlws.FILTER(OFFSET($O$15,0,$DN108,$B$8,1),OFFSET($M$15,0,0,$B$8,1))=FS$13), 1*(_xlfn._xlws.FILTER(OFFSET($O$15,0,$DO108,$B$8,1),OFFSET($M$15,0,0,$B$8,1))=FS$14))   /   SUM(OFFSET($BO$15,0,0,$B$14,1)) + $B$18/($B$19*$B$19*($DN108&lt;&gt;$DO108) + $B$19*($DN108=$DO108))</f>
        <v>3.7037037037037035E-4</v>
      </c>
      <c r="FT108" s="10" cm="1">
        <f t="array" aca="1" ref="FT108" ca="1">(1-$B$18)*SUMPRODUCT(OFFSET($BO$15,0,0,$B$14,1), 1*(_xlfn._xlws.FILTER(OFFSET($O$15,0,$DN108,$B$8,1),OFFSET($M$15,0,0,$B$8,1))=FT$13), 1*(_xlfn._xlws.FILTER(OFFSET($O$15,0,$DO108,$B$8,1),OFFSET($M$15,0,0,$B$8,1))=FT$14))   /   SUM(OFFSET($BO$15,0,0,$B$14,1)) + $B$18/($B$19*$B$19*($DN108&lt;&gt;$DO108) + $B$19*($DN108=$DO108))</f>
        <v>3.7037037037037035E-4</v>
      </c>
      <c r="FU108" s="10" cm="1">
        <f t="array" aca="1" ref="FU108" ca="1">(1-$B$18)*SUMPRODUCT(OFFSET($BO$15,0,0,$B$14,1), 1*(_xlfn._xlws.FILTER(OFFSET($O$15,0,$DN108,$B$8,1),OFFSET($M$15,0,0,$B$8,1))=FU$13), 1*(_xlfn._xlws.FILTER(OFFSET($O$15,0,$DO108,$B$8,1),OFFSET($M$15,0,0,$B$8,1))=FU$14))   /   SUM(OFFSET($BO$15,0,0,$B$14,1)) + $B$18/($B$19*$B$19*($DN108&lt;&gt;$DO108) + $B$19*($DN108=$DO108))</f>
        <v>3.7037037037037035E-4</v>
      </c>
      <c r="FV108" s="10" cm="1">
        <f t="array" aca="1" ref="FV108" ca="1">(1-$B$18)*SUMPRODUCT(OFFSET($BO$15,0,0,$B$14,1), 1*(_xlfn._xlws.FILTER(OFFSET($O$15,0,$DN108,$B$8,1),OFFSET($M$15,0,0,$B$8,1))=FV$13), 1*(_xlfn._xlws.FILTER(OFFSET($O$15,0,$DO108,$B$8,1),OFFSET($M$15,0,0,$B$8,1))=FV$14))   /   SUM(OFFSET($BO$15,0,0,$B$14,1)) + $B$18/($B$19*$B$19*($DN108&lt;&gt;$DO108) + $B$19*($DN108=$DO108))</f>
        <v>3.7037037037037035E-4</v>
      </c>
      <c r="FW108" s="10" cm="1">
        <f t="array" aca="1" ref="FW108" ca="1">(1-$B$18)*SUMPRODUCT(OFFSET($BO$15,0,0,$B$14,1), 1*(_xlfn._xlws.FILTER(OFFSET($O$15,0,$DN108,$B$8,1),OFFSET($M$15,0,0,$B$8,1))=FW$13), 1*(_xlfn._xlws.FILTER(OFFSET($O$15,0,$DO108,$B$8,1),OFFSET($M$15,0,0,$B$8,1))=FW$14))   /   SUM(OFFSET($BO$15,0,0,$B$14,1)) + $B$18/($B$19*$B$19*($DN108&lt;&gt;$DO108) + $B$19*($DN108=$DO108))</f>
        <v>3.7037037037037035E-4</v>
      </c>
      <c r="FX108" s="10" cm="1">
        <f t="array" aca="1" ref="FX108" ca="1">(1-$B$18)*SUMPRODUCT(OFFSET($BO$15,0,0,$B$14,1), 1*(_xlfn._xlws.FILTER(OFFSET($O$15,0,$DN108,$B$8,1),OFFSET($M$15,0,0,$B$8,1))=FX$13), 1*(_xlfn._xlws.FILTER(OFFSET($O$15,0,$DO108,$B$8,1),OFFSET($M$15,0,0,$B$8,1))=FX$14))   /   SUM(OFFSET($BO$15,0,0,$B$14,1)) + $B$18/($B$19*$B$19*($DN108&lt;&gt;$DO108) + $B$19*($DN108=$DO108))</f>
        <v>3.7037037037037035E-4</v>
      </c>
      <c r="FY108" s="10" cm="1">
        <f t="array" aca="1" ref="FY108" ca="1">(1-$B$18)*SUMPRODUCT(OFFSET($BO$15,0,0,$B$14,1), 1*(_xlfn._xlws.FILTER(OFFSET($O$15,0,$DN108,$B$8,1),OFFSET($M$15,0,0,$B$8,1))=FY$13), 1*(_xlfn._xlws.FILTER(OFFSET($O$15,0,$DO108,$B$8,1),OFFSET($M$15,0,0,$B$8,1))=FY$14))   /   SUM(OFFSET($BO$15,0,0,$B$14,1)) + $B$18/($B$19*$B$19*($DN108&lt;&gt;$DO108) + $B$19*($DN108=$DO108))</f>
        <v>3.7037037037037035E-4</v>
      </c>
      <c r="FZ108" s="10" cm="1">
        <f t="array" aca="1" ref="FZ108" ca="1">(1-$B$18)*SUMPRODUCT(OFFSET($BO$15,0,0,$B$14,1), 1*(_xlfn._xlws.FILTER(OFFSET($O$15,0,$DN108,$B$8,1),OFFSET($M$15,0,0,$B$8,1))=FZ$13), 1*(_xlfn._xlws.FILTER(OFFSET($O$15,0,$DO108,$B$8,1),OFFSET($M$15,0,0,$B$8,1))=FZ$14))   /   SUM(OFFSET($BO$15,0,0,$B$14,1)) + $B$18/($B$19*$B$19*($DN108&lt;&gt;$DO108) + $B$19*($DN108=$DO108))</f>
        <v>3.7037037037037035E-4</v>
      </c>
      <c r="GA108" s="10" cm="1">
        <f t="array" aca="1" ref="GA108" ca="1">(1-$B$18)*SUMPRODUCT(OFFSET($BO$15,0,0,$B$14,1), 1*(_xlfn._xlws.FILTER(OFFSET($O$15,0,$DN108,$B$8,1),OFFSET($M$15,0,0,$B$8,1))=GA$13), 1*(_xlfn._xlws.FILTER(OFFSET($O$15,0,$DO108,$B$8,1),OFFSET($M$15,0,0,$B$8,1))=GA$14))   /   SUM(OFFSET($BO$15,0,0,$B$14,1)) + $B$18/($B$19*$B$19*($DN108&lt;&gt;$DO108) + $B$19*($DN108=$DO108))</f>
        <v>3.7037037037037035E-4</v>
      </c>
    </row>
    <row r="109" spans="8:183" x14ac:dyDescent="0.2">
      <c r="H109" s="2"/>
      <c r="DN109" cm="1">
        <f t="array" aca="1" ref="DN109" ca="1">INDEX(_xlfn.ANCHORARRAY($CP$15), 1 + INT((ROWS($DO$15:$DO109) - 1) / ROWS(_xlfn.ANCHORARRAY($CP$15))))</f>
        <v>4</v>
      </c>
      <c r="DO109" cm="1">
        <f t="array" aca="1" ref="DO109" ca="1">INDEX(_xlfn.ANCHORARRAY($CP$15),1+MOD(ROWS($DO$15:$DO109)-1,ROWS(_xlfn.ANCHORARRAY($CP$15))))</f>
        <v>21</v>
      </c>
      <c r="DP109" s="10" cm="1">
        <f t="array" aca="1" ref="DP109" ca="1">(1-$B$18)*SUMPRODUCT(OFFSET($BO$15,0,0,$B$14,1), 1*(_xlfn._xlws.FILTER(OFFSET($O$15,0,$DN109,$B$8,1),OFFSET($M$15,0,0,$B$8,1))=DP$13), 1*(_xlfn._xlws.FILTER(OFFSET($O$15,0,$DO109,$B$8,1),OFFSET($M$15,0,0,$B$8,1))=DP$14))   /   SUM(OFFSET($BO$15,0,0,$B$14,1)) + $B$18/($B$19*$B$19*($DN109&lt;&gt;$DO109) + $B$19*($DN109=$DO109))</f>
        <v>3.7037037037037035E-4</v>
      </c>
      <c r="DQ109" s="10" cm="1">
        <f t="array" aca="1" ref="DQ109" ca="1">(1-$B$18)*SUMPRODUCT(OFFSET($BO$15,0,0,$B$14,1), 1*(_xlfn._xlws.FILTER(OFFSET($O$15,0,$DN109,$B$8,1),OFFSET($M$15,0,0,$B$8,1))=DQ$13), 1*(_xlfn._xlws.FILTER(OFFSET($O$15,0,$DO109,$B$8,1),OFFSET($M$15,0,0,$B$8,1))=DQ$14))   /   SUM(OFFSET($BO$15,0,0,$B$14,1)) + $B$18/($B$19*$B$19*($DN109&lt;&gt;$DO109) + $B$19*($DN109=$DO109))</f>
        <v>3.7037037037037035E-4</v>
      </c>
      <c r="DR109" s="10" cm="1">
        <f t="array" aca="1" ref="DR109" ca="1">(1-$B$18)*SUMPRODUCT(OFFSET($BO$15,0,0,$B$14,1), 1*(_xlfn._xlws.FILTER(OFFSET($O$15,0,$DN109,$B$8,1),OFFSET($M$15,0,0,$B$8,1))=DR$13), 1*(_xlfn._xlws.FILTER(OFFSET($O$15,0,$DO109,$B$8,1),OFFSET($M$15,0,0,$B$8,1))=DR$14))   /   SUM(OFFSET($BO$15,0,0,$B$14,1)) + $B$18/($B$19*$B$19*($DN109&lt;&gt;$DO109) + $B$19*($DN109=$DO109))</f>
        <v>3.7037037037037035E-4</v>
      </c>
      <c r="DS109" s="10" cm="1">
        <f t="array" aca="1" ref="DS109" ca="1">(1-$B$18)*SUMPRODUCT(OFFSET($BO$15,0,0,$B$14,1), 1*(_xlfn._xlws.FILTER(OFFSET($O$15,0,$DN109,$B$8,1),OFFSET($M$15,0,0,$B$8,1))=DS$13), 1*(_xlfn._xlws.FILTER(OFFSET($O$15,0,$DO109,$B$8,1),OFFSET($M$15,0,0,$B$8,1))=DS$14))   /   SUM(OFFSET($BO$15,0,0,$B$14,1)) + $B$18/($B$19*$B$19*($DN109&lt;&gt;$DO109) + $B$19*($DN109=$DO109))</f>
        <v>3.7037037037037035E-4</v>
      </c>
      <c r="DT109" s="10" cm="1">
        <f t="array" aca="1" ref="DT109" ca="1">(1-$B$18)*SUMPRODUCT(OFFSET($BO$15,0,0,$B$14,1), 1*(_xlfn._xlws.FILTER(OFFSET($O$15,0,$DN109,$B$8,1),OFFSET($M$15,0,0,$B$8,1))=DT$13), 1*(_xlfn._xlws.FILTER(OFFSET($O$15,0,$DO109,$B$8,1),OFFSET($M$15,0,0,$B$8,1))=DT$14))   /   SUM(OFFSET($BO$15,0,0,$B$14,1)) + $B$18/($B$19*$B$19*($DN109&lt;&gt;$DO109) + $B$19*($DN109=$DO109))</f>
        <v>3.7037037037037035E-4</v>
      </c>
      <c r="DU109" s="10" cm="1">
        <f t="array" aca="1" ref="DU109" ca="1">(1-$B$18)*SUMPRODUCT(OFFSET($BO$15,0,0,$B$14,1), 1*(_xlfn._xlws.FILTER(OFFSET($O$15,0,$DN109,$B$8,1),OFFSET($M$15,0,0,$B$8,1))=DU$13), 1*(_xlfn._xlws.FILTER(OFFSET($O$15,0,$DO109,$B$8,1),OFFSET($M$15,0,0,$B$8,1))=DU$14))   /   SUM(OFFSET($BO$15,0,0,$B$14,1)) + $B$18/($B$19*$B$19*($DN109&lt;&gt;$DO109) + $B$19*($DN109=$DO109))</f>
        <v>3.7037037037037035E-4</v>
      </c>
      <c r="DV109" s="10" cm="1">
        <f t="array" aca="1" ref="DV109" ca="1">(1-$B$18)*SUMPRODUCT(OFFSET($BO$15,0,0,$B$14,1), 1*(_xlfn._xlws.FILTER(OFFSET($O$15,0,$DN109,$B$8,1),OFFSET($M$15,0,0,$B$8,1))=DV$13), 1*(_xlfn._xlws.FILTER(OFFSET($O$15,0,$DO109,$B$8,1),OFFSET($M$15,0,0,$B$8,1))=DV$14))   /   SUM(OFFSET($BO$15,0,0,$B$14,1)) + $B$18/($B$19*$B$19*($DN109&lt;&gt;$DO109) + $B$19*($DN109=$DO109))</f>
        <v>3.7037037037037035E-4</v>
      </c>
      <c r="DW109" s="10" cm="1">
        <f t="array" aca="1" ref="DW109" ca="1">(1-$B$18)*SUMPRODUCT(OFFSET($BO$15,0,0,$B$14,1), 1*(_xlfn._xlws.FILTER(OFFSET($O$15,0,$DN109,$B$8,1),OFFSET($M$15,0,0,$B$8,1))=DW$13), 1*(_xlfn._xlws.FILTER(OFFSET($O$15,0,$DO109,$B$8,1),OFFSET($M$15,0,0,$B$8,1))=DW$14))   /   SUM(OFFSET($BO$15,0,0,$B$14,1)) + $B$18/($B$19*$B$19*($DN109&lt;&gt;$DO109) + $B$19*($DN109=$DO109))</f>
        <v>3.7037037037037035E-4</v>
      </c>
      <c r="DX109" s="10" cm="1">
        <f t="array" aca="1" ref="DX109" ca="1">(1-$B$18)*SUMPRODUCT(OFFSET($BO$15,0,0,$B$14,1), 1*(_xlfn._xlws.FILTER(OFFSET($O$15,0,$DN109,$B$8,1),OFFSET($M$15,0,0,$B$8,1))=DX$13), 1*(_xlfn._xlws.FILTER(OFFSET($O$15,0,$DO109,$B$8,1),OFFSET($M$15,0,0,$B$8,1))=DX$14))   /   SUM(OFFSET($BO$15,0,0,$B$14,1)) + $B$18/($B$19*$B$19*($DN109&lt;&gt;$DO109) + $B$19*($DN109=$DO109))</f>
        <v>3.7037037037037035E-4</v>
      </c>
      <c r="DY109" s="10" cm="1">
        <f t="array" aca="1" ref="DY109" ca="1">(1-$B$18)*SUMPRODUCT(OFFSET($BO$15,0,0,$B$14,1), 1*(_xlfn._xlws.FILTER(OFFSET($O$15,0,$DN109,$B$8,1),OFFSET($M$15,0,0,$B$8,1))=DY$13), 1*(_xlfn._xlws.FILTER(OFFSET($O$15,0,$DO109,$B$8,1),OFFSET($M$15,0,0,$B$8,1))=DY$14))   /   SUM(OFFSET($BO$15,0,0,$B$14,1)) + $B$18/($B$19*$B$19*($DN109&lt;&gt;$DO109) + $B$19*($DN109=$DO109))</f>
        <v>3.7037037037037035E-4</v>
      </c>
      <c r="DZ109" s="10" cm="1">
        <f t="array" aca="1" ref="DZ109" ca="1">(1-$B$18)*SUMPRODUCT(OFFSET($BO$15,0,0,$B$14,1), 1*(_xlfn._xlws.FILTER(OFFSET($O$15,0,$DN109,$B$8,1),OFFSET($M$15,0,0,$B$8,1))=DZ$13), 1*(_xlfn._xlws.FILTER(OFFSET($O$15,0,$DO109,$B$8,1),OFFSET($M$15,0,0,$B$8,1))=DZ$14))   /   SUM(OFFSET($BO$15,0,0,$B$14,1)) + $B$18/($B$19*$B$19*($DN109&lt;&gt;$DO109) + $B$19*($DN109=$DO109))</f>
        <v>3.7037037037037035E-4</v>
      </c>
      <c r="EA109" s="10" cm="1">
        <f t="array" aca="1" ref="EA109" ca="1">(1-$B$18)*SUMPRODUCT(OFFSET($BO$15,0,0,$B$14,1), 1*(_xlfn._xlws.FILTER(OFFSET($O$15,0,$DN109,$B$8,1),OFFSET($M$15,0,0,$B$8,1))=EA$13), 1*(_xlfn._xlws.FILTER(OFFSET($O$15,0,$DO109,$B$8,1),OFFSET($M$15,0,0,$B$8,1))=EA$14))   /   SUM(OFFSET($BO$15,0,0,$B$14,1)) + $B$18/($B$19*$B$19*($DN109&lt;&gt;$DO109) + $B$19*($DN109=$DO109))</f>
        <v>3.7037037037037035E-4</v>
      </c>
      <c r="EB109" s="10" cm="1">
        <f t="array" aca="1" ref="EB109" ca="1">(1-$B$18)*SUMPRODUCT(OFFSET($BO$15,0,0,$B$14,1), 1*(_xlfn._xlws.FILTER(OFFSET($O$15,0,$DN109,$B$8,1),OFFSET($M$15,0,0,$B$8,1))=EB$13), 1*(_xlfn._xlws.FILTER(OFFSET($O$15,0,$DO109,$B$8,1),OFFSET($M$15,0,0,$B$8,1))=EB$14))   /   SUM(OFFSET($BO$15,0,0,$B$14,1)) + $B$18/($B$19*$B$19*($DN109&lt;&gt;$DO109) + $B$19*($DN109=$DO109))</f>
        <v>3.7037037037037035E-4</v>
      </c>
      <c r="EC109" s="10" cm="1">
        <f t="array" aca="1" ref="EC109" ca="1">(1-$B$18)*SUMPRODUCT(OFFSET($BO$15,0,0,$B$14,1), 1*(_xlfn._xlws.FILTER(OFFSET($O$15,0,$DN109,$B$8,1),OFFSET($M$15,0,0,$B$8,1))=EC$13), 1*(_xlfn._xlws.FILTER(OFFSET($O$15,0,$DO109,$B$8,1),OFFSET($M$15,0,0,$B$8,1))=EC$14))   /   SUM(OFFSET($BO$15,0,0,$B$14,1)) + $B$18/($B$19*$B$19*($DN109&lt;&gt;$DO109) + $B$19*($DN109=$DO109))</f>
        <v>3.7037037037037035E-4</v>
      </c>
      <c r="ED109" s="10" cm="1">
        <f t="array" aca="1" ref="ED109" ca="1">(1-$B$18)*SUMPRODUCT(OFFSET($BO$15,0,0,$B$14,1), 1*(_xlfn._xlws.FILTER(OFFSET($O$15,0,$DN109,$B$8,1),OFFSET($M$15,0,0,$B$8,1))=ED$13), 1*(_xlfn._xlws.FILTER(OFFSET($O$15,0,$DO109,$B$8,1),OFFSET($M$15,0,0,$B$8,1))=ED$14))   /   SUM(OFFSET($BO$15,0,0,$B$14,1)) + $B$18/($B$19*$B$19*($DN109&lt;&gt;$DO109) + $B$19*($DN109=$DO109))</f>
        <v>3.7037037037037035E-4</v>
      </c>
      <c r="EE109" s="10" cm="1">
        <f t="array" aca="1" ref="EE109" ca="1">(1-$B$18)*SUMPRODUCT(OFFSET($BO$15,0,0,$B$14,1), 1*(_xlfn._xlws.FILTER(OFFSET($O$15,0,$DN109,$B$8,1),OFFSET($M$15,0,0,$B$8,1))=EE$13), 1*(_xlfn._xlws.FILTER(OFFSET($O$15,0,$DO109,$B$8,1),OFFSET($M$15,0,0,$B$8,1))=EE$14))   /   SUM(OFFSET($BO$15,0,0,$B$14,1)) + $B$18/($B$19*$B$19*($DN109&lt;&gt;$DO109) + $B$19*($DN109=$DO109))</f>
        <v>3.7037037037037035E-4</v>
      </c>
      <c r="EF109" s="10" cm="1">
        <f t="array" aca="1" ref="EF109" ca="1">(1-$B$18)*SUMPRODUCT(OFFSET($BO$15,0,0,$B$14,1), 1*(_xlfn._xlws.FILTER(OFFSET($O$15,0,$DN109,$B$8,1),OFFSET($M$15,0,0,$B$8,1))=EF$13), 1*(_xlfn._xlws.FILTER(OFFSET($O$15,0,$DO109,$B$8,1),OFFSET($M$15,0,0,$B$8,1))=EF$14))   /   SUM(OFFSET($BO$15,0,0,$B$14,1)) + $B$18/($B$19*$B$19*($DN109&lt;&gt;$DO109) + $B$19*($DN109=$DO109))</f>
        <v>3.7037037037037035E-4</v>
      </c>
      <c r="EG109" s="10" cm="1">
        <f t="array" aca="1" ref="EG109" ca="1">(1-$B$18)*SUMPRODUCT(OFFSET($BO$15,0,0,$B$14,1), 1*(_xlfn._xlws.FILTER(OFFSET($O$15,0,$DN109,$B$8,1),OFFSET($M$15,0,0,$B$8,1))=EG$13), 1*(_xlfn._xlws.FILTER(OFFSET($O$15,0,$DO109,$B$8,1),OFFSET($M$15,0,0,$B$8,1))=EG$14))   /   SUM(OFFSET($BO$15,0,0,$B$14,1)) + $B$18/($B$19*$B$19*($DN109&lt;&gt;$DO109) + $B$19*($DN109=$DO109))</f>
        <v>3.7037037037037035E-4</v>
      </c>
      <c r="EH109" s="10" cm="1">
        <f t="array" aca="1" ref="EH109" ca="1">(1-$B$18)*SUMPRODUCT(OFFSET($BO$15,0,0,$B$14,1), 1*(_xlfn._xlws.FILTER(OFFSET($O$15,0,$DN109,$B$8,1),OFFSET($M$15,0,0,$B$8,1))=EH$13), 1*(_xlfn._xlws.FILTER(OFFSET($O$15,0,$DO109,$B$8,1),OFFSET($M$15,0,0,$B$8,1))=EH$14))   /   SUM(OFFSET($BO$15,0,0,$B$14,1)) + $B$18/($B$19*$B$19*($DN109&lt;&gt;$DO109) + $B$19*($DN109=$DO109))</f>
        <v>3.7037037037037035E-4</v>
      </c>
      <c r="EI109" s="10" cm="1">
        <f t="array" aca="1" ref="EI109" ca="1">(1-$B$18)*SUMPRODUCT(OFFSET($BO$15,0,0,$B$14,1), 1*(_xlfn._xlws.FILTER(OFFSET($O$15,0,$DN109,$B$8,1),OFFSET($M$15,0,0,$B$8,1))=EI$13), 1*(_xlfn._xlws.FILTER(OFFSET($O$15,0,$DO109,$B$8,1),OFFSET($M$15,0,0,$B$8,1))=EI$14))   /   SUM(OFFSET($BO$15,0,0,$B$14,1)) + $B$18/($B$19*$B$19*($DN109&lt;&gt;$DO109) + $B$19*($DN109=$DO109))</f>
        <v>3.7037037037037035E-4</v>
      </c>
      <c r="EJ109" s="10" cm="1">
        <f t="array" aca="1" ref="EJ109" ca="1">(1-$B$18)*SUMPRODUCT(OFFSET($BO$15,0,0,$B$14,1), 1*(_xlfn._xlws.FILTER(OFFSET($O$15,0,$DN109,$B$8,1),OFFSET($M$15,0,0,$B$8,1))=EJ$13), 1*(_xlfn._xlws.FILTER(OFFSET($O$15,0,$DO109,$B$8,1),OFFSET($M$15,0,0,$B$8,1))=EJ$14))   /   SUM(OFFSET($BO$15,0,0,$B$14,1)) + $B$18/($B$19*$B$19*($DN109&lt;&gt;$DO109) + $B$19*($DN109=$DO109))</f>
        <v>3.7037037037037035E-4</v>
      </c>
      <c r="EK109" s="10" cm="1">
        <f t="array" aca="1" ref="EK109" ca="1">(1-$B$18)*SUMPRODUCT(OFFSET($BO$15,0,0,$B$14,1), 1*(_xlfn._xlws.FILTER(OFFSET($O$15,0,$DN109,$B$8,1),OFFSET($M$15,0,0,$B$8,1))=EK$13), 1*(_xlfn._xlws.FILTER(OFFSET($O$15,0,$DO109,$B$8,1),OFFSET($M$15,0,0,$B$8,1))=EK$14))   /   SUM(OFFSET($BO$15,0,0,$B$14,1)) + $B$18/($B$19*$B$19*($DN109&lt;&gt;$DO109) + $B$19*($DN109=$DO109))</f>
        <v>3.7037037037037035E-4</v>
      </c>
      <c r="EL109" s="10" cm="1">
        <f t="array" aca="1" ref="EL109" ca="1">(1-$B$18)*SUMPRODUCT(OFFSET($BO$15,0,0,$B$14,1), 1*(_xlfn._xlws.FILTER(OFFSET($O$15,0,$DN109,$B$8,1),OFFSET($M$15,0,0,$B$8,1))=EL$13), 1*(_xlfn._xlws.FILTER(OFFSET($O$15,0,$DO109,$B$8,1),OFFSET($M$15,0,0,$B$8,1))=EL$14))   /   SUM(OFFSET($BO$15,0,0,$B$14,1)) + $B$18/($B$19*$B$19*($DN109&lt;&gt;$DO109) + $B$19*($DN109=$DO109))</f>
        <v>3.7037037037037035E-4</v>
      </c>
      <c r="EM109" s="10" cm="1">
        <f t="array" aca="1" ref="EM109" ca="1">(1-$B$18)*SUMPRODUCT(OFFSET($BO$15,0,0,$B$14,1), 1*(_xlfn._xlws.FILTER(OFFSET($O$15,0,$DN109,$B$8,1),OFFSET($M$15,0,0,$B$8,1))=EM$13), 1*(_xlfn._xlws.FILTER(OFFSET($O$15,0,$DO109,$B$8,1),OFFSET($M$15,0,0,$B$8,1))=EM$14))   /   SUM(OFFSET($BO$15,0,0,$B$14,1)) + $B$18/($B$19*$B$19*($DN109&lt;&gt;$DO109) + $B$19*($DN109=$DO109))</f>
        <v>3.7037037037037035E-4</v>
      </c>
      <c r="EN109" s="10" cm="1">
        <f t="array" aca="1" ref="EN109" ca="1">(1-$B$18)*SUMPRODUCT(OFFSET($BO$15,0,0,$B$14,1), 1*(_xlfn._xlws.FILTER(OFFSET($O$15,0,$DN109,$B$8,1),OFFSET($M$15,0,0,$B$8,1))=EN$13), 1*(_xlfn._xlws.FILTER(OFFSET($O$15,0,$DO109,$B$8,1),OFFSET($M$15,0,0,$B$8,1))=EN$14))   /   SUM(OFFSET($BO$15,0,0,$B$14,1)) + $B$18/($B$19*$B$19*($DN109&lt;&gt;$DO109) + $B$19*($DN109=$DO109))</f>
        <v>3.7037037037037035E-4</v>
      </c>
      <c r="EO109" s="10" cm="1">
        <f t="array" aca="1" ref="EO109" ca="1">(1-$B$18)*SUMPRODUCT(OFFSET($BO$15,0,0,$B$14,1), 1*(_xlfn._xlws.FILTER(OFFSET($O$15,0,$DN109,$B$8,1),OFFSET($M$15,0,0,$B$8,1))=EO$13), 1*(_xlfn._xlws.FILTER(OFFSET($O$15,0,$DO109,$B$8,1),OFFSET($M$15,0,0,$B$8,1))=EO$14))   /   SUM(OFFSET($BO$15,0,0,$B$14,1)) + $B$18/($B$19*$B$19*($DN109&lt;&gt;$DO109) + $B$19*($DN109=$DO109))</f>
        <v>3.7037037037037035E-4</v>
      </c>
      <c r="EP109" s="10" cm="1">
        <f t="array" aca="1" ref="EP109" ca="1">(1-$B$18)*SUMPRODUCT(OFFSET($BO$15,0,0,$B$14,1), 1*(_xlfn._xlws.FILTER(OFFSET($O$15,0,$DN109,$B$8,1),OFFSET($M$15,0,0,$B$8,1))=EP$13), 1*(_xlfn._xlws.FILTER(OFFSET($O$15,0,$DO109,$B$8,1),OFFSET($M$15,0,0,$B$8,1))=EP$14))   /   SUM(OFFSET($BO$15,0,0,$B$14,1)) + $B$18/($B$19*$B$19*($DN109&lt;&gt;$DO109) + $B$19*($DN109=$DO109))</f>
        <v>3.7037037037037035E-4</v>
      </c>
      <c r="EQ109" s="10" cm="1">
        <f t="array" aca="1" ref="EQ109" ca="1">(1-$B$18)*SUMPRODUCT(OFFSET($BO$15,0,0,$B$14,1), 1*(_xlfn._xlws.FILTER(OFFSET($O$15,0,$DN109,$B$8,1),OFFSET($M$15,0,0,$B$8,1))=EQ$13), 1*(_xlfn._xlws.FILTER(OFFSET($O$15,0,$DO109,$B$8,1),OFFSET($M$15,0,0,$B$8,1))=EQ$14))   /   SUM(OFFSET($BO$15,0,0,$B$14,1)) + $B$18/($B$19*$B$19*($DN109&lt;&gt;$DO109) + $B$19*($DN109=$DO109))</f>
        <v>3.7037037037037035E-4</v>
      </c>
      <c r="ER109" s="10" cm="1">
        <f t="array" aca="1" ref="ER109" ca="1">(1-$B$18)*SUMPRODUCT(OFFSET($BO$15,0,0,$B$14,1), 1*(_xlfn._xlws.FILTER(OFFSET($O$15,0,$DN109,$B$8,1),OFFSET($M$15,0,0,$B$8,1))=ER$13), 1*(_xlfn._xlws.FILTER(OFFSET($O$15,0,$DO109,$B$8,1),OFFSET($M$15,0,0,$B$8,1))=ER$14))   /   SUM(OFFSET($BO$15,0,0,$B$14,1)) + $B$18/($B$19*$B$19*($DN109&lt;&gt;$DO109) + $B$19*($DN109=$DO109))</f>
        <v>3.7037037037037035E-4</v>
      </c>
      <c r="ES109" s="10" cm="1">
        <f t="array" aca="1" ref="ES109" ca="1">(1-$B$18)*SUMPRODUCT(OFFSET($BO$15,0,0,$B$14,1), 1*(_xlfn._xlws.FILTER(OFFSET($O$15,0,$DN109,$B$8,1),OFFSET($M$15,0,0,$B$8,1))=ES$13), 1*(_xlfn._xlws.FILTER(OFFSET($O$15,0,$DO109,$B$8,1),OFFSET($M$15,0,0,$B$8,1))=ES$14))   /   SUM(OFFSET($BO$15,0,0,$B$14,1)) + $B$18/($B$19*$B$19*($DN109&lt;&gt;$DO109) + $B$19*($DN109=$DO109))</f>
        <v>3.7037037037037035E-4</v>
      </c>
      <c r="ET109" s="10" cm="1">
        <f t="array" aca="1" ref="ET109" ca="1">(1-$B$18)*SUMPRODUCT(OFFSET($BO$15,0,0,$B$14,1), 1*(_xlfn._xlws.FILTER(OFFSET($O$15,0,$DN109,$B$8,1),OFFSET($M$15,0,0,$B$8,1))=ET$13), 1*(_xlfn._xlws.FILTER(OFFSET($O$15,0,$DO109,$B$8,1),OFFSET($M$15,0,0,$B$8,1))=ET$14))   /   SUM(OFFSET($BO$15,0,0,$B$14,1)) + $B$18/($B$19*$B$19*($DN109&lt;&gt;$DO109) + $B$19*($DN109=$DO109))</f>
        <v>3.7037037037037035E-4</v>
      </c>
      <c r="EU109" s="10" cm="1">
        <f t="array" aca="1" ref="EU109" ca="1">(1-$B$18)*SUMPRODUCT(OFFSET($BO$15,0,0,$B$14,1), 1*(_xlfn._xlws.FILTER(OFFSET($O$15,0,$DN109,$B$8,1),OFFSET($M$15,0,0,$B$8,1))=EU$13), 1*(_xlfn._xlws.FILTER(OFFSET($O$15,0,$DO109,$B$8,1),OFFSET($M$15,0,0,$B$8,1))=EU$14))   /   SUM(OFFSET($BO$15,0,0,$B$14,1)) + $B$18/($B$19*$B$19*($DN109&lt;&gt;$DO109) + $B$19*($DN109=$DO109))</f>
        <v>3.7037037037037035E-4</v>
      </c>
      <c r="EV109" s="10" cm="1">
        <f t="array" aca="1" ref="EV109" ca="1">(1-$B$18)*SUMPRODUCT(OFFSET($BO$15,0,0,$B$14,1), 1*(_xlfn._xlws.FILTER(OFFSET($O$15,0,$DN109,$B$8,1),OFFSET($M$15,0,0,$B$8,1))=EV$13), 1*(_xlfn._xlws.FILTER(OFFSET($O$15,0,$DO109,$B$8,1),OFFSET($M$15,0,0,$B$8,1))=EV$14))   /   SUM(OFFSET($BO$15,0,0,$B$14,1)) + $B$18/($B$19*$B$19*($DN109&lt;&gt;$DO109) + $B$19*($DN109=$DO109))</f>
        <v>3.7037037037037035E-4</v>
      </c>
      <c r="EW109" s="10" cm="1">
        <f t="array" aca="1" ref="EW109" ca="1">(1-$B$18)*SUMPRODUCT(OFFSET($BO$15,0,0,$B$14,1), 1*(_xlfn._xlws.FILTER(OFFSET($O$15,0,$DN109,$B$8,1),OFFSET($M$15,0,0,$B$8,1))=EW$13), 1*(_xlfn._xlws.FILTER(OFFSET($O$15,0,$DO109,$B$8,1),OFFSET($M$15,0,0,$B$8,1))=EW$14))   /   SUM(OFFSET($BO$15,0,0,$B$14,1)) + $B$18/($B$19*$B$19*($DN109&lt;&gt;$DO109) + $B$19*($DN109=$DO109))</f>
        <v>3.7037037037037035E-4</v>
      </c>
      <c r="EX109" s="10" cm="1">
        <f t="array" aca="1" ref="EX109" ca="1">(1-$B$18)*SUMPRODUCT(OFFSET($BO$15,0,0,$B$14,1), 1*(_xlfn._xlws.FILTER(OFFSET($O$15,0,$DN109,$B$8,1),OFFSET($M$15,0,0,$B$8,1))=EX$13), 1*(_xlfn._xlws.FILTER(OFFSET($O$15,0,$DO109,$B$8,1),OFFSET($M$15,0,0,$B$8,1))=EX$14))   /   SUM(OFFSET($BO$15,0,0,$B$14,1)) + $B$18/($B$19*$B$19*($DN109&lt;&gt;$DO109) + $B$19*($DN109=$DO109))</f>
        <v>3.7037037037037035E-4</v>
      </c>
      <c r="EY109" s="10" cm="1">
        <f t="array" aca="1" ref="EY109" ca="1">(1-$B$18)*SUMPRODUCT(OFFSET($BO$15,0,0,$B$14,1), 1*(_xlfn._xlws.FILTER(OFFSET($O$15,0,$DN109,$B$8,1),OFFSET($M$15,0,0,$B$8,1))=EY$13), 1*(_xlfn._xlws.FILTER(OFFSET($O$15,0,$DO109,$B$8,1),OFFSET($M$15,0,0,$B$8,1))=EY$14))   /   SUM(OFFSET($BO$15,0,0,$B$14,1)) + $B$18/($B$19*$B$19*($DN109&lt;&gt;$DO109) + $B$19*($DN109=$DO109))</f>
        <v>3.7037037037037035E-4</v>
      </c>
      <c r="EZ109" s="10" cm="1">
        <f t="array" aca="1" ref="EZ109" ca="1">(1-$B$18)*SUMPRODUCT(OFFSET($BO$15,0,0,$B$14,1), 1*(_xlfn._xlws.FILTER(OFFSET($O$15,0,$DN109,$B$8,1),OFFSET($M$15,0,0,$B$8,1))=EZ$13), 1*(_xlfn._xlws.FILTER(OFFSET($O$15,0,$DO109,$B$8,1),OFFSET($M$15,0,0,$B$8,1))=EZ$14))   /   SUM(OFFSET($BO$15,0,0,$B$14,1)) + $B$18/($B$19*$B$19*($DN109&lt;&gt;$DO109) + $B$19*($DN109=$DO109))</f>
        <v>3.7037037037037035E-4</v>
      </c>
      <c r="FA109" s="10" cm="1">
        <f t="array" aca="1" ref="FA109" ca="1">(1-$B$18)*SUMPRODUCT(OFFSET($BO$15,0,0,$B$14,1), 1*(_xlfn._xlws.FILTER(OFFSET($O$15,0,$DN109,$B$8,1),OFFSET($M$15,0,0,$B$8,1))=FA$13), 1*(_xlfn._xlws.FILTER(OFFSET($O$15,0,$DO109,$B$8,1),OFFSET($M$15,0,0,$B$8,1))=FA$14))   /   SUM(OFFSET($BO$15,0,0,$B$14,1)) + $B$18/($B$19*$B$19*($DN109&lt;&gt;$DO109) + $B$19*($DN109=$DO109))</f>
        <v>3.7037037037037035E-4</v>
      </c>
      <c r="FB109" s="10" cm="1">
        <f t="array" aca="1" ref="FB109" ca="1">(1-$B$18)*SUMPRODUCT(OFFSET($BO$15,0,0,$B$14,1), 1*(_xlfn._xlws.FILTER(OFFSET($O$15,0,$DN109,$B$8,1),OFFSET($M$15,0,0,$B$8,1))=FB$13), 1*(_xlfn._xlws.FILTER(OFFSET($O$15,0,$DO109,$B$8,1),OFFSET($M$15,0,0,$B$8,1))=FB$14))   /   SUM(OFFSET($BO$15,0,0,$B$14,1)) + $B$18/($B$19*$B$19*($DN109&lt;&gt;$DO109) + $B$19*($DN109=$DO109))</f>
        <v>3.7037037037037035E-4</v>
      </c>
      <c r="FC109" s="10" cm="1">
        <f t="array" aca="1" ref="FC109" ca="1">(1-$B$18)*SUMPRODUCT(OFFSET($BO$15,0,0,$B$14,1), 1*(_xlfn._xlws.FILTER(OFFSET($O$15,0,$DN109,$B$8,1),OFFSET($M$15,0,0,$B$8,1))=FC$13), 1*(_xlfn._xlws.FILTER(OFFSET($O$15,0,$DO109,$B$8,1),OFFSET($M$15,0,0,$B$8,1))=FC$14))   /   SUM(OFFSET($BO$15,0,0,$B$14,1)) + $B$18/($B$19*$B$19*($DN109&lt;&gt;$DO109) + $B$19*($DN109=$DO109))</f>
        <v>3.7037037037037035E-4</v>
      </c>
      <c r="FD109" s="10" cm="1">
        <f t="array" aca="1" ref="FD109" ca="1">(1-$B$18)*SUMPRODUCT(OFFSET($BO$15,0,0,$B$14,1), 1*(_xlfn._xlws.FILTER(OFFSET($O$15,0,$DN109,$B$8,1),OFFSET($M$15,0,0,$B$8,1))=FD$13), 1*(_xlfn._xlws.FILTER(OFFSET($O$15,0,$DO109,$B$8,1),OFFSET($M$15,0,0,$B$8,1))=FD$14))   /   SUM(OFFSET($BO$15,0,0,$B$14,1)) + $B$18/($B$19*$B$19*($DN109&lt;&gt;$DO109) + $B$19*($DN109=$DO109))</f>
        <v>3.7037037037037035E-4</v>
      </c>
      <c r="FE109" s="10" cm="1">
        <f t="array" aca="1" ref="FE109" ca="1">(1-$B$18)*SUMPRODUCT(OFFSET($BO$15,0,0,$B$14,1), 1*(_xlfn._xlws.FILTER(OFFSET($O$15,0,$DN109,$B$8,1),OFFSET($M$15,0,0,$B$8,1))=FE$13), 1*(_xlfn._xlws.FILTER(OFFSET($O$15,0,$DO109,$B$8,1),OFFSET($M$15,0,0,$B$8,1))=FE$14))   /   SUM(OFFSET($BO$15,0,0,$B$14,1)) + $B$18/($B$19*$B$19*($DN109&lt;&gt;$DO109) + $B$19*($DN109=$DO109))</f>
        <v>3.7037037037037035E-4</v>
      </c>
      <c r="FF109" s="10" cm="1">
        <f t="array" aca="1" ref="FF109" ca="1">(1-$B$18)*SUMPRODUCT(OFFSET($BO$15,0,0,$B$14,1), 1*(_xlfn._xlws.FILTER(OFFSET($O$15,0,$DN109,$B$8,1),OFFSET($M$15,0,0,$B$8,1))=FF$13), 1*(_xlfn._xlws.FILTER(OFFSET($O$15,0,$DO109,$B$8,1),OFFSET($M$15,0,0,$B$8,1))=FF$14))   /   SUM(OFFSET($BO$15,0,0,$B$14,1)) + $B$18/($B$19*$B$19*($DN109&lt;&gt;$DO109) + $B$19*($DN109=$DO109))</f>
        <v>3.7037037037037035E-4</v>
      </c>
      <c r="FG109" s="10" cm="1">
        <f t="array" aca="1" ref="FG109" ca="1">(1-$B$18)*SUMPRODUCT(OFFSET($BO$15,0,0,$B$14,1), 1*(_xlfn._xlws.FILTER(OFFSET($O$15,0,$DN109,$B$8,1),OFFSET($M$15,0,0,$B$8,1))=FG$13), 1*(_xlfn._xlws.FILTER(OFFSET($O$15,0,$DO109,$B$8,1),OFFSET($M$15,0,0,$B$8,1))=FG$14))   /   SUM(OFFSET($BO$15,0,0,$B$14,1)) + $B$18/($B$19*$B$19*($DN109&lt;&gt;$DO109) + $B$19*($DN109=$DO109))</f>
        <v>3.7037037037037035E-4</v>
      </c>
      <c r="FH109" s="10" cm="1">
        <f t="array" aca="1" ref="FH109" ca="1">(1-$B$18)*SUMPRODUCT(OFFSET($BO$15,0,0,$B$14,1), 1*(_xlfn._xlws.FILTER(OFFSET($O$15,0,$DN109,$B$8,1),OFFSET($M$15,0,0,$B$8,1))=FH$13), 1*(_xlfn._xlws.FILTER(OFFSET($O$15,0,$DO109,$B$8,1),OFFSET($M$15,0,0,$B$8,1))=FH$14))   /   SUM(OFFSET($BO$15,0,0,$B$14,1)) + $B$18/($B$19*$B$19*($DN109&lt;&gt;$DO109) + $B$19*($DN109=$DO109))</f>
        <v>3.7037037037037035E-4</v>
      </c>
      <c r="FI109" s="10" cm="1">
        <f t="array" aca="1" ref="FI109" ca="1">(1-$B$18)*SUMPRODUCT(OFFSET($BO$15,0,0,$B$14,1), 1*(_xlfn._xlws.FILTER(OFFSET($O$15,0,$DN109,$B$8,1),OFFSET($M$15,0,0,$B$8,1))=FI$13), 1*(_xlfn._xlws.FILTER(OFFSET($O$15,0,$DO109,$B$8,1),OFFSET($M$15,0,0,$B$8,1))=FI$14))   /   SUM(OFFSET($BO$15,0,0,$B$14,1)) + $B$18/($B$19*$B$19*($DN109&lt;&gt;$DO109) + $B$19*($DN109=$DO109))</f>
        <v>3.7037037037037035E-4</v>
      </c>
      <c r="FJ109" s="10" cm="1">
        <f t="array" aca="1" ref="FJ109" ca="1">(1-$B$18)*SUMPRODUCT(OFFSET($BO$15,0,0,$B$14,1), 1*(_xlfn._xlws.FILTER(OFFSET($O$15,0,$DN109,$B$8,1),OFFSET($M$15,0,0,$B$8,1))=FJ$13), 1*(_xlfn._xlws.FILTER(OFFSET($O$15,0,$DO109,$B$8,1),OFFSET($M$15,0,0,$B$8,1))=FJ$14))   /   SUM(OFFSET($BO$15,0,0,$B$14,1)) + $B$18/($B$19*$B$19*($DN109&lt;&gt;$DO109) + $B$19*($DN109=$DO109))</f>
        <v>3.7037037037037035E-4</v>
      </c>
      <c r="FK109" s="10" cm="1">
        <f t="array" aca="1" ref="FK109" ca="1">(1-$B$18)*SUMPRODUCT(OFFSET($BO$15,0,0,$B$14,1), 1*(_xlfn._xlws.FILTER(OFFSET($O$15,0,$DN109,$B$8,1),OFFSET($M$15,0,0,$B$8,1))=FK$13), 1*(_xlfn._xlws.FILTER(OFFSET($O$15,0,$DO109,$B$8,1),OFFSET($M$15,0,0,$B$8,1))=FK$14))   /   SUM(OFFSET($BO$15,0,0,$B$14,1)) + $B$18/($B$19*$B$19*($DN109&lt;&gt;$DO109) + $B$19*($DN109=$DO109))</f>
        <v>3.7037037037037035E-4</v>
      </c>
      <c r="FL109" s="10" cm="1">
        <f t="array" aca="1" ref="FL109" ca="1">(1-$B$18)*SUMPRODUCT(OFFSET($BO$15,0,0,$B$14,1), 1*(_xlfn._xlws.FILTER(OFFSET($O$15,0,$DN109,$B$8,1),OFFSET($M$15,0,0,$B$8,1))=FL$13), 1*(_xlfn._xlws.FILTER(OFFSET($O$15,0,$DO109,$B$8,1),OFFSET($M$15,0,0,$B$8,1))=FL$14))   /   SUM(OFFSET($BO$15,0,0,$B$14,1)) + $B$18/($B$19*$B$19*($DN109&lt;&gt;$DO109) + $B$19*($DN109=$DO109))</f>
        <v>3.7037037037037035E-4</v>
      </c>
      <c r="FM109" s="10" cm="1">
        <f t="array" aca="1" ref="FM109" ca="1">(1-$B$18)*SUMPRODUCT(OFFSET($BO$15,0,0,$B$14,1), 1*(_xlfn._xlws.FILTER(OFFSET($O$15,0,$DN109,$B$8,1),OFFSET($M$15,0,0,$B$8,1))=FM$13), 1*(_xlfn._xlws.FILTER(OFFSET($O$15,0,$DO109,$B$8,1),OFFSET($M$15,0,0,$B$8,1))=FM$14))   /   SUM(OFFSET($BO$15,0,0,$B$14,1)) + $B$18/($B$19*$B$19*($DN109&lt;&gt;$DO109) + $B$19*($DN109=$DO109))</f>
        <v>3.7037037037037035E-4</v>
      </c>
      <c r="FN109" s="10" cm="1">
        <f t="array" aca="1" ref="FN109" ca="1">(1-$B$18)*SUMPRODUCT(OFFSET($BO$15,0,0,$B$14,1), 1*(_xlfn._xlws.FILTER(OFFSET($O$15,0,$DN109,$B$8,1),OFFSET($M$15,0,0,$B$8,1))=FN$13), 1*(_xlfn._xlws.FILTER(OFFSET($O$15,0,$DO109,$B$8,1),OFFSET($M$15,0,0,$B$8,1))=FN$14))   /   SUM(OFFSET($BO$15,0,0,$B$14,1)) + $B$18/($B$19*$B$19*($DN109&lt;&gt;$DO109) + $B$19*($DN109=$DO109))</f>
        <v>3.7037037037037035E-4</v>
      </c>
      <c r="FO109" s="10" cm="1">
        <f t="array" aca="1" ref="FO109" ca="1">(1-$B$18)*SUMPRODUCT(OFFSET($BO$15,0,0,$B$14,1), 1*(_xlfn._xlws.FILTER(OFFSET($O$15,0,$DN109,$B$8,1),OFFSET($M$15,0,0,$B$8,1))=FO$13), 1*(_xlfn._xlws.FILTER(OFFSET($O$15,0,$DO109,$B$8,1),OFFSET($M$15,0,0,$B$8,1))=FO$14))   /   SUM(OFFSET($BO$15,0,0,$B$14,1)) + $B$18/($B$19*$B$19*($DN109&lt;&gt;$DO109) + $B$19*($DN109=$DO109))</f>
        <v>3.7037037037037035E-4</v>
      </c>
      <c r="FP109" s="10" cm="1">
        <f t="array" aca="1" ref="FP109" ca="1">(1-$B$18)*SUMPRODUCT(OFFSET($BO$15,0,0,$B$14,1), 1*(_xlfn._xlws.FILTER(OFFSET($O$15,0,$DN109,$B$8,1),OFFSET($M$15,0,0,$B$8,1))=FP$13), 1*(_xlfn._xlws.FILTER(OFFSET($O$15,0,$DO109,$B$8,1),OFFSET($M$15,0,0,$B$8,1))=FP$14))   /   SUM(OFFSET($BO$15,0,0,$B$14,1)) + $B$18/($B$19*$B$19*($DN109&lt;&gt;$DO109) + $B$19*($DN109=$DO109))</f>
        <v>0.24287037037037024</v>
      </c>
      <c r="FQ109" s="10" cm="1">
        <f t="array" aca="1" ref="FQ109" ca="1">(1-$B$18)*SUMPRODUCT(OFFSET($BO$15,0,0,$B$14,1), 1*(_xlfn._xlws.FILTER(OFFSET($O$15,0,$DN109,$B$8,1),OFFSET($M$15,0,0,$B$8,1))=FQ$13), 1*(_xlfn._xlws.FILTER(OFFSET($O$15,0,$DO109,$B$8,1),OFFSET($M$15,0,0,$B$8,1))=FQ$14))   /   SUM(OFFSET($BO$15,0,0,$B$14,1)) + $B$18/($B$19*$B$19*($DN109&lt;&gt;$DO109) + $B$19*($DN109=$DO109))</f>
        <v>0.48537037037037012</v>
      </c>
      <c r="FR109" s="10" cm="1">
        <f t="array" aca="1" ref="FR109" ca="1">(1-$B$18)*SUMPRODUCT(OFFSET($BO$15,0,0,$B$14,1), 1*(_xlfn._xlws.FILTER(OFFSET($O$15,0,$DN109,$B$8,1),OFFSET($M$15,0,0,$B$8,1))=FR$13), 1*(_xlfn._xlws.FILTER(OFFSET($O$15,0,$DO109,$B$8,1),OFFSET($M$15,0,0,$B$8,1))=FR$14))   /   SUM(OFFSET($BO$15,0,0,$B$14,1)) + $B$18/($B$19*$B$19*($DN109&lt;&gt;$DO109) + $B$19*($DN109=$DO109))</f>
        <v>0.24287037037037026</v>
      </c>
      <c r="FS109" s="10" cm="1">
        <f t="array" aca="1" ref="FS109" ca="1">(1-$B$18)*SUMPRODUCT(OFFSET($BO$15,0,0,$B$14,1), 1*(_xlfn._xlws.FILTER(OFFSET($O$15,0,$DN109,$B$8,1),OFFSET($M$15,0,0,$B$8,1))=FS$13), 1*(_xlfn._xlws.FILTER(OFFSET($O$15,0,$DO109,$B$8,1),OFFSET($M$15,0,0,$B$8,1))=FS$14))   /   SUM(OFFSET($BO$15,0,0,$B$14,1)) + $B$18/($B$19*$B$19*($DN109&lt;&gt;$DO109) + $B$19*($DN109=$DO109))</f>
        <v>3.7037037037037035E-4</v>
      </c>
      <c r="FT109" s="10" cm="1">
        <f t="array" aca="1" ref="FT109" ca="1">(1-$B$18)*SUMPRODUCT(OFFSET($BO$15,0,0,$B$14,1), 1*(_xlfn._xlws.FILTER(OFFSET($O$15,0,$DN109,$B$8,1),OFFSET($M$15,0,0,$B$8,1))=FT$13), 1*(_xlfn._xlws.FILTER(OFFSET($O$15,0,$DO109,$B$8,1),OFFSET($M$15,0,0,$B$8,1))=FT$14))   /   SUM(OFFSET($BO$15,0,0,$B$14,1)) + $B$18/($B$19*$B$19*($DN109&lt;&gt;$DO109) + $B$19*($DN109=$DO109))</f>
        <v>3.7037037037037035E-4</v>
      </c>
      <c r="FU109" s="10" cm="1">
        <f t="array" aca="1" ref="FU109" ca="1">(1-$B$18)*SUMPRODUCT(OFFSET($BO$15,0,0,$B$14,1), 1*(_xlfn._xlws.FILTER(OFFSET($O$15,0,$DN109,$B$8,1),OFFSET($M$15,0,0,$B$8,1))=FU$13), 1*(_xlfn._xlws.FILTER(OFFSET($O$15,0,$DO109,$B$8,1),OFFSET($M$15,0,0,$B$8,1))=FU$14))   /   SUM(OFFSET($BO$15,0,0,$B$14,1)) + $B$18/($B$19*$B$19*($DN109&lt;&gt;$DO109) + $B$19*($DN109=$DO109))</f>
        <v>3.7037037037037035E-4</v>
      </c>
      <c r="FV109" s="10" cm="1">
        <f t="array" aca="1" ref="FV109" ca="1">(1-$B$18)*SUMPRODUCT(OFFSET($BO$15,0,0,$B$14,1), 1*(_xlfn._xlws.FILTER(OFFSET($O$15,0,$DN109,$B$8,1),OFFSET($M$15,0,0,$B$8,1))=FV$13), 1*(_xlfn._xlws.FILTER(OFFSET($O$15,0,$DO109,$B$8,1),OFFSET($M$15,0,0,$B$8,1))=FV$14))   /   SUM(OFFSET($BO$15,0,0,$B$14,1)) + $B$18/($B$19*$B$19*($DN109&lt;&gt;$DO109) + $B$19*($DN109=$DO109))</f>
        <v>3.7037037037037035E-4</v>
      </c>
      <c r="FW109" s="10" cm="1">
        <f t="array" aca="1" ref="FW109" ca="1">(1-$B$18)*SUMPRODUCT(OFFSET($BO$15,0,0,$B$14,1), 1*(_xlfn._xlws.FILTER(OFFSET($O$15,0,$DN109,$B$8,1),OFFSET($M$15,0,0,$B$8,1))=FW$13), 1*(_xlfn._xlws.FILTER(OFFSET($O$15,0,$DO109,$B$8,1),OFFSET($M$15,0,0,$B$8,1))=FW$14))   /   SUM(OFFSET($BO$15,0,0,$B$14,1)) + $B$18/($B$19*$B$19*($DN109&lt;&gt;$DO109) + $B$19*($DN109=$DO109))</f>
        <v>3.7037037037037035E-4</v>
      </c>
      <c r="FX109" s="10" cm="1">
        <f t="array" aca="1" ref="FX109" ca="1">(1-$B$18)*SUMPRODUCT(OFFSET($BO$15,0,0,$B$14,1), 1*(_xlfn._xlws.FILTER(OFFSET($O$15,0,$DN109,$B$8,1),OFFSET($M$15,0,0,$B$8,1))=FX$13), 1*(_xlfn._xlws.FILTER(OFFSET($O$15,0,$DO109,$B$8,1),OFFSET($M$15,0,0,$B$8,1))=FX$14))   /   SUM(OFFSET($BO$15,0,0,$B$14,1)) + $B$18/($B$19*$B$19*($DN109&lt;&gt;$DO109) + $B$19*($DN109=$DO109))</f>
        <v>3.7037037037037035E-4</v>
      </c>
      <c r="FY109" s="10" cm="1">
        <f t="array" aca="1" ref="FY109" ca="1">(1-$B$18)*SUMPRODUCT(OFFSET($BO$15,0,0,$B$14,1), 1*(_xlfn._xlws.FILTER(OFFSET($O$15,0,$DN109,$B$8,1),OFFSET($M$15,0,0,$B$8,1))=FY$13), 1*(_xlfn._xlws.FILTER(OFFSET($O$15,0,$DO109,$B$8,1),OFFSET($M$15,0,0,$B$8,1))=FY$14))   /   SUM(OFFSET($BO$15,0,0,$B$14,1)) + $B$18/($B$19*$B$19*($DN109&lt;&gt;$DO109) + $B$19*($DN109=$DO109))</f>
        <v>3.7037037037037035E-4</v>
      </c>
      <c r="FZ109" s="10" cm="1">
        <f t="array" aca="1" ref="FZ109" ca="1">(1-$B$18)*SUMPRODUCT(OFFSET($BO$15,0,0,$B$14,1), 1*(_xlfn._xlws.FILTER(OFFSET($O$15,0,$DN109,$B$8,1),OFFSET($M$15,0,0,$B$8,1))=FZ$13), 1*(_xlfn._xlws.FILTER(OFFSET($O$15,0,$DO109,$B$8,1),OFFSET($M$15,0,0,$B$8,1))=FZ$14))   /   SUM(OFFSET($BO$15,0,0,$B$14,1)) + $B$18/($B$19*$B$19*($DN109&lt;&gt;$DO109) + $B$19*($DN109=$DO109))</f>
        <v>3.7037037037037035E-4</v>
      </c>
      <c r="GA109" s="10" cm="1">
        <f t="array" aca="1" ref="GA109" ca="1">(1-$B$18)*SUMPRODUCT(OFFSET($BO$15,0,0,$B$14,1), 1*(_xlfn._xlws.FILTER(OFFSET($O$15,0,$DN109,$B$8,1),OFFSET($M$15,0,0,$B$8,1))=GA$13), 1*(_xlfn._xlws.FILTER(OFFSET($O$15,0,$DO109,$B$8,1),OFFSET($M$15,0,0,$B$8,1))=GA$14))   /   SUM(OFFSET($BO$15,0,0,$B$14,1)) + $B$18/($B$19*$B$19*($DN109&lt;&gt;$DO109) + $B$19*($DN109=$DO109))</f>
        <v>3.7037037037037035E-4</v>
      </c>
    </row>
    <row r="110" spans="8:183" x14ac:dyDescent="0.2">
      <c r="H110" s="2"/>
      <c r="DN110" cm="1">
        <f t="array" aca="1" ref="DN110" ca="1">INDEX(_xlfn.ANCHORARRAY($CP$15), 1 + INT((ROWS($DO$15:$DO110) - 1) / ROWS(_xlfn.ANCHORARRAY($CP$15))))</f>
        <v>5</v>
      </c>
      <c r="DO110" cm="1">
        <f t="array" aca="1" ref="DO110" ca="1">INDEX(_xlfn.ANCHORARRAY($CP$15),1+MOD(ROWS($DO$15:$DO110)-1,ROWS(_xlfn.ANCHORARRAY($CP$15))))</f>
        <v>0</v>
      </c>
      <c r="DP110" s="10" cm="1">
        <f t="array" aca="1" ref="DP110" ca="1">(1-$B$18)*SUMPRODUCT(OFFSET($BO$15,0,0,$B$14,1), 1*(_xlfn._xlws.FILTER(OFFSET($O$15,0,$DN110,$B$8,1),OFFSET($M$15,0,0,$B$8,1))=DP$13), 1*(_xlfn._xlws.FILTER(OFFSET($O$15,0,$DO110,$B$8,1),OFFSET($M$15,0,0,$B$8,1))=DP$14))   /   SUM(OFFSET($BO$15,0,0,$B$14,1)) + $B$18/($B$19*$B$19*($DN110&lt;&gt;$DO110) + $B$19*($DN110=$DO110))</f>
        <v>3.7037037037037035E-4</v>
      </c>
      <c r="DQ110" s="10" cm="1">
        <f t="array" aca="1" ref="DQ110" ca="1">(1-$B$18)*SUMPRODUCT(OFFSET($BO$15,0,0,$B$14,1), 1*(_xlfn._xlws.FILTER(OFFSET($O$15,0,$DN110,$B$8,1),OFFSET($M$15,0,0,$B$8,1))=DQ$13), 1*(_xlfn._xlws.FILTER(OFFSET($O$15,0,$DO110,$B$8,1),OFFSET($M$15,0,0,$B$8,1))=DQ$14))   /   SUM(OFFSET($BO$15,0,0,$B$14,1)) + $B$18/($B$19*$B$19*($DN110&lt;&gt;$DO110) + $B$19*($DN110=$DO110))</f>
        <v>3.7037037037037035E-4</v>
      </c>
      <c r="DR110" s="10" cm="1">
        <f t="array" aca="1" ref="DR110" ca="1">(1-$B$18)*SUMPRODUCT(OFFSET($BO$15,0,0,$B$14,1), 1*(_xlfn._xlws.FILTER(OFFSET($O$15,0,$DN110,$B$8,1),OFFSET($M$15,0,0,$B$8,1))=DR$13), 1*(_xlfn._xlws.FILTER(OFFSET($O$15,0,$DO110,$B$8,1),OFFSET($M$15,0,0,$B$8,1))=DR$14))   /   SUM(OFFSET($BO$15,0,0,$B$14,1)) + $B$18/($B$19*$B$19*($DN110&lt;&gt;$DO110) + $B$19*($DN110=$DO110))</f>
        <v>3.7037037037037035E-4</v>
      </c>
      <c r="DS110" s="10" cm="1">
        <f t="array" aca="1" ref="DS110" ca="1">(1-$B$18)*SUMPRODUCT(OFFSET($BO$15,0,0,$B$14,1), 1*(_xlfn._xlws.FILTER(OFFSET($O$15,0,$DN110,$B$8,1),OFFSET($M$15,0,0,$B$8,1))=DS$13), 1*(_xlfn._xlws.FILTER(OFFSET($O$15,0,$DO110,$B$8,1),OFFSET($M$15,0,0,$B$8,1))=DS$14))   /   SUM(OFFSET($BO$15,0,0,$B$14,1)) + $B$18/($B$19*$B$19*($DN110&lt;&gt;$DO110) + $B$19*($DN110=$DO110))</f>
        <v>3.7037037037037035E-4</v>
      </c>
      <c r="DT110" s="10" cm="1">
        <f t="array" aca="1" ref="DT110" ca="1">(1-$B$18)*SUMPRODUCT(OFFSET($BO$15,0,0,$B$14,1), 1*(_xlfn._xlws.FILTER(OFFSET($O$15,0,$DN110,$B$8,1),OFFSET($M$15,0,0,$B$8,1))=DT$13), 1*(_xlfn._xlws.FILTER(OFFSET($O$15,0,$DO110,$B$8,1),OFFSET($M$15,0,0,$B$8,1))=DT$14))   /   SUM(OFFSET($BO$15,0,0,$B$14,1)) + $B$18/($B$19*$B$19*($DN110&lt;&gt;$DO110) + $B$19*($DN110=$DO110))</f>
        <v>3.7037037037037035E-4</v>
      </c>
      <c r="DU110" s="10" cm="1">
        <f t="array" aca="1" ref="DU110" ca="1">(1-$B$18)*SUMPRODUCT(OFFSET($BO$15,0,0,$B$14,1), 1*(_xlfn._xlws.FILTER(OFFSET($O$15,0,$DN110,$B$8,1),OFFSET($M$15,0,0,$B$8,1))=DU$13), 1*(_xlfn._xlws.FILTER(OFFSET($O$15,0,$DO110,$B$8,1),OFFSET($M$15,0,0,$B$8,1))=DU$14))   /   SUM(OFFSET($BO$15,0,0,$B$14,1)) + $B$18/($B$19*$B$19*($DN110&lt;&gt;$DO110) + $B$19*($DN110=$DO110))</f>
        <v>3.7037037037037035E-4</v>
      </c>
      <c r="DV110" s="10" cm="1">
        <f t="array" aca="1" ref="DV110" ca="1">(1-$B$18)*SUMPRODUCT(OFFSET($BO$15,0,0,$B$14,1), 1*(_xlfn._xlws.FILTER(OFFSET($O$15,0,$DN110,$B$8,1),OFFSET($M$15,0,0,$B$8,1))=DV$13), 1*(_xlfn._xlws.FILTER(OFFSET($O$15,0,$DO110,$B$8,1),OFFSET($M$15,0,0,$B$8,1))=DV$14))   /   SUM(OFFSET($BO$15,0,0,$B$14,1)) + $B$18/($B$19*$B$19*($DN110&lt;&gt;$DO110) + $B$19*($DN110=$DO110))</f>
        <v>3.7037037037037035E-4</v>
      </c>
      <c r="DW110" s="10" cm="1">
        <f t="array" aca="1" ref="DW110" ca="1">(1-$B$18)*SUMPRODUCT(OFFSET($BO$15,0,0,$B$14,1), 1*(_xlfn._xlws.FILTER(OFFSET($O$15,0,$DN110,$B$8,1),OFFSET($M$15,0,0,$B$8,1))=DW$13), 1*(_xlfn._xlws.FILTER(OFFSET($O$15,0,$DO110,$B$8,1),OFFSET($M$15,0,0,$B$8,1))=DW$14))   /   SUM(OFFSET($BO$15,0,0,$B$14,1)) + $B$18/($B$19*$B$19*($DN110&lt;&gt;$DO110) + $B$19*($DN110=$DO110))</f>
        <v>3.7037037037037035E-4</v>
      </c>
      <c r="DX110" s="10" cm="1">
        <f t="array" aca="1" ref="DX110" ca="1">(1-$B$18)*SUMPRODUCT(OFFSET($BO$15,0,0,$B$14,1), 1*(_xlfn._xlws.FILTER(OFFSET($O$15,0,$DN110,$B$8,1),OFFSET($M$15,0,0,$B$8,1))=DX$13), 1*(_xlfn._xlws.FILTER(OFFSET($O$15,0,$DO110,$B$8,1),OFFSET($M$15,0,0,$B$8,1))=DX$14))   /   SUM(OFFSET($BO$15,0,0,$B$14,1)) + $B$18/($B$19*$B$19*($DN110&lt;&gt;$DO110) + $B$19*($DN110=$DO110))</f>
        <v>3.7037037037037035E-4</v>
      </c>
      <c r="DY110" s="10" cm="1">
        <f t="array" aca="1" ref="DY110" ca="1">(1-$B$18)*SUMPRODUCT(OFFSET($BO$15,0,0,$B$14,1), 1*(_xlfn._xlws.FILTER(OFFSET($O$15,0,$DN110,$B$8,1),OFFSET($M$15,0,0,$B$8,1))=DY$13), 1*(_xlfn._xlws.FILTER(OFFSET($O$15,0,$DO110,$B$8,1),OFFSET($M$15,0,0,$B$8,1))=DY$14))   /   SUM(OFFSET($BO$15,0,0,$B$14,1)) + $B$18/($B$19*$B$19*($DN110&lt;&gt;$DO110) + $B$19*($DN110=$DO110))</f>
        <v>3.7037037037037035E-4</v>
      </c>
      <c r="DZ110" s="10" cm="1">
        <f t="array" aca="1" ref="DZ110" ca="1">(1-$B$18)*SUMPRODUCT(OFFSET($BO$15,0,0,$B$14,1), 1*(_xlfn._xlws.FILTER(OFFSET($O$15,0,$DN110,$B$8,1),OFFSET($M$15,0,0,$B$8,1))=DZ$13), 1*(_xlfn._xlws.FILTER(OFFSET($O$15,0,$DO110,$B$8,1),OFFSET($M$15,0,0,$B$8,1))=DZ$14))   /   SUM(OFFSET($BO$15,0,0,$B$14,1)) + $B$18/($B$19*$B$19*($DN110&lt;&gt;$DO110) + $B$19*($DN110=$DO110))</f>
        <v>3.7037037037037035E-4</v>
      </c>
      <c r="EA110" s="10" cm="1">
        <f t="array" aca="1" ref="EA110" ca="1">(1-$B$18)*SUMPRODUCT(OFFSET($BO$15,0,0,$B$14,1), 1*(_xlfn._xlws.FILTER(OFFSET($O$15,0,$DN110,$B$8,1),OFFSET($M$15,0,0,$B$8,1))=EA$13), 1*(_xlfn._xlws.FILTER(OFFSET($O$15,0,$DO110,$B$8,1),OFFSET($M$15,0,0,$B$8,1))=EA$14))   /   SUM(OFFSET($BO$15,0,0,$B$14,1)) + $B$18/($B$19*$B$19*($DN110&lt;&gt;$DO110) + $B$19*($DN110=$DO110))</f>
        <v>3.7037037037037035E-4</v>
      </c>
      <c r="EB110" s="10" cm="1">
        <f t="array" aca="1" ref="EB110" ca="1">(1-$B$18)*SUMPRODUCT(OFFSET($BO$15,0,0,$B$14,1), 1*(_xlfn._xlws.FILTER(OFFSET($O$15,0,$DN110,$B$8,1),OFFSET($M$15,0,0,$B$8,1))=EB$13), 1*(_xlfn._xlws.FILTER(OFFSET($O$15,0,$DO110,$B$8,1),OFFSET($M$15,0,0,$B$8,1))=EB$14))   /   SUM(OFFSET($BO$15,0,0,$B$14,1)) + $B$18/($B$19*$B$19*($DN110&lt;&gt;$DO110) + $B$19*($DN110=$DO110))</f>
        <v>3.7037037037037035E-4</v>
      </c>
      <c r="EC110" s="10" cm="1">
        <f t="array" aca="1" ref="EC110" ca="1">(1-$B$18)*SUMPRODUCT(OFFSET($BO$15,0,0,$B$14,1), 1*(_xlfn._xlws.FILTER(OFFSET($O$15,0,$DN110,$B$8,1),OFFSET($M$15,0,0,$B$8,1))=EC$13), 1*(_xlfn._xlws.FILTER(OFFSET($O$15,0,$DO110,$B$8,1),OFFSET($M$15,0,0,$B$8,1))=EC$14))   /   SUM(OFFSET($BO$15,0,0,$B$14,1)) + $B$18/($B$19*$B$19*($DN110&lt;&gt;$DO110) + $B$19*($DN110=$DO110))</f>
        <v>3.7037037037037035E-4</v>
      </c>
      <c r="ED110" s="10" cm="1">
        <f t="array" aca="1" ref="ED110" ca="1">(1-$B$18)*SUMPRODUCT(OFFSET($BO$15,0,0,$B$14,1), 1*(_xlfn._xlws.FILTER(OFFSET($O$15,0,$DN110,$B$8,1),OFFSET($M$15,0,0,$B$8,1))=ED$13), 1*(_xlfn._xlws.FILTER(OFFSET($O$15,0,$DO110,$B$8,1),OFFSET($M$15,0,0,$B$8,1))=ED$14))   /   SUM(OFFSET($BO$15,0,0,$B$14,1)) + $B$18/($B$19*$B$19*($DN110&lt;&gt;$DO110) + $B$19*($DN110=$DO110))</f>
        <v>3.7037037037037035E-4</v>
      </c>
      <c r="EE110" s="10" cm="1">
        <f t="array" aca="1" ref="EE110" ca="1">(1-$B$18)*SUMPRODUCT(OFFSET($BO$15,0,0,$B$14,1), 1*(_xlfn._xlws.FILTER(OFFSET($O$15,0,$DN110,$B$8,1),OFFSET($M$15,0,0,$B$8,1))=EE$13), 1*(_xlfn._xlws.FILTER(OFFSET($O$15,0,$DO110,$B$8,1),OFFSET($M$15,0,0,$B$8,1))=EE$14))   /   SUM(OFFSET($BO$15,0,0,$B$14,1)) + $B$18/($B$19*$B$19*($DN110&lt;&gt;$DO110) + $B$19*($DN110=$DO110))</f>
        <v>3.7037037037037035E-4</v>
      </c>
      <c r="EF110" s="10" cm="1">
        <f t="array" aca="1" ref="EF110" ca="1">(1-$B$18)*SUMPRODUCT(OFFSET($BO$15,0,0,$B$14,1), 1*(_xlfn._xlws.FILTER(OFFSET($O$15,0,$DN110,$B$8,1),OFFSET($M$15,0,0,$B$8,1))=EF$13), 1*(_xlfn._xlws.FILTER(OFFSET($O$15,0,$DO110,$B$8,1),OFFSET($M$15,0,0,$B$8,1))=EF$14))   /   SUM(OFFSET($BO$15,0,0,$B$14,1)) + $B$18/($B$19*$B$19*($DN110&lt;&gt;$DO110) + $B$19*($DN110=$DO110))</f>
        <v>3.7037037037037035E-4</v>
      </c>
      <c r="EG110" s="10" cm="1">
        <f t="array" aca="1" ref="EG110" ca="1">(1-$B$18)*SUMPRODUCT(OFFSET($BO$15,0,0,$B$14,1), 1*(_xlfn._xlws.FILTER(OFFSET($O$15,0,$DN110,$B$8,1),OFFSET($M$15,0,0,$B$8,1))=EG$13), 1*(_xlfn._xlws.FILTER(OFFSET($O$15,0,$DO110,$B$8,1),OFFSET($M$15,0,0,$B$8,1))=EG$14))   /   SUM(OFFSET($BO$15,0,0,$B$14,1)) + $B$18/($B$19*$B$19*($DN110&lt;&gt;$DO110) + $B$19*($DN110=$DO110))</f>
        <v>3.7037037037037035E-4</v>
      </c>
      <c r="EH110" s="10" cm="1">
        <f t="array" aca="1" ref="EH110" ca="1">(1-$B$18)*SUMPRODUCT(OFFSET($BO$15,0,0,$B$14,1), 1*(_xlfn._xlws.FILTER(OFFSET($O$15,0,$DN110,$B$8,1),OFFSET($M$15,0,0,$B$8,1))=EH$13), 1*(_xlfn._xlws.FILTER(OFFSET($O$15,0,$DO110,$B$8,1),OFFSET($M$15,0,0,$B$8,1))=EH$14))   /   SUM(OFFSET($BO$15,0,0,$B$14,1)) + $B$18/($B$19*$B$19*($DN110&lt;&gt;$DO110) + $B$19*($DN110=$DO110))</f>
        <v>3.7037037037037035E-4</v>
      </c>
      <c r="EI110" s="10" cm="1">
        <f t="array" aca="1" ref="EI110" ca="1">(1-$B$18)*SUMPRODUCT(OFFSET($BO$15,0,0,$B$14,1), 1*(_xlfn._xlws.FILTER(OFFSET($O$15,0,$DN110,$B$8,1),OFFSET($M$15,0,0,$B$8,1))=EI$13), 1*(_xlfn._xlws.FILTER(OFFSET($O$15,0,$DO110,$B$8,1),OFFSET($M$15,0,0,$B$8,1))=EI$14))   /   SUM(OFFSET($BO$15,0,0,$B$14,1)) + $B$18/($B$19*$B$19*($DN110&lt;&gt;$DO110) + $B$19*($DN110=$DO110))</f>
        <v>3.7037037037037035E-4</v>
      </c>
      <c r="EJ110" s="10" cm="1">
        <f t="array" aca="1" ref="EJ110" ca="1">(1-$B$18)*SUMPRODUCT(OFFSET($BO$15,0,0,$B$14,1), 1*(_xlfn._xlws.FILTER(OFFSET($O$15,0,$DN110,$B$8,1),OFFSET($M$15,0,0,$B$8,1))=EJ$13), 1*(_xlfn._xlws.FILTER(OFFSET($O$15,0,$DO110,$B$8,1),OFFSET($M$15,0,0,$B$8,1))=EJ$14))   /   SUM(OFFSET($BO$15,0,0,$B$14,1)) + $B$18/($B$19*$B$19*($DN110&lt;&gt;$DO110) + $B$19*($DN110=$DO110))</f>
        <v>3.7037037037037035E-4</v>
      </c>
      <c r="EK110" s="10" cm="1">
        <f t="array" aca="1" ref="EK110" ca="1">(1-$B$18)*SUMPRODUCT(OFFSET($BO$15,0,0,$B$14,1), 1*(_xlfn._xlws.FILTER(OFFSET($O$15,0,$DN110,$B$8,1),OFFSET($M$15,0,0,$B$8,1))=EK$13), 1*(_xlfn._xlws.FILTER(OFFSET($O$15,0,$DO110,$B$8,1),OFFSET($M$15,0,0,$B$8,1))=EK$14))   /   SUM(OFFSET($BO$15,0,0,$B$14,1)) + $B$18/($B$19*$B$19*($DN110&lt;&gt;$DO110) + $B$19*($DN110=$DO110))</f>
        <v>3.7037037037037035E-4</v>
      </c>
      <c r="EL110" s="10" cm="1">
        <f t="array" aca="1" ref="EL110" ca="1">(1-$B$18)*SUMPRODUCT(OFFSET($BO$15,0,0,$B$14,1), 1*(_xlfn._xlws.FILTER(OFFSET($O$15,0,$DN110,$B$8,1),OFFSET($M$15,0,0,$B$8,1))=EL$13), 1*(_xlfn._xlws.FILTER(OFFSET($O$15,0,$DO110,$B$8,1),OFFSET($M$15,0,0,$B$8,1))=EL$14))   /   SUM(OFFSET($BO$15,0,0,$B$14,1)) + $B$18/($B$19*$B$19*($DN110&lt;&gt;$DO110) + $B$19*($DN110=$DO110))</f>
        <v>3.7037037037037035E-4</v>
      </c>
      <c r="EM110" s="10" cm="1">
        <f t="array" aca="1" ref="EM110" ca="1">(1-$B$18)*SUMPRODUCT(OFFSET($BO$15,0,0,$B$14,1), 1*(_xlfn._xlws.FILTER(OFFSET($O$15,0,$DN110,$B$8,1),OFFSET($M$15,0,0,$B$8,1))=EM$13), 1*(_xlfn._xlws.FILTER(OFFSET($O$15,0,$DO110,$B$8,1),OFFSET($M$15,0,0,$B$8,1))=EM$14))   /   SUM(OFFSET($BO$15,0,0,$B$14,1)) + $B$18/($B$19*$B$19*($DN110&lt;&gt;$DO110) + $B$19*($DN110=$DO110))</f>
        <v>3.7037037037037035E-4</v>
      </c>
      <c r="EN110" s="10" cm="1">
        <f t="array" aca="1" ref="EN110" ca="1">(1-$B$18)*SUMPRODUCT(OFFSET($BO$15,0,0,$B$14,1), 1*(_xlfn._xlws.FILTER(OFFSET($O$15,0,$DN110,$B$8,1),OFFSET($M$15,0,0,$B$8,1))=EN$13), 1*(_xlfn._xlws.FILTER(OFFSET($O$15,0,$DO110,$B$8,1),OFFSET($M$15,0,0,$B$8,1))=EN$14))   /   SUM(OFFSET($BO$15,0,0,$B$14,1)) + $B$18/($B$19*$B$19*($DN110&lt;&gt;$DO110) + $B$19*($DN110=$DO110))</f>
        <v>3.7037037037037035E-4</v>
      </c>
      <c r="EO110" s="10" cm="1">
        <f t="array" aca="1" ref="EO110" ca="1">(1-$B$18)*SUMPRODUCT(OFFSET($BO$15,0,0,$B$14,1), 1*(_xlfn._xlws.FILTER(OFFSET($O$15,0,$DN110,$B$8,1),OFFSET($M$15,0,0,$B$8,1))=EO$13), 1*(_xlfn._xlws.FILTER(OFFSET($O$15,0,$DO110,$B$8,1),OFFSET($M$15,0,0,$B$8,1))=EO$14))   /   SUM(OFFSET($BO$15,0,0,$B$14,1)) + $B$18/($B$19*$B$19*($DN110&lt;&gt;$DO110) + $B$19*($DN110=$DO110))</f>
        <v>3.7037037037037035E-4</v>
      </c>
      <c r="EP110" s="10" cm="1">
        <f t="array" aca="1" ref="EP110" ca="1">(1-$B$18)*SUMPRODUCT(OFFSET($BO$15,0,0,$B$14,1), 1*(_xlfn._xlws.FILTER(OFFSET($O$15,0,$DN110,$B$8,1),OFFSET($M$15,0,0,$B$8,1))=EP$13), 1*(_xlfn._xlws.FILTER(OFFSET($O$15,0,$DO110,$B$8,1),OFFSET($M$15,0,0,$B$8,1))=EP$14))   /   SUM(OFFSET($BO$15,0,0,$B$14,1)) + $B$18/($B$19*$B$19*($DN110&lt;&gt;$DO110) + $B$19*($DN110=$DO110))</f>
        <v>3.7037037037037035E-4</v>
      </c>
      <c r="EQ110" s="10" cm="1">
        <f t="array" aca="1" ref="EQ110" ca="1">(1-$B$18)*SUMPRODUCT(OFFSET($BO$15,0,0,$B$14,1), 1*(_xlfn._xlws.FILTER(OFFSET($O$15,0,$DN110,$B$8,1),OFFSET($M$15,0,0,$B$8,1))=EQ$13), 1*(_xlfn._xlws.FILTER(OFFSET($O$15,0,$DO110,$B$8,1),OFFSET($M$15,0,0,$B$8,1))=EQ$14))   /   SUM(OFFSET($BO$15,0,0,$B$14,1)) + $B$18/($B$19*$B$19*($DN110&lt;&gt;$DO110) + $B$19*($DN110=$DO110))</f>
        <v>3.7037037037037035E-4</v>
      </c>
      <c r="ER110" s="10" cm="1">
        <f t="array" aca="1" ref="ER110" ca="1">(1-$B$18)*SUMPRODUCT(OFFSET($BO$15,0,0,$B$14,1), 1*(_xlfn._xlws.FILTER(OFFSET($O$15,0,$DN110,$B$8,1),OFFSET($M$15,0,0,$B$8,1))=ER$13), 1*(_xlfn._xlws.FILTER(OFFSET($O$15,0,$DO110,$B$8,1),OFFSET($M$15,0,0,$B$8,1))=ER$14))   /   SUM(OFFSET($BO$15,0,0,$B$14,1)) + $B$18/($B$19*$B$19*($DN110&lt;&gt;$DO110) + $B$19*($DN110=$DO110))</f>
        <v>3.7037037037037035E-4</v>
      </c>
      <c r="ES110" s="10" cm="1">
        <f t="array" aca="1" ref="ES110" ca="1">(1-$B$18)*SUMPRODUCT(OFFSET($BO$15,0,0,$B$14,1), 1*(_xlfn._xlws.FILTER(OFFSET($O$15,0,$DN110,$B$8,1),OFFSET($M$15,0,0,$B$8,1))=ES$13), 1*(_xlfn._xlws.FILTER(OFFSET($O$15,0,$DO110,$B$8,1),OFFSET($M$15,0,0,$B$8,1))=ES$14))   /   SUM(OFFSET($BO$15,0,0,$B$14,1)) + $B$18/($B$19*$B$19*($DN110&lt;&gt;$DO110) + $B$19*($DN110=$DO110))</f>
        <v>3.7037037037037035E-4</v>
      </c>
      <c r="ET110" s="10" cm="1">
        <f t="array" aca="1" ref="ET110" ca="1">(1-$B$18)*SUMPRODUCT(OFFSET($BO$15,0,0,$B$14,1), 1*(_xlfn._xlws.FILTER(OFFSET($O$15,0,$DN110,$B$8,1),OFFSET($M$15,0,0,$B$8,1))=ET$13), 1*(_xlfn._xlws.FILTER(OFFSET($O$15,0,$DO110,$B$8,1),OFFSET($M$15,0,0,$B$8,1))=ET$14))   /   SUM(OFFSET($BO$15,0,0,$B$14,1)) + $B$18/($B$19*$B$19*($DN110&lt;&gt;$DO110) + $B$19*($DN110=$DO110))</f>
        <v>3.7037037037037035E-4</v>
      </c>
      <c r="EU110" s="10" cm="1">
        <f t="array" aca="1" ref="EU110" ca="1">(1-$B$18)*SUMPRODUCT(OFFSET($BO$15,0,0,$B$14,1), 1*(_xlfn._xlws.FILTER(OFFSET($O$15,0,$DN110,$B$8,1),OFFSET($M$15,0,0,$B$8,1))=EU$13), 1*(_xlfn._xlws.FILTER(OFFSET($O$15,0,$DO110,$B$8,1),OFFSET($M$15,0,0,$B$8,1))=EU$14))   /   SUM(OFFSET($BO$15,0,0,$B$14,1)) + $B$18/($B$19*$B$19*($DN110&lt;&gt;$DO110) + $B$19*($DN110=$DO110))</f>
        <v>3.7037037037037035E-4</v>
      </c>
      <c r="EV110" s="10" cm="1">
        <f t="array" aca="1" ref="EV110" ca="1">(1-$B$18)*SUMPRODUCT(OFFSET($BO$15,0,0,$B$14,1), 1*(_xlfn._xlws.FILTER(OFFSET($O$15,0,$DN110,$B$8,1),OFFSET($M$15,0,0,$B$8,1))=EV$13), 1*(_xlfn._xlws.FILTER(OFFSET($O$15,0,$DO110,$B$8,1),OFFSET($M$15,0,0,$B$8,1))=EV$14))   /   SUM(OFFSET($BO$15,0,0,$B$14,1)) + $B$18/($B$19*$B$19*($DN110&lt;&gt;$DO110) + $B$19*($DN110=$DO110))</f>
        <v>3.7037037037037035E-4</v>
      </c>
      <c r="EW110" s="10" cm="1">
        <f t="array" aca="1" ref="EW110" ca="1">(1-$B$18)*SUMPRODUCT(OFFSET($BO$15,0,0,$B$14,1), 1*(_xlfn._xlws.FILTER(OFFSET($O$15,0,$DN110,$B$8,1),OFFSET($M$15,0,0,$B$8,1))=EW$13), 1*(_xlfn._xlws.FILTER(OFFSET($O$15,0,$DO110,$B$8,1),OFFSET($M$15,0,0,$B$8,1))=EW$14))   /   SUM(OFFSET($BO$15,0,0,$B$14,1)) + $B$18/($B$19*$B$19*($DN110&lt;&gt;$DO110) + $B$19*($DN110=$DO110))</f>
        <v>3.7037037037037035E-4</v>
      </c>
      <c r="EX110" s="10" cm="1">
        <f t="array" aca="1" ref="EX110" ca="1">(1-$B$18)*SUMPRODUCT(OFFSET($BO$15,0,0,$B$14,1), 1*(_xlfn._xlws.FILTER(OFFSET($O$15,0,$DN110,$B$8,1),OFFSET($M$15,0,0,$B$8,1))=EX$13), 1*(_xlfn._xlws.FILTER(OFFSET($O$15,0,$DO110,$B$8,1),OFFSET($M$15,0,0,$B$8,1))=EX$14))   /   SUM(OFFSET($BO$15,0,0,$B$14,1)) + $B$18/($B$19*$B$19*($DN110&lt;&gt;$DO110) + $B$19*($DN110=$DO110))</f>
        <v>3.7037037037037035E-4</v>
      </c>
      <c r="EY110" s="10" cm="1">
        <f t="array" aca="1" ref="EY110" ca="1">(1-$B$18)*SUMPRODUCT(OFFSET($BO$15,0,0,$B$14,1), 1*(_xlfn._xlws.FILTER(OFFSET($O$15,0,$DN110,$B$8,1),OFFSET($M$15,0,0,$B$8,1))=EY$13), 1*(_xlfn._xlws.FILTER(OFFSET($O$15,0,$DO110,$B$8,1),OFFSET($M$15,0,0,$B$8,1))=EY$14))   /   SUM(OFFSET($BO$15,0,0,$B$14,1)) + $B$18/($B$19*$B$19*($DN110&lt;&gt;$DO110) + $B$19*($DN110=$DO110))</f>
        <v>3.7037037037037035E-4</v>
      </c>
      <c r="EZ110" s="10" cm="1">
        <f t="array" aca="1" ref="EZ110" ca="1">(1-$B$18)*SUMPRODUCT(OFFSET($BO$15,0,0,$B$14,1), 1*(_xlfn._xlws.FILTER(OFFSET($O$15,0,$DN110,$B$8,1),OFFSET($M$15,0,0,$B$8,1))=EZ$13), 1*(_xlfn._xlws.FILTER(OFFSET($O$15,0,$DO110,$B$8,1),OFFSET($M$15,0,0,$B$8,1))=EZ$14))   /   SUM(OFFSET($BO$15,0,0,$B$14,1)) + $B$18/($B$19*$B$19*($DN110&lt;&gt;$DO110) + $B$19*($DN110=$DO110))</f>
        <v>3.7037037037037035E-4</v>
      </c>
      <c r="FA110" s="10" cm="1">
        <f t="array" aca="1" ref="FA110" ca="1">(1-$B$18)*SUMPRODUCT(OFFSET($BO$15,0,0,$B$14,1), 1*(_xlfn._xlws.FILTER(OFFSET($O$15,0,$DN110,$B$8,1),OFFSET($M$15,0,0,$B$8,1))=FA$13), 1*(_xlfn._xlws.FILTER(OFFSET($O$15,0,$DO110,$B$8,1),OFFSET($M$15,0,0,$B$8,1))=FA$14))   /   SUM(OFFSET($BO$15,0,0,$B$14,1)) + $B$18/($B$19*$B$19*($DN110&lt;&gt;$DO110) + $B$19*($DN110=$DO110))</f>
        <v>3.7037037037037035E-4</v>
      </c>
      <c r="FB110" s="10" cm="1">
        <f t="array" aca="1" ref="FB110" ca="1">(1-$B$18)*SUMPRODUCT(OFFSET($BO$15,0,0,$B$14,1), 1*(_xlfn._xlws.FILTER(OFFSET($O$15,0,$DN110,$B$8,1),OFFSET($M$15,0,0,$B$8,1))=FB$13), 1*(_xlfn._xlws.FILTER(OFFSET($O$15,0,$DO110,$B$8,1),OFFSET($M$15,0,0,$B$8,1))=FB$14))   /   SUM(OFFSET($BO$15,0,0,$B$14,1)) + $B$18/($B$19*$B$19*($DN110&lt;&gt;$DO110) + $B$19*($DN110=$DO110))</f>
        <v>3.7037037037037035E-4</v>
      </c>
      <c r="FC110" s="10" cm="1">
        <f t="array" aca="1" ref="FC110" ca="1">(1-$B$18)*SUMPRODUCT(OFFSET($BO$15,0,0,$B$14,1), 1*(_xlfn._xlws.FILTER(OFFSET($O$15,0,$DN110,$B$8,1),OFFSET($M$15,0,0,$B$8,1))=FC$13), 1*(_xlfn._xlws.FILTER(OFFSET($O$15,0,$DO110,$B$8,1),OFFSET($M$15,0,0,$B$8,1))=FC$14))   /   SUM(OFFSET($BO$15,0,0,$B$14,1)) + $B$18/($B$19*$B$19*($DN110&lt;&gt;$DO110) + $B$19*($DN110=$DO110))</f>
        <v>3.7037037037037035E-4</v>
      </c>
      <c r="FD110" s="10" cm="1">
        <f t="array" aca="1" ref="FD110" ca="1">(1-$B$18)*SUMPRODUCT(OFFSET($BO$15,0,0,$B$14,1), 1*(_xlfn._xlws.FILTER(OFFSET($O$15,0,$DN110,$B$8,1),OFFSET($M$15,0,0,$B$8,1))=FD$13), 1*(_xlfn._xlws.FILTER(OFFSET($O$15,0,$DO110,$B$8,1),OFFSET($M$15,0,0,$B$8,1))=FD$14))   /   SUM(OFFSET($BO$15,0,0,$B$14,1)) + $B$18/($B$19*$B$19*($DN110&lt;&gt;$DO110) + $B$19*($DN110=$DO110))</f>
        <v>3.7037037037037035E-4</v>
      </c>
      <c r="FE110" s="10" cm="1">
        <f t="array" aca="1" ref="FE110" ca="1">(1-$B$18)*SUMPRODUCT(OFFSET($BO$15,0,0,$B$14,1), 1*(_xlfn._xlws.FILTER(OFFSET($O$15,0,$DN110,$B$8,1),OFFSET($M$15,0,0,$B$8,1))=FE$13), 1*(_xlfn._xlws.FILTER(OFFSET($O$15,0,$DO110,$B$8,1),OFFSET($M$15,0,0,$B$8,1))=FE$14))   /   SUM(OFFSET($BO$15,0,0,$B$14,1)) + $B$18/($B$19*$B$19*($DN110&lt;&gt;$DO110) + $B$19*($DN110=$DO110))</f>
        <v>3.7037037037037035E-4</v>
      </c>
      <c r="FF110" s="10" cm="1">
        <f t="array" aca="1" ref="FF110" ca="1">(1-$B$18)*SUMPRODUCT(OFFSET($BO$15,0,0,$B$14,1), 1*(_xlfn._xlws.FILTER(OFFSET($O$15,0,$DN110,$B$8,1),OFFSET($M$15,0,0,$B$8,1))=FF$13), 1*(_xlfn._xlws.FILTER(OFFSET($O$15,0,$DO110,$B$8,1),OFFSET($M$15,0,0,$B$8,1))=FF$14))   /   SUM(OFFSET($BO$15,0,0,$B$14,1)) + $B$18/($B$19*$B$19*($DN110&lt;&gt;$DO110) + $B$19*($DN110=$DO110))</f>
        <v>3.7037037037037035E-4</v>
      </c>
      <c r="FG110" s="10" cm="1">
        <f t="array" aca="1" ref="FG110" ca="1">(1-$B$18)*SUMPRODUCT(OFFSET($BO$15,0,0,$B$14,1), 1*(_xlfn._xlws.FILTER(OFFSET($O$15,0,$DN110,$B$8,1),OFFSET($M$15,0,0,$B$8,1))=FG$13), 1*(_xlfn._xlws.FILTER(OFFSET($O$15,0,$DO110,$B$8,1),OFFSET($M$15,0,0,$B$8,1))=FG$14))   /   SUM(OFFSET($BO$15,0,0,$B$14,1)) + $B$18/($B$19*$B$19*($DN110&lt;&gt;$DO110) + $B$19*($DN110=$DO110))</f>
        <v>3.7037037037037035E-4</v>
      </c>
      <c r="FH110" s="10" cm="1">
        <f t="array" aca="1" ref="FH110" ca="1">(1-$B$18)*SUMPRODUCT(OFFSET($BO$15,0,0,$B$14,1), 1*(_xlfn._xlws.FILTER(OFFSET($O$15,0,$DN110,$B$8,1),OFFSET($M$15,0,0,$B$8,1))=FH$13), 1*(_xlfn._xlws.FILTER(OFFSET($O$15,0,$DO110,$B$8,1),OFFSET($M$15,0,0,$B$8,1))=FH$14))   /   SUM(OFFSET($BO$15,0,0,$B$14,1)) + $B$18/($B$19*$B$19*($DN110&lt;&gt;$DO110) + $B$19*($DN110=$DO110))</f>
        <v>3.7037037037037035E-4</v>
      </c>
      <c r="FI110" s="10" cm="1">
        <f t="array" aca="1" ref="FI110" ca="1">(1-$B$18)*SUMPRODUCT(OFFSET($BO$15,0,0,$B$14,1), 1*(_xlfn._xlws.FILTER(OFFSET($O$15,0,$DN110,$B$8,1),OFFSET($M$15,0,0,$B$8,1))=FI$13), 1*(_xlfn._xlws.FILTER(OFFSET($O$15,0,$DO110,$B$8,1),OFFSET($M$15,0,0,$B$8,1))=FI$14))   /   SUM(OFFSET($BO$15,0,0,$B$14,1)) + $B$18/($B$19*$B$19*($DN110&lt;&gt;$DO110) + $B$19*($DN110=$DO110))</f>
        <v>3.7037037037037035E-4</v>
      </c>
      <c r="FJ110" s="10" cm="1">
        <f t="array" aca="1" ref="FJ110" ca="1">(1-$B$18)*SUMPRODUCT(OFFSET($BO$15,0,0,$B$14,1), 1*(_xlfn._xlws.FILTER(OFFSET($O$15,0,$DN110,$B$8,1),OFFSET($M$15,0,0,$B$8,1))=FJ$13), 1*(_xlfn._xlws.FILTER(OFFSET($O$15,0,$DO110,$B$8,1),OFFSET($M$15,0,0,$B$8,1))=FJ$14))   /   SUM(OFFSET($BO$15,0,0,$B$14,1)) + $B$18/($B$19*$B$19*($DN110&lt;&gt;$DO110) + $B$19*($DN110=$DO110))</f>
        <v>3.7037037037037035E-4</v>
      </c>
      <c r="FK110" s="10" cm="1">
        <f t="array" aca="1" ref="FK110" ca="1">(1-$B$18)*SUMPRODUCT(OFFSET($BO$15,0,0,$B$14,1), 1*(_xlfn._xlws.FILTER(OFFSET($O$15,0,$DN110,$B$8,1),OFFSET($M$15,0,0,$B$8,1))=FK$13), 1*(_xlfn._xlws.FILTER(OFFSET($O$15,0,$DO110,$B$8,1),OFFSET($M$15,0,0,$B$8,1))=FK$14))   /   SUM(OFFSET($BO$15,0,0,$B$14,1)) + $B$18/($B$19*$B$19*($DN110&lt;&gt;$DO110) + $B$19*($DN110=$DO110))</f>
        <v>3.7037037037037035E-4</v>
      </c>
      <c r="FL110" s="10" cm="1">
        <f t="array" aca="1" ref="FL110" ca="1">(1-$B$18)*SUMPRODUCT(OFFSET($BO$15,0,0,$B$14,1), 1*(_xlfn._xlws.FILTER(OFFSET($O$15,0,$DN110,$B$8,1),OFFSET($M$15,0,0,$B$8,1))=FL$13), 1*(_xlfn._xlws.FILTER(OFFSET($O$15,0,$DO110,$B$8,1),OFFSET($M$15,0,0,$B$8,1))=FL$14))   /   SUM(OFFSET($BO$15,0,0,$B$14,1)) + $B$18/($B$19*$B$19*($DN110&lt;&gt;$DO110) + $B$19*($DN110=$DO110))</f>
        <v>3.7037037037037035E-4</v>
      </c>
      <c r="FM110" s="10" cm="1">
        <f t="array" aca="1" ref="FM110" ca="1">(1-$B$18)*SUMPRODUCT(OFFSET($BO$15,0,0,$B$14,1), 1*(_xlfn._xlws.FILTER(OFFSET($O$15,0,$DN110,$B$8,1),OFFSET($M$15,0,0,$B$8,1))=FM$13), 1*(_xlfn._xlws.FILTER(OFFSET($O$15,0,$DO110,$B$8,1),OFFSET($M$15,0,0,$B$8,1))=FM$14))   /   SUM(OFFSET($BO$15,0,0,$B$14,1)) + $B$18/($B$19*$B$19*($DN110&lt;&gt;$DO110) + $B$19*($DN110=$DO110))</f>
        <v>3.7037037037037035E-4</v>
      </c>
      <c r="FN110" s="10" cm="1">
        <f t="array" aca="1" ref="FN110" ca="1">(1-$B$18)*SUMPRODUCT(OFFSET($BO$15,0,0,$B$14,1), 1*(_xlfn._xlws.FILTER(OFFSET($O$15,0,$DN110,$B$8,1),OFFSET($M$15,0,0,$B$8,1))=FN$13), 1*(_xlfn._xlws.FILTER(OFFSET($O$15,0,$DO110,$B$8,1),OFFSET($M$15,0,0,$B$8,1))=FN$14))   /   SUM(OFFSET($BO$15,0,0,$B$14,1)) + $B$18/($B$19*$B$19*($DN110&lt;&gt;$DO110) + $B$19*($DN110=$DO110))</f>
        <v>3.7037037037037035E-4</v>
      </c>
      <c r="FO110" s="10" cm="1">
        <f t="array" aca="1" ref="FO110" ca="1">(1-$B$18)*SUMPRODUCT(OFFSET($BO$15,0,0,$B$14,1), 1*(_xlfn._xlws.FILTER(OFFSET($O$15,0,$DN110,$B$8,1),OFFSET($M$15,0,0,$B$8,1))=FO$13), 1*(_xlfn._xlws.FILTER(OFFSET($O$15,0,$DO110,$B$8,1),OFFSET($M$15,0,0,$B$8,1))=FO$14))   /   SUM(OFFSET($BO$15,0,0,$B$14,1)) + $B$18/($B$19*$B$19*($DN110&lt;&gt;$DO110) + $B$19*($DN110=$DO110))</f>
        <v>3.7037037037037035E-4</v>
      </c>
      <c r="FP110" s="10" cm="1">
        <f t="array" aca="1" ref="FP110" ca="1">(1-$B$18)*SUMPRODUCT(OFFSET($BO$15,0,0,$B$14,1), 1*(_xlfn._xlws.FILTER(OFFSET($O$15,0,$DN110,$B$8,1),OFFSET($M$15,0,0,$B$8,1))=FP$13), 1*(_xlfn._xlws.FILTER(OFFSET($O$15,0,$DO110,$B$8,1),OFFSET($M$15,0,0,$B$8,1))=FP$14))   /   SUM(OFFSET($BO$15,0,0,$B$14,1)) + $B$18/($B$19*$B$19*($DN110&lt;&gt;$DO110) + $B$19*($DN110=$DO110))</f>
        <v>3.7037037037037035E-4</v>
      </c>
      <c r="FQ110" s="10" cm="1">
        <f t="array" aca="1" ref="FQ110" ca="1">(1-$B$18)*SUMPRODUCT(OFFSET($BO$15,0,0,$B$14,1), 1*(_xlfn._xlws.FILTER(OFFSET($O$15,0,$DN110,$B$8,1),OFFSET($M$15,0,0,$B$8,1))=FQ$13), 1*(_xlfn._xlws.FILTER(OFFSET($O$15,0,$DO110,$B$8,1),OFFSET($M$15,0,0,$B$8,1))=FQ$14))   /   SUM(OFFSET($BO$15,0,0,$B$14,1)) + $B$18/($B$19*$B$19*($DN110&lt;&gt;$DO110) + $B$19*($DN110=$DO110))</f>
        <v>3.7037037037037035E-4</v>
      </c>
      <c r="FR110" s="10" cm="1">
        <f t="array" aca="1" ref="FR110" ca="1">(1-$B$18)*SUMPRODUCT(OFFSET($BO$15,0,0,$B$14,1), 1*(_xlfn._xlws.FILTER(OFFSET($O$15,0,$DN110,$B$8,1),OFFSET($M$15,0,0,$B$8,1))=FR$13), 1*(_xlfn._xlws.FILTER(OFFSET($O$15,0,$DO110,$B$8,1),OFFSET($M$15,0,0,$B$8,1))=FR$14))   /   SUM(OFFSET($BO$15,0,0,$B$14,1)) + $B$18/($B$19*$B$19*($DN110&lt;&gt;$DO110) + $B$19*($DN110=$DO110))</f>
        <v>0.97037037037037033</v>
      </c>
      <c r="FS110" s="10" cm="1">
        <f t="array" aca="1" ref="FS110" ca="1">(1-$B$18)*SUMPRODUCT(OFFSET($BO$15,0,0,$B$14,1), 1*(_xlfn._xlws.FILTER(OFFSET($O$15,0,$DN110,$B$8,1),OFFSET($M$15,0,0,$B$8,1))=FS$13), 1*(_xlfn._xlws.FILTER(OFFSET($O$15,0,$DO110,$B$8,1),OFFSET($M$15,0,0,$B$8,1))=FS$14))   /   SUM(OFFSET($BO$15,0,0,$B$14,1)) + $B$18/($B$19*$B$19*($DN110&lt;&gt;$DO110) + $B$19*($DN110=$DO110))</f>
        <v>3.7037037037037035E-4</v>
      </c>
      <c r="FT110" s="10" cm="1">
        <f t="array" aca="1" ref="FT110" ca="1">(1-$B$18)*SUMPRODUCT(OFFSET($BO$15,0,0,$B$14,1), 1*(_xlfn._xlws.FILTER(OFFSET($O$15,0,$DN110,$B$8,1),OFFSET($M$15,0,0,$B$8,1))=FT$13), 1*(_xlfn._xlws.FILTER(OFFSET($O$15,0,$DO110,$B$8,1),OFFSET($M$15,0,0,$B$8,1))=FT$14))   /   SUM(OFFSET($BO$15,0,0,$B$14,1)) + $B$18/($B$19*$B$19*($DN110&lt;&gt;$DO110) + $B$19*($DN110=$DO110))</f>
        <v>3.7037037037037035E-4</v>
      </c>
      <c r="FU110" s="10" cm="1">
        <f t="array" aca="1" ref="FU110" ca="1">(1-$B$18)*SUMPRODUCT(OFFSET($BO$15,0,0,$B$14,1), 1*(_xlfn._xlws.FILTER(OFFSET($O$15,0,$DN110,$B$8,1),OFFSET($M$15,0,0,$B$8,1))=FU$13), 1*(_xlfn._xlws.FILTER(OFFSET($O$15,0,$DO110,$B$8,1),OFFSET($M$15,0,0,$B$8,1))=FU$14))   /   SUM(OFFSET($BO$15,0,0,$B$14,1)) + $B$18/($B$19*$B$19*($DN110&lt;&gt;$DO110) + $B$19*($DN110=$DO110))</f>
        <v>3.7037037037037035E-4</v>
      </c>
      <c r="FV110" s="10" cm="1">
        <f t="array" aca="1" ref="FV110" ca="1">(1-$B$18)*SUMPRODUCT(OFFSET($BO$15,0,0,$B$14,1), 1*(_xlfn._xlws.FILTER(OFFSET($O$15,0,$DN110,$B$8,1),OFFSET($M$15,0,0,$B$8,1))=FV$13), 1*(_xlfn._xlws.FILTER(OFFSET($O$15,0,$DO110,$B$8,1),OFFSET($M$15,0,0,$B$8,1))=FV$14))   /   SUM(OFFSET($BO$15,0,0,$B$14,1)) + $B$18/($B$19*$B$19*($DN110&lt;&gt;$DO110) + $B$19*($DN110=$DO110))</f>
        <v>3.7037037037037035E-4</v>
      </c>
      <c r="FW110" s="10" cm="1">
        <f t="array" aca="1" ref="FW110" ca="1">(1-$B$18)*SUMPRODUCT(OFFSET($BO$15,0,0,$B$14,1), 1*(_xlfn._xlws.FILTER(OFFSET($O$15,0,$DN110,$B$8,1),OFFSET($M$15,0,0,$B$8,1))=FW$13), 1*(_xlfn._xlws.FILTER(OFFSET($O$15,0,$DO110,$B$8,1),OFFSET($M$15,0,0,$B$8,1))=FW$14))   /   SUM(OFFSET($BO$15,0,0,$B$14,1)) + $B$18/($B$19*$B$19*($DN110&lt;&gt;$DO110) + $B$19*($DN110=$DO110))</f>
        <v>3.7037037037037035E-4</v>
      </c>
      <c r="FX110" s="10" cm="1">
        <f t="array" aca="1" ref="FX110" ca="1">(1-$B$18)*SUMPRODUCT(OFFSET($BO$15,0,0,$B$14,1), 1*(_xlfn._xlws.FILTER(OFFSET($O$15,0,$DN110,$B$8,1),OFFSET($M$15,0,0,$B$8,1))=FX$13), 1*(_xlfn._xlws.FILTER(OFFSET($O$15,0,$DO110,$B$8,1),OFFSET($M$15,0,0,$B$8,1))=FX$14))   /   SUM(OFFSET($BO$15,0,0,$B$14,1)) + $B$18/($B$19*$B$19*($DN110&lt;&gt;$DO110) + $B$19*($DN110=$DO110))</f>
        <v>3.7037037037037035E-4</v>
      </c>
      <c r="FY110" s="10" cm="1">
        <f t="array" aca="1" ref="FY110" ca="1">(1-$B$18)*SUMPRODUCT(OFFSET($BO$15,0,0,$B$14,1), 1*(_xlfn._xlws.FILTER(OFFSET($O$15,0,$DN110,$B$8,1),OFFSET($M$15,0,0,$B$8,1))=FY$13), 1*(_xlfn._xlws.FILTER(OFFSET($O$15,0,$DO110,$B$8,1),OFFSET($M$15,0,0,$B$8,1))=FY$14))   /   SUM(OFFSET($BO$15,0,0,$B$14,1)) + $B$18/($B$19*$B$19*($DN110&lt;&gt;$DO110) + $B$19*($DN110=$DO110))</f>
        <v>3.7037037037037035E-4</v>
      </c>
      <c r="FZ110" s="10" cm="1">
        <f t="array" aca="1" ref="FZ110" ca="1">(1-$B$18)*SUMPRODUCT(OFFSET($BO$15,0,0,$B$14,1), 1*(_xlfn._xlws.FILTER(OFFSET($O$15,0,$DN110,$B$8,1),OFFSET($M$15,0,0,$B$8,1))=FZ$13), 1*(_xlfn._xlws.FILTER(OFFSET($O$15,0,$DO110,$B$8,1),OFFSET($M$15,0,0,$B$8,1))=FZ$14))   /   SUM(OFFSET($BO$15,0,0,$B$14,1)) + $B$18/($B$19*$B$19*($DN110&lt;&gt;$DO110) + $B$19*($DN110=$DO110))</f>
        <v>3.7037037037037035E-4</v>
      </c>
      <c r="GA110" s="10" cm="1">
        <f t="array" aca="1" ref="GA110" ca="1">(1-$B$18)*SUMPRODUCT(OFFSET($BO$15,0,0,$B$14,1), 1*(_xlfn._xlws.FILTER(OFFSET($O$15,0,$DN110,$B$8,1),OFFSET($M$15,0,0,$B$8,1))=GA$13), 1*(_xlfn._xlws.FILTER(OFFSET($O$15,0,$DO110,$B$8,1),OFFSET($M$15,0,0,$B$8,1))=GA$14))   /   SUM(OFFSET($BO$15,0,0,$B$14,1)) + $B$18/($B$19*$B$19*($DN110&lt;&gt;$DO110) + $B$19*($DN110=$DO110))</f>
        <v>3.7037037037037035E-4</v>
      </c>
    </row>
    <row r="111" spans="8:183" x14ac:dyDescent="0.2">
      <c r="H111" s="2"/>
      <c r="DN111" cm="1">
        <f t="array" aca="1" ref="DN111" ca="1">INDEX(_xlfn.ANCHORARRAY($CP$15), 1 + INT((ROWS($DO$15:$DO111) - 1) / ROWS(_xlfn.ANCHORARRAY($CP$15))))</f>
        <v>5</v>
      </c>
      <c r="DO111" cm="1">
        <f t="array" aca="1" ref="DO111" ca="1">INDEX(_xlfn.ANCHORARRAY($CP$15),1+MOD(ROWS($DO$15:$DO111)-1,ROWS(_xlfn.ANCHORARRAY($CP$15))))</f>
        <v>1</v>
      </c>
      <c r="DP111" s="10" cm="1">
        <f t="array" aca="1" ref="DP111" ca="1">(1-$B$18)*SUMPRODUCT(OFFSET($BO$15,0,0,$B$14,1), 1*(_xlfn._xlws.FILTER(OFFSET($O$15,0,$DN111,$B$8,1),OFFSET($M$15,0,0,$B$8,1))=DP$13), 1*(_xlfn._xlws.FILTER(OFFSET($O$15,0,$DO111,$B$8,1),OFFSET($M$15,0,0,$B$8,1))=DP$14))   /   SUM(OFFSET($BO$15,0,0,$B$14,1)) + $B$18/($B$19*$B$19*($DN111&lt;&gt;$DO111) + $B$19*($DN111=$DO111))</f>
        <v>3.7037037037037035E-4</v>
      </c>
      <c r="DQ111" s="10" cm="1">
        <f t="array" aca="1" ref="DQ111" ca="1">(1-$B$18)*SUMPRODUCT(OFFSET($BO$15,0,0,$B$14,1), 1*(_xlfn._xlws.FILTER(OFFSET($O$15,0,$DN111,$B$8,1),OFFSET($M$15,0,0,$B$8,1))=DQ$13), 1*(_xlfn._xlws.FILTER(OFFSET($O$15,0,$DO111,$B$8,1),OFFSET($M$15,0,0,$B$8,1))=DQ$14))   /   SUM(OFFSET($BO$15,0,0,$B$14,1)) + $B$18/($B$19*$B$19*($DN111&lt;&gt;$DO111) + $B$19*($DN111=$DO111))</f>
        <v>3.7037037037037035E-4</v>
      </c>
      <c r="DR111" s="10" cm="1">
        <f t="array" aca="1" ref="DR111" ca="1">(1-$B$18)*SUMPRODUCT(OFFSET($BO$15,0,0,$B$14,1), 1*(_xlfn._xlws.FILTER(OFFSET($O$15,0,$DN111,$B$8,1),OFFSET($M$15,0,0,$B$8,1))=DR$13), 1*(_xlfn._xlws.FILTER(OFFSET($O$15,0,$DO111,$B$8,1),OFFSET($M$15,0,0,$B$8,1))=DR$14))   /   SUM(OFFSET($BO$15,0,0,$B$14,1)) + $B$18/($B$19*$B$19*($DN111&lt;&gt;$DO111) + $B$19*($DN111=$DO111))</f>
        <v>3.7037037037037035E-4</v>
      </c>
      <c r="DS111" s="10" cm="1">
        <f t="array" aca="1" ref="DS111" ca="1">(1-$B$18)*SUMPRODUCT(OFFSET($BO$15,0,0,$B$14,1), 1*(_xlfn._xlws.FILTER(OFFSET($O$15,0,$DN111,$B$8,1),OFFSET($M$15,0,0,$B$8,1))=DS$13), 1*(_xlfn._xlws.FILTER(OFFSET($O$15,0,$DO111,$B$8,1),OFFSET($M$15,0,0,$B$8,1))=DS$14))   /   SUM(OFFSET($BO$15,0,0,$B$14,1)) + $B$18/($B$19*$B$19*($DN111&lt;&gt;$DO111) + $B$19*($DN111=$DO111))</f>
        <v>3.7037037037037035E-4</v>
      </c>
      <c r="DT111" s="10" cm="1">
        <f t="array" aca="1" ref="DT111" ca="1">(1-$B$18)*SUMPRODUCT(OFFSET($BO$15,0,0,$B$14,1), 1*(_xlfn._xlws.FILTER(OFFSET($O$15,0,$DN111,$B$8,1),OFFSET($M$15,0,0,$B$8,1))=DT$13), 1*(_xlfn._xlws.FILTER(OFFSET($O$15,0,$DO111,$B$8,1),OFFSET($M$15,0,0,$B$8,1))=DT$14))   /   SUM(OFFSET($BO$15,0,0,$B$14,1)) + $B$18/($B$19*$B$19*($DN111&lt;&gt;$DO111) + $B$19*($DN111=$DO111))</f>
        <v>3.7037037037037035E-4</v>
      </c>
      <c r="DU111" s="10" cm="1">
        <f t="array" aca="1" ref="DU111" ca="1">(1-$B$18)*SUMPRODUCT(OFFSET($BO$15,0,0,$B$14,1), 1*(_xlfn._xlws.FILTER(OFFSET($O$15,0,$DN111,$B$8,1),OFFSET($M$15,0,0,$B$8,1))=DU$13), 1*(_xlfn._xlws.FILTER(OFFSET($O$15,0,$DO111,$B$8,1),OFFSET($M$15,0,0,$B$8,1))=DU$14))   /   SUM(OFFSET($BO$15,0,0,$B$14,1)) + $B$18/($B$19*$B$19*($DN111&lt;&gt;$DO111) + $B$19*($DN111=$DO111))</f>
        <v>3.7037037037037035E-4</v>
      </c>
      <c r="DV111" s="10" cm="1">
        <f t="array" aca="1" ref="DV111" ca="1">(1-$B$18)*SUMPRODUCT(OFFSET($BO$15,0,0,$B$14,1), 1*(_xlfn._xlws.FILTER(OFFSET($O$15,0,$DN111,$B$8,1),OFFSET($M$15,0,0,$B$8,1))=DV$13), 1*(_xlfn._xlws.FILTER(OFFSET($O$15,0,$DO111,$B$8,1),OFFSET($M$15,0,0,$B$8,1))=DV$14))   /   SUM(OFFSET($BO$15,0,0,$B$14,1)) + $B$18/($B$19*$B$19*($DN111&lt;&gt;$DO111) + $B$19*($DN111=$DO111))</f>
        <v>3.7037037037037035E-4</v>
      </c>
      <c r="DW111" s="10" cm="1">
        <f t="array" aca="1" ref="DW111" ca="1">(1-$B$18)*SUMPRODUCT(OFFSET($BO$15,0,0,$B$14,1), 1*(_xlfn._xlws.FILTER(OFFSET($O$15,0,$DN111,$B$8,1),OFFSET($M$15,0,0,$B$8,1))=DW$13), 1*(_xlfn._xlws.FILTER(OFFSET($O$15,0,$DO111,$B$8,1),OFFSET($M$15,0,0,$B$8,1))=DW$14))   /   SUM(OFFSET($BO$15,0,0,$B$14,1)) + $B$18/($B$19*$B$19*($DN111&lt;&gt;$DO111) + $B$19*($DN111=$DO111))</f>
        <v>3.7037037037037035E-4</v>
      </c>
      <c r="DX111" s="10" cm="1">
        <f t="array" aca="1" ref="DX111" ca="1">(1-$B$18)*SUMPRODUCT(OFFSET($BO$15,0,0,$B$14,1), 1*(_xlfn._xlws.FILTER(OFFSET($O$15,0,$DN111,$B$8,1),OFFSET($M$15,0,0,$B$8,1))=DX$13), 1*(_xlfn._xlws.FILTER(OFFSET($O$15,0,$DO111,$B$8,1),OFFSET($M$15,0,0,$B$8,1))=DX$14))   /   SUM(OFFSET($BO$15,0,0,$B$14,1)) + $B$18/($B$19*$B$19*($DN111&lt;&gt;$DO111) + $B$19*($DN111=$DO111))</f>
        <v>3.7037037037037035E-4</v>
      </c>
      <c r="DY111" s="10" cm="1">
        <f t="array" aca="1" ref="DY111" ca="1">(1-$B$18)*SUMPRODUCT(OFFSET($BO$15,0,0,$B$14,1), 1*(_xlfn._xlws.FILTER(OFFSET($O$15,0,$DN111,$B$8,1),OFFSET($M$15,0,0,$B$8,1))=DY$13), 1*(_xlfn._xlws.FILTER(OFFSET($O$15,0,$DO111,$B$8,1),OFFSET($M$15,0,0,$B$8,1))=DY$14))   /   SUM(OFFSET($BO$15,0,0,$B$14,1)) + $B$18/($B$19*$B$19*($DN111&lt;&gt;$DO111) + $B$19*($DN111=$DO111))</f>
        <v>3.7037037037037035E-4</v>
      </c>
      <c r="DZ111" s="10" cm="1">
        <f t="array" aca="1" ref="DZ111" ca="1">(1-$B$18)*SUMPRODUCT(OFFSET($BO$15,0,0,$B$14,1), 1*(_xlfn._xlws.FILTER(OFFSET($O$15,0,$DN111,$B$8,1),OFFSET($M$15,0,0,$B$8,1))=DZ$13), 1*(_xlfn._xlws.FILTER(OFFSET($O$15,0,$DO111,$B$8,1),OFFSET($M$15,0,0,$B$8,1))=DZ$14))   /   SUM(OFFSET($BO$15,0,0,$B$14,1)) + $B$18/($B$19*$B$19*($DN111&lt;&gt;$DO111) + $B$19*($DN111=$DO111))</f>
        <v>3.7037037037037035E-4</v>
      </c>
      <c r="EA111" s="10" cm="1">
        <f t="array" aca="1" ref="EA111" ca="1">(1-$B$18)*SUMPRODUCT(OFFSET($BO$15,0,0,$B$14,1), 1*(_xlfn._xlws.FILTER(OFFSET($O$15,0,$DN111,$B$8,1),OFFSET($M$15,0,0,$B$8,1))=EA$13), 1*(_xlfn._xlws.FILTER(OFFSET($O$15,0,$DO111,$B$8,1),OFFSET($M$15,0,0,$B$8,1))=EA$14))   /   SUM(OFFSET($BO$15,0,0,$B$14,1)) + $B$18/($B$19*$B$19*($DN111&lt;&gt;$DO111) + $B$19*($DN111=$DO111))</f>
        <v>3.7037037037037035E-4</v>
      </c>
      <c r="EB111" s="10" cm="1">
        <f t="array" aca="1" ref="EB111" ca="1">(1-$B$18)*SUMPRODUCT(OFFSET($BO$15,0,0,$B$14,1), 1*(_xlfn._xlws.FILTER(OFFSET($O$15,0,$DN111,$B$8,1),OFFSET($M$15,0,0,$B$8,1))=EB$13), 1*(_xlfn._xlws.FILTER(OFFSET($O$15,0,$DO111,$B$8,1),OFFSET($M$15,0,0,$B$8,1))=EB$14))   /   SUM(OFFSET($BO$15,0,0,$B$14,1)) + $B$18/($B$19*$B$19*($DN111&lt;&gt;$DO111) + $B$19*($DN111=$DO111))</f>
        <v>3.7037037037037035E-4</v>
      </c>
      <c r="EC111" s="10" cm="1">
        <f t="array" aca="1" ref="EC111" ca="1">(1-$B$18)*SUMPRODUCT(OFFSET($BO$15,0,0,$B$14,1), 1*(_xlfn._xlws.FILTER(OFFSET($O$15,0,$DN111,$B$8,1),OFFSET($M$15,0,0,$B$8,1))=EC$13), 1*(_xlfn._xlws.FILTER(OFFSET($O$15,0,$DO111,$B$8,1),OFFSET($M$15,0,0,$B$8,1))=EC$14))   /   SUM(OFFSET($BO$15,0,0,$B$14,1)) + $B$18/($B$19*$B$19*($DN111&lt;&gt;$DO111) + $B$19*($DN111=$DO111))</f>
        <v>3.7037037037037035E-4</v>
      </c>
      <c r="ED111" s="10" cm="1">
        <f t="array" aca="1" ref="ED111" ca="1">(1-$B$18)*SUMPRODUCT(OFFSET($BO$15,0,0,$B$14,1), 1*(_xlfn._xlws.FILTER(OFFSET($O$15,0,$DN111,$B$8,1),OFFSET($M$15,0,0,$B$8,1))=ED$13), 1*(_xlfn._xlws.FILTER(OFFSET($O$15,0,$DO111,$B$8,1),OFFSET($M$15,0,0,$B$8,1))=ED$14))   /   SUM(OFFSET($BO$15,0,0,$B$14,1)) + $B$18/($B$19*$B$19*($DN111&lt;&gt;$DO111) + $B$19*($DN111=$DO111))</f>
        <v>3.7037037037037035E-4</v>
      </c>
      <c r="EE111" s="10" cm="1">
        <f t="array" aca="1" ref="EE111" ca="1">(1-$B$18)*SUMPRODUCT(OFFSET($BO$15,0,0,$B$14,1), 1*(_xlfn._xlws.FILTER(OFFSET($O$15,0,$DN111,$B$8,1),OFFSET($M$15,0,0,$B$8,1))=EE$13), 1*(_xlfn._xlws.FILTER(OFFSET($O$15,0,$DO111,$B$8,1),OFFSET($M$15,0,0,$B$8,1))=EE$14))   /   SUM(OFFSET($BO$15,0,0,$B$14,1)) + $B$18/($B$19*$B$19*($DN111&lt;&gt;$DO111) + $B$19*($DN111=$DO111))</f>
        <v>3.7037037037037035E-4</v>
      </c>
      <c r="EF111" s="10" cm="1">
        <f t="array" aca="1" ref="EF111" ca="1">(1-$B$18)*SUMPRODUCT(OFFSET($BO$15,0,0,$B$14,1), 1*(_xlfn._xlws.FILTER(OFFSET($O$15,0,$DN111,$B$8,1),OFFSET($M$15,0,0,$B$8,1))=EF$13), 1*(_xlfn._xlws.FILTER(OFFSET($O$15,0,$DO111,$B$8,1),OFFSET($M$15,0,0,$B$8,1))=EF$14))   /   SUM(OFFSET($BO$15,0,0,$B$14,1)) + $B$18/($B$19*$B$19*($DN111&lt;&gt;$DO111) + $B$19*($DN111=$DO111))</f>
        <v>3.7037037037037035E-4</v>
      </c>
      <c r="EG111" s="10" cm="1">
        <f t="array" aca="1" ref="EG111" ca="1">(1-$B$18)*SUMPRODUCT(OFFSET($BO$15,0,0,$B$14,1), 1*(_xlfn._xlws.FILTER(OFFSET($O$15,0,$DN111,$B$8,1),OFFSET($M$15,0,0,$B$8,1))=EG$13), 1*(_xlfn._xlws.FILTER(OFFSET($O$15,0,$DO111,$B$8,1),OFFSET($M$15,0,0,$B$8,1))=EG$14))   /   SUM(OFFSET($BO$15,0,0,$B$14,1)) + $B$18/($B$19*$B$19*($DN111&lt;&gt;$DO111) + $B$19*($DN111=$DO111))</f>
        <v>3.7037037037037035E-4</v>
      </c>
      <c r="EH111" s="10" cm="1">
        <f t="array" aca="1" ref="EH111" ca="1">(1-$B$18)*SUMPRODUCT(OFFSET($BO$15,0,0,$B$14,1), 1*(_xlfn._xlws.FILTER(OFFSET($O$15,0,$DN111,$B$8,1),OFFSET($M$15,0,0,$B$8,1))=EH$13), 1*(_xlfn._xlws.FILTER(OFFSET($O$15,0,$DO111,$B$8,1),OFFSET($M$15,0,0,$B$8,1))=EH$14))   /   SUM(OFFSET($BO$15,0,0,$B$14,1)) + $B$18/($B$19*$B$19*($DN111&lt;&gt;$DO111) + $B$19*($DN111=$DO111))</f>
        <v>3.7037037037037035E-4</v>
      </c>
      <c r="EI111" s="10" cm="1">
        <f t="array" aca="1" ref="EI111" ca="1">(1-$B$18)*SUMPRODUCT(OFFSET($BO$15,0,0,$B$14,1), 1*(_xlfn._xlws.FILTER(OFFSET($O$15,0,$DN111,$B$8,1),OFFSET($M$15,0,0,$B$8,1))=EI$13), 1*(_xlfn._xlws.FILTER(OFFSET($O$15,0,$DO111,$B$8,1),OFFSET($M$15,0,0,$B$8,1))=EI$14))   /   SUM(OFFSET($BO$15,0,0,$B$14,1)) + $B$18/($B$19*$B$19*($DN111&lt;&gt;$DO111) + $B$19*($DN111=$DO111))</f>
        <v>3.7037037037037035E-4</v>
      </c>
      <c r="EJ111" s="10" cm="1">
        <f t="array" aca="1" ref="EJ111" ca="1">(1-$B$18)*SUMPRODUCT(OFFSET($BO$15,0,0,$B$14,1), 1*(_xlfn._xlws.FILTER(OFFSET($O$15,0,$DN111,$B$8,1),OFFSET($M$15,0,0,$B$8,1))=EJ$13), 1*(_xlfn._xlws.FILTER(OFFSET($O$15,0,$DO111,$B$8,1),OFFSET($M$15,0,0,$B$8,1))=EJ$14))   /   SUM(OFFSET($BO$15,0,0,$B$14,1)) + $B$18/($B$19*$B$19*($DN111&lt;&gt;$DO111) + $B$19*($DN111=$DO111))</f>
        <v>3.7037037037037035E-4</v>
      </c>
      <c r="EK111" s="10" cm="1">
        <f t="array" aca="1" ref="EK111" ca="1">(1-$B$18)*SUMPRODUCT(OFFSET($BO$15,0,0,$B$14,1), 1*(_xlfn._xlws.FILTER(OFFSET($O$15,0,$DN111,$B$8,1),OFFSET($M$15,0,0,$B$8,1))=EK$13), 1*(_xlfn._xlws.FILTER(OFFSET($O$15,0,$DO111,$B$8,1),OFFSET($M$15,0,0,$B$8,1))=EK$14))   /   SUM(OFFSET($BO$15,0,0,$B$14,1)) + $B$18/($B$19*$B$19*($DN111&lt;&gt;$DO111) + $B$19*($DN111=$DO111))</f>
        <v>3.7037037037037035E-4</v>
      </c>
      <c r="EL111" s="10" cm="1">
        <f t="array" aca="1" ref="EL111" ca="1">(1-$B$18)*SUMPRODUCT(OFFSET($BO$15,0,0,$B$14,1), 1*(_xlfn._xlws.FILTER(OFFSET($O$15,0,$DN111,$B$8,1),OFFSET($M$15,0,0,$B$8,1))=EL$13), 1*(_xlfn._xlws.FILTER(OFFSET($O$15,0,$DO111,$B$8,1),OFFSET($M$15,0,0,$B$8,1))=EL$14))   /   SUM(OFFSET($BO$15,0,0,$B$14,1)) + $B$18/($B$19*$B$19*($DN111&lt;&gt;$DO111) + $B$19*($DN111=$DO111))</f>
        <v>3.7037037037037035E-4</v>
      </c>
      <c r="EM111" s="10" cm="1">
        <f t="array" aca="1" ref="EM111" ca="1">(1-$B$18)*SUMPRODUCT(OFFSET($BO$15,0,0,$B$14,1), 1*(_xlfn._xlws.FILTER(OFFSET($O$15,0,$DN111,$B$8,1),OFFSET($M$15,0,0,$B$8,1))=EM$13), 1*(_xlfn._xlws.FILTER(OFFSET($O$15,0,$DO111,$B$8,1),OFFSET($M$15,0,0,$B$8,1))=EM$14))   /   SUM(OFFSET($BO$15,0,0,$B$14,1)) + $B$18/($B$19*$B$19*($DN111&lt;&gt;$DO111) + $B$19*($DN111=$DO111))</f>
        <v>3.7037037037037035E-4</v>
      </c>
      <c r="EN111" s="10" cm="1">
        <f t="array" aca="1" ref="EN111" ca="1">(1-$B$18)*SUMPRODUCT(OFFSET($BO$15,0,0,$B$14,1), 1*(_xlfn._xlws.FILTER(OFFSET($O$15,0,$DN111,$B$8,1),OFFSET($M$15,0,0,$B$8,1))=EN$13), 1*(_xlfn._xlws.FILTER(OFFSET($O$15,0,$DO111,$B$8,1),OFFSET($M$15,0,0,$B$8,1))=EN$14))   /   SUM(OFFSET($BO$15,0,0,$B$14,1)) + $B$18/($B$19*$B$19*($DN111&lt;&gt;$DO111) + $B$19*($DN111=$DO111))</f>
        <v>3.7037037037037035E-4</v>
      </c>
      <c r="EO111" s="10" cm="1">
        <f t="array" aca="1" ref="EO111" ca="1">(1-$B$18)*SUMPRODUCT(OFFSET($BO$15,0,0,$B$14,1), 1*(_xlfn._xlws.FILTER(OFFSET($O$15,0,$DN111,$B$8,1),OFFSET($M$15,0,0,$B$8,1))=EO$13), 1*(_xlfn._xlws.FILTER(OFFSET($O$15,0,$DO111,$B$8,1),OFFSET($M$15,0,0,$B$8,1))=EO$14))   /   SUM(OFFSET($BO$15,0,0,$B$14,1)) + $B$18/($B$19*$B$19*($DN111&lt;&gt;$DO111) + $B$19*($DN111=$DO111))</f>
        <v>3.7037037037037035E-4</v>
      </c>
      <c r="EP111" s="10" cm="1">
        <f t="array" aca="1" ref="EP111" ca="1">(1-$B$18)*SUMPRODUCT(OFFSET($BO$15,0,0,$B$14,1), 1*(_xlfn._xlws.FILTER(OFFSET($O$15,0,$DN111,$B$8,1),OFFSET($M$15,0,0,$B$8,1))=EP$13), 1*(_xlfn._xlws.FILTER(OFFSET($O$15,0,$DO111,$B$8,1),OFFSET($M$15,0,0,$B$8,1))=EP$14))   /   SUM(OFFSET($BO$15,0,0,$B$14,1)) + $B$18/($B$19*$B$19*($DN111&lt;&gt;$DO111) + $B$19*($DN111=$DO111))</f>
        <v>3.7037037037037035E-4</v>
      </c>
      <c r="EQ111" s="10" cm="1">
        <f t="array" aca="1" ref="EQ111" ca="1">(1-$B$18)*SUMPRODUCT(OFFSET($BO$15,0,0,$B$14,1), 1*(_xlfn._xlws.FILTER(OFFSET($O$15,0,$DN111,$B$8,1),OFFSET($M$15,0,0,$B$8,1))=EQ$13), 1*(_xlfn._xlws.FILTER(OFFSET($O$15,0,$DO111,$B$8,1),OFFSET($M$15,0,0,$B$8,1))=EQ$14))   /   SUM(OFFSET($BO$15,0,0,$B$14,1)) + $B$18/($B$19*$B$19*($DN111&lt;&gt;$DO111) + $B$19*($DN111=$DO111))</f>
        <v>3.7037037037037035E-4</v>
      </c>
      <c r="ER111" s="10" cm="1">
        <f t="array" aca="1" ref="ER111" ca="1">(1-$B$18)*SUMPRODUCT(OFFSET($BO$15,0,0,$B$14,1), 1*(_xlfn._xlws.FILTER(OFFSET($O$15,0,$DN111,$B$8,1),OFFSET($M$15,0,0,$B$8,1))=ER$13), 1*(_xlfn._xlws.FILTER(OFFSET($O$15,0,$DO111,$B$8,1),OFFSET($M$15,0,0,$B$8,1))=ER$14))   /   SUM(OFFSET($BO$15,0,0,$B$14,1)) + $B$18/($B$19*$B$19*($DN111&lt;&gt;$DO111) + $B$19*($DN111=$DO111))</f>
        <v>3.7037037037037035E-4</v>
      </c>
      <c r="ES111" s="10" cm="1">
        <f t="array" aca="1" ref="ES111" ca="1">(1-$B$18)*SUMPRODUCT(OFFSET($BO$15,0,0,$B$14,1), 1*(_xlfn._xlws.FILTER(OFFSET($O$15,0,$DN111,$B$8,1),OFFSET($M$15,0,0,$B$8,1))=ES$13), 1*(_xlfn._xlws.FILTER(OFFSET($O$15,0,$DO111,$B$8,1),OFFSET($M$15,0,0,$B$8,1))=ES$14))   /   SUM(OFFSET($BO$15,0,0,$B$14,1)) + $B$18/($B$19*$B$19*($DN111&lt;&gt;$DO111) + $B$19*($DN111=$DO111))</f>
        <v>3.7037037037037035E-4</v>
      </c>
      <c r="ET111" s="10" cm="1">
        <f t="array" aca="1" ref="ET111" ca="1">(1-$B$18)*SUMPRODUCT(OFFSET($BO$15,0,0,$B$14,1), 1*(_xlfn._xlws.FILTER(OFFSET($O$15,0,$DN111,$B$8,1),OFFSET($M$15,0,0,$B$8,1))=ET$13), 1*(_xlfn._xlws.FILTER(OFFSET($O$15,0,$DO111,$B$8,1),OFFSET($M$15,0,0,$B$8,1))=ET$14))   /   SUM(OFFSET($BO$15,0,0,$B$14,1)) + $B$18/($B$19*$B$19*($DN111&lt;&gt;$DO111) + $B$19*($DN111=$DO111))</f>
        <v>3.7037037037037035E-4</v>
      </c>
      <c r="EU111" s="10" cm="1">
        <f t="array" aca="1" ref="EU111" ca="1">(1-$B$18)*SUMPRODUCT(OFFSET($BO$15,0,0,$B$14,1), 1*(_xlfn._xlws.FILTER(OFFSET($O$15,0,$DN111,$B$8,1),OFFSET($M$15,0,0,$B$8,1))=EU$13), 1*(_xlfn._xlws.FILTER(OFFSET($O$15,0,$DO111,$B$8,1),OFFSET($M$15,0,0,$B$8,1))=EU$14))   /   SUM(OFFSET($BO$15,0,0,$B$14,1)) + $B$18/($B$19*$B$19*($DN111&lt;&gt;$DO111) + $B$19*($DN111=$DO111))</f>
        <v>3.7037037037037035E-4</v>
      </c>
      <c r="EV111" s="10" cm="1">
        <f t="array" aca="1" ref="EV111" ca="1">(1-$B$18)*SUMPRODUCT(OFFSET($BO$15,0,0,$B$14,1), 1*(_xlfn._xlws.FILTER(OFFSET($O$15,0,$DN111,$B$8,1),OFFSET($M$15,0,0,$B$8,1))=EV$13), 1*(_xlfn._xlws.FILTER(OFFSET($O$15,0,$DO111,$B$8,1),OFFSET($M$15,0,0,$B$8,1))=EV$14))   /   SUM(OFFSET($BO$15,0,0,$B$14,1)) + $B$18/($B$19*$B$19*($DN111&lt;&gt;$DO111) + $B$19*($DN111=$DO111))</f>
        <v>3.7037037037037035E-4</v>
      </c>
      <c r="EW111" s="10" cm="1">
        <f t="array" aca="1" ref="EW111" ca="1">(1-$B$18)*SUMPRODUCT(OFFSET($BO$15,0,0,$B$14,1), 1*(_xlfn._xlws.FILTER(OFFSET($O$15,0,$DN111,$B$8,1),OFFSET($M$15,0,0,$B$8,1))=EW$13), 1*(_xlfn._xlws.FILTER(OFFSET($O$15,0,$DO111,$B$8,1),OFFSET($M$15,0,0,$B$8,1))=EW$14))   /   SUM(OFFSET($BO$15,0,0,$B$14,1)) + $B$18/($B$19*$B$19*($DN111&lt;&gt;$DO111) + $B$19*($DN111=$DO111))</f>
        <v>3.7037037037037035E-4</v>
      </c>
      <c r="EX111" s="10" cm="1">
        <f t="array" aca="1" ref="EX111" ca="1">(1-$B$18)*SUMPRODUCT(OFFSET($BO$15,0,0,$B$14,1), 1*(_xlfn._xlws.FILTER(OFFSET($O$15,0,$DN111,$B$8,1),OFFSET($M$15,0,0,$B$8,1))=EX$13), 1*(_xlfn._xlws.FILTER(OFFSET($O$15,0,$DO111,$B$8,1),OFFSET($M$15,0,0,$B$8,1))=EX$14))   /   SUM(OFFSET($BO$15,0,0,$B$14,1)) + $B$18/($B$19*$B$19*($DN111&lt;&gt;$DO111) + $B$19*($DN111=$DO111))</f>
        <v>3.7037037037037035E-4</v>
      </c>
      <c r="EY111" s="10" cm="1">
        <f t="array" aca="1" ref="EY111" ca="1">(1-$B$18)*SUMPRODUCT(OFFSET($BO$15,0,0,$B$14,1), 1*(_xlfn._xlws.FILTER(OFFSET($O$15,0,$DN111,$B$8,1),OFFSET($M$15,0,0,$B$8,1))=EY$13), 1*(_xlfn._xlws.FILTER(OFFSET($O$15,0,$DO111,$B$8,1),OFFSET($M$15,0,0,$B$8,1))=EY$14))   /   SUM(OFFSET($BO$15,0,0,$B$14,1)) + $B$18/($B$19*$B$19*($DN111&lt;&gt;$DO111) + $B$19*($DN111=$DO111))</f>
        <v>3.7037037037037035E-4</v>
      </c>
      <c r="EZ111" s="10" cm="1">
        <f t="array" aca="1" ref="EZ111" ca="1">(1-$B$18)*SUMPRODUCT(OFFSET($BO$15,0,0,$B$14,1), 1*(_xlfn._xlws.FILTER(OFFSET($O$15,0,$DN111,$B$8,1),OFFSET($M$15,0,0,$B$8,1))=EZ$13), 1*(_xlfn._xlws.FILTER(OFFSET($O$15,0,$DO111,$B$8,1),OFFSET($M$15,0,0,$B$8,1))=EZ$14))   /   SUM(OFFSET($BO$15,0,0,$B$14,1)) + $B$18/($B$19*$B$19*($DN111&lt;&gt;$DO111) + $B$19*($DN111=$DO111))</f>
        <v>3.7037037037037035E-4</v>
      </c>
      <c r="FA111" s="10" cm="1">
        <f t="array" aca="1" ref="FA111" ca="1">(1-$B$18)*SUMPRODUCT(OFFSET($BO$15,0,0,$B$14,1), 1*(_xlfn._xlws.FILTER(OFFSET($O$15,0,$DN111,$B$8,1),OFFSET($M$15,0,0,$B$8,1))=FA$13), 1*(_xlfn._xlws.FILTER(OFFSET($O$15,0,$DO111,$B$8,1),OFFSET($M$15,0,0,$B$8,1))=FA$14))   /   SUM(OFFSET($BO$15,0,0,$B$14,1)) + $B$18/($B$19*$B$19*($DN111&lt;&gt;$DO111) + $B$19*($DN111=$DO111))</f>
        <v>3.7037037037037035E-4</v>
      </c>
      <c r="FB111" s="10" cm="1">
        <f t="array" aca="1" ref="FB111" ca="1">(1-$B$18)*SUMPRODUCT(OFFSET($BO$15,0,0,$B$14,1), 1*(_xlfn._xlws.FILTER(OFFSET($O$15,0,$DN111,$B$8,1),OFFSET($M$15,0,0,$B$8,1))=FB$13), 1*(_xlfn._xlws.FILTER(OFFSET($O$15,0,$DO111,$B$8,1),OFFSET($M$15,0,0,$B$8,1))=FB$14))   /   SUM(OFFSET($BO$15,0,0,$B$14,1)) + $B$18/($B$19*$B$19*($DN111&lt;&gt;$DO111) + $B$19*($DN111=$DO111))</f>
        <v>3.7037037037037035E-4</v>
      </c>
      <c r="FC111" s="10" cm="1">
        <f t="array" aca="1" ref="FC111" ca="1">(1-$B$18)*SUMPRODUCT(OFFSET($BO$15,0,0,$B$14,1), 1*(_xlfn._xlws.FILTER(OFFSET($O$15,0,$DN111,$B$8,1),OFFSET($M$15,0,0,$B$8,1))=FC$13), 1*(_xlfn._xlws.FILTER(OFFSET($O$15,0,$DO111,$B$8,1),OFFSET($M$15,0,0,$B$8,1))=FC$14))   /   SUM(OFFSET($BO$15,0,0,$B$14,1)) + $B$18/($B$19*$B$19*($DN111&lt;&gt;$DO111) + $B$19*($DN111=$DO111))</f>
        <v>3.7037037037037035E-4</v>
      </c>
      <c r="FD111" s="10" cm="1">
        <f t="array" aca="1" ref="FD111" ca="1">(1-$B$18)*SUMPRODUCT(OFFSET($BO$15,0,0,$B$14,1), 1*(_xlfn._xlws.FILTER(OFFSET($O$15,0,$DN111,$B$8,1),OFFSET($M$15,0,0,$B$8,1))=FD$13), 1*(_xlfn._xlws.FILTER(OFFSET($O$15,0,$DO111,$B$8,1),OFFSET($M$15,0,0,$B$8,1))=FD$14))   /   SUM(OFFSET($BO$15,0,0,$B$14,1)) + $B$18/($B$19*$B$19*($DN111&lt;&gt;$DO111) + $B$19*($DN111=$DO111))</f>
        <v>3.7037037037037035E-4</v>
      </c>
      <c r="FE111" s="10" cm="1">
        <f t="array" aca="1" ref="FE111" ca="1">(1-$B$18)*SUMPRODUCT(OFFSET($BO$15,0,0,$B$14,1), 1*(_xlfn._xlws.FILTER(OFFSET($O$15,0,$DN111,$B$8,1),OFFSET($M$15,0,0,$B$8,1))=FE$13), 1*(_xlfn._xlws.FILTER(OFFSET($O$15,0,$DO111,$B$8,1),OFFSET($M$15,0,0,$B$8,1))=FE$14))   /   SUM(OFFSET($BO$15,0,0,$B$14,1)) + $B$18/($B$19*$B$19*($DN111&lt;&gt;$DO111) + $B$19*($DN111=$DO111))</f>
        <v>3.7037037037037035E-4</v>
      </c>
      <c r="FF111" s="10" cm="1">
        <f t="array" aca="1" ref="FF111" ca="1">(1-$B$18)*SUMPRODUCT(OFFSET($BO$15,0,0,$B$14,1), 1*(_xlfn._xlws.FILTER(OFFSET($O$15,0,$DN111,$B$8,1),OFFSET($M$15,0,0,$B$8,1))=FF$13), 1*(_xlfn._xlws.FILTER(OFFSET($O$15,0,$DO111,$B$8,1),OFFSET($M$15,0,0,$B$8,1))=FF$14))   /   SUM(OFFSET($BO$15,0,0,$B$14,1)) + $B$18/($B$19*$B$19*($DN111&lt;&gt;$DO111) + $B$19*($DN111=$DO111))</f>
        <v>3.7037037037037035E-4</v>
      </c>
      <c r="FG111" s="10" cm="1">
        <f t="array" aca="1" ref="FG111" ca="1">(1-$B$18)*SUMPRODUCT(OFFSET($BO$15,0,0,$B$14,1), 1*(_xlfn._xlws.FILTER(OFFSET($O$15,0,$DN111,$B$8,1),OFFSET($M$15,0,0,$B$8,1))=FG$13), 1*(_xlfn._xlws.FILTER(OFFSET($O$15,0,$DO111,$B$8,1),OFFSET($M$15,0,0,$B$8,1))=FG$14))   /   SUM(OFFSET($BO$15,0,0,$B$14,1)) + $B$18/($B$19*$B$19*($DN111&lt;&gt;$DO111) + $B$19*($DN111=$DO111))</f>
        <v>3.7037037037037035E-4</v>
      </c>
      <c r="FH111" s="10" cm="1">
        <f t="array" aca="1" ref="FH111" ca="1">(1-$B$18)*SUMPRODUCT(OFFSET($BO$15,0,0,$B$14,1), 1*(_xlfn._xlws.FILTER(OFFSET($O$15,0,$DN111,$B$8,1),OFFSET($M$15,0,0,$B$8,1))=FH$13), 1*(_xlfn._xlws.FILTER(OFFSET($O$15,0,$DO111,$B$8,1),OFFSET($M$15,0,0,$B$8,1))=FH$14))   /   SUM(OFFSET($BO$15,0,0,$B$14,1)) + $B$18/($B$19*$B$19*($DN111&lt;&gt;$DO111) + $B$19*($DN111=$DO111))</f>
        <v>3.7037037037037035E-4</v>
      </c>
      <c r="FI111" s="10" cm="1">
        <f t="array" aca="1" ref="FI111" ca="1">(1-$B$18)*SUMPRODUCT(OFFSET($BO$15,0,0,$B$14,1), 1*(_xlfn._xlws.FILTER(OFFSET($O$15,0,$DN111,$B$8,1),OFFSET($M$15,0,0,$B$8,1))=FI$13), 1*(_xlfn._xlws.FILTER(OFFSET($O$15,0,$DO111,$B$8,1),OFFSET($M$15,0,0,$B$8,1))=FI$14))   /   SUM(OFFSET($BO$15,0,0,$B$14,1)) + $B$18/($B$19*$B$19*($DN111&lt;&gt;$DO111) + $B$19*($DN111=$DO111))</f>
        <v>3.7037037037037035E-4</v>
      </c>
      <c r="FJ111" s="10" cm="1">
        <f t="array" aca="1" ref="FJ111" ca="1">(1-$B$18)*SUMPRODUCT(OFFSET($BO$15,0,0,$B$14,1), 1*(_xlfn._xlws.FILTER(OFFSET($O$15,0,$DN111,$B$8,1),OFFSET($M$15,0,0,$B$8,1))=FJ$13), 1*(_xlfn._xlws.FILTER(OFFSET($O$15,0,$DO111,$B$8,1),OFFSET($M$15,0,0,$B$8,1))=FJ$14))   /   SUM(OFFSET($BO$15,0,0,$B$14,1)) + $B$18/($B$19*$B$19*($DN111&lt;&gt;$DO111) + $B$19*($DN111=$DO111))</f>
        <v>3.7037037037037035E-4</v>
      </c>
      <c r="FK111" s="10" cm="1">
        <f t="array" aca="1" ref="FK111" ca="1">(1-$B$18)*SUMPRODUCT(OFFSET($BO$15,0,0,$B$14,1), 1*(_xlfn._xlws.FILTER(OFFSET($O$15,0,$DN111,$B$8,1),OFFSET($M$15,0,0,$B$8,1))=FK$13), 1*(_xlfn._xlws.FILTER(OFFSET($O$15,0,$DO111,$B$8,1),OFFSET($M$15,0,0,$B$8,1))=FK$14))   /   SUM(OFFSET($BO$15,0,0,$B$14,1)) + $B$18/($B$19*$B$19*($DN111&lt;&gt;$DO111) + $B$19*($DN111=$DO111))</f>
        <v>3.7037037037037035E-4</v>
      </c>
      <c r="FL111" s="10" cm="1">
        <f t="array" aca="1" ref="FL111" ca="1">(1-$B$18)*SUMPRODUCT(OFFSET($BO$15,0,0,$B$14,1), 1*(_xlfn._xlws.FILTER(OFFSET($O$15,0,$DN111,$B$8,1),OFFSET($M$15,0,0,$B$8,1))=FL$13), 1*(_xlfn._xlws.FILTER(OFFSET($O$15,0,$DO111,$B$8,1),OFFSET($M$15,0,0,$B$8,1))=FL$14))   /   SUM(OFFSET($BO$15,0,0,$B$14,1)) + $B$18/($B$19*$B$19*($DN111&lt;&gt;$DO111) + $B$19*($DN111=$DO111))</f>
        <v>3.7037037037037035E-4</v>
      </c>
      <c r="FM111" s="10" cm="1">
        <f t="array" aca="1" ref="FM111" ca="1">(1-$B$18)*SUMPRODUCT(OFFSET($BO$15,0,0,$B$14,1), 1*(_xlfn._xlws.FILTER(OFFSET($O$15,0,$DN111,$B$8,1),OFFSET($M$15,0,0,$B$8,1))=FM$13), 1*(_xlfn._xlws.FILTER(OFFSET($O$15,0,$DO111,$B$8,1),OFFSET($M$15,0,0,$B$8,1))=FM$14))   /   SUM(OFFSET($BO$15,0,0,$B$14,1)) + $B$18/($B$19*$B$19*($DN111&lt;&gt;$DO111) + $B$19*($DN111=$DO111))</f>
        <v>3.7037037037037035E-4</v>
      </c>
      <c r="FN111" s="10" cm="1">
        <f t="array" aca="1" ref="FN111" ca="1">(1-$B$18)*SUMPRODUCT(OFFSET($BO$15,0,0,$B$14,1), 1*(_xlfn._xlws.FILTER(OFFSET($O$15,0,$DN111,$B$8,1),OFFSET($M$15,0,0,$B$8,1))=FN$13), 1*(_xlfn._xlws.FILTER(OFFSET($O$15,0,$DO111,$B$8,1),OFFSET($M$15,0,0,$B$8,1))=FN$14))   /   SUM(OFFSET($BO$15,0,0,$B$14,1)) + $B$18/($B$19*$B$19*($DN111&lt;&gt;$DO111) + $B$19*($DN111=$DO111))</f>
        <v>3.7037037037037035E-4</v>
      </c>
      <c r="FO111" s="10" cm="1">
        <f t="array" aca="1" ref="FO111" ca="1">(1-$B$18)*SUMPRODUCT(OFFSET($BO$15,0,0,$B$14,1), 1*(_xlfn._xlws.FILTER(OFFSET($O$15,0,$DN111,$B$8,1),OFFSET($M$15,0,0,$B$8,1))=FO$13), 1*(_xlfn._xlws.FILTER(OFFSET($O$15,0,$DO111,$B$8,1),OFFSET($M$15,0,0,$B$8,1))=FO$14))   /   SUM(OFFSET($BO$15,0,0,$B$14,1)) + $B$18/($B$19*$B$19*($DN111&lt;&gt;$DO111) + $B$19*($DN111=$DO111))</f>
        <v>3.7037037037037035E-4</v>
      </c>
      <c r="FP111" s="10" cm="1">
        <f t="array" aca="1" ref="FP111" ca="1">(1-$B$18)*SUMPRODUCT(OFFSET($BO$15,0,0,$B$14,1), 1*(_xlfn._xlws.FILTER(OFFSET($O$15,0,$DN111,$B$8,1),OFFSET($M$15,0,0,$B$8,1))=FP$13), 1*(_xlfn._xlws.FILTER(OFFSET($O$15,0,$DO111,$B$8,1),OFFSET($M$15,0,0,$B$8,1))=FP$14))   /   SUM(OFFSET($BO$15,0,0,$B$14,1)) + $B$18/($B$19*$B$19*($DN111&lt;&gt;$DO111) + $B$19*($DN111=$DO111))</f>
        <v>3.7037037037037035E-4</v>
      </c>
      <c r="FQ111" s="10" cm="1">
        <f t="array" aca="1" ref="FQ111" ca="1">(1-$B$18)*SUMPRODUCT(OFFSET($BO$15,0,0,$B$14,1), 1*(_xlfn._xlws.FILTER(OFFSET($O$15,0,$DN111,$B$8,1),OFFSET($M$15,0,0,$B$8,1))=FQ$13), 1*(_xlfn._xlws.FILTER(OFFSET($O$15,0,$DO111,$B$8,1),OFFSET($M$15,0,0,$B$8,1))=FQ$14))   /   SUM(OFFSET($BO$15,0,0,$B$14,1)) + $B$18/($B$19*$B$19*($DN111&lt;&gt;$DO111) + $B$19*($DN111=$DO111))</f>
        <v>3.7037037037037035E-4</v>
      </c>
      <c r="FR111" s="10" cm="1">
        <f t="array" aca="1" ref="FR111" ca="1">(1-$B$18)*SUMPRODUCT(OFFSET($BO$15,0,0,$B$14,1), 1*(_xlfn._xlws.FILTER(OFFSET($O$15,0,$DN111,$B$8,1),OFFSET($M$15,0,0,$B$8,1))=FR$13), 1*(_xlfn._xlws.FILTER(OFFSET($O$15,0,$DO111,$B$8,1),OFFSET($M$15,0,0,$B$8,1))=FR$14))   /   SUM(OFFSET($BO$15,0,0,$B$14,1)) + $B$18/($B$19*$B$19*($DN111&lt;&gt;$DO111) + $B$19*($DN111=$DO111))</f>
        <v>0.97037037037037033</v>
      </c>
      <c r="FS111" s="10" cm="1">
        <f t="array" aca="1" ref="FS111" ca="1">(1-$B$18)*SUMPRODUCT(OFFSET($BO$15,0,0,$B$14,1), 1*(_xlfn._xlws.FILTER(OFFSET($O$15,0,$DN111,$B$8,1),OFFSET($M$15,0,0,$B$8,1))=FS$13), 1*(_xlfn._xlws.FILTER(OFFSET($O$15,0,$DO111,$B$8,1),OFFSET($M$15,0,0,$B$8,1))=FS$14))   /   SUM(OFFSET($BO$15,0,0,$B$14,1)) + $B$18/($B$19*$B$19*($DN111&lt;&gt;$DO111) + $B$19*($DN111=$DO111))</f>
        <v>3.7037037037037035E-4</v>
      </c>
      <c r="FT111" s="10" cm="1">
        <f t="array" aca="1" ref="FT111" ca="1">(1-$B$18)*SUMPRODUCT(OFFSET($BO$15,0,0,$B$14,1), 1*(_xlfn._xlws.FILTER(OFFSET($O$15,0,$DN111,$B$8,1),OFFSET($M$15,0,0,$B$8,1))=FT$13), 1*(_xlfn._xlws.FILTER(OFFSET($O$15,0,$DO111,$B$8,1),OFFSET($M$15,0,0,$B$8,1))=FT$14))   /   SUM(OFFSET($BO$15,0,0,$B$14,1)) + $B$18/($B$19*$B$19*($DN111&lt;&gt;$DO111) + $B$19*($DN111=$DO111))</f>
        <v>3.7037037037037035E-4</v>
      </c>
      <c r="FU111" s="10" cm="1">
        <f t="array" aca="1" ref="FU111" ca="1">(1-$B$18)*SUMPRODUCT(OFFSET($BO$15,0,0,$B$14,1), 1*(_xlfn._xlws.FILTER(OFFSET($O$15,0,$DN111,$B$8,1),OFFSET($M$15,0,0,$B$8,1))=FU$13), 1*(_xlfn._xlws.FILTER(OFFSET($O$15,0,$DO111,$B$8,1),OFFSET($M$15,0,0,$B$8,1))=FU$14))   /   SUM(OFFSET($BO$15,0,0,$B$14,1)) + $B$18/($B$19*$B$19*($DN111&lt;&gt;$DO111) + $B$19*($DN111=$DO111))</f>
        <v>3.7037037037037035E-4</v>
      </c>
      <c r="FV111" s="10" cm="1">
        <f t="array" aca="1" ref="FV111" ca="1">(1-$B$18)*SUMPRODUCT(OFFSET($BO$15,0,0,$B$14,1), 1*(_xlfn._xlws.FILTER(OFFSET($O$15,0,$DN111,$B$8,1),OFFSET($M$15,0,0,$B$8,1))=FV$13), 1*(_xlfn._xlws.FILTER(OFFSET($O$15,0,$DO111,$B$8,1),OFFSET($M$15,0,0,$B$8,1))=FV$14))   /   SUM(OFFSET($BO$15,0,0,$B$14,1)) + $B$18/($B$19*$B$19*($DN111&lt;&gt;$DO111) + $B$19*($DN111=$DO111))</f>
        <v>3.7037037037037035E-4</v>
      </c>
      <c r="FW111" s="10" cm="1">
        <f t="array" aca="1" ref="FW111" ca="1">(1-$B$18)*SUMPRODUCT(OFFSET($BO$15,0,0,$B$14,1), 1*(_xlfn._xlws.FILTER(OFFSET($O$15,0,$DN111,$B$8,1),OFFSET($M$15,0,0,$B$8,1))=FW$13), 1*(_xlfn._xlws.FILTER(OFFSET($O$15,0,$DO111,$B$8,1),OFFSET($M$15,0,0,$B$8,1))=FW$14))   /   SUM(OFFSET($BO$15,0,0,$B$14,1)) + $B$18/($B$19*$B$19*($DN111&lt;&gt;$DO111) + $B$19*($DN111=$DO111))</f>
        <v>3.7037037037037035E-4</v>
      </c>
      <c r="FX111" s="10" cm="1">
        <f t="array" aca="1" ref="FX111" ca="1">(1-$B$18)*SUMPRODUCT(OFFSET($BO$15,0,0,$B$14,1), 1*(_xlfn._xlws.FILTER(OFFSET($O$15,0,$DN111,$B$8,1),OFFSET($M$15,0,0,$B$8,1))=FX$13), 1*(_xlfn._xlws.FILTER(OFFSET($O$15,0,$DO111,$B$8,1),OFFSET($M$15,0,0,$B$8,1))=FX$14))   /   SUM(OFFSET($BO$15,0,0,$B$14,1)) + $B$18/($B$19*$B$19*($DN111&lt;&gt;$DO111) + $B$19*($DN111=$DO111))</f>
        <v>3.7037037037037035E-4</v>
      </c>
      <c r="FY111" s="10" cm="1">
        <f t="array" aca="1" ref="FY111" ca="1">(1-$B$18)*SUMPRODUCT(OFFSET($BO$15,0,0,$B$14,1), 1*(_xlfn._xlws.FILTER(OFFSET($O$15,0,$DN111,$B$8,1),OFFSET($M$15,0,0,$B$8,1))=FY$13), 1*(_xlfn._xlws.FILTER(OFFSET($O$15,0,$DO111,$B$8,1),OFFSET($M$15,0,0,$B$8,1))=FY$14))   /   SUM(OFFSET($BO$15,0,0,$B$14,1)) + $B$18/($B$19*$B$19*($DN111&lt;&gt;$DO111) + $B$19*($DN111=$DO111))</f>
        <v>3.7037037037037035E-4</v>
      </c>
      <c r="FZ111" s="10" cm="1">
        <f t="array" aca="1" ref="FZ111" ca="1">(1-$B$18)*SUMPRODUCT(OFFSET($BO$15,0,0,$B$14,1), 1*(_xlfn._xlws.FILTER(OFFSET($O$15,0,$DN111,$B$8,1),OFFSET($M$15,0,0,$B$8,1))=FZ$13), 1*(_xlfn._xlws.FILTER(OFFSET($O$15,0,$DO111,$B$8,1),OFFSET($M$15,0,0,$B$8,1))=FZ$14))   /   SUM(OFFSET($BO$15,0,0,$B$14,1)) + $B$18/($B$19*$B$19*($DN111&lt;&gt;$DO111) + $B$19*($DN111=$DO111))</f>
        <v>3.7037037037037035E-4</v>
      </c>
      <c r="GA111" s="10" cm="1">
        <f t="array" aca="1" ref="GA111" ca="1">(1-$B$18)*SUMPRODUCT(OFFSET($BO$15,0,0,$B$14,1), 1*(_xlfn._xlws.FILTER(OFFSET($O$15,0,$DN111,$B$8,1),OFFSET($M$15,0,0,$B$8,1))=GA$13), 1*(_xlfn._xlws.FILTER(OFFSET($O$15,0,$DO111,$B$8,1),OFFSET($M$15,0,0,$B$8,1))=GA$14))   /   SUM(OFFSET($BO$15,0,0,$B$14,1)) + $B$18/($B$19*$B$19*($DN111&lt;&gt;$DO111) + $B$19*($DN111=$DO111))</f>
        <v>3.7037037037037035E-4</v>
      </c>
    </row>
    <row r="112" spans="8:183" x14ac:dyDescent="0.2">
      <c r="H112" s="2"/>
      <c r="DN112" cm="1">
        <f t="array" aca="1" ref="DN112" ca="1">INDEX(_xlfn.ANCHORARRAY($CP$15), 1 + INT((ROWS($DO$15:$DO112) - 1) / ROWS(_xlfn.ANCHORARRAY($CP$15))))</f>
        <v>5</v>
      </c>
      <c r="DO112" cm="1">
        <f t="array" aca="1" ref="DO112" ca="1">INDEX(_xlfn.ANCHORARRAY($CP$15),1+MOD(ROWS($DO$15:$DO112)-1,ROWS(_xlfn.ANCHORARRAY($CP$15))))</f>
        <v>2</v>
      </c>
      <c r="DP112" s="10" cm="1">
        <f t="array" aca="1" ref="DP112" ca="1">(1-$B$18)*SUMPRODUCT(OFFSET($BO$15,0,0,$B$14,1), 1*(_xlfn._xlws.FILTER(OFFSET($O$15,0,$DN112,$B$8,1),OFFSET($M$15,0,0,$B$8,1))=DP$13), 1*(_xlfn._xlws.FILTER(OFFSET($O$15,0,$DO112,$B$8,1),OFFSET($M$15,0,0,$B$8,1))=DP$14))   /   SUM(OFFSET($BO$15,0,0,$B$14,1)) + $B$18/($B$19*$B$19*($DN112&lt;&gt;$DO112) + $B$19*($DN112=$DO112))</f>
        <v>3.7037037037037035E-4</v>
      </c>
      <c r="DQ112" s="10" cm="1">
        <f t="array" aca="1" ref="DQ112" ca="1">(1-$B$18)*SUMPRODUCT(OFFSET($BO$15,0,0,$B$14,1), 1*(_xlfn._xlws.FILTER(OFFSET($O$15,0,$DN112,$B$8,1),OFFSET($M$15,0,0,$B$8,1))=DQ$13), 1*(_xlfn._xlws.FILTER(OFFSET($O$15,0,$DO112,$B$8,1),OFFSET($M$15,0,0,$B$8,1))=DQ$14))   /   SUM(OFFSET($BO$15,0,0,$B$14,1)) + $B$18/($B$19*$B$19*($DN112&lt;&gt;$DO112) + $B$19*($DN112=$DO112))</f>
        <v>3.7037037037037035E-4</v>
      </c>
      <c r="DR112" s="10" cm="1">
        <f t="array" aca="1" ref="DR112" ca="1">(1-$B$18)*SUMPRODUCT(OFFSET($BO$15,0,0,$B$14,1), 1*(_xlfn._xlws.FILTER(OFFSET($O$15,0,$DN112,$B$8,1),OFFSET($M$15,0,0,$B$8,1))=DR$13), 1*(_xlfn._xlws.FILTER(OFFSET($O$15,0,$DO112,$B$8,1),OFFSET($M$15,0,0,$B$8,1))=DR$14))   /   SUM(OFFSET($BO$15,0,0,$B$14,1)) + $B$18/($B$19*$B$19*($DN112&lt;&gt;$DO112) + $B$19*($DN112=$DO112))</f>
        <v>3.7037037037037035E-4</v>
      </c>
      <c r="DS112" s="10" cm="1">
        <f t="array" aca="1" ref="DS112" ca="1">(1-$B$18)*SUMPRODUCT(OFFSET($BO$15,0,0,$B$14,1), 1*(_xlfn._xlws.FILTER(OFFSET($O$15,0,$DN112,$B$8,1),OFFSET($M$15,0,0,$B$8,1))=DS$13), 1*(_xlfn._xlws.FILTER(OFFSET($O$15,0,$DO112,$B$8,1),OFFSET($M$15,0,0,$B$8,1))=DS$14))   /   SUM(OFFSET($BO$15,0,0,$B$14,1)) + $B$18/($B$19*$B$19*($DN112&lt;&gt;$DO112) + $B$19*($DN112=$DO112))</f>
        <v>3.7037037037037035E-4</v>
      </c>
      <c r="DT112" s="10" cm="1">
        <f t="array" aca="1" ref="DT112" ca="1">(1-$B$18)*SUMPRODUCT(OFFSET($BO$15,0,0,$B$14,1), 1*(_xlfn._xlws.FILTER(OFFSET($O$15,0,$DN112,$B$8,1),OFFSET($M$15,0,0,$B$8,1))=DT$13), 1*(_xlfn._xlws.FILTER(OFFSET($O$15,0,$DO112,$B$8,1),OFFSET($M$15,0,0,$B$8,1))=DT$14))   /   SUM(OFFSET($BO$15,0,0,$B$14,1)) + $B$18/($B$19*$B$19*($DN112&lt;&gt;$DO112) + $B$19*($DN112=$DO112))</f>
        <v>3.7037037037037035E-4</v>
      </c>
      <c r="DU112" s="10" cm="1">
        <f t="array" aca="1" ref="DU112" ca="1">(1-$B$18)*SUMPRODUCT(OFFSET($BO$15,0,0,$B$14,1), 1*(_xlfn._xlws.FILTER(OFFSET($O$15,0,$DN112,$B$8,1),OFFSET($M$15,0,0,$B$8,1))=DU$13), 1*(_xlfn._xlws.FILTER(OFFSET($O$15,0,$DO112,$B$8,1),OFFSET($M$15,0,0,$B$8,1))=DU$14))   /   SUM(OFFSET($BO$15,0,0,$B$14,1)) + $B$18/($B$19*$B$19*($DN112&lt;&gt;$DO112) + $B$19*($DN112=$DO112))</f>
        <v>3.7037037037037035E-4</v>
      </c>
      <c r="DV112" s="10" cm="1">
        <f t="array" aca="1" ref="DV112" ca="1">(1-$B$18)*SUMPRODUCT(OFFSET($BO$15,0,0,$B$14,1), 1*(_xlfn._xlws.FILTER(OFFSET($O$15,0,$DN112,$B$8,1),OFFSET($M$15,0,0,$B$8,1))=DV$13), 1*(_xlfn._xlws.FILTER(OFFSET($O$15,0,$DO112,$B$8,1),OFFSET($M$15,0,0,$B$8,1))=DV$14))   /   SUM(OFFSET($BO$15,0,0,$B$14,1)) + $B$18/($B$19*$B$19*($DN112&lt;&gt;$DO112) + $B$19*($DN112=$DO112))</f>
        <v>3.7037037037037035E-4</v>
      </c>
      <c r="DW112" s="10" cm="1">
        <f t="array" aca="1" ref="DW112" ca="1">(1-$B$18)*SUMPRODUCT(OFFSET($BO$15,0,0,$B$14,1), 1*(_xlfn._xlws.FILTER(OFFSET($O$15,0,$DN112,$B$8,1),OFFSET($M$15,0,0,$B$8,1))=DW$13), 1*(_xlfn._xlws.FILTER(OFFSET($O$15,0,$DO112,$B$8,1),OFFSET($M$15,0,0,$B$8,1))=DW$14))   /   SUM(OFFSET($BO$15,0,0,$B$14,1)) + $B$18/($B$19*$B$19*($DN112&lt;&gt;$DO112) + $B$19*($DN112=$DO112))</f>
        <v>3.7037037037037035E-4</v>
      </c>
      <c r="DX112" s="10" cm="1">
        <f t="array" aca="1" ref="DX112" ca="1">(1-$B$18)*SUMPRODUCT(OFFSET($BO$15,0,0,$B$14,1), 1*(_xlfn._xlws.FILTER(OFFSET($O$15,0,$DN112,$B$8,1),OFFSET($M$15,0,0,$B$8,1))=DX$13), 1*(_xlfn._xlws.FILTER(OFFSET($O$15,0,$DO112,$B$8,1),OFFSET($M$15,0,0,$B$8,1))=DX$14))   /   SUM(OFFSET($BO$15,0,0,$B$14,1)) + $B$18/($B$19*$B$19*($DN112&lt;&gt;$DO112) + $B$19*($DN112=$DO112))</f>
        <v>3.7037037037037035E-4</v>
      </c>
      <c r="DY112" s="10" cm="1">
        <f t="array" aca="1" ref="DY112" ca="1">(1-$B$18)*SUMPRODUCT(OFFSET($BO$15,0,0,$B$14,1), 1*(_xlfn._xlws.FILTER(OFFSET($O$15,0,$DN112,$B$8,1),OFFSET($M$15,0,0,$B$8,1))=DY$13), 1*(_xlfn._xlws.FILTER(OFFSET($O$15,0,$DO112,$B$8,1),OFFSET($M$15,0,0,$B$8,1))=DY$14))   /   SUM(OFFSET($BO$15,0,0,$B$14,1)) + $B$18/($B$19*$B$19*($DN112&lt;&gt;$DO112) + $B$19*($DN112=$DO112))</f>
        <v>3.7037037037037035E-4</v>
      </c>
      <c r="DZ112" s="10" cm="1">
        <f t="array" aca="1" ref="DZ112" ca="1">(1-$B$18)*SUMPRODUCT(OFFSET($BO$15,0,0,$B$14,1), 1*(_xlfn._xlws.FILTER(OFFSET($O$15,0,$DN112,$B$8,1),OFFSET($M$15,0,0,$B$8,1))=DZ$13), 1*(_xlfn._xlws.FILTER(OFFSET($O$15,0,$DO112,$B$8,1),OFFSET($M$15,0,0,$B$8,1))=DZ$14))   /   SUM(OFFSET($BO$15,0,0,$B$14,1)) + $B$18/($B$19*$B$19*($DN112&lt;&gt;$DO112) + $B$19*($DN112=$DO112))</f>
        <v>3.7037037037037035E-4</v>
      </c>
      <c r="EA112" s="10" cm="1">
        <f t="array" aca="1" ref="EA112" ca="1">(1-$B$18)*SUMPRODUCT(OFFSET($BO$15,0,0,$B$14,1), 1*(_xlfn._xlws.FILTER(OFFSET($O$15,0,$DN112,$B$8,1),OFFSET($M$15,0,0,$B$8,1))=EA$13), 1*(_xlfn._xlws.FILTER(OFFSET($O$15,0,$DO112,$B$8,1),OFFSET($M$15,0,0,$B$8,1))=EA$14))   /   SUM(OFFSET($BO$15,0,0,$B$14,1)) + $B$18/($B$19*$B$19*($DN112&lt;&gt;$DO112) + $B$19*($DN112=$DO112))</f>
        <v>3.7037037037037035E-4</v>
      </c>
      <c r="EB112" s="10" cm="1">
        <f t="array" aca="1" ref="EB112" ca="1">(1-$B$18)*SUMPRODUCT(OFFSET($BO$15,0,0,$B$14,1), 1*(_xlfn._xlws.FILTER(OFFSET($O$15,0,$DN112,$B$8,1),OFFSET($M$15,0,0,$B$8,1))=EB$13), 1*(_xlfn._xlws.FILTER(OFFSET($O$15,0,$DO112,$B$8,1),OFFSET($M$15,0,0,$B$8,1))=EB$14))   /   SUM(OFFSET($BO$15,0,0,$B$14,1)) + $B$18/($B$19*$B$19*($DN112&lt;&gt;$DO112) + $B$19*($DN112=$DO112))</f>
        <v>3.7037037037037035E-4</v>
      </c>
      <c r="EC112" s="10" cm="1">
        <f t="array" aca="1" ref="EC112" ca="1">(1-$B$18)*SUMPRODUCT(OFFSET($BO$15,0,0,$B$14,1), 1*(_xlfn._xlws.FILTER(OFFSET($O$15,0,$DN112,$B$8,1),OFFSET($M$15,0,0,$B$8,1))=EC$13), 1*(_xlfn._xlws.FILTER(OFFSET($O$15,0,$DO112,$B$8,1),OFFSET($M$15,0,0,$B$8,1))=EC$14))   /   SUM(OFFSET($BO$15,0,0,$B$14,1)) + $B$18/($B$19*$B$19*($DN112&lt;&gt;$DO112) + $B$19*($DN112=$DO112))</f>
        <v>3.7037037037037035E-4</v>
      </c>
      <c r="ED112" s="10" cm="1">
        <f t="array" aca="1" ref="ED112" ca="1">(1-$B$18)*SUMPRODUCT(OFFSET($BO$15,0,0,$B$14,1), 1*(_xlfn._xlws.FILTER(OFFSET($O$15,0,$DN112,$B$8,1),OFFSET($M$15,0,0,$B$8,1))=ED$13), 1*(_xlfn._xlws.FILTER(OFFSET($O$15,0,$DO112,$B$8,1),OFFSET($M$15,0,0,$B$8,1))=ED$14))   /   SUM(OFFSET($BO$15,0,0,$B$14,1)) + $B$18/($B$19*$B$19*($DN112&lt;&gt;$DO112) + $B$19*($DN112=$DO112))</f>
        <v>3.7037037037037035E-4</v>
      </c>
      <c r="EE112" s="10" cm="1">
        <f t="array" aca="1" ref="EE112" ca="1">(1-$B$18)*SUMPRODUCT(OFFSET($BO$15,0,0,$B$14,1), 1*(_xlfn._xlws.FILTER(OFFSET($O$15,0,$DN112,$B$8,1),OFFSET($M$15,0,0,$B$8,1))=EE$13), 1*(_xlfn._xlws.FILTER(OFFSET($O$15,0,$DO112,$B$8,1),OFFSET($M$15,0,0,$B$8,1))=EE$14))   /   SUM(OFFSET($BO$15,0,0,$B$14,1)) + $B$18/($B$19*$B$19*($DN112&lt;&gt;$DO112) + $B$19*($DN112=$DO112))</f>
        <v>3.7037037037037035E-4</v>
      </c>
      <c r="EF112" s="10" cm="1">
        <f t="array" aca="1" ref="EF112" ca="1">(1-$B$18)*SUMPRODUCT(OFFSET($BO$15,0,0,$B$14,1), 1*(_xlfn._xlws.FILTER(OFFSET($O$15,0,$DN112,$B$8,1),OFFSET($M$15,0,0,$B$8,1))=EF$13), 1*(_xlfn._xlws.FILTER(OFFSET($O$15,0,$DO112,$B$8,1),OFFSET($M$15,0,0,$B$8,1))=EF$14))   /   SUM(OFFSET($BO$15,0,0,$B$14,1)) + $B$18/($B$19*$B$19*($DN112&lt;&gt;$DO112) + $B$19*($DN112=$DO112))</f>
        <v>3.7037037037037035E-4</v>
      </c>
      <c r="EG112" s="10" cm="1">
        <f t="array" aca="1" ref="EG112" ca="1">(1-$B$18)*SUMPRODUCT(OFFSET($BO$15,0,0,$B$14,1), 1*(_xlfn._xlws.FILTER(OFFSET($O$15,0,$DN112,$B$8,1),OFFSET($M$15,0,0,$B$8,1))=EG$13), 1*(_xlfn._xlws.FILTER(OFFSET($O$15,0,$DO112,$B$8,1),OFFSET($M$15,0,0,$B$8,1))=EG$14))   /   SUM(OFFSET($BO$15,0,0,$B$14,1)) + $B$18/($B$19*$B$19*($DN112&lt;&gt;$DO112) + $B$19*($DN112=$DO112))</f>
        <v>3.7037037037037035E-4</v>
      </c>
      <c r="EH112" s="10" cm="1">
        <f t="array" aca="1" ref="EH112" ca="1">(1-$B$18)*SUMPRODUCT(OFFSET($BO$15,0,0,$B$14,1), 1*(_xlfn._xlws.FILTER(OFFSET($O$15,0,$DN112,$B$8,1),OFFSET($M$15,0,0,$B$8,1))=EH$13), 1*(_xlfn._xlws.FILTER(OFFSET($O$15,0,$DO112,$B$8,1),OFFSET($M$15,0,0,$B$8,1))=EH$14))   /   SUM(OFFSET($BO$15,0,0,$B$14,1)) + $B$18/($B$19*$B$19*($DN112&lt;&gt;$DO112) + $B$19*($DN112=$DO112))</f>
        <v>3.7037037037037035E-4</v>
      </c>
      <c r="EI112" s="10" cm="1">
        <f t="array" aca="1" ref="EI112" ca="1">(1-$B$18)*SUMPRODUCT(OFFSET($BO$15,0,0,$B$14,1), 1*(_xlfn._xlws.FILTER(OFFSET($O$15,0,$DN112,$B$8,1),OFFSET($M$15,0,0,$B$8,1))=EI$13), 1*(_xlfn._xlws.FILTER(OFFSET($O$15,0,$DO112,$B$8,1),OFFSET($M$15,0,0,$B$8,1))=EI$14))   /   SUM(OFFSET($BO$15,0,0,$B$14,1)) + $B$18/($B$19*$B$19*($DN112&lt;&gt;$DO112) + $B$19*($DN112=$DO112))</f>
        <v>3.7037037037037035E-4</v>
      </c>
      <c r="EJ112" s="10" cm="1">
        <f t="array" aca="1" ref="EJ112" ca="1">(1-$B$18)*SUMPRODUCT(OFFSET($BO$15,0,0,$B$14,1), 1*(_xlfn._xlws.FILTER(OFFSET($O$15,0,$DN112,$B$8,1),OFFSET($M$15,0,0,$B$8,1))=EJ$13), 1*(_xlfn._xlws.FILTER(OFFSET($O$15,0,$DO112,$B$8,1),OFFSET($M$15,0,0,$B$8,1))=EJ$14))   /   SUM(OFFSET($BO$15,0,0,$B$14,1)) + $B$18/($B$19*$B$19*($DN112&lt;&gt;$DO112) + $B$19*($DN112=$DO112))</f>
        <v>3.7037037037037035E-4</v>
      </c>
      <c r="EK112" s="10" cm="1">
        <f t="array" aca="1" ref="EK112" ca="1">(1-$B$18)*SUMPRODUCT(OFFSET($BO$15,0,0,$B$14,1), 1*(_xlfn._xlws.FILTER(OFFSET($O$15,0,$DN112,$B$8,1),OFFSET($M$15,0,0,$B$8,1))=EK$13), 1*(_xlfn._xlws.FILTER(OFFSET($O$15,0,$DO112,$B$8,1),OFFSET($M$15,0,0,$B$8,1))=EK$14))   /   SUM(OFFSET($BO$15,0,0,$B$14,1)) + $B$18/($B$19*$B$19*($DN112&lt;&gt;$DO112) + $B$19*($DN112=$DO112))</f>
        <v>3.7037037037037035E-4</v>
      </c>
      <c r="EL112" s="10" cm="1">
        <f t="array" aca="1" ref="EL112" ca="1">(1-$B$18)*SUMPRODUCT(OFFSET($BO$15,0,0,$B$14,1), 1*(_xlfn._xlws.FILTER(OFFSET($O$15,0,$DN112,$B$8,1),OFFSET($M$15,0,0,$B$8,1))=EL$13), 1*(_xlfn._xlws.FILTER(OFFSET($O$15,0,$DO112,$B$8,1),OFFSET($M$15,0,0,$B$8,1))=EL$14))   /   SUM(OFFSET($BO$15,0,0,$B$14,1)) + $B$18/($B$19*$B$19*($DN112&lt;&gt;$DO112) + $B$19*($DN112=$DO112))</f>
        <v>3.7037037037037035E-4</v>
      </c>
      <c r="EM112" s="10" cm="1">
        <f t="array" aca="1" ref="EM112" ca="1">(1-$B$18)*SUMPRODUCT(OFFSET($BO$15,0,0,$B$14,1), 1*(_xlfn._xlws.FILTER(OFFSET($O$15,0,$DN112,$B$8,1),OFFSET($M$15,0,0,$B$8,1))=EM$13), 1*(_xlfn._xlws.FILTER(OFFSET($O$15,0,$DO112,$B$8,1),OFFSET($M$15,0,0,$B$8,1))=EM$14))   /   SUM(OFFSET($BO$15,0,0,$B$14,1)) + $B$18/($B$19*$B$19*($DN112&lt;&gt;$DO112) + $B$19*($DN112=$DO112))</f>
        <v>3.7037037037037035E-4</v>
      </c>
      <c r="EN112" s="10" cm="1">
        <f t="array" aca="1" ref="EN112" ca="1">(1-$B$18)*SUMPRODUCT(OFFSET($BO$15,0,0,$B$14,1), 1*(_xlfn._xlws.FILTER(OFFSET($O$15,0,$DN112,$B$8,1),OFFSET($M$15,0,0,$B$8,1))=EN$13), 1*(_xlfn._xlws.FILTER(OFFSET($O$15,0,$DO112,$B$8,1),OFFSET($M$15,0,0,$B$8,1))=EN$14))   /   SUM(OFFSET($BO$15,0,0,$B$14,1)) + $B$18/($B$19*$B$19*($DN112&lt;&gt;$DO112) + $B$19*($DN112=$DO112))</f>
        <v>3.7037037037037035E-4</v>
      </c>
      <c r="EO112" s="10" cm="1">
        <f t="array" aca="1" ref="EO112" ca="1">(1-$B$18)*SUMPRODUCT(OFFSET($BO$15,0,0,$B$14,1), 1*(_xlfn._xlws.FILTER(OFFSET($O$15,0,$DN112,$B$8,1),OFFSET($M$15,0,0,$B$8,1))=EO$13), 1*(_xlfn._xlws.FILTER(OFFSET($O$15,0,$DO112,$B$8,1),OFFSET($M$15,0,0,$B$8,1))=EO$14))   /   SUM(OFFSET($BO$15,0,0,$B$14,1)) + $B$18/($B$19*$B$19*($DN112&lt;&gt;$DO112) + $B$19*($DN112=$DO112))</f>
        <v>3.7037037037037035E-4</v>
      </c>
      <c r="EP112" s="10" cm="1">
        <f t="array" aca="1" ref="EP112" ca="1">(1-$B$18)*SUMPRODUCT(OFFSET($BO$15,0,0,$B$14,1), 1*(_xlfn._xlws.FILTER(OFFSET($O$15,0,$DN112,$B$8,1),OFFSET($M$15,0,0,$B$8,1))=EP$13), 1*(_xlfn._xlws.FILTER(OFFSET($O$15,0,$DO112,$B$8,1),OFFSET($M$15,0,0,$B$8,1))=EP$14))   /   SUM(OFFSET($BO$15,0,0,$B$14,1)) + $B$18/($B$19*$B$19*($DN112&lt;&gt;$DO112) + $B$19*($DN112=$DO112))</f>
        <v>3.7037037037037035E-4</v>
      </c>
      <c r="EQ112" s="10" cm="1">
        <f t="array" aca="1" ref="EQ112" ca="1">(1-$B$18)*SUMPRODUCT(OFFSET($BO$15,0,0,$B$14,1), 1*(_xlfn._xlws.FILTER(OFFSET($O$15,0,$DN112,$B$8,1),OFFSET($M$15,0,0,$B$8,1))=EQ$13), 1*(_xlfn._xlws.FILTER(OFFSET($O$15,0,$DO112,$B$8,1),OFFSET($M$15,0,0,$B$8,1))=EQ$14))   /   SUM(OFFSET($BO$15,0,0,$B$14,1)) + $B$18/($B$19*$B$19*($DN112&lt;&gt;$DO112) + $B$19*($DN112=$DO112))</f>
        <v>3.7037037037037035E-4</v>
      </c>
      <c r="ER112" s="10" cm="1">
        <f t="array" aca="1" ref="ER112" ca="1">(1-$B$18)*SUMPRODUCT(OFFSET($BO$15,0,0,$B$14,1), 1*(_xlfn._xlws.FILTER(OFFSET($O$15,0,$DN112,$B$8,1),OFFSET($M$15,0,0,$B$8,1))=ER$13), 1*(_xlfn._xlws.FILTER(OFFSET($O$15,0,$DO112,$B$8,1),OFFSET($M$15,0,0,$B$8,1))=ER$14))   /   SUM(OFFSET($BO$15,0,0,$B$14,1)) + $B$18/($B$19*$B$19*($DN112&lt;&gt;$DO112) + $B$19*($DN112=$DO112))</f>
        <v>3.7037037037037035E-4</v>
      </c>
      <c r="ES112" s="10" cm="1">
        <f t="array" aca="1" ref="ES112" ca="1">(1-$B$18)*SUMPRODUCT(OFFSET($BO$15,0,0,$B$14,1), 1*(_xlfn._xlws.FILTER(OFFSET($O$15,0,$DN112,$B$8,1),OFFSET($M$15,0,0,$B$8,1))=ES$13), 1*(_xlfn._xlws.FILTER(OFFSET($O$15,0,$DO112,$B$8,1),OFFSET($M$15,0,0,$B$8,1))=ES$14))   /   SUM(OFFSET($BO$15,0,0,$B$14,1)) + $B$18/($B$19*$B$19*($DN112&lt;&gt;$DO112) + $B$19*($DN112=$DO112))</f>
        <v>3.7037037037037035E-4</v>
      </c>
      <c r="ET112" s="10" cm="1">
        <f t="array" aca="1" ref="ET112" ca="1">(1-$B$18)*SUMPRODUCT(OFFSET($BO$15,0,0,$B$14,1), 1*(_xlfn._xlws.FILTER(OFFSET($O$15,0,$DN112,$B$8,1),OFFSET($M$15,0,0,$B$8,1))=ET$13), 1*(_xlfn._xlws.FILTER(OFFSET($O$15,0,$DO112,$B$8,1),OFFSET($M$15,0,0,$B$8,1))=ET$14))   /   SUM(OFFSET($BO$15,0,0,$B$14,1)) + $B$18/($B$19*$B$19*($DN112&lt;&gt;$DO112) + $B$19*($DN112=$DO112))</f>
        <v>3.7037037037037035E-4</v>
      </c>
      <c r="EU112" s="10" cm="1">
        <f t="array" aca="1" ref="EU112" ca="1">(1-$B$18)*SUMPRODUCT(OFFSET($BO$15,0,0,$B$14,1), 1*(_xlfn._xlws.FILTER(OFFSET($O$15,0,$DN112,$B$8,1),OFFSET($M$15,0,0,$B$8,1))=EU$13), 1*(_xlfn._xlws.FILTER(OFFSET($O$15,0,$DO112,$B$8,1),OFFSET($M$15,0,0,$B$8,1))=EU$14))   /   SUM(OFFSET($BO$15,0,0,$B$14,1)) + $B$18/($B$19*$B$19*($DN112&lt;&gt;$DO112) + $B$19*($DN112=$DO112))</f>
        <v>3.7037037037037035E-4</v>
      </c>
      <c r="EV112" s="10" cm="1">
        <f t="array" aca="1" ref="EV112" ca="1">(1-$B$18)*SUMPRODUCT(OFFSET($BO$15,0,0,$B$14,1), 1*(_xlfn._xlws.FILTER(OFFSET($O$15,0,$DN112,$B$8,1),OFFSET($M$15,0,0,$B$8,1))=EV$13), 1*(_xlfn._xlws.FILTER(OFFSET($O$15,0,$DO112,$B$8,1),OFFSET($M$15,0,0,$B$8,1))=EV$14))   /   SUM(OFFSET($BO$15,0,0,$B$14,1)) + $B$18/($B$19*$B$19*($DN112&lt;&gt;$DO112) + $B$19*($DN112=$DO112))</f>
        <v>3.7037037037037035E-4</v>
      </c>
      <c r="EW112" s="10" cm="1">
        <f t="array" aca="1" ref="EW112" ca="1">(1-$B$18)*SUMPRODUCT(OFFSET($BO$15,0,0,$B$14,1), 1*(_xlfn._xlws.FILTER(OFFSET($O$15,0,$DN112,$B$8,1),OFFSET($M$15,0,0,$B$8,1))=EW$13), 1*(_xlfn._xlws.FILTER(OFFSET($O$15,0,$DO112,$B$8,1),OFFSET($M$15,0,0,$B$8,1))=EW$14))   /   SUM(OFFSET($BO$15,0,0,$B$14,1)) + $B$18/($B$19*$B$19*($DN112&lt;&gt;$DO112) + $B$19*($DN112=$DO112))</f>
        <v>3.7037037037037035E-4</v>
      </c>
      <c r="EX112" s="10" cm="1">
        <f t="array" aca="1" ref="EX112" ca="1">(1-$B$18)*SUMPRODUCT(OFFSET($BO$15,0,0,$B$14,1), 1*(_xlfn._xlws.FILTER(OFFSET($O$15,0,$DN112,$B$8,1),OFFSET($M$15,0,0,$B$8,1))=EX$13), 1*(_xlfn._xlws.FILTER(OFFSET($O$15,0,$DO112,$B$8,1),OFFSET($M$15,0,0,$B$8,1))=EX$14))   /   SUM(OFFSET($BO$15,0,0,$B$14,1)) + $B$18/($B$19*$B$19*($DN112&lt;&gt;$DO112) + $B$19*($DN112=$DO112))</f>
        <v>3.7037037037037035E-4</v>
      </c>
      <c r="EY112" s="10" cm="1">
        <f t="array" aca="1" ref="EY112" ca="1">(1-$B$18)*SUMPRODUCT(OFFSET($BO$15,0,0,$B$14,1), 1*(_xlfn._xlws.FILTER(OFFSET($O$15,0,$DN112,$B$8,1),OFFSET($M$15,0,0,$B$8,1))=EY$13), 1*(_xlfn._xlws.FILTER(OFFSET($O$15,0,$DO112,$B$8,1),OFFSET($M$15,0,0,$B$8,1))=EY$14))   /   SUM(OFFSET($BO$15,0,0,$B$14,1)) + $B$18/($B$19*$B$19*($DN112&lt;&gt;$DO112) + $B$19*($DN112=$DO112))</f>
        <v>3.7037037037037035E-4</v>
      </c>
      <c r="EZ112" s="10" cm="1">
        <f t="array" aca="1" ref="EZ112" ca="1">(1-$B$18)*SUMPRODUCT(OFFSET($BO$15,0,0,$B$14,1), 1*(_xlfn._xlws.FILTER(OFFSET($O$15,0,$DN112,$B$8,1),OFFSET($M$15,0,0,$B$8,1))=EZ$13), 1*(_xlfn._xlws.FILTER(OFFSET($O$15,0,$DO112,$B$8,1),OFFSET($M$15,0,0,$B$8,1))=EZ$14))   /   SUM(OFFSET($BO$15,0,0,$B$14,1)) + $B$18/($B$19*$B$19*($DN112&lt;&gt;$DO112) + $B$19*($DN112=$DO112))</f>
        <v>3.7037037037037035E-4</v>
      </c>
      <c r="FA112" s="10" cm="1">
        <f t="array" aca="1" ref="FA112" ca="1">(1-$B$18)*SUMPRODUCT(OFFSET($BO$15,0,0,$B$14,1), 1*(_xlfn._xlws.FILTER(OFFSET($O$15,0,$DN112,$B$8,1),OFFSET($M$15,0,0,$B$8,1))=FA$13), 1*(_xlfn._xlws.FILTER(OFFSET($O$15,0,$DO112,$B$8,1),OFFSET($M$15,0,0,$B$8,1))=FA$14))   /   SUM(OFFSET($BO$15,0,0,$B$14,1)) + $B$18/($B$19*$B$19*($DN112&lt;&gt;$DO112) + $B$19*($DN112=$DO112))</f>
        <v>3.7037037037037035E-4</v>
      </c>
      <c r="FB112" s="10" cm="1">
        <f t="array" aca="1" ref="FB112" ca="1">(1-$B$18)*SUMPRODUCT(OFFSET($BO$15,0,0,$B$14,1), 1*(_xlfn._xlws.FILTER(OFFSET($O$15,0,$DN112,$B$8,1),OFFSET($M$15,0,0,$B$8,1))=FB$13), 1*(_xlfn._xlws.FILTER(OFFSET($O$15,0,$DO112,$B$8,1),OFFSET($M$15,0,0,$B$8,1))=FB$14))   /   SUM(OFFSET($BO$15,0,0,$B$14,1)) + $B$18/($B$19*$B$19*($DN112&lt;&gt;$DO112) + $B$19*($DN112=$DO112))</f>
        <v>3.7037037037037035E-4</v>
      </c>
      <c r="FC112" s="10" cm="1">
        <f t="array" aca="1" ref="FC112" ca="1">(1-$B$18)*SUMPRODUCT(OFFSET($BO$15,0,0,$B$14,1), 1*(_xlfn._xlws.FILTER(OFFSET($O$15,0,$DN112,$B$8,1),OFFSET($M$15,0,0,$B$8,1))=FC$13), 1*(_xlfn._xlws.FILTER(OFFSET($O$15,0,$DO112,$B$8,1),OFFSET($M$15,0,0,$B$8,1))=FC$14))   /   SUM(OFFSET($BO$15,0,0,$B$14,1)) + $B$18/($B$19*$B$19*($DN112&lt;&gt;$DO112) + $B$19*($DN112=$DO112))</f>
        <v>3.7037037037037035E-4</v>
      </c>
      <c r="FD112" s="10" cm="1">
        <f t="array" aca="1" ref="FD112" ca="1">(1-$B$18)*SUMPRODUCT(OFFSET($BO$15,0,0,$B$14,1), 1*(_xlfn._xlws.FILTER(OFFSET($O$15,0,$DN112,$B$8,1),OFFSET($M$15,0,0,$B$8,1))=FD$13), 1*(_xlfn._xlws.FILTER(OFFSET($O$15,0,$DO112,$B$8,1),OFFSET($M$15,0,0,$B$8,1))=FD$14))   /   SUM(OFFSET($BO$15,0,0,$B$14,1)) + $B$18/($B$19*$B$19*($DN112&lt;&gt;$DO112) + $B$19*($DN112=$DO112))</f>
        <v>3.7037037037037035E-4</v>
      </c>
      <c r="FE112" s="10" cm="1">
        <f t="array" aca="1" ref="FE112" ca="1">(1-$B$18)*SUMPRODUCT(OFFSET($BO$15,0,0,$B$14,1), 1*(_xlfn._xlws.FILTER(OFFSET($O$15,0,$DN112,$B$8,1),OFFSET($M$15,0,0,$B$8,1))=FE$13), 1*(_xlfn._xlws.FILTER(OFFSET($O$15,0,$DO112,$B$8,1),OFFSET($M$15,0,0,$B$8,1))=FE$14))   /   SUM(OFFSET($BO$15,0,0,$B$14,1)) + $B$18/($B$19*$B$19*($DN112&lt;&gt;$DO112) + $B$19*($DN112=$DO112))</f>
        <v>3.7037037037037035E-4</v>
      </c>
      <c r="FF112" s="10" cm="1">
        <f t="array" aca="1" ref="FF112" ca="1">(1-$B$18)*SUMPRODUCT(OFFSET($BO$15,0,0,$B$14,1), 1*(_xlfn._xlws.FILTER(OFFSET($O$15,0,$DN112,$B$8,1),OFFSET($M$15,0,0,$B$8,1))=FF$13), 1*(_xlfn._xlws.FILTER(OFFSET($O$15,0,$DO112,$B$8,1),OFFSET($M$15,0,0,$B$8,1))=FF$14))   /   SUM(OFFSET($BO$15,0,0,$B$14,1)) + $B$18/($B$19*$B$19*($DN112&lt;&gt;$DO112) + $B$19*($DN112=$DO112))</f>
        <v>3.7037037037037035E-4</v>
      </c>
      <c r="FG112" s="10" cm="1">
        <f t="array" aca="1" ref="FG112" ca="1">(1-$B$18)*SUMPRODUCT(OFFSET($BO$15,0,0,$B$14,1), 1*(_xlfn._xlws.FILTER(OFFSET($O$15,0,$DN112,$B$8,1),OFFSET($M$15,0,0,$B$8,1))=FG$13), 1*(_xlfn._xlws.FILTER(OFFSET($O$15,0,$DO112,$B$8,1),OFFSET($M$15,0,0,$B$8,1))=FG$14))   /   SUM(OFFSET($BO$15,0,0,$B$14,1)) + $B$18/($B$19*$B$19*($DN112&lt;&gt;$DO112) + $B$19*($DN112=$DO112))</f>
        <v>3.7037037037037035E-4</v>
      </c>
      <c r="FH112" s="10" cm="1">
        <f t="array" aca="1" ref="FH112" ca="1">(1-$B$18)*SUMPRODUCT(OFFSET($BO$15,0,0,$B$14,1), 1*(_xlfn._xlws.FILTER(OFFSET($O$15,0,$DN112,$B$8,1),OFFSET($M$15,0,0,$B$8,1))=FH$13), 1*(_xlfn._xlws.FILTER(OFFSET($O$15,0,$DO112,$B$8,1),OFFSET($M$15,0,0,$B$8,1))=FH$14))   /   SUM(OFFSET($BO$15,0,0,$B$14,1)) + $B$18/($B$19*$B$19*($DN112&lt;&gt;$DO112) + $B$19*($DN112=$DO112))</f>
        <v>3.7037037037037035E-4</v>
      </c>
      <c r="FI112" s="10" cm="1">
        <f t="array" aca="1" ref="FI112" ca="1">(1-$B$18)*SUMPRODUCT(OFFSET($BO$15,0,0,$B$14,1), 1*(_xlfn._xlws.FILTER(OFFSET($O$15,0,$DN112,$B$8,1),OFFSET($M$15,0,0,$B$8,1))=FI$13), 1*(_xlfn._xlws.FILTER(OFFSET($O$15,0,$DO112,$B$8,1),OFFSET($M$15,0,0,$B$8,1))=FI$14))   /   SUM(OFFSET($BO$15,0,0,$B$14,1)) + $B$18/($B$19*$B$19*($DN112&lt;&gt;$DO112) + $B$19*($DN112=$DO112))</f>
        <v>3.7037037037037035E-4</v>
      </c>
      <c r="FJ112" s="10" cm="1">
        <f t="array" aca="1" ref="FJ112" ca="1">(1-$B$18)*SUMPRODUCT(OFFSET($BO$15,0,0,$B$14,1), 1*(_xlfn._xlws.FILTER(OFFSET($O$15,0,$DN112,$B$8,1),OFFSET($M$15,0,0,$B$8,1))=FJ$13), 1*(_xlfn._xlws.FILTER(OFFSET($O$15,0,$DO112,$B$8,1),OFFSET($M$15,0,0,$B$8,1))=FJ$14))   /   SUM(OFFSET($BO$15,0,0,$B$14,1)) + $B$18/($B$19*$B$19*($DN112&lt;&gt;$DO112) + $B$19*($DN112=$DO112))</f>
        <v>3.7037037037037035E-4</v>
      </c>
      <c r="FK112" s="10" cm="1">
        <f t="array" aca="1" ref="FK112" ca="1">(1-$B$18)*SUMPRODUCT(OFFSET($BO$15,0,0,$B$14,1), 1*(_xlfn._xlws.FILTER(OFFSET($O$15,0,$DN112,$B$8,1),OFFSET($M$15,0,0,$B$8,1))=FK$13), 1*(_xlfn._xlws.FILTER(OFFSET($O$15,0,$DO112,$B$8,1),OFFSET($M$15,0,0,$B$8,1))=FK$14))   /   SUM(OFFSET($BO$15,0,0,$B$14,1)) + $B$18/($B$19*$B$19*($DN112&lt;&gt;$DO112) + $B$19*($DN112=$DO112))</f>
        <v>3.7037037037037035E-4</v>
      </c>
      <c r="FL112" s="10" cm="1">
        <f t="array" aca="1" ref="FL112" ca="1">(1-$B$18)*SUMPRODUCT(OFFSET($BO$15,0,0,$B$14,1), 1*(_xlfn._xlws.FILTER(OFFSET($O$15,0,$DN112,$B$8,1),OFFSET($M$15,0,0,$B$8,1))=FL$13), 1*(_xlfn._xlws.FILTER(OFFSET($O$15,0,$DO112,$B$8,1),OFFSET($M$15,0,0,$B$8,1))=FL$14))   /   SUM(OFFSET($BO$15,0,0,$B$14,1)) + $B$18/($B$19*$B$19*($DN112&lt;&gt;$DO112) + $B$19*($DN112=$DO112))</f>
        <v>3.7037037037037035E-4</v>
      </c>
      <c r="FM112" s="10" cm="1">
        <f t="array" aca="1" ref="FM112" ca="1">(1-$B$18)*SUMPRODUCT(OFFSET($BO$15,0,0,$B$14,1), 1*(_xlfn._xlws.FILTER(OFFSET($O$15,0,$DN112,$B$8,1),OFFSET($M$15,0,0,$B$8,1))=FM$13), 1*(_xlfn._xlws.FILTER(OFFSET($O$15,0,$DO112,$B$8,1),OFFSET($M$15,0,0,$B$8,1))=FM$14))   /   SUM(OFFSET($BO$15,0,0,$B$14,1)) + $B$18/($B$19*$B$19*($DN112&lt;&gt;$DO112) + $B$19*($DN112=$DO112))</f>
        <v>3.7037037037037035E-4</v>
      </c>
      <c r="FN112" s="10" cm="1">
        <f t="array" aca="1" ref="FN112" ca="1">(1-$B$18)*SUMPRODUCT(OFFSET($BO$15,0,0,$B$14,1), 1*(_xlfn._xlws.FILTER(OFFSET($O$15,0,$DN112,$B$8,1),OFFSET($M$15,0,0,$B$8,1))=FN$13), 1*(_xlfn._xlws.FILTER(OFFSET($O$15,0,$DO112,$B$8,1),OFFSET($M$15,0,0,$B$8,1))=FN$14))   /   SUM(OFFSET($BO$15,0,0,$B$14,1)) + $B$18/($B$19*$B$19*($DN112&lt;&gt;$DO112) + $B$19*($DN112=$DO112))</f>
        <v>3.7037037037037035E-4</v>
      </c>
      <c r="FO112" s="10" cm="1">
        <f t="array" aca="1" ref="FO112" ca="1">(1-$B$18)*SUMPRODUCT(OFFSET($BO$15,0,0,$B$14,1), 1*(_xlfn._xlws.FILTER(OFFSET($O$15,0,$DN112,$B$8,1),OFFSET($M$15,0,0,$B$8,1))=FO$13), 1*(_xlfn._xlws.FILTER(OFFSET($O$15,0,$DO112,$B$8,1),OFFSET($M$15,0,0,$B$8,1))=FO$14))   /   SUM(OFFSET($BO$15,0,0,$B$14,1)) + $B$18/($B$19*$B$19*($DN112&lt;&gt;$DO112) + $B$19*($DN112=$DO112))</f>
        <v>3.7037037037037035E-4</v>
      </c>
      <c r="FP112" s="10" cm="1">
        <f t="array" aca="1" ref="FP112" ca="1">(1-$B$18)*SUMPRODUCT(OFFSET($BO$15,0,0,$B$14,1), 1*(_xlfn._xlws.FILTER(OFFSET($O$15,0,$DN112,$B$8,1),OFFSET($M$15,0,0,$B$8,1))=FP$13), 1*(_xlfn._xlws.FILTER(OFFSET($O$15,0,$DO112,$B$8,1),OFFSET($M$15,0,0,$B$8,1))=FP$14))   /   SUM(OFFSET($BO$15,0,0,$B$14,1)) + $B$18/($B$19*$B$19*($DN112&lt;&gt;$DO112) + $B$19*($DN112=$DO112))</f>
        <v>3.7037037037037035E-4</v>
      </c>
      <c r="FQ112" s="10" cm="1">
        <f t="array" aca="1" ref="FQ112" ca="1">(1-$B$18)*SUMPRODUCT(OFFSET($BO$15,0,0,$B$14,1), 1*(_xlfn._xlws.FILTER(OFFSET($O$15,0,$DN112,$B$8,1),OFFSET($M$15,0,0,$B$8,1))=FQ$13), 1*(_xlfn._xlws.FILTER(OFFSET($O$15,0,$DO112,$B$8,1),OFFSET($M$15,0,0,$B$8,1))=FQ$14))   /   SUM(OFFSET($BO$15,0,0,$B$14,1)) + $B$18/($B$19*$B$19*($DN112&lt;&gt;$DO112) + $B$19*($DN112=$DO112))</f>
        <v>3.7037037037037035E-4</v>
      </c>
      <c r="FR112" s="10" cm="1">
        <f t="array" aca="1" ref="FR112" ca="1">(1-$B$18)*SUMPRODUCT(OFFSET($BO$15,0,0,$B$14,1), 1*(_xlfn._xlws.FILTER(OFFSET($O$15,0,$DN112,$B$8,1),OFFSET($M$15,0,0,$B$8,1))=FR$13), 1*(_xlfn._xlws.FILTER(OFFSET($O$15,0,$DO112,$B$8,1),OFFSET($M$15,0,0,$B$8,1))=FR$14))   /   SUM(OFFSET($BO$15,0,0,$B$14,1)) + $B$18/($B$19*$B$19*($DN112&lt;&gt;$DO112) + $B$19*($DN112=$DO112))</f>
        <v>0.97037037037037033</v>
      </c>
      <c r="FS112" s="10" cm="1">
        <f t="array" aca="1" ref="FS112" ca="1">(1-$B$18)*SUMPRODUCT(OFFSET($BO$15,0,0,$B$14,1), 1*(_xlfn._xlws.FILTER(OFFSET($O$15,0,$DN112,$B$8,1),OFFSET($M$15,0,0,$B$8,1))=FS$13), 1*(_xlfn._xlws.FILTER(OFFSET($O$15,0,$DO112,$B$8,1),OFFSET($M$15,0,0,$B$8,1))=FS$14))   /   SUM(OFFSET($BO$15,0,0,$B$14,1)) + $B$18/($B$19*$B$19*($DN112&lt;&gt;$DO112) + $B$19*($DN112=$DO112))</f>
        <v>3.7037037037037035E-4</v>
      </c>
      <c r="FT112" s="10" cm="1">
        <f t="array" aca="1" ref="FT112" ca="1">(1-$B$18)*SUMPRODUCT(OFFSET($BO$15,0,0,$B$14,1), 1*(_xlfn._xlws.FILTER(OFFSET($O$15,0,$DN112,$B$8,1),OFFSET($M$15,0,0,$B$8,1))=FT$13), 1*(_xlfn._xlws.FILTER(OFFSET($O$15,0,$DO112,$B$8,1),OFFSET($M$15,0,0,$B$8,1))=FT$14))   /   SUM(OFFSET($BO$15,0,0,$B$14,1)) + $B$18/($B$19*$B$19*($DN112&lt;&gt;$DO112) + $B$19*($DN112=$DO112))</f>
        <v>3.7037037037037035E-4</v>
      </c>
      <c r="FU112" s="10" cm="1">
        <f t="array" aca="1" ref="FU112" ca="1">(1-$B$18)*SUMPRODUCT(OFFSET($BO$15,0,0,$B$14,1), 1*(_xlfn._xlws.FILTER(OFFSET($O$15,0,$DN112,$B$8,1),OFFSET($M$15,0,0,$B$8,1))=FU$13), 1*(_xlfn._xlws.FILTER(OFFSET($O$15,0,$DO112,$B$8,1),OFFSET($M$15,0,0,$B$8,1))=FU$14))   /   SUM(OFFSET($BO$15,0,0,$B$14,1)) + $B$18/($B$19*$B$19*($DN112&lt;&gt;$DO112) + $B$19*($DN112=$DO112))</f>
        <v>3.7037037037037035E-4</v>
      </c>
      <c r="FV112" s="10" cm="1">
        <f t="array" aca="1" ref="FV112" ca="1">(1-$B$18)*SUMPRODUCT(OFFSET($BO$15,0,0,$B$14,1), 1*(_xlfn._xlws.FILTER(OFFSET($O$15,0,$DN112,$B$8,1),OFFSET($M$15,0,0,$B$8,1))=FV$13), 1*(_xlfn._xlws.FILTER(OFFSET($O$15,0,$DO112,$B$8,1),OFFSET($M$15,0,0,$B$8,1))=FV$14))   /   SUM(OFFSET($BO$15,0,0,$B$14,1)) + $B$18/($B$19*$B$19*($DN112&lt;&gt;$DO112) + $B$19*($DN112=$DO112))</f>
        <v>3.7037037037037035E-4</v>
      </c>
      <c r="FW112" s="10" cm="1">
        <f t="array" aca="1" ref="FW112" ca="1">(1-$B$18)*SUMPRODUCT(OFFSET($BO$15,0,0,$B$14,1), 1*(_xlfn._xlws.FILTER(OFFSET($O$15,0,$DN112,$B$8,1),OFFSET($M$15,0,0,$B$8,1))=FW$13), 1*(_xlfn._xlws.FILTER(OFFSET($O$15,0,$DO112,$B$8,1),OFFSET($M$15,0,0,$B$8,1))=FW$14))   /   SUM(OFFSET($BO$15,0,0,$B$14,1)) + $B$18/($B$19*$B$19*($DN112&lt;&gt;$DO112) + $B$19*($DN112=$DO112))</f>
        <v>3.7037037037037035E-4</v>
      </c>
      <c r="FX112" s="10" cm="1">
        <f t="array" aca="1" ref="FX112" ca="1">(1-$B$18)*SUMPRODUCT(OFFSET($BO$15,0,0,$B$14,1), 1*(_xlfn._xlws.FILTER(OFFSET($O$15,0,$DN112,$B$8,1),OFFSET($M$15,0,0,$B$8,1))=FX$13), 1*(_xlfn._xlws.FILTER(OFFSET($O$15,0,$DO112,$B$8,1),OFFSET($M$15,0,0,$B$8,1))=FX$14))   /   SUM(OFFSET($BO$15,0,0,$B$14,1)) + $B$18/($B$19*$B$19*($DN112&lt;&gt;$DO112) + $B$19*($DN112=$DO112))</f>
        <v>3.7037037037037035E-4</v>
      </c>
      <c r="FY112" s="10" cm="1">
        <f t="array" aca="1" ref="FY112" ca="1">(1-$B$18)*SUMPRODUCT(OFFSET($BO$15,0,0,$B$14,1), 1*(_xlfn._xlws.FILTER(OFFSET($O$15,0,$DN112,$B$8,1),OFFSET($M$15,0,0,$B$8,1))=FY$13), 1*(_xlfn._xlws.FILTER(OFFSET($O$15,0,$DO112,$B$8,1),OFFSET($M$15,0,0,$B$8,1))=FY$14))   /   SUM(OFFSET($BO$15,0,0,$B$14,1)) + $B$18/($B$19*$B$19*($DN112&lt;&gt;$DO112) + $B$19*($DN112=$DO112))</f>
        <v>3.7037037037037035E-4</v>
      </c>
      <c r="FZ112" s="10" cm="1">
        <f t="array" aca="1" ref="FZ112" ca="1">(1-$B$18)*SUMPRODUCT(OFFSET($BO$15,0,0,$B$14,1), 1*(_xlfn._xlws.FILTER(OFFSET($O$15,0,$DN112,$B$8,1),OFFSET($M$15,0,0,$B$8,1))=FZ$13), 1*(_xlfn._xlws.FILTER(OFFSET($O$15,0,$DO112,$B$8,1),OFFSET($M$15,0,0,$B$8,1))=FZ$14))   /   SUM(OFFSET($BO$15,0,0,$B$14,1)) + $B$18/($B$19*$B$19*($DN112&lt;&gt;$DO112) + $B$19*($DN112=$DO112))</f>
        <v>3.7037037037037035E-4</v>
      </c>
      <c r="GA112" s="10" cm="1">
        <f t="array" aca="1" ref="GA112" ca="1">(1-$B$18)*SUMPRODUCT(OFFSET($BO$15,0,0,$B$14,1), 1*(_xlfn._xlws.FILTER(OFFSET($O$15,0,$DN112,$B$8,1),OFFSET($M$15,0,0,$B$8,1))=GA$13), 1*(_xlfn._xlws.FILTER(OFFSET($O$15,0,$DO112,$B$8,1),OFFSET($M$15,0,0,$B$8,1))=GA$14))   /   SUM(OFFSET($BO$15,0,0,$B$14,1)) + $B$18/($B$19*$B$19*($DN112&lt;&gt;$DO112) + $B$19*($DN112=$DO112))</f>
        <v>3.7037037037037035E-4</v>
      </c>
    </row>
    <row r="113" spans="7:183" x14ac:dyDescent="0.2">
      <c r="DN113" cm="1">
        <f t="array" aca="1" ref="DN113" ca="1">INDEX(_xlfn.ANCHORARRAY($CP$15), 1 + INT((ROWS($DO$15:$DO113) - 1) / ROWS(_xlfn.ANCHORARRAY($CP$15))))</f>
        <v>5</v>
      </c>
      <c r="DO113" cm="1">
        <f t="array" aca="1" ref="DO113" ca="1">INDEX(_xlfn.ANCHORARRAY($CP$15),1+MOD(ROWS($DO$15:$DO113)-1,ROWS(_xlfn.ANCHORARRAY($CP$15))))</f>
        <v>3</v>
      </c>
      <c r="DP113" s="10" cm="1">
        <f t="array" aca="1" ref="DP113" ca="1">(1-$B$18)*SUMPRODUCT(OFFSET($BO$15,0,0,$B$14,1), 1*(_xlfn._xlws.FILTER(OFFSET($O$15,0,$DN113,$B$8,1),OFFSET($M$15,0,0,$B$8,1))=DP$13), 1*(_xlfn._xlws.FILTER(OFFSET($O$15,0,$DO113,$B$8,1),OFFSET($M$15,0,0,$B$8,1))=DP$14))   /   SUM(OFFSET($BO$15,0,0,$B$14,1)) + $B$18/($B$19*$B$19*($DN113&lt;&gt;$DO113) + $B$19*($DN113=$DO113))</f>
        <v>3.7037037037037035E-4</v>
      </c>
      <c r="DQ113" s="10" cm="1">
        <f t="array" aca="1" ref="DQ113" ca="1">(1-$B$18)*SUMPRODUCT(OFFSET($BO$15,0,0,$B$14,1), 1*(_xlfn._xlws.FILTER(OFFSET($O$15,0,$DN113,$B$8,1),OFFSET($M$15,0,0,$B$8,1))=DQ$13), 1*(_xlfn._xlws.FILTER(OFFSET($O$15,0,$DO113,$B$8,1),OFFSET($M$15,0,0,$B$8,1))=DQ$14))   /   SUM(OFFSET($BO$15,0,0,$B$14,1)) + $B$18/($B$19*$B$19*($DN113&lt;&gt;$DO113) + $B$19*($DN113=$DO113))</f>
        <v>3.7037037037037035E-4</v>
      </c>
      <c r="DR113" s="10" cm="1">
        <f t="array" aca="1" ref="DR113" ca="1">(1-$B$18)*SUMPRODUCT(OFFSET($BO$15,0,0,$B$14,1), 1*(_xlfn._xlws.FILTER(OFFSET($O$15,0,$DN113,$B$8,1),OFFSET($M$15,0,0,$B$8,1))=DR$13), 1*(_xlfn._xlws.FILTER(OFFSET($O$15,0,$DO113,$B$8,1),OFFSET($M$15,0,0,$B$8,1))=DR$14))   /   SUM(OFFSET($BO$15,0,0,$B$14,1)) + $B$18/($B$19*$B$19*($DN113&lt;&gt;$DO113) + $B$19*($DN113=$DO113))</f>
        <v>3.7037037037037035E-4</v>
      </c>
      <c r="DS113" s="10" cm="1">
        <f t="array" aca="1" ref="DS113" ca="1">(1-$B$18)*SUMPRODUCT(OFFSET($BO$15,0,0,$B$14,1), 1*(_xlfn._xlws.FILTER(OFFSET($O$15,0,$DN113,$B$8,1),OFFSET($M$15,0,0,$B$8,1))=DS$13), 1*(_xlfn._xlws.FILTER(OFFSET($O$15,0,$DO113,$B$8,1),OFFSET($M$15,0,0,$B$8,1))=DS$14))   /   SUM(OFFSET($BO$15,0,0,$B$14,1)) + $B$18/($B$19*$B$19*($DN113&lt;&gt;$DO113) + $B$19*($DN113=$DO113))</f>
        <v>3.7037037037037035E-4</v>
      </c>
      <c r="DT113" s="10" cm="1">
        <f t="array" aca="1" ref="DT113" ca="1">(1-$B$18)*SUMPRODUCT(OFFSET($BO$15,0,0,$B$14,1), 1*(_xlfn._xlws.FILTER(OFFSET($O$15,0,$DN113,$B$8,1),OFFSET($M$15,0,0,$B$8,1))=DT$13), 1*(_xlfn._xlws.FILTER(OFFSET($O$15,0,$DO113,$B$8,1),OFFSET($M$15,0,0,$B$8,1))=DT$14))   /   SUM(OFFSET($BO$15,0,0,$B$14,1)) + $B$18/($B$19*$B$19*($DN113&lt;&gt;$DO113) + $B$19*($DN113=$DO113))</f>
        <v>3.7037037037037035E-4</v>
      </c>
      <c r="DU113" s="10" cm="1">
        <f t="array" aca="1" ref="DU113" ca="1">(1-$B$18)*SUMPRODUCT(OFFSET($BO$15,0,0,$B$14,1), 1*(_xlfn._xlws.FILTER(OFFSET($O$15,0,$DN113,$B$8,1),OFFSET($M$15,0,0,$B$8,1))=DU$13), 1*(_xlfn._xlws.FILTER(OFFSET($O$15,0,$DO113,$B$8,1),OFFSET($M$15,0,0,$B$8,1))=DU$14))   /   SUM(OFFSET($BO$15,0,0,$B$14,1)) + $B$18/($B$19*$B$19*($DN113&lt;&gt;$DO113) + $B$19*($DN113=$DO113))</f>
        <v>3.7037037037037035E-4</v>
      </c>
      <c r="DV113" s="10" cm="1">
        <f t="array" aca="1" ref="DV113" ca="1">(1-$B$18)*SUMPRODUCT(OFFSET($BO$15,0,0,$B$14,1), 1*(_xlfn._xlws.FILTER(OFFSET($O$15,0,$DN113,$B$8,1),OFFSET($M$15,0,0,$B$8,1))=DV$13), 1*(_xlfn._xlws.FILTER(OFFSET($O$15,0,$DO113,$B$8,1),OFFSET($M$15,0,0,$B$8,1))=DV$14))   /   SUM(OFFSET($BO$15,0,0,$B$14,1)) + $B$18/($B$19*$B$19*($DN113&lt;&gt;$DO113) + $B$19*($DN113=$DO113))</f>
        <v>3.7037037037037035E-4</v>
      </c>
      <c r="DW113" s="10" cm="1">
        <f t="array" aca="1" ref="DW113" ca="1">(1-$B$18)*SUMPRODUCT(OFFSET($BO$15,0,0,$B$14,1), 1*(_xlfn._xlws.FILTER(OFFSET($O$15,0,$DN113,$B$8,1),OFFSET($M$15,0,0,$B$8,1))=DW$13), 1*(_xlfn._xlws.FILTER(OFFSET($O$15,0,$DO113,$B$8,1),OFFSET($M$15,0,0,$B$8,1))=DW$14))   /   SUM(OFFSET($BO$15,0,0,$B$14,1)) + $B$18/($B$19*$B$19*($DN113&lt;&gt;$DO113) + $B$19*($DN113=$DO113))</f>
        <v>3.7037037037037035E-4</v>
      </c>
      <c r="DX113" s="10" cm="1">
        <f t="array" aca="1" ref="DX113" ca="1">(1-$B$18)*SUMPRODUCT(OFFSET($BO$15,0,0,$B$14,1), 1*(_xlfn._xlws.FILTER(OFFSET($O$15,0,$DN113,$B$8,1),OFFSET($M$15,0,0,$B$8,1))=DX$13), 1*(_xlfn._xlws.FILTER(OFFSET($O$15,0,$DO113,$B$8,1),OFFSET($M$15,0,0,$B$8,1))=DX$14))   /   SUM(OFFSET($BO$15,0,0,$B$14,1)) + $B$18/($B$19*$B$19*($DN113&lt;&gt;$DO113) + $B$19*($DN113=$DO113))</f>
        <v>3.7037037037037035E-4</v>
      </c>
      <c r="DY113" s="10" cm="1">
        <f t="array" aca="1" ref="DY113" ca="1">(1-$B$18)*SUMPRODUCT(OFFSET($BO$15,0,0,$B$14,1), 1*(_xlfn._xlws.FILTER(OFFSET($O$15,0,$DN113,$B$8,1),OFFSET($M$15,0,0,$B$8,1))=DY$13), 1*(_xlfn._xlws.FILTER(OFFSET($O$15,0,$DO113,$B$8,1),OFFSET($M$15,0,0,$B$8,1))=DY$14))   /   SUM(OFFSET($BO$15,0,0,$B$14,1)) + $B$18/($B$19*$B$19*($DN113&lt;&gt;$DO113) + $B$19*($DN113=$DO113))</f>
        <v>3.7037037037037035E-4</v>
      </c>
      <c r="DZ113" s="10" cm="1">
        <f t="array" aca="1" ref="DZ113" ca="1">(1-$B$18)*SUMPRODUCT(OFFSET($BO$15,0,0,$B$14,1), 1*(_xlfn._xlws.FILTER(OFFSET($O$15,0,$DN113,$B$8,1),OFFSET($M$15,0,0,$B$8,1))=DZ$13), 1*(_xlfn._xlws.FILTER(OFFSET($O$15,0,$DO113,$B$8,1),OFFSET($M$15,0,0,$B$8,1))=DZ$14))   /   SUM(OFFSET($BO$15,0,0,$B$14,1)) + $B$18/($B$19*$B$19*($DN113&lt;&gt;$DO113) + $B$19*($DN113=$DO113))</f>
        <v>3.7037037037037035E-4</v>
      </c>
      <c r="EA113" s="10" cm="1">
        <f t="array" aca="1" ref="EA113" ca="1">(1-$B$18)*SUMPRODUCT(OFFSET($BO$15,0,0,$B$14,1), 1*(_xlfn._xlws.FILTER(OFFSET($O$15,0,$DN113,$B$8,1),OFFSET($M$15,0,0,$B$8,1))=EA$13), 1*(_xlfn._xlws.FILTER(OFFSET($O$15,0,$DO113,$B$8,1),OFFSET($M$15,0,0,$B$8,1))=EA$14))   /   SUM(OFFSET($BO$15,0,0,$B$14,1)) + $B$18/($B$19*$B$19*($DN113&lt;&gt;$DO113) + $B$19*($DN113=$DO113))</f>
        <v>3.7037037037037035E-4</v>
      </c>
      <c r="EB113" s="10" cm="1">
        <f t="array" aca="1" ref="EB113" ca="1">(1-$B$18)*SUMPRODUCT(OFFSET($BO$15,0,0,$B$14,1), 1*(_xlfn._xlws.FILTER(OFFSET($O$15,0,$DN113,$B$8,1),OFFSET($M$15,0,0,$B$8,1))=EB$13), 1*(_xlfn._xlws.FILTER(OFFSET($O$15,0,$DO113,$B$8,1),OFFSET($M$15,0,0,$B$8,1))=EB$14))   /   SUM(OFFSET($BO$15,0,0,$B$14,1)) + $B$18/($B$19*$B$19*($DN113&lt;&gt;$DO113) + $B$19*($DN113=$DO113))</f>
        <v>3.7037037037037035E-4</v>
      </c>
      <c r="EC113" s="10" cm="1">
        <f t="array" aca="1" ref="EC113" ca="1">(1-$B$18)*SUMPRODUCT(OFFSET($BO$15,0,0,$B$14,1), 1*(_xlfn._xlws.FILTER(OFFSET($O$15,0,$DN113,$B$8,1),OFFSET($M$15,0,0,$B$8,1))=EC$13), 1*(_xlfn._xlws.FILTER(OFFSET($O$15,0,$DO113,$B$8,1),OFFSET($M$15,0,0,$B$8,1))=EC$14))   /   SUM(OFFSET($BO$15,0,0,$B$14,1)) + $B$18/($B$19*$B$19*($DN113&lt;&gt;$DO113) + $B$19*($DN113=$DO113))</f>
        <v>3.7037037037037035E-4</v>
      </c>
      <c r="ED113" s="10" cm="1">
        <f t="array" aca="1" ref="ED113" ca="1">(1-$B$18)*SUMPRODUCT(OFFSET($BO$15,0,0,$B$14,1), 1*(_xlfn._xlws.FILTER(OFFSET($O$15,0,$DN113,$B$8,1),OFFSET($M$15,0,0,$B$8,1))=ED$13), 1*(_xlfn._xlws.FILTER(OFFSET($O$15,0,$DO113,$B$8,1),OFFSET($M$15,0,0,$B$8,1))=ED$14))   /   SUM(OFFSET($BO$15,0,0,$B$14,1)) + $B$18/($B$19*$B$19*($DN113&lt;&gt;$DO113) + $B$19*($DN113=$DO113))</f>
        <v>3.7037037037037035E-4</v>
      </c>
      <c r="EE113" s="10" cm="1">
        <f t="array" aca="1" ref="EE113" ca="1">(1-$B$18)*SUMPRODUCT(OFFSET($BO$15,0,0,$B$14,1), 1*(_xlfn._xlws.FILTER(OFFSET($O$15,0,$DN113,$B$8,1),OFFSET($M$15,0,0,$B$8,1))=EE$13), 1*(_xlfn._xlws.FILTER(OFFSET($O$15,0,$DO113,$B$8,1),OFFSET($M$15,0,0,$B$8,1))=EE$14))   /   SUM(OFFSET($BO$15,0,0,$B$14,1)) + $B$18/($B$19*$B$19*($DN113&lt;&gt;$DO113) + $B$19*($DN113=$DO113))</f>
        <v>3.7037037037037035E-4</v>
      </c>
      <c r="EF113" s="10" cm="1">
        <f t="array" aca="1" ref="EF113" ca="1">(1-$B$18)*SUMPRODUCT(OFFSET($BO$15,0,0,$B$14,1), 1*(_xlfn._xlws.FILTER(OFFSET($O$15,0,$DN113,$B$8,1),OFFSET($M$15,0,0,$B$8,1))=EF$13), 1*(_xlfn._xlws.FILTER(OFFSET($O$15,0,$DO113,$B$8,1),OFFSET($M$15,0,0,$B$8,1))=EF$14))   /   SUM(OFFSET($BO$15,0,0,$B$14,1)) + $B$18/($B$19*$B$19*($DN113&lt;&gt;$DO113) + $B$19*($DN113=$DO113))</f>
        <v>3.7037037037037035E-4</v>
      </c>
      <c r="EG113" s="10" cm="1">
        <f t="array" aca="1" ref="EG113" ca="1">(1-$B$18)*SUMPRODUCT(OFFSET($BO$15,0,0,$B$14,1), 1*(_xlfn._xlws.FILTER(OFFSET($O$15,0,$DN113,$B$8,1),OFFSET($M$15,0,0,$B$8,1))=EG$13), 1*(_xlfn._xlws.FILTER(OFFSET($O$15,0,$DO113,$B$8,1),OFFSET($M$15,0,0,$B$8,1))=EG$14))   /   SUM(OFFSET($BO$15,0,0,$B$14,1)) + $B$18/($B$19*$B$19*($DN113&lt;&gt;$DO113) + $B$19*($DN113=$DO113))</f>
        <v>3.7037037037037035E-4</v>
      </c>
      <c r="EH113" s="10" cm="1">
        <f t="array" aca="1" ref="EH113" ca="1">(1-$B$18)*SUMPRODUCT(OFFSET($BO$15,0,0,$B$14,1), 1*(_xlfn._xlws.FILTER(OFFSET($O$15,0,$DN113,$B$8,1),OFFSET($M$15,0,0,$B$8,1))=EH$13), 1*(_xlfn._xlws.FILTER(OFFSET($O$15,0,$DO113,$B$8,1),OFFSET($M$15,0,0,$B$8,1))=EH$14))   /   SUM(OFFSET($BO$15,0,0,$B$14,1)) + $B$18/($B$19*$B$19*($DN113&lt;&gt;$DO113) + $B$19*($DN113=$DO113))</f>
        <v>3.7037037037037035E-4</v>
      </c>
      <c r="EI113" s="10" cm="1">
        <f t="array" aca="1" ref="EI113" ca="1">(1-$B$18)*SUMPRODUCT(OFFSET($BO$15,0,0,$B$14,1), 1*(_xlfn._xlws.FILTER(OFFSET($O$15,0,$DN113,$B$8,1),OFFSET($M$15,0,0,$B$8,1))=EI$13), 1*(_xlfn._xlws.FILTER(OFFSET($O$15,0,$DO113,$B$8,1),OFFSET($M$15,0,0,$B$8,1))=EI$14))   /   SUM(OFFSET($BO$15,0,0,$B$14,1)) + $B$18/($B$19*$B$19*($DN113&lt;&gt;$DO113) + $B$19*($DN113=$DO113))</f>
        <v>3.7037037037037035E-4</v>
      </c>
      <c r="EJ113" s="10" cm="1">
        <f t="array" aca="1" ref="EJ113" ca="1">(1-$B$18)*SUMPRODUCT(OFFSET($BO$15,0,0,$B$14,1), 1*(_xlfn._xlws.FILTER(OFFSET($O$15,0,$DN113,$B$8,1),OFFSET($M$15,0,0,$B$8,1))=EJ$13), 1*(_xlfn._xlws.FILTER(OFFSET($O$15,0,$DO113,$B$8,1),OFFSET($M$15,0,0,$B$8,1))=EJ$14))   /   SUM(OFFSET($BO$15,0,0,$B$14,1)) + $B$18/($B$19*$B$19*($DN113&lt;&gt;$DO113) + $B$19*($DN113=$DO113))</f>
        <v>3.7037037037037035E-4</v>
      </c>
      <c r="EK113" s="10" cm="1">
        <f t="array" aca="1" ref="EK113" ca="1">(1-$B$18)*SUMPRODUCT(OFFSET($BO$15,0,0,$B$14,1), 1*(_xlfn._xlws.FILTER(OFFSET($O$15,0,$DN113,$B$8,1),OFFSET($M$15,0,0,$B$8,1))=EK$13), 1*(_xlfn._xlws.FILTER(OFFSET($O$15,0,$DO113,$B$8,1),OFFSET($M$15,0,0,$B$8,1))=EK$14))   /   SUM(OFFSET($BO$15,0,0,$B$14,1)) + $B$18/($B$19*$B$19*($DN113&lt;&gt;$DO113) + $B$19*($DN113=$DO113))</f>
        <v>3.7037037037037035E-4</v>
      </c>
      <c r="EL113" s="10" cm="1">
        <f t="array" aca="1" ref="EL113" ca="1">(1-$B$18)*SUMPRODUCT(OFFSET($BO$15,0,0,$B$14,1), 1*(_xlfn._xlws.FILTER(OFFSET($O$15,0,$DN113,$B$8,1),OFFSET($M$15,0,0,$B$8,1))=EL$13), 1*(_xlfn._xlws.FILTER(OFFSET($O$15,0,$DO113,$B$8,1),OFFSET($M$15,0,0,$B$8,1))=EL$14))   /   SUM(OFFSET($BO$15,0,0,$B$14,1)) + $B$18/($B$19*$B$19*($DN113&lt;&gt;$DO113) + $B$19*($DN113=$DO113))</f>
        <v>3.7037037037037035E-4</v>
      </c>
      <c r="EM113" s="10" cm="1">
        <f t="array" aca="1" ref="EM113" ca="1">(1-$B$18)*SUMPRODUCT(OFFSET($BO$15,0,0,$B$14,1), 1*(_xlfn._xlws.FILTER(OFFSET($O$15,0,$DN113,$B$8,1),OFFSET($M$15,0,0,$B$8,1))=EM$13), 1*(_xlfn._xlws.FILTER(OFFSET($O$15,0,$DO113,$B$8,1),OFFSET($M$15,0,0,$B$8,1))=EM$14))   /   SUM(OFFSET($BO$15,0,0,$B$14,1)) + $B$18/($B$19*$B$19*($DN113&lt;&gt;$DO113) + $B$19*($DN113=$DO113))</f>
        <v>3.7037037037037035E-4</v>
      </c>
      <c r="EN113" s="10" cm="1">
        <f t="array" aca="1" ref="EN113" ca="1">(1-$B$18)*SUMPRODUCT(OFFSET($BO$15,0,0,$B$14,1), 1*(_xlfn._xlws.FILTER(OFFSET($O$15,0,$DN113,$B$8,1),OFFSET($M$15,0,0,$B$8,1))=EN$13), 1*(_xlfn._xlws.FILTER(OFFSET($O$15,0,$DO113,$B$8,1),OFFSET($M$15,0,0,$B$8,1))=EN$14))   /   SUM(OFFSET($BO$15,0,0,$B$14,1)) + $B$18/($B$19*$B$19*($DN113&lt;&gt;$DO113) + $B$19*($DN113=$DO113))</f>
        <v>3.7037037037037035E-4</v>
      </c>
      <c r="EO113" s="10" cm="1">
        <f t="array" aca="1" ref="EO113" ca="1">(1-$B$18)*SUMPRODUCT(OFFSET($BO$15,0,0,$B$14,1), 1*(_xlfn._xlws.FILTER(OFFSET($O$15,0,$DN113,$B$8,1),OFFSET($M$15,0,0,$B$8,1))=EO$13), 1*(_xlfn._xlws.FILTER(OFFSET($O$15,0,$DO113,$B$8,1),OFFSET($M$15,0,0,$B$8,1))=EO$14))   /   SUM(OFFSET($BO$15,0,0,$B$14,1)) + $B$18/($B$19*$B$19*($DN113&lt;&gt;$DO113) + $B$19*($DN113=$DO113))</f>
        <v>3.7037037037037035E-4</v>
      </c>
      <c r="EP113" s="10" cm="1">
        <f t="array" aca="1" ref="EP113" ca="1">(1-$B$18)*SUMPRODUCT(OFFSET($BO$15,0,0,$B$14,1), 1*(_xlfn._xlws.FILTER(OFFSET($O$15,0,$DN113,$B$8,1),OFFSET($M$15,0,0,$B$8,1))=EP$13), 1*(_xlfn._xlws.FILTER(OFFSET($O$15,0,$DO113,$B$8,1),OFFSET($M$15,0,0,$B$8,1))=EP$14))   /   SUM(OFFSET($BO$15,0,0,$B$14,1)) + $B$18/($B$19*$B$19*($DN113&lt;&gt;$DO113) + $B$19*($DN113=$DO113))</f>
        <v>3.7037037037037035E-4</v>
      </c>
      <c r="EQ113" s="10" cm="1">
        <f t="array" aca="1" ref="EQ113" ca="1">(1-$B$18)*SUMPRODUCT(OFFSET($BO$15,0,0,$B$14,1), 1*(_xlfn._xlws.FILTER(OFFSET($O$15,0,$DN113,$B$8,1),OFFSET($M$15,0,0,$B$8,1))=EQ$13), 1*(_xlfn._xlws.FILTER(OFFSET($O$15,0,$DO113,$B$8,1),OFFSET($M$15,0,0,$B$8,1))=EQ$14))   /   SUM(OFFSET($BO$15,0,0,$B$14,1)) + $B$18/($B$19*$B$19*($DN113&lt;&gt;$DO113) + $B$19*($DN113=$DO113))</f>
        <v>3.7037037037037035E-4</v>
      </c>
      <c r="ER113" s="10" cm="1">
        <f t="array" aca="1" ref="ER113" ca="1">(1-$B$18)*SUMPRODUCT(OFFSET($BO$15,0,0,$B$14,1), 1*(_xlfn._xlws.FILTER(OFFSET($O$15,0,$DN113,$B$8,1),OFFSET($M$15,0,0,$B$8,1))=ER$13), 1*(_xlfn._xlws.FILTER(OFFSET($O$15,0,$DO113,$B$8,1),OFFSET($M$15,0,0,$B$8,1))=ER$14))   /   SUM(OFFSET($BO$15,0,0,$B$14,1)) + $B$18/($B$19*$B$19*($DN113&lt;&gt;$DO113) + $B$19*($DN113=$DO113))</f>
        <v>3.7037037037037035E-4</v>
      </c>
      <c r="ES113" s="10" cm="1">
        <f t="array" aca="1" ref="ES113" ca="1">(1-$B$18)*SUMPRODUCT(OFFSET($BO$15,0,0,$B$14,1), 1*(_xlfn._xlws.FILTER(OFFSET($O$15,0,$DN113,$B$8,1),OFFSET($M$15,0,0,$B$8,1))=ES$13), 1*(_xlfn._xlws.FILTER(OFFSET($O$15,0,$DO113,$B$8,1),OFFSET($M$15,0,0,$B$8,1))=ES$14))   /   SUM(OFFSET($BO$15,0,0,$B$14,1)) + $B$18/($B$19*$B$19*($DN113&lt;&gt;$DO113) + $B$19*($DN113=$DO113))</f>
        <v>3.7037037037037035E-4</v>
      </c>
      <c r="ET113" s="10" cm="1">
        <f t="array" aca="1" ref="ET113" ca="1">(1-$B$18)*SUMPRODUCT(OFFSET($BO$15,0,0,$B$14,1), 1*(_xlfn._xlws.FILTER(OFFSET($O$15,0,$DN113,$B$8,1),OFFSET($M$15,0,0,$B$8,1))=ET$13), 1*(_xlfn._xlws.FILTER(OFFSET($O$15,0,$DO113,$B$8,1),OFFSET($M$15,0,0,$B$8,1))=ET$14))   /   SUM(OFFSET($BO$15,0,0,$B$14,1)) + $B$18/($B$19*$B$19*($DN113&lt;&gt;$DO113) + $B$19*($DN113=$DO113))</f>
        <v>3.7037037037037035E-4</v>
      </c>
      <c r="EU113" s="10" cm="1">
        <f t="array" aca="1" ref="EU113" ca="1">(1-$B$18)*SUMPRODUCT(OFFSET($BO$15,0,0,$B$14,1), 1*(_xlfn._xlws.FILTER(OFFSET($O$15,0,$DN113,$B$8,1),OFFSET($M$15,0,0,$B$8,1))=EU$13), 1*(_xlfn._xlws.FILTER(OFFSET($O$15,0,$DO113,$B$8,1),OFFSET($M$15,0,0,$B$8,1))=EU$14))   /   SUM(OFFSET($BO$15,0,0,$B$14,1)) + $B$18/($B$19*$B$19*($DN113&lt;&gt;$DO113) + $B$19*($DN113=$DO113))</f>
        <v>3.7037037037037035E-4</v>
      </c>
      <c r="EV113" s="10" cm="1">
        <f t="array" aca="1" ref="EV113" ca="1">(1-$B$18)*SUMPRODUCT(OFFSET($BO$15,0,0,$B$14,1), 1*(_xlfn._xlws.FILTER(OFFSET($O$15,0,$DN113,$B$8,1),OFFSET($M$15,0,0,$B$8,1))=EV$13), 1*(_xlfn._xlws.FILTER(OFFSET($O$15,0,$DO113,$B$8,1),OFFSET($M$15,0,0,$B$8,1))=EV$14))   /   SUM(OFFSET($BO$15,0,0,$B$14,1)) + $B$18/($B$19*$B$19*($DN113&lt;&gt;$DO113) + $B$19*($DN113=$DO113))</f>
        <v>3.7037037037037035E-4</v>
      </c>
      <c r="EW113" s="10" cm="1">
        <f t="array" aca="1" ref="EW113" ca="1">(1-$B$18)*SUMPRODUCT(OFFSET($BO$15,0,0,$B$14,1), 1*(_xlfn._xlws.FILTER(OFFSET($O$15,0,$DN113,$B$8,1),OFFSET($M$15,0,0,$B$8,1))=EW$13), 1*(_xlfn._xlws.FILTER(OFFSET($O$15,0,$DO113,$B$8,1),OFFSET($M$15,0,0,$B$8,1))=EW$14))   /   SUM(OFFSET($BO$15,0,0,$B$14,1)) + $B$18/($B$19*$B$19*($DN113&lt;&gt;$DO113) + $B$19*($DN113=$DO113))</f>
        <v>3.7037037037037035E-4</v>
      </c>
      <c r="EX113" s="10" cm="1">
        <f t="array" aca="1" ref="EX113" ca="1">(1-$B$18)*SUMPRODUCT(OFFSET($BO$15,0,0,$B$14,1), 1*(_xlfn._xlws.FILTER(OFFSET($O$15,0,$DN113,$B$8,1),OFFSET($M$15,0,0,$B$8,1))=EX$13), 1*(_xlfn._xlws.FILTER(OFFSET($O$15,0,$DO113,$B$8,1),OFFSET($M$15,0,0,$B$8,1))=EX$14))   /   SUM(OFFSET($BO$15,0,0,$B$14,1)) + $B$18/($B$19*$B$19*($DN113&lt;&gt;$DO113) + $B$19*($DN113=$DO113))</f>
        <v>3.7037037037037035E-4</v>
      </c>
      <c r="EY113" s="10" cm="1">
        <f t="array" aca="1" ref="EY113" ca="1">(1-$B$18)*SUMPRODUCT(OFFSET($BO$15,0,0,$B$14,1), 1*(_xlfn._xlws.FILTER(OFFSET($O$15,0,$DN113,$B$8,1),OFFSET($M$15,0,0,$B$8,1))=EY$13), 1*(_xlfn._xlws.FILTER(OFFSET($O$15,0,$DO113,$B$8,1),OFFSET($M$15,0,0,$B$8,1))=EY$14))   /   SUM(OFFSET($BO$15,0,0,$B$14,1)) + $B$18/($B$19*$B$19*($DN113&lt;&gt;$DO113) + $B$19*($DN113=$DO113))</f>
        <v>3.7037037037037035E-4</v>
      </c>
      <c r="EZ113" s="10" cm="1">
        <f t="array" aca="1" ref="EZ113" ca="1">(1-$B$18)*SUMPRODUCT(OFFSET($BO$15,0,0,$B$14,1), 1*(_xlfn._xlws.FILTER(OFFSET($O$15,0,$DN113,$B$8,1),OFFSET($M$15,0,0,$B$8,1))=EZ$13), 1*(_xlfn._xlws.FILTER(OFFSET($O$15,0,$DO113,$B$8,1),OFFSET($M$15,0,0,$B$8,1))=EZ$14))   /   SUM(OFFSET($BO$15,0,0,$B$14,1)) + $B$18/($B$19*$B$19*($DN113&lt;&gt;$DO113) + $B$19*($DN113=$DO113))</f>
        <v>3.7037037037037035E-4</v>
      </c>
      <c r="FA113" s="10" cm="1">
        <f t="array" aca="1" ref="FA113" ca="1">(1-$B$18)*SUMPRODUCT(OFFSET($BO$15,0,0,$B$14,1), 1*(_xlfn._xlws.FILTER(OFFSET($O$15,0,$DN113,$B$8,1),OFFSET($M$15,0,0,$B$8,1))=FA$13), 1*(_xlfn._xlws.FILTER(OFFSET($O$15,0,$DO113,$B$8,1),OFFSET($M$15,0,0,$B$8,1))=FA$14))   /   SUM(OFFSET($BO$15,0,0,$B$14,1)) + $B$18/($B$19*$B$19*($DN113&lt;&gt;$DO113) + $B$19*($DN113=$DO113))</f>
        <v>3.7037037037037035E-4</v>
      </c>
      <c r="FB113" s="10" cm="1">
        <f t="array" aca="1" ref="FB113" ca="1">(1-$B$18)*SUMPRODUCT(OFFSET($BO$15,0,0,$B$14,1), 1*(_xlfn._xlws.FILTER(OFFSET($O$15,0,$DN113,$B$8,1),OFFSET($M$15,0,0,$B$8,1))=FB$13), 1*(_xlfn._xlws.FILTER(OFFSET($O$15,0,$DO113,$B$8,1),OFFSET($M$15,0,0,$B$8,1))=FB$14))   /   SUM(OFFSET($BO$15,0,0,$B$14,1)) + $B$18/($B$19*$B$19*($DN113&lt;&gt;$DO113) + $B$19*($DN113=$DO113))</f>
        <v>3.7037037037037035E-4</v>
      </c>
      <c r="FC113" s="10" cm="1">
        <f t="array" aca="1" ref="FC113" ca="1">(1-$B$18)*SUMPRODUCT(OFFSET($BO$15,0,0,$B$14,1), 1*(_xlfn._xlws.FILTER(OFFSET($O$15,0,$DN113,$B$8,1),OFFSET($M$15,0,0,$B$8,1))=FC$13), 1*(_xlfn._xlws.FILTER(OFFSET($O$15,0,$DO113,$B$8,1),OFFSET($M$15,0,0,$B$8,1))=FC$14))   /   SUM(OFFSET($BO$15,0,0,$B$14,1)) + $B$18/($B$19*$B$19*($DN113&lt;&gt;$DO113) + $B$19*($DN113=$DO113))</f>
        <v>3.7037037037037035E-4</v>
      </c>
      <c r="FD113" s="10" cm="1">
        <f t="array" aca="1" ref="FD113" ca="1">(1-$B$18)*SUMPRODUCT(OFFSET($BO$15,0,0,$B$14,1), 1*(_xlfn._xlws.FILTER(OFFSET($O$15,0,$DN113,$B$8,1),OFFSET($M$15,0,0,$B$8,1))=FD$13), 1*(_xlfn._xlws.FILTER(OFFSET($O$15,0,$DO113,$B$8,1),OFFSET($M$15,0,0,$B$8,1))=FD$14))   /   SUM(OFFSET($BO$15,0,0,$B$14,1)) + $B$18/($B$19*$B$19*($DN113&lt;&gt;$DO113) + $B$19*($DN113=$DO113))</f>
        <v>3.7037037037037035E-4</v>
      </c>
      <c r="FE113" s="10" cm="1">
        <f t="array" aca="1" ref="FE113" ca="1">(1-$B$18)*SUMPRODUCT(OFFSET($BO$15,0,0,$B$14,1), 1*(_xlfn._xlws.FILTER(OFFSET($O$15,0,$DN113,$B$8,1),OFFSET($M$15,0,0,$B$8,1))=FE$13), 1*(_xlfn._xlws.FILTER(OFFSET($O$15,0,$DO113,$B$8,1),OFFSET($M$15,0,0,$B$8,1))=FE$14))   /   SUM(OFFSET($BO$15,0,0,$B$14,1)) + $B$18/($B$19*$B$19*($DN113&lt;&gt;$DO113) + $B$19*($DN113=$DO113))</f>
        <v>3.7037037037037035E-4</v>
      </c>
      <c r="FF113" s="10" cm="1">
        <f t="array" aca="1" ref="FF113" ca="1">(1-$B$18)*SUMPRODUCT(OFFSET($BO$15,0,0,$B$14,1), 1*(_xlfn._xlws.FILTER(OFFSET($O$15,0,$DN113,$B$8,1),OFFSET($M$15,0,0,$B$8,1))=FF$13), 1*(_xlfn._xlws.FILTER(OFFSET($O$15,0,$DO113,$B$8,1),OFFSET($M$15,0,0,$B$8,1))=FF$14))   /   SUM(OFFSET($BO$15,0,0,$B$14,1)) + $B$18/($B$19*$B$19*($DN113&lt;&gt;$DO113) + $B$19*($DN113=$DO113))</f>
        <v>3.7037037037037035E-4</v>
      </c>
      <c r="FG113" s="10" cm="1">
        <f t="array" aca="1" ref="FG113" ca="1">(1-$B$18)*SUMPRODUCT(OFFSET($BO$15,0,0,$B$14,1), 1*(_xlfn._xlws.FILTER(OFFSET($O$15,0,$DN113,$B$8,1),OFFSET($M$15,0,0,$B$8,1))=FG$13), 1*(_xlfn._xlws.FILTER(OFFSET($O$15,0,$DO113,$B$8,1),OFFSET($M$15,0,0,$B$8,1))=FG$14))   /   SUM(OFFSET($BO$15,0,0,$B$14,1)) + $B$18/($B$19*$B$19*($DN113&lt;&gt;$DO113) + $B$19*($DN113=$DO113))</f>
        <v>3.7037037037037035E-4</v>
      </c>
      <c r="FH113" s="10" cm="1">
        <f t="array" aca="1" ref="FH113" ca="1">(1-$B$18)*SUMPRODUCT(OFFSET($BO$15,0,0,$B$14,1), 1*(_xlfn._xlws.FILTER(OFFSET($O$15,0,$DN113,$B$8,1),OFFSET($M$15,0,0,$B$8,1))=FH$13), 1*(_xlfn._xlws.FILTER(OFFSET($O$15,0,$DO113,$B$8,1),OFFSET($M$15,0,0,$B$8,1))=FH$14))   /   SUM(OFFSET($BO$15,0,0,$B$14,1)) + $B$18/($B$19*$B$19*($DN113&lt;&gt;$DO113) + $B$19*($DN113=$DO113))</f>
        <v>3.7037037037037035E-4</v>
      </c>
      <c r="FI113" s="10" cm="1">
        <f t="array" aca="1" ref="FI113" ca="1">(1-$B$18)*SUMPRODUCT(OFFSET($BO$15,0,0,$B$14,1), 1*(_xlfn._xlws.FILTER(OFFSET($O$15,0,$DN113,$B$8,1),OFFSET($M$15,0,0,$B$8,1))=FI$13), 1*(_xlfn._xlws.FILTER(OFFSET($O$15,0,$DO113,$B$8,1),OFFSET($M$15,0,0,$B$8,1))=FI$14))   /   SUM(OFFSET($BO$15,0,0,$B$14,1)) + $B$18/($B$19*$B$19*($DN113&lt;&gt;$DO113) + $B$19*($DN113=$DO113))</f>
        <v>3.7037037037037035E-4</v>
      </c>
      <c r="FJ113" s="10" cm="1">
        <f t="array" aca="1" ref="FJ113" ca="1">(1-$B$18)*SUMPRODUCT(OFFSET($BO$15,0,0,$B$14,1), 1*(_xlfn._xlws.FILTER(OFFSET($O$15,0,$DN113,$B$8,1),OFFSET($M$15,0,0,$B$8,1))=FJ$13), 1*(_xlfn._xlws.FILTER(OFFSET($O$15,0,$DO113,$B$8,1),OFFSET($M$15,0,0,$B$8,1))=FJ$14))   /   SUM(OFFSET($BO$15,0,0,$B$14,1)) + $B$18/($B$19*$B$19*($DN113&lt;&gt;$DO113) + $B$19*($DN113=$DO113))</f>
        <v>3.7037037037037035E-4</v>
      </c>
      <c r="FK113" s="10" cm="1">
        <f t="array" aca="1" ref="FK113" ca="1">(1-$B$18)*SUMPRODUCT(OFFSET($BO$15,0,0,$B$14,1), 1*(_xlfn._xlws.FILTER(OFFSET($O$15,0,$DN113,$B$8,1),OFFSET($M$15,0,0,$B$8,1))=FK$13), 1*(_xlfn._xlws.FILTER(OFFSET($O$15,0,$DO113,$B$8,1),OFFSET($M$15,0,0,$B$8,1))=FK$14))   /   SUM(OFFSET($BO$15,0,0,$B$14,1)) + $B$18/($B$19*$B$19*($DN113&lt;&gt;$DO113) + $B$19*($DN113=$DO113))</f>
        <v>3.7037037037037035E-4</v>
      </c>
      <c r="FL113" s="10" cm="1">
        <f t="array" aca="1" ref="FL113" ca="1">(1-$B$18)*SUMPRODUCT(OFFSET($BO$15,0,0,$B$14,1), 1*(_xlfn._xlws.FILTER(OFFSET($O$15,0,$DN113,$B$8,1),OFFSET($M$15,0,0,$B$8,1))=FL$13), 1*(_xlfn._xlws.FILTER(OFFSET($O$15,0,$DO113,$B$8,1),OFFSET($M$15,0,0,$B$8,1))=FL$14))   /   SUM(OFFSET($BO$15,0,0,$B$14,1)) + $B$18/($B$19*$B$19*($DN113&lt;&gt;$DO113) + $B$19*($DN113=$DO113))</f>
        <v>3.7037037037037035E-4</v>
      </c>
      <c r="FM113" s="10" cm="1">
        <f t="array" aca="1" ref="FM113" ca="1">(1-$B$18)*SUMPRODUCT(OFFSET($BO$15,0,0,$B$14,1), 1*(_xlfn._xlws.FILTER(OFFSET($O$15,0,$DN113,$B$8,1),OFFSET($M$15,0,0,$B$8,1))=FM$13), 1*(_xlfn._xlws.FILTER(OFFSET($O$15,0,$DO113,$B$8,1),OFFSET($M$15,0,0,$B$8,1))=FM$14))   /   SUM(OFFSET($BO$15,0,0,$B$14,1)) + $B$18/($B$19*$B$19*($DN113&lt;&gt;$DO113) + $B$19*($DN113=$DO113))</f>
        <v>3.7037037037037035E-4</v>
      </c>
      <c r="FN113" s="10" cm="1">
        <f t="array" aca="1" ref="FN113" ca="1">(1-$B$18)*SUMPRODUCT(OFFSET($BO$15,0,0,$B$14,1), 1*(_xlfn._xlws.FILTER(OFFSET($O$15,0,$DN113,$B$8,1),OFFSET($M$15,0,0,$B$8,1))=FN$13), 1*(_xlfn._xlws.FILTER(OFFSET($O$15,0,$DO113,$B$8,1),OFFSET($M$15,0,0,$B$8,1))=FN$14))   /   SUM(OFFSET($BO$15,0,0,$B$14,1)) + $B$18/($B$19*$B$19*($DN113&lt;&gt;$DO113) + $B$19*($DN113=$DO113))</f>
        <v>3.7037037037037035E-4</v>
      </c>
      <c r="FO113" s="10" cm="1">
        <f t="array" aca="1" ref="FO113" ca="1">(1-$B$18)*SUMPRODUCT(OFFSET($BO$15,0,0,$B$14,1), 1*(_xlfn._xlws.FILTER(OFFSET($O$15,0,$DN113,$B$8,1),OFFSET($M$15,0,0,$B$8,1))=FO$13), 1*(_xlfn._xlws.FILTER(OFFSET($O$15,0,$DO113,$B$8,1),OFFSET($M$15,0,0,$B$8,1))=FO$14))   /   SUM(OFFSET($BO$15,0,0,$B$14,1)) + $B$18/($B$19*$B$19*($DN113&lt;&gt;$DO113) + $B$19*($DN113=$DO113))</f>
        <v>3.7037037037037035E-4</v>
      </c>
      <c r="FP113" s="10" cm="1">
        <f t="array" aca="1" ref="FP113" ca="1">(1-$B$18)*SUMPRODUCT(OFFSET($BO$15,0,0,$B$14,1), 1*(_xlfn._xlws.FILTER(OFFSET($O$15,0,$DN113,$B$8,1),OFFSET($M$15,0,0,$B$8,1))=FP$13), 1*(_xlfn._xlws.FILTER(OFFSET($O$15,0,$DO113,$B$8,1),OFFSET($M$15,0,0,$B$8,1))=FP$14))   /   SUM(OFFSET($BO$15,0,0,$B$14,1)) + $B$18/($B$19*$B$19*($DN113&lt;&gt;$DO113) + $B$19*($DN113=$DO113))</f>
        <v>3.7037037037037035E-4</v>
      </c>
      <c r="FQ113" s="10" cm="1">
        <f t="array" aca="1" ref="FQ113" ca="1">(1-$B$18)*SUMPRODUCT(OFFSET($BO$15,0,0,$B$14,1), 1*(_xlfn._xlws.FILTER(OFFSET($O$15,0,$DN113,$B$8,1),OFFSET($M$15,0,0,$B$8,1))=FQ$13), 1*(_xlfn._xlws.FILTER(OFFSET($O$15,0,$DO113,$B$8,1),OFFSET($M$15,0,0,$B$8,1))=FQ$14))   /   SUM(OFFSET($BO$15,0,0,$B$14,1)) + $B$18/($B$19*$B$19*($DN113&lt;&gt;$DO113) + $B$19*($DN113=$DO113))</f>
        <v>3.7037037037037035E-4</v>
      </c>
      <c r="FR113" s="10" cm="1">
        <f t="array" aca="1" ref="FR113" ca="1">(1-$B$18)*SUMPRODUCT(OFFSET($BO$15,0,0,$B$14,1), 1*(_xlfn._xlws.FILTER(OFFSET($O$15,0,$DN113,$B$8,1),OFFSET($M$15,0,0,$B$8,1))=FR$13), 1*(_xlfn._xlws.FILTER(OFFSET($O$15,0,$DO113,$B$8,1),OFFSET($M$15,0,0,$B$8,1))=FR$14))   /   SUM(OFFSET($BO$15,0,0,$B$14,1)) + $B$18/($B$19*$B$19*($DN113&lt;&gt;$DO113) + $B$19*($DN113=$DO113))</f>
        <v>0.97037037037037033</v>
      </c>
      <c r="FS113" s="10" cm="1">
        <f t="array" aca="1" ref="FS113" ca="1">(1-$B$18)*SUMPRODUCT(OFFSET($BO$15,0,0,$B$14,1), 1*(_xlfn._xlws.FILTER(OFFSET($O$15,0,$DN113,$B$8,1),OFFSET($M$15,0,0,$B$8,1))=FS$13), 1*(_xlfn._xlws.FILTER(OFFSET($O$15,0,$DO113,$B$8,1),OFFSET($M$15,0,0,$B$8,1))=FS$14))   /   SUM(OFFSET($BO$15,0,0,$B$14,1)) + $B$18/($B$19*$B$19*($DN113&lt;&gt;$DO113) + $B$19*($DN113=$DO113))</f>
        <v>3.7037037037037035E-4</v>
      </c>
      <c r="FT113" s="10" cm="1">
        <f t="array" aca="1" ref="FT113" ca="1">(1-$B$18)*SUMPRODUCT(OFFSET($BO$15,0,0,$B$14,1), 1*(_xlfn._xlws.FILTER(OFFSET($O$15,0,$DN113,$B$8,1),OFFSET($M$15,0,0,$B$8,1))=FT$13), 1*(_xlfn._xlws.FILTER(OFFSET($O$15,0,$DO113,$B$8,1),OFFSET($M$15,0,0,$B$8,1))=FT$14))   /   SUM(OFFSET($BO$15,0,0,$B$14,1)) + $B$18/($B$19*$B$19*($DN113&lt;&gt;$DO113) + $B$19*($DN113=$DO113))</f>
        <v>3.7037037037037035E-4</v>
      </c>
      <c r="FU113" s="10" cm="1">
        <f t="array" aca="1" ref="FU113" ca="1">(1-$B$18)*SUMPRODUCT(OFFSET($BO$15,0,0,$B$14,1), 1*(_xlfn._xlws.FILTER(OFFSET($O$15,0,$DN113,$B$8,1),OFFSET($M$15,0,0,$B$8,1))=FU$13), 1*(_xlfn._xlws.FILTER(OFFSET($O$15,0,$DO113,$B$8,1),OFFSET($M$15,0,0,$B$8,1))=FU$14))   /   SUM(OFFSET($BO$15,0,0,$B$14,1)) + $B$18/($B$19*$B$19*($DN113&lt;&gt;$DO113) + $B$19*($DN113=$DO113))</f>
        <v>3.7037037037037035E-4</v>
      </c>
      <c r="FV113" s="10" cm="1">
        <f t="array" aca="1" ref="FV113" ca="1">(1-$B$18)*SUMPRODUCT(OFFSET($BO$15,0,0,$B$14,1), 1*(_xlfn._xlws.FILTER(OFFSET($O$15,0,$DN113,$B$8,1),OFFSET($M$15,0,0,$B$8,1))=FV$13), 1*(_xlfn._xlws.FILTER(OFFSET($O$15,0,$DO113,$B$8,1),OFFSET($M$15,0,0,$B$8,1))=FV$14))   /   SUM(OFFSET($BO$15,0,0,$B$14,1)) + $B$18/($B$19*$B$19*($DN113&lt;&gt;$DO113) + $B$19*($DN113=$DO113))</f>
        <v>3.7037037037037035E-4</v>
      </c>
      <c r="FW113" s="10" cm="1">
        <f t="array" aca="1" ref="FW113" ca="1">(1-$B$18)*SUMPRODUCT(OFFSET($BO$15,0,0,$B$14,1), 1*(_xlfn._xlws.FILTER(OFFSET($O$15,0,$DN113,$B$8,1),OFFSET($M$15,0,0,$B$8,1))=FW$13), 1*(_xlfn._xlws.FILTER(OFFSET($O$15,0,$DO113,$B$8,1),OFFSET($M$15,0,0,$B$8,1))=FW$14))   /   SUM(OFFSET($BO$15,0,0,$B$14,1)) + $B$18/($B$19*$B$19*($DN113&lt;&gt;$DO113) + $B$19*($DN113=$DO113))</f>
        <v>3.7037037037037035E-4</v>
      </c>
      <c r="FX113" s="10" cm="1">
        <f t="array" aca="1" ref="FX113" ca="1">(1-$B$18)*SUMPRODUCT(OFFSET($BO$15,0,0,$B$14,1), 1*(_xlfn._xlws.FILTER(OFFSET($O$15,0,$DN113,$B$8,1),OFFSET($M$15,0,0,$B$8,1))=FX$13), 1*(_xlfn._xlws.FILTER(OFFSET($O$15,0,$DO113,$B$8,1),OFFSET($M$15,0,0,$B$8,1))=FX$14))   /   SUM(OFFSET($BO$15,0,0,$B$14,1)) + $B$18/($B$19*$B$19*($DN113&lt;&gt;$DO113) + $B$19*($DN113=$DO113))</f>
        <v>3.7037037037037035E-4</v>
      </c>
      <c r="FY113" s="10" cm="1">
        <f t="array" aca="1" ref="FY113" ca="1">(1-$B$18)*SUMPRODUCT(OFFSET($BO$15,0,0,$B$14,1), 1*(_xlfn._xlws.FILTER(OFFSET($O$15,0,$DN113,$B$8,1),OFFSET($M$15,0,0,$B$8,1))=FY$13), 1*(_xlfn._xlws.FILTER(OFFSET($O$15,0,$DO113,$B$8,1),OFFSET($M$15,0,0,$B$8,1))=FY$14))   /   SUM(OFFSET($BO$15,0,0,$B$14,1)) + $B$18/($B$19*$B$19*($DN113&lt;&gt;$DO113) + $B$19*($DN113=$DO113))</f>
        <v>3.7037037037037035E-4</v>
      </c>
      <c r="FZ113" s="10" cm="1">
        <f t="array" aca="1" ref="FZ113" ca="1">(1-$B$18)*SUMPRODUCT(OFFSET($BO$15,0,0,$B$14,1), 1*(_xlfn._xlws.FILTER(OFFSET($O$15,0,$DN113,$B$8,1),OFFSET($M$15,0,0,$B$8,1))=FZ$13), 1*(_xlfn._xlws.FILTER(OFFSET($O$15,0,$DO113,$B$8,1),OFFSET($M$15,0,0,$B$8,1))=FZ$14))   /   SUM(OFFSET($BO$15,0,0,$B$14,1)) + $B$18/($B$19*$B$19*($DN113&lt;&gt;$DO113) + $B$19*($DN113=$DO113))</f>
        <v>3.7037037037037035E-4</v>
      </c>
      <c r="GA113" s="10" cm="1">
        <f t="array" aca="1" ref="GA113" ca="1">(1-$B$18)*SUMPRODUCT(OFFSET($BO$15,0,0,$B$14,1), 1*(_xlfn._xlws.FILTER(OFFSET($O$15,0,$DN113,$B$8,1),OFFSET($M$15,0,0,$B$8,1))=GA$13), 1*(_xlfn._xlws.FILTER(OFFSET($O$15,0,$DO113,$B$8,1),OFFSET($M$15,0,0,$B$8,1))=GA$14))   /   SUM(OFFSET($BO$15,0,0,$B$14,1)) + $B$18/($B$19*$B$19*($DN113&lt;&gt;$DO113) + $B$19*($DN113=$DO113))</f>
        <v>3.7037037037037035E-4</v>
      </c>
    </row>
    <row r="114" spans="7:183" x14ac:dyDescent="0.2">
      <c r="DN114" cm="1">
        <f t="array" aca="1" ref="DN114" ca="1">INDEX(_xlfn.ANCHORARRAY($CP$15), 1 + INT((ROWS($DO$15:$DO114) - 1) / ROWS(_xlfn.ANCHORARRAY($CP$15))))</f>
        <v>5</v>
      </c>
      <c r="DO114" cm="1">
        <f t="array" aca="1" ref="DO114" ca="1">INDEX(_xlfn.ANCHORARRAY($CP$15),1+MOD(ROWS($DO$15:$DO114)-1,ROWS(_xlfn.ANCHORARRAY($CP$15))))</f>
        <v>4</v>
      </c>
      <c r="DP114" s="10" cm="1">
        <f t="array" aca="1" ref="DP114" ca="1">(1-$B$18)*SUMPRODUCT(OFFSET($BO$15,0,0,$B$14,1), 1*(_xlfn._xlws.FILTER(OFFSET($O$15,0,$DN114,$B$8,1),OFFSET($M$15,0,0,$B$8,1))=DP$13), 1*(_xlfn._xlws.FILTER(OFFSET($O$15,0,$DO114,$B$8,1),OFFSET($M$15,0,0,$B$8,1))=DP$14))   /   SUM(OFFSET($BO$15,0,0,$B$14,1)) + $B$18/($B$19*$B$19*($DN114&lt;&gt;$DO114) + $B$19*($DN114=$DO114))</f>
        <v>3.7037037037037035E-4</v>
      </c>
      <c r="DQ114" s="10" cm="1">
        <f t="array" aca="1" ref="DQ114" ca="1">(1-$B$18)*SUMPRODUCT(OFFSET($BO$15,0,0,$B$14,1), 1*(_xlfn._xlws.FILTER(OFFSET($O$15,0,$DN114,$B$8,1),OFFSET($M$15,0,0,$B$8,1))=DQ$13), 1*(_xlfn._xlws.FILTER(OFFSET($O$15,0,$DO114,$B$8,1),OFFSET($M$15,0,0,$B$8,1))=DQ$14))   /   SUM(OFFSET($BO$15,0,0,$B$14,1)) + $B$18/($B$19*$B$19*($DN114&lt;&gt;$DO114) + $B$19*($DN114=$DO114))</f>
        <v>3.7037037037037035E-4</v>
      </c>
      <c r="DR114" s="10" cm="1">
        <f t="array" aca="1" ref="DR114" ca="1">(1-$B$18)*SUMPRODUCT(OFFSET($BO$15,0,0,$B$14,1), 1*(_xlfn._xlws.FILTER(OFFSET($O$15,0,$DN114,$B$8,1),OFFSET($M$15,0,0,$B$8,1))=DR$13), 1*(_xlfn._xlws.FILTER(OFFSET($O$15,0,$DO114,$B$8,1),OFFSET($M$15,0,0,$B$8,1))=DR$14))   /   SUM(OFFSET($BO$15,0,0,$B$14,1)) + $B$18/($B$19*$B$19*($DN114&lt;&gt;$DO114) + $B$19*($DN114=$DO114))</f>
        <v>3.7037037037037035E-4</v>
      </c>
      <c r="DS114" s="10" cm="1">
        <f t="array" aca="1" ref="DS114" ca="1">(1-$B$18)*SUMPRODUCT(OFFSET($BO$15,0,0,$B$14,1), 1*(_xlfn._xlws.FILTER(OFFSET($O$15,0,$DN114,$B$8,1),OFFSET($M$15,0,0,$B$8,1))=DS$13), 1*(_xlfn._xlws.FILTER(OFFSET($O$15,0,$DO114,$B$8,1),OFFSET($M$15,0,0,$B$8,1))=DS$14))   /   SUM(OFFSET($BO$15,0,0,$B$14,1)) + $B$18/($B$19*$B$19*($DN114&lt;&gt;$DO114) + $B$19*($DN114=$DO114))</f>
        <v>3.7037037037037035E-4</v>
      </c>
      <c r="DT114" s="10" cm="1">
        <f t="array" aca="1" ref="DT114" ca="1">(1-$B$18)*SUMPRODUCT(OFFSET($BO$15,0,0,$B$14,1), 1*(_xlfn._xlws.FILTER(OFFSET($O$15,0,$DN114,$B$8,1),OFFSET($M$15,0,0,$B$8,1))=DT$13), 1*(_xlfn._xlws.FILTER(OFFSET($O$15,0,$DO114,$B$8,1),OFFSET($M$15,0,0,$B$8,1))=DT$14))   /   SUM(OFFSET($BO$15,0,0,$B$14,1)) + $B$18/($B$19*$B$19*($DN114&lt;&gt;$DO114) + $B$19*($DN114=$DO114))</f>
        <v>3.7037037037037035E-4</v>
      </c>
      <c r="DU114" s="10" cm="1">
        <f t="array" aca="1" ref="DU114" ca="1">(1-$B$18)*SUMPRODUCT(OFFSET($BO$15,0,0,$B$14,1), 1*(_xlfn._xlws.FILTER(OFFSET($O$15,0,$DN114,$B$8,1),OFFSET($M$15,0,0,$B$8,1))=DU$13), 1*(_xlfn._xlws.FILTER(OFFSET($O$15,0,$DO114,$B$8,1),OFFSET($M$15,0,0,$B$8,1))=DU$14))   /   SUM(OFFSET($BO$15,0,0,$B$14,1)) + $B$18/($B$19*$B$19*($DN114&lt;&gt;$DO114) + $B$19*($DN114=$DO114))</f>
        <v>3.7037037037037035E-4</v>
      </c>
      <c r="DV114" s="10" cm="1">
        <f t="array" aca="1" ref="DV114" ca="1">(1-$B$18)*SUMPRODUCT(OFFSET($BO$15,0,0,$B$14,1), 1*(_xlfn._xlws.FILTER(OFFSET($O$15,0,$DN114,$B$8,1),OFFSET($M$15,0,0,$B$8,1))=DV$13), 1*(_xlfn._xlws.FILTER(OFFSET($O$15,0,$DO114,$B$8,1),OFFSET($M$15,0,0,$B$8,1))=DV$14))   /   SUM(OFFSET($BO$15,0,0,$B$14,1)) + $B$18/($B$19*$B$19*($DN114&lt;&gt;$DO114) + $B$19*($DN114=$DO114))</f>
        <v>3.7037037037037035E-4</v>
      </c>
      <c r="DW114" s="10" cm="1">
        <f t="array" aca="1" ref="DW114" ca="1">(1-$B$18)*SUMPRODUCT(OFFSET($BO$15,0,0,$B$14,1), 1*(_xlfn._xlws.FILTER(OFFSET($O$15,0,$DN114,$B$8,1),OFFSET($M$15,0,0,$B$8,1))=DW$13), 1*(_xlfn._xlws.FILTER(OFFSET($O$15,0,$DO114,$B$8,1),OFFSET($M$15,0,0,$B$8,1))=DW$14))   /   SUM(OFFSET($BO$15,0,0,$B$14,1)) + $B$18/($B$19*$B$19*($DN114&lt;&gt;$DO114) + $B$19*($DN114=$DO114))</f>
        <v>3.7037037037037035E-4</v>
      </c>
      <c r="DX114" s="10" cm="1">
        <f t="array" aca="1" ref="DX114" ca="1">(1-$B$18)*SUMPRODUCT(OFFSET($BO$15,0,0,$B$14,1), 1*(_xlfn._xlws.FILTER(OFFSET($O$15,0,$DN114,$B$8,1),OFFSET($M$15,0,0,$B$8,1))=DX$13), 1*(_xlfn._xlws.FILTER(OFFSET($O$15,0,$DO114,$B$8,1),OFFSET($M$15,0,0,$B$8,1))=DX$14))   /   SUM(OFFSET($BO$15,0,0,$B$14,1)) + $B$18/($B$19*$B$19*($DN114&lt;&gt;$DO114) + $B$19*($DN114=$DO114))</f>
        <v>3.7037037037037035E-4</v>
      </c>
      <c r="DY114" s="10" cm="1">
        <f t="array" aca="1" ref="DY114" ca="1">(1-$B$18)*SUMPRODUCT(OFFSET($BO$15,0,0,$B$14,1), 1*(_xlfn._xlws.FILTER(OFFSET($O$15,0,$DN114,$B$8,1),OFFSET($M$15,0,0,$B$8,1))=DY$13), 1*(_xlfn._xlws.FILTER(OFFSET($O$15,0,$DO114,$B$8,1),OFFSET($M$15,0,0,$B$8,1))=DY$14))   /   SUM(OFFSET($BO$15,0,0,$B$14,1)) + $B$18/($B$19*$B$19*($DN114&lt;&gt;$DO114) + $B$19*($DN114=$DO114))</f>
        <v>3.7037037037037035E-4</v>
      </c>
      <c r="DZ114" s="10" cm="1">
        <f t="array" aca="1" ref="DZ114" ca="1">(1-$B$18)*SUMPRODUCT(OFFSET($BO$15,0,0,$B$14,1), 1*(_xlfn._xlws.FILTER(OFFSET($O$15,0,$DN114,$B$8,1),OFFSET($M$15,0,0,$B$8,1))=DZ$13), 1*(_xlfn._xlws.FILTER(OFFSET($O$15,0,$DO114,$B$8,1),OFFSET($M$15,0,0,$B$8,1))=DZ$14))   /   SUM(OFFSET($BO$15,0,0,$B$14,1)) + $B$18/($B$19*$B$19*($DN114&lt;&gt;$DO114) + $B$19*($DN114=$DO114))</f>
        <v>3.7037037037037035E-4</v>
      </c>
      <c r="EA114" s="10" cm="1">
        <f t="array" aca="1" ref="EA114" ca="1">(1-$B$18)*SUMPRODUCT(OFFSET($BO$15,0,0,$B$14,1), 1*(_xlfn._xlws.FILTER(OFFSET($O$15,0,$DN114,$B$8,1),OFFSET($M$15,0,0,$B$8,1))=EA$13), 1*(_xlfn._xlws.FILTER(OFFSET($O$15,0,$DO114,$B$8,1),OFFSET($M$15,0,0,$B$8,1))=EA$14))   /   SUM(OFFSET($BO$15,0,0,$B$14,1)) + $B$18/($B$19*$B$19*($DN114&lt;&gt;$DO114) + $B$19*($DN114=$DO114))</f>
        <v>3.7037037037037035E-4</v>
      </c>
      <c r="EB114" s="10" cm="1">
        <f t="array" aca="1" ref="EB114" ca="1">(1-$B$18)*SUMPRODUCT(OFFSET($BO$15,0,0,$B$14,1), 1*(_xlfn._xlws.FILTER(OFFSET($O$15,0,$DN114,$B$8,1),OFFSET($M$15,0,0,$B$8,1))=EB$13), 1*(_xlfn._xlws.FILTER(OFFSET($O$15,0,$DO114,$B$8,1),OFFSET($M$15,0,0,$B$8,1))=EB$14))   /   SUM(OFFSET($BO$15,0,0,$B$14,1)) + $B$18/($B$19*$B$19*($DN114&lt;&gt;$DO114) + $B$19*($DN114=$DO114))</f>
        <v>3.7037037037037035E-4</v>
      </c>
      <c r="EC114" s="10" cm="1">
        <f t="array" aca="1" ref="EC114" ca="1">(1-$B$18)*SUMPRODUCT(OFFSET($BO$15,0,0,$B$14,1), 1*(_xlfn._xlws.FILTER(OFFSET($O$15,0,$DN114,$B$8,1),OFFSET($M$15,0,0,$B$8,1))=EC$13), 1*(_xlfn._xlws.FILTER(OFFSET($O$15,0,$DO114,$B$8,1),OFFSET($M$15,0,0,$B$8,1))=EC$14))   /   SUM(OFFSET($BO$15,0,0,$B$14,1)) + $B$18/($B$19*$B$19*($DN114&lt;&gt;$DO114) + $B$19*($DN114=$DO114))</f>
        <v>3.7037037037037035E-4</v>
      </c>
      <c r="ED114" s="10" cm="1">
        <f t="array" aca="1" ref="ED114" ca="1">(1-$B$18)*SUMPRODUCT(OFFSET($BO$15,0,0,$B$14,1), 1*(_xlfn._xlws.FILTER(OFFSET($O$15,0,$DN114,$B$8,1),OFFSET($M$15,0,0,$B$8,1))=ED$13), 1*(_xlfn._xlws.FILTER(OFFSET($O$15,0,$DO114,$B$8,1),OFFSET($M$15,0,0,$B$8,1))=ED$14))   /   SUM(OFFSET($BO$15,0,0,$B$14,1)) + $B$18/($B$19*$B$19*($DN114&lt;&gt;$DO114) + $B$19*($DN114=$DO114))</f>
        <v>3.7037037037037035E-4</v>
      </c>
      <c r="EE114" s="10" cm="1">
        <f t="array" aca="1" ref="EE114" ca="1">(1-$B$18)*SUMPRODUCT(OFFSET($BO$15,0,0,$B$14,1), 1*(_xlfn._xlws.FILTER(OFFSET($O$15,0,$DN114,$B$8,1),OFFSET($M$15,0,0,$B$8,1))=EE$13), 1*(_xlfn._xlws.FILTER(OFFSET($O$15,0,$DO114,$B$8,1),OFFSET($M$15,0,0,$B$8,1))=EE$14))   /   SUM(OFFSET($BO$15,0,0,$B$14,1)) + $B$18/($B$19*$B$19*($DN114&lt;&gt;$DO114) + $B$19*($DN114=$DO114))</f>
        <v>3.7037037037037035E-4</v>
      </c>
      <c r="EF114" s="10" cm="1">
        <f t="array" aca="1" ref="EF114" ca="1">(1-$B$18)*SUMPRODUCT(OFFSET($BO$15,0,0,$B$14,1), 1*(_xlfn._xlws.FILTER(OFFSET($O$15,0,$DN114,$B$8,1),OFFSET($M$15,0,0,$B$8,1))=EF$13), 1*(_xlfn._xlws.FILTER(OFFSET($O$15,0,$DO114,$B$8,1),OFFSET($M$15,0,0,$B$8,1))=EF$14))   /   SUM(OFFSET($BO$15,0,0,$B$14,1)) + $B$18/($B$19*$B$19*($DN114&lt;&gt;$DO114) + $B$19*($DN114=$DO114))</f>
        <v>3.7037037037037035E-4</v>
      </c>
      <c r="EG114" s="10" cm="1">
        <f t="array" aca="1" ref="EG114" ca="1">(1-$B$18)*SUMPRODUCT(OFFSET($BO$15,0,0,$B$14,1), 1*(_xlfn._xlws.FILTER(OFFSET($O$15,0,$DN114,$B$8,1),OFFSET($M$15,0,0,$B$8,1))=EG$13), 1*(_xlfn._xlws.FILTER(OFFSET($O$15,0,$DO114,$B$8,1),OFFSET($M$15,0,0,$B$8,1))=EG$14))   /   SUM(OFFSET($BO$15,0,0,$B$14,1)) + $B$18/($B$19*$B$19*($DN114&lt;&gt;$DO114) + $B$19*($DN114=$DO114))</f>
        <v>3.7037037037037035E-4</v>
      </c>
      <c r="EH114" s="10" cm="1">
        <f t="array" aca="1" ref="EH114" ca="1">(1-$B$18)*SUMPRODUCT(OFFSET($BO$15,0,0,$B$14,1), 1*(_xlfn._xlws.FILTER(OFFSET($O$15,0,$DN114,$B$8,1),OFFSET($M$15,0,0,$B$8,1))=EH$13), 1*(_xlfn._xlws.FILTER(OFFSET($O$15,0,$DO114,$B$8,1),OFFSET($M$15,0,0,$B$8,1))=EH$14))   /   SUM(OFFSET($BO$15,0,0,$B$14,1)) + $B$18/($B$19*$B$19*($DN114&lt;&gt;$DO114) + $B$19*($DN114=$DO114))</f>
        <v>3.7037037037037035E-4</v>
      </c>
      <c r="EI114" s="10" cm="1">
        <f t="array" aca="1" ref="EI114" ca="1">(1-$B$18)*SUMPRODUCT(OFFSET($BO$15,0,0,$B$14,1), 1*(_xlfn._xlws.FILTER(OFFSET($O$15,0,$DN114,$B$8,1),OFFSET($M$15,0,0,$B$8,1))=EI$13), 1*(_xlfn._xlws.FILTER(OFFSET($O$15,0,$DO114,$B$8,1),OFFSET($M$15,0,0,$B$8,1))=EI$14))   /   SUM(OFFSET($BO$15,0,0,$B$14,1)) + $B$18/($B$19*$B$19*($DN114&lt;&gt;$DO114) + $B$19*($DN114=$DO114))</f>
        <v>3.7037037037037035E-4</v>
      </c>
      <c r="EJ114" s="10" cm="1">
        <f t="array" aca="1" ref="EJ114" ca="1">(1-$B$18)*SUMPRODUCT(OFFSET($BO$15,0,0,$B$14,1), 1*(_xlfn._xlws.FILTER(OFFSET($O$15,0,$DN114,$B$8,1),OFFSET($M$15,0,0,$B$8,1))=EJ$13), 1*(_xlfn._xlws.FILTER(OFFSET($O$15,0,$DO114,$B$8,1),OFFSET($M$15,0,0,$B$8,1))=EJ$14))   /   SUM(OFFSET($BO$15,0,0,$B$14,1)) + $B$18/($B$19*$B$19*($DN114&lt;&gt;$DO114) + $B$19*($DN114=$DO114))</f>
        <v>3.7037037037037035E-4</v>
      </c>
      <c r="EK114" s="10" cm="1">
        <f t="array" aca="1" ref="EK114" ca="1">(1-$B$18)*SUMPRODUCT(OFFSET($BO$15,0,0,$B$14,1), 1*(_xlfn._xlws.FILTER(OFFSET($O$15,0,$DN114,$B$8,1),OFFSET($M$15,0,0,$B$8,1))=EK$13), 1*(_xlfn._xlws.FILTER(OFFSET($O$15,0,$DO114,$B$8,1),OFFSET($M$15,0,0,$B$8,1))=EK$14))   /   SUM(OFFSET($BO$15,0,0,$B$14,1)) + $B$18/($B$19*$B$19*($DN114&lt;&gt;$DO114) + $B$19*($DN114=$DO114))</f>
        <v>3.7037037037037035E-4</v>
      </c>
      <c r="EL114" s="10" cm="1">
        <f t="array" aca="1" ref="EL114" ca="1">(1-$B$18)*SUMPRODUCT(OFFSET($BO$15,0,0,$B$14,1), 1*(_xlfn._xlws.FILTER(OFFSET($O$15,0,$DN114,$B$8,1),OFFSET($M$15,0,0,$B$8,1))=EL$13), 1*(_xlfn._xlws.FILTER(OFFSET($O$15,0,$DO114,$B$8,1),OFFSET($M$15,0,0,$B$8,1))=EL$14))   /   SUM(OFFSET($BO$15,0,0,$B$14,1)) + $B$18/($B$19*$B$19*($DN114&lt;&gt;$DO114) + $B$19*($DN114=$DO114))</f>
        <v>3.7037037037037035E-4</v>
      </c>
      <c r="EM114" s="10" cm="1">
        <f t="array" aca="1" ref="EM114" ca="1">(1-$B$18)*SUMPRODUCT(OFFSET($BO$15,0,0,$B$14,1), 1*(_xlfn._xlws.FILTER(OFFSET($O$15,0,$DN114,$B$8,1),OFFSET($M$15,0,0,$B$8,1))=EM$13), 1*(_xlfn._xlws.FILTER(OFFSET($O$15,0,$DO114,$B$8,1),OFFSET($M$15,0,0,$B$8,1))=EM$14))   /   SUM(OFFSET($BO$15,0,0,$B$14,1)) + $B$18/($B$19*$B$19*($DN114&lt;&gt;$DO114) + $B$19*($DN114=$DO114))</f>
        <v>3.7037037037037035E-4</v>
      </c>
      <c r="EN114" s="10" cm="1">
        <f t="array" aca="1" ref="EN114" ca="1">(1-$B$18)*SUMPRODUCT(OFFSET($BO$15,0,0,$B$14,1), 1*(_xlfn._xlws.FILTER(OFFSET($O$15,0,$DN114,$B$8,1),OFFSET($M$15,0,0,$B$8,1))=EN$13), 1*(_xlfn._xlws.FILTER(OFFSET($O$15,0,$DO114,$B$8,1),OFFSET($M$15,0,0,$B$8,1))=EN$14))   /   SUM(OFFSET($BO$15,0,0,$B$14,1)) + $B$18/($B$19*$B$19*($DN114&lt;&gt;$DO114) + $B$19*($DN114=$DO114))</f>
        <v>3.7037037037037035E-4</v>
      </c>
      <c r="EO114" s="10" cm="1">
        <f t="array" aca="1" ref="EO114" ca="1">(1-$B$18)*SUMPRODUCT(OFFSET($BO$15,0,0,$B$14,1), 1*(_xlfn._xlws.FILTER(OFFSET($O$15,0,$DN114,$B$8,1),OFFSET($M$15,0,0,$B$8,1))=EO$13), 1*(_xlfn._xlws.FILTER(OFFSET($O$15,0,$DO114,$B$8,1),OFFSET($M$15,0,0,$B$8,1))=EO$14))   /   SUM(OFFSET($BO$15,0,0,$B$14,1)) + $B$18/($B$19*$B$19*($DN114&lt;&gt;$DO114) + $B$19*($DN114=$DO114))</f>
        <v>3.7037037037037035E-4</v>
      </c>
      <c r="EP114" s="10" cm="1">
        <f t="array" aca="1" ref="EP114" ca="1">(1-$B$18)*SUMPRODUCT(OFFSET($BO$15,0,0,$B$14,1), 1*(_xlfn._xlws.FILTER(OFFSET($O$15,0,$DN114,$B$8,1),OFFSET($M$15,0,0,$B$8,1))=EP$13), 1*(_xlfn._xlws.FILTER(OFFSET($O$15,0,$DO114,$B$8,1),OFFSET($M$15,0,0,$B$8,1))=EP$14))   /   SUM(OFFSET($BO$15,0,0,$B$14,1)) + $B$18/($B$19*$B$19*($DN114&lt;&gt;$DO114) + $B$19*($DN114=$DO114))</f>
        <v>3.7037037037037035E-4</v>
      </c>
      <c r="EQ114" s="10" cm="1">
        <f t="array" aca="1" ref="EQ114" ca="1">(1-$B$18)*SUMPRODUCT(OFFSET($BO$15,0,0,$B$14,1), 1*(_xlfn._xlws.FILTER(OFFSET($O$15,0,$DN114,$B$8,1),OFFSET($M$15,0,0,$B$8,1))=EQ$13), 1*(_xlfn._xlws.FILTER(OFFSET($O$15,0,$DO114,$B$8,1),OFFSET($M$15,0,0,$B$8,1))=EQ$14))   /   SUM(OFFSET($BO$15,0,0,$B$14,1)) + $B$18/($B$19*$B$19*($DN114&lt;&gt;$DO114) + $B$19*($DN114=$DO114))</f>
        <v>3.7037037037037035E-4</v>
      </c>
      <c r="ER114" s="10" cm="1">
        <f t="array" aca="1" ref="ER114" ca="1">(1-$B$18)*SUMPRODUCT(OFFSET($BO$15,0,0,$B$14,1), 1*(_xlfn._xlws.FILTER(OFFSET($O$15,0,$DN114,$B$8,1),OFFSET($M$15,0,0,$B$8,1))=ER$13), 1*(_xlfn._xlws.FILTER(OFFSET($O$15,0,$DO114,$B$8,1),OFFSET($M$15,0,0,$B$8,1))=ER$14))   /   SUM(OFFSET($BO$15,0,0,$B$14,1)) + $B$18/($B$19*$B$19*($DN114&lt;&gt;$DO114) + $B$19*($DN114=$DO114))</f>
        <v>3.7037037037037035E-4</v>
      </c>
      <c r="ES114" s="10" cm="1">
        <f t="array" aca="1" ref="ES114" ca="1">(1-$B$18)*SUMPRODUCT(OFFSET($BO$15,0,0,$B$14,1), 1*(_xlfn._xlws.FILTER(OFFSET($O$15,0,$DN114,$B$8,1),OFFSET($M$15,0,0,$B$8,1))=ES$13), 1*(_xlfn._xlws.FILTER(OFFSET($O$15,0,$DO114,$B$8,1),OFFSET($M$15,0,0,$B$8,1))=ES$14))   /   SUM(OFFSET($BO$15,0,0,$B$14,1)) + $B$18/($B$19*$B$19*($DN114&lt;&gt;$DO114) + $B$19*($DN114=$DO114))</f>
        <v>3.7037037037037035E-4</v>
      </c>
      <c r="ET114" s="10" cm="1">
        <f t="array" aca="1" ref="ET114" ca="1">(1-$B$18)*SUMPRODUCT(OFFSET($BO$15,0,0,$B$14,1), 1*(_xlfn._xlws.FILTER(OFFSET($O$15,0,$DN114,$B$8,1),OFFSET($M$15,0,0,$B$8,1))=ET$13), 1*(_xlfn._xlws.FILTER(OFFSET($O$15,0,$DO114,$B$8,1),OFFSET($M$15,0,0,$B$8,1))=ET$14))   /   SUM(OFFSET($BO$15,0,0,$B$14,1)) + $B$18/($B$19*$B$19*($DN114&lt;&gt;$DO114) + $B$19*($DN114=$DO114))</f>
        <v>3.7037037037037035E-4</v>
      </c>
      <c r="EU114" s="10" cm="1">
        <f t="array" aca="1" ref="EU114" ca="1">(1-$B$18)*SUMPRODUCT(OFFSET($BO$15,0,0,$B$14,1), 1*(_xlfn._xlws.FILTER(OFFSET($O$15,0,$DN114,$B$8,1),OFFSET($M$15,0,0,$B$8,1))=EU$13), 1*(_xlfn._xlws.FILTER(OFFSET($O$15,0,$DO114,$B$8,1),OFFSET($M$15,0,0,$B$8,1))=EU$14))   /   SUM(OFFSET($BO$15,0,0,$B$14,1)) + $B$18/($B$19*$B$19*($DN114&lt;&gt;$DO114) + $B$19*($DN114=$DO114))</f>
        <v>3.7037037037037035E-4</v>
      </c>
      <c r="EV114" s="10" cm="1">
        <f t="array" aca="1" ref="EV114" ca="1">(1-$B$18)*SUMPRODUCT(OFFSET($BO$15,0,0,$B$14,1), 1*(_xlfn._xlws.FILTER(OFFSET($O$15,0,$DN114,$B$8,1),OFFSET($M$15,0,0,$B$8,1))=EV$13), 1*(_xlfn._xlws.FILTER(OFFSET($O$15,0,$DO114,$B$8,1),OFFSET($M$15,0,0,$B$8,1))=EV$14))   /   SUM(OFFSET($BO$15,0,0,$B$14,1)) + $B$18/($B$19*$B$19*($DN114&lt;&gt;$DO114) + $B$19*($DN114=$DO114))</f>
        <v>3.7037037037037035E-4</v>
      </c>
      <c r="EW114" s="10" cm="1">
        <f t="array" aca="1" ref="EW114" ca="1">(1-$B$18)*SUMPRODUCT(OFFSET($BO$15,0,0,$B$14,1), 1*(_xlfn._xlws.FILTER(OFFSET($O$15,0,$DN114,$B$8,1),OFFSET($M$15,0,0,$B$8,1))=EW$13), 1*(_xlfn._xlws.FILTER(OFFSET($O$15,0,$DO114,$B$8,1),OFFSET($M$15,0,0,$B$8,1))=EW$14))   /   SUM(OFFSET($BO$15,0,0,$B$14,1)) + $B$18/($B$19*$B$19*($DN114&lt;&gt;$DO114) + $B$19*($DN114=$DO114))</f>
        <v>3.7037037037037035E-4</v>
      </c>
      <c r="EX114" s="10" cm="1">
        <f t="array" aca="1" ref="EX114" ca="1">(1-$B$18)*SUMPRODUCT(OFFSET($BO$15,0,0,$B$14,1), 1*(_xlfn._xlws.FILTER(OFFSET($O$15,0,$DN114,$B$8,1),OFFSET($M$15,0,0,$B$8,1))=EX$13), 1*(_xlfn._xlws.FILTER(OFFSET($O$15,0,$DO114,$B$8,1),OFFSET($M$15,0,0,$B$8,1))=EX$14))   /   SUM(OFFSET($BO$15,0,0,$B$14,1)) + $B$18/($B$19*$B$19*($DN114&lt;&gt;$DO114) + $B$19*($DN114=$DO114))</f>
        <v>3.7037037037037035E-4</v>
      </c>
      <c r="EY114" s="10" cm="1">
        <f t="array" aca="1" ref="EY114" ca="1">(1-$B$18)*SUMPRODUCT(OFFSET($BO$15,0,0,$B$14,1), 1*(_xlfn._xlws.FILTER(OFFSET($O$15,0,$DN114,$B$8,1),OFFSET($M$15,0,0,$B$8,1))=EY$13), 1*(_xlfn._xlws.FILTER(OFFSET($O$15,0,$DO114,$B$8,1),OFFSET($M$15,0,0,$B$8,1))=EY$14))   /   SUM(OFFSET($BO$15,0,0,$B$14,1)) + $B$18/($B$19*$B$19*($DN114&lt;&gt;$DO114) + $B$19*($DN114=$DO114))</f>
        <v>3.7037037037037035E-4</v>
      </c>
      <c r="EZ114" s="10" cm="1">
        <f t="array" aca="1" ref="EZ114" ca="1">(1-$B$18)*SUMPRODUCT(OFFSET($BO$15,0,0,$B$14,1), 1*(_xlfn._xlws.FILTER(OFFSET($O$15,0,$DN114,$B$8,1),OFFSET($M$15,0,0,$B$8,1))=EZ$13), 1*(_xlfn._xlws.FILTER(OFFSET($O$15,0,$DO114,$B$8,1),OFFSET($M$15,0,0,$B$8,1))=EZ$14))   /   SUM(OFFSET($BO$15,0,0,$B$14,1)) + $B$18/($B$19*$B$19*($DN114&lt;&gt;$DO114) + $B$19*($DN114=$DO114))</f>
        <v>3.7037037037037035E-4</v>
      </c>
      <c r="FA114" s="10" cm="1">
        <f t="array" aca="1" ref="FA114" ca="1">(1-$B$18)*SUMPRODUCT(OFFSET($BO$15,0,0,$B$14,1), 1*(_xlfn._xlws.FILTER(OFFSET($O$15,0,$DN114,$B$8,1),OFFSET($M$15,0,0,$B$8,1))=FA$13), 1*(_xlfn._xlws.FILTER(OFFSET($O$15,0,$DO114,$B$8,1),OFFSET($M$15,0,0,$B$8,1))=FA$14))   /   SUM(OFFSET($BO$15,0,0,$B$14,1)) + $B$18/($B$19*$B$19*($DN114&lt;&gt;$DO114) + $B$19*($DN114=$DO114))</f>
        <v>3.7037037037037035E-4</v>
      </c>
      <c r="FB114" s="10" cm="1">
        <f t="array" aca="1" ref="FB114" ca="1">(1-$B$18)*SUMPRODUCT(OFFSET($BO$15,0,0,$B$14,1), 1*(_xlfn._xlws.FILTER(OFFSET($O$15,0,$DN114,$B$8,1),OFFSET($M$15,0,0,$B$8,1))=FB$13), 1*(_xlfn._xlws.FILTER(OFFSET($O$15,0,$DO114,$B$8,1),OFFSET($M$15,0,0,$B$8,1))=FB$14))   /   SUM(OFFSET($BO$15,0,0,$B$14,1)) + $B$18/($B$19*$B$19*($DN114&lt;&gt;$DO114) + $B$19*($DN114=$DO114))</f>
        <v>3.7037037037037035E-4</v>
      </c>
      <c r="FC114" s="10" cm="1">
        <f t="array" aca="1" ref="FC114" ca="1">(1-$B$18)*SUMPRODUCT(OFFSET($BO$15,0,0,$B$14,1), 1*(_xlfn._xlws.FILTER(OFFSET($O$15,0,$DN114,$B$8,1),OFFSET($M$15,0,0,$B$8,1))=FC$13), 1*(_xlfn._xlws.FILTER(OFFSET($O$15,0,$DO114,$B$8,1),OFFSET($M$15,0,0,$B$8,1))=FC$14))   /   SUM(OFFSET($BO$15,0,0,$B$14,1)) + $B$18/($B$19*$B$19*($DN114&lt;&gt;$DO114) + $B$19*($DN114=$DO114))</f>
        <v>3.7037037037037035E-4</v>
      </c>
      <c r="FD114" s="10" cm="1">
        <f t="array" aca="1" ref="FD114" ca="1">(1-$B$18)*SUMPRODUCT(OFFSET($BO$15,0,0,$B$14,1), 1*(_xlfn._xlws.FILTER(OFFSET($O$15,0,$DN114,$B$8,1),OFFSET($M$15,0,0,$B$8,1))=FD$13), 1*(_xlfn._xlws.FILTER(OFFSET($O$15,0,$DO114,$B$8,1),OFFSET($M$15,0,0,$B$8,1))=FD$14))   /   SUM(OFFSET($BO$15,0,0,$B$14,1)) + $B$18/($B$19*$B$19*($DN114&lt;&gt;$DO114) + $B$19*($DN114=$DO114))</f>
        <v>3.7037037037037035E-4</v>
      </c>
      <c r="FE114" s="10" cm="1">
        <f t="array" aca="1" ref="FE114" ca="1">(1-$B$18)*SUMPRODUCT(OFFSET($BO$15,0,0,$B$14,1), 1*(_xlfn._xlws.FILTER(OFFSET($O$15,0,$DN114,$B$8,1),OFFSET($M$15,0,0,$B$8,1))=FE$13), 1*(_xlfn._xlws.FILTER(OFFSET($O$15,0,$DO114,$B$8,1),OFFSET($M$15,0,0,$B$8,1))=FE$14))   /   SUM(OFFSET($BO$15,0,0,$B$14,1)) + $B$18/($B$19*$B$19*($DN114&lt;&gt;$DO114) + $B$19*($DN114=$DO114))</f>
        <v>3.7037037037037035E-4</v>
      </c>
      <c r="FF114" s="10" cm="1">
        <f t="array" aca="1" ref="FF114" ca="1">(1-$B$18)*SUMPRODUCT(OFFSET($BO$15,0,0,$B$14,1), 1*(_xlfn._xlws.FILTER(OFFSET($O$15,0,$DN114,$B$8,1),OFFSET($M$15,0,0,$B$8,1))=FF$13), 1*(_xlfn._xlws.FILTER(OFFSET($O$15,0,$DO114,$B$8,1),OFFSET($M$15,0,0,$B$8,1))=FF$14))   /   SUM(OFFSET($BO$15,0,0,$B$14,1)) + $B$18/($B$19*$B$19*($DN114&lt;&gt;$DO114) + $B$19*($DN114=$DO114))</f>
        <v>3.7037037037037035E-4</v>
      </c>
      <c r="FG114" s="10" cm="1">
        <f t="array" aca="1" ref="FG114" ca="1">(1-$B$18)*SUMPRODUCT(OFFSET($BO$15,0,0,$B$14,1), 1*(_xlfn._xlws.FILTER(OFFSET($O$15,0,$DN114,$B$8,1),OFFSET($M$15,0,0,$B$8,1))=FG$13), 1*(_xlfn._xlws.FILTER(OFFSET($O$15,0,$DO114,$B$8,1),OFFSET($M$15,0,0,$B$8,1))=FG$14))   /   SUM(OFFSET($BO$15,0,0,$B$14,1)) + $B$18/($B$19*$B$19*($DN114&lt;&gt;$DO114) + $B$19*($DN114=$DO114))</f>
        <v>3.7037037037037035E-4</v>
      </c>
      <c r="FH114" s="10" cm="1">
        <f t="array" aca="1" ref="FH114" ca="1">(1-$B$18)*SUMPRODUCT(OFFSET($BO$15,0,0,$B$14,1), 1*(_xlfn._xlws.FILTER(OFFSET($O$15,0,$DN114,$B$8,1),OFFSET($M$15,0,0,$B$8,1))=FH$13), 1*(_xlfn._xlws.FILTER(OFFSET($O$15,0,$DO114,$B$8,1),OFFSET($M$15,0,0,$B$8,1))=FH$14))   /   SUM(OFFSET($BO$15,0,0,$B$14,1)) + $B$18/($B$19*$B$19*($DN114&lt;&gt;$DO114) + $B$19*($DN114=$DO114))</f>
        <v>3.7037037037037035E-4</v>
      </c>
      <c r="FI114" s="10" cm="1">
        <f t="array" aca="1" ref="FI114" ca="1">(1-$B$18)*SUMPRODUCT(OFFSET($BO$15,0,0,$B$14,1), 1*(_xlfn._xlws.FILTER(OFFSET($O$15,0,$DN114,$B$8,1),OFFSET($M$15,0,0,$B$8,1))=FI$13), 1*(_xlfn._xlws.FILTER(OFFSET($O$15,0,$DO114,$B$8,1),OFFSET($M$15,0,0,$B$8,1))=FI$14))   /   SUM(OFFSET($BO$15,0,0,$B$14,1)) + $B$18/($B$19*$B$19*($DN114&lt;&gt;$DO114) + $B$19*($DN114=$DO114))</f>
        <v>3.7037037037037035E-4</v>
      </c>
      <c r="FJ114" s="10" cm="1">
        <f t="array" aca="1" ref="FJ114" ca="1">(1-$B$18)*SUMPRODUCT(OFFSET($BO$15,0,0,$B$14,1), 1*(_xlfn._xlws.FILTER(OFFSET($O$15,0,$DN114,$B$8,1),OFFSET($M$15,0,0,$B$8,1))=FJ$13), 1*(_xlfn._xlws.FILTER(OFFSET($O$15,0,$DO114,$B$8,1),OFFSET($M$15,0,0,$B$8,1))=FJ$14))   /   SUM(OFFSET($BO$15,0,0,$B$14,1)) + $B$18/($B$19*$B$19*($DN114&lt;&gt;$DO114) + $B$19*($DN114=$DO114))</f>
        <v>3.7037037037037035E-4</v>
      </c>
      <c r="FK114" s="10" cm="1">
        <f t="array" aca="1" ref="FK114" ca="1">(1-$B$18)*SUMPRODUCT(OFFSET($BO$15,0,0,$B$14,1), 1*(_xlfn._xlws.FILTER(OFFSET($O$15,0,$DN114,$B$8,1),OFFSET($M$15,0,0,$B$8,1))=FK$13), 1*(_xlfn._xlws.FILTER(OFFSET($O$15,0,$DO114,$B$8,1),OFFSET($M$15,0,0,$B$8,1))=FK$14))   /   SUM(OFFSET($BO$15,0,0,$B$14,1)) + $B$18/($B$19*$B$19*($DN114&lt;&gt;$DO114) + $B$19*($DN114=$DO114))</f>
        <v>3.7037037037037035E-4</v>
      </c>
      <c r="FL114" s="10" cm="1">
        <f t="array" aca="1" ref="FL114" ca="1">(1-$B$18)*SUMPRODUCT(OFFSET($BO$15,0,0,$B$14,1), 1*(_xlfn._xlws.FILTER(OFFSET($O$15,0,$DN114,$B$8,1),OFFSET($M$15,0,0,$B$8,1))=FL$13), 1*(_xlfn._xlws.FILTER(OFFSET($O$15,0,$DO114,$B$8,1),OFFSET($M$15,0,0,$B$8,1))=FL$14))   /   SUM(OFFSET($BO$15,0,0,$B$14,1)) + $B$18/($B$19*$B$19*($DN114&lt;&gt;$DO114) + $B$19*($DN114=$DO114))</f>
        <v>3.7037037037037035E-4</v>
      </c>
      <c r="FM114" s="10" cm="1">
        <f t="array" aca="1" ref="FM114" ca="1">(1-$B$18)*SUMPRODUCT(OFFSET($BO$15,0,0,$B$14,1), 1*(_xlfn._xlws.FILTER(OFFSET($O$15,0,$DN114,$B$8,1),OFFSET($M$15,0,0,$B$8,1))=FM$13), 1*(_xlfn._xlws.FILTER(OFFSET($O$15,0,$DO114,$B$8,1),OFFSET($M$15,0,0,$B$8,1))=FM$14))   /   SUM(OFFSET($BO$15,0,0,$B$14,1)) + $B$18/($B$19*$B$19*($DN114&lt;&gt;$DO114) + $B$19*($DN114=$DO114))</f>
        <v>3.7037037037037035E-4</v>
      </c>
      <c r="FN114" s="10" cm="1">
        <f t="array" aca="1" ref="FN114" ca="1">(1-$B$18)*SUMPRODUCT(OFFSET($BO$15,0,0,$B$14,1), 1*(_xlfn._xlws.FILTER(OFFSET($O$15,0,$DN114,$B$8,1),OFFSET($M$15,0,0,$B$8,1))=FN$13), 1*(_xlfn._xlws.FILTER(OFFSET($O$15,0,$DO114,$B$8,1),OFFSET($M$15,0,0,$B$8,1))=FN$14))   /   SUM(OFFSET($BO$15,0,0,$B$14,1)) + $B$18/($B$19*$B$19*($DN114&lt;&gt;$DO114) + $B$19*($DN114=$DO114))</f>
        <v>3.7037037037037035E-4</v>
      </c>
      <c r="FO114" s="10" cm="1">
        <f t="array" aca="1" ref="FO114" ca="1">(1-$B$18)*SUMPRODUCT(OFFSET($BO$15,0,0,$B$14,1), 1*(_xlfn._xlws.FILTER(OFFSET($O$15,0,$DN114,$B$8,1),OFFSET($M$15,0,0,$B$8,1))=FO$13), 1*(_xlfn._xlws.FILTER(OFFSET($O$15,0,$DO114,$B$8,1),OFFSET($M$15,0,0,$B$8,1))=FO$14))   /   SUM(OFFSET($BO$15,0,0,$B$14,1)) + $B$18/($B$19*$B$19*($DN114&lt;&gt;$DO114) + $B$19*($DN114=$DO114))</f>
        <v>3.7037037037037035E-4</v>
      </c>
      <c r="FP114" s="10" cm="1">
        <f t="array" aca="1" ref="FP114" ca="1">(1-$B$18)*SUMPRODUCT(OFFSET($BO$15,0,0,$B$14,1), 1*(_xlfn._xlws.FILTER(OFFSET($O$15,0,$DN114,$B$8,1),OFFSET($M$15,0,0,$B$8,1))=FP$13), 1*(_xlfn._xlws.FILTER(OFFSET($O$15,0,$DO114,$B$8,1),OFFSET($M$15,0,0,$B$8,1))=FP$14))   /   SUM(OFFSET($BO$15,0,0,$B$14,1)) + $B$18/($B$19*$B$19*($DN114&lt;&gt;$DO114) + $B$19*($DN114=$DO114))</f>
        <v>3.7037037037037035E-4</v>
      </c>
      <c r="FQ114" s="10" cm="1">
        <f t="array" aca="1" ref="FQ114" ca="1">(1-$B$18)*SUMPRODUCT(OFFSET($BO$15,0,0,$B$14,1), 1*(_xlfn._xlws.FILTER(OFFSET($O$15,0,$DN114,$B$8,1),OFFSET($M$15,0,0,$B$8,1))=FQ$13), 1*(_xlfn._xlws.FILTER(OFFSET($O$15,0,$DO114,$B$8,1),OFFSET($M$15,0,0,$B$8,1))=FQ$14))   /   SUM(OFFSET($BO$15,0,0,$B$14,1)) + $B$18/($B$19*$B$19*($DN114&lt;&gt;$DO114) + $B$19*($DN114=$DO114))</f>
        <v>3.7037037037037035E-4</v>
      </c>
      <c r="FR114" s="10" cm="1">
        <f t="array" aca="1" ref="FR114" ca="1">(1-$B$18)*SUMPRODUCT(OFFSET($BO$15,0,0,$B$14,1), 1*(_xlfn._xlws.FILTER(OFFSET($O$15,0,$DN114,$B$8,1),OFFSET($M$15,0,0,$B$8,1))=FR$13), 1*(_xlfn._xlws.FILTER(OFFSET($O$15,0,$DO114,$B$8,1),OFFSET($M$15,0,0,$B$8,1))=FR$14))   /   SUM(OFFSET($BO$15,0,0,$B$14,1)) + $B$18/($B$19*$B$19*($DN114&lt;&gt;$DO114) + $B$19*($DN114=$DO114))</f>
        <v>0.97037037037037033</v>
      </c>
      <c r="FS114" s="10" cm="1">
        <f t="array" aca="1" ref="FS114" ca="1">(1-$B$18)*SUMPRODUCT(OFFSET($BO$15,0,0,$B$14,1), 1*(_xlfn._xlws.FILTER(OFFSET($O$15,0,$DN114,$B$8,1),OFFSET($M$15,0,0,$B$8,1))=FS$13), 1*(_xlfn._xlws.FILTER(OFFSET($O$15,0,$DO114,$B$8,1),OFFSET($M$15,0,0,$B$8,1))=FS$14))   /   SUM(OFFSET($BO$15,0,0,$B$14,1)) + $B$18/($B$19*$B$19*($DN114&lt;&gt;$DO114) + $B$19*($DN114=$DO114))</f>
        <v>3.7037037037037035E-4</v>
      </c>
      <c r="FT114" s="10" cm="1">
        <f t="array" aca="1" ref="FT114" ca="1">(1-$B$18)*SUMPRODUCT(OFFSET($BO$15,0,0,$B$14,1), 1*(_xlfn._xlws.FILTER(OFFSET($O$15,0,$DN114,$B$8,1),OFFSET($M$15,0,0,$B$8,1))=FT$13), 1*(_xlfn._xlws.FILTER(OFFSET($O$15,0,$DO114,$B$8,1),OFFSET($M$15,0,0,$B$8,1))=FT$14))   /   SUM(OFFSET($BO$15,0,0,$B$14,1)) + $B$18/($B$19*$B$19*($DN114&lt;&gt;$DO114) + $B$19*($DN114=$DO114))</f>
        <v>3.7037037037037035E-4</v>
      </c>
      <c r="FU114" s="10" cm="1">
        <f t="array" aca="1" ref="FU114" ca="1">(1-$B$18)*SUMPRODUCT(OFFSET($BO$15,0,0,$B$14,1), 1*(_xlfn._xlws.FILTER(OFFSET($O$15,0,$DN114,$B$8,1),OFFSET($M$15,0,0,$B$8,1))=FU$13), 1*(_xlfn._xlws.FILTER(OFFSET($O$15,0,$DO114,$B$8,1),OFFSET($M$15,0,0,$B$8,1))=FU$14))   /   SUM(OFFSET($BO$15,0,0,$B$14,1)) + $B$18/($B$19*$B$19*($DN114&lt;&gt;$DO114) + $B$19*($DN114=$DO114))</f>
        <v>3.7037037037037035E-4</v>
      </c>
      <c r="FV114" s="10" cm="1">
        <f t="array" aca="1" ref="FV114" ca="1">(1-$B$18)*SUMPRODUCT(OFFSET($BO$15,0,0,$B$14,1), 1*(_xlfn._xlws.FILTER(OFFSET($O$15,0,$DN114,$B$8,1),OFFSET($M$15,0,0,$B$8,1))=FV$13), 1*(_xlfn._xlws.FILTER(OFFSET($O$15,0,$DO114,$B$8,1),OFFSET($M$15,0,0,$B$8,1))=FV$14))   /   SUM(OFFSET($BO$15,0,0,$B$14,1)) + $B$18/($B$19*$B$19*($DN114&lt;&gt;$DO114) + $B$19*($DN114=$DO114))</f>
        <v>3.7037037037037035E-4</v>
      </c>
      <c r="FW114" s="10" cm="1">
        <f t="array" aca="1" ref="FW114" ca="1">(1-$B$18)*SUMPRODUCT(OFFSET($BO$15,0,0,$B$14,1), 1*(_xlfn._xlws.FILTER(OFFSET($O$15,0,$DN114,$B$8,1),OFFSET($M$15,0,0,$B$8,1))=FW$13), 1*(_xlfn._xlws.FILTER(OFFSET($O$15,0,$DO114,$B$8,1),OFFSET($M$15,0,0,$B$8,1))=FW$14))   /   SUM(OFFSET($BO$15,0,0,$B$14,1)) + $B$18/($B$19*$B$19*($DN114&lt;&gt;$DO114) + $B$19*($DN114=$DO114))</f>
        <v>3.7037037037037035E-4</v>
      </c>
      <c r="FX114" s="10" cm="1">
        <f t="array" aca="1" ref="FX114" ca="1">(1-$B$18)*SUMPRODUCT(OFFSET($BO$15,0,0,$B$14,1), 1*(_xlfn._xlws.FILTER(OFFSET($O$15,0,$DN114,$B$8,1),OFFSET($M$15,0,0,$B$8,1))=FX$13), 1*(_xlfn._xlws.FILTER(OFFSET($O$15,0,$DO114,$B$8,1),OFFSET($M$15,0,0,$B$8,1))=FX$14))   /   SUM(OFFSET($BO$15,0,0,$B$14,1)) + $B$18/($B$19*$B$19*($DN114&lt;&gt;$DO114) + $B$19*($DN114=$DO114))</f>
        <v>3.7037037037037035E-4</v>
      </c>
      <c r="FY114" s="10" cm="1">
        <f t="array" aca="1" ref="FY114" ca="1">(1-$B$18)*SUMPRODUCT(OFFSET($BO$15,0,0,$B$14,1), 1*(_xlfn._xlws.FILTER(OFFSET($O$15,0,$DN114,$B$8,1),OFFSET($M$15,0,0,$B$8,1))=FY$13), 1*(_xlfn._xlws.FILTER(OFFSET($O$15,0,$DO114,$B$8,1),OFFSET($M$15,0,0,$B$8,1))=FY$14))   /   SUM(OFFSET($BO$15,0,0,$B$14,1)) + $B$18/($B$19*$B$19*($DN114&lt;&gt;$DO114) + $B$19*($DN114=$DO114))</f>
        <v>3.7037037037037035E-4</v>
      </c>
      <c r="FZ114" s="10" cm="1">
        <f t="array" aca="1" ref="FZ114" ca="1">(1-$B$18)*SUMPRODUCT(OFFSET($BO$15,0,0,$B$14,1), 1*(_xlfn._xlws.FILTER(OFFSET($O$15,0,$DN114,$B$8,1),OFFSET($M$15,0,0,$B$8,1))=FZ$13), 1*(_xlfn._xlws.FILTER(OFFSET($O$15,0,$DO114,$B$8,1),OFFSET($M$15,0,0,$B$8,1))=FZ$14))   /   SUM(OFFSET($BO$15,0,0,$B$14,1)) + $B$18/($B$19*$B$19*($DN114&lt;&gt;$DO114) + $B$19*($DN114=$DO114))</f>
        <v>3.7037037037037035E-4</v>
      </c>
      <c r="GA114" s="10" cm="1">
        <f t="array" aca="1" ref="GA114" ca="1">(1-$B$18)*SUMPRODUCT(OFFSET($BO$15,0,0,$B$14,1), 1*(_xlfn._xlws.FILTER(OFFSET($O$15,0,$DN114,$B$8,1),OFFSET($M$15,0,0,$B$8,1))=GA$13), 1*(_xlfn._xlws.FILTER(OFFSET($O$15,0,$DO114,$B$8,1),OFFSET($M$15,0,0,$B$8,1))=GA$14))   /   SUM(OFFSET($BO$15,0,0,$B$14,1)) + $B$18/($B$19*$B$19*($DN114&lt;&gt;$DO114) + $B$19*($DN114=$DO114))</f>
        <v>3.7037037037037035E-4</v>
      </c>
    </row>
    <row r="115" spans="7:183" x14ac:dyDescent="0.2">
      <c r="DN115" cm="1">
        <f t="array" aca="1" ref="DN115" ca="1">INDEX(_xlfn.ANCHORARRAY($CP$15), 1 + INT((ROWS($DO$15:$DO115) - 1) / ROWS(_xlfn.ANCHORARRAY($CP$15))))</f>
        <v>5</v>
      </c>
      <c r="DO115" cm="1">
        <f t="array" aca="1" ref="DO115" ca="1">INDEX(_xlfn.ANCHORARRAY($CP$15),1+MOD(ROWS($DO$15:$DO115)-1,ROWS(_xlfn.ANCHORARRAY($CP$15))))</f>
        <v>5</v>
      </c>
      <c r="DP115" s="10" cm="1">
        <f t="array" aca="1" ref="DP115" ca="1">(1-$B$18)*SUMPRODUCT(OFFSET($BO$15,0,0,$B$14,1), 1*(_xlfn._xlws.FILTER(OFFSET($O$15,0,$DN115,$B$8,1),OFFSET($M$15,0,0,$B$8,1))=DP$13), 1*(_xlfn._xlws.FILTER(OFFSET($O$15,0,$DO115,$B$8,1),OFFSET($M$15,0,0,$B$8,1))=DP$14))   /   SUM(OFFSET($BO$15,0,0,$B$14,1)) + $B$18/($B$19*$B$19*($DN115&lt;&gt;$DO115) + $B$19*($DN115=$DO115))</f>
        <v>3.3333333333333331E-3</v>
      </c>
      <c r="DQ115" s="10" cm="1">
        <f t="array" aca="1" ref="DQ115" ca="1">(1-$B$18)*SUMPRODUCT(OFFSET($BO$15,0,0,$B$14,1), 1*(_xlfn._xlws.FILTER(OFFSET($O$15,0,$DN115,$B$8,1),OFFSET($M$15,0,0,$B$8,1))=DQ$13), 1*(_xlfn._xlws.FILTER(OFFSET($O$15,0,$DO115,$B$8,1),OFFSET($M$15,0,0,$B$8,1))=DQ$14))   /   SUM(OFFSET($BO$15,0,0,$B$14,1)) + $B$18/($B$19*$B$19*($DN115&lt;&gt;$DO115) + $B$19*($DN115=$DO115))</f>
        <v>3.3333333333333331E-3</v>
      </c>
      <c r="DR115" s="10" cm="1">
        <f t="array" aca="1" ref="DR115" ca="1">(1-$B$18)*SUMPRODUCT(OFFSET($BO$15,0,0,$B$14,1), 1*(_xlfn._xlws.FILTER(OFFSET($O$15,0,$DN115,$B$8,1),OFFSET($M$15,0,0,$B$8,1))=DR$13), 1*(_xlfn._xlws.FILTER(OFFSET($O$15,0,$DO115,$B$8,1),OFFSET($M$15,0,0,$B$8,1))=DR$14))   /   SUM(OFFSET($BO$15,0,0,$B$14,1)) + $B$18/($B$19*$B$19*($DN115&lt;&gt;$DO115) + $B$19*($DN115=$DO115))</f>
        <v>3.3333333333333331E-3</v>
      </c>
      <c r="DS115" s="10" cm="1">
        <f t="array" aca="1" ref="DS115" ca="1">(1-$B$18)*SUMPRODUCT(OFFSET($BO$15,0,0,$B$14,1), 1*(_xlfn._xlws.FILTER(OFFSET($O$15,0,$DN115,$B$8,1),OFFSET($M$15,0,0,$B$8,1))=DS$13), 1*(_xlfn._xlws.FILTER(OFFSET($O$15,0,$DO115,$B$8,1),OFFSET($M$15,0,0,$B$8,1))=DS$14))   /   SUM(OFFSET($BO$15,0,0,$B$14,1)) + $B$18/($B$19*$B$19*($DN115&lt;&gt;$DO115) + $B$19*($DN115=$DO115))</f>
        <v>3.3333333333333331E-3</v>
      </c>
      <c r="DT115" s="10" cm="1">
        <f t="array" aca="1" ref="DT115" ca="1">(1-$B$18)*SUMPRODUCT(OFFSET($BO$15,0,0,$B$14,1), 1*(_xlfn._xlws.FILTER(OFFSET($O$15,0,$DN115,$B$8,1),OFFSET($M$15,0,0,$B$8,1))=DT$13), 1*(_xlfn._xlws.FILTER(OFFSET($O$15,0,$DO115,$B$8,1),OFFSET($M$15,0,0,$B$8,1))=DT$14))   /   SUM(OFFSET($BO$15,0,0,$B$14,1)) + $B$18/($B$19*$B$19*($DN115&lt;&gt;$DO115) + $B$19*($DN115=$DO115))</f>
        <v>3.3333333333333331E-3</v>
      </c>
      <c r="DU115" s="10" cm="1">
        <f t="array" aca="1" ref="DU115" ca="1">(1-$B$18)*SUMPRODUCT(OFFSET($BO$15,0,0,$B$14,1), 1*(_xlfn._xlws.FILTER(OFFSET($O$15,0,$DN115,$B$8,1),OFFSET($M$15,0,0,$B$8,1))=DU$13), 1*(_xlfn._xlws.FILTER(OFFSET($O$15,0,$DO115,$B$8,1),OFFSET($M$15,0,0,$B$8,1))=DU$14))   /   SUM(OFFSET($BO$15,0,0,$B$14,1)) + $B$18/($B$19*$B$19*($DN115&lt;&gt;$DO115) + $B$19*($DN115=$DO115))</f>
        <v>3.3333333333333331E-3</v>
      </c>
      <c r="DV115" s="10" cm="1">
        <f t="array" aca="1" ref="DV115" ca="1">(1-$B$18)*SUMPRODUCT(OFFSET($BO$15,0,0,$B$14,1), 1*(_xlfn._xlws.FILTER(OFFSET($O$15,0,$DN115,$B$8,1),OFFSET($M$15,0,0,$B$8,1))=DV$13), 1*(_xlfn._xlws.FILTER(OFFSET($O$15,0,$DO115,$B$8,1),OFFSET($M$15,0,0,$B$8,1))=DV$14))   /   SUM(OFFSET($BO$15,0,0,$B$14,1)) + $B$18/($B$19*$B$19*($DN115&lt;&gt;$DO115) + $B$19*($DN115=$DO115))</f>
        <v>3.3333333333333331E-3</v>
      </c>
      <c r="DW115" s="10" cm="1">
        <f t="array" aca="1" ref="DW115" ca="1">(1-$B$18)*SUMPRODUCT(OFFSET($BO$15,0,0,$B$14,1), 1*(_xlfn._xlws.FILTER(OFFSET($O$15,0,$DN115,$B$8,1),OFFSET($M$15,0,0,$B$8,1))=DW$13), 1*(_xlfn._xlws.FILTER(OFFSET($O$15,0,$DO115,$B$8,1),OFFSET($M$15,0,0,$B$8,1))=DW$14))   /   SUM(OFFSET($BO$15,0,0,$B$14,1)) + $B$18/($B$19*$B$19*($DN115&lt;&gt;$DO115) + $B$19*($DN115=$DO115))</f>
        <v>3.3333333333333331E-3</v>
      </c>
      <c r="DX115" s="10" cm="1">
        <f t="array" aca="1" ref="DX115" ca="1">(1-$B$18)*SUMPRODUCT(OFFSET($BO$15,0,0,$B$14,1), 1*(_xlfn._xlws.FILTER(OFFSET($O$15,0,$DN115,$B$8,1),OFFSET($M$15,0,0,$B$8,1))=DX$13), 1*(_xlfn._xlws.FILTER(OFFSET($O$15,0,$DO115,$B$8,1),OFFSET($M$15,0,0,$B$8,1))=DX$14))   /   SUM(OFFSET($BO$15,0,0,$B$14,1)) + $B$18/($B$19*$B$19*($DN115&lt;&gt;$DO115) + $B$19*($DN115=$DO115))</f>
        <v>3.3333333333333331E-3</v>
      </c>
      <c r="DY115" s="10" cm="1">
        <f t="array" aca="1" ref="DY115" ca="1">(1-$B$18)*SUMPRODUCT(OFFSET($BO$15,0,0,$B$14,1), 1*(_xlfn._xlws.FILTER(OFFSET($O$15,0,$DN115,$B$8,1),OFFSET($M$15,0,0,$B$8,1))=DY$13), 1*(_xlfn._xlws.FILTER(OFFSET($O$15,0,$DO115,$B$8,1),OFFSET($M$15,0,0,$B$8,1))=DY$14))   /   SUM(OFFSET($BO$15,0,0,$B$14,1)) + $B$18/($B$19*$B$19*($DN115&lt;&gt;$DO115) + $B$19*($DN115=$DO115))</f>
        <v>3.3333333333333331E-3</v>
      </c>
      <c r="DZ115" s="10" cm="1">
        <f t="array" aca="1" ref="DZ115" ca="1">(1-$B$18)*SUMPRODUCT(OFFSET($BO$15,0,0,$B$14,1), 1*(_xlfn._xlws.FILTER(OFFSET($O$15,0,$DN115,$B$8,1),OFFSET($M$15,0,0,$B$8,1))=DZ$13), 1*(_xlfn._xlws.FILTER(OFFSET($O$15,0,$DO115,$B$8,1),OFFSET($M$15,0,0,$B$8,1))=DZ$14))   /   SUM(OFFSET($BO$15,0,0,$B$14,1)) + $B$18/($B$19*$B$19*($DN115&lt;&gt;$DO115) + $B$19*($DN115=$DO115))</f>
        <v>3.3333333333333331E-3</v>
      </c>
      <c r="EA115" s="10" cm="1">
        <f t="array" aca="1" ref="EA115" ca="1">(1-$B$18)*SUMPRODUCT(OFFSET($BO$15,0,0,$B$14,1), 1*(_xlfn._xlws.FILTER(OFFSET($O$15,0,$DN115,$B$8,1),OFFSET($M$15,0,0,$B$8,1))=EA$13), 1*(_xlfn._xlws.FILTER(OFFSET($O$15,0,$DO115,$B$8,1),OFFSET($M$15,0,0,$B$8,1))=EA$14))   /   SUM(OFFSET($BO$15,0,0,$B$14,1)) + $B$18/($B$19*$B$19*($DN115&lt;&gt;$DO115) + $B$19*($DN115=$DO115))</f>
        <v>3.3333333333333331E-3</v>
      </c>
      <c r="EB115" s="10" cm="1">
        <f t="array" aca="1" ref="EB115" ca="1">(1-$B$18)*SUMPRODUCT(OFFSET($BO$15,0,0,$B$14,1), 1*(_xlfn._xlws.FILTER(OFFSET($O$15,0,$DN115,$B$8,1),OFFSET($M$15,0,0,$B$8,1))=EB$13), 1*(_xlfn._xlws.FILTER(OFFSET($O$15,0,$DO115,$B$8,1),OFFSET($M$15,0,0,$B$8,1))=EB$14))   /   SUM(OFFSET($BO$15,0,0,$B$14,1)) + $B$18/($B$19*$B$19*($DN115&lt;&gt;$DO115) + $B$19*($DN115=$DO115))</f>
        <v>3.3333333333333331E-3</v>
      </c>
      <c r="EC115" s="10" cm="1">
        <f t="array" aca="1" ref="EC115" ca="1">(1-$B$18)*SUMPRODUCT(OFFSET($BO$15,0,0,$B$14,1), 1*(_xlfn._xlws.FILTER(OFFSET($O$15,0,$DN115,$B$8,1),OFFSET($M$15,0,0,$B$8,1))=EC$13), 1*(_xlfn._xlws.FILTER(OFFSET($O$15,0,$DO115,$B$8,1),OFFSET($M$15,0,0,$B$8,1))=EC$14))   /   SUM(OFFSET($BO$15,0,0,$B$14,1)) + $B$18/($B$19*$B$19*($DN115&lt;&gt;$DO115) + $B$19*($DN115=$DO115))</f>
        <v>3.3333333333333331E-3</v>
      </c>
      <c r="ED115" s="10" cm="1">
        <f t="array" aca="1" ref="ED115" ca="1">(1-$B$18)*SUMPRODUCT(OFFSET($BO$15,0,0,$B$14,1), 1*(_xlfn._xlws.FILTER(OFFSET($O$15,0,$DN115,$B$8,1),OFFSET($M$15,0,0,$B$8,1))=ED$13), 1*(_xlfn._xlws.FILTER(OFFSET($O$15,0,$DO115,$B$8,1),OFFSET($M$15,0,0,$B$8,1))=ED$14))   /   SUM(OFFSET($BO$15,0,0,$B$14,1)) + $B$18/($B$19*$B$19*($DN115&lt;&gt;$DO115) + $B$19*($DN115=$DO115))</f>
        <v>3.3333333333333331E-3</v>
      </c>
      <c r="EE115" s="10" cm="1">
        <f t="array" aca="1" ref="EE115" ca="1">(1-$B$18)*SUMPRODUCT(OFFSET($BO$15,0,0,$B$14,1), 1*(_xlfn._xlws.FILTER(OFFSET($O$15,0,$DN115,$B$8,1),OFFSET($M$15,0,0,$B$8,1))=EE$13), 1*(_xlfn._xlws.FILTER(OFFSET($O$15,0,$DO115,$B$8,1),OFFSET($M$15,0,0,$B$8,1))=EE$14))   /   SUM(OFFSET($BO$15,0,0,$B$14,1)) + $B$18/($B$19*$B$19*($DN115&lt;&gt;$DO115) + $B$19*($DN115=$DO115))</f>
        <v>3.3333333333333331E-3</v>
      </c>
      <c r="EF115" s="10" cm="1">
        <f t="array" aca="1" ref="EF115" ca="1">(1-$B$18)*SUMPRODUCT(OFFSET($BO$15,0,0,$B$14,1), 1*(_xlfn._xlws.FILTER(OFFSET($O$15,0,$DN115,$B$8,1),OFFSET($M$15,0,0,$B$8,1))=EF$13), 1*(_xlfn._xlws.FILTER(OFFSET($O$15,0,$DO115,$B$8,1),OFFSET($M$15,0,0,$B$8,1))=EF$14))   /   SUM(OFFSET($BO$15,0,0,$B$14,1)) + $B$18/($B$19*$B$19*($DN115&lt;&gt;$DO115) + $B$19*($DN115=$DO115))</f>
        <v>3.3333333333333331E-3</v>
      </c>
      <c r="EG115" s="10" cm="1">
        <f t="array" aca="1" ref="EG115" ca="1">(1-$B$18)*SUMPRODUCT(OFFSET($BO$15,0,0,$B$14,1), 1*(_xlfn._xlws.FILTER(OFFSET($O$15,0,$DN115,$B$8,1),OFFSET($M$15,0,0,$B$8,1))=EG$13), 1*(_xlfn._xlws.FILTER(OFFSET($O$15,0,$DO115,$B$8,1),OFFSET($M$15,0,0,$B$8,1))=EG$14))   /   SUM(OFFSET($BO$15,0,0,$B$14,1)) + $B$18/($B$19*$B$19*($DN115&lt;&gt;$DO115) + $B$19*($DN115=$DO115))</f>
        <v>3.3333333333333331E-3</v>
      </c>
      <c r="EH115" s="10" cm="1">
        <f t="array" aca="1" ref="EH115" ca="1">(1-$B$18)*SUMPRODUCT(OFFSET($BO$15,0,0,$B$14,1), 1*(_xlfn._xlws.FILTER(OFFSET($O$15,0,$DN115,$B$8,1),OFFSET($M$15,0,0,$B$8,1))=EH$13), 1*(_xlfn._xlws.FILTER(OFFSET($O$15,0,$DO115,$B$8,1),OFFSET($M$15,0,0,$B$8,1))=EH$14))   /   SUM(OFFSET($BO$15,0,0,$B$14,1)) + $B$18/($B$19*$B$19*($DN115&lt;&gt;$DO115) + $B$19*($DN115=$DO115))</f>
        <v>3.3333333333333331E-3</v>
      </c>
      <c r="EI115" s="10" cm="1">
        <f t="array" aca="1" ref="EI115" ca="1">(1-$B$18)*SUMPRODUCT(OFFSET($BO$15,0,0,$B$14,1), 1*(_xlfn._xlws.FILTER(OFFSET($O$15,0,$DN115,$B$8,1),OFFSET($M$15,0,0,$B$8,1))=EI$13), 1*(_xlfn._xlws.FILTER(OFFSET($O$15,0,$DO115,$B$8,1),OFFSET($M$15,0,0,$B$8,1))=EI$14))   /   SUM(OFFSET($BO$15,0,0,$B$14,1)) + $B$18/($B$19*$B$19*($DN115&lt;&gt;$DO115) + $B$19*($DN115=$DO115))</f>
        <v>3.3333333333333331E-3</v>
      </c>
      <c r="EJ115" s="10" cm="1">
        <f t="array" aca="1" ref="EJ115" ca="1">(1-$B$18)*SUMPRODUCT(OFFSET($BO$15,0,0,$B$14,1), 1*(_xlfn._xlws.FILTER(OFFSET($O$15,0,$DN115,$B$8,1),OFFSET($M$15,0,0,$B$8,1))=EJ$13), 1*(_xlfn._xlws.FILTER(OFFSET($O$15,0,$DO115,$B$8,1),OFFSET($M$15,0,0,$B$8,1))=EJ$14))   /   SUM(OFFSET($BO$15,0,0,$B$14,1)) + $B$18/($B$19*$B$19*($DN115&lt;&gt;$DO115) + $B$19*($DN115=$DO115))</f>
        <v>3.3333333333333331E-3</v>
      </c>
      <c r="EK115" s="10" cm="1">
        <f t="array" aca="1" ref="EK115" ca="1">(1-$B$18)*SUMPRODUCT(OFFSET($BO$15,0,0,$B$14,1), 1*(_xlfn._xlws.FILTER(OFFSET($O$15,0,$DN115,$B$8,1),OFFSET($M$15,0,0,$B$8,1))=EK$13), 1*(_xlfn._xlws.FILTER(OFFSET($O$15,0,$DO115,$B$8,1),OFFSET($M$15,0,0,$B$8,1))=EK$14))   /   SUM(OFFSET($BO$15,0,0,$B$14,1)) + $B$18/($B$19*$B$19*($DN115&lt;&gt;$DO115) + $B$19*($DN115=$DO115))</f>
        <v>3.3333333333333331E-3</v>
      </c>
      <c r="EL115" s="10" cm="1">
        <f t="array" aca="1" ref="EL115" ca="1">(1-$B$18)*SUMPRODUCT(OFFSET($BO$15,0,0,$B$14,1), 1*(_xlfn._xlws.FILTER(OFFSET($O$15,0,$DN115,$B$8,1),OFFSET($M$15,0,0,$B$8,1))=EL$13), 1*(_xlfn._xlws.FILTER(OFFSET($O$15,0,$DO115,$B$8,1),OFFSET($M$15,0,0,$B$8,1))=EL$14))   /   SUM(OFFSET($BO$15,0,0,$B$14,1)) + $B$18/($B$19*$B$19*($DN115&lt;&gt;$DO115) + $B$19*($DN115=$DO115))</f>
        <v>3.3333333333333331E-3</v>
      </c>
      <c r="EM115" s="10" cm="1">
        <f t="array" aca="1" ref="EM115" ca="1">(1-$B$18)*SUMPRODUCT(OFFSET($BO$15,0,0,$B$14,1), 1*(_xlfn._xlws.FILTER(OFFSET($O$15,0,$DN115,$B$8,1),OFFSET($M$15,0,0,$B$8,1))=EM$13), 1*(_xlfn._xlws.FILTER(OFFSET($O$15,0,$DO115,$B$8,1),OFFSET($M$15,0,0,$B$8,1))=EM$14))   /   SUM(OFFSET($BO$15,0,0,$B$14,1)) + $B$18/($B$19*$B$19*($DN115&lt;&gt;$DO115) + $B$19*($DN115=$DO115))</f>
        <v>3.3333333333333331E-3</v>
      </c>
      <c r="EN115" s="10" cm="1">
        <f t="array" aca="1" ref="EN115" ca="1">(1-$B$18)*SUMPRODUCT(OFFSET($BO$15,0,0,$B$14,1), 1*(_xlfn._xlws.FILTER(OFFSET($O$15,0,$DN115,$B$8,1),OFFSET($M$15,0,0,$B$8,1))=EN$13), 1*(_xlfn._xlws.FILTER(OFFSET($O$15,0,$DO115,$B$8,1),OFFSET($M$15,0,0,$B$8,1))=EN$14))   /   SUM(OFFSET($BO$15,0,0,$B$14,1)) + $B$18/($B$19*$B$19*($DN115&lt;&gt;$DO115) + $B$19*($DN115=$DO115))</f>
        <v>3.3333333333333331E-3</v>
      </c>
      <c r="EO115" s="10" cm="1">
        <f t="array" aca="1" ref="EO115" ca="1">(1-$B$18)*SUMPRODUCT(OFFSET($BO$15,0,0,$B$14,1), 1*(_xlfn._xlws.FILTER(OFFSET($O$15,0,$DN115,$B$8,1),OFFSET($M$15,0,0,$B$8,1))=EO$13), 1*(_xlfn._xlws.FILTER(OFFSET($O$15,0,$DO115,$B$8,1),OFFSET($M$15,0,0,$B$8,1))=EO$14))   /   SUM(OFFSET($BO$15,0,0,$B$14,1)) + $B$18/($B$19*$B$19*($DN115&lt;&gt;$DO115) + $B$19*($DN115=$DO115))</f>
        <v>3.3333333333333331E-3</v>
      </c>
      <c r="EP115" s="10" cm="1">
        <f t="array" aca="1" ref="EP115" ca="1">(1-$B$18)*SUMPRODUCT(OFFSET($BO$15,0,0,$B$14,1), 1*(_xlfn._xlws.FILTER(OFFSET($O$15,0,$DN115,$B$8,1),OFFSET($M$15,0,0,$B$8,1))=EP$13), 1*(_xlfn._xlws.FILTER(OFFSET($O$15,0,$DO115,$B$8,1),OFFSET($M$15,0,0,$B$8,1))=EP$14))   /   SUM(OFFSET($BO$15,0,0,$B$14,1)) + $B$18/($B$19*$B$19*($DN115&lt;&gt;$DO115) + $B$19*($DN115=$DO115))</f>
        <v>3.3333333333333331E-3</v>
      </c>
      <c r="EQ115" s="10" cm="1">
        <f t="array" aca="1" ref="EQ115" ca="1">(1-$B$18)*SUMPRODUCT(OFFSET($BO$15,0,0,$B$14,1), 1*(_xlfn._xlws.FILTER(OFFSET($O$15,0,$DN115,$B$8,1),OFFSET($M$15,0,0,$B$8,1))=EQ$13), 1*(_xlfn._xlws.FILTER(OFFSET($O$15,0,$DO115,$B$8,1),OFFSET($M$15,0,0,$B$8,1))=EQ$14))   /   SUM(OFFSET($BO$15,0,0,$B$14,1)) + $B$18/($B$19*$B$19*($DN115&lt;&gt;$DO115) + $B$19*($DN115=$DO115))</f>
        <v>3.3333333333333331E-3</v>
      </c>
      <c r="ER115" s="10" cm="1">
        <f t="array" aca="1" ref="ER115" ca="1">(1-$B$18)*SUMPRODUCT(OFFSET($BO$15,0,0,$B$14,1), 1*(_xlfn._xlws.FILTER(OFFSET($O$15,0,$DN115,$B$8,1),OFFSET($M$15,0,0,$B$8,1))=ER$13), 1*(_xlfn._xlws.FILTER(OFFSET($O$15,0,$DO115,$B$8,1),OFFSET($M$15,0,0,$B$8,1))=ER$14))   /   SUM(OFFSET($BO$15,0,0,$B$14,1)) + $B$18/($B$19*$B$19*($DN115&lt;&gt;$DO115) + $B$19*($DN115=$DO115))</f>
        <v>3.3333333333333331E-3</v>
      </c>
      <c r="ES115" s="10" cm="1">
        <f t="array" aca="1" ref="ES115" ca="1">(1-$B$18)*SUMPRODUCT(OFFSET($BO$15,0,0,$B$14,1), 1*(_xlfn._xlws.FILTER(OFFSET($O$15,0,$DN115,$B$8,1),OFFSET($M$15,0,0,$B$8,1))=ES$13), 1*(_xlfn._xlws.FILTER(OFFSET($O$15,0,$DO115,$B$8,1),OFFSET($M$15,0,0,$B$8,1))=ES$14))   /   SUM(OFFSET($BO$15,0,0,$B$14,1)) + $B$18/($B$19*$B$19*($DN115&lt;&gt;$DO115) + $B$19*($DN115=$DO115))</f>
        <v>3.3333333333333331E-3</v>
      </c>
      <c r="ET115" s="10" cm="1">
        <f t="array" aca="1" ref="ET115" ca="1">(1-$B$18)*SUMPRODUCT(OFFSET($BO$15,0,0,$B$14,1), 1*(_xlfn._xlws.FILTER(OFFSET($O$15,0,$DN115,$B$8,1),OFFSET($M$15,0,0,$B$8,1))=ET$13), 1*(_xlfn._xlws.FILTER(OFFSET($O$15,0,$DO115,$B$8,1),OFFSET($M$15,0,0,$B$8,1))=ET$14))   /   SUM(OFFSET($BO$15,0,0,$B$14,1)) + $B$18/($B$19*$B$19*($DN115&lt;&gt;$DO115) + $B$19*($DN115=$DO115))</f>
        <v>3.3333333333333331E-3</v>
      </c>
      <c r="EU115" s="10" cm="1">
        <f t="array" aca="1" ref="EU115" ca="1">(1-$B$18)*SUMPRODUCT(OFFSET($BO$15,0,0,$B$14,1), 1*(_xlfn._xlws.FILTER(OFFSET($O$15,0,$DN115,$B$8,1),OFFSET($M$15,0,0,$B$8,1))=EU$13), 1*(_xlfn._xlws.FILTER(OFFSET($O$15,0,$DO115,$B$8,1),OFFSET($M$15,0,0,$B$8,1))=EU$14))   /   SUM(OFFSET($BO$15,0,0,$B$14,1)) + $B$18/($B$19*$B$19*($DN115&lt;&gt;$DO115) + $B$19*($DN115=$DO115))</f>
        <v>3.3333333333333331E-3</v>
      </c>
      <c r="EV115" s="10" cm="1">
        <f t="array" aca="1" ref="EV115" ca="1">(1-$B$18)*SUMPRODUCT(OFFSET($BO$15,0,0,$B$14,1), 1*(_xlfn._xlws.FILTER(OFFSET($O$15,0,$DN115,$B$8,1),OFFSET($M$15,0,0,$B$8,1))=EV$13), 1*(_xlfn._xlws.FILTER(OFFSET($O$15,0,$DO115,$B$8,1),OFFSET($M$15,0,0,$B$8,1))=EV$14))   /   SUM(OFFSET($BO$15,0,0,$B$14,1)) + $B$18/($B$19*$B$19*($DN115&lt;&gt;$DO115) + $B$19*($DN115=$DO115))</f>
        <v>3.3333333333333331E-3</v>
      </c>
      <c r="EW115" s="10" cm="1">
        <f t="array" aca="1" ref="EW115" ca="1">(1-$B$18)*SUMPRODUCT(OFFSET($BO$15,0,0,$B$14,1), 1*(_xlfn._xlws.FILTER(OFFSET($O$15,0,$DN115,$B$8,1),OFFSET($M$15,0,0,$B$8,1))=EW$13), 1*(_xlfn._xlws.FILTER(OFFSET($O$15,0,$DO115,$B$8,1),OFFSET($M$15,0,0,$B$8,1))=EW$14))   /   SUM(OFFSET($BO$15,0,0,$B$14,1)) + $B$18/($B$19*$B$19*($DN115&lt;&gt;$DO115) + $B$19*($DN115=$DO115))</f>
        <v>3.3333333333333331E-3</v>
      </c>
      <c r="EX115" s="10" cm="1">
        <f t="array" aca="1" ref="EX115" ca="1">(1-$B$18)*SUMPRODUCT(OFFSET($BO$15,0,0,$B$14,1), 1*(_xlfn._xlws.FILTER(OFFSET($O$15,0,$DN115,$B$8,1),OFFSET($M$15,0,0,$B$8,1))=EX$13), 1*(_xlfn._xlws.FILTER(OFFSET($O$15,0,$DO115,$B$8,1),OFFSET($M$15,0,0,$B$8,1))=EX$14))   /   SUM(OFFSET($BO$15,0,0,$B$14,1)) + $B$18/($B$19*$B$19*($DN115&lt;&gt;$DO115) + $B$19*($DN115=$DO115))</f>
        <v>3.3333333333333331E-3</v>
      </c>
      <c r="EY115" s="10" cm="1">
        <f t="array" aca="1" ref="EY115" ca="1">(1-$B$18)*SUMPRODUCT(OFFSET($BO$15,0,0,$B$14,1), 1*(_xlfn._xlws.FILTER(OFFSET($O$15,0,$DN115,$B$8,1),OFFSET($M$15,0,0,$B$8,1))=EY$13), 1*(_xlfn._xlws.FILTER(OFFSET($O$15,0,$DO115,$B$8,1),OFFSET($M$15,0,0,$B$8,1))=EY$14))   /   SUM(OFFSET($BO$15,0,0,$B$14,1)) + $B$18/($B$19*$B$19*($DN115&lt;&gt;$DO115) + $B$19*($DN115=$DO115))</f>
        <v>3.3333333333333331E-3</v>
      </c>
      <c r="EZ115" s="10" cm="1">
        <f t="array" aca="1" ref="EZ115" ca="1">(1-$B$18)*SUMPRODUCT(OFFSET($BO$15,0,0,$B$14,1), 1*(_xlfn._xlws.FILTER(OFFSET($O$15,0,$DN115,$B$8,1),OFFSET($M$15,0,0,$B$8,1))=EZ$13), 1*(_xlfn._xlws.FILTER(OFFSET($O$15,0,$DO115,$B$8,1),OFFSET($M$15,0,0,$B$8,1))=EZ$14))   /   SUM(OFFSET($BO$15,0,0,$B$14,1)) + $B$18/($B$19*$B$19*($DN115&lt;&gt;$DO115) + $B$19*($DN115=$DO115))</f>
        <v>3.3333333333333331E-3</v>
      </c>
      <c r="FA115" s="10" cm="1">
        <f t="array" aca="1" ref="FA115" ca="1">(1-$B$18)*SUMPRODUCT(OFFSET($BO$15,0,0,$B$14,1), 1*(_xlfn._xlws.FILTER(OFFSET($O$15,0,$DN115,$B$8,1),OFFSET($M$15,0,0,$B$8,1))=FA$13), 1*(_xlfn._xlws.FILTER(OFFSET($O$15,0,$DO115,$B$8,1),OFFSET($M$15,0,0,$B$8,1))=FA$14))   /   SUM(OFFSET($BO$15,0,0,$B$14,1)) + $B$18/($B$19*$B$19*($DN115&lt;&gt;$DO115) + $B$19*($DN115=$DO115))</f>
        <v>3.3333333333333331E-3</v>
      </c>
      <c r="FB115" s="10" cm="1">
        <f t="array" aca="1" ref="FB115" ca="1">(1-$B$18)*SUMPRODUCT(OFFSET($BO$15,0,0,$B$14,1), 1*(_xlfn._xlws.FILTER(OFFSET($O$15,0,$DN115,$B$8,1),OFFSET($M$15,0,0,$B$8,1))=FB$13), 1*(_xlfn._xlws.FILTER(OFFSET($O$15,0,$DO115,$B$8,1),OFFSET($M$15,0,0,$B$8,1))=FB$14))   /   SUM(OFFSET($BO$15,0,0,$B$14,1)) + $B$18/($B$19*$B$19*($DN115&lt;&gt;$DO115) + $B$19*($DN115=$DO115))</f>
        <v>3.3333333333333331E-3</v>
      </c>
      <c r="FC115" s="10" cm="1">
        <f t="array" aca="1" ref="FC115" ca="1">(1-$B$18)*SUMPRODUCT(OFFSET($BO$15,0,0,$B$14,1), 1*(_xlfn._xlws.FILTER(OFFSET($O$15,0,$DN115,$B$8,1),OFFSET($M$15,0,0,$B$8,1))=FC$13), 1*(_xlfn._xlws.FILTER(OFFSET($O$15,0,$DO115,$B$8,1),OFFSET($M$15,0,0,$B$8,1))=FC$14))   /   SUM(OFFSET($BO$15,0,0,$B$14,1)) + $B$18/($B$19*$B$19*($DN115&lt;&gt;$DO115) + $B$19*($DN115=$DO115))</f>
        <v>3.3333333333333331E-3</v>
      </c>
      <c r="FD115" s="10" cm="1">
        <f t="array" aca="1" ref="FD115" ca="1">(1-$B$18)*SUMPRODUCT(OFFSET($BO$15,0,0,$B$14,1), 1*(_xlfn._xlws.FILTER(OFFSET($O$15,0,$DN115,$B$8,1),OFFSET($M$15,0,0,$B$8,1))=FD$13), 1*(_xlfn._xlws.FILTER(OFFSET($O$15,0,$DO115,$B$8,1),OFFSET($M$15,0,0,$B$8,1))=FD$14))   /   SUM(OFFSET($BO$15,0,0,$B$14,1)) + $B$18/($B$19*$B$19*($DN115&lt;&gt;$DO115) + $B$19*($DN115=$DO115))</f>
        <v>3.3333333333333331E-3</v>
      </c>
      <c r="FE115" s="10" cm="1">
        <f t="array" aca="1" ref="FE115" ca="1">(1-$B$18)*SUMPRODUCT(OFFSET($BO$15,0,0,$B$14,1), 1*(_xlfn._xlws.FILTER(OFFSET($O$15,0,$DN115,$B$8,1),OFFSET($M$15,0,0,$B$8,1))=FE$13), 1*(_xlfn._xlws.FILTER(OFFSET($O$15,0,$DO115,$B$8,1),OFFSET($M$15,0,0,$B$8,1))=FE$14))   /   SUM(OFFSET($BO$15,0,0,$B$14,1)) + $B$18/($B$19*$B$19*($DN115&lt;&gt;$DO115) + $B$19*($DN115=$DO115))</f>
        <v>3.3333333333333331E-3</v>
      </c>
      <c r="FF115" s="10" cm="1">
        <f t="array" aca="1" ref="FF115" ca="1">(1-$B$18)*SUMPRODUCT(OFFSET($BO$15,0,0,$B$14,1), 1*(_xlfn._xlws.FILTER(OFFSET($O$15,0,$DN115,$B$8,1),OFFSET($M$15,0,0,$B$8,1))=FF$13), 1*(_xlfn._xlws.FILTER(OFFSET($O$15,0,$DO115,$B$8,1),OFFSET($M$15,0,0,$B$8,1))=FF$14))   /   SUM(OFFSET($BO$15,0,0,$B$14,1)) + $B$18/($B$19*$B$19*($DN115&lt;&gt;$DO115) + $B$19*($DN115=$DO115))</f>
        <v>3.3333333333333331E-3</v>
      </c>
      <c r="FG115" s="10" cm="1">
        <f t="array" aca="1" ref="FG115" ca="1">(1-$B$18)*SUMPRODUCT(OFFSET($BO$15,0,0,$B$14,1), 1*(_xlfn._xlws.FILTER(OFFSET($O$15,0,$DN115,$B$8,1),OFFSET($M$15,0,0,$B$8,1))=FG$13), 1*(_xlfn._xlws.FILTER(OFFSET($O$15,0,$DO115,$B$8,1),OFFSET($M$15,0,0,$B$8,1))=FG$14))   /   SUM(OFFSET($BO$15,0,0,$B$14,1)) + $B$18/($B$19*$B$19*($DN115&lt;&gt;$DO115) + $B$19*($DN115=$DO115))</f>
        <v>3.3333333333333331E-3</v>
      </c>
      <c r="FH115" s="10" cm="1">
        <f t="array" aca="1" ref="FH115" ca="1">(1-$B$18)*SUMPRODUCT(OFFSET($BO$15,0,0,$B$14,1), 1*(_xlfn._xlws.FILTER(OFFSET($O$15,0,$DN115,$B$8,1),OFFSET($M$15,0,0,$B$8,1))=FH$13), 1*(_xlfn._xlws.FILTER(OFFSET($O$15,0,$DO115,$B$8,1),OFFSET($M$15,0,0,$B$8,1))=FH$14))   /   SUM(OFFSET($BO$15,0,0,$B$14,1)) + $B$18/($B$19*$B$19*($DN115&lt;&gt;$DO115) + $B$19*($DN115=$DO115))</f>
        <v>3.3333333333333331E-3</v>
      </c>
      <c r="FI115" s="10" cm="1">
        <f t="array" aca="1" ref="FI115" ca="1">(1-$B$18)*SUMPRODUCT(OFFSET($BO$15,0,0,$B$14,1), 1*(_xlfn._xlws.FILTER(OFFSET($O$15,0,$DN115,$B$8,1),OFFSET($M$15,0,0,$B$8,1))=FI$13), 1*(_xlfn._xlws.FILTER(OFFSET($O$15,0,$DO115,$B$8,1),OFFSET($M$15,0,0,$B$8,1))=FI$14))   /   SUM(OFFSET($BO$15,0,0,$B$14,1)) + $B$18/($B$19*$B$19*($DN115&lt;&gt;$DO115) + $B$19*($DN115=$DO115))</f>
        <v>3.3333333333333331E-3</v>
      </c>
      <c r="FJ115" s="10" cm="1">
        <f t="array" aca="1" ref="FJ115" ca="1">(1-$B$18)*SUMPRODUCT(OFFSET($BO$15,0,0,$B$14,1), 1*(_xlfn._xlws.FILTER(OFFSET($O$15,0,$DN115,$B$8,1),OFFSET($M$15,0,0,$B$8,1))=FJ$13), 1*(_xlfn._xlws.FILTER(OFFSET($O$15,0,$DO115,$B$8,1),OFFSET($M$15,0,0,$B$8,1))=FJ$14))   /   SUM(OFFSET($BO$15,0,0,$B$14,1)) + $B$18/($B$19*$B$19*($DN115&lt;&gt;$DO115) + $B$19*($DN115=$DO115))</f>
        <v>3.3333333333333331E-3</v>
      </c>
      <c r="FK115" s="10" cm="1">
        <f t="array" aca="1" ref="FK115" ca="1">(1-$B$18)*SUMPRODUCT(OFFSET($BO$15,0,0,$B$14,1), 1*(_xlfn._xlws.FILTER(OFFSET($O$15,0,$DN115,$B$8,1),OFFSET($M$15,0,0,$B$8,1))=FK$13), 1*(_xlfn._xlws.FILTER(OFFSET($O$15,0,$DO115,$B$8,1),OFFSET($M$15,0,0,$B$8,1))=FK$14))   /   SUM(OFFSET($BO$15,0,0,$B$14,1)) + $B$18/($B$19*$B$19*($DN115&lt;&gt;$DO115) + $B$19*($DN115=$DO115))</f>
        <v>3.3333333333333331E-3</v>
      </c>
      <c r="FL115" s="10" cm="1">
        <f t="array" aca="1" ref="FL115" ca="1">(1-$B$18)*SUMPRODUCT(OFFSET($BO$15,0,0,$B$14,1), 1*(_xlfn._xlws.FILTER(OFFSET($O$15,0,$DN115,$B$8,1),OFFSET($M$15,0,0,$B$8,1))=FL$13), 1*(_xlfn._xlws.FILTER(OFFSET($O$15,0,$DO115,$B$8,1),OFFSET($M$15,0,0,$B$8,1))=FL$14))   /   SUM(OFFSET($BO$15,0,0,$B$14,1)) + $B$18/($B$19*$B$19*($DN115&lt;&gt;$DO115) + $B$19*($DN115=$DO115))</f>
        <v>3.3333333333333331E-3</v>
      </c>
      <c r="FM115" s="10" cm="1">
        <f t="array" aca="1" ref="FM115" ca="1">(1-$B$18)*SUMPRODUCT(OFFSET($BO$15,0,0,$B$14,1), 1*(_xlfn._xlws.FILTER(OFFSET($O$15,0,$DN115,$B$8,1),OFFSET($M$15,0,0,$B$8,1))=FM$13), 1*(_xlfn._xlws.FILTER(OFFSET($O$15,0,$DO115,$B$8,1),OFFSET($M$15,0,0,$B$8,1))=FM$14))   /   SUM(OFFSET($BO$15,0,0,$B$14,1)) + $B$18/($B$19*$B$19*($DN115&lt;&gt;$DO115) + $B$19*($DN115=$DO115))</f>
        <v>3.3333333333333331E-3</v>
      </c>
      <c r="FN115" s="10" cm="1">
        <f t="array" aca="1" ref="FN115" ca="1">(1-$B$18)*SUMPRODUCT(OFFSET($BO$15,0,0,$B$14,1), 1*(_xlfn._xlws.FILTER(OFFSET($O$15,0,$DN115,$B$8,1),OFFSET($M$15,0,0,$B$8,1))=FN$13), 1*(_xlfn._xlws.FILTER(OFFSET($O$15,0,$DO115,$B$8,1),OFFSET($M$15,0,0,$B$8,1))=FN$14))   /   SUM(OFFSET($BO$15,0,0,$B$14,1)) + $B$18/($B$19*$B$19*($DN115&lt;&gt;$DO115) + $B$19*($DN115=$DO115))</f>
        <v>3.3333333333333331E-3</v>
      </c>
      <c r="FO115" s="10" cm="1">
        <f t="array" aca="1" ref="FO115" ca="1">(1-$B$18)*SUMPRODUCT(OFFSET($BO$15,0,0,$B$14,1), 1*(_xlfn._xlws.FILTER(OFFSET($O$15,0,$DN115,$B$8,1),OFFSET($M$15,0,0,$B$8,1))=FO$13), 1*(_xlfn._xlws.FILTER(OFFSET($O$15,0,$DO115,$B$8,1),OFFSET($M$15,0,0,$B$8,1))=FO$14))   /   SUM(OFFSET($BO$15,0,0,$B$14,1)) + $B$18/($B$19*$B$19*($DN115&lt;&gt;$DO115) + $B$19*($DN115=$DO115))</f>
        <v>3.3333333333333331E-3</v>
      </c>
      <c r="FP115" s="10" cm="1">
        <f t="array" aca="1" ref="FP115" ca="1">(1-$B$18)*SUMPRODUCT(OFFSET($BO$15,0,0,$B$14,1), 1*(_xlfn._xlws.FILTER(OFFSET($O$15,0,$DN115,$B$8,1),OFFSET($M$15,0,0,$B$8,1))=FP$13), 1*(_xlfn._xlws.FILTER(OFFSET($O$15,0,$DO115,$B$8,1),OFFSET($M$15,0,0,$B$8,1))=FP$14))   /   SUM(OFFSET($BO$15,0,0,$B$14,1)) + $B$18/($B$19*$B$19*($DN115&lt;&gt;$DO115) + $B$19*($DN115=$DO115))</f>
        <v>3.3333333333333331E-3</v>
      </c>
      <c r="FQ115" s="10" cm="1">
        <f t="array" aca="1" ref="FQ115" ca="1">(1-$B$18)*SUMPRODUCT(OFFSET($BO$15,0,0,$B$14,1), 1*(_xlfn._xlws.FILTER(OFFSET($O$15,0,$DN115,$B$8,1),OFFSET($M$15,0,0,$B$8,1))=FQ$13), 1*(_xlfn._xlws.FILTER(OFFSET($O$15,0,$DO115,$B$8,1),OFFSET($M$15,0,0,$B$8,1))=FQ$14))   /   SUM(OFFSET($BO$15,0,0,$B$14,1)) + $B$18/($B$19*$B$19*($DN115&lt;&gt;$DO115) + $B$19*($DN115=$DO115))</f>
        <v>3.3333333333333331E-3</v>
      </c>
      <c r="FR115" s="10" cm="1">
        <f t="array" aca="1" ref="FR115" ca="1">(1-$B$18)*SUMPRODUCT(OFFSET($BO$15,0,0,$B$14,1), 1*(_xlfn._xlws.FILTER(OFFSET($O$15,0,$DN115,$B$8,1),OFFSET($M$15,0,0,$B$8,1))=FR$13), 1*(_xlfn._xlws.FILTER(OFFSET($O$15,0,$DO115,$B$8,1),OFFSET($M$15,0,0,$B$8,1))=FR$14))   /   SUM(OFFSET($BO$15,0,0,$B$14,1)) + $B$18/($B$19*$B$19*($DN115&lt;&gt;$DO115) + $B$19*($DN115=$DO115))</f>
        <v>0.97333333333333327</v>
      </c>
      <c r="FS115" s="10" cm="1">
        <f t="array" aca="1" ref="FS115" ca="1">(1-$B$18)*SUMPRODUCT(OFFSET($BO$15,0,0,$B$14,1), 1*(_xlfn._xlws.FILTER(OFFSET($O$15,0,$DN115,$B$8,1),OFFSET($M$15,0,0,$B$8,1))=FS$13), 1*(_xlfn._xlws.FILTER(OFFSET($O$15,0,$DO115,$B$8,1),OFFSET($M$15,0,0,$B$8,1))=FS$14))   /   SUM(OFFSET($BO$15,0,0,$B$14,1)) + $B$18/($B$19*$B$19*($DN115&lt;&gt;$DO115) + $B$19*($DN115=$DO115))</f>
        <v>3.3333333333333331E-3</v>
      </c>
      <c r="FT115" s="10" cm="1">
        <f t="array" aca="1" ref="FT115" ca="1">(1-$B$18)*SUMPRODUCT(OFFSET($BO$15,0,0,$B$14,1), 1*(_xlfn._xlws.FILTER(OFFSET($O$15,0,$DN115,$B$8,1),OFFSET($M$15,0,0,$B$8,1))=FT$13), 1*(_xlfn._xlws.FILTER(OFFSET($O$15,0,$DO115,$B$8,1),OFFSET($M$15,0,0,$B$8,1))=FT$14))   /   SUM(OFFSET($BO$15,0,0,$B$14,1)) + $B$18/($B$19*$B$19*($DN115&lt;&gt;$DO115) + $B$19*($DN115=$DO115))</f>
        <v>3.3333333333333331E-3</v>
      </c>
      <c r="FU115" s="10" cm="1">
        <f t="array" aca="1" ref="FU115" ca="1">(1-$B$18)*SUMPRODUCT(OFFSET($BO$15,0,0,$B$14,1), 1*(_xlfn._xlws.FILTER(OFFSET($O$15,0,$DN115,$B$8,1),OFFSET($M$15,0,0,$B$8,1))=FU$13), 1*(_xlfn._xlws.FILTER(OFFSET($O$15,0,$DO115,$B$8,1),OFFSET($M$15,0,0,$B$8,1))=FU$14))   /   SUM(OFFSET($BO$15,0,0,$B$14,1)) + $B$18/($B$19*$B$19*($DN115&lt;&gt;$DO115) + $B$19*($DN115=$DO115))</f>
        <v>3.3333333333333331E-3</v>
      </c>
      <c r="FV115" s="10" cm="1">
        <f t="array" aca="1" ref="FV115" ca="1">(1-$B$18)*SUMPRODUCT(OFFSET($BO$15,0,0,$B$14,1), 1*(_xlfn._xlws.FILTER(OFFSET($O$15,0,$DN115,$B$8,1),OFFSET($M$15,0,0,$B$8,1))=FV$13), 1*(_xlfn._xlws.FILTER(OFFSET($O$15,0,$DO115,$B$8,1),OFFSET($M$15,0,0,$B$8,1))=FV$14))   /   SUM(OFFSET($BO$15,0,0,$B$14,1)) + $B$18/($B$19*$B$19*($DN115&lt;&gt;$DO115) + $B$19*($DN115=$DO115))</f>
        <v>3.3333333333333331E-3</v>
      </c>
      <c r="FW115" s="10" cm="1">
        <f t="array" aca="1" ref="FW115" ca="1">(1-$B$18)*SUMPRODUCT(OFFSET($BO$15,0,0,$B$14,1), 1*(_xlfn._xlws.FILTER(OFFSET($O$15,0,$DN115,$B$8,1),OFFSET($M$15,0,0,$B$8,1))=FW$13), 1*(_xlfn._xlws.FILTER(OFFSET($O$15,0,$DO115,$B$8,1),OFFSET($M$15,0,0,$B$8,1))=FW$14))   /   SUM(OFFSET($BO$15,0,0,$B$14,1)) + $B$18/($B$19*$B$19*($DN115&lt;&gt;$DO115) + $B$19*($DN115=$DO115))</f>
        <v>3.3333333333333331E-3</v>
      </c>
      <c r="FX115" s="10" cm="1">
        <f t="array" aca="1" ref="FX115" ca="1">(1-$B$18)*SUMPRODUCT(OFFSET($BO$15,0,0,$B$14,1), 1*(_xlfn._xlws.FILTER(OFFSET($O$15,0,$DN115,$B$8,1),OFFSET($M$15,0,0,$B$8,1))=FX$13), 1*(_xlfn._xlws.FILTER(OFFSET($O$15,0,$DO115,$B$8,1),OFFSET($M$15,0,0,$B$8,1))=FX$14))   /   SUM(OFFSET($BO$15,0,0,$B$14,1)) + $B$18/($B$19*$B$19*($DN115&lt;&gt;$DO115) + $B$19*($DN115=$DO115))</f>
        <v>3.3333333333333331E-3</v>
      </c>
      <c r="FY115" s="10" cm="1">
        <f t="array" aca="1" ref="FY115" ca="1">(1-$B$18)*SUMPRODUCT(OFFSET($BO$15,0,0,$B$14,1), 1*(_xlfn._xlws.FILTER(OFFSET($O$15,0,$DN115,$B$8,1),OFFSET($M$15,0,0,$B$8,1))=FY$13), 1*(_xlfn._xlws.FILTER(OFFSET($O$15,0,$DO115,$B$8,1),OFFSET($M$15,0,0,$B$8,1))=FY$14))   /   SUM(OFFSET($BO$15,0,0,$B$14,1)) + $B$18/($B$19*$B$19*($DN115&lt;&gt;$DO115) + $B$19*($DN115=$DO115))</f>
        <v>3.3333333333333331E-3</v>
      </c>
      <c r="FZ115" s="10" cm="1">
        <f t="array" aca="1" ref="FZ115" ca="1">(1-$B$18)*SUMPRODUCT(OFFSET($BO$15,0,0,$B$14,1), 1*(_xlfn._xlws.FILTER(OFFSET($O$15,0,$DN115,$B$8,1),OFFSET($M$15,0,0,$B$8,1))=FZ$13), 1*(_xlfn._xlws.FILTER(OFFSET($O$15,0,$DO115,$B$8,1),OFFSET($M$15,0,0,$B$8,1))=FZ$14))   /   SUM(OFFSET($BO$15,0,0,$B$14,1)) + $B$18/($B$19*$B$19*($DN115&lt;&gt;$DO115) + $B$19*($DN115=$DO115))</f>
        <v>3.3333333333333331E-3</v>
      </c>
      <c r="GA115" s="10" cm="1">
        <f t="array" aca="1" ref="GA115" ca="1">(1-$B$18)*SUMPRODUCT(OFFSET($BO$15,0,0,$B$14,1), 1*(_xlfn._xlws.FILTER(OFFSET($O$15,0,$DN115,$B$8,1),OFFSET($M$15,0,0,$B$8,1))=GA$13), 1*(_xlfn._xlws.FILTER(OFFSET($O$15,0,$DO115,$B$8,1),OFFSET($M$15,0,0,$B$8,1))=GA$14))   /   SUM(OFFSET($BO$15,0,0,$B$14,1)) + $B$18/($B$19*$B$19*($DN115&lt;&gt;$DO115) + $B$19*($DN115=$DO115))</f>
        <v>3.3333333333333331E-3</v>
      </c>
    </row>
    <row r="116" spans="7:183" x14ac:dyDescent="0.2">
      <c r="DN116" cm="1">
        <f t="array" aca="1" ref="DN116" ca="1">INDEX(_xlfn.ANCHORARRAY($CP$15), 1 + INT((ROWS($DO$15:$DO116) - 1) / ROWS(_xlfn.ANCHORARRAY($CP$15))))</f>
        <v>5</v>
      </c>
      <c r="DO116" cm="1">
        <f t="array" aca="1" ref="DO116" ca="1">INDEX(_xlfn.ANCHORARRAY($CP$15),1+MOD(ROWS($DO$15:$DO116)-1,ROWS(_xlfn.ANCHORARRAY($CP$15))))</f>
        <v>6</v>
      </c>
      <c r="DP116" s="10" cm="1">
        <f t="array" aca="1" ref="DP116" ca="1">(1-$B$18)*SUMPRODUCT(OFFSET($BO$15,0,0,$B$14,1), 1*(_xlfn._xlws.FILTER(OFFSET($O$15,0,$DN116,$B$8,1),OFFSET($M$15,0,0,$B$8,1))=DP$13), 1*(_xlfn._xlws.FILTER(OFFSET($O$15,0,$DO116,$B$8,1),OFFSET($M$15,0,0,$B$8,1))=DP$14))   /   SUM(OFFSET($BO$15,0,0,$B$14,1)) + $B$18/($B$19*$B$19*($DN116&lt;&gt;$DO116) + $B$19*($DN116=$DO116))</f>
        <v>3.7037037037037035E-4</v>
      </c>
      <c r="DQ116" s="10" cm="1">
        <f t="array" aca="1" ref="DQ116" ca="1">(1-$B$18)*SUMPRODUCT(OFFSET($BO$15,0,0,$B$14,1), 1*(_xlfn._xlws.FILTER(OFFSET($O$15,0,$DN116,$B$8,1),OFFSET($M$15,0,0,$B$8,1))=DQ$13), 1*(_xlfn._xlws.FILTER(OFFSET($O$15,0,$DO116,$B$8,1),OFFSET($M$15,0,0,$B$8,1))=DQ$14))   /   SUM(OFFSET($BO$15,0,0,$B$14,1)) + $B$18/($B$19*$B$19*($DN116&lt;&gt;$DO116) + $B$19*($DN116=$DO116))</f>
        <v>3.7037037037037035E-4</v>
      </c>
      <c r="DR116" s="10" cm="1">
        <f t="array" aca="1" ref="DR116" ca="1">(1-$B$18)*SUMPRODUCT(OFFSET($BO$15,0,0,$B$14,1), 1*(_xlfn._xlws.FILTER(OFFSET($O$15,0,$DN116,$B$8,1),OFFSET($M$15,0,0,$B$8,1))=DR$13), 1*(_xlfn._xlws.FILTER(OFFSET($O$15,0,$DO116,$B$8,1),OFFSET($M$15,0,0,$B$8,1))=DR$14))   /   SUM(OFFSET($BO$15,0,0,$B$14,1)) + $B$18/($B$19*$B$19*($DN116&lt;&gt;$DO116) + $B$19*($DN116=$DO116))</f>
        <v>3.7037037037037035E-4</v>
      </c>
      <c r="DS116" s="10" cm="1">
        <f t="array" aca="1" ref="DS116" ca="1">(1-$B$18)*SUMPRODUCT(OFFSET($BO$15,0,0,$B$14,1), 1*(_xlfn._xlws.FILTER(OFFSET($O$15,0,$DN116,$B$8,1),OFFSET($M$15,0,0,$B$8,1))=DS$13), 1*(_xlfn._xlws.FILTER(OFFSET($O$15,0,$DO116,$B$8,1),OFFSET($M$15,0,0,$B$8,1))=DS$14))   /   SUM(OFFSET($BO$15,0,0,$B$14,1)) + $B$18/($B$19*$B$19*($DN116&lt;&gt;$DO116) + $B$19*($DN116=$DO116))</f>
        <v>3.7037037037037035E-4</v>
      </c>
      <c r="DT116" s="10" cm="1">
        <f t="array" aca="1" ref="DT116" ca="1">(1-$B$18)*SUMPRODUCT(OFFSET($BO$15,0,0,$B$14,1), 1*(_xlfn._xlws.FILTER(OFFSET($O$15,0,$DN116,$B$8,1),OFFSET($M$15,0,0,$B$8,1))=DT$13), 1*(_xlfn._xlws.FILTER(OFFSET($O$15,0,$DO116,$B$8,1),OFFSET($M$15,0,0,$B$8,1))=DT$14))   /   SUM(OFFSET($BO$15,0,0,$B$14,1)) + $B$18/($B$19*$B$19*($DN116&lt;&gt;$DO116) + $B$19*($DN116=$DO116))</f>
        <v>3.7037037037037035E-4</v>
      </c>
      <c r="DU116" s="10" cm="1">
        <f t="array" aca="1" ref="DU116" ca="1">(1-$B$18)*SUMPRODUCT(OFFSET($BO$15,0,0,$B$14,1), 1*(_xlfn._xlws.FILTER(OFFSET($O$15,0,$DN116,$B$8,1),OFFSET($M$15,0,0,$B$8,1))=DU$13), 1*(_xlfn._xlws.FILTER(OFFSET($O$15,0,$DO116,$B$8,1),OFFSET($M$15,0,0,$B$8,1))=DU$14))   /   SUM(OFFSET($BO$15,0,0,$B$14,1)) + $B$18/($B$19*$B$19*($DN116&lt;&gt;$DO116) + $B$19*($DN116=$DO116))</f>
        <v>3.7037037037037035E-4</v>
      </c>
      <c r="DV116" s="10" cm="1">
        <f t="array" aca="1" ref="DV116" ca="1">(1-$B$18)*SUMPRODUCT(OFFSET($BO$15,0,0,$B$14,1), 1*(_xlfn._xlws.FILTER(OFFSET($O$15,0,$DN116,$B$8,1),OFFSET($M$15,0,0,$B$8,1))=DV$13), 1*(_xlfn._xlws.FILTER(OFFSET($O$15,0,$DO116,$B$8,1),OFFSET($M$15,0,0,$B$8,1))=DV$14))   /   SUM(OFFSET($BO$15,0,0,$B$14,1)) + $B$18/($B$19*$B$19*($DN116&lt;&gt;$DO116) + $B$19*($DN116=$DO116))</f>
        <v>3.7037037037037035E-4</v>
      </c>
      <c r="DW116" s="10" cm="1">
        <f t="array" aca="1" ref="DW116" ca="1">(1-$B$18)*SUMPRODUCT(OFFSET($BO$15,0,0,$B$14,1), 1*(_xlfn._xlws.FILTER(OFFSET($O$15,0,$DN116,$B$8,1),OFFSET($M$15,0,0,$B$8,1))=DW$13), 1*(_xlfn._xlws.FILTER(OFFSET($O$15,0,$DO116,$B$8,1),OFFSET($M$15,0,0,$B$8,1))=DW$14))   /   SUM(OFFSET($BO$15,0,0,$B$14,1)) + $B$18/($B$19*$B$19*($DN116&lt;&gt;$DO116) + $B$19*($DN116=$DO116))</f>
        <v>3.7037037037037035E-4</v>
      </c>
      <c r="DX116" s="10" cm="1">
        <f t="array" aca="1" ref="DX116" ca="1">(1-$B$18)*SUMPRODUCT(OFFSET($BO$15,0,0,$B$14,1), 1*(_xlfn._xlws.FILTER(OFFSET($O$15,0,$DN116,$B$8,1),OFFSET($M$15,0,0,$B$8,1))=DX$13), 1*(_xlfn._xlws.FILTER(OFFSET($O$15,0,$DO116,$B$8,1),OFFSET($M$15,0,0,$B$8,1))=DX$14))   /   SUM(OFFSET($BO$15,0,0,$B$14,1)) + $B$18/($B$19*$B$19*($DN116&lt;&gt;$DO116) + $B$19*($DN116=$DO116))</f>
        <v>3.7037037037037035E-4</v>
      </c>
      <c r="DY116" s="10" cm="1">
        <f t="array" aca="1" ref="DY116" ca="1">(1-$B$18)*SUMPRODUCT(OFFSET($BO$15,0,0,$B$14,1), 1*(_xlfn._xlws.FILTER(OFFSET($O$15,0,$DN116,$B$8,1),OFFSET($M$15,0,0,$B$8,1))=DY$13), 1*(_xlfn._xlws.FILTER(OFFSET($O$15,0,$DO116,$B$8,1),OFFSET($M$15,0,0,$B$8,1))=DY$14))   /   SUM(OFFSET($BO$15,0,0,$B$14,1)) + $B$18/($B$19*$B$19*($DN116&lt;&gt;$DO116) + $B$19*($DN116=$DO116))</f>
        <v>3.7037037037037035E-4</v>
      </c>
      <c r="DZ116" s="10" cm="1">
        <f t="array" aca="1" ref="DZ116" ca="1">(1-$B$18)*SUMPRODUCT(OFFSET($BO$15,0,0,$B$14,1), 1*(_xlfn._xlws.FILTER(OFFSET($O$15,0,$DN116,$B$8,1),OFFSET($M$15,0,0,$B$8,1))=DZ$13), 1*(_xlfn._xlws.FILTER(OFFSET($O$15,0,$DO116,$B$8,1),OFFSET($M$15,0,0,$B$8,1))=DZ$14))   /   SUM(OFFSET($BO$15,0,0,$B$14,1)) + $B$18/($B$19*$B$19*($DN116&lt;&gt;$DO116) + $B$19*($DN116=$DO116))</f>
        <v>3.7037037037037035E-4</v>
      </c>
      <c r="EA116" s="10" cm="1">
        <f t="array" aca="1" ref="EA116" ca="1">(1-$B$18)*SUMPRODUCT(OFFSET($BO$15,0,0,$B$14,1), 1*(_xlfn._xlws.FILTER(OFFSET($O$15,0,$DN116,$B$8,1),OFFSET($M$15,0,0,$B$8,1))=EA$13), 1*(_xlfn._xlws.FILTER(OFFSET($O$15,0,$DO116,$B$8,1),OFFSET($M$15,0,0,$B$8,1))=EA$14))   /   SUM(OFFSET($BO$15,0,0,$B$14,1)) + $B$18/($B$19*$B$19*($DN116&lt;&gt;$DO116) + $B$19*($DN116=$DO116))</f>
        <v>3.7037037037037035E-4</v>
      </c>
      <c r="EB116" s="10" cm="1">
        <f t="array" aca="1" ref="EB116" ca="1">(1-$B$18)*SUMPRODUCT(OFFSET($BO$15,0,0,$B$14,1), 1*(_xlfn._xlws.FILTER(OFFSET($O$15,0,$DN116,$B$8,1),OFFSET($M$15,0,0,$B$8,1))=EB$13), 1*(_xlfn._xlws.FILTER(OFFSET($O$15,0,$DO116,$B$8,1),OFFSET($M$15,0,0,$B$8,1))=EB$14))   /   SUM(OFFSET($BO$15,0,0,$B$14,1)) + $B$18/($B$19*$B$19*($DN116&lt;&gt;$DO116) + $B$19*($DN116=$DO116))</f>
        <v>3.7037037037037035E-4</v>
      </c>
      <c r="EC116" s="10" cm="1">
        <f t="array" aca="1" ref="EC116" ca="1">(1-$B$18)*SUMPRODUCT(OFFSET($BO$15,0,0,$B$14,1), 1*(_xlfn._xlws.FILTER(OFFSET($O$15,0,$DN116,$B$8,1),OFFSET($M$15,0,0,$B$8,1))=EC$13), 1*(_xlfn._xlws.FILTER(OFFSET($O$15,0,$DO116,$B$8,1),OFFSET($M$15,0,0,$B$8,1))=EC$14))   /   SUM(OFFSET($BO$15,0,0,$B$14,1)) + $B$18/($B$19*$B$19*($DN116&lt;&gt;$DO116) + $B$19*($DN116=$DO116))</f>
        <v>3.7037037037037035E-4</v>
      </c>
      <c r="ED116" s="10" cm="1">
        <f t="array" aca="1" ref="ED116" ca="1">(1-$B$18)*SUMPRODUCT(OFFSET($BO$15,0,0,$B$14,1), 1*(_xlfn._xlws.FILTER(OFFSET($O$15,0,$DN116,$B$8,1),OFFSET($M$15,0,0,$B$8,1))=ED$13), 1*(_xlfn._xlws.FILTER(OFFSET($O$15,0,$DO116,$B$8,1),OFFSET($M$15,0,0,$B$8,1))=ED$14))   /   SUM(OFFSET($BO$15,0,0,$B$14,1)) + $B$18/($B$19*$B$19*($DN116&lt;&gt;$DO116) + $B$19*($DN116=$DO116))</f>
        <v>3.7037037037037035E-4</v>
      </c>
      <c r="EE116" s="10" cm="1">
        <f t="array" aca="1" ref="EE116" ca="1">(1-$B$18)*SUMPRODUCT(OFFSET($BO$15,0,0,$B$14,1), 1*(_xlfn._xlws.FILTER(OFFSET($O$15,0,$DN116,$B$8,1),OFFSET($M$15,0,0,$B$8,1))=EE$13), 1*(_xlfn._xlws.FILTER(OFFSET($O$15,0,$DO116,$B$8,1),OFFSET($M$15,0,0,$B$8,1))=EE$14))   /   SUM(OFFSET($BO$15,0,0,$B$14,1)) + $B$18/($B$19*$B$19*($DN116&lt;&gt;$DO116) + $B$19*($DN116=$DO116))</f>
        <v>3.7037037037037035E-4</v>
      </c>
      <c r="EF116" s="10" cm="1">
        <f t="array" aca="1" ref="EF116" ca="1">(1-$B$18)*SUMPRODUCT(OFFSET($BO$15,0,0,$B$14,1), 1*(_xlfn._xlws.FILTER(OFFSET($O$15,0,$DN116,$B$8,1),OFFSET($M$15,0,0,$B$8,1))=EF$13), 1*(_xlfn._xlws.FILTER(OFFSET($O$15,0,$DO116,$B$8,1),OFFSET($M$15,0,0,$B$8,1))=EF$14))   /   SUM(OFFSET($BO$15,0,0,$B$14,1)) + $B$18/($B$19*$B$19*($DN116&lt;&gt;$DO116) + $B$19*($DN116=$DO116))</f>
        <v>3.7037037037037035E-4</v>
      </c>
      <c r="EG116" s="10" cm="1">
        <f t="array" aca="1" ref="EG116" ca="1">(1-$B$18)*SUMPRODUCT(OFFSET($BO$15,0,0,$B$14,1), 1*(_xlfn._xlws.FILTER(OFFSET($O$15,0,$DN116,$B$8,1),OFFSET($M$15,0,0,$B$8,1))=EG$13), 1*(_xlfn._xlws.FILTER(OFFSET($O$15,0,$DO116,$B$8,1),OFFSET($M$15,0,0,$B$8,1))=EG$14))   /   SUM(OFFSET($BO$15,0,0,$B$14,1)) + $B$18/($B$19*$B$19*($DN116&lt;&gt;$DO116) + $B$19*($DN116=$DO116))</f>
        <v>3.7037037037037035E-4</v>
      </c>
      <c r="EH116" s="10" cm="1">
        <f t="array" aca="1" ref="EH116" ca="1">(1-$B$18)*SUMPRODUCT(OFFSET($BO$15,0,0,$B$14,1), 1*(_xlfn._xlws.FILTER(OFFSET($O$15,0,$DN116,$B$8,1),OFFSET($M$15,0,0,$B$8,1))=EH$13), 1*(_xlfn._xlws.FILTER(OFFSET($O$15,0,$DO116,$B$8,1),OFFSET($M$15,0,0,$B$8,1))=EH$14))   /   SUM(OFFSET($BO$15,0,0,$B$14,1)) + $B$18/($B$19*$B$19*($DN116&lt;&gt;$DO116) + $B$19*($DN116=$DO116))</f>
        <v>3.7037037037037035E-4</v>
      </c>
      <c r="EI116" s="10" cm="1">
        <f t="array" aca="1" ref="EI116" ca="1">(1-$B$18)*SUMPRODUCT(OFFSET($BO$15,0,0,$B$14,1), 1*(_xlfn._xlws.FILTER(OFFSET($O$15,0,$DN116,$B$8,1),OFFSET($M$15,0,0,$B$8,1))=EI$13), 1*(_xlfn._xlws.FILTER(OFFSET($O$15,0,$DO116,$B$8,1),OFFSET($M$15,0,0,$B$8,1))=EI$14))   /   SUM(OFFSET($BO$15,0,0,$B$14,1)) + $B$18/($B$19*$B$19*($DN116&lt;&gt;$DO116) + $B$19*($DN116=$DO116))</f>
        <v>3.7037037037037035E-4</v>
      </c>
      <c r="EJ116" s="10" cm="1">
        <f t="array" aca="1" ref="EJ116" ca="1">(1-$B$18)*SUMPRODUCT(OFFSET($BO$15,0,0,$B$14,1), 1*(_xlfn._xlws.FILTER(OFFSET($O$15,0,$DN116,$B$8,1),OFFSET($M$15,0,0,$B$8,1))=EJ$13), 1*(_xlfn._xlws.FILTER(OFFSET($O$15,0,$DO116,$B$8,1),OFFSET($M$15,0,0,$B$8,1))=EJ$14))   /   SUM(OFFSET($BO$15,0,0,$B$14,1)) + $B$18/($B$19*$B$19*($DN116&lt;&gt;$DO116) + $B$19*($DN116=$DO116))</f>
        <v>3.7037037037037035E-4</v>
      </c>
      <c r="EK116" s="10" cm="1">
        <f t="array" aca="1" ref="EK116" ca="1">(1-$B$18)*SUMPRODUCT(OFFSET($BO$15,0,0,$B$14,1), 1*(_xlfn._xlws.FILTER(OFFSET($O$15,0,$DN116,$B$8,1),OFFSET($M$15,0,0,$B$8,1))=EK$13), 1*(_xlfn._xlws.FILTER(OFFSET($O$15,0,$DO116,$B$8,1),OFFSET($M$15,0,0,$B$8,1))=EK$14))   /   SUM(OFFSET($BO$15,0,0,$B$14,1)) + $B$18/($B$19*$B$19*($DN116&lt;&gt;$DO116) + $B$19*($DN116=$DO116))</f>
        <v>3.7037037037037035E-4</v>
      </c>
      <c r="EL116" s="10" cm="1">
        <f t="array" aca="1" ref="EL116" ca="1">(1-$B$18)*SUMPRODUCT(OFFSET($BO$15,0,0,$B$14,1), 1*(_xlfn._xlws.FILTER(OFFSET($O$15,0,$DN116,$B$8,1),OFFSET($M$15,0,0,$B$8,1))=EL$13), 1*(_xlfn._xlws.FILTER(OFFSET($O$15,0,$DO116,$B$8,1),OFFSET($M$15,0,0,$B$8,1))=EL$14))   /   SUM(OFFSET($BO$15,0,0,$B$14,1)) + $B$18/($B$19*$B$19*($DN116&lt;&gt;$DO116) + $B$19*($DN116=$DO116))</f>
        <v>3.7037037037037035E-4</v>
      </c>
      <c r="EM116" s="10" cm="1">
        <f t="array" aca="1" ref="EM116" ca="1">(1-$B$18)*SUMPRODUCT(OFFSET($BO$15,0,0,$B$14,1), 1*(_xlfn._xlws.FILTER(OFFSET($O$15,0,$DN116,$B$8,1),OFFSET($M$15,0,0,$B$8,1))=EM$13), 1*(_xlfn._xlws.FILTER(OFFSET($O$15,0,$DO116,$B$8,1),OFFSET($M$15,0,0,$B$8,1))=EM$14))   /   SUM(OFFSET($BO$15,0,0,$B$14,1)) + $B$18/($B$19*$B$19*($DN116&lt;&gt;$DO116) + $B$19*($DN116=$DO116))</f>
        <v>3.7037037037037035E-4</v>
      </c>
      <c r="EN116" s="10" cm="1">
        <f t="array" aca="1" ref="EN116" ca="1">(1-$B$18)*SUMPRODUCT(OFFSET($BO$15,0,0,$B$14,1), 1*(_xlfn._xlws.FILTER(OFFSET($O$15,0,$DN116,$B$8,1),OFFSET($M$15,0,0,$B$8,1))=EN$13), 1*(_xlfn._xlws.FILTER(OFFSET($O$15,0,$DO116,$B$8,1),OFFSET($M$15,0,0,$B$8,1))=EN$14))   /   SUM(OFFSET($BO$15,0,0,$B$14,1)) + $B$18/($B$19*$B$19*($DN116&lt;&gt;$DO116) + $B$19*($DN116=$DO116))</f>
        <v>3.7037037037037035E-4</v>
      </c>
      <c r="EO116" s="10" cm="1">
        <f t="array" aca="1" ref="EO116" ca="1">(1-$B$18)*SUMPRODUCT(OFFSET($BO$15,0,0,$B$14,1), 1*(_xlfn._xlws.FILTER(OFFSET($O$15,0,$DN116,$B$8,1),OFFSET($M$15,0,0,$B$8,1))=EO$13), 1*(_xlfn._xlws.FILTER(OFFSET($O$15,0,$DO116,$B$8,1),OFFSET($M$15,0,0,$B$8,1))=EO$14))   /   SUM(OFFSET($BO$15,0,0,$B$14,1)) + $B$18/($B$19*$B$19*($DN116&lt;&gt;$DO116) + $B$19*($DN116=$DO116))</f>
        <v>3.7037037037037035E-4</v>
      </c>
      <c r="EP116" s="10" cm="1">
        <f t="array" aca="1" ref="EP116" ca="1">(1-$B$18)*SUMPRODUCT(OFFSET($BO$15,0,0,$B$14,1), 1*(_xlfn._xlws.FILTER(OFFSET($O$15,0,$DN116,$B$8,1),OFFSET($M$15,0,0,$B$8,1))=EP$13), 1*(_xlfn._xlws.FILTER(OFFSET($O$15,0,$DO116,$B$8,1),OFFSET($M$15,0,0,$B$8,1))=EP$14))   /   SUM(OFFSET($BO$15,0,0,$B$14,1)) + $B$18/($B$19*$B$19*($DN116&lt;&gt;$DO116) + $B$19*($DN116=$DO116))</f>
        <v>3.7037037037037035E-4</v>
      </c>
      <c r="EQ116" s="10" cm="1">
        <f t="array" aca="1" ref="EQ116" ca="1">(1-$B$18)*SUMPRODUCT(OFFSET($BO$15,0,0,$B$14,1), 1*(_xlfn._xlws.FILTER(OFFSET($O$15,0,$DN116,$B$8,1),OFFSET($M$15,0,0,$B$8,1))=EQ$13), 1*(_xlfn._xlws.FILTER(OFFSET($O$15,0,$DO116,$B$8,1),OFFSET($M$15,0,0,$B$8,1))=EQ$14))   /   SUM(OFFSET($BO$15,0,0,$B$14,1)) + $B$18/($B$19*$B$19*($DN116&lt;&gt;$DO116) + $B$19*($DN116=$DO116))</f>
        <v>3.7037037037037035E-4</v>
      </c>
      <c r="ER116" s="10" cm="1">
        <f t="array" aca="1" ref="ER116" ca="1">(1-$B$18)*SUMPRODUCT(OFFSET($BO$15,0,0,$B$14,1), 1*(_xlfn._xlws.FILTER(OFFSET($O$15,0,$DN116,$B$8,1),OFFSET($M$15,0,0,$B$8,1))=ER$13), 1*(_xlfn._xlws.FILTER(OFFSET($O$15,0,$DO116,$B$8,1),OFFSET($M$15,0,0,$B$8,1))=ER$14))   /   SUM(OFFSET($BO$15,0,0,$B$14,1)) + $B$18/($B$19*$B$19*($DN116&lt;&gt;$DO116) + $B$19*($DN116=$DO116))</f>
        <v>3.7037037037037035E-4</v>
      </c>
      <c r="ES116" s="10" cm="1">
        <f t="array" aca="1" ref="ES116" ca="1">(1-$B$18)*SUMPRODUCT(OFFSET($BO$15,0,0,$B$14,1), 1*(_xlfn._xlws.FILTER(OFFSET($O$15,0,$DN116,$B$8,1),OFFSET($M$15,0,0,$B$8,1))=ES$13), 1*(_xlfn._xlws.FILTER(OFFSET($O$15,0,$DO116,$B$8,1),OFFSET($M$15,0,0,$B$8,1))=ES$14))   /   SUM(OFFSET($BO$15,0,0,$B$14,1)) + $B$18/($B$19*$B$19*($DN116&lt;&gt;$DO116) + $B$19*($DN116=$DO116))</f>
        <v>3.7037037037037035E-4</v>
      </c>
      <c r="ET116" s="10" cm="1">
        <f t="array" aca="1" ref="ET116" ca="1">(1-$B$18)*SUMPRODUCT(OFFSET($BO$15,0,0,$B$14,1), 1*(_xlfn._xlws.FILTER(OFFSET($O$15,0,$DN116,$B$8,1),OFFSET($M$15,0,0,$B$8,1))=ET$13), 1*(_xlfn._xlws.FILTER(OFFSET($O$15,0,$DO116,$B$8,1),OFFSET($M$15,0,0,$B$8,1))=ET$14))   /   SUM(OFFSET($BO$15,0,0,$B$14,1)) + $B$18/($B$19*$B$19*($DN116&lt;&gt;$DO116) + $B$19*($DN116=$DO116))</f>
        <v>3.7037037037037035E-4</v>
      </c>
      <c r="EU116" s="10" cm="1">
        <f t="array" aca="1" ref="EU116" ca="1">(1-$B$18)*SUMPRODUCT(OFFSET($BO$15,0,0,$B$14,1), 1*(_xlfn._xlws.FILTER(OFFSET($O$15,0,$DN116,$B$8,1),OFFSET($M$15,0,0,$B$8,1))=EU$13), 1*(_xlfn._xlws.FILTER(OFFSET($O$15,0,$DO116,$B$8,1),OFFSET($M$15,0,0,$B$8,1))=EU$14))   /   SUM(OFFSET($BO$15,0,0,$B$14,1)) + $B$18/($B$19*$B$19*($DN116&lt;&gt;$DO116) + $B$19*($DN116=$DO116))</f>
        <v>3.7037037037037035E-4</v>
      </c>
      <c r="EV116" s="10" cm="1">
        <f t="array" aca="1" ref="EV116" ca="1">(1-$B$18)*SUMPRODUCT(OFFSET($BO$15,0,0,$B$14,1), 1*(_xlfn._xlws.FILTER(OFFSET($O$15,0,$DN116,$B$8,1),OFFSET($M$15,0,0,$B$8,1))=EV$13), 1*(_xlfn._xlws.FILTER(OFFSET($O$15,0,$DO116,$B$8,1),OFFSET($M$15,0,0,$B$8,1))=EV$14))   /   SUM(OFFSET($BO$15,0,0,$B$14,1)) + $B$18/($B$19*$B$19*($DN116&lt;&gt;$DO116) + $B$19*($DN116=$DO116))</f>
        <v>3.7037037037037035E-4</v>
      </c>
      <c r="EW116" s="10" cm="1">
        <f t="array" aca="1" ref="EW116" ca="1">(1-$B$18)*SUMPRODUCT(OFFSET($BO$15,0,0,$B$14,1), 1*(_xlfn._xlws.FILTER(OFFSET($O$15,0,$DN116,$B$8,1),OFFSET($M$15,0,0,$B$8,1))=EW$13), 1*(_xlfn._xlws.FILTER(OFFSET($O$15,0,$DO116,$B$8,1),OFFSET($M$15,0,0,$B$8,1))=EW$14))   /   SUM(OFFSET($BO$15,0,0,$B$14,1)) + $B$18/($B$19*$B$19*($DN116&lt;&gt;$DO116) + $B$19*($DN116=$DO116))</f>
        <v>3.7037037037037035E-4</v>
      </c>
      <c r="EX116" s="10" cm="1">
        <f t="array" aca="1" ref="EX116" ca="1">(1-$B$18)*SUMPRODUCT(OFFSET($BO$15,0,0,$B$14,1), 1*(_xlfn._xlws.FILTER(OFFSET($O$15,0,$DN116,$B$8,1),OFFSET($M$15,0,0,$B$8,1))=EX$13), 1*(_xlfn._xlws.FILTER(OFFSET($O$15,0,$DO116,$B$8,1),OFFSET($M$15,0,0,$B$8,1))=EX$14))   /   SUM(OFFSET($BO$15,0,0,$B$14,1)) + $B$18/($B$19*$B$19*($DN116&lt;&gt;$DO116) + $B$19*($DN116=$DO116))</f>
        <v>3.7037037037037035E-4</v>
      </c>
      <c r="EY116" s="10" cm="1">
        <f t="array" aca="1" ref="EY116" ca="1">(1-$B$18)*SUMPRODUCT(OFFSET($BO$15,0,0,$B$14,1), 1*(_xlfn._xlws.FILTER(OFFSET($O$15,0,$DN116,$B$8,1),OFFSET($M$15,0,0,$B$8,1))=EY$13), 1*(_xlfn._xlws.FILTER(OFFSET($O$15,0,$DO116,$B$8,1),OFFSET($M$15,0,0,$B$8,1))=EY$14))   /   SUM(OFFSET($BO$15,0,0,$B$14,1)) + $B$18/($B$19*$B$19*($DN116&lt;&gt;$DO116) + $B$19*($DN116=$DO116))</f>
        <v>3.7037037037037035E-4</v>
      </c>
      <c r="EZ116" s="10" cm="1">
        <f t="array" aca="1" ref="EZ116" ca="1">(1-$B$18)*SUMPRODUCT(OFFSET($BO$15,0,0,$B$14,1), 1*(_xlfn._xlws.FILTER(OFFSET($O$15,0,$DN116,$B$8,1),OFFSET($M$15,0,0,$B$8,1))=EZ$13), 1*(_xlfn._xlws.FILTER(OFFSET($O$15,0,$DO116,$B$8,1),OFFSET($M$15,0,0,$B$8,1))=EZ$14))   /   SUM(OFFSET($BO$15,0,0,$B$14,1)) + $B$18/($B$19*$B$19*($DN116&lt;&gt;$DO116) + $B$19*($DN116=$DO116))</f>
        <v>3.7037037037037035E-4</v>
      </c>
      <c r="FA116" s="10" cm="1">
        <f t="array" aca="1" ref="FA116" ca="1">(1-$B$18)*SUMPRODUCT(OFFSET($BO$15,0,0,$B$14,1), 1*(_xlfn._xlws.FILTER(OFFSET($O$15,0,$DN116,$B$8,1),OFFSET($M$15,0,0,$B$8,1))=FA$13), 1*(_xlfn._xlws.FILTER(OFFSET($O$15,0,$DO116,$B$8,1),OFFSET($M$15,0,0,$B$8,1))=FA$14))   /   SUM(OFFSET($BO$15,0,0,$B$14,1)) + $B$18/($B$19*$B$19*($DN116&lt;&gt;$DO116) + $B$19*($DN116=$DO116))</f>
        <v>3.7037037037037035E-4</v>
      </c>
      <c r="FB116" s="10" cm="1">
        <f t="array" aca="1" ref="FB116" ca="1">(1-$B$18)*SUMPRODUCT(OFFSET($BO$15,0,0,$B$14,1), 1*(_xlfn._xlws.FILTER(OFFSET($O$15,0,$DN116,$B$8,1),OFFSET($M$15,0,0,$B$8,1))=FB$13), 1*(_xlfn._xlws.FILTER(OFFSET($O$15,0,$DO116,$B$8,1),OFFSET($M$15,0,0,$B$8,1))=FB$14))   /   SUM(OFFSET($BO$15,0,0,$B$14,1)) + $B$18/($B$19*$B$19*($DN116&lt;&gt;$DO116) + $B$19*($DN116=$DO116))</f>
        <v>3.7037037037037035E-4</v>
      </c>
      <c r="FC116" s="10" cm="1">
        <f t="array" aca="1" ref="FC116" ca="1">(1-$B$18)*SUMPRODUCT(OFFSET($BO$15,0,0,$B$14,1), 1*(_xlfn._xlws.FILTER(OFFSET($O$15,0,$DN116,$B$8,1),OFFSET($M$15,0,0,$B$8,1))=FC$13), 1*(_xlfn._xlws.FILTER(OFFSET($O$15,0,$DO116,$B$8,1),OFFSET($M$15,0,0,$B$8,1))=FC$14))   /   SUM(OFFSET($BO$15,0,0,$B$14,1)) + $B$18/($B$19*$B$19*($DN116&lt;&gt;$DO116) + $B$19*($DN116=$DO116))</f>
        <v>3.7037037037037035E-4</v>
      </c>
      <c r="FD116" s="10" cm="1">
        <f t="array" aca="1" ref="FD116" ca="1">(1-$B$18)*SUMPRODUCT(OFFSET($BO$15,0,0,$B$14,1), 1*(_xlfn._xlws.FILTER(OFFSET($O$15,0,$DN116,$B$8,1),OFFSET($M$15,0,0,$B$8,1))=FD$13), 1*(_xlfn._xlws.FILTER(OFFSET($O$15,0,$DO116,$B$8,1),OFFSET($M$15,0,0,$B$8,1))=FD$14))   /   SUM(OFFSET($BO$15,0,0,$B$14,1)) + $B$18/($B$19*$B$19*($DN116&lt;&gt;$DO116) + $B$19*($DN116=$DO116))</f>
        <v>3.7037037037037035E-4</v>
      </c>
      <c r="FE116" s="10" cm="1">
        <f t="array" aca="1" ref="FE116" ca="1">(1-$B$18)*SUMPRODUCT(OFFSET($BO$15,0,0,$B$14,1), 1*(_xlfn._xlws.FILTER(OFFSET($O$15,0,$DN116,$B$8,1),OFFSET($M$15,0,0,$B$8,1))=FE$13), 1*(_xlfn._xlws.FILTER(OFFSET($O$15,0,$DO116,$B$8,1),OFFSET($M$15,0,0,$B$8,1))=FE$14))   /   SUM(OFFSET($BO$15,0,0,$B$14,1)) + $B$18/($B$19*$B$19*($DN116&lt;&gt;$DO116) + $B$19*($DN116=$DO116))</f>
        <v>3.7037037037037035E-4</v>
      </c>
      <c r="FF116" s="10" cm="1">
        <f t="array" aca="1" ref="FF116" ca="1">(1-$B$18)*SUMPRODUCT(OFFSET($BO$15,0,0,$B$14,1), 1*(_xlfn._xlws.FILTER(OFFSET($O$15,0,$DN116,$B$8,1),OFFSET($M$15,0,0,$B$8,1))=FF$13), 1*(_xlfn._xlws.FILTER(OFFSET($O$15,0,$DO116,$B$8,1),OFFSET($M$15,0,0,$B$8,1))=FF$14))   /   SUM(OFFSET($BO$15,0,0,$B$14,1)) + $B$18/($B$19*$B$19*($DN116&lt;&gt;$DO116) + $B$19*($DN116=$DO116))</f>
        <v>3.7037037037037035E-4</v>
      </c>
      <c r="FG116" s="10" cm="1">
        <f t="array" aca="1" ref="FG116" ca="1">(1-$B$18)*SUMPRODUCT(OFFSET($BO$15,0,0,$B$14,1), 1*(_xlfn._xlws.FILTER(OFFSET($O$15,0,$DN116,$B$8,1),OFFSET($M$15,0,0,$B$8,1))=FG$13), 1*(_xlfn._xlws.FILTER(OFFSET($O$15,0,$DO116,$B$8,1),OFFSET($M$15,0,0,$B$8,1))=FG$14))   /   SUM(OFFSET($BO$15,0,0,$B$14,1)) + $B$18/($B$19*$B$19*($DN116&lt;&gt;$DO116) + $B$19*($DN116=$DO116))</f>
        <v>3.7037037037037035E-4</v>
      </c>
      <c r="FH116" s="10" cm="1">
        <f t="array" aca="1" ref="FH116" ca="1">(1-$B$18)*SUMPRODUCT(OFFSET($BO$15,0,0,$B$14,1), 1*(_xlfn._xlws.FILTER(OFFSET($O$15,0,$DN116,$B$8,1),OFFSET($M$15,0,0,$B$8,1))=FH$13), 1*(_xlfn._xlws.FILTER(OFFSET($O$15,0,$DO116,$B$8,1),OFFSET($M$15,0,0,$B$8,1))=FH$14))   /   SUM(OFFSET($BO$15,0,0,$B$14,1)) + $B$18/($B$19*$B$19*($DN116&lt;&gt;$DO116) + $B$19*($DN116=$DO116))</f>
        <v>3.7037037037037035E-4</v>
      </c>
      <c r="FI116" s="10" cm="1">
        <f t="array" aca="1" ref="FI116" ca="1">(1-$B$18)*SUMPRODUCT(OFFSET($BO$15,0,0,$B$14,1), 1*(_xlfn._xlws.FILTER(OFFSET($O$15,0,$DN116,$B$8,1),OFFSET($M$15,0,0,$B$8,1))=FI$13), 1*(_xlfn._xlws.FILTER(OFFSET($O$15,0,$DO116,$B$8,1),OFFSET($M$15,0,0,$B$8,1))=FI$14))   /   SUM(OFFSET($BO$15,0,0,$B$14,1)) + $B$18/($B$19*$B$19*($DN116&lt;&gt;$DO116) + $B$19*($DN116=$DO116))</f>
        <v>3.7037037037037035E-4</v>
      </c>
      <c r="FJ116" s="10" cm="1">
        <f t="array" aca="1" ref="FJ116" ca="1">(1-$B$18)*SUMPRODUCT(OFFSET($BO$15,0,0,$B$14,1), 1*(_xlfn._xlws.FILTER(OFFSET($O$15,0,$DN116,$B$8,1),OFFSET($M$15,0,0,$B$8,1))=FJ$13), 1*(_xlfn._xlws.FILTER(OFFSET($O$15,0,$DO116,$B$8,1),OFFSET($M$15,0,0,$B$8,1))=FJ$14))   /   SUM(OFFSET($BO$15,0,0,$B$14,1)) + $B$18/($B$19*$B$19*($DN116&lt;&gt;$DO116) + $B$19*($DN116=$DO116))</f>
        <v>3.7037037037037035E-4</v>
      </c>
      <c r="FK116" s="10" cm="1">
        <f t="array" aca="1" ref="FK116" ca="1">(1-$B$18)*SUMPRODUCT(OFFSET($BO$15,0,0,$B$14,1), 1*(_xlfn._xlws.FILTER(OFFSET($O$15,0,$DN116,$B$8,1),OFFSET($M$15,0,0,$B$8,1))=FK$13), 1*(_xlfn._xlws.FILTER(OFFSET($O$15,0,$DO116,$B$8,1),OFFSET($M$15,0,0,$B$8,1))=FK$14))   /   SUM(OFFSET($BO$15,0,0,$B$14,1)) + $B$18/($B$19*$B$19*($DN116&lt;&gt;$DO116) + $B$19*($DN116=$DO116))</f>
        <v>3.7037037037037035E-4</v>
      </c>
      <c r="FL116" s="10" cm="1">
        <f t="array" aca="1" ref="FL116" ca="1">(1-$B$18)*SUMPRODUCT(OFFSET($BO$15,0,0,$B$14,1), 1*(_xlfn._xlws.FILTER(OFFSET($O$15,0,$DN116,$B$8,1),OFFSET($M$15,0,0,$B$8,1))=FL$13), 1*(_xlfn._xlws.FILTER(OFFSET($O$15,0,$DO116,$B$8,1),OFFSET($M$15,0,0,$B$8,1))=FL$14))   /   SUM(OFFSET($BO$15,0,0,$B$14,1)) + $B$18/($B$19*$B$19*($DN116&lt;&gt;$DO116) + $B$19*($DN116=$DO116))</f>
        <v>3.7037037037037035E-4</v>
      </c>
      <c r="FM116" s="10" cm="1">
        <f t="array" aca="1" ref="FM116" ca="1">(1-$B$18)*SUMPRODUCT(OFFSET($BO$15,0,0,$B$14,1), 1*(_xlfn._xlws.FILTER(OFFSET($O$15,0,$DN116,$B$8,1),OFFSET($M$15,0,0,$B$8,1))=FM$13), 1*(_xlfn._xlws.FILTER(OFFSET($O$15,0,$DO116,$B$8,1),OFFSET($M$15,0,0,$B$8,1))=FM$14))   /   SUM(OFFSET($BO$15,0,0,$B$14,1)) + $B$18/($B$19*$B$19*($DN116&lt;&gt;$DO116) + $B$19*($DN116=$DO116))</f>
        <v>3.7037037037037035E-4</v>
      </c>
      <c r="FN116" s="10" cm="1">
        <f t="array" aca="1" ref="FN116" ca="1">(1-$B$18)*SUMPRODUCT(OFFSET($BO$15,0,0,$B$14,1), 1*(_xlfn._xlws.FILTER(OFFSET($O$15,0,$DN116,$B$8,1),OFFSET($M$15,0,0,$B$8,1))=FN$13), 1*(_xlfn._xlws.FILTER(OFFSET($O$15,0,$DO116,$B$8,1),OFFSET($M$15,0,0,$B$8,1))=FN$14))   /   SUM(OFFSET($BO$15,0,0,$B$14,1)) + $B$18/($B$19*$B$19*($DN116&lt;&gt;$DO116) + $B$19*($DN116=$DO116))</f>
        <v>3.7037037037037035E-4</v>
      </c>
      <c r="FO116" s="10" cm="1">
        <f t="array" aca="1" ref="FO116" ca="1">(1-$B$18)*SUMPRODUCT(OFFSET($BO$15,0,0,$B$14,1), 1*(_xlfn._xlws.FILTER(OFFSET($O$15,0,$DN116,$B$8,1),OFFSET($M$15,0,0,$B$8,1))=FO$13), 1*(_xlfn._xlws.FILTER(OFFSET($O$15,0,$DO116,$B$8,1),OFFSET($M$15,0,0,$B$8,1))=FO$14))   /   SUM(OFFSET($BO$15,0,0,$B$14,1)) + $B$18/($B$19*$B$19*($DN116&lt;&gt;$DO116) + $B$19*($DN116=$DO116))</f>
        <v>3.7037037037037035E-4</v>
      </c>
      <c r="FP116" s="10" cm="1">
        <f t="array" aca="1" ref="FP116" ca="1">(1-$B$18)*SUMPRODUCT(OFFSET($BO$15,0,0,$B$14,1), 1*(_xlfn._xlws.FILTER(OFFSET($O$15,0,$DN116,$B$8,1),OFFSET($M$15,0,0,$B$8,1))=FP$13), 1*(_xlfn._xlws.FILTER(OFFSET($O$15,0,$DO116,$B$8,1),OFFSET($M$15,0,0,$B$8,1))=FP$14))   /   SUM(OFFSET($BO$15,0,0,$B$14,1)) + $B$18/($B$19*$B$19*($DN116&lt;&gt;$DO116) + $B$19*($DN116=$DO116))</f>
        <v>3.7037037037037035E-4</v>
      </c>
      <c r="FQ116" s="10" cm="1">
        <f t="array" aca="1" ref="FQ116" ca="1">(1-$B$18)*SUMPRODUCT(OFFSET($BO$15,0,0,$B$14,1), 1*(_xlfn._xlws.FILTER(OFFSET($O$15,0,$DN116,$B$8,1),OFFSET($M$15,0,0,$B$8,1))=FQ$13), 1*(_xlfn._xlws.FILTER(OFFSET($O$15,0,$DO116,$B$8,1),OFFSET($M$15,0,0,$B$8,1))=FQ$14))   /   SUM(OFFSET($BO$15,0,0,$B$14,1)) + $B$18/($B$19*$B$19*($DN116&lt;&gt;$DO116) + $B$19*($DN116=$DO116))</f>
        <v>3.7037037037037035E-4</v>
      </c>
      <c r="FR116" s="10" cm="1">
        <f t="array" aca="1" ref="FR116" ca="1">(1-$B$18)*SUMPRODUCT(OFFSET($BO$15,0,0,$B$14,1), 1*(_xlfn._xlws.FILTER(OFFSET($O$15,0,$DN116,$B$8,1),OFFSET($M$15,0,0,$B$8,1))=FR$13), 1*(_xlfn._xlws.FILTER(OFFSET($O$15,0,$DO116,$B$8,1),OFFSET($M$15,0,0,$B$8,1))=FR$14))   /   SUM(OFFSET($BO$15,0,0,$B$14,1)) + $B$18/($B$19*$B$19*($DN116&lt;&gt;$DO116) + $B$19*($DN116=$DO116))</f>
        <v>0.97037037037037033</v>
      </c>
      <c r="FS116" s="10" cm="1">
        <f t="array" aca="1" ref="FS116" ca="1">(1-$B$18)*SUMPRODUCT(OFFSET($BO$15,0,0,$B$14,1), 1*(_xlfn._xlws.FILTER(OFFSET($O$15,0,$DN116,$B$8,1),OFFSET($M$15,0,0,$B$8,1))=FS$13), 1*(_xlfn._xlws.FILTER(OFFSET($O$15,0,$DO116,$B$8,1),OFFSET($M$15,0,0,$B$8,1))=FS$14))   /   SUM(OFFSET($BO$15,0,0,$B$14,1)) + $B$18/($B$19*$B$19*($DN116&lt;&gt;$DO116) + $B$19*($DN116=$DO116))</f>
        <v>3.7037037037037035E-4</v>
      </c>
      <c r="FT116" s="10" cm="1">
        <f t="array" aca="1" ref="FT116" ca="1">(1-$B$18)*SUMPRODUCT(OFFSET($BO$15,0,0,$B$14,1), 1*(_xlfn._xlws.FILTER(OFFSET($O$15,0,$DN116,$B$8,1),OFFSET($M$15,0,0,$B$8,1))=FT$13), 1*(_xlfn._xlws.FILTER(OFFSET($O$15,0,$DO116,$B$8,1),OFFSET($M$15,0,0,$B$8,1))=FT$14))   /   SUM(OFFSET($BO$15,0,0,$B$14,1)) + $B$18/($B$19*$B$19*($DN116&lt;&gt;$DO116) + $B$19*($DN116=$DO116))</f>
        <v>3.7037037037037035E-4</v>
      </c>
      <c r="FU116" s="10" cm="1">
        <f t="array" aca="1" ref="FU116" ca="1">(1-$B$18)*SUMPRODUCT(OFFSET($BO$15,0,0,$B$14,1), 1*(_xlfn._xlws.FILTER(OFFSET($O$15,0,$DN116,$B$8,1),OFFSET($M$15,0,0,$B$8,1))=FU$13), 1*(_xlfn._xlws.FILTER(OFFSET($O$15,0,$DO116,$B$8,1),OFFSET($M$15,0,0,$B$8,1))=FU$14))   /   SUM(OFFSET($BO$15,0,0,$B$14,1)) + $B$18/($B$19*$B$19*($DN116&lt;&gt;$DO116) + $B$19*($DN116=$DO116))</f>
        <v>3.7037037037037035E-4</v>
      </c>
      <c r="FV116" s="10" cm="1">
        <f t="array" aca="1" ref="FV116" ca="1">(1-$B$18)*SUMPRODUCT(OFFSET($BO$15,0,0,$B$14,1), 1*(_xlfn._xlws.FILTER(OFFSET($O$15,0,$DN116,$B$8,1),OFFSET($M$15,0,0,$B$8,1))=FV$13), 1*(_xlfn._xlws.FILTER(OFFSET($O$15,0,$DO116,$B$8,1),OFFSET($M$15,0,0,$B$8,1))=FV$14))   /   SUM(OFFSET($BO$15,0,0,$B$14,1)) + $B$18/($B$19*$B$19*($DN116&lt;&gt;$DO116) + $B$19*($DN116=$DO116))</f>
        <v>3.7037037037037035E-4</v>
      </c>
      <c r="FW116" s="10" cm="1">
        <f t="array" aca="1" ref="FW116" ca="1">(1-$B$18)*SUMPRODUCT(OFFSET($BO$15,0,0,$B$14,1), 1*(_xlfn._xlws.FILTER(OFFSET($O$15,0,$DN116,$B$8,1),OFFSET($M$15,0,0,$B$8,1))=FW$13), 1*(_xlfn._xlws.FILTER(OFFSET($O$15,0,$DO116,$B$8,1),OFFSET($M$15,0,0,$B$8,1))=FW$14))   /   SUM(OFFSET($BO$15,0,0,$B$14,1)) + $B$18/($B$19*$B$19*($DN116&lt;&gt;$DO116) + $B$19*($DN116=$DO116))</f>
        <v>3.7037037037037035E-4</v>
      </c>
      <c r="FX116" s="10" cm="1">
        <f t="array" aca="1" ref="FX116" ca="1">(1-$B$18)*SUMPRODUCT(OFFSET($BO$15,0,0,$B$14,1), 1*(_xlfn._xlws.FILTER(OFFSET($O$15,0,$DN116,$B$8,1),OFFSET($M$15,0,0,$B$8,1))=FX$13), 1*(_xlfn._xlws.FILTER(OFFSET($O$15,0,$DO116,$B$8,1),OFFSET($M$15,0,0,$B$8,1))=FX$14))   /   SUM(OFFSET($BO$15,0,0,$B$14,1)) + $B$18/($B$19*$B$19*($DN116&lt;&gt;$DO116) + $B$19*($DN116=$DO116))</f>
        <v>3.7037037037037035E-4</v>
      </c>
      <c r="FY116" s="10" cm="1">
        <f t="array" aca="1" ref="FY116" ca="1">(1-$B$18)*SUMPRODUCT(OFFSET($BO$15,0,0,$B$14,1), 1*(_xlfn._xlws.FILTER(OFFSET($O$15,0,$DN116,$B$8,1),OFFSET($M$15,0,0,$B$8,1))=FY$13), 1*(_xlfn._xlws.FILTER(OFFSET($O$15,0,$DO116,$B$8,1),OFFSET($M$15,0,0,$B$8,1))=FY$14))   /   SUM(OFFSET($BO$15,0,0,$B$14,1)) + $B$18/($B$19*$B$19*($DN116&lt;&gt;$DO116) + $B$19*($DN116=$DO116))</f>
        <v>3.7037037037037035E-4</v>
      </c>
      <c r="FZ116" s="10" cm="1">
        <f t="array" aca="1" ref="FZ116" ca="1">(1-$B$18)*SUMPRODUCT(OFFSET($BO$15,0,0,$B$14,1), 1*(_xlfn._xlws.FILTER(OFFSET($O$15,0,$DN116,$B$8,1),OFFSET($M$15,0,0,$B$8,1))=FZ$13), 1*(_xlfn._xlws.FILTER(OFFSET($O$15,0,$DO116,$B$8,1),OFFSET($M$15,0,0,$B$8,1))=FZ$14))   /   SUM(OFFSET($BO$15,0,0,$B$14,1)) + $B$18/($B$19*$B$19*($DN116&lt;&gt;$DO116) + $B$19*($DN116=$DO116))</f>
        <v>3.7037037037037035E-4</v>
      </c>
      <c r="GA116" s="10" cm="1">
        <f t="array" aca="1" ref="GA116" ca="1">(1-$B$18)*SUMPRODUCT(OFFSET($BO$15,0,0,$B$14,1), 1*(_xlfn._xlws.FILTER(OFFSET($O$15,0,$DN116,$B$8,1),OFFSET($M$15,0,0,$B$8,1))=GA$13), 1*(_xlfn._xlws.FILTER(OFFSET($O$15,0,$DO116,$B$8,1),OFFSET($M$15,0,0,$B$8,1))=GA$14))   /   SUM(OFFSET($BO$15,0,0,$B$14,1)) + $B$18/($B$19*$B$19*($DN116&lt;&gt;$DO116) + $B$19*($DN116=$DO116))</f>
        <v>3.7037037037037035E-4</v>
      </c>
    </row>
    <row r="117" spans="7:183" x14ac:dyDescent="0.2">
      <c r="DN117" cm="1">
        <f t="array" aca="1" ref="DN117" ca="1">INDEX(_xlfn.ANCHORARRAY($CP$15), 1 + INT((ROWS($DO$15:$DO117) - 1) / ROWS(_xlfn.ANCHORARRAY($CP$15))))</f>
        <v>5</v>
      </c>
      <c r="DO117" cm="1">
        <f t="array" aca="1" ref="DO117" ca="1">INDEX(_xlfn.ANCHORARRAY($CP$15),1+MOD(ROWS($DO$15:$DO117)-1,ROWS(_xlfn.ANCHORARRAY($CP$15))))</f>
        <v>7</v>
      </c>
      <c r="DP117" s="10" cm="1">
        <f t="array" aca="1" ref="DP117" ca="1">(1-$B$18)*SUMPRODUCT(OFFSET($BO$15,0,0,$B$14,1), 1*(_xlfn._xlws.FILTER(OFFSET($O$15,0,$DN117,$B$8,1),OFFSET($M$15,0,0,$B$8,1))=DP$13), 1*(_xlfn._xlws.FILTER(OFFSET($O$15,0,$DO117,$B$8,1),OFFSET($M$15,0,0,$B$8,1))=DP$14))   /   SUM(OFFSET($BO$15,0,0,$B$14,1)) + $B$18/($B$19*$B$19*($DN117&lt;&gt;$DO117) + $B$19*($DN117=$DO117))</f>
        <v>3.7037037037037035E-4</v>
      </c>
      <c r="DQ117" s="10" cm="1">
        <f t="array" aca="1" ref="DQ117" ca="1">(1-$B$18)*SUMPRODUCT(OFFSET($BO$15,0,0,$B$14,1), 1*(_xlfn._xlws.FILTER(OFFSET($O$15,0,$DN117,$B$8,1),OFFSET($M$15,0,0,$B$8,1))=DQ$13), 1*(_xlfn._xlws.FILTER(OFFSET($O$15,0,$DO117,$B$8,1),OFFSET($M$15,0,0,$B$8,1))=DQ$14))   /   SUM(OFFSET($BO$15,0,0,$B$14,1)) + $B$18/($B$19*$B$19*($DN117&lt;&gt;$DO117) + $B$19*($DN117=$DO117))</f>
        <v>3.7037037037037035E-4</v>
      </c>
      <c r="DR117" s="10" cm="1">
        <f t="array" aca="1" ref="DR117" ca="1">(1-$B$18)*SUMPRODUCT(OFFSET($BO$15,0,0,$B$14,1), 1*(_xlfn._xlws.FILTER(OFFSET($O$15,0,$DN117,$B$8,1),OFFSET($M$15,0,0,$B$8,1))=DR$13), 1*(_xlfn._xlws.FILTER(OFFSET($O$15,0,$DO117,$B$8,1),OFFSET($M$15,0,0,$B$8,1))=DR$14))   /   SUM(OFFSET($BO$15,0,0,$B$14,1)) + $B$18/($B$19*$B$19*($DN117&lt;&gt;$DO117) + $B$19*($DN117=$DO117))</f>
        <v>3.7037037037037035E-4</v>
      </c>
      <c r="DS117" s="10" cm="1">
        <f t="array" aca="1" ref="DS117" ca="1">(1-$B$18)*SUMPRODUCT(OFFSET($BO$15,0,0,$B$14,1), 1*(_xlfn._xlws.FILTER(OFFSET($O$15,0,$DN117,$B$8,1),OFFSET($M$15,0,0,$B$8,1))=DS$13), 1*(_xlfn._xlws.FILTER(OFFSET($O$15,0,$DO117,$B$8,1),OFFSET($M$15,0,0,$B$8,1))=DS$14))   /   SUM(OFFSET($BO$15,0,0,$B$14,1)) + $B$18/($B$19*$B$19*($DN117&lt;&gt;$DO117) + $B$19*($DN117=$DO117))</f>
        <v>3.7037037037037035E-4</v>
      </c>
      <c r="DT117" s="10" cm="1">
        <f t="array" aca="1" ref="DT117" ca="1">(1-$B$18)*SUMPRODUCT(OFFSET($BO$15,0,0,$B$14,1), 1*(_xlfn._xlws.FILTER(OFFSET($O$15,0,$DN117,$B$8,1),OFFSET($M$15,0,0,$B$8,1))=DT$13), 1*(_xlfn._xlws.FILTER(OFFSET($O$15,0,$DO117,$B$8,1),OFFSET($M$15,0,0,$B$8,1))=DT$14))   /   SUM(OFFSET($BO$15,0,0,$B$14,1)) + $B$18/($B$19*$B$19*($DN117&lt;&gt;$DO117) + $B$19*($DN117=$DO117))</f>
        <v>3.7037037037037035E-4</v>
      </c>
      <c r="DU117" s="10" cm="1">
        <f t="array" aca="1" ref="DU117" ca="1">(1-$B$18)*SUMPRODUCT(OFFSET($BO$15,0,0,$B$14,1), 1*(_xlfn._xlws.FILTER(OFFSET($O$15,0,$DN117,$B$8,1),OFFSET($M$15,0,0,$B$8,1))=DU$13), 1*(_xlfn._xlws.FILTER(OFFSET($O$15,0,$DO117,$B$8,1),OFFSET($M$15,0,0,$B$8,1))=DU$14))   /   SUM(OFFSET($BO$15,0,0,$B$14,1)) + $B$18/($B$19*$B$19*($DN117&lt;&gt;$DO117) + $B$19*($DN117=$DO117))</f>
        <v>3.7037037037037035E-4</v>
      </c>
      <c r="DV117" s="10" cm="1">
        <f t="array" aca="1" ref="DV117" ca="1">(1-$B$18)*SUMPRODUCT(OFFSET($BO$15,0,0,$B$14,1), 1*(_xlfn._xlws.FILTER(OFFSET($O$15,0,$DN117,$B$8,1),OFFSET($M$15,0,0,$B$8,1))=DV$13), 1*(_xlfn._xlws.FILTER(OFFSET($O$15,0,$DO117,$B$8,1),OFFSET($M$15,0,0,$B$8,1))=DV$14))   /   SUM(OFFSET($BO$15,0,0,$B$14,1)) + $B$18/($B$19*$B$19*($DN117&lt;&gt;$DO117) + $B$19*($DN117=$DO117))</f>
        <v>3.7037037037037035E-4</v>
      </c>
      <c r="DW117" s="10" cm="1">
        <f t="array" aca="1" ref="DW117" ca="1">(1-$B$18)*SUMPRODUCT(OFFSET($BO$15,0,0,$B$14,1), 1*(_xlfn._xlws.FILTER(OFFSET($O$15,0,$DN117,$B$8,1),OFFSET($M$15,0,0,$B$8,1))=DW$13), 1*(_xlfn._xlws.FILTER(OFFSET($O$15,0,$DO117,$B$8,1),OFFSET($M$15,0,0,$B$8,1))=DW$14))   /   SUM(OFFSET($BO$15,0,0,$B$14,1)) + $B$18/($B$19*$B$19*($DN117&lt;&gt;$DO117) + $B$19*($DN117=$DO117))</f>
        <v>3.7037037037037035E-4</v>
      </c>
      <c r="DX117" s="10" cm="1">
        <f t="array" aca="1" ref="DX117" ca="1">(1-$B$18)*SUMPRODUCT(OFFSET($BO$15,0,0,$B$14,1), 1*(_xlfn._xlws.FILTER(OFFSET($O$15,0,$DN117,$B$8,1),OFFSET($M$15,0,0,$B$8,1))=DX$13), 1*(_xlfn._xlws.FILTER(OFFSET($O$15,0,$DO117,$B$8,1),OFFSET($M$15,0,0,$B$8,1))=DX$14))   /   SUM(OFFSET($BO$15,0,0,$B$14,1)) + $B$18/($B$19*$B$19*($DN117&lt;&gt;$DO117) + $B$19*($DN117=$DO117))</f>
        <v>3.7037037037037035E-4</v>
      </c>
      <c r="DY117" s="10" cm="1">
        <f t="array" aca="1" ref="DY117" ca="1">(1-$B$18)*SUMPRODUCT(OFFSET($BO$15,0,0,$B$14,1), 1*(_xlfn._xlws.FILTER(OFFSET($O$15,0,$DN117,$B$8,1),OFFSET($M$15,0,0,$B$8,1))=DY$13), 1*(_xlfn._xlws.FILTER(OFFSET($O$15,0,$DO117,$B$8,1),OFFSET($M$15,0,0,$B$8,1))=DY$14))   /   SUM(OFFSET($BO$15,0,0,$B$14,1)) + $B$18/($B$19*$B$19*($DN117&lt;&gt;$DO117) + $B$19*($DN117=$DO117))</f>
        <v>3.7037037037037035E-4</v>
      </c>
      <c r="DZ117" s="10" cm="1">
        <f t="array" aca="1" ref="DZ117" ca="1">(1-$B$18)*SUMPRODUCT(OFFSET($BO$15,0,0,$B$14,1), 1*(_xlfn._xlws.FILTER(OFFSET($O$15,0,$DN117,$B$8,1),OFFSET($M$15,0,0,$B$8,1))=DZ$13), 1*(_xlfn._xlws.FILTER(OFFSET($O$15,0,$DO117,$B$8,1),OFFSET($M$15,0,0,$B$8,1))=DZ$14))   /   SUM(OFFSET($BO$15,0,0,$B$14,1)) + $B$18/($B$19*$B$19*($DN117&lt;&gt;$DO117) + $B$19*($DN117=$DO117))</f>
        <v>3.7037037037037035E-4</v>
      </c>
      <c r="EA117" s="10" cm="1">
        <f t="array" aca="1" ref="EA117" ca="1">(1-$B$18)*SUMPRODUCT(OFFSET($BO$15,0,0,$B$14,1), 1*(_xlfn._xlws.FILTER(OFFSET($O$15,0,$DN117,$B$8,1),OFFSET($M$15,0,0,$B$8,1))=EA$13), 1*(_xlfn._xlws.FILTER(OFFSET($O$15,0,$DO117,$B$8,1),OFFSET($M$15,0,0,$B$8,1))=EA$14))   /   SUM(OFFSET($BO$15,0,0,$B$14,1)) + $B$18/($B$19*$B$19*($DN117&lt;&gt;$DO117) + $B$19*($DN117=$DO117))</f>
        <v>3.7037037037037035E-4</v>
      </c>
      <c r="EB117" s="10" cm="1">
        <f t="array" aca="1" ref="EB117" ca="1">(1-$B$18)*SUMPRODUCT(OFFSET($BO$15,0,0,$B$14,1), 1*(_xlfn._xlws.FILTER(OFFSET($O$15,0,$DN117,$B$8,1),OFFSET($M$15,0,0,$B$8,1))=EB$13), 1*(_xlfn._xlws.FILTER(OFFSET($O$15,0,$DO117,$B$8,1),OFFSET($M$15,0,0,$B$8,1))=EB$14))   /   SUM(OFFSET($BO$15,0,0,$B$14,1)) + $B$18/($B$19*$B$19*($DN117&lt;&gt;$DO117) + $B$19*($DN117=$DO117))</f>
        <v>3.7037037037037035E-4</v>
      </c>
      <c r="EC117" s="10" cm="1">
        <f t="array" aca="1" ref="EC117" ca="1">(1-$B$18)*SUMPRODUCT(OFFSET($BO$15,0,0,$B$14,1), 1*(_xlfn._xlws.FILTER(OFFSET($O$15,0,$DN117,$B$8,1),OFFSET($M$15,0,0,$B$8,1))=EC$13), 1*(_xlfn._xlws.FILTER(OFFSET($O$15,0,$DO117,$B$8,1),OFFSET($M$15,0,0,$B$8,1))=EC$14))   /   SUM(OFFSET($BO$15,0,0,$B$14,1)) + $B$18/($B$19*$B$19*($DN117&lt;&gt;$DO117) + $B$19*($DN117=$DO117))</f>
        <v>3.7037037037037035E-4</v>
      </c>
      <c r="ED117" s="10" cm="1">
        <f t="array" aca="1" ref="ED117" ca="1">(1-$B$18)*SUMPRODUCT(OFFSET($BO$15,0,0,$B$14,1), 1*(_xlfn._xlws.FILTER(OFFSET($O$15,0,$DN117,$B$8,1),OFFSET($M$15,0,0,$B$8,1))=ED$13), 1*(_xlfn._xlws.FILTER(OFFSET($O$15,0,$DO117,$B$8,1),OFFSET($M$15,0,0,$B$8,1))=ED$14))   /   SUM(OFFSET($BO$15,0,0,$B$14,1)) + $B$18/($B$19*$B$19*($DN117&lt;&gt;$DO117) + $B$19*($DN117=$DO117))</f>
        <v>3.7037037037037035E-4</v>
      </c>
      <c r="EE117" s="10" cm="1">
        <f t="array" aca="1" ref="EE117" ca="1">(1-$B$18)*SUMPRODUCT(OFFSET($BO$15,0,0,$B$14,1), 1*(_xlfn._xlws.FILTER(OFFSET($O$15,0,$DN117,$B$8,1),OFFSET($M$15,0,0,$B$8,1))=EE$13), 1*(_xlfn._xlws.FILTER(OFFSET($O$15,0,$DO117,$B$8,1),OFFSET($M$15,0,0,$B$8,1))=EE$14))   /   SUM(OFFSET($BO$15,0,0,$B$14,1)) + $B$18/($B$19*$B$19*($DN117&lt;&gt;$DO117) + $B$19*($DN117=$DO117))</f>
        <v>3.7037037037037035E-4</v>
      </c>
      <c r="EF117" s="10" cm="1">
        <f t="array" aca="1" ref="EF117" ca="1">(1-$B$18)*SUMPRODUCT(OFFSET($BO$15,0,0,$B$14,1), 1*(_xlfn._xlws.FILTER(OFFSET($O$15,0,$DN117,$B$8,1),OFFSET($M$15,0,0,$B$8,1))=EF$13), 1*(_xlfn._xlws.FILTER(OFFSET($O$15,0,$DO117,$B$8,1),OFFSET($M$15,0,0,$B$8,1))=EF$14))   /   SUM(OFFSET($BO$15,0,0,$B$14,1)) + $B$18/($B$19*$B$19*($DN117&lt;&gt;$DO117) + $B$19*($DN117=$DO117))</f>
        <v>3.7037037037037035E-4</v>
      </c>
      <c r="EG117" s="10" cm="1">
        <f t="array" aca="1" ref="EG117" ca="1">(1-$B$18)*SUMPRODUCT(OFFSET($BO$15,0,0,$B$14,1), 1*(_xlfn._xlws.FILTER(OFFSET($O$15,0,$DN117,$B$8,1),OFFSET($M$15,0,0,$B$8,1))=EG$13), 1*(_xlfn._xlws.FILTER(OFFSET($O$15,0,$DO117,$B$8,1),OFFSET($M$15,0,0,$B$8,1))=EG$14))   /   SUM(OFFSET($BO$15,0,0,$B$14,1)) + $B$18/($B$19*$B$19*($DN117&lt;&gt;$DO117) + $B$19*($DN117=$DO117))</f>
        <v>3.7037037037037035E-4</v>
      </c>
      <c r="EH117" s="10" cm="1">
        <f t="array" aca="1" ref="EH117" ca="1">(1-$B$18)*SUMPRODUCT(OFFSET($BO$15,0,0,$B$14,1), 1*(_xlfn._xlws.FILTER(OFFSET($O$15,0,$DN117,$B$8,1),OFFSET($M$15,0,0,$B$8,1))=EH$13), 1*(_xlfn._xlws.FILTER(OFFSET($O$15,0,$DO117,$B$8,1),OFFSET($M$15,0,0,$B$8,1))=EH$14))   /   SUM(OFFSET($BO$15,0,0,$B$14,1)) + $B$18/($B$19*$B$19*($DN117&lt;&gt;$DO117) + $B$19*($DN117=$DO117))</f>
        <v>3.7037037037037035E-4</v>
      </c>
      <c r="EI117" s="10" cm="1">
        <f t="array" aca="1" ref="EI117" ca="1">(1-$B$18)*SUMPRODUCT(OFFSET($BO$15,0,0,$B$14,1), 1*(_xlfn._xlws.FILTER(OFFSET($O$15,0,$DN117,$B$8,1),OFFSET($M$15,0,0,$B$8,1))=EI$13), 1*(_xlfn._xlws.FILTER(OFFSET($O$15,0,$DO117,$B$8,1),OFFSET($M$15,0,0,$B$8,1))=EI$14))   /   SUM(OFFSET($BO$15,0,0,$B$14,1)) + $B$18/($B$19*$B$19*($DN117&lt;&gt;$DO117) + $B$19*($DN117=$DO117))</f>
        <v>3.7037037037037035E-4</v>
      </c>
      <c r="EJ117" s="10" cm="1">
        <f t="array" aca="1" ref="EJ117" ca="1">(1-$B$18)*SUMPRODUCT(OFFSET($BO$15,0,0,$B$14,1), 1*(_xlfn._xlws.FILTER(OFFSET($O$15,0,$DN117,$B$8,1),OFFSET($M$15,0,0,$B$8,1))=EJ$13), 1*(_xlfn._xlws.FILTER(OFFSET($O$15,0,$DO117,$B$8,1),OFFSET($M$15,0,0,$B$8,1))=EJ$14))   /   SUM(OFFSET($BO$15,0,0,$B$14,1)) + $B$18/($B$19*$B$19*($DN117&lt;&gt;$DO117) + $B$19*($DN117=$DO117))</f>
        <v>3.7037037037037035E-4</v>
      </c>
      <c r="EK117" s="10" cm="1">
        <f t="array" aca="1" ref="EK117" ca="1">(1-$B$18)*SUMPRODUCT(OFFSET($BO$15,0,0,$B$14,1), 1*(_xlfn._xlws.FILTER(OFFSET($O$15,0,$DN117,$B$8,1),OFFSET($M$15,0,0,$B$8,1))=EK$13), 1*(_xlfn._xlws.FILTER(OFFSET($O$15,0,$DO117,$B$8,1),OFFSET($M$15,0,0,$B$8,1))=EK$14))   /   SUM(OFFSET($BO$15,0,0,$B$14,1)) + $B$18/($B$19*$B$19*($DN117&lt;&gt;$DO117) + $B$19*($DN117=$DO117))</f>
        <v>3.7037037037037035E-4</v>
      </c>
      <c r="EL117" s="10" cm="1">
        <f t="array" aca="1" ref="EL117" ca="1">(1-$B$18)*SUMPRODUCT(OFFSET($BO$15,0,0,$B$14,1), 1*(_xlfn._xlws.FILTER(OFFSET($O$15,0,$DN117,$B$8,1),OFFSET($M$15,0,0,$B$8,1))=EL$13), 1*(_xlfn._xlws.FILTER(OFFSET($O$15,0,$DO117,$B$8,1),OFFSET($M$15,0,0,$B$8,1))=EL$14))   /   SUM(OFFSET($BO$15,0,0,$B$14,1)) + $B$18/($B$19*$B$19*($DN117&lt;&gt;$DO117) + $B$19*($DN117=$DO117))</f>
        <v>3.7037037037037035E-4</v>
      </c>
      <c r="EM117" s="10" cm="1">
        <f t="array" aca="1" ref="EM117" ca="1">(1-$B$18)*SUMPRODUCT(OFFSET($BO$15,0,0,$B$14,1), 1*(_xlfn._xlws.FILTER(OFFSET($O$15,0,$DN117,$B$8,1),OFFSET($M$15,0,0,$B$8,1))=EM$13), 1*(_xlfn._xlws.FILTER(OFFSET($O$15,0,$DO117,$B$8,1),OFFSET($M$15,0,0,$B$8,1))=EM$14))   /   SUM(OFFSET($BO$15,0,0,$B$14,1)) + $B$18/($B$19*$B$19*($DN117&lt;&gt;$DO117) + $B$19*($DN117=$DO117))</f>
        <v>3.7037037037037035E-4</v>
      </c>
      <c r="EN117" s="10" cm="1">
        <f t="array" aca="1" ref="EN117" ca="1">(1-$B$18)*SUMPRODUCT(OFFSET($BO$15,0,0,$B$14,1), 1*(_xlfn._xlws.FILTER(OFFSET($O$15,0,$DN117,$B$8,1),OFFSET($M$15,0,0,$B$8,1))=EN$13), 1*(_xlfn._xlws.FILTER(OFFSET($O$15,0,$DO117,$B$8,1),OFFSET($M$15,0,0,$B$8,1))=EN$14))   /   SUM(OFFSET($BO$15,0,0,$B$14,1)) + $B$18/($B$19*$B$19*($DN117&lt;&gt;$DO117) + $B$19*($DN117=$DO117))</f>
        <v>3.7037037037037035E-4</v>
      </c>
      <c r="EO117" s="10" cm="1">
        <f t="array" aca="1" ref="EO117" ca="1">(1-$B$18)*SUMPRODUCT(OFFSET($BO$15,0,0,$B$14,1), 1*(_xlfn._xlws.FILTER(OFFSET($O$15,0,$DN117,$B$8,1),OFFSET($M$15,0,0,$B$8,1))=EO$13), 1*(_xlfn._xlws.FILTER(OFFSET($O$15,0,$DO117,$B$8,1),OFFSET($M$15,0,0,$B$8,1))=EO$14))   /   SUM(OFFSET($BO$15,0,0,$B$14,1)) + $B$18/($B$19*$B$19*($DN117&lt;&gt;$DO117) + $B$19*($DN117=$DO117))</f>
        <v>3.7037037037037035E-4</v>
      </c>
      <c r="EP117" s="10" cm="1">
        <f t="array" aca="1" ref="EP117" ca="1">(1-$B$18)*SUMPRODUCT(OFFSET($BO$15,0,0,$B$14,1), 1*(_xlfn._xlws.FILTER(OFFSET($O$15,0,$DN117,$B$8,1),OFFSET($M$15,0,0,$B$8,1))=EP$13), 1*(_xlfn._xlws.FILTER(OFFSET($O$15,0,$DO117,$B$8,1),OFFSET($M$15,0,0,$B$8,1))=EP$14))   /   SUM(OFFSET($BO$15,0,0,$B$14,1)) + $B$18/($B$19*$B$19*($DN117&lt;&gt;$DO117) + $B$19*($DN117=$DO117))</f>
        <v>3.7037037037037035E-4</v>
      </c>
      <c r="EQ117" s="10" cm="1">
        <f t="array" aca="1" ref="EQ117" ca="1">(1-$B$18)*SUMPRODUCT(OFFSET($BO$15,0,0,$B$14,1), 1*(_xlfn._xlws.FILTER(OFFSET($O$15,0,$DN117,$B$8,1),OFFSET($M$15,0,0,$B$8,1))=EQ$13), 1*(_xlfn._xlws.FILTER(OFFSET($O$15,0,$DO117,$B$8,1),OFFSET($M$15,0,0,$B$8,1))=EQ$14))   /   SUM(OFFSET($BO$15,0,0,$B$14,1)) + $B$18/($B$19*$B$19*($DN117&lt;&gt;$DO117) + $B$19*($DN117=$DO117))</f>
        <v>3.7037037037037035E-4</v>
      </c>
      <c r="ER117" s="10" cm="1">
        <f t="array" aca="1" ref="ER117" ca="1">(1-$B$18)*SUMPRODUCT(OFFSET($BO$15,0,0,$B$14,1), 1*(_xlfn._xlws.FILTER(OFFSET($O$15,0,$DN117,$B$8,1),OFFSET($M$15,0,0,$B$8,1))=ER$13), 1*(_xlfn._xlws.FILTER(OFFSET($O$15,0,$DO117,$B$8,1),OFFSET($M$15,0,0,$B$8,1))=ER$14))   /   SUM(OFFSET($BO$15,0,0,$B$14,1)) + $B$18/($B$19*$B$19*($DN117&lt;&gt;$DO117) + $B$19*($DN117=$DO117))</f>
        <v>3.7037037037037035E-4</v>
      </c>
      <c r="ES117" s="10" cm="1">
        <f t="array" aca="1" ref="ES117" ca="1">(1-$B$18)*SUMPRODUCT(OFFSET($BO$15,0,0,$B$14,1), 1*(_xlfn._xlws.FILTER(OFFSET($O$15,0,$DN117,$B$8,1),OFFSET($M$15,0,0,$B$8,1))=ES$13), 1*(_xlfn._xlws.FILTER(OFFSET($O$15,0,$DO117,$B$8,1),OFFSET($M$15,0,0,$B$8,1))=ES$14))   /   SUM(OFFSET($BO$15,0,0,$B$14,1)) + $B$18/($B$19*$B$19*($DN117&lt;&gt;$DO117) + $B$19*($DN117=$DO117))</f>
        <v>3.7037037037037035E-4</v>
      </c>
      <c r="ET117" s="10" cm="1">
        <f t="array" aca="1" ref="ET117" ca="1">(1-$B$18)*SUMPRODUCT(OFFSET($BO$15,0,0,$B$14,1), 1*(_xlfn._xlws.FILTER(OFFSET($O$15,0,$DN117,$B$8,1),OFFSET($M$15,0,0,$B$8,1))=ET$13), 1*(_xlfn._xlws.FILTER(OFFSET($O$15,0,$DO117,$B$8,1),OFFSET($M$15,0,0,$B$8,1))=ET$14))   /   SUM(OFFSET($BO$15,0,0,$B$14,1)) + $B$18/($B$19*$B$19*($DN117&lt;&gt;$DO117) + $B$19*($DN117=$DO117))</f>
        <v>3.7037037037037035E-4</v>
      </c>
      <c r="EU117" s="10" cm="1">
        <f t="array" aca="1" ref="EU117" ca="1">(1-$B$18)*SUMPRODUCT(OFFSET($BO$15,0,0,$B$14,1), 1*(_xlfn._xlws.FILTER(OFFSET($O$15,0,$DN117,$B$8,1),OFFSET($M$15,0,0,$B$8,1))=EU$13), 1*(_xlfn._xlws.FILTER(OFFSET($O$15,0,$DO117,$B$8,1),OFFSET($M$15,0,0,$B$8,1))=EU$14))   /   SUM(OFFSET($BO$15,0,0,$B$14,1)) + $B$18/($B$19*$B$19*($DN117&lt;&gt;$DO117) + $B$19*($DN117=$DO117))</f>
        <v>3.7037037037037035E-4</v>
      </c>
      <c r="EV117" s="10" cm="1">
        <f t="array" aca="1" ref="EV117" ca="1">(1-$B$18)*SUMPRODUCT(OFFSET($BO$15,0,0,$B$14,1), 1*(_xlfn._xlws.FILTER(OFFSET($O$15,0,$DN117,$B$8,1),OFFSET($M$15,0,0,$B$8,1))=EV$13), 1*(_xlfn._xlws.FILTER(OFFSET($O$15,0,$DO117,$B$8,1),OFFSET($M$15,0,0,$B$8,1))=EV$14))   /   SUM(OFFSET($BO$15,0,0,$B$14,1)) + $B$18/($B$19*$B$19*($DN117&lt;&gt;$DO117) + $B$19*($DN117=$DO117))</f>
        <v>3.7037037037037035E-4</v>
      </c>
      <c r="EW117" s="10" cm="1">
        <f t="array" aca="1" ref="EW117" ca="1">(1-$B$18)*SUMPRODUCT(OFFSET($BO$15,0,0,$B$14,1), 1*(_xlfn._xlws.FILTER(OFFSET($O$15,0,$DN117,$B$8,1),OFFSET($M$15,0,0,$B$8,1))=EW$13), 1*(_xlfn._xlws.FILTER(OFFSET($O$15,0,$DO117,$B$8,1),OFFSET($M$15,0,0,$B$8,1))=EW$14))   /   SUM(OFFSET($BO$15,0,0,$B$14,1)) + $B$18/($B$19*$B$19*($DN117&lt;&gt;$DO117) + $B$19*($DN117=$DO117))</f>
        <v>3.7037037037037035E-4</v>
      </c>
      <c r="EX117" s="10" cm="1">
        <f t="array" aca="1" ref="EX117" ca="1">(1-$B$18)*SUMPRODUCT(OFFSET($BO$15,0,0,$B$14,1), 1*(_xlfn._xlws.FILTER(OFFSET($O$15,0,$DN117,$B$8,1),OFFSET($M$15,0,0,$B$8,1))=EX$13), 1*(_xlfn._xlws.FILTER(OFFSET($O$15,0,$DO117,$B$8,1),OFFSET($M$15,0,0,$B$8,1))=EX$14))   /   SUM(OFFSET($BO$15,0,0,$B$14,1)) + $B$18/($B$19*$B$19*($DN117&lt;&gt;$DO117) + $B$19*($DN117=$DO117))</f>
        <v>3.7037037037037035E-4</v>
      </c>
      <c r="EY117" s="10" cm="1">
        <f t="array" aca="1" ref="EY117" ca="1">(1-$B$18)*SUMPRODUCT(OFFSET($BO$15,0,0,$B$14,1), 1*(_xlfn._xlws.FILTER(OFFSET($O$15,0,$DN117,$B$8,1),OFFSET($M$15,0,0,$B$8,1))=EY$13), 1*(_xlfn._xlws.FILTER(OFFSET($O$15,0,$DO117,$B$8,1),OFFSET($M$15,0,0,$B$8,1))=EY$14))   /   SUM(OFFSET($BO$15,0,0,$B$14,1)) + $B$18/($B$19*$B$19*($DN117&lt;&gt;$DO117) + $B$19*($DN117=$DO117))</f>
        <v>3.7037037037037035E-4</v>
      </c>
      <c r="EZ117" s="10" cm="1">
        <f t="array" aca="1" ref="EZ117" ca="1">(1-$B$18)*SUMPRODUCT(OFFSET($BO$15,0,0,$B$14,1), 1*(_xlfn._xlws.FILTER(OFFSET($O$15,0,$DN117,$B$8,1),OFFSET($M$15,0,0,$B$8,1))=EZ$13), 1*(_xlfn._xlws.FILTER(OFFSET($O$15,0,$DO117,$B$8,1),OFFSET($M$15,0,0,$B$8,1))=EZ$14))   /   SUM(OFFSET($BO$15,0,0,$B$14,1)) + $B$18/($B$19*$B$19*($DN117&lt;&gt;$DO117) + $B$19*($DN117=$DO117))</f>
        <v>3.7037037037037035E-4</v>
      </c>
      <c r="FA117" s="10" cm="1">
        <f t="array" aca="1" ref="FA117" ca="1">(1-$B$18)*SUMPRODUCT(OFFSET($BO$15,0,0,$B$14,1), 1*(_xlfn._xlws.FILTER(OFFSET($O$15,0,$DN117,$B$8,1),OFFSET($M$15,0,0,$B$8,1))=FA$13), 1*(_xlfn._xlws.FILTER(OFFSET($O$15,0,$DO117,$B$8,1),OFFSET($M$15,0,0,$B$8,1))=FA$14))   /   SUM(OFFSET($BO$15,0,0,$B$14,1)) + $B$18/($B$19*$B$19*($DN117&lt;&gt;$DO117) + $B$19*($DN117=$DO117))</f>
        <v>3.7037037037037035E-4</v>
      </c>
      <c r="FB117" s="10" cm="1">
        <f t="array" aca="1" ref="FB117" ca="1">(1-$B$18)*SUMPRODUCT(OFFSET($BO$15,0,0,$B$14,1), 1*(_xlfn._xlws.FILTER(OFFSET($O$15,0,$DN117,$B$8,1),OFFSET($M$15,0,0,$B$8,1))=FB$13), 1*(_xlfn._xlws.FILTER(OFFSET($O$15,0,$DO117,$B$8,1),OFFSET($M$15,0,0,$B$8,1))=FB$14))   /   SUM(OFFSET($BO$15,0,0,$B$14,1)) + $B$18/($B$19*$B$19*($DN117&lt;&gt;$DO117) + $B$19*($DN117=$DO117))</f>
        <v>3.7037037037037035E-4</v>
      </c>
      <c r="FC117" s="10" cm="1">
        <f t="array" aca="1" ref="FC117" ca="1">(1-$B$18)*SUMPRODUCT(OFFSET($BO$15,0,0,$B$14,1), 1*(_xlfn._xlws.FILTER(OFFSET($O$15,0,$DN117,$B$8,1),OFFSET($M$15,0,0,$B$8,1))=FC$13), 1*(_xlfn._xlws.FILTER(OFFSET($O$15,0,$DO117,$B$8,1),OFFSET($M$15,0,0,$B$8,1))=FC$14))   /   SUM(OFFSET($BO$15,0,0,$B$14,1)) + $B$18/($B$19*$B$19*($DN117&lt;&gt;$DO117) + $B$19*($DN117=$DO117))</f>
        <v>3.7037037037037035E-4</v>
      </c>
      <c r="FD117" s="10" cm="1">
        <f t="array" aca="1" ref="FD117" ca="1">(1-$B$18)*SUMPRODUCT(OFFSET($BO$15,0,0,$B$14,1), 1*(_xlfn._xlws.FILTER(OFFSET($O$15,0,$DN117,$B$8,1),OFFSET($M$15,0,0,$B$8,1))=FD$13), 1*(_xlfn._xlws.FILTER(OFFSET($O$15,0,$DO117,$B$8,1),OFFSET($M$15,0,0,$B$8,1))=FD$14))   /   SUM(OFFSET($BO$15,0,0,$B$14,1)) + $B$18/($B$19*$B$19*($DN117&lt;&gt;$DO117) + $B$19*($DN117=$DO117))</f>
        <v>3.7037037037037035E-4</v>
      </c>
      <c r="FE117" s="10" cm="1">
        <f t="array" aca="1" ref="FE117" ca="1">(1-$B$18)*SUMPRODUCT(OFFSET($BO$15,0,0,$B$14,1), 1*(_xlfn._xlws.FILTER(OFFSET($O$15,0,$DN117,$B$8,1),OFFSET($M$15,0,0,$B$8,1))=FE$13), 1*(_xlfn._xlws.FILTER(OFFSET($O$15,0,$DO117,$B$8,1),OFFSET($M$15,0,0,$B$8,1))=FE$14))   /   SUM(OFFSET($BO$15,0,0,$B$14,1)) + $B$18/($B$19*$B$19*($DN117&lt;&gt;$DO117) + $B$19*($DN117=$DO117))</f>
        <v>3.7037037037037035E-4</v>
      </c>
      <c r="FF117" s="10" cm="1">
        <f t="array" aca="1" ref="FF117" ca="1">(1-$B$18)*SUMPRODUCT(OFFSET($BO$15,0,0,$B$14,1), 1*(_xlfn._xlws.FILTER(OFFSET($O$15,0,$DN117,$B$8,1),OFFSET($M$15,0,0,$B$8,1))=FF$13), 1*(_xlfn._xlws.FILTER(OFFSET($O$15,0,$DO117,$B$8,1),OFFSET($M$15,0,0,$B$8,1))=FF$14))   /   SUM(OFFSET($BO$15,0,0,$B$14,1)) + $B$18/($B$19*$B$19*($DN117&lt;&gt;$DO117) + $B$19*($DN117=$DO117))</f>
        <v>3.7037037037037035E-4</v>
      </c>
      <c r="FG117" s="10" cm="1">
        <f t="array" aca="1" ref="FG117" ca="1">(1-$B$18)*SUMPRODUCT(OFFSET($BO$15,0,0,$B$14,1), 1*(_xlfn._xlws.FILTER(OFFSET($O$15,0,$DN117,$B$8,1),OFFSET($M$15,0,0,$B$8,1))=FG$13), 1*(_xlfn._xlws.FILTER(OFFSET($O$15,0,$DO117,$B$8,1),OFFSET($M$15,0,0,$B$8,1))=FG$14))   /   SUM(OFFSET($BO$15,0,0,$B$14,1)) + $B$18/($B$19*$B$19*($DN117&lt;&gt;$DO117) + $B$19*($DN117=$DO117))</f>
        <v>3.7037037037037035E-4</v>
      </c>
      <c r="FH117" s="10" cm="1">
        <f t="array" aca="1" ref="FH117" ca="1">(1-$B$18)*SUMPRODUCT(OFFSET($BO$15,0,0,$B$14,1), 1*(_xlfn._xlws.FILTER(OFFSET($O$15,0,$DN117,$B$8,1),OFFSET($M$15,0,0,$B$8,1))=FH$13), 1*(_xlfn._xlws.FILTER(OFFSET($O$15,0,$DO117,$B$8,1),OFFSET($M$15,0,0,$B$8,1))=FH$14))   /   SUM(OFFSET($BO$15,0,0,$B$14,1)) + $B$18/($B$19*$B$19*($DN117&lt;&gt;$DO117) + $B$19*($DN117=$DO117))</f>
        <v>3.7037037037037035E-4</v>
      </c>
      <c r="FI117" s="10" cm="1">
        <f t="array" aca="1" ref="FI117" ca="1">(1-$B$18)*SUMPRODUCT(OFFSET($BO$15,0,0,$B$14,1), 1*(_xlfn._xlws.FILTER(OFFSET($O$15,0,$DN117,$B$8,1),OFFSET($M$15,0,0,$B$8,1))=FI$13), 1*(_xlfn._xlws.FILTER(OFFSET($O$15,0,$DO117,$B$8,1),OFFSET($M$15,0,0,$B$8,1))=FI$14))   /   SUM(OFFSET($BO$15,0,0,$B$14,1)) + $B$18/($B$19*$B$19*($DN117&lt;&gt;$DO117) + $B$19*($DN117=$DO117))</f>
        <v>3.7037037037037035E-4</v>
      </c>
      <c r="FJ117" s="10" cm="1">
        <f t="array" aca="1" ref="FJ117" ca="1">(1-$B$18)*SUMPRODUCT(OFFSET($BO$15,0,0,$B$14,1), 1*(_xlfn._xlws.FILTER(OFFSET($O$15,0,$DN117,$B$8,1),OFFSET($M$15,0,0,$B$8,1))=FJ$13), 1*(_xlfn._xlws.FILTER(OFFSET($O$15,0,$DO117,$B$8,1),OFFSET($M$15,0,0,$B$8,1))=FJ$14))   /   SUM(OFFSET($BO$15,0,0,$B$14,1)) + $B$18/($B$19*$B$19*($DN117&lt;&gt;$DO117) + $B$19*($DN117=$DO117))</f>
        <v>3.7037037037037035E-4</v>
      </c>
      <c r="FK117" s="10" cm="1">
        <f t="array" aca="1" ref="FK117" ca="1">(1-$B$18)*SUMPRODUCT(OFFSET($BO$15,0,0,$B$14,1), 1*(_xlfn._xlws.FILTER(OFFSET($O$15,0,$DN117,$B$8,1),OFFSET($M$15,0,0,$B$8,1))=FK$13), 1*(_xlfn._xlws.FILTER(OFFSET($O$15,0,$DO117,$B$8,1),OFFSET($M$15,0,0,$B$8,1))=FK$14))   /   SUM(OFFSET($BO$15,0,0,$B$14,1)) + $B$18/($B$19*$B$19*($DN117&lt;&gt;$DO117) + $B$19*($DN117=$DO117))</f>
        <v>3.7037037037037035E-4</v>
      </c>
      <c r="FL117" s="10" cm="1">
        <f t="array" aca="1" ref="FL117" ca="1">(1-$B$18)*SUMPRODUCT(OFFSET($BO$15,0,0,$B$14,1), 1*(_xlfn._xlws.FILTER(OFFSET($O$15,0,$DN117,$B$8,1),OFFSET($M$15,0,0,$B$8,1))=FL$13), 1*(_xlfn._xlws.FILTER(OFFSET($O$15,0,$DO117,$B$8,1),OFFSET($M$15,0,0,$B$8,1))=FL$14))   /   SUM(OFFSET($BO$15,0,0,$B$14,1)) + $B$18/($B$19*$B$19*($DN117&lt;&gt;$DO117) + $B$19*($DN117=$DO117))</f>
        <v>3.7037037037037035E-4</v>
      </c>
      <c r="FM117" s="10" cm="1">
        <f t="array" aca="1" ref="FM117" ca="1">(1-$B$18)*SUMPRODUCT(OFFSET($BO$15,0,0,$B$14,1), 1*(_xlfn._xlws.FILTER(OFFSET($O$15,0,$DN117,$B$8,1),OFFSET($M$15,0,0,$B$8,1))=FM$13), 1*(_xlfn._xlws.FILTER(OFFSET($O$15,0,$DO117,$B$8,1),OFFSET($M$15,0,0,$B$8,1))=FM$14))   /   SUM(OFFSET($BO$15,0,0,$B$14,1)) + $B$18/($B$19*$B$19*($DN117&lt;&gt;$DO117) + $B$19*($DN117=$DO117))</f>
        <v>3.7037037037037035E-4</v>
      </c>
      <c r="FN117" s="10" cm="1">
        <f t="array" aca="1" ref="FN117" ca="1">(1-$B$18)*SUMPRODUCT(OFFSET($BO$15,0,0,$B$14,1), 1*(_xlfn._xlws.FILTER(OFFSET($O$15,0,$DN117,$B$8,1),OFFSET($M$15,0,0,$B$8,1))=FN$13), 1*(_xlfn._xlws.FILTER(OFFSET($O$15,0,$DO117,$B$8,1),OFFSET($M$15,0,0,$B$8,1))=FN$14))   /   SUM(OFFSET($BO$15,0,0,$B$14,1)) + $B$18/($B$19*$B$19*($DN117&lt;&gt;$DO117) + $B$19*($DN117=$DO117))</f>
        <v>3.7037037037037035E-4</v>
      </c>
      <c r="FO117" s="10" cm="1">
        <f t="array" aca="1" ref="FO117" ca="1">(1-$B$18)*SUMPRODUCT(OFFSET($BO$15,0,0,$B$14,1), 1*(_xlfn._xlws.FILTER(OFFSET($O$15,0,$DN117,$B$8,1),OFFSET($M$15,0,0,$B$8,1))=FO$13), 1*(_xlfn._xlws.FILTER(OFFSET($O$15,0,$DO117,$B$8,1),OFFSET($M$15,0,0,$B$8,1))=FO$14))   /   SUM(OFFSET($BO$15,0,0,$B$14,1)) + $B$18/($B$19*$B$19*($DN117&lt;&gt;$DO117) + $B$19*($DN117=$DO117))</f>
        <v>3.7037037037037035E-4</v>
      </c>
      <c r="FP117" s="10" cm="1">
        <f t="array" aca="1" ref="FP117" ca="1">(1-$B$18)*SUMPRODUCT(OFFSET($BO$15,0,0,$B$14,1), 1*(_xlfn._xlws.FILTER(OFFSET($O$15,0,$DN117,$B$8,1),OFFSET($M$15,0,0,$B$8,1))=FP$13), 1*(_xlfn._xlws.FILTER(OFFSET($O$15,0,$DO117,$B$8,1),OFFSET($M$15,0,0,$B$8,1))=FP$14))   /   SUM(OFFSET($BO$15,0,0,$B$14,1)) + $B$18/($B$19*$B$19*($DN117&lt;&gt;$DO117) + $B$19*($DN117=$DO117))</f>
        <v>3.7037037037037035E-4</v>
      </c>
      <c r="FQ117" s="10" cm="1">
        <f t="array" aca="1" ref="FQ117" ca="1">(1-$B$18)*SUMPRODUCT(OFFSET($BO$15,0,0,$B$14,1), 1*(_xlfn._xlws.FILTER(OFFSET($O$15,0,$DN117,$B$8,1),OFFSET($M$15,0,0,$B$8,1))=FQ$13), 1*(_xlfn._xlws.FILTER(OFFSET($O$15,0,$DO117,$B$8,1),OFFSET($M$15,0,0,$B$8,1))=FQ$14))   /   SUM(OFFSET($BO$15,0,0,$B$14,1)) + $B$18/($B$19*$B$19*($DN117&lt;&gt;$DO117) + $B$19*($DN117=$DO117))</f>
        <v>3.7037037037037035E-4</v>
      </c>
      <c r="FR117" s="10" cm="1">
        <f t="array" aca="1" ref="FR117" ca="1">(1-$B$18)*SUMPRODUCT(OFFSET($BO$15,0,0,$B$14,1), 1*(_xlfn._xlws.FILTER(OFFSET($O$15,0,$DN117,$B$8,1),OFFSET($M$15,0,0,$B$8,1))=FR$13), 1*(_xlfn._xlws.FILTER(OFFSET($O$15,0,$DO117,$B$8,1),OFFSET($M$15,0,0,$B$8,1))=FR$14))   /   SUM(OFFSET($BO$15,0,0,$B$14,1)) + $B$18/($B$19*$B$19*($DN117&lt;&gt;$DO117) + $B$19*($DN117=$DO117))</f>
        <v>0.97037037037037033</v>
      </c>
      <c r="FS117" s="10" cm="1">
        <f t="array" aca="1" ref="FS117" ca="1">(1-$B$18)*SUMPRODUCT(OFFSET($BO$15,0,0,$B$14,1), 1*(_xlfn._xlws.FILTER(OFFSET($O$15,0,$DN117,$B$8,1),OFFSET($M$15,0,0,$B$8,1))=FS$13), 1*(_xlfn._xlws.FILTER(OFFSET($O$15,0,$DO117,$B$8,1),OFFSET($M$15,0,0,$B$8,1))=FS$14))   /   SUM(OFFSET($BO$15,0,0,$B$14,1)) + $B$18/($B$19*$B$19*($DN117&lt;&gt;$DO117) + $B$19*($DN117=$DO117))</f>
        <v>3.7037037037037035E-4</v>
      </c>
      <c r="FT117" s="10" cm="1">
        <f t="array" aca="1" ref="FT117" ca="1">(1-$B$18)*SUMPRODUCT(OFFSET($BO$15,0,0,$B$14,1), 1*(_xlfn._xlws.FILTER(OFFSET($O$15,0,$DN117,$B$8,1),OFFSET($M$15,0,0,$B$8,1))=FT$13), 1*(_xlfn._xlws.FILTER(OFFSET($O$15,0,$DO117,$B$8,1),OFFSET($M$15,0,0,$B$8,1))=FT$14))   /   SUM(OFFSET($BO$15,0,0,$B$14,1)) + $B$18/($B$19*$B$19*($DN117&lt;&gt;$DO117) + $B$19*($DN117=$DO117))</f>
        <v>3.7037037037037035E-4</v>
      </c>
      <c r="FU117" s="10" cm="1">
        <f t="array" aca="1" ref="FU117" ca="1">(1-$B$18)*SUMPRODUCT(OFFSET($BO$15,0,0,$B$14,1), 1*(_xlfn._xlws.FILTER(OFFSET($O$15,0,$DN117,$B$8,1),OFFSET($M$15,0,0,$B$8,1))=FU$13), 1*(_xlfn._xlws.FILTER(OFFSET($O$15,0,$DO117,$B$8,1),OFFSET($M$15,0,0,$B$8,1))=FU$14))   /   SUM(OFFSET($BO$15,0,0,$B$14,1)) + $B$18/($B$19*$B$19*($DN117&lt;&gt;$DO117) + $B$19*($DN117=$DO117))</f>
        <v>3.7037037037037035E-4</v>
      </c>
      <c r="FV117" s="10" cm="1">
        <f t="array" aca="1" ref="FV117" ca="1">(1-$B$18)*SUMPRODUCT(OFFSET($BO$15,0,0,$B$14,1), 1*(_xlfn._xlws.FILTER(OFFSET($O$15,0,$DN117,$B$8,1),OFFSET($M$15,0,0,$B$8,1))=FV$13), 1*(_xlfn._xlws.FILTER(OFFSET($O$15,0,$DO117,$B$8,1),OFFSET($M$15,0,0,$B$8,1))=FV$14))   /   SUM(OFFSET($BO$15,0,0,$B$14,1)) + $B$18/($B$19*$B$19*($DN117&lt;&gt;$DO117) + $B$19*($DN117=$DO117))</f>
        <v>3.7037037037037035E-4</v>
      </c>
      <c r="FW117" s="10" cm="1">
        <f t="array" aca="1" ref="FW117" ca="1">(1-$B$18)*SUMPRODUCT(OFFSET($BO$15,0,0,$B$14,1), 1*(_xlfn._xlws.FILTER(OFFSET($O$15,0,$DN117,$B$8,1),OFFSET($M$15,0,0,$B$8,1))=FW$13), 1*(_xlfn._xlws.FILTER(OFFSET($O$15,0,$DO117,$B$8,1),OFFSET($M$15,0,0,$B$8,1))=FW$14))   /   SUM(OFFSET($BO$15,0,0,$B$14,1)) + $B$18/($B$19*$B$19*($DN117&lt;&gt;$DO117) + $B$19*($DN117=$DO117))</f>
        <v>3.7037037037037035E-4</v>
      </c>
      <c r="FX117" s="10" cm="1">
        <f t="array" aca="1" ref="FX117" ca="1">(1-$B$18)*SUMPRODUCT(OFFSET($BO$15,0,0,$B$14,1), 1*(_xlfn._xlws.FILTER(OFFSET($O$15,0,$DN117,$B$8,1),OFFSET($M$15,0,0,$B$8,1))=FX$13), 1*(_xlfn._xlws.FILTER(OFFSET($O$15,0,$DO117,$B$8,1),OFFSET($M$15,0,0,$B$8,1))=FX$14))   /   SUM(OFFSET($BO$15,0,0,$B$14,1)) + $B$18/($B$19*$B$19*($DN117&lt;&gt;$DO117) + $B$19*($DN117=$DO117))</f>
        <v>3.7037037037037035E-4</v>
      </c>
      <c r="FY117" s="10" cm="1">
        <f t="array" aca="1" ref="FY117" ca="1">(1-$B$18)*SUMPRODUCT(OFFSET($BO$15,0,0,$B$14,1), 1*(_xlfn._xlws.FILTER(OFFSET($O$15,0,$DN117,$B$8,1),OFFSET($M$15,0,0,$B$8,1))=FY$13), 1*(_xlfn._xlws.FILTER(OFFSET($O$15,0,$DO117,$B$8,1),OFFSET($M$15,0,0,$B$8,1))=FY$14))   /   SUM(OFFSET($BO$15,0,0,$B$14,1)) + $B$18/($B$19*$B$19*($DN117&lt;&gt;$DO117) + $B$19*($DN117=$DO117))</f>
        <v>3.7037037037037035E-4</v>
      </c>
      <c r="FZ117" s="10" cm="1">
        <f t="array" aca="1" ref="FZ117" ca="1">(1-$B$18)*SUMPRODUCT(OFFSET($BO$15,0,0,$B$14,1), 1*(_xlfn._xlws.FILTER(OFFSET($O$15,0,$DN117,$B$8,1),OFFSET($M$15,0,0,$B$8,1))=FZ$13), 1*(_xlfn._xlws.FILTER(OFFSET($O$15,0,$DO117,$B$8,1),OFFSET($M$15,0,0,$B$8,1))=FZ$14))   /   SUM(OFFSET($BO$15,0,0,$B$14,1)) + $B$18/($B$19*$B$19*($DN117&lt;&gt;$DO117) + $B$19*($DN117=$DO117))</f>
        <v>3.7037037037037035E-4</v>
      </c>
      <c r="GA117" s="10" cm="1">
        <f t="array" aca="1" ref="GA117" ca="1">(1-$B$18)*SUMPRODUCT(OFFSET($BO$15,0,0,$B$14,1), 1*(_xlfn._xlws.FILTER(OFFSET($O$15,0,$DN117,$B$8,1),OFFSET($M$15,0,0,$B$8,1))=GA$13), 1*(_xlfn._xlws.FILTER(OFFSET($O$15,0,$DO117,$B$8,1),OFFSET($M$15,0,0,$B$8,1))=GA$14))   /   SUM(OFFSET($BO$15,0,0,$B$14,1)) + $B$18/($B$19*$B$19*($DN117&lt;&gt;$DO117) + $B$19*($DN117=$DO117))</f>
        <v>3.7037037037037035E-4</v>
      </c>
    </row>
    <row r="118" spans="7:183" x14ac:dyDescent="0.2">
      <c r="DN118" cm="1">
        <f t="array" aca="1" ref="DN118" ca="1">INDEX(_xlfn.ANCHORARRAY($CP$15), 1 + INT((ROWS($DO$15:$DO118) - 1) / ROWS(_xlfn.ANCHORARRAY($CP$15))))</f>
        <v>5</v>
      </c>
      <c r="DO118" cm="1">
        <f t="array" aca="1" ref="DO118" ca="1">INDEX(_xlfn.ANCHORARRAY($CP$15),1+MOD(ROWS($DO$15:$DO118)-1,ROWS(_xlfn.ANCHORARRAY($CP$15))))</f>
        <v>8</v>
      </c>
      <c r="DP118" s="10" cm="1">
        <f t="array" aca="1" ref="DP118" ca="1">(1-$B$18)*SUMPRODUCT(OFFSET($BO$15,0,0,$B$14,1), 1*(_xlfn._xlws.FILTER(OFFSET($O$15,0,$DN118,$B$8,1),OFFSET($M$15,0,0,$B$8,1))=DP$13), 1*(_xlfn._xlws.FILTER(OFFSET($O$15,0,$DO118,$B$8,1),OFFSET($M$15,0,0,$B$8,1))=DP$14))   /   SUM(OFFSET($BO$15,0,0,$B$14,1)) + $B$18/($B$19*$B$19*($DN118&lt;&gt;$DO118) + $B$19*($DN118=$DO118))</f>
        <v>3.7037037037037035E-4</v>
      </c>
      <c r="DQ118" s="10" cm="1">
        <f t="array" aca="1" ref="DQ118" ca="1">(1-$B$18)*SUMPRODUCT(OFFSET($BO$15,0,0,$B$14,1), 1*(_xlfn._xlws.FILTER(OFFSET($O$15,0,$DN118,$B$8,1),OFFSET($M$15,0,0,$B$8,1))=DQ$13), 1*(_xlfn._xlws.FILTER(OFFSET($O$15,0,$DO118,$B$8,1),OFFSET($M$15,0,0,$B$8,1))=DQ$14))   /   SUM(OFFSET($BO$15,0,0,$B$14,1)) + $B$18/($B$19*$B$19*($DN118&lt;&gt;$DO118) + $B$19*($DN118=$DO118))</f>
        <v>3.7037037037037035E-4</v>
      </c>
      <c r="DR118" s="10" cm="1">
        <f t="array" aca="1" ref="DR118" ca="1">(1-$B$18)*SUMPRODUCT(OFFSET($BO$15,0,0,$B$14,1), 1*(_xlfn._xlws.FILTER(OFFSET($O$15,0,$DN118,$B$8,1),OFFSET($M$15,0,0,$B$8,1))=DR$13), 1*(_xlfn._xlws.FILTER(OFFSET($O$15,0,$DO118,$B$8,1),OFFSET($M$15,0,0,$B$8,1))=DR$14))   /   SUM(OFFSET($BO$15,0,0,$B$14,1)) + $B$18/($B$19*$B$19*($DN118&lt;&gt;$DO118) + $B$19*($DN118=$DO118))</f>
        <v>3.7037037037037035E-4</v>
      </c>
      <c r="DS118" s="10" cm="1">
        <f t="array" aca="1" ref="DS118" ca="1">(1-$B$18)*SUMPRODUCT(OFFSET($BO$15,0,0,$B$14,1), 1*(_xlfn._xlws.FILTER(OFFSET($O$15,0,$DN118,$B$8,1),OFFSET($M$15,0,0,$B$8,1))=DS$13), 1*(_xlfn._xlws.FILTER(OFFSET($O$15,0,$DO118,$B$8,1),OFFSET($M$15,0,0,$B$8,1))=DS$14))   /   SUM(OFFSET($BO$15,0,0,$B$14,1)) + $B$18/($B$19*$B$19*($DN118&lt;&gt;$DO118) + $B$19*($DN118=$DO118))</f>
        <v>3.7037037037037035E-4</v>
      </c>
      <c r="DT118" s="10" cm="1">
        <f t="array" aca="1" ref="DT118" ca="1">(1-$B$18)*SUMPRODUCT(OFFSET($BO$15,0,0,$B$14,1), 1*(_xlfn._xlws.FILTER(OFFSET($O$15,0,$DN118,$B$8,1),OFFSET($M$15,0,0,$B$8,1))=DT$13), 1*(_xlfn._xlws.FILTER(OFFSET($O$15,0,$DO118,$B$8,1),OFFSET($M$15,0,0,$B$8,1))=DT$14))   /   SUM(OFFSET($BO$15,0,0,$B$14,1)) + $B$18/($B$19*$B$19*($DN118&lt;&gt;$DO118) + $B$19*($DN118=$DO118))</f>
        <v>3.7037037037037035E-4</v>
      </c>
      <c r="DU118" s="10" cm="1">
        <f t="array" aca="1" ref="DU118" ca="1">(1-$B$18)*SUMPRODUCT(OFFSET($BO$15,0,0,$B$14,1), 1*(_xlfn._xlws.FILTER(OFFSET($O$15,0,$DN118,$B$8,1),OFFSET($M$15,0,0,$B$8,1))=DU$13), 1*(_xlfn._xlws.FILTER(OFFSET($O$15,0,$DO118,$B$8,1),OFFSET($M$15,0,0,$B$8,1))=DU$14))   /   SUM(OFFSET($BO$15,0,0,$B$14,1)) + $B$18/($B$19*$B$19*($DN118&lt;&gt;$DO118) + $B$19*($DN118=$DO118))</f>
        <v>3.7037037037037035E-4</v>
      </c>
      <c r="DV118" s="10" cm="1">
        <f t="array" aca="1" ref="DV118" ca="1">(1-$B$18)*SUMPRODUCT(OFFSET($BO$15,0,0,$B$14,1), 1*(_xlfn._xlws.FILTER(OFFSET($O$15,0,$DN118,$B$8,1),OFFSET($M$15,0,0,$B$8,1))=DV$13), 1*(_xlfn._xlws.FILTER(OFFSET($O$15,0,$DO118,$B$8,1),OFFSET($M$15,0,0,$B$8,1))=DV$14))   /   SUM(OFFSET($BO$15,0,0,$B$14,1)) + $B$18/($B$19*$B$19*($DN118&lt;&gt;$DO118) + $B$19*($DN118=$DO118))</f>
        <v>3.7037037037037035E-4</v>
      </c>
      <c r="DW118" s="10" cm="1">
        <f t="array" aca="1" ref="DW118" ca="1">(1-$B$18)*SUMPRODUCT(OFFSET($BO$15,0,0,$B$14,1), 1*(_xlfn._xlws.FILTER(OFFSET($O$15,0,$DN118,$B$8,1),OFFSET($M$15,0,0,$B$8,1))=DW$13), 1*(_xlfn._xlws.FILTER(OFFSET($O$15,0,$DO118,$B$8,1),OFFSET($M$15,0,0,$B$8,1))=DW$14))   /   SUM(OFFSET($BO$15,0,0,$B$14,1)) + $B$18/($B$19*$B$19*($DN118&lt;&gt;$DO118) + $B$19*($DN118=$DO118))</f>
        <v>3.7037037037037035E-4</v>
      </c>
      <c r="DX118" s="10" cm="1">
        <f t="array" aca="1" ref="DX118" ca="1">(1-$B$18)*SUMPRODUCT(OFFSET($BO$15,0,0,$B$14,1), 1*(_xlfn._xlws.FILTER(OFFSET($O$15,0,$DN118,$B$8,1),OFFSET($M$15,0,0,$B$8,1))=DX$13), 1*(_xlfn._xlws.FILTER(OFFSET($O$15,0,$DO118,$B$8,1),OFFSET($M$15,0,0,$B$8,1))=DX$14))   /   SUM(OFFSET($BO$15,0,0,$B$14,1)) + $B$18/($B$19*$B$19*($DN118&lt;&gt;$DO118) + $B$19*($DN118=$DO118))</f>
        <v>3.7037037037037035E-4</v>
      </c>
      <c r="DY118" s="10" cm="1">
        <f t="array" aca="1" ref="DY118" ca="1">(1-$B$18)*SUMPRODUCT(OFFSET($BO$15,0,0,$B$14,1), 1*(_xlfn._xlws.FILTER(OFFSET($O$15,0,$DN118,$B$8,1),OFFSET($M$15,0,0,$B$8,1))=DY$13), 1*(_xlfn._xlws.FILTER(OFFSET($O$15,0,$DO118,$B$8,1),OFFSET($M$15,0,0,$B$8,1))=DY$14))   /   SUM(OFFSET($BO$15,0,0,$B$14,1)) + $B$18/($B$19*$B$19*($DN118&lt;&gt;$DO118) + $B$19*($DN118=$DO118))</f>
        <v>3.7037037037037035E-4</v>
      </c>
      <c r="DZ118" s="10" cm="1">
        <f t="array" aca="1" ref="DZ118" ca="1">(1-$B$18)*SUMPRODUCT(OFFSET($BO$15,0,0,$B$14,1), 1*(_xlfn._xlws.FILTER(OFFSET($O$15,0,$DN118,$B$8,1),OFFSET($M$15,0,0,$B$8,1))=DZ$13), 1*(_xlfn._xlws.FILTER(OFFSET($O$15,0,$DO118,$B$8,1),OFFSET($M$15,0,0,$B$8,1))=DZ$14))   /   SUM(OFFSET($BO$15,0,0,$B$14,1)) + $B$18/($B$19*$B$19*($DN118&lt;&gt;$DO118) + $B$19*($DN118=$DO118))</f>
        <v>3.7037037037037035E-4</v>
      </c>
      <c r="EA118" s="10" cm="1">
        <f t="array" aca="1" ref="EA118" ca="1">(1-$B$18)*SUMPRODUCT(OFFSET($BO$15,0,0,$B$14,1), 1*(_xlfn._xlws.FILTER(OFFSET($O$15,0,$DN118,$B$8,1),OFFSET($M$15,0,0,$B$8,1))=EA$13), 1*(_xlfn._xlws.FILTER(OFFSET($O$15,0,$DO118,$B$8,1),OFFSET($M$15,0,0,$B$8,1))=EA$14))   /   SUM(OFFSET($BO$15,0,0,$B$14,1)) + $B$18/($B$19*$B$19*($DN118&lt;&gt;$DO118) + $B$19*($DN118=$DO118))</f>
        <v>3.7037037037037035E-4</v>
      </c>
      <c r="EB118" s="10" cm="1">
        <f t="array" aca="1" ref="EB118" ca="1">(1-$B$18)*SUMPRODUCT(OFFSET($BO$15,0,0,$B$14,1), 1*(_xlfn._xlws.FILTER(OFFSET($O$15,0,$DN118,$B$8,1),OFFSET($M$15,0,0,$B$8,1))=EB$13), 1*(_xlfn._xlws.FILTER(OFFSET($O$15,0,$DO118,$B$8,1),OFFSET($M$15,0,0,$B$8,1))=EB$14))   /   SUM(OFFSET($BO$15,0,0,$B$14,1)) + $B$18/($B$19*$B$19*($DN118&lt;&gt;$DO118) + $B$19*($DN118=$DO118))</f>
        <v>3.7037037037037035E-4</v>
      </c>
      <c r="EC118" s="10" cm="1">
        <f t="array" aca="1" ref="EC118" ca="1">(1-$B$18)*SUMPRODUCT(OFFSET($BO$15,0,0,$B$14,1), 1*(_xlfn._xlws.FILTER(OFFSET($O$15,0,$DN118,$B$8,1),OFFSET($M$15,0,0,$B$8,1))=EC$13), 1*(_xlfn._xlws.FILTER(OFFSET($O$15,0,$DO118,$B$8,1),OFFSET($M$15,0,0,$B$8,1))=EC$14))   /   SUM(OFFSET($BO$15,0,0,$B$14,1)) + $B$18/($B$19*$B$19*($DN118&lt;&gt;$DO118) + $B$19*($DN118=$DO118))</f>
        <v>3.7037037037037035E-4</v>
      </c>
      <c r="ED118" s="10" cm="1">
        <f t="array" aca="1" ref="ED118" ca="1">(1-$B$18)*SUMPRODUCT(OFFSET($BO$15,0,0,$B$14,1), 1*(_xlfn._xlws.FILTER(OFFSET($O$15,0,$DN118,$B$8,1),OFFSET($M$15,0,0,$B$8,1))=ED$13), 1*(_xlfn._xlws.FILTER(OFFSET($O$15,0,$DO118,$B$8,1),OFFSET($M$15,0,0,$B$8,1))=ED$14))   /   SUM(OFFSET($BO$15,0,0,$B$14,1)) + $B$18/($B$19*$B$19*($DN118&lt;&gt;$DO118) + $B$19*($DN118=$DO118))</f>
        <v>3.7037037037037035E-4</v>
      </c>
      <c r="EE118" s="10" cm="1">
        <f t="array" aca="1" ref="EE118" ca="1">(1-$B$18)*SUMPRODUCT(OFFSET($BO$15,0,0,$B$14,1), 1*(_xlfn._xlws.FILTER(OFFSET($O$15,0,$DN118,$B$8,1),OFFSET($M$15,0,0,$B$8,1))=EE$13), 1*(_xlfn._xlws.FILTER(OFFSET($O$15,0,$DO118,$B$8,1),OFFSET($M$15,0,0,$B$8,1))=EE$14))   /   SUM(OFFSET($BO$15,0,0,$B$14,1)) + $B$18/($B$19*$B$19*($DN118&lt;&gt;$DO118) + $B$19*($DN118=$DO118))</f>
        <v>3.7037037037037035E-4</v>
      </c>
      <c r="EF118" s="10" cm="1">
        <f t="array" aca="1" ref="EF118" ca="1">(1-$B$18)*SUMPRODUCT(OFFSET($BO$15,0,0,$B$14,1), 1*(_xlfn._xlws.FILTER(OFFSET($O$15,0,$DN118,$B$8,1),OFFSET($M$15,0,0,$B$8,1))=EF$13), 1*(_xlfn._xlws.FILTER(OFFSET($O$15,0,$DO118,$B$8,1),OFFSET($M$15,0,0,$B$8,1))=EF$14))   /   SUM(OFFSET($BO$15,0,0,$B$14,1)) + $B$18/($B$19*$B$19*($DN118&lt;&gt;$DO118) + $B$19*($DN118=$DO118))</f>
        <v>3.7037037037037035E-4</v>
      </c>
      <c r="EG118" s="10" cm="1">
        <f t="array" aca="1" ref="EG118" ca="1">(1-$B$18)*SUMPRODUCT(OFFSET($BO$15,0,0,$B$14,1), 1*(_xlfn._xlws.FILTER(OFFSET($O$15,0,$DN118,$B$8,1),OFFSET($M$15,0,0,$B$8,1))=EG$13), 1*(_xlfn._xlws.FILTER(OFFSET($O$15,0,$DO118,$B$8,1),OFFSET($M$15,0,0,$B$8,1))=EG$14))   /   SUM(OFFSET($BO$15,0,0,$B$14,1)) + $B$18/($B$19*$B$19*($DN118&lt;&gt;$DO118) + $B$19*($DN118=$DO118))</f>
        <v>3.7037037037037035E-4</v>
      </c>
      <c r="EH118" s="10" cm="1">
        <f t="array" aca="1" ref="EH118" ca="1">(1-$B$18)*SUMPRODUCT(OFFSET($BO$15,0,0,$B$14,1), 1*(_xlfn._xlws.FILTER(OFFSET($O$15,0,$DN118,$B$8,1),OFFSET($M$15,0,0,$B$8,1))=EH$13), 1*(_xlfn._xlws.FILTER(OFFSET($O$15,0,$DO118,$B$8,1),OFFSET($M$15,0,0,$B$8,1))=EH$14))   /   SUM(OFFSET($BO$15,0,0,$B$14,1)) + $B$18/($B$19*$B$19*($DN118&lt;&gt;$DO118) + $B$19*($DN118=$DO118))</f>
        <v>3.7037037037037035E-4</v>
      </c>
      <c r="EI118" s="10" cm="1">
        <f t="array" aca="1" ref="EI118" ca="1">(1-$B$18)*SUMPRODUCT(OFFSET($BO$15,0,0,$B$14,1), 1*(_xlfn._xlws.FILTER(OFFSET($O$15,0,$DN118,$B$8,1),OFFSET($M$15,0,0,$B$8,1))=EI$13), 1*(_xlfn._xlws.FILTER(OFFSET($O$15,0,$DO118,$B$8,1),OFFSET($M$15,0,0,$B$8,1))=EI$14))   /   SUM(OFFSET($BO$15,0,0,$B$14,1)) + $B$18/($B$19*$B$19*($DN118&lt;&gt;$DO118) + $B$19*($DN118=$DO118))</f>
        <v>3.7037037037037035E-4</v>
      </c>
      <c r="EJ118" s="10" cm="1">
        <f t="array" aca="1" ref="EJ118" ca="1">(1-$B$18)*SUMPRODUCT(OFFSET($BO$15,0,0,$B$14,1), 1*(_xlfn._xlws.FILTER(OFFSET($O$15,0,$DN118,$B$8,1),OFFSET($M$15,0,0,$B$8,1))=EJ$13), 1*(_xlfn._xlws.FILTER(OFFSET($O$15,0,$DO118,$B$8,1),OFFSET($M$15,0,0,$B$8,1))=EJ$14))   /   SUM(OFFSET($BO$15,0,0,$B$14,1)) + $B$18/($B$19*$B$19*($DN118&lt;&gt;$DO118) + $B$19*($DN118=$DO118))</f>
        <v>3.7037037037037035E-4</v>
      </c>
      <c r="EK118" s="10" cm="1">
        <f t="array" aca="1" ref="EK118" ca="1">(1-$B$18)*SUMPRODUCT(OFFSET($BO$15,0,0,$B$14,1), 1*(_xlfn._xlws.FILTER(OFFSET($O$15,0,$DN118,$B$8,1),OFFSET($M$15,0,0,$B$8,1))=EK$13), 1*(_xlfn._xlws.FILTER(OFFSET($O$15,0,$DO118,$B$8,1),OFFSET($M$15,0,0,$B$8,1))=EK$14))   /   SUM(OFFSET($BO$15,0,0,$B$14,1)) + $B$18/($B$19*$B$19*($DN118&lt;&gt;$DO118) + $B$19*($DN118=$DO118))</f>
        <v>3.7037037037037035E-4</v>
      </c>
      <c r="EL118" s="10" cm="1">
        <f t="array" aca="1" ref="EL118" ca="1">(1-$B$18)*SUMPRODUCT(OFFSET($BO$15,0,0,$B$14,1), 1*(_xlfn._xlws.FILTER(OFFSET($O$15,0,$DN118,$B$8,1),OFFSET($M$15,0,0,$B$8,1))=EL$13), 1*(_xlfn._xlws.FILTER(OFFSET($O$15,0,$DO118,$B$8,1),OFFSET($M$15,0,0,$B$8,1))=EL$14))   /   SUM(OFFSET($BO$15,0,0,$B$14,1)) + $B$18/($B$19*$B$19*($DN118&lt;&gt;$DO118) + $B$19*($DN118=$DO118))</f>
        <v>3.7037037037037035E-4</v>
      </c>
      <c r="EM118" s="10" cm="1">
        <f t="array" aca="1" ref="EM118" ca="1">(1-$B$18)*SUMPRODUCT(OFFSET($BO$15,0,0,$B$14,1), 1*(_xlfn._xlws.FILTER(OFFSET($O$15,0,$DN118,$B$8,1),OFFSET($M$15,0,0,$B$8,1))=EM$13), 1*(_xlfn._xlws.FILTER(OFFSET($O$15,0,$DO118,$B$8,1),OFFSET($M$15,0,0,$B$8,1))=EM$14))   /   SUM(OFFSET($BO$15,0,0,$B$14,1)) + $B$18/($B$19*$B$19*($DN118&lt;&gt;$DO118) + $B$19*($DN118=$DO118))</f>
        <v>3.7037037037037035E-4</v>
      </c>
      <c r="EN118" s="10" cm="1">
        <f t="array" aca="1" ref="EN118" ca="1">(1-$B$18)*SUMPRODUCT(OFFSET($BO$15,0,0,$B$14,1), 1*(_xlfn._xlws.FILTER(OFFSET($O$15,0,$DN118,$B$8,1),OFFSET($M$15,0,0,$B$8,1))=EN$13), 1*(_xlfn._xlws.FILTER(OFFSET($O$15,0,$DO118,$B$8,1),OFFSET($M$15,0,0,$B$8,1))=EN$14))   /   SUM(OFFSET($BO$15,0,0,$B$14,1)) + $B$18/($B$19*$B$19*($DN118&lt;&gt;$DO118) + $B$19*($DN118=$DO118))</f>
        <v>3.7037037037037035E-4</v>
      </c>
      <c r="EO118" s="10" cm="1">
        <f t="array" aca="1" ref="EO118" ca="1">(1-$B$18)*SUMPRODUCT(OFFSET($BO$15,0,0,$B$14,1), 1*(_xlfn._xlws.FILTER(OFFSET($O$15,0,$DN118,$B$8,1),OFFSET($M$15,0,0,$B$8,1))=EO$13), 1*(_xlfn._xlws.FILTER(OFFSET($O$15,0,$DO118,$B$8,1),OFFSET($M$15,0,0,$B$8,1))=EO$14))   /   SUM(OFFSET($BO$15,0,0,$B$14,1)) + $B$18/($B$19*$B$19*($DN118&lt;&gt;$DO118) + $B$19*($DN118=$DO118))</f>
        <v>3.7037037037037035E-4</v>
      </c>
      <c r="EP118" s="10" cm="1">
        <f t="array" aca="1" ref="EP118" ca="1">(1-$B$18)*SUMPRODUCT(OFFSET($BO$15,0,0,$B$14,1), 1*(_xlfn._xlws.FILTER(OFFSET($O$15,0,$DN118,$B$8,1),OFFSET($M$15,0,0,$B$8,1))=EP$13), 1*(_xlfn._xlws.FILTER(OFFSET($O$15,0,$DO118,$B$8,1),OFFSET($M$15,0,0,$B$8,1))=EP$14))   /   SUM(OFFSET($BO$15,0,0,$B$14,1)) + $B$18/($B$19*$B$19*($DN118&lt;&gt;$DO118) + $B$19*($DN118=$DO118))</f>
        <v>3.7037037037037035E-4</v>
      </c>
      <c r="EQ118" s="10" cm="1">
        <f t="array" aca="1" ref="EQ118" ca="1">(1-$B$18)*SUMPRODUCT(OFFSET($BO$15,0,0,$B$14,1), 1*(_xlfn._xlws.FILTER(OFFSET($O$15,0,$DN118,$B$8,1),OFFSET($M$15,0,0,$B$8,1))=EQ$13), 1*(_xlfn._xlws.FILTER(OFFSET($O$15,0,$DO118,$B$8,1),OFFSET($M$15,0,0,$B$8,1))=EQ$14))   /   SUM(OFFSET($BO$15,0,0,$B$14,1)) + $B$18/($B$19*$B$19*($DN118&lt;&gt;$DO118) + $B$19*($DN118=$DO118))</f>
        <v>3.7037037037037035E-4</v>
      </c>
      <c r="ER118" s="10" cm="1">
        <f t="array" aca="1" ref="ER118" ca="1">(1-$B$18)*SUMPRODUCT(OFFSET($BO$15,0,0,$B$14,1), 1*(_xlfn._xlws.FILTER(OFFSET($O$15,0,$DN118,$B$8,1),OFFSET($M$15,0,0,$B$8,1))=ER$13), 1*(_xlfn._xlws.FILTER(OFFSET($O$15,0,$DO118,$B$8,1),OFFSET($M$15,0,0,$B$8,1))=ER$14))   /   SUM(OFFSET($BO$15,0,0,$B$14,1)) + $B$18/($B$19*$B$19*($DN118&lt;&gt;$DO118) + $B$19*($DN118=$DO118))</f>
        <v>3.7037037037037035E-4</v>
      </c>
      <c r="ES118" s="10" cm="1">
        <f t="array" aca="1" ref="ES118" ca="1">(1-$B$18)*SUMPRODUCT(OFFSET($BO$15,0,0,$B$14,1), 1*(_xlfn._xlws.FILTER(OFFSET($O$15,0,$DN118,$B$8,1),OFFSET($M$15,0,0,$B$8,1))=ES$13), 1*(_xlfn._xlws.FILTER(OFFSET($O$15,0,$DO118,$B$8,1),OFFSET($M$15,0,0,$B$8,1))=ES$14))   /   SUM(OFFSET($BO$15,0,0,$B$14,1)) + $B$18/($B$19*$B$19*($DN118&lt;&gt;$DO118) + $B$19*($DN118=$DO118))</f>
        <v>3.7037037037037035E-4</v>
      </c>
      <c r="ET118" s="10" cm="1">
        <f t="array" aca="1" ref="ET118" ca="1">(1-$B$18)*SUMPRODUCT(OFFSET($BO$15,0,0,$B$14,1), 1*(_xlfn._xlws.FILTER(OFFSET($O$15,0,$DN118,$B$8,1),OFFSET($M$15,0,0,$B$8,1))=ET$13), 1*(_xlfn._xlws.FILTER(OFFSET($O$15,0,$DO118,$B$8,1),OFFSET($M$15,0,0,$B$8,1))=ET$14))   /   SUM(OFFSET($BO$15,0,0,$B$14,1)) + $B$18/($B$19*$B$19*($DN118&lt;&gt;$DO118) + $B$19*($DN118=$DO118))</f>
        <v>3.7037037037037035E-4</v>
      </c>
      <c r="EU118" s="10" cm="1">
        <f t="array" aca="1" ref="EU118" ca="1">(1-$B$18)*SUMPRODUCT(OFFSET($BO$15,0,0,$B$14,1), 1*(_xlfn._xlws.FILTER(OFFSET($O$15,0,$DN118,$B$8,1),OFFSET($M$15,0,0,$B$8,1))=EU$13), 1*(_xlfn._xlws.FILTER(OFFSET($O$15,0,$DO118,$B$8,1),OFFSET($M$15,0,0,$B$8,1))=EU$14))   /   SUM(OFFSET($BO$15,0,0,$B$14,1)) + $B$18/($B$19*$B$19*($DN118&lt;&gt;$DO118) + $B$19*($DN118=$DO118))</f>
        <v>3.7037037037037035E-4</v>
      </c>
      <c r="EV118" s="10" cm="1">
        <f t="array" aca="1" ref="EV118" ca="1">(1-$B$18)*SUMPRODUCT(OFFSET($BO$15,0,0,$B$14,1), 1*(_xlfn._xlws.FILTER(OFFSET($O$15,0,$DN118,$B$8,1),OFFSET($M$15,0,0,$B$8,1))=EV$13), 1*(_xlfn._xlws.FILTER(OFFSET($O$15,0,$DO118,$B$8,1),OFFSET($M$15,0,0,$B$8,1))=EV$14))   /   SUM(OFFSET($BO$15,0,0,$B$14,1)) + $B$18/($B$19*$B$19*($DN118&lt;&gt;$DO118) + $B$19*($DN118=$DO118))</f>
        <v>3.7037037037037035E-4</v>
      </c>
      <c r="EW118" s="10" cm="1">
        <f t="array" aca="1" ref="EW118" ca="1">(1-$B$18)*SUMPRODUCT(OFFSET($BO$15,0,0,$B$14,1), 1*(_xlfn._xlws.FILTER(OFFSET($O$15,0,$DN118,$B$8,1),OFFSET($M$15,0,0,$B$8,1))=EW$13), 1*(_xlfn._xlws.FILTER(OFFSET($O$15,0,$DO118,$B$8,1),OFFSET($M$15,0,0,$B$8,1))=EW$14))   /   SUM(OFFSET($BO$15,0,0,$B$14,1)) + $B$18/($B$19*$B$19*($DN118&lt;&gt;$DO118) + $B$19*($DN118=$DO118))</f>
        <v>3.7037037037037035E-4</v>
      </c>
      <c r="EX118" s="10" cm="1">
        <f t="array" aca="1" ref="EX118" ca="1">(1-$B$18)*SUMPRODUCT(OFFSET($BO$15,0,0,$B$14,1), 1*(_xlfn._xlws.FILTER(OFFSET($O$15,0,$DN118,$B$8,1),OFFSET($M$15,0,0,$B$8,1))=EX$13), 1*(_xlfn._xlws.FILTER(OFFSET($O$15,0,$DO118,$B$8,1),OFFSET($M$15,0,0,$B$8,1))=EX$14))   /   SUM(OFFSET($BO$15,0,0,$B$14,1)) + $B$18/($B$19*$B$19*($DN118&lt;&gt;$DO118) + $B$19*($DN118=$DO118))</f>
        <v>3.7037037037037035E-4</v>
      </c>
      <c r="EY118" s="10" cm="1">
        <f t="array" aca="1" ref="EY118" ca="1">(1-$B$18)*SUMPRODUCT(OFFSET($BO$15,0,0,$B$14,1), 1*(_xlfn._xlws.FILTER(OFFSET($O$15,0,$DN118,$B$8,1),OFFSET($M$15,0,0,$B$8,1))=EY$13), 1*(_xlfn._xlws.FILTER(OFFSET($O$15,0,$DO118,$B$8,1),OFFSET($M$15,0,0,$B$8,1))=EY$14))   /   SUM(OFFSET($BO$15,0,0,$B$14,1)) + $B$18/($B$19*$B$19*($DN118&lt;&gt;$DO118) + $B$19*($DN118=$DO118))</f>
        <v>3.7037037037037035E-4</v>
      </c>
      <c r="EZ118" s="10" cm="1">
        <f t="array" aca="1" ref="EZ118" ca="1">(1-$B$18)*SUMPRODUCT(OFFSET($BO$15,0,0,$B$14,1), 1*(_xlfn._xlws.FILTER(OFFSET($O$15,0,$DN118,$B$8,1),OFFSET($M$15,0,0,$B$8,1))=EZ$13), 1*(_xlfn._xlws.FILTER(OFFSET($O$15,0,$DO118,$B$8,1),OFFSET($M$15,0,0,$B$8,1))=EZ$14))   /   SUM(OFFSET($BO$15,0,0,$B$14,1)) + $B$18/($B$19*$B$19*($DN118&lt;&gt;$DO118) + $B$19*($DN118=$DO118))</f>
        <v>3.7037037037037035E-4</v>
      </c>
      <c r="FA118" s="10" cm="1">
        <f t="array" aca="1" ref="FA118" ca="1">(1-$B$18)*SUMPRODUCT(OFFSET($BO$15,0,0,$B$14,1), 1*(_xlfn._xlws.FILTER(OFFSET($O$15,0,$DN118,$B$8,1),OFFSET($M$15,0,0,$B$8,1))=FA$13), 1*(_xlfn._xlws.FILTER(OFFSET($O$15,0,$DO118,$B$8,1),OFFSET($M$15,0,0,$B$8,1))=FA$14))   /   SUM(OFFSET($BO$15,0,0,$B$14,1)) + $B$18/($B$19*$B$19*($DN118&lt;&gt;$DO118) + $B$19*($DN118=$DO118))</f>
        <v>3.7037037037037035E-4</v>
      </c>
      <c r="FB118" s="10" cm="1">
        <f t="array" aca="1" ref="FB118" ca="1">(1-$B$18)*SUMPRODUCT(OFFSET($BO$15,0,0,$B$14,1), 1*(_xlfn._xlws.FILTER(OFFSET($O$15,0,$DN118,$B$8,1),OFFSET($M$15,0,0,$B$8,1))=FB$13), 1*(_xlfn._xlws.FILTER(OFFSET($O$15,0,$DO118,$B$8,1),OFFSET($M$15,0,0,$B$8,1))=FB$14))   /   SUM(OFFSET($BO$15,0,0,$B$14,1)) + $B$18/($B$19*$B$19*($DN118&lt;&gt;$DO118) + $B$19*($DN118=$DO118))</f>
        <v>3.7037037037037035E-4</v>
      </c>
      <c r="FC118" s="10" cm="1">
        <f t="array" aca="1" ref="FC118" ca="1">(1-$B$18)*SUMPRODUCT(OFFSET($BO$15,0,0,$B$14,1), 1*(_xlfn._xlws.FILTER(OFFSET($O$15,0,$DN118,$B$8,1),OFFSET($M$15,0,0,$B$8,1))=FC$13), 1*(_xlfn._xlws.FILTER(OFFSET($O$15,0,$DO118,$B$8,1),OFFSET($M$15,0,0,$B$8,1))=FC$14))   /   SUM(OFFSET($BO$15,0,0,$B$14,1)) + $B$18/($B$19*$B$19*($DN118&lt;&gt;$DO118) + $B$19*($DN118=$DO118))</f>
        <v>3.7037037037037035E-4</v>
      </c>
      <c r="FD118" s="10" cm="1">
        <f t="array" aca="1" ref="FD118" ca="1">(1-$B$18)*SUMPRODUCT(OFFSET($BO$15,0,0,$B$14,1), 1*(_xlfn._xlws.FILTER(OFFSET($O$15,0,$DN118,$B$8,1),OFFSET($M$15,0,0,$B$8,1))=FD$13), 1*(_xlfn._xlws.FILTER(OFFSET($O$15,0,$DO118,$B$8,1),OFFSET($M$15,0,0,$B$8,1))=FD$14))   /   SUM(OFFSET($BO$15,0,0,$B$14,1)) + $B$18/($B$19*$B$19*($DN118&lt;&gt;$DO118) + $B$19*($DN118=$DO118))</f>
        <v>3.7037037037037035E-4</v>
      </c>
      <c r="FE118" s="10" cm="1">
        <f t="array" aca="1" ref="FE118" ca="1">(1-$B$18)*SUMPRODUCT(OFFSET($BO$15,0,0,$B$14,1), 1*(_xlfn._xlws.FILTER(OFFSET($O$15,0,$DN118,$B$8,1),OFFSET($M$15,0,0,$B$8,1))=FE$13), 1*(_xlfn._xlws.FILTER(OFFSET($O$15,0,$DO118,$B$8,1),OFFSET($M$15,0,0,$B$8,1))=FE$14))   /   SUM(OFFSET($BO$15,0,0,$B$14,1)) + $B$18/($B$19*$B$19*($DN118&lt;&gt;$DO118) + $B$19*($DN118=$DO118))</f>
        <v>3.7037037037037035E-4</v>
      </c>
      <c r="FF118" s="10" cm="1">
        <f t="array" aca="1" ref="FF118" ca="1">(1-$B$18)*SUMPRODUCT(OFFSET($BO$15,0,0,$B$14,1), 1*(_xlfn._xlws.FILTER(OFFSET($O$15,0,$DN118,$B$8,1),OFFSET($M$15,0,0,$B$8,1))=FF$13), 1*(_xlfn._xlws.FILTER(OFFSET($O$15,0,$DO118,$B$8,1),OFFSET($M$15,0,0,$B$8,1))=FF$14))   /   SUM(OFFSET($BO$15,0,0,$B$14,1)) + $B$18/($B$19*$B$19*($DN118&lt;&gt;$DO118) + $B$19*($DN118=$DO118))</f>
        <v>3.7037037037037035E-4</v>
      </c>
      <c r="FG118" s="10" cm="1">
        <f t="array" aca="1" ref="FG118" ca="1">(1-$B$18)*SUMPRODUCT(OFFSET($BO$15,0,0,$B$14,1), 1*(_xlfn._xlws.FILTER(OFFSET($O$15,0,$DN118,$B$8,1),OFFSET($M$15,0,0,$B$8,1))=FG$13), 1*(_xlfn._xlws.FILTER(OFFSET($O$15,0,$DO118,$B$8,1),OFFSET($M$15,0,0,$B$8,1))=FG$14))   /   SUM(OFFSET($BO$15,0,0,$B$14,1)) + $B$18/($B$19*$B$19*($DN118&lt;&gt;$DO118) + $B$19*($DN118=$DO118))</f>
        <v>3.7037037037037035E-4</v>
      </c>
      <c r="FH118" s="10" cm="1">
        <f t="array" aca="1" ref="FH118" ca="1">(1-$B$18)*SUMPRODUCT(OFFSET($BO$15,0,0,$B$14,1), 1*(_xlfn._xlws.FILTER(OFFSET($O$15,0,$DN118,$B$8,1),OFFSET($M$15,0,0,$B$8,1))=FH$13), 1*(_xlfn._xlws.FILTER(OFFSET($O$15,0,$DO118,$B$8,1),OFFSET($M$15,0,0,$B$8,1))=FH$14))   /   SUM(OFFSET($BO$15,0,0,$B$14,1)) + $B$18/($B$19*$B$19*($DN118&lt;&gt;$DO118) + $B$19*($DN118=$DO118))</f>
        <v>3.7037037037037035E-4</v>
      </c>
      <c r="FI118" s="10" cm="1">
        <f t="array" aca="1" ref="FI118" ca="1">(1-$B$18)*SUMPRODUCT(OFFSET($BO$15,0,0,$B$14,1), 1*(_xlfn._xlws.FILTER(OFFSET($O$15,0,$DN118,$B$8,1),OFFSET($M$15,0,0,$B$8,1))=FI$13), 1*(_xlfn._xlws.FILTER(OFFSET($O$15,0,$DO118,$B$8,1),OFFSET($M$15,0,0,$B$8,1))=FI$14))   /   SUM(OFFSET($BO$15,0,0,$B$14,1)) + $B$18/($B$19*$B$19*($DN118&lt;&gt;$DO118) + $B$19*($DN118=$DO118))</f>
        <v>3.7037037037037035E-4</v>
      </c>
      <c r="FJ118" s="10" cm="1">
        <f t="array" aca="1" ref="FJ118" ca="1">(1-$B$18)*SUMPRODUCT(OFFSET($BO$15,0,0,$B$14,1), 1*(_xlfn._xlws.FILTER(OFFSET($O$15,0,$DN118,$B$8,1),OFFSET($M$15,0,0,$B$8,1))=FJ$13), 1*(_xlfn._xlws.FILTER(OFFSET($O$15,0,$DO118,$B$8,1),OFFSET($M$15,0,0,$B$8,1))=FJ$14))   /   SUM(OFFSET($BO$15,0,0,$B$14,1)) + $B$18/($B$19*$B$19*($DN118&lt;&gt;$DO118) + $B$19*($DN118=$DO118))</f>
        <v>3.7037037037037035E-4</v>
      </c>
      <c r="FK118" s="10" cm="1">
        <f t="array" aca="1" ref="FK118" ca="1">(1-$B$18)*SUMPRODUCT(OFFSET($BO$15,0,0,$B$14,1), 1*(_xlfn._xlws.FILTER(OFFSET($O$15,0,$DN118,$B$8,1),OFFSET($M$15,0,0,$B$8,1))=FK$13), 1*(_xlfn._xlws.FILTER(OFFSET($O$15,0,$DO118,$B$8,1),OFFSET($M$15,0,0,$B$8,1))=FK$14))   /   SUM(OFFSET($BO$15,0,0,$B$14,1)) + $B$18/($B$19*$B$19*($DN118&lt;&gt;$DO118) + $B$19*($DN118=$DO118))</f>
        <v>3.7037037037037035E-4</v>
      </c>
      <c r="FL118" s="10" cm="1">
        <f t="array" aca="1" ref="FL118" ca="1">(1-$B$18)*SUMPRODUCT(OFFSET($BO$15,0,0,$B$14,1), 1*(_xlfn._xlws.FILTER(OFFSET($O$15,0,$DN118,$B$8,1),OFFSET($M$15,0,0,$B$8,1))=FL$13), 1*(_xlfn._xlws.FILTER(OFFSET($O$15,0,$DO118,$B$8,1),OFFSET($M$15,0,0,$B$8,1))=FL$14))   /   SUM(OFFSET($BO$15,0,0,$B$14,1)) + $B$18/($B$19*$B$19*($DN118&lt;&gt;$DO118) + $B$19*($DN118=$DO118))</f>
        <v>3.7037037037037035E-4</v>
      </c>
      <c r="FM118" s="10" cm="1">
        <f t="array" aca="1" ref="FM118" ca="1">(1-$B$18)*SUMPRODUCT(OFFSET($BO$15,0,0,$B$14,1), 1*(_xlfn._xlws.FILTER(OFFSET($O$15,0,$DN118,$B$8,1),OFFSET($M$15,0,0,$B$8,1))=FM$13), 1*(_xlfn._xlws.FILTER(OFFSET($O$15,0,$DO118,$B$8,1),OFFSET($M$15,0,0,$B$8,1))=FM$14))   /   SUM(OFFSET($BO$15,0,0,$B$14,1)) + $B$18/($B$19*$B$19*($DN118&lt;&gt;$DO118) + $B$19*($DN118=$DO118))</f>
        <v>3.7037037037037035E-4</v>
      </c>
      <c r="FN118" s="10" cm="1">
        <f t="array" aca="1" ref="FN118" ca="1">(1-$B$18)*SUMPRODUCT(OFFSET($BO$15,0,0,$B$14,1), 1*(_xlfn._xlws.FILTER(OFFSET($O$15,0,$DN118,$B$8,1),OFFSET($M$15,0,0,$B$8,1))=FN$13), 1*(_xlfn._xlws.FILTER(OFFSET($O$15,0,$DO118,$B$8,1),OFFSET($M$15,0,0,$B$8,1))=FN$14))   /   SUM(OFFSET($BO$15,0,0,$B$14,1)) + $B$18/($B$19*$B$19*($DN118&lt;&gt;$DO118) + $B$19*($DN118=$DO118))</f>
        <v>3.7037037037037035E-4</v>
      </c>
      <c r="FO118" s="10" cm="1">
        <f t="array" aca="1" ref="FO118" ca="1">(1-$B$18)*SUMPRODUCT(OFFSET($BO$15,0,0,$B$14,1), 1*(_xlfn._xlws.FILTER(OFFSET($O$15,0,$DN118,$B$8,1),OFFSET($M$15,0,0,$B$8,1))=FO$13), 1*(_xlfn._xlws.FILTER(OFFSET($O$15,0,$DO118,$B$8,1),OFFSET($M$15,0,0,$B$8,1))=FO$14))   /   SUM(OFFSET($BO$15,0,0,$B$14,1)) + $B$18/($B$19*$B$19*($DN118&lt;&gt;$DO118) + $B$19*($DN118=$DO118))</f>
        <v>3.7037037037037035E-4</v>
      </c>
      <c r="FP118" s="10" cm="1">
        <f t="array" aca="1" ref="FP118" ca="1">(1-$B$18)*SUMPRODUCT(OFFSET($BO$15,0,0,$B$14,1), 1*(_xlfn._xlws.FILTER(OFFSET($O$15,0,$DN118,$B$8,1),OFFSET($M$15,0,0,$B$8,1))=FP$13), 1*(_xlfn._xlws.FILTER(OFFSET($O$15,0,$DO118,$B$8,1),OFFSET($M$15,0,0,$B$8,1))=FP$14))   /   SUM(OFFSET($BO$15,0,0,$B$14,1)) + $B$18/($B$19*$B$19*($DN118&lt;&gt;$DO118) + $B$19*($DN118=$DO118))</f>
        <v>3.7037037037037035E-4</v>
      </c>
      <c r="FQ118" s="10" cm="1">
        <f t="array" aca="1" ref="FQ118" ca="1">(1-$B$18)*SUMPRODUCT(OFFSET($BO$15,0,0,$B$14,1), 1*(_xlfn._xlws.FILTER(OFFSET($O$15,0,$DN118,$B$8,1),OFFSET($M$15,0,0,$B$8,1))=FQ$13), 1*(_xlfn._xlws.FILTER(OFFSET($O$15,0,$DO118,$B$8,1),OFFSET($M$15,0,0,$B$8,1))=FQ$14))   /   SUM(OFFSET($BO$15,0,0,$B$14,1)) + $B$18/($B$19*$B$19*($DN118&lt;&gt;$DO118) + $B$19*($DN118=$DO118))</f>
        <v>3.7037037037037035E-4</v>
      </c>
      <c r="FR118" s="10" cm="1">
        <f t="array" aca="1" ref="FR118" ca="1">(1-$B$18)*SUMPRODUCT(OFFSET($BO$15,0,0,$B$14,1), 1*(_xlfn._xlws.FILTER(OFFSET($O$15,0,$DN118,$B$8,1),OFFSET($M$15,0,0,$B$8,1))=FR$13), 1*(_xlfn._xlws.FILTER(OFFSET($O$15,0,$DO118,$B$8,1),OFFSET($M$15,0,0,$B$8,1))=FR$14))   /   SUM(OFFSET($BO$15,0,0,$B$14,1)) + $B$18/($B$19*$B$19*($DN118&lt;&gt;$DO118) + $B$19*($DN118=$DO118))</f>
        <v>0.97037037037037033</v>
      </c>
      <c r="FS118" s="10" cm="1">
        <f t="array" aca="1" ref="FS118" ca="1">(1-$B$18)*SUMPRODUCT(OFFSET($BO$15,0,0,$B$14,1), 1*(_xlfn._xlws.FILTER(OFFSET($O$15,0,$DN118,$B$8,1),OFFSET($M$15,0,0,$B$8,1))=FS$13), 1*(_xlfn._xlws.FILTER(OFFSET($O$15,0,$DO118,$B$8,1),OFFSET($M$15,0,0,$B$8,1))=FS$14))   /   SUM(OFFSET($BO$15,0,0,$B$14,1)) + $B$18/($B$19*$B$19*($DN118&lt;&gt;$DO118) + $B$19*($DN118=$DO118))</f>
        <v>3.7037037037037035E-4</v>
      </c>
      <c r="FT118" s="10" cm="1">
        <f t="array" aca="1" ref="FT118" ca="1">(1-$B$18)*SUMPRODUCT(OFFSET($BO$15,0,0,$B$14,1), 1*(_xlfn._xlws.FILTER(OFFSET($O$15,0,$DN118,$B$8,1),OFFSET($M$15,0,0,$B$8,1))=FT$13), 1*(_xlfn._xlws.FILTER(OFFSET($O$15,0,$DO118,$B$8,1),OFFSET($M$15,0,0,$B$8,1))=FT$14))   /   SUM(OFFSET($BO$15,0,0,$B$14,1)) + $B$18/($B$19*$B$19*($DN118&lt;&gt;$DO118) + $B$19*($DN118=$DO118))</f>
        <v>3.7037037037037035E-4</v>
      </c>
      <c r="FU118" s="10" cm="1">
        <f t="array" aca="1" ref="FU118" ca="1">(1-$B$18)*SUMPRODUCT(OFFSET($BO$15,0,0,$B$14,1), 1*(_xlfn._xlws.FILTER(OFFSET($O$15,0,$DN118,$B$8,1),OFFSET($M$15,0,0,$B$8,1))=FU$13), 1*(_xlfn._xlws.FILTER(OFFSET($O$15,0,$DO118,$B$8,1),OFFSET($M$15,0,0,$B$8,1))=FU$14))   /   SUM(OFFSET($BO$15,0,0,$B$14,1)) + $B$18/($B$19*$B$19*($DN118&lt;&gt;$DO118) + $B$19*($DN118=$DO118))</f>
        <v>3.7037037037037035E-4</v>
      </c>
      <c r="FV118" s="10" cm="1">
        <f t="array" aca="1" ref="FV118" ca="1">(1-$B$18)*SUMPRODUCT(OFFSET($BO$15,0,0,$B$14,1), 1*(_xlfn._xlws.FILTER(OFFSET($O$15,0,$DN118,$B$8,1),OFFSET($M$15,0,0,$B$8,1))=FV$13), 1*(_xlfn._xlws.FILTER(OFFSET($O$15,0,$DO118,$B$8,1),OFFSET($M$15,0,0,$B$8,1))=FV$14))   /   SUM(OFFSET($BO$15,0,0,$B$14,1)) + $B$18/($B$19*$B$19*($DN118&lt;&gt;$DO118) + $B$19*($DN118=$DO118))</f>
        <v>3.7037037037037035E-4</v>
      </c>
      <c r="FW118" s="10" cm="1">
        <f t="array" aca="1" ref="FW118" ca="1">(1-$B$18)*SUMPRODUCT(OFFSET($BO$15,0,0,$B$14,1), 1*(_xlfn._xlws.FILTER(OFFSET($O$15,0,$DN118,$B$8,1),OFFSET($M$15,0,0,$B$8,1))=FW$13), 1*(_xlfn._xlws.FILTER(OFFSET($O$15,0,$DO118,$B$8,1),OFFSET($M$15,0,0,$B$8,1))=FW$14))   /   SUM(OFFSET($BO$15,0,0,$B$14,1)) + $B$18/($B$19*$B$19*($DN118&lt;&gt;$DO118) + $B$19*($DN118=$DO118))</f>
        <v>3.7037037037037035E-4</v>
      </c>
      <c r="FX118" s="10" cm="1">
        <f t="array" aca="1" ref="FX118" ca="1">(1-$B$18)*SUMPRODUCT(OFFSET($BO$15,0,0,$B$14,1), 1*(_xlfn._xlws.FILTER(OFFSET($O$15,0,$DN118,$B$8,1),OFFSET($M$15,0,0,$B$8,1))=FX$13), 1*(_xlfn._xlws.FILTER(OFFSET($O$15,0,$DO118,$B$8,1),OFFSET($M$15,0,0,$B$8,1))=FX$14))   /   SUM(OFFSET($BO$15,0,0,$B$14,1)) + $B$18/($B$19*$B$19*($DN118&lt;&gt;$DO118) + $B$19*($DN118=$DO118))</f>
        <v>3.7037037037037035E-4</v>
      </c>
      <c r="FY118" s="10" cm="1">
        <f t="array" aca="1" ref="FY118" ca="1">(1-$B$18)*SUMPRODUCT(OFFSET($BO$15,0,0,$B$14,1), 1*(_xlfn._xlws.FILTER(OFFSET($O$15,0,$DN118,$B$8,1),OFFSET($M$15,0,0,$B$8,1))=FY$13), 1*(_xlfn._xlws.FILTER(OFFSET($O$15,0,$DO118,$B$8,1),OFFSET($M$15,0,0,$B$8,1))=FY$14))   /   SUM(OFFSET($BO$15,0,0,$B$14,1)) + $B$18/($B$19*$B$19*($DN118&lt;&gt;$DO118) + $B$19*($DN118=$DO118))</f>
        <v>3.7037037037037035E-4</v>
      </c>
      <c r="FZ118" s="10" cm="1">
        <f t="array" aca="1" ref="FZ118" ca="1">(1-$B$18)*SUMPRODUCT(OFFSET($BO$15,0,0,$B$14,1), 1*(_xlfn._xlws.FILTER(OFFSET($O$15,0,$DN118,$B$8,1),OFFSET($M$15,0,0,$B$8,1))=FZ$13), 1*(_xlfn._xlws.FILTER(OFFSET($O$15,0,$DO118,$B$8,1),OFFSET($M$15,0,0,$B$8,1))=FZ$14))   /   SUM(OFFSET($BO$15,0,0,$B$14,1)) + $B$18/($B$19*$B$19*($DN118&lt;&gt;$DO118) + $B$19*($DN118=$DO118))</f>
        <v>3.7037037037037035E-4</v>
      </c>
      <c r="GA118" s="10" cm="1">
        <f t="array" aca="1" ref="GA118" ca="1">(1-$B$18)*SUMPRODUCT(OFFSET($BO$15,0,0,$B$14,1), 1*(_xlfn._xlws.FILTER(OFFSET($O$15,0,$DN118,$B$8,1),OFFSET($M$15,0,0,$B$8,1))=GA$13), 1*(_xlfn._xlws.FILTER(OFFSET($O$15,0,$DO118,$B$8,1),OFFSET($M$15,0,0,$B$8,1))=GA$14))   /   SUM(OFFSET($BO$15,0,0,$B$14,1)) + $B$18/($B$19*$B$19*($DN118&lt;&gt;$DO118) + $B$19*($DN118=$DO118))</f>
        <v>3.7037037037037035E-4</v>
      </c>
    </row>
    <row r="119" spans="7:183" x14ac:dyDescent="0.2">
      <c r="DN119" cm="1">
        <f t="array" aca="1" ref="DN119" ca="1">INDEX(_xlfn.ANCHORARRAY($CP$15), 1 + INT((ROWS($DO$15:$DO119) - 1) / ROWS(_xlfn.ANCHORARRAY($CP$15))))</f>
        <v>5</v>
      </c>
      <c r="DO119" cm="1">
        <f t="array" aca="1" ref="DO119" ca="1">INDEX(_xlfn.ANCHORARRAY($CP$15),1+MOD(ROWS($DO$15:$DO119)-1,ROWS(_xlfn.ANCHORARRAY($CP$15))))</f>
        <v>9</v>
      </c>
      <c r="DP119" s="10" cm="1">
        <f t="array" aca="1" ref="DP119" ca="1">(1-$B$18)*SUMPRODUCT(OFFSET($BO$15,0,0,$B$14,1), 1*(_xlfn._xlws.FILTER(OFFSET($O$15,0,$DN119,$B$8,1),OFFSET($M$15,0,0,$B$8,1))=DP$13), 1*(_xlfn._xlws.FILTER(OFFSET($O$15,0,$DO119,$B$8,1),OFFSET($M$15,0,0,$B$8,1))=DP$14))   /   SUM(OFFSET($BO$15,0,0,$B$14,1)) + $B$18/($B$19*$B$19*($DN119&lt;&gt;$DO119) + $B$19*($DN119=$DO119))</f>
        <v>3.7037037037037035E-4</v>
      </c>
      <c r="DQ119" s="10" cm="1">
        <f t="array" aca="1" ref="DQ119" ca="1">(1-$B$18)*SUMPRODUCT(OFFSET($BO$15,0,0,$B$14,1), 1*(_xlfn._xlws.FILTER(OFFSET($O$15,0,$DN119,$B$8,1),OFFSET($M$15,0,0,$B$8,1))=DQ$13), 1*(_xlfn._xlws.FILTER(OFFSET($O$15,0,$DO119,$B$8,1),OFFSET($M$15,0,0,$B$8,1))=DQ$14))   /   SUM(OFFSET($BO$15,0,0,$B$14,1)) + $B$18/($B$19*$B$19*($DN119&lt;&gt;$DO119) + $B$19*($DN119=$DO119))</f>
        <v>3.7037037037037035E-4</v>
      </c>
      <c r="DR119" s="10" cm="1">
        <f t="array" aca="1" ref="DR119" ca="1">(1-$B$18)*SUMPRODUCT(OFFSET($BO$15,0,0,$B$14,1), 1*(_xlfn._xlws.FILTER(OFFSET($O$15,0,$DN119,$B$8,1),OFFSET($M$15,0,0,$B$8,1))=DR$13), 1*(_xlfn._xlws.FILTER(OFFSET($O$15,0,$DO119,$B$8,1),OFFSET($M$15,0,0,$B$8,1))=DR$14))   /   SUM(OFFSET($BO$15,0,0,$B$14,1)) + $B$18/($B$19*$B$19*($DN119&lt;&gt;$DO119) + $B$19*($DN119=$DO119))</f>
        <v>3.7037037037037035E-4</v>
      </c>
      <c r="DS119" s="10" cm="1">
        <f t="array" aca="1" ref="DS119" ca="1">(1-$B$18)*SUMPRODUCT(OFFSET($BO$15,0,0,$B$14,1), 1*(_xlfn._xlws.FILTER(OFFSET($O$15,0,$DN119,$B$8,1),OFFSET($M$15,0,0,$B$8,1))=DS$13), 1*(_xlfn._xlws.FILTER(OFFSET($O$15,0,$DO119,$B$8,1),OFFSET($M$15,0,0,$B$8,1))=DS$14))   /   SUM(OFFSET($BO$15,0,0,$B$14,1)) + $B$18/($B$19*$B$19*($DN119&lt;&gt;$DO119) + $B$19*($DN119=$DO119))</f>
        <v>3.7037037037037035E-4</v>
      </c>
      <c r="DT119" s="10" cm="1">
        <f t="array" aca="1" ref="DT119" ca="1">(1-$B$18)*SUMPRODUCT(OFFSET($BO$15,0,0,$B$14,1), 1*(_xlfn._xlws.FILTER(OFFSET($O$15,0,$DN119,$B$8,1),OFFSET($M$15,0,0,$B$8,1))=DT$13), 1*(_xlfn._xlws.FILTER(OFFSET($O$15,0,$DO119,$B$8,1),OFFSET($M$15,0,0,$B$8,1))=DT$14))   /   SUM(OFFSET($BO$15,0,0,$B$14,1)) + $B$18/($B$19*$B$19*($DN119&lt;&gt;$DO119) + $B$19*($DN119=$DO119))</f>
        <v>3.7037037037037035E-4</v>
      </c>
      <c r="DU119" s="10" cm="1">
        <f t="array" aca="1" ref="DU119" ca="1">(1-$B$18)*SUMPRODUCT(OFFSET($BO$15,0,0,$B$14,1), 1*(_xlfn._xlws.FILTER(OFFSET($O$15,0,$DN119,$B$8,1),OFFSET($M$15,0,0,$B$8,1))=DU$13), 1*(_xlfn._xlws.FILTER(OFFSET($O$15,0,$DO119,$B$8,1),OFFSET($M$15,0,0,$B$8,1))=DU$14))   /   SUM(OFFSET($BO$15,0,0,$B$14,1)) + $B$18/($B$19*$B$19*($DN119&lt;&gt;$DO119) + $B$19*($DN119=$DO119))</f>
        <v>3.7037037037037035E-4</v>
      </c>
      <c r="DV119" s="10" cm="1">
        <f t="array" aca="1" ref="DV119" ca="1">(1-$B$18)*SUMPRODUCT(OFFSET($BO$15,0,0,$B$14,1), 1*(_xlfn._xlws.FILTER(OFFSET($O$15,0,$DN119,$B$8,1),OFFSET($M$15,0,0,$B$8,1))=DV$13), 1*(_xlfn._xlws.FILTER(OFFSET($O$15,0,$DO119,$B$8,1),OFFSET($M$15,0,0,$B$8,1))=DV$14))   /   SUM(OFFSET($BO$15,0,0,$B$14,1)) + $B$18/($B$19*$B$19*($DN119&lt;&gt;$DO119) + $B$19*($DN119=$DO119))</f>
        <v>3.7037037037037035E-4</v>
      </c>
      <c r="DW119" s="10" cm="1">
        <f t="array" aca="1" ref="DW119" ca="1">(1-$B$18)*SUMPRODUCT(OFFSET($BO$15,0,0,$B$14,1), 1*(_xlfn._xlws.FILTER(OFFSET($O$15,0,$DN119,$B$8,1),OFFSET($M$15,0,0,$B$8,1))=DW$13), 1*(_xlfn._xlws.FILTER(OFFSET($O$15,0,$DO119,$B$8,1),OFFSET($M$15,0,0,$B$8,1))=DW$14))   /   SUM(OFFSET($BO$15,0,0,$B$14,1)) + $B$18/($B$19*$B$19*($DN119&lt;&gt;$DO119) + $B$19*($DN119=$DO119))</f>
        <v>3.7037037037037035E-4</v>
      </c>
      <c r="DX119" s="10" cm="1">
        <f t="array" aca="1" ref="DX119" ca="1">(1-$B$18)*SUMPRODUCT(OFFSET($BO$15,0,0,$B$14,1), 1*(_xlfn._xlws.FILTER(OFFSET($O$15,0,$DN119,$B$8,1),OFFSET($M$15,0,0,$B$8,1))=DX$13), 1*(_xlfn._xlws.FILTER(OFFSET($O$15,0,$DO119,$B$8,1),OFFSET($M$15,0,0,$B$8,1))=DX$14))   /   SUM(OFFSET($BO$15,0,0,$B$14,1)) + $B$18/($B$19*$B$19*($DN119&lt;&gt;$DO119) + $B$19*($DN119=$DO119))</f>
        <v>3.7037037037037035E-4</v>
      </c>
      <c r="DY119" s="10" cm="1">
        <f t="array" aca="1" ref="DY119" ca="1">(1-$B$18)*SUMPRODUCT(OFFSET($BO$15,0,0,$B$14,1), 1*(_xlfn._xlws.FILTER(OFFSET($O$15,0,$DN119,$B$8,1),OFFSET($M$15,0,0,$B$8,1))=DY$13), 1*(_xlfn._xlws.FILTER(OFFSET($O$15,0,$DO119,$B$8,1),OFFSET($M$15,0,0,$B$8,1))=DY$14))   /   SUM(OFFSET($BO$15,0,0,$B$14,1)) + $B$18/($B$19*$B$19*($DN119&lt;&gt;$DO119) + $B$19*($DN119=$DO119))</f>
        <v>3.7037037037037035E-4</v>
      </c>
      <c r="DZ119" s="10" cm="1">
        <f t="array" aca="1" ref="DZ119" ca="1">(1-$B$18)*SUMPRODUCT(OFFSET($BO$15,0,0,$B$14,1), 1*(_xlfn._xlws.FILTER(OFFSET($O$15,0,$DN119,$B$8,1),OFFSET($M$15,0,0,$B$8,1))=DZ$13), 1*(_xlfn._xlws.FILTER(OFFSET($O$15,0,$DO119,$B$8,1),OFFSET($M$15,0,0,$B$8,1))=DZ$14))   /   SUM(OFFSET($BO$15,0,0,$B$14,1)) + $B$18/($B$19*$B$19*($DN119&lt;&gt;$DO119) + $B$19*($DN119=$DO119))</f>
        <v>3.7037037037037035E-4</v>
      </c>
      <c r="EA119" s="10" cm="1">
        <f t="array" aca="1" ref="EA119" ca="1">(1-$B$18)*SUMPRODUCT(OFFSET($BO$15,0,0,$B$14,1), 1*(_xlfn._xlws.FILTER(OFFSET($O$15,0,$DN119,$B$8,1),OFFSET($M$15,0,0,$B$8,1))=EA$13), 1*(_xlfn._xlws.FILTER(OFFSET($O$15,0,$DO119,$B$8,1),OFFSET($M$15,0,0,$B$8,1))=EA$14))   /   SUM(OFFSET($BO$15,0,0,$B$14,1)) + $B$18/($B$19*$B$19*($DN119&lt;&gt;$DO119) + $B$19*($DN119=$DO119))</f>
        <v>3.7037037037037035E-4</v>
      </c>
      <c r="EB119" s="10" cm="1">
        <f t="array" aca="1" ref="EB119" ca="1">(1-$B$18)*SUMPRODUCT(OFFSET($BO$15,0,0,$B$14,1), 1*(_xlfn._xlws.FILTER(OFFSET($O$15,0,$DN119,$B$8,1),OFFSET($M$15,0,0,$B$8,1))=EB$13), 1*(_xlfn._xlws.FILTER(OFFSET($O$15,0,$DO119,$B$8,1),OFFSET($M$15,0,0,$B$8,1))=EB$14))   /   SUM(OFFSET($BO$15,0,0,$B$14,1)) + $B$18/($B$19*$B$19*($DN119&lt;&gt;$DO119) + $B$19*($DN119=$DO119))</f>
        <v>3.7037037037037035E-4</v>
      </c>
      <c r="EC119" s="10" cm="1">
        <f t="array" aca="1" ref="EC119" ca="1">(1-$B$18)*SUMPRODUCT(OFFSET($BO$15,0,0,$B$14,1), 1*(_xlfn._xlws.FILTER(OFFSET($O$15,0,$DN119,$B$8,1),OFFSET($M$15,0,0,$B$8,1))=EC$13), 1*(_xlfn._xlws.FILTER(OFFSET($O$15,0,$DO119,$B$8,1),OFFSET($M$15,0,0,$B$8,1))=EC$14))   /   SUM(OFFSET($BO$15,0,0,$B$14,1)) + $B$18/($B$19*$B$19*($DN119&lt;&gt;$DO119) + $B$19*($DN119=$DO119))</f>
        <v>3.7037037037037035E-4</v>
      </c>
      <c r="ED119" s="10" cm="1">
        <f t="array" aca="1" ref="ED119" ca="1">(1-$B$18)*SUMPRODUCT(OFFSET($BO$15,0,0,$B$14,1), 1*(_xlfn._xlws.FILTER(OFFSET($O$15,0,$DN119,$B$8,1),OFFSET($M$15,0,0,$B$8,1))=ED$13), 1*(_xlfn._xlws.FILTER(OFFSET($O$15,0,$DO119,$B$8,1),OFFSET($M$15,0,0,$B$8,1))=ED$14))   /   SUM(OFFSET($BO$15,0,0,$B$14,1)) + $B$18/($B$19*$B$19*($DN119&lt;&gt;$DO119) + $B$19*($DN119=$DO119))</f>
        <v>3.7037037037037035E-4</v>
      </c>
      <c r="EE119" s="10" cm="1">
        <f t="array" aca="1" ref="EE119" ca="1">(1-$B$18)*SUMPRODUCT(OFFSET($BO$15,0,0,$B$14,1), 1*(_xlfn._xlws.FILTER(OFFSET($O$15,0,$DN119,$B$8,1),OFFSET($M$15,0,0,$B$8,1))=EE$13), 1*(_xlfn._xlws.FILTER(OFFSET($O$15,0,$DO119,$B$8,1),OFFSET($M$15,0,0,$B$8,1))=EE$14))   /   SUM(OFFSET($BO$15,0,0,$B$14,1)) + $B$18/($B$19*$B$19*($DN119&lt;&gt;$DO119) + $B$19*($DN119=$DO119))</f>
        <v>3.7037037037037035E-4</v>
      </c>
      <c r="EF119" s="10" cm="1">
        <f t="array" aca="1" ref="EF119" ca="1">(1-$B$18)*SUMPRODUCT(OFFSET($BO$15,0,0,$B$14,1), 1*(_xlfn._xlws.FILTER(OFFSET($O$15,0,$DN119,$B$8,1),OFFSET($M$15,0,0,$B$8,1))=EF$13), 1*(_xlfn._xlws.FILTER(OFFSET($O$15,0,$DO119,$B$8,1),OFFSET($M$15,0,0,$B$8,1))=EF$14))   /   SUM(OFFSET($BO$15,0,0,$B$14,1)) + $B$18/($B$19*$B$19*($DN119&lt;&gt;$DO119) + $B$19*($DN119=$DO119))</f>
        <v>3.7037037037037035E-4</v>
      </c>
      <c r="EG119" s="10" cm="1">
        <f t="array" aca="1" ref="EG119" ca="1">(1-$B$18)*SUMPRODUCT(OFFSET($BO$15,0,0,$B$14,1), 1*(_xlfn._xlws.FILTER(OFFSET($O$15,0,$DN119,$B$8,1),OFFSET($M$15,0,0,$B$8,1))=EG$13), 1*(_xlfn._xlws.FILTER(OFFSET($O$15,0,$DO119,$B$8,1),OFFSET($M$15,0,0,$B$8,1))=EG$14))   /   SUM(OFFSET($BO$15,0,0,$B$14,1)) + $B$18/($B$19*$B$19*($DN119&lt;&gt;$DO119) + $B$19*($DN119=$DO119))</f>
        <v>3.7037037037037035E-4</v>
      </c>
      <c r="EH119" s="10" cm="1">
        <f t="array" aca="1" ref="EH119" ca="1">(1-$B$18)*SUMPRODUCT(OFFSET($BO$15,0,0,$B$14,1), 1*(_xlfn._xlws.FILTER(OFFSET($O$15,0,$DN119,$B$8,1),OFFSET($M$15,0,0,$B$8,1))=EH$13), 1*(_xlfn._xlws.FILTER(OFFSET($O$15,0,$DO119,$B$8,1),OFFSET($M$15,0,0,$B$8,1))=EH$14))   /   SUM(OFFSET($BO$15,0,0,$B$14,1)) + $B$18/($B$19*$B$19*($DN119&lt;&gt;$DO119) + $B$19*($DN119=$DO119))</f>
        <v>3.7037037037037035E-4</v>
      </c>
      <c r="EI119" s="10" cm="1">
        <f t="array" aca="1" ref="EI119" ca="1">(1-$B$18)*SUMPRODUCT(OFFSET($BO$15,0,0,$B$14,1), 1*(_xlfn._xlws.FILTER(OFFSET($O$15,0,$DN119,$B$8,1),OFFSET($M$15,0,0,$B$8,1))=EI$13), 1*(_xlfn._xlws.FILTER(OFFSET($O$15,0,$DO119,$B$8,1),OFFSET($M$15,0,0,$B$8,1))=EI$14))   /   SUM(OFFSET($BO$15,0,0,$B$14,1)) + $B$18/($B$19*$B$19*($DN119&lt;&gt;$DO119) + $B$19*($DN119=$DO119))</f>
        <v>3.7037037037037035E-4</v>
      </c>
      <c r="EJ119" s="10" cm="1">
        <f t="array" aca="1" ref="EJ119" ca="1">(1-$B$18)*SUMPRODUCT(OFFSET($BO$15,0,0,$B$14,1), 1*(_xlfn._xlws.FILTER(OFFSET($O$15,0,$DN119,$B$8,1),OFFSET($M$15,0,0,$B$8,1))=EJ$13), 1*(_xlfn._xlws.FILTER(OFFSET($O$15,0,$DO119,$B$8,1),OFFSET($M$15,0,0,$B$8,1))=EJ$14))   /   SUM(OFFSET($BO$15,0,0,$B$14,1)) + $B$18/($B$19*$B$19*($DN119&lt;&gt;$DO119) + $B$19*($DN119=$DO119))</f>
        <v>3.7037037037037035E-4</v>
      </c>
      <c r="EK119" s="10" cm="1">
        <f t="array" aca="1" ref="EK119" ca="1">(1-$B$18)*SUMPRODUCT(OFFSET($BO$15,0,0,$B$14,1), 1*(_xlfn._xlws.FILTER(OFFSET($O$15,0,$DN119,$B$8,1),OFFSET($M$15,0,0,$B$8,1))=EK$13), 1*(_xlfn._xlws.FILTER(OFFSET($O$15,0,$DO119,$B$8,1),OFFSET($M$15,0,0,$B$8,1))=EK$14))   /   SUM(OFFSET($BO$15,0,0,$B$14,1)) + $B$18/($B$19*$B$19*($DN119&lt;&gt;$DO119) + $B$19*($DN119=$DO119))</f>
        <v>3.7037037037037035E-4</v>
      </c>
      <c r="EL119" s="10" cm="1">
        <f t="array" aca="1" ref="EL119" ca="1">(1-$B$18)*SUMPRODUCT(OFFSET($BO$15,0,0,$B$14,1), 1*(_xlfn._xlws.FILTER(OFFSET($O$15,0,$DN119,$B$8,1),OFFSET($M$15,0,0,$B$8,1))=EL$13), 1*(_xlfn._xlws.FILTER(OFFSET($O$15,0,$DO119,$B$8,1),OFFSET($M$15,0,0,$B$8,1))=EL$14))   /   SUM(OFFSET($BO$15,0,0,$B$14,1)) + $B$18/($B$19*$B$19*($DN119&lt;&gt;$DO119) + $B$19*($DN119=$DO119))</f>
        <v>3.7037037037037035E-4</v>
      </c>
      <c r="EM119" s="10" cm="1">
        <f t="array" aca="1" ref="EM119" ca="1">(1-$B$18)*SUMPRODUCT(OFFSET($BO$15,0,0,$B$14,1), 1*(_xlfn._xlws.FILTER(OFFSET($O$15,0,$DN119,$B$8,1),OFFSET($M$15,0,0,$B$8,1))=EM$13), 1*(_xlfn._xlws.FILTER(OFFSET($O$15,0,$DO119,$B$8,1),OFFSET($M$15,0,0,$B$8,1))=EM$14))   /   SUM(OFFSET($BO$15,0,0,$B$14,1)) + $B$18/($B$19*$B$19*($DN119&lt;&gt;$DO119) + $B$19*($DN119=$DO119))</f>
        <v>3.7037037037037035E-4</v>
      </c>
      <c r="EN119" s="10" cm="1">
        <f t="array" aca="1" ref="EN119" ca="1">(1-$B$18)*SUMPRODUCT(OFFSET($BO$15,0,0,$B$14,1), 1*(_xlfn._xlws.FILTER(OFFSET($O$15,0,$DN119,$B$8,1),OFFSET($M$15,0,0,$B$8,1))=EN$13), 1*(_xlfn._xlws.FILTER(OFFSET($O$15,0,$DO119,$B$8,1),OFFSET($M$15,0,0,$B$8,1))=EN$14))   /   SUM(OFFSET($BO$15,0,0,$B$14,1)) + $B$18/($B$19*$B$19*($DN119&lt;&gt;$DO119) + $B$19*($DN119=$DO119))</f>
        <v>3.7037037037037035E-4</v>
      </c>
      <c r="EO119" s="10" cm="1">
        <f t="array" aca="1" ref="EO119" ca="1">(1-$B$18)*SUMPRODUCT(OFFSET($BO$15,0,0,$B$14,1), 1*(_xlfn._xlws.FILTER(OFFSET($O$15,0,$DN119,$B$8,1),OFFSET($M$15,0,0,$B$8,1))=EO$13), 1*(_xlfn._xlws.FILTER(OFFSET($O$15,0,$DO119,$B$8,1),OFFSET($M$15,0,0,$B$8,1))=EO$14))   /   SUM(OFFSET($BO$15,0,0,$B$14,1)) + $B$18/($B$19*$B$19*($DN119&lt;&gt;$DO119) + $B$19*($DN119=$DO119))</f>
        <v>3.7037037037037035E-4</v>
      </c>
      <c r="EP119" s="10" cm="1">
        <f t="array" aca="1" ref="EP119" ca="1">(1-$B$18)*SUMPRODUCT(OFFSET($BO$15,0,0,$B$14,1), 1*(_xlfn._xlws.FILTER(OFFSET($O$15,0,$DN119,$B$8,1),OFFSET($M$15,0,0,$B$8,1))=EP$13), 1*(_xlfn._xlws.FILTER(OFFSET($O$15,0,$DO119,$B$8,1),OFFSET($M$15,0,0,$B$8,1))=EP$14))   /   SUM(OFFSET($BO$15,0,0,$B$14,1)) + $B$18/($B$19*$B$19*($DN119&lt;&gt;$DO119) + $B$19*($DN119=$DO119))</f>
        <v>3.7037037037037035E-4</v>
      </c>
      <c r="EQ119" s="10" cm="1">
        <f t="array" aca="1" ref="EQ119" ca="1">(1-$B$18)*SUMPRODUCT(OFFSET($BO$15,0,0,$B$14,1), 1*(_xlfn._xlws.FILTER(OFFSET($O$15,0,$DN119,$B$8,1),OFFSET($M$15,0,0,$B$8,1))=EQ$13), 1*(_xlfn._xlws.FILTER(OFFSET($O$15,0,$DO119,$B$8,1),OFFSET($M$15,0,0,$B$8,1))=EQ$14))   /   SUM(OFFSET($BO$15,0,0,$B$14,1)) + $B$18/($B$19*$B$19*($DN119&lt;&gt;$DO119) + $B$19*($DN119=$DO119))</f>
        <v>3.7037037037037035E-4</v>
      </c>
      <c r="ER119" s="10" cm="1">
        <f t="array" aca="1" ref="ER119" ca="1">(1-$B$18)*SUMPRODUCT(OFFSET($BO$15,0,0,$B$14,1), 1*(_xlfn._xlws.FILTER(OFFSET($O$15,0,$DN119,$B$8,1),OFFSET($M$15,0,0,$B$8,1))=ER$13), 1*(_xlfn._xlws.FILTER(OFFSET($O$15,0,$DO119,$B$8,1),OFFSET($M$15,0,0,$B$8,1))=ER$14))   /   SUM(OFFSET($BO$15,0,0,$B$14,1)) + $B$18/($B$19*$B$19*($DN119&lt;&gt;$DO119) + $B$19*($DN119=$DO119))</f>
        <v>3.7037037037037035E-4</v>
      </c>
      <c r="ES119" s="10" cm="1">
        <f t="array" aca="1" ref="ES119" ca="1">(1-$B$18)*SUMPRODUCT(OFFSET($BO$15,0,0,$B$14,1), 1*(_xlfn._xlws.FILTER(OFFSET($O$15,0,$DN119,$B$8,1),OFFSET($M$15,0,0,$B$8,1))=ES$13), 1*(_xlfn._xlws.FILTER(OFFSET($O$15,0,$DO119,$B$8,1),OFFSET($M$15,0,0,$B$8,1))=ES$14))   /   SUM(OFFSET($BO$15,0,0,$B$14,1)) + $B$18/($B$19*$B$19*($DN119&lt;&gt;$DO119) + $B$19*($DN119=$DO119))</f>
        <v>3.7037037037037035E-4</v>
      </c>
      <c r="ET119" s="10" cm="1">
        <f t="array" aca="1" ref="ET119" ca="1">(1-$B$18)*SUMPRODUCT(OFFSET($BO$15,0,0,$B$14,1), 1*(_xlfn._xlws.FILTER(OFFSET($O$15,0,$DN119,$B$8,1),OFFSET($M$15,0,0,$B$8,1))=ET$13), 1*(_xlfn._xlws.FILTER(OFFSET($O$15,0,$DO119,$B$8,1),OFFSET($M$15,0,0,$B$8,1))=ET$14))   /   SUM(OFFSET($BO$15,0,0,$B$14,1)) + $B$18/($B$19*$B$19*($DN119&lt;&gt;$DO119) + $B$19*($DN119=$DO119))</f>
        <v>3.7037037037037035E-4</v>
      </c>
      <c r="EU119" s="10" cm="1">
        <f t="array" aca="1" ref="EU119" ca="1">(1-$B$18)*SUMPRODUCT(OFFSET($BO$15,0,0,$B$14,1), 1*(_xlfn._xlws.FILTER(OFFSET($O$15,0,$DN119,$B$8,1),OFFSET($M$15,0,0,$B$8,1))=EU$13), 1*(_xlfn._xlws.FILTER(OFFSET($O$15,0,$DO119,$B$8,1),OFFSET($M$15,0,0,$B$8,1))=EU$14))   /   SUM(OFFSET($BO$15,0,0,$B$14,1)) + $B$18/($B$19*$B$19*($DN119&lt;&gt;$DO119) + $B$19*($DN119=$DO119))</f>
        <v>3.7037037037037035E-4</v>
      </c>
      <c r="EV119" s="10" cm="1">
        <f t="array" aca="1" ref="EV119" ca="1">(1-$B$18)*SUMPRODUCT(OFFSET($BO$15,0,0,$B$14,1), 1*(_xlfn._xlws.FILTER(OFFSET($O$15,0,$DN119,$B$8,1),OFFSET($M$15,0,0,$B$8,1))=EV$13), 1*(_xlfn._xlws.FILTER(OFFSET($O$15,0,$DO119,$B$8,1),OFFSET($M$15,0,0,$B$8,1))=EV$14))   /   SUM(OFFSET($BO$15,0,0,$B$14,1)) + $B$18/($B$19*$B$19*($DN119&lt;&gt;$DO119) + $B$19*($DN119=$DO119))</f>
        <v>3.7037037037037035E-4</v>
      </c>
      <c r="EW119" s="10" cm="1">
        <f t="array" aca="1" ref="EW119" ca="1">(1-$B$18)*SUMPRODUCT(OFFSET($BO$15,0,0,$B$14,1), 1*(_xlfn._xlws.FILTER(OFFSET($O$15,0,$DN119,$B$8,1),OFFSET($M$15,0,0,$B$8,1))=EW$13), 1*(_xlfn._xlws.FILTER(OFFSET($O$15,0,$DO119,$B$8,1),OFFSET($M$15,0,0,$B$8,1))=EW$14))   /   SUM(OFFSET($BO$15,0,0,$B$14,1)) + $B$18/($B$19*$B$19*($DN119&lt;&gt;$DO119) + $B$19*($DN119=$DO119))</f>
        <v>3.7037037037037035E-4</v>
      </c>
      <c r="EX119" s="10" cm="1">
        <f t="array" aca="1" ref="EX119" ca="1">(1-$B$18)*SUMPRODUCT(OFFSET($BO$15,0,0,$B$14,1), 1*(_xlfn._xlws.FILTER(OFFSET($O$15,0,$DN119,$B$8,1),OFFSET($M$15,0,0,$B$8,1))=EX$13), 1*(_xlfn._xlws.FILTER(OFFSET($O$15,0,$DO119,$B$8,1),OFFSET($M$15,0,0,$B$8,1))=EX$14))   /   SUM(OFFSET($BO$15,0,0,$B$14,1)) + $B$18/($B$19*$B$19*($DN119&lt;&gt;$DO119) + $B$19*($DN119=$DO119))</f>
        <v>3.7037037037037035E-4</v>
      </c>
      <c r="EY119" s="10" cm="1">
        <f t="array" aca="1" ref="EY119" ca="1">(1-$B$18)*SUMPRODUCT(OFFSET($BO$15,0,0,$B$14,1), 1*(_xlfn._xlws.FILTER(OFFSET($O$15,0,$DN119,$B$8,1),OFFSET($M$15,0,0,$B$8,1))=EY$13), 1*(_xlfn._xlws.FILTER(OFFSET($O$15,0,$DO119,$B$8,1),OFFSET($M$15,0,0,$B$8,1))=EY$14))   /   SUM(OFFSET($BO$15,0,0,$B$14,1)) + $B$18/($B$19*$B$19*($DN119&lt;&gt;$DO119) + $B$19*($DN119=$DO119))</f>
        <v>3.7037037037037035E-4</v>
      </c>
      <c r="EZ119" s="10" cm="1">
        <f t="array" aca="1" ref="EZ119" ca="1">(1-$B$18)*SUMPRODUCT(OFFSET($BO$15,0,0,$B$14,1), 1*(_xlfn._xlws.FILTER(OFFSET($O$15,0,$DN119,$B$8,1),OFFSET($M$15,0,0,$B$8,1))=EZ$13), 1*(_xlfn._xlws.FILTER(OFFSET($O$15,0,$DO119,$B$8,1),OFFSET($M$15,0,0,$B$8,1))=EZ$14))   /   SUM(OFFSET($BO$15,0,0,$B$14,1)) + $B$18/($B$19*$B$19*($DN119&lt;&gt;$DO119) + $B$19*($DN119=$DO119))</f>
        <v>3.7037037037037035E-4</v>
      </c>
      <c r="FA119" s="10" cm="1">
        <f t="array" aca="1" ref="FA119" ca="1">(1-$B$18)*SUMPRODUCT(OFFSET($BO$15,0,0,$B$14,1), 1*(_xlfn._xlws.FILTER(OFFSET($O$15,0,$DN119,$B$8,1),OFFSET($M$15,0,0,$B$8,1))=FA$13), 1*(_xlfn._xlws.FILTER(OFFSET($O$15,0,$DO119,$B$8,1),OFFSET($M$15,0,0,$B$8,1))=FA$14))   /   SUM(OFFSET($BO$15,0,0,$B$14,1)) + $B$18/($B$19*$B$19*($DN119&lt;&gt;$DO119) + $B$19*($DN119=$DO119))</f>
        <v>3.7037037037037035E-4</v>
      </c>
      <c r="FB119" s="10" cm="1">
        <f t="array" aca="1" ref="FB119" ca="1">(1-$B$18)*SUMPRODUCT(OFFSET($BO$15,0,0,$B$14,1), 1*(_xlfn._xlws.FILTER(OFFSET($O$15,0,$DN119,$B$8,1),OFFSET($M$15,0,0,$B$8,1))=FB$13), 1*(_xlfn._xlws.FILTER(OFFSET($O$15,0,$DO119,$B$8,1),OFFSET($M$15,0,0,$B$8,1))=FB$14))   /   SUM(OFFSET($BO$15,0,0,$B$14,1)) + $B$18/($B$19*$B$19*($DN119&lt;&gt;$DO119) + $B$19*($DN119=$DO119))</f>
        <v>3.7037037037037035E-4</v>
      </c>
      <c r="FC119" s="10" cm="1">
        <f t="array" aca="1" ref="FC119" ca="1">(1-$B$18)*SUMPRODUCT(OFFSET($BO$15,0,0,$B$14,1), 1*(_xlfn._xlws.FILTER(OFFSET($O$15,0,$DN119,$B$8,1),OFFSET($M$15,0,0,$B$8,1))=FC$13), 1*(_xlfn._xlws.FILTER(OFFSET($O$15,0,$DO119,$B$8,1),OFFSET($M$15,0,0,$B$8,1))=FC$14))   /   SUM(OFFSET($BO$15,0,0,$B$14,1)) + $B$18/($B$19*$B$19*($DN119&lt;&gt;$DO119) + $B$19*($DN119=$DO119))</f>
        <v>3.7037037037037035E-4</v>
      </c>
      <c r="FD119" s="10" cm="1">
        <f t="array" aca="1" ref="FD119" ca="1">(1-$B$18)*SUMPRODUCT(OFFSET($BO$15,0,0,$B$14,1), 1*(_xlfn._xlws.FILTER(OFFSET($O$15,0,$DN119,$B$8,1),OFFSET($M$15,0,0,$B$8,1))=FD$13), 1*(_xlfn._xlws.FILTER(OFFSET($O$15,0,$DO119,$B$8,1),OFFSET($M$15,0,0,$B$8,1))=FD$14))   /   SUM(OFFSET($BO$15,0,0,$B$14,1)) + $B$18/($B$19*$B$19*($DN119&lt;&gt;$DO119) + $B$19*($DN119=$DO119))</f>
        <v>3.7037037037037035E-4</v>
      </c>
      <c r="FE119" s="10" cm="1">
        <f t="array" aca="1" ref="FE119" ca="1">(1-$B$18)*SUMPRODUCT(OFFSET($BO$15,0,0,$B$14,1), 1*(_xlfn._xlws.FILTER(OFFSET($O$15,0,$DN119,$B$8,1),OFFSET($M$15,0,0,$B$8,1))=FE$13), 1*(_xlfn._xlws.FILTER(OFFSET($O$15,0,$DO119,$B$8,1),OFFSET($M$15,0,0,$B$8,1))=FE$14))   /   SUM(OFFSET($BO$15,0,0,$B$14,1)) + $B$18/($B$19*$B$19*($DN119&lt;&gt;$DO119) + $B$19*($DN119=$DO119))</f>
        <v>3.7037037037037035E-4</v>
      </c>
      <c r="FF119" s="10" cm="1">
        <f t="array" aca="1" ref="FF119" ca="1">(1-$B$18)*SUMPRODUCT(OFFSET($BO$15,0,0,$B$14,1), 1*(_xlfn._xlws.FILTER(OFFSET($O$15,0,$DN119,$B$8,1),OFFSET($M$15,0,0,$B$8,1))=FF$13), 1*(_xlfn._xlws.FILTER(OFFSET($O$15,0,$DO119,$B$8,1),OFFSET($M$15,0,0,$B$8,1))=FF$14))   /   SUM(OFFSET($BO$15,0,0,$B$14,1)) + $B$18/($B$19*$B$19*($DN119&lt;&gt;$DO119) + $B$19*($DN119=$DO119))</f>
        <v>3.7037037037037035E-4</v>
      </c>
      <c r="FG119" s="10" cm="1">
        <f t="array" aca="1" ref="FG119" ca="1">(1-$B$18)*SUMPRODUCT(OFFSET($BO$15,0,0,$B$14,1), 1*(_xlfn._xlws.FILTER(OFFSET($O$15,0,$DN119,$B$8,1),OFFSET($M$15,0,0,$B$8,1))=FG$13), 1*(_xlfn._xlws.FILTER(OFFSET($O$15,0,$DO119,$B$8,1),OFFSET($M$15,0,0,$B$8,1))=FG$14))   /   SUM(OFFSET($BO$15,0,0,$B$14,1)) + $B$18/($B$19*$B$19*($DN119&lt;&gt;$DO119) + $B$19*($DN119=$DO119))</f>
        <v>3.7037037037037035E-4</v>
      </c>
      <c r="FH119" s="10" cm="1">
        <f t="array" aca="1" ref="FH119" ca="1">(1-$B$18)*SUMPRODUCT(OFFSET($BO$15,0,0,$B$14,1), 1*(_xlfn._xlws.FILTER(OFFSET($O$15,0,$DN119,$B$8,1),OFFSET($M$15,0,0,$B$8,1))=FH$13), 1*(_xlfn._xlws.FILTER(OFFSET($O$15,0,$DO119,$B$8,1),OFFSET($M$15,0,0,$B$8,1))=FH$14))   /   SUM(OFFSET($BO$15,0,0,$B$14,1)) + $B$18/($B$19*$B$19*($DN119&lt;&gt;$DO119) + $B$19*($DN119=$DO119))</f>
        <v>3.7037037037037035E-4</v>
      </c>
      <c r="FI119" s="10" cm="1">
        <f t="array" aca="1" ref="FI119" ca="1">(1-$B$18)*SUMPRODUCT(OFFSET($BO$15,0,0,$B$14,1), 1*(_xlfn._xlws.FILTER(OFFSET($O$15,0,$DN119,$B$8,1),OFFSET($M$15,0,0,$B$8,1))=FI$13), 1*(_xlfn._xlws.FILTER(OFFSET($O$15,0,$DO119,$B$8,1),OFFSET($M$15,0,0,$B$8,1))=FI$14))   /   SUM(OFFSET($BO$15,0,0,$B$14,1)) + $B$18/($B$19*$B$19*($DN119&lt;&gt;$DO119) + $B$19*($DN119=$DO119))</f>
        <v>3.7037037037037035E-4</v>
      </c>
      <c r="FJ119" s="10" cm="1">
        <f t="array" aca="1" ref="FJ119" ca="1">(1-$B$18)*SUMPRODUCT(OFFSET($BO$15,0,0,$B$14,1), 1*(_xlfn._xlws.FILTER(OFFSET($O$15,0,$DN119,$B$8,1),OFFSET($M$15,0,0,$B$8,1))=FJ$13), 1*(_xlfn._xlws.FILTER(OFFSET($O$15,0,$DO119,$B$8,1),OFFSET($M$15,0,0,$B$8,1))=FJ$14))   /   SUM(OFFSET($BO$15,0,0,$B$14,1)) + $B$18/($B$19*$B$19*($DN119&lt;&gt;$DO119) + $B$19*($DN119=$DO119))</f>
        <v>3.7037037037037035E-4</v>
      </c>
      <c r="FK119" s="10" cm="1">
        <f t="array" aca="1" ref="FK119" ca="1">(1-$B$18)*SUMPRODUCT(OFFSET($BO$15,0,0,$B$14,1), 1*(_xlfn._xlws.FILTER(OFFSET($O$15,0,$DN119,$B$8,1),OFFSET($M$15,0,0,$B$8,1))=FK$13), 1*(_xlfn._xlws.FILTER(OFFSET($O$15,0,$DO119,$B$8,1),OFFSET($M$15,0,0,$B$8,1))=FK$14))   /   SUM(OFFSET($BO$15,0,0,$B$14,1)) + $B$18/($B$19*$B$19*($DN119&lt;&gt;$DO119) + $B$19*($DN119=$DO119))</f>
        <v>3.7037037037037035E-4</v>
      </c>
      <c r="FL119" s="10" cm="1">
        <f t="array" aca="1" ref="FL119" ca="1">(1-$B$18)*SUMPRODUCT(OFFSET($BO$15,0,0,$B$14,1), 1*(_xlfn._xlws.FILTER(OFFSET($O$15,0,$DN119,$B$8,1),OFFSET($M$15,0,0,$B$8,1))=FL$13), 1*(_xlfn._xlws.FILTER(OFFSET($O$15,0,$DO119,$B$8,1),OFFSET($M$15,0,0,$B$8,1))=FL$14))   /   SUM(OFFSET($BO$15,0,0,$B$14,1)) + $B$18/($B$19*$B$19*($DN119&lt;&gt;$DO119) + $B$19*($DN119=$DO119))</f>
        <v>3.7037037037037035E-4</v>
      </c>
      <c r="FM119" s="10" cm="1">
        <f t="array" aca="1" ref="FM119" ca="1">(1-$B$18)*SUMPRODUCT(OFFSET($BO$15,0,0,$B$14,1), 1*(_xlfn._xlws.FILTER(OFFSET($O$15,0,$DN119,$B$8,1),OFFSET($M$15,0,0,$B$8,1))=FM$13), 1*(_xlfn._xlws.FILTER(OFFSET($O$15,0,$DO119,$B$8,1),OFFSET($M$15,0,0,$B$8,1))=FM$14))   /   SUM(OFFSET($BO$15,0,0,$B$14,1)) + $B$18/($B$19*$B$19*($DN119&lt;&gt;$DO119) + $B$19*($DN119=$DO119))</f>
        <v>3.7037037037037035E-4</v>
      </c>
      <c r="FN119" s="10" cm="1">
        <f t="array" aca="1" ref="FN119" ca="1">(1-$B$18)*SUMPRODUCT(OFFSET($BO$15,0,0,$B$14,1), 1*(_xlfn._xlws.FILTER(OFFSET($O$15,0,$DN119,$B$8,1),OFFSET($M$15,0,0,$B$8,1))=FN$13), 1*(_xlfn._xlws.FILTER(OFFSET($O$15,0,$DO119,$B$8,1),OFFSET($M$15,0,0,$B$8,1))=FN$14))   /   SUM(OFFSET($BO$15,0,0,$B$14,1)) + $B$18/($B$19*$B$19*($DN119&lt;&gt;$DO119) + $B$19*($DN119=$DO119))</f>
        <v>3.7037037037037035E-4</v>
      </c>
      <c r="FO119" s="10" cm="1">
        <f t="array" aca="1" ref="FO119" ca="1">(1-$B$18)*SUMPRODUCT(OFFSET($BO$15,0,0,$B$14,1), 1*(_xlfn._xlws.FILTER(OFFSET($O$15,0,$DN119,$B$8,1),OFFSET($M$15,0,0,$B$8,1))=FO$13), 1*(_xlfn._xlws.FILTER(OFFSET($O$15,0,$DO119,$B$8,1),OFFSET($M$15,0,0,$B$8,1))=FO$14))   /   SUM(OFFSET($BO$15,0,0,$B$14,1)) + $B$18/($B$19*$B$19*($DN119&lt;&gt;$DO119) + $B$19*($DN119=$DO119))</f>
        <v>3.7037037037037035E-4</v>
      </c>
      <c r="FP119" s="10" cm="1">
        <f t="array" aca="1" ref="FP119" ca="1">(1-$B$18)*SUMPRODUCT(OFFSET($BO$15,0,0,$B$14,1), 1*(_xlfn._xlws.FILTER(OFFSET($O$15,0,$DN119,$B$8,1),OFFSET($M$15,0,0,$B$8,1))=FP$13), 1*(_xlfn._xlws.FILTER(OFFSET($O$15,0,$DO119,$B$8,1),OFFSET($M$15,0,0,$B$8,1))=FP$14))   /   SUM(OFFSET($BO$15,0,0,$B$14,1)) + $B$18/($B$19*$B$19*($DN119&lt;&gt;$DO119) + $B$19*($DN119=$DO119))</f>
        <v>3.7037037037037035E-4</v>
      </c>
      <c r="FQ119" s="10" cm="1">
        <f t="array" aca="1" ref="FQ119" ca="1">(1-$B$18)*SUMPRODUCT(OFFSET($BO$15,0,0,$B$14,1), 1*(_xlfn._xlws.FILTER(OFFSET($O$15,0,$DN119,$B$8,1),OFFSET($M$15,0,0,$B$8,1))=FQ$13), 1*(_xlfn._xlws.FILTER(OFFSET($O$15,0,$DO119,$B$8,1),OFFSET($M$15,0,0,$B$8,1))=FQ$14))   /   SUM(OFFSET($BO$15,0,0,$B$14,1)) + $B$18/($B$19*$B$19*($DN119&lt;&gt;$DO119) + $B$19*($DN119=$DO119))</f>
        <v>3.7037037037037035E-4</v>
      </c>
      <c r="FR119" s="10" cm="1">
        <f t="array" aca="1" ref="FR119" ca="1">(1-$B$18)*SUMPRODUCT(OFFSET($BO$15,0,0,$B$14,1), 1*(_xlfn._xlws.FILTER(OFFSET($O$15,0,$DN119,$B$8,1),OFFSET($M$15,0,0,$B$8,1))=FR$13), 1*(_xlfn._xlws.FILTER(OFFSET($O$15,0,$DO119,$B$8,1),OFFSET($M$15,0,0,$B$8,1))=FR$14))   /   SUM(OFFSET($BO$15,0,0,$B$14,1)) + $B$18/($B$19*$B$19*($DN119&lt;&gt;$DO119) + $B$19*($DN119=$DO119))</f>
        <v>0.97037037037037033</v>
      </c>
      <c r="FS119" s="10" cm="1">
        <f t="array" aca="1" ref="FS119" ca="1">(1-$B$18)*SUMPRODUCT(OFFSET($BO$15,0,0,$B$14,1), 1*(_xlfn._xlws.FILTER(OFFSET($O$15,0,$DN119,$B$8,1),OFFSET($M$15,0,0,$B$8,1))=FS$13), 1*(_xlfn._xlws.FILTER(OFFSET($O$15,0,$DO119,$B$8,1),OFFSET($M$15,0,0,$B$8,1))=FS$14))   /   SUM(OFFSET($BO$15,0,0,$B$14,1)) + $B$18/($B$19*$B$19*($DN119&lt;&gt;$DO119) + $B$19*($DN119=$DO119))</f>
        <v>3.7037037037037035E-4</v>
      </c>
      <c r="FT119" s="10" cm="1">
        <f t="array" aca="1" ref="FT119" ca="1">(1-$B$18)*SUMPRODUCT(OFFSET($BO$15,0,0,$B$14,1), 1*(_xlfn._xlws.FILTER(OFFSET($O$15,0,$DN119,$B$8,1),OFFSET($M$15,0,0,$B$8,1))=FT$13), 1*(_xlfn._xlws.FILTER(OFFSET($O$15,0,$DO119,$B$8,1),OFFSET($M$15,0,0,$B$8,1))=FT$14))   /   SUM(OFFSET($BO$15,0,0,$B$14,1)) + $B$18/($B$19*$B$19*($DN119&lt;&gt;$DO119) + $B$19*($DN119=$DO119))</f>
        <v>3.7037037037037035E-4</v>
      </c>
      <c r="FU119" s="10" cm="1">
        <f t="array" aca="1" ref="FU119" ca="1">(1-$B$18)*SUMPRODUCT(OFFSET($BO$15,0,0,$B$14,1), 1*(_xlfn._xlws.FILTER(OFFSET($O$15,0,$DN119,$B$8,1),OFFSET($M$15,0,0,$B$8,1))=FU$13), 1*(_xlfn._xlws.FILTER(OFFSET($O$15,0,$DO119,$B$8,1),OFFSET($M$15,0,0,$B$8,1))=FU$14))   /   SUM(OFFSET($BO$15,0,0,$B$14,1)) + $B$18/($B$19*$B$19*($DN119&lt;&gt;$DO119) + $B$19*($DN119=$DO119))</f>
        <v>3.7037037037037035E-4</v>
      </c>
      <c r="FV119" s="10" cm="1">
        <f t="array" aca="1" ref="FV119" ca="1">(1-$B$18)*SUMPRODUCT(OFFSET($BO$15,0,0,$B$14,1), 1*(_xlfn._xlws.FILTER(OFFSET($O$15,0,$DN119,$B$8,1),OFFSET($M$15,0,0,$B$8,1))=FV$13), 1*(_xlfn._xlws.FILTER(OFFSET($O$15,0,$DO119,$B$8,1),OFFSET($M$15,0,0,$B$8,1))=FV$14))   /   SUM(OFFSET($BO$15,0,0,$B$14,1)) + $B$18/($B$19*$B$19*($DN119&lt;&gt;$DO119) + $B$19*($DN119=$DO119))</f>
        <v>3.7037037037037035E-4</v>
      </c>
      <c r="FW119" s="10" cm="1">
        <f t="array" aca="1" ref="FW119" ca="1">(1-$B$18)*SUMPRODUCT(OFFSET($BO$15,0,0,$B$14,1), 1*(_xlfn._xlws.FILTER(OFFSET($O$15,0,$DN119,$B$8,1),OFFSET($M$15,0,0,$B$8,1))=FW$13), 1*(_xlfn._xlws.FILTER(OFFSET($O$15,0,$DO119,$B$8,1),OFFSET($M$15,0,0,$B$8,1))=FW$14))   /   SUM(OFFSET($BO$15,0,0,$B$14,1)) + $B$18/($B$19*$B$19*($DN119&lt;&gt;$DO119) + $B$19*($DN119=$DO119))</f>
        <v>3.7037037037037035E-4</v>
      </c>
      <c r="FX119" s="10" cm="1">
        <f t="array" aca="1" ref="FX119" ca="1">(1-$B$18)*SUMPRODUCT(OFFSET($BO$15,0,0,$B$14,1), 1*(_xlfn._xlws.FILTER(OFFSET($O$15,0,$DN119,$B$8,1),OFFSET($M$15,0,0,$B$8,1))=FX$13), 1*(_xlfn._xlws.FILTER(OFFSET($O$15,0,$DO119,$B$8,1),OFFSET($M$15,0,0,$B$8,1))=FX$14))   /   SUM(OFFSET($BO$15,0,0,$B$14,1)) + $B$18/($B$19*$B$19*($DN119&lt;&gt;$DO119) + $B$19*($DN119=$DO119))</f>
        <v>3.7037037037037035E-4</v>
      </c>
      <c r="FY119" s="10" cm="1">
        <f t="array" aca="1" ref="FY119" ca="1">(1-$B$18)*SUMPRODUCT(OFFSET($BO$15,0,0,$B$14,1), 1*(_xlfn._xlws.FILTER(OFFSET($O$15,0,$DN119,$B$8,1),OFFSET($M$15,0,0,$B$8,1))=FY$13), 1*(_xlfn._xlws.FILTER(OFFSET($O$15,0,$DO119,$B$8,1),OFFSET($M$15,0,0,$B$8,1))=FY$14))   /   SUM(OFFSET($BO$15,0,0,$B$14,1)) + $B$18/($B$19*$B$19*($DN119&lt;&gt;$DO119) + $B$19*($DN119=$DO119))</f>
        <v>3.7037037037037035E-4</v>
      </c>
      <c r="FZ119" s="10" cm="1">
        <f t="array" aca="1" ref="FZ119" ca="1">(1-$B$18)*SUMPRODUCT(OFFSET($BO$15,0,0,$B$14,1), 1*(_xlfn._xlws.FILTER(OFFSET($O$15,0,$DN119,$B$8,1),OFFSET($M$15,0,0,$B$8,1))=FZ$13), 1*(_xlfn._xlws.FILTER(OFFSET($O$15,0,$DO119,$B$8,1),OFFSET($M$15,0,0,$B$8,1))=FZ$14))   /   SUM(OFFSET($BO$15,0,0,$B$14,1)) + $B$18/($B$19*$B$19*($DN119&lt;&gt;$DO119) + $B$19*($DN119=$DO119))</f>
        <v>3.7037037037037035E-4</v>
      </c>
      <c r="GA119" s="10" cm="1">
        <f t="array" aca="1" ref="GA119" ca="1">(1-$B$18)*SUMPRODUCT(OFFSET($BO$15,0,0,$B$14,1), 1*(_xlfn._xlws.FILTER(OFFSET($O$15,0,$DN119,$B$8,1),OFFSET($M$15,0,0,$B$8,1))=GA$13), 1*(_xlfn._xlws.FILTER(OFFSET($O$15,0,$DO119,$B$8,1),OFFSET($M$15,0,0,$B$8,1))=GA$14))   /   SUM(OFFSET($BO$15,0,0,$B$14,1)) + $B$18/($B$19*$B$19*($DN119&lt;&gt;$DO119) + $B$19*($DN119=$DO119))</f>
        <v>3.7037037037037035E-4</v>
      </c>
    </row>
    <row r="120" spans="7:183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DN120" cm="1">
        <f t="array" aca="1" ref="DN120" ca="1">INDEX(_xlfn.ANCHORARRAY($CP$15), 1 + INT((ROWS($DO$15:$DO120) - 1) / ROWS(_xlfn.ANCHORARRAY($CP$15))))</f>
        <v>5</v>
      </c>
      <c r="DO120" cm="1">
        <f t="array" aca="1" ref="DO120" ca="1">INDEX(_xlfn.ANCHORARRAY($CP$15),1+MOD(ROWS($DO$15:$DO120)-1,ROWS(_xlfn.ANCHORARRAY($CP$15))))</f>
        <v>11</v>
      </c>
      <c r="DP120" s="10" cm="1">
        <f t="array" aca="1" ref="DP120" ca="1">(1-$B$18)*SUMPRODUCT(OFFSET($BO$15,0,0,$B$14,1), 1*(_xlfn._xlws.FILTER(OFFSET($O$15,0,$DN120,$B$8,1),OFFSET($M$15,0,0,$B$8,1))=DP$13), 1*(_xlfn._xlws.FILTER(OFFSET($O$15,0,$DO120,$B$8,1),OFFSET($M$15,0,0,$B$8,1))=DP$14))   /   SUM(OFFSET($BO$15,0,0,$B$14,1)) + $B$18/($B$19*$B$19*($DN120&lt;&gt;$DO120) + $B$19*($DN120=$DO120))</f>
        <v>3.7037037037037035E-4</v>
      </c>
      <c r="DQ120" s="10" cm="1">
        <f t="array" aca="1" ref="DQ120" ca="1">(1-$B$18)*SUMPRODUCT(OFFSET($BO$15,0,0,$B$14,1), 1*(_xlfn._xlws.FILTER(OFFSET($O$15,0,$DN120,$B$8,1),OFFSET($M$15,0,0,$B$8,1))=DQ$13), 1*(_xlfn._xlws.FILTER(OFFSET($O$15,0,$DO120,$B$8,1),OFFSET($M$15,0,0,$B$8,1))=DQ$14))   /   SUM(OFFSET($BO$15,0,0,$B$14,1)) + $B$18/($B$19*$B$19*($DN120&lt;&gt;$DO120) + $B$19*($DN120=$DO120))</f>
        <v>3.7037037037037035E-4</v>
      </c>
      <c r="DR120" s="10" cm="1">
        <f t="array" aca="1" ref="DR120" ca="1">(1-$B$18)*SUMPRODUCT(OFFSET($BO$15,0,0,$B$14,1), 1*(_xlfn._xlws.FILTER(OFFSET($O$15,0,$DN120,$B$8,1),OFFSET($M$15,0,0,$B$8,1))=DR$13), 1*(_xlfn._xlws.FILTER(OFFSET($O$15,0,$DO120,$B$8,1),OFFSET($M$15,0,0,$B$8,1))=DR$14))   /   SUM(OFFSET($BO$15,0,0,$B$14,1)) + $B$18/($B$19*$B$19*($DN120&lt;&gt;$DO120) + $B$19*($DN120=$DO120))</f>
        <v>3.7037037037037035E-4</v>
      </c>
      <c r="DS120" s="10" cm="1">
        <f t="array" aca="1" ref="DS120" ca="1">(1-$B$18)*SUMPRODUCT(OFFSET($BO$15,0,0,$B$14,1), 1*(_xlfn._xlws.FILTER(OFFSET($O$15,0,$DN120,$B$8,1),OFFSET($M$15,0,0,$B$8,1))=DS$13), 1*(_xlfn._xlws.FILTER(OFFSET($O$15,0,$DO120,$B$8,1),OFFSET($M$15,0,0,$B$8,1))=DS$14))   /   SUM(OFFSET($BO$15,0,0,$B$14,1)) + $B$18/($B$19*$B$19*($DN120&lt;&gt;$DO120) + $B$19*($DN120=$DO120))</f>
        <v>3.7037037037037035E-4</v>
      </c>
      <c r="DT120" s="10" cm="1">
        <f t="array" aca="1" ref="DT120" ca="1">(1-$B$18)*SUMPRODUCT(OFFSET($BO$15,0,0,$B$14,1), 1*(_xlfn._xlws.FILTER(OFFSET($O$15,0,$DN120,$B$8,1),OFFSET($M$15,0,0,$B$8,1))=DT$13), 1*(_xlfn._xlws.FILTER(OFFSET($O$15,0,$DO120,$B$8,1),OFFSET($M$15,0,0,$B$8,1))=DT$14))   /   SUM(OFFSET($BO$15,0,0,$B$14,1)) + $B$18/($B$19*$B$19*($DN120&lt;&gt;$DO120) + $B$19*($DN120=$DO120))</f>
        <v>3.7037037037037035E-4</v>
      </c>
      <c r="DU120" s="10" cm="1">
        <f t="array" aca="1" ref="DU120" ca="1">(1-$B$18)*SUMPRODUCT(OFFSET($BO$15,0,0,$B$14,1), 1*(_xlfn._xlws.FILTER(OFFSET($O$15,0,$DN120,$B$8,1),OFFSET($M$15,0,0,$B$8,1))=DU$13), 1*(_xlfn._xlws.FILTER(OFFSET($O$15,0,$DO120,$B$8,1),OFFSET($M$15,0,0,$B$8,1))=DU$14))   /   SUM(OFFSET($BO$15,0,0,$B$14,1)) + $B$18/($B$19*$B$19*($DN120&lt;&gt;$DO120) + $B$19*($DN120=$DO120))</f>
        <v>3.7037037037037035E-4</v>
      </c>
      <c r="DV120" s="10" cm="1">
        <f t="array" aca="1" ref="DV120" ca="1">(1-$B$18)*SUMPRODUCT(OFFSET($BO$15,0,0,$B$14,1), 1*(_xlfn._xlws.FILTER(OFFSET($O$15,0,$DN120,$B$8,1),OFFSET($M$15,0,0,$B$8,1))=DV$13), 1*(_xlfn._xlws.FILTER(OFFSET($O$15,0,$DO120,$B$8,1),OFFSET($M$15,0,0,$B$8,1))=DV$14))   /   SUM(OFFSET($BO$15,0,0,$B$14,1)) + $B$18/($B$19*$B$19*($DN120&lt;&gt;$DO120) + $B$19*($DN120=$DO120))</f>
        <v>3.7037037037037035E-4</v>
      </c>
      <c r="DW120" s="10" cm="1">
        <f t="array" aca="1" ref="DW120" ca="1">(1-$B$18)*SUMPRODUCT(OFFSET($BO$15,0,0,$B$14,1), 1*(_xlfn._xlws.FILTER(OFFSET($O$15,0,$DN120,$B$8,1),OFFSET($M$15,0,0,$B$8,1))=DW$13), 1*(_xlfn._xlws.FILTER(OFFSET($O$15,0,$DO120,$B$8,1),OFFSET($M$15,0,0,$B$8,1))=DW$14))   /   SUM(OFFSET($BO$15,0,0,$B$14,1)) + $B$18/($B$19*$B$19*($DN120&lt;&gt;$DO120) + $B$19*($DN120=$DO120))</f>
        <v>3.7037037037037035E-4</v>
      </c>
      <c r="DX120" s="10" cm="1">
        <f t="array" aca="1" ref="DX120" ca="1">(1-$B$18)*SUMPRODUCT(OFFSET($BO$15,0,0,$B$14,1), 1*(_xlfn._xlws.FILTER(OFFSET($O$15,0,$DN120,$B$8,1),OFFSET($M$15,0,0,$B$8,1))=DX$13), 1*(_xlfn._xlws.FILTER(OFFSET($O$15,0,$DO120,$B$8,1),OFFSET($M$15,0,0,$B$8,1))=DX$14))   /   SUM(OFFSET($BO$15,0,0,$B$14,1)) + $B$18/($B$19*$B$19*($DN120&lt;&gt;$DO120) + $B$19*($DN120=$DO120))</f>
        <v>3.7037037037037035E-4</v>
      </c>
      <c r="DY120" s="10" cm="1">
        <f t="array" aca="1" ref="DY120" ca="1">(1-$B$18)*SUMPRODUCT(OFFSET($BO$15,0,0,$B$14,1), 1*(_xlfn._xlws.FILTER(OFFSET($O$15,0,$DN120,$B$8,1),OFFSET($M$15,0,0,$B$8,1))=DY$13), 1*(_xlfn._xlws.FILTER(OFFSET($O$15,0,$DO120,$B$8,1),OFFSET($M$15,0,0,$B$8,1))=DY$14))   /   SUM(OFFSET($BO$15,0,0,$B$14,1)) + $B$18/($B$19*$B$19*($DN120&lt;&gt;$DO120) + $B$19*($DN120=$DO120))</f>
        <v>3.7037037037037035E-4</v>
      </c>
      <c r="DZ120" s="10" cm="1">
        <f t="array" aca="1" ref="DZ120" ca="1">(1-$B$18)*SUMPRODUCT(OFFSET($BO$15,0,0,$B$14,1), 1*(_xlfn._xlws.FILTER(OFFSET($O$15,0,$DN120,$B$8,1),OFFSET($M$15,0,0,$B$8,1))=DZ$13), 1*(_xlfn._xlws.FILTER(OFFSET($O$15,0,$DO120,$B$8,1),OFFSET($M$15,0,0,$B$8,1))=DZ$14))   /   SUM(OFFSET($BO$15,0,0,$B$14,1)) + $B$18/($B$19*$B$19*($DN120&lt;&gt;$DO120) + $B$19*($DN120=$DO120))</f>
        <v>3.7037037037037035E-4</v>
      </c>
      <c r="EA120" s="10" cm="1">
        <f t="array" aca="1" ref="EA120" ca="1">(1-$B$18)*SUMPRODUCT(OFFSET($BO$15,0,0,$B$14,1), 1*(_xlfn._xlws.FILTER(OFFSET($O$15,0,$DN120,$B$8,1),OFFSET($M$15,0,0,$B$8,1))=EA$13), 1*(_xlfn._xlws.FILTER(OFFSET($O$15,0,$DO120,$B$8,1),OFFSET($M$15,0,0,$B$8,1))=EA$14))   /   SUM(OFFSET($BO$15,0,0,$B$14,1)) + $B$18/($B$19*$B$19*($DN120&lt;&gt;$DO120) + $B$19*($DN120=$DO120))</f>
        <v>3.7037037037037035E-4</v>
      </c>
      <c r="EB120" s="10" cm="1">
        <f t="array" aca="1" ref="EB120" ca="1">(1-$B$18)*SUMPRODUCT(OFFSET($BO$15,0,0,$B$14,1), 1*(_xlfn._xlws.FILTER(OFFSET($O$15,0,$DN120,$B$8,1),OFFSET($M$15,0,0,$B$8,1))=EB$13), 1*(_xlfn._xlws.FILTER(OFFSET($O$15,0,$DO120,$B$8,1),OFFSET($M$15,0,0,$B$8,1))=EB$14))   /   SUM(OFFSET($BO$15,0,0,$B$14,1)) + $B$18/($B$19*$B$19*($DN120&lt;&gt;$DO120) + $B$19*($DN120=$DO120))</f>
        <v>3.7037037037037035E-4</v>
      </c>
      <c r="EC120" s="10" cm="1">
        <f t="array" aca="1" ref="EC120" ca="1">(1-$B$18)*SUMPRODUCT(OFFSET($BO$15,0,0,$B$14,1), 1*(_xlfn._xlws.FILTER(OFFSET($O$15,0,$DN120,$B$8,1),OFFSET($M$15,0,0,$B$8,1))=EC$13), 1*(_xlfn._xlws.FILTER(OFFSET($O$15,0,$DO120,$B$8,1),OFFSET($M$15,0,0,$B$8,1))=EC$14))   /   SUM(OFFSET($BO$15,0,0,$B$14,1)) + $B$18/($B$19*$B$19*($DN120&lt;&gt;$DO120) + $B$19*($DN120=$DO120))</f>
        <v>3.7037037037037035E-4</v>
      </c>
      <c r="ED120" s="10" cm="1">
        <f t="array" aca="1" ref="ED120" ca="1">(1-$B$18)*SUMPRODUCT(OFFSET($BO$15,0,0,$B$14,1), 1*(_xlfn._xlws.FILTER(OFFSET($O$15,0,$DN120,$B$8,1),OFFSET($M$15,0,0,$B$8,1))=ED$13), 1*(_xlfn._xlws.FILTER(OFFSET($O$15,0,$DO120,$B$8,1),OFFSET($M$15,0,0,$B$8,1))=ED$14))   /   SUM(OFFSET($BO$15,0,0,$B$14,1)) + $B$18/($B$19*$B$19*($DN120&lt;&gt;$DO120) + $B$19*($DN120=$DO120))</f>
        <v>3.7037037037037035E-4</v>
      </c>
      <c r="EE120" s="10" cm="1">
        <f t="array" aca="1" ref="EE120" ca="1">(1-$B$18)*SUMPRODUCT(OFFSET($BO$15,0,0,$B$14,1), 1*(_xlfn._xlws.FILTER(OFFSET($O$15,0,$DN120,$B$8,1),OFFSET($M$15,0,0,$B$8,1))=EE$13), 1*(_xlfn._xlws.FILTER(OFFSET($O$15,0,$DO120,$B$8,1),OFFSET($M$15,0,0,$B$8,1))=EE$14))   /   SUM(OFFSET($BO$15,0,0,$B$14,1)) + $B$18/($B$19*$B$19*($DN120&lt;&gt;$DO120) + $B$19*($DN120=$DO120))</f>
        <v>3.7037037037037035E-4</v>
      </c>
      <c r="EF120" s="10" cm="1">
        <f t="array" aca="1" ref="EF120" ca="1">(1-$B$18)*SUMPRODUCT(OFFSET($BO$15,0,0,$B$14,1), 1*(_xlfn._xlws.FILTER(OFFSET($O$15,0,$DN120,$B$8,1),OFFSET($M$15,0,0,$B$8,1))=EF$13), 1*(_xlfn._xlws.FILTER(OFFSET($O$15,0,$DO120,$B$8,1),OFFSET($M$15,0,0,$B$8,1))=EF$14))   /   SUM(OFFSET($BO$15,0,0,$B$14,1)) + $B$18/($B$19*$B$19*($DN120&lt;&gt;$DO120) + $B$19*($DN120=$DO120))</f>
        <v>3.7037037037037035E-4</v>
      </c>
      <c r="EG120" s="10" cm="1">
        <f t="array" aca="1" ref="EG120" ca="1">(1-$B$18)*SUMPRODUCT(OFFSET($BO$15,0,0,$B$14,1), 1*(_xlfn._xlws.FILTER(OFFSET($O$15,0,$DN120,$B$8,1),OFFSET($M$15,0,0,$B$8,1))=EG$13), 1*(_xlfn._xlws.FILTER(OFFSET($O$15,0,$DO120,$B$8,1),OFFSET($M$15,0,0,$B$8,1))=EG$14))   /   SUM(OFFSET($BO$15,0,0,$B$14,1)) + $B$18/($B$19*$B$19*($DN120&lt;&gt;$DO120) + $B$19*($DN120=$DO120))</f>
        <v>3.7037037037037035E-4</v>
      </c>
      <c r="EH120" s="10" cm="1">
        <f t="array" aca="1" ref="EH120" ca="1">(1-$B$18)*SUMPRODUCT(OFFSET($BO$15,0,0,$B$14,1), 1*(_xlfn._xlws.FILTER(OFFSET($O$15,0,$DN120,$B$8,1),OFFSET($M$15,0,0,$B$8,1))=EH$13), 1*(_xlfn._xlws.FILTER(OFFSET($O$15,0,$DO120,$B$8,1),OFFSET($M$15,0,0,$B$8,1))=EH$14))   /   SUM(OFFSET($BO$15,0,0,$B$14,1)) + $B$18/($B$19*$B$19*($DN120&lt;&gt;$DO120) + $B$19*($DN120=$DO120))</f>
        <v>3.7037037037037035E-4</v>
      </c>
      <c r="EI120" s="10" cm="1">
        <f t="array" aca="1" ref="EI120" ca="1">(1-$B$18)*SUMPRODUCT(OFFSET($BO$15,0,0,$B$14,1), 1*(_xlfn._xlws.FILTER(OFFSET($O$15,0,$DN120,$B$8,1),OFFSET($M$15,0,0,$B$8,1))=EI$13), 1*(_xlfn._xlws.FILTER(OFFSET($O$15,0,$DO120,$B$8,1),OFFSET($M$15,0,0,$B$8,1))=EI$14))   /   SUM(OFFSET($BO$15,0,0,$B$14,1)) + $B$18/($B$19*$B$19*($DN120&lt;&gt;$DO120) + $B$19*($DN120=$DO120))</f>
        <v>3.7037037037037035E-4</v>
      </c>
      <c r="EJ120" s="10" cm="1">
        <f t="array" aca="1" ref="EJ120" ca="1">(1-$B$18)*SUMPRODUCT(OFFSET($BO$15,0,0,$B$14,1), 1*(_xlfn._xlws.FILTER(OFFSET($O$15,0,$DN120,$B$8,1),OFFSET($M$15,0,0,$B$8,1))=EJ$13), 1*(_xlfn._xlws.FILTER(OFFSET($O$15,0,$DO120,$B$8,1),OFFSET($M$15,0,0,$B$8,1))=EJ$14))   /   SUM(OFFSET($BO$15,0,0,$B$14,1)) + $B$18/($B$19*$B$19*($DN120&lt;&gt;$DO120) + $B$19*($DN120=$DO120))</f>
        <v>3.7037037037037035E-4</v>
      </c>
      <c r="EK120" s="10" cm="1">
        <f t="array" aca="1" ref="EK120" ca="1">(1-$B$18)*SUMPRODUCT(OFFSET($BO$15,0,0,$B$14,1), 1*(_xlfn._xlws.FILTER(OFFSET($O$15,0,$DN120,$B$8,1),OFFSET($M$15,0,0,$B$8,1))=EK$13), 1*(_xlfn._xlws.FILTER(OFFSET($O$15,0,$DO120,$B$8,1),OFFSET($M$15,0,0,$B$8,1))=EK$14))   /   SUM(OFFSET($BO$15,0,0,$B$14,1)) + $B$18/($B$19*$B$19*($DN120&lt;&gt;$DO120) + $B$19*($DN120=$DO120))</f>
        <v>3.7037037037037035E-4</v>
      </c>
      <c r="EL120" s="10" cm="1">
        <f t="array" aca="1" ref="EL120" ca="1">(1-$B$18)*SUMPRODUCT(OFFSET($BO$15,0,0,$B$14,1), 1*(_xlfn._xlws.FILTER(OFFSET($O$15,0,$DN120,$B$8,1),OFFSET($M$15,0,0,$B$8,1))=EL$13), 1*(_xlfn._xlws.FILTER(OFFSET($O$15,0,$DO120,$B$8,1),OFFSET($M$15,0,0,$B$8,1))=EL$14))   /   SUM(OFFSET($BO$15,0,0,$B$14,1)) + $B$18/($B$19*$B$19*($DN120&lt;&gt;$DO120) + $B$19*($DN120=$DO120))</f>
        <v>3.7037037037037035E-4</v>
      </c>
      <c r="EM120" s="10" cm="1">
        <f t="array" aca="1" ref="EM120" ca="1">(1-$B$18)*SUMPRODUCT(OFFSET($BO$15,0,0,$B$14,1), 1*(_xlfn._xlws.FILTER(OFFSET($O$15,0,$DN120,$B$8,1),OFFSET($M$15,0,0,$B$8,1))=EM$13), 1*(_xlfn._xlws.FILTER(OFFSET($O$15,0,$DO120,$B$8,1),OFFSET($M$15,0,0,$B$8,1))=EM$14))   /   SUM(OFFSET($BO$15,0,0,$B$14,1)) + $B$18/($B$19*$B$19*($DN120&lt;&gt;$DO120) + $B$19*($DN120=$DO120))</f>
        <v>3.7037037037037035E-4</v>
      </c>
      <c r="EN120" s="10" cm="1">
        <f t="array" aca="1" ref="EN120" ca="1">(1-$B$18)*SUMPRODUCT(OFFSET($BO$15,0,0,$B$14,1), 1*(_xlfn._xlws.FILTER(OFFSET($O$15,0,$DN120,$B$8,1),OFFSET($M$15,0,0,$B$8,1))=EN$13), 1*(_xlfn._xlws.FILTER(OFFSET($O$15,0,$DO120,$B$8,1),OFFSET($M$15,0,0,$B$8,1))=EN$14))   /   SUM(OFFSET($BO$15,0,0,$B$14,1)) + $B$18/($B$19*$B$19*($DN120&lt;&gt;$DO120) + $B$19*($DN120=$DO120))</f>
        <v>3.7037037037037035E-4</v>
      </c>
      <c r="EO120" s="10" cm="1">
        <f t="array" aca="1" ref="EO120" ca="1">(1-$B$18)*SUMPRODUCT(OFFSET($BO$15,0,0,$B$14,1), 1*(_xlfn._xlws.FILTER(OFFSET($O$15,0,$DN120,$B$8,1),OFFSET($M$15,0,0,$B$8,1))=EO$13), 1*(_xlfn._xlws.FILTER(OFFSET($O$15,0,$DO120,$B$8,1),OFFSET($M$15,0,0,$B$8,1))=EO$14))   /   SUM(OFFSET($BO$15,0,0,$B$14,1)) + $B$18/($B$19*$B$19*($DN120&lt;&gt;$DO120) + $B$19*($DN120=$DO120))</f>
        <v>3.7037037037037035E-4</v>
      </c>
      <c r="EP120" s="10" cm="1">
        <f t="array" aca="1" ref="EP120" ca="1">(1-$B$18)*SUMPRODUCT(OFFSET($BO$15,0,0,$B$14,1), 1*(_xlfn._xlws.FILTER(OFFSET($O$15,0,$DN120,$B$8,1),OFFSET($M$15,0,0,$B$8,1))=EP$13), 1*(_xlfn._xlws.FILTER(OFFSET($O$15,0,$DO120,$B$8,1),OFFSET($M$15,0,0,$B$8,1))=EP$14))   /   SUM(OFFSET($BO$15,0,0,$B$14,1)) + $B$18/($B$19*$B$19*($DN120&lt;&gt;$DO120) + $B$19*($DN120=$DO120))</f>
        <v>3.7037037037037035E-4</v>
      </c>
      <c r="EQ120" s="10" cm="1">
        <f t="array" aca="1" ref="EQ120" ca="1">(1-$B$18)*SUMPRODUCT(OFFSET($BO$15,0,0,$B$14,1), 1*(_xlfn._xlws.FILTER(OFFSET($O$15,0,$DN120,$B$8,1),OFFSET($M$15,0,0,$B$8,1))=EQ$13), 1*(_xlfn._xlws.FILTER(OFFSET($O$15,0,$DO120,$B$8,1),OFFSET($M$15,0,0,$B$8,1))=EQ$14))   /   SUM(OFFSET($BO$15,0,0,$B$14,1)) + $B$18/($B$19*$B$19*($DN120&lt;&gt;$DO120) + $B$19*($DN120=$DO120))</f>
        <v>3.7037037037037035E-4</v>
      </c>
      <c r="ER120" s="10" cm="1">
        <f t="array" aca="1" ref="ER120" ca="1">(1-$B$18)*SUMPRODUCT(OFFSET($BO$15,0,0,$B$14,1), 1*(_xlfn._xlws.FILTER(OFFSET($O$15,0,$DN120,$B$8,1),OFFSET($M$15,0,0,$B$8,1))=ER$13), 1*(_xlfn._xlws.FILTER(OFFSET($O$15,0,$DO120,$B$8,1),OFFSET($M$15,0,0,$B$8,1))=ER$14))   /   SUM(OFFSET($BO$15,0,0,$B$14,1)) + $B$18/($B$19*$B$19*($DN120&lt;&gt;$DO120) + $B$19*($DN120=$DO120))</f>
        <v>3.7037037037037035E-4</v>
      </c>
      <c r="ES120" s="10" cm="1">
        <f t="array" aca="1" ref="ES120" ca="1">(1-$B$18)*SUMPRODUCT(OFFSET($BO$15,0,0,$B$14,1), 1*(_xlfn._xlws.FILTER(OFFSET($O$15,0,$DN120,$B$8,1),OFFSET($M$15,0,0,$B$8,1))=ES$13), 1*(_xlfn._xlws.FILTER(OFFSET($O$15,0,$DO120,$B$8,1),OFFSET($M$15,0,0,$B$8,1))=ES$14))   /   SUM(OFFSET($BO$15,0,0,$B$14,1)) + $B$18/($B$19*$B$19*($DN120&lt;&gt;$DO120) + $B$19*($DN120=$DO120))</f>
        <v>3.7037037037037035E-4</v>
      </c>
      <c r="ET120" s="10" cm="1">
        <f t="array" aca="1" ref="ET120" ca="1">(1-$B$18)*SUMPRODUCT(OFFSET($BO$15,0,0,$B$14,1), 1*(_xlfn._xlws.FILTER(OFFSET($O$15,0,$DN120,$B$8,1),OFFSET($M$15,0,0,$B$8,1))=ET$13), 1*(_xlfn._xlws.FILTER(OFFSET($O$15,0,$DO120,$B$8,1),OFFSET($M$15,0,0,$B$8,1))=ET$14))   /   SUM(OFFSET($BO$15,0,0,$B$14,1)) + $B$18/($B$19*$B$19*($DN120&lt;&gt;$DO120) + $B$19*($DN120=$DO120))</f>
        <v>3.7037037037037035E-4</v>
      </c>
      <c r="EU120" s="10" cm="1">
        <f t="array" aca="1" ref="EU120" ca="1">(1-$B$18)*SUMPRODUCT(OFFSET($BO$15,0,0,$B$14,1), 1*(_xlfn._xlws.FILTER(OFFSET($O$15,0,$DN120,$B$8,1),OFFSET($M$15,0,0,$B$8,1))=EU$13), 1*(_xlfn._xlws.FILTER(OFFSET($O$15,0,$DO120,$B$8,1),OFFSET($M$15,0,0,$B$8,1))=EU$14))   /   SUM(OFFSET($BO$15,0,0,$B$14,1)) + $B$18/($B$19*$B$19*($DN120&lt;&gt;$DO120) + $B$19*($DN120=$DO120))</f>
        <v>3.7037037037037035E-4</v>
      </c>
      <c r="EV120" s="10" cm="1">
        <f t="array" aca="1" ref="EV120" ca="1">(1-$B$18)*SUMPRODUCT(OFFSET($BO$15,0,0,$B$14,1), 1*(_xlfn._xlws.FILTER(OFFSET($O$15,0,$DN120,$B$8,1),OFFSET($M$15,0,0,$B$8,1))=EV$13), 1*(_xlfn._xlws.FILTER(OFFSET($O$15,0,$DO120,$B$8,1),OFFSET($M$15,0,0,$B$8,1))=EV$14))   /   SUM(OFFSET($BO$15,0,0,$B$14,1)) + $B$18/($B$19*$B$19*($DN120&lt;&gt;$DO120) + $B$19*($DN120=$DO120))</f>
        <v>3.7037037037037035E-4</v>
      </c>
      <c r="EW120" s="10" cm="1">
        <f t="array" aca="1" ref="EW120" ca="1">(1-$B$18)*SUMPRODUCT(OFFSET($BO$15,0,0,$B$14,1), 1*(_xlfn._xlws.FILTER(OFFSET($O$15,0,$DN120,$B$8,1),OFFSET($M$15,0,0,$B$8,1))=EW$13), 1*(_xlfn._xlws.FILTER(OFFSET($O$15,0,$DO120,$B$8,1),OFFSET($M$15,0,0,$B$8,1))=EW$14))   /   SUM(OFFSET($BO$15,0,0,$B$14,1)) + $B$18/($B$19*$B$19*($DN120&lt;&gt;$DO120) + $B$19*($DN120=$DO120))</f>
        <v>3.7037037037037035E-4</v>
      </c>
      <c r="EX120" s="10" cm="1">
        <f t="array" aca="1" ref="EX120" ca="1">(1-$B$18)*SUMPRODUCT(OFFSET($BO$15,0,0,$B$14,1), 1*(_xlfn._xlws.FILTER(OFFSET($O$15,0,$DN120,$B$8,1),OFFSET($M$15,0,0,$B$8,1))=EX$13), 1*(_xlfn._xlws.FILTER(OFFSET($O$15,0,$DO120,$B$8,1),OFFSET($M$15,0,0,$B$8,1))=EX$14))   /   SUM(OFFSET($BO$15,0,0,$B$14,1)) + $B$18/($B$19*$B$19*($DN120&lt;&gt;$DO120) + $B$19*($DN120=$DO120))</f>
        <v>3.7037037037037035E-4</v>
      </c>
      <c r="EY120" s="10" cm="1">
        <f t="array" aca="1" ref="EY120" ca="1">(1-$B$18)*SUMPRODUCT(OFFSET($BO$15,0,0,$B$14,1), 1*(_xlfn._xlws.FILTER(OFFSET($O$15,0,$DN120,$B$8,1),OFFSET($M$15,0,0,$B$8,1))=EY$13), 1*(_xlfn._xlws.FILTER(OFFSET($O$15,0,$DO120,$B$8,1),OFFSET($M$15,0,0,$B$8,1))=EY$14))   /   SUM(OFFSET($BO$15,0,0,$B$14,1)) + $B$18/($B$19*$B$19*($DN120&lt;&gt;$DO120) + $B$19*($DN120=$DO120))</f>
        <v>3.7037037037037035E-4</v>
      </c>
      <c r="EZ120" s="10" cm="1">
        <f t="array" aca="1" ref="EZ120" ca="1">(1-$B$18)*SUMPRODUCT(OFFSET($BO$15,0,0,$B$14,1), 1*(_xlfn._xlws.FILTER(OFFSET($O$15,0,$DN120,$B$8,1),OFFSET($M$15,0,0,$B$8,1))=EZ$13), 1*(_xlfn._xlws.FILTER(OFFSET($O$15,0,$DO120,$B$8,1),OFFSET($M$15,0,0,$B$8,1))=EZ$14))   /   SUM(OFFSET($BO$15,0,0,$B$14,1)) + $B$18/($B$19*$B$19*($DN120&lt;&gt;$DO120) + $B$19*($DN120=$DO120))</f>
        <v>3.7037037037037035E-4</v>
      </c>
      <c r="FA120" s="10" cm="1">
        <f t="array" aca="1" ref="FA120" ca="1">(1-$B$18)*SUMPRODUCT(OFFSET($BO$15,0,0,$B$14,1), 1*(_xlfn._xlws.FILTER(OFFSET($O$15,0,$DN120,$B$8,1),OFFSET($M$15,0,0,$B$8,1))=FA$13), 1*(_xlfn._xlws.FILTER(OFFSET($O$15,0,$DO120,$B$8,1),OFFSET($M$15,0,0,$B$8,1))=FA$14))   /   SUM(OFFSET($BO$15,0,0,$B$14,1)) + $B$18/($B$19*$B$19*($DN120&lt;&gt;$DO120) + $B$19*($DN120=$DO120))</f>
        <v>3.7037037037037035E-4</v>
      </c>
      <c r="FB120" s="10" cm="1">
        <f t="array" aca="1" ref="FB120" ca="1">(1-$B$18)*SUMPRODUCT(OFFSET($BO$15,0,0,$B$14,1), 1*(_xlfn._xlws.FILTER(OFFSET($O$15,0,$DN120,$B$8,1),OFFSET($M$15,0,0,$B$8,1))=FB$13), 1*(_xlfn._xlws.FILTER(OFFSET($O$15,0,$DO120,$B$8,1),OFFSET($M$15,0,0,$B$8,1))=FB$14))   /   SUM(OFFSET($BO$15,0,0,$B$14,1)) + $B$18/($B$19*$B$19*($DN120&lt;&gt;$DO120) + $B$19*($DN120=$DO120))</f>
        <v>3.7037037037037035E-4</v>
      </c>
      <c r="FC120" s="10" cm="1">
        <f t="array" aca="1" ref="FC120" ca="1">(1-$B$18)*SUMPRODUCT(OFFSET($BO$15,0,0,$B$14,1), 1*(_xlfn._xlws.FILTER(OFFSET($O$15,0,$DN120,$B$8,1),OFFSET($M$15,0,0,$B$8,1))=FC$13), 1*(_xlfn._xlws.FILTER(OFFSET($O$15,0,$DO120,$B$8,1),OFFSET($M$15,0,0,$B$8,1))=FC$14))   /   SUM(OFFSET($BO$15,0,0,$B$14,1)) + $B$18/($B$19*$B$19*($DN120&lt;&gt;$DO120) + $B$19*($DN120=$DO120))</f>
        <v>3.7037037037037035E-4</v>
      </c>
      <c r="FD120" s="10" cm="1">
        <f t="array" aca="1" ref="FD120" ca="1">(1-$B$18)*SUMPRODUCT(OFFSET($BO$15,0,0,$B$14,1), 1*(_xlfn._xlws.FILTER(OFFSET($O$15,0,$DN120,$B$8,1),OFFSET($M$15,0,0,$B$8,1))=FD$13), 1*(_xlfn._xlws.FILTER(OFFSET($O$15,0,$DO120,$B$8,1),OFFSET($M$15,0,0,$B$8,1))=FD$14))   /   SUM(OFFSET($BO$15,0,0,$B$14,1)) + $B$18/($B$19*$B$19*($DN120&lt;&gt;$DO120) + $B$19*($DN120=$DO120))</f>
        <v>3.7037037037037035E-4</v>
      </c>
      <c r="FE120" s="10" cm="1">
        <f t="array" aca="1" ref="FE120" ca="1">(1-$B$18)*SUMPRODUCT(OFFSET($BO$15,0,0,$B$14,1), 1*(_xlfn._xlws.FILTER(OFFSET($O$15,0,$DN120,$B$8,1),OFFSET($M$15,0,0,$B$8,1))=FE$13), 1*(_xlfn._xlws.FILTER(OFFSET($O$15,0,$DO120,$B$8,1),OFFSET($M$15,0,0,$B$8,1))=FE$14))   /   SUM(OFFSET($BO$15,0,0,$B$14,1)) + $B$18/($B$19*$B$19*($DN120&lt;&gt;$DO120) + $B$19*($DN120=$DO120))</f>
        <v>3.7037037037037035E-4</v>
      </c>
      <c r="FF120" s="10" cm="1">
        <f t="array" aca="1" ref="FF120" ca="1">(1-$B$18)*SUMPRODUCT(OFFSET($BO$15,0,0,$B$14,1), 1*(_xlfn._xlws.FILTER(OFFSET($O$15,0,$DN120,$B$8,1),OFFSET($M$15,0,0,$B$8,1))=FF$13), 1*(_xlfn._xlws.FILTER(OFFSET($O$15,0,$DO120,$B$8,1),OFFSET($M$15,0,0,$B$8,1))=FF$14))   /   SUM(OFFSET($BO$15,0,0,$B$14,1)) + $B$18/($B$19*$B$19*($DN120&lt;&gt;$DO120) + $B$19*($DN120=$DO120))</f>
        <v>3.7037037037037035E-4</v>
      </c>
      <c r="FG120" s="10" cm="1">
        <f t="array" aca="1" ref="FG120" ca="1">(1-$B$18)*SUMPRODUCT(OFFSET($BO$15,0,0,$B$14,1), 1*(_xlfn._xlws.FILTER(OFFSET($O$15,0,$DN120,$B$8,1),OFFSET($M$15,0,0,$B$8,1))=FG$13), 1*(_xlfn._xlws.FILTER(OFFSET($O$15,0,$DO120,$B$8,1),OFFSET($M$15,0,0,$B$8,1))=FG$14))   /   SUM(OFFSET($BO$15,0,0,$B$14,1)) + $B$18/($B$19*$B$19*($DN120&lt;&gt;$DO120) + $B$19*($DN120=$DO120))</f>
        <v>3.7037037037037035E-4</v>
      </c>
      <c r="FH120" s="10" cm="1">
        <f t="array" aca="1" ref="FH120" ca="1">(1-$B$18)*SUMPRODUCT(OFFSET($BO$15,0,0,$B$14,1), 1*(_xlfn._xlws.FILTER(OFFSET($O$15,0,$DN120,$B$8,1),OFFSET($M$15,0,0,$B$8,1))=FH$13), 1*(_xlfn._xlws.FILTER(OFFSET($O$15,0,$DO120,$B$8,1),OFFSET($M$15,0,0,$B$8,1))=FH$14))   /   SUM(OFFSET($BO$15,0,0,$B$14,1)) + $B$18/($B$19*$B$19*($DN120&lt;&gt;$DO120) + $B$19*($DN120=$DO120))</f>
        <v>3.7037037037037035E-4</v>
      </c>
      <c r="FI120" s="10" cm="1">
        <f t="array" aca="1" ref="FI120" ca="1">(1-$B$18)*SUMPRODUCT(OFFSET($BO$15,0,0,$B$14,1), 1*(_xlfn._xlws.FILTER(OFFSET($O$15,0,$DN120,$B$8,1),OFFSET($M$15,0,0,$B$8,1))=FI$13), 1*(_xlfn._xlws.FILTER(OFFSET($O$15,0,$DO120,$B$8,1),OFFSET($M$15,0,0,$B$8,1))=FI$14))   /   SUM(OFFSET($BO$15,0,0,$B$14,1)) + $B$18/($B$19*$B$19*($DN120&lt;&gt;$DO120) + $B$19*($DN120=$DO120))</f>
        <v>3.7037037037037035E-4</v>
      </c>
      <c r="FJ120" s="10" cm="1">
        <f t="array" aca="1" ref="FJ120" ca="1">(1-$B$18)*SUMPRODUCT(OFFSET($BO$15,0,0,$B$14,1), 1*(_xlfn._xlws.FILTER(OFFSET($O$15,0,$DN120,$B$8,1),OFFSET($M$15,0,0,$B$8,1))=FJ$13), 1*(_xlfn._xlws.FILTER(OFFSET($O$15,0,$DO120,$B$8,1),OFFSET($M$15,0,0,$B$8,1))=FJ$14))   /   SUM(OFFSET($BO$15,0,0,$B$14,1)) + $B$18/($B$19*$B$19*($DN120&lt;&gt;$DO120) + $B$19*($DN120=$DO120))</f>
        <v>3.7037037037037035E-4</v>
      </c>
      <c r="FK120" s="10" cm="1">
        <f t="array" aca="1" ref="FK120" ca="1">(1-$B$18)*SUMPRODUCT(OFFSET($BO$15,0,0,$B$14,1), 1*(_xlfn._xlws.FILTER(OFFSET($O$15,0,$DN120,$B$8,1),OFFSET($M$15,0,0,$B$8,1))=FK$13), 1*(_xlfn._xlws.FILTER(OFFSET($O$15,0,$DO120,$B$8,1),OFFSET($M$15,0,0,$B$8,1))=FK$14))   /   SUM(OFFSET($BO$15,0,0,$B$14,1)) + $B$18/($B$19*$B$19*($DN120&lt;&gt;$DO120) + $B$19*($DN120=$DO120))</f>
        <v>3.7037037037037035E-4</v>
      </c>
      <c r="FL120" s="10" cm="1">
        <f t="array" aca="1" ref="FL120" ca="1">(1-$B$18)*SUMPRODUCT(OFFSET($BO$15,0,0,$B$14,1), 1*(_xlfn._xlws.FILTER(OFFSET($O$15,0,$DN120,$B$8,1),OFFSET($M$15,0,0,$B$8,1))=FL$13), 1*(_xlfn._xlws.FILTER(OFFSET($O$15,0,$DO120,$B$8,1),OFFSET($M$15,0,0,$B$8,1))=FL$14))   /   SUM(OFFSET($BO$15,0,0,$B$14,1)) + $B$18/($B$19*$B$19*($DN120&lt;&gt;$DO120) + $B$19*($DN120=$DO120))</f>
        <v>0.48537037037037034</v>
      </c>
      <c r="FM120" s="10" cm="1">
        <f t="array" aca="1" ref="FM120" ca="1">(1-$B$18)*SUMPRODUCT(OFFSET($BO$15,0,0,$B$14,1), 1*(_xlfn._xlws.FILTER(OFFSET($O$15,0,$DN120,$B$8,1),OFFSET($M$15,0,0,$B$8,1))=FM$13), 1*(_xlfn._xlws.FILTER(OFFSET($O$15,0,$DO120,$B$8,1),OFFSET($M$15,0,0,$B$8,1))=FM$14))   /   SUM(OFFSET($BO$15,0,0,$B$14,1)) + $B$18/($B$19*$B$19*($DN120&lt;&gt;$DO120) + $B$19*($DN120=$DO120))</f>
        <v>3.7037037037037035E-4</v>
      </c>
      <c r="FN120" s="10" cm="1">
        <f t="array" aca="1" ref="FN120" ca="1">(1-$B$18)*SUMPRODUCT(OFFSET($BO$15,0,0,$B$14,1), 1*(_xlfn._xlws.FILTER(OFFSET($O$15,0,$DN120,$B$8,1),OFFSET($M$15,0,0,$B$8,1))=FN$13), 1*(_xlfn._xlws.FILTER(OFFSET($O$15,0,$DO120,$B$8,1),OFFSET($M$15,0,0,$B$8,1))=FN$14))   /   SUM(OFFSET($BO$15,0,0,$B$14,1)) + $B$18/($B$19*$B$19*($DN120&lt;&gt;$DO120) + $B$19*($DN120=$DO120))</f>
        <v>0.24287037037037026</v>
      </c>
      <c r="FO120" s="10" cm="1">
        <f t="array" aca="1" ref="FO120" ca="1">(1-$B$18)*SUMPRODUCT(OFFSET($BO$15,0,0,$B$14,1), 1*(_xlfn._xlws.FILTER(OFFSET($O$15,0,$DN120,$B$8,1),OFFSET($M$15,0,0,$B$8,1))=FO$13), 1*(_xlfn._xlws.FILTER(OFFSET($O$15,0,$DO120,$B$8,1),OFFSET($M$15,0,0,$B$8,1))=FO$14))   /   SUM(OFFSET($BO$15,0,0,$B$14,1)) + $B$18/($B$19*$B$19*($DN120&lt;&gt;$DO120) + $B$19*($DN120=$DO120))</f>
        <v>0.24287037037037026</v>
      </c>
      <c r="FP120" s="10" cm="1">
        <f t="array" aca="1" ref="FP120" ca="1">(1-$B$18)*SUMPRODUCT(OFFSET($BO$15,0,0,$B$14,1), 1*(_xlfn._xlws.FILTER(OFFSET($O$15,0,$DN120,$B$8,1),OFFSET($M$15,0,0,$B$8,1))=FP$13), 1*(_xlfn._xlws.FILTER(OFFSET($O$15,0,$DO120,$B$8,1),OFFSET($M$15,0,0,$B$8,1))=FP$14))   /   SUM(OFFSET($BO$15,0,0,$B$14,1)) + $B$18/($B$19*$B$19*($DN120&lt;&gt;$DO120) + $B$19*($DN120=$DO120))</f>
        <v>3.7037037037037035E-4</v>
      </c>
      <c r="FQ120" s="10" cm="1">
        <f t="array" aca="1" ref="FQ120" ca="1">(1-$B$18)*SUMPRODUCT(OFFSET($BO$15,0,0,$B$14,1), 1*(_xlfn._xlws.FILTER(OFFSET($O$15,0,$DN120,$B$8,1),OFFSET($M$15,0,0,$B$8,1))=FQ$13), 1*(_xlfn._xlws.FILTER(OFFSET($O$15,0,$DO120,$B$8,1),OFFSET($M$15,0,0,$B$8,1))=FQ$14))   /   SUM(OFFSET($BO$15,0,0,$B$14,1)) + $B$18/($B$19*$B$19*($DN120&lt;&gt;$DO120) + $B$19*($DN120=$DO120))</f>
        <v>3.7037037037037035E-4</v>
      </c>
      <c r="FR120" s="10" cm="1">
        <f t="array" aca="1" ref="FR120" ca="1">(1-$B$18)*SUMPRODUCT(OFFSET($BO$15,0,0,$B$14,1), 1*(_xlfn._xlws.FILTER(OFFSET($O$15,0,$DN120,$B$8,1),OFFSET($M$15,0,0,$B$8,1))=FR$13), 1*(_xlfn._xlws.FILTER(OFFSET($O$15,0,$DO120,$B$8,1),OFFSET($M$15,0,0,$B$8,1))=FR$14))   /   SUM(OFFSET($BO$15,0,0,$B$14,1)) + $B$18/($B$19*$B$19*($DN120&lt;&gt;$DO120) + $B$19*($DN120=$DO120))</f>
        <v>3.7037037037037035E-4</v>
      </c>
      <c r="FS120" s="10" cm="1">
        <f t="array" aca="1" ref="FS120" ca="1">(1-$B$18)*SUMPRODUCT(OFFSET($BO$15,0,0,$B$14,1), 1*(_xlfn._xlws.FILTER(OFFSET($O$15,0,$DN120,$B$8,1),OFFSET($M$15,0,0,$B$8,1))=FS$13), 1*(_xlfn._xlws.FILTER(OFFSET($O$15,0,$DO120,$B$8,1),OFFSET($M$15,0,0,$B$8,1))=FS$14))   /   SUM(OFFSET($BO$15,0,0,$B$14,1)) + $B$18/($B$19*$B$19*($DN120&lt;&gt;$DO120) + $B$19*($DN120=$DO120))</f>
        <v>3.7037037037037035E-4</v>
      </c>
      <c r="FT120" s="10" cm="1">
        <f t="array" aca="1" ref="FT120" ca="1">(1-$B$18)*SUMPRODUCT(OFFSET($BO$15,0,0,$B$14,1), 1*(_xlfn._xlws.FILTER(OFFSET($O$15,0,$DN120,$B$8,1),OFFSET($M$15,0,0,$B$8,1))=FT$13), 1*(_xlfn._xlws.FILTER(OFFSET($O$15,0,$DO120,$B$8,1),OFFSET($M$15,0,0,$B$8,1))=FT$14))   /   SUM(OFFSET($BO$15,0,0,$B$14,1)) + $B$18/($B$19*$B$19*($DN120&lt;&gt;$DO120) + $B$19*($DN120=$DO120))</f>
        <v>3.7037037037037035E-4</v>
      </c>
      <c r="FU120" s="10" cm="1">
        <f t="array" aca="1" ref="FU120" ca="1">(1-$B$18)*SUMPRODUCT(OFFSET($BO$15,0,0,$B$14,1), 1*(_xlfn._xlws.FILTER(OFFSET($O$15,0,$DN120,$B$8,1),OFFSET($M$15,0,0,$B$8,1))=FU$13), 1*(_xlfn._xlws.FILTER(OFFSET($O$15,0,$DO120,$B$8,1),OFFSET($M$15,0,0,$B$8,1))=FU$14))   /   SUM(OFFSET($BO$15,0,0,$B$14,1)) + $B$18/($B$19*$B$19*($DN120&lt;&gt;$DO120) + $B$19*($DN120=$DO120))</f>
        <v>3.7037037037037035E-4</v>
      </c>
      <c r="FV120" s="10" cm="1">
        <f t="array" aca="1" ref="FV120" ca="1">(1-$B$18)*SUMPRODUCT(OFFSET($BO$15,0,0,$B$14,1), 1*(_xlfn._xlws.FILTER(OFFSET($O$15,0,$DN120,$B$8,1),OFFSET($M$15,0,0,$B$8,1))=FV$13), 1*(_xlfn._xlws.FILTER(OFFSET($O$15,0,$DO120,$B$8,1),OFFSET($M$15,0,0,$B$8,1))=FV$14))   /   SUM(OFFSET($BO$15,0,0,$B$14,1)) + $B$18/($B$19*$B$19*($DN120&lt;&gt;$DO120) + $B$19*($DN120=$DO120))</f>
        <v>3.7037037037037035E-4</v>
      </c>
      <c r="FW120" s="10" cm="1">
        <f t="array" aca="1" ref="FW120" ca="1">(1-$B$18)*SUMPRODUCT(OFFSET($BO$15,0,0,$B$14,1), 1*(_xlfn._xlws.FILTER(OFFSET($O$15,0,$DN120,$B$8,1),OFFSET($M$15,0,0,$B$8,1))=FW$13), 1*(_xlfn._xlws.FILTER(OFFSET($O$15,0,$DO120,$B$8,1),OFFSET($M$15,0,0,$B$8,1))=FW$14))   /   SUM(OFFSET($BO$15,0,0,$B$14,1)) + $B$18/($B$19*$B$19*($DN120&lt;&gt;$DO120) + $B$19*($DN120=$DO120))</f>
        <v>3.7037037037037035E-4</v>
      </c>
      <c r="FX120" s="10" cm="1">
        <f t="array" aca="1" ref="FX120" ca="1">(1-$B$18)*SUMPRODUCT(OFFSET($BO$15,0,0,$B$14,1), 1*(_xlfn._xlws.FILTER(OFFSET($O$15,0,$DN120,$B$8,1),OFFSET($M$15,0,0,$B$8,1))=FX$13), 1*(_xlfn._xlws.FILTER(OFFSET($O$15,0,$DO120,$B$8,1),OFFSET($M$15,0,0,$B$8,1))=FX$14))   /   SUM(OFFSET($BO$15,0,0,$B$14,1)) + $B$18/($B$19*$B$19*($DN120&lt;&gt;$DO120) + $B$19*($DN120=$DO120))</f>
        <v>3.7037037037037035E-4</v>
      </c>
      <c r="FY120" s="10" cm="1">
        <f t="array" aca="1" ref="FY120" ca="1">(1-$B$18)*SUMPRODUCT(OFFSET($BO$15,0,0,$B$14,1), 1*(_xlfn._xlws.FILTER(OFFSET($O$15,0,$DN120,$B$8,1),OFFSET($M$15,0,0,$B$8,1))=FY$13), 1*(_xlfn._xlws.FILTER(OFFSET($O$15,0,$DO120,$B$8,1),OFFSET($M$15,0,0,$B$8,1))=FY$14))   /   SUM(OFFSET($BO$15,0,0,$B$14,1)) + $B$18/($B$19*$B$19*($DN120&lt;&gt;$DO120) + $B$19*($DN120=$DO120))</f>
        <v>3.7037037037037035E-4</v>
      </c>
      <c r="FZ120" s="10" cm="1">
        <f t="array" aca="1" ref="FZ120" ca="1">(1-$B$18)*SUMPRODUCT(OFFSET($BO$15,0,0,$B$14,1), 1*(_xlfn._xlws.FILTER(OFFSET($O$15,0,$DN120,$B$8,1),OFFSET($M$15,0,0,$B$8,1))=FZ$13), 1*(_xlfn._xlws.FILTER(OFFSET($O$15,0,$DO120,$B$8,1),OFFSET($M$15,0,0,$B$8,1))=FZ$14))   /   SUM(OFFSET($BO$15,0,0,$B$14,1)) + $B$18/($B$19*$B$19*($DN120&lt;&gt;$DO120) + $B$19*($DN120=$DO120))</f>
        <v>3.7037037037037035E-4</v>
      </c>
      <c r="GA120" s="10" cm="1">
        <f t="array" aca="1" ref="GA120" ca="1">(1-$B$18)*SUMPRODUCT(OFFSET($BO$15,0,0,$B$14,1), 1*(_xlfn._xlws.FILTER(OFFSET($O$15,0,$DN120,$B$8,1),OFFSET($M$15,0,0,$B$8,1))=GA$13), 1*(_xlfn._xlws.FILTER(OFFSET($O$15,0,$DO120,$B$8,1),OFFSET($M$15,0,0,$B$8,1))=GA$14))   /   SUM(OFFSET($BO$15,0,0,$B$14,1)) + $B$18/($B$19*$B$19*($DN120&lt;&gt;$DO120) + $B$19*($DN120=$DO120))</f>
        <v>3.7037037037037035E-4</v>
      </c>
    </row>
    <row r="121" spans="7:183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  <c r="DN121" cm="1">
        <f t="array" aca="1" ref="DN121" ca="1">INDEX(_xlfn.ANCHORARRAY($CP$15), 1 + INT((ROWS($DO$15:$DO121) - 1) / ROWS(_xlfn.ANCHORARRAY($CP$15))))</f>
        <v>5</v>
      </c>
      <c r="DO121" cm="1">
        <f t="array" aca="1" ref="DO121" ca="1">INDEX(_xlfn.ANCHORARRAY($CP$15),1+MOD(ROWS($DO$15:$DO121)-1,ROWS(_xlfn.ANCHORARRAY($CP$15))))</f>
        <v>12</v>
      </c>
      <c r="DP121" s="10" cm="1">
        <f t="array" aca="1" ref="DP121" ca="1">(1-$B$18)*SUMPRODUCT(OFFSET($BO$15,0,0,$B$14,1), 1*(_xlfn._xlws.FILTER(OFFSET($O$15,0,$DN121,$B$8,1),OFFSET($M$15,0,0,$B$8,1))=DP$13), 1*(_xlfn._xlws.FILTER(OFFSET($O$15,0,$DO121,$B$8,1),OFFSET($M$15,0,0,$B$8,1))=DP$14))   /   SUM(OFFSET($BO$15,0,0,$B$14,1)) + $B$18/($B$19*$B$19*($DN121&lt;&gt;$DO121) + $B$19*($DN121=$DO121))</f>
        <v>3.7037037037037035E-4</v>
      </c>
      <c r="DQ121" s="10" cm="1">
        <f t="array" aca="1" ref="DQ121" ca="1">(1-$B$18)*SUMPRODUCT(OFFSET($BO$15,0,0,$B$14,1), 1*(_xlfn._xlws.FILTER(OFFSET($O$15,0,$DN121,$B$8,1),OFFSET($M$15,0,0,$B$8,1))=DQ$13), 1*(_xlfn._xlws.FILTER(OFFSET($O$15,0,$DO121,$B$8,1),OFFSET($M$15,0,0,$B$8,1))=DQ$14))   /   SUM(OFFSET($BO$15,0,0,$B$14,1)) + $B$18/($B$19*$B$19*($DN121&lt;&gt;$DO121) + $B$19*($DN121=$DO121))</f>
        <v>3.7037037037037035E-4</v>
      </c>
      <c r="DR121" s="10" cm="1">
        <f t="array" aca="1" ref="DR121" ca="1">(1-$B$18)*SUMPRODUCT(OFFSET($BO$15,0,0,$B$14,1), 1*(_xlfn._xlws.FILTER(OFFSET($O$15,0,$DN121,$B$8,1),OFFSET($M$15,0,0,$B$8,1))=DR$13), 1*(_xlfn._xlws.FILTER(OFFSET($O$15,0,$DO121,$B$8,1),OFFSET($M$15,0,0,$B$8,1))=DR$14))   /   SUM(OFFSET($BO$15,0,0,$B$14,1)) + $B$18/($B$19*$B$19*($DN121&lt;&gt;$DO121) + $B$19*($DN121=$DO121))</f>
        <v>3.7037037037037035E-4</v>
      </c>
      <c r="DS121" s="10" cm="1">
        <f t="array" aca="1" ref="DS121" ca="1">(1-$B$18)*SUMPRODUCT(OFFSET($BO$15,0,0,$B$14,1), 1*(_xlfn._xlws.FILTER(OFFSET($O$15,0,$DN121,$B$8,1),OFFSET($M$15,0,0,$B$8,1))=DS$13), 1*(_xlfn._xlws.FILTER(OFFSET($O$15,0,$DO121,$B$8,1),OFFSET($M$15,0,0,$B$8,1))=DS$14))   /   SUM(OFFSET($BO$15,0,0,$B$14,1)) + $B$18/($B$19*$B$19*($DN121&lt;&gt;$DO121) + $B$19*($DN121=$DO121))</f>
        <v>3.7037037037037035E-4</v>
      </c>
      <c r="DT121" s="10" cm="1">
        <f t="array" aca="1" ref="DT121" ca="1">(1-$B$18)*SUMPRODUCT(OFFSET($BO$15,0,0,$B$14,1), 1*(_xlfn._xlws.FILTER(OFFSET($O$15,0,$DN121,$B$8,1),OFFSET($M$15,0,0,$B$8,1))=DT$13), 1*(_xlfn._xlws.FILTER(OFFSET($O$15,0,$DO121,$B$8,1),OFFSET($M$15,0,0,$B$8,1))=DT$14))   /   SUM(OFFSET($BO$15,0,0,$B$14,1)) + $B$18/($B$19*$B$19*($DN121&lt;&gt;$DO121) + $B$19*($DN121=$DO121))</f>
        <v>3.7037037037037035E-4</v>
      </c>
      <c r="DU121" s="10" cm="1">
        <f t="array" aca="1" ref="DU121" ca="1">(1-$B$18)*SUMPRODUCT(OFFSET($BO$15,0,0,$B$14,1), 1*(_xlfn._xlws.FILTER(OFFSET($O$15,0,$DN121,$B$8,1),OFFSET($M$15,0,0,$B$8,1))=DU$13), 1*(_xlfn._xlws.FILTER(OFFSET($O$15,0,$DO121,$B$8,1),OFFSET($M$15,0,0,$B$8,1))=DU$14))   /   SUM(OFFSET($BO$15,0,0,$B$14,1)) + $B$18/($B$19*$B$19*($DN121&lt;&gt;$DO121) + $B$19*($DN121=$DO121))</f>
        <v>3.7037037037037035E-4</v>
      </c>
      <c r="DV121" s="10" cm="1">
        <f t="array" aca="1" ref="DV121" ca="1">(1-$B$18)*SUMPRODUCT(OFFSET($BO$15,0,0,$B$14,1), 1*(_xlfn._xlws.FILTER(OFFSET($O$15,0,$DN121,$B$8,1),OFFSET($M$15,0,0,$B$8,1))=DV$13), 1*(_xlfn._xlws.FILTER(OFFSET($O$15,0,$DO121,$B$8,1),OFFSET($M$15,0,0,$B$8,1))=DV$14))   /   SUM(OFFSET($BO$15,0,0,$B$14,1)) + $B$18/($B$19*$B$19*($DN121&lt;&gt;$DO121) + $B$19*($DN121=$DO121))</f>
        <v>3.7037037037037035E-4</v>
      </c>
      <c r="DW121" s="10" cm="1">
        <f t="array" aca="1" ref="DW121" ca="1">(1-$B$18)*SUMPRODUCT(OFFSET($BO$15,0,0,$B$14,1), 1*(_xlfn._xlws.FILTER(OFFSET($O$15,0,$DN121,$B$8,1),OFFSET($M$15,0,0,$B$8,1))=DW$13), 1*(_xlfn._xlws.FILTER(OFFSET($O$15,0,$DO121,$B$8,1),OFFSET($M$15,0,0,$B$8,1))=DW$14))   /   SUM(OFFSET($BO$15,0,0,$B$14,1)) + $B$18/($B$19*$B$19*($DN121&lt;&gt;$DO121) + $B$19*($DN121=$DO121))</f>
        <v>3.7037037037037035E-4</v>
      </c>
      <c r="DX121" s="10" cm="1">
        <f t="array" aca="1" ref="DX121" ca="1">(1-$B$18)*SUMPRODUCT(OFFSET($BO$15,0,0,$B$14,1), 1*(_xlfn._xlws.FILTER(OFFSET($O$15,0,$DN121,$B$8,1),OFFSET($M$15,0,0,$B$8,1))=DX$13), 1*(_xlfn._xlws.FILTER(OFFSET($O$15,0,$DO121,$B$8,1),OFFSET($M$15,0,0,$B$8,1))=DX$14))   /   SUM(OFFSET($BO$15,0,0,$B$14,1)) + $B$18/($B$19*$B$19*($DN121&lt;&gt;$DO121) + $B$19*($DN121=$DO121))</f>
        <v>3.7037037037037035E-4</v>
      </c>
      <c r="DY121" s="10" cm="1">
        <f t="array" aca="1" ref="DY121" ca="1">(1-$B$18)*SUMPRODUCT(OFFSET($BO$15,0,0,$B$14,1), 1*(_xlfn._xlws.FILTER(OFFSET($O$15,0,$DN121,$B$8,1),OFFSET($M$15,0,0,$B$8,1))=DY$13), 1*(_xlfn._xlws.FILTER(OFFSET($O$15,0,$DO121,$B$8,1),OFFSET($M$15,0,0,$B$8,1))=DY$14))   /   SUM(OFFSET($BO$15,0,0,$B$14,1)) + $B$18/($B$19*$B$19*($DN121&lt;&gt;$DO121) + $B$19*($DN121=$DO121))</f>
        <v>3.7037037037037035E-4</v>
      </c>
      <c r="DZ121" s="10" cm="1">
        <f t="array" aca="1" ref="DZ121" ca="1">(1-$B$18)*SUMPRODUCT(OFFSET($BO$15,0,0,$B$14,1), 1*(_xlfn._xlws.FILTER(OFFSET($O$15,0,$DN121,$B$8,1),OFFSET($M$15,0,0,$B$8,1))=DZ$13), 1*(_xlfn._xlws.FILTER(OFFSET($O$15,0,$DO121,$B$8,1),OFFSET($M$15,0,0,$B$8,1))=DZ$14))   /   SUM(OFFSET($BO$15,0,0,$B$14,1)) + $B$18/($B$19*$B$19*($DN121&lt;&gt;$DO121) + $B$19*($DN121=$DO121))</f>
        <v>3.7037037037037035E-4</v>
      </c>
      <c r="EA121" s="10" cm="1">
        <f t="array" aca="1" ref="EA121" ca="1">(1-$B$18)*SUMPRODUCT(OFFSET($BO$15,0,0,$B$14,1), 1*(_xlfn._xlws.FILTER(OFFSET($O$15,0,$DN121,$B$8,1),OFFSET($M$15,0,0,$B$8,1))=EA$13), 1*(_xlfn._xlws.FILTER(OFFSET($O$15,0,$DO121,$B$8,1),OFFSET($M$15,0,0,$B$8,1))=EA$14))   /   SUM(OFFSET($BO$15,0,0,$B$14,1)) + $B$18/($B$19*$B$19*($DN121&lt;&gt;$DO121) + $B$19*($DN121=$DO121))</f>
        <v>3.7037037037037035E-4</v>
      </c>
      <c r="EB121" s="10" cm="1">
        <f t="array" aca="1" ref="EB121" ca="1">(1-$B$18)*SUMPRODUCT(OFFSET($BO$15,0,0,$B$14,1), 1*(_xlfn._xlws.FILTER(OFFSET($O$15,0,$DN121,$B$8,1),OFFSET($M$15,0,0,$B$8,1))=EB$13), 1*(_xlfn._xlws.FILTER(OFFSET($O$15,0,$DO121,$B$8,1),OFFSET($M$15,0,0,$B$8,1))=EB$14))   /   SUM(OFFSET($BO$15,0,0,$B$14,1)) + $B$18/($B$19*$B$19*($DN121&lt;&gt;$DO121) + $B$19*($DN121=$DO121))</f>
        <v>3.7037037037037035E-4</v>
      </c>
      <c r="EC121" s="10" cm="1">
        <f t="array" aca="1" ref="EC121" ca="1">(1-$B$18)*SUMPRODUCT(OFFSET($BO$15,0,0,$B$14,1), 1*(_xlfn._xlws.FILTER(OFFSET($O$15,0,$DN121,$B$8,1),OFFSET($M$15,0,0,$B$8,1))=EC$13), 1*(_xlfn._xlws.FILTER(OFFSET($O$15,0,$DO121,$B$8,1),OFFSET($M$15,0,0,$B$8,1))=EC$14))   /   SUM(OFFSET($BO$15,0,0,$B$14,1)) + $B$18/($B$19*$B$19*($DN121&lt;&gt;$DO121) + $B$19*($DN121=$DO121))</f>
        <v>3.7037037037037035E-4</v>
      </c>
      <c r="ED121" s="10" cm="1">
        <f t="array" aca="1" ref="ED121" ca="1">(1-$B$18)*SUMPRODUCT(OFFSET($BO$15,0,0,$B$14,1), 1*(_xlfn._xlws.FILTER(OFFSET($O$15,0,$DN121,$B$8,1),OFFSET($M$15,0,0,$B$8,1))=ED$13), 1*(_xlfn._xlws.FILTER(OFFSET($O$15,0,$DO121,$B$8,1),OFFSET($M$15,0,0,$B$8,1))=ED$14))   /   SUM(OFFSET($BO$15,0,0,$B$14,1)) + $B$18/($B$19*$B$19*($DN121&lt;&gt;$DO121) + $B$19*($DN121=$DO121))</f>
        <v>3.7037037037037035E-4</v>
      </c>
      <c r="EE121" s="10" cm="1">
        <f t="array" aca="1" ref="EE121" ca="1">(1-$B$18)*SUMPRODUCT(OFFSET($BO$15,0,0,$B$14,1), 1*(_xlfn._xlws.FILTER(OFFSET($O$15,0,$DN121,$B$8,1),OFFSET($M$15,0,0,$B$8,1))=EE$13), 1*(_xlfn._xlws.FILTER(OFFSET($O$15,0,$DO121,$B$8,1),OFFSET($M$15,0,0,$B$8,1))=EE$14))   /   SUM(OFFSET($BO$15,0,0,$B$14,1)) + $B$18/($B$19*$B$19*($DN121&lt;&gt;$DO121) + $B$19*($DN121=$DO121))</f>
        <v>3.7037037037037035E-4</v>
      </c>
      <c r="EF121" s="10" cm="1">
        <f t="array" aca="1" ref="EF121" ca="1">(1-$B$18)*SUMPRODUCT(OFFSET($BO$15,0,0,$B$14,1), 1*(_xlfn._xlws.FILTER(OFFSET($O$15,0,$DN121,$B$8,1),OFFSET($M$15,0,0,$B$8,1))=EF$13), 1*(_xlfn._xlws.FILTER(OFFSET($O$15,0,$DO121,$B$8,1),OFFSET($M$15,0,0,$B$8,1))=EF$14))   /   SUM(OFFSET($BO$15,0,0,$B$14,1)) + $B$18/($B$19*$B$19*($DN121&lt;&gt;$DO121) + $B$19*($DN121=$DO121))</f>
        <v>3.7037037037037035E-4</v>
      </c>
      <c r="EG121" s="10" cm="1">
        <f t="array" aca="1" ref="EG121" ca="1">(1-$B$18)*SUMPRODUCT(OFFSET($BO$15,0,0,$B$14,1), 1*(_xlfn._xlws.FILTER(OFFSET($O$15,0,$DN121,$B$8,1),OFFSET($M$15,0,0,$B$8,1))=EG$13), 1*(_xlfn._xlws.FILTER(OFFSET($O$15,0,$DO121,$B$8,1),OFFSET($M$15,0,0,$B$8,1))=EG$14))   /   SUM(OFFSET($BO$15,0,0,$B$14,1)) + $B$18/($B$19*$B$19*($DN121&lt;&gt;$DO121) + $B$19*($DN121=$DO121))</f>
        <v>3.7037037037037035E-4</v>
      </c>
      <c r="EH121" s="10" cm="1">
        <f t="array" aca="1" ref="EH121" ca="1">(1-$B$18)*SUMPRODUCT(OFFSET($BO$15,0,0,$B$14,1), 1*(_xlfn._xlws.FILTER(OFFSET($O$15,0,$DN121,$B$8,1),OFFSET($M$15,0,0,$B$8,1))=EH$13), 1*(_xlfn._xlws.FILTER(OFFSET($O$15,0,$DO121,$B$8,1),OFFSET($M$15,0,0,$B$8,1))=EH$14))   /   SUM(OFFSET($BO$15,0,0,$B$14,1)) + $B$18/($B$19*$B$19*($DN121&lt;&gt;$DO121) + $B$19*($DN121=$DO121))</f>
        <v>3.7037037037037035E-4</v>
      </c>
      <c r="EI121" s="10" cm="1">
        <f t="array" aca="1" ref="EI121" ca="1">(1-$B$18)*SUMPRODUCT(OFFSET($BO$15,0,0,$B$14,1), 1*(_xlfn._xlws.FILTER(OFFSET($O$15,0,$DN121,$B$8,1),OFFSET($M$15,0,0,$B$8,1))=EI$13), 1*(_xlfn._xlws.FILTER(OFFSET($O$15,0,$DO121,$B$8,1),OFFSET($M$15,0,0,$B$8,1))=EI$14))   /   SUM(OFFSET($BO$15,0,0,$B$14,1)) + $B$18/($B$19*$B$19*($DN121&lt;&gt;$DO121) + $B$19*($DN121=$DO121))</f>
        <v>3.7037037037037035E-4</v>
      </c>
      <c r="EJ121" s="10" cm="1">
        <f t="array" aca="1" ref="EJ121" ca="1">(1-$B$18)*SUMPRODUCT(OFFSET($BO$15,0,0,$B$14,1), 1*(_xlfn._xlws.FILTER(OFFSET($O$15,0,$DN121,$B$8,1),OFFSET($M$15,0,0,$B$8,1))=EJ$13), 1*(_xlfn._xlws.FILTER(OFFSET($O$15,0,$DO121,$B$8,1),OFFSET($M$15,0,0,$B$8,1))=EJ$14))   /   SUM(OFFSET($BO$15,0,0,$B$14,1)) + $B$18/($B$19*$B$19*($DN121&lt;&gt;$DO121) + $B$19*($DN121=$DO121))</f>
        <v>3.7037037037037035E-4</v>
      </c>
      <c r="EK121" s="10" cm="1">
        <f t="array" aca="1" ref="EK121" ca="1">(1-$B$18)*SUMPRODUCT(OFFSET($BO$15,0,0,$B$14,1), 1*(_xlfn._xlws.FILTER(OFFSET($O$15,0,$DN121,$B$8,1),OFFSET($M$15,0,0,$B$8,1))=EK$13), 1*(_xlfn._xlws.FILTER(OFFSET($O$15,0,$DO121,$B$8,1),OFFSET($M$15,0,0,$B$8,1))=EK$14))   /   SUM(OFFSET($BO$15,0,0,$B$14,1)) + $B$18/($B$19*$B$19*($DN121&lt;&gt;$DO121) + $B$19*($DN121=$DO121))</f>
        <v>3.7037037037037035E-4</v>
      </c>
      <c r="EL121" s="10" cm="1">
        <f t="array" aca="1" ref="EL121" ca="1">(1-$B$18)*SUMPRODUCT(OFFSET($BO$15,0,0,$B$14,1), 1*(_xlfn._xlws.FILTER(OFFSET($O$15,0,$DN121,$B$8,1),OFFSET($M$15,0,0,$B$8,1))=EL$13), 1*(_xlfn._xlws.FILTER(OFFSET($O$15,0,$DO121,$B$8,1),OFFSET($M$15,0,0,$B$8,1))=EL$14))   /   SUM(OFFSET($BO$15,0,0,$B$14,1)) + $B$18/($B$19*$B$19*($DN121&lt;&gt;$DO121) + $B$19*($DN121=$DO121))</f>
        <v>3.7037037037037035E-4</v>
      </c>
      <c r="EM121" s="10" cm="1">
        <f t="array" aca="1" ref="EM121" ca="1">(1-$B$18)*SUMPRODUCT(OFFSET($BO$15,0,0,$B$14,1), 1*(_xlfn._xlws.FILTER(OFFSET($O$15,0,$DN121,$B$8,1),OFFSET($M$15,0,0,$B$8,1))=EM$13), 1*(_xlfn._xlws.FILTER(OFFSET($O$15,0,$DO121,$B$8,1),OFFSET($M$15,0,0,$B$8,1))=EM$14))   /   SUM(OFFSET($BO$15,0,0,$B$14,1)) + $B$18/($B$19*$B$19*($DN121&lt;&gt;$DO121) + $B$19*($DN121=$DO121))</f>
        <v>3.7037037037037035E-4</v>
      </c>
      <c r="EN121" s="10" cm="1">
        <f t="array" aca="1" ref="EN121" ca="1">(1-$B$18)*SUMPRODUCT(OFFSET($BO$15,0,0,$B$14,1), 1*(_xlfn._xlws.FILTER(OFFSET($O$15,0,$DN121,$B$8,1),OFFSET($M$15,0,0,$B$8,1))=EN$13), 1*(_xlfn._xlws.FILTER(OFFSET($O$15,0,$DO121,$B$8,1),OFFSET($M$15,0,0,$B$8,1))=EN$14))   /   SUM(OFFSET($BO$15,0,0,$B$14,1)) + $B$18/($B$19*$B$19*($DN121&lt;&gt;$DO121) + $B$19*($DN121=$DO121))</f>
        <v>3.7037037037037035E-4</v>
      </c>
      <c r="EO121" s="10" cm="1">
        <f t="array" aca="1" ref="EO121" ca="1">(1-$B$18)*SUMPRODUCT(OFFSET($BO$15,0,0,$B$14,1), 1*(_xlfn._xlws.FILTER(OFFSET($O$15,0,$DN121,$B$8,1),OFFSET($M$15,0,0,$B$8,1))=EO$13), 1*(_xlfn._xlws.FILTER(OFFSET($O$15,0,$DO121,$B$8,1),OFFSET($M$15,0,0,$B$8,1))=EO$14))   /   SUM(OFFSET($BO$15,0,0,$B$14,1)) + $B$18/($B$19*$B$19*($DN121&lt;&gt;$DO121) + $B$19*($DN121=$DO121))</f>
        <v>3.7037037037037035E-4</v>
      </c>
      <c r="EP121" s="10" cm="1">
        <f t="array" aca="1" ref="EP121" ca="1">(1-$B$18)*SUMPRODUCT(OFFSET($BO$15,0,0,$B$14,1), 1*(_xlfn._xlws.FILTER(OFFSET($O$15,0,$DN121,$B$8,1),OFFSET($M$15,0,0,$B$8,1))=EP$13), 1*(_xlfn._xlws.FILTER(OFFSET($O$15,0,$DO121,$B$8,1),OFFSET($M$15,0,0,$B$8,1))=EP$14))   /   SUM(OFFSET($BO$15,0,0,$B$14,1)) + $B$18/($B$19*$B$19*($DN121&lt;&gt;$DO121) + $B$19*($DN121=$DO121))</f>
        <v>3.7037037037037035E-4</v>
      </c>
      <c r="EQ121" s="10" cm="1">
        <f t="array" aca="1" ref="EQ121" ca="1">(1-$B$18)*SUMPRODUCT(OFFSET($BO$15,0,0,$B$14,1), 1*(_xlfn._xlws.FILTER(OFFSET($O$15,0,$DN121,$B$8,1),OFFSET($M$15,0,0,$B$8,1))=EQ$13), 1*(_xlfn._xlws.FILTER(OFFSET($O$15,0,$DO121,$B$8,1),OFFSET($M$15,0,0,$B$8,1))=EQ$14))   /   SUM(OFFSET($BO$15,0,0,$B$14,1)) + $B$18/($B$19*$B$19*($DN121&lt;&gt;$DO121) + $B$19*($DN121=$DO121))</f>
        <v>3.7037037037037035E-4</v>
      </c>
      <c r="ER121" s="10" cm="1">
        <f t="array" aca="1" ref="ER121" ca="1">(1-$B$18)*SUMPRODUCT(OFFSET($BO$15,0,0,$B$14,1), 1*(_xlfn._xlws.FILTER(OFFSET($O$15,0,$DN121,$B$8,1),OFFSET($M$15,0,0,$B$8,1))=ER$13), 1*(_xlfn._xlws.FILTER(OFFSET($O$15,0,$DO121,$B$8,1),OFFSET($M$15,0,0,$B$8,1))=ER$14))   /   SUM(OFFSET($BO$15,0,0,$B$14,1)) + $B$18/($B$19*$B$19*($DN121&lt;&gt;$DO121) + $B$19*($DN121=$DO121))</f>
        <v>3.7037037037037035E-4</v>
      </c>
      <c r="ES121" s="10" cm="1">
        <f t="array" aca="1" ref="ES121" ca="1">(1-$B$18)*SUMPRODUCT(OFFSET($BO$15,0,0,$B$14,1), 1*(_xlfn._xlws.FILTER(OFFSET($O$15,0,$DN121,$B$8,1),OFFSET($M$15,0,0,$B$8,1))=ES$13), 1*(_xlfn._xlws.FILTER(OFFSET($O$15,0,$DO121,$B$8,1),OFFSET($M$15,0,0,$B$8,1))=ES$14))   /   SUM(OFFSET($BO$15,0,0,$B$14,1)) + $B$18/($B$19*$B$19*($DN121&lt;&gt;$DO121) + $B$19*($DN121=$DO121))</f>
        <v>3.7037037037037035E-4</v>
      </c>
      <c r="ET121" s="10" cm="1">
        <f t="array" aca="1" ref="ET121" ca="1">(1-$B$18)*SUMPRODUCT(OFFSET($BO$15,0,0,$B$14,1), 1*(_xlfn._xlws.FILTER(OFFSET($O$15,0,$DN121,$B$8,1),OFFSET($M$15,0,0,$B$8,1))=ET$13), 1*(_xlfn._xlws.FILTER(OFFSET($O$15,0,$DO121,$B$8,1),OFFSET($M$15,0,0,$B$8,1))=ET$14))   /   SUM(OFFSET($BO$15,0,0,$B$14,1)) + $B$18/($B$19*$B$19*($DN121&lt;&gt;$DO121) + $B$19*($DN121=$DO121))</f>
        <v>3.7037037037037035E-4</v>
      </c>
      <c r="EU121" s="10" cm="1">
        <f t="array" aca="1" ref="EU121" ca="1">(1-$B$18)*SUMPRODUCT(OFFSET($BO$15,0,0,$B$14,1), 1*(_xlfn._xlws.FILTER(OFFSET($O$15,0,$DN121,$B$8,1),OFFSET($M$15,0,0,$B$8,1))=EU$13), 1*(_xlfn._xlws.FILTER(OFFSET($O$15,0,$DO121,$B$8,1),OFFSET($M$15,0,0,$B$8,1))=EU$14))   /   SUM(OFFSET($BO$15,0,0,$B$14,1)) + $B$18/($B$19*$B$19*($DN121&lt;&gt;$DO121) + $B$19*($DN121=$DO121))</f>
        <v>3.7037037037037035E-4</v>
      </c>
      <c r="EV121" s="10" cm="1">
        <f t="array" aca="1" ref="EV121" ca="1">(1-$B$18)*SUMPRODUCT(OFFSET($BO$15,0,0,$B$14,1), 1*(_xlfn._xlws.FILTER(OFFSET($O$15,0,$DN121,$B$8,1),OFFSET($M$15,0,0,$B$8,1))=EV$13), 1*(_xlfn._xlws.FILTER(OFFSET($O$15,0,$DO121,$B$8,1),OFFSET($M$15,0,0,$B$8,1))=EV$14))   /   SUM(OFFSET($BO$15,0,0,$B$14,1)) + $B$18/($B$19*$B$19*($DN121&lt;&gt;$DO121) + $B$19*($DN121=$DO121))</f>
        <v>3.7037037037037035E-4</v>
      </c>
      <c r="EW121" s="10" cm="1">
        <f t="array" aca="1" ref="EW121" ca="1">(1-$B$18)*SUMPRODUCT(OFFSET($BO$15,0,0,$B$14,1), 1*(_xlfn._xlws.FILTER(OFFSET($O$15,0,$DN121,$B$8,1),OFFSET($M$15,0,0,$B$8,1))=EW$13), 1*(_xlfn._xlws.FILTER(OFFSET($O$15,0,$DO121,$B$8,1),OFFSET($M$15,0,0,$B$8,1))=EW$14))   /   SUM(OFFSET($BO$15,0,0,$B$14,1)) + $B$18/($B$19*$B$19*($DN121&lt;&gt;$DO121) + $B$19*($DN121=$DO121))</f>
        <v>3.7037037037037035E-4</v>
      </c>
      <c r="EX121" s="10" cm="1">
        <f t="array" aca="1" ref="EX121" ca="1">(1-$B$18)*SUMPRODUCT(OFFSET($BO$15,0,0,$B$14,1), 1*(_xlfn._xlws.FILTER(OFFSET($O$15,0,$DN121,$B$8,1),OFFSET($M$15,0,0,$B$8,1))=EX$13), 1*(_xlfn._xlws.FILTER(OFFSET($O$15,0,$DO121,$B$8,1),OFFSET($M$15,0,0,$B$8,1))=EX$14))   /   SUM(OFFSET($BO$15,0,0,$B$14,1)) + $B$18/($B$19*$B$19*($DN121&lt;&gt;$DO121) + $B$19*($DN121=$DO121))</f>
        <v>3.7037037037037035E-4</v>
      </c>
      <c r="EY121" s="10" cm="1">
        <f t="array" aca="1" ref="EY121" ca="1">(1-$B$18)*SUMPRODUCT(OFFSET($BO$15,0,0,$B$14,1), 1*(_xlfn._xlws.FILTER(OFFSET($O$15,0,$DN121,$B$8,1),OFFSET($M$15,0,0,$B$8,1))=EY$13), 1*(_xlfn._xlws.FILTER(OFFSET($O$15,0,$DO121,$B$8,1),OFFSET($M$15,0,0,$B$8,1))=EY$14))   /   SUM(OFFSET($BO$15,0,0,$B$14,1)) + $B$18/($B$19*$B$19*($DN121&lt;&gt;$DO121) + $B$19*($DN121=$DO121))</f>
        <v>3.7037037037037035E-4</v>
      </c>
      <c r="EZ121" s="10" cm="1">
        <f t="array" aca="1" ref="EZ121" ca="1">(1-$B$18)*SUMPRODUCT(OFFSET($BO$15,0,0,$B$14,1), 1*(_xlfn._xlws.FILTER(OFFSET($O$15,0,$DN121,$B$8,1),OFFSET($M$15,0,0,$B$8,1))=EZ$13), 1*(_xlfn._xlws.FILTER(OFFSET($O$15,0,$DO121,$B$8,1),OFFSET($M$15,0,0,$B$8,1))=EZ$14))   /   SUM(OFFSET($BO$15,0,0,$B$14,1)) + $B$18/($B$19*$B$19*($DN121&lt;&gt;$DO121) + $B$19*($DN121=$DO121))</f>
        <v>3.7037037037037035E-4</v>
      </c>
      <c r="FA121" s="10" cm="1">
        <f t="array" aca="1" ref="FA121" ca="1">(1-$B$18)*SUMPRODUCT(OFFSET($BO$15,0,0,$B$14,1), 1*(_xlfn._xlws.FILTER(OFFSET($O$15,0,$DN121,$B$8,1),OFFSET($M$15,0,0,$B$8,1))=FA$13), 1*(_xlfn._xlws.FILTER(OFFSET($O$15,0,$DO121,$B$8,1),OFFSET($M$15,0,0,$B$8,1))=FA$14))   /   SUM(OFFSET($BO$15,0,0,$B$14,1)) + $B$18/($B$19*$B$19*($DN121&lt;&gt;$DO121) + $B$19*($DN121=$DO121))</f>
        <v>3.7037037037037035E-4</v>
      </c>
      <c r="FB121" s="10" cm="1">
        <f t="array" aca="1" ref="FB121" ca="1">(1-$B$18)*SUMPRODUCT(OFFSET($BO$15,0,0,$B$14,1), 1*(_xlfn._xlws.FILTER(OFFSET($O$15,0,$DN121,$B$8,1),OFFSET($M$15,0,0,$B$8,1))=FB$13), 1*(_xlfn._xlws.FILTER(OFFSET($O$15,0,$DO121,$B$8,1),OFFSET($M$15,0,0,$B$8,1))=FB$14))   /   SUM(OFFSET($BO$15,0,0,$B$14,1)) + $B$18/($B$19*$B$19*($DN121&lt;&gt;$DO121) + $B$19*($DN121=$DO121))</f>
        <v>3.7037037037037035E-4</v>
      </c>
      <c r="FC121" s="10" cm="1">
        <f t="array" aca="1" ref="FC121" ca="1">(1-$B$18)*SUMPRODUCT(OFFSET($BO$15,0,0,$B$14,1), 1*(_xlfn._xlws.FILTER(OFFSET($O$15,0,$DN121,$B$8,1),OFFSET($M$15,0,0,$B$8,1))=FC$13), 1*(_xlfn._xlws.FILTER(OFFSET($O$15,0,$DO121,$B$8,1),OFFSET($M$15,0,0,$B$8,1))=FC$14))   /   SUM(OFFSET($BO$15,0,0,$B$14,1)) + $B$18/($B$19*$B$19*($DN121&lt;&gt;$DO121) + $B$19*($DN121=$DO121))</f>
        <v>3.7037037037037035E-4</v>
      </c>
      <c r="FD121" s="10" cm="1">
        <f t="array" aca="1" ref="FD121" ca="1">(1-$B$18)*SUMPRODUCT(OFFSET($BO$15,0,0,$B$14,1), 1*(_xlfn._xlws.FILTER(OFFSET($O$15,0,$DN121,$B$8,1),OFFSET($M$15,0,0,$B$8,1))=FD$13), 1*(_xlfn._xlws.FILTER(OFFSET($O$15,0,$DO121,$B$8,1),OFFSET($M$15,0,0,$B$8,1))=FD$14))   /   SUM(OFFSET($BO$15,0,0,$B$14,1)) + $B$18/($B$19*$B$19*($DN121&lt;&gt;$DO121) + $B$19*($DN121=$DO121))</f>
        <v>3.7037037037037035E-4</v>
      </c>
      <c r="FE121" s="10" cm="1">
        <f t="array" aca="1" ref="FE121" ca="1">(1-$B$18)*SUMPRODUCT(OFFSET($BO$15,0,0,$B$14,1), 1*(_xlfn._xlws.FILTER(OFFSET($O$15,0,$DN121,$B$8,1),OFFSET($M$15,0,0,$B$8,1))=FE$13), 1*(_xlfn._xlws.FILTER(OFFSET($O$15,0,$DO121,$B$8,1),OFFSET($M$15,0,0,$B$8,1))=FE$14))   /   SUM(OFFSET($BO$15,0,0,$B$14,1)) + $B$18/($B$19*$B$19*($DN121&lt;&gt;$DO121) + $B$19*($DN121=$DO121))</f>
        <v>3.7037037037037035E-4</v>
      </c>
      <c r="FF121" s="10" cm="1">
        <f t="array" aca="1" ref="FF121" ca="1">(1-$B$18)*SUMPRODUCT(OFFSET($BO$15,0,0,$B$14,1), 1*(_xlfn._xlws.FILTER(OFFSET($O$15,0,$DN121,$B$8,1),OFFSET($M$15,0,0,$B$8,1))=FF$13), 1*(_xlfn._xlws.FILTER(OFFSET($O$15,0,$DO121,$B$8,1),OFFSET($M$15,0,0,$B$8,1))=FF$14))   /   SUM(OFFSET($BO$15,0,0,$B$14,1)) + $B$18/($B$19*$B$19*($DN121&lt;&gt;$DO121) + $B$19*($DN121=$DO121))</f>
        <v>3.7037037037037035E-4</v>
      </c>
      <c r="FG121" s="10" cm="1">
        <f t="array" aca="1" ref="FG121" ca="1">(1-$B$18)*SUMPRODUCT(OFFSET($BO$15,0,0,$B$14,1), 1*(_xlfn._xlws.FILTER(OFFSET($O$15,0,$DN121,$B$8,1),OFFSET($M$15,0,0,$B$8,1))=FG$13), 1*(_xlfn._xlws.FILTER(OFFSET($O$15,0,$DO121,$B$8,1),OFFSET($M$15,0,0,$B$8,1))=FG$14))   /   SUM(OFFSET($BO$15,0,0,$B$14,1)) + $B$18/($B$19*$B$19*($DN121&lt;&gt;$DO121) + $B$19*($DN121=$DO121))</f>
        <v>3.7037037037037035E-4</v>
      </c>
      <c r="FH121" s="10" cm="1">
        <f t="array" aca="1" ref="FH121" ca="1">(1-$B$18)*SUMPRODUCT(OFFSET($BO$15,0,0,$B$14,1), 1*(_xlfn._xlws.FILTER(OFFSET($O$15,0,$DN121,$B$8,1),OFFSET($M$15,0,0,$B$8,1))=FH$13), 1*(_xlfn._xlws.FILTER(OFFSET($O$15,0,$DO121,$B$8,1),OFFSET($M$15,0,0,$B$8,1))=FH$14))   /   SUM(OFFSET($BO$15,0,0,$B$14,1)) + $B$18/($B$19*$B$19*($DN121&lt;&gt;$DO121) + $B$19*($DN121=$DO121))</f>
        <v>3.7037037037037035E-4</v>
      </c>
      <c r="FI121" s="10" cm="1">
        <f t="array" aca="1" ref="FI121" ca="1">(1-$B$18)*SUMPRODUCT(OFFSET($BO$15,0,0,$B$14,1), 1*(_xlfn._xlws.FILTER(OFFSET($O$15,0,$DN121,$B$8,1),OFFSET($M$15,0,0,$B$8,1))=FI$13), 1*(_xlfn._xlws.FILTER(OFFSET($O$15,0,$DO121,$B$8,1),OFFSET($M$15,0,0,$B$8,1))=FI$14))   /   SUM(OFFSET($BO$15,0,0,$B$14,1)) + $B$18/($B$19*$B$19*($DN121&lt;&gt;$DO121) + $B$19*($DN121=$DO121))</f>
        <v>3.7037037037037035E-4</v>
      </c>
      <c r="FJ121" s="10" cm="1">
        <f t="array" aca="1" ref="FJ121" ca="1">(1-$B$18)*SUMPRODUCT(OFFSET($BO$15,0,0,$B$14,1), 1*(_xlfn._xlws.FILTER(OFFSET($O$15,0,$DN121,$B$8,1),OFFSET($M$15,0,0,$B$8,1))=FJ$13), 1*(_xlfn._xlws.FILTER(OFFSET($O$15,0,$DO121,$B$8,1),OFFSET($M$15,0,0,$B$8,1))=FJ$14))   /   SUM(OFFSET($BO$15,0,0,$B$14,1)) + $B$18/($B$19*$B$19*($DN121&lt;&gt;$DO121) + $B$19*($DN121=$DO121))</f>
        <v>3.7037037037037035E-4</v>
      </c>
      <c r="FK121" s="10" cm="1">
        <f t="array" aca="1" ref="FK121" ca="1">(1-$B$18)*SUMPRODUCT(OFFSET($BO$15,0,0,$B$14,1), 1*(_xlfn._xlws.FILTER(OFFSET($O$15,0,$DN121,$B$8,1),OFFSET($M$15,0,0,$B$8,1))=FK$13), 1*(_xlfn._xlws.FILTER(OFFSET($O$15,0,$DO121,$B$8,1),OFFSET($M$15,0,0,$B$8,1))=FK$14))   /   SUM(OFFSET($BO$15,0,0,$B$14,1)) + $B$18/($B$19*$B$19*($DN121&lt;&gt;$DO121) + $B$19*($DN121=$DO121))</f>
        <v>3.7037037037037035E-4</v>
      </c>
      <c r="FL121" s="10" cm="1">
        <f t="array" aca="1" ref="FL121" ca="1">(1-$B$18)*SUMPRODUCT(OFFSET($BO$15,0,0,$B$14,1), 1*(_xlfn._xlws.FILTER(OFFSET($O$15,0,$DN121,$B$8,1),OFFSET($M$15,0,0,$B$8,1))=FL$13), 1*(_xlfn._xlws.FILTER(OFFSET($O$15,0,$DO121,$B$8,1),OFFSET($M$15,0,0,$B$8,1))=FL$14))   /   SUM(OFFSET($BO$15,0,0,$B$14,1)) + $B$18/($B$19*$B$19*($DN121&lt;&gt;$DO121) + $B$19*($DN121=$DO121))</f>
        <v>3.7037037037037035E-4</v>
      </c>
      <c r="FM121" s="10" cm="1">
        <f t="array" aca="1" ref="FM121" ca="1">(1-$B$18)*SUMPRODUCT(OFFSET($BO$15,0,0,$B$14,1), 1*(_xlfn._xlws.FILTER(OFFSET($O$15,0,$DN121,$B$8,1),OFFSET($M$15,0,0,$B$8,1))=FM$13), 1*(_xlfn._xlws.FILTER(OFFSET($O$15,0,$DO121,$B$8,1),OFFSET($M$15,0,0,$B$8,1))=FM$14))   /   SUM(OFFSET($BO$15,0,0,$B$14,1)) + $B$18/($B$19*$B$19*($DN121&lt;&gt;$DO121) + $B$19*($DN121=$DO121))</f>
        <v>0.97037037037037033</v>
      </c>
      <c r="FN121" s="10" cm="1">
        <f t="array" aca="1" ref="FN121" ca="1">(1-$B$18)*SUMPRODUCT(OFFSET($BO$15,0,0,$B$14,1), 1*(_xlfn._xlws.FILTER(OFFSET($O$15,0,$DN121,$B$8,1),OFFSET($M$15,0,0,$B$8,1))=FN$13), 1*(_xlfn._xlws.FILTER(OFFSET($O$15,0,$DO121,$B$8,1),OFFSET($M$15,0,0,$B$8,1))=FN$14))   /   SUM(OFFSET($BO$15,0,0,$B$14,1)) + $B$18/($B$19*$B$19*($DN121&lt;&gt;$DO121) + $B$19*($DN121=$DO121))</f>
        <v>3.7037037037037035E-4</v>
      </c>
      <c r="FO121" s="10" cm="1">
        <f t="array" aca="1" ref="FO121" ca="1">(1-$B$18)*SUMPRODUCT(OFFSET($BO$15,0,0,$B$14,1), 1*(_xlfn._xlws.FILTER(OFFSET($O$15,0,$DN121,$B$8,1),OFFSET($M$15,0,0,$B$8,1))=FO$13), 1*(_xlfn._xlws.FILTER(OFFSET($O$15,0,$DO121,$B$8,1),OFFSET($M$15,0,0,$B$8,1))=FO$14))   /   SUM(OFFSET($BO$15,0,0,$B$14,1)) + $B$18/($B$19*$B$19*($DN121&lt;&gt;$DO121) + $B$19*($DN121=$DO121))</f>
        <v>3.7037037037037035E-4</v>
      </c>
      <c r="FP121" s="10" cm="1">
        <f t="array" aca="1" ref="FP121" ca="1">(1-$B$18)*SUMPRODUCT(OFFSET($BO$15,0,0,$B$14,1), 1*(_xlfn._xlws.FILTER(OFFSET($O$15,0,$DN121,$B$8,1),OFFSET($M$15,0,0,$B$8,1))=FP$13), 1*(_xlfn._xlws.FILTER(OFFSET($O$15,0,$DO121,$B$8,1),OFFSET($M$15,0,0,$B$8,1))=FP$14))   /   SUM(OFFSET($BO$15,0,0,$B$14,1)) + $B$18/($B$19*$B$19*($DN121&lt;&gt;$DO121) + $B$19*($DN121=$DO121))</f>
        <v>3.7037037037037035E-4</v>
      </c>
      <c r="FQ121" s="10" cm="1">
        <f t="array" aca="1" ref="FQ121" ca="1">(1-$B$18)*SUMPRODUCT(OFFSET($BO$15,0,0,$B$14,1), 1*(_xlfn._xlws.FILTER(OFFSET($O$15,0,$DN121,$B$8,1),OFFSET($M$15,0,0,$B$8,1))=FQ$13), 1*(_xlfn._xlws.FILTER(OFFSET($O$15,0,$DO121,$B$8,1),OFFSET($M$15,0,0,$B$8,1))=FQ$14))   /   SUM(OFFSET($BO$15,0,0,$B$14,1)) + $B$18/($B$19*$B$19*($DN121&lt;&gt;$DO121) + $B$19*($DN121=$DO121))</f>
        <v>3.7037037037037035E-4</v>
      </c>
      <c r="FR121" s="10" cm="1">
        <f t="array" aca="1" ref="FR121" ca="1">(1-$B$18)*SUMPRODUCT(OFFSET($BO$15,0,0,$B$14,1), 1*(_xlfn._xlws.FILTER(OFFSET($O$15,0,$DN121,$B$8,1),OFFSET($M$15,0,0,$B$8,1))=FR$13), 1*(_xlfn._xlws.FILTER(OFFSET($O$15,0,$DO121,$B$8,1),OFFSET($M$15,0,0,$B$8,1))=FR$14))   /   SUM(OFFSET($BO$15,0,0,$B$14,1)) + $B$18/($B$19*$B$19*($DN121&lt;&gt;$DO121) + $B$19*($DN121=$DO121))</f>
        <v>3.7037037037037035E-4</v>
      </c>
      <c r="FS121" s="10" cm="1">
        <f t="array" aca="1" ref="FS121" ca="1">(1-$B$18)*SUMPRODUCT(OFFSET($BO$15,0,0,$B$14,1), 1*(_xlfn._xlws.FILTER(OFFSET($O$15,0,$DN121,$B$8,1),OFFSET($M$15,0,0,$B$8,1))=FS$13), 1*(_xlfn._xlws.FILTER(OFFSET($O$15,0,$DO121,$B$8,1),OFFSET($M$15,0,0,$B$8,1))=FS$14))   /   SUM(OFFSET($BO$15,0,0,$B$14,1)) + $B$18/($B$19*$B$19*($DN121&lt;&gt;$DO121) + $B$19*($DN121=$DO121))</f>
        <v>3.7037037037037035E-4</v>
      </c>
      <c r="FT121" s="10" cm="1">
        <f t="array" aca="1" ref="FT121" ca="1">(1-$B$18)*SUMPRODUCT(OFFSET($BO$15,0,0,$B$14,1), 1*(_xlfn._xlws.FILTER(OFFSET($O$15,0,$DN121,$B$8,1),OFFSET($M$15,0,0,$B$8,1))=FT$13), 1*(_xlfn._xlws.FILTER(OFFSET($O$15,0,$DO121,$B$8,1),OFFSET($M$15,0,0,$B$8,1))=FT$14))   /   SUM(OFFSET($BO$15,0,0,$B$14,1)) + $B$18/($B$19*$B$19*($DN121&lt;&gt;$DO121) + $B$19*($DN121=$DO121))</f>
        <v>3.7037037037037035E-4</v>
      </c>
      <c r="FU121" s="10" cm="1">
        <f t="array" aca="1" ref="FU121" ca="1">(1-$B$18)*SUMPRODUCT(OFFSET($BO$15,0,0,$B$14,1), 1*(_xlfn._xlws.FILTER(OFFSET($O$15,0,$DN121,$B$8,1),OFFSET($M$15,0,0,$B$8,1))=FU$13), 1*(_xlfn._xlws.FILTER(OFFSET($O$15,0,$DO121,$B$8,1),OFFSET($M$15,0,0,$B$8,1))=FU$14))   /   SUM(OFFSET($BO$15,0,0,$B$14,1)) + $B$18/($B$19*$B$19*($DN121&lt;&gt;$DO121) + $B$19*($DN121=$DO121))</f>
        <v>3.7037037037037035E-4</v>
      </c>
      <c r="FV121" s="10" cm="1">
        <f t="array" aca="1" ref="FV121" ca="1">(1-$B$18)*SUMPRODUCT(OFFSET($BO$15,0,0,$B$14,1), 1*(_xlfn._xlws.FILTER(OFFSET($O$15,0,$DN121,$B$8,1),OFFSET($M$15,0,0,$B$8,1))=FV$13), 1*(_xlfn._xlws.FILTER(OFFSET($O$15,0,$DO121,$B$8,1),OFFSET($M$15,0,0,$B$8,1))=FV$14))   /   SUM(OFFSET($BO$15,0,0,$B$14,1)) + $B$18/($B$19*$B$19*($DN121&lt;&gt;$DO121) + $B$19*($DN121=$DO121))</f>
        <v>3.7037037037037035E-4</v>
      </c>
      <c r="FW121" s="10" cm="1">
        <f t="array" aca="1" ref="FW121" ca="1">(1-$B$18)*SUMPRODUCT(OFFSET($BO$15,0,0,$B$14,1), 1*(_xlfn._xlws.FILTER(OFFSET($O$15,0,$DN121,$B$8,1),OFFSET($M$15,0,0,$B$8,1))=FW$13), 1*(_xlfn._xlws.FILTER(OFFSET($O$15,0,$DO121,$B$8,1),OFFSET($M$15,0,0,$B$8,1))=FW$14))   /   SUM(OFFSET($BO$15,0,0,$B$14,1)) + $B$18/($B$19*$B$19*($DN121&lt;&gt;$DO121) + $B$19*($DN121=$DO121))</f>
        <v>3.7037037037037035E-4</v>
      </c>
      <c r="FX121" s="10" cm="1">
        <f t="array" aca="1" ref="FX121" ca="1">(1-$B$18)*SUMPRODUCT(OFFSET($BO$15,0,0,$B$14,1), 1*(_xlfn._xlws.FILTER(OFFSET($O$15,0,$DN121,$B$8,1),OFFSET($M$15,0,0,$B$8,1))=FX$13), 1*(_xlfn._xlws.FILTER(OFFSET($O$15,0,$DO121,$B$8,1),OFFSET($M$15,0,0,$B$8,1))=FX$14))   /   SUM(OFFSET($BO$15,0,0,$B$14,1)) + $B$18/($B$19*$B$19*($DN121&lt;&gt;$DO121) + $B$19*($DN121=$DO121))</f>
        <v>3.7037037037037035E-4</v>
      </c>
      <c r="FY121" s="10" cm="1">
        <f t="array" aca="1" ref="FY121" ca="1">(1-$B$18)*SUMPRODUCT(OFFSET($BO$15,0,0,$B$14,1), 1*(_xlfn._xlws.FILTER(OFFSET($O$15,0,$DN121,$B$8,1),OFFSET($M$15,0,0,$B$8,1))=FY$13), 1*(_xlfn._xlws.FILTER(OFFSET($O$15,0,$DO121,$B$8,1),OFFSET($M$15,0,0,$B$8,1))=FY$14))   /   SUM(OFFSET($BO$15,0,0,$B$14,1)) + $B$18/($B$19*$B$19*($DN121&lt;&gt;$DO121) + $B$19*($DN121=$DO121))</f>
        <v>3.7037037037037035E-4</v>
      </c>
      <c r="FZ121" s="10" cm="1">
        <f t="array" aca="1" ref="FZ121" ca="1">(1-$B$18)*SUMPRODUCT(OFFSET($BO$15,0,0,$B$14,1), 1*(_xlfn._xlws.FILTER(OFFSET($O$15,0,$DN121,$B$8,1),OFFSET($M$15,0,0,$B$8,1))=FZ$13), 1*(_xlfn._xlws.FILTER(OFFSET($O$15,0,$DO121,$B$8,1),OFFSET($M$15,0,0,$B$8,1))=FZ$14))   /   SUM(OFFSET($BO$15,0,0,$B$14,1)) + $B$18/($B$19*$B$19*($DN121&lt;&gt;$DO121) + $B$19*($DN121=$DO121))</f>
        <v>3.7037037037037035E-4</v>
      </c>
      <c r="GA121" s="10" cm="1">
        <f t="array" aca="1" ref="GA121" ca="1">(1-$B$18)*SUMPRODUCT(OFFSET($BO$15,0,0,$B$14,1), 1*(_xlfn._xlws.FILTER(OFFSET($O$15,0,$DN121,$B$8,1),OFFSET($M$15,0,0,$B$8,1))=GA$13), 1*(_xlfn._xlws.FILTER(OFFSET($O$15,0,$DO121,$B$8,1),OFFSET($M$15,0,0,$B$8,1))=GA$14))   /   SUM(OFFSET($BO$15,0,0,$B$14,1)) + $B$18/($B$19*$B$19*($DN121&lt;&gt;$DO121) + $B$19*($DN121=$DO121))</f>
        <v>3.7037037037037035E-4</v>
      </c>
    </row>
    <row r="122" spans="7:183" x14ac:dyDescent="0.2">
      <c r="G122" s="2"/>
      <c r="H122" s="2"/>
      <c r="AH122" s="2"/>
      <c r="AI122" s="2"/>
      <c r="DN122" cm="1">
        <f t="array" aca="1" ref="DN122" ca="1">INDEX(_xlfn.ANCHORARRAY($CP$15), 1 + INT((ROWS($DO$15:$DO122) - 1) / ROWS(_xlfn.ANCHORARRAY($CP$15))))</f>
        <v>5</v>
      </c>
      <c r="DO122" cm="1">
        <f t="array" aca="1" ref="DO122" ca="1">INDEX(_xlfn.ANCHORARRAY($CP$15),1+MOD(ROWS($DO$15:$DO122)-1,ROWS(_xlfn.ANCHORARRAY($CP$15))))</f>
        <v>13</v>
      </c>
      <c r="DP122" s="10" cm="1">
        <f t="array" aca="1" ref="DP122" ca="1">(1-$B$18)*SUMPRODUCT(OFFSET($BO$15,0,0,$B$14,1), 1*(_xlfn._xlws.FILTER(OFFSET($O$15,0,$DN122,$B$8,1),OFFSET($M$15,0,0,$B$8,1))=DP$13), 1*(_xlfn._xlws.FILTER(OFFSET($O$15,0,$DO122,$B$8,1),OFFSET($M$15,0,0,$B$8,1))=DP$14))   /   SUM(OFFSET($BO$15,0,0,$B$14,1)) + $B$18/($B$19*$B$19*($DN122&lt;&gt;$DO122) + $B$19*($DN122=$DO122))</f>
        <v>3.7037037037037035E-4</v>
      </c>
      <c r="DQ122" s="10" cm="1">
        <f t="array" aca="1" ref="DQ122" ca="1">(1-$B$18)*SUMPRODUCT(OFFSET($BO$15,0,0,$B$14,1), 1*(_xlfn._xlws.FILTER(OFFSET($O$15,0,$DN122,$B$8,1),OFFSET($M$15,0,0,$B$8,1))=DQ$13), 1*(_xlfn._xlws.FILTER(OFFSET($O$15,0,$DO122,$B$8,1),OFFSET($M$15,0,0,$B$8,1))=DQ$14))   /   SUM(OFFSET($BO$15,0,0,$B$14,1)) + $B$18/($B$19*$B$19*($DN122&lt;&gt;$DO122) + $B$19*($DN122=$DO122))</f>
        <v>3.7037037037037035E-4</v>
      </c>
      <c r="DR122" s="10" cm="1">
        <f t="array" aca="1" ref="DR122" ca="1">(1-$B$18)*SUMPRODUCT(OFFSET($BO$15,0,0,$B$14,1), 1*(_xlfn._xlws.FILTER(OFFSET($O$15,0,$DN122,$B$8,1),OFFSET($M$15,0,0,$B$8,1))=DR$13), 1*(_xlfn._xlws.FILTER(OFFSET($O$15,0,$DO122,$B$8,1),OFFSET($M$15,0,0,$B$8,1))=DR$14))   /   SUM(OFFSET($BO$15,0,0,$B$14,1)) + $B$18/($B$19*$B$19*($DN122&lt;&gt;$DO122) + $B$19*($DN122=$DO122))</f>
        <v>3.7037037037037035E-4</v>
      </c>
      <c r="DS122" s="10" cm="1">
        <f t="array" aca="1" ref="DS122" ca="1">(1-$B$18)*SUMPRODUCT(OFFSET($BO$15,0,0,$B$14,1), 1*(_xlfn._xlws.FILTER(OFFSET($O$15,0,$DN122,$B$8,1),OFFSET($M$15,0,0,$B$8,1))=DS$13), 1*(_xlfn._xlws.FILTER(OFFSET($O$15,0,$DO122,$B$8,1),OFFSET($M$15,0,0,$B$8,1))=DS$14))   /   SUM(OFFSET($BO$15,0,0,$B$14,1)) + $B$18/($B$19*$B$19*($DN122&lt;&gt;$DO122) + $B$19*($DN122=$DO122))</f>
        <v>3.7037037037037035E-4</v>
      </c>
      <c r="DT122" s="10" cm="1">
        <f t="array" aca="1" ref="DT122" ca="1">(1-$B$18)*SUMPRODUCT(OFFSET($BO$15,0,0,$B$14,1), 1*(_xlfn._xlws.FILTER(OFFSET($O$15,0,$DN122,$B$8,1),OFFSET($M$15,0,0,$B$8,1))=DT$13), 1*(_xlfn._xlws.FILTER(OFFSET($O$15,0,$DO122,$B$8,1),OFFSET($M$15,0,0,$B$8,1))=DT$14))   /   SUM(OFFSET($BO$15,0,0,$B$14,1)) + $B$18/($B$19*$B$19*($DN122&lt;&gt;$DO122) + $B$19*($DN122=$DO122))</f>
        <v>3.7037037037037035E-4</v>
      </c>
      <c r="DU122" s="10" cm="1">
        <f t="array" aca="1" ref="DU122" ca="1">(1-$B$18)*SUMPRODUCT(OFFSET($BO$15,0,0,$B$14,1), 1*(_xlfn._xlws.FILTER(OFFSET($O$15,0,$DN122,$B$8,1),OFFSET($M$15,0,0,$B$8,1))=DU$13), 1*(_xlfn._xlws.FILTER(OFFSET($O$15,0,$DO122,$B$8,1),OFFSET($M$15,0,0,$B$8,1))=DU$14))   /   SUM(OFFSET($BO$15,0,0,$B$14,1)) + $B$18/($B$19*$B$19*($DN122&lt;&gt;$DO122) + $B$19*($DN122=$DO122))</f>
        <v>3.7037037037037035E-4</v>
      </c>
      <c r="DV122" s="10" cm="1">
        <f t="array" aca="1" ref="DV122" ca="1">(1-$B$18)*SUMPRODUCT(OFFSET($BO$15,0,0,$B$14,1), 1*(_xlfn._xlws.FILTER(OFFSET($O$15,0,$DN122,$B$8,1),OFFSET($M$15,0,0,$B$8,1))=DV$13), 1*(_xlfn._xlws.FILTER(OFFSET($O$15,0,$DO122,$B$8,1),OFFSET($M$15,0,0,$B$8,1))=DV$14))   /   SUM(OFFSET($BO$15,0,0,$B$14,1)) + $B$18/($B$19*$B$19*($DN122&lt;&gt;$DO122) + $B$19*($DN122=$DO122))</f>
        <v>3.7037037037037035E-4</v>
      </c>
      <c r="DW122" s="10" cm="1">
        <f t="array" aca="1" ref="DW122" ca="1">(1-$B$18)*SUMPRODUCT(OFFSET($BO$15,0,0,$B$14,1), 1*(_xlfn._xlws.FILTER(OFFSET($O$15,0,$DN122,$B$8,1),OFFSET($M$15,0,0,$B$8,1))=DW$13), 1*(_xlfn._xlws.FILTER(OFFSET($O$15,0,$DO122,$B$8,1),OFFSET($M$15,0,0,$B$8,1))=DW$14))   /   SUM(OFFSET($BO$15,0,0,$B$14,1)) + $B$18/($B$19*$B$19*($DN122&lt;&gt;$DO122) + $B$19*($DN122=$DO122))</f>
        <v>3.7037037037037035E-4</v>
      </c>
      <c r="DX122" s="10" cm="1">
        <f t="array" aca="1" ref="DX122" ca="1">(1-$B$18)*SUMPRODUCT(OFFSET($BO$15,0,0,$B$14,1), 1*(_xlfn._xlws.FILTER(OFFSET($O$15,0,$DN122,$B$8,1),OFFSET($M$15,0,0,$B$8,1))=DX$13), 1*(_xlfn._xlws.FILTER(OFFSET($O$15,0,$DO122,$B$8,1),OFFSET($M$15,0,0,$B$8,1))=DX$14))   /   SUM(OFFSET($BO$15,0,0,$B$14,1)) + $B$18/($B$19*$B$19*($DN122&lt;&gt;$DO122) + $B$19*($DN122=$DO122))</f>
        <v>3.7037037037037035E-4</v>
      </c>
      <c r="DY122" s="10" cm="1">
        <f t="array" aca="1" ref="DY122" ca="1">(1-$B$18)*SUMPRODUCT(OFFSET($BO$15,0,0,$B$14,1), 1*(_xlfn._xlws.FILTER(OFFSET($O$15,0,$DN122,$B$8,1),OFFSET($M$15,0,0,$B$8,1))=DY$13), 1*(_xlfn._xlws.FILTER(OFFSET($O$15,0,$DO122,$B$8,1),OFFSET($M$15,0,0,$B$8,1))=DY$14))   /   SUM(OFFSET($BO$15,0,0,$B$14,1)) + $B$18/($B$19*$B$19*($DN122&lt;&gt;$DO122) + $B$19*($DN122=$DO122))</f>
        <v>3.7037037037037035E-4</v>
      </c>
      <c r="DZ122" s="10" cm="1">
        <f t="array" aca="1" ref="DZ122" ca="1">(1-$B$18)*SUMPRODUCT(OFFSET($BO$15,0,0,$B$14,1), 1*(_xlfn._xlws.FILTER(OFFSET($O$15,0,$DN122,$B$8,1),OFFSET($M$15,0,0,$B$8,1))=DZ$13), 1*(_xlfn._xlws.FILTER(OFFSET($O$15,0,$DO122,$B$8,1),OFFSET($M$15,0,0,$B$8,1))=DZ$14))   /   SUM(OFFSET($BO$15,0,0,$B$14,1)) + $B$18/($B$19*$B$19*($DN122&lt;&gt;$DO122) + $B$19*($DN122=$DO122))</f>
        <v>3.7037037037037035E-4</v>
      </c>
      <c r="EA122" s="10" cm="1">
        <f t="array" aca="1" ref="EA122" ca="1">(1-$B$18)*SUMPRODUCT(OFFSET($BO$15,0,0,$B$14,1), 1*(_xlfn._xlws.FILTER(OFFSET($O$15,0,$DN122,$B$8,1),OFFSET($M$15,0,0,$B$8,1))=EA$13), 1*(_xlfn._xlws.FILTER(OFFSET($O$15,0,$DO122,$B$8,1),OFFSET($M$15,0,0,$B$8,1))=EA$14))   /   SUM(OFFSET($BO$15,0,0,$B$14,1)) + $B$18/($B$19*$B$19*($DN122&lt;&gt;$DO122) + $B$19*($DN122=$DO122))</f>
        <v>3.7037037037037035E-4</v>
      </c>
      <c r="EB122" s="10" cm="1">
        <f t="array" aca="1" ref="EB122" ca="1">(1-$B$18)*SUMPRODUCT(OFFSET($BO$15,0,0,$B$14,1), 1*(_xlfn._xlws.FILTER(OFFSET($O$15,0,$DN122,$B$8,1),OFFSET($M$15,0,0,$B$8,1))=EB$13), 1*(_xlfn._xlws.FILTER(OFFSET($O$15,0,$DO122,$B$8,1),OFFSET($M$15,0,0,$B$8,1))=EB$14))   /   SUM(OFFSET($BO$15,0,0,$B$14,1)) + $B$18/($B$19*$B$19*($DN122&lt;&gt;$DO122) + $B$19*($DN122=$DO122))</f>
        <v>3.7037037037037035E-4</v>
      </c>
      <c r="EC122" s="10" cm="1">
        <f t="array" aca="1" ref="EC122" ca="1">(1-$B$18)*SUMPRODUCT(OFFSET($BO$15,0,0,$B$14,1), 1*(_xlfn._xlws.FILTER(OFFSET($O$15,0,$DN122,$B$8,1),OFFSET($M$15,0,0,$B$8,1))=EC$13), 1*(_xlfn._xlws.FILTER(OFFSET($O$15,0,$DO122,$B$8,1),OFFSET($M$15,0,0,$B$8,1))=EC$14))   /   SUM(OFFSET($BO$15,0,0,$B$14,1)) + $B$18/($B$19*$B$19*($DN122&lt;&gt;$DO122) + $B$19*($DN122=$DO122))</f>
        <v>3.7037037037037035E-4</v>
      </c>
      <c r="ED122" s="10" cm="1">
        <f t="array" aca="1" ref="ED122" ca="1">(1-$B$18)*SUMPRODUCT(OFFSET($BO$15,0,0,$B$14,1), 1*(_xlfn._xlws.FILTER(OFFSET($O$15,0,$DN122,$B$8,1),OFFSET($M$15,0,0,$B$8,1))=ED$13), 1*(_xlfn._xlws.FILTER(OFFSET($O$15,0,$DO122,$B$8,1),OFFSET($M$15,0,0,$B$8,1))=ED$14))   /   SUM(OFFSET($BO$15,0,0,$B$14,1)) + $B$18/($B$19*$B$19*($DN122&lt;&gt;$DO122) + $B$19*($DN122=$DO122))</f>
        <v>3.7037037037037035E-4</v>
      </c>
      <c r="EE122" s="10" cm="1">
        <f t="array" aca="1" ref="EE122" ca="1">(1-$B$18)*SUMPRODUCT(OFFSET($BO$15,0,0,$B$14,1), 1*(_xlfn._xlws.FILTER(OFFSET($O$15,0,$DN122,$B$8,1),OFFSET($M$15,0,0,$B$8,1))=EE$13), 1*(_xlfn._xlws.FILTER(OFFSET($O$15,0,$DO122,$B$8,1),OFFSET($M$15,0,0,$B$8,1))=EE$14))   /   SUM(OFFSET($BO$15,0,0,$B$14,1)) + $B$18/($B$19*$B$19*($DN122&lt;&gt;$DO122) + $B$19*($DN122=$DO122))</f>
        <v>3.7037037037037035E-4</v>
      </c>
      <c r="EF122" s="10" cm="1">
        <f t="array" aca="1" ref="EF122" ca="1">(1-$B$18)*SUMPRODUCT(OFFSET($BO$15,0,0,$B$14,1), 1*(_xlfn._xlws.FILTER(OFFSET($O$15,0,$DN122,$B$8,1),OFFSET($M$15,0,0,$B$8,1))=EF$13), 1*(_xlfn._xlws.FILTER(OFFSET($O$15,0,$DO122,$B$8,1),OFFSET($M$15,0,0,$B$8,1))=EF$14))   /   SUM(OFFSET($BO$15,0,0,$B$14,1)) + $B$18/($B$19*$B$19*($DN122&lt;&gt;$DO122) + $B$19*($DN122=$DO122))</f>
        <v>3.7037037037037035E-4</v>
      </c>
      <c r="EG122" s="10" cm="1">
        <f t="array" aca="1" ref="EG122" ca="1">(1-$B$18)*SUMPRODUCT(OFFSET($BO$15,0,0,$B$14,1), 1*(_xlfn._xlws.FILTER(OFFSET($O$15,0,$DN122,$B$8,1),OFFSET($M$15,0,0,$B$8,1))=EG$13), 1*(_xlfn._xlws.FILTER(OFFSET($O$15,0,$DO122,$B$8,1),OFFSET($M$15,0,0,$B$8,1))=EG$14))   /   SUM(OFFSET($BO$15,0,0,$B$14,1)) + $B$18/($B$19*$B$19*($DN122&lt;&gt;$DO122) + $B$19*($DN122=$DO122))</f>
        <v>3.7037037037037035E-4</v>
      </c>
      <c r="EH122" s="10" cm="1">
        <f t="array" aca="1" ref="EH122" ca="1">(1-$B$18)*SUMPRODUCT(OFFSET($BO$15,0,0,$B$14,1), 1*(_xlfn._xlws.FILTER(OFFSET($O$15,0,$DN122,$B$8,1),OFFSET($M$15,0,0,$B$8,1))=EH$13), 1*(_xlfn._xlws.FILTER(OFFSET($O$15,0,$DO122,$B$8,1),OFFSET($M$15,0,0,$B$8,1))=EH$14))   /   SUM(OFFSET($BO$15,0,0,$B$14,1)) + $B$18/($B$19*$B$19*($DN122&lt;&gt;$DO122) + $B$19*($DN122=$DO122))</f>
        <v>3.7037037037037035E-4</v>
      </c>
      <c r="EI122" s="10" cm="1">
        <f t="array" aca="1" ref="EI122" ca="1">(1-$B$18)*SUMPRODUCT(OFFSET($BO$15,0,0,$B$14,1), 1*(_xlfn._xlws.FILTER(OFFSET($O$15,0,$DN122,$B$8,1),OFFSET($M$15,0,0,$B$8,1))=EI$13), 1*(_xlfn._xlws.FILTER(OFFSET($O$15,0,$DO122,$B$8,1),OFFSET($M$15,0,0,$B$8,1))=EI$14))   /   SUM(OFFSET($BO$15,0,0,$B$14,1)) + $B$18/($B$19*$B$19*($DN122&lt;&gt;$DO122) + $B$19*($DN122=$DO122))</f>
        <v>3.7037037037037035E-4</v>
      </c>
      <c r="EJ122" s="10" cm="1">
        <f t="array" aca="1" ref="EJ122" ca="1">(1-$B$18)*SUMPRODUCT(OFFSET($BO$15,0,0,$B$14,1), 1*(_xlfn._xlws.FILTER(OFFSET($O$15,0,$DN122,$B$8,1),OFFSET($M$15,0,0,$B$8,1))=EJ$13), 1*(_xlfn._xlws.FILTER(OFFSET($O$15,0,$DO122,$B$8,1),OFFSET($M$15,0,0,$B$8,1))=EJ$14))   /   SUM(OFFSET($BO$15,0,0,$B$14,1)) + $B$18/($B$19*$B$19*($DN122&lt;&gt;$DO122) + $B$19*($DN122=$DO122))</f>
        <v>3.7037037037037035E-4</v>
      </c>
      <c r="EK122" s="10" cm="1">
        <f t="array" aca="1" ref="EK122" ca="1">(1-$B$18)*SUMPRODUCT(OFFSET($BO$15,0,0,$B$14,1), 1*(_xlfn._xlws.FILTER(OFFSET($O$15,0,$DN122,$B$8,1),OFFSET($M$15,0,0,$B$8,1))=EK$13), 1*(_xlfn._xlws.FILTER(OFFSET($O$15,0,$DO122,$B$8,1),OFFSET($M$15,0,0,$B$8,1))=EK$14))   /   SUM(OFFSET($BO$15,0,0,$B$14,1)) + $B$18/($B$19*$B$19*($DN122&lt;&gt;$DO122) + $B$19*($DN122=$DO122))</f>
        <v>3.7037037037037035E-4</v>
      </c>
      <c r="EL122" s="10" cm="1">
        <f t="array" aca="1" ref="EL122" ca="1">(1-$B$18)*SUMPRODUCT(OFFSET($BO$15,0,0,$B$14,1), 1*(_xlfn._xlws.FILTER(OFFSET($O$15,0,$DN122,$B$8,1),OFFSET($M$15,0,0,$B$8,1))=EL$13), 1*(_xlfn._xlws.FILTER(OFFSET($O$15,0,$DO122,$B$8,1),OFFSET($M$15,0,0,$B$8,1))=EL$14))   /   SUM(OFFSET($BO$15,0,0,$B$14,1)) + $B$18/($B$19*$B$19*($DN122&lt;&gt;$DO122) + $B$19*($DN122=$DO122))</f>
        <v>3.7037037037037035E-4</v>
      </c>
      <c r="EM122" s="10" cm="1">
        <f t="array" aca="1" ref="EM122" ca="1">(1-$B$18)*SUMPRODUCT(OFFSET($BO$15,0,0,$B$14,1), 1*(_xlfn._xlws.FILTER(OFFSET($O$15,0,$DN122,$B$8,1),OFFSET($M$15,0,0,$B$8,1))=EM$13), 1*(_xlfn._xlws.FILTER(OFFSET($O$15,0,$DO122,$B$8,1),OFFSET($M$15,0,0,$B$8,1))=EM$14))   /   SUM(OFFSET($BO$15,0,0,$B$14,1)) + $B$18/($B$19*$B$19*($DN122&lt;&gt;$DO122) + $B$19*($DN122=$DO122))</f>
        <v>3.7037037037037035E-4</v>
      </c>
      <c r="EN122" s="10" cm="1">
        <f t="array" aca="1" ref="EN122" ca="1">(1-$B$18)*SUMPRODUCT(OFFSET($BO$15,0,0,$B$14,1), 1*(_xlfn._xlws.FILTER(OFFSET($O$15,0,$DN122,$B$8,1),OFFSET($M$15,0,0,$B$8,1))=EN$13), 1*(_xlfn._xlws.FILTER(OFFSET($O$15,0,$DO122,$B$8,1),OFFSET($M$15,0,0,$B$8,1))=EN$14))   /   SUM(OFFSET($BO$15,0,0,$B$14,1)) + $B$18/($B$19*$B$19*($DN122&lt;&gt;$DO122) + $B$19*($DN122=$DO122))</f>
        <v>3.7037037037037035E-4</v>
      </c>
      <c r="EO122" s="10" cm="1">
        <f t="array" aca="1" ref="EO122" ca="1">(1-$B$18)*SUMPRODUCT(OFFSET($BO$15,0,0,$B$14,1), 1*(_xlfn._xlws.FILTER(OFFSET($O$15,0,$DN122,$B$8,1),OFFSET($M$15,0,0,$B$8,1))=EO$13), 1*(_xlfn._xlws.FILTER(OFFSET($O$15,0,$DO122,$B$8,1),OFFSET($M$15,0,0,$B$8,1))=EO$14))   /   SUM(OFFSET($BO$15,0,0,$B$14,1)) + $B$18/($B$19*$B$19*($DN122&lt;&gt;$DO122) + $B$19*($DN122=$DO122))</f>
        <v>3.7037037037037035E-4</v>
      </c>
      <c r="EP122" s="10" cm="1">
        <f t="array" aca="1" ref="EP122" ca="1">(1-$B$18)*SUMPRODUCT(OFFSET($BO$15,0,0,$B$14,1), 1*(_xlfn._xlws.FILTER(OFFSET($O$15,0,$DN122,$B$8,1),OFFSET($M$15,0,0,$B$8,1))=EP$13), 1*(_xlfn._xlws.FILTER(OFFSET($O$15,0,$DO122,$B$8,1),OFFSET($M$15,0,0,$B$8,1))=EP$14))   /   SUM(OFFSET($BO$15,0,0,$B$14,1)) + $B$18/($B$19*$B$19*($DN122&lt;&gt;$DO122) + $B$19*($DN122=$DO122))</f>
        <v>3.7037037037037035E-4</v>
      </c>
      <c r="EQ122" s="10" cm="1">
        <f t="array" aca="1" ref="EQ122" ca="1">(1-$B$18)*SUMPRODUCT(OFFSET($BO$15,0,0,$B$14,1), 1*(_xlfn._xlws.FILTER(OFFSET($O$15,0,$DN122,$B$8,1),OFFSET($M$15,0,0,$B$8,1))=EQ$13), 1*(_xlfn._xlws.FILTER(OFFSET($O$15,0,$DO122,$B$8,1),OFFSET($M$15,0,0,$B$8,1))=EQ$14))   /   SUM(OFFSET($BO$15,0,0,$B$14,1)) + $B$18/($B$19*$B$19*($DN122&lt;&gt;$DO122) + $B$19*($DN122=$DO122))</f>
        <v>3.7037037037037035E-4</v>
      </c>
      <c r="ER122" s="10" cm="1">
        <f t="array" aca="1" ref="ER122" ca="1">(1-$B$18)*SUMPRODUCT(OFFSET($BO$15,0,0,$B$14,1), 1*(_xlfn._xlws.FILTER(OFFSET($O$15,0,$DN122,$B$8,1),OFFSET($M$15,0,0,$B$8,1))=ER$13), 1*(_xlfn._xlws.FILTER(OFFSET($O$15,0,$DO122,$B$8,1),OFFSET($M$15,0,0,$B$8,1))=ER$14))   /   SUM(OFFSET($BO$15,0,0,$B$14,1)) + $B$18/($B$19*$B$19*($DN122&lt;&gt;$DO122) + $B$19*($DN122=$DO122))</f>
        <v>3.7037037037037035E-4</v>
      </c>
      <c r="ES122" s="10" cm="1">
        <f t="array" aca="1" ref="ES122" ca="1">(1-$B$18)*SUMPRODUCT(OFFSET($BO$15,0,0,$B$14,1), 1*(_xlfn._xlws.FILTER(OFFSET($O$15,0,$DN122,$B$8,1),OFFSET($M$15,0,0,$B$8,1))=ES$13), 1*(_xlfn._xlws.FILTER(OFFSET($O$15,0,$DO122,$B$8,1),OFFSET($M$15,0,0,$B$8,1))=ES$14))   /   SUM(OFFSET($BO$15,0,0,$B$14,1)) + $B$18/($B$19*$B$19*($DN122&lt;&gt;$DO122) + $B$19*($DN122=$DO122))</f>
        <v>3.7037037037037035E-4</v>
      </c>
      <c r="ET122" s="10" cm="1">
        <f t="array" aca="1" ref="ET122" ca="1">(1-$B$18)*SUMPRODUCT(OFFSET($BO$15,0,0,$B$14,1), 1*(_xlfn._xlws.FILTER(OFFSET($O$15,0,$DN122,$B$8,1),OFFSET($M$15,0,0,$B$8,1))=ET$13), 1*(_xlfn._xlws.FILTER(OFFSET($O$15,0,$DO122,$B$8,1),OFFSET($M$15,0,0,$B$8,1))=ET$14))   /   SUM(OFFSET($BO$15,0,0,$B$14,1)) + $B$18/($B$19*$B$19*($DN122&lt;&gt;$DO122) + $B$19*($DN122=$DO122))</f>
        <v>3.7037037037037035E-4</v>
      </c>
      <c r="EU122" s="10" cm="1">
        <f t="array" aca="1" ref="EU122" ca="1">(1-$B$18)*SUMPRODUCT(OFFSET($BO$15,0,0,$B$14,1), 1*(_xlfn._xlws.FILTER(OFFSET($O$15,0,$DN122,$B$8,1),OFFSET($M$15,0,0,$B$8,1))=EU$13), 1*(_xlfn._xlws.FILTER(OFFSET($O$15,0,$DO122,$B$8,1),OFFSET($M$15,0,0,$B$8,1))=EU$14))   /   SUM(OFFSET($BO$15,0,0,$B$14,1)) + $B$18/($B$19*$B$19*($DN122&lt;&gt;$DO122) + $B$19*($DN122=$DO122))</f>
        <v>3.7037037037037035E-4</v>
      </c>
      <c r="EV122" s="10" cm="1">
        <f t="array" aca="1" ref="EV122" ca="1">(1-$B$18)*SUMPRODUCT(OFFSET($BO$15,0,0,$B$14,1), 1*(_xlfn._xlws.FILTER(OFFSET($O$15,0,$DN122,$B$8,1),OFFSET($M$15,0,0,$B$8,1))=EV$13), 1*(_xlfn._xlws.FILTER(OFFSET($O$15,0,$DO122,$B$8,1),OFFSET($M$15,0,0,$B$8,1))=EV$14))   /   SUM(OFFSET($BO$15,0,0,$B$14,1)) + $B$18/($B$19*$B$19*($DN122&lt;&gt;$DO122) + $B$19*($DN122=$DO122))</f>
        <v>3.7037037037037035E-4</v>
      </c>
      <c r="EW122" s="10" cm="1">
        <f t="array" aca="1" ref="EW122" ca="1">(1-$B$18)*SUMPRODUCT(OFFSET($BO$15,0,0,$B$14,1), 1*(_xlfn._xlws.FILTER(OFFSET($O$15,0,$DN122,$B$8,1),OFFSET($M$15,0,0,$B$8,1))=EW$13), 1*(_xlfn._xlws.FILTER(OFFSET($O$15,0,$DO122,$B$8,1),OFFSET($M$15,0,0,$B$8,1))=EW$14))   /   SUM(OFFSET($BO$15,0,0,$B$14,1)) + $B$18/($B$19*$B$19*($DN122&lt;&gt;$DO122) + $B$19*($DN122=$DO122))</f>
        <v>3.7037037037037035E-4</v>
      </c>
      <c r="EX122" s="10" cm="1">
        <f t="array" aca="1" ref="EX122" ca="1">(1-$B$18)*SUMPRODUCT(OFFSET($BO$15,0,0,$B$14,1), 1*(_xlfn._xlws.FILTER(OFFSET($O$15,0,$DN122,$B$8,1),OFFSET($M$15,0,0,$B$8,1))=EX$13), 1*(_xlfn._xlws.FILTER(OFFSET($O$15,0,$DO122,$B$8,1),OFFSET($M$15,0,0,$B$8,1))=EX$14))   /   SUM(OFFSET($BO$15,0,0,$B$14,1)) + $B$18/($B$19*$B$19*($DN122&lt;&gt;$DO122) + $B$19*($DN122=$DO122))</f>
        <v>3.7037037037037035E-4</v>
      </c>
      <c r="EY122" s="10" cm="1">
        <f t="array" aca="1" ref="EY122" ca="1">(1-$B$18)*SUMPRODUCT(OFFSET($BO$15,0,0,$B$14,1), 1*(_xlfn._xlws.FILTER(OFFSET($O$15,0,$DN122,$B$8,1),OFFSET($M$15,0,0,$B$8,1))=EY$13), 1*(_xlfn._xlws.FILTER(OFFSET($O$15,0,$DO122,$B$8,1),OFFSET($M$15,0,0,$B$8,1))=EY$14))   /   SUM(OFFSET($BO$15,0,0,$B$14,1)) + $B$18/($B$19*$B$19*($DN122&lt;&gt;$DO122) + $B$19*($DN122=$DO122))</f>
        <v>3.7037037037037035E-4</v>
      </c>
      <c r="EZ122" s="10" cm="1">
        <f t="array" aca="1" ref="EZ122" ca="1">(1-$B$18)*SUMPRODUCT(OFFSET($BO$15,0,0,$B$14,1), 1*(_xlfn._xlws.FILTER(OFFSET($O$15,0,$DN122,$B$8,1),OFFSET($M$15,0,0,$B$8,1))=EZ$13), 1*(_xlfn._xlws.FILTER(OFFSET($O$15,0,$DO122,$B$8,1),OFFSET($M$15,0,0,$B$8,1))=EZ$14))   /   SUM(OFFSET($BO$15,0,0,$B$14,1)) + $B$18/($B$19*$B$19*($DN122&lt;&gt;$DO122) + $B$19*($DN122=$DO122))</f>
        <v>3.7037037037037035E-4</v>
      </c>
      <c r="FA122" s="10" cm="1">
        <f t="array" aca="1" ref="FA122" ca="1">(1-$B$18)*SUMPRODUCT(OFFSET($BO$15,0,0,$B$14,1), 1*(_xlfn._xlws.FILTER(OFFSET($O$15,0,$DN122,$B$8,1),OFFSET($M$15,0,0,$B$8,1))=FA$13), 1*(_xlfn._xlws.FILTER(OFFSET($O$15,0,$DO122,$B$8,1),OFFSET($M$15,0,0,$B$8,1))=FA$14))   /   SUM(OFFSET($BO$15,0,0,$B$14,1)) + $B$18/($B$19*$B$19*($DN122&lt;&gt;$DO122) + $B$19*($DN122=$DO122))</f>
        <v>3.7037037037037035E-4</v>
      </c>
      <c r="FB122" s="10" cm="1">
        <f t="array" aca="1" ref="FB122" ca="1">(1-$B$18)*SUMPRODUCT(OFFSET($BO$15,0,0,$B$14,1), 1*(_xlfn._xlws.FILTER(OFFSET($O$15,0,$DN122,$B$8,1),OFFSET($M$15,0,0,$B$8,1))=FB$13), 1*(_xlfn._xlws.FILTER(OFFSET($O$15,0,$DO122,$B$8,1),OFFSET($M$15,0,0,$B$8,1))=FB$14))   /   SUM(OFFSET($BO$15,0,0,$B$14,1)) + $B$18/($B$19*$B$19*($DN122&lt;&gt;$DO122) + $B$19*($DN122=$DO122))</f>
        <v>3.7037037037037035E-4</v>
      </c>
      <c r="FC122" s="10" cm="1">
        <f t="array" aca="1" ref="FC122" ca="1">(1-$B$18)*SUMPRODUCT(OFFSET($BO$15,0,0,$B$14,1), 1*(_xlfn._xlws.FILTER(OFFSET($O$15,0,$DN122,$B$8,1),OFFSET($M$15,0,0,$B$8,1))=FC$13), 1*(_xlfn._xlws.FILTER(OFFSET($O$15,0,$DO122,$B$8,1),OFFSET($M$15,0,0,$B$8,1))=FC$14))   /   SUM(OFFSET($BO$15,0,0,$B$14,1)) + $B$18/($B$19*$B$19*($DN122&lt;&gt;$DO122) + $B$19*($DN122=$DO122))</f>
        <v>3.7037037037037035E-4</v>
      </c>
      <c r="FD122" s="10" cm="1">
        <f t="array" aca="1" ref="FD122" ca="1">(1-$B$18)*SUMPRODUCT(OFFSET($BO$15,0,0,$B$14,1), 1*(_xlfn._xlws.FILTER(OFFSET($O$15,0,$DN122,$B$8,1),OFFSET($M$15,0,0,$B$8,1))=FD$13), 1*(_xlfn._xlws.FILTER(OFFSET($O$15,0,$DO122,$B$8,1),OFFSET($M$15,0,0,$B$8,1))=FD$14))   /   SUM(OFFSET($BO$15,0,0,$B$14,1)) + $B$18/($B$19*$B$19*($DN122&lt;&gt;$DO122) + $B$19*($DN122=$DO122))</f>
        <v>3.7037037037037035E-4</v>
      </c>
      <c r="FE122" s="10" cm="1">
        <f t="array" aca="1" ref="FE122" ca="1">(1-$B$18)*SUMPRODUCT(OFFSET($BO$15,0,0,$B$14,1), 1*(_xlfn._xlws.FILTER(OFFSET($O$15,0,$DN122,$B$8,1),OFFSET($M$15,0,0,$B$8,1))=FE$13), 1*(_xlfn._xlws.FILTER(OFFSET($O$15,0,$DO122,$B$8,1),OFFSET($M$15,0,0,$B$8,1))=FE$14))   /   SUM(OFFSET($BO$15,0,0,$B$14,1)) + $B$18/($B$19*$B$19*($DN122&lt;&gt;$DO122) + $B$19*($DN122=$DO122))</f>
        <v>3.7037037037037035E-4</v>
      </c>
      <c r="FF122" s="10" cm="1">
        <f t="array" aca="1" ref="FF122" ca="1">(1-$B$18)*SUMPRODUCT(OFFSET($BO$15,0,0,$B$14,1), 1*(_xlfn._xlws.FILTER(OFFSET($O$15,0,$DN122,$B$8,1),OFFSET($M$15,0,0,$B$8,1))=FF$13), 1*(_xlfn._xlws.FILTER(OFFSET($O$15,0,$DO122,$B$8,1),OFFSET($M$15,0,0,$B$8,1))=FF$14))   /   SUM(OFFSET($BO$15,0,0,$B$14,1)) + $B$18/($B$19*$B$19*($DN122&lt;&gt;$DO122) + $B$19*($DN122=$DO122))</f>
        <v>3.7037037037037035E-4</v>
      </c>
      <c r="FG122" s="10" cm="1">
        <f t="array" aca="1" ref="FG122" ca="1">(1-$B$18)*SUMPRODUCT(OFFSET($BO$15,0,0,$B$14,1), 1*(_xlfn._xlws.FILTER(OFFSET($O$15,0,$DN122,$B$8,1),OFFSET($M$15,0,0,$B$8,1))=FG$13), 1*(_xlfn._xlws.FILTER(OFFSET($O$15,0,$DO122,$B$8,1),OFFSET($M$15,0,0,$B$8,1))=FG$14))   /   SUM(OFFSET($BO$15,0,0,$B$14,1)) + $B$18/($B$19*$B$19*($DN122&lt;&gt;$DO122) + $B$19*($DN122=$DO122))</f>
        <v>3.7037037037037035E-4</v>
      </c>
      <c r="FH122" s="10" cm="1">
        <f t="array" aca="1" ref="FH122" ca="1">(1-$B$18)*SUMPRODUCT(OFFSET($BO$15,0,0,$B$14,1), 1*(_xlfn._xlws.FILTER(OFFSET($O$15,0,$DN122,$B$8,1),OFFSET($M$15,0,0,$B$8,1))=FH$13), 1*(_xlfn._xlws.FILTER(OFFSET($O$15,0,$DO122,$B$8,1),OFFSET($M$15,0,0,$B$8,1))=FH$14))   /   SUM(OFFSET($BO$15,0,0,$B$14,1)) + $B$18/($B$19*$B$19*($DN122&lt;&gt;$DO122) + $B$19*($DN122=$DO122))</f>
        <v>3.7037037037037035E-4</v>
      </c>
      <c r="FI122" s="10" cm="1">
        <f t="array" aca="1" ref="FI122" ca="1">(1-$B$18)*SUMPRODUCT(OFFSET($BO$15,0,0,$B$14,1), 1*(_xlfn._xlws.FILTER(OFFSET($O$15,0,$DN122,$B$8,1),OFFSET($M$15,0,0,$B$8,1))=FI$13), 1*(_xlfn._xlws.FILTER(OFFSET($O$15,0,$DO122,$B$8,1),OFFSET($M$15,0,0,$B$8,1))=FI$14))   /   SUM(OFFSET($BO$15,0,0,$B$14,1)) + $B$18/($B$19*$B$19*($DN122&lt;&gt;$DO122) + $B$19*($DN122=$DO122))</f>
        <v>3.7037037037037035E-4</v>
      </c>
      <c r="FJ122" s="10" cm="1">
        <f t="array" aca="1" ref="FJ122" ca="1">(1-$B$18)*SUMPRODUCT(OFFSET($BO$15,0,0,$B$14,1), 1*(_xlfn._xlws.FILTER(OFFSET($O$15,0,$DN122,$B$8,1),OFFSET($M$15,0,0,$B$8,1))=FJ$13), 1*(_xlfn._xlws.FILTER(OFFSET($O$15,0,$DO122,$B$8,1),OFFSET($M$15,0,0,$B$8,1))=FJ$14))   /   SUM(OFFSET($BO$15,0,0,$B$14,1)) + $B$18/($B$19*$B$19*($DN122&lt;&gt;$DO122) + $B$19*($DN122=$DO122))</f>
        <v>3.7037037037037035E-4</v>
      </c>
      <c r="FK122" s="10" cm="1">
        <f t="array" aca="1" ref="FK122" ca="1">(1-$B$18)*SUMPRODUCT(OFFSET($BO$15,0,0,$B$14,1), 1*(_xlfn._xlws.FILTER(OFFSET($O$15,0,$DN122,$B$8,1),OFFSET($M$15,0,0,$B$8,1))=FK$13), 1*(_xlfn._xlws.FILTER(OFFSET($O$15,0,$DO122,$B$8,1),OFFSET($M$15,0,0,$B$8,1))=FK$14))   /   SUM(OFFSET($BO$15,0,0,$B$14,1)) + $B$18/($B$19*$B$19*($DN122&lt;&gt;$DO122) + $B$19*($DN122=$DO122))</f>
        <v>3.7037037037037035E-4</v>
      </c>
      <c r="FL122" s="10" cm="1">
        <f t="array" aca="1" ref="FL122" ca="1">(1-$B$18)*SUMPRODUCT(OFFSET($BO$15,0,0,$B$14,1), 1*(_xlfn._xlws.FILTER(OFFSET($O$15,0,$DN122,$B$8,1),OFFSET($M$15,0,0,$B$8,1))=FL$13), 1*(_xlfn._xlws.FILTER(OFFSET($O$15,0,$DO122,$B$8,1),OFFSET($M$15,0,0,$B$8,1))=FL$14))   /   SUM(OFFSET($BO$15,0,0,$B$14,1)) + $B$18/($B$19*$B$19*($DN122&lt;&gt;$DO122) + $B$19*($DN122=$DO122))</f>
        <v>3.7037037037037035E-4</v>
      </c>
      <c r="FM122" s="10" cm="1">
        <f t="array" aca="1" ref="FM122" ca="1">(1-$B$18)*SUMPRODUCT(OFFSET($BO$15,0,0,$B$14,1), 1*(_xlfn._xlws.FILTER(OFFSET($O$15,0,$DN122,$B$8,1),OFFSET($M$15,0,0,$B$8,1))=FM$13), 1*(_xlfn._xlws.FILTER(OFFSET($O$15,0,$DO122,$B$8,1),OFFSET($M$15,0,0,$B$8,1))=FM$14))   /   SUM(OFFSET($BO$15,0,0,$B$14,1)) + $B$18/($B$19*$B$19*($DN122&lt;&gt;$DO122) + $B$19*($DN122=$DO122))</f>
        <v>0.97037037037037033</v>
      </c>
      <c r="FN122" s="10" cm="1">
        <f t="array" aca="1" ref="FN122" ca="1">(1-$B$18)*SUMPRODUCT(OFFSET($BO$15,0,0,$B$14,1), 1*(_xlfn._xlws.FILTER(OFFSET($O$15,0,$DN122,$B$8,1),OFFSET($M$15,0,0,$B$8,1))=FN$13), 1*(_xlfn._xlws.FILTER(OFFSET($O$15,0,$DO122,$B$8,1),OFFSET($M$15,0,0,$B$8,1))=FN$14))   /   SUM(OFFSET($BO$15,0,0,$B$14,1)) + $B$18/($B$19*$B$19*($DN122&lt;&gt;$DO122) + $B$19*($DN122=$DO122))</f>
        <v>3.7037037037037035E-4</v>
      </c>
      <c r="FO122" s="10" cm="1">
        <f t="array" aca="1" ref="FO122" ca="1">(1-$B$18)*SUMPRODUCT(OFFSET($BO$15,0,0,$B$14,1), 1*(_xlfn._xlws.FILTER(OFFSET($O$15,0,$DN122,$B$8,1),OFFSET($M$15,0,0,$B$8,1))=FO$13), 1*(_xlfn._xlws.FILTER(OFFSET($O$15,0,$DO122,$B$8,1),OFFSET($M$15,0,0,$B$8,1))=FO$14))   /   SUM(OFFSET($BO$15,0,0,$B$14,1)) + $B$18/($B$19*$B$19*($DN122&lt;&gt;$DO122) + $B$19*($DN122=$DO122))</f>
        <v>3.7037037037037035E-4</v>
      </c>
      <c r="FP122" s="10" cm="1">
        <f t="array" aca="1" ref="FP122" ca="1">(1-$B$18)*SUMPRODUCT(OFFSET($BO$15,0,0,$B$14,1), 1*(_xlfn._xlws.FILTER(OFFSET($O$15,0,$DN122,$B$8,1),OFFSET($M$15,0,0,$B$8,1))=FP$13), 1*(_xlfn._xlws.FILTER(OFFSET($O$15,0,$DO122,$B$8,1),OFFSET($M$15,0,0,$B$8,1))=FP$14))   /   SUM(OFFSET($BO$15,0,0,$B$14,1)) + $B$18/($B$19*$B$19*($DN122&lt;&gt;$DO122) + $B$19*($DN122=$DO122))</f>
        <v>3.7037037037037035E-4</v>
      </c>
      <c r="FQ122" s="10" cm="1">
        <f t="array" aca="1" ref="FQ122" ca="1">(1-$B$18)*SUMPRODUCT(OFFSET($BO$15,0,0,$B$14,1), 1*(_xlfn._xlws.FILTER(OFFSET($O$15,0,$DN122,$B$8,1),OFFSET($M$15,0,0,$B$8,1))=FQ$13), 1*(_xlfn._xlws.FILTER(OFFSET($O$15,0,$DO122,$B$8,1),OFFSET($M$15,0,0,$B$8,1))=FQ$14))   /   SUM(OFFSET($BO$15,0,0,$B$14,1)) + $B$18/($B$19*$B$19*($DN122&lt;&gt;$DO122) + $B$19*($DN122=$DO122))</f>
        <v>3.7037037037037035E-4</v>
      </c>
      <c r="FR122" s="10" cm="1">
        <f t="array" aca="1" ref="FR122" ca="1">(1-$B$18)*SUMPRODUCT(OFFSET($BO$15,0,0,$B$14,1), 1*(_xlfn._xlws.FILTER(OFFSET($O$15,0,$DN122,$B$8,1),OFFSET($M$15,0,0,$B$8,1))=FR$13), 1*(_xlfn._xlws.FILTER(OFFSET($O$15,0,$DO122,$B$8,1),OFFSET($M$15,0,0,$B$8,1))=FR$14))   /   SUM(OFFSET($BO$15,0,0,$B$14,1)) + $B$18/($B$19*$B$19*($DN122&lt;&gt;$DO122) + $B$19*($DN122=$DO122))</f>
        <v>3.7037037037037035E-4</v>
      </c>
      <c r="FS122" s="10" cm="1">
        <f t="array" aca="1" ref="FS122" ca="1">(1-$B$18)*SUMPRODUCT(OFFSET($BO$15,0,0,$B$14,1), 1*(_xlfn._xlws.FILTER(OFFSET($O$15,0,$DN122,$B$8,1),OFFSET($M$15,0,0,$B$8,1))=FS$13), 1*(_xlfn._xlws.FILTER(OFFSET($O$15,0,$DO122,$B$8,1),OFFSET($M$15,0,0,$B$8,1))=FS$14))   /   SUM(OFFSET($BO$15,0,0,$B$14,1)) + $B$18/($B$19*$B$19*($DN122&lt;&gt;$DO122) + $B$19*($DN122=$DO122))</f>
        <v>3.7037037037037035E-4</v>
      </c>
      <c r="FT122" s="10" cm="1">
        <f t="array" aca="1" ref="FT122" ca="1">(1-$B$18)*SUMPRODUCT(OFFSET($BO$15,0,0,$B$14,1), 1*(_xlfn._xlws.FILTER(OFFSET($O$15,0,$DN122,$B$8,1),OFFSET($M$15,0,0,$B$8,1))=FT$13), 1*(_xlfn._xlws.FILTER(OFFSET($O$15,0,$DO122,$B$8,1),OFFSET($M$15,0,0,$B$8,1))=FT$14))   /   SUM(OFFSET($BO$15,0,0,$B$14,1)) + $B$18/($B$19*$B$19*($DN122&lt;&gt;$DO122) + $B$19*($DN122=$DO122))</f>
        <v>3.7037037037037035E-4</v>
      </c>
      <c r="FU122" s="10" cm="1">
        <f t="array" aca="1" ref="FU122" ca="1">(1-$B$18)*SUMPRODUCT(OFFSET($BO$15,0,0,$B$14,1), 1*(_xlfn._xlws.FILTER(OFFSET($O$15,0,$DN122,$B$8,1),OFFSET($M$15,0,0,$B$8,1))=FU$13), 1*(_xlfn._xlws.FILTER(OFFSET($O$15,0,$DO122,$B$8,1),OFFSET($M$15,0,0,$B$8,1))=FU$14))   /   SUM(OFFSET($BO$15,0,0,$B$14,1)) + $B$18/($B$19*$B$19*($DN122&lt;&gt;$DO122) + $B$19*($DN122=$DO122))</f>
        <v>3.7037037037037035E-4</v>
      </c>
      <c r="FV122" s="10" cm="1">
        <f t="array" aca="1" ref="FV122" ca="1">(1-$B$18)*SUMPRODUCT(OFFSET($BO$15,0,0,$B$14,1), 1*(_xlfn._xlws.FILTER(OFFSET($O$15,0,$DN122,$B$8,1),OFFSET($M$15,0,0,$B$8,1))=FV$13), 1*(_xlfn._xlws.FILTER(OFFSET($O$15,0,$DO122,$B$8,1),OFFSET($M$15,0,0,$B$8,1))=FV$14))   /   SUM(OFFSET($BO$15,0,0,$B$14,1)) + $B$18/($B$19*$B$19*($DN122&lt;&gt;$DO122) + $B$19*($DN122=$DO122))</f>
        <v>3.7037037037037035E-4</v>
      </c>
      <c r="FW122" s="10" cm="1">
        <f t="array" aca="1" ref="FW122" ca="1">(1-$B$18)*SUMPRODUCT(OFFSET($BO$15,0,0,$B$14,1), 1*(_xlfn._xlws.FILTER(OFFSET($O$15,0,$DN122,$B$8,1),OFFSET($M$15,0,0,$B$8,1))=FW$13), 1*(_xlfn._xlws.FILTER(OFFSET($O$15,0,$DO122,$B$8,1),OFFSET($M$15,0,0,$B$8,1))=FW$14))   /   SUM(OFFSET($BO$15,0,0,$B$14,1)) + $B$18/($B$19*$B$19*($DN122&lt;&gt;$DO122) + $B$19*($DN122=$DO122))</f>
        <v>3.7037037037037035E-4</v>
      </c>
      <c r="FX122" s="10" cm="1">
        <f t="array" aca="1" ref="FX122" ca="1">(1-$B$18)*SUMPRODUCT(OFFSET($BO$15,0,0,$B$14,1), 1*(_xlfn._xlws.FILTER(OFFSET($O$15,0,$DN122,$B$8,1),OFFSET($M$15,0,0,$B$8,1))=FX$13), 1*(_xlfn._xlws.FILTER(OFFSET($O$15,0,$DO122,$B$8,1),OFFSET($M$15,0,0,$B$8,1))=FX$14))   /   SUM(OFFSET($BO$15,0,0,$B$14,1)) + $B$18/($B$19*$B$19*($DN122&lt;&gt;$DO122) + $B$19*($DN122=$DO122))</f>
        <v>3.7037037037037035E-4</v>
      </c>
      <c r="FY122" s="10" cm="1">
        <f t="array" aca="1" ref="FY122" ca="1">(1-$B$18)*SUMPRODUCT(OFFSET($BO$15,0,0,$B$14,1), 1*(_xlfn._xlws.FILTER(OFFSET($O$15,0,$DN122,$B$8,1),OFFSET($M$15,0,0,$B$8,1))=FY$13), 1*(_xlfn._xlws.FILTER(OFFSET($O$15,0,$DO122,$B$8,1),OFFSET($M$15,0,0,$B$8,1))=FY$14))   /   SUM(OFFSET($BO$15,0,0,$B$14,1)) + $B$18/($B$19*$B$19*($DN122&lt;&gt;$DO122) + $B$19*($DN122=$DO122))</f>
        <v>3.7037037037037035E-4</v>
      </c>
      <c r="FZ122" s="10" cm="1">
        <f t="array" aca="1" ref="FZ122" ca="1">(1-$B$18)*SUMPRODUCT(OFFSET($BO$15,0,0,$B$14,1), 1*(_xlfn._xlws.FILTER(OFFSET($O$15,0,$DN122,$B$8,1),OFFSET($M$15,0,0,$B$8,1))=FZ$13), 1*(_xlfn._xlws.FILTER(OFFSET($O$15,0,$DO122,$B$8,1),OFFSET($M$15,0,0,$B$8,1))=FZ$14))   /   SUM(OFFSET($BO$15,0,0,$B$14,1)) + $B$18/($B$19*$B$19*($DN122&lt;&gt;$DO122) + $B$19*($DN122=$DO122))</f>
        <v>3.7037037037037035E-4</v>
      </c>
      <c r="GA122" s="10" cm="1">
        <f t="array" aca="1" ref="GA122" ca="1">(1-$B$18)*SUMPRODUCT(OFFSET($BO$15,0,0,$B$14,1), 1*(_xlfn._xlws.FILTER(OFFSET($O$15,0,$DN122,$B$8,1),OFFSET($M$15,0,0,$B$8,1))=GA$13), 1*(_xlfn._xlws.FILTER(OFFSET($O$15,0,$DO122,$B$8,1),OFFSET($M$15,0,0,$B$8,1))=GA$14))   /   SUM(OFFSET($BO$15,0,0,$B$14,1)) + $B$18/($B$19*$B$19*($DN122&lt;&gt;$DO122) + $B$19*($DN122=$DO122))</f>
        <v>3.7037037037037035E-4</v>
      </c>
    </row>
    <row r="123" spans="7:183" x14ac:dyDescent="0.2">
      <c r="G123" s="2"/>
      <c r="H123" s="2"/>
      <c r="AH123" s="2"/>
      <c r="AI123" s="2"/>
      <c r="DN123" cm="1">
        <f t="array" aca="1" ref="DN123" ca="1">INDEX(_xlfn.ANCHORARRAY($CP$15), 1 + INT((ROWS($DO$15:$DO123) - 1) / ROWS(_xlfn.ANCHORARRAY($CP$15))))</f>
        <v>5</v>
      </c>
      <c r="DO123" cm="1">
        <f t="array" aca="1" ref="DO123" ca="1">INDEX(_xlfn.ANCHORARRAY($CP$15),1+MOD(ROWS($DO$15:$DO123)-1,ROWS(_xlfn.ANCHORARRAY($CP$15))))</f>
        <v>14</v>
      </c>
      <c r="DP123" s="10" cm="1">
        <f t="array" aca="1" ref="DP123" ca="1">(1-$B$18)*SUMPRODUCT(OFFSET($BO$15,0,0,$B$14,1), 1*(_xlfn._xlws.FILTER(OFFSET($O$15,0,$DN123,$B$8,1),OFFSET($M$15,0,0,$B$8,1))=DP$13), 1*(_xlfn._xlws.FILTER(OFFSET($O$15,0,$DO123,$B$8,1),OFFSET($M$15,0,0,$B$8,1))=DP$14))   /   SUM(OFFSET($BO$15,0,0,$B$14,1)) + $B$18/($B$19*$B$19*($DN123&lt;&gt;$DO123) + $B$19*($DN123=$DO123))</f>
        <v>3.7037037037037035E-4</v>
      </c>
      <c r="DQ123" s="10" cm="1">
        <f t="array" aca="1" ref="DQ123" ca="1">(1-$B$18)*SUMPRODUCT(OFFSET($BO$15,0,0,$B$14,1), 1*(_xlfn._xlws.FILTER(OFFSET($O$15,0,$DN123,$B$8,1),OFFSET($M$15,0,0,$B$8,1))=DQ$13), 1*(_xlfn._xlws.FILTER(OFFSET($O$15,0,$DO123,$B$8,1),OFFSET($M$15,0,0,$B$8,1))=DQ$14))   /   SUM(OFFSET($BO$15,0,0,$B$14,1)) + $B$18/($B$19*$B$19*($DN123&lt;&gt;$DO123) + $B$19*($DN123=$DO123))</f>
        <v>3.7037037037037035E-4</v>
      </c>
      <c r="DR123" s="10" cm="1">
        <f t="array" aca="1" ref="DR123" ca="1">(1-$B$18)*SUMPRODUCT(OFFSET($BO$15,0,0,$B$14,1), 1*(_xlfn._xlws.FILTER(OFFSET($O$15,0,$DN123,$B$8,1),OFFSET($M$15,0,0,$B$8,1))=DR$13), 1*(_xlfn._xlws.FILTER(OFFSET($O$15,0,$DO123,$B$8,1),OFFSET($M$15,0,0,$B$8,1))=DR$14))   /   SUM(OFFSET($BO$15,0,0,$B$14,1)) + $B$18/($B$19*$B$19*($DN123&lt;&gt;$DO123) + $B$19*($DN123=$DO123))</f>
        <v>3.7037037037037035E-4</v>
      </c>
      <c r="DS123" s="10" cm="1">
        <f t="array" aca="1" ref="DS123" ca="1">(1-$B$18)*SUMPRODUCT(OFFSET($BO$15,0,0,$B$14,1), 1*(_xlfn._xlws.FILTER(OFFSET($O$15,0,$DN123,$B$8,1),OFFSET($M$15,0,0,$B$8,1))=DS$13), 1*(_xlfn._xlws.FILTER(OFFSET($O$15,0,$DO123,$B$8,1),OFFSET($M$15,0,0,$B$8,1))=DS$14))   /   SUM(OFFSET($BO$15,0,0,$B$14,1)) + $B$18/($B$19*$B$19*($DN123&lt;&gt;$DO123) + $B$19*($DN123=$DO123))</f>
        <v>3.7037037037037035E-4</v>
      </c>
      <c r="DT123" s="10" cm="1">
        <f t="array" aca="1" ref="DT123" ca="1">(1-$B$18)*SUMPRODUCT(OFFSET($BO$15,0,0,$B$14,1), 1*(_xlfn._xlws.FILTER(OFFSET($O$15,0,$DN123,$B$8,1),OFFSET($M$15,0,0,$B$8,1))=DT$13), 1*(_xlfn._xlws.FILTER(OFFSET($O$15,0,$DO123,$B$8,1),OFFSET($M$15,0,0,$B$8,1))=DT$14))   /   SUM(OFFSET($BO$15,0,0,$B$14,1)) + $B$18/($B$19*$B$19*($DN123&lt;&gt;$DO123) + $B$19*($DN123=$DO123))</f>
        <v>3.7037037037037035E-4</v>
      </c>
      <c r="DU123" s="10" cm="1">
        <f t="array" aca="1" ref="DU123" ca="1">(1-$B$18)*SUMPRODUCT(OFFSET($BO$15,0,0,$B$14,1), 1*(_xlfn._xlws.FILTER(OFFSET($O$15,0,$DN123,$B$8,1),OFFSET($M$15,0,0,$B$8,1))=DU$13), 1*(_xlfn._xlws.FILTER(OFFSET($O$15,0,$DO123,$B$8,1),OFFSET($M$15,0,0,$B$8,1))=DU$14))   /   SUM(OFFSET($BO$15,0,0,$B$14,1)) + $B$18/($B$19*$B$19*($DN123&lt;&gt;$DO123) + $B$19*($DN123=$DO123))</f>
        <v>3.7037037037037035E-4</v>
      </c>
      <c r="DV123" s="10" cm="1">
        <f t="array" aca="1" ref="DV123" ca="1">(1-$B$18)*SUMPRODUCT(OFFSET($BO$15,0,0,$B$14,1), 1*(_xlfn._xlws.FILTER(OFFSET($O$15,0,$DN123,$B$8,1),OFFSET($M$15,0,0,$B$8,1))=DV$13), 1*(_xlfn._xlws.FILTER(OFFSET($O$15,0,$DO123,$B$8,1),OFFSET($M$15,0,0,$B$8,1))=DV$14))   /   SUM(OFFSET($BO$15,0,0,$B$14,1)) + $B$18/($B$19*$B$19*($DN123&lt;&gt;$DO123) + $B$19*($DN123=$DO123))</f>
        <v>3.7037037037037035E-4</v>
      </c>
      <c r="DW123" s="10" cm="1">
        <f t="array" aca="1" ref="DW123" ca="1">(1-$B$18)*SUMPRODUCT(OFFSET($BO$15,0,0,$B$14,1), 1*(_xlfn._xlws.FILTER(OFFSET($O$15,0,$DN123,$B$8,1),OFFSET($M$15,0,0,$B$8,1))=DW$13), 1*(_xlfn._xlws.FILTER(OFFSET($O$15,0,$DO123,$B$8,1),OFFSET($M$15,0,0,$B$8,1))=DW$14))   /   SUM(OFFSET($BO$15,0,0,$B$14,1)) + $B$18/($B$19*$B$19*($DN123&lt;&gt;$DO123) + $B$19*($DN123=$DO123))</f>
        <v>3.7037037037037035E-4</v>
      </c>
      <c r="DX123" s="10" cm="1">
        <f t="array" aca="1" ref="DX123" ca="1">(1-$B$18)*SUMPRODUCT(OFFSET($BO$15,0,0,$B$14,1), 1*(_xlfn._xlws.FILTER(OFFSET($O$15,0,$DN123,$B$8,1),OFFSET($M$15,0,0,$B$8,1))=DX$13), 1*(_xlfn._xlws.FILTER(OFFSET($O$15,0,$DO123,$B$8,1),OFFSET($M$15,0,0,$B$8,1))=DX$14))   /   SUM(OFFSET($BO$15,0,0,$B$14,1)) + $B$18/($B$19*$B$19*($DN123&lt;&gt;$DO123) + $B$19*($DN123=$DO123))</f>
        <v>3.7037037037037035E-4</v>
      </c>
      <c r="DY123" s="10" cm="1">
        <f t="array" aca="1" ref="DY123" ca="1">(1-$B$18)*SUMPRODUCT(OFFSET($BO$15,0,0,$B$14,1), 1*(_xlfn._xlws.FILTER(OFFSET($O$15,0,$DN123,$B$8,1),OFFSET($M$15,0,0,$B$8,1))=DY$13), 1*(_xlfn._xlws.FILTER(OFFSET($O$15,0,$DO123,$B$8,1),OFFSET($M$15,0,0,$B$8,1))=DY$14))   /   SUM(OFFSET($BO$15,0,0,$B$14,1)) + $B$18/($B$19*$B$19*($DN123&lt;&gt;$DO123) + $B$19*($DN123=$DO123))</f>
        <v>3.7037037037037035E-4</v>
      </c>
      <c r="DZ123" s="10" cm="1">
        <f t="array" aca="1" ref="DZ123" ca="1">(1-$B$18)*SUMPRODUCT(OFFSET($BO$15,0,0,$B$14,1), 1*(_xlfn._xlws.FILTER(OFFSET($O$15,0,$DN123,$B$8,1),OFFSET($M$15,0,0,$B$8,1))=DZ$13), 1*(_xlfn._xlws.FILTER(OFFSET($O$15,0,$DO123,$B$8,1),OFFSET($M$15,0,0,$B$8,1))=DZ$14))   /   SUM(OFFSET($BO$15,0,0,$B$14,1)) + $B$18/($B$19*$B$19*($DN123&lt;&gt;$DO123) + $B$19*($DN123=$DO123))</f>
        <v>3.7037037037037035E-4</v>
      </c>
      <c r="EA123" s="10" cm="1">
        <f t="array" aca="1" ref="EA123" ca="1">(1-$B$18)*SUMPRODUCT(OFFSET($BO$15,0,0,$B$14,1), 1*(_xlfn._xlws.FILTER(OFFSET($O$15,0,$DN123,$B$8,1),OFFSET($M$15,0,0,$B$8,1))=EA$13), 1*(_xlfn._xlws.FILTER(OFFSET($O$15,0,$DO123,$B$8,1),OFFSET($M$15,0,0,$B$8,1))=EA$14))   /   SUM(OFFSET($BO$15,0,0,$B$14,1)) + $B$18/($B$19*$B$19*($DN123&lt;&gt;$DO123) + $B$19*($DN123=$DO123))</f>
        <v>3.7037037037037035E-4</v>
      </c>
      <c r="EB123" s="10" cm="1">
        <f t="array" aca="1" ref="EB123" ca="1">(1-$B$18)*SUMPRODUCT(OFFSET($BO$15,0,0,$B$14,1), 1*(_xlfn._xlws.FILTER(OFFSET($O$15,0,$DN123,$B$8,1),OFFSET($M$15,0,0,$B$8,1))=EB$13), 1*(_xlfn._xlws.FILTER(OFFSET($O$15,0,$DO123,$B$8,1),OFFSET($M$15,0,0,$B$8,1))=EB$14))   /   SUM(OFFSET($BO$15,0,0,$B$14,1)) + $B$18/($B$19*$B$19*($DN123&lt;&gt;$DO123) + $B$19*($DN123=$DO123))</f>
        <v>3.7037037037037035E-4</v>
      </c>
      <c r="EC123" s="10" cm="1">
        <f t="array" aca="1" ref="EC123" ca="1">(1-$B$18)*SUMPRODUCT(OFFSET($BO$15,0,0,$B$14,1), 1*(_xlfn._xlws.FILTER(OFFSET($O$15,0,$DN123,$B$8,1),OFFSET($M$15,0,0,$B$8,1))=EC$13), 1*(_xlfn._xlws.FILTER(OFFSET($O$15,0,$DO123,$B$8,1),OFFSET($M$15,0,0,$B$8,1))=EC$14))   /   SUM(OFFSET($BO$15,0,0,$B$14,1)) + $B$18/($B$19*$B$19*($DN123&lt;&gt;$DO123) + $B$19*($DN123=$DO123))</f>
        <v>3.7037037037037035E-4</v>
      </c>
      <c r="ED123" s="10" cm="1">
        <f t="array" aca="1" ref="ED123" ca="1">(1-$B$18)*SUMPRODUCT(OFFSET($BO$15,0,0,$B$14,1), 1*(_xlfn._xlws.FILTER(OFFSET($O$15,0,$DN123,$B$8,1),OFFSET($M$15,0,0,$B$8,1))=ED$13), 1*(_xlfn._xlws.FILTER(OFFSET($O$15,0,$DO123,$B$8,1),OFFSET($M$15,0,0,$B$8,1))=ED$14))   /   SUM(OFFSET($BO$15,0,0,$B$14,1)) + $B$18/($B$19*$B$19*($DN123&lt;&gt;$DO123) + $B$19*($DN123=$DO123))</f>
        <v>3.7037037037037035E-4</v>
      </c>
      <c r="EE123" s="10" cm="1">
        <f t="array" aca="1" ref="EE123" ca="1">(1-$B$18)*SUMPRODUCT(OFFSET($BO$15,0,0,$B$14,1), 1*(_xlfn._xlws.FILTER(OFFSET($O$15,0,$DN123,$B$8,1),OFFSET($M$15,0,0,$B$8,1))=EE$13), 1*(_xlfn._xlws.FILTER(OFFSET($O$15,0,$DO123,$B$8,1),OFFSET($M$15,0,0,$B$8,1))=EE$14))   /   SUM(OFFSET($BO$15,0,0,$B$14,1)) + $B$18/($B$19*$B$19*($DN123&lt;&gt;$DO123) + $B$19*($DN123=$DO123))</f>
        <v>3.7037037037037035E-4</v>
      </c>
      <c r="EF123" s="10" cm="1">
        <f t="array" aca="1" ref="EF123" ca="1">(1-$B$18)*SUMPRODUCT(OFFSET($BO$15,0,0,$B$14,1), 1*(_xlfn._xlws.FILTER(OFFSET($O$15,0,$DN123,$B$8,1),OFFSET($M$15,0,0,$B$8,1))=EF$13), 1*(_xlfn._xlws.FILTER(OFFSET($O$15,0,$DO123,$B$8,1),OFFSET($M$15,0,0,$B$8,1))=EF$14))   /   SUM(OFFSET($BO$15,0,0,$B$14,1)) + $B$18/($B$19*$B$19*($DN123&lt;&gt;$DO123) + $B$19*($DN123=$DO123))</f>
        <v>3.7037037037037035E-4</v>
      </c>
      <c r="EG123" s="10" cm="1">
        <f t="array" aca="1" ref="EG123" ca="1">(1-$B$18)*SUMPRODUCT(OFFSET($BO$15,0,0,$B$14,1), 1*(_xlfn._xlws.FILTER(OFFSET($O$15,0,$DN123,$B$8,1),OFFSET($M$15,0,0,$B$8,1))=EG$13), 1*(_xlfn._xlws.FILTER(OFFSET($O$15,0,$DO123,$B$8,1),OFFSET($M$15,0,0,$B$8,1))=EG$14))   /   SUM(OFFSET($BO$15,0,0,$B$14,1)) + $B$18/($B$19*$B$19*($DN123&lt;&gt;$DO123) + $B$19*($DN123=$DO123))</f>
        <v>3.7037037037037035E-4</v>
      </c>
      <c r="EH123" s="10" cm="1">
        <f t="array" aca="1" ref="EH123" ca="1">(1-$B$18)*SUMPRODUCT(OFFSET($BO$15,0,0,$B$14,1), 1*(_xlfn._xlws.FILTER(OFFSET($O$15,0,$DN123,$B$8,1),OFFSET($M$15,0,0,$B$8,1))=EH$13), 1*(_xlfn._xlws.FILTER(OFFSET($O$15,0,$DO123,$B$8,1),OFFSET($M$15,0,0,$B$8,1))=EH$14))   /   SUM(OFFSET($BO$15,0,0,$B$14,1)) + $B$18/($B$19*$B$19*($DN123&lt;&gt;$DO123) + $B$19*($DN123=$DO123))</f>
        <v>3.7037037037037035E-4</v>
      </c>
      <c r="EI123" s="10" cm="1">
        <f t="array" aca="1" ref="EI123" ca="1">(1-$B$18)*SUMPRODUCT(OFFSET($BO$15,0,0,$B$14,1), 1*(_xlfn._xlws.FILTER(OFFSET($O$15,0,$DN123,$B$8,1),OFFSET($M$15,0,0,$B$8,1))=EI$13), 1*(_xlfn._xlws.FILTER(OFFSET($O$15,0,$DO123,$B$8,1),OFFSET($M$15,0,0,$B$8,1))=EI$14))   /   SUM(OFFSET($BO$15,0,0,$B$14,1)) + $B$18/($B$19*$B$19*($DN123&lt;&gt;$DO123) + $B$19*($DN123=$DO123))</f>
        <v>3.7037037037037035E-4</v>
      </c>
      <c r="EJ123" s="10" cm="1">
        <f t="array" aca="1" ref="EJ123" ca="1">(1-$B$18)*SUMPRODUCT(OFFSET($BO$15,0,0,$B$14,1), 1*(_xlfn._xlws.FILTER(OFFSET($O$15,0,$DN123,$B$8,1),OFFSET($M$15,0,0,$B$8,1))=EJ$13), 1*(_xlfn._xlws.FILTER(OFFSET($O$15,0,$DO123,$B$8,1),OFFSET($M$15,0,0,$B$8,1))=EJ$14))   /   SUM(OFFSET($BO$15,0,0,$B$14,1)) + $B$18/($B$19*$B$19*($DN123&lt;&gt;$DO123) + $B$19*($DN123=$DO123))</f>
        <v>3.7037037037037035E-4</v>
      </c>
      <c r="EK123" s="10" cm="1">
        <f t="array" aca="1" ref="EK123" ca="1">(1-$B$18)*SUMPRODUCT(OFFSET($BO$15,0,0,$B$14,1), 1*(_xlfn._xlws.FILTER(OFFSET($O$15,0,$DN123,$B$8,1),OFFSET($M$15,0,0,$B$8,1))=EK$13), 1*(_xlfn._xlws.FILTER(OFFSET($O$15,0,$DO123,$B$8,1),OFFSET($M$15,0,0,$B$8,1))=EK$14))   /   SUM(OFFSET($BO$15,0,0,$B$14,1)) + $B$18/($B$19*$B$19*($DN123&lt;&gt;$DO123) + $B$19*($DN123=$DO123))</f>
        <v>3.7037037037037035E-4</v>
      </c>
      <c r="EL123" s="10" cm="1">
        <f t="array" aca="1" ref="EL123" ca="1">(1-$B$18)*SUMPRODUCT(OFFSET($BO$15,0,0,$B$14,1), 1*(_xlfn._xlws.FILTER(OFFSET($O$15,0,$DN123,$B$8,1),OFFSET($M$15,0,0,$B$8,1))=EL$13), 1*(_xlfn._xlws.FILTER(OFFSET($O$15,0,$DO123,$B$8,1),OFFSET($M$15,0,0,$B$8,1))=EL$14))   /   SUM(OFFSET($BO$15,0,0,$B$14,1)) + $B$18/($B$19*$B$19*($DN123&lt;&gt;$DO123) + $B$19*($DN123=$DO123))</f>
        <v>3.7037037037037035E-4</v>
      </c>
      <c r="EM123" s="10" cm="1">
        <f t="array" aca="1" ref="EM123" ca="1">(1-$B$18)*SUMPRODUCT(OFFSET($BO$15,0,0,$B$14,1), 1*(_xlfn._xlws.FILTER(OFFSET($O$15,0,$DN123,$B$8,1),OFFSET($M$15,0,0,$B$8,1))=EM$13), 1*(_xlfn._xlws.FILTER(OFFSET($O$15,0,$DO123,$B$8,1),OFFSET($M$15,0,0,$B$8,1))=EM$14))   /   SUM(OFFSET($BO$15,0,0,$B$14,1)) + $B$18/($B$19*$B$19*($DN123&lt;&gt;$DO123) + $B$19*($DN123=$DO123))</f>
        <v>3.7037037037037035E-4</v>
      </c>
      <c r="EN123" s="10" cm="1">
        <f t="array" aca="1" ref="EN123" ca="1">(1-$B$18)*SUMPRODUCT(OFFSET($BO$15,0,0,$B$14,1), 1*(_xlfn._xlws.FILTER(OFFSET($O$15,0,$DN123,$B$8,1),OFFSET($M$15,0,0,$B$8,1))=EN$13), 1*(_xlfn._xlws.FILTER(OFFSET($O$15,0,$DO123,$B$8,1),OFFSET($M$15,0,0,$B$8,1))=EN$14))   /   SUM(OFFSET($BO$15,0,0,$B$14,1)) + $B$18/($B$19*$B$19*($DN123&lt;&gt;$DO123) + $B$19*($DN123=$DO123))</f>
        <v>3.7037037037037035E-4</v>
      </c>
      <c r="EO123" s="10" cm="1">
        <f t="array" aca="1" ref="EO123" ca="1">(1-$B$18)*SUMPRODUCT(OFFSET($BO$15,0,0,$B$14,1), 1*(_xlfn._xlws.FILTER(OFFSET($O$15,0,$DN123,$B$8,1),OFFSET($M$15,0,0,$B$8,1))=EO$13), 1*(_xlfn._xlws.FILTER(OFFSET($O$15,0,$DO123,$B$8,1),OFFSET($M$15,0,0,$B$8,1))=EO$14))   /   SUM(OFFSET($BO$15,0,0,$B$14,1)) + $B$18/($B$19*$B$19*($DN123&lt;&gt;$DO123) + $B$19*($DN123=$DO123))</f>
        <v>3.7037037037037035E-4</v>
      </c>
      <c r="EP123" s="10" cm="1">
        <f t="array" aca="1" ref="EP123" ca="1">(1-$B$18)*SUMPRODUCT(OFFSET($BO$15,0,0,$B$14,1), 1*(_xlfn._xlws.FILTER(OFFSET($O$15,0,$DN123,$B$8,1),OFFSET($M$15,0,0,$B$8,1))=EP$13), 1*(_xlfn._xlws.FILTER(OFFSET($O$15,0,$DO123,$B$8,1),OFFSET($M$15,0,0,$B$8,1))=EP$14))   /   SUM(OFFSET($BO$15,0,0,$B$14,1)) + $B$18/($B$19*$B$19*($DN123&lt;&gt;$DO123) + $B$19*($DN123=$DO123))</f>
        <v>3.7037037037037035E-4</v>
      </c>
      <c r="EQ123" s="10" cm="1">
        <f t="array" aca="1" ref="EQ123" ca="1">(1-$B$18)*SUMPRODUCT(OFFSET($BO$15,0,0,$B$14,1), 1*(_xlfn._xlws.FILTER(OFFSET($O$15,0,$DN123,$B$8,1),OFFSET($M$15,0,0,$B$8,1))=EQ$13), 1*(_xlfn._xlws.FILTER(OFFSET($O$15,0,$DO123,$B$8,1),OFFSET($M$15,0,0,$B$8,1))=EQ$14))   /   SUM(OFFSET($BO$15,0,0,$B$14,1)) + $B$18/($B$19*$B$19*($DN123&lt;&gt;$DO123) + $B$19*($DN123=$DO123))</f>
        <v>3.7037037037037035E-4</v>
      </c>
      <c r="ER123" s="10" cm="1">
        <f t="array" aca="1" ref="ER123" ca="1">(1-$B$18)*SUMPRODUCT(OFFSET($BO$15,0,0,$B$14,1), 1*(_xlfn._xlws.FILTER(OFFSET($O$15,0,$DN123,$B$8,1),OFFSET($M$15,0,0,$B$8,1))=ER$13), 1*(_xlfn._xlws.FILTER(OFFSET($O$15,0,$DO123,$B$8,1),OFFSET($M$15,0,0,$B$8,1))=ER$14))   /   SUM(OFFSET($BO$15,0,0,$B$14,1)) + $B$18/($B$19*$B$19*($DN123&lt;&gt;$DO123) + $B$19*($DN123=$DO123))</f>
        <v>3.7037037037037035E-4</v>
      </c>
      <c r="ES123" s="10" cm="1">
        <f t="array" aca="1" ref="ES123" ca="1">(1-$B$18)*SUMPRODUCT(OFFSET($BO$15,0,0,$B$14,1), 1*(_xlfn._xlws.FILTER(OFFSET($O$15,0,$DN123,$B$8,1),OFFSET($M$15,0,0,$B$8,1))=ES$13), 1*(_xlfn._xlws.FILTER(OFFSET($O$15,0,$DO123,$B$8,1),OFFSET($M$15,0,0,$B$8,1))=ES$14))   /   SUM(OFFSET($BO$15,0,0,$B$14,1)) + $B$18/($B$19*$B$19*($DN123&lt;&gt;$DO123) + $B$19*($DN123=$DO123))</f>
        <v>3.7037037037037035E-4</v>
      </c>
      <c r="ET123" s="10" cm="1">
        <f t="array" aca="1" ref="ET123" ca="1">(1-$B$18)*SUMPRODUCT(OFFSET($BO$15,0,0,$B$14,1), 1*(_xlfn._xlws.FILTER(OFFSET($O$15,0,$DN123,$B$8,1),OFFSET($M$15,0,0,$B$8,1))=ET$13), 1*(_xlfn._xlws.FILTER(OFFSET($O$15,0,$DO123,$B$8,1),OFFSET($M$15,0,0,$B$8,1))=ET$14))   /   SUM(OFFSET($BO$15,0,0,$B$14,1)) + $B$18/($B$19*$B$19*($DN123&lt;&gt;$DO123) + $B$19*($DN123=$DO123))</f>
        <v>3.7037037037037035E-4</v>
      </c>
      <c r="EU123" s="10" cm="1">
        <f t="array" aca="1" ref="EU123" ca="1">(1-$B$18)*SUMPRODUCT(OFFSET($BO$15,0,0,$B$14,1), 1*(_xlfn._xlws.FILTER(OFFSET($O$15,0,$DN123,$B$8,1),OFFSET($M$15,0,0,$B$8,1))=EU$13), 1*(_xlfn._xlws.FILTER(OFFSET($O$15,0,$DO123,$B$8,1),OFFSET($M$15,0,0,$B$8,1))=EU$14))   /   SUM(OFFSET($BO$15,0,0,$B$14,1)) + $B$18/($B$19*$B$19*($DN123&lt;&gt;$DO123) + $B$19*($DN123=$DO123))</f>
        <v>3.7037037037037035E-4</v>
      </c>
      <c r="EV123" s="10" cm="1">
        <f t="array" aca="1" ref="EV123" ca="1">(1-$B$18)*SUMPRODUCT(OFFSET($BO$15,0,0,$B$14,1), 1*(_xlfn._xlws.FILTER(OFFSET($O$15,0,$DN123,$B$8,1),OFFSET($M$15,0,0,$B$8,1))=EV$13), 1*(_xlfn._xlws.FILTER(OFFSET($O$15,0,$DO123,$B$8,1),OFFSET($M$15,0,0,$B$8,1))=EV$14))   /   SUM(OFFSET($BO$15,0,0,$B$14,1)) + $B$18/($B$19*$B$19*($DN123&lt;&gt;$DO123) + $B$19*($DN123=$DO123))</f>
        <v>3.7037037037037035E-4</v>
      </c>
      <c r="EW123" s="10" cm="1">
        <f t="array" aca="1" ref="EW123" ca="1">(1-$B$18)*SUMPRODUCT(OFFSET($BO$15,0,0,$B$14,1), 1*(_xlfn._xlws.FILTER(OFFSET($O$15,0,$DN123,$B$8,1),OFFSET($M$15,0,0,$B$8,1))=EW$13), 1*(_xlfn._xlws.FILTER(OFFSET($O$15,0,$DO123,$B$8,1),OFFSET($M$15,0,0,$B$8,1))=EW$14))   /   SUM(OFFSET($BO$15,0,0,$B$14,1)) + $B$18/($B$19*$B$19*($DN123&lt;&gt;$DO123) + $B$19*($DN123=$DO123))</f>
        <v>3.7037037037037035E-4</v>
      </c>
      <c r="EX123" s="10" cm="1">
        <f t="array" aca="1" ref="EX123" ca="1">(1-$B$18)*SUMPRODUCT(OFFSET($BO$15,0,0,$B$14,1), 1*(_xlfn._xlws.FILTER(OFFSET($O$15,0,$DN123,$B$8,1),OFFSET($M$15,0,0,$B$8,1))=EX$13), 1*(_xlfn._xlws.FILTER(OFFSET($O$15,0,$DO123,$B$8,1),OFFSET($M$15,0,0,$B$8,1))=EX$14))   /   SUM(OFFSET($BO$15,0,0,$B$14,1)) + $B$18/($B$19*$B$19*($DN123&lt;&gt;$DO123) + $B$19*($DN123=$DO123))</f>
        <v>3.7037037037037035E-4</v>
      </c>
      <c r="EY123" s="10" cm="1">
        <f t="array" aca="1" ref="EY123" ca="1">(1-$B$18)*SUMPRODUCT(OFFSET($BO$15,0,0,$B$14,1), 1*(_xlfn._xlws.FILTER(OFFSET($O$15,0,$DN123,$B$8,1),OFFSET($M$15,0,0,$B$8,1))=EY$13), 1*(_xlfn._xlws.FILTER(OFFSET($O$15,0,$DO123,$B$8,1),OFFSET($M$15,0,0,$B$8,1))=EY$14))   /   SUM(OFFSET($BO$15,0,0,$B$14,1)) + $B$18/($B$19*$B$19*($DN123&lt;&gt;$DO123) + $B$19*($DN123=$DO123))</f>
        <v>3.7037037037037035E-4</v>
      </c>
      <c r="EZ123" s="10" cm="1">
        <f t="array" aca="1" ref="EZ123" ca="1">(1-$B$18)*SUMPRODUCT(OFFSET($BO$15,0,0,$B$14,1), 1*(_xlfn._xlws.FILTER(OFFSET($O$15,0,$DN123,$B$8,1),OFFSET($M$15,0,0,$B$8,1))=EZ$13), 1*(_xlfn._xlws.FILTER(OFFSET($O$15,0,$DO123,$B$8,1),OFFSET($M$15,0,0,$B$8,1))=EZ$14))   /   SUM(OFFSET($BO$15,0,0,$B$14,1)) + $B$18/($B$19*$B$19*($DN123&lt;&gt;$DO123) + $B$19*($DN123=$DO123))</f>
        <v>3.7037037037037035E-4</v>
      </c>
      <c r="FA123" s="10" cm="1">
        <f t="array" aca="1" ref="FA123" ca="1">(1-$B$18)*SUMPRODUCT(OFFSET($BO$15,0,0,$B$14,1), 1*(_xlfn._xlws.FILTER(OFFSET($O$15,0,$DN123,$B$8,1),OFFSET($M$15,0,0,$B$8,1))=FA$13), 1*(_xlfn._xlws.FILTER(OFFSET($O$15,0,$DO123,$B$8,1),OFFSET($M$15,0,0,$B$8,1))=FA$14))   /   SUM(OFFSET($BO$15,0,0,$B$14,1)) + $B$18/($B$19*$B$19*($DN123&lt;&gt;$DO123) + $B$19*($DN123=$DO123))</f>
        <v>3.7037037037037035E-4</v>
      </c>
      <c r="FB123" s="10" cm="1">
        <f t="array" aca="1" ref="FB123" ca="1">(1-$B$18)*SUMPRODUCT(OFFSET($BO$15,0,0,$B$14,1), 1*(_xlfn._xlws.FILTER(OFFSET($O$15,0,$DN123,$B$8,1),OFFSET($M$15,0,0,$B$8,1))=FB$13), 1*(_xlfn._xlws.FILTER(OFFSET($O$15,0,$DO123,$B$8,1),OFFSET($M$15,0,0,$B$8,1))=FB$14))   /   SUM(OFFSET($BO$15,0,0,$B$14,1)) + $B$18/($B$19*$B$19*($DN123&lt;&gt;$DO123) + $B$19*($DN123=$DO123))</f>
        <v>3.7037037037037035E-4</v>
      </c>
      <c r="FC123" s="10" cm="1">
        <f t="array" aca="1" ref="FC123" ca="1">(1-$B$18)*SUMPRODUCT(OFFSET($BO$15,0,0,$B$14,1), 1*(_xlfn._xlws.FILTER(OFFSET($O$15,0,$DN123,$B$8,1),OFFSET($M$15,0,0,$B$8,1))=FC$13), 1*(_xlfn._xlws.FILTER(OFFSET($O$15,0,$DO123,$B$8,1),OFFSET($M$15,0,0,$B$8,1))=FC$14))   /   SUM(OFFSET($BO$15,0,0,$B$14,1)) + $B$18/($B$19*$B$19*($DN123&lt;&gt;$DO123) + $B$19*($DN123=$DO123))</f>
        <v>3.7037037037037035E-4</v>
      </c>
      <c r="FD123" s="10" cm="1">
        <f t="array" aca="1" ref="FD123" ca="1">(1-$B$18)*SUMPRODUCT(OFFSET($BO$15,0,0,$B$14,1), 1*(_xlfn._xlws.FILTER(OFFSET($O$15,0,$DN123,$B$8,1),OFFSET($M$15,0,0,$B$8,1))=FD$13), 1*(_xlfn._xlws.FILTER(OFFSET($O$15,0,$DO123,$B$8,1),OFFSET($M$15,0,0,$B$8,1))=FD$14))   /   SUM(OFFSET($BO$15,0,0,$B$14,1)) + $B$18/($B$19*$B$19*($DN123&lt;&gt;$DO123) + $B$19*($DN123=$DO123))</f>
        <v>3.7037037037037035E-4</v>
      </c>
      <c r="FE123" s="10" cm="1">
        <f t="array" aca="1" ref="FE123" ca="1">(1-$B$18)*SUMPRODUCT(OFFSET($BO$15,0,0,$B$14,1), 1*(_xlfn._xlws.FILTER(OFFSET($O$15,0,$DN123,$B$8,1),OFFSET($M$15,0,0,$B$8,1))=FE$13), 1*(_xlfn._xlws.FILTER(OFFSET($O$15,0,$DO123,$B$8,1),OFFSET($M$15,0,0,$B$8,1))=FE$14))   /   SUM(OFFSET($BO$15,0,0,$B$14,1)) + $B$18/($B$19*$B$19*($DN123&lt;&gt;$DO123) + $B$19*($DN123=$DO123))</f>
        <v>3.7037037037037035E-4</v>
      </c>
      <c r="FF123" s="10" cm="1">
        <f t="array" aca="1" ref="FF123" ca="1">(1-$B$18)*SUMPRODUCT(OFFSET($BO$15,0,0,$B$14,1), 1*(_xlfn._xlws.FILTER(OFFSET($O$15,0,$DN123,$B$8,1),OFFSET($M$15,0,0,$B$8,1))=FF$13), 1*(_xlfn._xlws.FILTER(OFFSET($O$15,0,$DO123,$B$8,1),OFFSET($M$15,0,0,$B$8,1))=FF$14))   /   SUM(OFFSET($BO$15,0,0,$B$14,1)) + $B$18/($B$19*$B$19*($DN123&lt;&gt;$DO123) + $B$19*($DN123=$DO123))</f>
        <v>3.7037037037037035E-4</v>
      </c>
      <c r="FG123" s="10" cm="1">
        <f t="array" aca="1" ref="FG123" ca="1">(1-$B$18)*SUMPRODUCT(OFFSET($BO$15,0,0,$B$14,1), 1*(_xlfn._xlws.FILTER(OFFSET($O$15,0,$DN123,$B$8,1),OFFSET($M$15,0,0,$B$8,1))=FG$13), 1*(_xlfn._xlws.FILTER(OFFSET($O$15,0,$DO123,$B$8,1),OFFSET($M$15,0,0,$B$8,1))=FG$14))   /   SUM(OFFSET($BO$15,0,0,$B$14,1)) + $B$18/($B$19*$B$19*($DN123&lt;&gt;$DO123) + $B$19*($DN123=$DO123))</f>
        <v>3.7037037037037035E-4</v>
      </c>
      <c r="FH123" s="10" cm="1">
        <f t="array" aca="1" ref="FH123" ca="1">(1-$B$18)*SUMPRODUCT(OFFSET($BO$15,0,0,$B$14,1), 1*(_xlfn._xlws.FILTER(OFFSET($O$15,0,$DN123,$B$8,1),OFFSET($M$15,0,0,$B$8,1))=FH$13), 1*(_xlfn._xlws.FILTER(OFFSET($O$15,0,$DO123,$B$8,1),OFFSET($M$15,0,0,$B$8,1))=FH$14))   /   SUM(OFFSET($BO$15,0,0,$B$14,1)) + $B$18/($B$19*$B$19*($DN123&lt;&gt;$DO123) + $B$19*($DN123=$DO123))</f>
        <v>3.7037037037037035E-4</v>
      </c>
      <c r="FI123" s="10" cm="1">
        <f t="array" aca="1" ref="FI123" ca="1">(1-$B$18)*SUMPRODUCT(OFFSET($BO$15,0,0,$B$14,1), 1*(_xlfn._xlws.FILTER(OFFSET($O$15,0,$DN123,$B$8,1),OFFSET($M$15,0,0,$B$8,1))=FI$13), 1*(_xlfn._xlws.FILTER(OFFSET($O$15,0,$DO123,$B$8,1),OFFSET($M$15,0,0,$B$8,1))=FI$14))   /   SUM(OFFSET($BO$15,0,0,$B$14,1)) + $B$18/($B$19*$B$19*($DN123&lt;&gt;$DO123) + $B$19*($DN123=$DO123))</f>
        <v>3.7037037037037035E-4</v>
      </c>
      <c r="FJ123" s="10" cm="1">
        <f t="array" aca="1" ref="FJ123" ca="1">(1-$B$18)*SUMPRODUCT(OFFSET($BO$15,0,0,$B$14,1), 1*(_xlfn._xlws.FILTER(OFFSET($O$15,0,$DN123,$B$8,1),OFFSET($M$15,0,0,$B$8,1))=FJ$13), 1*(_xlfn._xlws.FILTER(OFFSET($O$15,0,$DO123,$B$8,1),OFFSET($M$15,0,0,$B$8,1))=FJ$14))   /   SUM(OFFSET($BO$15,0,0,$B$14,1)) + $B$18/($B$19*$B$19*($DN123&lt;&gt;$DO123) + $B$19*($DN123=$DO123))</f>
        <v>3.7037037037037035E-4</v>
      </c>
      <c r="FK123" s="10" cm="1">
        <f t="array" aca="1" ref="FK123" ca="1">(1-$B$18)*SUMPRODUCT(OFFSET($BO$15,0,0,$B$14,1), 1*(_xlfn._xlws.FILTER(OFFSET($O$15,0,$DN123,$B$8,1),OFFSET($M$15,0,0,$B$8,1))=FK$13), 1*(_xlfn._xlws.FILTER(OFFSET($O$15,0,$DO123,$B$8,1),OFFSET($M$15,0,0,$B$8,1))=FK$14))   /   SUM(OFFSET($BO$15,0,0,$B$14,1)) + $B$18/($B$19*$B$19*($DN123&lt;&gt;$DO123) + $B$19*($DN123=$DO123))</f>
        <v>3.7037037037037035E-4</v>
      </c>
      <c r="FL123" s="10" cm="1">
        <f t="array" aca="1" ref="FL123" ca="1">(1-$B$18)*SUMPRODUCT(OFFSET($BO$15,0,0,$B$14,1), 1*(_xlfn._xlws.FILTER(OFFSET($O$15,0,$DN123,$B$8,1),OFFSET($M$15,0,0,$B$8,1))=FL$13), 1*(_xlfn._xlws.FILTER(OFFSET($O$15,0,$DO123,$B$8,1),OFFSET($M$15,0,0,$B$8,1))=FL$14))   /   SUM(OFFSET($BO$15,0,0,$B$14,1)) + $B$18/($B$19*$B$19*($DN123&lt;&gt;$DO123) + $B$19*($DN123=$DO123))</f>
        <v>3.7037037037037035E-4</v>
      </c>
      <c r="FM123" s="10" cm="1">
        <f t="array" aca="1" ref="FM123" ca="1">(1-$B$18)*SUMPRODUCT(OFFSET($BO$15,0,0,$B$14,1), 1*(_xlfn._xlws.FILTER(OFFSET($O$15,0,$DN123,$B$8,1),OFFSET($M$15,0,0,$B$8,1))=FM$13), 1*(_xlfn._xlws.FILTER(OFFSET($O$15,0,$DO123,$B$8,1),OFFSET($M$15,0,0,$B$8,1))=FM$14))   /   SUM(OFFSET($BO$15,0,0,$B$14,1)) + $B$18/($B$19*$B$19*($DN123&lt;&gt;$DO123) + $B$19*($DN123=$DO123))</f>
        <v>3.7037037037037035E-4</v>
      </c>
      <c r="FN123" s="10" cm="1">
        <f t="array" aca="1" ref="FN123" ca="1">(1-$B$18)*SUMPRODUCT(OFFSET($BO$15,0,0,$B$14,1), 1*(_xlfn._xlws.FILTER(OFFSET($O$15,0,$DN123,$B$8,1),OFFSET($M$15,0,0,$B$8,1))=FN$13), 1*(_xlfn._xlws.FILTER(OFFSET($O$15,0,$DO123,$B$8,1),OFFSET($M$15,0,0,$B$8,1))=FN$14))   /   SUM(OFFSET($BO$15,0,0,$B$14,1)) + $B$18/($B$19*$B$19*($DN123&lt;&gt;$DO123) + $B$19*($DN123=$DO123))</f>
        <v>0.97037037037037033</v>
      </c>
      <c r="FO123" s="10" cm="1">
        <f t="array" aca="1" ref="FO123" ca="1">(1-$B$18)*SUMPRODUCT(OFFSET($BO$15,0,0,$B$14,1), 1*(_xlfn._xlws.FILTER(OFFSET($O$15,0,$DN123,$B$8,1),OFFSET($M$15,0,0,$B$8,1))=FO$13), 1*(_xlfn._xlws.FILTER(OFFSET($O$15,0,$DO123,$B$8,1),OFFSET($M$15,0,0,$B$8,1))=FO$14))   /   SUM(OFFSET($BO$15,0,0,$B$14,1)) + $B$18/($B$19*$B$19*($DN123&lt;&gt;$DO123) + $B$19*($DN123=$DO123))</f>
        <v>3.7037037037037035E-4</v>
      </c>
      <c r="FP123" s="10" cm="1">
        <f t="array" aca="1" ref="FP123" ca="1">(1-$B$18)*SUMPRODUCT(OFFSET($BO$15,0,0,$B$14,1), 1*(_xlfn._xlws.FILTER(OFFSET($O$15,0,$DN123,$B$8,1),OFFSET($M$15,0,0,$B$8,1))=FP$13), 1*(_xlfn._xlws.FILTER(OFFSET($O$15,0,$DO123,$B$8,1),OFFSET($M$15,0,0,$B$8,1))=FP$14))   /   SUM(OFFSET($BO$15,0,0,$B$14,1)) + $B$18/($B$19*$B$19*($DN123&lt;&gt;$DO123) + $B$19*($DN123=$DO123))</f>
        <v>3.7037037037037035E-4</v>
      </c>
      <c r="FQ123" s="10" cm="1">
        <f t="array" aca="1" ref="FQ123" ca="1">(1-$B$18)*SUMPRODUCT(OFFSET($BO$15,0,0,$B$14,1), 1*(_xlfn._xlws.FILTER(OFFSET($O$15,0,$DN123,$B$8,1),OFFSET($M$15,0,0,$B$8,1))=FQ$13), 1*(_xlfn._xlws.FILTER(OFFSET($O$15,0,$DO123,$B$8,1),OFFSET($M$15,0,0,$B$8,1))=FQ$14))   /   SUM(OFFSET($BO$15,0,0,$B$14,1)) + $B$18/($B$19*$B$19*($DN123&lt;&gt;$DO123) + $B$19*($DN123=$DO123))</f>
        <v>3.7037037037037035E-4</v>
      </c>
      <c r="FR123" s="10" cm="1">
        <f t="array" aca="1" ref="FR123" ca="1">(1-$B$18)*SUMPRODUCT(OFFSET($BO$15,0,0,$B$14,1), 1*(_xlfn._xlws.FILTER(OFFSET($O$15,0,$DN123,$B$8,1),OFFSET($M$15,0,0,$B$8,1))=FR$13), 1*(_xlfn._xlws.FILTER(OFFSET($O$15,0,$DO123,$B$8,1),OFFSET($M$15,0,0,$B$8,1))=FR$14))   /   SUM(OFFSET($BO$15,0,0,$B$14,1)) + $B$18/($B$19*$B$19*($DN123&lt;&gt;$DO123) + $B$19*($DN123=$DO123))</f>
        <v>3.7037037037037035E-4</v>
      </c>
      <c r="FS123" s="10" cm="1">
        <f t="array" aca="1" ref="FS123" ca="1">(1-$B$18)*SUMPRODUCT(OFFSET($BO$15,0,0,$B$14,1), 1*(_xlfn._xlws.FILTER(OFFSET($O$15,0,$DN123,$B$8,1),OFFSET($M$15,0,0,$B$8,1))=FS$13), 1*(_xlfn._xlws.FILTER(OFFSET($O$15,0,$DO123,$B$8,1),OFFSET($M$15,0,0,$B$8,1))=FS$14))   /   SUM(OFFSET($BO$15,0,0,$B$14,1)) + $B$18/($B$19*$B$19*($DN123&lt;&gt;$DO123) + $B$19*($DN123=$DO123))</f>
        <v>3.7037037037037035E-4</v>
      </c>
      <c r="FT123" s="10" cm="1">
        <f t="array" aca="1" ref="FT123" ca="1">(1-$B$18)*SUMPRODUCT(OFFSET($BO$15,0,0,$B$14,1), 1*(_xlfn._xlws.FILTER(OFFSET($O$15,0,$DN123,$B$8,1),OFFSET($M$15,0,0,$B$8,1))=FT$13), 1*(_xlfn._xlws.FILTER(OFFSET($O$15,0,$DO123,$B$8,1),OFFSET($M$15,0,0,$B$8,1))=FT$14))   /   SUM(OFFSET($BO$15,0,0,$B$14,1)) + $B$18/($B$19*$B$19*($DN123&lt;&gt;$DO123) + $B$19*($DN123=$DO123))</f>
        <v>3.7037037037037035E-4</v>
      </c>
      <c r="FU123" s="10" cm="1">
        <f t="array" aca="1" ref="FU123" ca="1">(1-$B$18)*SUMPRODUCT(OFFSET($BO$15,0,0,$B$14,1), 1*(_xlfn._xlws.FILTER(OFFSET($O$15,0,$DN123,$B$8,1),OFFSET($M$15,0,0,$B$8,1))=FU$13), 1*(_xlfn._xlws.FILTER(OFFSET($O$15,0,$DO123,$B$8,1),OFFSET($M$15,0,0,$B$8,1))=FU$14))   /   SUM(OFFSET($BO$15,0,0,$B$14,1)) + $B$18/($B$19*$B$19*($DN123&lt;&gt;$DO123) + $B$19*($DN123=$DO123))</f>
        <v>3.7037037037037035E-4</v>
      </c>
      <c r="FV123" s="10" cm="1">
        <f t="array" aca="1" ref="FV123" ca="1">(1-$B$18)*SUMPRODUCT(OFFSET($BO$15,0,0,$B$14,1), 1*(_xlfn._xlws.FILTER(OFFSET($O$15,0,$DN123,$B$8,1),OFFSET($M$15,0,0,$B$8,1))=FV$13), 1*(_xlfn._xlws.FILTER(OFFSET($O$15,0,$DO123,$B$8,1),OFFSET($M$15,0,0,$B$8,1))=FV$14))   /   SUM(OFFSET($BO$15,0,0,$B$14,1)) + $B$18/($B$19*$B$19*($DN123&lt;&gt;$DO123) + $B$19*($DN123=$DO123))</f>
        <v>3.7037037037037035E-4</v>
      </c>
      <c r="FW123" s="10" cm="1">
        <f t="array" aca="1" ref="FW123" ca="1">(1-$B$18)*SUMPRODUCT(OFFSET($BO$15,0,0,$B$14,1), 1*(_xlfn._xlws.FILTER(OFFSET($O$15,0,$DN123,$B$8,1),OFFSET($M$15,0,0,$B$8,1))=FW$13), 1*(_xlfn._xlws.FILTER(OFFSET($O$15,0,$DO123,$B$8,1),OFFSET($M$15,0,0,$B$8,1))=FW$14))   /   SUM(OFFSET($BO$15,0,0,$B$14,1)) + $B$18/($B$19*$B$19*($DN123&lt;&gt;$DO123) + $B$19*($DN123=$DO123))</f>
        <v>3.7037037037037035E-4</v>
      </c>
      <c r="FX123" s="10" cm="1">
        <f t="array" aca="1" ref="FX123" ca="1">(1-$B$18)*SUMPRODUCT(OFFSET($BO$15,0,0,$B$14,1), 1*(_xlfn._xlws.FILTER(OFFSET($O$15,0,$DN123,$B$8,1),OFFSET($M$15,0,0,$B$8,1))=FX$13), 1*(_xlfn._xlws.FILTER(OFFSET($O$15,0,$DO123,$B$8,1),OFFSET($M$15,0,0,$B$8,1))=FX$14))   /   SUM(OFFSET($BO$15,0,0,$B$14,1)) + $B$18/($B$19*$B$19*($DN123&lt;&gt;$DO123) + $B$19*($DN123=$DO123))</f>
        <v>3.7037037037037035E-4</v>
      </c>
      <c r="FY123" s="10" cm="1">
        <f t="array" aca="1" ref="FY123" ca="1">(1-$B$18)*SUMPRODUCT(OFFSET($BO$15,0,0,$B$14,1), 1*(_xlfn._xlws.FILTER(OFFSET($O$15,0,$DN123,$B$8,1),OFFSET($M$15,0,0,$B$8,1))=FY$13), 1*(_xlfn._xlws.FILTER(OFFSET($O$15,0,$DO123,$B$8,1),OFFSET($M$15,0,0,$B$8,1))=FY$14))   /   SUM(OFFSET($BO$15,0,0,$B$14,1)) + $B$18/($B$19*$B$19*($DN123&lt;&gt;$DO123) + $B$19*($DN123=$DO123))</f>
        <v>3.7037037037037035E-4</v>
      </c>
      <c r="FZ123" s="10" cm="1">
        <f t="array" aca="1" ref="FZ123" ca="1">(1-$B$18)*SUMPRODUCT(OFFSET($BO$15,0,0,$B$14,1), 1*(_xlfn._xlws.FILTER(OFFSET($O$15,0,$DN123,$B$8,1),OFFSET($M$15,0,0,$B$8,1))=FZ$13), 1*(_xlfn._xlws.FILTER(OFFSET($O$15,0,$DO123,$B$8,1),OFFSET($M$15,0,0,$B$8,1))=FZ$14))   /   SUM(OFFSET($BO$15,0,0,$B$14,1)) + $B$18/($B$19*$B$19*($DN123&lt;&gt;$DO123) + $B$19*($DN123=$DO123))</f>
        <v>3.7037037037037035E-4</v>
      </c>
      <c r="GA123" s="10" cm="1">
        <f t="array" aca="1" ref="GA123" ca="1">(1-$B$18)*SUMPRODUCT(OFFSET($BO$15,0,0,$B$14,1), 1*(_xlfn._xlws.FILTER(OFFSET($O$15,0,$DN123,$B$8,1),OFFSET($M$15,0,0,$B$8,1))=GA$13), 1*(_xlfn._xlws.FILTER(OFFSET($O$15,0,$DO123,$B$8,1),OFFSET($M$15,0,0,$B$8,1))=GA$14))   /   SUM(OFFSET($BO$15,0,0,$B$14,1)) + $B$18/($B$19*$B$19*($DN123&lt;&gt;$DO123) + $B$19*($DN123=$DO123))</f>
        <v>3.7037037037037035E-4</v>
      </c>
    </row>
    <row r="124" spans="7:183" x14ac:dyDescent="0.2">
      <c r="G124" s="2"/>
      <c r="H124" s="2"/>
      <c r="AH124" s="2"/>
      <c r="AI124" s="2"/>
      <c r="DN124" cm="1">
        <f t="array" aca="1" ref="DN124" ca="1">INDEX(_xlfn.ANCHORARRAY($CP$15), 1 + INT((ROWS($DO$15:$DO124) - 1) / ROWS(_xlfn.ANCHORARRAY($CP$15))))</f>
        <v>5</v>
      </c>
      <c r="DO124" cm="1">
        <f t="array" aca="1" ref="DO124" ca="1">INDEX(_xlfn.ANCHORARRAY($CP$15),1+MOD(ROWS($DO$15:$DO124)-1,ROWS(_xlfn.ANCHORARRAY($CP$15))))</f>
        <v>15</v>
      </c>
      <c r="DP124" s="10" cm="1">
        <f t="array" aca="1" ref="DP124" ca="1">(1-$B$18)*SUMPRODUCT(OFFSET($BO$15,0,0,$B$14,1), 1*(_xlfn._xlws.FILTER(OFFSET($O$15,0,$DN124,$B$8,1),OFFSET($M$15,0,0,$B$8,1))=DP$13), 1*(_xlfn._xlws.FILTER(OFFSET($O$15,0,$DO124,$B$8,1),OFFSET($M$15,0,0,$B$8,1))=DP$14))   /   SUM(OFFSET($BO$15,0,0,$B$14,1)) + $B$18/($B$19*$B$19*($DN124&lt;&gt;$DO124) + $B$19*($DN124=$DO124))</f>
        <v>3.7037037037037035E-4</v>
      </c>
      <c r="DQ124" s="10" cm="1">
        <f t="array" aca="1" ref="DQ124" ca="1">(1-$B$18)*SUMPRODUCT(OFFSET($BO$15,0,0,$B$14,1), 1*(_xlfn._xlws.FILTER(OFFSET($O$15,0,$DN124,$B$8,1),OFFSET($M$15,0,0,$B$8,1))=DQ$13), 1*(_xlfn._xlws.FILTER(OFFSET($O$15,0,$DO124,$B$8,1),OFFSET($M$15,0,0,$B$8,1))=DQ$14))   /   SUM(OFFSET($BO$15,0,0,$B$14,1)) + $B$18/($B$19*$B$19*($DN124&lt;&gt;$DO124) + $B$19*($DN124=$DO124))</f>
        <v>3.7037037037037035E-4</v>
      </c>
      <c r="DR124" s="10" cm="1">
        <f t="array" aca="1" ref="DR124" ca="1">(1-$B$18)*SUMPRODUCT(OFFSET($BO$15,0,0,$B$14,1), 1*(_xlfn._xlws.FILTER(OFFSET($O$15,0,$DN124,$B$8,1),OFFSET($M$15,0,0,$B$8,1))=DR$13), 1*(_xlfn._xlws.FILTER(OFFSET($O$15,0,$DO124,$B$8,1),OFFSET($M$15,0,0,$B$8,1))=DR$14))   /   SUM(OFFSET($BO$15,0,0,$B$14,1)) + $B$18/($B$19*$B$19*($DN124&lt;&gt;$DO124) + $B$19*($DN124=$DO124))</f>
        <v>3.7037037037037035E-4</v>
      </c>
      <c r="DS124" s="10" cm="1">
        <f t="array" aca="1" ref="DS124" ca="1">(1-$B$18)*SUMPRODUCT(OFFSET($BO$15,0,0,$B$14,1), 1*(_xlfn._xlws.FILTER(OFFSET($O$15,0,$DN124,$B$8,1),OFFSET($M$15,0,0,$B$8,1))=DS$13), 1*(_xlfn._xlws.FILTER(OFFSET($O$15,0,$DO124,$B$8,1),OFFSET($M$15,0,0,$B$8,1))=DS$14))   /   SUM(OFFSET($BO$15,0,0,$B$14,1)) + $B$18/($B$19*$B$19*($DN124&lt;&gt;$DO124) + $B$19*($DN124=$DO124))</f>
        <v>3.7037037037037035E-4</v>
      </c>
      <c r="DT124" s="10" cm="1">
        <f t="array" aca="1" ref="DT124" ca="1">(1-$B$18)*SUMPRODUCT(OFFSET($BO$15,0,0,$B$14,1), 1*(_xlfn._xlws.FILTER(OFFSET($O$15,0,$DN124,$B$8,1),OFFSET($M$15,0,0,$B$8,1))=DT$13), 1*(_xlfn._xlws.FILTER(OFFSET($O$15,0,$DO124,$B$8,1),OFFSET($M$15,0,0,$B$8,1))=DT$14))   /   SUM(OFFSET($BO$15,0,0,$B$14,1)) + $B$18/($B$19*$B$19*($DN124&lt;&gt;$DO124) + $B$19*($DN124=$DO124))</f>
        <v>3.7037037037037035E-4</v>
      </c>
      <c r="DU124" s="10" cm="1">
        <f t="array" aca="1" ref="DU124" ca="1">(1-$B$18)*SUMPRODUCT(OFFSET($BO$15,0,0,$B$14,1), 1*(_xlfn._xlws.FILTER(OFFSET($O$15,0,$DN124,$B$8,1),OFFSET($M$15,0,0,$B$8,1))=DU$13), 1*(_xlfn._xlws.FILTER(OFFSET($O$15,0,$DO124,$B$8,1),OFFSET($M$15,0,0,$B$8,1))=DU$14))   /   SUM(OFFSET($BO$15,0,0,$B$14,1)) + $B$18/($B$19*$B$19*($DN124&lt;&gt;$DO124) + $B$19*($DN124=$DO124))</f>
        <v>3.7037037037037035E-4</v>
      </c>
      <c r="DV124" s="10" cm="1">
        <f t="array" aca="1" ref="DV124" ca="1">(1-$B$18)*SUMPRODUCT(OFFSET($BO$15,0,0,$B$14,1), 1*(_xlfn._xlws.FILTER(OFFSET($O$15,0,$DN124,$B$8,1),OFFSET($M$15,0,0,$B$8,1))=DV$13), 1*(_xlfn._xlws.FILTER(OFFSET($O$15,0,$DO124,$B$8,1),OFFSET($M$15,0,0,$B$8,1))=DV$14))   /   SUM(OFFSET($BO$15,0,0,$B$14,1)) + $B$18/($B$19*$B$19*($DN124&lt;&gt;$DO124) + $B$19*($DN124=$DO124))</f>
        <v>3.7037037037037035E-4</v>
      </c>
      <c r="DW124" s="10" cm="1">
        <f t="array" aca="1" ref="DW124" ca="1">(1-$B$18)*SUMPRODUCT(OFFSET($BO$15,0,0,$B$14,1), 1*(_xlfn._xlws.FILTER(OFFSET($O$15,0,$DN124,$B$8,1),OFFSET($M$15,0,0,$B$8,1))=DW$13), 1*(_xlfn._xlws.FILTER(OFFSET($O$15,0,$DO124,$B$8,1),OFFSET($M$15,0,0,$B$8,1))=DW$14))   /   SUM(OFFSET($BO$15,0,0,$B$14,1)) + $B$18/($B$19*$B$19*($DN124&lt;&gt;$DO124) + $B$19*($DN124=$DO124))</f>
        <v>3.7037037037037035E-4</v>
      </c>
      <c r="DX124" s="10" cm="1">
        <f t="array" aca="1" ref="DX124" ca="1">(1-$B$18)*SUMPRODUCT(OFFSET($BO$15,0,0,$B$14,1), 1*(_xlfn._xlws.FILTER(OFFSET($O$15,0,$DN124,$B$8,1),OFFSET($M$15,0,0,$B$8,1))=DX$13), 1*(_xlfn._xlws.FILTER(OFFSET($O$15,0,$DO124,$B$8,1),OFFSET($M$15,0,0,$B$8,1))=DX$14))   /   SUM(OFFSET($BO$15,0,0,$B$14,1)) + $B$18/($B$19*$B$19*($DN124&lt;&gt;$DO124) + $B$19*($DN124=$DO124))</f>
        <v>3.7037037037037035E-4</v>
      </c>
      <c r="DY124" s="10" cm="1">
        <f t="array" aca="1" ref="DY124" ca="1">(1-$B$18)*SUMPRODUCT(OFFSET($BO$15,0,0,$B$14,1), 1*(_xlfn._xlws.FILTER(OFFSET($O$15,0,$DN124,$B$8,1),OFFSET($M$15,0,0,$B$8,1))=DY$13), 1*(_xlfn._xlws.FILTER(OFFSET($O$15,0,$DO124,$B$8,1),OFFSET($M$15,0,0,$B$8,1))=DY$14))   /   SUM(OFFSET($BO$15,0,0,$B$14,1)) + $B$18/($B$19*$B$19*($DN124&lt;&gt;$DO124) + $B$19*($DN124=$DO124))</f>
        <v>3.7037037037037035E-4</v>
      </c>
      <c r="DZ124" s="10" cm="1">
        <f t="array" aca="1" ref="DZ124" ca="1">(1-$B$18)*SUMPRODUCT(OFFSET($BO$15,0,0,$B$14,1), 1*(_xlfn._xlws.FILTER(OFFSET($O$15,0,$DN124,$B$8,1),OFFSET($M$15,0,0,$B$8,1))=DZ$13), 1*(_xlfn._xlws.FILTER(OFFSET($O$15,0,$DO124,$B$8,1),OFFSET($M$15,0,0,$B$8,1))=DZ$14))   /   SUM(OFFSET($BO$15,0,0,$B$14,1)) + $B$18/($B$19*$B$19*($DN124&lt;&gt;$DO124) + $B$19*($DN124=$DO124))</f>
        <v>3.7037037037037035E-4</v>
      </c>
      <c r="EA124" s="10" cm="1">
        <f t="array" aca="1" ref="EA124" ca="1">(1-$B$18)*SUMPRODUCT(OFFSET($BO$15,0,0,$B$14,1), 1*(_xlfn._xlws.FILTER(OFFSET($O$15,0,$DN124,$B$8,1),OFFSET($M$15,0,0,$B$8,1))=EA$13), 1*(_xlfn._xlws.FILTER(OFFSET($O$15,0,$DO124,$B$8,1),OFFSET($M$15,0,0,$B$8,1))=EA$14))   /   SUM(OFFSET($BO$15,0,0,$B$14,1)) + $B$18/($B$19*$B$19*($DN124&lt;&gt;$DO124) + $B$19*($DN124=$DO124))</f>
        <v>3.7037037037037035E-4</v>
      </c>
      <c r="EB124" s="10" cm="1">
        <f t="array" aca="1" ref="EB124" ca="1">(1-$B$18)*SUMPRODUCT(OFFSET($BO$15,0,0,$B$14,1), 1*(_xlfn._xlws.FILTER(OFFSET($O$15,0,$DN124,$B$8,1),OFFSET($M$15,0,0,$B$8,1))=EB$13), 1*(_xlfn._xlws.FILTER(OFFSET($O$15,0,$DO124,$B$8,1),OFFSET($M$15,0,0,$B$8,1))=EB$14))   /   SUM(OFFSET($BO$15,0,0,$B$14,1)) + $B$18/($B$19*$B$19*($DN124&lt;&gt;$DO124) + $B$19*($DN124=$DO124))</f>
        <v>3.7037037037037035E-4</v>
      </c>
      <c r="EC124" s="10" cm="1">
        <f t="array" aca="1" ref="EC124" ca="1">(1-$B$18)*SUMPRODUCT(OFFSET($BO$15,0,0,$B$14,1), 1*(_xlfn._xlws.FILTER(OFFSET($O$15,0,$DN124,$B$8,1),OFFSET($M$15,0,0,$B$8,1))=EC$13), 1*(_xlfn._xlws.FILTER(OFFSET($O$15,0,$DO124,$B$8,1),OFFSET($M$15,0,0,$B$8,1))=EC$14))   /   SUM(OFFSET($BO$15,0,0,$B$14,1)) + $B$18/($B$19*$B$19*($DN124&lt;&gt;$DO124) + $B$19*($DN124=$DO124))</f>
        <v>3.7037037037037035E-4</v>
      </c>
      <c r="ED124" s="10" cm="1">
        <f t="array" aca="1" ref="ED124" ca="1">(1-$B$18)*SUMPRODUCT(OFFSET($BO$15,0,0,$B$14,1), 1*(_xlfn._xlws.FILTER(OFFSET($O$15,0,$DN124,$B$8,1),OFFSET($M$15,0,0,$B$8,1))=ED$13), 1*(_xlfn._xlws.FILTER(OFFSET($O$15,0,$DO124,$B$8,1),OFFSET($M$15,0,0,$B$8,1))=ED$14))   /   SUM(OFFSET($BO$15,0,0,$B$14,1)) + $B$18/($B$19*$B$19*($DN124&lt;&gt;$DO124) + $B$19*($DN124=$DO124))</f>
        <v>3.7037037037037035E-4</v>
      </c>
      <c r="EE124" s="10" cm="1">
        <f t="array" aca="1" ref="EE124" ca="1">(1-$B$18)*SUMPRODUCT(OFFSET($BO$15,0,0,$B$14,1), 1*(_xlfn._xlws.FILTER(OFFSET($O$15,0,$DN124,$B$8,1),OFFSET($M$15,0,0,$B$8,1))=EE$13), 1*(_xlfn._xlws.FILTER(OFFSET($O$15,0,$DO124,$B$8,1),OFFSET($M$15,0,0,$B$8,1))=EE$14))   /   SUM(OFFSET($BO$15,0,0,$B$14,1)) + $B$18/($B$19*$B$19*($DN124&lt;&gt;$DO124) + $B$19*($DN124=$DO124))</f>
        <v>3.7037037037037035E-4</v>
      </c>
      <c r="EF124" s="10" cm="1">
        <f t="array" aca="1" ref="EF124" ca="1">(1-$B$18)*SUMPRODUCT(OFFSET($BO$15,0,0,$B$14,1), 1*(_xlfn._xlws.FILTER(OFFSET($O$15,0,$DN124,$B$8,1),OFFSET($M$15,0,0,$B$8,1))=EF$13), 1*(_xlfn._xlws.FILTER(OFFSET($O$15,0,$DO124,$B$8,1),OFFSET($M$15,0,0,$B$8,1))=EF$14))   /   SUM(OFFSET($BO$15,0,0,$B$14,1)) + $B$18/($B$19*$B$19*($DN124&lt;&gt;$DO124) + $B$19*($DN124=$DO124))</f>
        <v>3.7037037037037035E-4</v>
      </c>
      <c r="EG124" s="10" cm="1">
        <f t="array" aca="1" ref="EG124" ca="1">(1-$B$18)*SUMPRODUCT(OFFSET($BO$15,0,0,$B$14,1), 1*(_xlfn._xlws.FILTER(OFFSET($O$15,0,$DN124,$B$8,1),OFFSET($M$15,0,0,$B$8,1))=EG$13), 1*(_xlfn._xlws.FILTER(OFFSET($O$15,0,$DO124,$B$8,1),OFFSET($M$15,0,0,$B$8,1))=EG$14))   /   SUM(OFFSET($BO$15,0,0,$B$14,1)) + $B$18/($B$19*$B$19*($DN124&lt;&gt;$DO124) + $B$19*($DN124=$DO124))</f>
        <v>3.7037037037037035E-4</v>
      </c>
      <c r="EH124" s="10" cm="1">
        <f t="array" aca="1" ref="EH124" ca="1">(1-$B$18)*SUMPRODUCT(OFFSET($BO$15,0,0,$B$14,1), 1*(_xlfn._xlws.FILTER(OFFSET($O$15,0,$DN124,$B$8,1),OFFSET($M$15,0,0,$B$8,1))=EH$13), 1*(_xlfn._xlws.FILTER(OFFSET($O$15,0,$DO124,$B$8,1),OFFSET($M$15,0,0,$B$8,1))=EH$14))   /   SUM(OFFSET($BO$15,0,0,$B$14,1)) + $B$18/($B$19*$B$19*($DN124&lt;&gt;$DO124) + $B$19*($DN124=$DO124))</f>
        <v>3.7037037037037035E-4</v>
      </c>
      <c r="EI124" s="10" cm="1">
        <f t="array" aca="1" ref="EI124" ca="1">(1-$B$18)*SUMPRODUCT(OFFSET($BO$15,0,0,$B$14,1), 1*(_xlfn._xlws.FILTER(OFFSET($O$15,0,$DN124,$B$8,1),OFFSET($M$15,0,0,$B$8,1))=EI$13), 1*(_xlfn._xlws.FILTER(OFFSET($O$15,0,$DO124,$B$8,1),OFFSET($M$15,0,0,$B$8,1))=EI$14))   /   SUM(OFFSET($BO$15,0,0,$B$14,1)) + $B$18/($B$19*$B$19*($DN124&lt;&gt;$DO124) + $B$19*($DN124=$DO124))</f>
        <v>3.7037037037037035E-4</v>
      </c>
      <c r="EJ124" s="10" cm="1">
        <f t="array" aca="1" ref="EJ124" ca="1">(1-$B$18)*SUMPRODUCT(OFFSET($BO$15,0,0,$B$14,1), 1*(_xlfn._xlws.FILTER(OFFSET($O$15,0,$DN124,$B$8,1),OFFSET($M$15,0,0,$B$8,1))=EJ$13), 1*(_xlfn._xlws.FILTER(OFFSET($O$15,0,$DO124,$B$8,1),OFFSET($M$15,0,0,$B$8,1))=EJ$14))   /   SUM(OFFSET($BO$15,0,0,$B$14,1)) + $B$18/($B$19*$B$19*($DN124&lt;&gt;$DO124) + $B$19*($DN124=$DO124))</f>
        <v>3.7037037037037035E-4</v>
      </c>
      <c r="EK124" s="10" cm="1">
        <f t="array" aca="1" ref="EK124" ca="1">(1-$B$18)*SUMPRODUCT(OFFSET($BO$15,0,0,$B$14,1), 1*(_xlfn._xlws.FILTER(OFFSET($O$15,0,$DN124,$B$8,1),OFFSET($M$15,0,0,$B$8,1))=EK$13), 1*(_xlfn._xlws.FILTER(OFFSET($O$15,0,$DO124,$B$8,1),OFFSET($M$15,0,0,$B$8,1))=EK$14))   /   SUM(OFFSET($BO$15,0,0,$B$14,1)) + $B$18/($B$19*$B$19*($DN124&lt;&gt;$DO124) + $B$19*($DN124=$DO124))</f>
        <v>3.7037037037037035E-4</v>
      </c>
      <c r="EL124" s="10" cm="1">
        <f t="array" aca="1" ref="EL124" ca="1">(1-$B$18)*SUMPRODUCT(OFFSET($BO$15,0,0,$B$14,1), 1*(_xlfn._xlws.FILTER(OFFSET($O$15,0,$DN124,$B$8,1),OFFSET($M$15,0,0,$B$8,1))=EL$13), 1*(_xlfn._xlws.FILTER(OFFSET($O$15,0,$DO124,$B$8,1),OFFSET($M$15,0,0,$B$8,1))=EL$14))   /   SUM(OFFSET($BO$15,0,0,$B$14,1)) + $B$18/($B$19*$B$19*($DN124&lt;&gt;$DO124) + $B$19*($DN124=$DO124))</f>
        <v>3.7037037037037035E-4</v>
      </c>
      <c r="EM124" s="10" cm="1">
        <f t="array" aca="1" ref="EM124" ca="1">(1-$B$18)*SUMPRODUCT(OFFSET($BO$15,0,0,$B$14,1), 1*(_xlfn._xlws.FILTER(OFFSET($O$15,0,$DN124,$B$8,1),OFFSET($M$15,0,0,$B$8,1))=EM$13), 1*(_xlfn._xlws.FILTER(OFFSET($O$15,0,$DO124,$B$8,1),OFFSET($M$15,0,0,$B$8,1))=EM$14))   /   SUM(OFFSET($BO$15,0,0,$B$14,1)) + $B$18/($B$19*$B$19*($DN124&lt;&gt;$DO124) + $B$19*($DN124=$DO124))</f>
        <v>3.7037037037037035E-4</v>
      </c>
      <c r="EN124" s="10" cm="1">
        <f t="array" aca="1" ref="EN124" ca="1">(1-$B$18)*SUMPRODUCT(OFFSET($BO$15,0,0,$B$14,1), 1*(_xlfn._xlws.FILTER(OFFSET($O$15,0,$DN124,$B$8,1),OFFSET($M$15,0,0,$B$8,1))=EN$13), 1*(_xlfn._xlws.FILTER(OFFSET($O$15,0,$DO124,$B$8,1),OFFSET($M$15,0,0,$B$8,1))=EN$14))   /   SUM(OFFSET($BO$15,0,0,$B$14,1)) + $B$18/($B$19*$B$19*($DN124&lt;&gt;$DO124) + $B$19*($DN124=$DO124))</f>
        <v>3.7037037037037035E-4</v>
      </c>
      <c r="EO124" s="10" cm="1">
        <f t="array" aca="1" ref="EO124" ca="1">(1-$B$18)*SUMPRODUCT(OFFSET($BO$15,0,0,$B$14,1), 1*(_xlfn._xlws.FILTER(OFFSET($O$15,0,$DN124,$B$8,1),OFFSET($M$15,0,0,$B$8,1))=EO$13), 1*(_xlfn._xlws.FILTER(OFFSET($O$15,0,$DO124,$B$8,1),OFFSET($M$15,0,0,$B$8,1))=EO$14))   /   SUM(OFFSET($BO$15,0,0,$B$14,1)) + $B$18/($B$19*$B$19*($DN124&lt;&gt;$DO124) + $B$19*($DN124=$DO124))</f>
        <v>3.7037037037037035E-4</v>
      </c>
      <c r="EP124" s="10" cm="1">
        <f t="array" aca="1" ref="EP124" ca="1">(1-$B$18)*SUMPRODUCT(OFFSET($BO$15,0,0,$B$14,1), 1*(_xlfn._xlws.FILTER(OFFSET($O$15,0,$DN124,$B$8,1),OFFSET($M$15,0,0,$B$8,1))=EP$13), 1*(_xlfn._xlws.FILTER(OFFSET($O$15,0,$DO124,$B$8,1),OFFSET($M$15,0,0,$B$8,1))=EP$14))   /   SUM(OFFSET($BO$15,0,0,$B$14,1)) + $B$18/($B$19*$B$19*($DN124&lt;&gt;$DO124) + $B$19*($DN124=$DO124))</f>
        <v>3.7037037037037035E-4</v>
      </c>
      <c r="EQ124" s="10" cm="1">
        <f t="array" aca="1" ref="EQ124" ca="1">(1-$B$18)*SUMPRODUCT(OFFSET($BO$15,0,0,$B$14,1), 1*(_xlfn._xlws.FILTER(OFFSET($O$15,0,$DN124,$B$8,1),OFFSET($M$15,0,0,$B$8,1))=EQ$13), 1*(_xlfn._xlws.FILTER(OFFSET($O$15,0,$DO124,$B$8,1),OFFSET($M$15,0,0,$B$8,1))=EQ$14))   /   SUM(OFFSET($BO$15,0,0,$B$14,1)) + $B$18/($B$19*$B$19*($DN124&lt;&gt;$DO124) + $B$19*($DN124=$DO124))</f>
        <v>3.7037037037037035E-4</v>
      </c>
      <c r="ER124" s="10" cm="1">
        <f t="array" aca="1" ref="ER124" ca="1">(1-$B$18)*SUMPRODUCT(OFFSET($BO$15,0,0,$B$14,1), 1*(_xlfn._xlws.FILTER(OFFSET($O$15,0,$DN124,$B$8,1),OFFSET($M$15,0,0,$B$8,1))=ER$13), 1*(_xlfn._xlws.FILTER(OFFSET($O$15,0,$DO124,$B$8,1),OFFSET($M$15,0,0,$B$8,1))=ER$14))   /   SUM(OFFSET($BO$15,0,0,$B$14,1)) + $B$18/($B$19*$B$19*($DN124&lt;&gt;$DO124) + $B$19*($DN124=$DO124))</f>
        <v>3.7037037037037035E-4</v>
      </c>
      <c r="ES124" s="10" cm="1">
        <f t="array" aca="1" ref="ES124" ca="1">(1-$B$18)*SUMPRODUCT(OFFSET($BO$15,0,0,$B$14,1), 1*(_xlfn._xlws.FILTER(OFFSET($O$15,0,$DN124,$B$8,1),OFFSET($M$15,0,0,$B$8,1))=ES$13), 1*(_xlfn._xlws.FILTER(OFFSET($O$15,0,$DO124,$B$8,1),OFFSET($M$15,0,0,$B$8,1))=ES$14))   /   SUM(OFFSET($BO$15,0,0,$B$14,1)) + $B$18/($B$19*$B$19*($DN124&lt;&gt;$DO124) + $B$19*($DN124=$DO124))</f>
        <v>3.7037037037037035E-4</v>
      </c>
      <c r="ET124" s="10" cm="1">
        <f t="array" aca="1" ref="ET124" ca="1">(1-$B$18)*SUMPRODUCT(OFFSET($BO$15,0,0,$B$14,1), 1*(_xlfn._xlws.FILTER(OFFSET($O$15,0,$DN124,$B$8,1),OFFSET($M$15,0,0,$B$8,1))=ET$13), 1*(_xlfn._xlws.FILTER(OFFSET($O$15,0,$DO124,$B$8,1),OFFSET($M$15,0,0,$B$8,1))=ET$14))   /   SUM(OFFSET($BO$15,0,0,$B$14,1)) + $B$18/($B$19*$B$19*($DN124&lt;&gt;$DO124) + $B$19*($DN124=$DO124))</f>
        <v>3.7037037037037035E-4</v>
      </c>
      <c r="EU124" s="10" cm="1">
        <f t="array" aca="1" ref="EU124" ca="1">(1-$B$18)*SUMPRODUCT(OFFSET($BO$15,0,0,$B$14,1), 1*(_xlfn._xlws.FILTER(OFFSET($O$15,0,$DN124,$B$8,1),OFFSET($M$15,0,0,$B$8,1))=EU$13), 1*(_xlfn._xlws.FILTER(OFFSET($O$15,0,$DO124,$B$8,1),OFFSET($M$15,0,0,$B$8,1))=EU$14))   /   SUM(OFFSET($BO$15,0,0,$B$14,1)) + $B$18/($B$19*$B$19*($DN124&lt;&gt;$DO124) + $B$19*($DN124=$DO124))</f>
        <v>3.7037037037037035E-4</v>
      </c>
      <c r="EV124" s="10" cm="1">
        <f t="array" aca="1" ref="EV124" ca="1">(1-$B$18)*SUMPRODUCT(OFFSET($BO$15,0,0,$B$14,1), 1*(_xlfn._xlws.FILTER(OFFSET($O$15,0,$DN124,$B$8,1),OFFSET($M$15,0,0,$B$8,1))=EV$13), 1*(_xlfn._xlws.FILTER(OFFSET($O$15,0,$DO124,$B$8,1),OFFSET($M$15,0,0,$B$8,1))=EV$14))   /   SUM(OFFSET($BO$15,0,0,$B$14,1)) + $B$18/($B$19*$B$19*($DN124&lt;&gt;$DO124) + $B$19*($DN124=$DO124))</f>
        <v>3.7037037037037035E-4</v>
      </c>
      <c r="EW124" s="10" cm="1">
        <f t="array" aca="1" ref="EW124" ca="1">(1-$B$18)*SUMPRODUCT(OFFSET($BO$15,0,0,$B$14,1), 1*(_xlfn._xlws.FILTER(OFFSET($O$15,0,$DN124,$B$8,1),OFFSET($M$15,0,0,$B$8,1))=EW$13), 1*(_xlfn._xlws.FILTER(OFFSET($O$15,0,$DO124,$B$8,1),OFFSET($M$15,0,0,$B$8,1))=EW$14))   /   SUM(OFFSET($BO$15,0,0,$B$14,1)) + $B$18/($B$19*$B$19*($DN124&lt;&gt;$DO124) + $B$19*($DN124=$DO124))</f>
        <v>3.7037037037037035E-4</v>
      </c>
      <c r="EX124" s="10" cm="1">
        <f t="array" aca="1" ref="EX124" ca="1">(1-$B$18)*SUMPRODUCT(OFFSET($BO$15,0,0,$B$14,1), 1*(_xlfn._xlws.FILTER(OFFSET($O$15,0,$DN124,$B$8,1),OFFSET($M$15,0,0,$B$8,1))=EX$13), 1*(_xlfn._xlws.FILTER(OFFSET($O$15,0,$DO124,$B$8,1),OFFSET($M$15,0,0,$B$8,1))=EX$14))   /   SUM(OFFSET($BO$15,0,0,$B$14,1)) + $B$18/($B$19*$B$19*($DN124&lt;&gt;$DO124) + $B$19*($DN124=$DO124))</f>
        <v>3.7037037037037035E-4</v>
      </c>
      <c r="EY124" s="10" cm="1">
        <f t="array" aca="1" ref="EY124" ca="1">(1-$B$18)*SUMPRODUCT(OFFSET($BO$15,0,0,$B$14,1), 1*(_xlfn._xlws.FILTER(OFFSET($O$15,0,$DN124,$B$8,1),OFFSET($M$15,0,0,$B$8,1))=EY$13), 1*(_xlfn._xlws.FILTER(OFFSET($O$15,0,$DO124,$B$8,1),OFFSET($M$15,0,0,$B$8,1))=EY$14))   /   SUM(OFFSET($BO$15,0,0,$B$14,1)) + $B$18/($B$19*$B$19*($DN124&lt;&gt;$DO124) + $B$19*($DN124=$DO124))</f>
        <v>3.7037037037037035E-4</v>
      </c>
      <c r="EZ124" s="10" cm="1">
        <f t="array" aca="1" ref="EZ124" ca="1">(1-$B$18)*SUMPRODUCT(OFFSET($BO$15,0,0,$B$14,1), 1*(_xlfn._xlws.FILTER(OFFSET($O$15,0,$DN124,$B$8,1),OFFSET($M$15,0,0,$B$8,1))=EZ$13), 1*(_xlfn._xlws.FILTER(OFFSET($O$15,0,$DO124,$B$8,1),OFFSET($M$15,0,0,$B$8,1))=EZ$14))   /   SUM(OFFSET($BO$15,0,0,$B$14,1)) + $B$18/($B$19*$B$19*($DN124&lt;&gt;$DO124) + $B$19*($DN124=$DO124))</f>
        <v>3.7037037037037035E-4</v>
      </c>
      <c r="FA124" s="10" cm="1">
        <f t="array" aca="1" ref="FA124" ca="1">(1-$B$18)*SUMPRODUCT(OFFSET($BO$15,0,0,$B$14,1), 1*(_xlfn._xlws.FILTER(OFFSET($O$15,0,$DN124,$B$8,1),OFFSET($M$15,0,0,$B$8,1))=FA$13), 1*(_xlfn._xlws.FILTER(OFFSET($O$15,0,$DO124,$B$8,1),OFFSET($M$15,0,0,$B$8,1))=FA$14))   /   SUM(OFFSET($BO$15,0,0,$B$14,1)) + $B$18/($B$19*$B$19*($DN124&lt;&gt;$DO124) + $B$19*($DN124=$DO124))</f>
        <v>3.7037037037037035E-4</v>
      </c>
      <c r="FB124" s="10" cm="1">
        <f t="array" aca="1" ref="FB124" ca="1">(1-$B$18)*SUMPRODUCT(OFFSET($BO$15,0,0,$B$14,1), 1*(_xlfn._xlws.FILTER(OFFSET($O$15,0,$DN124,$B$8,1),OFFSET($M$15,0,0,$B$8,1))=FB$13), 1*(_xlfn._xlws.FILTER(OFFSET($O$15,0,$DO124,$B$8,1),OFFSET($M$15,0,0,$B$8,1))=FB$14))   /   SUM(OFFSET($BO$15,0,0,$B$14,1)) + $B$18/($B$19*$B$19*($DN124&lt;&gt;$DO124) + $B$19*($DN124=$DO124))</f>
        <v>3.7037037037037035E-4</v>
      </c>
      <c r="FC124" s="10" cm="1">
        <f t="array" aca="1" ref="FC124" ca="1">(1-$B$18)*SUMPRODUCT(OFFSET($BO$15,0,0,$B$14,1), 1*(_xlfn._xlws.FILTER(OFFSET($O$15,0,$DN124,$B$8,1),OFFSET($M$15,0,0,$B$8,1))=FC$13), 1*(_xlfn._xlws.FILTER(OFFSET($O$15,0,$DO124,$B$8,1),OFFSET($M$15,0,0,$B$8,1))=FC$14))   /   SUM(OFFSET($BO$15,0,0,$B$14,1)) + $B$18/($B$19*$B$19*($DN124&lt;&gt;$DO124) + $B$19*($DN124=$DO124))</f>
        <v>3.7037037037037035E-4</v>
      </c>
      <c r="FD124" s="10" cm="1">
        <f t="array" aca="1" ref="FD124" ca="1">(1-$B$18)*SUMPRODUCT(OFFSET($BO$15,0,0,$B$14,1), 1*(_xlfn._xlws.FILTER(OFFSET($O$15,0,$DN124,$B$8,1),OFFSET($M$15,0,0,$B$8,1))=FD$13), 1*(_xlfn._xlws.FILTER(OFFSET($O$15,0,$DO124,$B$8,1),OFFSET($M$15,0,0,$B$8,1))=FD$14))   /   SUM(OFFSET($BO$15,0,0,$B$14,1)) + $B$18/($B$19*$B$19*($DN124&lt;&gt;$DO124) + $B$19*($DN124=$DO124))</f>
        <v>3.7037037037037035E-4</v>
      </c>
      <c r="FE124" s="10" cm="1">
        <f t="array" aca="1" ref="FE124" ca="1">(1-$B$18)*SUMPRODUCT(OFFSET($BO$15,0,0,$B$14,1), 1*(_xlfn._xlws.FILTER(OFFSET($O$15,0,$DN124,$B$8,1),OFFSET($M$15,0,0,$B$8,1))=FE$13), 1*(_xlfn._xlws.FILTER(OFFSET($O$15,0,$DO124,$B$8,1),OFFSET($M$15,0,0,$B$8,1))=FE$14))   /   SUM(OFFSET($BO$15,0,0,$B$14,1)) + $B$18/($B$19*$B$19*($DN124&lt;&gt;$DO124) + $B$19*($DN124=$DO124))</f>
        <v>3.7037037037037035E-4</v>
      </c>
      <c r="FF124" s="10" cm="1">
        <f t="array" aca="1" ref="FF124" ca="1">(1-$B$18)*SUMPRODUCT(OFFSET($BO$15,0,0,$B$14,1), 1*(_xlfn._xlws.FILTER(OFFSET($O$15,0,$DN124,$B$8,1),OFFSET($M$15,0,0,$B$8,1))=FF$13), 1*(_xlfn._xlws.FILTER(OFFSET($O$15,0,$DO124,$B$8,1),OFFSET($M$15,0,0,$B$8,1))=FF$14))   /   SUM(OFFSET($BO$15,0,0,$B$14,1)) + $B$18/($B$19*$B$19*($DN124&lt;&gt;$DO124) + $B$19*($DN124=$DO124))</f>
        <v>3.7037037037037035E-4</v>
      </c>
      <c r="FG124" s="10" cm="1">
        <f t="array" aca="1" ref="FG124" ca="1">(1-$B$18)*SUMPRODUCT(OFFSET($BO$15,0,0,$B$14,1), 1*(_xlfn._xlws.FILTER(OFFSET($O$15,0,$DN124,$B$8,1),OFFSET($M$15,0,0,$B$8,1))=FG$13), 1*(_xlfn._xlws.FILTER(OFFSET($O$15,0,$DO124,$B$8,1),OFFSET($M$15,0,0,$B$8,1))=FG$14))   /   SUM(OFFSET($BO$15,0,0,$B$14,1)) + $B$18/($B$19*$B$19*($DN124&lt;&gt;$DO124) + $B$19*($DN124=$DO124))</f>
        <v>3.7037037037037035E-4</v>
      </c>
      <c r="FH124" s="10" cm="1">
        <f t="array" aca="1" ref="FH124" ca="1">(1-$B$18)*SUMPRODUCT(OFFSET($BO$15,0,0,$B$14,1), 1*(_xlfn._xlws.FILTER(OFFSET($O$15,0,$DN124,$B$8,1),OFFSET($M$15,0,0,$B$8,1))=FH$13), 1*(_xlfn._xlws.FILTER(OFFSET($O$15,0,$DO124,$B$8,1),OFFSET($M$15,0,0,$B$8,1))=FH$14))   /   SUM(OFFSET($BO$15,0,0,$B$14,1)) + $B$18/($B$19*$B$19*($DN124&lt;&gt;$DO124) + $B$19*($DN124=$DO124))</f>
        <v>3.7037037037037035E-4</v>
      </c>
      <c r="FI124" s="10" cm="1">
        <f t="array" aca="1" ref="FI124" ca="1">(1-$B$18)*SUMPRODUCT(OFFSET($BO$15,0,0,$B$14,1), 1*(_xlfn._xlws.FILTER(OFFSET($O$15,0,$DN124,$B$8,1),OFFSET($M$15,0,0,$B$8,1))=FI$13), 1*(_xlfn._xlws.FILTER(OFFSET($O$15,0,$DO124,$B$8,1),OFFSET($M$15,0,0,$B$8,1))=FI$14))   /   SUM(OFFSET($BO$15,0,0,$B$14,1)) + $B$18/($B$19*$B$19*($DN124&lt;&gt;$DO124) + $B$19*($DN124=$DO124))</f>
        <v>3.7037037037037035E-4</v>
      </c>
      <c r="FJ124" s="10" cm="1">
        <f t="array" aca="1" ref="FJ124" ca="1">(1-$B$18)*SUMPRODUCT(OFFSET($BO$15,0,0,$B$14,1), 1*(_xlfn._xlws.FILTER(OFFSET($O$15,0,$DN124,$B$8,1),OFFSET($M$15,0,0,$B$8,1))=FJ$13), 1*(_xlfn._xlws.FILTER(OFFSET($O$15,0,$DO124,$B$8,1),OFFSET($M$15,0,0,$B$8,1))=FJ$14))   /   SUM(OFFSET($BO$15,0,0,$B$14,1)) + $B$18/($B$19*$B$19*($DN124&lt;&gt;$DO124) + $B$19*($DN124=$DO124))</f>
        <v>3.7037037037037035E-4</v>
      </c>
      <c r="FK124" s="10" cm="1">
        <f t="array" aca="1" ref="FK124" ca="1">(1-$B$18)*SUMPRODUCT(OFFSET($BO$15,0,0,$B$14,1), 1*(_xlfn._xlws.FILTER(OFFSET($O$15,0,$DN124,$B$8,1),OFFSET($M$15,0,0,$B$8,1))=FK$13), 1*(_xlfn._xlws.FILTER(OFFSET($O$15,0,$DO124,$B$8,1),OFFSET($M$15,0,0,$B$8,1))=FK$14))   /   SUM(OFFSET($BO$15,0,0,$B$14,1)) + $B$18/($B$19*$B$19*($DN124&lt;&gt;$DO124) + $B$19*($DN124=$DO124))</f>
        <v>3.7037037037037035E-4</v>
      </c>
      <c r="FL124" s="10" cm="1">
        <f t="array" aca="1" ref="FL124" ca="1">(1-$B$18)*SUMPRODUCT(OFFSET($BO$15,0,0,$B$14,1), 1*(_xlfn._xlws.FILTER(OFFSET($O$15,0,$DN124,$B$8,1),OFFSET($M$15,0,0,$B$8,1))=FL$13), 1*(_xlfn._xlws.FILTER(OFFSET($O$15,0,$DO124,$B$8,1),OFFSET($M$15,0,0,$B$8,1))=FL$14))   /   SUM(OFFSET($BO$15,0,0,$B$14,1)) + $B$18/($B$19*$B$19*($DN124&lt;&gt;$DO124) + $B$19*($DN124=$DO124))</f>
        <v>3.7037037037037035E-4</v>
      </c>
      <c r="FM124" s="10" cm="1">
        <f t="array" aca="1" ref="FM124" ca="1">(1-$B$18)*SUMPRODUCT(OFFSET($BO$15,0,0,$B$14,1), 1*(_xlfn._xlws.FILTER(OFFSET($O$15,0,$DN124,$B$8,1),OFFSET($M$15,0,0,$B$8,1))=FM$13), 1*(_xlfn._xlws.FILTER(OFFSET($O$15,0,$DO124,$B$8,1),OFFSET($M$15,0,0,$B$8,1))=FM$14))   /   SUM(OFFSET($BO$15,0,0,$B$14,1)) + $B$18/($B$19*$B$19*($DN124&lt;&gt;$DO124) + $B$19*($DN124=$DO124))</f>
        <v>3.7037037037037035E-4</v>
      </c>
      <c r="FN124" s="10" cm="1">
        <f t="array" aca="1" ref="FN124" ca="1">(1-$B$18)*SUMPRODUCT(OFFSET($BO$15,0,0,$B$14,1), 1*(_xlfn._xlws.FILTER(OFFSET($O$15,0,$DN124,$B$8,1),OFFSET($M$15,0,0,$B$8,1))=FN$13), 1*(_xlfn._xlws.FILTER(OFFSET($O$15,0,$DO124,$B$8,1),OFFSET($M$15,0,0,$B$8,1))=FN$14))   /   SUM(OFFSET($BO$15,0,0,$B$14,1)) + $B$18/($B$19*$B$19*($DN124&lt;&gt;$DO124) + $B$19*($DN124=$DO124))</f>
        <v>0.97037037037037033</v>
      </c>
      <c r="FO124" s="10" cm="1">
        <f t="array" aca="1" ref="FO124" ca="1">(1-$B$18)*SUMPRODUCT(OFFSET($BO$15,0,0,$B$14,1), 1*(_xlfn._xlws.FILTER(OFFSET($O$15,0,$DN124,$B$8,1),OFFSET($M$15,0,0,$B$8,1))=FO$13), 1*(_xlfn._xlws.FILTER(OFFSET($O$15,0,$DO124,$B$8,1),OFFSET($M$15,0,0,$B$8,1))=FO$14))   /   SUM(OFFSET($BO$15,0,0,$B$14,1)) + $B$18/($B$19*$B$19*($DN124&lt;&gt;$DO124) + $B$19*($DN124=$DO124))</f>
        <v>3.7037037037037035E-4</v>
      </c>
      <c r="FP124" s="10" cm="1">
        <f t="array" aca="1" ref="FP124" ca="1">(1-$B$18)*SUMPRODUCT(OFFSET($BO$15,0,0,$B$14,1), 1*(_xlfn._xlws.FILTER(OFFSET($O$15,0,$DN124,$B$8,1),OFFSET($M$15,0,0,$B$8,1))=FP$13), 1*(_xlfn._xlws.FILTER(OFFSET($O$15,0,$DO124,$B$8,1),OFFSET($M$15,0,0,$B$8,1))=FP$14))   /   SUM(OFFSET($BO$15,0,0,$B$14,1)) + $B$18/($B$19*$B$19*($DN124&lt;&gt;$DO124) + $B$19*($DN124=$DO124))</f>
        <v>3.7037037037037035E-4</v>
      </c>
      <c r="FQ124" s="10" cm="1">
        <f t="array" aca="1" ref="FQ124" ca="1">(1-$B$18)*SUMPRODUCT(OFFSET($BO$15,0,0,$B$14,1), 1*(_xlfn._xlws.FILTER(OFFSET($O$15,0,$DN124,$B$8,1),OFFSET($M$15,0,0,$B$8,1))=FQ$13), 1*(_xlfn._xlws.FILTER(OFFSET($O$15,0,$DO124,$B$8,1),OFFSET($M$15,0,0,$B$8,1))=FQ$14))   /   SUM(OFFSET($BO$15,0,0,$B$14,1)) + $B$18/($B$19*$B$19*($DN124&lt;&gt;$DO124) + $B$19*($DN124=$DO124))</f>
        <v>3.7037037037037035E-4</v>
      </c>
      <c r="FR124" s="10" cm="1">
        <f t="array" aca="1" ref="FR124" ca="1">(1-$B$18)*SUMPRODUCT(OFFSET($BO$15,0,0,$B$14,1), 1*(_xlfn._xlws.FILTER(OFFSET($O$15,0,$DN124,$B$8,1),OFFSET($M$15,0,0,$B$8,1))=FR$13), 1*(_xlfn._xlws.FILTER(OFFSET($O$15,0,$DO124,$B$8,1),OFFSET($M$15,0,0,$B$8,1))=FR$14))   /   SUM(OFFSET($BO$15,0,0,$B$14,1)) + $B$18/($B$19*$B$19*($DN124&lt;&gt;$DO124) + $B$19*($DN124=$DO124))</f>
        <v>3.7037037037037035E-4</v>
      </c>
      <c r="FS124" s="10" cm="1">
        <f t="array" aca="1" ref="FS124" ca="1">(1-$B$18)*SUMPRODUCT(OFFSET($BO$15,0,0,$B$14,1), 1*(_xlfn._xlws.FILTER(OFFSET($O$15,0,$DN124,$B$8,1),OFFSET($M$15,0,0,$B$8,1))=FS$13), 1*(_xlfn._xlws.FILTER(OFFSET($O$15,0,$DO124,$B$8,1),OFFSET($M$15,0,0,$B$8,1))=FS$14))   /   SUM(OFFSET($BO$15,0,0,$B$14,1)) + $B$18/($B$19*$B$19*($DN124&lt;&gt;$DO124) + $B$19*($DN124=$DO124))</f>
        <v>3.7037037037037035E-4</v>
      </c>
      <c r="FT124" s="10" cm="1">
        <f t="array" aca="1" ref="FT124" ca="1">(1-$B$18)*SUMPRODUCT(OFFSET($BO$15,0,0,$B$14,1), 1*(_xlfn._xlws.FILTER(OFFSET($O$15,0,$DN124,$B$8,1),OFFSET($M$15,0,0,$B$8,1))=FT$13), 1*(_xlfn._xlws.FILTER(OFFSET($O$15,0,$DO124,$B$8,1),OFFSET($M$15,0,0,$B$8,1))=FT$14))   /   SUM(OFFSET($BO$15,0,0,$B$14,1)) + $B$18/($B$19*$B$19*($DN124&lt;&gt;$DO124) + $B$19*($DN124=$DO124))</f>
        <v>3.7037037037037035E-4</v>
      </c>
      <c r="FU124" s="10" cm="1">
        <f t="array" aca="1" ref="FU124" ca="1">(1-$B$18)*SUMPRODUCT(OFFSET($BO$15,0,0,$B$14,1), 1*(_xlfn._xlws.FILTER(OFFSET($O$15,0,$DN124,$B$8,1),OFFSET($M$15,0,0,$B$8,1))=FU$13), 1*(_xlfn._xlws.FILTER(OFFSET($O$15,0,$DO124,$B$8,1),OFFSET($M$15,0,0,$B$8,1))=FU$14))   /   SUM(OFFSET($BO$15,0,0,$B$14,1)) + $B$18/($B$19*$B$19*($DN124&lt;&gt;$DO124) + $B$19*($DN124=$DO124))</f>
        <v>3.7037037037037035E-4</v>
      </c>
      <c r="FV124" s="10" cm="1">
        <f t="array" aca="1" ref="FV124" ca="1">(1-$B$18)*SUMPRODUCT(OFFSET($BO$15,0,0,$B$14,1), 1*(_xlfn._xlws.FILTER(OFFSET($O$15,0,$DN124,$B$8,1),OFFSET($M$15,0,0,$B$8,1))=FV$13), 1*(_xlfn._xlws.FILTER(OFFSET($O$15,0,$DO124,$B$8,1),OFFSET($M$15,0,0,$B$8,1))=FV$14))   /   SUM(OFFSET($BO$15,0,0,$B$14,1)) + $B$18/($B$19*$B$19*($DN124&lt;&gt;$DO124) + $B$19*($DN124=$DO124))</f>
        <v>3.7037037037037035E-4</v>
      </c>
      <c r="FW124" s="10" cm="1">
        <f t="array" aca="1" ref="FW124" ca="1">(1-$B$18)*SUMPRODUCT(OFFSET($BO$15,0,0,$B$14,1), 1*(_xlfn._xlws.FILTER(OFFSET($O$15,0,$DN124,$B$8,1),OFFSET($M$15,0,0,$B$8,1))=FW$13), 1*(_xlfn._xlws.FILTER(OFFSET($O$15,0,$DO124,$B$8,1),OFFSET($M$15,0,0,$B$8,1))=FW$14))   /   SUM(OFFSET($BO$15,0,0,$B$14,1)) + $B$18/($B$19*$B$19*($DN124&lt;&gt;$DO124) + $B$19*($DN124=$DO124))</f>
        <v>3.7037037037037035E-4</v>
      </c>
      <c r="FX124" s="10" cm="1">
        <f t="array" aca="1" ref="FX124" ca="1">(1-$B$18)*SUMPRODUCT(OFFSET($BO$15,0,0,$B$14,1), 1*(_xlfn._xlws.FILTER(OFFSET($O$15,0,$DN124,$B$8,1),OFFSET($M$15,0,0,$B$8,1))=FX$13), 1*(_xlfn._xlws.FILTER(OFFSET($O$15,0,$DO124,$B$8,1),OFFSET($M$15,0,0,$B$8,1))=FX$14))   /   SUM(OFFSET($BO$15,0,0,$B$14,1)) + $B$18/($B$19*$B$19*($DN124&lt;&gt;$DO124) + $B$19*($DN124=$DO124))</f>
        <v>3.7037037037037035E-4</v>
      </c>
      <c r="FY124" s="10" cm="1">
        <f t="array" aca="1" ref="FY124" ca="1">(1-$B$18)*SUMPRODUCT(OFFSET($BO$15,0,0,$B$14,1), 1*(_xlfn._xlws.FILTER(OFFSET($O$15,0,$DN124,$B$8,1),OFFSET($M$15,0,0,$B$8,1))=FY$13), 1*(_xlfn._xlws.FILTER(OFFSET($O$15,0,$DO124,$B$8,1),OFFSET($M$15,0,0,$B$8,1))=FY$14))   /   SUM(OFFSET($BO$15,0,0,$B$14,1)) + $B$18/($B$19*$B$19*($DN124&lt;&gt;$DO124) + $B$19*($DN124=$DO124))</f>
        <v>3.7037037037037035E-4</v>
      </c>
      <c r="FZ124" s="10" cm="1">
        <f t="array" aca="1" ref="FZ124" ca="1">(1-$B$18)*SUMPRODUCT(OFFSET($BO$15,0,0,$B$14,1), 1*(_xlfn._xlws.FILTER(OFFSET($O$15,0,$DN124,$B$8,1),OFFSET($M$15,0,0,$B$8,1))=FZ$13), 1*(_xlfn._xlws.FILTER(OFFSET($O$15,0,$DO124,$B$8,1),OFFSET($M$15,0,0,$B$8,1))=FZ$14))   /   SUM(OFFSET($BO$15,0,0,$B$14,1)) + $B$18/($B$19*$B$19*($DN124&lt;&gt;$DO124) + $B$19*($DN124=$DO124))</f>
        <v>3.7037037037037035E-4</v>
      </c>
      <c r="GA124" s="10" cm="1">
        <f t="array" aca="1" ref="GA124" ca="1">(1-$B$18)*SUMPRODUCT(OFFSET($BO$15,0,0,$B$14,1), 1*(_xlfn._xlws.FILTER(OFFSET($O$15,0,$DN124,$B$8,1),OFFSET($M$15,0,0,$B$8,1))=GA$13), 1*(_xlfn._xlws.FILTER(OFFSET($O$15,0,$DO124,$B$8,1),OFFSET($M$15,0,0,$B$8,1))=GA$14))   /   SUM(OFFSET($BO$15,0,0,$B$14,1)) + $B$18/($B$19*$B$19*($DN124&lt;&gt;$DO124) + $B$19*($DN124=$DO124))</f>
        <v>3.7037037037037035E-4</v>
      </c>
    </row>
    <row r="125" spans="7:183" x14ac:dyDescent="0.2">
      <c r="G125" s="2"/>
      <c r="H125" s="2"/>
      <c r="AH125" s="2"/>
      <c r="AI125" s="2"/>
      <c r="DN125" cm="1">
        <f t="array" aca="1" ref="DN125" ca="1">INDEX(_xlfn.ANCHORARRAY($CP$15), 1 + INT((ROWS($DO$15:$DO125) - 1) / ROWS(_xlfn.ANCHORARRAY($CP$15))))</f>
        <v>5</v>
      </c>
      <c r="DO125" cm="1">
        <f t="array" aca="1" ref="DO125" ca="1">INDEX(_xlfn.ANCHORARRAY($CP$15),1+MOD(ROWS($DO$15:$DO125)-1,ROWS(_xlfn.ANCHORARRAY($CP$15))))</f>
        <v>18</v>
      </c>
      <c r="DP125" s="10" cm="1">
        <f t="array" aca="1" ref="DP125" ca="1">(1-$B$18)*SUMPRODUCT(OFFSET($BO$15,0,0,$B$14,1), 1*(_xlfn._xlws.FILTER(OFFSET($O$15,0,$DN125,$B$8,1),OFFSET($M$15,0,0,$B$8,1))=DP$13), 1*(_xlfn._xlws.FILTER(OFFSET($O$15,0,$DO125,$B$8,1),OFFSET($M$15,0,0,$B$8,1))=DP$14))   /   SUM(OFFSET($BO$15,0,0,$B$14,1)) + $B$18/($B$19*$B$19*($DN125&lt;&gt;$DO125) + $B$19*($DN125=$DO125))</f>
        <v>3.7037037037037035E-4</v>
      </c>
      <c r="DQ125" s="10" cm="1">
        <f t="array" aca="1" ref="DQ125" ca="1">(1-$B$18)*SUMPRODUCT(OFFSET($BO$15,0,0,$B$14,1), 1*(_xlfn._xlws.FILTER(OFFSET($O$15,0,$DN125,$B$8,1),OFFSET($M$15,0,0,$B$8,1))=DQ$13), 1*(_xlfn._xlws.FILTER(OFFSET($O$15,0,$DO125,$B$8,1),OFFSET($M$15,0,0,$B$8,1))=DQ$14))   /   SUM(OFFSET($BO$15,0,0,$B$14,1)) + $B$18/($B$19*$B$19*($DN125&lt;&gt;$DO125) + $B$19*($DN125=$DO125))</f>
        <v>3.7037037037037035E-4</v>
      </c>
      <c r="DR125" s="10" cm="1">
        <f t="array" aca="1" ref="DR125" ca="1">(1-$B$18)*SUMPRODUCT(OFFSET($BO$15,0,0,$B$14,1), 1*(_xlfn._xlws.FILTER(OFFSET($O$15,0,$DN125,$B$8,1),OFFSET($M$15,0,0,$B$8,1))=DR$13), 1*(_xlfn._xlws.FILTER(OFFSET($O$15,0,$DO125,$B$8,1),OFFSET($M$15,0,0,$B$8,1))=DR$14))   /   SUM(OFFSET($BO$15,0,0,$B$14,1)) + $B$18/($B$19*$B$19*($DN125&lt;&gt;$DO125) + $B$19*($DN125=$DO125))</f>
        <v>3.7037037037037035E-4</v>
      </c>
      <c r="DS125" s="10" cm="1">
        <f t="array" aca="1" ref="DS125" ca="1">(1-$B$18)*SUMPRODUCT(OFFSET($BO$15,0,0,$B$14,1), 1*(_xlfn._xlws.FILTER(OFFSET($O$15,0,$DN125,$B$8,1),OFFSET($M$15,0,0,$B$8,1))=DS$13), 1*(_xlfn._xlws.FILTER(OFFSET($O$15,0,$DO125,$B$8,1),OFFSET($M$15,0,0,$B$8,1))=DS$14))   /   SUM(OFFSET($BO$15,0,0,$B$14,1)) + $B$18/($B$19*$B$19*($DN125&lt;&gt;$DO125) + $B$19*($DN125=$DO125))</f>
        <v>3.7037037037037035E-4</v>
      </c>
      <c r="DT125" s="10" cm="1">
        <f t="array" aca="1" ref="DT125" ca="1">(1-$B$18)*SUMPRODUCT(OFFSET($BO$15,0,0,$B$14,1), 1*(_xlfn._xlws.FILTER(OFFSET($O$15,0,$DN125,$B$8,1),OFFSET($M$15,0,0,$B$8,1))=DT$13), 1*(_xlfn._xlws.FILTER(OFFSET($O$15,0,$DO125,$B$8,1),OFFSET($M$15,0,0,$B$8,1))=DT$14))   /   SUM(OFFSET($BO$15,0,0,$B$14,1)) + $B$18/($B$19*$B$19*($DN125&lt;&gt;$DO125) + $B$19*($DN125=$DO125))</f>
        <v>3.7037037037037035E-4</v>
      </c>
      <c r="DU125" s="10" cm="1">
        <f t="array" aca="1" ref="DU125" ca="1">(1-$B$18)*SUMPRODUCT(OFFSET($BO$15,0,0,$B$14,1), 1*(_xlfn._xlws.FILTER(OFFSET($O$15,0,$DN125,$B$8,1),OFFSET($M$15,0,0,$B$8,1))=DU$13), 1*(_xlfn._xlws.FILTER(OFFSET($O$15,0,$DO125,$B$8,1),OFFSET($M$15,0,0,$B$8,1))=DU$14))   /   SUM(OFFSET($BO$15,0,0,$B$14,1)) + $B$18/($B$19*$B$19*($DN125&lt;&gt;$DO125) + $B$19*($DN125=$DO125))</f>
        <v>3.7037037037037035E-4</v>
      </c>
      <c r="DV125" s="10" cm="1">
        <f t="array" aca="1" ref="DV125" ca="1">(1-$B$18)*SUMPRODUCT(OFFSET($BO$15,0,0,$B$14,1), 1*(_xlfn._xlws.FILTER(OFFSET($O$15,0,$DN125,$B$8,1),OFFSET($M$15,0,0,$B$8,1))=DV$13), 1*(_xlfn._xlws.FILTER(OFFSET($O$15,0,$DO125,$B$8,1),OFFSET($M$15,0,0,$B$8,1))=DV$14))   /   SUM(OFFSET($BO$15,0,0,$B$14,1)) + $B$18/($B$19*$B$19*($DN125&lt;&gt;$DO125) + $B$19*($DN125=$DO125))</f>
        <v>3.7037037037037035E-4</v>
      </c>
      <c r="DW125" s="10" cm="1">
        <f t="array" aca="1" ref="DW125" ca="1">(1-$B$18)*SUMPRODUCT(OFFSET($BO$15,0,0,$B$14,1), 1*(_xlfn._xlws.FILTER(OFFSET($O$15,0,$DN125,$B$8,1),OFFSET($M$15,0,0,$B$8,1))=DW$13), 1*(_xlfn._xlws.FILTER(OFFSET($O$15,0,$DO125,$B$8,1),OFFSET($M$15,0,0,$B$8,1))=DW$14))   /   SUM(OFFSET($BO$15,0,0,$B$14,1)) + $B$18/($B$19*$B$19*($DN125&lt;&gt;$DO125) + $B$19*($DN125=$DO125))</f>
        <v>3.7037037037037035E-4</v>
      </c>
      <c r="DX125" s="10" cm="1">
        <f t="array" aca="1" ref="DX125" ca="1">(1-$B$18)*SUMPRODUCT(OFFSET($BO$15,0,0,$B$14,1), 1*(_xlfn._xlws.FILTER(OFFSET($O$15,0,$DN125,$B$8,1),OFFSET($M$15,0,0,$B$8,1))=DX$13), 1*(_xlfn._xlws.FILTER(OFFSET($O$15,0,$DO125,$B$8,1),OFFSET($M$15,0,0,$B$8,1))=DX$14))   /   SUM(OFFSET($BO$15,0,0,$B$14,1)) + $B$18/($B$19*$B$19*($DN125&lt;&gt;$DO125) + $B$19*($DN125=$DO125))</f>
        <v>3.7037037037037035E-4</v>
      </c>
      <c r="DY125" s="10" cm="1">
        <f t="array" aca="1" ref="DY125" ca="1">(1-$B$18)*SUMPRODUCT(OFFSET($BO$15,0,0,$B$14,1), 1*(_xlfn._xlws.FILTER(OFFSET($O$15,0,$DN125,$B$8,1),OFFSET($M$15,0,0,$B$8,1))=DY$13), 1*(_xlfn._xlws.FILTER(OFFSET($O$15,0,$DO125,$B$8,1),OFFSET($M$15,0,0,$B$8,1))=DY$14))   /   SUM(OFFSET($BO$15,0,0,$B$14,1)) + $B$18/($B$19*$B$19*($DN125&lt;&gt;$DO125) + $B$19*($DN125=$DO125))</f>
        <v>3.7037037037037035E-4</v>
      </c>
      <c r="DZ125" s="10" cm="1">
        <f t="array" aca="1" ref="DZ125" ca="1">(1-$B$18)*SUMPRODUCT(OFFSET($BO$15,0,0,$B$14,1), 1*(_xlfn._xlws.FILTER(OFFSET($O$15,0,$DN125,$B$8,1),OFFSET($M$15,0,0,$B$8,1))=DZ$13), 1*(_xlfn._xlws.FILTER(OFFSET($O$15,0,$DO125,$B$8,1),OFFSET($M$15,0,0,$B$8,1))=DZ$14))   /   SUM(OFFSET($BO$15,0,0,$B$14,1)) + $B$18/($B$19*$B$19*($DN125&lt;&gt;$DO125) + $B$19*($DN125=$DO125))</f>
        <v>3.7037037037037035E-4</v>
      </c>
      <c r="EA125" s="10" cm="1">
        <f t="array" aca="1" ref="EA125" ca="1">(1-$B$18)*SUMPRODUCT(OFFSET($BO$15,0,0,$B$14,1), 1*(_xlfn._xlws.FILTER(OFFSET($O$15,0,$DN125,$B$8,1),OFFSET($M$15,0,0,$B$8,1))=EA$13), 1*(_xlfn._xlws.FILTER(OFFSET($O$15,0,$DO125,$B$8,1),OFFSET($M$15,0,0,$B$8,1))=EA$14))   /   SUM(OFFSET($BO$15,0,0,$B$14,1)) + $B$18/($B$19*$B$19*($DN125&lt;&gt;$DO125) + $B$19*($DN125=$DO125))</f>
        <v>3.7037037037037035E-4</v>
      </c>
      <c r="EB125" s="10" cm="1">
        <f t="array" aca="1" ref="EB125" ca="1">(1-$B$18)*SUMPRODUCT(OFFSET($BO$15,0,0,$B$14,1), 1*(_xlfn._xlws.FILTER(OFFSET($O$15,0,$DN125,$B$8,1),OFFSET($M$15,0,0,$B$8,1))=EB$13), 1*(_xlfn._xlws.FILTER(OFFSET($O$15,0,$DO125,$B$8,1),OFFSET($M$15,0,0,$B$8,1))=EB$14))   /   SUM(OFFSET($BO$15,0,0,$B$14,1)) + $B$18/($B$19*$B$19*($DN125&lt;&gt;$DO125) + $B$19*($DN125=$DO125))</f>
        <v>3.7037037037037035E-4</v>
      </c>
      <c r="EC125" s="10" cm="1">
        <f t="array" aca="1" ref="EC125" ca="1">(1-$B$18)*SUMPRODUCT(OFFSET($BO$15,0,0,$B$14,1), 1*(_xlfn._xlws.FILTER(OFFSET($O$15,0,$DN125,$B$8,1),OFFSET($M$15,0,0,$B$8,1))=EC$13), 1*(_xlfn._xlws.FILTER(OFFSET($O$15,0,$DO125,$B$8,1),OFFSET($M$15,0,0,$B$8,1))=EC$14))   /   SUM(OFFSET($BO$15,0,0,$B$14,1)) + $B$18/($B$19*$B$19*($DN125&lt;&gt;$DO125) + $B$19*($DN125=$DO125))</f>
        <v>3.7037037037037035E-4</v>
      </c>
      <c r="ED125" s="10" cm="1">
        <f t="array" aca="1" ref="ED125" ca="1">(1-$B$18)*SUMPRODUCT(OFFSET($BO$15,0,0,$B$14,1), 1*(_xlfn._xlws.FILTER(OFFSET($O$15,0,$DN125,$B$8,1),OFFSET($M$15,0,0,$B$8,1))=ED$13), 1*(_xlfn._xlws.FILTER(OFFSET($O$15,0,$DO125,$B$8,1),OFFSET($M$15,0,0,$B$8,1))=ED$14))   /   SUM(OFFSET($BO$15,0,0,$B$14,1)) + $B$18/($B$19*$B$19*($DN125&lt;&gt;$DO125) + $B$19*($DN125=$DO125))</f>
        <v>3.7037037037037035E-4</v>
      </c>
      <c r="EE125" s="10" cm="1">
        <f t="array" aca="1" ref="EE125" ca="1">(1-$B$18)*SUMPRODUCT(OFFSET($BO$15,0,0,$B$14,1), 1*(_xlfn._xlws.FILTER(OFFSET($O$15,0,$DN125,$B$8,1),OFFSET($M$15,0,0,$B$8,1))=EE$13), 1*(_xlfn._xlws.FILTER(OFFSET($O$15,0,$DO125,$B$8,1),OFFSET($M$15,0,0,$B$8,1))=EE$14))   /   SUM(OFFSET($BO$15,0,0,$B$14,1)) + $B$18/($B$19*$B$19*($DN125&lt;&gt;$DO125) + $B$19*($DN125=$DO125))</f>
        <v>3.7037037037037035E-4</v>
      </c>
      <c r="EF125" s="10" cm="1">
        <f t="array" aca="1" ref="EF125" ca="1">(1-$B$18)*SUMPRODUCT(OFFSET($BO$15,0,0,$B$14,1), 1*(_xlfn._xlws.FILTER(OFFSET($O$15,0,$DN125,$B$8,1),OFFSET($M$15,0,0,$B$8,1))=EF$13), 1*(_xlfn._xlws.FILTER(OFFSET($O$15,0,$DO125,$B$8,1),OFFSET($M$15,0,0,$B$8,1))=EF$14))   /   SUM(OFFSET($BO$15,0,0,$B$14,1)) + $B$18/($B$19*$B$19*($DN125&lt;&gt;$DO125) + $B$19*($DN125=$DO125))</f>
        <v>3.7037037037037035E-4</v>
      </c>
      <c r="EG125" s="10" cm="1">
        <f t="array" aca="1" ref="EG125" ca="1">(1-$B$18)*SUMPRODUCT(OFFSET($BO$15,0,0,$B$14,1), 1*(_xlfn._xlws.FILTER(OFFSET($O$15,0,$DN125,$B$8,1),OFFSET($M$15,0,0,$B$8,1))=EG$13), 1*(_xlfn._xlws.FILTER(OFFSET($O$15,0,$DO125,$B$8,1),OFFSET($M$15,0,0,$B$8,1))=EG$14))   /   SUM(OFFSET($BO$15,0,0,$B$14,1)) + $B$18/($B$19*$B$19*($DN125&lt;&gt;$DO125) + $B$19*($DN125=$DO125))</f>
        <v>3.7037037037037035E-4</v>
      </c>
      <c r="EH125" s="10" cm="1">
        <f t="array" aca="1" ref="EH125" ca="1">(1-$B$18)*SUMPRODUCT(OFFSET($BO$15,0,0,$B$14,1), 1*(_xlfn._xlws.FILTER(OFFSET($O$15,0,$DN125,$B$8,1),OFFSET($M$15,0,0,$B$8,1))=EH$13), 1*(_xlfn._xlws.FILTER(OFFSET($O$15,0,$DO125,$B$8,1),OFFSET($M$15,0,0,$B$8,1))=EH$14))   /   SUM(OFFSET($BO$15,0,0,$B$14,1)) + $B$18/($B$19*$B$19*($DN125&lt;&gt;$DO125) + $B$19*($DN125=$DO125))</f>
        <v>3.7037037037037035E-4</v>
      </c>
      <c r="EI125" s="10" cm="1">
        <f t="array" aca="1" ref="EI125" ca="1">(1-$B$18)*SUMPRODUCT(OFFSET($BO$15,0,0,$B$14,1), 1*(_xlfn._xlws.FILTER(OFFSET($O$15,0,$DN125,$B$8,1),OFFSET($M$15,0,0,$B$8,1))=EI$13), 1*(_xlfn._xlws.FILTER(OFFSET($O$15,0,$DO125,$B$8,1),OFFSET($M$15,0,0,$B$8,1))=EI$14))   /   SUM(OFFSET($BO$15,0,0,$B$14,1)) + $B$18/($B$19*$B$19*($DN125&lt;&gt;$DO125) + $B$19*($DN125=$DO125))</f>
        <v>3.7037037037037035E-4</v>
      </c>
      <c r="EJ125" s="10" cm="1">
        <f t="array" aca="1" ref="EJ125" ca="1">(1-$B$18)*SUMPRODUCT(OFFSET($BO$15,0,0,$B$14,1), 1*(_xlfn._xlws.FILTER(OFFSET($O$15,0,$DN125,$B$8,1),OFFSET($M$15,0,0,$B$8,1))=EJ$13), 1*(_xlfn._xlws.FILTER(OFFSET($O$15,0,$DO125,$B$8,1),OFFSET($M$15,0,0,$B$8,1))=EJ$14))   /   SUM(OFFSET($BO$15,0,0,$B$14,1)) + $B$18/($B$19*$B$19*($DN125&lt;&gt;$DO125) + $B$19*($DN125=$DO125))</f>
        <v>3.7037037037037035E-4</v>
      </c>
      <c r="EK125" s="10" cm="1">
        <f t="array" aca="1" ref="EK125" ca="1">(1-$B$18)*SUMPRODUCT(OFFSET($BO$15,0,0,$B$14,1), 1*(_xlfn._xlws.FILTER(OFFSET($O$15,0,$DN125,$B$8,1),OFFSET($M$15,0,0,$B$8,1))=EK$13), 1*(_xlfn._xlws.FILTER(OFFSET($O$15,0,$DO125,$B$8,1),OFFSET($M$15,0,0,$B$8,1))=EK$14))   /   SUM(OFFSET($BO$15,0,0,$B$14,1)) + $B$18/($B$19*$B$19*($DN125&lt;&gt;$DO125) + $B$19*($DN125=$DO125))</f>
        <v>3.7037037037037035E-4</v>
      </c>
      <c r="EL125" s="10" cm="1">
        <f t="array" aca="1" ref="EL125" ca="1">(1-$B$18)*SUMPRODUCT(OFFSET($BO$15,0,0,$B$14,1), 1*(_xlfn._xlws.FILTER(OFFSET($O$15,0,$DN125,$B$8,1),OFFSET($M$15,0,0,$B$8,1))=EL$13), 1*(_xlfn._xlws.FILTER(OFFSET($O$15,0,$DO125,$B$8,1),OFFSET($M$15,0,0,$B$8,1))=EL$14))   /   SUM(OFFSET($BO$15,0,0,$B$14,1)) + $B$18/($B$19*$B$19*($DN125&lt;&gt;$DO125) + $B$19*($DN125=$DO125))</f>
        <v>3.7037037037037035E-4</v>
      </c>
      <c r="EM125" s="10" cm="1">
        <f t="array" aca="1" ref="EM125" ca="1">(1-$B$18)*SUMPRODUCT(OFFSET($BO$15,0,0,$B$14,1), 1*(_xlfn._xlws.FILTER(OFFSET($O$15,0,$DN125,$B$8,1),OFFSET($M$15,0,0,$B$8,1))=EM$13), 1*(_xlfn._xlws.FILTER(OFFSET($O$15,0,$DO125,$B$8,1),OFFSET($M$15,0,0,$B$8,1))=EM$14))   /   SUM(OFFSET($BO$15,0,0,$B$14,1)) + $B$18/($B$19*$B$19*($DN125&lt;&gt;$DO125) + $B$19*($DN125=$DO125))</f>
        <v>3.7037037037037035E-4</v>
      </c>
      <c r="EN125" s="10" cm="1">
        <f t="array" aca="1" ref="EN125" ca="1">(1-$B$18)*SUMPRODUCT(OFFSET($BO$15,0,0,$B$14,1), 1*(_xlfn._xlws.FILTER(OFFSET($O$15,0,$DN125,$B$8,1),OFFSET($M$15,0,0,$B$8,1))=EN$13), 1*(_xlfn._xlws.FILTER(OFFSET($O$15,0,$DO125,$B$8,1),OFFSET($M$15,0,0,$B$8,1))=EN$14))   /   SUM(OFFSET($BO$15,0,0,$B$14,1)) + $B$18/($B$19*$B$19*($DN125&lt;&gt;$DO125) + $B$19*($DN125=$DO125))</f>
        <v>3.7037037037037035E-4</v>
      </c>
      <c r="EO125" s="10" cm="1">
        <f t="array" aca="1" ref="EO125" ca="1">(1-$B$18)*SUMPRODUCT(OFFSET($BO$15,0,0,$B$14,1), 1*(_xlfn._xlws.FILTER(OFFSET($O$15,0,$DN125,$B$8,1),OFFSET($M$15,0,0,$B$8,1))=EO$13), 1*(_xlfn._xlws.FILTER(OFFSET($O$15,0,$DO125,$B$8,1),OFFSET($M$15,0,0,$B$8,1))=EO$14))   /   SUM(OFFSET($BO$15,0,0,$B$14,1)) + $B$18/($B$19*$B$19*($DN125&lt;&gt;$DO125) + $B$19*($DN125=$DO125))</f>
        <v>3.7037037037037035E-4</v>
      </c>
      <c r="EP125" s="10" cm="1">
        <f t="array" aca="1" ref="EP125" ca="1">(1-$B$18)*SUMPRODUCT(OFFSET($BO$15,0,0,$B$14,1), 1*(_xlfn._xlws.FILTER(OFFSET($O$15,0,$DN125,$B$8,1),OFFSET($M$15,0,0,$B$8,1))=EP$13), 1*(_xlfn._xlws.FILTER(OFFSET($O$15,0,$DO125,$B$8,1),OFFSET($M$15,0,0,$B$8,1))=EP$14))   /   SUM(OFFSET($BO$15,0,0,$B$14,1)) + $B$18/($B$19*$B$19*($DN125&lt;&gt;$DO125) + $B$19*($DN125=$DO125))</f>
        <v>3.7037037037037035E-4</v>
      </c>
      <c r="EQ125" s="10" cm="1">
        <f t="array" aca="1" ref="EQ125" ca="1">(1-$B$18)*SUMPRODUCT(OFFSET($BO$15,0,0,$B$14,1), 1*(_xlfn._xlws.FILTER(OFFSET($O$15,0,$DN125,$B$8,1),OFFSET($M$15,0,0,$B$8,1))=EQ$13), 1*(_xlfn._xlws.FILTER(OFFSET($O$15,0,$DO125,$B$8,1),OFFSET($M$15,0,0,$B$8,1))=EQ$14))   /   SUM(OFFSET($BO$15,0,0,$B$14,1)) + $B$18/($B$19*$B$19*($DN125&lt;&gt;$DO125) + $B$19*($DN125=$DO125))</f>
        <v>3.7037037037037035E-4</v>
      </c>
      <c r="ER125" s="10" cm="1">
        <f t="array" aca="1" ref="ER125" ca="1">(1-$B$18)*SUMPRODUCT(OFFSET($BO$15,0,0,$B$14,1), 1*(_xlfn._xlws.FILTER(OFFSET($O$15,0,$DN125,$B$8,1),OFFSET($M$15,0,0,$B$8,1))=ER$13), 1*(_xlfn._xlws.FILTER(OFFSET($O$15,0,$DO125,$B$8,1),OFFSET($M$15,0,0,$B$8,1))=ER$14))   /   SUM(OFFSET($BO$15,0,0,$B$14,1)) + $B$18/($B$19*$B$19*($DN125&lt;&gt;$DO125) + $B$19*($DN125=$DO125))</f>
        <v>3.7037037037037035E-4</v>
      </c>
      <c r="ES125" s="10" cm="1">
        <f t="array" aca="1" ref="ES125" ca="1">(1-$B$18)*SUMPRODUCT(OFFSET($BO$15,0,0,$B$14,1), 1*(_xlfn._xlws.FILTER(OFFSET($O$15,0,$DN125,$B$8,1),OFFSET($M$15,0,0,$B$8,1))=ES$13), 1*(_xlfn._xlws.FILTER(OFFSET($O$15,0,$DO125,$B$8,1),OFFSET($M$15,0,0,$B$8,1))=ES$14))   /   SUM(OFFSET($BO$15,0,0,$B$14,1)) + $B$18/($B$19*$B$19*($DN125&lt;&gt;$DO125) + $B$19*($DN125=$DO125))</f>
        <v>3.7037037037037035E-4</v>
      </c>
      <c r="ET125" s="10" cm="1">
        <f t="array" aca="1" ref="ET125" ca="1">(1-$B$18)*SUMPRODUCT(OFFSET($BO$15,0,0,$B$14,1), 1*(_xlfn._xlws.FILTER(OFFSET($O$15,0,$DN125,$B$8,1),OFFSET($M$15,0,0,$B$8,1))=ET$13), 1*(_xlfn._xlws.FILTER(OFFSET($O$15,0,$DO125,$B$8,1),OFFSET($M$15,0,0,$B$8,1))=ET$14))   /   SUM(OFFSET($BO$15,0,0,$B$14,1)) + $B$18/($B$19*$B$19*($DN125&lt;&gt;$DO125) + $B$19*($DN125=$DO125))</f>
        <v>3.7037037037037035E-4</v>
      </c>
      <c r="EU125" s="10" cm="1">
        <f t="array" aca="1" ref="EU125" ca="1">(1-$B$18)*SUMPRODUCT(OFFSET($BO$15,0,0,$B$14,1), 1*(_xlfn._xlws.FILTER(OFFSET($O$15,0,$DN125,$B$8,1),OFFSET($M$15,0,0,$B$8,1))=EU$13), 1*(_xlfn._xlws.FILTER(OFFSET($O$15,0,$DO125,$B$8,1),OFFSET($M$15,0,0,$B$8,1))=EU$14))   /   SUM(OFFSET($BO$15,0,0,$B$14,1)) + $B$18/($B$19*$B$19*($DN125&lt;&gt;$DO125) + $B$19*($DN125=$DO125))</f>
        <v>3.7037037037037035E-4</v>
      </c>
      <c r="EV125" s="10" cm="1">
        <f t="array" aca="1" ref="EV125" ca="1">(1-$B$18)*SUMPRODUCT(OFFSET($BO$15,0,0,$B$14,1), 1*(_xlfn._xlws.FILTER(OFFSET($O$15,0,$DN125,$B$8,1),OFFSET($M$15,0,0,$B$8,1))=EV$13), 1*(_xlfn._xlws.FILTER(OFFSET($O$15,0,$DO125,$B$8,1),OFFSET($M$15,0,0,$B$8,1))=EV$14))   /   SUM(OFFSET($BO$15,0,0,$B$14,1)) + $B$18/($B$19*$B$19*($DN125&lt;&gt;$DO125) + $B$19*($DN125=$DO125))</f>
        <v>3.7037037037037035E-4</v>
      </c>
      <c r="EW125" s="10" cm="1">
        <f t="array" aca="1" ref="EW125" ca="1">(1-$B$18)*SUMPRODUCT(OFFSET($BO$15,0,0,$B$14,1), 1*(_xlfn._xlws.FILTER(OFFSET($O$15,0,$DN125,$B$8,1),OFFSET($M$15,0,0,$B$8,1))=EW$13), 1*(_xlfn._xlws.FILTER(OFFSET($O$15,0,$DO125,$B$8,1),OFFSET($M$15,0,0,$B$8,1))=EW$14))   /   SUM(OFFSET($BO$15,0,0,$B$14,1)) + $B$18/($B$19*$B$19*($DN125&lt;&gt;$DO125) + $B$19*($DN125=$DO125))</f>
        <v>3.7037037037037035E-4</v>
      </c>
      <c r="EX125" s="10" cm="1">
        <f t="array" aca="1" ref="EX125" ca="1">(1-$B$18)*SUMPRODUCT(OFFSET($BO$15,0,0,$B$14,1), 1*(_xlfn._xlws.FILTER(OFFSET($O$15,0,$DN125,$B$8,1),OFFSET($M$15,0,0,$B$8,1))=EX$13), 1*(_xlfn._xlws.FILTER(OFFSET($O$15,0,$DO125,$B$8,1),OFFSET($M$15,0,0,$B$8,1))=EX$14))   /   SUM(OFFSET($BO$15,0,0,$B$14,1)) + $B$18/($B$19*$B$19*($DN125&lt;&gt;$DO125) + $B$19*($DN125=$DO125))</f>
        <v>3.7037037037037035E-4</v>
      </c>
      <c r="EY125" s="10" cm="1">
        <f t="array" aca="1" ref="EY125" ca="1">(1-$B$18)*SUMPRODUCT(OFFSET($BO$15,0,0,$B$14,1), 1*(_xlfn._xlws.FILTER(OFFSET($O$15,0,$DN125,$B$8,1),OFFSET($M$15,0,0,$B$8,1))=EY$13), 1*(_xlfn._xlws.FILTER(OFFSET($O$15,0,$DO125,$B$8,1),OFFSET($M$15,0,0,$B$8,1))=EY$14))   /   SUM(OFFSET($BO$15,0,0,$B$14,1)) + $B$18/($B$19*$B$19*($DN125&lt;&gt;$DO125) + $B$19*($DN125=$DO125))</f>
        <v>3.7037037037037035E-4</v>
      </c>
      <c r="EZ125" s="10" cm="1">
        <f t="array" aca="1" ref="EZ125" ca="1">(1-$B$18)*SUMPRODUCT(OFFSET($BO$15,0,0,$B$14,1), 1*(_xlfn._xlws.FILTER(OFFSET($O$15,0,$DN125,$B$8,1),OFFSET($M$15,0,0,$B$8,1))=EZ$13), 1*(_xlfn._xlws.FILTER(OFFSET($O$15,0,$DO125,$B$8,1),OFFSET($M$15,0,0,$B$8,1))=EZ$14))   /   SUM(OFFSET($BO$15,0,0,$B$14,1)) + $B$18/($B$19*$B$19*($DN125&lt;&gt;$DO125) + $B$19*($DN125=$DO125))</f>
        <v>3.7037037037037035E-4</v>
      </c>
      <c r="FA125" s="10" cm="1">
        <f t="array" aca="1" ref="FA125" ca="1">(1-$B$18)*SUMPRODUCT(OFFSET($BO$15,0,0,$B$14,1), 1*(_xlfn._xlws.FILTER(OFFSET($O$15,0,$DN125,$B$8,1),OFFSET($M$15,0,0,$B$8,1))=FA$13), 1*(_xlfn._xlws.FILTER(OFFSET($O$15,0,$DO125,$B$8,1),OFFSET($M$15,0,0,$B$8,1))=FA$14))   /   SUM(OFFSET($BO$15,0,0,$B$14,1)) + $B$18/($B$19*$B$19*($DN125&lt;&gt;$DO125) + $B$19*($DN125=$DO125))</f>
        <v>3.7037037037037035E-4</v>
      </c>
      <c r="FB125" s="10" cm="1">
        <f t="array" aca="1" ref="FB125" ca="1">(1-$B$18)*SUMPRODUCT(OFFSET($BO$15,0,0,$B$14,1), 1*(_xlfn._xlws.FILTER(OFFSET($O$15,0,$DN125,$B$8,1),OFFSET($M$15,0,0,$B$8,1))=FB$13), 1*(_xlfn._xlws.FILTER(OFFSET($O$15,0,$DO125,$B$8,1),OFFSET($M$15,0,0,$B$8,1))=FB$14))   /   SUM(OFFSET($BO$15,0,0,$B$14,1)) + $B$18/($B$19*$B$19*($DN125&lt;&gt;$DO125) + $B$19*($DN125=$DO125))</f>
        <v>3.7037037037037035E-4</v>
      </c>
      <c r="FC125" s="10" cm="1">
        <f t="array" aca="1" ref="FC125" ca="1">(1-$B$18)*SUMPRODUCT(OFFSET($BO$15,0,0,$B$14,1), 1*(_xlfn._xlws.FILTER(OFFSET($O$15,0,$DN125,$B$8,1),OFFSET($M$15,0,0,$B$8,1))=FC$13), 1*(_xlfn._xlws.FILTER(OFFSET($O$15,0,$DO125,$B$8,1),OFFSET($M$15,0,0,$B$8,1))=FC$14))   /   SUM(OFFSET($BO$15,0,0,$B$14,1)) + $B$18/($B$19*$B$19*($DN125&lt;&gt;$DO125) + $B$19*($DN125=$DO125))</f>
        <v>3.7037037037037035E-4</v>
      </c>
      <c r="FD125" s="10" cm="1">
        <f t="array" aca="1" ref="FD125" ca="1">(1-$B$18)*SUMPRODUCT(OFFSET($BO$15,0,0,$B$14,1), 1*(_xlfn._xlws.FILTER(OFFSET($O$15,0,$DN125,$B$8,1),OFFSET($M$15,0,0,$B$8,1))=FD$13), 1*(_xlfn._xlws.FILTER(OFFSET($O$15,0,$DO125,$B$8,1),OFFSET($M$15,0,0,$B$8,1))=FD$14))   /   SUM(OFFSET($BO$15,0,0,$B$14,1)) + $B$18/($B$19*$B$19*($DN125&lt;&gt;$DO125) + $B$19*($DN125=$DO125))</f>
        <v>3.7037037037037035E-4</v>
      </c>
      <c r="FE125" s="10" cm="1">
        <f t="array" aca="1" ref="FE125" ca="1">(1-$B$18)*SUMPRODUCT(OFFSET($BO$15,0,0,$B$14,1), 1*(_xlfn._xlws.FILTER(OFFSET($O$15,0,$DN125,$B$8,1),OFFSET($M$15,0,0,$B$8,1))=FE$13), 1*(_xlfn._xlws.FILTER(OFFSET($O$15,0,$DO125,$B$8,1),OFFSET($M$15,0,0,$B$8,1))=FE$14))   /   SUM(OFFSET($BO$15,0,0,$B$14,1)) + $B$18/($B$19*$B$19*($DN125&lt;&gt;$DO125) + $B$19*($DN125=$DO125))</f>
        <v>3.7037037037037035E-4</v>
      </c>
      <c r="FF125" s="10" cm="1">
        <f t="array" aca="1" ref="FF125" ca="1">(1-$B$18)*SUMPRODUCT(OFFSET($BO$15,0,0,$B$14,1), 1*(_xlfn._xlws.FILTER(OFFSET($O$15,0,$DN125,$B$8,1),OFFSET($M$15,0,0,$B$8,1))=FF$13), 1*(_xlfn._xlws.FILTER(OFFSET($O$15,0,$DO125,$B$8,1),OFFSET($M$15,0,0,$B$8,1))=FF$14))   /   SUM(OFFSET($BO$15,0,0,$B$14,1)) + $B$18/($B$19*$B$19*($DN125&lt;&gt;$DO125) + $B$19*($DN125=$DO125))</f>
        <v>3.7037037037037035E-4</v>
      </c>
      <c r="FG125" s="10" cm="1">
        <f t="array" aca="1" ref="FG125" ca="1">(1-$B$18)*SUMPRODUCT(OFFSET($BO$15,0,0,$B$14,1), 1*(_xlfn._xlws.FILTER(OFFSET($O$15,0,$DN125,$B$8,1),OFFSET($M$15,0,0,$B$8,1))=FG$13), 1*(_xlfn._xlws.FILTER(OFFSET($O$15,0,$DO125,$B$8,1),OFFSET($M$15,0,0,$B$8,1))=FG$14))   /   SUM(OFFSET($BO$15,0,0,$B$14,1)) + $B$18/($B$19*$B$19*($DN125&lt;&gt;$DO125) + $B$19*($DN125=$DO125))</f>
        <v>3.7037037037037035E-4</v>
      </c>
      <c r="FH125" s="10" cm="1">
        <f t="array" aca="1" ref="FH125" ca="1">(1-$B$18)*SUMPRODUCT(OFFSET($BO$15,0,0,$B$14,1), 1*(_xlfn._xlws.FILTER(OFFSET($O$15,0,$DN125,$B$8,1),OFFSET($M$15,0,0,$B$8,1))=FH$13), 1*(_xlfn._xlws.FILTER(OFFSET($O$15,0,$DO125,$B$8,1),OFFSET($M$15,0,0,$B$8,1))=FH$14))   /   SUM(OFFSET($BO$15,0,0,$B$14,1)) + $B$18/($B$19*$B$19*($DN125&lt;&gt;$DO125) + $B$19*($DN125=$DO125))</f>
        <v>3.7037037037037035E-4</v>
      </c>
      <c r="FI125" s="10" cm="1">
        <f t="array" aca="1" ref="FI125" ca="1">(1-$B$18)*SUMPRODUCT(OFFSET($BO$15,0,0,$B$14,1), 1*(_xlfn._xlws.FILTER(OFFSET($O$15,0,$DN125,$B$8,1),OFFSET($M$15,0,0,$B$8,1))=FI$13), 1*(_xlfn._xlws.FILTER(OFFSET($O$15,0,$DO125,$B$8,1),OFFSET($M$15,0,0,$B$8,1))=FI$14))   /   SUM(OFFSET($BO$15,0,0,$B$14,1)) + $B$18/($B$19*$B$19*($DN125&lt;&gt;$DO125) + $B$19*($DN125=$DO125))</f>
        <v>3.7037037037037035E-4</v>
      </c>
      <c r="FJ125" s="10" cm="1">
        <f t="array" aca="1" ref="FJ125" ca="1">(1-$B$18)*SUMPRODUCT(OFFSET($BO$15,0,0,$B$14,1), 1*(_xlfn._xlws.FILTER(OFFSET($O$15,0,$DN125,$B$8,1),OFFSET($M$15,0,0,$B$8,1))=FJ$13), 1*(_xlfn._xlws.FILTER(OFFSET($O$15,0,$DO125,$B$8,1),OFFSET($M$15,0,0,$B$8,1))=FJ$14))   /   SUM(OFFSET($BO$15,0,0,$B$14,1)) + $B$18/($B$19*$B$19*($DN125&lt;&gt;$DO125) + $B$19*($DN125=$DO125))</f>
        <v>3.7037037037037035E-4</v>
      </c>
      <c r="FK125" s="10" cm="1">
        <f t="array" aca="1" ref="FK125" ca="1">(1-$B$18)*SUMPRODUCT(OFFSET($BO$15,0,0,$B$14,1), 1*(_xlfn._xlws.FILTER(OFFSET($O$15,0,$DN125,$B$8,1),OFFSET($M$15,0,0,$B$8,1))=FK$13), 1*(_xlfn._xlws.FILTER(OFFSET($O$15,0,$DO125,$B$8,1),OFFSET($M$15,0,0,$B$8,1))=FK$14))   /   SUM(OFFSET($BO$15,0,0,$B$14,1)) + $B$18/($B$19*$B$19*($DN125&lt;&gt;$DO125) + $B$19*($DN125=$DO125))</f>
        <v>3.7037037037037035E-4</v>
      </c>
      <c r="FL125" s="10" cm="1">
        <f t="array" aca="1" ref="FL125" ca="1">(1-$B$18)*SUMPRODUCT(OFFSET($BO$15,0,0,$B$14,1), 1*(_xlfn._xlws.FILTER(OFFSET($O$15,0,$DN125,$B$8,1),OFFSET($M$15,0,0,$B$8,1))=FL$13), 1*(_xlfn._xlws.FILTER(OFFSET($O$15,0,$DO125,$B$8,1),OFFSET($M$15,0,0,$B$8,1))=FL$14))   /   SUM(OFFSET($BO$15,0,0,$B$14,1)) + $B$18/($B$19*$B$19*($DN125&lt;&gt;$DO125) + $B$19*($DN125=$DO125))</f>
        <v>3.7037037037037035E-4</v>
      </c>
      <c r="FM125" s="10" cm="1">
        <f t="array" aca="1" ref="FM125" ca="1">(1-$B$18)*SUMPRODUCT(OFFSET($BO$15,0,0,$B$14,1), 1*(_xlfn._xlws.FILTER(OFFSET($O$15,0,$DN125,$B$8,1),OFFSET($M$15,0,0,$B$8,1))=FM$13), 1*(_xlfn._xlws.FILTER(OFFSET($O$15,0,$DO125,$B$8,1),OFFSET($M$15,0,0,$B$8,1))=FM$14))   /   SUM(OFFSET($BO$15,0,0,$B$14,1)) + $B$18/($B$19*$B$19*($DN125&lt;&gt;$DO125) + $B$19*($DN125=$DO125))</f>
        <v>3.7037037037037035E-4</v>
      </c>
      <c r="FN125" s="10" cm="1">
        <f t="array" aca="1" ref="FN125" ca="1">(1-$B$18)*SUMPRODUCT(OFFSET($BO$15,0,0,$B$14,1), 1*(_xlfn._xlws.FILTER(OFFSET($O$15,0,$DN125,$B$8,1),OFFSET($M$15,0,0,$B$8,1))=FN$13), 1*(_xlfn._xlws.FILTER(OFFSET($O$15,0,$DO125,$B$8,1),OFFSET($M$15,0,0,$B$8,1))=FN$14))   /   SUM(OFFSET($BO$15,0,0,$B$14,1)) + $B$18/($B$19*$B$19*($DN125&lt;&gt;$DO125) + $B$19*($DN125=$DO125))</f>
        <v>3.7037037037037035E-4</v>
      </c>
      <c r="FO125" s="10" cm="1">
        <f t="array" aca="1" ref="FO125" ca="1">(1-$B$18)*SUMPRODUCT(OFFSET($BO$15,0,0,$B$14,1), 1*(_xlfn._xlws.FILTER(OFFSET($O$15,0,$DN125,$B$8,1),OFFSET($M$15,0,0,$B$8,1))=FO$13), 1*(_xlfn._xlws.FILTER(OFFSET($O$15,0,$DO125,$B$8,1),OFFSET($M$15,0,0,$B$8,1))=FO$14))   /   SUM(OFFSET($BO$15,0,0,$B$14,1)) + $B$18/($B$19*$B$19*($DN125&lt;&gt;$DO125) + $B$19*($DN125=$DO125))</f>
        <v>0.97037037037037033</v>
      </c>
      <c r="FP125" s="10" cm="1">
        <f t="array" aca="1" ref="FP125" ca="1">(1-$B$18)*SUMPRODUCT(OFFSET($BO$15,0,0,$B$14,1), 1*(_xlfn._xlws.FILTER(OFFSET($O$15,0,$DN125,$B$8,1),OFFSET($M$15,0,0,$B$8,1))=FP$13), 1*(_xlfn._xlws.FILTER(OFFSET($O$15,0,$DO125,$B$8,1),OFFSET($M$15,0,0,$B$8,1))=FP$14))   /   SUM(OFFSET($BO$15,0,0,$B$14,1)) + $B$18/($B$19*$B$19*($DN125&lt;&gt;$DO125) + $B$19*($DN125=$DO125))</f>
        <v>3.7037037037037035E-4</v>
      </c>
      <c r="FQ125" s="10" cm="1">
        <f t="array" aca="1" ref="FQ125" ca="1">(1-$B$18)*SUMPRODUCT(OFFSET($BO$15,0,0,$B$14,1), 1*(_xlfn._xlws.FILTER(OFFSET($O$15,0,$DN125,$B$8,1),OFFSET($M$15,0,0,$B$8,1))=FQ$13), 1*(_xlfn._xlws.FILTER(OFFSET($O$15,0,$DO125,$B$8,1),OFFSET($M$15,0,0,$B$8,1))=FQ$14))   /   SUM(OFFSET($BO$15,0,0,$B$14,1)) + $B$18/($B$19*$B$19*($DN125&lt;&gt;$DO125) + $B$19*($DN125=$DO125))</f>
        <v>3.7037037037037035E-4</v>
      </c>
      <c r="FR125" s="10" cm="1">
        <f t="array" aca="1" ref="FR125" ca="1">(1-$B$18)*SUMPRODUCT(OFFSET($BO$15,0,0,$B$14,1), 1*(_xlfn._xlws.FILTER(OFFSET($O$15,0,$DN125,$B$8,1),OFFSET($M$15,0,0,$B$8,1))=FR$13), 1*(_xlfn._xlws.FILTER(OFFSET($O$15,0,$DO125,$B$8,1),OFFSET($M$15,0,0,$B$8,1))=FR$14))   /   SUM(OFFSET($BO$15,0,0,$B$14,1)) + $B$18/($B$19*$B$19*($DN125&lt;&gt;$DO125) + $B$19*($DN125=$DO125))</f>
        <v>3.7037037037037035E-4</v>
      </c>
      <c r="FS125" s="10" cm="1">
        <f t="array" aca="1" ref="FS125" ca="1">(1-$B$18)*SUMPRODUCT(OFFSET($BO$15,0,0,$B$14,1), 1*(_xlfn._xlws.FILTER(OFFSET($O$15,0,$DN125,$B$8,1),OFFSET($M$15,0,0,$B$8,1))=FS$13), 1*(_xlfn._xlws.FILTER(OFFSET($O$15,0,$DO125,$B$8,1),OFFSET($M$15,0,0,$B$8,1))=FS$14))   /   SUM(OFFSET($BO$15,0,0,$B$14,1)) + $B$18/($B$19*$B$19*($DN125&lt;&gt;$DO125) + $B$19*($DN125=$DO125))</f>
        <v>3.7037037037037035E-4</v>
      </c>
      <c r="FT125" s="10" cm="1">
        <f t="array" aca="1" ref="FT125" ca="1">(1-$B$18)*SUMPRODUCT(OFFSET($BO$15,0,0,$B$14,1), 1*(_xlfn._xlws.FILTER(OFFSET($O$15,0,$DN125,$B$8,1),OFFSET($M$15,0,0,$B$8,1))=FT$13), 1*(_xlfn._xlws.FILTER(OFFSET($O$15,0,$DO125,$B$8,1),OFFSET($M$15,0,0,$B$8,1))=FT$14))   /   SUM(OFFSET($BO$15,0,0,$B$14,1)) + $B$18/($B$19*$B$19*($DN125&lt;&gt;$DO125) + $B$19*($DN125=$DO125))</f>
        <v>3.7037037037037035E-4</v>
      </c>
      <c r="FU125" s="10" cm="1">
        <f t="array" aca="1" ref="FU125" ca="1">(1-$B$18)*SUMPRODUCT(OFFSET($BO$15,0,0,$B$14,1), 1*(_xlfn._xlws.FILTER(OFFSET($O$15,0,$DN125,$B$8,1),OFFSET($M$15,0,0,$B$8,1))=FU$13), 1*(_xlfn._xlws.FILTER(OFFSET($O$15,0,$DO125,$B$8,1),OFFSET($M$15,0,0,$B$8,1))=FU$14))   /   SUM(OFFSET($BO$15,0,0,$B$14,1)) + $B$18/($B$19*$B$19*($DN125&lt;&gt;$DO125) + $B$19*($DN125=$DO125))</f>
        <v>3.7037037037037035E-4</v>
      </c>
      <c r="FV125" s="10" cm="1">
        <f t="array" aca="1" ref="FV125" ca="1">(1-$B$18)*SUMPRODUCT(OFFSET($BO$15,0,0,$B$14,1), 1*(_xlfn._xlws.FILTER(OFFSET($O$15,0,$DN125,$B$8,1),OFFSET($M$15,0,0,$B$8,1))=FV$13), 1*(_xlfn._xlws.FILTER(OFFSET($O$15,0,$DO125,$B$8,1),OFFSET($M$15,0,0,$B$8,1))=FV$14))   /   SUM(OFFSET($BO$15,0,0,$B$14,1)) + $B$18/($B$19*$B$19*($DN125&lt;&gt;$DO125) + $B$19*($DN125=$DO125))</f>
        <v>3.7037037037037035E-4</v>
      </c>
      <c r="FW125" s="10" cm="1">
        <f t="array" aca="1" ref="FW125" ca="1">(1-$B$18)*SUMPRODUCT(OFFSET($BO$15,0,0,$B$14,1), 1*(_xlfn._xlws.FILTER(OFFSET($O$15,0,$DN125,$B$8,1),OFFSET($M$15,0,0,$B$8,1))=FW$13), 1*(_xlfn._xlws.FILTER(OFFSET($O$15,0,$DO125,$B$8,1),OFFSET($M$15,0,0,$B$8,1))=FW$14))   /   SUM(OFFSET($BO$15,0,0,$B$14,1)) + $B$18/($B$19*$B$19*($DN125&lt;&gt;$DO125) + $B$19*($DN125=$DO125))</f>
        <v>3.7037037037037035E-4</v>
      </c>
      <c r="FX125" s="10" cm="1">
        <f t="array" aca="1" ref="FX125" ca="1">(1-$B$18)*SUMPRODUCT(OFFSET($BO$15,0,0,$B$14,1), 1*(_xlfn._xlws.FILTER(OFFSET($O$15,0,$DN125,$B$8,1),OFFSET($M$15,0,0,$B$8,1))=FX$13), 1*(_xlfn._xlws.FILTER(OFFSET($O$15,0,$DO125,$B$8,1),OFFSET($M$15,0,0,$B$8,1))=FX$14))   /   SUM(OFFSET($BO$15,0,0,$B$14,1)) + $B$18/($B$19*$B$19*($DN125&lt;&gt;$DO125) + $B$19*($DN125=$DO125))</f>
        <v>3.7037037037037035E-4</v>
      </c>
      <c r="FY125" s="10" cm="1">
        <f t="array" aca="1" ref="FY125" ca="1">(1-$B$18)*SUMPRODUCT(OFFSET($BO$15,0,0,$B$14,1), 1*(_xlfn._xlws.FILTER(OFFSET($O$15,0,$DN125,$B$8,1),OFFSET($M$15,0,0,$B$8,1))=FY$13), 1*(_xlfn._xlws.FILTER(OFFSET($O$15,0,$DO125,$B$8,1),OFFSET($M$15,0,0,$B$8,1))=FY$14))   /   SUM(OFFSET($BO$15,0,0,$B$14,1)) + $B$18/($B$19*$B$19*($DN125&lt;&gt;$DO125) + $B$19*($DN125=$DO125))</f>
        <v>3.7037037037037035E-4</v>
      </c>
      <c r="FZ125" s="10" cm="1">
        <f t="array" aca="1" ref="FZ125" ca="1">(1-$B$18)*SUMPRODUCT(OFFSET($BO$15,0,0,$B$14,1), 1*(_xlfn._xlws.FILTER(OFFSET($O$15,0,$DN125,$B$8,1),OFFSET($M$15,0,0,$B$8,1))=FZ$13), 1*(_xlfn._xlws.FILTER(OFFSET($O$15,0,$DO125,$B$8,1),OFFSET($M$15,0,0,$B$8,1))=FZ$14))   /   SUM(OFFSET($BO$15,0,0,$B$14,1)) + $B$18/($B$19*$B$19*($DN125&lt;&gt;$DO125) + $B$19*($DN125=$DO125))</f>
        <v>3.7037037037037035E-4</v>
      </c>
      <c r="GA125" s="10" cm="1">
        <f t="array" aca="1" ref="GA125" ca="1">(1-$B$18)*SUMPRODUCT(OFFSET($BO$15,0,0,$B$14,1), 1*(_xlfn._xlws.FILTER(OFFSET($O$15,0,$DN125,$B$8,1),OFFSET($M$15,0,0,$B$8,1))=GA$13), 1*(_xlfn._xlws.FILTER(OFFSET($O$15,0,$DO125,$B$8,1),OFFSET($M$15,0,0,$B$8,1))=GA$14))   /   SUM(OFFSET($BO$15,0,0,$B$14,1)) + $B$18/($B$19*$B$19*($DN125&lt;&gt;$DO125) + $B$19*($DN125=$DO125))</f>
        <v>3.7037037037037035E-4</v>
      </c>
    </row>
    <row r="126" spans="7:183" x14ac:dyDescent="0.2">
      <c r="G126" s="2"/>
      <c r="H126" s="2"/>
      <c r="AH126" s="2"/>
      <c r="AI126" s="2"/>
      <c r="DN126" cm="1">
        <f t="array" aca="1" ref="DN126" ca="1">INDEX(_xlfn.ANCHORARRAY($CP$15), 1 + INT((ROWS($DO$15:$DO126) - 1) / ROWS(_xlfn.ANCHORARRAY($CP$15))))</f>
        <v>5</v>
      </c>
      <c r="DO126" cm="1">
        <f t="array" aca="1" ref="DO126" ca="1">INDEX(_xlfn.ANCHORARRAY($CP$15),1+MOD(ROWS($DO$15:$DO126)-1,ROWS(_xlfn.ANCHORARRAY($CP$15))))</f>
        <v>19</v>
      </c>
      <c r="DP126" s="10" cm="1">
        <f t="array" aca="1" ref="DP126" ca="1">(1-$B$18)*SUMPRODUCT(OFFSET($BO$15,0,0,$B$14,1), 1*(_xlfn._xlws.FILTER(OFFSET($O$15,0,$DN126,$B$8,1),OFFSET($M$15,0,0,$B$8,1))=DP$13), 1*(_xlfn._xlws.FILTER(OFFSET($O$15,0,$DO126,$B$8,1),OFFSET($M$15,0,0,$B$8,1))=DP$14))   /   SUM(OFFSET($BO$15,0,0,$B$14,1)) + $B$18/($B$19*$B$19*($DN126&lt;&gt;$DO126) + $B$19*($DN126=$DO126))</f>
        <v>3.7037037037037035E-4</v>
      </c>
      <c r="DQ126" s="10" cm="1">
        <f t="array" aca="1" ref="DQ126" ca="1">(1-$B$18)*SUMPRODUCT(OFFSET($BO$15,0,0,$B$14,1), 1*(_xlfn._xlws.FILTER(OFFSET($O$15,0,$DN126,$B$8,1),OFFSET($M$15,0,0,$B$8,1))=DQ$13), 1*(_xlfn._xlws.FILTER(OFFSET($O$15,0,$DO126,$B$8,1),OFFSET($M$15,0,0,$B$8,1))=DQ$14))   /   SUM(OFFSET($BO$15,0,0,$B$14,1)) + $B$18/($B$19*$B$19*($DN126&lt;&gt;$DO126) + $B$19*($DN126=$DO126))</f>
        <v>3.7037037037037035E-4</v>
      </c>
      <c r="DR126" s="10" cm="1">
        <f t="array" aca="1" ref="DR126" ca="1">(1-$B$18)*SUMPRODUCT(OFFSET($BO$15,0,0,$B$14,1), 1*(_xlfn._xlws.FILTER(OFFSET($O$15,0,$DN126,$B$8,1),OFFSET($M$15,0,0,$B$8,1))=DR$13), 1*(_xlfn._xlws.FILTER(OFFSET($O$15,0,$DO126,$B$8,1),OFFSET($M$15,0,0,$B$8,1))=DR$14))   /   SUM(OFFSET($BO$15,0,0,$B$14,1)) + $B$18/($B$19*$B$19*($DN126&lt;&gt;$DO126) + $B$19*($DN126=$DO126))</f>
        <v>3.7037037037037035E-4</v>
      </c>
      <c r="DS126" s="10" cm="1">
        <f t="array" aca="1" ref="DS126" ca="1">(1-$B$18)*SUMPRODUCT(OFFSET($BO$15,0,0,$B$14,1), 1*(_xlfn._xlws.FILTER(OFFSET($O$15,0,$DN126,$B$8,1),OFFSET($M$15,0,0,$B$8,1))=DS$13), 1*(_xlfn._xlws.FILTER(OFFSET($O$15,0,$DO126,$B$8,1),OFFSET($M$15,0,0,$B$8,1))=DS$14))   /   SUM(OFFSET($BO$15,0,0,$B$14,1)) + $B$18/($B$19*$B$19*($DN126&lt;&gt;$DO126) + $B$19*($DN126=$DO126))</f>
        <v>3.7037037037037035E-4</v>
      </c>
      <c r="DT126" s="10" cm="1">
        <f t="array" aca="1" ref="DT126" ca="1">(1-$B$18)*SUMPRODUCT(OFFSET($BO$15,0,0,$B$14,1), 1*(_xlfn._xlws.FILTER(OFFSET($O$15,0,$DN126,$B$8,1),OFFSET($M$15,0,0,$B$8,1))=DT$13), 1*(_xlfn._xlws.FILTER(OFFSET($O$15,0,$DO126,$B$8,1),OFFSET($M$15,0,0,$B$8,1))=DT$14))   /   SUM(OFFSET($BO$15,0,0,$B$14,1)) + $B$18/($B$19*$B$19*($DN126&lt;&gt;$DO126) + $B$19*($DN126=$DO126))</f>
        <v>3.7037037037037035E-4</v>
      </c>
      <c r="DU126" s="10" cm="1">
        <f t="array" aca="1" ref="DU126" ca="1">(1-$B$18)*SUMPRODUCT(OFFSET($BO$15,0,0,$B$14,1), 1*(_xlfn._xlws.FILTER(OFFSET($O$15,0,$DN126,$B$8,1),OFFSET($M$15,0,0,$B$8,1))=DU$13), 1*(_xlfn._xlws.FILTER(OFFSET($O$15,0,$DO126,$B$8,1),OFFSET($M$15,0,0,$B$8,1))=DU$14))   /   SUM(OFFSET($BO$15,0,0,$B$14,1)) + $B$18/($B$19*$B$19*($DN126&lt;&gt;$DO126) + $B$19*($DN126=$DO126))</f>
        <v>3.7037037037037035E-4</v>
      </c>
      <c r="DV126" s="10" cm="1">
        <f t="array" aca="1" ref="DV126" ca="1">(1-$B$18)*SUMPRODUCT(OFFSET($BO$15,0,0,$B$14,1), 1*(_xlfn._xlws.FILTER(OFFSET($O$15,0,$DN126,$B$8,1),OFFSET($M$15,0,0,$B$8,1))=DV$13), 1*(_xlfn._xlws.FILTER(OFFSET($O$15,0,$DO126,$B$8,1),OFFSET($M$15,0,0,$B$8,1))=DV$14))   /   SUM(OFFSET($BO$15,0,0,$B$14,1)) + $B$18/($B$19*$B$19*($DN126&lt;&gt;$DO126) + $B$19*($DN126=$DO126))</f>
        <v>3.7037037037037035E-4</v>
      </c>
      <c r="DW126" s="10" cm="1">
        <f t="array" aca="1" ref="DW126" ca="1">(1-$B$18)*SUMPRODUCT(OFFSET($BO$15,0,0,$B$14,1), 1*(_xlfn._xlws.FILTER(OFFSET($O$15,0,$DN126,$B$8,1),OFFSET($M$15,0,0,$B$8,1))=DW$13), 1*(_xlfn._xlws.FILTER(OFFSET($O$15,0,$DO126,$B$8,1),OFFSET($M$15,0,0,$B$8,1))=DW$14))   /   SUM(OFFSET($BO$15,0,0,$B$14,1)) + $B$18/($B$19*$B$19*($DN126&lt;&gt;$DO126) + $B$19*($DN126=$DO126))</f>
        <v>3.7037037037037035E-4</v>
      </c>
      <c r="DX126" s="10" cm="1">
        <f t="array" aca="1" ref="DX126" ca="1">(1-$B$18)*SUMPRODUCT(OFFSET($BO$15,0,0,$B$14,1), 1*(_xlfn._xlws.FILTER(OFFSET($O$15,0,$DN126,$B$8,1),OFFSET($M$15,0,0,$B$8,1))=DX$13), 1*(_xlfn._xlws.FILTER(OFFSET($O$15,0,$DO126,$B$8,1),OFFSET($M$15,0,0,$B$8,1))=DX$14))   /   SUM(OFFSET($BO$15,0,0,$B$14,1)) + $B$18/($B$19*$B$19*($DN126&lt;&gt;$DO126) + $B$19*($DN126=$DO126))</f>
        <v>3.7037037037037035E-4</v>
      </c>
      <c r="DY126" s="10" cm="1">
        <f t="array" aca="1" ref="DY126" ca="1">(1-$B$18)*SUMPRODUCT(OFFSET($BO$15,0,0,$B$14,1), 1*(_xlfn._xlws.FILTER(OFFSET($O$15,0,$DN126,$B$8,1),OFFSET($M$15,0,0,$B$8,1))=DY$13), 1*(_xlfn._xlws.FILTER(OFFSET($O$15,0,$DO126,$B$8,1),OFFSET($M$15,0,0,$B$8,1))=DY$14))   /   SUM(OFFSET($BO$15,0,0,$B$14,1)) + $B$18/($B$19*$B$19*($DN126&lt;&gt;$DO126) + $B$19*($DN126=$DO126))</f>
        <v>3.7037037037037035E-4</v>
      </c>
      <c r="DZ126" s="10" cm="1">
        <f t="array" aca="1" ref="DZ126" ca="1">(1-$B$18)*SUMPRODUCT(OFFSET($BO$15,0,0,$B$14,1), 1*(_xlfn._xlws.FILTER(OFFSET($O$15,0,$DN126,$B$8,1),OFFSET($M$15,0,0,$B$8,1))=DZ$13), 1*(_xlfn._xlws.FILTER(OFFSET($O$15,0,$DO126,$B$8,1),OFFSET($M$15,0,0,$B$8,1))=DZ$14))   /   SUM(OFFSET($BO$15,0,0,$B$14,1)) + $B$18/($B$19*$B$19*($DN126&lt;&gt;$DO126) + $B$19*($DN126=$DO126))</f>
        <v>3.7037037037037035E-4</v>
      </c>
      <c r="EA126" s="10" cm="1">
        <f t="array" aca="1" ref="EA126" ca="1">(1-$B$18)*SUMPRODUCT(OFFSET($BO$15,0,0,$B$14,1), 1*(_xlfn._xlws.FILTER(OFFSET($O$15,0,$DN126,$B$8,1),OFFSET($M$15,0,0,$B$8,1))=EA$13), 1*(_xlfn._xlws.FILTER(OFFSET($O$15,0,$DO126,$B$8,1),OFFSET($M$15,0,0,$B$8,1))=EA$14))   /   SUM(OFFSET($BO$15,0,0,$B$14,1)) + $B$18/($B$19*$B$19*($DN126&lt;&gt;$DO126) + $B$19*($DN126=$DO126))</f>
        <v>3.7037037037037035E-4</v>
      </c>
      <c r="EB126" s="10" cm="1">
        <f t="array" aca="1" ref="EB126" ca="1">(1-$B$18)*SUMPRODUCT(OFFSET($BO$15,0,0,$B$14,1), 1*(_xlfn._xlws.FILTER(OFFSET($O$15,0,$DN126,$B$8,1),OFFSET($M$15,0,0,$B$8,1))=EB$13), 1*(_xlfn._xlws.FILTER(OFFSET($O$15,0,$DO126,$B$8,1),OFFSET($M$15,0,0,$B$8,1))=EB$14))   /   SUM(OFFSET($BO$15,0,0,$B$14,1)) + $B$18/($B$19*$B$19*($DN126&lt;&gt;$DO126) + $B$19*($DN126=$DO126))</f>
        <v>3.7037037037037035E-4</v>
      </c>
      <c r="EC126" s="10" cm="1">
        <f t="array" aca="1" ref="EC126" ca="1">(1-$B$18)*SUMPRODUCT(OFFSET($BO$15,0,0,$B$14,1), 1*(_xlfn._xlws.FILTER(OFFSET($O$15,0,$DN126,$B$8,1),OFFSET($M$15,0,0,$B$8,1))=EC$13), 1*(_xlfn._xlws.FILTER(OFFSET($O$15,0,$DO126,$B$8,1),OFFSET($M$15,0,0,$B$8,1))=EC$14))   /   SUM(OFFSET($BO$15,0,0,$B$14,1)) + $B$18/($B$19*$B$19*($DN126&lt;&gt;$DO126) + $B$19*($DN126=$DO126))</f>
        <v>3.7037037037037035E-4</v>
      </c>
      <c r="ED126" s="10" cm="1">
        <f t="array" aca="1" ref="ED126" ca="1">(1-$B$18)*SUMPRODUCT(OFFSET($BO$15,0,0,$B$14,1), 1*(_xlfn._xlws.FILTER(OFFSET($O$15,0,$DN126,$B$8,1),OFFSET($M$15,0,0,$B$8,1))=ED$13), 1*(_xlfn._xlws.FILTER(OFFSET($O$15,0,$DO126,$B$8,1),OFFSET($M$15,0,0,$B$8,1))=ED$14))   /   SUM(OFFSET($BO$15,0,0,$B$14,1)) + $B$18/($B$19*$B$19*($DN126&lt;&gt;$DO126) + $B$19*($DN126=$DO126))</f>
        <v>3.7037037037037035E-4</v>
      </c>
      <c r="EE126" s="10" cm="1">
        <f t="array" aca="1" ref="EE126" ca="1">(1-$B$18)*SUMPRODUCT(OFFSET($BO$15,0,0,$B$14,1), 1*(_xlfn._xlws.FILTER(OFFSET($O$15,0,$DN126,$B$8,1),OFFSET($M$15,0,0,$B$8,1))=EE$13), 1*(_xlfn._xlws.FILTER(OFFSET($O$15,0,$DO126,$B$8,1),OFFSET($M$15,0,0,$B$8,1))=EE$14))   /   SUM(OFFSET($BO$15,0,0,$B$14,1)) + $B$18/($B$19*$B$19*($DN126&lt;&gt;$DO126) + $B$19*($DN126=$DO126))</f>
        <v>3.7037037037037035E-4</v>
      </c>
      <c r="EF126" s="10" cm="1">
        <f t="array" aca="1" ref="EF126" ca="1">(1-$B$18)*SUMPRODUCT(OFFSET($BO$15,0,0,$B$14,1), 1*(_xlfn._xlws.FILTER(OFFSET($O$15,0,$DN126,$B$8,1),OFFSET($M$15,0,0,$B$8,1))=EF$13), 1*(_xlfn._xlws.FILTER(OFFSET($O$15,0,$DO126,$B$8,1),OFFSET($M$15,0,0,$B$8,1))=EF$14))   /   SUM(OFFSET($BO$15,0,0,$B$14,1)) + $B$18/($B$19*$B$19*($DN126&lt;&gt;$DO126) + $B$19*($DN126=$DO126))</f>
        <v>3.7037037037037035E-4</v>
      </c>
      <c r="EG126" s="10" cm="1">
        <f t="array" aca="1" ref="EG126" ca="1">(1-$B$18)*SUMPRODUCT(OFFSET($BO$15,0,0,$B$14,1), 1*(_xlfn._xlws.FILTER(OFFSET($O$15,0,$DN126,$B$8,1),OFFSET($M$15,0,0,$B$8,1))=EG$13), 1*(_xlfn._xlws.FILTER(OFFSET($O$15,0,$DO126,$B$8,1),OFFSET($M$15,0,0,$B$8,1))=EG$14))   /   SUM(OFFSET($BO$15,0,0,$B$14,1)) + $B$18/($B$19*$B$19*($DN126&lt;&gt;$DO126) + $B$19*($DN126=$DO126))</f>
        <v>3.7037037037037035E-4</v>
      </c>
      <c r="EH126" s="10" cm="1">
        <f t="array" aca="1" ref="EH126" ca="1">(1-$B$18)*SUMPRODUCT(OFFSET($BO$15,0,0,$B$14,1), 1*(_xlfn._xlws.FILTER(OFFSET($O$15,0,$DN126,$B$8,1),OFFSET($M$15,0,0,$B$8,1))=EH$13), 1*(_xlfn._xlws.FILTER(OFFSET($O$15,0,$DO126,$B$8,1),OFFSET($M$15,0,0,$B$8,1))=EH$14))   /   SUM(OFFSET($BO$15,0,0,$B$14,1)) + $B$18/($B$19*$B$19*($DN126&lt;&gt;$DO126) + $B$19*($DN126=$DO126))</f>
        <v>3.7037037037037035E-4</v>
      </c>
      <c r="EI126" s="10" cm="1">
        <f t="array" aca="1" ref="EI126" ca="1">(1-$B$18)*SUMPRODUCT(OFFSET($BO$15,0,0,$B$14,1), 1*(_xlfn._xlws.FILTER(OFFSET($O$15,0,$DN126,$B$8,1),OFFSET($M$15,0,0,$B$8,1))=EI$13), 1*(_xlfn._xlws.FILTER(OFFSET($O$15,0,$DO126,$B$8,1),OFFSET($M$15,0,0,$B$8,1))=EI$14))   /   SUM(OFFSET($BO$15,0,0,$B$14,1)) + $B$18/($B$19*$B$19*($DN126&lt;&gt;$DO126) + $B$19*($DN126=$DO126))</f>
        <v>3.7037037037037035E-4</v>
      </c>
      <c r="EJ126" s="10" cm="1">
        <f t="array" aca="1" ref="EJ126" ca="1">(1-$B$18)*SUMPRODUCT(OFFSET($BO$15,0,0,$B$14,1), 1*(_xlfn._xlws.FILTER(OFFSET($O$15,0,$DN126,$B$8,1),OFFSET($M$15,0,0,$B$8,1))=EJ$13), 1*(_xlfn._xlws.FILTER(OFFSET($O$15,0,$DO126,$B$8,1),OFFSET($M$15,0,0,$B$8,1))=EJ$14))   /   SUM(OFFSET($BO$15,0,0,$B$14,1)) + $B$18/($B$19*$B$19*($DN126&lt;&gt;$DO126) + $B$19*($DN126=$DO126))</f>
        <v>3.7037037037037035E-4</v>
      </c>
      <c r="EK126" s="10" cm="1">
        <f t="array" aca="1" ref="EK126" ca="1">(1-$B$18)*SUMPRODUCT(OFFSET($BO$15,0,0,$B$14,1), 1*(_xlfn._xlws.FILTER(OFFSET($O$15,0,$DN126,$B$8,1),OFFSET($M$15,0,0,$B$8,1))=EK$13), 1*(_xlfn._xlws.FILTER(OFFSET($O$15,0,$DO126,$B$8,1),OFFSET($M$15,0,0,$B$8,1))=EK$14))   /   SUM(OFFSET($BO$15,0,0,$B$14,1)) + $B$18/($B$19*$B$19*($DN126&lt;&gt;$DO126) + $B$19*($DN126=$DO126))</f>
        <v>3.7037037037037035E-4</v>
      </c>
      <c r="EL126" s="10" cm="1">
        <f t="array" aca="1" ref="EL126" ca="1">(1-$B$18)*SUMPRODUCT(OFFSET($BO$15,0,0,$B$14,1), 1*(_xlfn._xlws.FILTER(OFFSET($O$15,0,$DN126,$B$8,1),OFFSET($M$15,0,0,$B$8,1))=EL$13), 1*(_xlfn._xlws.FILTER(OFFSET($O$15,0,$DO126,$B$8,1),OFFSET($M$15,0,0,$B$8,1))=EL$14))   /   SUM(OFFSET($BO$15,0,0,$B$14,1)) + $B$18/($B$19*$B$19*($DN126&lt;&gt;$DO126) + $B$19*($DN126=$DO126))</f>
        <v>3.7037037037037035E-4</v>
      </c>
      <c r="EM126" s="10" cm="1">
        <f t="array" aca="1" ref="EM126" ca="1">(1-$B$18)*SUMPRODUCT(OFFSET($BO$15,0,0,$B$14,1), 1*(_xlfn._xlws.FILTER(OFFSET($O$15,0,$DN126,$B$8,1),OFFSET($M$15,0,0,$B$8,1))=EM$13), 1*(_xlfn._xlws.FILTER(OFFSET($O$15,0,$DO126,$B$8,1),OFFSET($M$15,0,0,$B$8,1))=EM$14))   /   SUM(OFFSET($BO$15,0,0,$B$14,1)) + $B$18/($B$19*$B$19*($DN126&lt;&gt;$DO126) + $B$19*($DN126=$DO126))</f>
        <v>3.7037037037037035E-4</v>
      </c>
      <c r="EN126" s="10" cm="1">
        <f t="array" aca="1" ref="EN126" ca="1">(1-$B$18)*SUMPRODUCT(OFFSET($BO$15,0,0,$B$14,1), 1*(_xlfn._xlws.FILTER(OFFSET($O$15,0,$DN126,$B$8,1),OFFSET($M$15,0,0,$B$8,1))=EN$13), 1*(_xlfn._xlws.FILTER(OFFSET($O$15,0,$DO126,$B$8,1),OFFSET($M$15,0,0,$B$8,1))=EN$14))   /   SUM(OFFSET($BO$15,0,0,$B$14,1)) + $B$18/($B$19*$B$19*($DN126&lt;&gt;$DO126) + $B$19*($DN126=$DO126))</f>
        <v>3.7037037037037035E-4</v>
      </c>
      <c r="EO126" s="10" cm="1">
        <f t="array" aca="1" ref="EO126" ca="1">(1-$B$18)*SUMPRODUCT(OFFSET($BO$15,0,0,$B$14,1), 1*(_xlfn._xlws.FILTER(OFFSET($O$15,0,$DN126,$B$8,1),OFFSET($M$15,0,0,$B$8,1))=EO$13), 1*(_xlfn._xlws.FILTER(OFFSET($O$15,0,$DO126,$B$8,1),OFFSET($M$15,0,0,$B$8,1))=EO$14))   /   SUM(OFFSET($BO$15,0,0,$B$14,1)) + $B$18/($B$19*$B$19*($DN126&lt;&gt;$DO126) + $B$19*($DN126=$DO126))</f>
        <v>3.7037037037037035E-4</v>
      </c>
      <c r="EP126" s="10" cm="1">
        <f t="array" aca="1" ref="EP126" ca="1">(1-$B$18)*SUMPRODUCT(OFFSET($BO$15,0,0,$B$14,1), 1*(_xlfn._xlws.FILTER(OFFSET($O$15,0,$DN126,$B$8,1),OFFSET($M$15,0,0,$B$8,1))=EP$13), 1*(_xlfn._xlws.FILTER(OFFSET($O$15,0,$DO126,$B$8,1),OFFSET($M$15,0,0,$B$8,1))=EP$14))   /   SUM(OFFSET($BO$15,0,0,$B$14,1)) + $B$18/($B$19*$B$19*($DN126&lt;&gt;$DO126) + $B$19*($DN126=$DO126))</f>
        <v>3.7037037037037035E-4</v>
      </c>
      <c r="EQ126" s="10" cm="1">
        <f t="array" aca="1" ref="EQ126" ca="1">(1-$B$18)*SUMPRODUCT(OFFSET($BO$15,0,0,$B$14,1), 1*(_xlfn._xlws.FILTER(OFFSET($O$15,0,$DN126,$B$8,1),OFFSET($M$15,0,0,$B$8,1))=EQ$13), 1*(_xlfn._xlws.FILTER(OFFSET($O$15,0,$DO126,$B$8,1),OFFSET($M$15,0,0,$B$8,1))=EQ$14))   /   SUM(OFFSET($BO$15,0,0,$B$14,1)) + $B$18/($B$19*$B$19*($DN126&lt;&gt;$DO126) + $B$19*($DN126=$DO126))</f>
        <v>3.7037037037037035E-4</v>
      </c>
      <c r="ER126" s="10" cm="1">
        <f t="array" aca="1" ref="ER126" ca="1">(1-$B$18)*SUMPRODUCT(OFFSET($BO$15,0,0,$B$14,1), 1*(_xlfn._xlws.FILTER(OFFSET($O$15,0,$DN126,$B$8,1),OFFSET($M$15,0,0,$B$8,1))=ER$13), 1*(_xlfn._xlws.FILTER(OFFSET($O$15,0,$DO126,$B$8,1),OFFSET($M$15,0,0,$B$8,1))=ER$14))   /   SUM(OFFSET($BO$15,0,0,$B$14,1)) + $B$18/($B$19*$B$19*($DN126&lt;&gt;$DO126) + $B$19*($DN126=$DO126))</f>
        <v>3.7037037037037035E-4</v>
      </c>
      <c r="ES126" s="10" cm="1">
        <f t="array" aca="1" ref="ES126" ca="1">(1-$B$18)*SUMPRODUCT(OFFSET($BO$15,0,0,$B$14,1), 1*(_xlfn._xlws.FILTER(OFFSET($O$15,0,$DN126,$B$8,1),OFFSET($M$15,0,0,$B$8,1))=ES$13), 1*(_xlfn._xlws.FILTER(OFFSET($O$15,0,$DO126,$B$8,1),OFFSET($M$15,0,0,$B$8,1))=ES$14))   /   SUM(OFFSET($BO$15,0,0,$B$14,1)) + $B$18/($B$19*$B$19*($DN126&lt;&gt;$DO126) + $B$19*($DN126=$DO126))</f>
        <v>3.7037037037037035E-4</v>
      </c>
      <c r="ET126" s="10" cm="1">
        <f t="array" aca="1" ref="ET126" ca="1">(1-$B$18)*SUMPRODUCT(OFFSET($BO$15,0,0,$B$14,1), 1*(_xlfn._xlws.FILTER(OFFSET($O$15,0,$DN126,$B$8,1),OFFSET($M$15,0,0,$B$8,1))=ET$13), 1*(_xlfn._xlws.FILTER(OFFSET($O$15,0,$DO126,$B$8,1),OFFSET($M$15,0,0,$B$8,1))=ET$14))   /   SUM(OFFSET($BO$15,0,0,$B$14,1)) + $B$18/($B$19*$B$19*($DN126&lt;&gt;$DO126) + $B$19*($DN126=$DO126))</f>
        <v>3.7037037037037035E-4</v>
      </c>
      <c r="EU126" s="10" cm="1">
        <f t="array" aca="1" ref="EU126" ca="1">(1-$B$18)*SUMPRODUCT(OFFSET($BO$15,0,0,$B$14,1), 1*(_xlfn._xlws.FILTER(OFFSET($O$15,0,$DN126,$B$8,1),OFFSET($M$15,0,0,$B$8,1))=EU$13), 1*(_xlfn._xlws.FILTER(OFFSET($O$15,0,$DO126,$B$8,1),OFFSET($M$15,0,0,$B$8,1))=EU$14))   /   SUM(OFFSET($BO$15,0,0,$B$14,1)) + $B$18/($B$19*$B$19*($DN126&lt;&gt;$DO126) + $B$19*($DN126=$DO126))</f>
        <v>3.7037037037037035E-4</v>
      </c>
      <c r="EV126" s="10" cm="1">
        <f t="array" aca="1" ref="EV126" ca="1">(1-$B$18)*SUMPRODUCT(OFFSET($BO$15,0,0,$B$14,1), 1*(_xlfn._xlws.FILTER(OFFSET($O$15,0,$DN126,$B$8,1),OFFSET($M$15,0,0,$B$8,1))=EV$13), 1*(_xlfn._xlws.FILTER(OFFSET($O$15,0,$DO126,$B$8,1),OFFSET($M$15,0,0,$B$8,1))=EV$14))   /   SUM(OFFSET($BO$15,0,0,$B$14,1)) + $B$18/($B$19*$B$19*($DN126&lt;&gt;$DO126) + $B$19*($DN126=$DO126))</f>
        <v>3.7037037037037035E-4</v>
      </c>
      <c r="EW126" s="10" cm="1">
        <f t="array" aca="1" ref="EW126" ca="1">(1-$B$18)*SUMPRODUCT(OFFSET($BO$15,0,0,$B$14,1), 1*(_xlfn._xlws.FILTER(OFFSET($O$15,0,$DN126,$B$8,1),OFFSET($M$15,0,0,$B$8,1))=EW$13), 1*(_xlfn._xlws.FILTER(OFFSET($O$15,0,$DO126,$B$8,1),OFFSET($M$15,0,0,$B$8,1))=EW$14))   /   SUM(OFFSET($BO$15,0,0,$B$14,1)) + $B$18/($B$19*$B$19*($DN126&lt;&gt;$DO126) + $B$19*($DN126=$DO126))</f>
        <v>3.7037037037037035E-4</v>
      </c>
      <c r="EX126" s="10" cm="1">
        <f t="array" aca="1" ref="EX126" ca="1">(1-$B$18)*SUMPRODUCT(OFFSET($BO$15,0,0,$B$14,1), 1*(_xlfn._xlws.FILTER(OFFSET($O$15,0,$DN126,$B$8,1),OFFSET($M$15,0,0,$B$8,1))=EX$13), 1*(_xlfn._xlws.FILTER(OFFSET($O$15,0,$DO126,$B$8,1),OFFSET($M$15,0,0,$B$8,1))=EX$14))   /   SUM(OFFSET($BO$15,0,0,$B$14,1)) + $B$18/($B$19*$B$19*($DN126&lt;&gt;$DO126) + $B$19*($DN126=$DO126))</f>
        <v>3.7037037037037035E-4</v>
      </c>
      <c r="EY126" s="10" cm="1">
        <f t="array" aca="1" ref="EY126" ca="1">(1-$B$18)*SUMPRODUCT(OFFSET($BO$15,0,0,$B$14,1), 1*(_xlfn._xlws.FILTER(OFFSET($O$15,0,$DN126,$B$8,1),OFFSET($M$15,0,0,$B$8,1))=EY$13), 1*(_xlfn._xlws.FILTER(OFFSET($O$15,0,$DO126,$B$8,1),OFFSET($M$15,0,0,$B$8,1))=EY$14))   /   SUM(OFFSET($BO$15,0,0,$B$14,1)) + $B$18/($B$19*$B$19*($DN126&lt;&gt;$DO126) + $B$19*($DN126=$DO126))</f>
        <v>3.7037037037037035E-4</v>
      </c>
      <c r="EZ126" s="10" cm="1">
        <f t="array" aca="1" ref="EZ126" ca="1">(1-$B$18)*SUMPRODUCT(OFFSET($BO$15,0,0,$B$14,1), 1*(_xlfn._xlws.FILTER(OFFSET($O$15,0,$DN126,$B$8,1),OFFSET($M$15,0,0,$B$8,1))=EZ$13), 1*(_xlfn._xlws.FILTER(OFFSET($O$15,0,$DO126,$B$8,1),OFFSET($M$15,0,0,$B$8,1))=EZ$14))   /   SUM(OFFSET($BO$15,0,0,$B$14,1)) + $B$18/($B$19*$B$19*($DN126&lt;&gt;$DO126) + $B$19*($DN126=$DO126))</f>
        <v>3.7037037037037035E-4</v>
      </c>
      <c r="FA126" s="10" cm="1">
        <f t="array" aca="1" ref="FA126" ca="1">(1-$B$18)*SUMPRODUCT(OFFSET($BO$15,0,0,$B$14,1), 1*(_xlfn._xlws.FILTER(OFFSET($O$15,0,$DN126,$B$8,1),OFFSET($M$15,0,0,$B$8,1))=FA$13), 1*(_xlfn._xlws.FILTER(OFFSET($O$15,0,$DO126,$B$8,1),OFFSET($M$15,0,0,$B$8,1))=FA$14))   /   SUM(OFFSET($BO$15,0,0,$B$14,1)) + $B$18/($B$19*$B$19*($DN126&lt;&gt;$DO126) + $B$19*($DN126=$DO126))</f>
        <v>3.7037037037037035E-4</v>
      </c>
      <c r="FB126" s="10" cm="1">
        <f t="array" aca="1" ref="FB126" ca="1">(1-$B$18)*SUMPRODUCT(OFFSET($BO$15,0,0,$B$14,1), 1*(_xlfn._xlws.FILTER(OFFSET($O$15,0,$DN126,$B$8,1),OFFSET($M$15,0,0,$B$8,1))=FB$13), 1*(_xlfn._xlws.FILTER(OFFSET($O$15,0,$DO126,$B$8,1),OFFSET($M$15,0,0,$B$8,1))=FB$14))   /   SUM(OFFSET($BO$15,0,0,$B$14,1)) + $B$18/($B$19*$B$19*($DN126&lt;&gt;$DO126) + $B$19*($DN126=$DO126))</f>
        <v>3.7037037037037035E-4</v>
      </c>
      <c r="FC126" s="10" cm="1">
        <f t="array" aca="1" ref="FC126" ca="1">(1-$B$18)*SUMPRODUCT(OFFSET($BO$15,0,0,$B$14,1), 1*(_xlfn._xlws.FILTER(OFFSET($O$15,0,$DN126,$B$8,1),OFFSET($M$15,0,0,$B$8,1))=FC$13), 1*(_xlfn._xlws.FILTER(OFFSET($O$15,0,$DO126,$B$8,1),OFFSET($M$15,0,0,$B$8,1))=FC$14))   /   SUM(OFFSET($BO$15,0,0,$B$14,1)) + $B$18/($B$19*$B$19*($DN126&lt;&gt;$DO126) + $B$19*($DN126=$DO126))</f>
        <v>3.7037037037037035E-4</v>
      </c>
      <c r="FD126" s="10" cm="1">
        <f t="array" aca="1" ref="FD126" ca="1">(1-$B$18)*SUMPRODUCT(OFFSET($BO$15,0,0,$B$14,1), 1*(_xlfn._xlws.FILTER(OFFSET($O$15,0,$DN126,$B$8,1),OFFSET($M$15,0,0,$B$8,1))=FD$13), 1*(_xlfn._xlws.FILTER(OFFSET($O$15,0,$DO126,$B$8,1),OFFSET($M$15,0,0,$B$8,1))=FD$14))   /   SUM(OFFSET($BO$15,0,0,$B$14,1)) + $B$18/($B$19*$B$19*($DN126&lt;&gt;$DO126) + $B$19*($DN126=$DO126))</f>
        <v>3.7037037037037035E-4</v>
      </c>
      <c r="FE126" s="10" cm="1">
        <f t="array" aca="1" ref="FE126" ca="1">(1-$B$18)*SUMPRODUCT(OFFSET($BO$15,0,0,$B$14,1), 1*(_xlfn._xlws.FILTER(OFFSET($O$15,0,$DN126,$B$8,1),OFFSET($M$15,0,0,$B$8,1))=FE$13), 1*(_xlfn._xlws.FILTER(OFFSET($O$15,0,$DO126,$B$8,1),OFFSET($M$15,0,0,$B$8,1))=FE$14))   /   SUM(OFFSET($BO$15,0,0,$B$14,1)) + $B$18/($B$19*$B$19*($DN126&lt;&gt;$DO126) + $B$19*($DN126=$DO126))</f>
        <v>3.7037037037037035E-4</v>
      </c>
      <c r="FF126" s="10" cm="1">
        <f t="array" aca="1" ref="FF126" ca="1">(1-$B$18)*SUMPRODUCT(OFFSET($BO$15,0,0,$B$14,1), 1*(_xlfn._xlws.FILTER(OFFSET($O$15,0,$DN126,$B$8,1),OFFSET($M$15,0,0,$B$8,1))=FF$13), 1*(_xlfn._xlws.FILTER(OFFSET($O$15,0,$DO126,$B$8,1),OFFSET($M$15,0,0,$B$8,1))=FF$14))   /   SUM(OFFSET($BO$15,0,0,$B$14,1)) + $B$18/($B$19*$B$19*($DN126&lt;&gt;$DO126) + $B$19*($DN126=$DO126))</f>
        <v>3.7037037037037035E-4</v>
      </c>
      <c r="FG126" s="10" cm="1">
        <f t="array" aca="1" ref="FG126" ca="1">(1-$B$18)*SUMPRODUCT(OFFSET($BO$15,0,0,$B$14,1), 1*(_xlfn._xlws.FILTER(OFFSET($O$15,0,$DN126,$B$8,1),OFFSET($M$15,0,0,$B$8,1))=FG$13), 1*(_xlfn._xlws.FILTER(OFFSET($O$15,0,$DO126,$B$8,1),OFFSET($M$15,0,0,$B$8,1))=FG$14))   /   SUM(OFFSET($BO$15,0,0,$B$14,1)) + $B$18/($B$19*$B$19*($DN126&lt;&gt;$DO126) + $B$19*($DN126=$DO126))</f>
        <v>3.7037037037037035E-4</v>
      </c>
      <c r="FH126" s="10" cm="1">
        <f t="array" aca="1" ref="FH126" ca="1">(1-$B$18)*SUMPRODUCT(OFFSET($BO$15,0,0,$B$14,1), 1*(_xlfn._xlws.FILTER(OFFSET($O$15,0,$DN126,$B$8,1),OFFSET($M$15,0,0,$B$8,1))=FH$13), 1*(_xlfn._xlws.FILTER(OFFSET($O$15,0,$DO126,$B$8,1),OFFSET($M$15,0,0,$B$8,1))=FH$14))   /   SUM(OFFSET($BO$15,0,0,$B$14,1)) + $B$18/($B$19*$B$19*($DN126&lt;&gt;$DO126) + $B$19*($DN126=$DO126))</f>
        <v>3.7037037037037035E-4</v>
      </c>
      <c r="FI126" s="10" cm="1">
        <f t="array" aca="1" ref="FI126" ca="1">(1-$B$18)*SUMPRODUCT(OFFSET($BO$15,0,0,$B$14,1), 1*(_xlfn._xlws.FILTER(OFFSET($O$15,0,$DN126,$B$8,1),OFFSET($M$15,0,0,$B$8,1))=FI$13), 1*(_xlfn._xlws.FILTER(OFFSET($O$15,0,$DO126,$B$8,1),OFFSET($M$15,0,0,$B$8,1))=FI$14))   /   SUM(OFFSET($BO$15,0,0,$B$14,1)) + $B$18/($B$19*$B$19*($DN126&lt;&gt;$DO126) + $B$19*($DN126=$DO126))</f>
        <v>3.7037037037037035E-4</v>
      </c>
      <c r="FJ126" s="10" cm="1">
        <f t="array" aca="1" ref="FJ126" ca="1">(1-$B$18)*SUMPRODUCT(OFFSET($BO$15,0,0,$B$14,1), 1*(_xlfn._xlws.FILTER(OFFSET($O$15,0,$DN126,$B$8,1),OFFSET($M$15,0,0,$B$8,1))=FJ$13), 1*(_xlfn._xlws.FILTER(OFFSET($O$15,0,$DO126,$B$8,1),OFFSET($M$15,0,0,$B$8,1))=FJ$14))   /   SUM(OFFSET($BO$15,0,0,$B$14,1)) + $B$18/($B$19*$B$19*($DN126&lt;&gt;$DO126) + $B$19*($DN126=$DO126))</f>
        <v>3.7037037037037035E-4</v>
      </c>
      <c r="FK126" s="10" cm="1">
        <f t="array" aca="1" ref="FK126" ca="1">(1-$B$18)*SUMPRODUCT(OFFSET($BO$15,0,0,$B$14,1), 1*(_xlfn._xlws.FILTER(OFFSET($O$15,0,$DN126,$B$8,1),OFFSET($M$15,0,0,$B$8,1))=FK$13), 1*(_xlfn._xlws.FILTER(OFFSET($O$15,0,$DO126,$B$8,1),OFFSET($M$15,0,0,$B$8,1))=FK$14))   /   SUM(OFFSET($BO$15,0,0,$B$14,1)) + $B$18/($B$19*$B$19*($DN126&lt;&gt;$DO126) + $B$19*($DN126=$DO126))</f>
        <v>3.7037037037037035E-4</v>
      </c>
      <c r="FL126" s="10" cm="1">
        <f t="array" aca="1" ref="FL126" ca="1">(1-$B$18)*SUMPRODUCT(OFFSET($BO$15,0,0,$B$14,1), 1*(_xlfn._xlws.FILTER(OFFSET($O$15,0,$DN126,$B$8,1),OFFSET($M$15,0,0,$B$8,1))=FL$13), 1*(_xlfn._xlws.FILTER(OFFSET($O$15,0,$DO126,$B$8,1),OFFSET($M$15,0,0,$B$8,1))=FL$14))   /   SUM(OFFSET($BO$15,0,0,$B$14,1)) + $B$18/($B$19*$B$19*($DN126&lt;&gt;$DO126) + $B$19*($DN126=$DO126))</f>
        <v>3.7037037037037035E-4</v>
      </c>
      <c r="FM126" s="10" cm="1">
        <f t="array" aca="1" ref="FM126" ca="1">(1-$B$18)*SUMPRODUCT(OFFSET($BO$15,0,0,$B$14,1), 1*(_xlfn._xlws.FILTER(OFFSET($O$15,0,$DN126,$B$8,1),OFFSET($M$15,0,0,$B$8,1))=FM$13), 1*(_xlfn._xlws.FILTER(OFFSET($O$15,0,$DO126,$B$8,1),OFFSET($M$15,0,0,$B$8,1))=FM$14))   /   SUM(OFFSET($BO$15,0,0,$B$14,1)) + $B$18/($B$19*$B$19*($DN126&lt;&gt;$DO126) + $B$19*($DN126=$DO126))</f>
        <v>3.7037037037037035E-4</v>
      </c>
      <c r="FN126" s="10" cm="1">
        <f t="array" aca="1" ref="FN126" ca="1">(1-$B$18)*SUMPRODUCT(OFFSET($BO$15,0,0,$B$14,1), 1*(_xlfn._xlws.FILTER(OFFSET($O$15,0,$DN126,$B$8,1),OFFSET($M$15,0,0,$B$8,1))=FN$13), 1*(_xlfn._xlws.FILTER(OFFSET($O$15,0,$DO126,$B$8,1),OFFSET($M$15,0,0,$B$8,1))=FN$14))   /   SUM(OFFSET($BO$15,0,0,$B$14,1)) + $B$18/($B$19*$B$19*($DN126&lt;&gt;$DO126) + $B$19*($DN126=$DO126))</f>
        <v>3.7037037037037035E-4</v>
      </c>
      <c r="FO126" s="10" cm="1">
        <f t="array" aca="1" ref="FO126" ca="1">(1-$B$18)*SUMPRODUCT(OFFSET($BO$15,0,0,$B$14,1), 1*(_xlfn._xlws.FILTER(OFFSET($O$15,0,$DN126,$B$8,1),OFFSET($M$15,0,0,$B$8,1))=FO$13), 1*(_xlfn._xlws.FILTER(OFFSET($O$15,0,$DO126,$B$8,1),OFFSET($M$15,0,0,$B$8,1))=FO$14))   /   SUM(OFFSET($BO$15,0,0,$B$14,1)) + $B$18/($B$19*$B$19*($DN126&lt;&gt;$DO126) + $B$19*($DN126=$DO126))</f>
        <v>0.97037037037037033</v>
      </c>
      <c r="FP126" s="10" cm="1">
        <f t="array" aca="1" ref="FP126" ca="1">(1-$B$18)*SUMPRODUCT(OFFSET($BO$15,0,0,$B$14,1), 1*(_xlfn._xlws.FILTER(OFFSET($O$15,0,$DN126,$B$8,1),OFFSET($M$15,0,0,$B$8,1))=FP$13), 1*(_xlfn._xlws.FILTER(OFFSET($O$15,0,$DO126,$B$8,1),OFFSET($M$15,0,0,$B$8,1))=FP$14))   /   SUM(OFFSET($BO$15,0,0,$B$14,1)) + $B$18/($B$19*$B$19*($DN126&lt;&gt;$DO126) + $B$19*($DN126=$DO126))</f>
        <v>3.7037037037037035E-4</v>
      </c>
      <c r="FQ126" s="10" cm="1">
        <f t="array" aca="1" ref="FQ126" ca="1">(1-$B$18)*SUMPRODUCT(OFFSET($BO$15,0,0,$B$14,1), 1*(_xlfn._xlws.FILTER(OFFSET($O$15,0,$DN126,$B$8,1),OFFSET($M$15,0,0,$B$8,1))=FQ$13), 1*(_xlfn._xlws.FILTER(OFFSET($O$15,0,$DO126,$B$8,1),OFFSET($M$15,0,0,$B$8,1))=FQ$14))   /   SUM(OFFSET($BO$15,0,0,$B$14,1)) + $B$18/($B$19*$B$19*($DN126&lt;&gt;$DO126) + $B$19*($DN126=$DO126))</f>
        <v>3.7037037037037035E-4</v>
      </c>
      <c r="FR126" s="10" cm="1">
        <f t="array" aca="1" ref="FR126" ca="1">(1-$B$18)*SUMPRODUCT(OFFSET($BO$15,0,0,$B$14,1), 1*(_xlfn._xlws.FILTER(OFFSET($O$15,0,$DN126,$B$8,1),OFFSET($M$15,0,0,$B$8,1))=FR$13), 1*(_xlfn._xlws.FILTER(OFFSET($O$15,0,$DO126,$B$8,1),OFFSET($M$15,0,0,$B$8,1))=FR$14))   /   SUM(OFFSET($BO$15,0,0,$B$14,1)) + $B$18/($B$19*$B$19*($DN126&lt;&gt;$DO126) + $B$19*($DN126=$DO126))</f>
        <v>3.7037037037037035E-4</v>
      </c>
      <c r="FS126" s="10" cm="1">
        <f t="array" aca="1" ref="FS126" ca="1">(1-$B$18)*SUMPRODUCT(OFFSET($BO$15,0,0,$B$14,1), 1*(_xlfn._xlws.FILTER(OFFSET($O$15,0,$DN126,$B$8,1),OFFSET($M$15,0,0,$B$8,1))=FS$13), 1*(_xlfn._xlws.FILTER(OFFSET($O$15,0,$DO126,$B$8,1),OFFSET($M$15,0,0,$B$8,1))=FS$14))   /   SUM(OFFSET($BO$15,0,0,$B$14,1)) + $B$18/($B$19*$B$19*($DN126&lt;&gt;$DO126) + $B$19*($DN126=$DO126))</f>
        <v>3.7037037037037035E-4</v>
      </c>
      <c r="FT126" s="10" cm="1">
        <f t="array" aca="1" ref="FT126" ca="1">(1-$B$18)*SUMPRODUCT(OFFSET($BO$15,0,0,$B$14,1), 1*(_xlfn._xlws.FILTER(OFFSET($O$15,0,$DN126,$B$8,1),OFFSET($M$15,0,0,$B$8,1))=FT$13), 1*(_xlfn._xlws.FILTER(OFFSET($O$15,0,$DO126,$B$8,1),OFFSET($M$15,0,0,$B$8,1))=FT$14))   /   SUM(OFFSET($BO$15,0,0,$B$14,1)) + $B$18/($B$19*$B$19*($DN126&lt;&gt;$DO126) + $B$19*($DN126=$DO126))</f>
        <v>3.7037037037037035E-4</v>
      </c>
      <c r="FU126" s="10" cm="1">
        <f t="array" aca="1" ref="FU126" ca="1">(1-$B$18)*SUMPRODUCT(OFFSET($BO$15,0,0,$B$14,1), 1*(_xlfn._xlws.FILTER(OFFSET($O$15,0,$DN126,$B$8,1),OFFSET($M$15,0,0,$B$8,1))=FU$13), 1*(_xlfn._xlws.FILTER(OFFSET($O$15,0,$DO126,$B$8,1),OFFSET($M$15,0,0,$B$8,1))=FU$14))   /   SUM(OFFSET($BO$15,0,0,$B$14,1)) + $B$18/($B$19*$B$19*($DN126&lt;&gt;$DO126) + $B$19*($DN126=$DO126))</f>
        <v>3.7037037037037035E-4</v>
      </c>
      <c r="FV126" s="10" cm="1">
        <f t="array" aca="1" ref="FV126" ca="1">(1-$B$18)*SUMPRODUCT(OFFSET($BO$15,0,0,$B$14,1), 1*(_xlfn._xlws.FILTER(OFFSET($O$15,0,$DN126,$B$8,1),OFFSET($M$15,0,0,$B$8,1))=FV$13), 1*(_xlfn._xlws.FILTER(OFFSET($O$15,0,$DO126,$B$8,1),OFFSET($M$15,0,0,$B$8,1))=FV$14))   /   SUM(OFFSET($BO$15,0,0,$B$14,1)) + $B$18/($B$19*$B$19*($DN126&lt;&gt;$DO126) + $B$19*($DN126=$DO126))</f>
        <v>3.7037037037037035E-4</v>
      </c>
      <c r="FW126" s="10" cm="1">
        <f t="array" aca="1" ref="FW126" ca="1">(1-$B$18)*SUMPRODUCT(OFFSET($BO$15,0,0,$B$14,1), 1*(_xlfn._xlws.FILTER(OFFSET($O$15,0,$DN126,$B$8,1),OFFSET($M$15,0,0,$B$8,1))=FW$13), 1*(_xlfn._xlws.FILTER(OFFSET($O$15,0,$DO126,$B$8,1),OFFSET($M$15,0,0,$B$8,1))=FW$14))   /   SUM(OFFSET($BO$15,0,0,$B$14,1)) + $B$18/($B$19*$B$19*($DN126&lt;&gt;$DO126) + $B$19*($DN126=$DO126))</f>
        <v>3.7037037037037035E-4</v>
      </c>
      <c r="FX126" s="10" cm="1">
        <f t="array" aca="1" ref="FX126" ca="1">(1-$B$18)*SUMPRODUCT(OFFSET($BO$15,0,0,$B$14,1), 1*(_xlfn._xlws.FILTER(OFFSET($O$15,0,$DN126,$B$8,1),OFFSET($M$15,0,0,$B$8,1))=FX$13), 1*(_xlfn._xlws.FILTER(OFFSET($O$15,0,$DO126,$B$8,1),OFFSET($M$15,0,0,$B$8,1))=FX$14))   /   SUM(OFFSET($BO$15,0,0,$B$14,1)) + $B$18/($B$19*$B$19*($DN126&lt;&gt;$DO126) + $B$19*($DN126=$DO126))</f>
        <v>3.7037037037037035E-4</v>
      </c>
      <c r="FY126" s="10" cm="1">
        <f t="array" aca="1" ref="FY126" ca="1">(1-$B$18)*SUMPRODUCT(OFFSET($BO$15,0,0,$B$14,1), 1*(_xlfn._xlws.FILTER(OFFSET($O$15,0,$DN126,$B$8,1),OFFSET($M$15,0,0,$B$8,1))=FY$13), 1*(_xlfn._xlws.FILTER(OFFSET($O$15,0,$DO126,$B$8,1),OFFSET($M$15,0,0,$B$8,1))=FY$14))   /   SUM(OFFSET($BO$15,0,0,$B$14,1)) + $B$18/($B$19*$B$19*($DN126&lt;&gt;$DO126) + $B$19*($DN126=$DO126))</f>
        <v>3.7037037037037035E-4</v>
      </c>
      <c r="FZ126" s="10" cm="1">
        <f t="array" aca="1" ref="FZ126" ca="1">(1-$B$18)*SUMPRODUCT(OFFSET($BO$15,0,0,$B$14,1), 1*(_xlfn._xlws.FILTER(OFFSET($O$15,0,$DN126,$B$8,1),OFFSET($M$15,0,0,$B$8,1))=FZ$13), 1*(_xlfn._xlws.FILTER(OFFSET($O$15,0,$DO126,$B$8,1),OFFSET($M$15,0,0,$B$8,1))=FZ$14))   /   SUM(OFFSET($BO$15,0,0,$B$14,1)) + $B$18/($B$19*$B$19*($DN126&lt;&gt;$DO126) + $B$19*($DN126=$DO126))</f>
        <v>3.7037037037037035E-4</v>
      </c>
      <c r="GA126" s="10" cm="1">
        <f t="array" aca="1" ref="GA126" ca="1">(1-$B$18)*SUMPRODUCT(OFFSET($BO$15,0,0,$B$14,1), 1*(_xlfn._xlws.FILTER(OFFSET($O$15,0,$DN126,$B$8,1),OFFSET($M$15,0,0,$B$8,1))=GA$13), 1*(_xlfn._xlws.FILTER(OFFSET($O$15,0,$DO126,$B$8,1),OFFSET($M$15,0,0,$B$8,1))=GA$14))   /   SUM(OFFSET($BO$15,0,0,$B$14,1)) + $B$18/($B$19*$B$19*($DN126&lt;&gt;$DO126) + $B$19*($DN126=$DO126))</f>
        <v>3.7037037037037035E-4</v>
      </c>
    </row>
    <row r="127" spans="7:183" x14ac:dyDescent="0.2">
      <c r="G127" s="2"/>
      <c r="H127" s="2"/>
      <c r="AH127" s="2"/>
      <c r="AI127" s="2"/>
      <c r="DN127" cm="1">
        <f t="array" aca="1" ref="DN127" ca="1">INDEX(_xlfn.ANCHORARRAY($CP$15), 1 + INT((ROWS($DO$15:$DO127) - 1) / ROWS(_xlfn.ANCHORARRAY($CP$15))))</f>
        <v>5</v>
      </c>
      <c r="DO127" cm="1">
        <f t="array" aca="1" ref="DO127" ca="1">INDEX(_xlfn.ANCHORARRAY($CP$15),1+MOD(ROWS($DO$15:$DO127)-1,ROWS(_xlfn.ANCHORARRAY($CP$15))))</f>
        <v>20</v>
      </c>
      <c r="DP127" s="10" cm="1">
        <f t="array" aca="1" ref="DP127" ca="1">(1-$B$18)*SUMPRODUCT(OFFSET($BO$15,0,0,$B$14,1), 1*(_xlfn._xlws.FILTER(OFFSET($O$15,0,$DN127,$B$8,1),OFFSET($M$15,0,0,$B$8,1))=DP$13), 1*(_xlfn._xlws.FILTER(OFFSET($O$15,0,$DO127,$B$8,1),OFFSET($M$15,0,0,$B$8,1))=DP$14))   /   SUM(OFFSET($BO$15,0,0,$B$14,1)) + $B$18/($B$19*$B$19*($DN127&lt;&gt;$DO127) + $B$19*($DN127=$DO127))</f>
        <v>3.7037037037037035E-4</v>
      </c>
      <c r="DQ127" s="10" cm="1">
        <f t="array" aca="1" ref="DQ127" ca="1">(1-$B$18)*SUMPRODUCT(OFFSET($BO$15,0,0,$B$14,1), 1*(_xlfn._xlws.FILTER(OFFSET($O$15,0,$DN127,$B$8,1),OFFSET($M$15,0,0,$B$8,1))=DQ$13), 1*(_xlfn._xlws.FILTER(OFFSET($O$15,0,$DO127,$B$8,1),OFFSET($M$15,0,0,$B$8,1))=DQ$14))   /   SUM(OFFSET($BO$15,0,0,$B$14,1)) + $B$18/($B$19*$B$19*($DN127&lt;&gt;$DO127) + $B$19*($DN127=$DO127))</f>
        <v>3.7037037037037035E-4</v>
      </c>
      <c r="DR127" s="10" cm="1">
        <f t="array" aca="1" ref="DR127" ca="1">(1-$B$18)*SUMPRODUCT(OFFSET($BO$15,0,0,$B$14,1), 1*(_xlfn._xlws.FILTER(OFFSET($O$15,0,$DN127,$B$8,1),OFFSET($M$15,0,0,$B$8,1))=DR$13), 1*(_xlfn._xlws.FILTER(OFFSET($O$15,0,$DO127,$B$8,1),OFFSET($M$15,0,0,$B$8,1))=DR$14))   /   SUM(OFFSET($BO$15,0,0,$B$14,1)) + $B$18/($B$19*$B$19*($DN127&lt;&gt;$DO127) + $B$19*($DN127=$DO127))</f>
        <v>3.7037037037037035E-4</v>
      </c>
      <c r="DS127" s="10" cm="1">
        <f t="array" aca="1" ref="DS127" ca="1">(1-$B$18)*SUMPRODUCT(OFFSET($BO$15,0,0,$B$14,1), 1*(_xlfn._xlws.FILTER(OFFSET($O$15,0,$DN127,$B$8,1),OFFSET($M$15,0,0,$B$8,1))=DS$13), 1*(_xlfn._xlws.FILTER(OFFSET($O$15,0,$DO127,$B$8,1),OFFSET($M$15,0,0,$B$8,1))=DS$14))   /   SUM(OFFSET($BO$15,0,0,$B$14,1)) + $B$18/($B$19*$B$19*($DN127&lt;&gt;$DO127) + $B$19*($DN127=$DO127))</f>
        <v>3.7037037037037035E-4</v>
      </c>
      <c r="DT127" s="10" cm="1">
        <f t="array" aca="1" ref="DT127" ca="1">(1-$B$18)*SUMPRODUCT(OFFSET($BO$15,0,0,$B$14,1), 1*(_xlfn._xlws.FILTER(OFFSET($O$15,0,$DN127,$B$8,1),OFFSET($M$15,0,0,$B$8,1))=DT$13), 1*(_xlfn._xlws.FILTER(OFFSET($O$15,0,$DO127,$B$8,1),OFFSET($M$15,0,0,$B$8,1))=DT$14))   /   SUM(OFFSET($BO$15,0,0,$B$14,1)) + $B$18/($B$19*$B$19*($DN127&lt;&gt;$DO127) + $B$19*($DN127=$DO127))</f>
        <v>3.7037037037037035E-4</v>
      </c>
      <c r="DU127" s="10" cm="1">
        <f t="array" aca="1" ref="DU127" ca="1">(1-$B$18)*SUMPRODUCT(OFFSET($BO$15,0,0,$B$14,1), 1*(_xlfn._xlws.FILTER(OFFSET($O$15,0,$DN127,$B$8,1),OFFSET($M$15,0,0,$B$8,1))=DU$13), 1*(_xlfn._xlws.FILTER(OFFSET($O$15,0,$DO127,$B$8,1),OFFSET($M$15,0,0,$B$8,1))=DU$14))   /   SUM(OFFSET($BO$15,0,0,$B$14,1)) + $B$18/($B$19*$B$19*($DN127&lt;&gt;$DO127) + $B$19*($DN127=$DO127))</f>
        <v>3.7037037037037035E-4</v>
      </c>
      <c r="DV127" s="10" cm="1">
        <f t="array" aca="1" ref="DV127" ca="1">(1-$B$18)*SUMPRODUCT(OFFSET($BO$15,0,0,$B$14,1), 1*(_xlfn._xlws.FILTER(OFFSET($O$15,0,$DN127,$B$8,1),OFFSET($M$15,0,0,$B$8,1))=DV$13), 1*(_xlfn._xlws.FILTER(OFFSET($O$15,0,$DO127,$B$8,1),OFFSET($M$15,0,0,$B$8,1))=DV$14))   /   SUM(OFFSET($BO$15,0,0,$B$14,1)) + $B$18/($B$19*$B$19*($DN127&lt;&gt;$DO127) + $B$19*($DN127=$DO127))</f>
        <v>3.7037037037037035E-4</v>
      </c>
      <c r="DW127" s="10" cm="1">
        <f t="array" aca="1" ref="DW127" ca="1">(1-$B$18)*SUMPRODUCT(OFFSET($BO$15,0,0,$B$14,1), 1*(_xlfn._xlws.FILTER(OFFSET($O$15,0,$DN127,$B$8,1),OFFSET($M$15,0,0,$B$8,1))=DW$13), 1*(_xlfn._xlws.FILTER(OFFSET($O$15,0,$DO127,$B$8,1),OFFSET($M$15,0,0,$B$8,1))=DW$14))   /   SUM(OFFSET($BO$15,0,0,$B$14,1)) + $B$18/($B$19*$B$19*($DN127&lt;&gt;$DO127) + $B$19*($DN127=$DO127))</f>
        <v>3.7037037037037035E-4</v>
      </c>
      <c r="DX127" s="10" cm="1">
        <f t="array" aca="1" ref="DX127" ca="1">(1-$B$18)*SUMPRODUCT(OFFSET($BO$15,0,0,$B$14,1), 1*(_xlfn._xlws.FILTER(OFFSET($O$15,0,$DN127,$B$8,1),OFFSET($M$15,0,0,$B$8,1))=DX$13), 1*(_xlfn._xlws.FILTER(OFFSET($O$15,0,$DO127,$B$8,1),OFFSET($M$15,0,0,$B$8,1))=DX$14))   /   SUM(OFFSET($BO$15,0,0,$B$14,1)) + $B$18/($B$19*$B$19*($DN127&lt;&gt;$DO127) + $B$19*($DN127=$DO127))</f>
        <v>3.7037037037037035E-4</v>
      </c>
      <c r="DY127" s="10" cm="1">
        <f t="array" aca="1" ref="DY127" ca="1">(1-$B$18)*SUMPRODUCT(OFFSET($BO$15,0,0,$B$14,1), 1*(_xlfn._xlws.FILTER(OFFSET($O$15,0,$DN127,$B$8,1),OFFSET($M$15,0,0,$B$8,1))=DY$13), 1*(_xlfn._xlws.FILTER(OFFSET($O$15,0,$DO127,$B$8,1),OFFSET($M$15,0,0,$B$8,1))=DY$14))   /   SUM(OFFSET($BO$15,0,0,$B$14,1)) + $B$18/($B$19*$B$19*($DN127&lt;&gt;$DO127) + $B$19*($DN127=$DO127))</f>
        <v>3.7037037037037035E-4</v>
      </c>
      <c r="DZ127" s="10" cm="1">
        <f t="array" aca="1" ref="DZ127" ca="1">(1-$B$18)*SUMPRODUCT(OFFSET($BO$15,0,0,$B$14,1), 1*(_xlfn._xlws.FILTER(OFFSET($O$15,0,$DN127,$B$8,1),OFFSET($M$15,0,0,$B$8,1))=DZ$13), 1*(_xlfn._xlws.FILTER(OFFSET($O$15,0,$DO127,$B$8,1),OFFSET($M$15,0,0,$B$8,1))=DZ$14))   /   SUM(OFFSET($BO$15,0,0,$B$14,1)) + $B$18/($B$19*$B$19*($DN127&lt;&gt;$DO127) + $B$19*($DN127=$DO127))</f>
        <v>3.7037037037037035E-4</v>
      </c>
      <c r="EA127" s="10" cm="1">
        <f t="array" aca="1" ref="EA127" ca="1">(1-$B$18)*SUMPRODUCT(OFFSET($BO$15,0,0,$B$14,1), 1*(_xlfn._xlws.FILTER(OFFSET($O$15,0,$DN127,$B$8,1),OFFSET($M$15,0,0,$B$8,1))=EA$13), 1*(_xlfn._xlws.FILTER(OFFSET($O$15,0,$DO127,$B$8,1),OFFSET($M$15,0,0,$B$8,1))=EA$14))   /   SUM(OFFSET($BO$15,0,0,$B$14,1)) + $B$18/($B$19*$B$19*($DN127&lt;&gt;$DO127) + $B$19*($DN127=$DO127))</f>
        <v>3.7037037037037035E-4</v>
      </c>
      <c r="EB127" s="10" cm="1">
        <f t="array" aca="1" ref="EB127" ca="1">(1-$B$18)*SUMPRODUCT(OFFSET($BO$15,0,0,$B$14,1), 1*(_xlfn._xlws.FILTER(OFFSET($O$15,0,$DN127,$B$8,1),OFFSET($M$15,0,0,$B$8,1))=EB$13), 1*(_xlfn._xlws.FILTER(OFFSET($O$15,0,$DO127,$B$8,1),OFFSET($M$15,0,0,$B$8,1))=EB$14))   /   SUM(OFFSET($BO$15,0,0,$B$14,1)) + $B$18/($B$19*$B$19*($DN127&lt;&gt;$DO127) + $B$19*($DN127=$DO127))</f>
        <v>3.7037037037037035E-4</v>
      </c>
      <c r="EC127" s="10" cm="1">
        <f t="array" aca="1" ref="EC127" ca="1">(1-$B$18)*SUMPRODUCT(OFFSET($BO$15,0,0,$B$14,1), 1*(_xlfn._xlws.FILTER(OFFSET($O$15,0,$DN127,$B$8,1),OFFSET($M$15,0,0,$B$8,1))=EC$13), 1*(_xlfn._xlws.FILTER(OFFSET($O$15,0,$DO127,$B$8,1),OFFSET($M$15,0,0,$B$8,1))=EC$14))   /   SUM(OFFSET($BO$15,0,0,$B$14,1)) + $B$18/($B$19*$B$19*($DN127&lt;&gt;$DO127) + $B$19*($DN127=$DO127))</f>
        <v>3.7037037037037035E-4</v>
      </c>
      <c r="ED127" s="10" cm="1">
        <f t="array" aca="1" ref="ED127" ca="1">(1-$B$18)*SUMPRODUCT(OFFSET($BO$15,0,0,$B$14,1), 1*(_xlfn._xlws.FILTER(OFFSET($O$15,0,$DN127,$B$8,1),OFFSET($M$15,0,0,$B$8,1))=ED$13), 1*(_xlfn._xlws.FILTER(OFFSET($O$15,0,$DO127,$B$8,1),OFFSET($M$15,0,0,$B$8,1))=ED$14))   /   SUM(OFFSET($BO$15,0,0,$B$14,1)) + $B$18/($B$19*$B$19*($DN127&lt;&gt;$DO127) + $B$19*($DN127=$DO127))</f>
        <v>3.7037037037037035E-4</v>
      </c>
      <c r="EE127" s="10" cm="1">
        <f t="array" aca="1" ref="EE127" ca="1">(1-$B$18)*SUMPRODUCT(OFFSET($BO$15,0,0,$B$14,1), 1*(_xlfn._xlws.FILTER(OFFSET($O$15,0,$DN127,$B$8,1),OFFSET($M$15,0,0,$B$8,1))=EE$13), 1*(_xlfn._xlws.FILTER(OFFSET($O$15,0,$DO127,$B$8,1),OFFSET($M$15,0,0,$B$8,1))=EE$14))   /   SUM(OFFSET($BO$15,0,0,$B$14,1)) + $B$18/($B$19*$B$19*($DN127&lt;&gt;$DO127) + $B$19*($DN127=$DO127))</f>
        <v>3.7037037037037035E-4</v>
      </c>
      <c r="EF127" s="10" cm="1">
        <f t="array" aca="1" ref="EF127" ca="1">(1-$B$18)*SUMPRODUCT(OFFSET($BO$15,0,0,$B$14,1), 1*(_xlfn._xlws.FILTER(OFFSET($O$15,0,$DN127,$B$8,1),OFFSET($M$15,0,0,$B$8,1))=EF$13), 1*(_xlfn._xlws.FILTER(OFFSET($O$15,0,$DO127,$B$8,1),OFFSET($M$15,0,0,$B$8,1))=EF$14))   /   SUM(OFFSET($BO$15,0,0,$B$14,1)) + $B$18/($B$19*$B$19*($DN127&lt;&gt;$DO127) + $B$19*($DN127=$DO127))</f>
        <v>3.7037037037037035E-4</v>
      </c>
      <c r="EG127" s="10" cm="1">
        <f t="array" aca="1" ref="EG127" ca="1">(1-$B$18)*SUMPRODUCT(OFFSET($BO$15,0,0,$B$14,1), 1*(_xlfn._xlws.FILTER(OFFSET($O$15,0,$DN127,$B$8,1),OFFSET($M$15,0,0,$B$8,1))=EG$13), 1*(_xlfn._xlws.FILTER(OFFSET($O$15,0,$DO127,$B$8,1),OFFSET($M$15,0,0,$B$8,1))=EG$14))   /   SUM(OFFSET($BO$15,0,0,$B$14,1)) + $B$18/($B$19*$B$19*($DN127&lt;&gt;$DO127) + $B$19*($DN127=$DO127))</f>
        <v>3.7037037037037035E-4</v>
      </c>
      <c r="EH127" s="10" cm="1">
        <f t="array" aca="1" ref="EH127" ca="1">(1-$B$18)*SUMPRODUCT(OFFSET($BO$15,0,0,$B$14,1), 1*(_xlfn._xlws.FILTER(OFFSET($O$15,0,$DN127,$B$8,1),OFFSET($M$15,0,0,$B$8,1))=EH$13), 1*(_xlfn._xlws.FILTER(OFFSET($O$15,0,$DO127,$B$8,1),OFFSET($M$15,0,0,$B$8,1))=EH$14))   /   SUM(OFFSET($BO$15,0,0,$B$14,1)) + $B$18/($B$19*$B$19*($DN127&lt;&gt;$DO127) + $B$19*($DN127=$DO127))</f>
        <v>3.7037037037037035E-4</v>
      </c>
      <c r="EI127" s="10" cm="1">
        <f t="array" aca="1" ref="EI127" ca="1">(1-$B$18)*SUMPRODUCT(OFFSET($BO$15,0,0,$B$14,1), 1*(_xlfn._xlws.FILTER(OFFSET($O$15,0,$DN127,$B$8,1),OFFSET($M$15,0,0,$B$8,1))=EI$13), 1*(_xlfn._xlws.FILTER(OFFSET($O$15,0,$DO127,$B$8,1),OFFSET($M$15,0,0,$B$8,1))=EI$14))   /   SUM(OFFSET($BO$15,0,0,$B$14,1)) + $B$18/($B$19*$B$19*($DN127&lt;&gt;$DO127) + $B$19*($DN127=$DO127))</f>
        <v>3.7037037037037035E-4</v>
      </c>
      <c r="EJ127" s="10" cm="1">
        <f t="array" aca="1" ref="EJ127" ca="1">(1-$B$18)*SUMPRODUCT(OFFSET($BO$15,0,0,$B$14,1), 1*(_xlfn._xlws.FILTER(OFFSET($O$15,0,$DN127,$B$8,1),OFFSET($M$15,0,0,$B$8,1))=EJ$13), 1*(_xlfn._xlws.FILTER(OFFSET($O$15,0,$DO127,$B$8,1),OFFSET($M$15,0,0,$B$8,1))=EJ$14))   /   SUM(OFFSET($BO$15,0,0,$B$14,1)) + $B$18/($B$19*$B$19*($DN127&lt;&gt;$DO127) + $B$19*($DN127=$DO127))</f>
        <v>3.7037037037037035E-4</v>
      </c>
      <c r="EK127" s="10" cm="1">
        <f t="array" aca="1" ref="EK127" ca="1">(1-$B$18)*SUMPRODUCT(OFFSET($BO$15,0,0,$B$14,1), 1*(_xlfn._xlws.FILTER(OFFSET($O$15,0,$DN127,$B$8,1),OFFSET($M$15,0,0,$B$8,1))=EK$13), 1*(_xlfn._xlws.FILTER(OFFSET($O$15,0,$DO127,$B$8,1),OFFSET($M$15,0,0,$B$8,1))=EK$14))   /   SUM(OFFSET($BO$15,0,0,$B$14,1)) + $B$18/($B$19*$B$19*($DN127&lt;&gt;$DO127) + $B$19*($DN127=$DO127))</f>
        <v>3.7037037037037035E-4</v>
      </c>
      <c r="EL127" s="10" cm="1">
        <f t="array" aca="1" ref="EL127" ca="1">(1-$B$18)*SUMPRODUCT(OFFSET($BO$15,0,0,$B$14,1), 1*(_xlfn._xlws.FILTER(OFFSET($O$15,0,$DN127,$B$8,1),OFFSET($M$15,0,0,$B$8,1))=EL$13), 1*(_xlfn._xlws.FILTER(OFFSET($O$15,0,$DO127,$B$8,1),OFFSET($M$15,0,0,$B$8,1))=EL$14))   /   SUM(OFFSET($BO$15,0,0,$B$14,1)) + $B$18/($B$19*$B$19*($DN127&lt;&gt;$DO127) + $B$19*($DN127=$DO127))</f>
        <v>3.7037037037037035E-4</v>
      </c>
      <c r="EM127" s="10" cm="1">
        <f t="array" aca="1" ref="EM127" ca="1">(1-$B$18)*SUMPRODUCT(OFFSET($BO$15,0,0,$B$14,1), 1*(_xlfn._xlws.FILTER(OFFSET($O$15,0,$DN127,$B$8,1),OFFSET($M$15,0,0,$B$8,1))=EM$13), 1*(_xlfn._xlws.FILTER(OFFSET($O$15,0,$DO127,$B$8,1),OFFSET($M$15,0,0,$B$8,1))=EM$14))   /   SUM(OFFSET($BO$15,0,0,$B$14,1)) + $B$18/($B$19*$B$19*($DN127&lt;&gt;$DO127) + $B$19*($DN127=$DO127))</f>
        <v>3.7037037037037035E-4</v>
      </c>
      <c r="EN127" s="10" cm="1">
        <f t="array" aca="1" ref="EN127" ca="1">(1-$B$18)*SUMPRODUCT(OFFSET($BO$15,0,0,$B$14,1), 1*(_xlfn._xlws.FILTER(OFFSET($O$15,0,$DN127,$B$8,1),OFFSET($M$15,0,0,$B$8,1))=EN$13), 1*(_xlfn._xlws.FILTER(OFFSET($O$15,0,$DO127,$B$8,1),OFFSET($M$15,0,0,$B$8,1))=EN$14))   /   SUM(OFFSET($BO$15,0,0,$B$14,1)) + $B$18/($B$19*$B$19*($DN127&lt;&gt;$DO127) + $B$19*($DN127=$DO127))</f>
        <v>3.7037037037037035E-4</v>
      </c>
      <c r="EO127" s="10" cm="1">
        <f t="array" aca="1" ref="EO127" ca="1">(1-$B$18)*SUMPRODUCT(OFFSET($BO$15,0,0,$B$14,1), 1*(_xlfn._xlws.FILTER(OFFSET($O$15,0,$DN127,$B$8,1),OFFSET($M$15,0,0,$B$8,1))=EO$13), 1*(_xlfn._xlws.FILTER(OFFSET($O$15,0,$DO127,$B$8,1),OFFSET($M$15,0,0,$B$8,1))=EO$14))   /   SUM(OFFSET($BO$15,0,0,$B$14,1)) + $B$18/($B$19*$B$19*($DN127&lt;&gt;$DO127) + $B$19*($DN127=$DO127))</f>
        <v>3.7037037037037035E-4</v>
      </c>
      <c r="EP127" s="10" cm="1">
        <f t="array" aca="1" ref="EP127" ca="1">(1-$B$18)*SUMPRODUCT(OFFSET($BO$15,0,0,$B$14,1), 1*(_xlfn._xlws.FILTER(OFFSET($O$15,0,$DN127,$B$8,1),OFFSET($M$15,0,0,$B$8,1))=EP$13), 1*(_xlfn._xlws.FILTER(OFFSET($O$15,0,$DO127,$B$8,1),OFFSET($M$15,0,0,$B$8,1))=EP$14))   /   SUM(OFFSET($BO$15,0,0,$B$14,1)) + $B$18/($B$19*$B$19*($DN127&lt;&gt;$DO127) + $B$19*($DN127=$DO127))</f>
        <v>3.7037037037037035E-4</v>
      </c>
      <c r="EQ127" s="10" cm="1">
        <f t="array" aca="1" ref="EQ127" ca="1">(1-$B$18)*SUMPRODUCT(OFFSET($BO$15,0,0,$B$14,1), 1*(_xlfn._xlws.FILTER(OFFSET($O$15,0,$DN127,$B$8,1),OFFSET($M$15,0,0,$B$8,1))=EQ$13), 1*(_xlfn._xlws.FILTER(OFFSET($O$15,0,$DO127,$B$8,1),OFFSET($M$15,0,0,$B$8,1))=EQ$14))   /   SUM(OFFSET($BO$15,0,0,$B$14,1)) + $B$18/($B$19*$B$19*($DN127&lt;&gt;$DO127) + $B$19*($DN127=$DO127))</f>
        <v>3.7037037037037035E-4</v>
      </c>
      <c r="ER127" s="10" cm="1">
        <f t="array" aca="1" ref="ER127" ca="1">(1-$B$18)*SUMPRODUCT(OFFSET($BO$15,0,0,$B$14,1), 1*(_xlfn._xlws.FILTER(OFFSET($O$15,0,$DN127,$B$8,1),OFFSET($M$15,0,0,$B$8,1))=ER$13), 1*(_xlfn._xlws.FILTER(OFFSET($O$15,0,$DO127,$B$8,1),OFFSET($M$15,0,0,$B$8,1))=ER$14))   /   SUM(OFFSET($BO$15,0,0,$B$14,1)) + $B$18/($B$19*$B$19*($DN127&lt;&gt;$DO127) + $B$19*($DN127=$DO127))</f>
        <v>3.7037037037037035E-4</v>
      </c>
      <c r="ES127" s="10" cm="1">
        <f t="array" aca="1" ref="ES127" ca="1">(1-$B$18)*SUMPRODUCT(OFFSET($BO$15,0,0,$B$14,1), 1*(_xlfn._xlws.FILTER(OFFSET($O$15,0,$DN127,$B$8,1),OFFSET($M$15,0,0,$B$8,1))=ES$13), 1*(_xlfn._xlws.FILTER(OFFSET($O$15,0,$DO127,$B$8,1),OFFSET($M$15,0,0,$B$8,1))=ES$14))   /   SUM(OFFSET($BO$15,0,0,$B$14,1)) + $B$18/($B$19*$B$19*($DN127&lt;&gt;$DO127) + $B$19*($DN127=$DO127))</f>
        <v>3.7037037037037035E-4</v>
      </c>
      <c r="ET127" s="10" cm="1">
        <f t="array" aca="1" ref="ET127" ca="1">(1-$B$18)*SUMPRODUCT(OFFSET($BO$15,0,0,$B$14,1), 1*(_xlfn._xlws.FILTER(OFFSET($O$15,0,$DN127,$B$8,1),OFFSET($M$15,0,0,$B$8,1))=ET$13), 1*(_xlfn._xlws.FILTER(OFFSET($O$15,0,$DO127,$B$8,1),OFFSET($M$15,0,0,$B$8,1))=ET$14))   /   SUM(OFFSET($BO$15,0,0,$B$14,1)) + $B$18/($B$19*$B$19*($DN127&lt;&gt;$DO127) + $B$19*($DN127=$DO127))</f>
        <v>3.7037037037037035E-4</v>
      </c>
      <c r="EU127" s="10" cm="1">
        <f t="array" aca="1" ref="EU127" ca="1">(1-$B$18)*SUMPRODUCT(OFFSET($BO$15,0,0,$B$14,1), 1*(_xlfn._xlws.FILTER(OFFSET($O$15,0,$DN127,$B$8,1),OFFSET($M$15,0,0,$B$8,1))=EU$13), 1*(_xlfn._xlws.FILTER(OFFSET($O$15,0,$DO127,$B$8,1),OFFSET($M$15,0,0,$B$8,1))=EU$14))   /   SUM(OFFSET($BO$15,0,0,$B$14,1)) + $B$18/($B$19*$B$19*($DN127&lt;&gt;$DO127) + $B$19*($DN127=$DO127))</f>
        <v>3.7037037037037035E-4</v>
      </c>
      <c r="EV127" s="10" cm="1">
        <f t="array" aca="1" ref="EV127" ca="1">(1-$B$18)*SUMPRODUCT(OFFSET($BO$15,0,0,$B$14,1), 1*(_xlfn._xlws.FILTER(OFFSET($O$15,0,$DN127,$B$8,1),OFFSET($M$15,0,0,$B$8,1))=EV$13), 1*(_xlfn._xlws.FILTER(OFFSET($O$15,0,$DO127,$B$8,1),OFFSET($M$15,0,0,$B$8,1))=EV$14))   /   SUM(OFFSET($BO$15,0,0,$B$14,1)) + $B$18/($B$19*$B$19*($DN127&lt;&gt;$DO127) + $B$19*($DN127=$DO127))</f>
        <v>3.7037037037037035E-4</v>
      </c>
      <c r="EW127" s="10" cm="1">
        <f t="array" aca="1" ref="EW127" ca="1">(1-$B$18)*SUMPRODUCT(OFFSET($BO$15,0,0,$B$14,1), 1*(_xlfn._xlws.FILTER(OFFSET($O$15,0,$DN127,$B$8,1),OFFSET($M$15,0,0,$B$8,1))=EW$13), 1*(_xlfn._xlws.FILTER(OFFSET($O$15,0,$DO127,$B$8,1),OFFSET($M$15,0,0,$B$8,1))=EW$14))   /   SUM(OFFSET($BO$15,0,0,$B$14,1)) + $B$18/($B$19*$B$19*($DN127&lt;&gt;$DO127) + $B$19*($DN127=$DO127))</f>
        <v>3.7037037037037035E-4</v>
      </c>
      <c r="EX127" s="10" cm="1">
        <f t="array" aca="1" ref="EX127" ca="1">(1-$B$18)*SUMPRODUCT(OFFSET($BO$15,0,0,$B$14,1), 1*(_xlfn._xlws.FILTER(OFFSET($O$15,0,$DN127,$B$8,1),OFFSET($M$15,0,0,$B$8,1))=EX$13), 1*(_xlfn._xlws.FILTER(OFFSET($O$15,0,$DO127,$B$8,1),OFFSET($M$15,0,0,$B$8,1))=EX$14))   /   SUM(OFFSET($BO$15,0,0,$B$14,1)) + $B$18/($B$19*$B$19*($DN127&lt;&gt;$DO127) + $B$19*($DN127=$DO127))</f>
        <v>3.7037037037037035E-4</v>
      </c>
      <c r="EY127" s="10" cm="1">
        <f t="array" aca="1" ref="EY127" ca="1">(1-$B$18)*SUMPRODUCT(OFFSET($BO$15,0,0,$B$14,1), 1*(_xlfn._xlws.FILTER(OFFSET($O$15,0,$DN127,$B$8,1),OFFSET($M$15,0,0,$B$8,1))=EY$13), 1*(_xlfn._xlws.FILTER(OFFSET($O$15,0,$DO127,$B$8,1),OFFSET($M$15,0,0,$B$8,1))=EY$14))   /   SUM(OFFSET($BO$15,0,0,$B$14,1)) + $B$18/($B$19*$B$19*($DN127&lt;&gt;$DO127) + $B$19*($DN127=$DO127))</f>
        <v>3.7037037037037035E-4</v>
      </c>
      <c r="EZ127" s="10" cm="1">
        <f t="array" aca="1" ref="EZ127" ca="1">(1-$B$18)*SUMPRODUCT(OFFSET($BO$15,0,0,$B$14,1), 1*(_xlfn._xlws.FILTER(OFFSET($O$15,0,$DN127,$B$8,1),OFFSET($M$15,0,0,$B$8,1))=EZ$13), 1*(_xlfn._xlws.FILTER(OFFSET($O$15,0,$DO127,$B$8,1),OFFSET($M$15,0,0,$B$8,1))=EZ$14))   /   SUM(OFFSET($BO$15,0,0,$B$14,1)) + $B$18/($B$19*$B$19*($DN127&lt;&gt;$DO127) + $B$19*($DN127=$DO127))</f>
        <v>3.7037037037037035E-4</v>
      </c>
      <c r="FA127" s="10" cm="1">
        <f t="array" aca="1" ref="FA127" ca="1">(1-$B$18)*SUMPRODUCT(OFFSET($BO$15,0,0,$B$14,1), 1*(_xlfn._xlws.FILTER(OFFSET($O$15,0,$DN127,$B$8,1),OFFSET($M$15,0,0,$B$8,1))=FA$13), 1*(_xlfn._xlws.FILTER(OFFSET($O$15,0,$DO127,$B$8,1),OFFSET($M$15,0,0,$B$8,1))=FA$14))   /   SUM(OFFSET($BO$15,0,0,$B$14,1)) + $B$18/($B$19*$B$19*($DN127&lt;&gt;$DO127) + $B$19*($DN127=$DO127))</f>
        <v>3.7037037037037035E-4</v>
      </c>
      <c r="FB127" s="10" cm="1">
        <f t="array" aca="1" ref="FB127" ca="1">(1-$B$18)*SUMPRODUCT(OFFSET($BO$15,0,0,$B$14,1), 1*(_xlfn._xlws.FILTER(OFFSET($O$15,0,$DN127,$B$8,1),OFFSET($M$15,0,0,$B$8,1))=FB$13), 1*(_xlfn._xlws.FILTER(OFFSET($O$15,0,$DO127,$B$8,1),OFFSET($M$15,0,0,$B$8,1))=FB$14))   /   SUM(OFFSET($BO$15,0,0,$B$14,1)) + $B$18/($B$19*$B$19*($DN127&lt;&gt;$DO127) + $B$19*($DN127=$DO127))</f>
        <v>3.7037037037037035E-4</v>
      </c>
      <c r="FC127" s="10" cm="1">
        <f t="array" aca="1" ref="FC127" ca="1">(1-$B$18)*SUMPRODUCT(OFFSET($BO$15,0,0,$B$14,1), 1*(_xlfn._xlws.FILTER(OFFSET($O$15,0,$DN127,$B$8,1),OFFSET($M$15,0,0,$B$8,1))=FC$13), 1*(_xlfn._xlws.FILTER(OFFSET($O$15,0,$DO127,$B$8,1),OFFSET($M$15,0,0,$B$8,1))=FC$14))   /   SUM(OFFSET($BO$15,0,0,$B$14,1)) + $B$18/($B$19*$B$19*($DN127&lt;&gt;$DO127) + $B$19*($DN127=$DO127))</f>
        <v>3.7037037037037035E-4</v>
      </c>
      <c r="FD127" s="10" cm="1">
        <f t="array" aca="1" ref="FD127" ca="1">(1-$B$18)*SUMPRODUCT(OFFSET($BO$15,0,0,$B$14,1), 1*(_xlfn._xlws.FILTER(OFFSET($O$15,0,$DN127,$B$8,1),OFFSET($M$15,0,0,$B$8,1))=FD$13), 1*(_xlfn._xlws.FILTER(OFFSET($O$15,0,$DO127,$B$8,1),OFFSET($M$15,0,0,$B$8,1))=FD$14))   /   SUM(OFFSET($BO$15,0,0,$B$14,1)) + $B$18/($B$19*$B$19*($DN127&lt;&gt;$DO127) + $B$19*($DN127=$DO127))</f>
        <v>3.7037037037037035E-4</v>
      </c>
      <c r="FE127" s="10" cm="1">
        <f t="array" aca="1" ref="FE127" ca="1">(1-$B$18)*SUMPRODUCT(OFFSET($BO$15,0,0,$B$14,1), 1*(_xlfn._xlws.FILTER(OFFSET($O$15,0,$DN127,$B$8,1),OFFSET($M$15,0,0,$B$8,1))=FE$13), 1*(_xlfn._xlws.FILTER(OFFSET($O$15,0,$DO127,$B$8,1),OFFSET($M$15,0,0,$B$8,1))=FE$14))   /   SUM(OFFSET($BO$15,0,0,$B$14,1)) + $B$18/($B$19*$B$19*($DN127&lt;&gt;$DO127) + $B$19*($DN127=$DO127))</f>
        <v>3.7037037037037035E-4</v>
      </c>
      <c r="FF127" s="10" cm="1">
        <f t="array" aca="1" ref="FF127" ca="1">(1-$B$18)*SUMPRODUCT(OFFSET($BO$15,0,0,$B$14,1), 1*(_xlfn._xlws.FILTER(OFFSET($O$15,0,$DN127,$B$8,1),OFFSET($M$15,0,0,$B$8,1))=FF$13), 1*(_xlfn._xlws.FILTER(OFFSET($O$15,0,$DO127,$B$8,1),OFFSET($M$15,0,0,$B$8,1))=FF$14))   /   SUM(OFFSET($BO$15,0,0,$B$14,1)) + $B$18/($B$19*$B$19*($DN127&lt;&gt;$DO127) + $B$19*($DN127=$DO127))</f>
        <v>3.7037037037037035E-4</v>
      </c>
      <c r="FG127" s="10" cm="1">
        <f t="array" aca="1" ref="FG127" ca="1">(1-$B$18)*SUMPRODUCT(OFFSET($BO$15,0,0,$B$14,1), 1*(_xlfn._xlws.FILTER(OFFSET($O$15,0,$DN127,$B$8,1),OFFSET($M$15,0,0,$B$8,1))=FG$13), 1*(_xlfn._xlws.FILTER(OFFSET($O$15,0,$DO127,$B$8,1),OFFSET($M$15,0,0,$B$8,1))=FG$14))   /   SUM(OFFSET($BO$15,0,0,$B$14,1)) + $B$18/($B$19*$B$19*($DN127&lt;&gt;$DO127) + $B$19*($DN127=$DO127))</f>
        <v>3.7037037037037035E-4</v>
      </c>
      <c r="FH127" s="10" cm="1">
        <f t="array" aca="1" ref="FH127" ca="1">(1-$B$18)*SUMPRODUCT(OFFSET($BO$15,0,0,$B$14,1), 1*(_xlfn._xlws.FILTER(OFFSET($O$15,0,$DN127,$B$8,1),OFFSET($M$15,0,0,$B$8,1))=FH$13), 1*(_xlfn._xlws.FILTER(OFFSET($O$15,0,$DO127,$B$8,1),OFFSET($M$15,0,0,$B$8,1))=FH$14))   /   SUM(OFFSET($BO$15,0,0,$B$14,1)) + $B$18/($B$19*$B$19*($DN127&lt;&gt;$DO127) + $B$19*($DN127=$DO127))</f>
        <v>3.7037037037037035E-4</v>
      </c>
      <c r="FI127" s="10" cm="1">
        <f t="array" aca="1" ref="FI127" ca="1">(1-$B$18)*SUMPRODUCT(OFFSET($BO$15,0,0,$B$14,1), 1*(_xlfn._xlws.FILTER(OFFSET($O$15,0,$DN127,$B$8,1),OFFSET($M$15,0,0,$B$8,1))=FI$13), 1*(_xlfn._xlws.FILTER(OFFSET($O$15,0,$DO127,$B$8,1),OFFSET($M$15,0,0,$B$8,1))=FI$14))   /   SUM(OFFSET($BO$15,0,0,$B$14,1)) + $B$18/($B$19*$B$19*($DN127&lt;&gt;$DO127) + $B$19*($DN127=$DO127))</f>
        <v>3.7037037037037035E-4</v>
      </c>
      <c r="FJ127" s="10" cm="1">
        <f t="array" aca="1" ref="FJ127" ca="1">(1-$B$18)*SUMPRODUCT(OFFSET($BO$15,0,0,$B$14,1), 1*(_xlfn._xlws.FILTER(OFFSET($O$15,0,$DN127,$B$8,1),OFFSET($M$15,0,0,$B$8,1))=FJ$13), 1*(_xlfn._xlws.FILTER(OFFSET($O$15,0,$DO127,$B$8,1),OFFSET($M$15,0,0,$B$8,1))=FJ$14))   /   SUM(OFFSET($BO$15,0,0,$B$14,1)) + $B$18/($B$19*$B$19*($DN127&lt;&gt;$DO127) + $B$19*($DN127=$DO127))</f>
        <v>3.7037037037037035E-4</v>
      </c>
      <c r="FK127" s="10" cm="1">
        <f t="array" aca="1" ref="FK127" ca="1">(1-$B$18)*SUMPRODUCT(OFFSET($BO$15,0,0,$B$14,1), 1*(_xlfn._xlws.FILTER(OFFSET($O$15,0,$DN127,$B$8,1),OFFSET($M$15,0,0,$B$8,1))=FK$13), 1*(_xlfn._xlws.FILTER(OFFSET($O$15,0,$DO127,$B$8,1),OFFSET($M$15,0,0,$B$8,1))=FK$14))   /   SUM(OFFSET($BO$15,0,0,$B$14,1)) + $B$18/($B$19*$B$19*($DN127&lt;&gt;$DO127) + $B$19*($DN127=$DO127))</f>
        <v>3.7037037037037035E-4</v>
      </c>
      <c r="FL127" s="10" cm="1">
        <f t="array" aca="1" ref="FL127" ca="1">(1-$B$18)*SUMPRODUCT(OFFSET($BO$15,0,0,$B$14,1), 1*(_xlfn._xlws.FILTER(OFFSET($O$15,0,$DN127,$B$8,1),OFFSET($M$15,0,0,$B$8,1))=FL$13), 1*(_xlfn._xlws.FILTER(OFFSET($O$15,0,$DO127,$B$8,1),OFFSET($M$15,0,0,$B$8,1))=FL$14))   /   SUM(OFFSET($BO$15,0,0,$B$14,1)) + $B$18/($B$19*$B$19*($DN127&lt;&gt;$DO127) + $B$19*($DN127=$DO127))</f>
        <v>3.7037037037037035E-4</v>
      </c>
      <c r="FM127" s="10" cm="1">
        <f t="array" aca="1" ref="FM127" ca="1">(1-$B$18)*SUMPRODUCT(OFFSET($BO$15,0,0,$B$14,1), 1*(_xlfn._xlws.FILTER(OFFSET($O$15,0,$DN127,$B$8,1),OFFSET($M$15,0,0,$B$8,1))=FM$13), 1*(_xlfn._xlws.FILTER(OFFSET($O$15,0,$DO127,$B$8,1),OFFSET($M$15,0,0,$B$8,1))=FM$14))   /   SUM(OFFSET($BO$15,0,0,$B$14,1)) + $B$18/($B$19*$B$19*($DN127&lt;&gt;$DO127) + $B$19*($DN127=$DO127))</f>
        <v>3.7037037037037035E-4</v>
      </c>
      <c r="FN127" s="10" cm="1">
        <f t="array" aca="1" ref="FN127" ca="1">(1-$B$18)*SUMPRODUCT(OFFSET($BO$15,0,0,$B$14,1), 1*(_xlfn._xlws.FILTER(OFFSET($O$15,0,$DN127,$B$8,1),OFFSET($M$15,0,0,$B$8,1))=FN$13), 1*(_xlfn._xlws.FILTER(OFFSET($O$15,0,$DO127,$B$8,1),OFFSET($M$15,0,0,$B$8,1))=FN$14))   /   SUM(OFFSET($BO$15,0,0,$B$14,1)) + $B$18/($B$19*$B$19*($DN127&lt;&gt;$DO127) + $B$19*($DN127=$DO127))</f>
        <v>3.7037037037037035E-4</v>
      </c>
      <c r="FO127" s="10" cm="1">
        <f t="array" aca="1" ref="FO127" ca="1">(1-$B$18)*SUMPRODUCT(OFFSET($BO$15,0,0,$B$14,1), 1*(_xlfn._xlws.FILTER(OFFSET($O$15,0,$DN127,$B$8,1),OFFSET($M$15,0,0,$B$8,1))=FO$13), 1*(_xlfn._xlws.FILTER(OFFSET($O$15,0,$DO127,$B$8,1),OFFSET($M$15,0,0,$B$8,1))=FO$14))   /   SUM(OFFSET($BO$15,0,0,$B$14,1)) + $B$18/($B$19*$B$19*($DN127&lt;&gt;$DO127) + $B$19*($DN127=$DO127))</f>
        <v>3.7037037037037035E-4</v>
      </c>
      <c r="FP127" s="10" cm="1">
        <f t="array" aca="1" ref="FP127" ca="1">(1-$B$18)*SUMPRODUCT(OFFSET($BO$15,0,0,$B$14,1), 1*(_xlfn._xlws.FILTER(OFFSET($O$15,0,$DN127,$B$8,1),OFFSET($M$15,0,0,$B$8,1))=FP$13), 1*(_xlfn._xlws.FILTER(OFFSET($O$15,0,$DO127,$B$8,1),OFFSET($M$15,0,0,$B$8,1))=FP$14))   /   SUM(OFFSET($BO$15,0,0,$B$14,1)) + $B$18/($B$19*$B$19*($DN127&lt;&gt;$DO127) + $B$19*($DN127=$DO127))</f>
        <v>0.24287037037037024</v>
      </c>
      <c r="FQ127" s="10" cm="1">
        <f t="array" aca="1" ref="FQ127" ca="1">(1-$B$18)*SUMPRODUCT(OFFSET($BO$15,0,0,$B$14,1), 1*(_xlfn._xlws.FILTER(OFFSET($O$15,0,$DN127,$B$8,1),OFFSET($M$15,0,0,$B$8,1))=FQ$13), 1*(_xlfn._xlws.FILTER(OFFSET($O$15,0,$DO127,$B$8,1),OFFSET($M$15,0,0,$B$8,1))=FQ$14))   /   SUM(OFFSET($BO$15,0,0,$B$14,1)) + $B$18/($B$19*$B$19*($DN127&lt;&gt;$DO127) + $B$19*($DN127=$DO127))</f>
        <v>0.24287037037037026</v>
      </c>
      <c r="FR127" s="10" cm="1">
        <f t="array" aca="1" ref="FR127" ca="1">(1-$B$18)*SUMPRODUCT(OFFSET($BO$15,0,0,$B$14,1), 1*(_xlfn._xlws.FILTER(OFFSET($O$15,0,$DN127,$B$8,1),OFFSET($M$15,0,0,$B$8,1))=FR$13), 1*(_xlfn._xlws.FILTER(OFFSET($O$15,0,$DO127,$B$8,1),OFFSET($M$15,0,0,$B$8,1))=FR$14))   /   SUM(OFFSET($BO$15,0,0,$B$14,1)) + $B$18/($B$19*$B$19*($DN127&lt;&gt;$DO127) + $B$19*($DN127=$DO127))</f>
        <v>0.48537037037037012</v>
      </c>
      <c r="FS127" s="10" cm="1">
        <f t="array" aca="1" ref="FS127" ca="1">(1-$B$18)*SUMPRODUCT(OFFSET($BO$15,0,0,$B$14,1), 1*(_xlfn._xlws.FILTER(OFFSET($O$15,0,$DN127,$B$8,1),OFFSET($M$15,0,0,$B$8,1))=FS$13), 1*(_xlfn._xlws.FILTER(OFFSET($O$15,0,$DO127,$B$8,1),OFFSET($M$15,0,0,$B$8,1))=FS$14))   /   SUM(OFFSET($BO$15,0,0,$B$14,1)) + $B$18/($B$19*$B$19*($DN127&lt;&gt;$DO127) + $B$19*($DN127=$DO127))</f>
        <v>3.7037037037037035E-4</v>
      </c>
      <c r="FT127" s="10" cm="1">
        <f t="array" aca="1" ref="FT127" ca="1">(1-$B$18)*SUMPRODUCT(OFFSET($BO$15,0,0,$B$14,1), 1*(_xlfn._xlws.FILTER(OFFSET($O$15,0,$DN127,$B$8,1),OFFSET($M$15,0,0,$B$8,1))=FT$13), 1*(_xlfn._xlws.FILTER(OFFSET($O$15,0,$DO127,$B$8,1),OFFSET($M$15,0,0,$B$8,1))=FT$14))   /   SUM(OFFSET($BO$15,0,0,$B$14,1)) + $B$18/($B$19*$B$19*($DN127&lt;&gt;$DO127) + $B$19*($DN127=$DO127))</f>
        <v>3.7037037037037035E-4</v>
      </c>
      <c r="FU127" s="10" cm="1">
        <f t="array" aca="1" ref="FU127" ca="1">(1-$B$18)*SUMPRODUCT(OFFSET($BO$15,0,0,$B$14,1), 1*(_xlfn._xlws.FILTER(OFFSET($O$15,0,$DN127,$B$8,1),OFFSET($M$15,0,0,$B$8,1))=FU$13), 1*(_xlfn._xlws.FILTER(OFFSET($O$15,0,$DO127,$B$8,1),OFFSET($M$15,0,0,$B$8,1))=FU$14))   /   SUM(OFFSET($BO$15,0,0,$B$14,1)) + $B$18/($B$19*$B$19*($DN127&lt;&gt;$DO127) + $B$19*($DN127=$DO127))</f>
        <v>3.7037037037037035E-4</v>
      </c>
      <c r="FV127" s="10" cm="1">
        <f t="array" aca="1" ref="FV127" ca="1">(1-$B$18)*SUMPRODUCT(OFFSET($BO$15,0,0,$B$14,1), 1*(_xlfn._xlws.FILTER(OFFSET($O$15,0,$DN127,$B$8,1),OFFSET($M$15,0,0,$B$8,1))=FV$13), 1*(_xlfn._xlws.FILTER(OFFSET($O$15,0,$DO127,$B$8,1),OFFSET($M$15,0,0,$B$8,1))=FV$14))   /   SUM(OFFSET($BO$15,0,0,$B$14,1)) + $B$18/($B$19*$B$19*($DN127&lt;&gt;$DO127) + $B$19*($DN127=$DO127))</f>
        <v>3.7037037037037035E-4</v>
      </c>
      <c r="FW127" s="10" cm="1">
        <f t="array" aca="1" ref="FW127" ca="1">(1-$B$18)*SUMPRODUCT(OFFSET($BO$15,0,0,$B$14,1), 1*(_xlfn._xlws.FILTER(OFFSET($O$15,0,$DN127,$B$8,1),OFFSET($M$15,0,0,$B$8,1))=FW$13), 1*(_xlfn._xlws.FILTER(OFFSET($O$15,0,$DO127,$B$8,1),OFFSET($M$15,0,0,$B$8,1))=FW$14))   /   SUM(OFFSET($BO$15,0,0,$B$14,1)) + $B$18/($B$19*$B$19*($DN127&lt;&gt;$DO127) + $B$19*($DN127=$DO127))</f>
        <v>3.7037037037037035E-4</v>
      </c>
      <c r="FX127" s="10" cm="1">
        <f t="array" aca="1" ref="FX127" ca="1">(1-$B$18)*SUMPRODUCT(OFFSET($BO$15,0,0,$B$14,1), 1*(_xlfn._xlws.FILTER(OFFSET($O$15,0,$DN127,$B$8,1),OFFSET($M$15,0,0,$B$8,1))=FX$13), 1*(_xlfn._xlws.FILTER(OFFSET($O$15,0,$DO127,$B$8,1),OFFSET($M$15,0,0,$B$8,1))=FX$14))   /   SUM(OFFSET($BO$15,0,0,$B$14,1)) + $B$18/($B$19*$B$19*($DN127&lt;&gt;$DO127) + $B$19*($DN127=$DO127))</f>
        <v>3.7037037037037035E-4</v>
      </c>
      <c r="FY127" s="10" cm="1">
        <f t="array" aca="1" ref="FY127" ca="1">(1-$B$18)*SUMPRODUCT(OFFSET($BO$15,0,0,$B$14,1), 1*(_xlfn._xlws.FILTER(OFFSET($O$15,0,$DN127,$B$8,1),OFFSET($M$15,0,0,$B$8,1))=FY$13), 1*(_xlfn._xlws.FILTER(OFFSET($O$15,0,$DO127,$B$8,1),OFFSET($M$15,0,0,$B$8,1))=FY$14))   /   SUM(OFFSET($BO$15,0,0,$B$14,1)) + $B$18/($B$19*$B$19*($DN127&lt;&gt;$DO127) + $B$19*($DN127=$DO127))</f>
        <v>3.7037037037037035E-4</v>
      </c>
      <c r="FZ127" s="10" cm="1">
        <f t="array" aca="1" ref="FZ127" ca="1">(1-$B$18)*SUMPRODUCT(OFFSET($BO$15,0,0,$B$14,1), 1*(_xlfn._xlws.FILTER(OFFSET($O$15,0,$DN127,$B$8,1),OFFSET($M$15,0,0,$B$8,1))=FZ$13), 1*(_xlfn._xlws.FILTER(OFFSET($O$15,0,$DO127,$B$8,1),OFFSET($M$15,0,0,$B$8,1))=FZ$14))   /   SUM(OFFSET($BO$15,0,0,$B$14,1)) + $B$18/($B$19*$B$19*($DN127&lt;&gt;$DO127) + $B$19*($DN127=$DO127))</f>
        <v>3.7037037037037035E-4</v>
      </c>
      <c r="GA127" s="10" cm="1">
        <f t="array" aca="1" ref="GA127" ca="1">(1-$B$18)*SUMPRODUCT(OFFSET($BO$15,0,0,$B$14,1), 1*(_xlfn._xlws.FILTER(OFFSET($O$15,0,$DN127,$B$8,1),OFFSET($M$15,0,0,$B$8,1))=GA$13), 1*(_xlfn._xlws.FILTER(OFFSET($O$15,0,$DO127,$B$8,1),OFFSET($M$15,0,0,$B$8,1))=GA$14))   /   SUM(OFFSET($BO$15,0,0,$B$14,1)) + $B$18/($B$19*$B$19*($DN127&lt;&gt;$DO127) + $B$19*($DN127=$DO127))</f>
        <v>3.7037037037037035E-4</v>
      </c>
    </row>
    <row r="128" spans="7:183" x14ac:dyDescent="0.2">
      <c r="G128" s="2"/>
      <c r="H128" s="2"/>
      <c r="AH128" s="2"/>
      <c r="AI128" s="2"/>
      <c r="DN128" cm="1">
        <f t="array" aca="1" ref="DN128" ca="1">INDEX(_xlfn.ANCHORARRAY($CP$15), 1 + INT((ROWS($DO$15:$DO128) - 1) / ROWS(_xlfn.ANCHORARRAY($CP$15))))</f>
        <v>5</v>
      </c>
      <c r="DO128" cm="1">
        <f t="array" aca="1" ref="DO128" ca="1">INDEX(_xlfn.ANCHORARRAY($CP$15),1+MOD(ROWS($DO$15:$DO128)-1,ROWS(_xlfn.ANCHORARRAY($CP$15))))</f>
        <v>21</v>
      </c>
      <c r="DP128" s="10" cm="1">
        <f t="array" aca="1" ref="DP128" ca="1">(1-$B$18)*SUMPRODUCT(OFFSET($BO$15,0,0,$B$14,1), 1*(_xlfn._xlws.FILTER(OFFSET($O$15,0,$DN128,$B$8,1),OFFSET($M$15,0,0,$B$8,1))=DP$13), 1*(_xlfn._xlws.FILTER(OFFSET($O$15,0,$DO128,$B$8,1),OFFSET($M$15,0,0,$B$8,1))=DP$14))   /   SUM(OFFSET($BO$15,0,0,$B$14,1)) + $B$18/($B$19*$B$19*($DN128&lt;&gt;$DO128) + $B$19*($DN128=$DO128))</f>
        <v>3.7037037037037035E-4</v>
      </c>
      <c r="DQ128" s="10" cm="1">
        <f t="array" aca="1" ref="DQ128" ca="1">(1-$B$18)*SUMPRODUCT(OFFSET($BO$15,0,0,$B$14,1), 1*(_xlfn._xlws.FILTER(OFFSET($O$15,0,$DN128,$B$8,1),OFFSET($M$15,0,0,$B$8,1))=DQ$13), 1*(_xlfn._xlws.FILTER(OFFSET($O$15,0,$DO128,$B$8,1),OFFSET($M$15,0,0,$B$8,1))=DQ$14))   /   SUM(OFFSET($BO$15,0,0,$B$14,1)) + $B$18/($B$19*$B$19*($DN128&lt;&gt;$DO128) + $B$19*($DN128=$DO128))</f>
        <v>3.7037037037037035E-4</v>
      </c>
      <c r="DR128" s="10" cm="1">
        <f t="array" aca="1" ref="DR128" ca="1">(1-$B$18)*SUMPRODUCT(OFFSET($BO$15,0,0,$B$14,1), 1*(_xlfn._xlws.FILTER(OFFSET($O$15,0,$DN128,$B$8,1),OFFSET($M$15,0,0,$B$8,1))=DR$13), 1*(_xlfn._xlws.FILTER(OFFSET($O$15,0,$DO128,$B$8,1),OFFSET($M$15,0,0,$B$8,1))=DR$14))   /   SUM(OFFSET($BO$15,0,0,$B$14,1)) + $B$18/($B$19*$B$19*($DN128&lt;&gt;$DO128) + $B$19*($DN128=$DO128))</f>
        <v>3.7037037037037035E-4</v>
      </c>
      <c r="DS128" s="10" cm="1">
        <f t="array" aca="1" ref="DS128" ca="1">(1-$B$18)*SUMPRODUCT(OFFSET($BO$15,0,0,$B$14,1), 1*(_xlfn._xlws.FILTER(OFFSET($O$15,0,$DN128,$B$8,1),OFFSET($M$15,0,0,$B$8,1))=DS$13), 1*(_xlfn._xlws.FILTER(OFFSET($O$15,0,$DO128,$B$8,1),OFFSET($M$15,0,0,$B$8,1))=DS$14))   /   SUM(OFFSET($BO$15,0,0,$B$14,1)) + $B$18/($B$19*$B$19*($DN128&lt;&gt;$DO128) + $B$19*($DN128=$DO128))</f>
        <v>3.7037037037037035E-4</v>
      </c>
      <c r="DT128" s="10" cm="1">
        <f t="array" aca="1" ref="DT128" ca="1">(1-$B$18)*SUMPRODUCT(OFFSET($BO$15,0,0,$B$14,1), 1*(_xlfn._xlws.FILTER(OFFSET($O$15,0,$DN128,$B$8,1),OFFSET($M$15,0,0,$B$8,1))=DT$13), 1*(_xlfn._xlws.FILTER(OFFSET($O$15,0,$DO128,$B$8,1),OFFSET($M$15,0,0,$B$8,1))=DT$14))   /   SUM(OFFSET($BO$15,0,0,$B$14,1)) + $B$18/($B$19*$B$19*($DN128&lt;&gt;$DO128) + $B$19*($DN128=$DO128))</f>
        <v>3.7037037037037035E-4</v>
      </c>
      <c r="DU128" s="10" cm="1">
        <f t="array" aca="1" ref="DU128" ca="1">(1-$B$18)*SUMPRODUCT(OFFSET($BO$15,0,0,$B$14,1), 1*(_xlfn._xlws.FILTER(OFFSET($O$15,0,$DN128,$B$8,1),OFFSET($M$15,0,0,$B$8,1))=DU$13), 1*(_xlfn._xlws.FILTER(OFFSET($O$15,0,$DO128,$B$8,1),OFFSET($M$15,0,0,$B$8,1))=DU$14))   /   SUM(OFFSET($BO$15,0,0,$B$14,1)) + $B$18/($B$19*$B$19*($DN128&lt;&gt;$DO128) + $B$19*($DN128=$DO128))</f>
        <v>3.7037037037037035E-4</v>
      </c>
      <c r="DV128" s="10" cm="1">
        <f t="array" aca="1" ref="DV128" ca="1">(1-$B$18)*SUMPRODUCT(OFFSET($BO$15,0,0,$B$14,1), 1*(_xlfn._xlws.FILTER(OFFSET($O$15,0,$DN128,$B$8,1),OFFSET($M$15,0,0,$B$8,1))=DV$13), 1*(_xlfn._xlws.FILTER(OFFSET($O$15,0,$DO128,$B$8,1),OFFSET($M$15,0,0,$B$8,1))=DV$14))   /   SUM(OFFSET($BO$15,0,0,$B$14,1)) + $B$18/($B$19*$B$19*($DN128&lt;&gt;$DO128) + $B$19*($DN128=$DO128))</f>
        <v>3.7037037037037035E-4</v>
      </c>
      <c r="DW128" s="10" cm="1">
        <f t="array" aca="1" ref="DW128" ca="1">(1-$B$18)*SUMPRODUCT(OFFSET($BO$15,0,0,$B$14,1), 1*(_xlfn._xlws.FILTER(OFFSET($O$15,0,$DN128,$B$8,1),OFFSET($M$15,0,0,$B$8,1))=DW$13), 1*(_xlfn._xlws.FILTER(OFFSET($O$15,0,$DO128,$B$8,1),OFFSET($M$15,0,0,$B$8,1))=DW$14))   /   SUM(OFFSET($BO$15,0,0,$B$14,1)) + $B$18/($B$19*$B$19*($DN128&lt;&gt;$DO128) + $B$19*($DN128=$DO128))</f>
        <v>3.7037037037037035E-4</v>
      </c>
      <c r="DX128" s="10" cm="1">
        <f t="array" aca="1" ref="DX128" ca="1">(1-$B$18)*SUMPRODUCT(OFFSET($BO$15,0,0,$B$14,1), 1*(_xlfn._xlws.FILTER(OFFSET($O$15,0,$DN128,$B$8,1),OFFSET($M$15,0,0,$B$8,1))=DX$13), 1*(_xlfn._xlws.FILTER(OFFSET($O$15,0,$DO128,$B$8,1),OFFSET($M$15,0,0,$B$8,1))=DX$14))   /   SUM(OFFSET($BO$15,0,0,$B$14,1)) + $B$18/($B$19*$B$19*($DN128&lt;&gt;$DO128) + $B$19*($DN128=$DO128))</f>
        <v>3.7037037037037035E-4</v>
      </c>
      <c r="DY128" s="10" cm="1">
        <f t="array" aca="1" ref="DY128" ca="1">(1-$B$18)*SUMPRODUCT(OFFSET($BO$15,0,0,$B$14,1), 1*(_xlfn._xlws.FILTER(OFFSET($O$15,0,$DN128,$B$8,1),OFFSET($M$15,0,0,$B$8,1))=DY$13), 1*(_xlfn._xlws.FILTER(OFFSET($O$15,0,$DO128,$B$8,1),OFFSET($M$15,0,0,$B$8,1))=DY$14))   /   SUM(OFFSET($BO$15,0,0,$B$14,1)) + $B$18/($B$19*$B$19*($DN128&lt;&gt;$DO128) + $B$19*($DN128=$DO128))</f>
        <v>3.7037037037037035E-4</v>
      </c>
      <c r="DZ128" s="10" cm="1">
        <f t="array" aca="1" ref="DZ128" ca="1">(1-$B$18)*SUMPRODUCT(OFFSET($BO$15,0,0,$B$14,1), 1*(_xlfn._xlws.FILTER(OFFSET($O$15,0,$DN128,$B$8,1),OFFSET($M$15,0,0,$B$8,1))=DZ$13), 1*(_xlfn._xlws.FILTER(OFFSET($O$15,0,$DO128,$B$8,1),OFFSET($M$15,0,0,$B$8,1))=DZ$14))   /   SUM(OFFSET($BO$15,0,0,$B$14,1)) + $B$18/($B$19*$B$19*($DN128&lt;&gt;$DO128) + $B$19*($DN128=$DO128))</f>
        <v>3.7037037037037035E-4</v>
      </c>
      <c r="EA128" s="10" cm="1">
        <f t="array" aca="1" ref="EA128" ca="1">(1-$B$18)*SUMPRODUCT(OFFSET($BO$15,0,0,$B$14,1), 1*(_xlfn._xlws.FILTER(OFFSET($O$15,0,$DN128,$B$8,1),OFFSET($M$15,0,0,$B$8,1))=EA$13), 1*(_xlfn._xlws.FILTER(OFFSET($O$15,0,$DO128,$B$8,1),OFFSET($M$15,0,0,$B$8,1))=EA$14))   /   SUM(OFFSET($BO$15,0,0,$B$14,1)) + $B$18/($B$19*$B$19*($DN128&lt;&gt;$DO128) + $B$19*($DN128=$DO128))</f>
        <v>3.7037037037037035E-4</v>
      </c>
      <c r="EB128" s="10" cm="1">
        <f t="array" aca="1" ref="EB128" ca="1">(1-$B$18)*SUMPRODUCT(OFFSET($BO$15,0,0,$B$14,1), 1*(_xlfn._xlws.FILTER(OFFSET($O$15,0,$DN128,$B$8,1),OFFSET($M$15,0,0,$B$8,1))=EB$13), 1*(_xlfn._xlws.FILTER(OFFSET($O$15,0,$DO128,$B$8,1),OFFSET($M$15,0,0,$B$8,1))=EB$14))   /   SUM(OFFSET($BO$15,0,0,$B$14,1)) + $B$18/($B$19*$B$19*($DN128&lt;&gt;$DO128) + $B$19*($DN128=$DO128))</f>
        <v>3.7037037037037035E-4</v>
      </c>
      <c r="EC128" s="10" cm="1">
        <f t="array" aca="1" ref="EC128" ca="1">(1-$B$18)*SUMPRODUCT(OFFSET($BO$15,0,0,$B$14,1), 1*(_xlfn._xlws.FILTER(OFFSET($O$15,0,$DN128,$B$8,1),OFFSET($M$15,0,0,$B$8,1))=EC$13), 1*(_xlfn._xlws.FILTER(OFFSET($O$15,0,$DO128,$B$8,1),OFFSET($M$15,0,0,$B$8,1))=EC$14))   /   SUM(OFFSET($BO$15,0,0,$B$14,1)) + $B$18/($B$19*$B$19*($DN128&lt;&gt;$DO128) + $B$19*($DN128=$DO128))</f>
        <v>3.7037037037037035E-4</v>
      </c>
      <c r="ED128" s="10" cm="1">
        <f t="array" aca="1" ref="ED128" ca="1">(1-$B$18)*SUMPRODUCT(OFFSET($BO$15,0,0,$B$14,1), 1*(_xlfn._xlws.FILTER(OFFSET($O$15,0,$DN128,$B$8,1),OFFSET($M$15,0,0,$B$8,1))=ED$13), 1*(_xlfn._xlws.FILTER(OFFSET($O$15,0,$DO128,$B$8,1),OFFSET($M$15,0,0,$B$8,1))=ED$14))   /   SUM(OFFSET($BO$15,0,0,$B$14,1)) + $B$18/($B$19*$B$19*($DN128&lt;&gt;$DO128) + $B$19*($DN128=$DO128))</f>
        <v>3.7037037037037035E-4</v>
      </c>
      <c r="EE128" s="10" cm="1">
        <f t="array" aca="1" ref="EE128" ca="1">(1-$B$18)*SUMPRODUCT(OFFSET($BO$15,0,0,$B$14,1), 1*(_xlfn._xlws.FILTER(OFFSET($O$15,0,$DN128,$B$8,1),OFFSET($M$15,0,0,$B$8,1))=EE$13), 1*(_xlfn._xlws.FILTER(OFFSET($O$15,0,$DO128,$B$8,1),OFFSET($M$15,0,0,$B$8,1))=EE$14))   /   SUM(OFFSET($BO$15,0,0,$B$14,1)) + $B$18/($B$19*$B$19*($DN128&lt;&gt;$DO128) + $B$19*($DN128=$DO128))</f>
        <v>3.7037037037037035E-4</v>
      </c>
      <c r="EF128" s="10" cm="1">
        <f t="array" aca="1" ref="EF128" ca="1">(1-$B$18)*SUMPRODUCT(OFFSET($BO$15,0,0,$B$14,1), 1*(_xlfn._xlws.FILTER(OFFSET($O$15,0,$DN128,$B$8,1),OFFSET($M$15,0,0,$B$8,1))=EF$13), 1*(_xlfn._xlws.FILTER(OFFSET($O$15,0,$DO128,$B$8,1),OFFSET($M$15,0,0,$B$8,1))=EF$14))   /   SUM(OFFSET($BO$15,0,0,$B$14,1)) + $B$18/($B$19*$B$19*($DN128&lt;&gt;$DO128) + $B$19*($DN128=$DO128))</f>
        <v>3.7037037037037035E-4</v>
      </c>
      <c r="EG128" s="10" cm="1">
        <f t="array" aca="1" ref="EG128" ca="1">(1-$B$18)*SUMPRODUCT(OFFSET($BO$15,0,0,$B$14,1), 1*(_xlfn._xlws.FILTER(OFFSET($O$15,0,$DN128,$B$8,1),OFFSET($M$15,0,0,$B$8,1))=EG$13), 1*(_xlfn._xlws.FILTER(OFFSET($O$15,0,$DO128,$B$8,1),OFFSET($M$15,0,0,$B$8,1))=EG$14))   /   SUM(OFFSET($BO$15,0,0,$B$14,1)) + $B$18/($B$19*$B$19*($DN128&lt;&gt;$DO128) + $B$19*($DN128=$DO128))</f>
        <v>3.7037037037037035E-4</v>
      </c>
      <c r="EH128" s="10" cm="1">
        <f t="array" aca="1" ref="EH128" ca="1">(1-$B$18)*SUMPRODUCT(OFFSET($BO$15,0,0,$B$14,1), 1*(_xlfn._xlws.FILTER(OFFSET($O$15,0,$DN128,$B$8,1),OFFSET($M$15,0,0,$B$8,1))=EH$13), 1*(_xlfn._xlws.FILTER(OFFSET($O$15,0,$DO128,$B$8,1),OFFSET($M$15,0,0,$B$8,1))=EH$14))   /   SUM(OFFSET($BO$15,0,0,$B$14,1)) + $B$18/($B$19*$B$19*($DN128&lt;&gt;$DO128) + $B$19*($DN128=$DO128))</f>
        <v>3.7037037037037035E-4</v>
      </c>
      <c r="EI128" s="10" cm="1">
        <f t="array" aca="1" ref="EI128" ca="1">(1-$B$18)*SUMPRODUCT(OFFSET($BO$15,0,0,$B$14,1), 1*(_xlfn._xlws.FILTER(OFFSET($O$15,0,$DN128,$B$8,1),OFFSET($M$15,0,0,$B$8,1))=EI$13), 1*(_xlfn._xlws.FILTER(OFFSET($O$15,0,$DO128,$B$8,1),OFFSET($M$15,0,0,$B$8,1))=EI$14))   /   SUM(OFFSET($BO$15,0,0,$B$14,1)) + $B$18/($B$19*$B$19*($DN128&lt;&gt;$DO128) + $B$19*($DN128=$DO128))</f>
        <v>3.7037037037037035E-4</v>
      </c>
      <c r="EJ128" s="10" cm="1">
        <f t="array" aca="1" ref="EJ128" ca="1">(1-$B$18)*SUMPRODUCT(OFFSET($BO$15,0,0,$B$14,1), 1*(_xlfn._xlws.FILTER(OFFSET($O$15,0,$DN128,$B$8,1),OFFSET($M$15,0,0,$B$8,1))=EJ$13), 1*(_xlfn._xlws.FILTER(OFFSET($O$15,0,$DO128,$B$8,1),OFFSET($M$15,0,0,$B$8,1))=EJ$14))   /   SUM(OFFSET($BO$15,0,0,$B$14,1)) + $B$18/($B$19*$B$19*($DN128&lt;&gt;$DO128) + $B$19*($DN128=$DO128))</f>
        <v>3.7037037037037035E-4</v>
      </c>
      <c r="EK128" s="10" cm="1">
        <f t="array" aca="1" ref="EK128" ca="1">(1-$B$18)*SUMPRODUCT(OFFSET($BO$15,0,0,$B$14,1), 1*(_xlfn._xlws.FILTER(OFFSET($O$15,0,$DN128,$B$8,1),OFFSET($M$15,0,0,$B$8,1))=EK$13), 1*(_xlfn._xlws.FILTER(OFFSET($O$15,0,$DO128,$B$8,1),OFFSET($M$15,0,0,$B$8,1))=EK$14))   /   SUM(OFFSET($BO$15,0,0,$B$14,1)) + $B$18/($B$19*$B$19*($DN128&lt;&gt;$DO128) + $B$19*($DN128=$DO128))</f>
        <v>3.7037037037037035E-4</v>
      </c>
      <c r="EL128" s="10" cm="1">
        <f t="array" aca="1" ref="EL128" ca="1">(1-$B$18)*SUMPRODUCT(OFFSET($BO$15,0,0,$B$14,1), 1*(_xlfn._xlws.FILTER(OFFSET($O$15,0,$DN128,$B$8,1),OFFSET($M$15,0,0,$B$8,1))=EL$13), 1*(_xlfn._xlws.FILTER(OFFSET($O$15,0,$DO128,$B$8,1),OFFSET($M$15,0,0,$B$8,1))=EL$14))   /   SUM(OFFSET($BO$15,0,0,$B$14,1)) + $B$18/($B$19*$B$19*($DN128&lt;&gt;$DO128) + $B$19*($DN128=$DO128))</f>
        <v>3.7037037037037035E-4</v>
      </c>
      <c r="EM128" s="10" cm="1">
        <f t="array" aca="1" ref="EM128" ca="1">(1-$B$18)*SUMPRODUCT(OFFSET($BO$15,0,0,$B$14,1), 1*(_xlfn._xlws.FILTER(OFFSET($O$15,0,$DN128,$B$8,1),OFFSET($M$15,0,0,$B$8,1))=EM$13), 1*(_xlfn._xlws.FILTER(OFFSET($O$15,0,$DO128,$B$8,1),OFFSET($M$15,0,0,$B$8,1))=EM$14))   /   SUM(OFFSET($BO$15,0,0,$B$14,1)) + $B$18/($B$19*$B$19*($DN128&lt;&gt;$DO128) + $B$19*($DN128=$DO128))</f>
        <v>3.7037037037037035E-4</v>
      </c>
      <c r="EN128" s="10" cm="1">
        <f t="array" aca="1" ref="EN128" ca="1">(1-$B$18)*SUMPRODUCT(OFFSET($BO$15,0,0,$B$14,1), 1*(_xlfn._xlws.FILTER(OFFSET($O$15,0,$DN128,$B$8,1),OFFSET($M$15,0,0,$B$8,1))=EN$13), 1*(_xlfn._xlws.FILTER(OFFSET($O$15,0,$DO128,$B$8,1),OFFSET($M$15,0,0,$B$8,1))=EN$14))   /   SUM(OFFSET($BO$15,0,0,$B$14,1)) + $B$18/($B$19*$B$19*($DN128&lt;&gt;$DO128) + $B$19*($DN128=$DO128))</f>
        <v>3.7037037037037035E-4</v>
      </c>
      <c r="EO128" s="10" cm="1">
        <f t="array" aca="1" ref="EO128" ca="1">(1-$B$18)*SUMPRODUCT(OFFSET($BO$15,0,0,$B$14,1), 1*(_xlfn._xlws.FILTER(OFFSET($O$15,0,$DN128,$B$8,1),OFFSET($M$15,0,0,$B$8,1))=EO$13), 1*(_xlfn._xlws.FILTER(OFFSET($O$15,0,$DO128,$B$8,1),OFFSET($M$15,0,0,$B$8,1))=EO$14))   /   SUM(OFFSET($BO$15,0,0,$B$14,1)) + $B$18/($B$19*$B$19*($DN128&lt;&gt;$DO128) + $B$19*($DN128=$DO128))</f>
        <v>3.7037037037037035E-4</v>
      </c>
      <c r="EP128" s="10" cm="1">
        <f t="array" aca="1" ref="EP128" ca="1">(1-$B$18)*SUMPRODUCT(OFFSET($BO$15,0,0,$B$14,1), 1*(_xlfn._xlws.FILTER(OFFSET($O$15,0,$DN128,$B$8,1),OFFSET($M$15,0,0,$B$8,1))=EP$13), 1*(_xlfn._xlws.FILTER(OFFSET($O$15,0,$DO128,$B$8,1),OFFSET($M$15,0,0,$B$8,1))=EP$14))   /   SUM(OFFSET($BO$15,0,0,$B$14,1)) + $B$18/($B$19*$B$19*($DN128&lt;&gt;$DO128) + $B$19*($DN128=$DO128))</f>
        <v>3.7037037037037035E-4</v>
      </c>
      <c r="EQ128" s="10" cm="1">
        <f t="array" aca="1" ref="EQ128" ca="1">(1-$B$18)*SUMPRODUCT(OFFSET($BO$15,0,0,$B$14,1), 1*(_xlfn._xlws.FILTER(OFFSET($O$15,0,$DN128,$B$8,1),OFFSET($M$15,0,0,$B$8,1))=EQ$13), 1*(_xlfn._xlws.FILTER(OFFSET($O$15,0,$DO128,$B$8,1),OFFSET($M$15,0,0,$B$8,1))=EQ$14))   /   SUM(OFFSET($BO$15,0,0,$B$14,1)) + $B$18/($B$19*$B$19*($DN128&lt;&gt;$DO128) + $B$19*($DN128=$DO128))</f>
        <v>3.7037037037037035E-4</v>
      </c>
      <c r="ER128" s="10" cm="1">
        <f t="array" aca="1" ref="ER128" ca="1">(1-$B$18)*SUMPRODUCT(OFFSET($BO$15,0,0,$B$14,1), 1*(_xlfn._xlws.FILTER(OFFSET($O$15,0,$DN128,$B$8,1),OFFSET($M$15,0,0,$B$8,1))=ER$13), 1*(_xlfn._xlws.FILTER(OFFSET($O$15,0,$DO128,$B$8,1),OFFSET($M$15,0,0,$B$8,1))=ER$14))   /   SUM(OFFSET($BO$15,0,0,$B$14,1)) + $B$18/($B$19*$B$19*($DN128&lt;&gt;$DO128) + $B$19*($DN128=$DO128))</f>
        <v>3.7037037037037035E-4</v>
      </c>
      <c r="ES128" s="10" cm="1">
        <f t="array" aca="1" ref="ES128" ca="1">(1-$B$18)*SUMPRODUCT(OFFSET($BO$15,0,0,$B$14,1), 1*(_xlfn._xlws.FILTER(OFFSET($O$15,0,$DN128,$B$8,1),OFFSET($M$15,0,0,$B$8,1))=ES$13), 1*(_xlfn._xlws.FILTER(OFFSET($O$15,0,$DO128,$B$8,1),OFFSET($M$15,0,0,$B$8,1))=ES$14))   /   SUM(OFFSET($BO$15,0,0,$B$14,1)) + $B$18/($B$19*$B$19*($DN128&lt;&gt;$DO128) + $B$19*($DN128=$DO128))</f>
        <v>3.7037037037037035E-4</v>
      </c>
      <c r="ET128" s="10" cm="1">
        <f t="array" aca="1" ref="ET128" ca="1">(1-$B$18)*SUMPRODUCT(OFFSET($BO$15,0,0,$B$14,1), 1*(_xlfn._xlws.FILTER(OFFSET($O$15,0,$DN128,$B$8,1),OFFSET($M$15,0,0,$B$8,1))=ET$13), 1*(_xlfn._xlws.FILTER(OFFSET($O$15,0,$DO128,$B$8,1),OFFSET($M$15,0,0,$B$8,1))=ET$14))   /   SUM(OFFSET($BO$15,0,0,$B$14,1)) + $B$18/($B$19*$B$19*($DN128&lt;&gt;$DO128) + $B$19*($DN128=$DO128))</f>
        <v>3.7037037037037035E-4</v>
      </c>
      <c r="EU128" s="10" cm="1">
        <f t="array" aca="1" ref="EU128" ca="1">(1-$B$18)*SUMPRODUCT(OFFSET($BO$15,0,0,$B$14,1), 1*(_xlfn._xlws.FILTER(OFFSET($O$15,0,$DN128,$B$8,1),OFFSET($M$15,0,0,$B$8,1))=EU$13), 1*(_xlfn._xlws.FILTER(OFFSET($O$15,0,$DO128,$B$8,1),OFFSET($M$15,0,0,$B$8,1))=EU$14))   /   SUM(OFFSET($BO$15,0,0,$B$14,1)) + $B$18/($B$19*$B$19*($DN128&lt;&gt;$DO128) + $B$19*($DN128=$DO128))</f>
        <v>3.7037037037037035E-4</v>
      </c>
      <c r="EV128" s="10" cm="1">
        <f t="array" aca="1" ref="EV128" ca="1">(1-$B$18)*SUMPRODUCT(OFFSET($BO$15,0,0,$B$14,1), 1*(_xlfn._xlws.FILTER(OFFSET($O$15,0,$DN128,$B$8,1),OFFSET($M$15,0,0,$B$8,1))=EV$13), 1*(_xlfn._xlws.FILTER(OFFSET($O$15,0,$DO128,$B$8,1),OFFSET($M$15,0,0,$B$8,1))=EV$14))   /   SUM(OFFSET($BO$15,0,0,$B$14,1)) + $B$18/($B$19*$B$19*($DN128&lt;&gt;$DO128) + $B$19*($DN128=$DO128))</f>
        <v>3.7037037037037035E-4</v>
      </c>
      <c r="EW128" s="10" cm="1">
        <f t="array" aca="1" ref="EW128" ca="1">(1-$B$18)*SUMPRODUCT(OFFSET($BO$15,0,0,$B$14,1), 1*(_xlfn._xlws.FILTER(OFFSET($O$15,0,$DN128,$B$8,1),OFFSET($M$15,0,0,$B$8,1))=EW$13), 1*(_xlfn._xlws.FILTER(OFFSET($O$15,0,$DO128,$B$8,1),OFFSET($M$15,0,0,$B$8,1))=EW$14))   /   SUM(OFFSET($BO$15,0,0,$B$14,1)) + $B$18/($B$19*$B$19*($DN128&lt;&gt;$DO128) + $B$19*($DN128=$DO128))</f>
        <v>3.7037037037037035E-4</v>
      </c>
      <c r="EX128" s="10" cm="1">
        <f t="array" aca="1" ref="EX128" ca="1">(1-$B$18)*SUMPRODUCT(OFFSET($BO$15,0,0,$B$14,1), 1*(_xlfn._xlws.FILTER(OFFSET($O$15,0,$DN128,$B$8,1),OFFSET($M$15,0,0,$B$8,1))=EX$13), 1*(_xlfn._xlws.FILTER(OFFSET($O$15,0,$DO128,$B$8,1),OFFSET($M$15,0,0,$B$8,1))=EX$14))   /   SUM(OFFSET($BO$15,0,0,$B$14,1)) + $B$18/($B$19*$B$19*($DN128&lt;&gt;$DO128) + $B$19*($DN128=$DO128))</f>
        <v>3.7037037037037035E-4</v>
      </c>
      <c r="EY128" s="10" cm="1">
        <f t="array" aca="1" ref="EY128" ca="1">(1-$B$18)*SUMPRODUCT(OFFSET($BO$15,0,0,$B$14,1), 1*(_xlfn._xlws.FILTER(OFFSET($O$15,0,$DN128,$B$8,1),OFFSET($M$15,0,0,$B$8,1))=EY$13), 1*(_xlfn._xlws.FILTER(OFFSET($O$15,0,$DO128,$B$8,1),OFFSET($M$15,0,0,$B$8,1))=EY$14))   /   SUM(OFFSET($BO$15,0,0,$B$14,1)) + $B$18/($B$19*$B$19*($DN128&lt;&gt;$DO128) + $B$19*($DN128=$DO128))</f>
        <v>3.7037037037037035E-4</v>
      </c>
      <c r="EZ128" s="10" cm="1">
        <f t="array" aca="1" ref="EZ128" ca="1">(1-$B$18)*SUMPRODUCT(OFFSET($BO$15,0,0,$B$14,1), 1*(_xlfn._xlws.FILTER(OFFSET($O$15,0,$DN128,$B$8,1),OFFSET($M$15,0,0,$B$8,1))=EZ$13), 1*(_xlfn._xlws.FILTER(OFFSET($O$15,0,$DO128,$B$8,1),OFFSET($M$15,0,0,$B$8,1))=EZ$14))   /   SUM(OFFSET($BO$15,0,0,$B$14,1)) + $B$18/($B$19*$B$19*($DN128&lt;&gt;$DO128) + $B$19*($DN128=$DO128))</f>
        <v>3.7037037037037035E-4</v>
      </c>
      <c r="FA128" s="10" cm="1">
        <f t="array" aca="1" ref="FA128" ca="1">(1-$B$18)*SUMPRODUCT(OFFSET($BO$15,0,0,$B$14,1), 1*(_xlfn._xlws.FILTER(OFFSET($O$15,0,$DN128,$B$8,1),OFFSET($M$15,0,0,$B$8,1))=FA$13), 1*(_xlfn._xlws.FILTER(OFFSET($O$15,0,$DO128,$B$8,1),OFFSET($M$15,0,0,$B$8,1))=FA$14))   /   SUM(OFFSET($BO$15,0,0,$B$14,1)) + $B$18/($B$19*$B$19*($DN128&lt;&gt;$DO128) + $B$19*($DN128=$DO128))</f>
        <v>3.7037037037037035E-4</v>
      </c>
      <c r="FB128" s="10" cm="1">
        <f t="array" aca="1" ref="FB128" ca="1">(1-$B$18)*SUMPRODUCT(OFFSET($BO$15,0,0,$B$14,1), 1*(_xlfn._xlws.FILTER(OFFSET($O$15,0,$DN128,$B$8,1),OFFSET($M$15,0,0,$B$8,1))=FB$13), 1*(_xlfn._xlws.FILTER(OFFSET($O$15,0,$DO128,$B$8,1),OFFSET($M$15,0,0,$B$8,1))=FB$14))   /   SUM(OFFSET($BO$15,0,0,$B$14,1)) + $B$18/($B$19*$B$19*($DN128&lt;&gt;$DO128) + $B$19*($DN128=$DO128))</f>
        <v>3.7037037037037035E-4</v>
      </c>
      <c r="FC128" s="10" cm="1">
        <f t="array" aca="1" ref="FC128" ca="1">(1-$B$18)*SUMPRODUCT(OFFSET($BO$15,0,0,$B$14,1), 1*(_xlfn._xlws.FILTER(OFFSET($O$15,0,$DN128,$B$8,1),OFFSET($M$15,0,0,$B$8,1))=FC$13), 1*(_xlfn._xlws.FILTER(OFFSET($O$15,0,$DO128,$B$8,1),OFFSET($M$15,0,0,$B$8,1))=FC$14))   /   SUM(OFFSET($BO$15,0,0,$B$14,1)) + $B$18/($B$19*$B$19*($DN128&lt;&gt;$DO128) + $B$19*($DN128=$DO128))</f>
        <v>3.7037037037037035E-4</v>
      </c>
      <c r="FD128" s="10" cm="1">
        <f t="array" aca="1" ref="FD128" ca="1">(1-$B$18)*SUMPRODUCT(OFFSET($BO$15,0,0,$B$14,1), 1*(_xlfn._xlws.FILTER(OFFSET($O$15,0,$DN128,$B$8,1),OFFSET($M$15,0,0,$B$8,1))=FD$13), 1*(_xlfn._xlws.FILTER(OFFSET($O$15,0,$DO128,$B$8,1),OFFSET($M$15,0,0,$B$8,1))=FD$14))   /   SUM(OFFSET($BO$15,0,0,$B$14,1)) + $B$18/($B$19*$B$19*($DN128&lt;&gt;$DO128) + $B$19*($DN128=$DO128))</f>
        <v>3.7037037037037035E-4</v>
      </c>
      <c r="FE128" s="10" cm="1">
        <f t="array" aca="1" ref="FE128" ca="1">(1-$B$18)*SUMPRODUCT(OFFSET($BO$15,0,0,$B$14,1), 1*(_xlfn._xlws.FILTER(OFFSET($O$15,0,$DN128,$B$8,1),OFFSET($M$15,0,0,$B$8,1))=FE$13), 1*(_xlfn._xlws.FILTER(OFFSET($O$15,0,$DO128,$B$8,1),OFFSET($M$15,0,0,$B$8,1))=FE$14))   /   SUM(OFFSET($BO$15,0,0,$B$14,1)) + $B$18/($B$19*$B$19*($DN128&lt;&gt;$DO128) + $B$19*($DN128=$DO128))</f>
        <v>3.7037037037037035E-4</v>
      </c>
      <c r="FF128" s="10" cm="1">
        <f t="array" aca="1" ref="FF128" ca="1">(1-$B$18)*SUMPRODUCT(OFFSET($BO$15,0,0,$B$14,1), 1*(_xlfn._xlws.FILTER(OFFSET($O$15,0,$DN128,$B$8,1),OFFSET($M$15,0,0,$B$8,1))=FF$13), 1*(_xlfn._xlws.FILTER(OFFSET($O$15,0,$DO128,$B$8,1),OFFSET($M$15,0,0,$B$8,1))=FF$14))   /   SUM(OFFSET($BO$15,0,0,$B$14,1)) + $B$18/($B$19*$B$19*($DN128&lt;&gt;$DO128) + $B$19*($DN128=$DO128))</f>
        <v>3.7037037037037035E-4</v>
      </c>
      <c r="FG128" s="10" cm="1">
        <f t="array" aca="1" ref="FG128" ca="1">(1-$B$18)*SUMPRODUCT(OFFSET($BO$15,0,0,$B$14,1), 1*(_xlfn._xlws.FILTER(OFFSET($O$15,0,$DN128,$B$8,1),OFFSET($M$15,0,0,$B$8,1))=FG$13), 1*(_xlfn._xlws.FILTER(OFFSET($O$15,0,$DO128,$B$8,1),OFFSET($M$15,0,0,$B$8,1))=FG$14))   /   SUM(OFFSET($BO$15,0,0,$B$14,1)) + $B$18/($B$19*$B$19*($DN128&lt;&gt;$DO128) + $B$19*($DN128=$DO128))</f>
        <v>3.7037037037037035E-4</v>
      </c>
      <c r="FH128" s="10" cm="1">
        <f t="array" aca="1" ref="FH128" ca="1">(1-$B$18)*SUMPRODUCT(OFFSET($BO$15,0,0,$B$14,1), 1*(_xlfn._xlws.FILTER(OFFSET($O$15,0,$DN128,$B$8,1),OFFSET($M$15,0,0,$B$8,1))=FH$13), 1*(_xlfn._xlws.FILTER(OFFSET($O$15,0,$DO128,$B$8,1),OFFSET($M$15,0,0,$B$8,1))=FH$14))   /   SUM(OFFSET($BO$15,0,0,$B$14,1)) + $B$18/($B$19*$B$19*($DN128&lt;&gt;$DO128) + $B$19*($DN128=$DO128))</f>
        <v>3.7037037037037035E-4</v>
      </c>
      <c r="FI128" s="10" cm="1">
        <f t="array" aca="1" ref="FI128" ca="1">(1-$B$18)*SUMPRODUCT(OFFSET($BO$15,0,0,$B$14,1), 1*(_xlfn._xlws.FILTER(OFFSET($O$15,0,$DN128,$B$8,1),OFFSET($M$15,0,0,$B$8,1))=FI$13), 1*(_xlfn._xlws.FILTER(OFFSET($O$15,0,$DO128,$B$8,1),OFFSET($M$15,0,0,$B$8,1))=FI$14))   /   SUM(OFFSET($BO$15,0,0,$B$14,1)) + $B$18/($B$19*$B$19*($DN128&lt;&gt;$DO128) + $B$19*($DN128=$DO128))</f>
        <v>3.7037037037037035E-4</v>
      </c>
      <c r="FJ128" s="10" cm="1">
        <f t="array" aca="1" ref="FJ128" ca="1">(1-$B$18)*SUMPRODUCT(OFFSET($BO$15,0,0,$B$14,1), 1*(_xlfn._xlws.FILTER(OFFSET($O$15,0,$DN128,$B$8,1),OFFSET($M$15,0,0,$B$8,1))=FJ$13), 1*(_xlfn._xlws.FILTER(OFFSET($O$15,0,$DO128,$B$8,1),OFFSET($M$15,0,0,$B$8,1))=FJ$14))   /   SUM(OFFSET($BO$15,0,0,$B$14,1)) + $B$18/($B$19*$B$19*($DN128&lt;&gt;$DO128) + $B$19*($DN128=$DO128))</f>
        <v>3.7037037037037035E-4</v>
      </c>
      <c r="FK128" s="10" cm="1">
        <f t="array" aca="1" ref="FK128" ca="1">(1-$B$18)*SUMPRODUCT(OFFSET($BO$15,0,0,$B$14,1), 1*(_xlfn._xlws.FILTER(OFFSET($O$15,0,$DN128,$B$8,1),OFFSET($M$15,0,0,$B$8,1))=FK$13), 1*(_xlfn._xlws.FILTER(OFFSET($O$15,0,$DO128,$B$8,1),OFFSET($M$15,0,0,$B$8,1))=FK$14))   /   SUM(OFFSET($BO$15,0,0,$B$14,1)) + $B$18/($B$19*$B$19*($DN128&lt;&gt;$DO128) + $B$19*($DN128=$DO128))</f>
        <v>3.7037037037037035E-4</v>
      </c>
      <c r="FL128" s="10" cm="1">
        <f t="array" aca="1" ref="FL128" ca="1">(1-$B$18)*SUMPRODUCT(OFFSET($BO$15,0,0,$B$14,1), 1*(_xlfn._xlws.FILTER(OFFSET($O$15,0,$DN128,$B$8,1),OFFSET($M$15,0,0,$B$8,1))=FL$13), 1*(_xlfn._xlws.FILTER(OFFSET($O$15,0,$DO128,$B$8,1),OFFSET($M$15,0,0,$B$8,1))=FL$14))   /   SUM(OFFSET($BO$15,0,0,$B$14,1)) + $B$18/($B$19*$B$19*($DN128&lt;&gt;$DO128) + $B$19*($DN128=$DO128))</f>
        <v>3.7037037037037035E-4</v>
      </c>
      <c r="FM128" s="10" cm="1">
        <f t="array" aca="1" ref="FM128" ca="1">(1-$B$18)*SUMPRODUCT(OFFSET($BO$15,0,0,$B$14,1), 1*(_xlfn._xlws.FILTER(OFFSET($O$15,0,$DN128,$B$8,1),OFFSET($M$15,0,0,$B$8,1))=FM$13), 1*(_xlfn._xlws.FILTER(OFFSET($O$15,0,$DO128,$B$8,1),OFFSET($M$15,0,0,$B$8,1))=FM$14))   /   SUM(OFFSET($BO$15,0,0,$B$14,1)) + $B$18/($B$19*$B$19*($DN128&lt;&gt;$DO128) + $B$19*($DN128=$DO128))</f>
        <v>3.7037037037037035E-4</v>
      </c>
      <c r="FN128" s="10" cm="1">
        <f t="array" aca="1" ref="FN128" ca="1">(1-$B$18)*SUMPRODUCT(OFFSET($BO$15,0,0,$B$14,1), 1*(_xlfn._xlws.FILTER(OFFSET($O$15,0,$DN128,$B$8,1),OFFSET($M$15,0,0,$B$8,1))=FN$13), 1*(_xlfn._xlws.FILTER(OFFSET($O$15,0,$DO128,$B$8,1),OFFSET($M$15,0,0,$B$8,1))=FN$14))   /   SUM(OFFSET($BO$15,0,0,$B$14,1)) + $B$18/($B$19*$B$19*($DN128&lt;&gt;$DO128) + $B$19*($DN128=$DO128))</f>
        <v>3.7037037037037035E-4</v>
      </c>
      <c r="FO128" s="10" cm="1">
        <f t="array" aca="1" ref="FO128" ca="1">(1-$B$18)*SUMPRODUCT(OFFSET($BO$15,0,0,$B$14,1), 1*(_xlfn._xlws.FILTER(OFFSET($O$15,0,$DN128,$B$8,1),OFFSET($M$15,0,0,$B$8,1))=FO$13), 1*(_xlfn._xlws.FILTER(OFFSET($O$15,0,$DO128,$B$8,1),OFFSET($M$15,0,0,$B$8,1))=FO$14))   /   SUM(OFFSET($BO$15,0,0,$B$14,1)) + $B$18/($B$19*$B$19*($DN128&lt;&gt;$DO128) + $B$19*($DN128=$DO128))</f>
        <v>3.7037037037037035E-4</v>
      </c>
      <c r="FP128" s="10" cm="1">
        <f t="array" aca="1" ref="FP128" ca="1">(1-$B$18)*SUMPRODUCT(OFFSET($BO$15,0,0,$B$14,1), 1*(_xlfn._xlws.FILTER(OFFSET($O$15,0,$DN128,$B$8,1),OFFSET($M$15,0,0,$B$8,1))=FP$13), 1*(_xlfn._xlws.FILTER(OFFSET($O$15,0,$DO128,$B$8,1),OFFSET($M$15,0,0,$B$8,1))=FP$14))   /   SUM(OFFSET($BO$15,0,0,$B$14,1)) + $B$18/($B$19*$B$19*($DN128&lt;&gt;$DO128) + $B$19*($DN128=$DO128))</f>
        <v>0.24287037037037024</v>
      </c>
      <c r="FQ128" s="10" cm="1">
        <f t="array" aca="1" ref="FQ128" ca="1">(1-$B$18)*SUMPRODUCT(OFFSET($BO$15,0,0,$B$14,1), 1*(_xlfn._xlws.FILTER(OFFSET($O$15,0,$DN128,$B$8,1),OFFSET($M$15,0,0,$B$8,1))=FQ$13), 1*(_xlfn._xlws.FILTER(OFFSET($O$15,0,$DO128,$B$8,1),OFFSET($M$15,0,0,$B$8,1))=FQ$14))   /   SUM(OFFSET($BO$15,0,0,$B$14,1)) + $B$18/($B$19*$B$19*($DN128&lt;&gt;$DO128) + $B$19*($DN128=$DO128))</f>
        <v>0.48537037037037012</v>
      </c>
      <c r="FR128" s="10" cm="1">
        <f t="array" aca="1" ref="FR128" ca="1">(1-$B$18)*SUMPRODUCT(OFFSET($BO$15,0,0,$B$14,1), 1*(_xlfn._xlws.FILTER(OFFSET($O$15,0,$DN128,$B$8,1),OFFSET($M$15,0,0,$B$8,1))=FR$13), 1*(_xlfn._xlws.FILTER(OFFSET($O$15,0,$DO128,$B$8,1),OFFSET($M$15,0,0,$B$8,1))=FR$14))   /   SUM(OFFSET($BO$15,0,0,$B$14,1)) + $B$18/($B$19*$B$19*($DN128&lt;&gt;$DO128) + $B$19*($DN128=$DO128))</f>
        <v>0.24287037037037026</v>
      </c>
      <c r="FS128" s="10" cm="1">
        <f t="array" aca="1" ref="FS128" ca="1">(1-$B$18)*SUMPRODUCT(OFFSET($BO$15,0,0,$B$14,1), 1*(_xlfn._xlws.FILTER(OFFSET($O$15,0,$DN128,$B$8,1),OFFSET($M$15,0,0,$B$8,1))=FS$13), 1*(_xlfn._xlws.FILTER(OFFSET($O$15,0,$DO128,$B$8,1),OFFSET($M$15,0,0,$B$8,1))=FS$14))   /   SUM(OFFSET($BO$15,0,0,$B$14,1)) + $B$18/($B$19*$B$19*($DN128&lt;&gt;$DO128) + $B$19*($DN128=$DO128))</f>
        <v>3.7037037037037035E-4</v>
      </c>
      <c r="FT128" s="10" cm="1">
        <f t="array" aca="1" ref="FT128" ca="1">(1-$B$18)*SUMPRODUCT(OFFSET($BO$15,0,0,$B$14,1), 1*(_xlfn._xlws.FILTER(OFFSET($O$15,0,$DN128,$B$8,1),OFFSET($M$15,0,0,$B$8,1))=FT$13), 1*(_xlfn._xlws.FILTER(OFFSET($O$15,0,$DO128,$B$8,1),OFFSET($M$15,0,0,$B$8,1))=FT$14))   /   SUM(OFFSET($BO$15,0,0,$B$14,1)) + $B$18/($B$19*$B$19*($DN128&lt;&gt;$DO128) + $B$19*($DN128=$DO128))</f>
        <v>3.7037037037037035E-4</v>
      </c>
      <c r="FU128" s="10" cm="1">
        <f t="array" aca="1" ref="FU128" ca="1">(1-$B$18)*SUMPRODUCT(OFFSET($BO$15,0,0,$B$14,1), 1*(_xlfn._xlws.FILTER(OFFSET($O$15,0,$DN128,$B$8,1),OFFSET($M$15,0,0,$B$8,1))=FU$13), 1*(_xlfn._xlws.FILTER(OFFSET($O$15,0,$DO128,$B$8,1),OFFSET($M$15,0,0,$B$8,1))=FU$14))   /   SUM(OFFSET($BO$15,0,0,$B$14,1)) + $B$18/($B$19*$B$19*($DN128&lt;&gt;$DO128) + $B$19*($DN128=$DO128))</f>
        <v>3.7037037037037035E-4</v>
      </c>
      <c r="FV128" s="10" cm="1">
        <f t="array" aca="1" ref="FV128" ca="1">(1-$B$18)*SUMPRODUCT(OFFSET($BO$15,0,0,$B$14,1), 1*(_xlfn._xlws.FILTER(OFFSET($O$15,0,$DN128,$B$8,1),OFFSET($M$15,0,0,$B$8,1))=FV$13), 1*(_xlfn._xlws.FILTER(OFFSET($O$15,0,$DO128,$B$8,1),OFFSET($M$15,0,0,$B$8,1))=FV$14))   /   SUM(OFFSET($BO$15,0,0,$B$14,1)) + $B$18/($B$19*$B$19*($DN128&lt;&gt;$DO128) + $B$19*($DN128=$DO128))</f>
        <v>3.7037037037037035E-4</v>
      </c>
      <c r="FW128" s="10" cm="1">
        <f t="array" aca="1" ref="FW128" ca="1">(1-$B$18)*SUMPRODUCT(OFFSET($BO$15,0,0,$B$14,1), 1*(_xlfn._xlws.FILTER(OFFSET($O$15,0,$DN128,$B$8,1),OFFSET($M$15,0,0,$B$8,1))=FW$13), 1*(_xlfn._xlws.FILTER(OFFSET($O$15,0,$DO128,$B$8,1),OFFSET($M$15,0,0,$B$8,1))=FW$14))   /   SUM(OFFSET($BO$15,0,0,$B$14,1)) + $B$18/($B$19*$B$19*($DN128&lt;&gt;$DO128) + $B$19*($DN128=$DO128))</f>
        <v>3.7037037037037035E-4</v>
      </c>
      <c r="FX128" s="10" cm="1">
        <f t="array" aca="1" ref="FX128" ca="1">(1-$B$18)*SUMPRODUCT(OFFSET($BO$15,0,0,$B$14,1), 1*(_xlfn._xlws.FILTER(OFFSET($O$15,0,$DN128,$B$8,1),OFFSET($M$15,0,0,$B$8,1))=FX$13), 1*(_xlfn._xlws.FILTER(OFFSET($O$15,0,$DO128,$B$8,1),OFFSET($M$15,0,0,$B$8,1))=FX$14))   /   SUM(OFFSET($BO$15,0,0,$B$14,1)) + $B$18/($B$19*$B$19*($DN128&lt;&gt;$DO128) + $B$19*($DN128=$DO128))</f>
        <v>3.7037037037037035E-4</v>
      </c>
      <c r="FY128" s="10" cm="1">
        <f t="array" aca="1" ref="FY128" ca="1">(1-$B$18)*SUMPRODUCT(OFFSET($BO$15,0,0,$B$14,1), 1*(_xlfn._xlws.FILTER(OFFSET($O$15,0,$DN128,$B$8,1),OFFSET($M$15,0,0,$B$8,1))=FY$13), 1*(_xlfn._xlws.FILTER(OFFSET($O$15,0,$DO128,$B$8,1),OFFSET($M$15,0,0,$B$8,1))=FY$14))   /   SUM(OFFSET($BO$15,0,0,$B$14,1)) + $B$18/($B$19*$B$19*($DN128&lt;&gt;$DO128) + $B$19*($DN128=$DO128))</f>
        <v>3.7037037037037035E-4</v>
      </c>
      <c r="FZ128" s="10" cm="1">
        <f t="array" aca="1" ref="FZ128" ca="1">(1-$B$18)*SUMPRODUCT(OFFSET($BO$15,0,0,$B$14,1), 1*(_xlfn._xlws.FILTER(OFFSET($O$15,0,$DN128,$B$8,1),OFFSET($M$15,0,0,$B$8,1))=FZ$13), 1*(_xlfn._xlws.FILTER(OFFSET($O$15,0,$DO128,$B$8,1),OFFSET($M$15,0,0,$B$8,1))=FZ$14))   /   SUM(OFFSET($BO$15,0,0,$B$14,1)) + $B$18/($B$19*$B$19*($DN128&lt;&gt;$DO128) + $B$19*($DN128=$DO128))</f>
        <v>3.7037037037037035E-4</v>
      </c>
      <c r="GA128" s="10" cm="1">
        <f t="array" aca="1" ref="GA128" ca="1">(1-$B$18)*SUMPRODUCT(OFFSET($BO$15,0,0,$B$14,1), 1*(_xlfn._xlws.FILTER(OFFSET($O$15,0,$DN128,$B$8,1),OFFSET($M$15,0,0,$B$8,1))=GA$13), 1*(_xlfn._xlws.FILTER(OFFSET($O$15,0,$DO128,$B$8,1),OFFSET($M$15,0,0,$B$8,1))=GA$14))   /   SUM(OFFSET($BO$15,0,0,$B$14,1)) + $B$18/($B$19*$B$19*($DN128&lt;&gt;$DO128) + $B$19*($DN128=$DO128))</f>
        <v>3.7037037037037035E-4</v>
      </c>
    </row>
    <row r="129" spans="7:183" x14ac:dyDescent="0.2">
      <c r="G129" s="2"/>
      <c r="H129" s="2"/>
      <c r="AH129" s="2"/>
      <c r="AI129" s="2"/>
      <c r="DN129" cm="1">
        <f t="array" aca="1" ref="DN129" ca="1">INDEX(_xlfn.ANCHORARRAY($CP$15), 1 + INT((ROWS($DO$15:$DO129) - 1) / ROWS(_xlfn.ANCHORARRAY($CP$15))))</f>
        <v>6</v>
      </c>
      <c r="DO129" cm="1">
        <f t="array" aca="1" ref="DO129" ca="1">INDEX(_xlfn.ANCHORARRAY($CP$15),1+MOD(ROWS($DO$15:$DO129)-1,ROWS(_xlfn.ANCHORARRAY($CP$15))))</f>
        <v>0</v>
      </c>
      <c r="DP129" s="10" cm="1">
        <f t="array" aca="1" ref="DP129" ca="1">(1-$B$18)*SUMPRODUCT(OFFSET($BO$15,0,0,$B$14,1), 1*(_xlfn._xlws.FILTER(OFFSET($O$15,0,$DN129,$B$8,1),OFFSET($M$15,0,0,$B$8,1))=DP$13), 1*(_xlfn._xlws.FILTER(OFFSET($O$15,0,$DO129,$B$8,1),OFFSET($M$15,0,0,$B$8,1))=DP$14))   /   SUM(OFFSET($BO$15,0,0,$B$14,1)) + $B$18/($B$19*$B$19*($DN129&lt;&gt;$DO129) + $B$19*($DN129=$DO129))</f>
        <v>3.7037037037037035E-4</v>
      </c>
      <c r="DQ129" s="10" cm="1">
        <f t="array" aca="1" ref="DQ129" ca="1">(1-$B$18)*SUMPRODUCT(OFFSET($BO$15,0,0,$B$14,1), 1*(_xlfn._xlws.FILTER(OFFSET($O$15,0,$DN129,$B$8,1),OFFSET($M$15,0,0,$B$8,1))=DQ$13), 1*(_xlfn._xlws.FILTER(OFFSET($O$15,0,$DO129,$B$8,1),OFFSET($M$15,0,0,$B$8,1))=DQ$14))   /   SUM(OFFSET($BO$15,0,0,$B$14,1)) + $B$18/($B$19*$B$19*($DN129&lt;&gt;$DO129) + $B$19*($DN129=$DO129))</f>
        <v>3.7037037037037035E-4</v>
      </c>
      <c r="DR129" s="10" cm="1">
        <f t="array" aca="1" ref="DR129" ca="1">(1-$B$18)*SUMPRODUCT(OFFSET($BO$15,0,0,$B$14,1), 1*(_xlfn._xlws.FILTER(OFFSET($O$15,0,$DN129,$B$8,1),OFFSET($M$15,0,0,$B$8,1))=DR$13), 1*(_xlfn._xlws.FILTER(OFFSET($O$15,0,$DO129,$B$8,1),OFFSET($M$15,0,0,$B$8,1))=DR$14))   /   SUM(OFFSET($BO$15,0,0,$B$14,1)) + $B$18/($B$19*$B$19*($DN129&lt;&gt;$DO129) + $B$19*($DN129=$DO129))</f>
        <v>3.7037037037037035E-4</v>
      </c>
      <c r="DS129" s="10" cm="1">
        <f t="array" aca="1" ref="DS129" ca="1">(1-$B$18)*SUMPRODUCT(OFFSET($BO$15,0,0,$B$14,1), 1*(_xlfn._xlws.FILTER(OFFSET($O$15,0,$DN129,$B$8,1),OFFSET($M$15,0,0,$B$8,1))=DS$13), 1*(_xlfn._xlws.FILTER(OFFSET($O$15,0,$DO129,$B$8,1),OFFSET($M$15,0,0,$B$8,1))=DS$14))   /   SUM(OFFSET($BO$15,0,0,$B$14,1)) + $B$18/($B$19*$B$19*($DN129&lt;&gt;$DO129) + $B$19*($DN129=$DO129))</f>
        <v>3.7037037037037035E-4</v>
      </c>
      <c r="DT129" s="10" cm="1">
        <f t="array" aca="1" ref="DT129" ca="1">(1-$B$18)*SUMPRODUCT(OFFSET($BO$15,0,0,$B$14,1), 1*(_xlfn._xlws.FILTER(OFFSET($O$15,0,$DN129,$B$8,1),OFFSET($M$15,0,0,$B$8,1))=DT$13), 1*(_xlfn._xlws.FILTER(OFFSET($O$15,0,$DO129,$B$8,1),OFFSET($M$15,0,0,$B$8,1))=DT$14))   /   SUM(OFFSET($BO$15,0,0,$B$14,1)) + $B$18/($B$19*$B$19*($DN129&lt;&gt;$DO129) + $B$19*($DN129=$DO129))</f>
        <v>3.7037037037037035E-4</v>
      </c>
      <c r="DU129" s="10" cm="1">
        <f t="array" aca="1" ref="DU129" ca="1">(1-$B$18)*SUMPRODUCT(OFFSET($BO$15,0,0,$B$14,1), 1*(_xlfn._xlws.FILTER(OFFSET($O$15,0,$DN129,$B$8,1),OFFSET($M$15,0,0,$B$8,1))=DU$13), 1*(_xlfn._xlws.FILTER(OFFSET($O$15,0,$DO129,$B$8,1),OFFSET($M$15,0,0,$B$8,1))=DU$14))   /   SUM(OFFSET($BO$15,0,0,$B$14,1)) + $B$18/($B$19*$B$19*($DN129&lt;&gt;$DO129) + $B$19*($DN129=$DO129))</f>
        <v>3.7037037037037035E-4</v>
      </c>
      <c r="DV129" s="10" cm="1">
        <f t="array" aca="1" ref="DV129" ca="1">(1-$B$18)*SUMPRODUCT(OFFSET($BO$15,0,0,$B$14,1), 1*(_xlfn._xlws.FILTER(OFFSET($O$15,0,$DN129,$B$8,1),OFFSET($M$15,0,0,$B$8,1))=DV$13), 1*(_xlfn._xlws.FILTER(OFFSET($O$15,0,$DO129,$B$8,1),OFFSET($M$15,0,0,$B$8,1))=DV$14))   /   SUM(OFFSET($BO$15,0,0,$B$14,1)) + $B$18/($B$19*$B$19*($DN129&lt;&gt;$DO129) + $B$19*($DN129=$DO129))</f>
        <v>3.7037037037037035E-4</v>
      </c>
      <c r="DW129" s="10" cm="1">
        <f t="array" aca="1" ref="DW129" ca="1">(1-$B$18)*SUMPRODUCT(OFFSET($BO$15,0,0,$B$14,1), 1*(_xlfn._xlws.FILTER(OFFSET($O$15,0,$DN129,$B$8,1),OFFSET($M$15,0,0,$B$8,1))=DW$13), 1*(_xlfn._xlws.FILTER(OFFSET($O$15,0,$DO129,$B$8,1),OFFSET($M$15,0,0,$B$8,1))=DW$14))   /   SUM(OFFSET($BO$15,0,0,$B$14,1)) + $B$18/($B$19*$B$19*($DN129&lt;&gt;$DO129) + $B$19*($DN129=$DO129))</f>
        <v>3.7037037037037035E-4</v>
      </c>
      <c r="DX129" s="10" cm="1">
        <f t="array" aca="1" ref="DX129" ca="1">(1-$B$18)*SUMPRODUCT(OFFSET($BO$15,0,0,$B$14,1), 1*(_xlfn._xlws.FILTER(OFFSET($O$15,0,$DN129,$B$8,1),OFFSET($M$15,0,0,$B$8,1))=DX$13), 1*(_xlfn._xlws.FILTER(OFFSET($O$15,0,$DO129,$B$8,1),OFFSET($M$15,0,0,$B$8,1))=DX$14))   /   SUM(OFFSET($BO$15,0,0,$B$14,1)) + $B$18/($B$19*$B$19*($DN129&lt;&gt;$DO129) + $B$19*($DN129=$DO129))</f>
        <v>3.7037037037037035E-4</v>
      </c>
      <c r="DY129" s="10" cm="1">
        <f t="array" aca="1" ref="DY129" ca="1">(1-$B$18)*SUMPRODUCT(OFFSET($BO$15,0,0,$B$14,1), 1*(_xlfn._xlws.FILTER(OFFSET($O$15,0,$DN129,$B$8,1),OFFSET($M$15,0,0,$B$8,1))=DY$13), 1*(_xlfn._xlws.FILTER(OFFSET($O$15,0,$DO129,$B$8,1),OFFSET($M$15,0,0,$B$8,1))=DY$14))   /   SUM(OFFSET($BO$15,0,0,$B$14,1)) + $B$18/($B$19*$B$19*($DN129&lt;&gt;$DO129) + $B$19*($DN129=$DO129))</f>
        <v>3.7037037037037035E-4</v>
      </c>
      <c r="DZ129" s="10" cm="1">
        <f t="array" aca="1" ref="DZ129" ca="1">(1-$B$18)*SUMPRODUCT(OFFSET($BO$15,0,0,$B$14,1), 1*(_xlfn._xlws.FILTER(OFFSET($O$15,0,$DN129,$B$8,1),OFFSET($M$15,0,0,$B$8,1))=DZ$13), 1*(_xlfn._xlws.FILTER(OFFSET($O$15,0,$DO129,$B$8,1),OFFSET($M$15,0,0,$B$8,1))=DZ$14))   /   SUM(OFFSET($BO$15,0,0,$B$14,1)) + $B$18/($B$19*$B$19*($DN129&lt;&gt;$DO129) + $B$19*($DN129=$DO129))</f>
        <v>3.7037037037037035E-4</v>
      </c>
      <c r="EA129" s="10" cm="1">
        <f t="array" aca="1" ref="EA129" ca="1">(1-$B$18)*SUMPRODUCT(OFFSET($BO$15,0,0,$B$14,1), 1*(_xlfn._xlws.FILTER(OFFSET($O$15,0,$DN129,$B$8,1),OFFSET($M$15,0,0,$B$8,1))=EA$13), 1*(_xlfn._xlws.FILTER(OFFSET($O$15,0,$DO129,$B$8,1),OFFSET($M$15,0,0,$B$8,1))=EA$14))   /   SUM(OFFSET($BO$15,0,0,$B$14,1)) + $B$18/($B$19*$B$19*($DN129&lt;&gt;$DO129) + $B$19*($DN129=$DO129))</f>
        <v>3.7037037037037035E-4</v>
      </c>
      <c r="EB129" s="10" cm="1">
        <f t="array" aca="1" ref="EB129" ca="1">(1-$B$18)*SUMPRODUCT(OFFSET($BO$15,0,0,$B$14,1), 1*(_xlfn._xlws.FILTER(OFFSET($O$15,0,$DN129,$B$8,1),OFFSET($M$15,0,0,$B$8,1))=EB$13), 1*(_xlfn._xlws.FILTER(OFFSET($O$15,0,$DO129,$B$8,1),OFFSET($M$15,0,0,$B$8,1))=EB$14))   /   SUM(OFFSET($BO$15,0,0,$B$14,1)) + $B$18/($B$19*$B$19*($DN129&lt;&gt;$DO129) + $B$19*($DN129=$DO129))</f>
        <v>3.7037037037037035E-4</v>
      </c>
      <c r="EC129" s="10" cm="1">
        <f t="array" aca="1" ref="EC129" ca="1">(1-$B$18)*SUMPRODUCT(OFFSET($BO$15,0,0,$B$14,1), 1*(_xlfn._xlws.FILTER(OFFSET($O$15,0,$DN129,$B$8,1),OFFSET($M$15,0,0,$B$8,1))=EC$13), 1*(_xlfn._xlws.FILTER(OFFSET($O$15,0,$DO129,$B$8,1),OFFSET($M$15,0,0,$B$8,1))=EC$14))   /   SUM(OFFSET($BO$15,0,0,$B$14,1)) + $B$18/($B$19*$B$19*($DN129&lt;&gt;$DO129) + $B$19*($DN129=$DO129))</f>
        <v>3.7037037037037035E-4</v>
      </c>
      <c r="ED129" s="10" cm="1">
        <f t="array" aca="1" ref="ED129" ca="1">(1-$B$18)*SUMPRODUCT(OFFSET($BO$15,0,0,$B$14,1), 1*(_xlfn._xlws.FILTER(OFFSET($O$15,0,$DN129,$B$8,1),OFFSET($M$15,0,0,$B$8,1))=ED$13), 1*(_xlfn._xlws.FILTER(OFFSET($O$15,0,$DO129,$B$8,1),OFFSET($M$15,0,0,$B$8,1))=ED$14))   /   SUM(OFFSET($BO$15,0,0,$B$14,1)) + $B$18/($B$19*$B$19*($DN129&lt;&gt;$DO129) + $B$19*($DN129=$DO129))</f>
        <v>3.7037037037037035E-4</v>
      </c>
      <c r="EE129" s="10" cm="1">
        <f t="array" aca="1" ref="EE129" ca="1">(1-$B$18)*SUMPRODUCT(OFFSET($BO$15,0,0,$B$14,1), 1*(_xlfn._xlws.FILTER(OFFSET($O$15,0,$DN129,$B$8,1),OFFSET($M$15,0,0,$B$8,1))=EE$13), 1*(_xlfn._xlws.FILTER(OFFSET($O$15,0,$DO129,$B$8,1),OFFSET($M$15,0,0,$B$8,1))=EE$14))   /   SUM(OFFSET($BO$15,0,0,$B$14,1)) + $B$18/($B$19*$B$19*($DN129&lt;&gt;$DO129) + $B$19*($DN129=$DO129))</f>
        <v>3.7037037037037035E-4</v>
      </c>
      <c r="EF129" s="10" cm="1">
        <f t="array" aca="1" ref="EF129" ca="1">(1-$B$18)*SUMPRODUCT(OFFSET($BO$15,0,0,$B$14,1), 1*(_xlfn._xlws.FILTER(OFFSET($O$15,0,$DN129,$B$8,1),OFFSET($M$15,0,0,$B$8,1))=EF$13), 1*(_xlfn._xlws.FILTER(OFFSET($O$15,0,$DO129,$B$8,1),OFFSET($M$15,0,0,$B$8,1))=EF$14))   /   SUM(OFFSET($BO$15,0,0,$B$14,1)) + $B$18/($B$19*$B$19*($DN129&lt;&gt;$DO129) + $B$19*($DN129=$DO129))</f>
        <v>3.7037037037037035E-4</v>
      </c>
      <c r="EG129" s="10" cm="1">
        <f t="array" aca="1" ref="EG129" ca="1">(1-$B$18)*SUMPRODUCT(OFFSET($BO$15,0,0,$B$14,1), 1*(_xlfn._xlws.FILTER(OFFSET($O$15,0,$DN129,$B$8,1),OFFSET($M$15,0,0,$B$8,1))=EG$13), 1*(_xlfn._xlws.FILTER(OFFSET($O$15,0,$DO129,$B$8,1),OFFSET($M$15,0,0,$B$8,1))=EG$14))   /   SUM(OFFSET($BO$15,0,0,$B$14,1)) + $B$18/($B$19*$B$19*($DN129&lt;&gt;$DO129) + $B$19*($DN129=$DO129))</f>
        <v>3.7037037037037035E-4</v>
      </c>
      <c r="EH129" s="10" cm="1">
        <f t="array" aca="1" ref="EH129" ca="1">(1-$B$18)*SUMPRODUCT(OFFSET($BO$15,0,0,$B$14,1), 1*(_xlfn._xlws.FILTER(OFFSET($O$15,0,$DN129,$B$8,1),OFFSET($M$15,0,0,$B$8,1))=EH$13), 1*(_xlfn._xlws.FILTER(OFFSET($O$15,0,$DO129,$B$8,1),OFFSET($M$15,0,0,$B$8,1))=EH$14))   /   SUM(OFFSET($BO$15,0,0,$B$14,1)) + $B$18/($B$19*$B$19*($DN129&lt;&gt;$DO129) + $B$19*($DN129=$DO129))</f>
        <v>3.7037037037037035E-4</v>
      </c>
      <c r="EI129" s="10" cm="1">
        <f t="array" aca="1" ref="EI129" ca="1">(1-$B$18)*SUMPRODUCT(OFFSET($BO$15,0,0,$B$14,1), 1*(_xlfn._xlws.FILTER(OFFSET($O$15,0,$DN129,$B$8,1),OFFSET($M$15,0,0,$B$8,1))=EI$13), 1*(_xlfn._xlws.FILTER(OFFSET($O$15,0,$DO129,$B$8,1),OFFSET($M$15,0,0,$B$8,1))=EI$14))   /   SUM(OFFSET($BO$15,0,0,$B$14,1)) + $B$18/($B$19*$B$19*($DN129&lt;&gt;$DO129) + $B$19*($DN129=$DO129))</f>
        <v>3.7037037037037035E-4</v>
      </c>
      <c r="EJ129" s="10" cm="1">
        <f t="array" aca="1" ref="EJ129" ca="1">(1-$B$18)*SUMPRODUCT(OFFSET($BO$15,0,0,$B$14,1), 1*(_xlfn._xlws.FILTER(OFFSET($O$15,0,$DN129,$B$8,1),OFFSET($M$15,0,0,$B$8,1))=EJ$13), 1*(_xlfn._xlws.FILTER(OFFSET($O$15,0,$DO129,$B$8,1),OFFSET($M$15,0,0,$B$8,1))=EJ$14))   /   SUM(OFFSET($BO$15,0,0,$B$14,1)) + $B$18/($B$19*$B$19*($DN129&lt;&gt;$DO129) + $B$19*($DN129=$DO129))</f>
        <v>3.7037037037037035E-4</v>
      </c>
      <c r="EK129" s="10" cm="1">
        <f t="array" aca="1" ref="EK129" ca="1">(1-$B$18)*SUMPRODUCT(OFFSET($BO$15,0,0,$B$14,1), 1*(_xlfn._xlws.FILTER(OFFSET($O$15,0,$DN129,$B$8,1),OFFSET($M$15,0,0,$B$8,1))=EK$13), 1*(_xlfn._xlws.FILTER(OFFSET($O$15,0,$DO129,$B$8,1),OFFSET($M$15,0,0,$B$8,1))=EK$14))   /   SUM(OFFSET($BO$15,0,0,$B$14,1)) + $B$18/($B$19*$B$19*($DN129&lt;&gt;$DO129) + $B$19*($DN129=$DO129))</f>
        <v>3.7037037037037035E-4</v>
      </c>
      <c r="EL129" s="10" cm="1">
        <f t="array" aca="1" ref="EL129" ca="1">(1-$B$18)*SUMPRODUCT(OFFSET($BO$15,0,0,$B$14,1), 1*(_xlfn._xlws.FILTER(OFFSET($O$15,0,$DN129,$B$8,1),OFFSET($M$15,0,0,$B$8,1))=EL$13), 1*(_xlfn._xlws.FILTER(OFFSET($O$15,0,$DO129,$B$8,1),OFFSET($M$15,0,0,$B$8,1))=EL$14))   /   SUM(OFFSET($BO$15,0,0,$B$14,1)) + $B$18/($B$19*$B$19*($DN129&lt;&gt;$DO129) + $B$19*($DN129=$DO129))</f>
        <v>3.7037037037037035E-4</v>
      </c>
      <c r="EM129" s="10" cm="1">
        <f t="array" aca="1" ref="EM129" ca="1">(1-$B$18)*SUMPRODUCT(OFFSET($BO$15,0,0,$B$14,1), 1*(_xlfn._xlws.FILTER(OFFSET($O$15,0,$DN129,$B$8,1),OFFSET($M$15,0,0,$B$8,1))=EM$13), 1*(_xlfn._xlws.FILTER(OFFSET($O$15,0,$DO129,$B$8,1),OFFSET($M$15,0,0,$B$8,1))=EM$14))   /   SUM(OFFSET($BO$15,0,0,$B$14,1)) + $B$18/($B$19*$B$19*($DN129&lt;&gt;$DO129) + $B$19*($DN129=$DO129))</f>
        <v>3.7037037037037035E-4</v>
      </c>
      <c r="EN129" s="10" cm="1">
        <f t="array" aca="1" ref="EN129" ca="1">(1-$B$18)*SUMPRODUCT(OFFSET($BO$15,0,0,$B$14,1), 1*(_xlfn._xlws.FILTER(OFFSET($O$15,0,$DN129,$B$8,1),OFFSET($M$15,0,0,$B$8,1))=EN$13), 1*(_xlfn._xlws.FILTER(OFFSET($O$15,0,$DO129,$B$8,1),OFFSET($M$15,0,0,$B$8,1))=EN$14))   /   SUM(OFFSET($BO$15,0,0,$B$14,1)) + $B$18/($B$19*$B$19*($DN129&lt;&gt;$DO129) + $B$19*($DN129=$DO129))</f>
        <v>3.7037037037037035E-4</v>
      </c>
      <c r="EO129" s="10" cm="1">
        <f t="array" aca="1" ref="EO129" ca="1">(1-$B$18)*SUMPRODUCT(OFFSET($BO$15,0,0,$B$14,1), 1*(_xlfn._xlws.FILTER(OFFSET($O$15,0,$DN129,$B$8,1),OFFSET($M$15,0,0,$B$8,1))=EO$13), 1*(_xlfn._xlws.FILTER(OFFSET($O$15,0,$DO129,$B$8,1),OFFSET($M$15,0,0,$B$8,1))=EO$14))   /   SUM(OFFSET($BO$15,0,0,$B$14,1)) + $B$18/($B$19*$B$19*($DN129&lt;&gt;$DO129) + $B$19*($DN129=$DO129))</f>
        <v>3.7037037037037035E-4</v>
      </c>
      <c r="EP129" s="10" cm="1">
        <f t="array" aca="1" ref="EP129" ca="1">(1-$B$18)*SUMPRODUCT(OFFSET($BO$15,0,0,$B$14,1), 1*(_xlfn._xlws.FILTER(OFFSET($O$15,0,$DN129,$B$8,1),OFFSET($M$15,0,0,$B$8,1))=EP$13), 1*(_xlfn._xlws.FILTER(OFFSET($O$15,0,$DO129,$B$8,1),OFFSET($M$15,0,0,$B$8,1))=EP$14))   /   SUM(OFFSET($BO$15,0,0,$B$14,1)) + $B$18/($B$19*$B$19*($DN129&lt;&gt;$DO129) + $B$19*($DN129=$DO129))</f>
        <v>3.7037037037037035E-4</v>
      </c>
      <c r="EQ129" s="10" cm="1">
        <f t="array" aca="1" ref="EQ129" ca="1">(1-$B$18)*SUMPRODUCT(OFFSET($BO$15,0,0,$B$14,1), 1*(_xlfn._xlws.FILTER(OFFSET($O$15,0,$DN129,$B$8,1),OFFSET($M$15,0,0,$B$8,1))=EQ$13), 1*(_xlfn._xlws.FILTER(OFFSET($O$15,0,$DO129,$B$8,1),OFFSET($M$15,0,0,$B$8,1))=EQ$14))   /   SUM(OFFSET($BO$15,0,0,$B$14,1)) + $B$18/($B$19*$B$19*($DN129&lt;&gt;$DO129) + $B$19*($DN129=$DO129))</f>
        <v>3.7037037037037035E-4</v>
      </c>
      <c r="ER129" s="10" cm="1">
        <f t="array" aca="1" ref="ER129" ca="1">(1-$B$18)*SUMPRODUCT(OFFSET($BO$15,0,0,$B$14,1), 1*(_xlfn._xlws.FILTER(OFFSET($O$15,0,$DN129,$B$8,1),OFFSET($M$15,0,0,$B$8,1))=ER$13), 1*(_xlfn._xlws.FILTER(OFFSET($O$15,0,$DO129,$B$8,1),OFFSET($M$15,0,0,$B$8,1))=ER$14))   /   SUM(OFFSET($BO$15,0,0,$B$14,1)) + $B$18/($B$19*$B$19*($DN129&lt;&gt;$DO129) + $B$19*($DN129=$DO129))</f>
        <v>3.7037037037037035E-4</v>
      </c>
      <c r="ES129" s="10" cm="1">
        <f t="array" aca="1" ref="ES129" ca="1">(1-$B$18)*SUMPRODUCT(OFFSET($BO$15,0,0,$B$14,1), 1*(_xlfn._xlws.FILTER(OFFSET($O$15,0,$DN129,$B$8,1),OFFSET($M$15,0,0,$B$8,1))=ES$13), 1*(_xlfn._xlws.FILTER(OFFSET($O$15,0,$DO129,$B$8,1),OFFSET($M$15,0,0,$B$8,1))=ES$14))   /   SUM(OFFSET($BO$15,0,0,$B$14,1)) + $B$18/($B$19*$B$19*($DN129&lt;&gt;$DO129) + $B$19*($DN129=$DO129))</f>
        <v>3.7037037037037035E-4</v>
      </c>
      <c r="ET129" s="10" cm="1">
        <f t="array" aca="1" ref="ET129" ca="1">(1-$B$18)*SUMPRODUCT(OFFSET($BO$15,0,0,$B$14,1), 1*(_xlfn._xlws.FILTER(OFFSET($O$15,0,$DN129,$B$8,1),OFFSET($M$15,0,0,$B$8,1))=ET$13), 1*(_xlfn._xlws.FILTER(OFFSET($O$15,0,$DO129,$B$8,1),OFFSET($M$15,0,0,$B$8,1))=ET$14))   /   SUM(OFFSET($BO$15,0,0,$B$14,1)) + $B$18/($B$19*$B$19*($DN129&lt;&gt;$DO129) + $B$19*($DN129=$DO129))</f>
        <v>3.7037037037037035E-4</v>
      </c>
      <c r="EU129" s="10" cm="1">
        <f t="array" aca="1" ref="EU129" ca="1">(1-$B$18)*SUMPRODUCT(OFFSET($BO$15,0,0,$B$14,1), 1*(_xlfn._xlws.FILTER(OFFSET($O$15,0,$DN129,$B$8,1),OFFSET($M$15,0,0,$B$8,1))=EU$13), 1*(_xlfn._xlws.FILTER(OFFSET($O$15,0,$DO129,$B$8,1),OFFSET($M$15,0,0,$B$8,1))=EU$14))   /   SUM(OFFSET($BO$15,0,0,$B$14,1)) + $B$18/($B$19*$B$19*($DN129&lt;&gt;$DO129) + $B$19*($DN129=$DO129))</f>
        <v>3.7037037037037035E-4</v>
      </c>
      <c r="EV129" s="10" cm="1">
        <f t="array" aca="1" ref="EV129" ca="1">(1-$B$18)*SUMPRODUCT(OFFSET($BO$15,0,0,$B$14,1), 1*(_xlfn._xlws.FILTER(OFFSET($O$15,0,$DN129,$B$8,1),OFFSET($M$15,0,0,$B$8,1))=EV$13), 1*(_xlfn._xlws.FILTER(OFFSET($O$15,0,$DO129,$B$8,1),OFFSET($M$15,0,0,$B$8,1))=EV$14))   /   SUM(OFFSET($BO$15,0,0,$B$14,1)) + $B$18/($B$19*$B$19*($DN129&lt;&gt;$DO129) + $B$19*($DN129=$DO129))</f>
        <v>3.7037037037037035E-4</v>
      </c>
      <c r="EW129" s="10" cm="1">
        <f t="array" aca="1" ref="EW129" ca="1">(1-$B$18)*SUMPRODUCT(OFFSET($BO$15,0,0,$B$14,1), 1*(_xlfn._xlws.FILTER(OFFSET($O$15,0,$DN129,$B$8,1),OFFSET($M$15,0,0,$B$8,1))=EW$13), 1*(_xlfn._xlws.FILTER(OFFSET($O$15,0,$DO129,$B$8,1),OFFSET($M$15,0,0,$B$8,1))=EW$14))   /   SUM(OFFSET($BO$15,0,0,$B$14,1)) + $B$18/($B$19*$B$19*($DN129&lt;&gt;$DO129) + $B$19*($DN129=$DO129))</f>
        <v>3.7037037037037035E-4</v>
      </c>
      <c r="EX129" s="10" cm="1">
        <f t="array" aca="1" ref="EX129" ca="1">(1-$B$18)*SUMPRODUCT(OFFSET($BO$15,0,0,$B$14,1), 1*(_xlfn._xlws.FILTER(OFFSET($O$15,0,$DN129,$B$8,1),OFFSET($M$15,0,0,$B$8,1))=EX$13), 1*(_xlfn._xlws.FILTER(OFFSET($O$15,0,$DO129,$B$8,1),OFFSET($M$15,0,0,$B$8,1))=EX$14))   /   SUM(OFFSET($BO$15,0,0,$B$14,1)) + $B$18/($B$19*$B$19*($DN129&lt;&gt;$DO129) + $B$19*($DN129=$DO129))</f>
        <v>3.7037037037037035E-4</v>
      </c>
      <c r="EY129" s="10" cm="1">
        <f t="array" aca="1" ref="EY129" ca="1">(1-$B$18)*SUMPRODUCT(OFFSET($BO$15,0,0,$B$14,1), 1*(_xlfn._xlws.FILTER(OFFSET($O$15,0,$DN129,$B$8,1),OFFSET($M$15,0,0,$B$8,1))=EY$13), 1*(_xlfn._xlws.FILTER(OFFSET($O$15,0,$DO129,$B$8,1),OFFSET($M$15,0,0,$B$8,1))=EY$14))   /   SUM(OFFSET($BO$15,0,0,$B$14,1)) + $B$18/($B$19*$B$19*($DN129&lt;&gt;$DO129) + $B$19*($DN129=$DO129))</f>
        <v>3.7037037037037035E-4</v>
      </c>
      <c r="EZ129" s="10" cm="1">
        <f t="array" aca="1" ref="EZ129" ca="1">(1-$B$18)*SUMPRODUCT(OFFSET($BO$15,0,0,$B$14,1), 1*(_xlfn._xlws.FILTER(OFFSET($O$15,0,$DN129,$B$8,1),OFFSET($M$15,0,0,$B$8,1))=EZ$13), 1*(_xlfn._xlws.FILTER(OFFSET($O$15,0,$DO129,$B$8,1),OFFSET($M$15,0,0,$B$8,1))=EZ$14))   /   SUM(OFFSET($BO$15,0,0,$B$14,1)) + $B$18/($B$19*$B$19*($DN129&lt;&gt;$DO129) + $B$19*($DN129=$DO129))</f>
        <v>3.7037037037037035E-4</v>
      </c>
      <c r="FA129" s="10" cm="1">
        <f t="array" aca="1" ref="FA129" ca="1">(1-$B$18)*SUMPRODUCT(OFFSET($BO$15,0,0,$B$14,1), 1*(_xlfn._xlws.FILTER(OFFSET($O$15,0,$DN129,$B$8,1),OFFSET($M$15,0,0,$B$8,1))=FA$13), 1*(_xlfn._xlws.FILTER(OFFSET($O$15,0,$DO129,$B$8,1),OFFSET($M$15,0,0,$B$8,1))=FA$14))   /   SUM(OFFSET($BO$15,0,0,$B$14,1)) + $B$18/($B$19*$B$19*($DN129&lt;&gt;$DO129) + $B$19*($DN129=$DO129))</f>
        <v>3.7037037037037035E-4</v>
      </c>
      <c r="FB129" s="10" cm="1">
        <f t="array" aca="1" ref="FB129" ca="1">(1-$B$18)*SUMPRODUCT(OFFSET($BO$15,0,0,$B$14,1), 1*(_xlfn._xlws.FILTER(OFFSET($O$15,0,$DN129,$B$8,1),OFFSET($M$15,0,0,$B$8,1))=FB$13), 1*(_xlfn._xlws.FILTER(OFFSET($O$15,0,$DO129,$B$8,1),OFFSET($M$15,0,0,$B$8,1))=FB$14))   /   SUM(OFFSET($BO$15,0,0,$B$14,1)) + $B$18/($B$19*$B$19*($DN129&lt;&gt;$DO129) + $B$19*($DN129=$DO129))</f>
        <v>3.7037037037037035E-4</v>
      </c>
      <c r="FC129" s="10" cm="1">
        <f t="array" aca="1" ref="FC129" ca="1">(1-$B$18)*SUMPRODUCT(OFFSET($BO$15,0,0,$B$14,1), 1*(_xlfn._xlws.FILTER(OFFSET($O$15,0,$DN129,$B$8,1),OFFSET($M$15,0,0,$B$8,1))=FC$13), 1*(_xlfn._xlws.FILTER(OFFSET($O$15,0,$DO129,$B$8,1),OFFSET($M$15,0,0,$B$8,1))=FC$14))   /   SUM(OFFSET($BO$15,0,0,$B$14,1)) + $B$18/($B$19*$B$19*($DN129&lt;&gt;$DO129) + $B$19*($DN129=$DO129))</f>
        <v>3.7037037037037035E-4</v>
      </c>
      <c r="FD129" s="10" cm="1">
        <f t="array" aca="1" ref="FD129" ca="1">(1-$B$18)*SUMPRODUCT(OFFSET($BO$15,0,0,$B$14,1), 1*(_xlfn._xlws.FILTER(OFFSET($O$15,0,$DN129,$B$8,1),OFFSET($M$15,0,0,$B$8,1))=FD$13), 1*(_xlfn._xlws.FILTER(OFFSET($O$15,0,$DO129,$B$8,1),OFFSET($M$15,0,0,$B$8,1))=FD$14))   /   SUM(OFFSET($BO$15,0,0,$B$14,1)) + $B$18/($B$19*$B$19*($DN129&lt;&gt;$DO129) + $B$19*($DN129=$DO129))</f>
        <v>3.7037037037037035E-4</v>
      </c>
      <c r="FE129" s="10" cm="1">
        <f t="array" aca="1" ref="FE129" ca="1">(1-$B$18)*SUMPRODUCT(OFFSET($BO$15,0,0,$B$14,1), 1*(_xlfn._xlws.FILTER(OFFSET($O$15,0,$DN129,$B$8,1),OFFSET($M$15,0,0,$B$8,1))=FE$13), 1*(_xlfn._xlws.FILTER(OFFSET($O$15,0,$DO129,$B$8,1),OFFSET($M$15,0,0,$B$8,1))=FE$14))   /   SUM(OFFSET($BO$15,0,0,$B$14,1)) + $B$18/($B$19*$B$19*($DN129&lt;&gt;$DO129) + $B$19*($DN129=$DO129))</f>
        <v>3.7037037037037035E-4</v>
      </c>
      <c r="FF129" s="10" cm="1">
        <f t="array" aca="1" ref="FF129" ca="1">(1-$B$18)*SUMPRODUCT(OFFSET($BO$15,0,0,$B$14,1), 1*(_xlfn._xlws.FILTER(OFFSET($O$15,0,$DN129,$B$8,1),OFFSET($M$15,0,0,$B$8,1))=FF$13), 1*(_xlfn._xlws.FILTER(OFFSET($O$15,0,$DO129,$B$8,1),OFFSET($M$15,0,0,$B$8,1))=FF$14))   /   SUM(OFFSET($BO$15,0,0,$B$14,1)) + $B$18/($B$19*$B$19*($DN129&lt;&gt;$DO129) + $B$19*($DN129=$DO129))</f>
        <v>3.7037037037037035E-4</v>
      </c>
      <c r="FG129" s="10" cm="1">
        <f t="array" aca="1" ref="FG129" ca="1">(1-$B$18)*SUMPRODUCT(OFFSET($BO$15,0,0,$B$14,1), 1*(_xlfn._xlws.FILTER(OFFSET($O$15,0,$DN129,$B$8,1),OFFSET($M$15,0,0,$B$8,1))=FG$13), 1*(_xlfn._xlws.FILTER(OFFSET($O$15,0,$DO129,$B$8,1),OFFSET($M$15,0,0,$B$8,1))=FG$14))   /   SUM(OFFSET($BO$15,0,0,$B$14,1)) + $B$18/($B$19*$B$19*($DN129&lt;&gt;$DO129) + $B$19*($DN129=$DO129))</f>
        <v>3.7037037037037035E-4</v>
      </c>
      <c r="FH129" s="10" cm="1">
        <f t="array" aca="1" ref="FH129" ca="1">(1-$B$18)*SUMPRODUCT(OFFSET($BO$15,0,0,$B$14,1), 1*(_xlfn._xlws.FILTER(OFFSET($O$15,0,$DN129,$B$8,1),OFFSET($M$15,0,0,$B$8,1))=FH$13), 1*(_xlfn._xlws.FILTER(OFFSET($O$15,0,$DO129,$B$8,1),OFFSET($M$15,0,0,$B$8,1))=FH$14))   /   SUM(OFFSET($BO$15,0,0,$B$14,1)) + $B$18/($B$19*$B$19*($DN129&lt;&gt;$DO129) + $B$19*($DN129=$DO129))</f>
        <v>3.7037037037037035E-4</v>
      </c>
      <c r="FI129" s="10" cm="1">
        <f t="array" aca="1" ref="FI129" ca="1">(1-$B$18)*SUMPRODUCT(OFFSET($BO$15,0,0,$B$14,1), 1*(_xlfn._xlws.FILTER(OFFSET($O$15,0,$DN129,$B$8,1),OFFSET($M$15,0,0,$B$8,1))=FI$13), 1*(_xlfn._xlws.FILTER(OFFSET($O$15,0,$DO129,$B$8,1),OFFSET($M$15,0,0,$B$8,1))=FI$14))   /   SUM(OFFSET($BO$15,0,0,$B$14,1)) + $B$18/($B$19*$B$19*($DN129&lt;&gt;$DO129) + $B$19*($DN129=$DO129))</f>
        <v>3.7037037037037035E-4</v>
      </c>
      <c r="FJ129" s="10" cm="1">
        <f t="array" aca="1" ref="FJ129" ca="1">(1-$B$18)*SUMPRODUCT(OFFSET($BO$15,0,0,$B$14,1), 1*(_xlfn._xlws.FILTER(OFFSET($O$15,0,$DN129,$B$8,1),OFFSET($M$15,0,0,$B$8,1))=FJ$13), 1*(_xlfn._xlws.FILTER(OFFSET($O$15,0,$DO129,$B$8,1),OFFSET($M$15,0,0,$B$8,1))=FJ$14))   /   SUM(OFFSET($BO$15,0,0,$B$14,1)) + $B$18/($B$19*$B$19*($DN129&lt;&gt;$DO129) + $B$19*($DN129=$DO129))</f>
        <v>3.7037037037037035E-4</v>
      </c>
      <c r="FK129" s="10" cm="1">
        <f t="array" aca="1" ref="FK129" ca="1">(1-$B$18)*SUMPRODUCT(OFFSET($BO$15,0,0,$B$14,1), 1*(_xlfn._xlws.FILTER(OFFSET($O$15,0,$DN129,$B$8,1),OFFSET($M$15,0,0,$B$8,1))=FK$13), 1*(_xlfn._xlws.FILTER(OFFSET($O$15,0,$DO129,$B$8,1),OFFSET($M$15,0,0,$B$8,1))=FK$14))   /   SUM(OFFSET($BO$15,0,0,$B$14,1)) + $B$18/($B$19*$B$19*($DN129&lt;&gt;$DO129) + $B$19*($DN129=$DO129))</f>
        <v>3.7037037037037035E-4</v>
      </c>
      <c r="FL129" s="10" cm="1">
        <f t="array" aca="1" ref="FL129" ca="1">(1-$B$18)*SUMPRODUCT(OFFSET($BO$15,0,0,$B$14,1), 1*(_xlfn._xlws.FILTER(OFFSET($O$15,0,$DN129,$B$8,1),OFFSET($M$15,0,0,$B$8,1))=FL$13), 1*(_xlfn._xlws.FILTER(OFFSET($O$15,0,$DO129,$B$8,1),OFFSET($M$15,0,0,$B$8,1))=FL$14))   /   SUM(OFFSET($BO$15,0,0,$B$14,1)) + $B$18/($B$19*$B$19*($DN129&lt;&gt;$DO129) + $B$19*($DN129=$DO129))</f>
        <v>3.7037037037037035E-4</v>
      </c>
      <c r="FM129" s="10" cm="1">
        <f t="array" aca="1" ref="FM129" ca="1">(1-$B$18)*SUMPRODUCT(OFFSET($BO$15,0,0,$B$14,1), 1*(_xlfn._xlws.FILTER(OFFSET($O$15,0,$DN129,$B$8,1),OFFSET($M$15,0,0,$B$8,1))=FM$13), 1*(_xlfn._xlws.FILTER(OFFSET($O$15,0,$DO129,$B$8,1),OFFSET($M$15,0,0,$B$8,1))=FM$14))   /   SUM(OFFSET($BO$15,0,0,$B$14,1)) + $B$18/($B$19*$B$19*($DN129&lt;&gt;$DO129) + $B$19*($DN129=$DO129))</f>
        <v>3.7037037037037035E-4</v>
      </c>
      <c r="FN129" s="10" cm="1">
        <f t="array" aca="1" ref="FN129" ca="1">(1-$B$18)*SUMPRODUCT(OFFSET($BO$15,0,0,$B$14,1), 1*(_xlfn._xlws.FILTER(OFFSET($O$15,0,$DN129,$B$8,1),OFFSET($M$15,0,0,$B$8,1))=FN$13), 1*(_xlfn._xlws.FILTER(OFFSET($O$15,0,$DO129,$B$8,1),OFFSET($M$15,0,0,$B$8,1))=FN$14))   /   SUM(OFFSET($BO$15,0,0,$B$14,1)) + $B$18/($B$19*$B$19*($DN129&lt;&gt;$DO129) + $B$19*($DN129=$DO129))</f>
        <v>3.7037037037037035E-4</v>
      </c>
      <c r="FO129" s="10" cm="1">
        <f t="array" aca="1" ref="FO129" ca="1">(1-$B$18)*SUMPRODUCT(OFFSET($BO$15,0,0,$B$14,1), 1*(_xlfn._xlws.FILTER(OFFSET($O$15,0,$DN129,$B$8,1),OFFSET($M$15,0,0,$B$8,1))=FO$13), 1*(_xlfn._xlws.FILTER(OFFSET($O$15,0,$DO129,$B$8,1),OFFSET($M$15,0,0,$B$8,1))=FO$14))   /   SUM(OFFSET($BO$15,0,0,$B$14,1)) + $B$18/($B$19*$B$19*($DN129&lt;&gt;$DO129) + $B$19*($DN129=$DO129))</f>
        <v>3.7037037037037035E-4</v>
      </c>
      <c r="FP129" s="10" cm="1">
        <f t="array" aca="1" ref="FP129" ca="1">(1-$B$18)*SUMPRODUCT(OFFSET($BO$15,0,0,$B$14,1), 1*(_xlfn._xlws.FILTER(OFFSET($O$15,0,$DN129,$B$8,1),OFFSET($M$15,0,0,$B$8,1))=FP$13), 1*(_xlfn._xlws.FILTER(OFFSET($O$15,0,$DO129,$B$8,1),OFFSET($M$15,0,0,$B$8,1))=FP$14))   /   SUM(OFFSET($BO$15,0,0,$B$14,1)) + $B$18/($B$19*$B$19*($DN129&lt;&gt;$DO129) + $B$19*($DN129=$DO129))</f>
        <v>3.7037037037037035E-4</v>
      </c>
      <c r="FQ129" s="10" cm="1">
        <f t="array" aca="1" ref="FQ129" ca="1">(1-$B$18)*SUMPRODUCT(OFFSET($BO$15,0,0,$B$14,1), 1*(_xlfn._xlws.FILTER(OFFSET($O$15,0,$DN129,$B$8,1),OFFSET($M$15,0,0,$B$8,1))=FQ$13), 1*(_xlfn._xlws.FILTER(OFFSET($O$15,0,$DO129,$B$8,1),OFFSET($M$15,0,0,$B$8,1))=FQ$14))   /   SUM(OFFSET($BO$15,0,0,$B$14,1)) + $B$18/($B$19*$B$19*($DN129&lt;&gt;$DO129) + $B$19*($DN129=$DO129))</f>
        <v>3.7037037037037035E-4</v>
      </c>
      <c r="FR129" s="10" cm="1">
        <f t="array" aca="1" ref="FR129" ca="1">(1-$B$18)*SUMPRODUCT(OFFSET($BO$15,0,0,$B$14,1), 1*(_xlfn._xlws.FILTER(OFFSET($O$15,0,$DN129,$B$8,1),OFFSET($M$15,0,0,$B$8,1))=FR$13), 1*(_xlfn._xlws.FILTER(OFFSET($O$15,0,$DO129,$B$8,1),OFFSET($M$15,0,0,$B$8,1))=FR$14))   /   SUM(OFFSET($BO$15,0,0,$B$14,1)) + $B$18/($B$19*$B$19*($DN129&lt;&gt;$DO129) + $B$19*($DN129=$DO129))</f>
        <v>0.97037037037037033</v>
      </c>
      <c r="FS129" s="10" cm="1">
        <f t="array" aca="1" ref="FS129" ca="1">(1-$B$18)*SUMPRODUCT(OFFSET($BO$15,0,0,$B$14,1), 1*(_xlfn._xlws.FILTER(OFFSET($O$15,0,$DN129,$B$8,1),OFFSET($M$15,0,0,$B$8,1))=FS$13), 1*(_xlfn._xlws.FILTER(OFFSET($O$15,0,$DO129,$B$8,1),OFFSET($M$15,0,0,$B$8,1))=FS$14))   /   SUM(OFFSET($BO$15,0,0,$B$14,1)) + $B$18/($B$19*$B$19*($DN129&lt;&gt;$DO129) + $B$19*($DN129=$DO129))</f>
        <v>3.7037037037037035E-4</v>
      </c>
      <c r="FT129" s="10" cm="1">
        <f t="array" aca="1" ref="FT129" ca="1">(1-$B$18)*SUMPRODUCT(OFFSET($BO$15,0,0,$B$14,1), 1*(_xlfn._xlws.FILTER(OFFSET($O$15,0,$DN129,$B$8,1),OFFSET($M$15,0,0,$B$8,1))=FT$13), 1*(_xlfn._xlws.FILTER(OFFSET($O$15,0,$DO129,$B$8,1),OFFSET($M$15,0,0,$B$8,1))=FT$14))   /   SUM(OFFSET($BO$15,0,0,$B$14,1)) + $B$18/($B$19*$B$19*($DN129&lt;&gt;$DO129) + $B$19*($DN129=$DO129))</f>
        <v>3.7037037037037035E-4</v>
      </c>
      <c r="FU129" s="10" cm="1">
        <f t="array" aca="1" ref="FU129" ca="1">(1-$B$18)*SUMPRODUCT(OFFSET($BO$15,0,0,$B$14,1), 1*(_xlfn._xlws.FILTER(OFFSET($O$15,0,$DN129,$B$8,1),OFFSET($M$15,0,0,$B$8,1))=FU$13), 1*(_xlfn._xlws.FILTER(OFFSET($O$15,0,$DO129,$B$8,1),OFFSET($M$15,0,0,$B$8,1))=FU$14))   /   SUM(OFFSET($BO$15,0,0,$B$14,1)) + $B$18/($B$19*$B$19*($DN129&lt;&gt;$DO129) + $B$19*($DN129=$DO129))</f>
        <v>3.7037037037037035E-4</v>
      </c>
      <c r="FV129" s="10" cm="1">
        <f t="array" aca="1" ref="FV129" ca="1">(1-$B$18)*SUMPRODUCT(OFFSET($BO$15,0,0,$B$14,1), 1*(_xlfn._xlws.FILTER(OFFSET($O$15,0,$DN129,$B$8,1),OFFSET($M$15,0,0,$B$8,1))=FV$13), 1*(_xlfn._xlws.FILTER(OFFSET($O$15,0,$DO129,$B$8,1),OFFSET($M$15,0,0,$B$8,1))=FV$14))   /   SUM(OFFSET($BO$15,0,0,$B$14,1)) + $B$18/($B$19*$B$19*($DN129&lt;&gt;$DO129) + $B$19*($DN129=$DO129))</f>
        <v>3.7037037037037035E-4</v>
      </c>
      <c r="FW129" s="10" cm="1">
        <f t="array" aca="1" ref="FW129" ca="1">(1-$B$18)*SUMPRODUCT(OFFSET($BO$15,0,0,$B$14,1), 1*(_xlfn._xlws.FILTER(OFFSET($O$15,0,$DN129,$B$8,1),OFFSET($M$15,0,0,$B$8,1))=FW$13), 1*(_xlfn._xlws.FILTER(OFFSET($O$15,0,$DO129,$B$8,1),OFFSET($M$15,0,0,$B$8,1))=FW$14))   /   SUM(OFFSET($BO$15,0,0,$B$14,1)) + $B$18/($B$19*$B$19*($DN129&lt;&gt;$DO129) + $B$19*($DN129=$DO129))</f>
        <v>3.7037037037037035E-4</v>
      </c>
      <c r="FX129" s="10" cm="1">
        <f t="array" aca="1" ref="FX129" ca="1">(1-$B$18)*SUMPRODUCT(OFFSET($BO$15,0,0,$B$14,1), 1*(_xlfn._xlws.FILTER(OFFSET($O$15,0,$DN129,$B$8,1),OFFSET($M$15,0,0,$B$8,1))=FX$13), 1*(_xlfn._xlws.FILTER(OFFSET($O$15,0,$DO129,$B$8,1),OFFSET($M$15,0,0,$B$8,1))=FX$14))   /   SUM(OFFSET($BO$15,0,0,$B$14,1)) + $B$18/($B$19*$B$19*($DN129&lt;&gt;$DO129) + $B$19*($DN129=$DO129))</f>
        <v>3.7037037037037035E-4</v>
      </c>
      <c r="FY129" s="10" cm="1">
        <f t="array" aca="1" ref="FY129" ca="1">(1-$B$18)*SUMPRODUCT(OFFSET($BO$15,0,0,$B$14,1), 1*(_xlfn._xlws.FILTER(OFFSET($O$15,0,$DN129,$B$8,1),OFFSET($M$15,0,0,$B$8,1))=FY$13), 1*(_xlfn._xlws.FILTER(OFFSET($O$15,0,$DO129,$B$8,1),OFFSET($M$15,0,0,$B$8,1))=FY$14))   /   SUM(OFFSET($BO$15,0,0,$B$14,1)) + $B$18/($B$19*$B$19*($DN129&lt;&gt;$DO129) + $B$19*($DN129=$DO129))</f>
        <v>3.7037037037037035E-4</v>
      </c>
      <c r="FZ129" s="10" cm="1">
        <f t="array" aca="1" ref="FZ129" ca="1">(1-$B$18)*SUMPRODUCT(OFFSET($BO$15,0,0,$B$14,1), 1*(_xlfn._xlws.FILTER(OFFSET($O$15,0,$DN129,$B$8,1),OFFSET($M$15,0,0,$B$8,1))=FZ$13), 1*(_xlfn._xlws.FILTER(OFFSET($O$15,0,$DO129,$B$8,1),OFFSET($M$15,0,0,$B$8,1))=FZ$14))   /   SUM(OFFSET($BO$15,0,0,$B$14,1)) + $B$18/($B$19*$B$19*($DN129&lt;&gt;$DO129) + $B$19*($DN129=$DO129))</f>
        <v>3.7037037037037035E-4</v>
      </c>
      <c r="GA129" s="10" cm="1">
        <f t="array" aca="1" ref="GA129" ca="1">(1-$B$18)*SUMPRODUCT(OFFSET($BO$15,0,0,$B$14,1), 1*(_xlfn._xlws.FILTER(OFFSET($O$15,0,$DN129,$B$8,1),OFFSET($M$15,0,0,$B$8,1))=GA$13), 1*(_xlfn._xlws.FILTER(OFFSET($O$15,0,$DO129,$B$8,1),OFFSET($M$15,0,0,$B$8,1))=GA$14))   /   SUM(OFFSET($BO$15,0,0,$B$14,1)) + $B$18/($B$19*$B$19*($DN129&lt;&gt;$DO129) + $B$19*($DN129=$DO129))</f>
        <v>3.7037037037037035E-4</v>
      </c>
    </row>
    <row r="130" spans="7:183" x14ac:dyDescent="0.2">
      <c r="G130" s="2"/>
      <c r="H130" s="2"/>
      <c r="AH130" s="2"/>
      <c r="AI130" s="2"/>
      <c r="DN130" cm="1">
        <f t="array" aca="1" ref="DN130" ca="1">INDEX(_xlfn.ANCHORARRAY($CP$15), 1 + INT((ROWS($DO$15:$DO130) - 1) / ROWS(_xlfn.ANCHORARRAY($CP$15))))</f>
        <v>6</v>
      </c>
      <c r="DO130" cm="1">
        <f t="array" aca="1" ref="DO130" ca="1">INDEX(_xlfn.ANCHORARRAY($CP$15),1+MOD(ROWS($DO$15:$DO130)-1,ROWS(_xlfn.ANCHORARRAY($CP$15))))</f>
        <v>1</v>
      </c>
      <c r="DP130" s="10" cm="1">
        <f t="array" aca="1" ref="DP130" ca="1">(1-$B$18)*SUMPRODUCT(OFFSET($BO$15,0,0,$B$14,1), 1*(_xlfn._xlws.FILTER(OFFSET($O$15,0,$DN130,$B$8,1),OFFSET($M$15,0,0,$B$8,1))=DP$13), 1*(_xlfn._xlws.FILTER(OFFSET($O$15,0,$DO130,$B$8,1),OFFSET($M$15,0,0,$B$8,1))=DP$14))   /   SUM(OFFSET($BO$15,0,0,$B$14,1)) + $B$18/($B$19*$B$19*($DN130&lt;&gt;$DO130) + $B$19*($DN130=$DO130))</f>
        <v>3.7037037037037035E-4</v>
      </c>
      <c r="DQ130" s="10" cm="1">
        <f t="array" aca="1" ref="DQ130" ca="1">(1-$B$18)*SUMPRODUCT(OFFSET($BO$15,0,0,$B$14,1), 1*(_xlfn._xlws.FILTER(OFFSET($O$15,0,$DN130,$B$8,1),OFFSET($M$15,0,0,$B$8,1))=DQ$13), 1*(_xlfn._xlws.FILTER(OFFSET($O$15,0,$DO130,$B$8,1),OFFSET($M$15,0,0,$B$8,1))=DQ$14))   /   SUM(OFFSET($BO$15,0,0,$B$14,1)) + $B$18/($B$19*$B$19*($DN130&lt;&gt;$DO130) + $B$19*($DN130=$DO130))</f>
        <v>3.7037037037037035E-4</v>
      </c>
      <c r="DR130" s="10" cm="1">
        <f t="array" aca="1" ref="DR130" ca="1">(1-$B$18)*SUMPRODUCT(OFFSET($BO$15,0,0,$B$14,1), 1*(_xlfn._xlws.FILTER(OFFSET($O$15,0,$DN130,$B$8,1),OFFSET($M$15,0,0,$B$8,1))=DR$13), 1*(_xlfn._xlws.FILTER(OFFSET($O$15,0,$DO130,$B$8,1),OFFSET($M$15,0,0,$B$8,1))=DR$14))   /   SUM(OFFSET($BO$15,0,0,$B$14,1)) + $B$18/($B$19*$B$19*($DN130&lt;&gt;$DO130) + $B$19*($DN130=$DO130))</f>
        <v>3.7037037037037035E-4</v>
      </c>
      <c r="DS130" s="10" cm="1">
        <f t="array" aca="1" ref="DS130" ca="1">(1-$B$18)*SUMPRODUCT(OFFSET($BO$15,0,0,$B$14,1), 1*(_xlfn._xlws.FILTER(OFFSET($O$15,0,$DN130,$B$8,1),OFFSET($M$15,0,0,$B$8,1))=DS$13), 1*(_xlfn._xlws.FILTER(OFFSET($O$15,0,$DO130,$B$8,1),OFFSET($M$15,0,0,$B$8,1))=DS$14))   /   SUM(OFFSET($BO$15,0,0,$B$14,1)) + $B$18/($B$19*$B$19*($DN130&lt;&gt;$DO130) + $B$19*($DN130=$DO130))</f>
        <v>3.7037037037037035E-4</v>
      </c>
      <c r="DT130" s="10" cm="1">
        <f t="array" aca="1" ref="DT130" ca="1">(1-$B$18)*SUMPRODUCT(OFFSET($BO$15,0,0,$B$14,1), 1*(_xlfn._xlws.FILTER(OFFSET($O$15,0,$DN130,$B$8,1),OFFSET($M$15,0,0,$B$8,1))=DT$13), 1*(_xlfn._xlws.FILTER(OFFSET($O$15,0,$DO130,$B$8,1),OFFSET($M$15,0,0,$B$8,1))=DT$14))   /   SUM(OFFSET($BO$15,0,0,$B$14,1)) + $B$18/($B$19*$B$19*($DN130&lt;&gt;$DO130) + $B$19*($DN130=$DO130))</f>
        <v>3.7037037037037035E-4</v>
      </c>
      <c r="DU130" s="10" cm="1">
        <f t="array" aca="1" ref="DU130" ca="1">(1-$B$18)*SUMPRODUCT(OFFSET($BO$15,0,0,$B$14,1), 1*(_xlfn._xlws.FILTER(OFFSET($O$15,0,$DN130,$B$8,1),OFFSET($M$15,0,0,$B$8,1))=DU$13), 1*(_xlfn._xlws.FILTER(OFFSET($O$15,0,$DO130,$B$8,1),OFFSET($M$15,0,0,$B$8,1))=DU$14))   /   SUM(OFFSET($BO$15,0,0,$B$14,1)) + $B$18/($B$19*$B$19*($DN130&lt;&gt;$DO130) + $B$19*($DN130=$DO130))</f>
        <v>3.7037037037037035E-4</v>
      </c>
      <c r="DV130" s="10" cm="1">
        <f t="array" aca="1" ref="DV130" ca="1">(1-$B$18)*SUMPRODUCT(OFFSET($BO$15,0,0,$B$14,1), 1*(_xlfn._xlws.FILTER(OFFSET($O$15,0,$DN130,$B$8,1),OFFSET($M$15,0,0,$B$8,1))=DV$13), 1*(_xlfn._xlws.FILTER(OFFSET($O$15,0,$DO130,$B$8,1),OFFSET($M$15,0,0,$B$8,1))=DV$14))   /   SUM(OFFSET($BO$15,0,0,$B$14,1)) + $B$18/($B$19*$B$19*($DN130&lt;&gt;$DO130) + $B$19*($DN130=$DO130))</f>
        <v>3.7037037037037035E-4</v>
      </c>
      <c r="DW130" s="10" cm="1">
        <f t="array" aca="1" ref="DW130" ca="1">(1-$B$18)*SUMPRODUCT(OFFSET($BO$15,0,0,$B$14,1), 1*(_xlfn._xlws.FILTER(OFFSET($O$15,0,$DN130,$B$8,1),OFFSET($M$15,0,0,$B$8,1))=DW$13), 1*(_xlfn._xlws.FILTER(OFFSET($O$15,0,$DO130,$B$8,1),OFFSET($M$15,0,0,$B$8,1))=DW$14))   /   SUM(OFFSET($BO$15,0,0,$B$14,1)) + $B$18/($B$19*$B$19*($DN130&lt;&gt;$DO130) + $B$19*($DN130=$DO130))</f>
        <v>3.7037037037037035E-4</v>
      </c>
      <c r="DX130" s="10" cm="1">
        <f t="array" aca="1" ref="DX130" ca="1">(1-$B$18)*SUMPRODUCT(OFFSET($BO$15,0,0,$B$14,1), 1*(_xlfn._xlws.FILTER(OFFSET($O$15,0,$DN130,$B$8,1),OFFSET($M$15,0,0,$B$8,1))=DX$13), 1*(_xlfn._xlws.FILTER(OFFSET($O$15,0,$DO130,$B$8,1),OFFSET($M$15,0,0,$B$8,1))=DX$14))   /   SUM(OFFSET($BO$15,0,0,$B$14,1)) + $B$18/($B$19*$B$19*($DN130&lt;&gt;$DO130) + $B$19*($DN130=$DO130))</f>
        <v>3.7037037037037035E-4</v>
      </c>
      <c r="DY130" s="10" cm="1">
        <f t="array" aca="1" ref="DY130" ca="1">(1-$B$18)*SUMPRODUCT(OFFSET($BO$15,0,0,$B$14,1), 1*(_xlfn._xlws.FILTER(OFFSET($O$15,0,$DN130,$B$8,1),OFFSET($M$15,0,0,$B$8,1))=DY$13), 1*(_xlfn._xlws.FILTER(OFFSET($O$15,0,$DO130,$B$8,1),OFFSET($M$15,0,0,$B$8,1))=DY$14))   /   SUM(OFFSET($BO$15,0,0,$B$14,1)) + $B$18/($B$19*$B$19*($DN130&lt;&gt;$DO130) + $B$19*($DN130=$DO130))</f>
        <v>3.7037037037037035E-4</v>
      </c>
      <c r="DZ130" s="10" cm="1">
        <f t="array" aca="1" ref="DZ130" ca="1">(1-$B$18)*SUMPRODUCT(OFFSET($BO$15,0,0,$B$14,1), 1*(_xlfn._xlws.FILTER(OFFSET($O$15,0,$DN130,$B$8,1),OFFSET($M$15,0,0,$B$8,1))=DZ$13), 1*(_xlfn._xlws.FILTER(OFFSET($O$15,0,$DO130,$B$8,1),OFFSET($M$15,0,0,$B$8,1))=DZ$14))   /   SUM(OFFSET($BO$15,0,0,$B$14,1)) + $B$18/($B$19*$B$19*($DN130&lt;&gt;$DO130) + $B$19*($DN130=$DO130))</f>
        <v>3.7037037037037035E-4</v>
      </c>
      <c r="EA130" s="10" cm="1">
        <f t="array" aca="1" ref="EA130" ca="1">(1-$B$18)*SUMPRODUCT(OFFSET($BO$15,0,0,$B$14,1), 1*(_xlfn._xlws.FILTER(OFFSET($O$15,0,$DN130,$B$8,1),OFFSET($M$15,0,0,$B$8,1))=EA$13), 1*(_xlfn._xlws.FILTER(OFFSET($O$15,0,$DO130,$B$8,1),OFFSET($M$15,0,0,$B$8,1))=EA$14))   /   SUM(OFFSET($BO$15,0,0,$B$14,1)) + $B$18/($B$19*$B$19*($DN130&lt;&gt;$DO130) + $B$19*($DN130=$DO130))</f>
        <v>3.7037037037037035E-4</v>
      </c>
      <c r="EB130" s="10" cm="1">
        <f t="array" aca="1" ref="EB130" ca="1">(1-$B$18)*SUMPRODUCT(OFFSET($BO$15,0,0,$B$14,1), 1*(_xlfn._xlws.FILTER(OFFSET($O$15,0,$DN130,$B$8,1),OFFSET($M$15,0,0,$B$8,1))=EB$13), 1*(_xlfn._xlws.FILTER(OFFSET($O$15,0,$DO130,$B$8,1),OFFSET($M$15,0,0,$B$8,1))=EB$14))   /   SUM(OFFSET($BO$15,0,0,$B$14,1)) + $B$18/($B$19*$B$19*($DN130&lt;&gt;$DO130) + $B$19*($DN130=$DO130))</f>
        <v>3.7037037037037035E-4</v>
      </c>
      <c r="EC130" s="10" cm="1">
        <f t="array" aca="1" ref="EC130" ca="1">(1-$B$18)*SUMPRODUCT(OFFSET($BO$15,0,0,$B$14,1), 1*(_xlfn._xlws.FILTER(OFFSET($O$15,0,$DN130,$B$8,1),OFFSET($M$15,0,0,$B$8,1))=EC$13), 1*(_xlfn._xlws.FILTER(OFFSET($O$15,0,$DO130,$B$8,1),OFFSET($M$15,0,0,$B$8,1))=EC$14))   /   SUM(OFFSET($BO$15,0,0,$B$14,1)) + $B$18/($B$19*$B$19*($DN130&lt;&gt;$DO130) + $B$19*($DN130=$DO130))</f>
        <v>3.7037037037037035E-4</v>
      </c>
      <c r="ED130" s="10" cm="1">
        <f t="array" aca="1" ref="ED130" ca="1">(1-$B$18)*SUMPRODUCT(OFFSET($BO$15,0,0,$B$14,1), 1*(_xlfn._xlws.FILTER(OFFSET($O$15,0,$DN130,$B$8,1),OFFSET($M$15,0,0,$B$8,1))=ED$13), 1*(_xlfn._xlws.FILTER(OFFSET($O$15,0,$DO130,$B$8,1),OFFSET($M$15,0,0,$B$8,1))=ED$14))   /   SUM(OFFSET($BO$15,0,0,$B$14,1)) + $B$18/($B$19*$B$19*($DN130&lt;&gt;$DO130) + $B$19*($DN130=$DO130))</f>
        <v>3.7037037037037035E-4</v>
      </c>
      <c r="EE130" s="10" cm="1">
        <f t="array" aca="1" ref="EE130" ca="1">(1-$B$18)*SUMPRODUCT(OFFSET($BO$15,0,0,$B$14,1), 1*(_xlfn._xlws.FILTER(OFFSET($O$15,0,$DN130,$B$8,1),OFFSET($M$15,0,0,$B$8,1))=EE$13), 1*(_xlfn._xlws.FILTER(OFFSET($O$15,0,$DO130,$B$8,1),OFFSET($M$15,0,0,$B$8,1))=EE$14))   /   SUM(OFFSET($BO$15,0,0,$B$14,1)) + $B$18/($B$19*$B$19*($DN130&lt;&gt;$DO130) + $B$19*($DN130=$DO130))</f>
        <v>3.7037037037037035E-4</v>
      </c>
      <c r="EF130" s="10" cm="1">
        <f t="array" aca="1" ref="EF130" ca="1">(1-$B$18)*SUMPRODUCT(OFFSET($BO$15,0,0,$B$14,1), 1*(_xlfn._xlws.FILTER(OFFSET($O$15,0,$DN130,$B$8,1),OFFSET($M$15,0,0,$B$8,1))=EF$13), 1*(_xlfn._xlws.FILTER(OFFSET($O$15,0,$DO130,$B$8,1),OFFSET($M$15,0,0,$B$8,1))=EF$14))   /   SUM(OFFSET($BO$15,0,0,$B$14,1)) + $B$18/($B$19*$B$19*($DN130&lt;&gt;$DO130) + $B$19*($DN130=$DO130))</f>
        <v>3.7037037037037035E-4</v>
      </c>
      <c r="EG130" s="10" cm="1">
        <f t="array" aca="1" ref="EG130" ca="1">(1-$B$18)*SUMPRODUCT(OFFSET($BO$15,0,0,$B$14,1), 1*(_xlfn._xlws.FILTER(OFFSET($O$15,0,$DN130,$B$8,1),OFFSET($M$15,0,0,$B$8,1))=EG$13), 1*(_xlfn._xlws.FILTER(OFFSET($O$15,0,$DO130,$B$8,1),OFFSET($M$15,0,0,$B$8,1))=EG$14))   /   SUM(OFFSET($BO$15,0,0,$B$14,1)) + $B$18/($B$19*$B$19*($DN130&lt;&gt;$DO130) + $B$19*($DN130=$DO130))</f>
        <v>3.7037037037037035E-4</v>
      </c>
      <c r="EH130" s="10" cm="1">
        <f t="array" aca="1" ref="EH130" ca="1">(1-$B$18)*SUMPRODUCT(OFFSET($BO$15,0,0,$B$14,1), 1*(_xlfn._xlws.FILTER(OFFSET($O$15,0,$DN130,$B$8,1),OFFSET($M$15,0,0,$B$8,1))=EH$13), 1*(_xlfn._xlws.FILTER(OFFSET($O$15,0,$DO130,$B$8,1),OFFSET($M$15,0,0,$B$8,1))=EH$14))   /   SUM(OFFSET($BO$15,0,0,$B$14,1)) + $B$18/($B$19*$B$19*($DN130&lt;&gt;$DO130) + $B$19*($DN130=$DO130))</f>
        <v>3.7037037037037035E-4</v>
      </c>
      <c r="EI130" s="10" cm="1">
        <f t="array" aca="1" ref="EI130" ca="1">(1-$B$18)*SUMPRODUCT(OFFSET($BO$15,0,0,$B$14,1), 1*(_xlfn._xlws.FILTER(OFFSET($O$15,0,$DN130,$B$8,1),OFFSET($M$15,0,0,$B$8,1))=EI$13), 1*(_xlfn._xlws.FILTER(OFFSET($O$15,0,$DO130,$B$8,1),OFFSET($M$15,0,0,$B$8,1))=EI$14))   /   SUM(OFFSET($BO$15,0,0,$B$14,1)) + $B$18/($B$19*$B$19*($DN130&lt;&gt;$DO130) + $B$19*($DN130=$DO130))</f>
        <v>3.7037037037037035E-4</v>
      </c>
      <c r="EJ130" s="10" cm="1">
        <f t="array" aca="1" ref="EJ130" ca="1">(1-$B$18)*SUMPRODUCT(OFFSET($BO$15,0,0,$B$14,1), 1*(_xlfn._xlws.FILTER(OFFSET($O$15,0,$DN130,$B$8,1),OFFSET($M$15,0,0,$B$8,1))=EJ$13), 1*(_xlfn._xlws.FILTER(OFFSET($O$15,0,$DO130,$B$8,1),OFFSET($M$15,0,0,$B$8,1))=EJ$14))   /   SUM(OFFSET($BO$15,0,0,$B$14,1)) + $B$18/($B$19*$B$19*($DN130&lt;&gt;$DO130) + $B$19*($DN130=$DO130))</f>
        <v>3.7037037037037035E-4</v>
      </c>
      <c r="EK130" s="10" cm="1">
        <f t="array" aca="1" ref="EK130" ca="1">(1-$B$18)*SUMPRODUCT(OFFSET($BO$15,0,0,$B$14,1), 1*(_xlfn._xlws.FILTER(OFFSET($O$15,0,$DN130,$B$8,1),OFFSET($M$15,0,0,$B$8,1))=EK$13), 1*(_xlfn._xlws.FILTER(OFFSET($O$15,0,$DO130,$B$8,1),OFFSET($M$15,0,0,$B$8,1))=EK$14))   /   SUM(OFFSET($BO$15,0,0,$B$14,1)) + $B$18/($B$19*$B$19*($DN130&lt;&gt;$DO130) + $B$19*($DN130=$DO130))</f>
        <v>3.7037037037037035E-4</v>
      </c>
      <c r="EL130" s="10" cm="1">
        <f t="array" aca="1" ref="EL130" ca="1">(1-$B$18)*SUMPRODUCT(OFFSET($BO$15,0,0,$B$14,1), 1*(_xlfn._xlws.FILTER(OFFSET($O$15,0,$DN130,$B$8,1),OFFSET($M$15,0,0,$B$8,1))=EL$13), 1*(_xlfn._xlws.FILTER(OFFSET($O$15,0,$DO130,$B$8,1),OFFSET($M$15,0,0,$B$8,1))=EL$14))   /   SUM(OFFSET($BO$15,0,0,$B$14,1)) + $B$18/($B$19*$B$19*($DN130&lt;&gt;$DO130) + $B$19*($DN130=$DO130))</f>
        <v>3.7037037037037035E-4</v>
      </c>
      <c r="EM130" s="10" cm="1">
        <f t="array" aca="1" ref="EM130" ca="1">(1-$B$18)*SUMPRODUCT(OFFSET($BO$15,0,0,$B$14,1), 1*(_xlfn._xlws.FILTER(OFFSET($O$15,0,$DN130,$B$8,1),OFFSET($M$15,0,0,$B$8,1))=EM$13), 1*(_xlfn._xlws.FILTER(OFFSET($O$15,0,$DO130,$B$8,1),OFFSET($M$15,0,0,$B$8,1))=EM$14))   /   SUM(OFFSET($BO$15,0,0,$B$14,1)) + $B$18/($B$19*$B$19*($DN130&lt;&gt;$DO130) + $B$19*($DN130=$DO130))</f>
        <v>3.7037037037037035E-4</v>
      </c>
      <c r="EN130" s="10" cm="1">
        <f t="array" aca="1" ref="EN130" ca="1">(1-$B$18)*SUMPRODUCT(OFFSET($BO$15,0,0,$B$14,1), 1*(_xlfn._xlws.FILTER(OFFSET($O$15,0,$DN130,$B$8,1),OFFSET($M$15,0,0,$B$8,1))=EN$13), 1*(_xlfn._xlws.FILTER(OFFSET($O$15,0,$DO130,$B$8,1),OFFSET($M$15,0,0,$B$8,1))=EN$14))   /   SUM(OFFSET($BO$15,0,0,$B$14,1)) + $B$18/($B$19*$B$19*($DN130&lt;&gt;$DO130) + $B$19*($DN130=$DO130))</f>
        <v>3.7037037037037035E-4</v>
      </c>
      <c r="EO130" s="10" cm="1">
        <f t="array" aca="1" ref="EO130" ca="1">(1-$B$18)*SUMPRODUCT(OFFSET($BO$15,0,0,$B$14,1), 1*(_xlfn._xlws.FILTER(OFFSET($O$15,0,$DN130,$B$8,1),OFFSET($M$15,0,0,$B$8,1))=EO$13), 1*(_xlfn._xlws.FILTER(OFFSET($O$15,0,$DO130,$B$8,1),OFFSET($M$15,0,0,$B$8,1))=EO$14))   /   SUM(OFFSET($BO$15,0,0,$B$14,1)) + $B$18/($B$19*$B$19*($DN130&lt;&gt;$DO130) + $B$19*($DN130=$DO130))</f>
        <v>3.7037037037037035E-4</v>
      </c>
      <c r="EP130" s="10" cm="1">
        <f t="array" aca="1" ref="EP130" ca="1">(1-$B$18)*SUMPRODUCT(OFFSET($BO$15,0,0,$B$14,1), 1*(_xlfn._xlws.FILTER(OFFSET($O$15,0,$DN130,$B$8,1),OFFSET($M$15,0,0,$B$8,1))=EP$13), 1*(_xlfn._xlws.FILTER(OFFSET($O$15,0,$DO130,$B$8,1),OFFSET($M$15,0,0,$B$8,1))=EP$14))   /   SUM(OFFSET($BO$15,0,0,$B$14,1)) + $B$18/($B$19*$B$19*($DN130&lt;&gt;$DO130) + $B$19*($DN130=$DO130))</f>
        <v>3.7037037037037035E-4</v>
      </c>
      <c r="EQ130" s="10" cm="1">
        <f t="array" aca="1" ref="EQ130" ca="1">(1-$B$18)*SUMPRODUCT(OFFSET($BO$15,0,0,$B$14,1), 1*(_xlfn._xlws.FILTER(OFFSET($O$15,0,$DN130,$B$8,1),OFFSET($M$15,0,0,$B$8,1))=EQ$13), 1*(_xlfn._xlws.FILTER(OFFSET($O$15,0,$DO130,$B$8,1),OFFSET($M$15,0,0,$B$8,1))=EQ$14))   /   SUM(OFFSET($BO$15,0,0,$B$14,1)) + $B$18/($B$19*$B$19*($DN130&lt;&gt;$DO130) + $B$19*($DN130=$DO130))</f>
        <v>3.7037037037037035E-4</v>
      </c>
      <c r="ER130" s="10" cm="1">
        <f t="array" aca="1" ref="ER130" ca="1">(1-$B$18)*SUMPRODUCT(OFFSET($BO$15,0,0,$B$14,1), 1*(_xlfn._xlws.FILTER(OFFSET($O$15,0,$DN130,$B$8,1),OFFSET($M$15,0,0,$B$8,1))=ER$13), 1*(_xlfn._xlws.FILTER(OFFSET($O$15,0,$DO130,$B$8,1),OFFSET($M$15,0,0,$B$8,1))=ER$14))   /   SUM(OFFSET($BO$15,0,0,$B$14,1)) + $B$18/($B$19*$B$19*($DN130&lt;&gt;$DO130) + $B$19*($DN130=$DO130))</f>
        <v>3.7037037037037035E-4</v>
      </c>
      <c r="ES130" s="10" cm="1">
        <f t="array" aca="1" ref="ES130" ca="1">(1-$B$18)*SUMPRODUCT(OFFSET($BO$15,0,0,$B$14,1), 1*(_xlfn._xlws.FILTER(OFFSET($O$15,0,$DN130,$B$8,1),OFFSET($M$15,0,0,$B$8,1))=ES$13), 1*(_xlfn._xlws.FILTER(OFFSET($O$15,0,$DO130,$B$8,1),OFFSET($M$15,0,0,$B$8,1))=ES$14))   /   SUM(OFFSET($BO$15,0,0,$B$14,1)) + $B$18/($B$19*$B$19*($DN130&lt;&gt;$DO130) + $B$19*($DN130=$DO130))</f>
        <v>3.7037037037037035E-4</v>
      </c>
      <c r="ET130" s="10" cm="1">
        <f t="array" aca="1" ref="ET130" ca="1">(1-$B$18)*SUMPRODUCT(OFFSET($BO$15,0,0,$B$14,1), 1*(_xlfn._xlws.FILTER(OFFSET($O$15,0,$DN130,$B$8,1),OFFSET($M$15,0,0,$B$8,1))=ET$13), 1*(_xlfn._xlws.FILTER(OFFSET($O$15,0,$DO130,$B$8,1),OFFSET($M$15,0,0,$B$8,1))=ET$14))   /   SUM(OFFSET($BO$15,0,0,$B$14,1)) + $B$18/($B$19*$B$19*($DN130&lt;&gt;$DO130) + $B$19*($DN130=$DO130))</f>
        <v>3.7037037037037035E-4</v>
      </c>
      <c r="EU130" s="10" cm="1">
        <f t="array" aca="1" ref="EU130" ca="1">(1-$B$18)*SUMPRODUCT(OFFSET($BO$15,0,0,$B$14,1), 1*(_xlfn._xlws.FILTER(OFFSET($O$15,0,$DN130,$B$8,1),OFFSET($M$15,0,0,$B$8,1))=EU$13), 1*(_xlfn._xlws.FILTER(OFFSET($O$15,0,$DO130,$B$8,1),OFFSET($M$15,0,0,$B$8,1))=EU$14))   /   SUM(OFFSET($BO$15,0,0,$B$14,1)) + $B$18/($B$19*$B$19*($DN130&lt;&gt;$DO130) + $B$19*($DN130=$DO130))</f>
        <v>3.7037037037037035E-4</v>
      </c>
      <c r="EV130" s="10" cm="1">
        <f t="array" aca="1" ref="EV130" ca="1">(1-$B$18)*SUMPRODUCT(OFFSET($BO$15,0,0,$B$14,1), 1*(_xlfn._xlws.FILTER(OFFSET($O$15,0,$DN130,$B$8,1),OFFSET($M$15,0,0,$B$8,1))=EV$13), 1*(_xlfn._xlws.FILTER(OFFSET($O$15,0,$DO130,$B$8,1),OFFSET($M$15,0,0,$B$8,1))=EV$14))   /   SUM(OFFSET($BO$15,0,0,$B$14,1)) + $B$18/($B$19*$B$19*($DN130&lt;&gt;$DO130) + $B$19*($DN130=$DO130))</f>
        <v>3.7037037037037035E-4</v>
      </c>
      <c r="EW130" s="10" cm="1">
        <f t="array" aca="1" ref="EW130" ca="1">(1-$B$18)*SUMPRODUCT(OFFSET($BO$15,0,0,$B$14,1), 1*(_xlfn._xlws.FILTER(OFFSET($O$15,0,$DN130,$B$8,1),OFFSET($M$15,0,0,$B$8,1))=EW$13), 1*(_xlfn._xlws.FILTER(OFFSET($O$15,0,$DO130,$B$8,1),OFFSET($M$15,0,0,$B$8,1))=EW$14))   /   SUM(OFFSET($BO$15,0,0,$B$14,1)) + $B$18/($B$19*$B$19*($DN130&lt;&gt;$DO130) + $B$19*($DN130=$DO130))</f>
        <v>3.7037037037037035E-4</v>
      </c>
      <c r="EX130" s="10" cm="1">
        <f t="array" aca="1" ref="EX130" ca="1">(1-$B$18)*SUMPRODUCT(OFFSET($BO$15,0,0,$B$14,1), 1*(_xlfn._xlws.FILTER(OFFSET($O$15,0,$DN130,$B$8,1),OFFSET($M$15,0,0,$B$8,1))=EX$13), 1*(_xlfn._xlws.FILTER(OFFSET($O$15,0,$DO130,$B$8,1),OFFSET($M$15,0,0,$B$8,1))=EX$14))   /   SUM(OFFSET($BO$15,0,0,$B$14,1)) + $B$18/($B$19*$B$19*($DN130&lt;&gt;$DO130) + $B$19*($DN130=$DO130))</f>
        <v>3.7037037037037035E-4</v>
      </c>
      <c r="EY130" s="10" cm="1">
        <f t="array" aca="1" ref="EY130" ca="1">(1-$B$18)*SUMPRODUCT(OFFSET($BO$15,0,0,$B$14,1), 1*(_xlfn._xlws.FILTER(OFFSET($O$15,0,$DN130,$B$8,1),OFFSET($M$15,0,0,$B$8,1))=EY$13), 1*(_xlfn._xlws.FILTER(OFFSET($O$15,0,$DO130,$B$8,1),OFFSET($M$15,0,0,$B$8,1))=EY$14))   /   SUM(OFFSET($BO$15,0,0,$B$14,1)) + $B$18/($B$19*$B$19*($DN130&lt;&gt;$DO130) + $B$19*($DN130=$DO130))</f>
        <v>3.7037037037037035E-4</v>
      </c>
      <c r="EZ130" s="10" cm="1">
        <f t="array" aca="1" ref="EZ130" ca="1">(1-$B$18)*SUMPRODUCT(OFFSET($BO$15,0,0,$B$14,1), 1*(_xlfn._xlws.FILTER(OFFSET($O$15,0,$DN130,$B$8,1),OFFSET($M$15,0,0,$B$8,1))=EZ$13), 1*(_xlfn._xlws.FILTER(OFFSET($O$15,0,$DO130,$B$8,1),OFFSET($M$15,0,0,$B$8,1))=EZ$14))   /   SUM(OFFSET($BO$15,0,0,$B$14,1)) + $B$18/($B$19*$B$19*($DN130&lt;&gt;$DO130) + $B$19*($DN130=$DO130))</f>
        <v>3.7037037037037035E-4</v>
      </c>
      <c r="FA130" s="10" cm="1">
        <f t="array" aca="1" ref="FA130" ca="1">(1-$B$18)*SUMPRODUCT(OFFSET($BO$15,0,0,$B$14,1), 1*(_xlfn._xlws.FILTER(OFFSET($O$15,0,$DN130,$B$8,1),OFFSET($M$15,0,0,$B$8,1))=FA$13), 1*(_xlfn._xlws.FILTER(OFFSET($O$15,0,$DO130,$B$8,1),OFFSET($M$15,0,0,$B$8,1))=FA$14))   /   SUM(OFFSET($BO$15,0,0,$B$14,1)) + $B$18/($B$19*$B$19*($DN130&lt;&gt;$DO130) + $B$19*($DN130=$DO130))</f>
        <v>3.7037037037037035E-4</v>
      </c>
      <c r="FB130" s="10" cm="1">
        <f t="array" aca="1" ref="FB130" ca="1">(1-$B$18)*SUMPRODUCT(OFFSET($BO$15,0,0,$B$14,1), 1*(_xlfn._xlws.FILTER(OFFSET($O$15,0,$DN130,$B$8,1),OFFSET($M$15,0,0,$B$8,1))=FB$13), 1*(_xlfn._xlws.FILTER(OFFSET($O$15,0,$DO130,$B$8,1),OFFSET($M$15,0,0,$B$8,1))=FB$14))   /   SUM(OFFSET($BO$15,0,0,$B$14,1)) + $B$18/($B$19*$B$19*($DN130&lt;&gt;$DO130) + $B$19*($DN130=$DO130))</f>
        <v>3.7037037037037035E-4</v>
      </c>
      <c r="FC130" s="10" cm="1">
        <f t="array" aca="1" ref="FC130" ca="1">(1-$B$18)*SUMPRODUCT(OFFSET($BO$15,0,0,$B$14,1), 1*(_xlfn._xlws.FILTER(OFFSET($O$15,0,$DN130,$B$8,1),OFFSET($M$15,0,0,$B$8,1))=FC$13), 1*(_xlfn._xlws.FILTER(OFFSET($O$15,0,$DO130,$B$8,1),OFFSET($M$15,0,0,$B$8,1))=FC$14))   /   SUM(OFFSET($BO$15,0,0,$B$14,1)) + $B$18/($B$19*$B$19*($DN130&lt;&gt;$DO130) + $B$19*($DN130=$DO130))</f>
        <v>3.7037037037037035E-4</v>
      </c>
      <c r="FD130" s="10" cm="1">
        <f t="array" aca="1" ref="FD130" ca="1">(1-$B$18)*SUMPRODUCT(OFFSET($BO$15,0,0,$B$14,1), 1*(_xlfn._xlws.FILTER(OFFSET($O$15,0,$DN130,$B$8,1),OFFSET($M$15,0,0,$B$8,1))=FD$13), 1*(_xlfn._xlws.FILTER(OFFSET($O$15,0,$DO130,$B$8,1),OFFSET($M$15,0,0,$B$8,1))=FD$14))   /   SUM(OFFSET($BO$15,0,0,$B$14,1)) + $B$18/($B$19*$B$19*($DN130&lt;&gt;$DO130) + $B$19*($DN130=$DO130))</f>
        <v>3.7037037037037035E-4</v>
      </c>
      <c r="FE130" s="10" cm="1">
        <f t="array" aca="1" ref="FE130" ca="1">(1-$B$18)*SUMPRODUCT(OFFSET($BO$15,0,0,$B$14,1), 1*(_xlfn._xlws.FILTER(OFFSET($O$15,0,$DN130,$B$8,1),OFFSET($M$15,0,0,$B$8,1))=FE$13), 1*(_xlfn._xlws.FILTER(OFFSET($O$15,0,$DO130,$B$8,1),OFFSET($M$15,0,0,$B$8,1))=FE$14))   /   SUM(OFFSET($BO$15,0,0,$B$14,1)) + $B$18/($B$19*$B$19*($DN130&lt;&gt;$DO130) + $B$19*($DN130=$DO130))</f>
        <v>3.7037037037037035E-4</v>
      </c>
      <c r="FF130" s="10" cm="1">
        <f t="array" aca="1" ref="FF130" ca="1">(1-$B$18)*SUMPRODUCT(OFFSET($BO$15,0,0,$B$14,1), 1*(_xlfn._xlws.FILTER(OFFSET($O$15,0,$DN130,$B$8,1),OFFSET($M$15,0,0,$B$8,1))=FF$13), 1*(_xlfn._xlws.FILTER(OFFSET($O$15,0,$DO130,$B$8,1),OFFSET($M$15,0,0,$B$8,1))=FF$14))   /   SUM(OFFSET($BO$15,0,0,$B$14,1)) + $B$18/($B$19*$B$19*($DN130&lt;&gt;$DO130) + $B$19*($DN130=$DO130))</f>
        <v>3.7037037037037035E-4</v>
      </c>
      <c r="FG130" s="10" cm="1">
        <f t="array" aca="1" ref="FG130" ca="1">(1-$B$18)*SUMPRODUCT(OFFSET($BO$15,0,0,$B$14,1), 1*(_xlfn._xlws.FILTER(OFFSET($O$15,0,$DN130,$B$8,1),OFFSET($M$15,0,0,$B$8,1))=FG$13), 1*(_xlfn._xlws.FILTER(OFFSET($O$15,0,$DO130,$B$8,1),OFFSET($M$15,0,0,$B$8,1))=FG$14))   /   SUM(OFFSET($BO$15,0,0,$B$14,1)) + $B$18/($B$19*$B$19*($DN130&lt;&gt;$DO130) + $B$19*($DN130=$DO130))</f>
        <v>3.7037037037037035E-4</v>
      </c>
      <c r="FH130" s="10" cm="1">
        <f t="array" aca="1" ref="FH130" ca="1">(1-$B$18)*SUMPRODUCT(OFFSET($BO$15,0,0,$B$14,1), 1*(_xlfn._xlws.FILTER(OFFSET($O$15,0,$DN130,$B$8,1),OFFSET($M$15,0,0,$B$8,1))=FH$13), 1*(_xlfn._xlws.FILTER(OFFSET($O$15,0,$DO130,$B$8,1),OFFSET($M$15,0,0,$B$8,1))=FH$14))   /   SUM(OFFSET($BO$15,0,0,$B$14,1)) + $B$18/($B$19*$B$19*($DN130&lt;&gt;$DO130) + $B$19*($DN130=$DO130))</f>
        <v>3.7037037037037035E-4</v>
      </c>
      <c r="FI130" s="10" cm="1">
        <f t="array" aca="1" ref="FI130" ca="1">(1-$B$18)*SUMPRODUCT(OFFSET($BO$15,0,0,$B$14,1), 1*(_xlfn._xlws.FILTER(OFFSET($O$15,0,$DN130,$B$8,1),OFFSET($M$15,0,0,$B$8,1))=FI$13), 1*(_xlfn._xlws.FILTER(OFFSET($O$15,0,$DO130,$B$8,1),OFFSET($M$15,0,0,$B$8,1))=FI$14))   /   SUM(OFFSET($BO$15,0,0,$B$14,1)) + $B$18/($B$19*$B$19*($DN130&lt;&gt;$DO130) + $B$19*($DN130=$DO130))</f>
        <v>3.7037037037037035E-4</v>
      </c>
      <c r="FJ130" s="10" cm="1">
        <f t="array" aca="1" ref="FJ130" ca="1">(1-$B$18)*SUMPRODUCT(OFFSET($BO$15,0,0,$B$14,1), 1*(_xlfn._xlws.FILTER(OFFSET($O$15,0,$DN130,$B$8,1),OFFSET($M$15,0,0,$B$8,1))=FJ$13), 1*(_xlfn._xlws.FILTER(OFFSET($O$15,0,$DO130,$B$8,1),OFFSET($M$15,0,0,$B$8,1))=FJ$14))   /   SUM(OFFSET($BO$15,0,0,$B$14,1)) + $B$18/($B$19*$B$19*($DN130&lt;&gt;$DO130) + $B$19*($DN130=$DO130))</f>
        <v>3.7037037037037035E-4</v>
      </c>
      <c r="FK130" s="10" cm="1">
        <f t="array" aca="1" ref="FK130" ca="1">(1-$B$18)*SUMPRODUCT(OFFSET($BO$15,0,0,$B$14,1), 1*(_xlfn._xlws.FILTER(OFFSET($O$15,0,$DN130,$B$8,1),OFFSET($M$15,0,0,$B$8,1))=FK$13), 1*(_xlfn._xlws.FILTER(OFFSET($O$15,0,$DO130,$B$8,1),OFFSET($M$15,0,0,$B$8,1))=FK$14))   /   SUM(OFFSET($BO$15,0,0,$B$14,1)) + $B$18/($B$19*$B$19*($DN130&lt;&gt;$DO130) + $B$19*($DN130=$DO130))</f>
        <v>3.7037037037037035E-4</v>
      </c>
      <c r="FL130" s="10" cm="1">
        <f t="array" aca="1" ref="FL130" ca="1">(1-$B$18)*SUMPRODUCT(OFFSET($BO$15,0,0,$B$14,1), 1*(_xlfn._xlws.FILTER(OFFSET($O$15,0,$DN130,$B$8,1),OFFSET($M$15,0,0,$B$8,1))=FL$13), 1*(_xlfn._xlws.FILTER(OFFSET($O$15,0,$DO130,$B$8,1),OFFSET($M$15,0,0,$B$8,1))=FL$14))   /   SUM(OFFSET($BO$15,0,0,$B$14,1)) + $B$18/($B$19*$B$19*($DN130&lt;&gt;$DO130) + $B$19*($DN130=$DO130))</f>
        <v>3.7037037037037035E-4</v>
      </c>
      <c r="FM130" s="10" cm="1">
        <f t="array" aca="1" ref="FM130" ca="1">(1-$B$18)*SUMPRODUCT(OFFSET($BO$15,0,0,$B$14,1), 1*(_xlfn._xlws.FILTER(OFFSET($O$15,0,$DN130,$B$8,1),OFFSET($M$15,0,0,$B$8,1))=FM$13), 1*(_xlfn._xlws.FILTER(OFFSET($O$15,0,$DO130,$B$8,1),OFFSET($M$15,0,0,$B$8,1))=FM$14))   /   SUM(OFFSET($BO$15,0,0,$B$14,1)) + $B$18/($B$19*$B$19*($DN130&lt;&gt;$DO130) + $B$19*($DN130=$DO130))</f>
        <v>3.7037037037037035E-4</v>
      </c>
      <c r="FN130" s="10" cm="1">
        <f t="array" aca="1" ref="FN130" ca="1">(1-$B$18)*SUMPRODUCT(OFFSET($BO$15,0,0,$B$14,1), 1*(_xlfn._xlws.FILTER(OFFSET($O$15,0,$DN130,$B$8,1),OFFSET($M$15,0,0,$B$8,1))=FN$13), 1*(_xlfn._xlws.FILTER(OFFSET($O$15,0,$DO130,$B$8,1),OFFSET($M$15,0,0,$B$8,1))=FN$14))   /   SUM(OFFSET($BO$15,0,0,$B$14,1)) + $B$18/($B$19*$B$19*($DN130&lt;&gt;$DO130) + $B$19*($DN130=$DO130))</f>
        <v>3.7037037037037035E-4</v>
      </c>
      <c r="FO130" s="10" cm="1">
        <f t="array" aca="1" ref="FO130" ca="1">(1-$B$18)*SUMPRODUCT(OFFSET($BO$15,0,0,$B$14,1), 1*(_xlfn._xlws.FILTER(OFFSET($O$15,0,$DN130,$B$8,1),OFFSET($M$15,0,0,$B$8,1))=FO$13), 1*(_xlfn._xlws.FILTER(OFFSET($O$15,0,$DO130,$B$8,1),OFFSET($M$15,0,0,$B$8,1))=FO$14))   /   SUM(OFFSET($BO$15,0,0,$B$14,1)) + $B$18/($B$19*$B$19*($DN130&lt;&gt;$DO130) + $B$19*($DN130=$DO130))</f>
        <v>3.7037037037037035E-4</v>
      </c>
      <c r="FP130" s="10" cm="1">
        <f t="array" aca="1" ref="FP130" ca="1">(1-$B$18)*SUMPRODUCT(OFFSET($BO$15,0,0,$B$14,1), 1*(_xlfn._xlws.FILTER(OFFSET($O$15,0,$DN130,$B$8,1),OFFSET($M$15,0,0,$B$8,1))=FP$13), 1*(_xlfn._xlws.FILTER(OFFSET($O$15,0,$DO130,$B$8,1),OFFSET($M$15,0,0,$B$8,1))=FP$14))   /   SUM(OFFSET($BO$15,0,0,$B$14,1)) + $B$18/($B$19*$B$19*($DN130&lt;&gt;$DO130) + $B$19*($DN130=$DO130))</f>
        <v>3.7037037037037035E-4</v>
      </c>
      <c r="FQ130" s="10" cm="1">
        <f t="array" aca="1" ref="FQ130" ca="1">(1-$B$18)*SUMPRODUCT(OFFSET($BO$15,0,0,$B$14,1), 1*(_xlfn._xlws.FILTER(OFFSET($O$15,0,$DN130,$B$8,1),OFFSET($M$15,0,0,$B$8,1))=FQ$13), 1*(_xlfn._xlws.FILTER(OFFSET($O$15,0,$DO130,$B$8,1),OFFSET($M$15,0,0,$B$8,1))=FQ$14))   /   SUM(OFFSET($BO$15,0,0,$B$14,1)) + $B$18/($B$19*$B$19*($DN130&lt;&gt;$DO130) + $B$19*($DN130=$DO130))</f>
        <v>3.7037037037037035E-4</v>
      </c>
      <c r="FR130" s="10" cm="1">
        <f t="array" aca="1" ref="FR130" ca="1">(1-$B$18)*SUMPRODUCT(OFFSET($BO$15,0,0,$B$14,1), 1*(_xlfn._xlws.FILTER(OFFSET($O$15,0,$DN130,$B$8,1),OFFSET($M$15,0,0,$B$8,1))=FR$13), 1*(_xlfn._xlws.FILTER(OFFSET($O$15,0,$DO130,$B$8,1),OFFSET($M$15,0,0,$B$8,1))=FR$14))   /   SUM(OFFSET($BO$15,0,0,$B$14,1)) + $B$18/($B$19*$B$19*($DN130&lt;&gt;$DO130) + $B$19*($DN130=$DO130))</f>
        <v>0.97037037037037033</v>
      </c>
      <c r="FS130" s="10" cm="1">
        <f t="array" aca="1" ref="FS130" ca="1">(1-$B$18)*SUMPRODUCT(OFFSET($BO$15,0,0,$B$14,1), 1*(_xlfn._xlws.FILTER(OFFSET($O$15,0,$DN130,$B$8,1),OFFSET($M$15,0,0,$B$8,1))=FS$13), 1*(_xlfn._xlws.FILTER(OFFSET($O$15,0,$DO130,$B$8,1),OFFSET($M$15,0,0,$B$8,1))=FS$14))   /   SUM(OFFSET($BO$15,0,0,$B$14,1)) + $B$18/($B$19*$B$19*($DN130&lt;&gt;$DO130) + $B$19*($DN130=$DO130))</f>
        <v>3.7037037037037035E-4</v>
      </c>
      <c r="FT130" s="10" cm="1">
        <f t="array" aca="1" ref="FT130" ca="1">(1-$B$18)*SUMPRODUCT(OFFSET($BO$15,0,0,$B$14,1), 1*(_xlfn._xlws.FILTER(OFFSET($O$15,0,$DN130,$B$8,1),OFFSET($M$15,0,0,$B$8,1))=FT$13), 1*(_xlfn._xlws.FILTER(OFFSET($O$15,0,$DO130,$B$8,1),OFFSET($M$15,0,0,$B$8,1))=FT$14))   /   SUM(OFFSET($BO$15,0,0,$B$14,1)) + $B$18/($B$19*$B$19*($DN130&lt;&gt;$DO130) + $B$19*($DN130=$DO130))</f>
        <v>3.7037037037037035E-4</v>
      </c>
      <c r="FU130" s="10" cm="1">
        <f t="array" aca="1" ref="FU130" ca="1">(1-$B$18)*SUMPRODUCT(OFFSET($BO$15,0,0,$B$14,1), 1*(_xlfn._xlws.FILTER(OFFSET($O$15,0,$DN130,$B$8,1),OFFSET($M$15,0,0,$B$8,1))=FU$13), 1*(_xlfn._xlws.FILTER(OFFSET($O$15,0,$DO130,$B$8,1),OFFSET($M$15,0,0,$B$8,1))=FU$14))   /   SUM(OFFSET($BO$15,0,0,$B$14,1)) + $B$18/($B$19*$B$19*($DN130&lt;&gt;$DO130) + $B$19*($DN130=$DO130))</f>
        <v>3.7037037037037035E-4</v>
      </c>
      <c r="FV130" s="10" cm="1">
        <f t="array" aca="1" ref="FV130" ca="1">(1-$B$18)*SUMPRODUCT(OFFSET($BO$15,0,0,$B$14,1), 1*(_xlfn._xlws.FILTER(OFFSET($O$15,0,$DN130,$B$8,1),OFFSET($M$15,0,0,$B$8,1))=FV$13), 1*(_xlfn._xlws.FILTER(OFFSET($O$15,0,$DO130,$B$8,1),OFFSET($M$15,0,0,$B$8,1))=FV$14))   /   SUM(OFFSET($BO$15,0,0,$B$14,1)) + $B$18/($B$19*$B$19*($DN130&lt;&gt;$DO130) + $B$19*($DN130=$DO130))</f>
        <v>3.7037037037037035E-4</v>
      </c>
      <c r="FW130" s="10" cm="1">
        <f t="array" aca="1" ref="FW130" ca="1">(1-$B$18)*SUMPRODUCT(OFFSET($BO$15,0,0,$B$14,1), 1*(_xlfn._xlws.FILTER(OFFSET($O$15,0,$DN130,$B$8,1),OFFSET($M$15,0,0,$B$8,1))=FW$13), 1*(_xlfn._xlws.FILTER(OFFSET($O$15,0,$DO130,$B$8,1),OFFSET($M$15,0,0,$B$8,1))=FW$14))   /   SUM(OFFSET($BO$15,0,0,$B$14,1)) + $B$18/($B$19*$B$19*($DN130&lt;&gt;$DO130) + $B$19*($DN130=$DO130))</f>
        <v>3.7037037037037035E-4</v>
      </c>
      <c r="FX130" s="10" cm="1">
        <f t="array" aca="1" ref="FX130" ca="1">(1-$B$18)*SUMPRODUCT(OFFSET($BO$15,0,0,$B$14,1), 1*(_xlfn._xlws.FILTER(OFFSET($O$15,0,$DN130,$B$8,1),OFFSET($M$15,0,0,$B$8,1))=FX$13), 1*(_xlfn._xlws.FILTER(OFFSET($O$15,0,$DO130,$B$8,1),OFFSET($M$15,0,0,$B$8,1))=FX$14))   /   SUM(OFFSET($BO$15,0,0,$B$14,1)) + $B$18/($B$19*$B$19*($DN130&lt;&gt;$DO130) + $B$19*($DN130=$DO130))</f>
        <v>3.7037037037037035E-4</v>
      </c>
      <c r="FY130" s="10" cm="1">
        <f t="array" aca="1" ref="FY130" ca="1">(1-$B$18)*SUMPRODUCT(OFFSET($BO$15,0,0,$B$14,1), 1*(_xlfn._xlws.FILTER(OFFSET($O$15,0,$DN130,$B$8,1),OFFSET($M$15,0,0,$B$8,1))=FY$13), 1*(_xlfn._xlws.FILTER(OFFSET($O$15,0,$DO130,$B$8,1),OFFSET($M$15,0,0,$B$8,1))=FY$14))   /   SUM(OFFSET($BO$15,0,0,$B$14,1)) + $B$18/($B$19*$B$19*($DN130&lt;&gt;$DO130) + $B$19*($DN130=$DO130))</f>
        <v>3.7037037037037035E-4</v>
      </c>
      <c r="FZ130" s="10" cm="1">
        <f t="array" aca="1" ref="FZ130" ca="1">(1-$B$18)*SUMPRODUCT(OFFSET($BO$15,0,0,$B$14,1), 1*(_xlfn._xlws.FILTER(OFFSET($O$15,0,$DN130,$B$8,1),OFFSET($M$15,0,0,$B$8,1))=FZ$13), 1*(_xlfn._xlws.FILTER(OFFSET($O$15,0,$DO130,$B$8,1),OFFSET($M$15,0,0,$B$8,1))=FZ$14))   /   SUM(OFFSET($BO$15,0,0,$B$14,1)) + $B$18/($B$19*$B$19*($DN130&lt;&gt;$DO130) + $B$19*($DN130=$DO130))</f>
        <v>3.7037037037037035E-4</v>
      </c>
      <c r="GA130" s="10" cm="1">
        <f t="array" aca="1" ref="GA130" ca="1">(1-$B$18)*SUMPRODUCT(OFFSET($BO$15,0,0,$B$14,1), 1*(_xlfn._xlws.FILTER(OFFSET($O$15,0,$DN130,$B$8,1),OFFSET($M$15,0,0,$B$8,1))=GA$13), 1*(_xlfn._xlws.FILTER(OFFSET($O$15,0,$DO130,$B$8,1),OFFSET($M$15,0,0,$B$8,1))=GA$14))   /   SUM(OFFSET($BO$15,0,0,$B$14,1)) + $B$18/($B$19*$B$19*($DN130&lt;&gt;$DO130) + $B$19*($DN130=$DO130))</f>
        <v>3.7037037037037035E-4</v>
      </c>
    </row>
    <row r="131" spans="7:183" x14ac:dyDescent="0.2">
      <c r="G131" s="2"/>
      <c r="H131" s="2"/>
      <c r="AH131" s="2"/>
      <c r="AI131" s="2"/>
      <c r="DN131" cm="1">
        <f t="array" aca="1" ref="DN131" ca="1">INDEX(_xlfn.ANCHORARRAY($CP$15), 1 + INT((ROWS($DO$15:$DO131) - 1) / ROWS(_xlfn.ANCHORARRAY($CP$15))))</f>
        <v>6</v>
      </c>
      <c r="DO131" cm="1">
        <f t="array" aca="1" ref="DO131" ca="1">INDEX(_xlfn.ANCHORARRAY($CP$15),1+MOD(ROWS($DO$15:$DO131)-1,ROWS(_xlfn.ANCHORARRAY($CP$15))))</f>
        <v>2</v>
      </c>
      <c r="DP131" s="10" cm="1">
        <f t="array" aca="1" ref="DP131" ca="1">(1-$B$18)*SUMPRODUCT(OFFSET($BO$15,0,0,$B$14,1), 1*(_xlfn._xlws.FILTER(OFFSET($O$15,0,$DN131,$B$8,1),OFFSET($M$15,0,0,$B$8,1))=DP$13), 1*(_xlfn._xlws.FILTER(OFFSET($O$15,0,$DO131,$B$8,1),OFFSET($M$15,0,0,$B$8,1))=DP$14))   /   SUM(OFFSET($BO$15,0,0,$B$14,1)) + $B$18/($B$19*$B$19*($DN131&lt;&gt;$DO131) + $B$19*($DN131=$DO131))</f>
        <v>3.7037037037037035E-4</v>
      </c>
      <c r="DQ131" s="10" cm="1">
        <f t="array" aca="1" ref="DQ131" ca="1">(1-$B$18)*SUMPRODUCT(OFFSET($BO$15,0,0,$B$14,1), 1*(_xlfn._xlws.FILTER(OFFSET($O$15,0,$DN131,$B$8,1),OFFSET($M$15,0,0,$B$8,1))=DQ$13), 1*(_xlfn._xlws.FILTER(OFFSET($O$15,0,$DO131,$B$8,1),OFFSET($M$15,0,0,$B$8,1))=DQ$14))   /   SUM(OFFSET($BO$15,0,0,$B$14,1)) + $B$18/($B$19*$B$19*($DN131&lt;&gt;$DO131) + $B$19*($DN131=$DO131))</f>
        <v>3.7037037037037035E-4</v>
      </c>
      <c r="DR131" s="10" cm="1">
        <f t="array" aca="1" ref="DR131" ca="1">(1-$B$18)*SUMPRODUCT(OFFSET($BO$15,0,0,$B$14,1), 1*(_xlfn._xlws.FILTER(OFFSET($O$15,0,$DN131,$B$8,1),OFFSET($M$15,0,0,$B$8,1))=DR$13), 1*(_xlfn._xlws.FILTER(OFFSET($O$15,0,$DO131,$B$8,1),OFFSET($M$15,0,0,$B$8,1))=DR$14))   /   SUM(OFFSET($BO$15,0,0,$B$14,1)) + $B$18/($B$19*$B$19*($DN131&lt;&gt;$DO131) + $B$19*($DN131=$DO131))</f>
        <v>3.7037037037037035E-4</v>
      </c>
      <c r="DS131" s="10" cm="1">
        <f t="array" aca="1" ref="DS131" ca="1">(1-$B$18)*SUMPRODUCT(OFFSET($BO$15,0,0,$B$14,1), 1*(_xlfn._xlws.FILTER(OFFSET($O$15,0,$DN131,$B$8,1),OFFSET($M$15,0,0,$B$8,1))=DS$13), 1*(_xlfn._xlws.FILTER(OFFSET($O$15,0,$DO131,$B$8,1),OFFSET($M$15,0,0,$B$8,1))=DS$14))   /   SUM(OFFSET($BO$15,0,0,$B$14,1)) + $B$18/($B$19*$B$19*($DN131&lt;&gt;$DO131) + $B$19*($DN131=$DO131))</f>
        <v>3.7037037037037035E-4</v>
      </c>
      <c r="DT131" s="10" cm="1">
        <f t="array" aca="1" ref="DT131" ca="1">(1-$B$18)*SUMPRODUCT(OFFSET($BO$15,0,0,$B$14,1), 1*(_xlfn._xlws.FILTER(OFFSET($O$15,0,$DN131,$B$8,1),OFFSET($M$15,0,0,$B$8,1))=DT$13), 1*(_xlfn._xlws.FILTER(OFFSET($O$15,0,$DO131,$B$8,1),OFFSET($M$15,0,0,$B$8,1))=DT$14))   /   SUM(OFFSET($BO$15,0,0,$B$14,1)) + $B$18/($B$19*$B$19*($DN131&lt;&gt;$DO131) + $B$19*($DN131=$DO131))</f>
        <v>3.7037037037037035E-4</v>
      </c>
      <c r="DU131" s="10" cm="1">
        <f t="array" aca="1" ref="DU131" ca="1">(1-$B$18)*SUMPRODUCT(OFFSET($BO$15,0,0,$B$14,1), 1*(_xlfn._xlws.FILTER(OFFSET($O$15,0,$DN131,$B$8,1),OFFSET($M$15,0,0,$B$8,1))=DU$13), 1*(_xlfn._xlws.FILTER(OFFSET($O$15,0,$DO131,$B$8,1),OFFSET($M$15,0,0,$B$8,1))=DU$14))   /   SUM(OFFSET($BO$15,0,0,$B$14,1)) + $B$18/($B$19*$B$19*($DN131&lt;&gt;$DO131) + $B$19*($DN131=$DO131))</f>
        <v>3.7037037037037035E-4</v>
      </c>
      <c r="DV131" s="10" cm="1">
        <f t="array" aca="1" ref="DV131" ca="1">(1-$B$18)*SUMPRODUCT(OFFSET($BO$15,0,0,$B$14,1), 1*(_xlfn._xlws.FILTER(OFFSET($O$15,0,$DN131,$B$8,1),OFFSET($M$15,0,0,$B$8,1))=DV$13), 1*(_xlfn._xlws.FILTER(OFFSET($O$15,0,$DO131,$B$8,1),OFFSET($M$15,0,0,$B$8,1))=DV$14))   /   SUM(OFFSET($BO$15,0,0,$B$14,1)) + $B$18/($B$19*$B$19*($DN131&lt;&gt;$DO131) + $B$19*($DN131=$DO131))</f>
        <v>3.7037037037037035E-4</v>
      </c>
      <c r="DW131" s="10" cm="1">
        <f t="array" aca="1" ref="DW131" ca="1">(1-$B$18)*SUMPRODUCT(OFFSET($BO$15,0,0,$B$14,1), 1*(_xlfn._xlws.FILTER(OFFSET($O$15,0,$DN131,$B$8,1),OFFSET($M$15,0,0,$B$8,1))=DW$13), 1*(_xlfn._xlws.FILTER(OFFSET($O$15,0,$DO131,$B$8,1),OFFSET($M$15,0,0,$B$8,1))=DW$14))   /   SUM(OFFSET($BO$15,0,0,$B$14,1)) + $B$18/($B$19*$B$19*($DN131&lt;&gt;$DO131) + $B$19*($DN131=$DO131))</f>
        <v>3.7037037037037035E-4</v>
      </c>
      <c r="DX131" s="10" cm="1">
        <f t="array" aca="1" ref="DX131" ca="1">(1-$B$18)*SUMPRODUCT(OFFSET($BO$15,0,0,$B$14,1), 1*(_xlfn._xlws.FILTER(OFFSET($O$15,0,$DN131,$B$8,1),OFFSET($M$15,0,0,$B$8,1))=DX$13), 1*(_xlfn._xlws.FILTER(OFFSET($O$15,0,$DO131,$B$8,1),OFFSET($M$15,0,0,$B$8,1))=DX$14))   /   SUM(OFFSET($BO$15,0,0,$B$14,1)) + $B$18/($B$19*$B$19*($DN131&lt;&gt;$DO131) + $B$19*($DN131=$DO131))</f>
        <v>3.7037037037037035E-4</v>
      </c>
      <c r="DY131" s="10" cm="1">
        <f t="array" aca="1" ref="DY131" ca="1">(1-$B$18)*SUMPRODUCT(OFFSET($BO$15,0,0,$B$14,1), 1*(_xlfn._xlws.FILTER(OFFSET($O$15,0,$DN131,$B$8,1),OFFSET($M$15,0,0,$B$8,1))=DY$13), 1*(_xlfn._xlws.FILTER(OFFSET($O$15,0,$DO131,$B$8,1),OFFSET($M$15,0,0,$B$8,1))=DY$14))   /   SUM(OFFSET($BO$15,0,0,$B$14,1)) + $B$18/($B$19*$B$19*($DN131&lt;&gt;$DO131) + $B$19*($DN131=$DO131))</f>
        <v>3.7037037037037035E-4</v>
      </c>
      <c r="DZ131" s="10" cm="1">
        <f t="array" aca="1" ref="DZ131" ca="1">(1-$B$18)*SUMPRODUCT(OFFSET($BO$15,0,0,$B$14,1), 1*(_xlfn._xlws.FILTER(OFFSET($O$15,0,$DN131,$B$8,1),OFFSET($M$15,0,0,$B$8,1))=DZ$13), 1*(_xlfn._xlws.FILTER(OFFSET($O$15,0,$DO131,$B$8,1),OFFSET($M$15,0,0,$B$8,1))=DZ$14))   /   SUM(OFFSET($BO$15,0,0,$B$14,1)) + $B$18/($B$19*$B$19*($DN131&lt;&gt;$DO131) + $B$19*($DN131=$DO131))</f>
        <v>3.7037037037037035E-4</v>
      </c>
      <c r="EA131" s="10" cm="1">
        <f t="array" aca="1" ref="EA131" ca="1">(1-$B$18)*SUMPRODUCT(OFFSET($BO$15,0,0,$B$14,1), 1*(_xlfn._xlws.FILTER(OFFSET($O$15,0,$DN131,$B$8,1),OFFSET($M$15,0,0,$B$8,1))=EA$13), 1*(_xlfn._xlws.FILTER(OFFSET($O$15,0,$DO131,$B$8,1),OFFSET($M$15,0,0,$B$8,1))=EA$14))   /   SUM(OFFSET($BO$15,0,0,$B$14,1)) + $B$18/($B$19*$B$19*($DN131&lt;&gt;$DO131) + $B$19*($DN131=$DO131))</f>
        <v>3.7037037037037035E-4</v>
      </c>
      <c r="EB131" s="10" cm="1">
        <f t="array" aca="1" ref="EB131" ca="1">(1-$B$18)*SUMPRODUCT(OFFSET($BO$15,0,0,$B$14,1), 1*(_xlfn._xlws.FILTER(OFFSET($O$15,0,$DN131,$B$8,1),OFFSET($M$15,0,0,$B$8,1))=EB$13), 1*(_xlfn._xlws.FILTER(OFFSET($O$15,0,$DO131,$B$8,1),OFFSET($M$15,0,0,$B$8,1))=EB$14))   /   SUM(OFFSET($BO$15,0,0,$B$14,1)) + $B$18/($B$19*$B$19*($DN131&lt;&gt;$DO131) + $B$19*($DN131=$DO131))</f>
        <v>3.7037037037037035E-4</v>
      </c>
      <c r="EC131" s="10" cm="1">
        <f t="array" aca="1" ref="EC131" ca="1">(1-$B$18)*SUMPRODUCT(OFFSET($BO$15,0,0,$B$14,1), 1*(_xlfn._xlws.FILTER(OFFSET($O$15,0,$DN131,$B$8,1),OFFSET($M$15,0,0,$B$8,1))=EC$13), 1*(_xlfn._xlws.FILTER(OFFSET($O$15,0,$DO131,$B$8,1),OFFSET($M$15,0,0,$B$8,1))=EC$14))   /   SUM(OFFSET($BO$15,0,0,$B$14,1)) + $B$18/($B$19*$B$19*($DN131&lt;&gt;$DO131) + $B$19*($DN131=$DO131))</f>
        <v>3.7037037037037035E-4</v>
      </c>
      <c r="ED131" s="10" cm="1">
        <f t="array" aca="1" ref="ED131" ca="1">(1-$B$18)*SUMPRODUCT(OFFSET($BO$15,0,0,$B$14,1), 1*(_xlfn._xlws.FILTER(OFFSET($O$15,0,$DN131,$B$8,1),OFFSET($M$15,0,0,$B$8,1))=ED$13), 1*(_xlfn._xlws.FILTER(OFFSET($O$15,0,$DO131,$B$8,1),OFFSET($M$15,0,0,$B$8,1))=ED$14))   /   SUM(OFFSET($BO$15,0,0,$B$14,1)) + $B$18/($B$19*$B$19*($DN131&lt;&gt;$DO131) + $B$19*($DN131=$DO131))</f>
        <v>3.7037037037037035E-4</v>
      </c>
      <c r="EE131" s="10" cm="1">
        <f t="array" aca="1" ref="EE131" ca="1">(1-$B$18)*SUMPRODUCT(OFFSET($BO$15,0,0,$B$14,1), 1*(_xlfn._xlws.FILTER(OFFSET($O$15,0,$DN131,$B$8,1),OFFSET($M$15,0,0,$B$8,1))=EE$13), 1*(_xlfn._xlws.FILTER(OFFSET($O$15,0,$DO131,$B$8,1),OFFSET($M$15,0,0,$B$8,1))=EE$14))   /   SUM(OFFSET($BO$15,0,0,$B$14,1)) + $B$18/($B$19*$B$19*($DN131&lt;&gt;$DO131) + $B$19*($DN131=$DO131))</f>
        <v>3.7037037037037035E-4</v>
      </c>
      <c r="EF131" s="10" cm="1">
        <f t="array" aca="1" ref="EF131" ca="1">(1-$B$18)*SUMPRODUCT(OFFSET($BO$15,0,0,$B$14,1), 1*(_xlfn._xlws.FILTER(OFFSET($O$15,0,$DN131,$B$8,1),OFFSET($M$15,0,0,$B$8,1))=EF$13), 1*(_xlfn._xlws.FILTER(OFFSET($O$15,0,$DO131,$B$8,1),OFFSET($M$15,0,0,$B$8,1))=EF$14))   /   SUM(OFFSET($BO$15,0,0,$B$14,1)) + $B$18/($B$19*$B$19*($DN131&lt;&gt;$DO131) + $B$19*($DN131=$DO131))</f>
        <v>3.7037037037037035E-4</v>
      </c>
      <c r="EG131" s="10" cm="1">
        <f t="array" aca="1" ref="EG131" ca="1">(1-$B$18)*SUMPRODUCT(OFFSET($BO$15,0,0,$B$14,1), 1*(_xlfn._xlws.FILTER(OFFSET($O$15,0,$DN131,$B$8,1),OFFSET($M$15,0,0,$B$8,1))=EG$13), 1*(_xlfn._xlws.FILTER(OFFSET($O$15,0,$DO131,$B$8,1),OFFSET($M$15,0,0,$B$8,1))=EG$14))   /   SUM(OFFSET($BO$15,0,0,$B$14,1)) + $B$18/($B$19*$B$19*($DN131&lt;&gt;$DO131) + $B$19*($DN131=$DO131))</f>
        <v>3.7037037037037035E-4</v>
      </c>
      <c r="EH131" s="10" cm="1">
        <f t="array" aca="1" ref="EH131" ca="1">(1-$B$18)*SUMPRODUCT(OFFSET($BO$15,0,0,$B$14,1), 1*(_xlfn._xlws.FILTER(OFFSET($O$15,0,$DN131,$B$8,1),OFFSET($M$15,0,0,$B$8,1))=EH$13), 1*(_xlfn._xlws.FILTER(OFFSET($O$15,0,$DO131,$B$8,1),OFFSET($M$15,0,0,$B$8,1))=EH$14))   /   SUM(OFFSET($BO$15,0,0,$B$14,1)) + $B$18/($B$19*$B$19*($DN131&lt;&gt;$DO131) + $B$19*($DN131=$DO131))</f>
        <v>3.7037037037037035E-4</v>
      </c>
      <c r="EI131" s="10" cm="1">
        <f t="array" aca="1" ref="EI131" ca="1">(1-$B$18)*SUMPRODUCT(OFFSET($BO$15,0,0,$B$14,1), 1*(_xlfn._xlws.FILTER(OFFSET($O$15,0,$DN131,$B$8,1),OFFSET($M$15,0,0,$B$8,1))=EI$13), 1*(_xlfn._xlws.FILTER(OFFSET($O$15,0,$DO131,$B$8,1),OFFSET($M$15,0,0,$B$8,1))=EI$14))   /   SUM(OFFSET($BO$15,0,0,$B$14,1)) + $B$18/($B$19*$B$19*($DN131&lt;&gt;$DO131) + $B$19*($DN131=$DO131))</f>
        <v>3.7037037037037035E-4</v>
      </c>
      <c r="EJ131" s="10" cm="1">
        <f t="array" aca="1" ref="EJ131" ca="1">(1-$B$18)*SUMPRODUCT(OFFSET($BO$15,0,0,$B$14,1), 1*(_xlfn._xlws.FILTER(OFFSET($O$15,0,$DN131,$B$8,1),OFFSET($M$15,0,0,$B$8,1))=EJ$13), 1*(_xlfn._xlws.FILTER(OFFSET($O$15,0,$DO131,$B$8,1),OFFSET($M$15,0,0,$B$8,1))=EJ$14))   /   SUM(OFFSET($BO$15,0,0,$B$14,1)) + $B$18/($B$19*$B$19*($DN131&lt;&gt;$DO131) + $B$19*($DN131=$DO131))</f>
        <v>3.7037037037037035E-4</v>
      </c>
      <c r="EK131" s="10" cm="1">
        <f t="array" aca="1" ref="EK131" ca="1">(1-$B$18)*SUMPRODUCT(OFFSET($BO$15,0,0,$B$14,1), 1*(_xlfn._xlws.FILTER(OFFSET($O$15,0,$DN131,$B$8,1),OFFSET($M$15,0,0,$B$8,1))=EK$13), 1*(_xlfn._xlws.FILTER(OFFSET($O$15,0,$DO131,$B$8,1),OFFSET($M$15,0,0,$B$8,1))=EK$14))   /   SUM(OFFSET($BO$15,0,0,$B$14,1)) + $B$18/($B$19*$B$19*($DN131&lt;&gt;$DO131) + $B$19*($DN131=$DO131))</f>
        <v>3.7037037037037035E-4</v>
      </c>
      <c r="EL131" s="10" cm="1">
        <f t="array" aca="1" ref="EL131" ca="1">(1-$B$18)*SUMPRODUCT(OFFSET($BO$15,0,0,$B$14,1), 1*(_xlfn._xlws.FILTER(OFFSET($O$15,0,$DN131,$B$8,1),OFFSET($M$15,0,0,$B$8,1))=EL$13), 1*(_xlfn._xlws.FILTER(OFFSET($O$15,0,$DO131,$B$8,1),OFFSET($M$15,0,0,$B$8,1))=EL$14))   /   SUM(OFFSET($BO$15,0,0,$B$14,1)) + $B$18/($B$19*$B$19*($DN131&lt;&gt;$DO131) + $B$19*($DN131=$DO131))</f>
        <v>3.7037037037037035E-4</v>
      </c>
      <c r="EM131" s="10" cm="1">
        <f t="array" aca="1" ref="EM131" ca="1">(1-$B$18)*SUMPRODUCT(OFFSET($BO$15,0,0,$B$14,1), 1*(_xlfn._xlws.FILTER(OFFSET($O$15,0,$DN131,$B$8,1),OFFSET($M$15,0,0,$B$8,1))=EM$13), 1*(_xlfn._xlws.FILTER(OFFSET($O$15,0,$DO131,$B$8,1),OFFSET($M$15,0,0,$B$8,1))=EM$14))   /   SUM(OFFSET($BO$15,0,0,$B$14,1)) + $B$18/($B$19*$B$19*($DN131&lt;&gt;$DO131) + $B$19*($DN131=$DO131))</f>
        <v>3.7037037037037035E-4</v>
      </c>
      <c r="EN131" s="10" cm="1">
        <f t="array" aca="1" ref="EN131" ca="1">(1-$B$18)*SUMPRODUCT(OFFSET($BO$15,0,0,$B$14,1), 1*(_xlfn._xlws.FILTER(OFFSET($O$15,0,$DN131,$B$8,1),OFFSET($M$15,0,0,$B$8,1))=EN$13), 1*(_xlfn._xlws.FILTER(OFFSET($O$15,0,$DO131,$B$8,1),OFFSET($M$15,0,0,$B$8,1))=EN$14))   /   SUM(OFFSET($BO$15,0,0,$B$14,1)) + $B$18/($B$19*$B$19*($DN131&lt;&gt;$DO131) + $B$19*($DN131=$DO131))</f>
        <v>3.7037037037037035E-4</v>
      </c>
      <c r="EO131" s="10" cm="1">
        <f t="array" aca="1" ref="EO131" ca="1">(1-$B$18)*SUMPRODUCT(OFFSET($BO$15,0,0,$B$14,1), 1*(_xlfn._xlws.FILTER(OFFSET($O$15,0,$DN131,$B$8,1),OFFSET($M$15,0,0,$B$8,1))=EO$13), 1*(_xlfn._xlws.FILTER(OFFSET($O$15,0,$DO131,$B$8,1),OFFSET($M$15,0,0,$B$8,1))=EO$14))   /   SUM(OFFSET($BO$15,0,0,$B$14,1)) + $B$18/($B$19*$B$19*($DN131&lt;&gt;$DO131) + $B$19*($DN131=$DO131))</f>
        <v>3.7037037037037035E-4</v>
      </c>
      <c r="EP131" s="10" cm="1">
        <f t="array" aca="1" ref="EP131" ca="1">(1-$B$18)*SUMPRODUCT(OFFSET($BO$15,0,0,$B$14,1), 1*(_xlfn._xlws.FILTER(OFFSET($O$15,0,$DN131,$B$8,1),OFFSET($M$15,0,0,$B$8,1))=EP$13), 1*(_xlfn._xlws.FILTER(OFFSET($O$15,0,$DO131,$B$8,1),OFFSET($M$15,0,0,$B$8,1))=EP$14))   /   SUM(OFFSET($BO$15,0,0,$B$14,1)) + $B$18/($B$19*$B$19*($DN131&lt;&gt;$DO131) + $B$19*($DN131=$DO131))</f>
        <v>3.7037037037037035E-4</v>
      </c>
      <c r="EQ131" s="10" cm="1">
        <f t="array" aca="1" ref="EQ131" ca="1">(1-$B$18)*SUMPRODUCT(OFFSET($BO$15,0,0,$B$14,1), 1*(_xlfn._xlws.FILTER(OFFSET($O$15,0,$DN131,$B$8,1),OFFSET($M$15,0,0,$B$8,1))=EQ$13), 1*(_xlfn._xlws.FILTER(OFFSET($O$15,0,$DO131,$B$8,1),OFFSET($M$15,0,0,$B$8,1))=EQ$14))   /   SUM(OFFSET($BO$15,0,0,$B$14,1)) + $B$18/($B$19*$B$19*($DN131&lt;&gt;$DO131) + $B$19*($DN131=$DO131))</f>
        <v>3.7037037037037035E-4</v>
      </c>
      <c r="ER131" s="10" cm="1">
        <f t="array" aca="1" ref="ER131" ca="1">(1-$B$18)*SUMPRODUCT(OFFSET($BO$15,0,0,$B$14,1), 1*(_xlfn._xlws.FILTER(OFFSET($O$15,0,$DN131,$B$8,1),OFFSET($M$15,0,0,$B$8,1))=ER$13), 1*(_xlfn._xlws.FILTER(OFFSET($O$15,0,$DO131,$B$8,1),OFFSET($M$15,0,0,$B$8,1))=ER$14))   /   SUM(OFFSET($BO$15,0,0,$B$14,1)) + $B$18/($B$19*$B$19*($DN131&lt;&gt;$DO131) + $B$19*($DN131=$DO131))</f>
        <v>3.7037037037037035E-4</v>
      </c>
      <c r="ES131" s="10" cm="1">
        <f t="array" aca="1" ref="ES131" ca="1">(1-$B$18)*SUMPRODUCT(OFFSET($BO$15,0,0,$B$14,1), 1*(_xlfn._xlws.FILTER(OFFSET($O$15,0,$DN131,$B$8,1),OFFSET($M$15,0,0,$B$8,1))=ES$13), 1*(_xlfn._xlws.FILTER(OFFSET($O$15,0,$DO131,$B$8,1),OFFSET($M$15,0,0,$B$8,1))=ES$14))   /   SUM(OFFSET($BO$15,0,0,$B$14,1)) + $B$18/($B$19*$B$19*($DN131&lt;&gt;$DO131) + $B$19*($DN131=$DO131))</f>
        <v>3.7037037037037035E-4</v>
      </c>
      <c r="ET131" s="10" cm="1">
        <f t="array" aca="1" ref="ET131" ca="1">(1-$B$18)*SUMPRODUCT(OFFSET($BO$15,0,0,$B$14,1), 1*(_xlfn._xlws.FILTER(OFFSET($O$15,0,$DN131,$B$8,1),OFFSET($M$15,0,0,$B$8,1))=ET$13), 1*(_xlfn._xlws.FILTER(OFFSET($O$15,0,$DO131,$B$8,1),OFFSET($M$15,0,0,$B$8,1))=ET$14))   /   SUM(OFFSET($BO$15,0,0,$B$14,1)) + $B$18/($B$19*$B$19*($DN131&lt;&gt;$DO131) + $B$19*($DN131=$DO131))</f>
        <v>3.7037037037037035E-4</v>
      </c>
      <c r="EU131" s="10" cm="1">
        <f t="array" aca="1" ref="EU131" ca="1">(1-$B$18)*SUMPRODUCT(OFFSET($BO$15,0,0,$B$14,1), 1*(_xlfn._xlws.FILTER(OFFSET($O$15,0,$DN131,$B$8,1),OFFSET($M$15,0,0,$B$8,1))=EU$13), 1*(_xlfn._xlws.FILTER(OFFSET($O$15,0,$DO131,$B$8,1),OFFSET($M$15,0,0,$B$8,1))=EU$14))   /   SUM(OFFSET($BO$15,0,0,$B$14,1)) + $B$18/($B$19*$B$19*($DN131&lt;&gt;$DO131) + $B$19*($DN131=$DO131))</f>
        <v>3.7037037037037035E-4</v>
      </c>
      <c r="EV131" s="10" cm="1">
        <f t="array" aca="1" ref="EV131" ca="1">(1-$B$18)*SUMPRODUCT(OFFSET($BO$15,0,0,$B$14,1), 1*(_xlfn._xlws.FILTER(OFFSET($O$15,0,$DN131,$B$8,1),OFFSET($M$15,0,0,$B$8,1))=EV$13), 1*(_xlfn._xlws.FILTER(OFFSET($O$15,0,$DO131,$B$8,1),OFFSET($M$15,0,0,$B$8,1))=EV$14))   /   SUM(OFFSET($BO$15,0,0,$B$14,1)) + $B$18/($B$19*$B$19*($DN131&lt;&gt;$DO131) + $B$19*($DN131=$DO131))</f>
        <v>3.7037037037037035E-4</v>
      </c>
      <c r="EW131" s="10" cm="1">
        <f t="array" aca="1" ref="EW131" ca="1">(1-$B$18)*SUMPRODUCT(OFFSET($BO$15,0,0,$B$14,1), 1*(_xlfn._xlws.FILTER(OFFSET($O$15,0,$DN131,$B$8,1),OFFSET($M$15,0,0,$B$8,1))=EW$13), 1*(_xlfn._xlws.FILTER(OFFSET($O$15,0,$DO131,$B$8,1),OFFSET($M$15,0,0,$B$8,1))=EW$14))   /   SUM(OFFSET($BO$15,0,0,$B$14,1)) + $B$18/($B$19*$B$19*($DN131&lt;&gt;$DO131) + $B$19*($DN131=$DO131))</f>
        <v>3.7037037037037035E-4</v>
      </c>
      <c r="EX131" s="10" cm="1">
        <f t="array" aca="1" ref="EX131" ca="1">(1-$B$18)*SUMPRODUCT(OFFSET($BO$15,0,0,$B$14,1), 1*(_xlfn._xlws.FILTER(OFFSET($O$15,0,$DN131,$B$8,1),OFFSET($M$15,0,0,$B$8,1))=EX$13), 1*(_xlfn._xlws.FILTER(OFFSET($O$15,0,$DO131,$B$8,1),OFFSET($M$15,0,0,$B$8,1))=EX$14))   /   SUM(OFFSET($BO$15,0,0,$B$14,1)) + $B$18/($B$19*$B$19*($DN131&lt;&gt;$DO131) + $B$19*($DN131=$DO131))</f>
        <v>3.7037037037037035E-4</v>
      </c>
      <c r="EY131" s="10" cm="1">
        <f t="array" aca="1" ref="EY131" ca="1">(1-$B$18)*SUMPRODUCT(OFFSET($BO$15,0,0,$B$14,1), 1*(_xlfn._xlws.FILTER(OFFSET($O$15,0,$DN131,$B$8,1),OFFSET($M$15,0,0,$B$8,1))=EY$13), 1*(_xlfn._xlws.FILTER(OFFSET($O$15,0,$DO131,$B$8,1),OFFSET($M$15,0,0,$B$8,1))=EY$14))   /   SUM(OFFSET($BO$15,0,0,$B$14,1)) + $B$18/($B$19*$B$19*($DN131&lt;&gt;$DO131) + $B$19*($DN131=$DO131))</f>
        <v>3.7037037037037035E-4</v>
      </c>
      <c r="EZ131" s="10" cm="1">
        <f t="array" aca="1" ref="EZ131" ca="1">(1-$B$18)*SUMPRODUCT(OFFSET($BO$15,0,0,$B$14,1), 1*(_xlfn._xlws.FILTER(OFFSET($O$15,0,$DN131,$B$8,1),OFFSET($M$15,0,0,$B$8,1))=EZ$13), 1*(_xlfn._xlws.FILTER(OFFSET($O$15,0,$DO131,$B$8,1),OFFSET($M$15,0,0,$B$8,1))=EZ$14))   /   SUM(OFFSET($BO$15,0,0,$B$14,1)) + $B$18/($B$19*$B$19*($DN131&lt;&gt;$DO131) + $B$19*($DN131=$DO131))</f>
        <v>3.7037037037037035E-4</v>
      </c>
      <c r="FA131" s="10" cm="1">
        <f t="array" aca="1" ref="FA131" ca="1">(1-$B$18)*SUMPRODUCT(OFFSET($BO$15,0,0,$B$14,1), 1*(_xlfn._xlws.FILTER(OFFSET($O$15,0,$DN131,$B$8,1),OFFSET($M$15,0,0,$B$8,1))=FA$13), 1*(_xlfn._xlws.FILTER(OFFSET($O$15,0,$DO131,$B$8,1),OFFSET($M$15,0,0,$B$8,1))=FA$14))   /   SUM(OFFSET($BO$15,0,0,$B$14,1)) + $B$18/($B$19*$B$19*($DN131&lt;&gt;$DO131) + $B$19*($DN131=$DO131))</f>
        <v>3.7037037037037035E-4</v>
      </c>
      <c r="FB131" s="10" cm="1">
        <f t="array" aca="1" ref="FB131" ca="1">(1-$B$18)*SUMPRODUCT(OFFSET($BO$15,0,0,$B$14,1), 1*(_xlfn._xlws.FILTER(OFFSET($O$15,0,$DN131,$B$8,1),OFFSET($M$15,0,0,$B$8,1))=FB$13), 1*(_xlfn._xlws.FILTER(OFFSET($O$15,0,$DO131,$B$8,1),OFFSET($M$15,0,0,$B$8,1))=FB$14))   /   SUM(OFFSET($BO$15,0,0,$B$14,1)) + $B$18/($B$19*$B$19*($DN131&lt;&gt;$DO131) + $B$19*($DN131=$DO131))</f>
        <v>3.7037037037037035E-4</v>
      </c>
      <c r="FC131" s="10" cm="1">
        <f t="array" aca="1" ref="FC131" ca="1">(1-$B$18)*SUMPRODUCT(OFFSET($BO$15,0,0,$B$14,1), 1*(_xlfn._xlws.FILTER(OFFSET($O$15,0,$DN131,$B$8,1),OFFSET($M$15,0,0,$B$8,1))=FC$13), 1*(_xlfn._xlws.FILTER(OFFSET($O$15,0,$DO131,$B$8,1),OFFSET($M$15,0,0,$B$8,1))=FC$14))   /   SUM(OFFSET($BO$15,0,0,$B$14,1)) + $B$18/($B$19*$B$19*($DN131&lt;&gt;$DO131) + $B$19*($DN131=$DO131))</f>
        <v>3.7037037037037035E-4</v>
      </c>
      <c r="FD131" s="10" cm="1">
        <f t="array" aca="1" ref="FD131" ca="1">(1-$B$18)*SUMPRODUCT(OFFSET($BO$15,0,0,$B$14,1), 1*(_xlfn._xlws.FILTER(OFFSET($O$15,0,$DN131,$B$8,1),OFFSET($M$15,0,0,$B$8,1))=FD$13), 1*(_xlfn._xlws.FILTER(OFFSET($O$15,0,$DO131,$B$8,1),OFFSET($M$15,0,0,$B$8,1))=FD$14))   /   SUM(OFFSET($BO$15,0,0,$B$14,1)) + $B$18/($B$19*$B$19*($DN131&lt;&gt;$DO131) + $B$19*($DN131=$DO131))</f>
        <v>3.7037037037037035E-4</v>
      </c>
      <c r="FE131" s="10" cm="1">
        <f t="array" aca="1" ref="FE131" ca="1">(1-$B$18)*SUMPRODUCT(OFFSET($BO$15,0,0,$B$14,1), 1*(_xlfn._xlws.FILTER(OFFSET($O$15,0,$DN131,$B$8,1),OFFSET($M$15,0,0,$B$8,1))=FE$13), 1*(_xlfn._xlws.FILTER(OFFSET($O$15,0,$DO131,$B$8,1),OFFSET($M$15,0,0,$B$8,1))=FE$14))   /   SUM(OFFSET($BO$15,0,0,$B$14,1)) + $B$18/($B$19*$B$19*($DN131&lt;&gt;$DO131) + $B$19*($DN131=$DO131))</f>
        <v>3.7037037037037035E-4</v>
      </c>
      <c r="FF131" s="10" cm="1">
        <f t="array" aca="1" ref="FF131" ca="1">(1-$B$18)*SUMPRODUCT(OFFSET($BO$15,0,0,$B$14,1), 1*(_xlfn._xlws.FILTER(OFFSET($O$15,0,$DN131,$B$8,1),OFFSET($M$15,0,0,$B$8,1))=FF$13), 1*(_xlfn._xlws.FILTER(OFFSET($O$15,0,$DO131,$B$8,1),OFFSET($M$15,0,0,$B$8,1))=FF$14))   /   SUM(OFFSET($BO$15,0,0,$B$14,1)) + $B$18/($B$19*$B$19*($DN131&lt;&gt;$DO131) + $B$19*($DN131=$DO131))</f>
        <v>3.7037037037037035E-4</v>
      </c>
      <c r="FG131" s="10" cm="1">
        <f t="array" aca="1" ref="FG131" ca="1">(1-$B$18)*SUMPRODUCT(OFFSET($BO$15,0,0,$B$14,1), 1*(_xlfn._xlws.FILTER(OFFSET($O$15,0,$DN131,$B$8,1),OFFSET($M$15,0,0,$B$8,1))=FG$13), 1*(_xlfn._xlws.FILTER(OFFSET($O$15,0,$DO131,$B$8,1),OFFSET($M$15,0,0,$B$8,1))=FG$14))   /   SUM(OFFSET($BO$15,0,0,$B$14,1)) + $B$18/($B$19*$B$19*($DN131&lt;&gt;$DO131) + $B$19*($DN131=$DO131))</f>
        <v>3.7037037037037035E-4</v>
      </c>
      <c r="FH131" s="10" cm="1">
        <f t="array" aca="1" ref="FH131" ca="1">(1-$B$18)*SUMPRODUCT(OFFSET($BO$15,0,0,$B$14,1), 1*(_xlfn._xlws.FILTER(OFFSET($O$15,0,$DN131,$B$8,1),OFFSET($M$15,0,0,$B$8,1))=FH$13), 1*(_xlfn._xlws.FILTER(OFFSET($O$15,0,$DO131,$B$8,1),OFFSET($M$15,0,0,$B$8,1))=FH$14))   /   SUM(OFFSET($BO$15,0,0,$B$14,1)) + $B$18/($B$19*$B$19*($DN131&lt;&gt;$DO131) + $B$19*($DN131=$DO131))</f>
        <v>3.7037037037037035E-4</v>
      </c>
      <c r="FI131" s="10" cm="1">
        <f t="array" aca="1" ref="FI131" ca="1">(1-$B$18)*SUMPRODUCT(OFFSET($BO$15,0,0,$B$14,1), 1*(_xlfn._xlws.FILTER(OFFSET($O$15,0,$DN131,$B$8,1),OFFSET($M$15,0,0,$B$8,1))=FI$13), 1*(_xlfn._xlws.FILTER(OFFSET($O$15,0,$DO131,$B$8,1),OFFSET($M$15,0,0,$B$8,1))=FI$14))   /   SUM(OFFSET($BO$15,0,0,$B$14,1)) + $B$18/($B$19*$B$19*($DN131&lt;&gt;$DO131) + $B$19*($DN131=$DO131))</f>
        <v>3.7037037037037035E-4</v>
      </c>
      <c r="FJ131" s="10" cm="1">
        <f t="array" aca="1" ref="FJ131" ca="1">(1-$B$18)*SUMPRODUCT(OFFSET($BO$15,0,0,$B$14,1), 1*(_xlfn._xlws.FILTER(OFFSET($O$15,0,$DN131,$B$8,1),OFFSET($M$15,0,0,$B$8,1))=FJ$13), 1*(_xlfn._xlws.FILTER(OFFSET($O$15,0,$DO131,$B$8,1),OFFSET($M$15,0,0,$B$8,1))=FJ$14))   /   SUM(OFFSET($BO$15,0,0,$B$14,1)) + $B$18/($B$19*$B$19*($DN131&lt;&gt;$DO131) + $B$19*($DN131=$DO131))</f>
        <v>3.7037037037037035E-4</v>
      </c>
      <c r="FK131" s="10" cm="1">
        <f t="array" aca="1" ref="FK131" ca="1">(1-$B$18)*SUMPRODUCT(OFFSET($BO$15,0,0,$B$14,1), 1*(_xlfn._xlws.FILTER(OFFSET($O$15,0,$DN131,$B$8,1),OFFSET($M$15,0,0,$B$8,1))=FK$13), 1*(_xlfn._xlws.FILTER(OFFSET($O$15,0,$DO131,$B$8,1),OFFSET($M$15,0,0,$B$8,1))=FK$14))   /   SUM(OFFSET($BO$15,0,0,$B$14,1)) + $B$18/($B$19*$B$19*($DN131&lt;&gt;$DO131) + $B$19*($DN131=$DO131))</f>
        <v>3.7037037037037035E-4</v>
      </c>
      <c r="FL131" s="10" cm="1">
        <f t="array" aca="1" ref="FL131" ca="1">(1-$B$18)*SUMPRODUCT(OFFSET($BO$15,0,0,$B$14,1), 1*(_xlfn._xlws.FILTER(OFFSET($O$15,0,$DN131,$B$8,1),OFFSET($M$15,0,0,$B$8,1))=FL$13), 1*(_xlfn._xlws.FILTER(OFFSET($O$15,0,$DO131,$B$8,1),OFFSET($M$15,0,0,$B$8,1))=FL$14))   /   SUM(OFFSET($BO$15,0,0,$B$14,1)) + $B$18/($B$19*$B$19*($DN131&lt;&gt;$DO131) + $B$19*($DN131=$DO131))</f>
        <v>3.7037037037037035E-4</v>
      </c>
      <c r="FM131" s="10" cm="1">
        <f t="array" aca="1" ref="FM131" ca="1">(1-$B$18)*SUMPRODUCT(OFFSET($BO$15,0,0,$B$14,1), 1*(_xlfn._xlws.FILTER(OFFSET($O$15,0,$DN131,$B$8,1),OFFSET($M$15,0,0,$B$8,1))=FM$13), 1*(_xlfn._xlws.FILTER(OFFSET($O$15,0,$DO131,$B$8,1),OFFSET($M$15,0,0,$B$8,1))=FM$14))   /   SUM(OFFSET($BO$15,0,0,$B$14,1)) + $B$18/($B$19*$B$19*($DN131&lt;&gt;$DO131) + $B$19*($DN131=$DO131))</f>
        <v>3.7037037037037035E-4</v>
      </c>
      <c r="FN131" s="10" cm="1">
        <f t="array" aca="1" ref="FN131" ca="1">(1-$B$18)*SUMPRODUCT(OFFSET($BO$15,0,0,$B$14,1), 1*(_xlfn._xlws.FILTER(OFFSET($O$15,0,$DN131,$B$8,1),OFFSET($M$15,0,0,$B$8,1))=FN$13), 1*(_xlfn._xlws.FILTER(OFFSET($O$15,0,$DO131,$B$8,1),OFFSET($M$15,0,0,$B$8,1))=FN$14))   /   SUM(OFFSET($BO$15,0,0,$B$14,1)) + $B$18/($B$19*$B$19*($DN131&lt;&gt;$DO131) + $B$19*($DN131=$DO131))</f>
        <v>3.7037037037037035E-4</v>
      </c>
      <c r="FO131" s="10" cm="1">
        <f t="array" aca="1" ref="FO131" ca="1">(1-$B$18)*SUMPRODUCT(OFFSET($BO$15,0,0,$B$14,1), 1*(_xlfn._xlws.FILTER(OFFSET($O$15,0,$DN131,$B$8,1),OFFSET($M$15,0,0,$B$8,1))=FO$13), 1*(_xlfn._xlws.FILTER(OFFSET($O$15,0,$DO131,$B$8,1),OFFSET($M$15,0,0,$B$8,1))=FO$14))   /   SUM(OFFSET($BO$15,0,0,$B$14,1)) + $B$18/($B$19*$B$19*($DN131&lt;&gt;$DO131) + $B$19*($DN131=$DO131))</f>
        <v>3.7037037037037035E-4</v>
      </c>
      <c r="FP131" s="10" cm="1">
        <f t="array" aca="1" ref="FP131" ca="1">(1-$B$18)*SUMPRODUCT(OFFSET($BO$15,0,0,$B$14,1), 1*(_xlfn._xlws.FILTER(OFFSET($O$15,0,$DN131,$B$8,1),OFFSET($M$15,0,0,$B$8,1))=FP$13), 1*(_xlfn._xlws.FILTER(OFFSET($O$15,0,$DO131,$B$8,1),OFFSET($M$15,0,0,$B$8,1))=FP$14))   /   SUM(OFFSET($BO$15,0,0,$B$14,1)) + $B$18/($B$19*$B$19*($DN131&lt;&gt;$DO131) + $B$19*($DN131=$DO131))</f>
        <v>3.7037037037037035E-4</v>
      </c>
      <c r="FQ131" s="10" cm="1">
        <f t="array" aca="1" ref="FQ131" ca="1">(1-$B$18)*SUMPRODUCT(OFFSET($BO$15,0,0,$B$14,1), 1*(_xlfn._xlws.FILTER(OFFSET($O$15,0,$DN131,$B$8,1),OFFSET($M$15,0,0,$B$8,1))=FQ$13), 1*(_xlfn._xlws.FILTER(OFFSET($O$15,0,$DO131,$B$8,1),OFFSET($M$15,0,0,$B$8,1))=FQ$14))   /   SUM(OFFSET($BO$15,0,0,$B$14,1)) + $B$18/($B$19*$B$19*($DN131&lt;&gt;$DO131) + $B$19*($DN131=$DO131))</f>
        <v>3.7037037037037035E-4</v>
      </c>
      <c r="FR131" s="10" cm="1">
        <f t="array" aca="1" ref="FR131" ca="1">(1-$B$18)*SUMPRODUCT(OFFSET($BO$15,0,0,$B$14,1), 1*(_xlfn._xlws.FILTER(OFFSET($O$15,0,$DN131,$B$8,1),OFFSET($M$15,0,0,$B$8,1))=FR$13), 1*(_xlfn._xlws.FILTER(OFFSET($O$15,0,$DO131,$B$8,1),OFFSET($M$15,0,0,$B$8,1))=FR$14))   /   SUM(OFFSET($BO$15,0,0,$B$14,1)) + $B$18/($B$19*$B$19*($DN131&lt;&gt;$DO131) + $B$19*($DN131=$DO131))</f>
        <v>0.97037037037037033</v>
      </c>
      <c r="FS131" s="10" cm="1">
        <f t="array" aca="1" ref="FS131" ca="1">(1-$B$18)*SUMPRODUCT(OFFSET($BO$15,0,0,$B$14,1), 1*(_xlfn._xlws.FILTER(OFFSET($O$15,0,$DN131,$B$8,1),OFFSET($M$15,0,0,$B$8,1))=FS$13), 1*(_xlfn._xlws.FILTER(OFFSET($O$15,0,$DO131,$B$8,1),OFFSET($M$15,0,0,$B$8,1))=FS$14))   /   SUM(OFFSET($BO$15,0,0,$B$14,1)) + $B$18/($B$19*$B$19*($DN131&lt;&gt;$DO131) + $B$19*($DN131=$DO131))</f>
        <v>3.7037037037037035E-4</v>
      </c>
      <c r="FT131" s="10" cm="1">
        <f t="array" aca="1" ref="FT131" ca="1">(1-$B$18)*SUMPRODUCT(OFFSET($BO$15,0,0,$B$14,1), 1*(_xlfn._xlws.FILTER(OFFSET($O$15,0,$DN131,$B$8,1),OFFSET($M$15,0,0,$B$8,1))=FT$13), 1*(_xlfn._xlws.FILTER(OFFSET($O$15,0,$DO131,$B$8,1),OFFSET($M$15,0,0,$B$8,1))=FT$14))   /   SUM(OFFSET($BO$15,0,0,$B$14,1)) + $B$18/($B$19*$B$19*($DN131&lt;&gt;$DO131) + $B$19*($DN131=$DO131))</f>
        <v>3.7037037037037035E-4</v>
      </c>
      <c r="FU131" s="10" cm="1">
        <f t="array" aca="1" ref="FU131" ca="1">(1-$B$18)*SUMPRODUCT(OFFSET($BO$15,0,0,$B$14,1), 1*(_xlfn._xlws.FILTER(OFFSET($O$15,0,$DN131,$B$8,1),OFFSET($M$15,0,0,$B$8,1))=FU$13), 1*(_xlfn._xlws.FILTER(OFFSET($O$15,0,$DO131,$B$8,1),OFFSET($M$15,0,0,$B$8,1))=FU$14))   /   SUM(OFFSET($BO$15,0,0,$B$14,1)) + $B$18/($B$19*$B$19*($DN131&lt;&gt;$DO131) + $B$19*($DN131=$DO131))</f>
        <v>3.7037037037037035E-4</v>
      </c>
      <c r="FV131" s="10" cm="1">
        <f t="array" aca="1" ref="FV131" ca="1">(1-$B$18)*SUMPRODUCT(OFFSET($BO$15,0,0,$B$14,1), 1*(_xlfn._xlws.FILTER(OFFSET($O$15,0,$DN131,$B$8,1),OFFSET($M$15,0,0,$B$8,1))=FV$13), 1*(_xlfn._xlws.FILTER(OFFSET($O$15,0,$DO131,$B$8,1),OFFSET($M$15,0,0,$B$8,1))=FV$14))   /   SUM(OFFSET($BO$15,0,0,$B$14,1)) + $B$18/($B$19*$B$19*($DN131&lt;&gt;$DO131) + $B$19*($DN131=$DO131))</f>
        <v>3.7037037037037035E-4</v>
      </c>
      <c r="FW131" s="10" cm="1">
        <f t="array" aca="1" ref="FW131" ca="1">(1-$B$18)*SUMPRODUCT(OFFSET($BO$15,0,0,$B$14,1), 1*(_xlfn._xlws.FILTER(OFFSET($O$15,0,$DN131,$B$8,1),OFFSET($M$15,0,0,$B$8,1))=FW$13), 1*(_xlfn._xlws.FILTER(OFFSET($O$15,0,$DO131,$B$8,1),OFFSET($M$15,0,0,$B$8,1))=FW$14))   /   SUM(OFFSET($BO$15,0,0,$B$14,1)) + $B$18/($B$19*$B$19*($DN131&lt;&gt;$DO131) + $B$19*($DN131=$DO131))</f>
        <v>3.7037037037037035E-4</v>
      </c>
      <c r="FX131" s="10" cm="1">
        <f t="array" aca="1" ref="FX131" ca="1">(1-$B$18)*SUMPRODUCT(OFFSET($BO$15,0,0,$B$14,1), 1*(_xlfn._xlws.FILTER(OFFSET($O$15,0,$DN131,$B$8,1),OFFSET($M$15,0,0,$B$8,1))=FX$13), 1*(_xlfn._xlws.FILTER(OFFSET($O$15,0,$DO131,$B$8,1),OFFSET($M$15,0,0,$B$8,1))=FX$14))   /   SUM(OFFSET($BO$15,0,0,$B$14,1)) + $B$18/($B$19*$B$19*($DN131&lt;&gt;$DO131) + $B$19*($DN131=$DO131))</f>
        <v>3.7037037037037035E-4</v>
      </c>
      <c r="FY131" s="10" cm="1">
        <f t="array" aca="1" ref="FY131" ca="1">(1-$B$18)*SUMPRODUCT(OFFSET($BO$15,0,0,$B$14,1), 1*(_xlfn._xlws.FILTER(OFFSET($O$15,0,$DN131,$B$8,1),OFFSET($M$15,0,0,$B$8,1))=FY$13), 1*(_xlfn._xlws.FILTER(OFFSET($O$15,0,$DO131,$B$8,1),OFFSET($M$15,0,0,$B$8,1))=FY$14))   /   SUM(OFFSET($BO$15,0,0,$B$14,1)) + $B$18/($B$19*$B$19*($DN131&lt;&gt;$DO131) + $B$19*($DN131=$DO131))</f>
        <v>3.7037037037037035E-4</v>
      </c>
      <c r="FZ131" s="10" cm="1">
        <f t="array" aca="1" ref="FZ131" ca="1">(1-$B$18)*SUMPRODUCT(OFFSET($BO$15,0,0,$B$14,1), 1*(_xlfn._xlws.FILTER(OFFSET($O$15,0,$DN131,$B$8,1),OFFSET($M$15,0,0,$B$8,1))=FZ$13), 1*(_xlfn._xlws.FILTER(OFFSET($O$15,0,$DO131,$B$8,1),OFFSET($M$15,0,0,$B$8,1))=FZ$14))   /   SUM(OFFSET($BO$15,0,0,$B$14,1)) + $B$18/($B$19*$B$19*($DN131&lt;&gt;$DO131) + $B$19*($DN131=$DO131))</f>
        <v>3.7037037037037035E-4</v>
      </c>
      <c r="GA131" s="10" cm="1">
        <f t="array" aca="1" ref="GA131" ca="1">(1-$B$18)*SUMPRODUCT(OFFSET($BO$15,0,0,$B$14,1), 1*(_xlfn._xlws.FILTER(OFFSET($O$15,0,$DN131,$B$8,1),OFFSET($M$15,0,0,$B$8,1))=GA$13), 1*(_xlfn._xlws.FILTER(OFFSET($O$15,0,$DO131,$B$8,1),OFFSET($M$15,0,0,$B$8,1))=GA$14))   /   SUM(OFFSET($BO$15,0,0,$B$14,1)) + $B$18/($B$19*$B$19*($DN131&lt;&gt;$DO131) + $B$19*($DN131=$DO131))</f>
        <v>3.7037037037037035E-4</v>
      </c>
    </row>
    <row r="132" spans="7:183" x14ac:dyDescent="0.2">
      <c r="G132" s="2"/>
      <c r="H132" s="2"/>
      <c r="AH132" s="2"/>
      <c r="AI132" s="2"/>
      <c r="DN132" cm="1">
        <f t="array" aca="1" ref="DN132" ca="1">INDEX(_xlfn.ANCHORARRAY($CP$15), 1 + INT((ROWS($DO$15:$DO132) - 1) / ROWS(_xlfn.ANCHORARRAY($CP$15))))</f>
        <v>6</v>
      </c>
      <c r="DO132" cm="1">
        <f t="array" aca="1" ref="DO132" ca="1">INDEX(_xlfn.ANCHORARRAY($CP$15),1+MOD(ROWS($DO$15:$DO132)-1,ROWS(_xlfn.ANCHORARRAY($CP$15))))</f>
        <v>3</v>
      </c>
      <c r="DP132" s="10" cm="1">
        <f t="array" aca="1" ref="DP132" ca="1">(1-$B$18)*SUMPRODUCT(OFFSET($BO$15,0,0,$B$14,1), 1*(_xlfn._xlws.FILTER(OFFSET($O$15,0,$DN132,$B$8,1),OFFSET($M$15,0,0,$B$8,1))=DP$13), 1*(_xlfn._xlws.FILTER(OFFSET($O$15,0,$DO132,$B$8,1),OFFSET($M$15,0,0,$B$8,1))=DP$14))   /   SUM(OFFSET($BO$15,0,0,$B$14,1)) + $B$18/($B$19*$B$19*($DN132&lt;&gt;$DO132) + $B$19*($DN132=$DO132))</f>
        <v>3.7037037037037035E-4</v>
      </c>
      <c r="DQ132" s="10" cm="1">
        <f t="array" aca="1" ref="DQ132" ca="1">(1-$B$18)*SUMPRODUCT(OFFSET($BO$15,0,0,$B$14,1), 1*(_xlfn._xlws.FILTER(OFFSET($O$15,0,$DN132,$B$8,1),OFFSET($M$15,0,0,$B$8,1))=DQ$13), 1*(_xlfn._xlws.FILTER(OFFSET($O$15,0,$DO132,$B$8,1),OFFSET($M$15,0,0,$B$8,1))=DQ$14))   /   SUM(OFFSET($BO$15,0,0,$B$14,1)) + $B$18/($B$19*$B$19*($DN132&lt;&gt;$DO132) + $B$19*($DN132=$DO132))</f>
        <v>3.7037037037037035E-4</v>
      </c>
      <c r="DR132" s="10" cm="1">
        <f t="array" aca="1" ref="DR132" ca="1">(1-$B$18)*SUMPRODUCT(OFFSET($BO$15,0,0,$B$14,1), 1*(_xlfn._xlws.FILTER(OFFSET($O$15,0,$DN132,$B$8,1),OFFSET($M$15,0,0,$B$8,1))=DR$13), 1*(_xlfn._xlws.FILTER(OFFSET($O$15,0,$DO132,$B$8,1),OFFSET($M$15,0,0,$B$8,1))=DR$14))   /   SUM(OFFSET($BO$15,0,0,$B$14,1)) + $B$18/($B$19*$B$19*($DN132&lt;&gt;$DO132) + $B$19*($DN132=$DO132))</f>
        <v>3.7037037037037035E-4</v>
      </c>
      <c r="DS132" s="10" cm="1">
        <f t="array" aca="1" ref="DS132" ca="1">(1-$B$18)*SUMPRODUCT(OFFSET($BO$15,0,0,$B$14,1), 1*(_xlfn._xlws.FILTER(OFFSET($O$15,0,$DN132,$B$8,1),OFFSET($M$15,0,0,$B$8,1))=DS$13), 1*(_xlfn._xlws.FILTER(OFFSET($O$15,0,$DO132,$B$8,1),OFFSET($M$15,0,0,$B$8,1))=DS$14))   /   SUM(OFFSET($BO$15,0,0,$B$14,1)) + $B$18/($B$19*$B$19*($DN132&lt;&gt;$DO132) + $B$19*($DN132=$DO132))</f>
        <v>3.7037037037037035E-4</v>
      </c>
      <c r="DT132" s="10" cm="1">
        <f t="array" aca="1" ref="DT132" ca="1">(1-$B$18)*SUMPRODUCT(OFFSET($BO$15,0,0,$B$14,1), 1*(_xlfn._xlws.FILTER(OFFSET($O$15,0,$DN132,$B$8,1),OFFSET($M$15,0,0,$B$8,1))=DT$13), 1*(_xlfn._xlws.FILTER(OFFSET($O$15,0,$DO132,$B$8,1),OFFSET($M$15,0,0,$B$8,1))=DT$14))   /   SUM(OFFSET($BO$15,0,0,$B$14,1)) + $B$18/($B$19*$B$19*($DN132&lt;&gt;$DO132) + $B$19*($DN132=$DO132))</f>
        <v>3.7037037037037035E-4</v>
      </c>
      <c r="DU132" s="10" cm="1">
        <f t="array" aca="1" ref="DU132" ca="1">(1-$B$18)*SUMPRODUCT(OFFSET($BO$15,0,0,$B$14,1), 1*(_xlfn._xlws.FILTER(OFFSET($O$15,0,$DN132,$B$8,1),OFFSET($M$15,0,0,$B$8,1))=DU$13), 1*(_xlfn._xlws.FILTER(OFFSET($O$15,0,$DO132,$B$8,1),OFFSET($M$15,0,0,$B$8,1))=DU$14))   /   SUM(OFFSET($BO$15,0,0,$B$14,1)) + $B$18/($B$19*$B$19*($DN132&lt;&gt;$DO132) + $B$19*($DN132=$DO132))</f>
        <v>3.7037037037037035E-4</v>
      </c>
      <c r="DV132" s="10" cm="1">
        <f t="array" aca="1" ref="DV132" ca="1">(1-$B$18)*SUMPRODUCT(OFFSET($BO$15,0,0,$B$14,1), 1*(_xlfn._xlws.FILTER(OFFSET($O$15,0,$DN132,$B$8,1),OFFSET($M$15,0,0,$B$8,1))=DV$13), 1*(_xlfn._xlws.FILTER(OFFSET($O$15,0,$DO132,$B$8,1),OFFSET($M$15,0,0,$B$8,1))=DV$14))   /   SUM(OFFSET($BO$15,0,0,$B$14,1)) + $B$18/($B$19*$B$19*($DN132&lt;&gt;$DO132) + $B$19*($DN132=$DO132))</f>
        <v>3.7037037037037035E-4</v>
      </c>
      <c r="DW132" s="10" cm="1">
        <f t="array" aca="1" ref="DW132" ca="1">(1-$B$18)*SUMPRODUCT(OFFSET($BO$15,0,0,$B$14,1), 1*(_xlfn._xlws.FILTER(OFFSET($O$15,0,$DN132,$B$8,1),OFFSET($M$15,0,0,$B$8,1))=DW$13), 1*(_xlfn._xlws.FILTER(OFFSET($O$15,0,$DO132,$B$8,1),OFFSET($M$15,0,0,$B$8,1))=DW$14))   /   SUM(OFFSET($BO$15,0,0,$B$14,1)) + $B$18/($B$19*$B$19*($DN132&lt;&gt;$DO132) + $B$19*($DN132=$DO132))</f>
        <v>3.7037037037037035E-4</v>
      </c>
      <c r="DX132" s="10" cm="1">
        <f t="array" aca="1" ref="DX132" ca="1">(1-$B$18)*SUMPRODUCT(OFFSET($BO$15,0,0,$B$14,1), 1*(_xlfn._xlws.FILTER(OFFSET($O$15,0,$DN132,$B$8,1),OFFSET($M$15,0,0,$B$8,1))=DX$13), 1*(_xlfn._xlws.FILTER(OFFSET($O$15,0,$DO132,$B$8,1),OFFSET($M$15,0,0,$B$8,1))=DX$14))   /   SUM(OFFSET($BO$15,0,0,$B$14,1)) + $B$18/($B$19*$B$19*($DN132&lt;&gt;$DO132) + $B$19*($DN132=$DO132))</f>
        <v>3.7037037037037035E-4</v>
      </c>
      <c r="DY132" s="10" cm="1">
        <f t="array" aca="1" ref="DY132" ca="1">(1-$B$18)*SUMPRODUCT(OFFSET($BO$15,0,0,$B$14,1), 1*(_xlfn._xlws.FILTER(OFFSET($O$15,0,$DN132,$B$8,1),OFFSET($M$15,0,0,$B$8,1))=DY$13), 1*(_xlfn._xlws.FILTER(OFFSET($O$15,0,$DO132,$B$8,1),OFFSET($M$15,0,0,$B$8,1))=DY$14))   /   SUM(OFFSET($BO$15,0,0,$B$14,1)) + $B$18/($B$19*$B$19*($DN132&lt;&gt;$DO132) + $B$19*($DN132=$DO132))</f>
        <v>3.7037037037037035E-4</v>
      </c>
      <c r="DZ132" s="10" cm="1">
        <f t="array" aca="1" ref="DZ132" ca="1">(1-$B$18)*SUMPRODUCT(OFFSET($BO$15,0,0,$B$14,1), 1*(_xlfn._xlws.FILTER(OFFSET($O$15,0,$DN132,$B$8,1),OFFSET($M$15,0,0,$B$8,1))=DZ$13), 1*(_xlfn._xlws.FILTER(OFFSET($O$15,0,$DO132,$B$8,1),OFFSET($M$15,0,0,$B$8,1))=DZ$14))   /   SUM(OFFSET($BO$15,0,0,$B$14,1)) + $B$18/($B$19*$B$19*($DN132&lt;&gt;$DO132) + $B$19*($DN132=$DO132))</f>
        <v>3.7037037037037035E-4</v>
      </c>
      <c r="EA132" s="10" cm="1">
        <f t="array" aca="1" ref="EA132" ca="1">(1-$B$18)*SUMPRODUCT(OFFSET($BO$15,0,0,$B$14,1), 1*(_xlfn._xlws.FILTER(OFFSET($O$15,0,$DN132,$B$8,1),OFFSET($M$15,0,0,$B$8,1))=EA$13), 1*(_xlfn._xlws.FILTER(OFFSET($O$15,0,$DO132,$B$8,1),OFFSET($M$15,0,0,$B$8,1))=EA$14))   /   SUM(OFFSET($BO$15,0,0,$B$14,1)) + $B$18/($B$19*$B$19*($DN132&lt;&gt;$DO132) + $B$19*($DN132=$DO132))</f>
        <v>3.7037037037037035E-4</v>
      </c>
      <c r="EB132" s="10" cm="1">
        <f t="array" aca="1" ref="EB132" ca="1">(1-$B$18)*SUMPRODUCT(OFFSET($BO$15,0,0,$B$14,1), 1*(_xlfn._xlws.FILTER(OFFSET($O$15,0,$DN132,$B$8,1),OFFSET($M$15,0,0,$B$8,1))=EB$13), 1*(_xlfn._xlws.FILTER(OFFSET($O$15,0,$DO132,$B$8,1),OFFSET($M$15,0,0,$B$8,1))=EB$14))   /   SUM(OFFSET($BO$15,0,0,$B$14,1)) + $B$18/($B$19*$B$19*($DN132&lt;&gt;$DO132) + $B$19*($DN132=$DO132))</f>
        <v>3.7037037037037035E-4</v>
      </c>
      <c r="EC132" s="10" cm="1">
        <f t="array" aca="1" ref="EC132" ca="1">(1-$B$18)*SUMPRODUCT(OFFSET($BO$15,0,0,$B$14,1), 1*(_xlfn._xlws.FILTER(OFFSET($O$15,0,$DN132,$B$8,1),OFFSET($M$15,0,0,$B$8,1))=EC$13), 1*(_xlfn._xlws.FILTER(OFFSET($O$15,0,$DO132,$B$8,1),OFFSET($M$15,0,0,$B$8,1))=EC$14))   /   SUM(OFFSET($BO$15,0,0,$B$14,1)) + $B$18/($B$19*$B$19*($DN132&lt;&gt;$DO132) + $B$19*($DN132=$DO132))</f>
        <v>3.7037037037037035E-4</v>
      </c>
      <c r="ED132" s="10" cm="1">
        <f t="array" aca="1" ref="ED132" ca="1">(1-$B$18)*SUMPRODUCT(OFFSET($BO$15,0,0,$B$14,1), 1*(_xlfn._xlws.FILTER(OFFSET($O$15,0,$DN132,$B$8,1),OFFSET($M$15,0,0,$B$8,1))=ED$13), 1*(_xlfn._xlws.FILTER(OFFSET($O$15,0,$DO132,$B$8,1),OFFSET($M$15,0,0,$B$8,1))=ED$14))   /   SUM(OFFSET($BO$15,0,0,$B$14,1)) + $B$18/($B$19*$B$19*($DN132&lt;&gt;$DO132) + $B$19*($DN132=$DO132))</f>
        <v>3.7037037037037035E-4</v>
      </c>
      <c r="EE132" s="10" cm="1">
        <f t="array" aca="1" ref="EE132" ca="1">(1-$B$18)*SUMPRODUCT(OFFSET($BO$15,0,0,$B$14,1), 1*(_xlfn._xlws.FILTER(OFFSET($O$15,0,$DN132,$B$8,1),OFFSET($M$15,0,0,$B$8,1))=EE$13), 1*(_xlfn._xlws.FILTER(OFFSET($O$15,0,$DO132,$B$8,1),OFFSET($M$15,0,0,$B$8,1))=EE$14))   /   SUM(OFFSET($BO$15,0,0,$B$14,1)) + $B$18/($B$19*$B$19*($DN132&lt;&gt;$DO132) + $B$19*($DN132=$DO132))</f>
        <v>3.7037037037037035E-4</v>
      </c>
      <c r="EF132" s="10" cm="1">
        <f t="array" aca="1" ref="EF132" ca="1">(1-$B$18)*SUMPRODUCT(OFFSET($BO$15,0,0,$B$14,1), 1*(_xlfn._xlws.FILTER(OFFSET($O$15,0,$DN132,$B$8,1),OFFSET($M$15,0,0,$B$8,1))=EF$13), 1*(_xlfn._xlws.FILTER(OFFSET($O$15,0,$DO132,$B$8,1),OFFSET($M$15,0,0,$B$8,1))=EF$14))   /   SUM(OFFSET($BO$15,0,0,$B$14,1)) + $B$18/($B$19*$B$19*($DN132&lt;&gt;$DO132) + $B$19*($DN132=$DO132))</f>
        <v>3.7037037037037035E-4</v>
      </c>
      <c r="EG132" s="10" cm="1">
        <f t="array" aca="1" ref="EG132" ca="1">(1-$B$18)*SUMPRODUCT(OFFSET($BO$15,0,0,$B$14,1), 1*(_xlfn._xlws.FILTER(OFFSET($O$15,0,$DN132,$B$8,1),OFFSET($M$15,0,0,$B$8,1))=EG$13), 1*(_xlfn._xlws.FILTER(OFFSET($O$15,0,$DO132,$B$8,1),OFFSET($M$15,0,0,$B$8,1))=EG$14))   /   SUM(OFFSET($BO$15,0,0,$B$14,1)) + $B$18/($B$19*$B$19*($DN132&lt;&gt;$DO132) + $B$19*($DN132=$DO132))</f>
        <v>3.7037037037037035E-4</v>
      </c>
      <c r="EH132" s="10" cm="1">
        <f t="array" aca="1" ref="EH132" ca="1">(1-$B$18)*SUMPRODUCT(OFFSET($BO$15,0,0,$B$14,1), 1*(_xlfn._xlws.FILTER(OFFSET($O$15,0,$DN132,$B$8,1),OFFSET($M$15,0,0,$B$8,1))=EH$13), 1*(_xlfn._xlws.FILTER(OFFSET($O$15,0,$DO132,$B$8,1),OFFSET($M$15,0,0,$B$8,1))=EH$14))   /   SUM(OFFSET($BO$15,0,0,$B$14,1)) + $B$18/($B$19*$B$19*($DN132&lt;&gt;$DO132) + $B$19*($DN132=$DO132))</f>
        <v>3.7037037037037035E-4</v>
      </c>
      <c r="EI132" s="10" cm="1">
        <f t="array" aca="1" ref="EI132" ca="1">(1-$B$18)*SUMPRODUCT(OFFSET($BO$15,0,0,$B$14,1), 1*(_xlfn._xlws.FILTER(OFFSET($O$15,0,$DN132,$B$8,1),OFFSET($M$15,0,0,$B$8,1))=EI$13), 1*(_xlfn._xlws.FILTER(OFFSET($O$15,0,$DO132,$B$8,1),OFFSET($M$15,0,0,$B$8,1))=EI$14))   /   SUM(OFFSET($BO$15,0,0,$B$14,1)) + $B$18/($B$19*$B$19*($DN132&lt;&gt;$DO132) + $B$19*($DN132=$DO132))</f>
        <v>3.7037037037037035E-4</v>
      </c>
      <c r="EJ132" s="10" cm="1">
        <f t="array" aca="1" ref="EJ132" ca="1">(1-$B$18)*SUMPRODUCT(OFFSET($BO$15,0,0,$B$14,1), 1*(_xlfn._xlws.FILTER(OFFSET($O$15,0,$DN132,$B$8,1),OFFSET($M$15,0,0,$B$8,1))=EJ$13), 1*(_xlfn._xlws.FILTER(OFFSET($O$15,0,$DO132,$B$8,1),OFFSET($M$15,0,0,$B$8,1))=EJ$14))   /   SUM(OFFSET($BO$15,0,0,$B$14,1)) + $B$18/($B$19*$B$19*($DN132&lt;&gt;$DO132) + $B$19*($DN132=$DO132))</f>
        <v>3.7037037037037035E-4</v>
      </c>
      <c r="EK132" s="10" cm="1">
        <f t="array" aca="1" ref="EK132" ca="1">(1-$B$18)*SUMPRODUCT(OFFSET($BO$15,0,0,$B$14,1), 1*(_xlfn._xlws.FILTER(OFFSET($O$15,0,$DN132,$B$8,1),OFFSET($M$15,0,0,$B$8,1))=EK$13), 1*(_xlfn._xlws.FILTER(OFFSET($O$15,0,$DO132,$B$8,1),OFFSET($M$15,0,0,$B$8,1))=EK$14))   /   SUM(OFFSET($BO$15,0,0,$B$14,1)) + $B$18/($B$19*$B$19*($DN132&lt;&gt;$DO132) + $B$19*($DN132=$DO132))</f>
        <v>3.7037037037037035E-4</v>
      </c>
      <c r="EL132" s="10" cm="1">
        <f t="array" aca="1" ref="EL132" ca="1">(1-$B$18)*SUMPRODUCT(OFFSET($BO$15,0,0,$B$14,1), 1*(_xlfn._xlws.FILTER(OFFSET($O$15,0,$DN132,$B$8,1),OFFSET($M$15,0,0,$B$8,1))=EL$13), 1*(_xlfn._xlws.FILTER(OFFSET($O$15,0,$DO132,$B$8,1),OFFSET($M$15,0,0,$B$8,1))=EL$14))   /   SUM(OFFSET($BO$15,0,0,$B$14,1)) + $B$18/($B$19*$B$19*($DN132&lt;&gt;$DO132) + $B$19*($DN132=$DO132))</f>
        <v>3.7037037037037035E-4</v>
      </c>
      <c r="EM132" s="10" cm="1">
        <f t="array" aca="1" ref="EM132" ca="1">(1-$B$18)*SUMPRODUCT(OFFSET($BO$15,0,0,$B$14,1), 1*(_xlfn._xlws.FILTER(OFFSET($O$15,0,$DN132,$B$8,1),OFFSET($M$15,0,0,$B$8,1))=EM$13), 1*(_xlfn._xlws.FILTER(OFFSET($O$15,0,$DO132,$B$8,1),OFFSET($M$15,0,0,$B$8,1))=EM$14))   /   SUM(OFFSET($BO$15,0,0,$B$14,1)) + $B$18/($B$19*$B$19*($DN132&lt;&gt;$DO132) + $B$19*($DN132=$DO132))</f>
        <v>3.7037037037037035E-4</v>
      </c>
      <c r="EN132" s="10" cm="1">
        <f t="array" aca="1" ref="EN132" ca="1">(1-$B$18)*SUMPRODUCT(OFFSET($BO$15,0,0,$B$14,1), 1*(_xlfn._xlws.FILTER(OFFSET($O$15,0,$DN132,$B$8,1),OFFSET($M$15,0,0,$B$8,1))=EN$13), 1*(_xlfn._xlws.FILTER(OFFSET($O$15,0,$DO132,$B$8,1),OFFSET($M$15,0,0,$B$8,1))=EN$14))   /   SUM(OFFSET($BO$15,0,0,$B$14,1)) + $B$18/($B$19*$B$19*($DN132&lt;&gt;$DO132) + $B$19*($DN132=$DO132))</f>
        <v>3.7037037037037035E-4</v>
      </c>
      <c r="EO132" s="10" cm="1">
        <f t="array" aca="1" ref="EO132" ca="1">(1-$B$18)*SUMPRODUCT(OFFSET($BO$15,0,0,$B$14,1), 1*(_xlfn._xlws.FILTER(OFFSET($O$15,0,$DN132,$B$8,1),OFFSET($M$15,0,0,$B$8,1))=EO$13), 1*(_xlfn._xlws.FILTER(OFFSET($O$15,0,$DO132,$B$8,1),OFFSET($M$15,0,0,$B$8,1))=EO$14))   /   SUM(OFFSET($BO$15,0,0,$B$14,1)) + $B$18/($B$19*$B$19*($DN132&lt;&gt;$DO132) + $B$19*($DN132=$DO132))</f>
        <v>3.7037037037037035E-4</v>
      </c>
      <c r="EP132" s="10" cm="1">
        <f t="array" aca="1" ref="EP132" ca="1">(1-$B$18)*SUMPRODUCT(OFFSET($BO$15,0,0,$B$14,1), 1*(_xlfn._xlws.FILTER(OFFSET($O$15,0,$DN132,$B$8,1),OFFSET($M$15,0,0,$B$8,1))=EP$13), 1*(_xlfn._xlws.FILTER(OFFSET($O$15,0,$DO132,$B$8,1),OFFSET($M$15,0,0,$B$8,1))=EP$14))   /   SUM(OFFSET($BO$15,0,0,$B$14,1)) + $B$18/($B$19*$B$19*($DN132&lt;&gt;$DO132) + $B$19*($DN132=$DO132))</f>
        <v>3.7037037037037035E-4</v>
      </c>
      <c r="EQ132" s="10" cm="1">
        <f t="array" aca="1" ref="EQ132" ca="1">(1-$B$18)*SUMPRODUCT(OFFSET($BO$15,0,0,$B$14,1), 1*(_xlfn._xlws.FILTER(OFFSET($O$15,0,$DN132,$B$8,1),OFFSET($M$15,0,0,$B$8,1))=EQ$13), 1*(_xlfn._xlws.FILTER(OFFSET($O$15,0,$DO132,$B$8,1),OFFSET($M$15,0,0,$B$8,1))=EQ$14))   /   SUM(OFFSET($BO$15,0,0,$B$14,1)) + $B$18/($B$19*$B$19*($DN132&lt;&gt;$DO132) + $B$19*($DN132=$DO132))</f>
        <v>3.7037037037037035E-4</v>
      </c>
      <c r="ER132" s="10" cm="1">
        <f t="array" aca="1" ref="ER132" ca="1">(1-$B$18)*SUMPRODUCT(OFFSET($BO$15,0,0,$B$14,1), 1*(_xlfn._xlws.FILTER(OFFSET($O$15,0,$DN132,$B$8,1),OFFSET($M$15,0,0,$B$8,1))=ER$13), 1*(_xlfn._xlws.FILTER(OFFSET($O$15,0,$DO132,$B$8,1),OFFSET($M$15,0,0,$B$8,1))=ER$14))   /   SUM(OFFSET($BO$15,0,0,$B$14,1)) + $B$18/($B$19*$B$19*($DN132&lt;&gt;$DO132) + $B$19*($DN132=$DO132))</f>
        <v>3.7037037037037035E-4</v>
      </c>
      <c r="ES132" s="10" cm="1">
        <f t="array" aca="1" ref="ES132" ca="1">(1-$B$18)*SUMPRODUCT(OFFSET($BO$15,0,0,$B$14,1), 1*(_xlfn._xlws.FILTER(OFFSET($O$15,0,$DN132,$B$8,1),OFFSET($M$15,0,0,$B$8,1))=ES$13), 1*(_xlfn._xlws.FILTER(OFFSET($O$15,0,$DO132,$B$8,1),OFFSET($M$15,0,0,$B$8,1))=ES$14))   /   SUM(OFFSET($BO$15,0,0,$B$14,1)) + $B$18/($B$19*$B$19*($DN132&lt;&gt;$DO132) + $B$19*($DN132=$DO132))</f>
        <v>3.7037037037037035E-4</v>
      </c>
      <c r="ET132" s="10" cm="1">
        <f t="array" aca="1" ref="ET132" ca="1">(1-$B$18)*SUMPRODUCT(OFFSET($BO$15,0,0,$B$14,1), 1*(_xlfn._xlws.FILTER(OFFSET($O$15,0,$DN132,$B$8,1),OFFSET($M$15,0,0,$B$8,1))=ET$13), 1*(_xlfn._xlws.FILTER(OFFSET($O$15,0,$DO132,$B$8,1),OFFSET($M$15,0,0,$B$8,1))=ET$14))   /   SUM(OFFSET($BO$15,0,0,$B$14,1)) + $B$18/($B$19*$B$19*($DN132&lt;&gt;$DO132) + $B$19*($DN132=$DO132))</f>
        <v>3.7037037037037035E-4</v>
      </c>
      <c r="EU132" s="10" cm="1">
        <f t="array" aca="1" ref="EU132" ca="1">(1-$B$18)*SUMPRODUCT(OFFSET($BO$15,0,0,$B$14,1), 1*(_xlfn._xlws.FILTER(OFFSET($O$15,0,$DN132,$B$8,1),OFFSET($M$15,0,0,$B$8,1))=EU$13), 1*(_xlfn._xlws.FILTER(OFFSET($O$15,0,$DO132,$B$8,1),OFFSET($M$15,0,0,$B$8,1))=EU$14))   /   SUM(OFFSET($BO$15,0,0,$B$14,1)) + $B$18/($B$19*$B$19*($DN132&lt;&gt;$DO132) + $B$19*($DN132=$DO132))</f>
        <v>3.7037037037037035E-4</v>
      </c>
      <c r="EV132" s="10" cm="1">
        <f t="array" aca="1" ref="EV132" ca="1">(1-$B$18)*SUMPRODUCT(OFFSET($BO$15,0,0,$B$14,1), 1*(_xlfn._xlws.FILTER(OFFSET($O$15,0,$DN132,$B$8,1),OFFSET($M$15,0,0,$B$8,1))=EV$13), 1*(_xlfn._xlws.FILTER(OFFSET($O$15,0,$DO132,$B$8,1),OFFSET($M$15,0,0,$B$8,1))=EV$14))   /   SUM(OFFSET($BO$15,0,0,$B$14,1)) + $B$18/($B$19*$B$19*($DN132&lt;&gt;$DO132) + $B$19*($DN132=$DO132))</f>
        <v>3.7037037037037035E-4</v>
      </c>
      <c r="EW132" s="10" cm="1">
        <f t="array" aca="1" ref="EW132" ca="1">(1-$B$18)*SUMPRODUCT(OFFSET($BO$15,0,0,$B$14,1), 1*(_xlfn._xlws.FILTER(OFFSET($O$15,0,$DN132,$B$8,1),OFFSET($M$15,0,0,$B$8,1))=EW$13), 1*(_xlfn._xlws.FILTER(OFFSET($O$15,0,$DO132,$B$8,1),OFFSET($M$15,0,0,$B$8,1))=EW$14))   /   SUM(OFFSET($BO$15,0,0,$B$14,1)) + $B$18/($B$19*$B$19*($DN132&lt;&gt;$DO132) + $B$19*($DN132=$DO132))</f>
        <v>3.7037037037037035E-4</v>
      </c>
      <c r="EX132" s="10" cm="1">
        <f t="array" aca="1" ref="EX132" ca="1">(1-$B$18)*SUMPRODUCT(OFFSET($BO$15,0,0,$B$14,1), 1*(_xlfn._xlws.FILTER(OFFSET($O$15,0,$DN132,$B$8,1),OFFSET($M$15,0,0,$B$8,1))=EX$13), 1*(_xlfn._xlws.FILTER(OFFSET($O$15,0,$DO132,$B$8,1),OFFSET($M$15,0,0,$B$8,1))=EX$14))   /   SUM(OFFSET($BO$15,0,0,$B$14,1)) + $B$18/($B$19*$B$19*($DN132&lt;&gt;$DO132) + $B$19*($DN132=$DO132))</f>
        <v>3.7037037037037035E-4</v>
      </c>
      <c r="EY132" s="10" cm="1">
        <f t="array" aca="1" ref="EY132" ca="1">(1-$B$18)*SUMPRODUCT(OFFSET($BO$15,0,0,$B$14,1), 1*(_xlfn._xlws.FILTER(OFFSET($O$15,0,$DN132,$B$8,1),OFFSET($M$15,0,0,$B$8,1))=EY$13), 1*(_xlfn._xlws.FILTER(OFFSET($O$15,0,$DO132,$B$8,1),OFFSET($M$15,0,0,$B$8,1))=EY$14))   /   SUM(OFFSET($BO$15,0,0,$B$14,1)) + $B$18/($B$19*$B$19*($DN132&lt;&gt;$DO132) + $B$19*($DN132=$DO132))</f>
        <v>3.7037037037037035E-4</v>
      </c>
      <c r="EZ132" s="10" cm="1">
        <f t="array" aca="1" ref="EZ132" ca="1">(1-$B$18)*SUMPRODUCT(OFFSET($BO$15,0,0,$B$14,1), 1*(_xlfn._xlws.FILTER(OFFSET($O$15,0,$DN132,$B$8,1),OFFSET($M$15,0,0,$B$8,1))=EZ$13), 1*(_xlfn._xlws.FILTER(OFFSET($O$15,0,$DO132,$B$8,1),OFFSET($M$15,0,0,$B$8,1))=EZ$14))   /   SUM(OFFSET($BO$15,0,0,$B$14,1)) + $B$18/($B$19*$B$19*($DN132&lt;&gt;$DO132) + $B$19*($DN132=$DO132))</f>
        <v>3.7037037037037035E-4</v>
      </c>
      <c r="FA132" s="10" cm="1">
        <f t="array" aca="1" ref="FA132" ca="1">(1-$B$18)*SUMPRODUCT(OFFSET($BO$15,0,0,$B$14,1), 1*(_xlfn._xlws.FILTER(OFFSET($O$15,0,$DN132,$B$8,1),OFFSET($M$15,0,0,$B$8,1))=FA$13), 1*(_xlfn._xlws.FILTER(OFFSET($O$15,0,$DO132,$B$8,1),OFFSET($M$15,0,0,$B$8,1))=FA$14))   /   SUM(OFFSET($BO$15,0,0,$B$14,1)) + $B$18/($B$19*$B$19*($DN132&lt;&gt;$DO132) + $B$19*($DN132=$DO132))</f>
        <v>3.7037037037037035E-4</v>
      </c>
      <c r="FB132" s="10" cm="1">
        <f t="array" aca="1" ref="FB132" ca="1">(1-$B$18)*SUMPRODUCT(OFFSET($BO$15,0,0,$B$14,1), 1*(_xlfn._xlws.FILTER(OFFSET($O$15,0,$DN132,$B$8,1),OFFSET($M$15,0,0,$B$8,1))=FB$13), 1*(_xlfn._xlws.FILTER(OFFSET($O$15,0,$DO132,$B$8,1),OFFSET($M$15,0,0,$B$8,1))=FB$14))   /   SUM(OFFSET($BO$15,0,0,$B$14,1)) + $B$18/($B$19*$B$19*($DN132&lt;&gt;$DO132) + $B$19*($DN132=$DO132))</f>
        <v>3.7037037037037035E-4</v>
      </c>
      <c r="FC132" s="10" cm="1">
        <f t="array" aca="1" ref="FC132" ca="1">(1-$B$18)*SUMPRODUCT(OFFSET($BO$15,0,0,$B$14,1), 1*(_xlfn._xlws.FILTER(OFFSET($O$15,0,$DN132,$B$8,1),OFFSET($M$15,0,0,$B$8,1))=FC$13), 1*(_xlfn._xlws.FILTER(OFFSET($O$15,0,$DO132,$B$8,1),OFFSET($M$15,0,0,$B$8,1))=FC$14))   /   SUM(OFFSET($BO$15,0,0,$B$14,1)) + $B$18/($B$19*$B$19*($DN132&lt;&gt;$DO132) + $B$19*($DN132=$DO132))</f>
        <v>3.7037037037037035E-4</v>
      </c>
      <c r="FD132" s="10" cm="1">
        <f t="array" aca="1" ref="FD132" ca="1">(1-$B$18)*SUMPRODUCT(OFFSET($BO$15,0,0,$B$14,1), 1*(_xlfn._xlws.FILTER(OFFSET($O$15,0,$DN132,$B$8,1),OFFSET($M$15,0,0,$B$8,1))=FD$13), 1*(_xlfn._xlws.FILTER(OFFSET($O$15,0,$DO132,$B$8,1),OFFSET($M$15,0,0,$B$8,1))=FD$14))   /   SUM(OFFSET($BO$15,0,0,$B$14,1)) + $B$18/($B$19*$B$19*($DN132&lt;&gt;$DO132) + $B$19*($DN132=$DO132))</f>
        <v>3.7037037037037035E-4</v>
      </c>
      <c r="FE132" s="10" cm="1">
        <f t="array" aca="1" ref="FE132" ca="1">(1-$B$18)*SUMPRODUCT(OFFSET($BO$15,0,0,$B$14,1), 1*(_xlfn._xlws.FILTER(OFFSET($O$15,0,$DN132,$B$8,1),OFFSET($M$15,0,0,$B$8,1))=FE$13), 1*(_xlfn._xlws.FILTER(OFFSET($O$15,0,$DO132,$B$8,1),OFFSET($M$15,0,0,$B$8,1))=FE$14))   /   SUM(OFFSET($BO$15,0,0,$B$14,1)) + $B$18/($B$19*$B$19*($DN132&lt;&gt;$DO132) + $B$19*($DN132=$DO132))</f>
        <v>3.7037037037037035E-4</v>
      </c>
      <c r="FF132" s="10" cm="1">
        <f t="array" aca="1" ref="FF132" ca="1">(1-$B$18)*SUMPRODUCT(OFFSET($BO$15,0,0,$B$14,1), 1*(_xlfn._xlws.FILTER(OFFSET($O$15,0,$DN132,$B$8,1),OFFSET($M$15,0,0,$B$8,1))=FF$13), 1*(_xlfn._xlws.FILTER(OFFSET($O$15,0,$DO132,$B$8,1),OFFSET($M$15,0,0,$B$8,1))=FF$14))   /   SUM(OFFSET($BO$15,0,0,$B$14,1)) + $B$18/($B$19*$B$19*($DN132&lt;&gt;$DO132) + $B$19*($DN132=$DO132))</f>
        <v>3.7037037037037035E-4</v>
      </c>
      <c r="FG132" s="10" cm="1">
        <f t="array" aca="1" ref="FG132" ca="1">(1-$B$18)*SUMPRODUCT(OFFSET($BO$15,0,0,$B$14,1), 1*(_xlfn._xlws.FILTER(OFFSET($O$15,0,$DN132,$B$8,1),OFFSET($M$15,0,0,$B$8,1))=FG$13), 1*(_xlfn._xlws.FILTER(OFFSET($O$15,0,$DO132,$B$8,1),OFFSET($M$15,0,0,$B$8,1))=FG$14))   /   SUM(OFFSET($BO$15,0,0,$B$14,1)) + $B$18/($B$19*$B$19*($DN132&lt;&gt;$DO132) + $B$19*($DN132=$DO132))</f>
        <v>3.7037037037037035E-4</v>
      </c>
      <c r="FH132" s="10" cm="1">
        <f t="array" aca="1" ref="FH132" ca="1">(1-$B$18)*SUMPRODUCT(OFFSET($BO$15,0,0,$B$14,1), 1*(_xlfn._xlws.FILTER(OFFSET($O$15,0,$DN132,$B$8,1),OFFSET($M$15,0,0,$B$8,1))=FH$13), 1*(_xlfn._xlws.FILTER(OFFSET($O$15,0,$DO132,$B$8,1),OFFSET($M$15,0,0,$B$8,1))=FH$14))   /   SUM(OFFSET($BO$15,0,0,$B$14,1)) + $B$18/($B$19*$B$19*($DN132&lt;&gt;$DO132) + $B$19*($DN132=$DO132))</f>
        <v>3.7037037037037035E-4</v>
      </c>
      <c r="FI132" s="10" cm="1">
        <f t="array" aca="1" ref="FI132" ca="1">(1-$B$18)*SUMPRODUCT(OFFSET($BO$15,0,0,$B$14,1), 1*(_xlfn._xlws.FILTER(OFFSET($O$15,0,$DN132,$B$8,1),OFFSET($M$15,0,0,$B$8,1))=FI$13), 1*(_xlfn._xlws.FILTER(OFFSET($O$15,0,$DO132,$B$8,1),OFFSET($M$15,0,0,$B$8,1))=FI$14))   /   SUM(OFFSET($BO$15,0,0,$B$14,1)) + $B$18/($B$19*$B$19*($DN132&lt;&gt;$DO132) + $B$19*($DN132=$DO132))</f>
        <v>3.7037037037037035E-4</v>
      </c>
      <c r="FJ132" s="10" cm="1">
        <f t="array" aca="1" ref="FJ132" ca="1">(1-$B$18)*SUMPRODUCT(OFFSET($BO$15,0,0,$B$14,1), 1*(_xlfn._xlws.FILTER(OFFSET($O$15,0,$DN132,$B$8,1),OFFSET($M$15,0,0,$B$8,1))=FJ$13), 1*(_xlfn._xlws.FILTER(OFFSET($O$15,0,$DO132,$B$8,1),OFFSET($M$15,0,0,$B$8,1))=FJ$14))   /   SUM(OFFSET($BO$15,0,0,$B$14,1)) + $B$18/($B$19*$B$19*($DN132&lt;&gt;$DO132) + $B$19*($DN132=$DO132))</f>
        <v>3.7037037037037035E-4</v>
      </c>
      <c r="FK132" s="10" cm="1">
        <f t="array" aca="1" ref="FK132" ca="1">(1-$B$18)*SUMPRODUCT(OFFSET($BO$15,0,0,$B$14,1), 1*(_xlfn._xlws.FILTER(OFFSET($O$15,0,$DN132,$B$8,1),OFFSET($M$15,0,0,$B$8,1))=FK$13), 1*(_xlfn._xlws.FILTER(OFFSET($O$15,0,$DO132,$B$8,1),OFFSET($M$15,0,0,$B$8,1))=FK$14))   /   SUM(OFFSET($BO$15,0,0,$B$14,1)) + $B$18/($B$19*$B$19*($DN132&lt;&gt;$DO132) + $B$19*($DN132=$DO132))</f>
        <v>3.7037037037037035E-4</v>
      </c>
      <c r="FL132" s="10" cm="1">
        <f t="array" aca="1" ref="FL132" ca="1">(1-$B$18)*SUMPRODUCT(OFFSET($BO$15,0,0,$B$14,1), 1*(_xlfn._xlws.FILTER(OFFSET($O$15,0,$DN132,$B$8,1),OFFSET($M$15,0,0,$B$8,1))=FL$13), 1*(_xlfn._xlws.FILTER(OFFSET($O$15,0,$DO132,$B$8,1),OFFSET($M$15,0,0,$B$8,1))=FL$14))   /   SUM(OFFSET($BO$15,0,0,$B$14,1)) + $B$18/($B$19*$B$19*($DN132&lt;&gt;$DO132) + $B$19*($DN132=$DO132))</f>
        <v>3.7037037037037035E-4</v>
      </c>
      <c r="FM132" s="10" cm="1">
        <f t="array" aca="1" ref="FM132" ca="1">(1-$B$18)*SUMPRODUCT(OFFSET($BO$15,0,0,$B$14,1), 1*(_xlfn._xlws.FILTER(OFFSET($O$15,0,$DN132,$B$8,1),OFFSET($M$15,0,0,$B$8,1))=FM$13), 1*(_xlfn._xlws.FILTER(OFFSET($O$15,0,$DO132,$B$8,1),OFFSET($M$15,0,0,$B$8,1))=FM$14))   /   SUM(OFFSET($BO$15,0,0,$B$14,1)) + $B$18/($B$19*$B$19*($DN132&lt;&gt;$DO132) + $B$19*($DN132=$DO132))</f>
        <v>3.7037037037037035E-4</v>
      </c>
      <c r="FN132" s="10" cm="1">
        <f t="array" aca="1" ref="FN132" ca="1">(1-$B$18)*SUMPRODUCT(OFFSET($BO$15,0,0,$B$14,1), 1*(_xlfn._xlws.FILTER(OFFSET($O$15,0,$DN132,$B$8,1),OFFSET($M$15,0,0,$B$8,1))=FN$13), 1*(_xlfn._xlws.FILTER(OFFSET($O$15,0,$DO132,$B$8,1),OFFSET($M$15,0,0,$B$8,1))=FN$14))   /   SUM(OFFSET($BO$15,0,0,$B$14,1)) + $B$18/($B$19*$B$19*($DN132&lt;&gt;$DO132) + $B$19*($DN132=$DO132))</f>
        <v>3.7037037037037035E-4</v>
      </c>
      <c r="FO132" s="10" cm="1">
        <f t="array" aca="1" ref="FO132" ca="1">(1-$B$18)*SUMPRODUCT(OFFSET($BO$15,0,0,$B$14,1), 1*(_xlfn._xlws.FILTER(OFFSET($O$15,0,$DN132,$B$8,1),OFFSET($M$15,0,0,$B$8,1))=FO$13), 1*(_xlfn._xlws.FILTER(OFFSET($O$15,0,$DO132,$B$8,1),OFFSET($M$15,0,0,$B$8,1))=FO$14))   /   SUM(OFFSET($BO$15,0,0,$B$14,1)) + $B$18/($B$19*$B$19*($DN132&lt;&gt;$DO132) + $B$19*($DN132=$DO132))</f>
        <v>3.7037037037037035E-4</v>
      </c>
      <c r="FP132" s="10" cm="1">
        <f t="array" aca="1" ref="FP132" ca="1">(1-$B$18)*SUMPRODUCT(OFFSET($BO$15,0,0,$B$14,1), 1*(_xlfn._xlws.FILTER(OFFSET($O$15,0,$DN132,$B$8,1),OFFSET($M$15,0,0,$B$8,1))=FP$13), 1*(_xlfn._xlws.FILTER(OFFSET($O$15,0,$DO132,$B$8,1),OFFSET($M$15,0,0,$B$8,1))=FP$14))   /   SUM(OFFSET($BO$15,0,0,$B$14,1)) + $B$18/($B$19*$B$19*($DN132&lt;&gt;$DO132) + $B$19*($DN132=$DO132))</f>
        <v>3.7037037037037035E-4</v>
      </c>
      <c r="FQ132" s="10" cm="1">
        <f t="array" aca="1" ref="FQ132" ca="1">(1-$B$18)*SUMPRODUCT(OFFSET($BO$15,0,0,$B$14,1), 1*(_xlfn._xlws.FILTER(OFFSET($O$15,0,$DN132,$B$8,1),OFFSET($M$15,0,0,$B$8,1))=FQ$13), 1*(_xlfn._xlws.FILTER(OFFSET($O$15,0,$DO132,$B$8,1),OFFSET($M$15,0,0,$B$8,1))=FQ$14))   /   SUM(OFFSET($BO$15,0,0,$B$14,1)) + $B$18/($B$19*$B$19*($DN132&lt;&gt;$DO132) + $B$19*($DN132=$DO132))</f>
        <v>3.7037037037037035E-4</v>
      </c>
      <c r="FR132" s="10" cm="1">
        <f t="array" aca="1" ref="FR132" ca="1">(1-$B$18)*SUMPRODUCT(OFFSET($BO$15,0,0,$B$14,1), 1*(_xlfn._xlws.FILTER(OFFSET($O$15,0,$DN132,$B$8,1),OFFSET($M$15,0,0,$B$8,1))=FR$13), 1*(_xlfn._xlws.FILTER(OFFSET($O$15,0,$DO132,$B$8,1),OFFSET($M$15,0,0,$B$8,1))=FR$14))   /   SUM(OFFSET($BO$15,0,0,$B$14,1)) + $B$18/($B$19*$B$19*($DN132&lt;&gt;$DO132) + $B$19*($DN132=$DO132))</f>
        <v>0.97037037037037033</v>
      </c>
      <c r="FS132" s="10" cm="1">
        <f t="array" aca="1" ref="FS132" ca="1">(1-$B$18)*SUMPRODUCT(OFFSET($BO$15,0,0,$B$14,1), 1*(_xlfn._xlws.FILTER(OFFSET($O$15,0,$DN132,$B$8,1),OFFSET($M$15,0,0,$B$8,1))=FS$13), 1*(_xlfn._xlws.FILTER(OFFSET($O$15,0,$DO132,$B$8,1),OFFSET($M$15,0,0,$B$8,1))=FS$14))   /   SUM(OFFSET($BO$15,0,0,$B$14,1)) + $B$18/($B$19*$B$19*($DN132&lt;&gt;$DO132) + $B$19*($DN132=$DO132))</f>
        <v>3.7037037037037035E-4</v>
      </c>
      <c r="FT132" s="10" cm="1">
        <f t="array" aca="1" ref="FT132" ca="1">(1-$B$18)*SUMPRODUCT(OFFSET($BO$15,0,0,$B$14,1), 1*(_xlfn._xlws.FILTER(OFFSET($O$15,0,$DN132,$B$8,1),OFFSET($M$15,0,0,$B$8,1))=FT$13), 1*(_xlfn._xlws.FILTER(OFFSET($O$15,0,$DO132,$B$8,1),OFFSET($M$15,0,0,$B$8,1))=FT$14))   /   SUM(OFFSET($BO$15,0,0,$B$14,1)) + $B$18/($B$19*$B$19*($DN132&lt;&gt;$DO132) + $B$19*($DN132=$DO132))</f>
        <v>3.7037037037037035E-4</v>
      </c>
      <c r="FU132" s="10" cm="1">
        <f t="array" aca="1" ref="FU132" ca="1">(1-$B$18)*SUMPRODUCT(OFFSET($BO$15,0,0,$B$14,1), 1*(_xlfn._xlws.FILTER(OFFSET($O$15,0,$DN132,$B$8,1),OFFSET($M$15,0,0,$B$8,1))=FU$13), 1*(_xlfn._xlws.FILTER(OFFSET($O$15,0,$DO132,$B$8,1),OFFSET($M$15,0,0,$B$8,1))=FU$14))   /   SUM(OFFSET($BO$15,0,0,$B$14,1)) + $B$18/($B$19*$B$19*($DN132&lt;&gt;$DO132) + $B$19*($DN132=$DO132))</f>
        <v>3.7037037037037035E-4</v>
      </c>
      <c r="FV132" s="10" cm="1">
        <f t="array" aca="1" ref="FV132" ca="1">(1-$B$18)*SUMPRODUCT(OFFSET($BO$15,0,0,$B$14,1), 1*(_xlfn._xlws.FILTER(OFFSET($O$15,0,$DN132,$B$8,1),OFFSET($M$15,0,0,$B$8,1))=FV$13), 1*(_xlfn._xlws.FILTER(OFFSET($O$15,0,$DO132,$B$8,1),OFFSET($M$15,0,0,$B$8,1))=FV$14))   /   SUM(OFFSET($BO$15,0,0,$B$14,1)) + $B$18/($B$19*$B$19*($DN132&lt;&gt;$DO132) + $B$19*($DN132=$DO132))</f>
        <v>3.7037037037037035E-4</v>
      </c>
      <c r="FW132" s="10" cm="1">
        <f t="array" aca="1" ref="FW132" ca="1">(1-$B$18)*SUMPRODUCT(OFFSET($BO$15,0,0,$B$14,1), 1*(_xlfn._xlws.FILTER(OFFSET($O$15,0,$DN132,$B$8,1),OFFSET($M$15,0,0,$B$8,1))=FW$13), 1*(_xlfn._xlws.FILTER(OFFSET($O$15,0,$DO132,$B$8,1),OFFSET($M$15,0,0,$B$8,1))=FW$14))   /   SUM(OFFSET($BO$15,0,0,$B$14,1)) + $B$18/($B$19*$B$19*($DN132&lt;&gt;$DO132) + $B$19*($DN132=$DO132))</f>
        <v>3.7037037037037035E-4</v>
      </c>
      <c r="FX132" s="10" cm="1">
        <f t="array" aca="1" ref="FX132" ca="1">(1-$B$18)*SUMPRODUCT(OFFSET($BO$15,0,0,$B$14,1), 1*(_xlfn._xlws.FILTER(OFFSET($O$15,0,$DN132,$B$8,1),OFFSET($M$15,0,0,$B$8,1))=FX$13), 1*(_xlfn._xlws.FILTER(OFFSET($O$15,0,$DO132,$B$8,1),OFFSET($M$15,0,0,$B$8,1))=FX$14))   /   SUM(OFFSET($BO$15,0,0,$B$14,1)) + $B$18/($B$19*$B$19*($DN132&lt;&gt;$DO132) + $B$19*($DN132=$DO132))</f>
        <v>3.7037037037037035E-4</v>
      </c>
      <c r="FY132" s="10" cm="1">
        <f t="array" aca="1" ref="FY132" ca="1">(1-$B$18)*SUMPRODUCT(OFFSET($BO$15,0,0,$B$14,1), 1*(_xlfn._xlws.FILTER(OFFSET($O$15,0,$DN132,$B$8,1),OFFSET($M$15,0,0,$B$8,1))=FY$13), 1*(_xlfn._xlws.FILTER(OFFSET($O$15,0,$DO132,$B$8,1),OFFSET($M$15,0,0,$B$8,1))=FY$14))   /   SUM(OFFSET($BO$15,0,0,$B$14,1)) + $B$18/($B$19*$B$19*($DN132&lt;&gt;$DO132) + $B$19*($DN132=$DO132))</f>
        <v>3.7037037037037035E-4</v>
      </c>
      <c r="FZ132" s="10" cm="1">
        <f t="array" aca="1" ref="FZ132" ca="1">(1-$B$18)*SUMPRODUCT(OFFSET($BO$15,0,0,$B$14,1), 1*(_xlfn._xlws.FILTER(OFFSET($O$15,0,$DN132,$B$8,1),OFFSET($M$15,0,0,$B$8,1))=FZ$13), 1*(_xlfn._xlws.FILTER(OFFSET($O$15,0,$DO132,$B$8,1),OFFSET($M$15,0,0,$B$8,1))=FZ$14))   /   SUM(OFFSET($BO$15,0,0,$B$14,1)) + $B$18/($B$19*$B$19*($DN132&lt;&gt;$DO132) + $B$19*($DN132=$DO132))</f>
        <v>3.7037037037037035E-4</v>
      </c>
      <c r="GA132" s="10" cm="1">
        <f t="array" aca="1" ref="GA132" ca="1">(1-$B$18)*SUMPRODUCT(OFFSET($BO$15,0,0,$B$14,1), 1*(_xlfn._xlws.FILTER(OFFSET($O$15,0,$DN132,$B$8,1),OFFSET($M$15,0,0,$B$8,1))=GA$13), 1*(_xlfn._xlws.FILTER(OFFSET($O$15,0,$DO132,$B$8,1),OFFSET($M$15,0,0,$B$8,1))=GA$14))   /   SUM(OFFSET($BO$15,0,0,$B$14,1)) + $B$18/($B$19*$B$19*($DN132&lt;&gt;$DO132) + $B$19*($DN132=$DO132))</f>
        <v>3.7037037037037035E-4</v>
      </c>
    </row>
    <row r="133" spans="7:183" x14ac:dyDescent="0.2">
      <c r="G133" s="2"/>
      <c r="H133" s="2"/>
      <c r="AH133" s="2"/>
      <c r="AI133" s="2"/>
      <c r="DN133" cm="1">
        <f t="array" aca="1" ref="DN133" ca="1">INDEX(_xlfn.ANCHORARRAY($CP$15), 1 + INT((ROWS($DO$15:$DO133) - 1) / ROWS(_xlfn.ANCHORARRAY($CP$15))))</f>
        <v>6</v>
      </c>
      <c r="DO133" cm="1">
        <f t="array" aca="1" ref="DO133" ca="1">INDEX(_xlfn.ANCHORARRAY($CP$15),1+MOD(ROWS($DO$15:$DO133)-1,ROWS(_xlfn.ANCHORARRAY($CP$15))))</f>
        <v>4</v>
      </c>
      <c r="DP133" s="10" cm="1">
        <f t="array" aca="1" ref="DP133" ca="1">(1-$B$18)*SUMPRODUCT(OFFSET($BO$15,0,0,$B$14,1), 1*(_xlfn._xlws.FILTER(OFFSET($O$15,0,$DN133,$B$8,1),OFFSET($M$15,0,0,$B$8,1))=DP$13), 1*(_xlfn._xlws.FILTER(OFFSET($O$15,0,$DO133,$B$8,1),OFFSET($M$15,0,0,$B$8,1))=DP$14))   /   SUM(OFFSET($BO$15,0,0,$B$14,1)) + $B$18/($B$19*$B$19*($DN133&lt;&gt;$DO133) + $B$19*($DN133=$DO133))</f>
        <v>3.7037037037037035E-4</v>
      </c>
      <c r="DQ133" s="10" cm="1">
        <f t="array" aca="1" ref="DQ133" ca="1">(1-$B$18)*SUMPRODUCT(OFFSET($BO$15,0,0,$B$14,1), 1*(_xlfn._xlws.FILTER(OFFSET($O$15,0,$DN133,$B$8,1),OFFSET($M$15,0,0,$B$8,1))=DQ$13), 1*(_xlfn._xlws.FILTER(OFFSET($O$15,0,$DO133,$B$8,1),OFFSET($M$15,0,0,$B$8,1))=DQ$14))   /   SUM(OFFSET($BO$15,0,0,$B$14,1)) + $B$18/($B$19*$B$19*($DN133&lt;&gt;$DO133) + $B$19*($DN133=$DO133))</f>
        <v>3.7037037037037035E-4</v>
      </c>
      <c r="DR133" s="10" cm="1">
        <f t="array" aca="1" ref="DR133" ca="1">(1-$B$18)*SUMPRODUCT(OFFSET($BO$15,0,0,$B$14,1), 1*(_xlfn._xlws.FILTER(OFFSET($O$15,0,$DN133,$B$8,1),OFFSET($M$15,0,0,$B$8,1))=DR$13), 1*(_xlfn._xlws.FILTER(OFFSET($O$15,0,$DO133,$B$8,1),OFFSET($M$15,0,0,$B$8,1))=DR$14))   /   SUM(OFFSET($BO$15,0,0,$B$14,1)) + $B$18/($B$19*$B$19*($DN133&lt;&gt;$DO133) + $B$19*($DN133=$DO133))</f>
        <v>3.7037037037037035E-4</v>
      </c>
      <c r="DS133" s="10" cm="1">
        <f t="array" aca="1" ref="DS133" ca="1">(1-$B$18)*SUMPRODUCT(OFFSET($BO$15,0,0,$B$14,1), 1*(_xlfn._xlws.FILTER(OFFSET($O$15,0,$DN133,$B$8,1),OFFSET($M$15,0,0,$B$8,1))=DS$13), 1*(_xlfn._xlws.FILTER(OFFSET($O$15,0,$DO133,$B$8,1),OFFSET($M$15,0,0,$B$8,1))=DS$14))   /   SUM(OFFSET($BO$15,0,0,$B$14,1)) + $B$18/($B$19*$B$19*($DN133&lt;&gt;$DO133) + $B$19*($DN133=$DO133))</f>
        <v>3.7037037037037035E-4</v>
      </c>
      <c r="DT133" s="10" cm="1">
        <f t="array" aca="1" ref="DT133" ca="1">(1-$B$18)*SUMPRODUCT(OFFSET($BO$15,0,0,$B$14,1), 1*(_xlfn._xlws.FILTER(OFFSET($O$15,0,$DN133,$B$8,1),OFFSET($M$15,0,0,$B$8,1))=DT$13), 1*(_xlfn._xlws.FILTER(OFFSET($O$15,0,$DO133,$B$8,1),OFFSET($M$15,0,0,$B$8,1))=DT$14))   /   SUM(OFFSET($BO$15,0,0,$B$14,1)) + $B$18/($B$19*$B$19*($DN133&lt;&gt;$DO133) + $B$19*($DN133=$DO133))</f>
        <v>3.7037037037037035E-4</v>
      </c>
      <c r="DU133" s="10" cm="1">
        <f t="array" aca="1" ref="DU133" ca="1">(1-$B$18)*SUMPRODUCT(OFFSET($BO$15,0,0,$B$14,1), 1*(_xlfn._xlws.FILTER(OFFSET($O$15,0,$DN133,$B$8,1),OFFSET($M$15,0,0,$B$8,1))=DU$13), 1*(_xlfn._xlws.FILTER(OFFSET($O$15,0,$DO133,$B$8,1),OFFSET($M$15,0,0,$B$8,1))=DU$14))   /   SUM(OFFSET($BO$15,0,0,$B$14,1)) + $B$18/($B$19*$B$19*($DN133&lt;&gt;$DO133) + $B$19*($DN133=$DO133))</f>
        <v>3.7037037037037035E-4</v>
      </c>
      <c r="DV133" s="10" cm="1">
        <f t="array" aca="1" ref="DV133" ca="1">(1-$B$18)*SUMPRODUCT(OFFSET($BO$15,0,0,$B$14,1), 1*(_xlfn._xlws.FILTER(OFFSET($O$15,0,$DN133,$B$8,1),OFFSET($M$15,0,0,$B$8,1))=DV$13), 1*(_xlfn._xlws.FILTER(OFFSET($O$15,0,$DO133,$B$8,1),OFFSET($M$15,0,0,$B$8,1))=DV$14))   /   SUM(OFFSET($BO$15,0,0,$B$14,1)) + $B$18/($B$19*$B$19*($DN133&lt;&gt;$DO133) + $B$19*($DN133=$DO133))</f>
        <v>3.7037037037037035E-4</v>
      </c>
      <c r="DW133" s="10" cm="1">
        <f t="array" aca="1" ref="DW133" ca="1">(1-$B$18)*SUMPRODUCT(OFFSET($BO$15,0,0,$B$14,1), 1*(_xlfn._xlws.FILTER(OFFSET($O$15,0,$DN133,$B$8,1),OFFSET($M$15,0,0,$B$8,1))=DW$13), 1*(_xlfn._xlws.FILTER(OFFSET($O$15,0,$DO133,$B$8,1),OFFSET($M$15,0,0,$B$8,1))=DW$14))   /   SUM(OFFSET($BO$15,0,0,$B$14,1)) + $B$18/($B$19*$B$19*($DN133&lt;&gt;$DO133) + $B$19*($DN133=$DO133))</f>
        <v>3.7037037037037035E-4</v>
      </c>
      <c r="DX133" s="10" cm="1">
        <f t="array" aca="1" ref="DX133" ca="1">(1-$B$18)*SUMPRODUCT(OFFSET($BO$15,0,0,$B$14,1), 1*(_xlfn._xlws.FILTER(OFFSET($O$15,0,$DN133,$B$8,1),OFFSET($M$15,0,0,$B$8,1))=DX$13), 1*(_xlfn._xlws.FILTER(OFFSET($O$15,0,$DO133,$B$8,1),OFFSET($M$15,0,0,$B$8,1))=DX$14))   /   SUM(OFFSET($BO$15,0,0,$B$14,1)) + $B$18/($B$19*$B$19*($DN133&lt;&gt;$DO133) + $B$19*($DN133=$DO133))</f>
        <v>3.7037037037037035E-4</v>
      </c>
      <c r="DY133" s="10" cm="1">
        <f t="array" aca="1" ref="DY133" ca="1">(1-$B$18)*SUMPRODUCT(OFFSET($BO$15,0,0,$B$14,1), 1*(_xlfn._xlws.FILTER(OFFSET($O$15,0,$DN133,$B$8,1),OFFSET($M$15,0,0,$B$8,1))=DY$13), 1*(_xlfn._xlws.FILTER(OFFSET($O$15,0,$DO133,$B$8,1),OFFSET($M$15,0,0,$B$8,1))=DY$14))   /   SUM(OFFSET($BO$15,0,0,$B$14,1)) + $B$18/($B$19*$B$19*($DN133&lt;&gt;$DO133) + $B$19*($DN133=$DO133))</f>
        <v>3.7037037037037035E-4</v>
      </c>
      <c r="DZ133" s="10" cm="1">
        <f t="array" aca="1" ref="DZ133" ca="1">(1-$B$18)*SUMPRODUCT(OFFSET($BO$15,0,0,$B$14,1), 1*(_xlfn._xlws.FILTER(OFFSET($O$15,0,$DN133,$B$8,1),OFFSET($M$15,0,0,$B$8,1))=DZ$13), 1*(_xlfn._xlws.FILTER(OFFSET($O$15,0,$DO133,$B$8,1),OFFSET($M$15,0,0,$B$8,1))=DZ$14))   /   SUM(OFFSET($BO$15,0,0,$B$14,1)) + $B$18/($B$19*$B$19*($DN133&lt;&gt;$DO133) + $B$19*($DN133=$DO133))</f>
        <v>3.7037037037037035E-4</v>
      </c>
      <c r="EA133" s="10" cm="1">
        <f t="array" aca="1" ref="EA133" ca="1">(1-$B$18)*SUMPRODUCT(OFFSET($BO$15,0,0,$B$14,1), 1*(_xlfn._xlws.FILTER(OFFSET($O$15,0,$DN133,$B$8,1),OFFSET($M$15,0,0,$B$8,1))=EA$13), 1*(_xlfn._xlws.FILTER(OFFSET($O$15,0,$DO133,$B$8,1),OFFSET($M$15,0,0,$B$8,1))=EA$14))   /   SUM(OFFSET($BO$15,0,0,$B$14,1)) + $B$18/($B$19*$B$19*($DN133&lt;&gt;$DO133) + $B$19*($DN133=$DO133))</f>
        <v>3.7037037037037035E-4</v>
      </c>
      <c r="EB133" s="10" cm="1">
        <f t="array" aca="1" ref="EB133" ca="1">(1-$B$18)*SUMPRODUCT(OFFSET($BO$15,0,0,$B$14,1), 1*(_xlfn._xlws.FILTER(OFFSET($O$15,0,$DN133,$B$8,1),OFFSET($M$15,0,0,$B$8,1))=EB$13), 1*(_xlfn._xlws.FILTER(OFFSET($O$15,0,$DO133,$B$8,1),OFFSET($M$15,0,0,$B$8,1))=EB$14))   /   SUM(OFFSET($BO$15,0,0,$B$14,1)) + $B$18/($B$19*$B$19*($DN133&lt;&gt;$DO133) + $B$19*($DN133=$DO133))</f>
        <v>3.7037037037037035E-4</v>
      </c>
      <c r="EC133" s="10" cm="1">
        <f t="array" aca="1" ref="EC133" ca="1">(1-$B$18)*SUMPRODUCT(OFFSET($BO$15,0,0,$B$14,1), 1*(_xlfn._xlws.FILTER(OFFSET($O$15,0,$DN133,$B$8,1),OFFSET($M$15,0,0,$B$8,1))=EC$13), 1*(_xlfn._xlws.FILTER(OFFSET($O$15,0,$DO133,$B$8,1),OFFSET($M$15,0,0,$B$8,1))=EC$14))   /   SUM(OFFSET($BO$15,0,0,$B$14,1)) + $B$18/($B$19*$B$19*($DN133&lt;&gt;$DO133) + $B$19*($DN133=$DO133))</f>
        <v>3.7037037037037035E-4</v>
      </c>
      <c r="ED133" s="10" cm="1">
        <f t="array" aca="1" ref="ED133" ca="1">(1-$B$18)*SUMPRODUCT(OFFSET($BO$15,0,0,$B$14,1), 1*(_xlfn._xlws.FILTER(OFFSET($O$15,0,$DN133,$B$8,1),OFFSET($M$15,0,0,$B$8,1))=ED$13), 1*(_xlfn._xlws.FILTER(OFFSET($O$15,0,$DO133,$B$8,1),OFFSET($M$15,0,0,$B$8,1))=ED$14))   /   SUM(OFFSET($BO$15,0,0,$B$14,1)) + $B$18/($B$19*$B$19*($DN133&lt;&gt;$DO133) + $B$19*($DN133=$DO133))</f>
        <v>3.7037037037037035E-4</v>
      </c>
      <c r="EE133" s="10" cm="1">
        <f t="array" aca="1" ref="EE133" ca="1">(1-$B$18)*SUMPRODUCT(OFFSET($BO$15,0,0,$B$14,1), 1*(_xlfn._xlws.FILTER(OFFSET($O$15,0,$DN133,$B$8,1),OFFSET($M$15,0,0,$B$8,1))=EE$13), 1*(_xlfn._xlws.FILTER(OFFSET($O$15,0,$DO133,$B$8,1),OFFSET($M$15,0,0,$B$8,1))=EE$14))   /   SUM(OFFSET($BO$15,0,0,$B$14,1)) + $B$18/($B$19*$B$19*($DN133&lt;&gt;$DO133) + $B$19*($DN133=$DO133))</f>
        <v>3.7037037037037035E-4</v>
      </c>
      <c r="EF133" s="10" cm="1">
        <f t="array" aca="1" ref="EF133" ca="1">(1-$B$18)*SUMPRODUCT(OFFSET($BO$15,0,0,$B$14,1), 1*(_xlfn._xlws.FILTER(OFFSET($O$15,0,$DN133,$B$8,1),OFFSET($M$15,0,0,$B$8,1))=EF$13), 1*(_xlfn._xlws.FILTER(OFFSET($O$15,0,$DO133,$B$8,1),OFFSET($M$15,0,0,$B$8,1))=EF$14))   /   SUM(OFFSET($BO$15,0,0,$B$14,1)) + $B$18/($B$19*$B$19*($DN133&lt;&gt;$DO133) + $B$19*($DN133=$DO133))</f>
        <v>3.7037037037037035E-4</v>
      </c>
      <c r="EG133" s="10" cm="1">
        <f t="array" aca="1" ref="EG133" ca="1">(1-$B$18)*SUMPRODUCT(OFFSET($BO$15,0,0,$B$14,1), 1*(_xlfn._xlws.FILTER(OFFSET($O$15,0,$DN133,$B$8,1),OFFSET($M$15,0,0,$B$8,1))=EG$13), 1*(_xlfn._xlws.FILTER(OFFSET($O$15,0,$DO133,$B$8,1),OFFSET($M$15,0,0,$B$8,1))=EG$14))   /   SUM(OFFSET($BO$15,0,0,$B$14,1)) + $B$18/($B$19*$B$19*($DN133&lt;&gt;$DO133) + $B$19*($DN133=$DO133))</f>
        <v>3.7037037037037035E-4</v>
      </c>
      <c r="EH133" s="10" cm="1">
        <f t="array" aca="1" ref="EH133" ca="1">(1-$B$18)*SUMPRODUCT(OFFSET($BO$15,0,0,$B$14,1), 1*(_xlfn._xlws.FILTER(OFFSET($O$15,0,$DN133,$B$8,1),OFFSET($M$15,0,0,$B$8,1))=EH$13), 1*(_xlfn._xlws.FILTER(OFFSET($O$15,0,$DO133,$B$8,1),OFFSET($M$15,0,0,$B$8,1))=EH$14))   /   SUM(OFFSET($BO$15,0,0,$B$14,1)) + $B$18/($B$19*$B$19*($DN133&lt;&gt;$DO133) + $B$19*($DN133=$DO133))</f>
        <v>3.7037037037037035E-4</v>
      </c>
      <c r="EI133" s="10" cm="1">
        <f t="array" aca="1" ref="EI133" ca="1">(1-$B$18)*SUMPRODUCT(OFFSET($BO$15,0,0,$B$14,1), 1*(_xlfn._xlws.FILTER(OFFSET($O$15,0,$DN133,$B$8,1),OFFSET($M$15,0,0,$B$8,1))=EI$13), 1*(_xlfn._xlws.FILTER(OFFSET($O$15,0,$DO133,$B$8,1),OFFSET($M$15,0,0,$B$8,1))=EI$14))   /   SUM(OFFSET($BO$15,0,0,$B$14,1)) + $B$18/($B$19*$B$19*($DN133&lt;&gt;$DO133) + $B$19*($DN133=$DO133))</f>
        <v>3.7037037037037035E-4</v>
      </c>
      <c r="EJ133" s="10" cm="1">
        <f t="array" aca="1" ref="EJ133" ca="1">(1-$B$18)*SUMPRODUCT(OFFSET($BO$15,0,0,$B$14,1), 1*(_xlfn._xlws.FILTER(OFFSET($O$15,0,$DN133,$B$8,1),OFFSET($M$15,0,0,$B$8,1))=EJ$13), 1*(_xlfn._xlws.FILTER(OFFSET($O$15,0,$DO133,$B$8,1),OFFSET($M$15,0,0,$B$8,1))=EJ$14))   /   SUM(OFFSET($BO$15,0,0,$B$14,1)) + $B$18/($B$19*$B$19*($DN133&lt;&gt;$DO133) + $B$19*($DN133=$DO133))</f>
        <v>3.7037037037037035E-4</v>
      </c>
      <c r="EK133" s="10" cm="1">
        <f t="array" aca="1" ref="EK133" ca="1">(1-$B$18)*SUMPRODUCT(OFFSET($BO$15,0,0,$B$14,1), 1*(_xlfn._xlws.FILTER(OFFSET($O$15,0,$DN133,$B$8,1),OFFSET($M$15,0,0,$B$8,1))=EK$13), 1*(_xlfn._xlws.FILTER(OFFSET($O$15,0,$DO133,$B$8,1),OFFSET($M$15,0,0,$B$8,1))=EK$14))   /   SUM(OFFSET($BO$15,0,0,$B$14,1)) + $B$18/($B$19*$B$19*($DN133&lt;&gt;$DO133) + $B$19*($DN133=$DO133))</f>
        <v>3.7037037037037035E-4</v>
      </c>
      <c r="EL133" s="10" cm="1">
        <f t="array" aca="1" ref="EL133" ca="1">(1-$B$18)*SUMPRODUCT(OFFSET($BO$15,0,0,$B$14,1), 1*(_xlfn._xlws.FILTER(OFFSET($O$15,0,$DN133,$B$8,1),OFFSET($M$15,0,0,$B$8,1))=EL$13), 1*(_xlfn._xlws.FILTER(OFFSET($O$15,0,$DO133,$B$8,1),OFFSET($M$15,0,0,$B$8,1))=EL$14))   /   SUM(OFFSET($BO$15,0,0,$B$14,1)) + $B$18/($B$19*$B$19*($DN133&lt;&gt;$DO133) + $B$19*($DN133=$DO133))</f>
        <v>3.7037037037037035E-4</v>
      </c>
      <c r="EM133" s="10" cm="1">
        <f t="array" aca="1" ref="EM133" ca="1">(1-$B$18)*SUMPRODUCT(OFFSET($BO$15,0,0,$B$14,1), 1*(_xlfn._xlws.FILTER(OFFSET($O$15,0,$DN133,$B$8,1),OFFSET($M$15,0,0,$B$8,1))=EM$13), 1*(_xlfn._xlws.FILTER(OFFSET($O$15,0,$DO133,$B$8,1),OFFSET($M$15,0,0,$B$8,1))=EM$14))   /   SUM(OFFSET($BO$15,0,0,$B$14,1)) + $B$18/($B$19*$B$19*($DN133&lt;&gt;$DO133) + $B$19*($DN133=$DO133))</f>
        <v>3.7037037037037035E-4</v>
      </c>
      <c r="EN133" s="10" cm="1">
        <f t="array" aca="1" ref="EN133" ca="1">(1-$B$18)*SUMPRODUCT(OFFSET($BO$15,0,0,$B$14,1), 1*(_xlfn._xlws.FILTER(OFFSET($O$15,0,$DN133,$B$8,1),OFFSET($M$15,0,0,$B$8,1))=EN$13), 1*(_xlfn._xlws.FILTER(OFFSET($O$15,0,$DO133,$B$8,1),OFFSET($M$15,0,0,$B$8,1))=EN$14))   /   SUM(OFFSET($BO$15,0,0,$B$14,1)) + $B$18/($B$19*$B$19*($DN133&lt;&gt;$DO133) + $B$19*($DN133=$DO133))</f>
        <v>3.7037037037037035E-4</v>
      </c>
      <c r="EO133" s="10" cm="1">
        <f t="array" aca="1" ref="EO133" ca="1">(1-$B$18)*SUMPRODUCT(OFFSET($BO$15,0,0,$B$14,1), 1*(_xlfn._xlws.FILTER(OFFSET($O$15,0,$DN133,$B$8,1),OFFSET($M$15,0,0,$B$8,1))=EO$13), 1*(_xlfn._xlws.FILTER(OFFSET($O$15,0,$DO133,$B$8,1),OFFSET($M$15,0,0,$B$8,1))=EO$14))   /   SUM(OFFSET($BO$15,0,0,$B$14,1)) + $B$18/($B$19*$B$19*($DN133&lt;&gt;$DO133) + $B$19*($DN133=$DO133))</f>
        <v>3.7037037037037035E-4</v>
      </c>
      <c r="EP133" s="10" cm="1">
        <f t="array" aca="1" ref="EP133" ca="1">(1-$B$18)*SUMPRODUCT(OFFSET($BO$15,0,0,$B$14,1), 1*(_xlfn._xlws.FILTER(OFFSET($O$15,0,$DN133,$B$8,1),OFFSET($M$15,0,0,$B$8,1))=EP$13), 1*(_xlfn._xlws.FILTER(OFFSET($O$15,0,$DO133,$B$8,1),OFFSET($M$15,0,0,$B$8,1))=EP$14))   /   SUM(OFFSET($BO$15,0,0,$B$14,1)) + $B$18/($B$19*$B$19*($DN133&lt;&gt;$DO133) + $B$19*($DN133=$DO133))</f>
        <v>3.7037037037037035E-4</v>
      </c>
      <c r="EQ133" s="10" cm="1">
        <f t="array" aca="1" ref="EQ133" ca="1">(1-$B$18)*SUMPRODUCT(OFFSET($BO$15,0,0,$B$14,1), 1*(_xlfn._xlws.FILTER(OFFSET($O$15,0,$DN133,$B$8,1),OFFSET($M$15,0,0,$B$8,1))=EQ$13), 1*(_xlfn._xlws.FILTER(OFFSET($O$15,0,$DO133,$B$8,1),OFFSET($M$15,0,0,$B$8,1))=EQ$14))   /   SUM(OFFSET($BO$15,0,0,$B$14,1)) + $B$18/($B$19*$B$19*($DN133&lt;&gt;$DO133) + $B$19*($DN133=$DO133))</f>
        <v>3.7037037037037035E-4</v>
      </c>
      <c r="ER133" s="10" cm="1">
        <f t="array" aca="1" ref="ER133" ca="1">(1-$B$18)*SUMPRODUCT(OFFSET($BO$15,0,0,$B$14,1), 1*(_xlfn._xlws.FILTER(OFFSET($O$15,0,$DN133,$B$8,1),OFFSET($M$15,0,0,$B$8,1))=ER$13), 1*(_xlfn._xlws.FILTER(OFFSET($O$15,0,$DO133,$B$8,1),OFFSET($M$15,0,0,$B$8,1))=ER$14))   /   SUM(OFFSET($BO$15,0,0,$B$14,1)) + $B$18/($B$19*$B$19*($DN133&lt;&gt;$DO133) + $B$19*($DN133=$DO133))</f>
        <v>3.7037037037037035E-4</v>
      </c>
      <c r="ES133" s="10" cm="1">
        <f t="array" aca="1" ref="ES133" ca="1">(1-$B$18)*SUMPRODUCT(OFFSET($BO$15,0,0,$B$14,1), 1*(_xlfn._xlws.FILTER(OFFSET($O$15,0,$DN133,$B$8,1),OFFSET($M$15,0,0,$B$8,1))=ES$13), 1*(_xlfn._xlws.FILTER(OFFSET($O$15,0,$DO133,$B$8,1),OFFSET($M$15,0,0,$B$8,1))=ES$14))   /   SUM(OFFSET($BO$15,0,0,$B$14,1)) + $B$18/($B$19*$B$19*($DN133&lt;&gt;$DO133) + $B$19*($DN133=$DO133))</f>
        <v>3.7037037037037035E-4</v>
      </c>
      <c r="ET133" s="10" cm="1">
        <f t="array" aca="1" ref="ET133" ca="1">(1-$B$18)*SUMPRODUCT(OFFSET($BO$15,0,0,$B$14,1), 1*(_xlfn._xlws.FILTER(OFFSET($O$15,0,$DN133,$B$8,1),OFFSET($M$15,0,0,$B$8,1))=ET$13), 1*(_xlfn._xlws.FILTER(OFFSET($O$15,0,$DO133,$B$8,1),OFFSET($M$15,0,0,$B$8,1))=ET$14))   /   SUM(OFFSET($BO$15,0,0,$B$14,1)) + $B$18/($B$19*$B$19*($DN133&lt;&gt;$DO133) + $B$19*($DN133=$DO133))</f>
        <v>3.7037037037037035E-4</v>
      </c>
      <c r="EU133" s="10" cm="1">
        <f t="array" aca="1" ref="EU133" ca="1">(1-$B$18)*SUMPRODUCT(OFFSET($BO$15,0,0,$B$14,1), 1*(_xlfn._xlws.FILTER(OFFSET($O$15,0,$DN133,$B$8,1),OFFSET($M$15,0,0,$B$8,1))=EU$13), 1*(_xlfn._xlws.FILTER(OFFSET($O$15,0,$DO133,$B$8,1),OFFSET($M$15,0,0,$B$8,1))=EU$14))   /   SUM(OFFSET($BO$15,0,0,$B$14,1)) + $B$18/($B$19*$B$19*($DN133&lt;&gt;$DO133) + $B$19*($DN133=$DO133))</f>
        <v>3.7037037037037035E-4</v>
      </c>
      <c r="EV133" s="10" cm="1">
        <f t="array" aca="1" ref="EV133" ca="1">(1-$B$18)*SUMPRODUCT(OFFSET($BO$15,0,0,$B$14,1), 1*(_xlfn._xlws.FILTER(OFFSET($O$15,0,$DN133,$B$8,1),OFFSET($M$15,0,0,$B$8,1))=EV$13), 1*(_xlfn._xlws.FILTER(OFFSET($O$15,0,$DO133,$B$8,1),OFFSET($M$15,0,0,$B$8,1))=EV$14))   /   SUM(OFFSET($BO$15,0,0,$B$14,1)) + $B$18/($B$19*$B$19*($DN133&lt;&gt;$DO133) + $B$19*($DN133=$DO133))</f>
        <v>3.7037037037037035E-4</v>
      </c>
      <c r="EW133" s="10" cm="1">
        <f t="array" aca="1" ref="EW133" ca="1">(1-$B$18)*SUMPRODUCT(OFFSET($BO$15,0,0,$B$14,1), 1*(_xlfn._xlws.FILTER(OFFSET($O$15,0,$DN133,$B$8,1),OFFSET($M$15,0,0,$B$8,1))=EW$13), 1*(_xlfn._xlws.FILTER(OFFSET($O$15,0,$DO133,$B$8,1),OFFSET($M$15,0,0,$B$8,1))=EW$14))   /   SUM(OFFSET($BO$15,0,0,$B$14,1)) + $B$18/($B$19*$B$19*($DN133&lt;&gt;$DO133) + $B$19*($DN133=$DO133))</f>
        <v>3.7037037037037035E-4</v>
      </c>
      <c r="EX133" s="10" cm="1">
        <f t="array" aca="1" ref="EX133" ca="1">(1-$B$18)*SUMPRODUCT(OFFSET($BO$15,0,0,$B$14,1), 1*(_xlfn._xlws.FILTER(OFFSET($O$15,0,$DN133,$B$8,1),OFFSET($M$15,0,0,$B$8,1))=EX$13), 1*(_xlfn._xlws.FILTER(OFFSET($O$15,0,$DO133,$B$8,1),OFFSET($M$15,0,0,$B$8,1))=EX$14))   /   SUM(OFFSET($BO$15,0,0,$B$14,1)) + $B$18/($B$19*$B$19*($DN133&lt;&gt;$DO133) + $B$19*($DN133=$DO133))</f>
        <v>3.7037037037037035E-4</v>
      </c>
      <c r="EY133" s="10" cm="1">
        <f t="array" aca="1" ref="EY133" ca="1">(1-$B$18)*SUMPRODUCT(OFFSET($BO$15,0,0,$B$14,1), 1*(_xlfn._xlws.FILTER(OFFSET($O$15,0,$DN133,$B$8,1),OFFSET($M$15,0,0,$B$8,1))=EY$13), 1*(_xlfn._xlws.FILTER(OFFSET($O$15,0,$DO133,$B$8,1),OFFSET($M$15,0,0,$B$8,1))=EY$14))   /   SUM(OFFSET($BO$15,0,0,$B$14,1)) + $B$18/($B$19*$B$19*($DN133&lt;&gt;$DO133) + $B$19*($DN133=$DO133))</f>
        <v>3.7037037037037035E-4</v>
      </c>
      <c r="EZ133" s="10" cm="1">
        <f t="array" aca="1" ref="EZ133" ca="1">(1-$B$18)*SUMPRODUCT(OFFSET($BO$15,0,0,$B$14,1), 1*(_xlfn._xlws.FILTER(OFFSET($O$15,0,$DN133,$B$8,1),OFFSET($M$15,0,0,$B$8,1))=EZ$13), 1*(_xlfn._xlws.FILTER(OFFSET($O$15,0,$DO133,$B$8,1),OFFSET($M$15,0,0,$B$8,1))=EZ$14))   /   SUM(OFFSET($BO$15,0,0,$B$14,1)) + $B$18/($B$19*$B$19*($DN133&lt;&gt;$DO133) + $B$19*($DN133=$DO133))</f>
        <v>3.7037037037037035E-4</v>
      </c>
      <c r="FA133" s="10" cm="1">
        <f t="array" aca="1" ref="FA133" ca="1">(1-$B$18)*SUMPRODUCT(OFFSET($BO$15,0,0,$B$14,1), 1*(_xlfn._xlws.FILTER(OFFSET($O$15,0,$DN133,$B$8,1),OFFSET($M$15,0,0,$B$8,1))=FA$13), 1*(_xlfn._xlws.FILTER(OFFSET($O$15,0,$DO133,$B$8,1),OFFSET($M$15,0,0,$B$8,1))=FA$14))   /   SUM(OFFSET($BO$15,0,0,$B$14,1)) + $B$18/($B$19*$B$19*($DN133&lt;&gt;$DO133) + $B$19*($DN133=$DO133))</f>
        <v>3.7037037037037035E-4</v>
      </c>
      <c r="FB133" s="10" cm="1">
        <f t="array" aca="1" ref="FB133" ca="1">(1-$B$18)*SUMPRODUCT(OFFSET($BO$15,0,0,$B$14,1), 1*(_xlfn._xlws.FILTER(OFFSET($O$15,0,$DN133,$B$8,1),OFFSET($M$15,0,0,$B$8,1))=FB$13), 1*(_xlfn._xlws.FILTER(OFFSET($O$15,0,$DO133,$B$8,1),OFFSET($M$15,0,0,$B$8,1))=FB$14))   /   SUM(OFFSET($BO$15,0,0,$B$14,1)) + $B$18/($B$19*$B$19*($DN133&lt;&gt;$DO133) + $B$19*($DN133=$DO133))</f>
        <v>3.7037037037037035E-4</v>
      </c>
      <c r="FC133" s="10" cm="1">
        <f t="array" aca="1" ref="FC133" ca="1">(1-$B$18)*SUMPRODUCT(OFFSET($BO$15,0,0,$B$14,1), 1*(_xlfn._xlws.FILTER(OFFSET($O$15,0,$DN133,$B$8,1),OFFSET($M$15,0,0,$B$8,1))=FC$13), 1*(_xlfn._xlws.FILTER(OFFSET($O$15,0,$DO133,$B$8,1),OFFSET($M$15,0,0,$B$8,1))=FC$14))   /   SUM(OFFSET($BO$15,0,0,$B$14,1)) + $B$18/($B$19*$B$19*($DN133&lt;&gt;$DO133) + $B$19*($DN133=$DO133))</f>
        <v>3.7037037037037035E-4</v>
      </c>
      <c r="FD133" s="10" cm="1">
        <f t="array" aca="1" ref="FD133" ca="1">(1-$B$18)*SUMPRODUCT(OFFSET($BO$15,0,0,$B$14,1), 1*(_xlfn._xlws.FILTER(OFFSET($O$15,0,$DN133,$B$8,1),OFFSET($M$15,0,0,$B$8,1))=FD$13), 1*(_xlfn._xlws.FILTER(OFFSET($O$15,0,$DO133,$B$8,1),OFFSET($M$15,0,0,$B$8,1))=FD$14))   /   SUM(OFFSET($BO$15,0,0,$B$14,1)) + $B$18/($B$19*$B$19*($DN133&lt;&gt;$DO133) + $B$19*($DN133=$DO133))</f>
        <v>3.7037037037037035E-4</v>
      </c>
      <c r="FE133" s="10" cm="1">
        <f t="array" aca="1" ref="FE133" ca="1">(1-$B$18)*SUMPRODUCT(OFFSET($BO$15,0,0,$B$14,1), 1*(_xlfn._xlws.FILTER(OFFSET($O$15,0,$DN133,$B$8,1),OFFSET($M$15,0,0,$B$8,1))=FE$13), 1*(_xlfn._xlws.FILTER(OFFSET($O$15,0,$DO133,$B$8,1),OFFSET($M$15,0,0,$B$8,1))=FE$14))   /   SUM(OFFSET($BO$15,0,0,$B$14,1)) + $B$18/($B$19*$B$19*($DN133&lt;&gt;$DO133) + $B$19*($DN133=$DO133))</f>
        <v>3.7037037037037035E-4</v>
      </c>
      <c r="FF133" s="10" cm="1">
        <f t="array" aca="1" ref="FF133" ca="1">(1-$B$18)*SUMPRODUCT(OFFSET($BO$15,0,0,$B$14,1), 1*(_xlfn._xlws.FILTER(OFFSET($O$15,0,$DN133,$B$8,1),OFFSET($M$15,0,0,$B$8,1))=FF$13), 1*(_xlfn._xlws.FILTER(OFFSET($O$15,0,$DO133,$B$8,1),OFFSET($M$15,0,0,$B$8,1))=FF$14))   /   SUM(OFFSET($BO$15,0,0,$B$14,1)) + $B$18/($B$19*$B$19*($DN133&lt;&gt;$DO133) + $B$19*($DN133=$DO133))</f>
        <v>3.7037037037037035E-4</v>
      </c>
      <c r="FG133" s="10" cm="1">
        <f t="array" aca="1" ref="FG133" ca="1">(1-$B$18)*SUMPRODUCT(OFFSET($BO$15,0,0,$B$14,1), 1*(_xlfn._xlws.FILTER(OFFSET($O$15,0,$DN133,$B$8,1),OFFSET($M$15,0,0,$B$8,1))=FG$13), 1*(_xlfn._xlws.FILTER(OFFSET($O$15,0,$DO133,$B$8,1),OFFSET($M$15,0,0,$B$8,1))=FG$14))   /   SUM(OFFSET($BO$15,0,0,$B$14,1)) + $B$18/($B$19*$B$19*($DN133&lt;&gt;$DO133) + $B$19*($DN133=$DO133))</f>
        <v>3.7037037037037035E-4</v>
      </c>
      <c r="FH133" s="10" cm="1">
        <f t="array" aca="1" ref="FH133" ca="1">(1-$B$18)*SUMPRODUCT(OFFSET($BO$15,0,0,$B$14,1), 1*(_xlfn._xlws.FILTER(OFFSET($O$15,0,$DN133,$B$8,1),OFFSET($M$15,0,0,$B$8,1))=FH$13), 1*(_xlfn._xlws.FILTER(OFFSET($O$15,0,$DO133,$B$8,1),OFFSET($M$15,0,0,$B$8,1))=FH$14))   /   SUM(OFFSET($BO$15,0,0,$B$14,1)) + $B$18/($B$19*$B$19*($DN133&lt;&gt;$DO133) + $B$19*($DN133=$DO133))</f>
        <v>3.7037037037037035E-4</v>
      </c>
      <c r="FI133" s="10" cm="1">
        <f t="array" aca="1" ref="FI133" ca="1">(1-$B$18)*SUMPRODUCT(OFFSET($BO$15,0,0,$B$14,1), 1*(_xlfn._xlws.FILTER(OFFSET($O$15,0,$DN133,$B$8,1),OFFSET($M$15,0,0,$B$8,1))=FI$13), 1*(_xlfn._xlws.FILTER(OFFSET($O$15,0,$DO133,$B$8,1),OFFSET($M$15,0,0,$B$8,1))=FI$14))   /   SUM(OFFSET($BO$15,0,0,$B$14,1)) + $B$18/($B$19*$B$19*($DN133&lt;&gt;$DO133) + $B$19*($DN133=$DO133))</f>
        <v>3.7037037037037035E-4</v>
      </c>
      <c r="FJ133" s="10" cm="1">
        <f t="array" aca="1" ref="FJ133" ca="1">(1-$B$18)*SUMPRODUCT(OFFSET($BO$15,0,0,$B$14,1), 1*(_xlfn._xlws.FILTER(OFFSET($O$15,0,$DN133,$B$8,1),OFFSET($M$15,0,0,$B$8,1))=FJ$13), 1*(_xlfn._xlws.FILTER(OFFSET($O$15,0,$DO133,$B$8,1),OFFSET($M$15,0,0,$B$8,1))=FJ$14))   /   SUM(OFFSET($BO$15,0,0,$B$14,1)) + $B$18/($B$19*$B$19*($DN133&lt;&gt;$DO133) + $B$19*($DN133=$DO133))</f>
        <v>3.7037037037037035E-4</v>
      </c>
      <c r="FK133" s="10" cm="1">
        <f t="array" aca="1" ref="FK133" ca="1">(1-$B$18)*SUMPRODUCT(OFFSET($BO$15,0,0,$B$14,1), 1*(_xlfn._xlws.FILTER(OFFSET($O$15,0,$DN133,$B$8,1),OFFSET($M$15,0,0,$B$8,1))=FK$13), 1*(_xlfn._xlws.FILTER(OFFSET($O$15,0,$DO133,$B$8,1),OFFSET($M$15,0,0,$B$8,1))=FK$14))   /   SUM(OFFSET($BO$15,0,0,$B$14,1)) + $B$18/($B$19*$B$19*($DN133&lt;&gt;$DO133) + $B$19*($DN133=$DO133))</f>
        <v>3.7037037037037035E-4</v>
      </c>
      <c r="FL133" s="10" cm="1">
        <f t="array" aca="1" ref="FL133" ca="1">(1-$B$18)*SUMPRODUCT(OFFSET($BO$15,0,0,$B$14,1), 1*(_xlfn._xlws.FILTER(OFFSET($O$15,0,$DN133,$B$8,1),OFFSET($M$15,0,0,$B$8,1))=FL$13), 1*(_xlfn._xlws.FILTER(OFFSET($O$15,0,$DO133,$B$8,1),OFFSET($M$15,0,0,$B$8,1))=FL$14))   /   SUM(OFFSET($BO$15,0,0,$B$14,1)) + $B$18/($B$19*$B$19*($DN133&lt;&gt;$DO133) + $B$19*($DN133=$DO133))</f>
        <v>3.7037037037037035E-4</v>
      </c>
      <c r="FM133" s="10" cm="1">
        <f t="array" aca="1" ref="FM133" ca="1">(1-$B$18)*SUMPRODUCT(OFFSET($BO$15,0,0,$B$14,1), 1*(_xlfn._xlws.FILTER(OFFSET($O$15,0,$DN133,$B$8,1),OFFSET($M$15,0,0,$B$8,1))=FM$13), 1*(_xlfn._xlws.FILTER(OFFSET($O$15,0,$DO133,$B$8,1),OFFSET($M$15,0,0,$B$8,1))=FM$14))   /   SUM(OFFSET($BO$15,0,0,$B$14,1)) + $B$18/($B$19*$B$19*($DN133&lt;&gt;$DO133) + $B$19*($DN133=$DO133))</f>
        <v>3.7037037037037035E-4</v>
      </c>
      <c r="FN133" s="10" cm="1">
        <f t="array" aca="1" ref="FN133" ca="1">(1-$B$18)*SUMPRODUCT(OFFSET($BO$15,0,0,$B$14,1), 1*(_xlfn._xlws.FILTER(OFFSET($O$15,0,$DN133,$B$8,1),OFFSET($M$15,0,0,$B$8,1))=FN$13), 1*(_xlfn._xlws.FILTER(OFFSET($O$15,0,$DO133,$B$8,1),OFFSET($M$15,0,0,$B$8,1))=FN$14))   /   SUM(OFFSET($BO$15,0,0,$B$14,1)) + $B$18/($B$19*$B$19*($DN133&lt;&gt;$DO133) + $B$19*($DN133=$DO133))</f>
        <v>3.7037037037037035E-4</v>
      </c>
      <c r="FO133" s="10" cm="1">
        <f t="array" aca="1" ref="FO133" ca="1">(1-$B$18)*SUMPRODUCT(OFFSET($BO$15,0,0,$B$14,1), 1*(_xlfn._xlws.FILTER(OFFSET($O$15,0,$DN133,$B$8,1),OFFSET($M$15,0,0,$B$8,1))=FO$13), 1*(_xlfn._xlws.FILTER(OFFSET($O$15,0,$DO133,$B$8,1),OFFSET($M$15,0,0,$B$8,1))=FO$14))   /   SUM(OFFSET($BO$15,0,0,$B$14,1)) + $B$18/($B$19*$B$19*($DN133&lt;&gt;$DO133) + $B$19*($DN133=$DO133))</f>
        <v>3.7037037037037035E-4</v>
      </c>
      <c r="FP133" s="10" cm="1">
        <f t="array" aca="1" ref="FP133" ca="1">(1-$B$18)*SUMPRODUCT(OFFSET($BO$15,0,0,$B$14,1), 1*(_xlfn._xlws.FILTER(OFFSET($O$15,0,$DN133,$B$8,1),OFFSET($M$15,0,0,$B$8,1))=FP$13), 1*(_xlfn._xlws.FILTER(OFFSET($O$15,0,$DO133,$B$8,1),OFFSET($M$15,0,0,$B$8,1))=FP$14))   /   SUM(OFFSET($BO$15,0,0,$B$14,1)) + $B$18/($B$19*$B$19*($DN133&lt;&gt;$DO133) + $B$19*($DN133=$DO133))</f>
        <v>3.7037037037037035E-4</v>
      </c>
      <c r="FQ133" s="10" cm="1">
        <f t="array" aca="1" ref="FQ133" ca="1">(1-$B$18)*SUMPRODUCT(OFFSET($BO$15,0,0,$B$14,1), 1*(_xlfn._xlws.FILTER(OFFSET($O$15,0,$DN133,$B$8,1),OFFSET($M$15,0,0,$B$8,1))=FQ$13), 1*(_xlfn._xlws.FILTER(OFFSET($O$15,0,$DO133,$B$8,1),OFFSET($M$15,0,0,$B$8,1))=FQ$14))   /   SUM(OFFSET($BO$15,0,0,$B$14,1)) + $B$18/($B$19*$B$19*($DN133&lt;&gt;$DO133) + $B$19*($DN133=$DO133))</f>
        <v>3.7037037037037035E-4</v>
      </c>
      <c r="FR133" s="10" cm="1">
        <f t="array" aca="1" ref="FR133" ca="1">(1-$B$18)*SUMPRODUCT(OFFSET($BO$15,0,0,$B$14,1), 1*(_xlfn._xlws.FILTER(OFFSET($O$15,0,$DN133,$B$8,1),OFFSET($M$15,0,0,$B$8,1))=FR$13), 1*(_xlfn._xlws.FILTER(OFFSET($O$15,0,$DO133,$B$8,1),OFFSET($M$15,0,0,$B$8,1))=FR$14))   /   SUM(OFFSET($BO$15,0,0,$B$14,1)) + $B$18/($B$19*$B$19*($DN133&lt;&gt;$DO133) + $B$19*($DN133=$DO133))</f>
        <v>0.97037037037037033</v>
      </c>
      <c r="FS133" s="10" cm="1">
        <f t="array" aca="1" ref="FS133" ca="1">(1-$B$18)*SUMPRODUCT(OFFSET($BO$15,0,0,$B$14,1), 1*(_xlfn._xlws.FILTER(OFFSET($O$15,0,$DN133,$B$8,1),OFFSET($M$15,0,0,$B$8,1))=FS$13), 1*(_xlfn._xlws.FILTER(OFFSET($O$15,0,$DO133,$B$8,1),OFFSET($M$15,0,0,$B$8,1))=FS$14))   /   SUM(OFFSET($BO$15,0,0,$B$14,1)) + $B$18/($B$19*$B$19*($DN133&lt;&gt;$DO133) + $B$19*($DN133=$DO133))</f>
        <v>3.7037037037037035E-4</v>
      </c>
      <c r="FT133" s="10" cm="1">
        <f t="array" aca="1" ref="FT133" ca="1">(1-$B$18)*SUMPRODUCT(OFFSET($BO$15,0,0,$B$14,1), 1*(_xlfn._xlws.FILTER(OFFSET($O$15,0,$DN133,$B$8,1),OFFSET($M$15,0,0,$B$8,1))=FT$13), 1*(_xlfn._xlws.FILTER(OFFSET($O$15,0,$DO133,$B$8,1),OFFSET($M$15,0,0,$B$8,1))=FT$14))   /   SUM(OFFSET($BO$15,0,0,$B$14,1)) + $B$18/($B$19*$B$19*($DN133&lt;&gt;$DO133) + $B$19*($DN133=$DO133))</f>
        <v>3.7037037037037035E-4</v>
      </c>
      <c r="FU133" s="10" cm="1">
        <f t="array" aca="1" ref="FU133" ca="1">(1-$B$18)*SUMPRODUCT(OFFSET($BO$15,0,0,$B$14,1), 1*(_xlfn._xlws.FILTER(OFFSET($O$15,0,$DN133,$B$8,1),OFFSET($M$15,0,0,$B$8,1))=FU$13), 1*(_xlfn._xlws.FILTER(OFFSET($O$15,0,$DO133,$B$8,1),OFFSET($M$15,0,0,$B$8,1))=FU$14))   /   SUM(OFFSET($BO$15,0,0,$B$14,1)) + $B$18/($B$19*$B$19*($DN133&lt;&gt;$DO133) + $B$19*($DN133=$DO133))</f>
        <v>3.7037037037037035E-4</v>
      </c>
      <c r="FV133" s="10" cm="1">
        <f t="array" aca="1" ref="FV133" ca="1">(1-$B$18)*SUMPRODUCT(OFFSET($BO$15,0,0,$B$14,1), 1*(_xlfn._xlws.FILTER(OFFSET($O$15,0,$DN133,$B$8,1),OFFSET($M$15,0,0,$B$8,1))=FV$13), 1*(_xlfn._xlws.FILTER(OFFSET($O$15,0,$DO133,$B$8,1),OFFSET($M$15,0,0,$B$8,1))=FV$14))   /   SUM(OFFSET($BO$15,0,0,$B$14,1)) + $B$18/($B$19*$B$19*($DN133&lt;&gt;$DO133) + $B$19*($DN133=$DO133))</f>
        <v>3.7037037037037035E-4</v>
      </c>
      <c r="FW133" s="10" cm="1">
        <f t="array" aca="1" ref="FW133" ca="1">(1-$B$18)*SUMPRODUCT(OFFSET($BO$15,0,0,$B$14,1), 1*(_xlfn._xlws.FILTER(OFFSET($O$15,0,$DN133,$B$8,1),OFFSET($M$15,0,0,$B$8,1))=FW$13), 1*(_xlfn._xlws.FILTER(OFFSET($O$15,0,$DO133,$B$8,1),OFFSET($M$15,0,0,$B$8,1))=FW$14))   /   SUM(OFFSET($BO$15,0,0,$B$14,1)) + $B$18/($B$19*$B$19*($DN133&lt;&gt;$DO133) + $B$19*($DN133=$DO133))</f>
        <v>3.7037037037037035E-4</v>
      </c>
      <c r="FX133" s="10" cm="1">
        <f t="array" aca="1" ref="FX133" ca="1">(1-$B$18)*SUMPRODUCT(OFFSET($BO$15,0,0,$B$14,1), 1*(_xlfn._xlws.FILTER(OFFSET($O$15,0,$DN133,$B$8,1),OFFSET($M$15,0,0,$B$8,1))=FX$13), 1*(_xlfn._xlws.FILTER(OFFSET($O$15,0,$DO133,$B$8,1),OFFSET($M$15,0,0,$B$8,1))=FX$14))   /   SUM(OFFSET($BO$15,0,0,$B$14,1)) + $B$18/($B$19*$B$19*($DN133&lt;&gt;$DO133) + $B$19*($DN133=$DO133))</f>
        <v>3.7037037037037035E-4</v>
      </c>
      <c r="FY133" s="10" cm="1">
        <f t="array" aca="1" ref="FY133" ca="1">(1-$B$18)*SUMPRODUCT(OFFSET($BO$15,0,0,$B$14,1), 1*(_xlfn._xlws.FILTER(OFFSET($O$15,0,$DN133,$B$8,1),OFFSET($M$15,0,0,$B$8,1))=FY$13), 1*(_xlfn._xlws.FILTER(OFFSET($O$15,0,$DO133,$B$8,1),OFFSET($M$15,0,0,$B$8,1))=FY$14))   /   SUM(OFFSET($BO$15,0,0,$B$14,1)) + $B$18/($B$19*$B$19*($DN133&lt;&gt;$DO133) + $B$19*($DN133=$DO133))</f>
        <v>3.7037037037037035E-4</v>
      </c>
      <c r="FZ133" s="10" cm="1">
        <f t="array" aca="1" ref="FZ133" ca="1">(1-$B$18)*SUMPRODUCT(OFFSET($BO$15,0,0,$B$14,1), 1*(_xlfn._xlws.FILTER(OFFSET($O$15,0,$DN133,$B$8,1),OFFSET($M$15,0,0,$B$8,1))=FZ$13), 1*(_xlfn._xlws.FILTER(OFFSET($O$15,0,$DO133,$B$8,1),OFFSET($M$15,0,0,$B$8,1))=FZ$14))   /   SUM(OFFSET($BO$15,0,0,$B$14,1)) + $B$18/($B$19*$B$19*($DN133&lt;&gt;$DO133) + $B$19*($DN133=$DO133))</f>
        <v>3.7037037037037035E-4</v>
      </c>
      <c r="GA133" s="10" cm="1">
        <f t="array" aca="1" ref="GA133" ca="1">(1-$B$18)*SUMPRODUCT(OFFSET($BO$15,0,0,$B$14,1), 1*(_xlfn._xlws.FILTER(OFFSET($O$15,0,$DN133,$B$8,1),OFFSET($M$15,0,0,$B$8,1))=GA$13), 1*(_xlfn._xlws.FILTER(OFFSET($O$15,0,$DO133,$B$8,1),OFFSET($M$15,0,0,$B$8,1))=GA$14))   /   SUM(OFFSET($BO$15,0,0,$B$14,1)) + $B$18/($B$19*$B$19*($DN133&lt;&gt;$DO133) + $B$19*($DN133=$DO133))</f>
        <v>3.7037037037037035E-4</v>
      </c>
    </row>
    <row r="134" spans="7:183" x14ac:dyDescent="0.2">
      <c r="G134" s="2"/>
      <c r="H134" s="2"/>
      <c r="AH134" s="2"/>
      <c r="AI134" s="2"/>
      <c r="DN134" cm="1">
        <f t="array" aca="1" ref="DN134" ca="1">INDEX(_xlfn.ANCHORARRAY($CP$15), 1 + INT((ROWS($DO$15:$DO134) - 1) / ROWS(_xlfn.ANCHORARRAY($CP$15))))</f>
        <v>6</v>
      </c>
      <c r="DO134" cm="1">
        <f t="array" aca="1" ref="DO134" ca="1">INDEX(_xlfn.ANCHORARRAY($CP$15),1+MOD(ROWS($DO$15:$DO134)-1,ROWS(_xlfn.ANCHORARRAY($CP$15))))</f>
        <v>5</v>
      </c>
      <c r="DP134" s="10" cm="1">
        <f t="array" aca="1" ref="DP134" ca="1">(1-$B$18)*SUMPRODUCT(OFFSET($BO$15,0,0,$B$14,1), 1*(_xlfn._xlws.FILTER(OFFSET($O$15,0,$DN134,$B$8,1),OFFSET($M$15,0,0,$B$8,1))=DP$13), 1*(_xlfn._xlws.FILTER(OFFSET($O$15,0,$DO134,$B$8,1),OFFSET($M$15,0,0,$B$8,1))=DP$14))   /   SUM(OFFSET($BO$15,0,0,$B$14,1)) + $B$18/($B$19*$B$19*($DN134&lt;&gt;$DO134) + $B$19*($DN134=$DO134))</f>
        <v>3.7037037037037035E-4</v>
      </c>
      <c r="DQ134" s="10" cm="1">
        <f t="array" aca="1" ref="DQ134" ca="1">(1-$B$18)*SUMPRODUCT(OFFSET($BO$15,0,0,$B$14,1), 1*(_xlfn._xlws.FILTER(OFFSET($O$15,0,$DN134,$B$8,1),OFFSET($M$15,0,0,$B$8,1))=DQ$13), 1*(_xlfn._xlws.FILTER(OFFSET($O$15,0,$DO134,$B$8,1),OFFSET($M$15,0,0,$B$8,1))=DQ$14))   /   SUM(OFFSET($BO$15,0,0,$B$14,1)) + $B$18/($B$19*$B$19*($DN134&lt;&gt;$DO134) + $B$19*($DN134=$DO134))</f>
        <v>3.7037037037037035E-4</v>
      </c>
      <c r="DR134" s="10" cm="1">
        <f t="array" aca="1" ref="DR134" ca="1">(1-$B$18)*SUMPRODUCT(OFFSET($BO$15,0,0,$B$14,1), 1*(_xlfn._xlws.FILTER(OFFSET($O$15,0,$DN134,$B$8,1),OFFSET($M$15,0,0,$B$8,1))=DR$13), 1*(_xlfn._xlws.FILTER(OFFSET($O$15,0,$DO134,$B$8,1),OFFSET($M$15,0,0,$B$8,1))=DR$14))   /   SUM(OFFSET($BO$15,0,0,$B$14,1)) + $B$18/($B$19*$B$19*($DN134&lt;&gt;$DO134) + $B$19*($DN134=$DO134))</f>
        <v>3.7037037037037035E-4</v>
      </c>
      <c r="DS134" s="10" cm="1">
        <f t="array" aca="1" ref="DS134" ca="1">(1-$B$18)*SUMPRODUCT(OFFSET($BO$15,0,0,$B$14,1), 1*(_xlfn._xlws.FILTER(OFFSET($O$15,0,$DN134,$B$8,1),OFFSET($M$15,0,0,$B$8,1))=DS$13), 1*(_xlfn._xlws.FILTER(OFFSET($O$15,0,$DO134,$B$8,1),OFFSET($M$15,0,0,$B$8,1))=DS$14))   /   SUM(OFFSET($BO$15,0,0,$B$14,1)) + $B$18/($B$19*$B$19*($DN134&lt;&gt;$DO134) + $B$19*($DN134=$DO134))</f>
        <v>3.7037037037037035E-4</v>
      </c>
      <c r="DT134" s="10" cm="1">
        <f t="array" aca="1" ref="DT134" ca="1">(1-$B$18)*SUMPRODUCT(OFFSET($BO$15,0,0,$B$14,1), 1*(_xlfn._xlws.FILTER(OFFSET($O$15,0,$DN134,$B$8,1),OFFSET($M$15,0,0,$B$8,1))=DT$13), 1*(_xlfn._xlws.FILTER(OFFSET($O$15,0,$DO134,$B$8,1),OFFSET($M$15,0,0,$B$8,1))=DT$14))   /   SUM(OFFSET($BO$15,0,0,$B$14,1)) + $B$18/($B$19*$B$19*($DN134&lt;&gt;$DO134) + $B$19*($DN134=$DO134))</f>
        <v>3.7037037037037035E-4</v>
      </c>
      <c r="DU134" s="10" cm="1">
        <f t="array" aca="1" ref="DU134" ca="1">(1-$B$18)*SUMPRODUCT(OFFSET($BO$15,0,0,$B$14,1), 1*(_xlfn._xlws.FILTER(OFFSET($O$15,0,$DN134,$B$8,1),OFFSET($M$15,0,0,$B$8,1))=DU$13), 1*(_xlfn._xlws.FILTER(OFFSET($O$15,0,$DO134,$B$8,1),OFFSET($M$15,0,0,$B$8,1))=DU$14))   /   SUM(OFFSET($BO$15,0,0,$B$14,1)) + $B$18/($B$19*$B$19*($DN134&lt;&gt;$DO134) + $B$19*($DN134=$DO134))</f>
        <v>3.7037037037037035E-4</v>
      </c>
      <c r="DV134" s="10" cm="1">
        <f t="array" aca="1" ref="DV134" ca="1">(1-$B$18)*SUMPRODUCT(OFFSET($BO$15,0,0,$B$14,1), 1*(_xlfn._xlws.FILTER(OFFSET($O$15,0,$DN134,$B$8,1),OFFSET($M$15,0,0,$B$8,1))=DV$13), 1*(_xlfn._xlws.FILTER(OFFSET($O$15,0,$DO134,$B$8,1),OFFSET($M$15,0,0,$B$8,1))=DV$14))   /   SUM(OFFSET($BO$15,0,0,$B$14,1)) + $B$18/($B$19*$B$19*($DN134&lt;&gt;$DO134) + $B$19*($DN134=$DO134))</f>
        <v>3.7037037037037035E-4</v>
      </c>
      <c r="DW134" s="10" cm="1">
        <f t="array" aca="1" ref="DW134" ca="1">(1-$B$18)*SUMPRODUCT(OFFSET($BO$15,0,0,$B$14,1), 1*(_xlfn._xlws.FILTER(OFFSET($O$15,0,$DN134,$B$8,1),OFFSET($M$15,0,0,$B$8,1))=DW$13), 1*(_xlfn._xlws.FILTER(OFFSET($O$15,0,$DO134,$B$8,1),OFFSET($M$15,0,0,$B$8,1))=DW$14))   /   SUM(OFFSET($BO$15,0,0,$B$14,1)) + $B$18/($B$19*$B$19*($DN134&lt;&gt;$DO134) + $B$19*($DN134=$DO134))</f>
        <v>3.7037037037037035E-4</v>
      </c>
      <c r="DX134" s="10" cm="1">
        <f t="array" aca="1" ref="DX134" ca="1">(1-$B$18)*SUMPRODUCT(OFFSET($BO$15,0,0,$B$14,1), 1*(_xlfn._xlws.FILTER(OFFSET($O$15,0,$DN134,$B$8,1),OFFSET($M$15,0,0,$B$8,1))=DX$13), 1*(_xlfn._xlws.FILTER(OFFSET($O$15,0,$DO134,$B$8,1),OFFSET($M$15,0,0,$B$8,1))=DX$14))   /   SUM(OFFSET($BO$15,0,0,$B$14,1)) + $B$18/($B$19*$B$19*($DN134&lt;&gt;$DO134) + $B$19*($DN134=$DO134))</f>
        <v>3.7037037037037035E-4</v>
      </c>
      <c r="DY134" s="10" cm="1">
        <f t="array" aca="1" ref="DY134" ca="1">(1-$B$18)*SUMPRODUCT(OFFSET($BO$15,0,0,$B$14,1), 1*(_xlfn._xlws.FILTER(OFFSET($O$15,0,$DN134,$B$8,1),OFFSET($M$15,0,0,$B$8,1))=DY$13), 1*(_xlfn._xlws.FILTER(OFFSET($O$15,0,$DO134,$B$8,1),OFFSET($M$15,0,0,$B$8,1))=DY$14))   /   SUM(OFFSET($BO$15,0,0,$B$14,1)) + $B$18/($B$19*$B$19*($DN134&lt;&gt;$DO134) + $B$19*($DN134=$DO134))</f>
        <v>3.7037037037037035E-4</v>
      </c>
      <c r="DZ134" s="10" cm="1">
        <f t="array" aca="1" ref="DZ134" ca="1">(1-$B$18)*SUMPRODUCT(OFFSET($BO$15,0,0,$B$14,1), 1*(_xlfn._xlws.FILTER(OFFSET($O$15,0,$DN134,$B$8,1),OFFSET($M$15,0,0,$B$8,1))=DZ$13), 1*(_xlfn._xlws.FILTER(OFFSET($O$15,0,$DO134,$B$8,1),OFFSET($M$15,0,0,$B$8,1))=DZ$14))   /   SUM(OFFSET($BO$15,0,0,$B$14,1)) + $B$18/($B$19*$B$19*($DN134&lt;&gt;$DO134) + $B$19*($DN134=$DO134))</f>
        <v>3.7037037037037035E-4</v>
      </c>
      <c r="EA134" s="10" cm="1">
        <f t="array" aca="1" ref="EA134" ca="1">(1-$B$18)*SUMPRODUCT(OFFSET($BO$15,0,0,$B$14,1), 1*(_xlfn._xlws.FILTER(OFFSET($O$15,0,$DN134,$B$8,1),OFFSET($M$15,0,0,$B$8,1))=EA$13), 1*(_xlfn._xlws.FILTER(OFFSET($O$15,0,$DO134,$B$8,1),OFFSET($M$15,0,0,$B$8,1))=EA$14))   /   SUM(OFFSET($BO$15,0,0,$B$14,1)) + $B$18/($B$19*$B$19*($DN134&lt;&gt;$DO134) + $B$19*($DN134=$DO134))</f>
        <v>3.7037037037037035E-4</v>
      </c>
      <c r="EB134" s="10" cm="1">
        <f t="array" aca="1" ref="EB134" ca="1">(1-$B$18)*SUMPRODUCT(OFFSET($BO$15,0,0,$B$14,1), 1*(_xlfn._xlws.FILTER(OFFSET($O$15,0,$DN134,$B$8,1),OFFSET($M$15,0,0,$B$8,1))=EB$13), 1*(_xlfn._xlws.FILTER(OFFSET($O$15,0,$DO134,$B$8,1),OFFSET($M$15,0,0,$B$8,1))=EB$14))   /   SUM(OFFSET($BO$15,0,0,$B$14,1)) + $B$18/($B$19*$B$19*($DN134&lt;&gt;$DO134) + $B$19*($DN134=$DO134))</f>
        <v>3.7037037037037035E-4</v>
      </c>
      <c r="EC134" s="10" cm="1">
        <f t="array" aca="1" ref="EC134" ca="1">(1-$B$18)*SUMPRODUCT(OFFSET($BO$15,0,0,$B$14,1), 1*(_xlfn._xlws.FILTER(OFFSET($O$15,0,$DN134,$B$8,1),OFFSET($M$15,0,0,$B$8,1))=EC$13), 1*(_xlfn._xlws.FILTER(OFFSET($O$15,0,$DO134,$B$8,1),OFFSET($M$15,0,0,$B$8,1))=EC$14))   /   SUM(OFFSET($BO$15,0,0,$B$14,1)) + $B$18/($B$19*$B$19*($DN134&lt;&gt;$DO134) + $B$19*($DN134=$DO134))</f>
        <v>3.7037037037037035E-4</v>
      </c>
      <c r="ED134" s="10" cm="1">
        <f t="array" aca="1" ref="ED134" ca="1">(1-$B$18)*SUMPRODUCT(OFFSET($BO$15,0,0,$B$14,1), 1*(_xlfn._xlws.FILTER(OFFSET($O$15,0,$DN134,$B$8,1),OFFSET($M$15,0,0,$B$8,1))=ED$13), 1*(_xlfn._xlws.FILTER(OFFSET($O$15,0,$DO134,$B$8,1),OFFSET($M$15,0,0,$B$8,1))=ED$14))   /   SUM(OFFSET($BO$15,0,0,$B$14,1)) + $B$18/($B$19*$B$19*($DN134&lt;&gt;$DO134) + $B$19*($DN134=$DO134))</f>
        <v>3.7037037037037035E-4</v>
      </c>
      <c r="EE134" s="10" cm="1">
        <f t="array" aca="1" ref="EE134" ca="1">(1-$B$18)*SUMPRODUCT(OFFSET($BO$15,0,0,$B$14,1), 1*(_xlfn._xlws.FILTER(OFFSET($O$15,0,$DN134,$B$8,1),OFFSET($M$15,0,0,$B$8,1))=EE$13), 1*(_xlfn._xlws.FILTER(OFFSET($O$15,0,$DO134,$B$8,1),OFFSET($M$15,0,0,$B$8,1))=EE$14))   /   SUM(OFFSET($BO$15,0,0,$B$14,1)) + $B$18/($B$19*$B$19*($DN134&lt;&gt;$DO134) + $B$19*($DN134=$DO134))</f>
        <v>3.7037037037037035E-4</v>
      </c>
      <c r="EF134" s="10" cm="1">
        <f t="array" aca="1" ref="EF134" ca="1">(1-$B$18)*SUMPRODUCT(OFFSET($BO$15,0,0,$B$14,1), 1*(_xlfn._xlws.FILTER(OFFSET($O$15,0,$DN134,$B$8,1),OFFSET($M$15,0,0,$B$8,1))=EF$13), 1*(_xlfn._xlws.FILTER(OFFSET($O$15,0,$DO134,$B$8,1),OFFSET($M$15,0,0,$B$8,1))=EF$14))   /   SUM(OFFSET($BO$15,0,0,$B$14,1)) + $B$18/($B$19*$B$19*($DN134&lt;&gt;$DO134) + $B$19*($DN134=$DO134))</f>
        <v>3.7037037037037035E-4</v>
      </c>
      <c r="EG134" s="10" cm="1">
        <f t="array" aca="1" ref="EG134" ca="1">(1-$B$18)*SUMPRODUCT(OFFSET($BO$15,0,0,$B$14,1), 1*(_xlfn._xlws.FILTER(OFFSET($O$15,0,$DN134,$B$8,1),OFFSET($M$15,0,0,$B$8,1))=EG$13), 1*(_xlfn._xlws.FILTER(OFFSET($O$15,0,$DO134,$B$8,1),OFFSET($M$15,0,0,$B$8,1))=EG$14))   /   SUM(OFFSET($BO$15,0,0,$B$14,1)) + $B$18/($B$19*$B$19*($DN134&lt;&gt;$DO134) + $B$19*($DN134=$DO134))</f>
        <v>3.7037037037037035E-4</v>
      </c>
      <c r="EH134" s="10" cm="1">
        <f t="array" aca="1" ref="EH134" ca="1">(1-$B$18)*SUMPRODUCT(OFFSET($BO$15,0,0,$B$14,1), 1*(_xlfn._xlws.FILTER(OFFSET($O$15,0,$DN134,$B$8,1),OFFSET($M$15,0,0,$B$8,1))=EH$13), 1*(_xlfn._xlws.FILTER(OFFSET($O$15,0,$DO134,$B$8,1),OFFSET($M$15,0,0,$B$8,1))=EH$14))   /   SUM(OFFSET($BO$15,0,0,$B$14,1)) + $B$18/($B$19*$B$19*($DN134&lt;&gt;$DO134) + $B$19*($DN134=$DO134))</f>
        <v>3.7037037037037035E-4</v>
      </c>
      <c r="EI134" s="10" cm="1">
        <f t="array" aca="1" ref="EI134" ca="1">(1-$B$18)*SUMPRODUCT(OFFSET($BO$15,0,0,$B$14,1), 1*(_xlfn._xlws.FILTER(OFFSET($O$15,0,$DN134,$B$8,1),OFFSET($M$15,0,0,$B$8,1))=EI$13), 1*(_xlfn._xlws.FILTER(OFFSET($O$15,0,$DO134,$B$8,1),OFFSET($M$15,0,0,$B$8,1))=EI$14))   /   SUM(OFFSET($BO$15,0,0,$B$14,1)) + $B$18/($B$19*$B$19*($DN134&lt;&gt;$DO134) + $B$19*($DN134=$DO134))</f>
        <v>3.7037037037037035E-4</v>
      </c>
      <c r="EJ134" s="10" cm="1">
        <f t="array" aca="1" ref="EJ134" ca="1">(1-$B$18)*SUMPRODUCT(OFFSET($BO$15,0,0,$B$14,1), 1*(_xlfn._xlws.FILTER(OFFSET($O$15,0,$DN134,$B$8,1),OFFSET($M$15,0,0,$B$8,1))=EJ$13), 1*(_xlfn._xlws.FILTER(OFFSET($O$15,0,$DO134,$B$8,1),OFFSET($M$15,0,0,$B$8,1))=EJ$14))   /   SUM(OFFSET($BO$15,0,0,$B$14,1)) + $B$18/($B$19*$B$19*($DN134&lt;&gt;$DO134) + $B$19*($DN134=$DO134))</f>
        <v>3.7037037037037035E-4</v>
      </c>
      <c r="EK134" s="10" cm="1">
        <f t="array" aca="1" ref="EK134" ca="1">(1-$B$18)*SUMPRODUCT(OFFSET($BO$15,0,0,$B$14,1), 1*(_xlfn._xlws.FILTER(OFFSET($O$15,0,$DN134,$B$8,1),OFFSET($M$15,0,0,$B$8,1))=EK$13), 1*(_xlfn._xlws.FILTER(OFFSET($O$15,0,$DO134,$B$8,1),OFFSET($M$15,0,0,$B$8,1))=EK$14))   /   SUM(OFFSET($BO$15,0,0,$B$14,1)) + $B$18/($B$19*$B$19*($DN134&lt;&gt;$DO134) + $B$19*($DN134=$DO134))</f>
        <v>3.7037037037037035E-4</v>
      </c>
      <c r="EL134" s="10" cm="1">
        <f t="array" aca="1" ref="EL134" ca="1">(1-$B$18)*SUMPRODUCT(OFFSET($BO$15,0,0,$B$14,1), 1*(_xlfn._xlws.FILTER(OFFSET($O$15,0,$DN134,$B$8,1),OFFSET($M$15,0,0,$B$8,1))=EL$13), 1*(_xlfn._xlws.FILTER(OFFSET($O$15,0,$DO134,$B$8,1),OFFSET($M$15,0,0,$B$8,1))=EL$14))   /   SUM(OFFSET($BO$15,0,0,$B$14,1)) + $B$18/($B$19*$B$19*($DN134&lt;&gt;$DO134) + $B$19*($DN134=$DO134))</f>
        <v>3.7037037037037035E-4</v>
      </c>
      <c r="EM134" s="10" cm="1">
        <f t="array" aca="1" ref="EM134" ca="1">(1-$B$18)*SUMPRODUCT(OFFSET($BO$15,0,0,$B$14,1), 1*(_xlfn._xlws.FILTER(OFFSET($O$15,0,$DN134,$B$8,1),OFFSET($M$15,0,0,$B$8,1))=EM$13), 1*(_xlfn._xlws.FILTER(OFFSET($O$15,0,$DO134,$B$8,1),OFFSET($M$15,0,0,$B$8,1))=EM$14))   /   SUM(OFFSET($BO$15,0,0,$B$14,1)) + $B$18/($B$19*$B$19*($DN134&lt;&gt;$DO134) + $B$19*($DN134=$DO134))</f>
        <v>3.7037037037037035E-4</v>
      </c>
      <c r="EN134" s="10" cm="1">
        <f t="array" aca="1" ref="EN134" ca="1">(1-$B$18)*SUMPRODUCT(OFFSET($BO$15,0,0,$B$14,1), 1*(_xlfn._xlws.FILTER(OFFSET($O$15,0,$DN134,$B$8,1),OFFSET($M$15,0,0,$B$8,1))=EN$13), 1*(_xlfn._xlws.FILTER(OFFSET($O$15,0,$DO134,$B$8,1),OFFSET($M$15,0,0,$B$8,1))=EN$14))   /   SUM(OFFSET($BO$15,0,0,$B$14,1)) + $B$18/($B$19*$B$19*($DN134&lt;&gt;$DO134) + $B$19*($DN134=$DO134))</f>
        <v>3.7037037037037035E-4</v>
      </c>
      <c r="EO134" s="10" cm="1">
        <f t="array" aca="1" ref="EO134" ca="1">(1-$B$18)*SUMPRODUCT(OFFSET($BO$15,0,0,$B$14,1), 1*(_xlfn._xlws.FILTER(OFFSET($O$15,0,$DN134,$B$8,1),OFFSET($M$15,0,0,$B$8,1))=EO$13), 1*(_xlfn._xlws.FILTER(OFFSET($O$15,0,$DO134,$B$8,1),OFFSET($M$15,0,0,$B$8,1))=EO$14))   /   SUM(OFFSET($BO$15,0,0,$B$14,1)) + $B$18/($B$19*$B$19*($DN134&lt;&gt;$DO134) + $B$19*($DN134=$DO134))</f>
        <v>3.7037037037037035E-4</v>
      </c>
      <c r="EP134" s="10" cm="1">
        <f t="array" aca="1" ref="EP134" ca="1">(1-$B$18)*SUMPRODUCT(OFFSET($BO$15,0,0,$B$14,1), 1*(_xlfn._xlws.FILTER(OFFSET($O$15,0,$DN134,$B$8,1),OFFSET($M$15,0,0,$B$8,1))=EP$13), 1*(_xlfn._xlws.FILTER(OFFSET($O$15,0,$DO134,$B$8,1),OFFSET($M$15,0,0,$B$8,1))=EP$14))   /   SUM(OFFSET($BO$15,0,0,$B$14,1)) + $B$18/($B$19*$B$19*($DN134&lt;&gt;$DO134) + $B$19*($DN134=$DO134))</f>
        <v>3.7037037037037035E-4</v>
      </c>
      <c r="EQ134" s="10" cm="1">
        <f t="array" aca="1" ref="EQ134" ca="1">(1-$B$18)*SUMPRODUCT(OFFSET($BO$15,0,0,$B$14,1), 1*(_xlfn._xlws.FILTER(OFFSET($O$15,0,$DN134,$B$8,1),OFFSET($M$15,0,0,$B$8,1))=EQ$13), 1*(_xlfn._xlws.FILTER(OFFSET($O$15,0,$DO134,$B$8,1),OFFSET($M$15,0,0,$B$8,1))=EQ$14))   /   SUM(OFFSET($BO$15,0,0,$B$14,1)) + $B$18/($B$19*$B$19*($DN134&lt;&gt;$DO134) + $B$19*($DN134=$DO134))</f>
        <v>3.7037037037037035E-4</v>
      </c>
      <c r="ER134" s="10" cm="1">
        <f t="array" aca="1" ref="ER134" ca="1">(1-$B$18)*SUMPRODUCT(OFFSET($BO$15,0,0,$B$14,1), 1*(_xlfn._xlws.FILTER(OFFSET($O$15,0,$DN134,$B$8,1),OFFSET($M$15,0,0,$B$8,1))=ER$13), 1*(_xlfn._xlws.FILTER(OFFSET($O$15,0,$DO134,$B$8,1),OFFSET($M$15,0,0,$B$8,1))=ER$14))   /   SUM(OFFSET($BO$15,0,0,$B$14,1)) + $B$18/($B$19*$B$19*($DN134&lt;&gt;$DO134) + $B$19*($DN134=$DO134))</f>
        <v>3.7037037037037035E-4</v>
      </c>
      <c r="ES134" s="10" cm="1">
        <f t="array" aca="1" ref="ES134" ca="1">(1-$B$18)*SUMPRODUCT(OFFSET($BO$15,0,0,$B$14,1), 1*(_xlfn._xlws.FILTER(OFFSET($O$15,0,$DN134,$B$8,1),OFFSET($M$15,0,0,$B$8,1))=ES$13), 1*(_xlfn._xlws.FILTER(OFFSET($O$15,0,$DO134,$B$8,1),OFFSET($M$15,0,0,$B$8,1))=ES$14))   /   SUM(OFFSET($BO$15,0,0,$B$14,1)) + $B$18/($B$19*$B$19*($DN134&lt;&gt;$DO134) + $B$19*($DN134=$DO134))</f>
        <v>3.7037037037037035E-4</v>
      </c>
      <c r="ET134" s="10" cm="1">
        <f t="array" aca="1" ref="ET134" ca="1">(1-$B$18)*SUMPRODUCT(OFFSET($BO$15,0,0,$B$14,1), 1*(_xlfn._xlws.FILTER(OFFSET($O$15,0,$DN134,$B$8,1),OFFSET($M$15,0,0,$B$8,1))=ET$13), 1*(_xlfn._xlws.FILTER(OFFSET($O$15,0,$DO134,$B$8,1),OFFSET($M$15,0,0,$B$8,1))=ET$14))   /   SUM(OFFSET($BO$15,0,0,$B$14,1)) + $B$18/($B$19*$B$19*($DN134&lt;&gt;$DO134) + $B$19*($DN134=$DO134))</f>
        <v>3.7037037037037035E-4</v>
      </c>
      <c r="EU134" s="10" cm="1">
        <f t="array" aca="1" ref="EU134" ca="1">(1-$B$18)*SUMPRODUCT(OFFSET($BO$15,0,0,$B$14,1), 1*(_xlfn._xlws.FILTER(OFFSET($O$15,0,$DN134,$B$8,1),OFFSET($M$15,0,0,$B$8,1))=EU$13), 1*(_xlfn._xlws.FILTER(OFFSET($O$15,0,$DO134,$B$8,1),OFFSET($M$15,0,0,$B$8,1))=EU$14))   /   SUM(OFFSET($BO$15,0,0,$B$14,1)) + $B$18/($B$19*$B$19*($DN134&lt;&gt;$DO134) + $B$19*($DN134=$DO134))</f>
        <v>3.7037037037037035E-4</v>
      </c>
      <c r="EV134" s="10" cm="1">
        <f t="array" aca="1" ref="EV134" ca="1">(1-$B$18)*SUMPRODUCT(OFFSET($BO$15,0,0,$B$14,1), 1*(_xlfn._xlws.FILTER(OFFSET($O$15,0,$DN134,$B$8,1),OFFSET($M$15,0,0,$B$8,1))=EV$13), 1*(_xlfn._xlws.FILTER(OFFSET($O$15,0,$DO134,$B$8,1),OFFSET($M$15,0,0,$B$8,1))=EV$14))   /   SUM(OFFSET($BO$15,0,0,$B$14,1)) + $B$18/($B$19*$B$19*($DN134&lt;&gt;$DO134) + $B$19*($DN134=$DO134))</f>
        <v>3.7037037037037035E-4</v>
      </c>
      <c r="EW134" s="10" cm="1">
        <f t="array" aca="1" ref="EW134" ca="1">(1-$B$18)*SUMPRODUCT(OFFSET($BO$15,0,0,$B$14,1), 1*(_xlfn._xlws.FILTER(OFFSET($O$15,0,$DN134,$B$8,1),OFFSET($M$15,0,0,$B$8,1))=EW$13), 1*(_xlfn._xlws.FILTER(OFFSET($O$15,0,$DO134,$B$8,1),OFFSET($M$15,0,0,$B$8,1))=EW$14))   /   SUM(OFFSET($BO$15,0,0,$B$14,1)) + $B$18/($B$19*$B$19*($DN134&lt;&gt;$DO134) + $B$19*($DN134=$DO134))</f>
        <v>3.7037037037037035E-4</v>
      </c>
      <c r="EX134" s="10" cm="1">
        <f t="array" aca="1" ref="EX134" ca="1">(1-$B$18)*SUMPRODUCT(OFFSET($BO$15,0,0,$B$14,1), 1*(_xlfn._xlws.FILTER(OFFSET($O$15,0,$DN134,$B$8,1),OFFSET($M$15,0,0,$B$8,1))=EX$13), 1*(_xlfn._xlws.FILTER(OFFSET($O$15,0,$DO134,$B$8,1),OFFSET($M$15,0,0,$B$8,1))=EX$14))   /   SUM(OFFSET($BO$15,0,0,$B$14,1)) + $B$18/($B$19*$B$19*($DN134&lt;&gt;$DO134) + $B$19*($DN134=$DO134))</f>
        <v>3.7037037037037035E-4</v>
      </c>
      <c r="EY134" s="10" cm="1">
        <f t="array" aca="1" ref="EY134" ca="1">(1-$B$18)*SUMPRODUCT(OFFSET($BO$15,0,0,$B$14,1), 1*(_xlfn._xlws.FILTER(OFFSET($O$15,0,$DN134,$B$8,1),OFFSET($M$15,0,0,$B$8,1))=EY$13), 1*(_xlfn._xlws.FILTER(OFFSET($O$15,0,$DO134,$B$8,1),OFFSET($M$15,0,0,$B$8,1))=EY$14))   /   SUM(OFFSET($BO$15,0,0,$B$14,1)) + $B$18/($B$19*$B$19*($DN134&lt;&gt;$DO134) + $B$19*($DN134=$DO134))</f>
        <v>3.7037037037037035E-4</v>
      </c>
      <c r="EZ134" s="10" cm="1">
        <f t="array" aca="1" ref="EZ134" ca="1">(1-$B$18)*SUMPRODUCT(OFFSET($BO$15,0,0,$B$14,1), 1*(_xlfn._xlws.FILTER(OFFSET($O$15,0,$DN134,$B$8,1),OFFSET($M$15,0,0,$B$8,1))=EZ$13), 1*(_xlfn._xlws.FILTER(OFFSET($O$15,0,$DO134,$B$8,1),OFFSET($M$15,0,0,$B$8,1))=EZ$14))   /   SUM(OFFSET($BO$15,0,0,$B$14,1)) + $B$18/($B$19*$B$19*($DN134&lt;&gt;$DO134) + $B$19*($DN134=$DO134))</f>
        <v>3.7037037037037035E-4</v>
      </c>
      <c r="FA134" s="10" cm="1">
        <f t="array" aca="1" ref="FA134" ca="1">(1-$B$18)*SUMPRODUCT(OFFSET($BO$15,0,0,$B$14,1), 1*(_xlfn._xlws.FILTER(OFFSET($O$15,0,$DN134,$B$8,1),OFFSET($M$15,0,0,$B$8,1))=FA$13), 1*(_xlfn._xlws.FILTER(OFFSET($O$15,0,$DO134,$B$8,1),OFFSET($M$15,0,0,$B$8,1))=FA$14))   /   SUM(OFFSET($BO$15,0,0,$B$14,1)) + $B$18/($B$19*$B$19*($DN134&lt;&gt;$DO134) + $B$19*($DN134=$DO134))</f>
        <v>3.7037037037037035E-4</v>
      </c>
      <c r="FB134" s="10" cm="1">
        <f t="array" aca="1" ref="FB134" ca="1">(1-$B$18)*SUMPRODUCT(OFFSET($BO$15,0,0,$B$14,1), 1*(_xlfn._xlws.FILTER(OFFSET($O$15,0,$DN134,$B$8,1),OFFSET($M$15,0,0,$B$8,1))=FB$13), 1*(_xlfn._xlws.FILTER(OFFSET($O$15,0,$DO134,$B$8,1),OFFSET($M$15,0,0,$B$8,1))=FB$14))   /   SUM(OFFSET($BO$15,0,0,$B$14,1)) + $B$18/($B$19*$B$19*($DN134&lt;&gt;$DO134) + $B$19*($DN134=$DO134))</f>
        <v>3.7037037037037035E-4</v>
      </c>
      <c r="FC134" s="10" cm="1">
        <f t="array" aca="1" ref="FC134" ca="1">(1-$B$18)*SUMPRODUCT(OFFSET($BO$15,0,0,$B$14,1), 1*(_xlfn._xlws.FILTER(OFFSET($O$15,0,$DN134,$B$8,1),OFFSET($M$15,0,0,$B$8,1))=FC$13), 1*(_xlfn._xlws.FILTER(OFFSET($O$15,0,$DO134,$B$8,1),OFFSET($M$15,0,0,$B$8,1))=FC$14))   /   SUM(OFFSET($BO$15,0,0,$B$14,1)) + $B$18/($B$19*$B$19*($DN134&lt;&gt;$DO134) + $B$19*($DN134=$DO134))</f>
        <v>3.7037037037037035E-4</v>
      </c>
      <c r="FD134" s="10" cm="1">
        <f t="array" aca="1" ref="FD134" ca="1">(1-$B$18)*SUMPRODUCT(OFFSET($BO$15,0,0,$B$14,1), 1*(_xlfn._xlws.FILTER(OFFSET($O$15,0,$DN134,$B$8,1),OFFSET($M$15,0,0,$B$8,1))=FD$13), 1*(_xlfn._xlws.FILTER(OFFSET($O$15,0,$DO134,$B$8,1),OFFSET($M$15,0,0,$B$8,1))=FD$14))   /   SUM(OFFSET($BO$15,0,0,$B$14,1)) + $B$18/($B$19*$B$19*($DN134&lt;&gt;$DO134) + $B$19*($DN134=$DO134))</f>
        <v>3.7037037037037035E-4</v>
      </c>
      <c r="FE134" s="10" cm="1">
        <f t="array" aca="1" ref="FE134" ca="1">(1-$B$18)*SUMPRODUCT(OFFSET($BO$15,0,0,$B$14,1), 1*(_xlfn._xlws.FILTER(OFFSET($O$15,0,$DN134,$B$8,1),OFFSET($M$15,0,0,$B$8,1))=FE$13), 1*(_xlfn._xlws.FILTER(OFFSET($O$15,0,$DO134,$B$8,1),OFFSET($M$15,0,0,$B$8,1))=FE$14))   /   SUM(OFFSET($BO$15,0,0,$B$14,1)) + $B$18/($B$19*$B$19*($DN134&lt;&gt;$DO134) + $B$19*($DN134=$DO134))</f>
        <v>3.7037037037037035E-4</v>
      </c>
      <c r="FF134" s="10" cm="1">
        <f t="array" aca="1" ref="FF134" ca="1">(1-$B$18)*SUMPRODUCT(OFFSET($BO$15,0,0,$B$14,1), 1*(_xlfn._xlws.FILTER(OFFSET($O$15,0,$DN134,$B$8,1),OFFSET($M$15,0,0,$B$8,1))=FF$13), 1*(_xlfn._xlws.FILTER(OFFSET($O$15,0,$DO134,$B$8,1),OFFSET($M$15,0,0,$B$8,1))=FF$14))   /   SUM(OFFSET($BO$15,0,0,$B$14,1)) + $B$18/($B$19*$B$19*($DN134&lt;&gt;$DO134) + $B$19*($DN134=$DO134))</f>
        <v>3.7037037037037035E-4</v>
      </c>
      <c r="FG134" s="10" cm="1">
        <f t="array" aca="1" ref="FG134" ca="1">(1-$B$18)*SUMPRODUCT(OFFSET($BO$15,0,0,$B$14,1), 1*(_xlfn._xlws.FILTER(OFFSET($O$15,0,$DN134,$B$8,1),OFFSET($M$15,0,0,$B$8,1))=FG$13), 1*(_xlfn._xlws.FILTER(OFFSET($O$15,0,$DO134,$B$8,1),OFFSET($M$15,0,0,$B$8,1))=FG$14))   /   SUM(OFFSET($BO$15,0,0,$B$14,1)) + $B$18/($B$19*$B$19*($DN134&lt;&gt;$DO134) + $B$19*($DN134=$DO134))</f>
        <v>3.7037037037037035E-4</v>
      </c>
      <c r="FH134" s="10" cm="1">
        <f t="array" aca="1" ref="FH134" ca="1">(1-$B$18)*SUMPRODUCT(OFFSET($BO$15,0,0,$B$14,1), 1*(_xlfn._xlws.FILTER(OFFSET($O$15,0,$DN134,$B$8,1),OFFSET($M$15,0,0,$B$8,1))=FH$13), 1*(_xlfn._xlws.FILTER(OFFSET($O$15,0,$DO134,$B$8,1),OFFSET($M$15,0,0,$B$8,1))=FH$14))   /   SUM(OFFSET($BO$15,0,0,$B$14,1)) + $B$18/($B$19*$B$19*($DN134&lt;&gt;$DO134) + $B$19*($DN134=$DO134))</f>
        <v>3.7037037037037035E-4</v>
      </c>
      <c r="FI134" s="10" cm="1">
        <f t="array" aca="1" ref="FI134" ca="1">(1-$B$18)*SUMPRODUCT(OFFSET($BO$15,0,0,$B$14,1), 1*(_xlfn._xlws.FILTER(OFFSET($O$15,0,$DN134,$B$8,1),OFFSET($M$15,0,0,$B$8,1))=FI$13), 1*(_xlfn._xlws.FILTER(OFFSET($O$15,0,$DO134,$B$8,1),OFFSET($M$15,0,0,$B$8,1))=FI$14))   /   SUM(OFFSET($BO$15,0,0,$B$14,1)) + $B$18/($B$19*$B$19*($DN134&lt;&gt;$DO134) + $B$19*($DN134=$DO134))</f>
        <v>3.7037037037037035E-4</v>
      </c>
      <c r="FJ134" s="10" cm="1">
        <f t="array" aca="1" ref="FJ134" ca="1">(1-$B$18)*SUMPRODUCT(OFFSET($BO$15,0,0,$B$14,1), 1*(_xlfn._xlws.FILTER(OFFSET($O$15,0,$DN134,$B$8,1),OFFSET($M$15,0,0,$B$8,1))=FJ$13), 1*(_xlfn._xlws.FILTER(OFFSET($O$15,0,$DO134,$B$8,1),OFFSET($M$15,0,0,$B$8,1))=FJ$14))   /   SUM(OFFSET($BO$15,0,0,$B$14,1)) + $B$18/($B$19*$B$19*($DN134&lt;&gt;$DO134) + $B$19*($DN134=$DO134))</f>
        <v>3.7037037037037035E-4</v>
      </c>
      <c r="FK134" s="10" cm="1">
        <f t="array" aca="1" ref="FK134" ca="1">(1-$B$18)*SUMPRODUCT(OFFSET($BO$15,0,0,$B$14,1), 1*(_xlfn._xlws.FILTER(OFFSET($O$15,0,$DN134,$B$8,1),OFFSET($M$15,0,0,$B$8,1))=FK$13), 1*(_xlfn._xlws.FILTER(OFFSET($O$15,0,$DO134,$B$8,1),OFFSET($M$15,0,0,$B$8,1))=FK$14))   /   SUM(OFFSET($BO$15,0,0,$B$14,1)) + $B$18/($B$19*$B$19*($DN134&lt;&gt;$DO134) + $B$19*($DN134=$DO134))</f>
        <v>3.7037037037037035E-4</v>
      </c>
      <c r="FL134" s="10" cm="1">
        <f t="array" aca="1" ref="FL134" ca="1">(1-$B$18)*SUMPRODUCT(OFFSET($BO$15,0,0,$B$14,1), 1*(_xlfn._xlws.FILTER(OFFSET($O$15,0,$DN134,$B$8,1),OFFSET($M$15,0,0,$B$8,1))=FL$13), 1*(_xlfn._xlws.FILTER(OFFSET($O$15,0,$DO134,$B$8,1),OFFSET($M$15,0,0,$B$8,1))=FL$14))   /   SUM(OFFSET($BO$15,0,0,$B$14,1)) + $B$18/($B$19*$B$19*($DN134&lt;&gt;$DO134) + $B$19*($DN134=$DO134))</f>
        <v>3.7037037037037035E-4</v>
      </c>
      <c r="FM134" s="10" cm="1">
        <f t="array" aca="1" ref="FM134" ca="1">(1-$B$18)*SUMPRODUCT(OFFSET($BO$15,0,0,$B$14,1), 1*(_xlfn._xlws.FILTER(OFFSET($O$15,0,$DN134,$B$8,1),OFFSET($M$15,0,0,$B$8,1))=FM$13), 1*(_xlfn._xlws.FILTER(OFFSET($O$15,0,$DO134,$B$8,1),OFFSET($M$15,0,0,$B$8,1))=FM$14))   /   SUM(OFFSET($BO$15,0,0,$B$14,1)) + $B$18/($B$19*$B$19*($DN134&lt;&gt;$DO134) + $B$19*($DN134=$DO134))</f>
        <v>3.7037037037037035E-4</v>
      </c>
      <c r="FN134" s="10" cm="1">
        <f t="array" aca="1" ref="FN134" ca="1">(1-$B$18)*SUMPRODUCT(OFFSET($BO$15,0,0,$B$14,1), 1*(_xlfn._xlws.FILTER(OFFSET($O$15,0,$DN134,$B$8,1),OFFSET($M$15,0,0,$B$8,1))=FN$13), 1*(_xlfn._xlws.FILTER(OFFSET($O$15,0,$DO134,$B$8,1),OFFSET($M$15,0,0,$B$8,1))=FN$14))   /   SUM(OFFSET($BO$15,0,0,$B$14,1)) + $B$18/($B$19*$B$19*($DN134&lt;&gt;$DO134) + $B$19*($DN134=$DO134))</f>
        <v>3.7037037037037035E-4</v>
      </c>
      <c r="FO134" s="10" cm="1">
        <f t="array" aca="1" ref="FO134" ca="1">(1-$B$18)*SUMPRODUCT(OFFSET($BO$15,0,0,$B$14,1), 1*(_xlfn._xlws.FILTER(OFFSET($O$15,0,$DN134,$B$8,1),OFFSET($M$15,0,0,$B$8,1))=FO$13), 1*(_xlfn._xlws.FILTER(OFFSET($O$15,0,$DO134,$B$8,1),OFFSET($M$15,0,0,$B$8,1))=FO$14))   /   SUM(OFFSET($BO$15,0,0,$B$14,1)) + $B$18/($B$19*$B$19*($DN134&lt;&gt;$DO134) + $B$19*($DN134=$DO134))</f>
        <v>3.7037037037037035E-4</v>
      </c>
      <c r="FP134" s="10" cm="1">
        <f t="array" aca="1" ref="FP134" ca="1">(1-$B$18)*SUMPRODUCT(OFFSET($BO$15,0,0,$B$14,1), 1*(_xlfn._xlws.FILTER(OFFSET($O$15,0,$DN134,$B$8,1),OFFSET($M$15,0,0,$B$8,1))=FP$13), 1*(_xlfn._xlws.FILTER(OFFSET($O$15,0,$DO134,$B$8,1),OFFSET($M$15,0,0,$B$8,1))=FP$14))   /   SUM(OFFSET($BO$15,0,0,$B$14,1)) + $B$18/($B$19*$B$19*($DN134&lt;&gt;$DO134) + $B$19*($DN134=$DO134))</f>
        <v>3.7037037037037035E-4</v>
      </c>
      <c r="FQ134" s="10" cm="1">
        <f t="array" aca="1" ref="FQ134" ca="1">(1-$B$18)*SUMPRODUCT(OFFSET($BO$15,0,0,$B$14,1), 1*(_xlfn._xlws.FILTER(OFFSET($O$15,0,$DN134,$B$8,1),OFFSET($M$15,0,0,$B$8,1))=FQ$13), 1*(_xlfn._xlws.FILTER(OFFSET($O$15,0,$DO134,$B$8,1),OFFSET($M$15,0,0,$B$8,1))=FQ$14))   /   SUM(OFFSET($BO$15,0,0,$B$14,1)) + $B$18/($B$19*$B$19*($DN134&lt;&gt;$DO134) + $B$19*($DN134=$DO134))</f>
        <v>3.7037037037037035E-4</v>
      </c>
      <c r="FR134" s="10" cm="1">
        <f t="array" aca="1" ref="FR134" ca="1">(1-$B$18)*SUMPRODUCT(OFFSET($BO$15,0,0,$B$14,1), 1*(_xlfn._xlws.FILTER(OFFSET($O$15,0,$DN134,$B$8,1),OFFSET($M$15,0,0,$B$8,1))=FR$13), 1*(_xlfn._xlws.FILTER(OFFSET($O$15,0,$DO134,$B$8,1),OFFSET($M$15,0,0,$B$8,1))=FR$14))   /   SUM(OFFSET($BO$15,0,0,$B$14,1)) + $B$18/($B$19*$B$19*($DN134&lt;&gt;$DO134) + $B$19*($DN134=$DO134))</f>
        <v>0.97037037037037033</v>
      </c>
      <c r="FS134" s="10" cm="1">
        <f t="array" aca="1" ref="FS134" ca="1">(1-$B$18)*SUMPRODUCT(OFFSET($BO$15,0,0,$B$14,1), 1*(_xlfn._xlws.FILTER(OFFSET($O$15,0,$DN134,$B$8,1),OFFSET($M$15,0,0,$B$8,1))=FS$13), 1*(_xlfn._xlws.FILTER(OFFSET($O$15,0,$DO134,$B$8,1),OFFSET($M$15,0,0,$B$8,1))=FS$14))   /   SUM(OFFSET($BO$15,0,0,$B$14,1)) + $B$18/($B$19*$B$19*($DN134&lt;&gt;$DO134) + $B$19*($DN134=$DO134))</f>
        <v>3.7037037037037035E-4</v>
      </c>
      <c r="FT134" s="10" cm="1">
        <f t="array" aca="1" ref="FT134" ca="1">(1-$B$18)*SUMPRODUCT(OFFSET($BO$15,0,0,$B$14,1), 1*(_xlfn._xlws.FILTER(OFFSET($O$15,0,$DN134,$B$8,1),OFFSET($M$15,0,0,$B$8,1))=FT$13), 1*(_xlfn._xlws.FILTER(OFFSET($O$15,0,$DO134,$B$8,1),OFFSET($M$15,0,0,$B$8,1))=FT$14))   /   SUM(OFFSET($BO$15,0,0,$B$14,1)) + $B$18/($B$19*$B$19*($DN134&lt;&gt;$DO134) + $B$19*($DN134=$DO134))</f>
        <v>3.7037037037037035E-4</v>
      </c>
      <c r="FU134" s="10" cm="1">
        <f t="array" aca="1" ref="FU134" ca="1">(1-$B$18)*SUMPRODUCT(OFFSET($BO$15,0,0,$B$14,1), 1*(_xlfn._xlws.FILTER(OFFSET($O$15,0,$DN134,$B$8,1),OFFSET($M$15,0,0,$B$8,1))=FU$13), 1*(_xlfn._xlws.FILTER(OFFSET($O$15,0,$DO134,$B$8,1),OFFSET($M$15,0,0,$B$8,1))=FU$14))   /   SUM(OFFSET($BO$15,0,0,$B$14,1)) + $B$18/($B$19*$B$19*($DN134&lt;&gt;$DO134) + $B$19*($DN134=$DO134))</f>
        <v>3.7037037037037035E-4</v>
      </c>
      <c r="FV134" s="10" cm="1">
        <f t="array" aca="1" ref="FV134" ca="1">(1-$B$18)*SUMPRODUCT(OFFSET($BO$15,0,0,$B$14,1), 1*(_xlfn._xlws.FILTER(OFFSET($O$15,0,$DN134,$B$8,1),OFFSET($M$15,0,0,$B$8,1))=FV$13), 1*(_xlfn._xlws.FILTER(OFFSET($O$15,0,$DO134,$B$8,1),OFFSET($M$15,0,0,$B$8,1))=FV$14))   /   SUM(OFFSET($BO$15,0,0,$B$14,1)) + $B$18/($B$19*$B$19*($DN134&lt;&gt;$DO134) + $B$19*($DN134=$DO134))</f>
        <v>3.7037037037037035E-4</v>
      </c>
      <c r="FW134" s="10" cm="1">
        <f t="array" aca="1" ref="FW134" ca="1">(1-$B$18)*SUMPRODUCT(OFFSET($BO$15,0,0,$B$14,1), 1*(_xlfn._xlws.FILTER(OFFSET($O$15,0,$DN134,$B$8,1),OFFSET($M$15,0,0,$B$8,1))=FW$13), 1*(_xlfn._xlws.FILTER(OFFSET($O$15,0,$DO134,$B$8,1),OFFSET($M$15,0,0,$B$8,1))=FW$14))   /   SUM(OFFSET($BO$15,0,0,$B$14,1)) + $B$18/($B$19*$B$19*($DN134&lt;&gt;$DO134) + $B$19*($DN134=$DO134))</f>
        <v>3.7037037037037035E-4</v>
      </c>
      <c r="FX134" s="10" cm="1">
        <f t="array" aca="1" ref="FX134" ca="1">(1-$B$18)*SUMPRODUCT(OFFSET($BO$15,0,0,$B$14,1), 1*(_xlfn._xlws.FILTER(OFFSET($O$15,0,$DN134,$B$8,1),OFFSET($M$15,0,0,$B$8,1))=FX$13), 1*(_xlfn._xlws.FILTER(OFFSET($O$15,0,$DO134,$B$8,1),OFFSET($M$15,0,0,$B$8,1))=FX$14))   /   SUM(OFFSET($BO$15,0,0,$B$14,1)) + $B$18/($B$19*$B$19*($DN134&lt;&gt;$DO134) + $B$19*($DN134=$DO134))</f>
        <v>3.7037037037037035E-4</v>
      </c>
      <c r="FY134" s="10" cm="1">
        <f t="array" aca="1" ref="FY134" ca="1">(1-$B$18)*SUMPRODUCT(OFFSET($BO$15,0,0,$B$14,1), 1*(_xlfn._xlws.FILTER(OFFSET($O$15,0,$DN134,$B$8,1),OFFSET($M$15,0,0,$B$8,1))=FY$13), 1*(_xlfn._xlws.FILTER(OFFSET($O$15,0,$DO134,$B$8,1),OFFSET($M$15,0,0,$B$8,1))=FY$14))   /   SUM(OFFSET($BO$15,0,0,$B$14,1)) + $B$18/($B$19*$B$19*($DN134&lt;&gt;$DO134) + $B$19*($DN134=$DO134))</f>
        <v>3.7037037037037035E-4</v>
      </c>
      <c r="FZ134" s="10" cm="1">
        <f t="array" aca="1" ref="FZ134" ca="1">(1-$B$18)*SUMPRODUCT(OFFSET($BO$15,0,0,$B$14,1), 1*(_xlfn._xlws.FILTER(OFFSET($O$15,0,$DN134,$B$8,1),OFFSET($M$15,0,0,$B$8,1))=FZ$13), 1*(_xlfn._xlws.FILTER(OFFSET($O$15,0,$DO134,$B$8,1),OFFSET($M$15,0,0,$B$8,1))=FZ$14))   /   SUM(OFFSET($BO$15,0,0,$B$14,1)) + $B$18/($B$19*$B$19*($DN134&lt;&gt;$DO134) + $B$19*($DN134=$DO134))</f>
        <v>3.7037037037037035E-4</v>
      </c>
      <c r="GA134" s="10" cm="1">
        <f t="array" aca="1" ref="GA134" ca="1">(1-$B$18)*SUMPRODUCT(OFFSET($BO$15,0,0,$B$14,1), 1*(_xlfn._xlws.FILTER(OFFSET($O$15,0,$DN134,$B$8,1),OFFSET($M$15,0,0,$B$8,1))=GA$13), 1*(_xlfn._xlws.FILTER(OFFSET($O$15,0,$DO134,$B$8,1),OFFSET($M$15,0,0,$B$8,1))=GA$14))   /   SUM(OFFSET($BO$15,0,0,$B$14,1)) + $B$18/($B$19*$B$19*($DN134&lt;&gt;$DO134) + $B$19*($DN134=$DO134))</f>
        <v>3.7037037037037035E-4</v>
      </c>
    </row>
    <row r="135" spans="7:183" x14ac:dyDescent="0.2">
      <c r="G135" s="2"/>
      <c r="H135" s="2"/>
      <c r="AH135" s="2"/>
      <c r="AI135" s="2"/>
      <c r="DN135" cm="1">
        <f t="array" aca="1" ref="DN135" ca="1">INDEX(_xlfn.ANCHORARRAY($CP$15), 1 + INT((ROWS($DO$15:$DO135) - 1) / ROWS(_xlfn.ANCHORARRAY($CP$15))))</f>
        <v>6</v>
      </c>
      <c r="DO135" cm="1">
        <f t="array" aca="1" ref="DO135" ca="1">INDEX(_xlfn.ANCHORARRAY($CP$15),1+MOD(ROWS($DO$15:$DO135)-1,ROWS(_xlfn.ANCHORARRAY($CP$15))))</f>
        <v>6</v>
      </c>
      <c r="DP135" s="10" cm="1">
        <f t="array" aca="1" ref="DP135" ca="1">(1-$B$18)*SUMPRODUCT(OFFSET($BO$15,0,0,$B$14,1), 1*(_xlfn._xlws.FILTER(OFFSET($O$15,0,$DN135,$B$8,1),OFFSET($M$15,0,0,$B$8,1))=DP$13), 1*(_xlfn._xlws.FILTER(OFFSET($O$15,0,$DO135,$B$8,1),OFFSET($M$15,0,0,$B$8,1))=DP$14))   /   SUM(OFFSET($BO$15,0,0,$B$14,1)) + $B$18/($B$19*$B$19*($DN135&lt;&gt;$DO135) + $B$19*($DN135=$DO135))</f>
        <v>3.3333333333333331E-3</v>
      </c>
      <c r="DQ135" s="10" cm="1">
        <f t="array" aca="1" ref="DQ135" ca="1">(1-$B$18)*SUMPRODUCT(OFFSET($BO$15,0,0,$B$14,1), 1*(_xlfn._xlws.FILTER(OFFSET($O$15,0,$DN135,$B$8,1),OFFSET($M$15,0,0,$B$8,1))=DQ$13), 1*(_xlfn._xlws.FILTER(OFFSET($O$15,0,$DO135,$B$8,1),OFFSET($M$15,0,0,$B$8,1))=DQ$14))   /   SUM(OFFSET($BO$15,0,0,$B$14,1)) + $B$18/($B$19*$B$19*($DN135&lt;&gt;$DO135) + $B$19*($DN135=$DO135))</f>
        <v>3.3333333333333331E-3</v>
      </c>
      <c r="DR135" s="10" cm="1">
        <f t="array" aca="1" ref="DR135" ca="1">(1-$B$18)*SUMPRODUCT(OFFSET($BO$15,0,0,$B$14,1), 1*(_xlfn._xlws.FILTER(OFFSET($O$15,0,$DN135,$B$8,1),OFFSET($M$15,0,0,$B$8,1))=DR$13), 1*(_xlfn._xlws.FILTER(OFFSET($O$15,0,$DO135,$B$8,1),OFFSET($M$15,0,0,$B$8,1))=DR$14))   /   SUM(OFFSET($BO$15,0,0,$B$14,1)) + $B$18/($B$19*$B$19*($DN135&lt;&gt;$DO135) + $B$19*($DN135=$DO135))</f>
        <v>3.3333333333333331E-3</v>
      </c>
      <c r="DS135" s="10" cm="1">
        <f t="array" aca="1" ref="DS135" ca="1">(1-$B$18)*SUMPRODUCT(OFFSET($BO$15,0,0,$B$14,1), 1*(_xlfn._xlws.FILTER(OFFSET($O$15,0,$DN135,$B$8,1),OFFSET($M$15,0,0,$B$8,1))=DS$13), 1*(_xlfn._xlws.FILTER(OFFSET($O$15,0,$DO135,$B$8,1),OFFSET($M$15,0,0,$B$8,1))=DS$14))   /   SUM(OFFSET($BO$15,0,0,$B$14,1)) + $B$18/($B$19*$B$19*($DN135&lt;&gt;$DO135) + $B$19*($DN135=$DO135))</f>
        <v>3.3333333333333331E-3</v>
      </c>
      <c r="DT135" s="10" cm="1">
        <f t="array" aca="1" ref="DT135" ca="1">(1-$B$18)*SUMPRODUCT(OFFSET($BO$15,0,0,$B$14,1), 1*(_xlfn._xlws.FILTER(OFFSET($O$15,0,$DN135,$B$8,1),OFFSET($M$15,0,0,$B$8,1))=DT$13), 1*(_xlfn._xlws.FILTER(OFFSET($O$15,0,$DO135,$B$8,1),OFFSET($M$15,0,0,$B$8,1))=DT$14))   /   SUM(OFFSET($BO$15,0,0,$B$14,1)) + $B$18/($B$19*$B$19*($DN135&lt;&gt;$DO135) + $B$19*($DN135=$DO135))</f>
        <v>3.3333333333333331E-3</v>
      </c>
      <c r="DU135" s="10" cm="1">
        <f t="array" aca="1" ref="DU135" ca="1">(1-$B$18)*SUMPRODUCT(OFFSET($BO$15,0,0,$B$14,1), 1*(_xlfn._xlws.FILTER(OFFSET($O$15,0,$DN135,$B$8,1),OFFSET($M$15,0,0,$B$8,1))=DU$13), 1*(_xlfn._xlws.FILTER(OFFSET($O$15,0,$DO135,$B$8,1),OFFSET($M$15,0,0,$B$8,1))=DU$14))   /   SUM(OFFSET($BO$15,0,0,$B$14,1)) + $B$18/($B$19*$B$19*($DN135&lt;&gt;$DO135) + $B$19*($DN135=$DO135))</f>
        <v>3.3333333333333331E-3</v>
      </c>
      <c r="DV135" s="10" cm="1">
        <f t="array" aca="1" ref="DV135" ca="1">(1-$B$18)*SUMPRODUCT(OFFSET($BO$15,0,0,$B$14,1), 1*(_xlfn._xlws.FILTER(OFFSET($O$15,0,$DN135,$B$8,1),OFFSET($M$15,0,0,$B$8,1))=DV$13), 1*(_xlfn._xlws.FILTER(OFFSET($O$15,0,$DO135,$B$8,1),OFFSET($M$15,0,0,$B$8,1))=DV$14))   /   SUM(OFFSET($BO$15,0,0,$B$14,1)) + $B$18/($B$19*$B$19*($DN135&lt;&gt;$DO135) + $B$19*($DN135=$DO135))</f>
        <v>3.3333333333333331E-3</v>
      </c>
      <c r="DW135" s="10" cm="1">
        <f t="array" aca="1" ref="DW135" ca="1">(1-$B$18)*SUMPRODUCT(OFFSET($BO$15,0,0,$B$14,1), 1*(_xlfn._xlws.FILTER(OFFSET($O$15,0,$DN135,$B$8,1),OFFSET($M$15,0,0,$B$8,1))=DW$13), 1*(_xlfn._xlws.FILTER(OFFSET($O$15,0,$DO135,$B$8,1),OFFSET($M$15,0,0,$B$8,1))=DW$14))   /   SUM(OFFSET($BO$15,0,0,$B$14,1)) + $B$18/($B$19*$B$19*($DN135&lt;&gt;$DO135) + $B$19*($DN135=$DO135))</f>
        <v>3.3333333333333331E-3</v>
      </c>
      <c r="DX135" s="10" cm="1">
        <f t="array" aca="1" ref="DX135" ca="1">(1-$B$18)*SUMPRODUCT(OFFSET($BO$15,0,0,$B$14,1), 1*(_xlfn._xlws.FILTER(OFFSET($O$15,0,$DN135,$B$8,1),OFFSET($M$15,0,0,$B$8,1))=DX$13), 1*(_xlfn._xlws.FILTER(OFFSET($O$15,0,$DO135,$B$8,1),OFFSET($M$15,0,0,$B$8,1))=DX$14))   /   SUM(OFFSET($BO$15,0,0,$B$14,1)) + $B$18/($B$19*$B$19*($DN135&lt;&gt;$DO135) + $B$19*($DN135=$DO135))</f>
        <v>3.3333333333333331E-3</v>
      </c>
      <c r="DY135" s="10" cm="1">
        <f t="array" aca="1" ref="DY135" ca="1">(1-$B$18)*SUMPRODUCT(OFFSET($BO$15,0,0,$B$14,1), 1*(_xlfn._xlws.FILTER(OFFSET($O$15,0,$DN135,$B$8,1),OFFSET($M$15,0,0,$B$8,1))=DY$13), 1*(_xlfn._xlws.FILTER(OFFSET($O$15,0,$DO135,$B$8,1),OFFSET($M$15,0,0,$B$8,1))=DY$14))   /   SUM(OFFSET($BO$15,0,0,$B$14,1)) + $B$18/($B$19*$B$19*($DN135&lt;&gt;$DO135) + $B$19*($DN135=$DO135))</f>
        <v>3.3333333333333331E-3</v>
      </c>
      <c r="DZ135" s="10" cm="1">
        <f t="array" aca="1" ref="DZ135" ca="1">(1-$B$18)*SUMPRODUCT(OFFSET($BO$15,0,0,$B$14,1), 1*(_xlfn._xlws.FILTER(OFFSET($O$15,0,$DN135,$B$8,1),OFFSET($M$15,0,0,$B$8,1))=DZ$13), 1*(_xlfn._xlws.FILTER(OFFSET($O$15,0,$DO135,$B$8,1),OFFSET($M$15,0,0,$B$8,1))=DZ$14))   /   SUM(OFFSET($BO$15,0,0,$B$14,1)) + $B$18/($B$19*$B$19*($DN135&lt;&gt;$DO135) + $B$19*($DN135=$DO135))</f>
        <v>3.3333333333333331E-3</v>
      </c>
      <c r="EA135" s="10" cm="1">
        <f t="array" aca="1" ref="EA135" ca="1">(1-$B$18)*SUMPRODUCT(OFFSET($BO$15,0,0,$B$14,1), 1*(_xlfn._xlws.FILTER(OFFSET($O$15,0,$DN135,$B$8,1),OFFSET($M$15,0,0,$B$8,1))=EA$13), 1*(_xlfn._xlws.FILTER(OFFSET($O$15,0,$DO135,$B$8,1),OFFSET($M$15,0,0,$B$8,1))=EA$14))   /   SUM(OFFSET($BO$15,0,0,$B$14,1)) + $B$18/($B$19*$B$19*($DN135&lt;&gt;$DO135) + $B$19*($DN135=$DO135))</f>
        <v>3.3333333333333331E-3</v>
      </c>
      <c r="EB135" s="10" cm="1">
        <f t="array" aca="1" ref="EB135" ca="1">(1-$B$18)*SUMPRODUCT(OFFSET($BO$15,0,0,$B$14,1), 1*(_xlfn._xlws.FILTER(OFFSET($O$15,0,$DN135,$B$8,1),OFFSET($M$15,0,0,$B$8,1))=EB$13), 1*(_xlfn._xlws.FILTER(OFFSET($O$15,0,$DO135,$B$8,1),OFFSET($M$15,0,0,$B$8,1))=EB$14))   /   SUM(OFFSET($BO$15,0,0,$B$14,1)) + $B$18/($B$19*$B$19*($DN135&lt;&gt;$DO135) + $B$19*($DN135=$DO135))</f>
        <v>3.3333333333333331E-3</v>
      </c>
      <c r="EC135" s="10" cm="1">
        <f t="array" aca="1" ref="EC135" ca="1">(1-$B$18)*SUMPRODUCT(OFFSET($BO$15,0,0,$B$14,1), 1*(_xlfn._xlws.FILTER(OFFSET($O$15,0,$DN135,$B$8,1),OFFSET($M$15,0,0,$B$8,1))=EC$13), 1*(_xlfn._xlws.FILTER(OFFSET($O$15,0,$DO135,$B$8,1),OFFSET($M$15,0,0,$B$8,1))=EC$14))   /   SUM(OFFSET($BO$15,0,0,$B$14,1)) + $B$18/($B$19*$B$19*($DN135&lt;&gt;$DO135) + $B$19*($DN135=$DO135))</f>
        <v>3.3333333333333331E-3</v>
      </c>
      <c r="ED135" s="10" cm="1">
        <f t="array" aca="1" ref="ED135" ca="1">(1-$B$18)*SUMPRODUCT(OFFSET($BO$15,0,0,$B$14,1), 1*(_xlfn._xlws.FILTER(OFFSET($O$15,0,$DN135,$B$8,1),OFFSET($M$15,0,0,$B$8,1))=ED$13), 1*(_xlfn._xlws.FILTER(OFFSET($O$15,0,$DO135,$B$8,1),OFFSET($M$15,0,0,$B$8,1))=ED$14))   /   SUM(OFFSET($BO$15,0,0,$B$14,1)) + $B$18/($B$19*$B$19*($DN135&lt;&gt;$DO135) + $B$19*($DN135=$DO135))</f>
        <v>3.3333333333333331E-3</v>
      </c>
      <c r="EE135" s="10" cm="1">
        <f t="array" aca="1" ref="EE135" ca="1">(1-$B$18)*SUMPRODUCT(OFFSET($BO$15,0,0,$B$14,1), 1*(_xlfn._xlws.FILTER(OFFSET($O$15,0,$DN135,$B$8,1),OFFSET($M$15,0,0,$B$8,1))=EE$13), 1*(_xlfn._xlws.FILTER(OFFSET($O$15,0,$DO135,$B$8,1),OFFSET($M$15,0,0,$B$8,1))=EE$14))   /   SUM(OFFSET($BO$15,0,0,$B$14,1)) + $B$18/($B$19*$B$19*($DN135&lt;&gt;$DO135) + $B$19*($DN135=$DO135))</f>
        <v>3.3333333333333331E-3</v>
      </c>
      <c r="EF135" s="10" cm="1">
        <f t="array" aca="1" ref="EF135" ca="1">(1-$B$18)*SUMPRODUCT(OFFSET($BO$15,0,0,$B$14,1), 1*(_xlfn._xlws.FILTER(OFFSET($O$15,0,$DN135,$B$8,1),OFFSET($M$15,0,0,$B$8,1))=EF$13), 1*(_xlfn._xlws.FILTER(OFFSET($O$15,0,$DO135,$B$8,1),OFFSET($M$15,0,0,$B$8,1))=EF$14))   /   SUM(OFFSET($BO$15,0,0,$B$14,1)) + $B$18/($B$19*$B$19*($DN135&lt;&gt;$DO135) + $B$19*($DN135=$DO135))</f>
        <v>3.3333333333333331E-3</v>
      </c>
      <c r="EG135" s="10" cm="1">
        <f t="array" aca="1" ref="EG135" ca="1">(1-$B$18)*SUMPRODUCT(OFFSET($BO$15,0,0,$B$14,1), 1*(_xlfn._xlws.FILTER(OFFSET($O$15,0,$DN135,$B$8,1),OFFSET($M$15,0,0,$B$8,1))=EG$13), 1*(_xlfn._xlws.FILTER(OFFSET($O$15,0,$DO135,$B$8,1),OFFSET($M$15,0,0,$B$8,1))=EG$14))   /   SUM(OFFSET($BO$15,0,0,$B$14,1)) + $B$18/($B$19*$B$19*($DN135&lt;&gt;$DO135) + $B$19*($DN135=$DO135))</f>
        <v>3.3333333333333331E-3</v>
      </c>
      <c r="EH135" s="10" cm="1">
        <f t="array" aca="1" ref="EH135" ca="1">(1-$B$18)*SUMPRODUCT(OFFSET($BO$15,0,0,$B$14,1), 1*(_xlfn._xlws.FILTER(OFFSET($O$15,0,$DN135,$B$8,1),OFFSET($M$15,0,0,$B$8,1))=EH$13), 1*(_xlfn._xlws.FILTER(OFFSET($O$15,0,$DO135,$B$8,1),OFFSET($M$15,0,0,$B$8,1))=EH$14))   /   SUM(OFFSET($BO$15,0,0,$B$14,1)) + $B$18/($B$19*$B$19*($DN135&lt;&gt;$DO135) + $B$19*($DN135=$DO135))</f>
        <v>3.3333333333333331E-3</v>
      </c>
      <c r="EI135" s="10" cm="1">
        <f t="array" aca="1" ref="EI135" ca="1">(1-$B$18)*SUMPRODUCT(OFFSET($BO$15,0,0,$B$14,1), 1*(_xlfn._xlws.FILTER(OFFSET($O$15,0,$DN135,$B$8,1),OFFSET($M$15,0,0,$B$8,1))=EI$13), 1*(_xlfn._xlws.FILTER(OFFSET($O$15,0,$DO135,$B$8,1),OFFSET($M$15,0,0,$B$8,1))=EI$14))   /   SUM(OFFSET($BO$15,0,0,$B$14,1)) + $B$18/($B$19*$B$19*($DN135&lt;&gt;$DO135) + $B$19*($DN135=$DO135))</f>
        <v>3.3333333333333331E-3</v>
      </c>
      <c r="EJ135" s="10" cm="1">
        <f t="array" aca="1" ref="EJ135" ca="1">(1-$B$18)*SUMPRODUCT(OFFSET($BO$15,0,0,$B$14,1), 1*(_xlfn._xlws.FILTER(OFFSET($O$15,0,$DN135,$B$8,1),OFFSET($M$15,0,0,$B$8,1))=EJ$13), 1*(_xlfn._xlws.FILTER(OFFSET($O$15,0,$DO135,$B$8,1),OFFSET($M$15,0,0,$B$8,1))=EJ$14))   /   SUM(OFFSET($BO$15,0,0,$B$14,1)) + $B$18/($B$19*$B$19*($DN135&lt;&gt;$DO135) + $B$19*($DN135=$DO135))</f>
        <v>3.3333333333333331E-3</v>
      </c>
      <c r="EK135" s="10" cm="1">
        <f t="array" aca="1" ref="EK135" ca="1">(1-$B$18)*SUMPRODUCT(OFFSET($BO$15,0,0,$B$14,1), 1*(_xlfn._xlws.FILTER(OFFSET($O$15,0,$DN135,$B$8,1),OFFSET($M$15,0,0,$B$8,1))=EK$13), 1*(_xlfn._xlws.FILTER(OFFSET($O$15,0,$DO135,$B$8,1),OFFSET($M$15,0,0,$B$8,1))=EK$14))   /   SUM(OFFSET($BO$15,0,0,$B$14,1)) + $B$18/($B$19*$B$19*($DN135&lt;&gt;$DO135) + $B$19*($DN135=$DO135))</f>
        <v>3.3333333333333331E-3</v>
      </c>
      <c r="EL135" s="10" cm="1">
        <f t="array" aca="1" ref="EL135" ca="1">(1-$B$18)*SUMPRODUCT(OFFSET($BO$15,0,0,$B$14,1), 1*(_xlfn._xlws.FILTER(OFFSET($O$15,0,$DN135,$B$8,1),OFFSET($M$15,0,0,$B$8,1))=EL$13), 1*(_xlfn._xlws.FILTER(OFFSET($O$15,0,$DO135,$B$8,1),OFFSET($M$15,0,0,$B$8,1))=EL$14))   /   SUM(OFFSET($BO$15,0,0,$B$14,1)) + $B$18/($B$19*$B$19*($DN135&lt;&gt;$DO135) + $B$19*($DN135=$DO135))</f>
        <v>3.3333333333333331E-3</v>
      </c>
      <c r="EM135" s="10" cm="1">
        <f t="array" aca="1" ref="EM135" ca="1">(1-$B$18)*SUMPRODUCT(OFFSET($BO$15,0,0,$B$14,1), 1*(_xlfn._xlws.FILTER(OFFSET($O$15,0,$DN135,$B$8,1),OFFSET($M$15,0,0,$B$8,1))=EM$13), 1*(_xlfn._xlws.FILTER(OFFSET($O$15,0,$DO135,$B$8,1),OFFSET($M$15,0,0,$B$8,1))=EM$14))   /   SUM(OFFSET($BO$15,0,0,$B$14,1)) + $B$18/($B$19*$B$19*($DN135&lt;&gt;$DO135) + $B$19*($DN135=$DO135))</f>
        <v>3.3333333333333331E-3</v>
      </c>
      <c r="EN135" s="10" cm="1">
        <f t="array" aca="1" ref="EN135" ca="1">(1-$B$18)*SUMPRODUCT(OFFSET($BO$15,0,0,$B$14,1), 1*(_xlfn._xlws.FILTER(OFFSET($O$15,0,$DN135,$B$8,1),OFFSET($M$15,0,0,$B$8,1))=EN$13), 1*(_xlfn._xlws.FILTER(OFFSET($O$15,0,$DO135,$B$8,1),OFFSET($M$15,0,0,$B$8,1))=EN$14))   /   SUM(OFFSET($BO$15,0,0,$B$14,1)) + $B$18/($B$19*$B$19*($DN135&lt;&gt;$DO135) + $B$19*($DN135=$DO135))</f>
        <v>3.3333333333333331E-3</v>
      </c>
      <c r="EO135" s="10" cm="1">
        <f t="array" aca="1" ref="EO135" ca="1">(1-$B$18)*SUMPRODUCT(OFFSET($BO$15,0,0,$B$14,1), 1*(_xlfn._xlws.FILTER(OFFSET($O$15,0,$DN135,$B$8,1),OFFSET($M$15,0,0,$B$8,1))=EO$13), 1*(_xlfn._xlws.FILTER(OFFSET($O$15,0,$DO135,$B$8,1),OFFSET($M$15,0,0,$B$8,1))=EO$14))   /   SUM(OFFSET($BO$15,0,0,$B$14,1)) + $B$18/($B$19*$B$19*($DN135&lt;&gt;$DO135) + $B$19*($DN135=$DO135))</f>
        <v>3.3333333333333331E-3</v>
      </c>
      <c r="EP135" s="10" cm="1">
        <f t="array" aca="1" ref="EP135" ca="1">(1-$B$18)*SUMPRODUCT(OFFSET($BO$15,0,0,$B$14,1), 1*(_xlfn._xlws.FILTER(OFFSET($O$15,0,$DN135,$B$8,1),OFFSET($M$15,0,0,$B$8,1))=EP$13), 1*(_xlfn._xlws.FILTER(OFFSET($O$15,0,$DO135,$B$8,1),OFFSET($M$15,0,0,$B$8,1))=EP$14))   /   SUM(OFFSET($BO$15,0,0,$B$14,1)) + $B$18/($B$19*$B$19*($DN135&lt;&gt;$DO135) + $B$19*($DN135=$DO135))</f>
        <v>3.3333333333333331E-3</v>
      </c>
      <c r="EQ135" s="10" cm="1">
        <f t="array" aca="1" ref="EQ135" ca="1">(1-$B$18)*SUMPRODUCT(OFFSET($BO$15,0,0,$B$14,1), 1*(_xlfn._xlws.FILTER(OFFSET($O$15,0,$DN135,$B$8,1),OFFSET($M$15,0,0,$B$8,1))=EQ$13), 1*(_xlfn._xlws.FILTER(OFFSET($O$15,0,$DO135,$B$8,1),OFFSET($M$15,0,0,$B$8,1))=EQ$14))   /   SUM(OFFSET($BO$15,0,0,$B$14,1)) + $B$18/($B$19*$B$19*($DN135&lt;&gt;$DO135) + $B$19*($DN135=$DO135))</f>
        <v>3.3333333333333331E-3</v>
      </c>
      <c r="ER135" s="10" cm="1">
        <f t="array" aca="1" ref="ER135" ca="1">(1-$B$18)*SUMPRODUCT(OFFSET($BO$15,0,0,$B$14,1), 1*(_xlfn._xlws.FILTER(OFFSET($O$15,0,$DN135,$B$8,1),OFFSET($M$15,0,0,$B$8,1))=ER$13), 1*(_xlfn._xlws.FILTER(OFFSET($O$15,0,$DO135,$B$8,1),OFFSET($M$15,0,0,$B$8,1))=ER$14))   /   SUM(OFFSET($BO$15,0,0,$B$14,1)) + $B$18/($B$19*$B$19*($DN135&lt;&gt;$DO135) + $B$19*($DN135=$DO135))</f>
        <v>3.3333333333333331E-3</v>
      </c>
      <c r="ES135" s="10" cm="1">
        <f t="array" aca="1" ref="ES135" ca="1">(1-$B$18)*SUMPRODUCT(OFFSET($BO$15,0,0,$B$14,1), 1*(_xlfn._xlws.FILTER(OFFSET($O$15,0,$DN135,$B$8,1),OFFSET($M$15,0,0,$B$8,1))=ES$13), 1*(_xlfn._xlws.FILTER(OFFSET($O$15,0,$DO135,$B$8,1),OFFSET($M$15,0,0,$B$8,1))=ES$14))   /   SUM(OFFSET($BO$15,0,0,$B$14,1)) + $B$18/($B$19*$B$19*($DN135&lt;&gt;$DO135) + $B$19*($DN135=$DO135))</f>
        <v>3.3333333333333331E-3</v>
      </c>
      <c r="ET135" s="10" cm="1">
        <f t="array" aca="1" ref="ET135" ca="1">(1-$B$18)*SUMPRODUCT(OFFSET($BO$15,0,0,$B$14,1), 1*(_xlfn._xlws.FILTER(OFFSET($O$15,0,$DN135,$B$8,1),OFFSET($M$15,0,0,$B$8,1))=ET$13), 1*(_xlfn._xlws.FILTER(OFFSET($O$15,0,$DO135,$B$8,1),OFFSET($M$15,0,0,$B$8,1))=ET$14))   /   SUM(OFFSET($BO$15,0,0,$B$14,1)) + $B$18/($B$19*$B$19*($DN135&lt;&gt;$DO135) + $B$19*($DN135=$DO135))</f>
        <v>3.3333333333333331E-3</v>
      </c>
      <c r="EU135" s="10" cm="1">
        <f t="array" aca="1" ref="EU135" ca="1">(1-$B$18)*SUMPRODUCT(OFFSET($BO$15,0,0,$B$14,1), 1*(_xlfn._xlws.FILTER(OFFSET($O$15,0,$DN135,$B$8,1),OFFSET($M$15,0,0,$B$8,1))=EU$13), 1*(_xlfn._xlws.FILTER(OFFSET($O$15,0,$DO135,$B$8,1),OFFSET($M$15,0,0,$B$8,1))=EU$14))   /   SUM(OFFSET($BO$15,0,0,$B$14,1)) + $B$18/($B$19*$B$19*($DN135&lt;&gt;$DO135) + $B$19*($DN135=$DO135))</f>
        <v>3.3333333333333331E-3</v>
      </c>
      <c r="EV135" s="10" cm="1">
        <f t="array" aca="1" ref="EV135" ca="1">(1-$B$18)*SUMPRODUCT(OFFSET($BO$15,0,0,$B$14,1), 1*(_xlfn._xlws.FILTER(OFFSET($O$15,0,$DN135,$B$8,1),OFFSET($M$15,0,0,$B$8,1))=EV$13), 1*(_xlfn._xlws.FILTER(OFFSET($O$15,0,$DO135,$B$8,1),OFFSET($M$15,0,0,$B$8,1))=EV$14))   /   SUM(OFFSET($BO$15,0,0,$B$14,1)) + $B$18/($B$19*$B$19*($DN135&lt;&gt;$DO135) + $B$19*($DN135=$DO135))</f>
        <v>3.3333333333333331E-3</v>
      </c>
      <c r="EW135" s="10" cm="1">
        <f t="array" aca="1" ref="EW135" ca="1">(1-$B$18)*SUMPRODUCT(OFFSET($BO$15,0,0,$B$14,1), 1*(_xlfn._xlws.FILTER(OFFSET($O$15,0,$DN135,$B$8,1),OFFSET($M$15,0,0,$B$8,1))=EW$13), 1*(_xlfn._xlws.FILTER(OFFSET($O$15,0,$DO135,$B$8,1),OFFSET($M$15,0,0,$B$8,1))=EW$14))   /   SUM(OFFSET($BO$15,0,0,$B$14,1)) + $B$18/($B$19*$B$19*($DN135&lt;&gt;$DO135) + $B$19*($DN135=$DO135))</f>
        <v>3.3333333333333331E-3</v>
      </c>
      <c r="EX135" s="10" cm="1">
        <f t="array" aca="1" ref="EX135" ca="1">(1-$B$18)*SUMPRODUCT(OFFSET($BO$15,0,0,$B$14,1), 1*(_xlfn._xlws.FILTER(OFFSET($O$15,0,$DN135,$B$8,1),OFFSET($M$15,0,0,$B$8,1))=EX$13), 1*(_xlfn._xlws.FILTER(OFFSET($O$15,0,$DO135,$B$8,1),OFFSET($M$15,0,0,$B$8,1))=EX$14))   /   SUM(OFFSET($BO$15,0,0,$B$14,1)) + $B$18/($B$19*$B$19*($DN135&lt;&gt;$DO135) + $B$19*($DN135=$DO135))</f>
        <v>3.3333333333333331E-3</v>
      </c>
      <c r="EY135" s="10" cm="1">
        <f t="array" aca="1" ref="EY135" ca="1">(1-$B$18)*SUMPRODUCT(OFFSET($BO$15,0,0,$B$14,1), 1*(_xlfn._xlws.FILTER(OFFSET($O$15,0,$DN135,$B$8,1),OFFSET($M$15,0,0,$B$8,1))=EY$13), 1*(_xlfn._xlws.FILTER(OFFSET($O$15,0,$DO135,$B$8,1),OFFSET($M$15,0,0,$B$8,1))=EY$14))   /   SUM(OFFSET($BO$15,0,0,$B$14,1)) + $B$18/($B$19*$B$19*($DN135&lt;&gt;$DO135) + $B$19*($DN135=$DO135))</f>
        <v>3.3333333333333331E-3</v>
      </c>
      <c r="EZ135" s="10" cm="1">
        <f t="array" aca="1" ref="EZ135" ca="1">(1-$B$18)*SUMPRODUCT(OFFSET($BO$15,0,0,$B$14,1), 1*(_xlfn._xlws.FILTER(OFFSET($O$15,0,$DN135,$B$8,1),OFFSET($M$15,0,0,$B$8,1))=EZ$13), 1*(_xlfn._xlws.FILTER(OFFSET($O$15,0,$DO135,$B$8,1),OFFSET($M$15,0,0,$B$8,1))=EZ$14))   /   SUM(OFFSET($BO$15,0,0,$B$14,1)) + $B$18/($B$19*$B$19*($DN135&lt;&gt;$DO135) + $B$19*($DN135=$DO135))</f>
        <v>3.3333333333333331E-3</v>
      </c>
      <c r="FA135" s="10" cm="1">
        <f t="array" aca="1" ref="FA135" ca="1">(1-$B$18)*SUMPRODUCT(OFFSET($BO$15,0,0,$B$14,1), 1*(_xlfn._xlws.FILTER(OFFSET($O$15,0,$DN135,$B$8,1),OFFSET($M$15,0,0,$B$8,1))=FA$13), 1*(_xlfn._xlws.FILTER(OFFSET($O$15,0,$DO135,$B$8,1),OFFSET($M$15,0,0,$B$8,1))=FA$14))   /   SUM(OFFSET($BO$15,0,0,$B$14,1)) + $B$18/($B$19*$B$19*($DN135&lt;&gt;$DO135) + $B$19*($DN135=$DO135))</f>
        <v>3.3333333333333331E-3</v>
      </c>
      <c r="FB135" s="10" cm="1">
        <f t="array" aca="1" ref="FB135" ca="1">(1-$B$18)*SUMPRODUCT(OFFSET($BO$15,0,0,$B$14,1), 1*(_xlfn._xlws.FILTER(OFFSET($O$15,0,$DN135,$B$8,1),OFFSET($M$15,0,0,$B$8,1))=FB$13), 1*(_xlfn._xlws.FILTER(OFFSET($O$15,0,$DO135,$B$8,1),OFFSET($M$15,0,0,$B$8,1))=FB$14))   /   SUM(OFFSET($BO$15,0,0,$B$14,1)) + $B$18/($B$19*$B$19*($DN135&lt;&gt;$DO135) + $B$19*($DN135=$DO135))</f>
        <v>3.3333333333333331E-3</v>
      </c>
      <c r="FC135" s="10" cm="1">
        <f t="array" aca="1" ref="FC135" ca="1">(1-$B$18)*SUMPRODUCT(OFFSET($BO$15,0,0,$B$14,1), 1*(_xlfn._xlws.FILTER(OFFSET($O$15,0,$DN135,$B$8,1),OFFSET($M$15,0,0,$B$8,1))=FC$13), 1*(_xlfn._xlws.FILTER(OFFSET($O$15,0,$DO135,$B$8,1),OFFSET($M$15,0,0,$B$8,1))=FC$14))   /   SUM(OFFSET($BO$15,0,0,$B$14,1)) + $B$18/($B$19*$B$19*($DN135&lt;&gt;$DO135) + $B$19*($DN135=$DO135))</f>
        <v>3.3333333333333331E-3</v>
      </c>
      <c r="FD135" s="10" cm="1">
        <f t="array" aca="1" ref="FD135" ca="1">(1-$B$18)*SUMPRODUCT(OFFSET($BO$15,0,0,$B$14,1), 1*(_xlfn._xlws.FILTER(OFFSET($O$15,0,$DN135,$B$8,1),OFFSET($M$15,0,0,$B$8,1))=FD$13), 1*(_xlfn._xlws.FILTER(OFFSET($O$15,0,$DO135,$B$8,1),OFFSET($M$15,0,0,$B$8,1))=FD$14))   /   SUM(OFFSET($BO$15,0,0,$B$14,1)) + $B$18/($B$19*$B$19*($DN135&lt;&gt;$DO135) + $B$19*($DN135=$DO135))</f>
        <v>3.3333333333333331E-3</v>
      </c>
      <c r="FE135" s="10" cm="1">
        <f t="array" aca="1" ref="FE135" ca="1">(1-$B$18)*SUMPRODUCT(OFFSET($BO$15,0,0,$B$14,1), 1*(_xlfn._xlws.FILTER(OFFSET($O$15,0,$DN135,$B$8,1),OFFSET($M$15,0,0,$B$8,1))=FE$13), 1*(_xlfn._xlws.FILTER(OFFSET($O$15,0,$DO135,$B$8,1),OFFSET($M$15,0,0,$B$8,1))=FE$14))   /   SUM(OFFSET($BO$15,0,0,$B$14,1)) + $B$18/($B$19*$B$19*($DN135&lt;&gt;$DO135) + $B$19*($DN135=$DO135))</f>
        <v>3.3333333333333331E-3</v>
      </c>
      <c r="FF135" s="10" cm="1">
        <f t="array" aca="1" ref="FF135" ca="1">(1-$B$18)*SUMPRODUCT(OFFSET($BO$15,0,0,$B$14,1), 1*(_xlfn._xlws.FILTER(OFFSET($O$15,0,$DN135,$B$8,1),OFFSET($M$15,0,0,$B$8,1))=FF$13), 1*(_xlfn._xlws.FILTER(OFFSET($O$15,0,$DO135,$B$8,1),OFFSET($M$15,0,0,$B$8,1))=FF$14))   /   SUM(OFFSET($BO$15,0,0,$B$14,1)) + $B$18/($B$19*$B$19*($DN135&lt;&gt;$DO135) + $B$19*($DN135=$DO135))</f>
        <v>3.3333333333333331E-3</v>
      </c>
      <c r="FG135" s="10" cm="1">
        <f t="array" aca="1" ref="FG135" ca="1">(1-$B$18)*SUMPRODUCT(OFFSET($BO$15,0,0,$B$14,1), 1*(_xlfn._xlws.FILTER(OFFSET($O$15,0,$DN135,$B$8,1),OFFSET($M$15,0,0,$B$8,1))=FG$13), 1*(_xlfn._xlws.FILTER(OFFSET($O$15,0,$DO135,$B$8,1),OFFSET($M$15,0,0,$B$8,1))=FG$14))   /   SUM(OFFSET($BO$15,0,0,$B$14,1)) + $B$18/($B$19*$B$19*($DN135&lt;&gt;$DO135) + $B$19*($DN135=$DO135))</f>
        <v>3.3333333333333331E-3</v>
      </c>
      <c r="FH135" s="10" cm="1">
        <f t="array" aca="1" ref="FH135" ca="1">(1-$B$18)*SUMPRODUCT(OFFSET($BO$15,0,0,$B$14,1), 1*(_xlfn._xlws.FILTER(OFFSET($O$15,0,$DN135,$B$8,1),OFFSET($M$15,0,0,$B$8,1))=FH$13), 1*(_xlfn._xlws.FILTER(OFFSET($O$15,0,$DO135,$B$8,1),OFFSET($M$15,0,0,$B$8,1))=FH$14))   /   SUM(OFFSET($BO$15,0,0,$B$14,1)) + $B$18/($B$19*$B$19*($DN135&lt;&gt;$DO135) + $B$19*($DN135=$DO135))</f>
        <v>3.3333333333333331E-3</v>
      </c>
      <c r="FI135" s="10" cm="1">
        <f t="array" aca="1" ref="FI135" ca="1">(1-$B$18)*SUMPRODUCT(OFFSET($BO$15,0,0,$B$14,1), 1*(_xlfn._xlws.FILTER(OFFSET($O$15,0,$DN135,$B$8,1),OFFSET($M$15,0,0,$B$8,1))=FI$13), 1*(_xlfn._xlws.FILTER(OFFSET($O$15,0,$DO135,$B$8,1),OFFSET($M$15,0,0,$B$8,1))=FI$14))   /   SUM(OFFSET($BO$15,0,0,$B$14,1)) + $B$18/($B$19*$B$19*($DN135&lt;&gt;$DO135) + $B$19*($DN135=$DO135))</f>
        <v>3.3333333333333331E-3</v>
      </c>
      <c r="FJ135" s="10" cm="1">
        <f t="array" aca="1" ref="FJ135" ca="1">(1-$B$18)*SUMPRODUCT(OFFSET($BO$15,0,0,$B$14,1), 1*(_xlfn._xlws.FILTER(OFFSET($O$15,0,$DN135,$B$8,1),OFFSET($M$15,0,0,$B$8,1))=FJ$13), 1*(_xlfn._xlws.FILTER(OFFSET($O$15,0,$DO135,$B$8,1),OFFSET($M$15,0,0,$B$8,1))=FJ$14))   /   SUM(OFFSET($BO$15,0,0,$B$14,1)) + $B$18/($B$19*$B$19*($DN135&lt;&gt;$DO135) + $B$19*($DN135=$DO135))</f>
        <v>3.3333333333333331E-3</v>
      </c>
      <c r="FK135" s="10" cm="1">
        <f t="array" aca="1" ref="FK135" ca="1">(1-$B$18)*SUMPRODUCT(OFFSET($BO$15,0,0,$B$14,1), 1*(_xlfn._xlws.FILTER(OFFSET($O$15,0,$DN135,$B$8,1),OFFSET($M$15,0,0,$B$8,1))=FK$13), 1*(_xlfn._xlws.FILTER(OFFSET($O$15,0,$DO135,$B$8,1),OFFSET($M$15,0,0,$B$8,1))=FK$14))   /   SUM(OFFSET($BO$15,0,0,$B$14,1)) + $B$18/($B$19*$B$19*($DN135&lt;&gt;$DO135) + $B$19*($DN135=$DO135))</f>
        <v>3.3333333333333331E-3</v>
      </c>
      <c r="FL135" s="10" cm="1">
        <f t="array" aca="1" ref="FL135" ca="1">(1-$B$18)*SUMPRODUCT(OFFSET($BO$15,0,0,$B$14,1), 1*(_xlfn._xlws.FILTER(OFFSET($O$15,0,$DN135,$B$8,1),OFFSET($M$15,0,0,$B$8,1))=FL$13), 1*(_xlfn._xlws.FILTER(OFFSET($O$15,0,$DO135,$B$8,1),OFFSET($M$15,0,0,$B$8,1))=FL$14))   /   SUM(OFFSET($BO$15,0,0,$B$14,1)) + $B$18/($B$19*$B$19*($DN135&lt;&gt;$DO135) + $B$19*($DN135=$DO135))</f>
        <v>3.3333333333333331E-3</v>
      </c>
      <c r="FM135" s="10" cm="1">
        <f t="array" aca="1" ref="FM135" ca="1">(1-$B$18)*SUMPRODUCT(OFFSET($BO$15,0,0,$B$14,1), 1*(_xlfn._xlws.FILTER(OFFSET($O$15,0,$DN135,$B$8,1),OFFSET($M$15,0,0,$B$8,1))=FM$13), 1*(_xlfn._xlws.FILTER(OFFSET($O$15,0,$DO135,$B$8,1),OFFSET($M$15,0,0,$B$8,1))=FM$14))   /   SUM(OFFSET($BO$15,0,0,$B$14,1)) + $B$18/($B$19*$B$19*($DN135&lt;&gt;$DO135) + $B$19*($DN135=$DO135))</f>
        <v>3.3333333333333331E-3</v>
      </c>
      <c r="FN135" s="10" cm="1">
        <f t="array" aca="1" ref="FN135" ca="1">(1-$B$18)*SUMPRODUCT(OFFSET($BO$15,0,0,$B$14,1), 1*(_xlfn._xlws.FILTER(OFFSET($O$15,0,$DN135,$B$8,1),OFFSET($M$15,0,0,$B$8,1))=FN$13), 1*(_xlfn._xlws.FILTER(OFFSET($O$15,0,$DO135,$B$8,1),OFFSET($M$15,0,0,$B$8,1))=FN$14))   /   SUM(OFFSET($BO$15,0,0,$B$14,1)) + $B$18/($B$19*$B$19*($DN135&lt;&gt;$DO135) + $B$19*($DN135=$DO135))</f>
        <v>3.3333333333333331E-3</v>
      </c>
      <c r="FO135" s="10" cm="1">
        <f t="array" aca="1" ref="FO135" ca="1">(1-$B$18)*SUMPRODUCT(OFFSET($BO$15,0,0,$B$14,1), 1*(_xlfn._xlws.FILTER(OFFSET($O$15,0,$DN135,$B$8,1),OFFSET($M$15,0,0,$B$8,1))=FO$13), 1*(_xlfn._xlws.FILTER(OFFSET($O$15,0,$DO135,$B$8,1),OFFSET($M$15,0,0,$B$8,1))=FO$14))   /   SUM(OFFSET($BO$15,0,0,$B$14,1)) + $B$18/($B$19*$B$19*($DN135&lt;&gt;$DO135) + $B$19*($DN135=$DO135))</f>
        <v>3.3333333333333331E-3</v>
      </c>
      <c r="FP135" s="10" cm="1">
        <f t="array" aca="1" ref="FP135" ca="1">(1-$B$18)*SUMPRODUCT(OFFSET($BO$15,0,0,$B$14,1), 1*(_xlfn._xlws.FILTER(OFFSET($O$15,0,$DN135,$B$8,1),OFFSET($M$15,0,0,$B$8,1))=FP$13), 1*(_xlfn._xlws.FILTER(OFFSET($O$15,0,$DO135,$B$8,1),OFFSET($M$15,0,0,$B$8,1))=FP$14))   /   SUM(OFFSET($BO$15,0,0,$B$14,1)) + $B$18/($B$19*$B$19*($DN135&lt;&gt;$DO135) + $B$19*($DN135=$DO135))</f>
        <v>3.3333333333333331E-3</v>
      </c>
      <c r="FQ135" s="10" cm="1">
        <f t="array" aca="1" ref="FQ135" ca="1">(1-$B$18)*SUMPRODUCT(OFFSET($BO$15,0,0,$B$14,1), 1*(_xlfn._xlws.FILTER(OFFSET($O$15,0,$DN135,$B$8,1),OFFSET($M$15,0,0,$B$8,1))=FQ$13), 1*(_xlfn._xlws.FILTER(OFFSET($O$15,0,$DO135,$B$8,1),OFFSET($M$15,0,0,$B$8,1))=FQ$14))   /   SUM(OFFSET($BO$15,0,0,$B$14,1)) + $B$18/($B$19*$B$19*($DN135&lt;&gt;$DO135) + $B$19*($DN135=$DO135))</f>
        <v>3.3333333333333331E-3</v>
      </c>
      <c r="FR135" s="10" cm="1">
        <f t="array" aca="1" ref="FR135" ca="1">(1-$B$18)*SUMPRODUCT(OFFSET($BO$15,0,0,$B$14,1), 1*(_xlfn._xlws.FILTER(OFFSET($O$15,0,$DN135,$B$8,1),OFFSET($M$15,0,0,$B$8,1))=FR$13), 1*(_xlfn._xlws.FILTER(OFFSET($O$15,0,$DO135,$B$8,1),OFFSET($M$15,0,0,$B$8,1))=FR$14))   /   SUM(OFFSET($BO$15,0,0,$B$14,1)) + $B$18/($B$19*$B$19*($DN135&lt;&gt;$DO135) + $B$19*($DN135=$DO135))</f>
        <v>0.97333333333333327</v>
      </c>
      <c r="FS135" s="10" cm="1">
        <f t="array" aca="1" ref="FS135" ca="1">(1-$B$18)*SUMPRODUCT(OFFSET($BO$15,0,0,$B$14,1), 1*(_xlfn._xlws.FILTER(OFFSET($O$15,0,$DN135,$B$8,1),OFFSET($M$15,0,0,$B$8,1))=FS$13), 1*(_xlfn._xlws.FILTER(OFFSET($O$15,0,$DO135,$B$8,1),OFFSET($M$15,0,0,$B$8,1))=FS$14))   /   SUM(OFFSET($BO$15,0,0,$B$14,1)) + $B$18/($B$19*$B$19*($DN135&lt;&gt;$DO135) + $B$19*($DN135=$DO135))</f>
        <v>3.3333333333333331E-3</v>
      </c>
      <c r="FT135" s="10" cm="1">
        <f t="array" aca="1" ref="FT135" ca="1">(1-$B$18)*SUMPRODUCT(OFFSET($BO$15,0,0,$B$14,1), 1*(_xlfn._xlws.FILTER(OFFSET($O$15,0,$DN135,$B$8,1),OFFSET($M$15,0,0,$B$8,1))=FT$13), 1*(_xlfn._xlws.FILTER(OFFSET($O$15,0,$DO135,$B$8,1),OFFSET($M$15,0,0,$B$8,1))=FT$14))   /   SUM(OFFSET($BO$15,0,0,$B$14,1)) + $B$18/($B$19*$B$19*($DN135&lt;&gt;$DO135) + $B$19*($DN135=$DO135))</f>
        <v>3.3333333333333331E-3</v>
      </c>
      <c r="FU135" s="10" cm="1">
        <f t="array" aca="1" ref="FU135" ca="1">(1-$B$18)*SUMPRODUCT(OFFSET($BO$15,0,0,$B$14,1), 1*(_xlfn._xlws.FILTER(OFFSET($O$15,0,$DN135,$B$8,1),OFFSET($M$15,0,0,$B$8,1))=FU$13), 1*(_xlfn._xlws.FILTER(OFFSET($O$15,0,$DO135,$B$8,1),OFFSET($M$15,0,0,$B$8,1))=FU$14))   /   SUM(OFFSET($BO$15,0,0,$B$14,1)) + $B$18/($B$19*$B$19*($DN135&lt;&gt;$DO135) + $B$19*($DN135=$DO135))</f>
        <v>3.3333333333333331E-3</v>
      </c>
      <c r="FV135" s="10" cm="1">
        <f t="array" aca="1" ref="FV135" ca="1">(1-$B$18)*SUMPRODUCT(OFFSET($BO$15,0,0,$B$14,1), 1*(_xlfn._xlws.FILTER(OFFSET($O$15,0,$DN135,$B$8,1),OFFSET($M$15,0,0,$B$8,1))=FV$13), 1*(_xlfn._xlws.FILTER(OFFSET($O$15,0,$DO135,$B$8,1),OFFSET($M$15,0,0,$B$8,1))=FV$14))   /   SUM(OFFSET($BO$15,0,0,$B$14,1)) + $B$18/($B$19*$B$19*($DN135&lt;&gt;$DO135) + $B$19*($DN135=$DO135))</f>
        <v>3.3333333333333331E-3</v>
      </c>
      <c r="FW135" s="10" cm="1">
        <f t="array" aca="1" ref="FW135" ca="1">(1-$B$18)*SUMPRODUCT(OFFSET($BO$15,0,0,$B$14,1), 1*(_xlfn._xlws.FILTER(OFFSET($O$15,0,$DN135,$B$8,1),OFFSET($M$15,0,0,$B$8,1))=FW$13), 1*(_xlfn._xlws.FILTER(OFFSET($O$15,0,$DO135,$B$8,1),OFFSET($M$15,0,0,$B$8,1))=FW$14))   /   SUM(OFFSET($BO$15,0,0,$B$14,1)) + $B$18/($B$19*$B$19*($DN135&lt;&gt;$DO135) + $B$19*($DN135=$DO135))</f>
        <v>3.3333333333333331E-3</v>
      </c>
      <c r="FX135" s="10" cm="1">
        <f t="array" aca="1" ref="FX135" ca="1">(1-$B$18)*SUMPRODUCT(OFFSET($BO$15,0,0,$B$14,1), 1*(_xlfn._xlws.FILTER(OFFSET($O$15,0,$DN135,$B$8,1),OFFSET($M$15,0,0,$B$8,1))=FX$13), 1*(_xlfn._xlws.FILTER(OFFSET($O$15,0,$DO135,$B$8,1),OFFSET($M$15,0,0,$B$8,1))=FX$14))   /   SUM(OFFSET($BO$15,0,0,$B$14,1)) + $B$18/($B$19*$B$19*($DN135&lt;&gt;$DO135) + $B$19*($DN135=$DO135))</f>
        <v>3.3333333333333331E-3</v>
      </c>
      <c r="FY135" s="10" cm="1">
        <f t="array" aca="1" ref="FY135" ca="1">(1-$B$18)*SUMPRODUCT(OFFSET($BO$15,0,0,$B$14,1), 1*(_xlfn._xlws.FILTER(OFFSET($O$15,0,$DN135,$B$8,1),OFFSET($M$15,0,0,$B$8,1))=FY$13), 1*(_xlfn._xlws.FILTER(OFFSET($O$15,0,$DO135,$B$8,1),OFFSET($M$15,0,0,$B$8,1))=FY$14))   /   SUM(OFFSET($BO$15,0,0,$B$14,1)) + $B$18/($B$19*$B$19*($DN135&lt;&gt;$DO135) + $B$19*($DN135=$DO135))</f>
        <v>3.3333333333333331E-3</v>
      </c>
      <c r="FZ135" s="10" cm="1">
        <f t="array" aca="1" ref="FZ135" ca="1">(1-$B$18)*SUMPRODUCT(OFFSET($BO$15,0,0,$B$14,1), 1*(_xlfn._xlws.FILTER(OFFSET($O$15,0,$DN135,$B$8,1),OFFSET($M$15,0,0,$B$8,1))=FZ$13), 1*(_xlfn._xlws.FILTER(OFFSET($O$15,0,$DO135,$B$8,1),OFFSET($M$15,0,0,$B$8,1))=FZ$14))   /   SUM(OFFSET($BO$15,0,0,$B$14,1)) + $B$18/($B$19*$B$19*($DN135&lt;&gt;$DO135) + $B$19*($DN135=$DO135))</f>
        <v>3.3333333333333331E-3</v>
      </c>
      <c r="GA135" s="10" cm="1">
        <f t="array" aca="1" ref="GA135" ca="1">(1-$B$18)*SUMPRODUCT(OFFSET($BO$15,0,0,$B$14,1), 1*(_xlfn._xlws.FILTER(OFFSET($O$15,0,$DN135,$B$8,1),OFFSET($M$15,0,0,$B$8,1))=GA$13), 1*(_xlfn._xlws.FILTER(OFFSET($O$15,0,$DO135,$B$8,1),OFFSET($M$15,0,0,$B$8,1))=GA$14))   /   SUM(OFFSET($BO$15,0,0,$B$14,1)) + $B$18/($B$19*$B$19*($DN135&lt;&gt;$DO135) + $B$19*($DN135=$DO135))</f>
        <v>3.3333333333333331E-3</v>
      </c>
    </row>
    <row r="136" spans="7:183" x14ac:dyDescent="0.2">
      <c r="G136" s="2"/>
      <c r="H136" s="2"/>
      <c r="AH136" s="2"/>
      <c r="AI136" s="2"/>
      <c r="DN136" cm="1">
        <f t="array" aca="1" ref="DN136" ca="1">INDEX(_xlfn.ANCHORARRAY($CP$15), 1 + INT((ROWS($DO$15:$DO136) - 1) / ROWS(_xlfn.ANCHORARRAY($CP$15))))</f>
        <v>6</v>
      </c>
      <c r="DO136" cm="1">
        <f t="array" aca="1" ref="DO136" ca="1">INDEX(_xlfn.ANCHORARRAY($CP$15),1+MOD(ROWS($DO$15:$DO136)-1,ROWS(_xlfn.ANCHORARRAY($CP$15))))</f>
        <v>7</v>
      </c>
      <c r="DP136" s="10" cm="1">
        <f t="array" aca="1" ref="DP136" ca="1">(1-$B$18)*SUMPRODUCT(OFFSET($BO$15,0,0,$B$14,1), 1*(_xlfn._xlws.FILTER(OFFSET($O$15,0,$DN136,$B$8,1),OFFSET($M$15,0,0,$B$8,1))=DP$13), 1*(_xlfn._xlws.FILTER(OFFSET($O$15,0,$DO136,$B$8,1),OFFSET($M$15,0,0,$B$8,1))=DP$14))   /   SUM(OFFSET($BO$15,0,0,$B$14,1)) + $B$18/($B$19*$B$19*($DN136&lt;&gt;$DO136) + $B$19*($DN136=$DO136))</f>
        <v>3.7037037037037035E-4</v>
      </c>
      <c r="DQ136" s="10" cm="1">
        <f t="array" aca="1" ref="DQ136" ca="1">(1-$B$18)*SUMPRODUCT(OFFSET($BO$15,0,0,$B$14,1), 1*(_xlfn._xlws.FILTER(OFFSET($O$15,0,$DN136,$B$8,1),OFFSET($M$15,0,0,$B$8,1))=DQ$13), 1*(_xlfn._xlws.FILTER(OFFSET($O$15,0,$DO136,$B$8,1),OFFSET($M$15,0,0,$B$8,1))=DQ$14))   /   SUM(OFFSET($BO$15,0,0,$B$14,1)) + $B$18/($B$19*$B$19*($DN136&lt;&gt;$DO136) + $B$19*($DN136=$DO136))</f>
        <v>3.7037037037037035E-4</v>
      </c>
      <c r="DR136" s="10" cm="1">
        <f t="array" aca="1" ref="DR136" ca="1">(1-$B$18)*SUMPRODUCT(OFFSET($BO$15,0,0,$B$14,1), 1*(_xlfn._xlws.FILTER(OFFSET($O$15,0,$DN136,$B$8,1),OFFSET($M$15,0,0,$B$8,1))=DR$13), 1*(_xlfn._xlws.FILTER(OFFSET($O$15,0,$DO136,$B$8,1),OFFSET($M$15,0,0,$B$8,1))=DR$14))   /   SUM(OFFSET($BO$15,0,0,$B$14,1)) + $B$18/($B$19*$B$19*($DN136&lt;&gt;$DO136) + $B$19*($DN136=$DO136))</f>
        <v>3.7037037037037035E-4</v>
      </c>
      <c r="DS136" s="10" cm="1">
        <f t="array" aca="1" ref="DS136" ca="1">(1-$B$18)*SUMPRODUCT(OFFSET($BO$15,0,0,$B$14,1), 1*(_xlfn._xlws.FILTER(OFFSET($O$15,0,$DN136,$B$8,1),OFFSET($M$15,0,0,$B$8,1))=DS$13), 1*(_xlfn._xlws.FILTER(OFFSET($O$15,0,$DO136,$B$8,1),OFFSET($M$15,0,0,$B$8,1))=DS$14))   /   SUM(OFFSET($BO$15,0,0,$B$14,1)) + $B$18/($B$19*$B$19*($DN136&lt;&gt;$DO136) + $B$19*($DN136=$DO136))</f>
        <v>3.7037037037037035E-4</v>
      </c>
      <c r="DT136" s="10" cm="1">
        <f t="array" aca="1" ref="DT136" ca="1">(1-$B$18)*SUMPRODUCT(OFFSET($BO$15,0,0,$B$14,1), 1*(_xlfn._xlws.FILTER(OFFSET($O$15,0,$DN136,$B$8,1),OFFSET($M$15,0,0,$B$8,1))=DT$13), 1*(_xlfn._xlws.FILTER(OFFSET($O$15,0,$DO136,$B$8,1),OFFSET($M$15,0,0,$B$8,1))=DT$14))   /   SUM(OFFSET($BO$15,0,0,$B$14,1)) + $B$18/($B$19*$B$19*($DN136&lt;&gt;$DO136) + $B$19*($DN136=$DO136))</f>
        <v>3.7037037037037035E-4</v>
      </c>
      <c r="DU136" s="10" cm="1">
        <f t="array" aca="1" ref="DU136" ca="1">(1-$B$18)*SUMPRODUCT(OFFSET($BO$15,0,0,$B$14,1), 1*(_xlfn._xlws.FILTER(OFFSET($O$15,0,$DN136,$B$8,1),OFFSET($M$15,0,0,$B$8,1))=DU$13), 1*(_xlfn._xlws.FILTER(OFFSET($O$15,0,$DO136,$B$8,1),OFFSET($M$15,0,0,$B$8,1))=DU$14))   /   SUM(OFFSET($BO$15,0,0,$B$14,1)) + $B$18/($B$19*$B$19*($DN136&lt;&gt;$DO136) + $B$19*($DN136=$DO136))</f>
        <v>3.7037037037037035E-4</v>
      </c>
      <c r="DV136" s="10" cm="1">
        <f t="array" aca="1" ref="DV136" ca="1">(1-$B$18)*SUMPRODUCT(OFFSET($BO$15,0,0,$B$14,1), 1*(_xlfn._xlws.FILTER(OFFSET($O$15,0,$DN136,$B$8,1),OFFSET($M$15,0,0,$B$8,1))=DV$13), 1*(_xlfn._xlws.FILTER(OFFSET($O$15,0,$DO136,$B$8,1),OFFSET($M$15,0,0,$B$8,1))=DV$14))   /   SUM(OFFSET($BO$15,0,0,$B$14,1)) + $B$18/($B$19*$B$19*($DN136&lt;&gt;$DO136) + $B$19*($DN136=$DO136))</f>
        <v>3.7037037037037035E-4</v>
      </c>
      <c r="DW136" s="10" cm="1">
        <f t="array" aca="1" ref="DW136" ca="1">(1-$B$18)*SUMPRODUCT(OFFSET($BO$15,0,0,$B$14,1), 1*(_xlfn._xlws.FILTER(OFFSET($O$15,0,$DN136,$B$8,1),OFFSET($M$15,0,0,$B$8,1))=DW$13), 1*(_xlfn._xlws.FILTER(OFFSET($O$15,0,$DO136,$B$8,1),OFFSET($M$15,0,0,$B$8,1))=DW$14))   /   SUM(OFFSET($BO$15,0,0,$B$14,1)) + $B$18/($B$19*$B$19*($DN136&lt;&gt;$DO136) + $B$19*($DN136=$DO136))</f>
        <v>3.7037037037037035E-4</v>
      </c>
      <c r="DX136" s="10" cm="1">
        <f t="array" aca="1" ref="DX136" ca="1">(1-$B$18)*SUMPRODUCT(OFFSET($BO$15,0,0,$B$14,1), 1*(_xlfn._xlws.FILTER(OFFSET($O$15,0,$DN136,$B$8,1),OFFSET($M$15,0,0,$B$8,1))=DX$13), 1*(_xlfn._xlws.FILTER(OFFSET($O$15,0,$DO136,$B$8,1),OFFSET($M$15,0,0,$B$8,1))=DX$14))   /   SUM(OFFSET($BO$15,0,0,$B$14,1)) + $B$18/($B$19*$B$19*($DN136&lt;&gt;$DO136) + $B$19*($DN136=$DO136))</f>
        <v>3.7037037037037035E-4</v>
      </c>
      <c r="DY136" s="10" cm="1">
        <f t="array" aca="1" ref="DY136" ca="1">(1-$B$18)*SUMPRODUCT(OFFSET($BO$15,0,0,$B$14,1), 1*(_xlfn._xlws.FILTER(OFFSET($O$15,0,$DN136,$B$8,1),OFFSET($M$15,0,0,$B$8,1))=DY$13), 1*(_xlfn._xlws.FILTER(OFFSET($O$15,0,$DO136,$B$8,1),OFFSET($M$15,0,0,$B$8,1))=DY$14))   /   SUM(OFFSET($BO$15,0,0,$B$14,1)) + $B$18/($B$19*$B$19*($DN136&lt;&gt;$DO136) + $B$19*($DN136=$DO136))</f>
        <v>3.7037037037037035E-4</v>
      </c>
      <c r="DZ136" s="10" cm="1">
        <f t="array" aca="1" ref="DZ136" ca="1">(1-$B$18)*SUMPRODUCT(OFFSET($BO$15,0,0,$B$14,1), 1*(_xlfn._xlws.FILTER(OFFSET($O$15,0,$DN136,$B$8,1),OFFSET($M$15,0,0,$B$8,1))=DZ$13), 1*(_xlfn._xlws.FILTER(OFFSET($O$15,0,$DO136,$B$8,1),OFFSET($M$15,0,0,$B$8,1))=DZ$14))   /   SUM(OFFSET($BO$15,0,0,$B$14,1)) + $B$18/($B$19*$B$19*($DN136&lt;&gt;$DO136) + $B$19*($DN136=$DO136))</f>
        <v>3.7037037037037035E-4</v>
      </c>
      <c r="EA136" s="10" cm="1">
        <f t="array" aca="1" ref="EA136" ca="1">(1-$B$18)*SUMPRODUCT(OFFSET($BO$15,0,0,$B$14,1), 1*(_xlfn._xlws.FILTER(OFFSET($O$15,0,$DN136,$B$8,1),OFFSET($M$15,0,0,$B$8,1))=EA$13), 1*(_xlfn._xlws.FILTER(OFFSET($O$15,0,$DO136,$B$8,1),OFFSET($M$15,0,0,$B$8,1))=EA$14))   /   SUM(OFFSET($BO$15,0,0,$B$14,1)) + $B$18/($B$19*$B$19*($DN136&lt;&gt;$DO136) + $B$19*($DN136=$DO136))</f>
        <v>3.7037037037037035E-4</v>
      </c>
      <c r="EB136" s="10" cm="1">
        <f t="array" aca="1" ref="EB136" ca="1">(1-$B$18)*SUMPRODUCT(OFFSET($BO$15,0,0,$B$14,1), 1*(_xlfn._xlws.FILTER(OFFSET($O$15,0,$DN136,$B$8,1),OFFSET($M$15,0,0,$B$8,1))=EB$13), 1*(_xlfn._xlws.FILTER(OFFSET($O$15,0,$DO136,$B$8,1),OFFSET($M$15,0,0,$B$8,1))=EB$14))   /   SUM(OFFSET($BO$15,0,0,$B$14,1)) + $B$18/($B$19*$B$19*($DN136&lt;&gt;$DO136) + $B$19*($DN136=$DO136))</f>
        <v>3.7037037037037035E-4</v>
      </c>
      <c r="EC136" s="10" cm="1">
        <f t="array" aca="1" ref="EC136" ca="1">(1-$B$18)*SUMPRODUCT(OFFSET($BO$15,0,0,$B$14,1), 1*(_xlfn._xlws.FILTER(OFFSET($O$15,0,$DN136,$B$8,1),OFFSET($M$15,0,0,$B$8,1))=EC$13), 1*(_xlfn._xlws.FILTER(OFFSET($O$15,0,$DO136,$B$8,1),OFFSET($M$15,0,0,$B$8,1))=EC$14))   /   SUM(OFFSET($BO$15,0,0,$B$14,1)) + $B$18/($B$19*$B$19*($DN136&lt;&gt;$DO136) + $B$19*($DN136=$DO136))</f>
        <v>3.7037037037037035E-4</v>
      </c>
      <c r="ED136" s="10" cm="1">
        <f t="array" aca="1" ref="ED136" ca="1">(1-$B$18)*SUMPRODUCT(OFFSET($BO$15,0,0,$B$14,1), 1*(_xlfn._xlws.FILTER(OFFSET($O$15,0,$DN136,$B$8,1),OFFSET($M$15,0,0,$B$8,1))=ED$13), 1*(_xlfn._xlws.FILTER(OFFSET($O$15,0,$DO136,$B$8,1),OFFSET($M$15,0,0,$B$8,1))=ED$14))   /   SUM(OFFSET($BO$15,0,0,$B$14,1)) + $B$18/($B$19*$B$19*($DN136&lt;&gt;$DO136) + $B$19*($DN136=$DO136))</f>
        <v>3.7037037037037035E-4</v>
      </c>
      <c r="EE136" s="10" cm="1">
        <f t="array" aca="1" ref="EE136" ca="1">(1-$B$18)*SUMPRODUCT(OFFSET($BO$15,0,0,$B$14,1), 1*(_xlfn._xlws.FILTER(OFFSET($O$15,0,$DN136,$B$8,1),OFFSET($M$15,0,0,$B$8,1))=EE$13), 1*(_xlfn._xlws.FILTER(OFFSET($O$15,0,$DO136,$B$8,1),OFFSET($M$15,0,0,$B$8,1))=EE$14))   /   SUM(OFFSET($BO$15,0,0,$B$14,1)) + $B$18/($B$19*$B$19*($DN136&lt;&gt;$DO136) + $B$19*($DN136=$DO136))</f>
        <v>3.7037037037037035E-4</v>
      </c>
      <c r="EF136" s="10" cm="1">
        <f t="array" aca="1" ref="EF136" ca="1">(1-$B$18)*SUMPRODUCT(OFFSET($BO$15,0,0,$B$14,1), 1*(_xlfn._xlws.FILTER(OFFSET($O$15,0,$DN136,$B$8,1),OFFSET($M$15,0,0,$B$8,1))=EF$13), 1*(_xlfn._xlws.FILTER(OFFSET($O$15,0,$DO136,$B$8,1),OFFSET($M$15,0,0,$B$8,1))=EF$14))   /   SUM(OFFSET($BO$15,0,0,$B$14,1)) + $B$18/($B$19*$B$19*($DN136&lt;&gt;$DO136) + $B$19*($DN136=$DO136))</f>
        <v>3.7037037037037035E-4</v>
      </c>
      <c r="EG136" s="10" cm="1">
        <f t="array" aca="1" ref="EG136" ca="1">(1-$B$18)*SUMPRODUCT(OFFSET($BO$15,0,0,$B$14,1), 1*(_xlfn._xlws.FILTER(OFFSET($O$15,0,$DN136,$B$8,1),OFFSET($M$15,0,0,$B$8,1))=EG$13), 1*(_xlfn._xlws.FILTER(OFFSET($O$15,0,$DO136,$B$8,1),OFFSET($M$15,0,0,$B$8,1))=EG$14))   /   SUM(OFFSET($BO$15,0,0,$B$14,1)) + $B$18/($B$19*$B$19*($DN136&lt;&gt;$DO136) + $B$19*($DN136=$DO136))</f>
        <v>3.7037037037037035E-4</v>
      </c>
      <c r="EH136" s="10" cm="1">
        <f t="array" aca="1" ref="EH136" ca="1">(1-$B$18)*SUMPRODUCT(OFFSET($BO$15,0,0,$B$14,1), 1*(_xlfn._xlws.FILTER(OFFSET($O$15,0,$DN136,$B$8,1),OFFSET($M$15,0,0,$B$8,1))=EH$13), 1*(_xlfn._xlws.FILTER(OFFSET($O$15,0,$DO136,$B$8,1),OFFSET($M$15,0,0,$B$8,1))=EH$14))   /   SUM(OFFSET($BO$15,0,0,$B$14,1)) + $B$18/($B$19*$B$19*($DN136&lt;&gt;$DO136) + $B$19*($DN136=$DO136))</f>
        <v>3.7037037037037035E-4</v>
      </c>
      <c r="EI136" s="10" cm="1">
        <f t="array" aca="1" ref="EI136" ca="1">(1-$B$18)*SUMPRODUCT(OFFSET($BO$15,0,0,$B$14,1), 1*(_xlfn._xlws.FILTER(OFFSET($O$15,0,$DN136,$B$8,1),OFFSET($M$15,0,0,$B$8,1))=EI$13), 1*(_xlfn._xlws.FILTER(OFFSET($O$15,0,$DO136,$B$8,1),OFFSET($M$15,0,0,$B$8,1))=EI$14))   /   SUM(OFFSET($BO$15,0,0,$B$14,1)) + $B$18/($B$19*$B$19*($DN136&lt;&gt;$DO136) + $B$19*($DN136=$DO136))</f>
        <v>3.7037037037037035E-4</v>
      </c>
      <c r="EJ136" s="10" cm="1">
        <f t="array" aca="1" ref="EJ136" ca="1">(1-$B$18)*SUMPRODUCT(OFFSET($BO$15,0,0,$B$14,1), 1*(_xlfn._xlws.FILTER(OFFSET($O$15,0,$DN136,$B$8,1),OFFSET($M$15,0,0,$B$8,1))=EJ$13), 1*(_xlfn._xlws.FILTER(OFFSET($O$15,0,$DO136,$B$8,1),OFFSET($M$15,0,0,$B$8,1))=EJ$14))   /   SUM(OFFSET($BO$15,0,0,$B$14,1)) + $B$18/($B$19*$B$19*($DN136&lt;&gt;$DO136) + $B$19*($DN136=$DO136))</f>
        <v>3.7037037037037035E-4</v>
      </c>
      <c r="EK136" s="10" cm="1">
        <f t="array" aca="1" ref="EK136" ca="1">(1-$B$18)*SUMPRODUCT(OFFSET($BO$15,0,0,$B$14,1), 1*(_xlfn._xlws.FILTER(OFFSET($O$15,0,$DN136,$B$8,1),OFFSET($M$15,0,0,$B$8,1))=EK$13), 1*(_xlfn._xlws.FILTER(OFFSET($O$15,0,$DO136,$B$8,1),OFFSET($M$15,0,0,$B$8,1))=EK$14))   /   SUM(OFFSET($BO$15,0,0,$B$14,1)) + $B$18/($B$19*$B$19*($DN136&lt;&gt;$DO136) + $B$19*($DN136=$DO136))</f>
        <v>3.7037037037037035E-4</v>
      </c>
      <c r="EL136" s="10" cm="1">
        <f t="array" aca="1" ref="EL136" ca="1">(1-$B$18)*SUMPRODUCT(OFFSET($BO$15,0,0,$B$14,1), 1*(_xlfn._xlws.FILTER(OFFSET($O$15,0,$DN136,$B$8,1),OFFSET($M$15,0,0,$B$8,1))=EL$13), 1*(_xlfn._xlws.FILTER(OFFSET($O$15,0,$DO136,$B$8,1),OFFSET($M$15,0,0,$B$8,1))=EL$14))   /   SUM(OFFSET($BO$15,0,0,$B$14,1)) + $B$18/($B$19*$B$19*($DN136&lt;&gt;$DO136) + $B$19*($DN136=$DO136))</f>
        <v>3.7037037037037035E-4</v>
      </c>
      <c r="EM136" s="10" cm="1">
        <f t="array" aca="1" ref="EM136" ca="1">(1-$B$18)*SUMPRODUCT(OFFSET($BO$15,0,0,$B$14,1), 1*(_xlfn._xlws.FILTER(OFFSET($O$15,0,$DN136,$B$8,1),OFFSET($M$15,0,0,$B$8,1))=EM$13), 1*(_xlfn._xlws.FILTER(OFFSET($O$15,0,$DO136,$B$8,1),OFFSET($M$15,0,0,$B$8,1))=EM$14))   /   SUM(OFFSET($BO$15,0,0,$B$14,1)) + $B$18/($B$19*$B$19*($DN136&lt;&gt;$DO136) + $B$19*($DN136=$DO136))</f>
        <v>3.7037037037037035E-4</v>
      </c>
      <c r="EN136" s="10" cm="1">
        <f t="array" aca="1" ref="EN136" ca="1">(1-$B$18)*SUMPRODUCT(OFFSET($BO$15,0,0,$B$14,1), 1*(_xlfn._xlws.FILTER(OFFSET($O$15,0,$DN136,$B$8,1),OFFSET($M$15,0,0,$B$8,1))=EN$13), 1*(_xlfn._xlws.FILTER(OFFSET($O$15,0,$DO136,$B$8,1),OFFSET($M$15,0,0,$B$8,1))=EN$14))   /   SUM(OFFSET($BO$15,0,0,$B$14,1)) + $B$18/($B$19*$B$19*($DN136&lt;&gt;$DO136) + $B$19*($DN136=$DO136))</f>
        <v>3.7037037037037035E-4</v>
      </c>
      <c r="EO136" s="10" cm="1">
        <f t="array" aca="1" ref="EO136" ca="1">(1-$B$18)*SUMPRODUCT(OFFSET($BO$15,0,0,$B$14,1), 1*(_xlfn._xlws.FILTER(OFFSET($O$15,0,$DN136,$B$8,1),OFFSET($M$15,0,0,$B$8,1))=EO$13), 1*(_xlfn._xlws.FILTER(OFFSET($O$15,0,$DO136,$B$8,1),OFFSET($M$15,0,0,$B$8,1))=EO$14))   /   SUM(OFFSET($BO$15,0,0,$B$14,1)) + $B$18/($B$19*$B$19*($DN136&lt;&gt;$DO136) + $B$19*($DN136=$DO136))</f>
        <v>3.7037037037037035E-4</v>
      </c>
      <c r="EP136" s="10" cm="1">
        <f t="array" aca="1" ref="EP136" ca="1">(1-$B$18)*SUMPRODUCT(OFFSET($BO$15,0,0,$B$14,1), 1*(_xlfn._xlws.FILTER(OFFSET($O$15,0,$DN136,$B$8,1),OFFSET($M$15,0,0,$B$8,1))=EP$13), 1*(_xlfn._xlws.FILTER(OFFSET($O$15,0,$DO136,$B$8,1),OFFSET($M$15,0,0,$B$8,1))=EP$14))   /   SUM(OFFSET($BO$15,0,0,$B$14,1)) + $B$18/($B$19*$B$19*($DN136&lt;&gt;$DO136) + $B$19*($DN136=$DO136))</f>
        <v>3.7037037037037035E-4</v>
      </c>
      <c r="EQ136" s="10" cm="1">
        <f t="array" aca="1" ref="EQ136" ca="1">(1-$B$18)*SUMPRODUCT(OFFSET($BO$15,0,0,$B$14,1), 1*(_xlfn._xlws.FILTER(OFFSET($O$15,0,$DN136,$B$8,1),OFFSET($M$15,0,0,$B$8,1))=EQ$13), 1*(_xlfn._xlws.FILTER(OFFSET($O$15,0,$DO136,$B$8,1),OFFSET($M$15,0,0,$B$8,1))=EQ$14))   /   SUM(OFFSET($BO$15,0,0,$B$14,1)) + $B$18/($B$19*$B$19*($DN136&lt;&gt;$DO136) + $B$19*($DN136=$DO136))</f>
        <v>3.7037037037037035E-4</v>
      </c>
      <c r="ER136" s="10" cm="1">
        <f t="array" aca="1" ref="ER136" ca="1">(1-$B$18)*SUMPRODUCT(OFFSET($BO$15,0,0,$B$14,1), 1*(_xlfn._xlws.FILTER(OFFSET($O$15,0,$DN136,$B$8,1),OFFSET($M$15,0,0,$B$8,1))=ER$13), 1*(_xlfn._xlws.FILTER(OFFSET($O$15,0,$DO136,$B$8,1),OFFSET($M$15,0,0,$B$8,1))=ER$14))   /   SUM(OFFSET($BO$15,0,0,$B$14,1)) + $B$18/($B$19*$B$19*($DN136&lt;&gt;$DO136) + $B$19*($DN136=$DO136))</f>
        <v>3.7037037037037035E-4</v>
      </c>
      <c r="ES136" s="10" cm="1">
        <f t="array" aca="1" ref="ES136" ca="1">(1-$B$18)*SUMPRODUCT(OFFSET($BO$15,0,0,$B$14,1), 1*(_xlfn._xlws.FILTER(OFFSET($O$15,0,$DN136,$B$8,1),OFFSET($M$15,0,0,$B$8,1))=ES$13), 1*(_xlfn._xlws.FILTER(OFFSET($O$15,0,$DO136,$B$8,1),OFFSET($M$15,0,0,$B$8,1))=ES$14))   /   SUM(OFFSET($BO$15,0,0,$B$14,1)) + $B$18/($B$19*$B$19*($DN136&lt;&gt;$DO136) + $B$19*($DN136=$DO136))</f>
        <v>3.7037037037037035E-4</v>
      </c>
      <c r="ET136" s="10" cm="1">
        <f t="array" aca="1" ref="ET136" ca="1">(1-$B$18)*SUMPRODUCT(OFFSET($BO$15,0,0,$B$14,1), 1*(_xlfn._xlws.FILTER(OFFSET($O$15,0,$DN136,$B$8,1),OFFSET($M$15,0,0,$B$8,1))=ET$13), 1*(_xlfn._xlws.FILTER(OFFSET($O$15,0,$DO136,$B$8,1),OFFSET($M$15,0,0,$B$8,1))=ET$14))   /   SUM(OFFSET($BO$15,0,0,$B$14,1)) + $B$18/($B$19*$B$19*($DN136&lt;&gt;$DO136) + $B$19*($DN136=$DO136))</f>
        <v>3.7037037037037035E-4</v>
      </c>
      <c r="EU136" s="10" cm="1">
        <f t="array" aca="1" ref="EU136" ca="1">(1-$B$18)*SUMPRODUCT(OFFSET($BO$15,0,0,$B$14,1), 1*(_xlfn._xlws.FILTER(OFFSET($O$15,0,$DN136,$B$8,1),OFFSET($M$15,0,0,$B$8,1))=EU$13), 1*(_xlfn._xlws.FILTER(OFFSET($O$15,0,$DO136,$B$8,1),OFFSET($M$15,0,0,$B$8,1))=EU$14))   /   SUM(OFFSET($BO$15,0,0,$B$14,1)) + $B$18/($B$19*$B$19*($DN136&lt;&gt;$DO136) + $B$19*($DN136=$DO136))</f>
        <v>3.7037037037037035E-4</v>
      </c>
      <c r="EV136" s="10" cm="1">
        <f t="array" aca="1" ref="EV136" ca="1">(1-$B$18)*SUMPRODUCT(OFFSET($BO$15,0,0,$B$14,1), 1*(_xlfn._xlws.FILTER(OFFSET($O$15,0,$DN136,$B$8,1),OFFSET($M$15,0,0,$B$8,1))=EV$13), 1*(_xlfn._xlws.FILTER(OFFSET($O$15,0,$DO136,$B$8,1),OFFSET($M$15,0,0,$B$8,1))=EV$14))   /   SUM(OFFSET($BO$15,0,0,$B$14,1)) + $B$18/($B$19*$B$19*($DN136&lt;&gt;$DO136) + $B$19*($DN136=$DO136))</f>
        <v>3.7037037037037035E-4</v>
      </c>
      <c r="EW136" s="10" cm="1">
        <f t="array" aca="1" ref="EW136" ca="1">(1-$B$18)*SUMPRODUCT(OFFSET($BO$15,0,0,$B$14,1), 1*(_xlfn._xlws.FILTER(OFFSET($O$15,0,$DN136,$B$8,1),OFFSET($M$15,0,0,$B$8,1))=EW$13), 1*(_xlfn._xlws.FILTER(OFFSET($O$15,0,$DO136,$B$8,1),OFFSET($M$15,0,0,$B$8,1))=EW$14))   /   SUM(OFFSET($BO$15,0,0,$B$14,1)) + $B$18/($B$19*$B$19*($DN136&lt;&gt;$DO136) + $B$19*($DN136=$DO136))</f>
        <v>3.7037037037037035E-4</v>
      </c>
      <c r="EX136" s="10" cm="1">
        <f t="array" aca="1" ref="EX136" ca="1">(1-$B$18)*SUMPRODUCT(OFFSET($BO$15,0,0,$B$14,1), 1*(_xlfn._xlws.FILTER(OFFSET($O$15,0,$DN136,$B$8,1),OFFSET($M$15,0,0,$B$8,1))=EX$13), 1*(_xlfn._xlws.FILTER(OFFSET($O$15,0,$DO136,$B$8,1),OFFSET($M$15,0,0,$B$8,1))=EX$14))   /   SUM(OFFSET($BO$15,0,0,$B$14,1)) + $B$18/($B$19*$B$19*($DN136&lt;&gt;$DO136) + $B$19*($DN136=$DO136))</f>
        <v>3.7037037037037035E-4</v>
      </c>
      <c r="EY136" s="10" cm="1">
        <f t="array" aca="1" ref="EY136" ca="1">(1-$B$18)*SUMPRODUCT(OFFSET($BO$15,0,0,$B$14,1), 1*(_xlfn._xlws.FILTER(OFFSET($O$15,0,$DN136,$B$8,1),OFFSET($M$15,0,0,$B$8,1))=EY$13), 1*(_xlfn._xlws.FILTER(OFFSET($O$15,0,$DO136,$B$8,1),OFFSET($M$15,0,0,$B$8,1))=EY$14))   /   SUM(OFFSET($BO$15,0,0,$B$14,1)) + $B$18/($B$19*$B$19*($DN136&lt;&gt;$DO136) + $B$19*($DN136=$DO136))</f>
        <v>3.7037037037037035E-4</v>
      </c>
      <c r="EZ136" s="10" cm="1">
        <f t="array" aca="1" ref="EZ136" ca="1">(1-$B$18)*SUMPRODUCT(OFFSET($BO$15,0,0,$B$14,1), 1*(_xlfn._xlws.FILTER(OFFSET($O$15,0,$DN136,$B$8,1),OFFSET($M$15,0,0,$B$8,1))=EZ$13), 1*(_xlfn._xlws.FILTER(OFFSET($O$15,0,$DO136,$B$8,1),OFFSET($M$15,0,0,$B$8,1))=EZ$14))   /   SUM(OFFSET($BO$15,0,0,$B$14,1)) + $B$18/($B$19*$B$19*($DN136&lt;&gt;$DO136) + $B$19*($DN136=$DO136))</f>
        <v>3.7037037037037035E-4</v>
      </c>
      <c r="FA136" s="10" cm="1">
        <f t="array" aca="1" ref="FA136" ca="1">(1-$B$18)*SUMPRODUCT(OFFSET($BO$15,0,0,$B$14,1), 1*(_xlfn._xlws.FILTER(OFFSET($O$15,0,$DN136,$B$8,1),OFFSET($M$15,0,0,$B$8,1))=FA$13), 1*(_xlfn._xlws.FILTER(OFFSET($O$15,0,$DO136,$B$8,1),OFFSET($M$15,0,0,$B$8,1))=FA$14))   /   SUM(OFFSET($BO$15,0,0,$B$14,1)) + $B$18/($B$19*$B$19*($DN136&lt;&gt;$DO136) + $B$19*($DN136=$DO136))</f>
        <v>3.7037037037037035E-4</v>
      </c>
      <c r="FB136" s="10" cm="1">
        <f t="array" aca="1" ref="FB136" ca="1">(1-$B$18)*SUMPRODUCT(OFFSET($BO$15,0,0,$B$14,1), 1*(_xlfn._xlws.FILTER(OFFSET($O$15,0,$DN136,$B$8,1),OFFSET($M$15,0,0,$B$8,1))=FB$13), 1*(_xlfn._xlws.FILTER(OFFSET($O$15,0,$DO136,$B$8,1),OFFSET($M$15,0,0,$B$8,1))=FB$14))   /   SUM(OFFSET($BO$15,0,0,$B$14,1)) + $B$18/($B$19*$B$19*($DN136&lt;&gt;$DO136) + $B$19*($DN136=$DO136))</f>
        <v>3.7037037037037035E-4</v>
      </c>
      <c r="FC136" s="10" cm="1">
        <f t="array" aca="1" ref="FC136" ca="1">(1-$B$18)*SUMPRODUCT(OFFSET($BO$15,0,0,$B$14,1), 1*(_xlfn._xlws.FILTER(OFFSET($O$15,0,$DN136,$B$8,1),OFFSET($M$15,0,0,$B$8,1))=FC$13), 1*(_xlfn._xlws.FILTER(OFFSET($O$15,0,$DO136,$B$8,1),OFFSET($M$15,0,0,$B$8,1))=FC$14))   /   SUM(OFFSET($BO$15,0,0,$B$14,1)) + $B$18/($B$19*$B$19*($DN136&lt;&gt;$DO136) + $B$19*($DN136=$DO136))</f>
        <v>3.7037037037037035E-4</v>
      </c>
      <c r="FD136" s="10" cm="1">
        <f t="array" aca="1" ref="FD136" ca="1">(1-$B$18)*SUMPRODUCT(OFFSET($BO$15,0,0,$B$14,1), 1*(_xlfn._xlws.FILTER(OFFSET($O$15,0,$DN136,$B$8,1),OFFSET($M$15,0,0,$B$8,1))=FD$13), 1*(_xlfn._xlws.FILTER(OFFSET($O$15,0,$DO136,$B$8,1),OFFSET($M$15,0,0,$B$8,1))=FD$14))   /   SUM(OFFSET($BO$15,0,0,$B$14,1)) + $B$18/($B$19*$B$19*($DN136&lt;&gt;$DO136) + $B$19*($DN136=$DO136))</f>
        <v>3.7037037037037035E-4</v>
      </c>
      <c r="FE136" s="10" cm="1">
        <f t="array" aca="1" ref="FE136" ca="1">(1-$B$18)*SUMPRODUCT(OFFSET($BO$15,0,0,$B$14,1), 1*(_xlfn._xlws.FILTER(OFFSET($O$15,0,$DN136,$B$8,1),OFFSET($M$15,0,0,$B$8,1))=FE$13), 1*(_xlfn._xlws.FILTER(OFFSET($O$15,0,$DO136,$B$8,1),OFFSET($M$15,0,0,$B$8,1))=FE$14))   /   SUM(OFFSET($BO$15,0,0,$B$14,1)) + $B$18/($B$19*$B$19*($DN136&lt;&gt;$DO136) + $B$19*($DN136=$DO136))</f>
        <v>3.7037037037037035E-4</v>
      </c>
      <c r="FF136" s="10" cm="1">
        <f t="array" aca="1" ref="FF136" ca="1">(1-$B$18)*SUMPRODUCT(OFFSET($BO$15,0,0,$B$14,1), 1*(_xlfn._xlws.FILTER(OFFSET($O$15,0,$DN136,$B$8,1),OFFSET($M$15,0,0,$B$8,1))=FF$13), 1*(_xlfn._xlws.FILTER(OFFSET($O$15,0,$DO136,$B$8,1),OFFSET($M$15,0,0,$B$8,1))=FF$14))   /   SUM(OFFSET($BO$15,0,0,$B$14,1)) + $B$18/($B$19*$B$19*($DN136&lt;&gt;$DO136) + $B$19*($DN136=$DO136))</f>
        <v>3.7037037037037035E-4</v>
      </c>
      <c r="FG136" s="10" cm="1">
        <f t="array" aca="1" ref="FG136" ca="1">(1-$B$18)*SUMPRODUCT(OFFSET($BO$15,0,0,$B$14,1), 1*(_xlfn._xlws.FILTER(OFFSET($O$15,0,$DN136,$B$8,1),OFFSET($M$15,0,0,$B$8,1))=FG$13), 1*(_xlfn._xlws.FILTER(OFFSET($O$15,0,$DO136,$B$8,1),OFFSET($M$15,0,0,$B$8,1))=FG$14))   /   SUM(OFFSET($BO$15,0,0,$B$14,1)) + $B$18/($B$19*$B$19*($DN136&lt;&gt;$DO136) + $B$19*($DN136=$DO136))</f>
        <v>3.7037037037037035E-4</v>
      </c>
      <c r="FH136" s="10" cm="1">
        <f t="array" aca="1" ref="FH136" ca="1">(1-$B$18)*SUMPRODUCT(OFFSET($BO$15,0,0,$B$14,1), 1*(_xlfn._xlws.FILTER(OFFSET($O$15,0,$DN136,$B$8,1),OFFSET($M$15,0,0,$B$8,1))=FH$13), 1*(_xlfn._xlws.FILTER(OFFSET($O$15,0,$DO136,$B$8,1),OFFSET($M$15,0,0,$B$8,1))=FH$14))   /   SUM(OFFSET($BO$15,0,0,$B$14,1)) + $B$18/($B$19*$B$19*($DN136&lt;&gt;$DO136) + $B$19*($DN136=$DO136))</f>
        <v>3.7037037037037035E-4</v>
      </c>
      <c r="FI136" s="10" cm="1">
        <f t="array" aca="1" ref="FI136" ca="1">(1-$B$18)*SUMPRODUCT(OFFSET($BO$15,0,0,$B$14,1), 1*(_xlfn._xlws.FILTER(OFFSET($O$15,0,$DN136,$B$8,1),OFFSET($M$15,0,0,$B$8,1))=FI$13), 1*(_xlfn._xlws.FILTER(OFFSET($O$15,0,$DO136,$B$8,1),OFFSET($M$15,0,0,$B$8,1))=FI$14))   /   SUM(OFFSET($BO$15,0,0,$B$14,1)) + $B$18/($B$19*$B$19*($DN136&lt;&gt;$DO136) + $B$19*($DN136=$DO136))</f>
        <v>3.7037037037037035E-4</v>
      </c>
      <c r="FJ136" s="10" cm="1">
        <f t="array" aca="1" ref="FJ136" ca="1">(1-$B$18)*SUMPRODUCT(OFFSET($BO$15,0,0,$B$14,1), 1*(_xlfn._xlws.FILTER(OFFSET($O$15,0,$DN136,$B$8,1),OFFSET($M$15,0,0,$B$8,1))=FJ$13), 1*(_xlfn._xlws.FILTER(OFFSET($O$15,0,$DO136,$B$8,1),OFFSET($M$15,0,0,$B$8,1))=FJ$14))   /   SUM(OFFSET($BO$15,0,0,$B$14,1)) + $B$18/($B$19*$B$19*($DN136&lt;&gt;$DO136) + $B$19*($DN136=$DO136))</f>
        <v>3.7037037037037035E-4</v>
      </c>
      <c r="FK136" s="10" cm="1">
        <f t="array" aca="1" ref="FK136" ca="1">(1-$B$18)*SUMPRODUCT(OFFSET($BO$15,0,0,$B$14,1), 1*(_xlfn._xlws.FILTER(OFFSET($O$15,0,$DN136,$B$8,1),OFFSET($M$15,0,0,$B$8,1))=FK$13), 1*(_xlfn._xlws.FILTER(OFFSET($O$15,0,$DO136,$B$8,1),OFFSET($M$15,0,0,$B$8,1))=FK$14))   /   SUM(OFFSET($BO$15,0,0,$B$14,1)) + $B$18/($B$19*$B$19*($DN136&lt;&gt;$DO136) + $B$19*($DN136=$DO136))</f>
        <v>3.7037037037037035E-4</v>
      </c>
      <c r="FL136" s="10" cm="1">
        <f t="array" aca="1" ref="FL136" ca="1">(1-$B$18)*SUMPRODUCT(OFFSET($BO$15,0,0,$B$14,1), 1*(_xlfn._xlws.FILTER(OFFSET($O$15,0,$DN136,$B$8,1),OFFSET($M$15,0,0,$B$8,1))=FL$13), 1*(_xlfn._xlws.FILTER(OFFSET($O$15,0,$DO136,$B$8,1),OFFSET($M$15,0,0,$B$8,1))=FL$14))   /   SUM(OFFSET($BO$15,0,0,$B$14,1)) + $B$18/($B$19*$B$19*($DN136&lt;&gt;$DO136) + $B$19*($DN136=$DO136))</f>
        <v>3.7037037037037035E-4</v>
      </c>
      <c r="FM136" s="10" cm="1">
        <f t="array" aca="1" ref="FM136" ca="1">(1-$B$18)*SUMPRODUCT(OFFSET($BO$15,0,0,$B$14,1), 1*(_xlfn._xlws.FILTER(OFFSET($O$15,0,$DN136,$B$8,1),OFFSET($M$15,0,0,$B$8,1))=FM$13), 1*(_xlfn._xlws.FILTER(OFFSET($O$15,0,$DO136,$B$8,1),OFFSET($M$15,0,0,$B$8,1))=FM$14))   /   SUM(OFFSET($BO$15,0,0,$B$14,1)) + $B$18/($B$19*$B$19*($DN136&lt;&gt;$DO136) + $B$19*($DN136=$DO136))</f>
        <v>3.7037037037037035E-4</v>
      </c>
      <c r="FN136" s="10" cm="1">
        <f t="array" aca="1" ref="FN136" ca="1">(1-$B$18)*SUMPRODUCT(OFFSET($BO$15,0,0,$B$14,1), 1*(_xlfn._xlws.FILTER(OFFSET($O$15,0,$DN136,$B$8,1),OFFSET($M$15,0,0,$B$8,1))=FN$13), 1*(_xlfn._xlws.FILTER(OFFSET($O$15,0,$DO136,$B$8,1),OFFSET($M$15,0,0,$B$8,1))=FN$14))   /   SUM(OFFSET($BO$15,0,0,$B$14,1)) + $B$18/($B$19*$B$19*($DN136&lt;&gt;$DO136) + $B$19*($DN136=$DO136))</f>
        <v>3.7037037037037035E-4</v>
      </c>
      <c r="FO136" s="10" cm="1">
        <f t="array" aca="1" ref="FO136" ca="1">(1-$B$18)*SUMPRODUCT(OFFSET($BO$15,0,0,$B$14,1), 1*(_xlfn._xlws.FILTER(OFFSET($O$15,0,$DN136,$B$8,1),OFFSET($M$15,0,0,$B$8,1))=FO$13), 1*(_xlfn._xlws.FILTER(OFFSET($O$15,0,$DO136,$B$8,1),OFFSET($M$15,0,0,$B$8,1))=FO$14))   /   SUM(OFFSET($BO$15,0,0,$B$14,1)) + $B$18/($B$19*$B$19*($DN136&lt;&gt;$DO136) + $B$19*($DN136=$DO136))</f>
        <v>3.7037037037037035E-4</v>
      </c>
      <c r="FP136" s="10" cm="1">
        <f t="array" aca="1" ref="FP136" ca="1">(1-$B$18)*SUMPRODUCT(OFFSET($BO$15,0,0,$B$14,1), 1*(_xlfn._xlws.FILTER(OFFSET($O$15,0,$DN136,$B$8,1),OFFSET($M$15,0,0,$B$8,1))=FP$13), 1*(_xlfn._xlws.FILTER(OFFSET($O$15,0,$DO136,$B$8,1),OFFSET($M$15,0,0,$B$8,1))=FP$14))   /   SUM(OFFSET($BO$15,0,0,$B$14,1)) + $B$18/($B$19*$B$19*($DN136&lt;&gt;$DO136) + $B$19*($DN136=$DO136))</f>
        <v>3.7037037037037035E-4</v>
      </c>
      <c r="FQ136" s="10" cm="1">
        <f t="array" aca="1" ref="FQ136" ca="1">(1-$B$18)*SUMPRODUCT(OFFSET($BO$15,0,0,$B$14,1), 1*(_xlfn._xlws.FILTER(OFFSET($O$15,0,$DN136,$B$8,1),OFFSET($M$15,0,0,$B$8,1))=FQ$13), 1*(_xlfn._xlws.FILTER(OFFSET($O$15,0,$DO136,$B$8,1),OFFSET($M$15,0,0,$B$8,1))=FQ$14))   /   SUM(OFFSET($BO$15,0,0,$B$14,1)) + $B$18/($B$19*$B$19*($DN136&lt;&gt;$DO136) + $B$19*($DN136=$DO136))</f>
        <v>3.7037037037037035E-4</v>
      </c>
      <c r="FR136" s="10" cm="1">
        <f t="array" aca="1" ref="FR136" ca="1">(1-$B$18)*SUMPRODUCT(OFFSET($BO$15,0,0,$B$14,1), 1*(_xlfn._xlws.FILTER(OFFSET($O$15,0,$DN136,$B$8,1),OFFSET($M$15,0,0,$B$8,1))=FR$13), 1*(_xlfn._xlws.FILTER(OFFSET($O$15,0,$DO136,$B$8,1),OFFSET($M$15,0,0,$B$8,1))=FR$14))   /   SUM(OFFSET($BO$15,0,0,$B$14,1)) + $B$18/($B$19*$B$19*($DN136&lt;&gt;$DO136) + $B$19*($DN136=$DO136))</f>
        <v>0.97037037037037033</v>
      </c>
      <c r="FS136" s="10" cm="1">
        <f t="array" aca="1" ref="FS136" ca="1">(1-$B$18)*SUMPRODUCT(OFFSET($BO$15,0,0,$B$14,1), 1*(_xlfn._xlws.FILTER(OFFSET($O$15,0,$DN136,$B$8,1),OFFSET($M$15,0,0,$B$8,1))=FS$13), 1*(_xlfn._xlws.FILTER(OFFSET($O$15,0,$DO136,$B$8,1),OFFSET($M$15,0,0,$B$8,1))=FS$14))   /   SUM(OFFSET($BO$15,0,0,$B$14,1)) + $B$18/($B$19*$B$19*($DN136&lt;&gt;$DO136) + $B$19*($DN136=$DO136))</f>
        <v>3.7037037037037035E-4</v>
      </c>
      <c r="FT136" s="10" cm="1">
        <f t="array" aca="1" ref="FT136" ca="1">(1-$B$18)*SUMPRODUCT(OFFSET($BO$15,0,0,$B$14,1), 1*(_xlfn._xlws.FILTER(OFFSET($O$15,0,$DN136,$B$8,1),OFFSET($M$15,0,0,$B$8,1))=FT$13), 1*(_xlfn._xlws.FILTER(OFFSET($O$15,0,$DO136,$B$8,1),OFFSET($M$15,0,0,$B$8,1))=FT$14))   /   SUM(OFFSET($BO$15,0,0,$B$14,1)) + $B$18/($B$19*$B$19*($DN136&lt;&gt;$DO136) + $B$19*($DN136=$DO136))</f>
        <v>3.7037037037037035E-4</v>
      </c>
      <c r="FU136" s="10" cm="1">
        <f t="array" aca="1" ref="FU136" ca="1">(1-$B$18)*SUMPRODUCT(OFFSET($BO$15,0,0,$B$14,1), 1*(_xlfn._xlws.FILTER(OFFSET($O$15,0,$DN136,$B$8,1),OFFSET($M$15,0,0,$B$8,1))=FU$13), 1*(_xlfn._xlws.FILTER(OFFSET($O$15,0,$DO136,$B$8,1),OFFSET($M$15,0,0,$B$8,1))=FU$14))   /   SUM(OFFSET($BO$15,0,0,$B$14,1)) + $B$18/($B$19*$B$19*($DN136&lt;&gt;$DO136) + $B$19*($DN136=$DO136))</f>
        <v>3.7037037037037035E-4</v>
      </c>
      <c r="FV136" s="10" cm="1">
        <f t="array" aca="1" ref="FV136" ca="1">(1-$B$18)*SUMPRODUCT(OFFSET($BO$15,0,0,$B$14,1), 1*(_xlfn._xlws.FILTER(OFFSET($O$15,0,$DN136,$B$8,1),OFFSET($M$15,0,0,$B$8,1))=FV$13), 1*(_xlfn._xlws.FILTER(OFFSET($O$15,0,$DO136,$B$8,1),OFFSET($M$15,0,0,$B$8,1))=FV$14))   /   SUM(OFFSET($BO$15,0,0,$B$14,1)) + $B$18/($B$19*$B$19*($DN136&lt;&gt;$DO136) + $B$19*($DN136=$DO136))</f>
        <v>3.7037037037037035E-4</v>
      </c>
      <c r="FW136" s="10" cm="1">
        <f t="array" aca="1" ref="FW136" ca="1">(1-$B$18)*SUMPRODUCT(OFFSET($BO$15,0,0,$B$14,1), 1*(_xlfn._xlws.FILTER(OFFSET($O$15,0,$DN136,$B$8,1),OFFSET($M$15,0,0,$B$8,1))=FW$13), 1*(_xlfn._xlws.FILTER(OFFSET($O$15,0,$DO136,$B$8,1),OFFSET($M$15,0,0,$B$8,1))=FW$14))   /   SUM(OFFSET($BO$15,0,0,$B$14,1)) + $B$18/($B$19*$B$19*($DN136&lt;&gt;$DO136) + $B$19*($DN136=$DO136))</f>
        <v>3.7037037037037035E-4</v>
      </c>
      <c r="FX136" s="10" cm="1">
        <f t="array" aca="1" ref="FX136" ca="1">(1-$B$18)*SUMPRODUCT(OFFSET($BO$15,0,0,$B$14,1), 1*(_xlfn._xlws.FILTER(OFFSET($O$15,0,$DN136,$B$8,1),OFFSET($M$15,0,0,$B$8,1))=FX$13), 1*(_xlfn._xlws.FILTER(OFFSET($O$15,0,$DO136,$B$8,1),OFFSET($M$15,0,0,$B$8,1))=FX$14))   /   SUM(OFFSET($BO$15,0,0,$B$14,1)) + $B$18/($B$19*$B$19*($DN136&lt;&gt;$DO136) + $B$19*($DN136=$DO136))</f>
        <v>3.7037037037037035E-4</v>
      </c>
      <c r="FY136" s="10" cm="1">
        <f t="array" aca="1" ref="FY136" ca="1">(1-$B$18)*SUMPRODUCT(OFFSET($BO$15,0,0,$B$14,1), 1*(_xlfn._xlws.FILTER(OFFSET($O$15,0,$DN136,$B$8,1),OFFSET($M$15,0,0,$B$8,1))=FY$13), 1*(_xlfn._xlws.FILTER(OFFSET($O$15,0,$DO136,$B$8,1),OFFSET($M$15,0,0,$B$8,1))=FY$14))   /   SUM(OFFSET($BO$15,0,0,$B$14,1)) + $B$18/($B$19*$B$19*($DN136&lt;&gt;$DO136) + $B$19*($DN136=$DO136))</f>
        <v>3.7037037037037035E-4</v>
      </c>
      <c r="FZ136" s="10" cm="1">
        <f t="array" aca="1" ref="FZ136" ca="1">(1-$B$18)*SUMPRODUCT(OFFSET($BO$15,0,0,$B$14,1), 1*(_xlfn._xlws.FILTER(OFFSET($O$15,0,$DN136,$B$8,1),OFFSET($M$15,0,0,$B$8,1))=FZ$13), 1*(_xlfn._xlws.FILTER(OFFSET($O$15,0,$DO136,$B$8,1),OFFSET($M$15,0,0,$B$8,1))=FZ$14))   /   SUM(OFFSET($BO$15,0,0,$B$14,1)) + $B$18/($B$19*$B$19*($DN136&lt;&gt;$DO136) + $B$19*($DN136=$DO136))</f>
        <v>3.7037037037037035E-4</v>
      </c>
      <c r="GA136" s="10" cm="1">
        <f t="array" aca="1" ref="GA136" ca="1">(1-$B$18)*SUMPRODUCT(OFFSET($BO$15,0,0,$B$14,1), 1*(_xlfn._xlws.FILTER(OFFSET($O$15,0,$DN136,$B$8,1),OFFSET($M$15,0,0,$B$8,1))=GA$13), 1*(_xlfn._xlws.FILTER(OFFSET($O$15,0,$DO136,$B$8,1),OFFSET($M$15,0,0,$B$8,1))=GA$14))   /   SUM(OFFSET($BO$15,0,0,$B$14,1)) + $B$18/($B$19*$B$19*($DN136&lt;&gt;$DO136) + $B$19*($DN136=$DO136))</f>
        <v>3.7037037037037035E-4</v>
      </c>
    </row>
    <row r="137" spans="7:183" x14ac:dyDescent="0.2">
      <c r="G137" s="2"/>
      <c r="H137" s="2"/>
      <c r="AH137" s="2"/>
      <c r="AI137" s="2"/>
      <c r="DN137" cm="1">
        <f t="array" aca="1" ref="DN137" ca="1">INDEX(_xlfn.ANCHORARRAY($CP$15), 1 + INT((ROWS($DO$15:$DO137) - 1) / ROWS(_xlfn.ANCHORARRAY($CP$15))))</f>
        <v>6</v>
      </c>
      <c r="DO137" cm="1">
        <f t="array" aca="1" ref="DO137" ca="1">INDEX(_xlfn.ANCHORARRAY($CP$15),1+MOD(ROWS($DO$15:$DO137)-1,ROWS(_xlfn.ANCHORARRAY($CP$15))))</f>
        <v>8</v>
      </c>
      <c r="DP137" s="10" cm="1">
        <f t="array" aca="1" ref="DP137" ca="1">(1-$B$18)*SUMPRODUCT(OFFSET($BO$15,0,0,$B$14,1), 1*(_xlfn._xlws.FILTER(OFFSET($O$15,0,$DN137,$B$8,1),OFFSET($M$15,0,0,$B$8,1))=DP$13), 1*(_xlfn._xlws.FILTER(OFFSET($O$15,0,$DO137,$B$8,1),OFFSET($M$15,0,0,$B$8,1))=DP$14))   /   SUM(OFFSET($BO$15,0,0,$B$14,1)) + $B$18/($B$19*$B$19*($DN137&lt;&gt;$DO137) + $B$19*($DN137=$DO137))</f>
        <v>3.7037037037037035E-4</v>
      </c>
      <c r="DQ137" s="10" cm="1">
        <f t="array" aca="1" ref="DQ137" ca="1">(1-$B$18)*SUMPRODUCT(OFFSET($BO$15,0,0,$B$14,1), 1*(_xlfn._xlws.FILTER(OFFSET($O$15,0,$DN137,$B$8,1),OFFSET($M$15,0,0,$B$8,1))=DQ$13), 1*(_xlfn._xlws.FILTER(OFFSET($O$15,0,$DO137,$B$8,1),OFFSET($M$15,0,0,$B$8,1))=DQ$14))   /   SUM(OFFSET($BO$15,0,0,$B$14,1)) + $B$18/($B$19*$B$19*($DN137&lt;&gt;$DO137) + $B$19*($DN137=$DO137))</f>
        <v>3.7037037037037035E-4</v>
      </c>
      <c r="DR137" s="10" cm="1">
        <f t="array" aca="1" ref="DR137" ca="1">(1-$B$18)*SUMPRODUCT(OFFSET($BO$15,0,0,$B$14,1), 1*(_xlfn._xlws.FILTER(OFFSET($O$15,0,$DN137,$B$8,1),OFFSET($M$15,0,0,$B$8,1))=DR$13), 1*(_xlfn._xlws.FILTER(OFFSET($O$15,0,$DO137,$B$8,1),OFFSET($M$15,0,0,$B$8,1))=DR$14))   /   SUM(OFFSET($BO$15,0,0,$B$14,1)) + $B$18/($B$19*$B$19*($DN137&lt;&gt;$DO137) + $B$19*($DN137=$DO137))</f>
        <v>3.7037037037037035E-4</v>
      </c>
      <c r="DS137" s="10" cm="1">
        <f t="array" aca="1" ref="DS137" ca="1">(1-$B$18)*SUMPRODUCT(OFFSET($BO$15,0,0,$B$14,1), 1*(_xlfn._xlws.FILTER(OFFSET($O$15,0,$DN137,$B$8,1),OFFSET($M$15,0,0,$B$8,1))=DS$13), 1*(_xlfn._xlws.FILTER(OFFSET($O$15,0,$DO137,$B$8,1),OFFSET($M$15,0,0,$B$8,1))=DS$14))   /   SUM(OFFSET($BO$15,0,0,$B$14,1)) + $B$18/($B$19*$B$19*($DN137&lt;&gt;$DO137) + $B$19*($DN137=$DO137))</f>
        <v>3.7037037037037035E-4</v>
      </c>
      <c r="DT137" s="10" cm="1">
        <f t="array" aca="1" ref="DT137" ca="1">(1-$B$18)*SUMPRODUCT(OFFSET($BO$15,0,0,$B$14,1), 1*(_xlfn._xlws.FILTER(OFFSET($O$15,0,$DN137,$B$8,1),OFFSET($M$15,0,0,$B$8,1))=DT$13), 1*(_xlfn._xlws.FILTER(OFFSET($O$15,0,$DO137,$B$8,1),OFFSET($M$15,0,0,$B$8,1))=DT$14))   /   SUM(OFFSET($BO$15,0,0,$B$14,1)) + $B$18/($B$19*$B$19*($DN137&lt;&gt;$DO137) + $B$19*($DN137=$DO137))</f>
        <v>3.7037037037037035E-4</v>
      </c>
      <c r="DU137" s="10" cm="1">
        <f t="array" aca="1" ref="DU137" ca="1">(1-$B$18)*SUMPRODUCT(OFFSET($BO$15,0,0,$B$14,1), 1*(_xlfn._xlws.FILTER(OFFSET($O$15,0,$DN137,$B$8,1),OFFSET($M$15,0,0,$B$8,1))=DU$13), 1*(_xlfn._xlws.FILTER(OFFSET($O$15,0,$DO137,$B$8,1),OFFSET($M$15,0,0,$B$8,1))=DU$14))   /   SUM(OFFSET($BO$15,0,0,$B$14,1)) + $B$18/($B$19*$B$19*($DN137&lt;&gt;$DO137) + $B$19*($DN137=$DO137))</f>
        <v>3.7037037037037035E-4</v>
      </c>
      <c r="DV137" s="10" cm="1">
        <f t="array" aca="1" ref="DV137" ca="1">(1-$B$18)*SUMPRODUCT(OFFSET($BO$15,0,0,$B$14,1), 1*(_xlfn._xlws.FILTER(OFFSET($O$15,0,$DN137,$B$8,1),OFFSET($M$15,0,0,$B$8,1))=DV$13), 1*(_xlfn._xlws.FILTER(OFFSET($O$15,0,$DO137,$B$8,1),OFFSET($M$15,0,0,$B$8,1))=DV$14))   /   SUM(OFFSET($BO$15,0,0,$B$14,1)) + $B$18/($B$19*$B$19*($DN137&lt;&gt;$DO137) + $B$19*($DN137=$DO137))</f>
        <v>3.7037037037037035E-4</v>
      </c>
      <c r="DW137" s="10" cm="1">
        <f t="array" aca="1" ref="DW137" ca="1">(1-$B$18)*SUMPRODUCT(OFFSET($BO$15,0,0,$B$14,1), 1*(_xlfn._xlws.FILTER(OFFSET($O$15,0,$DN137,$B$8,1),OFFSET($M$15,0,0,$B$8,1))=DW$13), 1*(_xlfn._xlws.FILTER(OFFSET($O$15,0,$DO137,$B$8,1),OFFSET($M$15,0,0,$B$8,1))=DW$14))   /   SUM(OFFSET($BO$15,0,0,$B$14,1)) + $B$18/($B$19*$B$19*($DN137&lt;&gt;$DO137) + $B$19*($DN137=$DO137))</f>
        <v>3.7037037037037035E-4</v>
      </c>
      <c r="DX137" s="10" cm="1">
        <f t="array" aca="1" ref="DX137" ca="1">(1-$B$18)*SUMPRODUCT(OFFSET($BO$15,0,0,$B$14,1), 1*(_xlfn._xlws.FILTER(OFFSET($O$15,0,$DN137,$B$8,1),OFFSET($M$15,0,0,$B$8,1))=DX$13), 1*(_xlfn._xlws.FILTER(OFFSET($O$15,0,$DO137,$B$8,1),OFFSET($M$15,0,0,$B$8,1))=DX$14))   /   SUM(OFFSET($BO$15,0,0,$B$14,1)) + $B$18/($B$19*$B$19*($DN137&lt;&gt;$DO137) + $B$19*($DN137=$DO137))</f>
        <v>3.7037037037037035E-4</v>
      </c>
      <c r="DY137" s="10" cm="1">
        <f t="array" aca="1" ref="DY137" ca="1">(1-$B$18)*SUMPRODUCT(OFFSET($BO$15,0,0,$B$14,1), 1*(_xlfn._xlws.FILTER(OFFSET($O$15,0,$DN137,$B$8,1),OFFSET($M$15,0,0,$B$8,1))=DY$13), 1*(_xlfn._xlws.FILTER(OFFSET($O$15,0,$DO137,$B$8,1),OFFSET($M$15,0,0,$B$8,1))=DY$14))   /   SUM(OFFSET($BO$15,0,0,$B$14,1)) + $B$18/($B$19*$B$19*($DN137&lt;&gt;$DO137) + $B$19*($DN137=$DO137))</f>
        <v>3.7037037037037035E-4</v>
      </c>
      <c r="DZ137" s="10" cm="1">
        <f t="array" aca="1" ref="DZ137" ca="1">(1-$B$18)*SUMPRODUCT(OFFSET($BO$15,0,0,$B$14,1), 1*(_xlfn._xlws.FILTER(OFFSET($O$15,0,$DN137,$B$8,1),OFFSET($M$15,0,0,$B$8,1))=DZ$13), 1*(_xlfn._xlws.FILTER(OFFSET($O$15,0,$DO137,$B$8,1),OFFSET($M$15,0,0,$B$8,1))=DZ$14))   /   SUM(OFFSET($BO$15,0,0,$B$14,1)) + $B$18/($B$19*$B$19*($DN137&lt;&gt;$DO137) + $B$19*($DN137=$DO137))</f>
        <v>3.7037037037037035E-4</v>
      </c>
      <c r="EA137" s="10" cm="1">
        <f t="array" aca="1" ref="EA137" ca="1">(1-$B$18)*SUMPRODUCT(OFFSET($BO$15,0,0,$B$14,1), 1*(_xlfn._xlws.FILTER(OFFSET($O$15,0,$DN137,$B$8,1),OFFSET($M$15,0,0,$B$8,1))=EA$13), 1*(_xlfn._xlws.FILTER(OFFSET($O$15,0,$DO137,$B$8,1),OFFSET($M$15,0,0,$B$8,1))=EA$14))   /   SUM(OFFSET($BO$15,0,0,$B$14,1)) + $B$18/($B$19*$B$19*($DN137&lt;&gt;$DO137) + $B$19*($DN137=$DO137))</f>
        <v>3.7037037037037035E-4</v>
      </c>
      <c r="EB137" s="10" cm="1">
        <f t="array" aca="1" ref="EB137" ca="1">(1-$B$18)*SUMPRODUCT(OFFSET($BO$15,0,0,$B$14,1), 1*(_xlfn._xlws.FILTER(OFFSET($O$15,0,$DN137,$B$8,1),OFFSET($M$15,0,0,$B$8,1))=EB$13), 1*(_xlfn._xlws.FILTER(OFFSET($O$15,0,$DO137,$B$8,1),OFFSET($M$15,0,0,$B$8,1))=EB$14))   /   SUM(OFFSET($BO$15,0,0,$B$14,1)) + $B$18/($B$19*$B$19*($DN137&lt;&gt;$DO137) + $B$19*($DN137=$DO137))</f>
        <v>3.7037037037037035E-4</v>
      </c>
      <c r="EC137" s="10" cm="1">
        <f t="array" aca="1" ref="EC137" ca="1">(1-$B$18)*SUMPRODUCT(OFFSET($BO$15,0,0,$B$14,1), 1*(_xlfn._xlws.FILTER(OFFSET($O$15,0,$DN137,$B$8,1),OFFSET($M$15,0,0,$B$8,1))=EC$13), 1*(_xlfn._xlws.FILTER(OFFSET($O$15,0,$DO137,$B$8,1),OFFSET($M$15,0,0,$B$8,1))=EC$14))   /   SUM(OFFSET($BO$15,0,0,$B$14,1)) + $B$18/($B$19*$B$19*($DN137&lt;&gt;$DO137) + $B$19*($DN137=$DO137))</f>
        <v>3.7037037037037035E-4</v>
      </c>
      <c r="ED137" s="10" cm="1">
        <f t="array" aca="1" ref="ED137" ca="1">(1-$B$18)*SUMPRODUCT(OFFSET($BO$15,0,0,$B$14,1), 1*(_xlfn._xlws.FILTER(OFFSET($O$15,0,$DN137,$B$8,1),OFFSET($M$15,0,0,$B$8,1))=ED$13), 1*(_xlfn._xlws.FILTER(OFFSET($O$15,0,$DO137,$B$8,1),OFFSET($M$15,0,0,$B$8,1))=ED$14))   /   SUM(OFFSET($BO$15,0,0,$B$14,1)) + $B$18/($B$19*$B$19*($DN137&lt;&gt;$DO137) + $B$19*($DN137=$DO137))</f>
        <v>3.7037037037037035E-4</v>
      </c>
      <c r="EE137" s="10" cm="1">
        <f t="array" aca="1" ref="EE137" ca="1">(1-$B$18)*SUMPRODUCT(OFFSET($BO$15,0,0,$B$14,1), 1*(_xlfn._xlws.FILTER(OFFSET($O$15,0,$DN137,$B$8,1),OFFSET($M$15,0,0,$B$8,1))=EE$13), 1*(_xlfn._xlws.FILTER(OFFSET($O$15,0,$DO137,$B$8,1),OFFSET($M$15,0,0,$B$8,1))=EE$14))   /   SUM(OFFSET($BO$15,0,0,$B$14,1)) + $B$18/($B$19*$B$19*($DN137&lt;&gt;$DO137) + $B$19*($DN137=$DO137))</f>
        <v>3.7037037037037035E-4</v>
      </c>
      <c r="EF137" s="10" cm="1">
        <f t="array" aca="1" ref="EF137" ca="1">(1-$B$18)*SUMPRODUCT(OFFSET($BO$15,0,0,$B$14,1), 1*(_xlfn._xlws.FILTER(OFFSET($O$15,0,$DN137,$B$8,1),OFFSET($M$15,0,0,$B$8,1))=EF$13), 1*(_xlfn._xlws.FILTER(OFFSET($O$15,0,$DO137,$B$8,1),OFFSET($M$15,0,0,$B$8,1))=EF$14))   /   SUM(OFFSET($BO$15,0,0,$B$14,1)) + $B$18/($B$19*$B$19*($DN137&lt;&gt;$DO137) + $B$19*($DN137=$DO137))</f>
        <v>3.7037037037037035E-4</v>
      </c>
      <c r="EG137" s="10" cm="1">
        <f t="array" aca="1" ref="EG137" ca="1">(1-$B$18)*SUMPRODUCT(OFFSET($BO$15,0,0,$B$14,1), 1*(_xlfn._xlws.FILTER(OFFSET($O$15,0,$DN137,$B$8,1),OFFSET($M$15,0,0,$B$8,1))=EG$13), 1*(_xlfn._xlws.FILTER(OFFSET($O$15,0,$DO137,$B$8,1),OFFSET($M$15,0,0,$B$8,1))=EG$14))   /   SUM(OFFSET($BO$15,0,0,$B$14,1)) + $B$18/($B$19*$B$19*($DN137&lt;&gt;$DO137) + $B$19*($DN137=$DO137))</f>
        <v>3.7037037037037035E-4</v>
      </c>
      <c r="EH137" s="10" cm="1">
        <f t="array" aca="1" ref="EH137" ca="1">(1-$B$18)*SUMPRODUCT(OFFSET($BO$15,0,0,$B$14,1), 1*(_xlfn._xlws.FILTER(OFFSET($O$15,0,$DN137,$B$8,1),OFFSET($M$15,0,0,$B$8,1))=EH$13), 1*(_xlfn._xlws.FILTER(OFFSET($O$15,0,$DO137,$B$8,1),OFFSET($M$15,0,0,$B$8,1))=EH$14))   /   SUM(OFFSET($BO$15,0,0,$B$14,1)) + $B$18/($B$19*$B$19*($DN137&lt;&gt;$DO137) + $B$19*($DN137=$DO137))</f>
        <v>3.7037037037037035E-4</v>
      </c>
      <c r="EI137" s="10" cm="1">
        <f t="array" aca="1" ref="EI137" ca="1">(1-$B$18)*SUMPRODUCT(OFFSET($BO$15,0,0,$B$14,1), 1*(_xlfn._xlws.FILTER(OFFSET($O$15,0,$DN137,$B$8,1),OFFSET($M$15,0,0,$B$8,1))=EI$13), 1*(_xlfn._xlws.FILTER(OFFSET($O$15,0,$DO137,$B$8,1),OFFSET($M$15,0,0,$B$8,1))=EI$14))   /   SUM(OFFSET($BO$15,0,0,$B$14,1)) + $B$18/($B$19*$B$19*($DN137&lt;&gt;$DO137) + $B$19*($DN137=$DO137))</f>
        <v>3.7037037037037035E-4</v>
      </c>
      <c r="EJ137" s="10" cm="1">
        <f t="array" aca="1" ref="EJ137" ca="1">(1-$B$18)*SUMPRODUCT(OFFSET($BO$15,0,0,$B$14,1), 1*(_xlfn._xlws.FILTER(OFFSET($O$15,0,$DN137,$B$8,1),OFFSET($M$15,0,0,$B$8,1))=EJ$13), 1*(_xlfn._xlws.FILTER(OFFSET($O$15,0,$DO137,$B$8,1),OFFSET($M$15,0,0,$B$8,1))=EJ$14))   /   SUM(OFFSET($BO$15,0,0,$B$14,1)) + $B$18/($B$19*$B$19*($DN137&lt;&gt;$DO137) + $B$19*($DN137=$DO137))</f>
        <v>3.7037037037037035E-4</v>
      </c>
      <c r="EK137" s="10" cm="1">
        <f t="array" aca="1" ref="EK137" ca="1">(1-$B$18)*SUMPRODUCT(OFFSET($BO$15,0,0,$B$14,1), 1*(_xlfn._xlws.FILTER(OFFSET($O$15,0,$DN137,$B$8,1),OFFSET($M$15,0,0,$B$8,1))=EK$13), 1*(_xlfn._xlws.FILTER(OFFSET($O$15,0,$DO137,$B$8,1),OFFSET($M$15,0,0,$B$8,1))=EK$14))   /   SUM(OFFSET($BO$15,0,0,$B$14,1)) + $B$18/($B$19*$B$19*($DN137&lt;&gt;$DO137) + $B$19*($DN137=$DO137))</f>
        <v>3.7037037037037035E-4</v>
      </c>
      <c r="EL137" s="10" cm="1">
        <f t="array" aca="1" ref="EL137" ca="1">(1-$B$18)*SUMPRODUCT(OFFSET($BO$15,0,0,$B$14,1), 1*(_xlfn._xlws.FILTER(OFFSET($O$15,0,$DN137,$B$8,1),OFFSET($M$15,0,0,$B$8,1))=EL$13), 1*(_xlfn._xlws.FILTER(OFFSET($O$15,0,$DO137,$B$8,1),OFFSET($M$15,0,0,$B$8,1))=EL$14))   /   SUM(OFFSET($BO$15,0,0,$B$14,1)) + $B$18/($B$19*$B$19*($DN137&lt;&gt;$DO137) + $B$19*($DN137=$DO137))</f>
        <v>3.7037037037037035E-4</v>
      </c>
      <c r="EM137" s="10" cm="1">
        <f t="array" aca="1" ref="EM137" ca="1">(1-$B$18)*SUMPRODUCT(OFFSET($BO$15,0,0,$B$14,1), 1*(_xlfn._xlws.FILTER(OFFSET($O$15,0,$DN137,$B$8,1),OFFSET($M$15,0,0,$B$8,1))=EM$13), 1*(_xlfn._xlws.FILTER(OFFSET($O$15,0,$DO137,$B$8,1),OFFSET($M$15,0,0,$B$8,1))=EM$14))   /   SUM(OFFSET($BO$15,0,0,$B$14,1)) + $B$18/($B$19*$B$19*($DN137&lt;&gt;$DO137) + $B$19*($DN137=$DO137))</f>
        <v>3.7037037037037035E-4</v>
      </c>
      <c r="EN137" s="10" cm="1">
        <f t="array" aca="1" ref="EN137" ca="1">(1-$B$18)*SUMPRODUCT(OFFSET($BO$15,0,0,$B$14,1), 1*(_xlfn._xlws.FILTER(OFFSET($O$15,0,$DN137,$B$8,1),OFFSET($M$15,0,0,$B$8,1))=EN$13), 1*(_xlfn._xlws.FILTER(OFFSET($O$15,0,$DO137,$B$8,1),OFFSET($M$15,0,0,$B$8,1))=EN$14))   /   SUM(OFFSET($BO$15,0,0,$B$14,1)) + $B$18/($B$19*$B$19*($DN137&lt;&gt;$DO137) + $B$19*($DN137=$DO137))</f>
        <v>3.7037037037037035E-4</v>
      </c>
      <c r="EO137" s="10" cm="1">
        <f t="array" aca="1" ref="EO137" ca="1">(1-$B$18)*SUMPRODUCT(OFFSET($BO$15,0,0,$B$14,1), 1*(_xlfn._xlws.FILTER(OFFSET($O$15,0,$DN137,$B$8,1),OFFSET($M$15,0,0,$B$8,1))=EO$13), 1*(_xlfn._xlws.FILTER(OFFSET($O$15,0,$DO137,$B$8,1),OFFSET($M$15,0,0,$B$8,1))=EO$14))   /   SUM(OFFSET($BO$15,0,0,$B$14,1)) + $B$18/($B$19*$B$19*($DN137&lt;&gt;$DO137) + $B$19*($DN137=$DO137))</f>
        <v>3.7037037037037035E-4</v>
      </c>
      <c r="EP137" s="10" cm="1">
        <f t="array" aca="1" ref="EP137" ca="1">(1-$B$18)*SUMPRODUCT(OFFSET($BO$15,0,0,$B$14,1), 1*(_xlfn._xlws.FILTER(OFFSET($O$15,0,$DN137,$B$8,1),OFFSET($M$15,0,0,$B$8,1))=EP$13), 1*(_xlfn._xlws.FILTER(OFFSET($O$15,0,$DO137,$B$8,1),OFFSET($M$15,0,0,$B$8,1))=EP$14))   /   SUM(OFFSET($BO$15,0,0,$B$14,1)) + $B$18/($B$19*$B$19*($DN137&lt;&gt;$DO137) + $B$19*($DN137=$DO137))</f>
        <v>3.7037037037037035E-4</v>
      </c>
      <c r="EQ137" s="10" cm="1">
        <f t="array" aca="1" ref="EQ137" ca="1">(1-$B$18)*SUMPRODUCT(OFFSET($BO$15,0,0,$B$14,1), 1*(_xlfn._xlws.FILTER(OFFSET($O$15,0,$DN137,$B$8,1),OFFSET($M$15,0,0,$B$8,1))=EQ$13), 1*(_xlfn._xlws.FILTER(OFFSET($O$15,0,$DO137,$B$8,1),OFFSET($M$15,0,0,$B$8,1))=EQ$14))   /   SUM(OFFSET($BO$15,0,0,$B$14,1)) + $B$18/($B$19*$B$19*($DN137&lt;&gt;$DO137) + $B$19*($DN137=$DO137))</f>
        <v>3.7037037037037035E-4</v>
      </c>
      <c r="ER137" s="10" cm="1">
        <f t="array" aca="1" ref="ER137" ca="1">(1-$B$18)*SUMPRODUCT(OFFSET($BO$15,0,0,$B$14,1), 1*(_xlfn._xlws.FILTER(OFFSET($O$15,0,$DN137,$B$8,1),OFFSET($M$15,0,0,$B$8,1))=ER$13), 1*(_xlfn._xlws.FILTER(OFFSET($O$15,0,$DO137,$B$8,1),OFFSET($M$15,0,0,$B$8,1))=ER$14))   /   SUM(OFFSET($BO$15,0,0,$B$14,1)) + $B$18/($B$19*$B$19*($DN137&lt;&gt;$DO137) + $B$19*($DN137=$DO137))</f>
        <v>3.7037037037037035E-4</v>
      </c>
      <c r="ES137" s="10" cm="1">
        <f t="array" aca="1" ref="ES137" ca="1">(1-$B$18)*SUMPRODUCT(OFFSET($BO$15,0,0,$B$14,1), 1*(_xlfn._xlws.FILTER(OFFSET($O$15,0,$DN137,$B$8,1),OFFSET($M$15,0,0,$B$8,1))=ES$13), 1*(_xlfn._xlws.FILTER(OFFSET($O$15,0,$DO137,$B$8,1),OFFSET($M$15,0,0,$B$8,1))=ES$14))   /   SUM(OFFSET($BO$15,0,0,$B$14,1)) + $B$18/($B$19*$B$19*($DN137&lt;&gt;$DO137) + $B$19*($DN137=$DO137))</f>
        <v>3.7037037037037035E-4</v>
      </c>
      <c r="ET137" s="10" cm="1">
        <f t="array" aca="1" ref="ET137" ca="1">(1-$B$18)*SUMPRODUCT(OFFSET($BO$15,0,0,$B$14,1), 1*(_xlfn._xlws.FILTER(OFFSET($O$15,0,$DN137,$B$8,1),OFFSET($M$15,0,0,$B$8,1))=ET$13), 1*(_xlfn._xlws.FILTER(OFFSET($O$15,0,$DO137,$B$8,1),OFFSET($M$15,0,0,$B$8,1))=ET$14))   /   SUM(OFFSET($BO$15,0,0,$B$14,1)) + $B$18/($B$19*$B$19*($DN137&lt;&gt;$DO137) + $B$19*($DN137=$DO137))</f>
        <v>3.7037037037037035E-4</v>
      </c>
      <c r="EU137" s="10" cm="1">
        <f t="array" aca="1" ref="EU137" ca="1">(1-$B$18)*SUMPRODUCT(OFFSET($BO$15,0,0,$B$14,1), 1*(_xlfn._xlws.FILTER(OFFSET($O$15,0,$DN137,$B$8,1),OFFSET($M$15,0,0,$B$8,1))=EU$13), 1*(_xlfn._xlws.FILTER(OFFSET($O$15,0,$DO137,$B$8,1),OFFSET($M$15,0,0,$B$8,1))=EU$14))   /   SUM(OFFSET($BO$15,0,0,$B$14,1)) + $B$18/($B$19*$B$19*($DN137&lt;&gt;$DO137) + $B$19*($DN137=$DO137))</f>
        <v>3.7037037037037035E-4</v>
      </c>
      <c r="EV137" s="10" cm="1">
        <f t="array" aca="1" ref="EV137" ca="1">(1-$B$18)*SUMPRODUCT(OFFSET($BO$15,0,0,$B$14,1), 1*(_xlfn._xlws.FILTER(OFFSET($O$15,0,$DN137,$B$8,1),OFFSET($M$15,0,0,$B$8,1))=EV$13), 1*(_xlfn._xlws.FILTER(OFFSET($O$15,0,$DO137,$B$8,1),OFFSET($M$15,0,0,$B$8,1))=EV$14))   /   SUM(OFFSET($BO$15,0,0,$B$14,1)) + $B$18/($B$19*$B$19*($DN137&lt;&gt;$DO137) + $B$19*($DN137=$DO137))</f>
        <v>3.7037037037037035E-4</v>
      </c>
      <c r="EW137" s="10" cm="1">
        <f t="array" aca="1" ref="EW137" ca="1">(1-$B$18)*SUMPRODUCT(OFFSET($BO$15,0,0,$B$14,1), 1*(_xlfn._xlws.FILTER(OFFSET($O$15,0,$DN137,$B$8,1),OFFSET($M$15,0,0,$B$8,1))=EW$13), 1*(_xlfn._xlws.FILTER(OFFSET($O$15,0,$DO137,$B$8,1),OFFSET($M$15,0,0,$B$8,1))=EW$14))   /   SUM(OFFSET($BO$15,0,0,$B$14,1)) + $B$18/($B$19*$B$19*($DN137&lt;&gt;$DO137) + $B$19*($DN137=$DO137))</f>
        <v>3.7037037037037035E-4</v>
      </c>
      <c r="EX137" s="10" cm="1">
        <f t="array" aca="1" ref="EX137" ca="1">(1-$B$18)*SUMPRODUCT(OFFSET($BO$15,0,0,$B$14,1), 1*(_xlfn._xlws.FILTER(OFFSET($O$15,0,$DN137,$B$8,1),OFFSET($M$15,0,0,$B$8,1))=EX$13), 1*(_xlfn._xlws.FILTER(OFFSET($O$15,0,$DO137,$B$8,1),OFFSET($M$15,0,0,$B$8,1))=EX$14))   /   SUM(OFFSET($BO$15,0,0,$B$14,1)) + $B$18/($B$19*$B$19*($DN137&lt;&gt;$DO137) + $B$19*($DN137=$DO137))</f>
        <v>3.7037037037037035E-4</v>
      </c>
      <c r="EY137" s="10" cm="1">
        <f t="array" aca="1" ref="EY137" ca="1">(1-$B$18)*SUMPRODUCT(OFFSET($BO$15,0,0,$B$14,1), 1*(_xlfn._xlws.FILTER(OFFSET($O$15,0,$DN137,$B$8,1),OFFSET($M$15,0,0,$B$8,1))=EY$13), 1*(_xlfn._xlws.FILTER(OFFSET($O$15,0,$DO137,$B$8,1),OFFSET($M$15,0,0,$B$8,1))=EY$14))   /   SUM(OFFSET($BO$15,0,0,$B$14,1)) + $B$18/($B$19*$B$19*($DN137&lt;&gt;$DO137) + $B$19*($DN137=$DO137))</f>
        <v>3.7037037037037035E-4</v>
      </c>
      <c r="EZ137" s="10" cm="1">
        <f t="array" aca="1" ref="EZ137" ca="1">(1-$B$18)*SUMPRODUCT(OFFSET($BO$15,0,0,$B$14,1), 1*(_xlfn._xlws.FILTER(OFFSET($O$15,0,$DN137,$B$8,1),OFFSET($M$15,0,0,$B$8,1))=EZ$13), 1*(_xlfn._xlws.FILTER(OFFSET($O$15,0,$DO137,$B$8,1),OFFSET($M$15,0,0,$B$8,1))=EZ$14))   /   SUM(OFFSET($BO$15,0,0,$B$14,1)) + $B$18/($B$19*$B$19*($DN137&lt;&gt;$DO137) + $B$19*($DN137=$DO137))</f>
        <v>3.7037037037037035E-4</v>
      </c>
      <c r="FA137" s="10" cm="1">
        <f t="array" aca="1" ref="FA137" ca="1">(1-$B$18)*SUMPRODUCT(OFFSET($BO$15,0,0,$B$14,1), 1*(_xlfn._xlws.FILTER(OFFSET($O$15,0,$DN137,$B$8,1),OFFSET($M$15,0,0,$B$8,1))=FA$13), 1*(_xlfn._xlws.FILTER(OFFSET($O$15,0,$DO137,$B$8,1),OFFSET($M$15,0,0,$B$8,1))=FA$14))   /   SUM(OFFSET($BO$15,0,0,$B$14,1)) + $B$18/($B$19*$B$19*($DN137&lt;&gt;$DO137) + $B$19*($DN137=$DO137))</f>
        <v>3.7037037037037035E-4</v>
      </c>
      <c r="FB137" s="10" cm="1">
        <f t="array" aca="1" ref="FB137" ca="1">(1-$B$18)*SUMPRODUCT(OFFSET($BO$15,0,0,$B$14,1), 1*(_xlfn._xlws.FILTER(OFFSET($O$15,0,$DN137,$B$8,1),OFFSET($M$15,0,0,$B$8,1))=FB$13), 1*(_xlfn._xlws.FILTER(OFFSET($O$15,0,$DO137,$B$8,1),OFFSET($M$15,0,0,$B$8,1))=FB$14))   /   SUM(OFFSET($BO$15,0,0,$B$14,1)) + $B$18/($B$19*$B$19*($DN137&lt;&gt;$DO137) + $B$19*($DN137=$DO137))</f>
        <v>3.7037037037037035E-4</v>
      </c>
      <c r="FC137" s="10" cm="1">
        <f t="array" aca="1" ref="FC137" ca="1">(1-$B$18)*SUMPRODUCT(OFFSET($BO$15,0,0,$B$14,1), 1*(_xlfn._xlws.FILTER(OFFSET($O$15,0,$DN137,$B$8,1),OFFSET($M$15,0,0,$B$8,1))=FC$13), 1*(_xlfn._xlws.FILTER(OFFSET($O$15,0,$DO137,$B$8,1),OFFSET($M$15,0,0,$B$8,1))=FC$14))   /   SUM(OFFSET($BO$15,0,0,$B$14,1)) + $B$18/($B$19*$B$19*($DN137&lt;&gt;$DO137) + $B$19*($DN137=$DO137))</f>
        <v>3.7037037037037035E-4</v>
      </c>
      <c r="FD137" s="10" cm="1">
        <f t="array" aca="1" ref="FD137" ca="1">(1-$B$18)*SUMPRODUCT(OFFSET($BO$15,0,0,$B$14,1), 1*(_xlfn._xlws.FILTER(OFFSET($O$15,0,$DN137,$B$8,1),OFFSET($M$15,0,0,$B$8,1))=FD$13), 1*(_xlfn._xlws.FILTER(OFFSET($O$15,0,$DO137,$B$8,1),OFFSET($M$15,0,0,$B$8,1))=FD$14))   /   SUM(OFFSET($BO$15,0,0,$B$14,1)) + $B$18/($B$19*$B$19*($DN137&lt;&gt;$DO137) + $B$19*($DN137=$DO137))</f>
        <v>3.7037037037037035E-4</v>
      </c>
      <c r="FE137" s="10" cm="1">
        <f t="array" aca="1" ref="FE137" ca="1">(1-$B$18)*SUMPRODUCT(OFFSET($BO$15,0,0,$B$14,1), 1*(_xlfn._xlws.FILTER(OFFSET($O$15,0,$DN137,$B$8,1),OFFSET($M$15,0,0,$B$8,1))=FE$13), 1*(_xlfn._xlws.FILTER(OFFSET($O$15,0,$DO137,$B$8,1),OFFSET($M$15,0,0,$B$8,1))=FE$14))   /   SUM(OFFSET($BO$15,0,0,$B$14,1)) + $B$18/($B$19*$B$19*($DN137&lt;&gt;$DO137) + $B$19*($DN137=$DO137))</f>
        <v>3.7037037037037035E-4</v>
      </c>
      <c r="FF137" s="10" cm="1">
        <f t="array" aca="1" ref="FF137" ca="1">(1-$B$18)*SUMPRODUCT(OFFSET($BO$15,0,0,$B$14,1), 1*(_xlfn._xlws.FILTER(OFFSET($O$15,0,$DN137,$B$8,1),OFFSET($M$15,0,0,$B$8,1))=FF$13), 1*(_xlfn._xlws.FILTER(OFFSET($O$15,0,$DO137,$B$8,1),OFFSET($M$15,0,0,$B$8,1))=FF$14))   /   SUM(OFFSET($BO$15,0,0,$B$14,1)) + $B$18/($B$19*$B$19*($DN137&lt;&gt;$DO137) + $B$19*($DN137=$DO137))</f>
        <v>3.7037037037037035E-4</v>
      </c>
      <c r="FG137" s="10" cm="1">
        <f t="array" aca="1" ref="FG137" ca="1">(1-$B$18)*SUMPRODUCT(OFFSET($BO$15,0,0,$B$14,1), 1*(_xlfn._xlws.FILTER(OFFSET($O$15,0,$DN137,$B$8,1),OFFSET($M$15,0,0,$B$8,1))=FG$13), 1*(_xlfn._xlws.FILTER(OFFSET($O$15,0,$DO137,$B$8,1),OFFSET($M$15,0,0,$B$8,1))=FG$14))   /   SUM(OFFSET($BO$15,0,0,$B$14,1)) + $B$18/($B$19*$B$19*($DN137&lt;&gt;$DO137) + $B$19*($DN137=$DO137))</f>
        <v>3.7037037037037035E-4</v>
      </c>
      <c r="FH137" s="10" cm="1">
        <f t="array" aca="1" ref="FH137" ca="1">(1-$B$18)*SUMPRODUCT(OFFSET($BO$15,0,0,$B$14,1), 1*(_xlfn._xlws.FILTER(OFFSET($O$15,0,$DN137,$B$8,1),OFFSET($M$15,0,0,$B$8,1))=FH$13), 1*(_xlfn._xlws.FILTER(OFFSET($O$15,0,$DO137,$B$8,1),OFFSET($M$15,0,0,$B$8,1))=FH$14))   /   SUM(OFFSET($BO$15,0,0,$B$14,1)) + $B$18/($B$19*$B$19*($DN137&lt;&gt;$DO137) + $B$19*($DN137=$DO137))</f>
        <v>3.7037037037037035E-4</v>
      </c>
      <c r="FI137" s="10" cm="1">
        <f t="array" aca="1" ref="FI137" ca="1">(1-$B$18)*SUMPRODUCT(OFFSET($BO$15,0,0,$B$14,1), 1*(_xlfn._xlws.FILTER(OFFSET($O$15,0,$DN137,$B$8,1),OFFSET($M$15,0,0,$B$8,1))=FI$13), 1*(_xlfn._xlws.FILTER(OFFSET($O$15,0,$DO137,$B$8,1),OFFSET($M$15,0,0,$B$8,1))=FI$14))   /   SUM(OFFSET($BO$15,0,0,$B$14,1)) + $B$18/($B$19*$B$19*($DN137&lt;&gt;$DO137) + $B$19*($DN137=$DO137))</f>
        <v>3.7037037037037035E-4</v>
      </c>
      <c r="FJ137" s="10" cm="1">
        <f t="array" aca="1" ref="FJ137" ca="1">(1-$B$18)*SUMPRODUCT(OFFSET($BO$15,0,0,$B$14,1), 1*(_xlfn._xlws.FILTER(OFFSET($O$15,0,$DN137,$B$8,1),OFFSET($M$15,0,0,$B$8,1))=FJ$13), 1*(_xlfn._xlws.FILTER(OFFSET($O$15,0,$DO137,$B$8,1),OFFSET($M$15,0,0,$B$8,1))=FJ$14))   /   SUM(OFFSET($BO$15,0,0,$B$14,1)) + $B$18/($B$19*$B$19*($DN137&lt;&gt;$DO137) + $B$19*($DN137=$DO137))</f>
        <v>3.7037037037037035E-4</v>
      </c>
      <c r="FK137" s="10" cm="1">
        <f t="array" aca="1" ref="FK137" ca="1">(1-$B$18)*SUMPRODUCT(OFFSET($BO$15,0,0,$B$14,1), 1*(_xlfn._xlws.FILTER(OFFSET($O$15,0,$DN137,$B$8,1),OFFSET($M$15,0,0,$B$8,1))=FK$13), 1*(_xlfn._xlws.FILTER(OFFSET($O$15,0,$DO137,$B$8,1),OFFSET($M$15,0,0,$B$8,1))=FK$14))   /   SUM(OFFSET($BO$15,0,0,$B$14,1)) + $B$18/($B$19*$B$19*($DN137&lt;&gt;$DO137) + $B$19*($DN137=$DO137))</f>
        <v>3.7037037037037035E-4</v>
      </c>
      <c r="FL137" s="10" cm="1">
        <f t="array" aca="1" ref="FL137" ca="1">(1-$B$18)*SUMPRODUCT(OFFSET($BO$15,0,0,$B$14,1), 1*(_xlfn._xlws.FILTER(OFFSET($O$15,0,$DN137,$B$8,1),OFFSET($M$15,0,0,$B$8,1))=FL$13), 1*(_xlfn._xlws.FILTER(OFFSET($O$15,0,$DO137,$B$8,1),OFFSET($M$15,0,0,$B$8,1))=FL$14))   /   SUM(OFFSET($BO$15,0,0,$B$14,1)) + $B$18/($B$19*$B$19*($DN137&lt;&gt;$DO137) + $B$19*($DN137=$DO137))</f>
        <v>3.7037037037037035E-4</v>
      </c>
      <c r="FM137" s="10" cm="1">
        <f t="array" aca="1" ref="FM137" ca="1">(1-$B$18)*SUMPRODUCT(OFFSET($BO$15,0,0,$B$14,1), 1*(_xlfn._xlws.FILTER(OFFSET($O$15,0,$DN137,$B$8,1),OFFSET($M$15,0,0,$B$8,1))=FM$13), 1*(_xlfn._xlws.FILTER(OFFSET($O$15,0,$DO137,$B$8,1),OFFSET($M$15,0,0,$B$8,1))=FM$14))   /   SUM(OFFSET($BO$15,0,0,$B$14,1)) + $B$18/($B$19*$B$19*($DN137&lt;&gt;$DO137) + $B$19*($DN137=$DO137))</f>
        <v>3.7037037037037035E-4</v>
      </c>
      <c r="FN137" s="10" cm="1">
        <f t="array" aca="1" ref="FN137" ca="1">(1-$B$18)*SUMPRODUCT(OFFSET($BO$15,0,0,$B$14,1), 1*(_xlfn._xlws.FILTER(OFFSET($O$15,0,$DN137,$B$8,1),OFFSET($M$15,0,0,$B$8,1))=FN$13), 1*(_xlfn._xlws.FILTER(OFFSET($O$15,0,$DO137,$B$8,1),OFFSET($M$15,0,0,$B$8,1))=FN$14))   /   SUM(OFFSET($BO$15,0,0,$B$14,1)) + $B$18/($B$19*$B$19*($DN137&lt;&gt;$DO137) + $B$19*($DN137=$DO137))</f>
        <v>3.7037037037037035E-4</v>
      </c>
      <c r="FO137" s="10" cm="1">
        <f t="array" aca="1" ref="FO137" ca="1">(1-$B$18)*SUMPRODUCT(OFFSET($BO$15,0,0,$B$14,1), 1*(_xlfn._xlws.FILTER(OFFSET($O$15,0,$DN137,$B$8,1),OFFSET($M$15,0,0,$B$8,1))=FO$13), 1*(_xlfn._xlws.FILTER(OFFSET($O$15,0,$DO137,$B$8,1),OFFSET($M$15,0,0,$B$8,1))=FO$14))   /   SUM(OFFSET($BO$15,0,0,$B$14,1)) + $B$18/($B$19*$B$19*($DN137&lt;&gt;$DO137) + $B$19*($DN137=$DO137))</f>
        <v>3.7037037037037035E-4</v>
      </c>
      <c r="FP137" s="10" cm="1">
        <f t="array" aca="1" ref="FP137" ca="1">(1-$B$18)*SUMPRODUCT(OFFSET($BO$15,0,0,$B$14,1), 1*(_xlfn._xlws.FILTER(OFFSET($O$15,0,$DN137,$B$8,1),OFFSET($M$15,0,0,$B$8,1))=FP$13), 1*(_xlfn._xlws.FILTER(OFFSET($O$15,0,$DO137,$B$8,1),OFFSET($M$15,0,0,$B$8,1))=FP$14))   /   SUM(OFFSET($BO$15,0,0,$B$14,1)) + $B$18/($B$19*$B$19*($DN137&lt;&gt;$DO137) + $B$19*($DN137=$DO137))</f>
        <v>3.7037037037037035E-4</v>
      </c>
      <c r="FQ137" s="10" cm="1">
        <f t="array" aca="1" ref="FQ137" ca="1">(1-$B$18)*SUMPRODUCT(OFFSET($BO$15,0,0,$B$14,1), 1*(_xlfn._xlws.FILTER(OFFSET($O$15,0,$DN137,$B$8,1),OFFSET($M$15,0,0,$B$8,1))=FQ$13), 1*(_xlfn._xlws.FILTER(OFFSET($O$15,0,$DO137,$B$8,1),OFFSET($M$15,0,0,$B$8,1))=FQ$14))   /   SUM(OFFSET($BO$15,0,0,$B$14,1)) + $B$18/($B$19*$B$19*($DN137&lt;&gt;$DO137) + $B$19*($DN137=$DO137))</f>
        <v>3.7037037037037035E-4</v>
      </c>
      <c r="FR137" s="10" cm="1">
        <f t="array" aca="1" ref="FR137" ca="1">(1-$B$18)*SUMPRODUCT(OFFSET($BO$15,0,0,$B$14,1), 1*(_xlfn._xlws.FILTER(OFFSET($O$15,0,$DN137,$B$8,1),OFFSET($M$15,0,0,$B$8,1))=FR$13), 1*(_xlfn._xlws.FILTER(OFFSET($O$15,0,$DO137,$B$8,1),OFFSET($M$15,0,0,$B$8,1))=FR$14))   /   SUM(OFFSET($BO$15,0,0,$B$14,1)) + $B$18/($B$19*$B$19*($DN137&lt;&gt;$DO137) + $B$19*($DN137=$DO137))</f>
        <v>0.97037037037037033</v>
      </c>
      <c r="FS137" s="10" cm="1">
        <f t="array" aca="1" ref="FS137" ca="1">(1-$B$18)*SUMPRODUCT(OFFSET($BO$15,0,0,$B$14,1), 1*(_xlfn._xlws.FILTER(OFFSET($O$15,0,$DN137,$B$8,1),OFFSET($M$15,0,0,$B$8,1))=FS$13), 1*(_xlfn._xlws.FILTER(OFFSET($O$15,0,$DO137,$B$8,1),OFFSET($M$15,0,0,$B$8,1))=FS$14))   /   SUM(OFFSET($BO$15,0,0,$B$14,1)) + $B$18/($B$19*$B$19*($DN137&lt;&gt;$DO137) + $B$19*($DN137=$DO137))</f>
        <v>3.7037037037037035E-4</v>
      </c>
      <c r="FT137" s="10" cm="1">
        <f t="array" aca="1" ref="FT137" ca="1">(1-$B$18)*SUMPRODUCT(OFFSET($BO$15,0,0,$B$14,1), 1*(_xlfn._xlws.FILTER(OFFSET($O$15,0,$DN137,$B$8,1),OFFSET($M$15,0,0,$B$8,1))=FT$13), 1*(_xlfn._xlws.FILTER(OFFSET($O$15,0,$DO137,$B$8,1),OFFSET($M$15,0,0,$B$8,1))=FT$14))   /   SUM(OFFSET($BO$15,0,0,$B$14,1)) + $B$18/($B$19*$B$19*($DN137&lt;&gt;$DO137) + $B$19*($DN137=$DO137))</f>
        <v>3.7037037037037035E-4</v>
      </c>
      <c r="FU137" s="10" cm="1">
        <f t="array" aca="1" ref="FU137" ca="1">(1-$B$18)*SUMPRODUCT(OFFSET($BO$15,0,0,$B$14,1), 1*(_xlfn._xlws.FILTER(OFFSET($O$15,0,$DN137,$B$8,1),OFFSET($M$15,0,0,$B$8,1))=FU$13), 1*(_xlfn._xlws.FILTER(OFFSET($O$15,0,$DO137,$B$8,1),OFFSET($M$15,0,0,$B$8,1))=FU$14))   /   SUM(OFFSET($BO$15,0,0,$B$14,1)) + $B$18/($B$19*$B$19*($DN137&lt;&gt;$DO137) + $B$19*($DN137=$DO137))</f>
        <v>3.7037037037037035E-4</v>
      </c>
      <c r="FV137" s="10" cm="1">
        <f t="array" aca="1" ref="FV137" ca="1">(1-$B$18)*SUMPRODUCT(OFFSET($BO$15,0,0,$B$14,1), 1*(_xlfn._xlws.FILTER(OFFSET($O$15,0,$DN137,$B$8,1),OFFSET($M$15,0,0,$B$8,1))=FV$13), 1*(_xlfn._xlws.FILTER(OFFSET($O$15,0,$DO137,$B$8,1),OFFSET($M$15,0,0,$B$8,1))=FV$14))   /   SUM(OFFSET($BO$15,0,0,$B$14,1)) + $B$18/($B$19*$B$19*($DN137&lt;&gt;$DO137) + $B$19*($DN137=$DO137))</f>
        <v>3.7037037037037035E-4</v>
      </c>
      <c r="FW137" s="10" cm="1">
        <f t="array" aca="1" ref="FW137" ca="1">(1-$B$18)*SUMPRODUCT(OFFSET($BO$15,0,0,$B$14,1), 1*(_xlfn._xlws.FILTER(OFFSET($O$15,0,$DN137,$B$8,1),OFFSET($M$15,0,0,$B$8,1))=FW$13), 1*(_xlfn._xlws.FILTER(OFFSET($O$15,0,$DO137,$B$8,1),OFFSET($M$15,0,0,$B$8,1))=FW$14))   /   SUM(OFFSET($BO$15,0,0,$B$14,1)) + $B$18/($B$19*$B$19*($DN137&lt;&gt;$DO137) + $B$19*($DN137=$DO137))</f>
        <v>3.7037037037037035E-4</v>
      </c>
      <c r="FX137" s="10" cm="1">
        <f t="array" aca="1" ref="FX137" ca="1">(1-$B$18)*SUMPRODUCT(OFFSET($BO$15,0,0,$B$14,1), 1*(_xlfn._xlws.FILTER(OFFSET($O$15,0,$DN137,$B$8,1),OFFSET($M$15,0,0,$B$8,1))=FX$13), 1*(_xlfn._xlws.FILTER(OFFSET($O$15,0,$DO137,$B$8,1),OFFSET($M$15,0,0,$B$8,1))=FX$14))   /   SUM(OFFSET($BO$15,0,0,$B$14,1)) + $B$18/($B$19*$B$19*($DN137&lt;&gt;$DO137) + $B$19*($DN137=$DO137))</f>
        <v>3.7037037037037035E-4</v>
      </c>
      <c r="FY137" s="10" cm="1">
        <f t="array" aca="1" ref="FY137" ca="1">(1-$B$18)*SUMPRODUCT(OFFSET($BO$15,0,0,$B$14,1), 1*(_xlfn._xlws.FILTER(OFFSET($O$15,0,$DN137,$B$8,1),OFFSET($M$15,0,0,$B$8,1))=FY$13), 1*(_xlfn._xlws.FILTER(OFFSET($O$15,0,$DO137,$B$8,1),OFFSET($M$15,0,0,$B$8,1))=FY$14))   /   SUM(OFFSET($BO$15,0,0,$B$14,1)) + $B$18/($B$19*$B$19*($DN137&lt;&gt;$DO137) + $B$19*($DN137=$DO137))</f>
        <v>3.7037037037037035E-4</v>
      </c>
      <c r="FZ137" s="10" cm="1">
        <f t="array" aca="1" ref="FZ137" ca="1">(1-$B$18)*SUMPRODUCT(OFFSET($BO$15,0,0,$B$14,1), 1*(_xlfn._xlws.FILTER(OFFSET($O$15,0,$DN137,$B$8,1),OFFSET($M$15,0,0,$B$8,1))=FZ$13), 1*(_xlfn._xlws.FILTER(OFFSET($O$15,0,$DO137,$B$8,1),OFFSET($M$15,0,0,$B$8,1))=FZ$14))   /   SUM(OFFSET($BO$15,0,0,$B$14,1)) + $B$18/($B$19*$B$19*($DN137&lt;&gt;$DO137) + $B$19*($DN137=$DO137))</f>
        <v>3.7037037037037035E-4</v>
      </c>
      <c r="GA137" s="10" cm="1">
        <f t="array" aca="1" ref="GA137" ca="1">(1-$B$18)*SUMPRODUCT(OFFSET($BO$15,0,0,$B$14,1), 1*(_xlfn._xlws.FILTER(OFFSET($O$15,0,$DN137,$B$8,1),OFFSET($M$15,0,0,$B$8,1))=GA$13), 1*(_xlfn._xlws.FILTER(OFFSET($O$15,0,$DO137,$B$8,1),OFFSET($M$15,0,0,$B$8,1))=GA$14))   /   SUM(OFFSET($BO$15,0,0,$B$14,1)) + $B$18/($B$19*$B$19*($DN137&lt;&gt;$DO137) + $B$19*($DN137=$DO137))</f>
        <v>3.7037037037037035E-4</v>
      </c>
    </row>
    <row r="138" spans="7:183" x14ac:dyDescent="0.2">
      <c r="G138" s="2"/>
      <c r="H138" s="2"/>
      <c r="AH138" s="2"/>
      <c r="AI138" s="2"/>
      <c r="DN138" cm="1">
        <f t="array" aca="1" ref="DN138" ca="1">INDEX(_xlfn.ANCHORARRAY($CP$15), 1 + INT((ROWS($DO$15:$DO138) - 1) / ROWS(_xlfn.ANCHORARRAY($CP$15))))</f>
        <v>6</v>
      </c>
      <c r="DO138" cm="1">
        <f t="array" aca="1" ref="DO138" ca="1">INDEX(_xlfn.ANCHORARRAY($CP$15),1+MOD(ROWS($DO$15:$DO138)-1,ROWS(_xlfn.ANCHORARRAY($CP$15))))</f>
        <v>9</v>
      </c>
      <c r="DP138" s="10" cm="1">
        <f t="array" aca="1" ref="DP138" ca="1">(1-$B$18)*SUMPRODUCT(OFFSET($BO$15,0,0,$B$14,1), 1*(_xlfn._xlws.FILTER(OFFSET($O$15,0,$DN138,$B$8,1),OFFSET($M$15,0,0,$B$8,1))=DP$13), 1*(_xlfn._xlws.FILTER(OFFSET($O$15,0,$DO138,$B$8,1),OFFSET($M$15,0,0,$B$8,1))=DP$14))   /   SUM(OFFSET($BO$15,0,0,$B$14,1)) + $B$18/($B$19*$B$19*($DN138&lt;&gt;$DO138) + $B$19*($DN138=$DO138))</f>
        <v>3.7037037037037035E-4</v>
      </c>
      <c r="DQ138" s="10" cm="1">
        <f t="array" aca="1" ref="DQ138" ca="1">(1-$B$18)*SUMPRODUCT(OFFSET($BO$15,0,0,$B$14,1), 1*(_xlfn._xlws.FILTER(OFFSET($O$15,0,$DN138,$B$8,1),OFFSET($M$15,0,0,$B$8,1))=DQ$13), 1*(_xlfn._xlws.FILTER(OFFSET($O$15,0,$DO138,$B$8,1),OFFSET($M$15,0,0,$B$8,1))=DQ$14))   /   SUM(OFFSET($BO$15,0,0,$B$14,1)) + $B$18/($B$19*$B$19*($DN138&lt;&gt;$DO138) + $B$19*($DN138=$DO138))</f>
        <v>3.7037037037037035E-4</v>
      </c>
      <c r="DR138" s="10" cm="1">
        <f t="array" aca="1" ref="DR138" ca="1">(1-$B$18)*SUMPRODUCT(OFFSET($BO$15,0,0,$B$14,1), 1*(_xlfn._xlws.FILTER(OFFSET($O$15,0,$DN138,$B$8,1),OFFSET($M$15,0,0,$B$8,1))=DR$13), 1*(_xlfn._xlws.FILTER(OFFSET($O$15,0,$DO138,$B$8,1),OFFSET($M$15,0,0,$B$8,1))=DR$14))   /   SUM(OFFSET($BO$15,0,0,$B$14,1)) + $B$18/($B$19*$B$19*($DN138&lt;&gt;$DO138) + $B$19*($DN138=$DO138))</f>
        <v>3.7037037037037035E-4</v>
      </c>
      <c r="DS138" s="10" cm="1">
        <f t="array" aca="1" ref="DS138" ca="1">(1-$B$18)*SUMPRODUCT(OFFSET($BO$15,0,0,$B$14,1), 1*(_xlfn._xlws.FILTER(OFFSET($O$15,0,$DN138,$B$8,1),OFFSET($M$15,0,0,$B$8,1))=DS$13), 1*(_xlfn._xlws.FILTER(OFFSET($O$15,0,$DO138,$B$8,1),OFFSET($M$15,0,0,$B$8,1))=DS$14))   /   SUM(OFFSET($BO$15,0,0,$B$14,1)) + $B$18/($B$19*$B$19*($DN138&lt;&gt;$DO138) + $B$19*($DN138=$DO138))</f>
        <v>3.7037037037037035E-4</v>
      </c>
      <c r="DT138" s="10" cm="1">
        <f t="array" aca="1" ref="DT138" ca="1">(1-$B$18)*SUMPRODUCT(OFFSET($BO$15,0,0,$B$14,1), 1*(_xlfn._xlws.FILTER(OFFSET($O$15,0,$DN138,$B$8,1),OFFSET($M$15,0,0,$B$8,1))=DT$13), 1*(_xlfn._xlws.FILTER(OFFSET($O$15,0,$DO138,$B$8,1),OFFSET($M$15,0,0,$B$8,1))=DT$14))   /   SUM(OFFSET($BO$15,0,0,$B$14,1)) + $B$18/($B$19*$B$19*($DN138&lt;&gt;$DO138) + $B$19*($DN138=$DO138))</f>
        <v>3.7037037037037035E-4</v>
      </c>
      <c r="DU138" s="10" cm="1">
        <f t="array" aca="1" ref="DU138" ca="1">(1-$B$18)*SUMPRODUCT(OFFSET($BO$15,0,0,$B$14,1), 1*(_xlfn._xlws.FILTER(OFFSET($O$15,0,$DN138,$B$8,1),OFFSET($M$15,0,0,$B$8,1))=DU$13), 1*(_xlfn._xlws.FILTER(OFFSET($O$15,0,$DO138,$B$8,1),OFFSET($M$15,0,0,$B$8,1))=DU$14))   /   SUM(OFFSET($BO$15,0,0,$B$14,1)) + $B$18/($B$19*$B$19*($DN138&lt;&gt;$DO138) + $B$19*($DN138=$DO138))</f>
        <v>3.7037037037037035E-4</v>
      </c>
      <c r="DV138" s="10" cm="1">
        <f t="array" aca="1" ref="DV138" ca="1">(1-$B$18)*SUMPRODUCT(OFFSET($BO$15,0,0,$B$14,1), 1*(_xlfn._xlws.FILTER(OFFSET($O$15,0,$DN138,$B$8,1),OFFSET($M$15,0,0,$B$8,1))=DV$13), 1*(_xlfn._xlws.FILTER(OFFSET($O$15,0,$DO138,$B$8,1),OFFSET($M$15,0,0,$B$8,1))=DV$14))   /   SUM(OFFSET($BO$15,0,0,$B$14,1)) + $B$18/($B$19*$B$19*($DN138&lt;&gt;$DO138) + $B$19*($DN138=$DO138))</f>
        <v>3.7037037037037035E-4</v>
      </c>
      <c r="DW138" s="10" cm="1">
        <f t="array" aca="1" ref="DW138" ca="1">(1-$B$18)*SUMPRODUCT(OFFSET($BO$15,0,0,$B$14,1), 1*(_xlfn._xlws.FILTER(OFFSET($O$15,0,$DN138,$B$8,1),OFFSET($M$15,0,0,$B$8,1))=DW$13), 1*(_xlfn._xlws.FILTER(OFFSET($O$15,0,$DO138,$B$8,1),OFFSET($M$15,0,0,$B$8,1))=DW$14))   /   SUM(OFFSET($BO$15,0,0,$B$14,1)) + $B$18/($B$19*$B$19*($DN138&lt;&gt;$DO138) + $B$19*($DN138=$DO138))</f>
        <v>3.7037037037037035E-4</v>
      </c>
      <c r="DX138" s="10" cm="1">
        <f t="array" aca="1" ref="DX138" ca="1">(1-$B$18)*SUMPRODUCT(OFFSET($BO$15,0,0,$B$14,1), 1*(_xlfn._xlws.FILTER(OFFSET($O$15,0,$DN138,$B$8,1),OFFSET($M$15,0,0,$B$8,1))=DX$13), 1*(_xlfn._xlws.FILTER(OFFSET($O$15,0,$DO138,$B$8,1),OFFSET($M$15,0,0,$B$8,1))=DX$14))   /   SUM(OFFSET($BO$15,0,0,$B$14,1)) + $B$18/($B$19*$B$19*($DN138&lt;&gt;$DO138) + $B$19*($DN138=$DO138))</f>
        <v>3.7037037037037035E-4</v>
      </c>
      <c r="DY138" s="10" cm="1">
        <f t="array" aca="1" ref="DY138" ca="1">(1-$B$18)*SUMPRODUCT(OFFSET($BO$15,0,0,$B$14,1), 1*(_xlfn._xlws.FILTER(OFFSET($O$15,0,$DN138,$B$8,1),OFFSET($M$15,0,0,$B$8,1))=DY$13), 1*(_xlfn._xlws.FILTER(OFFSET($O$15,0,$DO138,$B$8,1),OFFSET($M$15,0,0,$B$8,1))=DY$14))   /   SUM(OFFSET($BO$15,0,0,$B$14,1)) + $B$18/($B$19*$B$19*($DN138&lt;&gt;$DO138) + $B$19*($DN138=$DO138))</f>
        <v>3.7037037037037035E-4</v>
      </c>
      <c r="DZ138" s="10" cm="1">
        <f t="array" aca="1" ref="DZ138" ca="1">(1-$B$18)*SUMPRODUCT(OFFSET($BO$15,0,0,$B$14,1), 1*(_xlfn._xlws.FILTER(OFFSET($O$15,0,$DN138,$B$8,1),OFFSET($M$15,0,0,$B$8,1))=DZ$13), 1*(_xlfn._xlws.FILTER(OFFSET($O$15,0,$DO138,$B$8,1),OFFSET($M$15,0,0,$B$8,1))=DZ$14))   /   SUM(OFFSET($BO$15,0,0,$B$14,1)) + $B$18/($B$19*$B$19*($DN138&lt;&gt;$DO138) + $B$19*($DN138=$DO138))</f>
        <v>3.7037037037037035E-4</v>
      </c>
      <c r="EA138" s="10" cm="1">
        <f t="array" aca="1" ref="EA138" ca="1">(1-$B$18)*SUMPRODUCT(OFFSET($BO$15,0,0,$B$14,1), 1*(_xlfn._xlws.FILTER(OFFSET($O$15,0,$DN138,$B$8,1),OFFSET($M$15,0,0,$B$8,1))=EA$13), 1*(_xlfn._xlws.FILTER(OFFSET($O$15,0,$DO138,$B$8,1),OFFSET($M$15,0,0,$B$8,1))=EA$14))   /   SUM(OFFSET($BO$15,0,0,$B$14,1)) + $B$18/($B$19*$B$19*($DN138&lt;&gt;$DO138) + $B$19*($DN138=$DO138))</f>
        <v>3.7037037037037035E-4</v>
      </c>
      <c r="EB138" s="10" cm="1">
        <f t="array" aca="1" ref="EB138" ca="1">(1-$B$18)*SUMPRODUCT(OFFSET($BO$15,0,0,$B$14,1), 1*(_xlfn._xlws.FILTER(OFFSET($O$15,0,$DN138,$B$8,1),OFFSET($M$15,0,0,$B$8,1))=EB$13), 1*(_xlfn._xlws.FILTER(OFFSET($O$15,0,$DO138,$B$8,1),OFFSET($M$15,0,0,$B$8,1))=EB$14))   /   SUM(OFFSET($BO$15,0,0,$B$14,1)) + $B$18/($B$19*$B$19*($DN138&lt;&gt;$DO138) + $B$19*($DN138=$DO138))</f>
        <v>3.7037037037037035E-4</v>
      </c>
      <c r="EC138" s="10" cm="1">
        <f t="array" aca="1" ref="EC138" ca="1">(1-$B$18)*SUMPRODUCT(OFFSET($BO$15,0,0,$B$14,1), 1*(_xlfn._xlws.FILTER(OFFSET($O$15,0,$DN138,$B$8,1),OFFSET($M$15,0,0,$B$8,1))=EC$13), 1*(_xlfn._xlws.FILTER(OFFSET($O$15,0,$DO138,$B$8,1),OFFSET($M$15,0,0,$B$8,1))=EC$14))   /   SUM(OFFSET($BO$15,0,0,$B$14,1)) + $B$18/($B$19*$B$19*($DN138&lt;&gt;$DO138) + $B$19*($DN138=$DO138))</f>
        <v>3.7037037037037035E-4</v>
      </c>
      <c r="ED138" s="10" cm="1">
        <f t="array" aca="1" ref="ED138" ca="1">(1-$B$18)*SUMPRODUCT(OFFSET($BO$15,0,0,$B$14,1), 1*(_xlfn._xlws.FILTER(OFFSET($O$15,0,$DN138,$B$8,1),OFFSET($M$15,0,0,$B$8,1))=ED$13), 1*(_xlfn._xlws.FILTER(OFFSET($O$15,0,$DO138,$B$8,1),OFFSET($M$15,0,0,$B$8,1))=ED$14))   /   SUM(OFFSET($BO$15,0,0,$B$14,1)) + $B$18/($B$19*$B$19*($DN138&lt;&gt;$DO138) + $B$19*($DN138=$DO138))</f>
        <v>3.7037037037037035E-4</v>
      </c>
      <c r="EE138" s="10" cm="1">
        <f t="array" aca="1" ref="EE138" ca="1">(1-$B$18)*SUMPRODUCT(OFFSET($BO$15,0,0,$B$14,1), 1*(_xlfn._xlws.FILTER(OFFSET($O$15,0,$DN138,$B$8,1),OFFSET($M$15,0,0,$B$8,1))=EE$13), 1*(_xlfn._xlws.FILTER(OFFSET($O$15,0,$DO138,$B$8,1),OFFSET($M$15,0,0,$B$8,1))=EE$14))   /   SUM(OFFSET($BO$15,0,0,$B$14,1)) + $B$18/($B$19*$B$19*($DN138&lt;&gt;$DO138) + $B$19*($DN138=$DO138))</f>
        <v>3.7037037037037035E-4</v>
      </c>
      <c r="EF138" s="10" cm="1">
        <f t="array" aca="1" ref="EF138" ca="1">(1-$B$18)*SUMPRODUCT(OFFSET($BO$15,0,0,$B$14,1), 1*(_xlfn._xlws.FILTER(OFFSET($O$15,0,$DN138,$B$8,1),OFFSET($M$15,0,0,$B$8,1))=EF$13), 1*(_xlfn._xlws.FILTER(OFFSET($O$15,0,$DO138,$B$8,1),OFFSET($M$15,0,0,$B$8,1))=EF$14))   /   SUM(OFFSET($BO$15,0,0,$B$14,1)) + $B$18/($B$19*$B$19*($DN138&lt;&gt;$DO138) + $B$19*($DN138=$DO138))</f>
        <v>3.7037037037037035E-4</v>
      </c>
      <c r="EG138" s="10" cm="1">
        <f t="array" aca="1" ref="EG138" ca="1">(1-$B$18)*SUMPRODUCT(OFFSET($BO$15,0,0,$B$14,1), 1*(_xlfn._xlws.FILTER(OFFSET($O$15,0,$DN138,$B$8,1),OFFSET($M$15,0,0,$B$8,1))=EG$13), 1*(_xlfn._xlws.FILTER(OFFSET($O$15,0,$DO138,$B$8,1),OFFSET($M$15,0,0,$B$8,1))=EG$14))   /   SUM(OFFSET($BO$15,0,0,$B$14,1)) + $B$18/($B$19*$B$19*($DN138&lt;&gt;$DO138) + $B$19*($DN138=$DO138))</f>
        <v>3.7037037037037035E-4</v>
      </c>
      <c r="EH138" s="10" cm="1">
        <f t="array" aca="1" ref="EH138" ca="1">(1-$B$18)*SUMPRODUCT(OFFSET($BO$15,0,0,$B$14,1), 1*(_xlfn._xlws.FILTER(OFFSET($O$15,0,$DN138,$B$8,1),OFFSET($M$15,0,0,$B$8,1))=EH$13), 1*(_xlfn._xlws.FILTER(OFFSET($O$15,0,$DO138,$B$8,1),OFFSET($M$15,0,0,$B$8,1))=EH$14))   /   SUM(OFFSET($BO$15,0,0,$B$14,1)) + $B$18/($B$19*$B$19*($DN138&lt;&gt;$DO138) + $B$19*($DN138=$DO138))</f>
        <v>3.7037037037037035E-4</v>
      </c>
      <c r="EI138" s="10" cm="1">
        <f t="array" aca="1" ref="EI138" ca="1">(1-$B$18)*SUMPRODUCT(OFFSET($BO$15,0,0,$B$14,1), 1*(_xlfn._xlws.FILTER(OFFSET($O$15,0,$DN138,$B$8,1),OFFSET($M$15,0,0,$B$8,1))=EI$13), 1*(_xlfn._xlws.FILTER(OFFSET($O$15,0,$DO138,$B$8,1),OFFSET($M$15,0,0,$B$8,1))=EI$14))   /   SUM(OFFSET($BO$15,0,0,$B$14,1)) + $B$18/($B$19*$B$19*($DN138&lt;&gt;$DO138) + $B$19*($DN138=$DO138))</f>
        <v>3.7037037037037035E-4</v>
      </c>
      <c r="EJ138" s="10" cm="1">
        <f t="array" aca="1" ref="EJ138" ca="1">(1-$B$18)*SUMPRODUCT(OFFSET($BO$15,0,0,$B$14,1), 1*(_xlfn._xlws.FILTER(OFFSET($O$15,0,$DN138,$B$8,1),OFFSET($M$15,0,0,$B$8,1))=EJ$13), 1*(_xlfn._xlws.FILTER(OFFSET($O$15,0,$DO138,$B$8,1),OFFSET($M$15,0,0,$B$8,1))=EJ$14))   /   SUM(OFFSET($BO$15,0,0,$B$14,1)) + $B$18/($B$19*$B$19*($DN138&lt;&gt;$DO138) + $B$19*($DN138=$DO138))</f>
        <v>3.7037037037037035E-4</v>
      </c>
      <c r="EK138" s="10" cm="1">
        <f t="array" aca="1" ref="EK138" ca="1">(1-$B$18)*SUMPRODUCT(OFFSET($BO$15,0,0,$B$14,1), 1*(_xlfn._xlws.FILTER(OFFSET($O$15,0,$DN138,$B$8,1),OFFSET($M$15,0,0,$B$8,1))=EK$13), 1*(_xlfn._xlws.FILTER(OFFSET($O$15,0,$DO138,$B$8,1),OFFSET($M$15,0,0,$B$8,1))=EK$14))   /   SUM(OFFSET($BO$15,0,0,$B$14,1)) + $B$18/($B$19*$B$19*($DN138&lt;&gt;$DO138) + $B$19*($DN138=$DO138))</f>
        <v>3.7037037037037035E-4</v>
      </c>
      <c r="EL138" s="10" cm="1">
        <f t="array" aca="1" ref="EL138" ca="1">(1-$B$18)*SUMPRODUCT(OFFSET($BO$15,0,0,$B$14,1), 1*(_xlfn._xlws.FILTER(OFFSET($O$15,0,$DN138,$B$8,1),OFFSET($M$15,0,0,$B$8,1))=EL$13), 1*(_xlfn._xlws.FILTER(OFFSET($O$15,0,$DO138,$B$8,1),OFFSET($M$15,0,0,$B$8,1))=EL$14))   /   SUM(OFFSET($BO$15,0,0,$B$14,1)) + $B$18/($B$19*$B$19*($DN138&lt;&gt;$DO138) + $B$19*($DN138=$DO138))</f>
        <v>3.7037037037037035E-4</v>
      </c>
      <c r="EM138" s="10" cm="1">
        <f t="array" aca="1" ref="EM138" ca="1">(1-$B$18)*SUMPRODUCT(OFFSET($BO$15,0,0,$B$14,1), 1*(_xlfn._xlws.FILTER(OFFSET($O$15,0,$DN138,$B$8,1),OFFSET($M$15,0,0,$B$8,1))=EM$13), 1*(_xlfn._xlws.FILTER(OFFSET($O$15,0,$DO138,$B$8,1),OFFSET($M$15,0,0,$B$8,1))=EM$14))   /   SUM(OFFSET($BO$15,0,0,$B$14,1)) + $B$18/($B$19*$B$19*($DN138&lt;&gt;$DO138) + $B$19*($DN138=$DO138))</f>
        <v>3.7037037037037035E-4</v>
      </c>
      <c r="EN138" s="10" cm="1">
        <f t="array" aca="1" ref="EN138" ca="1">(1-$B$18)*SUMPRODUCT(OFFSET($BO$15,0,0,$B$14,1), 1*(_xlfn._xlws.FILTER(OFFSET($O$15,0,$DN138,$B$8,1),OFFSET($M$15,0,0,$B$8,1))=EN$13), 1*(_xlfn._xlws.FILTER(OFFSET($O$15,0,$DO138,$B$8,1),OFFSET($M$15,0,0,$B$8,1))=EN$14))   /   SUM(OFFSET($BO$15,0,0,$B$14,1)) + $B$18/($B$19*$B$19*($DN138&lt;&gt;$DO138) + $B$19*($DN138=$DO138))</f>
        <v>3.7037037037037035E-4</v>
      </c>
      <c r="EO138" s="10" cm="1">
        <f t="array" aca="1" ref="EO138" ca="1">(1-$B$18)*SUMPRODUCT(OFFSET($BO$15,0,0,$B$14,1), 1*(_xlfn._xlws.FILTER(OFFSET($O$15,0,$DN138,$B$8,1),OFFSET($M$15,0,0,$B$8,1))=EO$13), 1*(_xlfn._xlws.FILTER(OFFSET($O$15,0,$DO138,$B$8,1),OFFSET($M$15,0,0,$B$8,1))=EO$14))   /   SUM(OFFSET($BO$15,0,0,$B$14,1)) + $B$18/($B$19*$B$19*($DN138&lt;&gt;$DO138) + $B$19*($DN138=$DO138))</f>
        <v>3.7037037037037035E-4</v>
      </c>
      <c r="EP138" s="10" cm="1">
        <f t="array" aca="1" ref="EP138" ca="1">(1-$B$18)*SUMPRODUCT(OFFSET($BO$15,0,0,$B$14,1), 1*(_xlfn._xlws.FILTER(OFFSET($O$15,0,$DN138,$B$8,1),OFFSET($M$15,0,0,$B$8,1))=EP$13), 1*(_xlfn._xlws.FILTER(OFFSET($O$15,0,$DO138,$B$8,1),OFFSET($M$15,0,0,$B$8,1))=EP$14))   /   SUM(OFFSET($BO$15,0,0,$B$14,1)) + $B$18/($B$19*$B$19*($DN138&lt;&gt;$DO138) + $B$19*($DN138=$DO138))</f>
        <v>3.7037037037037035E-4</v>
      </c>
      <c r="EQ138" s="10" cm="1">
        <f t="array" aca="1" ref="EQ138" ca="1">(1-$B$18)*SUMPRODUCT(OFFSET($BO$15,0,0,$B$14,1), 1*(_xlfn._xlws.FILTER(OFFSET($O$15,0,$DN138,$B$8,1),OFFSET($M$15,0,0,$B$8,1))=EQ$13), 1*(_xlfn._xlws.FILTER(OFFSET($O$15,0,$DO138,$B$8,1),OFFSET($M$15,0,0,$B$8,1))=EQ$14))   /   SUM(OFFSET($BO$15,0,0,$B$14,1)) + $B$18/($B$19*$B$19*($DN138&lt;&gt;$DO138) + $B$19*($DN138=$DO138))</f>
        <v>3.7037037037037035E-4</v>
      </c>
      <c r="ER138" s="10" cm="1">
        <f t="array" aca="1" ref="ER138" ca="1">(1-$B$18)*SUMPRODUCT(OFFSET($BO$15,0,0,$B$14,1), 1*(_xlfn._xlws.FILTER(OFFSET($O$15,0,$DN138,$B$8,1),OFFSET($M$15,0,0,$B$8,1))=ER$13), 1*(_xlfn._xlws.FILTER(OFFSET($O$15,0,$DO138,$B$8,1),OFFSET($M$15,0,0,$B$8,1))=ER$14))   /   SUM(OFFSET($BO$15,0,0,$B$14,1)) + $B$18/($B$19*$B$19*($DN138&lt;&gt;$DO138) + $B$19*($DN138=$DO138))</f>
        <v>3.7037037037037035E-4</v>
      </c>
      <c r="ES138" s="10" cm="1">
        <f t="array" aca="1" ref="ES138" ca="1">(1-$B$18)*SUMPRODUCT(OFFSET($BO$15,0,0,$B$14,1), 1*(_xlfn._xlws.FILTER(OFFSET($O$15,0,$DN138,$B$8,1),OFFSET($M$15,0,0,$B$8,1))=ES$13), 1*(_xlfn._xlws.FILTER(OFFSET($O$15,0,$DO138,$B$8,1),OFFSET($M$15,0,0,$B$8,1))=ES$14))   /   SUM(OFFSET($BO$15,0,0,$B$14,1)) + $B$18/($B$19*$B$19*($DN138&lt;&gt;$DO138) + $B$19*($DN138=$DO138))</f>
        <v>3.7037037037037035E-4</v>
      </c>
      <c r="ET138" s="10" cm="1">
        <f t="array" aca="1" ref="ET138" ca="1">(1-$B$18)*SUMPRODUCT(OFFSET($BO$15,0,0,$B$14,1), 1*(_xlfn._xlws.FILTER(OFFSET($O$15,0,$DN138,$B$8,1),OFFSET($M$15,0,0,$B$8,1))=ET$13), 1*(_xlfn._xlws.FILTER(OFFSET($O$15,0,$DO138,$B$8,1),OFFSET($M$15,0,0,$B$8,1))=ET$14))   /   SUM(OFFSET($BO$15,0,0,$B$14,1)) + $B$18/($B$19*$B$19*($DN138&lt;&gt;$DO138) + $B$19*($DN138=$DO138))</f>
        <v>3.7037037037037035E-4</v>
      </c>
      <c r="EU138" s="10" cm="1">
        <f t="array" aca="1" ref="EU138" ca="1">(1-$B$18)*SUMPRODUCT(OFFSET($BO$15,0,0,$B$14,1), 1*(_xlfn._xlws.FILTER(OFFSET($O$15,0,$DN138,$B$8,1),OFFSET($M$15,0,0,$B$8,1))=EU$13), 1*(_xlfn._xlws.FILTER(OFFSET($O$15,0,$DO138,$B$8,1),OFFSET($M$15,0,0,$B$8,1))=EU$14))   /   SUM(OFFSET($BO$15,0,0,$B$14,1)) + $B$18/($B$19*$B$19*($DN138&lt;&gt;$DO138) + $B$19*($DN138=$DO138))</f>
        <v>3.7037037037037035E-4</v>
      </c>
      <c r="EV138" s="10" cm="1">
        <f t="array" aca="1" ref="EV138" ca="1">(1-$B$18)*SUMPRODUCT(OFFSET($BO$15,0,0,$B$14,1), 1*(_xlfn._xlws.FILTER(OFFSET($O$15,0,$DN138,$B$8,1),OFFSET($M$15,0,0,$B$8,1))=EV$13), 1*(_xlfn._xlws.FILTER(OFFSET($O$15,0,$DO138,$B$8,1),OFFSET($M$15,0,0,$B$8,1))=EV$14))   /   SUM(OFFSET($BO$15,0,0,$B$14,1)) + $B$18/($B$19*$B$19*($DN138&lt;&gt;$DO138) + $B$19*($DN138=$DO138))</f>
        <v>3.7037037037037035E-4</v>
      </c>
      <c r="EW138" s="10" cm="1">
        <f t="array" aca="1" ref="EW138" ca="1">(1-$B$18)*SUMPRODUCT(OFFSET($BO$15,0,0,$B$14,1), 1*(_xlfn._xlws.FILTER(OFFSET($O$15,0,$DN138,$B$8,1),OFFSET($M$15,0,0,$B$8,1))=EW$13), 1*(_xlfn._xlws.FILTER(OFFSET($O$15,0,$DO138,$B$8,1),OFFSET($M$15,0,0,$B$8,1))=EW$14))   /   SUM(OFFSET($BO$15,0,0,$B$14,1)) + $B$18/($B$19*$B$19*($DN138&lt;&gt;$DO138) + $B$19*($DN138=$DO138))</f>
        <v>3.7037037037037035E-4</v>
      </c>
      <c r="EX138" s="10" cm="1">
        <f t="array" aca="1" ref="EX138" ca="1">(1-$B$18)*SUMPRODUCT(OFFSET($BO$15,0,0,$B$14,1), 1*(_xlfn._xlws.FILTER(OFFSET($O$15,0,$DN138,$B$8,1),OFFSET($M$15,0,0,$B$8,1))=EX$13), 1*(_xlfn._xlws.FILTER(OFFSET($O$15,0,$DO138,$B$8,1),OFFSET($M$15,0,0,$B$8,1))=EX$14))   /   SUM(OFFSET($BO$15,0,0,$B$14,1)) + $B$18/($B$19*$B$19*($DN138&lt;&gt;$DO138) + $B$19*($DN138=$DO138))</f>
        <v>3.7037037037037035E-4</v>
      </c>
      <c r="EY138" s="10" cm="1">
        <f t="array" aca="1" ref="EY138" ca="1">(1-$B$18)*SUMPRODUCT(OFFSET($BO$15,0,0,$B$14,1), 1*(_xlfn._xlws.FILTER(OFFSET($O$15,0,$DN138,$B$8,1),OFFSET($M$15,0,0,$B$8,1))=EY$13), 1*(_xlfn._xlws.FILTER(OFFSET($O$15,0,$DO138,$B$8,1),OFFSET($M$15,0,0,$B$8,1))=EY$14))   /   SUM(OFFSET($BO$15,0,0,$B$14,1)) + $B$18/($B$19*$B$19*($DN138&lt;&gt;$DO138) + $B$19*($DN138=$DO138))</f>
        <v>3.7037037037037035E-4</v>
      </c>
      <c r="EZ138" s="10" cm="1">
        <f t="array" aca="1" ref="EZ138" ca="1">(1-$B$18)*SUMPRODUCT(OFFSET($BO$15,0,0,$B$14,1), 1*(_xlfn._xlws.FILTER(OFFSET($O$15,0,$DN138,$B$8,1),OFFSET($M$15,0,0,$B$8,1))=EZ$13), 1*(_xlfn._xlws.FILTER(OFFSET($O$15,0,$DO138,$B$8,1),OFFSET($M$15,0,0,$B$8,1))=EZ$14))   /   SUM(OFFSET($BO$15,0,0,$B$14,1)) + $B$18/($B$19*$B$19*($DN138&lt;&gt;$DO138) + $B$19*($DN138=$DO138))</f>
        <v>3.7037037037037035E-4</v>
      </c>
      <c r="FA138" s="10" cm="1">
        <f t="array" aca="1" ref="FA138" ca="1">(1-$B$18)*SUMPRODUCT(OFFSET($BO$15,0,0,$B$14,1), 1*(_xlfn._xlws.FILTER(OFFSET($O$15,0,$DN138,$B$8,1),OFFSET($M$15,0,0,$B$8,1))=FA$13), 1*(_xlfn._xlws.FILTER(OFFSET($O$15,0,$DO138,$B$8,1),OFFSET($M$15,0,0,$B$8,1))=FA$14))   /   SUM(OFFSET($BO$15,0,0,$B$14,1)) + $B$18/($B$19*$B$19*($DN138&lt;&gt;$DO138) + $B$19*($DN138=$DO138))</f>
        <v>3.7037037037037035E-4</v>
      </c>
      <c r="FB138" s="10" cm="1">
        <f t="array" aca="1" ref="FB138" ca="1">(1-$B$18)*SUMPRODUCT(OFFSET($BO$15,0,0,$B$14,1), 1*(_xlfn._xlws.FILTER(OFFSET($O$15,0,$DN138,$B$8,1),OFFSET($M$15,0,0,$B$8,1))=FB$13), 1*(_xlfn._xlws.FILTER(OFFSET($O$15,0,$DO138,$B$8,1),OFFSET($M$15,0,0,$B$8,1))=FB$14))   /   SUM(OFFSET($BO$15,0,0,$B$14,1)) + $B$18/($B$19*$B$19*($DN138&lt;&gt;$DO138) + $B$19*($DN138=$DO138))</f>
        <v>3.7037037037037035E-4</v>
      </c>
      <c r="FC138" s="10" cm="1">
        <f t="array" aca="1" ref="FC138" ca="1">(1-$B$18)*SUMPRODUCT(OFFSET($BO$15,0,0,$B$14,1), 1*(_xlfn._xlws.FILTER(OFFSET($O$15,0,$DN138,$B$8,1),OFFSET($M$15,0,0,$B$8,1))=FC$13), 1*(_xlfn._xlws.FILTER(OFFSET($O$15,0,$DO138,$B$8,1),OFFSET($M$15,0,0,$B$8,1))=FC$14))   /   SUM(OFFSET($BO$15,0,0,$B$14,1)) + $B$18/($B$19*$B$19*($DN138&lt;&gt;$DO138) + $B$19*($DN138=$DO138))</f>
        <v>3.7037037037037035E-4</v>
      </c>
      <c r="FD138" s="10" cm="1">
        <f t="array" aca="1" ref="FD138" ca="1">(1-$B$18)*SUMPRODUCT(OFFSET($BO$15,0,0,$B$14,1), 1*(_xlfn._xlws.FILTER(OFFSET($O$15,0,$DN138,$B$8,1),OFFSET($M$15,0,0,$B$8,1))=FD$13), 1*(_xlfn._xlws.FILTER(OFFSET($O$15,0,$DO138,$B$8,1),OFFSET($M$15,0,0,$B$8,1))=FD$14))   /   SUM(OFFSET($BO$15,0,0,$B$14,1)) + $B$18/($B$19*$B$19*($DN138&lt;&gt;$DO138) + $B$19*($DN138=$DO138))</f>
        <v>3.7037037037037035E-4</v>
      </c>
      <c r="FE138" s="10" cm="1">
        <f t="array" aca="1" ref="FE138" ca="1">(1-$B$18)*SUMPRODUCT(OFFSET($BO$15,0,0,$B$14,1), 1*(_xlfn._xlws.FILTER(OFFSET($O$15,0,$DN138,$B$8,1),OFFSET($M$15,0,0,$B$8,1))=FE$13), 1*(_xlfn._xlws.FILTER(OFFSET($O$15,0,$DO138,$B$8,1),OFFSET($M$15,0,0,$B$8,1))=FE$14))   /   SUM(OFFSET($BO$15,0,0,$B$14,1)) + $B$18/($B$19*$B$19*($DN138&lt;&gt;$DO138) + $B$19*($DN138=$DO138))</f>
        <v>3.7037037037037035E-4</v>
      </c>
      <c r="FF138" s="10" cm="1">
        <f t="array" aca="1" ref="FF138" ca="1">(1-$B$18)*SUMPRODUCT(OFFSET($BO$15,0,0,$B$14,1), 1*(_xlfn._xlws.FILTER(OFFSET($O$15,0,$DN138,$B$8,1),OFFSET($M$15,0,0,$B$8,1))=FF$13), 1*(_xlfn._xlws.FILTER(OFFSET($O$15,0,$DO138,$B$8,1),OFFSET($M$15,0,0,$B$8,1))=FF$14))   /   SUM(OFFSET($BO$15,0,0,$B$14,1)) + $B$18/($B$19*$B$19*($DN138&lt;&gt;$DO138) + $B$19*($DN138=$DO138))</f>
        <v>3.7037037037037035E-4</v>
      </c>
      <c r="FG138" s="10" cm="1">
        <f t="array" aca="1" ref="FG138" ca="1">(1-$B$18)*SUMPRODUCT(OFFSET($BO$15,0,0,$B$14,1), 1*(_xlfn._xlws.FILTER(OFFSET($O$15,0,$DN138,$B$8,1),OFFSET($M$15,0,0,$B$8,1))=FG$13), 1*(_xlfn._xlws.FILTER(OFFSET($O$15,0,$DO138,$B$8,1),OFFSET($M$15,0,0,$B$8,1))=FG$14))   /   SUM(OFFSET($BO$15,0,0,$B$14,1)) + $B$18/($B$19*$B$19*($DN138&lt;&gt;$DO138) + $B$19*($DN138=$DO138))</f>
        <v>3.7037037037037035E-4</v>
      </c>
      <c r="FH138" s="10" cm="1">
        <f t="array" aca="1" ref="FH138" ca="1">(1-$B$18)*SUMPRODUCT(OFFSET($BO$15,0,0,$B$14,1), 1*(_xlfn._xlws.FILTER(OFFSET($O$15,0,$DN138,$B$8,1),OFFSET($M$15,0,0,$B$8,1))=FH$13), 1*(_xlfn._xlws.FILTER(OFFSET($O$15,0,$DO138,$B$8,1),OFFSET($M$15,0,0,$B$8,1))=FH$14))   /   SUM(OFFSET($BO$15,0,0,$B$14,1)) + $B$18/($B$19*$B$19*($DN138&lt;&gt;$DO138) + $B$19*($DN138=$DO138))</f>
        <v>3.7037037037037035E-4</v>
      </c>
      <c r="FI138" s="10" cm="1">
        <f t="array" aca="1" ref="FI138" ca="1">(1-$B$18)*SUMPRODUCT(OFFSET($BO$15,0,0,$B$14,1), 1*(_xlfn._xlws.FILTER(OFFSET($O$15,0,$DN138,$B$8,1),OFFSET($M$15,0,0,$B$8,1))=FI$13), 1*(_xlfn._xlws.FILTER(OFFSET($O$15,0,$DO138,$B$8,1),OFFSET($M$15,0,0,$B$8,1))=FI$14))   /   SUM(OFFSET($BO$15,0,0,$B$14,1)) + $B$18/($B$19*$B$19*($DN138&lt;&gt;$DO138) + $B$19*($DN138=$DO138))</f>
        <v>3.7037037037037035E-4</v>
      </c>
      <c r="FJ138" s="10" cm="1">
        <f t="array" aca="1" ref="FJ138" ca="1">(1-$B$18)*SUMPRODUCT(OFFSET($BO$15,0,0,$B$14,1), 1*(_xlfn._xlws.FILTER(OFFSET($O$15,0,$DN138,$B$8,1),OFFSET($M$15,0,0,$B$8,1))=FJ$13), 1*(_xlfn._xlws.FILTER(OFFSET($O$15,0,$DO138,$B$8,1),OFFSET($M$15,0,0,$B$8,1))=FJ$14))   /   SUM(OFFSET($BO$15,0,0,$B$14,1)) + $B$18/($B$19*$B$19*($DN138&lt;&gt;$DO138) + $B$19*($DN138=$DO138))</f>
        <v>3.7037037037037035E-4</v>
      </c>
      <c r="FK138" s="10" cm="1">
        <f t="array" aca="1" ref="FK138" ca="1">(1-$B$18)*SUMPRODUCT(OFFSET($BO$15,0,0,$B$14,1), 1*(_xlfn._xlws.FILTER(OFFSET($O$15,0,$DN138,$B$8,1),OFFSET($M$15,0,0,$B$8,1))=FK$13), 1*(_xlfn._xlws.FILTER(OFFSET($O$15,0,$DO138,$B$8,1),OFFSET($M$15,0,0,$B$8,1))=FK$14))   /   SUM(OFFSET($BO$15,0,0,$B$14,1)) + $B$18/($B$19*$B$19*($DN138&lt;&gt;$DO138) + $B$19*($DN138=$DO138))</f>
        <v>3.7037037037037035E-4</v>
      </c>
      <c r="FL138" s="10" cm="1">
        <f t="array" aca="1" ref="FL138" ca="1">(1-$B$18)*SUMPRODUCT(OFFSET($BO$15,0,0,$B$14,1), 1*(_xlfn._xlws.FILTER(OFFSET($O$15,0,$DN138,$B$8,1),OFFSET($M$15,0,0,$B$8,1))=FL$13), 1*(_xlfn._xlws.FILTER(OFFSET($O$15,0,$DO138,$B$8,1),OFFSET($M$15,0,0,$B$8,1))=FL$14))   /   SUM(OFFSET($BO$15,0,0,$B$14,1)) + $B$18/($B$19*$B$19*($DN138&lt;&gt;$DO138) + $B$19*($DN138=$DO138))</f>
        <v>3.7037037037037035E-4</v>
      </c>
      <c r="FM138" s="10" cm="1">
        <f t="array" aca="1" ref="FM138" ca="1">(1-$B$18)*SUMPRODUCT(OFFSET($BO$15,0,0,$B$14,1), 1*(_xlfn._xlws.FILTER(OFFSET($O$15,0,$DN138,$B$8,1),OFFSET($M$15,0,0,$B$8,1))=FM$13), 1*(_xlfn._xlws.FILTER(OFFSET($O$15,0,$DO138,$B$8,1),OFFSET($M$15,0,0,$B$8,1))=FM$14))   /   SUM(OFFSET($BO$15,0,0,$B$14,1)) + $B$18/($B$19*$B$19*($DN138&lt;&gt;$DO138) + $B$19*($DN138=$DO138))</f>
        <v>3.7037037037037035E-4</v>
      </c>
      <c r="FN138" s="10" cm="1">
        <f t="array" aca="1" ref="FN138" ca="1">(1-$B$18)*SUMPRODUCT(OFFSET($BO$15,0,0,$B$14,1), 1*(_xlfn._xlws.FILTER(OFFSET($O$15,0,$DN138,$B$8,1),OFFSET($M$15,0,0,$B$8,1))=FN$13), 1*(_xlfn._xlws.FILTER(OFFSET($O$15,0,$DO138,$B$8,1),OFFSET($M$15,0,0,$B$8,1))=FN$14))   /   SUM(OFFSET($BO$15,0,0,$B$14,1)) + $B$18/($B$19*$B$19*($DN138&lt;&gt;$DO138) + $B$19*($DN138=$DO138))</f>
        <v>3.7037037037037035E-4</v>
      </c>
      <c r="FO138" s="10" cm="1">
        <f t="array" aca="1" ref="FO138" ca="1">(1-$B$18)*SUMPRODUCT(OFFSET($BO$15,0,0,$B$14,1), 1*(_xlfn._xlws.FILTER(OFFSET($O$15,0,$DN138,$B$8,1),OFFSET($M$15,0,0,$B$8,1))=FO$13), 1*(_xlfn._xlws.FILTER(OFFSET($O$15,0,$DO138,$B$8,1),OFFSET($M$15,0,0,$B$8,1))=FO$14))   /   SUM(OFFSET($BO$15,0,0,$B$14,1)) + $B$18/($B$19*$B$19*($DN138&lt;&gt;$DO138) + $B$19*($DN138=$DO138))</f>
        <v>3.7037037037037035E-4</v>
      </c>
      <c r="FP138" s="10" cm="1">
        <f t="array" aca="1" ref="FP138" ca="1">(1-$B$18)*SUMPRODUCT(OFFSET($BO$15,0,0,$B$14,1), 1*(_xlfn._xlws.FILTER(OFFSET($O$15,0,$DN138,$B$8,1),OFFSET($M$15,0,0,$B$8,1))=FP$13), 1*(_xlfn._xlws.FILTER(OFFSET($O$15,0,$DO138,$B$8,1),OFFSET($M$15,0,0,$B$8,1))=FP$14))   /   SUM(OFFSET($BO$15,0,0,$B$14,1)) + $B$18/($B$19*$B$19*($DN138&lt;&gt;$DO138) + $B$19*($DN138=$DO138))</f>
        <v>3.7037037037037035E-4</v>
      </c>
      <c r="FQ138" s="10" cm="1">
        <f t="array" aca="1" ref="FQ138" ca="1">(1-$B$18)*SUMPRODUCT(OFFSET($BO$15,0,0,$B$14,1), 1*(_xlfn._xlws.FILTER(OFFSET($O$15,0,$DN138,$B$8,1),OFFSET($M$15,0,0,$B$8,1))=FQ$13), 1*(_xlfn._xlws.FILTER(OFFSET($O$15,0,$DO138,$B$8,1),OFFSET($M$15,0,0,$B$8,1))=FQ$14))   /   SUM(OFFSET($BO$15,0,0,$B$14,1)) + $B$18/($B$19*$B$19*($DN138&lt;&gt;$DO138) + $B$19*($DN138=$DO138))</f>
        <v>3.7037037037037035E-4</v>
      </c>
      <c r="FR138" s="10" cm="1">
        <f t="array" aca="1" ref="FR138" ca="1">(1-$B$18)*SUMPRODUCT(OFFSET($BO$15,0,0,$B$14,1), 1*(_xlfn._xlws.FILTER(OFFSET($O$15,0,$DN138,$B$8,1),OFFSET($M$15,0,0,$B$8,1))=FR$13), 1*(_xlfn._xlws.FILTER(OFFSET($O$15,0,$DO138,$B$8,1),OFFSET($M$15,0,0,$B$8,1))=FR$14))   /   SUM(OFFSET($BO$15,0,0,$B$14,1)) + $B$18/($B$19*$B$19*($DN138&lt;&gt;$DO138) + $B$19*($DN138=$DO138))</f>
        <v>0.97037037037037033</v>
      </c>
      <c r="FS138" s="10" cm="1">
        <f t="array" aca="1" ref="FS138" ca="1">(1-$B$18)*SUMPRODUCT(OFFSET($BO$15,0,0,$B$14,1), 1*(_xlfn._xlws.FILTER(OFFSET($O$15,0,$DN138,$B$8,1),OFFSET($M$15,0,0,$B$8,1))=FS$13), 1*(_xlfn._xlws.FILTER(OFFSET($O$15,0,$DO138,$B$8,1),OFFSET($M$15,0,0,$B$8,1))=FS$14))   /   SUM(OFFSET($BO$15,0,0,$B$14,1)) + $B$18/($B$19*$B$19*($DN138&lt;&gt;$DO138) + $B$19*($DN138=$DO138))</f>
        <v>3.7037037037037035E-4</v>
      </c>
      <c r="FT138" s="10" cm="1">
        <f t="array" aca="1" ref="FT138" ca="1">(1-$B$18)*SUMPRODUCT(OFFSET($BO$15,0,0,$B$14,1), 1*(_xlfn._xlws.FILTER(OFFSET($O$15,0,$DN138,$B$8,1),OFFSET($M$15,0,0,$B$8,1))=FT$13), 1*(_xlfn._xlws.FILTER(OFFSET($O$15,0,$DO138,$B$8,1),OFFSET($M$15,0,0,$B$8,1))=FT$14))   /   SUM(OFFSET($BO$15,0,0,$B$14,1)) + $B$18/($B$19*$B$19*($DN138&lt;&gt;$DO138) + $B$19*($DN138=$DO138))</f>
        <v>3.7037037037037035E-4</v>
      </c>
      <c r="FU138" s="10" cm="1">
        <f t="array" aca="1" ref="FU138" ca="1">(1-$B$18)*SUMPRODUCT(OFFSET($BO$15,0,0,$B$14,1), 1*(_xlfn._xlws.FILTER(OFFSET($O$15,0,$DN138,$B$8,1),OFFSET($M$15,0,0,$B$8,1))=FU$13), 1*(_xlfn._xlws.FILTER(OFFSET($O$15,0,$DO138,$B$8,1),OFFSET($M$15,0,0,$B$8,1))=FU$14))   /   SUM(OFFSET($BO$15,0,0,$B$14,1)) + $B$18/($B$19*$B$19*($DN138&lt;&gt;$DO138) + $B$19*($DN138=$DO138))</f>
        <v>3.7037037037037035E-4</v>
      </c>
      <c r="FV138" s="10" cm="1">
        <f t="array" aca="1" ref="FV138" ca="1">(1-$B$18)*SUMPRODUCT(OFFSET($BO$15,0,0,$B$14,1), 1*(_xlfn._xlws.FILTER(OFFSET($O$15,0,$DN138,$B$8,1),OFFSET($M$15,0,0,$B$8,1))=FV$13), 1*(_xlfn._xlws.FILTER(OFFSET($O$15,0,$DO138,$B$8,1),OFFSET($M$15,0,0,$B$8,1))=FV$14))   /   SUM(OFFSET($BO$15,0,0,$B$14,1)) + $B$18/($B$19*$B$19*($DN138&lt;&gt;$DO138) + $B$19*($DN138=$DO138))</f>
        <v>3.7037037037037035E-4</v>
      </c>
      <c r="FW138" s="10" cm="1">
        <f t="array" aca="1" ref="FW138" ca="1">(1-$B$18)*SUMPRODUCT(OFFSET($BO$15,0,0,$B$14,1), 1*(_xlfn._xlws.FILTER(OFFSET($O$15,0,$DN138,$B$8,1),OFFSET($M$15,0,0,$B$8,1))=FW$13), 1*(_xlfn._xlws.FILTER(OFFSET($O$15,0,$DO138,$B$8,1),OFFSET($M$15,0,0,$B$8,1))=FW$14))   /   SUM(OFFSET($BO$15,0,0,$B$14,1)) + $B$18/($B$19*$B$19*($DN138&lt;&gt;$DO138) + $B$19*($DN138=$DO138))</f>
        <v>3.7037037037037035E-4</v>
      </c>
      <c r="FX138" s="10" cm="1">
        <f t="array" aca="1" ref="FX138" ca="1">(1-$B$18)*SUMPRODUCT(OFFSET($BO$15,0,0,$B$14,1), 1*(_xlfn._xlws.FILTER(OFFSET($O$15,0,$DN138,$B$8,1),OFFSET($M$15,0,0,$B$8,1))=FX$13), 1*(_xlfn._xlws.FILTER(OFFSET($O$15,0,$DO138,$B$8,1),OFFSET($M$15,0,0,$B$8,1))=FX$14))   /   SUM(OFFSET($BO$15,0,0,$B$14,1)) + $B$18/($B$19*$B$19*($DN138&lt;&gt;$DO138) + $B$19*($DN138=$DO138))</f>
        <v>3.7037037037037035E-4</v>
      </c>
      <c r="FY138" s="10" cm="1">
        <f t="array" aca="1" ref="FY138" ca="1">(1-$B$18)*SUMPRODUCT(OFFSET($BO$15,0,0,$B$14,1), 1*(_xlfn._xlws.FILTER(OFFSET($O$15,0,$DN138,$B$8,1),OFFSET($M$15,0,0,$B$8,1))=FY$13), 1*(_xlfn._xlws.FILTER(OFFSET($O$15,0,$DO138,$B$8,1),OFFSET($M$15,0,0,$B$8,1))=FY$14))   /   SUM(OFFSET($BO$15,0,0,$B$14,1)) + $B$18/($B$19*$B$19*($DN138&lt;&gt;$DO138) + $B$19*($DN138=$DO138))</f>
        <v>3.7037037037037035E-4</v>
      </c>
      <c r="FZ138" s="10" cm="1">
        <f t="array" aca="1" ref="FZ138" ca="1">(1-$B$18)*SUMPRODUCT(OFFSET($BO$15,0,0,$B$14,1), 1*(_xlfn._xlws.FILTER(OFFSET($O$15,0,$DN138,$B$8,1),OFFSET($M$15,0,0,$B$8,1))=FZ$13), 1*(_xlfn._xlws.FILTER(OFFSET($O$15,0,$DO138,$B$8,1),OFFSET($M$15,0,0,$B$8,1))=FZ$14))   /   SUM(OFFSET($BO$15,0,0,$B$14,1)) + $B$18/($B$19*$B$19*($DN138&lt;&gt;$DO138) + $B$19*($DN138=$DO138))</f>
        <v>3.7037037037037035E-4</v>
      </c>
      <c r="GA138" s="10" cm="1">
        <f t="array" aca="1" ref="GA138" ca="1">(1-$B$18)*SUMPRODUCT(OFFSET($BO$15,0,0,$B$14,1), 1*(_xlfn._xlws.FILTER(OFFSET($O$15,0,$DN138,$B$8,1),OFFSET($M$15,0,0,$B$8,1))=GA$13), 1*(_xlfn._xlws.FILTER(OFFSET($O$15,0,$DO138,$B$8,1),OFFSET($M$15,0,0,$B$8,1))=GA$14))   /   SUM(OFFSET($BO$15,0,0,$B$14,1)) + $B$18/($B$19*$B$19*($DN138&lt;&gt;$DO138) + $B$19*($DN138=$DO138))</f>
        <v>3.7037037037037035E-4</v>
      </c>
    </row>
    <row r="139" spans="7:183" x14ac:dyDescent="0.2">
      <c r="G139" s="2"/>
      <c r="H139" s="2"/>
      <c r="AH139" s="2"/>
      <c r="AI139" s="2"/>
      <c r="DN139" cm="1">
        <f t="array" aca="1" ref="DN139" ca="1">INDEX(_xlfn.ANCHORARRAY($CP$15), 1 + INT((ROWS($DO$15:$DO139) - 1) / ROWS(_xlfn.ANCHORARRAY($CP$15))))</f>
        <v>6</v>
      </c>
      <c r="DO139" cm="1">
        <f t="array" aca="1" ref="DO139" ca="1">INDEX(_xlfn.ANCHORARRAY($CP$15),1+MOD(ROWS($DO$15:$DO139)-1,ROWS(_xlfn.ANCHORARRAY($CP$15))))</f>
        <v>11</v>
      </c>
      <c r="DP139" s="10" cm="1">
        <f t="array" aca="1" ref="DP139" ca="1">(1-$B$18)*SUMPRODUCT(OFFSET($BO$15,0,0,$B$14,1), 1*(_xlfn._xlws.FILTER(OFFSET($O$15,0,$DN139,$B$8,1),OFFSET($M$15,0,0,$B$8,1))=DP$13), 1*(_xlfn._xlws.FILTER(OFFSET($O$15,0,$DO139,$B$8,1),OFFSET($M$15,0,0,$B$8,1))=DP$14))   /   SUM(OFFSET($BO$15,0,0,$B$14,1)) + $B$18/($B$19*$B$19*($DN139&lt;&gt;$DO139) + $B$19*($DN139=$DO139))</f>
        <v>3.7037037037037035E-4</v>
      </c>
      <c r="DQ139" s="10" cm="1">
        <f t="array" aca="1" ref="DQ139" ca="1">(1-$B$18)*SUMPRODUCT(OFFSET($BO$15,0,0,$B$14,1), 1*(_xlfn._xlws.FILTER(OFFSET($O$15,0,$DN139,$B$8,1),OFFSET($M$15,0,0,$B$8,1))=DQ$13), 1*(_xlfn._xlws.FILTER(OFFSET($O$15,0,$DO139,$B$8,1),OFFSET($M$15,0,0,$B$8,1))=DQ$14))   /   SUM(OFFSET($BO$15,0,0,$B$14,1)) + $B$18/($B$19*$B$19*($DN139&lt;&gt;$DO139) + $B$19*($DN139=$DO139))</f>
        <v>3.7037037037037035E-4</v>
      </c>
      <c r="DR139" s="10" cm="1">
        <f t="array" aca="1" ref="DR139" ca="1">(1-$B$18)*SUMPRODUCT(OFFSET($BO$15,0,0,$B$14,1), 1*(_xlfn._xlws.FILTER(OFFSET($O$15,0,$DN139,$B$8,1),OFFSET($M$15,0,0,$B$8,1))=DR$13), 1*(_xlfn._xlws.FILTER(OFFSET($O$15,0,$DO139,$B$8,1),OFFSET($M$15,0,0,$B$8,1))=DR$14))   /   SUM(OFFSET($BO$15,0,0,$B$14,1)) + $B$18/($B$19*$B$19*($DN139&lt;&gt;$DO139) + $B$19*($DN139=$DO139))</f>
        <v>3.7037037037037035E-4</v>
      </c>
      <c r="DS139" s="10" cm="1">
        <f t="array" aca="1" ref="DS139" ca="1">(1-$B$18)*SUMPRODUCT(OFFSET($BO$15,0,0,$B$14,1), 1*(_xlfn._xlws.FILTER(OFFSET($O$15,0,$DN139,$B$8,1),OFFSET($M$15,0,0,$B$8,1))=DS$13), 1*(_xlfn._xlws.FILTER(OFFSET($O$15,0,$DO139,$B$8,1),OFFSET($M$15,0,0,$B$8,1))=DS$14))   /   SUM(OFFSET($BO$15,0,0,$B$14,1)) + $B$18/($B$19*$B$19*($DN139&lt;&gt;$DO139) + $B$19*($DN139=$DO139))</f>
        <v>3.7037037037037035E-4</v>
      </c>
      <c r="DT139" s="10" cm="1">
        <f t="array" aca="1" ref="DT139" ca="1">(1-$B$18)*SUMPRODUCT(OFFSET($BO$15,0,0,$B$14,1), 1*(_xlfn._xlws.FILTER(OFFSET($O$15,0,$DN139,$B$8,1),OFFSET($M$15,0,0,$B$8,1))=DT$13), 1*(_xlfn._xlws.FILTER(OFFSET($O$15,0,$DO139,$B$8,1),OFFSET($M$15,0,0,$B$8,1))=DT$14))   /   SUM(OFFSET($BO$15,0,0,$B$14,1)) + $B$18/($B$19*$B$19*($DN139&lt;&gt;$DO139) + $B$19*($DN139=$DO139))</f>
        <v>3.7037037037037035E-4</v>
      </c>
      <c r="DU139" s="10" cm="1">
        <f t="array" aca="1" ref="DU139" ca="1">(1-$B$18)*SUMPRODUCT(OFFSET($BO$15,0,0,$B$14,1), 1*(_xlfn._xlws.FILTER(OFFSET($O$15,0,$DN139,$B$8,1),OFFSET($M$15,0,0,$B$8,1))=DU$13), 1*(_xlfn._xlws.FILTER(OFFSET($O$15,0,$DO139,$B$8,1),OFFSET($M$15,0,0,$B$8,1))=DU$14))   /   SUM(OFFSET($BO$15,0,0,$B$14,1)) + $B$18/($B$19*$B$19*($DN139&lt;&gt;$DO139) + $B$19*($DN139=$DO139))</f>
        <v>3.7037037037037035E-4</v>
      </c>
      <c r="DV139" s="10" cm="1">
        <f t="array" aca="1" ref="DV139" ca="1">(1-$B$18)*SUMPRODUCT(OFFSET($BO$15,0,0,$B$14,1), 1*(_xlfn._xlws.FILTER(OFFSET($O$15,0,$DN139,$B$8,1),OFFSET($M$15,0,0,$B$8,1))=DV$13), 1*(_xlfn._xlws.FILTER(OFFSET($O$15,0,$DO139,$B$8,1),OFFSET($M$15,0,0,$B$8,1))=DV$14))   /   SUM(OFFSET($BO$15,0,0,$B$14,1)) + $B$18/($B$19*$B$19*($DN139&lt;&gt;$DO139) + $B$19*($DN139=$DO139))</f>
        <v>3.7037037037037035E-4</v>
      </c>
      <c r="DW139" s="10" cm="1">
        <f t="array" aca="1" ref="DW139" ca="1">(1-$B$18)*SUMPRODUCT(OFFSET($BO$15,0,0,$B$14,1), 1*(_xlfn._xlws.FILTER(OFFSET($O$15,0,$DN139,$B$8,1),OFFSET($M$15,0,0,$B$8,1))=DW$13), 1*(_xlfn._xlws.FILTER(OFFSET($O$15,0,$DO139,$B$8,1),OFFSET($M$15,0,0,$B$8,1))=DW$14))   /   SUM(OFFSET($BO$15,0,0,$B$14,1)) + $B$18/($B$19*$B$19*($DN139&lt;&gt;$DO139) + $B$19*($DN139=$DO139))</f>
        <v>3.7037037037037035E-4</v>
      </c>
      <c r="DX139" s="10" cm="1">
        <f t="array" aca="1" ref="DX139" ca="1">(1-$B$18)*SUMPRODUCT(OFFSET($BO$15,0,0,$B$14,1), 1*(_xlfn._xlws.FILTER(OFFSET($O$15,0,$DN139,$B$8,1),OFFSET($M$15,0,0,$B$8,1))=DX$13), 1*(_xlfn._xlws.FILTER(OFFSET($O$15,0,$DO139,$B$8,1),OFFSET($M$15,0,0,$B$8,1))=DX$14))   /   SUM(OFFSET($BO$15,0,0,$B$14,1)) + $B$18/($B$19*$B$19*($DN139&lt;&gt;$DO139) + $B$19*($DN139=$DO139))</f>
        <v>3.7037037037037035E-4</v>
      </c>
      <c r="DY139" s="10" cm="1">
        <f t="array" aca="1" ref="DY139" ca="1">(1-$B$18)*SUMPRODUCT(OFFSET($BO$15,0,0,$B$14,1), 1*(_xlfn._xlws.FILTER(OFFSET($O$15,0,$DN139,$B$8,1),OFFSET($M$15,0,0,$B$8,1))=DY$13), 1*(_xlfn._xlws.FILTER(OFFSET($O$15,0,$DO139,$B$8,1),OFFSET($M$15,0,0,$B$8,1))=DY$14))   /   SUM(OFFSET($BO$15,0,0,$B$14,1)) + $B$18/($B$19*$B$19*($DN139&lt;&gt;$DO139) + $B$19*($DN139=$DO139))</f>
        <v>3.7037037037037035E-4</v>
      </c>
      <c r="DZ139" s="10" cm="1">
        <f t="array" aca="1" ref="DZ139" ca="1">(1-$B$18)*SUMPRODUCT(OFFSET($BO$15,0,0,$B$14,1), 1*(_xlfn._xlws.FILTER(OFFSET($O$15,0,$DN139,$B$8,1),OFFSET($M$15,0,0,$B$8,1))=DZ$13), 1*(_xlfn._xlws.FILTER(OFFSET($O$15,0,$DO139,$B$8,1),OFFSET($M$15,0,0,$B$8,1))=DZ$14))   /   SUM(OFFSET($BO$15,0,0,$B$14,1)) + $B$18/($B$19*$B$19*($DN139&lt;&gt;$DO139) + $B$19*($DN139=$DO139))</f>
        <v>3.7037037037037035E-4</v>
      </c>
      <c r="EA139" s="10" cm="1">
        <f t="array" aca="1" ref="EA139" ca="1">(1-$B$18)*SUMPRODUCT(OFFSET($BO$15,0,0,$B$14,1), 1*(_xlfn._xlws.FILTER(OFFSET($O$15,0,$DN139,$B$8,1),OFFSET($M$15,0,0,$B$8,1))=EA$13), 1*(_xlfn._xlws.FILTER(OFFSET($O$15,0,$DO139,$B$8,1),OFFSET($M$15,0,0,$B$8,1))=EA$14))   /   SUM(OFFSET($BO$15,0,0,$B$14,1)) + $B$18/($B$19*$B$19*($DN139&lt;&gt;$DO139) + $B$19*($DN139=$DO139))</f>
        <v>3.7037037037037035E-4</v>
      </c>
      <c r="EB139" s="10" cm="1">
        <f t="array" aca="1" ref="EB139" ca="1">(1-$B$18)*SUMPRODUCT(OFFSET($BO$15,0,0,$B$14,1), 1*(_xlfn._xlws.FILTER(OFFSET($O$15,0,$DN139,$B$8,1),OFFSET($M$15,0,0,$B$8,1))=EB$13), 1*(_xlfn._xlws.FILTER(OFFSET($O$15,0,$DO139,$B$8,1),OFFSET($M$15,0,0,$B$8,1))=EB$14))   /   SUM(OFFSET($BO$15,0,0,$B$14,1)) + $B$18/($B$19*$B$19*($DN139&lt;&gt;$DO139) + $B$19*($DN139=$DO139))</f>
        <v>3.7037037037037035E-4</v>
      </c>
      <c r="EC139" s="10" cm="1">
        <f t="array" aca="1" ref="EC139" ca="1">(1-$B$18)*SUMPRODUCT(OFFSET($BO$15,0,0,$B$14,1), 1*(_xlfn._xlws.FILTER(OFFSET($O$15,0,$DN139,$B$8,1),OFFSET($M$15,0,0,$B$8,1))=EC$13), 1*(_xlfn._xlws.FILTER(OFFSET($O$15,0,$DO139,$B$8,1),OFFSET($M$15,0,0,$B$8,1))=EC$14))   /   SUM(OFFSET($BO$15,0,0,$B$14,1)) + $B$18/($B$19*$B$19*($DN139&lt;&gt;$DO139) + $B$19*($DN139=$DO139))</f>
        <v>3.7037037037037035E-4</v>
      </c>
      <c r="ED139" s="10" cm="1">
        <f t="array" aca="1" ref="ED139" ca="1">(1-$B$18)*SUMPRODUCT(OFFSET($BO$15,0,0,$B$14,1), 1*(_xlfn._xlws.FILTER(OFFSET($O$15,0,$DN139,$B$8,1),OFFSET($M$15,0,0,$B$8,1))=ED$13), 1*(_xlfn._xlws.FILTER(OFFSET($O$15,0,$DO139,$B$8,1),OFFSET($M$15,0,0,$B$8,1))=ED$14))   /   SUM(OFFSET($BO$15,0,0,$B$14,1)) + $B$18/($B$19*$B$19*($DN139&lt;&gt;$DO139) + $B$19*($DN139=$DO139))</f>
        <v>3.7037037037037035E-4</v>
      </c>
      <c r="EE139" s="10" cm="1">
        <f t="array" aca="1" ref="EE139" ca="1">(1-$B$18)*SUMPRODUCT(OFFSET($BO$15,0,0,$B$14,1), 1*(_xlfn._xlws.FILTER(OFFSET($O$15,0,$DN139,$B$8,1),OFFSET($M$15,0,0,$B$8,1))=EE$13), 1*(_xlfn._xlws.FILTER(OFFSET($O$15,0,$DO139,$B$8,1),OFFSET($M$15,0,0,$B$8,1))=EE$14))   /   SUM(OFFSET($BO$15,0,0,$B$14,1)) + $B$18/($B$19*$B$19*($DN139&lt;&gt;$DO139) + $B$19*($DN139=$DO139))</f>
        <v>3.7037037037037035E-4</v>
      </c>
      <c r="EF139" s="10" cm="1">
        <f t="array" aca="1" ref="EF139" ca="1">(1-$B$18)*SUMPRODUCT(OFFSET($BO$15,0,0,$B$14,1), 1*(_xlfn._xlws.FILTER(OFFSET($O$15,0,$DN139,$B$8,1),OFFSET($M$15,0,0,$B$8,1))=EF$13), 1*(_xlfn._xlws.FILTER(OFFSET($O$15,0,$DO139,$B$8,1),OFFSET($M$15,0,0,$B$8,1))=EF$14))   /   SUM(OFFSET($BO$15,0,0,$B$14,1)) + $B$18/($B$19*$B$19*($DN139&lt;&gt;$DO139) + $B$19*($DN139=$DO139))</f>
        <v>3.7037037037037035E-4</v>
      </c>
      <c r="EG139" s="10" cm="1">
        <f t="array" aca="1" ref="EG139" ca="1">(1-$B$18)*SUMPRODUCT(OFFSET($BO$15,0,0,$B$14,1), 1*(_xlfn._xlws.FILTER(OFFSET($O$15,0,$DN139,$B$8,1),OFFSET($M$15,0,0,$B$8,1))=EG$13), 1*(_xlfn._xlws.FILTER(OFFSET($O$15,0,$DO139,$B$8,1),OFFSET($M$15,0,0,$B$8,1))=EG$14))   /   SUM(OFFSET($BO$15,0,0,$B$14,1)) + $B$18/($B$19*$B$19*($DN139&lt;&gt;$DO139) + $B$19*($DN139=$DO139))</f>
        <v>3.7037037037037035E-4</v>
      </c>
      <c r="EH139" s="10" cm="1">
        <f t="array" aca="1" ref="EH139" ca="1">(1-$B$18)*SUMPRODUCT(OFFSET($BO$15,0,0,$B$14,1), 1*(_xlfn._xlws.FILTER(OFFSET($O$15,0,$DN139,$B$8,1),OFFSET($M$15,0,0,$B$8,1))=EH$13), 1*(_xlfn._xlws.FILTER(OFFSET($O$15,0,$DO139,$B$8,1),OFFSET($M$15,0,0,$B$8,1))=EH$14))   /   SUM(OFFSET($BO$15,0,0,$B$14,1)) + $B$18/($B$19*$B$19*($DN139&lt;&gt;$DO139) + $B$19*($DN139=$DO139))</f>
        <v>3.7037037037037035E-4</v>
      </c>
      <c r="EI139" s="10" cm="1">
        <f t="array" aca="1" ref="EI139" ca="1">(1-$B$18)*SUMPRODUCT(OFFSET($BO$15,0,0,$B$14,1), 1*(_xlfn._xlws.FILTER(OFFSET($O$15,0,$DN139,$B$8,1),OFFSET($M$15,0,0,$B$8,1))=EI$13), 1*(_xlfn._xlws.FILTER(OFFSET($O$15,0,$DO139,$B$8,1),OFFSET($M$15,0,0,$B$8,1))=EI$14))   /   SUM(OFFSET($BO$15,0,0,$B$14,1)) + $B$18/($B$19*$B$19*($DN139&lt;&gt;$DO139) + $B$19*($DN139=$DO139))</f>
        <v>3.7037037037037035E-4</v>
      </c>
      <c r="EJ139" s="10" cm="1">
        <f t="array" aca="1" ref="EJ139" ca="1">(1-$B$18)*SUMPRODUCT(OFFSET($BO$15,0,0,$B$14,1), 1*(_xlfn._xlws.FILTER(OFFSET($O$15,0,$DN139,$B$8,1),OFFSET($M$15,0,0,$B$8,1))=EJ$13), 1*(_xlfn._xlws.FILTER(OFFSET($O$15,0,$DO139,$B$8,1),OFFSET($M$15,0,0,$B$8,1))=EJ$14))   /   SUM(OFFSET($BO$15,0,0,$B$14,1)) + $B$18/($B$19*$B$19*($DN139&lt;&gt;$DO139) + $B$19*($DN139=$DO139))</f>
        <v>3.7037037037037035E-4</v>
      </c>
      <c r="EK139" s="10" cm="1">
        <f t="array" aca="1" ref="EK139" ca="1">(1-$B$18)*SUMPRODUCT(OFFSET($BO$15,0,0,$B$14,1), 1*(_xlfn._xlws.FILTER(OFFSET($O$15,0,$DN139,$B$8,1),OFFSET($M$15,0,0,$B$8,1))=EK$13), 1*(_xlfn._xlws.FILTER(OFFSET($O$15,0,$DO139,$B$8,1),OFFSET($M$15,0,0,$B$8,1))=EK$14))   /   SUM(OFFSET($BO$15,0,0,$B$14,1)) + $B$18/($B$19*$B$19*($DN139&lt;&gt;$DO139) + $B$19*($DN139=$DO139))</f>
        <v>3.7037037037037035E-4</v>
      </c>
      <c r="EL139" s="10" cm="1">
        <f t="array" aca="1" ref="EL139" ca="1">(1-$B$18)*SUMPRODUCT(OFFSET($BO$15,0,0,$B$14,1), 1*(_xlfn._xlws.FILTER(OFFSET($O$15,0,$DN139,$B$8,1),OFFSET($M$15,0,0,$B$8,1))=EL$13), 1*(_xlfn._xlws.FILTER(OFFSET($O$15,0,$DO139,$B$8,1),OFFSET($M$15,0,0,$B$8,1))=EL$14))   /   SUM(OFFSET($BO$15,0,0,$B$14,1)) + $B$18/($B$19*$B$19*($DN139&lt;&gt;$DO139) + $B$19*($DN139=$DO139))</f>
        <v>3.7037037037037035E-4</v>
      </c>
      <c r="EM139" s="10" cm="1">
        <f t="array" aca="1" ref="EM139" ca="1">(1-$B$18)*SUMPRODUCT(OFFSET($BO$15,0,0,$B$14,1), 1*(_xlfn._xlws.FILTER(OFFSET($O$15,0,$DN139,$B$8,1),OFFSET($M$15,0,0,$B$8,1))=EM$13), 1*(_xlfn._xlws.FILTER(OFFSET($O$15,0,$DO139,$B$8,1),OFFSET($M$15,0,0,$B$8,1))=EM$14))   /   SUM(OFFSET($BO$15,0,0,$B$14,1)) + $B$18/($B$19*$B$19*($DN139&lt;&gt;$DO139) + $B$19*($DN139=$DO139))</f>
        <v>3.7037037037037035E-4</v>
      </c>
      <c r="EN139" s="10" cm="1">
        <f t="array" aca="1" ref="EN139" ca="1">(1-$B$18)*SUMPRODUCT(OFFSET($BO$15,0,0,$B$14,1), 1*(_xlfn._xlws.FILTER(OFFSET($O$15,0,$DN139,$B$8,1),OFFSET($M$15,0,0,$B$8,1))=EN$13), 1*(_xlfn._xlws.FILTER(OFFSET($O$15,0,$DO139,$B$8,1),OFFSET($M$15,0,0,$B$8,1))=EN$14))   /   SUM(OFFSET($BO$15,0,0,$B$14,1)) + $B$18/($B$19*$B$19*($DN139&lt;&gt;$DO139) + $B$19*($DN139=$DO139))</f>
        <v>3.7037037037037035E-4</v>
      </c>
      <c r="EO139" s="10" cm="1">
        <f t="array" aca="1" ref="EO139" ca="1">(1-$B$18)*SUMPRODUCT(OFFSET($BO$15,0,0,$B$14,1), 1*(_xlfn._xlws.FILTER(OFFSET($O$15,0,$DN139,$B$8,1),OFFSET($M$15,0,0,$B$8,1))=EO$13), 1*(_xlfn._xlws.FILTER(OFFSET($O$15,0,$DO139,$B$8,1),OFFSET($M$15,0,0,$B$8,1))=EO$14))   /   SUM(OFFSET($BO$15,0,0,$B$14,1)) + $B$18/($B$19*$B$19*($DN139&lt;&gt;$DO139) + $B$19*($DN139=$DO139))</f>
        <v>3.7037037037037035E-4</v>
      </c>
      <c r="EP139" s="10" cm="1">
        <f t="array" aca="1" ref="EP139" ca="1">(1-$B$18)*SUMPRODUCT(OFFSET($BO$15,0,0,$B$14,1), 1*(_xlfn._xlws.FILTER(OFFSET($O$15,0,$DN139,$B$8,1),OFFSET($M$15,0,0,$B$8,1))=EP$13), 1*(_xlfn._xlws.FILTER(OFFSET($O$15,0,$DO139,$B$8,1),OFFSET($M$15,0,0,$B$8,1))=EP$14))   /   SUM(OFFSET($BO$15,0,0,$B$14,1)) + $B$18/($B$19*$B$19*($DN139&lt;&gt;$DO139) + $B$19*($DN139=$DO139))</f>
        <v>3.7037037037037035E-4</v>
      </c>
      <c r="EQ139" s="10" cm="1">
        <f t="array" aca="1" ref="EQ139" ca="1">(1-$B$18)*SUMPRODUCT(OFFSET($BO$15,0,0,$B$14,1), 1*(_xlfn._xlws.FILTER(OFFSET($O$15,0,$DN139,$B$8,1),OFFSET($M$15,0,0,$B$8,1))=EQ$13), 1*(_xlfn._xlws.FILTER(OFFSET($O$15,0,$DO139,$B$8,1),OFFSET($M$15,0,0,$B$8,1))=EQ$14))   /   SUM(OFFSET($BO$15,0,0,$B$14,1)) + $B$18/($B$19*$B$19*($DN139&lt;&gt;$DO139) + $B$19*($DN139=$DO139))</f>
        <v>3.7037037037037035E-4</v>
      </c>
      <c r="ER139" s="10" cm="1">
        <f t="array" aca="1" ref="ER139" ca="1">(1-$B$18)*SUMPRODUCT(OFFSET($BO$15,0,0,$B$14,1), 1*(_xlfn._xlws.FILTER(OFFSET($O$15,0,$DN139,$B$8,1),OFFSET($M$15,0,0,$B$8,1))=ER$13), 1*(_xlfn._xlws.FILTER(OFFSET($O$15,0,$DO139,$B$8,1),OFFSET($M$15,0,0,$B$8,1))=ER$14))   /   SUM(OFFSET($BO$15,0,0,$B$14,1)) + $B$18/($B$19*$B$19*($DN139&lt;&gt;$DO139) + $B$19*($DN139=$DO139))</f>
        <v>3.7037037037037035E-4</v>
      </c>
      <c r="ES139" s="10" cm="1">
        <f t="array" aca="1" ref="ES139" ca="1">(1-$B$18)*SUMPRODUCT(OFFSET($BO$15,0,0,$B$14,1), 1*(_xlfn._xlws.FILTER(OFFSET($O$15,0,$DN139,$B$8,1),OFFSET($M$15,0,0,$B$8,1))=ES$13), 1*(_xlfn._xlws.FILTER(OFFSET($O$15,0,$DO139,$B$8,1),OFFSET($M$15,0,0,$B$8,1))=ES$14))   /   SUM(OFFSET($BO$15,0,0,$B$14,1)) + $B$18/($B$19*$B$19*($DN139&lt;&gt;$DO139) + $B$19*($DN139=$DO139))</f>
        <v>3.7037037037037035E-4</v>
      </c>
      <c r="ET139" s="10" cm="1">
        <f t="array" aca="1" ref="ET139" ca="1">(1-$B$18)*SUMPRODUCT(OFFSET($BO$15,0,0,$B$14,1), 1*(_xlfn._xlws.FILTER(OFFSET($O$15,0,$DN139,$B$8,1),OFFSET($M$15,0,0,$B$8,1))=ET$13), 1*(_xlfn._xlws.FILTER(OFFSET($O$15,0,$DO139,$B$8,1),OFFSET($M$15,0,0,$B$8,1))=ET$14))   /   SUM(OFFSET($BO$15,0,0,$B$14,1)) + $B$18/($B$19*$B$19*($DN139&lt;&gt;$DO139) + $B$19*($DN139=$DO139))</f>
        <v>3.7037037037037035E-4</v>
      </c>
      <c r="EU139" s="10" cm="1">
        <f t="array" aca="1" ref="EU139" ca="1">(1-$B$18)*SUMPRODUCT(OFFSET($BO$15,0,0,$B$14,1), 1*(_xlfn._xlws.FILTER(OFFSET($O$15,0,$DN139,$B$8,1),OFFSET($M$15,0,0,$B$8,1))=EU$13), 1*(_xlfn._xlws.FILTER(OFFSET($O$15,0,$DO139,$B$8,1),OFFSET($M$15,0,0,$B$8,1))=EU$14))   /   SUM(OFFSET($BO$15,0,0,$B$14,1)) + $B$18/($B$19*$B$19*($DN139&lt;&gt;$DO139) + $B$19*($DN139=$DO139))</f>
        <v>3.7037037037037035E-4</v>
      </c>
      <c r="EV139" s="10" cm="1">
        <f t="array" aca="1" ref="EV139" ca="1">(1-$B$18)*SUMPRODUCT(OFFSET($BO$15,0,0,$B$14,1), 1*(_xlfn._xlws.FILTER(OFFSET($O$15,0,$DN139,$B$8,1),OFFSET($M$15,0,0,$B$8,1))=EV$13), 1*(_xlfn._xlws.FILTER(OFFSET($O$15,0,$DO139,$B$8,1),OFFSET($M$15,0,0,$B$8,1))=EV$14))   /   SUM(OFFSET($BO$15,0,0,$B$14,1)) + $B$18/($B$19*$B$19*($DN139&lt;&gt;$DO139) + $B$19*($DN139=$DO139))</f>
        <v>3.7037037037037035E-4</v>
      </c>
      <c r="EW139" s="10" cm="1">
        <f t="array" aca="1" ref="EW139" ca="1">(1-$B$18)*SUMPRODUCT(OFFSET($BO$15,0,0,$B$14,1), 1*(_xlfn._xlws.FILTER(OFFSET($O$15,0,$DN139,$B$8,1),OFFSET($M$15,0,0,$B$8,1))=EW$13), 1*(_xlfn._xlws.FILTER(OFFSET($O$15,0,$DO139,$B$8,1),OFFSET($M$15,0,0,$B$8,1))=EW$14))   /   SUM(OFFSET($BO$15,0,0,$B$14,1)) + $B$18/($B$19*$B$19*($DN139&lt;&gt;$DO139) + $B$19*($DN139=$DO139))</f>
        <v>3.7037037037037035E-4</v>
      </c>
      <c r="EX139" s="10" cm="1">
        <f t="array" aca="1" ref="EX139" ca="1">(1-$B$18)*SUMPRODUCT(OFFSET($BO$15,0,0,$B$14,1), 1*(_xlfn._xlws.FILTER(OFFSET($O$15,0,$DN139,$B$8,1),OFFSET($M$15,0,0,$B$8,1))=EX$13), 1*(_xlfn._xlws.FILTER(OFFSET($O$15,0,$DO139,$B$8,1),OFFSET($M$15,0,0,$B$8,1))=EX$14))   /   SUM(OFFSET($BO$15,0,0,$B$14,1)) + $B$18/($B$19*$B$19*($DN139&lt;&gt;$DO139) + $B$19*($DN139=$DO139))</f>
        <v>3.7037037037037035E-4</v>
      </c>
      <c r="EY139" s="10" cm="1">
        <f t="array" aca="1" ref="EY139" ca="1">(1-$B$18)*SUMPRODUCT(OFFSET($BO$15,0,0,$B$14,1), 1*(_xlfn._xlws.FILTER(OFFSET($O$15,0,$DN139,$B$8,1),OFFSET($M$15,0,0,$B$8,1))=EY$13), 1*(_xlfn._xlws.FILTER(OFFSET($O$15,0,$DO139,$B$8,1),OFFSET($M$15,0,0,$B$8,1))=EY$14))   /   SUM(OFFSET($BO$15,0,0,$B$14,1)) + $B$18/($B$19*$B$19*($DN139&lt;&gt;$DO139) + $B$19*($DN139=$DO139))</f>
        <v>3.7037037037037035E-4</v>
      </c>
      <c r="EZ139" s="10" cm="1">
        <f t="array" aca="1" ref="EZ139" ca="1">(1-$B$18)*SUMPRODUCT(OFFSET($BO$15,0,0,$B$14,1), 1*(_xlfn._xlws.FILTER(OFFSET($O$15,0,$DN139,$B$8,1),OFFSET($M$15,0,0,$B$8,1))=EZ$13), 1*(_xlfn._xlws.FILTER(OFFSET($O$15,0,$DO139,$B$8,1),OFFSET($M$15,0,0,$B$8,1))=EZ$14))   /   SUM(OFFSET($BO$15,0,0,$B$14,1)) + $B$18/($B$19*$B$19*($DN139&lt;&gt;$DO139) + $B$19*($DN139=$DO139))</f>
        <v>3.7037037037037035E-4</v>
      </c>
      <c r="FA139" s="10" cm="1">
        <f t="array" aca="1" ref="FA139" ca="1">(1-$B$18)*SUMPRODUCT(OFFSET($BO$15,0,0,$B$14,1), 1*(_xlfn._xlws.FILTER(OFFSET($O$15,0,$DN139,$B$8,1),OFFSET($M$15,0,0,$B$8,1))=FA$13), 1*(_xlfn._xlws.FILTER(OFFSET($O$15,0,$DO139,$B$8,1),OFFSET($M$15,0,0,$B$8,1))=FA$14))   /   SUM(OFFSET($BO$15,0,0,$B$14,1)) + $B$18/($B$19*$B$19*($DN139&lt;&gt;$DO139) + $B$19*($DN139=$DO139))</f>
        <v>3.7037037037037035E-4</v>
      </c>
      <c r="FB139" s="10" cm="1">
        <f t="array" aca="1" ref="FB139" ca="1">(1-$B$18)*SUMPRODUCT(OFFSET($BO$15,0,0,$B$14,1), 1*(_xlfn._xlws.FILTER(OFFSET($O$15,0,$DN139,$B$8,1),OFFSET($M$15,0,0,$B$8,1))=FB$13), 1*(_xlfn._xlws.FILTER(OFFSET($O$15,0,$DO139,$B$8,1),OFFSET($M$15,0,0,$B$8,1))=FB$14))   /   SUM(OFFSET($BO$15,0,0,$B$14,1)) + $B$18/($B$19*$B$19*($DN139&lt;&gt;$DO139) + $B$19*($DN139=$DO139))</f>
        <v>3.7037037037037035E-4</v>
      </c>
      <c r="FC139" s="10" cm="1">
        <f t="array" aca="1" ref="FC139" ca="1">(1-$B$18)*SUMPRODUCT(OFFSET($BO$15,0,0,$B$14,1), 1*(_xlfn._xlws.FILTER(OFFSET($O$15,0,$DN139,$B$8,1),OFFSET($M$15,0,0,$B$8,1))=FC$13), 1*(_xlfn._xlws.FILTER(OFFSET($O$15,0,$DO139,$B$8,1),OFFSET($M$15,0,0,$B$8,1))=FC$14))   /   SUM(OFFSET($BO$15,0,0,$B$14,1)) + $B$18/($B$19*$B$19*($DN139&lt;&gt;$DO139) + $B$19*($DN139=$DO139))</f>
        <v>3.7037037037037035E-4</v>
      </c>
      <c r="FD139" s="10" cm="1">
        <f t="array" aca="1" ref="FD139" ca="1">(1-$B$18)*SUMPRODUCT(OFFSET($BO$15,0,0,$B$14,1), 1*(_xlfn._xlws.FILTER(OFFSET($O$15,0,$DN139,$B$8,1),OFFSET($M$15,0,0,$B$8,1))=FD$13), 1*(_xlfn._xlws.FILTER(OFFSET($O$15,0,$DO139,$B$8,1),OFFSET($M$15,0,0,$B$8,1))=FD$14))   /   SUM(OFFSET($BO$15,0,0,$B$14,1)) + $B$18/($B$19*$B$19*($DN139&lt;&gt;$DO139) + $B$19*($DN139=$DO139))</f>
        <v>3.7037037037037035E-4</v>
      </c>
      <c r="FE139" s="10" cm="1">
        <f t="array" aca="1" ref="FE139" ca="1">(1-$B$18)*SUMPRODUCT(OFFSET($BO$15,0,0,$B$14,1), 1*(_xlfn._xlws.FILTER(OFFSET($O$15,0,$DN139,$B$8,1),OFFSET($M$15,0,0,$B$8,1))=FE$13), 1*(_xlfn._xlws.FILTER(OFFSET($O$15,0,$DO139,$B$8,1),OFFSET($M$15,0,0,$B$8,1))=FE$14))   /   SUM(OFFSET($BO$15,0,0,$B$14,1)) + $B$18/($B$19*$B$19*($DN139&lt;&gt;$DO139) + $B$19*($DN139=$DO139))</f>
        <v>3.7037037037037035E-4</v>
      </c>
      <c r="FF139" s="10" cm="1">
        <f t="array" aca="1" ref="FF139" ca="1">(1-$B$18)*SUMPRODUCT(OFFSET($BO$15,0,0,$B$14,1), 1*(_xlfn._xlws.FILTER(OFFSET($O$15,0,$DN139,$B$8,1),OFFSET($M$15,0,0,$B$8,1))=FF$13), 1*(_xlfn._xlws.FILTER(OFFSET($O$15,0,$DO139,$B$8,1),OFFSET($M$15,0,0,$B$8,1))=FF$14))   /   SUM(OFFSET($BO$15,0,0,$B$14,1)) + $B$18/($B$19*$B$19*($DN139&lt;&gt;$DO139) + $B$19*($DN139=$DO139))</f>
        <v>3.7037037037037035E-4</v>
      </c>
      <c r="FG139" s="10" cm="1">
        <f t="array" aca="1" ref="FG139" ca="1">(1-$B$18)*SUMPRODUCT(OFFSET($BO$15,0,0,$B$14,1), 1*(_xlfn._xlws.FILTER(OFFSET($O$15,0,$DN139,$B$8,1),OFFSET($M$15,0,0,$B$8,1))=FG$13), 1*(_xlfn._xlws.FILTER(OFFSET($O$15,0,$DO139,$B$8,1),OFFSET($M$15,0,0,$B$8,1))=FG$14))   /   SUM(OFFSET($BO$15,0,0,$B$14,1)) + $B$18/($B$19*$B$19*($DN139&lt;&gt;$DO139) + $B$19*($DN139=$DO139))</f>
        <v>3.7037037037037035E-4</v>
      </c>
      <c r="FH139" s="10" cm="1">
        <f t="array" aca="1" ref="FH139" ca="1">(1-$B$18)*SUMPRODUCT(OFFSET($BO$15,0,0,$B$14,1), 1*(_xlfn._xlws.FILTER(OFFSET($O$15,0,$DN139,$B$8,1),OFFSET($M$15,0,0,$B$8,1))=FH$13), 1*(_xlfn._xlws.FILTER(OFFSET($O$15,0,$DO139,$B$8,1),OFFSET($M$15,0,0,$B$8,1))=FH$14))   /   SUM(OFFSET($BO$15,0,0,$B$14,1)) + $B$18/($B$19*$B$19*($DN139&lt;&gt;$DO139) + $B$19*($DN139=$DO139))</f>
        <v>3.7037037037037035E-4</v>
      </c>
      <c r="FI139" s="10" cm="1">
        <f t="array" aca="1" ref="FI139" ca="1">(1-$B$18)*SUMPRODUCT(OFFSET($BO$15,0,0,$B$14,1), 1*(_xlfn._xlws.FILTER(OFFSET($O$15,0,$DN139,$B$8,1),OFFSET($M$15,0,0,$B$8,1))=FI$13), 1*(_xlfn._xlws.FILTER(OFFSET($O$15,0,$DO139,$B$8,1),OFFSET($M$15,0,0,$B$8,1))=FI$14))   /   SUM(OFFSET($BO$15,0,0,$B$14,1)) + $B$18/($B$19*$B$19*($DN139&lt;&gt;$DO139) + $B$19*($DN139=$DO139))</f>
        <v>3.7037037037037035E-4</v>
      </c>
      <c r="FJ139" s="10" cm="1">
        <f t="array" aca="1" ref="FJ139" ca="1">(1-$B$18)*SUMPRODUCT(OFFSET($BO$15,0,0,$B$14,1), 1*(_xlfn._xlws.FILTER(OFFSET($O$15,0,$DN139,$B$8,1),OFFSET($M$15,0,0,$B$8,1))=FJ$13), 1*(_xlfn._xlws.FILTER(OFFSET($O$15,0,$DO139,$B$8,1),OFFSET($M$15,0,0,$B$8,1))=FJ$14))   /   SUM(OFFSET($BO$15,0,0,$B$14,1)) + $B$18/($B$19*$B$19*($DN139&lt;&gt;$DO139) + $B$19*($DN139=$DO139))</f>
        <v>3.7037037037037035E-4</v>
      </c>
      <c r="FK139" s="10" cm="1">
        <f t="array" aca="1" ref="FK139" ca="1">(1-$B$18)*SUMPRODUCT(OFFSET($BO$15,0,0,$B$14,1), 1*(_xlfn._xlws.FILTER(OFFSET($O$15,0,$DN139,$B$8,1),OFFSET($M$15,0,0,$B$8,1))=FK$13), 1*(_xlfn._xlws.FILTER(OFFSET($O$15,0,$DO139,$B$8,1),OFFSET($M$15,0,0,$B$8,1))=FK$14))   /   SUM(OFFSET($BO$15,0,0,$B$14,1)) + $B$18/($B$19*$B$19*($DN139&lt;&gt;$DO139) + $B$19*($DN139=$DO139))</f>
        <v>3.7037037037037035E-4</v>
      </c>
      <c r="FL139" s="10" cm="1">
        <f t="array" aca="1" ref="FL139" ca="1">(1-$B$18)*SUMPRODUCT(OFFSET($BO$15,0,0,$B$14,1), 1*(_xlfn._xlws.FILTER(OFFSET($O$15,0,$DN139,$B$8,1),OFFSET($M$15,0,0,$B$8,1))=FL$13), 1*(_xlfn._xlws.FILTER(OFFSET($O$15,0,$DO139,$B$8,1),OFFSET($M$15,0,0,$B$8,1))=FL$14))   /   SUM(OFFSET($BO$15,0,0,$B$14,1)) + $B$18/($B$19*$B$19*($DN139&lt;&gt;$DO139) + $B$19*($DN139=$DO139))</f>
        <v>0.48537037037037034</v>
      </c>
      <c r="FM139" s="10" cm="1">
        <f t="array" aca="1" ref="FM139" ca="1">(1-$B$18)*SUMPRODUCT(OFFSET($BO$15,0,0,$B$14,1), 1*(_xlfn._xlws.FILTER(OFFSET($O$15,0,$DN139,$B$8,1),OFFSET($M$15,0,0,$B$8,1))=FM$13), 1*(_xlfn._xlws.FILTER(OFFSET($O$15,0,$DO139,$B$8,1),OFFSET($M$15,0,0,$B$8,1))=FM$14))   /   SUM(OFFSET($BO$15,0,0,$B$14,1)) + $B$18/($B$19*$B$19*($DN139&lt;&gt;$DO139) + $B$19*($DN139=$DO139))</f>
        <v>3.7037037037037035E-4</v>
      </c>
      <c r="FN139" s="10" cm="1">
        <f t="array" aca="1" ref="FN139" ca="1">(1-$B$18)*SUMPRODUCT(OFFSET($BO$15,0,0,$B$14,1), 1*(_xlfn._xlws.FILTER(OFFSET($O$15,0,$DN139,$B$8,1),OFFSET($M$15,0,0,$B$8,1))=FN$13), 1*(_xlfn._xlws.FILTER(OFFSET($O$15,0,$DO139,$B$8,1),OFFSET($M$15,0,0,$B$8,1))=FN$14))   /   SUM(OFFSET($BO$15,0,0,$B$14,1)) + $B$18/($B$19*$B$19*($DN139&lt;&gt;$DO139) + $B$19*($DN139=$DO139))</f>
        <v>0.24287037037037026</v>
      </c>
      <c r="FO139" s="10" cm="1">
        <f t="array" aca="1" ref="FO139" ca="1">(1-$B$18)*SUMPRODUCT(OFFSET($BO$15,0,0,$B$14,1), 1*(_xlfn._xlws.FILTER(OFFSET($O$15,0,$DN139,$B$8,1),OFFSET($M$15,0,0,$B$8,1))=FO$13), 1*(_xlfn._xlws.FILTER(OFFSET($O$15,0,$DO139,$B$8,1),OFFSET($M$15,0,0,$B$8,1))=FO$14))   /   SUM(OFFSET($BO$15,0,0,$B$14,1)) + $B$18/($B$19*$B$19*($DN139&lt;&gt;$DO139) + $B$19*($DN139=$DO139))</f>
        <v>0.24287037037037026</v>
      </c>
      <c r="FP139" s="10" cm="1">
        <f t="array" aca="1" ref="FP139" ca="1">(1-$B$18)*SUMPRODUCT(OFFSET($BO$15,0,0,$B$14,1), 1*(_xlfn._xlws.FILTER(OFFSET($O$15,0,$DN139,$B$8,1),OFFSET($M$15,0,0,$B$8,1))=FP$13), 1*(_xlfn._xlws.FILTER(OFFSET($O$15,0,$DO139,$B$8,1),OFFSET($M$15,0,0,$B$8,1))=FP$14))   /   SUM(OFFSET($BO$15,0,0,$B$14,1)) + $B$18/($B$19*$B$19*($DN139&lt;&gt;$DO139) + $B$19*($DN139=$DO139))</f>
        <v>3.7037037037037035E-4</v>
      </c>
      <c r="FQ139" s="10" cm="1">
        <f t="array" aca="1" ref="FQ139" ca="1">(1-$B$18)*SUMPRODUCT(OFFSET($BO$15,0,0,$B$14,1), 1*(_xlfn._xlws.FILTER(OFFSET($O$15,0,$DN139,$B$8,1),OFFSET($M$15,0,0,$B$8,1))=FQ$13), 1*(_xlfn._xlws.FILTER(OFFSET($O$15,0,$DO139,$B$8,1),OFFSET($M$15,0,0,$B$8,1))=FQ$14))   /   SUM(OFFSET($BO$15,0,0,$B$14,1)) + $B$18/($B$19*$B$19*($DN139&lt;&gt;$DO139) + $B$19*($DN139=$DO139))</f>
        <v>3.7037037037037035E-4</v>
      </c>
      <c r="FR139" s="10" cm="1">
        <f t="array" aca="1" ref="FR139" ca="1">(1-$B$18)*SUMPRODUCT(OFFSET($BO$15,0,0,$B$14,1), 1*(_xlfn._xlws.FILTER(OFFSET($O$15,0,$DN139,$B$8,1),OFFSET($M$15,0,0,$B$8,1))=FR$13), 1*(_xlfn._xlws.FILTER(OFFSET($O$15,0,$DO139,$B$8,1),OFFSET($M$15,0,0,$B$8,1))=FR$14))   /   SUM(OFFSET($BO$15,0,0,$B$14,1)) + $B$18/($B$19*$B$19*($DN139&lt;&gt;$DO139) + $B$19*($DN139=$DO139))</f>
        <v>3.7037037037037035E-4</v>
      </c>
      <c r="FS139" s="10" cm="1">
        <f t="array" aca="1" ref="FS139" ca="1">(1-$B$18)*SUMPRODUCT(OFFSET($BO$15,0,0,$B$14,1), 1*(_xlfn._xlws.FILTER(OFFSET($O$15,0,$DN139,$B$8,1),OFFSET($M$15,0,0,$B$8,1))=FS$13), 1*(_xlfn._xlws.FILTER(OFFSET($O$15,0,$DO139,$B$8,1),OFFSET($M$15,0,0,$B$8,1))=FS$14))   /   SUM(OFFSET($BO$15,0,0,$B$14,1)) + $B$18/($B$19*$B$19*($DN139&lt;&gt;$DO139) + $B$19*($DN139=$DO139))</f>
        <v>3.7037037037037035E-4</v>
      </c>
      <c r="FT139" s="10" cm="1">
        <f t="array" aca="1" ref="FT139" ca="1">(1-$B$18)*SUMPRODUCT(OFFSET($BO$15,0,0,$B$14,1), 1*(_xlfn._xlws.FILTER(OFFSET($O$15,0,$DN139,$B$8,1),OFFSET($M$15,0,0,$B$8,1))=FT$13), 1*(_xlfn._xlws.FILTER(OFFSET($O$15,0,$DO139,$B$8,1),OFFSET($M$15,0,0,$B$8,1))=FT$14))   /   SUM(OFFSET($BO$15,0,0,$B$14,1)) + $B$18/($B$19*$B$19*($DN139&lt;&gt;$DO139) + $B$19*($DN139=$DO139))</f>
        <v>3.7037037037037035E-4</v>
      </c>
      <c r="FU139" s="10" cm="1">
        <f t="array" aca="1" ref="FU139" ca="1">(1-$B$18)*SUMPRODUCT(OFFSET($BO$15,0,0,$B$14,1), 1*(_xlfn._xlws.FILTER(OFFSET($O$15,0,$DN139,$B$8,1),OFFSET($M$15,0,0,$B$8,1))=FU$13), 1*(_xlfn._xlws.FILTER(OFFSET($O$15,0,$DO139,$B$8,1),OFFSET($M$15,0,0,$B$8,1))=FU$14))   /   SUM(OFFSET($BO$15,0,0,$B$14,1)) + $B$18/($B$19*$B$19*($DN139&lt;&gt;$DO139) + $B$19*($DN139=$DO139))</f>
        <v>3.7037037037037035E-4</v>
      </c>
      <c r="FV139" s="10" cm="1">
        <f t="array" aca="1" ref="FV139" ca="1">(1-$B$18)*SUMPRODUCT(OFFSET($BO$15,0,0,$B$14,1), 1*(_xlfn._xlws.FILTER(OFFSET($O$15,0,$DN139,$B$8,1),OFFSET($M$15,0,0,$B$8,1))=FV$13), 1*(_xlfn._xlws.FILTER(OFFSET($O$15,0,$DO139,$B$8,1),OFFSET($M$15,0,0,$B$8,1))=FV$14))   /   SUM(OFFSET($BO$15,0,0,$B$14,1)) + $B$18/($B$19*$B$19*($DN139&lt;&gt;$DO139) + $B$19*($DN139=$DO139))</f>
        <v>3.7037037037037035E-4</v>
      </c>
      <c r="FW139" s="10" cm="1">
        <f t="array" aca="1" ref="FW139" ca="1">(1-$B$18)*SUMPRODUCT(OFFSET($BO$15,0,0,$B$14,1), 1*(_xlfn._xlws.FILTER(OFFSET($O$15,0,$DN139,$B$8,1),OFFSET($M$15,0,0,$B$8,1))=FW$13), 1*(_xlfn._xlws.FILTER(OFFSET($O$15,0,$DO139,$B$8,1),OFFSET($M$15,0,0,$B$8,1))=FW$14))   /   SUM(OFFSET($BO$15,0,0,$B$14,1)) + $B$18/($B$19*$B$19*($DN139&lt;&gt;$DO139) + $B$19*($DN139=$DO139))</f>
        <v>3.7037037037037035E-4</v>
      </c>
      <c r="FX139" s="10" cm="1">
        <f t="array" aca="1" ref="FX139" ca="1">(1-$B$18)*SUMPRODUCT(OFFSET($BO$15,0,0,$B$14,1), 1*(_xlfn._xlws.FILTER(OFFSET($O$15,0,$DN139,$B$8,1),OFFSET($M$15,0,0,$B$8,1))=FX$13), 1*(_xlfn._xlws.FILTER(OFFSET($O$15,0,$DO139,$B$8,1),OFFSET($M$15,0,0,$B$8,1))=FX$14))   /   SUM(OFFSET($BO$15,0,0,$B$14,1)) + $B$18/($B$19*$B$19*($DN139&lt;&gt;$DO139) + $B$19*($DN139=$DO139))</f>
        <v>3.7037037037037035E-4</v>
      </c>
      <c r="FY139" s="10" cm="1">
        <f t="array" aca="1" ref="FY139" ca="1">(1-$B$18)*SUMPRODUCT(OFFSET($BO$15,0,0,$B$14,1), 1*(_xlfn._xlws.FILTER(OFFSET($O$15,0,$DN139,$B$8,1),OFFSET($M$15,0,0,$B$8,1))=FY$13), 1*(_xlfn._xlws.FILTER(OFFSET($O$15,0,$DO139,$B$8,1),OFFSET($M$15,0,0,$B$8,1))=FY$14))   /   SUM(OFFSET($BO$15,0,0,$B$14,1)) + $B$18/($B$19*$B$19*($DN139&lt;&gt;$DO139) + $B$19*($DN139=$DO139))</f>
        <v>3.7037037037037035E-4</v>
      </c>
      <c r="FZ139" s="10" cm="1">
        <f t="array" aca="1" ref="FZ139" ca="1">(1-$B$18)*SUMPRODUCT(OFFSET($BO$15,0,0,$B$14,1), 1*(_xlfn._xlws.FILTER(OFFSET($O$15,0,$DN139,$B$8,1),OFFSET($M$15,0,0,$B$8,1))=FZ$13), 1*(_xlfn._xlws.FILTER(OFFSET($O$15,0,$DO139,$B$8,1),OFFSET($M$15,0,0,$B$8,1))=FZ$14))   /   SUM(OFFSET($BO$15,0,0,$B$14,1)) + $B$18/($B$19*$B$19*($DN139&lt;&gt;$DO139) + $B$19*($DN139=$DO139))</f>
        <v>3.7037037037037035E-4</v>
      </c>
      <c r="GA139" s="10" cm="1">
        <f t="array" aca="1" ref="GA139" ca="1">(1-$B$18)*SUMPRODUCT(OFFSET($BO$15,0,0,$B$14,1), 1*(_xlfn._xlws.FILTER(OFFSET($O$15,0,$DN139,$B$8,1),OFFSET($M$15,0,0,$B$8,1))=GA$13), 1*(_xlfn._xlws.FILTER(OFFSET($O$15,0,$DO139,$B$8,1),OFFSET($M$15,0,0,$B$8,1))=GA$14))   /   SUM(OFFSET($BO$15,0,0,$B$14,1)) + $B$18/($B$19*$B$19*($DN139&lt;&gt;$DO139) + $B$19*($DN139=$DO139))</f>
        <v>3.7037037037037035E-4</v>
      </c>
    </row>
    <row r="140" spans="7:183" x14ac:dyDescent="0.2">
      <c r="G140" s="2"/>
      <c r="H140" s="2"/>
      <c r="AH140" s="2"/>
      <c r="AI140" s="2"/>
      <c r="DN140" cm="1">
        <f t="array" aca="1" ref="DN140" ca="1">INDEX(_xlfn.ANCHORARRAY($CP$15), 1 + INT((ROWS($DO$15:$DO140) - 1) / ROWS(_xlfn.ANCHORARRAY($CP$15))))</f>
        <v>6</v>
      </c>
      <c r="DO140" cm="1">
        <f t="array" aca="1" ref="DO140" ca="1">INDEX(_xlfn.ANCHORARRAY($CP$15),1+MOD(ROWS($DO$15:$DO140)-1,ROWS(_xlfn.ANCHORARRAY($CP$15))))</f>
        <v>12</v>
      </c>
      <c r="DP140" s="10" cm="1">
        <f t="array" aca="1" ref="DP140" ca="1">(1-$B$18)*SUMPRODUCT(OFFSET($BO$15,0,0,$B$14,1), 1*(_xlfn._xlws.FILTER(OFFSET($O$15,0,$DN140,$B$8,1),OFFSET($M$15,0,0,$B$8,1))=DP$13), 1*(_xlfn._xlws.FILTER(OFFSET($O$15,0,$DO140,$B$8,1),OFFSET($M$15,0,0,$B$8,1))=DP$14))   /   SUM(OFFSET($BO$15,0,0,$B$14,1)) + $B$18/($B$19*$B$19*($DN140&lt;&gt;$DO140) + $B$19*($DN140=$DO140))</f>
        <v>3.7037037037037035E-4</v>
      </c>
      <c r="DQ140" s="10" cm="1">
        <f t="array" aca="1" ref="DQ140" ca="1">(1-$B$18)*SUMPRODUCT(OFFSET($BO$15,0,0,$B$14,1), 1*(_xlfn._xlws.FILTER(OFFSET($O$15,0,$DN140,$B$8,1),OFFSET($M$15,0,0,$B$8,1))=DQ$13), 1*(_xlfn._xlws.FILTER(OFFSET($O$15,0,$DO140,$B$8,1),OFFSET($M$15,0,0,$B$8,1))=DQ$14))   /   SUM(OFFSET($BO$15,0,0,$B$14,1)) + $B$18/($B$19*$B$19*($DN140&lt;&gt;$DO140) + $B$19*($DN140=$DO140))</f>
        <v>3.7037037037037035E-4</v>
      </c>
      <c r="DR140" s="10" cm="1">
        <f t="array" aca="1" ref="DR140" ca="1">(1-$B$18)*SUMPRODUCT(OFFSET($BO$15,0,0,$B$14,1), 1*(_xlfn._xlws.FILTER(OFFSET($O$15,0,$DN140,$B$8,1),OFFSET($M$15,0,0,$B$8,1))=DR$13), 1*(_xlfn._xlws.FILTER(OFFSET($O$15,0,$DO140,$B$8,1),OFFSET($M$15,0,0,$B$8,1))=DR$14))   /   SUM(OFFSET($BO$15,0,0,$B$14,1)) + $B$18/($B$19*$B$19*($DN140&lt;&gt;$DO140) + $B$19*($DN140=$DO140))</f>
        <v>3.7037037037037035E-4</v>
      </c>
      <c r="DS140" s="10" cm="1">
        <f t="array" aca="1" ref="DS140" ca="1">(1-$B$18)*SUMPRODUCT(OFFSET($BO$15,0,0,$B$14,1), 1*(_xlfn._xlws.FILTER(OFFSET($O$15,0,$DN140,$B$8,1),OFFSET($M$15,0,0,$B$8,1))=DS$13), 1*(_xlfn._xlws.FILTER(OFFSET($O$15,0,$DO140,$B$8,1),OFFSET($M$15,0,0,$B$8,1))=DS$14))   /   SUM(OFFSET($BO$15,0,0,$B$14,1)) + $B$18/($B$19*$B$19*($DN140&lt;&gt;$DO140) + $B$19*($DN140=$DO140))</f>
        <v>3.7037037037037035E-4</v>
      </c>
      <c r="DT140" s="10" cm="1">
        <f t="array" aca="1" ref="DT140" ca="1">(1-$B$18)*SUMPRODUCT(OFFSET($BO$15,0,0,$B$14,1), 1*(_xlfn._xlws.FILTER(OFFSET($O$15,0,$DN140,$B$8,1),OFFSET($M$15,0,0,$B$8,1))=DT$13), 1*(_xlfn._xlws.FILTER(OFFSET($O$15,0,$DO140,$B$8,1),OFFSET($M$15,0,0,$B$8,1))=DT$14))   /   SUM(OFFSET($BO$15,0,0,$B$14,1)) + $B$18/($B$19*$B$19*($DN140&lt;&gt;$DO140) + $B$19*($DN140=$DO140))</f>
        <v>3.7037037037037035E-4</v>
      </c>
      <c r="DU140" s="10" cm="1">
        <f t="array" aca="1" ref="DU140" ca="1">(1-$B$18)*SUMPRODUCT(OFFSET($BO$15,0,0,$B$14,1), 1*(_xlfn._xlws.FILTER(OFFSET($O$15,0,$DN140,$B$8,1),OFFSET($M$15,0,0,$B$8,1))=DU$13), 1*(_xlfn._xlws.FILTER(OFFSET($O$15,0,$DO140,$B$8,1),OFFSET($M$15,0,0,$B$8,1))=DU$14))   /   SUM(OFFSET($BO$15,0,0,$B$14,1)) + $B$18/($B$19*$B$19*($DN140&lt;&gt;$DO140) + $B$19*($DN140=$DO140))</f>
        <v>3.7037037037037035E-4</v>
      </c>
      <c r="DV140" s="10" cm="1">
        <f t="array" aca="1" ref="DV140" ca="1">(1-$B$18)*SUMPRODUCT(OFFSET($BO$15,0,0,$B$14,1), 1*(_xlfn._xlws.FILTER(OFFSET($O$15,0,$DN140,$B$8,1),OFFSET($M$15,0,0,$B$8,1))=DV$13), 1*(_xlfn._xlws.FILTER(OFFSET($O$15,0,$DO140,$B$8,1),OFFSET($M$15,0,0,$B$8,1))=DV$14))   /   SUM(OFFSET($BO$15,0,0,$B$14,1)) + $B$18/($B$19*$B$19*($DN140&lt;&gt;$DO140) + $B$19*($DN140=$DO140))</f>
        <v>3.7037037037037035E-4</v>
      </c>
      <c r="DW140" s="10" cm="1">
        <f t="array" aca="1" ref="DW140" ca="1">(1-$B$18)*SUMPRODUCT(OFFSET($BO$15,0,0,$B$14,1), 1*(_xlfn._xlws.FILTER(OFFSET($O$15,0,$DN140,$B$8,1),OFFSET($M$15,0,0,$B$8,1))=DW$13), 1*(_xlfn._xlws.FILTER(OFFSET($O$15,0,$DO140,$B$8,1),OFFSET($M$15,0,0,$B$8,1))=DW$14))   /   SUM(OFFSET($BO$15,0,0,$B$14,1)) + $B$18/($B$19*$B$19*($DN140&lt;&gt;$DO140) + $B$19*($DN140=$DO140))</f>
        <v>3.7037037037037035E-4</v>
      </c>
      <c r="DX140" s="10" cm="1">
        <f t="array" aca="1" ref="DX140" ca="1">(1-$B$18)*SUMPRODUCT(OFFSET($BO$15,0,0,$B$14,1), 1*(_xlfn._xlws.FILTER(OFFSET($O$15,0,$DN140,$B$8,1),OFFSET($M$15,0,0,$B$8,1))=DX$13), 1*(_xlfn._xlws.FILTER(OFFSET($O$15,0,$DO140,$B$8,1),OFFSET($M$15,0,0,$B$8,1))=DX$14))   /   SUM(OFFSET($BO$15,0,0,$B$14,1)) + $B$18/($B$19*$B$19*($DN140&lt;&gt;$DO140) + $B$19*($DN140=$DO140))</f>
        <v>3.7037037037037035E-4</v>
      </c>
      <c r="DY140" s="10" cm="1">
        <f t="array" aca="1" ref="DY140" ca="1">(1-$B$18)*SUMPRODUCT(OFFSET($BO$15,0,0,$B$14,1), 1*(_xlfn._xlws.FILTER(OFFSET($O$15,0,$DN140,$B$8,1),OFFSET($M$15,0,0,$B$8,1))=DY$13), 1*(_xlfn._xlws.FILTER(OFFSET($O$15,0,$DO140,$B$8,1),OFFSET($M$15,0,0,$B$8,1))=DY$14))   /   SUM(OFFSET($BO$15,0,0,$B$14,1)) + $B$18/($B$19*$B$19*($DN140&lt;&gt;$DO140) + $B$19*($DN140=$DO140))</f>
        <v>3.7037037037037035E-4</v>
      </c>
      <c r="DZ140" s="10" cm="1">
        <f t="array" aca="1" ref="DZ140" ca="1">(1-$B$18)*SUMPRODUCT(OFFSET($BO$15,0,0,$B$14,1), 1*(_xlfn._xlws.FILTER(OFFSET($O$15,0,$DN140,$B$8,1),OFFSET($M$15,0,0,$B$8,1))=DZ$13), 1*(_xlfn._xlws.FILTER(OFFSET($O$15,0,$DO140,$B$8,1),OFFSET($M$15,0,0,$B$8,1))=DZ$14))   /   SUM(OFFSET($BO$15,0,0,$B$14,1)) + $B$18/($B$19*$B$19*($DN140&lt;&gt;$DO140) + $B$19*($DN140=$DO140))</f>
        <v>3.7037037037037035E-4</v>
      </c>
      <c r="EA140" s="10" cm="1">
        <f t="array" aca="1" ref="EA140" ca="1">(1-$B$18)*SUMPRODUCT(OFFSET($BO$15,0,0,$B$14,1), 1*(_xlfn._xlws.FILTER(OFFSET($O$15,0,$DN140,$B$8,1),OFFSET($M$15,0,0,$B$8,1))=EA$13), 1*(_xlfn._xlws.FILTER(OFFSET($O$15,0,$DO140,$B$8,1),OFFSET($M$15,0,0,$B$8,1))=EA$14))   /   SUM(OFFSET($BO$15,0,0,$B$14,1)) + $B$18/($B$19*$B$19*($DN140&lt;&gt;$DO140) + $B$19*($DN140=$DO140))</f>
        <v>3.7037037037037035E-4</v>
      </c>
      <c r="EB140" s="10" cm="1">
        <f t="array" aca="1" ref="EB140" ca="1">(1-$B$18)*SUMPRODUCT(OFFSET($BO$15,0,0,$B$14,1), 1*(_xlfn._xlws.FILTER(OFFSET($O$15,0,$DN140,$B$8,1),OFFSET($M$15,0,0,$B$8,1))=EB$13), 1*(_xlfn._xlws.FILTER(OFFSET($O$15,0,$DO140,$B$8,1),OFFSET($M$15,0,0,$B$8,1))=EB$14))   /   SUM(OFFSET($BO$15,0,0,$B$14,1)) + $B$18/($B$19*$B$19*($DN140&lt;&gt;$DO140) + $B$19*($DN140=$DO140))</f>
        <v>3.7037037037037035E-4</v>
      </c>
      <c r="EC140" s="10" cm="1">
        <f t="array" aca="1" ref="EC140" ca="1">(1-$B$18)*SUMPRODUCT(OFFSET($BO$15,0,0,$B$14,1), 1*(_xlfn._xlws.FILTER(OFFSET($O$15,0,$DN140,$B$8,1),OFFSET($M$15,0,0,$B$8,1))=EC$13), 1*(_xlfn._xlws.FILTER(OFFSET($O$15,0,$DO140,$B$8,1),OFFSET($M$15,0,0,$B$8,1))=EC$14))   /   SUM(OFFSET($BO$15,0,0,$B$14,1)) + $B$18/($B$19*$B$19*($DN140&lt;&gt;$DO140) + $B$19*($DN140=$DO140))</f>
        <v>3.7037037037037035E-4</v>
      </c>
      <c r="ED140" s="10" cm="1">
        <f t="array" aca="1" ref="ED140" ca="1">(1-$B$18)*SUMPRODUCT(OFFSET($BO$15,0,0,$B$14,1), 1*(_xlfn._xlws.FILTER(OFFSET($O$15,0,$DN140,$B$8,1),OFFSET($M$15,0,0,$B$8,1))=ED$13), 1*(_xlfn._xlws.FILTER(OFFSET($O$15,0,$DO140,$B$8,1),OFFSET($M$15,0,0,$B$8,1))=ED$14))   /   SUM(OFFSET($BO$15,0,0,$B$14,1)) + $B$18/($B$19*$B$19*($DN140&lt;&gt;$DO140) + $B$19*($DN140=$DO140))</f>
        <v>3.7037037037037035E-4</v>
      </c>
      <c r="EE140" s="10" cm="1">
        <f t="array" aca="1" ref="EE140" ca="1">(1-$B$18)*SUMPRODUCT(OFFSET($BO$15,0,0,$B$14,1), 1*(_xlfn._xlws.FILTER(OFFSET($O$15,0,$DN140,$B$8,1),OFFSET($M$15,0,0,$B$8,1))=EE$13), 1*(_xlfn._xlws.FILTER(OFFSET($O$15,0,$DO140,$B$8,1),OFFSET($M$15,0,0,$B$8,1))=EE$14))   /   SUM(OFFSET($BO$15,0,0,$B$14,1)) + $B$18/($B$19*$B$19*($DN140&lt;&gt;$DO140) + $B$19*($DN140=$DO140))</f>
        <v>3.7037037037037035E-4</v>
      </c>
      <c r="EF140" s="10" cm="1">
        <f t="array" aca="1" ref="EF140" ca="1">(1-$B$18)*SUMPRODUCT(OFFSET($BO$15,0,0,$B$14,1), 1*(_xlfn._xlws.FILTER(OFFSET($O$15,0,$DN140,$B$8,1),OFFSET($M$15,0,0,$B$8,1))=EF$13), 1*(_xlfn._xlws.FILTER(OFFSET($O$15,0,$DO140,$B$8,1),OFFSET($M$15,0,0,$B$8,1))=EF$14))   /   SUM(OFFSET($BO$15,0,0,$B$14,1)) + $B$18/($B$19*$B$19*($DN140&lt;&gt;$DO140) + $B$19*($DN140=$DO140))</f>
        <v>3.7037037037037035E-4</v>
      </c>
      <c r="EG140" s="10" cm="1">
        <f t="array" aca="1" ref="EG140" ca="1">(1-$B$18)*SUMPRODUCT(OFFSET($BO$15,0,0,$B$14,1), 1*(_xlfn._xlws.FILTER(OFFSET($O$15,0,$DN140,$B$8,1),OFFSET($M$15,0,0,$B$8,1))=EG$13), 1*(_xlfn._xlws.FILTER(OFFSET($O$15,0,$DO140,$B$8,1),OFFSET($M$15,0,0,$B$8,1))=EG$14))   /   SUM(OFFSET($BO$15,0,0,$B$14,1)) + $B$18/($B$19*$B$19*($DN140&lt;&gt;$DO140) + $B$19*($DN140=$DO140))</f>
        <v>3.7037037037037035E-4</v>
      </c>
      <c r="EH140" s="10" cm="1">
        <f t="array" aca="1" ref="EH140" ca="1">(1-$B$18)*SUMPRODUCT(OFFSET($BO$15,0,0,$B$14,1), 1*(_xlfn._xlws.FILTER(OFFSET($O$15,0,$DN140,$B$8,1),OFFSET($M$15,0,0,$B$8,1))=EH$13), 1*(_xlfn._xlws.FILTER(OFFSET($O$15,0,$DO140,$B$8,1),OFFSET($M$15,0,0,$B$8,1))=EH$14))   /   SUM(OFFSET($BO$15,0,0,$B$14,1)) + $B$18/($B$19*$B$19*($DN140&lt;&gt;$DO140) + $B$19*($DN140=$DO140))</f>
        <v>3.7037037037037035E-4</v>
      </c>
      <c r="EI140" s="10" cm="1">
        <f t="array" aca="1" ref="EI140" ca="1">(1-$B$18)*SUMPRODUCT(OFFSET($BO$15,0,0,$B$14,1), 1*(_xlfn._xlws.FILTER(OFFSET($O$15,0,$DN140,$B$8,1),OFFSET($M$15,0,0,$B$8,1))=EI$13), 1*(_xlfn._xlws.FILTER(OFFSET($O$15,0,$DO140,$B$8,1),OFFSET($M$15,0,0,$B$8,1))=EI$14))   /   SUM(OFFSET($BO$15,0,0,$B$14,1)) + $B$18/($B$19*$B$19*($DN140&lt;&gt;$DO140) + $B$19*($DN140=$DO140))</f>
        <v>3.7037037037037035E-4</v>
      </c>
      <c r="EJ140" s="10" cm="1">
        <f t="array" aca="1" ref="EJ140" ca="1">(1-$B$18)*SUMPRODUCT(OFFSET($BO$15,0,0,$B$14,1), 1*(_xlfn._xlws.FILTER(OFFSET($O$15,0,$DN140,$B$8,1),OFFSET($M$15,0,0,$B$8,1))=EJ$13), 1*(_xlfn._xlws.FILTER(OFFSET($O$15,0,$DO140,$B$8,1),OFFSET($M$15,0,0,$B$8,1))=EJ$14))   /   SUM(OFFSET($BO$15,0,0,$B$14,1)) + $B$18/($B$19*$B$19*($DN140&lt;&gt;$DO140) + $B$19*($DN140=$DO140))</f>
        <v>3.7037037037037035E-4</v>
      </c>
      <c r="EK140" s="10" cm="1">
        <f t="array" aca="1" ref="EK140" ca="1">(1-$B$18)*SUMPRODUCT(OFFSET($BO$15,0,0,$B$14,1), 1*(_xlfn._xlws.FILTER(OFFSET($O$15,0,$DN140,$B$8,1),OFFSET($M$15,0,0,$B$8,1))=EK$13), 1*(_xlfn._xlws.FILTER(OFFSET($O$15,0,$DO140,$B$8,1),OFFSET($M$15,0,0,$B$8,1))=EK$14))   /   SUM(OFFSET($BO$15,0,0,$B$14,1)) + $B$18/($B$19*$B$19*($DN140&lt;&gt;$DO140) + $B$19*($DN140=$DO140))</f>
        <v>3.7037037037037035E-4</v>
      </c>
      <c r="EL140" s="10" cm="1">
        <f t="array" aca="1" ref="EL140" ca="1">(1-$B$18)*SUMPRODUCT(OFFSET($BO$15,0,0,$B$14,1), 1*(_xlfn._xlws.FILTER(OFFSET($O$15,0,$DN140,$B$8,1),OFFSET($M$15,0,0,$B$8,1))=EL$13), 1*(_xlfn._xlws.FILTER(OFFSET($O$15,0,$DO140,$B$8,1),OFFSET($M$15,0,0,$B$8,1))=EL$14))   /   SUM(OFFSET($BO$15,0,0,$B$14,1)) + $B$18/($B$19*$B$19*($DN140&lt;&gt;$DO140) + $B$19*($DN140=$DO140))</f>
        <v>3.7037037037037035E-4</v>
      </c>
      <c r="EM140" s="10" cm="1">
        <f t="array" aca="1" ref="EM140" ca="1">(1-$B$18)*SUMPRODUCT(OFFSET($BO$15,0,0,$B$14,1), 1*(_xlfn._xlws.FILTER(OFFSET($O$15,0,$DN140,$B$8,1),OFFSET($M$15,0,0,$B$8,1))=EM$13), 1*(_xlfn._xlws.FILTER(OFFSET($O$15,0,$DO140,$B$8,1),OFFSET($M$15,0,0,$B$8,1))=EM$14))   /   SUM(OFFSET($BO$15,0,0,$B$14,1)) + $B$18/($B$19*$B$19*($DN140&lt;&gt;$DO140) + $B$19*($DN140=$DO140))</f>
        <v>3.7037037037037035E-4</v>
      </c>
      <c r="EN140" s="10" cm="1">
        <f t="array" aca="1" ref="EN140" ca="1">(1-$B$18)*SUMPRODUCT(OFFSET($BO$15,0,0,$B$14,1), 1*(_xlfn._xlws.FILTER(OFFSET($O$15,0,$DN140,$B$8,1),OFFSET($M$15,0,0,$B$8,1))=EN$13), 1*(_xlfn._xlws.FILTER(OFFSET($O$15,0,$DO140,$B$8,1),OFFSET($M$15,0,0,$B$8,1))=EN$14))   /   SUM(OFFSET($BO$15,0,0,$B$14,1)) + $B$18/($B$19*$B$19*($DN140&lt;&gt;$DO140) + $B$19*($DN140=$DO140))</f>
        <v>3.7037037037037035E-4</v>
      </c>
      <c r="EO140" s="10" cm="1">
        <f t="array" aca="1" ref="EO140" ca="1">(1-$B$18)*SUMPRODUCT(OFFSET($BO$15,0,0,$B$14,1), 1*(_xlfn._xlws.FILTER(OFFSET($O$15,0,$DN140,$B$8,1),OFFSET($M$15,0,0,$B$8,1))=EO$13), 1*(_xlfn._xlws.FILTER(OFFSET($O$15,0,$DO140,$B$8,1),OFFSET($M$15,0,0,$B$8,1))=EO$14))   /   SUM(OFFSET($BO$15,0,0,$B$14,1)) + $B$18/($B$19*$B$19*($DN140&lt;&gt;$DO140) + $B$19*($DN140=$DO140))</f>
        <v>3.7037037037037035E-4</v>
      </c>
      <c r="EP140" s="10" cm="1">
        <f t="array" aca="1" ref="EP140" ca="1">(1-$B$18)*SUMPRODUCT(OFFSET($BO$15,0,0,$B$14,1), 1*(_xlfn._xlws.FILTER(OFFSET($O$15,0,$DN140,$B$8,1),OFFSET($M$15,0,0,$B$8,1))=EP$13), 1*(_xlfn._xlws.FILTER(OFFSET($O$15,0,$DO140,$B$8,1),OFFSET($M$15,0,0,$B$8,1))=EP$14))   /   SUM(OFFSET($BO$15,0,0,$B$14,1)) + $B$18/($B$19*$B$19*($DN140&lt;&gt;$DO140) + $B$19*($DN140=$DO140))</f>
        <v>3.7037037037037035E-4</v>
      </c>
      <c r="EQ140" s="10" cm="1">
        <f t="array" aca="1" ref="EQ140" ca="1">(1-$B$18)*SUMPRODUCT(OFFSET($BO$15,0,0,$B$14,1), 1*(_xlfn._xlws.FILTER(OFFSET($O$15,0,$DN140,$B$8,1),OFFSET($M$15,0,0,$B$8,1))=EQ$13), 1*(_xlfn._xlws.FILTER(OFFSET($O$15,0,$DO140,$B$8,1),OFFSET($M$15,0,0,$B$8,1))=EQ$14))   /   SUM(OFFSET($BO$15,0,0,$B$14,1)) + $B$18/($B$19*$B$19*($DN140&lt;&gt;$DO140) + $B$19*($DN140=$DO140))</f>
        <v>3.7037037037037035E-4</v>
      </c>
      <c r="ER140" s="10" cm="1">
        <f t="array" aca="1" ref="ER140" ca="1">(1-$B$18)*SUMPRODUCT(OFFSET($BO$15,0,0,$B$14,1), 1*(_xlfn._xlws.FILTER(OFFSET($O$15,0,$DN140,$B$8,1),OFFSET($M$15,0,0,$B$8,1))=ER$13), 1*(_xlfn._xlws.FILTER(OFFSET($O$15,0,$DO140,$B$8,1),OFFSET($M$15,0,0,$B$8,1))=ER$14))   /   SUM(OFFSET($BO$15,0,0,$B$14,1)) + $B$18/($B$19*$B$19*($DN140&lt;&gt;$DO140) + $B$19*($DN140=$DO140))</f>
        <v>3.7037037037037035E-4</v>
      </c>
      <c r="ES140" s="10" cm="1">
        <f t="array" aca="1" ref="ES140" ca="1">(1-$B$18)*SUMPRODUCT(OFFSET($BO$15,0,0,$B$14,1), 1*(_xlfn._xlws.FILTER(OFFSET($O$15,0,$DN140,$B$8,1),OFFSET($M$15,0,0,$B$8,1))=ES$13), 1*(_xlfn._xlws.FILTER(OFFSET($O$15,0,$DO140,$B$8,1),OFFSET($M$15,0,0,$B$8,1))=ES$14))   /   SUM(OFFSET($BO$15,0,0,$B$14,1)) + $B$18/($B$19*$B$19*($DN140&lt;&gt;$DO140) + $B$19*($DN140=$DO140))</f>
        <v>3.7037037037037035E-4</v>
      </c>
      <c r="ET140" s="10" cm="1">
        <f t="array" aca="1" ref="ET140" ca="1">(1-$B$18)*SUMPRODUCT(OFFSET($BO$15,0,0,$B$14,1), 1*(_xlfn._xlws.FILTER(OFFSET($O$15,0,$DN140,$B$8,1),OFFSET($M$15,0,0,$B$8,1))=ET$13), 1*(_xlfn._xlws.FILTER(OFFSET($O$15,0,$DO140,$B$8,1),OFFSET($M$15,0,0,$B$8,1))=ET$14))   /   SUM(OFFSET($BO$15,0,0,$B$14,1)) + $B$18/($B$19*$B$19*($DN140&lt;&gt;$DO140) + $B$19*($DN140=$DO140))</f>
        <v>3.7037037037037035E-4</v>
      </c>
      <c r="EU140" s="10" cm="1">
        <f t="array" aca="1" ref="EU140" ca="1">(1-$B$18)*SUMPRODUCT(OFFSET($BO$15,0,0,$B$14,1), 1*(_xlfn._xlws.FILTER(OFFSET($O$15,0,$DN140,$B$8,1),OFFSET($M$15,0,0,$B$8,1))=EU$13), 1*(_xlfn._xlws.FILTER(OFFSET($O$15,0,$DO140,$B$8,1),OFFSET($M$15,0,0,$B$8,1))=EU$14))   /   SUM(OFFSET($BO$15,0,0,$B$14,1)) + $B$18/($B$19*$B$19*($DN140&lt;&gt;$DO140) + $B$19*($DN140=$DO140))</f>
        <v>3.7037037037037035E-4</v>
      </c>
      <c r="EV140" s="10" cm="1">
        <f t="array" aca="1" ref="EV140" ca="1">(1-$B$18)*SUMPRODUCT(OFFSET($BO$15,0,0,$B$14,1), 1*(_xlfn._xlws.FILTER(OFFSET($O$15,0,$DN140,$B$8,1),OFFSET($M$15,0,0,$B$8,1))=EV$13), 1*(_xlfn._xlws.FILTER(OFFSET($O$15,0,$DO140,$B$8,1),OFFSET($M$15,0,0,$B$8,1))=EV$14))   /   SUM(OFFSET($BO$15,0,0,$B$14,1)) + $B$18/($B$19*$B$19*($DN140&lt;&gt;$DO140) + $B$19*($DN140=$DO140))</f>
        <v>3.7037037037037035E-4</v>
      </c>
      <c r="EW140" s="10" cm="1">
        <f t="array" aca="1" ref="EW140" ca="1">(1-$B$18)*SUMPRODUCT(OFFSET($BO$15,0,0,$B$14,1), 1*(_xlfn._xlws.FILTER(OFFSET($O$15,0,$DN140,$B$8,1),OFFSET($M$15,0,0,$B$8,1))=EW$13), 1*(_xlfn._xlws.FILTER(OFFSET($O$15,0,$DO140,$B$8,1),OFFSET($M$15,0,0,$B$8,1))=EW$14))   /   SUM(OFFSET($BO$15,0,0,$B$14,1)) + $B$18/($B$19*$B$19*($DN140&lt;&gt;$DO140) + $B$19*($DN140=$DO140))</f>
        <v>3.7037037037037035E-4</v>
      </c>
      <c r="EX140" s="10" cm="1">
        <f t="array" aca="1" ref="EX140" ca="1">(1-$B$18)*SUMPRODUCT(OFFSET($BO$15,0,0,$B$14,1), 1*(_xlfn._xlws.FILTER(OFFSET($O$15,0,$DN140,$B$8,1),OFFSET($M$15,0,0,$B$8,1))=EX$13), 1*(_xlfn._xlws.FILTER(OFFSET($O$15,0,$DO140,$B$8,1),OFFSET($M$15,0,0,$B$8,1))=EX$14))   /   SUM(OFFSET($BO$15,0,0,$B$14,1)) + $B$18/($B$19*$B$19*($DN140&lt;&gt;$DO140) + $B$19*($DN140=$DO140))</f>
        <v>3.7037037037037035E-4</v>
      </c>
      <c r="EY140" s="10" cm="1">
        <f t="array" aca="1" ref="EY140" ca="1">(1-$B$18)*SUMPRODUCT(OFFSET($BO$15,0,0,$B$14,1), 1*(_xlfn._xlws.FILTER(OFFSET($O$15,0,$DN140,$B$8,1),OFFSET($M$15,0,0,$B$8,1))=EY$13), 1*(_xlfn._xlws.FILTER(OFFSET($O$15,0,$DO140,$B$8,1),OFFSET($M$15,0,0,$B$8,1))=EY$14))   /   SUM(OFFSET($BO$15,0,0,$B$14,1)) + $B$18/($B$19*$B$19*($DN140&lt;&gt;$DO140) + $B$19*($DN140=$DO140))</f>
        <v>3.7037037037037035E-4</v>
      </c>
      <c r="EZ140" s="10" cm="1">
        <f t="array" aca="1" ref="EZ140" ca="1">(1-$B$18)*SUMPRODUCT(OFFSET($BO$15,0,0,$B$14,1), 1*(_xlfn._xlws.FILTER(OFFSET($O$15,0,$DN140,$B$8,1),OFFSET($M$15,0,0,$B$8,1))=EZ$13), 1*(_xlfn._xlws.FILTER(OFFSET($O$15,0,$DO140,$B$8,1),OFFSET($M$15,0,0,$B$8,1))=EZ$14))   /   SUM(OFFSET($BO$15,0,0,$B$14,1)) + $B$18/($B$19*$B$19*($DN140&lt;&gt;$DO140) + $B$19*($DN140=$DO140))</f>
        <v>3.7037037037037035E-4</v>
      </c>
      <c r="FA140" s="10" cm="1">
        <f t="array" aca="1" ref="FA140" ca="1">(1-$B$18)*SUMPRODUCT(OFFSET($BO$15,0,0,$B$14,1), 1*(_xlfn._xlws.FILTER(OFFSET($O$15,0,$DN140,$B$8,1),OFFSET($M$15,0,0,$B$8,1))=FA$13), 1*(_xlfn._xlws.FILTER(OFFSET($O$15,0,$DO140,$B$8,1),OFFSET($M$15,0,0,$B$8,1))=FA$14))   /   SUM(OFFSET($BO$15,0,0,$B$14,1)) + $B$18/($B$19*$B$19*($DN140&lt;&gt;$DO140) + $B$19*($DN140=$DO140))</f>
        <v>3.7037037037037035E-4</v>
      </c>
      <c r="FB140" s="10" cm="1">
        <f t="array" aca="1" ref="FB140" ca="1">(1-$B$18)*SUMPRODUCT(OFFSET($BO$15,0,0,$B$14,1), 1*(_xlfn._xlws.FILTER(OFFSET($O$15,0,$DN140,$B$8,1),OFFSET($M$15,0,0,$B$8,1))=FB$13), 1*(_xlfn._xlws.FILTER(OFFSET($O$15,0,$DO140,$B$8,1),OFFSET($M$15,0,0,$B$8,1))=FB$14))   /   SUM(OFFSET($BO$15,0,0,$B$14,1)) + $B$18/($B$19*$B$19*($DN140&lt;&gt;$DO140) + $B$19*($DN140=$DO140))</f>
        <v>3.7037037037037035E-4</v>
      </c>
      <c r="FC140" s="10" cm="1">
        <f t="array" aca="1" ref="FC140" ca="1">(1-$B$18)*SUMPRODUCT(OFFSET($BO$15,0,0,$B$14,1), 1*(_xlfn._xlws.FILTER(OFFSET($O$15,0,$DN140,$B$8,1),OFFSET($M$15,0,0,$B$8,1))=FC$13), 1*(_xlfn._xlws.FILTER(OFFSET($O$15,0,$DO140,$B$8,1),OFFSET($M$15,0,0,$B$8,1))=FC$14))   /   SUM(OFFSET($BO$15,0,0,$B$14,1)) + $B$18/($B$19*$B$19*($DN140&lt;&gt;$DO140) + $B$19*($DN140=$DO140))</f>
        <v>3.7037037037037035E-4</v>
      </c>
      <c r="FD140" s="10" cm="1">
        <f t="array" aca="1" ref="FD140" ca="1">(1-$B$18)*SUMPRODUCT(OFFSET($BO$15,0,0,$B$14,1), 1*(_xlfn._xlws.FILTER(OFFSET($O$15,0,$DN140,$B$8,1),OFFSET($M$15,0,0,$B$8,1))=FD$13), 1*(_xlfn._xlws.FILTER(OFFSET($O$15,0,$DO140,$B$8,1),OFFSET($M$15,0,0,$B$8,1))=FD$14))   /   SUM(OFFSET($BO$15,0,0,$B$14,1)) + $B$18/($B$19*$B$19*($DN140&lt;&gt;$DO140) + $B$19*($DN140=$DO140))</f>
        <v>3.7037037037037035E-4</v>
      </c>
      <c r="FE140" s="10" cm="1">
        <f t="array" aca="1" ref="FE140" ca="1">(1-$B$18)*SUMPRODUCT(OFFSET($BO$15,0,0,$B$14,1), 1*(_xlfn._xlws.FILTER(OFFSET($O$15,0,$DN140,$B$8,1),OFFSET($M$15,0,0,$B$8,1))=FE$13), 1*(_xlfn._xlws.FILTER(OFFSET($O$15,0,$DO140,$B$8,1),OFFSET($M$15,0,0,$B$8,1))=FE$14))   /   SUM(OFFSET($BO$15,0,0,$B$14,1)) + $B$18/($B$19*$B$19*($DN140&lt;&gt;$DO140) + $B$19*($DN140=$DO140))</f>
        <v>3.7037037037037035E-4</v>
      </c>
      <c r="FF140" s="10" cm="1">
        <f t="array" aca="1" ref="FF140" ca="1">(1-$B$18)*SUMPRODUCT(OFFSET($BO$15,0,0,$B$14,1), 1*(_xlfn._xlws.FILTER(OFFSET($O$15,0,$DN140,$B$8,1),OFFSET($M$15,0,0,$B$8,1))=FF$13), 1*(_xlfn._xlws.FILTER(OFFSET($O$15,0,$DO140,$B$8,1),OFFSET($M$15,0,0,$B$8,1))=FF$14))   /   SUM(OFFSET($BO$15,0,0,$B$14,1)) + $B$18/($B$19*$B$19*($DN140&lt;&gt;$DO140) + $B$19*($DN140=$DO140))</f>
        <v>3.7037037037037035E-4</v>
      </c>
      <c r="FG140" s="10" cm="1">
        <f t="array" aca="1" ref="FG140" ca="1">(1-$B$18)*SUMPRODUCT(OFFSET($BO$15,0,0,$B$14,1), 1*(_xlfn._xlws.FILTER(OFFSET($O$15,0,$DN140,$B$8,1),OFFSET($M$15,0,0,$B$8,1))=FG$13), 1*(_xlfn._xlws.FILTER(OFFSET($O$15,0,$DO140,$B$8,1),OFFSET($M$15,0,0,$B$8,1))=FG$14))   /   SUM(OFFSET($BO$15,0,0,$B$14,1)) + $B$18/($B$19*$B$19*($DN140&lt;&gt;$DO140) + $B$19*($DN140=$DO140))</f>
        <v>3.7037037037037035E-4</v>
      </c>
      <c r="FH140" s="10" cm="1">
        <f t="array" aca="1" ref="FH140" ca="1">(1-$B$18)*SUMPRODUCT(OFFSET($BO$15,0,0,$B$14,1), 1*(_xlfn._xlws.FILTER(OFFSET($O$15,0,$DN140,$B$8,1),OFFSET($M$15,0,0,$B$8,1))=FH$13), 1*(_xlfn._xlws.FILTER(OFFSET($O$15,0,$DO140,$B$8,1),OFFSET($M$15,0,0,$B$8,1))=FH$14))   /   SUM(OFFSET($BO$15,0,0,$B$14,1)) + $B$18/($B$19*$B$19*($DN140&lt;&gt;$DO140) + $B$19*($DN140=$DO140))</f>
        <v>3.7037037037037035E-4</v>
      </c>
      <c r="FI140" s="10" cm="1">
        <f t="array" aca="1" ref="FI140" ca="1">(1-$B$18)*SUMPRODUCT(OFFSET($BO$15,0,0,$B$14,1), 1*(_xlfn._xlws.FILTER(OFFSET($O$15,0,$DN140,$B$8,1),OFFSET($M$15,0,0,$B$8,1))=FI$13), 1*(_xlfn._xlws.FILTER(OFFSET($O$15,0,$DO140,$B$8,1),OFFSET($M$15,0,0,$B$8,1))=FI$14))   /   SUM(OFFSET($BO$15,0,0,$B$14,1)) + $B$18/($B$19*$B$19*($DN140&lt;&gt;$DO140) + $B$19*($DN140=$DO140))</f>
        <v>3.7037037037037035E-4</v>
      </c>
      <c r="FJ140" s="10" cm="1">
        <f t="array" aca="1" ref="FJ140" ca="1">(1-$B$18)*SUMPRODUCT(OFFSET($BO$15,0,0,$B$14,1), 1*(_xlfn._xlws.FILTER(OFFSET($O$15,0,$DN140,$B$8,1),OFFSET($M$15,0,0,$B$8,1))=FJ$13), 1*(_xlfn._xlws.FILTER(OFFSET($O$15,0,$DO140,$B$8,1),OFFSET($M$15,0,0,$B$8,1))=FJ$14))   /   SUM(OFFSET($BO$15,0,0,$B$14,1)) + $B$18/($B$19*$B$19*($DN140&lt;&gt;$DO140) + $B$19*($DN140=$DO140))</f>
        <v>3.7037037037037035E-4</v>
      </c>
      <c r="FK140" s="10" cm="1">
        <f t="array" aca="1" ref="FK140" ca="1">(1-$B$18)*SUMPRODUCT(OFFSET($BO$15,0,0,$B$14,1), 1*(_xlfn._xlws.FILTER(OFFSET($O$15,0,$DN140,$B$8,1),OFFSET($M$15,0,0,$B$8,1))=FK$13), 1*(_xlfn._xlws.FILTER(OFFSET($O$15,0,$DO140,$B$8,1),OFFSET($M$15,0,0,$B$8,1))=FK$14))   /   SUM(OFFSET($BO$15,0,0,$B$14,1)) + $B$18/($B$19*$B$19*($DN140&lt;&gt;$DO140) + $B$19*($DN140=$DO140))</f>
        <v>3.7037037037037035E-4</v>
      </c>
      <c r="FL140" s="10" cm="1">
        <f t="array" aca="1" ref="FL140" ca="1">(1-$B$18)*SUMPRODUCT(OFFSET($BO$15,0,0,$B$14,1), 1*(_xlfn._xlws.FILTER(OFFSET($O$15,0,$DN140,$B$8,1),OFFSET($M$15,0,0,$B$8,1))=FL$13), 1*(_xlfn._xlws.FILTER(OFFSET($O$15,0,$DO140,$B$8,1),OFFSET($M$15,0,0,$B$8,1))=FL$14))   /   SUM(OFFSET($BO$15,0,0,$B$14,1)) + $B$18/($B$19*$B$19*($DN140&lt;&gt;$DO140) + $B$19*($DN140=$DO140))</f>
        <v>3.7037037037037035E-4</v>
      </c>
      <c r="FM140" s="10" cm="1">
        <f t="array" aca="1" ref="FM140" ca="1">(1-$B$18)*SUMPRODUCT(OFFSET($BO$15,0,0,$B$14,1), 1*(_xlfn._xlws.FILTER(OFFSET($O$15,0,$DN140,$B$8,1),OFFSET($M$15,0,0,$B$8,1))=FM$13), 1*(_xlfn._xlws.FILTER(OFFSET($O$15,0,$DO140,$B$8,1),OFFSET($M$15,0,0,$B$8,1))=FM$14))   /   SUM(OFFSET($BO$15,0,0,$B$14,1)) + $B$18/($B$19*$B$19*($DN140&lt;&gt;$DO140) + $B$19*($DN140=$DO140))</f>
        <v>0.97037037037037033</v>
      </c>
      <c r="FN140" s="10" cm="1">
        <f t="array" aca="1" ref="FN140" ca="1">(1-$B$18)*SUMPRODUCT(OFFSET($BO$15,0,0,$B$14,1), 1*(_xlfn._xlws.FILTER(OFFSET($O$15,0,$DN140,$B$8,1),OFFSET($M$15,0,0,$B$8,1))=FN$13), 1*(_xlfn._xlws.FILTER(OFFSET($O$15,0,$DO140,$B$8,1),OFFSET($M$15,0,0,$B$8,1))=FN$14))   /   SUM(OFFSET($BO$15,0,0,$B$14,1)) + $B$18/($B$19*$B$19*($DN140&lt;&gt;$DO140) + $B$19*($DN140=$DO140))</f>
        <v>3.7037037037037035E-4</v>
      </c>
      <c r="FO140" s="10" cm="1">
        <f t="array" aca="1" ref="FO140" ca="1">(1-$B$18)*SUMPRODUCT(OFFSET($BO$15,0,0,$B$14,1), 1*(_xlfn._xlws.FILTER(OFFSET($O$15,0,$DN140,$B$8,1),OFFSET($M$15,0,0,$B$8,1))=FO$13), 1*(_xlfn._xlws.FILTER(OFFSET($O$15,0,$DO140,$B$8,1),OFFSET($M$15,0,0,$B$8,1))=FO$14))   /   SUM(OFFSET($BO$15,0,0,$B$14,1)) + $B$18/($B$19*$B$19*($DN140&lt;&gt;$DO140) + $B$19*($DN140=$DO140))</f>
        <v>3.7037037037037035E-4</v>
      </c>
      <c r="FP140" s="10" cm="1">
        <f t="array" aca="1" ref="FP140" ca="1">(1-$B$18)*SUMPRODUCT(OFFSET($BO$15,0,0,$B$14,1), 1*(_xlfn._xlws.FILTER(OFFSET($O$15,0,$DN140,$B$8,1),OFFSET($M$15,0,0,$B$8,1))=FP$13), 1*(_xlfn._xlws.FILTER(OFFSET($O$15,0,$DO140,$B$8,1),OFFSET($M$15,0,0,$B$8,1))=FP$14))   /   SUM(OFFSET($BO$15,0,0,$B$14,1)) + $B$18/($B$19*$B$19*($DN140&lt;&gt;$DO140) + $B$19*($DN140=$DO140))</f>
        <v>3.7037037037037035E-4</v>
      </c>
      <c r="FQ140" s="10" cm="1">
        <f t="array" aca="1" ref="FQ140" ca="1">(1-$B$18)*SUMPRODUCT(OFFSET($BO$15,0,0,$B$14,1), 1*(_xlfn._xlws.FILTER(OFFSET($O$15,0,$DN140,$B$8,1),OFFSET($M$15,0,0,$B$8,1))=FQ$13), 1*(_xlfn._xlws.FILTER(OFFSET($O$15,0,$DO140,$B$8,1),OFFSET($M$15,0,0,$B$8,1))=FQ$14))   /   SUM(OFFSET($BO$15,0,0,$B$14,1)) + $B$18/($B$19*$B$19*($DN140&lt;&gt;$DO140) + $B$19*($DN140=$DO140))</f>
        <v>3.7037037037037035E-4</v>
      </c>
      <c r="FR140" s="10" cm="1">
        <f t="array" aca="1" ref="FR140" ca="1">(1-$B$18)*SUMPRODUCT(OFFSET($BO$15,0,0,$B$14,1), 1*(_xlfn._xlws.FILTER(OFFSET($O$15,0,$DN140,$B$8,1),OFFSET($M$15,0,0,$B$8,1))=FR$13), 1*(_xlfn._xlws.FILTER(OFFSET($O$15,0,$DO140,$B$8,1),OFFSET($M$15,0,0,$B$8,1))=FR$14))   /   SUM(OFFSET($BO$15,0,0,$B$14,1)) + $B$18/($B$19*$B$19*($DN140&lt;&gt;$DO140) + $B$19*($DN140=$DO140))</f>
        <v>3.7037037037037035E-4</v>
      </c>
      <c r="FS140" s="10" cm="1">
        <f t="array" aca="1" ref="FS140" ca="1">(1-$B$18)*SUMPRODUCT(OFFSET($BO$15,0,0,$B$14,1), 1*(_xlfn._xlws.FILTER(OFFSET($O$15,0,$DN140,$B$8,1),OFFSET($M$15,0,0,$B$8,1))=FS$13), 1*(_xlfn._xlws.FILTER(OFFSET($O$15,0,$DO140,$B$8,1),OFFSET($M$15,0,0,$B$8,1))=FS$14))   /   SUM(OFFSET($BO$15,0,0,$B$14,1)) + $B$18/($B$19*$B$19*($DN140&lt;&gt;$DO140) + $B$19*($DN140=$DO140))</f>
        <v>3.7037037037037035E-4</v>
      </c>
      <c r="FT140" s="10" cm="1">
        <f t="array" aca="1" ref="FT140" ca="1">(1-$B$18)*SUMPRODUCT(OFFSET($BO$15,0,0,$B$14,1), 1*(_xlfn._xlws.FILTER(OFFSET($O$15,0,$DN140,$B$8,1),OFFSET($M$15,0,0,$B$8,1))=FT$13), 1*(_xlfn._xlws.FILTER(OFFSET($O$15,0,$DO140,$B$8,1),OFFSET($M$15,0,0,$B$8,1))=FT$14))   /   SUM(OFFSET($BO$15,0,0,$B$14,1)) + $B$18/($B$19*$B$19*($DN140&lt;&gt;$DO140) + $B$19*($DN140=$DO140))</f>
        <v>3.7037037037037035E-4</v>
      </c>
      <c r="FU140" s="10" cm="1">
        <f t="array" aca="1" ref="FU140" ca="1">(1-$B$18)*SUMPRODUCT(OFFSET($BO$15,0,0,$B$14,1), 1*(_xlfn._xlws.FILTER(OFFSET($O$15,0,$DN140,$B$8,1),OFFSET($M$15,0,0,$B$8,1))=FU$13), 1*(_xlfn._xlws.FILTER(OFFSET($O$15,0,$DO140,$B$8,1),OFFSET($M$15,0,0,$B$8,1))=FU$14))   /   SUM(OFFSET($BO$15,0,0,$B$14,1)) + $B$18/($B$19*$B$19*($DN140&lt;&gt;$DO140) + $B$19*($DN140=$DO140))</f>
        <v>3.7037037037037035E-4</v>
      </c>
      <c r="FV140" s="10" cm="1">
        <f t="array" aca="1" ref="FV140" ca="1">(1-$B$18)*SUMPRODUCT(OFFSET($BO$15,0,0,$B$14,1), 1*(_xlfn._xlws.FILTER(OFFSET($O$15,0,$DN140,$B$8,1),OFFSET($M$15,0,0,$B$8,1))=FV$13), 1*(_xlfn._xlws.FILTER(OFFSET($O$15,0,$DO140,$B$8,1),OFFSET($M$15,0,0,$B$8,1))=FV$14))   /   SUM(OFFSET($BO$15,0,0,$B$14,1)) + $B$18/($B$19*$B$19*($DN140&lt;&gt;$DO140) + $B$19*($DN140=$DO140))</f>
        <v>3.7037037037037035E-4</v>
      </c>
      <c r="FW140" s="10" cm="1">
        <f t="array" aca="1" ref="FW140" ca="1">(1-$B$18)*SUMPRODUCT(OFFSET($BO$15,0,0,$B$14,1), 1*(_xlfn._xlws.FILTER(OFFSET($O$15,0,$DN140,$B$8,1),OFFSET($M$15,0,0,$B$8,1))=FW$13), 1*(_xlfn._xlws.FILTER(OFFSET($O$15,0,$DO140,$B$8,1),OFFSET($M$15,0,0,$B$8,1))=FW$14))   /   SUM(OFFSET($BO$15,0,0,$B$14,1)) + $B$18/($B$19*$B$19*($DN140&lt;&gt;$DO140) + $B$19*($DN140=$DO140))</f>
        <v>3.7037037037037035E-4</v>
      </c>
      <c r="FX140" s="10" cm="1">
        <f t="array" aca="1" ref="FX140" ca="1">(1-$B$18)*SUMPRODUCT(OFFSET($BO$15,0,0,$B$14,1), 1*(_xlfn._xlws.FILTER(OFFSET($O$15,0,$DN140,$B$8,1),OFFSET($M$15,0,0,$B$8,1))=FX$13), 1*(_xlfn._xlws.FILTER(OFFSET($O$15,0,$DO140,$B$8,1),OFFSET($M$15,0,0,$B$8,1))=FX$14))   /   SUM(OFFSET($BO$15,0,0,$B$14,1)) + $B$18/($B$19*$B$19*($DN140&lt;&gt;$DO140) + $B$19*($DN140=$DO140))</f>
        <v>3.7037037037037035E-4</v>
      </c>
      <c r="FY140" s="10" cm="1">
        <f t="array" aca="1" ref="FY140" ca="1">(1-$B$18)*SUMPRODUCT(OFFSET($BO$15,0,0,$B$14,1), 1*(_xlfn._xlws.FILTER(OFFSET($O$15,0,$DN140,$B$8,1),OFFSET($M$15,0,0,$B$8,1))=FY$13), 1*(_xlfn._xlws.FILTER(OFFSET($O$15,0,$DO140,$B$8,1),OFFSET($M$15,0,0,$B$8,1))=FY$14))   /   SUM(OFFSET($BO$15,0,0,$B$14,1)) + $B$18/($B$19*$B$19*($DN140&lt;&gt;$DO140) + $B$19*($DN140=$DO140))</f>
        <v>3.7037037037037035E-4</v>
      </c>
      <c r="FZ140" s="10" cm="1">
        <f t="array" aca="1" ref="FZ140" ca="1">(1-$B$18)*SUMPRODUCT(OFFSET($BO$15,0,0,$B$14,1), 1*(_xlfn._xlws.FILTER(OFFSET($O$15,0,$DN140,$B$8,1),OFFSET($M$15,0,0,$B$8,1))=FZ$13), 1*(_xlfn._xlws.FILTER(OFFSET($O$15,0,$DO140,$B$8,1),OFFSET($M$15,0,0,$B$8,1))=FZ$14))   /   SUM(OFFSET($BO$15,0,0,$B$14,1)) + $B$18/($B$19*$B$19*($DN140&lt;&gt;$DO140) + $B$19*($DN140=$DO140))</f>
        <v>3.7037037037037035E-4</v>
      </c>
      <c r="GA140" s="10" cm="1">
        <f t="array" aca="1" ref="GA140" ca="1">(1-$B$18)*SUMPRODUCT(OFFSET($BO$15,0,0,$B$14,1), 1*(_xlfn._xlws.FILTER(OFFSET($O$15,0,$DN140,$B$8,1),OFFSET($M$15,0,0,$B$8,1))=GA$13), 1*(_xlfn._xlws.FILTER(OFFSET($O$15,0,$DO140,$B$8,1),OFFSET($M$15,0,0,$B$8,1))=GA$14))   /   SUM(OFFSET($BO$15,0,0,$B$14,1)) + $B$18/($B$19*$B$19*($DN140&lt;&gt;$DO140) + $B$19*($DN140=$DO140))</f>
        <v>3.7037037037037035E-4</v>
      </c>
    </row>
    <row r="141" spans="7:183" x14ac:dyDescent="0.2">
      <c r="G141" s="2"/>
      <c r="H141" s="2"/>
      <c r="AH141" s="2"/>
      <c r="AI141" s="2"/>
      <c r="DN141" cm="1">
        <f t="array" aca="1" ref="DN141" ca="1">INDEX(_xlfn.ANCHORARRAY($CP$15), 1 + INT((ROWS($DO$15:$DO141) - 1) / ROWS(_xlfn.ANCHORARRAY($CP$15))))</f>
        <v>6</v>
      </c>
      <c r="DO141" cm="1">
        <f t="array" aca="1" ref="DO141" ca="1">INDEX(_xlfn.ANCHORARRAY($CP$15),1+MOD(ROWS($DO$15:$DO141)-1,ROWS(_xlfn.ANCHORARRAY($CP$15))))</f>
        <v>13</v>
      </c>
      <c r="DP141" s="10" cm="1">
        <f t="array" aca="1" ref="DP141" ca="1">(1-$B$18)*SUMPRODUCT(OFFSET($BO$15,0,0,$B$14,1), 1*(_xlfn._xlws.FILTER(OFFSET($O$15,0,$DN141,$B$8,1),OFFSET($M$15,0,0,$B$8,1))=DP$13), 1*(_xlfn._xlws.FILTER(OFFSET($O$15,0,$DO141,$B$8,1),OFFSET($M$15,0,0,$B$8,1))=DP$14))   /   SUM(OFFSET($BO$15,0,0,$B$14,1)) + $B$18/($B$19*$B$19*($DN141&lt;&gt;$DO141) + $B$19*($DN141=$DO141))</f>
        <v>3.7037037037037035E-4</v>
      </c>
      <c r="DQ141" s="10" cm="1">
        <f t="array" aca="1" ref="DQ141" ca="1">(1-$B$18)*SUMPRODUCT(OFFSET($BO$15,0,0,$B$14,1), 1*(_xlfn._xlws.FILTER(OFFSET($O$15,0,$DN141,$B$8,1),OFFSET($M$15,0,0,$B$8,1))=DQ$13), 1*(_xlfn._xlws.FILTER(OFFSET($O$15,0,$DO141,$B$8,1),OFFSET($M$15,0,0,$B$8,1))=DQ$14))   /   SUM(OFFSET($BO$15,0,0,$B$14,1)) + $B$18/($B$19*$B$19*($DN141&lt;&gt;$DO141) + $B$19*($DN141=$DO141))</f>
        <v>3.7037037037037035E-4</v>
      </c>
      <c r="DR141" s="10" cm="1">
        <f t="array" aca="1" ref="DR141" ca="1">(1-$B$18)*SUMPRODUCT(OFFSET($BO$15,0,0,$B$14,1), 1*(_xlfn._xlws.FILTER(OFFSET($O$15,0,$DN141,$B$8,1),OFFSET($M$15,0,0,$B$8,1))=DR$13), 1*(_xlfn._xlws.FILTER(OFFSET($O$15,0,$DO141,$B$8,1),OFFSET($M$15,0,0,$B$8,1))=DR$14))   /   SUM(OFFSET($BO$15,0,0,$B$14,1)) + $B$18/($B$19*$B$19*($DN141&lt;&gt;$DO141) + $B$19*($DN141=$DO141))</f>
        <v>3.7037037037037035E-4</v>
      </c>
      <c r="DS141" s="10" cm="1">
        <f t="array" aca="1" ref="DS141" ca="1">(1-$B$18)*SUMPRODUCT(OFFSET($BO$15,0,0,$B$14,1), 1*(_xlfn._xlws.FILTER(OFFSET($O$15,0,$DN141,$B$8,1),OFFSET($M$15,0,0,$B$8,1))=DS$13), 1*(_xlfn._xlws.FILTER(OFFSET($O$15,0,$DO141,$B$8,1),OFFSET($M$15,0,0,$B$8,1))=DS$14))   /   SUM(OFFSET($BO$15,0,0,$B$14,1)) + $B$18/($B$19*$B$19*($DN141&lt;&gt;$DO141) + $B$19*($DN141=$DO141))</f>
        <v>3.7037037037037035E-4</v>
      </c>
      <c r="DT141" s="10" cm="1">
        <f t="array" aca="1" ref="DT141" ca="1">(1-$B$18)*SUMPRODUCT(OFFSET($BO$15,0,0,$B$14,1), 1*(_xlfn._xlws.FILTER(OFFSET($O$15,0,$DN141,$B$8,1),OFFSET($M$15,0,0,$B$8,1))=DT$13), 1*(_xlfn._xlws.FILTER(OFFSET($O$15,0,$DO141,$B$8,1),OFFSET($M$15,0,0,$B$8,1))=DT$14))   /   SUM(OFFSET($BO$15,0,0,$B$14,1)) + $B$18/($B$19*$B$19*($DN141&lt;&gt;$DO141) + $B$19*($DN141=$DO141))</f>
        <v>3.7037037037037035E-4</v>
      </c>
      <c r="DU141" s="10" cm="1">
        <f t="array" aca="1" ref="DU141" ca="1">(1-$B$18)*SUMPRODUCT(OFFSET($BO$15,0,0,$B$14,1), 1*(_xlfn._xlws.FILTER(OFFSET($O$15,0,$DN141,$B$8,1),OFFSET($M$15,0,0,$B$8,1))=DU$13), 1*(_xlfn._xlws.FILTER(OFFSET($O$15,0,$DO141,$B$8,1),OFFSET($M$15,0,0,$B$8,1))=DU$14))   /   SUM(OFFSET($BO$15,0,0,$B$14,1)) + $B$18/($B$19*$B$19*($DN141&lt;&gt;$DO141) + $B$19*($DN141=$DO141))</f>
        <v>3.7037037037037035E-4</v>
      </c>
      <c r="DV141" s="10" cm="1">
        <f t="array" aca="1" ref="DV141" ca="1">(1-$B$18)*SUMPRODUCT(OFFSET($BO$15,0,0,$B$14,1), 1*(_xlfn._xlws.FILTER(OFFSET($O$15,0,$DN141,$B$8,1),OFFSET($M$15,0,0,$B$8,1))=DV$13), 1*(_xlfn._xlws.FILTER(OFFSET($O$15,0,$DO141,$B$8,1),OFFSET($M$15,0,0,$B$8,1))=DV$14))   /   SUM(OFFSET($BO$15,0,0,$B$14,1)) + $B$18/($B$19*$B$19*($DN141&lt;&gt;$DO141) + $B$19*($DN141=$DO141))</f>
        <v>3.7037037037037035E-4</v>
      </c>
      <c r="DW141" s="10" cm="1">
        <f t="array" aca="1" ref="DW141" ca="1">(1-$B$18)*SUMPRODUCT(OFFSET($BO$15,0,0,$B$14,1), 1*(_xlfn._xlws.FILTER(OFFSET($O$15,0,$DN141,$B$8,1),OFFSET($M$15,0,0,$B$8,1))=DW$13), 1*(_xlfn._xlws.FILTER(OFFSET($O$15,0,$DO141,$B$8,1),OFFSET($M$15,0,0,$B$8,1))=DW$14))   /   SUM(OFFSET($BO$15,0,0,$B$14,1)) + $B$18/($B$19*$B$19*($DN141&lt;&gt;$DO141) + $B$19*($DN141=$DO141))</f>
        <v>3.7037037037037035E-4</v>
      </c>
      <c r="DX141" s="10" cm="1">
        <f t="array" aca="1" ref="DX141" ca="1">(1-$B$18)*SUMPRODUCT(OFFSET($BO$15,0,0,$B$14,1), 1*(_xlfn._xlws.FILTER(OFFSET($O$15,0,$DN141,$B$8,1),OFFSET($M$15,0,0,$B$8,1))=DX$13), 1*(_xlfn._xlws.FILTER(OFFSET($O$15,0,$DO141,$B$8,1),OFFSET($M$15,0,0,$B$8,1))=DX$14))   /   SUM(OFFSET($BO$15,0,0,$B$14,1)) + $B$18/($B$19*$B$19*($DN141&lt;&gt;$DO141) + $B$19*($DN141=$DO141))</f>
        <v>3.7037037037037035E-4</v>
      </c>
      <c r="DY141" s="10" cm="1">
        <f t="array" aca="1" ref="DY141" ca="1">(1-$B$18)*SUMPRODUCT(OFFSET($BO$15,0,0,$B$14,1), 1*(_xlfn._xlws.FILTER(OFFSET($O$15,0,$DN141,$B$8,1),OFFSET($M$15,0,0,$B$8,1))=DY$13), 1*(_xlfn._xlws.FILTER(OFFSET($O$15,0,$DO141,$B$8,1),OFFSET($M$15,0,0,$B$8,1))=DY$14))   /   SUM(OFFSET($BO$15,0,0,$B$14,1)) + $B$18/($B$19*$B$19*($DN141&lt;&gt;$DO141) + $B$19*($DN141=$DO141))</f>
        <v>3.7037037037037035E-4</v>
      </c>
      <c r="DZ141" s="10" cm="1">
        <f t="array" aca="1" ref="DZ141" ca="1">(1-$B$18)*SUMPRODUCT(OFFSET($BO$15,0,0,$B$14,1), 1*(_xlfn._xlws.FILTER(OFFSET($O$15,0,$DN141,$B$8,1),OFFSET($M$15,0,0,$B$8,1))=DZ$13), 1*(_xlfn._xlws.FILTER(OFFSET($O$15,0,$DO141,$B$8,1),OFFSET($M$15,0,0,$B$8,1))=DZ$14))   /   SUM(OFFSET($BO$15,0,0,$B$14,1)) + $B$18/($B$19*$B$19*($DN141&lt;&gt;$DO141) + $B$19*($DN141=$DO141))</f>
        <v>3.7037037037037035E-4</v>
      </c>
      <c r="EA141" s="10" cm="1">
        <f t="array" aca="1" ref="EA141" ca="1">(1-$B$18)*SUMPRODUCT(OFFSET($BO$15,0,0,$B$14,1), 1*(_xlfn._xlws.FILTER(OFFSET($O$15,0,$DN141,$B$8,1),OFFSET($M$15,0,0,$B$8,1))=EA$13), 1*(_xlfn._xlws.FILTER(OFFSET($O$15,0,$DO141,$B$8,1),OFFSET($M$15,0,0,$B$8,1))=EA$14))   /   SUM(OFFSET($BO$15,0,0,$B$14,1)) + $B$18/($B$19*$B$19*($DN141&lt;&gt;$DO141) + $B$19*($DN141=$DO141))</f>
        <v>3.7037037037037035E-4</v>
      </c>
      <c r="EB141" s="10" cm="1">
        <f t="array" aca="1" ref="EB141" ca="1">(1-$B$18)*SUMPRODUCT(OFFSET($BO$15,0,0,$B$14,1), 1*(_xlfn._xlws.FILTER(OFFSET($O$15,0,$DN141,$B$8,1),OFFSET($M$15,0,0,$B$8,1))=EB$13), 1*(_xlfn._xlws.FILTER(OFFSET($O$15,0,$DO141,$B$8,1),OFFSET($M$15,0,0,$B$8,1))=EB$14))   /   SUM(OFFSET($BO$15,0,0,$B$14,1)) + $B$18/($B$19*$B$19*($DN141&lt;&gt;$DO141) + $B$19*($DN141=$DO141))</f>
        <v>3.7037037037037035E-4</v>
      </c>
      <c r="EC141" s="10" cm="1">
        <f t="array" aca="1" ref="EC141" ca="1">(1-$B$18)*SUMPRODUCT(OFFSET($BO$15,0,0,$B$14,1), 1*(_xlfn._xlws.FILTER(OFFSET($O$15,0,$DN141,$B$8,1),OFFSET($M$15,0,0,$B$8,1))=EC$13), 1*(_xlfn._xlws.FILTER(OFFSET($O$15,0,$DO141,$B$8,1),OFFSET($M$15,0,0,$B$8,1))=EC$14))   /   SUM(OFFSET($BO$15,0,0,$B$14,1)) + $B$18/($B$19*$B$19*($DN141&lt;&gt;$DO141) + $B$19*($DN141=$DO141))</f>
        <v>3.7037037037037035E-4</v>
      </c>
      <c r="ED141" s="10" cm="1">
        <f t="array" aca="1" ref="ED141" ca="1">(1-$B$18)*SUMPRODUCT(OFFSET($BO$15,0,0,$B$14,1), 1*(_xlfn._xlws.FILTER(OFFSET($O$15,0,$DN141,$B$8,1),OFFSET($M$15,0,0,$B$8,1))=ED$13), 1*(_xlfn._xlws.FILTER(OFFSET($O$15,0,$DO141,$B$8,1),OFFSET($M$15,0,0,$B$8,1))=ED$14))   /   SUM(OFFSET($BO$15,0,0,$B$14,1)) + $B$18/($B$19*$B$19*($DN141&lt;&gt;$DO141) + $B$19*($DN141=$DO141))</f>
        <v>3.7037037037037035E-4</v>
      </c>
      <c r="EE141" s="10" cm="1">
        <f t="array" aca="1" ref="EE141" ca="1">(1-$B$18)*SUMPRODUCT(OFFSET($BO$15,0,0,$B$14,1), 1*(_xlfn._xlws.FILTER(OFFSET($O$15,0,$DN141,$B$8,1),OFFSET($M$15,0,0,$B$8,1))=EE$13), 1*(_xlfn._xlws.FILTER(OFFSET($O$15,0,$DO141,$B$8,1),OFFSET($M$15,0,0,$B$8,1))=EE$14))   /   SUM(OFFSET($BO$15,0,0,$B$14,1)) + $B$18/($B$19*$B$19*($DN141&lt;&gt;$DO141) + $B$19*($DN141=$DO141))</f>
        <v>3.7037037037037035E-4</v>
      </c>
      <c r="EF141" s="10" cm="1">
        <f t="array" aca="1" ref="EF141" ca="1">(1-$B$18)*SUMPRODUCT(OFFSET($BO$15,0,0,$B$14,1), 1*(_xlfn._xlws.FILTER(OFFSET($O$15,0,$DN141,$B$8,1),OFFSET($M$15,0,0,$B$8,1))=EF$13), 1*(_xlfn._xlws.FILTER(OFFSET($O$15,0,$DO141,$B$8,1),OFFSET($M$15,0,0,$B$8,1))=EF$14))   /   SUM(OFFSET($BO$15,0,0,$B$14,1)) + $B$18/($B$19*$B$19*($DN141&lt;&gt;$DO141) + $B$19*($DN141=$DO141))</f>
        <v>3.7037037037037035E-4</v>
      </c>
      <c r="EG141" s="10" cm="1">
        <f t="array" aca="1" ref="EG141" ca="1">(1-$B$18)*SUMPRODUCT(OFFSET($BO$15,0,0,$B$14,1), 1*(_xlfn._xlws.FILTER(OFFSET($O$15,0,$DN141,$B$8,1),OFFSET($M$15,0,0,$B$8,1))=EG$13), 1*(_xlfn._xlws.FILTER(OFFSET($O$15,0,$DO141,$B$8,1),OFFSET($M$15,0,0,$B$8,1))=EG$14))   /   SUM(OFFSET($BO$15,0,0,$B$14,1)) + $B$18/($B$19*$B$19*($DN141&lt;&gt;$DO141) + $B$19*($DN141=$DO141))</f>
        <v>3.7037037037037035E-4</v>
      </c>
      <c r="EH141" s="10" cm="1">
        <f t="array" aca="1" ref="EH141" ca="1">(1-$B$18)*SUMPRODUCT(OFFSET($BO$15,0,0,$B$14,1), 1*(_xlfn._xlws.FILTER(OFFSET($O$15,0,$DN141,$B$8,1),OFFSET($M$15,0,0,$B$8,1))=EH$13), 1*(_xlfn._xlws.FILTER(OFFSET($O$15,0,$DO141,$B$8,1),OFFSET($M$15,0,0,$B$8,1))=EH$14))   /   SUM(OFFSET($BO$15,0,0,$B$14,1)) + $B$18/($B$19*$B$19*($DN141&lt;&gt;$DO141) + $B$19*($DN141=$DO141))</f>
        <v>3.7037037037037035E-4</v>
      </c>
      <c r="EI141" s="10" cm="1">
        <f t="array" aca="1" ref="EI141" ca="1">(1-$B$18)*SUMPRODUCT(OFFSET($BO$15,0,0,$B$14,1), 1*(_xlfn._xlws.FILTER(OFFSET($O$15,0,$DN141,$B$8,1),OFFSET($M$15,0,0,$B$8,1))=EI$13), 1*(_xlfn._xlws.FILTER(OFFSET($O$15,0,$DO141,$B$8,1),OFFSET($M$15,0,0,$B$8,1))=EI$14))   /   SUM(OFFSET($BO$15,0,0,$B$14,1)) + $B$18/($B$19*$B$19*($DN141&lt;&gt;$DO141) + $B$19*($DN141=$DO141))</f>
        <v>3.7037037037037035E-4</v>
      </c>
      <c r="EJ141" s="10" cm="1">
        <f t="array" aca="1" ref="EJ141" ca="1">(1-$B$18)*SUMPRODUCT(OFFSET($BO$15,0,0,$B$14,1), 1*(_xlfn._xlws.FILTER(OFFSET($O$15,0,$DN141,$B$8,1),OFFSET($M$15,0,0,$B$8,1))=EJ$13), 1*(_xlfn._xlws.FILTER(OFFSET($O$15,0,$DO141,$B$8,1),OFFSET($M$15,0,0,$B$8,1))=EJ$14))   /   SUM(OFFSET($BO$15,0,0,$B$14,1)) + $B$18/($B$19*$B$19*($DN141&lt;&gt;$DO141) + $B$19*($DN141=$DO141))</f>
        <v>3.7037037037037035E-4</v>
      </c>
      <c r="EK141" s="10" cm="1">
        <f t="array" aca="1" ref="EK141" ca="1">(1-$B$18)*SUMPRODUCT(OFFSET($BO$15,0,0,$B$14,1), 1*(_xlfn._xlws.FILTER(OFFSET($O$15,0,$DN141,$B$8,1),OFFSET($M$15,0,0,$B$8,1))=EK$13), 1*(_xlfn._xlws.FILTER(OFFSET($O$15,0,$DO141,$B$8,1),OFFSET($M$15,0,0,$B$8,1))=EK$14))   /   SUM(OFFSET($BO$15,0,0,$B$14,1)) + $B$18/($B$19*$B$19*($DN141&lt;&gt;$DO141) + $B$19*($DN141=$DO141))</f>
        <v>3.7037037037037035E-4</v>
      </c>
      <c r="EL141" s="10" cm="1">
        <f t="array" aca="1" ref="EL141" ca="1">(1-$B$18)*SUMPRODUCT(OFFSET($BO$15,0,0,$B$14,1), 1*(_xlfn._xlws.FILTER(OFFSET($O$15,0,$DN141,$B$8,1),OFFSET($M$15,0,0,$B$8,1))=EL$13), 1*(_xlfn._xlws.FILTER(OFFSET($O$15,0,$DO141,$B$8,1),OFFSET($M$15,0,0,$B$8,1))=EL$14))   /   SUM(OFFSET($BO$15,0,0,$B$14,1)) + $B$18/($B$19*$B$19*($DN141&lt;&gt;$DO141) + $B$19*($DN141=$DO141))</f>
        <v>3.7037037037037035E-4</v>
      </c>
      <c r="EM141" s="10" cm="1">
        <f t="array" aca="1" ref="EM141" ca="1">(1-$B$18)*SUMPRODUCT(OFFSET($BO$15,0,0,$B$14,1), 1*(_xlfn._xlws.FILTER(OFFSET($O$15,0,$DN141,$B$8,1),OFFSET($M$15,0,0,$B$8,1))=EM$13), 1*(_xlfn._xlws.FILTER(OFFSET($O$15,0,$DO141,$B$8,1),OFFSET($M$15,0,0,$B$8,1))=EM$14))   /   SUM(OFFSET($BO$15,0,0,$B$14,1)) + $B$18/($B$19*$B$19*($DN141&lt;&gt;$DO141) + $B$19*($DN141=$DO141))</f>
        <v>3.7037037037037035E-4</v>
      </c>
      <c r="EN141" s="10" cm="1">
        <f t="array" aca="1" ref="EN141" ca="1">(1-$B$18)*SUMPRODUCT(OFFSET($BO$15,0,0,$B$14,1), 1*(_xlfn._xlws.FILTER(OFFSET($O$15,0,$DN141,$B$8,1),OFFSET($M$15,0,0,$B$8,1))=EN$13), 1*(_xlfn._xlws.FILTER(OFFSET($O$15,0,$DO141,$B$8,1),OFFSET($M$15,0,0,$B$8,1))=EN$14))   /   SUM(OFFSET($BO$15,0,0,$B$14,1)) + $B$18/($B$19*$B$19*($DN141&lt;&gt;$DO141) + $B$19*($DN141=$DO141))</f>
        <v>3.7037037037037035E-4</v>
      </c>
      <c r="EO141" s="10" cm="1">
        <f t="array" aca="1" ref="EO141" ca="1">(1-$B$18)*SUMPRODUCT(OFFSET($BO$15,0,0,$B$14,1), 1*(_xlfn._xlws.FILTER(OFFSET($O$15,0,$DN141,$B$8,1),OFFSET($M$15,0,0,$B$8,1))=EO$13), 1*(_xlfn._xlws.FILTER(OFFSET($O$15,0,$DO141,$B$8,1),OFFSET($M$15,0,0,$B$8,1))=EO$14))   /   SUM(OFFSET($BO$15,0,0,$B$14,1)) + $B$18/($B$19*$B$19*($DN141&lt;&gt;$DO141) + $B$19*($DN141=$DO141))</f>
        <v>3.7037037037037035E-4</v>
      </c>
      <c r="EP141" s="10" cm="1">
        <f t="array" aca="1" ref="EP141" ca="1">(1-$B$18)*SUMPRODUCT(OFFSET($BO$15,0,0,$B$14,1), 1*(_xlfn._xlws.FILTER(OFFSET($O$15,0,$DN141,$B$8,1),OFFSET($M$15,0,0,$B$8,1))=EP$13), 1*(_xlfn._xlws.FILTER(OFFSET($O$15,0,$DO141,$B$8,1),OFFSET($M$15,0,0,$B$8,1))=EP$14))   /   SUM(OFFSET($BO$15,0,0,$B$14,1)) + $B$18/($B$19*$B$19*($DN141&lt;&gt;$DO141) + $B$19*($DN141=$DO141))</f>
        <v>3.7037037037037035E-4</v>
      </c>
      <c r="EQ141" s="10" cm="1">
        <f t="array" aca="1" ref="EQ141" ca="1">(1-$B$18)*SUMPRODUCT(OFFSET($BO$15,0,0,$B$14,1), 1*(_xlfn._xlws.FILTER(OFFSET($O$15,0,$DN141,$B$8,1),OFFSET($M$15,0,0,$B$8,1))=EQ$13), 1*(_xlfn._xlws.FILTER(OFFSET($O$15,0,$DO141,$B$8,1),OFFSET($M$15,0,0,$B$8,1))=EQ$14))   /   SUM(OFFSET($BO$15,0,0,$B$14,1)) + $B$18/($B$19*$B$19*($DN141&lt;&gt;$DO141) + $B$19*($DN141=$DO141))</f>
        <v>3.7037037037037035E-4</v>
      </c>
      <c r="ER141" s="10" cm="1">
        <f t="array" aca="1" ref="ER141" ca="1">(1-$B$18)*SUMPRODUCT(OFFSET($BO$15,0,0,$B$14,1), 1*(_xlfn._xlws.FILTER(OFFSET($O$15,0,$DN141,$B$8,1),OFFSET($M$15,0,0,$B$8,1))=ER$13), 1*(_xlfn._xlws.FILTER(OFFSET($O$15,0,$DO141,$B$8,1),OFFSET($M$15,0,0,$B$8,1))=ER$14))   /   SUM(OFFSET($BO$15,0,0,$B$14,1)) + $B$18/($B$19*$B$19*($DN141&lt;&gt;$DO141) + $B$19*($DN141=$DO141))</f>
        <v>3.7037037037037035E-4</v>
      </c>
      <c r="ES141" s="10" cm="1">
        <f t="array" aca="1" ref="ES141" ca="1">(1-$B$18)*SUMPRODUCT(OFFSET($BO$15,0,0,$B$14,1), 1*(_xlfn._xlws.FILTER(OFFSET($O$15,0,$DN141,$B$8,1),OFFSET($M$15,0,0,$B$8,1))=ES$13), 1*(_xlfn._xlws.FILTER(OFFSET($O$15,0,$DO141,$B$8,1),OFFSET($M$15,0,0,$B$8,1))=ES$14))   /   SUM(OFFSET($BO$15,0,0,$B$14,1)) + $B$18/($B$19*$B$19*($DN141&lt;&gt;$DO141) + $B$19*($DN141=$DO141))</f>
        <v>3.7037037037037035E-4</v>
      </c>
      <c r="ET141" s="10" cm="1">
        <f t="array" aca="1" ref="ET141" ca="1">(1-$B$18)*SUMPRODUCT(OFFSET($BO$15,0,0,$B$14,1), 1*(_xlfn._xlws.FILTER(OFFSET($O$15,0,$DN141,$B$8,1),OFFSET($M$15,0,0,$B$8,1))=ET$13), 1*(_xlfn._xlws.FILTER(OFFSET($O$15,0,$DO141,$B$8,1),OFFSET($M$15,0,0,$B$8,1))=ET$14))   /   SUM(OFFSET($BO$15,0,0,$B$14,1)) + $B$18/($B$19*$B$19*($DN141&lt;&gt;$DO141) + $B$19*($DN141=$DO141))</f>
        <v>3.7037037037037035E-4</v>
      </c>
      <c r="EU141" s="10" cm="1">
        <f t="array" aca="1" ref="EU141" ca="1">(1-$B$18)*SUMPRODUCT(OFFSET($BO$15,0,0,$B$14,1), 1*(_xlfn._xlws.FILTER(OFFSET($O$15,0,$DN141,$B$8,1),OFFSET($M$15,0,0,$B$8,1))=EU$13), 1*(_xlfn._xlws.FILTER(OFFSET($O$15,0,$DO141,$B$8,1),OFFSET($M$15,0,0,$B$8,1))=EU$14))   /   SUM(OFFSET($BO$15,0,0,$B$14,1)) + $B$18/($B$19*$B$19*($DN141&lt;&gt;$DO141) + $B$19*($DN141=$DO141))</f>
        <v>3.7037037037037035E-4</v>
      </c>
      <c r="EV141" s="10" cm="1">
        <f t="array" aca="1" ref="EV141" ca="1">(1-$B$18)*SUMPRODUCT(OFFSET($BO$15,0,0,$B$14,1), 1*(_xlfn._xlws.FILTER(OFFSET($O$15,0,$DN141,$B$8,1),OFFSET($M$15,0,0,$B$8,1))=EV$13), 1*(_xlfn._xlws.FILTER(OFFSET($O$15,0,$DO141,$B$8,1),OFFSET($M$15,0,0,$B$8,1))=EV$14))   /   SUM(OFFSET($BO$15,0,0,$B$14,1)) + $B$18/($B$19*$B$19*($DN141&lt;&gt;$DO141) + $B$19*($DN141=$DO141))</f>
        <v>3.7037037037037035E-4</v>
      </c>
      <c r="EW141" s="10" cm="1">
        <f t="array" aca="1" ref="EW141" ca="1">(1-$B$18)*SUMPRODUCT(OFFSET($BO$15,0,0,$B$14,1), 1*(_xlfn._xlws.FILTER(OFFSET($O$15,0,$DN141,$B$8,1),OFFSET($M$15,0,0,$B$8,1))=EW$13), 1*(_xlfn._xlws.FILTER(OFFSET($O$15,0,$DO141,$B$8,1),OFFSET($M$15,0,0,$B$8,1))=EW$14))   /   SUM(OFFSET($BO$15,0,0,$B$14,1)) + $B$18/($B$19*$B$19*($DN141&lt;&gt;$DO141) + $B$19*($DN141=$DO141))</f>
        <v>3.7037037037037035E-4</v>
      </c>
      <c r="EX141" s="10" cm="1">
        <f t="array" aca="1" ref="EX141" ca="1">(1-$B$18)*SUMPRODUCT(OFFSET($BO$15,0,0,$B$14,1), 1*(_xlfn._xlws.FILTER(OFFSET($O$15,0,$DN141,$B$8,1),OFFSET($M$15,0,0,$B$8,1))=EX$13), 1*(_xlfn._xlws.FILTER(OFFSET($O$15,0,$DO141,$B$8,1),OFFSET($M$15,0,0,$B$8,1))=EX$14))   /   SUM(OFFSET($BO$15,0,0,$B$14,1)) + $B$18/($B$19*$B$19*($DN141&lt;&gt;$DO141) + $B$19*($DN141=$DO141))</f>
        <v>3.7037037037037035E-4</v>
      </c>
      <c r="EY141" s="10" cm="1">
        <f t="array" aca="1" ref="EY141" ca="1">(1-$B$18)*SUMPRODUCT(OFFSET($BO$15,0,0,$B$14,1), 1*(_xlfn._xlws.FILTER(OFFSET($O$15,0,$DN141,$B$8,1),OFFSET($M$15,0,0,$B$8,1))=EY$13), 1*(_xlfn._xlws.FILTER(OFFSET($O$15,0,$DO141,$B$8,1),OFFSET($M$15,0,0,$B$8,1))=EY$14))   /   SUM(OFFSET($BO$15,0,0,$B$14,1)) + $B$18/($B$19*$B$19*($DN141&lt;&gt;$DO141) + $B$19*($DN141=$DO141))</f>
        <v>3.7037037037037035E-4</v>
      </c>
      <c r="EZ141" s="10" cm="1">
        <f t="array" aca="1" ref="EZ141" ca="1">(1-$B$18)*SUMPRODUCT(OFFSET($BO$15,0,0,$B$14,1), 1*(_xlfn._xlws.FILTER(OFFSET($O$15,0,$DN141,$B$8,1),OFFSET($M$15,0,0,$B$8,1))=EZ$13), 1*(_xlfn._xlws.FILTER(OFFSET($O$15,0,$DO141,$B$8,1),OFFSET($M$15,0,0,$B$8,1))=EZ$14))   /   SUM(OFFSET($BO$15,0,0,$B$14,1)) + $B$18/($B$19*$B$19*($DN141&lt;&gt;$DO141) + $B$19*($DN141=$DO141))</f>
        <v>3.7037037037037035E-4</v>
      </c>
      <c r="FA141" s="10" cm="1">
        <f t="array" aca="1" ref="FA141" ca="1">(1-$B$18)*SUMPRODUCT(OFFSET($BO$15,0,0,$B$14,1), 1*(_xlfn._xlws.FILTER(OFFSET($O$15,0,$DN141,$B$8,1),OFFSET($M$15,0,0,$B$8,1))=FA$13), 1*(_xlfn._xlws.FILTER(OFFSET($O$15,0,$DO141,$B$8,1),OFFSET($M$15,0,0,$B$8,1))=FA$14))   /   SUM(OFFSET($BO$15,0,0,$B$14,1)) + $B$18/($B$19*$B$19*($DN141&lt;&gt;$DO141) + $B$19*($DN141=$DO141))</f>
        <v>3.7037037037037035E-4</v>
      </c>
      <c r="FB141" s="10" cm="1">
        <f t="array" aca="1" ref="FB141" ca="1">(1-$B$18)*SUMPRODUCT(OFFSET($BO$15,0,0,$B$14,1), 1*(_xlfn._xlws.FILTER(OFFSET($O$15,0,$DN141,$B$8,1),OFFSET($M$15,0,0,$B$8,1))=FB$13), 1*(_xlfn._xlws.FILTER(OFFSET($O$15,0,$DO141,$B$8,1),OFFSET($M$15,0,0,$B$8,1))=FB$14))   /   SUM(OFFSET($BO$15,0,0,$B$14,1)) + $B$18/($B$19*$B$19*($DN141&lt;&gt;$DO141) + $B$19*($DN141=$DO141))</f>
        <v>3.7037037037037035E-4</v>
      </c>
      <c r="FC141" s="10" cm="1">
        <f t="array" aca="1" ref="FC141" ca="1">(1-$B$18)*SUMPRODUCT(OFFSET($BO$15,0,0,$B$14,1), 1*(_xlfn._xlws.FILTER(OFFSET($O$15,0,$DN141,$B$8,1),OFFSET($M$15,0,0,$B$8,1))=FC$13), 1*(_xlfn._xlws.FILTER(OFFSET($O$15,0,$DO141,$B$8,1),OFFSET($M$15,0,0,$B$8,1))=FC$14))   /   SUM(OFFSET($BO$15,0,0,$B$14,1)) + $B$18/($B$19*$B$19*($DN141&lt;&gt;$DO141) + $B$19*($DN141=$DO141))</f>
        <v>3.7037037037037035E-4</v>
      </c>
      <c r="FD141" s="10" cm="1">
        <f t="array" aca="1" ref="FD141" ca="1">(1-$B$18)*SUMPRODUCT(OFFSET($BO$15,0,0,$B$14,1), 1*(_xlfn._xlws.FILTER(OFFSET($O$15,0,$DN141,$B$8,1),OFFSET($M$15,0,0,$B$8,1))=FD$13), 1*(_xlfn._xlws.FILTER(OFFSET($O$15,0,$DO141,$B$8,1),OFFSET($M$15,0,0,$B$8,1))=FD$14))   /   SUM(OFFSET($BO$15,0,0,$B$14,1)) + $B$18/($B$19*$B$19*($DN141&lt;&gt;$DO141) + $B$19*($DN141=$DO141))</f>
        <v>3.7037037037037035E-4</v>
      </c>
      <c r="FE141" s="10" cm="1">
        <f t="array" aca="1" ref="FE141" ca="1">(1-$B$18)*SUMPRODUCT(OFFSET($BO$15,0,0,$B$14,1), 1*(_xlfn._xlws.FILTER(OFFSET($O$15,0,$DN141,$B$8,1),OFFSET($M$15,0,0,$B$8,1))=FE$13), 1*(_xlfn._xlws.FILTER(OFFSET($O$15,0,$DO141,$B$8,1),OFFSET($M$15,0,0,$B$8,1))=FE$14))   /   SUM(OFFSET($BO$15,0,0,$B$14,1)) + $B$18/($B$19*$B$19*($DN141&lt;&gt;$DO141) + $B$19*($DN141=$DO141))</f>
        <v>3.7037037037037035E-4</v>
      </c>
      <c r="FF141" s="10" cm="1">
        <f t="array" aca="1" ref="FF141" ca="1">(1-$B$18)*SUMPRODUCT(OFFSET($BO$15,0,0,$B$14,1), 1*(_xlfn._xlws.FILTER(OFFSET($O$15,0,$DN141,$B$8,1),OFFSET($M$15,0,0,$B$8,1))=FF$13), 1*(_xlfn._xlws.FILTER(OFFSET($O$15,0,$DO141,$B$8,1),OFFSET($M$15,0,0,$B$8,1))=FF$14))   /   SUM(OFFSET($BO$15,0,0,$B$14,1)) + $B$18/($B$19*$B$19*($DN141&lt;&gt;$DO141) + $B$19*($DN141=$DO141))</f>
        <v>3.7037037037037035E-4</v>
      </c>
      <c r="FG141" s="10" cm="1">
        <f t="array" aca="1" ref="FG141" ca="1">(1-$B$18)*SUMPRODUCT(OFFSET($BO$15,0,0,$B$14,1), 1*(_xlfn._xlws.FILTER(OFFSET($O$15,0,$DN141,$B$8,1),OFFSET($M$15,0,0,$B$8,1))=FG$13), 1*(_xlfn._xlws.FILTER(OFFSET($O$15,0,$DO141,$B$8,1),OFFSET($M$15,0,0,$B$8,1))=FG$14))   /   SUM(OFFSET($BO$15,0,0,$B$14,1)) + $B$18/($B$19*$B$19*($DN141&lt;&gt;$DO141) + $B$19*($DN141=$DO141))</f>
        <v>3.7037037037037035E-4</v>
      </c>
      <c r="FH141" s="10" cm="1">
        <f t="array" aca="1" ref="FH141" ca="1">(1-$B$18)*SUMPRODUCT(OFFSET($BO$15,0,0,$B$14,1), 1*(_xlfn._xlws.FILTER(OFFSET($O$15,0,$DN141,$B$8,1),OFFSET($M$15,0,0,$B$8,1))=FH$13), 1*(_xlfn._xlws.FILTER(OFFSET($O$15,0,$DO141,$B$8,1),OFFSET($M$15,0,0,$B$8,1))=FH$14))   /   SUM(OFFSET($BO$15,0,0,$B$14,1)) + $B$18/($B$19*$B$19*($DN141&lt;&gt;$DO141) + $B$19*($DN141=$DO141))</f>
        <v>3.7037037037037035E-4</v>
      </c>
      <c r="FI141" s="10" cm="1">
        <f t="array" aca="1" ref="FI141" ca="1">(1-$B$18)*SUMPRODUCT(OFFSET($BO$15,0,0,$B$14,1), 1*(_xlfn._xlws.FILTER(OFFSET($O$15,0,$DN141,$B$8,1),OFFSET($M$15,0,0,$B$8,1))=FI$13), 1*(_xlfn._xlws.FILTER(OFFSET($O$15,0,$DO141,$B$8,1),OFFSET($M$15,0,0,$B$8,1))=FI$14))   /   SUM(OFFSET($BO$15,0,0,$B$14,1)) + $B$18/($B$19*$B$19*($DN141&lt;&gt;$DO141) + $B$19*($DN141=$DO141))</f>
        <v>3.7037037037037035E-4</v>
      </c>
      <c r="FJ141" s="10" cm="1">
        <f t="array" aca="1" ref="FJ141" ca="1">(1-$B$18)*SUMPRODUCT(OFFSET($BO$15,0,0,$B$14,1), 1*(_xlfn._xlws.FILTER(OFFSET($O$15,0,$DN141,$B$8,1),OFFSET($M$15,0,0,$B$8,1))=FJ$13), 1*(_xlfn._xlws.FILTER(OFFSET($O$15,0,$DO141,$B$8,1),OFFSET($M$15,0,0,$B$8,1))=FJ$14))   /   SUM(OFFSET($BO$15,0,0,$B$14,1)) + $B$18/($B$19*$B$19*($DN141&lt;&gt;$DO141) + $B$19*($DN141=$DO141))</f>
        <v>3.7037037037037035E-4</v>
      </c>
      <c r="FK141" s="10" cm="1">
        <f t="array" aca="1" ref="FK141" ca="1">(1-$B$18)*SUMPRODUCT(OFFSET($BO$15,0,0,$B$14,1), 1*(_xlfn._xlws.FILTER(OFFSET($O$15,0,$DN141,$B$8,1),OFFSET($M$15,0,0,$B$8,1))=FK$13), 1*(_xlfn._xlws.FILTER(OFFSET($O$15,0,$DO141,$B$8,1),OFFSET($M$15,0,0,$B$8,1))=FK$14))   /   SUM(OFFSET($BO$15,0,0,$B$14,1)) + $B$18/($B$19*$B$19*($DN141&lt;&gt;$DO141) + $B$19*($DN141=$DO141))</f>
        <v>3.7037037037037035E-4</v>
      </c>
      <c r="FL141" s="10" cm="1">
        <f t="array" aca="1" ref="FL141" ca="1">(1-$B$18)*SUMPRODUCT(OFFSET($BO$15,0,0,$B$14,1), 1*(_xlfn._xlws.FILTER(OFFSET($O$15,0,$DN141,$B$8,1),OFFSET($M$15,0,0,$B$8,1))=FL$13), 1*(_xlfn._xlws.FILTER(OFFSET($O$15,0,$DO141,$B$8,1),OFFSET($M$15,0,0,$B$8,1))=FL$14))   /   SUM(OFFSET($BO$15,0,0,$B$14,1)) + $B$18/($B$19*$B$19*($DN141&lt;&gt;$DO141) + $B$19*($DN141=$DO141))</f>
        <v>3.7037037037037035E-4</v>
      </c>
      <c r="FM141" s="10" cm="1">
        <f t="array" aca="1" ref="FM141" ca="1">(1-$B$18)*SUMPRODUCT(OFFSET($BO$15,0,0,$B$14,1), 1*(_xlfn._xlws.FILTER(OFFSET($O$15,0,$DN141,$B$8,1),OFFSET($M$15,0,0,$B$8,1))=FM$13), 1*(_xlfn._xlws.FILTER(OFFSET($O$15,0,$DO141,$B$8,1),OFFSET($M$15,0,0,$B$8,1))=FM$14))   /   SUM(OFFSET($BO$15,0,0,$B$14,1)) + $B$18/($B$19*$B$19*($DN141&lt;&gt;$DO141) + $B$19*($DN141=$DO141))</f>
        <v>0.97037037037037033</v>
      </c>
      <c r="FN141" s="10" cm="1">
        <f t="array" aca="1" ref="FN141" ca="1">(1-$B$18)*SUMPRODUCT(OFFSET($BO$15,0,0,$B$14,1), 1*(_xlfn._xlws.FILTER(OFFSET($O$15,0,$DN141,$B$8,1),OFFSET($M$15,0,0,$B$8,1))=FN$13), 1*(_xlfn._xlws.FILTER(OFFSET($O$15,0,$DO141,$B$8,1),OFFSET($M$15,0,0,$B$8,1))=FN$14))   /   SUM(OFFSET($BO$15,0,0,$B$14,1)) + $B$18/($B$19*$B$19*($DN141&lt;&gt;$DO141) + $B$19*($DN141=$DO141))</f>
        <v>3.7037037037037035E-4</v>
      </c>
      <c r="FO141" s="10" cm="1">
        <f t="array" aca="1" ref="FO141" ca="1">(1-$B$18)*SUMPRODUCT(OFFSET($BO$15,0,0,$B$14,1), 1*(_xlfn._xlws.FILTER(OFFSET($O$15,0,$DN141,$B$8,1),OFFSET($M$15,0,0,$B$8,1))=FO$13), 1*(_xlfn._xlws.FILTER(OFFSET($O$15,0,$DO141,$B$8,1),OFFSET($M$15,0,0,$B$8,1))=FO$14))   /   SUM(OFFSET($BO$15,0,0,$B$14,1)) + $B$18/($B$19*$B$19*($DN141&lt;&gt;$DO141) + $B$19*($DN141=$DO141))</f>
        <v>3.7037037037037035E-4</v>
      </c>
      <c r="FP141" s="10" cm="1">
        <f t="array" aca="1" ref="FP141" ca="1">(1-$B$18)*SUMPRODUCT(OFFSET($BO$15,0,0,$B$14,1), 1*(_xlfn._xlws.FILTER(OFFSET($O$15,0,$DN141,$B$8,1),OFFSET($M$15,0,0,$B$8,1))=FP$13), 1*(_xlfn._xlws.FILTER(OFFSET($O$15,0,$DO141,$B$8,1),OFFSET($M$15,0,0,$B$8,1))=FP$14))   /   SUM(OFFSET($BO$15,0,0,$B$14,1)) + $B$18/($B$19*$B$19*($DN141&lt;&gt;$DO141) + $B$19*($DN141=$DO141))</f>
        <v>3.7037037037037035E-4</v>
      </c>
      <c r="FQ141" s="10" cm="1">
        <f t="array" aca="1" ref="FQ141" ca="1">(1-$B$18)*SUMPRODUCT(OFFSET($BO$15,0,0,$B$14,1), 1*(_xlfn._xlws.FILTER(OFFSET($O$15,0,$DN141,$B$8,1),OFFSET($M$15,0,0,$B$8,1))=FQ$13), 1*(_xlfn._xlws.FILTER(OFFSET($O$15,0,$DO141,$B$8,1),OFFSET($M$15,0,0,$B$8,1))=FQ$14))   /   SUM(OFFSET($BO$15,0,0,$B$14,1)) + $B$18/($B$19*$B$19*($DN141&lt;&gt;$DO141) + $B$19*($DN141=$DO141))</f>
        <v>3.7037037037037035E-4</v>
      </c>
      <c r="FR141" s="10" cm="1">
        <f t="array" aca="1" ref="FR141" ca="1">(1-$B$18)*SUMPRODUCT(OFFSET($BO$15,0,0,$B$14,1), 1*(_xlfn._xlws.FILTER(OFFSET($O$15,0,$DN141,$B$8,1),OFFSET($M$15,0,0,$B$8,1))=FR$13), 1*(_xlfn._xlws.FILTER(OFFSET($O$15,0,$DO141,$B$8,1),OFFSET($M$15,0,0,$B$8,1))=FR$14))   /   SUM(OFFSET($BO$15,0,0,$B$14,1)) + $B$18/($B$19*$B$19*($DN141&lt;&gt;$DO141) + $B$19*($DN141=$DO141))</f>
        <v>3.7037037037037035E-4</v>
      </c>
      <c r="FS141" s="10" cm="1">
        <f t="array" aca="1" ref="FS141" ca="1">(1-$B$18)*SUMPRODUCT(OFFSET($BO$15,0,0,$B$14,1), 1*(_xlfn._xlws.FILTER(OFFSET($O$15,0,$DN141,$B$8,1),OFFSET($M$15,0,0,$B$8,1))=FS$13), 1*(_xlfn._xlws.FILTER(OFFSET($O$15,0,$DO141,$B$8,1),OFFSET($M$15,0,0,$B$8,1))=FS$14))   /   SUM(OFFSET($BO$15,0,0,$B$14,1)) + $B$18/($B$19*$B$19*($DN141&lt;&gt;$DO141) + $B$19*($DN141=$DO141))</f>
        <v>3.7037037037037035E-4</v>
      </c>
      <c r="FT141" s="10" cm="1">
        <f t="array" aca="1" ref="FT141" ca="1">(1-$B$18)*SUMPRODUCT(OFFSET($BO$15,0,0,$B$14,1), 1*(_xlfn._xlws.FILTER(OFFSET($O$15,0,$DN141,$B$8,1),OFFSET($M$15,0,0,$B$8,1))=FT$13), 1*(_xlfn._xlws.FILTER(OFFSET($O$15,0,$DO141,$B$8,1),OFFSET($M$15,0,0,$B$8,1))=FT$14))   /   SUM(OFFSET($BO$15,0,0,$B$14,1)) + $B$18/($B$19*$B$19*($DN141&lt;&gt;$DO141) + $B$19*($DN141=$DO141))</f>
        <v>3.7037037037037035E-4</v>
      </c>
      <c r="FU141" s="10" cm="1">
        <f t="array" aca="1" ref="FU141" ca="1">(1-$B$18)*SUMPRODUCT(OFFSET($BO$15,0,0,$B$14,1), 1*(_xlfn._xlws.FILTER(OFFSET($O$15,0,$DN141,$B$8,1),OFFSET($M$15,0,0,$B$8,1))=FU$13), 1*(_xlfn._xlws.FILTER(OFFSET($O$15,0,$DO141,$B$8,1),OFFSET($M$15,0,0,$B$8,1))=FU$14))   /   SUM(OFFSET($BO$15,0,0,$B$14,1)) + $B$18/($B$19*$B$19*($DN141&lt;&gt;$DO141) + $B$19*($DN141=$DO141))</f>
        <v>3.7037037037037035E-4</v>
      </c>
      <c r="FV141" s="10" cm="1">
        <f t="array" aca="1" ref="FV141" ca="1">(1-$B$18)*SUMPRODUCT(OFFSET($BO$15,0,0,$B$14,1), 1*(_xlfn._xlws.FILTER(OFFSET($O$15,0,$DN141,$B$8,1),OFFSET($M$15,0,0,$B$8,1))=FV$13), 1*(_xlfn._xlws.FILTER(OFFSET($O$15,0,$DO141,$B$8,1),OFFSET($M$15,0,0,$B$8,1))=FV$14))   /   SUM(OFFSET($BO$15,0,0,$B$14,1)) + $B$18/($B$19*$B$19*($DN141&lt;&gt;$DO141) + $B$19*($DN141=$DO141))</f>
        <v>3.7037037037037035E-4</v>
      </c>
      <c r="FW141" s="10" cm="1">
        <f t="array" aca="1" ref="FW141" ca="1">(1-$B$18)*SUMPRODUCT(OFFSET($BO$15,0,0,$B$14,1), 1*(_xlfn._xlws.FILTER(OFFSET($O$15,0,$DN141,$B$8,1),OFFSET($M$15,0,0,$B$8,1))=FW$13), 1*(_xlfn._xlws.FILTER(OFFSET($O$15,0,$DO141,$B$8,1),OFFSET($M$15,0,0,$B$8,1))=FW$14))   /   SUM(OFFSET($BO$15,0,0,$B$14,1)) + $B$18/($B$19*$B$19*($DN141&lt;&gt;$DO141) + $B$19*($DN141=$DO141))</f>
        <v>3.7037037037037035E-4</v>
      </c>
      <c r="FX141" s="10" cm="1">
        <f t="array" aca="1" ref="FX141" ca="1">(1-$B$18)*SUMPRODUCT(OFFSET($BO$15,0,0,$B$14,1), 1*(_xlfn._xlws.FILTER(OFFSET($O$15,0,$DN141,$B$8,1),OFFSET($M$15,0,0,$B$8,1))=FX$13), 1*(_xlfn._xlws.FILTER(OFFSET($O$15,0,$DO141,$B$8,1),OFFSET($M$15,0,0,$B$8,1))=FX$14))   /   SUM(OFFSET($BO$15,0,0,$B$14,1)) + $B$18/($B$19*$B$19*($DN141&lt;&gt;$DO141) + $B$19*($DN141=$DO141))</f>
        <v>3.7037037037037035E-4</v>
      </c>
      <c r="FY141" s="10" cm="1">
        <f t="array" aca="1" ref="FY141" ca="1">(1-$B$18)*SUMPRODUCT(OFFSET($BO$15,0,0,$B$14,1), 1*(_xlfn._xlws.FILTER(OFFSET($O$15,0,$DN141,$B$8,1),OFFSET($M$15,0,0,$B$8,1))=FY$13), 1*(_xlfn._xlws.FILTER(OFFSET($O$15,0,$DO141,$B$8,1),OFFSET($M$15,0,0,$B$8,1))=FY$14))   /   SUM(OFFSET($BO$15,0,0,$B$14,1)) + $B$18/($B$19*$B$19*($DN141&lt;&gt;$DO141) + $B$19*($DN141=$DO141))</f>
        <v>3.7037037037037035E-4</v>
      </c>
      <c r="FZ141" s="10" cm="1">
        <f t="array" aca="1" ref="FZ141" ca="1">(1-$B$18)*SUMPRODUCT(OFFSET($BO$15,0,0,$B$14,1), 1*(_xlfn._xlws.FILTER(OFFSET($O$15,0,$DN141,$B$8,1),OFFSET($M$15,0,0,$B$8,1))=FZ$13), 1*(_xlfn._xlws.FILTER(OFFSET($O$15,0,$DO141,$B$8,1),OFFSET($M$15,0,0,$B$8,1))=FZ$14))   /   SUM(OFFSET($BO$15,0,0,$B$14,1)) + $B$18/($B$19*$B$19*($DN141&lt;&gt;$DO141) + $B$19*($DN141=$DO141))</f>
        <v>3.7037037037037035E-4</v>
      </c>
      <c r="GA141" s="10" cm="1">
        <f t="array" aca="1" ref="GA141" ca="1">(1-$B$18)*SUMPRODUCT(OFFSET($BO$15,0,0,$B$14,1), 1*(_xlfn._xlws.FILTER(OFFSET($O$15,0,$DN141,$B$8,1),OFFSET($M$15,0,0,$B$8,1))=GA$13), 1*(_xlfn._xlws.FILTER(OFFSET($O$15,0,$DO141,$B$8,1),OFFSET($M$15,0,0,$B$8,1))=GA$14))   /   SUM(OFFSET($BO$15,0,0,$B$14,1)) + $B$18/($B$19*$B$19*($DN141&lt;&gt;$DO141) + $B$19*($DN141=$DO141))</f>
        <v>3.7037037037037035E-4</v>
      </c>
    </row>
    <row r="142" spans="7:183" x14ac:dyDescent="0.2">
      <c r="DN142" cm="1">
        <f t="array" aca="1" ref="DN142" ca="1">INDEX(_xlfn.ANCHORARRAY($CP$15), 1 + INT((ROWS($DO$15:$DO142) - 1) / ROWS(_xlfn.ANCHORARRAY($CP$15))))</f>
        <v>6</v>
      </c>
      <c r="DO142" cm="1">
        <f t="array" aca="1" ref="DO142" ca="1">INDEX(_xlfn.ANCHORARRAY($CP$15),1+MOD(ROWS($DO$15:$DO142)-1,ROWS(_xlfn.ANCHORARRAY($CP$15))))</f>
        <v>14</v>
      </c>
      <c r="DP142" s="10" cm="1">
        <f t="array" aca="1" ref="DP142" ca="1">(1-$B$18)*SUMPRODUCT(OFFSET($BO$15,0,0,$B$14,1), 1*(_xlfn._xlws.FILTER(OFFSET($O$15,0,$DN142,$B$8,1),OFFSET($M$15,0,0,$B$8,1))=DP$13), 1*(_xlfn._xlws.FILTER(OFFSET($O$15,0,$DO142,$B$8,1),OFFSET($M$15,0,0,$B$8,1))=DP$14))   /   SUM(OFFSET($BO$15,0,0,$B$14,1)) + $B$18/($B$19*$B$19*($DN142&lt;&gt;$DO142) + $B$19*($DN142=$DO142))</f>
        <v>3.7037037037037035E-4</v>
      </c>
      <c r="DQ142" s="10" cm="1">
        <f t="array" aca="1" ref="DQ142" ca="1">(1-$B$18)*SUMPRODUCT(OFFSET($BO$15,0,0,$B$14,1), 1*(_xlfn._xlws.FILTER(OFFSET($O$15,0,$DN142,$B$8,1),OFFSET($M$15,0,0,$B$8,1))=DQ$13), 1*(_xlfn._xlws.FILTER(OFFSET($O$15,0,$DO142,$B$8,1),OFFSET($M$15,0,0,$B$8,1))=DQ$14))   /   SUM(OFFSET($BO$15,0,0,$B$14,1)) + $B$18/($B$19*$B$19*($DN142&lt;&gt;$DO142) + $B$19*($DN142=$DO142))</f>
        <v>3.7037037037037035E-4</v>
      </c>
      <c r="DR142" s="10" cm="1">
        <f t="array" aca="1" ref="DR142" ca="1">(1-$B$18)*SUMPRODUCT(OFFSET($BO$15,0,0,$B$14,1), 1*(_xlfn._xlws.FILTER(OFFSET($O$15,0,$DN142,$B$8,1),OFFSET($M$15,0,0,$B$8,1))=DR$13), 1*(_xlfn._xlws.FILTER(OFFSET($O$15,0,$DO142,$B$8,1),OFFSET($M$15,0,0,$B$8,1))=DR$14))   /   SUM(OFFSET($BO$15,0,0,$B$14,1)) + $B$18/($B$19*$B$19*($DN142&lt;&gt;$DO142) + $B$19*($DN142=$DO142))</f>
        <v>3.7037037037037035E-4</v>
      </c>
      <c r="DS142" s="10" cm="1">
        <f t="array" aca="1" ref="DS142" ca="1">(1-$B$18)*SUMPRODUCT(OFFSET($BO$15,0,0,$B$14,1), 1*(_xlfn._xlws.FILTER(OFFSET($O$15,0,$DN142,$B$8,1),OFFSET($M$15,0,0,$B$8,1))=DS$13), 1*(_xlfn._xlws.FILTER(OFFSET($O$15,0,$DO142,$B$8,1),OFFSET($M$15,0,0,$B$8,1))=DS$14))   /   SUM(OFFSET($BO$15,0,0,$B$14,1)) + $B$18/($B$19*$B$19*($DN142&lt;&gt;$DO142) + $B$19*($DN142=$DO142))</f>
        <v>3.7037037037037035E-4</v>
      </c>
      <c r="DT142" s="10" cm="1">
        <f t="array" aca="1" ref="DT142" ca="1">(1-$B$18)*SUMPRODUCT(OFFSET($BO$15,0,0,$B$14,1), 1*(_xlfn._xlws.FILTER(OFFSET($O$15,0,$DN142,$B$8,1),OFFSET($M$15,0,0,$B$8,1))=DT$13), 1*(_xlfn._xlws.FILTER(OFFSET($O$15,0,$DO142,$B$8,1),OFFSET($M$15,0,0,$B$8,1))=DT$14))   /   SUM(OFFSET($BO$15,0,0,$B$14,1)) + $B$18/($B$19*$B$19*($DN142&lt;&gt;$DO142) + $B$19*($DN142=$DO142))</f>
        <v>3.7037037037037035E-4</v>
      </c>
      <c r="DU142" s="10" cm="1">
        <f t="array" aca="1" ref="DU142" ca="1">(1-$B$18)*SUMPRODUCT(OFFSET($BO$15,0,0,$B$14,1), 1*(_xlfn._xlws.FILTER(OFFSET($O$15,0,$DN142,$B$8,1),OFFSET($M$15,0,0,$B$8,1))=DU$13), 1*(_xlfn._xlws.FILTER(OFFSET($O$15,0,$DO142,$B$8,1),OFFSET($M$15,0,0,$B$8,1))=DU$14))   /   SUM(OFFSET($BO$15,0,0,$B$14,1)) + $B$18/($B$19*$B$19*($DN142&lt;&gt;$DO142) + $B$19*($DN142=$DO142))</f>
        <v>3.7037037037037035E-4</v>
      </c>
      <c r="DV142" s="10" cm="1">
        <f t="array" aca="1" ref="DV142" ca="1">(1-$B$18)*SUMPRODUCT(OFFSET($BO$15,0,0,$B$14,1), 1*(_xlfn._xlws.FILTER(OFFSET($O$15,0,$DN142,$B$8,1),OFFSET($M$15,0,0,$B$8,1))=DV$13), 1*(_xlfn._xlws.FILTER(OFFSET($O$15,0,$DO142,$B$8,1),OFFSET($M$15,0,0,$B$8,1))=DV$14))   /   SUM(OFFSET($BO$15,0,0,$B$14,1)) + $B$18/($B$19*$B$19*($DN142&lt;&gt;$DO142) + $B$19*($DN142=$DO142))</f>
        <v>3.7037037037037035E-4</v>
      </c>
      <c r="DW142" s="10" cm="1">
        <f t="array" aca="1" ref="DW142" ca="1">(1-$B$18)*SUMPRODUCT(OFFSET($BO$15,0,0,$B$14,1), 1*(_xlfn._xlws.FILTER(OFFSET($O$15,0,$DN142,$B$8,1),OFFSET($M$15,0,0,$B$8,1))=DW$13), 1*(_xlfn._xlws.FILTER(OFFSET($O$15,0,$DO142,$B$8,1),OFFSET($M$15,0,0,$B$8,1))=DW$14))   /   SUM(OFFSET($BO$15,0,0,$B$14,1)) + $B$18/($B$19*$B$19*($DN142&lt;&gt;$DO142) + $B$19*($DN142=$DO142))</f>
        <v>3.7037037037037035E-4</v>
      </c>
      <c r="DX142" s="10" cm="1">
        <f t="array" aca="1" ref="DX142" ca="1">(1-$B$18)*SUMPRODUCT(OFFSET($BO$15,0,0,$B$14,1), 1*(_xlfn._xlws.FILTER(OFFSET($O$15,0,$DN142,$B$8,1),OFFSET($M$15,0,0,$B$8,1))=DX$13), 1*(_xlfn._xlws.FILTER(OFFSET($O$15,0,$DO142,$B$8,1),OFFSET($M$15,0,0,$B$8,1))=DX$14))   /   SUM(OFFSET($BO$15,0,0,$B$14,1)) + $B$18/($B$19*$B$19*($DN142&lt;&gt;$DO142) + $B$19*($DN142=$DO142))</f>
        <v>3.7037037037037035E-4</v>
      </c>
      <c r="DY142" s="10" cm="1">
        <f t="array" aca="1" ref="DY142" ca="1">(1-$B$18)*SUMPRODUCT(OFFSET($BO$15,0,0,$B$14,1), 1*(_xlfn._xlws.FILTER(OFFSET($O$15,0,$DN142,$B$8,1),OFFSET($M$15,0,0,$B$8,1))=DY$13), 1*(_xlfn._xlws.FILTER(OFFSET($O$15,0,$DO142,$B$8,1),OFFSET($M$15,0,0,$B$8,1))=DY$14))   /   SUM(OFFSET($BO$15,0,0,$B$14,1)) + $B$18/($B$19*$B$19*($DN142&lt;&gt;$DO142) + $B$19*($DN142=$DO142))</f>
        <v>3.7037037037037035E-4</v>
      </c>
      <c r="DZ142" s="10" cm="1">
        <f t="array" aca="1" ref="DZ142" ca="1">(1-$B$18)*SUMPRODUCT(OFFSET($BO$15,0,0,$B$14,1), 1*(_xlfn._xlws.FILTER(OFFSET($O$15,0,$DN142,$B$8,1),OFFSET($M$15,0,0,$B$8,1))=DZ$13), 1*(_xlfn._xlws.FILTER(OFFSET($O$15,0,$DO142,$B$8,1),OFFSET($M$15,0,0,$B$8,1))=DZ$14))   /   SUM(OFFSET($BO$15,0,0,$B$14,1)) + $B$18/($B$19*$B$19*($DN142&lt;&gt;$DO142) + $B$19*($DN142=$DO142))</f>
        <v>3.7037037037037035E-4</v>
      </c>
      <c r="EA142" s="10" cm="1">
        <f t="array" aca="1" ref="EA142" ca="1">(1-$B$18)*SUMPRODUCT(OFFSET($BO$15,0,0,$B$14,1), 1*(_xlfn._xlws.FILTER(OFFSET($O$15,0,$DN142,$B$8,1),OFFSET($M$15,0,0,$B$8,1))=EA$13), 1*(_xlfn._xlws.FILTER(OFFSET($O$15,0,$DO142,$B$8,1),OFFSET($M$15,0,0,$B$8,1))=EA$14))   /   SUM(OFFSET($BO$15,0,0,$B$14,1)) + $B$18/($B$19*$B$19*($DN142&lt;&gt;$DO142) + $B$19*($DN142=$DO142))</f>
        <v>3.7037037037037035E-4</v>
      </c>
      <c r="EB142" s="10" cm="1">
        <f t="array" aca="1" ref="EB142" ca="1">(1-$B$18)*SUMPRODUCT(OFFSET($BO$15,0,0,$B$14,1), 1*(_xlfn._xlws.FILTER(OFFSET($O$15,0,$DN142,$B$8,1),OFFSET($M$15,0,0,$B$8,1))=EB$13), 1*(_xlfn._xlws.FILTER(OFFSET($O$15,0,$DO142,$B$8,1),OFFSET($M$15,0,0,$B$8,1))=EB$14))   /   SUM(OFFSET($BO$15,0,0,$B$14,1)) + $B$18/($B$19*$B$19*($DN142&lt;&gt;$DO142) + $B$19*($DN142=$DO142))</f>
        <v>3.7037037037037035E-4</v>
      </c>
      <c r="EC142" s="10" cm="1">
        <f t="array" aca="1" ref="EC142" ca="1">(1-$B$18)*SUMPRODUCT(OFFSET($BO$15,0,0,$B$14,1), 1*(_xlfn._xlws.FILTER(OFFSET($O$15,0,$DN142,$B$8,1),OFFSET($M$15,0,0,$B$8,1))=EC$13), 1*(_xlfn._xlws.FILTER(OFFSET($O$15,0,$DO142,$B$8,1),OFFSET($M$15,0,0,$B$8,1))=EC$14))   /   SUM(OFFSET($BO$15,0,0,$B$14,1)) + $B$18/($B$19*$B$19*($DN142&lt;&gt;$DO142) + $B$19*($DN142=$DO142))</f>
        <v>3.7037037037037035E-4</v>
      </c>
      <c r="ED142" s="10" cm="1">
        <f t="array" aca="1" ref="ED142" ca="1">(1-$B$18)*SUMPRODUCT(OFFSET($BO$15,0,0,$B$14,1), 1*(_xlfn._xlws.FILTER(OFFSET($O$15,0,$DN142,$B$8,1),OFFSET($M$15,0,0,$B$8,1))=ED$13), 1*(_xlfn._xlws.FILTER(OFFSET($O$15,0,$DO142,$B$8,1),OFFSET($M$15,0,0,$B$8,1))=ED$14))   /   SUM(OFFSET($BO$15,0,0,$B$14,1)) + $B$18/($B$19*$B$19*($DN142&lt;&gt;$DO142) + $B$19*($DN142=$DO142))</f>
        <v>3.7037037037037035E-4</v>
      </c>
      <c r="EE142" s="10" cm="1">
        <f t="array" aca="1" ref="EE142" ca="1">(1-$B$18)*SUMPRODUCT(OFFSET($BO$15,0,0,$B$14,1), 1*(_xlfn._xlws.FILTER(OFFSET($O$15,0,$DN142,$B$8,1),OFFSET($M$15,0,0,$B$8,1))=EE$13), 1*(_xlfn._xlws.FILTER(OFFSET($O$15,0,$DO142,$B$8,1),OFFSET($M$15,0,0,$B$8,1))=EE$14))   /   SUM(OFFSET($BO$15,0,0,$B$14,1)) + $B$18/($B$19*$B$19*($DN142&lt;&gt;$DO142) + $B$19*($DN142=$DO142))</f>
        <v>3.7037037037037035E-4</v>
      </c>
      <c r="EF142" s="10" cm="1">
        <f t="array" aca="1" ref="EF142" ca="1">(1-$B$18)*SUMPRODUCT(OFFSET($BO$15,0,0,$B$14,1), 1*(_xlfn._xlws.FILTER(OFFSET($O$15,0,$DN142,$B$8,1),OFFSET($M$15,0,0,$B$8,1))=EF$13), 1*(_xlfn._xlws.FILTER(OFFSET($O$15,0,$DO142,$B$8,1),OFFSET($M$15,0,0,$B$8,1))=EF$14))   /   SUM(OFFSET($BO$15,0,0,$B$14,1)) + $B$18/($B$19*$B$19*($DN142&lt;&gt;$DO142) + $B$19*($DN142=$DO142))</f>
        <v>3.7037037037037035E-4</v>
      </c>
      <c r="EG142" s="10" cm="1">
        <f t="array" aca="1" ref="EG142" ca="1">(1-$B$18)*SUMPRODUCT(OFFSET($BO$15,0,0,$B$14,1), 1*(_xlfn._xlws.FILTER(OFFSET($O$15,0,$DN142,$B$8,1),OFFSET($M$15,0,0,$B$8,1))=EG$13), 1*(_xlfn._xlws.FILTER(OFFSET($O$15,0,$DO142,$B$8,1),OFFSET($M$15,0,0,$B$8,1))=EG$14))   /   SUM(OFFSET($BO$15,0,0,$B$14,1)) + $B$18/($B$19*$B$19*($DN142&lt;&gt;$DO142) + $B$19*($DN142=$DO142))</f>
        <v>3.7037037037037035E-4</v>
      </c>
      <c r="EH142" s="10" cm="1">
        <f t="array" aca="1" ref="EH142" ca="1">(1-$B$18)*SUMPRODUCT(OFFSET($BO$15,0,0,$B$14,1), 1*(_xlfn._xlws.FILTER(OFFSET($O$15,0,$DN142,$B$8,1),OFFSET($M$15,0,0,$B$8,1))=EH$13), 1*(_xlfn._xlws.FILTER(OFFSET($O$15,0,$DO142,$B$8,1),OFFSET($M$15,0,0,$B$8,1))=EH$14))   /   SUM(OFFSET($BO$15,0,0,$B$14,1)) + $B$18/($B$19*$B$19*($DN142&lt;&gt;$DO142) + $B$19*($DN142=$DO142))</f>
        <v>3.7037037037037035E-4</v>
      </c>
      <c r="EI142" s="10" cm="1">
        <f t="array" aca="1" ref="EI142" ca="1">(1-$B$18)*SUMPRODUCT(OFFSET($BO$15,0,0,$B$14,1), 1*(_xlfn._xlws.FILTER(OFFSET($O$15,0,$DN142,$B$8,1),OFFSET($M$15,0,0,$B$8,1))=EI$13), 1*(_xlfn._xlws.FILTER(OFFSET($O$15,0,$DO142,$B$8,1),OFFSET($M$15,0,0,$B$8,1))=EI$14))   /   SUM(OFFSET($BO$15,0,0,$B$14,1)) + $B$18/($B$19*$B$19*($DN142&lt;&gt;$DO142) + $B$19*($DN142=$DO142))</f>
        <v>3.7037037037037035E-4</v>
      </c>
      <c r="EJ142" s="10" cm="1">
        <f t="array" aca="1" ref="EJ142" ca="1">(1-$B$18)*SUMPRODUCT(OFFSET($BO$15,0,0,$B$14,1), 1*(_xlfn._xlws.FILTER(OFFSET($O$15,0,$DN142,$B$8,1),OFFSET($M$15,0,0,$B$8,1))=EJ$13), 1*(_xlfn._xlws.FILTER(OFFSET($O$15,0,$DO142,$B$8,1),OFFSET($M$15,0,0,$B$8,1))=EJ$14))   /   SUM(OFFSET($BO$15,0,0,$B$14,1)) + $B$18/($B$19*$B$19*($DN142&lt;&gt;$DO142) + $B$19*($DN142=$DO142))</f>
        <v>3.7037037037037035E-4</v>
      </c>
      <c r="EK142" s="10" cm="1">
        <f t="array" aca="1" ref="EK142" ca="1">(1-$B$18)*SUMPRODUCT(OFFSET($BO$15,0,0,$B$14,1), 1*(_xlfn._xlws.FILTER(OFFSET($O$15,0,$DN142,$B$8,1),OFFSET($M$15,0,0,$B$8,1))=EK$13), 1*(_xlfn._xlws.FILTER(OFFSET($O$15,0,$DO142,$B$8,1),OFFSET($M$15,0,0,$B$8,1))=EK$14))   /   SUM(OFFSET($BO$15,0,0,$B$14,1)) + $B$18/($B$19*$B$19*($DN142&lt;&gt;$DO142) + $B$19*($DN142=$DO142))</f>
        <v>3.7037037037037035E-4</v>
      </c>
      <c r="EL142" s="10" cm="1">
        <f t="array" aca="1" ref="EL142" ca="1">(1-$B$18)*SUMPRODUCT(OFFSET($BO$15,0,0,$B$14,1), 1*(_xlfn._xlws.FILTER(OFFSET($O$15,0,$DN142,$B$8,1),OFFSET($M$15,0,0,$B$8,1))=EL$13), 1*(_xlfn._xlws.FILTER(OFFSET($O$15,0,$DO142,$B$8,1),OFFSET($M$15,0,0,$B$8,1))=EL$14))   /   SUM(OFFSET($BO$15,0,0,$B$14,1)) + $B$18/($B$19*$B$19*($DN142&lt;&gt;$DO142) + $B$19*($DN142=$DO142))</f>
        <v>3.7037037037037035E-4</v>
      </c>
      <c r="EM142" s="10" cm="1">
        <f t="array" aca="1" ref="EM142" ca="1">(1-$B$18)*SUMPRODUCT(OFFSET($BO$15,0,0,$B$14,1), 1*(_xlfn._xlws.FILTER(OFFSET($O$15,0,$DN142,$B$8,1),OFFSET($M$15,0,0,$B$8,1))=EM$13), 1*(_xlfn._xlws.FILTER(OFFSET($O$15,0,$DO142,$B$8,1),OFFSET($M$15,0,0,$B$8,1))=EM$14))   /   SUM(OFFSET($BO$15,0,0,$B$14,1)) + $B$18/($B$19*$B$19*($DN142&lt;&gt;$DO142) + $B$19*($DN142=$DO142))</f>
        <v>3.7037037037037035E-4</v>
      </c>
      <c r="EN142" s="10" cm="1">
        <f t="array" aca="1" ref="EN142" ca="1">(1-$B$18)*SUMPRODUCT(OFFSET($BO$15,0,0,$B$14,1), 1*(_xlfn._xlws.FILTER(OFFSET($O$15,0,$DN142,$B$8,1),OFFSET($M$15,0,0,$B$8,1))=EN$13), 1*(_xlfn._xlws.FILTER(OFFSET($O$15,0,$DO142,$B$8,1),OFFSET($M$15,0,0,$B$8,1))=EN$14))   /   SUM(OFFSET($BO$15,0,0,$B$14,1)) + $B$18/($B$19*$B$19*($DN142&lt;&gt;$DO142) + $B$19*($DN142=$DO142))</f>
        <v>3.7037037037037035E-4</v>
      </c>
      <c r="EO142" s="10" cm="1">
        <f t="array" aca="1" ref="EO142" ca="1">(1-$B$18)*SUMPRODUCT(OFFSET($BO$15,0,0,$B$14,1), 1*(_xlfn._xlws.FILTER(OFFSET($O$15,0,$DN142,$B$8,1),OFFSET($M$15,0,0,$B$8,1))=EO$13), 1*(_xlfn._xlws.FILTER(OFFSET($O$15,0,$DO142,$B$8,1),OFFSET($M$15,0,0,$B$8,1))=EO$14))   /   SUM(OFFSET($BO$15,0,0,$B$14,1)) + $B$18/($B$19*$B$19*($DN142&lt;&gt;$DO142) + $B$19*($DN142=$DO142))</f>
        <v>3.7037037037037035E-4</v>
      </c>
      <c r="EP142" s="10" cm="1">
        <f t="array" aca="1" ref="EP142" ca="1">(1-$B$18)*SUMPRODUCT(OFFSET($BO$15,0,0,$B$14,1), 1*(_xlfn._xlws.FILTER(OFFSET($O$15,0,$DN142,$B$8,1),OFFSET($M$15,0,0,$B$8,1))=EP$13), 1*(_xlfn._xlws.FILTER(OFFSET($O$15,0,$DO142,$B$8,1),OFFSET($M$15,0,0,$B$8,1))=EP$14))   /   SUM(OFFSET($BO$15,0,0,$B$14,1)) + $B$18/($B$19*$B$19*($DN142&lt;&gt;$DO142) + $B$19*($DN142=$DO142))</f>
        <v>3.7037037037037035E-4</v>
      </c>
      <c r="EQ142" s="10" cm="1">
        <f t="array" aca="1" ref="EQ142" ca="1">(1-$B$18)*SUMPRODUCT(OFFSET($BO$15,0,0,$B$14,1), 1*(_xlfn._xlws.FILTER(OFFSET($O$15,0,$DN142,$B$8,1),OFFSET($M$15,0,0,$B$8,1))=EQ$13), 1*(_xlfn._xlws.FILTER(OFFSET($O$15,0,$DO142,$B$8,1),OFFSET($M$15,0,0,$B$8,1))=EQ$14))   /   SUM(OFFSET($BO$15,0,0,$B$14,1)) + $B$18/($B$19*$B$19*($DN142&lt;&gt;$DO142) + $B$19*($DN142=$DO142))</f>
        <v>3.7037037037037035E-4</v>
      </c>
      <c r="ER142" s="10" cm="1">
        <f t="array" aca="1" ref="ER142" ca="1">(1-$B$18)*SUMPRODUCT(OFFSET($BO$15,0,0,$B$14,1), 1*(_xlfn._xlws.FILTER(OFFSET($O$15,0,$DN142,$B$8,1),OFFSET($M$15,0,0,$B$8,1))=ER$13), 1*(_xlfn._xlws.FILTER(OFFSET($O$15,0,$DO142,$B$8,1),OFFSET($M$15,0,0,$B$8,1))=ER$14))   /   SUM(OFFSET($BO$15,0,0,$B$14,1)) + $B$18/($B$19*$B$19*($DN142&lt;&gt;$DO142) + $B$19*($DN142=$DO142))</f>
        <v>3.7037037037037035E-4</v>
      </c>
      <c r="ES142" s="10" cm="1">
        <f t="array" aca="1" ref="ES142" ca="1">(1-$B$18)*SUMPRODUCT(OFFSET($BO$15,0,0,$B$14,1), 1*(_xlfn._xlws.FILTER(OFFSET($O$15,0,$DN142,$B$8,1),OFFSET($M$15,0,0,$B$8,1))=ES$13), 1*(_xlfn._xlws.FILTER(OFFSET($O$15,0,$DO142,$B$8,1),OFFSET($M$15,0,0,$B$8,1))=ES$14))   /   SUM(OFFSET($BO$15,0,0,$B$14,1)) + $B$18/($B$19*$B$19*($DN142&lt;&gt;$DO142) + $B$19*($DN142=$DO142))</f>
        <v>3.7037037037037035E-4</v>
      </c>
      <c r="ET142" s="10" cm="1">
        <f t="array" aca="1" ref="ET142" ca="1">(1-$B$18)*SUMPRODUCT(OFFSET($BO$15,0,0,$B$14,1), 1*(_xlfn._xlws.FILTER(OFFSET($O$15,0,$DN142,$B$8,1),OFFSET($M$15,0,0,$B$8,1))=ET$13), 1*(_xlfn._xlws.FILTER(OFFSET($O$15,0,$DO142,$B$8,1),OFFSET($M$15,0,0,$B$8,1))=ET$14))   /   SUM(OFFSET($BO$15,0,0,$B$14,1)) + $B$18/($B$19*$B$19*($DN142&lt;&gt;$DO142) + $B$19*($DN142=$DO142))</f>
        <v>3.7037037037037035E-4</v>
      </c>
      <c r="EU142" s="10" cm="1">
        <f t="array" aca="1" ref="EU142" ca="1">(1-$B$18)*SUMPRODUCT(OFFSET($BO$15,0,0,$B$14,1), 1*(_xlfn._xlws.FILTER(OFFSET($O$15,0,$DN142,$B$8,1),OFFSET($M$15,0,0,$B$8,1))=EU$13), 1*(_xlfn._xlws.FILTER(OFFSET($O$15,0,$DO142,$B$8,1),OFFSET($M$15,0,0,$B$8,1))=EU$14))   /   SUM(OFFSET($BO$15,0,0,$B$14,1)) + $B$18/($B$19*$B$19*($DN142&lt;&gt;$DO142) + $B$19*($DN142=$DO142))</f>
        <v>3.7037037037037035E-4</v>
      </c>
      <c r="EV142" s="10" cm="1">
        <f t="array" aca="1" ref="EV142" ca="1">(1-$B$18)*SUMPRODUCT(OFFSET($BO$15,0,0,$B$14,1), 1*(_xlfn._xlws.FILTER(OFFSET($O$15,0,$DN142,$B$8,1),OFFSET($M$15,0,0,$B$8,1))=EV$13), 1*(_xlfn._xlws.FILTER(OFFSET($O$15,0,$DO142,$B$8,1),OFFSET($M$15,0,0,$B$8,1))=EV$14))   /   SUM(OFFSET($BO$15,0,0,$B$14,1)) + $B$18/($B$19*$B$19*($DN142&lt;&gt;$DO142) + $B$19*($DN142=$DO142))</f>
        <v>3.7037037037037035E-4</v>
      </c>
      <c r="EW142" s="10" cm="1">
        <f t="array" aca="1" ref="EW142" ca="1">(1-$B$18)*SUMPRODUCT(OFFSET($BO$15,0,0,$B$14,1), 1*(_xlfn._xlws.FILTER(OFFSET($O$15,0,$DN142,$B$8,1),OFFSET($M$15,0,0,$B$8,1))=EW$13), 1*(_xlfn._xlws.FILTER(OFFSET($O$15,0,$DO142,$B$8,1),OFFSET($M$15,0,0,$B$8,1))=EW$14))   /   SUM(OFFSET($BO$15,0,0,$B$14,1)) + $B$18/($B$19*$B$19*($DN142&lt;&gt;$DO142) + $B$19*($DN142=$DO142))</f>
        <v>3.7037037037037035E-4</v>
      </c>
      <c r="EX142" s="10" cm="1">
        <f t="array" aca="1" ref="EX142" ca="1">(1-$B$18)*SUMPRODUCT(OFFSET($BO$15,0,0,$B$14,1), 1*(_xlfn._xlws.FILTER(OFFSET($O$15,0,$DN142,$B$8,1),OFFSET($M$15,0,0,$B$8,1))=EX$13), 1*(_xlfn._xlws.FILTER(OFFSET($O$15,0,$DO142,$B$8,1),OFFSET($M$15,0,0,$B$8,1))=EX$14))   /   SUM(OFFSET($BO$15,0,0,$B$14,1)) + $B$18/($B$19*$B$19*($DN142&lt;&gt;$DO142) + $B$19*($DN142=$DO142))</f>
        <v>3.7037037037037035E-4</v>
      </c>
      <c r="EY142" s="10" cm="1">
        <f t="array" aca="1" ref="EY142" ca="1">(1-$B$18)*SUMPRODUCT(OFFSET($BO$15,0,0,$B$14,1), 1*(_xlfn._xlws.FILTER(OFFSET($O$15,0,$DN142,$B$8,1),OFFSET($M$15,0,0,$B$8,1))=EY$13), 1*(_xlfn._xlws.FILTER(OFFSET($O$15,0,$DO142,$B$8,1),OFFSET($M$15,0,0,$B$8,1))=EY$14))   /   SUM(OFFSET($BO$15,0,0,$B$14,1)) + $B$18/($B$19*$B$19*($DN142&lt;&gt;$DO142) + $B$19*($DN142=$DO142))</f>
        <v>3.7037037037037035E-4</v>
      </c>
      <c r="EZ142" s="10" cm="1">
        <f t="array" aca="1" ref="EZ142" ca="1">(1-$B$18)*SUMPRODUCT(OFFSET($BO$15,0,0,$B$14,1), 1*(_xlfn._xlws.FILTER(OFFSET($O$15,0,$DN142,$B$8,1),OFFSET($M$15,0,0,$B$8,1))=EZ$13), 1*(_xlfn._xlws.FILTER(OFFSET($O$15,0,$DO142,$B$8,1),OFFSET($M$15,0,0,$B$8,1))=EZ$14))   /   SUM(OFFSET($BO$15,0,0,$B$14,1)) + $B$18/($B$19*$B$19*($DN142&lt;&gt;$DO142) + $B$19*($DN142=$DO142))</f>
        <v>3.7037037037037035E-4</v>
      </c>
      <c r="FA142" s="10" cm="1">
        <f t="array" aca="1" ref="FA142" ca="1">(1-$B$18)*SUMPRODUCT(OFFSET($BO$15,0,0,$B$14,1), 1*(_xlfn._xlws.FILTER(OFFSET($O$15,0,$DN142,$B$8,1),OFFSET($M$15,0,0,$B$8,1))=FA$13), 1*(_xlfn._xlws.FILTER(OFFSET($O$15,0,$DO142,$B$8,1),OFFSET($M$15,0,0,$B$8,1))=FA$14))   /   SUM(OFFSET($BO$15,0,0,$B$14,1)) + $B$18/($B$19*$B$19*($DN142&lt;&gt;$DO142) + $B$19*($DN142=$DO142))</f>
        <v>3.7037037037037035E-4</v>
      </c>
      <c r="FB142" s="10" cm="1">
        <f t="array" aca="1" ref="FB142" ca="1">(1-$B$18)*SUMPRODUCT(OFFSET($BO$15,0,0,$B$14,1), 1*(_xlfn._xlws.FILTER(OFFSET($O$15,0,$DN142,$B$8,1),OFFSET($M$15,0,0,$B$8,1))=FB$13), 1*(_xlfn._xlws.FILTER(OFFSET($O$15,0,$DO142,$B$8,1),OFFSET($M$15,0,0,$B$8,1))=FB$14))   /   SUM(OFFSET($BO$15,0,0,$B$14,1)) + $B$18/($B$19*$B$19*($DN142&lt;&gt;$DO142) + $B$19*($DN142=$DO142))</f>
        <v>3.7037037037037035E-4</v>
      </c>
      <c r="FC142" s="10" cm="1">
        <f t="array" aca="1" ref="FC142" ca="1">(1-$B$18)*SUMPRODUCT(OFFSET($BO$15,0,0,$B$14,1), 1*(_xlfn._xlws.FILTER(OFFSET($O$15,0,$DN142,$B$8,1),OFFSET($M$15,0,0,$B$8,1))=FC$13), 1*(_xlfn._xlws.FILTER(OFFSET($O$15,0,$DO142,$B$8,1),OFFSET($M$15,0,0,$B$8,1))=FC$14))   /   SUM(OFFSET($BO$15,0,0,$B$14,1)) + $B$18/($B$19*$B$19*($DN142&lt;&gt;$DO142) + $B$19*($DN142=$DO142))</f>
        <v>3.7037037037037035E-4</v>
      </c>
      <c r="FD142" s="10" cm="1">
        <f t="array" aca="1" ref="FD142" ca="1">(1-$B$18)*SUMPRODUCT(OFFSET($BO$15,0,0,$B$14,1), 1*(_xlfn._xlws.FILTER(OFFSET($O$15,0,$DN142,$B$8,1),OFFSET($M$15,0,0,$B$8,1))=FD$13), 1*(_xlfn._xlws.FILTER(OFFSET($O$15,0,$DO142,$B$8,1),OFFSET($M$15,0,0,$B$8,1))=FD$14))   /   SUM(OFFSET($BO$15,0,0,$B$14,1)) + $B$18/($B$19*$B$19*($DN142&lt;&gt;$DO142) + $B$19*($DN142=$DO142))</f>
        <v>3.7037037037037035E-4</v>
      </c>
      <c r="FE142" s="10" cm="1">
        <f t="array" aca="1" ref="FE142" ca="1">(1-$B$18)*SUMPRODUCT(OFFSET($BO$15,0,0,$B$14,1), 1*(_xlfn._xlws.FILTER(OFFSET($O$15,0,$DN142,$B$8,1),OFFSET($M$15,0,0,$B$8,1))=FE$13), 1*(_xlfn._xlws.FILTER(OFFSET($O$15,0,$DO142,$B$8,1),OFFSET($M$15,0,0,$B$8,1))=FE$14))   /   SUM(OFFSET($BO$15,0,0,$B$14,1)) + $B$18/($B$19*$B$19*($DN142&lt;&gt;$DO142) + $B$19*($DN142=$DO142))</f>
        <v>3.7037037037037035E-4</v>
      </c>
      <c r="FF142" s="10" cm="1">
        <f t="array" aca="1" ref="FF142" ca="1">(1-$B$18)*SUMPRODUCT(OFFSET($BO$15,0,0,$B$14,1), 1*(_xlfn._xlws.FILTER(OFFSET($O$15,0,$DN142,$B$8,1),OFFSET($M$15,0,0,$B$8,1))=FF$13), 1*(_xlfn._xlws.FILTER(OFFSET($O$15,0,$DO142,$B$8,1),OFFSET($M$15,0,0,$B$8,1))=FF$14))   /   SUM(OFFSET($BO$15,0,0,$B$14,1)) + $B$18/($B$19*$B$19*($DN142&lt;&gt;$DO142) + $B$19*($DN142=$DO142))</f>
        <v>3.7037037037037035E-4</v>
      </c>
      <c r="FG142" s="10" cm="1">
        <f t="array" aca="1" ref="FG142" ca="1">(1-$B$18)*SUMPRODUCT(OFFSET($BO$15,0,0,$B$14,1), 1*(_xlfn._xlws.FILTER(OFFSET($O$15,0,$DN142,$B$8,1),OFFSET($M$15,0,0,$B$8,1))=FG$13), 1*(_xlfn._xlws.FILTER(OFFSET($O$15,0,$DO142,$B$8,1),OFFSET($M$15,0,0,$B$8,1))=FG$14))   /   SUM(OFFSET($BO$15,0,0,$B$14,1)) + $B$18/($B$19*$B$19*($DN142&lt;&gt;$DO142) + $B$19*($DN142=$DO142))</f>
        <v>3.7037037037037035E-4</v>
      </c>
      <c r="FH142" s="10" cm="1">
        <f t="array" aca="1" ref="FH142" ca="1">(1-$B$18)*SUMPRODUCT(OFFSET($BO$15,0,0,$B$14,1), 1*(_xlfn._xlws.FILTER(OFFSET($O$15,0,$DN142,$B$8,1),OFFSET($M$15,0,0,$B$8,1))=FH$13), 1*(_xlfn._xlws.FILTER(OFFSET($O$15,0,$DO142,$B$8,1),OFFSET($M$15,0,0,$B$8,1))=FH$14))   /   SUM(OFFSET($BO$15,0,0,$B$14,1)) + $B$18/($B$19*$B$19*($DN142&lt;&gt;$DO142) + $B$19*($DN142=$DO142))</f>
        <v>3.7037037037037035E-4</v>
      </c>
      <c r="FI142" s="10" cm="1">
        <f t="array" aca="1" ref="FI142" ca="1">(1-$B$18)*SUMPRODUCT(OFFSET($BO$15,0,0,$B$14,1), 1*(_xlfn._xlws.FILTER(OFFSET($O$15,0,$DN142,$B$8,1),OFFSET($M$15,0,0,$B$8,1))=FI$13), 1*(_xlfn._xlws.FILTER(OFFSET($O$15,0,$DO142,$B$8,1),OFFSET($M$15,0,0,$B$8,1))=FI$14))   /   SUM(OFFSET($BO$15,0,0,$B$14,1)) + $B$18/($B$19*$B$19*($DN142&lt;&gt;$DO142) + $B$19*($DN142=$DO142))</f>
        <v>3.7037037037037035E-4</v>
      </c>
      <c r="FJ142" s="10" cm="1">
        <f t="array" aca="1" ref="FJ142" ca="1">(1-$B$18)*SUMPRODUCT(OFFSET($BO$15,0,0,$B$14,1), 1*(_xlfn._xlws.FILTER(OFFSET($O$15,0,$DN142,$B$8,1),OFFSET($M$15,0,0,$B$8,1))=FJ$13), 1*(_xlfn._xlws.FILTER(OFFSET($O$15,0,$DO142,$B$8,1),OFFSET($M$15,0,0,$B$8,1))=FJ$14))   /   SUM(OFFSET($BO$15,0,0,$B$14,1)) + $B$18/($B$19*$B$19*($DN142&lt;&gt;$DO142) + $B$19*($DN142=$DO142))</f>
        <v>3.7037037037037035E-4</v>
      </c>
      <c r="FK142" s="10" cm="1">
        <f t="array" aca="1" ref="FK142" ca="1">(1-$B$18)*SUMPRODUCT(OFFSET($BO$15,0,0,$B$14,1), 1*(_xlfn._xlws.FILTER(OFFSET($O$15,0,$DN142,$B$8,1),OFFSET($M$15,0,0,$B$8,1))=FK$13), 1*(_xlfn._xlws.FILTER(OFFSET($O$15,0,$DO142,$B$8,1),OFFSET($M$15,0,0,$B$8,1))=FK$14))   /   SUM(OFFSET($BO$15,0,0,$B$14,1)) + $B$18/($B$19*$B$19*($DN142&lt;&gt;$DO142) + $B$19*($DN142=$DO142))</f>
        <v>3.7037037037037035E-4</v>
      </c>
      <c r="FL142" s="10" cm="1">
        <f t="array" aca="1" ref="FL142" ca="1">(1-$B$18)*SUMPRODUCT(OFFSET($BO$15,0,0,$B$14,1), 1*(_xlfn._xlws.FILTER(OFFSET($O$15,0,$DN142,$B$8,1),OFFSET($M$15,0,0,$B$8,1))=FL$13), 1*(_xlfn._xlws.FILTER(OFFSET($O$15,0,$DO142,$B$8,1),OFFSET($M$15,0,0,$B$8,1))=FL$14))   /   SUM(OFFSET($BO$15,0,0,$B$14,1)) + $B$18/($B$19*$B$19*($DN142&lt;&gt;$DO142) + $B$19*($DN142=$DO142))</f>
        <v>3.7037037037037035E-4</v>
      </c>
      <c r="FM142" s="10" cm="1">
        <f t="array" aca="1" ref="FM142" ca="1">(1-$B$18)*SUMPRODUCT(OFFSET($BO$15,0,0,$B$14,1), 1*(_xlfn._xlws.FILTER(OFFSET($O$15,0,$DN142,$B$8,1),OFFSET($M$15,0,0,$B$8,1))=FM$13), 1*(_xlfn._xlws.FILTER(OFFSET($O$15,0,$DO142,$B$8,1),OFFSET($M$15,0,0,$B$8,1))=FM$14))   /   SUM(OFFSET($BO$15,0,0,$B$14,1)) + $B$18/($B$19*$B$19*($DN142&lt;&gt;$DO142) + $B$19*($DN142=$DO142))</f>
        <v>3.7037037037037035E-4</v>
      </c>
      <c r="FN142" s="10" cm="1">
        <f t="array" aca="1" ref="FN142" ca="1">(1-$B$18)*SUMPRODUCT(OFFSET($BO$15,0,0,$B$14,1), 1*(_xlfn._xlws.FILTER(OFFSET($O$15,0,$DN142,$B$8,1),OFFSET($M$15,0,0,$B$8,1))=FN$13), 1*(_xlfn._xlws.FILTER(OFFSET($O$15,0,$DO142,$B$8,1),OFFSET($M$15,0,0,$B$8,1))=FN$14))   /   SUM(OFFSET($BO$15,0,0,$B$14,1)) + $B$18/($B$19*$B$19*($DN142&lt;&gt;$DO142) + $B$19*($DN142=$DO142))</f>
        <v>0.97037037037037033</v>
      </c>
      <c r="FO142" s="10" cm="1">
        <f t="array" aca="1" ref="FO142" ca="1">(1-$B$18)*SUMPRODUCT(OFFSET($BO$15,0,0,$B$14,1), 1*(_xlfn._xlws.FILTER(OFFSET($O$15,0,$DN142,$B$8,1),OFFSET($M$15,0,0,$B$8,1))=FO$13), 1*(_xlfn._xlws.FILTER(OFFSET($O$15,0,$DO142,$B$8,1),OFFSET($M$15,0,0,$B$8,1))=FO$14))   /   SUM(OFFSET($BO$15,0,0,$B$14,1)) + $B$18/($B$19*$B$19*($DN142&lt;&gt;$DO142) + $B$19*($DN142=$DO142))</f>
        <v>3.7037037037037035E-4</v>
      </c>
      <c r="FP142" s="10" cm="1">
        <f t="array" aca="1" ref="FP142" ca="1">(1-$B$18)*SUMPRODUCT(OFFSET($BO$15,0,0,$B$14,1), 1*(_xlfn._xlws.FILTER(OFFSET($O$15,0,$DN142,$B$8,1),OFFSET($M$15,0,0,$B$8,1))=FP$13), 1*(_xlfn._xlws.FILTER(OFFSET($O$15,0,$DO142,$B$8,1),OFFSET($M$15,0,0,$B$8,1))=FP$14))   /   SUM(OFFSET($BO$15,0,0,$B$14,1)) + $B$18/($B$19*$B$19*($DN142&lt;&gt;$DO142) + $B$19*($DN142=$DO142))</f>
        <v>3.7037037037037035E-4</v>
      </c>
      <c r="FQ142" s="10" cm="1">
        <f t="array" aca="1" ref="FQ142" ca="1">(1-$B$18)*SUMPRODUCT(OFFSET($BO$15,0,0,$B$14,1), 1*(_xlfn._xlws.FILTER(OFFSET($O$15,0,$DN142,$B$8,1),OFFSET($M$15,0,0,$B$8,1))=FQ$13), 1*(_xlfn._xlws.FILTER(OFFSET($O$15,0,$DO142,$B$8,1),OFFSET($M$15,0,0,$B$8,1))=FQ$14))   /   SUM(OFFSET($BO$15,0,0,$B$14,1)) + $B$18/($B$19*$B$19*($DN142&lt;&gt;$DO142) + $B$19*($DN142=$DO142))</f>
        <v>3.7037037037037035E-4</v>
      </c>
      <c r="FR142" s="10" cm="1">
        <f t="array" aca="1" ref="FR142" ca="1">(1-$B$18)*SUMPRODUCT(OFFSET($BO$15,0,0,$B$14,1), 1*(_xlfn._xlws.FILTER(OFFSET($O$15,0,$DN142,$B$8,1),OFFSET($M$15,0,0,$B$8,1))=FR$13), 1*(_xlfn._xlws.FILTER(OFFSET($O$15,0,$DO142,$B$8,1),OFFSET($M$15,0,0,$B$8,1))=FR$14))   /   SUM(OFFSET($BO$15,0,0,$B$14,1)) + $B$18/($B$19*$B$19*($DN142&lt;&gt;$DO142) + $B$19*($DN142=$DO142))</f>
        <v>3.7037037037037035E-4</v>
      </c>
      <c r="FS142" s="10" cm="1">
        <f t="array" aca="1" ref="FS142" ca="1">(1-$B$18)*SUMPRODUCT(OFFSET($BO$15,0,0,$B$14,1), 1*(_xlfn._xlws.FILTER(OFFSET($O$15,0,$DN142,$B$8,1),OFFSET($M$15,0,0,$B$8,1))=FS$13), 1*(_xlfn._xlws.FILTER(OFFSET($O$15,0,$DO142,$B$8,1),OFFSET($M$15,0,0,$B$8,1))=FS$14))   /   SUM(OFFSET($BO$15,0,0,$B$14,1)) + $B$18/($B$19*$B$19*($DN142&lt;&gt;$DO142) + $B$19*($DN142=$DO142))</f>
        <v>3.7037037037037035E-4</v>
      </c>
      <c r="FT142" s="10" cm="1">
        <f t="array" aca="1" ref="FT142" ca="1">(1-$B$18)*SUMPRODUCT(OFFSET($BO$15,0,0,$B$14,1), 1*(_xlfn._xlws.FILTER(OFFSET($O$15,0,$DN142,$B$8,1),OFFSET($M$15,0,0,$B$8,1))=FT$13), 1*(_xlfn._xlws.FILTER(OFFSET($O$15,0,$DO142,$B$8,1),OFFSET($M$15,0,0,$B$8,1))=FT$14))   /   SUM(OFFSET($BO$15,0,0,$B$14,1)) + $B$18/($B$19*$B$19*($DN142&lt;&gt;$DO142) + $B$19*($DN142=$DO142))</f>
        <v>3.7037037037037035E-4</v>
      </c>
      <c r="FU142" s="10" cm="1">
        <f t="array" aca="1" ref="FU142" ca="1">(1-$B$18)*SUMPRODUCT(OFFSET($BO$15,0,0,$B$14,1), 1*(_xlfn._xlws.FILTER(OFFSET($O$15,0,$DN142,$B$8,1),OFFSET($M$15,0,0,$B$8,1))=FU$13), 1*(_xlfn._xlws.FILTER(OFFSET($O$15,0,$DO142,$B$8,1),OFFSET($M$15,0,0,$B$8,1))=FU$14))   /   SUM(OFFSET($BO$15,0,0,$B$14,1)) + $B$18/($B$19*$B$19*($DN142&lt;&gt;$DO142) + $B$19*($DN142=$DO142))</f>
        <v>3.7037037037037035E-4</v>
      </c>
      <c r="FV142" s="10" cm="1">
        <f t="array" aca="1" ref="FV142" ca="1">(1-$B$18)*SUMPRODUCT(OFFSET($BO$15,0,0,$B$14,1), 1*(_xlfn._xlws.FILTER(OFFSET($O$15,0,$DN142,$B$8,1),OFFSET($M$15,0,0,$B$8,1))=FV$13), 1*(_xlfn._xlws.FILTER(OFFSET($O$15,0,$DO142,$B$8,1),OFFSET($M$15,0,0,$B$8,1))=FV$14))   /   SUM(OFFSET($BO$15,0,0,$B$14,1)) + $B$18/($B$19*$B$19*($DN142&lt;&gt;$DO142) + $B$19*($DN142=$DO142))</f>
        <v>3.7037037037037035E-4</v>
      </c>
      <c r="FW142" s="10" cm="1">
        <f t="array" aca="1" ref="FW142" ca="1">(1-$B$18)*SUMPRODUCT(OFFSET($BO$15,0,0,$B$14,1), 1*(_xlfn._xlws.FILTER(OFFSET($O$15,0,$DN142,$B$8,1),OFFSET($M$15,0,0,$B$8,1))=FW$13), 1*(_xlfn._xlws.FILTER(OFFSET($O$15,0,$DO142,$B$8,1),OFFSET($M$15,0,0,$B$8,1))=FW$14))   /   SUM(OFFSET($BO$15,0,0,$B$14,1)) + $B$18/($B$19*$B$19*($DN142&lt;&gt;$DO142) + $B$19*($DN142=$DO142))</f>
        <v>3.7037037037037035E-4</v>
      </c>
      <c r="FX142" s="10" cm="1">
        <f t="array" aca="1" ref="FX142" ca="1">(1-$B$18)*SUMPRODUCT(OFFSET($BO$15,0,0,$B$14,1), 1*(_xlfn._xlws.FILTER(OFFSET($O$15,0,$DN142,$B$8,1),OFFSET($M$15,0,0,$B$8,1))=FX$13), 1*(_xlfn._xlws.FILTER(OFFSET($O$15,0,$DO142,$B$8,1),OFFSET($M$15,0,0,$B$8,1))=FX$14))   /   SUM(OFFSET($BO$15,0,0,$B$14,1)) + $B$18/($B$19*$B$19*($DN142&lt;&gt;$DO142) + $B$19*($DN142=$DO142))</f>
        <v>3.7037037037037035E-4</v>
      </c>
      <c r="FY142" s="10" cm="1">
        <f t="array" aca="1" ref="FY142" ca="1">(1-$B$18)*SUMPRODUCT(OFFSET($BO$15,0,0,$B$14,1), 1*(_xlfn._xlws.FILTER(OFFSET($O$15,0,$DN142,$B$8,1),OFFSET($M$15,0,0,$B$8,1))=FY$13), 1*(_xlfn._xlws.FILTER(OFFSET($O$15,0,$DO142,$B$8,1),OFFSET($M$15,0,0,$B$8,1))=FY$14))   /   SUM(OFFSET($BO$15,0,0,$B$14,1)) + $B$18/($B$19*$B$19*($DN142&lt;&gt;$DO142) + $B$19*($DN142=$DO142))</f>
        <v>3.7037037037037035E-4</v>
      </c>
      <c r="FZ142" s="10" cm="1">
        <f t="array" aca="1" ref="FZ142" ca="1">(1-$B$18)*SUMPRODUCT(OFFSET($BO$15,0,0,$B$14,1), 1*(_xlfn._xlws.FILTER(OFFSET($O$15,0,$DN142,$B$8,1),OFFSET($M$15,0,0,$B$8,1))=FZ$13), 1*(_xlfn._xlws.FILTER(OFFSET($O$15,0,$DO142,$B$8,1),OFFSET($M$15,0,0,$B$8,1))=FZ$14))   /   SUM(OFFSET($BO$15,0,0,$B$14,1)) + $B$18/($B$19*$B$19*($DN142&lt;&gt;$DO142) + $B$19*($DN142=$DO142))</f>
        <v>3.7037037037037035E-4</v>
      </c>
      <c r="GA142" s="10" cm="1">
        <f t="array" aca="1" ref="GA142" ca="1">(1-$B$18)*SUMPRODUCT(OFFSET($BO$15,0,0,$B$14,1), 1*(_xlfn._xlws.FILTER(OFFSET($O$15,0,$DN142,$B$8,1),OFFSET($M$15,0,0,$B$8,1))=GA$13), 1*(_xlfn._xlws.FILTER(OFFSET($O$15,0,$DO142,$B$8,1),OFFSET($M$15,0,0,$B$8,1))=GA$14))   /   SUM(OFFSET($BO$15,0,0,$B$14,1)) + $B$18/($B$19*$B$19*($DN142&lt;&gt;$DO142) + $B$19*($DN142=$DO142))</f>
        <v>3.7037037037037035E-4</v>
      </c>
    </row>
    <row r="143" spans="7:183" x14ac:dyDescent="0.2">
      <c r="DN143" cm="1">
        <f t="array" aca="1" ref="DN143" ca="1">INDEX(_xlfn.ANCHORARRAY($CP$15), 1 + INT((ROWS($DO$15:$DO143) - 1) / ROWS(_xlfn.ANCHORARRAY($CP$15))))</f>
        <v>6</v>
      </c>
      <c r="DO143" cm="1">
        <f t="array" aca="1" ref="DO143" ca="1">INDEX(_xlfn.ANCHORARRAY($CP$15),1+MOD(ROWS($DO$15:$DO143)-1,ROWS(_xlfn.ANCHORARRAY($CP$15))))</f>
        <v>15</v>
      </c>
      <c r="DP143" s="10" cm="1">
        <f t="array" aca="1" ref="DP143" ca="1">(1-$B$18)*SUMPRODUCT(OFFSET($BO$15,0,0,$B$14,1), 1*(_xlfn._xlws.FILTER(OFFSET($O$15,0,$DN143,$B$8,1),OFFSET($M$15,0,0,$B$8,1))=DP$13), 1*(_xlfn._xlws.FILTER(OFFSET($O$15,0,$DO143,$B$8,1),OFFSET($M$15,0,0,$B$8,1))=DP$14))   /   SUM(OFFSET($BO$15,0,0,$B$14,1)) + $B$18/($B$19*$B$19*($DN143&lt;&gt;$DO143) + $B$19*($DN143=$DO143))</f>
        <v>3.7037037037037035E-4</v>
      </c>
      <c r="DQ143" s="10" cm="1">
        <f t="array" aca="1" ref="DQ143" ca="1">(1-$B$18)*SUMPRODUCT(OFFSET($BO$15,0,0,$B$14,1), 1*(_xlfn._xlws.FILTER(OFFSET($O$15,0,$DN143,$B$8,1),OFFSET($M$15,0,0,$B$8,1))=DQ$13), 1*(_xlfn._xlws.FILTER(OFFSET($O$15,0,$DO143,$B$8,1),OFFSET($M$15,0,0,$B$8,1))=DQ$14))   /   SUM(OFFSET($BO$15,0,0,$B$14,1)) + $B$18/($B$19*$B$19*($DN143&lt;&gt;$DO143) + $B$19*($DN143=$DO143))</f>
        <v>3.7037037037037035E-4</v>
      </c>
      <c r="DR143" s="10" cm="1">
        <f t="array" aca="1" ref="DR143" ca="1">(1-$B$18)*SUMPRODUCT(OFFSET($BO$15,0,0,$B$14,1), 1*(_xlfn._xlws.FILTER(OFFSET($O$15,0,$DN143,$B$8,1),OFFSET($M$15,0,0,$B$8,1))=DR$13), 1*(_xlfn._xlws.FILTER(OFFSET($O$15,0,$DO143,$B$8,1),OFFSET($M$15,0,0,$B$8,1))=DR$14))   /   SUM(OFFSET($BO$15,0,0,$B$14,1)) + $B$18/($B$19*$B$19*($DN143&lt;&gt;$DO143) + $B$19*($DN143=$DO143))</f>
        <v>3.7037037037037035E-4</v>
      </c>
      <c r="DS143" s="10" cm="1">
        <f t="array" aca="1" ref="DS143" ca="1">(1-$B$18)*SUMPRODUCT(OFFSET($BO$15,0,0,$B$14,1), 1*(_xlfn._xlws.FILTER(OFFSET($O$15,0,$DN143,$B$8,1),OFFSET($M$15,0,0,$B$8,1))=DS$13), 1*(_xlfn._xlws.FILTER(OFFSET($O$15,0,$DO143,$B$8,1),OFFSET($M$15,0,0,$B$8,1))=DS$14))   /   SUM(OFFSET($BO$15,0,0,$B$14,1)) + $B$18/($B$19*$B$19*($DN143&lt;&gt;$DO143) + $B$19*($DN143=$DO143))</f>
        <v>3.7037037037037035E-4</v>
      </c>
      <c r="DT143" s="10" cm="1">
        <f t="array" aca="1" ref="DT143" ca="1">(1-$B$18)*SUMPRODUCT(OFFSET($BO$15,0,0,$B$14,1), 1*(_xlfn._xlws.FILTER(OFFSET($O$15,0,$DN143,$B$8,1),OFFSET($M$15,0,0,$B$8,1))=DT$13), 1*(_xlfn._xlws.FILTER(OFFSET($O$15,0,$DO143,$B$8,1),OFFSET($M$15,0,0,$B$8,1))=DT$14))   /   SUM(OFFSET($BO$15,0,0,$B$14,1)) + $B$18/($B$19*$B$19*($DN143&lt;&gt;$DO143) + $B$19*($DN143=$DO143))</f>
        <v>3.7037037037037035E-4</v>
      </c>
      <c r="DU143" s="10" cm="1">
        <f t="array" aca="1" ref="DU143" ca="1">(1-$B$18)*SUMPRODUCT(OFFSET($BO$15,0,0,$B$14,1), 1*(_xlfn._xlws.FILTER(OFFSET($O$15,0,$DN143,$B$8,1),OFFSET($M$15,0,0,$B$8,1))=DU$13), 1*(_xlfn._xlws.FILTER(OFFSET($O$15,0,$DO143,$B$8,1),OFFSET($M$15,0,0,$B$8,1))=DU$14))   /   SUM(OFFSET($BO$15,0,0,$B$14,1)) + $B$18/($B$19*$B$19*($DN143&lt;&gt;$DO143) + $B$19*($DN143=$DO143))</f>
        <v>3.7037037037037035E-4</v>
      </c>
      <c r="DV143" s="10" cm="1">
        <f t="array" aca="1" ref="DV143" ca="1">(1-$B$18)*SUMPRODUCT(OFFSET($BO$15,0,0,$B$14,1), 1*(_xlfn._xlws.FILTER(OFFSET($O$15,0,$DN143,$B$8,1),OFFSET($M$15,0,0,$B$8,1))=DV$13), 1*(_xlfn._xlws.FILTER(OFFSET($O$15,0,$DO143,$B$8,1),OFFSET($M$15,0,0,$B$8,1))=DV$14))   /   SUM(OFFSET($BO$15,0,0,$B$14,1)) + $B$18/($B$19*$B$19*($DN143&lt;&gt;$DO143) + $B$19*($DN143=$DO143))</f>
        <v>3.7037037037037035E-4</v>
      </c>
      <c r="DW143" s="10" cm="1">
        <f t="array" aca="1" ref="DW143" ca="1">(1-$B$18)*SUMPRODUCT(OFFSET($BO$15,0,0,$B$14,1), 1*(_xlfn._xlws.FILTER(OFFSET($O$15,0,$DN143,$B$8,1),OFFSET($M$15,0,0,$B$8,1))=DW$13), 1*(_xlfn._xlws.FILTER(OFFSET($O$15,0,$DO143,$B$8,1),OFFSET($M$15,0,0,$B$8,1))=DW$14))   /   SUM(OFFSET($BO$15,0,0,$B$14,1)) + $B$18/($B$19*$B$19*($DN143&lt;&gt;$DO143) + $B$19*($DN143=$DO143))</f>
        <v>3.7037037037037035E-4</v>
      </c>
      <c r="DX143" s="10" cm="1">
        <f t="array" aca="1" ref="DX143" ca="1">(1-$B$18)*SUMPRODUCT(OFFSET($BO$15,0,0,$B$14,1), 1*(_xlfn._xlws.FILTER(OFFSET($O$15,0,$DN143,$B$8,1),OFFSET($M$15,0,0,$B$8,1))=DX$13), 1*(_xlfn._xlws.FILTER(OFFSET($O$15,0,$DO143,$B$8,1),OFFSET($M$15,0,0,$B$8,1))=DX$14))   /   SUM(OFFSET($BO$15,0,0,$B$14,1)) + $B$18/($B$19*$B$19*($DN143&lt;&gt;$DO143) + $B$19*($DN143=$DO143))</f>
        <v>3.7037037037037035E-4</v>
      </c>
      <c r="DY143" s="10" cm="1">
        <f t="array" aca="1" ref="DY143" ca="1">(1-$B$18)*SUMPRODUCT(OFFSET($BO$15,0,0,$B$14,1), 1*(_xlfn._xlws.FILTER(OFFSET($O$15,0,$DN143,$B$8,1),OFFSET($M$15,0,0,$B$8,1))=DY$13), 1*(_xlfn._xlws.FILTER(OFFSET($O$15,0,$DO143,$B$8,1),OFFSET($M$15,0,0,$B$8,1))=DY$14))   /   SUM(OFFSET($BO$15,0,0,$B$14,1)) + $B$18/($B$19*$B$19*($DN143&lt;&gt;$DO143) + $B$19*($DN143=$DO143))</f>
        <v>3.7037037037037035E-4</v>
      </c>
      <c r="DZ143" s="10" cm="1">
        <f t="array" aca="1" ref="DZ143" ca="1">(1-$B$18)*SUMPRODUCT(OFFSET($BO$15,0,0,$B$14,1), 1*(_xlfn._xlws.FILTER(OFFSET($O$15,0,$DN143,$B$8,1),OFFSET($M$15,0,0,$B$8,1))=DZ$13), 1*(_xlfn._xlws.FILTER(OFFSET($O$15,0,$DO143,$B$8,1),OFFSET($M$15,0,0,$B$8,1))=DZ$14))   /   SUM(OFFSET($BO$15,0,0,$B$14,1)) + $B$18/($B$19*$B$19*($DN143&lt;&gt;$DO143) + $B$19*($DN143=$DO143))</f>
        <v>3.7037037037037035E-4</v>
      </c>
      <c r="EA143" s="10" cm="1">
        <f t="array" aca="1" ref="EA143" ca="1">(1-$B$18)*SUMPRODUCT(OFFSET($BO$15,0,0,$B$14,1), 1*(_xlfn._xlws.FILTER(OFFSET($O$15,0,$DN143,$B$8,1),OFFSET($M$15,0,0,$B$8,1))=EA$13), 1*(_xlfn._xlws.FILTER(OFFSET($O$15,0,$DO143,$B$8,1),OFFSET($M$15,0,0,$B$8,1))=EA$14))   /   SUM(OFFSET($BO$15,0,0,$B$14,1)) + $B$18/($B$19*$B$19*($DN143&lt;&gt;$DO143) + $B$19*($DN143=$DO143))</f>
        <v>3.7037037037037035E-4</v>
      </c>
      <c r="EB143" s="10" cm="1">
        <f t="array" aca="1" ref="EB143" ca="1">(1-$B$18)*SUMPRODUCT(OFFSET($BO$15,0,0,$B$14,1), 1*(_xlfn._xlws.FILTER(OFFSET($O$15,0,$DN143,$B$8,1),OFFSET($M$15,0,0,$B$8,1))=EB$13), 1*(_xlfn._xlws.FILTER(OFFSET($O$15,0,$DO143,$B$8,1),OFFSET($M$15,0,0,$B$8,1))=EB$14))   /   SUM(OFFSET($BO$15,0,0,$B$14,1)) + $B$18/($B$19*$B$19*($DN143&lt;&gt;$DO143) + $B$19*($DN143=$DO143))</f>
        <v>3.7037037037037035E-4</v>
      </c>
      <c r="EC143" s="10" cm="1">
        <f t="array" aca="1" ref="EC143" ca="1">(1-$B$18)*SUMPRODUCT(OFFSET($BO$15,0,0,$B$14,1), 1*(_xlfn._xlws.FILTER(OFFSET($O$15,0,$DN143,$B$8,1),OFFSET($M$15,0,0,$B$8,1))=EC$13), 1*(_xlfn._xlws.FILTER(OFFSET($O$15,0,$DO143,$B$8,1),OFFSET($M$15,0,0,$B$8,1))=EC$14))   /   SUM(OFFSET($BO$15,0,0,$B$14,1)) + $B$18/($B$19*$B$19*($DN143&lt;&gt;$DO143) + $B$19*($DN143=$DO143))</f>
        <v>3.7037037037037035E-4</v>
      </c>
      <c r="ED143" s="10" cm="1">
        <f t="array" aca="1" ref="ED143" ca="1">(1-$B$18)*SUMPRODUCT(OFFSET($BO$15,0,0,$B$14,1), 1*(_xlfn._xlws.FILTER(OFFSET($O$15,0,$DN143,$B$8,1),OFFSET($M$15,0,0,$B$8,1))=ED$13), 1*(_xlfn._xlws.FILTER(OFFSET($O$15,0,$DO143,$B$8,1),OFFSET($M$15,0,0,$B$8,1))=ED$14))   /   SUM(OFFSET($BO$15,0,0,$B$14,1)) + $B$18/($B$19*$B$19*($DN143&lt;&gt;$DO143) + $B$19*($DN143=$DO143))</f>
        <v>3.7037037037037035E-4</v>
      </c>
      <c r="EE143" s="10" cm="1">
        <f t="array" aca="1" ref="EE143" ca="1">(1-$B$18)*SUMPRODUCT(OFFSET($BO$15,0,0,$B$14,1), 1*(_xlfn._xlws.FILTER(OFFSET($O$15,0,$DN143,$B$8,1),OFFSET($M$15,0,0,$B$8,1))=EE$13), 1*(_xlfn._xlws.FILTER(OFFSET($O$15,0,$DO143,$B$8,1),OFFSET($M$15,0,0,$B$8,1))=EE$14))   /   SUM(OFFSET($BO$15,0,0,$B$14,1)) + $B$18/($B$19*$B$19*($DN143&lt;&gt;$DO143) + $B$19*($DN143=$DO143))</f>
        <v>3.7037037037037035E-4</v>
      </c>
      <c r="EF143" s="10" cm="1">
        <f t="array" aca="1" ref="EF143" ca="1">(1-$B$18)*SUMPRODUCT(OFFSET($BO$15,0,0,$B$14,1), 1*(_xlfn._xlws.FILTER(OFFSET($O$15,0,$DN143,$B$8,1),OFFSET($M$15,0,0,$B$8,1))=EF$13), 1*(_xlfn._xlws.FILTER(OFFSET($O$15,0,$DO143,$B$8,1),OFFSET($M$15,0,0,$B$8,1))=EF$14))   /   SUM(OFFSET($BO$15,0,0,$B$14,1)) + $B$18/($B$19*$B$19*($DN143&lt;&gt;$DO143) + $B$19*($DN143=$DO143))</f>
        <v>3.7037037037037035E-4</v>
      </c>
      <c r="EG143" s="10" cm="1">
        <f t="array" aca="1" ref="EG143" ca="1">(1-$B$18)*SUMPRODUCT(OFFSET($BO$15,0,0,$B$14,1), 1*(_xlfn._xlws.FILTER(OFFSET($O$15,0,$DN143,$B$8,1),OFFSET($M$15,0,0,$B$8,1))=EG$13), 1*(_xlfn._xlws.FILTER(OFFSET($O$15,0,$DO143,$B$8,1),OFFSET($M$15,0,0,$B$8,1))=EG$14))   /   SUM(OFFSET($BO$15,0,0,$B$14,1)) + $B$18/($B$19*$B$19*($DN143&lt;&gt;$DO143) + $B$19*($DN143=$DO143))</f>
        <v>3.7037037037037035E-4</v>
      </c>
      <c r="EH143" s="10" cm="1">
        <f t="array" aca="1" ref="EH143" ca="1">(1-$B$18)*SUMPRODUCT(OFFSET($BO$15,0,0,$B$14,1), 1*(_xlfn._xlws.FILTER(OFFSET($O$15,0,$DN143,$B$8,1),OFFSET($M$15,0,0,$B$8,1))=EH$13), 1*(_xlfn._xlws.FILTER(OFFSET($O$15,0,$DO143,$B$8,1),OFFSET($M$15,0,0,$B$8,1))=EH$14))   /   SUM(OFFSET($BO$15,0,0,$B$14,1)) + $B$18/($B$19*$B$19*($DN143&lt;&gt;$DO143) + $B$19*($DN143=$DO143))</f>
        <v>3.7037037037037035E-4</v>
      </c>
      <c r="EI143" s="10" cm="1">
        <f t="array" aca="1" ref="EI143" ca="1">(1-$B$18)*SUMPRODUCT(OFFSET($BO$15,0,0,$B$14,1), 1*(_xlfn._xlws.FILTER(OFFSET($O$15,0,$DN143,$B$8,1),OFFSET($M$15,0,0,$B$8,1))=EI$13), 1*(_xlfn._xlws.FILTER(OFFSET($O$15,0,$DO143,$B$8,1),OFFSET($M$15,0,0,$B$8,1))=EI$14))   /   SUM(OFFSET($BO$15,0,0,$B$14,1)) + $B$18/($B$19*$B$19*($DN143&lt;&gt;$DO143) + $B$19*($DN143=$DO143))</f>
        <v>3.7037037037037035E-4</v>
      </c>
      <c r="EJ143" s="10" cm="1">
        <f t="array" aca="1" ref="EJ143" ca="1">(1-$B$18)*SUMPRODUCT(OFFSET($BO$15,0,0,$B$14,1), 1*(_xlfn._xlws.FILTER(OFFSET($O$15,0,$DN143,$B$8,1),OFFSET($M$15,0,0,$B$8,1))=EJ$13), 1*(_xlfn._xlws.FILTER(OFFSET($O$15,0,$DO143,$B$8,1),OFFSET($M$15,0,0,$B$8,1))=EJ$14))   /   SUM(OFFSET($BO$15,0,0,$B$14,1)) + $B$18/($B$19*$B$19*($DN143&lt;&gt;$DO143) + $B$19*($DN143=$DO143))</f>
        <v>3.7037037037037035E-4</v>
      </c>
      <c r="EK143" s="10" cm="1">
        <f t="array" aca="1" ref="EK143" ca="1">(1-$B$18)*SUMPRODUCT(OFFSET($BO$15,0,0,$B$14,1), 1*(_xlfn._xlws.FILTER(OFFSET($O$15,0,$DN143,$B$8,1),OFFSET($M$15,0,0,$B$8,1))=EK$13), 1*(_xlfn._xlws.FILTER(OFFSET($O$15,0,$DO143,$B$8,1),OFFSET($M$15,0,0,$B$8,1))=EK$14))   /   SUM(OFFSET($BO$15,0,0,$B$14,1)) + $B$18/($B$19*$B$19*($DN143&lt;&gt;$DO143) + $B$19*($DN143=$DO143))</f>
        <v>3.7037037037037035E-4</v>
      </c>
      <c r="EL143" s="10" cm="1">
        <f t="array" aca="1" ref="EL143" ca="1">(1-$B$18)*SUMPRODUCT(OFFSET($BO$15,0,0,$B$14,1), 1*(_xlfn._xlws.FILTER(OFFSET($O$15,0,$DN143,$B$8,1),OFFSET($M$15,0,0,$B$8,1))=EL$13), 1*(_xlfn._xlws.FILTER(OFFSET($O$15,0,$DO143,$B$8,1),OFFSET($M$15,0,0,$B$8,1))=EL$14))   /   SUM(OFFSET($BO$15,0,0,$B$14,1)) + $B$18/($B$19*$B$19*($DN143&lt;&gt;$DO143) + $B$19*($DN143=$DO143))</f>
        <v>3.7037037037037035E-4</v>
      </c>
      <c r="EM143" s="10" cm="1">
        <f t="array" aca="1" ref="EM143" ca="1">(1-$B$18)*SUMPRODUCT(OFFSET($BO$15,0,0,$B$14,1), 1*(_xlfn._xlws.FILTER(OFFSET($O$15,0,$DN143,$B$8,1),OFFSET($M$15,0,0,$B$8,1))=EM$13), 1*(_xlfn._xlws.FILTER(OFFSET($O$15,0,$DO143,$B$8,1),OFFSET($M$15,0,0,$B$8,1))=EM$14))   /   SUM(OFFSET($BO$15,0,0,$B$14,1)) + $B$18/($B$19*$B$19*($DN143&lt;&gt;$DO143) + $B$19*($DN143=$DO143))</f>
        <v>3.7037037037037035E-4</v>
      </c>
      <c r="EN143" s="10" cm="1">
        <f t="array" aca="1" ref="EN143" ca="1">(1-$B$18)*SUMPRODUCT(OFFSET($BO$15,0,0,$B$14,1), 1*(_xlfn._xlws.FILTER(OFFSET($O$15,0,$DN143,$B$8,1),OFFSET($M$15,0,0,$B$8,1))=EN$13), 1*(_xlfn._xlws.FILTER(OFFSET($O$15,0,$DO143,$B$8,1),OFFSET($M$15,0,0,$B$8,1))=EN$14))   /   SUM(OFFSET($BO$15,0,0,$B$14,1)) + $B$18/($B$19*$B$19*($DN143&lt;&gt;$DO143) + $B$19*($DN143=$DO143))</f>
        <v>3.7037037037037035E-4</v>
      </c>
      <c r="EO143" s="10" cm="1">
        <f t="array" aca="1" ref="EO143" ca="1">(1-$B$18)*SUMPRODUCT(OFFSET($BO$15,0,0,$B$14,1), 1*(_xlfn._xlws.FILTER(OFFSET($O$15,0,$DN143,$B$8,1),OFFSET($M$15,0,0,$B$8,1))=EO$13), 1*(_xlfn._xlws.FILTER(OFFSET($O$15,0,$DO143,$B$8,1),OFFSET($M$15,0,0,$B$8,1))=EO$14))   /   SUM(OFFSET($BO$15,0,0,$B$14,1)) + $B$18/($B$19*$B$19*($DN143&lt;&gt;$DO143) + $B$19*($DN143=$DO143))</f>
        <v>3.7037037037037035E-4</v>
      </c>
      <c r="EP143" s="10" cm="1">
        <f t="array" aca="1" ref="EP143" ca="1">(1-$B$18)*SUMPRODUCT(OFFSET($BO$15,0,0,$B$14,1), 1*(_xlfn._xlws.FILTER(OFFSET($O$15,0,$DN143,$B$8,1),OFFSET($M$15,0,0,$B$8,1))=EP$13), 1*(_xlfn._xlws.FILTER(OFFSET($O$15,0,$DO143,$B$8,1),OFFSET($M$15,0,0,$B$8,1))=EP$14))   /   SUM(OFFSET($BO$15,0,0,$B$14,1)) + $B$18/($B$19*$B$19*($DN143&lt;&gt;$DO143) + $B$19*($DN143=$DO143))</f>
        <v>3.7037037037037035E-4</v>
      </c>
      <c r="EQ143" s="10" cm="1">
        <f t="array" aca="1" ref="EQ143" ca="1">(1-$B$18)*SUMPRODUCT(OFFSET($BO$15,0,0,$B$14,1), 1*(_xlfn._xlws.FILTER(OFFSET($O$15,0,$DN143,$B$8,1),OFFSET($M$15,0,0,$B$8,1))=EQ$13), 1*(_xlfn._xlws.FILTER(OFFSET($O$15,0,$DO143,$B$8,1),OFFSET($M$15,0,0,$B$8,1))=EQ$14))   /   SUM(OFFSET($BO$15,0,0,$B$14,1)) + $B$18/($B$19*$B$19*($DN143&lt;&gt;$DO143) + $B$19*($DN143=$DO143))</f>
        <v>3.7037037037037035E-4</v>
      </c>
      <c r="ER143" s="10" cm="1">
        <f t="array" aca="1" ref="ER143" ca="1">(1-$B$18)*SUMPRODUCT(OFFSET($BO$15,0,0,$B$14,1), 1*(_xlfn._xlws.FILTER(OFFSET($O$15,0,$DN143,$B$8,1),OFFSET($M$15,0,0,$B$8,1))=ER$13), 1*(_xlfn._xlws.FILTER(OFFSET($O$15,0,$DO143,$B$8,1),OFFSET($M$15,0,0,$B$8,1))=ER$14))   /   SUM(OFFSET($BO$15,0,0,$B$14,1)) + $B$18/($B$19*$B$19*($DN143&lt;&gt;$DO143) + $B$19*($DN143=$DO143))</f>
        <v>3.7037037037037035E-4</v>
      </c>
      <c r="ES143" s="10" cm="1">
        <f t="array" aca="1" ref="ES143" ca="1">(1-$B$18)*SUMPRODUCT(OFFSET($BO$15,0,0,$B$14,1), 1*(_xlfn._xlws.FILTER(OFFSET($O$15,0,$DN143,$B$8,1),OFFSET($M$15,0,0,$B$8,1))=ES$13), 1*(_xlfn._xlws.FILTER(OFFSET($O$15,0,$DO143,$B$8,1),OFFSET($M$15,0,0,$B$8,1))=ES$14))   /   SUM(OFFSET($BO$15,0,0,$B$14,1)) + $B$18/($B$19*$B$19*($DN143&lt;&gt;$DO143) + $B$19*($DN143=$DO143))</f>
        <v>3.7037037037037035E-4</v>
      </c>
      <c r="ET143" s="10" cm="1">
        <f t="array" aca="1" ref="ET143" ca="1">(1-$B$18)*SUMPRODUCT(OFFSET($BO$15,0,0,$B$14,1), 1*(_xlfn._xlws.FILTER(OFFSET($O$15,0,$DN143,$B$8,1),OFFSET($M$15,0,0,$B$8,1))=ET$13), 1*(_xlfn._xlws.FILTER(OFFSET($O$15,0,$DO143,$B$8,1),OFFSET($M$15,0,0,$B$8,1))=ET$14))   /   SUM(OFFSET($BO$15,0,0,$B$14,1)) + $B$18/($B$19*$B$19*($DN143&lt;&gt;$DO143) + $B$19*($DN143=$DO143))</f>
        <v>3.7037037037037035E-4</v>
      </c>
      <c r="EU143" s="10" cm="1">
        <f t="array" aca="1" ref="EU143" ca="1">(1-$B$18)*SUMPRODUCT(OFFSET($BO$15,0,0,$B$14,1), 1*(_xlfn._xlws.FILTER(OFFSET($O$15,0,$DN143,$B$8,1),OFFSET($M$15,0,0,$B$8,1))=EU$13), 1*(_xlfn._xlws.FILTER(OFFSET($O$15,0,$DO143,$B$8,1),OFFSET($M$15,0,0,$B$8,1))=EU$14))   /   SUM(OFFSET($BO$15,0,0,$B$14,1)) + $B$18/($B$19*$B$19*($DN143&lt;&gt;$DO143) + $B$19*($DN143=$DO143))</f>
        <v>3.7037037037037035E-4</v>
      </c>
      <c r="EV143" s="10" cm="1">
        <f t="array" aca="1" ref="EV143" ca="1">(1-$B$18)*SUMPRODUCT(OFFSET($BO$15,0,0,$B$14,1), 1*(_xlfn._xlws.FILTER(OFFSET($O$15,0,$DN143,$B$8,1),OFFSET($M$15,0,0,$B$8,1))=EV$13), 1*(_xlfn._xlws.FILTER(OFFSET($O$15,0,$DO143,$B$8,1),OFFSET($M$15,0,0,$B$8,1))=EV$14))   /   SUM(OFFSET($BO$15,0,0,$B$14,1)) + $B$18/($B$19*$B$19*($DN143&lt;&gt;$DO143) + $B$19*($DN143=$DO143))</f>
        <v>3.7037037037037035E-4</v>
      </c>
      <c r="EW143" s="10" cm="1">
        <f t="array" aca="1" ref="EW143" ca="1">(1-$B$18)*SUMPRODUCT(OFFSET($BO$15,0,0,$B$14,1), 1*(_xlfn._xlws.FILTER(OFFSET($O$15,0,$DN143,$B$8,1),OFFSET($M$15,0,0,$B$8,1))=EW$13), 1*(_xlfn._xlws.FILTER(OFFSET($O$15,0,$DO143,$B$8,1),OFFSET($M$15,0,0,$B$8,1))=EW$14))   /   SUM(OFFSET($BO$15,0,0,$B$14,1)) + $B$18/($B$19*$B$19*($DN143&lt;&gt;$DO143) + $B$19*($DN143=$DO143))</f>
        <v>3.7037037037037035E-4</v>
      </c>
      <c r="EX143" s="10" cm="1">
        <f t="array" aca="1" ref="EX143" ca="1">(1-$B$18)*SUMPRODUCT(OFFSET($BO$15,0,0,$B$14,1), 1*(_xlfn._xlws.FILTER(OFFSET($O$15,0,$DN143,$B$8,1),OFFSET($M$15,0,0,$B$8,1))=EX$13), 1*(_xlfn._xlws.FILTER(OFFSET($O$15,0,$DO143,$B$8,1),OFFSET($M$15,0,0,$B$8,1))=EX$14))   /   SUM(OFFSET($BO$15,0,0,$B$14,1)) + $B$18/($B$19*$B$19*($DN143&lt;&gt;$DO143) + $B$19*($DN143=$DO143))</f>
        <v>3.7037037037037035E-4</v>
      </c>
      <c r="EY143" s="10" cm="1">
        <f t="array" aca="1" ref="EY143" ca="1">(1-$B$18)*SUMPRODUCT(OFFSET($BO$15,0,0,$B$14,1), 1*(_xlfn._xlws.FILTER(OFFSET($O$15,0,$DN143,$B$8,1),OFFSET($M$15,0,0,$B$8,1))=EY$13), 1*(_xlfn._xlws.FILTER(OFFSET($O$15,0,$DO143,$B$8,1),OFFSET($M$15,0,0,$B$8,1))=EY$14))   /   SUM(OFFSET($BO$15,0,0,$B$14,1)) + $B$18/($B$19*$B$19*($DN143&lt;&gt;$DO143) + $B$19*($DN143=$DO143))</f>
        <v>3.7037037037037035E-4</v>
      </c>
      <c r="EZ143" s="10" cm="1">
        <f t="array" aca="1" ref="EZ143" ca="1">(1-$B$18)*SUMPRODUCT(OFFSET($BO$15,0,0,$B$14,1), 1*(_xlfn._xlws.FILTER(OFFSET($O$15,0,$DN143,$B$8,1),OFFSET($M$15,0,0,$B$8,1))=EZ$13), 1*(_xlfn._xlws.FILTER(OFFSET($O$15,0,$DO143,$B$8,1),OFFSET($M$15,0,0,$B$8,1))=EZ$14))   /   SUM(OFFSET($BO$15,0,0,$B$14,1)) + $B$18/($B$19*$B$19*($DN143&lt;&gt;$DO143) + $B$19*($DN143=$DO143))</f>
        <v>3.7037037037037035E-4</v>
      </c>
      <c r="FA143" s="10" cm="1">
        <f t="array" aca="1" ref="FA143" ca="1">(1-$B$18)*SUMPRODUCT(OFFSET($BO$15,0,0,$B$14,1), 1*(_xlfn._xlws.FILTER(OFFSET($O$15,0,$DN143,$B$8,1),OFFSET($M$15,0,0,$B$8,1))=FA$13), 1*(_xlfn._xlws.FILTER(OFFSET($O$15,0,$DO143,$B$8,1),OFFSET($M$15,0,0,$B$8,1))=FA$14))   /   SUM(OFFSET($BO$15,0,0,$B$14,1)) + $B$18/($B$19*$B$19*($DN143&lt;&gt;$DO143) + $B$19*($DN143=$DO143))</f>
        <v>3.7037037037037035E-4</v>
      </c>
      <c r="FB143" s="10" cm="1">
        <f t="array" aca="1" ref="FB143" ca="1">(1-$B$18)*SUMPRODUCT(OFFSET($BO$15,0,0,$B$14,1), 1*(_xlfn._xlws.FILTER(OFFSET($O$15,0,$DN143,$B$8,1),OFFSET($M$15,0,0,$B$8,1))=FB$13), 1*(_xlfn._xlws.FILTER(OFFSET($O$15,0,$DO143,$B$8,1),OFFSET($M$15,0,0,$B$8,1))=FB$14))   /   SUM(OFFSET($BO$15,0,0,$B$14,1)) + $B$18/($B$19*$B$19*($DN143&lt;&gt;$DO143) + $B$19*($DN143=$DO143))</f>
        <v>3.7037037037037035E-4</v>
      </c>
      <c r="FC143" s="10" cm="1">
        <f t="array" aca="1" ref="FC143" ca="1">(1-$B$18)*SUMPRODUCT(OFFSET($BO$15,0,0,$B$14,1), 1*(_xlfn._xlws.FILTER(OFFSET($O$15,0,$DN143,$B$8,1),OFFSET($M$15,0,0,$B$8,1))=FC$13), 1*(_xlfn._xlws.FILTER(OFFSET($O$15,0,$DO143,$B$8,1),OFFSET($M$15,0,0,$B$8,1))=FC$14))   /   SUM(OFFSET($BO$15,0,0,$B$14,1)) + $B$18/($B$19*$B$19*($DN143&lt;&gt;$DO143) + $B$19*($DN143=$DO143))</f>
        <v>3.7037037037037035E-4</v>
      </c>
      <c r="FD143" s="10" cm="1">
        <f t="array" aca="1" ref="FD143" ca="1">(1-$B$18)*SUMPRODUCT(OFFSET($BO$15,0,0,$B$14,1), 1*(_xlfn._xlws.FILTER(OFFSET($O$15,0,$DN143,$B$8,1),OFFSET($M$15,0,0,$B$8,1))=FD$13), 1*(_xlfn._xlws.FILTER(OFFSET($O$15,0,$DO143,$B$8,1),OFFSET($M$15,0,0,$B$8,1))=FD$14))   /   SUM(OFFSET($BO$15,0,0,$B$14,1)) + $B$18/($B$19*$B$19*($DN143&lt;&gt;$DO143) + $B$19*($DN143=$DO143))</f>
        <v>3.7037037037037035E-4</v>
      </c>
      <c r="FE143" s="10" cm="1">
        <f t="array" aca="1" ref="FE143" ca="1">(1-$B$18)*SUMPRODUCT(OFFSET($BO$15,0,0,$B$14,1), 1*(_xlfn._xlws.FILTER(OFFSET($O$15,0,$DN143,$B$8,1),OFFSET($M$15,0,0,$B$8,1))=FE$13), 1*(_xlfn._xlws.FILTER(OFFSET($O$15,0,$DO143,$B$8,1),OFFSET($M$15,0,0,$B$8,1))=FE$14))   /   SUM(OFFSET($BO$15,0,0,$B$14,1)) + $B$18/($B$19*$B$19*($DN143&lt;&gt;$DO143) + $B$19*($DN143=$DO143))</f>
        <v>3.7037037037037035E-4</v>
      </c>
      <c r="FF143" s="10" cm="1">
        <f t="array" aca="1" ref="FF143" ca="1">(1-$B$18)*SUMPRODUCT(OFFSET($BO$15,0,0,$B$14,1), 1*(_xlfn._xlws.FILTER(OFFSET($O$15,0,$DN143,$B$8,1),OFFSET($M$15,0,0,$B$8,1))=FF$13), 1*(_xlfn._xlws.FILTER(OFFSET($O$15,0,$DO143,$B$8,1),OFFSET($M$15,0,0,$B$8,1))=FF$14))   /   SUM(OFFSET($BO$15,0,0,$B$14,1)) + $B$18/($B$19*$B$19*($DN143&lt;&gt;$DO143) + $B$19*($DN143=$DO143))</f>
        <v>3.7037037037037035E-4</v>
      </c>
      <c r="FG143" s="10" cm="1">
        <f t="array" aca="1" ref="FG143" ca="1">(1-$B$18)*SUMPRODUCT(OFFSET($BO$15,0,0,$B$14,1), 1*(_xlfn._xlws.FILTER(OFFSET($O$15,0,$DN143,$B$8,1),OFFSET($M$15,0,0,$B$8,1))=FG$13), 1*(_xlfn._xlws.FILTER(OFFSET($O$15,0,$DO143,$B$8,1),OFFSET($M$15,0,0,$B$8,1))=FG$14))   /   SUM(OFFSET($BO$15,0,0,$B$14,1)) + $B$18/($B$19*$B$19*($DN143&lt;&gt;$DO143) + $B$19*($DN143=$DO143))</f>
        <v>3.7037037037037035E-4</v>
      </c>
      <c r="FH143" s="10" cm="1">
        <f t="array" aca="1" ref="FH143" ca="1">(1-$B$18)*SUMPRODUCT(OFFSET($BO$15,0,0,$B$14,1), 1*(_xlfn._xlws.FILTER(OFFSET($O$15,0,$DN143,$B$8,1),OFFSET($M$15,0,0,$B$8,1))=FH$13), 1*(_xlfn._xlws.FILTER(OFFSET($O$15,0,$DO143,$B$8,1),OFFSET($M$15,0,0,$B$8,1))=FH$14))   /   SUM(OFFSET($BO$15,0,0,$B$14,1)) + $B$18/($B$19*$B$19*($DN143&lt;&gt;$DO143) + $B$19*($DN143=$DO143))</f>
        <v>3.7037037037037035E-4</v>
      </c>
      <c r="FI143" s="10" cm="1">
        <f t="array" aca="1" ref="FI143" ca="1">(1-$B$18)*SUMPRODUCT(OFFSET($BO$15,0,0,$B$14,1), 1*(_xlfn._xlws.FILTER(OFFSET($O$15,0,$DN143,$B$8,1),OFFSET($M$15,0,0,$B$8,1))=FI$13), 1*(_xlfn._xlws.FILTER(OFFSET($O$15,0,$DO143,$B$8,1),OFFSET($M$15,0,0,$B$8,1))=FI$14))   /   SUM(OFFSET($BO$15,0,0,$B$14,1)) + $B$18/($B$19*$B$19*($DN143&lt;&gt;$DO143) + $B$19*($DN143=$DO143))</f>
        <v>3.7037037037037035E-4</v>
      </c>
      <c r="FJ143" s="10" cm="1">
        <f t="array" aca="1" ref="FJ143" ca="1">(1-$B$18)*SUMPRODUCT(OFFSET($BO$15,0,0,$B$14,1), 1*(_xlfn._xlws.FILTER(OFFSET($O$15,0,$DN143,$B$8,1),OFFSET($M$15,0,0,$B$8,1))=FJ$13), 1*(_xlfn._xlws.FILTER(OFFSET($O$15,0,$DO143,$B$8,1),OFFSET($M$15,0,0,$B$8,1))=FJ$14))   /   SUM(OFFSET($BO$15,0,0,$B$14,1)) + $B$18/($B$19*$B$19*($DN143&lt;&gt;$DO143) + $B$19*($DN143=$DO143))</f>
        <v>3.7037037037037035E-4</v>
      </c>
      <c r="FK143" s="10" cm="1">
        <f t="array" aca="1" ref="FK143" ca="1">(1-$B$18)*SUMPRODUCT(OFFSET($BO$15,0,0,$B$14,1), 1*(_xlfn._xlws.FILTER(OFFSET($O$15,0,$DN143,$B$8,1),OFFSET($M$15,0,0,$B$8,1))=FK$13), 1*(_xlfn._xlws.FILTER(OFFSET($O$15,0,$DO143,$B$8,1),OFFSET($M$15,0,0,$B$8,1))=FK$14))   /   SUM(OFFSET($BO$15,0,0,$B$14,1)) + $B$18/($B$19*$B$19*($DN143&lt;&gt;$DO143) + $B$19*($DN143=$DO143))</f>
        <v>3.7037037037037035E-4</v>
      </c>
      <c r="FL143" s="10" cm="1">
        <f t="array" aca="1" ref="FL143" ca="1">(1-$B$18)*SUMPRODUCT(OFFSET($BO$15,0,0,$B$14,1), 1*(_xlfn._xlws.FILTER(OFFSET($O$15,0,$DN143,$B$8,1),OFFSET($M$15,0,0,$B$8,1))=FL$13), 1*(_xlfn._xlws.FILTER(OFFSET($O$15,0,$DO143,$B$8,1),OFFSET($M$15,0,0,$B$8,1))=FL$14))   /   SUM(OFFSET($BO$15,0,0,$B$14,1)) + $B$18/($B$19*$B$19*($DN143&lt;&gt;$DO143) + $B$19*($DN143=$DO143))</f>
        <v>3.7037037037037035E-4</v>
      </c>
      <c r="FM143" s="10" cm="1">
        <f t="array" aca="1" ref="FM143" ca="1">(1-$B$18)*SUMPRODUCT(OFFSET($BO$15,0,0,$B$14,1), 1*(_xlfn._xlws.FILTER(OFFSET($O$15,0,$DN143,$B$8,1),OFFSET($M$15,0,0,$B$8,1))=FM$13), 1*(_xlfn._xlws.FILTER(OFFSET($O$15,0,$DO143,$B$8,1),OFFSET($M$15,0,0,$B$8,1))=FM$14))   /   SUM(OFFSET($BO$15,0,0,$B$14,1)) + $B$18/($B$19*$B$19*($DN143&lt;&gt;$DO143) + $B$19*($DN143=$DO143))</f>
        <v>3.7037037037037035E-4</v>
      </c>
      <c r="FN143" s="10" cm="1">
        <f t="array" aca="1" ref="FN143" ca="1">(1-$B$18)*SUMPRODUCT(OFFSET($BO$15,0,0,$B$14,1), 1*(_xlfn._xlws.FILTER(OFFSET($O$15,0,$DN143,$B$8,1),OFFSET($M$15,0,0,$B$8,1))=FN$13), 1*(_xlfn._xlws.FILTER(OFFSET($O$15,0,$DO143,$B$8,1),OFFSET($M$15,0,0,$B$8,1))=FN$14))   /   SUM(OFFSET($BO$15,0,0,$B$14,1)) + $B$18/($B$19*$B$19*($DN143&lt;&gt;$DO143) + $B$19*($DN143=$DO143))</f>
        <v>0.97037037037037033</v>
      </c>
      <c r="FO143" s="10" cm="1">
        <f t="array" aca="1" ref="FO143" ca="1">(1-$B$18)*SUMPRODUCT(OFFSET($BO$15,0,0,$B$14,1), 1*(_xlfn._xlws.FILTER(OFFSET($O$15,0,$DN143,$B$8,1),OFFSET($M$15,0,0,$B$8,1))=FO$13), 1*(_xlfn._xlws.FILTER(OFFSET($O$15,0,$DO143,$B$8,1),OFFSET($M$15,0,0,$B$8,1))=FO$14))   /   SUM(OFFSET($BO$15,0,0,$B$14,1)) + $B$18/($B$19*$B$19*($DN143&lt;&gt;$DO143) + $B$19*($DN143=$DO143))</f>
        <v>3.7037037037037035E-4</v>
      </c>
      <c r="FP143" s="10" cm="1">
        <f t="array" aca="1" ref="FP143" ca="1">(1-$B$18)*SUMPRODUCT(OFFSET($BO$15,0,0,$B$14,1), 1*(_xlfn._xlws.FILTER(OFFSET($O$15,0,$DN143,$B$8,1),OFFSET($M$15,0,0,$B$8,1))=FP$13), 1*(_xlfn._xlws.FILTER(OFFSET($O$15,0,$DO143,$B$8,1),OFFSET($M$15,0,0,$B$8,1))=FP$14))   /   SUM(OFFSET($BO$15,0,0,$B$14,1)) + $B$18/($B$19*$B$19*($DN143&lt;&gt;$DO143) + $B$19*($DN143=$DO143))</f>
        <v>3.7037037037037035E-4</v>
      </c>
      <c r="FQ143" s="10" cm="1">
        <f t="array" aca="1" ref="FQ143" ca="1">(1-$B$18)*SUMPRODUCT(OFFSET($BO$15,0,0,$B$14,1), 1*(_xlfn._xlws.FILTER(OFFSET($O$15,0,$DN143,$B$8,1),OFFSET($M$15,0,0,$B$8,1))=FQ$13), 1*(_xlfn._xlws.FILTER(OFFSET($O$15,0,$DO143,$B$8,1),OFFSET($M$15,0,0,$B$8,1))=FQ$14))   /   SUM(OFFSET($BO$15,0,0,$B$14,1)) + $B$18/($B$19*$B$19*($DN143&lt;&gt;$DO143) + $B$19*($DN143=$DO143))</f>
        <v>3.7037037037037035E-4</v>
      </c>
      <c r="FR143" s="10" cm="1">
        <f t="array" aca="1" ref="FR143" ca="1">(1-$B$18)*SUMPRODUCT(OFFSET($BO$15,0,0,$B$14,1), 1*(_xlfn._xlws.FILTER(OFFSET($O$15,0,$DN143,$B$8,1),OFFSET($M$15,0,0,$B$8,1))=FR$13), 1*(_xlfn._xlws.FILTER(OFFSET($O$15,0,$DO143,$B$8,1),OFFSET($M$15,0,0,$B$8,1))=FR$14))   /   SUM(OFFSET($BO$15,0,0,$B$14,1)) + $B$18/($B$19*$B$19*($DN143&lt;&gt;$DO143) + $B$19*($DN143=$DO143))</f>
        <v>3.7037037037037035E-4</v>
      </c>
      <c r="FS143" s="10" cm="1">
        <f t="array" aca="1" ref="FS143" ca="1">(1-$B$18)*SUMPRODUCT(OFFSET($BO$15,0,0,$B$14,1), 1*(_xlfn._xlws.FILTER(OFFSET($O$15,0,$DN143,$B$8,1),OFFSET($M$15,0,0,$B$8,1))=FS$13), 1*(_xlfn._xlws.FILTER(OFFSET($O$15,0,$DO143,$B$8,1),OFFSET($M$15,0,0,$B$8,1))=FS$14))   /   SUM(OFFSET($BO$15,0,0,$B$14,1)) + $B$18/($B$19*$B$19*($DN143&lt;&gt;$DO143) + $B$19*($DN143=$DO143))</f>
        <v>3.7037037037037035E-4</v>
      </c>
      <c r="FT143" s="10" cm="1">
        <f t="array" aca="1" ref="FT143" ca="1">(1-$B$18)*SUMPRODUCT(OFFSET($BO$15,0,0,$B$14,1), 1*(_xlfn._xlws.FILTER(OFFSET($O$15,0,$DN143,$B$8,1),OFFSET($M$15,0,0,$B$8,1))=FT$13), 1*(_xlfn._xlws.FILTER(OFFSET($O$15,0,$DO143,$B$8,1),OFFSET($M$15,0,0,$B$8,1))=FT$14))   /   SUM(OFFSET($BO$15,0,0,$B$14,1)) + $B$18/($B$19*$B$19*($DN143&lt;&gt;$DO143) + $B$19*($DN143=$DO143))</f>
        <v>3.7037037037037035E-4</v>
      </c>
      <c r="FU143" s="10" cm="1">
        <f t="array" aca="1" ref="FU143" ca="1">(1-$B$18)*SUMPRODUCT(OFFSET($BO$15,0,0,$B$14,1), 1*(_xlfn._xlws.FILTER(OFFSET($O$15,0,$DN143,$B$8,1),OFFSET($M$15,0,0,$B$8,1))=FU$13), 1*(_xlfn._xlws.FILTER(OFFSET($O$15,0,$DO143,$B$8,1),OFFSET($M$15,0,0,$B$8,1))=FU$14))   /   SUM(OFFSET($BO$15,0,0,$B$14,1)) + $B$18/($B$19*$B$19*($DN143&lt;&gt;$DO143) + $B$19*($DN143=$DO143))</f>
        <v>3.7037037037037035E-4</v>
      </c>
      <c r="FV143" s="10" cm="1">
        <f t="array" aca="1" ref="FV143" ca="1">(1-$B$18)*SUMPRODUCT(OFFSET($BO$15,0,0,$B$14,1), 1*(_xlfn._xlws.FILTER(OFFSET($O$15,0,$DN143,$B$8,1),OFFSET($M$15,0,0,$B$8,1))=FV$13), 1*(_xlfn._xlws.FILTER(OFFSET($O$15,0,$DO143,$B$8,1),OFFSET($M$15,0,0,$B$8,1))=FV$14))   /   SUM(OFFSET($BO$15,0,0,$B$14,1)) + $B$18/($B$19*$B$19*($DN143&lt;&gt;$DO143) + $B$19*($DN143=$DO143))</f>
        <v>3.7037037037037035E-4</v>
      </c>
      <c r="FW143" s="10" cm="1">
        <f t="array" aca="1" ref="FW143" ca="1">(1-$B$18)*SUMPRODUCT(OFFSET($BO$15,0,0,$B$14,1), 1*(_xlfn._xlws.FILTER(OFFSET($O$15,0,$DN143,$B$8,1),OFFSET($M$15,0,0,$B$8,1))=FW$13), 1*(_xlfn._xlws.FILTER(OFFSET($O$15,0,$DO143,$B$8,1),OFFSET($M$15,0,0,$B$8,1))=FW$14))   /   SUM(OFFSET($BO$15,0,0,$B$14,1)) + $B$18/($B$19*$B$19*($DN143&lt;&gt;$DO143) + $B$19*($DN143=$DO143))</f>
        <v>3.7037037037037035E-4</v>
      </c>
      <c r="FX143" s="10" cm="1">
        <f t="array" aca="1" ref="FX143" ca="1">(1-$B$18)*SUMPRODUCT(OFFSET($BO$15,0,0,$B$14,1), 1*(_xlfn._xlws.FILTER(OFFSET($O$15,0,$DN143,$B$8,1),OFFSET($M$15,0,0,$B$8,1))=FX$13), 1*(_xlfn._xlws.FILTER(OFFSET($O$15,0,$DO143,$B$8,1),OFFSET($M$15,0,0,$B$8,1))=FX$14))   /   SUM(OFFSET($BO$15,0,0,$B$14,1)) + $B$18/($B$19*$B$19*($DN143&lt;&gt;$DO143) + $B$19*($DN143=$DO143))</f>
        <v>3.7037037037037035E-4</v>
      </c>
      <c r="FY143" s="10" cm="1">
        <f t="array" aca="1" ref="FY143" ca="1">(1-$B$18)*SUMPRODUCT(OFFSET($BO$15,0,0,$B$14,1), 1*(_xlfn._xlws.FILTER(OFFSET($O$15,0,$DN143,$B$8,1),OFFSET($M$15,0,0,$B$8,1))=FY$13), 1*(_xlfn._xlws.FILTER(OFFSET($O$15,0,$DO143,$B$8,1),OFFSET($M$15,0,0,$B$8,1))=FY$14))   /   SUM(OFFSET($BO$15,0,0,$B$14,1)) + $B$18/($B$19*$B$19*($DN143&lt;&gt;$DO143) + $B$19*($DN143=$DO143))</f>
        <v>3.7037037037037035E-4</v>
      </c>
      <c r="FZ143" s="10" cm="1">
        <f t="array" aca="1" ref="FZ143" ca="1">(1-$B$18)*SUMPRODUCT(OFFSET($BO$15,0,0,$B$14,1), 1*(_xlfn._xlws.FILTER(OFFSET($O$15,0,$DN143,$B$8,1),OFFSET($M$15,0,0,$B$8,1))=FZ$13), 1*(_xlfn._xlws.FILTER(OFFSET($O$15,0,$DO143,$B$8,1),OFFSET($M$15,0,0,$B$8,1))=FZ$14))   /   SUM(OFFSET($BO$15,0,0,$B$14,1)) + $B$18/($B$19*$B$19*($DN143&lt;&gt;$DO143) + $B$19*($DN143=$DO143))</f>
        <v>3.7037037037037035E-4</v>
      </c>
      <c r="GA143" s="10" cm="1">
        <f t="array" aca="1" ref="GA143" ca="1">(1-$B$18)*SUMPRODUCT(OFFSET($BO$15,0,0,$B$14,1), 1*(_xlfn._xlws.FILTER(OFFSET($O$15,0,$DN143,$B$8,1),OFFSET($M$15,0,0,$B$8,1))=GA$13), 1*(_xlfn._xlws.FILTER(OFFSET($O$15,0,$DO143,$B$8,1),OFFSET($M$15,0,0,$B$8,1))=GA$14))   /   SUM(OFFSET($BO$15,0,0,$B$14,1)) + $B$18/($B$19*$B$19*($DN143&lt;&gt;$DO143) + $B$19*($DN143=$DO143))</f>
        <v>3.7037037037037035E-4</v>
      </c>
    </row>
    <row r="144" spans="7:183" x14ac:dyDescent="0.2">
      <c r="DN144" cm="1">
        <f t="array" aca="1" ref="DN144" ca="1">INDEX(_xlfn.ANCHORARRAY($CP$15), 1 + INT((ROWS($DO$15:$DO144) - 1) / ROWS(_xlfn.ANCHORARRAY($CP$15))))</f>
        <v>6</v>
      </c>
      <c r="DO144" cm="1">
        <f t="array" aca="1" ref="DO144" ca="1">INDEX(_xlfn.ANCHORARRAY($CP$15),1+MOD(ROWS($DO$15:$DO144)-1,ROWS(_xlfn.ANCHORARRAY($CP$15))))</f>
        <v>18</v>
      </c>
      <c r="DP144" s="10" cm="1">
        <f t="array" aca="1" ref="DP144" ca="1">(1-$B$18)*SUMPRODUCT(OFFSET($BO$15,0,0,$B$14,1), 1*(_xlfn._xlws.FILTER(OFFSET($O$15,0,$DN144,$B$8,1),OFFSET($M$15,0,0,$B$8,1))=DP$13), 1*(_xlfn._xlws.FILTER(OFFSET($O$15,0,$DO144,$B$8,1),OFFSET($M$15,0,0,$B$8,1))=DP$14))   /   SUM(OFFSET($BO$15,0,0,$B$14,1)) + $B$18/($B$19*$B$19*($DN144&lt;&gt;$DO144) + $B$19*($DN144=$DO144))</f>
        <v>3.7037037037037035E-4</v>
      </c>
      <c r="DQ144" s="10" cm="1">
        <f t="array" aca="1" ref="DQ144" ca="1">(1-$B$18)*SUMPRODUCT(OFFSET($BO$15,0,0,$B$14,1), 1*(_xlfn._xlws.FILTER(OFFSET($O$15,0,$DN144,$B$8,1),OFFSET($M$15,0,0,$B$8,1))=DQ$13), 1*(_xlfn._xlws.FILTER(OFFSET($O$15,0,$DO144,$B$8,1),OFFSET($M$15,0,0,$B$8,1))=DQ$14))   /   SUM(OFFSET($BO$15,0,0,$B$14,1)) + $B$18/($B$19*$B$19*($DN144&lt;&gt;$DO144) + $B$19*($DN144=$DO144))</f>
        <v>3.7037037037037035E-4</v>
      </c>
      <c r="DR144" s="10" cm="1">
        <f t="array" aca="1" ref="DR144" ca="1">(1-$B$18)*SUMPRODUCT(OFFSET($BO$15,0,0,$B$14,1), 1*(_xlfn._xlws.FILTER(OFFSET($O$15,0,$DN144,$B$8,1),OFFSET($M$15,0,0,$B$8,1))=DR$13), 1*(_xlfn._xlws.FILTER(OFFSET($O$15,0,$DO144,$B$8,1),OFFSET($M$15,0,0,$B$8,1))=DR$14))   /   SUM(OFFSET($BO$15,0,0,$B$14,1)) + $B$18/($B$19*$B$19*($DN144&lt;&gt;$DO144) + $B$19*($DN144=$DO144))</f>
        <v>3.7037037037037035E-4</v>
      </c>
      <c r="DS144" s="10" cm="1">
        <f t="array" aca="1" ref="DS144" ca="1">(1-$B$18)*SUMPRODUCT(OFFSET($BO$15,0,0,$B$14,1), 1*(_xlfn._xlws.FILTER(OFFSET($O$15,0,$DN144,$B$8,1),OFFSET($M$15,0,0,$B$8,1))=DS$13), 1*(_xlfn._xlws.FILTER(OFFSET($O$15,0,$DO144,$B$8,1),OFFSET($M$15,0,0,$B$8,1))=DS$14))   /   SUM(OFFSET($BO$15,0,0,$B$14,1)) + $B$18/($B$19*$B$19*($DN144&lt;&gt;$DO144) + $B$19*($DN144=$DO144))</f>
        <v>3.7037037037037035E-4</v>
      </c>
      <c r="DT144" s="10" cm="1">
        <f t="array" aca="1" ref="DT144" ca="1">(1-$B$18)*SUMPRODUCT(OFFSET($BO$15,0,0,$B$14,1), 1*(_xlfn._xlws.FILTER(OFFSET($O$15,0,$DN144,$B$8,1),OFFSET($M$15,0,0,$B$8,1))=DT$13), 1*(_xlfn._xlws.FILTER(OFFSET($O$15,0,$DO144,$B$8,1),OFFSET($M$15,0,0,$B$8,1))=DT$14))   /   SUM(OFFSET($BO$15,0,0,$B$14,1)) + $B$18/($B$19*$B$19*($DN144&lt;&gt;$DO144) + $B$19*($DN144=$DO144))</f>
        <v>3.7037037037037035E-4</v>
      </c>
      <c r="DU144" s="10" cm="1">
        <f t="array" aca="1" ref="DU144" ca="1">(1-$B$18)*SUMPRODUCT(OFFSET($BO$15,0,0,$B$14,1), 1*(_xlfn._xlws.FILTER(OFFSET($O$15,0,$DN144,$B$8,1),OFFSET($M$15,0,0,$B$8,1))=DU$13), 1*(_xlfn._xlws.FILTER(OFFSET($O$15,0,$DO144,$B$8,1),OFFSET($M$15,0,0,$B$8,1))=DU$14))   /   SUM(OFFSET($BO$15,0,0,$B$14,1)) + $B$18/($B$19*$B$19*($DN144&lt;&gt;$DO144) + $B$19*($DN144=$DO144))</f>
        <v>3.7037037037037035E-4</v>
      </c>
      <c r="DV144" s="10" cm="1">
        <f t="array" aca="1" ref="DV144" ca="1">(1-$B$18)*SUMPRODUCT(OFFSET($BO$15,0,0,$B$14,1), 1*(_xlfn._xlws.FILTER(OFFSET($O$15,0,$DN144,$B$8,1),OFFSET($M$15,0,0,$B$8,1))=DV$13), 1*(_xlfn._xlws.FILTER(OFFSET($O$15,0,$DO144,$B$8,1),OFFSET($M$15,0,0,$B$8,1))=DV$14))   /   SUM(OFFSET($BO$15,0,0,$B$14,1)) + $B$18/($B$19*$B$19*($DN144&lt;&gt;$DO144) + $B$19*($DN144=$DO144))</f>
        <v>3.7037037037037035E-4</v>
      </c>
      <c r="DW144" s="10" cm="1">
        <f t="array" aca="1" ref="DW144" ca="1">(1-$B$18)*SUMPRODUCT(OFFSET($BO$15,0,0,$B$14,1), 1*(_xlfn._xlws.FILTER(OFFSET($O$15,0,$DN144,$B$8,1),OFFSET($M$15,0,0,$B$8,1))=DW$13), 1*(_xlfn._xlws.FILTER(OFFSET($O$15,0,$DO144,$B$8,1),OFFSET($M$15,0,0,$B$8,1))=DW$14))   /   SUM(OFFSET($BO$15,0,0,$B$14,1)) + $B$18/($B$19*$B$19*($DN144&lt;&gt;$DO144) + $B$19*($DN144=$DO144))</f>
        <v>3.7037037037037035E-4</v>
      </c>
      <c r="DX144" s="10" cm="1">
        <f t="array" aca="1" ref="DX144" ca="1">(1-$B$18)*SUMPRODUCT(OFFSET($BO$15,0,0,$B$14,1), 1*(_xlfn._xlws.FILTER(OFFSET($O$15,0,$DN144,$B$8,1),OFFSET($M$15,0,0,$B$8,1))=DX$13), 1*(_xlfn._xlws.FILTER(OFFSET($O$15,0,$DO144,$B$8,1),OFFSET($M$15,0,0,$B$8,1))=DX$14))   /   SUM(OFFSET($BO$15,0,0,$B$14,1)) + $B$18/($B$19*$B$19*($DN144&lt;&gt;$DO144) + $B$19*($DN144=$DO144))</f>
        <v>3.7037037037037035E-4</v>
      </c>
      <c r="DY144" s="10" cm="1">
        <f t="array" aca="1" ref="DY144" ca="1">(1-$B$18)*SUMPRODUCT(OFFSET($BO$15,0,0,$B$14,1), 1*(_xlfn._xlws.FILTER(OFFSET($O$15,0,$DN144,$B$8,1),OFFSET($M$15,0,0,$B$8,1))=DY$13), 1*(_xlfn._xlws.FILTER(OFFSET($O$15,0,$DO144,$B$8,1),OFFSET($M$15,0,0,$B$8,1))=DY$14))   /   SUM(OFFSET($BO$15,0,0,$B$14,1)) + $B$18/($B$19*$B$19*($DN144&lt;&gt;$DO144) + $B$19*($DN144=$DO144))</f>
        <v>3.7037037037037035E-4</v>
      </c>
      <c r="DZ144" s="10" cm="1">
        <f t="array" aca="1" ref="DZ144" ca="1">(1-$B$18)*SUMPRODUCT(OFFSET($BO$15,0,0,$B$14,1), 1*(_xlfn._xlws.FILTER(OFFSET($O$15,0,$DN144,$B$8,1),OFFSET($M$15,0,0,$B$8,1))=DZ$13), 1*(_xlfn._xlws.FILTER(OFFSET($O$15,0,$DO144,$B$8,1),OFFSET($M$15,0,0,$B$8,1))=DZ$14))   /   SUM(OFFSET($BO$15,0,0,$B$14,1)) + $B$18/($B$19*$B$19*($DN144&lt;&gt;$DO144) + $B$19*($DN144=$DO144))</f>
        <v>3.7037037037037035E-4</v>
      </c>
      <c r="EA144" s="10" cm="1">
        <f t="array" aca="1" ref="EA144" ca="1">(1-$B$18)*SUMPRODUCT(OFFSET($BO$15,0,0,$B$14,1), 1*(_xlfn._xlws.FILTER(OFFSET($O$15,0,$DN144,$B$8,1),OFFSET($M$15,0,0,$B$8,1))=EA$13), 1*(_xlfn._xlws.FILTER(OFFSET($O$15,0,$DO144,$B$8,1),OFFSET($M$15,0,0,$B$8,1))=EA$14))   /   SUM(OFFSET($BO$15,0,0,$B$14,1)) + $B$18/($B$19*$B$19*($DN144&lt;&gt;$DO144) + $B$19*($DN144=$DO144))</f>
        <v>3.7037037037037035E-4</v>
      </c>
      <c r="EB144" s="10" cm="1">
        <f t="array" aca="1" ref="EB144" ca="1">(1-$B$18)*SUMPRODUCT(OFFSET($BO$15,0,0,$B$14,1), 1*(_xlfn._xlws.FILTER(OFFSET($O$15,0,$DN144,$B$8,1),OFFSET($M$15,0,0,$B$8,1))=EB$13), 1*(_xlfn._xlws.FILTER(OFFSET($O$15,0,$DO144,$B$8,1),OFFSET($M$15,0,0,$B$8,1))=EB$14))   /   SUM(OFFSET($BO$15,0,0,$B$14,1)) + $B$18/($B$19*$B$19*($DN144&lt;&gt;$DO144) + $B$19*($DN144=$DO144))</f>
        <v>3.7037037037037035E-4</v>
      </c>
      <c r="EC144" s="10" cm="1">
        <f t="array" aca="1" ref="EC144" ca="1">(1-$B$18)*SUMPRODUCT(OFFSET($BO$15,0,0,$B$14,1), 1*(_xlfn._xlws.FILTER(OFFSET($O$15,0,$DN144,$B$8,1),OFFSET($M$15,0,0,$B$8,1))=EC$13), 1*(_xlfn._xlws.FILTER(OFFSET($O$15,0,$DO144,$B$8,1),OFFSET($M$15,0,0,$B$8,1))=EC$14))   /   SUM(OFFSET($BO$15,0,0,$B$14,1)) + $B$18/($B$19*$B$19*($DN144&lt;&gt;$DO144) + $B$19*($DN144=$DO144))</f>
        <v>3.7037037037037035E-4</v>
      </c>
      <c r="ED144" s="10" cm="1">
        <f t="array" aca="1" ref="ED144" ca="1">(1-$B$18)*SUMPRODUCT(OFFSET($BO$15,0,0,$B$14,1), 1*(_xlfn._xlws.FILTER(OFFSET($O$15,0,$DN144,$B$8,1),OFFSET($M$15,0,0,$B$8,1))=ED$13), 1*(_xlfn._xlws.FILTER(OFFSET($O$15,0,$DO144,$B$8,1),OFFSET($M$15,0,0,$B$8,1))=ED$14))   /   SUM(OFFSET($BO$15,0,0,$B$14,1)) + $B$18/($B$19*$B$19*($DN144&lt;&gt;$DO144) + $B$19*($DN144=$DO144))</f>
        <v>3.7037037037037035E-4</v>
      </c>
      <c r="EE144" s="10" cm="1">
        <f t="array" aca="1" ref="EE144" ca="1">(1-$B$18)*SUMPRODUCT(OFFSET($BO$15,0,0,$B$14,1), 1*(_xlfn._xlws.FILTER(OFFSET($O$15,0,$DN144,$B$8,1),OFFSET($M$15,0,0,$B$8,1))=EE$13), 1*(_xlfn._xlws.FILTER(OFFSET($O$15,0,$DO144,$B$8,1),OFFSET($M$15,0,0,$B$8,1))=EE$14))   /   SUM(OFFSET($BO$15,0,0,$B$14,1)) + $B$18/($B$19*$B$19*($DN144&lt;&gt;$DO144) + $B$19*($DN144=$DO144))</f>
        <v>3.7037037037037035E-4</v>
      </c>
      <c r="EF144" s="10" cm="1">
        <f t="array" aca="1" ref="EF144" ca="1">(1-$B$18)*SUMPRODUCT(OFFSET($BO$15,0,0,$B$14,1), 1*(_xlfn._xlws.FILTER(OFFSET($O$15,0,$DN144,$B$8,1),OFFSET($M$15,0,0,$B$8,1))=EF$13), 1*(_xlfn._xlws.FILTER(OFFSET($O$15,0,$DO144,$B$8,1),OFFSET($M$15,0,0,$B$8,1))=EF$14))   /   SUM(OFFSET($BO$15,0,0,$B$14,1)) + $B$18/($B$19*$B$19*($DN144&lt;&gt;$DO144) + $B$19*($DN144=$DO144))</f>
        <v>3.7037037037037035E-4</v>
      </c>
      <c r="EG144" s="10" cm="1">
        <f t="array" aca="1" ref="EG144" ca="1">(1-$B$18)*SUMPRODUCT(OFFSET($BO$15,0,0,$B$14,1), 1*(_xlfn._xlws.FILTER(OFFSET($O$15,0,$DN144,$B$8,1),OFFSET($M$15,0,0,$B$8,1))=EG$13), 1*(_xlfn._xlws.FILTER(OFFSET($O$15,0,$DO144,$B$8,1),OFFSET($M$15,0,0,$B$8,1))=EG$14))   /   SUM(OFFSET($BO$15,0,0,$B$14,1)) + $B$18/($B$19*$B$19*($DN144&lt;&gt;$DO144) + $B$19*($DN144=$DO144))</f>
        <v>3.7037037037037035E-4</v>
      </c>
      <c r="EH144" s="10" cm="1">
        <f t="array" aca="1" ref="EH144" ca="1">(1-$B$18)*SUMPRODUCT(OFFSET($BO$15,0,0,$B$14,1), 1*(_xlfn._xlws.FILTER(OFFSET($O$15,0,$DN144,$B$8,1),OFFSET($M$15,0,0,$B$8,1))=EH$13), 1*(_xlfn._xlws.FILTER(OFFSET($O$15,0,$DO144,$B$8,1),OFFSET($M$15,0,0,$B$8,1))=EH$14))   /   SUM(OFFSET($BO$15,0,0,$B$14,1)) + $B$18/($B$19*$B$19*($DN144&lt;&gt;$DO144) + $B$19*($DN144=$DO144))</f>
        <v>3.7037037037037035E-4</v>
      </c>
      <c r="EI144" s="10" cm="1">
        <f t="array" aca="1" ref="EI144" ca="1">(1-$B$18)*SUMPRODUCT(OFFSET($BO$15,0,0,$B$14,1), 1*(_xlfn._xlws.FILTER(OFFSET($O$15,0,$DN144,$B$8,1),OFFSET($M$15,0,0,$B$8,1))=EI$13), 1*(_xlfn._xlws.FILTER(OFFSET($O$15,0,$DO144,$B$8,1),OFFSET($M$15,0,0,$B$8,1))=EI$14))   /   SUM(OFFSET($BO$15,0,0,$B$14,1)) + $B$18/($B$19*$B$19*($DN144&lt;&gt;$DO144) + $B$19*($DN144=$DO144))</f>
        <v>3.7037037037037035E-4</v>
      </c>
      <c r="EJ144" s="10" cm="1">
        <f t="array" aca="1" ref="EJ144" ca="1">(1-$B$18)*SUMPRODUCT(OFFSET($BO$15,0,0,$B$14,1), 1*(_xlfn._xlws.FILTER(OFFSET($O$15,0,$DN144,$B$8,1),OFFSET($M$15,0,0,$B$8,1))=EJ$13), 1*(_xlfn._xlws.FILTER(OFFSET($O$15,0,$DO144,$B$8,1),OFFSET($M$15,0,0,$B$8,1))=EJ$14))   /   SUM(OFFSET($BO$15,0,0,$B$14,1)) + $B$18/($B$19*$B$19*($DN144&lt;&gt;$DO144) + $B$19*($DN144=$DO144))</f>
        <v>3.7037037037037035E-4</v>
      </c>
      <c r="EK144" s="10" cm="1">
        <f t="array" aca="1" ref="EK144" ca="1">(1-$B$18)*SUMPRODUCT(OFFSET($BO$15,0,0,$B$14,1), 1*(_xlfn._xlws.FILTER(OFFSET($O$15,0,$DN144,$B$8,1),OFFSET($M$15,0,0,$B$8,1))=EK$13), 1*(_xlfn._xlws.FILTER(OFFSET($O$15,0,$DO144,$B$8,1),OFFSET($M$15,0,0,$B$8,1))=EK$14))   /   SUM(OFFSET($BO$15,0,0,$B$14,1)) + $B$18/($B$19*$B$19*($DN144&lt;&gt;$DO144) + $B$19*($DN144=$DO144))</f>
        <v>3.7037037037037035E-4</v>
      </c>
      <c r="EL144" s="10" cm="1">
        <f t="array" aca="1" ref="EL144" ca="1">(1-$B$18)*SUMPRODUCT(OFFSET($BO$15,0,0,$B$14,1), 1*(_xlfn._xlws.FILTER(OFFSET($O$15,0,$DN144,$B$8,1),OFFSET($M$15,0,0,$B$8,1))=EL$13), 1*(_xlfn._xlws.FILTER(OFFSET($O$15,0,$DO144,$B$8,1),OFFSET($M$15,0,0,$B$8,1))=EL$14))   /   SUM(OFFSET($BO$15,0,0,$B$14,1)) + $B$18/($B$19*$B$19*($DN144&lt;&gt;$DO144) + $B$19*($DN144=$DO144))</f>
        <v>3.7037037037037035E-4</v>
      </c>
      <c r="EM144" s="10" cm="1">
        <f t="array" aca="1" ref="EM144" ca="1">(1-$B$18)*SUMPRODUCT(OFFSET($BO$15,0,0,$B$14,1), 1*(_xlfn._xlws.FILTER(OFFSET($O$15,0,$DN144,$B$8,1),OFFSET($M$15,0,0,$B$8,1))=EM$13), 1*(_xlfn._xlws.FILTER(OFFSET($O$15,0,$DO144,$B$8,1),OFFSET($M$15,0,0,$B$8,1))=EM$14))   /   SUM(OFFSET($BO$15,0,0,$B$14,1)) + $B$18/($B$19*$B$19*($DN144&lt;&gt;$DO144) + $B$19*($DN144=$DO144))</f>
        <v>3.7037037037037035E-4</v>
      </c>
      <c r="EN144" s="10" cm="1">
        <f t="array" aca="1" ref="EN144" ca="1">(1-$B$18)*SUMPRODUCT(OFFSET($BO$15,0,0,$B$14,1), 1*(_xlfn._xlws.FILTER(OFFSET($O$15,0,$DN144,$B$8,1),OFFSET($M$15,0,0,$B$8,1))=EN$13), 1*(_xlfn._xlws.FILTER(OFFSET($O$15,0,$DO144,$B$8,1),OFFSET($M$15,0,0,$B$8,1))=EN$14))   /   SUM(OFFSET($BO$15,0,0,$B$14,1)) + $B$18/($B$19*$B$19*($DN144&lt;&gt;$DO144) + $B$19*($DN144=$DO144))</f>
        <v>3.7037037037037035E-4</v>
      </c>
      <c r="EO144" s="10" cm="1">
        <f t="array" aca="1" ref="EO144" ca="1">(1-$B$18)*SUMPRODUCT(OFFSET($BO$15,0,0,$B$14,1), 1*(_xlfn._xlws.FILTER(OFFSET($O$15,0,$DN144,$B$8,1),OFFSET($M$15,0,0,$B$8,1))=EO$13), 1*(_xlfn._xlws.FILTER(OFFSET($O$15,0,$DO144,$B$8,1),OFFSET($M$15,0,0,$B$8,1))=EO$14))   /   SUM(OFFSET($BO$15,0,0,$B$14,1)) + $B$18/($B$19*$B$19*($DN144&lt;&gt;$DO144) + $B$19*($DN144=$DO144))</f>
        <v>3.7037037037037035E-4</v>
      </c>
      <c r="EP144" s="10" cm="1">
        <f t="array" aca="1" ref="EP144" ca="1">(1-$B$18)*SUMPRODUCT(OFFSET($BO$15,0,0,$B$14,1), 1*(_xlfn._xlws.FILTER(OFFSET($O$15,0,$DN144,$B$8,1),OFFSET($M$15,0,0,$B$8,1))=EP$13), 1*(_xlfn._xlws.FILTER(OFFSET($O$15,0,$DO144,$B$8,1),OFFSET($M$15,0,0,$B$8,1))=EP$14))   /   SUM(OFFSET($BO$15,0,0,$B$14,1)) + $B$18/($B$19*$B$19*($DN144&lt;&gt;$DO144) + $B$19*($DN144=$DO144))</f>
        <v>3.7037037037037035E-4</v>
      </c>
      <c r="EQ144" s="10" cm="1">
        <f t="array" aca="1" ref="EQ144" ca="1">(1-$B$18)*SUMPRODUCT(OFFSET($BO$15,0,0,$B$14,1), 1*(_xlfn._xlws.FILTER(OFFSET($O$15,0,$DN144,$B$8,1),OFFSET($M$15,0,0,$B$8,1))=EQ$13), 1*(_xlfn._xlws.FILTER(OFFSET($O$15,0,$DO144,$B$8,1),OFFSET($M$15,0,0,$B$8,1))=EQ$14))   /   SUM(OFFSET($BO$15,0,0,$B$14,1)) + $B$18/($B$19*$B$19*($DN144&lt;&gt;$DO144) + $B$19*($DN144=$DO144))</f>
        <v>3.7037037037037035E-4</v>
      </c>
      <c r="ER144" s="10" cm="1">
        <f t="array" aca="1" ref="ER144" ca="1">(1-$B$18)*SUMPRODUCT(OFFSET($BO$15,0,0,$B$14,1), 1*(_xlfn._xlws.FILTER(OFFSET($O$15,0,$DN144,$B$8,1),OFFSET($M$15,0,0,$B$8,1))=ER$13), 1*(_xlfn._xlws.FILTER(OFFSET($O$15,0,$DO144,$B$8,1),OFFSET($M$15,0,0,$B$8,1))=ER$14))   /   SUM(OFFSET($BO$15,0,0,$B$14,1)) + $B$18/($B$19*$B$19*($DN144&lt;&gt;$DO144) + $B$19*($DN144=$DO144))</f>
        <v>3.7037037037037035E-4</v>
      </c>
      <c r="ES144" s="10" cm="1">
        <f t="array" aca="1" ref="ES144" ca="1">(1-$B$18)*SUMPRODUCT(OFFSET($BO$15,0,0,$B$14,1), 1*(_xlfn._xlws.FILTER(OFFSET($O$15,0,$DN144,$B$8,1),OFFSET($M$15,0,0,$B$8,1))=ES$13), 1*(_xlfn._xlws.FILTER(OFFSET($O$15,0,$DO144,$B$8,1),OFFSET($M$15,0,0,$B$8,1))=ES$14))   /   SUM(OFFSET($BO$15,0,0,$B$14,1)) + $B$18/($B$19*$B$19*($DN144&lt;&gt;$DO144) + $B$19*($DN144=$DO144))</f>
        <v>3.7037037037037035E-4</v>
      </c>
      <c r="ET144" s="10" cm="1">
        <f t="array" aca="1" ref="ET144" ca="1">(1-$B$18)*SUMPRODUCT(OFFSET($BO$15,0,0,$B$14,1), 1*(_xlfn._xlws.FILTER(OFFSET($O$15,0,$DN144,$B$8,1),OFFSET($M$15,0,0,$B$8,1))=ET$13), 1*(_xlfn._xlws.FILTER(OFFSET($O$15,0,$DO144,$B$8,1),OFFSET($M$15,0,0,$B$8,1))=ET$14))   /   SUM(OFFSET($BO$15,0,0,$B$14,1)) + $B$18/($B$19*$B$19*($DN144&lt;&gt;$DO144) + $B$19*($DN144=$DO144))</f>
        <v>3.7037037037037035E-4</v>
      </c>
      <c r="EU144" s="10" cm="1">
        <f t="array" aca="1" ref="EU144" ca="1">(1-$B$18)*SUMPRODUCT(OFFSET($BO$15,0,0,$B$14,1), 1*(_xlfn._xlws.FILTER(OFFSET($O$15,0,$DN144,$B$8,1),OFFSET($M$15,0,0,$B$8,1))=EU$13), 1*(_xlfn._xlws.FILTER(OFFSET($O$15,0,$DO144,$B$8,1),OFFSET($M$15,0,0,$B$8,1))=EU$14))   /   SUM(OFFSET($BO$15,0,0,$B$14,1)) + $B$18/($B$19*$B$19*($DN144&lt;&gt;$DO144) + $B$19*($DN144=$DO144))</f>
        <v>3.7037037037037035E-4</v>
      </c>
      <c r="EV144" s="10" cm="1">
        <f t="array" aca="1" ref="EV144" ca="1">(1-$B$18)*SUMPRODUCT(OFFSET($BO$15,0,0,$B$14,1), 1*(_xlfn._xlws.FILTER(OFFSET($O$15,0,$DN144,$B$8,1),OFFSET($M$15,0,0,$B$8,1))=EV$13), 1*(_xlfn._xlws.FILTER(OFFSET($O$15,0,$DO144,$B$8,1),OFFSET($M$15,0,0,$B$8,1))=EV$14))   /   SUM(OFFSET($BO$15,0,0,$B$14,1)) + $B$18/($B$19*$B$19*($DN144&lt;&gt;$DO144) + $B$19*($DN144=$DO144))</f>
        <v>3.7037037037037035E-4</v>
      </c>
      <c r="EW144" s="10" cm="1">
        <f t="array" aca="1" ref="EW144" ca="1">(1-$B$18)*SUMPRODUCT(OFFSET($BO$15,0,0,$B$14,1), 1*(_xlfn._xlws.FILTER(OFFSET($O$15,0,$DN144,$B$8,1),OFFSET($M$15,0,0,$B$8,1))=EW$13), 1*(_xlfn._xlws.FILTER(OFFSET($O$15,0,$DO144,$B$8,1),OFFSET($M$15,0,0,$B$8,1))=EW$14))   /   SUM(OFFSET($BO$15,0,0,$B$14,1)) + $B$18/($B$19*$B$19*($DN144&lt;&gt;$DO144) + $B$19*($DN144=$DO144))</f>
        <v>3.7037037037037035E-4</v>
      </c>
      <c r="EX144" s="10" cm="1">
        <f t="array" aca="1" ref="EX144" ca="1">(1-$B$18)*SUMPRODUCT(OFFSET($BO$15,0,0,$B$14,1), 1*(_xlfn._xlws.FILTER(OFFSET($O$15,0,$DN144,$B$8,1),OFFSET($M$15,0,0,$B$8,1))=EX$13), 1*(_xlfn._xlws.FILTER(OFFSET($O$15,0,$DO144,$B$8,1),OFFSET($M$15,0,0,$B$8,1))=EX$14))   /   SUM(OFFSET($BO$15,0,0,$B$14,1)) + $B$18/($B$19*$B$19*($DN144&lt;&gt;$DO144) + $B$19*($DN144=$DO144))</f>
        <v>3.7037037037037035E-4</v>
      </c>
      <c r="EY144" s="10" cm="1">
        <f t="array" aca="1" ref="EY144" ca="1">(1-$B$18)*SUMPRODUCT(OFFSET($BO$15,0,0,$B$14,1), 1*(_xlfn._xlws.FILTER(OFFSET($O$15,0,$DN144,$B$8,1),OFFSET($M$15,0,0,$B$8,1))=EY$13), 1*(_xlfn._xlws.FILTER(OFFSET($O$15,0,$DO144,$B$8,1),OFFSET($M$15,0,0,$B$8,1))=EY$14))   /   SUM(OFFSET($BO$15,0,0,$B$14,1)) + $B$18/($B$19*$B$19*($DN144&lt;&gt;$DO144) + $B$19*($DN144=$DO144))</f>
        <v>3.7037037037037035E-4</v>
      </c>
      <c r="EZ144" s="10" cm="1">
        <f t="array" aca="1" ref="EZ144" ca="1">(1-$B$18)*SUMPRODUCT(OFFSET($BO$15,0,0,$B$14,1), 1*(_xlfn._xlws.FILTER(OFFSET($O$15,0,$DN144,$B$8,1),OFFSET($M$15,0,0,$B$8,1))=EZ$13), 1*(_xlfn._xlws.FILTER(OFFSET($O$15,0,$DO144,$B$8,1),OFFSET($M$15,0,0,$B$8,1))=EZ$14))   /   SUM(OFFSET($BO$15,0,0,$B$14,1)) + $B$18/($B$19*$B$19*($DN144&lt;&gt;$DO144) + $B$19*($DN144=$DO144))</f>
        <v>3.7037037037037035E-4</v>
      </c>
      <c r="FA144" s="10" cm="1">
        <f t="array" aca="1" ref="FA144" ca="1">(1-$B$18)*SUMPRODUCT(OFFSET($BO$15,0,0,$B$14,1), 1*(_xlfn._xlws.FILTER(OFFSET($O$15,0,$DN144,$B$8,1),OFFSET($M$15,0,0,$B$8,1))=FA$13), 1*(_xlfn._xlws.FILTER(OFFSET($O$15,0,$DO144,$B$8,1),OFFSET($M$15,0,0,$B$8,1))=FA$14))   /   SUM(OFFSET($BO$15,0,0,$B$14,1)) + $B$18/($B$19*$B$19*($DN144&lt;&gt;$DO144) + $B$19*($DN144=$DO144))</f>
        <v>3.7037037037037035E-4</v>
      </c>
      <c r="FB144" s="10" cm="1">
        <f t="array" aca="1" ref="FB144" ca="1">(1-$B$18)*SUMPRODUCT(OFFSET($BO$15,0,0,$B$14,1), 1*(_xlfn._xlws.FILTER(OFFSET($O$15,0,$DN144,$B$8,1),OFFSET($M$15,0,0,$B$8,1))=FB$13), 1*(_xlfn._xlws.FILTER(OFFSET($O$15,0,$DO144,$B$8,1),OFFSET($M$15,0,0,$B$8,1))=FB$14))   /   SUM(OFFSET($BO$15,0,0,$B$14,1)) + $B$18/($B$19*$B$19*($DN144&lt;&gt;$DO144) + $B$19*($DN144=$DO144))</f>
        <v>3.7037037037037035E-4</v>
      </c>
      <c r="FC144" s="10" cm="1">
        <f t="array" aca="1" ref="FC144" ca="1">(1-$B$18)*SUMPRODUCT(OFFSET($BO$15,0,0,$B$14,1), 1*(_xlfn._xlws.FILTER(OFFSET($O$15,0,$DN144,$B$8,1),OFFSET($M$15,0,0,$B$8,1))=FC$13), 1*(_xlfn._xlws.FILTER(OFFSET($O$15,0,$DO144,$B$8,1),OFFSET($M$15,0,0,$B$8,1))=FC$14))   /   SUM(OFFSET($BO$15,0,0,$B$14,1)) + $B$18/($B$19*$B$19*($DN144&lt;&gt;$DO144) + $B$19*($DN144=$DO144))</f>
        <v>3.7037037037037035E-4</v>
      </c>
      <c r="FD144" s="10" cm="1">
        <f t="array" aca="1" ref="FD144" ca="1">(1-$B$18)*SUMPRODUCT(OFFSET($BO$15,0,0,$B$14,1), 1*(_xlfn._xlws.FILTER(OFFSET($O$15,0,$DN144,$B$8,1),OFFSET($M$15,0,0,$B$8,1))=FD$13), 1*(_xlfn._xlws.FILTER(OFFSET($O$15,0,$DO144,$B$8,1),OFFSET($M$15,0,0,$B$8,1))=FD$14))   /   SUM(OFFSET($BO$15,0,0,$B$14,1)) + $B$18/($B$19*$B$19*($DN144&lt;&gt;$DO144) + $B$19*($DN144=$DO144))</f>
        <v>3.7037037037037035E-4</v>
      </c>
      <c r="FE144" s="10" cm="1">
        <f t="array" aca="1" ref="FE144" ca="1">(1-$B$18)*SUMPRODUCT(OFFSET($BO$15,0,0,$B$14,1), 1*(_xlfn._xlws.FILTER(OFFSET($O$15,0,$DN144,$B$8,1),OFFSET($M$15,0,0,$B$8,1))=FE$13), 1*(_xlfn._xlws.FILTER(OFFSET($O$15,0,$DO144,$B$8,1),OFFSET($M$15,0,0,$B$8,1))=FE$14))   /   SUM(OFFSET($BO$15,0,0,$B$14,1)) + $B$18/($B$19*$B$19*($DN144&lt;&gt;$DO144) + $B$19*($DN144=$DO144))</f>
        <v>3.7037037037037035E-4</v>
      </c>
      <c r="FF144" s="10" cm="1">
        <f t="array" aca="1" ref="FF144" ca="1">(1-$B$18)*SUMPRODUCT(OFFSET($BO$15,0,0,$B$14,1), 1*(_xlfn._xlws.FILTER(OFFSET($O$15,0,$DN144,$B$8,1),OFFSET($M$15,0,0,$B$8,1))=FF$13), 1*(_xlfn._xlws.FILTER(OFFSET($O$15,0,$DO144,$B$8,1),OFFSET($M$15,0,0,$B$8,1))=FF$14))   /   SUM(OFFSET($BO$15,0,0,$B$14,1)) + $B$18/($B$19*$B$19*($DN144&lt;&gt;$DO144) + $B$19*($DN144=$DO144))</f>
        <v>3.7037037037037035E-4</v>
      </c>
      <c r="FG144" s="10" cm="1">
        <f t="array" aca="1" ref="FG144" ca="1">(1-$B$18)*SUMPRODUCT(OFFSET($BO$15,0,0,$B$14,1), 1*(_xlfn._xlws.FILTER(OFFSET($O$15,0,$DN144,$B$8,1),OFFSET($M$15,0,0,$B$8,1))=FG$13), 1*(_xlfn._xlws.FILTER(OFFSET($O$15,0,$DO144,$B$8,1),OFFSET($M$15,0,0,$B$8,1))=FG$14))   /   SUM(OFFSET($BO$15,0,0,$B$14,1)) + $B$18/($B$19*$B$19*($DN144&lt;&gt;$DO144) + $B$19*($DN144=$DO144))</f>
        <v>3.7037037037037035E-4</v>
      </c>
      <c r="FH144" s="10" cm="1">
        <f t="array" aca="1" ref="FH144" ca="1">(1-$B$18)*SUMPRODUCT(OFFSET($BO$15,0,0,$B$14,1), 1*(_xlfn._xlws.FILTER(OFFSET($O$15,0,$DN144,$B$8,1),OFFSET($M$15,0,0,$B$8,1))=FH$13), 1*(_xlfn._xlws.FILTER(OFFSET($O$15,0,$DO144,$B$8,1),OFFSET($M$15,0,0,$B$8,1))=FH$14))   /   SUM(OFFSET($BO$15,0,0,$B$14,1)) + $B$18/($B$19*$B$19*($DN144&lt;&gt;$DO144) + $B$19*($DN144=$DO144))</f>
        <v>3.7037037037037035E-4</v>
      </c>
      <c r="FI144" s="10" cm="1">
        <f t="array" aca="1" ref="FI144" ca="1">(1-$B$18)*SUMPRODUCT(OFFSET($BO$15,0,0,$B$14,1), 1*(_xlfn._xlws.FILTER(OFFSET($O$15,0,$DN144,$B$8,1),OFFSET($M$15,0,0,$B$8,1))=FI$13), 1*(_xlfn._xlws.FILTER(OFFSET($O$15,0,$DO144,$B$8,1),OFFSET($M$15,0,0,$B$8,1))=FI$14))   /   SUM(OFFSET($BO$15,0,0,$B$14,1)) + $B$18/($B$19*$B$19*($DN144&lt;&gt;$DO144) + $B$19*($DN144=$DO144))</f>
        <v>3.7037037037037035E-4</v>
      </c>
      <c r="FJ144" s="10" cm="1">
        <f t="array" aca="1" ref="FJ144" ca="1">(1-$B$18)*SUMPRODUCT(OFFSET($BO$15,0,0,$B$14,1), 1*(_xlfn._xlws.FILTER(OFFSET($O$15,0,$DN144,$B$8,1),OFFSET($M$15,0,0,$B$8,1))=FJ$13), 1*(_xlfn._xlws.FILTER(OFFSET($O$15,0,$DO144,$B$8,1),OFFSET($M$15,0,0,$B$8,1))=FJ$14))   /   SUM(OFFSET($BO$15,0,0,$B$14,1)) + $B$18/($B$19*$B$19*($DN144&lt;&gt;$DO144) + $B$19*($DN144=$DO144))</f>
        <v>3.7037037037037035E-4</v>
      </c>
      <c r="FK144" s="10" cm="1">
        <f t="array" aca="1" ref="FK144" ca="1">(1-$B$18)*SUMPRODUCT(OFFSET($BO$15,0,0,$B$14,1), 1*(_xlfn._xlws.FILTER(OFFSET($O$15,0,$DN144,$B$8,1),OFFSET($M$15,0,0,$B$8,1))=FK$13), 1*(_xlfn._xlws.FILTER(OFFSET($O$15,0,$DO144,$B$8,1),OFFSET($M$15,0,0,$B$8,1))=FK$14))   /   SUM(OFFSET($BO$15,0,0,$B$14,1)) + $B$18/($B$19*$B$19*($DN144&lt;&gt;$DO144) + $B$19*($DN144=$DO144))</f>
        <v>3.7037037037037035E-4</v>
      </c>
      <c r="FL144" s="10" cm="1">
        <f t="array" aca="1" ref="FL144" ca="1">(1-$B$18)*SUMPRODUCT(OFFSET($BO$15,0,0,$B$14,1), 1*(_xlfn._xlws.FILTER(OFFSET($O$15,0,$DN144,$B$8,1),OFFSET($M$15,0,0,$B$8,1))=FL$13), 1*(_xlfn._xlws.FILTER(OFFSET($O$15,0,$DO144,$B$8,1),OFFSET($M$15,0,0,$B$8,1))=FL$14))   /   SUM(OFFSET($BO$15,0,0,$B$14,1)) + $B$18/($B$19*$B$19*($DN144&lt;&gt;$DO144) + $B$19*($DN144=$DO144))</f>
        <v>3.7037037037037035E-4</v>
      </c>
      <c r="FM144" s="10" cm="1">
        <f t="array" aca="1" ref="FM144" ca="1">(1-$B$18)*SUMPRODUCT(OFFSET($BO$15,0,0,$B$14,1), 1*(_xlfn._xlws.FILTER(OFFSET($O$15,0,$DN144,$B$8,1),OFFSET($M$15,0,0,$B$8,1))=FM$13), 1*(_xlfn._xlws.FILTER(OFFSET($O$15,0,$DO144,$B$8,1),OFFSET($M$15,0,0,$B$8,1))=FM$14))   /   SUM(OFFSET($BO$15,0,0,$B$14,1)) + $B$18/($B$19*$B$19*($DN144&lt;&gt;$DO144) + $B$19*($DN144=$DO144))</f>
        <v>3.7037037037037035E-4</v>
      </c>
      <c r="FN144" s="10" cm="1">
        <f t="array" aca="1" ref="FN144" ca="1">(1-$B$18)*SUMPRODUCT(OFFSET($BO$15,0,0,$B$14,1), 1*(_xlfn._xlws.FILTER(OFFSET($O$15,0,$DN144,$B$8,1),OFFSET($M$15,0,0,$B$8,1))=FN$13), 1*(_xlfn._xlws.FILTER(OFFSET($O$15,0,$DO144,$B$8,1),OFFSET($M$15,0,0,$B$8,1))=FN$14))   /   SUM(OFFSET($BO$15,0,0,$B$14,1)) + $B$18/($B$19*$B$19*($DN144&lt;&gt;$DO144) + $B$19*($DN144=$DO144))</f>
        <v>3.7037037037037035E-4</v>
      </c>
      <c r="FO144" s="10" cm="1">
        <f t="array" aca="1" ref="FO144" ca="1">(1-$B$18)*SUMPRODUCT(OFFSET($BO$15,0,0,$B$14,1), 1*(_xlfn._xlws.FILTER(OFFSET($O$15,0,$DN144,$B$8,1),OFFSET($M$15,0,0,$B$8,1))=FO$13), 1*(_xlfn._xlws.FILTER(OFFSET($O$15,0,$DO144,$B$8,1),OFFSET($M$15,0,0,$B$8,1))=FO$14))   /   SUM(OFFSET($BO$15,0,0,$B$14,1)) + $B$18/($B$19*$B$19*($DN144&lt;&gt;$DO144) + $B$19*($DN144=$DO144))</f>
        <v>0.97037037037037033</v>
      </c>
      <c r="FP144" s="10" cm="1">
        <f t="array" aca="1" ref="FP144" ca="1">(1-$B$18)*SUMPRODUCT(OFFSET($BO$15,0,0,$B$14,1), 1*(_xlfn._xlws.FILTER(OFFSET($O$15,0,$DN144,$B$8,1),OFFSET($M$15,0,0,$B$8,1))=FP$13), 1*(_xlfn._xlws.FILTER(OFFSET($O$15,0,$DO144,$B$8,1),OFFSET($M$15,0,0,$B$8,1))=FP$14))   /   SUM(OFFSET($BO$15,0,0,$B$14,1)) + $B$18/($B$19*$B$19*($DN144&lt;&gt;$DO144) + $B$19*($DN144=$DO144))</f>
        <v>3.7037037037037035E-4</v>
      </c>
      <c r="FQ144" s="10" cm="1">
        <f t="array" aca="1" ref="FQ144" ca="1">(1-$B$18)*SUMPRODUCT(OFFSET($BO$15,0,0,$B$14,1), 1*(_xlfn._xlws.FILTER(OFFSET($O$15,0,$DN144,$B$8,1),OFFSET($M$15,0,0,$B$8,1))=FQ$13), 1*(_xlfn._xlws.FILTER(OFFSET($O$15,0,$DO144,$B$8,1),OFFSET($M$15,0,0,$B$8,1))=FQ$14))   /   SUM(OFFSET($BO$15,0,0,$B$14,1)) + $B$18/($B$19*$B$19*($DN144&lt;&gt;$DO144) + $B$19*($DN144=$DO144))</f>
        <v>3.7037037037037035E-4</v>
      </c>
      <c r="FR144" s="10" cm="1">
        <f t="array" aca="1" ref="FR144" ca="1">(1-$B$18)*SUMPRODUCT(OFFSET($BO$15,0,0,$B$14,1), 1*(_xlfn._xlws.FILTER(OFFSET($O$15,0,$DN144,$B$8,1),OFFSET($M$15,0,0,$B$8,1))=FR$13), 1*(_xlfn._xlws.FILTER(OFFSET($O$15,0,$DO144,$B$8,1),OFFSET($M$15,0,0,$B$8,1))=FR$14))   /   SUM(OFFSET($BO$15,0,0,$B$14,1)) + $B$18/($B$19*$B$19*($DN144&lt;&gt;$DO144) + $B$19*($DN144=$DO144))</f>
        <v>3.7037037037037035E-4</v>
      </c>
      <c r="FS144" s="10" cm="1">
        <f t="array" aca="1" ref="FS144" ca="1">(1-$B$18)*SUMPRODUCT(OFFSET($BO$15,0,0,$B$14,1), 1*(_xlfn._xlws.FILTER(OFFSET($O$15,0,$DN144,$B$8,1),OFFSET($M$15,0,0,$B$8,1))=FS$13), 1*(_xlfn._xlws.FILTER(OFFSET($O$15,0,$DO144,$B$8,1),OFFSET($M$15,0,0,$B$8,1))=FS$14))   /   SUM(OFFSET($BO$15,0,0,$B$14,1)) + $B$18/($B$19*$B$19*($DN144&lt;&gt;$DO144) + $B$19*($DN144=$DO144))</f>
        <v>3.7037037037037035E-4</v>
      </c>
      <c r="FT144" s="10" cm="1">
        <f t="array" aca="1" ref="FT144" ca="1">(1-$B$18)*SUMPRODUCT(OFFSET($BO$15,0,0,$B$14,1), 1*(_xlfn._xlws.FILTER(OFFSET($O$15,0,$DN144,$B$8,1),OFFSET($M$15,0,0,$B$8,1))=FT$13), 1*(_xlfn._xlws.FILTER(OFFSET($O$15,0,$DO144,$B$8,1),OFFSET($M$15,0,0,$B$8,1))=FT$14))   /   SUM(OFFSET($BO$15,0,0,$B$14,1)) + $B$18/($B$19*$B$19*($DN144&lt;&gt;$DO144) + $B$19*($DN144=$DO144))</f>
        <v>3.7037037037037035E-4</v>
      </c>
      <c r="FU144" s="10" cm="1">
        <f t="array" aca="1" ref="FU144" ca="1">(1-$B$18)*SUMPRODUCT(OFFSET($BO$15,0,0,$B$14,1), 1*(_xlfn._xlws.FILTER(OFFSET($O$15,0,$DN144,$B$8,1),OFFSET($M$15,0,0,$B$8,1))=FU$13), 1*(_xlfn._xlws.FILTER(OFFSET($O$15,0,$DO144,$B$8,1),OFFSET($M$15,0,0,$B$8,1))=FU$14))   /   SUM(OFFSET($BO$15,0,0,$B$14,1)) + $B$18/($B$19*$B$19*($DN144&lt;&gt;$DO144) + $B$19*($DN144=$DO144))</f>
        <v>3.7037037037037035E-4</v>
      </c>
      <c r="FV144" s="10" cm="1">
        <f t="array" aca="1" ref="FV144" ca="1">(1-$B$18)*SUMPRODUCT(OFFSET($BO$15,0,0,$B$14,1), 1*(_xlfn._xlws.FILTER(OFFSET($O$15,0,$DN144,$B$8,1),OFFSET($M$15,0,0,$B$8,1))=FV$13), 1*(_xlfn._xlws.FILTER(OFFSET($O$15,0,$DO144,$B$8,1),OFFSET($M$15,0,0,$B$8,1))=FV$14))   /   SUM(OFFSET($BO$15,0,0,$B$14,1)) + $B$18/($B$19*$B$19*($DN144&lt;&gt;$DO144) + $B$19*($DN144=$DO144))</f>
        <v>3.7037037037037035E-4</v>
      </c>
      <c r="FW144" s="10" cm="1">
        <f t="array" aca="1" ref="FW144" ca="1">(1-$B$18)*SUMPRODUCT(OFFSET($BO$15,0,0,$B$14,1), 1*(_xlfn._xlws.FILTER(OFFSET($O$15,0,$DN144,$B$8,1),OFFSET($M$15,0,0,$B$8,1))=FW$13), 1*(_xlfn._xlws.FILTER(OFFSET($O$15,0,$DO144,$B$8,1),OFFSET($M$15,0,0,$B$8,1))=FW$14))   /   SUM(OFFSET($BO$15,0,0,$B$14,1)) + $B$18/($B$19*$B$19*($DN144&lt;&gt;$DO144) + $B$19*($DN144=$DO144))</f>
        <v>3.7037037037037035E-4</v>
      </c>
      <c r="FX144" s="10" cm="1">
        <f t="array" aca="1" ref="FX144" ca="1">(1-$B$18)*SUMPRODUCT(OFFSET($BO$15,0,0,$B$14,1), 1*(_xlfn._xlws.FILTER(OFFSET($O$15,0,$DN144,$B$8,1),OFFSET($M$15,0,0,$B$8,1))=FX$13), 1*(_xlfn._xlws.FILTER(OFFSET($O$15,0,$DO144,$B$8,1),OFFSET($M$15,0,0,$B$8,1))=FX$14))   /   SUM(OFFSET($BO$15,0,0,$B$14,1)) + $B$18/($B$19*$B$19*($DN144&lt;&gt;$DO144) + $B$19*($DN144=$DO144))</f>
        <v>3.7037037037037035E-4</v>
      </c>
      <c r="FY144" s="10" cm="1">
        <f t="array" aca="1" ref="FY144" ca="1">(1-$B$18)*SUMPRODUCT(OFFSET($BO$15,0,0,$B$14,1), 1*(_xlfn._xlws.FILTER(OFFSET($O$15,0,$DN144,$B$8,1),OFFSET($M$15,0,0,$B$8,1))=FY$13), 1*(_xlfn._xlws.FILTER(OFFSET($O$15,0,$DO144,$B$8,1),OFFSET($M$15,0,0,$B$8,1))=FY$14))   /   SUM(OFFSET($BO$15,0,0,$B$14,1)) + $B$18/($B$19*$B$19*($DN144&lt;&gt;$DO144) + $B$19*($DN144=$DO144))</f>
        <v>3.7037037037037035E-4</v>
      </c>
      <c r="FZ144" s="10" cm="1">
        <f t="array" aca="1" ref="FZ144" ca="1">(1-$B$18)*SUMPRODUCT(OFFSET($BO$15,0,0,$B$14,1), 1*(_xlfn._xlws.FILTER(OFFSET($O$15,0,$DN144,$B$8,1),OFFSET($M$15,0,0,$B$8,1))=FZ$13), 1*(_xlfn._xlws.FILTER(OFFSET($O$15,0,$DO144,$B$8,1),OFFSET($M$15,0,0,$B$8,1))=FZ$14))   /   SUM(OFFSET($BO$15,0,0,$B$14,1)) + $B$18/($B$19*$B$19*($DN144&lt;&gt;$DO144) + $B$19*($DN144=$DO144))</f>
        <v>3.7037037037037035E-4</v>
      </c>
      <c r="GA144" s="10" cm="1">
        <f t="array" aca="1" ref="GA144" ca="1">(1-$B$18)*SUMPRODUCT(OFFSET($BO$15,0,0,$B$14,1), 1*(_xlfn._xlws.FILTER(OFFSET($O$15,0,$DN144,$B$8,1),OFFSET($M$15,0,0,$B$8,1))=GA$13), 1*(_xlfn._xlws.FILTER(OFFSET($O$15,0,$DO144,$B$8,1),OFFSET($M$15,0,0,$B$8,1))=GA$14))   /   SUM(OFFSET($BO$15,0,0,$B$14,1)) + $B$18/($B$19*$B$19*($DN144&lt;&gt;$DO144) + $B$19*($DN144=$DO144))</f>
        <v>3.7037037037037035E-4</v>
      </c>
    </row>
    <row r="145" spans="118:183" x14ac:dyDescent="0.2">
      <c r="DN145" cm="1">
        <f t="array" aca="1" ref="DN145" ca="1">INDEX(_xlfn.ANCHORARRAY($CP$15), 1 + INT((ROWS($DO$15:$DO145) - 1) / ROWS(_xlfn.ANCHORARRAY($CP$15))))</f>
        <v>6</v>
      </c>
      <c r="DO145" cm="1">
        <f t="array" aca="1" ref="DO145" ca="1">INDEX(_xlfn.ANCHORARRAY($CP$15),1+MOD(ROWS($DO$15:$DO145)-1,ROWS(_xlfn.ANCHORARRAY($CP$15))))</f>
        <v>19</v>
      </c>
      <c r="DP145" s="10" cm="1">
        <f t="array" aca="1" ref="DP145" ca="1">(1-$B$18)*SUMPRODUCT(OFFSET($BO$15,0,0,$B$14,1), 1*(_xlfn._xlws.FILTER(OFFSET($O$15,0,$DN145,$B$8,1),OFFSET($M$15,0,0,$B$8,1))=DP$13), 1*(_xlfn._xlws.FILTER(OFFSET($O$15,0,$DO145,$B$8,1),OFFSET($M$15,0,0,$B$8,1))=DP$14))   /   SUM(OFFSET($BO$15,0,0,$B$14,1)) + $B$18/($B$19*$B$19*($DN145&lt;&gt;$DO145) + $B$19*($DN145=$DO145))</f>
        <v>3.7037037037037035E-4</v>
      </c>
      <c r="DQ145" s="10" cm="1">
        <f t="array" aca="1" ref="DQ145" ca="1">(1-$B$18)*SUMPRODUCT(OFFSET($BO$15,0,0,$B$14,1), 1*(_xlfn._xlws.FILTER(OFFSET($O$15,0,$DN145,$B$8,1),OFFSET($M$15,0,0,$B$8,1))=DQ$13), 1*(_xlfn._xlws.FILTER(OFFSET($O$15,0,$DO145,$B$8,1),OFFSET($M$15,0,0,$B$8,1))=DQ$14))   /   SUM(OFFSET($BO$15,0,0,$B$14,1)) + $B$18/($B$19*$B$19*($DN145&lt;&gt;$DO145) + $B$19*($DN145=$DO145))</f>
        <v>3.7037037037037035E-4</v>
      </c>
      <c r="DR145" s="10" cm="1">
        <f t="array" aca="1" ref="DR145" ca="1">(1-$B$18)*SUMPRODUCT(OFFSET($BO$15,0,0,$B$14,1), 1*(_xlfn._xlws.FILTER(OFFSET($O$15,0,$DN145,$B$8,1),OFFSET($M$15,0,0,$B$8,1))=DR$13), 1*(_xlfn._xlws.FILTER(OFFSET($O$15,0,$DO145,$B$8,1),OFFSET($M$15,0,0,$B$8,1))=DR$14))   /   SUM(OFFSET($BO$15,0,0,$B$14,1)) + $B$18/($B$19*$B$19*($DN145&lt;&gt;$DO145) + $B$19*($DN145=$DO145))</f>
        <v>3.7037037037037035E-4</v>
      </c>
      <c r="DS145" s="10" cm="1">
        <f t="array" aca="1" ref="DS145" ca="1">(1-$B$18)*SUMPRODUCT(OFFSET($BO$15,0,0,$B$14,1), 1*(_xlfn._xlws.FILTER(OFFSET($O$15,0,$DN145,$B$8,1),OFFSET($M$15,0,0,$B$8,1))=DS$13), 1*(_xlfn._xlws.FILTER(OFFSET($O$15,0,$DO145,$B$8,1),OFFSET($M$15,0,0,$B$8,1))=DS$14))   /   SUM(OFFSET($BO$15,0,0,$B$14,1)) + $B$18/($B$19*$B$19*($DN145&lt;&gt;$DO145) + $B$19*($DN145=$DO145))</f>
        <v>3.7037037037037035E-4</v>
      </c>
      <c r="DT145" s="10" cm="1">
        <f t="array" aca="1" ref="DT145" ca="1">(1-$B$18)*SUMPRODUCT(OFFSET($BO$15,0,0,$B$14,1), 1*(_xlfn._xlws.FILTER(OFFSET($O$15,0,$DN145,$B$8,1),OFFSET($M$15,0,0,$B$8,1))=DT$13), 1*(_xlfn._xlws.FILTER(OFFSET($O$15,0,$DO145,$B$8,1),OFFSET($M$15,0,0,$B$8,1))=DT$14))   /   SUM(OFFSET($BO$15,0,0,$B$14,1)) + $B$18/($B$19*$B$19*($DN145&lt;&gt;$DO145) + $B$19*($DN145=$DO145))</f>
        <v>3.7037037037037035E-4</v>
      </c>
      <c r="DU145" s="10" cm="1">
        <f t="array" aca="1" ref="DU145" ca="1">(1-$B$18)*SUMPRODUCT(OFFSET($BO$15,0,0,$B$14,1), 1*(_xlfn._xlws.FILTER(OFFSET($O$15,0,$DN145,$B$8,1),OFFSET($M$15,0,0,$B$8,1))=DU$13), 1*(_xlfn._xlws.FILTER(OFFSET($O$15,0,$DO145,$B$8,1),OFFSET($M$15,0,0,$B$8,1))=DU$14))   /   SUM(OFFSET($BO$15,0,0,$B$14,1)) + $B$18/($B$19*$B$19*($DN145&lt;&gt;$DO145) + $B$19*($DN145=$DO145))</f>
        <v>3.7037037037037035E-4</v>
      </c>
      <c r="DV145" s="10" cm="1">
        <f t="array" aca="1" ref="DV145" ca="1">(1-$B$18)*SUMPRODUCT(OFFSET($BO$15,0,0,$B$14,1), 1*(_xlfn._xlws.FILTER(OFFSET($O$15,0,$DN145,$B$8,1),OFFSET($M$15,0,0,$B$8,1))=DV$13), 1*(_xlfn._xlws.FILTER(OFFSET($O$15,0,$DO145,$B$8,1),OFFSET($M$15,0,0,$B$8,1))=DV$14))   /   SUM(OFFSET($BO$15,0,0,$B$14,1)) + $B$18/($B$19*$B$19*($DN145&lt;&gt;$DO145) + $B$19*($DN145=$DO145))</f>
        <v>3.7037037037037035E-4</v>
      </c>
      <c r="DW145" s="10" cm="1">
        <f t="array" aca="1" ref="DW145" ca="1">(1-$B$18)*SUMPRODUCT(OFFSET($BO$15,0,0,$B$14,1), 1*(_xlfn._xlws.FILTER(OFFSET($O$15,0,$DN145,$B$8,1),OFFSET($M$15,0,0,$B$8,1))=DW$13), 1*(_xlfn._xlws.FILTER(OFFSET($O$15,0,$DO145,$B$8,1),OFFSET($M$15,0,0,$B$8,1))=DW$14))   /   SUM(OFFSET($BO$15,0,0,$B$14,1)) + $B$18/($B$19*$B$19*($DN145&lt;&gt;$DO145) + $B$19*($DN145=$DO145))</f>
        <v>3.7037037037037035E-4</v>
      </c>
      <c r="DX145" s="10" cm="1">
        <f t="array" aca="1" ref="DX145" ca="1">(1-$B$18)*SUMPRODUCT(OFFSET($BO$15,0,0,$B$14,1), 1*(_xlfn._xlws.FILTER(OFFSET($O$15,0,$DN145,$B$8,1),OFFSET($M$15,0,0,$B$8,1))=DX$13), 1*(_xlfn._xlws.FILTER(OFFSET($O$15,0,$DO145,$B$8,1),OFFSET($M$15,0,0,$B$8,1))=DX$14))   /   SUM(OFFSET($BO$15,0,0,$B$14,1)) + $B$18/($B$19*$B$19*($DN145&lt;&gt;$DO145) + $B$19*($DN145=$DO145))</f>
        <v>3.7037037037037035E-4</v>
      </c>
      <c r="DY145" s="10" cm="1">
        <f t="array" aca="1" ref="DY145" ca="1">(1-$B$18)*SUMPRODUCT(OFFSET($BO$15,0,0,$B$14,1), 1*(_xlfn._xlws.FILTER(OFFSET($O$15,0,$DN145,$B$8,1),OFFSET($M$15,0,0,$B$8,1))=DY$13), 1*(_xlfn._xlws.FILTER(OFFSET($O$15,0,$DO145,$B$8,1),OFFSET($M$15,0,0,$B$8,1))=DY$14))   /   SUM(OFFSET($BO$15,0,0,$B$14,1)) + $B$18/($B$19*$B$19*($DN145&lt;&gt;$DO145) + $B$19*($DN145=$DO145))</f>
        <v>3.7037037037037035E-4</v>
      </c>
      <c r="DZ145" s="10" cm="1">
        <f t="array" aca="1" ref="DZ145" ca="1">(1-$B$18)*SUMPRODUCT(OFFSET($BO$15,0,0,$B$14,1), 1*(_xlfn._xlws.FILTER(OFFSET($O$15,0,$DN145,$B$8,1),OFFSET($M$15,0,0,$B$8,1))=DZ$13), 1*(_xlfn._xlws.FILTER(OFFSET($O$15,0,$DO145,$B$8,1),OFFSET($M$15,0,0,$B$8,1))=DZ$14))   /   SUM(OFFSET($BO$15,0,0,$B$14,1)) + $B$18/($B$19*$B$19*($DN145&lt;&gt;$DO145) + $B$19*($DN145=$DO145))</f>
        <v>3.7037037037037035E-4</v>
      </c>
      <c r="EA145" s="10" cm="1">
        <f t="array" aca="1" ref="EA145" ca="1">(1-$B$18)*SUMPRODUCT(OFFSET($BO$15,0,0,$B$14,1), 1*(_xlfn._xlws.FILTER(OFFSET($O$15,0,$DN145,$B$8,1),OFFSET($M$15,0,0,$B$8,1))=EA$13), 1*(_xlfn._xlws.FILTER(OFFSET($O$15,0,$DO145,$B$8,1),OFFSET($M$15,0,0,$B$8,1))=EA$14))   /   SUM(OFFSET($BO$15,0,0,$B$14,1)) + $B$18/($B$19*$B$19*($DN145&lt;&gt;$DO145) + $B$19*($DN145=$DO145))</f>
        <v>3.7037037037037035E-4</v>
      </c>
      <c r="EB145" s="10" cm="1">
        <f t="array" aca="1" ref="EB145" ca="1">(1-$B$18)*SUMPRODUCT(OFFSET($BO$15,0,0,$B$14,1), 1*(_xlfn._xlws.FILTER(OFFSET($O$15,0,$DN145,$B$8,1),OFFSET($M$15,0,0,$B$8,1))=EB$13), 1*(_xlfn._xlws.FILTER(OFFSET($O$15,0,$DO145,$B$8,1),OFFSET($M$15,0,0,$B$8,1))=EB$14))   /   SUM(OFFSET($BO$15,0,0,$B$14,1)) + $B$18/($B$19*$B$19*($DN145&lt;&gt;$DO145) + $B$19*($DN145=$DO145))</f>
        <v>3.7037037037037035E-4</v>
      </c>
      <c r="EC145" s="10" cm="1">
        <f t="array" aca="1" ref="EC145" ca="1">(1-$B$18)*SUMPRODUCT(OFFSET($BO$15,0,0,$B$14,1), 1*(_xlfn._xlws.FILTER(OFFSET($O$15,0,$DN145,$B$8,1),OFFSET($M$15,0,0,$B$8,1))=EC$13), 1*(_xlfn._xlws.FILTER(OFFSET($O$15,0,$DO145,$B$8,1),OFFSET($M$15,0,0,$B$8,1))=EC$14))   /   SUM(OFFSET($BO$15,0,0,$B$14,1)) + $B$18/($B$19*$B$19*($DN145&lt;&gt;$DO145) + $B$19*($DN145=$DO145))</f>
        <v>3.7037037037037035E-4</v>
      </c>
      <c r="ED145" s="10" cm="1">
        <f t="array" aca="1" ref="ED145" ca="1">(1-$B$18)*SUMPRODUCT(OFFSET($BO$15,0,0,$B$14,1), 1*(_xlfn._xlws.FILTER(OFFSET($O$15,0,$DN145,$B$8,1),OFFSET($M$15,0,0,$B$8,1))=ED$13), 1*(_xlfn._xlws.FILTER(OFFSET($O$15,0,$DO145,$B$8,1),OFFSET($M$15,0,0,$B$8,1))=ED$14))   /   SUM(OFFSET($BO$15,0,0,$B$14,1)) + $B$18/($B$19*$B$19*($DN145&lt;&gt;$DO145) + $B$19*($DN145=$DO145))</f>
        <v>3.7037037037037035E-4</v>
      </c>
      <c r="EE145" s="10" cm="1">
        <f t="array" aca="1" ref="EE145" ca="1">(1-$B$18)*SUMPRODUCT(OFFSET($BO$15,0,0,$B$14,1), 1*(_xlfn._xlws.FILTER(OFFSET($O$15,0,$DN145,$B$8,1),OFFSET($M$15,0,0,$B$8,1))=EE$13), 1*(_xlfn._xlws.FILTER(OFFSET($O$15,0,$DO145,$B$8,1),OFFSET($M$15,0,0,$B$8,1))=EE$14))   /   SUM(OFFSET($BO$15,0,0,$B$14,1)) + $B$18/($B$19*$B$19*($DN145&lt;&gt;$DO145) + $B$19*($DN145=$DO145))</f>
        <v>3.7037037037037035E-4</v>
      </c>
      <c r="EF145" s="10" cm="1">
        <f t="array" aca="1" ref="EF145" ca="1">(1-$B$18)*SUMPRODUCT(OFFSET($BO$15,0,0,$B$14,1), 1*(_xlfn._xlws.FILTER(OFFSET($O$15,0,$DN145,$B$8,1),OFFSET($M$15,0,0,$B$8,1))=EF$13), 1*(_xlfn._xlws.FILTER(OFFSET($O$15,0,$DO145,$B$8,1),OFFSET($M$15,0,0,$B$8,1))=EF$14))   /   SUM(OFFSET($BO$15,0,0,$B$14,1)) + $B$18/($B$19*$B$19*($DN145&lt;&gt;$DO145) + $B$19*($DN145=$DO145))</f>
        <v>3.7037037037037035E-4</v>
      </c>
      <c r="EG145" s="10" cm="1">
        <f t="array" aca="1" ref="EG145" ca="1">(1-$B$18)*SUMPRODUCT(OFFSET($BO$15,0,0,$B$14,1), 1*(_xlfn._xlws.FILTER(OFFSET($O$15,0,$DN145,$B$8,1),OFFSET($M$15,0,0,$B$8,1))=EG$13), 1*(_xlfn._xlws.FILTER(OFFSET($O$15,0,$DO145,$B$8,1),OFFSET($M$15,0,0,$B$8,1))=EG$14))   /   SUM(OFFSET($BO$15,0,0,$B$14,1)) + $B$18/($B$19*$B$19*($DN145&lt;&gt;$DO145) + $B$19*($DN145=$DO145))</f>
        <v>3.7037037037037035E-4</v>
      </c>
      <c r="EH145" s="10" cm="1">
        <f t="array" aca="1" ref="EH145" ca="1">(1-$B$18)*SUMPRODUCT(OFFSET($BO$15,0,0,$B$14,1), 1*(_xlfn._xlws.FILTER(OFFSET($O$15,0,$DN145,$B$8,1),OFFSET($M$15,0,0,$B$8,1))=EH$13), 1*(_xlfn._xlws.FILTER(OFFSET($O$15,0,$DO145,$B$8,1),OFFSET($M$15,0,0,$B$8,1))=EH$14))   /   SUM(OFFSET($BO$15,0,0,$B$14,1)) + $B$18/($B$19*$B$19*($DN145&lt;&gt;$DO145) + $B$19*($DN145=$DO145))</f>
        <v>3.7037037037037035E-4</v>
      </c>
      <c r="EI145" s="10" cm="1">
        <f t="array" aca="1" ref="EI145" ca="1">(1-$B$18)*SUMPRODUCT(OFFSET($BO$15,0,0,$B$14,1), 1*(_xlfn._xlws.FILTER(OFFSET($O$15,0,$DN145,$B$8,1),OFFSET($M$15,0,0,$B$8,1))=EI$13), 1*(_xlfn._xlws.FILTER(OFFSET($O$15,0,$DO145,$B$8,1),OFFSET($M$15,0,0,$B$8,1))=EI$14))   /   SUM(OFFSET($BO$15,0,0,$B$14,1)) + $B$18/($B$19*$B$19*($DN145&lt;&gt;$DO145) + $B$19*($DN145=$DO145))</f>
        <v>3.7037037037037035E-4</v>
      </c>
      <c r="EJ145" s="10" cm="1">
        <f t="array" aca="1" ref="EJ145" ca="1">(1-$B$18)*SUMPRODUCT(OFFSET($BO$15,0,0,$B$14,1), 1*(_xlfn._xlws.FILTER(OFFSET($O$15,0,$DN145,$B$8,1),OFFSET($M$15,0,0,$B$8,1))=EJ$13), 1*(_xlfn._xlws.FILTER(OFFSET($O$15,0,$DO145,$B$8,1),OFFSET($M$15,0,0,$B$8,1))=EJ$14))   /   SUM(OFFSET($BO$15,0,0,$B$14,1)) + $B$18/($B$19*$B$19*($DN145&lt;&gt;$DO145) + $B$19*($DN145=$DO145))</f>
        <v>3.7037037037037035E-4</v>
      </c>
      <c r="EK145" s="10" cm="1">
        <f t="array" aca="1" ref="EK145" ca="1">(1-$B$18)*SUMPRODUCT(OFFSET($BO$15,0,0,$B$14,1), 1*(_xlfn._xlws.FILTER(OFFSET($O$15,0,$DN145,$B$8,1),OFFSET($M$15,0,0,$B$8,1))=EK$13), 1*(_xlfn._xlws.FILTER(OFFSET($O$15,0,$DO145,$B$8,1),OFFSET($M$15,0,0,$B$8,1))=EK$14))   /   SUM(OFFSET($BO$15,0,0,$B$14,1)) + $B$18/($B$19*$B$19*($DN145&lt;&gt;$DO145) + $B$19*($DN145=$DO145))</f>
        <v>3.7037037037037035E-4</v>
      </c>
      <c r="EL145" s="10" cm="1">
        <f t="array" aca="1" ref="EL145" ca="1">(1-$B$18)*SUMPRODUCT(OFFSET($BO$15,0,0,$B$14,1), 1*(_xlfn._xlws.FILTER(OFFSET($O$15,0,$DN145,$B$8,1),OFFSET($M$15,0,0,$B$8,1))=EL$13), 1*(_xlfn._xlws.FILTER(OFFSET($O$15,0,$DO145,$B$8,1),OFFSET($M$15,0,0,$B$8,1))=EL$14))   /   SUM(OFFSET($BO$15,0,0,$B$14,1)) + $B$18/($B$19*$B$19*($DN145&lt;&gt;$DO145) + $B$19*($DN145=$DO145))</f>
        <v>3.7037037037037035E-4</v>
      </c>
      <c r="EM145" s="10" cm="1">
        <f t="array" aca="1" ref="EM145" ca="1">(1-$B$18)*SUMPRODUCT(OFFSET($BO$15,0,0,$B$14,1), 1*(_xlfn._xlws.FILTER(OFFSET($O$15,0,$DN145,$B$8,1),OFFSET($M$15,0,0,$B$8,1))=EM$13), 1*(_xlfn._xlws.FILTER(OFFSET($O$15,0,$DO145,$B$8,1),OFFSET($M$15,0,0,$B$8,1))=EM$14))   /   SUM(OFFSET($BO$15,0,0,$B$14,1)) + $B$18/($B$19*$B$19*($DN145&lt;&gt;$DO145) + $B$19*($DN145=$DO145))</f>
        <v>3.7037037037037035E-4</v>
      </c>
      <c r="EN145" s="10" cm="1">
        <f t="array" aca="1" ref="EN145" ca="1">(1-$B$18)*SUMPRODUCT(OFFSET($BO$15,0,0,$B$14,1), 1*(_xlfn._xlws.FILTER(OFFSET($O$15,0,$DN145,$B$8,1),OFFSET($M$15,0,0,$B$8,1))=EN$13), 1*(_xlfn._xlws.FILTER(OFFSET($O$15,0,$DO145,$B$8,1),OFFSET($M$15,0,0,$B$8,1))=EN$14))   /   SUM(OFFSET($BO$15,0,0,$B$14,1)) + $B$18/($B$19*$B$19*($DN145&lt;&gt;$DO145) + $B$19*($DN145=$DO145))</f>
        <v>3.7037037037037035E-4</v>
      </c>
      <c r="EO145" s="10" cm="1">
        <f t="array" aca="1" ref="EO145" ca="1">(1-$B$18)*SUMPRODUCT(OFFSET($BO$15,0,0,$B$14,1), 1*(_xlfn._xlws.FILTER(OFFSET($O$15,0,$DN145,$B$8,1),OFFSET($M$15,0,0,$B$8,1))=EO$13), 1*(_xlfn._xlws.FILTER(OFFSET($O$15,0,$DO145,$B$8,1),OFFSET($M$15,0,0,$B$8,1))=EO$14))   /   SUM(OFFSET($BO$15,0,0,$B$14,1)) + $B$18/($B$19*$B$19*($DN145&lt;&gt;$DO145) + $B$19*($DN145=$DO145))</f>
        <v>3.7037037037037035E-4</v>
      </c>
      <c r="EP145" s="10" cm="1">
        <f t="array" aca="1" ref="EP145" ca="1">(1-$B$18)*SUMPRODUCT(OFFSET($BO$15,0,0,$B$14,1), 1*(_xlfn._xlws.FILTER(OFFSET($O$15,0,$DN145,$B$8,1),OFFSET($M$15,0,0,$B$8,1))=EP$13), 1*(_xlfn._xlws.FILTER(OFFSET($O$15,0,$DO145,$B$8,1),OFFSET($M$15,0,0,$B$8,1))=EP$14))   /   SUM(OFFSET($BO$15,0,0,$B$14,1)) + $B$18/($B$19*$B$19*($DN145&lt;&gt;$DO145) + $B$19*($DN145=$DO145))</f>
        <v>3.7037037037037035E-4</v>
      </c>
      <c r="EQ145" s="10" cm="1">
        <f t="array" aca="1" ref="EQ145" ca="1">(1-$B$18)*SUMPRODUCT(OFFSET($BO$15,0,0,$B$14,1), 1*(_xlfn._xlws.FILTER(OFFSET($O$15,0,$DN145,$B$8,1),OFFSET($M$15,0,0,$B$8,1))=EQ$13), 1*(_xlfn._xlws.FILTER(OFFSET($O$15,0,$DO145,$B$8,1),OFFSET($M$15,0,0,$B$8,1))=EQ$14))   /   SUM(OFFSET($BO$15,0,0,$B$14,1)) + $B$18/($B$19*$B$19*($DN145&lt;&gt;$DO145) + $B$19*($DN145=$DO145))</f>
        <v>3.7037037037037035E-4</v>
      </c>
      <c r="ER145" s="10" cm="1">
        <f t="array" aca="1" ref="ER145" ca="1">(1-$B$18)*SUMPRODUCT(OFFSET($BO$15,0,0,$B$14,1), 1*(_xlfn._xlws.FILTER(OFFSET($O$15,0,$DN145,$B$8,1),OFFSET($M$15,0,0,$B$8,1))=ER$13), 1*(_xlfn._xlws.FILTER(OFFSET($O$15,0,$DO145,$B$8,1),OFFSET($M$15,0,0,$B$8,1))=ER$14))   /   SUM(OFFSET($BO$15,0,0,$B$14,1)) + $B$18/($B$19*$B$19*($DN145&lt;&gt;$DO145) + $B$19*($DN145=$DO145))</f>
        <v>3.7037037037037035E-4</v>
      </c>
      <c r="ES145" s="10" cm="1">
        <f t="array" aca="1" ref="ES145" ca="1">(1-$B$18)*SUMPRODUCT(OFFSET($BO$15,0,0,$B$14,1), 1*(_xlfn._xlws.FILTER(OFFSET($O$15,0,$DN145,$B$8,1),OFFSET($M$15,0,0,$B$8,1))=ES$13), 1*(_xlfn._xlws.FILTER(OFFSET($O$15,0,$DO145,$B$8,1),OFFSET($M$15,0,0,$B$8,1))=ES$14))   /   SUM(OFFSET($BO$15,0,0,$B$14,1)) + $B$18/($B$19*$B$19*($DN145&lt;&gt;$DO145) + $B$19*($DN145=$DO145))</f>
        <v>3.7037037037037035E-4</v>
      </c>
      <c r="ET145" s="10" cm="1">
        <f t="array" aca="1" ref="ET145" ca="1">(1-$B$18)*SUMPRODUCT(OFFSET($BO$15,0,0,$B$14,1), 1*(_xlfn._xlws.FILTER(OFFSET($O$15,0,$DN145,$B$8,1),OFFSET($M$15,0,0,$B$8,1))=ET$13), 1*(_xlfn._xlws.FILTER(OFFSET($O$15,0,$DO145,$B$8,1),OFFSET($M$15,0,0,$B$8,1))=ET$14))   /   SUM(OFFSET($BO$15,0,0,$B$14,1)) + $B$18/($B$19*$B$19*($DN145&lt;&gt;$DO145) + $B$19*($DN145=$DO145))</f>
        <v>3.7037037037037035E-4</v>
      </c>
      <c r="EU145" s="10" cm="1">
        <f t="array" aca="1" ref="EU145" ca="1">(1-$B$18)*SUMPRODUCT(OFFSET($BO$15,0,0,$B$14,1), 1*(_xlfn._xlws.FILTER(OFFSET($O$15,0,$DN145,$B$8,1),OFFSET($M$15,0,0,$B$8,1))=EU$13), 1*(_xlfn._xlws.FILTER(OFFSET($O$15,0,$DO145,$B$8,1),OFFSET($M$15,0,0,$B$8,1))=EU$14))   /   SUM(OFFSET($BO$15,0,0,$B$14,1)) + $B$18/($B$19*$B$19*($DN145&lt;&gt;$DO145) + $B$19*($DN145=$DO145))</f>
        <v>3.7037037037037035E-4</v>
      </c>
      <c r="EV145" s="10" cm="1">
        <f t="array" aca="1" ref="EV145" ca="1">(1-$B$18)*SUMPRODUCT(OFFSET($BO$15,0,0,$B$14,1), 1*(_xlfn._xlws.FILTER(OFFSET($O$15,0,$DN145,$B$8,1),OFFSET($M$15,0,0,$B$8,1))=EV$13), 1*(_xlfn._xlws.FILTER(OFFSET($O$15,0,$DO145,$B$8,1),OFFSET($M$15,0,0,$B$8,1))=EV$14))   /   SUM(OFFSET($BO$15,0,0,$B$14,1)) + $B$18/($B$19*$B$19*($DN145&lt;&gt;$DO145) + $B$19*($DN145=$DO145))</f>
        <v>3.7037037037037035E-4</v>
      </c>
      <c r="EW145" s="10" cm="1">
        <f t="array" aca="1" ref="EW145" ca="1">(1-$B$18)*SUMPRODUCT(OFFSET($BO$15,0,0,$B$14,1), 1*(_xlfn._xlws.FILTER(OFFSET($O$15,0,$DN145,$B$8,1),OFFSET($M$15,0,0,$B$8,1))=EW$13), 1*(_xlfn._xlws.FILTER(OFFSET($O$15,0,$DO145,$B$8,1),OFFSET($M$15,0,0,$B$8,1))=EW$14))   /   SUM(OFFSET($BO$15,0,0,$B$14,1)) + $B$18/($B$19*$B$19*($DN145&lt;&gt;$DO145) + $B$19*($DN145=$DO145))</f>
        <v>3.7037037037037035E-4</v>
      </c>
      <c r="EX145" s="10" cm="1">
        <f t="array" aca="1" ref="EX145" ca="1">(1-$B$18)*SUMPRODUCT(OFFSET($BO$15,0,0,$B$14,1), 1*(_xlfn._xlws.FILTER(OFFSET($O$15,0,$DN145,$B$8,1),OFFSET($M$15,0,0,$B$8,1))=EX$13), 1*(_xlfn._xlws.FILTER(OFFSET($O$15,0,$DO145,$B$8,1),OFFSET($M$15,0,0,$B$8,1))=EX$14))   /   SUM(OFFSET($BO$15,0,0,$B$14,1)) + $B$18/($B$19*$B$19*($DN145&lt;&gt;$DO145) + $B$19*($DN145=$DO145))</f>
        <v>3.7037037037037035E-4</v>
      </c>
      <c r="EY145" s="10" cm="1">
        <f t="array" aca="1" ref="EY145" ca="1">(1-$B$18)*SUMPRODUCT(OFFSET($BO$15,0,0,$B$14,1), 1*(_xlfn._xlws.FILTER(OFFSET($O$15,0,$DN145,$B$8,1),OFFSET($M$15,0,0,$B$8,1))=EY$13), 1*(_xlfn._xlws.FILTER(OFFSET($O$15,0,$DO145,$B$8,1),OFFSET($M$15,0,0,$B$8,1))=EY$14))   /   SUM(OFFSET($BO$15,0,0,$B$14,1)) + $B$18/($B$19*$B$19*($DN145&lt;&gt;$DO145) + $B$19*($DN145=$DO145))</f>
        <v>3.7037037037037035E-4</v>
      </c>
      <c r="EZ145" s="10" cm="1">
        <f t="array" aca="1" ref="EZ145" ca="1">(1-$B$18)*SUMPRODUCT(OFFSET($BO$15,0,0,$B$14,1), 1*(_xlfn._xlws.FILTER(OFFSET($O$15,0,$DN145,$B$8,1),OFFSET($M$15,0,0,$B$8,1))=EZ$13), 1*(_xlfn._xlws.FILTER(OFFSET($O$15,0,$DO145,$B$8,1),OFFSET($M$15,0,0,$B$8,1))=EZ$14))   /   SUM(OFFSET($BO$15,0,0,$B$14,1)) + $B$18/($B$19*$B$19*($DN145&lt;&gt;$DO145) + $B$19*($DN145=$DO145))</f>
        <v>3.7037037037037035E-4</v>
      </c>
      <c r="FA145" s="10" cm="1">
        <f t="array" aca="1" ref="FA145" ca="1">(1-$B$18)*SUMPRODUCT(OFFSET($BO$15,0,0,$B$14,1), 1*(_xlfn._xlws.FILTER(OFFSET($O$15,0,$DN145,$B$8,1),OFFSET($M$15,0,0,$B$8,1))=FA$13), 1*(_xlfn._xlws.FILTER(OFFSET($O$15,0,$DO145,$B$8,1),OFFSET($M$15,0,0,$B$8,1))=FA$14))   /   SUM(OFFSET($BO$15,0,0,$B$14,1)) + $B$18/($B$19*$B$19*($DN145&lt;&gt;$DO145) + $B$19*($DN145=$DO145))</f>
        <v>3.7037037037037035E-4</v>
      </c>
      <c r="FB145" s="10" cm="1">
        <f t="array" aca="1" ref="FB145" ca="1">(1-$B$18)*SUMPRODUCT(OFFSET($BO$15,0,0,$B$14,1), 1*(_xlfn._xlws.FILTER(OFFSET($O$15,0,$DN145,$B$8,1),OFFSET($M$15,0,0,$B$8,1))=FB$13), 1*(_xlfn._xlws.FILTER(OFFSET($O$15,0,$DO145,$B$8,1),OFFSET($M$15,0,0,$B$8,1))=FB$14))   /   SUM(OFFSET($BO$15,0,0,$B$14,1)) + $B$18/($B$19*$B$19*($DN145&lt;&gt;$DO145) + $B$19*($DN145=$DO145))</f>
        <v>3.7037037037037035E-4</v>
      </c>
      <c r="FC145" s="10" cm="1">
        <f t="array" aca="1" ref="FC145" ca="1">(1-$B$18)*SUMPRODUCT(OFFSET($BO$15,0,0,$B$14,1), 1*(_xlfn._xlws.FILTER(OFFSET($O$15,0,$DN145,$B$8,1),OFFSET($M$15,0,0,$B$8,1))=FC$13), 1*(_xlfn._xlws.FILTER(OFFSET($O$15,0,$DO145,$B$8,1),OFFSET($M$15,0,0,$B$8,1))=FC$14))   /   SUM(OFFSET($BO$15,0,0,$B$14,1)) + $B$18/($B$19*$B$19*($DN145&lt;&gt;$DO145) + $B$19*($DN145=$DO145))</f>
        <v>3.7037037037037035E-4</v>
      </c>
      <c r="FD145" s="10" cm="1">
        <f t="array" aca="1" ref="FD145" ca="1">(1-$B$18)*SUMPRODUCT(OFFSET($BO$15,0,0,$B$14,1), 1*(_xlfn._xlws.FILTER(OFFSET($O$15,0,$DN145,$B$8,1),OFFSET($M$15,0,0,$B$8,1))=FD$13), 1*(_xlfn._xlws.FILTER(OFFSET($O$15,0,$DO145,$B$8,1),OFFSET($M$15,0,0,$B$8,1))=FD$14))   /   SUM(OFFSET($BO$15,0,0,$B$14,1)) + $B$18/($B$19*$B$19*($DN145&lt;&gt;$DO145) + $B$19*($DN145=$DO145))</f>
        <v>3.7037037037037035E-4</v>
      </c>
      <c r="FE145" s="10" cm="1">
        <f t="array" aca="1" ref="FE145" ca="1">(1-$B$18)*SUMPRODUCT(OFFSET($BO$15,0,0,$B$14,1), 1*(_xlfn._xlws.FILTER(OFFSET($O$15,0,$DN145,$B$8,1),OFFSET($M$15,0,0,$B$8,1))=FE$13), 1*(_xlfn._xlws.FILTER(OFFSET($O$15,0,$DO145,$B$8,1),OFFSET($M$15,0,0,$B$8,1))=FE$14))   /   SUM(OFFSET($BO$15,0,0,$B$14,1)) + $B$18/($B$19*$B$19*($DN145&lt;&gt;$DO145) + $B$19*($DN145=$DO145))</f>
        <v>3.7037037037037035E-4</v>
      </c>
      <c r="FF145" s="10" cm="1">
        <f t="array" aca="1" ref="FF145" ca="1">(1-$B$18)*SUMPRODUCT(OFFSET($BO$15,0,0,$B$14,1), 1*(_xlfn._xlws.FILTER(OFFSET($O$15,0,$DN145,$B$8,1),OFFSET($M$15,0,0,$B$8,1))=FF$13), 1*(_xlfn._xlws.FILTER(OFFSET($O$15,0,$DO145,$B$8,1),OFFSET($M$15,0,0,$B$8,1))=FF$14))   /   SUM(OFFSET($BO$15,0,0,$B$14,1)) + $B$18/($B$19*$B$19*($DN145&lt;&gt;$DO145) + $B$19*($DN145=$DO145))</f>
        <v>3.7037037037037035E-4</v>
      </c>
      <c r="FG145" s="10" cm="1">
        <f t="array" aca="1" ref="FG145" ca="1">(1-$B$18)*SUMPRODUCT(OFFSET($BO$15,0,0,$B$14,1), 1*(_xlfn._xlws.FILTER(OFFSET($O$15,0,$DN145,$B$8,1),OFFSET($M$15,0,0,$B$8,1))=FG$13), 1*(_xlfn._xlws.FILTER(OFFSET($O$15,0,$DO145,$B$8,1),OFFSET($M$15,0,0,$B$8,1))=FG$14))   /   SUM(OFFSET($BO$15,0,0,$B$14,1)) + $B$18/($B$19*$B$19*($DN145&lt;&gt;$DO145) + $B$19*($DN145=$DO145))</f>
        <v>3.7037037037037035E-4</v>
      </c>
      <c r="FH145" s="10" cm="1">
        <f t="array" aca="1" ref="FH145" ca="1">(1-$B$18)*SUMPRODUCT(OFFSET($BO$15,0,0,$B$14,1), 1*(_xlfn._xlws.FILTER(OFFSET($O$15,0,$DN145,$B$8,1),OFFSET($M$15,0,0,$B$8,1))=FH$13), 1*(_xlfn._xlws.FILTER(OFFSET($O$15,0,$DO145,$B$8,1),OFFSET($M$15,0,0,$B$8,1))=FH$14))   /   SUM(OFFSET($BO$15,0,0,$B$14,1)) + $B$18/($B$19*$B$19*($DN145&lt;&gt;$DO145) + $B$19*($DN145=$DO145))</f>
        <v>3.7037037037037035E-4</v>
      </c>
      <c r="FI145" s="10" cm="1">
        <f t="array" aca="1" ref="FI145" ca="1">(1-$B$18)*SUMPRODUCT(OFFSET($BO$15,0,0,$B$14,1), 1*(_xlfn._xlws.FILTER(OFFSET($O$15,0,$DN145,$B$8,1),OFFSET($M$15,0,0,$B$8,1))=FI$13), 1*(_xlfn._xlws.FILTER(OFFSET($O$15,0,$DO145,$B$8,1),OFFSET($M$15,0,0,$B$8,1))=FI$14))   /   SUM(OFFSET($BO$15,0,0,$B$14,1)) + $B$18/($B$19*$B$19*($DN145&lt;&gt;$DO145) + $B$19*($DN145=$DO145))</f>
        <v>3.7037037037037035E-4</v>
      </c>
      <c r="FJ145" s="10" cm="1">
        <f t="array" aca="1" ref="FJ145" ca="1">(1-$B$18)*SUMPRODUCT(OFFSET($BO$15,0,0,$B$14,1), 1*(_xlfn._xlws.FILTER(OFFSET($O$15,0,$DN145,$B$8,1),OFFSET($M$15,0,0,$B$8,1))=FJ$13), 1*(_xlfn._xlws.FILTER(OFFSET($O$15,0,$DO145,$B$8,1),OFFSET($M$15,0,0,$B$8,1))=FJ$14))   /   SUM(OFFSET($BO$15,0,0,$B$14,1)) + $B$18/($B$19*$B$19*($DN145&lt;&gt;$DO145) + $B$19*($DN145=$DO145))</f>
        <v>3.7037037037037035E-4</v>
      </c>
      <c r="FK145" s="10" cm="1">
        <f t="array" aca="1" ref="FK145" ca="1">(1-$B$18)*SUMPRODUCT(OFFSET($BO$15,0,0,$B$14,1), 1*(_xlfn._xlws.FILTER(OFFSET($O$15,0,$DN145,$B$8,1),OFFSET($M$15,0,0,$B$8,1))=FK$13), 1*(_xlfn._xlws.FILTER(OFFSET($O$15,0,$DO145,$B$8,1),OFFSET($M$15,0,0,$B$8,1))=FK$14))   /   SUM(OFFSET($BO$15,0,0,$B$14,1)) + $B$18/($B$19*$B$19*($DN145&lt;&gt;$DO145) + $B$19*($DN145=$DO145))</f>
        <v>3.7037037037037035E-4</v>
      </c>
      <c r="FL145" s="10" cm="1">
        <f t="array" aca="1" ref="FL145" ca="1">(1-$B$18)*SUMPRODUCT(OFFSET($BO$15,0,0,$B$14,1), 1*(_xlfn._xlws.FILTER(OFFSET($O$15,0,$DN145,$B$8,1),OFFSET($M$15,0,0,$B$8,1))=FL$13), 1*(_xlfn._xlws.FILTER(OFFSET($O$15,0,$DO145,$B$8,1),OFFSET($M$15,0,0,$B$8,1))=FL$14))   /   SUM(OFFSET($BO$15,0,0,$B$14,1)) + $B$18/($B$19*$B$19*($DN145&lt;&gt;$DO145) + $B$19*($DN145=$DO145))</f>
        <v>3.7037037037037035E-4</v>
      </c>
      <c r="FM145" s="10" cm="1">
        <f t="array" aca="1" ref="FM145" ca="1">(1-$B$18)*SUMPRODUCT(OFFSET($BO$15,0,0,$B$14,1), 1*(_xlfn._xlws.FILTER(OFFSET($O$15,0,$DN145,$B$8,1),OFFSET($M$15,0,0,$B$8,1))=FM$13), 1*(_xlfn._xlws.FILTER(OFFSET($O$15,0,$DO145,$B$8,1),OFFSET($M$15,0,0,$B$8,1))=FM$14))   /   SUM(OFFSET($BO$15,0,0,$B$14,1)) + $B$18/($B$19*$B$19*($DN145&lt;&gt;$DO145) + $B$19*($DN145=$DO145))</f>
        <v>3.7037037037037035E-4</v>
      </c>
      <c r="FN145" s="10" cm="1">
        <f t="array" aca="1" ref="FN145" ca="1">(1-$B$18)*SUMPRODUCT(OFFSET($BO$15,0,0,$B$14,1), 1*(_xlfn._xlws.FILTER(OFFSET($O$15,0,$DN145,$B$8,1),OFFSET($M$15,0,0,$B$8,1))=FN$13), 1*(_xlfn._xlws.FILTER(OFFSET($O$15,0,$DO145,$B$8,1),OFFSET($M$15,0,0,$B$8,1))=FN$14))   /   SUM(OFFSET($BO$15,0,0,$B$14,1)) + $B$18/($B$19*$B$19*($DN145&lt;&gt;$DO145) + $B$19*($DN145=$DO145))</f>
        <v>3.7037037037037035E-4</v>
      </c>
      <c r="FO145" s="10" cm="1">
        <f t="array" aca="1" ref="FO145" ca="1">(1-$B$18)*SUMPRODUCT(OFFSET($BO$15,0,0,$B$14,1), 1*(_xlfn._xlws.FILTER(OFFSET($O$15,0,$DN145,$B$8,1),OFFSET($M$15,0,0,$B$8,1))=FO$13), 1*(_xlfn._xlws.FILTER(OFFSET($O$15,0,$DO145,$B$8,1),OFFSET($M$15,0,0,$B$8,1))=FO$14))   /   SUM(OFFSET($BO$15,0,0,$B$14,1)) + $B$18/($B$19*$B$19*($DN145&lt;&gt;$DO145) + $B$19*($DN145=$DO145))</f>
        <v>0.97037037037037033</v>
      </c>
      <c r="FP145" s="10" cm="1">
        <f t="array" aca="1" ref="FP145" ca="1">(1-$B$18)*SUMPRODUCT(OFFSET($BO$15,0,0,$B$14,1), 1*(_xlfn._xlws.FILTER(OFFSET($O$15,0,$DN145,$B$8,1),OFFSET($M$15,0,0,$B$8,1))=FP$13), 1*(_xlfn._xlws.FILTER(OFFSET($O$15,0,$DO145,$B$8,1),OFFSET($M$15,0,0,$B$8,1))=FP$14))   /   SUM(OFFSET($BO$15,0,0,$B$14,1)) + $B$18/($B$19*$B$19*($DN145&lt;&gt;$DO145) + $B$19*($DN145=$DO145))</f>
        <v>3.7037037037037035E-4</v>
      </c>
      <c r="FQ145" s="10" cm="1">
        <f t="array" aca="1" ref="FQ145" ca="1">(1-$B$18)*SUMPRODUCT(OFFSET($BO$15,0,0,$B$14,1), 1*(_xlfn._xlws.FILTER(OFFSET($O$15,0,$DN145,$B$8,1),OFFSET($M$15,0,0,$B$8,1))=FQ$13), 1*(_xlfn._xlws.FILTER(OFFSET($O$15,0,$DO145,$B$8,1),OFFSET($M$15,0,0,$B$8,1))=FQ$14))   /   SUM(OFFSET($BO$15,0,0,$B$14,1)) + $B$18/($B$19*$B$19*($DN145&lt;&gt;$DO145) + $B$19*($DN145=$DO145))</f>
        <v>3.7037037037037035E-4</v>
      </c>
      <c r="FR145" s="10" cm="1">
        <f t="array" aca="1" ref="FR145" ca="1">(1-$B$18)*SUMPRODUCT(OFFSET($BO$15,0,0,$B$14,1), 1*(_xlfn._xlws.FILTER(OFFSET($O$15,0,$DN145,$B$8,1),OFFSET($M$15,0,0,$B$8,1))=FR$13), 1*(_xlfn._xlws.FILTER(OFFSET($O$15,0,$DO145,$B$8,1),OFFSET($M$15,0,0,$B$8,1))=FR$14))   /   SUM(OFFSET($BO$15,0,0,$B$14,1)) + $B$18/($B$19*$B$19*($DN145&lt;&gt;$DO145) + $B$19*($DN145=$DO145))</f>
        <v>3.7037037037037035E-4</v>
      </c>
      <c r="FS145" s="10" cm="1">
        <f t="array" aca="1" ref="FS145" ca="1">(1-$B$18)*SUMPRODUCT(OFFSET($BO$15,0,0,$B$14,1), 1*(_xlfn._xlws.FILTER(OFFSET($O$15,0,$DN145,$B$8,1),OFFSET($M$15,0,0,$B$8,1))=FS$13), 1*(_xlfn._xlws.FILTER(OFFSET($O$15,0,$DO145,$B$8,1),OFFSET($M$15,0,0,$B$8,1))=FS$14))   /   SUM(OFFSET($BO$15,0,0,$B$14,1)) + $B$18/($B$19*$B$19*($DN145&lt;&gt;$DO145) + $B$19*($DN145=$DO145))</f>
        <v>3.7037037037037035E-4</v>
      </c>
      <c r="FT145" s="10" cm="1">
        <f t="array" aca="1" ref="FT145" ca="1">(1-$B$18)*SUMPRODUCT(OFFSET($BO$15,0,0,$B$14,1), 1*(_xlfn._xlws.FILTER(OFFSET($O$15,0,$DN145,$B$8,1),OFFSET($M$15,0,0,$B$8,1))=FT$13), 1*(_xlfn._xlws.FILTER(OFFSET($O$15,0,$DO145,$B$8,1),OFFSET($M$15,0,0,$B$8,1))=FT$14))   /   SUM(OFFSET($BO$15,0,0,$B$14,1)) + $B$18/($B$19*$B$19*($DN145&lt;&gt;$DO145) + $B$19*($DN145=$DO145))</f>
        <v>3.7037037037037035E-4</v>
      </c>
      <c r="FU145" s="10" cm="1">
        <f t="array" aca="1" ref="FU145" ca="1">(1-$B$18)*SUMPRODUCT(OFFSET($BO$15,0,0,$B$14,1), 1*(_xlfn._xlws.FILTER(OFFSET($O$15,0,$DN145,$B$8,1),OFFSET($M$15,0,0,$B$8,1))=FU$13), 1*(_xlfn._xlws.FILTER(OFFSET($O$15,0,$DO145,$B$8,1),OFFSET($M$15,0,0,$B$8,1))=FU$14))   /   SUM(OFFSET($BO$15,0,0,$B$14,1)) + $B$18/($B$19*$B$19*($DN145&lt;&gt;$DO145) + $B$19*($DN145=$DO145))</f>
        <v>3.7037037037037035E-4</v>
      </c>
      <c r="FV145" s="10" cm="1">
        <f t="array" aca="1" ref="FV145" ca="1">(1-$B$18)*SUMPRODUCT(OFFSET($BO$15,0,0,$B$14,1), 1*(_xlfn._xlws.FILTER(OFFSET($O$15,0,$DN145,$B$8,1),OFFSET($M$15,0,0,$B$8,1))=FV$13), 1*(_xlfn._xlws.FILTER(OFFSET($O$15,0,$DO145,$B$8,1),OFFSET($M$15,0,0,$B$8,1))=FV$14))   /   SUM(OFFSET($BO$15,0,0,$B$14,1)) + $B$18/($B$19*$B$19*($DN145&lt;&gt;$DO145) + $B$19*($DN145=$DO145))</f>
        <v>3.7037037037037035E-4</v>
      </c>
      <c r="FW145" s="10" cm="1">
        <f t="array" aca="1" ref="FW145" ca="1">(1-$B$18)*SUMPRODUCT(OFFSET($BO$15,0,0,$B$14,1), 1*(_xlfn._xlws.FILTER(OFFSET($O$15,0,$DN145,$B$8,1),OFFSET($M$15,0,0,$B$8,1))=FW$13), 1*(_xlfn._xlws.FILTER(OFFSET($O$15,0,$DO145,$B$8,1),OFFSET($M$15,0,0,$B$8,1))=FW$14))   /   SUM(OFFSET($BO$15,0,0,$B$14,1)) + $B$18/($B$19*$B$19*($DN145&lt;&gt;$DO145) + $B$19*($DN145=$DO145))</f>
        <v>3.7037037037037035E-4</v>
      </c>
      <c r="FX145" s="10" cm="1">
        <f t="array" aca="1" ref="FX145" ca="1">(1-$B$18)*SUMPRODUCT(OFFSET($BO$15,0,0,$B$14,1), 1*(_xlfn._xlws.FILTER(OFFSET($O$15,0,$DN145,$B$8,1),OFFSET($M$15,0,0,$B$8,1))=FX$13), 1*(_xlfn._xlws.FILTER(OFFSET($O$15,0,$DO145,$B$8,1),OFFSET($M$15,0,0,$B$8,1))=FX$14))   /   SUM(OFFSET($BO$15,0,0,$B$14,1)) + $B$18/($B$19*$B$19*($DN145&lt;&gt;$DO145) + $B$19*($DN145=$DO145))</f>
        <v>3.7037037037037035E-4</v>
      </c>
      <c r="FY145" s="10" cm="1">
        <f t="array" aca="1" ref="FY145" ca="1">(1-$B$18)*SUMPRODUCT(OFFSET($BO$15,0,0,$B$14,1), 1*(_xlfn._xlws.FILTER(OFFSET($O$15,0,$DN145,$B$8,1),OFFSET($M$15,0,0,$B$8,1))=FY$13), 1*(_xlfn._xlws.FILTER(OFFSET($O$15,0,$DO145,$B$8,1),OFFSET($M$15,0,0,$B$8,1))=FY$14))   /   SUM(OFFSET($BO$15,0,0,$B$14,1)) + $B$18/($B$19*$B$19*($DN145&lt;&gt;$DO145) + $B$19*($DN145=$DO145))</f>
        <v>3.7037037037037035E-4</v>
      </c>
      <c r="FZ145" s="10" cm="1">
        <f t="array" aca="1" ref="FZ145" ca="1">(1-$B$18)*SUMPRODUCT(OFFSET($BO$15,0,0,$B$14,1), 1*(_xlfn._xlws.FILTER(OFFSET($O$15,0,$DN145,$B$8,1),OFFSET($M$15,0,0,$B$8,1))=FZ$13), 1*(_xlfn._xlws.FILTER(OFFSET($O$15,0,$DO145,$B$8,1),OFFSET($M$15,0,0,$B$8,1))=FZ$14))   /   SUM(OFFSET($BO$15,0,0,$B$14,1)) + $B$18/($B$19*$B$19*($DN145&lt;&gt;$DO145) + $B$19*($DN145=$DO145))</f>
        <v>3.7037037037037035E-4</v>
      </c>
      <c r="GA145" s="10" cm="1">
        <f t="array" aca="1" ref="GA145" ca="1">(1-$B$18)*SUMPRODUCT(OFFSET($BO$15,0,0,$B$14,1), 1*(_xlfn._xlws.FILTER(OFFSET($O$15,0,$DN145,$B$8,1),OFFSET($M$15,0,0,$B$8,1))=GA$13), 1*(_xlfn._xlws.FILTER(OFFSET($O$15,0,$DO145,$B$8,1),OFFSET($M$15,0,0,$B$8,1))=GA$14))   /   SUM(OFFSET($BO$15,0,0,$B$14,1)) + $B$18/($B$19*$B$19*($DN145&lt;&gt;$DO145) + $B$19*($DN145=$DO145))</f>
        <v>3.7037037037037035E-4</v>
      </c>
    </row>
    <row r="146" spans="118:183" x14ac:dyDescent="0.2">
      <c r="DN146" cm="1">
        <f t="array" aca="1" ref="DN146" ca="1">INDEX(_xlfn.ANCHORARRAY($CP$15), 1 + INT((ROWS($DO$15:$DO146) - 1) / ROWS(_xlfn.ANCHORARRAY($CP$15))))</f>
        <v>6</v>
      </c>
      <c r="DO146" cm="1">
        <f t="array" aca="1" ref="DO146" ca="1">INDEX(_xlfn.ANCHORARRAY($CP$15),1+MOD(ROWS($DO$15:$DO146)-1,ROWS(_xlfn.ANCHORARRAY($CP$15))))</f>
        <v>20</v>
      </c>
      <c r="DP146" s="10" cm="1">
        <f t="array" aca="1" ref="DP146" ca="1">(1-$B$18)*SUMPRODUCT(OFFSET($BO$15,0,0,$B$14,1), 1*(_xlfn._xlws.FILTER(OFFSET($O$15,0,$DN146,$B$8,1),OFFSET($M$15,0,0,$B$8,1))=DP$13), 1*(_xlfn._xlws.FILTER(OFFSET($O$15,0,$DO146,$B$8,1),OFFSET($M$15,0,0,$B$8,1))=DP$14))   /   SUM(OFFSET($BO$15,0,0,$B$14,1)) + $B$18/($B$19*$B$19*($DN146&lt;&gt;$DO146) + $B$19*($DN146=$DO146))</f>
        <v>3.7037037037037035E-4</v>
      </c>
      <c r="DQ146" s="10" cm="1">
        <f t="array" aca="1" ref="DQ146" ca="1">(1-$B$18)*SUMPRODUCT(OFFSET($BO$15,0,0,$B$14,1), 1*(_xlfn._xlws.FILTER(OFFSET($O$15,0,$DN146,$B$8,1),OFFSET($M$15,0,0,$B$8,1))=DQ$13), 1*(_xlfn._xlws.FILTER(OFFSET($O$15,0,$DO146,$B$8,1),OFFSET($M$15,0,0,$B$8,1))=DQ$14))   /   SUM(OFFSET($BO$15,0,0,$B$14,1)) + $B$18/($B$19*$B$19*($DN146&lt;&gt;$DO146) + $B$19*($DN146=$DO146))</f>
        <v>3.7037037037037035E-4</v>
      </c>
      <c r="DR146" s="10" cm="1">
        <f t="array" aca="1" ref="DR146" ca="1">(1-$B$18)*SUMPRODUCT(OFFSET($BO$15,0,0,$B$14,1), 1*(_xlfn._xlws.FILTER(OFFSET($O$15,0,$DN146,$B$8,1),OFFSET($M$15,0,0,$B$8,1))=DR$13), 1*(_xlfn._xlws.FILTER(OFFSET($O$15,0,$DO146,$B$8,1),OFFSET($M$15,0,0,$B$8,1))=DR$14))   /   SUM(OFFSET($BO$15,0,0,$B$14,1)) + $B$18/($B$19*$B$19*($DN146&lt;&gt;$DO146) + $B$19*($DN146=$DO146))</f>
        <v>3.7037037037037035E-4</v>
      </c>
      <c r="DS146" s="10" cm="1">
        <f t="array" aca="1" ref="DS146" ca="1">(1-$B$18)*SUMPRODUCT(OFFSET($BO$15,0,0,$B$14,1), 1*(_xlfn._xlws.FILTER(OFFSET($O$15,0,$DN146,$B$8,1),OFFSET($M$15,0,0,$B$8,1))=DS$13), 1*(_xlfn._xlws.FILTER(OFFSET($O$15,0,$DO146,$B$8,1),OFFSET($M$15,0,0,$B$8,1))=DS$14))   /   SUM(OFFSET($BO$15,0,0,$B$14,1)) + $B$18/($B$19*$B$19*($DN146&lt;&gt;$DO146) + $B$19*($DN146=$DO146))</f>
        <v>3.7037037037037035E-4</v>
      </c>
      <c r="DT146" s="10" cm="1">
        <f t="array" aca="1" ref="DT146" ca="1">(1-$B$18)*SUMPRODUCT(OFFSET($BO$15,0,0,$B$14,1), 1*(_xlfn._xlws.FILTER(OFFSET($O$15,0,$DN146,$B$8,1),OFFSET($M$15,0,0,$B$8,1))=DT$13), 1*(_xlfn._xlws.FILTER(OFFSET($O$15,0,$DO146,$B$8,1),OFFSET($M$15,0,0,$B$8,1))=DT$14))   /   SUM(OFFSET($BO$15,0,0,$B$14,1)) + $B$18/($B$19*$B$19*($DN146&lt;&gt;$DO146) + $B$19*($DN146=$DO146))</f>
        <v>3.7037037037037035E-4</v>
      </c>
      <c r="DU146" s="10" cm="1">
        <f t="array" aca="1" ref="DU146" ca="1">(1-$B$18)*SUMPRODUCT(OFFSET($BO$15,0,0,$B$14,1), 1*(_xlfn._xlws.FILTER(OFFSET($O$15,0,$DN146,$B$8,1),OFFSET($M$15,0,0,$B$8,1))=DU$13), 1*(_xlfn._xlws.FILTER(OFFSET($O$15,0,$DO146,$B$8,1),OFFSET($M$15,0,0,$B$8,1))=DU$14))   /   SUM(OFFSET($BO$15,0,0,$B$14,1)) + $B$18/($B$19*$B$19*($DN146&lt;&gt;$DO146) + $B$19*($DN146=$DO146))</f>
        <v>3.7037037037037035E-4</v>
      </c>
      <c r="DV146" s="10" cm="1">
        <f t="array" aca="1" ref="DV146" ca="1">(1-$B$18)*SUMPRODUCT(OFFSET($BO$15,0,0,$B$14,1), 1*(_xlfn._xlws.FILTER(OFFSET($O$15,0,$DN146,$B$8,1),OFFSET($M$15,0,0,$B$8,1))=DV$13), 1*(_xlfn._xlws.FILTER(OFFSET($O$15,0,$DO146,$B$8,1),OFFSET($M$15,0,0,$B$8,1))=DV$14))   /   SUM(OFFSET($BO$15,0,0,$B$14,1)) + $B$18/($B$19*$B$19*($DN146&lt;&gt;$DO146) + $B$19*($DN146=$DO146))</f>
        <v>3.7037037037037035E-4</v>
      </c>
      <c r="DW146" s="10" cm="1">
        <f t="array" aca="1" ref="DW146" ca="1">(1-$B$18)*SUMPRODUCT(OFFSET($BO$15,0,0,$B$14,1), 1*(_xlfn._xlws.FILTER(OFFSET($O$15,0,$DN146,$B$8,1),OFFSET($M$15,0,0,$B$8,1))=DW$13), 1*(_xlfn._xlws.FILTER(OFFSET($O$15,0,$DO146,$B$8,1),OFFSET($M$15,0,0,$B$8,1))=DW$14))   /   SUM(OFFSET($BO$15,0,0,$B$14,1)) + $B$18/($B$19*$B$19*($DN146&lt;&gt;$DO146) + $B$19*($DN146=$DO146))</f>
        <v>3.7037037037037035E-4</v>
      </c>
      <c r="DX146" s="10" cm="1">
        <f t="array" aca="1" ref="DX146" ca="1">(1-$B$18)*SUMPRODUCT(OFFSET($BO$15,0,0,$B$14,1), 1*(_xlfn._xlws.FILTER(OFFSET($O$15,0,$DN146,$B$8,1),OFFSET($M$15,0,0,$B$8,1))=DX$13), 1*(_xlfn._xlws.FILTER(OFFSET($O$15,0,$DO146,$B$8,1),OFFSET($M$15,0,0,$B$8,1))=DX$14))   /   SUM(OFFSET($BO$15,0,0,$B$14,1)) + $B$18/($B$19*$B$19*($DN146&lt;&gt;$DO146) + $B$19*($DN146=$DO146))</f>
        <v>3.7037037037037035E-4</v>
      </c>
      <c r="DY146" s="10" cm="1">
        <f t="array" aca="1" ref="DY146" ca="1">(1-$B$18)*SUMPRODUCT(OFFSET($BO$15,0,0,$B$14,1), 1*(_xlfn._xlws.FILTER(OFFSET($O$15,0,$DN146,$B$8,1),OFFSET($M$15,0,0,$B$8,1))=DY$13), 1*(_xlfn._xlws.FILTER(OFFSET($O$15,0,$DO146,$B$8,1),OFFSET($M$15,0,0,$B$8,1))=DY$14))   /   SUM(OFFSET($BO$15,0,0,$B$14,1)) + $B$18/($B$19*$B$19*($DN146&lt;&gt;$DO146) + $B$19*($DN146=$DO146))</f>
        <v>3.7037037037037035E-4</v>
      </c>
      <c r="DZ146" s="10" cm="1">
        <f t="array" aca="1" ref="DZ146" ca="1">(1-$B$18)*SUMPRODUCT(OFFSET($BO$15,0,0,$B$14,1), 1*(_xlfn._xlws.FILTER(OFFSET($O$15,0,$DN146,$B$8,1),OFFSET($M$15,0,0,$B$8,1))=DZ$13), 1*(_xlfn._xlws.FILTER(OFFSET($O$15,0,$DO146,$B$8,1),OFFSET($M$15,0,0,$B$8,1))=DZ$14))   /   SUM(OFFSET($BO$15,0,0,$B$14,1)) + $B$18/($B$19*$B$19*($DN146&lt;&gt;$DO146) + $B$19*($DN146=$DO146))</f>
        <v>3.7037037037037035E-4</v>
      </c>
      <c r="EA146" s="10" cm="1">
        <f t="array" aca="1" ref="EA146" ca="1">(1-$B$18)*SUMPRODUCT(OFFSET($BO$15,0,0,$B$14,1), 1*(_xlfn._xlws.FILTER(OFFSET($O$15,0,$DN146,$B$8,1),OFFSET($M$15,0,0,$B$8,1))=EA$13), 1*(_xlfn._xlws.FILTER(OFFSET($O$15,0,$DO146,$B$8,1),OFFSET($M$15,0,0,$B$8,1))=EA$14))   /   SUM(OFFSET($BO$15,0,0,$B$14,1)) + $B$18/($B$19*$B$19*($DN146&lt;&gt;$DO146) + $B$19*($DN146=$DO146))</f>
        <v>3.7037037037037035E-4</v>
      </c>
      <c r="EB146" s="10" cm="1">
        <f t="array" aca="1" ref="EB146" ca="1">(1-$B$18)*SUMPRODUCT(OFFSET($BO$15,0,0,$B$14,1), 1*(_xlfn._xlws.FILTER(OFFSET($O$15,0,$DN146,$B$8,1),OFFSET($M$15,0,0,$B$8,1))=EB$13), 1*(_xlfn._xlws.FILTER(OFFSET($O$15,0,$DO146,$B$8,1),OFFSET($M$15,0,0,$B$8,1))=EB$14))   /   SUM(OFFSET($BO$15,0,0,$B$14,1)) + $B$18/($B$19*$B$19*($DN146&lt;&gt;$DO146) + $B$19*($DN146=$DO146))</f>
        <v>3.7037037037037035E-4</v>
      </c>
      <c r="EC146" s="10" cm="1">
        <f t="array" aca="1" ref="EC146" ca="1">(1-$B$18)*SUMPRODUCT(OFFSET($BO$15,0,0,$B$14,1), 1*(_xlfn._xlws.FILTER(OFFSET($O$15,0,$DN146,$B$8,1),OFFSET($M$15,0,0,$B$8,1))=EC$13), 1*(_xlfn._xlws.FILTER(OFFSET($O$15,0,$DO146,$B$8,1),OFFSET($M$15,0,0,$B$8,1))=EC$14))   /   SUM(OFFSET($BO$15,0,0,$B$14,1)) + $B$18/($B$19*$B$19*($DN146&lt;&gt;$DO146) + $B$19*($DN146=$DO146))</f>
        <v>3.7037037037037035E-4</v>
      </c>
      <c r="ED146" s="10" cm="1">
        <f t="array" aca="1" ref="ED146" ca="1">(1-$B$18)*SUMPRODUCT(OFFSET($BO$15,0,0,$B$14,1), 1*(_xlfn._xlws.FILTER(OFFSET($O$15,0,$DN146,$B$8,1),OFFSET($M$15,0,0,$B$8,1))=ED$13), 1*(_xlfn._xlws.FILTER(OFFSET($O$15,0,$DO146,$B$8,1),OFFSET($M$15,0,0,$B$8,1))=ED$14))   /   SUM(OFFSET($BO$15,0,0,$B$14,1)) + $B$18/($B$19*$B$19*($DN146&lt;&gt;$DO146) + $B$19*($DN146=$DO146))</f>
        <v>3.7037037037037035E-4</v>
      </c>
      <c r="EE146" s="10" cm="1">
        <f t="array" aca="1" ref="EE146" ca="1">(1-$B$18)*SUMPRODUCT(OFFSET($BO$15,0,0,$B$14,1), 1*(_xlfn._xlws.FILTER(OFFSET($O$15,0,$DN146,$B$8,1),OFFSET($M$15,0,0,$B$8,1))=EE$13), 1*(_xlfn._xlws.FILTER(OFFSET($O$15,0,$DO146,$B$8,1),OFFSET($M$15,0,0,$B$8,1))=EE$14))   /   SUM(OFFSET($BO$15,0,0,$B$14,1)) + $B$18/($B$19*$B$19*($DN146&lt;&gt;$DO146) + $B$19*($DN146=$DO146))</f>
        <v>3.7037037037037035E-4</v>
      </c>
      <c r="EF146" s="10" cm="1">
        <f t="array" aca="1" ref="EF146" ca="1">(1-$B$18)*SUMPRODUCT(OFFSET($BO$15,0,0,$B$14,1), 1*(_xlfn._xlws.FILTER(OFFSET($O$15,0,$DN146,$B$8,1),OFFSET($M$15,0,0,$B$8,1))=EF$13), 1*(_xlfn._xlws.FILTER(OFFSET($O$15,0,$DO146,$B$8,1),OFFSET($M$15,0,0,$B$8,1))=EF$14))   /   SUM(OFFSET($BO$15,0,0,$B$14,1)) + $B$18/($B$19*$B$19*($DN146&lt;&gt;$DO146) + $B$19*($DN146=$DO146))</f>
        <v>3.7037037037037035E-4</v>
      </c>
      <c r="EG146" s="10" cm="1">
        <f t="array" aca="1" ref="EG146" ca="1">(1-$B$18)*SUMPRODUCT(OFFSET($BO$15,0,0,$B$14,1), 1*(_xlfn._xlws.FILTER(OFFSET($O$15,0,$DN146,$B$8,1),OFFSET($M$15,0,0,$B$8,1))=EG$13), 1*(_xlfn._xlws.FILTER(OFFSET($O$15,0,$DO146,$B$8,1),OFFSET($M$15,0,0,$B$8,1))=EG$14))   /   SUM(OFFSET($BO$15,0,0,$B$14,1)) + $B$18/($B$19*$B$19*($DN146&lt;&gt;$DO146) + $B$19*($DN146=$DO146))</f>
        <v>3.7037037037037035E-4</v>
      </c>
      <c r="EH146" s="10" cm="1">
        <f t="array" aca="1" ref="EH146" ca="1">(1-$B$18)*SUMPRODUCT(OFFSET($BO$15,0,0,$B$14,1), 1*(_xlfn._xlws.FILTER(OFFSET($O$15,0,$DN146,$B$8,1),OFFSET($M$15,0,0,$B$8,1))=EH$13), 1*(_xlfn._xlws.FILTER(OFFSET($O$15,0,$DO146,$B$8,1),OFFSET($M$15,0,0,$B$8,1))=EH$14))   /   SUM(OFFSET($BO$15,0,0,$B$14,1)) + $B$18/($B$19*$B$19*($DN146&lt;&gt;$DO146) + $B$19*($DN146=$DO146))</f>
        <v>3.7037037037037035E-4</v>
      </c>
      <c r="EI146" s="10" cm="1">
        <f t="array" aca="1" ref="EI146" ca="1">(1-$B$18)*SUMPRODUCT(OFFSET($BO$15,0,0,$B$14,1), 1*(_xlfn._xlws.FILTER(OFFSET($O$15,0,$DN146,$B$8,1),OFFSET($M$15,0,0,$B$8,1))=EI$13), 1*(_xlfn._xlws.FILTER(OFFSET($O$15,0,$DO146,$B$8,1),OFFSET($M$15,0,0,$B$8,1))=EI$14))   /   SUM(OFFSET($BO$15,0,0,$B$14,1)) + $B$18/($B$19*$B$19*($DN146&lt;&gt;$DO146) + $B$19*($DN146=$DO146))</f>
        <v>3.7037037037037035E-4</v>
      </c>
      <c r="EJ146" s="10" cm="1">
        <f t="array" aca="1" ref="EJ146" ca="1">(1-$B$18)*SUMPRODUCT(OFFSET($BO$15,0,0,$B$14,1), 1*(_xlfn._xlws.FILTER(OFFSET($O$15,0,$DN146,$B$8,1),OFFSET($M$15,0,0,$B$8,1))=EJ$13), 1*(_xlfn._xlws.FILTER(OFFSET($O$15,0,$DO146,$B$8,1),OFFSET($M$15,0,0,$B$8,1))=EJ$14))   /   SUM(OFFSET($BO$15,0,0,$B$14,1)) + $B$18/($B$19*$B$19*($DN146&lt;&gt;$DO146) + $B$19*($DN146=$DO146))</f>
        <v>3.7037037037037035E-4</v>
      </c>
      <c r="EK146" s="10" cm="1">
        <f t="array" aca="1" ref="EK146" ca="1">(1-$B$18)*SUMPRODUCT(OFFSET($BO$15,0,0,$B$14,1), 1*(_xlfn._xlws.FILTER(OFFSET($O$15,0,$DN146,$B$8,1),OFFSET($M$15,0,0,$B$8,1))=EK$13), 1*(_xlfn._xlws.FILTER(OFFSET($O$15,0,$DO146,$B$8,1),OFFSET($M$15,0,0,$B$8,1))=EK$14))   /   SUM(OFFSET($BO$15,0,0,$B$14,1)) + $B$18/($B$19*$B$19*($DN146&lt;&gt;$DO146) + $B$19*($DN146=$DO146))</f>
        <v>3.7037037037037035E-4</v>
      </c>
      <c r="EL146" s="10" cm="1">
        <f t="array" aca="1" ref="EL146" ca="1">(1-$B$18)*SUMPRODUCT(OFFSET($BO$15,0,0,$B$14,1), 1*(_xlfn._xlws.FILTER(OFFSET($O$15,0,$DN146,$B$8,1),OFFSET($M$15,0,0,$B$8,1))=EL$13), 1*(_xlfn._xlws.FILTER(OFFSET($O$15,0,$DO146,$B$8,1),OFFSET($M$15,0,0,$B$8,1))=EL$14))   /   SUM(OFFSET($BO$15,0,0,$B$14,1)) + $B$18/($B$19*$B$19*($DN146&lt;&gt;$DO146) + $B$19*($DN146=$DO146))</f>
        <v>3.7037037037037035E-4</v>
      </c>
      <c r="EM146" s="10" cm="1">
        <f t="array" aca="1" ref="EM146" ca="1">(1-$B$18)*SUMPRODUCT(OFFSET($BO$15,0,0,$B$14,1), 1*(_xlfn._xlws.FILTER(OFFSET($O$15,0,$DN146,$B$8,1),OFFSET($M$15,0,0,$B$8,1))=EM$13), 1*(_xlfn._xlws.FILTER(OFFSET($O$15,0,$DO146,$B$8,1),OFFSET($M$15,0,0,$B$8,1))=EM$14))   /   SUM(OFFSET($BO$15,0,0,$B$14,1)) + $B$18/($B$19*$B$19*($DN146&lt;&gt;$DO146) + $B$19*($DN146=$DO146))</f>
        <v>3.7037037037037035E-4</v>
      </c>
      <c r="EN146" s="10" cm="1">
        <f t="array" aca="1" ref="EN146" ca="1">(1-$B$18)*SUMPRODUCT(OFFSET($BO$15,0,0,$B$14,1), 1*(_xlfn._xlws.FILTER(OFFSET($O$15,0,$DN146,$B$8,1),OFFSET($M$15,0,0,$B$8,1))=EN$13), 1*(_xlfn._xlws.FILTER(OFFSET($O$15,0,$DO146,$B$8,1),OFFSET($M$15,0,0,$B$8,1))=EN$14))   /   SUM(OFFSET($BO$15,0,0,$B$14,1)) + $B$18/($B$19*$B$19*($DN146&lt;&gt;$DO146) + $B$19*($DN146=$DO146))</f>
        <v>3.7037037037037035E-4</v>
      </c>
      <c r="EO146" s="10" cm="1">
        <f t="array" aca="1" ref="EO146" ca="1">(1-$B$18)*SUMPRODUCT(OFFSET($BO$15,0,0,$B$14,1), 1*(_xlfn._xlws.FILTER(OFFSET($O$15,0,$DN146,$B$8,1),OFFSET($M$15,0,0,$B$8,1))=EO$13), 1*(_xlfn._xlws.FILTER(OFFSET($O$15,0,$DO146,$B$8,1),OFFSET($M$15,0,0,$B$8,1))=EO$14))   /   SUM(OFFSET($BO$15,0,0,$B$14,1)) + $B$18/($B$19*$B$19*($DN146&lt;&gt;$DO146) + $B$19*($DN146=$DO146))</f>
        <v>3.7037037037037035E-4</v>
      </c>
      <c r="EP146" s="10" cm="1">
        <f t="array" aca="1" ref="EP146" ca="1">(1-$B$18)*SUMPRODUCT(OFFSET($BO$15,0,0,$B$14,1), 1*(_xlfn._xlws.FILTER(OFFSET($O$15,0,$DN146,$B$8,1),OFFSET($M$15,0,0,$B$8,1))=EP$13), 1*(_xlfn._xlws.FILTER(OFFSET($O$15,0,$DO146,$B$8,1),OFFSET($M$15,0,0,$B$8,1))=EP$14))   /   SUM(OFFSET($BO$15,0,0,$B$14,1)) + $B$18/($B$19*$B$19*($DN146&lt;&gt;$DO146) + $B$19*($DN146=$DO146))</f>
        <v>3.7037037037037035E-4</v>
      </c>
      <c r="EQ146" s="10" cm="1">
        <f t="array" aca="1" ref="EQ146" ca="1">(1-$B$18)*SUMPRODUCT(OFFSET($BO$15,0,0,$B$14,1), 1*(_xlfn._xlws.FILTER(OFFSET($O$15,0,$DN146,$B$8,1),OFFSET($M$15,0,0,$B$8,1))=EQ$13), 1*(_xlfn._xlws.FILTER(OFFSET($O$15,0,$DO146,$B$8,1),OFFSET($M$15,0,0,$B$8,1))=EQ$14))   /   SUM(OFFSET($BO$15,0,0,$B$14,1)) + $B$18/($B$19*$B$19*($DN146&lt;&gt;$DO146) + $B$19*($DN146=$DO146))</f>
        <v>3.7037037037037035E-4</v>
      </c>
      <c r="ER146" s="10" cm="1">
        <f t="array" aca="1" ref="ER146" ca="1">(1-$B$18)*SUMPRODUCT(OFFSET($BO$15,0,0,$B$14,1), 1*(_xlfn._xlws.FILTER(OFFSET($O$15,0,$DN146,$B$8,1),OFFSET($M$15,0,0,$B$8,1))=ER$13), 1*(_xlfn._xlws.FILTER(OFFSET($O$15,0,$DO146,$B$8,1),OFFSET($M$15,0,0,$B$8,1))=ER$14))   /   SUM(OFFSET($BO$15,0,0,$B$14,1)) + $B$18/($B$19*$B$19*($DN146&lt;&gt;$DO146) + $B$19*($DN146=$DO146))</f>
        <v>3.7037037037037035E-4</v>
      </c>
      <c r="ES146" s="10" cm="1">
        <f t="array" aca="1" ref="ES146" ca="1">(1-$B$18)*SUMPRODUCT(OFFSET($BO$15,0,0,$B$14,1), 1*(_xlfn._xlws.FILTER(OFFSET($O$15,0,$DN146,$B$8,1),OFFSET($M$15,0,0,$B$8,1))=ES$13), 1*(_xlfn._xlws.FILTER(OFFSET($O$15,0,$DO146,$B$8,1),OFFSET($M$15,0,0,$B$8,1))=ES$14))   /   SUM(OFFSET($BO$15,0,0,$B$14,1)) + $B$18/($B$19*$B$19*($DN146&lt;&gt;$DO146) + $B$19*($DN146=$DO146))</f>
        <v>3.7037037037037035E-4</v>
      </c>
      <c r="ET146" s="10" cm="1">
        <f t="array" aca="1" ref="ET146" ca="1">(1-$B$18)*SUMPRODUCT(OFFSET($BO$15,0,0,$B$14,1), 1*(_xlfn._xlws.FILTER(OFFSET($O$15,0,$DN146,$B$8,1),OFFSET($M$15,0,0,$B$8,1))=ET$13), 1*(_xlfn._xlws.FILTER(OFFSET($O$15,0,$DO146,$B$8,1),OFFSET($M$15,0,0,$B$8,1))=ET$14))   /   SUM(OFFSET($BO$15,0,0,$B$14,1)) + $B$18/($B$19*$B$19*($DN146&lt;&gt;$DO146) + $B$19*($DN146=$DO146))</f>
        <v>3.7037037037037035E-4</v>
      </c>
      <c r="EU146" s="10" cm="1">
        <f t="array" aca="1" ref="EU146" ca="1">(1-$B$18)*SUMPRODUCT(OFFSET($BO$15,0,0,$B$14,1), 1*(_xlfn._xlws.FILTER(OFFSET($O$15,0,$DN146,$B$8,1),OFFSET($M$15,0,0,$B$8,1))=EU$13), 1*(_xlfn._xlws.FILTER(OFFSET($O$15,0,$DO146,$B$8,1),OFFSET($M$15,0,0,$B$8,1))=EU$14))   /   SUM(OFFSET($BO$15,0,0,$B$14,1)) + $B$18/($B$19*$B$19*($DN146&lt;&gt;$DO146) + $B$19*($DN146=$DO146))</f>
        <v>3.7037037037037035E-4</v>
      </c>
      <c r="EV146" s="10" cm="1">
        <f t="array" aca="1" ref="EV146" ca="1">(1-$B$18)*SUMPRODUCT(OFFSET($BO$15,0,0,$B$14,1), 1*(_xlfn._xlws.FILTER(OFFSET($O$15,0,$DN146,$B$8,1),OFFSET($M$15,0,0,$B$8,1))=EV$13), 1*(_xlfn._xlws.FILTER(OFFSET($O$15,0,$DO146,$B$8,1),OFFSET($M$15,0,0,$B$8,1))=EV$14))   /   SUM(OFFSET($BO$15,0,0,$B$14,1)) + $B$18/($B$19*$B$19*($DN146&lt;&gt;$DO146) + $B$19*($DN146=$DO146))</f>
        <v>3.7037037037037035E-4</v>
      </c>
      <c r="EW146" s="10" cm="1">
        <f t="array" aca="1" ref="EW146" ca="1">(1-$B$18)*SUMPRODUCT(OFFSET($BO$15,0,0,$B$14,1), 1*(_xlfn._xlws.FILTER(OFFSET($O$15,0,$DN146,$B$8,1),OFFSET($M$15,0,0,$B$8,1))=EW$13), 1*(_xlfn._xlws.FILTER(OFFSET($O$15,0,$DO146,$B$8,1),OFFSET($M$15,0,0,$B$8,1))=EW$14))   /   SUM(OFFSET($BO$15,0,0,$B$14,1)) + $B$18/($B$19*$B$19*($DN146&lt;&gt;$DO146) + $B$19*($DN146=$DO146))</f>
        <v>3.7037037037037035E-4</v>
      </c>
      <c r="EX146" s="10" cm="1">
        <f t="array" aca="1" ref="EX146" ca="1">(1-$B$18)*SUMPRODUCT(OFFSET($BO$15,0,0,$B$14,1), 1*(_xlfn._xlws.FILTER(OFFSET($O$15,0,$DN146,$B$8,1),OFFSET($M$15,0,0,$B$8,1))=EX$13), 1*(_xlfn._xlws.FILTER(OFFSET($O$15,0,$DO146,$B$8,1),OFFSET($M$15,0,0,$B$8,1))=EX$14))   /   SUM(OFFSET($BO$15,0,0,$B$14,1)) + $B$18/($B$19*$B$19*($DN146&lt;&gt;$DO146) + $B$19*($DN146=$DO146))</f>
        <v>3.7037037037037035E-4</v>
      </c>
      <c r="EY146" s="10" cm="1">
        <f t="array" aca="1" ref="EY146" ca="1">(1-$B$18)*SUMPRODUCT(OFFSET($BO$15,0,0,$B$14,1), 1*(_xlfn._xlws.FILTER(OFFSET($O$15,0,$DN146,$B$8,1),OFFSET($M$15,0,0,$B$8,1))=EY$13), 1*(_xlfn._xlws.FILTER(OFFSET($O$15,0,$DO146,$B$8,1),OFFSET($M$15,0,0,$B$8,1))=EY$14))   /   SUM(OFFSET($BO$15,0,0,$B$14,1)) + $B$18/($B$19*$B$19*($DN146&lt;&gt;$DO146) + $B$19*($DN146=$DO146))</f>
        <v>3.7037037037037035E-4</v>
      </c>
      <c r="EZ146" s="10" cm="1">
        <f t="array" aca="1" ref="EZ146" ca="1">(1-$B$18)*SUMPRODUCT(OFFSET($BO$15,0,0,$B$14,1), 1*(_xlfn._xlws.FILTER(OFFSET($O$15,0,$DN146,$B$8,1),OFFSET($M$15,0,0,$B$8,1))=EZ$13), 1*(_xlfn._xlws.FILTER(OFFSET($O$15,0,$DO146,$B$8,1),OFFSET($M$15,0,0,$B$8,1))=EZ$14))   /   SUM(OFFSET($BO$15,0,0,$B$14,1)) + $B$18/($B$19*$B$19*($DN146&lt;&gt;$DO146) + $B$19*($DN146=$DO146))</f>
        <v>3.7037037037037035E-4</v>
      </c>
      <c r="FA146" s="10" cm="1">
        <f t="array" aca="1" ref="FA146" ca="1">(1-$B$18)*SUMPRODUCT(OFFSET($BO$15,0,0,$B$14,1), 1*(_xlfn._xlws.FILTER(OFFSET($O$15,0,$DN146,$B$8,1),OFFSET($M$15,0,0,$B$8,1))=FA$13), 1*(_xlfn._xlws.FILTER(OFFSET($O$15,0,$DO146,$B$8,1),OFFSET($M$15,0,0,$B$8,1))=FA$14))   /   SUM(OFFSET($BO$15,0,0,$B$14,1)) + $B$18/($B$19*$B$19*($DN146&lt;&gt;$DO146) + $B$19*($DN146=$DO146))</f>
        <v>3.7037037037037035E-4</v>
      </c>
      <c r="FB146" s="10" cm="1">
        <f t="array" aca="1" ref="FB146" ca="1">(1-$B$18)*SUMPRODUCT(OFFSET($BO$15,0,0,$B$14,1), 1*(_xlfn._xlws.FILTER(OFFSET($O$15,0,$DN146,$B$8,1),OFFSET($M$15,0,0,$B$8,1))=FB$13), 1*(_xlfn._xlws.FILTER(OFFSET($O$15,0,$DO146,$B$8,1),OFFSET($M$15,0,0,$B$8,1))=FB$14))   /   SUM(OFFSET($BO$15,0,0,$B$14,1)) + $B$18/($B$19*$B$19*($DN146&lt;&gt;$DO146) + $B$19*($DN146=$DO146))</f>
        <v>3.7037037037037035E-4</v>
      </c>
      <c r="FC146" s="10" cm="1">
        <f t="array" aca="1" ref="FC146" ca="1">(1-$B$18)*SUMPRODUCT(OFFSET($BO$15,0,0,$B$14,1), 1*(_xlfn._xlws.FILTER(OFFSET($O$15,0,$DN146,$B$8,1),OFFSET($M$15,0,0,$B$8,1))=FC$13), 1*(_xlfn._xlws.FILTER(OFFSET($O$15,0,$DO146,$B$8,1),OFFSET($M$15,0,0,$B$8,1))=FC$14))   /   SUM(OFFSET($BO$15,0,0,$B$14,1)) + $B$18/($B$19*$B$19*($DN146&lt;&gt;$DO146) + $B$19*($DN146=$DO146))</f>
        <v>3.7037037037037035E-4</v>
      </c>
      <c r="FD146" s="10" cm="1">
        <f t="array" aca="1" ref="FD146" ca="1">(1-$B$18)*SUMPRODUCT(OFFSET($BO$15,0,0,$B$14,1), 1*(_xlfn._xlws.FILTER(OFFSET($O$15,0,$DN146,$B$8,1),OFFSET($M$15,0,0,$B$8,1))=FD$13), 1*(_xlfn._xlws.FILTER(OFFSET($O$15,0,$DO146,$B$8,1),OFFSET($M$15,0,0,$B$8,1))=FD$14))   /   SUM(OFFSET($BO$15,0,0,$B$14,1)) + $B$18/($B$19*$B$19*($DN146&lt;&gt;$DO146) + $B$19*($DN146=$DO146))</f>
        <v>3.7037037037037035E-4</v>
      </c>
      <c r="FE146" s="10" cm="1">
        <f t="array" aca="1" ref="FE146" ca="1">(1-$B$18)*SUMPRODUCT(OFFSET($BO$15,0,0,$B$14,1), 1*(_xlfn._xlws.FILTER(OFFSET($O$15,0,$DN146,$B$8,1),OFFSET($M$15,0,0,$B$8,1))=FE$13), 1*(_xlfn._xlws.FILTER(OFFSET($O$15,0,$DO146,$B$8,1),OFFSET($M$15,0,0,$B$8,1))=FE$14))   /   SUM(OFFSET($BO$15,0,0,$B$14,1)) + $B$18/($B$19*$B$19*($DN146&lt;&gt;$DO146) + $B$19*($DN146=$DO146))</f>
        <v>3.7037037037037035E-4</v>
      </c>
      <c r="FF146" s="10" cm="1">
        <f t="array" aca="1" ref="FF146" ca="1">(1-$B$18)*SUMPRODUCT(OFFSET($BO$15,0,0,$B$14,1), 1*(_xlfn._xlws.FILTER(OFFSET($O$15,0,$DN146,$B$8,1),OFFSET($M$15,0,0,$B$8,1))=FF$13), 1*(_xlfn._xlws.FILTER(OFFSET($O$15,0,$DO146,$B$8,1),OFFSET($M$15,0,0,$B$8,1))=FF$14))   /   SUM(OFFSET($BO$15,0,0,$B$14,1)) + $B$18/($B$19*$B$19*($DN146&lt;&gt;$DO146) + $B$19*($DN146=$DO146))</f>
        <v>3.7037037037037035E-4</v>
      </c>
      <c r="FG146" s="10" cm="1">
        <f t="array" aca="1" ref="FG146" ca="1">(1-$B$18)*SUMPRODUCT(OFFSET($BO$15,0,0,$B$14,1), 1*(_xlfn._xlws.FILTER(OFFSET($O$15,0,$DN146,$B$8,1),OFFSET($M$15,0,0,$B$8,1))=FG$13), 1*(_xlfn._xlws.FILTER(OFFSET($O$15,0,$DO146,$B$8,1),OFFSET($M$15,0,0,$B$8,1))=FG$14))   /   SUM(OFFSET($BO$15,0,0,$B$14,1)) + $B$18/($B$19*$B$19*($DN146&lt;&gt;$DO146) + $B$19*($DN146=$DO146))</f>
        <v>3.7037037037037035E-4</v>
      </c>
      <c r="FH146" s="10" cm="1">
        <f t="array" aca="1" ref="FH146" ca="1">(1-$B$18)*SUMPRODUCT(OFFSET($BO$15,0,0,$B$14,1), 1*(_xlfn._xlws.FILTER(OFFSET($O$15,0,$DN146,$B$8,1),OFFSET($M$15,0,0,$B$8,1))=FH$13), 1*(_xlfn._xlws.FILTER(OFFSET($O$15,0,$DO146,$B$8,1),OFFSET($M$15,0,0,$B$8,1))=FH$14))   /   SUM(OFFSET($BO$15,0,0,$B$14,1)) + $B$18/($B$19*$B$19*($DN146&lt;&gt;$DO146) + $B$19*($DN146=$DO146))</f>
        <v>3.7037037037037035E-4</v>
      </c>
      <c r="FI146" s="10" cm="1">
        <f t="array" aca="1" ref="FI146" ca="1">(1-$B$18)*SUMPRODUCT(OFFSET($BO$15,0,0,$B$14,1), 1*(_xlfn._xlws.FILTER(OFFSET($O$15,0,$DN146,$B$8,1),OFFSET($M$15,0,0,$B$8,1))=FI$13), 1*(_xlfn._xlws.FILTER(OFFSET($O$15,0,$DO146,$B$8,1),OFFSET($M$15,0,0,$B$8,1))=FI$14))   /   SUM(OFFSET($BO$15,0,0,$B$14,1)) + $B$18/($B$19*$B$19*($DN146&lt;&gt;$DO146) + $B$19*($DN146=$DO146))</f>
        <v>3.7037037037037035E-4</v>
      </c>
      <c r="FJ146" s="10" cm="1">
        <f t="array" aca="1" ref="FJ146" ca="1">(1-$B$18)*SUMPRODUCT(OFFSET($BO$15,0,0,$B$14,1), 1*(_xlfn._xlws.FILTER(OFFSET($O$15,0,$DN146,$B$8,1),OFFSET($M$15,0,0,$B$8,1))=FJ$13), 1*(_xlfn._xlws.FILTER(OFFSET($O$15,0,$DO146,$B$8,1),OFFSET($M$15,0,0,$B$8,1))=FJ$14))   /   SUM(OFFSET($BO$15,0,0,$B$14,1)) + $B$18/($B$19*$B$19*($DN146&lt;&gt;$DO146) + $B$19*($DN146=$DO146))</f>
        <v>3.7037037037037035E-4</v>
      </c>
      <c r="FK146" s="10" cm="1">
        <f t="array" aca="1" ref="FK146" ca="1">(1-$B$18)*SUMPRODUCT(OFFSET($BO$15,0,0,$B$14,1), 1*(_xlfn._xlws.FILTER(OFFSET($O$15,0,$DN146,$B$8,1),OFFSET($M$15,0,0,$B$8,1))=FK$13), 1*(_xlfn._xlws.FILTER(OFFSET($O$15,0,$DO146,$B$8,1),OFFSET($M$15,0,0,$B$8,1))=FK$14))   /   SUM(OFFSET($BO$15,0,0,$B$14,1)) + $B$18/($B$19*$B$19*($DN146&lt;&gt;$DO146) + $B$19*($DN146=$DO146))</f>
        <v>3.7037037037037035E-4</v>
      </c>
      <c r="FL146" s="10" cm="1">
        <f t="array" aca="1" ref="FL146" ca="1">(1-$B$18)*SUMPRODUCT(OFFSET($BO$15,0,0,$B$14,1), 1*(_xlfn._xlws.FILTER(OFFSET($O$15,0,$DN146,$B$8,1),OFFSET($M$15,0,0,$B$8,1))=FL$13), 1*(_xlfn._xlws.FILTER(OFFSET($O$15,0,$DO146,$B$8,1),OFFSET($M$15,0,0,$B$8,1))=FL$14))   /   SUM(OFFSET($BO$15,0,0,$B$14,1)) + $B$18/($B$19*$B$19*($DN146&lt;&gt;$DO146) + $B$19*($DN146=$DO146))</f>
        <v>3.7037037037037035E-4</v>
      </c>
      <c r="FM146" s="10" cm="1">
        <f t="array" aca="1" ref="FM146" ca="1">(1-$B$18)*SUMPRODUCT(OFFSET($BO$15,0,0,$B$14,1), 1*(_xlfn._xlws.FILTER(OFFSET($O$15,0,$DN146,$B$8,1),OFFSET($M$15,0,0,$B$8,1))=FM$13), 1*(_xlfn._xlws.FILTER(OFFSET($O$15,0,$DO146,$B$8,1),OFFSET($M$15,0,0,$B$8,1))=FM$14))   /   SUM(OFFSET($BO$15,0,0,$B$14,1)) + $B$18/($B$19*$B$19*($DN146&lt;&gt;$DO146) + $B$19*($DN146=$DO146))</f>
        <v>3.7037037037037035E-4</v>
      </c>
      <c r="FN146" s="10" cm="1">
        <f t="array" aca="1" ref="FN146" ca="1">(1-$B$18)*SUMPRODUCT(OFFSET($BO$15,0,0,$B$14,1), 1*(_xlfn._xlws.FILTER(OFFSET($O$15,0,$DN146,$B$8,1),OFFSET($M$15,0,0,$B$8,1))=FN$13), 1*(_xlfn._xlws.FILTER(OFFSET($O$15,0,$DO146,$B$8,1),OFFSET($M$15,0,0,$B$8,1))=FN$14))   /   SUM(OFFSET($BO$15,0,0,$B$14,1)) + $B$18/($B$19*$B$19*($DN146&lt;&gt;$DO146) + $B$19*($DN146=$DO146))</f>
        <v>3.7037037037037035E-4</v>
      </c>
      <c r="FO146" s="10" cm="1">
        <f t="array" aca="1" ref="FO146" ca="1">(1-$B$18)*SUMPRODUCT(OFFSET($BO$15,0,0,$B$14,1), 1*(_xlfn._xlws.FILTER(OFFSET($O$15,0,$DN146,$B$8,1),OFFSET($M$15,0,0,$B$8,1))=FO$13), 1*(_xlfn._xlws.FILTER(OFFSET($O$15,0,$DO146,$B$8,1),OFFSET($M$15,0,0,$B$8,1))=FO$14))   /   SUM(OFFSET($BO$15,0,0,$B$14,1)) + $B$18/($B$19*$B$19*($DN146&lt;&gt;$DO146) + $B$19*($DN146=$DO146))</f>
        <v>3.7037037037037035E-4</v>
      </c>
      <c r="FP146" s="10" cm="1">
        <f t="array" aca="1" ref="FP146" ca="1">(1-$B$18)*SUMPRODUCT(OFFSET($BO$15,0,0,$B$14,1), 1*(_xlfn._xlws.FILTER(OFFSET($O$15,0,$DN146,$B$8,1),OFFSET($M$15,0,0,$B$8,1))=FP$13), 1*(_xlfn._xlws.FILTER(OFFSET($O$15,0,$DO146,$B$8,1),OFFSET($M$15,0,0,$B$8,1))=FP$14))   /   SUM(OFFSET($BO$15,0,0,$B$14,1)) + $B$18/($B$19*$B$19*($DN146&lt;&gt;$DO146) + $B$19*($DN146=$DO146))</f>
        <v>0.24287037037037024</v>
      </c>
      <c r="FQ146" s="10" cm="1">
        <f t="array" aca="1" ref="FQ146" ca="1">(1-$B$18)*SUMPRODUCT(OFFSET($BO$15,0,0,$B$14,1), 1*(_xlfn._xlws.FILTER(OFFSET($O$15,0,$DN146,$B$8,1),OFFSET($M$15,0,0,$B$8,1))=FQ$13), 1*(_xlfn._xlws.FILTER(OFFSET($O$15,0,$DO146,$B$8,1),OFFSET($M$15,0,0,$B$8,1))=FQ$14))   /   SUM(OFFSET($BO$15,0,0,$B$14,1)) + $B$18/($B$19*$B$19*($DN146&lt;&gt;$DO146) + $B$19*($DN146=$DO146))</f>
        <v>0.24287037037037026</v>
      </c>
      <c r="FR146" s="10" cm="1">
        <f t="array" aca="1" ref="FR146" ca="1">(1-$B$18)*SUMPRODUCT(OFFSET($BO$15,0,0,$B$14,1), 1*(_xlfn._xlws.FILTER(OFFSET($O$15,0,$DN146,$B$8,1),OFFSET($M$15,0,0,$B$8,1))=FR$13), 1*(_xlfn._xlws.FILTER(OFFSET($O$15,0,$DO146,$B$8,1),OFFSET($M$15,0,0,$B$8,1))=FR$14))   /   SUM(OFFSET($BO$15,0,0,$B$14,1)) + $B$18/($B$19*$B$19*($DN146&lt;&gt;$DO146) + $B$19*($DN146=$DO146))</f>
        <v>0.48537037037037012</v>
      </c>
      <c r="FS146" s="10" cm="1">
        <f t="array" aca="1" ref="FS146" ca="1">(1-$B$18)*SUMPRODUCT(OFFSET($BO$15,0,0,$B$14,1), 1*(_xlfn._xlws.FILTER(OFFSET($O$15,0,$DN146,$B$8,1),OFFSET($M$15,0,0,$B$8,1))=FS$13), 1*(_xlfn._xlws.FILTER(OFFSET($O$15,0,$DO146,$B$8,1),OFFSET($M$15,0,0,$B$8,1))=FS$14))   /   SUM(OFFSET($BO$15,0,0,$B$14,1)) + $B$18/($B$19*$B$19*($DN146&lt;&gt;$DO146) + $B$19*($DN146=$DO146))</f>
        <v>3.7037037037037035E-4</v>
      </c>
      <c r="FT146" s="10" cm="1">
        <f t="array" aca="1" ref="FT146" ca="1">(1-$B$18)*SUMPRODUCT(OFFSET($BO$15,0,0,$B$14,1), 1*(_xlfn._xlws.FILTER(OFFSET($O$15,0,$DN146,$B$8,1),OFFSET($M$15,0,0,$B$8,1))=FT$13), 1*(_xlfn._xlws.FILTER(OFFSET($O$15,0,$DO146,$B$8,1),OFFSET($M$15,0,0,$B$8,1))=FT$14))   /   SUM(OFFSET($BO$15,0,0,$B$14,1)) + $B$18/($B$19*$B$19*($DN146&lt;&gt;$DO146) + $B$19*($DN146=$DO146))</f>
        <v>3.7037037037037035E-4</v>
      </c>
      <c r="FU146" s="10" cm="1">
        <f t="array" aca="1" ref="FU146" ca="1">(1-$B$18)*SUMPRODUCT(OFFSET($BO$15,0,0,$B$14,1), 1*(_xlfn._xlws.FILTER(OFFSET($O$15,0,$DN146,$B$8,1),OFFSET($M$15,0,0,$B$8,1))=FU$13), 1*(_xlfn._xlws.FILTER(OFFSET($O$15,0,$DO146,$B$8,1),OFFSET($M$15,0,0,$B$8,1))=FU$14))   /   SUM(OFFSET($BO$15,0,0,$B$14,1)) + $B$18/($B$19*$B$19*($DN146&lt;&gt;$DO146) + $B$19*($DN146=$DO146))</f>
        <v>3.7037037037037035E-4</v>
      </c>
      <c r="FV146" s="10" cm="1">
        <f t="array" aca="1" ref="FV146" ca="1">(1-$B$18)*SUMPRODUCT(OFFSET($BO$15,0,0,$B$14,1), 1*(_xlfn._xlws.FILTER(OFFSET($O$15,0,$DN146,$B$8,1),OFFSET($M$15,0,0,$B$8,1))=FV$13), 1*(_xlfn._xlws.FILTER(OFFSET($O$15,0,$DO146,$B$8,1),OFFSET($M$15,0,0,$B$8,1))=FV$14))   /   SUM(OFFSET($BO$15,0,0,$B$14,1)) + $B$18/($B$19*$B$19*($DN146&lt;&gt;$DO146) + $B$19*($DN146=$DO146))</f>
        <v>3.7037037037037035E-4</v>
      </c>
      <c r="FW146" s="10" cm="1">
        <f t="array" aca="1" ref="FW146" ca="1">(1-$B$18)*SUMPRODUCT(OFFSET($BO$15,0,0,$B$14,1), 1*(_xlfn._xlws.FILTER(OFFSET($O$15,0,$DN146,$B$8,1),OFFSET($M$15,0,0,$B$8,1))=FW$13), 1*(_xlfn._xlws.FILTER(OFFSET($O$15,0,$DO146,$B$8,1),OFFSET($M$15,0,0,$B$8,1))=FW$14))   /   SUM(OFFSET($BO$15,0,0,$B$14,1)) + $B$18/($B$19*$B$19*($DN146&lt;&gt;$DO146) + $B$19*($DN146=$DO146))</f>
        <v>3.7037037037037035E-4</v>
      </c>
      <c r="FX146" s="10" cm="1">
        <f t="array" aca="1" ref="FX146" ca="1">(1-$B$18)*SUMPRODUCT(OFFSET($BO$15,0,0,$B$14,1), 1*(_xlfn._xlws.FILTER(OFFSET($O$15,0,$DN146,$B$8,1),OFFSET($M$15,0,0,$B$8,1))=FX$13), 1*(_xlfn._xlws.FILTER(OFFSET($O$15,0,$DO146,$B$8,1),OFFSET($M$15,0,0,$B$8,1))=FX$14))   /   SUM(OFFSET($BO$15,0,0,$B$14,1)) + $B$18/($B$19*$B$19*($DN146&lt;&gt;$DO146) + $B$19*($DN146=$DO146))</f>
        <v>3.7037037037037035E-4</v>
      </c>
      <c r="FY146" s="10" cm="1">
        <f t="array" aca="1" ref="FY146" ca="1">(1-$B$18)*SUMPRODUCT(OFFSET($BO$15,0,0,$B$14,1), 1*(_xlfn._xlws.FILTER(OFFSET($O$15,0,$DN146,$B$8,1),OFFSET($M$15,0,0,$B$8,1))=FY$13), 1*(_xlfn._xlws.FILTER(OFFSET($O$15,0,$DO146,$B$8,1),OFFSET($M$15,0,0,$B$8,1))=FY$14))   /   SUM(OFFSET($BO$15,0,0,$B$14,1)) + $B$18/($B$19*$B$19*($DN146&lt;&gt;$DO146) + $B$19*($DN146=$DO146))</f>
        <v>3.7037037037037035E-4</v>
      </c>
      <c r="FZ146" s="10" cm="1">
        <f t="array" aca="1" ref="FZ146" ca="1">(1-$B$18)*SUMPRODUCT(OFFSET($BO$15,0,0,$B$14,1), 1*(_xlfn._xlws.FILTER(OFFSET($O$15,0,$DN146,$B$8,1),OFFSET($M$15,0,0,$B$8,1))=FZ$13), 1*(_xlfn._xlws.FILTER(OFFSET($O$15,0,$DO146,$B$8,1),OFFSET($M$15,0,0,$B$8,1))=FZ$14))   /   SUM(OFFSET($BO$15,0,0,$B$14,1)) + $B$18/($B$19*$B$19*($DN146&lt;&gt;$DO146) + $B$19*($DN146=$DO146))</f>
        <v>3.7037037037037035E-4</v>
      </c>
      <c r="GA146" s="10" cm="1">
        <f t="array" aca="1" ref="GA146" ca="1">(1-$B$18)*SUMPRODUCT(OFFSET($BO$15,0,0,$B$14,1), 1*(_xlfn._xlws.FILTER(OFFSET($O$15,0,$DN146,$B$8,1),OFFSET($M$15,0,0,$B$8,1))=GA$13), 1*(_xlfn._xlws.FILTER(OFFSET($O$15,0,$DO146,$B$8,1),OFFSET($M$15,0,0,$B$8,1))=GA$14))   /   SUM(OFFSET($BO$15,0,0,$B$14,1)) + $B$18/($B$19*$B$19*($DN146&lt;&gt;$DO146) + $B$19*($DN146=$DO146))</f>
        <v>3.7037037037037035E-4</v>
      </c>
    </row>
    <row r="147" spans="118:183" x14ac:dyDescent="0.2">
      <c r="DN147" cm="1">
        <f t="array" aca="1" ref="DN147" ca="1">INDEX(_xlfn.ANCHORARRAY($CP$15), 1 + INT((ROWS($DO$15:$DO147) - 1) / ROWS(_xlfn.ANCHORARRAY($CP$15))))</f>
        <v>6</v>
      </c>
      <c r="DO147" cm="1">
        <f t="array" aca="1" ref="DO147" ca="1">INDEX(_xlfn.ANCHORARRAY($CP$15),1+MOD(ROWS($DO$15:$DO147)-1,ROWS(_xlfn.ANCHORARRAY($CP$15))))</f>
        <v>21</v>
      </c>
      <c r="DP147" s="10" cm="1">
        <f t="array" aca="1" ref="DP147" ca="1">(1-$B$18)*SUMPRODUCT(OFFSET($BO$15,0,0,$B$14,1), 1*(_xlfn._xlws.FILTER(OFFSET($O$15,0,$DN147,$B$8,1),OFFSET($M$15,0,0,$B$8,1))=DP$13), 1*(_xlfn._xlws.FILTER(OFFSET($O$15,0,$DO147,$B$8,1),OFFSET($M$15,0,0,$B$8,1))=DP$14))   /   SUM(OFFSET($BO$15,0,0,$B$14,1)) + $B$18/($B$19*$B$19*($DN147&lt;&gt;$DO147) + $B$19*($DN147=$DO147))</f>
        <v>3.7037037037037035E-4</v>
      </c>
      <c r="DQ147" s="10" cm="1">
        <f t="array" aca="1" ref="DQ147" ca="1">(1-$B$18)*SUMPRODUCT(OFFSET($BO$15,0,0,$B$14,1), 1*(_xlfn._xlws.FILTER(OFFSET($O$15,0,$DN147,$B$8,1),OFFSET($M$15,0,0,$B$8,1))=DQ$13), 1*(_xlfn._xlws.FILTER(OFFSET($O$15,0,$DO147,$B$8,1),OFFSET($M$15,0,0,$B$8,1))=DQ$14))   /   SUM(OFFSET($BO$15,0,0,$B$14,1)) + $B$18/($B$19*$B$19*($DN147&lt;&gt;$DO147) + $B$19*($DN147=$DO147))</f>
        <v>3.7037037037037035E-4</v>
      </c>
      <c r="DR147" s="10" cm="1">
        <f t="array" aca="1" ref="DR147" ca="1">(1-$B$18)*SUMPRODUCT(OFFSET($BO$15,0,0,$B$14,1), 1*(_xlfn._xlws.FILTER(OFFSET($O$15,0,$DN147,$B$8,1),OFFSET($M$15,0,0,$B$8,1))=DR$13), 1*(_xlfn._xlws.FILTER(OFFSET($O$15,0,$DO147,$B$8,1),OFFSET($M$15,0,0,$B$8,1))=DR$14))   /   SUM(OFFSET($BO$15,0,0,$B$14,1)) + $B$18/($B$19*$B$19*($DN147&lt;&gt;$DO147) + $B$19*($DN147=$DO147))</f>
        <v>3.7037037037037035E-4</v>
      </c>
      <c r="DS147" s="10" cm="1">
        <f t="array" aca="1" ref="DS147" ca="1">(1-$B$18)*SUMPRODUCT(OFFSET($BO$15,0,0,$B$14,1), 1*(_xlfn._xlws.FILTER(OFFSET($O$15,0,$DN147,$B$8,1),OFFSET($M$15,0,0,$B$8,1))=DS$13), 1*(_xlfn._xlws.FILTER(OFFSET($O$15,0,$DO147,$B$8,1),OFFSET($M$15,0,0,$B$8,1))=DS$14))   /   SUM(OFFSET($BO$15,0,0,$B$14,1)) + $B$18/($B$19*$B$19*($DN147&lt;&gt;$DO147) + $B$19*($DN147=$DO147))</f>
        <v>3.7037037037037035E-4</v>
      </c>
      <c r="DT147" s="10" cm="1">
        <f t="array" aca="1" ref="DT147" ca="1">(1-$B$18)*SUMPRODUCT(OFFSET($BO$15,0,0,$B$14,1), 1*(_xlfn._xlws.FILTER(OFFSET($O$15,0,$DN147,$B$8,1),OFFSET($M$15,0,0,$B$8,1))=DT$13), 1*(_xlfn._xlws.FILTER(OFFSET($O$15,0,$DO147,$B$8,1),OFFSET($M$15,0,0,$B$8,1))=DT$14))   /   SUM(OFFSET($BO$15,0,0,$B$14,1)) + $B$18/($B$19*$B$19*($DN147&lt;&gt;$DO147) + $B$19*($DN147=$DO147))</f>
        <v>3.7037037037037035E-4</v>
      </c>
      <c r="DU147" s="10" cm="1">
        <f t="array" aca="1" ref="DU147" ca="1">(1-$B$18)*SUMPRODUCT(OFFSET($BO$15,0,0,$B$14,1), 1*(_xlfn._xlws.FILTER(OFFSET($O$15,0,$DN147,$B$8,1),OFFSET($M$15,0,0,$B$8,1))=DU$13), 1*(_xlfn._xlws.FILTER(OFFSET($O$15,0,$DO147,$B$8,1),OFFSET($M$15,0,0,$B$8,1))=DU$14))   /   SUM(OFFSET($BO$15,0,0,$B$14,1)) + $B$18/($B$19*$B$19*($DN147&lt;&gt;$DO147) + $B$19*($DN147=$DO147))</f>
        <v>3.7037037037037035E-4</v>
      </c>
      <c r="DV147" s="10" cm="1">
        <f t="array" aca="1" ref="DV147" ca="1">(1-$B$18)*SUMPRODUCT(OFFSET($BO$15,0,0,$B$14,1), 1*(_xlfn._xlws.FILTER(OFFSET($O$15,0,$DN147,$B$8,1),OFFSET($M$15,0,0,$B$8,1))=DV$13), 1*(_xlfn._xlws.FILTER(OFFSET($O$15,0,$DO147,$B$8,1),OFFSET($M$15,0,0,$B$8,1))=DV$14))   /   SUM(OFFSET($BO$15,0,0,$B$14,1)) + $B$18/($B$19*$B$19*($DN147&lt;&gt;$DO147) + $B$19*($DN147=$DO147))</f>
        <v>3.7037037037037035E-4</v>
      </c>
      <c r="DW147" s="10" cm="1">
        <f t="array" aca="1" ref="DW147" ca="1">(1-$B$18)*SUMPRODUCT(OFFSET($BO$15,0,0,$B$14,1), 1*(_xlfn._xlws.FILTER(OFFSET($O$15,0,$DN147,$B$8,1),OFFSET($M$15,0,0,$B$8,1))=DW$13), 1*(_xlfn._xlws.FILTER(OFFSET($O$15,0,$DO147,$B$8,1),OFFSET($M$15,0,0,$B$8,1))=DW$14))   /   SUM(OFFSET($BO$15,0,0,$B$14,1)) + $B$18/($B$19*$B$19*($DN147&lt;&gt;$DO147) + $B$19*($DN147=$DO147))</f>
        <v>3.7037037037037035E-4</v>
      </c>
      <c r="DX147" s="10" cm="1">
        <f t="array" aca="1" ref="DX147" ca="1">(1-$B$18)*SUMPRODUCT(OFFSET($BO$15,0,0,$B$14,1), 1*(_xlfn._xlws.FILTER(OFFSET($O$15,0,$DN147,$B$8,1),OFFSET($M$15,0,0,$B$8,1))=DX$13), 1*(_xlfn._xlws.FILTER(OFFSET($O$15,0,$DO147,$B$8,1),OFFSET($M$15,0,0,$B$8,1))=DX$14))   /   SUM(OFFSET($BO$15,0,0,$B$14,1)) + $B$18/($B$19*$B$19*($DN147&lt;&gt;$DO147) + $B$19*($DN147=$DO147))</f>
        <v>3.7037037037037035E-4</v>
      </c>
      <c r="DY147" s="10" cm="1">
        <f t="array" aca="1" ref="DY147" ca="1">(1-$B$18)*SUMPRODUCT(OFFSET($BO$15,0,0,$B$14,1), 1*(_xlfn._xlws.FILTER(OFFSET($O$15,0,$DN147,$B$8,1),OFFSET($M$15,0,0,$B$8,1))=DY$13), 1*(_xlfn._xlws.FILTER(OFFSET($O$15,0,$DO147,$B$8,1),OFFSET($M$15,0,0,$B$8,1))=DY$14))   /   SUM(OFFSET($BO$15,0,0,$B$14,1)) + $B$18/($B$19*$B$19*($DN147&lt;&gt;$DO147) + $B$19*($DN147=$DO147))</f>
        <v>3.7037037037037035E-4</v>
      </c>
      <c r="DZ147" s="10" cm="1">
        <f t="array" aca="1" ref="DZ147" ca="1">(1-$B$18)*SUMPRODUCT(OFFSET($BO$15,0,0,$B$14,1), 1*(_xlfn._xlws.FILTER(OFFSET($O$15,0,$DN147,$B$8,1),OFFSET($M$15,0,0,$B$8,1))=DZ$13), 1*(_xlfn._xlws.FILTER(OFFSET($O$15,0,$DO147,$B$8,1),OFFSET($M$15,0,0,$B$8,1))=DZ$14))   /   SUM(OFFSET($BO$15,0,0,$B$14,1)) + $B$18/($B$19*$B$19*($DN147&lt;&gt;$DO147) + $B$19*($DN147=$DO147))</f>
        <v>3.7037037037037035E-4</v>
      </c>
      <c r="EA147" s="10" cm="1">
        <f t="array" aca="1" ref="EA147" ca="1">(1-$B$18)*SUMPRODUCT(OFFSET($BO$15,0,0,$B$14,1), 1*(_xlfn._xlws.FILTER(OFFSET($O$15,0,$DN147,$B$8,1),OFFSET($M$15,0,0,$B$8,1))=EA$13), 1*(_xlfn._xlws.FILTER(OFFSET($O$15,0,$DO147,$B$8,1),OFFSET($M$15,0,0,$B$8,1))=EA$14))   /   SUM(OFFSET($BO$15,0,0,$B$14,1)) + $B$18/($B$19*$B$19*($DN147&lt;&gt;$DO147) + $B$19*($DN147=$DO147))</f>
        <v>3.7037037037037035E-4</v>
      </c>
      <c r="EB147" s="10" cm="1">
        <f t="array" aca="1" ref="EB147" ca="1">(1-$B$18)*SUMPRODUCT(OFFSET($BO$15,0,0,$B$14,1), 1*(_xlfn._xlws.FILTER(OFFSET($O$15,0,$DN147,$B$8,1),OFFSET($M$15,0,0,$B$8,1))=EB$13), 1*(_xlfn._xlws.FILTER(OFFSET($O$15,0,$DO147,$B$8,1),OFFSET($M$15,0,0,$B$8,1))=EB$14))   /   SUM(OFFSET($BO$15,0,0,$B$14,1)) + $B$18/($B$19*$B$19*($DN147&lt;&gt;$DO147) + $B$19*($DN147=$DO147))</f>
        <v>3.7037037037037035E-4</v>
      </c>
      <c r="EC147" s="10" cm="1">
        <f t="array" aca="1" ref="EC147" ca="1">(1-$B$18)*SUMPRODUCT(OFFSET($BO$15,0,0,$B$14,1), 1*(_xlfn._xlws.FILTER(OFFSET($O$15,0,$DN147,$B$8,1),OFFSET($M$15,0,0,$B$8,1))=EC$13), 1*(_xlfn._xlws.FILTER(OFFSET($O$15,0,$DO147,$B$8,1),OFFSET($M$15,0,0,$B$8,1))=EC$14))   /   SUM(OFFSET($BO$15,0,0,$B$14,1)) + $B$18/($B$19*$B$19*($DN147&lt;&gt;$DO147) + $B$19*($DN147=$DO147))</f>
        <v>3.7037037037037035E-4</v>
      </c>
      <c r="ED147" s="10" cm="1">
        <f t="array" aca="1" ref="ED147" ca="1">(1-$B$18)*SUMPRODUCT(OFFSET($BO$15,0,0,$B$14,1), 1*(_xlfn._xlws.FILTER(OFFSET($O$15,0,$DN147,$B$8,1),OFFSET($M$15,0,0,$B$8,1))=ED$13), 1*(_xlfn._xlws.FILTER(OFFSET($O$15,0,$DO147,$B$8,1),OFFSET($M$15,0,0,$B$8,1))=ED$14))   /   SUM(OFFSET($BO$15,0,0,$B$14,1)) + $B$18/($B$19*$B$19*($DN147&lt;&gt;$DO147) + $B$19*($DN147=$DO147))</f>
        <v>3.7037037037037035E-4</v>
      </c>
      <c r="EE147" s="10" cm="1">
        <f t="array" aca="1" ref="EE147" ca="1">(1-$B$18)*SUMPRODUCT(OFFSET($BO$15,0,0,$B$14,1), 1*(_xlfn._xlws.FILTER(OFFSET($O$15,0,$DN147,$B$8,1),OFFSET($M$15,0,0,$B$8,1))=EE$13), 1*(_xlfn._xlws.FILTER(OFFSET($O$15,0,$DO147,$B$8,1),OFFSET($M$15,0,0,$B$8,1))=EE$14))   /   SUM(OFFSET($BO$15,0,0,$B$14,1)) + $B$18/($B$19*$B$19*($DN147&lt;&gt;$DO147) + $B$19*($DN147=$DO147))</f>
        <v>3.7037037037037035E-4</v>
      </c>
      <c r="EF147" s="10" cm="1">
        <f t="array" aca="1" ref="EF147" ca="1">(1-$B$18)*SUMPRODUCT(OFFSET($BO$15,0,0,$B$14,1), 1*(_xlfn._xlws.FILTER(OFFSET($O$15,0,$DN147,$B$8,1),OFFSET($M$15,0,0,$B$8,1))=EF$13), 1*(_xlfn._xlws.FILTER(OFFSET($O$15,0,$DO147,$B$8,1),OFFSET($M$15,0,0,$B$8,1))=EF$14))   /   SUM(OFFSET($BO$15,0,0,$B$14,1)) + $B$18/($B$19*$B$19*($DN147&lt;&gt;$DO147) + $B$19*($DN147=$DO147))</f>
        <v>3.7037037037037035E-4</v>
      </c>
      <c r="EG147" s="10" cm="1">
        <f t="array" aca="1" ref="EG147" ca="1">(1-$B$18)*SUMPRODUCT(OFFSET($BO$15,0,0,$B$14,1), 1*(_xlfn._xlws.FILTER(OFFSET($O$15,0,$DN147,$B$8,1),OFFSET($M$15,0,0,$B$8,1))=EG$13), 1*(_xlfn._xlws.FILTER(OFFSET($O$15,0,$DO147,$B$8,1),OFFSET($M$15,0,0,$B$8,1))=EG$14))   /   SUM(OFFSET($BO$15,0,0,$B$14,1)) + $B$18/($B$19*$B$19*($DN147&lt;&gt;$DO147) + $B$19*($DN147=$DO147))</f>
        <v>3.7037037037037035E-4</v>
      </c>
      <c r="EH147" s="10" cm="1">
        <f t="array" aca="1" ref="EH147" ca="1">(1-$B$18)*SUMPRODUCT(OFFSET($BO$15,0,0,$B$14,1), 1*(_xlfn._xlws.FILTER(OFFSET($O$15,0,$DN147,$B$8,1),OFFSET($M$15,0,0,$B$8,1))=EH$13), 1*(_xlfn._xlws.FILTER(OFFSET($O$15,0,$DO147,$B$8,1),OFFSET($M$15,0,0,$B$8,1))=EH$14))   /   SUM(OFFSET($BO$15,0,0,$B$14,1)) + $B$18/($B$19*$B$19*($DN147&lt;&gt;$DO147) + $B$19*($DN147=$DO147))</f>
        <v>3.7037037037037035E-4</v>
      </c>
      <c r="EI147" s="10" cm="1">
        <f t="array" aca="1" ref="EI147" ca="1">(1-$B$18)*SUMPRODUCT(OFFSET($BO$15,0,0,$B$14,1), 1*(_xlfn._xlws.FILTER(OFFSET($O$15,0,$DN147,$B$8,1),OFFSET($M$15,0,0,$B$8,1))=EI$13), 1*(_xlfn._xlws.FILTER(OFFSET($O$15,0,$DO147,$B$8,1),OFFSET($M$15,0,0,$B$8,1))=EI$14))   /   SUM(OFFSET($BO$15,0,0,$B$14,1)) + $B$18/($B$19*$B$19*($DN147&lt;&gt;$DO147) + $B$19*($DN147=$DO147))</f>
        <v>3.7037037037037035E-4</v>
      </c>
      <c r="EJ147" s="10" cm="1">
        <f t="array" aca="1" ref="EJ147" ca="1">(1-$B$18)*SUMPRODUCT(OFFSET($BO$15,0,0,$B$14,1), 1*(_xlfn._xlws.FILTER(OFFSET($O$15,0,$DN147,$B$8,1),OFFSET($M$15,0,0,$B$8,1))=EJ$13), 1*(_xlfn._xlws.FILTER(OFFSET($O$15,0,$DO147,$B$8,1),OFFSET($M$15,0,0,$B$8,1))=EJ$14))   /   SUM(OFFSET($BO$15,0,0,$B$14,1)) + $B$18/($B$19*$B$19*($DN147&lt;&gt;$DO147) + $B$19*($DN147=$DO147))</f>
        <v>3.7037037037037035E-4</v>
      </c>
      <c r="EK147" s="10" cm="1">
        <f t="array" aca="1" ref="EK147" ca="1">(1-$B$18)*SUMPRODUCT(OFFSET($BO$15,0,0,$B$14,1), 1*(_xlfn._xlws.FILTER(OFFSET($O$15,0,$DN147,$B$8,1),OFFSET($M$15,0,0,$B$8,1))=EK$13), 1*(_xlfn._xlws.FILTER(OFFSET($O$15,0,$DO147,$B$8,1),OFFSET($M$15,0,0,$B$8,1))=EK$14))   /   SUM(OFFSET($BO$15,0,0,$B$14,1)) + $B$18/($B$19*$B$19*($DN147&lt;&gt;$DO147) + $B$19*($DN147=$DO147))</f>
        <v>3.7037037037037035E-4</v>
      </c>
      <c r="EL147" s="10" cm="1">
        <f t="array" aca="1" ref="EL147" ca="1">(1-$B$18)*SUMPRODUCT(OFFSET($BO$15,0,0,$B$14,1), 1*(_xlfn._xlws.FILTER(OFFSET($O$15,0,$DN147,$B$8,1),OFFSET($M$15,0,0,$B$8,1))=EL$13), 1*(_xlfn._xlws.FILTER(OFFSET($O$15,0,$DO147,$B$8,1),OFFSET($M$15,0,0,$B$8,1))=EL$14))   /   SUM(OFFSET($BO$15,0,0,$B$14,1)) + $B$18/($B$19*$B$19*($DN147&lt;&gt;$DO147) + $B$19*($DN147=$DO147))</f>
        <v>3.7037037037037035E-4</v>
      </c>
      <c r="EM147" s="10" cm="1">
        <f t="array" aca="1" ref="EM147" ca="1">(1-$B$18)*SUMPRODUCT(OFFSET($BO$15,0,0,$B$14,1), 1*(_xlfn._xlws.FILTER(OFFSET($O$15,0,$DN147,$B$8,1),OFFSET($M$15,0,0,$B$8,1))=EM$13), 1*(_xlfn._xlws.FILTER(OFFSET($O$15,0,$DO147,$B$8,1),OFFSET($M$15,0,0,$B$8,1))=EM$14))   /   SUM(OFFSET($BO$15,0,0,$B$14,1)) + $B$18/($B$19*$B$19*($DN147&lt;&gt;$DO147) + $B$19*($DN147=$DO147))</f>
        <v>3.7037037037037035E-4</v>
      </c>
      <c r="EN147" s="10" cm="1">
        <f t="array" aca="1" ref="EN147" ca="1">(1-$B$18)*SUMPRODUCT(OFFSET($BO$15,0,0,$B$14,1), 1*(_xlfn._xlws.FILTER(OFFSET($O$15,0,$DN147,$B$8,1),OFFSET($M$15,0,0,$B$8,1))=EN$13), 1*(_xlfn._xlws.FILTER(OFFSET($O$15,0,$DO147,$B$8,1),OFFSET($M$15,0,0,$B$8,1))=EN$14))   /   SUM(OFFSET($BO$15,0,0,$B$14,1)) + $B$18/($B$19*$B$19*($DN147&lt;&gt;$DO147) + $B$19*($DN147=$DO147))</f>
        <v>3.7037037037037035E-4</v>
      </c>
      <c r="EO147" s="10" cm="1">
        <f t="array" aca="1" ref="EO147" ca="1">(1-$B$18)*SUMPRODUCT(OFFSET($BO$15,0,0,$B$14,1), 1*(_xlfn._xlws.FILTER(OFFSET($O$15,0,$DN147,$B$8,1),OFFSET($M$15,0,0,$B$8,1))=EO$13), 1*(_xlfn._xlws.FILTER(OFFSET($O$15,0,$DO147,$B$8,1),OFFSET($M$15,0,0,$B$8,1))=EO$14))   /   SUM(OFFSET($BO$15,0,0,$B$14,1)) + $B$18/($B$19*$B$19*($DN147&lt;&gt;$DO147) + $B$19*($DN147=$DO147))</f>
        <v>3.7037037037037035E-4</v>
      </c>
      <c r="EP147" s="10" cm="1">
        <f t="array" aca="1" ref="EP147" ca="1">(1-$B$18)*SUMPRODUCT(OFFSET($BO$15,0,0,$B$14,1), 1*(_xlfn._xlws.FILTER(OFFSET($O$15,0,$DN147,$B$8,1),OFFSET($M$15,0,0,$B$8,1))=EP$13), 1*(_xlfn._xlws.FILTER(OFFSET($O$15,0,$DO147,$B$8,1),OFFSET($M$15,0,0,$B$8,1))=EP$14))   /   SUM(OFFSET($BO$15,0,0,$B$14,1)) + $B$18/($B$19*$B$19*($DN147&lt;&gt;$DO147) + $B$19*($DN147=$DO147))</f>
        <v>3.7037037037037035E-4</v>
      </c>
      <c r="EQ147" s="10" cm="1">
        <f t="array" aca="1" ref="EQ147" ca="1">(1-$B$18)*SUMPRODUCT(OFFSET($BO$15,0,0,$B$14,1), 1*(_xlfn._xlws.FILTER(OFFSET($O$15,0,$DN147,$B$8,1),OFFSET($M$15,0,0,$B$8,1))=EQ$13), 1*(_xlfn._xlws.FILTER(OFFSET($O$15,0,$DO147,$B$8,1),OFFSET($M$15,0,0,$B$8,1))=EQ$14))   /   SUM(OFFSET($BO$15,0,0,$B$14,1)) + $B$18/($B$19*$B$19*($DN147&lt;&gt;$DO147) + $B$19*($DN147=$DO147))</f>
        <v>3.7037037037037035E-4</v>
      </c>
      <c r="ER147" s="10" cm="1">
        <f t="array" aca="1" ref="ER147" ca="1">(1-$B$18)*SUMPRODUCT(OFFSET($BO$15,0,0,$B$14,1), 1*(_xlfn._xlws.FILTER(OFFSET($O$15,0,$DN147,$B$8,1),OFFSET($M$15,0,0,$B$8,1))=ER$13), 1*(_xlfn._xlws.FILTER(OFFSET($O$15,0,$DO147,$B$8,1),OFFSET($M$15,0,0,$B$8,1))=ER$14))   /   SUM(OFFSET($BO$15,0,0,$B$14,1)) + $B$18/($B$19*$B$19*($DN147&lt;&gt;$DO147) + $B$19*($DN147=$DO147))</f>
        <v>3.7037037037037035E-4</v>
      </c>
      <c r="ES147" s="10" cm="1">
        <f t="array" aca="1" ref="ES147" ca="1">(1-$B$18)*SUMPRODUCT(OFFSET($BO$15,0,0,$B$14,1), 1*(_xlfn._xlws.FILTER(OFFSET($O$15,0,$DN147,$B$8,1),OFFSET($M$15,0,0,$B$8,1))=ES$13), 1*(_xlfn._xlws.FILTER(OFFSET($O$15,0,$DO147,$B$8,1),OFFSET($M$15,0,0,$B$8,1))=ES$14))   /   SUM(OFFSET($BO$15,0,0,$B$14,1)) + $B$18/($B$19*$B$19*($DN147&lt;&gt;$DO147) + $B$19*($DN147=$DO147))</f>
        <v>3.7037037037037035E-4</v>
      </c>
      <c r="ET147" s="10" cm="1">
        <f t="array" aca="1" ref="ET147" ca="1">(1-$B$18)*SUMPRODUCT(OFFSET($BO$15,0,0,$B$14,1), 1*(_xlfn._xlws.FILTER(OFFSET($O$15,0,$DN147,$B$8,1),OFFSET($M$15,0,0,$B$8,1))=ET$13), 1*(_xlfn._xlws.FILTER(OFFSET($O$15,0,$DO147,$B$8,1),OFFSET($M$15,0,0,$B$8,1))=ET$14))   /   SUM(OFFSET($BO$15,0,0,$B$14,1)) + $B$18/($B$19*$B$19*($DN147&lt;&gt;$DO147) + $B$19*($DN147=$DO147))</f>
        <v>3.7037037037037035E-4</v>
      </c>
      <c r="EU147" s="10" cm="1">
        <f t="array" aca="1" ref="EU147" ca="1">(1-$B$18)*SUMPRODUCT(OFFSET($BO$15,0,0,$B$14,1), 1*(_xlfn._xlws.FILTER(OFFSET($O$15,0,$DN147,$B$8,1),OFFSET($M$15,0,0,$B$8,1))=EU$13), 1*(_xlfn._xlws.FILTER(OFFSET($O$15,0,$DO147,$B$8,1),OFFSET($M$15,0,0,$B$8,1))=EU$14))   /   SUM(OFFSET($BO$15,0,0,$B$14,1)) + $B$18/($B$19*$B$19*($DN147&lt;&gt;$DO147) + $B$19*($DN147=$DO147))</f>
        <v>3.7037037037037035E-4</v>
      </c>
      <c r="EV147" s="10" cm="1">
        <f t="array" aca="1" ref="EV147" ca="1">(1-$B$18)*SUMPRODUCT(OFFSET($BO$15,0,0,$B$14,1), 1*(_xlfn._xlws.FILTER(OFFSET($O$15,0,$DN147,$B$8,1),OFFSET($M$15,0,0,$B$8,1))=EV$13), 1*(_xlfn._xlws.FILTER(OFFSET($O$15,0,$DO147,$B$8,1),OFFSET($M$15,0,0,$B$8,1))=EV$14))   /   SUM(OFFSET($BO$15,0,0,$B$14,1)) + $B$18/($B$19*$B$19*($DN147&lt;&gt;$DO147) + $B$19*($DN147=$DO147))</f>
        <v>3.7037037037037035E-4</v>
      </c>
      <c r="EW147" s="10" cm="1">
        <f t="array" aca="1" ref="EW147" ca="1">(1-$B$18)*SUMPRODUCT(OFFSET($BO$15,0,0,$B$14,1), 1*(_xlfn._xlws.FILTER(OFFSET($O$15,0,$DN147,$B$8,1),OFFSET($M$15,0,0,$B$8,1))=EW$13), 1*(_xlfn._xlws.FILTER(OFFSET($O$15,0,$DO147,$B$8,1),OFFSET($M$15,0,0,$B$8,1))=EW$14))   /   SUM(OFFSET($BO$15,0,0,$B$14,1)) + $B$18/($B$19*$B$19*($DN147&lt;&gt;$DO147) + $B$19*($DN147=$DO147))</f>
        <v>3.7037037037037035E-4</v>
      </c>
      <c r="EX147" s="10" cm="1">
        <f t="array" aca="1" ref="EX147" ca="1">(1-$B$18)*SUMPRODUCT(OFFSET($BO$15,0,0,$B$14,1), 1*(_xlfn._xlws.FILTER(OFFSET($O$15,0,$DN147,$B$8,1),OFFSET($M$15,0,0,$B$8,1))=EX$13), 1*(_xlfn._xlws.FILTER(OFFSET($O$15,0,$DO147,$B$8,1),OFFSET($M$15,0,0,$B$8,1))=EX$14))   /   SUM(OFFSET($BO$15,0,0,$B$14,1)) + $B$18/($B$19*$B$19*($DN147&lt;&gt;$DO147) + $B$19*($DN147=$DO147))</f>
        <v>3.7037037037037035E-4</v>
      </c>
      <c r="EY147" s="10" cm="1">
        <f t="array" aca="1" ref="EY147" ca="1">(1-$B$18)*SUMPRODUCT(OFFSET($BO$15,0,0,$B$14,1), 1*(_xlfn._xlws.FILTER(OFFSET($O$15,0,$DN147,$B$8,1),OFFSET($M$15,0,0,$B$8,1))=EY$13), 1*(_xlfn._xlws.FILTER(OFFSET($O$15,0,$DO147,$B$8,1),OFFSET($M$15,0,0,$B$8,1))=EY$14))   /   SUM(OFFSET($BO$15,0,0,$B$14,1)) + $B$18/($B$19*$B$19*($DN147&lt;&gt;$DO147) + $B$19*($DN147=$DO147))</f>
        <v>3.7037037037037035E-4</v>
      </c>
      <c r="EZ147" s="10" cm="1">
        <f t="array" aca="1" ref="EZ147" ca="1">(1-$B$18)*SUMPRODUCT(OFFSET($BO$15,0,0,$B$14,1), 1*(_xlfn._xlws.FILTER(OFFSET($O$15,0,$DN147,$B$8,1),OFFSET($M$15,0,0,$B$8,1))=EZ$13), 1*(_xlfn._xlws.FILTER(OFFSET($O$15,0,$DO147,$B$8,1),OFFSET($M$15,0,0,$B$8,1))=EZ$14))   /   SUM(OFFSET($BO$15,0,0,$B$14,1)) + $B$18/($B$19*$B$19*($DN147&lt;&gt;$DO147) + $B$19*($DN147=$DO147))</f>
        <v>3.7037037037037035E-4</v>
      </c>
      <c r="FA147" s="10" cm="1">
        <f t="array" aca="1" ref="FA147" ca="1">(1-$B$18)*SUMPRODUCT(OFFSET($BO$15,0,0,$B$14,1), 1*(_xlfn._xlws.FILTER(OFFSET($O$15,0,$DN147,$B$8,1),OFFSET($M$15,0,0,$B$8,1))=FA$13), 1*(_xlfn._xlws.FILTER(OFFSET($O$15,0,$DO147,$B$8,1),OFFSET($M$15,0,0,$B$8,1))=FA$14))   /   SUM(OFFSET($BO$15,0,0,$B$14,1)) + $B$18/($B$19*$B$19*($DN147&lt;&gt;$DO147) + $B$19*($DN147=$DO147))</f>
        <v>3.7037037037037035E-4</v>
      </c>
      <c r="FB147" s="10" cm="1">
        <f t="array" aca="1" ref="FB147" ca="1">(1-$B$18)*SUMPRODUCT(OFFSET($BO$15,0,0,$B$14,1), 1*(_xlfn._xlws.FILTER(OFFSET($O$15,0,$DN147,$B$8,1),OFFSET($M$15,0,0,$B$8,1))=FB$13), 1*(_xlfn._xlws.FILTER(OFFSET($O$15,0,$DO147,$B$8,1),OFFSET($M$15,0,0,$B$8,1))=FB$14))   /   SUM(OFFSET($BO$15,0,0,$B$14,1)) + $B$18/($B$19*$B$19*($DN147&lt;&gt;$DO147) + $B$19*($DN147=$DO147))</f>
        <v>3.7037037037037035E-4</v>
      </c>
      <c r="FC147" s="10" cm="1">
        <f t="array" aca="1" ref="FC147" ca="1">(1-$B$18)*SUMPRODUCT(OFFSET($BO$15,0,0,$B$14,1), 1*(_xlfn._xlws.FILTER(OFFSET($O$15,0,$DN147,$B$8,1),OFFSET($M$15,0,0,$B$8,1))=FC$13), 1*(_xlfn._xlws.FILTER(OFFSET($O$15,0,$DO147,$B$8,1),OFFSET($M$15,0,0,$B$8,1))=FC$14))   /   SUM(OFFSET($BO$15,0,0,$B$14,1)) + $B$18/($B$19*$B$19*($DN147&lt;&gt;$DO147) + $B$19*($DN147=$DO147))</f>
        <v>3.7037037037037035E-4</v>
      </c>
      <c r="FD147" s="10" cm="1">
        <f t="array" aca="1" ref="FD147" ca="1">(1-$B$18)*SUMPRODUCT(OFFSET($BO$15,0,0,$B$14,1), 1*(_xlfn._xlws.FILTER(OFFSET($O$15,0,$DN147,$B$8,1),OFFSET($M$15,0,0,$B$8,1))=FD$13), 1*(_xlfn._xlws.FILTER(OFFSET($O$15,0,$DO147,$B$8,1),OFFSET($M$15,0,0,$B$8,1))=FD$14))   /   SUM(OFFSET($BO$15,0,0,$B$14,1)) + $B$18/($B$19*$B$19*($DN147&lt;&gt;$DO147) + $B$19*($DN147=$DO147))</f>
        <v>3.7037037037037035E-4</v>
      </c>
      <c r="FE147" s="10" cm="1">
        <f t="array" aca="1" ref="FE147" ca="1">(1-$B$18)*SUMPRODUCT(OFFSET($BO$15,0,0,$B$14,1), 1*(_xlfn._xlws.FILTER(OFFSET($O$15,0,$DN147,$B$8,1),OFFSET($M$15,0,0,$B$8,1))=FE$13), 1*(_xlfn._xlws.FILTER(OFFSET($O$15,0,$DO147,$B$8,1),OFFSET($M$15,0,0,$B$8,1))=FE$14))   /   SUM(OFFSET($BO$15,0,0,$B$14,1)) + $B$18/($B$19*$B$19*($DN147&lt;&gt;$DO147) + $B$19*($DN147=$DO147))</f>
        <v>3.7037037037037035E-4</v>
      </c>
      <c r="FF147" s="10" cm="1">
        <f t="array" aca="1" ref="FF147" ca="1">(1-$B$18)*SUMPRODUCT(OFFSET($BO$15,0,0,$B$14,1), 1*(_xlfn._xlws.FILTER(OFFSET($O$15,0,$DN147,$B$8,1),OFFSET($M$15,0,0,$B$8,1))=FF$13), 1*(_xlfn._xlws.FILTER(OFFSET($O$15,0,$DO147,$B$8,1),OFFSET($M$15,0,0,$B$8,1))=FF$14))   /   SUM(OFFSET($BO$15,0,0,$B$14,1)) + $B$18/($B$19*$B$19*($DN147&lt;&gt;$DO147) + $B$19*($DN147=$DO147))</f>
        <v>3.7037037037037035E-4</v>
      </c>
      <c r="FG147" s="10" cm="1">
        <f t="array" aca="1" ref="FG147" ca="1">(1-$B$18)*SUMPRODUCT(OFFSET($BO$15,0,0,$B$14,1), 1*(_xlfn._xlws.FILTER(OFFSET($O$15,0,$DN147,$B$8,1),OFFSET($M$15,0,0,$B$8,1))=FG$13), 1*(_xlfn._xlws.FILTER(OFFSET($O$15,0,$DO147,$B$8,1),OFFSET($M$15,0,0,$B$8,1))=FG$14))   /   SUM(OFFSET($BO$15,0,0,$B$14,1)) + $B$18/($B$19*$B$19*($DN147&lt;&gt;$DO147) + $B$19*($DN147=$DO147))</f>
        <v>3.7037037037037035E-4</v>
      </c>
      <c r="FH147" s="10" cm="1">
        <f t="array" aca="1" ref="FH147" ca="1">(1-$B$18)*SUMPRODUCT(OFFSET($BO$15,0,0,$B$14,1), 1*(_xlfn._xlws.FILTER(OFFSET($O$15,0,$DN147,$B$8,1),OFFSET($M$15,0,0,$B$8,1))=FH$13), 1*(_xlfn._xlws.FILTER(OFFSET($O$15,0,$DO147,$B$8,1),OFFSET($M$15,0,0,$B$8,1))=FH$14))   /   SUM(OFFSET($BO$15,0,0,$B$14,1)) + $B$18/($B$19*$B$19*($DN147&lt;&gt;$DO147) + $B$19*($DN147=$DO147))</f>
        <v>3.7037037037037035E-4</v>
      </c>
      <c r="FI147" s="10" cm="1">
        <f t="array" aca="1" ref="FI147" ca="1">(1-$B$18)*SUMPRODUCT(OFFSET($BO$15,0,0,$B$14,1), 1*(_xlfn._xlws.FILTER(OFFSET($O$15,0,$DN147,$B$8,1),OFFSET($M$15,0,0,$B$8,1))=FI$13), 1*(_xlfn._xlws.FILTER(OFFSET($O$15,0,$DO147,$B$8,1),OFFSET($M$15,0,0,$B$8,1))=FI$14))   /   SUM(OFFSET($BO$15,0,0,$B$14,1)) + $B$18/($B$19*$B$19*($DN147&lt;&gt;$DO147) + $B$19*($DN147=$DO147))</f>
        <v>3.7037037037037035E-4</v>
      </c>
      <c r="FJ147" s="10" cm="1">
        <f t="array" aca="1" ref="FJ147" ca="1">(1-$B$18)*SUMPRODUCT(OFFSET($BO$15,0,0,$B$14,1), 1*(_xlfn._xlws.FILTER(OFFSET($O$15,0,$DN147,$B$8,1),OFFSET($M$15,0,0,$B$8,1))=FJ$13), 1*(_xlfn._xlws.FILTER(OFFSET($O$15,0,$DO147,$B$8,1),OFFSET($M$15,0,0,$B$8,1))=FJ$14))   /   SUM(OFFSET($BO$15,0,0,$B$14,1)) + $B$18/($B$19*$B$19*($DN147&lt;&gt;$DO147) + $B$19*($DN147=$DO147))</f>
        <v>3.7037037037037035E-4</v>
      </c>
      <c r="FK147" s="10" cm="1">
        <f t="array" aca="1" ref="FK147" ca="1">(1-$B$18)*SUMPRODUCT(OFFSET($BO$15,0,0,$B$14,1), 1*(_xlfn._xlws.FILTER(OFFSET($O$15,0,$DN147,$B$8,1),OFFSET($M$15,0,0,$B$8,1))=FK$13), 1*(_xlfn._xlws.FILTER(OFFSET($O$15,0,$DO147,$B$8,1),OFFSET($M$15,0,0,$B$8,1))=FK$14))   /   SUM(OFFSET($BO$15,0,0,$B$14,1)) + $B$18/($B$19*$B$19*($DN147&lt;&gt;$DO147) + $B$19*($DN147=$DO147))</f>
        <v>3.7037037037037035E-4</v>
      </c>
      <c r="FL147" s="10" cm="1">
        <f t="array" aca="1" ref="FL147" ca="1">(1-$B$18)*SUMPRODUCT(OFFSET($BO$15,0,0,$B$14,1), 1*(_xlfn._xlws.FILTER(OFFSET($O$15,0,$DN147,$B$8,1),OFFSET($M$15,0,0,$B$8,1))=FL$13), 1*(_xlfn._xlws.FILTER(OFFSET($O$15,0,$DO147,$B$8,1),OFFSET($M$15,0,0,$B$8,1))=FL$14))   /   SUM(OFFSET($BO$15,0,0,$B$14,1)) + $B$18/($B$19*$B$19*($DN147&lt;&gt;$DO147) + $B$19*($DN147=$DO147))</f>
        <v>3.7037037037037035E-4</v>
      </c>
      <c r="FM147" s="10" cm="1">
        <f t="array" aca="1" ref="FM147" ca="1">(1-$B$18)*SUMPRODUCT(OFFSET($BO$15,0,0,$B$14,1), 1*(_xlfn._xlws.FILTER(OFFSET($O$15,0,$DN147,$B$8,1),OFFSET($M$15,0,0,$B$8,1))=FM$13), 1*(_xlfn._xlws.FILTER(OFFSET($O$15,0,$DO147,$B$8,1),OFFSET($M$15,0,0,$B$8,1))=FM$14))   /   SUM(OFFSET($BO$15,0,0,$B$14,1)) + $B$18/($B$19*$B$19*($DN147&lt;&gt;$DO147) + $B$19*($DN147=$DO147))</f>
        <v>3.7037037037037035E-4</v>
      </c>
      <c r="FN147" s="10" cm="1">
        <f t="array" aca="1" ref="FN147" ca="1">(1-$B$18)*SUMPRODUCT(OFFSET($BO$15,0,0,$B$14,1), 1*(_xlfn._xlws.FILTER(OFFSET($O$15,0,$DN147,$B$8,1),OFFSET($M$15,0,0,$B$8,1))=FN$13), 1*(_xlfn._xlws.FILTER(OFFSET($O$15,0,$DO147,$B$8,1),OFFSET($M$15,0,0,$B$8,1))=FN$14))   /   SUM(OFFSET($BO$15,0,0,$B$14,1)) + $B$18/($B$19*$B$19*($DN147&lt;&gt;$DO147) + $B$19*($DN147=$DO147))</f>
        <v>3.7037037037037035E-4</v>
      </c>
      <c r="FO147" s="10" cm="1">
        <f t="array" aca="1" ref="FO147" ca="1">(1-$B$18)*SUMPRODUCT(OFFSET($BO$15,0,0,$B$14,1), 1*(_xlfn._xlws.FILTER(OFFSET($O$15,0,$DN147,$B$8,1),OFFSET($M$15,0,0,$B$8,1))=FO$13), 1*(_xlfn._xlws.FILTER(OFFSET($O$15,0,$DO147,$B$8,1),OFFSET($M$15,0,0,$B$8,1))=FO$14))   /   SUM(OFFSET($BO$15,0,0,$B$14,1)) + $B$18/($B$19*$B$19*($DN147&lt;&gt;$DO147) + $B$19*($DN147=$DO147))</f>
        <v>3.7037037037037035E-4</v>
      </c>
      <c r="FP147" s="10" cm="1">
        <f t="array" aca="1" ref="FP147" ca="1">(1-$B$18)*SUMPRODUCT(OFFSET($BO$15,0,0,$B$14,1), 1*(_xlfn._xlws.FILTER(OFFSET($O$15,0,$DN147,$B$8,1),OFFSET($M$15,0,0,$B$8,1))=FP$13), 1*(_xlfn._xlws.FILTER(OFFSET($O$15,0,$DO147,$B$8,1),OFFSET($M$15,0,0,$B$8,1))=FP$14))   /   SUM(OFFSET($BO$15,0,0,$B$14,1)) + $B$18/($B$19*$B$19*($DN147&lt;&gt;$DO147) + $B$19*($DN147=$DO147))</f>
        <v>0.24287037037037024</v>
      </c>
      <c r="FQ147" s="10" cm="1">
        <f t="array" aca="1" ref="FQ147" ca="1">(1-$B$18)*SUMPRODUCT(OFFSET($BO$15,0,0,$B$14,1), 1*(_xlfn._xlws.FILTER(OFFSET($O$15,0,$DN147,$B$8,1),OFFSET($M$15,0,0,$B$8,1))=FQ$13), 1*(_xlfn._xlws.FILTER(OFFSET($O$15,0,$DO147,$B$8,1),OFFSET($M$15,0,0,$B$8,1))=FQ$14))   /   SUM(OFFSET($BO$15,0,0,$B$14,1)) + $B$18/($B$19*$B$19*($DN147&lt;&gt;$DO147) + $B$19*($DN147=$DO147))</f>
        <v>0.48537037037037012</v>
      </c>
      <c r="FR147" s="10" cm="1">
        <f t="array" aca="1" ref="FR147" ca="1">(1-$B$18)*SUMPRODUCT(OFFSET($BO$15,0,0,$B$14,1), 1*(_xlfn._xlws.FILTER(OFFSET($O$15,0,$DN147,$B$8,1),OFFSET($M$15,0,0,$B$8,1))=FR$13), 1*(_xlfn._xlws.FILTER(OFFSET($O$15,0,$DO147,$B$8,1),OFFSET($M$15,0,0,$B$8,1))=FR$14))   /   SUM(OFFSET($BO$15,0,0,$B$14,1)) + $B$18/($B$19*$B$19*($DN147&lt;&gt;$DO147) + $B$19*($DN147=$DO147))</f>
        <v>0.24287037037037026</v>
      </c>
      <c r="FS147" s="10" cm="1">
        <f t="array" aca="1" ref="FS147" ca="1">(1-$B$18)*SUMPRODUCT(OFFSET($BO$15,0,0,$B$14,1), 1*(_xlfn._xlws.FILTER(OFFSET($O$15,0,$DN147,$B$8,1),OFFSET($M$15,0,0,$B$8,1))=FS$13), 1*(_xlfn._xlws.FILTER(OFFSET($O$15,0,$DO147,$B$8,1),OFFSET($M$15,0,0,$B$8,1))=FS$14))   /   SUM(OFFSET($BO$15,0,0,$B$14,1)) + $B$18/($B$19*$B$19*($DN147&lt;&gt;$DO147) + $B$19*($DN147=$DO147))</f>
        <v>3.7037037037037035E-4</v>
      </c>
      <c r="FT147" s="10" cm="1">
        <f t="array" aca="1" ref="FT147" ca="1">(1-$B$18)*SUMPRODUCT(OFFSET($BO$15,0,0,$B$14,1), 1*(_xlfn._xlws.FILTER(OFFSET($O$15,0,$DN147,$B$8,1),OFFSET($M$15,0,0,$B$8,1))=FT$13), 1*(_xlfn._xlws.FILTER(OFFSET($O$15,0,$DO147,$B$8,1),OFFSET($M$15,0,0,$B$8,1))=FT$14))   /   SUM(OFFSET($BO$15,0,0,$B$14,1)) + $B$18/($B$19*$B$19*($DN147&lt;&gt;$DO147) + $B$19*($DN147=$DO147))</f>
        <v>3.7037037037037035E-4</v>
      </c>
      <c r="FU147" s="10" cm="1">
        <f t="array" aca="1" ref="FU147" ca="1">(1-$B$18)*SUMPRODUCT(OFFSET($BO$15,0,0,$B$14,1), 1*(_xlfn._xlws.FILTER(OFFSET($O$15,0,$DN147,$B$8,1),OFFSET($M$15,0,0,$B$8,1))=FU$13), 1*(_xlfn._xlws.FILTER(OFFSET($O$15,0,$DO147,$B$8,1),OFFSET($M$15,0,0,$B$8,1))=FU$14))   /   SUM(OFFSET($BO$15,0,0,$B$14,1)) + $B$18/($B$19*$B$19*($DN147&lt;&gt;$DO147) + $B$19*($DN147=$DO147))</f>
        <v>3.7037037037037035E-4</v>
      </c>
      <c r="FV147" s="10" cm="1">
        <f t="array" aca="1" ref="FV147" ca="1">(1-$B$18)*SUMPRODUCT(OFFSET($BO$15,0,0,$B$14,1), 1*(_xlfn._xlws.FILTER(OFFSET($O$15,0,$DN147,$B$8,1),OFFSET($M$15,0,0,$B$8,1))=FV$13), 1*(_xlfn._xlws.FILTER(OFFSET($O$15,0,$DO147,$B$8,1),OFFSET($M$15,0,0,$B$8,1))=FV$14))   /   SUM(OFFSET($BO$15,0,0,$B$14,1)) + $B$18/($B$19*$B$19*($DN147&lt;&gt;$DO147) + $B$19*($DN147=$DO147))</f>
        <v>3.7037037037037035E-4</v>
      </c>
      <c r="FW147" s="10" cm="1">
        <f t="array" aca="1" ref="FW147" ca="1">(1-$B$18)*SUMPRODUCT(OFFSET($BO$15,0,0,$B$14,1), 1*(_xlfn._xlws.FILTER(OFFSET($O$15,0,$DN147,$B$8,1),OFFSET($M$15,0,0,$B$8,1))=FW$13), 1*(_xlfn._xlws.FILTER(OFFSET($O$15,0,$DO147,$B$8,1),OFFSET($M$15,0,0,$B$8,1))=FW$14))   /   SUM(OFFSET($BO$15,0,0,$B$14,1)) + $B$18/($B$19*$B$19*($DN147&lt;&gt;$DO147) + $B$19*($DN147=$DO147))</f>
        <v>3.7037037037037035E-4</v>
      </c>
      <c r="FX147" s="10" cm="1">
        <f t="array" aca="1" ref="FX147" ca="1">(1-$B$18)*SUMPRODUCT(OFFSET($BO$15,0,0,$B$14,1), 1*(_xlfn._xlws.FILTER(OFFSET($O$15,0,$DN147,$B$8,1),OFFSET($M$15,0,0,$B$8,1))=FX$13), 1*(_xlfn._xlws.FILTER(OFFSET($O$15,0,$DO147,$B$8,1),OFFSET($M$15,0,0,$B$8,1))=FX$14))   /   SUM(OFFSET($BO$15,0,0,$B$14,1)) + $B$18/($B$19*$B$19*($DN147&lt;&gt;$DO147) + $B$19*($DN147=$DO147))</f>
        <v>3.7037037037037035E-4</v>
      </c>
      <c r="FY147" s="10" cm="1">
        <f t="array" aca="1" ref="FY147" ca="1">(1-$B$18)*SUMPRODUCT(OFFSET($BO$15,0,0,$B$14,1), 1*(_xlfn._xlws.FILTER(OFFSET($O$15,0,$DN147,$B$8,1),OFFSET($M$15,0,0,$B$8,1))=FY$13), 1*(_xlfn._xlws.FILTER(OFFSET($O$15,0,$DO147,$B$8,1),OFFSET($M$15,0,0,$B$8,1))=FY$14))   /   SUM(OFFSET($BO$15,0,0,$B$14,1)) + $B$18/($B$19*$B$19*($DN147&lt;&gt;$DO147) + $B$19*($DN147=$DO147))</f>
        <v>3.7037037037037035E-4</v>
      </c>
      <c r="FZ147" s="10" cm="1">
        <f t="array" aca="1" ref="FZ147" ca="1">(1-$B$18)*SUMPRODUCT(OFFSET($BO$15,0,0,$B$14,1), 1*(_xlfn._xlws.FILTER(OFFSET($O$15,0,$DN147,$B$8,1),OFFSET($M$15,0,0,$B$8,1))=FZ$13), 1*(_xlfn._xlws.FILTER(OFFSET($O$15,0,$DO147,$B$8,1),OFFSET($M$15,0,0,$B$8,1))=FZ$14))   /   SUM(OFFSET($BO$15,0,0,$B$14,1)) + $B$18/($B$19*$B$19*($DN147&lt;&gt;$DO147) + $B$19*($DN147=$DO147))</f>
        <v>3.7037037037037035E-4</v>
      </c>
      <c r="GA147" s="10" cm="1">
        <f t="array" aca="1" ref="GA147" ca="1">(1-$B$18)*SUMPRODUCT(OFFSET($BO$15,0,0,$B$14,1), 1*(_xlfn._xlws.FILTER(OFFSET($O$15,0,$DN147,$B$8,1),OFFSET($M$15,0,0,$B$8,1))=GA$13), 1*(_xlfn._xlws.FILTER(OFFSET($O$15,0,$DO147,$B$8,1),OFFSET($M$15,0,0,$B$8,1))=GA$14))   /   SUM(OFFSET($BO$15,0,0,$B$14,1)) + $B$18/($B$19*$B$19*($DN147&lt;&gt;$DO147) + $B$19*($DN147=$DO147))</f>
        <v>3.7037037037037035E-4</v>
      </c>
    </row>
    <row r="148" spans="118:183" x14ac:dyDescent="0.2">
      <c r="DN148" cm="1">
        <f t="array" aca="1" ref="DN148" ca="1">INDEX(_xlfn.ANCHORARRAY($CP$15), 1 + INT((ROWS($DO$15:$DO148) - 1) / ROWS(_xlfn.ANCHORARRAY($CP$15))))</f>
        <v>7</v>
      </c>
      <c r="DO148" cm="1">
        <f t="array" aca="1" ref="DO148" ca="1">INDEX(_xlfn.ANCHORARRAY($CP$15),1+MOD(ROWS($DO$15:$DO148)-1,ROWS(_xlfn.ANCHORARRAY($CP$15))))</f>
        <v>0</v>
      </c>
      <c r="DP148" s="10" cm="1">
        <f t="array" aca="1" ref="DP148" ca="1">(1-$B$18)*SUMPRODUCT(OFFSET($BO$15,0,0,$B$14,1), 1*(_xlfn._xlws.FILTER(OFFSET($O$15,0,$DN148,$B$8,1),OFFSET($M$15,0,0,$B$8,1))=DP$13), 1*(_xlfn._xlws.FILTER(OFFSET($O$15,0,$DO148,$B$8,1),OFFSET($M$15,0,0,$B$8,1))=DP$14))   /   SUM(OFFSET($BO$15,0,0,$B$14,1)) + $B$18/($B$19*$B$19*($DN148&lt;&gt;$DO148) + $B$19*($DN148=$DO148))</f>
        <v>3.7037037037037035E-4</v>
      </c>
      <c r="DQ148" s="10" cm="1">
        <f t="array" aca="1" ref="DQ148" ca="1">(1-$B$18)*SUMPRODUCT(OFFSET($BO$15,0,0,$B$14,1), 1*(_xlfn._xlws.FILTER(OFFSET($O$15,0,$DN148,$B$8,1),OFFSET($M$15,0,0,$B$8,1))=DQ$13), 1*(_xlfn._xlws.FILTER(OFFSET($O$15,0,$DO148,$B$8,1),OFFSET($M$15,0,0,$B$8,1))=DQ$14))   /   SUM(OFFSET($BO$15,0,0,$B$14,1)) + $B$18/($B$19*$B$19*($DN148&lt;&gt;$DO148) + $B$19*($DN148=$DO148))</f>
        <v>3.7037037037037035E-4</v>
      </c>
      <c r="DR148" s="10" cm="1">
        <f t="array" aca="1" ref="DR148" ca="1">(1-$B$18)*SUMPRODUCT(OFFSET($BO$15,0,0,$B$14,1), 1*(_xlfn._xlws.FILTER(OFFSET($O$15,0,$DN148,$B$8,1),OFFSET($M$15,0,0,$B$8,1))=DR$13), 1*(_xlfn._xlws.FILTER(OFFSET($O$15,0,$DO148,$B$8,1),OFFSET($M$15,0,0,$B$8,1))=DR$14))   /   SUM(OFFSET($BO$15,0,0,$B$14,1)) + $B$18/($B$19*$B$19*($DN148&lt;&gt;$DO148) + $B$19*($DN148=$DO148))</f>
        <v>3.7037037037037035E-4</v>
      </c>
      <c r="DS148" s="10" cm="1">
        <f t="array" aca="1" ref="DS148" ca="1">(1-$B$18)*SUMPRODUCT(OFFSET($BO$15,0,0,$B$14,1), 1*(_xlfn._xlws.FILTER(OFFSET($O$15,0,$DN148,$B$8,1),OFFSET($M$15,0,0,$B$8,1))=DS$13), 1*(_xlfn._xlws.FILTER(OFFSET($O$15,0,$DO148,$B$8,1),OFFSET($M$15,0,0,$B$8,1))=DS$14))   /   SUM(OFFSET($BO$15,0,0,$B$14,1)) + $B$18/($B$19*$B$19*($DN148&lt;&gt;$DO148) + $B$19*($DN148=$DO148))</f>
        <v>3.7037037037037035E-4</v>
      </c>
      <c r="DT148" s="10" cm="1">
        <f t="array" aca="1" ref="DT148" ca="1">(1-$B$18)*SUMPRODUCT(OFFSET($BO$15,0,0,$B$14,1), 1*(_xlfn._xlws.FILTER(OFFSET($O$15,0,$DN148,$B$8,1),OFFSET($M$15,0,0,$B$8,1))=DT$13), 1*(_xlfn._xlws.FILTER(OFFSET($O$15,0,$DO148,$B$8,1),OFFSET($M$15,0,0,$B$8,1))=DT$14))   /   SUM(OFFSET($BO$15,0,0,$B$14,1)) + $B$18/($B$19*$B$19*($DN148&lt;&gt;$DO148) + $B$19*($DN148=$DO148))</f>
        <v>3.7037037037037035E-4</v>
      </c>
      <c r="DU148" s="10" cm="1">
        <f t="array" aca="1" ref="DU148" ca="1">(1-$B$18)*SUMPRODUCT(OFFSET($BO$15,0,0,$B$14,1), 1*(_xlfn._xlws.FILTER(OFFSET($O$15,0,$DN148,$B$8,1),OFFSET($M$15,0,0,$B$8,1))=DU$13), 1*(_xlfn._xlws.FILTER(OFFSET($O$15,0,$DO148,$B$8,1),OFFSET($M$15,0,0,$B$8,1))=DU$14))   /   SUM(OFFSET($BO$15,0,0,$B$14,1)) + $B$18/($B$19*$B$19*($DN148&lt;&gt;$DO148) + $B$19*($DN148=$DO148))</f>
        <v>3.7037037037037035E-4</v>
      </c>
      <c r="DV148" s="10" cm="1">
        <f t="array" aca="1" ref="DV148" ca="1">(1-$B$18)*SUMPRODUCT(OFFSET($BO$15,0,0,$B$14,1), 1*(_xlfn._xlws.FILTER(OFFSET($O$15,0,$DN148,$B$8,1),OFFSET($M$15,0,0,$B$8,1))=DV$13), 1*(_xlfn._xlws.FILTER(OFFSET($O$15,0,$DO148,$B$8,1),OFFSET($M$15,0,0,$B$8,1))=DV$14))   /   SUM(OFFSET($BO$15,0,0,$B$14,1)) + $B$18/($B$19*$B$19*($DN148&lt;&gt;$DO148) + $B$19*($DN148=$DO148))</f>
        <v>3.7037037037037035E-4</v>
      </c>
      <c r="DW148" s="10" cm="1">
        <f t="array" aca="1" ref="DW148" ca="1">(1-$B$18)*SUMPRODUCT(OFFSET($BO$15,0,0,$B$14,1), 1*(_xlfn._xlws.FILTER(OFFSET($O$15,0,$DN148,$B$8,1),OFFSET($M$15,0,0,$B$8,1))=DW$13), 1*(_xlfn._xlws.FILTER(OFFSET($O$15,0,$DO148,$B$8,1),OFFSET($M$15,0,0,$B$8,1))=DW$14))   /   SUM(OFFSET($BO$15,0,0,$B$14,1)) + $B$18/($B$19*$B$19*($DN148&lt;&gt;$DO148) + $B$19*($DN148=$DO148))</f>
        <v>3.7037037037037035E-4</v>
      </c>
      <c r="DX148" s="10" cm="1">
        <f t="array" aca="1" ref="DX148" ca="1">(1-$B$18)*SUMPRODUCT(OFFSET($BO$15,0,0,$B$14,1), 1*(_xlfn._xlws.FILTER(OFFSET($O$15,0,$DN148,$B$8,1),OFFSET($M$15,0,0,$B$8,1))=DX$13), 1*(_xlfn._xlws.FILTER(OFFSET($O$15,0,$DO148,$B$8,1),OFFSET($M$15,0,0,$B$8,1))=DX$14))   /   SUM(OFFSET($BO$15,0,0,$B$14,1)) + $B$18/($B$19*$B$19*($DN148&lt;&gt;$DO148) + $B$19*($DN148=$DO148))</f>
        <v>3.7037037037037035E-4</v>
      </c>
      <c r="DY148" s="10" cm="1">
        <f t="array" aca="1" ref="DY148" ca="1">(1-$B$18)*SUMPRODUCT(OFFSET($BO$15,0,0,$B$14,1), 1*(_xlfn._xlws.FILTER(OFFSET($O$15,0,$DN148,$B$8,1),OFFSET($M$15,0,0,$B$8,1))=DY$13), 1*(_xlfn._xlws.FILTER(OFFSET($O$15,0,$DO148,$B$8,1),OFFSET($M$15,0,0,$B$8,1))=DY$14))   /   SUM(OFFSET($BO$15,0,0,$B$14,1)) + $B$18/($B$19*$B$19*($DN148&lt;&gt;$DO148) + $B$19*($DN148=$DO148))</f>
        <v>3.7037037037037035E-4</v>
      </c>
      <c r="DZ148" s="10" cm="1">
        <f t="array" aca="1" ref="DZ148" ca="1">(1-$B$18)*SUMPRODUCT(OFFSET($BO$15,0,0,$B$14,1), 1*(_xlfn._xlws.FILTER(OFFSET($O$15,0,$DN148,$B$8,1),OFFSET($M$15,0,0,$B$8,1))=DZ$13), 1*(_xlfn._xlws.FILTER(OFFSET($O$15,0,$DO148,$B$8,1),OFFSET($M$15,0,0,$B$8,1))=DZ$14))   /   SUM(OFFSET($BO$15,0,0,$B$14,1)) + $B$18/($B$19*$B$19*($DN148&lt;&gt;$DO148) + $B$19*($DN148=$DO148))</f>
        <v>3.7037037037037035E-4</v>
      </c>
      <c r="EA148" s="10" cm="1">
        <f t="array" aca="1" ref="EA148" ca="1">(1-$B$18)*SUMPRODUCT(OFFSET($BO$15,0,0,$B$14,1), 1*(_xlfn._xlws.FILTER(OFFSET($O$15,0,$DN148,$B$8,1),OFFSET($M$15,0,0,$B$8,1))=EA$13), 1*(_xlfn._xlws.FILTER(OFFSET($O$15,0,$DO148,$B$8,1),OFFSET($M$15,0,0,$B$8,1))=EA$14))   /   SUM(OFFSET($BO$15,0,0,$B$14,1)) + $B$18/($B$19*$B$19*($DN148&lt;&gt;$DO148) + $B$19*($DN148=$DO148))</f>
        <v>3.7037037037037035E-4</v>
      </c>
      <c r="EB148" s="10" cm="1">
        <f t="array" aca="1" ref="EB148" ca="1">(1-$B$18)*SUMPRODUCT(OFFSET($BO$15,0,0,$B$14,1), 1*(_xlfn._xlws.FILTER(OFFSET($O$15,0,$DN148,$B$8,1),OFFSET($M$15,0,0,$B$8,1))=EB$13), 1*(_xlfn._xlws.FILTER(OFFSET($O$15,0,$DO148,$B$8,1),OFFSET($M$15,0,0,$B$8,1))=EB$14))   /   SUM(OFFSET($BO$15,0,0,$B$14,1)) + $B$18/($B$19*$B$19*($DN148&lt;&gt;$DO148) + $B$19*($DN148=$DO148))</f>
        <v>3.7037037037037035E-4</v>
      </c>
      <c r="EC148" s="10" cm="1">
        <f t="array" aca="1" ref="EC148" ca="1">(1-$B$18)*SUMPRODUCT(OFFSET($BO$15,0,0,$B$14,1), 1*(_xlfn._xlws.FILTER(OFFSET($O$15,0,$DN148,$B$8,1),OFFSET($M$15,0,0,$B$8,1))=EC$13), 1*(_xlfn._xlws.FILTER(OFFSET($O$15,0,$DO148,$B$8,1),OFFSET($M$15,0,0,$B$8,1))=EC$14))   /   SUM(OFFSET($BO$15,0,0,$B$14,1)) + $B$18/($B$19*$B$19*($DN148&lt;&gt;$DO148) + $B$19*($DN148=$DO148))</f>
        <v>3.7037037037037035E-4</v>
      </c>
      <c r="ED148" s="10" cm="1">
        <f t="array" aca="1" ref="ED148" ca="1">(1-$B$18)*SUMPRODUCT(OFFSET($BO$15,0,0,$B$14,1), 1*(_xlfn._xlws.FILTER(OFFSET($O$15,0,$DN148,$B$8,1),OFFSET($M$15,0,0,$B$8,1))=ED$13), 1*(_xlfn._xlws.FILTER(OFFSET($O$15,0,$DO148,$B$8,1),OFFSET($M$15,0,0,$B$8,1))=ED$14))   /   SUM(OFFSET($BO$15,0,0,$B$14,1)) + $B$18/($B$19*$B$19*($DN148&lt;&gt;$DO148) + $B$19*($DN148=$DO148))</f>
        <v>3.7037037037037035E-4</v>
      </c>
      <c r="EE148" s="10" cm="1">
        <f t="array" aca="1" ref="EE148" ca="1">(1-$B$18)*SUMPRODUCT(OFFSET($BO$15,0,0,$B$14,1), 1*(_xlfn._xlws.FILTER(OFFSET($O$15,0,$DN148,$B$8,1),OFFSET($M$15,0,0,$B$8,1))=EE$13), 1*(_xlfn._xlws.FILTER(OFFSET($O$15,0,$DO148,$B$8,1),OFFSET($M$15,0,0,$B$8,1))=EE$14))   /   SUM(OFFSET($BO$15,0,0,$B$14,1)) + $B$18/($B$19*$B$19*($DN148&lt;&gt;$DO148) + $B$19*($DN148=$DO148))</f>
        <v>3.7037037037037035E-4</v>
      </c>
      <c r="EF148" s="10" cm="1">
        <f t="array" aca="1" ref="EF148" ca="1">(1-$B$18)*SUMPRODUCT(OFFSET($BO$15,0,0,$B$14,1), 1*(_xlfn._xlws.FILTER(OFFSET($O$15,0,$DN148,$B$8,1),OFFSET($M$15,0,0,$B$8,1))=EF$13), 1*(_xlfn._xlws.FILTER(OFFSET($O$15,0,$DO148,$B$8,1),OFFSET($M$15,0,0,$B$8,1))=EF$14))   /   SUM(OFFSET($BO$15,0,0,$B$14,1)) + $B$18/($B$19*$B$19*($DN148&lt;&gt;$DO148) + $B$19*($DN148=$DO148))</f>
        <v>3.7037037037037035E-4</v>
      </c>
      <c r="EG148" s="10" cm="1">
        <f t="array" aca="1" ref="EG148" ca="1">(1-$B$18)*SUMPRODUCT(OFFSET($BO$15,0,0,$B$14,1), 1*(_xlfn._xlws.FILTER(OFFSET($O$15,0,$DN148,$B$8,1),OFFSET($M$15,0,0,$B$8,1))=EG$13), 1*(_xlfn._xlws.FILTER(OFFSET($O$15,0,$DO148,$B$8,1),OFFSET($M$15,0,0,$B$8,1))=EG$14))   /   SUM(OFFSET($BO$15,0,0,$B$14,1)) + $B$18/($B$19*$B$19*($DN148&lt;&gt;$DO148) + $B$19*($DN148=$DO148))</f>
        <v>3.7037037037037035E-4</v>
      </c>
      <c r="EH148" s="10" cm="1">
        <f t="array" aca="1" ref="EH148" ca="1">(1-$B$18)*SUMPRODUCT(OFFSET($BO$15,0,0,$B$14,1), 1*(_xlfn._xlws.FILTER(OFFSET($O$15,0,$DN148,$B$8,1),OFFSET($M$15,0,0,$B$8,1))=EH$13), 1*(_xlfn._xlws.FILTER(OFFSET($O$15,0,$DO148,$B$8,1),OFFSET($M$15,0,0,$B$8,1))=EH$14))   /   SUM(OFFSET($BO$15,0,0,$B$14,1)) + $B$18/($B$19*$B$19*($DN148&lt;&gt;$DO148) + $B$19*($DN148=$DO148))</f>
        <v>3.7037037037037035E-4</v>
      </c>
      <c r="EI148" s="10" cm="1">
        <f t="array" aca="1" ref="EI148" ca="1">(1-$B$18)*SUMPRODUCT(OFFSET($BO$15,0,0,$B$14,1), 1*(_xlfn._xlws.FILTER(OFFSET($O$15,0,$DN148,$B$8,1),OFFSET($M$15,0,0,$B$8,1))=EI$13), 1*(_xlfn._xlws.FILTER(OFFSET($O$15,0,$DO148,$B$8,1),OFFSET($M$15,0,0,$B$8,1))=EI$14))   /   SUM(OFFSET($BO$15,0,0,$B$14,1)) + $B$18/($B$19*$B$19*($DN148&lt;&gt;$DO148) + $B$19*($DN148=$DO148))</f>
        <v>3.7037037037037035E-4</v>
      </c>
      <c r="EJ148" s="10" cm="1">
        <f t="array" aca="1" ref="EJ148" ca="1">(1-$B$18)*SUMPRODUCT(OFFSET($BO$15,0,0,$B$14,1), 1*(_xlfn._xlws.FILTER(OFFSET($O$15,0,$DN148,$B$8,1),OFFSET($M$15,0,0,$B$8,1))=EJ$13), 1*(_xlfn._xlws.FILTER(OFFSET($O$15,0,$DO148,$B$8,1),OFFSET($M$15,0,0,$B$8,1))=EJ$14))   /   SUM(OFFSET($BO$15,0,0,$B$14,1)) + $B$18/($B$19*$B$19*($DN148&lt;&gt;$DO148) + $B$19*($DN148=$DO148))</f>
        <v>3.7037037037037035E-4</v>
      </c>
      <c r="EK148" s="10" cm="1">
        <f t="array" aca="1" ref="EK148" ca="1">(1-$B$18)*SUMPRODUCT(OFFSET($BO$15,0,0,$B$14,1), 1*(_xlfn._xlws.FILTER(OFFSET($O$15,0,$DN148,$B$8,1),OFFSET($M$15,0,0,$B$8,1))=EK$13), 1*(_xlfn._xlws.FILTER(OFFSET($O$15,0,$DO148,$B$8,1),OFFSET($M$15,0,0,$B$8,1))=EK$14))   /   SUM(OFFSET($BO$15,0,0,$B$14,1)) + $B$18/($B$19*$B$19*($DN148&lt;&gt;$DO148) + $B$19*($DN148=$DO148))</f>
        <v>3.7037037037037035E-4</v>
      </c>
      <c r="EL148" s="10" cm="1">
        <f t="array" aca="1" ref="EL148" ca="1">(1-$B$18)*SUMPRODUCT(OFFSET($BO$15,0,0,$B$14,1), 1*(_xlfn._xlws.FILTER(OFFSET($O$15,0,$DN148,$B$8,1),OFFSET($M$15,0,0,$B$8,1))=EL$13), 1*(_xlfn._xlws.FILTER(OFFSET($O$15,0,$DO148,$B$8,1),OFFSET($M$15,0,0,$B$8,1))=EL$14))   /   SUM(OFFSET($BO$15,0,0,$B$14,1)) + $B$18/($B$19*$B$19*($DN148&lt;&gt;$DO148) + $B$19*($DN148=$DO148))</f>
        <v>3.7037037037037035E-4</v>
      </c>
      <c r="EM148" s="10" cm="1">
        <f t="array" aca="1" ref="EM148" ca="1">(1-$B$18)*SUMPRODUCT(OFFSET($BO$15,0,0,$B$14,1), 1*(_xlfn._xlws.FILTER(OFFSET($O$15,0,$DN148,$B$8,1),OFFSET($M$15,0,0,$B$8,1))=EM$13), 1*(_xlfn._xlws.FILTER(OFFSET($O$15,0,$DO148,$B$8,1),OFFSET($M$15,0,0,$B$8,1))=EM$14))   /   SUM(OFFSET($BO$15,0,0,$B$14,1)) + $B$18/($B$19*$B$19*($DN148&lt;&gt;$DO148) + $B$19*($DN148=$DO148))</f>
        <v>3.7037037037037035E-4</v>
      </c>
      <c r="EN148" s="10" cm="1">
        <f t="array" aca="1" ref="EN148" ca="1">(1-$B$18)*SUMPRODUCT(OFFSET($BO$15,0,0,$B$14,1), 1*(_xlfn._xlws.FILTER(OFFSET($O$15,0,$DN148,$B$8,1),OFFSET($M$15,0,0,$B$8,1))=EN$13), 1*(_xlfn._xlws.FILTER(OFFSET($O$15,0,$DO148,$B$8,1),OFFSET($M$15,0,0,$B$8,1))=EN$14))   /   SUM(OFFSET($BO$15,0,0,$B$14,1)) + $B$18/($B$19*$B$19*($DN148&lt;&gt;$DO148) + $B$19*($DN148=$DO148))</f>
        <v>3.7037037037037035E-4</v>
      </c>
      <c r="EO148" s="10" cm="1">
        <f t="array" aca="1" ref="EO148" ca="1">(1-$B$18)*SUMPRODUCT(OFFSET($BO$15,0,0,$B$14,1), 1*(_xlfn._xlws.FILTER(OFFSET($O$15,0,$DN148,$B$8,1),OFFSET($M$15,0,0,$B$8,1))=EO$13), 1*(_xlfn._xlws.FILTER(OFFSET($O$15,0,$DO148,$B$8,1),OFFSET($M$15,0,0,$B$8,1))=EO$14))   /   SUM(OFFSET($BO$15,0,0,$B$14,1)) + $B$18/($B$19*$B$19*($DN148&lt;&gt;$DO148) + $B$19*($DN148=$DO148))</f>
        <v>3.7037037037037035E-4</v>
      </c>
      <c r="EP148" s="10" cm="1">
        <f t="array" aca="1" ref="EP148" ca="1">(1-$B$18)*SUMPRODUCT(OFFSET($BO$15,0,0,$B$14,1), 1*(_xlfn._xlws.FILTER(OFFSET($O$15,0,$DN148,$B$8,1),OFFSET($M$15,0,0,$B$8,1))=EP$13), 1*(_xlfn._xlws.FILTER(OFFSET($O$15,0,$DO148,$B$8,1),OFFSET($M$15,0,0,$B$8,1))=EP$14))   /   SUM(OFFSET($BO$15,0,0,$B$14,1)) + $B$18/($B$19*$B$19*($DN148&lt;&gt;$DO148) + $B$19*($DN148=$DO148))</f>
        <v>3.7037037037037035E-4</v>
      </c>
      <c r="EQ148" s="10" cm="1">
        <f t="array" aca="1" ref="EQ148" ca="1">(1-$B$18)*SUMPRODUCT(OFFSET($BO$15,0,0,$B$14,1), 1*(_xlfn._xlws.FILTER(OFFSET($O$15,0,$DN148,$B$8,1),OFFSET($M$15,0,0,$B$8,1))=EQ$13), 1*(_xlfn._xlws.FILTER(OFFSET($O$15,0,$DO148,$B$8,1),OFFSET($M$15,0,0,$B$8,1))=EQ$14))   /   SUM(OFFSET($BO$15,0,0,$B$14,1)) + $B$18/($B$19*$B$19*($DN148&lt;&gt;$DO148) + $B$19*($DN148=$DO148))</f>
        <v>3.7037037037037035E-4</v>
      </c>
      <c r="ER148" s="10" cm="1">
        <f t="array" aca="1" ref="ER148" ca="1">(1-$B$18)*SUMPRODUCT(OFFSET($BO$15,0,0,$B$14,1), 1*(_xlfn._xlws.FILTER(OFFSET($O$15,0,$DN148,$B$8,1),OFFSET($M$15,0,0,$B$8,1))=ER$13), 1*(_xlfn._xlws.FILTER(OFFSET($O$15,0,$DO148,$B$8,1),OFFSET($M$15,0,0,$B$8,1))=ER$14))   /   SUM(OFFSET($BO$15,0,0,$B$14,1)) + $B$18/($B$19*$B$19*($DN148&lt;&gt;$DO148) + $B$19*($DN148=$DO148))</f>
        <v>3.7037037037037035E-4</v>
      </c>
      <c r="ES148" s="10" cm="1">
        <f t="array" aca="1" ref="ES148" ca="1">(1-$B$18)*SUMPRODUCT(OFFSET($BO$15,0,0,$B$14,1), 1*(_xlfn._xlws.FILTER(OFFSET($O$15,0,$DN148,$B$8,1),OFFSET($M$15,0,0,$B$8,1))=ES$13), 1*(_xlfn._xlws.FILTER(OFFSET($O$15,0,$DO148,$B$8,1),OFFSET($M$15,0,0,$B$8,1))=ES$14))   /   SUM(OFFSET($BO$15,0,0,$B$14,1)) + $B$18/($B$19*$B$19*($DN148&lt;&gt;$DO148) + $B$19*($DN148=$DO148))</f>
        <v>3.7037037037037035E-4</v>
      </c>
      <c r="ET148" s="10" cm="1">
        <f t="array" aca="1" ref="ET148" ca="1">(1-$B$18)*SUMPRODUCT(OFFSET($BO$15,0,0,$B$14,1), 1*(_xlfn._xlws.FILTER(OFFSET($O$15,0,$DN148,$B$8,1),OFFSET($M$15,0,0,$B$8,1))=ET$13), 1*(_xlfn._xlws.FILTER(OFFSET($O$15,0,$DO148,$B$8,1),OFFSET($M$15,0,0,$B$8,1))=ET$14))   /   SUM(OFFSET($BO$15,0,0,$B$14,1)) + $B$18/($B$19*$B$19*($DN148&lt;&gt;$DO148) + $B$19*($DN148=$DO148))</f>
        <v>3.7037037037037035E-4</v>
      </c>
      <c r="EU148" s="10" cm="1">
        <f t="array" aca="1" ref="EU148" ca="1">(1-$B$18)*SUMPRODUCT(OFFSET($BO$15,0,0,$B$14,1), 1*(_xlfn._xlws.FILTER(OFFSET($O$15,0,$DN148,$B$8,1),OFFSET($M$15,0,0,$B$8,1))=EU$13), 1*(_xlfn._xlws.FILTER(OFFSET($O$15,0,$DO148,$B$8,1),OFFSET($M$15,0,0,$B$8,1))=EU$14))   /   SUM(OFFSET($BO$15,0,0,$B$14,1)) + $B$18/($B$19*$B$19*($DN148&lt;&gt;$DO148) + $B$19*($DN148=$DO148))</f>
        <v>3.7037037037037035E-4</v>
      </c>
      <c r="EV148" s="10" cm="1">
        <f t="array" aca="1" ref="EV148" ca="1">(1-$B$18)*SUMPRODUCT(OFFSET($BO$15,0,0,$B$14,1), 1*(_xlfn._xlws.FILTER(OFFSET($O$15,0,$DN148,$B$8,1),OFFSET($M$15,0,0,$B$8,1))=EV$13), 1*(_xlfn._xlws.FILTER(OFFSET($O$15,0,$DO148,$B$8,1),OFFSET($M$15,0,0,$B$8,1))=EV$14))   /   SUM(OFFSET($BO$15,0,0,$B$14,1)) + $B$18/($B$19*$B$19*($DN148&lt;&gt;$DO148) + $B$19*($DN148=$DO148))</f>
        <v>3.7037037037037035E-4</v>
      </c>
      <c r="EW148" s="10" cm="1">
        <f t="array" aca="1" ref="EW148" ca="1">(1-$B$18)*SUMPRODUCT(OFFSET($BO$15,0,0,$B$14,1), 1*(_xlfn._xlws.FILTER(OFFSET($O$15,0,$DN148,$B$8,1),OFFSET($M$15,0,0,$B$8,1))=EW$13), 1*(_xlfn._xlws.FILTER(OFFSET($O$15,0,$DO148,$B$8,1),OFFSET($M$15,0,0,$B$8,1))=EW$14))   /   SUM(OFFSET($BO$15,0,0,$B$14,1)) + $B$18/($B$19*$B$19*($DN148&lt;&gt;$DO148) + $B$19*($DN148=$DO148))</f>
        <v>3.7037037037037035E-4</v>
      </c>
      <c r="EX148" s="10" cm="1">
        <f t="array" aca="1" ref="EX148" ca="1">(1-$B$18)*SUMPRODUCT(OFFSET($BO$15,0,0,$B$14,1), 1*(_xlfn._xlws.FILTER(OFFSET($O$15,0,$DN148,$B$8,1),OFFSET($M$15,0,0,$B$8,1))=EX$13), 1*(_xlfn._xlws.FILTER(OFFSET($O$15,0,$DO148,$B$8,1),OFFSET($M$15,0,0,$B$8,1))=EX$14))   /   SUM(OFFSET($BO$15,0,0,$B$14,1)) + $B$18/($B$19*$B$19*($DN148&lt;&gt;$DO148) + $B$19*($DN148=$DO148))</f>
        <v>3.7037037037037035E-4</v>
      </c>
      <c r="EY148" s="10" cm="1">
        <f t="array" aca="1" ref="EY148" ca="1">(1-$B$18)*SUMPRODUCT(OFFSET($BO$15,0,0,$B$14,1), 1*(_xlfn._xlws.FILTER(OFFSET($O$15,0,$DN148,$B$8,1),OFFSET($M$15,0,0,$B$8,1))=EY$13), 1*(_xlfn._xlws.FILTER(OFFSET($O$15,0,$DO148,$B$8,1),OFFSET($M$15,0,0,$B$8,1))=EY$14))   /   SUM(OFFSET($BO$15,0,0,$B$14,1)) + $B$18/($B$19*$B$19*($DN148&lt;&gt;$DO148) + $B$19*($DN148=$DO148))</f>
        <v>3.7037037037037035E-4</v>
      </c>
      <c r="EZ148" s="10" cm="1">
        <f t="array" aca="1" ref="EZ148" ca="1">(1-$B$18)*SUMPRODUCT(OFFSET($BO$15,0,0,$B$14,1), 1*(_xlfn._xlws.FILTER(OFFSET($O$15,0,$DN148,$B$8,1),OFFSET($M$15,0,0,$B$8,1))=EZ$13), 1*(_xlfn._xlws.FILTER(OFFSET($O$15,0,$DO148,$B$8,1),OFFSET($M$15,0,0,$B$8,1))=EZ$14))   /   SUM(OFFSET($BO$15,0,0,$B$14,1)) + $B$18/($B$19*$B$19*($DN148&lt;&gt;$DO148) + $B$19*($DN148=$DO148))</f>
        <v>3.7037037037037035E-4</v>
      </c>
      <c r="FA148" s="10" cm="1">
        <f t="array" aca="1" ref="FA148" ca="1">(1-$B$18)*SUMPRODUCT(OFFSET($BO$15,0,0,$B$14,1), 1*(_xlfn._xlws.FILTER(OFFSET($O$15,0,$DN148,$B$8,1),OFFSET($M$15,0,0,$B$8,1))=FA$13), 1*(_xlfn._xlws.FILTER(OFFSET($O$15,0,$DO148,$B$8,1),OFFSET($M$15,0,0,$B$8,1))=FA$14))   /   SUM(OFFSET($BO$15,0,0,$B$14,1)) + $B$18/($B$19*$B$19*($DN148&lt;&gt;$DO148) + $B$19*($DN148=$DO148))</f>
        <v>3.7037037037037035E-4</v>
      </c>
      <c r="FB148" s="10" cm="1">
        <f t="array" aca="1" ref="FB148" ca="1">(1-$B$18)*SUMPRODUCT(OFFSET($BO$15,0,0,$B$14,1), 1*(_xlfn._xlws.FILTER(OFFSET($O$15,0,$DN148,$B$8,1),OFFSET($M$15,0,0,$B$8,1))=FB$13), 1*(_xlfn._xlws.FILTER(OFFSET($O$15,0,$DO148,$B$8,1),OFFSET($M$15,0,0,$B$8,1))=FB$14))   /   SUM(OFFSET($BO$15,0,0,$B$14,1)) + $B$18/($B$19*$B$19*($DN148&lt;&gt;$DO148) + $B$19*($DN148=$DO148))</f>
        <v>3.7037037037037035E-4</v>
      </c>
      <c r="FC148" s="10" cm="1">
        <f t="array" aca="1" ref="FC148" ca="1">(1-$B$18)*SUMPRODUCT(OFFSET($BO$15,0,0,$B$14,1), 1*(_xlfn._xlws.FILTER(OFFSET($O$15,0,$DN148,$B$8,1),OFFSET($M$15,0,0,$B$8,1))=FC$13), 1*(_xlfn._xlws.FILTER(OFFSET($O$15,0,$DO148,$B$8,1),OFFSET($M$15,0,0,$B$8,1))=FC$14))   /   SUM(OFFSET($BO$15,0,0,$B$14,1)) + $B$18/($B$19*$B$19*($DN148&lt;&gt;$DO148) + $B$19*($DN148=$DO148))</f>
        <v>3.7037037037037035E-4</v>
      </c>
      <c r="FD148" s="10" cm="1">
        <f t="array" aca="1" ref="FD148" ca="1">(1-$B$18)*SUMPRODUCT(OFFSET($BO$15,0,0,$B$14,1), 1*(_xlfn._xlws.FILTER(OFFSET($O$15,0,$DN148,$B$8,1),OFFSET($M$15,0,0,$B$8,1))=FD$13), 1*(_xlfn._xlws.FILTER(OFFSET($O$15,0,$DO148,$B$8,1),OFFSET($M$15,0,0,$B$8,1))=FD$14))   /   SUM(OFFSET($BO$15,0,0,$B$14,1)) + $B$18/($B$19*$B$19*($DN148&lt;&gt;$DO148) + $B$19*($DN148=$DO148))</f>
        <v>3.7037037037037035E-4</v>
      </c>
      <c r="FE148" s="10" cm="1">
        <f t="array" aca="1" ref="FE148" ca="1">(1-$B$18)*SUMPRODUCT(OFFSET($BO$15,0,0,$B$14,1), 1*(_xlfn._xlws.FILTER(OFFSET($O$15,0,$DN148,$B$8,1),OFFSET($M$15,0,0,$B$8,1))=FE$13), 1*(_xlfn._xlws.FILTER(OFFSET($O$15,0,$DO148,$B$8,1),OFFSET($M$15,0,0,$B$8,1))=FE$14))   /   SUM(OFFSET($BO$15,0,0,$B$14,1)) + $B$18/($B$19*$B$19*($DN148&lt;&gt;$DO148) + $B$19*($DN148=$DO148))</f>
        <v>3.7037037037037035E-4</v>
      </c>
      <c r="FF148" s="10" cm="1">
        <f t="array" aca="1" ref="FF148" ca="1">(1-$B$18)*SUMPRODUCT(OFFSET($BO$15,0,0,$B$14,1), 1*(_xlfn._xlws.FILTER(OFFSET($O$15,0,$DN148,$B$8,1),OFFSET($M$15,0,0,$B$8,1))=FF$13), 1*(_xlfn._xlws.FILTER(OFFSET($O$15,0,$DO148,$B$8,1),OFFSET($M$15,0,0,$B$8,1))=FF$14))   /   SUM(OFFSET($BO$15,0,0,$B$14,1)) + $B$18/($B$19*$B$19*($DN148&lt;&gt;$DO148) + $B$19*($DN148=$DO148))</f>
        <v>3.7037037037037035E-4</v>
      </c>
      <c r="FG148" s="10" cm="1">
        <f t="array" aca="1" ref="FG148" ca="1">(1-$B$18)*SUMPRODUCT(OFFSET($BO$15,0,0,$B$14,1), 1*(_xlfn._xlws.FILTER(OFFSET($O$15,0,$DN148,$B$8,1),OFFSET($M$15,0,0,$B$8,1))=FG$13), 1*(_xlfn._xlws.FILTER(OFFSET($O$15,0,$DO148,$B$8,1),OFFSET($M$15,0,0,$B$8,1))=FG$14))   /   SUM(OFFSET($BO$15,0,0,$B$14,1)) + $B$18/($B$19*$B$19*($DN148&lt;&gt;$DO148) + $B$19*($DN148=$DO148))</f>
        <v>3.7037037037037035E-4</v>
      </c>
      <c r="FH148" s="10" cm="1">
        <f t="array" aca="1" ref="FH148" ca="1">(1-$B$18)*SUMPRODUCT(OFFSET($BO$15,0,0,$B$14,1), 1*(_xlfn._xlws.FILTER(OFFSET($O$15,0,$DN148,$B$8,1),OFFSET($M$15,0,0,$B$8,1))=FH$13), 1*(_xlfn._xlws.FILTER(OFFSET($O$15,0,$DO148,$B$8,1),OFFSET($M$15,0,0,$B$8,1))=FH$14))   /   SUM(OFFSET($BO$15,0,0,$B$14,1)) + $B$18/($B$19*$B$19*($DN148&lt;&gt;$DO148) + $B$19*($DN148=$DO148))</f>
        <v>3.7037037037037035E-4</v>
      </c>
      <c r="FI148" s="10" cm="1">
        <f t="array" aca="1" ref="FI148" ca="1">(1-$B$18)*SUMPRODUCT(OFFSET($BO$15,0,0,$B$14,1), 1*(_xlfn._xlws.FILTER(OFFSET($O$15,0,$DN148,$B$8,1),OFFSET($M$15,0,0,$B$8,1))=FI$13), 1*(_xlfn._xlws.FILTER(OFFSET($O$15,0,$DO148,$B$8,1),OFFSET($M$15,0,0,$B$8,1))=FI$14))   /   SUM(OFFSET($BO$15,0,0,$B$14,1)) + $B$18/($B$19*$B$19*($DN148&lt;&gt;$DO148) + $B$19*($DN148=$DO148))</f>
        <v>3.7037037037037035E-4</v>
      </c>
      <c r="FJ148" s="10" cm="1">
        <f t="array" aca="1" ref="FJ148" ca="1">(1-$B$18)*SUMPRODUCT(OFFSET($BO$15,0,0,$B$14,1), 1*(_xlfn._xlws.FILTER(OFFSET($O$15,0,$DN148,$B$8,1),OFFSET($M$15,0,0,$B$8,1))=FJ$13), 1*(_xlfn._xlws.FILTER(OFFSET($O$15,0,$DO148,$B$8,1),OFFSET($M$15,0,0,$B$8,1))=FJ$14))   /   SUM(OFFSET($BO$15,0,0,$B$14,1)) + $B$18/($B$19*$B$19*($DN148&lt;&gt;$DO148) + $B$19*($DN148=$DO148))</f>
        <v>3.7037037037037035E-4</v>
      </c>
      <c r="FK148" s="10" cm="1">
        <f t="array" aca="1" ref="FK148" ca="1">(1-$B$18)*SUMPRODUCT(OFFSET($BO$15,0,0,$B$14,1), 1*(_xlfn._xlws.FILTER(OFFSET($O$15,0,$DN148,$B$8,1),OFFSET($M$15,0,0,$B$8,1))=FK$13), 1*(_xlfn._xlws.FILTER(OFFSET($O$15,0,$DO148,$B$8,1),OFFSET($M$15,0,0,$B$8,1))=FK$14))   /   SUM(OFFSET($BO$15,0,0,$B$14,1)) + $B$18/($B$19*$B$19*($DN148&lt;&gt;$DO148) + $B$19*($DN148=$DO148))</f>
        <v>3.7037037037037035E-4</v>
      </c>
      <c r="FL148" s="10" cm="1">
        <f t="array" aca="1" ref="FL148" ca="1">(1-$B$18)*SUMPRODUCT(OFFSET($BO$15,0,0,$B$14,1), 1*(_xlfn._xlws.FILTER(OFFSET($O$15,0,$DN148,$B$8,1),OFFSET($M$15,0,0,$B$8,1))=FL$13), 1*(_xlfn._xlws.FILTER(OFFSET($O$15,0,$DO148,$B$8,1),OFFSET($M$15,0,0,$B$8,1))=FL$14))   /   SUM(OFFSET($BO$15,0,0,$B$14,1)) + $B$18/($B$19*$B$19*($DN148&lt;&gt;$DO148) + $B$19*($DN148=$DO148))</f>
        <v>3.7037037037037035E-4</v>
      </c>
      <c r="FM148" s="10" cm="1">
        <f t="array" aca="1" ref="FM148" ca="1">(1-$B$18)*SUMPRODUCT(OFFSET($BO$15,0,0,$B$14,1), 1*(_xlfn._xlws.FILTER(OFFSET($O$15,0,$DN148,$B$8,1),OFFSET($M$15,0,0,$B$8,1))=FM$13), 1*(_xlfn._xlws.FILTER(OFFSET($O$15,0,$DO148,$B$8,1),OFFSET($M$15,0,0,$B$8,1))=FM$14))   /   SUM(OFFSET($BO$15,0,0,$B$14,1)) + $B$18/($B$19*$B$19*($DN148&lt;&gt;$DO148) + $B$19*($DN148=$DO148))</f>
        <v>3.7037037037037035E-4</v>
      </c>
      <c r="FN148" s="10" cm="1">
        <f t="array" aca="1" ref="FN148" ca="1">(1-$B$18)*SUMPRODUCT(OFFSET($BO$15,0,0,$B$14,1), 1*(_xlfn._xlws.FILTER(OFFSET($O$15,0,$DN148,$B$8,1),OFFSET($M$15,0,0,$B$8,1))=FN$13), 1*(_xlfn._xlws.FILTER(OFFSET($O$15,0,$DO148,$B$8,1),OFFSET($M$15,0,0,$B$8,1))=FN$14))   /   SUM(OFFSET($BO$15,0,0,$B$14,1)) + $B$18/($B$19*$B$19*($DN148&lt;&gt;$DO148) + $B$19*($DN148=$DO148))</f>
        <v>3.7037037037037035E-4</v>
      </c>
      <c r="FO148" s="10" cm="1">
        <f t="array" aca="1" ref="FO148" ca="1">(1-$B$18)*SUMPRODUCT(OFFSET($BO$15,0,0,$B$14,1), 1*(_xlfn._xlws.FILTER(OFFSET($O$15,0,$DN148,$B$8,1),OFFSET($M$15,0,0,$B$8,1))=FO$13), 1*(_xlfn._xlws.FILTER(OFFSET($O$15,0,$DO148,$B$8,1),OFFSET($M$15,0,0,$B$8,1))=FO$14))   /   SUM(OFFSET($BO$15,0,0,$B$14,1)) + $B$18/($B$19*$B$19*($DN148&lt;&gt;$DO148) + $B$19*($DN148=$DO148))</f>
        <v>3.7037037037037035E-4</v>
      </c>
      <c r="FP148" s="10" cm="1">
        <f t="array" aca="1" ref="FP148" ca="1">(1-$B$18)*SUMPRODUCT(OFFSET($BO$15,0,0,$B$14,1), 1*(_xlfn._xlws.FILTER(OFFSET($O$15,0,$DN148,$B$8,1),OFFSET($M$15,0,0,$B$8,1))=FP$13), 1*(_xlfn._xlws.FILTER(OFFSET($O$15,0,$DO148,$B$8,1),OFFSET($M$15,0,0,$B$8,1))=FP$14))   /   SUM(OFFSET($BO$15,0,0,$B$14,1)) + $B$18/($B$19*$B$19*($DN148&lt;&gt;$DO148) + $B$19*($DN148=$DO148))</f>
        <v>3.7037037037037035E-4</v>
      </c>
      <c r="FQ148" s="10" cm="1">
        <f t="array" aca="1" ref="FQ148" ca="1">(1-$B$18)*SUMPRODUCT(OFFSET($BO$15,0,0,$B$14,1), 1*(_xlfn._xlws.FILTER(OFFSET($O$15,0,$DN148,$B$8,1),OFFSET($M$15,0,0,$B$8,1))=FQ$13), 1*(_xlfn._xlws.FILTER(OFFSET($O$15,0,$DO148,$B$8,1),OFFSET($M$15,0,0,$B$8,1))=FQ$14))   /   SUM(OFFSET($BO$15,0,0,$B$14,1)) + $B$18/($B$19*$B$19*($DN148&lt;&gt;$DO148) + $B$19*($DN148=$DO148))</f>
        <v>3.7037037037037035E-4</v>
      </c>
      <c r="FR148" s="10" cm="1">
        <f t="array" aca="1" ref="FR148" ca="1">(1-$B$18)*SUMPRODUCT(OFFSET($BO$15,0,0,$B$14,1), 1*(_xlfn._xlws.FILTER(OFFSET($O$15,0,$DN148,$B$8,1),OFFSET($M$15,0,0,$B$8,1))=FR$13), 1*(_xlfn._xlws.FILTER(OFFSET($O$15,0,$DO148,$B$8,1),OFFSET($M$15,0,0,$B$8,1))=FR$14))   /   SUM(OFFSET($BO$15,0,0,$B$14,1)) + $B$18/($B$19*$B$19*($DN148&lt;&gt;$DO148) + $B$19*($DN148=$DO148))</f>
        <v>0.97037037037037033</v>
      </c>
      <c r="FS148" s="10" cm="1">
        <f t="array" aca="1" ref="FS148" ca="1">(1-$B$18)*SUMPRODUCT(OFFSET($BO$15,0,0,$B$14,1), 1*(_xlfn._xlws.FILTER(OFFSET($O$15,0,$DN148,$B$8,1),OFFSET($M$15,0,0,$B$8,1))=FS$13), 1*(_xlfn._xlws.FILTER(OFFSET($O$15,0,$DO148,$B$8,1),OFFSET($M$15,0,0,$B$8,1))=FS$14))   /   SUM(OFFSET($BO$15,0,0,$B$14,1)) + $B$18/($B$19*$B$19*($DN148&lt;&gt;$DO148) + $B$19*($DN148=$DO148))</f>
        <v>3.7037037037037035E-4</v>
      </c>
      <c r="FT148" s="10" cm="1">
        <f t="array" aca="1" ref="FT148" ca="1">(1-$B$18)*SUMPRODUCT(OFFSET($BO$15,0,0,$B$14,1), 1*(_xlfn._xlws.FILTER(OFFSET($O$15,0,$DN148,$B$8,1),OFFSET($M$15,0,0,$B$8,1))=FT$13), 1*(_xlfn._xlws.FILTER(OFFSET($O$15,0,$DO148,$B$8,1),OFFSET($M$15,0,0,$B$8,1))=FT$14))   /   SUM(OFFSET($BO$15,0,0,$B$14,1)) + $B$18/($B$19*$B$19*($DN148&lt;&gt;$DO148) + $B$19*($DN148=$DO148))</f>
        <v>3.7037037037037035E-4</v>
      </c>
      <c r="FU148" s="10" cm="1">
        <f t="array" aca="1" ref="FU148" ca="1">(1-$B$18)*SUMPRODUCT(OFFSET($BO$15,0,0,$B$14,1), 1*(_xlfn._xlws.FILTER(OFFSET($O$15,0,$DN148,$B$8,1),OFFSET($M$15,0,0,$B$8,1))=FU$13), 1*(_xlfn._xlws.FILTER(OFFSET($O$15,0,$DO148,$B$8,1),OFFSET($M$15,0,0,$B$8,1))=FU$14))   /   SUM(OFFSET($BO$15,0,0,$B$14,1)) + $B$18/($B$19*$B$19*($DN148&lt;&gt;$DO148) + $B$19*($DN148=$DO148))</f>
        <v>3.7037037037037035E-4</v>
      </c>
      <c r="FV148" s="10" cm="1">
        <f t="array" aca="1" ref="FV148" ca="1">(1-$B$18)*SUMPRODUCT(OFFSET($BO$15,0,0,$B$14,1), 1*(_xlfn._xlws.FILTER(OFFSET($O$15,0,$DN148,$B$8,1),OFFSET($M$15,0,0,$B$8,1))=FV$13), 1*(_xlfn._xlws.FILTER(OFFSET($O$15,0,$DO148,$B$8,1),OFFSET($M$15,0,0,$B$8,1))=FV$14))   /   SUM(OFFSET($BO$15,0,0,$B$14,1)) + $B$18/($B$19*$B$19*($DN148&lt;&gt;$DO148) + $B$19*($DN148=$DO148))</f>
        <v>3.7037037037037035E-4</v>
      </c>
      <c r="FW148" s="10" cm="1">
        <f t="array" aca="1" ref="FW148" ca="1">(1-$B$18)*SUMPRODUCT(OFFSET($BO$15,0,0,$B$14,1), 1*(_xlfn._xlws.FILTER(OFFSET($O$15,0,$DN148,$B$8,1),OFFSET($M$15,0,0,$B$8,1))=FW$13), 1*(_xlfn._xlws.FILTER(OFFSET($O$15,0,$DO148,$B$8,1),OFFSET($M$15,0,0,$B$8,1))=FW$14))   /   SUM(OFFSET($BO$15,0,0,$B$14,1)) + $B$18/($B$19*$B$19*($DN148&lt;&gt;$DO148) + $B$19*($DN148=$DO148))</f>
        <v>3.7037037037037035E-4</v>
      </c>
      <c r="FX148" s="10" cm="1">
        <f t="array" aca="1" ref="FX148" ca="1">(1-$B$18)*SUMPRODUCT(OFFSET($BO$15,0,0,$B$14,1), 1*(_xlfn._xlws.FILTER(OFFSET($O$15,0,$DN148,$B$8,1),OFFSET($M$15,0,0,$B$8,1))=FX$13), 1*(_xlfn._xlws.FILTER(OFFSET($O$15,0,$DO148,$B$8,1),OFFSET($M$15,0,0,$B$8,1))=FX$14))   /   SUM(OFFSET($BO$15,0,0,$B$14,1)) + $B$18/($B$19*$B$19*($DN148&lt;&gt;$DO148) + $B$19*($DN148=$DO148))</f>
        <v>3.7037037037037035E-4</v>
      </c>
      <c r="FY148" s="10" cm="1">
        <f t="array" aca="1" ref="FY148" ca="1">(1-$B$18)*SUMPRODUCT(OFFSET($BO$15,0,0,$B$14,1), 1*(_xlfn._xlws.FILTER(OFFSET($O$15,0,$DN148,$B$8,1),OFFSET($M$15,0,0,$B$8,1))=FY$13), 1*(_xlfn._xlws.FILTER(OFFSET($O$15,0,$DO148,$B$8,1),OFFSET($M$15,0,0,$B$8,1))=FY$14))   /   SUM(OFFSET($BO$15,0,0,$B$14,1)) + $B$18/($B$19*$B$19*($DN148&lt;&gt;$DO148) + $B$19*($DN148=$DO148))</f>
        <v>3.7037037037037035E-4</v>
      </c>
      <c r="FZ148" s="10" cm="1">
        <f t="array" aca="1" ref="FZ148" ca="1">(1-$B$18)*SUMPRODUCT(OFFSET($BO$15,0,0,$B$14,1), 1*(_xlfn._xlws.FILTER(OFFSET($O$15,0,$DN148,$B$8,1),OFFSET($M$15,0,0,$B$8,1))=FZ$13), 1*(_xlfn._xlws.FILTER(OFFSET($O$15,0,$DO148,$B$8,1),OFFSET($M$15,0,0,$B$8,1))=FZ$14))   /   SUM(OFFSET($BO$15,0,0,$B$14,1)) + $B$18/($B$19*$B$19*($DN148&lt;&gt;$DO148) + $B$19*($DN148=$DO148))</f>
        <v>3.7037037037037035E-4</v>
      </c>
      <c r="GA148" s="10" cm="1">
        <f t="array" aca="1" ref="GA148" ca="1">(1-$B$18)*SUMPRODUCT(OFFSET($BO$15,0,0,$B$14,1), 1*(_xlfn._xlws.FILTER(OFFSET($O$15,0,$DN148,$B$8,1),OFFSET($M$15,0,0,$B$8,1))=GA$13), 1*(_xlfn._xlws.FILTER(OFFSET($O$15,0,$DO148,$B$8,1),OFFSET($M$15,0,0,$B$8,1))=GA$14))   /   SUM(OFFSET($BO$15,0,0,$B$14,1)) + $B$18/($B$19*$B$19*($DN148&lt;&gt;$DO148) + $B$19*($DN148=$DO148))</f>
        <v>3.7037037037037035E-4</v>
      </c>
    </row>
    <row r="149" spans="118:183" x14ac:dyDescent="0.2">
      <c r="DN149" cm="1">
        <f t="array" aca="1" ref="DN149" ca="1">INDEX(_xlfn.ANCHORARRAY($CP$15), 1 + INT((ROWS($DO$15:$DO149) - 1) / ROWS(_xlfn.ANCHORARRAY($CP$15))))</f>
        <v>7</v>
      </c>
      <c r="DO149" cm="1">
        <f t="array" aca="1" ref="DO149" ca="1">INDEX(_xlfn.ANCHORARRAY($CP$15),1+MOD(ROWS($DO$15:$DO149)-1,ROWS(_xlfn.ANCHORARRAY($CP$15))))</f>
        <v>1</v>
      </c>
      <c r="DP149" s="10" cm="1">
        <f t="array" aca="1" ref="DP149" ca="1">(1-$B$18)*SUMPRODUCT(OFFSET($BO$15,0,0,$B$14,1), 1*(_xlfn._xlws.FILTER(OFFSET($O$15,0,$DN149,$B$8,1),OFFSET($M$15,0,0,$B$8,1))=DP$13), 1*(_xlfn._xlws.FILTER(OFFSET($O$15,0,$DO149,$B$8,1),OFFSET($M$15,0,0,$B$8,1))=DP$14))   /   SUM(OFFSET($BO$15,0,0,$B$14,1)) + $B$18/($B$19*$B$19*($DN149&lt;&gt;$DO149) + $B$19*($DN149=$DO149))</f>
        <v>3.7037037037037035E-4</v>
      </c>
      <c r="DQ149" s="10" cm="1">
        <f t="array" aca="1" ref="DQ149" ca="1">(1-$B$18)*SUMPRODUCT(OFFSET($BO$15,0,0,$B$14,1), 1*(_xlfn._xlws.FILTER(OFFSET($O$15,0,$DN149,$B$8,1),OFFSET($M$15,0,0,$B$8,1))=DQ$13), 1*(_xlfn._xlws.FILTER(OFFSET($O$15,0,$DO149,$B$8,1),OFFSET($M$15,0,0,$B$8,1))=DQ$14))   /   SUM(OFFSET($BO$15,0,0,$B$14,1)) + $B$18/($B$19*$B$19*($DN149&lt;&gt;$DO149) + $B$19*($DN149=$DO149))</f>
        <v>3.7037037037037035E-4</v>
      </c>
      <c r="DR149" s="10" cm="1">
        <f t="array" aca="1" ref="DR149" ca="1">(1-$B$18)*SUMPRODUCT(OFFSET($BO$15,0,0,$B$14,1), 1*(_xlfn._xlws.FILTER(OFFSET($O$15,0,$DN149,$B$8,1),OFFSET($M$15,0,0,$B$8,1))=DR$13), 1*(_xlfn._xlws.FILTER(OFFSET($O$15,0,$DO149,$B$8,1),OFFSET($M$15,0,0,$B$8,1))=DR$14))   /   SUM(OFFSET($BO$15,0,0,$B$14,1)) + $B$18/($B$19*$B$19*($DN149&lt;&gt;$DO149) + $B$19*($DN149=$DO149))</f>
        <v>3.7037037037037035E-4</v>
      </c>
      <c r="DS149" s="10" cm="1">
        <f t="array" aca="1" ref="DS149" ca="1">(1-$B$18)*SUMPRODUCT(OFFSET($BO$15,0,0,$B$14,1), 1*(_xlfn._xlws.FILTER(OFFSET($O$15,0,$DN149,$B$8,1),OFFSET($M$15,0,0,$B$8,1))=DS$13), 1*(_xlfn._xlws.FILTER(OFFSET($O$15,0,$DO149,$B$8,1),OFFSET($M$15,0,0,$B$8,1))=DS$14))   /   SUM(OFFSET($BO$15,0,0,$B$14,1)) + $B$18/($B$19*$B$19*($DN149&lt;&gt;$DO149) + $B$19*($DN149=$DO149))</f>
        <v>3.7037037037037035E-4</v>
      </c>
      <c r="DT149" s="10" cm="1">
        <f t="array" aca="1" ref="DT149" ca="1">(1-$B$18)*SUMPRODUCT(OFFSET($BO$15,0,0,$B$14,1), 1*(_xlfn._xlws.FILTER(OFFSET($O$15,0,$DN149,$B$8,1),OFFSET($M$15,0,0,$B$8,1))=DT$13), 1*(_xlfn._xlws.FILTER(OFFSET($O$15,0,$DO149,$B$8,1),OFFSET($M$15,0,0,$B$8,1))=DT$14))   /   SUM(OFFSET($BO$15,0,0,$B$14,1)) + $B$18/($B$19*$B$19*($DN149&lt;&gt;$DO149) + $B$19*($DN149=$DO149))</f>
        <v>3.7037037037037035E-4</v>
      </c>
      <c r="DU149" s="10" cm="1">
        <f t="array" aca="1" ref="DU149" ca="1">(1-$B$18)*SUMPRODUCT(OFFSET($BO$15,0,0,$B$14,1), 1*(_xlfn._xlws.FILTER(OFFSET($O$15,0,$DN149,$B$8,1),OFFSET($M$15,0,0,$B$8,1))=DU$13), 1*(_xlfn._xlws.FILTER(OFFSET($O$15,0,$DO149,$B$8,1),OFFSET($M$15,0,0,$B$8,1))=DU$14))   /   SUM(OFFSET($BO$15,0,0,$B$14,1)) + $B$18/($B$19*$B$19*($DN149&lt;&gt;$DO149) + $B$19*($DN149=$DO149))</f>
        <v>3.7037037037037035E-4</v>
      </c>
      <c r="DV149" s="10" cm="1">
        <f t="array" aca="1" ref="DV149" ca="1">(1-$B$18)*SUMPRODUCT(OFFSET($BO$15,0,0,$B$14,1), 1*(_xlfn._xlws.FILTER(OFFSET($O$15,0,$DN149,$B$8,1),OFFSET($M$15,0,0,$B$8,1))=DV$13), 1*(_xlfn._xlws.FILTER(OFFSET($O$15,0,$DO149,$B$8,1),OFFSET($M$15,0,0,$B$8,1))=DV$14))   /   SUM(OFFSET($BO$15,0,0,$B$14,1)) + $B$18/($B$19*$B$19*($DN149&lt;&gt;$DO149) + $B$19*($DN149=$DO149))</f>
        <v>3.7037037037037035E-4</v>
      </c>
      <c r="DW149" s="10" cm="1">
        <f t="array" aca="1" ref="DW149" ca="1">(1-$B$18)*SUMPRODUCT(OFFSET($BO$15,0,0,$B$14,1), 1*(_xlfn._xlws.FILTER(OFFSET($O$15,0,$DN149,$B$8,1),OFFSET($M$15,0,0,$B$8,1))=DW$13), 1*(_xlfn._xlws.FILTER(OFFSET($O$15,0,$DO149,$B$8,1),OFFSET($M$15,0,0,$B$8,1))=DW$14))   /   SUM(OFFSET($BO$15,0,0,$B$14,1)) + $B$18/($B$19*$B$19*($DN149&lt;&gt;$DO149) + $B$19*($DN149=$DO149))</f>
        <v>3.7037037037037035E-4</v>
      </c>
      <c r="DX149" s="10" cm="1">
        <f t="array" aca="1" ref="DX149" ca="1">(1-$B$18)*SUMPRODUCT(OFFSET($BO$15,0,0,$B$14,1), 1*(_xlfn._xlws.FILTER(OFFSET($O$15,0,$DN149,$B$8,1),OFFSET($M$15,0,0,$B$8,1))=DX$13), 1*(_xlfn._xlws.FILTER(OFFSET($O$15,0,$DO149,$B$8,1),OFFSET($M$15,0,0,$B$8,1))=DX$14))   /   SUM(OFFSET($BO$15,0,0,$B$14,1)) + $B$18/($B$19*$B$19*($DN149&lt;&gt;$DO149) + $B$19*($DN149=$DO149))</f>
        <v>3.7037037037037035E-4</v>
      </c>
      <c r="DY149" s="10" cm="1">
        <f t="array" aca="1" ref="DY149" ca="1">(1-$B$18)*SUMPRODUCT(OFFSET($BO$15,0,0,$B$14,1), 1*(_xlfn._xlws.FILTER(OFFSET($O$15,0,$DN149,$B$8,1),OFFSET($M$15,0,0,$B$8,1))=DY$13), 1*(_xlfn._xlws.FILTER(OFFSET($O$15,0,$DO149,$B$8,1),OFFSET($M$15,0,0,$B$8,1))=DY$14))   /   SUM(OFFSET($BO$15,0,0,$B$14,1)) + $B$18/($B$19*$B$19*($DN149&lt;&gt;$DO149) + $B$19*($DN149=$DO149))</f>
        <v>3.7037037037037035E-4</v>
      </c>
      <c r="DZ149" s="10" cm="1">
        <f t="array" aca="1" ref="DZ149" ca="1">(1-$B$18)*SUMPRODUCT(OFFSET($BO$15,0,0,$B$14,1), 1*(_xlfn._xlws.FILTER(OFFSET($O$15,0,$DN149,$B$8,1),OFFSET($M$15,0,0,$B$8,1))=DZ$13), 1*(_xlfn._xlws.FILTER(OFFSET($O$15,0,$DO149,$B$8,1),OFFSET($M$15,0,0,$B$8,1))=DZ$14))   /   SUM(OFFSET($BO$15,0,0,$B$14,1)) + $B$18/($B$19*$B$19*($DN149&lt;&gt;$DO149) + $B$19*($DN149=$DO149))</f>
        <v>3.7037037037037035E-4</v>
      </c>
      <c r="EA149" s="10" cm="1">
        <f t="array" aca="1" ref="EA149" ca="1">(1-$B$18)*SUMPRODUCT(OFFSET($BO$15,0,0,$B$14,1), 1*(_xlfn._xlws.FILTER(OFFSET($O$15,0,$DN149,$B$8,1),OFFSET($M$15,0,0,$B$8,1))=EA$13), 1*(_xlfn._xlws.FILTER(OFFSET($O$15,0,$DO149,$B$8,1),OFFSET($M$15,0,0,$B$8,1))=EA$14))   /   SUM(OFFSET($BO$15,0,0,$B$14,1)) + $B$18/($B$19*$B$19*($DN149&lt;&gt;$DO149) + $B$19*($DN149=$DO149))</f>
        <v>3.7037037037037035E-4</v>
      </c>
      <c r="EB149" s="10" cm="1">
        <f t="array" aca="1" ref="EB149" ca="1">(1-$B$18)*SUMPRODUCT(OFFSET($BO$15,0,0,$B$14,1), 1*(_xlfn._xlws.FILTER(OFFSET($O$15,0,$DN149,$B$8,1),OFFSET($M$15,0,0,$B$8,1))=EB$13), 1*(_xlfn._xlws.FILTER(OFFSET($O$15,0,$DO149,$B$8,1),OFFSET($M$15,0,0,$B$8,1))=EB$14))   /   SUM(OFFSET($BO$15,0,0,$B$14,1)) + $B$18/($B$19*$B$19*($DN149&lt;&gt;$DO149) + $B$19*($DN149=$DO149))</f>
        <v>3.7037037037037035E-4</v>
      </c>
      <c r="EC149" s="10" cm="1">
        <f t="array" aca="1" ref="EC149" ca="1">(1-$B$18)*SUMPRODUCT(OFFSET($BO$15,0,0,$B$14,1), 1*(_xlfn._xlws.FILTER(OFFSET($O$15,0,$DN149,$B$8,1),OFFSET($M$15,0,0,$B$8,1))=EC$13), 1*(_xlfn._xlws.FILTER(OFFSET($O$15,0,$DO149,$B$8,1),OFFSET($M$15,0,0,$B$8,1))=EC$14))   /   SUM(OFFSET($BO$15,0,0,$B$14,1)) + $B$18/($B$19*$B$19*($DN149&lt;&gt;$DO149) + $B$19*($DN149=$DO149))</f>
        <v>3.7037037037037035E-4</v>
      </c>
      <c r="ED149" s="10" cm="1">
        <f t="array" aca="1" ref="ED149" ca="1">(1-$B$18)*SUMPRODUCT(OFFSET($BO$15,0,0,$B$14,1), 1*(_xlfn._xlws.FILTER(OFFSET($O$15,0,$DN149,$B$8,1),OFFSET($M$15,0,0,$B$8,1))=ED$13), 1*(_xlfn._xlws.FILTER(OFFSET($O$15,0,$DO149,$B$8,1),OFFSET($M$15,0,0,$B$8,1))=ED$14))   /   SUM(OFFSET($BO$15,0,0,$B$14,1)) + $B$18/($B$19*$B$19*($DN149&lt;&gt;$DO149) + $B$19*($DN149=$DO149))</f>
        <v>3.7037037037037035E-4</v>
      </c>
      <c r="EE149" s="10" cm="1">
        <f t="array" aca="1" ref="EE149" ca="1">(1-$B$18)*SUMPRODUCT(OFFSET($BO$15,0,0,$B$14,1), 1*(_xlfn._xlws.FILTER(OFFSET($O$15,0,$DN149,$B$8,1),OFFSET($M$15,0,0,$B$8,1))=EE$13), 1*(_xlfn._xlws.FILTER(OFFSET($O$15,0,$DO149,$B$8,1),OFFSET($M$15,0,0,$B$8,1))=EE$14))   /   SUM(OFFSET($BO$15,0,0,$B$14,1)) + $B$18/($B$19*$B$19*($DN149&lt;&gt;$DO149) + $B$19*($DN149=$DO149))</f>
        <v>3.7037037037037035E-4</v>
      </c>
      <c r="EF149" s="10" cm="1">
        <f t="array" aca="1" ref="EF149" ca="1">(1-$B$18)*SUMPRODUCT(OFFSET($BO$15,0,0,$B$14,1), 1*(_xlfn._xlws.FILTER(OFFSET($O$15,0,$DN149,$B$8,1),OFFSET($M$15,0,0,$B$8,1))=EF$13), 1*(_xlfn._xlws.FILTER(OFFSET($O$15,0,$DO149,$B$8,1),OFFSET($M$15,0,0,$B$8,1))=EF$14))   /   SUM(OFFSET($BO$15,0,0,$B$14,1)) + $B$18/($B$19*$B$19*($DN149&lt;&gt;$DO149) + $B$19*($DN149=$DO149))</f>
        <v>3.7037037037037035E-4</v>
      </c>
      <c r="EG149" s="10" cm="1">
        <f t="array" aca="1" ref="EG149" ca="1">(1-$B$18)*SUMPRODUCT(OFFSET($BO$15,0,0,$B$14,1), 1*(_xlfn._xlws.FILTER(OFFSET($O$15,0,$DN149,$B$8,1),OFFSET($M$15,0,0,$B$8,1))=EG$13), 1*(_xlfn._xlws.FILTER(OFFSET($O$15,0,$DO149,$B$8,1),OFFSET($M$15,0,0,$B$8,1))=EG$14))   /   SUM(OFFSET($BO$15,0,0,$B$14,1)) + $B$18/($B$19*$B$19*($DN149&lt;&gt;$DO149) + $B$19*($DN149=$DO149))</f>
        <v>3.7037037037037035E-4</v>
      </c>
      <c r="EH149" s="10" cm="1">
        <f t="array" aca="1" ref="EH149" ca="1">(1-$B$18)*SUMPRODUCT(OFFSET($BO$15,0,0,$B$14,1), 1*(_xlfn._xlws.FILTER(OFFSET($O$15,0,$DN149,$B$8,1),OFFSET($M$15,0,0,$B$8,1))=EH$13), 1*(_xlfn._xlws.FILTER(OFFSET($O$15,0,$DO149,$B$8,1),OFFSET($M$15,0,0,$B$8,1))=EH$14))   /   SUM(OFFSET($BO$15,0,0,$B$14,1)) + $B$18/($B$19*$B$19*($DN149&lt;&gt;$DO149) + $B$19*($DN149=$DO149))</f>
        <v>3.7037037037037035E-4</v>
      </c>
      <c r="EI149" s="10" cm="1">
        <f t="array" aca="1" ref="EI149" ca="1">(1-$B$18)*SUMPRODUCT(OFFSET($BO$15,0,0,$B$14,1), 1*(_xlfn._xlws.FILTER(OFFSET($O$15,0,$DN149,$B$8,1),OFFSET($M$15,0,0,$B$8,1))=EI$13), 1*(_xlfn._xlws.FILTER(OFFSET($O$15,0,$DO149,$B$8,1),OFFSET($M$15,0,0,$B$8,1))=EI$14))   /   SUM(OFFSET($BO$15,0,0,$B$14,1)) + $B$18/($B$19*$B$19*($DN149&lt;&gt;$DO149) + $B$19*($DN149=$DO149))</f>
        <v>3.7037037037037035E-4</v>
      </c>
      <c r="EJ149" s="10" cm="1">
        <f t="array" aca="1" ref="EJ149" ca="1">(1-$B$18)*SUMPRODUCT(OFFSET($BO$15,0,0,$B$14,1), 1*(_xlfn._xlws.FILTER(OFFSET($O$15,0,$DN149,$B$8,1),OFFSET($M$15,0,0,$B$8,1))=EJ$13), 1*(_xlfn._xlws.FILTER(OFFSET($O$15,0,$DO149,$B$8,1),OFFSET($M$15,0,0,$B$8,1))=EJ$14))   /   SUM(OFFSET($BO$15,0,0,$B$14,1)) + $B$18/($B$19*$B$19*($DN149&lt;&gt;$DO149) + $B$19*($DN149=$DO149))</f>
        <v>3.7037037037037035E-4</v>
      </c>
      <c r="EK149" s="10" cm="1">
        <f t="array" aca="1" ref="EK149" ca="1">(1-$B$18)*SUMPRODUCT(OFFSET($BO$15,0,0,$B$14,1), 1*(_xlfn._xlws.FILTER(OFFSET($O$15,0,$DN149,$B$8,1),OFFSET($M$15,0,0,$B$8,1))=EK$13), 1*(_xlfn._xlws.FILTER(OFFSET($O$15,0,$DO149,$B$8,1),OFFSET($M$15,0,0,$B$8,1))=EK$14))   /   SUM(OFFSET($BO$15,0,0,$B$14,1)) + $B$18/($B$19*$B$19*($DN149&lt;&gt;$DO149) + $B$19*($DN149=$DO149))</f>
        <v>3.7037037037037035E-4</v>
      </c>
      <c r="EL149" s="10" cm="1">
        <f t="array" aca="1" ref="EL149" ca="1">(1-$B$18)*SUMPRODUCT(OFFSET($BO$15,0,0,$B$14,1), 1*(_xlfn._xlws.FILTER(OFFSET($O$15,0,$DN149,$B$8,1),OFFSET($M$15,0,0,$B$8,1))=EL$13), 1*(_xlfn._xlws.FILTER(OFFSET($O$15,0,$DO149,$B$8,1),OFFSET($M$15,0,0,$B$8,1))=EL$14))   /   SUM(OFFSET($BO$15,0,0,$B$14,1)) + $B$18/($B$19*$B$19*($DN149&lt;&gt;$DO149) + $B$19*($DN149=$DO149))</f>
        <v>3.7037037037037035E-4</v>
      </c>
      <c r="EM149" s="10" cm="1">
        <f t="array" aca="1" ref="EM149" ca="1">(1-$B$18)*SUMPRODUCT(OFFSET($BO$15,0,0,$B$14,1), 1*(_xlfn._xlws.FILTER(OFFSET($O$15,0,$DN149,$B$8,1),OFFSET($M$15,0,0,$B$8,1))=EM$13), 1*(_xlfn._xlws.FILTER(OFFSET($O$15,0,$DO149,$B$8,1),OFFSET($M$15,0,0,$B$8,1))=EM$14))   /   SUM(OFFSET($BO$15,0,0,$B$14,1)) + $B$18/($B$19*$B$19*($DN149&lt;&gt;$DO149) + $B$19*($DN149=$DO149))</f>
        <v>3.7037037037037035E-4</v>
      </c>
      <c r="EN149" s="10" cm="1">
        <f t="array" aca="1" ref="EN149" ca="1">(1-$B$18)*SUMPRODUCT(OFFSET($BO$15,0,0,$B$14,1), 1*(_xlfn._xlws.FILTER(OFFSET($O$15,0,$DN149,$B$8,1),OFFSET($M$15,0,0,$B$8,1))=EN$13), 1*(_xlfn._xlws.FILTER(OFFSET($O$15,0,$DO149,$B$8,1),OFFSET($M$15,0,0,$B$8,1))=EN$14))   /   SUM(OFFSET($BO$15,0,0,$B$14,1)) + $B$18/($B$19*$B$19*($DN149&lt;&gt;$DO149) + $B$19*($DN149=$DO149))</f>
        <v>3.7037037037037035E-4</v>
      </c>
      <c r="EO149" s="10" cm="1">
        <f t="array" aca="1" ref="EO149" ca="1">(1-$B$18)*SUMPRODUCT(OFFSET($BO$15,0,0,$B$14,1), 1*(_xlfn._xlws.FILTER(OFFSET($O$15,0,$DN149,$B$8,1),OFFSET($M$15,0,0,$B$8,1))=EO$13), 1*(_xlfn._xlws.FILTER(OFFSET($O$15,0,$DO149,$B$8,1),OFFSET($M$15,0,0,$B$8,1))=EO$14))   /   SUM(OFFSET($BO$15,0,0,$B$14,1)) + $B$18/($B$19*$B$19*($DN149&lt;&gt;$DO149) + $B$19*($DN149=$DO149))</f>
        <v>3.7037037037037035E-4</v>
      </c>
      <c r="EP149" s="10" cm="1">
        <f t="array" aca="1" ref="EP149" ca="1">(1-$B$18)*SUMPRODUCT(OFFSET($BO$15,0,0,$B$14,1), 1*(_xlfn._xlws.FILTER(OFFSET($O$15,0,$DN149,$B$8,1),OFFSET($M$15,0,0,$B$8,1))=EP$13), 1*(_xlfn._xlws.FILTER(OFFSET($O$15,0,$DO149,$B$8,1),OFFSET($M$15,0,0,$B$8,1))=EP$14))   /   SUM(OFFSET($BO$15,0,0,$B$14,1)) + $B$18/($B$19*$B$19*($DN149&lt;&gt;$DO149) + $B$19*($DN149=$DO149))</f>
        <v>3.7037037037037035E-4</v>
      </c>
      <c r="EQ149" s="10" cm="1">
        <f t="array" aca="1" ref="EQ149" ca="1">(1-$B$18)*SUMPRODUCT(OFFSET($BO$15,0,0,$B$14,1), 1*(_xlfn._xlws.FILTER(OFFSET($O$15,0,$DN149,$B$8,1),OFFSET($M$15,0,0,$B$8,1))=EQ$13), 1*(_xlfn._xlws.FILTER(OFFSET($O$15,0,$DO149,$B$8,1),OFFSET($M$15,0,0,$B$8,1))=EQ$14))   /   SUM(OFFSET($BO$15,0,0,$B$14,1)) + $B$18/($B$19*$B$19*($DN149&lt;&gt;$DO149) + $B$19*($DN149=$DO149))</f>
        <v>3.7037037037037035E-4</v>
      </c>
      <c r="ER149" s="10" cm="1">
        <f t="array" aca="1" ref="ER149" ca="1">(1-$B$18)*SUMPRODUCT(OFFSET($BO$15,0,0,$B$14,1), 1*(_xlfn._xlws.FILTER(OFFSET($O$15,0,$DN149,$B$8,1),OFFSET($M$15,0,0,$B$8,1))=ER$13), 1*(_xlfn._xlws.FILTER(OFFSET($O$15,0,$DO149,$B$8,1),OFFSET($M$15,0,0,$B$8,1))=ER$14))   /   SUM(OFFSET($BO$15,0,0,$B$14,1)) + $B$18/($B$19*$B$19*($DN149&lt;&gt;$DO149) + $B$19*($DN149=$DO149))</f>
        <v>3.7037037037037035E-4</v>
      </c>
      <c r="ES149" s="10" cm="1">
        <f t="array" aca="1" ref="ES149" ca="1">(1-$B$18)*SUMPRODUCT(OFFSET($BO$15,0,0,$B$14,1), 1*(_xlfn._xlws.FILTER(OFFSET($O$15,0,$DN149,$B$8,1),OFFSET($M$15,0,0,$B$8,1))=ES$13), 1*(_xlfn._xlws.FILTER(OFFSET($O$15,0,$DO149,$B$8,1),OFFSET($M$15,0,0,$B$8,1))=ES$14))   /   SUM(OFFSET($BO$15,0,0,$B$14,1)) + $B$18/($B$19*$B$19*($DN149&lt;&gt;$DO149) + $B$19*($DN149=$DO149))</f>
        <v>3.7037037037037035E-4</v>
      </c>
      <c r="ET149" s="10" cm="1">
        <f t="array" aca="1" ref="ET149" ca="1">(1-$B$18)*SUMPRODUCT(OFFSET($BO$15,0,0,$B$14,1), 1*(_xlfn._xlws.FILTER(OFFSET($O$15,0,$DN149,$B$8,1),OFFSET($M$15,0,0,$B$8,1))=ET$13), 1*(_xlfn._xlws.FILTER(OFFSET($O$15,0,$DO149,$B$8,1),OFFSET($M$15,0,0,$B$8,1))=ET$14))   /   SUM(OFFSET($BO$15,0,0,$B$14,1)) + $B$18/($B$19*$B$19*($DN149&lt;&gt;$DO149) + $B$19*($DN149=$DO149))</f>
        <v>3.7037037037037035E-4</v>
      </c>
      <c r="EU149" s="10" cm="1">
        <f t="array" aca="1" ref="EU149" ca="1">(1-$B$18)*SUMPRODUCT(OFFSET($BO$15,0,0,$B$14,1), 1*(_xlfn._xlws.FILTER(OFFSET($O$15,0,$DN149,$B$8,1),OFFSET($M$15,0,0,$B$8,1))=EU$13), 1*(_xlfn._xlws.FILTER(OFFSET($O$15,0,$DO149,$B$8,1),OFFSET($M$15,0,0,$B$8,1))=EU$14))   /   SUM(OFFSET($BO$15,0,0,$B$14,1)) + $B$18/($B$19*$B$19*($DN149&lt;&gt;$DO149) + $B$19*($DN149=$DO149))</f>
        <v>3.7037037037037035E-4</v>
      </c>
      <c r="EV149" s="10" cm="1">
        <f t="array" aca="1" ref="EV149" ca="1">(1-$B$18)*SUMPRODUCT(OFFSET($BO$15,0,0,$B$14,1), 1*(_xlfn._xlws.FILTER(OFFSET($O$15,0,$DN149,$B$8,1),OFFSET($M$15,0,0,$B$8,1))=EV$13), 1*(_xlfn._xlws.FILTER(OFFSET($O$15,0,$DO149,$B$8,1),OFFSET($M$15,0,0,$B$8,1))=EV$14))   /   SUM(OFFSET($BO$15,0,0,$B$14,1)) + $B$18/($B$19*$B$19*($DN149&lt;&gt;$DO149) + $B$19*($DN149=$DO149))</f>
        <v>3.7037037037037035E-4</v>
      </c>
      <c r="EW149" s="10" cm="1">
        <f t="array" aca="1" ref="EW149" ca="1">(1-$B$18)*SUMPRODUCT(OFFSET($BO$15,0,0,$B$14,1), 1*(_xlfn._xlws.FILTER(OFFSET($O$15,0,$DN149,$B$8,1),OFFSET($M$15,0,0,$B$8,1))=EW$13), 1*(_xlfn._xlws.FILTER(OFFSET($O$15,0,$DO149,$B$8,1),OFFSET($M$15,0,0,$B$8,1))=EW$14))   /   SUM(OFFSET($BO$15,0,0,$B$14,1)) + $B$18/($B$19*$B$19*($DN149&lt;&gt;$DO149) + $B$19*($DN149=$DO149))</f>
        <v>3.7037037037037035E-4</v>
      </c>
      <c r="EX149" s="10" cm="1">
        <f t="array" aca="1" ref="EX149" ca="1">(1-$B$18)*SUMPRODUCT(OFFSET($BO$15,0,0,$B$14,1), 1*(_xlfn._xlws.FILTER(OFFSET($O$15,0,$DN149,$B$8,1),OFFSET($M$15,0,0,$B$8,1))=EX$13), 1*(_xlfn._xlws.FILTER(OFFSET($O$15,0,$DO149,$B$8,1),OFFSET($M$15,0,0,$B$8,1))=EX$14))   /   SUM(OFFSET($BO$15,0,0,$B$14,1)) + $B$18/($B$19*$B$19*($DN149&lt;&gt;$DO149) + $B$19*($DN149=$DO149))</f>
        <v>3.7037037037037035E-4</v>
      </c>
      <c r="EY149" s="10" cm="1">
        <f t="array" aca="1" ref="EY149" ca="1">(1-$B$18)*SUMPRODUCT(OFFSET($BO$15,0,0,$B$14,1), 1*(_xlfn._xlws.FILTER(OFFSET($O$15,0,$DN149,$B$8,1),OFFSET($M$15,0,0,$B$8,1))=EY$13), 1*(_xlfn._xlws.FILTER(OFFSET($O$15,0,$DO149,$B$8,1),OFFSET($M$15,0,0,$B$8,1))=EY$14))   /   SUM(OFFSET($BO$15,0,0,$B$14,1)) + $B$18/($B$19*$B$19*($DN149&lt;&gt;$DO149) + $B$19*($DN149=$DO149))</f>
        <v>3.7037037037037035E-4</v>
      </c>
      <c r="EZ149" s="10" cm="1">
        <f t="array" aca="1" ref="EZ149" ca="1">(1-$B$18)*SUMPRODUCT(OFFSET($BO$15,0,0,$B$14,1), 1*(_xlfn._xlws.FILTER(OFFSET($O$15,0,$DN149,$B$8,1),OFFSET($M$15,0,0,$B$8,1))=EZ$13), 1*(_xlfn._xlws.FILTER(OFFSET($O$15,0,$DO149,$B$8,1),OFFSET($M$15,0,0,$B$8,1))=EZ$14))   /   SUM(OFFSET($BO$15,0,0,$B$14,1)) + $B$18/($B$19*$B$19*($DN149&lt;&gt;$DO149) + $B$19*($DN149=$DO149))</f>
        <v>3.7037037037037035E-4</v>
      </c>
      <c r="FA149" s="10" cm="1">
        <f t="array" aca="1" ref="FA149" ca="1">(1-$B$18)*SUMPRODUCT(OFFSET($BO$15,0,0,$B$14,1), 1*(_xlfn._xlws.FILTER(OFFSET($O$15,0,$DN149,$B$8,1),OFFSET($M$15,0,0,$B$8,1))=FA$13), 1*(_xlfn._xlws.FILTER(OFFSET($O$15,0,$DO149,$B$8,1),OFFSET($M$15,0,0,$B$8,1))=FA$14))   /   SUM(OFFSET($BO$15,0,0,$B$14,1)) + $B$18/($B$19*$B$19*($DN149&lt;&gt;$DO149) + $B$19*($DN149=$DO149))</f>
        <v>3.7037037037037035E-4</v>
      </c>
      <c r="FB149" s="10" cm="1">
        <f t="array" aca="1" ref="FB149" ca="1">(1-$B$18)*SUMPRODUCT(OFFSET($BO$15,0,0,$B$14,1), 1*(_xlfn._xlws.FILTER(OFFSET($O$15,0,$DN149,$B$8,1),OFFSET($M$15,0,0,$B$8,1))=FB$13), 1*(_xlfn._xlws.FILTER(OFFSET($O$15,0,$DO149,$B$8,1),OFFSET($M$15,0,0,$B$8,1))=FB$14))   /   SUM(OFFSET($BO$15,0,0,$B$14,1)) + $B$18/($B$19*$B$19*($DN149&lt;&gt;$DO149) + $B$19*($DN149=$DO149))</f>
        <v>3.7037037037037035E-4</v>
      </c>
      <c r="FC149" s="10" cm="1">
        <f t="array" aca="1" ref="FC149" ca="1">(1-$B$18)*SUMPRODUCT(OFFSET($BO$15,0,0,$B$14,1), 1*(_xlfn._xlws.FILTER(OFFSET($O$15,0,$DN149,$B$8,1),OFFSET($M$15,0,0,$B$8,1))=FC$13), 1*(_xlfn._xlws.FILTER(OFFSET($O$15,0,$DO149,$B$8,1),OFFSET($M$15,0,0,$B$8,1))=FC$14))   /   SUM(OFFSET($BO$15,0,0,$B$14,1)) + $B$18/($B$19*$B$19*($DN149&lt;&gt;$DO149) + $B$19*($DN149=$DO149))</f>
        <v>3.7037037037037035E-4</v>
      </c>
      <c r="FD149" s="10" cm="1">
        <f t="array" aca="1" ref="FD149" ca="1">(1-$B$18)*SUMPRODUCT(OFFSET($BO$15,0,0,$B$14,1), 1*(_xlfn._xlws.FILTER(OFFSET($O$15,0,$DN149,$B$8,1),OFFSET($M$15,0,0,$B$8,1))=FD$13), 1*(_xlfn._xlws.FILTER(OFFSET($O$15,0,$DO149,$B$8,1),OFFSET($M$15,0,0,$B$8,1))=FD$14))   /   SUM(OFFSET($BO$15,0,0,$B$14,1)) + $B$18/($B$19*$B$19*($DN149&lt;&gt;$DO149) + $B$19*($DN149=$DO149))</f>
        <v>3.7037037037037035E-4</v>
      </c>
      <c r="FE149" s="10" cm="1">
        <f t="array" aca="1" ref="FE149" ca="1">(1-$B$18)*SUMPRODUCT(OFFSET($BO$15,0,0,$B$14,1), 1*(_xlfn._xlws.FILTER(OFFSET($O$15,0,$DN149,$B$8,1),OFFSET($M$15,0,0,$B$8,1))=FE$13), 1*(_xlfn._xlws.FILTER(OFFSET($O$15,0,$DO149,$B$8,1),OFFSET($M$15,0,0,$B$8,1))=FE$14))   /   SUM(OFFSET($BO$15,0,0,$B$14,1)) + $B$18/($B$19*$B$19*($DN149&lt;&gt;$DO149) + $B$19*($DN149=$DO149))</f>
        <v>3.7037037037037035E-4</v>
      </c>
      <c r="FF149" s="10" cm="1">
        <f t="array" aca="1" ref="FF149" ca="1">(1-$B$18)*SUMPRODUCT(OFFSET($BO$15,0,0,$B$14,1), 1*(_xlfn._xlws.FILTER(OFFSET($O$15,0,$DN149,$B$8,1),OFFSET($M$15,0,0,$B$8,1))=FF$13), 1*(_xlfn._xlws.FILTER(OFFSET($O$15,0,$DO149,$B$8,1),OFFSET($M$15,0,0,$B$8,1))=FF$14))   /   SUM(OFFSET($BO$15,0,0,$B$14,1)) + $B$18/($B$19*$B$19*($DN149&lt;&gt;$DO149) + $B$19*($DN149=$DO149))</f>
        <v>3.7037037037037035E-4</v>
      </c>
      <c r="FG149" s="10" cm="1">
        <f t="array" aca="1" ref="FG149" ca="1">(1-$B$18)*SUMPRODUCT(OFFSET($BO$15,0,0,$B$14,1), 1*(_xlfn._xlws.FILTER(OFFSET($O$15,0,$DN149,$B$8,1),OFFSET($M$15,0,0,$B$8,1))=FG$13), 1*(_xlfn._xlws.FILTER(OFFSET($O$15,0,$DO149,$B$8,1),OFFSET($M$15,0,0,$B$8,1))=FG$14))   /   SUM(OFFSET($BO$15,0,0,$B$14,1)) + $B$18/($B$19*$B$19*($DN149&lt;&gt;$DO149) + $B$19*($DN149=$DO149))</f>
        <v>3.7037037037037035E-4</v>
      </c>
      <c r="FH149" s="10" cm="1">
        <f t="array" aca="1" ref="FH149" ca="1">(1-$B$18)*SUMPRODUCT(OFFSET($BO$15,0,0,$B$14,1), 1*(_xlfn._xlws.FILTER(OFFSET($O$15,0,$DN149,$B$8,1),OFFSET($M$15,0,0,$B$8,1))=FH$13), 1*(_xlfn._xlws.FILTER(OFFSET($O$15,0,$DO149,$B$8,1),OFFSET($M$15,0,0,$B$8,1))=FH$14))   /   SUM(OFFSET($BO$15,0,0,$B$14,1)) + $B$18/($B$19*$B$19*($DN149&lt;&gt;$DO149) + $B$19*($DN149=$DO149))</f>
        <v>3.7037037037037035E-4</v>
      </c>
      <c r="FI149" s="10" cm="1">
        <f t="array" aca="1" ref="FI149" ca="1">(1-$B$18)*SUMPRODUCT(OFFSET($BO$15,0,0,$B$14,1), 1*(_xlfn._xlws.FILTER(OFFSET($O$15,0,$DN149,$B$8,1),OFFSET($M$15,0,0,$B$8,1))=FI$13), 1*(_xlfn._xlws.FILTER(OFFSET($O$15,0,$DO149,$B$8,1),OFFSET($M$15,0,0,$B$8,1))=FI$14))   /   SUM(OFFSET($BO$15,0,0,$B$14,1)) + $B$18/($B$19*$B$19*($DN149&lt;&gt;$DO149) + $B$19*($DN149=$DO149))</f>
        <v>3.7037037037037035E-4</v>
      </c>
      <c r="FJ149" s="10" cm="1">
        <f t="array" aca="1" ref="FJ149" ca="1">(1-$B$18)*SUMPRODUCT(OFFSET($BO$15,0,0,$B$14,1), 1*(_xlfn._xlws.FILTER(OFFSET($O$15,0,$DN149,$B$8,1),OFFSET($M$15,0,0,$B$8,1))=FJ$13), 1*(_xlfn._xlws.FILTER(OFFSET($O$15,0,$DO149,$B$8,1),OFFSET($M$15,0,0,$B$8,1))=FJ$14))   /   SUM(OFFSET($BO$15,0,0,$B$14,1)) + $B$18/($B$19*$B$19*($DN149&lt;&gt;$DO149) + $B$19*($DN149=$DO149))</f>
        <v>3.7037037037037035E-4</v>
      </c>
      <c r="FK149" s="10" cm="1">
        <f t="array" aca="1" ref="FK149" ca="1">(1-$B$18)*SUMPRODUCT(OFFSET($BO$15,0,0,$B$14,1), 1*(_xlfn._xlws.FILTER(OFFSET($O$15,0,$DN149,$B$8,1),OFFSET($M$15,0,0,$B$8,1))=FK$13), 1*(_xlfn._xlws.FILTER(OFFSET($O$15,0,$DO149,$B$8,1),OFFSET($M$15,0,0,$B$8,1))=FK$14))   /   SUM(OFFSET($BO$15,0,0,$B$14,1)) + $B$18/($B$19*$B$19*($DN149&lt;&gt;$DO149) + $B$19*($DN149=$DO149))</f>
        <v>3.7037037037037035E-4</v>
      </c>
      <c r="FL149" s="10" cm="1">
        <f t="array" aca="1" ref="FL149" ca="1">(1-$B$18)*SUMPRODUCT(OFFSET($BO$15,0,0,$B$14,1), 1*(_xlfn._xlws.FILTER(OFFSET($O$15,0,$DN149,$B$8,1),OFFSET($M$15,0,0,$B$8,1))=FL$13), 1*(_xlfn._xlws.FILTER(OFFSET($O$15,0,$DO149,$B$8,1),OFFSET($M$15,0,0,$B$8,1))=FL$14))   /   SUM(OFFSET($BO$15,0,0,$B$14,1)) + $B$18/($B$19*$B$19*($DN149&lt;&gt;$DO149) + $B$19*($DN149=$DO149))</f>
        <v>3.7037037037037035E-4</v>
      </c>
      <c r="FM149" s="10" cm="1">
        <f t="array" aca="1" ref="FM149" ca="1">(1-$B$18)*SUMPRODUCT(OFFSET($BO$15,0,0,$B$14,1), 1*(_xlfn._xlws.FILTER(OFFSET($O$15,0,$DN149,$B$8,1),OFFSET($M$15,0,0,$B$8,1))=FM$13), 1*(_xlfn._xlws.FILTER(OFFSET($O$15,0,$DO149,$B$8,1),OFFSET($M$15,0,0,$B$8,1))=FM$14))   /   SUM(OFFSET($BO$15,0,0,$B$14,1)) + $B$18/($B$19*$B$19*($DN149&lt;&gt;$DO149) + $B$19*($DN149=$DO149))</f>
        <v>3.7037037037037035E-4</v>
      </c>
      <c r="FN149" s="10" cm="1">
        <f t="array" aca="1" ref="FN149" ca="1">(1-$B$18)*SUMPRODUCT(OFFSET($BO$15,0,0,$B$14,1), 1*(_xlfn._xlws.FILTER(OFFSET($O$15,0,$DN149,$B$8,1),OFFSET($M$15,0,0,$B$8,1))=FN$13), 1*(_xlfn._xlws.FILTER(OFFSET($O$15,0,$DO149,$B$8,1),OFFSET($M$15,0,0,$B$8,1))=FN$14))   /   SUM(OFFSET($BO$15,0,0,$B$14,1)) + $B$18/($B$19*$B$19*($DN149&lt;&gt;$DO149) + $B$19*($DN149=$DO149))</f>
        <v>3.7037037037037035E-4</v>
      </c>
      <c r="FO149" s="10" cm="1">
        <f t="array" aca="1" ref="FO149" ca="1">(1-$B$18)*SUMPRODUCT(OFFSET($BO$15,0,0,$B$14,1), 1*(_xlfn._xlws.FILTER(OFFSET($O$15,0,$DN149,$B$8,1),OFFSET($M$15,0,0,$B$8,1))=FO$13), 1*(_xlfn._xlws.FILTER(OFFSET($O$15,0,$DO149,$B$8,1),OFFSET($M$15,0,0,$B$8,1))=FO$14))   /   SUM(OFFSET($BO$15,0,0,$B$14,1)) + $B$18/($B$19*$B$19*($DN149&lt;&gt;$DO149) + $B$19*($DN149=$DO149))</f>
        <v>3.7037037037037035E-4</v>
      </c>
      <c r="FP149" s="10" cm="1">
        <f t="array" aca="1" ref="FP149" ca="1">(1-$B$18)*SUMPRODUCT(OFFSET($BO$15,0,0,$B$14,1), 1*(_xlfn._xlws.FILTER(OFFSET($O$15,0,$DN149,$B$8,1),OFFSET($M$15,0,0,$B$8,1))=FP$13), 1*(_xlfn._xlws.FILTER(OFFSET($O$15,0,$DO149,$B$8,1),OFFSET($M$15,0,0,$B$8,1))=FP$14))   /   SUM(OFFSET($BO$15,0,0,$B$14,1)) + $B$18/($B$19*$B$19*($DN149&lt;&gt;$DO149) + $B$19*($DN149=$DO149))</f>
        <v>3.7037037037037035E-4</v>
      </c>
      <c r="FQ149" s="10" cm="1">
        <f t="array" aca="1" ref="FQ149" ca="1">(1-$B$18)*SUMPRODUCT(OFFSET($BO$15,0,0,$B$14,1), 1*(_xlfn._xlws.FILTER(OFFSET($O$15,0,$DN149,$B$8,1),OFFSET($M$15,0,0,$B$8,1))=FQ$13), 1*(_xlfn._xlws.FILTER(OFFSET($O$15,0,$DO149,$B$8,1),OFFSET($M$15,0,0,$B$8,1))=FQ$14))   /   SUM(OFFSET($BO$15,0,0,$B$14,1)) + $B$18/($B$19*$B$19*($DN149&lt;&gt;$DO149) + $B$19*($DN149=$DO149))</f>
        <v>3.7037037037037035E-4</v>
      </c>
      <c r="FR149" s="10" cm="1">
        <f t="array" aca="1" ref="FR149" ca="1">(1-$B$18)*SUMPRODUCT(OFFSET($BO$15,0,0,$B$14,1), 1*(_xlfn._xlws.FILTER(OFFSET($O$15,0,$DN149,$B$8,1),OFFSET($M$15,0,0,$B$8,1))=FR$13), 1*(_xlfn._xlws.FILTER(OFFSET($O$15,0,$DO149,$B$8,1),OFFSET($M$15,0,0,$B$8,1))=FR$14))   /   SUM(OFFSET($BO$15,0,0,$B$14,1)) + $B$18/($B$19*$B$19*($DN149&lt;&gt;$DO149) + $B$19*($DN149=$DO149))</f>
        <v>0.97037037037037033</v>
      </c>
      <c r="FS149" s="10" cm="1">
        <f t="array" aca="1" ref="FS149" ca="1">(1-$B$18)*SUMPRODUCT(OFFSET($BO$15,0,0,$B$14,1), 1*(_xlfn._xlws.FILTER(OFFSET($O$15,0,$DN149,$B$8,1),OFFSET($M$15,0,0,$B$8,1))=FS$13), 1*(_xlfn._xlws.FILTER(OFFSET($O$15,0,$DO149,$B$8,1),OFFSET($M$15,0,0,$B$8,1))=FS$14))   /   SUM(OFFSET($BO$15,0,0,$B$14,1)) + $B$18/($B$19*$B$19*($DN149&lt;&gt;$DO149) + $B$19*($DN149=$DO149))</f>
        <v>3.7037037037037035E-4</v>
      </c>
      <c r="FT149" s="10" cm="1">
        <f t="array" aca="1" ref="FT149" ca="1">(1-$B$18)*SUMPRODUCT(OFFSET($BO$15,0,0,$B$14,1), 1*(_xlfn._xlws.FILTER(OFFSET($O$15,0,$DN149,$B$8,1),OFFSET($M$15,0,0,$B$8,1))=FT$13), 1*(_xlfn._xlws.FILTER(OFFSET($O$15,0,$DO149,$B$8,1),OFFSET($M$15,0,0,$B$8,1))=FT$14))   /   SUM(OFFSET($BO$15,0,0,$B$14,1)) + $B$18/($B$19*$B$19*($DN149&lt;&gt;$DO149) + $B$19*($DN149=$DO149))</f>
        <v>3.7037037037037035E-4</v>
      </c>
      <c r="FU149" s="10" cm="1">
        <f t="array" aca="1" ref="FU149" ca="1">(1-$B$18)*SUMPRODUCT(OFFSET($BO$15,0,0,$B$14,1), 1*(_xlfn._xlws.FILTER(OFFSET($O$15,0,$DN149,$B$8,1),OFFSET($M$15,0,0,$B$8,1))=FU$13), 1*(_xlfn._xlws.FILTER(OFFSET($O$15,0,$DO149,$B$8,1),OFFSET($M$15,0,0,$B$8,1))=FU$14))   /   SUM(OFFSET($BO$15,0,0,$B$14,1)) + $B$18/($B$19*$B$19*($DN149&lt;&gt;$DO149) + $B$19*($DN149=$DO149))</f>
        <v>3.7037037037037035E-4</v>
      </c>
      <c r="FV149" s="10" cm="1">
        <f t="array" aca="1" ref="FV149" ca="1">(1-$B$18)*SUMPRODUCT(OFFSET($BO$15,0,0,$B$14,1), 1*(_xlfn._xlws.FILTER(OFFSET($O$15,0,$DN149,$B$8,1),OFFSET($M$15,0,0,$B$8,1))=FV$13), 1*(_xlfn._xlws.FILTER(OFFSET($O$15,0,$DO149,$B$8,1),OFFSET($M$15,0,0,$B$8,1))=FV$14))   /   SUM(OFFSET($BO$15,0,0,$B$14,1)) + $B$18/($B$19*$B$19*($DN149&lt;&gt;$DO149) + $B$19*($DN149=$DO149))</f>
        <v>3.7037037037037035E-4</v>
      </c>
      <c r="FW149" s="10" cm="1">
        <f t="array" aca="1" ref="FW149" ca="1">(1-$B$18)*SUMPRODUCT(OFFSET($BO$15,0,0,$B$14,1), 1*(_xlfn._xlws.FILTER(OFFSET($O$15,0,$DN149,$B$8,1),OFFSET($M$15,0,0,$B$8,1))=FW$13), 1*(_xlfn._xlws.FILTER(OFFSET($O$15,0,$DO149,$B$8,1),OFFSET($M$15,0,0,$B$8,1))=FW$14))   /   SUM(OFFSET($BO$15,0,0,$B$14,1)) + $B$18/($B$19*$B$19*($DN149&lt;&gt;$DO149) + $B$19*($DN149=$DO149))</f>
        <v>3.7037037037037035E-4</v>
      </c>
      <c r="FX149" s="10" cm="1">
        <f t="array" aca="1" ref="FX149" ca="1">(1-$B$18)*SUMPRODUCT(OFFSET($BO$15,0,0,$B$14,1), 1*(_xlfn._xlws.FILTER(OFFSET($O$15,0,$DN149,$B$8,1),OFFSET($M$15,0,0,$B$8,1))=FX$13), 1*(_xlfn._xlws.FILTER(OFFSET($O$15,0,$DO149,$B$8,1),OFFSET($M$15,0,0,$B$8,1))=FX$14))   /   SUM(OFFSET($BO$15,0,0,$B$14,1)) + $B$18/($B$19*$B$19*($DN149&lt;&gt;$DO149) + $B$19*($DN149=$DO149))</f>
        <v>3.7037037037037035E-4</v>
      </c>
      <c r="FY149" s="10" cm="1">
        <f t="array" aca="1" ref="FY149" ca="1">(1-$B$18)*SUMPRODUCT(OFFSET($BO$15,0,0,$B$14,1), 1*(_xlfn._xlws.FILTER(OFFSET($O$15,0,$DN149,$B$8,1),OFFSET($M$15,0,0,$B$8,1))=FY$13), 1*(_xlfn._xlws.FILTER(OFFSET($O$15,0,$DO149,$B$8,1),OFFSET($M$15,0,0,$B$8,1))=FY$14))   /   SUM(OFFSET($BO$15,0,0,$B$14,1)) + $B$18/($B$19*$B$19*($DN149&lt;&gt;$DO149) + $B$19*($DN149=$DO149))</f>
        <v>3.7037037037037035E-4</v>
      </c>
      <c r="FZ149" s="10" cm="1">
        <f t="array" aca="1" ref="FZ149" ca="1">(1-$B$18)*SUMPRODUCT(OFFSET($BO$15,0,0,$B$14,1), 1*(_xlfn._xlws.FILTER(OFFSET($O$15,0,$DN149,$B$8,1),OFFSET($M$15,0,0,$B$8,1))=FZ$13), 1*(_xlfn._xlws.FILTER(OFFSET($O$15,0,$DO149,$B$8,1),OFFSET($M$15,0,0,$B$8,1))=FZ$14))   /   SUM(OFFSET($BO$15,0,0,$B$14,1)) + $B$18/($B$19*$B$19*($DN149&lt;&gt;$DO149) + $B$19*($DN149=$DO149))</f>
        <v>3.7037037037037035E-4</v>
      </c>
      <c r="GA149" s="10" cm="1">
        <f t="array" aca="1" ref="GA149" ca="1">(1-$B$18)*SUMPRODUCT(OFFSET($BO$15,0,0,$B$14,1), 1*(_xlfn._xlws.FILTER(OFFSET($O$15,0,$DN149,$B$8,1),OFFSET($M$15,0,0,$B$8,1))=GA$13), 1*(_xlfn._xlws.FILTER(OFFSET($O$15,0,$DO149,$B$8,1),OFFSET($M$15,0,0,$B$8,1))=GA$14))   /   SUM(OFFSET($BO$15,0,0,$B$14,1)) + $B$18/($B$19*$B$19*($DN149&lt;&gt;$DO149) + $B$19*($DN149=$DO149))</f>
        <v>3.7037037037037035E-4</v>
      </c>
    </row>
    <row r="150" spans="118:183" x14ac:dyDescent="0.2">
      <c r="DN150" cm="1">
        <f t="array" aca="1" ref="DN150" ca="1">INDEX(_xlfn.ANCHORARRAY($CP$15), 1 + INT((ROWS($DO$15:$DO150) - 1) / ROWS(_xlfn.ANCHORARRAY($CP$15))))</f>
        <v>7</v>
      </c>
      <c r="DO150" cm="1">
        <f t="array" aca="1" ref="DO150" ca="1">INDEX(_xlfn.ANCHORARRAY($CP$15),1+MOD(ROWS($DO$15:$DO150)-1,ROWS(_xlfn.ANCHORARRAY($CP$15))))</f>
        <v>2</v>
      </c>
      <c r="DP150" s="10" cm="1">
        <f t="array" aca="1" ref="DP150" ca="1">(1-$B$18)*SUMPRODUCT(OFFSET($BO$15,0,0,$B$14,1), 1*(_xlfn._xlws.FILTER(OFFSET($O$15,0,$DN150,$B$8,1),OFFSET($M$15,0,0,$B$8,1))=DP$13), 1*(_xlfn._xlws.FILTER(OFFSET($O$15,0,$DO150,$B$8,1),OFFSET($M$15,0,0,$B$8,1))=DP$14))   /   SUM(OFFSET($BO$15,0,0,$B$14,1)) + $B$18/($B$19*$B$19*($DN150&lt;&gt;$DO150) + $B$19*($DN150=$DO150))</f>
        <v>3.7037037037037035E-4</v>
      </c>
      <c r="DQ150" s="10" cm="1">
        <f t="array" aca="1" ref="DQ150" ca="1">(1-$B$18)*SUMPRODUCT(OFFSET($BO$15,0,0,$B$14,1), 1*(_xlfn._xlws.FILTER(OFFSET($O$15,0,$DN150,$B$8,1),OFFSET($M$15,0,0,$B$8,1))=DQ$13), 1*(_xlfn._xlws.FILTER(OFFSET($O$15,0,$DO150,$B$8,1),OFFSET($M$15,0,0,$B$8,1))=DQ$14))   /   SUM(OFFSET($BO$15,0,0,$B$14,1)) + $B$18/($B$19*$B$19*($DN150&lt;&gt;$DO150) + $B$19*($DN150=$DO150))</f>
        <v>3.7037037037037035E-4</v>
      </c>
      <c r="DR150" s="10" cm="1">
        <f t="array" aca="1" ref="DR150" ca="1">(1-$B$18)*SUMPRODUCT(OFFSET($BO$15,0,0,$B$14,1), 1*(_xlfn._xlws.FILTER(OFFSET($O$15,0,$DN150,$B$8,1),OFFSET($M$15,0,0,$B$8,1))=DR$13), 1*(_xlfn._xlws.FILTER(OFFSET($O$15,0,$DO150,$B$8,1),OFFSET($M$15,0,0,$B$8,1))=DR$14))   /   SUM(OFFSET($BO$15,0,0,$B$14,1)) + $B$18/($B$19*$B$19*($DN150&lt;&gt;$DO150) + $B$19*($DN150=$DO150))</f>
        <v>3.7037037037037035E-4</v>
      </c>
      <c r="DS150" s="10" cm="1">
        <f t="array" aca="1" ref="DS150" ca="1">(1-$B$18)*SUMPRODUCT(OFFSET($BO$15,0,0,$B$14,1), 1*(_xlfn._xlws.FILTER(OFFSET($O$15,0,$DN150,$B$8,1),OFFSET($M$15,0,0,$B$8,1))=DS$13), 1*(_xlfn._xlws.FILTER(OFFSET($O$15,0,$DO150,$B$8,1),OFFSET($M$15,0,0,$B$8,1))=DS$14))   /   SUM(OFFSET($BO$15,0,0,$B$14,1)) + $B$18/($B$19*$B$19*($DN150&lt;&gt;$DO150) + $B$19*($DN150=$DO150))</f>
        <v>3.7037037037037035E-4</v>
      </c>
      <c r="DT150" s="10" cm="1">
        <f t="array" aca="1" ref="DT150" ca="1">(1-$B$18)*SUMPRODUCT(OFFSET($BO$15,0,0,$B$14,1), 1*(_xlfn._xlws.FILTER(OFFSET($O$15,0,$DN150,$B$8,1),OFFSET($M$15,0,0,$B$8,1))=DT$13), 1*(_xlfn._xlws.FILTER(OFFSET($O$15,0,$DO150,$B$8,1),OFFSET($M$15,0,0,$B$8,1))=DT$14))   /   SUM(OFFSET($BO$15,0,0,$B$14,1)) + $B$18/($B$19*$B$19*($DN150&lt;&gt;$DO150) + $B$19*($DN150=$DO150))</f>
        <v>3.7037037037037035E-4</v>
      </c>
      <c r="DU150" s="10" cm="1">
        <f t="array" aca="1" ref="DU150" ca="1">(1-$B$18)*SUMPRODUCT(OFFSET($BO$15,0,0,$B$14,1), 1*(_xlfn._xlws.FILTER(OFFSET($O$15,0,$DN150,$B$8,1),OFFSET($M$15,0,0,$B$8,1))=DU$13), 1*(_xlfn._xlws.FILTER(OFFSET($O$15,0,$DO150,$B$8,1),OFFSET($M$15,0,0,$B$8,1))=DU$14))   /   SUM(OFFSET($BO$15,0,0,$B$14,1)) + $B$18/($B$19*$B$19*($DN150&lt;&gt;$DO150) + $B$19*($DN150=$DO150))</f>
        <v>3.7037037037037035E-4</v>
      </c>
      <c r="DV150" s="10" cm="1">
        <f t="array" aca="1" ref="DV150" ca="1">(1-$B$18)*SUMPRODUCT(OFFSET($BO$15,0,0,$B$14,1), 1*(_xlfn._xlws.FILTER(OFFSET($O$15,0,$DN150,$B$8,1),OFFSET($M$15,0,0,$B$8,1))=DV$13), 1*(_xlfn._xlws.FILTER(OFFSET($O$15,0,$DO150,$B$8,1),OFFSET($M$15,0,0,$B$8,1))=DV$14))   /   SUM(OFFSET($BO$15,0,0,$B$14,1)) + $B$18/($B$19*$B$19*($DN150&lt;&gt;$DO150) + $B$19*($DN150=$DO150))</f>
        <v>3.7037037037037035E-4</v>
      </c>
      <c r="DW150" s="10" cm="1">
        <f t="array" aca="1" ref="DW150" ca="1">(1-$B$18)*SUMPRODUCT(OFFSET($BO$15,0,0,$B$14,1), 1*(_xlfn._xlws.FILTER(OFFSET($O$15,0,$DN150,$B$8,1),OFFSET($M$15,0,0,$B$8,1))=DW$13), 1*(_xlfn._xlws.FILTER(OFFSET($O$15,0,$DO150,$B$8,1),OFFSET($M$15,0,0,$B$8,1))=DW$14))   /   SUM(OFFSET($BO$15,0,0,$B$14,1)) + $B$18/($B$19*$B$19*($DN150&lt;&gt;$DO150) + $B$19*($DN150=$DO150))</f>
        <v>3.7037037037037035E-4</v>
      </c>
      <c r="DX150" s="10" cm="1">
        <f t="array" aca="1" ref="DX150" ca="1">(1-$B$18)*SUMPRODUCT(OFFSET($BO$15,0,0,$B$14,1), 1*(_xlfn._xlws.FILTER(OFFSET($O$15,0,$DN150,$B$8,1),OFFSET($M$15,0,0,$B$8,1))=DX$13), 1*(_xlfn._xlws.FILTER(OFFSET($O$15,0,$DO150,$B$8,1),OFFSET($M$15,0,0,$B$8,1))=DX$14))   /   SUM(OFFSET($BO$15,0,0,$B$14,1)) + $B$18/($B$19*$B$19*($DN150&lt;&gt;$DO150) + $B$19*($DN150=$DO150))</f>
        <v>3.7037037037037035E-4</v>
      </c>
      <c r="DY150" s="10" cm="1">
        <f t="array" aca="1" ref="DY150" ca="1">(1-$B$18)*SUMPRODUCT(OFFSET($BO$15,0,0,$B$14,1), 1*(_xlfn._xlws.FILTER(OFFSET($O$15,0,$DN150,$B$8,1),OFFSET($M$15,0,0,$B$8,1))=DY$13), 1*(_xlfn._xlws.FILTER(OFFSET($O$15,0,$DO150,$B$8,1),OFFSET($M$15,0,0,$B$8,1))=DY$14))   /   SUM(OFFSET($BO$15,0,0,$B$14,1)) + $B$18/($B$19*$B$19*($DN150&lt;&gt;$DO150) + $B$19*($DN150=$DO150))</f>
        <v>3.7037037037037035E-4</v>
      </c>
      <c r="DZ150" s="10" cm="1">
        <f t="array" aca="1" ref="DZ150" ca="1">(1-$B$18)*SUMPRODUCT(OFFSET($BO$15,0,0,$B$14,1), 1*(_xlfn._xlws.FILTER(OFFSET($O$15,0,$DN150,$B$8,1),OFFSET($M$15,0,0,$B$8,1))=DZ$13), 1*(_xlfn._xlws.FILTER(OFFSET($O$15,0,$DO150,$B$8,1),OFFSET($M$15,0,0,$B$8,1))=DZ$14))   /   SUM(OFFSET($BO$15,0,0,$B$14,1)) + $B$18/($B$19*$B$19*($DN150&lt;&gt;$DO150) + $B$19*($DN150=$DO150))</f>
        <v>3.7037037037037035E-4</v>
      </c>
      <c r="EA150" s="10" cm="1">
        <f t="array" aca="1" ref="EA150" ca="1">(1-$B$18)*SUMPRODUCT(OFFSET($BO$15,0,0,$B$14,1), 1*(_xlfn._xlws.FILTER(OFFSET($O$15,0,$DN150,$B$8,1),OFFSET($M$15,0,0,$B$8,1))=EA$13), 1*(_xlfn._xlws.FILTER(OFFSET($O$15,0,$DO150,$B$8,1),OFFSET($M$15,0,0,$B$8,1))=EA$14))   /   SUM(OFFSET($BO$15,0,0,$B$14,1)) + $B$18/($B$19*$B$19*($DN150&lt;&gt;$DO150) + $B$19*($DN150=$DO150))</f>
        <v>3.7037037037037035E-4</v>
      </c>
      <c r="EB150" s="10" cm="1">
        <f t="array" aca="1" ref="EB150" ca="1">(1-$B$18)*SUMPRODUCT(OFFSET($BO$15,0,0,$B$14,1), 1*(_xlfn._xlws.FILTER(OFFSET($O$15,0,$DN150,$B$8,1),OFFSET($M$15,0,0,$B$8,1))=EB$13), 1*(_xlfn._xlws.FILTER(OFFSET($O$15,0,$DO150,$B$8,1),OFFSET($M$15,0,0,$B$8,1))=EB$14))   /   SUM(OFFSET($BO$15,0,0,$B$14,1)) + $B$18/($B$19*$B$19*($DN150&lt;&gt;$DO150) + $B$19*($DN150=$DO150))</f>
        <v>3.7037037037037035E-4</v>
      </c>
      <c r="EC150" s="10" cm="1">
        <f t="array" aca="1" ref="EC150" ca="1">(1-$B$18)*SUMPRODUCT(OFFSET($BO$15,0,0,$B$14,1), 1*(_xlfn._xlws.FILTER(OFFSET($O$15,0,$DN150,$B$8,1),OFFSET($M$15,0,0,$B$8,1))=EC$13), 1*(_xlfn._xlws.FILTER(OFFSET($O$15,0,$DO150,$B$8,1),OFFSET($M$15,0,0,$B$8,1))=EC$14))   /   SUM(OFFSET($BO$15,0,0,$B$14,1)) + $B$18/($B$19*$B$19*($DN150&lt;&gt;$DO150) + $B$19*($DN150=$DO150))</f>
        <v>3.7037037037037035E-4</v>
      </c>
      <c r="ED150" s="10" cm="1">
        <f t="array" aca="1" ref="ED150" ca="1">(1-$B$18)*SUMPRODUCT(OFFSET($BO$15,0,0,$B$14,1), 1*(_xlfn._xlws.FILTER(OFFSET($O$15,0,$DN150,$B$8,1),OFFSET($M$15,0,0,$B$8,1))=ED$13), 1*(_xlfn._xlws.FILTER(OFFSET($O$15,0,$DO150,$B$8,1),OFFSET($M$15,0,0,$B$8,1))=ED$14))   /   SUM(OFFSET($BO$15,0,0,$B$14,1)) + $B$18/($B$19*$B$19*($DN150&lt;&gt;$DO150) + $B$19*($DN150=$DO150))</f>
        <v>3.7037037037037035E-4</v>
      </c>
      <c r="EE150" s="10" cm="1">
        <f t="array" aca="1" ref="EE150" ca="1">(1-$B$18)*SUMPRODUCT(OFFSET($BO$15,0,0,$B$14,1), 1*(_xlfn._xlws.FILTER(OFFSET($O$15,0,$DN150,$B$8,1),OFFSET($M$15,0,0,$B$8,1))=EE$13), 1*(_xlfn._xlws.FILTER(OFFSET($O$15,0,$DO150,$B$8,1),OFFSET($M$15,0,0,$B$8,1))=EE$14))   /   SUM(OFFSET($BO$15,0,0,$B$14,1)) + $B$18/($B$19*$B$19*($DN150&lt;&gt;$DO150) + $B$19*($DN150=$DO150))</f>
        <v>3.7037037037037035E-4</v>
      </c>
      <c r="EF150" s="10" cm="1">
        <f t="array" aca="1" ref="EF150" ca="1">(1-$B$18)*SUMPRODUCT(OFFSET($BO$15,0,0,$B$14,1), 1*(_xlfn._xlws.FILTER(OFFSET($O$15,0,$DN150,$B$8,1),OFFSET($M$15,0,0,$B$8,1))=EF$13), 1*(_xlfn._xlws.FILTER(OFFSET($O$15,0,$DO150,$B$8,1),OFFSET($M$15,0,0,$B$8,1))=EF$14))   /   SUM(OFFSET($BO$15,0,0,$B$14,1)) + $B$18/($B$19*$B$19*($DN150&lt;&gt;$DO150) + $B$19*($DN150=$DO150))</f>
        <v>3.7037037037037035E-4</v>
      </c>
      <c r="EG150" s="10" cm="1">
        <f t="array" aca="1" ref="EG150" ca="1">(1-$B$18)*SUMPRODUCT(OFFSET($BO$15,0,0,$B$14,1), 1*(_xlfn._xlws.FILTER(OFFSET($O$15,0,$DN150,$B$8,1),OFFSET($M$15,0,0,$B$8,1))=EG$13), 1*(_xlfn._xlws.FILTER(OFFSET($O$15,0,$DO150,$B$8,1),OFFSET($M$15,0,0,$B$8,1))=EG$14))   /   SUM(OFFSET($BO$15,0,0,$B$14,1)) + $B$18/($B$19*$B$19*($DN150&lt;&gt;$DO150) + $B$19*($DN150=$DO150))</f>
        <v>3.7037037037037035E-4</v>
      </c>
      <c r="EH150" s="10" cm="1">
        <f t="array" aca="1" ref="EH150" ca="1">(1-$B$18)*SUMPRODUCT(OFFSET($BO$15,0,0,$B$14,1), 1*(_xlfn._xlws.FILTER(OFFSET($O$15,0,$DN150,$B$8,1),OFFSET($M$15,0,0,$B$8,1))=EH$13), 1*(_xlfn._xlws.FILTER(OFFSET($O$15,0,$DO150,$B$8,1),OFFSET($M$15,0,0,$B$8,1))=EH$14))   /   SUM(OFFSET($BO$15,0,0,$B$14,1)) + $B$18/($B$19*$B$19*($DN150&lt;&gt;$DO150) + $B$19*($DN150=$DO150))</f>
        <v>3.7037037037037035E-4</v>
      </c>
      <c r="EI150" s="10" cm="1">
        <f t="array" aca="1" ref="EI150" ca="1">(1-$B$18)*SUMPRODUCT(OFFSET($BO$15,0,0,$B$14,1), 1*(_xlfn._xlws.FILTER(OFFSET($O$15,0,$DN150,$B$8,1),OFFSET($M$15,0,0,$B$8,1))=EI$13), 1*(_xlfn._xlws.FILTER(OFFSET($O$15,0,$DO150,$B$8,1),OFFSET($M$15,0,0,$B$8,1))=EI$14))   /   SUM(OFFSET($BO$15,0,0,$B$14,1)) + $B$18/($B$19*$B$19*($DN150&lt;&gt;$DO150) + $B$19*($DN150=$DO150))</f>
        <v>3.7037037037037035E-4</v>
      </c>
      <c r="EJ150" s="10" cm="1">
        <f t="array" aca="1" ref="EJ150" ca="1">(1-$B$18)*SUMPRODUCT(OFFSET($BO$15,0,0,$B$14,1), 1*(_xlfn._xlws.FILTER(OFFSET($O$15,0,$DN150,$B$8,1),OFFSET($M$15,0,0,$B$8,1))=EJ$13), 1*(_xlfn._xlws.FILTER(OFFSET($O$15,0,$DO150,$B$8,1),OFFSET($M$15,0,0,$B$8,1))=EJ$14))   /   SUM(OFFSET($BO$15,0,0,$B$14,1)) + $B$18/($B$19*$B$19*($DN150&lt;&gt;$DO150) + $B$19*($DN150=$DO150))</f>
        <v>3.7037037037037035E-4</v>
      </c>
      <c r="EK150" s="10" cm="1">
        <f t="array" aca="1" ref="EK150" ca="1">(1-$B$18)*SUMPRODUCT(OFFSET($BO$15,0,0,$B$14,1), 1*(_xlfn._xlws.FILTER(OFFSET($O$15,0,$DN150,$B$8,1),OFFSET($M$15,0,0,$B$8,1))=EK$13), 1*(_xlfn._xlws.FILTER(OFFSET($O$15,0,$DO150,$B$8,1),OFFSET($M$15,0,0,$B$8,1))=EK$14))   /   SUM(OFFSET($BO$15,0,0,$B$14,1)) + $B$18/($B$19*$B$19*($DN150&lt;&gt;$DO150) + $B$19*($DN150=$DO150))</f>
        <v>3.7037037037037035E-4</v>
      </c>
      <c r="EL150" s="10" cm="1">
        <f t="array" aca="1" ref="EL150" ca="1">(1-$B$18)*SUMPRODUCT(OFFSET($BO$15,0,0,$B$14,1), 1*(_xlfn._xlws.FILTER(OFFSET($O$15,0,$DN150,$B$8,1),OFFSET($M$15,0,0,$B$8,1))=EL$13), 1*(_xlfn._xlws.FILTER(OFFSET($O$15,0,$DO150,$B$8,1),OFFSET($M$15,0,0,$B$8,1))=EL$14))   /   SUM(OFFSET($BO$15,0,0,$B$14,1)) + $B$18/($B$19*$B$19*($DN150&lt;&gt;$DO150) + $B$19*($DN150=$DO150))</f>
        <v>3.7037037037037035E-4</v>
      </c>
      <c r="EM150" s="10" cm="1">
        <f t="array" aca="1" ref="EM150" ca="1">(1-$B$18)*SUMPRODUCT(OFFSET($BO$15,0,0,$B$14,1), 1*(_xlfn._xlws.FILTER(OFFSET($O$15,0,$DN150,$B$8,1),OFFSET($M$15,0,0,$B$8,1))=EM$13), 1*(_xlfn._xlws.FILTER(OFFSET($O$15,0,$DO150,$B$8,1),OFFSET($M$15,0,0,$B$8,1))=EM$14))   /   SUM(OFFSET($BO$15,0,0,$B$14,1)) + $B$18/($B$19*$B$19*($DN150&lt;&gt;$DO150) + $B$19*($DN150=$DO150))</f>
        <v>3.7037037037037035E-4</v>
      </c>
      <c r="EN150" s="10" cm="1">
        <f t="array" aca="1" ref="EN150" ca="1">(1-$B$18)*SUMPRODUCT(OFFSET($BO$15,0,0,$B$14,1), 1*(_xlfn._xlws.FILTER(OFFSET($O$15,0,$DN150,$B$8,1),OFFSET($M$15,0,0,$B$8,1))=EN$13), 1*(_xlfn._xlws.FILTER(OFFSET($O$15,0,$DO150,$B$8,1),OFFSET($M$15,0,0,$B$8,1))=EN$14))   /   SUM(OFFSET($BO$15,0,0,$B$14,1)) + $B$18/($B$19*$B$19*($DN150&lt;&gt;$DO150) + $B$19*($DN150=$DO150))</f>
        <v>3.7037037037037035E-4</v>
      </c>
      <c r="EO150" s="10" cm="1">
        <f t="array" aca="1" ref="EO150" ca="1">(1-$B$18)*SUMPRODUCT(OFFSET($BO$15,0,0,$B$14,1), 1*(_xlfn._xlws.FILTER(OFFSET($O$15,0,$DN150,$B$8,1),OFFSET($M$15,0,0,$B$8,1))=EO$13), 1*(_xlfn._xlws.FILTER(OFFSET($O$15,0,$DO150,$B$8,1),OFFSET($M$15,0,0,$B$8,1))=EO$14))   /   SUM(OFFSET($BO$15,0,0,$B$14,1)) + $B$18/($B$19*$B$19*($DN150&lt;&gt;$DO150) + $B$19*($DN150=$DO150))</f>
        <v>3.7037037037037035E-4</v>
      </c>
      <c r="EP150" s="10" cm="1">
        <f t="array" aca="1" ref="EP150" ca="1">(1-$B$18)*SUMPRODUCT(OFFSET($BO$15,0,0,$B$14,1), 1*(_xlfn._xlws.FILTER(OFFSET($O$15,0,$DN150,$B$8,1),OFFSET($M$15,0,0,$B$8,1))=EP$13), 1*(_xlfn._xlws.FILTER(OFFSET($O$15,0,$DO150,$B$8,1),OFFSET($M$15,0,0,$B$8,1))=EP$14))   /   SUM(OFFSET($BO$15,0,0,$B$14,1)) + $B$18/($B$19*$B$19*($DN150&lt;&gt;$DO150) + $B$19*($DN150=$DO150))</f>
        <v>3.7037037037037035E-4</v>
      </c>
      <c r="EQ150" s="10" cm="1">
        <f t="array" aca="1" ref="EQ150" ca="1">(1-$B$18)*SUMPRODUCT(OFFSET($BO$15,0,0,$B$14,1), 1*(_xlfn._xlws.FILTER(OFFSET($O$15,0,$DN150,$B$8,1),OFFSET($M$15,0,0,$B$8,1))=EQ$13), 1*(_xlfn._xlws.FILTER(OFFSET($O$15,0,$DO150,$B$8,1),OFFSET($M$15,0,0,$B$8,1))=EQ$14))   /   SUM(OFFSET($BO$15,0,0,$B$14,1)) + $B$18/($B$19*$B$19*($DN150&lt;&gt;$DO150) + $B$19*($DN150=$DO150))</f>
        <v>3.7037037037037035E-4</v>
      </c>
      <c r="ER150" s="10" cm="1">
        <f t="array" aca="1" ref="ER150" ca="1">(1-$B$18)*SUMPRODUCT(OFFSET($BO$15,0,0,$B$14,1), 1*(_xlfn._xlws.FILTER(OFFSET($O$15,0,$DN150,$B$8,1),OFFSET($M$15,0,0,$B$8,1))=ER$13), 1*(_xlfn._xlws.FILTER(OFFSET($O$15,0,$DO150,$B$8,1),OFFSET($M$15,0,0,$B$8,1))=ER$14))   /   SUM(OFFSET($BO$15,0,0,$B$14,1)) + $B$18/($B$19*$B$19*($DN150&lt;&gt;$DO150) + $B$19*($DN150=$DO150))</f>
        <v>3.7037037037037035E-4</v>
      </c>
      <c r="ES150" s="10" cm="1">
        <f t="array" aca="1" ref="ES150" ca="1">(1-$B$18)*SUMPRODUCT(OFFSET($BO$15,0,0,$B$14,1), 1*(_xlfn._xlws.FILTER(OFFSET($O$15,0,$DN150,$B$8,1),OFFSET($M$15,0,0,$B$8,1))=ES$13), 1*(_xlfn._xlws.FILTER(OFFSET($O$15,0,$DO150,$B$8,1),OFFSET($M$15,0,0,$B$8,1))=ES$14))   /   SUM(OFFSET($BO$15,0,0,$B$14,1)) + $B$18/($B$19*$B$19*($DN150&lt;&gt;$DO150) + $B$19*($DN150=$DO150))</f>
        <v>3.7037037037037035E-4</v>
      </c>
      <c r="ET150" s="10" cm="1">
        <f t="array" aca="1" ref="ET150" ca="1">(1-$B$18)*SUMPRODUCT(OFFSET($BO$15,0,0,$B$14,1), 1*(_xlfn._xlws.FILTER(OFFSET($O$15,0,$DN150,$B$8,1),OFFSET($M$15,0,0,$B$8,1))=ET$13), 1*(_xlfn._xlws.FILTER(OFFSET($O$15,0,$DO150,$B$8,1),OFFSET($M$15,0,0,$B$8,1))=ET$14))   /   SUM(OFFSET($BO$15,0,0,$B$14,1)) + $B$18/($B$19*$B$19*($DN150&lt;&gt;$DO150) + $B$19*($DN150=$DO150))</f>
        <v>3.7037037037037035E-4</v>
      </c>
      <c r="EU150" s="10" cm="1">
        <f t="array" aca="1" ref="EU150" ca="1">(1-$B$18)*SUMPRODUCT(OFFSET($BO$15,0,0,$B$14,1), 1*(_xlfn._xlws.FILTER(OFFSET($O$15,0,$DN150,$B$8,1),OFFSET($M$15,0,0,$B$8,1))=EU$13), 1*(_xlfn._xlws.FILTER(OFFSET($O$15,0,$DO150,$B$8,1),OFFSET($M$15,0,0,$B$8,1))=EU$14))   /   SUM(OFFSET($BO$15,0,0,$B$14,1)) + $B$18/($B$19*$B$19*($DN150&lt;&gt;$DO150) + $B$19*($DN150=$DO150))</f>
        <v>3.7037037037037035E-4</v>
      </c>
      <c r="EV150" s="10" cm="1">
        <f t="array" aca="1" ref="EV150" ca="1">(1-$B$18)*SUMPRODUCT(OFFSET($BO$15,0,0,$B$14,1), 1*(_xlfn._xlws.FILTER(OFFSET($O$15,0,$DN150,$B$8,1),OFFSET($M$15,0,0,$B$8,1))=EV$13), 1*(_xlfn._xlws.FILTER(OFFSET($O$15,0,$DO150,$B$8,1),OFFSET($M$15,0,0,$B$8,1))=EV$14))   /   SUM(OFFSET($BO$15,0,0,$B$14,1)) + $B$18/($B$19*$B$19*($DN150&lt;&gt;$DO150) + $B$19*($DN150=$DO150))</f>
        <v>3.7037037037037035E-4</v>
      </c>
      <c r="EW150" s="10" cm="1">
        <f t="array" aca="1" ref="EW150" ca="1">(1-$B$18)*SUMPRODUCT(OFFSET($BO$15,0,0,$B$14,1), 1*(_xlfn._xlws.FILTER(OFFSET($O$15,0,$DN150,$B$8,1),OFFSET($M$15,0,0,$B$8,1))=EW$13), 1*(_xlfn._xlws.FILTER(OFFSET($O$15,0,$DO150,$B$8,1),OFFSET($M$15,0,0,$B$8,1))=EW$14))   /   SUM(OFFSET($BO$15,0,0,$B$14,1)) + $B$18/($B$19*$B$19*($DN150&lt;&gt;$DO150) + $B$19*($DN150=$DO150))</f>
        <v>3.7037037037037035E-4</v>
      </c>
      <c r="EX150" s="10" cm="1">
        <f t="array" aca="1" ref="EX150" ca="1">(1-$B$18)*SUMPRODUCT(OFFSET($BO$15,0,0,$B$14,1), 1*(_xlfn._xlws.FILTER(OFFSET($O$15,0,$DN150,$B$8,1),OFFSET($M$15,0,0,$B$8,1))=EX$13), 1*(_xlfn._xlws.FILTER(OFFSET($O$15,0,$DO150,$B$8,1),OFFSET($M$15,0,0,$B$8,1))=EX$14))   /   SUM(OFFSET($BO$15,0,0,$B$14,1)) + $B$18/($B$19*$B$19*($DN150&lt;&gt;$DO150) + $B$19*($DN150=$DO150))</f>
        <v>3.7037037037037035E-4</v>
      </c>
      <c r="EY150" s="10" cm="1">
        <f t="array" aca="1" ref="EY150" ca="1">(1-$B$18)*SUMPRODUCT(OFFSET($BO$15,0,0,$B$14,1), 1*(_xlfn._xlws.FILTER(OFFSET($O$15,0,$DN150,$B$8,1),OFFSET($M$15,0,0,$B$8,1))=EY$13), 1*(_xlfn._xlws.FILTER(OFFSET($O$15,0,$DO150,$B$8,1),OFFSET($M$15,0,0,$B$8,1))=EY$14))   /   SUM(OFFSET($BO$15,0,0,$B$14,1)) + $B$18/($B$19*$B$19*($DN150&lt;&gt;$DO150) + $B$19*($DN150=$DO150))</f>
        <v>3.7037037037037035E-4</v>
      </c>
      <c r="EZ150" s="10" cm="1">
        <f t="array" aca="1" ref="EZ150" ca="1">(1-$B$18)*SUMPRODUCT(OFFSET($BO$15,0,0,$B$14,1), 1*(_xlfn._xlws.FILTER(OFFSET($O$15,0,$DN150,$B$8,1),OFFSET($M$15,0,0,$B$8,1))=EZ$13), 1*(_xlfn._xlws.FILTER(OFFSET($O$15,0,$DO150,$B$8,1),OFFSET($M$15,0,0,$B$8,1))=EZ$14))   /   SUM(OFFSET($BO$15,0,0,$B$14,1)) + $B$18/($B$19*$B$19*($DN150&lt;&gt;$DO150) + $B$19*($DN150=$DO150))</f>
        <v>3.7037037037037035E-4</v>
      </c>
      <c r="FA150" s="10" cm="1">
        <f t="array" aca="1" ref="FA150" ca="1">(1-$B$18)*SUMPRODUCT(OFFSET($BO$15,0,0,$B$14,1), 1*(_xlfn._xlws.FILTER(OFFSET($O$15,0,$DN150,$B$8,1),OFFSET($M$15,0,0,$B$8,1))=FA$13), 1*(_xlfn._xlws.FILTER(OFFSET($O$15,0,$DO150,$B$8,1),OFFSET($M$15,0,0,$B$8,1))=FA$14))   /   SUM(OFFSET($BO$15,0,0,$B$14,1)) + $B$18/($B$19*$B$19*($DN150&lt;&gt;$DO150) + $B$19*($DN150=$DO150))</f>
        <v>3.7037037037037035E-4</v>
      </c>
      <c r="FB150" s="10" cm="1">
        <f t="array" aca="1" ref="FB150" ca="1">(1-$B$18)*SUMPRODUCT(OFFSET($BO$15,0,0,$B$14,1), 1*(_xlfn._xlws.FILTER(OFFSET($O$15,0,$DN150,$B$8,1),OFFSET($M$15,0,0,$B$8,1))=FB$13), 1*(_xlfn._xlws.FILTER(OFFSET($O$15,0,$DO150,$B$8,1),OFFSET($M$15,0,0,$B$8,1))=FB$14))   /   SUM(OFFSET($BO$15,0,0,$B$14,1)) + $B$18/($B$19*$B$19*($DN150&lt;&gt;$DO150) + $B$19*($DN150=$DO150))</f>
        <v>3.7037037037037035E-4</v>
      </c>
      <c r="FC150" s="10" cm="1">
        <f t="array" aca="1" ref="FC150" ca="1">(1-$B$18)*SUMPRODUCT(OFFSET($BO$15,0,0,$B$14,1), 1*(_xlfn._xlws.FILTER(OFFSET($O$15,0,$DN150,$B$8,1),OFFSET($M$15,0,0,$B$8,1))=FC$13), 1*(_xlfn._xlws.FILTER(OFFSET($O$15,0,$DO150,$B$8,1),OFFSET($M$15,0,0,$B$8,1))=FC$14))   /   SUM(OFFSET($BO$15,0,0,$B$14,1)) + $B$18/($B$19*$B$19*($DN150&lt;&gt;$DO150) + $B$19*($DN150=$DO150))</f>
        <v>3.7037037037037035E-4</v>
      </c>
      <c r="FD150" s="10" cm="1">
        <f t="array" aca="1" ref="FD150" ca="1">(1-$B$18)*SUMPRODUCT(OFFSET($BO$15,0,0,$B$14,1), 1*(_xlfn._xlws.FILTER(OFFSET($O$15,0,$DN150,$B$8,1),OFFSET($M$15,0,0,$B$8,1))=FD$13), 1*(_xlfn._xlws.FILTER(OFFSET($O$15,0,$DO150,$B$8,1),OFFSET($M$15,0,0,$B$8,1))=FD$14))   /   SUM(OFFSET($BO$15,0,0,$B$14,1)) + $B$18/($B$19*$B$19*($DN150&lt;&gt;$DO150) + $B$19*($DN150=$DO150))</f>
        <v>3.7037037037037035E-4</v>
      </c>
      <c r="FE150" s="10" cm="1">
        <f t="array" aca="1" ref="FE150" ca="1">(1-$B$18)*SUMPRODUCT(OFFSET($BO$15,0,0,$B$14,1), 1*(_xlfn._xlws.FILTER(OFFSET($O$15,0,$DN150,$B$8,1),OFFSET($M$15,0,0,$B$8,1))=FE$13), 1*(_xlfn._xlws.FILTER(OFFSET($O$15,0,$DO150,$B$8,1),OFFSET($M$15,0,0,$B$8,1))=FE$14))   /   SUM(OFFSET($BO$15,0,0,$B$14,1)) + $B$18/($B$19*$B$19*($DN150&lt;&gt;$DO150) + $B$19*($DN150=$DO150))</f>
        <v>3.7037037037037035E-4</v>
      </c>
      <c r="FF150" s="10" cm="1">
        <f t="array" aca="1" ref="FF150" ca="1">(1-$B$18)*SUMPRODUCT(OFFSET($BO$15,0,0,$B$14,1), 1*(_xlfn._xlws.FILTER(OFFSET($O$15,0,$DN150,$B$8,1),OFFSET($M$15,0,0,$B$8,1))=FF$13), 1*(_xlfn._xlws.FILTER(OFFSET($O$15,0,$DO150,$B$8,1),OFFSET($M$15,0,0,$B$8,1))=FF$14))   /   SUM(OFFSET($BO$15,0,0,$B$14,1)) + $B$18/($B$19*$B$19*($DN150&lt;&gt;$DO150) + $B$19*($DN150=$DO150))</f>
        <v>3.7037037037037035E-4</v>
      </c>
      <c r="FG150" s="10" cm="1">
        <f t="array" aca="1" ref="FG150" ca="1">(1-$B$18)*SUMPRODUCT(OFFSET($BO$15,0,0,$B$14,1), 1*(_xlfn._xlws.FILTER(OFFSET($O$15,0,$DN150,$B$8,1),OFFSET($M$15,0,0,$B$8,1))=FG$13), 1*(_xlfn._xlws.FILTER(OFFSET($O$15,0,$DO150,$B$8,1),OFFSET($M$15,0,0,$B$8,1))=FG$14))   /   SUM(OFFSET($BO$15,0,0,$B$14,1)) + $B$18/($B$19*$B$19*($DN150&lt;&gt;$DO150) + $B$19*($DN150=$DO150))</f>
        <v>3.7037037037037035E-4</v>
      </c>
      <c r="FH150" s="10" cm="1">
        <f t="array" aca="1" ref="FH150" ca="1">(1-$B$18)*SUMPRODUCT(OFFSET($BO$15,0,0,$B$14,1), 1*(_xlfn._xlws.FILTER(OFFSET($O$15,0,$DN150,$B$8,1),OFFSET($M$15,0,0,$B$8,1))=FH$13), 1*(_xlfn._xlws.FILTER(OFFSET($O$15,0,$DO150,$B$8,1),OFFSET($M$15,0,0,$B$8,1))=FH$14))   /   SUM(OFFSET($BO$15,0,0,$B$14,1)) + $B$18/($B$19*$B$19*($DN150&lt;&gt;$DO150) + $B$19*($DN150=$DO150))</f>
        <v>3.7037037037037035E-4</v>
      </c>
      <c r="FI150" s="10" cm="1">
        <f t="array" aca="1" ref="FI150" ca="1">(1-$B$18)*SUMPRODUCT(OFFSET($BO$15,0,0,$B$14,1), 1*(_xlfn._xlws.FILTER(OFFSET($O$15,0,$DN150,$B$8,1),OFFSET($M$15,0,0,$B$8,1))=FI$13), 1*(_xlfn._xlws.FILTER(OFFSET($O$15,0,$DO150,$B$8,1),OFFSET($M$15,0,0,$B$8,1))=FI$14))   /   SUM(OFFSET($BO$15,0,0,$B$14,1)) + $B$18/($B$19*$B$19*($DN150&lt;&gt;$DO150) + $B$19*($DN150=$DO150))</f>
        <v>3.7037037037037035E-4</v>
      </c>
      <c r="FJ150" s="10" cm="1">
        <f t="array" aca="1" ref="FJ150" ca="1">(1-$B$18)*SUMPRODUCT(OFFSET($BO$15,0,0,$B$14,1), 1*(_xlfn._xlws.FILTER(OFFSET($O$15,0,$DN150,$B$8,1),OFFSET($M$15,0,0,$B$8,1))=FJ$13), 1*(_xlfn._xlws.FILTER(OFFSET($O$15,0,$DO150,$B$8,1),OFFSET($M$15,0,0,$B$8,1))=FJ$14))   /   SUM(OFFSET($BO$15,0,0,$B$14,1)) + $B$18/($B$19*$B$19*($DN150&lt;&gt;$DO150) + $B$19*($DN150=$DO150))</f>
        <v>3.7037037037037035E-4</v>
      </c>
      <c r="FK150" s="10" cm="1">
        <f t="array" aca="1" ref="FK150" ca="1">(1-$B$18)*SUMPRODUCT(OFFSET($BO$15,0,0,$B$14,1), 1*(_xlfn._xlws.FILTER(OFFSET($O$15,0,$DN150,$B$8,1),OFFSET($M$15,0,0,$B$8,1))=FK$13), 1*(_xlfn._xlws.FILTER(OFFSET($O$15,0,$DO150,$B$8,1),OFFSET($M$15,0,0,$B$8,1))=FK$14))   /   SUM(OFFSET($BO$15,0,0,$B$14,1)) + $B$18/($B$19*$B$19*($DN150&lt;&gt;$DO150) + $B$19*($DN150=$DO150))</f>
        <v>3.7037037037037035E-4</v>
      </c>
      <c r="FL150" s="10" cm="1">
        <f t="array" aca="1" ref="FL150" ca="1">(1-$B$18)*SUMPRODUCT(OFFSET($BO$15,0,0,$B$14,1), 1*(_xlfn._xlws.FILTER(OFFSET($O$15,0,$DN150,$B$8,1),OFFSET($M$15,0,0,$B$8,1))=FL$13), 1*(_xlfn._xlws.FILTER(OFFSET($O$15,0,$DO150,$B$8,1),OFFSET($M$15,0,0,$B$8,1))=FL$14))   /   SUM(OFFSET($BO$15,0,0,$B$14,1)) + $B$18/($B$19*$B$19*($DN150&lt;&gt;$DO150) + $B$19*($DN150=$DO150))</f>
        <v>3.7037037037037035E-4</v>
      </c>
      <c r="FM150" s="10" cm="1">
        <f t="array" aca="1" ref="FM150" ca="1">(1-$B$18)*SUMPRODUCT(OFFSET($BO$15,0,0,$B$14,1), 1*(_xlfn._xlws.FILTER(OFFSET($O$15,0,$DN150,$B$8,1),OFFSET($M$15,0,0,$B$8,1))=FM$13), 1*(_xlfn._xlws.FILTER(OFFSET($O$15,0,$DO150,$B$8,1),OFFSET($M$15,0,0,$B$8,1))=FM$14))   /   SUM(OFFSET($BO$15,0,0,$B$14,1)) + $B$18/($B$19*$B$19*($DN150&lt;&gt;$DO150) + $B$19*($DN150=$DO150))</f>
        <v>3.7037037037037035E-4</v>
      </c>
      <c r="FN150" s="10" cm="1">
        <f t="array" aca="1" ref="FN150" ca="1">(1-$B$18)*SUMPRODUCT(OFFSET($BO$15,0,0,$B$14,1), 1*(_xlfn._xlws.FILTER(OFFSET($O$15,0,$DN150,$B$8,1),OFFSET($M$15,0,0,$B$8,1))=FN$13), 1*(_xlfn._xlws.FILTER(OFFSET($O$15,0,$DO150,$B$8,1),OFFSET($M$15,0,0,$B$8,1))=FN$14))   /   SUM(OFFSET($BO$15,0,0,$B$14,1)) + $B$18/($B$19*$B$19*($DN150&lt;&gt;$DO150) + $B$19*($DN150=$DO150))</f>
        <v>3.7037037037037035E-4</v>
      </c>
      <c r="FO150" s="10" cm="1">
        <f t="array" aca="1" ref="FO150" ca="1">(1-$B$18)*SUMPRODUCT(OFFSET($BO$15,0,0,$B$14,1), 1*(_xlfn._xlws.FILTER(OFFSET($O$15,0,$DN150,$B$8,1),OFFSET($M$15,0,0,$B$8,1))=FO$13), 1*(_xlfn._xlws.FILTER(OFFSET($O$15,0,$DO150,$B$8,1),OFFSET($M$15,0,0,$B$8,1))=FO$14))   /   SUM(OFFSET($BO$15,0,0,$B$14,1)) + $B$18/($B$19*$B$19*($DN150&lt;&gt;$DO150) + $B$19*($DN150=$DO150))</f>
        <v>3.7037037037037035E-4</v>
      </c>
      <c r="FP150" s="10" cm="1">
        <f t="array" aca="1" ref="FP150" ca="1">(1-$B$18)*SUMPRODUCT(OFFSET($BO$15,0,0,$B$14,1), 1*(_xlfn._xlws.FILTER(OFFSET($O$15,0,$DN150,$B$8,1),OFFSET($M$15,0,0,$B$8,1))=FP$13), 1*(_xlfn._xlws.FILTER(OFFSET($O$15,0,$DO150,$B$8,1),OFFSET($M$15,0,0,$B$8,1))=FP$14))   /   SUM(OFFSET($BO$15,0,0,$B$14,1)) + $B$18/($B$19*$B$19*($DN150&lt;&gt;$DO150) + $B$19*($DN150=$DO150))</f>
        <v>3.7037037037037035E-4</v>
      </c>
      <c r="FQ150" s="10" cm="1">
        <f t="array" aca="1" ref="FQ150" ca="1">(1-$B$18)*SUMPRODUCT(OFFSET($BO$15,0,0,$B$14,1), 1*(_xlfn._xlws.FILTER(OFFSET($O$15,0,$DN150,$B$8,1),OFFSET($M$15,0,0,$B$8,1))=FQ$13), 1*(_xlfn._xlws.FILTER(OFFSET($O$15,0,$DO150,$B$8,1),OFFSET($M$15,0,0,$B$8,1))=FQ$14))   /   SUM(OFFSET($BO$15,0,0,$B$14,1)) + $B$18/($B$19*$B$19*($DN150&lt;&gt;$DO150) + $B$19*($DN150=$DO150))</f>
        <v>3.7037037037037035E-4</v>
      </c>
      <c r="FR150" s="10" cm="1">
        <f t="array" aca="1" ref="FR150" ca="1">(1-$B$18)*SUMPRODUCT(OFFSET($BO$15,0,0,$B$14,1), 1*(_xlfn._xlws.FILTER(OFFSET($O$15,0,$DN150,$B$8,1),OFFSET($M$15,0,0,$B$8,1))=FR$13), 1*(_xlfn._xlws.FILTER(OFFSET($O$15,0,$DO150,$B$8,1),OFFSET($M$15,0,0,$B$8,1))=FR$14))   /   SUM(OFFSET($BO$15,0,0,$B$14,1)) + $B$18/($B$19*$B$19*($DN150&lt;&gt;$DO150) + $B$19*($DN150=$DO150))</f>
        <v>0.97037037037037033</v>
      </c>
      <c r="FS150" s="10" cm="1">
        <f t="array" aca="1" ref="FS150" ca="1">(1-$B$18)*SUMPRODUCT(OFFSET($BO$15,0,0,$B$14,1), 1*(_xlfn._xlws.FILTER(OFFSET($O$15,0,$DN150,$B$8,1),OFFSET($M$15,0,0,$B$8,1))=FS$13), 1*(_xlfn._xlws.FILTER(OFFSET($O$15,0,$DO150,$B$8,1),OFFSET($M$15,0,0,$B$8,1))=FS$14))   /   SUM(OFFSET($BO$15,0,0,$B$14,1)) + $B$18/($B$19*$B$19*($DN150&lt;&gt;$DO150) + $B$19*($DN150=$DO150))</f>
        <v>3.7037037037037035E-4</v>
      </c>
      <c r="FT150" s="10" cm="1">
        <f t="array" aca="1" ref="FT150" ca="1">(1-$B$18)*SUMPRODUCT(OFFSET($BO$15,0,0,$B$14,1), 1*(_xlfn._xlws.FILTER(OFFSET($O$15,0,$DN150,$B$8,1),OFFSET($M$15,0,0,$B$8,1))=FT$13), 1*(_xlfn._xlws.FILTER(OFFSET($O$15,0,$DO150,$B$8,1),OFFSET($M$15,0,0,$B$8,1))=FT$14))   /   SUM(OFFSET($BO$15,0,0,$B$14,1)) + $B$18/($B$19*$B$19*($DN150&lt;&gt;$DO150) + $B$19*($DN150=$DO150))</f>
        <v>3.7037037037037035E-4</v>
      </c>
      <c r="FU150" s="10" cm="1">
        <f t="array" aca="1" ref="FU150" ca="1">(1-$B$18)*SUMPRODUCT(OFFSET($BO$15,0,0,$B$14,1), 1*(_xlfn._xlws.FILTER(OFFSET($O$15,0,$DN150,$B$8,1),OFFSET($M$15,0,0,$B$8,1))=FU$13), 1*(_xlfn._xlws.FILTER(OFFSET($O$15,0,$DO150,$B$8,1),OFFSET($M$15,0,0,$B$8,1))=FU$14))   /   SUM(OFFSET($BO$15,0,0,$B$14,1)) + $B$18/($B$19*$B$19*($DN150&lt;&gt;$DO150) + $B$19*($DN150=$DO150))</f>
        <v>3.7037037037037035E-4</v>
      </c>
      <c r="FV150" s="10" cm="1">
        <f t="array" aca="1" ref="FV150" ca="1">(1-$B$18)*SUMPRODUCT(OFFSET($BO$15,0,0,$B$14,1), 1*(_xlfn._xlws.FILTER(OFFSET($O$15,0,$DN150,$B$8,1),OFFSET($M$15,0,0,$B$8,1))=FV$13), 1*(_xlfn._xlws.FILTER(OFFSET($O$15,0,$DO150,$B$8,1),OFFSET($M$15,0,0,$B$8,1))=FV$14))   /   SUM(OFFSET($BO$15,0,0,$B$14,1)) + $B$18/($B$19*$B$19*($DN150&lt;&gt;$DO150) + $B$19*($DN150=$DO150))</f>
        <v>3.7037037037037035E-4</v>
      </c>
      <c r="FW150" s="10" cm="1">
        <f t="array" aca="1" ref="FW150" ca="1">(1-$B$18)*SUMPRODUCT(OFFSET($BO$15,0,0,$B$14,1), 1*(_xlfn._xlws.FILTER(OFFSET($O$15,0,$DN150,$B$8,1),OFFSET($M$15,0,0,$B$8,1))=FW$13), 1*(_xlfn._xlws.FILTER(OFFSET($O$15,0,$DO150,$B$8,1),OFFSET($M$15,0,0,$B$8,1))=FW$14))   /   SUM(OFFSET($BO$15,0,0,$B$14,1)) + $B$18/($B$19*$B$19*($DN150&lt;&gt;$DO150) + $B$19*($DN150=$DO150))</f>
        <v>3.7037037037037035E-4</v>
      </c>
      <c r="FX150" s="10" cm="1">
        <f t="array" aca="1" ref="FX150" ca="1">(1-$B$18)*SUMPRODUCT(OFFSET($BO$15,0,0,$B$14,1), 1*(_xlfn._xlws.FILTER(OFFSET($O$15,0,$DN150,$B$8,1),OFFSET($M$15,0,0,$B$8,1))=FX$13), 1*(_xlfn._xlws.FILTER(OFFSET($O$15,0,$DO150,$B$8,1),OFFSET($M$15,0,0,$B$8,1))=FX$14))   /   SUM(OFFSET($BO$15,0,0,$B$14,1)) + $B$18/($B$19*$B$19*($DN150&lt;&gt;$DO150) + $B$19*($DN150=$DO150))</f>
        <v>3.7037037037037035E-4</v>
      </c>
      <c r="FY150" s="10" cm="1">
        <f t="array" aca="1" ref="FY150" ca="1">(1-$B$18)*SUMPRODUCT(OFFSET($BO$15,0,0,$B$14,1), 1*(_xlfn._xlws.FILTER(OFFSET($O$15,0,$DN150,$B$8,1),OFFSET($M$15,0,0,$B$8,1))=FY$13), 1*(_xlfn._xlws.FILTER(OFFSET($O$15,0,$DO150,$B$8,1),OFFSET($M$15,0,0,$B$8,1))=FY$14))   /   SUM(OFFSET($BO$15,0,0,$B$14,1)) + $B$18/($B$19*$B$19*($DN150&lt;&gt;$DO150) + $B$19*($DN150=$DO150))</f>
        <v>3.7037037037037035E-4</v>
      </c>
      <c r="FZ150" s="10" cm="1">
        <f t="array" aca="1" ref="FZ150" ca="1">(1-$B$18)*SUMPRODUCT(OFFSET($BO$15,0,0,$B$14,1), 1*(_xlfn._xlws.FILTER(OFFSET($O$15,0,$DN150,$B$8,1),OFFSET($M$15,0,0,$B$8,1))=FZ$13), 1*(_xlfn._xlws.FILTER(OFFSET($O$15,0,$DO150,$B$8,1),OFFSET($M$15,0,0,$B$8,1))=FZ$14))   /   SUM(OFFSET($BO$15,0,0,$B$14,1)) + $B$18/($B$19*$B$19*($DN150&lt;&gt;$DO150) + $B$19*($DN150=$DO150))</f>
        <v>3.7037037037037035E-4</v>
      </c>
      <c r="GA150" s="10" cm="1">
        <f t="array" aca="1" ref="GA150" ca="1">(1-$B$18)*SUMPRODUCT(OFFSET($BO$15,0,0,$B$14,1), 1*(_xlfn._xlws.FILTER(OFFSET($O$15,0,$DN150,$B$8,1),OFFSET($M$15,0,0,$B$8,1))=GA$13), 1*(_xlfn._xlws.FILTER(OFFSET($O$15,0,$DO150,$B$8,1),OFFSET($M$15,0,0,$B$8,1))=GA$14))   /   SUM(OFFSET($BO$15,0,0,$B$14,1)) + $B$18/($B$19*$B$19*($DN150&lt;&gt;$DO150) + $B$19*($DN150=$DO150))</f>
        <v>3.7037037037037035E-4</v>
      </c>
    </row>
    <row r="151" spans="118:183" x14ac:dyDescent="0.2">
      <c r="DN151" cm="1">
        <f t="array" aca="1" ref="DN151" ca="1">INDEX(_xlfn.ANCHORARRAY($CP$15), 1 + INT((ROWS($DO$15:$DO151) - 1) / ROWS(_xlfn.ANCHORARRAY($CP$15))))</f>
        <v>7</v>
      </c>
      <c r="DO151" cm="1">
        <f t="array" aca="1" ref="DO151" ca="1">INDEX(_xlfn.ANCHORARRAY($CP$15),1+MOD(ROWS($DO$15:$DO151)-1,ROWS(_xlfn.ANCHORARRAY($CP$15))))</f>
        <v>3</v>
      </c>
      <c r="DP151" s="10" cm="1">
        <f t="array" aca="1" ref="DP151" ca="1">(1-$B$18)*SUMPRODUCT(OFFSET($BO$15,0,0,$B$14,1), 1*(_xlfn._xlws.FILTER(OFFSET($O$15,0,$DN151,$B$8,1),OFFSET($M$15,0,0,$B$8,1))=DP$13), 1*(_xlfn._xlws.FILTER(OFFSET($O$15,0,$DO151,$B$8,1),OFFSET($M$15,0,0,$B$8,1))=DP$14))   /   SUM(OFFSET($BO$15,0,0,$B$14,1)) + $B$18/($B$19*$B$19*($DN151&lt;&gt;$DO151) + $B$19*($DN151=$DO151))</f>
        <v>3.7037037037037035E-4</v>
      </c>
      <c r="DQ151" s="10" cm="1">
        <f t="array" aca="1" ref="DQ151" ca="1">(1-$B$18)*SUMPRODUCT(OFFSET($BO$15,0,0,$B$14,1), 1*(_xlfn._xlws.FILTER(OFFSET($O$15,0,$DN151,$B$8,1),OFFSET($M$15,0,0,$B$8,1))=DQ$13), 1*(_xlfn._xlws.FILTER(OFFSET($O$15,0,$DO151,$B$8,1),OFFSET($M$15,0,0,$B$8,1))=DQ$14))   /   SUM(OFFSET($BO$15,0,0,$B$14,1)) + $B$18/($B$19*$B$19*($DN151&lt;&gt;$DO151) + $B$19*($DN151=$DO151))</f>
        <v>3.7037037037037035E-4</v>
      </c>
      <c r="DR151" s="10" cm="1">
        <f t="array" aca="1" ref="DR151" ca="1">(1-$B$18)*SUMPRODUCT(OFFSET($BO$15,0,0,$B$14,1), 1*(_xlfn._xlws.FILTER(OFFSET($O$15,0,$DN151,$B$8,1),OFFSET($M$15,0,0,$B$8,1))=DR$13), 1*(_xlfn._xlws.FILTER(OFFSET($O$15,0,$DO151,$B$8,1),OFFSET($M$15,0,0,$B$8,1))=DR$14))   /   SUM(OFFSET($BO$15,0,0,$B$14,1)) + $B$18/($B$19*$B$19*($DN151&lt;&gt;$DO151) + $B$19*($DN151=$DO151))</f>
        <v>3.7037037037037035E-4</v>
      </c>
      <c r="DS151" s="10" cm="1">
        <f t="array" aca="1" ref="DS151" ca="1">(1-$B$18)*SUMPRODUCT(OFFSET($BO$15,0,0,$B$14,1), 1*(_xlfn._xlws.FILTER(OFFSET($O$15,0,$DN151,$B$8,1),OFFSET($M$15,0,0,$B$8,1))=DS$13), 1*(_xlfn._xlws.FILTER(OFFSET($O$15,0,$DO151,$B$8,1),OFFSET($M$15,0,0,$B$8,1))=DS$14))   /   SUM(OFFSET($BO$15,0,0,$B$14,1)) + $B$18/($B$19*$B$19*($DN151&lt;&gt;$DO151) + $B$19*($DN151=$DO151))</f>
        <v>3.7037037037037035E-4</v>
      </c>
      <c r="DT151" s="10" cm="1">
        <f t="array" aca="1" ref="DT151" ca="1">(1-$B$18)*SUMPRODUCT(OFFSET($BO$15,0,0,$B$14,1), 1*(_xlfn._xlws.FILTER(OFFSET($O$15,0,$DN151,$B$8,1),OFFSET($M$15,0,0,$B$8,1))=DT$13), 1*(_xlfn._xlws.FILTER(OFFSET($O$15,0,$DO151,$B$8,1),OFFSET($M$15,0,0,$B$8,1))=DT$14))   /   SUM(OFFSET($BO$15,0,0,$B$14,1)) + $B$18/($B$19*$B$19*($DN151&lt;&gt;$DO151) + $B$19*($DN151=$DO151))</f>
        <v>3.7037037037037035E-4</v>
      </c>
      <c r="DU151" s="10" cm="1">
        <f t="array" aca="1" ref="DU151" ca="1">(1-$B$18)*SUMPRODUCT(OFFSET($BO$15,0,0,$B$14,1), 1*(_xlfn._xlws.FILTER(OFFSET($O$15,0,$DN151,$B$8,1),OFFSET($M$15,0,0,$B$8,1))=DU$13), 1*(_xlfn._xlws.FILTER(OFFSET($O$15,0,$DO151,$B$8,1),OFFSET($M$15,0,0,$B$8,1))=DU$14))   /   SUM(OFFSET($BO$15,0,0,$B$14,1)) + $B$18/($B$19*$B$19*($DN151&lt;&gt;$DO151) + $B$19*($DN151=$DO151))</f>
        <v>3.7037037037037035E-4</v>
      </c>
      <c r="DV151" s="10" cm="1">
        <f t="array" aca="1" ref="DV151" ca="1">(1-$B$18)*SUMPRODUCT(OFFSET($BO$15,0,0,$B$14,1), 1*(_xlfn._xlws.FILTER(OFFSET($O$15,0,$DN151,$B$8,1),OFFSET($M$15,0,0,$B$8,1))=DV$13), 1*(_xlfn._xlws.FILTER(OFFSET($O$15,0,$DO151,$B$8,1),OFFSET($M$15,0,0,$B$8,1))=DV$14))   /   SUM(OFFSET($BO$15,0,0,$B$14,1)) + $B$18/($B$19*$B$19*($DN151&lt;&gt;$DO151) + $B$19*($DN151=$DO151))</f>
        <v>3.7037037037037035E-4</v>
      </c>
      <c r="DW151" s="10" cm="1">
        <f t="array" aca="1" ref="DW151" ca="1">(1-$B$18)*SUMPRODUCT(OFFSET($BO$15,0,0,$B$14,1), 1*(_xlfn._xlws.FILTER(OFFSET($O$15,0,$DN151,$B$8,1),OFFSET($M$15,0,0,$B$8,1))=DW$13), 1*(_xlfn._xlws.FILTER(OFFSET($O$15,0,$DO151,$B$8,1),OFFSET($M$15,0,0,$B$8,1))=DW$14))   /   SUM(OFFSET($BO$15,0,0,$B$14,1)) + $B$18/($B$19*$B$19*($DN151&lt;&gt;$DO151) + $B$19*($DN151=$DO151))</f>
        <v>3.7037037037037035E-4</v>
      </c>
      <c r="DX151" s="10" cm="1">
        <f t="array" aca="1" ref="DX151" ca="1">(1-$B$18)*SUMPRODUCT(OFFSET($BO$15,0,0,$B$14,1), 1*(_xlfn._xlws.FILTER(OFFSET($O$15,0,$DN151,$B$8,1),OFFSET($M$15,0,0,$B$8,1))=DX$13), 1*(_xlfn._xlws.FILTER(OFFSET($O$15,0,$DO151,$B$8,1),OFFSET($M$15,0,0,$B$8,1))=DX$14))   /   SUM(OFFSET($BO$15,0,0,$B$14,1)) + $B$18/($B$19*$B$19*($DN151&lt;&gt;$DO151) + $B$19*($DN151=$DO151))</f>
        <v>3.7037037037037035E-4</v>
      </c>
      <c r="DY151" s="10" cm="1">
        <f t="array" aca="1" ref="DY151" ca="1">(1-$B$18)*SUMPRODUCT(OFFSET($BO$15,0,0,$B$14,1), 1*(_xlfn._xlws.FILTER(OFFSET($O$15,0,$DN151,$B$8,1),OFFSET($M$15,0,0,$B$8,1))=DY$13), 1*(_xlfn._xlws.FILTER(OFFSET($O$15,0,$DO151,$B$8,1),OFFSET($M$15,0,0,$B$8,1))=DY$14))   /   SUM(OFFSET($BO$15,0,0,$B$14,1)) + $B$18/($B$19*$B$19*($DN151&lt;&gt;$DO151) + $B$19*($DN151=$DO151))</f>
        <v>3.7037037037037035E-4</v>
      </c>
      <c r="DZ151" s="10" cm="1">
        <f t="array" aca="1" ref="DZ151" ca="1">(1-$B$18)*SUMPRODUCT(OFFSET($BO$15,0,0,$B$14,1), 1*(_xlfn._xlws.FILTER(OFFSET($O$15,0,$DN151,$B$8,1),OFFSET($M$15,0,0,$B$8,1))=DZ$13), 1*(_xlfn._xlws.FILTER(OFFSET($O$15,0,$DO151,$B$8,1),OFFSET($M$15,0,0,$B$8,1))=DZ$14))   /   SUM(OFFSET($BO$15,0,0,$B$14,1)) + $B$18/($B$19*$B$19*($DN151&lt;&gt;$DO151) + $B$19*($DN151=$DO151))</f>
        <v>3.7037037037037035E-4</v>
      </c>
      <c r="EA151" s="10" cm="1">
        <f t="array" aca="1" ref="EA151" ca="1">(1-$B$18)*SUMPRODUCT(OFFSET($BO$15,0,0,$B$14,1), 1*(_xlfn._xlws.FILTER(OFFSET($O$15,0,$DN151,$B$8,1),OFFSET($M$15,0,0,$B$8,1))=EA$13), 1*(_xlfn._xlws.FILTER(OFFSET($O$15,0,$DO151,$B$8,1),OFFSET($M$15,0,0,$B$8,1))=EA$14))   /   SUM(OFFSET($BO$15,0,0,$B$14,1)) + $B$18/($B$19*$B$19*($DN151&lt;&gt;$DO151) + $B$19*($DN151=$DO151))</f>
        <v>3.7037037037037035E-4</v>
      </c>
      <c r="EB151" s="10" cm="1">
        <f t="array" aca="1" ref="EB151" ca="1">(1-$B$18)*SUMPRODUCT(OFFSET($BO$15,0,0,$B$14,1), 1*(_xlfn._xlws.FILTER(OFFSET($O$15,0,$DN151,$B$8,1),OFFSET($M$15,0,0,$B$8,1))=EB$13), 1*(_xlfn._xlws.FILTER(OFFSET($O$15,0,$DO151,$B$8,1),OFFSET($M$15,0,0,$B$8,1))=EB$14))   /   SUM(OFFSET($BO$15,0,0,$B$14,1)) + $B$18/($B$19*$B$19*($DN151&lt;&gt;$DO151) + $B$19*($DN151=$DO151))</f>
        <v>3.7037037037037035E-4</v>
      </c>
      <c r="EC151" s="10" cm="1">
        <f t="array" aca="1" ref="EC151" ca="1">(1-$B$18)*SUMPRODUCT(OFFSET($BO$15,0,0,$B$14,1), 1*(_xlfn._xlws.FILTER(OFFSET($O$15,0,$DN151,$B$8,1),OFFSET($M$15,0,0,$B$8,1))=EC$13), 1*(_xlfn._xlws.FILTER(OFFSET($O$15,0,$DO151,$B$8,1),OFFSET($M$15,0,0,$B$8,1))=EC$14))   /   SUM(OFFSET($BO$15,0,0,$B$14,1)) + $B$18/($B$19*$B$19*($DN151&lt;&gt;$DO151) + $B$19*($DN151=$DO151))</f>
        <v>3.7037037037037035E-4</v>
      </c>
      <c r="ED151" s="10" cm="1">
        <f t="array" aca="1" ref="ED151" ca="1">(1-$B$18)*SUMPRODUCT(OFFSET($BO$15,0,0,$B$14,1), 1*(_xlfn._xlws.FILTER(OFFSET($O$15,0,$DN151,$B$8,1),OFFSET($M$15,0,0,$B$8,1))=ED$13), 1*(_xlfn._xlws.FILTER(OFFSET($O$15,0,$DO151,$B$8,1),OFFSET($M$15,0,0,$B$8,1))=ED$14))   /   SUM(OFFSET($BO$15,0,0,$B$14,1)) + $B$18/($B$19*$B$19*($DN151&lt;&gt;$DO151) + $B$19*($DN151=$DO151))</f>
        <v>3.7037037037037035E-4</v>
      </c>
      <c r="EE151" s="10" cm="1">
        <f t="array" aca="1" ref="EE151" ca="1">(1-$B$18)*SUMPRODUCT(OFFSET($BO$15,0,0,$B$14,1), 1*(_xlfn._xlws.FILTER(OFFSET($O$15,0,$DN151,$B$8,1),OFFSET($M$15,0,0,$B$8,1))=EE$13), 1*(_xlfn._xlws.FILTER(OFFSET($O$15,0,$DO151,$B$8,1),OFFSET($M$15,0,0,$B$8,1))=EE$14))   /   SUM(OFFSET($BO$15,0,0,$B$14,1)) + $B$18/($B$19*$B$19*($DN151&lt;&gt;$DO151) + $B$19*($DN151=$DO151))</f>
        <v>3.7037037037037035E-4</v>
      </c>
      <c r="EF151" s="10" cm="1">
        <f t="array" aca="1" ref="EF151" ca="1">(1-$B$18)*SUMPRODUCT(OFFSET($BO$15,0,0,$B$14,1), 1*(_xlfn._xlws.FILTER(OFFSET($O$15,0,$DN151,$B$8,1),OFFSET($M$15,0,0,$B$8,1))=EF$13), 1*(_xlfn._xlws.FILTER(OFFSET($O$15,0,$DO151,$B$8,1),OFFSET($M$15,0,0,$B$8,1))=EF$14))   /   SUM(OFFSET($BO$15,0,0,$B$14,1)) + $B$18/($B$19*$B$19*($DN151&lt;&gt;$DO151) + $B$19*($DN151=$DO151))</f>
        <v>3.7037037037037035E-4</v>
      </c>
      <c r="EG151" s="10" cm="1">
        <f t="array" aca="1" ref="EG151" ca="1">(1-$B$18)*SUMPRODUCT(OFFSET($BO$15,0,0,$B$14,1), 1*(_xlfn._xlws.FILTER(OFFSET($O$15,0,$DN151,$B$8,1),OFFSET($M$15,0,0,$B$8,1))=EG$13), 1*(_xlfn._xlws.FILTER(OFFSET($O$15,0,$DO151,$B$8,1),OFFSET($M$15,0,0,$B$8,1))=EG$14))   /   SUM(OFFSET($BO$15,0,0,$B$14,1)) + $B$18/($B$19*$B$19*($DN151&lt;&gt;$DO151) + $B$19*($DN151=$DO151))</f>
        <v>3.7037037037037035E-4</v>
      </c>
      <c r="EH151" s="10" cm="1">
        <f t="array" aca="1" ref="EH151" ca="1">(1-$B$18)*SUMPRODUCT(OFFSET($BO$15,0,0,$B$14,1), 1*(_xlfn._xlws.FILTER(OFFSET($O$15,0,$DN151,$B$8,1),OFFSET($M$15,0,0,$B$8,1))=EH$13), 1*(_xlfn._xlws.FILTER(OFFSET($O$15,0,$DO151,$B$8,1),OFFSET($M$15,0,0,$B$8,1))=EH$14))   /   SUM(OFFSET($BO$15,0,0,$B$14,1)) + $B$18/($B$19*$B$19*($DN151&lt;&gt;$DO151) + $B$19*($DN151=$DO151))</f>
        <v>3.7037037037037035E-4</v>
      </c>
      <c r="EI151" s="10" cm="1">
        <f t="array" aca="1" ref="EI151" ca="1">(1-$B$18)*SUMPRODUCT(OFFSET($BO$15,0,0,$B$14,1), 1*(_xlfn._xlws.FILTER(OFFSET($O$15,0,$DN151,$B$8,1),OFFSET($M$15,0,0,$B$8,1))=EI$13), 1*(_xlfn._xlws.FILTER(OFFSET($O$15,0,$DO151,$B$8,1),OFFSET($M$15,0,0,$B$8,1))=EI$14))   /   SUM(OFFSET($BO$15,0,0,$B$14,1)) + $B$18/($B$19*$B$19*($DN151&lt;&gt;$DO151) + $B$19*($DN151=$DO151))</f>
        <v>3.7037037037037035E-4</v>
      </c>
      <c r="EJ151" s="10" cm="1">
        <f t="array" aca="1" ref="EJ151" ca="1">(1-$B$18)*SUMPRODUCT(OFFSET($BO$15,0,0,$B$14,1), 1*(_xlfn._xlws.FILTER(OFFSET($O$15,0,$DN151,$B$8,1),OFFSET($M$15,0,0,$B$8,1))=EJ$13), 1*(_xlfn._xlws.FILTER(OFFSET($O$15,0,$DO151,$B$8,1),OFFSET($M$15,0,0,$B$8,1))=EJ$14))   /   SUM(OFFSET($BO$15,0,0,$B$14,1)) + $B$18/($B$19*$B$19*($DN151&lt;&gt;$DO151) + $B$19*($DN151=$DO151))</f>
        <v>3.7037037037037035E-4</v>
      </c>
      <c r="EK151" s="10" cm="1">
        <f t="array" aca="1" ref="EK151" ca="1">(1-$B$18)*SUMPRODUCT(OFFSET($BO$15,0,0,$B$14,1), 1*(_xlfn._xlws.FILTER(OFFSET($O$15,0,$DN151,$B$8,1),OFFSET($M$15,0,0,$B$8,1))=EK$13), 1*(_xlfn._xlws.FILTER(OFFSET($O$15,0,$DO151,$B$8,1),OFFSET($M$15,0,0,$B$8,1))=EK$14))   /   SUM(OFFSET($BO$15,0,0,$B$14,1)) + $B$18/($B$19*$B$19*($DN151&lt;&gt;$DO151) + $B$19*($DN151=$DO151))</f>
        <v>3.7037037037037035E-4</v>
      </c>
      <c r="EL151" s="10" cm="1">
        <f t="array" aca="1" ref="EL151" ca="1">(1-$B$18)*SUMPRODUCT(OFFSET($BO$15,0,0,$B$14,1), 1*(_xlfn._xlws.FILTER(OFFSET($O$15,0,$DN151,$B$8,1),OFFSET($M$15,0,0,$B$8,1))=EL$13), 1*(_xlfn._xlws.FILTER(OFFSET($O$15,0,$DO151,$B$8,1),OFFSET($M$15,0,0,$B$8,1))=EL$14))   /   SUM(OFFSET($BO$15,0,0,$B$14,1)) + $B$18/($B$19*$B$19*($DN151&lt;&gt;$DO151) + $B$19*($DN151=$DO151))</f>
        <v>3.7037037037037035E-4</v>
      </c>
      <c r="EM151" s="10" cm="1">
        <f t="array" aca="1" ref="EM151" ca="1">(1-$B$18)*SUMPRODUCT(OFFSET($BO$15,0,0,$B$14,1), 1*(_xlfn._xlws.FILTER(OFFSET($O$15,0,$DN151,$B$8,1),OFFSET($M$15,0,0,$B$8,1))=EM$13), 1*(_xlfn._xlws.FILTER(OFFSET($O$15,0,$DO151,$B$8,1),OFFSET($M$15,0,0,$B$8,1))=EM$14))   /   SUM(OFFSET($BO$15,0,0,$B$14,1)) + $B$18/($B$19*$B$19*($DN151&lt;&gt;$DO151) + $B$19*($DN151=$DO151))</f>
        <v>3.7037037037037035E-4</v>
      </c>
      <c r="EN151" s="10" cm="1">
        <f t="array" aca="1" ref="EN151" ca="1">(1-$B$18)*SUMPRODUCT(OFFSET($BO$15,0,0,$B$14,1), 1*(_xlfn._xlws.FILTER(OFFSET($O$15,0,$DN151,$B$8,1),OFFSET($M$15,0,0,$B$8,1))=EN$13), 1*(_xlfn._xlws.FILTER(OFFSET($O$15,0,$DO151,$B$8,1),OFFSET($M$15,0,0,$B$8,1))=EN$14))   /   SUM(OFFSET($BO$15,0,0,$B$14,1)) + $B$18/($B$19*$B$19*($DN151&lt;&gt;$DO151) + $B$19*($DN151=$DO151))</f>
        <v>3.7037037037037035E-4</v>
      </c>
      <c r="EO151" s="10" cm="1">
        <f t="array" aca="1" ref="EO151" ca="1">(1-$B$18)*SUMPRODUCT(OFFSET($BO$15,0,0,$B$14,1), 1*(_xlfn._xlws.FILTER(OFFSET($O$15,0,$DN151,$B$8,1),OFFSET($M$15,0,0,$B$8,1))=EO$13), 1*(_xlfn._xlws.FILTER(OFFSET($O$15,0,$DO151,$B$8,1),OFFSET($M$15,0,0,$B$8,1))=EO$14))   /   SUM(OFFSET($BO$15,0,0,$B$14,1)) + $B$18/($B$19*$B$19*($DN151&lt;&gt;$DO151) + $B$19*($DN151=$DO151))</f>
        <v>3.7037037037037035E-4</v>
      </c>
      <c r="EP151" s="10" cm="1">
        <f t="array" aca="1" ref="EP151" ca="1">(1-$B$18)*SUMPRODUCT(OFFSET($BO$15,0,0,$B$14,1), 1*(_xlfn._xlws.FILTER(OFFSET($O$15,0,$DN151,$B$8,1),OFFSET($M$15,0,0,$B$8,1))=EP$13), 1*(_xlfn._xlws.FILTER(OFFSET($O$15,0,$DO151,$B$8,1),OFFSET($M$15,0,0,$B$8,1))=EP$14))   /   SUM(OFFSET($BO$15,0,0,$B$14,1)) + $B$18/($B$19*$B$19*($DN151&lt;&gt;$DO151) + $B$19*($DN151=$DO151))</f>
        <v>3.7037037037037035E-4</v>
      </c>
      <c r="EQ151" s="10" cm="1">
        <f t="array" aca="1" ref="EQ151" ca="1">(1-$B$18)*SUMPRODUCT(OFFSET($BO$15,0,0,$B$14,1), 1*(_xlfn._xlws.FILTER(OFFSET($O$15,0,$DN151,$B$8,1),OFFSET($M$15,0,0,$B$8,1))=EQ$13), 1*(_xlfn._xlws.FILTER(OFFSET($O$15,0,$DO151,$B$8,1),OFFSET($M$15,0,0,$B$8,1))=EQ$14))   /   SUM(OFFSET($BO$15,0,0,$B$14,1)) + $B$18/($B$19*$B$19*($DN151&lt;&gt;$DO151) + $B$19*($DN151=$DO151))</f>
        <v>3.7037037037037035E-4</v>
      </c>
      <c r="ER151" s="10" cm="1">
        <f t="array" aca="1" ref="ER151" ca="1">(1-$B$18)*SUMPRODUCT(OFFSET($BO$15,0,0,$B$14,1), 1*(_xlfn._xlws.FILTER(OFFSET($O$15,0,$DN151,$B$8,1),OFFSET($M$15,0,0,$B$8,1))=ER$13), 1*(_xlfn._xlws.FILTER(OFFSET($O$15,0,$DO151,$B$8,1),OFFSET($M$15,0,0,$B$8,1))=ER$14))   /   SUM(OFFSET($BO$15,0,0,$B$14,1)) + $B$18/($B$19*$B$19*($DN151&lt;&gt;$DO151) + $B$19*($DN151=$DO151))</f>
        <v>3.7037037037037035E-4</v>
      </c>
      <c r="ES151" s="10" cm="1">
        <f t="array" aca="1" ref="ES151" ca="1">(1-$B$18)*SUMPRODUCT(OFFSET($BO$15,0,0,$B$14,1), 1*(_xlfn._xlws.FILTER(OFFSET($O$15,0,$DN151,$B$8,1),OFFSET($M$15,0,0,$B$8,1))=ES$13), 1*(_xlfn._xlws.FILTER(OFFSET($O$15,0,$DO151,$B$8,1),OFFSET($M$15,0,0,$B$8,1))=ES$14))   /   SUM(OFFSET($BO$15,0,0,$B$14,1)) + $B$18/($B$19*$B$19*($DN151&lt;&gt;$DO151) + $B$19*($DN151=$DO151))</f>
        <v>3.7037037037037035E-4</v>
      </c>
      <c r="ET151" s="10" cm="1">
        <f t="array" aca="1" ref="ET151" ca="1">(1-$B$18)*SUMPRODUCT(OFFSET($BO$15,0,0,$B$14,1), 1*(_xlfn._xlws.FILTER(OFFSET($O$15,0,$DN151,$B$8,1),OFFSET($M$15,0,0,$B$8,1))=ET$13), 1*(_xlfn._xlws.FILTER(OFFSET($O$15,0,$DO151,$B$8,1),OFFSET($M$15,0,0,$B$8,1))=ET$14))   /   SUM(OFFSET($BO$15,0,0,$B$14,1)) + $B$18/($B$19*$B$19*($DN151&lt;&gt;$DO151) + $B$19*($DN151=$DO151))</f>
        <v>3.7037037037037035E-4</v>
      </c>
      <c r="EU151" s="10" cm="1">
        <f t="array" aca="1" ref="EU151" ca="1">(1-$B$18)*SUMPRODUCT(OFFSET($BO$15,0,0,$B$14,1), 1*(_xlfn._xlws.FILTER(OFFSET($O$15,0,$DN151,$B$8,1),OFFSET($M$15,0,0,$B$8,1))=EU$13), 1*(_xlfn._xlws.FILTER(OFFSET($O$15,0,$DO151,$B$8,1),OFFSET($M$15,0,0,$B$8,1))=EU$14))   /   SUM(OFFSET($BO$15,0,0,$B$14,1)) + $B$18/($B$19*$B$19*($DN151&lt;&gt;$DO151) + $B$19*($DN151=$DO151))</f>
        <v>3.7037037037037035E-4</v>
      </c>
      <c r="EV151" s="10" cm="1">
        <f t="array" aca="1" ref="EV151" ca="1">(1-$B$18)*SUMPRODUCT(OFFSET($BO$15,0,0,$B$14,1), 1*(_xlfn._xlws.FILTER(OFFSET($O$15,0,$DN151,$B$8,1),OFFSET($M$15,0,0,$B$8,1))=EV$13), 1*(_xlfn._xlws.FILTER(OFFSET($O$15,0,$DO151,$B$8,1),OFFSET($M$15,0,0,$B$8,1))=EV$14))   /   SUM(OFFSET($BO$15,0,0,$B$14,1)) + $B$18/($B$19*$B$19*($DN151&lt;&gt;$DO151) + $B$19*($DN151=$DO151))</f>
        <v>3.7037037037037035E-4</v>
      </c>
      <c r="EW151" s="10" cm="1">
        <f t="array" aca="1" ref="EW151" ca="1">(1-$B$18)*SUMPRODUCT(OFFSET($BO$15,0,0,$B$14,1), 1*(_xlfn._xlws.FILTER(OFFSET($O$15,0,$DN151,$B$8,1),OFFSET($M$15,0,0,$B$8,1))=EW$13), 1*(_xlfn._xlws.FILTER(OFFSET($O$15,0,$DO151,$B$8,1),OFFSET($M$15,0,0,$B$8,1))=EW$14))   /   SUM(OFFSET($BO$15,0,0,$B$14,1)) + $B$18/($B$19*$B$19*($DN151&lt;&gt;$DO151) + $B$19*($DN151=$DO151))</f>
        <v>3.7037037037037035E-4</v>
      </c>
      <c r="EX151" s="10" cm="1">
        <f t="array" aca="1" ref="EX151" ca="1">(1-$B$18)*SUMPRODUCT(OFFSET($BO$15,0,0,$B$14,1), 1*(_xlfn._xlws.FILTER(OFFSET($O$15,0,$DN151,$B$8,1),OFFSET($M$15,0,0,$B$8,1))=EX$13), 1*(_xlfn._xlws.FILTER(OFFSET($O$15,0,$DO151,$B$8,1),OFFSET($M$15,0,0,$B$8,1))=EX$14))   /   SUM(OFFSET($BO$15,0,0,$B$14,1)) + $B$18/($B$19*$B$19*($DN151&lt;&gt;$DO151) + $B$19*($DN151=$DO151))</f>
        <v>3.7037037037037035E-4</v>
      </c>
      <c r="EY151" s="10" cm="1">
        <f t="array" aca="1" ref="EY151" ca="1">(1-$B$18)*SUMPRODUCT(OFFSET($BO$15,0,0,$B$14,1), 1*(_xlfn._xlws.FILTER(OFFSET($O$15,0,$DN151,$B$8,1),OFFSET($M$15,0,0,$B$8,1))=EY$13), 1*(_xlfn._xlws.FILTER(OFFSET($O$15,0,$DO151,$B$8,1),OFFSET($M$15,0,0,$B$8,1))=EY$14))   /   SUM(OFFSET($BO$15,0,0,$B$14,1)) + $B$18/($B$19*$B$19*($DN151&lt;&gt;$DO151) + $B$19*($DN151=$DO151))</f>
        <v>3.7037037037037035E-4</v>
      </c>
      <c r="EZ151" s="10" cm="1">
        <f t="array" aca="1" ref="EZ151" ca="1">(1-$B$18)*SUMPRODUCT(OFFSET($BO$15,0,0,$B$14,1), 1*(_xlfn._xlws.FILTER(OFFSET($O$15,0,$DN151,$B$8,1),OFFSET($M$15,0,0,$B$8,1))=EZ$13), 1*(_xlfn._xlws.FILTER(OFFSET($O$15,0,$DO151,$B$8,1),OFFSET($M$15,0,0,$B$8,1))=EZ$14))   /   SUM(OFFSET($BO$15,0,0,$B$14,1)) + $B$18/($B$19*$B$19*($DN151&lt;&gt;$DO151) + $B$19*($DN151=$DO151))</f>
        <v>3.7037037037037035E-4</v>
      </c>
      <c r="FA151" s="10" cm="1">
        <f t="array" aca="1" ref="FA151" ca="1">(1-$B$18)*SUMPRODUCT(OFFSET($BO$15,0,0,$B$14,1), 1*(_xlfn._xlws.FILTER(OFFSET($O$15,0,$DN151,$B$8,1),OFFSET($M$15,0,0,$B$8,1))=FA$13), 1*(_xlfn._xlws.FILTER(OFFSET($O$15,0,$DO151,$B$8,1),OFFSET($M$15,0,0,$B$8,1))=FA$14))   /   SUM(OFFSET($BO$15,0,0,$B$14,1)) + $B$18/($B$19*$B$19*($DN151&lt;&gt;$DO151) + $B$19*($DN151=$DO151))</f>
        <v>3.7037037037037035E-4</v>
      </c>
      <c r="FB151" s="10" cm="1">
        <f t="array" aca="1" ref="FB151" ca="1">(1-$B$18)*SUMPRODUCT(OFFSET($BO$15,0,0,$B$14,1), 1*(_xlfn._xlws.FILTER(OFFSET($O$15,0,$DN151,$B$8,1),OFFSET($M$15,0,0,$B$8,1))=FB$13), 1*(_xlfn._xlws.FILTER(OFFSET($O$15,0,$DO151,$B$8,1),OFFSET($M$15,0,0,$B$8,1))=FB$14))   /   SUM(OFFSET($BO$15,0,0,$B$14,1)) + $B$18/($B$19*$B$19*($DN151&lt;&gt;$DO151) + $B$19*($DN151=$DO151))</f>
        <v>3.7037037037037035E-4</v>
      </c>
      <c r="FC151" s="10" cm="1">
        <f t="array" aca="1" ref="FC151" ca="1">(1-$B$18)*SUMPRODUCT(OFFSET($BO$15,0,0,$B$14,1), 1*(_xlfn._xlws.FILTER(OFFSET($O$15,0,$DN151,$B$8,1),OFFSET($M$15,0,0,$B$8,1))=FC$13), 1*(_xlfn._xlws.FILTER(OFFSET($O$15,0,$DO151,$B$8,1),OFFSET($M$15,0,0,$B$8,1))=FC$14))   /   SUM(OFFSET($BO$15,0,0,$B$14,1)) + $B$18/($B$19*$B$19*($DN151&lt;&gt;$DO151) + $B$19*($DN151=$DO151))</f>
        <v>3.7037037037037035E-4</v>
      </c>
      <c r="FD151" s="10" cm="1">
        <f t="array" aca="1" ref="FD151" ca="1">(1-$B$18)*SUMPRODUCT(OFFSET($BO$15,0,0,$B$14,1), 1*(_xlfn._xlws.FILTER(OFFSET($O$15,0,$DN151,$B$8,1),OFFSET($M$15,0,0,$B$8,1))=FD$13), 1*(_xlfn._xlws.FILTER(OFFSET($O$15,0,$DO151,$B$8,1),OFFSET($M$15,0,0,$B$8,1))=FD$14))   /   SUM(OFFSET($BO$15,0,0,$B$14,1)) + $B$18/($B$19*$B$19*($DN151&lt;&gt;$DO151) + $B$19*($DN151=$DO151))</f>
        <v>3.7037037037037035E-4</v>
      </c>
      <c r="FE151" s="10" cm="1">
        <f t="array" aca="1" ref="FE151" ca="1">(1-$B$18)*SUMPRODUCT(OFFSET($BO$15,0,0,$B$14,1), 1*(_xlfn._xlws.FILTER(OFFSET($O$15,0,$DN151,$B$8,1),OFFSET($M$15,0,0,$B$8,1))=FE$13), 1*(_xlfn._xlws.FILTER(OFFSET($O$15,0,$DO151,$B$8,1),OFFSET($M$15,0,0,$B$8,1))=FE$14))   /   SUM(OFFSET($BO$15,0,0,$B$14,1)) + $B$18/($B$19*$B$19*($DN151&lt;&gt;$DO151) + $B$19*($DN151=$DO151))</f>
        <v>3.7037037037037035E-4</v>
      </c>
      <c r="FF151" s="10" cm="1">
        <f t="array" aca="1" ref="FF151" ca="1">(1-$B$18)*SUMPRODUCT(OFFSET($BO$15,0,0,$B$14,1), 1*(_xlfn._xlws.FILTER(OFFSET($O$15,0,$DN151,$B$8,1),OFFSET($M$15,0,0,$B$8,1))=FF$13), 1*(_xlfn._xlws.FILTER(OFFSET($O$15,0,$DO151,$B$8,1),OFFSET($M$15,0,0,$B$8,1))=FF$14))   /   SUM(OFFSET($BO$15,0,0,$B$14,1)) + $B$18/($B$19*$B$19*($DN151&lt;&gt;$DO151) + $B$19*($DN151=$DO151))</f>
        <v>3.7037037037037035E-4</v>
      </c>
      <c r="FG151" s="10" cm="1">
        <f t="array" aca="1" ref="FG151" ca="1">(1-$B$18)*SUMPRODUCT(OFFSET($BO$15,0,0,$B$14,1), 1*(_xlfn._xlws.FILTER(OFFSET($O$15,0,$DN151,$B$8,1),OFFSET($M$15,0,0,$B$8,1))=FG$13), 1*(_xlfn._xlws.FILTER(OFFSET($O$15,0,$DO151,$B$8,1),OFFSET($M$15,0,0,$B$8,1))=FG$14))   /   SUM(OFFSET($BO$15,0,0,$B$14,1)) + $B$18/($B$19*$B$19*($DN151&lt;&gt;$DO151) + $B$19*($DN151=$DO151))</f>
        <v>3.7037037037037035E-4</v>
      </c>
      <c r="FH151" s="10" cm="1">
        <f t="array" aca="1" ref="FH151" ca="1">(1-$B$18)*SUMPRODUCT(OFFSET($BO$15,0,0,$B$14,1), 1*(_xlfn._xlws.FILTER(OFFSET($O$15,0,$DN151,$B$8,1),OFFSET($M$15,0,0,$B$8,1))=FH$13), 1*(_xlfn._xlws.FILTER(OFFSET($O$15,0,$DO151,$B$8,1),OFFSET($M$15,0,0,$B$8,1))=FH$14))   /   SUM(OFFSET($BO$15,0,0,$B$14,1)) + $B$18/($B$19*$B$19*($DN151&lt;&gt;$DO151) + $B$19*($DN151=$DO151))</f>
        <v>3.7037037037037035E-4</v>
      </c>
      <c r="FI151" s="10" cm="1">
        <f t="array" aca="1" ref="FI151" ca="1">(1-$B$18)*SUMPRODUCT(OFFSET($BO$15,0,0,$B$14,1), 1*(_xlfn._xlws.FILTER(OFFSET($O$15,0,$DN151,$B$8,1),OFFSET($M$15,0,0,$B$8,1))=FI$13), 1*(_xlfn._xlws.FILTER(OFFSET($O$15,0,$DO151,$B$8,1),OFFSET($M$15,0,0,$B$8,1))=FI$14))   /   SUM(OFFSET($BO$15,0,0,$B$14,1)) + $B$18/($B$19*$B$19*($DN151&lt;&gt;$DO151) + $B$19*($DN151=$DO151))</f>
        <v>3.7037037037037035E-4</v>
      </c>
      <c r="FJ151" s="10" cm="1">
        <f t="array" aca="1" ref="FJ151" ca="1">(1-$B$18)*SUMPRODUCT(OFFSET($BO$15,0,0,$B$14,1), 1*(_xlfn._xlws.FILTER(OFFSET($O$15,0,$DN151,$B$8,1),OFFSET($M$15,0,0,$B$8,1))=FJ$13), 1*(_xlfn._xlws.FILTER(OFFSET($O$15,0,$DO151,$B$8,1),OFFSET($M$15,0,0,$B$8,1))=FJ$14))   /   SUM(OFFSET($BO$15,0,0,$B$14,1)) + $B$18/($B$19*$B$19*($DN151&lt;&gt;$DO151) + $B$19*($DN151=$DO151))</f>
        <v>3.7037037037037035E-4</v>
      </c>
      <c r="FK151" s="10" cm="1">
        <f t="array" aca="1" ref="FK151" ca="1">(1-$B$18)*SUMPRODUCT(OFFSET($BO$15,0,0,$B$14,1), 1*(_xlfn._xlws.FILTER(OFFSET($O$15,0,$DN151,$B$8,1),OFFSET($M$15,0,0,$B$8,1))=FK$13), 1*(_xlfn._xlws.FILTER(OFFSET($O$15,0,$DO151,$B$8,1),OFFSET($M$15,0,0,$B$8,1))=FK$14))   /   SUM(OFFSET($BO$15,0,0,$B$14,1)) + $B$18/($B$19*$B$19*($DN151&lt;&gt;$DO151) + $B$19*($DN151=$DO151))</f>
        <v>3.7037037037037035E-4</v>
      </c>
      <c r="FL151" s="10" cm="1">
        <f t="array" aca="1" ref="FL151" ca="1">(1-$B$18)*SUMPRODUCT(OFFSET($BO$15,0,0,$B$14,1), 1*(_xlfn._xlws.FILTER(OFFSET($O$15,0,$DN151,$B$8,1),OFFSET($M$15,0,0,$B$8,1))=FL$13), 1*(_xlfn._xlws.FILTER(OFFSET($O$15,0,$DO151,$B$8,1),OFFSET($M$15,0,0,$B$8,1))=FL$14))   /   SUM(OFFSET($BO$15,0,0,$B$14,1)) + $B$18/($B$19*$B$19*($DN151&lt;&gt;$DO151) + $B$19*($DN151=$DO151))</f>
        <v>3.7037037037037035E-4</v>
      </c>
      <c r="FM151" s="10" cm="1">
        <f t="array" aca="1" ref="FM151" ca="1">(1-$B$18)*SUMPRODUCT(OFFSET($BO$15,0,0,$B$14,1), 1*(_xlfn._xlws.FILTER(OFFSET($O$15,0,$DN151,$B$8,1),OFFSET($M$15,0,0,$B$8,1))=FM$13), 1*(_xlfn._xlws.FILTER(OFFSET($O$15,0,$DO151,$B$8,1),OFFSET($M$15,0,0,$B$8,1))=FM$14))   /   SUM(OFFSET($BO$15,0,0,$B$14,1)) + $B$18/($B$19*$B$19*($DN151&lt;&gt;$DO151) + $B$19*($DN151=$DO151))</f>
        <v>3.7037037037037035E-4</v>
      </c>
      <c r="FN151" s="10" cm="1">
        <f t="array" aca="1" ref="FN151" ca="1">(1-$B$18)*SUMPRODUCT(OFFSET($BO$15,0,0,$B$14,1), 1*(_xlfn._xlws.FILTER(OFFSET($O$15,0,$DN151,$B$8,1),OFFSET($M$15,0,0,$B$8,1))=FN$13), 1*(_xlfn._xlws.FILTER(OFFSET($O$15,0,$DO151,$B$8,1),OFFSET($M$15,0,0,$B$8,1))=FN$14))   /   SUM(OFFSET($BO$15,0,0,$B$14,1)) + $B$18/($B$19*$B$19*($DN151&lt;&gt;$DO151) + $B$19*($DN151=$DO151))</f>
        <v>3.7037037037037035E-4</v>
      </c>
      <c r="FO151" s="10" cm="1">
        <f t="array" aca="1" ref="FO151" ca="1">(1-$B$18)*SUMPRODUCT(OFFSET($BO$15,0,0,$B$14,1), 1*(_xlfn._xlws.FILTER(OFFSET($O$15,0,$DN151,$B$8,1),OFFSET($M$15,0,0,$B$8,1))=FO$13), 1*(_xlfn._xlws.FILTER(OFFSET($O$15,0,$DO151,$B$8,1),OFFSET($M$15,0,0,$B$8,1))=FO$14))   /   SUM(OFFSET($BO$15,0,0,$B$14,1)) + $B$18/($B$19*$B$19*($DN151&lt;&gt;$DO151) + $B$19*($DN151=$DO151))</f>
        <v>3.7037037037037035E-4</v>
      </c>
      <c r="FP151" s="10" cm="1">
        <f t="array" aca="1" ref="FP151" ca="1">(1-$B$18)*SUMPRODUCT(OFFSET($BO$15,0,0,$B$14,1), 1*(_xlfn._xlws.FILTER(OFFSET($O$15,0,$DN151,$B$8,1),OFFSET($M$15,0,0,$B$8,1))=FP$13), 1*(_xlfn._xlws.FILTER(OFFSET($O$15,0,$DO151,$B$8,1),OFFSET($M$15,0,0,$B$8,1))=FP$14))   /   SUM(OFFSET($BO$15,0,0,$B$14,1)) + $B$18/($B$19*$B$19*($DN151&lt;&gt;$DO151) + $B$19*($DN151=$DO151))</f>
        <v>3.7037037037037035E-4</v>
      </c>
      <c r="FQ151" s="10" cm="1">
        <f t="array" aca="1" ref="FQ151" ca="1">(1-$B$18)*SUMPRODUCT(OFFSET($BO$15,0,0,$B$14,1), 1*(_xlfn._xlws.FILTER(OFFSET($O$15,0,$DN151,$B$8,1),OFFSET($M$15,0,0,$B$8,1))=FQ$13), 1*(_xlfn._xlws.FILTER(OFFSET($O$15,0,$DO151,$B$8,1),OFFSET($M$15,0,0,$B$8,1))=FQ$14))   /   SUM(OFFSET($BO$15,0,0,$B$14,1)) + $B$18/($B$19*$B$19*($DN151&lt;&gt;$DO151) + $B$19*($DN151=$DO151))</f>
        <v>3.7037037037037035E-4</v>
      </c>
      <c r="FR151" s="10" cm="1">
        <f t="array" aca="1" ref="FR151" ca="1">(1-$B$18)*SUMPRODUCT(OFFSET($BO$15,0,0,$B$14,1), 1*(_xlfn._xlws.FILTER(OFFSET($O$15,0,$DN151,$B$8,1),OFFSET($M$15,0,0,$B$8,1))=FR$13), 1*(_xlfn._xlws.FILTER(OFFSET($O$15,0,$DO151,$B$8,1),OFFSET($M$15,0,0,$B$8,1))=FR$14))   /   SUM(OFFSET($BO$15,0,0,$B$14,1)) + $B$18/($B$19*$B$19*($DN151&lt;&gt;$DO151) + $B$19*($DN151=$DO151))</f>
        <v>0.97037037037037033</v>
      </c>
      <c r="FS151" s="10" cm="1">
        <f t="array" aca="1" ref="FS151" ca="1">(1-$B$18)*SUMPRODUCT(OFFSET($BO$15,0,0,$B$14,1), 1*(_xlfn._xlws.FILTER(OFFSET($O$15,0,$DN151,$B$8,1),OFFSET($M$15,0,0,$B$8,1))=FS$13), 1*(_xlfn._xlws.FILTER(OFFSET($O$15,0,$DO151,$B$8,1),OFFSET($M$15,0,0,$B$8,1))=FS$14))   /   SUM(OFFSET($BO$15,0,0,$B$14,1)) + $B$18/($B$19*$B$19*($DN151&lt;&gt;$DO151) + $B$19*($DN151=$DO151))</f>
        <v>3.7037037037037035E-4</v>
      </c>
      <c r="FT151" s="10" cm="1">
        <f t="array" aca="1" ref="FT151" ca="1">(1-$B$18)*SUMPRODUCT(OFFSET($BO$15,0,0,$B$14,1), 1*(_xlfn._xlws.FILTER(OFFSET($O$15,0,$DN151,$B$8,1),OFFSET($M$15,0,0,$B$8,1))=FT$13), 1*(_xlfn._xlws.FILTER(OFFSET($O$15,0,$DO151,$B$8,1),OFFSET($M$15,0,0,$B$8,1))=FT$14))   /   SUM(OFFSET($BO$15,0,0,$B$14,1)) + $B$18/($B$19*$B$19*($DN151&lt;&gt;$DO151) + $B$19*($DN151=$DO151))</f>
        <v>3.7037037037037035E-4</v>
      </c>
      <c r="FU151" s="10" cm="1">
        <f t="array" aca="1" ref="FU151" ca="1">(1-$B$18)*SUMPRODUCT(OFFSET($BO$15,0,0,$B$14,1), 1*(_xlfn._xlws.FILTER(OFFSET($O$15,0,$DN151,$B$8,1),OFFSET($M$15,0,0,$B$8,1))=FU$13), 1*(_xlfn._xlws.FILTER(OFFSET($O$15,0,$DO151,$B$8,1),OFFSET($M$15,0,0,$B$8,1))=FU$14))   /   SUM(OFFSET($BO$15,0,0,$B$14,1)) + $B$18/($B$19*$B$19*($DN151&lt;&gt;$DO151) + $B$19*($DN151=$DO151))</f>
        <v>3.7037037037037035E-4</v>
      </c>
      <c r="FV151" s="10" cm="1">
        <f t="array" aca="1" ref="FV151" ca="1">(1-$B$18)*SUMPRODUCT(OFFSET($BO$15,0,0,$B$14,1), 1*(_xlfn._xlws.FILTER(OFFSET($O$15,0,$DN151,$B$8,1),OFFSET($M$15,0,0,$B$8,1))=FV$13), 1*(_xlfn._xlws.FILTER(OFFSET($O$15,0,$DO151,$B$8,1),OFFSET($M$15,0,0,$B$8,1))=FV$14))   /   SUM(OFFSET($BO$15,0,0,$B$14,1)) + $B$18/($B$19*$B$19*($DN151&lt;&gt;$DO151) + $B$19*($DN151=$DO151))</f>
        <v>3.7037037037037035E-4</v>
      </c>
      <c r="FW151" s="10" cm="1">
        <f t="array" aca="1" ref="FW151" ca="1">(1-$B$18)*SUMPRODUCT(OFFSET($BO$15,0,0,$B$14,1), 1*(_xlfn._xlws.FILTER(OFFSET($O$15,0,$DN151,$B$8,1),OFFSET($M$15,0,0,$B$8,1))=FW$13), 1*(_xlfn._xlws.FILTER(OFFSET($O$15,0,$DO151,$B$8,1),OFFSET($M$15,0,0,$B$8,1))=FW$14))   /   SUM(OFFSET($BO$15,0,0,$B$14,1)) + $B$18/($B$19*$B$19*($DN151&lt;&gt;$DO151) + $B$19*($DN151=$DO151))</f>
        <v>3.7037037037037035E-4</v>
      </c>
      <c r="FX151" s="10" cm="1">
        <f t="array" aca="1" ref="FX151" ca="1">(1-$B$18)*SUMPRODUCT(OFFSET($BO$15,0,0,$B$14,1), 1*(_xlfn._xlws.FILTER(OFFSET($O$15,0,$DN151,$B$8,1),OFFSET($M$15,0,0,$B$8,1))=FX$13), 1*(_xlfn._xlws.FILTER(OFFSET($O$15,0,$DO151,$B$8,1),OFFSET($M$15,0,0,$B$8,1))=FX$14))   /   SUM(OFFSET($BO$15,0,0,$B$14,1)) + $B$18/($B$19*$B$19*($DN151&lt;&gt;$DO151) + $B$19*($DN151=$DO151))</f>
        <v>3.7037037037037035E-4</v>
      </c>
      <c r="FY151" s="10" cm="1">
        <f t="array" aca="1" ref="FY151" ca="1">(1-$B$18)*SUMPRODUCT(OFFSET($BO$15,0,0,$B$14,1), 1*(_xlfn._xlws.FILTER(OFFSET($O$15,0,$DN151,$B$8,1),OFFSET($M$15,0,0,$B$8,1))=FY$13), 1*(_xlfn._xlws.FILTER(OFFSET($O$15,0,$DO151,$B$8,1),OFFSET($M$15,0,0,$B$8,1))=FY$14))   /   SUM(OFFSET($BO$15,0,0,$B$14,1)) + $B$18/($B$19*$B$19*($DN151&lt;&gt;$DO151) + $B$19*($DN151=$DO151))</f>
        <v>3.7037037037037035E-4</v>
      </c>
      <c r="FZ151" s="10" cm="1">
        <f t="array" aca="1" ref="FZ151" ca="1">(1-$B$18)*SUMPRODUCT(OFFSET($BO$15,0,0,$B$14,1), 1*(_xlfn._xlws.FILTER(OFFSET($O$15,0,$DN151,$B$8,1),OFFSET($M$15,0,0,$B$8,1))=FZ$13), 1*(_xlfn._xlws.FILTER(OFFSET($O$15,0,$DO151,$B$8,1),OFFSET($M$15,0,0,$B$8,1))=FZ$14))   /   SUM(OFFSET($BO$15,0,0,$B$14,1)) + $B$18/($B$19*$B$19*($DN151&lt;&gt;$DO151) + $B$19*($DN151=$DO151))</f>
        <v>3.7037037037037035E-4</v>
      </c>
      <c r="GA151" s="10" cm="1">
        <f t="array" aca="1" ref="GA151" ca="1">(1-$B$18)*SUMPRODUCT(OFFSET($BO$15,0,0,$B$14,1), 1*(_xlfn._xlws.FILTER(OFFSET($O$15,0,$DN151,$B$8,1),OFFSET($M$15,0,0,$B$8,1))=GA$13), 1*(_xlfn._xlws.FILTER(OFFSET($O$15,0,$DO151,$B$8,1),OFFSET($M$15,0,0,$B$8,1))=GA$14))   /   SUM(OFFSET($BO$15,0,0,$B$14,1)) + $B$18/($B$19*$B$19*($DN151&lt;&gt;$DO151) + $B$19*($DN151=$DO151))</f>
        <v>3.7037037037037035E-4</v>
      </c>
    </row>
    <row r="152" spans="118:183" x14ac:dyDescent="0.2">
      <c r="DN152" cm="1">
        <f t="array" aca="1" ref="DN152" ca="1">INDEX(_xlfn.ANCHORARRAY($CP$15), 1 + INT((ROWS($DO$15:$DO152) - 1) / ROWS(_xlfn.ANCHORARRAY($CP$15))))</f>
        <v>7</v>
      </c>
      <c r="DO152" cm="1">
        <f t="array" aca="1" ref="DO152" ca="1">INDEX(_xlfn.ANCHORARRAY($CP$15),1+MOD(ROWS($DO$15:$DO152)-1,ROWS(_xlfn.ANCHORARRAY($CP$15))))</f>
        <v>4</v>
      </c>
      <c r="DP152" s="10" cm="1">
        <f t="array" aca="1" ref="DP152" ca="1">(1-$B$18)*SUMPRODUCT(OFFSET($BO$15,0,0,$B$14,1), 1*(_xlfn._xlws.FILTER(OFFSET($O$15,0,$DN152,$B$8,1),OFFSET($M$15,0,0,$B$8,1))=DP$13), 1*(_xlfn._xlws.FILTER(OFFSET($O$15,0,$DO152,$B$8,1),OFFSET($M$15,0,0,$B$8,1))=DP$14))   /   SUM(OFFSET($BO$15,0,0,$B$14,1)) + $B$18/($B$19*$B$19*($DN152&lt;&gt;$DO152) + $B$19*($DN152=$DO152))</f>
        <v>3.7037037037037035E-4</v>
      </c>
      <c r="DQ152" s="10" cm="1">
        <f t="array" aca="1" ref="DQ152" ca="1">(1-$B$18)*SUMPRODUCT(OFFSET($BO$15,0,0,$B$14,1), 1*(_xlfn._xlws.FILTER(OFFSET($O$15,0,$DN152,$B$8,1),OFFSET($M$15,0,0,$B$8,1))=DQ$13), 1*(_xlfn._xlws.FILTER(OFFSET($O$15,0,$DO152,$B$8,1),OFFSET($M$15,0,0,$B$8,1))=DQ$14))   /   SUM(OFFSET($BO$15,0,0,$B$14,1)) + $B$18/($B$19*$B$19*($DN152&lt;&gt;$DO152) + $B$19*($DN152=$DO152))</f>
        <v>3.7037037037037035E-4</v>
      </c>
      <c r="DR152" s="10" cm="1">
        <f t="array" aca="1" ref="DR152" ca="1">(1-$B$18)*SUMPRODUCT(OFFSET($BO$15,0,0,$B$14,1), 1*(_xlfn._xlws.FILTER(OFFSET($O$15,0,$DN152,$B$8,1),OFFSET($M$15,0,0,$B$8,1))=DR$13), 1*(_xlfn._xlws.FILTER(OFFSET($O$15,0,$DO152,$B$8,1),OFFSET($M$15,0,0,$B$8,1))=DR$14))   /   SUM(OFFSET($BO$15,0,0,$B$14,1)) + $B$18/($B$19*$B$19*($DN152&lt;&gt;$DO152) + $B$19*($DN152=$DO152))</f>
        <v>3.7037037037037035E-4</v>
      </c>
      <c r="DS152" s="10" cm="1">
        <f t="array" aca="1" ref="DS152" ca="1">(1-$B$18)*SUMPRODUCT(OFFSET($BO$15,0,0,$B$14,1), 1*(_xlfn._xlws.FILTER(OFFSET($O$15,0,$DN152,$B$8,1),OFFSET($M$15,0,0,$B$8,1))=DS$13), 1*(_xlfn._xlws.FILTER(OFFSET($O$15,0,$DO152,$B$8,1),OFFSET($M$15,0,0,$B$8,1))=DS$14))   /   SUM(OFFSET($BO$15,0,0,$B$14,1)) + $B$18/($B$19*$B$19*($DN152&lt;&gt;$DO152) + $B$19*($DN152=$DO152))</f>
        <v>3.7037037037037035E-4</v>
      </c>
      <c r="DT152" s="10" cm="1">
        <f t="array" aca="1" ref="DT152" ca="1">(1-$B$18)*SUMPRODUCT(OFFSET($BO$15,0,0,$B$14,1), 1*(_xlfn._xlws.FILTER(OFFSET($O$15,0,$DN152,$B$8,1),OFFSET($M$15,0,0,$B$8,1))=DT$13), 1*(_xlfn._xlws.FILTER(OFFSET($O$15,0,$DO152,$B$8,1),OFFSET($M$15,0,0,$B$8,1))=DT$14))   /   SUM(OFFSET($BO$15,0,0,$B$14,1)) + $B$18/($B$19*$B$19*($DN152&lt;&gt;$DO152) + $B$19*($DN152=$DO152))</f>
        <v>3.7037037037037035E-4</v>
      </c>
      <c r="DU152" s="10" cm="1">
        <f t="array" aca="1" ref="DU152" ca="1">(1-$B$18)*SUMPRODUCT(OFFSET($BO$15,0,0,$B$14,1), 1*(_xlfn._xlws.FILTER(OFFSET($O$15,0,$DN152,$B$8,1),OFFSET($M$15,0,0,$B$8,1))=DU$13), 1*(_xlfn._xlws.FILTER(OFFSET($O$15,0,$DO152,$B$8,1),OFFSET($M$15,0,0,$B$8,1))=DU$14))   /   SUM(OFFSET($BO$15,0,0,$B$14,1)) + $B$18/($B$19*$B$19*($DN152&lt;&gt;$DO152) + $B$19*($DN152=$DO152))</f>
        <v>3.7037037037037035E-4</v>
      </c>
      <c r="DV152" s="10" cm="1">
        <f t="array" aca="1" ref="DV152" ca="1">(1-$B$18)*SUMPRODUCT(OFFSET($BO$15,0,0,$B$14,1), 1*(_xlfn._xlws.FILTER(OFFSET($O$15,0,$DN152,$B$8,1),OFFSET($M$15,0,0,$B$8,1))=DV$13), 1*(_xlfn._xlws.FILTER(OFFSET($O$15,0,$DO152,$B$8,1),OFFSET($M$15,0,0,$B$8,1))=DV$14))   /   SUM(OFFSET($BO$15,0,0,$B$14,1)) + $B$18/($B$19*$B$19*($DN152&lt;&gt;$DO152) + $B$19*($DN152=$DO152))</f>
        <v>3.7037037037037035E-4</v>
      </c>
      <c r="DW152" s="10" cm="1">
        <f t="array" aca="1" ref="DW152" ca="1">(1-$B$18)*SUMPRODUCT(OFFSET($BO$15,0,0,$B$14,1), 1*(_xlfn._xlws.FILTER(OFFSET($O$15,0,$DN152,$B$8,1),OFFSET($M$15,0,0,$B$8,1))=DW$13), 1*(_xlfn._xlws.FILTER(OFFSET($O$15,0,$DO152,$B$8,1),OFFSET($M$15,0,0,$B$8,1))=DW$14))   /   SUM(OFFSET($BO$15,0,0,$B$14,1)) + $B$18/($B$19*$B$19*($DN152&lt;&gt;$DO152) + $B$19*($DN152=$DO152))</f>
        <v>3.7037037037037035E-4</v>
      </c>
      <c r="DX152" s="10" cm="1">
        <f t="array" aca="1" ref="DX152" ca="1">(1-$B$18)*SUMPRODUCT(OFFSET($BO$15,0,0,$B$14,1), 1*(_xlfn._xlws.FILTER(OFFSET($O$15,0,$DN152,$B$8,1),OFFSET($M$15,0,0,$B$8,1))=DX$13), 1*(_xlfn._xlws.FILTER(OFFSET($O$15,0,$DO152,$B$8,1),OFFSET($M$15,0,0,$B$8,1))=DX$14))   /   SUM(OFFSET($BO$15,0,0,$B$14,1)) + $B$18/($B$19*$B$19*($DN152&lt;&gt;$DO152) + $B$19*($DN152=$DO152))</f>
        <v>3.7037037037037035E-4</v>
      </c>
      <c r="DY152" s="10" cm="1">
        <f t="array" aca="1" ref="DY152" ca="1">(1-$B$18)*SUMPRODUCT(OFFSET($BO$15,0,0,$B$14,1), 1*(_xlfn._xlws.FILTER(OFFSET($O$15,0,$DN152,$B$8,1),OFFSET($M$15,0,0,$B$8,1))=DY$13), 1*(_xlfn._xlws.FILTER(OFFSET($O$15,0,$DO152,$B$8,1),OFFSET($M$15,0,0,$B$8,1))=DY$14))   /   SUM(OFFSET($BO$15,0,0,$B$14,1)) + $B$18/($B$19*$B$19*($DN152&lt;&gt;$DO152) + $B$19*($DN152=$DO152))</f>
        <v>3.7037037037037035E-4</v>
      </c>
      <c r="DZ152" s="10" cm="1">
        <f t="array" aca="1" ref="DZ152" ca="1">(1-$B$18)*SUMPRODUCT(OFFSET($BO$15,0,0,$B$14,1), 1*(_xlfn._xlws.FILTER(OFFSET($O$15,0,$DN152,$B$8,1),OFFSET($M$15,0,0,$B$8,1))=DZ$13), 1*(_xlfn._xlws.FILTER(OFFSET($O$15,0,$DO152,$B$8,1),OFFSET($M$15,0,0,$B$8,1))=DZ$14))   /   SUM(OFFSET($BO$15,0,0,$B$14,1)) + $B$18/($B$19*$B$19*($DN152&lt;&gt;$DO152) + $B$19*($DN152=$DO152))</f>
        <v>3.7037037037037035E-4</v>
      </c>
      <c r="EA152" s="10" cm="1">
        <f t="array" aca="1" ref="EA152" ca="1">(1-$B$18)*SUMPRODUCT(OFFSET($BO$15,0,0,$B$14,1), 1*(_xlfn._xlws.FILTER(OFFSET($O$15,0,$DN152,$B$8,1),OFFSET($M$15,0,0,$B$8,1))=EA$13), 1*(_xlfn._xlws.FILTER(OFFSET($O$15,0,$DO152,$B$8,1),OFFSET($M$15,0,0,$B$8,1))=EA$14))   /   SUM(OFFSET($BO$15,0,0,$B$14,1)) + $B$18/($B$19*$B$19*($DN152&lt;&gt;$DO152) + $B$19*($DN152=$DO152))</f>
        <v>3.7037037037037035E-4</v>
      </c>
      <c r="EB152" s="10" cm="1">
        <f t="array" aca="1" ref="EB152" ca="1">(1-$B$18)*SUMPRODUCT(OFFSET($BO$15,0,0,$B$14,1), 1*(_xlfn._xlws.FILTER(OFFSET($O$15,0,$DN152,$B$8,1),OFFSET($M$15,0,0,$B$8,1))=EB$13), 1*(_xlfn._xlws.FILTER(OFFSET($O$15,0,$DO152,$B$8,1),OFFSET($M$15,0,0,$B$8,1))=EB$14))   /   SUM(OFFSET($BO$15,0,0,$B$14,1)) + $B$18/($B$19*$B$19*($DN152&lt;&gt;$DO152) + $B$19*($DN152=$DO152))</f>
        <v>3.7037037037037035E-4</v>
      </c>
      <c r="EC152" s="10" cm="1">
        <f t="array" aca="1" ref="EC152" ca="1">(1-$B$18)*SUMPRODUCT(OFFSET($BO$15,0,0,$B$14,1), 1*(_xlfn._xlws.FILTER(OFFSET($O$15,0,$DN152,$B$8,1),OFFSET($M$15,0,0,$B$8,1))=EC$13), 1*(_xlfn._xlws.FILTER(OFFSET($O$15,0,$DO152,$B$8,1),OFFSET($M$15,0,0,$B$8,1))=EC$14))   /   SUM(OFFSET($BO$15,0,0,$B$14,1)) + $B$18/($B$19*$B$19*($DN152&lt;&gt;$DO152) + $B$19*($DN152=$DO152))</f>
        <v>3.7037037037037035E-4</v>
      </c>
      <c r="ED152" s="10" cm="1">
        <f t="array" aca="1" ref="ED152" ca="1">(1-$B$18)*SUMPRODUCT(OFFSET($BO$15,0,0,$B$14,1), 1*(_xlfn._xlws.FILTER(OFFSET($O$15,0,$DN152,$B$8,1),OFFSET($M$15,0,0,$B$8,1))=ED$13), 1*(_xlfn._xlws.FILTER(OFFSET($O$15,0,$DO152,$B$8,1),OFFSET($M$15,0,0,$B$8,1))=ED$14))   /   SUM(OFFSET($BO$15,0,0,$B$14,1)) + $B$18/($B$19*$B$19*($DN152&lt;&gt;$DO152) + $B$19*($DN152=$DO152))</f>
        <v>3.7037037037037035E-4</v>
      </c>
      <c r="EE152" s="10" cm="1">
        <f t="array" aca="1" ref="EE152" ca="1">(1-$B$18)*SUMPRODUCT(OFFSET($BO$15,0,0,$B$14,1), 1*(_xlfn._xlws.FILTER(OFFSET($O$15,0,$DN152,$B$8,1),OFFSET($M$15,0,0,$B$8,1))=EE$13), 1*(_xlfn._xlws.FILTER(OFFSET($O$15,0,$DO152,$B$8,1),OFFSET($M$15,0,0,$B$8,1))=EE$14))   /   SUM(OFFSET($BO$15,0,0,$B$14,1)) + $B$18/($B$19*$B$19*($DN152&lt;&gt;$DO152) + $B$19*($DN152=$DO152))</f>
        <v>3.7037037037037035E-4</v>
      </c>
      <c r="EF152" s="10" cm="1">
        <f t="array" aca="1" ref="EF152" ca="1">(1-$B$18)*SUMPRODUCT(OFFSET($BO$15,0,0,$B$14,1), 1*(_xlfn._xlws.FILTER(OFFSET($O$15,0,$DN152,$B$8,1),OFFSET($M$15,0,0,$B$8,1))=EF$13), 1*(_xlfn._xlws.FILTER(OFFSET($O$15,0,$DO152,$B$8,1),OFFSET($M$15,0,0,$B$8,1))=EF$14))   /   SUM(OFFSET($BO$15,0,0,$B$14,1)) + $B$18/($B$19*$B$19*($DN152&lt;&gt;$DO152) + $B$19*($DN152=$DO152))</f>
        <v>3.7037037037037035E-4</v>
      </c>
      <c r="EG152" s="10" cm="1">
        <f t="array" aca="1" ref="EG152" ca="1">(1-$B$18)*SUMPRODUCT(OFFSET($BO$15,0,0,$B$14,1), 1*(_xlfn._xlws.FILTER(OFFSET($O$15,0,$DN152,$B$8,1),OFFSET($M$15,0,0,$B$8,1))=EG$13), 1*(_xlfn._xlws.FILTER(OFFSET($O$15,0,$DO152,$B$8,1),OFFSET($M$15,0,0,$B$8,1))=EG$14))   /   SUM(OFFSET($BO$15,0,0,$B$14,1)) + $B$18/($B$19*$B$19*($DN152&lt;&gt;$DO152) + $B$19*($DN152=$DO152))</f>
        <v>3.7037037037037035E-4</v>
      </c>
      <c r="EH152" s="10" cm="1">
        <f t="array" aca="1" ref="EH152" ca="1">(1-$B$18)*SUMPRODUCT(OFFSET($BO$15,0,0,$B$14,1), 1*(_xlfn._xlws.FILTER(OFFSET($O$15,0,$DN152,$B$8,1),OFFSET($M$15,0,0,$B$8,1))=EH$13), 1*(_xlfn._xlws.FILTER(OFFSET($O$15,0,$DO152,$B$8,1),OFFSET($M$15,0,0,$B$8,1))=EH$14))   /   SUM(OFFSET($BO$15,0,0,$B$14,1)) + $B$18/($B$19*$B$19*($DN152&lt;&gt;$DO152) + $B$19*($DN152=$DO152))</f>
        <v>3.7037037037037035E-4</v>
      </c>
      <c r="EI152" s="10" cm="1">
        <f t="array" aca="1" ref="EI152" ca="1">(1-$B$18)*SUMPRODUCT(OFFSET($BO$15,0,0,$B$14,1), 1*(_xlfn._xlws.FILTER(OFFSET($O$15,0,$DN152,$B$8,1),OFFSET($M$15,0,0,$B$8,1))=EI$13), 1*(_xlfn._xlws.FILTER(OFFSET($O$15,0,$DO152,$B$8,1),OFFSET($M$15,0,0,$B$8,1))=EI$14))   /   SUM(OFFSET($BO$15,0,0,$B$14,1)) + $B$18/($B$19*$B$19*($DN152&lt;&gt;$DO152) + $B$19*($DN152=$DO152))</f>
        <v>3.7037037037037035E-4</v>
      </c>
      <c r="EJ152" s="10" cm="1">
        <f t="array" aca="1" ref="EJ152" ca="1">(1-$B$18)*SUMPRODUCT(OFFSET($BO$15,0,0,$B$14,1), 1*(_xlfn._xlws.FILTER(OFFSET($O$15,0,$DN152,$B$8,1),OFFSET($M$15,0,0,$B$8,1))=EJ$13), 1*(_xlfn._xlws.FILTER(OFFSET($O$15,0,$DO152,$B$8,1),OFFSET($M$15,0,0,$B$8,1))=EJ$14))   /   SUM(OFFSET($BO$15,0,0,$B$14,1)) + $B$18/($B$19*$B$19*($DN152&lt;&gt;$DO152) + $B$19*($DN152=$DO152))</f>
        <v>3.7037037037037035E-4</v>
      </c>
      <c r="EK152" s="10" cm="1">
        <f t="array" aca="1" ref="EK152" ca="1">(1-$B$18)*SUMPRODUCT(OFFSET($BO$15,0,0,$B$14,1), 1*(_xlfn._xlws.FILTER(OFFSET($O$15,0,$DN152,$B$8,1),OFFSET($M$15,0,0,$B$8,1))=EK$13), 1*(_xlfn._xlws.FILTER(OFFSET($O$15,0,$DO152,$B$8,1),OFFSET($M$15,0,0,$B$8,1))=EK$14))   /   SUM(OFFSET($BO$15,0,0,$B$14,1)) + $B$18/($B$19*$B$19*($DN152&lt;&gt;$DO152) + $B$19*($DN152=$DO152))</f>
        <v>3.7037037037037035E-4</v>
      </c>
      <c r="EL152" s="10" cm="1">
        <f t="array" aca="1" ref="EL152" ca="1">(1-$B$18)*SUMPRODUCT(OFFSET($BO$15,0,0,$B$14,1), 1*(_xlfn._xlws.FILTER(OFFSET($O$15,0,$DN152,$B$8,1),OFFSET($M$15,0,0,$B$8,1))=EL$13), 1*(_xlfn._xlws.FILTER(OFFSET($O$15,0,$DO152,$B$8,1),OFFSET($M$15,0,0,$B$8,1))=EL$14))   /   SUM(OFFSET($BO$15,0,0,$B$14,1)) + $B$18/($B$19*$B$19*($DN152&lt;&gt;$DO152) + $B$19*($DN152=$DO152))</f>
        <v>3.7037037037037035E-4</v>
      </c>
      <c r="EM152" s="10" cm="1">
        <f t="array" aca="1" ref="EM152" ca="1">(1-$B$18)*SUMPRODUCT(OFFSET($BO$15,0,0,$B$14,1), 1*(_xlfn._xlws.FILTER(OFFSET($O$15,0,$DN152,$B$8,1),OFFSET($M$15,0,0,$B$8,1))=EM$13), 1*(_xlfn._xlws.FILTER(OFFSET($O$15,0,$DO152,$B$8,1),OFFSET($M$15,0,0,$B$8,1))=EM$14))   /   SUM(OFFSET($BO$15,0,0,$B$14,1)) + $B$18/($B$19*$B$19*($DN152&lt;&gt;$DO152) + $B$19*($DN152=$DO152))</f>
        <v>3.7037037037037035E-4</v>
      </c>
      <c r="EN152" s="10" cm="1">
        <f t="array" aca="1" ref="EN152" ca="1">(1-$B$18)*SUMPRODUCT(OFFSET($BO$15,0,0,$B$14,1), 1*(_xlfn._xlws.FILTER(OFFSET($O$15,0,$DN152,$B$8,1),OFFSET($M$15,0,0,$B$8,1))=EN$13), 1*(_xlfn._xlws.FILTER(OFFSET($O$15,0,$DO152,$B$8,1),OFFSET($M$15,0,0,$B$8,1))=EN$14))   /   SUM(OFFSET($BO$15,0,0,$B$14,1)) + $B$18/($B$19*$B$19*($DN152&lt;&gt;$DO152) + $B$19*($DN152=$DO152))</f>
        <v>3.7037037037037035E-4</v>
      </c>
      <c r="EO152" s="10" cm="1">
        <f t="array" aca="1" ref="EO152" ca="1">(1-$B$18)*SUMPRODUCT(OFFSET($BO$15,0,0,$B$14,1), 1*(_xlfn._xlws.FILTER(OFFSET($O$15,0,$DN152,$B$8,1),OFFSET($M$15,0,0,$B$8,1))=EO$13), 1*(_xlfn._xlws.FILTER(OFFSET($O$15,0,$DO152,$B$8,1),OFFSET($M$15,0,0,$B$8,1))=EO$14))   /   SUM(OFFSET($BO$15,0,0,$B$14,1)) + $B$18/($B$19*$B$19*($DN152&lt;&gt;$DO152) + $B$19*($DN152=$DO152))</f>
        <v>3.7037037037037035E-4</v>
      </c>
      <c r="EP152" s="10" cm="1">
        <f t="array" aca="1" ref="EP152" ca="1">(1-$B$18)*SUMPRODUCT(OFFSET($BO$15,0,0,$B$14,1), 1*(_xlfn._xlws.FILTER(OFFSET($O$15,0,$DN152,$B$8,1),OFFSET($M$15,0,0,$B$8,1))=EP$13), 1*(_xlfn._xlws.FILTER(OFFSET($O$15,0,$DO152,$B$8,1),OFFSET($M$15,0,0,$B$8,1))=EP$14))   /   SUM(OFFSET($BO$15,0,0,$B$14,1)) + $B$18/($B$19*$B$19*($DN152&lt;&gt;$DO152) + $B$19*($DN152=$DO152))</f>
        <v>3.7037037037037035E-4</v>
      </c>
      <c r="EQ152" s="10" cm="1">
        <f t="array" aca="1" ref="EQ152" ca="1">(1-$B$18)*SUMPRODUCT(OFFSET($BO$15,0,0,$B$14,1), 1*(_xlfn._xlws.FILTER(OFFSET($O$15,0,$DN152,$B$8,1),OFFSET($M$15,0,0,$B$8,1))=EQ$13), 1*(_xlfn._xlws.FILTER(OFFSET($O$15,0,$DO152,$B$8,1),OFFSET($M$15,0,0,$B$8,1))=EQ$14))   /   SUM(OFFSET($BO$15,0,0,$B$14,1)) + $B$18/($B$19*$B$19*($DN152&lt;&gt;$DO152) + $B$19*($DN152=$DO152))</f>
        <v>3.7037037037037035E-4</v>
      </c>
      <c r="ER152" s="10" cm="1">
        <f t="array" aca="1" ref="ER152" ca="1">(1-$B$18)*SUMPRODUCT(OFFSET($BO$15,0,0,$B$14,1), 1*(_xlfn._xlws.FILTER(OFFSET($O$15,0,$DN152,$B$8,1),OFFSET($M$15,0,0,$B$8,1))=ER$13), 1*(_xlfn._xlws.FILTER(OFFSET($O$15,0,$DO152,$B$8,1),OFFSET($M$15,0,0,$B$8,1))=ER$14))   /   SUM(OFFSET($BO$15,0,0,$B$14,1)) + $B$18/($B$19*$B$19*($DN152&lt;&gt;$DO152) + $B$19*($DN152=$DO152))</f>
        <v>3.7037037037037035E-4</v>
      </c>
      <c r="ES152" s="10" cm="1">
        <f t="array" aca="1" ref="ES152" ca="1">(1-$B$18)*SUMPRODUCT(OFFSET($BO$15,0,0,$B$14,1), 1*(_xlfn._xlws.FILTER(OFFSET($O$15,0,$DN152,$B$8,1),OFFSET($M$15,0,0,$B$8,1))=ES$13), 1*(_xlfn._xlws.FILTER(OFFSET($O$15,0,$DO152,$B$8,1),OFFSET($M$15,0,0,$B$8,1))=ES$14))   /   SUM(OFFSET($BO$15,0,0,$B$14,1)) + $B$18/($B$19*$B$19*($DN152&lt;&gt;$DO152) + $B$19*($DN152=$DO152))</f>
        <v>3.7037037037037035E-4</v>
      </c>
      <c r="ET152" s="10" cm="1">
        <f t="array" aca="1" ref="ET152" ca="1">(1-$B$18)*SUMPRODUCT(OFFSET($BO$15,0,0,$B$14,1), 1*(_xlfn._xlws.FILTER(OFFSET($O$15,0,$DN152,$B$8,1),OFFSET($M$15,0,0,$B$8,1))=ET$13), 1*(_xlfn._xlws.FILTER(OFFSET($O$15,0,$DO152,$B$8,1),OFFSET($M$15,0,0,$B$8,1))=ET$14))   /   SUM(OFFSET($BO$15,0,0,$B$14,1)) + $B$18/($B$19*$B$19*($DN152&lt;&gt;$DO152) + $B$19*($DN152=$DO152))</f>
        <v>3.7037037037037035E-4</v>
      </c>
      <c r="EU152" s="10" cm="1">
        <f t="array" aca="1" ref="EU152" ca="1">(1-$B$18)*SUMPRODUCT(OFFSET($BO$15,0,0,$B$14,1), 1*(_xlfn._xlws.FILTER(OFFSET($O$15,0,$DN152,$B$8,1),OFFSET($M$15,0,0,$B$8,1))=EU$13), 1*(_xlfn._xlws.FILTER(OFFSET($O$15,0,$DO152,$B$8,1),OFFSET($M$15,0,0,$B$8,1))=EU$14))   /   SUM(OFFSET($BO$15,0,0,$B$14,1)) + $B$18/($B$19*$B$19*($DN152&lt;&gt;$DO152) + $B$19*($DN152=$DO152))</f>
        <v>3.7037037037037035E-4</v>
      </c>
      <c r="EV152" s="10" cm="1">
        <f t="array" aca="1" ref="EV152" ca="1">(1-$B$18)*SUMPRODUCT(OFFSET($BO$15,0,0,$B$14,1), 1*(_xlfn._xlws.FILTER(OFFSET($O$15,0,$DN152,$B$8,1),OFFSET($M$15,0,0,$B$8,1))=EV$13), 1*(_xlfn._xlws.FILTER(OFFSET($O$15,0,$DO152,$B$8,1),OFFSET($M$15,0,0,$B$8,1))=EV$14))   /   SUM(OFFSET($BO$15,0,0,$B$14,1)) + $B$18/($B$19*$B$19*($DN152&lt;&gt;$DO152) + $B$19*($DN152=$DO152))</f>
        <v>3.7037037037037035E-4</v>
      </c>
      <c r="EW152" s="10" cm="1">
        <f t="array" aca="1" ref="EW152" ca="1">(1-$B$18)*SUMPRODUCT(OFFSET($BO$15,0,0,$B$14,1), 1*(_xlfn._xlws.FILTER(OFFSET($O$15,0,$DN152,$B$8,1),OFFSET($M$15,0,0,$B$8,1))=EW$13), 1*(_xlfn._xlws.FILTER(OFFSET($O$15,0,$DO152,$B$8,1),OFFSET($M$15,0,0,$B$8,1))=EW$14))   /   SUM(OFFSET($BO$15,0,0,$B$14,1)) + $B$18/($B$19*$B$19*($DN152&lt;&gt;$DO152) + $B$19*($DN152=$DO152))</f>
        <v>3.7037037037037035E-4</v>
      </c>
      <c r="EX152" s="10" cm="1">
        <f t="array" aca="1" ref="EX152" ca="1">(1-$B$18)*SUMPRODUCT(OFFSET($BO$15,0,0,$B$14,1), 1*(_xlfn._xlws.FILTER(OFFSET($O$15,0,$DN152,$B$8,1),OFFSET($M$15,0,0,$B$8,1))=EX$13), 1*(_xlfn._xlws.FILTER(OFFSET($O$15,0,$DO152,$B$8,1),OFFSET($M$15,0,0,$B$8,1))=EX$14))   /   SUM(OFFSET($BO$15,0,0,$B$14,1)) + $B$18/($B$19*$B$19*($DN152&lt;&gt;$DO152) + $B$19*($DN152=$DO152))</f>
        <v>3.7037037037037035E-4</v>
      </c>
      <c r="EY152" s="10" cm="1">
        <f t="array" aca="1" ref="EY152" ca="1">(1-$B$18)*SUMPRODUCT(OFFSET($BO$15,0,0,$B$14,1), 1*(_xlfn._xlws.FILTER(OFFSET($O$15,0,$DN152,$B$8,1),OFFSET($M$15,0,0,$B$8,1))=EY$13), 1*(_xlfn._xlws.FILTER(OFFSET($O$15,0,$DO152,$B$8,1),OFFSET($M$15,0,0,$B$8,1))=EY$14))   /   SUM(OFFSET($BO$15,0,0,$B$14,1)) + $B$18/($B$19*$B$19*($DN152&lt;&gt;$DO152) + $B$19*($DN152=$DO152))</f>
        <v>3.7037037037037035E-4</v>
      </c>
      <c r="EZ152" s="10" cm="1">
        <f t="array" aca="1" ref="EZ152" ca="1">(1-$B$18)*SUMPRODUCT(OFFSET($BO$15,0,0,$B$14,1), 1*(_xlfn._xlws.FILTER(OFFSET($O$15,0,$DN152,$B$8,1),OFFSET($M$15,0,0,$B$8,1))=EZ$13), 1*(_xlfn._xlws.FILTER(OFFSET($O$15,0,$DO152,$B$8,1),OFFSET($M$15,0,0,$B$8,1))=EZ$14))   /   SUM(OFFSET($BO$15,0,0,$B$14,1)) + $B$18/($B$19*$B$19*($DN152&lt;&gt;$DO152) + $B$19*($DN152=$DO152))</f>
        <v>3.7037037037037035E-4</v>
      </c>
      <c r="FA152" s="10" cm="1">
        <f t="array" aca="1" ref="FA152" ca="1">(1-$B$18)*SUMPRODUCT(OFFSET($BO$15,0,0,$B$14,1), 1*(_xlfn._xlws.FILTER(OFFSET($O$15,0,$DN152,$B$8,1),OFFSET($M$15,0,0,$B$8,1))=FA$13), 1*(_xlfn._xlws.FILTER(OFFSET($O$15,0,$DO152,$B$8,1),OFFSET($M$15,0,0,$B$8,1))=FA$14))   /   SUM(OFFSET($BO$15,0,0,$B$14,1)) + $B$18/($B$19*$B$19*($DN152&lt;&gt;$DO152) + $B$19*($DN152=$DO152))</f>
        <v>3.7037037037037035E-4</v>
      </c>
      <c r="FB152" s="10" cm="1">
        <f t="array" aca="1" ref="FB152" ca="1">(1-$B$18)*SUMPRODUCT(OFFSET($BO$15,0,0,$B$14,1), 1*(_xlfn._xlws.FILTER(OFFSET($O$15,0,$DN152,$B$8,1),OFFSET($M$15,0,0,$B$8,1))=FB$13), 1*(_xlfn._xlws.FILTER(OFFSET($O$15,0,$DO152,$B$8,1),OFFSET($M$15,0,0,$B$8,1))=FB$14))   /   SUM(OFFSET($BO$15,0,0,$B$14,1)) + $B$18/($B$19*$B$19*($DN152&lt;&gt;$DO152) + $B$19*($DN152=$DO152))</f>
        <v>3.7037037037037035E-4</v>
      </c>
      <c r="FC152" s="10" cm="1">
        <f t="array" aca="1" ref="FC152" ca="1">(1-$B$18)*SUMPRODUCT(OFFSET($BO$15,0,0,$B$14,1), 1*(_xlfn._xlws.FILTER(OFFSET($O$15,0,$DN152,$B$8,1),OFFSET($M$15,0,0,$B$8,1))=FC$13), 1*(_xlfn._xlws.FILTER(OFFSET($O$15,0,$DO152,$B$8,1),OFFSET($M$15,0,0,$B$8,1))=FC$14))   /   SUM(OFFSET($BO$15,0,0,$B$14,1)) + $B$18/($B$19*$B$19*($DN152&lt;&gt;$DO152) + $B$19*($DN152=$DO152))</f>
        <v>3.7037037037037035E-4</v>
      </c>
      <c r="FD152" s="10" cm="1">
        <f t="array" aca="1" ref="FD152" ca="1">(1-$B$18)*SUMPRODUCT(OFFSET($BO$15,0,0,$B$14,1), 1*(_xlfn._xlws.FILTER(OFFSET($O$15,0,$DN152,$B$8,1),OFFSET($M$15,0,0,$B$8,1))=FD$13), 1*(_xlfn._xlws.FILTER(OFFSET($O$15,0,$DO152,$B$8,1),OFFSET($M$15,0,0,$B$8,1))=FD$14))   /   SUM(OFFSET($BO$15,0,0,$B$14,1)) + $B$18/($B$19*$B$19*($DN152&lt;&gt;$DO152) + $B$19*($DN152=$DO152))</f>
        <v>3.7037037037037035E-4</v>
      </c>
      <c r="FE152" s="10" cm="1">
        <f t="array" aca="1" ref="FE152" ca="1">(1-$B$18)*SUMPRODUCT(OFFSET($BO$15,0,0,$B$14,1), 1*(_xlfn._xlws.FILTER(OFFSET($O$15,0,$DN152,$B$8,1),OFFSET($M$15,0,0,$B$8,1))=FE$13), 1*(_xlfn._xlws.FILTER(OFFSET($O$15,0,$DO152,$B$8,1),OFFSET($M$15,0,0,$B$8,1))=FE$14))   /   SUM(OFFSET($BO$15,0,0,$B$14,1)) + $B$18/($B$19*$B$19*($DN152&lt;&gt;$DO152) + $B$19*($DN152=$DO152))</f>
        <v>3.7037037037037035E-4</v>
      </c>
      <c r="FF152" s="10" cm="1">
        <f t="array" aca="1" ref="FF152" ca="1">(1-$B$18)*SUMPRODUCT(OFFSET($BO$15,0,0,$B$14,1), 1*(_xlfn._xlws.FILTER(OFFSET($O$15,0,$DN152,$B$8,1),OFFSET($M$15,0,0,$B$8,1))=FF$13), 1*(_xlfn._xlws.FILTER(OFFSET($O$15,0,$DO152,$B$8,1),OFFSET($M$15,0,0,$B$8,1))=FF$14))   /   SUM(OFFSET($BO$15,0,0,$B$14,1)) + $B$18/($B$19*$B$19*($DN152&lt;&gt;$DO152) + $B$19*($DN152=$DO152))</f>
        <v>3.7037037037037035E-4</v>
      </c>
      <c r="FG152" s="10" cm="1">
        <f t="array" aca="1" ref="FG152" ca="1">(1-$B$18)*SUMPRODUCT(OFFSET($BO$15,0,0,$B$14,1), 1*(_xlfn._xlws.FILTER(OFFSET($O$15,0,$DN152,$B$8,1),OFFSET($M$15,0,0,$B$8,1))=FG$13), 1*(_xlfn._xlws.FILTER(OFFSET($O$15,0,$DO152,$B$8,1),OFFSET($M$15,0,0,$B$8,1))=FG$14))   /   SUM(OFFSET($BO$15,0,0,$B$14,1)) + $B$18/($B$19*$B$19*($DN152&lt;&gt;$DO152) + $B$19*($DN152=$DO152))</f>
        <v>3.7037037037037035E-4</v>
      </c>
      <c r="FH152" s="10" cm="1">
        <f t="array" aca="1" ref="FH152" ca="1">(1-$B$18)*SUMPRODUCT(OFFSET($BO$15,0,0,$B$14,1), 1*(_xlfn._xlws.FILTER(OFFSET($O$15,0,$DN152,$B$8,1),OFFSET($M$15,0,0,$B$8,1))=FH$13), 1*(_xlfn._xlws.FILTER(OFFSET($O$15,0,$DO152,$B$8,1),OFFSET($M$15,0,0,$B$8,1))=FH$14))   /   SUM(OFFSET($BO$15,0,0,$B$14,1)) + $B$18/($B$19*$B$19*($DN152&lt;&gt;$DO152) + $B$19*($DN152=$DO152))</f>
        <v>3.7037037037037035E-4</v>
      </c>
      <c r="FI152" s="10" cm="1">
        <f t="array" aca="1" ref="FI152" ca="1">(1-$B$18)*SUMPRODUCT(OFFSET($BO$15,0,0,$B$14,1), 1*(_xlfn._xlws.FILTER(OFFSET($O$15,0,$DN152,$B$8,1),OFFSET($M$15,0,0,$B$8,1))=FI$13), 1*(_xlfn._xlws.FILTER(OFFSET($O$15,0,$DO152,$B$8,1),OFFSET($M$15,0,0,$B$8,1))=FI$14))   /   SUM(OFFSET($BO$15,0,0,$B$14,1)) + $B$18/($B$19*$B$19*($DN152&lt;&gt;$DO152) + $B$19*($DN152=$DO152))</f>
        <v>3.7037037037037035E-4</v>
      </c>
      <c r="FJ152" s="10" cm="1">
        <f t="array" aca="1" ref="FJ152" ca="1">(1-$B$18)*SUMPRODUCT(OFFSET($BO$15,0,0,$B$14,1), 1*(_xlfn._xlws.FILTER(OFFSET($O$15,0,$DN152,$B$8,1),OFFSET($M$15,0,0,$B$8,1))=FJ$13), 1*(_xlfn._xlws.FILTER(OFFSET($O$15,0,$DO152,$B$8,1),OFFSET($M$15,0,0,$B$8,1))=FJ$14))   /   SUM(OFFSET($BO$15,0,0,$B$14,1)) + $B$18/($B$19*$B$19*($DN152&lt;&gt;$DO152) + $B$19*($DN152=$DO152))</f>
        <v>3.7037037037037035E-4</v>
      </c>
      <c r="FK152" s="10" cm="1">
        <f t="array" aca="1" ref="FK152" ca="1">(1-$B$18)*SUMPRODUCT(OFFSET($BO$15,0,0,$B$14,1), 1*(_xlfn._xlws.FILTER(OFFSET($O$15,0,$DN152,$B$8,1),OFFSET($M$15,0,0,$B$8,1))=FK$13), 1*(_xlfn._xlws.FILTER(OFFSET($O$15,0,$DO152,$B$8,1),OFFSET($M$15,0,0,$B$8,1))=FK$14))   /   SUM(OFFSET($BO$15,0,0,$B$14,1)) + $B$18/($B$19*$B$19*($DN152&lt;&gt;$DO152) + $B$19*($DN152=$DO152))</f>
        <v>3.7037037037037035E-4</v>
      </c>
      <c r="FL152" s="10" cm="1">
        <f t="array" aca="1" ref="FL152" ca="1">(1-$B$18)*SUMPRODUCT(OFFSET($BO$15,0,0,$B$14,1), 1*(_xlfn._xlws.FILTER(OFFSET($O$15,0,$DN152,$B$8,1),OFFSET($M$15,0,0,$B$8,1))=FL$13), 1*(_xlfn._xlws.FILTER(OFFSET($O$15,0,$DO152,$B$8,1),OFFSET($M$15,0,0,$B$8,1))=FL$14))   /   SUM(OFFSET($BO$15,0,0,$B$14,1)) + $B$18/($B$19*$B$19*($DN152&lt;&gt;$DO152) + $B$19*($DN152=$DO152))</f>
        <v>3.7037037037037035E-4</v>
      </c>
      <c r="FM152" s="10" cm="1">
        <f t="array" aca="1" ref="FM152" ca="1">(1-$B$18)*SUMPRODUCT(OFFSET($BO$15,0,0,$B$14,1), 1*(_xlfn._xlws.FILTER(OFFSET($O$15,0,$DN152,$B$8,1),OFFSET($M$15,0,0,$B$8,1))=FM$13), 1*(_xlfn._xlws.FILTER(OFFSET($O$15,0,$DO152,$B$8,1),OFFSET($M$15,0,0,$B$8,1))=FM$14))   /   SUM(OFFSET($BO$15,0,0,$B$14,1)) + $B$18/($B$19*$B$19*($DN152&lt;&gt;$DO152) + $B$19*($DN152=$DO152))</f>
        <v>3.7037037037037035E-4</v>
      </c>
      <c r="FN152" s="10" cm="1">
        <f t="array" aca="1" ref="FN152" ca="1">(1-$B$18)*SUMPRODUCT(OFFSET($BO$15,0,0,$B$14,1), 1*(_xlfn._xlws.FILTER(OFFSET($O$15,0,$DN152,$B$8,1),OFFSET($M$15,0,0,$B$8,1))=FN$13), 1*(_xlfn._xlws.FILTER(OFFSET($O$15,0,$DO152,$B$8,1),OFFSET($M$15,0,0,$B$8,1))=FN$14))   /   SUM(OFFSET($BO$15,0,0,$B$14,1)) + $B$18/($B$19*$B$19*($DN152&lt;&gt;$DO152) + $B$19*($DN152=$DO152))</f>
        <v>3.7037037037037035E-4</v>
      </c>
      <c r="FO152" s="10" cm="1">
        <f t="array" aca="1" ref="FO152" ca="1">(1-$B$18)*SUMPRODUCT(OFFSET($BO$15,0,0,$B$14,1), 1*(_xlfn._xlws.FILTER(OFFSET($O$15,0,$DN152,$B$8,1),OFFSET($M$15,0,0,$B$8,1))=FO$13), 1*(_xlfn._xlws.FILTER(OFFSET($O$15,0,$DO152,$B$8,1),OFFSET($M$15,0,0,$B$8,1))=FO$14))   /   SUM(OFFSET($BO$15,0,0,$B$14,1)) + $B$18/($B$19*$B$19*($DN152&lt;&gt;$DO152) + $B$19*($DN152=$DO152))</f>
        <v>3.7037037037037035E-4</v>
      </c>
      <c r="FP152" s="10" cm="1">
        <f t="array" aca="1" ref="FP152" ca="1">(1-$B$18)*SUMPRODUCT(OFFSET($BO$15,0,0,$B$14,1), 1*(_xlfn._xlws.FILTER(OFFSET($O$15,0,$DN152,$B$8,1),OFFSET($M$15,0,0,$B$8,1))=FP$13), 1*(_xlfn._xlws.FILTER(OFFSET($O$15,0,$DO152,$B$8,1),OFFSET($M$15,0,0,$B$8,1))=FP$14))   /   SUM(OFFSET($BO$15,0,0,$B$14,1)) + $B$18/($B$19*$B$19*($DN152&lt;&gt;$DO152) + $B$19*($DN152=$DO152))</f>
        <v>3.7037037037037035E-4</v>
      </c>
      <c r="FQ152" s="10" cm="1">
        <f t="array" aca="1" ref="FQ152" ca="1">(1-$B$18)*SUMPRODUCT(OFFSET($BO$15,0,0,$B$14,1), 1*(_xlfn._xlws.FILTER(OFFSET($O$15,0,$DN152,$B$8,1),OFFSET($M$15,0,0,$B$8,1))=FQ$13), 1*(_xlfn._xlws.FILTER(OFFSET($O$15,0,$DO152,$B$8,1),OFFSET($M$15,0,0,$B$8,1))=FQ$14))   /   SUM(OFFSET($BO$15,0,0,$B$14,1)) + $B$18/($B$19*$B$19*($DN152&lt;&gt;$DO152) + $B$19*($DN152=$DO152))</f>
        <v>3.7037037037037035E-4</v>
      </c>
      <c r="FR152" s="10" cm="1">
        <f t="array" aca="1" ref="FR152" ca="1">(1-$B$18)*SUMPRODUCT(OFFSET($BO$15,0,0,$B$14,1), 1*(_xlfn._xlws.FILTER(OFFSET($O$15,0,$DN152,$B$8,1),OFFSET($M$15,0,0,$B$8,1))=FR$13), 1*(_xlfn._xlws.FILTER(OFFSET($O$15,0,$DO152,$B$8,1),OFFSET($M$15,0,0,$B$8,1))=FR$14))   /   SUM(OFFSET($BO$15,0,0,$B$14,1)) + $B$18/($B$19*$B$19*($DN152&lt;&gt;$DO152) + $B$19*($DN152=$DO152))</f>
        <v>0.97037037037037033</v>
      </c>
      <c r="FS152" s="10" cm="1">
        <f t="array" aca="1" ref="FS152" ca="1">(1-$B$18)*SUMPRODUCT(OFFSET($BO$15,0,0,$B$14,1), 1*(_xlfn._xlws.FILTER(OFFSET($O$15,0,$DN152,$B$8,1),OFFSET($M$15,0,0,$B$8,1))=FS$13), 1*(_xlfn._xlws.FILTER(OFFSET($O$15,0,$DO152,$B$8,1),OFFSET($M$15,0,0,$B$8,1))=FS$14))   /   SUM(OFFSET($BO$15,0,0,$B$14,1)) + $B$18/($B$19*$B$19*($DN152&lt;&gt;$DO152) + $B$19*($DN152=$DO152))</f>
        <v>3.7037037037037035E-4</v>
      </c>
      <c r="FT152" s="10" cm="1">
        <f t="array" aca="1" ref="FT152" ca="1">(1-$B$18)*SUMPRODUCT(OFFSET($BO$15,0,0,$B$14,1), 1*(_xlfn._xlws.FILTER(OFFSET($O$15,0,$DN152,$B$8,1),OFFSET($M$15,0,0,$B$8,1))=FT$13), 1*(_xlfn._xlws.FILTER(OFFSET($O$15,0,$DO152,$B$8,1),OFFSET($M$15,0,0,$B$8,1))=FT$14))   /   SUM(OFFSET($BO$15,0,0,$B$14,1)) + $B$18/($B$19*$B$19*($DN152&lt;&gt;$DO152) + $B$19*($DN152=$DO152))</f>
        <v>3.7037037037037035E-4</v>
      </c>
      <c r="FU152" s="10" cm="1">
        <f t="array" aca="1" ref="FU152" ca="1">(1-$B$18)*SUMPRODUCT(OFFSET($BO$15,0,0,$B$14,1), 1*(_xlfn._xlws.FILTER(OFFSET($O$15,0,$DN152,$B$8,1),OFFSET($M$15,0,0,$B$8,1))=FU$13), 1*(_xlfn._xlws.FILTER(OFFSET($O$15,0,$DO152,$B$8,1),OFFSET($M$15,0,0,$B$8,1))=FU$14))   /   SUM(OFFSET($BO$15,0,0,$B$14,1)) + $B$18/($B$19*$B$19*($DN152&lt;&gt;$DO152) + $B$19*($DN152=$DO152))</f>
        <v>3.7037037037037035E-4</v>
      </c>
      <c r="FV152" s="10" cm="1">
        <f t="array" aca="1" ref="FV152" ca="1">(1-$B$18)*SUMPRODUCT(OFFSET($BO$15,0,0,$B$14,1), 1*(_xlfn._xlws.FILTER(OFFSET($O$15,0,$DN152,$B$8,1),OFFSET($M$15,0,0,$B$8,1))=FV$13), 1*(_xlfn._xlws.FILTER(OFFSET($O$15,0,$DO152,$B$8,1),OFFSET($M$15,0,0,$B$8,1))=FV$14))   /   SUM(OFFSET($BO$15,0,0,$B$14,1)) + $B$18/($B$19*$B$19*($DN152&lt;&gt;$DO152) + $B$19*($DN152=$DO152))</f>
        <v>3.7037037037037035E-4</v>
      </c>
      <c r="FW152" s="10" cm="1">
        <f t="array" aca="1" ref="FW152" ca="1">(1-$B$18)*SUMPRODUCT(OFFSET($BO$15,0,0,$B$14,1), 1*(_xlfn._xlws.FILTER(OFFSET($O$15,0,$DN152,$B$8,1),OFFSET($M$15,0,0,$B$8,1))=FW$13), 1*(_xlfn._xlws.FILTER(OFFSET($O$15,0,$DO152,$B$8,1),OFFSET($M$15,0,0,$B$8,1))=FW$14))   /   SUM(OFFSET($BO$15,0,0,$B$14,1)) + $B$18/($B$19*$B$19*($DN152&lt;&gt;$DO152) + $B$19*($DN152=$DO152))</f>
        <v>3.7037037037037035E-4</v>
      </c>
      <c r="FX152" s="10" cm="1">
        <f t="array" aca="1" ref="FX152" ca="1">(1-$B$18)*SUMPRODUCT(OFFSET($BO$15,0,0,$B$14,1), 1*(_xlfn._xlws.FILTER(OFFSET($O$15,0,$DN152,$B$8,1),OFFSET($M$15,0,0,$B$8,1))=FX$13), 1*(_xlfn._xlws.FILTER(OFFSET($O$15,0,$DO152,$B$8,1),OFFSET($M$15,0,0,$B$8,1))=FX$14))   /   SUM(OFFSET($BO$15,0,0,$B$14,1)) + $B$18/($B$19*$B$19*($DN152&lt;&gt;$DO152) + $B$19*($DN152=$DO152))</f>
        <v>3.7037037037037035E-4</v>
      </c>
      <c r="FY152" s="10" cm="1">
        <f t="array" aca="1" ref="FY152" ca="1">(1-$B$18)*SUMPRODUCT(OFFSET($BO$15,0,0,$B$14,1), 1*(_xlfn._xlws.FILTER(OFFSET($O$15,0,$DN152,$B$8,1),OFFSET($M$15,0,0,$B$8,1))=FY$13), 1*(_xlfn._xlws.FILTER(OFFSET($O$15,0,$DO152,$B$8,1),OFFSET($M$15,0,0,$B$8,1))=FY$14))   /   SUM(OFFSET($BO$15,0,0,$B$14,1)) + $B$18/($B$19*$B$19*($DN152&lt;&gt;$DO152) + $B$19*($DN152=$DO152))</f>
        <v>3.7037037037037035E-4</v>
      </c>
      <c r="FZ152" s="10" cm="1">
        <f t="array" aca="1" ref="FZ152" ca="1">(1-$B$18)*SUMPRODUCT(OFFSET($BO$15,0,0,$B$14,1), 1*(_xlfn._xlws.FILTER(OFFSET($O$15,0,$DN152,$B$8,1),OFFSET($M$15,0,0,$B$8,1))=FZ$13), 1*(_xlfn._xlws.FILTER(OFFSET($O$15,0,$DO152,$B$8,1),OFFSET($M$15,0,0,$B$8,1))=FZ$14))   /   SUM(OFFSET($BO$15,0,0,$B$14,1)) + $B$18/($B$19*$B$19*($DN152&lt;&gt;$DO152) + $B$19*($DN152=$DO152))</f>
        <v>3.7037037037037035E-4</v>
      </c>
      <c r="GA152" s="10" cm="1">
        <f t="array" aca="1" ref="GA152" ca="1">(1-$B$18)*SUMPRODUCT(OFFSET($BO$15,0,0,$B$14,1), 1*(_xlfn._xlws.FILTER(OFFSET($O$15,0,$DN152,$B$8,1),OFFSET($M$15,0,0,$B$8,1))=GA$13), 1*(_xlfn._xlws.FILTER(OFFSET($O$15,0,$DO152,$B$8,1),OFFSET($M$15,0,0,$B$8,1))=GA$14))   /   SUM(OFFSET($BO$15,0,0,$B$14,1)) + $B$18/($B$19*$B$19*($DN152&lt;&gt;$DO152) + $B$19*($DN152=$DO152))</f>
        <v>3.7037037037037035E-4</v>
      </c>
    </row>
    <row r="153" spans="118:183" x14ac:dyDescent="0.2">
      <c r="DN153" cm="1">
        <f t="array" aca="1" ref="DN153" ca="1">INDEX(_xlfn.ANCHORARRAY($CP$15), 1 + INT((ROWS($DO$15:$DO153) - 1) / ROWS(_xlfn.ANCHORARRAY($CP$15))))</f>
        <v>7</v>
      </c>
      <c r="DO153" cm="1">
        <f t="array" aca="1" ref="DO153" ca="1">INDEX(_xlfn.ANCHORARRAY($CP$15),1+MOD(ROWS($DO$15:$DO153)-1,ROWS(_xlfn.ANCHORARRAY($CP$15))))</f>
        <v>5</v>
      </c>
      <c r="DP153" s="10" cm="1">
        <f t="array" aca="1" ref="DP153" ca="1">(1-$B$18)*SUMPRODUCT(OFFSET($BO$15,0,0,$B$14,1), 1*(_xlfn._xlws.FILTER(OFFSET($O$15,0,$DN153,$B$8,1),OFFSET($M$15,0,0,$B$8,1))=DP$13), 1*(_xlfn._xlws.FILTER(OFFSET($O$15,0,$DO153,$B$8,1),OFFSET($M$15,0,0,$B$8,1))=DP$14))   /   SUM(OFFSET($BO$15,0,0,$B$14,1)) + $B$18/($B$19*$B$19*($DN153&lt;&gt;$DO153) + $B$19*($DN153=$DO153))</f>
        <v>3.7037037037037035E-4</v>
      </c>
      <c r="DQ153" s="10" cm="1">
        <f t="array" aca="1" ref="DQ153" ca="1">(1-$B$18)*SUMPRODUCT(OFFSET($BO$15,0,0,$B$14,1), 1*(_xlfn._xlws.FILTER(OFFSET($O$15,0,$DN153,$B$8,1),OFFSET($M$15,0,0,$B$8,1))=DQ$13), 1*(_xlfn._xlws.FILTER(OFFSET($O$15,0,$DO153,$B$8,1),OFFSET($M$15,0,0,$B$8,1))=DQ$14))   /   SUM(OFFSET($BO$15,0,0,$B$14,1)) + $B$18/($B$19*$B$19*($DN153&lt;&gt;$DO153) + $B$19*($DN153=$DO153))</f>
        <v>3.7037037037037035E-4</v>
      </c>
      <c r="DR153" s="10" cm="1">
        <f t="array" aca="1" ref="DR153" ca="1">(1-$B$18)*SUMPRODUCT(OFFSET($BO$15,0,0,$B$14,1), 1*(_xlfn._xlws.FILTER(OFFSET($O$15,0,$DN153,$B$8,1),OFFSET($M$15,0,0,$B$8,1))=DR$13), 1*(_xlfn._xlws.FILTER(OFFSET($O$15,0,$DO153,$B$8,1),OFFSET($M$15,0,0,$B$8,1))=DR$14))   /   SUM(OFFSET($BO$15,0,0,$B$14,1)) + $B$18/($B$19*$B$19*($DN153&lt;&gt;$DO153) + $B$19*($DN153=$DO153))</f>
        <v>3.7037037037037035E-4</v>
      </c>
      <c r="DS153" s="10" cm="1">
        <f t="array" aca="1" ref="DS153" ca="1">(1-$B$18)*SUMPRODUCT(OFFSET($BO$15,0,0,$B$14,1), 1*(_xlfn._xlws.FILTER(OFFSET($O$15,0,$DN153,$B$8,1),OFFSET($M$15,0,0,$B$8,1))=DS$13), 1*(_xlfn._xlws.FILTER(OFFSET($O$15,0,$DO153,$B$8,1),OFFSET($M$15,0,0,$B$8,1))=DS$14))   /   SUM(OFFSET($BO$15,0,0,$B$14,1)) + $B$18/($B$19*$B$19*($DN153&lt;&gt;$DO153) + $B$19*($DN153=$DO153))</f>
        <v>3.7037037037037035E-4</v>
      </c>
      <c r="DT153" s="10" cm="1">
        <f t="array" aca="1" ref="DT153" ca="1">(1-$B$18)*SUMPRODUCT(OFFSET($BO$15,0,0,$B$14,1), 1*(_xlfn._xlws.FILTER(OFFSET($O$15,0,$DN153,$B$8,1),OFFSET($M$15,0,0,$B$8,1))=DT$13), 1*(_xlfn._xlws.FILTER(OFFSET($O$15,0,$DO153,$B$8,1),OFFSET($M$15,0,0,$B$8,1))=DT$14))   /   SUM(OFFSET($BO$15,0,0,$B$14,1)) + $B$18/($B$19*$B$19*($DN153&lt;&gt;$DO153) + $B$19*($DN153=$DO153))</f>
        <v>3.7037037037037035E-4</v>
      </c>
      <c r="DU153" s="10" cm="1">
        <f t="array" aca="1" ref="DU153" ca="1">(1-$B$18)*SUMPRODUCT(OFFSET($BO$15,0,0,$B$14,1), 1*(_xlfn._xlws.FILTER(OFFSET($O$15,0,$DN153,$B$8,1),OFFSET($M$15,0,0,$B$8,1))=DU$13), 1*(_xlfn._xlws.FILTER(OFFSET($O$15,0,$DO153,$B$8,1),OFFSET($M$15,0,0,$B$8,1))=DU$14))   /   SUM(OFFSET($BO$15,0,0,$B$14,1)) + $B$18/($B$19*$B$19*($DN153&lt;&gt;$DO153) + $B$19*($DN153=$DO153))</f>
        <v>3.7037037037037035E-4</v>
      </c>
      <c r="DV153" s="10" cm="1">
        <f t="array" aca="1" ref="DV153" ca="1">(1-$B$18)*SUMPRODUCT(OFFSET($BO$15,0,0,$B$14,1), 1*(_xlfn._xlws.FILTER(OFFSET($O$15,0,$DN153,$B$8,1),OFFSET($M$15,0,0,$B$8,1))=DV$13), 1*(_xlfn._xlws.FILTER(OFFSET($O$15,0,$DO153,$B$8,1),OFFSET($M$15,0,0,$B$8,1))=DV$14))   /   SUM(OFFSET($BO$15,0,0,$B$14,1)) + $B$18/($B$19*$B$19*($DN153&lt;&gt;$DO153) + $B$19*($DN153=$DO153))</f>
        <v>3.7037037037037035E-4</v>
      </c>
      <c r="DW153" s="10" cm="1">
        <f t="array" aca="1" ref="DW153" ca="1">(1-$B$18)*SUMPRODUCT(OFFSET($BO$15,0,0,$B$14,1), 1*(_xlfn._xlws.FILTER(OFFSET($O$15,0,$DN153,$B$8,1),OFFSET($M$15,0,0,$B$8,1))=DW$13), 1*(_xlfn._xlws.FILTER(OFFSET($O$15,0,$DO153,$B$8,1),OFFSET($M$15,0,0,$B$8,1))=DW$14))   /   SUM(OFFSET($BO$15,0,0,$B$14,1)) + $B$18/($B$19*$B$19*($DN153&lt;&gt;$DO153) + $B$19*($DN153=$DO153))</f>
        <v>3.7037037037037035E-4</v>
      </c>
      <c r="DX153" s="10" cm="1">
        <f t="array" aca="1" ref="DX153" ca="1">(1-$B$18)*SUMPRODUCT(OFFSET($BO$15,0,0,$B$14,1), 1*(_xlfn._xlws.FILTER(OFFSET($O$15,0,$DN153,$B$8,1),OFFSET($M$15,0,0,$B$8,1))=DX$13), 1*(_xlfn._xlws.FILTER(OFFSET($O$15,0,$DO153,$B$8,1),OFFSET($M$15,0,0,$B$8,1))=DX$14))   /   SUM(OFFSET($BO$15,0,0,$B$14,1)) + $B$18/($B$19*$B$19*($DN153&lt;&gt;$DO153) + $B$19*($DN153=$DO153))</f>
        <v>3.7037037037037035E-4</v>
      </c>
      <c r="DY153" s="10" cm="1">
        <f t="array" aca="1" ref="DY153" ca="1">(1-$B$18)*SUMPRODUCT(OFFSET($BO$15,0,0,$B$14,1), 1*(_xlfn._xlws.FILTER(OFFSET($O$15,0,$DN153,$B$8,1),OFFSET($M$15,0,0,$B$8,1))=DY$13), 1*(_xlfn._xlws.FILTER(OFFSET($O$15,0,$DO153,$B$8,1),OFFSET($M$15,0,0,$B$8,1))=DY$14))   /   SUM(OFFSET($BO$15,0,0,$B$14,1)) + $B$18/($B$19*$B$19*($DN153&lt;&gt;$DO153) + $B$19*($DN153=$DO153))</f>
        <v>3.7037037037037035E-4</v>
      </c>
      <c r="DZ153" s="10" cm="1">
        <f t="array" aca="1" ref="DZ153" ca="1">(1-$B$18)*SUMPRODUCT(OFFSET($BO$15,0,0,$B$14,1), 1*(_xlfn._xlws.FILTER(OFFSET($O$15,0,$DN153,$B$8,1),OFFSET($M$15,0,0,$B$8,1))=DZ$13), 1*(_xlfn._xlws.FILTER(OFFSET($O$15,0,$DO153,$B$8,1),OFFSET($M$15,0,0,$B$8,1))=DZ$14))   /   SUM(OFFSET($BO$15,0,0,$B$14,1)) + $B$18/($B$19*$B$19*($DN153&lt;&gt;$DO153) + $B$19*($DN153=$DO153))</f>
        <v>3.7037037037037035E-4</v>
      </c>
      <c r="EA153" s="10" cm="1">
        <f t="array" aca="1" ref="EA153" ca="1">(1-$B$18)*SUMPRODUCT(OFFSET($BO$15,0,0,$B$14,1), 1*(_xlfn._xlws.FILTER(OFFSET($O$15,0,$DN153,$B$8,1),OFFSET($M$15,0,0,$B$8,1))=EA$13), 1*(_xlfn._xlws.FILTER(OFFSET($O$15,0,$DO153,$B$8,1),OFFSET($M$15,0,0,$B$8,1))=EA$14))   /   SUM(OFFSET($BO$15,0,0,$B$14,1)) + $B$18/($B$19*$B$19*($DN153&lt;&gt;$DO153) + $B$19*($DN153=$DO153))</f>
        <v>3.7037037037037035E-4</v>
      </c>
      <c r="EB153" s="10" cm="1">
        <f t="array" aca="1" ref="EB153" ca="1">(1-$B$18)*SUMPRODUCT(OFFSET($BO$15,0,0,$B$14,1), 1*(_xlfn._xlws.FILTER(OFFSET($O$15,0,$DN153,$B$8,1),OFFSET($M$15,0,0,$B$8,1))=EB$13), 1*(_xlfn._xlws.FILTER(OFFSET($O$15,0,$DO153,$B$8,1),OFFSET($M$15,0,0,$B$8,1))=EB$14))   /   SUM(OFFSET($BO$15,0,0,$B$14,1)) + $B$18/($B$19*$B$19*($DN153&lt;&gt;$DO153) + $B$19*($DN153=$DO153))</f>
        <v>3.7037037037037035E-4</v>
      </c>
      <c r="EC153" s="10" cm="1">
        <f t="array" aca="1" ref="EC153" ca="1">(1-$B$18)*SUMPRODUCT(OFFSET($BO$15,0,0,$B$14,1), 1*(_xlfn._xlws.FILTER(OFFSET($O$15,0,$DN153,$B$8,1),OFFSET($M$15,0,0,$B$8,1))=EC$13), 1*(_xlfn._xlws.FILTER(OFFSET($O$15,0,$DO153,$B$8,1),OFFSET($M$15,0,0,$B$8,1))=EC$14))   /   SUM(OFFSET($BO$15,0,0,$B$14,1)) + $B$18/($B$19*$B$19*($DN153&lt;&gt;$DO153) + $B$19*($DN153=$DO153))</f>
        <v>3.7037037037037035E-4</v>
      </c>
      <c r="ED153" s="10" cm="1">
        <f t="array" aca="1" ref="ED153" ca="1">(1-$B$18)*SUMPRODUCT(OFFSET($BO$15,0,0,$B$14,1), 1*(_xlfn._xlws.FILTER(OFFSET($O$15,0,$DN153,$B$8,1),OFFSET($M$15,0,0,$B$8,1))=ED$13), 1*(_xlfn._xlws.FILTER(OFFSET($O$15,0,$DO153,$B$8,1),OFFSET($M$15,0,0,$B$8,1))=ED$14))   /   SUM(OFFSET($BO$15,0,0,$B$14,1)) + $B$18/($B$19*$B$19*($DN153&lt;&gt;$DO153) + $B$19*($DN153=$DO153))</f>
        <v>3.7037037037037035E-4</v>
      </c>
      <c r="EE153" s="10" cm="1">
        <f t="array" aca="1" ref="EE153" ca="1">(1-$B$18)*SUMPRODUCT(OFFSET($BO$15,0,0,$B$14,1), 1*(_xlfn._xlws.FILTER(OFFSET($O$15,0,$DN153,$B$8,1),OFFSET($M$15,0,0,$B$8,1))=EE$13), 1*(_xlfn._xlws.FILTER(OFFSET($O$15,0,$DO153,$B$8,1),OFFSET($M$15,0,0,$B$8,1))=EE$14))   /   SUM(OFFSET($BO$15,0,0,$B$14,1)) + $B$18/($B$19*$B$19*($DN153&lt;&gt;$DO153) + $B$19*($DN153=$DO153))</f>
        <v>3.7037037037037035E-4</v>
      </c>
      <c r="EF153" s="10" cm="1">
        <f t="array" aca="1" ref="EF153" ca="1">(1-$B$18)*SUMPRODUCT(OFFSET($BO$15,0,0,$B$14,1), 1*(_xlfn._xlws.FILTER(OFFSET($O$15,0,$DN153,$B$8,1),OFFSET($M$15,0,0,$B$8,1))=EF$13), 1*(_xlfn._xlws.FILTER(OFFSET($O$15,0,$DO153,$B$8,1),OFFSET($M$15,0,0,$B$8,1))=EF$14))   /   SUM(OFFSET($BO$15,0,0,$B$14,1)) + $B$18/($B$19*$B$19*($DN153&lt;&gt;$DO153) + $B$19*($DN153=$DO153))</f>
        <v>3.7037037037037035E-4</v>
      </c>
      <c r="EG153" s="10" cm="1">
        <f t="array" aca="1" ref="EG153" ca="1">(1-$B$18)*SUMPRODUCT(OFFSET($BO$15,0,0,$B$14,1), 1*(_xlfn._xlws.FILTER(OFFSET($O$15,0,$DN153,$B$8,1),OFFSET($M$15,0,0,$B$8,1))=EG$13), 1*(_xlfn._xlws.FILTER(OFFSET($O$15,0,$DO153,$B$8,1),OFFSET($M$15,0,0,$B$8,1))=EG$14))   /   SUM(OFFSET($BO$15,0,0,$B$14,1)) + $B$18/($B$19*$B$19*($DN153&lt;&gt;$DO153) + $B$19*($DN153=$DO153))</f>
        <v>3.7037037037037035E-4</v>
      </c>
      <c r="EH153" s="10" cm="1">
        <f t="array" aca="1" ref="EH153" ca="1">(1-$B$18)*SUMPRODUCT(OFFSET($BO$15,0,0,$B$14,1), 1*(_xlfn._xlws.FILTER(OFFSET($O$15,0,$DN153,$B$8,1),OFFSET($M$15,0,0,$B$8,1))=EH$13), 1*(_xlfn._xlws.FILTER(OFFSET($O$15,0,$DO153,$B$8,1),OFFSET($M$15,0,0,$B$8,1))=EH$14))   /   SUM(OFFSET($BO$15,0,0,$B$14,1)) + $B$18/($B$19*$B$19*($DN153&lt;&gt;$DO153) + $B$19*($DN153=$DO153))</f>
        <v>3.7037037037037035E-4</v>
      </c>
      <c r="EI153" s="10" cm="1">
        <f t="array" aca="1" ref="EI153" ca="1">(1-$B$18)*SUMPRODUCT(OFFSET($BO$15,0,0,$B$14,1), 1*(_xlfn._xlws.FILTER(OFFSET($O$15,0,$DN153,$B$8,1),OFFSET($M$15,0,0,$B$8,1))=EI$13), 1*(_xlfn._xlws.FILTER(OFFSET($O$15,0,$DO153,$B$8,1),OFFSET($M$15,0,0,$B$8,1))=EI$14))   /   SUM(OFFSET($BO$15,0,0,$B$14,1)) + $B$18/($B$19*$B$19*($DN153&lt;&gt;$DO153) + $B$19*($DN153=$DO153))</f>
        <v>3.7037037037037035E-4</v>
      </c>
      <c r="EJ153" s="10" cm="1">
        <f t="array" aca="1" ref="EJ153" ca="1">(1-$B$18)*SUMPRODUCT(OFFSET($BO$15,0,0,$B$14,1), 1*(_xlfn._xlws.FILTER(OFFSET($O$15,0,$DN153,$B$8,1),OFFSET($M$15,0,0,$B$8,1))=EJ$13), 1*(_xlfn._xlws.FILTER(OFFSET($O$15,0,$DO153,$B$8,1),OFFSET($M$15,0,0,$B$8,1))=EJ$14))   /   SUM(OFFSET($BO$15,0,0,$B$14,1)) + $B$18/($B$19*$B$19*($DN153&lt;&gt;$DO153) + $B$19*($DN153=$DO153))</f>
        <v>3.7037037037037035E-4</v>
      </c>
      <c r="EK153" s="10" cm="1">
        <f t="array" aca="1" ref="EK153" ca="1">(1-$B$18)*SUMPRODUCT(OFFSET($BO$15,0,0,$B$14,1), 1*(_xlfn._xlws.FILTER(OFFSET($O$15,0,$DN153,$B$8,1),OFFSET($M$15,0,0,$B$8,1))=EK$13), 1*(_xlfn._xlws.FILTER(OFFSET($O$15,0,$DO153,$B$8,1),OFFSET($M$15,0,0,$B$8,1))=EK$14))   /   SUM(OFFSET($BO$15,0,0,$B$14,1)) + $B$18/($B$19*$B$19*($DN153&lt;&gt;$DO153) + $B$19*($DN153=$DO153))</f>
        <v>3.7037037037037035E-4</v>
      </c>
      <c r="EL153" s="10" cm="1">
        <f t="array" aca="1" ref="EL153" ca="1">(1-$B$18)*SUMPRODUCT(OFFSET($BO$15,0,0,$B$14,1), 1*(_xlfn._xlws.FILTER(OFFSET($O$15,0,$DN153,$B$8,1),OFFSET($M$15,0,0,$B$8,1))=EL$13), 1*(_xlfn._xlws.FILTER(OFFSET($O$15,0,$DO153,$B$8,1),OFFSET($M$15,0,0,$B$8,1))=EL$14))   /   SUM(OFFSET($BO$15,0,0,$B$14,1)) + $B$18/($B$19*$B$19*($DN153&lt;&gt;$DO153) + $B$19*($DN153=$DO153))</f>
        <v>3.7037037037037035E-4</v>
      </c>
      <c r="EM153" s="10" cm="1">
        <f t="array" aca="1" ref="EM153" ca="1">(1-$B$18)*SUMPRODUCT(OFFSET($BO$15,0,0,$B$14,1), 1*(_xlfn._xlws.FILTER(OFFSET($O$15,0,$DN153,$B$8,1),OFFSET($M$15,0,0,$B$8,1))=EM$13), 1*(_xlfn._xlws.FILTER(OFFSET($O$15,0,$DO153,$B$8,1),OFFSET($M$15,0,0,$B$8,1))=EM$14))   /   SUM(OFFSET($BO$15,0,0,$B$14,1)) + $B$18/($B$19*$B$19*($DN153&lt;&gt;$DO153) + $B$19*($DN153=$DO153))</f>
        <v>3.7037037037037035E-4</v>
      </c>
      <c r="EN153" s="10" cm="1">
        <f t="array" aca="1" ref="EN153" ca="1">(1-$B$18)*SUMPRODUCT(OFFSET($BO$15,0,0,$B$14,1), 1*(_xlfn._xlws.FILTER(OFFSET($O$15,0,$DN153,$B$8,1),OFFSET($M$15,0,0,$B$8,1))=EN$13), 1*(_xlfn._xlws.FILTER(OFFSET($O$15,0,$DO153,$B$8,1),OFFSET($M$15,0,0,$B$8,1))=EN$14))   /   SUM(OFFSET($BO$15,0,0,$B$14,1)) + $B$18/($B$19*$B$19*($DN153&lt;&gt;$DO153) + $B$19*($DN153=$DO153))</f>
        <v>3.7037037037037035E-4</v>
      </c>
      <c r="EO153" s="10" cm="1">
        <f t="array" aca="1" ref="EO153" ca="1">(1-$B$18)*SUMPRODUCT(OFFSET($BO$15,0,0,$B$14,1), 1*(_xlfn._xlws.FILTER(OFFSET($O$15,0,$DN153,$B$8,1),OFFSET($M$15,0,0,$B$8,1))=EO$13), 1*(_xlfn._xlws.FILTER(OFFSET($O$15,0,$DO153,$B$8,1),OFFSET($M$15,0,0,$B$8,1))=EO$14))   /   SUM(OFFSET($BO$15,0,0,$B$14,1)) + $B$18/($B$19*$B$19*($DN153&lt;&gt;$DO153) + $B$19*($DN153=$DO153))</f>
        <v>3.7037037037037035E-4</v>
      </c>
      <c r="EP153" s="10" cm="1">
        <f t="array" aca="1" ref="EP153" ca="1">(1-$B$18)*SUMPRODUCT(OFFSET($BO$15,0,0,$B$14,1), 1*(_xlfn._xlws.FILTER(OFFSET($O$15,0,$DN153,$B$8,1),OFFSET($M$15,0,0,$B$8,1))=EP$13), 1*(_xlfn._xlws.FILTER(OFFSET($O$15,0,$DO153,$B$8,1),OFFSET($M$15,0,0,$B$8,1))=EP$14))   /   SUM(OFFSET($BO$15,0,0,$B$14,1)) + $B$18/($B$19*$B$19*($DN153&lt;&gt;$DO153) + $B$19*($DN153=$DO153))</f>
        <v>3.7037037037037035E-4</v>
      </c>
      <c r="EQ153" s="10" cm="1">
        <f t="array" aca="1" ref="EQ153" ca="1">(1-$B$18)*SUMPRODUCT(OFFSET($BO$15,0,0,$B$14,1), 1*(_xlfn._xlws.FILTER(OFFSET($O$15,0,$DN153,$B$8,1),OFFSET($M$15,0,0,$B$8,1))=EQ$13), 1*(_xlfn._xlws.FILTER(OFFSET($O$15,0,$DO153,$B$8,1),OFFSET($M$15,0,0,$B$8,1))=EQ$14))   /   SUM(OFFSET($BO$15,0,0,$B$14,1)) + $B$18/($B$19*$B$19*($DN153&lt;&gt;$DO153) + $B$19*($DN153=$DO153))</f>
        <v>3.7037037037037035E-4</v>
      </c>
      <c r="ER153" s="10" cm="1">
        <f t="array" aca="1" ref="ER153" ca="1">(1-$B$18)*SUMPRODUCT(OFFSET($BO$15,0,0,$B$14,1), 1*(_xlfn._xlws.FILTER(OFFSET($O$15,0,$DN153,$B$8,1),OFFSET($M$15,0,0,$B$8,1))=ER$13), 1*(_xlfn._xlws.FILTER(OFFSET($O$15,0,$DO153,$B$8,1),OFFSET($M$15,0,0,$B$8,1))=ER$14))   /   SUM(OFFSET($BO$15,0,0,$B$14,1)) + $B$18/($B$19*$B$19*($DN153&lt;&gt;$DO153) + $B$19*($DN153=$DO153))</f>
        <v>3.7037037037037035E-4</v>
      </c>
      <c r="ES153" s="10" cm="1">
        <f t="array" aca="1" ref="ES153" ca="1">(1-$B$18)*SUMPRODUCT(OFFSET($BO$15,0,0,$B$14,1), 1*(_xlfn._xlws.FILTER(OFFSET($O$15,0,$DN153,$B$8,1),OFFSET($M$15,0,0,$B$8,1))=ES$13), 1*(_xlfn._xlws.FILTER(OFFSET($O$15,0,$DO153,$B$8,1),OFFSET($M$15,0,0,$B$8,1))=ES$14))   /   SUM(OFFSET($BO$15,0,0,$B$14,1)) + $B$18/($B$19*$B$19*($DN153&lt;&gt;$DO153) + $B$19*($DN153=$DO153))</f>
        <v>3.7037037037037035E-4</v>
      </c>
      <c r="ET153" s="10" cm="1">
        <f t="array" aca="1" ref="ET153" ca="1">(1-$B$18)*SUMPRODUCT(OFFSET($BO$15,0,0,$B$14,1), 1*(_xlfn._xlws.FILTER(OFFSET($O$15,0,$DN153,$B$8,1),OFFSET($M$15,0,0,$B$8,1))=ET$13), 1*(_xlfn._xlws.FILTER(OFFSET($O$15,0,$DO153,$B$8,1),OFFSET($M$15,0,0,$B$8,1))=ET$14))   /   SUM(OFFSET($BO$15,0,0,$B$14,1)) + $B$18/($B$19*$B$19*($DN153&lt;&gt;$DO153) + $B$19*($DN153=$DO153))</f>
        <v>3.7037037037037035E-4</v>
      </c>
      <c r="EU153" s="10" cm="1">
        <f t="array" aca="1" ref="EU153" ca="1">(1-$B$18)*SUMPRODUCT(OFFSET($BO$15,0,0,$B$14,1), 1*(_xlfn._xlws.FILTER(OFFSET($O$15,0,$DN153,$B$8,1),OFFSET($M$15,0,0,$B$8,1))=EU$13), 1*(_xlfn._xlws.FILTER(OFFSET($O$15,0,$DO153,$B$8,1),OFFSET($M$15,0,0,$B$8,1))=EU$14))   /   SUM(OFFSET($BO$15,0,0,$B$14,1)) + $B$18/($B$19*$B$19*($DN153&lt;&gt;$DO153) + $B$19*($DN153=$DO153))</f>
        <v>3.7037037037037035E-4</v>
      </c>
      <c r="EV153" s="10" cm="1">
        <f t="array" aca="1" ref="EV153" ca="1">(1-$B$18)*SUMPRODUCT(OFFSET($BO$15,0,0,$B$14,1), 1*(_xlfn._xlws.FILTER(OFFSET($O$15,0,$DN153,$B$8,1),OFFSET($M$15,0,0,$B$8,1))=EV$13), 1*(_xlfn._xlws.FILTER(OFFSET($O$15,0,$DO153,$B$8,1),OFFSET($M$15,0,0,$B$8,1))=EV$14))   /   SUM(OFFSET($BO$15,0,0,$B$14,1)) + $B$18/($B$19*$B$19*($DN153&lt;&gt;$DO153) + $B$19*($DN153=$DO153))</f>
        <v>3.7037037037037035E-4</v>
      </c>
      <c r="EW153" s="10" cm="1">
        <f t="array" aca="1" ref="EW153" ca="1">(1-$B$18)*SUMPRODUCT(OFFSET($BO$15,0,0,$B$14,1), 1*(_xlfn._xlws.FILTER(OFFSET($O$15,0,$DN153,$B$8,1),OFFSET($M$15,0,0,$B$8,1))=EW$13), 1*(_xlfn._xlws.FILTER(OFFSET($O$15,0,$DO153,$B$8,1),OFFSET($M$15,0,0,$B$8,1))=EW$14))   /   SUM(OFFSET($BO$15,0,0,$B$14,1)) + $B$18/($B$19*$B$19*($DN153&lt;&gt;$DO153) + $B$19*($DN153=$DO153))</f>
        <v>3.7037037037037035E-4</v>
      </c>
      <c r="EX153" s="10" cm="1">
        <f t="array" aca="1" ref="EX153" ca="1">(1-$B$18)*SUMPRODUCT(OFFSET($BO$15,0,0,$B$14,1), 1*(_xlfn._xlws.FILTER(OFFSET($O$15,0,$DN153,$B$8,1),OFFSET($M$15,0,0,$B$8,1))=EX$13), 1*(_xlfn._xlws.FILTER(OFFSET($O$15,0,$DO153,$B$8,1),OFFSET($M$15,0,0,$B$8,1))=EX$14))   /   SUM(OFFSET($BO$15,0,0,$B$14,1)) + $B$18/($B$19*$B$19*($DN153&lt;&gt;$DO153) + $B$19*($DN153=$DO153))</f>
        <v>3.7037037037037035E-4</v>
      </c>
      <c r="EY153" s="10" cm="1">
        <f t="array" aca="1" ref="EY153" ca="1">(1-$B$18)*SUMPRODUCT(OFFSET($BO$15,0,0,$B$14,1), 1*(_xlfn._xlws.FILTER(OFFSET($O$15,0,$DN153,$B$8,1),OFFSET($M$15,0,0,$B$8,1))=EY$13), 1*(_xlfn._xlws.FILTER(OFFSET($O$15,0,$DO153,$B$8,1),OFFSET($M$15,0,0,$B$8,1))=EY$14))   /   SUM(OFFSET($BO$15,0,0,$B$14,1)) + $B$18/($B$19*$B$19*($DN153&lt;&gt;$DO153) + $B$19*($DN153=$DO153))</f>
        <v>3.7037037037037035E-4</v>
      </c>
      <c r="EZ153" s="10" cm="1">
        <f t="array" aca="1" ref="EZ153" ca="1">(1-$B$18)*SUMPRODUCT(OFFSET($BO$15,0,0,$B$14,1), 1*(_xlfn._xlws.FILTER(OFFSET($O$15,0,$DN153,$B$8,1),OFFSET($M$15,0,0,$B$8,1))=EZ$13), 1*(_xlfn._xlws.FILTER(OFFSET($O$15,0,$DO153,$B$8,1),OFFSET($M$15,0,0,$B$8,1))=EZ$14))   /   SUM(OFFSET($BO$15,0,0,$B$14,1)) + $B$18/($B$19*$B$19*($DN153&lt;&gt;$DO153) + $B$19*($DN153=$DO153))</f>
        <v>3.7037037037037035E-4</v>
      </c>
      <c r="FA153" s="10" cm="1">
        <f t="array" aca="1" ref="FA153" ca="1">(1-$B$18)*SUMPRODUCT(OFFSET($BO$15,0,0,$B$14,1), 1*(_xlfn._xlws.FILTER(OFFSET($O$15,0,$DN153,$B$8,1),OFFSET($M$15,0,0,$B$8,1))=FA$13), 1*(_xlfn._xlws.FILTER(OFFSET($O$15,0,$DO153,$B$8,1),OFFSET($M$15,0,0,$B$8,1))=FA$14))   /   SUM(OFFSET($BO$15,0,0,$B$14,1)) + $B$18/($B$19*$B$19*($DN153&lt;&gt;$DO153) + $B$19*($DN153=$DO153))</f>
        <v>3.7037037037037035E-4</v>
      </c>
      <c r="FB153" s="10" cm="1">
        <f t="array" aca="1" ref="FB153" ca="1">(1-$B$18)*SUMPRODUCT(OFFSET($BO$15,0,0,$B$14,1), 1*(_xlfn._xlws.FILTER(OFFSET($O$15,0,$DN153,$B$8,1),OFFSET($M$15,0,0,$B$8,1))=FB$13), 1*(_xlfn._xlws.FILTER(OFFSET($O$15,0,$DO153,$B$8,1),OFFSET($M$15,0,0,$B$8,1))=FB$14))   /   SUM(OFFSET($BO$15,0,0,$B$14,1)) + $B$18/($B$19*$B$19*($DN153&lt;&gt;$DO153) + $B$19*($DN153=$DO153))</f>
        <v>3.7037037037037035E-4</v>
      </c>
      <c r="FC153" s="10" cm="1">
        <f t="array" aca="1" ref="FC153" ca="1">(1-$B$18)*SUMPRODUCT(OFFSET($BO$15,0,0,$B$14,1), 1*(_xlfn._xlws.FILTER(OFFSET($O$15,0,$DN153,$B$8,1),OFFSET($M$15,0,0,$B$8,1))=FC$13), 1*(_xlfn._xlws.FILTER(OFFSET($O$15,0,$DO153,$B$8,1),OFFSET($M$15,0,0,$B$8,1))=FC$14))   /   SUM(OFFSET($BO$15,0,0,$B$14,1)) + $B$18/($B$19*$B$19*($DN153&lt;&gt;$DO153) + $B$19*($DN153=$DO153))</f>
        <v>3.7037037037037035E-4</v>
      </c>
      <c r="FD153" s="10" cm="1">
        <f t="array" aca="1" ref="FD153" ca="1">(1-$B$18)*SUMPRODUCT(OFFSET($BO$15,0,0,$B$14,1), 1*(_xlfn._xlws.FILTER(OFFSET($O$15,0,$DN153,$B$8,1),OFFSET($M$15,0,0,$B$8,1))=FD$13), 1*(_xlfn._xlws.FILTER(OFFSET($O$15,0,$DO153,$B$8,1),OFFSET($M$15,0,0,$B$8,1))=FD$14))   /   SUM(OFFSET($BO$15,0,0,$B$14,1)) + $B$18/($B$19*$B$19*($DN153&lt;&gt;$DO153) + $B$19*($DN153=$DO153))</f>
        <v>3.7037037037037035E-4</v>
      </c>
      <c r="FE153" s="10" cm="1">
        <f t="array" aca="1" ref="FE153" ca="1">(1-$B$18)*SUMPRODUCT(OFFSET($BO$15,0,0,$B$14,1), 1*(_xlfn._xlws.FILTER(OFFSET($O$15,0,$DN153,$B$8,1),OFFSET($M$15,0,0,$B$8,1))=FE$13), 1*(_xlfn._xlws.FILTER(OFFSET($O$15,0,$DO153,$B$8,1),OFFSET($M$15,0,0,$B$8,1))=FE$14))   /   SUM(OFFSET($BO$15,0,0,$B$14,1)) + $B$18/($B$19*$B$19*($DN153&lt;&gt;$DO153) + $B$19*($DN153=$DO153))</f>
        <v>3.7037037037037035E-4</v>
      </c>
      <c r="FF153" s="10" cm="1">
        <f t="array" aca="1" ref="FF153" ca="1">(1-$B$18)*SUMPRODUCT(OFFSET($BO$15,0,0,$B$14,1), 1*(_xlfn._xlws.FILTER(OFFSET($O$15,0,$DN153,$B$8,1),OFFSET($M$15,0,0,$B$8,1))=FF$13), 1*(_xlfn._xlws.FILTER(OFFSET($O$15,0,$DO153,$B$8,1),OFFSET($M$15,0,0,$B$8,1))=FF$14))   /   SUM(OFFSET($BO$15,0,0,$B$14,1)) + $B$18/($B$19*$B$19*($DN153&lt;&gt;$DO153) + $B$19*($DN153=$DO153))</f>
        <v>3.7037037037037035E-4</v>
      </c>
      <c r="FG153" s="10" cm="1">
        <f t="array" aca="1" ref="FG153" ca="1">(1-$B$18)*SUMPRODUCT(OFFSET($BO$15,0,0,$B$14,1), 1*(_xlfn._xlws.FILTER(OFFSET($O$15,0,$DN153,$B$8,1),OFFSET($M$15,0,0,$B$8,1))=FG$13), 1*(_xlfn._xlws.FILTER(OFFSET($O$15,0,$DO153,$B$8,1),OFFSET($M$15,0,0,$B$8,1))=FG$14))   /   SUM(OFFSET($BO$15,0,0,$B$14,1)) + $B$18/($B$19*$B$19*($DN153&lt;&gt;$DO153) + $B$19*($DN153=$DO153))</f>
        <v>3.7037037037037035E-4</v>
      </c>
      <c r="FH153" s="10" cm="1">
        <f t="array" aca="1" ref="FH153" ca="1">(1-$B$18)*SUMPRODUCT(OFFSET($BO$15,0,0,$B$14,1), 1*(_xlfn._xlws.FILTER(OFFSET($O$15,0,$DN153,$B$8,1),OFFSET($M$15,0,0,$B$8,1))=FH$13), 1*(_xlfn._xlws.FILTER(OFFSET($O$15,0,$DO153,$B$8,1),OFFSET($M$15,0,0,$B$8,1))=FH$14))   /   SUM(OFFSET($BO$15,0,0,$B$14,1)) + $B$18/($B$19*$B$19*($DN153&lt;&gt;$DO153) + $B$19*($DN153=$DO153))</f>
        <v>3.7037037037037035E-4</v>
      </c>
      <c r="FI153" s="10" cm="1">
        <f t="array" aca="1" ref="FI153" ca="1">(1-$B$18)*SUMPRODUCT(OFFSET($BO$15,0,0,$B$14,1), 1*(_xlfn._xlws.FILTER(OFFSET($O$15,0,$DN153,$B$8,1),OFFSET($M$15,0,0,$B$8,1))=FI$13), 1*(_xlfn._xlws.FILTER(OFFSET($O$15,0,$DO153,$B$8,1),OFFSET($M$15,0,0,$B$8,1))=FI$14))   /   SUM(OFFSET($BO$15,0,0,$B$14,1)) + $B$18/($B$19*$B$19*($DN153&lt;&gt;$DO153) + $B$19*($DN153=$DO153))</f>
        <v>3.7037037037037035E-4</v>
      </c>
      <c r="FJ153" s="10" cm="1">
        <f t="array" aca="1" ref="FJ153" ca="1">(1-$B$18)*SUMPRODUCT(OFFSET($BO$15,0,0,$B$14,1), 1*(_xlfn._xlws.FILTER(OFFSET($O$15,0,$DN153,$B$8,1),OFFSET($M$15,0,0,$B$8,1))=FJ$13), 1*(_xlfn._xlws.FILTER(OFFSET($O$15,0,$DO153,$B$8,1),OFFSET($M$15,0,0,$B$8,1))=FJ$14))   /   SUM(OFFSET($BO$15,0,0,$B$14,1)) + $B$18/($B$19*$B$19*($DN153&lt;&gt;$DO153) + $B$19*($DN153=$DO153))</f>
        <v>3.7037037037037035E-4</v>
      </c>
      <c r="FK153" s="10" cm="1">
        <f t="array" aca="1" ref="FK153" ca="1">(1-$B$18)*SUMPRODUCT(OFFSET($BO$15,0,0,$B$14,1), 1*(_xlfn._xlws.FILTER(OFFSET($O$15,0,$DN153,$B$8,1),OFFSET($M$15,0,0,$B$8,1))=FK$13), 1*(_xlfn._xlws.FILTER(OFFSET($O$15,0,$DO153,$B$8,1),OFFSET($M$15,0,0,$B$8,1))=FK$14))   /   SUM(OFFSET($BO$15,0,0,$B$14,1)) + $B$18/($B$19*$B$19*($DN153&lt;&gt;$DO153) + $B$19*($DN153=$DO153))</f>
        <v>3.7037037037037035E-4</v>
      </c>
      <c r="FL153" s="10" cm="1">
        <f t="array" aca="1" ref="FL153" ca="1">(1-$B$18)*SUMPRODUCT(OFFSET($BO$15,0,0,$B$14,1), 1*(_xlfn._xlws.FILTER(OFFSET($O$15,0,$DN153,$B$8,1),OFFSET($M$15,0,0,$B$8,1))=FL$13), 1*(_xlfn._xlws.FILTER(OFFSET($O$15,0,$DO153,$B$8,1),OFFSET($M$15,0,0,$B$8,1))=FL$14))   /   SUM(OFFSET($BO$15,0,0,$B$14,1)) + $B$18/($B$19*$B$19*($DN153&lt;&gt;$DO153) + $B$19*($DN153=$DO153))</f>
        <v>3.7037037037037035E-4</v>
      </c>
      <c r="FM153" s="10" cm="1">
        <f t="array" aca="1" ref="FM153" ca="1">(1-$B$18)*SUMPRODUCT(OFFSET($BO$15,0,0,$B$14,1), 1*(_xlfn._xlws.FILTER(OFFSET($O$15,0,$DN153,$B$8,1),OFFSET($M$15,0,0,$B$8,1))=FM$13), 1*(_xlfn._xlws.FILTER(OFFSET($O$15,0,$DO153,$B$8,1),OFFSET($M$15,0,0,$B$8,1))=FM$14))   /   SUM(OFFSET($BO$15,0,0,$B$14,1)) + $B$18/($B$19*$B$19*($DN153&lt;&gt;$DO153) + $B$19*($DN153=$DO153))</f>
        <v>3.7037037037037035E-4</v>
      </c>
      <c r="FN153" s="10" cm="1">
        <f t="array" aca="1" ref="FN153" ca="1">(1-$B$18)*SUMPRODUCT(OFFSET($BO$15,0,0,$B$14,1), 1*(_xlfn._xlws.FILTER(OFFSET($O$15,0,$DN153,$B$8,1),OFFSET($M$15,0,0,$B$8,1))=FN$13), 1*(_xlfn._xlws.FILTER(OFFSET($O$15,0,$DO153,$B$8,1),OFFSET($M$15,0,0,$B$8,1))=FN$14))   /   SUM(OFFSET($BO$15,0,0,$B$14,1)) + $B$18/($B$19*$B$19*($DN153&lt;&gt;$DO153) + $B$19*($DN153=$DO153))</f>
        <v>3.7037037037037035E-4</v>
      </c>
      <c r="FO153" s="10" cm="1">
        <f t="array" aca="1" ref="FO153" ca="1">(1-$B$18)*SUMPRODUCT(OFFSET($BO$15,0,0,$B$14,1), 1*(_xlfn._xlws.FILTER(OFFSET($O$15,0,$DN153,$B$8,1),OFFSET($M$15,0,0,$B$8,1))=FO$13), 1*(_xlfn._xlws.FILTER(OFFSET($O$15,0,$DO153,$B$8,1),OFFSET($M$15,0,0,$B$8,1))=FO$14))   /   SUM(OFFSET($BO$15,0,0,$B$14,1)) + $B$18/($B$19*$B$19*($DN153&lt;&gt;$DO153) + $B$19*($DN153=$DO153))</f>
        <v>3.7037037037037035E-4</v>
      </c>
      <c r="FP153" s="10" cm="1">
        <f t="array" aca="1" ref="FP153" ca="1">(1-$B$18)*SUMPRODUCT(OFFSET($BO$15,0,0,$B$14,1), 1*(_xlfn._xlws.FILTER(OFFSET($O$15,0,$DN153,$B$8,1),OFFSET($M$15,0,0,$B$8,1))=FP$13), 1*(_xlfn._xlws.FILTER(OFFSET($O$15,0,$DO153,$B$8,1),OFFSET($M$15,0,0,$B$8,1))=FP$14))   /   SUM(OFFSET($BO$15,0,0,$B$14,1)) + $B$18/($B$19*$B$19*($DN153&lt;&gt;$DO153) + $B$19*($DN153=$DO153))</f>
        <v>3.7037037037037035E-4</v>
      </c>
      <c r="FQ153" s="10" cm="1">
        <f t="array" aca="1" ref="FQ153" ca="1">(1-$B$18)*SUMPRODUCT(OFFSET($BO$15,0,0,$B$14,1), 1*(_xlfn._xlws.FILTER(OFFSET($O$15,0,$DN153,$B$8,1),OFFSET($M$15,0,0,$B$8,1))=FQ$13), 1*(_xlfn._xlws.FILTER(OFFSET($O$15,0,$DO153,$B$8,1),OFFSET($M$15,0,0,$B$8,1))=FQ$14))   /   SUM(OFFSET($BO$15,0,0,$B$14,1)) + $B$18/($B$19*$B$19*($DN153&lt;&gt;$DO153) + $B$19*($DN153=$DO153))</f>
        <v>3.7037037037037035E-4</v>
      </c>
      <c r="FR153" s="10" cm="1">
        <f t="array" aca="1" ref="FR153" ca="1">(1-$B$18)*SUMPRODUCT(OFFSET($BO$15,0,0,$B$14,1), 1*(_xlfn._xlws.FILTER(OFFSET($O$15,0,$DN153,$B$8,1),OFFSET($M$15,0,0,$B$8,1))=FR$13), 1*(_xlfn._xlws.FILTER(OFFSET($O$15,0,$DO153,$B$8,1),OFFSET($M$15,0,0,$B$8,1))=FR$14))   /   SUM(OFFSET($BO$15,0,0,$B$14,1)) + $B$18/($B$19*$B$19*($DN153&lt;&gt;$DO153) + $B$19*($DN153=$DO153))</f>
        <v>0.97037037037037033</v>
      </c>
      <c r="FS153" s="10" cm="1">
        <f t="array" aca="1" ref="FS153" ca="1">(1-$B$18)*SUMPRODUCT(OFFSET($BO$15,0,0,$B$14,1), 1*(_xlfn._xlws.FILTER(OFFSET($O$15,0,$DN153,$B$8,1),OFFSET($M$15,0,0,$B$8,1))=FS$13), 1*(_xlfn._xlws.FILTER(OFFSET($O$15,0,$DO153,$B$8,1),OFFSET($M$15,0,0,$B$8,1))=FS$14))   /   SUM(OFFSET($BO$15,0,0,$B$14,1)) + $B$18/($B$19*$B$19*($DN153&lt;&gt;$DO153) + $B$19*($DN153=$DO153))</f>
        <v>3.7037037037037035E-4</v>
      </c>
      <c r="FT153" s="10" cm="1">
        <f t="array" aca="1" ref="FT153" ca="1">(1-$B$18)*SUMPRODUCT(OFFSET($BO$15,0,0,$B$14,1), 1*(_xlfn._xlws.FILTER(OFFSET($O$15,0,$DN153,$B$8,1),OFFSET($M$15,0,0,$B$8,1))=FT$13), 1*(_xlfn._xlws.FILTER(OFFSET($O$15,0,$DO153,$B$8,1),OFFSET($M$15,0,0,$B$8,1))=FT$14))   /   SUM(OFFSET($BO$15,0,0,$B$14,1)) + $B$18/($B$19*$B$19*($DN153&lt;&gt;$DO153) + $B$19*($DN153=$DO153))</f>
        <v>3.7037037037037035E-4</v>
      </c>
      <c r="FU153" s="10" cm="1">
        <f t="array" aca="1" ref="FU153" ca="1">(1-$B$18)*SUMPRODUCT(OFFSET($BO$15,0,0,$B$14,1), 1*(_xlfn._xlws.FILTER(OFFSET($O$15,0,$DN153,$B$8,1),OFFSET($M$15,0,0,$B$8,1))=FU$13), 1*(_xlfn._xlws.FILTER(OFFSET($O$15,0,$DO153,$B$8,1),OFFSET($M$15,0,0,$B$8,1))=FU$14))   /   SUM(OFFSET($BO$15,0,0,$B$14,1)) + $B$18/($B$19*$B$19*($DN153&lt;&gt;$DO153) + $B$19*($DN153=$DO153))</f>
        <v>3.7037037037037035E-4</v>
      </c>
      <c r="FV153" s="10" cm="1">
        <f t="array" aca="1" ref="FV153" ca="1">(1-$B$18)*SUMPRODUCT(OFFSET($BO$15,0,0,$B$14,1), 1*(_xlfn._xlws.FILTER(OFFSET($O$15,0,$DN153,$B$8,1),OFFSET($M$15,0,0,$B$8,1))=FV$13), 1*(_xlfn._xlws.FILTER(OFFSET($O$15,0,$DO153,$B$8,1),OFFSET($M$15,0,0,$B$8,1))=FV$14))   /   SUM(OFFSET($BO$15,0,0,$B$14,1)) + $B$18/($B$19*$B$19*($DN153&lt;&gt;$DO153) + $B$19*($DN153=$DO153))</f>
        <v>3.7037037037037035E-4</v>
      </c>
      <c r="FW153" s="10" cm="1">
        <f t="array" aca="1" ref="FW153" ca="1">(1-$B$18)*SUMPRODUCT(OFFSET($BO$15,0,0,$B$14,1), 1*(_xlfn._xlws.FILTER(OFFSET($O$15,0,$DN153,$B$8,1),OFFSET($M$15,0,0,$B$8,1))=FW$13), 1*(_xlfn._xlws.FILTER(OFFSET($O$15,0,$DO153,$B$8,1),OFFSET($M$15,0,0,$B$8,1))=FW$14))   /   SUM(OFFSET($BO$15,0,0,$B$14,1)) + $B$18/($B$19*$B$19*($DN153&lt;&gt;$DO153) + $B$19*($DN153=$DO153))</f>
        <v>3.7037037037037035E-4</v>
      </c>
      <c r="FX153" s="10" cm="1">
        <f t="array" aca="1" ref="FX153" ca="1">(1-$B$18)*SUMPRODUCT(OFFSET($BO$15,0,0,$B$14,1), 1*(_xlfn._xlws.FILTER(OFFSET($O$15,0,$DN153,$B$8,1),OFFSET($M$15,0,0,$B$8,1))=FX$13), 1*(_xlfn._xlws.FILTER(OFFSET($O$15,0,$DO153,$B$8,1),OFFSET($M$15,0,0,$B$8,1))=FX$14))   /   SUM(OFFSET($BO$15,0,0,$B$14,1)) + $B$18/($B$19*$B$19*($DN153&lt;&gt;$DO153) + $B$19*($DN153=$DO153))</f>
        <v>3.7037037037037035E-4</v>
      </c>
      <c r="FY153" s="10" cm="1">
        <f t="array" aca="1" ref="FY153" ca="1">(1-$B$18)*SUMPRODUCT(OFFSET($BO$15,0,0,$B$14,1), 1*(_xlfn._xlws.FILTER(OFFSET($O$15,0,$DN153,$B$8,1),OFFSET($M$15,0,0,$B$8,1))=FY$13), 1*(_xlfn._xlws.FILTER(OFFSET($O$15,0,$DO153,$B$8,1),OFFSET($M$15,0,0,$B$8,1))=FY$14))   /   SUM(OFFSET($BO$15,0,0,$B$14,1)) + $B$18/($B$19*$B$19*($DN153&lt;&gt;$DO153) + $B$19*($DN153=$DO153))</f>
        <v>3.7037037037037035E-4</v>
      </c>
      <c r="FZ153" s="10" cm="1">
        <f t="array" aca="1" ref="FZ153" ca="1">(1-$B$18)*SUMPRODUCT(OFFSET($BO$15,0,0,$B$14,1), 1*(_xlfn._xlws.FILTER(OFFSET($O$15,0,$DN153,$B$8,1),OFFSET($M$15,0,0,$B$8,1))=FZ$13), 1*(_xlfn._xlws.FILTER(OFFSET($O$15,0,$DO153,$B$8,1),OFFSET($M$15,0,0,$B$8,1))=FZ$14))   /   SUM(OFFSET($BO$15,0,0,$B$14,1)) + $B$18/($B$19*$B$19*($DN153&lt;&gt;$DO153) + $B$19*($DN153=$DO153))</f>
        <v>3.7037037037037035E-4</v>
      </c>
      <c r="GA153" s="10" cm="1">
        <f t="array" aca="1" ref="GA153" ca="1">(1-$B$18)*SUMPRODUCT(OFFSET($BO$15,0,0,$B$14,1), 1*(_xlfn._xlws.FILTER(OFFSET($O$15,0,$DN153,$B$8,1),OFFSET($M$15,0,0,$B$8,1))=GA$13), 1*(_xlfn._xlws.FILTER(OFFSET($O$15,0,$DO153,$B$8,1),OFFSET($M$15,0,0,$B$8,1))=GA$14))   /   SUM(OFFSET($BO$15,0,0,$B$14,1)) + $B$18/($B$19*$B$19*($DN153&lt;&gt;$DO153) + $B$19*($DN153=$DO153))</f>
        <v>3.7037037037037035E-4</v>
      </c>
    </row>
    <row r="154" spans="118:183" x14ac:dyDescent="0.2">
      <c r="DN154" cm="1">
        <f t="array" aca="1" ref="DN154" ca="1">INDEX(_xlfn.ANCHORARRAY($CP$15), 1 + INT((ROWS($DO$15:$DO154) - 1) / ROWS(_xlfn.ANCHORARRAY($CP$15))))</f>
        <v>7</v>
      </c>
      <c r="DO154" cm="1">
        <f t="array" aca="1" ref="DO154" ca="1">INDEX(_xlfn.ANCHORARRAY($CP$15),1+MOD(ROWS($DO$15:$DO154)-1,ROWS(_xlfn.ANCHORARRAY($CP$15))))</f>
        <v>6</v>
      </c>
      <c r="DP154" s="10" cm="1">
        <f t="array" aca="1" ref="DP154" ca="1">(1-$B$18)*SUMPRODUCT(OFFSET($BO$15,0,0,$B$14,1), 1*(_xlfn._xlws.FILTER(OFFSET($O$15,0,$DN154,$B$8,1),OFFSET($M$15,0,0,$B$8,1))=DP$13), 1*(_xlfn._xlws.FILTER(OFFSET($O$15,0,$DO154,$B$8,1),OFFSET($M$15,0,0,$B$8,1))=DP$14))   /   SUM(OFFSET($BO$15,0,0,$B$14,1)) + $B$18/($B$19*$B$19*($DN154&lt;&gt;$DO154) + $B$19*($DN154=$DO154))</f>
        <v>3.7037037037037035E-4</v>
      </c>
      <c r="DQ154" s="10" cm="1">
        <f t="array" aca="1" ref="DQ154" ca="1">(1-$B$18)*SUMPRODUCT(OFFSET($BO$15,0,0,$B$14,1), 1*(_xlfn._xlws.FILTER(OFFSET($O$15,0,$DN154,$B$8,1),OFFSET($M$15,0,0,$B$8,1))=DQ$13), 1*(_xlfn._xlws.FILTER(OFFSET($O$15,0,$DO154,$B$8,1),OFFSET($M$15,0,0,$B$8,1))=DQ$14))   /   SUM(OFFSET($BO$15,0,0,$B$14,1)) + $B$18/($B$19*$B$19*($DN154&lt;&gt;$DO154) + $B$19*($DN154=$DO154))</f>
        <v>3.7037037037037035E-4</v>
      </c>
      <c r="DR154" s="10" cm="1">
        <f t="array" aca="1" ref="DR154" ca="1">(1-$B$18)*SUMPRODUCT(OFFSET($BO$15,0,0,$B$14,1), 1*(_xlfn._xlws.FILTER(OFFSET($O$15,0,$DN154,$B$8,1),OFFSET($M$15,0,0,$B$8,1))=DR$13), 1*(_xlfn._xlws.FILTER(OFFSET($O$15,0,$DO154,$B$8,1),OFFSET($M$15,0,0,$B$8,1))=DR$14))   /   SUM(OFFSET($BO$15,0,0,$B$14,1)) + $B$18/($B$19*$B$19*($DN154&lt;&gt;$DO154) + $B$19*($DN154=$DO154))</f>
        <v>3.7037037037037035E-4</v>
      </c>
      <c r="DS154" s="10" cm="1">
        <f t="array" aca="1" ref="DS154" ca="1">(1-$B$18)*SUMPRODUCT(OFFSET($BO$15,0,0,$B$14,1), 1*(_xlfn._xlws.FILTER(OFFSET($O$15,0,$DN154,$B$8,1),OFFSET($M$15,0,0,$B$8,1))=DS$13), 1*(_xlfn._xlws.FILTER(OFFSET($O$15,0,$DO154,$B$8,1),OFFSET($M$15,0,0,$B$8,1))=DS$14))   /   SUM(OFFSET($BO$15,0,0,$B$14,1)) + $B$18/($B$19*$B$19*($DN154&lt;&gt;$DO154) + $B$19*($DN154=$DO154))</f>
        <v>3.7037037037037035E-4</v>
      </c>
      <c r="DT154" s="10" cm="1">
        <f t="array" aca="1" ref="DT154" ca="1">(1-$B$18)*SUMPRODUCT(OFFSET($BO$15,0,0,$B$14,1), 1*(_xlfn._xlws.FILTER(OFFSET($O$15,0,$DN154,$B$8,1),OFFSET($M$15,0,0,$B$8,1))=DT$13), 1*(_xlfn._xlws.FILTER(OFFSET($O$15,0,$DO154,$B$8,1),OFFSET($M$15,0,0,$B$8,1))=DT$14))   /   SUM(OFFSET($BO$15,0,0,$B$14,1)) + $B$18/($B$19*$B$19*($DN154&lt;&gt;$DO154) + $B$19*($DN154=$DO154))</f>
        <v>3.7037037037037035E-4</v>
      </c>
      <c r="DU154" s="10" cm="1">
        <f t="array" aca="1" ref="DU154" ca="1">(1-$B$18)*SUMPRODUCT(OFFSET($BO$15,0,0,$B$14,1), 1*(_xlfn._xlws.FILTER(OFFSET($O$15,0,$DN154,$B$8,1),OFFSET($M$15,0,0,$B$8,1))=DU$13), 1*(_xlfn._xlws.FILTER(OFFSET($O$15,0,$DO154,$B$8,1),OFFSET($M$15,0,0,$B$8,1))=DU$14))   /   SUM(OFFSET($BO$15,0,0,$B$14,1)) + $B$18/($B$19*$B$19*($DN154&lt;&gt;$DO154) + $B$19*($DN154=$DO154))</f>
        <v>3.7037037037037035E-4</v>
      </c>
      <c r="DV154" s="10" cm="1">
        <f t="array" aca="1" ref="DV154" ca="1">(1-$B$18)*SUMPRODUCT(OFFSET($BO$15,0,0,$B$14,1), 1*(_xlfn._xlws.FILTER(OFFSET($O$15,0,$DN154,$B$8,1),OFFSET($M$15,0,0,$B$8,1))=DV$13), 1*(_xlfn._xlws.FILTER(OFFSET($O$15,0,$DO154,$B$8,1),OFFSET($M$15,0,0,$B$8,1))=DV$14))   /   SUM(OFFSET($BO$15,0,0,$B$14,1)) + $B$18/($B$19*$B$19*($DN154&lt;&gt;$DO154) + $B$19*($DN154=$DO154))</f>
        <v>3.7037037037037035E-4</v>
      </c>
      <c r="DW154" s="10" cm="1">
        <f t="array" aca="1" ref="DW154" ca="1">(1-$B$18)*SUMPRODUCT(OFFSET($BO$15,0,0,$B$14,1), 1*(_xlfn._xlws.FILTER(OFFSET($O$15,0,$DN154,$B$8,1),OFFSET($M$15,0,0,$B$8,1))=DW$13), 1*(_xlfn._xlws.FILTER(OFFSET($O$15,0,$DO154,$B$8,1),OFFSET($M$15,0,0,$B$8,1))=DW$14))   /   SUM(OFFSET($BO$15,0,0,$B$14,1)) + $B$18/($B$19*$B$19*($DN154&lt;&gt;$DO154) + $B$19*($DN154=$DO154))</f>
        <v>3.7037037037037035E-4</v>
      </c>
      <c r="DX154" s="10" cm="1">
        <f t="array" aca="1" ref="DX154" ca="1">(1-$B$18)*SUMPRODUCT(OFFSET($BO$15,0,0,$B$14,1), 1*(_xlfn._xlws.FILTER(OFFSET($O$15,0,$DN154,$B$8,1),OFFSET($M$15,0,0,$B$8,1))=DX$13), 1*(_xlfn._xlws.FILTER(OFFSET($O$15,0,$DO154,$B$8,1),OFFSET($M$15,0,0,$B$8,1))=DX$14))   /   SUM(OFFSET($BO$15,0,0,$B$14,1)) + $B$18/($B$19*$B$19*($DN154&lt;&gt;$DO154) + $B$19*($DN154=$DO154))</f>
        <v>3.7037037037037035E-4</v>
      </c>
      <c r="DY154" s="10" cm="1">
        <f t="array" aca="1" ref="DY154" ca="1">(1-$B$18)*SUMPRODUCT(OFFSET($BO$15,0,0,$B$14,1), 1*(_xlfn._xlws.FILTER(OFFSET($O$15,0,$DN154,$B$8,1),OFFSET($M$15,0,0,$B$8,1))=DY$13), 1*(_xlfn._xlws.FILTER(OFFSET($O$15,0,$DO154,$B$8,1),OFFSET($M$15,0,0,$B$8,1))=DY$14))   /   SUM(OFFSET($BO$15,0,0,$B$14,1)) + $B$18/($B$19*$B$19*($DN154&lt;&gt;$DO154) + $B$19*($DN154=$DO154))</f>
        <v>3.7037037037037035E-4</v>
      </c>
      <c r="DZ154" s="10" cm="1">
        <f t="array" aca="1" ref="DZ154" ca="1">(1-$B$18)*SUMPRODUCT(OFFSET($BO$15,0,0,$B$14,1), 1*(_xlfn._xlws.FILTER(OFFSET($O$15,0,$DN154,$B$8,1),OFFSET($M$15,0,0,$B$8,1))=DZ$13), 1*(_xlfn._xlws.FILTER(OFFSET($O$15,0,$DO154,$B$8,1),OFFSET($M$15,0,0,$B$8,1))=DZ$14))   /   SUM(OFFSET($BO$15,0,0,$B$14,1)) + $B$18/($B$19*$B$19*($DN154&lt;&gt;$DO154) + $B$19*($DN154=$DO154))</f>
        <v>3.7037037037037035E-4</v>
      </c>
      <c r="EA154" s="10" cm="1">
        <f t="array" aca="1" ref="EA154" ca="1">(1-$B$18)*SUMPRODUCT(OFFSET($BO$15,0,0,$B$14,1), 1*(_xlfn._xlws.FILTER(OFFSET($O$15,0,$DN154,$B$8,1),OFFSET($M$15,0,0,$B$8,1))=EA$13), 1*(_xlfn._xlws.FILTER(OFFSET($O$15,0,$DO154,$B$8,1),OFFSET($M$15,0,0,$B$8,1))=EA$14))   /   SUM(OFFSET($BO$15,0,0,$B$14,1)) + $B$18/($B$19*$B$19*($DN154&lt;&gt;$DO154) + $B$19*($DN154=$DO154))</f>
        <v>3.7037037037037035E-4</v>
      </c>
      <c r="EB154" s="10" cm="1">
        <f t="array" aca="1" ref="EB154" ca="1">(1-$B$18)*SUMPRODUCT(OFFSET($BO$15,0,0,$B$14,1), 1*(_xlfn._xlws.FILTER(OFFSET($O$15,0,$DN154,$B$8,1),OFFSET($M$15,0,0,$B$8,1))=EB$13), 1*(_xlfn._xlws.FILTER(OFFSET($O$15,0,$DO154,$B$8,1),OFFSET($M$15,0,0,$B$8,1))=EB$14))   /   SUM(OFFSET($BO$15,0,0,$B$14,1)) + $B$18/($B$19*$B$19*($DN154&lt;&gt;$DO154) + $B$19*($DN154=$DO154))</f>
        <v>3.7037037037037035E-4</v>
      </c>
      <c r="EC154" s="10" cm="1">
        <f t="array" aca="1" ref="EC154" ca="1">(1-$B$18)*SUMPRODUCT(OFFSET($BO$15,0,0,$B$14,1), 1*(_xlfn._xlws.FILTER(OFFSET($O$15,0,$DN154,$B$8,1),OFFSET($M$15,0,0,$B$8,1))=EC$13), 1*(_xlfn._xlws.FILTER(OFFSET($O$15,0,$DO154,$B$8,1),OFFSET($M$15,0,0,$B$8,1))=EC$14))   /   SUM(OFFSET($BO$15,0,0,$B$14,1)) + $B$18/($B$19*$B$19*($DN154&lt;&gt;$DO154) + $B$19*($DN154=$DO154))</f>
        <v>3.7037037037037035E-4</v>
      </c>
      <c r="ED154" s="10" cm="1">
        <f t="array" aca="1" ref="ED154" ca="1">(1-$B$18)*SUMPRODUCT(OFFSET($BO$15,0,0,$B$14,1), 1*(_xlfn._xlws.FILTER(OFFSET($O$15,0,$DN154,$B$8,1),OFFSET($M$15,0,0,$B$8,1))=ED$13), 1*(_xlfn._xlws.FILTER(OFFSET($O$15,0,$DO154,$B$8,1),OFFSET($M$15,0,0,$B$8,1))=ED$14))   /   SUM(OFFSET($BO$15,0,0,$B$14,1)) + $B$18/($B$19*$B$19*($DN154&lt;&gt;$DO154) + $B$19*($DN154=$DO154))</f>
        <v>3.7037037037037035E-4</v>
      </c>
      <c r="EE154" s="10" cm="1">
        <f t="array" aca="1" ref="EE154" ca="1">(1-$B$18)*SUMPRODUCT(OFFSET($BO$15,0,0,$B$14,1), 1*(_xlfn._xlws.FILTER(OFFSET($O$15,0,$DN154,$B$8,1),OFFSET($M$15,0,0,$B$8,1))=EE$13), 1*(_xlfn._xlws.FILTER(OFFSET($O$15,0,$DO154,$B$8,1),OFFSET($M$15,0,0,$B$8,1))=EE$14))   /   SUM(OFFSET($BO$15,0,0,$B$14,1)) + $B$18/($B$19*$B$19*($DN154&lt;&gt;$DO154) + $B$19*($DN154=$DO154))</f>
        <v>3.7037037037037035E-4</v>
      </c>
      <c r="EF154" s="10" cm="1">
        <f t="array" aca="1" ref="EF154" ca="1">(1-$B$18)*SUMPRODUCT(OFFSET($BO$15,0,0,$B$14,1), 1*(_xlfn._xlws.FILTER(OFFSET($O$15,0,$DN154,$B$8,1),OFFSET($M$15,0,0,$B$8,1))=EF$13), 1*(_xlfn._xlws.FILTER(OFFSET($O$15,0,$DO154,$B$8,1),OFFSET($M$15,0,0,$B$8,1))=EF$14))   /   SUM(OFFSET($BO$15,0,0,$B$14,1)) + $B$18/($B$19*$B$19*($DN154&lt;&gt;$DO154) + $B$19*($DN154=$DO154))</f>
        <v>3.7037037037037035E-4</v>
      </c>
      <c r="EG154" s="10" cm="1">
        <f t="array" aca="1" ref="EG154" ca="1">(1-$B$18)*SUMPRODUCT(OFFSET($BO$15,0,0,$B$14,1), 1*(_xlfn._xlws.FILTER(OFFSET($O$15,0,$DN154,$B$8,1),OFFSET($M$15,0,0,$B$8,1))=EG$13), 1*(_xlfn._xlws.FILTER(OFFSET($O$15,0,$DO154,$B$8,1),OFFSET($M$15,0,0,$B$8,1))=EG$14))   /   SUM(OFFSET($BO$15,0,0,$B$14,1)) + $B$18/($B$19*$B$19*($DN154&lt;&gt;$DO154) + $B$19*($DN154=$DO154))</f>
        <v>3.7037037037037035E-4</v>
      </c>
      <c r="EH154" s="10" cm="1">
        <f t="array" aca="1" ref="EH154" ca="1">(1-$B$18)*SUMPRODUCT(OFFSET($BO$15,0,0,$B$14,1), 1*(_xlfn._xlws.FILTER(OFFSET($O$15,0,$DN154,$B$8,1),OFFSET($M$15,0,0,$B$8,1))=EH$13), 1*(_xlfn._xlws.FILTER(OFFSET($O$15,0,$DO154,$B$8,1),OFFSET($M$15,0,0,$B$8,1))=EH$14))   /   SUM(OFFSET($BO$15,0,0,$B$14,1)) + $B$18/($B$19*$B$19*($DN154&lt;&gt;$DO154) + $B$19*($DN154=$DO154))</f>
        <v>3.7037037037037035E-4</v>
      </c>
      <c r="EI154" s="10" cm="1">
        <f t="array" aca="1" ref="EI154" ca="1">(1-$B$18)*SUMPRODUCT(OFFSET($BO$15,0,0,$B$14,1), 1*(_xlfn._xlws.FILTER(OFFSET($O$15,0,$DN154,$B$8,1),OFFSET($M$15,0,0,$B$8,1))=EI$13), 1*(_xlfn._xlws.FILTER(OFFSET($O$15,0,$DO154,$B$8,1),OFFSET($M$15,0,0,$B$8,1))=EI$14))   /   SUM(OFFSET($BO$15,0,0,$B$14,1)) + $B$18/($B$19*$B$19*($DN154&lt;&gt;$DO154) + $B$19*($DN154=$DO154))</f>
        <v>3.7037037037037035E-4</v>
      </c>
      <c r="EJ154" s="10" cm="1">
        <f t="array" aca="1" ref="EJ154" ca="1">(1-$B$18)*SUMPRODUCT(OFFSET($BO$15,0,0,$B$14,1), 1*(_xlfn._xlws.FILTER(OFFSET($O$15,0,$DN154,$B$8,1),OFFSET($M$15,0,0,$B$8,1))=EJ$13), 1*(_xlfn._xlws.FILTER(OFFSET($O$15,0,$DO154,$B$8,1),OFFSET($M$15,0,0,$B$8,1))=EJ$14))   /   SUM(OFFSET($BO$15,0,0,$B$14,1)) + $B$18/($B$19*$B$19*($DN154&lt;&gt;$DO154) + $B$19*($DN154=$DO154))</f>
        <v>3.7037037037037035E-4</v>
      </c>
      <c r="EK154" s="10" cm="1">
        <f t="array" aca="1" ref="EK154" ca="1">(1-$B$18)*SUMPRODUCT(OFFSET($BO$15,0,0,$B$14,1), 1*(_xlfn._xlws.FILTER(OFFSET($O$15,0,$DN154,$B$8,1),OFFSET($M$15,0,0,$B$8,1))=EK$13), 1*(_xlfn._xlws.FILTER(OFFSET($O$15,0,$DO154,$B$8,1),OFFSET($M$15,0,0,$B$8,1))=EK$14))   /   SUM(OFFSET($BO$15,0,0,$B$14,1)) + $B$18/($B$19*$B$19*($DN154&lt;&gt;$DO154) + $B$19*($DN154=$DO154))</f>
        <v>3.7037037037037035E-4</v>
      </c>
      <c r="EL154" s="10" cm="1">
        <f t="array" aca="1" ref="EL154" ca="1">(1-$B$18)*SUMPRODUCT(OFFSET($BO$15,0,0,$B$14,1), 1*(_xlfn._xlws.FILTER(OFFSET($O$15,0,$DN154,$B$8,1),OFFSET($M$15,0,0,$B$8,1))=EL$13), 1*(_xlfn._xlws.FILTER(OFFSET($O$15,0,$DO154,$B$8,1),OFFSET($M$15,0,0,$B$8,1))=EL$14))   /   SUM(OFFSET($BO$15,0,0,$B$14,1)) + $B$18/($B$19*$B$19*($DN154&lt;&gt;$DO154) + $B$19*($DN154=$DO154))</f>
        <v>3.7037037037037035E-4</v>
      </c>
      <c r="EM154" s="10" cm="1">
        <f t="array" aca="1" ref="EM154" ca="1">(1-$B$18)*SUMPRODUCT(OFFSET($BO$15,0,0,$B$14,1), 1*(_xlfn._xlws.FILTER(OFFSET($O$15,0,$DN154,$B$8,1),OFFSET($M$15,0,0,$B$8,1))=EM$13), 1*(_xlfn._xlws.FILTER(OFFSET($O$15,0,$DO154,$B$8,1),OFFSET($M$15,0,0,$B$8,1))=EM$14))   /   SUM(OFFSET($BO$15,0,0,$B$14,1)) + $B$18/($B$19*$B$19*($DN154&lt;&gt;$DO154) + $B$19*($DN154=$DO154))</f>
        <v>3.7037037037037035E-4</v>
      </c>
      <c r="EN154" s="10" cm="1">
        <f t="array" aca="1" ref="EN154" ca="1">(1-$B$18)*SUMPRODUCT(OFFSET($BO$15,0,0,$B$14,1), 1*(_xlfn._xlws.FILTER(OFFSET($O$15,0,$DN154,$B$8,1),OFFSET($M$15,0,0,$B$8,1))=EN$13), 1*(_xlfn._xlws.FILTER(OFFSET($O$15,0,$DO154,$B$8,1),OFFSET($M$15,0,0,$B$8,1))=EN$14))   /   SUM(OFFSET($BO$15,0,0,$B$14,1)) + $B$18/($B$19*$B$19*($DN154&lt;&gt;$DO154) + $B$19*($DN154=$DO154))</f>
        <v>3.7037037037037035E-4</v>
      </c>
      <c r="EO154" s="10" cm="1">
        <f t="array" aca="1" ref="EO154" ca="1">(1-$B$18)*SUMPRODUCT(OFFSET($BO$15,0,0,$B$14,1), 1*(_xlfn._xlws.FILTER(OFFSET($O$15,0,$DN154,$B$8,1),OFFSET($M$15,0,0,$B$8,1))=EO$13), 1*(_xlfn._xlws.FILTER(OFFSET($O$15,0,$DO154,$B$8,1),OFFSET($M$15,0,0,$B$8,1))=EO$14))   /   SUM(OFFSET($BO$15,0,0,$B$14,1)) + $B$18/($B$19*$B$19*($DN154&lt;&gt;$DO154) + $B$19*($DN154=$DO154))</f>
        <v>3.7037037037037035E-4</v>
      </c>
      <c r="EP154" s="10" cm="1">
        <f t="array" aca="1" ref="EP154" ca="1">(1-$B$18)*SUMPRODUCT(OFFSET($BO$15,0,0,$B$14,1), 1*(_xlfn._xlws.FILTER(OFFSET($O$15,0,$DN154,$B$8,1),OFFSET($M$15,0,0,$B$8,1))=EP$13), 1*(_xlfn._xlws.FILTER(OFFSET($O$15,0,$DO154,$B$8,1),OFFSET($M$15,0,0,$B$8,1))=EP$14))   /   SUM(OFFSET($BO$15,0,0,$B$14,1)) + $B$18/($B$19*$B$19*($DN154&lt;&gt;$DO154) + $B$19*($DN154=$DO154))</f>
        <v>3.7037037037037035E-4</v>
      </c>
      <c r="EQ154" s="10" cm="1">
        <f t="array" aca="1" ref="EQ154" ca="1">(1-$B$18)*SUMPRODUCT(OFFSET($BO$15,0,0,$B$14,1), 1*(_xlfn._xlws.FILTER(OFFSET($O$15,0,$DN154,$B$8,1),OFFSET($M$15,0,0,$B$8,1))=EQ$13), 1*(_xlfn._xlws.FILTER(OFFSET($O$15,0,$DO154,$B$8,1),OFFSET($M$15,0,0,$B$8,1))=EQ$14))   /   SUM(OFFSET($BO$15,0,0,$B$14,1)) + $B$18/($B$19*$B$19*($DN154&lt;&gt;$DO154) + $B$19*($DN154=$DO154))</f>
        <v>3.7037037037037035E-4</v>
      </c>
      <c r="ER154" s="10" cm="1">
        <f t="array" aca="1" ref="ER154" ca="1">(1-$B$18)*SUMPRODUCT(OFFSET($BO$15,0,0,$B$14,1), 1*(_xlfn._xlws.FILTER(OFFSET($O$15,0,$DN154,$B$8,1),OFFSET($M$15,0,0,$B$8,1))=ER$13), 1*(_xlfn._xlws.FILTER(OFFSET($O$15,0,$DO154,$B$8,1),OFFSET($M$15,0,0,$B$8,1))=ER$14))   /   SUM(OFFSET($BO$15,0,0,$B$14,1)) + $B$18/($B$19*$B$19*($DN154&lt;&gt;$DO154) + $B$19*($DN154=$DO154))</f>
        <v>3.7037037037037035E-4</v>
      </c>
      <c r="ES154" s="10" cm="1">
        <f t="array" aca="1" ref="ES154" ca="1">(1-$B$18)*SUMPRODUCT(OFFSET($BO$15,0,0,$B$14,1), 1*(_xlfn._xlws.FILTER(OFFSET($O$15,0,$DN154,$B$8,1),OFFSET($M$15,0,0,$B$8,1))=ES$13), 1*(_xlfn._xlws.FILTER(OFFSET($O$15,0,$DO154,$B$8,1),OFFSET($M$15,0,0,$B$8,1))=ES$14))   /   SUM(OFFSET($BO$15,0,0,$B$14,1)) + $B$18/($B$19*$B$19*($DN154&lt;&gt;$DO154) + $B$19*($DN154=$DO154))</f>
        <v>3.7037037037037035E-4</v>
      </c>
      <c r="ET154" s="10" cm="1">
        <f t="array" aca="1" ref="ET154" ca="1">(1-$B$18)*SUMPRODUCT(OFFSET($BO$15,0,0,$B$14,1), 1*(_xlfn._xlws.FILTER(OFFSET($O$15,0,$DN154,$B$8,1),OFFSET($M$15,0,0,$B$8,1))=ET$13), 1*(_xlfn._xlws.FILTER(OFFSET($O$15,0,$DO154,$B$8,1),OFFSET($M$15,0,0,$B$8,1))=ET$14))   /   SUM(OFFSET($BO$15,0,0,$B$14,1)) + $B$18/($B$19*$B$19*($DN154&lt;&gt;$DO154) + $B$19*($DN154=$DO154))</f>
        <v>3.7037037037037035E-4</v>
      </c>
      <c r="EU154" s="10" cm="1">
        <f t="array" aca="1" ref="EU154" ca="1">(1-$B$18)*SUMPRODUCT(OFFSET($BO$15,0,0,$B$14,1), 1*(_xlfn._xlws.FILTER(OFFSET($O$15,0,$DN154,$B$8,1),OFFSET($M$15,0,0,$B$8,1))=EU$13), 1*(_xlfn._xlws.FILTER(OFFSET($O$15,0,$DO154,$B$8,1),OFFSET($M$15,0,0,$B$8,1))=EU$14))   /   SUM(OFFSET($BO$15,0,0,$B$14,1)) + $B$18/($B$19*$B$19*($DN154&lt;&gt;$DO154) + $B$19*($DN154=$DO154))</f>
        <v>3.7037037037037035E-4</v>
      </c>
      <c r="EV154" s="10" cm="1">
        <f t="array" aca="1" ref="EV154" ca="1">(1-$B$18)*SUMPRODUCT(OFFSET($BO$15,0,0,$B$14,1), 1*(_xlfn._xlws.FILTER(OFFSET($O$15,0,$DN154,$B$8,1),OFFSET($M$15,0,0,$B$8,1))=EV$13), 1*(_xlfn._xlws.FILTER(OFFSET($O$15,0,$DO154,$B$8,1),OFFSET($M$15,0,0,$B$8,1))=EV$14))   /   SUM(OFFSET($BO$15,0,0,$B$14,1)) + $B$18/($B$19*$B$19*($DN154&lt;&gt;$DO154) + $B$19*($DN154=$DO154))</f>
        <v>3.7037037037037035E-4</v>
      </c>
      <c r="EW154" s="10" cm="1">
        <f t="array" aca="1" ref="EW154" ca="1">(1-$B$18)*SUMPRODUCT(OFFSET($BO$15,0,0,$B$14,1), 1*(_xlfn._xlws.FILTER(OFFSET($O$15,0,$DN154,$B$8,1),OFFSET($M$15,0,0,$B$8,1))=EW$13), 1*(_xlfn._xlws.FILTER(OFFSET($O$15,0,$DO154,$B$8,1),OFFSET($M$15,0,0,$B$8,1))=EW$14))   /   SUM(OFFSET($BO$15,0,0,$B$14,1)) + $B$18/($B$19*$B$19*($DN154&lt;&gt;$DO154) + $B$19*($DN154=$DO154))</f>
        <v>3.7037037037037035E-4</v>
      </c>
      <c r="EX154" s="10" cm="1">
        <f t="array" aca="1" ref="EX154" ca="1">(1-$B$18)*SUMPRODUCT(OFFSET($BO$15,0,0,$B$14,1), 1*(_xlfn._xlws.FILTER(OFFSET($O$15,0,$DN154,$B$8,1),OFFSET($M$15,0,0,$B$8,1))=EX$13), 1*(_xlfn._xlws.FILTER(OFFSET($O$15,0,$DO154,$B$8,1),OFFSET($M$15,0,0,$B$8,1))=EX$14))   /   SUM(OFFSET($BO$15,0,0,$B$14,1)) + $B$18/($B$19*$B$19*($DN154&lt;&gt;$DO154) + $B$19*($DN154=$DO154))</f>
        <v>3.7037037037037035E-4</v>
      </c>
      <c r="EY154" s="10" cm="1">
        <f t="array" aca="1" ref="EY154" ca="1">(1-$B$18)*SUMPRODUCT(OFFSET($BO$15,0,0,$B$14,1), 1*(_xlfn._xlws.FILTER(OFFSET($O$15,0,$DN154,$B$8,1),OFFSET($M$15,0,0,$B$8,1))=EY$13), 1*(_xlfn._xlws.FILTER(OFFSET($O$15,0,$DO154,$B$8,1),OFFSET($M$15,0,0,$B$8,1))=EY$14))   /   SUM(OFFSET($BO$15,0,0,$B$14,1)) + $B$18/($B$19*$B$19*($DN154&lt;&gt;$DO154) + $B$19*($DN154=$DO154))</f>
        <v>3.7037037037037035E-4</v>
      </c>
      <c r="EZ154" s="10" cm="1">
        <f t="array" aca="1" ref="EZ154" ca="1">(1-$B$18)*SUMPRODUCT(OFFSET($BO$15,0,0,$B$14,1), 1*(_xlfn._xlws.FILTER(OFFSET($O$15,0,$DN154,$B$8,1),OFFSET($M$15,0,0,$B$8,1))=EZ$13), 1*(_xlfn._xlws.FILTER(OFFSET($O$15,0,$DO154,$B$8,1),OFFSET($M$15,0,0,$B$8,1))=EZ$14))   /   SUM(OFFSET($BO$15,0,0,$B$14,1)) + $B$18/($B$19*$B$19*($DN154&lt;&gt;$DO154) + $B$19*($DN154=$DO154))</f>
        <v>3.7037037037037035E-4</v>
      </c>
      <c r="FA154" s="10" cm="1">
        <f t="array" aca="1" ref="FA154" ca="1">(1-$B$18)*SUMPRODUCT(OFFSET($BO$15,0,0,$B$14,1), 1*(_xlfn._xlws.FILTER(OFFSET($O$15,0,$DN154,$B$8,1),OFFSET($M$15,0,0,$B$8,1))=FA$13), 1*(_xlfn._xlws.FILTER(OFFSET($O$15,0,$DO154,$B$8,1),OFFSET($M$15,0,0,$B$8,1))=FA$14))   /   SUM(OFFSET($BO$15,0,0,$B$14,1)) + $B$18/($B$19*$B$19*($DN154&lt;&gt;$DO154) + $B$19*($DN154=$DO154))</f>
        <v>3.7037037037037035E-4</v>
      </c>
      <c r="FB154" s="10" cm="1">
        <f t="array" aca="1" ref="FB154" ca="1">(1-$B$18)*SUMPRODUCT(OFFSET($BO$15,0,0,$B$14,1), 1*(_xlfn._xlws.FILTER(OFFSET($O$15,0,$DN154,$B$8,1),OFFSET($M$15,0,0,$B$8,1))=FB$13), 1*(_xlfn._xlws.FILTER(OFFSET($O$15,0,$DO154,$B$8,1),OFFSET($M$15,0,0,$B$8,1))=FB$14))   /   SUM(OFFSET($BO$15,0,0,$B$14,1)) + $B$18/($B$19*$B$19*($DN154&lt;&gt;$DO154) + $B$19*($DN154=$DO154))</f>
        <v>3.7037037037037035E-4</v>
      </c>
      <c r="FC154" s="10" cm="1">
        <f t="array" aca="1" ref="FC154" ca="1">(1-$B$18)*SUMPRODUCT(OFFSET($BO$15,0,0,$B$14,1), 1*(_xlfn._xlws.FILTER(OFFSET($O$15,0,$DN154,$B$8,1),OFFSET($M$15,0,0,$B$8,1))=FC$13), 1*(_xlfn._xlws.FILTER(OFFSET($O$15,0,$DO154,$B$8,1),OFFSET($M$15,0,0,$B$8,1))=FC$14))   /   SUM(OFFSET($BO$15,0,0,$B$14,1)) + $B$18/($B$19*$B$19*($DN154&lt;&gt;$DO154) + $B$19*($DN154=$DO154))</f>
        <v>3.7037037037037035E-4</v>
      </c>
      <c r="FD154" s="10" cm="1">
        <f t="array" aca="1" ref="FD154" ca="1">(1-$B$18)*SUMPRODUCT(OFFSET($BO$15,0,0,$B$14,1), 1*(_xlfn._xlws.FILTER(OFFSET($O$15,0,$DN154,$B$8,1),OFFSET($M$15,0,0,$B$8,1))=FD$13), 1*(_xlfn._xlws.FILTER(OFFSET($O$15,0,$DO154,$B$8,1),OFFSET($M$15,0,0,$B$8,1))=FD$14))   /   SUM(OFFSET($BO$15,0,0,$B$14,1)) + $B$18/($B$19*$B$19*($DN154&lt;&gt;$DO154) + $B$19*($DN154=$DO154))</f>
        <v>3.7037037037037035E-4</v>
      </c>
      <c r="FE154" s="10" cm="1">
        <f t="array" aca="1" ref="FE154" ca="1">(1-$B$18)*SUMPRODUCT(OFFSET($BO$15,0,0,$B$14,1), 1*(_xlfn._xlws.FILTER(OFFSET($O$15,0,$DN154,$B$8,1),OFFSET($M$15,0,0,$B$8,1))=FE$13), 1*(_xlfn._xlws.FILTER(OFFSET($O$15,0,$DO154,$B$8,1),OFFSET($M$15,0,0,$B$8,1))=FE$14))   /   SUM(OFFSET($BO$15,0,0,$B$14,1)) + $B$18/($B$19*$B$19*($DN154&lt;&gt;$DO154) + $B$19*($DN154=$DO154))</f>
        <v>3.7037037037037035E-4</v>
      </c>
      <c r="FF154" s="10" cm="1">
        <f t="array" aca="1" ref="FF154" ca="1">(1-$B$18)*SUMPRODUCT(OFFSET($BO$15,0,0,$B$14,1), 1*(_xlfn._xlws.FILTER(OFFSET($O$15,0,$DN154,$B$8,1),OFFSET($M$15,0,0,$B$8,1))=FF$13), 1*(_xlfn._xlws.FILTER(OFFSET($O$15,0,$DO154,$B$8,1),OFFSET($M$15,0,0,$B$8,1))=FF$14))   /   SUM(OFFSET($BO$15,0,0,$B$14,1)) + $B$18/($B$19*$B$19*($DN154&lt;&gt;$DO154) + $B$19*($DN154=$DO154))</f>
        <v>3.7037037037037035E-4</v>
      </c>
      <c r="FG154" s="10" cm="1">
        <f t="array" aca="1" ref="FG154" ca="1">(1-$B$18)*SUMPRODUCT(OFFSET($BO$15,0,0,$B$14,1), 1*(_xlfn._xlws.FILTER(OFFSET($O$15,0,$DN154,$B$8,1),OFFSET($M$15,0,0,$B$8,1))=FG$13), 1*(_xlfn._xlws.FILTER(OFFSET($O$15,0,$DO154,$B$8,1),OFFSET($M$15,0,0,$B$8,1))=FG$14))   /   SUM(OFFSET($BO$15,0,0,$B$14,1)) + $B$18/($B$19*$B$19*($DN154&lt;&gt;$DO154) + $B$19*($DN154=$DO154))</f>
        <v>3.7037037037037035E-4</v>
      </c>
      <c r="FH154" s="10" cm="1">
        <f t="array" aca="1" ref="FH154" ca="1">(1-$B$18)*SUMPRODUCT(OFFSET($BO$15,0,0,$B$14,1), 1*(_xlfn._xlws.FILTER(OFFSET($O$15,0,$DN154,$B$8,1),OFFSET($M$15,0,0,$B$8,1))=FH$13), 1*(_xlfn._xlws.FILTER(OFFSET($O$15,0,$DO154,$B$8,1),OFFSET($M$15,0,0,$B$8,1))=FH$14))   /   SUM(OFFSET($BO$15,0,0,$B$14,1)) + $B$18/($B$19*$B$19*($DN154&lt;&gt;$DO154) + $B$19*($DN154=$DO154))</f>
        <v>3.7037037037037035E-4</v>
      </c>
      <c r="FI154" s="10" cm="1">
        <f t="array" aca="1" ref="FI154" ca="1">(1-$B$18)*SUMPRODUCT(OFFSET($BO$15,0,0,$B$14,1), 1*(_xlfn._xlws.FILTER(OFFSET($O$15,0,$DN154,$B$8,1),OFFSET($M$15,0,0,$B$8,1))=FI$13), 1*(_xlfn._xlws.FILTER(OFFSET($O$15,0,$DO154,$B$8,1),OFFSET($M$15,0,0,$B$8,1))=FI$14))   /   SUM(OFFSET($BO$15,0,0,$B$14,1)) + $B$18/($B$19*$B$19*($DN154&lt;&gt;$DO154) + $B$19*($DN154=$DO154))</f>
        <v>3.7037037037037035E-4</v>
      </c>
      <c r="FJ154" s="10" cm="1">
        <f t="array" aca="1" ref="FJ154" ca="1">(1-$B$18)*SUMPRODUCT(OFFSET($BO$15,0,0,$B$14,1), 1*(_xlfn._xlws.FILTER(OFFSET($O$15,0,$DN154,$B$8,1),OFFSET($M$15,0,0,$B$8,1))=FJ$13), 1*(_xlfn._xlws.FILTER(OFFSET($O$15,0,$DO154,$B$8,1),OFFSET($M$15,0,0,$B$8,1))=FJ$14))   /   SUM(OFFSET($BO$15,0,0,$B$14,1)) + $B$18/($B$19*$B$19*($DN154&lt;&gt;$DO154) + $B$19*($DN154=$DO154))</f>
        <v>3.7037037037037035E-4</v>
      </c>
      <c r="FK154" s="10" cm="1">
        <f t="array" aca="1" ref="FK154" ca="1">(1-$B$18)*SUMPRODUCT(OFFSET($BO$15,0,0,$B$14,1), 1*(_xlfn._xlws.FILTER(OFFSET($O$15,0,$DN154,$B$8,1),OFFSET($M$15,0,0,$B$8,1))=FK$13), 1*(_xlfn._xlws.FILTER(OFFSET($O$15,0,$DO154,$B$8,1),OFFSET($M$15,0,0,$B$8,1))=FK$14))   /   SUM(OFFSET($BO$15,0,0,$B$14,1)) + $B$18/($B$19*$B$19*($DN154&lt;&gt;$DO154) + $B$19*($DN154=$DO154))</f>
        <v>3.7037037037037035E-4</v>
      </c>
      <c r="FL154" s="10" cm="1">
        <f t="array" aca="1" ref="FL154" ca="1">(1-$B$18)*SUMPRODUCT(OFFSET($BO$15,0,0,$B$14,1), 1*(_xlfn._xlws.FILTER(OFFSET($O$15,0,$DN154,$B$8,1),OFFSET($M$15,0,0,$B$8,1))=FL$13), 1*(_xlfn._xlws.FILTER(OFFSET($O$15,0,$DO154,$B$8,1),OFFSET($M$15,0,0,$B$8,1))=FL$14))   /   SUM(OFFSET($BO$15,0,0,$B$14,1)) + $B$18/($B$19*$B$19*($DN154&lt;&gt;$DO154) + $B$19*($DN154=$DO154))</f>
        <v>3.7037037037037035E-4</v>
      </c>
      <c r="FM154" s="10" cm="1">
        <f t="array" aca="1" ref="FM154" ca="1">(1-$B$18)*SUMPRODUCT(OFFSET($BO$15,0,0,$B$14,1), 1*(_xlfn._xlws.FILTER(OFFSET($O$15,0,$DN154,$B$8,1),OFFSET($M$15,0,0,$B$8,1))=FM$13), 1*(_xlfn._xlws.FILTER(OFFSET($O$15,0,$DO154,$B$8,1),OFFSET($M$15,0,0,$B$8,1))=FM$14))   /   SUM(OFFSET($BO$15,0,0,$B$14,1)) + $B$18/($B$19*$B$19*($DN154&lt;&gt;$DO154) + $B$19*($DN154=$DO154))</f>
        <v>3.7037037037037035E-4</v>
      </c>
      <c r="FN154" s="10" cm="1">
        <f t="array" aca="1" ref="FN154" ca="1">(1-$B$18)*SUMPRODUCT(OFFSET($BO$15,0,0,$B$14,1), 1*(_xlfn._xlws.FILTER(OFFSET($O$15,0,$DN154,$B$8,1),OFFSET($M$15,0,0,$B$8,1))=FN$13), 1*(_xlfn._xlws.FILTER(OFFSET($O$15,0,$DO154,$B$8,1),OFFSET($M$15,0,0,$B$8,1))=FN$14))   /   SUM(OFFSET($BO$15,0,0,$B$14,1)) + $B$18/($B$19*$B$19*($DN154&lt;&gt;$DO154) + $B$19*($DN154=$DO154))</f>
        <v>3.7037037037037035E-4</v>
      </c>
      <c r="FO154" s="10" cm="1">
        <f t="array" aca="1" ref="FO154" ca="1">(1-$B$18)*SUMPRODUCT(OFFSET($BO$15,0,0,$B$14,1), 1*(_xlfn._xlws.FILTER(OFFSET($O$15,0,$DN154,$B$8,1),OFFSET($M$15,0,0,$B$8,1))=FO$13), 1*(_xlfn._xlws.FILTER(OFFSET($O$15,0,$DO154,$B$8,1),OFFSET($M$15,0,0,$B$8,1))=FO$14))   /   SUM(OFFSET($BO$15,0,0,$B$14,1)) + $B$18/($B$19*$B$19*($DN154&lt;&gt;$DO154) + $B$19*($DN154=$DO154))</f>
        <v>3.7037037037037035E-4</v>
      </c>
      <c r="FP154" s="10" cm="1">
        <f t="array" aca="1" ref="FP154" ca="1">(1-$B$18)*SUMPRODUCT(OFFSET($BO$15,0,0,$B$14,1), 1*(_xlfn._xlws.FILTER(OFFSET($O$15,0,$DN154,$B$8,1),OFFSET($M$15,0,0,$B$8,1))=FP$13), 1*(_xlfn._xlws.FILTER(OFFSET($O$15,0,$DO154,$B$8,1),OFFSET($M$15,0,0,$B$8,1))=FP$14))   /   SUM(OFFSET($BO$15,0,0,$B$14,1)) + $B$18/($B$19*$B$19*($DN154&lt;&gt;$DO154) + $B$19*($DN154=$DO154))</f>
        <v>3.7037037037037035E-4</v>
      </c>
      <c r="FQ154" s="10" cm="1">
        <f t="array" aca="1" ref="FQ154" ca="1">(1-$B$18)*SUMPRODUCT(OFFSET($BO$15,0,0,$B$14,1), 1*(_xlfn._xlws.FILTER(OFFSET($O$15,0,$DN154,$B$8,1),OFFSET($M$15,0,0,$B$8,1))=FQ$13), 1*(_xlfn._xlws.FILTER(OFFSET($O$15,0,$DO154,$B$8,1),OFFSET($M$15,0,0,$B$8,1))=FQ$14))   /   SUM(OFFSET($BO$15,0,0,$B$14,1)) + $B$18/($B$19*$B$19*($DN154&lt;&gt;$DO154) + $B$19*($DN154=$DO154))</f>
        <v>3.7037037037037035E-4</v>
      </c>
      <c r="FR154" s="10" cm="1">
        <f t="array" aca="1" ref="FR154" ca="1">(1-$B$18)*SUMPRODUCT(OFFSET($BO$15,0,0,$B$14,1), 1*(_xlfn._xlws.FILTER(OFFSET($O$15,0,$DN154,$B$8,1),OFFSET($M$15,0,0,$B$8,1))=FR$13), 1*(_xlfn._xlws.FILTER(OFFSET($O$15,0,$DO154,$B$8,1),OFFSET($M$15,0,0,$B$8,1))=FR$14))   /   SUM(OFFSET($BO$15,0,0,$B$14,1)) + $B$18/($B$19*$B$19*($DN154&lt;&gt;$DO154) + $B$19*($DN154=$DO154))</f>
        <v>0.97037037037037033</v>
      </c>
      <c r="FS154" s="10" cm="1">
        <f t="array" aca="1" ref="FS154" ca="1">(1-$B$18)*SUMPRODUCT(OFFSET($BO$15,0,0,$B$14,1), 1*(_xlfn._xlws.FILTER(OFFSET($O$15,0,$DN154,$B$8,1),OFFSET($M$15,0,0,$B$8,1))=FS$13), 1*(_xlfn._xlws.FILTER(OFFSET($O$15,0,$DO154,$B$8,1),OFFSET($M$15,0,0,$B$8,1))=FS$14))   /   SUM(OFFSET($BO$15,0,0,$B$14,1)) + $B$18/($B$19*$B$19*($DN154&lt;&gt;$DO154) + $B$19*($DN154=$DO154))</f>
        <v>3.7037037037037035E-4</v>
      </c>
      <c r="FT154" s="10" cm="1">
        <f t="array" aca="1" ref="FT154" ca="1">(1-$B$18)*SUMPRODUCT(OFFSET($BO$15,0,0,$B$14,1), 1*(_xlfn._xlws.FILTER(OFFSET($O$15,0,$DN154,$B$8,1),OFFSET($M$15,0,0,$B$8,1))=FT$13), 1*(_xlfn._xlws.FILTER(OFFSET($O$15,0,$DO154,$B$8,1),OFFSET($M$15,0,0,$B$8,1))=FT$14))   /   SUM(OFFSET($BO$15,0,0,$B$14,1)) + $B$18/($B$19*$B$19*($DN154&lt;&gt;$DO154) + $B$19*($DN154=$DO154))</f>
        <v>3.7037037037037035E-4</v>
      </c>
      <c r="FU154" s="10" cm="1">
        <f t="array" aca="1" ref="FU154" ca="1">(1-$B$18)*SUMPRODUCT(OFFSET($BO$15,0,0,$B$14,1), 1*(_xlfn._xlws.FILTER(OFFSET($O$15,0,$DN154,$B$8,1),OFFSET($M$15,0,0,$B$8,1))=FU$13), 1*(_xlfn._xlws.FILTER(OFFSET($O$15,0,$DO154,$B$8,1),OFFSET($M$15,0,0,$B$8,1))=FU$14))   /   SUM(OFFSET($BO$15,0,0,$B$14,1)) + $B$18/($B$19*$B$19*($DN154&lt;&gt;$DO154) + $B$19*($DN154=$DO154))</f>
        <v>3.7037037037037035E-4</v>
      </c>
      <c r="FV154" s="10" cm="1">
        <f t="array" aca="1" ref="FV154" ca="1">(1-$B$18)*SUMPRODUCT(OFFSET($BO$15,0,0,$B$14,1), 1*(_xlfn._xlws.FILTER(OFFSET($O$15,0,$DN154,$B$8,1),OFFSET($M$15,0,0,$B$8,1))=FV$13), 1*(_xlfn._xlws.FILTER(OFFSET($O$15,0,$DO154,$B$8,1),OFFSET($M$15,0,0,$B$8,1))=FV$14))   /   SUM(OFFSET($BO$15,0,0,$B$14,1)) + $B$18/($B$19*$B$19*($DN154&lt;&gt;$DO154) + $B$19*($DN154=$DO154))</f>
        <v>3.7037037037037035E-4</v>
      </c>
      <c r="FW154" s="10" cm="1">
        <f t="array" aca="1" ref="FW154" ca="1">(1-$B$18)*SUMPRODUCT(OFFSET($BO$15,0,0,$B$14,1), 1*(_xlfn._xlws.FILTER(OFFSET($O$15,0,$DN154,$B$8,1),OFFSET($M$15,0,0,$B$8,1))=FW$13), 1*(_xlfn._xlws.FILTER(OFFSET($O$15,0,$DO154,$B$8,1),OFFSET($M$15,0,0,$B$8,1))=FW$14))   /   SUM(OFFSET($BO$15,0,0,$B$14,1)) + $B$18/($B$19*$B$19*($DN154&lt;&gt;$DO154) + $B$19*($DN154=$DO154))</f>
        <v>3.7037037037037035E-4</v>
      </c>
      <c r="FX154" s="10" cm="1">
        <f t="array" aca="1" ref="FX154" ca="1">(1-$B$18)*SUMPRODUCT(OFFSET($BO$15,0,0,$B$14,1), 1*(_xlfn._xlws.FILTER(OFFSET($O$15,0,$DN154,$B$8,1),OFFSET($M$15,0,0,$B$8,1))=FX$13), 1*(_xlfn._xlws.FILTER(OFFSET($O$15,0,$DO154,$B$8,1),OFFSET($M$15,0,0,$B$8,1))=FX$14))   /   SUM(OFFSET($BO$15,0,0,$B$14,1)) + $B$18/($B$19*$B$19*($DN154&lt;&gt;$DO154) + $B$19*($DN154=$DO154))</f>
        <v>3.7037037037037035E-4</v>
      </c>
      <c r="FY154" s="10" cm="1">
        <f t="array" aca="1" ref="FY154" ca="1">(1-$B$18)*SUMPRODUCT(OFFSET($BO$15,0,0,$B$14,1), 1*(_xlfn._xlws.FILTER(OFFSET($O$15,0,$DN154,$B$8,1),OFFSET($M$15,0,0,$B$8,1))=FY$13), 1*(_xlfn._xlws.FILTER(OFFSET($O$15,0,$DO154,$B$8,1),OFFSET($M$15,0,0,$B$8,1))=FY$14))   /   SUM(OFFSET($BO$15,0,0,$B$14,1)) + $B$18/($B$19*$B$19*($DN154&lt;&gt;$DO154) + $B$19*($DN154=$DO154))</f>
        <v>3.7037037037037035E-4</v>
      </c>
      <c r="FZ154" s="10" cm="1">
        <f t="array" aca="1" ref="FZ154" ca="1">(1-$B$18)*SUMPRODUCT(OFFSET($BO$15,0,0,$B$14,1), 1*(_xlfn._xlws.FILTER(OFFSET($O$15,0,$DN154,$B$8,1),OFFSET($M$15,0,0,$B$8,1))=FZ$13), 1*(_xlfn._xlws.FILTER(OFFSET($O$15,0,$DO154,$B$8,1),OFFSET($M$15,0,0,$B$8,1))=FZ$14))   /   SUM(OFFSET($BO$15,0,0,$B$14,1)) + $B$18/($B$19*$B$19*($DN154&lt;&gt;$DO154) + $B$19*($DN154=$DO154))</f>
        <v>3.7037037037037035E-4</v>
      </c>
      <c r="GA154" s="10" cm="1">
        <f t="array" aca="1" ref="GA154" ca="1">(1-$B$18)*SUMPRODUCT(OFFSET($BO$15,0,0,$B$14,1), 1*(_xlfn._xlws.FILTER(OFFSET($O$15,0,$DN154,$B$8,1),OFFSET($M$15,0,0,$B$8,1))=GA$13), 1*(_xlfn._xlws.FILTER(OFFSET($O$15,0,$DO154,$B$8,1),OFFSET($M$15,0,0,$B$8,1))=GA$14))   /   SUM(OFFSET($BO$15,0,0,$B$14,1)) + $B$18/($B$19*$B$19*($DN154&lt;&gt;$DO154) + $B$19*($DN154=$DO154))</f>
        <v>3.7037037037037035E-4</v>
      </c>
    </row>
    <row r="155" spans="118:183" x14ac:dyDescent="0.2">
      <c r="DN155" cm="1">
        <f t="array" aca="1" ref="DN155" ca="1">INDEX(_xlfn.ANCHORARRAY($CP$15), 1 + INT((ROWS($DO$15:$DO155) - 1) / ROWS(_xlfn.ANCHORARRAY($CP$15))))</f>
        <v>7</v>
      </c>
      <c r="DO155" cm="1">
        <f t="array" aca="1" ref="DO155" ca="1">INDEX(_xlfn.ANCHORARRAY($CP$15),1+MOD(ROWS($DO$15:$DO155)-1,ROWS(_xlfn.ANCHORARRAY($CP$15))))</f>
        <v>7</v>
      </c>
      <c r="DP155" s="10" cm="1">
        <f t="array" aca="1" ref="DP155" ca="1">(1-$B$18)*SUMPRODUCT(OFFSET($BO$15,0,0,$B$14,1), 1*(_xlfn._xlws.FILTER(OFFSET($O$15,0,$DN155,$B$8,1),OFFSET($M$15,0,0,$B$8,1))=DP$13), 1*(_xlfn._xlws.FILTER(OFFSET($O$15,0,$DO155,$B$8,1),OFFSET($M$15,0,0,$B$8,1))=DP$14))   /   SUM(OFFSET($BO$15,0,0,$B$14,1)) + $B$18/($B$19*$B$19*($DN155&lt;&gt;$DO155) + $B$19*($DN155=$DO155))</f>
        <v>3.3333333333333331E-3</v>
      </c>
      <c r="DQ155" s="10" cm="1">
        <f t="array" aca="1" ref="DQ155" ca="1">(1-$B$18)*SUMPRODUCT(OFFSET($BO$15,0,0,$B$14,1), 1*(_xlfn._xlws.FILTER(OFFSET($O$15,0,$DN155,$B$8,1),OFFSET($M$15,0,0,$B$8,1))=DQ$13), 1*(_xlfn._xlws.FILTER(OFFSET($O$15,0,$DO155,$B$8,1),OFFSET($M$15,0,0,$B$8,1))=DQ$14))   /   SUM(OFFSET($BO$15,0,0,$B$14,1)) + $B$18/($B$19*$B$19*($DN155&lt;&gt;$DO155) + $B$19*($DN155=$DO155))</f>
        <v>3.3333333333333331E-3</v>
      </c>
      <c r="DR155" s="10" cm="1">
        <f t="array" aca="1" ref="DR155" ca="1">(1-$B$18)*SUMPRODUCT(OFFSET($BO$15,0,0,$B$14,1), 1*(_xlfn._xlws.FILTER(OFFSET($O$15,0,$DN155,$B$8,1),OFFSET($M$15,0,0,$B$8,1))=DR$13), 1*(_xlfn._xlws.FILTER(OFFSET($O$15,0,$DO155,$B$8,1),OFFSET($M$15,0,0,$B$8,1))=DR$14))   /   SUM(OFFSET($BO$15,0,0,$B$14,1)) + $B$18/($B$19*$B$19*($DN155&lt;&gt;$DO155) + $B$19*($DN155=$DO155))</f>
        <v>3.3333333333333331E-3</v>
      </c>
      <c r="DS155" s="10" cm="1">
        <f t="array" aca="1" ref="DS155" ca="1">(1-$B$18)*SUMPRODUCT(OFFSET($BO$15,0,0,$B$14,1), 1*(_xlfn._xlws.FILTER(OFFSET($O$15,0,$DN155,$B$8,1),OFFSET($M$15,0,0,$B$8,1))=DS$13), 1*(_xlfn._xlws.FILTER(OFFSET($O$15,0,$DO155,$B$8,1),OFFSET($M$15,0,0,$B$8,1))=DS$14))   /   SUM(OFFSET($BO$15,0,0,$B$14,1)) + $B$18/($B$19*$B$19*($DN155&lt;&gt;$DO155) + $B$19*($DN155=$DO155))</f>
        <v>3.3333333333333331E-3</v>
      </c>
      <c r="DT155" s="10" cm="1">
        <f t="array" aca="1" ref="DT155" ca="1">(1-$B$18)*SUMPRODUCT(OFFSET($BO$15,0,0,$B$14,1), 1*(_xlfn._xlws.FILTER(OFFSET($O$15,0,$DN155,$B$8,1),OFFSET($M$15,0,0,$B$8,1))=DT$13), 1*(_xlfn._xlws.FILTER(OFFSET($O$15,0,$DO155,$B$8,1),OFFSET($M$15,0,0,$B$8,1))=DT$14))   /   SUM(OFFSET($BO$15,0,0,$B$14,1)) + $B$18/($B$19*$B$19*($DN155&lt;&gt;$DO155) + $B$19*($DN155=$DO155))</f>
        <v>3.3333333333333331E-3</v>
      </c>
      <c r="DU155" s="10" cm="1">
        <f t="array" aca="1" ref="DU155" ca="1">(1-$B$18)*SUMPRODUCT(OFFSET($BO$15,0,0,$B$14,1), 1*(_xlfn._xlws.FILTER(OFFSET($O$15,0,$DN155,$B$8,1),OFFSET($M$15,0,0,$B$8,1))=DU$13), 1*(_xlfn._xlws.FILTER(OFFSET($O$15,0,$DO155,$B$8,1),OFFSET($M$15,0,0,$B$8,1))=DU$14))   /   SUM(OFFSET($BO$15,0,0,$B$14,1)) + $B$18/($B$19*$B$19*($DN155&lt;&gt;$DO155) + $B$19*($DN155=$DO155))</f>
        <v>3.3333333333333331E-3</v>
      </c>
      <c r="DV155" s="10" cm="1">
        <f t="array" aca="1" ref="DV155" ca="1">(1-$B$18)*SUMPRODUCT(OFFSET($BO$15,0,0,$B$14,1), 1*(_xlfn._xlws.FILTER(OFFSET($O$15,0,$DN155,$B$8,1),OFFSET($M$15,0,0,$B$8,1))=DV$13), 1*(_xlfn._xlws.FILTER(OFFSET($O$15,0,$DO155,$B$8,1),OFFSET($M$15,0,0,$B$8,1))=DV$14))   /   SUM(OFFSET($BO$15,0,0,$B$14,1)) + $B$18/($B$19*$B$19*($DN155&lt;&gt;$DO155) + $B$19*($DN155=$DO155))</f>
        <v>3.3333333333333331E-3</v>
      </c>
      <c r="DW155" s="10" cm="1">
        <f t="array" aca="1" ref="DW155" ca="1">(1-$B$18)*SUMPRODUCT(OFFSET($BO$15,0,0,$B$14,1), 1*(_xlfn._xlws.FILTER(OFFSET($O$15,0,$DN155,$B$8,1),OFFSET($M$15,0,0,$B$8,1))=DW$13), 1*(_xlfn._xlws.FILTER(OFFSET($O$15,0,$DO155,$B$8,1),OFFSET($M$15,0,0,$B$8,1))=DW$14))   /   SUM(OFFSET($BO$15,0,0,$B$14,1)) + $B$18/($B$19*$B$19*($DN155&lt;&gt;$DO155) + $B$19*($DN155=$DO155))</f>
        <v>3.3333333333333331E-3</v>
      </c>
      <c r="DX155" s="10" cm="1">
        <f t="array" aca="1" ref="DX155" ca="1">(1-$B$18)*SUMPRODUCT(OFFSET($BO$15,0,0,$B$14,1), 1*(_xlfn._xlws.FILTER(OFFSET($O$15,0,$DN155,$B$8,1),OFFSET($M$15,0,0,$B$8,1))=DX$13), 1*(_xlfn._xlws.FILTER(OFFSET($O$15,0,$DO155,$B$8,1),OFFSET($M$15,0,0,$B$8,1))=DX$14))   /   SUM(OFFSET($BO$15,0,0,$B$14,1)) + $B$18/($B$19*$B$19*($DN155&lt;&gt;$DO155) + $B$19*($DN155=$DO155))</f>
        <v>3.3333333333333331E-3</v>
      </c>
      <c r="DY155" s="10" cm="1">
        <f t="array" aca="1" ref="DY155" ca="1">(1-$B$18)*SUMPRODUCT(OFFSET($BO$15,0,0,$B$14,1), 1*(_xlfn._xlws.FILTER(OFFSET($O$15,0,$DN155,$B$8,1),OFFSET($M$15,0,0,$B$8,1))=DY$13), 1*(_xlfn._xlws.FILTER(OFFSET($O$15,0,$DO155,$B$8,1),OFFSET($M$15,0,0,$B$8,1))=DY$14))   /   SUM(OFFSET($BO$15,0,0,$B$14,1)) + $B$18/($B$19*$B$19*($DN155&lt;&gt;$DO155) + $B$19*($DN155=$DO155))</f>
        <v>3.3333333333333331E-3</v>
      </c>
      <c r="DZ155" s="10" cm="1">
        <f t="array" aca="1" ref="DZ155" ca="1">(1-$B$18)*SUMPRODUCT(OFFSET($BO$15,0,0,$B$14,1), 1*(_xlfn._xlws.FILTER(OFFSET($O$15,0,$DN155,$B$8,1),OFFSET($M$15,0,0,$B$8,1))=DZ$13), 1*(_xlfn._xlws.FILTER(OFFSET($O$15,0,$DO155,$B$8,1),OFFSET($M$15,0,0,$B$8,1))=DZ$14))   /   SUM(OFFSET($BO$15,0,0,$B$14,1)) + $B$18/($B$19*$B$19*($DN155&lt;&gt;$DO155) + $B$19*($DN155=$DO155))</f>
        <v>3.3333333333333331E-3</v>
      </c>
      <c r="EA155" s="10" cm="1">
        <f t="array" aca="1" ref="EA155" ca="1">(1-$B$18)*SUMPRODUCT(OFFSET($BO$15,0,0,$B$14,1), 1*(_xlfn._xlws.FILTER(OFFSET($O$15,0,$DN155,$B$8,1),OFFSET($M$15,0,0,$B$8,1))=EA$13), 1*(_xlfn._xlws.FILTER(OFFSET($O$15,0,$DO155,$B$8,1),OFFSET($M$15,0,0,$B$8,1))=EA$14))   /   SUM(OFFSET($BO$15,0,0,$B$14,1)) + $B$18/($B$19*$B$19*($DN155&lt;&gt;$DO155) + $B$19*($DN155=$DO155))</f>
        <v>3.3333333333333331E-3</v>
      </c>
      <c r="EB155" s="10" cm="1">
        <f t="array" aca="1" ref="EB155" ca="1">(1-$B$18)*SUMPRODUCT(OFFSET($BO$15,0,0,$B$14,1), 1*(_xlfn._xlws.FILTER(OFFSET($O$15,0,$DN155,$B$8,1),OFFSET($M$15,0,0,$B$8,1))=EB$13), 1*(_xlfn._xlws.FILTER(OFFSET($O$15,0,$DO155,$B$8,1),OFFSET($M$15,0,0,$B$8,1))=EB$14))   /   SUM(OFFSET($BO$15,0,0,$B$14,1)) + $B$18/($B$19*$B$19*($DN155&lt;&gt;$DO155) + $B$19*($DN155=$DO155))</f>
        <v>3.3333333333333331E-3</v>
      </c>
      <c r="EC155" s="10" cm="1">
        <f t="array" aca="1" ref="EC155" ca="1">(1-$B$18)*SUMPRODUCT(OFFSET($BO$15,0,0,$B$14,1), 1*(_xlfn._xlws.FILTER(OFFSET($O$15,0,$DN155,$B$8,1),OFFSET($M$15,0,0,$B$8,1))=EC$13), 1*(_xlfn._xlws.FILTER(OFFSET($O$15,0,$DO155,$B$8,1),OFFSET($M$15,0,0,$B$8,1))=EC$14))   /   SUM(OFFSET($BO$15,0,0,$B$14,1)) + $B$18/($B$19*$B$19*($DN155&lt;&gt;$DO155) + $B$19*($DN155=$DO155))</f>
        <v>3.3333333333333331E-3</v>
      </c>
      <c r="ED155" s="10" cm="1">
        <f t="array" aca="1" ref="ED155" ca="1">(1-$B$18)*SUMPRODUCT(OFFSET($BO$15,0,0,$B$14,1), 1*(_xlfn._xlws.FILTER(OFFSET($O$15,0,$DN155,$B$8,1),OFFSET($M$15,0,0,$B$8,1))=ED$13), 1*(_xlfn._xlws.FILTER(OFFSET($O$15,0,$DO155,$B$8,1),OFFSET($M$15,0,0,$B$8,1))=ED$14))   /   SUM(OFFSET($BO$15,0,0,$B$14,1)) + $B$18/($B$19*$B$19*($DN155&lt;&gt;$DO155) + $B$19*($DN155=$DO155))</f>
        <v>3.3333333333333331E-3</v>
      </c>
      <c r="EE155" s="10" cm="1">
        <f t="array" aca="1" ref="EE155" ca="1">(1-$B$18)*SUMPRODUCT(OFFSET($BO$15,0,0,$B$14,1), 1*(_xlfn._xlws.FILTER(OFFSET($O$15,0,$DN155,$B$8,1),OFFSET($M$15,0,0,$B$8,1))=EE$13), 1*(_xlfn._xlws.FILTER(OFFSET($O$15,0,$DO155,$B$8,1),OFFSET($M$15,0,0,$B$8,1))=EE$14))   /   SUM(OFFSET($BO$15,0,0,$B$14,1)) + $B$18/($B$19*$B$19*($DN155&lt;&gt;$DO155) + $B$19*($DN155=$DO155))</f>
        <v>3.3333333333333331E-3</v>
      </c>
      <c r="EF155" s="10" cm="1">
        <f t="array" aca="1" ref="EF155" ca="1">(1-$B$18)*SUMPRODUCT(OFFSET($BO$15,0,0,$B$14,1), 1*(_xlfn._xlws.FILTER(OFFSET($O$15,0,$DN155,$B$8,1),OFFSET($M$15,0,0,$B$8,1))=EF$13), 1*(_xlfn._xlws.FILTER(OFFSET($O$15,0,$DO155,$B$8,1),OFFSET($M$15,0,0,$B$8,1))=EF$14))   /   SUM(OFFSET($BO$15,0,0,$B$14,1)) + $B$18/($B$19*$B$19*($DN155&lt;&gt;$DO155) + $B$19*($DN155=$DO155))</f>
        <v>3.3333333333333331E-3</v>
      </c>
      <c r="EG155" s="10" cm="1">
        <f t="array" aca="1" ref="EG155" ca="1">(1-$B$18)*SUMPRODUCT(OFFSET($BO$15,0,0,$B$14,1), 1*(_xlfn._xlws.FILTER(OFFSET($O$15,0,$DN155,$B$8,1),OFFSET($M$15,0,0,$B$8,1))=EG$13), 1*(_xlfn._xlws.FILTER(OFFSET($O$15,0,$DO155,$B$8,1),OFFSET($M$15,0,0,$B$8,1))=EG$14))   /   SUM(OFFSET($BO$15,0,0,$B$14,1)) + $B$18/($B$19*$B$19*($DN155&lt;&gt;$DO155) + $B$19*($DN155=$DO155))</f>
        <v>3.3333333333333331E-3</v>
      </c>
      <c r="EH155" s="10" cm="1">
        <f t="array" aca="1" ref="EH155" ca="1">(1-$B$18)*SUMPRODUCT(OFFSET($BO$15,0,0,$B$14,1), 1*(_xlfn._xlws.FILTER(OFFSET($O$15,0,$DN155,$B$8,1),OFFSET($M$15,0,0,$B$8,1))=EH$13), 1*(_xlfn._xlws.FILTER(OFFSET($O$15,0,$DO155,$B$8,1),OFFSET($M$15,0,0,$B$8,1))=EH$14))   /   SUM(OFFSET($BO$15,0,0,$B$14,1)) + $B$18/($B$19*$B$19*($DN155&lt;&gt;$DO155) + $B$19*($DN155=$DO155))</f>
        <v>3.3333333333333331E-3</v>
      </c>
      <c r="EI155" s="10" cm="1">
        <f t="array" aca="1" ref="EI155" ca="1">(1-$B$18)*SUMPRODUCT(OFFSET($BO$15,0,0,$B$14,1), 1*(_xlfn._xlws.FILTER(OFFSET($O$15,0,$DN155,$B$8,1),OFFSET($M$15,0,0,$B$8,1))=EI$13), 1*(_xlfn._xlws.FILTER(OFFSET($O$15,0,$DO155,$B$8,1),OFFSET($M$15,0,0,$B$8,1))=EI$14))   /   SUM(OFFSET($BO$15,0,0,$B$14,1)) + $B$18/($B$19*$B$19*($DN155&lt;&gt;$DO155) + $B$19*($DN155=$DO155))</f>
        <v>3.3333333333333331E-3</v>
      </c>
      <c r="EJ155" s="10" cm="1">
        <f t="array" aca="1" ref="EJ155" ca="1">(1-$B$18)*SUMPRODUCT(OFFSET($BO$15,0,0,$B$14,1), 1*(_xlfn._xlws.FILTER(OFFSET($O$15,0,$DN155,$B$8,1),OFFSET($M$15,0,0,$B$8,1))=EJ$13), 1*(_xlfn._xlws.FILTER(OFFSET($O$15,0,$DO155,$B$8,1),OFFSET($M$15,0,0,$B$8,1))=EJ$14))   /   SUM(OFFSET($BO$15,0,0,$B$14,1)) + $B$18/($B$19*$B$19*($DN155&lt;&gt;$DO155) + $B$19*($DN155=$DO155))</f>
        <v>3.3333333333333331E-3</v>
      </c>
      <c r="EK155" s="10" cm="1">
        <f t="array" aca="1" ref="EK155" ca="1">(1-$B$18)*SUMPRODUCT(OFFSET($BO$15,0,0,$B$14,1), 1*(_xlfn._xlws.FILTER(OFFSET($O$15,0,$DN155,$B$8,1),OFFSET($M$15,0,0,$B$8,1))=EK$13), 1*(_xlfn._xlws.FILTER(OFFSET($O$15,0,$DO155,$B$8,1),OFFSET($M$15,0,0,$B$8,1))=EK$14))   /   SUM(OFFSET($BO$15,0,0,$B$14,1)) + $B$18/($B$19*$B$19*($DN155&lt;&gt;$DO155) + $B$19*($DN155=$DO155))</f>
        <v>3.3333333333333331E-3</v>
      </c>
      <c r="EL155" s="10" cm="1">
        <f t="array" aca="1" ref="EL155" ca="1">(1-$B$18)*SUMPRODUCT(OFFSET($BO$15,0,0,$B$14,1), 1*(_xlfn._xlws.FILTER(OFFSET($O$15,0,$DN155,$B$8,1),OFFSET($M$15,0,0,$B$8,1))=EL$13), 1*(_xlfn._xlws.FILTER(OFFSET($O$15,0,$DO155,$B$8,1),OFFSET($M$15,0,0,$B$8,1))=EL$14))   /   SUM(OFFSET($BO$15,0,0,$B$14,1)) + $B$18/($B$19*$B$19*($DN155&lt;&gt;$DO155) + $B$19*($DN155=$DO155))</f>
        <v>3.3333333333333331E-3</v>
      </c>
      <c r="EM155" s="10" cm="1">
        <f t="array" aca="1" ref="EM155" ca="1">(1-$B$18)*SUMPRODUCT(OFFSET($BO$15,0,0,$B$14,1), 1*(_xlfn._xlws.FILTER(OFFSET($O$15,0,$DN155,$B$8,1),OFFSET($M$15,0,0,$B$8,1))=EM$13), 1*(_xlfn._xlws.FILTER(OFFSET($O$15,0,$DO155,$B$8,1),OFFSET($M$15,0,0,$B$8,1))=EM$14))   /   SUM(OFFSET($BO$15,0,0,$B$14,1)) + $B$18/($B$19*$B$19*($DN155&lt;&gt;$DO155) + $B$19*($DN155=$DO155))</f>
        <v>3.3333333333333331E-3</v>
      </c>
      <c r="EN155" s="10" cm="1">
        <f t="array" aca="1" ref="EN155" ca="1">(1-$B$18)*SUMPRODUCT(OFFSET($BO$15,0,0,$B$14,1), 1*(_xlfn._xlws.FILTER(OFFSET($O$15,0,$DN155,$B$8,1),OFFSET($M$15,0,0,$B$8,1))=EN$13), 1*(_xlfn._xlws.FILTER(OFFSET($O$15,0,$DO155,$B$8,1),OFFSET($M$15,0,0,$B$8,1))=EN$14))   /   SUM(OFFSET($BO$15,0,0,$B$14,1)) + $B$18/($B$19*$B$19*($DN155&lt;&gt;$DO155) + $B$19*($DN155=$DO155))</f>
        <v>3.3333333333333331E-3</v>
      </c>
      <c r="EO155" s="10" cm="1">
        <f t="array" aca="1" ref="EO155" ca="1">(1-$B$18)*SUMPRODUCT(OFFSET($BO$15,0,0,$B$14,1), 1*(_xlfn._xlws.FILTER(OFFSET($O$15,0,$DN155,$B$8,1),OFFSET($M$15,0,0,$B$8,1))=EO$13), 1*(_xlfn._xlws.FILTER(OFFSET($O$15,0,$DO155,$B$8,1),OFFSET($M$15,0,0,$B$8,1))=EO$14))   /   SUM(OFFSET($BO$15,0,0,$B$14,1)) + $B$18/($B$19*$B$19*($DN155&lt;&gt;$DO155) + $B$19*($DN155=$DO155))</f>
        <v>3.3333333333333331E-3</v>
      </c>
      <c r="EP155" s="10" cm="1">
        <f t="array" aca="1" ref="EP155" ca="1">(1-$B$18)*SUMPRODUCT(OFFSET($BO$15,0,0,$B$14,1), 1*(_xlfn._xlws.FILTER(OFFSET($O$15,0,$DN155,$B$8,1),OFFSET($M$15,0,0,$B$8,1))=EP$13), 1*(_xlfn._xlws.FILTER(OFFSET($O$15,0,$DO155,$B$8,1),OFFSET($M$15,0,0,$B$8,1))=EP$14))   /   SUM(OFFSET($BO$15,0,0,$B$14,1)) + $B$18/($B$19*$B$19*($DN155&lt;&gt;$DO155) + $B$19*($DN155=$DO155))</f>
        <v>3.3333333333333331E-3</v>
      </c>
      <c r="EQ155" s="10" cm="1">
        <f t="array" aca="1" ref="EQ155" ca="1">(1-$B$18)*SUMPRODUCT(OFFSET($BO$15,0,0,$B$14,1), 1*(_xlfn._xlws.FILTER(OFFSET($O$15,0,$DN155,$B$8,1),OFFSET($M$15,0,0,$B$8,1))=EQ$13), 1*(_xlfn._xlws.FILTER(OFFSET($O$15,0,$DO155,$B$8,1),OFFSET($M$15,0,0,$B$8,1))=EQ$14))   /   SUM(OFFSET($BO$15,0,0,$B$14,1)) + $B$18/($B$19*$B$19*($DN155&lt;&gt;$DO155) + $B$19*($DN155=$DO155))</f>
        <v>3.3333333333333331E-3</v>
      </c>
      <c r="ER155" s="10" cm="1">
        <f t="array" aca="1" ref="ER155" ca="1">(1-$B$18)*SUMPRODUCT(OFFSET($BO$15,0,0,$B$14,1), 1*(_xlfn._xlws.FILTER(OFFSET($O$15,0,$DN155,$B$8,1),OFFSET($M$15,0,0,$B$8,1))=ER$13), 1*(_xlfn._xlws.FILTER(OFFSET($O$15,0,$DO155,$B$8,1),OFFSET($M$15,0,0,$B$8,1))=ER$14))   /   SUM(OFFSET($BO$15,0,0,$B$14,1)) + $B$18/($B$19*$B$19*($DN155&lt;&gt;$DO155) + $B$19*($DN155=$DO155))</f>
        <v>3.3333333333333331E-3</v>
      </c>
      <c r="ES155" s="10" cm="1">
        <f t="array" aca="1" ref="ES155" ca="1">(1-$B$18)*SUMPRODUCT(OFFSET($BO$15,0,0,$B$14,1), 1*(_xlfn._xlws.FILTER(OFFSET($O$15,0,$DN155,$B$8,1),OFFSET($M$15,0,0,$B$8,1))=ES$13), 1*(_xlfn._xlws.FILTER(OFFSET($O$15,0,$DO155,$B$8,1),OFFSET($M$15,0,0,$B$8,1))=ES$14))   /   SUM(OFFSET($BO$15,0,0,$B$14,1)) + $B$18/($B$19*$B$19*($DN155&lt;&gt;$DO155) + $B$19*($DN155=$DO155))</f>
        <v>3.3333333333333331E-3</v>
      </c>
      <c r="ET155" s="10" cm="1">
        <f t="array" aca="1" ref="ET155" ca="1">(1-$B$18)*SUMPRODUCT(OFFSET($BO$15,0,0,$B$14,1), 1*(_xlfn._xlws.FILTER(OFFSET($O$15,0,$DN155,$B$8,1),OFFSET($M$15,0,0,$B$8,1))=ET$13), 1*(_xlfn._xlws.FILTER(OFFSET($O$15,0,$DO155,$B$8,1),OFFSET($M$15,0,0,$B$8,1))=ET$14))   /   SUM(OFFSET($BO$15,0,0,$B$14,1)) + $B$18/($B$19*$B$19*($DN155&lt;&gt;$DO155) + $B$19*($DN155=$DO155))</f>
        <v>3.3333333333333331E-3</v>
      </c>
      <c r="EU155" s="10" cm="1">
        <f t="array" aca="1" ref="EU155" ca="1">(1-$B$18)*SUMPRODUCT(OFFSET($BO$15,0,0,$B$14,1), 1*(_xlfn._xlws.FILTER(OFFSET($O$15,0,$DN155,$B$8,1),OFFSET($M$15,0,0,$B$8,1))=EU$13), 1*(_xlfn._xlws.FILTER(OFFSET($O$15,0,$DO155,$B$8,1),OFFSET($M$15,0,0,$B$8,1))=EU$14))   /   SUM(OFFSET($BO$15,0,0,$B$14,1)) + $B$18/($B$19*$B$19*($DN155&lt;&gt;$DO155) + $B$19*($DN155=$DO155))</f>
        <v>3.3333333333333331E-3</v>
      </c>
      <c r="EV155" s="10" cm="1">
        <f t="array" aca="1" ref="EV155" ca="1">(1-$B$18)*SUMPRODUCT(OFFSET($BO$15,0,0,$B$14,1), 1*(_xlfn._xlws.FILTER(OFFSET($O$15,0,$DN155,$B$8,1),OFFSET($M$15,0,0,$B$8,1))=EV$13), 1*(_xlfn._xlws.FILTER(OFFSET($O$15,0,$DO155,$B$8,1),OFFSET($M$15,0,0,$B$8,1))=EV$14))   /   SUM(OFFSET($BO$15,0,0,$B$14,1)) + $B$18/($B$19*$B$19*($DN155&lt;&gt;$DO155) + $B$19*($DN155=$DO155))</f>
        <v>3.3333333333333331E-3</v>
      </c>
      <c r="EW155" s="10" cm="1">
        <f t="array" aca="1" ref="EW155" ca="1">(1-$B$18)*SUMPRODUCT(OFFSET($BO$15,0,0,$B$14,1), 1*(_xlfn._xlws.FILTER(OFFSET($O$15,0,$DN155,$B$8,1),OFFSET($M$15,0,0,$B$8,1))=EW$13), 1*(_xlfn._xlws.FILTER(OFFSET($O$15,0,$DO155,$B$8,1),OFFSET($M$15,0,0,$B$8,1))=EW$14))   /   SUM(OFFSET($BO$15,0,0,$B$14,1)) + $B$18/($B$19*$B$19*($DN155&lt;&gt;$DO155) + $B$19*($DN155=$DO155))</f>
        <v>3.3333333333333331E-3</v>
      </c>
      <c r="EX155" s="10" cm="1">
        <f t="array" aca="1" ref="EX155" ca="1">(1-$B$18)*SUMPRODUCT(OFFSET($BO$15,0,0,$B$14,1), 1*(_xlfn._xlws.FILTER(OFFSET($O$15,0,$DN155,$B$8,1),OFFSET($M$15,0,0,$B$8,1))=EX$13), 1*(_xlfn._xlws.FILTER(OFFSET($O$15,0,$DO155,$B$8,1),OFFSET($M$15,0,0,$B$8,1))=EX$14))   /   SUM(OFFSET($BO$15,0,0,$B$14,1)) + $B$18/($B$19*$B$19*($DN155&lt;&gt;$DO155) + $B$19*($DN155=$DO155))</f>
        <v>3.3333333333333331E-3</v>
      </c>
      <c r="EY155" s="10" cm="1">
        <f t="array" aca="1" ref="EY155" ca="1">(1-$B$18)*SUMPRODUCT(OFFSET($BO$15,0,0,$B$14,1), 1*(_xlfn._xlws.FILTER(OFFSET($O$15,0,$DN155,$B$8,1),OFFSET($M$15,0,0,$B$8,1))=EY$13), 1*(_xlfn._xlws.FILTER(OFFSET($O$15,0,$DO155,$B$8,1),OFFSET($M$15,0,0,$B$8,1))=EY$14))   /   SUM(OFFSET($BO$15,0,0,$B$14,1)) + $B$18/($B$19*$B$19*($DN155&lt;&gt;$DO155) + $B$19*($DN155=$DO155))</f>
        <v>3.3333333333333331E-3</v>
      </c>
      <c r="EZ155" s="10" cm="1">
        <f t="array" aca="1" ref="EZ155" ca="1">(1-$B$18)*SUMPRODUCT(OFFSET($BO$15,0,0,$B$14,1), 1*(_xlfn._xlws.FILTER(OFFSET($O$15,0,$DN155,$B$8,1),OFFSET($M$15,0,0,$B$8,1))=EZ$13), 1*(_xlfn._xlws.FILTER(OFFSET($O$15,0,$DO155,$B$8,1),OFFSET($M$15,0,0,$B$8,1))=EZ$14))   /   SUM(OFFSET($BO$15,0,0,$B$14,1)) + $B$18/($B$19*$B$19*($DN155&lt;&gt;$DO155) + $B$19*($DN155=$DO155))</f>
        <v>3.3333333333333331E-3</v>
      </c>
      <c r="FA155" s="10" cm="1">
        <f t="array" aca="1" ref="FA155" ca="1">(1-$B$18)*SUMPRODUCT(OFFSET($BO$15,0,0,$B$14,1), 1*(_xlfn._xlws.FILTER(OFFSET($O$15,0,$DN155,$B$8,1),OFFSET($M$15,0,0,$B$8,1))=FA$13), 1*(_xlfn._xlws.FILTER(OFFSET($O$15,0,$DO155,$B$8,1),OFFSET($M$15,0,0,$B$8,1))=FA$14))   /   SUM(OFFSET($BO$15,0,0,$B$14,1)) + $B$18/($B$19*$B$19*($DN155&lt;&gt;$DO155) + $B$19*($DN155=$DO155))</f>
        <v>3.3333333333333331E-3</v>
      </c>
      <c r="FB155" s="10" cm="1">
        <f t="array" aca="1" ref="FB155" ca="1">(1-$B$18)*SUMPRODUCT(OFFSET($BO$15,0,0,$B$14,1), 1*(_xlfn._xlws.FILTER(OFFSET($O$15,0,$DN155,$B$8,1),OFFSET($M$15,0,0,$B$8,1))=FB$13), 1*(_xlfn._xlws.FILTER(OFFSET($O$15,0,$DO155,$B$8,1),OFFSET($M$15,0,0,$B$8,1))=FB$14))   /   SUM(OFFSET($BO$15,0,0,$B$14,1)) + $B$18/($B$19*$B$19*($DN155&lt;&gt;$DO155) + $B$19*($DN155=$DO155))</f>
        <v>3.3333333333333331E-3</v>
      </c>
      <c r="FC155" s="10" cm="1">
        <f t="array" aca="1" ref="FC155" ca="1">(1-$B$18)*SUMPRODUCT(OFFSET($BO$15,0,0,$B$14,1), 1*(_xlfn._xlws.FILTER(OFFSET($O$15,0,$DN155,$B$8,1),OFFSET($M$15,0,0,$B$8,1))=FC$13), 1*(_xlfn._xlws.FILTER(OFFSET($O$15,0,$DO155,$B$8,1),OFFSET($M$15,0,0,$B$8,1))=FC$14))   /   SUM(OFFSET($BO$15,0,0,$B$14,1)) + $B$18/($B$19*$B$19*($DN155&lt;&gt;$DO155) + $B$19*($DN155=$DO155))</f>
        <v>3.3333333333333331E-3</v>
      </c>
      <c r="FD155" s="10" cm="1">
        <f t="array" aca="1" ref="FD155" ca="1">(1-$B$18)*SUMPRODUCT(OFFSET($BO$15,0,0,$B$14,1), 1*(_xlfn._xlws.FILTER(OFFSET($O$15,0,$DN155,$B$8,1),OFFSET($M$15,0,0,$B$8,1))=FD$13), 1*(_xlfn._xlws.FILTER(OFFSET($O$15,0,$DO155,$B$8,1),OFFSET($M$15,0,0,$B$8,1))=FD$14))   /   SUM(OFFSET($BO$15,0,0,$B$14,1)) + $B$18/($B$19*$B$19*($DN155&lt;&gt;$DO155) + $B$19*($DN155=$DO155))</f>
        <v>3.3333333333333331E-3</v>
      </c>
      <c r="FE155" s="10" cm="1">
        <f t="array" aca="1" ref="FE155" ca="1">(1-$B$18)*SUMPRODUCT(OFFSET($BO$15,0,0,$B$14,1), 1*(_xlfn._xlws.FILTER(OFFSET($O$15,0,$DN155,$B$8,1),OFFSET($M$15,0,0,$B$8,1))=FE$13), 1*(_xlfn._xlws.FILTER(OFFSET($O$15,0,$DO155,$B$8,1),OFFSET($M$15,0,0,$B$8,1))=FE$14))   /   SUM(OFFSET($BO$15,0,0,$B$14,1)) + $B$18/($B$19*$B$19*($DN155&lt;&gt;$DO155) + $B$19*($DN155=$DO155))</f>
        <v>3.3333333333333331E-3</v>
      </c>
      <c r="FF155" s="10" cm="1">
        <f t="array" aca="1" ref="FF155" ca="1">(1-$B$18)*SUMPRODUCT(OFFSET($BO$15,0,0,$B$14,1), 1*(_xlfn._xlws.FILTER(OFFSET($O$15,0,$DN155,$B$8,1),OFFSET($M$15,0,0,$B$8,1))=FF$13), 1*(_xlfn._xlws.FILTER(OFFSET($O$15,0,$DO155,$B$8,1),OFFSET($M$15,0,0,$B$8,1))=FF$14))   /   SUM(OFFSET($BO$15,0,0,$B$14,1)) + $B$18/($B$19*$B$19*($DN155&lt;&gt;$DO155) + $B$19*($DN155=$DO155))</f>
        <v>3.3333333333333331E-3</v>
      </c>
      <c r="FG155" s="10" cm="1">
        <f t="array" aca="1" ref="FG155" ca="1">(1-$B$18)*SUMPRODUCT(OFFSET($BO$15,0,0,$B$14,1), 1*(_xlfn._xlws.FILTER(OFFSET($O$15,0,$DN155,$B$8,1),OFFSET($M$15,0,0,$B$8,1))=FG$13), 1*(_xlfn._xlws.FILTER(OFFSET($O$15,0,$DO155,$B$8,1),OFFSET($M$15,0,0,$B$8,1))=FG$14))   /   SUM(OFFSET($BO$15,0,0,$B$14,1)) + $B$18/($B$19*$B$19*($DN155&lt;&gt;$DO155) + $B$19*($DN155=$DO155))</f>
        <v>3.3333333333333331E-3</v>
      </c>
      <c r="FH155" s="10" cm="1">
        <f t="array" aca="1" ref="FH155" ca="1">(1-$B$18)*SUMPRODUCT(OFFSET($BO$15,0,0,$B$14,1), 1*(_xlfn._xlws.FILTER(OFFSET($O$15,0,$DN155,$B$8,1),OFFSET($M$15,0,0,$B$8,1))=FH$13), 1*(_xlfn._xlws.FILTER(OFFSET($O$15,0,$DO155,$B$8,1),OFFSET($M$15,0,0,$B$8,1))=FH$14))   /   SUM(OFFSET($BO$15,0,0,$B$14,1)) + $B$18/($B$19*$B$19*($DN155&lt;&gt;$DO155) + $B$19*($DN155=$DO155))</f>
        <v>3.3333333333333331E-3</v>
      </c>
      <c r="FI155" s="10" cm="1">
        <f t="array" aca="1" ref="FI155" ca="1">(1-$B$18)*SUMPRODUCT(OFFSET($BO$15,0,0,$B$14,1), 1*(_xlfn._xlws.FILTER(OFFSET($O$15,0,$DN155,$B$8,1),OFFSET($M$15,0,0,$B$8,1))=FI$13), 1*(_xlfn._xlws.FILTER(OFFSET($O$15,0,$DO155,$B$8,1),OFFSET($M$15,0,0,$B$8,1))=FI$14))   /   SUM(OFFSET($BO$15,0,0,$B$14,1)) + $B$18/($B$19*$B$19*($DN155&lt;&gt;$DO155) + $B$19*($DN155=$DO155))</f>
        <v>3.3333333333333331E-3</v>
      </c>
      <c r="FJ155" s="10" cm="1">
        <f t="array" aca="1" ref="FJ155" ca="1">(1-$B$18)*SUMPRODUCT(OFFSET($BO$15,0,0,$B$14,1), 1*(_xlfn._xlws.FILTER(OFFSET($O$15,0,$DN155,$B$8,1),OFFSET($M$15,0,0,$B$8,1))=FJ$13), 1*(_xlfn._xlws.FILTER(OFFSET($O$15,0,$DO155,$B$8,1),OFFSET($M$15,0,0,$B$8,1))=FJ$14))   /   SUM(OFFSET($BO$15,0,0,$B$14,1)) + $B$18/($B$19*$B$19*($DN155&lt;&gt;$DO155) + $B$19*($DN155=$DO155))</f>
        <v>3.3333333333333331E-3</v>
      </c>
      <c r="FK155" s="10" cm="1">
        <f t="array" aca="1" ref="FK155" ca="1">(1-$B$18)*SUMPRODUCT(OFFSET($BO$15,0,0,$B$14,1), 1*(_xlfn._xlws.FILTER(OFFSET($O$15,0,$DN155,$B$8,1),OFFSET($M$15,0,0,$B$8,1))=FK$13), 1*(_xlfn._xlws.FILTER(OFFSET($O$15,0,$DO155,$B$8,1),OFFSET($M$15,0,0,$B$8,1))=FK$14))   /   SUM(OFFSET($BO$15,0,0,$B$14,1)) + $B$18/($B$19*$B$19*($DN155&lt;&gt;$DO155) + $B$19*($DN155=$DO155))</f>
        <v>3.3333333333333331E-3</v>
      </c>
      <c r="FL155" s="10" cm="1">
        <f t="array" aca="1" ref="FL155" ca="1">(1-$B$18)*SUMPRODUCT(OFFSET($BO$15,0,0,$B$14,1), 1*(_xlfn._xlws.FILTER(OFFSET($O$15,0,$DN155,$B$8,1),OFFSET($M$15,0,0,$B$8,1))=FL$13), 1*(_xlfn._xlws.FILTER(OFFSET($O$15,0,$DO155,$B$8,1),OFFSET($M$15,0,0,$B$8,1))=FL$14))   /   SUM(OFFSET($BO$15,0,0,$B$14,1)) + $B$18/($B$19*$B$19*($DN155&lt;&gt;$DO155) + $B$19*($DN155=$DO155))</f>
        <v>3.3333333333333331E-3</v>
      </c>
      <c r="FM155" s="10" cm="1">
        <f t="array" aca="1" ref="FM155" ca="1">(1-$B$18)*SUMPRODUCT(OFFSET($BO$15,0,0,$B$14,1), 1*(_xlfn._xlws.FILTER(OFFSET($O$15,0,$DN155,$B$8,1),OFFSET($M$15,0,0,$B$8,1))=FM$13), 1*(_xlfn._xlws.FILTER(OFFSET($O$15,0,$DO155,$B$8,1),OFFSET($M$15,0,0,$B$8,1))=FM$14))   /   SUM(OFFSET($BO$15,0,0,$B$14,1)) + $B$18/($B$19*$B$19*($DN155&lt;&gt;$DO155) + $B$19*($DN155=$DO155))</f>
        <v>3.3333333333333331E-3</v>
      </c>
      <c r="FN155" s="10" cm="1">
        <f t="array" aca="1" ref="FN155" ca="1">(1-$B$18)*SUMPRODUCT(OFFSET($BO$15,0,0,$B$14,1), 1*(_xlfn._xlws.FILTER(OFFSET($O$15,0,$DN155,$B$8,1),OFFSET($M$15,0,0,$B$8,1))=FN$13), 1*(_xlfn._xlws.FILTER(OFFSET($O$15,0,$DO155,$B$8,1),OFFSET($M$15,0,0,$B$8,1))=FN$14))   /   SUM(OFFSET($BO$15,0,0,$B$14,1)) + $B$18/($B$19*$B$19*($DN155&lt;&gt;$DO155) + $B$19*($DN155=$DO155))</f>
        <v>3.3333333333333331E-3</v>
      </c>
      <c r="FO155" s="10" cm="1">
        <f t="array" aca="1" ref="FO155" ca="1">(1-$B$18)*SUMPRODUCT(OFFSET($BO$15,0,0,$B$14,1), 1*(_xlfn._xlws.FILTER(OFFSET($O$15,0,$DN155,$B$8,1),OFFSET($M$15,0,0,$B$8,1))=FO$13), 1*(_xlfn._xlws.FILTER(OFFSET($O$15,0,$DO155,$B$8,1),OFFSET($M$15,0,0,$B$8,1))=FO$14))   /   SUM(OFFSET($BO$15,0,0,$B$14,1)) + $B$18/($B$19*$B$19*($DN155&lt;&gt;$DO155) + $B$19*($DN155=$DO155))</f>
        <v>3.3333333333333331E-3</v>
      </c>
      <c r="FP155" s="10" cm="1">
        <f t="array" aca="1" ref="FP155" ca="1">(1-$B$18)*SUMPRODUCT(OFFSET($BO$15,0,0,$B$14,1), 1*(_xlfn._xlws.FILTER(OFFSET($O$15,0,$DN155,$B$8,1),OFFSET($M$15,0,0,$B$8,1))=FP$13), 1*(_xlfn._xlws.FILTER(OFFSET($O$15,0,$DO155,$B$8,1),OFFSET($M$15,0,0,$B$8,1))=FP$14))   /   SUM(OFFSET($BO$15,0,0,$B$14,1)) + $B$18/($B$19*$B$19*($DN155&lt;&gt;$DO155) + $B$19*($DN155=$DO155))</f>
        <v>3.3333333333333331E-3</v>
      </c>
      <c r="FQ155" s="10" cm="1">
        <f t="array" aca="1" ref="FQ155" ca="1">(1-$B$18)*SUMPRODUCT(OFFSET($BO$15,0,0,$B$14,1), 1*(_xlfn._xlws.FILTER(OFFSET($O$15,0,$DN155,$B$8,1),OFFSET($M$15,0,0,$B$8,1))=FQ$13), 1*(_xlfn._xlws.FILTER(OFFSET($O$15,0,$DO155,$B$8,1),OFFSET($M$15,0,0,$B$8,1))=FQ$14))   /   SUM(OFFSET($BO$15,0,0,$B$14,1)) + $B$18/($B$19*$B$19*($DN155&lt;&gt;$DO155) + $B$19*($DN155=$DO155))</f>
        <v>3.3333333333333331E-3</v>
      </c>
      <c r="FR155" s="10" cm="1">
        <f t="array" aca="1" ref="FR155" ca="1">(1-$B$18)*SUMPRODUCT(OFFSET($BO$15,0,0,$B$14,1), 1*(_xlfn._xlws.FILTER(OFFSET($O$15,0,$DN155,$B$8,1),OFFSET($M$15,0,0,$B$8,1))=FR$13), 1*(_xlfn._xlws.FILTER(OFFSET($O$15,0,$DO155,$B$8,1),OFFSET($M$15,0,0,$B$8,1))=FR$14))   /   SUM(OFFSET($BO$15,0,0,$B$14,1)) + $B$18/($B$19*$B$19*($DN155&lt;&gt;$DO155) + $B$19*($DN155=$DO155))</f>
        <v>0.97333333333333327</v>
      </c>
      <c r="FS155" s="10" cm="1">
        <f t="array" aca="1" ref="FS155" ca="1">(1-$B$18)*SUMPRODUCT(OFFSET($BO$15,0,0,$B$14,1), 1*(_xlfn._xlws.FILTER(OFFSET($O$15,0,$DN155,$B$8,1),OFFSET($M$15,0,0,$B$8,1))=FS$13), 1*(_xlfn._xlws.FILTER(OFFSET($O$15,0,$DO155,$B$8,1),OFFSET($M$15,0,0,$B$8,1))=FS$14))   /   SUM(OFFSET($BO$15,0,0,$B$14,1)) + $B$18/($B$19*$B$19*($DN155&lt;&gt;$DO155) + $B$19*($DN155=$DO155))</f>
        <v>3.3333333333333331E-3</v>
      </c>
      <c r="FT155" s="10" cm="1">
        <f t="array" aca="1" ref="FT155" ca="1">(1-$B$18)*SUMPRODUCT(OFFSET($BO$15,0,0,$B$14,1), 1*(_xlfn._xlws.FILTER(OFFSET($O$15,0,$DN155,$B$8,1),OFFSET($M$15,0,0,$B$8,1))=FT$13), 1*(_xlfn._xlws.FILTER(OFFSET($O$15,0,$DO155,$B$8,1),OFFSET($M$15,0,0,$B$8,1))=FT$14))   /   SUM(OFFSET($BO$15,0,0,$B$14,1)) + $B$18/($B$19*$B$19*($DN155&lt;&gt;$DO155) + $B$19*($DN155=$DO155))</f>
        <v>3.3333333333333331E-3</v>
      </c>
      <c r="FU155" s="10" cm="1">
        <f t="array" aca="1" ref="FU155" ca="1">(1-$B$18)*SUMPRODUCT(OFFSET($BO$15,0,0,$B$14,1), 1*(_xlfn._xlws.FILTER(OFFSET($O$15,0,$DN155,$B$8,1),OFFSET($M$15,0,0,$B$8,1))=FU$13), 1*(_xlfn._xlws.FILTER(OFFSET($O$15,0,$DO155,$B$8,1),OFFSET($M$15,0,0,$B$8,1))=FU$14))   /   SUM(OFFSET($BO$15,0,0,$B$14,1)) + $B$18/($B$19*$B$19*($DN155&lt;&gt;$DO155) + $B$19*($DN155=$DO155))</f>
        <v>3.3333333333333331E-3</v>
      </c>
      <c r="FV155" s="10" cm="1">
        <f t="array" aca="1" ref="FV155" ca="1">(1-$B$18)*SUMPRODUCT(OFFSET($BO$15,0,0,$B$14,1), 1*(_xlfn._xlws.FILTER(OFFSET($O$15,0,$DN155,$B$8,1),OFFSET($M$15,0,0,$B$8,1))=FV$13), 1*(_xlfn._xlws.FILTER(OFFSET($O$15,0,$DO155,$B$8,1),OFFSET($M$15,0,0,$B$8,1))=FV$14))   /   SUM(OFFSET($BO$15,0,0,$B$14,1)) + $B$18/($B$19*$B$19*($DN155&lt;&gt;$DO155) + $B$19*($DN155=$DO155))</f>
        <v>3.3333333333333331E-3</v>
      </c>
      <c r="FW155" s="10" cm="1">
        <f t="array" aca="1" ref="FW155" ca="1">(1-$B$18)*SUMPRODUCT(OFFSET($BO$15,0,0,$B$14,1), 1*(_xlfn._xlws.FILTER(OFFSET($O$15,0,$DN155,$B$8,1),OFFSET($M$15,0,0,$B$8,1))=FW$13), 1*(_xlfn._xlws.FILTER(OFFSET($O$15,0,$DO155,$B$8,1),OFFSET($M$15,0,0,$B$8,1))=FW$14))   /   SUM(OFFSET($BO$15,0,0,$B$14,1)) + $B$18/($B$19*$B$19*($DN155&lt;&gt;$DO155) + $B$19*($DN155=$DO155))</f>
        <v>3.3333333333333331E-3</v>
      </c>
      <c r="FX155" s="10" cm="1">
        <f t="array" aca="1" ref="FX155" ca="1">(1-$B$18)*SUMPRODUCT(OFFSET($BO$15,0,0,$B$14,1), 1*(_xlfn._xlws.FILTER(OFFSET($O$15,0,$DN155,$B$8,1),OFFSET($M$15,0,0,$B$8,1))=FX$13), 1*(_xlfn._xlws.FILTER(OFFSET($O$15,0,$DO155,$B$8,1),OFFSET($M$15,0,0,$B$8,1))=FX$14))   /   SUM(OFFSET($BO$15,0,0,$B$14,1)) + $B$18/($B$19*$B$19*($DN155&lt;&gt;$DO155) + $B$19*($DN155=$DO155))</f>
        <v>3.3333333333333331E-3</v>
      </c>
      <c r="FY155" s="10" cm="1">
        <f t="array" aca="1" ref="FY155" ca="1">(1-$B$18)*SUMPRODUCT(OFFSET($BO$15,0,0,$B$14,1), 1*(_xlfn._xlws.FILTER(OFFSET($O$15,0,$DN155,$B$8,1),OFFSET($M$15,0,0,$B$8,1))=FY$13), 1*(_xlfn._xlws.FILTER(OFFSET($O$15,0,$DO155,$B$8,1),OFFSET($M$15,0,0,$B$8,1))=FY$14))   /   SUM(OFFSET($BO$15,0,0,$B$14,1)) + $B$18/($B$19*$B$19*($DN155&lt;&gt;$DO155) + $B$19*($DN155=$DO155))</f>
        <v>3.3333333333333331E-3</v>
      </c>
      <c r="FZ155" s="10" cm="1">
        <f t="array" aca="1" ref="FZ155" ca="1">(1-$B$18)*SUMPRODUCT(OFFSET($BO$15,0,0,$B$14,1), 1*(_xlfn._xlws.FILTER(OFFSET($O$15,0,$DN155,$B$8,1),OFFSET($M$15,0,0,$B$8,1))=FZ$13), 1*(_xlfn._xlws.FILTER(OFFSET($O$15,0,$DO155,$B$8,1),OFFSET($M$15,0,0,$B$8,1))=FZ$14))   /   SUM(OFFSET($BO$15,0,0,$B$14,1)) + $B$18/($B$19*$B$19*($DN155&lt;&gt;$DO155) + $B$19*($DN155=$DO155))</f>
        <v>3.3333333333333331E-3</v>
      </c>
      <c r="GA155" s="10" cm="1">
        <f t="array" aca="1" ref="GA155" ca="1">(1-$B$18)*SUMPRODUCT(OFFSET($BO$15,0,0,$B$14,1), 1*(_xlfn._xlws.FILTER(OFFSET($O$15,0,$DN155,$B$8,1),OFFSET($M$15,0,0,$B$8,1))=GA$13), 1*(_xlfn._xlws.FILTER(OFFSET($O$15,0,$DO155,$B$8,1),OFFSET($M$15,0,0,$B$8,1))=GA$14))   /   SUM(OFFSET($BO$15,0,0,$B$14,1)) + $B$18/($B$19*$B$19*($DN155&lt;&gt;$DO155) + $B$19*($DN155=$DO155))</f>
        <v>3.3333333333333331E-3</v>
      </c>
    </row>
    <row r="156" spans="118:183" x14ac:dyDescent="0.2">
      <c r="DN156" cm="1">
        <f t="array" aca="1" ref="DN156" ca="1">INDEX(_xlfn.ANCHORARRAY($CP$15), 1 + INT((ROWS($DO$15:$DO156) - 1) / ROWS(_xlfn.ANCHORARRAY($CP$15))))</f>
        <v>7</v>
      </c>
      <c r="DO156" cm="1">
        <f t="array" aca="1" ref="DO156" ca="1">INDEX(_xlfn.ANCHORARRAY($CP$15),1+MOD(ROWS($DO$15:$DO156)-1,ROWS(_xlfn.ANCHORARRAY($CP$15))))</f>
        <v>8</v>
      </c>
      <c r="DP156" s="10" cm="1">
        <f t="array" aca="1" ref="DP156" ca="1">(1-$B$18)*SUMPRODUCT(OFFSET($BO$15,0,0,$B$14,1), 1*(_xlfn._xlws.FILTER(OFFSET($O$15,0,$DN156,$B$8,1),OFFSET($M$15,0,0,$B$8,1))=DP$13), 1*(_xlfn._xlws.FILTER(OFFSET($O$15,0,$DO156,$B$8,1),OFFSET($M$15,0,0,$B$8,1))=DP$14))   /   SUM(OFFSET($BO$15,0,0,$B$14,1)) + $B$18/($B$19*$B$19*($DN156&lt;&gt;$DO156) + $B$19*($DN156=$DO156))</f>
        <v>3.7037037037037035E-4</v>
      </c>
      <c r="DQ156" s="10" cm="1">
        <f t="array" aca="1" ref="DQ156" ca="1">(1-$B$18)*SUMPRODUCT(OFFSET($BO$15,0,0,$B$14,1), 1*(_xlfn._xlws.FILTER(OFFSET($O$15,0,$DN156,$B$8,1),OFFSET($M$15,0,0,$B$8,1))=DQ$13), 1*(_xlfn._xlws.FILTER(OFFSET($O$15,0,$DO156,$B$8,1),OFFSET($M$15,0,0,$B$8,1))=DQ$14))   /   SUM(OFFSET($BO$15,0,0,$B$14,1)) + $B$18/($B$19*$B$19*($DN156&lt;&gt;$DO156) + $B$19*($DN156=$DO156))</f>
        <v>3.7037037037037035E-4</v>
      </c>
      <c r="DR156" s="10" cm="1">
        <f t="array" aca="1" ref="DR156" ca="1">(1-$B$18)*SUMPRODUCT(OFFSET($BO$15,0,0,$B$14,1), 1*(_xlfn._xlws.FILTER(OFFSET($O$15,0,$DN156,$B$8,1),OFFSET($M$15,0,0,$B$8,1))=DR$13), 1*(_xlfn._xlws.FILTER(OFFSET($O$15,0,$DO156,$B$8,1),OFFSET($M$15,0,0,$B$8,1))=DR$14))   /   SUM(OFFSET($BO$15,0,0,$B$14,1)) + $B$18/($B$19*$B$19*($DN156&lt;&gt;$DO156) + $B$19*($DN156=$DO156))</f>
        <v>3.7037037037037035E-4</v>
      </c>
      <c r="DS156" s="10" cm="1">
        <f t="array" aca="1" ref="DS156" ca="1">(1-$B$18)*SUMPRODUCT(OFFSET($BO$15,0,0,$B$14,1), 1*(_xlfn._xlws.FILTER(OFFSET($O$15,0,$DN156,$B$8,1),OFFSET($M$15,0,0,$B$8,1))=DS$13), 1*(_xlfn._xlws.FILTER(OFFSET($O$15,0,$DO156,$B$8,1),OFFSET($M$15,0,0,$B$8,1))=DS$14))   /   SUM(OFFSET($BO$15,0,0,$B$14,1)) + $B$18/($B$19*$B$19*($DN156&lt;&gt;$DO156) + $B$19*($DN156=$DO156))</f>
        <v>3.7037037037037035E-4</v>
      </c>
      <c r="DT156" s="10" cm="1">
        <f t="array" aca="1" ref="DT156" ca="1">(1-$B$18)*SUMPRODUCT(OFFSET($BO$15,0,0,$B$14,1), 1*(_xlfn._xlws.FILTER(OFFSET($O$15,0,$DN156,$B$8,1),OFFSET($M$15,0,0,$B$8,1))=DT$13), 1*(_xlfn._xlws.FILTER(OFFSET($O$15,0,$DO156,$B$8,1),OFFSET($M$15,0,0,$B$8,1))=DT$14))   /   SUM(OFFSET($BO$15,0,0,$B$14,1)) + $B$18/($B$19*$B$19*($DN156&lt;&gt;$DO156) + $B$19*($DN156=$DO156))</f>
        <v>3.7037037037037035E-4</v>
      </c>
      <c r="DU156" s="10" cm="1">
        <f t="array" aca="1" ref="DU156" ca="1">(1-$B$18)*SUMPRODUCT(OFFSET($BO$15,0,0,$B$14,1), 1*(_xlfn._xlws.FILTER(OFFSET($O$15,0,$DN156,$B$8,1),OFFSET($M$15,0,0,$B$8,1))=DU$13), 1*(_xlfn._xlws.FILTER(OFFSET($O$15,0,$DO156,$B$8,1),OFFSET($M$15,0,0,$B$8,1))=DU$14))   /   SUM(OFFSET($BO$15,0,0,$B$14,1)) + $B$18/($B$19*$B$19*($DN156&lt;&gt;$DO156) + $B$19*($DN156=$DO156))</f>
        <v>3.7037037037037035E-4</v>
      </c>
      <c r="DV156" s="10" cm="1">
        <f t="array" aca="1" ref="DV156" ca="1">(1-$B$18)*SUMPRODUCT(OFFSET($BO$15,0,0,$B$14,1), 1*(_xlfn._xlws.FILTER(OFFSET($O$15,0,$DN156,$B$8,1),OFFSET($M$15,0,0,$B$8,1))=DV$13), 1*(_xlfn._xlws.FILTER(OFFSET($O$15,0,$DO156,$B$8,1),OFFSET($M$15,0,0,$B$8,1))=DV$14))   /   SUM(OFFSET($BO$15,0,0,$B$14,1)) + $B$18/($B$19*$B$19*($DN156&lt;&gt;$DO156) + $B$19*($DN156=$DO156))</f>
        <v>3.7037037037037035E-4</v>
      </c>
      <c r="DW156" s="10" cm="1">
        <f t="array" aca="1" ref="DW156" ca="1">(1-$B$18)*SUMPRODUCT(OFFSET($BO$15,0,0,$B$14,1), 1*(_xlfn._xlws.FILTER(OFFSET($O$15,0,$DN156,$B$8,1),OFFSET($M$15,0,0,$B$8,1))=DW$13), 1*(_xlfn._xlws.FILTER(OFFSET($O$15,0,$DO156,$B$8,1),OFFSET($M$15,0,0,$B$8,1))=DW$14))   /   SUM(OFFSET($BO$15,0,0,$B$14,1)) + $B$18/($B$19*$B$19*($DN156&lt;&gt;$DO156) + $B$19*($DN156=$DO156))</f>
        <v>3.7037037037037035E-4</v>
      </c>
      <c r="DX156" s="10" cm="1">
        <f t="array" aca="1" ref="DX156" ca="1">(1-$B$18)*SUMPRODUCT(OFFSET($BO$15,0,0,$B$14,1), 1*(_xlfn._xlws.FILTER(OFFSET($O$15,0,$DN156,$B$8,1),OFFSET($M$15,0,0,$B$8,1))=DX$13), 1*(_xlfn._xlws.FILTER(OFFSET($O$15,0,$DO156,$B$8,1),OFFSET($M$15,0,0,$B$8,1))=DX$14))   /   SUM(OFFSET($BO$15,0,0,$B$14,1)) + $B$18/($B$19*$B$19*($DN156&lt;&gt;$DO156) + $B$19*($DN156=$DO156))</f>
        <v>3.7037037037037035E-4</v>
      </c>
      <c r="DY156" s="10" cm="1">
        <f t="array" aca="1" ref="DY156" ca="1">(1-$B$18)*SUMPRODUCT(OFFSET($BO$15,0,0,$B$14,1), 1*(_xlfn._xlws.FILTER(OFFSET($O$15,0,$DN156,$B$8,1),OFFSET($M$15,0,0,$B$8,1))=DY$13), 1*(_xlfn._xlws.FILTER(OFFSET($O$15,0,$DO156,$B$8,1),OFFSET($M$15,0,0,$B$8,1))=DY$14))   /   SUM(OFFSET($BO$15,0,0,$B$14,1)) + $B$18/($B$19*$B$19*($DN156&lt;&gt;$DO156) + $B$19*($DN156=$DO156))</f>
        <v>3.7037037037037035E-4</v>
      </c>
      <c r="DZ156" s="10" cm="1">
        <f t="array" aca="1" ref="DZ156" ca="1">(1-$B$18)*SUMPRODUCT(OFFSET($BO$15,0,0,$B$14,1), 1*(_xlfn._xlws.FILTER(OFFSET($O$15,0,$DN156,$B$8,1),OFFSET($M$15,0,0,$B$8,1))=DZ$13), 1*(_xlfn._xlws.FILTER(OFFSET($O$15,0,$DO156,$B$8,1),OFFSET($M$15,0,0,$B$8,1))=DZ$14))   /   SUM(OFFSET($BO$15,0,0,$B$14,1)) + $B$18/($B$19*$B$19*($DN156&lt;&gt;$DO156) + $B$19*($DN156=$DO156))</f>
        <v>3.7037037037037035E-4</v>
      </c>
      <c r="EA156" s="10" cm="1">
        <f t="array" aca="1" ref="EA156" ca="1">(1-$B$18)*SUMPRODUCT(OFFSET($BO$15,0,0,$B$14,1), 1*(_xlfn._xlws.FILTER(OFFSET($O$15,0,$DN156,$B$8,1),OFFSET($M$15,0,0,$B$8,1))=EA$13), 1*(_xlfn._xlws.FILTER(OFFSET($O$15,0,$DO156,$B$8,1),OFFSET($M$15,0,0,$B$8,1))=EA$14))   /   SUM(OFFSET($BO$15,0,0,$B$14,1)) + $B$18/($B$19*$B$19*($DN156&lt;&gt;$DO156) + $B$19*($DN156=$DO156))</f>
        <v>3.7037037037037035E-4</v>
      </c>
      <c r="EB156" s="10" cm="1">
        <f t="array" aca="1" ref="EB156" ca="1">(1-$B$18)*SUMPRODUCT(OFFSET($BO$15,0,0,$B$14,1), 1*(_xlfn._xlws.FILTER(OFFSET($O$15,0,$DN156,$B$8,1),OFFSET($M$15,0,0,$B$8,1))=EB$13), 1*(_xlfn._xlws.FILTER(OFFSET($O$15,0,$DO156,$B$8,1),OFFSET($M$15,0,0,$B$8,1))=EB$14))   /   SUM(OFFSET($BO$15,0,0,$B$14,1)) + $B$18/($B$19*$B$19*($DN156&lt;&gt;$DO156) + $B$19*($DN156=$DO156))</f>
        <v>3.7037037037037035E-4</v>
      </c>
      <c r="EC156" s="10" cm="1">
        <f t="array" aca="1" ref="EC156" ca="1">(1-$B$18)*SUMPRODUCT(OFFSET($BO$15,0,0,$B$14,1), 1*(_xlfn._xlws.FILTER(OFFSET($O$15,0,$DN156,$B$8,1),OFFSET($M$15,0,0,$B$8,1))=EC$13), 1*(_xlfn._xlws.FILTER(OFFSET($O$15,0,$DO156,$B$8,1),OFFSET($M$15,0,0,$B$8,1))=EC$14))   /   SUM(OFFSET($BO$15,0,0,$B$14,1)) + $B$18/($B$19*$B$19*($DN156&lt;&gt;$DO156) + $B$19*($DN156=$DO156))</f>
        <v>3.7037037037037035E-4</v>
      </c>
      <c r="ED156" s="10" cm="1">
        <f t="array" aca="1" ref="ED156" ca="1">(1-$B$18)*SUMPRODUCT(OFFSET($BO$15,0,0,$B$14,1), 1*(_xlfn._xlws.FILTER(OFFSET($O$15,0,$DN156,$B$8,1),OFFSET($M$15,0,0,$B$8,1))=ED$13), 1*(_xlfn._xlws.FILTER(OFFSET($O$15,0,$DO156,$B$8,1),OFFSET($M$15,0,0,$B$8,1))=ED$14))   /   SUM(OFFSET($BO$15,0,0,$B$14,1)) + $B$18/($B$19*$B$19*($DN156&lt;&gt;$DO156) + $B$19*($DN156=$DO156))</f>
        <v>3.7037037037037035E-4</v>
      </c>
      <c r="EE156" s="10" cm="1">
        <f t="array" aca="1" ref="EE156" ca="1">(1-$B$18)*SUMPRODUCT(OFFSET($BO$15,0,0,$B$14,1), 1*(_xlfn._xlws.FILTER(OFFSET($O$15,0,$DN156,$B$8,1),OFFSET($M$15,0,0,$B$8,1))=EE$13), 1*(_xlfn._xlws.FILTER(OFFSET($O$15,0,$DO156,$B$8,1),OFFSET($M$15,0,0,$B$8,1))=EE$14))   /   SUM(OFFSET($BO$15,0,0,$B$14,1)) + $B$18/($B$19*$B$19*($DN156&lt;&gt;$DO156) + $B$19*($DN156=$DO156))</f>
        <v>3.7037037037037035E-4</v>
      </c>
      <c r="EF156" s="10" cm="1">
        <f t="array" aca="1" ref="EF156" ca="1">(1-$B$18)*SUMPRODUCT(OFFSET($BO$15,0,0,$B$14,1), 1*(_xlfn._xlws.FILTER(OFFSET($O$15,0,$DN156,$B$8,1),OFFSET($M$15,0,0,$B$8,1))=EF$13), 1*(_xlfn._xlws.FILTER(OFFSET($O$15,0,$DO156,$B$8,1),OFFSET($M$15,0,0,$B$8,1))=EF$14))   /   SUM(OFFSET($BO$15,0,0,$B$14,1)) + $B$18/($B$19*$B$19*($DN156&lt;&gt;$DO156) + $B$19*($DN156=$DO156))</f>
        <v>3.7037037037037035E-4</v>
      </c>
      <c r="EG156" s="10" cm="1">
        <f t="array" aca="1" ref="EG156" ca="1">(1-$B$18)*SUMPRODUCT(OFFSET($BO$15,0,0,$B$14,1), 1*(_xlfn._xlws.FILTER(OFFSET($O$15,0,$DN156,$B$8,1),OFFSET($M$15,0,0,$B$8,1))=EG$13), 1*(_xlfn._xlws.FILTER(OFFSET($O$15,0,$DO156,$B$8,1),OFFSET($M$15,0,0,$B$8,1))=EG$14))   /   SUM(OFFSET($BO$15,0,0,$B$14,1)) + $B$18/($B$19*$B$19*($DN156&lt;&gt;$DO156) + $B$19*($DN156=$DO156))</f>
        <v>3.7037037037037035E-4</v>
      </c>
      <c r="EH156" s="10" cm="1">
        <f t="array" aca="1" ref="EH156" ca="1">(1-$B$18)*SUMPRODUCT(OFFSET($BO$15,0,0,$B$14,1), 1*(_xlfn._xlws.FILTER(OFFSET($O$15,0,$DN156,$B$8,1),OFFSET($M$15,0,0,$B$8,1))=EH$13), 1*(_xlfn._xlws.FILTER(OFFSET($O$15,0,$DO156,$B$8,1),OFFSET($M$15,0,0,$B$8,1))=EH$14))   /   SUM(OFFSET($BO$15,0,0,$B$14,1)) + $B$18/($B$19*$B$19*($DN156&lt;&gt;$DO156) + $B$19*($DN156=$DO156))</f>
        <v>3.7037037037037035E-4</v>
      </c>
      <c r="EI156" s="10" cm="1">
        <f t="array" aca="1" ref="EI156" ca="1">(1-$B$18)*SUMPRODUCT(OFFSET($BO$15,0,0,$B$14,1), 1*(_xlfn._xlws.FILTER(OFFSET($O$15,0,$DN156,$B$8,1),OFFSET($M$15,0,0,$B$8,1))=EI$13), 1*(_xlfn._xlws.FILTER(OFFSET($O$15,0,$DO156,$B$8,1),OFFSET($M$15,0,0,$B$8,1))=EI$14))   /   SUM(OFFSET($BO$15,0,0,$B$14,1)) + $B$18/($B$19*$B$19*($DN156&lt;&gt;$DO156) + $B$19*($DN156=$DO156))</f>
        <v>3.7037037037037035E-4</v>
      </c>
      <c r="EJ156" s="10" cm="1">
        <f t="array" aca="1" ref="EJ156" ca="1">(1-$B$18)*SUMPRODUCT(OFFSET($BO$15,0,0,$B$14,1), 1*(_xlfn._xlws.FILTER(OFFSET($O$15,0,$DN156,$B$8,1),OFFSET($M$15,0,0,$B$8,1))=EJ$13), 1*(_xlfn._xlws.FILTER(OFFSET($O$15,0,$DO156,$B$8,1),OFFSET($M$15,0,0,$B$8,1))=EJ$14))   /   SUM(OFFSET($BO$15,0,0,$B$14,1)) + $B$18/($B$19*$B$19*($DN156&lt;&gt;$DO156) + $B$19*($DN156=$DO156))</f>
        <v>3.7037037037037035E-4</v>
      </c>
      <c r="EK156" s="10" cm="1">
        <f t="array" aca="1" ref="EK156" ca="1">(1-$B$18)*SUMPRODUCT(OFFSET($BO$15,0,0,$B$14,1), 1*(_xlfn._xlws.FILTER(OFFSET($O$15,0,$DN156,$B$8,1),OFFSET($M$15,0,0,$B$8,1))=EK$13), 1*(_xlfn._xlws.FILTER(OFFSET($O$15,0,$DO156,$B$8,1),OFFSET($M$15,0,0,$B$8,1))=EK$14))   /   SUM(OFFSET($BO$15,0,0,$B$14,1)) + $B$18/($B$19*$B$19*($DN156&lt;&gt;$DO156) + $B$19*($DN156=$DO156))</f>
        <v>3.7037037037037035E-4</v>
      </c>
      <c r="EL156" s="10" cm="1">
        <f t="array" aca="1" ref="EL156" ca="1">(1-$B$18)*SUMPRODUCT(OFFSET($BO$15,0,0,$B$14,1), 1*(_xlfn._xlws.FILTER(OFFSET($O$15,0,$DN156,$B$8,1),OFFSET($M$15,0,0,$B$8,1))=EL$13), 1*(_xlfn._xlws.FILTER(OFFSET($O$15,0,$DO156,$B$8,1),OFFSET($M$15,0,0,$B$8,1))=EL$14))   /   SUM(OFFSET($BO$15,0,0,$B$14,1)) + $B$18/($B$19*$B$19*($DN156&lt;&gt;$DO156) + $B$19*($DN156=$DO156))</f>
        <v>3.7037037037037035E-4</v>
      </c>
      <c r="EM156" s="10" cm="1">
        <f t="array" aca="1" ref="EM156" ca="1">(1-$B$18)*SUMPRODUCT(OFFSET($BO$15,0,0,$B$14,1), 1*(_xlfn._xlws.FILTER(OFFSET($O$15,0,$DN156,$B$8,1),OFFSET($M$15,0,0,$B$8,1))=EM$13), 1*(_xlfn._xlws.FILTER(OFFSET($O$15,0,$DO156,$B$8,1),OFFSET($M$15,0,0,$B$8,1))=EM$14))   /   SUM(OFFSET($BO$15,0,0,$B$14,1)) + $B$18/($B$19*$B$19*($DN156&lt;&gt;$DO156) + $B$19*($DN156=$DO156))</f>
        <v>3.7037037037037035E-4</v>
      </c>
      <c r="EN156" s="10" cm="1">
        <f t="array" aca="1" ref="EN156" ca="1">(1-$B$18)*SUMPRODUCT(OFFSET($BO$15,0,0,$B$14,1), 1*(_xlfn._xlws.FILTER(OFFSET($O$15,0,$DN156,$B$8,1),OFFSET($M$15,0,0,$B$8,1))=EN$13), 1*(_xlfn._xlws.FILTER(OFFSET($O$15,0,$DO156,$B$8,1),OFFSET($M$15,0,0,$B$8,1))=EN$14))   /   SUM(OFFSET($BO$15,0,0,$B$14,1)) + $B$18/($B$19*$B$19*($DN156&lt;&gt;$DO156) + $B$19*($DN156=$DO156))</f>
        <v>3.7037037037037035E-4</v>
      </c>
      <c r="EO156" s="10" cm="1">
        <f t="array" aca="1" ref="EO156" ca="1">(1-$B$18)*SUMPRODUCT(OFFSET($BO$15,0,0,$B$14,1), 1*(_xlfn._xlws.FILTER(OFFSET($O$15,0,$DN156,$B$8,1),OFFSET($M$15,0,0,$B$8,1))=EO$13), 1*(_xlfn._xlws.FILTER(OFFSET($O$15,0,$DO156,$B$8,1),OFFSET($M$15,0,0,$B$8,1))=EO$14))   /   SUM(OFFSET($BO$15,0,0,$B$14,1)) + $B$18/($B$19*$B$19*($DN156&lt;&gt;$DO156) + $B$19*($DN156=$DO156))</f>
        <v>3.7037037037037035E-4</v>
      </c>
      <c r="EP156" s="10" cm="1">
        <f t="array" aca="1" ref="EP156" ca="1">(1-$B$18)*SUMPRODUCT(OFFSET($BO$15,0,0,$B$14,1), 1*(_xlfn._xlws.FILTER(OFFSET($O$15,0,$DN156,$B$8,1),OFFSET($M$15,0,0,$B$8,1))=EP$13), 1*(_xlfn._xlws.FILTER(OFFSET($O$15,0,$DO156,$B$8,1),OFFSET($M$15,0,0,$B$8,1))=EP$14))   /   SUM(OFFSET($BO$15,0,0,$B$14,1)) + $B$18/($B$19*$B$19*($DN156&lt;&gt;$DO156) + $B$19*($DN156=$DO156))</f>
        <v>3.7037037037037035E-4</v>
      </c>
      <c r="EQ156" s="10" cm="1">
        <f t="array" aca="1" ref="EQ156" ca="1">(1-$B$18)*SUMPRODUCT(OFFSET($BO$15,0,0,$B$14,1), 1*(_xlfn._xlws.FILTER(OFFSET($O$15,0,$DN156,$B$8,1),OFFSET($M$15,0,0,$B$8,1))=EQ$13), 1*(_xlfn._xlws.FILTER(OFFSET($O$15,0,$DO156,$B$8,1),OFFSET($M$15,0,0,$B$8,1))=EQ$14))   /   SUM(OFFSET($BO$15,0,0,$B$14,1)) + $B$18/($B$19*$B$19*($DN156&lt;&gt;$DO156) + $B$19*($DN156=$DO156))</f>
        <v>3.7037037037037035E-4</v>
      </c>
      <c r="ER156" s="10" cm="1">
        <f t="array" aca="1" ref="ER156" ca="1">(1-$B$18)*SUMPRODUCT(OFFSET($BO$15,0,0,$B$14,1), 1*(_xlfn._xlws.FILTER(OFFSET($O$15,0,$DN156,$B$8,1),OFFSET($M$15,0,0,$B$8,1))=ER$13), 1*(_xlfn._xlws.FILTER(OFFSET($O$15,0,$DO156,$B$8,1),OFFSET($M$15,0,0,$B$8,1))=ER$14))   /   SUM(OFFSET($BO$15,0,0,$B$14,1)) + $B$18/($B$19*$B$19*($DN156&lt;&gt;$DO156) + $B$19*($DN156=$DO156))</f>
        <v>3.7037037037037035E-4</v>
      </c>
      <c r="ES156" s="10" cm="1">
        <f t="array" aca="1" ref="ES156" ca="1">(1-$B$18)*SUMPRODUCT(OFFSET($BO$15,0,0,$B$14,1), 1*(_xlfn._xlws.FILTER(OFFSET($O$15,0,$DN156,$B$8,1),OFFSET($M$15,0,0,$B$8,1))=ES$13), 1*(_xlfn._xlws.FILTER(OFFSET($O$15,0,$DO156,$B$8,1),OFFSET($M$15,0,0,$B$8,1))=ES$14))   /   SUM(OFFSET($BO$15,0,0,$B$14,1)) + $B$18/($B$19*$B$19*($DN156&lt;&gt;$DO156) + $B$19*($DN156=$DO156))</f>
        <v>3.7037037037037035E-4</v>
      </c>
      <c r="ET156" s="10" cm="1">
        <f t="array" aca="1" ref="ET156" ca="1">(1-$B$18)*SUMPRODUCT(OFFSET($BO$15,0,0,$B$14,1), 1*(_xlfn._xlws.FILTER(OFFSET($O$15,0,$DN156,$B$8,1),OFFSET($M$15,0,0,$B$8,1))=ET$13), 1*(_xlfn._xlws.FILTER(OFFSET($O$15,0,$DO156,$B$8,1),OFFSET($M$15,0,0,$B$8,1))=ET$14))   /   SUM(OFFSET($BO$15,0,0,$B$14,1)) + $B$18/($B$19*$B$19*($DN156&lt;&gt;$DO156) + $B$19*($DN156=$DO156))</f>
        <v>3.7037037037037035E-4</v>
      </c>
      <c r="EU156" s="10" cm="1">
        <f t="array" aca="1" ref="EU156" ca="1">(1-$B$18)*SUMPRODUCT(OFFSET($BO$15,0,0,$B$14,1), 1*(_xlfn._xlws.FILTER(OFFSET($O$15,0,$DN156,$B$8,1),OFFSET($M$15,0,0,$B$8,1))=EU$13), 1*(_xlfn._xlws.FILTER(OFFSET($O$15,0,$DO156,$B$8,1),OFFSET($M$15,0,0,$B$8,1))=EU$14))   /   SUM(OFFSET($BO$15,0,0,$B$14,1)) + $B$18/($B$19*$B$19*($DN156&lt;&gt;$DO156) + $B$19*($DN156=$DO156))</f>
        <v>3.7037037037037035E-4</v>
      </c>
      <c r="EV156" s="10" cm="1">
        <f t="array" aca="1" ref="EV156" ca="1">(1-$B$18)*SUMPRODUCT(OFFSET($BO$15,0,0,$B$14,1), 1*(_xlfn._xlws.FILTER(OFFSET($O$15,0,$DN156,$B$8,1),OFFSET($M$15,0,0,$B$8,1))=EV$13), 1*(_xlfn._xlws.FILTER(OFFSET($O$15,0,$DO156,$B$8,1),OFFSET($M$15,0,0,$B$8,1))=EV$14))   /   SUM(OFFSET($BO$15,0,0,$B$14,1)) + $B$18/($B$19*$B$19*($DN156&lt;&gt;$DO156) + $B$19*($DN156=$DO156))</f>
        <v>3.7037037037037035E-4</v>
      </c>
      <c r="EW156" s="10" cm="1">
        <f t="array" aca="1" ref="EW156" ca="1">(1-$B$18)*SUMPRODUCT(OFFSET($BO$15,0,0,$B$14,1), 1*(_xlfn._xlws.FILTER(OFFSET($O$15,0,$DN156,$B$8,1),OFFSET($M$15,0,0,$B$8,1))=EW$13), 1*(_xlfn._xlws.FILTER(OFFSET($O$15,0,$DO156,$B$8,1),OFFSET($M$15,0,0,$B$8,1))=EW$14))   /   SUM(OFFSET($BO$15,0,0,$B$14,1)) + $B$18/($B$19*$B$19*($DN156&lt;&gt;$DO156) + $B$19*($DN156=$DO156))</f>
        <v>3.7037037037037035E-4</v>
      </c>
      <c r="EX156" s="10" cm="1">
        <f t="array" aca="1" ref="EX156" ca="1">(1-$B$18)*SUMPRODUCT(OFFSET($BO$15,0,0,$B$14,1), 1*(_xlfn._xlws.FILTER(OFFSET($O$15,0,$DN156,$B$8,1),OFFSET($M$15,0,0,$B$8,1))=EX$13), 1*(_xlfn._xlws.FILTER(OFFSET($O$15,0,$DO156,$B$8,1),OFFSET($M$15,0,0,$B$8,1))=EX$14))   /   SUM(OFFSET($BO$15,0,0,$B$14,1)) + $B$18/($B$19*$B$19*($DN156&lt;&gt;$DO156) + $B$19*($DN156=$DO156))</f>
        <v>3.7037037037037035E-4</v>
      </c>
      <c r="EY156" s="10" cm="1">
        <f t="array" aca="1" ref="EY156" ca="1">(1-$B$18)*SUMPRODUCT(OFFSET($BO$15,0,0,$B$14,1), 1*(_xlfn._xlws.FILTER(OFFSET($O$15,0,$DN156,$B$8,1),OFFSET($M$15,0,0,$B$8,1))=EY$13), 1*(_xlfn._xlws.FILTER(OFFSET($O$15,0,$DO156,$B$8,1),OFFSET($M$15,0,0,$B$8,1))=EY$14))   /   SUM(OFFSET($BO$15,0,0,$B$14,1)) + $B$18/($B$19*$B$19*($DN156&lt;&gt;$DO156) + $B$19*($DN156=$DO156))</f>
        <v>3.7037037037037035E-4</v>
      </c>
      <c r="EZ156" s="10" cm="1">
        <f t="array" aca="1" ref="EZ156" ca="1">(1-$B$18)*SUMPRODUCT(OFFSET($BO$15,0,0,$B$14,1), 1*(_xlfn._xlws.FILTER(OFFSET($O$15,0,$DN156,$B$8,1),OFFSET($M$15,0,0,$B$8,1))=EZ$13), 1*(_xlfn._xlws.FILTER(OFFSET($O$15,0,$DO156,$B$8,1),OFFSET($M$15,0,0,$B$8,1))=EZ$14))   /   SUM(OFFSET($BO$15,0,0,$B$14,1)) + $B$18/($B$19*$B$19*($DN156&lt;&gt;$DO156) + $B$19*($DN156=$DO156))</f>
        <v>3.7037037037037035E-4</v>
      </c>
      <c r="FA156" s="10" cm="1">
        <f t="array" aca="1" ref="FA156" ca="1">(1-$B$18)*SUMPRODUCT(OFFSET($BO$15,0,0,$B$14,1), 1*(_xlfn._xlws.FILTER(OFFSET($O$15,0,$DN156,$B$8,1),OFFSET($M$15,0,0,$B$8,1))=FA$13), 1*(_xlfn._xlws.FILTER(OFFSET($O$15,0,$DO156,$B$8,1),OFFSET($M$15,0,0,$B$8,1))=FA$14))   /   SUM(OFFSET($BO$15,0,0,$B$14,1)) + $B$18/($B$19*$B$19*($DN156&lt;&gt;$DO156) + $B$19*($DN156=$DO156))</f>
        <v>3.7037037037037035E-4</v>
      </c>
      <c r="FB156" s="10" cm="1">
        <f t="array" aca="1" ref="FB156" ca="1">(1-$B$18)*SUMPRODUCT(OFFSET($BO$15,0,0,$B$14,1), 1*(_xlfn._xlws.FILTER(OFFSET($O$15,0,$DN156,$B$8,1),OFFSET($M$15,0,0,$B$8,1))=FB$13), 1*(_xlfn._xlws.FILTER(OFFSET($O$15,0,$DO156,$B$8,1),OFFSET($M$15,0,0,$B$8,1))=FB$14))   /   SUM(OFFSET($BO$15,0,0,$B$14,1)) + $B$18/($B$19*$B$19*($DN156&lt;&gt;$DO156) + $B$19*($DN156=$DO156))</f>
        <v>3.7037037037037035E-4</v>
      </c>
      <c r="FC156" s="10" cm="1">
        <f t="array" aca="1" ref="FC156" ca="1">(1-$B$18)*SUMPRODUCT(OFFSET($BO$15,0,0,$B$14,1), 1*(_xlfn._xlws.FILTER(OFFSET($O$15,0,$DN156,$B$8,1),OFFSET($M$15,0,0,$B$8,1))=FC$13), 1*(_xlfn._xlws.FILTER(OFFSET($O$15,0,$DO156,$B$8,1),OFFSET($M$15,0,0,$B$8,1))=FC$14))   /   SUM(OFFSET($BO$15,0,0,$B$14,1)) + $B$18/($B$19*$B$19*($DN156&lt;&gt;$DO156) + $B$19*($DN156=$DO156))</f>
        <v>3.7037037037037035E-4</v>
      </c>
      <c r="FD156" s="10" cm="1">
        <f t="array" aca="1" ref="FD156" ca="1">(1-$B$18)*SUMPRODUCT(OFFSET($BO$15,0,0,$B$14,1), 1*(_xlfn._xlws.FILTER(OFFSET($O$15,0,$DN156,$B$8,1),OFFSET($M$15,0,0,$B$8,1))=FD$13), 1*(_xlfn._xlws.FILTER(OFFSET($O$15,0,$DO156,$B$8,1),OFFSET($M$15,0,0,$B$8,1))=FD$14))   /   SUM(OFFSET($BO$15,0,0,$B$14,1)) + $B$18/($B$19*$B$19*($DN156&lt;&gt;$DO156) + $B$19*($DN156=$DO156))</f>
        <v>3.7037037037037035E-4</v>
      </c>
      <c r="FE156" s="10" cm="1">
        <f t="array" aca="1" ref="FE156" ca="1">(1-$B$18)*SUMPRODUCT(OFFSET($BO$15,0,0,$B$14,1), 1*(_xlfn._xlws.FILTER(OFFSET($O$15,0,$DN156,$B$8,1),OFFSET($M$15,0,0,$B$8,1))=FE$13), 1*(_xlfn._xlws.FILTER(OFFSET($O$15,0,$DO156,$B$8,1),OFFSET($M$15,0,0,$B$8,1))=FE$14))   /   SUM(OFFSET($BO$15,0,0,$B$14,1)) + $B$18/($B$19*$B$19*($DN156&lt;&gt;$DO156) + $B$19*($DN156=$DO156))</f>
        <v>3.7037037037037035E-4</v>
      </c>
      <c r="FF156" s="10" cm="1">
        <f t="array" aca="1" ref="FF156" ca="1">(1-$B$18)*SUMPRODUCT(OFFSET($BO$15,0,0,$B$14,1), 1*(_xlfn._xlws.FILTER(OFFSET($O$15,0,$DN156,$B$8,1),OFFSET($M$15,0,0,$B$8,1))=FF$13), 1*(_xlfn._xlws.FILTER(OFFSET($O$15,0,$DO156,$B$8,1),OFFSET($M$15,0,0,$B$8,1))=FF$14))   /   SUM(OFFSET($BO$15,0,0,$B$14,1)) + $B$18/($B$19*$B$19*($DN156&lt;&gt;$DO156) + $B$19*($DN156=$DO156))</f>
        <v>3.7037037037037035E-4</v>
      </c>
      <c r="FG156" s="10" cm="1">
        <f t="array" aca="1" ref="FG156" ca="1">(1-$B$18)*SUMPRODUCT(OFFSET($BO$15,0,0,$B$14,1), 1*(_xlfn._xlws.FILTER(OFFSET($O$15,0,$DN156,$B$8,1),OFFSET($M$15,0,0,$B$8,1))=FG$13), 1*(_xlfn._xlws.FILTER(OFFSET($O$15,0,$DO156,$B$8,1),OFFSET($M$15,0,0,$B$8,1))=FG$14))   /   SUM(OFFSET($BO$15,0,0,$B$14,1)) + $B$18/($B$19*$B$19*($DN156&lt;&gt;$DO156) + $B$19*($DN156=$DO156))</f>
        <v>3.7037037037037035E-4</v>
      </c>
      <c r="FH156" s="10" cm="1">
        <f t="array" aca="1" ref="FH156" ca="1">(1-$B$18)*SUMPRODUCT(OFFSET($BO$15,0,0,$B$14,1), 1*(_xlfn._xlws.FILTER(OFFSET($O$15,0,$DN156,$B$8,1),OFFSET($M$15,0,0,$B$8,1))=FH$13), 1*(_xlfn._xlws.FILTER(OFFSET($O$15,0,$DO156,$B$8,1),OFFSET($M$15,0,0,$B$8,1))=FH$14))   /   SUM(OFFSET($BO$15,0,0,$B$14,1)) + $B$18/($B$19*$B$19*($DN156&lt;&gt;$DO156) + $B$19*($DN156=$DO156))</f>
        <v>3.7037037037037035E-4</v>
      </c>
      <c r="FI156" s="10" cm="1">
        <f t="array" aca="1" ref="FI156" ca="1">(1-$B$18)*SUMPRODUCT(OFFSET($BO$15,0,0,$B$14,1), 1*(_xlfn._xlws.FILTER(OFFSET($O$15,0,$DN156,$B$8,1),OFFSET($M$15,0,0,$B$8,1))=FI$13), 1*(_xlfn._xlws.FILTER(OFFSET($O$15,0,$DO156,$B$8,1),OFFSET($M$15,0,0,$B$8,1))=FI$14))   /   SUM(OFFSET($BO$15,0,0,$B$14,1)) + $B$18/($B$19*$B$19*($DN156&lt;&gt;$DO156) + $B$19*($DN156=$DO156))</f>
        <v>3.7037037037037035E-4</v>
      </c>
      <c r="FJ156" s="10" cm="1">
        <f t="array" aca="1" ref="FJ156" ca="1">(1-$B$18)*SUMPRODUCT(OFFSET($BO$15,0,0,$B$14,1), 1*(_xlfn._xlws.FILTER(OFFSET($O$15,0,$DN156,$B$8,1),OFFSET($M$15,0,0,$B$8,1))=FJ$13), 1*(_xlfn._xlws.FILTER(OFFSET($O$15,0,$DO156,$B$8,1),OFFSET($M$15,0,0,$B$8,1))=FJ$14))   /   SUM(OFFSET($BO$15,0,0,$B$14,1)) + $B$18/($B$19*$B$19*($DN156&lt;&gt;$DO156) + $B$19*($DN156=$DO156))</f>
        <v>3.7037037037037035E-4</v>
      </c>
      <c r="FK156" s="10" cm="1">
        <f t="array" aca="1" ref="FK156" ca="1">(1-$B$18)*SUMPRODUCT(OFFSET($BO$15,0,0,$B$14,1), 1*(_xlfn._xlws.FILTER(OFFSET($O$15,0,$DN156,$B$8,1),OFFSET($M$15,0,0,$B$8,1))=FK$13), 1*(_xlfn._xlws.FILTER(OFFSET($O$15,0,$DO156,$B$8,1),OFFSET($M$15,0,0,$B$8,1))=FK$14))   /   SUM(OFFSET($BO$15,0,0,$B$14,1)) + $B$18/($B$19*$B$19*($DN156&lt;&gt;$DO156) + $B$19*($DN156=$DO156))</f>
        <v>3.7037037037037035E-4</v>
      </c>
      <c r="FL156" s="10" cm="1">
        <f t="array" aca="1" ref="FL156" ca="1">(1-$B$18)*SUMPRODUCT(OFFSET($BO$15,0,0,$B$14,1), 1*(_xlfn._xlws.FILTER(OFFSET($O$15,0,$DN156,$B$8,1),OFFSET($M$15,0,0,$B$8,1))=FL$13), 1*(_xlfn._xlws.FILTER(OFFSET($O$15,0,$DO156,$B$8,1),OFFSET($M$15,0,0,$B$8,1))=FL$14))   /   SUM(OFFSET($BO$15,0,0,$B$14,1)) + $B$18/($B$19*$B$19*($DN156&lt;&gt;$DO156) + $B$19*($DN156=$DO156))</f>
        <v>3.7037037037037035E-4</v>
      </c>
      <c r="FM156" s="10" cm="1">
        <f t="array" aca="1" ref="FM156" ca="1">(1-$B$18)*SUMPRODUCT(OFFSET($BO$15,0,0,$B$14,1), 1*(_xlfn._xlws.FILTER(OFFSET($O$15,0,$DN156,$B$8,1),OFFSET($M$15,0,0,$B$8,1))=FM$13), 1*(_xlfn._xlws.FILTER(OFFSET($O$15,0,$DO156,$B$8,1),OFFSET($M$15,0,0,$B$8,1))=FM$14))   /   SUM(OFFSET($BO$15,0,0,$B$14,1)) + $B$18/($B$19*$B$19*($DN156&lt;&gt;$DO156) + $B$19*($DN156=$DO156))</f>
        <v>3.7037037037037035E-4</v>
      </c>
      <c r="FN156" s="10" cm="1">
        <f t="array" aca="1" ref="FN156" ca="1">(1-$B$18)*SUMPRODUCT(OFFSET($BO$15,0,0,$B$14,1), 1*(_xlfn._xlws.FILTER(OFFSET($O$15,0,$DN156,$B$8,1),OFFSET($M$15,0,0,$B$8,1))=FN$13), 1*(_xlfn._xlws.FILTER(OFFSET($O$15,0,$DO156,$B$8,1),OFFSET($M$15,0,0,$B$8,1))=FN$14))   /   SUM(OFFSET($BO$15,0,0,$B$14,1)) + $B$18/($B$19*$B$19*($DN156&lt;&gt;$DO156) + $B$19*($DN156=$DO156))</f>
        <v>3.7037037037037035E-4</v>
      </c>
      <c r="FO156" s="10" cm="1">
        <f t="array" aca="1" ref="FO156" ca="1">(1-$B$18)*SUMPRODUCT(OFFSET($BO$15,0,0,$B$14,1), 1*(_xlfn._xlws.FILTER(OFFSET($O$15,0,$DN156,$B$8,1),OFFSET($M$15,0,0,$B$8,1))=FO$13), 1*(_xlfn._xlws.FILTER(OFFSET($O$15,0,$DO156,$B$8,1),OFFSET($M$15,0,0,$B$8,1))=FO$14))   /   SUM(OFFSET($BO$15,0,0,$B$14,1)) + $B$18/($B$19*$B$19*($DN156&lt;&gt;$DO156) + $B$19*($DN156=$DO156))</f>
        <v>3.7037037037037035E-4</v>
      </c>
      <c r="FP156" s="10" cm="1">
        <f t="array" aca="1" ref="FP156" ca="1">(1-$B$18)*SUMPRODUCT(OFFSET($BO$15,0,0,$B$14,1), 1*(_xlfn._xlws.FILTER(OFFSET($O$15,0,$DN156,$B$8,1),OFFSET($M$15,0,0,$B$8,1))=FP$13), 1*(_xlfn._xlws.FILTER(OFFSET($O$15,0,$DO156,$B$8,1),OFFSET($M$15,0,0,$B$8,1))=FP$14))   /   SUM(OFFSET($BO$15,0,0,$B$14,1)) + $B$18/($B$19*$B$19*($DN156&lt;&gt;$DO156) + $B$19*($DN156=$DO156))</f>
        <v>3.7037037037037035E-4</v>
      </c>
      <c r="FQ156" s="10" cm="1">
        <f t="array" aca="1" ref="FQ156" ca="1">(1-$B$18)*SUMPRODUCT(OFFSET($BO$15,0,0,$B$14,1), 1*(_xlfn._xlws.FILTER(OFFSET($O$15,0,$DN156,$B$8,1),OFFSET($M$15,0,0,$B$8,1))=FQ$13), 1*(_xlfn._xlws.FILTER(OFFSET($O$15,0,$DO156,$B$8,1),OFFSET($M$15,0,0,$B$8,1))=FQ$14))   /   SUM(OFFSET($BO$15,0,0,$B$14,1)) + $B$18/($B$19*$B$19*($DN156&lt;&gt;$DO156) + $B$19*($DN156=$DO156))</f>
        <v>3.7037037037037035E-4</v>
      </c>
      <c r="FR156" s="10" cm="1">
        <f t="array" aca="1" ref="FR156" ca="1">(1-$B$18)*SUMPRODUCT(OFFSET($BO$15,0,0,$B$14,1), 1*(_xlfn._xlws.FILTER(OFFSET($O$15,0,$DN156,$B$8,1),OFFSET($M$15,0,0,$B$8,1))=FR$13), 1*(_xlfn._xlws.FILTER(OFFSET($O$15,0,$DO156,$B$8,1),OFFSET($M$15,0,0,$B$8,1))=FR$14))   /   SUM(OFFSET($BO$15,0,0,$B$14,1)) + $B$18/($B$19*$B$19*($DN156&lt;&gt;$DO156) + $B$19*($DN156=$DO156))</f>
        <v>0.97037037037037033</v>
      </c>
      <c r="FS156" s="10" cm="1">
        <f t="array" aca="1" ref="FS156" ca="1">(1-$B$18)*SUMPRODUCT(OFFSET($BO$15,0,0,$B$14,1), 1*(_xlfn._xlws.FILTER(OFFSET($O$15,0,$DN156,$B$8,1),OFFSET($M$15,0,0,$B$8,1))=FS$13), 1*(_xlfn._xlws.FILTER(OFFSET($O$15,0,$DO156,$B$8,1),OFFSET($M$15,0,0,$B$8,1))=FS$14))   /   SUM(OFFSET($BO$15,0,0,$B$14,1)) + $B$18/($B$19*$B$19*($DN156&lt;&gt;$DO156) + $B$19*($DN156=$DO156))</f>
        <v>3.7037037037037035E-4</v>
      </c>
      <c r="FT156" s="10" cm="1">
        <f t="array" aca="1" ref="FT156" ca="1">(1-$B$18)*SUMPRODUCT(OFFSET($BO$15,0,0,$B$14,1), 1*(_xlfn._xlws.FILTER(OFFSET($O$15,0,$DN156,$B$8,1),OFFSET($M$15,0,0,$B$8,1))=FT$13), 1*(_xlfn._xlws.FILTER(OFFSET($O$15,0,$DO156,$B$8,1),OFFSET($M$15,0,0,$B$8,1))=FT$14))   /   SUM(OFFSET($BO$15,0,0,$B$14,1)) + $B$18/($B$19*$B$19*($DN156&lt;&gt;$DO156) + $B$19*($DN156=$DO156))</f>
        <v>3.7037037037037035E-4</v>
      </c>
      <c r="FU156" s="10" cm="1">
        <f t="array" aca="1" ref="FU156" ca="1">(1-$B$18)*SUMPRODUCT(OFFSET($BO$15,0,0,$B$14,1), 1*(_xlfn._xlws.FILTER(OFFSET($O$15,0,$DN156,$B$8,1),OFFSET($M$15,0,0,$B$8,1))=FU$13), 1*(_xlfn._xlws.FILTER(OFFSET($O$15,0,$DO156,$B$8,1),OFFSET($M$15,0,0,$B$8,1))=FU$14))   /   SUM(OFFSET($BO$15,0,0,$B$14,1)) + $B$18/($B$19*$B$19*($DN156&lt;&gt;$DO156) + $B$19*($DN156=$DO156))</f>
        <v>3.7037037037037035E-4</v>
      </c>
      <c r="FV156" s="10" cm="1">
        <f t="array" aca="1" ref="FV156" ca="1">(1-$B$18)*SUMPRODUCT(OFFSET($BO$15,0,0,$B$14,1), 1*(_xlfn._xlws.FILTER(OFFSET($O$15,0,$DN156,$B$8,1),OFFSET($M$15,0,0,$B$8,1))=FV$13), 1*(_xlfn._xlws.FILTER(OFFSET($O$15,0,$DO156,$B$8,1),OFFSET($M$15,0,0,$B$8,1))=FV$14))   /   SUM(OFFSET($BO$15,0,0,$B$14,1)) + $B$18/($B$19*$B$19*($DN156&lt;&gt;$DO156) + $B$19*($DN156=$DO156))</f>
        <v>3.7037037037037035E-4</v>
      </c>
      <c r="FW156" s="10" cm="1">
        <f t="array" aca="1" ref="FW156" ca="1">(1-$B$18)*SUMPRODUCT(OFFSET($BO$15,0,0,$B$14,1), 1*(_xlfn._xlws.FILTER(OFFSET($O$15,0,$DN156,$B$8,1),OFFSET($M$15,0,0,$B$8,1))=FW$13), 1*(_xlfn._xlws.FILTER(OFFSET($O$15,0,$DO156,$B$8,1),OFFSET($M$15,0,0,$B$8,1))=FW$14))   /   SUM(OFFSET($BO$15,0,0,$B$14,1)) + $B$18/($B$19*$B$19*($DN156&lt;&gt;$DO156) + $B$19*($DN156=$DO156))</f>
        <v>3.7037037037037035E-4</v>
      </c>
      <c r="FX156" s="10" cm="1">
        <f t="array" aca="1" ref="FX156" ca="1">(1-$B$18)*SUMPRODUCT(OFFSET($BO$15,0,0,$B$14,1), 1*(_xlfn._xlws.FILTER(OFFSET($O$15,0,$DN156,$B$8,1),OFFSET($M$15,0,0,$B$8,1))=FX$13), 1*(_xlfn._xlws.FILTER(OFFSET($O$15,0,$DO156,$B$8,1),OFFSET($M$15,0,0,$B$8,1))=FX$14))   /   SUM(OFFSET($BO$15,0,0,$B$14,1)) + $B$18/($B$19*$B$19*($DN156&lt;&gt;$DO156) + $B$19*($DN156=$DO156))</f>
        <v>3.7037037037037035E-4</v>
      </c>
      <c r="FY156" s="10" cm="1">
        <f t="array" aca="1" ref="FY156" ca="1">(1-$B$18)*SUMPRODUCT(OFFSET($BO$15,0,0,$B$14,1), 1*(_xlfn._xlws.FILTER(OFFSET($O$15,0,$DN156,$B$8,1),OFFSET($M$15,0,0,$B$8,1))=FY$13), 1*(_xlfn._xlws.FILTER(OFFSET($O$15,0,$DO156,$B$8,1),OFFSET($M$15,0,0,$B$8,1))=FY$14))   /   SUM(OFFSET($BO$15,0,0,$B$14,1)) + $B$18/($B$19*$B$19*($DN156&lt;&gt;$DO156) + $B$19*($DN156=$DO156))</f>
        <v>3.7037037037037035E-4</v>
      </c>
      <c r="FZ156" s="10" cm="1">
        <f t="array" aca="1" ref="FZ156" ca="1">(1-$B$18)*SUMPRODUCT(OFFSET($BO$15,0,0,$B$14,1), 1*(_xlfn._xlws.FILTER(OFFSET($O$15,0,$DN156,$B$8,1),OFFSET($M$15,0,0,$B$8,1))=FZ$13), 1*(_xlfn._xlws.FILTER(OFFSET($O$15,0,$DO156,$B$8,1),OFFSET($M$15,0,0,$B$8,1))=FZ$14))   /   SUM(OFFSET($BO$15,0,0,$B$14,1)) + $B$18/($B$19*$B$19*($DN156&lt;&gt;$DO156) + $B$19*($DN156=$DO156))</f>
        <v>3.7037037037037035E-4</v>
      </c>
      <c r="GA156" s="10" cm="1">
        <f t="array" aca="1" ref="GA156" ca="1">(1-$B$18)*SUMPRODUCT(OFFSET($BO$15,0,0,$B$14,1), 1*(_xlfn._xlws.FILTER(OFFSET($O$15,0,$DN156,$B$8,1),OFFSET($M$15,0,0,$B$8,1))=GA$13), 1*(_xlfn._xlws.FILTER(OFFSET($O$15,0,$DO156,$B$8,1),OFFSET($M$15,0,0,$B$8,1))=GA$14))   /   SUM(OFFSET($BO$15,0,0,$B$14,1)) + $B$18/($B$19*$B$19*($DN156&lt;&gt;$DO156) + $B$19*($DN156=$DO156))</f>
        <v>3.7037037037037035E-4</v>
      </c>
    </row>
    <row r="157" spans="118:183" x14ac:dyDescent="0.2">
      <c r="DN157" cm="1">
        <f t="array" aca="1" ref="DN157" ca="1">INDEX(_xlfn.ANCHORARRAY($CP$15), 1 + INT((ROWS($DO$15:$DO157) - 1) / ROWS(_xlfn.ANCHORARRAY($CP$15))))</f>
        <v>7</v>
      </c>
      <c r="DO157" cm="1">
        <f t="array" aca="1" ref="DO157" ca="1">INDEX(_xlfn.ANCHORARRAY($CP$15),1+MOD(ROWS($DO$15:$DO157)-1,ROWS(_xlfn.ANCHORARRAY($CP$15))))</f>
        <v>9</v>
      </c>
      <c r="DP157" s="10" cm="1">
        <f t="array" aca="1" ref="DP157" ca="1">(1-$B$18)*SUMPRODUCT(OFFSET($BO$15,0,0,$B$14,1), 1*(_xlfn._xlws.FILTER(OFFSET($O$15,0,$DN157,$B$8,1),OFFSET($M$15,0,0,$B$8,1))=DP$13), 1*(_xlfn._xlws.FILTER(OFFSET($O$15,0,$DO157,$B$8,1),OFFSET($M$15,0,0,$B$8,1))=DP$14))   /   SUM(OFFSET($BO$15,0,0,$B$14,1)) + $B$18/($B$19*$B$19*($DN157&lt;&gt;$DO157) + $B$19*($DN157=$DO157))</f>
        <v>3.7037037037037035E-4</v>
      </c>
      <c r="DQ157" s="10" cm="1">
        <f t="array" aca="1" ref="DQ157" ca="1">(1-$B$18)*SUMPRODUCT(OFFSET($BO$15,0,0,$B$14,1), 1*(_xlfn._xlws.FILTER(OFFSET($O$15,0,$DN157,$B$8,1),OFFSET($M$15,0,0,$B$8,1))=DQ$13), 1*(_xlfn._xlws.FILTER(OFFSET($O$15,0,$DO157,$B$8,1),OFFSET($M$15,0,0,$B$8,1))=DQ$14))   /   SUM(OFFSET($BO$15,0,0,$B$14,1)) + $B$18/($B$19*$B$19*($DN157&lt;&gt;$DO157) + $B$19*($DN157=$DO157))</f>
        <v>3.7037037037037035E-4</v>
      </c>
      <c r="DR157" s="10" cm="1">
        <f t="array" aca="1" ref="DR157" ca="1">(1-$B$18)*SUMPRODUCT(OFFSET($BO$15,0,0,$B$14,1), 1*(_xlfn._xlws.FILTER(OFFSET($O$15,0,$DN157,$B$8,1),OFFSET($M$15,0,0,$B$8,1))=DR$13), 1*(_xlfn._xlws.FILTER(OFFSET($O$15,0,$DO157,$B$8,1),OFFSET($M$15,0,0,$B$8,1))=DR$14))   /   SUM(OFFSET($BO$15,0,0,$B$14,1)) + $B$18/($B$19*$B$19*($DN157&lt;&gt;$DO157) + $B$19*($DN157=$DO157))</f>
        <v>3.7037037037037035E-4</v>
      </c>
      <c r="DS157" s="10" cm="1">
        <f t="array" aca="1" ref="DS157" ca="1">(1-$B$18)*SUMPRODUCT(OFFSET($BO$15,0,0,$B$14,1), 1*(_xlfn._xlws.FILTER(OFFSET($O$15,0,$DN157,$B$8,1),OFFSET($M$15,0,0,$B$8,1))=DS$13), 1*(_xlfn._xlws.FILTER(OFFSET($O$15,0,$DO157,$B$8,1),OFFSET($M$15,0,0,$B$8,1))=DS$14))   /   SUM(OFFSET($BO$15,0,0,$B$14,1)) + $B$18/($B$19*$B$19*($DN157&lt;&gt;$DO157) + $B$19*($DN157=$DO157))</f>
        <v>3.7037037037037035E-4</v>
      </c>
      <c r="DT157" s="10" cm="1">
        <f t="array" aca="1" ref="DT157" ca="1">(1-$B$18)*SUMPRODUCT(OFFSET($BO$15,0,0,$B$14,1), 1*(_xlfn._xlws.FILTER(OFFSET($O$15,0,$DN157,$B$8,1),OFFSET($M$15,0,0,$B$8,1))=DT$13), 1*(_xlfn._xlws.FILTER(OFFSET($O$15,0,$DO157,$B$8,1),OFFSET($M$15,0,0,$B$8,1))=DT$14))   /   SUM(OFFSET($BO$15,0,0,$B$14,1)) + $B$18/($B$19*$B$19*($DN157&lt;&gt;$DO157) + $B$19*($DN157=$DO157))</f>
        <v>3.7037037037037035E-4</v>
      </c>
      <c r="DU157" s="10" cm="1">
        <f t="array" aca="1" ref="DU157" ca="1">(1-$B$18)*SUMPRODUCT(OFFSET($BO$15,0,0,$B$14,1), 1*(_xlfn._xlws.FILTER(OFFSET($O$15,0,$DN157,$B$8,1),OFFSET($M$15,0,0,$B$8,1))=DU$13), 1*(_xlfn._xlws.FILTER(OFFSET($O$15,0,$DO157,$B$8,1),OFFSET($M$15,0,0,$B$8,1))=DU$14))   /   SUM(OFFSET($BO$15,0,0,$B$14,1)) + $B$18/($B$19*$B$19*($DN157&lt;&gt;$DO157) + $B$19*($DN157=$DO157))</f>
        <v>3.7037037037037035E-4</v>
      </c>
      <c r="DV157" s="10" cm="1">
        <f t="array" aca="1" ref="DV157" ca="1">(1-$B$18)*SUMPRODUCT(OFFSET($BO$15,0,0,$B$14,1), 1*(_xlfn._xlws.FILTER(OFFSET($O$15,0,$DN157,$B$8,1),OFFSET($M$15,0,0,$B$8,1))=DV$13), 1*(_xlfn._xlws.FILTER(OFFSET($O$15,0,$DO157,$B$8,1),OFFSET($M$15,0,0,$B$8,1))=DV$14))   /   SUM(OFFSET($BO$15,0,0,$B$14,1)) + $B$18/($B$19*$B$19*($DN157&lt;&gt;$DO157) + $B$19*($DN157=$DO157))</f>
        <v>3.7037037037037035E-4</v>
      </c>
      <c r="DW157" s="10" cm="1">
        <f t="array" aca="1" ref="DW157" ca="1">(1-$B$18)*SUMPRODUCT(OFFSET($BO$15,0,0,$B$14,1), 1*(_xlfn._xlws.FILTER(OFFSET($O$15,0,$DN157,$B$8,1),OFFSET($M$15,0,0,$B$8,1))=DW$13), 1*(_xlfn._xlws.FILTER(OFFSET($O$15,0,$DO157,$B$8,1),OFFSET($M$15,0,0,$B$8,1))=DW$14))   /   SUM(OFFSET($BO$15,0,0,$B$14,1)) + $B$18/($B$19*$B$19*($DN157&lt;&gt;$DO157) + $B$19*($DN157=$DO157))</f>
        <v>3.7037037037037035E-4</v>
      </c>
      <c r="DX157" s="10" cm="1">
        <f t="array" aca="1" ref="DX157" ca="1">(1-$B$18)*SUMPRODUCT(OFFSET($BO$15,0,0,$B$14,1), 1*(_xlfn._xlws.FILTER(OFFSET($O$15,0,$DN157,$B$8,1),OFFSET($M$15,0,0,$B$8,1))=DX$13), 1*(_xlfn._xlws.FILTER(OFFSET($O$15,0,$DO157,$B$8,1),OFFSET($M$15,0,0,$B$8,1))=DX$14))   /   SUM(OFFSET($BO$15,0,0,$B$14,1)) + $B$18/($B$19*$B$19*($DN157&lt;&gt;$DO157) + $B$19*($DN157=$DO157))</f>
        <v>3.7037037037037035E-4</v>
      </c>
      <c r="DY157" s="10" cm="1">
        <f t="array" aca="1" ref="DY157" ca="1">(1-$B$18)*SUMPRODUCT(OFFSET($BO$15,0,0,$B$14,1), 1*(_xlfn._xlws.FILTER(OFFSET($O$15,0,$DN157,$B$8,1),OFFSET($M$15,0,0,$B$8,1))=DY$13), 1*(_xlfn._xlws.FILTER(OFFSET($O$15,0,$DO157,$B$8,1),OFFSET($M$15,0,0,$B$8,1))=DY$14))   /   SUM(OFFSET($BO$15,0,0,$B$14,1)) + $B$18/($B$19*$B$19*($DN157&lt;&gt;$DO157) + $B$19*($DN157=$DO157))</f>
        <v>3.7037037037037035E-4</v>
      </c>
      <c r="DZ157" s="10" cm="1">
        <f t="array" aca="1" ref="DZ157" ca="1">(1-$B$18)*SUMPRODUCT(OFFSET($BO$15,0,0,$B$14,1), 1*(_xlfn._xlws.FILTER(OFFSET($O$15,0,$DN157,$B$8,1),OFFSET($M$15,0,0,$B$8,1))=DZ$13), 1*(_xlfn._xlws.FILTER(OFFSET($O$15,0,$DO157,$B$8,1),OFFSET($M$15,0,0,$B$8,1))=DZ$14))   /   SUM(OFFSET($BO$15,0,0,$B$14,1)) + $B$18/($B$19*$B$19*($DN157&lt;&gt;$DO157) + $B$19*($DN157=$DO157))</f>
        <v>3.7037037037037035E-4</v>
      </c>
      <c r="EA157" s="10" cm="1">
        <f t="array" aca="1" ref="EA157" ca="1">(1-$B$18)*SUMPRODUCT(OFFSET($BO$15,0,0,$B$14,1), 1*(_xlfn._xlws.FILTER(OFFSET($O$15,0,$DN157,$B$8,1),OFFSET($M$15,0,0,$B$8,1))=EA$13), 1*(_xlfn._xlws.FILTER(OFFSET($O$15,0,$DO157,$B$8,1),OFFSET($M$15,0,0,$B$8,1))=EA$14))   /   SUM(OFFSET($BO$15,0,0,$B$14,1)) + $B$18/($B$19*$B$19*($DN157&lt;&gt;$DO157) + $B$19*($DN157=$DO157))</f>
        <v>3.7037037037037035E-4</v>
      </c>
      <c r="EB157" s="10" cm="1">
        <f t="array" aca="1" ref="EB157" ca="1">(1-$B$18)*SUMPRODUCT(OFFSET($BO$15,0,0,$B$14,1), 1*(_xlfn._xlws.FILTER(OFFSET($O$15,0,$DN157,$B$8,1),OFFSET($M$15,0,0,$B$8,1))=EB$13), 1*(_xlfn._xlws.FILTER(OFFSET($O$15,0,$DO157,$B$8,1),OFFSET($M$15,0,0,$B$8,1))=EB$14))   /   SUM(OFFSET($BO$15,0,0,$B$14,1)) + $B$18/($B$19*$B$19*($DN157&lt;&gt;$DO157) + $B$19*($DN157=$DO157))</f>
        <v>3.7037037037037035E-4</v>
      </c>
      <c r="EC157" s="10" cm="1">
        <f t="array" aca="1" ref="EC157" ca="1">(1-$B$18)*SUMPRODUCT(OFFSET($BO$15,0,0,$B$14,1), 1*(_xlfn._xlws.FILTER(OFFSET($O$15,0,$DN157,$B$8,1),OFFSET($M$15,0,0,$B$8,1))=EC$13), 1*(_xlfn._xlws.FILTER(OFFSET($O$15,0,$DO157,$B$8,1),OFFSET($M$15,0,0,$B$8,1))=EC$14))   /   SUM(OFFSET($BO$15,0,0,$B$14,1)) + $B$18/($B$19*$B$19*($DN157&lt;&gt;$DO157) + $B$19*($DN157=$DO157))</f>
        <v>3.7037037037037035E-4</v>
      </c>
      <c r="ED157" s="10" cm="1">
        <f t="array" aca="1" ref="ED157" ca="1">(1-$B$18)*SUMPRODUCT(OFFSET($BO$15,0,0,$B$14,1), 1*(_xlfn._xlws.FILTER(OFFSET($O$15,0,$DN157,$B$8,1),OFFSET($M$15,0,0,$B$8,1))=ED$13), 1*(_xlfn._xlws.FILTER(OFFSET($O$15,0,$DO157,$B$8,1),OFFSET($M$15,0,0,$B$8,1))=ED$14))   /   SUM(OFFSET($BO$15,0,0,$B$14,1)) + $B$18/($B$19*$B$19*($DN157&lt;&gt;$DO157) + $B$19*($DN157=$DO157))</f>
        <v>3.7037037037037035E-4</v>
      </c>
      <c r="EE157" s="10" cm="1">
        <f t="array" aca="1" ref="EE157" ca="1">(1-$B$18)*SUMPRODUCT(OFFSET($BO$15,0,0,$B$14,1), 1*(_xlfn._xlws.FILTER(OFFSET($O$15,0,$DN157,$B$8,1),OFFSET($M$15,0,0,$B$8,1))=EE$13), 1*(_xlfn._xlws.FILTER(OFFSET($O$15,0,$DO157,$B$8,1),OFFSET($M$15,0,0,$B$8,1))=EE$14))   /   SUM(OFFSET($BO$15,0,0,$B$14,1)) + $B$18/($B$19*$B$19*($DN157&lt;&gt;$DO157) + $B$19*($DN157=$DO157))</f>
        <v>3.7037037037037035E-4</v>
      </c>
      <c r="EF157" s="10" cm="1">
        <f t="array" aca="1" ref="EF157" ca="1">(1-$B$18)*SUMPRODUCT(OFFSET($BO$15,0,0,$B$14,1), 1*(_xlfn._xlws.FILTER(OFFSET($O$15,0,$DN157,$B$8,1),OFFSET($M$15,0,0,$B$8,1))=EF$13), 1*(_xlfn._xlws.FILTER(OFFSET($O$15,0,$DO157,$B$8,1),OFFSET($M$15,0,0,$B$8,1))=EF$14))   /   SUM(OFFSET($BO$15,0,0,$B$14,1)) + $B$18/($B$19*$B$19*($DN157&lt;&gt;$DO157) + $B$19*($DN157=$DO157))</f>
        <v>3.7037037037037035E-4</v>
      </c>
      <c r="EG157" s="10" cm="1">
        <f t="array" aca="1" ref="EG157" ca="1">(1-$B$18)*SUMPRODUCT(OFFSET($BO$15,0,0,$B$14,1), 1*(_xlfn._xlws.FILTER(OFFSET($O$15,0,$DN157,$B$8,1),OFFSET($M$15,0,0,$B$8,1))=EG$13), 1*(_xlfn._xlws.FILTER(OFFSET($O$15,0,$DO157,$B$8,1),OFFSET($M$15,0,0,$B$8,1))=EG$14))   /   SUM(OFFSET($BO$15,0,0,$B$14,1)) + $B$18/($B$19*$B$19*($DN157&lt;&gt;$DO157) + $B$19*($DN157=$DO157))</f>
        <v>3.7037037037037035E-4</v>
      </c>
      <c r="EH157" s="10" cm="1">
        <f t="array" aca="1" ref="EH157" ca="1">(1-$B$18)*SUMPRODUCT(OFFSET($BO$15,0,0,$B$14,1), 1*(_xlfn._xlws.FILTER(OFFSET($O$15,0,$DN157,$B$8,1),OFFSET($M$15,0,0,$B$8,1))=EH$13), 1*(_xlfn._xlws.FILTER(OFFSET($O$15,0,$DO157,$B$8,1),OFFSET($M$15,0,0,$B$8,1))=EH$14))   /   SUM(OFFSET($BO$15,0,0,$B$14,1)) + $B$18/($B$19*$B$19*($DN157&lt;&gt;$DO157) + $B$19*($DN157=$DO157))</f>
        <v>3.7037037037037035E-4</v>
      </c>
      <c r="EI157" s="10" cm="1">
        <f t="array" aca="1" ref="EI157" ca="1">(1-$B$18)*SUMPRODUCT(OFFSET($BO$15,0,0,$B$14,1), 1*(_xlfn._xlws.FILTER(OFFSET($O$15,0,$DN157,$B$8,1),OFFSET($M$15,0,0,$B$8,1))=EI$13), 1*(_xlfn._xlws.FILTER(OFFSET($O$15,0,$DO157,$B$8,1),OFFSET($M$15,0,0,$B$8,1))=EI$14))   /   SUM(OFFSET($BO$15,0,0,$B$14,1)) + $B$18/($B$19*$B$19*($DN157&lt;&gt;$DO157) + $B$19*($DN157=$DO157))</f>
        <v>3.7037037037037035E-4</v>
      </c>
      <c r="EJ157" s="10" cm="1">
        <f t="array" aca="1" ref="EJ157" ca="1">(1-$B$18)*SUMPRODUCT(OFFSET($BO$15,0,0,$B$14,1), 1*(_xlfn._xlws.FILTER(OFFSET($O$15,0,$DN157,$B$8,1),OFFSET($M$15,0,0,$B$8,1))=EJ$13), 1*(_xlfn._xlws.FILTER(OFFSET($O$15,0,$DO157,$B$8,1),OFFSET($M$15,0,0,$B$8,1))=EJ$14))   /   SUM(OFFSET($BO$15,0,0,$B$14,1)) + $B$18/($B$19*$B$19*($DN157&lt;&gt;$DO157) + $B$19*($DN157=$DO157))</f>
        <v>3.7037037037037035E-4</v>
      </c>
      <c r="EK157" s="10" cm="1">
        <f t="array" aca="1" ref="EK157" ca="1">(1-$B$18)*SUMPRODUCT(OFFSET($BO$15,0,0,$B$14,1), 1*(_xlfn._xlws.FILTER(OFFSET($O$15,0,$DN157,$B$8,1),OFFSET($M$15,0,0,$B$8,1))=EK$13), 1*(_xlfn._xlws.FILTER(OFFSET($O$15,0,$DO157,$B$8,1),OFFSET($M$15,0,0,$B$8,1))=EK$14))   /   SUM(OFFSET($BO$15,0,0,$B$14,1)) + $B$18/($B$19*$B$19*($DN157&lt;&gt;$DO157) + $B$19*($DN157=$DO157))</f>
        <v>3.7037037037037035E-4</v>
      </c>
      <c r="EL157" s="10" cm="1">
        <f t="array" aca="1" ref="EL157" ca="1">(1-$B$18)*SUMPRODUCT(OFFSET($BO$15,0,0,$B$14,1), 1*(_xlfn._xlws.FILTER(OFFSET($O$15,0,$DN157,$B$8,1),OFFSET($M$15,0,0,$B$8,1))=EL$13), 1*(_xlfn._xlws.FILTER(OFFSET($O$15,0,$DO157,$B$8,1),OFFSET($M$15,0,0,$B$8,1))=EL$14))   /   SUM(OFFSET($BO$15,0,0,$B$14,1)) + $B$18/($B$19*$B$19*($DN157&lt;&gt;$DO157) + $B$19*($DN157=$DO157))</f>
        <v>3.7037037037037035E-4</v>
      </c>
      <c r="EM157" s="10" cm="1">
        <f t="array" aca="1" ref="EM157" ca="1">(1-$B$18)*SUMPRODUCT(OFFSET($BO$15,0,0,$B$14,1), 1*(_xlfn._xlws.FILTER(OFFSET($O$15,0,$DN157,$B$8,1),OFFSET($M$15,0,0,$B$8,1))=EM$13), 1*(_xlfn._xlws.FILTER(OFFSET($O$15,0,$DO157,$B$8,1),OFFSET($M$15,0,0,$B$8,1))=EM$14))   /   SUM(OFFSET($BO$15,0,0,$B$14,1)) + $B$18/($B$19*$B$19*($DN157&lt;&gt;$DO157) + $B$19*($DN157=$DO157))</f>
        <v>3.7037037037037035E-4</v>
      </c>
      <c r="EN157" s="10" cm="1">
        <f t="array" aca="1" ref="EN157" ca="1">(1-$B$18)*SUMPRODUCT(OFFSET($BO$15,0,0,$B$14,1), 1*(_xlfn._xlws.FILTER(OFFSET($O$15,0,$DN157,$B$8,1),OFFSET($M$15,0,0,$B$8,1))=EN$13), 1*(_xlfn._xlws.FILTER(OFFSET($O$15,0,$DO157,$B$8,1),OFFSET($M$15,0,0,$B$8,1))=EN$14))   /   SUM(OFFSET($BO$15,0,0,$B$14,1)) + $B$18/($B$19*$B$19*($DN157&lt;&gt;$DO157) + $B$19*($DN157=$DO157))</f>
        <v>3.7037037037037035E-4</v>
      </c>
      <c r="EO157" s="10" cm="1">
        <f t="array" aca="1" ref="EO157" ca="1">(1-$B$18)*SUMPRODUCT(OFFSET($BO$15,0,0,$B$14,1), 1*(_xlfn._xlws.FILTER(OFFSET($O$15,0,$DN157,$B$8,1),OFFSET($M$15,0,0,$B$8,1))=EO$13), 1*(_xlfn._xlws.FILTER(OFFSET($O$15,0,$DO157,$B$8,1),OFFSET($M$15,0,0,$B$8,1))=EO$14))   /   SUM(OFFSET($BO$15,0,0,$B$14,1)) + $B$18/($B$19*$B$19*($DN157&lt;&gt;$DO157) + $B$19*($DN157=$DO157))</f>
        <v>3.7037037037037035E-4</v>
      </c>
      <c r="EP157" s="10" cm="1">
        <f t="array" aca="1" ref="EP157" ca="1">(1-$B$18)*SUMPRODUCT(OFFSET($BO$15,0,0,$B$14,1), 1*(_xlfn._xlws.FILTER(OFFSET($O$15,0,$DN157,$B$8,1),OFFSET($M$15,0,0,$B$8,1))=EP$13), 1*(_xlfn._xlws.FILTER(OFFSET($O$15,0,$DO157,$B$8,1),OFFSET($M$15,0,0,$B$8,1))=EP$14))   /   SUM(OFFSET($BO$15,0,0,$B$14,1)) + $B$18/($B$19*$B$19*($DN157&lt;&gt;$DO157) + $B$19*($DN157=$DO157))</f>
        <v>3.7037037037037035E-4</v>
      </c>
      <c r="EQ157" s="10" cm="1">
        <f t="array" aca="1" ref="EQ157" ca="1">(1-$B$18)*SUMPRODUCT(OFFSET($BO$15,0,0,$B$14,1), 1*(_xlfn._xlws.FILTER(OFFSET($O$15,0,$DN157,$B$8,1),OFFSET($M$15,0,0,$B$8,1))=EQ$13), 1*(_xlfn._xlws.FILTER(OFFSET($O$15,0,$DO157,$B$8,1),OFFSET($M$15,0,0,$B$8,1))=EQ$14))   /   SUM(OFFSET($BO$15,0,0,$B$14,1)) + $B$18/($B$19*$B$19*($DN157&lt;&gt;$DO157) + $B$19*($DN157=$DO157))</f>
        <v>3.7037037037037035E-4</v>
      </c>
      <c r="ER157" s="10" cm="1">
        <f t="array" aca="1" ref="ER157" ca="1">(1-$B$18)*SUMPRODUCT(OFFSET($BO$15,0,0,$B$14,1), 1*(_xlfn._xlws.FILTER(OFFSET($O$15,0,$DN157,$B$8,1),OFFSET($M$15,0,0,$B$8,1))=ER$13), 1*(_xlfn._xlws.FILTER(OFFSET($O$15,0,$DO157,$B$8,1),OFFSET($M$15,0,0,$B$8,1))=ER$14))   /   SUM(OFFSET($BO$15,0,0,$B$14,1)) + $B$18/($B$19*$B$19*($DN157&lt;&gt;$DO157) + $B$19*($DN157=$DO157))</f>
        <v>3.7037037037037035E-4</v>
      </c>
      <c r="ES157" s="10" cm="1">
        <f t="array" aca="1" ref="ES157" ca="1">(1-$B$18)*SUMPRODUCT(OFFSET($BO$15,0,0,$B$14,1), 1*(_xlfn._xlws.FILTER(OFFSET($O$15,0,$DN157,$B$8,1),OFFSET($M$15,0,0,$B$8,1))=ES$13), 1*(_xlfn._xlws.FILTER(OFFSET($O$15,0,$DO157,$B$8,1),OFFSET($M$15,0,0,$B$8,1))=ES$14))   /   SUM(OFFSET($BO$15,0,0,$B$14,1)) + $B$18/($B$19*$B$19*($DN157&lt;&gt;$DO157) + $B$19*($DN157=$DO157))</f>
        <v>3.7037037037037035E-4</v>
      </c>
      <c r="ET157" s="10" cm="1">
        <f t="array" aca="1" ref="ET157" ca="1">(1-$B$18)*SUMPRODUCT(OFFSET($BO$15,0,0,$B$14,1), 1*(_xlfn._xlws.FILTER(OFFSET($O$15,0,$DN157,$B$8,1),OFFSET($M$15,0,0,$B$8,1))=ET$13), 1*(_xlfn._xlws.FILTER(OFFSET($O$15,0,$DO157,$B$8,1),OFFSET($M$15,0,0,$B$8,1))=ET$14))   /   SUM(OFFSET($BO$15,0,0,$B$14,1)) + $B$18/($B$19*$B$19*($DN157&lt;&gt;$DO157) + $B$19*($DN157=$DO157))</f>
        <v>3.7037037037037035E-4</v>
      </c>
      <c r="EU157" s="10" cm="1">
        <f t="array" aca="1" ref="EU157" ca="1">(1-$B$18)*SUMPRODUCT(OFFSET($BO$15,0,0,$B$14,1), 1*(_xlfn._xlws.FILTER(OFFSET($O$15,0,$DN157,$B$8,1),OFFSET($M$15,0,0,$B$8,1))=EU$13), 1*(_xlfn._xlws.FILTER(OFFSET($O$15,0,$DO157,$B$8,1),OFFSET($M$15,0,0,$B$8,1))=EU$14))   /   SUM(OFFSET($BO$15,0,0,$B$14,1)) + $B$18/($B$19*$B$19*($DN157&lt;&gt;$DO157) + $B$19*($DN157=$DO157))</f>
        <v>3.7037037037037035E-4</v>
      </c>
      <c r="EV157" s="10" cm="1">
        <f t="array" aca="1" ref="EV157" ca="1">(1-$B$18)*SUMPRODUCT(OFFSET($BO$15,0,0,$B$14,1), 1*(_xlfn._xlws.FILTER(OFFSET($O$15,0,$DN157,$B$8,1),OFFSET($M$15,0,0,$B$8,1))=EV$13), 1*(_xlfn._xlws.FILTER(OFFSET($O$15,0,$DO157,$B$8,1),OFFSET($M$15,0,0,$B$8,1))=EV$14))   /   SUM(OFFSET($BO$15,0,0,$B$14,1)) + $B$18/($B$19*$B$19*($DN157&lt;&gt;$DO157) + $B$19*($DN157=$DO157))</f>
        <v>3.7037037037037035E-4</v>
      </c>
      <c r="EW157" s="10" cm="1">
        <f t="array" aca="1" ref="EW157" ca="1">(1-$B$18)*SUMPRODUCT(OFFSET($BO$15,0,0,$B$14,1), 1*(_xlfn._xlws.FILTER(OFFSET($O$15,0,$DN157,$B$8,1),OFFSET($M$15,0,0,$B$8,1))=EW$13), 1*(_xlfn._xlws.FILTER(OFFSET($O$15,0,$DO157,$B$8,1),OFFSET($M$15,0,0,$B$8,1))=EW$14))   /   SUM(OFFSET($BO$15,0,0,$B$14,1)) + $B$18/($B$19*$B$19*($DN157&lt;&gt;$DO157) + $B$19*($DN157=$DO157))</f>
        <v>3.7037037037037035E-4</v>
      </c>
      <c r="EX157" s="10" cm="1">
        <f t="array" aca="1" ref="EX157" ca="1">(1-$B$18)*SUMPRODUCT(OFFSET($BO$15,0,0,$B$14,1), 1*(_xlfn._xlws.FILTER(OFFSET($O$15,0,$DN157,$B$8,1),OFFSET($M$15,0,0,$B$8,1))=EX$13), 1*(_xlfn._xlws.FILTER(OFFSET($O$15,0,$DO157,$B$8,1),OFFSET($M$15,0,0,$B$8,1))=EX$14))   /   SUM(OFFSET($BO$15,0,0,$B$14,1)) + $B$18/($B$19*$B$19*($DN157&lt;&gt;$DO157) + $B$19*($DN157=$DO157))</f>
        <v>3.7037037037037035E-4</v>
      </c>
      <c r="EY157" s="10" cm="1">
        <f t="array" aca="1" ref="EY157" ca="1">(1-$B$18)*SUMPRODUCT(OFFSET($BO$15,0,0,$B$14,1), 1*(_xlfn._xlws.FILTER(OFFSET($O$15,0,$DN157,$B$8,1),OFFSET($M$15,0,0,$B$8,1))=EY$13), 1*(_xlfn._xlws.FILTER(OFFSET($O$15,0,$DO157,$B$8,1),OFFSET($M$15,0,0,$B$8,1))=EY$14))   /   SUM(OFFSET($BO$15,0,0,$B$14,1)) + $B$18/($B$19*$B$19*($DN157&lt;&gt;$DO157) + $B$19*($DN157=$DO157))</f>
        <v>3.7037037037037035E-4</v>
      </c>
      <c r="EZ157" s="10" cm="1">
        <f t="array" aca="1" ref="EZ157" ca="1">(1-$B$18)*SUMPRODUCT(OFFSET($BO$15,0,0,$B$14,1), 1*(_xlfn._xlws.FILTER(OFFSET($O$15,0,$DN157,$B$8,1),OFFSET($M$15,0,0,$B$8,1))=EZ$13), 1*(_xlfn._xlws.FILTER(OFFSET($O$15,0,$DO157,$B$8,1),OFFSET($M$15,0,0,$B$8,1))=EZ$14))   /   SUM(OFFSET($BO$15,0,0,$B$14,1)) + $B$18/($B$19*$B$19*($DN157&lt;&gt;$DO157) + $B$19*($DN157=$DO157))</f>
        <v>3.7037037037037035E-4</v>
      </c>
      <c r="FA157" s="10" cm="1">
        <f t="array" aca="1" ref="FA157" ca="1">(1-$B$18)*SUMPRODUCT(OFFSET($BO$15,0,0,$B$14,1), 1*(_xlfn._xlws.FILTER(OFFSET($O$15,0,$DN157,$B$8,1),OFFSET($M$15,0,0,$B$8,1))=FA$13), 1*(_xlfn._xlws.FILTER(OFFSET($O$15,0,$DO157,$B$8,1),OFFSET($M$15,0,0,$B$8,1))=FA$14))   /   SUM(OFFSET($BO$15,0,0,$B$14,1)) + $B$18/($B$19*$B$19*($DN157&lt;&gt;$DO157) + $B$19*($DN157=$DO157))</f>
        <v>3.7037037037037035E-4</v>
      </c>
      <c r="FB157" s="10" cm="1">
        <f t="array" aca="1" ref="FB157" ca="1">(1-$B$18)*SUMPRODUCT(OFFSET($BO$15,0,0,$B$14,1), 1*(_xlfn._xlws.FILTER(OFFSET($O$15,0,$DN157,$B$8,1),OFFSET($M$15,0,0,$B$8,1))=FB$13), 1*(_xlfn._xlws.FILTER(OFFSET($O$15,0,$DO157,$B$8,1),OFFSET($M$15,0,0,$B$8,1))=FB$14))   /   SUM(OFFSET($BO$15,0,0,$B$14,1)) + $B$18/($B$19*$B$19*($DN157&lt;&gt;$DO157) + $B$19*($DN157=$DO157))</f>
        <v>3.7037037037037035E-4</v>
      </c>
      <c r="FC157" s="10" cm="1">
        <f t="array" aca="1" ref="FC157" ca="1">(1-$B$18)*SUMPRODUCT(OFFSET($BO$15,0,0,$B$14,1), 1*(_xlfn._xlws.FILTER(OFFSET($O$15,0,$DN157,$B$8,1),OFFSET($M$15,0,0,$B$8,1))=FC$13), 1*(_xlfn._xlws.FILTER(OFFSET($O$15,0,$DO157,$B$8,1),OFFSET($M$15,0,0,$B$8,1))=FC$14))   /   SUM(OFFSET($BO$15,0,0,$B$14,1)) + $B$18/($B$19*$B$19*($DN157&lt;&gt;$DO157) + $B$19*($DN157=$DO157))</f>
        <v>3.7037037037037035E-4</v>
      </c>
      <c r="FD157" s="10" cm="1">
        <f t="array" aca="1" ref="FD157" ca="1">(1-$B$18)*SUMPRODUCT(OFFSET($BO$15,0,0,$B$14,1), 1*(_xlfn._xlws.FILTER(OFFSET($O$15,0,$DN157,$B$8,1),OFFSET($M$15,0,0,$B$8,1))=FD$13), 1*(_xlfn._xlws.FILTER(OFFSET($O$15,0,$DO157,$B$8,1),OFFSET($M$15,0,0,$B$8,1))=FD$14))   /   SUM(OFFSET($BO$15,0,0,$B$14,1)) + $B$18/($B$19*$B$19*($DN157&lt;&gt;$DO157) + $B$19*($DN157=$DO157))</f>
        <v>3.7037037037037035E-4</v>
      </c>
      <c r="FE157" s="10" cm="1">
        <f t="array" aca="1" ref="FE157" ca="1">(1-$B$18)*SUMPRODUCT(OFFSET($BO$15,0,0,$B$14,1), 1*(_xlfn._xlws.FILTER(OFFSET($O$15,0,$DN157,$B$8,1),OFFSET($M$15,0,0,$B$8,1))=FE$13), 1*(_xlfn._xlws.FILTER(OFFSET($O$15,0,$DO157,$B$8,1),OFFSET($M$15,0,0,$B$8,1))=FE$14))   /   SUM(OFFSET($BO$15,0,0,$B$14,1)) + $B$18/($B$19*$B$19*($DN157&lt;&gt;$DO157) + $B$19*($DN157=$DO157))</f>
        <v>3.7037037037037035E-4</v>
      </c>
      <c r="FF157" s="10" cm="1">
        <f t="array" aca="1" ref="FF157" ca="1">(1-$B$18)*SUMPRODUCT(OFFSET($BO$15,0,0,$B$14,1), 1*(_xlfn._xlws.FILTER(OFFSET($O$15,0,$DN157,$B$8,1),OFFSET($M$15,0,0,$B$8,1))=FF$13), 1*(_xlfn._xlws.FILTER(OFFSET($O$15,0,$DO157,$B$8,1),OFFSET($M$15,0,0,$B$8,1))=FF$14))   /   SUM(OFFSET($BO$15,0,0,$B$14,1)) + $B$18/($B$19*$B$19*($DN157&lt;&gt;$DO157) + $B$19*($DN157=$DO157))</f>
        <v>3.7037037037037035E-4</v>
      </c>
      <c r="FG157" s="10" cm="1">
        <f t="array" aca="1" ref="FG157" ca="1">(1-$B$18)*SUMPRODUCT(OFFSET($BO$15,0,0,$B$14,1), 1*(_xlfn._xlws.FILTER(OFFSET($O$15,0,$DN157,$B$8,1),OFFSET($M$15,0,0,$B$8,1))=FG$13), 1*(_xlfn._xlws.FILTER(OFFSET($O$15,0,$DO157,$B$8,1),OFFSET($M$15,0,0,$B$8,1))=FG$14))   /   SUM(OFFSET($BO$15,0,0,$B$14,1)) + $B$18/($B$19*$B$19*($DN157&lt;&gt;$DO157) + $B$19*($DN157=$DO157))</f>
        <v>3.7037037037037035E-4</v>
      </c>
      <c r="FH157" s="10" cm="1">
        <f t="array" aca="1" ref="FH157" ca="1">(1-$B$18)*SUMPRODUCT(OFFSET($BO$15,0,0,$B$14,1), 1*(_xlfn._xlws.FILTER(OFFSET($O$15,0,$DN157,$B$8,1),OFFSET($M$15,0,0,$B$8,1))=FH$13), 1*(_xlfn._xlws.FILTER(OFFSET($O$15,0,$DO157,$B$8,1),OFFSET($M$15,0,0,$B$8,1))=FH$14))   /   SUM(OFFSET($BO$15,0,0,$B$14,1)) + $B$18/($B$19*$B$19*($DN157&lt;&gt;$DO157) + $B$19*($DN157=$DO157))</f>
        <v>3.7037037037037035E-4</v>
      </c>
      <c r="FI157" s="10" cm="1">
        <f t="array" aca="1" ref="FI157" ca="1">(1-$B$18)*SUMPRODUCT(OFFSET($BO$15,0,0,$B$14,1), 1*(_xlfn._xlws.FILTER(OFFSET($O$15,0,$DN157,$B$8,1),OFFSET($M$15,0,0,$B$8,1))=FI$13), 1*(_xlfn._xlws.FILTER(OFFSET($O$15,0,$DO157,$B$8,1),OFFSET($M$15,0,0,$B$8,1))=FI$14))   /   SUM(OFFSET($BO$15,0,0,$B$14,1)) + $B$18/($B$19*$B$19*($DN157&lt;&gt;$DO157) + $B$19*($DN157=$DO157))</f>
        <v>3.7037037037037035E-4</v>
      </c>
      <c r="FJ157" s="10" cm="1">
        <f t="array" aca="1" ref="FJ157" ca="1">(1-$B$18)*SUMPRODUCT(OFFSET($BO$15,0,0,$B$14,1), 1*(_xlfn._xlws.FILTER(OFFSET($O$15,0,$DN157,$B$8,1),OFFSET($M$15,0,0,$B$8,1))=FJ$13), 1*(_xlfn._xlws.FILTER(OFFSET($O$15,0,$DO157,$B$8,1),OFFSET($M$15,0,0,$B$8,1))=FJ$14))   /   SUM(OFFSET($BO$15,0,0,$B$14,1)) + $B$18/($B$19*$B$19*($DN157&lt;&gt;$DO157) + $B$19*($DN157=$DO157))</f>
        <v>3.7037037037037035E-4</v>
      </c>
      <c r="FK157" s="10" cm="1">
        <f t="array" aca="1" ref="FK157" ca="1">(1-$B$18)*SUMPRODUCT(OFFSET($BO$15,0,0,$B$14,1), 1*(_xlfn._xlws.FILTER(OFFSET($O$15,0,$DN157,$B$8,1),OFFSET($M$15,0,0,$B$8,1))=FK$13), 1*(_xlfn._xlws.FILTER(OFFSET($O$15,0,$DO157,$B$8,1),OFFSET($M$15,0,0,$B$8,1))=FK$14))   /   SUM(OFFSET($BO$15,0,0,$B$14,1)) + $B$18/($B$19*$B$19*($DN157&lt;&gt;$DO157) + $B$19*($DN157=$DO157))</f>
        <v>3.7037037037037035E-4</v>
      </c>
      <c r="FL157" s="10" cm="1">
        <f t="array" aca="1" ref="FL157" ca="1">(1-$B$18)*SUMPRODUCT(OFFSET($BO$15,0,0,$B$14,1), 1*(_xlfn._xlws.FILTER(OFFSET($O$15,0,$DN157,$B$8,1),OFFSET($M$15,0,0,$B$8,1))=FL$13), 1*(_xlfn._xlws.FILTER(OFFSET($O$15,0,$DO157,$B$8,1),OFFSET($M$15,0,0,$B$8,1))=FL$14))   /   SUM(OFFSET($BO$15,0,0,$B$14,1)) + $B$18/($B$19*$B$19*($DN157&lt;&gt;$DO157) + $B$19*($DN157=$DO157))</f>
        <v>3.7037037037037035E-4</v>
      </c>
      <c r="FM157" s="10" cm="1">
        <f t="array" aca="1" ref="FM157" ca="1">(1-$B$18)*SUMPRODUCT(OFFSET($BO$15,0,0,$B$14,1), 1*(_xlfn._xlws.FILTER(OFFSET($O$15,0,$DN157,$B$8,1),OFFSET($M$15,0,0,$B$8,1))=FM$13), 1*(_xlfn._xlws.FILTER(OFFSET($O$15,0,$DO157,$B$8,1),OFFSET($M$15,0,0,$B$8,1))=FM$14))   /   SUM(OFFSET($BO$15,0,0,$B$14,1)) + $B$18/($B$19*$B$19*($DN157&lt;&gt;$DO157) + $B$19*($DN157=$DO157))</f>
        <v>3.7037037037037035E-4</v>
      </c>
      <c r="FN157" s="10" cm="1">
        <f t="array" aca="1" ref="FN157" ca="1">(1-$B$18)*SUMPRODUCT(OFFSET($BO$15,0,0,$B$14,1), 1*(_xlfn._xlws.FILTER(OFFSET($O$15,0,$DN157,$B$8,1),OFFSET($M$15,0,0,$B$8,1))=FN$13), 1*(_xlfn._xlws.FILTER(OFFSET($O$15,0,$DO157,$B$8,1),OFFSET($M$15,0,0,$B$8,1))=FN$14))   /   SUM(OFFSET($BO$15,0,0,$B$14,1)) + $B$18/($B$19*$B$19*($DN157&lt;&gt;$DO157) + $B$19*($DN157=$DO157))</f>
        <v>3.7037037037037035E-4</v>
      </c>
      <c r="FO157" s="10" cm="1">
        <f t="array" aca="1" ref="FO157" ca="1">(1-$B$18)*SUMPRODUCT(OFFSET($BO$15,0,0,$B$14,1), 1*(_xlfn._xlws.FILTER(OFFSET($O$15,0,$DN157,$B$8,1),OFFSET($M$15,0,0,$B$8,1))=FO$13), 1*(_xlfn._xlws.FILTER(OFFSET($O$15,0,$DO157,$B$8,1),OFFSET($M$15,0,0,$B$8,1))=FO$14))   /   SUM(OFFSET($BO$15,0,0,$B$14,1)) + $B$18/($B$19*$B$19*($DN157&lt;&gt;$DO157) + $B$19*($DN157=$DO157))</f>
        <v>3.7037037037037035E-4</v>
      </c>
      <c r="FP157" s="10" cm="1">
        <f t="array" aca="1" ref="FP157" ca="1">(1-$B$18)*SUMPRODUCT(OFFSET($BO$15,0,0,$B$14,1), 1*(_xlfn._xlws.FILTER(OFFSET($O$15,0,$DN157,$B$8,1),OFFSET($M$15,0,0,$B$8,1))=FP$13), 1*(_xlfn._xlws.FILTER(OFFSET($O$15,0,$DO157,$B$8,1),OFFSET($M$15,0,0,$B$8,1))=FP$14))   /   SUM(OFFSET($BO$15,0,0,$B$14,1)) + $B$18/($B$19*$B$19*($DN157&lt;&gt;$DO157) + $B$19*($DN157=$DO157))</f>
        <v>3.7037037037037035E-4</v>
      </c>
      <c r="FQ157" s="10" cm="1">
        <f t="array" aca="1" ref="FQ157" ca="1">(1-$B$18)*SUMPRODUCT(OFFSET($BO$15,0,0,$B$14,1), 1*(_xlfn._xlws.FILTER(OFFSET($O$15,0,$DN157,$B$8,1),OFFSET($M$15,0,0,$B$8,1))=FQ$13), 1*(_xlfn._xlws.FILTER(OFFSET($O$15,0,$DO157,$B$8,1),OFFSET($M$15,0,0,$B$8,1))=FQ$14))   /   SUM(OFFSET($BO$15,0,0,$B$14,1)) + $B$18/($B$19*$B$19*($DN157&lt;&gt;$DO157) + $B$19*($DN157=$DO157))</f>
        <v>3.7037037037037035E-4</v>
      </c>
      <c r="FR157" s="10" cm="1">
        <f t="array" aca="1" ref="FR157" ca="1">(1-$B$18)*SUMPRODUCT(OFFSET($BO$15,0,0,$B$14,1), 1*(_xlfn._xlws.FILTER(OFFSET($O$15,0,$DN157,$B$8,1),OFFSET($M$15,0,0,$B$8,1))=FR$13), 1*(_xlfn._xlws.FILTER(OFFSET($O$15,0,$DO157,$B$8,1),OFFSET($M$15,0,0,$B$8,1))=FR$14))   /   SUM(OFFSET($BO$15,0,0,$B$14,1)) + $B$18/($B$19*$B$19*($DN157&lt;&gt;$DO157) + $B$19*($DN157=$DO157))</f>
        <v>0.97037037037037033</v>
      </c>
      <c r="FS157" s="10" cm="1">
        <f t="array" aca="1" ref="FS157" ca="1">(1-$B$18)*SUMPRODUCT(OFFSET($BO$15,0,0,$B$14,1), 1*(_xlfn._xlws.FILTER(OFFSET($O$15,0,$DN157,$B$8,1),OFFSET($M$15,0,0,$B$8,1))=FS$13), 1*(_xlfn._xlws.FILTER(OFFSET($O$15,0,$DO157,$B$8,1),OFFSET($M$15,0,0,$B$8,1))=FS$14))   /   SUM(OFFSET($BO$15,0,0,$B$14,1)) + $B$18/($B$19*$B$19*($DN157&lt;&gt;$DO157) + $B$19*($DN157=$DO157))</f>
        <v>3.7037037037037035E-4</v>
      </c>
      <c r="FT157" s="10" cm="1">
        <f t="array" aca="1" ref="FT157" ca="1">(1-$B$18)*SUMPRODUCT(OFFSET($BO$15,0,0,$B$14,1), 1*(_xlfn._xlws.FILTER(OFFSET($O$15,0,$DN157,$B$8,1),OFFSET($M$15,0,0,$B$8,1))=FT$13), 1*(_xlfn._xlws.FILTER(OFFSET($O$15,0,$DO157,$B$8,1),OFFSET($M$15,0,0,$B$8,1))=FT$14))   /   SUM(OFFSET($BO$15,0,0,$B$14,1)) + $B$18/($B$19*$B$19*($DN157&lt;&gt;$DO157) + $B$19*($DN157=$DO157))</f>
        <v>3.7037037037037035E-4</v>
      </c>
      <c r="FU157" s="10" cm="1">
        <f t="array" aca="1" ref="FU157" ca="1">(1-$B$18)*SUMPRODUCT(OFFSET($BO$15,0,0,$B$14,1), 1*(_xlfn._xlws.FILTER(OFFSET($O$15,0,$DN157,$B$8,1),OFFSET($M$15,0,0,$B$8,1))=FU$13), 1*(_xlfn._xlws.FILTER(OFFSET($O$15,0,$DO157,$B$8,1),OFFSET($M$15,0,0,$B$8,1))=FU$14))   /   SUM(OFFSET($BO$15,0,0,$B$14,1)) + $B$18/($B$19*$B$19*($DN157&lt;&gt;$DO157) + $B$19*($DN157=$DO157))</f>
        <v>3.7037037037037035E-4</v>
      </c>
      <c r="FV157" s="10" cm="1">
        <f t="array" aca="1" ref="FV157" ca="1">(1-$B$18)*SUMPRODUCT(OFFSET($BO$15,0,0,$B$14,1), 1*(_xlfn._xlws.FILTER(OFFSET($O$15,0,$DN157,$B$8,1),OFFSET($M$15,0,0,$B$8,1))=FV$13), 1*(_xlfn._xlws.FILTER(OFFSET($O$15,0,$DO157,$B$8,1),OFFSET($M$15,0,0,$B$8,1))=FV$14))   /   SUM(OFFSET($BO$15,0,0,$B$14,1)) + $B$18/($B$19*$B$19*($DN157&lt;&gt;$DO157) + $B$19*($DN157=$DO157))</f>
        <v>3.7037037037037035E-4</v>
      </c>
      <c r="FW157" s="10" cm="1">
        <f t="array" aca="1" ref="FW157" ca="1">(1-$B$18)*SUMPRODUCT(OFFSET($BO$15,0,0,$B$14,1), 1*(_xlfn._xlws.FILTER(OFFSET($O$15,0,$DN157,$B$8,1),OFFSET($M$15,0,0,$B$8,1))=FW$13), 1*(_xlfn._xlws.FILTER(OFFSET($O$15,0,$DO157,$B$8,1),OFFSET($M$15,0,0,$B$8,1))=FW$14))   /   SUM(OFFSET($BO$15,0,0,$B$14,1)) + $B$18/($B$19*$B$19*($DN157&lt;&gt;$DO157) + $B$19*($DN157=$DO157))</f>
        <v>3.7037037037037035E-4</v>
      </c>
      <c r="FX157" s="10" cm="1">
        <f t="array" aca="1" ref="FX157" ca="1">(1-$B$18)*SUMPRODUCT(OFFSET($BO$15,0,0,$B$14,1), 1*(_xlfn._xlws.FILTER(OFFSET($O$15,0,$DN157,$B$8,1),OFFSET($M$15,0,0,$B$8,1))=FX$13), 1*(_xlfn._xlws.FILTER(OFFSET($O$15,0,$DO157,$B$8,1),OFFSET($M$15,0,0,$B$8,1))=FX$14))   /   SUM(OFFSET($BO$15,0,0,$B$14,1)) + $B$18/($B$19*$B$19*($DN157&lt;&gt;$DO157) + $B$19*($DN157=$DO157))</f>
        <v>3.7037037037037035E-4</v>
      </c>
      <c r="FY157" s="10" cm="1">
        <f t="array" aca="1" ref="FY157" ca="1">(1-$B$18)*SUMPRODUCT(OFFSET($BO$15,0,0,$B$14,1), 1*(_xlfn._xlws.FILTER(OFFSET($O$15,0,$DN157,$B$8,1),OFFSET($M$15,0,0,$B$8,1))=FY$13), 1*(_xlfn._xlws.FILTER(OFFSET($O$15,0,$DO157,$B$8,1),OFFSET($M$15,0,0,$B$8,1))=FY$14))   /   SUM(OFFSET($BO$15,0,0,$B$14,1)) + $B$18/($B$19*$B$19*($DN157&lt;&gt;$DO157) + $B$19*($DN157=$DO157))</f>
        <v>3.7037037037037035E-4</v>
      </c>
      <c r="FZ157" s="10" cm="1">
        <f t="array" aca="1" ref="FZ157" ca="1">(1-$B$18)*SUMPRODUCT(OFFSET($BO$15,0,0,$B$14,1), 1*(_xlfn._xlws.FILTER(OFFSET($O$15,0,$DN157,$B$8,1),OFFSET($M$15,0,0,$B$8,1))=FZ$13), 1*(_xlfn._xlws.FILTER(OFFSET($O$15,0,$DO157,$B$8,1),OFFSET($M$15,0,0,$B$8,1))=FZ$14))   /   SUM(OFFSET($BO$15,0,0,$B$14,1)) + $B$18/($B$19*$B$19*($DN157&lt;&gt;$DO157) + $B$19*($DN157=$DO157))</f>
        <v>3.7037037037037035E-4</v>
      </c>
      <c r="GA157" s="10" cm="1">
        <f t="array" aca="1" ref="GA157" ca="1">(1-$B$18)*SUMPRODUCT(OFFSET($BO$15,0,0,$B$14,1), 1*(_xlfn._xlws.FILTER(OFFSET($O$15,0,$DN157,$B$8,1),OFFSET($M$15,0,0,$B$8,1))=GA$13), 1*(_xlfn._xlws.FILTER(OFFSET($O$15,0,$DO157,$B$8,1),OFFSET($M$15,0,0,$B$8,1))=GA$14))   /   SUM(OFFSET($BO$15,0,0,$B$14,1)) + $B$18/($B$19*$B$19*($DN157&lt;&gt;$DO157) + $B$19*($DN157=$DO157))</f>
        <v>3.7037037037037035E-4</v>
      </c>
    </row>
    <row r="158" spans="118:183" x14ac:dyDescent="0.2">
      <c r="DN158" cm="1">
        <f t="array" aca="1" ref="DN158" ca="1">INDEX(_xlfn.ANCHORARRAY($CP$15), 1 + INT((ROWS($DO$15:$DO158) - 1) / ROWS(_xlfn.ANCHORARRAY($CP$15))))</f>
        <v>7</v>
      </c>
      <c r="DO158" cm="1">
        <f t="array" aca="1" ref="DO158" ca="1">INDEX(_xlfn.ANCHORARRAY($CP$15),1+MOD(ROWS($DO$15:$DO158)-1,ROWS(_xlfn.ANCHORARRAY($CP$15))))</f>
        <v>11</v>
      </c>
      <c r="DP158" s="10" cm="1">
        <f t="array" aca="1" ref="DP158" ca="1">(1-$B$18)*SUMPRODUCT(OFFSET($BO$15,0,0,$B$14,1), 1*(_xlfn._xlws.FILTER(OFFSET($O$15,0,$DN158,$B$8,1),OFFSET($M$15,0,0,$B$8,1))=DP$13), 1*(_xlfn._xlws.FILTER(OFFSET($O$15,0,$DO158,$B$8,1),OFFSET($M$15,0,0,$B$8,1))=DP$14))   /   SUM(OFFSET($BO$15,0,0,$B$14,1)) + $B$18/($B$19*$B$19*($DN158&lt;&gt;$DO158) + $B$19*($DN158=$DO158))</f>
        <v>3.7037037037037035E-4</v>
      </c>
      <c r="DQ158" s="10" cm="1">
        <f t="array" aca="1" ref="DQ158" ca="1">(1-$B$18)*SUMPRODUCT(OFFSET($BO$15,0,0,$B$14,1), 1*(_xlfn._xlws.FILTER(OFFSET($O$15,0,$DN158,$B$8,1),OFFSET($M$15,0,0,$B$8,1))=DQ$13), 1*(_xlfn._xlws.FILTER(OFFSET($O$15,0,$DO158,$B$8,1),OFFSET($M$15,0,0,$B$8,1))=DQ$14))   /   SUM(OFFSET($BO$15,0,0,$B$14,1)) + $B$18/($B$19*$B$19*($DN158&lt;&gt;$DO158) + $B$19*($DN158=$DO158))</f>
        <v>3.7037037037037035E-4</v>
      </c>
      <c r="DR158" s="10" cm="1">
        <f t="array" aca="1" ref="DR158" ca="1">(1-$B$18)*SUMPRODUCT(OFFSET($BO$15,0,0,$B$14,1), 1*(_xlfn._xlws.FILTER(OFFSET($O$15,0,$DN158,$B$8,1),OFFSET($M$15,0,0,$B$8,1))=DR$13), 1*(_xlfn._xlws.FILTER(OFFSET($O$15,0,$DO158,$B$8,1),OFFSET($M$15,0,0,$B$8,1))=DR$14))   /   SUM(OFFSET($BO$15,0,0,$B$14,1)) + $B$18/($B$19*$B$19*($DN158&lt;&gt;$DO158) + $B$19*($DN158=$DO158))</f>
        <v>3.7037037037037035E-4</v>
      </c>
      <c r="DS158" s="10" cm="1">
        <f t="array" aca="1" ref="DS158" ca="1">(1-$B$18)*SUMPRODUCT(OFFSET($BO$15,0,0,$B$14,1), 1*(_xlfn._xlws.FILTER(OFFSET($O$15,0,$DN158,$B$8,1),OFFSET($M$15,0,0,$B$8,1))=DS$13), 1*(_xlfn._xlws.FILTER(OFFSET($O$15,0,$DO158,$B$8,1),OFFSET($M$15,0,0,$B$8,1))=DS$14))   /   SUM(OFFSET($BO$15,0,0,$B$14,1)) + $B$18/($B$19*$B$19*($DN158&lt;&gt;$DO158) + $B$19*($DN158=$DO158))</f>
        <v>3.7037037037037035E-4</v>
      </c>
      <c r="DT158" s="10" cm="1">
        <f t="array" aca="1" ref="DT158" ca="1">(1-$B$18)*SUMPRODUCT(OFFSET($BO$15,0,0,$B$14,1), 1*(_xlfn._xlws.FILTER(OFFSET($O$15,0,$DN158,$B$8,1),OFFSET($M$15,0,0,$B$8,1))=DT$13), 1*(_xlfn._xlws.FILTER(OFFSET($O$15,0,$DO158,$B$8,1),OFFSET($M$15,0,0,$B$8,1))=DT$14))   /   SUM(OFFSET($BO$15,0,0,$B$14,1)) + $B$18/($B$19*$B$19*($DN158&lt;&gt;$DO158) + $B$19*($DN158=$DO158))</f>
        <v>3.7037037037037035E-4</v>
      </c>
      <c r="DU158" s="10" cm="1">
        <f t="array" aca="1" ref="DU158" ca="1">(1-$B$18)*SUMPRODUCT(OFFSET($BO$15,0,0,$B$14,1), 1*(_xlfn._xlws.FILTER(OFFSET($O$15,0,$DN158,$B$8,1),OFFSET($M$15,0,0,$B$8,1))=DU$13), 1*(_xlfn._xlws.FILTER(OFFSET($O$15,0,$DO158,$B$8,1),OFFSET($M$15,0,0,$B$8,1))=DU$14))   /   SUM(OFFSET($BO$15,0,0,$B$14,1)) + $B$18/($B$19*$B$19*($DN158&lt;&gt;$DO158) + $B$19*($DN158=$DO158))</f>
        <v>3.7037037037037035E-4</v>
      </c>
      <c r="DV158" s="10" cm="1">
        <f t="array" aca="1" ref="DV158" ca="1">(1-$B$18)*SUMPRODUCT(OFFSET($BO$15,0,0,$B$14,1), 1*(_xlfn._xlws.FILTER(OFFSET($O$15,0,$DN158,$B$8,1),OFFSET($M$15,0,0,$B$8,1))=DV$13), 1*(_xlfn._xlws.FILTER(OFFSET($O$15,0,$DO158,$B$8,1),OFFSET($M$15,0,0,$B$8,1))=DV$14))   /   SUM(OFFSET($BO$15,0,0,$B$14,1)) + $B$18/($B$19*$B$19*($DN158&lt;&gt;$DO158) + $B$19*($DN158=$DO158))</f>
        <v>3.7037037037037035E-4</v>
      </c>
      <c r="DW158" s="10" cm="1">
        <f t="array" aca="1" ref="DW158" ca="1">(1-$B$18)*SUMPRODUCT(OFFSET($BO$15,0,0,$B$14,1), 1*(_xlfn._xlws.FILTER(OFFSET($O$15,0,$DN158,$B$8,1),OFFSET($M$15,0,0,$B$8,1))=DW$13), 1*(_xlfn._xlws.FILTER(OFFSET($O$15,0,$DO158,$B$8,1),OFFSET($M$15,0,0,$B$8,1))=DW$14))   /   SUM(OFFSET($BO$15,0,0,$B$14,1)) + $B$18/($B$19*$B$19*($DN158&lt;&gt;$DO158) + $B$19*($DN158=$DO158))</f>
        <v>3.7037037037037035E-4</v>
      </c>
      <c r="DX158" s="10" cm="1">
        <f t="array" aca="1" ref="DX158" ca="1">(1-$B$18)*SUMPRODUCT(OFFSET($BO$15,0,0,$B$14,1), 1*(_xlfn._xlws.FILTER(OFFSET($O$15,0,$DN158,$B$8,1),OFFSET($M$15,0,0,$B$8,1))=DX$13), 1*(_xlfn._xlws.FILTER(OFFSET($O$15,0,$DO158,$B$8,1),OFFSET($M$15,0,0,$B$8,1))=DX$14))   /   SUM(OFFSET($BO$15,0,0,$B$14,1)) + $B$18/($B$19*$B$19*($DN158&lt;&gt;$DO158) + $B$19*($DN158=$DO158))</f>
        <v>3.7037037037037035E-4</v>
      </c>
      <c r="DY158" s="10" cm="1">
        <f t="array" aca="1" ref="DY158" ca="1">(1-$B$18)*SUMPRODUCT(OFFSET($BO$15,0,0,$B$14,1), 1*(_xlfn._xlws.FILTER(OFFSET($O$15,0,$DN158,$B$8,1),OFFSET($M$15,0,0,$B$8,1))=DY$13), 1*(_xlfn._xlws.FILTER(OFFSET($O$15,0,$DO158,$B$8,1),OFFSET($M$15,0,0,$B$8,1))=DY$14))   /   SUM(OFFSET($BO$15,0,0,$B$14,1)) + $B$18/($B$19*$B$19*($DN158&lt;&gt;$DO158) + $B$19*($DN158=$DO158))</f>
        <v>3.7037037037037035E-4</v>
      </c>
      <c r="DZ158" s="10" cm="1">
        <f t="array" aca="1" ref="DZ158" ca="1">(1-$B$18)*SUMPRODUCT(OFFSET($BO$15,0,0,$B$14,1), 1*(_xlfn._xlws.FILTER(OFFSET($O$15,0,$DN158,$B$8,1),OFFSET($M$15,0,0,$B$8,1))=DZ$13), 1*(_xlfn._xlws.FILTER(OFFSET($O$15,0,$DO158,$B$8,1),OFFSET($M$15,0,0,$B$8,1))=DZ$14))   /   SUM(OFFSET($BO$15,0,0,$B$14,1)) + $B$18/($B$19*$B$19*($DN158&lt;&gt;$DO158) + $B$19*($DN158=$DO158))</f>
        <v>3.7037037037037035E-4</v>
      </c>
      <c r="EA158" s="10" cm="1">
        <f t="array" aca="1" ref="EA158" ca="1">(1-$B$18)*SUMPRODUCT(OFFSET($BO$15,0,0,$B$14,1), 1*(_xlfn._xlws.FILTER(OFFSET($O$15,0,$DN158,$B$8,1),OFFSET($M$15,0,0,$B$8,1))=EA$13), 1*(_xlfn._xlws.FILTER(OFFSET($O$15,0,$DO158,$B$8,1),OFFSET($M$15,0,0,$B$8,1))=EA$14))   /   SUM(OFFSET($BO$15,0,0,$B$14,1)) + $B$18/($B$19*$B$19*($DN158&lt;&gt;$DO158) + $B$19*($DN158=$DO158))</f>
        <v>3.7037037037037035E-4</v>
      </c>
      <c r="EB158" s="10" cm="1">
        <f t="array" aca="1" ref="EB158" ca="1">(1-$B$18)*SUMPRODUCT(OFFSET($BO$15,0,0,$B$14,1), 1*(_xlfn._xlws.FILTER(OFFSET($O$15,0,$DN158,$B$8,1),OFFSET($M$15,0,0,$B$8,1))=EB$13), 1*(_xlfn._xlws.FILTER(OFFSET($O$15,0,$DO158,$B$8,1),OFFSET($M$15,0,0,$B$8,1))=EB$14))   /   SUM(OFFSET($BO$15,0,0,$B$14,1)) + $B$18/($B$19*$B$19*($DN158&lt;&gt;$DO158) + $B$19*($DN158=$DO158))</f>
        <v>3.7037037037037035E-4</v>
      </c>
      <c r="EC158" s="10" cm="1">
        <f t="array" aca="1" ref="EC158" ca="1">(1-$B$18)*SUMPRODUCT(OFFSET($BO$15,0,0,$B$14,1), 1*(_xlfn._xlws.FILTER(OFFSET($O$15,0,$DN158,$B$8,1),OFFSET($M$15,0,0,$B$8,1))=EC$13), 1*(_xlfn._xlws.FILTER(OFFSET($O$15,0,$DO158,$B$8,1),OFFSET($M$15,0,0,$B$8,1))=EC$14))   /   SUM(OFFSET($BO$15,0,0,$B$14,1)) + $B$18/($B$19*$B$19*($DN158&lt;&gt;$DO158) + $B$19*($DN158=$DO158))</f>
        <v>3.7037037037037035E-4</v>
      </c>
      <c r="ED158" s="10" cm="1">
        <f t="array" aca="1" ref="ED158" ca="1">(1-$B$18)*SUMPRODUCT(OFFSET($BO$15,0,0,$B$14,1), 1*(_xlfn._xlws.FILTER(OFFSET($O$15,0,$DN158,$B$8,1),OFFSET($M$15,0,0,$B$8,1))=ED$13), 1*(_xlfn._xlws.FILTER(OFFSET($O$15,0,$DO158,$B$8,1),OFFSET($M$15,0,0,$B$8,1))=ED$14))   /   SUM(OFFSET($BO$15,0,0,$B$14,1)) + $B$18/($B$19*$B$19*($DN158&lt;&gt;$DO158) + $B$19*($DN158=$DO158))</f>
        <v>3.7037037037037035E-4</v>
      </c>
      <c r="EE158" s="10" cm="1">
        <f t="array" aca="1" ref="EE158" ca="1">(1-$B$18)*SUMPRODUCT(OFFSET($BO$15,0,0,$B$14,1), 1*(_xlfn._xlws.FILTER(OFFSET($O$15,0,$DN158,$B$8,1),OFFSET($M$15,0,0,$B$8,1))=EE$13), 1*(_xlfn._xlws.FILTER(OFFSET($O$15,0,$DO158,$B$8,1),OFFSET($M$15,0,0,$B$8,1))=EE$14))   /   SUM(OFFSET($BO$15,0,0,$B$14,1)) + $B$18/($B$19*$B$19*($DN158&lt;&gt;$DO158) + $B$19*($DN158=$DO158))</f>
        <v>3.7037037037037035E-4</v>
      </c>
      <c r="EF158" s="10" cm="1">
        <f t="array" aca="1" ref="EF158" ca="1">(1-$B$18)*SUMPRODUCT(OFFSET($BO$15,0,0,$B$14,1), 1*(_xlfn._xlws.FILTER(OFFSET($O$15,0,$DN158,$B$8,1),OFFSET($M$15,0,0,$B$8,1))=EF$13), 1*(_xlfn._xlws.FILTER(OFFSET($O$15,0,$DO158,$B$8,1),OFFSET($M$15,0,0,$B$8,1))=EF$14))   /   SUM(OFFSET($BO$15,0,0,$B$14,1)) + $B$18/($B$19*$B$19*($DN158&lt;&gt;$DO158) + $B$19*($DN158=$DO158))</f>
        <v>3.7037037037037035E-4</v>
      </c>
      <c r="EG158" s="10" cm="1">
        <f t="array" aca="1" ref="EG158" ca="1">(1-$B$18)*SUMPRODUCT(OFFSET($BO$15,0,0,$B$14,1), 1*(_xlfn._xlws.FILTER(OFFSET($O$15,0,$DN158,$B$8,1),OFFSET($M$15,0,0,$B$8,1))=EG$13), 1*(_xlfn._xlws.FILTER(OFFSET($O$15,0,$DO158,$B$8,1),OFFSET($M$15,0,0,$B$8,1))=EG$14))   /   SUM(OFFSET($BO$15,0,0,$B$14,1)) + $B$18/($B$19*$B$19*($DN158&lt;&gt;$DO158) + $B$19*($DN158=$DO158))</f>
        <v>3.7037037037037035E-4</v>
      </c>
      <c r="EH158" s="10" cm="1">
        <f t="array" aca="1" ref="EH158" ca="1">(1-$B$18)*SUMPRODUCT(OFFSET($BO$15,0,0,$B$14,1), 1*(_xlfn._xlws.FILTER(OFFSET($O$15,0,$DN158,$B$8,1),OFFSET($M$15,0,0,$B$8,1))=EH$13), 1*(_xlfn._xlws.FILTER(OFFSET($O$15,0,$DO158,$B$8,1),OFFSET($M$15,0,0,$B$8,1))=EH$14))   /   SUM(OFFSET($BO$15,0,0,$B$14,1)) + $B$18/($B$19*$B$19*($DN158&lt;&gt;$DO158) + $B$19*($DN158=$DO158))</f>
        <v>3.7037037037037035E-4</v>
      </c>
      <c r="EI158" s="10" cm="1">
        <f t="array" aca="1" ref="EI158" ca="1">(1-$B$18)*SUMPRODUCT(OFFSET($BO$15,0,0,$B$14,1), 1*(_xlfn._xlws.FILTER(OFFSET($O$15,0,$DN158,$B$8,1),OFFSET($M$15,0,0,$B$8,1))=EI$13), 1*(_xlfn._xlws.FILTER(OFFSET($O$15,0,$DO158,$B$8,1),OFFSET($M$15,0,0,$B$8,1))=EI$14))   /   SUM(OFFSET($BO$15,0,0,$B$14,1)) + $B$18/($B$19*$B$19*($DN158&lt;&gt;$DO158) + $B$19*($DN158=$DO158))</f>
        <v>3.7037037037037035E-4</v>
      </c>
      <c r="EJ158" s="10" cm="1">
        <f t="array" aca="1" ref="EJ158" ca="1">(1-$B$18)*SUMPRODUCT(OFFSET($BO$15,0,0,$B$14,1), 1*(_xlfn._xlws.FILTER(OFFSET($O$15,0,$DN158,$B$8,1),OFFSET($M$15,0,0,$B$8,1))=EJ$13), 1*(_xlfn._xlws.FILTER(OFFSET($O$15,0,$DO158,$B$8,1),OFFSET($M$15,0,0,$B$8,1))=EJ$14))   /   SUM(OFFSET($BO$15,0,0,$B$14,1)) + $B$18/($B$19*$B$19*($DN158&lt;&gt;$DO158) + $B$19*($DN158=$DO158))</f>
        <v>3.7037037037037035E-4</v>
      </c>
      <c r="EK158" s="10" cm="1">
        <f t="array" aca="1" ref="EK158" ca="1">(1-$B$18)*SUMPRODUCT(OFFSET($BO$15,0,0,$B$14,1), 1*(_xlfn._xlws.FILTER(OFFSET($O$15,0,$DN158,$B$8,1),OFFSET($M$15,0,0,$B$8,1))=EK$13), 1*(_xlfn._xlws.FILTER(OFFSET($O$15,0,$DO158,$B$8,1),OFFSET($M$15,0,0,$B$8,1))=EK$14))   /   SUM(OFFSET($BO$15,0,0,$B$14,1)) + $B$18/($B$19*$B$19*($DN158&lt;&gt;$DO158) + $B$19*($DN158=$DO158))</f>
        <v>3.7037037037037035E-4</v>
      </c>
      <c r="EL158" s="10" cm="1">
        <f t="array" aca="1" ref="EL158" ca="1">(1-$B$18)*SUMPRODUCT(OFFSET($BO$15,0,0,$B$14,1), 1*(_xlfn._xlws.FILTER(OFFSET($O$15,0,$DN158,$B$8,1),OFFSET($M$15,0,0,$B$8,1))=EL$13), 1*(_xlfn._xlws.FILTER(OFFSET($O$15,0,$DO158,$B$8,1),OFFSET($M$15,0,0,$B$8,1))=EL$14))   /   SUM(OFFSET($BO$15,0,0,$B$14,1)) + $B$18/($B$19*$B$19*($DN158&lt;&gt;$DO158) + $B$19*($DN158=$DO158))</f>
        <v>3.7037037037037035E-4</v>
      </c>
      <c r="EM158" s="10" cm="1">
        <f t="array" aca="1" ref="EM158" ca="1">(1-$B$18)*SUMPRODUCT(OFFSET($BO$15,0,0,$B$14,1), 1*(_xlfn._xlws.FILTER(OFFSET($O$15,0,$DN158,$B$8,1),OFFSET($M$15,0,0,$B$8,1))=EM$13), 1*(_xlfn._xlws.FILTER(OFFSET($O$15,0,$DO158,$B$8,1),OFFSET($M$15,0,0,$B$8,1))=EM$14))   /   SUM(OFFSET($BO$15,0,0,$B$14,1)) + $B$18/($B$19*$B$19*($DN158&lt;&gt;$DO158) + $B$19*($DN158=$DO158))</f>
        <v>3.7037037037037035E-4</v>
      </c>
      <c r="EN158" s="10" cm="1">
        <f t="array" aca="1" ref="EN158" ca="1">(1-$B$18)*SUMPRODUCT(OFFSET($BO$15,0,0,$B$14,1), 1*(_xlfn._xlws.FILTER(OFFSET($O$15,0,$DN158,$B$8,1),OFFSET($M$15,0,0,$B$8,1))=EN$13), 1*(_xlfn._xlws.FILTER(OFFSET($O$15,0,$DO158,$B$8,1),OFFSET($M$15,0,0,$B$8,1))=EN$14))   /   SUM(OFFSET($BO$15,0,0,$B$14,1)) + $B$18/($B$19*$B$19*($DN158&lt;&gt;$DO158) + $B$19*($DN158=$DO158))</f>
        <v>3.7037037037037035E-4</v>
      </c>
      <c r="EO158" s="10" cm="1">
        <f t="array" aca="1" ref="EO158" ca="1">(1-$B$18)*SUMPRODUCT(OFFSET($BO$15,0,0,$B$14,1), 1*(_xlfn._xlws.FILTER(OFFSET($O$15,0,$DN158,$B$8,1),OFFSET($M$15,0,0,$B$8,1))=EO$13), 1*(_xlfn._xlws.FILTER(OFFSET($O$15,0,$DO158,$B$8,1),OFFSET($M$15,0,0,$B$8,1))=EO$14))   /   SUM(OFFSET($BO$15,0,0,$B$14,1)) + $B$18/($B$19*$B$19*($DN158&lt;&gt;$DO158) + $B$19*($DN158=$DO158))</f>
        <v>3.7037037037037035E-4</v>
      </c>
      <c r="EP158" s="10" cm="1">
        <f t="array" aca="1" ref="EP158" ca="1">(1-$B$18)*SUMPRODUCT(OFFSET($BO$15,0,0,$B$14,1), 1*(_xlfn._xlws.FILTER(OFFSET($O$15,0,$DN158,$B$8,1),OFFSET($M$15,0,0,$B$8,1))=EP$13), 1*(_xlfn._xlws.FILTER(OFFSET($O$15,0,$DO158,$B$8,1),OFFSET($M$15,0,0,$B$8,1))=EP$14))   /   SUM(OFFSET($BO$15,0,0,$B$14,1)) + $B$18/($B$19*$B$19*($DN158&lt;&gt;$DO158) + $B$19*($DN158=$DO158))</f>
        <v>3.7037037037037035E-4</v>
      </c>
      <c r="EQ158" s="10" cm="1">
        <f t="array" aca="1" ref="EQ158" ca="1">(1-$B$18)*SUMPRODUCT(OFFSET($BO$15,0,0,$B$14,1), 1*(_xlfn._xlws.FILTER(OFFSET($O$15,0,$DN158,$B$8,1),OFFSET($M$15,0,0,$B$8,1))=EQ$13), 1*(_xlfn._xlws.FILTER(OFFSET($O$15,0,$DO158,$B$8,1),OFFSET($M$15,0,0,$B$8,1))=EQ$14))   /   SUM(OFFSET($BO$15,0,0,$B$14,1)) + $B$18/($B$19*$B$19*($DN158&lt;&gt;$DO158) + $B$19*($DN158=$DO158))</f>
        <v>3.7037037037037035E-4</v>
      </c>
      <c r="ER158" s="10" cm="1">
        <f t="array" aca="1" ref="ER158" ca="1">(1-$B$18)*SUMPRODUCT(OFFSET($BO$15,0,0,$B$14,1), 1*(_xlfn._xlws.FILTER(OFFSET($O$15,0,$DN158,$B$8,1),OFFSET($M$15,0,0,$B$8,1))=ER$13), 1*(_xlfn._xlws.FILTER(OFFSET($O$15,0,$DO158,$B$8,1),OFFSET($M$15,0,0,$B$8,1))=ER$14))   /   SUM(OFFSET($BO$15,0,0,$B$14,1)) + $B$18/($B$19*$B$19*($DN158&lt;&gt;$DO158) + $B$19*($DN158=$DO158))</f>
        <v>3.7037037037037035E-4</v>
      </c>
      <c r="ES158" s="10" cm="1">
        <f t="array" aca="1" ref="ES158" ca="1">(1-$B$18)*SUMPRODUCT(OFFSET($BO$15,0,0,$B$14,1), 1*(_xlfn._xlws.FILTER(OFFSET($O$15,0,$DN158,$B$8,1),OFFSET($M$15,0,0,$B$8,1))=ES$13), 1*(_xlfn._xlws.FILTER(OFFSET($O$15,0,$DO158,$B$8,1),OFFSET($M$15,0,0,$B$8,1))=ES$14))   /   SUM(OFFSET($BO$15,0,0,$B$14,1)) + $B$18/($B$19*$B$19*($DN158&lt;&gt;$DO158) + $B$19*($DN158=$DO158))</f>
        <v>3.7037037037037035E-4</v>
      </c>
      <c r="ET158" s="10" cm="1">
        <f t="array" aca="1" ref="ET158" ca="1">(1-$B$18)*SUMPRODUCT(OFFSET($BO$15,0,0,$B$14,1), 1*(_xlfn._xlws.FILTER(OFFSET($O$15,0,$DN158,$B$8,1),OFFSET($M$15,0,0,$B$8,1))=ET$13), 1*(_xlfn._xlws.FILTER(OFFSET($O$15,0,$DO158,$B$8,1),OFFSET($M$15,0,0,$B$8,1))=ET$14))   /   SUM(OFFSET($BO$15,0,0,$B$14,1)) + $B$18/($B$19*$B$19*($DN158&lt;&gt;$DO158) + $B$19*($DN158=$DO158))</f>
        <v>3.7037037037037035E-4</v>
      </c>
      <c r="EU158" s="10" cm="1">
        <f t="array" aca="1" ref="EU158" ca="1">(1-$B$18)*SUMPRODUCT(OFFSET($BO$15,0,0,$B$14,1), 1*(_xlfn._xlws.FILTER(OFFSET($O$15,0,$DN158,$B$8,1),OFFSET($M$15,0,0,$B$8,1))=EU$13), 1*(_xlfn._xlws.FILTER(OFFSET($O$15,0,$DO158,$B$8,1),OFFSET($M$15,0,0,$B$8,1))=EU$14))   /   SUM(OFFSET($BO$15,0,0,$B$14,1)) + $B$18/($B$19*$B$19*($DN158&lt;&gt;$DO158) + $B$19*($DN158=$DO158))</f>
        <v>3.7037037037037035E-4</v>
      </c>
      <c r="EV158" s="10" cm="1">
        <f t="array" aca="1" ref="EV158" ca="1">(1-$B$18)*SUMPRODUCT(OFFSET($BO$15,0,0,$B$14,1), 1*(_xlfn._xlws.FILTER(OFFSET($O$15,0,$DN158,$B$8,1),OFFSET($M$15,0,0,$B$8,1))=EV$13), 1*(_xlfn._xlws.FILTER(OFFSET($O$15,0,$DO158,$B$8,1),OFFSET($M$15,0,0,$B$8,1))=EV$14))   /   SUM(OFFSET($BO$15,0,0,$B$14,1)) + $B$18/($B$19*$B$19*($DN158&lt;&gt;$DO158) + $B$19*($DN158=$DO158))</f>
        <v>3.7037037037037035E-4</v>
      </c>
      <c r="EW158" s="10" cm="1">
        <f t="array" aca="1" ref="EW158" ca="1">(1-$B$18)*SUMPRODUCT(OFFSET($BO$15,0,0,$B$14,1), 1*(_xlfn._xlws.FILTER(OFFSET($O$15,0,$DN158,$B$8,1),OFFSET($M$15,0,0,$B$8,1))=EW$13), 1*(_xlfn._xlws.FILTER(OFFSET($O$15,0,$DO158,$B$8,1),OFFSET($M$15,0,0,$B$8,1))=EW$14))   /   SUM(OFFSET($BO$15,0,0,$B$14,1)) + $B$18/($B$19*$B$19*($DN158&lt;&gt;$DO158) + $B$19*($DN158=$DO158))</f>
        <v>3.7037037037037035E-4</v>
      </c>
      <c r="EX158" s="10" cm="1">
        <f t="array" aca="1" ref="EX158" ca="1">(1-$B$18)*SUMPRODUCT(OFFSET($BO$15,0,0,$B$14,1), 1*(_xlfn._xlws.FILTER(OFFSET($O$15,0,$DN158,$B$8,1),OFFSET($M$15,0,0,$B$8,1))=EX$13), 1*(_xlfn._xlws.FILTER(OFFSET($O$15,0,$DO158,$B$8,1),OFFSET($M$15,0,0,$B$8,1))=EX$14))   /   SUM(OFFSET($BO$15,0,0,$B$14,1)) + $B$18/($B$19*$B$19*($DN158&lt;&gt;$DO158) + $B$19*($DN158=$DO158))</f>
        <v>3.7037037037037035E-4</v>
      </c>
      <c r="EY158" s="10" cm="1">
        <f t="array" aca="1" ref="EY158" ca="1">(1-$B$18)*SUMPRODUCT(OFFSET($BO$15,0,0,$B$14,1), 1*(_xlfn._xlws.FILTER(OFFSET($O$15,0,$DN158,$B$8,1),OFFSET($M$15,0,0,$B$8,1))=EY$13), 1*(_xlfn._xlws.FILTER(OFFSET($O$15,0,$DO158,$B$8,1),OFFSET($M$15,0,0,$B$8,1))=EY$14))   /   SUM(OFFSET($BO$15,0,0,$B$14,1)) + $B$18/($B$19*$B$19*($DN158&lt;&gt;$DO158) + $B$19*($DN158=$DO158))</f>
        <v>3.7037037037037035E-4</v>
      </c>
      <c r="EZ158" s="10" cm="1">
        <f t="array" aca="1" ref="EZ158" ca="1">(1-$B$18)*SUMPRODUCT(OFFSET($BO$15,0,0,$B$14,1), 1*(_xlfn._xlws.FILTER(OFFSET($O$15,0,$DN158,$B$8,1),OFFSET($M$15,0,0,$B$8,1))=EZ$13), 1*(_xlfn._xlws.FILTER(OFFSET($O$15,0,$DO158,$B$8,1),OFFSET($M$15,0,0,$B$8,1))=EZ$14))   /   SUM(OFFSET($BO$15,0,0,$B$14,1)) + $B$18/($B$19*$B$19*($DN158&lt;&gt;$DO158) + $B$19*($DN158=$DO158))</f>
        <v>3.7037037037037035E-4</v>
      </c>
      <c r="FA158" s="10" cm="1">
        <f t="array" aca="1" ref="FA158" ca="1">(1-$B$18)*SUMPRODUCT(OFFSET($BO$15,0,0,$B$14,1), 1*(_xlfn._xlws.FILTER(OFFSET($O$15,0,$DN158,$B$8,1),OFFSET($M$15,0,0,$B$8,1))=FA$13), 1*(_xlfn._xlws.FILTER(OFFSET($O$15,0,$DO158,$B$8,1),OFFSET($M$15,0,0,$B$8,1))=FA$14))   /   SUM(OFFSET($BO$15,0,0,$B$14,1)) + $B$18/($B$19*$B$19*($DN158&lt;&gt;$DO158) + $B$19*($DN158=$DO158))</f>
        <v>3.7037037037037035E-4</v>
      </c>
      <c r="FB158" s="10" cm="1">
        <f t="array" aca="1" ref="FB158" ca="1">(1-$B$18)*SUMPRODUCT(OFFSET($BO$15,0,0,$B$14,1), 1*(_xlfn._xlws.FILTER(OFFSET($O$15,0,$DN158,$B$8,1),OFFSET($M$15,0,0,$B$8,1))=FB$13), 1*(_xlfn._xlws.FILTER(OFFSET($O$15,0,$DO158,$B$8,1),OFFSET($M$15,0,0,$B$8,1))=FB$14))   /   SUM(OFFSET($BO$15,0,0,$B$14,1)) + $B$18/($B$19*$B$19*($DN158&lt;&gt;$DO158) + $B$19*($DN158=$DO158))</f>
        <v>3.7037037037037035E-4</v>
      </c>
      <c r="FC158" s="10" cm="1">
        <f t="array" aca="1" ref="FC158" ca="1">(1-$B$18)*SUMPRODUCT(OFFSET($BO$15,0,0,$B$14,1), 1*(_xlfn._xlws.FILTER(OFFSET($O$15,0,$DN158,$B$8,1),OFFSET($M$15,0,0,$B$8,1))=FC$13), 1*(_xlfn._xlws.FILTER(OFFSET($O$15,0,$DO158,$B$8,1),OFFSET($M$15,0,0,$B$8,1))=FC$14))   /   SUM(OFFSET($BO$15,0,0,$B$14,1)) + $B$18/($B$19*$B$19*($DN158&lt;&gt;$DO158) + $B$19*($DN158=$DO158))</f>
        <v>3.7037037037037035E-4</v>
      </c>
      <c r="FD158" s="10" cm="1">
        <f t="array" aca="1" ref="FD158" ca="1">(1-$B$18)*SUMPRODUCT(OFFSET($BO$15,0,0,$B$14,1), 1*(_xlfn._xlws.FILTER(OFFSET($O$15,0,$DN158,$B$8,1),OFFSET($M$15,0,0,$B$8,1))=FD$13), 1*(_xlfn._xlws.FILTER(OFFSET($O$15,0,$DO158,$B$8,1),OFFSET($M$15,0,0,$B$8,1))=FD$14))   /   SUM(OFFSET($BO$15,0,0,$B$14,1)) + $B$18/($B$19*$B$19*($DN158&lt;&gt;$DO158) + $B$19*($DN158=$DO158))</f>
        <v>3.7037037037037035E-4</v>
      </c>
      <c r="FE158" s="10" cm="1">
        <f t="array" aca="1" ref="FE158" ca="1">(1-$B$18)*SUMPRODUCT(OFFSET($BO$15,0,0,$B$14,1), 1*(_xlfn._xlws.FILTER(OFFSET($O$15,0,$DN158,$B$8,1),OFFSET($M$15,0,0,$B$8,1))=FE$13), 1*(_xlfn._xlws.FILTER(OFFSET($O$15,0,$DO158,$B$8,1),OFFSET($M$15,0,0,$B$8,1))=FE$14))   /   SUM(OFFSET($BO$15,0,0,$B$14,1)) + $B$18/($B$19*$B$19*($DN158&lt;&gt;$DO158) + $B$19*($DN158=$DO158))</f>
        <v>3.7037037037037035E-4</v>
      </c>
      <c r="FF158" s="10" cm="1">
        <f t="array" aca="1" ref="FF158" ca="1">(1-$B$18)*SUMPRODUCT(OFFSET($BO$15,0,0,$B$14,1), 1*(_xlfn._xlws.FILTER(OFFSET($O$15,0,$DN158,$B$8,1),OFFSET($M$15,0,0,$B$8,1))=FF$13), 1*(_xlfn._xlws.FILTER(OFFSET($O$15,0,$DO158,$B$8,1),OFFSET($M$15,0,0,$B$8,1))=FF$14))   /   SUM(OFFSET($BO$15,0,0,$B$14,1)) + $B$18/($B$19*$B$19*($DN158&lt;&gt;$DO158) + $B$19*($DN158=$DO158))</f>
        <v>3.7037037037037035E-4</v>
      </c>
      <c r="FG158" s="10" cm="1">
        <f t="array" aca="1" ref="FG158" ca="1">(1-$B$18)*SUMPRODUCT(OFFSET($BO$15,0,0,$B$14,1), 1*(_xlfn._xlws.FILTER(OFFSET($O$15,0,$DN158,$B$8,1),OFFSET($M$15,0,0,$B$8,1))=FG$13), 1*(_xlfn._xlws.FILTER(OFFSET($O$15,0,$DO158,$B$8,1),OFFSET($M$15,0,0,$B$8,1))=FG$14))   /   SUM(OFFSET($BO$15,0,0,$B$14,1)) + $B$18/($B$19*$B$19*($DN158&lt;&gt;$DO158) + $B$19*($DN158=$DO158))</f>
        <v>3.7037037037037035E-4</v>
      </c>
      <c r="FH158" s="10" cm="1">
        <f t="array" aca="1" ref="FH158" ca="1">(1-$B$18)*SUMPRODUCT(OFFSET($BO$15,0,0,$B$14,1), 1*(_xlfn._xlws.FILTER(OFFSET($O$15,0,$DN158,$B$8,1),OFFSET($M$15,0,0,$B$8,1))=FH$13), 1*(_xlfn._xlws.FILTER(OFFSET($O$15,0,$DO158,$B$8,1),OFFSET($M$15,0,0,$B$8,1))=FH$14))   /   SUM(OFFSET($BO$15,0,0,$B$14,1)) + $B$18/($B$19*$B$19*($DN158&lt;&gt;$DO158) + $B$19*($DN158=$DO158))</f>
        <v>3.7037037037037035E-4</v>
      </c>
      <c r="FI158" s="10" cm="1">
        <f t="array" aca="1" ref="FI158" ca="1">(1-$B$18)*SUMPRODUCT(OFFSET($BO$15,0,0,$B$14,1), 1*(_xlfn._xlws.FILTER(OFFSET($O$15,0,$DN158,$B$8,1),OFFSET($M$15,0,0,$B$8,1))=FI$13), 1*(_xlfn._xlws.FILTER(OFFSET($O$15,0,$DO158,$B$8,1),OFFSET($M$15,0,0,$B$8,1))=FI$14))   /   SUM(OFFSET($BO$15,0,0,$B$14,1)) + $B$18/($B$19*$B$19*($DN158&lt;&gt;$DO158) + $B$19*($DN158=$DO158))</f>
        <v>3.7037037037037035E-4</v>
      </c>
      <c r="FJ158" s="10" cm="1">
        <f t="array" aca="1" ref="FJ158" ca="1">(1-$B$18)*SUMPRODUCT(OFFSET($BO$15,0,0,$B$14,1), 1*(_xlfn._xlws.FILTER(OFFSET($O$15,0,$DN158,$B$8,1),OFFSET($M$15,0,0,$B$8,1))=FJ$13), 1*(_xlfn._xlws.FILTER(OFFSET($O$15,0,$DO158,$B$8,1),OFFSET($M$15,0,0,$B$8,1))=FJ$14))   /   SUM(OFFSET($BO$15,0,0,$B$14,1)) + $B$18/($B$19*$B$19*($DN158&lt;&gt;$DO158) + $B$19*($DN158=$DO158))</f>
        <v>3.7037037037037035E-4</v>
      </c>
      <c r="FK158" s="10" cm="1">
        <f t="array" aca="1" ref="FK158" ca="1">(1-$B$18)*SUMPRODUCT(OFFSET($BO$15,0,0,$B$14,1), 1*(_xlfn._xlws.FILTER(OFFSET($O$15,0,$DN158,$B$8,1),OFFSET($M$15,0,0,$B$8,1))=FK$13), 1*(_xlfn._xlws.FILTER(OFFSET($O$15,0,$DO158,$B$8,1),OFFSET($M$15,0,0,$B$8,1))=FK$14))   /   SUM(OFFSET($BO$15,0,0,$B$14,1)) + $B$18/($B$19*$B$19*($DN158&lt;&gt;$DO158) + $B$19*($DN158=$DO158))</f>
        <v>3.7037037037037035E-4</v>
      </c>
      <c r="FL158" s="10" cm="1">
        <f t="array" aca="1" ref="FL158" ca="1">(1-$B$18)*SUMPRODUCT(OFFSET($BO$15,0,0,$B$14,1), 1*(_xlfn._xlws.FILTER(OFFSET($O$15,0,$DN158,$B$8,1),OFFSET($M$15,0,0,$B$8,1))=FL$13), 1*(_xlfn._xlws.FILTER(OFFSET($O$15,0,$DO158,$B$8,1),OFFSET($M$15,0,0,$B$8,1))=FL$14))   /   SUM(OFFSET($BO$15,0,0,$B$14,1)) + $B$18/($B$19*$B$19*($DN158&lt;&gt;$DO158) + $B$19*($DN158=$DO158))</f>
        <v>0.48537037037037034</v>
      </c>
      <c r="FM158" s="10" cm="1">
        <f t="array" aca="1" ref="FM158" ca="1">(1-$B$18)*SUMPRODUCT(OFFSET($BO$15,0,0,$B$14,1), 1*(_xlfn._xlws.FILTER(OFFSET($O$15,0,$DN158,$B$8,1),OFFSET($M$15,0,0,$B$8,1))=FM$13), 1*(_xlfn._xlws.FILTER(OFFSET($O$15,0,$DO158,$B$8,1),OFFSET($M$15,0,0,$B$8,1))=FM$14))   /   SUM(OFFSET($BO$15,0,0,$B$14,1)) + $B$18/($B$19*$B$19*($DN158&lt;&gt;$DO158) + $B$19*($DN158=$DO158))</f>
        <v>3.7037037037037035E-4</v>
      </c>
      <c r="FN158" s="10" cm="1">
        <f t="array" aca="1" ref="FN158" ca="1">(1-$B$18)*SUMPRODUCT(OFFSET($BO$15,0,0,$B$14,1), 1*(_xlfn._xlws.FILTER(OFFSET($O$15,0,$DN158,$B$8,1),OFFSET($M$15,0,0,$B$8,1))=FN$13), 1*(_xlfn._xlws.FILTER(OFFSET($O$15,0,$DO158,$B$8,1),OFFSET($M$15,0,0,$B$8,1))=FN$14))   /   SUM(OFFSET($BO$15,0,0,$B$14,1)) + $B$18/($B$19*$B$19*($DN158&lt;&gt;$DO158) + $B$19*($DN158=$DO158))</f>
        <v>0.24287037037037026</v>
      </c>
      <c r="FO158" s="10" cm="1">
        <f t="array" aca="1" ref="FO158" ca="1">(1-$B$18)*SUMPRODUCT(OFFSET($BO$15,0,0,$B$14,1), 1*(_xlfn._xlws.FILTER(OFFSET($O$15,0,$DN158,$B$8,1),OFFSET($M$15,0,0,$B$8,1))=FO$13), 1*(_xlfn._xlws.FILTER(OFFSET($O$15,0,$DO158,$B$8,1),OFFSET($M$15,0,0,$B$8,1))=FO$14))   /   SUM(OFFSET($BO$15,0,0,$B$14,1)) + $B$18/($B$19*$B$19*($DN158&lt;&gt;$DO158) + $B$19*($DN158=$DO158))</f>
        <v>0.24287037037037026</v>
      </c>
      <c r="FP158" s="10" cm="1">
        <f t="array" aca="1" ref="FP158" ca="1">(1-$B$18)*SUMPRODUCT(OFFSET($BO$15,0,0,$B$14,1), 1*(_xlfn._xlws.FILTER(OFFSET($O$15,0,$DN158,$B$8,1),OFFSET($M$15,0,0,$B$8,1))=FP$13), 1*(_xlfn._xlws.FILTER(OFFSET($O$15,0,$DO158,$B$8,1),OFFSET($M$15,0,0,$B$8,1))=FP$14))   /   SUM(OFFSET($BO$15,0,0,$B$14,1)) + $B$18/($B$19*$B$19*($DN158&lt;&gt;$DO158) + $B$19*($DN158=$DO158))</f>
        <v>3.7037037037037035E-4</v>
      </c>
      <c r="FQ158" s="10" cm="1">
        <f t="array" aca="1" ref="FQ158" ca="1">(1-$B$18)*SUMPRODUCT(OFFSET($BO$15,0,0,$B$14,1), 1*(_xlfn._xlws.FILTER(OFFSET($O$15,0,$DN158,$B$8,1),OFFSET($M$15,0,0,$B$8,1))=FQ$13), 1*(_xlfn._xlws.FILTER(OFFSET($O$15,0,$DO158,$B$8,1),OFFSET($M$15,0,0,$B$8,1))=FQ$14))   /   SUM(OFFSET($BO$15,0,0,$B$14,1)) + $B$18/($B$19*$B$19*($DN158&lt;&gt;$DO158) + $B$19*($DN158=$DO158))</f>
        <v>3.7037037037037035E-4</v>
      </c>
      <c r="FR158" s="10" cm="1">
        <f t="array" aca="1" ref="FR158" ca="1">(1-$B$18)*SUMPRODUCT(OFFSET($BO$15,0,0,$B$14,1), 1*(_xlfn._xlws.FILTER(OFFSET($O$15,0,$DN158,$B$8,1),OFFSET($M$15,0,0,$B$8,1))=FR$13), 1*(_xlfn._xlws.FILTER(OFFSET($O$15,0,$DO158,$B$8,1),OFFSET($M$15,0,0,$B$8,1))=FR$14))   /   SUM(OFFSET($BO$15,0,0,$B$14,1)) + $B$18/($B$19*$B$19*($DN158&lt;&gt;$DO158) + $B$19*($DN158=$DO158))</f>
        <v>3.7037037037037035E-4</v>
      </c>
      <c r="FS158" s="10" cm="1">
        <f t="array" aca="1" ref="FS158" ca="1">(1-$B$18)*SUMPRODUCT(OFFSET($BO$15,0,0,$B$14,1), 1*(_xlfn._xlws.FILTER(OFFSET($O$15,0,$DN158,$B$8,1),OFFSET($M$15,0,0,$B$8,1))=FS$13), 1*(_xlfn._xlws.FILTER(OFFSET($O$15,0,$DO158,$B$8,1),OFFSET($M$15,0,0,$B$8,1))=FS$14))   /   SUM(OFFSET($BO$15,0,0,$B$14,1)) + $B$18/($B$19*$B$19*($DN158&lt;&gt;$DO158) + $B$19*($DN158=$DO158))</f>
        <v>3.7037037037037035E-4</v>
      </c>
      <c r="FT158" s="10" cm="1">
        <f t="array" aca="1" ref="FT158" ca="1">(1-$B$18)*SUMPRODUCT(OFFSET($BO$15,0,0,$B$14,1), 1*(_xlfn._xlws.FILTER(OFFSET($O$15,0,$DN158,$B$8,1),OFFSET($M$15,0,0,$B$8,1))=FT$13), 1*(_xlfn._xlws.FILTER(OFFSET($O$15,0,$DO158,$B$8,1),OFFSET($M$15,0,0,$B$8,1))=FT$14))   /   SUM(OFFSET($BO$15,0,0,$B$14,1)) + $B$18/($B$19*$B$19*($DN158&lt;&gt;$DO158) + $B$19*($DN158=$DO158))</f>
        <v>3.7037037037037035E-4</v>
      </c>
      <c r="FU158" s="10" cm="1">
        <f t="array" aca="1" ref="FU158" ca="1">(1-$B$18)*SUMPRODUCT(OFFSET($BO$15,0,0,$B$14,1), 1*(_xlfn._xlws.FILTER(OFFSET($O$15,0,$DN158,$B$8,1),OFFSET($M$15,0,0,$B$8,1))=FU$13), 1*(_xlfn._xlws.FILTER(OFFSET($O$15,0,$DO158,$B$8,1),OFFSET($M$15,0,0,$B$8,1))=FU$14))   /   SUM(OFFSET($BO$15,0,0,$B$14,1)) + $B$18/($B$19*$B$19*($DN158&lt;&gt;$DO158) + $B$19*($DN158=$DO158))</f>
        <v>3.7037037037037035E-4</v>
      </c>
      <c r="FV158" s="10" cm="1">
        <f t="array" aca="1" ref="FV158" ca="1">(1-$B$18)*SUMPRODUCT(OFFSET($BO$15,0,0,$B$14,1), 1*(_xlfn._xlws.FILTER(OFFSET($O$15,0,$DN158,$B$8,1),OFFSET($M$15,0,0,$B$8,1))=FV$13), 1*(_xlfn._xlws.FILTER(OFFSET($O$15,0,$DO158,$B$8,1),OFFSET($M$15,0,0,$B$8,1))=FV$14))   /   SUM(OFFSET($BO$15,0,0,$B$14,1)) + $B$18/($B$19*$B$19*($DN158&lt;&gt;$DO158) + $B$19*($DN158=$DO158))</f>
        <v>3.7037037037037035E-4</v>
      </c>
      <c r="FW158" s="10" cm="1">
        <f t="array" aca="1" ref="FW158" ca="1">(1-$B$18)*SUMPRODUCT(OFFSET($BO$15,0,0,$B$14,1), 1*(_xlfn._xlws.FILTER(OFFSET($O$15,0,$DN158,$B$8,1),OFFSET($M$15,0,0,$B$8,1))=FW$13), 1*(_xlfn._xlws.FILTER(OFFSET($O$15,0,$DO158,$B$8,1),OFFSET($M$15,0,0,$B$8,1))=FW$14))   /   SUM(OFFSET($BO$15,0,0,$B$14,1)) + $B$18/($B$19*$B$19*($DN158&lt;&gt;$DO158) + $B$19*($DN158=$DO158))</f>
        <v>3.7037037037037035E-4</v>
      </c>
      <c r="FX158" s="10" cm="1">
        <f t="array" aca="1" ref="FX158" ca="1">(1-$B$18)*SUMPRODUCT(OFFSET($BO$15,0,0,$B$14,1), 1*(_xlfn._xlws.FILTER(OFFSET($O$15,0,$DN158,$B$8,1),OFFSET($M$15,0,0,$B$8,1))=FX$13), 1*(_xlfn._xlws.FILTER(OFFSET($O$15,0,$DO158,$B$8,1),OFFSET($M$15,0,0,$B$8,1))=FX$14))   /   SUM(OFFSET($BO$15,0,0,$B$14,1)) + $B$18/($B$19*$B$19*($DN158&lt;&gt;$DO158) + $B$19*($DN158=$DO158))</f>
        <v>3.7037037037037035E-4</v>
      </c>
      <c r="FY158" s="10" cm="1">
        <f t="array" aca="1" ref="FY158" ca="1">(1-$B$18)*SUMPRODUCT(OFFSET($BO$15,0,0,$B$14,1), 1*(_xlfn._xlws.FILTER(OFFSET($O$15,0,$DN158,$B$8,1),OFFSET($M$15,0,0,$B$8,1))=FY$13), 1*(_xlfn._xlws.FILTER(OFFSET($O$15,0,$DO158,$B$8,1),OFFSET($M$15,0,0,$B$8,1))=FY$14))   /   SUM(OFFSET($BO$15,0,0,$B$14,1)) + $B$18/($B$19*$B$19*($DN158&lt;&gt;$DO158) + $B$19*($DN158=$DO158))</f>
        <v>3.7037037037037035E-4</v>
      </c>
      <c r="FZ158" s="10" cm="1">
        <f t="array" aca="1" ref="FZ158" ca="1">(1-$B$18)*SUMPRODUCT(OFFSET($BO$15,0,0,$B$14,1), 1*(_xlfn._xlws.FILTER(OFFSET($O$15,0,$DN158,$B$8,1),OFFSET($M$15,0,0,$B$8,1))=FZ$13), 1*(_xlfn._xlws.FILTER(OFFSET($O$15,0,$DO158,$B$8,1),OFFSET($M$15,0,0,$B$8,1))=FZ$14))   /   SUM(OFFSET($BO$15,0,0,$B$14,1)) + $B$18/($B$19*$B$19*($DN158&lt;&gt;$DO158) + $B$19*($DN158=$DO158))</f>
        <v>3.7037037037037035E-4</v>
      </c>
      <c r="GA158" s="10" cm="1">
        <f t="array" aca="1" ref="GA158" ca="1">(1-$B$18)*SUMPRODUCT(OFFSET($BO$15,0,0,$B$14,1), 1*(_xlfn._xlws.FILTER(OFFSET($O$15,0,$DN158,$B$8,1),OFFSET($M$15,0,0,$B$8,1))=GA$13), 1*(_xlfn._xlws.FILTER(OFFSET($O$15,0,$DO158,$B$8,1),OFFSET($M$15,0,0,$B$8,1))=GA$14))   /   SUM(OFFSET($BO$15,0,0,$B$14,1)) + $B$18/($B$19*$B$19*($DN158&lt;&gt;$DO158) + $B$19*($DN158=$DO158))</f>
        <v>3.7037037037037035E-4</v>
      </c>
    </row>
    <row r="159" spans="118:183" x14ac:dyDescent="0.2">
      <c r="DN159" cm="1">
        <f t="array" aca="1" ref="DN159" ca="1">INDEX(_xlfn.ANCHORARRAY($CP$15), 1 + INT((ROWS($DO$15:$DO159) - 1) / ROWS(_xlfn.ANCHORARRAY($CP$15))))</f>
        <v>7</v>
      </c>
      <c r="DO159" cm="1">
        <f t="array" aca="1" ref="DO159" ca="1">INDEX(_xlfn.ANCHORARRAY($CP$15),1+MOD(ROWS($DO$15:$DO159)-1,ROWS(_xlfn.ANCHORARRAY($CP$15))))</f>
        <v>12</v>
      </c>
      <c r="DP159" s="10" cm="1">
        <f t="array" aca="1" ref="DP159" ca="1">(1-$B$18)*SUMPRODUCT(OFFSET($BO$15,0,0,$B$14,1), 1*(_xlfn._xlws.FILTER(OFFSET($O$15,0,$DN159,$B$8,1),OFFSET($M$15,0,0,$B$8,1))=DP$13), 1*(_xlfn._xlws.FILTER(OFFSET($O$15,0,$DO159,$B$8,1),OFFSET($M$15,0,0,$B$8,1))=DP$14))   /   SUM(OFFSET($BO$15,0,0,$B$14,1)) + $B$18/($B$19*$B$19*($DN159&lt;&gt;$DO159) + $B$19*($DN159=$DO159))</f>
        <v>3.7037037037037035E-4</v>
      </c>
      <c r="DQ159" s="10" cm="1">
        <f t="array" aca="1" ref="DQ159" ca="1">(1-$B$18)*SUMPRODUCT(OFFSET($BO$15,0,0,$B$14,1), 1*(_xlfn._xlws.FILTER(OFFSET($O$15,0,$DN159,$B$8,1),OFFSET($M$15,0,0,$B$8,1))=DQ$13), 1*(_xlfn._xlws.FILTER(OFFSET($O$15,0,$DO159,$B$8,1),OFFSET($M$15,0,0,$B$8,1))=DQ$14))   /   SUM(OFFSET($BO$15,0,0,$B$14,1)) + $B$18/($B$19*$B$19*($DN159&lt;&gt;$DO159) + $B$19*($DN159=$DO159))</f>
        <v>3.7037037037037035E-4</v>
      </c>
      <c r="DR159" s="10" cm="1">
        <f t="array" aca="1" ref="DR159" ca="1">(1-$B$18)*SUMPRODUCT(OFFSET($BO$15,0,0,$B$14,1), 1*(_xlfn._xlws.FILTER(OFFSET($O$15,0,$DN159,$B$8,1),OFFSET($M$15,0,0,$B$8,1))=DR$13), 1*(_xlfn._xlws.FILTER(OFFSET($O$15,0,$DO159,$B$8,1),OFFSET($M$15,0,0,$B$8,1))=DR$14))   /   SUM(OFFSET($BO$15,0,0,$B$14,1)) + $B$18/($B$19*$B$19*($DN159&lt;&gt;$DO159) + $B$19*($DN159=$DO159))</f>
        <v>3.7037037037037035E-4</v>
      </c>
      <c r="DS159" s="10" cm="1">
        <f t="array" aca="1" ref="DS159" ca="1">(1-$B$18)*SUMPRODUCT(OFFSET($BO$15,0,0,$B$14,1), 1*(_xlfn._xlws.FILTER(OFFSET($O$15,0,$DN159,$B$8,1),OFFSET($M$15,0,0,$B$8,1))=DS$13), 1*(_xlfn._xlws.FILTER(OFFSET($O$15,0,$DO159,$B$8,1),OFFSET($M$15,0,0,$B$8,1))=DS$14))   /   SUM(OFFSET($BO$15,0,0,$B$14,1)) + $B$18/($B$19*$B$19*($DN159&lt;&gt;$DO159) + $B$19*($DN159=$DO159))</f>
        <v>3.7037037037037035E-4</v>
      </c>
      <c r="DT159" s="10" cm="1">
        <f t="array" aca="1" ref="DT159" ca="1">(1-$B$18)*SUMPRODUCT(OFFSET($BO$15,0,0,$B$14,1), 1*(_xlfn._xlws.FILTER(OFFSET($O$15,0,$DN159,$B$8,1),OFFSET($M$15,0,0,$B$8,1))=DT$13), 1*(_xlfn._xlws.FILTER(OFFSET($O$15,0,$DO159,$B$8,1),OFFSET($M$15,0,0,$B$8,1))=DT$14))   /   SUM(OFFSET($BO$15,0,0,$B$14,1)) + $B$18/($B$19*$B$19*($DN159&lt;&gt;$DO159) + $B$19*($DN159=$DO159))</f>
        <v>3.7037037037037035E-4</v>
      </c>
      <c r="DU159" s="10" cm="1">
        <f t="array" aca="1" ref="DU159" ca="1">(1-$B$18)*SUMPRODUCT(OFFSET($BO$15,0,0,$B$14,1), 1*(_xlfn._xlws.FILTER(OFFSET($O$15,0,$DN159,$B$8,1),OFFSET($M$15,0,0,$B$8,1))=DU$13), 1*(_xlfn._xlws.FILTER(OFFSET($O$15,0,$DO159,$B$8,1),OFFSET($M$15,0,0,$B$8,1))=DU$14))   /   SUM(OFFSET($BO$15,0,0,$B$14,1)) + $B$18/($B$19*$B$19*($DN159&lt;&gt;$DO159) + $B$19*($DN159=$DO159))</f>
        <v>3.7037037037037035E-4</v>
      </c>
      <c r="DV159" s="10" cm="1">
        <f t="array" aca="1" ref="DV159" ca="1">(1-$B$18)*SUMPRODUCT(OFFSET($BO$15,0,0,$B$14,1), 1*(_xlfn._xlws.FILTER(OFFSET($O$15,0,$DN159,$B$8,1),OFFSET($M$15,0,0,$B$8,1))=DV$13), 1*(_xlfn._xlws.FILTER(OFFSET($O$15,0,$DO159,$B$8,1),OFFSET($M$15,0,0,$B$8,1))=DV$14))   /   SUM(OFFSET($BO$15,0,0,$B$14,1)) + $B$18/($B$19*$B$19*($DN159&lt;&gt;$DO159) + $B$19*($DN159=$DO159))</f>
        <v>3.7037037037037035E-4</v>
      </c>
      <c r="DW159" s="10" cm="1">
        <f t="array" aca="1" ref="DW159" ca="1">(1-$B$18)*SUMPRODUCT(OFFSET($BO$15,0,0,$B$14,1), 1*(_xlfn._xlws.FILTER(OFFSET($O$15,0,$DN159,$B$8,1),OFFSET($M$15,0,0,$B$8,1))=DW$13), 1*(_xlfn._xlws.FILTER(OFFSET($O$15,0,$DO159,$B$8,1),OFFSET($M$15,0,0,$B$8,1))=DW$14))   /   SUM(OFFSET($BO$15,0,0,$B$14,1)) + $B$18/($B$19*$B$19*($DN159&lt;&gt;$DO159) + $B$19*($DN159=$DO159))</f>
        <v>3.7037037037037035E-4</v>
      </c>
      <c r="DX159" s="10" cm="1">
        <f t="array" aca="1" ref="DX159" ca="1">(1-$B$18)*SUMPRODUCT(OFFSET($BO$15,0,0,$B$14,1), 1*(_xlfn._xlws.FILTER(OFFSET($O$15,0,$DN159,$B$8,1),OFFSET($M$15,0,0,$B$8,1))=DX$13), 1*(_xlfn._xlws.FILTER(OFFSET($O$15,0,$DO159,$B$8,1),OFFSET($M$15,0,0,$B$8,1))=DX$14))   /   SUM(OFFSET($BO$15,0,0,$B$14,1)) + $B$18/($B$19*$B$19*($DN159&lt;&gt;$DO159) + $B$19*($DN159=$DO159))</f>
        <v>3.7037037037037035E-4</v>
      </c>
      <c r="DY159" s="10" cm="1">
        <f t="array" aca="1" ref="DY159" ca="1">(1-$B$18)*SUMPRODUCT(OFFSET($BO$15,0,0,$B$14,1), 1*(_xlfn._xlws.FILTER(OFFSET($O$15,0,$DN159,$B$8,1),OFFSET($M$15,0,0,$B$8,1))=DY$13), 1*(_xlfn._xlws.FILTER(OFFSET($O$15,0,$DO159,$B$8,1),OFFSET($M$15,0,0,$B$8,1))=DY$14))   /   SUM(OFFSET($BO$15,0,0,$B$14,1)) + $B$18/($B$19*$B$19*($DN159&lt;&gt;$DO159) + $B$19*($DN159=$DO159))</f>
        <v>3.7037037037037035E-4</v>
      </c>
      <c r="DZ159" s="10" cm="1">
        <f t="array" aca="1" ref="DZ159" ca="1">(1-$B$18)*SUMPRODUCT(OFFSET($BO$15,0,0,$B$14,1), 1*(_xlfn._xlws.FILTER(OFFSET($O$15,0,$DN159,$B$8,1),OFFSET($M$15,0,0,$B$8,1))=DZ$13), 1*(_xlfn._xlws.FILTER(OFFSET($O$15,0,$DO159,$B$8,1),OFFSET($M$15,0,0,$B$8,1))=DZ$14))   /   SUM(OFFSET($BO$15,0,0,$B$14,1)) + $B$18/($B$19*$B$19*($DN159&lt;&gt;$DO159) + $B$19*($DN159=$DO159))</f>
        <v>3.7037037037037035E-4</v>
      </c>
      <c r="EA159" s="10" cm="1">
        <f t="array" aca="1" ref="EA159" ca="1">(1-$B$18)*SUMPRODUCT(OFFSET($BO$15,0,0,$B$14,1), 1*(_xlfn._xlws.FILTER(OFFSET($O$15,0,$DN159,$B$8,1),OFFSET($M$15,0,0,$B$8,1))=EA$13), 1*(_xlfn._xlws.FILTER(OFFSET($O$15,0,$DO159,$B$8,1),OFFSET($M$15,0,0,$B$8,1))=EA$14))   /   SUM(OFFSET($BO$15,0,0,$B$14,1)) + $B$18/($B$19*$B$19*($DN159&lt;&gt;$DO159) + $B$19*($DN159=$DO159))</f>
        <v>3.7037037037037035E-4</v>
      </c>
      <c r="EB159" s="10" cm="1">
        <f t="array" aca="1" ref="EB159" ca="1">(1-$B$18)*SUMPRODUCT(OFFSET($BO$15,0,0,$B$14,1), 1*(_xlfn._xlws.FILTER(OFFSET($O$15,0,$DN159,$B$8,1),OFFSET($M$15,0,0,$B$8,1))=EB$13), 1*(_xlfn._xlws.FILTER(OFFSET($O$15,0,$DO159,$B$8,1),OFFSET($M$15,0,0,$B$8,1))=EB$14))   /   SUM(OFFSET($BO$15,0,0,$B$14,1)) + $B$18/($B$19*$B$19*($DN159&lt;&gt;$DO159) + $B$19*($DN159=$DO159))</f>
        <v>3.7037037037037035E-4</v>
      </c>
      <c r="EC159" s="10" cm="1">
        <f t="array" aca="1" ref="EC159" ca="1">(1-$B$18)*SUMPRODUCT(OFFSET($BO$15,0,0,$B$14,1), 1*(_xlfn._xlws.FILTER(OFFSET($O$15,0,$DN159,$B$8,1),OFFSET($M$15,0,0,$B$8,1))=EC$13), 1*(_xlfn._xlws.FILTER(OFFSET($O$15,0,$DO159,$B$8,1),OFFSET($M$15,0,0,$B$8,1))=EC$14))   /   SUM(OFFSET($BO$15,0,0,$B$14,1)) + $B$18/($B$19*$B$19*($DN159&lt;&gt;$DO159) + $B$19*($DN159=$DO159))</f>
        <v>3.7037037037037035E-4</v>
      </c>
      <c r="ED159" s="10" cm="1">
        <f t="array" aca="1" ref="ED159" ca="1">(1-$B$18)*SUMPRODUCT(OFFSET($BO$15,0,0,$B$14,1), 1*(_xlfn._xlws.FILTER(OFFSET($O$15,0,$DN159,$B$8,1),OFFSET($M$15,0,0,$B$8,1))=ED$13), 1*(_xlfn._xlws.FILTER(OFFSET($O$15,0,$DO159,$B$8,1),OFFSET($M$15,0,0,$B$8,1))=ED$14))   /   SUM(OFFSET($BO$15,0,0,$B$14,1)) + $B$18/($B$19*$B$19*($DN159&lt;&gt;$DO159) + $B$19*($DN159=$DO159))</f>
        <v>3.7037037037037035E-4</v>
      </c>
      <c r="EE159" s="10" cm="1">
        <f t="array" aca="1" ref="EE159" ca="1">(1-$B$18)*SUMPRODUCT(OFFSET($BO$15,0,0,$B$14,1), 1*(_xlfn._xlws.FILTER(OFFSET($O$15,0,$DN159,$B$8,1),OFFSET($M$15,0,0,$B$8,1))=EE$13), 1*(_xlfn._xlws.FILTER(OFFSET($O$15,0,$DO159,$B$8,1),OFFSET($M$15,0,0,$B$8,1))=EE$14))   /   SUM(OFFSET($BO$15,0,0,$B$14,1)) + $B$18/($B$19*$B$19*($DN159&lt;&gt;$DO159) + $B$19*($DN159=$DO159))</f>
        <v>3.7037037037037035E-4</v>
      </c>
      <c r="EF159" s="10" cm="1">
        <f t="array" aca="1" ref="EF159" ca="1">(1-$B$18)*SUMPRODUCT(OFFSET($BO$15,0,0,$B$14,1), 1*(_xlfn._xlws.FILTER(OFFSET($O$15,0,$DN159,$B$8,1),OFFSET($M$15,0,0,$B$8,1))=EF$13), 1*(_xlfn._xlws.FILTER(OFFSET($O$15,0,$DO159,$B$8,1),OFFSET($M$15,0,0,$B$8,1))=EF$14))   /   SUM(OFFSET($BO$15,0,0,$B$14,1)) + $B$18/($B$19*$B$19*($DN159&lt;&gt;$DO159) + $B$19*($DN159=$DO159))</f>
        <v>3.7037037037037035E-4</v>
      </c>
      <c r="EG159" s="10" cm="1">
        <f t="array" aca="1" ref="EG159" ca="1">(1-$B$18)*SUMPRODUCT(OFFSET($BO$15,0,0,$B$14,1), 1*(_xlfn._xlws.FILTER(OFFSET($O$15,0,$DN159,$B$8,1),OFFSET($M$15,0,0,$B$8,1))=EG$13), 1*(_xlfn._xlws.FILTER(OFFSET($O$15,0,$DO159,$B$8,1),OFFSET($M$15,0,0,$B$8,1))=EG$14))   /   SUM(OFFSET($BO$15,0,0,$B$14,1)) + $B$18/($B$19*$B$19*($DN159&lt;&gt;$DO159) + $B$19*($DN159=$DO159))</f>
        <v>3.7037037037037035E-4</v>
      </c>
      <c r="EH159" s="10" cm="1">
        <f t="array" aca="1" ref="EH159" ca="1">(1-$B$18)*SUMPRODUCT(OFFSET($BO$15,0,0,$B$14,1), 1*(_xlfn._xlws.FILTER(OFFSET($O$15,0,$DN159,$B$8,1),OFFSET($M$15,0,0,$B$8,1))=EH$13), 1*(_xlfn._xlws.FILTER(OFFSET($O$15,0,$DO159,$B$8,1),OFFSET($M$15,0,0,$B$8,1))=EH$14))   /   SUM(OFFSET($BO$15,0,0,$B$14,1)) + $B$18/($B$19*$B$19*($DN159&lt;&gt;$DO159) + $B$19*($DN159=$DO159))</f>
        <v>3.7037037037037035E-4</v>
      </c>
      <c r="EI159" s="10" cm="1">
        <f t="array" aca="1" ref="EI159" ca="1">(1-$B$18)*SUMPRODUCT(OFFSET($BO$15,0,0,$B$14,1), 1*(_xlfn._xlws.FILTER(OFFSET($O$15,0,$DN159,$B$8,1),OFFSET($M$15,0,0,$B$8,1))=EI$13), 1*(_xlfn._xlws.FILTER(OFFSET($O$15,0,$DO159,$B$8,1),OFFSET($M$15,0,0,$B$8,1))=EI$14))   /   SUM(OFFSET($BO$15,0,0,$B$14,1)) + $B$18/($B$19*$B$19*($DN159&lt;&gt;$DO159) + $B$19*($DN159=$DO159))</f>
        <v>3.7037037037037035E-4</v>
      </c>
      <c r="EJ159" s="10" cm="1">
        <f t="array" aca="1" ref="EJ159" ca="1">(1-$B$18)*SUMPRODUCT(OFFSET($BO$15,0,0,$B$14,1), 1*(_xlfn._xlws.FILTER(OFFSET($O$15,0,$DN159,$B$8,1),OFFSET($M$15,0,0,$B$8,1))=EJ$13), 1*(_xlfn._xlws.FILTER(OFFSET($O$15,0,$DO159,$B$8,1),OFFSET($M$15,0,0,$B$8,1))=EJ$14))   /   SUM(OFFSET($BO$15,0,0,$B$14,1)) + $B$18/($B$19*$B$19*($DN159&lt;&gt;$DO159) + $B$19*($DN159=$DO159))</f>
        <v>3.7037037037037035E-4</v>
      </c>
      <c r="EK159" s="10" cm="1">
        <f t="array" aca="1" ref="EK159" ca="1">(1-$B$18)*SUMPRODUCT(OFFSET($BO$15,0,0,$B$14,1), 1*(_xlfn._xlws.FILTER(OFFSET($O$15,0,$DN159,$B$8,1),OFFSET($M$15,0,0,$B$8,1))=EK$13), 1*(_xlfn._xlws.FILTER(OFFSET($O$15,0,$DO159,$B$8,1),OFFSET($M$15,0,0,$B$8,1))=EK$14))   /   SUM(OFFSET($BO$15,0,0,$B$14,1)) + $B$18/($B$19*$B$19*($DN159&lt;&gt;$DO159) + $B$19*($DN159=$DO159))</f>
        <v>3.7037037037037035E-4</v>
      </c>
      <c r="EL159" s="10" cm="1">
        <f t="array" aca="1" ref="EL159" ca="1">(1-$B$18)*SUMPRODUCT(OFFSET($BO$15,0,0,$B$14,1), 1*(_xlfn._xlws.FILTER(OFFSET($O$15,0,$DN159,$B$8,1),OFFSET($M$15,0,0,$B$8,1))=EL$13), 1*(_xlfn._xlws.FILTER(OFFSET($O$15,0,$DO159,$B$8,1),OFFSET($M$15,0,0,$B$8,1))=EL$14))   /   SUM(OFFSET($BO$15,0,0,$B$14,1)) + $B$18/($B$19*$B$19*($DN159&lt;&gt;$DO159) + $B$19*($DN159=$DO159))</f>
        <v>3.7037037037037035E-4</v>
      </c>
      <c r="EM159" s="10" cm="1">
        <f t="array" aca="1" ref="EM159" ca="1">(1-$B$18)*SUMPRODUCT(OFFSET($BO$15,0,0,$B$14,1), 1*(_xlfn._xlws.FILTER(OFFSET($O$15,0,$DN159,$B$8,1),OFFSET($M$15,0,0,$B$8,1))=EM$13), 1*(_xlfn._xlws.FILTER(OFFSET($O$15,0,$DO159,$B$8,1),OFFSET($M$15,0,0,$B$8,1))=EM$14))   /   SUM(OFFSET($BO$15,0,0,$B$14,1)) + $B$18/($B$19*$B$19*($DN159&lt;&gt;$DO159) + $B$19*($DN159=$DO159))</f>
        <v>3.7037037037037035E-4</v>
      </c>
      <c r="EN159" s="10" cm="1">
        <f t="array" aca="1" ref="EN159" ca="1">(1-$B$18)*SUMPRODUCT(OFFSET($BO$15,0,0,$B$14,1), 1*(_xlfn._xlws.FILTER(OFFSET($O$15,0,$DN159,$B$8,1),OFFSET($M$15,0,0,$B$8,1))=EN$13), 1*(_xlfn._xlws.FILTER(OFFSET($O$15,0,$DO159,$B$8,1),OFFSET($M$15,0,0,$B$8,1))=EN$14))   /   SUM(OFFSET($BO$15,0,0,$B$14,1)) + $B$18/($B$19*$B$19*($DN159&lt;&gt;$DO159) + $B$19*($DN159=$DO159))</f>
        <v>3.7037037037037035E-4</v>
      </c>
      <c r="EO159" s="10" cm="1">
        <f t="array" aca="1" ref="EO159" ca="1">(1-$B$18)*SUMPRODUCT(OFFSET($BO$15,0,0,$B$14,1), 1*(_xlfn._xlws.FILTER(OFFSET($O$15,0,$DN159,$B$8,1),OFFSET($M$15,0,0,$B$8,1))=EO$13), 1*(_xlfn._xlws.FILTER(OFFSET($O$15,0,$DO159,$B$8,1),OFFSET($M$15,0,0,$B$8,1))=EO$14))   /   SUM(OFFSET($BO$15,0,0,$B$14,1)) + $B$18/($B$19*$B$19*($DN159&lt;&gt;$DO159) + $B$19*($DN159=$DO159))</f>
        <v>3.7037037037037035E-4</v>
      </c>
      <c r="EP159" s="10" cm="1">
        <f t="array" aca="1" ref="EP159" ca="1">(1-$B$18)*SUMPRODUCT(OFFSET($BO$15,0,0,$B$14,1), 1*(_xlfn._xlws.FILTER(OFFSET($O$15,0,$DN159,$B$8,1),OFFSET($M$15,0,0,$B$8,1))=EP$13), 1*(_xlfn._xlws.FILTER(OFFSET($O$15,0,$DO159,$B$8,1),OFFSET($M$15,0,0,$B$8,1))=EP$14))   /   SUM(OFFSET($BO$15,0,0,$B$14,1)) + $B$18/($B$19*$B$19*($DN159&lt;&gt;$DO159) + $B$19*($DN159=$DO159))</f>
        <v>3.7037037037037035E-4</v>
      </c>
      <c r="EQ159" s="10" cm="1">
        <f t="array" aca="1" ref="EQ159" ca="1">(1-$B$18)*SUMPRODUCT(OFFSET($BO$15,0,0,$B$14,1), 1*(_xlfn._xlws.FILTER(OFFSET($O$15,0,$DN159,$B$8,1),OFFSET($M$15,0,0,$B$8,1))=EQ$13), 1*(_xlfn._xlws.FILTER(OFFSET($O$15,0,$DO159,$B$8,1),OFFSET($M$15,0,0,$B$8,1))=EQ$14))   /   SUM(OFFSET($BO$15,0,0,$B$14,1)) + $B$18/($B$19*$B$19*($DN159&lt;&gt;$DO159) + $B$19*($DN159=$DO159))</f>
        <v>3.7037037037037035E-4</v>
      </c>
      <c r="ER159" s="10" cm="1">
        <f t="array" aca="1" ref="ER159" ca="1">(1-$B$18)*SUMPRODUCT(OFFSET($BO$15,0,0,$B$14,1), 1*(_xlfn._xlws.FILTER(OFFSET($O$15,0,$DN159,$B$8,1),OFFSET($M$15,0,0,$B$8,1))=ER$13), 1*(_xlfn._xlws.FILTER(OFFSET($O$15,0,$DO159,$B$8,1),OFFSET($M$15,0,0,$B$8,1))=ER$14))   /   SUM(OFFSET($BO$15,0,0,$B$14,1)) + $B$18/($B$19*$B$19*($DN159&lt;&gt;$DO159) + $B$19*($DN159=$DO159))</f>
        <v>3.7037037037037035E-4</v>
      </c>
      <c r="ES159" s="10" cm="1">
        <f t="array" aca="1" ref="ES159" ca="1">(1-$B$18)*SUMPRODUCT(OFFSET($BO$15,0,0,$B$14,1), 1*(_xlfn._xlws.FILTER(OFFSET($O$15,0,$DN159,$B$8,1),OFFSET($M$15,0,0,$B$8,1))=ES$13), 1*(_xlfn._xlws.FILTER(OFFSET($O$15,0,$DO159,$B$8,1),OFFSET($M$15,0,0,$B$8,1))=ES$14))   /   SUM(OFFSET($BO$15,0,0,$B$14,1)) + $B$18/($B$19*$B$19*($DN159&lt;&gt;$DO159) + $B$19*($DN159=$DO159))</f>
        <v>3.7037037037037035E-4</v>
      </c>
      <c r="ET159" s="10" cm="1">
        <f t="array" aca="1" ref="ET159" ca="1">(1-$B$18)*SUMPRODUCT(OFFSET($BO$15,0,0,$B$14,1), 1*(_xlfn._xlws.FILTER(OFFSET($O$15,0,$DN159,$B$8,1),OFFSET($M$15,0,0,$B$8,1))=ET$13), 1*(_xlfn._xlws.FILTER(OFFSET($O$15,0,$DO159,$B$8,1),OFFSET($M$15,0,0,$B$8,1))=ET$14))   /   SUM(OFFSET($BO$15,0,0,$B$14,1)) + $B$18/($B$19*$B$19*($DN159&lt;&gt;$DO159) + $B$19*($DN159=$DO159))</f>
        <v>3.7037037037037035E-4</v>
      </c>
      <c r="EU159" s="10" cm="1">
        <f t="array" aca="1" ref="EU159" ca="1">(1-$B$18)*SUMPRODUCT(OFFSET($BO$15,0,0,$B$14,1), 1*(_xlfn._xlws.FILTER(OFFSET($O$15,0,$DN159,$B$8,1),OFFSET($M$15,0,0,$B$8,1))=EU$13), 1*(_xlfn._xlws.FILTER(OFFSET($O$15,0,$DO159,$B$8,1),OFFSET($M$15,0,0,$B$8,1))=EU$14))   /   SUM(OFFSET($BO$15,0,0,$B$14,1)) + $B$18/($B$19*$B$19*($DN159&lt;&gt;$DO159) + $B$19*($DN159=$DO159))</f>
        <v>3.7037037037037035E-4</v>
      </c>
      <c r="EV159" s="10" cm="1">
        <f t="array" aca="1" ref="EV159" ca="1">(1-$B$18)*SUMPRODUCT(OFFSET($BO$15,0,0,$B$14,1), 1*(_xlfn._xlws.FILTER(OFFSET($O$15,0,$DN159,$B$8,1),OFFSET($M$15,0,0,$B$8,1))=EV$13), 1*(_xlfn._xlws.FILTER(OFFSET($O$15,0,$DO159,$B$8,1),OFFSET($M$15,0,0,$B$8,1))=EV$14))   /   SUM(OFFSET($BO$15,0,0,$B$14,1)) + $B$18/($B$19*$B$19*($DN159&lt;&gt;$DO159) + $B$19*($DN159=$DO159))</f>
        <v>3.7037037037037035E-4</v>
      </c>
      <c r="EW159" s="10" cm="1">
        <f t="array" aca="1" ref="EW159" ca="1">(1-$B$18)*SUMPRODUCT(OFFSET($BO$15,0,0,$B$14,1), 1*(_xlfn._xlws.FILTER(OFFSET($O$15,0,$DN159,$B$8,1),OFFSET($M$15,0,0,$B$8,1))=EW$13), 1*(_xlfn._xlws.FILTER(OFFSET($O$15,0,$DO159,$B$8,1),OFFSET($M$15,0,0,$B$8,1))=EW$14))   /   SUM(OFFSET($BO$15,0,0,$B$14,1)) + $B$18/($B$19*$B$19*($DN159&lt;&gt;$DO159) + $B$19*($DN159=$DO159))</f>
        <v>3.7037037037037035E-4</v>
      </c>
      <c r="EX159" s="10" cm="1">
        <f t="array" aca="1" ref="EX159" ca="1">(1-$B$18)*SUMPRODUCT(OFFSET($BO$15,0,0,$B$14,1), 1*(_xlfn._xlws.FILTER(OFFSET($O$15,0,$DN159,$B$8,1),OFFSET($M$15,0,0,$B$8,1))=EX$13), 1*(_xlfn._xlws.FILTER(OFFSET($O$15,0,$DO159,$B$8,1),OFFSET($M$15,0,0,$B$8,1))=EX$14))   /   SUM(OFFSET($BO$15,0,0,$B$14,1)) + $B$18/($B$19*$B$19*($DN159&lt;&gt;$DO159) + $B$19*($DN159=$DO159))</f>
        <v>3.7037037037037035E-4</v>
      </c>
      <c r="EY159" s="10" cm="1">
        <f t="array" aca="1" ref="EY159" ca="1">(1-$B$18)*SUMPRODUCT(OFFSET($BO$15,0,0,$B$14,1), 1*(_xlfn._xlws.FILTER(OFFSET($O$15,0,$DN159,$B$8,1),OFFSET($M$15,0,0,$B$8,1))=EY$13), 1*(_xlfn._xlws.FILTER(OFFSET($O$15,0,$DO159,$B$8,1),OFFSET($M$15,0,0,$B$8,1))=EY$14))   /   SUM(OFFSET($BO$15,0,0,$B$14,1)) + $B$18/($B$19*$B$19*($DN159&lt;&gt;$DO159) + $B$19*($DN159=$DO159))</f>
        <v>3.7037037037037035E-4</v>
      </c>
      <c r="EZ159" s="10" cm="1">
        <f t="array" aca="1" ref="EZ159" ca="1">(1-$B$18)*SUMPRODUCT(OFFSET($BO$15,0,0,$B$14,1), 1*(_xlfn._xlws.FILTER(OFFSET($O$15,0,$DN159,$B$8,1),OFFSET($M$15,0,0,$B$8,1))=EZ$13), 1*(_xlfn._xlws.FILTER(OFFSET($O$15,0,$DO159,$B$8,1),OFFSET($M$15,0,0,$B$8,1))=EZ$14))   /   SUM(OFFSET($BO$15,0,0,$B$14,1)) + $B$18/($B$19*$B$19*($DN159&lt;&gt;$DO159) + $B$19*($DN159=$DO159))</f>
        <v>3.7037037037037035E-4</v>
      </c>
      <c r="FA159" s="10" cm="1">
        <f t="array" aca="1" ref="FA159" ca="1">(1-$B$18)*SUMPRODUCT(OFFSET($BO$15,0,0,$B$14,1), 1*(_xlfn._xlws.FILTER(OFFSET($O$15,0,$DN159,$B$8,1),OFFSET($M$15,0,0,$B$8,1))=FA$13), 1*(_xlfn._xlws.FILTER(OFFSET($O$15,0,$DO159,$B$8,1),OFFSET($M$15,0,0,$B$8,1))=FA$14))   /   SUM(OFFSET($BO$15,0,0,$B$14,1)) + $B$18/($B$19*$B$19*($DN159&lt;&gt;$DO159) + $B$19*($DN159=$DO159))</f>
        <v>3.7037037037037035E-4</v>
      </c>
      <c r="FB159" s="10" cm="1">
        <f t="array" aca="1" ref="FB159" ca="1">(1-$B$18)*SUMPRODUCT(OFFSET($BO$15,0,0,$B$14,1), 1*(_xlfn._xlws.FILTER(OFFSET($O$15,0,$DN159,$B$8,1),OFFSET($M$15,0,0,$B$8,1))=FB$13), 1*(_xlfn._xlws.FILTER(OFFSET($O$15,0,$DO159,$B$8,1),OFFSET($M$15,0,0,$B$8,1))=FB$14))   /   SUM(OFFSET($BO$15,0,0,$B$14,1)) + $B$18/($B$19*$B$19*($DN159&lt;&gt;$DO159) + $B$19*($DN159=$DO159))</f>
        <v>3.7037037037037035E-4</v>
      </c>
      <c r="FC159" s="10" cm="1">
        <f t="array" aca="1" ref="FC159" ca="1">(1-$B$18)*SUMPRODUCT(OFFSET($BO$15,0,0,$B$14,1), 1*(_xlfn._xlws.FILTER(OFFSET($O$15,0,$DN159,$B$8,1),OFFSET($M$15,0,0,$B$8,1))=FC$13), 1*(_xlfn._xlws.FILTER(OFFSET($O$15,0,$DO159,$B$8,1),OFFSET($M$15,0,0,$B$8,1))=FC$14))   /   SUM(OFFSET($BO$15,0,0,$B$14,1)) + $B$18/($B$19*$B$19*($DN159&lt;&gt;$DO159) + $B$19*($DN159=$DO159))</f>
        <v>3.7037037037037035E-4</v>
      </c>
      <c r="FD159" s="10" cm="1">
        <f t="array" aca="1" ref="FD159" ca="1">(1-$B$18)*SUMPRODUCT(OFFSET($BO$15,0,0,$B$14,1), 1*(_xlfn._xlws.FILTER(OFFSET($O$15,0,$DN159,$B$8,1),OFFSET($M$15,0,0,$B$8,1))=FD$13), 1*(_xlfn._xlws.FILTER(OFFSET($O$15,0,$DO159,$B$8,1),OFFSET($M$15,0,0,$B$8,1))=FD$14))   /   SUM(OFFSET($BO$15,0,0,$B$14,1)) + $B$18/($B$19*$B$19*($DN159&lt;&gt;$DO159) + $B$19*($DN159=$DO159))</f>
        <v>3.7037037037037035E-4</v>
      </c>
      <c r="FE159" s="10" cm="1">
        <f t="array" aca="1" ref="FE159" ca="1">(1-$B$18)*SUMPRODUCT(OFFSET($BO$15,0,0,$B$14,1), 1*(_xlfn._xlws.FILTER(OFFSET($O$15,0,$DN159,$B$8,1),OFFSET($M$15,0,0,$B$8,1))=FE$13), 1*(_xlfn._xlws.FILTER(OFFSET($O$15,0,$DO159,$B$8,1),OFFSET($M$15,0,0,$B$8,1))=FE$14))   /   SUM(OFFSET($BO$15,0,0,$B$14,1)) + $B$18/($B$19*$B$19*($DN159&lt;&gt;$DO159) + $B$19*($DN159=$DO159))</f>
        <v>3.7037037037037035E-4</v>
      </c>
      <c r="FF159" s="10" cm="1">
        <f t="array" aca="1" ref="FF159" ca="1">(1-$B$18)*SUMPRODUCT(OFFSET($BO$15,0,0,$B$14,1), 1*(_xlfn._xlws.FILTER(OFFSET($O$15,0,$DN159,$B$8,1),OFFSET($M$15,0,0,$B$8,1))=FF$13), 1*(_xlfn._xlws.FILTER(OFFSET($O$15,0,$DO159,$B$8,1),OFFSET($M$15,0,0,$B$8,1))=FF$14))   /   SUM(OFFSET($BO$15,0,0,$B$14,1)) + $B$18/($B$19*$B$19*($DN159&lt;&gt;$DO159) + $B$19*($DN159=$DO159))</f>
        <v>3.7037037037037035E-4</v>
      </c>
      <c r="FG159" s="10" cm="1">
        <f t="array" aca="1" ref="FG159" ca="1">(1-$B$18)*SUMPRODUCT(OFFSET($BO$15,0,0,$B$14,1), 1*(_xlfn._xlws.FILTER(OFFSET($O$15,0,$DN159,$B$8,1),OFFSET($M$15,0,0,$B$8,1))=FG$13), 1*(_xlfn._xlws.FILTER(OFFSET($O$15,0,$DO159,$B$8,1),OFFSET($M$15,0,0,$B$8,1))=FG$14))   /   SUM(OFFSET($BO$15,0,0,$B$14,1)) + $B$18/($B$19*$B$19*($DN159&lt;&gt;$DO159) + $B$19*($DN159=$DO159))</f>
        <v>3.7037037037037035E-4</v>
      </c>
      <c r="FH159" s="10" cm="1">
        <f t="array" aca="1" ref="FH159" ca="1">(1-$B$18)*SUMPRODUCT(OFFSET($BO$15,0,0,$B$14,1), 1*(_xlfn._xlws.FILTER(OFFSET($O$15,0,$DN159,$B$8,1),OFFSET($M$15,0,0,$B$8,1))=FH$13), 1*(_xlfn._xlws.FILTER(OFFSET($O$15,0,$DO159,$B$8,1),OFFSET($M$15,0,0,$B$8,1))=FH$14))   /   SUM(OFFSET($BO$15,0,0,$B$14,1)) + $B$18/($B$19*$B$19*($DN159&lt;&gt;$DO159) + $B$19*($DN159=$DO159))</f>
        <v>3.7037037037037035E-4</v>
      </c>
      <c r="FI159" s="10" cm="1">
        <f t="array" aca="1" ref="FI159" ca="1">(1-$B$18)*SUMPRODUCT(OFFSET($BO$15,0,0,$B$14,1), 1*(_xlfn._xlws.FILTER(OFFSET($O$15,0,$DN159,$B$8,1),OFFSET($M$15,0,0,$B$8,1))=FI$13), 1*(_xlfn._xlws.FILTER(OFFSET($O$15,0,$DO159,$B$8,1),OFFSET($M$15,0,0,$B$8,1))=FI$14))   /   SUM(OFFSET($BO$15,0,0,$B$14,1)) + $B$18/($B$19*$B$19*($DN159&lt;&gt;$DO159) + $B$19*($DN159=$DO159))</f>
        <v>3.7037037037037035E-4</v>
      </c>
      <c r="FJ159" s="10" cm="1">
        <f t="array" aca="1" ref="FJ159" ca="1">(1-$B$18)*SUMPRODUCT(OFFSET($BO$15,0,0,$B$14,1), 1*(_xlfn._xlws.FILTER(OFFSET($O$15,0,$DN159,$B$8,1),OFFSET($M$15,0,0,$B$8,1))=FJ$13), 1*(_xlfn._xlws.FILTER(OFFSET($O$15,0,$DO159,$B$8,1),OFFSET($M$15,0,0,$B$8,1))=FJ$14))   /   SUM(OFFSET($BO$15,0,0,$B$14,1)) + $B$18/($B$19*$B$19*($DN159&lt;&gt;$DO159) + $B$19*($DN159=$DO159))</f>
        <v>3.7037037037037035E-4</v>
      </c>
      <c r="FK159" s="10" cm="1">
        <f t="array" aca="1" ref="FK159" ca="1">(1-$B$18)*SUMPRODUCT(OFFSET($BO$15,0,0,$B$14,1), 1*(_xlfn._xlws.FILTER(OFFSET($O$15,0,$DN159,$B$8,1),OFFSET($M$15,0,0,$B$8,1))=FK$13), 1*(_xlfn._xlws.FILTER(OFFSET($O$15,0,$DO159,$B$8,1),OFFSET($M$15,0,0,$B$8,1))=FK$14))   /   SUM(OFFSET($BO$15,0,0,$B$14,1)) + $B$18/($B$19*$B$19*($DN159&lt;&gt;$DO159) + $B$19*($DN159=$DO159))</f>
        <v>3.7037037037037035E-4</v>
      </c>
      <c r="FL159" s="10" cm="1">
        <f t="array" aca="1" ref="FL159" ca="1">(1-$B$18)*SUMPRODUCT(OFFSET($BO$15,0,0,$B$14,1), 1*(_xlfn._xlws.FILTER(OFFSET($O$15,0,$DN159,$B$8,1),OFFSET($M$15,0,0,$B$8,1))=FL$13), 1*(_xlfn._xlws.FILTER(OFFSET($O$15,0,$DO159,$B$8,1),OFFSET($M$15,0,0,$B$8,1))=FL$14))   /   SUM(OFFSET($BO$15,0,0,$B$14,1)) + $B$18/($B$19*$B$19*($DN159&lt;&gt;$DO159) + $B$19*($DN159=$DO159))</f>
        <v>3.7037037037037035E-4</v>
      </c>
      <c r="FM159" s="10" cm="1">
        <f t="array" aca="1" ref="FM159" ca="1">(1-$B$18)*SUMPRODUCT(OFFSET($BO$15,0,0,$B$14,1), 1*(_xlfn._xlws.FILTER(OFFSET($O$15,0,$DN159,$B$8,1),OFFSET($M$15,0,0,$B$8,1))=FM$13), 1*(_xlfn._xlws.FILTER(OFFSET($O$15,0,$DO159,$B$8,1),OFFSET($M$15,0,0,$B$8,1))=FM$14))   /   SUM(OFFSET($BO$15,0,0,$B$14,1)) + $B$18/($B$19*$B$19*($DN159&lt;&gt;$DO159) + $B$19*($DN159=$DO159))</f>
        <v>0.97037037037037033</v>
      </c>
      <c r="FN159" s="10" cm="1">
        <f t="array" aca="1" ref="FN159" ca="1">(1-$B$18)*SUMPRODUCT(OFFSET($BO$15,0,0,$B$14,1), 1*(_xlfn._xlws.FILTER(OFFSET($O$15,0,$DN159,$B$8,1),OFFSET($M$15,0,0,$B$8,1))=FN$13), 1*(_xlfn._xlws.FILTER(OFFSET($O$15,0,$DO159,$B$8,1),OFFSET($M$15,0,0,$B$8,1))=FN$14))   /   SUM(OFFSET($BO$15,0,0,$B$14,1)) + $B$18/($B$19*$B$19*($DN159&lt;&gt;$DO159) + $B$19*($DN159=$DO159))</f>
        <v>3.7037037037037035E-4</v>
      </c>
      <c r="FO159" s="10" cm="1">
        <f t="array" aca="1" ref="FO159" ca="1">(1-$B$18)*SUMPRODUCT(OFFSET($BO$15,0,0,$B$14,1), 1*(_xlfn._xlws.FILTER(OFFSET($O$15,0,$DN159,$B$8,1),OFFSET($M$15,0,0,$B$8,1))=FO$13), 1*(_xlfn._xlws.FILTER(OFFSET($O$15,0,$DO159,$B$8,1),OFFSET($M$15,0,0,$B$8,1))=FO$14))   /   SUM(OFFSET($BO$15,0,0,$B$14,1)) + $B$18/($B$19*$B$19*($DN159&lt;&gt;$DO159) + $B$19*($DN159=$DO159))</f>
        <v>3.7037037037037035E-4</v>
      </c>
      <c r="FP159" s="10" cm="1">
        <f t="array" aca="1" ref="FP159" ca="1">(1-$B$18)*SUMPRODUCT(OFFSET($BO$15,0,0,$B$14,1), 1*(_xlfn._xlws.FILTER(OFFSET($O$15,0,$DN159,$B$8,1),OFFSET($M$15,0,0,$B$8,1))=FP$13), 1*(_xlfn._xlws.FILTER(OFFSET($O$15,0,$DO159,$B$8,1),OFFSET($M$15,0,0,$B$8,1))=FP$14))   /   SUM(OFFSET($BO$15,0,0,$B$14,1)) + $B$18/($B$19*$B$19*($DN159&lt;&gt;$DO159) + $B$19*($DN159=$DO159))</f>
        <v>3.7037037037037035E-4</v>
      </c>
      <c r="FQ159" s="10" cm="1">
        <f t="array" aca="1" ref="FQ159" ca="1">(1-$B$18)*SUMPRODUCT(OFFSET($BO$15,0,0,$B$14,1), 1*(_xlfn._xlws.FILTER(OFFSET($O$15,0,$DN159,$B$8,1),OFFSET($M$15,0,0,$B$8,1))=FQ$13), 1*(_xlfn._xlws.FILTER(OFFSET($O$15,0,$DO159,$B$8,1),OFFSET($M$15,0,0,$B$8,1))=FQ$14))   /   SUM(OFFSET($BO$15,0,0,$B$14,1)) + $B$18/($B$19*$B$19*($DN159&lt;&gt;$DO159) + $B$19*($DN159=$DO159))</f>
        <v>3.7037037037037035E-4</v>
      </c>
      <c r="FR159" s="10" cm="1">
        <f t="array" aca="1" ref="FR159" ca="1">(1-$B$18)*SUMPRODUCT(OFFSET($BO$15,0,0,$B$14,1), 1*(_xlfn._xlws.FILTER(OFFSET($O$15,0,$DN159,$B$8,1),OFFSET($M$15,0,0,$B$8,1))=FR$13), 1*(_xlfn._xlws.FILTER(OFFSET($O$15,0,$DO159,$B$8,1),OFFSET($M$15,0,0,$B$8,1))=FR$14))   /   SUM(OFFSET($BO$15,0,0,$B$14,1)) + $B$18/($B$19*$B$19*($DN159&lt;&gt;$DO159) + $B$19*($DN159=$DO159))</f>
        <v>3.7037037037037035E-4</v>
      </c>
      <c r="FS159" s="10" cm="1">
        <f t="array" aca="1" ref="FS159" ca="1">(1-$B$18)*SUMPRODUCT(OFFSET($BO$15,0,0,$B$14,1), 1*(_xlfn._xlws.FILTER(OFFSET($O$15,0,$DN159,$B$8,1),OFFSET($M$15,0,0,$B$8,1))=FS$13), 1*(_xlfn._xlws.FILTER(OFFSET($O$15,0,$DO159,$B$8,1),OFFSET($M$15,0,0,$B$8,1))=FS$14))   /   SUM(OFFSET($BO$15,0,0,$B$14,1)) + $B$18/($B$19*$B$19*($DN159&lt;&gt;$DO159) + $B$19*($DN159=$DO159))</f>
        <v>3.7037037037037035E-4</v>
      </c>
      <c r="FT159" s="10" cm="1">
        <f t="array" aca="1" ref="FT159" ca="1">(1-$B$18)*SUMPRODUCT(OFFSET($BO$15,0,0,$B$14,1), 1*(_xlfn._xlws.FILTER(OFFSET($O$15,0,$DN159,$B$8,1),OFFSET($M$15,0,0,$B$8,1))=FT$13), 1*(_xlfn._xlws.FILTER(OFFSET($O$15,0,$DO159,$B$8,1),OFFSET($M$15,0,0,$B$8,1))=FT$14))   /   SUM(OFFSET($BO$15,0,0,$B$14,1)) + $B$18/($B$19*$B$19*($DN159&lt;&gt;$DO159) + $B$19*($DN159=$DO159))</f>
        <v>3.7037037037037035E-4</v>
      </c>
      <c r="FU159" s="10" cm="1">
        <f t="array" aca="1" ref="FU159" ca="1">(1-$B$18)*SUMPRODUCT(OFFSET($BO$15,0,0,$B$14,1), 1*(_xlfn._xlws.FILTER(OFFSET($O$15,0,$DN159,$B$8,1),OFFSET($M$15,0,0,$B$8,1))=FU$13), 1*(_xlfn._xlws.FILTER(OFFSET($O$15,0,$DO159,$B$8,1),OFFSET($M$15,0,0,$B$8,1))=FU$14))   /   SUM(OFFSET($BO$15,0,0,$B$14,1)) + $B$18/($B$19*$B$19*($DN159&lt;&gt;$DO159) + $B$19*($DN159=$DO159))</f>
        <v>3.7037037037037035E-4</v>
      </c>
      <c r="FV159" s="10" cm="1">
        <f t="array" aca="1" ref="FV159" ca="1">(1-$B$18)*SUMPRODUCT(OFFSET($BO$15,0,0,$B$14,1), 1*(_xlfn._xlws.FILTER(OFFSET($O$15,0,$DN159,$B$8,1),OFFSET($M$15,0,0,$B$8,1))=FV$13), 1*(_xlfn._xlws.FILTER(OFFSET($O$15,0,$DO159,$B$8,1),OFFSET($M$15,0,0,$B$8,1))=FV$14))   /   SUM(OFFSET($BO$15,0,0,$B$14,1)) + $B$18/($B$19*$B$19*($DN159&lt;&gt;$DO159) + $B$19*($DN159=$DO159))</f>
        <v>3.7037037037037035E-4</v>
      </c>
      <c r="FW159" s="10" cm="1">
        <f t="array" aca="1" ref="FW159" ca="1">(1-$B$18)*SUMPRODUCT(OFFSET($BO$15,0,0,$B$14,1), 1*(_xlfn._xlws.FILTER(OFFSET($O$15,0,$DN159,$B$8,1),OFFSET($M$15,0,0,$B$8,1))=FW$13), 1*(_xlfn._xlws.FILTER(OFFSET($O$15,0,$DO159,$B$8,1),OFFSET($M$15,0,0,$B$8,1))=FW$14))   /   SUM(OFFSET($BO$15,0,0,$B$14,1)) + $B$18/($B$19*$B$19*($DN159&lt;&gt;$DO159) + $B$19*($DN159=$DO159))</f>
        <v>3.7037037037037035E-4</v>
      </c>
      <c r="FX159" s="10" cm="1">
        <f t="array" aca="1" ref="FX159" ca="1">(1-$B$18)*SUMPRODUCT(OFFSET($BO$15,0,0,$B$14,1), 1*(_xlfn._xlws.FILTER(OFFSET($O$15,0,$DN159,$B$8,1),OFFSET($M$15,0,0,$B$8,1))=FX$13), 1*(_xlfn._xlws.FILTER(OFFSET($O$15,0,$DO159,$B$8,1),OFFSET($M$15,0,0,$B$8,1))=FX$14))   /   SUM(OFFSET($BO$15,0,0,$B$14,1)) + $B$18/($B$19*$B$19*($DN159&lt;&gt;$DO159) + $B$19*($DN159=$DO159))</f>
        <v>3.7037037037037035E-4</v>
      </c>
      <c r="FY159" s="10" cm="1">
        <f t="array" aca="1" ref="FY159" ca="1">(1-$B$18)*SUMPRODUCT(OFFSET($BO$15,0,0,$B$14,1), 1*(_xlfn._xlws.FILTER(OFFSET($O$15,0,$DN159,$B$8,1),OFFSET($M$15,0,0,$B$8,1))=FY$13), 1*(_xlfn._xlws.FILTER(OFFSET($O$15,0,$DO159,$B$8,1),OFFSET($M$15,0,0,$B$8,1))=FY$14))   /   SUM(OFFSET($BO$15,0,0,$B$14,1)) + $B$18/($B$19*$B$19*($DN159&lt;&gt;$DO159) + $B$19*($DN159=$DO159))</f>
        <v>3.7037037037037035E-4</v>
      </c>
      <c r="FZ159" s="10" cm="1">
        <f t="array" aca="1" ref="FZ159" ca="1">(1-$B$18)*SUMPRODUCT(OFFSET($BO$15,0,0,$B$14,1), 1*(_xlfn._xlws.FILTER(OFFSET($O$15,0,$DN159,$B$8,1),OFFSET($M$15,0,0,$B$8,1))=FZ$13), 1*(_xlfn._xlws.FILTER(OFFSET($O$15,0,$DO159,$B$8,1),OFFSET($M$15,0,0,$B$8,1))=FZ$14))   /   SUM(OFFSET($BO$15,0,0,$B$14,1)) + $B$18/($B$19*$B$19*($DN159&lt;&gt;$DO159) + $B$19*($DN159=$DO159))</f>
        <v>3.7037037037037035E-4</v>
      </c>
      <c r="GA159" s="10" cm="1">
        <f t="array" aca="1" ref="GA159" ca="1">(1-$B$18)*SUMPRODUCT(OFFSET($BO$15,0,0,$B$14,1), 1*(_xlfn._xlws.FILTER(OFFSET($O$15,0,$DN159,$B$8,1),OFFSET($M$15,0,0,$B$8,1))=GA$13), 1*(_xlfn._xlws.FILTER(OFFSET($O$15,0,$DO159,$B$8,1),OFFSET($M$15,0,0,$B$8,1))=GA$14))   /   SUM(OFFSET($BO$15,0,0,$B$14,1)) + $B$18/($B$19*$B$19*($DN159&lt;&gt;$DO159) + $B$19*($DN159=$DO159))</f>
        <v>3.7037037037037035E-4</v>
      </c>
    </row>
    <row r="160" spans="118:183" x14ac:dyDescent="0.2">
      <c r="DN160" cm="1">
        <f t="array" aca="1" ref="DN160" ca="1">INDEX(_xlfn.ANCHORARRAY($CP$15), 1 + INT((ROWS($DO$15:$DO160) - 1) / ROWS(_xlfn.ANCHORARRAY($CP$15))))</f>
        <v>7</v>
      </c>
      <c r="DO160" cm="1">
        <f t="array" aca="1" ref="DO160" ca="1">INDEX(_xlfn.ANCHORARRAY($CP$15),1+MOD(ROWS($DO$15:$DO160)-1,ROWS(_xlfn.ANCHORARRAY($CP$15))))</f>
        <v>13</v>
      </c>
      <c r="DP160" s="10" cm="1">
        <f t="array" aca="1" ref="DP160" ca="1">(1-$B$18)*SUMPRODUCT(OFFSET($BO$15,0,0,$B$14,1), 1*(_xlfn._xlws.FILTER(OFFSET($O$15,0,$DN160,$B$8,1),OFFSET($M$15,0,0,$B$8,1))=DP$13), 1*(_xlfn._xlws.FILTER(OFFSET($O$15,0,$DO160,$B$8,1),OFFSET($M$15,0,0,$B$8,1))=DP$14))   /   SUM(OFFSET($BO$15,0,0,$B$14,1)) + $B$18/($B$19*$B$19*($DN160&lt;&gt;$DO160) + $B$19*($DN160=$DO160))</f>
        <v>3.7037037037037035E-4</v>
      </c>
      <c r="DQ160" s="10" cm="1">
        <f t="array" aca="1" ref="DQ160" ca="1">(1-$B$18)*SUMPRODUCT(OFFSET($BO$15,0,0,$B$14,1), 1*(_xlfn._xlws.FILTER(OFFSET($O$15,0,$DN160,$B$8,1),OFFSET($M$15,0,0,$B$8,1))=DQ$13), 1*(_xlfn._xlws.FILTER(OFFSET($O$15,0,$DO160,$B$8,1),OFFSET($M$15,0,0,$B$8,1))=DQ$14))   /   SUM(OFFSET($BO$15,0,0,$B$14,1)) + $B$18/($B$19*$B$19*($DN160&lt;&gt;$DO160) + $B$19*($DN160=$DO160))</f>
        <v>3.7037037037037035E-4</v>
      </c>
      <c r="DR160" s="10" cm="1">
        <f t="array" aca="1" ref="DR160" ca="1">(1-$B$18)*SUMPRODUCT(OFFSET($BO$15,0,0,$B$14,1), 1*(_xlfn._xlws.FILTER(OFFSET($O$15,0,$DN160,$B$8,1),OFFSET($M$15,0,0,$B$8,1))=DR$13), 1*(_xlfn._xlws.FILTER(OFFSET($O$15,0,$DO160,$B$8,1),OFFSET($M$15,0,0,$B$8,1))=DR$14))   /   SUM(OFFSET($BO$15,0,0,$B$14,1)) + $B$18/($B$19*$B$19*($DN160&lt;&gt;$DO160) + $B$19*($DN160=$DO160))</f>
        <v>3.7037037037037035E-4</v>
      </c>
      <c r="DS160" s="10" cm="1">
        <f t="array" aca="1" ref="DS160" ca="1">(1-$B$18)*SUMPRODUCT(OFFSET($BO$15,0,0,$B$14,1), 1*(_xlfn._xlws.FILTER(OFFSET($O$15,0,$DN160,$B$8,1),OFFSET($M$15,0,0,$B$8,1))=DS$13), 1*(_xlfn._xlws.FILTER(OFFSET($O$15,0,$DO160,$B$8,1),OFFSET($M$15,0,0,$B$8,1))=DS$14))   /   SUM(OFFSET($BO$15,0,0,$B$14,1)) + $B$18/($B$19*$B$19*($DN160&lt;&gt;$DO160) + $B$19*($DN160=$DO160))</f>
        <v>3.7037037037037035E-4</v>
      </c>
      <c r="DT160" s="10" cm="1">
        <f t="array" aca="1" ref="DT160" ca="1">(1-$B$18)*SUMPRODUCT(OFFSET($BO$15,0,0,$B$14,1), 1*(_xlfn._xlws.FILTER(OFFSET($O$15,0,$DN160,$B$8,1),OFFSET($M$15,0,0,$B$8,1))=DT$13), 1*(_xlfn._xlws.FILTER(OFFSET($O$15,0,$DO160,$B$8,1),OFFSET($M$15,0,0,$B$8,1))=DT$14))   /   SUM(OFFSET($BO$15,0,0,$B$14,1)) + $B$18/($B$19*$B$19*($DN160&lt;&gt;$DO160) + $B$19*($DN160=$DO160))</f>
        <v>3.7037037037037035E-4</v>
      </c>
      <c r="DU160" s="10" cm="1">
        <f t="array" aca="1" ref="DU160" ca="1">(1-$B$18)*SUMPRODUCT(OFFSET($BO$15,0,0,$B$14,1), 1*(_xlfn._xlws.FILTER(OFFSET($O$15,0,$DN160,$B$8,1),OFFSET($M$15,0,0,$B$8,1))=DU$13), 1*(_xlfn._xlws.FILTER(OFFSET($O$15,0,$DO160,$B$8,1),OFFSET($M$15,0,0,$B$8,1))=DU$14))   /   SUM(OFFSET($BO$15,0,0,$B$14,1)) + $B$18/($B$19*$B$19*($DN160&lt;&gt;$DO160) + $B$19*($DN160=$DO160))</f>
        <v>3.7037037037037035E-4</v>
      </c>
      <c r="DV160" s="10" cm="1">
        <f t="array" aca="1" ref="DV160" ca="1">(1-$B$18)*SUMPRODUCT(OFFSET($BO$15,0,0,$B$14,1), 1*(_xlfn._xlws.FILTER(OFFSET($O$15,0,$DN160,$B$8,1),OFFSET($M$15,0,0,$B$8,1))=DV$13), 1*(_xlfn._xlws.FILTER(OFFSET($O$15,0,$DO160,$B$8,1),OFFSET($M$15,0,0,$B$8,1))=DV$14))   /   SUM(OFFSET($BO$15,0,0,$B$14,1)) + $B$18/($B$19*$B$19*($DN160&lt;&gt;$DO160) + $B$19*($DN160=$DO160))</f>
        <v>3.7037037037037035E-4</v>
      </c>
      <c r="DW160" s="10" cm="1">
        <f t="array" aca="1" ref="DW160" ca="1">(1-$B$18)*SUMPRODUCT(OFFSET($BO$15,0,0,$B$14,1), 1*(_xlfn._xlws.FILTER(OFFSET($O$15,0,$DN160,$B$8,1),OFFSET($M$15,0,0,$B$8,1))=DW$13), 1*(_xlfn._xlws.FILTER(OFFSET($O$15,0,$DO160,$B$8,1),OFFSET($M$15,0,0,$B$8,1))=DW$14))   /   SUM(OFFSET($BO$15,0,0,$B$14,1)) + $B$18/($B$19*$B$19*($DN160&lt;&gt;$DO160) + $B$19*($DN160=$DO160))</f>
        <v>3.7037037037037035E-4</v>
      </c>
      <c r="DX160" s="10" cm="1">
        <f t="array" aca="1" ref="DX160" ca="1">(1-$B$18)*SUMPRODUCT(OFFSET($BO$15,0,0,$B$14,1), 1*(_xlfn._xlws.FILTER(OFFSET($O$15,0,$DN160,$B$8,1),OFFSET($M$15,0,0,$B$8,1))=DX$13), 1*(_xlfn._xlws.FILTER(OFFSET($O$15,0,$DO160,$B$8,1),OFFSET($M$15,0,0,$B$8,1))=DX$14))   /   SUM(OFFSET($BO$15,0,0,$B$14,1)) + $B$18/($B$19*$B$19*($DN160&lt;&gt;$DO160) + $B$19*($DN160=$DO160))</f>
        <v>3.7037037037037035E-4</v>
      </c>
      <c r="DY160" s="10" cm="1">
        <f t="array" aca="1" ref="DY160" ca="1">(1-$B$18)*SUMPRODUCT(OFFSET($BO$15,0,0,$B$14,1), 1*(_xlfn._xlws.FILTER(OFFSET($O$15,0,$DN160,$B$8,1),OFFSET($M$15,0,0,$B$8,1))=DY$13), 1*(_xlfn._xlws.FILTER(OFFSET($O$15,0,$DO160,$B$8,1),OFFSET($M$15,0,0,$B$8,1))=DY$14))   /   SUM(OFFSET($BO$15,0,0,$B$14,1)) + $B$18/($B$19*$B$19*($DN160&lt;&gt;$DO160) + $B$19*($DN160=$DO160))</f>
        <v>3.7037037037037035E-4</v>
      </c>
      <c r="DZ160" s="10" cm="1">
        <f t="array" aca="1" ref="DZ160" ca="1">(1-$B$18)*SUMPRODUCT(OFFSET($BO$15,0,0,$B$14,1), 1*(_xlfn._xlws.FILTER(OFFSET($O$15,0,$DN160,$B$8,1),OFFSET($M$15,0,0,$B$8,1))=DZ$13), 1*(_xlfn._xlws.FILTER(OFFSET($O$15,0,$DO160,$B$8,1),OFFSET($M$15,0,0,$B$8,1))=DZ$14))   /   SUM(OFFSET($BO$15,0,0,$B$14,1)) + $B$18/($B$19*$B$19*($DN160&lt;&gt;$DO160) + $B$19*($DN160=$DO160))</f>
        <v>3.7037037037037035E-4</v>
      </c>
      <c r="EA160" s="10" cm="1">
        <f t="array" aca="1" ref="EA160" ca="1">(1-$B$18)*SUMPRODUCT(OFFSET($BO$15,0,0,$B$14,1), 1*(_xlfn._xlws.FILTER(OFFSET($O$15,0,$DN160,$B$8,1),OFFSET($M$15,0,0,$B$8,1))=EA$13), 1*(_xlfn._xlws.FILTER(OFFSET($O$15,0,$DO160,$B$8,1),OFFSET($M$15,0,0,$B$8,1))=EA$14))   /   SUM(OFFSET($BO$15,0,0,$B$14,1)) + $B$18/($B$19*$B$19*($DN160&lt;&gt;$DO160) + $B$19*($DN160=$DO160))</f>
        <v>3.7037037037037035E-4</v>
      </c>
      <c r="EB160" s="10" cm="1">
        <f t="array" aca="1" ref="EB160" ca="1">(1-$B$18)*SUMPRODUCT(OFFSET($BO$15,0,0,$B$14,1), 1*(_xlfn._xlws.FILTER(OFFSET($O$15,0,$DN160,$B$8,1),OFFSET($M$15,0,0,$B$8,1))=EB$13), 1*(_xlfn._xlws.FILTER(OFFSET($O$15,0,$DO160,$B$8,1),OFFSET($M$15,0,0,$B$8,1))=EB$14))   /   SUM(OFFSET($BO$15,0,0,$B$14,1)) + $B$18/($B$19*$B$19*($DN160&lt;&gt;$DO160) + $B$19*($DN160=$DO160))</f>
        <v>3.7037037037037035E-4</v>
      </c>
      <c r="EC160" s="10" cm="1">
        <f t="array" aca="1" ref="EC160" ca="1">(1-$B$18)*SUMPRODUCT(OFFSET($BO$15,0,0,$B$14,1), 1*(_xlfn._xlws.FILTER(OFFSET($O$15,0,$DN160,$B$8,1),OFFSET($M$15,0,0,$B$8,1))=EC$13), 1*(_xlfn._xlws.FILTER(OFFSET($O$15,0,$DO160,$B$8,1),OFFSET($M$15,0,0,$B$8,1))=EC$14))   /   SUM(OFFSET($BO$15,0,0,$B$14,1)) + $B$18/($B$19*$B$19*($DN160&lt;&gt;$DO160) + $B$19*($DN160=$DO160))</f>
        <v>3.7037037037037035E-4</v>
      </c>
      <c r="ED160" s="10" cm="1">
        <f t="array" aca="1" ref="ED160" ca="1">(1-$B$18)*SUMPRODUCT(OFFSET($BO$15,0,0,$B$14,1), 1*(_xlfn._xlws.FILTER(OFFSET($O$15,0,$DN160,$B$8,1),OFFSET($M$15,0,0,$B$8,1))=ED$13), 1*(_xlfn._xlws.FILTER(OFFSET($O$15,0,$DO160,$B$8,1),OFFSET($M$15,0,0,$B$8,1))=ED$14))   /   SUM(OFFSET($BO$15,0,0,$B$14,1)) + $B$18/($B$19*$B$19*($DN160&lt;&gt;$DO160) + $B$19*($DN160=$DO160))</f>
        <v>3.7037037037037035E-4</v>
      </c>
      <c r="EE160" s="10" cm="1">
        <f t="array" aca="1" ref="EE160" ca="1">(1-$B$18)*SUMPRODUCT(OFFSET($BO$15,0,0,$B$14,1), 1*(_xlfn._xlws.FILTER(OFFSET($O$15,0,$DN160,$B$8,1),OFFSET($M$15,0,0,$B$8,1))=EE$13), 1*(_xlfn._xlws.FILTER(OFFSET($O$15,0,$DO160,$B$8,1),OFFSET($M$15,0,0,$B$8,1))=EE$14))   /   SUM(OFFSET($BO$15,0,0,$B$14,1)) + $B$18/($B$19*$B$19*($DN160&lt;&gt;$DO160) + $B$19*($DN160=$DO160))</f>
        <v>3.7037037037037035E-4</v>
      </c>
      <c r="EF160" s="10" cm="1">
        <f t="array" aca="1" ref="EF160" ca="1">(1-$B$18)*SUMPRODUCT(OFFSET($BO$15,0,0,$B$14,1), 1*(_xlfn._xlws.FILTER(OFFSET($O$15,0,$DN160,$B$8,1),OFFSET($M$15,0,0,$B$8,1))=EF$13), 1*(_xlfn._xlws.FILTER(OFFSET($O$15,0,$DO160,$B$8,1),OFFSET($M$15,0,0,$B$8,1))=EF$14))   /   SUM(OFFSET($BO$15,0,0,$B$14,1)) + $B$18/($B$19*$B$19*($DN160&lt;&gt;$DO160) + $B$19*($DN160=$DO160))</f>
        <v>3.7037037037037035E-4</v>
      </c>
      <c r="EG160" s="10" cm="1">
        <f t="array" aca="1" ref="EG160" ca="1">(1-$B$18)*SUMPRODUCT(OFFSET($BO$15,0,0,$B$14,1), 1*(_xlfn._xlws.FILTER(OFFSET($O$15,0,$DN160,$B$8,1),OFFSET($M$15,0,0,$B$8,1))=EG$13), 1*(_xlfn._xlws.FILTER(OFFSET($O$15,0,$DO160,$B$8,1),OFFSET($M$15,0,0,$B$8,1))=EG$14))   /   SUM(OFFSET($BO$15,0,0,$B$14,1)) + $B$18/($B$19*$B$19*($DN160&lt;&gt;$DO160) + $B$19*($DN160=$DO160))</f>
        <v>3.7037037037037035E-4</v>
      </c>
      <c r="EH160" s="10" cm="1">
        <f t="array" aca="1" ref="EH160" ca="1">(1-$B$18)*SUMPRODUCT(OFFSET($BO$15,0,0,$B$14,1), 1*(_xlfn._xlws.FILTER(OFFSET($O$15,0,$DN160,$B$8,1),OFFSET($M$15,0,0,$B$8,1))=EH$13), 1*(_xlfn._xlws.FILTER(OFFSET($O$15,0,$DO160,$B$8,1),OFFSET($M$15,0,0,$B$8,1))=EH$14))   /   SUM(OFFSET($BO$15,0,0,$B$14,1)) + $B$18/($B$19*$B$19*($DN160&lt;&gt;$DO160) + $B$19*($DN160=$DO160))</f>
        <v>3.7037037037037035E-4</v>
      </c>
      <c r="EI160" s="10" cm="1">
        <f t="array" aca="1" ref="EI160" ca="1">(1-$B$18)*SUMPRODUCT(OFFSET($BO$15,0,0,$B$14,1), 1*(_xlfn._xlws.FILTER(OFFSET($O$15,0,$DN160,$B$8,1),OFFSET($M$15,0,0,$B$8,1))=EI$13), 1*(_xlfn._xlws.FILTER(OFFSET($O$15,0,$DO160,$B$8,1),OFFSET($M$15,0,0,$B$8,1))=EI$14))   /   SUM(OFFSET($BO$15,0,0,$B$14,1)) + $B$18/($B$19*$B$19*($DN160&lt;&gt;$DO160) + $B$19*($DN160=$DO160))</f>
        <v>3.7037037037037035E-4</v>
      </c>
      <c r="EJ160" s="10" cm="1">
        <f t="array" aca="1" ref="EJ160" ca="1">(1-$B$18)*SUMPRODUCT(OFFSET($BO$15,0,0,$B$14,1), 1*(_xlfn._xlws.FILTER(OFFSET($O$15,0,$DN160,$B$8,1),OFFSET($M$15,0,0,$B$8,1))=EJ$13), 1*(_xlfn._xlws.FILTER(OFFSET($O$15,0,$DO160,$B$8,1),OFFSET($M$15,0,0,$B$8,1))=EJ$14))   /   SUM(OFFSET($BO$15,0,0,$B$14,1)) + $B$18/($B$19*$B$19*($DN160&lt;&gt;$DO160) + $B$19*($DN160=$DO160))</f>
        <v>3.7037037037037035E-4</v>
      </c>
      <c r="EK160" s="10" cm="1">
        <f t="array" aca="1" ref="EK160" ca="1">(1-$B$18)*SUMPRODUCT(OFFSET($BO$15,0,0,$B$14,1), 1*(_xlfn._xlws.FILTER(OFFSET($O$15,0,$DN160,$B$8,1),OFFSET($M$15,0,0,$B$8,1))=EK$13), 1*(_xlfn._xlws.FILTER(OFFSET($O$15,0,$DO160,$B$8,1),OFFSET($M$15,0,0,$B$8,1))=EK$14))   /   SUM(OFFSET($BO$15,0,0,$B$14,1)) + $B$18/($B$19*$B$19*($DN160&lt;&gt;$DO160) + $B$19*($DN160=$DO160))</f>
        <v>3.7037037037037035E-4</v>
      </c>
      <c r="EL160" s="10" cm="1">
        <f t="array" aca="1" ref="EL160" ca="1">(1-$B$18)*SUMPRODUCT(OFFSET($BO$15,0,0,$B$14,1), 1*(_xlfn._xlws.FILTER(OFFSET($O$15,0,$DN160,$B$8,1),OFFSET($M$15,0,0,$B$8,1))=EL$13), 1*(_xlfn._xlws.FILTER(OFFSET($O$15,0,$DO160,$B$8,1),OFFSET($M$15,0,0,$B$8,1))=EL$14))   /   SUM(OFFSET($BO$15,0,0,$B$14,1)) + $B$18/($B$19*$B$19*($DN160&lt;&gt;$DO160) + $B$19*($DN160=$DO160))</f>
        <v>3.7037037037037035E-4</v>
      </c>
      <c r="EM160" s="10" cm="1">
        <f t="array" aca="1" ref="EM160" ca="1">(1-$B$18)*SUMPRODUCT(OFFSET($BO$15,0,0,$B$14,1), 1*(_xlfn._xlws.FILTER(OFFSET($O$15,0,$DN160,$B$8,1),OFFSET($M$15,0,0,$B$8,1))=EM$13), 1*(_xlfn._xlws.FILTER(OFFSET($O$15,0,$DO160,$B$8,1),OFFSET($M$15,0,0,$B$8,1))=EM$14))   /   SUM(OFFSET($BO$15,0,0,$B$14,1)) + $B$18/($B$19*$B$19*($DN160&lt;&gt;$DO160) + $B$19*($DN160=$DO160))</f>
        <v>3.7037037037037035E-4</v>
      </c>
      <c r="EN160" s="10" cm="1">
        <f t="array" aca="1" ref="EN160" ca="1">(1-$B$18)*SUMPRODUCT(OFFSET($BO$15,0,0,$B$14,1), 1*(_xlfn._xlws.FILTER(OFFSET($O$15,0,$DN160,$B$8,1),OFFSET($M$15,0,0,$B$8,1))=EN$13), 1*(_xlfn._xlws.FILTER(OFFSET($O$15,0,$DO160,$B$8,1),OFFSET($M$15,0,0,$B$8,1))=EN$14))   /   SUM(OFFSET($BO$15,0,0,$B$14,1)) + $B$18/($B$19*$B$19*($DN160&lt;&gt;$DO160) + $B$19*($DN160=$DO160))</f>
        <v>3.7037037037037035E-4</v>
      </c>
      <c r="EO160" s="10" cm="1">
        <f t="array" aca="1" ref="EO160" ca="1">(1-$B$18)*SUMPRODUCT(OFFSET($BO$15,0,0,$B$14,1), 1*(_xlfn._xlws.FILTER(OFFSET($O$15,0,$DN160,$B$8,1),OFFSET($M$15,0,0,$B$8,1))=EO$13), 1*(_xlfn._xlws.FILTER(OFFSET($O$15,0,$DO160,$B$8,1),OFFSET($M$15,0,0,$B$8,1))=EO$14))   /   SUM(OFFSET($BO$15,0,0,$B$14,1)) + $B$18/($B$19*$B$19*($DN160&lt;&gt;$DO160) + $B$19*($DN160=$DO160))</f>
        <v>3.7037037037037035E-4</v>
      </c>
      <c r="EP160" s="10" cm="1">
        <f t="array" aca="1" ref="EP160" ca="1">(1-$B$18)*SUMPRODUCT(OFFSET($BO$15,0,0,$B$14,1), 1*(_xlfn._xlws.FILTER(OFFSET($O$15,0,$DN160,$B$8,1),OFFSET($M$15,0,0,$B$8,1))=EP$13), 1*(_xlfn._xlws.FILTER(OFFSET($O$15,0,$DO160,$B$8,1),OFFSET($M$15,0,0,$B$8,1))=EP$14))   /   SUM(OFFSET($BO$15,0,0,$B$14,1)) + $B$18/($B$19*$B$19*($DN160&lt;&gt;$DO160) + $B$19*($DN160=$DO160))</f>
        <v>3.7037037037037035E-4</v>
      </c>
      <c r="EQ160" s="10" cm="1">
        <f t="array" aca="1" ref="EQ160" ca="1">(1-$B$18)*SUMPRODUCT(OFFSET($BO$15,0,0,$B$14,1), 1*(_xlfn._xlws.FILTER(OFFSET($O$15,0,$DN160,$B$8,1),OFFSET($M$15,0,0,$B$8,1))=EQ$13), 1*(_xlfn._xlws.FILTER(OFFSET($O$15,0,$DO160,$B$8,1),OFFSET($M$15,0,0,$B$8,1))=EQ$14))   /   SUM(OFFSET($BO$15,0,0,$B$14,1)) + $B$18/($B$19*$B$19*($DN160&lt;&gt;$DO160) + $B$19*($DN160=$DO160))</f>
        <v>3.7037037037037035E-4</v>
      </c>
      <c r="ER160" s="10" cm="1">
        <f t="array" aca="1" ref="ER160" ca="1">(1-$B$18)*SUMPRODUCT(OFFSET($BO$15,0,0,$B$14,1), 1*(_xlfn._xlws.FILTER(OFFSET($O$15,0,$DN160,$B$8,1),OFFSET($M$15,0,0,$B$8,1))=ER$13), 1*(_xlfn._xlws.FILTER(OFFSET($O$15,0,$DO160,$B$8,1),OFFSET($M$15,0,0,$B$8,1))=ER$14))   /   SUM(OFFSET($BO$15,0,0,$B$14,1)) + $B$18/($B$19*$B$19*($DN160&lt;&gt;$DO160) + $B$19*($DN160=$DO160))</f>
        <v>3.7037037037037035E-4</v>
      </c>
      <c r="ES160" s="10" cm="1">
        <f t="array" aca="1" ref="ES160" ca="1">(1-$B$18)*SUMPRODUCT(OFFSET($BO$15,0,0,$B$14,1), 1*(_xlfn._xlws.FILTER(OFFSET($O$15,0,$DN160,$B$8,1),OFFSET($M$15,0,0,$B$8,1))=ES$13), 1*(_xlfn._xlws.FILTER(OFFSET($O$15,0,$DO160,$B$8,1),OFFSET($M$15,0,0,$B$8,1))=ES$14))   /   SUM(OFFSET($BO$15,0,0,$B$14,1)) + $B$18/($B$19*$B$19*($DN160&lt;&gt;$DO160) + $B$19*($DN160=$DO160))</f>
        <v>3.7037037037037035E-4</v>
      </c>
      <c r="ET160" s="10" cm="1">
        <f t="array" aca="1" ref="ET160" ca="1">(1-$B$18)*SUMPRODUCT(OFFSET($BO$15,0,0,$B$14,1), 1*(_xlfn._xlws.FILTER(OFFSET($O$15,0,$DN160,$B$8,1),OFFSET($M$15,0,0,$B$8,1))=ET$13), 1*(_xlfn._xlws.FILTER(OFFSET($O$15,0,$DO160,$B$8,1),OFFSET($M$15,0,0,$B$8,1))=ET$14))   /   SUM(OFFSET($BO$15,0,0,$B$14,1)) + $B$18/($B$19*$B$19*($DN160&lt;&gt;$DO160) + $B$19*($DN160=$DO160))</f>
        <v>3.7037037037037035E-4</v>
      </c>
      <c r="EU160" s="10" cm="1">
        <f t="array" aca="1" ref="EU160" ca="1">(1-$B$18)*SUMPRODUCT(OFFSET($BO$15,0,0,$B$14,1), 1*(_xlfn._xlws.FILTER(OFFSET($O$15,0,$DN160,$B$8,1),OFFSET($M$15,0,0,$B$8,1))=EU$13), 1*(_xlfn._xlws.FILTER(OFFSET($O$15,0,$DO160,$B$8,1),OFFSET($M$15,0,0,$B$8,1))=EU$14))   /   SUM(OFFSET($BO$15,0,0,$B$14,1)) + $B$18/($B$19*$B$19*($DN160&lt;&gt;$DO160) + $B$19*($DN160=$DO160))</f>
        <v>3.7037037037037035E-4</v>
      </c>
      <c r="EV160" s="10" cm="1">
        <f t="array" aca="1" ref="EV160" ca="1">(1-$B$18)*SUMPRODUCT(OFFSET($BO$15,0,0,$B$14,1), 1*(_xlfn._xlws.FILTER(OFFSET($O$15,0,$DN160,$B$8,1),OFFSET($M$15,0,0,$B$8,1))=EV$13), 1*(_xlfn._xlws.FILTER(OFFSET($O$15,0,$DO160,$B$8,1),OFFSET($M$15,0,0,$B$8,1))=EV$14))   /   SUM(OFFSET($BO$15,0,0,$B$14,1)) + $B$18/($B$19*$B$19*($DN160&lt;&gt;$DO160) + $B$19*($DN160=$DO160))</f>
        <v>3.7037037037037035E-4</v>
      </c>
      <c r="EW160" s="10" cm="1">
        <f t="array" aca="1" ref="EW160" ca="1">(1-$B$18)*SUMPRODUCT(OFFSET($BO$15,0,0,$B$14,1), 1*(_xlfn._xlws.FILTER(OFFSET($O$15,0,$DN160,$B$8,1),OFFSET($M$15,0,0,$B$8,1))=EW$13), 1*(_xlfn._xlws.FILTER(OFFSET($O$15,0,$DO160,$B$8,1),OFFSET($M$15,0,0,$B$8,1))=EW$14))   /   SUM(OFFSET($BO$15,0,0,$B$14,1)) + $B$18/($B$19*$B$19*($DN160&lt;&gt;$DO160) + $B$19*($DN160=$DO160))</f>
        <v>3.7037037037037035E-4</v>
      </c>
      <c r="EX160" s="10" cm="1">
        <f t="array" aca="1" ref="EX160" ca="1">(1-$B$18)*SUMPRODUCT(OFFSET($BO$15,0,0,$B$14,1), 1*(_xlfn._xlws.FILTER(OFFSET($O$15,0,$DN160,$B$8,1),OFFSET($M$15,0,0,$B$8,1))=EX$13), 1*(_xlfn._xlws.FILTER(OFFSET($O$15,0,$DO160,$B$8,1),OFFSET($M$15,0,0,$B$8,1))=EX$14))   /   SUM(OFFSET($BO$15,0,0,$B$14,1)) + $B$18/($B$19*$B$19*($DN160&lt;&gt;$DO160) + $B$19*($DN160=$DO160))</f>
        <v>3.7037037037037035E-4</v>
      </c>
      <c r="EY160" s="10" cm="1">
        <f t="array" aca="1" ref="EY160" ca="1">(1-$B$18)*SUMPRODUCT(OFFSET($BO$15,0,0,$B$14,1), 1*(_xlfn._xlws.FILTER(OFFSET($O$15,0,$DN160,$B$8,1),OFFSET($M$15,0,0,$B$8,1))=EY$13), 1*(_xlfn._xlws.FILTER(OFFSET($O$15,0,$DO160,$B$8,1),OFFSET($M$15,0,0,$B$8,1))=EY$14))   /   SUM(OFFSET($BO$15,0,0,$B$14,1)) + $B$18/($B$19*$B$19*($DN160&lt;&gt;$DO160) + $B$19*($DN160=$DO160))</f>
        <v>3.7037037037037035E-4</v>
      </c>
      <c r="EZ160" s="10" cm="1">
        <f t="array" aca="1" ref="EZ160" ca="1">(1-$B$18)*SUMPRODUCT(OFFSET($BO$15,0,0,$B$14,1), 1*(_xlfn._xlws.FILTER(OFFSET($O$15,0,$DN160,$B$8,1),OFFSET($M$15,0,0,$B$8,1))=EZ$13), 1*(_xlfn._xlws.FILTER(OFFSET($O$15,0,$DO160,$B$8,1),OFFSET($M$15,0,0,$B$8,1))=EZ$14))   /   SUM(OFFSET($BO$15,0,0,$B$14,1)) + $B$18/($B$19*$B$19*($DN160&lt;&gt;$DO160) + $B$19*($DN160=$DO160))</f>
        <v>3.7037037037037035E-4</v>
      </c>
      <c r="FA160" s="10" cm="1">
        <f t="array" aca="1" ref="FA160" ca="1">(1-$B$18)*SUMPRODUCT(OFFSET($BO$15,0,0,$B$14,1), 1*(_xlfn._xlws.FILTER(OFFSET($O$15,0,$DN160,$B$8,1),OFFSET($M$15,0,0,$B$8,1))=FA$13), 1*(_xlfn._xlws.FILTER(OFFSET($O$15,0,$DO160,$B$8,1),OFFSET($M$15,0,0,$B$8,1))=FA$14))   /   SUM(OFFSET($BO$15,0,0,$B$14,1)) + $B$18/($B$19*$B$19*($DN160&lt;&gt;$DO160) + $B$19*($DN160=$DO160))</f>
        <v>3.7037037037037035E-4</v>
      </c>
      <c r="FB160" s="10" cm="1">
        <f t="array" aca="1" ref="FB160" ca="1">(1-$B$18)*SUMPRODUCT(OFFSET($BO$15,0,0,$B$14,1), 1*(_xlfn._xlws.FILTER(OFFSET($O$15,0,$DN160,$B$8,1),OFFSET($M$15,0,0,$B$8,1))=FB$13), 1*(_xlfn._xlws.FILTER(OFFSET($O$15,0,$DO160,$B$8,1),OFFSET($M$15,0,0,$B$8,1))=FB$14))   /   SUM(OFFSET($BO$15,0,0,$B$14,1)) + $B$18/($B$19*$B$19*($DN160&lt;&gt;$DO160) + $B$19*($DN160=$DO160))</f>
        <v>3.7037037037037035E-4</v>
      </c>
      <c r="FC160" s="10" cm="1">
        <f t="array" aca="1" ref="FC160" ca="1">(1-$B$18)*SUMPRODUCT(OFFSET($BO$15,0,0,$B$14,1), 1*(_xlfn._xlws.FILTER(OFFSET($O$15,0,$DN160,$B$8,1),OFFSET($M$15,0,0,$B$8,1))=FC$13), 1*(_xlfn._xlws.FILTER(OFFSET($O$15,0,$DO160,$B$8,1),OFFSET($M$15,0,0,$B$8,1))=FC$14))   /   SUM(OFFSET($BO$15,0,0,$B$14,1)) + $B$18/($B$19*$B$19*($DN160&lt;&gt;$DO160) + $B$19*($DN160=$DO160))</f>
        <v>3.7037037037037035E-4</v>
      </c>
      <c r="FD160" s="10" cm="1">
        <f t="array" aca="1" ref="FD160" ca="1">(1-$B$18)*SUMPRODUCT(OFFSET($BO$15,0,0,$B$14,1), 1*(_xlfn._xlws.FILTER(OFFSET($O$15,0,$DN160,$B$8,1),OFFSET($M$15,0,0,$B$8,1))=FD$13), 1*(_xlfn._xlws.FILTER(OFFSET($O$15,0,$DO160,$B$8,1),OFFSET($M$15,0,0,$B$8,1))=FD$14))   /   SUM(OFFSET($BO$15,0,0,$B$14,1)) + $B$18/($B$19*$B$19*($DN160&lt;&gt;$DO160) + $B$19*($DN160=$DO160))</f>
        <v>3.7037037037037035E-4</v>
      </c>
      <c r="FE160" s="10" cm="1">
        <f t="array" aca="1" ref="FE160" ca="1">(1-$B$18)*SUMPRODUCT(OFFSET($BO$15,0,0,$B$14,1), 1*(_xlfn._xlws.FILTER(OFFSET($O$15,0,$DN160,$B$8,1),OFFSET($M$15,0,0,$B$8,1))=FE$13), 1*(_xlfn._xlws.FILTER(OFFSET($O$15,0,$DO160,$B$8,1),OFFSET($M$15,0,0,$B$8,1))=FE$14))   /   SUM(OFFSET($BO$15,0,0,$B$14,1)) + $B$18/($B$19*$B$19*($DN160&lt;&gt;$DO160) + $B$19*($DN160=$DO160))</f>
        <v>3.7037037037037035E-4</v>
      </c>
      <c r="FF160" s="10" cm="1">
        <f t="array" aca="1" ref="FF160" ca="1">(1-$B$18)*SUMPRODUCT(OFFSET($BO$15,0,0,$B$14,1), 1*(_xlfn._xlws.FILTER(OFFSET($O$15,0,$DN160,$B$8,1),OFFSET($M$15,0,0,$B$8,1))=FF$13), 1*(_xlfn._xlws.FILTER(OFFSET($O$15,0,$DO160,$B$8,1),OFFSET($M$15,0,0,$B$8,1))=FF$14))   /   SUM(OFFSET($BO$15,0,0,$B$14,1)) + $B$18/($B$19*$B$19*($DN160&lt;&gt;$DO160) + $B$19*($DN160=$DO160))</f>
        <v>3.7037037037037035E-4</v>
      </c>
      <c r="FG160" s="10" cm="1">
        <f t="array" aca="1" ref="FG160" ca="1">(1-$B$18)*SUMPRODUCT(OFFSET($BO$15,0,0,$B$14,1), 1*(_xlfn._xlws.FILTER(OFFSET($O$15,0,$DN160,$B$8,1),OFFSET($M$15,0,0,$B$8,1))=FG$13), 1*(_xlfn._xlws.FILTER(OFFSET($O$15,0,$DO160,$B$8,1),OFFSET($M$15,0,0,$B$8,1))=FG$14))   /   SUM(OFFSET($BO$15,0,0,$B$14,1)) + $B$18/($B$19*$B$19*($DN160&lt;&gt;$DO160) + $B$19*($DN160=$DO160))</f>
        <v>3.7037037037037035E-4</v>
      </c>
      <c r="FH160" s="10" cm="1">
        <f t="array" aca="1" ref="FH160" ca="1">(1-$B$18)*SUMPRODUCT(OFFSET($BO$15,0,0,$B$14,1), 1*(_xlfn._xlws.FILTER(OFFSET($O$15,0,$DN160,$B$8,1),OFFSET($M$15,0,0,$B$8,1))=FH$13), 1*(_xlfn._xlws.FILTER(OFFSET($O$15,0,$DO160,$B$8,1),OFFSET($M$15,0,0,$B$8,1))=FH$14))   /   SUM(OFFSET($BO$15,0,0,$B$14,1)) + $B$18/($B$19*$B$19*($DN160&lt;&gt;$DO160) + $B$19*($DN160=$DO160))</f>
        <v>3.7037037037037035E-4</v>
      </c>
      <c r="FI160" s="10" cm="1">
        <f t="array" aca="1" ref="FI160" ca="1">(1-$B$18)*SUMPRODUCT(OFFSET($BO$15,0,0,$B$14,1), 1*(_xlfn._xlws.FILTER(OFFSET($O$15,0,$DN160,$B$8,1),OFFSET($M$15,0,0,$B$8,1))=FI$13), 1*(_xlfn._xlws.FILTER(OFFSET($O$15,0,$DO160,$B$8,1),OFFSET($M$15,0,0,$B$8,1))=FI$14))   /   SUM(OFFSET($BO$15,0,0,$B$14,1)) + $B$18/($B$19*$B$19*($DN160&lt;&gt;$DO160) + $B$19*($DN160=$DO160))</f>
        <v>3.7037037037037035E-4</v>
      </c>
      <c r="FJ160" s="10" cm="1">
        <f t="array" aca="1" ref="FJ160" ca="1">(1-$B$18)*SUMPRODUCT(OFFSET($BO$15,0,0,$B$14,1), 1*(_xlfn._xlws.FILTER(OFFSET($O$15,0,$DN160,$B$8,1),OFFSET($M$15,0,0,$B$8,1))=FJ$13), 1*(_xlfn._xlws.FILTER(OFFSET($O$15,0,$DO160,$B$8,1),OFFSET($M$15,0,0,$B$8,1))=FJ$14))   /   SUM(OFFSET($BO$15,0,0,$B$14,1)) + $B$18/($B$19*$B$19*($DN160&lt;&gt;$DO160) + $B$19*($DN160=$DO160))</f>
        <v>3.7037037037037035E-4</v>
      </c>
      <c r="FK160" s="10" cm="1">
        <f t="array" aca="1" ref="FK160" ca="1">(1-$B$18)*SUMPRODUCT(OFFSET($BO$15,0,0,$B$14,1), 1*(_xlfn._xlws.FILTER(OFFSET($O$15,0,$DN160,$B$8,1),OFFSET($M$15,0,0,$B$8,1))=FK$13), 1*(_xlfn._xlws.FILTER(OFFSET($O$15,0,$DO160,$B$8,1),OFFSET($M$15,0,0,$B$8,1))=FK$14))   /   SUM(OFFSET($BO$15,0,0,$B$14,1)) + $B$18/($B$19*$B$19*($DN160&lt;&gt;$DO160) + $B$19*($DN160=$DO160))</f>
        <v>3.7037037037037035E-4</v>
      </c>
      <c r="FL160" s="10" cm="1">
        <f t="array" aca="1" ref="FL160" ca="1">(1-$B$18)*SUMPRODUCT(OFFSET($BO$15,0,0,$B$14,1), 1*(_xlfn._xlws.FILTER(OFFSET($O$15,0,$DN160,$B$8,1),OFFSET($M$15,0,0,$B$8,1))=FL$13), 1*(_xlfn._xlws.FILTER(OFFSET($O$15,0,$DO160,$B$8,1),OFFSET($M$15,0,0,$B$8,1))=FL$14))   /   SUM(OFFSET($BO$15,0,0,$B$14,1)) + $B$18/($B$19*$B$19*($DN160&lt;&gt;$DO160) + $B$19*($DN160=$DO160))</f>
        <v>3.7037037037037035E-4</v>
      </c>
      <c r="FM160" s="10" cm="1">
        <f t="array" aca="1" ref="FM160" ca="1">(1-$B$18)*SUMPRODUCT(OFFSET($BO$15,0,0,$B$14,1), 1*(_xlfn._xlws.FILTER(OFFSET($O$15,0,$DN160,$B$8,1),OFFSET($M$15,0,0,$B$8,1))=FM$13), 1*(_xlfn._xlws.FILTER(OFFSET($O$15,0,$DO160,$B$8,1),OFFSET($M$15,0,0,$B$8,1))=FM$14))   /   SUM(OFFSET($BO$15,0,0,$B$14,1)) + $B$18/($B$19*$B$19*($DN160&lt;&gt;$DO160) + $B$19*($DN160=$DO160))</f>
        <v>0.97037037037037033</v>
      </c>
      <c r="FN160" s="10" cm="1">
        <f t="array" aca="1" ref="FN160" ca="1">(1-$B$18)*SUMPRODUCT(OFFSET($BO$15,0,0,$B$14,1), 1*(_xlfn._xlws.FILTER(OFFSET($O$15,0,$DN160,$B$8,1),OFFSET($M$15,0,0,$B$8,1))=FN$13), 1*(_xlfn._xlws.FILTER(OFFSET($O$15,0,$DO160,$B$8,1),OFFSET($M$15,0,0,$B$8,1))=FN$14))   /   SUM(OFFSET($BO$15,0,0,$B$14,1)) + $B$18/($B$19*$B$19*($DN160&lt;&gt;$DO160) + $B$19*($DN160=$DO160))</f>
        <v>3.7037037037037035E-4</v>
      </c>
      <c r="FO160" s="10" cm="1">
        <f t="array" aca="1" ref="FO160" ca="1">(1-$B$18)*SUMPRODUCT(OFFSET($BO$15,0,0,$B$14,1), 1*(_xlfn._xlws.FILTER(OFFSET($O$15,0,$DN160,$B$8,1),OFFSET($M$15,0,0,$B$8,1))=FO$13), 1*(_xlfn._xlws.FILTER(OFFSET($O$15,0,$DO160,$B$8,1),OFFSET($M$15,0,0,$B$8,1))=FO$14))   /   SUM(OFFSET($BO$15,0,0,$B$14,1)) + $B$18/($B$19*$B$19*($DN160&lt;&gt;$DO160) + $B$19*($DN160=$DO160))</f>
        <v>3.7037037037037035E-4</v>
      </c>
      <c r="FP160" s="10" cm="1">
        <f t="array" aca="1" ref="FP160" ca="1">(1-$B$18)*SUMPRODUCT(OFFSET($BO$15,0,0,$B$14,1), 1*(_xlfn._xlws.FILTER(OFFSET($O$15,0,$DN160,$B$8,1),OFFSET($M$15,0,0,$B$8,1))=FP$13), 1*(_xlfn._xlws.FILTER(OFFSET($O$15,0,$DO160,$B$8,1),OFFSET($M$15,0,0,$B$8,1))=FP$14))   /   SUM(OFFSET($BO$15,0,0,$B$14,1)) + $B$18/($B$19*$B$19*($DN160&lt;&gt;$DO160) + $B$19*($DN160=$DO160))</f>
        <v>3.7037037037037035E-4</v>
      </c>
      <c r="FQ160" s="10" cm="1">
        <f t="array" aca="1" ref="FQ160" ca="1">(1-$B$18)*SUMPRODUCT(OFFSET($BO$15,0,0,$B$14,1), 1*(_xlfn._xlws.FILTER(OFFSET($O$15,0,$DN160,$B$8,1),OFFSET($M$15,0,0,$B$8,1))=FQ$13), 1*(_xlfn._xlws.FILTER(OFFSET($O$15,0,$DO160,$B$8,1),OFFSET($M$15,0,0,$B$8,1))=FQ$14))   /   SUM(OFFSET($BO$15,0,0,$B$14,1)) + $B$18/($B$19*$B$19*($DN160&lt;&gt;$DO160) + $B$19*($DN160=$DO160))</f>
        <v>3.7037037037037035E-4</v>
      </c>
      <c r="FR160" s="10" cm="1">
        <f t="array" aca="1" ref="FR160" ca="1">(1-$B$18)*SUMPRODUCT(OFFSET($BO$15,0,0,$B$14,1), 1*(_xlfn._xlws.FILTER(OFFSET($O$15,0,$DN160,$B$8,1),OFFSET($M$15,0,0,$B$8,1))=FR$13), 1*(_xlfn._xlws.FILTER(OFFSET($O$15,0,$DO160,$B$8,1),OFFSET($M$15,0,0,$B$8,1))=FR$14))   /   SUM(OFFSET($BO$15,0,0,$B$14,1)) + $B$18/($B$19*$B$19*($DN160&lt;&gt;$DO160) + $B$19*($DN160=$DO160))</f>
        <v>3.7037037037037035E-4</v>
      </c>
      <c r="FS160" s="10" cm="1">
        <f t="array" aca="1" ref="FS160" ca="1">(1-$B$18)*SUMPRODUCT(OFFSET($BO$15,0,0,$B$14,1), 1*(_xlfn._xlws.FILTER(OFFSET($O$15,0,$DN160,$B$8,1),OFFSET($M$15,0,0,$B$8,1))=FS$13), 1*(_xlfn._xlws.FILTER(OFFSET($O$15,0,$DO160,$B$8,1),OFFSET($M$15,0,0,$B$8,1))=FS$14))   /   SUM(OFFSET($BO$15,0,0,$B$14,1)) + $B$18/($B$19*$B$19*($DN160&lt;&gt;$DO160) + $B$19*($DN160=$DO160))</f>
        <v>3.7037037037037035E-4</v>
      </c>
      <c r="FT160" s="10" cm="1">
        <f t="array" aca="1" ref="FT160" ca="1">(1-$B$18)*SUMPRODUCT(OFFSET($BO$15,0,0,$B$14,1), 1*(_xlfn._xlws.FILTER(OFFSET($O$15,0,$DN160,$B$8,1),OFFSET($M$15,0,0,$B$8,1))=FT$13), 1*(_xlfn._xlws.FILTER(OFFSET($O$15,0,$DO160,$B$8,1),OFFSET($M$15,0,0,$B$8,1))=FT$14))   /   SUM(OFFSET($BO$15,0,0,$B$14,1)) + $B$18/($B$19*$B$19*($DN160&lt;&gt;$DO160) + $B$19*($DN160=$DO160))</f>
        <v>3.7037037037037035E-4</v>
      </c>
      <c r="FU160" s="10" cm="1">
        <f t="array" aca="1" ref="FU160" ca="1">(1-$B$18)*SUMPRODUCT(OFFSET($BO$15,0,0,$B$14,1), 1*(_xlfn._xlws.FILTER(OFFSET($O$15,0,$DN160,$B$8,1),OFFSET($M$15,0,0,$B$8,1))=FU$13), 1*(_xlfn._xlws.FILTER(OFFSET($O$15,0,$DO160,$B$8,1),OFFSET($M$15,0,0,$B$8,1))=FU$14))   /   SUM(OFFSET($BO$15,0,0,$B$14,1)) + $B$18/($B$19*$B$19*($DN160&lt;&gt;$DO160) + $B$19*($DN160=$DO160))</f>
        <v>3.7037037037037035E-4</v>
      </c>
      <c r="FV160" s="10" cm="1">
        <f t="array" aca="1" ref="FV160" ca="1">(1-$B$18)*SUMPRODUCT(OFFSET($BO$15,0,0,$B$14,1), 1*(_xlfn._xlws.FILTER(OFFSET($O$15,0,$DN160,$B$8,1),OFFSET($M$15,0,0,$B$8,1))=FV$13), 1*(_xlfn._xlws.FILTER(OFFSET($O$15,0,$DO160,$B$8,1),OFFSET($M$15,0,0,$B$8,1))=FV$14))   /   SUM(OFFSET($BO$15,0,0,$B$14,1)) + $B$18/($B$19*$B$19*($DN160&lt;&gt;$DO160) + $B$19*($DN160=$DO160))</f>
        <v>3.7037037037037035E-4</v>
      </c>
      <c r="FW160" s="10" cm="1">
        <f t="array" aca="1" ref="FW160" ca="1">(1-$B$18)*SUMPRODUCT(OFFSET($BO$15,0,0,$B$14,1), 1*(_xlfn._xlws.FILTER(OFFSET($O$15,0,$DN160,$B$8,1),OFFSET($M$15,0,0,$B$8,1))=FW$13), 1*(_xlfn._xlws.FILTER(OFFSET($O$15,0,$DO160,$B$8,1),OFFSET($M$15,0,0,$B$8,1))=FW$14))   /   SUM(OFFSET($BO$15,0,0,$B$14,1)) + $B$18/($B$19*$B$19*($DN160&lt;&gt;$DO160) + $B$19*($DN160=$DO160))</f>
        <v>3.7037037037037035E-4</v>
      </c>
      <c r="FX160" s="10" cm="1">
        <f t="array" aca="1" ref="FX160" ca="1">(1-$B$18)*SUMPRODUCT(OFFSET($BO$15,0,0,$B$14,1), 1*(_xlfn._xlws.FILTER(OFFSET($O$15,0,$DN160,$B$8,1),OFFSET($M$15,0,0,$B$8,1))=FX$13), 1*(_xlfn._xlws.FILTER(OFFSET($O$15,0,$DO160,$B$8,1),OFFSET($M$15,0,0,$B$8,1))=FX$14))   /   SUM(OFFSET($BO$15,0,0,$B$14,1)) + $B$18/($B$19*$B$19*($DN160&lt;&gt;$DO160) + $B$19*($DN160=$DO160))</f>
        <v>3.7037037037037035E-4</v>
      </c>
      <c r="FY160" s="10" cm="1">
        <f t="array" aca="1" ref="FY160" ca="1">(1-$B$18)*SUMPRODUCT(OFFSET($BO$15,0,0,$B$14,1), 1*(_xlfn._xlws.FILTER(OFFSET($O$15,0,$DN160,$B$8,1),OFFSET($M$15,0,0,$B$8,1))=FY$13), 1*(_xlfn._xlws.FILTER(OFFSET($O$15,0,$DO160,$B$8,1),OFFSET($M$15,0,0,$B$8,1))=FY$14))   /   SUM(OFFSET($BO$15,0,0,$B$14,1)) + $B$18/($B$19*$B$19*($DN160&lt;&gt;$DO160) + $B$19*($DN160=$DO160))</f>
        <v>3.7037037037037035E-4</v>
      </c>
      <c r="FZ160" s="10" cm="1">
        <f t="array" aca="1" ref="FZ160" ca="1">(1-$B$18)*SUMPRODUCT(OFFSET($BO$15,0,0,$B$14,1), 1*(_xlfn._xlws.FILTER(OFFSET($O$15,0,$DN160,$B$8,1),OFFSET($M$15,0,0,$B$8,1))=FZ$13), 1*(_xlfn._xlws.FILTER(OFFSET($O$15,0,$DO160,$B$8,1),OFFSET($M$15,0,0,$B$8,1))=FZ$14))   /   SUM(OFFSET($BO$15,0,0,$B$14,1)) + $B$18/($B$19*$B$19*($DN160&lt;&gt;$DO160) + $B$19*($DN160=$DO160))</f>
        <v>3.7037037037037035E-4</v>
      </c>
      <c r="GA160" s="10" cm="1">
        <f t="array" aca="1" ref="GA160" ca="1">(1-$B$18)*SUMPRODUCT(OFFSET($BO$15,0,0,$B$14,1), 1*(_xlfn._xlws.FILTER(OFFSET($O$15,0,$DN160,$B$8,1),OFFSET($M$15,0,0,$B$8,1))=GA$13), 1*(_xlfn._xlws.FILTER(OFFSET($O$15,0,$DO160,$B$8,1),OFFSET($M$15,0,0,$B$8,1))=GA$14))   /   SUM(OFFSET($BO$15,0,0,$B$14,1)) + $B$18/($B$19*$B$19*($DN160&lt;&gt;$DO160) + $B$19*($DN160=$DO160))</f>
        <v>3.7037037037037035E-4</v>
      </c>
    </row>
    <row r="161" spans="118:183" x14ac:dyDescent="0.2">
      <c r="DN161" cm="1">
        <f t="array" aca="1" ref="DN161" ca="1">INDEX(_xlfn.ANCHORARRAY($CP$15), 1 + INT((ROWS($DO$15:$DO161) - 1) / ROWS(_xlfn.ANCHORARRAY($CP$15))))</f>
        <v>7</v>
      </c>
      <c r="DO161" cm="1">
        <f t="array" aca="1" ref="DO161" ca="1">INDEX(_xlfn.ANCHORARRAY($CP$15),1+MOD(ROWS($DO$15:$DO161)-1,ROWS(_xlfn.ANCHORARRAY($CP$15))))</f>
        <v>14</v>
      </c>
      <c r="DP161" s="10" cm="1">
        <f t="array" aca="1" ref="DP161" ca="1">(1-$B$18)*SUMPRODUCT(OFFSET($BO$15,0,0,$B$14,1), 1*(_xlfn._xlws.FILTER(OFFSET($O$15,0,$DN161,$B$8,1),OFFSET($M$15,0,0,$B$8,1))=DP$13), 1*(_xlfn._xlws.FILTER(OFFSET($O$15,0,$DO161,$B$8,1),OFFSET($M$15,0,0,$B$8,1))=DP$14))   /   SUM(OFFSET($BO$15,0,0,$B$14,1)) + $B$18/($B$19*$B$19*($DN161&lt;&gt;$DO161) + $B$19*($DN161=$DO161))</f>
        <v>3.7037037037037035E-4</v>
      </c>
      <c r="DQ161" s="10" cm="1">
        <f t="array" aca="1" ref="DQ161" ca="1">(1-$B$18)*SUMPRODUCT(OFFSET($BO$15,0,0,$B$14,1), 1*(_xlfn._xlws.FILTER(OFFSET($O$15,0,$DN161,$B$8,1),OFFSET($M$15,0,0,$B$8,1))=DQ$13), 1*(_xlfn._xlws.FILTER(OFFSET($O$15,0,$DO161,$B$8,1),OFFSET($M$15,0,0,$B$8,1))=DQ$14))   /   SUM(OFFSET($BO$15,0,0,$B$14,1)) + $B$18/($B$19*$B$19*($DN161&lt;&gt;$DO161) + $B$19*($DN161=$DO161))</f>
        <v>3.7037037037037035E-4</v>
      </c>
      <c r="DR161" s="10" cm="1">
        <f t="array" aca="1" ref="DR161" ca="1">(1-$B$18)*SUMPRODUCT(OFFSET($BO$15,0,0,$B$14,1), 1*(_xlfn._xlws.FILTER(OFFSET($O$15,0,$DN161,$B$8,1),OFFSET($M$15,0,0,$B$8,1))=DR$13), 1*(_xlfn._xlws.FILTER(OFFSET($O$15,0,$DO161,$B$8,1),OFFSET($M$15,0,0,$B$8,1))=DR$14))   /   SUM(OFFSET($BO$15,0,0,$B$14,1)) + $B$18/($B$19*$B$19*($DN161&lt;&gt;$DO161) + $B$19*($DN161=$DO161))</f>
        <v>3.7037037037037035E-4</v>
      </c>
      <c r="DS161" s="10" cm="1">
        <f t="array" aca="1" ref="DS161" ca="1">(1-$B$18)*SUMPRODUCT(OFFSET($BO$15,0,0,$B$14,1), 1*(_xlfn._xlws.FILTER(OFFSET($O$15,0,$DN161,$B$8,1),OFFSET($M$15,0,0,$B$8,1))=DS$13), 1*(_xlfn._xlws.FILTER(OFFSET($O$15,0,$DO161,$B$8,1),OFFSET($M$15,0,0,$B$8,1))=DS$14))   /   SUM(OFFSET($BO$15,0,0,$B$14,1)) + $B$18/($B$19*$B$19*($DN161&lt;&gt;$DO161) + $B$19*($DN161=$DO161))</f>
        <v>3.7037037037037035E-4</v>
      </c>
      <c r="DT161" s="10" cm="1">
        <f t="array" aca="1" ref="DT161" ca="1">(1-$B$18)*SUMPRODUCT(OFFSET($BO$15,0,0,$B$14,1), 1*(_xlfn._xlws.FILTER(OFFSET($O$15,0,$DN161,$B$8,1),OFFSET($M$15,0,0,$B$8,1))=DT$13), 1*(_xlfn._xlws.FILTER(OFFSET($O$15,0,$DO161,$B$8,1),OFFSET($M$15,0,0,$B$8,1))=DT$14))   /   SUM(OFFSET($BO$15,0,0,$B$14,1)) + $B$18/($B$19*$B$19*($DN161&lt;&gt;$DO161) + $B$19*($DN161=$DO161))</f>
        <v>3.7037037037037035E-4</v>
      </c>
      <c r="DU161" s="10" cm="1">
        <f t="array" aca="1" ref="DU161" ca="1">(1-$B$18)*SUMPRODUCT(OFFSET($BO$15,0,0,$B$14,1), 1*(_xlfn._xlws.FILTER(OFFSET($O$15,0,$DN161,$B$8,1),OFFSET($M$15,0,0,$B$8,1))=DU$13), 1*(_xlfn._xlws.FILTER(OFFSET($O$15,0,$DO161,$B$8,1),OFFSET($M$15,0,0,$B$8,1))=DU$14))   /   SUM(OFFSET($BO$15,0,0,$B$14,1)) + $B$18/($B$19*$B$19*($DN161&lt;&gt;$DO161) + $B$19*($DN161=$DO161))</f>
        <v>3.7037037037037035E-4</v>
      </c>
      <c r="DV161" s="10" cm="1">
        <f t="array" aca="1" ref="DV161" ca="1">(1-$B$18)*SUMPRODUCT(OFFSET($BO$15,0,0,$B$14,1), 1*(_xlfn._xlws.FILTER(OFFSET($O$15,0,$DN161,$B$8,1),OFFSET($M$15,0,0,$B$8,1))=DV$13), 1*(_xlfn._xlws.FILTER(OFFSET($O$15,0,$DO161,$B$8,1),OFFSET($M$15,0,0,$B$8,1))=DV$14))   /   SUM(OFFSET($BO$15,0,0,$B$14,1)) + $B$18/($B$19*$B$19*($DN161&lt;&gt;$DO161) + $B$19*($DN161=$DO161))</f>
        <v>3.7037037037037035E-4</v>
      </c>
      <c r="DW161" s="10" cm="1">
        <f t="array" aca="1" ref="DW161" ca="1">(1-$B$18)*SUMPRODUCT(OFFSET($BO$15,0,0,$B$14,1), 1*(_xlfn._xlws.FILTER(OFFSET($O$15,0,$DN161,$B$8,1),OFFSET($M$15,0,0,$B$8,1))=DW$13), 1*(_xlfn._xlws.FILTER(OFFSET($O$15,0,$DO161,$B$8,1),OFFSET($M$15,0,0,$B$8,1))=DW$14))   /   SUM(OFFSET($BO$15,0,0,$B$14,1)) + $B$18/($B$19*$B$19*($DN161&lt;&gt;$DO161) + $B$19*($DN161=$DO161))</f>
        <v>3.7037037037037035E-4</v>
      </c>
      <c r="DX161" s="10" cm="1">
        <f t="array" aca="1" ref="DX161" ca="1">(1-$B$18)*SUMPRODUCT(OFFSET($BO$15,0,0,$B$14,1), 1*(_xlfn._xlws.FILTER(OFFSET($O$15,0,$DN161,$B$8,1),OFFSET($M$15,0,0,$B$8,1))=DX$13), 1*(_xlfn._xlws.FILTER(OFFSET($O$15,0,$DO161,$B$8,1),OFFSET($M$15,0,0,$B$8,1))=DX$14))   /   SUM(OFFSET($BO$15,0,0,$B$14,1)) + $B$18/($B$19*$B$19*($DN161&lt;&gt;$DO161) + $B$19*($DN161=$DO161))</f>
        <v>3.7037037037037035E-4</v>
      </c>
      <c r="DY161" s="10" cm="1">
        <f t="array" aca="1" ref="DY161" ca="1">(1-$B$18)*SUMPRODUCT(OFFSET($BO$15,0,0,$B$14,1), 1*(_xlfn._xlws.FILTER(OFFSET($O$15,0,$DN161,$B$8,1),OFFSET($M$15,0,0,$B$8,1))=DY$13), 1*(_xlfn._xlws.FILTER(OFFSET($O$15,0,$DO161,$B$8,1),OFFSET($M$15,0,0,$B$8,1))=DY$14))   /   SUM(OFFSET($BO$15,0,0,$B$14,1)) + $B$18/($B$19*$B$19*($DN161&lt;&gt;$DO161) + $B$19*($DN161=$DO161))</f>
        <v>3.7037037037037035E-4</v>
      </c>
      <c r="DZ161" s="10" cm="1">
        <f t="array" aca="1" ref="DZ161" ca="1">(1-$B$18)*SUMPRODUCT(OFFSET($BO$15,0,0,$B$14,1), 1*(_xlfn._xlws.FILTER(OFFSET($O$15,0,$DN161,$B$8,1),OFFSET($M$15,0,0,$B$8,1))=DZ$13), 1*(_xlfn._xlws.FILTER(OFFSET($O$15,0,$DO161,$B$8,1),OFFSET($M$15,0,0,$B$8,1))=DZ$14))   /   SUM(OFFSET($BO$15,0,0,$B$14,1)) + $B$18/($B$19*$B$19*($DN161&lt;&gt;$DO161) + $B$19*($DN161=$DO161))</f>
        <v>3.7037037037037035E-4</v>
      </c>
      <c r="EA161" s="10" cm="1">
        <f t="array" aca="1" ref="EA161" ca="1">(1-$B$18)*SUMPRODUCT(OFFSET($BO$15,0,0,$B$14,1), 1*(_xlfn._xlws.FILTER(OFFSET($O$15,0,$DN161,$B$8,1),OFFSET($M$15,0,0,$B$8,1))=EA$13), 1*(_xlfn._xlws.FILTER(OFFSET($O$15,0,$DO161,$B$8,1),OFFSET($M$15,0,0,$B$8,1))=EA$14))   /   SUM(OFFSET($BO$15,0,0,$B$14,1)) + $B$18/($B$19*$B$19*($DN161&lt;&gt;$DO161) + $B$19*($DN161=$DO161))</f>
        <v>3.7037037037037035E-4</v>
      </c>
      <c r="EB161" s="10" cm="1">
        <f t="array" aca="1" ref="EB161" ca="1">(1-$B$18)*SUMPRODUCT(OFFSET($BO$15,0,0,$B$14,1), 1*(_xlfn._xlws.FILTER(OFFSET($O$15,0,$DN161,$B$8,1),OFFSET($M$15,0,0,$B$8,1))=EB$13), 1*(_xlfn._xlws.FILTER(OFFSET($O$15,0,$DO161,$B$8,1),OFFSET($M$15,0,0,$B$8,1))=EB$14))   /   SUM(OFFSET($BO$15,0,0,$B$14,1)) + $B$18/($B$19*$B$19*($DN161&lt;&gt;$DO161) + $B$19*($DN161=$DO161))</f>
        <v>3.7037037037037035E-4</v>
      </c>
      <c r="EC161" s="10" cm="1">
        <f t="array" aca="1" ref="EC161" ca="1">(1-$B$18)*SUMPRODUCT(OFFSET($BO$15,0,0,$B$14,1), 1*(_xlfn._xlws.FILTER(OFFSET($O$15,0,$DN161,$B$8,1),OFFSET($M$15,0,0,$B$8,1))=EC$13), 1*(_xlfn._xlws.FILTER(OFFSET($O$15,0,$DO161,$B$8,1),OFFSET($M$15,0,0,$B$8,1))=EC$14))   /   SUM(OFFSET($BO$15,0,0,$B$14,1)) + $B$18/($B$19*$B$19*($DN161&lt;&gt;$DO161) + $B$19*($DN161=$DO161))</f>
        <v>3.7037037037037035E-4</v>
      </c>
      <c r="ED161" s="10" cm="1">
        <f t="array" aca="1" ref="ED161" ca="1">(1-$B$18)*SUMPRODUCT(OFFSET($BO$15,0,0,$B$14,1), 1*(_xlfn._xlws.FILTER(OFFSET($O$15,0,$DN161,$B$8,1),OFFSET($M$15,0,0,$B$8,1))=ED$13), 1*(_xlfn._xlws.FILTER(OFFSET($O$15,0,$DO161,$B$8,1),OFFSET($M$15,0,0,$B$8,1))=ED$14))   /   SUM(OFFSET($BO$15,0,0,$B$14,1)) + $B$18/($B$19*$B$19*($DN161&lt;&gt;$DO161) + $B$19*($DN161=$DO161))</f>
        <v>3.7037037037037035E-4</v>
      </c>
      <c r="EE161" s="10" cm="1">
        <f t="array" aca="1" ref="EE161" ca="1">(1-$B$18)*SUMPRODUCT(OFFSET($BO$15,0,0,$B$14,1), 1*(_xlfn._xlws.FILTER(OFFSET($O$15,0,$DN161,$B$8,1),OFFSET($M$15,0,0,$B$8,1))=EE$13), 1*(_xlfn._xlws.FILTER(OFFSET($O$15,0,$DO161,$B$8,1),OFFSET($M$15,0,0,$B$8,1))=EE$14))   /   SUM(OFFSET($BO$15,0,0,$B$14,1)) + $B$18/($B$19*$B$19*($DN161&lt;&gt;$DO161) + $B$19*($DN161=$DO161))</f>
        <v>3.7037037037037035E-4</v>
      </c>
      <c r="EF161" s="10" cm="1">
        <f t="array" aca="1" ref="EF161" ca="1">(1-$B$18)*SUMPRODUCT(OFFSET($BO$15,0,0,$B$14,1), 1*(_xlfn._xlws.FILTER(OFFSET($O$15,0,$DN161,$B$8,1),OFFSET($M$15,0,0,$B$8,1))=EF$13), 1*(_xlfn._xlws.FILTER(OFFSET($O$15,0,$DO161,$B$8,1),OFFSET($M$15,0,0,$B$8,1))=EF$14))   /   SUM(OFFSET($BO$15,0,0,$B$14,1)) + $B$18/($B$19*$B$19*($DN161&lt;&gt;$DO161) + $B$19*($DN161=$DO161))</f>
        <v>3.7037037037037035E-4</v>
      </c>
      <c r="EG161" s="10" cm="1">
        <f t="array" aca="1" ref="EG161" ca="1">(1-$B$18)*SUMPRODUCT(OFFSET($BO$15,0,0,$B$14,1), 1*(_xlfn._xlws.FILTER(OFFSET($O$15,0,$DN161,$B$8,1),OFFSET($M$15,0,0,$B$8,1))=EG$13), 1*(_xlfn._xlws.FILTER(OFFSET($O$15,0,$DO161,$B$8,1),OFFSET($M$15,0,0,$B$8,1))=EG$14))   /   SUM(OFFSET($BO$15,0,0,$B$14,1)) + $B$18/($B$19*$B$19*($DN161&lt;&gt;$DO161) + $B$19*($DN161=$DO161))</f>
        <v>3.7037037037037035E-4</v>
      </c>
      <c r="EH161" s="10" cm="1">
        <f t="array" aca="1" ref="EH161" ca="1">(1-$B$18)*SUMPRODUCT(OFFSET($BO$15,0,0,$B$14,1), 1*(_xlfn._xlws.FILTER(OFFSET($O$15,0,$DN161,$B$8,1),OFFSET($M$15,0,0,$B$8,1))=EH$13), 1*(_xlfn._xlws.FILTER(OFFSET($O$15,0,$DO161,$B$8,1),OFFSET($M$15,0,0,$B$8,1))=EH$14))   /   SUM(OFFSET($BO$15,0,0,$B$14,1)) + $B$18/($B$19*$B$19*($DN161&lt;&gt;$DO161) + $B$19*($DN161=$DO161))</f>
        <v>3.7037037037037035E-4</v>
      </c>
      <c r="EI161" s="10" cm="1">
        <f t="array" aca="1" ref="EI161" ca="1">(1-$B$18)*SUMPRODUCT(OFFSET($BO$15,0,0,$B$14,1), 1*(_xlfn._xlws.FILTER(OFFSET($O$15,0,$DN161,$B$8,1),OFFSET($M$15,0,0,$B$8,1))=EI$13), 1*(_xlfn._xlws.FILTER(OFFSET($O$15,0,$DO161,$B$8,1),OFFSET($M$15,0,0,$B$8,1))=EI$14))   /   SUM(OFFSET($BO$15,0,0,$B$14,1)) + $B$18/($B$19*$B$19*($DN161&lt;&gt;$DO161) + $B$19*($DN161=$DO161))</f>
        <v>3.7037037037037035E-4</v>
      </c>
      <c r="EJ161" s="10" cm="1">
        <f t="array" aca="1" ref="EJ161" ca="1">(1-$B$18)*SUMPRODUCT(OFFSET($BO$15,0,0,$B$14,1), 1*(_xlfn._xlws.FILTER(OFFSET($O$15,0,$DN161,$B$8,1),OFFSET($M$15,0,0,$B$8,1))=EJ$13), 1*(_xlfn._xlws.FILTER(OFFSET($O$15,0,$DO161,$B$8,1),OFFSET($M$15,0,0,$B$8,1))=EJ$14))   /   SUM(OFFSET($BO$15,0,0,$B$14,1)) + $B$18/($B$19*$B$19*($DN161&lt;&gt;$DO161) + $B$19*($DN161=$DO161))</f>
        <v>3.7037037037037035E-4</v>
      </c>
      <c r="EK161" s="10" cm="1">
        <f t="array" aca="1" ref="EK161" ca="1">(1-$B$18)*SUMPRODUCT(OFFSET($BO$15,0,0,$B$14,1), 1*(_xlfn._xlws.FILTER(OFFSET($O$15,0,$DN161,$B$8,1),OFFSET($M$15,0,0,$B$8,1))=EK$13), 1*(_xlfn._xlws.FILTER(OFFSET($O$15,0,$DO161,$B$8,1),OFFSET($M$15,0,0,$B$8,1))=EK$14))   /   SUM(OFFSET($BO$15,0,0,$B$14,1)) + $B$18/($B$19*$B$19*($DN161&lt;&gt;$DO161) + $B$19*($DN161=$DO161))</f>
        <v>3.7037037037037035E-4</v>
      </c>
      <c r="EL161" s="10" cm="1">
        <f t="array" aca="1" ref="EL161" ca="1">(1-$B$18)*SUMPRODUCT(OFFSET($BO$15,0,0,$B$14,1), 1*(_xlfn._xlws.FILTER(OFFSET($O$15,0,$DN161,$B$8,1),OFFSET($M$15,0,0,$B$8,1))=EL$13), 1*(_xlfn._xlws.FILTER(OFFSET($O$15,0,$DO161,$B$8,1),OFFSET($M$15,0,0,$B$8,1))=EL$14))   /   SUM(OFFSET($BO$15,0,0,$B$14,1)) + $B$18/($B$19*$B$19*($DN161&lt;&gt;$DO161) + $B$19*($DN161=$DO161))</f>
        <v>3.7037037037037035E-4</v>
      </c>
      <c r="EM161" s="10" cm="1">
        <f t="array" aca="1" ref="EM161" ca="1">(1-$B$18)*SUMPRODUCT(OFFSET($BO$15,0,0,$B$14,1), 1*(_xlfn._xlws.FILTER(OFFSET($O$15,0,$DN161,$B$8,1),OFFSET($M$15,0,0,$B$8,1))=EM$13), 1*(_xlfn._xlws.FILTER(OFFSET($O$15,0,$DO161,$B$8,1),OFFSET($M$15,0,0,$B$8,1))=EM$14))   /   SUM(OFFSET($BO$15,0,0,$B$14,1)) + $B$18/($B$19*$B$19*($DN161&lt;&gt;$DO161) + $B$19*($DN161=$DO161))</f>
        <v>3.7037037037037035E-4</v>
      </c>
      <c r="EN161" s="10" cm="1">
        <f t="array" aca="1" ref="EN161" ca="1">(1-$B$18)*SUMPRODUCT(OFFSET($BO$15,0,0,$B$14,1), 1*(_xlfn._xlws.FILTER(OFFSET($O$15,0,$DN161,$B$8,1),OFFSET($M$15,0,0,$B$8,1))=EN$13), 1*(_xlfn._xlws.FILTER(OFFSET($O$15,0,$DO161,$B$8,1),OFFSET($M$15,0,0,$B$8,1))=EN$14))   /   SUM(OFFSET($BO$15,0,0,$B$14,1)) + $B$18/($B$19*$B$19*($DN161&lt;&gt;$DO161) + $B$19*($DN161=$DO161))</f>
        <v>3.7037037037037035E-4</v>
      </c>
      <c r="EO161" s="10" cm="1">
        <f t="array" aca="1" ref="EO161" ca="1">(1-$B$18)*SUMPRODUCT(OFFSET($BO$15,0,0,$B$14,1), 1*(_xlfn._xlws.FILTER(OFFSET($O$15,0,$DN161,$B$8,1),OFFSET($M$15,0,0,$B$8,1))=EO$13), 1*(_xlfn._xlws.FILTER(OFFSET($O$15,0,$DO161,$B$8,1),OFFSET($M$15,0,0,$B$8,1))=EO$14))   /   SUM(OFFSET($BO$15,0,0,$B$14,1)) + $B$18/($B$19*$B$19*($DN161&lt;&gt;$DO161) + $B$19*($DN161=$DO161))</f>
        <v>3.7037037037037035E-4</v>
      </c>
      <c r="EP161" s="10" cm="1">
        <f t="array" aca="1" ref="EP161" ca="1">(1-$B$18)*SUMPRODUCT(OFFSET($BO$15,0,0,$B$14,1), 1*(_xlfn._xlws.FILTER(OFFSET($O$15,0,$DN161,$B$8,1),OFFSET($M$15,0,0,$B$8,1))=EP$13), 1*(_xlfn._xlws.FILTER(OFFSET($O$15,0,$DO161,$B$8,1),OFFSET($M$15,0,0,$B$8,1))=EP$14))   /   SUM(OFFSET($BO$15,0,0,$B$14,1)) + $B$18/($B$19*$B$19*($DN161&lt;&gt;$DO161) + $B$19*($DN161=$DO161))</f>
        <v>3.7037037037037035E-4</v>
      </c>
      <c r="EQ161" s="10" cm="1">
        <f t="array" aca="1" ref="EQ161" ca="1">(1-$B$18)*SUMPRODUCT(OFFSET($BO$15,0,0,$B$14,1), 1*(_xlfn._xlws.FILTER(OFFSET($O$15,0,$DN161,$B$8,1),OFFSET($M$15,0,0,$B$8,1))=EQ$13), 1*(_xlfn._xlws.FILTER(OFFSET($O$15,0,$DO161,$B$8,1),OFFSET($M$15,0,0,$B$8,1))=EQ$14))   /   SUM(OFFSET($BO$15,0,0,$B$14,1)) + $B$18/($B$19*$B$19*($DN161&lt;&gt;$DO161) + $B$19*($DN161=$DO161))</f>
        <v>3.7037037037037035E-4</v>
      </c>
      <c r="ER161" s="10" cm="1">
        <f t="array" aca="1" ref="ER161" ca="1">(1-$B$18)*SUMPRODUCT(OFFSET($BO$15,0,0,$B$14,1), 1*(_xlfn._xlws.FILTER(OFFSET($O$15,0,$DN161,$B$8,1),OFFSET($M$15,0,0,$B$8,1))=ER$13), 1*(_xlfn._xlws.FILTER(OFFSET($O$15,0,$DO161,$B$8,1),OFFSET($M$15,0,0,$B$8,1))=ER$14))   /   SUM(OFFSET($BO$15,0,0,$B$14,1)) + $B$18/($B$19*$B$19*($DN161&lt;&gt;$DO161) + $B$19*($DN161=$DO161))</f>
        <v>3.7037037037037035E-4</v>
      </c>
      <c r="ES161" s="10" cm="1">
        <f t="array" aca="1" ref="ES161" ca="1">(1-$B$18)*SUMPRODUCT(OFFSET($BO$15,0,0,$B$14,1), 1*(_xlfn._xlws.FILTER(OFFSET($O$15,0,$DN161,$B$8,1),OFFSET($M$15,0,0,$B$8,1))=ES$13), 1*(_xlfn._xlws.FILTER(OFFSET($O$15,0,$DO161,$B$8,1),OFFSET($M$15,0,0,$B$8,1))=ES$14))   /   SUM(OFFSET($BO$15,0,0,$B$14,1)) + $B$18/($B$19*$B$19*($DN161&lt;&gt;$DO161) + $B$19*($DN161=$DO161))</f>
        <v>3.7037037037037035E-4</v>
      </c>
      <c r="ET161" s="10" cm="1">
        <f t="array" aca="1" ref="ET161" ca="1">(1-$B$18)*SUMPRODUCT(OFFSET($BO$15,0,0,$B$14,1), 1*(_xlfn._xlws.FILTER(OFFSET($O$15,0,$DN161,$B$8,1),OFFSET($M$15,0,0,$B$8,1))=ET$13), 1*(_xlfn._xlws.FILTER(OFFSET($O$15,0,$DO161,$B$8,1),OFFSET($M$15,0,0,$B$8,1))=ET$14))   /   SUM(OFFSET($BO$15,0,0,$B$14,1)) + $B$18/($B$19*$B$19*($DN161&lt;&gt;$DO161) + $B$19*($DN161=$DO161))</f>
        <v>3.7037037037037035E-4</v>
      </c>
      <c r="EU161" s="10" cm="1">
        <f t="array" aca="1" ref="EU161" ca="1">(1-$B$18)*SUMPRODUCT(OFFSET($BO$15,0,0,$B$14,1), 1*(_xlfn._xlws.FILTER(OFFSET($O$15,0,$DN161,$B$8,1),OFFSET($M$15,0,0,$B$8,1))=EU$13), 1*(_xlfn._xlws.FILTER(OFFSET($O$15,0,$DO161,$B$8,1),OFFSET($M$15,0,0,$B$8,1))=EU$14))   /   SUM(OFFSET($BO$15,0,0,$B$14,1)) + $B$18/($B$19*$B$19*($DN161&lt;&gt;$DO161) + $B$19*($DN161=$DO161))</f>
        <v>3.7037037037037035E-4</v>
      </c>
      <c r="EV161" s="10" cm="1">
        <f t="array" aca="1" ref="EV161" ca="1">(1-$B$18)*SUMPRODUCT(OFFSET($BO$15,0,0,$B$14,1), 1*(_xlfn._xlws.FILTER(OFFSET($O$15,0,$DN161,$B$8,1),OFFSET($M$15,0,0,$B$8,1))=EV$13), 1*(_xlfn._xlws.FILTER(OFFSET($O$15,0,$DO161,$B$8,1),OFFSET($M$15,0,0,$B$8,1))=EV$14))   /   SUM(OFFSET($BO$15,0,0,$B$14,1)) + $B$18/($B$19*$B$19*($DN161&lt;&gt;$DO161) + $B$19*($DN161=$DO161))</f>
        <v>3.7037037037037035E-4</v>
      </c>
      <c r="EW161" s="10" cm="1">
        <f t="array" aca="1" ref="EW161" ca="1">(1-$B$18)*SUMPRODUCT(OFFSET($BO$15,0,0,$B$14,1), 1*(_xlfn._xlws.FILTER(OFFSET($O$15,0,$DN161,$B$8,1),OFFSET($M$15,0,0,$B$8,1))=EW$13), 1*(_xlfn._xlws.FILTER(OFFSET($O$15,0,$DO161,$B$8,1),OFFSET($M$15,0,0,$B$8,1))=EW$14))   /   SUM(OFFSET($BO$15,0,0,$B$14,1)) + $B$18/($B$19*$B$19*($DN161&lt;&gt;$DO161) + $B$19*($DN161=$DO161))</f>
        <v>3.7037037037037035E-4</v>
      </c>
      <c r="EX161" s="10" cm="1">
        <f t="array" aca="1" ref="EX161" ca="1">(1-$B$18)*SUMPRODUCT(OFFSET($BO$15,0,0,$B$14,1), 1*(_xlfn._xlws.FILTER(OFFSET($O$15,0,$DN161,$B$8,1),OFFSET($M$15,0,0,$B$8,1))=EX$13), 1*(_xlfn._xlws.FILTER(OFFSET($O$15,0,$DO161,$B$8,1),OFFSET($M$15,0,0,$B$8,1))=EX$14))   /   SUM(OFFSET($BO$15,0,0,$B$14,1)) + $B$18/($B$19*$B$19*($DN161&lt;&gt;$DO161) + $B$19*($DN161=$DO161))</f>
        <v>3.7037037037037035E-4</v>
      </c>
      <c r="EY161" s="10" cm="1">
        <f t="array" aca="1" ref="EY161" ca="1">(1-$B$18)*SUMPRODUCT(OFFSET($BO$15,0,0,$B$14,1), 1*(_xlfn._xlws.FILTER(OFFSET($O$15,0,$DN161,$B$8,1),OFFSET($M$15,0,0,$B$8,1))=EY$13), 1*(_xlfn._xlws.FILTER(OFFSET($O$15,0,$DO161,$B$8,1),OFFSET($M$15,0,0,$B$8,1))=EY$14))   /   SUM(OFFSET($BO$15,0,0,$B$14,1)) + $B$18/($B$19*$B$19*($DN161&lt;&gt;$DO161) + $B$19*($DN161=$DO161))</f>
        <v>3.7037037037037035E-4</v>
      </c>
      <c r="EZ161" s="10" cm="1">
        <f t="array" aca="1" ref="EZ161" ca="1">(1-$B$18)*SUMPRODUCT(OFFSET($BO$15,0,0,$B$14,1), 1*(_xlfn._xlws.FILTER(OFFSET($O$15,0,$DN161,$B$8,1),OFFSET($M$15,0,0,$B$8,1))=EZ$13), 1*(_xlfn._xlws.FILTER(OFFSET($O$15,0,$DO161,$B$8,1),OFFSET($M$15,0,0,$B$8,1))=EZ$14))   /   SUM(OFFSET($BO$15,0,0,$B$14,1)) + $B$18/($B$19*$B$19*($DN161&lt;&gt;$DO161) + $B$19*($DN161=$DO161))</f>
        <v>3.7037037037037035E-4</v>
      </c>
      <c r="FA161" s="10" cm="1">
        <f t="array" aca="1" ref="FA161" ca="1">(1-$B$18)*SUMPRODUCT(OFFSET($BO$15,0,0,$B$14,1), 1*(_xlfn._xlws.FILTER(OFFSET($O$15,0,$DN161,$B$8,1),OFFSET($M$15,0,0,$B$8,1))=FA$13), 1*(_xlfn._xlws.FILTER(OFFSET($O$15,0,$DO161,$B$8,1),OFFSET($M$15,0,0,$B$8,1))=FA$14))   /   SUM(OFFSET($BO$15,0,0,$B$14,1)) + $B$18/($B$19*$B$19*($DN161&lt;&gt;$DO161) + $B$19*($DN161=$DO161))</f>
        <v>3.7037037037037035E-4</v>
      </c>
      <c r="FB161" s="10" cm="1">
        <f t="array" aca="1" ref="FB161" ca="1">(1-$B$18)*SUMPRODUCT(OFFSET($BO$15,0,0,$B$14,1), 1*(_xlfn._xlws.FILTER(OFFSET($O$15,0,$DN161,$B$8,1),OFFSET($M$15,0,0,$B$8,1))=FB$13), 1*(_xlfn._xlws.FILTER(OFFSET($O$15,0,$DO161,$B$8,1),OFFSET($M$15,0,0,$B$8,1))=FB$14))   /   SUM(OFFSET($BO$15,0,0,$B$14,1)) + $B$18/($B$19*$B$19*($DN161&lt;&gt;$DO161) + $B$19*($DN161=$DO161))</f>
        <v>3.7037037037037035E-4</v>
      </c>
      <c r="FC161" s="10" cm="1">
        <f t="array" aca="1" ref="FC161" ca="1">(1-$B$18)*SUMPRODUCT(OFFSET($BO$15,0,0,$B$14,1), 1*(_xlfn._xlws.FILTER(OFFSET($O$15,0,$DN161,$B$8,1),OFFSET($M$15,0,0,$B$8,1))=FC$13), 1*(_xlfn._xlws.FILTER(OFFSET($O$15,0,$DO161,$B$8,1),OFFSET($M$15,0,0,$B$8,1))=FC$14))   /   SUM(OFFSET($BO$15,0,0,$B$14,1)) + $B$18/($B$19*$B$19*($DN161&lt;&gt;$DO161) + $B$19*($DN161=$DO161))</f>
        <v>3.7037037037037035E-4</v>
      </c>
      <c r="FD161" s="10" cm="1">
        <f t="array" aca="1" ref="FD161" ca="1">(1-$B$18)*SUMPRODUCT(OFFSET($BO$15,0,0,$B$14,1), 1*(_xlfn._xlws.FILTER(OFFSET($O$15,0,$DN161,$B$8,1),OFFSET($M$15,0,0,$B$8,1))=FD$13), 1*(_xlfn._xlws.FILTER(OFFSET($O$15,0,$DO161,$B$8,1),OFFSET($M$15,0,0,$B$8,1))=FD$14))   /   SUM(OFFSET($BO$15,0,0,$B$14,1)) + $B$18/($B$19*$B$19*($DN161&lt;&gt;$DO161) + $B$19*($DN161=$DO161))</f>
        <v>3.7037037037037035E-4</v>
      </c>
      <c r="FE161" s="10" cm="1">
        <f t="array" aca="1" ref="FE161" ca="1">(1-$B$18)*SUMPRODUCT(OFFSET($BO$15,0,0,$B$14,1), 1*(_xlfn._xlws.FILTER(OFFSET($O$15,0,$DN161,$B$8,1),OFFSET($M$15,0,0,$B$8,1))=FE$13), 1*(_xlfn._xlws.FILTER(OFFSET($O$15,0,$DO161,$B$8,1),OFFSET($M$15,0,0,$B$8,1))=FE$14))   /   SUM(OFFSET($BO$15,0,0,$B$14,1)) + $B$18/($B$19*$B$19*($DN161&lt;&gt;$DO161) + $B$19*($DN161=$DO161))</f>
        <v>3.7037037037037035E-4</v>
      </c>
      <c r="FF161" s="10" cm="1">
        <f t="array" aca="1" ref="FF161" ca="1">(1-$B$18)*SUMPRODUCT(OFFSET($BO$15,0,0,$B$14,1), 1*(_xlfn._xlws.FILTER(OFFSET($O$15,0,$DN161,$B$8,1),OFFSET($M$15,0,0,$B$8,1))=FF$13), 1*(_xlfn._xlws.FILTER(OFFSET($O$15,0,$DO161,$B$8,1),OFFSET($M$15,0,0,$B$8,1))=FF$14))   /   SUM(OFFSET($BO$15,0,0,$B$14,1)) + $B$18/($B$19*$B$19*($DN161&lt;&gt;$DO161) + $B$19*($DN161=$DO161))</f>
        <v>3.7037037037037035E-4</v>
      </c>
      <c r="FG161" s="10" cm="1">
        <f t="array" aca="1" ref="FG161" ca="1">(1-$B$18)*SUMPRODUCT(OFFSET($BO$15,0,0,$B$14,1), 1*(_xlfn._xlws.FILTER(OFFSET($O$15,0,$DN161,$B$8,1),OFFSET($M$15,0,0,$B$8,1))=FG$13), 1*(_xlfn._xlws.FILTER(OFFSET($O$15,0,$DO161,$B$8,1),OFFSET($M$15,0,0,$B$8,1))=FG$14))   /   SUM(OFFSET($BO$15,0,0,$B$14,1)) + $B$18/($B$19*$B$19*($DN161&lt;&gt;$DO161) + $B$19*($DN161=$DO161))</f>
        <v>3.7037037037037035E-4</v>
      </c>
      <c r="FH161" s="10" cm="1">
        <f t="array" aca="1" ref="FH161" ca="1">(1-$B$18)*SUMPRODUCT(OFFSET($BO$15,0,0,$B$14,1), 1*(_xlfn._xlws.FILTER(OFFSET($O$15,0,$DN161,$B$8,1),OFFSET($M$15,0,0,$B$8,1))=FH$13), 1*(_xlfn._xlws.FILTER(OFFSET($O$15,0,$DO161,$B$8,1),OFFSET($M$15,0,0,$B$8,1))=FH$14))   /   SUM(OFFSET($BO$15,0,0,$B$14,1)) + $B$18/($B$19*$B$19*($DN161&lt;&gt;$DO161) + $B$19*($DN161=$DO161))</f>
        <v>3.7037037037037035E-4</v>
      </c>
      <c r="FI161" s="10" cm="1">
        <f t="array" aca="1" ref="FI161" ca="1">(1-$B$18)*SUMPRODUCT(OFFSET($BO$15,0,0,$B$14,1), 1*(_xlfn._xlws.FILTER(OFFSET($O$15,0,$DN161,$B$8,1),OFFSET($M$15,0,0,$B$8,1))=FI$13), 1*(_xlfn._xlws.FILTER(OFFSET($O$15,0,$DO161,$B$8,1),OFFSET($M$15,0,0,$B$8,1))=FI$14))   /   SUM(OFFSET($BO$15,0,0,$B$14,1)) + $B$18/($B$19*$B$19*($DN161&lt;&gt;$DO161) + $B$19*($DN161=$DO161))</f>
        <v>3.7037037037037035E-4</v>
      </c>
      <c r="FJ161" s="10" cm="1">
        <f t="array" aca="1" ref="FJ161" ca="1">(1-$B$18)*SUMPRODUCT(OFFSET($BO$15,0,0,$B$14,1), 1*(_xlfn._xlws.FILTER(OFFSET($O$15,0,$DN161,$B$8,1),OFFSET($M$15,0,0,$B$8,1))=FJ$13), 1*(_xlfn._xlws.FILTER(OFFSET($O$15,0,$DO161,$B$8,1),OFFSET($M$15,0,0,$B$8,1))=FJ$14))   /   SUM(OFFSET($BO$15,0,0,$B$14,1)) + $B$18/($B$19*$B$19*($DN161&lt;&gt;$DO161) + $B$19*($DN161=$DO161))</f>
        <v>3.7037037037037035E-4</v>
      </c>
      <c r="FK161" s="10" cm="1">
        <f t="array" aca="1" ref="FK161" ca="1">(1-$B$18)*SUMPRODUCT(OFFSET($BO$15,0,0,$B$14,1), 1*(_xlfn._xlws.FILTER(OFFSET($O$15,0,$DN161,$B$8,1),OFFSET($M$15,0,0,$B$8,1))=FK$13), 1*(_xlfn._xlws.FILTER(OFFSET($O$15,0,$DO161,$B$8,1),OFFSET($M$15,0,0,$B$8,1))=FK$14))   /   SUM(OFFSET($BO$15,0,0,$B$14,1)) + $B$18/($B$19*$B$19*($DN161&lt;&gt;$DO161) + $B$19*($DN161=$DO161))</f>
        <v>3.7037037037037035E-4</v>
      </c>
      <c r="FL161" s="10" cm="1">
        <f t="array" aca="1" ref="FL161" ca="1">(1-$B$18)*SUMPRODUCT(OFFSET($BO$15,0,0,$B$14,1), 1*(_xlfn._xlws.FILTER(OFFSET($O$15,0,$DN161,$B$8,1),OFFSET($M$15,0,0,$B$8,1))=FL$13), 1*(_xlfn._xlws.FILTER(OFFSET($O$15,0,$DO161,$B$8,1),OFFSET($M$15,0,0,$B$8,1))=FL$14))   /   SUM(OFFSET($BO$15,0,0,$B$14,1)) + $B$18/($B$19*$B$19*($DN161&lt;&gt;$DO161) + $B$19*($DN161=$DO161))</f>
        <v>3.7037037037037035E-4</v>
      </c>
      <c r="FM161" s="10" cm="1">
        <f t="array" aca="1" ref="FM161" ca="1">(1-$B$18)*SUMPRODUCT(OFFSET($BO$15,0,0,$B$14,1), 1*(_xlfn._xlws.FILTER(OFFSET($O$15,0,$DN161,$B$8,1),OFFSET($M$15,0,0,$B$8,1))=FM$13), 1*(_xlfn._xlws.FILTER(OFFSET($O$15,0,$DO161,$B$8,1),OFFSET($M$15,0,0,$B$8,1))=FM$14))   /   SUM(OFFSET($BO$15,0,0,$B$14,1)) + $B$18/($B$19*$B$19*($DN161&lt;&gt;$DO161) + $B$19*($DN161=$DO161))</f>
        <v>3.7037037037037035E-4</v>
      </c>
      <c r="FN161" s="10" cm="1">
        <f t="array" aca="1" ref="FN161" ca="1">(1-$B$18)*SUMPRODUCT(OFFSET($BO$15,0,0,$B$14,1), 1*(_xlfn._xlws.FILTER(OFFSET($O$15,0,$DN161,$B$8,1),OFFSET($M$15,0,0,$B$8,1))=FN$13), 1*(_xlfn._xlws.FILTER(OFFSET($O$15,0,$DO161,$B$8,1),OFFSET($M$15,0,0,$B$8,1))=FN$14))   /   SUM(OFFSET($BO$15,0,0,$B$14,1)) + $B$18/($B$19*$B$19*($DN161&lt;&gt;$DO161) + $B$19*($DN161=$DO161))</f>
        <v>0.97037037037037033</v>
      </c>
      <c r="FO161" s="10" cm="1">
        <f t="array" aca="1" ref="FO161" ca="1">(1-$B$18)*SUMPRODUCT(OFFSET($BO$15,0,0,$B$14,1), 1*(_xlfn._xlws.FILTER(OFFSET($O$15,0,$DN161,$B$8,1),OFFSET($M$15,0,0,$B$8,1))=FO$13), 1*(_xlfn._xlws.FILTER(OFFSET($O$15,0,$DO161,$B$8,1),OFFSET($M$15,0,0,$B$8,1))=FO$14))   /   SUM(OFFSET($BO$15,0,0,$B$14,1)) + $B$18/($B$19*$B$19*($DN161&lt;&gt;$DO161) + $B$19*($DN161=$DO161))</f>
        <v>3.7037037037037035E-4</v>
      </c>
      <c r="FP161" s="10" cm="1">
        <f t="array" aca="1" ref="FP161" ca="1">(1-$B$18)*SUMPRODUCT(OFFSET($BO$15,0,0,$B$14,1), 1*(_xlfn._xlws.FILTER(OFFSET($O$15,0,$DN161,$B$8,1),OFFSET($M$15,0,0,$B$8,1))=FP$13), 1*(_xlfn._xlws.FILTER(OFFSET($O$15,0,$DO161,$B$8,1),OFFSET($M$15,0,0,$B$8,1))=FP$14))   /   SUM(OFFSET($BO$15,0,0,$B$14,1)) + $B$18/($B$19*$B$19*($DN161&lt;&gt;$DO161) + $B$19*($DN161=$DO161))</f>
        <v>3.7037037037037035E-4</v>
      </c>
      <c r="FQ161" s="10" cm="1">
        <f t="array" aca="1" ref="FQ161" ca="1">(1-$B$18)*SUMPRODUCT(OFFSET($BO$15,0,0,$B$14,1), 1*(_xlfn._xlws.FILTER(OFFSET($O$15,0,$DN161,$B$8,1),OFFSET($M$15,0,0,$B$8,1))=FQ$13), 1*(_xlfn._xlws.FILTER(OFFSET($O$15,0,$DO161,$B$8,1),OFFSET($M$15,0,0,$B$8,1))=FQ$14))   /   SUM(OFFSET($BO$15,0,0,$B$14,1)) + $B$18/($B$19*$B$19*($DN161&lt;&gt;$DO161) + $B$19*($DN161=$DO161))</f>
        <v>3.7037037037037035E-4</v>
      </c>
      <c r="FR161" s="10" cm="1">
        <f t="array" aca="1" ref="FR161" ca="1">(1-$B$18)*SUMPRODUCT(OFFSET($BO$15,0,0,$B$14,1), 1*(_xlfn._xlws.FILTER(OFFSET($O$15,0,$DN161,$B$8,1),OFFSET($M$15,0,0,$B$8,1))=FR$13), 1*(_xlfn._xlws.FILTER(OFFSET($O$15,0,$DO161,$B$8,1),OFFSET($M$15,0,0,$B$8,1))=FR$14))   /   SUM(OFFSET($BO$15,0,0,$B$14,1)) + $B$18/($B$19*$B$19*($DN161&lt;&gt;$DO161) + $B$19*($DN161=$DO161))</f>
        <v>3.7037037037037035E-4</v>
      </c>
      <c r="FS161" s="10" cm="1">
        <f t="array" aca="1" ref="FS161" ca="1">(1-$B$18)*SUMPRODUCT(OFFSET($BO$15,0,0,$B$14,1), 1*(_xlfn._xlws.FILTER(OFFSET($O$15,0,$DN161,$B$8,1),OFFSET($M$15,0,0,$B$8,1))=FS$13), 1*(_xlfn._xlws.FILTER(OFFSET($O$15,0,$DO161,$B$8,1),OFFSET($M$15,0,0,$B$8,1))=FS$14))   /   SUM(OFFSET($BO$15,0,0,$B$14,1)) + $B$18/($B$19*$B$19*($DN161&lt;&gt;$DO161) + $B$19*($DN161=$DO161))</f>
        <v>3.7037037037037035E-4</v>
      </c>
      <c r="FT161" s="10" cm="1">
        <f t="array" aca="1" ref="FT161" ca="1">(1-$B$18)*SUMPRODUCT(OFFSET($BO$15,0,0,$B$14,1), 1*(_xlfn._xlws.FILTER(OFFSET($O$15,0,$DN161,$B$8,1),OFFSET($M$15,0,0,$B$8,1))=FT$13), 1*(_xlfn._xlws.FILTER(OFFSET($O$15,0,$DO161,$B$8,1),OFFSET($M$15,0,0,$B$8,1))=FT$14))   /   SUM(OFFSET($BO$15,0,0,$B$14,1)) + $B$18/($B$19*$B$19*($DN161&lt;&gt;$DO161) + $B$19*($DN161=$DO161))</f>
        <v>3.7037037037037035E-4</v>
      </c>
      <c r="FU161" s="10" cm="1">
        <f t="array" aca="1" ref="FU161" ca="1">(1-$B$18)*SUMPRODUCT(OFFSET($BO$15,0,0,$B$14,1), 1*(_xlfn._xlws.FILTER(OFFSET($O$15,0,$DN161,$B$8,1),OFFSET($M$15,0,0,$B$8,1))=FU$13), 1*(_xlfn._xlws.FILTER(OFFSET($O$15,0,$DO161,$B$8,1),OFFSET($M$15,0,0,$B$8,1))=FU$14))   /   SUM(OFFSET($BO$15,0,0,$B$14,1)) + $B$18/($B$19*$B$19*($DN161&lt;&gt;$DO161) + $B$19*($DN161=$DO161))</f>
        <v>3.7037037037037035E-4</v>
      </c>
      <c r="FV161" s="10" cm="1">
        <f t="array" aca="1" ref="FV161" ca="1">(1-$B$18)*SUMPRODUCT(OFFSET($BO$15,0,0,$B$14,1), 1*(_xlfn._xlws.FILTER(OFFSET($O$15,0,$DN161,$B$8,1),OFFSET($M$15,0,0,$B$8,1))=FV$13), 1*(_xlfn._xlws.FILTER(OFFSET($O$15,0,$DO161,$B$8,1),OFFSET($M$15,0,0,$B$8,1))=FV$14))   /   SUM(OFFSET($BO$15,0,0,$B$14,1)) + $B$18/($B$19*$B$19*($DN161&lt;&gt;$DO161) + $B$19*($DN161=$DO161))</f>
        <v>3.7037037037037035E-4</v>
      </c>
      <c r="FW161" s="10" cm="1">
        <f t="array" aca="1" ref="FW161" ca="1">(1-$B$18)*SUMPRODUCT(OFFSET($BO$15,0,0,$B$14,1), 1*(_xlfn._xlws.FILTER(OFFSET($O$15,0,$DN161,$B$8,1),OFFSET($M$15,0,0,$B$8,1))=FW$13), 1*(_xlfn._xlws.FILTER(OFFSET($O$15,0,$DO161,$B$8,1),OFFSET($M$15,0,0,$B$8,1))=FW$14))   /   SUM(OFFSET($BO$15,0,0,$B$14,1)) + $B$18/($B$19*$B$19*($DN161&lt;&gt;$DO161) + $B$19*($DN161=$DO161))</f>
        <v>3.7037037037037035E-4</v>
      </c>
      <c r="FX161" s="10" cm="1">
        <f t="array" aca="1" ref="FX161" ca="1">(1-$B$18)*SUMPRODUCT(OFFSET($BO$15,0,0,$B$14,1), 1*(_xlfn._xlws.FILTER(OFFSET($O$15,0,$DN161,$B$8,1),OFFSET($M$15,0,0,$B$8,1))=FX$13), 1*(_xlfn._xlws.FILTER(OFFSET($O$15,0,$DO161,$B$8,1),OFFSET($M$15,0,0,$B$8,1))=FX$14))   /   SUM(OFFSET($BO$15,0,0,$B$14,1)) + $B$18/($B$19*$B$19*($DN161&lt;&gt;$DO161) + $B$19*($DN161=$DO161))</f>
        <v>3.7037037037037035E-4</v>
      </c>
      <c r="FY161" s="10" cm="1">
        <f t="array" aca="1" ref="FY161" ca="1">(1-$B$18)*SUMPRODUCT(OFFSET($BO$15,0,0,$B$14,1), 1*(_xlfn._xlws.FILTER(OFFSET($O$15,0,$DN161,$B$8,1),OFFSET($M$15,0,0,$B$8,1))=FY$13), 1*(_xlfn._xlws.FILTER(OFFSET($O$15,0,$DO161,$B$8,1),OFFSET($M$15,0,0,$B$8,1))=FY$14))   /   SUM(OFFSET($BO$15,0,0,$B$14,1)) + $B$18/($B$19*$B$19*($DN161&lt;&gt;$DO161) + $B$19*($DN161=$DO161))</f>
        <v>3.7037037037037035E-4</v>
      </c>
      <c r="FZ161" s="10" cm="1">
        <f t="array" aca="1" ref="FZ161" ca="1">(1-$B$18)*SUMPRODUCT(OFFSET($BO$15,0,0,$B$14,1), 1*(_xlfn._xlws.FILTER(OFFSET($O$15,0,$DN161,$B$8,1),OFFSET($M$15,0,0,$B$8,1))=FZ$13), 1*(_xlfn._xlws.FILTER(OFFSET($O$15,0,$DO161,$B$8,1),OFFSET($M$15,0,0,$B$8,1))=FZ$14))   /   SUM(OFFSET($BO$15,0,0,$B$14,1)) + $B$18/($B$19*$B$19*($DN161&lt;&gt;$DO161) + $B$19*($DN161=$DO161))</f>
        <v>3.7037037037037035E-4</v>
      </c>
      <c r="GA161" s="10" cm="1">
        <f t="array" aca="1" ref="GA161" ca="1">(1-$B$18)*SUMPRODUCT(OFFSET($BO$15,0,0,$B$14,1), 1*(_xlfn._xlws.FILTER(OFFSET($O$15,0,$DN161,$B$8,1),OFFSET($M$15,0,0,$B$8,1))=GA$13), 1*(_xlfn._xlws.FILTER(OFFSET($O$15,0,$DO161,$B$8,1),OFFSET($M$15,0,0,$B$8,1))=GA$14))   /   SUM(OFFSET($BO$15,0,0,$B$14,1)) + $B$18/($B$19*$B$19*($DN161&lt;&gt;$DO161) + $B$19*($DN161=$DO161))</f>
        <v>3.7037037037037035E-4</v>
      </c>
    </row>
    <row r="162" spans="118:183" x14ac:dyDescent="0.2">
      <c r="DN162" cm="1">
        <f t="array" aca="1" ref="DN162" ca="1">INDEX(_xlfn.ANCHORARRAY($CP$15), 1 + INT((ROWS($DO$15:$DO162) - 1) / ROWS(_xlfn.ANCHORARRAY($CP$15))))</f>
        <v>7</v>
      </c>
      <c r="DO162" cm="1">
        <f t="array" aca="1" ref="DO162" ca="1">INDEX(_xlfn.ANCHORARRAY($CP$15),1+MOD(ROWS($DO$15:$DO162)-1,ROWS(_xlfn.ANCHORARRAY($CP$15))))</f>
        <v>15</v>
      </c>
      <c r="DP162" s="10" cm="1">
        <f t="array" aca="1" ref="DP162" ca="1">(1-$B$18)*SUMPRODUCT(OFFSET($BO$15,0,0,$B$14,1), 1*(_xlfn._xlws.FILTER(OFFSET($O$15,0,$DN162,$B$8,1),OFFSET($M$15,0,0,$B$8,1))=DP$13), 1*(_xlfn._xlws.FILTER(OFFSET($O$15,0,$DO162,$B$8,1),OFFSET($M$15,0,0,$B$8,1))=DP$14))   /   SUM(OFFSET($BO$15,0,0,$B$14,1)) + $B$18/($B$19*$B$19*($DN162&lt;&gt;$DO162) + $B$19*($DN162=$DO162))</f>
        <v>3.7037037037037035E-4</v>
      </c>
      <c r="DQ162" s="10" cm="1">
        <f t="array" aca="1" ref="DQ162" ca="1">(1-$B$18)*SUMPRODUCT(OFFSET($BO$15,0,0,$B$14,1), 1*(_xlfn._xlws.FILTER(OFFSET($O$15,0,$DN162,$B$8,1),OFFSET($M$15,0,0,$B$8,1))=DQ$13), 1*(_xlfn._xlws.FILTER(OFFSET($O$15,0,$DO162,$B$8,1),OFFSET($M$15,0,0,$B$8,1))=DQ$14))   /   SUM(OFFSET($BO$15,0,0,$B$14,1)) + $B$18/($B$19*$B$19*($DN162&lt;&gt;$DO162) + $B$19*($DN162=$DO162))</f>
        <v>3.7037037037037035E-4</v>
      </c>
      <c r="DR162" s="10" cm="1">
        <f t="array" aca="1" ref="DR162" ca="1">(1-$B$18)*SUMPRODUCT(OFFSET($BO$15,0,0,$B$14,1), 1*(_xlfn._xlws.FILTER(OFFSET($O$15,0,$DN162,$B$8,1),OFFSET($M$15,0,0,$B$8,1))=DR$13), 1*(_xlfn._xlws.FILTER(OFFSET($O$15,0,$DO162,$B$8,1),OFFSET($M$15,0,0,$B$8,1))=DR$14))   /   SUM(OFFSET($BO$15,0,0,$B$14,1)) + $B$18/($B$19*$B$19*($DN162&lt;&gt;$DO162) + $B$19*($DN162=$DO162))</f>
        <v>3.7037037037037035E-4</v>
      </c>
      <c r="DS162" s="10" cm="1">
        <f t="array" aca="1" ref="DS162" ca="1">(1-$B$18)*SUMPRODUCT(OFFSET($BO$15,0,0,$B$14,1), 1*(_xlfn._xlws.FILTER(OFFSET($O$15,0,$DN162,$B$8,1),OFFSET($M$15,0,0,$B$8,1))=DS$13), 1*(_xlfn._xlws.FILTER(OFFSET($O$15,0,$DO162,$B$8,1),OFFSET($M$15,0,0,$B$8,1))=DS$14))   /   SUM(OFFSET($BO$15,0,0,$B$14,1)) + $B$18/($B$19*$B$19*($DN162&lt;&gt;$DO162) + $B$19*($DN162=$DO162))</f>
        <v>3.7037037037037035E-4</v>
      </c>
      <c r="DT162" s="10" cm="1">
        <f t="array" aca="1" ref="DT162" ca="1">(1-$B$18)*SUMPRODUCT(OFFSET($BO$15,0,0,$B$14,1), 1*(_xlfn._xlws.FILTER(OFFSET($O$15,0,$DN162,$B$8,1),OFFSET($M$15,0,0,$B$8,1))=DT$13), 1*(_xlfn._xlws.FILTER(OFFSET($O$15,0,$DO162,$B$8,1),OFFSET($M$15,0,0,$B$8,1))=DT$14))   /   SUM(OFFSET($BO$15,0,0,$B$14,1)) + $B$18/($B$19*$B$19*($DN162&lt;&gt;$DO162) + $B$19*($DN162=$DO162))</f>
        <v>3.7037037037037035E-4</v>
      </c>
      <c r="DU162" s="10" cm="1">
        <f t="array" aca="1" ref="DU162" ca="1">(1-$B$18)*SUMPRODUCT(OFFSET($BO$15,0,0,$B$14,1), 1*(_xlfn._xlws.FILTER(OFFSET($O$15,0,$DN162,$B$8,1),OFFSET($M$15,0,0,$B$8,1))=DU$13), 1*(_xlfn._xlws.FILTER(OFFSET($O$15,0,$DO162,$B$8,1),OFFSET($M$15,0,0,$B$8,1))=DU$14))   /   SUM(OFFSET($BO$15,0,0,$B$14,1)) + $B$18/($B$19*$B$19*($DN162&lt;&gt;$DO162) + $B$19*($DN162=$DO162))</f>
        <v>3.7037037037037035E-4</v>
      </c>
      <c r="DV162" s="10" cm="1">
        <f t="array" aca="1" ref="DV162" ca="1">(1-$B$18)*SUMPRODUCT(OFFSET($BO$15,0,0,$B$14,1), 1*(_xlfn._xlws.FILTER(OFFSET($O$15,0,$DN162,$B$8,1),OFFSET($M$15,0,0,$B$8,1))=DV$13), 1*(_xlfn._xlws.FILTER(OFFSET($O$15,0,$DO162,$B$8,1),OFFSET($M$15,0,0,$B$8,1))=DV$14))   /   SUM(OFFSET($BO$15,0,0,$B$14,1)) + $B$18/($B$19*$B$19*($DN162&lt;&gt;$DO162) + $B$19*($DN162=$DO162))</f>
        <v>3.7037037037037035E-4</v>
      </c>
      <c r="DW162" s="10" cm="1">
        <f t="array" aca="1" ref="DW162" ca="1">(1-$B$18)*SUMPRODUCT(OFFSET($BO$15,0,0,$B$14,1), 1*(_xlfn._xlws.FILTER(OFFSET($O$15,0,$DN162,$B$8,1),OFFSET($M$15,0,0,$B$8,1))=DW$13), 1*(_xlfn._xlws.FILTER(OFFSET($O$15,0,$DO162,$B$8,1),OFFSET($M$15,0,0,$B$8,1))=DW$14))   /   SUM(OFFSET($BO$15,0,0,$B$14,1)) + $B$18/($B$19*$B$19*($DN162&lt;&gt;$DO162) + $B$19*($DN162=$DO162))</f>
        <v>3.7037037037037035E-4</v>
      </c>
      <c r="DX162" s="10" cm="1">
        <f t="array" aca="1" ref="DX162" ca="1">(1-$B$18)*SUMPRODUCT(OFFSET($BO$15,0,0,$B$14,1), 1*(_xlfn._xlws.FILTER(OFFSET($O$15,0,$DN162,$B$8,1),OFFSET($M$15,0,0,$B$8,1))=DX$13), 1*(_xlfn._xlws.FILTER(OFFSET($O$15,0,$DO162,$B$8,1),OFFSET($M$15,0,0,$B$8,1))=DX$14))   /   SUM(OFFSET($BO$15,0,0,$B$14,1)) + $B$18/($B$19*$B$19*($DN162&lt;&gt;$DO162) + $B$19*($DN162=$DO162))</f>
        <v>3.7037037037037035E-4</v>
      </c>
      <c r="DY162" s="10" cm="1">
        <f t="array" aca="1" ref="DY162" ca="1">(1-$B$18)*SUMPRODUCT(OFFSET($BO$15,0,0,$B$14,1), 1*(_xlfn._xlws.FILTER(OFFSET($O$15,0,$DN162,$B$8,1),OFFSET($M$15,0,0,$B$8,1))=DY$13), 1*(_xlfn._xlws.FILTER(OFFSET($O$15,0,$DO162,$B$8,1),OFFSET($M$15,0,0,$B$8,1))=DY$14))   /   SUM(OFFSET($BO$15,0,0,$B$14,1)) + $B$18/($B$19*$B$19*($DN162&lt;&gt;$DO162) + $B$19*($DN162=$DO162))</f>
        <v>3.7037037037037035E-4</v>
      </c>
      <c r="DZ162" s="10" cm="1">
        <f t="array" aca="1" ref="DZ162" ca="1">(1-$B$18)*SUMPRODUCT(OFFSET($BO$15,0,0,$B$14,1), 1*(_xlfn._xlws.FILTER(OFFSET($O$15,0,$DN162,$B$8,1),OFFSET($M$15,0,0,$B$8,1))=DZ$13), 1*(_xlfn._xlws.FILTER(OFFSET($O$15,0,$DO162,$B$8,1),OFFSET($M$15,0,0,$B$8,1))=DZ$14))   /   SUM(OFFSET($BO$15,0,0,$B$14,1)) + $B$18/($B$19*$B$19*($DN162&lt;&gt;$DO162) + $B$19*($DN162=$DO162))</f>
        <v>3.7037037037037035E-4</v>
      </c>
      <c r="EA162" s="10" cm="1">
        <f t="array" aca="1" ref="EA162" ca="1">(1-$B$18)*SUMPRODUCT(OFFSET($BO$15,0,0,$B$14,1), 1*(_xlfn._xlws.FILTER(OFFSET($O$15,0,$DN162,$B$8,1),OFFSET($M$15,0,0,$B$8,1))=EA$13), 1*(_xlfn._xlws.FILTER(OFFSET($O$15,0,$DO162,$B$8,1),OFFSET($M$15,0,0,$B$8,1))=EA$14))   /   SUM(OFFSET($BO$15,0,0,$B$14,1)) + $B$18/($B$19*$B$19*($DN162&lt;&gt;$DO162) + $B$19*($DN162=$DO162))</f>
        <v>3.7037037037037035E-4</v>
      </c>
      <c r="EB162" s="10" cm="1">
        <f t="array" aca="1" ref="EB162" ca="1">(1-$B$18)*SUMPRODUCT(OFFSET($BO$15,0,0,$B$14,1), 1*(_xlfn._xlws.FILTER(OFFSET($O$15,0,$DN162,$B$8,1),OFFSET($M$15,0,0,$B$8,1))=EB$13), 1*(_xlfn._xlws.FILTER(OFFSET($O$15,0,$DO162,$B$8,1),OFFSET($M$15,0,0,$B$8,1))=EB$14))   /   SUM(OFFSET($BO$15,0,0,$B$14,1)) + $B$18/($B$19*$B$19*($DN162&lt;&gt;$DO162) + $B$19*($DN162=$DO162))</f>
        <v>3.7037037037037035E-4</v>
      </c>
      <c r="EC162" s="10" cm="1">
        <f t="array" aca="1" ref="EC162" ca="1">(1-$B$18)*SUMPRODUCT(OFFSET($BO$15,0,0,$B$14,1), 1*(_xlfn._xlws.FILTER(OFFSET($O$15,0,$DN162,$B$8,1),OFFSET($M$15,0,0,$B$8,1))=EC$13), 1*(_xlfn._xlws.FILTER(OFFSET($O$15,0,$DO162,$B$8,1),OFFSET($M$15,0,0,$B$8,1))=EC$14))   /   SUM(OFFSET($BO$15,0,0,$B$14,1)) + $B$18/($B$19*$B$19*($DN162&lt;&gt;$DO162) + $B$19*($DN162=$DO162))</f>
        <v>3.7037037037037035E-4</v>
      </c>
      <c r="ED162" s="10" cm="1">
        <f t="array" aca="1" ref="ED162" ca="1">(1-$B$18)*SUMPRODUCT(OFFSET($BO$15,0,0,$B$14,1), 1*(_xlfn._xlws.FILTER(OFFSET($O$15,0,$DN162,$B$8,1),OFFSET($M$15,0,0,$B$8,1))=ED$13), 1*(_xlfn._xlws.FILTER(OFFSET($O$15,0,$DO162,$B$8,1),OFFSET($M$15,0,0,$B$8,1))=ED$14))   /   SUM(OFFSET($BO$15,0,0,$B$14,1)) + $B$18/($B$19*$B$19*($DN162&lt;&gt;$DO162) + $B$19*($DN162=$DO162))</f>
        <v>3.7037037037037035E-4</v>
      </c>
      <c r="EE162" s="10" cm="1">
        <f t="array" aca="1" ref="EE162" ca="1">(1-$B$18)*SUMPRODUCT(OFFSET($BO$15,0,0,$B$14,1), 1*(_xlfn._xlws.FILTER(OFFSET($O$15,0,$DN162,$B$8,1),OFFSET($M$15,0,0,$B$8,1))=EE$13), 1*(_xlfn._xlws.FILTER(OFFSET($O$15,0,$DO162,$B$8,1),OFFSET($M$15,0,0,$B$8,1))=EE$14))   /   SUM(OFFSET($BO$15,0,0,$B$14,1)) + $B$18/($B$19*$B$19*($DN162&lt;&gt;$DO162) + $B$19*($DN162=$DO162))</f>
        <v>3.7037037037037035E-4</v>
      </c>
      <c r="EF162" s="10" cm="1">
        <f t="array" aca="1" ref="EF162" ca="1">(1-$B$18)*SUMPRODUCT(OFFSET($BO$15,0,0,$B$14,1), 1*(_xlfn._xlws.FILTER(OFFSET($O$15,0,$DN162,$B$8,1),OFFSET($M$15,0,0,$B$8,1))=EF$13), 1*(_xlfn._xlws.FILTER(OFFSET($O$15,0,$DO162,$B$8,1),OFFSET($M$15,0,0,$B$8,1))=EF$14))   /   SUM(OFFSET($BO$15,0,0,$B$14,1)) + $B$18/($B$19*$B$19*($DN162&lt;&gt;$DO162) + $B$19*($DN162=$DO162))</f>
        <v>3.7037037037037035E-4</v>
      </c>
      <c r="EG162" s="10" cm="1">
        <f t="array" aca="1" ref="EG162" ca="1">(1-$B$18)*SUMPRODUCT(OFFSET($BO$15,0,0,$B$14,1), 1*(_xlfn._xlws.FILTER(OFFSET($O$15,0,$DN162,$B$8,1),OFFSET($M$15,0,0,$B$8,1))=EG$13), 1*(_xlfn._xlws.FILTER(OFFSET($O$15,0,$DO162,$B$8,1),OFFSET($M$15,0,0,$B$8,1))=EG$14))   /   SUM(OFFSET($BO$15,0,0,$B$14,1)) + $B$18/($B$19*$B$19*($DN162&lt;&gt;$DO162) + $B$19*($DN162=$DO162))</f>
        <v>3.7037037037037035E-4</v>
      </c>
      <c r="EH162" s="10" cm="1">
        <f t="array" aca="1" ref="EH162" ca="1">(1-$B$18)*SUMPRODUCT(OFFSET($BO$15,0,0,$B$14,1), 1*(_xlfn._xlws.FILTER(OFFSET($O$15,0,$DN162,$B$8,1),OFFSET($M$15,0,0,$B$8,1))=EH$13), 1*(_xlfn._xlws.FILTER(OFFSET($O$15,0,$DO162,$B$8,1),OFFSET($M$15,0,0,$B$8,1))=EH$14))   /   SUM(OFFSET($BO$15,0,0,$B$14,1)) + $B$18/($B$19*$B$19*($DN162&lt;&gt;$DO162) + $B$19*($DN162=$DO162))</f>
        <v>3.7037037037037035E-4</v>
      </c>
      <c r="EI162" s="10" cm="1">
        <f t="array" aca="1" ref="EI162" ca="1">(1-$B$18)*SUMPRODUCT(OFFSET($BO$15,0,0,$B$14,1), 1*(_xlfn._xlws.FILTER(OFFSET($O$15,0,$DN162,$B$8,1),OFFSET($M$15,0,0,$B$8,1))=EI$13), 1*(_xlfn._xlws.FILTER(OFFSET($O$15,0,$DO162,$B$8,1),OFFSET($M$15,0,0,$B$8,1))=EI$14))   /   SUM(OFFSET($BO$15,0,0,$B$14,1)) + $B$18/($B$19*$B$19*($DN162&lt;&gt;$DO162) + $B$19*($DN162=$DO162))</f>
        <v>3.7037037037037035E-4</v>
      </c>
      <c r="EJ162" s="10" cm="1">
        <f t="array" aca="1" ref="EJ162" ca="1">(1-$B$18)*SUMPRODUCT(OFFSET($BO$15,0,0,$B$14,1), 1*(_xlfn._xlws.FILTER(OFFSET($O$15,0,$DN162,$B$8,1),OFFSET($M$15,0,0,$B$8,1))=EJ$13), 1*(_xlfn._xlws.FILTER(OFFSET($O$15,0,$DO162,$B$8,1),OFFSET($M$15,0,0,$B$8,1))=EJ$14))   /   SUM(OFFSET($BO$15,0,0,$B$14,1)) + $B$18/($B$19*$B$19*($DN162&lt;&gt;$DO162) + $B$19*($DN162=$DO162))</f>
        <v>3.7037037037037035E-4</v>
      </c>
      <c r="EK162" s="10" cm="1">
        <f t="array" aca="1" ref="EK162" ca="1">(1-$B$18)*SUMPRODUCT(OFFSET($BO$15,0,0,$B$14,1), 1*(_xlfn._xlws.FILTER(OFFSET($O$15,0,$DN162,$B$8,1),OFFSET($M$15,0,0,$B$8,1))=EK$13), 1*(_xlfn._xlws.FILTER(OFFSET($O$15,0,$DO162,$B$8,1),OFFSET($M$15,0,0,$B$8,1))=EK$14))   /   SUM(OFFSET($BO$15,0,0,$B$14,1)) + $B$18/($B$19*$B$19*($DN162&lt;&gt;$DO162) + $B$19*($DN162=$DO162))</f>
        <v>3.7037037037037035E-4</v>
      </c>
      <c r="EL162" s="10" cm="1">
        <f t="array" aca="1" ref="EL162" ca="1">(1-$B$18)*SUMPRODUCT(OFFSET($BO$15,0,0,$B$14,1), 1*(_xlfn._xlws.FILTER(OFFSET($O$15,0,$DN162,$B$8,1),OFFSET($M$15,0,0,$B$8,1))=EL$13), 1*(_xlfn._xlws.FILTER(OFFSET($O$15,0,$DO162,$B$8,1),OFFSET($M$15,0,0,$B$8,1))=EL$14))   /   SUM(OFFSET($BO$15,0,0,$B$14,1)) + $B$18/($B$19*$B$19*($DN162&lt;&gt;$DO162) + $B$19*($DN162=$DO162))</f>
        <v>3.7037037037037035E-4</v>
      </c>
      <c r="EM162" s="10" cm="1">
        <f t="array" aca="1" ref="EM162" ca="1">(1-$B$18)*SUMPRODUCT(OFFSET($BO$15,0,0,$B$14,1), 1*(_xlfn._xlws.FILTER(OFFSET($O$15,0,$DN162,$B$8,1),OFFSET($M$15,0,0,$B$8,1))=EM$13), 1*(_xlfn._xlws.FILTER(OFFSET($O$15,0,$DO162,$B$8,1),OFFSET($M$15,0,0,$B$8,1))=EM$14))   /   SUM(OFFSET($BO$15,0,0,$B$14,1)) + $B$18/($B$19*$B$19*($DN162&lt;&gt;$DO162) + $B$19*($DN162=$DO162))</f>
        <v>3.7037037037037035E-4</v>
      </c>
      <c r="EN162" s="10" cm="1">
        <f t="array" aca="1" ref="EN162" ca="1">(1-$B$18)*SUMPRODUCT(OFFSET($BO$15,0,0,$B$14,1), 1*(_xlfn._xlws.FILTER(OFFSET($O$15,0,$DN162,$B$8,1),OFFSET($M$15,0,0,$B$8,1))=EN$13), 1*(_xlfn._xlws.FILTER(OFFSET($O$15,0,$DO162,$B$8,1),OFFSET($M$15,0,0,$B$8,1))=EN$14))   /   SUM(OFFSET($BO$15,0,0,$B$14,1)) + $B$18/($B$19*$B$19*($DN162&lt;&gt;$DO162) + $B$19*($DN162=$DO162))</f>
        <v>3.7037037037037035E-4</v>
      </c>
      <c r="EO162" s="10" cm="1">
        <f t="array" aca="1" ref="EO162" ca="1">(1-$B$18)*SUMPRODUCT(OFFSET($BO$15,0,0,$B$14,1), 1*(_xlfn._xlws.FILTER(OFFSET($O$15,0,$DN162,$B$8,1),OFFSET($M$15,0,0,$B$8,1))=EO$13), 1*(_xlfn._xlws.FILTER(OFFSET($O$15,0,$DO162,$B$8,1),OFFSET($M$15,0,0,$B$8,1))=EO$14))   /   SUM(OFFSET($BO$15,0,0,$B$14,1)) + $B$18/($B$19*$B$19*($DN162&lt;&gt;$DO162) + $B$19*($DN162=$DO162))</f>
        <v>3.7037037037037035E-4</v>
      </c>
      <c r="EP162" s="10" cm="1">
        <f t="array" aca="1" ref="EP162" ca="1">(1-$B$18)*SUMPRODUCT(OFFSET($BO$15,0,0,$B$14,1), 1*(_xlfn._xlws.FILTER(OFFSET($O$15,0,$DN162,$B$8,1),OFFSET($M$15,0,0,$B$8,1))=EP$13), 1*(_xlfn._xlws.FILTER(OFFSET($O$15,0,$DO162,$B$8,1),OFFSET($M$15,0,0,$B$8,1))=EP$14))   /   SUM(OFFSET($BO$15,0,0,$B$14,1)) + $B$18/($B$19*$B$19*($DN162&lt;&gt;$DO162) + $B$19*($DN162=$DO162))</f>
        <v>3.7037037037037035E-4</v>
      </c>
      <c r="EQ162" s="10" cm="1">
        <f t="array" aca="1" ref="EQ162" ca="1">(1-$B$18)*SUMPRODUCT(OFFSET($BO$15,0,0,$B$14,1), 1*(_xlfn._xlws.FILTER(OFFSET($O$15,0,$DN162,$B$8,1),OFFSET($M$15,0,0,$B$8,1))=EQ$13), 1*(_xlfn._xlws.FILTER(OFFSET($O$15,0,$DO162,$B$8,1),OFFSET($M$15,0,0,$B$8,1))=EQ$14))   /   SUM(OFFSET($BO$15,0,0,$B$14,1)) + $B$18/($B$19*$B$19*($DN162&lt;&gt;$DO162) + $B$19*($DN162=$DO162))</f>
        <v>3.7037037037037035E-4</v>
      </c>
      <c r="ER162" s="10" cm="1">
        <f t="array" aca="1" ref="ER162" ca="1">(1-$B$18)*SUMPRODUCT(OFFSET($BO$15,0,0,$B$14,1), 1*(_xlfn._xlws.FILTER(OFFSET($O$15,0,$DN162,$B$8,1),OFFSET($M$15,0,0,$B$8,1))=ER$13), 1*(_xlfn._xlws.FILTER(OFFSET($O$15,0,$DO162,$B$8,1),OFFSET($M$15,0,0,$B$8,1))=ER$14))   /   SUM(OFFSET($BO$15,0,0,$B$14,1)) + $B$18/($B$19*$B$19*($DN162&lt;&gt;$DO162) + $B$19*($DN162=$DO162))</f>
        <v>3.7037037037037035E-4</v>
      </c>
      <c r="ES162" s="10" cm="1">
        <f t="array" aca="1" ref="ES162" ca="1">(1-$B$18)*SUMPRODUCT(OFFSET($BO$15,0,0,$B$14,1), 1*(_xlfn._xlws.FILTER(OFFSET($O$15,0,$DN162,$B$8,1),OFFSET($M$15,0,0,$B$8,1))=ES$13), 1*(_xlfn._xlws.FILTER(OFFSET($O$15,0,$DO162,$B$8,1),OFFSET($M$15,0,0,$B$8,1))=ES$14))   /   SUM(OFFSET($BO$15,0,0,$B$14,1)) + $B$18/($B$19*$B$19*($DN162&lt;&gt;$DO162) + $B$19*($DN162=$DO162))</f>
        <v>3.7037037037037035E-4</v>
      </c>
      <c r="ET162" s="10" cm="1">
        <f t="array" aca="1" ref="ET162" ca="1">(1-$B$18)*SUMPRODUCT(OFFSET($BO$15,0,0,$B$14,1), 1*(_xlfn._xlws.FILTER(OFFSET($O$15,0,$DN162,$B$8,1),OFFSET($M$15,0,0,$B$8,1))=ET$13), 1*(_xlfn._xlws.FILTER(OFFSET($O$15,0,$DO162,$B$8,1),OFFSET($M$15,0,0,$B$8,1))=ET$14))   /   SUM(OFFSET($BO$15,0,0,$B$14,1)) + $B$18/($B$19*$B$19*($DN162&lt;&gt;$DO162) + $B$19*($DN162=$DO162))</f>
        <v>3.7037037037037035E-4</v>
      </c>
      <c r="EU162" s="10" cm="1">
        <f t="array" aca="1" ref="EU162" ca="1">(1-$B$18)*SUMPRODUCT(OFFSET($BO$15,0,0,$B$14,1), 1*(_xlfn._xlws.FILTER(OFFSET($O$15,0,$DN162,$B$8,1),OFFSET($M$15,0,0,$B$8,1))=EU$13), 1*(_xlfn._xlws.FILTER(OFFSET($O$15,0,$DO162,$B$8,1),OFFSET($M$15,0,0,$B$8,1))=EU$14))   /   SUM(OFFSET($BO$15,0,0,$B$14,1)) + $B$18/($B$19*$B$19*($DN162&lt;&gt;$DO162) + $B$19*($DN162=$DO162))</f>
        <v>3.7037037037037035E-4</v>
      </c>
      <c r="EV162" s="10" cm="1">
        <f t="array" aca="1" ref="EV162" ca="1">(1-$B$18)*SUMPRODUCT(OFFSET($BO$15,0,0,$B$14,1), 1*(_xlfn._xlws.FILTER(OFFSET($O$15,0,$DN162,$B$8,1),OFFSET($M$15,0,0,$B$8,1))=EV$13), 1*(_xlfn._xlws.FILTER(OFFSET($O$15,0,$DO162,$B$8,1),OFFSET($M$15,0,0,$B$8,1))=EV$14))   /   SUM(OFFSET($BO$15,0,0,$B$14,1)) + $B$18/($B$19*$B$19*($DN162&lt;&gt;$DO162) + $B$19*($DN162=$DO162))</f>
        <v>3.7037037037037035E-4</v>
      </c>
      <c r="EW162" s="10" cm="1">
        <f t="array" aca="1" ref="EW162" ca="1">(1-$B$18)*SUMPRODUCT(OFFSET($BO$15,0,0,$B$14,1), 1*(_xlfn._xlws.FILTER(OFFSET($O$15,0,$DN162,$B$8,1),OFFSET($M$15,0,0,$B$8,1))=EW$13), 1*(_xlfn._xlws.FILTER(OFFSET($O$15,0,$DO162,$B$8,1),OFFSET($M$15,0,0,$B$8,1))=EW$14))   /   SUM(OFFSET($BO$15,0,0,$B$14,1)) + $B$18/($B$19*$B$19*($DN162&lt;&gt;$DO162) + $B$19*($DN162=$DO162))</f>
        <v>3.7037037037037035E-4</v>
      </c>
      <c r="EX162" s="10" cm="1">
        <f t="array" aca="1" ref="EX162" ca="1">(1-$B$18)*SUMPRODUCT(OFFSET($BO$15,0,0,$B$14,1), 1*(_xlfn._xlws.FILTER(OFFSET($O$15,0,$DN162,$B$8,1),OFFSET($M$15,0,0,$B$8,1))=EX$13), 1*(_xlfn._xlws.FILTER(OFFSET($O$15,0,$DO162,$B$8,1),OFFSET($M$15,0,0,$B$8,1))=EX$14))   /   SUM(OFFSET($BO$15,0,0,$B$14,1)) + $B$18/($B$19*$B$19*($DN162&lt;&gt;$DO162) + $B$19*($DN162=$DO162))</f>
        <v>3.7037037037037035E-4</v>
      </c>
      <c r="EY162" s="10" cm="1">
        <f t="array" aca="1" ref="EY162" ca="1">(1-$B$18)*SUMPRODUCT(OFFSET($BO$15,0,0,$B$14,1), 1*(_xlfn._xlws.FILTER(OFFSET($O$15,0,$DN162,$B$8,1),OFFSET($M$15,0,0,$B$8,1))=EY$13), 1*(_xlfn._xlws.FILTER(OFFSET($O$15,0,$DO162,$B$8,1),OFFSET($M$15,0,0,$B$8,1))=EY$14))   /   SUM(OFFSET($BO$15,0,0,$B$14,1)) + $B$18/($B$19*$B$19*($DN162&lt;&gt;$DO162) + $B$19*($DN162=$DO162))</f>
        <v>3.7037037037037035E-4</v>
      </c>
      <c r="EZ162" s="10" cm="1">
        <f t="array" aca="1" ref="EZ162" ca="1">(1-$B$18)*SUMPRODUCT(OFFSET($BO$15,0,0,$B$14,1), 1*(_xlfn._xlws.FILTER(OFFSET($O$15,0,$DN162,$B$8,1),OFFSET($M$15,0,0,$B$8,1))=EZ$13), 1*(_xlfn._xlws.FILTER(OFFSET($O$15,0,$DO162,$B$8,1),OFFSET($M$15,0,0,$B$8,1))=EZ$14))   /   SUM(OFFSET($BO$15,0,0,$B$14,1)) + $B$18/($B$19*$B$19*($DN162&lt;&gt;$DO162) + $B$19*($DN162=$DO162))</f>
        <v>3.7037037037037035E-4</v>
      </c>
      <c r="FA162" s="10" cm="1">
        <f t="array" aca="1" ref="FA162" ca="1">(1-$B$18)*SUMPRODUCT(OFFSET($BO$15,0,0,$B$14,1), 1*(_xlfn._xlws.FILTER(OFFSET($O$15,0,$DN162,$B$8,1),OFFSET($M$15,0,0,$B$8,1))=FA$13), 1*(_xlfn._xlws.FILTER(OFFSET($O$15,0,$DO162,$B$8,1),OFFSET($M$15,0,0,$B$8,1))=FA$14))   /   SUM(OFFSET($BO$15,0,0,$B$14,1)) + $B$18/($B$19*$B$19*($DN162&lt;&gt;$DO162) + $B$19*($DN162=$DO162))</f>
        <v>3.7037037037037035E-4</v>
      </c>
      <c r="FB162" s="10" cm="1">
        <f t="array" aca="1" ref="FB162" ca="1">(1-$B$18)*SUMPRODUCT(OFFSET($BO$15,0,0,$B$14,1), 1*(_xlfn._xlws.FILTER(OFFSET($O$15,0,$DN162,$B$8,1),OFFSET($M$15,0,0,$B$8,1))=FB$13), 1*(_xlfn._xlws.FILTER(OFFSET($O$15,0,$DO162,$B$8,1),OFFSET($M$15,0,0,$B$8,1))=FB$14))   /   SUM(OFFSET($BO$15,0,0,$B$14,1)) + $B$18/($B$19*$B$19*($DN162&lt;&gt;$DO162) + $B$19*($DN162=$DO162))</f>
        <v>3.7037037037037035E-4</v>
      </c>
      <c r="FC162" s="10" cm="1">
        <f t="array" aca="1" ref="FC162" ca="1">(1-$B$18)*SUMPRODUCT(OFFSET($BO$15,0,0,$B$14,1), 1*(_xlfn._xlws.FILTER(OFFSET($O$15,0,$DN162,$B$8,1),OFFSET($M$15,0,0,$B$8,1))=FC$13), 1*(_xlfn._xlws.FILTER(OFFSET($O$15,0,$DO162,$B$8,1),OFFSET($M$15,0,0,$B$8,1))=FC$14))   /   SUM(OFFSET($BO$15,0,0,$B$14,1)) + $B$18/($B$19*$B$19*($DN162&lt;&gt;$DO162) + $B$19*($DN162=$DO162))</f>
        <v>3.7037037037037035E-4</v>
      </c>
      <c r="FD162" s="10" cm="1">
        <f t="array" aca="1" ref="FD162" ca="1">(1-$B$18)*SUMPRODUCT(OFFSET($BO$15,0,0,$B$14,1), 1*(_xlfn._xlws.FILTER(OFFSET($O$15,0,$DN162,$B$8,1),OFFSET($M$15,0,0,$B$8,1))=FD$13), 1*(_xlfn._xlws.FILTER(OFFSET($O$15,0,$DO162,$B$8,1),OFFSET($M$15,0,0,$B$8,1))=FD$14))   /   SUM(OFFSET($BO$15,0,0,$B$14,1)) + $B$18/($B$19*$B$19*($DN162&lt;&gt;$DO162) + $B$19*($DN162=$DO162))</f>
        <v>3.7037037037037035E-4</v>
      </c>
      <c r="FE162" s="10" cm="1">
        <f t="array" aca="1" ref="FE162" ca="1">(1-$B$18)*SUMPRODUCT(OFFSET($BO$15,0,0,$B$14,1), 1*(_xlfn._xlws.FILTER(OFFSET($O$15,0,$DN162,$B$8,1),OFFSET($M$15,0,0,$B$8,1))=FE$13), 1*(_xlfn._xlws.FILTER(OFFSET($O$15,0,$DO162,$B$8,1),OFFSET($M$15,0,0,$B$8,1))=FE$14))   /   SUM(OFFSET($BO$15,0,0,$B$14,1)) + $B$18/($B$19*$B$19*($DN162&lt;&gt;$DO162) + $B$19*($DN162=$DO162))</f>
        <v>3.7037037037037035E-4</v>
      </c>
      <c r="FF162" s="10" cm="1">
        <f t="array" aca="1" ref="FF162" ca="1">(1-$B$18)*SUMPRODUCT(OFFSET($BO$15,0,0,$B$14,1), 1*(_xlfn._xlws.FILTER(OFFSET($O$15,0,$DN162,$B$8,1),OFFSET($M$15,0,0,$B$8,1))=FF$13), 1*(_xlfn._xlws.FILTER(OFFSET($O$15,0,$DO162,$B$8,1),OFFSET($M$15,0,0,$B$8,1))=FF$14))   /   SUM(OFFSET($BO$15,0,0,$B$14,1)) + $B$18/($B$19*$B$19*($DN162&lt;&gt;$DO162) + $B$19*($DN162=$DO162))</f>
        <v>3.7037037037037035E-4</v>
      </c>
      <c r="FG162" s="10" cm="1">
        <f t="array" aca="1" ref="FG162" ca="1">(1-$B$18)*SUMPRODUCT(OFFSET($BO$15,0,0,$B$14,1), 1*(_xlfn._xlws.FILTER(OFFSET($O$15,0,$DN162,$B$8,1),OFFSET($M$15,0,0,$B$8,1))=FG$13), 1*(_xlfn._xlws.FILTER(OFFSET($O$15,0,$DO162,$B$8,1),OFFSET($M$15,0,0,$B$8,1))=FG$14))   /   SUM(OFFSET($BO$15,0,0,$B$14,1)) + $B$18/($B$19*$B$19*($DN162&lt;&gt;$DO162) + $B$19*($DN162=$DO162))</f>
        <v>3.7037037037037035E-4</v>
      </c>
      <c r="FH162" s="10" cm="1">
        <f t="array" aca="1" ref="FH162" ca="1">(1-$B$18)*SUMPRODUCT(OFFSET($BO$15,0,0,$B$14,1), 1*(_xlfn._xlws.FILTER(OFFSET($O$15,0,$DN162,$B$8,1),OFFSET($M$15,0,0,$B$8,1))=FH$13), 1*(_xlfn._xlws.FILTER(OFFSET($O$15,0,$DO162,$B$8,1),OFFSET($M$15,0,0,$B$8,1))=FH$14))   /   SUM(OFFSET($BO$15,0,0,$B$14,1)) + $B$18/($B$19*$B$19*($DN162&lt;&gt;$DO162) + $B$19*($DN162=$DO162))</f>
        <v>3.7037037037037035E-4</v>
      </c>
      <c r="FI162" s="10" cm="1">
        <f t="array" aca="1" ref="FI162" ca="1">(1-$B$18)*SUMPRODUCT(OFFSET($BO$15,0,0,$B$14,1), 1*(_xlfn._xlws.FILTER(OFFSET($O$15,0,$DN162,$B$8,1),OFFSET($M$15,0,0,$B$8,1))=FI$13), 1*(_xlfn._xlws.FILTER(OFFSET($O$15,0,$DO162,$B$8,1),OFFSET($M$15,0,0,$B$8,1))=FI$14))   /   SUM(OFFSET($BO$15,0,0,$B$14,1)) + $B$18/($B$19*$B$19*($DN162&lt;&gt;$DO162) + $B$19*($DN162=$DO162))</f>
        <v>3.7037037037037035E-4</v>
      </c>
      <c r="FJ162" s="10" cm="1">
        <f t="array" aca="1" ref="FJ162" ca="1">(1-$B$18)*SUMPRODUCT(OFFSET($BO$15,0,0,$B$14,1), 1*(_xlfn._xlws.FILTER(OFFSET($O$15,0,$DN162,$B$8,1),OFFSET($M$15,0,0,$B$8,1))=FJ$13), 1*(_xlfn._xlws.FILTER(OFFSET($O$15,0,$DO162,$B$8,1),OFFSET($M$15,0,0,$B$8,1))=FJ$14))   /   SUM(OFFSET($BO$15,0,0,$B$14,1)) + $B$18/($B$19*$B$19*($DN162&lt;&gt;$DO162) + $B$19*($DN162=$DO162))</f>
        <v>3.7037037037037035E-4</v>
      </c>
      <c r="FK162" s="10" cm="1">
        <f t="array" aca="1" ref="FK162" ca="1">(1-$B$18)*SUMPRODUCT(OFFSET($BO$15,0,0,$B$14,1), 1*(_xlfn._xlws.FILTER(OFFSET($O$15,0,$DN162,$B$8,1),OFFSET($M$15,0,0,$B$8,1))=FK$13), 1*(_xlfn._xlws.FILTER(OFFSET($O$15,0,$DO162,$B$8,1),OFFSET($M$15,0,0,$B$8,1))=FK$14))   /   SUM(OFFSET($BO$15,0,0,$B$14,1)) + $B$18/($B$19*$B$19*($DN162&lt;&gt;$DO162) + $B$19*($DN162=$DO162))</f>
        <v>3.7037037037037035E-4</v>
      </c>
      <c r="FL162" s="10" cm="1">
        <f t="array" aca="1" ref="FL162" ca="1">(1-$B$18)*SUMPRODUCT(OFFSET($BO$15,0,0,$B$14,1), 1*(_xlfn._xlws.FILTER(OFFSET($O$15,0,$DN162,$B$8,1),OFFSET($M$15,0,0,$B$8,1))=FL$13), 1*(_xlfn._xlws.FILTER(OFFSET($O$15,0,$DO162,$B$8,1),OFFSET($M$15,0,0,$B$8,1))=FL$14))   /   SUM(OFFSET($BO$15,0,0,$B$14,1)) + $B$18/($B$19*$B$19*($DN162&lt;&gt;$DO162) + $B$19*($DN162=$DO162))</f>
        <v>3.7037037037037035E-4</v>
      </c>
      <c r="FM162" s="10" cm="1">
        <f t="array" aca="1" ref="FM162" ca="1">(1-$B$18)*SUMPRODUCT(OFFSET($BO$15,0,0,$B$14,1), 1*(_xlfn._xlws.FILTER(OFFSET($O$15,0,$DN162,$B$8,1),OFFSET($M$15,0,0,$B$8,1))=FM$13), 1*(_xlfn._xlws.FILTER(OFFSET($O$15,0,$DO162,$B$8,1),OFFSET($M$15,0,0,$B$8,1))=FM$14))   /   SUM(OFFSET($BO$15,0,0,$B$14,1)) + $B$18/($B$19*$B$19*($DN162&lt;&gt;$DO162) + $B$19*($DN162=$DO162))</f>
        <v>3.7037037037037035E-4</v>
      </c>
      <c r="FN162" s="10" cm="1">
        <f t="array" aca="1" ref="FN162" ca="1">(1-$B$18)*SUMPRODUCT(OFFSET($BO$15,0,0,$B$14,1), 1*(_xlfn._xlws.FILTER(OFFSET($O$15,0,$DN162,$B$8,1),OFFSET($M$15,0,0,$B$8,1))=FN$13), 1*(_xlfn._xlws.FILTER(OFFSET($O$15,0,$DO162,$B$8,1),OFFSET($M$15,0,0,$B$8,1))=FN$14))   /   SUM(OFFSET($BO$15,0,0,$B$14,1)) + $B$18/($B$19*$B$19*($DN162&lt;&gt;$DO162) + $B$19*($DN162=$DO162))</f>
        <v>0.97037037037037033</v>
      </c>
      <c r="FO162" s="10" cm="1">
        <f t="array" aca="1" ref="FO162" ca="1">(1-$B$18)*SUMPRODUCT(OFFSET($BO$15,0,0,$B$14,1), 1*(_xlfn._xlws.FILTER(OFFSET($O$15,0,$DN162,$B$8,1),OFFSET($M$15,0,0,$B$8,1))=FO$13), 1*(_xlfn._xlws.FILTER(OFFSET($O$15,0,$DO162,$B$8,1),OFFSET($M$15,0,0,$B$8,1))=FO$14))   /   SUM(OFFSET($BO$15,0,0,$B$14,1)) + $B$18/($B$19*$B$19*($DN162&lt;&gt;$DO162) + $B$19*($DN162=$DO162))</f>
        <v>3.7037037037037035E-4</v>
      </c>
      <c r="FP162" s="10" cm="1">
        <f t="array" aca="1" ref="FP162" ca="1">(1-$B$18)*SUMPRODUCT(OFFSET($BO$15,0,0,$B$14,1), 1*(_xlfn._xlws.FILTER(OFFSET($O$15,0,$DN162,$B$8,1),OFFSET($M$15,0,0,$B$8,1))=FP$13), 1*(_xlfn._xlws.FILTER(OFFSET($O$15,0,$DO162,$B$8,1),OFFSET($M$15,0,0,$B$8,1))=FP$14))   /   SUM(OFFSET($BO$15,0,0,$B$14,1)) + $B$18/($B$19*$B$19*($DN162&lt;&gt;$DO162) + $B$19*($DN162=$DO162))</f>
        <v>3.7037037037037035E-4</v>
      </c>
      <c r="FQ162" s="10" cm="1">
        <f t="array" aca="1" ref="FQ162" ca="1">(1-$B$18)*SUMPRODUCT(OFFSET($BO$15,0,0,$B$14,1), 1*(_xlfn._xlws.FILTER(OFFSET($O$15,0,$DN162,$B$8,1),OFFSET($M$15,0,0,$B$8,1))=FQ$13), 1*(_xlfn._xlws.FILTER(OFFSET($O$15,0,$DO162,$B$8,1),OFFSET($M$15,0,0,$B$8,1))=FQ$14))   /   SUM(OFFSET($BO$15,0,0,$B$14,1)) + $B$18/($B$19*$B$19*($DN162&lt;&gt;$DO162) + $B$19*($DN162=$DO162))</f>
        <v>3.7037037037037035E-4</v>
      </c>
      <c r="FR162" s="10" cm="1">
        <f t="array" aca="1" ref="FR162" ca="1">(1-$B$18)*SUMPRODUCT(OFFSET($BO$15,0,0,$B$14,1), 1*(_xlfn._xlws.FILTER(OFFSET($O$15,0,$DN162,$B$8,1),OFFSET($M$15,0,0,$B$8,1))=FR$13), 1*(_xlfn._xlws.FILTER(OFFSET($O$15,0,$DO162,$B$8,1),OFFSET($M$15,0,0,$B$8,1))=FR$14))   /   SUM(OFFSET($BO$15,0,0,$B$14,1)) + $B$18/($B$19*$B$19*($DN162&lt;&gt;$DO162) + $B$19*($DN162=$DO162))</f>
        <v>3.7037037037037035E-4</v>
      </c>
      <c r="FS162" s="10" cm="1">
        <f t="array" aca="1" ref="FS162" ca="1">(1-$B$18)*SUMPRODUCT(OFFSET($BO$15,0,0,$B$14,1), 1*(_xlfn._xlws.FILTER(OFFSET($O$15,0,$DN162,$B$8,1),OFFSET($M$15,0,0,$B$8,1))=FS$13), 1*(_xlfn._xlws.FILTER(OFFSET($O$15,0,$DO162,$B$8,1),OFFSET($M$15,0,0,$B$8,1))=FS$14))   /   SUM(OFFSET($BO$15,0,0,$B$14,1)) + $B$18/($B$19*$B$19*($DN162&lt;&gt;$DO162) + $B$19*($DN162=$DO162))</f>
        <v>3.7037037037037035E-4</v>
      </c>
      <c r="FT162" s="10" cm="1">
        <f t="array" aca="1" ref="FT162" ca="1">(1-$B$18)*SUMPRODUCT(OFFSET($BO$15,0,0,$B$14,1), 1*(_xlfn._xlws.FILTER(OFFSET($O$15,0,$DN162,$B$8,1),OFFSET($M$15,0,0,$B$8,1))=FT$13), 1*(_xlfn._xlws.FILTER(OFFSET($O$15,0,$DO162,$B$8,1),OFFSET($M$15,0,0,$B$8,1))=FT$14))   /   SUM(OFFSET($BO$15,0,0,$B$14,1)) + $B$18/($B$19*$B$19*($DN162&lt;&gt;$DO162) + $B$19*($DN162=$DO162))</f>
        <v>3.7037037037037035E-4</v>
      </c>
      <c r="FU162" s="10" cm="1">
        <f t="array" aca="1" ref="FU162" ca="1">(1-$B$18)*SUMPRODUCT(OFFSET($BO$15,0,0,$B$14,1), 1*(_xlfn._xlws.FILTER(OFFSET($O$15,0,$DN162,$B$8,1),OFFSET($M$15,0,0,$B$8,1))=FU$13), 1*(_xlfn._xlws.FILTER(OFFSET($O$15,0,$DO162,$B$8,1),OFFSET($M$15,0,0,$B$8,1))=FU$14))   /   SUM(OFFSET($BO$15,0,0,$B$14,1)) + $B$18/($B$19*$B$19*($DN162&lt;&gt;$DO162) + $B$19*($DN162=$DO162))</f>
        <v>3.7037037037037035E-4</v>
      </c>
      <c r="FV162" s="10" cm="1">
        <f t="array" aca="1" ref="FV162" ca="1">(1-$B$18)*SUMPRODUCT(OFFSET($BO$15,0,0,$B$14,1), 1*(_xlfn._xlws.FILTER(OFFSET($O$15,0,$DN162,$B$8,1),OFFSET($M$15,0,0,$B$8,1))=FV$13), 1*(_xlfn._xlws.FILTER(OFFSET($O$15,0,$DO162,$B$8,1),OFFSET($M$15,0,0,$B$8,1))=FV$14))   /   SUM(OFFSET($BO$15,0,0,$B$14,1)) + $B$18/($B$19*$B$19*($DN162&lt;&gt;$DO162) + $B$19*($DN162=$DO162))</f>
        <v>3.7037037037037035E-4</v>
      </c>
      <c r="FW162" s="10" cm="1">
        <f t="array" aca="1" ref="FW162" ca="1">(1-$B$18)*SUMPRODUCT(OFFSET($BO$15,0,0,$B$14,1), 1*(_xlfn._xlws.FILTER(OFFSET($O$15,0,$DN162,$B$8,1),OFFSET($M$15,0,0,$B$8,1))=FW$13), 1*(_xlfn._xlws.FILTER(OFFSET($O$15,0,$DO162,$B$8,1),OFFSET($M$15,0,0,$B$8,1))=FW$14))   /   SUM(OFFSET($BO$15,0,0,$B$14,1)) + $B$18/($B$19*$B$19*($DN162&lt;&gt;$DO162) + $B$19*($DN162=$DO162))</f>
        <v>3.7037037037037035E-4</v>
      </c>
      <c r="FX162" s="10" cm="1">
        <f t="array" aca="1" ref="FX162" ca="1">(1-$B$18)*SUMPRODUCT(OFFSET($BO$15,0,0,$B$14,1), 1*(_xlfn._xlws.FILTER(OFFSET($O$15,0,$DN162,$B$8,1),OFFSET($M$15,0,0,$B$8,1))=FX$13), 1*(_xlfn._xlws.FILTER(OFFSET($O$15,0,$DO162,$B$8,1),OFFSET($M$15,0,0,$B$8,1))=FX$14))   /   SUM(OFFSET($BO$15,0,0,$B$14,1)) + $B$18/($B$19*$B$19*($DN162&lt;&gt;$DO162) + $B$19*($DN162=$DO162))</f>
        <v>3.7037037037037035E-4</v>
      </c>
      <c r="FY162" s="10" cm="1">
        <f t="array" aca="1" ref="FY162" ca="1">(1-$B$18)*SUMPRODUCT(OFFSET($BO$15,0,0,$B$14,1), 1*(_xlfn._xlws.FILTER(OFFSET($O$15,0,$DN162,$B$8,1),OFFSET($M$15,0,0,$B$8,1))=FY$13), 1*(_xlfn._xlws.FILTER(OFFSET($O$15,0,$DO162,$B$8,1),OFFSET($M$15,0,0,$B$8,1))=FY$14))   /   SUM(OFFSET($BO$15,0,0,$B$14,1)) + $B$18/($B$19*$B$19*($DN162&lt;&gt;$DO162) + $B$19*($DN162=$DO162))</f>
        <v>3.7037037037037035E-4</v>
      </c>
      <c r="FZ162" s="10" cm="1">
        <f t="array" aca="1" ref="FZ162" ca="1">(1-$B$18)*SUMPRODUCT(OFFSET($BO$15,0,0,$B$14,1), 1*(_xlfn._xlws.FILTER(OFFSET($O$15,0,$DN162,$B$8,1),OFFSET($M$15,0,0,$B$8,1))=FZ$13), 1*(_xlfn._xlws.FILTER(OFFSET($O$15,0,$DO162,$B$8,1),OFFSET($M$15,0,0,$B$8,1))=FZ$14))   /   SUM(OFFSET($BO$15,0,0,$B$14,1)) + $B$18/($B$19*$B$19*($DN162&lt;&gt;$DO162) + $B$19*($DN162=$DO162))</f>
        <v>3.7037037037037035E-4</v>
      </c>
      <c r="GA162" s="10" cm="1">
        <f t="array" aca="1" ref="GA162" ca="1">(1-$B$18)*SUMPRODUCT(OFFSET($BO$15,0,0,$B$14,1), 1*(_xlfn._xlws.FILTER(OFFSET($O$15,0,$DN162,$B$8,1),OFFSET($M$15,0,0,$B$8,1))=GA$13), 1*(_xlfn._xlws.FILTER(OFFSET($O$15,0,$DO162,$B$8,1),OFFSET($M$15,0,0,$B$8,1))=GA$14))   /   SUM(OFFSET($BO$15,0,0,$B$14,1)) + $B$18/($B$19*$B$19*($DN162&lt;&gt;$DO162) + $B$19*($DN162=$DO162))</f>
        <v>3.7037037037037035E-4</v>
      </c>
    </row>
    <row r="163" spans="118:183" x14ac:dyDescent="0.2">
      <c r="DN163" cm="1">
        <f t="array" aca="1" ref="DN163" ca="1">INDEX(_xlfn.ANCHORARRAY($CP$15), 1 + INT((ROWS($DO$15:$DO163) - 1) / ROWS(_xlfn.ANCHORARRAY($CP$15))))</f>
        <v>7</v>
      </c>
      <c r="DO163" cm="1">
        <f t="array" aca="1" ref="DO163" ca="1">INDEX(_xlfn.ANCHORARRAY($CP$15),1+MOD(ROWS($DO$15:$DO163)-1,ROWS(_xlfn.ANCHORARRAY($CP$15))))</f>
        <v>18</v>
      </c>
      <c r="DP163" s="10" cm="1">
        <f t="array" aca="1" ref="DP163" ca="1">(1-$B$18)*SUMPRODUCT(OFFSET($BO$15,0,0,$B$14,1), 1*(_xlfn._xlws.FILTER(OFFSET($O$15,0,$DN163,$B$8,1),OFFSET($M$15,0,0,$B$8,1))=DP$13), 1*(_xlfn._xlws.FILTER(OFFSET($O$15,0,$DO163,$B$8,1),OFFSET($M$15,0,0,$B$8,1))=DP$14))   /   SUM(OFFSET($BO$15,0,0,$B$14,1)) + $B$18/($B$19*$B$19*($DN163&lt;&gt;$DO163) + $B$19*($DN163=$DO163))</f>
        <v>3.7037037037037035E-4</v>
      </c>
      <c r="DQ163" s="10" cm="1">
        <f t="array" aca="1" ref="DQ163" ca="1">(1-$B$18)*SUMPRODUCT(OFFSET($BO$15,0,0,$B$14,1), 1*(_xlfn._xlws.FILTER(OFFSET($O$15,0,$DN163,$B$8,1),OFFSET($M$15,0,0,$B$8,1))=DQ$13), 1*(_xlfn._xlws.FILTER(OFFSET($O$15,0,$DO163,$B$8,1),OFFSET($M$15,0,0,$B$8,1))=DQ$14))   /   SUM(OFFSET($BO$15,0,0,$B$14,1)) + $B$18/($B$19*$B$19*($DN163&lt;&gt;$DO163) + $B$19*($DN163=$DO163))</f>
        <v>3.7037037037037035E-4</v>
      </c>
      <c r="DR163" s="10" cm="1">
        <f t="array" aca="1" ref="DR163" ca="1">(1-$B$18)*SUMPRODUCT(OFFSET($BO$15,0,0,$B$14,1), 1*(_xlfn._xlws.FILTER(OFFSET($O$15,0,$DN163,$B$8,1),OFFSET($M$15,0,0,$B$8,1))=DR$13), 1*(_xlfn._xlws.FILTER(OFFSET($O$15,0,$DO163,$B$8,1),OFFSET($M$15,0,0,$B$8,1))=DR$14))   /   SUM(OFFSET($BO$15,0,0,$B$14,1)) + $B$18/($B$19*$B$19*($DN163&lt;&gt;$DO163) + $B$19*($DN163=$DO163))</f>
        <v>3.7037037037037035E-4</v>
      </c>
      <c r="DS163" s="10" cm="1">
        <f t="array" aca="1" ref="DS163" ca="1">(1-$B$18)*SUMPRODUCT(OFFSET($BO$15,0,0,$B$14,1), 1*(_xlfn._xlws.FILTER(OFFSET($O$15,0,$DN163,$B$8,1),OFFSET($M$15,0,0,$B$8,1))=DS$13), 1*(_xlfn._xlws.FILTER(OFFSET($O$15,0,$DO163,$B$8,1),OFFSET($M$15,0,0,$B$8,1))=DS$14))   /   SUM(OFFSET($BO$15,0,0,$B$14,1)) + $B$18/($B$19*$B$19*($DN163&lt;&gt;$DO163) + $B$19*($DN163=$DO163))</f>
        <v>3.7037037037037035E-4</v>
      </c>
      <c r="DT163" s="10" cm="1">
        <f t="array" aca="1" ref="DT163" ca="1">(1-$B$18)*SUMPRODUCT(OFFSET($BO$15,0,0,$B$14,1), 1*(_xlfn._xlws.FILTER(OFFSET($O$15,0,$DN163,$B$8,1),OFFSET($M$15,0,0,$B$8,1))=DT$13), 1*(_xlfn._xlws.FILTER(OFFSET($O$15,0,$DO163,$B$8,1),OFFSET($M$15,0,0,$B$8,1))=DT$14))   /   SUM(OFFSET($BO$15,0,0,$B$14,1)) + $B$18/($B$19*$B$19*($DN163&lt;&gt;$DO163) + $B$19*($DN163=$DO163))</f>
        <v>3.7037037037037035E-4</v>
      </c>
      <c r="DU163" s="10" cm="1">
        <f t="array" aca="1" ref="DU163" ca="1">(1-$B$18)*SUMPRODUCT(OFFSET($BO$15,0,0,$B$14,1), 1*(_xlfn._xlws.FILTER(OFFSET($O$15,0,$DN163,$B$8,1),OFFSET($M$15,0,0,$B$8,1))=DU$13), 1*(_xlfn._xlws.FILTER(OFFSET($O$15,0,$DO163,$B$8,1),OFFSET($M$15,0,0,$B$8,1))=DU$14))   /   SUM(OFFSET($BO$15,0,0,$B$14,1)) + $B$18/($B$19*$B$19*($DN163&lt;&gt;$DO163) + $B$19*($DN163=$DO163))</f>
        <v>3.7037037037037035E-4</v>
      </c>
      <c r="DV163" s="10" cm="1">
        <f t="array" aca="1" ref="DV163" ca="1">(1-$B$18)*SUMPRODUCT(OFFSET($BO$15,0,0,$B$14,1), 1*(_xlfn._xlws.FILTER(OFFSET($O$15,0,$DN163,$B$8,1),OFFSET($M$15,0,0,$B$8,1))=DV$13), 1*(_xlfn._xlws.FILTER(OFFSET($O$15,0,$DO163,$B$8,1),OFFSET($M$15,0,0,$B$8,1))=DV$14))   /   SUM(OFFSET($BO$15,0,0,$B$14,1)) + $B$18/($B$19*$B$19*($DN163&lt;&gt;$DO163) + $B$19*($DN163=$DO163))</f>
        <v>3.7037037037037035E-4</v>
      </c>
      <c r="DW163" s="10" cm="1">
        <f t="array" aca="1" ref="DW163" ca="1">(1-$B$18)*SUMPRODUCT(OFFSET($BO$15,0,0,$B$14,1), 1*(_xlfn._xlws.FILTER(OFFSET($O$15,0,$DN163,$B$8,1),OFFSET($M$15,0,0,$B$8,1))=DW$13), 1*(_xlfn._xlws.FILTER(OFFSET($O$15,0,$DO163,$B$8,1),OFFSET($M$15,0,0,$B$8,1))=DW$14))   /   SUM(OFFSET($BO$15,0,0,$B$14,1)) + $B$18/($B$19*$B$19*($DN163&lt;&gt;$DO163) + $B$19*($DN163=$DO163))</f>
        <v>3.7037037037037035E-4</v>
      </c>
      <c r="DX163" s="10" cm="1">
        <f t="array" aca="1" ref="DX163" ca="1">(1-$B$18)*SUMPRODUCT(OFFSET($BO$15,0,0,$B$14,1), 1*(_xlfn._xlws.FILTER(OFFSET($O$15,0,$DN163,$B$8,1),OFFSET($M$15,0,0,$B$8,1))=DX$13), 1*(_xlfn._xlws.FILTER(OFFSET($O$15,0,$DO163,$B$8,1),OFFSET($M$15,0,0,$B$8,1))=DX$14))   /   SUM(OFFSET($BO$15,0,0,$B$14,1)) + $B$18/($B$19*$B$19*($DN163&lt;&gt;$DO163) + $B$19*($DN163=$DO163))</f>
        <v>3.7037037037037035E-4</v>
      </c>
      <c r="DY163" s="10" cm="1">
        <f t="array" aca="1" ref="DY163" ca="1">(1-$B$18)*SUMPRODUCT(OFFSET($BO$15,0,0,$B$14,1), 1*(_xlfn._xlws.FILTER(OFFSET($O$15,0,$DN163,$B$8,1),OFFSET($M$15,0,0,$B$8,1))=DY$13), 1*(_xlfn._xlws.FILTER(OFFSET($O$15,0,$DO163,$B$8,1),OFFSET($M$15,0,0,$B$8,1))=DY$14))   /   SUM(OFFSET($BO$15,0,0,$B$14,1)) + $B$18/($B$19*$B$19*($DN163&lt;&gt;$DO163) + $B$19*($DN163=$DO163))</f>
        <v>3.7037037037037035E-4</v>
      </c>
      <c r="DZ163" s="10" cm="1">
        <f t="array" aca="1" ref="DZ163" ca="1">(1-$B$18)*SUMPRODUCT(OFFSET($BO$15,0,0,$B$14,1), 1*(_xlfn._xlws.FILTER(OFFSET($O$15,0,$DN163,$B$8,1),OFFSET($M$15,0,0,$B$8,1))=DZ$13), 1*(_xlfn._xlws.FILTER(OFFSET($O$15,0,$DO163,$B$8,1),OFFSET($M$15,0,0,$B$8,1))=DZ$14))   /   SUM(OFFSET($BO$15,0,0,$B$14,1)) + $B$18/($B$19*$B$19*($DN163&lt;&gt;$DO163) + $B$19*($DN163=$DO163))</f>
        <v>3.7037037037037035E-4</v>
      </c>
      <c r="EA163" s="10" cm="1">
        <f t="array" aca="1" ref="EA163" ca="1">(1-$B$18)*SUMPRODUCT(OFFSET($BO$15,0,0,$B$14,1), 1*(_xlfn._xlws.FILTER(OFFSET($O$15,0,$DN163,$B$8,1),OFFSET($M$15,0,0,$B$8,1))=EA$13), 1*(_xlfn._xlws.FILTER(OFFSET($O$15,0,$DO163,$B$8,1),OFFSET($M$15,0,0,$B$8,1))=EA$14))   /   SUM(OFFSET($BO$15,0,0,$B$14,1)) + $B$18/($B$19*$B$19*($DN163&lt;&gt;$DO163) + $B$19*($DN163=$DO163))</f>
        <v>3.7037037037037035E-4</v>
      </c>
      <c r="EB163" s="10" cm="1">
        <f t="array" aca="1" ref="EB163" ca="1">(1-$B$18)*SUMPRODUCT(OFFSET($BO$15,0,0,$B$14,1), 1*(_xlfn._xlws.FILTER(OFFSET($O$15,0,$DN163,$B$8,1),OFFSET($M$15,0,0,$B$8,1))=EB$13), 1*(_xlfn._xlws.FILTER(OFFSET($O$15,0,$DO163,$B$8,1),OFFSET($M$15,0,0,$B$8,1))=EB$14))   /   SUM(OFFSET($BO$15,0,0,$B$14,1)) + $B$18/($B$19*$B$19*($DN163&lt;&gt;$DO163) + $B$19*($DN163=$DO163))</f>
        <v>3.7037037037037035E-4</v>
      </c>
      <c r="EC163" s="10" cm="1">
        <f t="array" aca="1" ref="EC163" ca="1">(1-$B$18)*SUMPRODUCT(OFFSET($BO$15,0,0,$B$14,1), 1*(_xlfn._xlws.FILTER(OFFSET($O$15,0,$DN163,$B$8,1),OFFSET($M$15,0,0,$B$8,1))=EC$13), 1*(_xlfn._xlws.FILTER(OFFSET($O$15,0,$DO163,$B$8,1),OFFSET($M$15,0,0,$B$8,1))=EC$14))   /   SUM(OFFSET($BO$15,0,0,$B$14,1)) + $B$18/($B$19*$B$19*($DN163&lt;&gt;$DO163) + $B$19*($DN163=$DO163))</f>
        <v>3.7037037037037035E-4</v>
      </c>
      <c r="ED163" s="10" cm="1">
        <f t="array" aca="1" ref="ED163" ca="1">(1-$B$18)*SUMPRODUCT(OFFSET($BO$15,0,0,$B$14,1), 1*(_xlfn._xlws.FILTER(OFFSET($O$15,0,$DN163,$B$8,1),OFFSET($M$15,0,0,$B$8,1))=ED$13), 1*(_xlfn._xlws.FILTER(OFFSET($O$15,0,$DO163,$B$8,1),OFFSET($M$15,0,0,$B$8,1))=ED$14))   /   SUM(OFFSET($BO$15,0,0,$B$14,1)) + $B$18/($B$19*$B$19*($DN163&lt;&gt;$DO163) + $B$19*($DN163=$DO163))</f>
        <v>3.7037037037037035E-4</v>
      </c>
      <c r="EE163" s="10" cm="1">
        <f t="array" aca="1" ref="EE163" ca="1">(1-$B$18)*SUMPRODUCT(OFFSET($BO$15,0,0,$B$14,1), 1*(_xlfn._xlws.FILTER(OFFSET($O$15,0,$DN163,$B$8,1),OFFSET($M$15,0,0,$B$8,1))=EE$13), 1*(_xlfn._xlws.FILTER(OFFSET($O$15,0,$DO163,$B$8,1),OFFSET($M$15,0,0,$B$8,1))=EE$14))   /   SUM(OFFSET($BO$15,0,0,$B$14,1)) + $B$18/($B$19*$B$19*($DN163&lt;&gt;$DO163) + $B$19*($DN163=$DO163))</f>
        <v>3.7037037037037035E-4</v>
      </c>
      <c r="EF163" s="10" cm="1">
        <f t="array" aca="1" ref="EF163" ca="1">(1-$B$18)*SUMPRODUCT(OFFSET($BO$15,0,0,$B$14,1), 1*(_xlfn._xlws.FILTER(OFFSET($O$15,0,$DN163,$B$8,1),OFFSET($M$15,0,0,$B$8,1))=EF$13), 1*(_xlfn._xlws.FILTER(OFFSET($O$15,0,$DO163,$B$8,1),OFFSET($M$15,0,0,$B$8,1))=EF$14))   /   SUM(OFFSET($BO$15,0,0,$B$14,1)) + $B$18/($B$19*$B$19*($DN163&lt;&gt;$DO163) + $B$19*($DN163=$DO163))</f>
        <v>3.7037037037037035E-4</v>
      </c>
      <c r="EG163" s="10" cm="1">
        <f t="array" aca="1" ref="EG163" ca="1">(1-$B$18)*SUMPRODUCT(OFFSET($BO$15,0,0,$B$14,1), 1*(_xlfn._xlws.FILTER(OFFSET($O$15,0,$DN163,$B$8,1),OFFSET($M$15,0,0,$B$8,1))=EG$13), 1*(_xlfn._xlws.FILTER(OFFSET($O$15,0,$DO163,$B$8,1),OFFSET($M$15,0,0,$B$8,1))=EG$14))   /   SUM(OFFSET($BO$15,0,0,$B$14,1)) + $B$18/($B$19*$B$19*($DN163&lt;&gt;$DO163) + $B$19*($DN163=$DO163))</f>
        <v>3.7037037037037035E-4</v>
      </c>
      <c r="EH163" s="10" cm="1">
        <f t="array" aca="1" ref="EH163" ca="1">(1-$B$18)*SUMPRODUCT(OFFSET($BO$15,0,0,$B$14,1), 1*(_xlfn._xlws.FILTER(OFFSET($O$15,0,$DN163,$B$8,1),OFFSET($M$15,0,0,$B$8,1))=EH$13), 1*(_xlfn._xlws.FILTER(OFFSET($O$15,0,$DO163,$B$8,1),OFFSET($M$15,0,0,$B$8,1))=EH$14))   /   SUM(OFFSET($BO$15,0,0,$B$14,1)) + $B$18/($B$19*$B$19*($DN163&lt;&gt;$DO163) + $B$19*($DN163=$DO163))</f>
        <v>3.7037037037037035E-4</v>
      </c>
      <c r="EI163" s="10" cm="1">
        <f t="array" aca="1" ref="EI163" ca="1">(1-$B$18)*SUMPRODUCT(OFFSET($BO$15,0,0,$B$14,1), 1*(_xlfn._xlws.FILTER(OFFSET($O$15,0,$DN163,$B$8,1),OFFSET($M$15,0,0,$B$8,1))=EI$13), 1*(_xlfn._xlws.FILTER(OFFSET($O$15,0,$DO163,$B$8,1),OFFSET($M$15,0,0,$B$8,1))=EI$14))   /   SUM(OFFSET($BO$15,0,0,$B$14,1)) + $B$18/($B$19*$B$19*($DN163&lt;&gt;$DO163) + $B$19*($DN163=$DO163))</f>
        <v>3.7037037037037035E-4</v>
      </c>
      <c r="EJ163" s="10" cm="1">
        <f t="array" aca="1" ref="EJ163" ca="1">(1-$B$18)*SUMPRODUCT(OFFSET($BO$15,0,0,$B$14,1), 1*(_xlfn._xlws.FILTER(OFFSET($O$15,0,$DN163,$B$8,1),OFFSET($M$15,0,0,$B$8,1))=EJ$13), 1*(_xlfn._xlws.FILTER(OFFSET($O$15,0,$DO163,$B$8,1),OFFSET($M$15,0,0,$B$8,1))=EJ$14))   /   SUM(OFFSET($BO$15,0,0,$B$14,1)) + $B$18/($B$19*$B$19*($DN163&lt;&gt;$DO163) + $B$19*($DN163=$DO163))</f>
        <v>3.7037037037037035E-4</v>
      </c>
      <c r="EK163" s="10" cm="1">
        <f t="array" aca="1" ref="EK163" ca="1">(1-$B$18)*SUMPRODUCT(OFFSET($BO$15,0,0,$B$14,1), 1*(_xlfn._xlws.FILTER(OFFSET($O$15,0,$DN163,$B$8,1),OFFSET($M$15,0,0,$B$8,1))=EK$13), 1*(_xlfn._xlws.FILTER(OFFSET($O$15,0,$DO163,$B$8,1),OFFSET($M$15,0,0,$B$8,1))=EK$14))   /   SUM(OFFSET($BO$15,0,0,$B$14,1)) + $B$18/($B$19*$B$19*($DN163&lt;&gt;$DO163) + $B$19*($DN163=$DO163))</f>
        <v>3.7037037037037035E-4</v>
      </c>
      <c r="EL163" s="10" cm="1">
        <f t="array" aca="1" ref="EL163" ca="1">(1-$B$18)*SUMPRODUCT(OFFSET($BO$15,0,0,$B$14,1), 1*(_xlfn._xlws.FILTER(OFFSET($O$15,0,$DN163,$B$8,1),OFFSET($M$15,0,0,$B$8,1))=EL$13), 1*(_xlfn._xlws.FILTER(OFFSET($O$15,0,$DO163,$B$8,1),OFFSET($M$15,0,0,$B$8,1))=EL$14))   /   SUM(OFFSET($BO$15,0,0,$B$14,1)) + $B$18/($B$19*$B$19*($DN163&lt;&gt;$DO163) + $B$19*($DN163=$DO163))</f>
        <v>3.7037037037037035E-4</v>
      </c>
      <c r="EM163" s="10" cm="1">
        <f t="array" aca="1" ref="EM163" ca="1">(1-$B$18)*SUMPRODUCT(OFFSET($BO$15,0,0,$B$14,1), 1*(_xlfn._xlws.FILTER(OFFSET($O$15,0,$DN163,$B$8,1),OFFSET($M$15,0,0,$B$8,1))=EM$13), 1*(_xlfn._xlws.FILTER(OFFSET($O$15,0,$DO163,$B$8,1),OFFSET($M$15,0,0,$B$8,1))=EM$14))   /   SUM(OFFSET($BO$15,0,0,$B$14,1)) + $B$18/($B$19*$B$19*($DN163&lt;&gt;$DO163) + $B$19*($DN163=$DO163))</f>
        <v>3.7037037037037035E-4</v>
      </c>
      <c r="EN163" s="10" cm="1">
        <f t="array" aca="1" ref="EN163" ca="1">(1-$B$18)*SUMPRODUCT(OFFSET($BO$15,0,0,$B$14,1), 1*(_xlfn._xlws.FILTER(OFFSET($O$15,0,$DN163,$B$8,1),OFFSET($M$15,0,0,$B$8,1))=EN$13), 1*(_xlfn._xlws.FILTER(OFFSET($O$15,0,$DO163,$B$8,1),OFFSET($M$15,0,0,$B$8,1))=EN$14))   /   SUM(OFFSET($BO$15,0,0,$B$14,1)) + $B$18/($B$19*$B$19*($DN163&lt;&gt;$DO163) + $B$19*($DN163=$DO163))</f>
        <v>3.7037037037037035E-4</v>
      </c>
      <c r="EO163" s="10" cm="1">
        <f t="array" aca="1" ref="EO163" ca="1">(1-$B$18)*SUMPRODUCT(OFFSET($BO$15,0,0,$B$14,1), 1*(_xlfn._xlws.FILTER(OFFSET($O$15,0,$DN163,$B$8,1),OFFSET($M$15,0,0,$B$8,1))=EO$13), 1*(_xlfn._xlws.FILTER(OFFSET($O$15,0,$DO163,$B$8,1),OFFSET($M$15,0,0,$B$8,1))=EO$14))   /   SUM(OFFSET($BO$15,0,0,$B$14,1)) + $B$18/($B$19*$B$19*($DN163&lt;&gt;$DO163) + $B$19*($DN163=$DO163))</f>
        <v>3.7037037037037035E-4</v>
      </c>
      <c r="EP163" s="10" cm="1">
        <f t="array" aca="1" ref="EP163" ca="1">(1-$B$18)*SUMPRODUCT(OFFSET($BO$15,0,0,$B$14,1), 1*(_xlfn._xlws.FILTER(OFFSET($O$15,0,$DN163,$B$8,1),OFFSET($M$15,0,0,$B$8,1))=EP$13), 1*(_xlfn._xlws.FILTER(OFFSET($O$15,0,$DO163,$B$8,1),OFFSET($M$15,0,0,$B$8,1))=EP$14))   /   SUM(OFFSET($BO$15,0,0,$B$14,1)) + $B$18/($B$19*$B$19*($DN163&lt;&gt;$DO163) + $B$19*($DN163=$DO163))</f>
        <v>3.7037037037037035E-4</v>
      </c>
      <c r="EQ163" s="10" cm="1">
        <f t="array" aca="1" ref="EQ163" ca="1">(1-$B$18)*SUMPRODUCT(OFFSET($BO$15,0,0,$B$14,1), 1*(_xlfn._xlws.FILTER(OFFSET($O$15,0,$DN163,$B$8,1),OFFSET($M$15,0,0,$B$8,1))=EQ$13), 1*(_xlfn._xlws.FILTER(OFFSET($O$15,0,$DO163,$B$8,1),OFFSET($M$15,0,0,$B$8,1))=EQ$14))   /   SUM(OFFSET($BO$15,0,0,$B$14,1)) + $B$18/($B$19*$B$19*($DN163&lt;&gt;$DO163) + $B$19*($DN163=$DO163))</f>
        <v>3.7037037037037035E-4</v>
      </c>
      <c r="ER163" s="10" cm="1">
        <f t="array" aca="1" ref="ER163" ca="1">(1-$B$18)*SUMPRODUCT(OFFSET($BO$15,0,0,$B$14,1), 1*(_xlfn._xlws.FILTER(OFFSET($O$15,0,$DN163,$B$8,1),OFFSET($M$15,0,0,$B$8,1))=ER$13), 1*(_xlfn._xlws.FILTER(OFFSET($O$15,0,$DO163,$B$8,1),OFFSET($M$15,0,0,$B$8,1))=ER$14))   /   SUM(OFFSET($BO$15,0,0,$B$14,1)) + $B$18/($B$19*$B$19*($DN163&lt;&gt;$DO163) + $B$19*($DN163=$DO163))</f>
        <v>3.7037037037037035E-4</v>
      </c>
      <c r="ES163" s="10" cm="1">
        <f t="array" aca="1" ref="ES163" ca="1">(1-$B$18)*SUMPRODUCT(OFFSET($BO$15,0,0,$B$14,1), 1*(_xlfn._xlws.FILTER(OFFSET($O$15,0,$DN163,$B$8,1),OFFSET($M$15,0,0,$B$8,1))=ES$13), 1*(_xlfn._xlws.FILTER(OFFSET($O$15,0,$DO163,$B$8,1),OFFSET($M$15,0,0,$B$8,1))=ES$14))   /   SUM(OFFSET($BO$15,0,0,$B$14,1)) + $B$18/($B$19*$B$19*($DN163&lt;&gt;$DO163) + $B$19*($DN163=$DO163))</f>
        <v>3.7037037037037035E-4</v>
      </c>
      <c r="ET163" s="10" cm="1">
        <f t="array" aca="1" ref="ET163" ca="1">(1-$B$18)*SUMPRODUCT(OFFSET($BO$15,0,0,$B$14,1), 1*(_xlfn._xlws.FILTER(OFFSET($O$15,0,$DN163,$B$8,1),OFFSET($M$15,0,0,$B$8,1))=ET$13), 1*(_xlfn._xlws.FILTER(OFFSET($O$15,0,$DO163,$B$8,1),OFFSET($M$15,0,0,$B$8,1))=ET$14))   /   SUM(OFFSET($BO$15,0,0,$B$14,1)) + $B$18/($B$19*$B$19*($DN163&lt;&gt;$DO163) + $B$19*($DN163=$DO163))</f>
        <v>3.7037037037037035E-4</v>
      </c>
      <c r="EU163" s="10" cm="1">
        <f t="array" aca="1" ref="EU163" ca="1">(1-$B$18)*SUMPRODUCT(OFFSET($BO$15,0,0,$B$14,1), 1*(_xlfn._xlws.FILTER(OFFSET($O$15,0,$DN163,$B$8,1),OFFSET($M$15,0,0,$B$8,1))=EU$13), 1*(_xlfn._xlws.FILTER(OFFSET($O$15,0,$DO163,$B$8,1),OFFSET($M$15,0,0,$B$8,1))=EU$14))   /   SUM(OFFSET($BO$15,0,0,$B$14,1)) + $B$18/($B$19*$B$19*($DN163&lt;&gt;$DO163) + $B$19*($DN163=$DO163))</f>
        <v>3.7037037037037035E-4</v>
      </c>
      <c r="EV163" s="10" cm="1">
        <f t="array" aca="1" ref="EV163" ca="1">(1-$B$18)*SUMPRODUCT(OFFSET($BO$15,0,0,$B$14,1), 1*(_xlfn._xlws.FILTER(OFFSET($O$15,0,$DN163,$B$8,1),OFFSET($M$15,0,0,$B$8,1))=EV$13), 1*(_xlfn._xlws.FILTER(OFFSET($O$15,0,$DO163,$B$8,1),OFFSET($M$15,0,0,$B$8,1))=EV$14))   /   SUM(OFFSET($BO$15,0,0,$B$14,1)) + $B$18/($B$19*$B$19*($DN163&lt;&gt;$DO163) + $B$19*($DN163=$DO163))</f>
        <v>3.7037037037037035E-4</v>
      </c>
      <c r="EW163" s="10" cm="1">
        <f t="array" aca="1" ref="EW163" ca="1">(1-$B$18)*SUMPRODUCT(OFFSET($BO$15,0,0,$B$14,1), 1*(_xlfn._xlws.FILTER(OFFSET($O$15,0,$DN163,$B$8,1),OFFSET($M$15,0,0,$B$8,1))=EW$13), 1*(_xlfn._xlws.FILTER(OFFSET($O$15,0,$DO163,$B$8,1),OFFSET($M$15,0,0,$B$8,1))=EW$14))   /   SUM(OFFSET($BO$15,0,0,$B$14,1)) + $B$18/($B$19*$B$19*($DN163&lt;&gt;$DO163) + $B$19*($DN163=$DO163))</f>
        <v>3.7037037037037035E-4</v>
      </c>
      <c r="EX163" s="10" cm="1">
        <f t="array" aca="1" ref="EX163" ca="1">(1-$B$18)*SUMPRODUCT(OFFSET($BO$15,0,0,$B$14,1), 1*(_xlfn._xlws.FILTER(OFFSET($O$15,0,$DN163,$B$8,1),OFFSET($M$15,0,0,$B$8,1))=EX$13), 1*(_xlfn._xlws.FILTER(OFFSET($O$15,0,$DO163,$B$8,1),OFFSET($M$15,0,0,$B$8,1))=EX$14))   /   SUM(OFFSET($BO$15,0,0,$B$14,1)) + $B$18/($B$19*$B$19*($DN163&lt;&gt;$DO163) + $B$19*($DN163=$DO163))</f>
        <v>3.7037037037037035E-4</v>
      </c>
      <c r="EY163" s="10" cm="1">
        <f t="array" aca="1" ref="EY163" ca="1">(1-$B$18)*SUMPRODUCT(OFFSET($BO$15,0,0,$B$14,1), 1*(_xlfn._xlws.FILTER(OFFSET($O$15,0,$DN163,$B$8,1),OFFSET($M$15,0,0,$B$8,1))=EY$13), 1*(_xlfn._xlws.FILTER(OFFSET($O$15,0,$DO163,$B$8,1),OFFSET($M$15,0,0,$B$8,1))=EY$14))   /   SUM(OFFSET($BO$15,0,0,$B$14,1)) + $B$18/($B$19*$B$19*($DN163&lt;&gt;$DO163) + $B$19*($DN163=$DO163))</f>
        <v>3.7037037037037035E-4</v>
      </c>
      <c r="EZ163" s="10" cm="1">
        <f t="array" aca="1" ref="EZ163" ca="1">(1-$B$18)*SUMPRODUCT(OFFSET($BO$15,0,0,$B$14,1), 1*(_xlfn._xlws.FILTER(OFFSET($O$15,0,$DN163,$B$8,1),OFFSET($M$15,0,0,$B$8,1))=EZ$13), 1*(_xlfn._xlws.FILTER(OFFSET($O$15,0,$DO163,$B$8,1),OFFSET($M$15,0,0,$B$8,1))=EZ$14))   /   SUM(OFFSET($BO$15,0,0,$B$14,1)) + $B$18/($B$19*$B$19*($DN163&lt;&gt;$DO163) + $B$19*($DN163=$DO163))</f>
        <v>3.7037037037037035E-4</v>
      </c>
      <c r="FA163" s="10" cm="1">
        <f t="array" aca="1" ref="FA163" ca="1">(1-$B$18)*SUMPRODUCT(OFFSET($BO$15,0,0,$B$14,1), 1*(_xlfn._xlws.FILTER(OFFSET($O$15,0,$DN163,$B$8,1),OFFSET($M$15,0,0,$B$8,1))=FA$13), 1*(_xlfn._xlws.FILTER(OFFSET($O$15,0,$DO163,$B$8,1),OFFSET($M$15,0,0,$B$8,1))=FA$14))   /   SUM(OFFSET($BO$15,0,0,$B$14,1)) + $B$18/($B$19*$B$19*($DN163&lt;&gt;$DO163) + $B$19*($DN163=$DO163))</f>
        <v>3.7037037037037035E-4</v>
      </c>
      <c r="FB163" s="10" cm="1">
        <f t="array" aca="1" ref="FB163" ca="1">(1-$B$18)*SUMPRODUCT(OFFSET($BO$15,0,0,$B$14,1), 1*(_xlfn._xlws.FILTER(OFFSET($O$15,0,$DN163,$B$8,1),OFFSET($M$15,0,0,$B$8,1))=FB$13), 1*(_xlfn._xlws.FILTER(OFFSET($O$15,0,$DO163,$B$8,1),OFFSET($M$15,0,0,$B$8,1))=FB$14))   /   SUM(OFFSET($BO$15,0,0,$B$14,1)) + $B$18/($B$19*$B$19*($DN163&lt;&gt;$DO163) + $B$19*($DN163=$DO163))</f>
        <v>3.7037037037037035E-4</v>
      </c>
      <c r="FC163" s="10" cm="1">
        <f t="array" aca="1" ref="FC163" ca="1">(1-$B$18)*SUMPRODUCT(OFFSET($BO$15,0,0,$B$14,1), 1*(_xlfn._xlws.FILTER(OFFSET($O$15,0,$DN163,$B$8,1),OFFSET($M$15,0,0,$B$8,1))=FC$13), 1*(_xlfn._xlws.FILTER(OFFSET($O$15,0,$DO163,$B$8,1),OFFSET($M$15,0,0,$B$8,1))=FC$14))   /   SUM(OFFSET($BO$15,0,0,$B$14,1)) + $B$18/($B$19*$B$19*($DN163&lt;&gt;$DO163) + $B$19*($DN163=$DO163))</f>
        <v>3.7037037037037035E-4</v>
      </c>
      <c r="FD163" s="10" cm="1">
        <f t="array" aca="1" ref="FD163" ca="1">(1-$B$18)*SUMPRODUCT(OFFSET($BO$15,0,0,$B$14,1), 1*(_xlfn._xlws.FILTER(OFFSET($O$15,0,$DN163,$B$8,1),OFFSET($M$15,0,0,$B$8,1))=FD$13), 1*(_xlfn._xlws.FILTER(OFFSET($O$15,0,$DO163,$B$8,1),OFFSET($M$15,0,0,$B$8,1))=FD$14))   /   SUM(OFFSET($BO$15,0,0,$B$14,1)) + $B$18/($B$19*$B$19*($DN163&lt;&gt;$DO163) + $B$19*($DN163=$DO163))</f>
        <v>3.7037037037037035E-4</v>
      </c>
      <c r="FE163" s="10" cm="1">
        <f t="array" aca="1" ref="FE163" ca="1">(1-$B$18)*SUMPRODUCT(OFFSET($BO$15,0,0,$B$14,1), 1*(_xlfn._xlws.FILTER(OFFSET($O$15,0,$DN163,$B$8,1),OFFSET($M$15,0,0,$B$8,1))=FE$13), 1*(_xlfn._xlws.FILTER(OFFSET($O$15,0,$DO163,$B$8,1),OFFSET($M$15,0,0,$B$8,1))=FE$14))   /   SUM(OFFSET($BO$15,0,0,$B$14,1)) + $B$18/($B$19*$B$19*($DN163&lt;&gt;$DO163) + $B$19*($DN163=$DO163))</f>
        <v>3.7037037037037035E-4</v>
      </c>
      <c r="FF163" s="10" cm="1">
        <f t="array" aca="1" ref="FF163" ca="1">(1-$B$18)*SUMPRODUCT(OFFSET($BO$15,0,0,$B$14,1), 1*(_xlfn._xlws.FILTER(OFFSET($O$15,0,$DN163,$B$8,1),OFFSET($M$15,0,0,$B$8,1))=FF$13), 1*(_xlfn._xlws.FILTER(OFFSET($O$15,0,$DO163,$B$8,1),OFFSET($M$15,0,0,$B$8,1))=FF$14))   /   SUM(OFFSET($BO$15,0,0,$B$14,1)) + $B$18/($B$19*$B$19*($DN163&lt;&gt;$DO163) + $B$19*($DN163=$DO163))</f>
        <v>3.7037037037037035E-4</v>
      </c>
      <c r="FG163" s="10" cm="1">
        <f t="array" aca="1" ref="FG163" ca="1">(1-$B$18)*SUMPRODUCT(OFFSET($BO$15,0,0,$B$14,1), 1*(_xlfn._xlws.FILTER(OFFSET($O$15,0,$DN163,$B$8,1),OFFSET($M$15,0,0,$B$8,1))=FG$13), 1*(_xlfn._xlws.FILTER(OFFSET($O$15,0,$DO163,$B$8,1),OFFSET($M$15,0,0,$B$8,1))=FG$14))   /   SUM(OFFSET($BO$15,0,0,$B$14,1)) + $B$18/($B$19*$B$19*($DN163&lt;&gt;$DO163) + $B$19*($DN163=$DO163))</f>
        <v>3.7037037037037035E-4</v>
      </c>
      <c r="FH163" s="10" cm="1">
        <f t="array" aca="1" ref="FH163" ca="1">(1-$B$18)*SUMPRODUCT(OFFSET($BO$15,0,0,$B$14,1), 1*(_xlfn._xlws.FILTER(OFFSET($O$15,0,$DN163,$B$8,1),OFFSET($M$15,0,0,$B$8,1))=FH$13), 1*(_xlfn._xlws.FILTER(OFFSET($O$15,0,$DO163,$B$8,1),OFFSET($M$15,0,0,$B$8,1))=FH$14))   /   SUM(OFFSET($BO$15,0,0,$B$14,1)) + $B$18/($B$19*$B$19*($DN163&lt;&gt;$DO163) + $B$19*($DN163=$DO163))</f>
        <v>3.7037037037037035E-4</v>
      </c>
      <c r="FI163" s="10" cm="1">
        <f t="array" aca="1" ref="FI163" ca="1">(1-$B$18)*SUMPRODUCT(OFFSET($BO$15,0,0,$B$14,1), 1*(_xlfn._xlws.FILTER(OFFSET($O$15,0,$DN163,$B$8,1),OFFSET($M$15,0,0,$B$8,1))=FI$13), 1*(_xlfn._xlws.FILTER(OFFSET($O$15,0,$DO163,$B$8,1),OFFSET($M$15,0,0,$B$8,1))=FI$14))   /   SUM(OFFSET($BO$15,0,0,$B$14,1)) + $B$18/($B$19*$B$19*($DN163&lt;&gt;$DO163) + $B$19*($DN163=$DO163))</f>
        <v>3.7037037037037035E-4</v>
      </c>
      <c r="FJ163" s="10" cm="1">
        <f t="array" aca="1" ref="FJ163" ca="1">(1-$B$18)*SUMPRODUCT(OFFSET($BO$15,0,0,$B$14,1), 1*(_xlfn._xlws.FILTER(OFFSET($O$15,0,$DN163,$B$8,1),OFFSET($M$15,0,0,$B$8,1))=FJ$13), 1*(_xlfn._xlws.FILTER(OFFSET($O$15,0,$DO163,$B$8,1),OFFSET($M$15,0,0,$B$8,1))=FJ$14))   /   SUM(OFFSET($BO$15,0,0,$B$14,1)) + $B$18/($B$19*$B$19*($DN163&lt;&gt;$DO163) + $B$19*($DN163=$DO163))</f>
        <v>3.7037037037037035E-4</v>
      </c>
      <c r="FK163" s="10" cm="1">
        <f t="array" aca="1" ref="FK163" ca="1">(1-$B$18)*SUMPRODUCT(OFFSET($BO$15,0,0,$B$14,1), 1*(_xlfn._xlws.FILTER(OFFSET($O$15,0,$DN163,$B$8,1),OFFSET($M$15,0,0,$B$8,1))=FK$13), 1*(_xlfn._xlws.FILTER(OFFSET($O$15,0,$DO163,$B$8,1),OFFSET($M$15,0,0,$B$8,1))=FK$14))   /   SUM(OFFSET($BO$15,0,0,$B$14,1)) + $B$18/($B$19*$B$19*($DN163&lt;&gt;$DO163) + $B$19*($DN163=$DO163))</f>
        <v>3.7037037037037035E-4</v>
      </c>
      <c r="FL163" s="10" cm="1">
        <f t="array" aca="1" ref="FL163" ca="1">(1-$B$18)*SUMPRODUCT(OFFSET($BO$15,0,0,$B$14,1), 1*(_xlfn._xlws.FILTER(OFFSET($O$15,0,$DN163,$B$8,1),OFFSET($M$15,0,0,$B$8,1))=FL$13), 1*(_xlfn._xlws.FILTER(OFFSET($O$15,0,$DO163,$B$8,1),OFFSET($M$15,0,0,$B$8,1))=FL$14))   /   SUM(OFFSET($BO$15,0,0,$B$14,1)) + $B$18/($B$19*$B$19*($DN163&lt;&gt;$DO163) + $B$19*($DN163=$DO163))</f>
        <v>3.7037037037037035E-4</v>
      </c>
      <c r="FM163" s="10" cm="1">
        <f t="array" aca="1" ref="FM163" ca="1">(1-$B$18)*SUMPRODUCT(OFFSET($BO$15,0,0,$B$14,1), 1*(_xlfn._xlws.FILTER(OFFSET($O$15,0,$DN163,$B$8,1),OFFSET($M$15,0,0,$B$8,1))=FM$13), 1*(_xlfn._xlws.FILTER(OFFSET($O$15,0,$DO163,$B$8,1),OFFSET($M$15,0,0,$B$8,1))=FM$14))   /   SUM(OFFSET($BO$15,0,0,$B$14,1)) + $B$18/($B$19*$B$19*($DN163&lt;&gt;$DO163) + $B$19*($DN163=$DO163))</f>
        <v>3.7037037037037035E-4</v>
      </c>
      <c r="FN163" s="10" cm="1">
        <f t="array" aca="1" ref="FN163" ca="1">(1-$B$18)*SUMPRODUCT(OFFSET($BO$15,0,0,$B$14,1), 1*(_xlfn._xlws.FILTER(OFFSET($O$15,0,$DN163,$B$8,1),OFFSET($M$15,0,0,$B$8,1))=FN$13), 1*(_xlfn._xlws.FILTER(OFFSET($O$15,0,$DO163,$B$8,1),OFFSET($M$15,0,0,$B$8,1))=FN$14))   /   SUM(OFFSET($BO$15,0,0,$B$14,1)) + $B$18/($B$19*$B$19*($DN163&lt;&gt;$DO163) + $B$19*($DN163=$DO163))</f>
        <v>3.7037037037037035E-4</v>
      </c>
      <c r="FO163" s="10" cm="1">
        <f t="array" aca="1" ref="FO163" ca="1">(1-$B$18)*SUMPRODUCT(OFFSET($BO$15,0,0,$B$14,1), 1*(_xlfn._xlws.FILTER(OFFSET($O$15,0,$DN163,$B$8,1),OFFSET($M$15,0,0,$B$8,1))=FO$13), 1*(_xlfn._xlws.FILTER(OFFSET($O$15,0,$DO163,$B$8,1),OFFSET($M$15,0,0,$B$8,1))=FO$14))   /   SUM(OFFSET($BO$15,0,0,$B$14,1)) + $B$18/($B$19*$B$19*($DN163&lt;&gt;$DO163) + $B$19*($DN163=$DO163))</f>
        <v>0.97037037037037033</v>
      </c>
      <c r="FP163" s="10" cm="1">
        <f t="array" aca="1" ref="FP163" ca="1">(1-$B$18)*SUMPRODUCT(OFFSET($BO$15,0,0,$B$14,1), 1*(_xlfn._xlws.FILTER(OFFSET($O$15,0,$DN163,$B$8,1),OFFSET($M$15,0,0,$B$8,1))=FP$13), 1*(_xlfn._xlws.FILTER(OFFSET($O$15,0,$DO163,$B$8,1),OFFSET($M$15,0,0,$B$8,1))=FP$14))   /   SUM(OFFSET($BO$15,0,0,$B$14,1)) + $B$18/($B$19*$B$19*($DN163&lt;&gt;$DO163) + $B$19*($DN163=$DO163))</f>
        <v>3.7037037037037035E-4</v>
      </c>
      <c r="FQ163" s="10" cm="1">
        <f t="array" aca="1" ref="FQ163" ca="1">(1-$B$18)*SUMPRODUCT(OFFSET($BO$15,0,0,$B$14,1), 1*(_xlfn._xlws.FILTER(OFFSET($O$15,0,$DN163,$B$8,1),OFFSET($M$15,0,0,$B$8,1))=FQ$13), 1*(_xlfn._xlws.FILTER(OFFSET($O$15,0,$DO163,$B$8,1),OFFSET($M$15,0,0,$B$8,1))=FQ$14))   /   SUM(OFFSET($BO$15,0,0,$B$14,1)) + $B$18/($B$19*$B$19*($DN163&lt;&gt;$DO163) + $B$19*($DN163=$DO163))</f>
        <v>3.7037037037037035E-4</v>
      </c>
      <c r="FR163" s="10" cm="1">
        <f t="array" aca="1" ref="FR163" ca="1">(1-$B$18)*SUMPRODUCT(OFFSET($BO$15,0,0,$B$14,1), 1*(_xlfn._xlws.FILTER(OFFSET($O$15,0,$DN163,$B$8,1),OFFSET($M$15,0,0,$B$8,1))=FR$13), 1*(_xlfn._xlws.FILTER(OFFSET($O$15,0,$DO163,$B$8,1),OFFSET($M$15,0,0,$B$8,1))=FR$14))   /   SUM(OFFSET($BO$15,0,0,$B$14,1)) + $B$18/($B$19*$B$19*($DN163&lt;&gt;$DO163) + $B$19*($DN163=$DO163))</f>
        <v>3.7037037037037035E-4</v>
      </c>
      <c r="FS163" s="10" cm="1">
        <f t="array" aca="1" ref="FS163" ca="1">(1-$B$18)*SUMPRODUCT(OFFSET($BO$15,0,0,$B$14,1), 1*(_xlfn._xlws.FILTER(OFFSET($O$15,0,$DN163,$B$8,1),OFFSET($M$15,0,0,$B$8,1))=FS$13), 1*(_xlfn._xlws.FILTER(OFFSET($O$15,0,$DO163,$B$8,1),OFFSET($M$15,0,0,$B$8,1))=FS$14))   /   SUM(OFFSET($BO$15,0,0,$B$14,1)) + $B$18/($B$19*$B$19*($DN163&lt;&gt;$DO163) + $B$19*($DN163=$DO163))</f>
        <v>3.7037037037037035E-4</v>
      </c>
      <c r="FT163" s="10" cm="1">
        <f t="array" aca="1" ref="FT163" ca="1">(1-$B$18)*SUMPRODUCT(OFFSET($BO$15,0,0,$B$14,1), 1*(_xlfn._xlws.FILTER(OFFSET($O$15,0,$DN163,$B$8,1),OFFSET($M$15,0,0,$B$8,1))=FT$13), 1*(_xlfn._xlws.FILTER(OFFSET($O$15,0,$DO163,$B$8,1),OFFSET($M$15,0,0,$B$8,1))=FT$14))   /   SUM(OFFSET($BO$15,0,0,$B$14,1)) + $B$18/($B$19*$B$19*($DN163&lt;&gt;$DO163) + $B$19*($DN163=$DO163))</f>
        <v>3.7037037037037035E-4</v>
      </c>
      <c r="FU163" s="10" cm="1">
        <f t="array" aca="1" ref="FU163" ca="1">(1-$B$18)*SUMPRODUCT(OFFSET($BO$15,0,0,$B$14,1), 1*(_xlfn._xlws.FILTER(OFFSET($O$15,0,$DN163,$B$8,1),OFFSET($M$15,0,0,$B$8,1))=FU$13), 1*(_xlfn._xlws.FILTER(OFFSET($O$15,0,$DO163,$B$8,1),OFFSET($M$15,0,0,$B$8,1))=FU$14))   /   SUM(OFFSET($BO$15,0,0,$B$14,1)) + $B$18/($B$19*$B$19*($DN163&lt;&gt;$DO163) + $B$19*($DN163=$DO163))</f>
        <v>3.7037037037037035E-4</v>
      </c>
      <c r="FV163" s="10" cm="1">
        <f t="array" aca="1" ref="FV163" ca="1">(1-$B$18)*SUMPRODUCT(OFFSET($BO$15,0,0,$B$14,1), 1*(_xlfn._xlws.FILTER(OFFSET($O$15,0,$DN163,$B$8,1),OFFSET($M$15,0,0,$B$8,1))=FV$13), 1*(_xlfn._xlws.FILTER(OFFSET($O$15,0,$DO163,$B$8,1),OFFSET($M$15,0,0,$B$8,1))=FV$14))   /   SUM(OFFSET($BO$15,0,0,$B$14,1)) + $B$18/($B$19*$B$19*($DN163&lt;&gt;$DO163) + $B$19*($DN163=$DO163))</f>
        <v>3.7037037037037035E-4</v>
      </c>
      <c r="FW163" s="10" cm="1">
        <f t="array" aca="1" ref="FW163" ca="1">(1-$B$18)*SUMPRODUCT(OFFSET($BO$15,0,0,$B$14,1), 1*(_xlfn._xlws.FILTER(OFFSET($O$15,0,$DN163,$B$8,1),OFFSET($M$15,0,0,$B$8,1))=FW$13), 1*(_xlfn._xlws.FILTER(OFFSET($O$15,0,$DO163,$B$8,1),OFFSET($M$15,0,0,$B$8,1))=FW$14))   /   SUM(OFFSET($BO$15,0,0,$B$14,1)) + $B$18/($B$19*$B$19*($DN163&lt;&gt;$DO163) + $B$19*($DN163=$DO163))</f>
        <v>3.7037037037037035E-4</v>
      </c>
      <c r="FX163" s="10" cm="1">
        <f t="array" aca="1" ref="FX163" ca="1">(1-$B$18)*SUMPRODUCT(OFFSET($BO$15,0,0,$B$14,1), 1*(_xlfn._xlws.FILTER(OFFSET($O$15,0,$DN163,$B$8,1),OFFSET($M$15,0,0,$B$8,1))=FX$13), 1*(_xlfn._xlws.FILTER(OFFSET($O$15,0,$DO163,$B$8,1),OFFSET($M$15,0,0,$B$8,1))=FX$14))   /   SUM(OFFSET($BO$15,0,0,$B$14,1)) + $B$18/($B$19*$B$19*($DN163&lt;&gt;$DO163) + $B$19*($DN163=$DO163))</f>
        <v>3.7037037037037035E-4</v>
      </c>
      <c r="FY163" s="10" cm="1">
        <f t="array" aca="1" ref="FY163" ca="1">(1-$B$18)*SUMPRODUCT(OFFSET($BO$15,0,0,$B$14,1), 1*(_xlfn._xlws.FILTER(OFFSET($O$15,0,$DN163,$B$8,1),OFFSET($M$15,0,0,$B$8,1))=FY$13), 1*(_xlfn._xlws.FILTER(OFFSET($O$15,0,$DO163,$B$8,1),OFFSET($M$15,0,0,$B$8,1))=FY$14))   /   SUM(OFFSET($BO$15,0,0,$B$14,1)) + $B$18/($B$19*$B$19*($DN163&lt;&gt;$DO163) + $B$19*($DN163=$DO163))</f>
        <v>3.7037037037037035E-4</v>
      </c>
      <c r="FZ163" s="10" cm="1">
        <f t="array" aca="1" ref="FZ163" ca="1">(1-$B$18)*SUMPRODUCT(OFFSET($BO$15,0,0,$B$14,1), 1*(_xlfn._xlws.FILTER(OFFSET($O$15,0,$DN163,$B$8,1),OFFSET($M$15,0,0,$B$8,1))=FZ$13), 1*(_xlfn._xlws.FILTER(OFFSET($O$15,0,$DO163,$B$8,1),OFFSET($M$15,0,0,$B$8,1))=FZ$14))   /   SUM(OFFSET($BO$15,0,0,$B$14,1)) + $B$18/($B$19*$B$19*($DN163&lt;&gt;$DO163) + $B$19*($DN163=$DO163))</f>
        <v>3.7037037037037035E-4</v>
      </c>
      <c r="GA163" s="10" cm="1">
        <f t="array" aca="1" ref="GA163" ca="1">(1-$B$18)*SUMPRODUCT(OFFSET($BO$15,0,0,$B$14,1), 1*(_xlfn._xlws.FILTER(OFFSET($O$15,0,$DN163,$B$8,1),OFFSET($M$15,0,0,$B$8,1))=GA$13), 1*(_xlfn._xlws.FILTER(OFFSET($O$15,0,$DO163,$B$8,1),OFFSET($M$15,0,0,$B$8,1))=GA$14))   /   SUM(OFFSET($BO$15,0,0,$B$14,1)) + $B$18/($B$19*$B$19*($DN163&lt;&gt;$DO163) + $B$19*($DN163=$DO163))</f>
        <v>3.7037037037037035E-4</v>
      </c>
    </row>
    <row r="164" spans="118:183" x14ac:dyDescent="0.2">
      <c r="DN164" cm="1">
        <f t="array" aca="1" ref="DN164" ca="1">INDEX(_xlfn.ANCHORARRAY($CP$15), 1 + INT((ROWS($DO$15:$DO164) - 1) / ROWS(_xlfn.ANCHORARRAY($CP$15))))</f>
        <v>7</v>
      </c>
      <c r="DO164" cm="1">
        <f t="array" aca="1" ref="DO164" ca="1">INDEX(_xlfn.ANCHORARRAY($CP$15),1+MOD(ROWS($DO$15:$DO164)-1,ROWS(_xlfn.ANCHORARRAY($CP$15))))</f>
        <v>19</v>
      </c>
      <c r="DP164" s="10" cm="1">
        <f t="array" aca="1" ref="DP164" ca="1">(1-$B$18)*SUMPRODUCT(OFFSET($BO$15,0,0,$B$14,1), 1*(_xlfn._xlws.FILTER(OFFSET($O$15,0,$DN164,$B$8,1),OFFSET($M$15,0,0,$B$8,1))=DP$13), 1*(_xlfn._xlws.FILTER(OFFSET($O$15,0,$DO164,$B$8,1),OFFSET($M$15,0,0,$B$8,1))=DP$14))   /   SUM(OFFSET($BO$15,0,0,$B$14,1)) + $B$18/($B$19*$B$19*($DN164&lt;&gt;$DO164) + $B$19*($DN164=$DO164))</f>
        <v>3.7037037037037035E-4</v>
      </c>
      <c r="DQ164" s="10" cm="1">
        <f t="array" aca="1" ref="DQ164" ca="1">(1-$B$18)*SUMPRODUCT(OFFSET($BO$15,0,0,$B$14,1), 1*(_xlfn._xlws.FILTER(OFFSET($O$15,0,$DN164,$B$8,1),OFFSET($M$15,0,0,$B$8,1))=DQ$13), 1*(_xlfn._xlws.FILTER(OFFSET($O$15,0,$DO164,$B$8,1),OFFSET($M$15,0,0,$B$8,1))=DQ$14))   /   SUM(OFFSET($BO$15,0,0,$B$14,1)) + $B$18/($B$19*$B$19*($DN164&lt;&gt;$DO164) + $B$19*($DN164=$DO164))</f>
        <v>3.7037037037037035E-4</v>
      </c>
      <c r="DR164" s="10" cm="1">
        <f t="array" aca="1" ref="DR164" ca="1">(1-$B$18)*SUMPRODUCT(OFFSET($BO$15,0,0,$B$14,1), 1*(_xlfn._xlws.FILTER(OFFSET($O$15,0,$DN164,$B$8,1),OFFSET($M$15,0,0,$B$8,1))=DR$13), 1*(_xlfn._xlws.FILTER(OFFSET($O$15,0,$DO164,$B$8,1),OFFSET($M$15,0,0,$B$8,1))=DR$14))   /   SUM(OFFSET($BO$15,0,0,$B$14,1)) + $B$18/($B$19*$B$19*($DN164&lt;&gt;$DO164) + $B$19*($DN164=$DO164))</f>
        <v>3.7037037037037035E-4</v>
      </c>
      <c r="DS164" s="10" cm="1">
        <f t="array" aca="1" ref="DS164" ca="1">(1-$B$18)*SUMPRODUCT(OFFSET($BO$15,0,0,$B$14,1), 1*(_xlfn._xlws.FILTER(OFFSET($O$15,0,$DN164,$B$8,1),OFFSET($M$15,0,0,$B$8,1))=DS$13), 1*(_xlfn._xlws.FILTER(OFFSET($O$15,0,$DO164,$B$8,1),OFFSET($M$15,0,0,$B$8,1))=DS$14))   /   SUM(OFFSET($BO$15,0,0,$B$14,1)) + $B$18/($B$19*$B$19*($DN164&lt;&gt;$DO164) + $B$19*($DN164=$DO164))</f>
        <v>3.7037037037037035E-4</v>
      </c>
      <c r="DT164" s="10" cm="1">
        <f t="array" aca="1" ref="DT164" ca="1">(1-$B$18)*SUMPRODUCT(OFFSET($BO$15,0,0,$B$14,1), 1*(_xlfn._xlws.FILTER(OFFSET($O$15,0,$DN164,$B$8,1),OFFSET($M$15,0,0,$B$8,1))=DT$13), 1*(_xlfn._xlws.FILTER(OFFSET($O$15,0,$DO164,$B$8,1),OFFSET($M$15,0,0,$B$8,1))=DT$14))   /   SUM(OFFSET($BO$15,0,0,$B$14,1)) + $B$18/($B$19*$B$19*($DN164&lt;&gt;$DO164) + $B$19*($DN164=$DO164))</f>
        <v>3.7037037037037035E-4</v>
      </c>
      <c r="DU164" s="10" cm="1">
        <f t="array" aca="1" ref="DU164" ca="1">(1-$B$18)*SUMPRODUCT(OFFSET($BO$15,0,0,$B$14,1), 1*(_xlfn._xlws.FILTER(OFFSET($O$15,0,$DN164,$B$8,1),OFFSET($M$15,0,0,$B$8,1))=DU$13), 1*(_xlfn._xlws.FILTER(OFFSET($O$15,0,$DO164,$B$8,1),OFFSET($M$15,0,0,$B$8,1))=DU$14))   /   SUM(OFFSET($BO$15,0,0,$B$14,1)) + $B$18/($B$19*$B$19*($DN164&lt;&gt;$DO164) + $B$19*($DN164=$DO164))</f>
        <v>3.7037037037037035E-4</v>
      </c>
      <c r="DV164" s="10" cm="1">
        <f t="array" aca="1" ref="DV164" ca="1">(1-$B$18)*SUMPRODUCT(OFFSET($BO$15,0,0,$B$14,1), 1*(_xlfn._xlws.FILTER(OFFSET($O$15,0,$DN164,$B$8,1),OFFSET($M$15,0,0,$B$8,1))=DV$13), 1*(_xlfn._xlws.FILTER(OFFSET($O$15,0,$DO164,$B$8,1),OFFSET($M$15,0,0,$B$8,1))=DV$14))   /   SUM(OFFSET($BO$15,0,0,$B$14,1)) + $B$18/($B$19*$B$19*($DN164&lt;&gt;$DO164) + $B$19*($DN164=$DO164))</f>
        <v>3.7037037037037035E-4</v>
      </c>
      <c r="DW164" s="10" cm="1">
        <f t="array" aca="1" ref="DW164" ca="1">(1-$B$18)*SUMPRODUCT(OFFSET($BO$15,0,0,$B$14,1), 1*(_xlfn._xlws.FILTER(OFFSET($O$15,0,$DN164,$B$8,1),OFFSET($M$15,0,0,$B$8,1))=DW$13), 1*(_xlfn._xlws.FILTER(OFFSET($O$15,0,$DO164,$B$8,1),OFFSET($M$15,0,0,$B$8,1))=DW$14))   /   SUM(OFFSET($BO$15,0,0,$B$14,1)) + $B$18/($B$19*$B$19*($DN164&lt;&gt;$DO164) + $B$19*($DN164=$DO164))</f>
        <v>3.7037037037037035E-4</v>
      </c>
      <c r="DX164" s="10" cm="1">
        <f t="array" aca="1" ref="DX164" ca="1">(1-$B$18)*SUMPRODUCT(OFFSET($BO$15,0,0,$B$14,1), 1*(_xlfn._xlws.FILTER(OFFSET($O$15,0,$DN164,$B$8,1),OFFSET($M$15,0,0,$B$8,1))=DX$13), 1*(_xlfn._xlws.FILTER(OFFSET($O$15,0,$DO164,$B$8,1),OFFSET($M$15,0,0,$B$8,1))=DX$14))   /   SUM(OFFSET($BO$15,0,0,$B$14,1)) + $B$18/($B$19*$B$19*($DN164&lt;&gt;$DO164) + $B$19*($DN164=$DO164))</f>
        <v>3.7037037037037035E-4</v>
      </c>
      <c r="DY164" s="10" cm="1">
        <f t="array" aca="1" ref="DY164" ca="1">(1-$B$18)*SUMPRODUCT(OFFSET($BO$15,0,0,$B$14,1), 1*(_xlfn._xlws.FILTER(OFFSET($O$15,0,$DN164,$B$8,1),OFFSET($M$15,0,0,$B$8,1))=DY$13), 1*(_xlfn._xlws.FILTER(OFFSET($O$15,0,$DO164,$B$8,1),OFFSET($M$15,0,0,$B$8,1))=DY$14))   /   SUM(OFFSET($BO$15,0,0,$B$14,1)) + $B$18/($B$19*$B$19*($DN164&lt;&gt;$DO164) + $B$19*($DN164=$DO164))</f>
        <v>3.7037037037037035E-4</v>
      </c>
      <c r="DZ164" s="10" cm="1">
        <f t="array" aca="1" ref="DZ164" ca="1">(1-$B$18)*SUMPRODUCT(OFFSET($BO$15,0,0,$B$14,1), 1*(_xlfn._xlws.FILTER(OFFSET($O$15,0,$DN164,$B$8,1),OFFSET($M$15,0,0,$B$8,1))=DZ$13), 1*(_xlfn._xlws.FILTER(OFFSET($O$15,0,$DO164,$B$8,1),OFFSET($M$15,0,0,$B$8,1))=DZ$14))   /   SUM(OFFSET($BO$15,0,0,$B$14,1)) + $B$18/($B$19*$B$19*($DN164&lt;&gt;$DO164) + $B$19*($DN164=$DO164))</f>
        <v>3.7037037037037035E-4</v>
      </c>
      <c r="EA164" s="10" cm="1">
        <f t="array" aca="1" ref="EA164" ca="1">(1-$B$18)*SUMPRODUCT(OFFSET($BO$15,0,0,$B$14,1), 1*(_xlfn._xlws.FILTER(OFFSET($O$15,0,$DN164,$B$8,1),OFFSET($M$15,0,0,$B$8,1))=EA$13), 1*(_xlfn._xlws.FILTER(OFFSET($O$15,0,$DO164,$B$8,1),OFFSET($M$15,0,0,$B$8,1))=EA$14))   /   SUM(OFFSET($BO$15,0,0,$B$14,1)) + $B$18/($B$19*$B$19*($DN164&lt;&gt;$DO164) + $B$19*($DN164=$DO164))</f>
        <v>3.7037037037037035E-4</v>
      </c>
      <c r="EB164" s="10" cm="1">
        <f t="array" aca="1" ref="EB164" ca="1">(1-$B$18)*SUMPRODUCT(OFFSET($BO$15,0,0,$B$14,1), 1*(_xlfn._xlws.FILTER(OFFSET($O$15,0,$DN164,$B$8,1),OFFSET($M$15,0,0,$B$8,1))=EB$13), 1*(_xlfn._xlws.FILTER(OFFSET($O$15,0,$DO164,$B$8,1),OFFSET($M$15,0,0,$B$8,1))=EB$14))   /   SUM(OFFSET($BO$15,0,0,$B$14,1)) + $B$18/($B$19*$B$19*($DN164&lt;&gt;$DO164) + $B$19*($DN164=$DO164))</f>
        <v>3.7037037037037035E-4</v>
      </c>
      <c r="EC164" s="10" cm="1">
        <f t="array" aca="1" ref="EC164" ca="1">(1-$B$18)*SUMPRODUCT(OFFSET($BO$15,0,0,$B$14,1), 1*(_xlfn._xlws.FILTER(OFFSET($O$15,0,$DN164,$B$8,1),OFFSET($M$15,0,0,$B$8,1))=EC$13), 1*(_xlfn._xlws.FILTER(OFFSET($O$15,0,$DO164,$B$8,1),OFFSET($M$15,0,0,$B$8,1))=EC$14))   /   SUM(OFFSET($BO$15,0,0,$B$14,1)) + $B$18/($B$19*$B$19*($DN164&lt;&gt;$DO164) + $B$19*($DN164=$DO164))</f>
        <v>3.7037037037037035E-4</v>
      </c>
      <c r="ED164" s="10" cm="1">
        <f t="array" aca="1" ref="ED164" ca="1">(1-$B$18)*SUMPRODUCT(OFFSET($BO$15,0,0,$B$14,1), 1*(_xlfn._xlws.FILTER(OFFSET($O$15,0,$DN164,$B$8,1),OFFSET($M$15,0,0,$B$8,1))=ED$13), 1*(_xlfn._xlws.FILTER(OFFSET($O$15,0,$DO164,$B$8,1),OFFSET($M$15,0,0,$B$8,1))=ED$14))   /   SUM(OFFSET($BO$15,0,0,$B$14,1)) + $B$18/($B$19*$B$19*($DN164&lt;&gt;$DO164) + $B$19*($DN164=$DO164))</f>
        <v>3.7037037037037035E-4</v>
      </c>
      <c r="EE164" s="10" cm="1">
        <f t="array" aca="1" ref="EE164" ca="1">(1-$B$18)*SUMPRODUCT(OFFSET($BO$15,0,0,$B$14,1), 1*(_xlfn._xlws.FILTER(OFFSET($O$15,0,$DN164,$B$8,1),OFFSET($M$15,0,0,$B$8,1))=EE$13), 1*(_xlfn._xlws.FILTER(OFFSET($O$15,0,$DO164,$B$8,1),OFFSET($M$15,0,0,$B$8,1))=EE$14))   /   SUM(OFFSET($BO$15,0,0,$B$14,1)) + $B$18/($B$19*$B$19*($DN164&lt;&gt;$DO164) + $B$19*($DN164=$DO164))</f>
        <v>3.7037037037037035E-4</v>
      </c>
      <c r="EF164" s="10" cm="1">
        <f t="array" aca="1" ref="EF164" ca="1">(1-$B$18)*SUMPRODUCT(OFFSET($BO$15,0,0,$B$14,1), 1*(_xlfn._xlws.FILTER(OFFSET($O$15,0,$DN164,$B$8,1),OFFSET($M$15,0,0,$B$8,1))=EF$13), 1*(_xlfn._xlws.FILTER(OFFSET($O$15,0,$DO164,$B$8,1),OFFSET($M$15,0,0,$B$8,1))=EF$14))   /   SUM(OFFSET($BO$15,0,0,$B$14,1)) + $B$18/($B$19*$B$19*($DN164&lt;&gt;$DO164) + $B$19*($DN164=$DO164))</f>
        <v>3.7037037037037035E-4</v>
      </c>
      <c r="EG164" s="10" cm="1">
        <f t="array" aca="1" ref="EG164" ca="1">(1-$B$18)*SUMPRODUCT(OFFSET($BO$15,0,0,$B$14,1), 1*(_xlfn._xlws.FILTER(OFFSET($O$15,0,$DN164,$B$8,1),OFFSET($M$15,0,0,$B$8,1))=EG$13), 1*(_xlfn._xlws.FILTER(OFFSET($O$15,0,$DO164,$B$8,1),OFFSET($M$15,0,0,$B$8,1))=EG$14))   /   SUM(OFFSET($BO$15,0,0,$B$14,1)) + $B$18/($B$19*$B$19*($DN164&lt;&gt;$DO164) + $B$19*($DN164=$DO164))</f>
        <v>3.7037037037037035E-4</v>
      </c>
      <c r="EH164" s="10" cm="1">
        <f t="array" aca="1" ref="EH164" ca="1">(1-$B$18)*SUMPRODUCT(OFFSET($BO$15,0,0,$B$14,1), 1*(_xlfn._xlws.FILTER(OFFSET($O$15,0,$DN164,$B$8,1),OFFSET($M$15,0,0,$B$8,1))=EH$13), 1*(_xlfn._xlws.FILTER(OFFSET($O$15,0,$DO164,$B$8,1),OFFSET($M$15,0,0,$B$8,1))=EH$14))   /   SUM(OFFSET($BO$15,0,0,$B$14,1)) + $B$18/($B$19*$B$19*($DN164&lt;&gt;$DO164) + $B$19*($DN164=$DO164))</f>
        <v>3.7037037037037035E-4</v>
      </c>
      <c r="EI164" s="10" cm="1">
        <f t="array" aca="1" ref="EI164" ca="1">(1-$B$18)*SUMPRODUCT(OFFSET($BO$15,0,0,$B$14,1), 1*(_xlfn._xlws.FILTER(OFFSET($O$15,0,$DN164,$B$8,1),OFFSET($M$15,0,0,$B$8,1))=EI$13), 1*(_xlfn._xlws.FILTER(OFFSET($O$15,0,$DO164,$B$8,1),OFFSET($M$15,0,0,$B$8,1))=EI$14))   /   SUM(OFFSET($BO$15,0,0,$B$14,1)) + $B$18/($B$19*$B$19*($DN164&lt;&gt;$DO164) + $B$19*($DN164=$DO164))</f>
        <v>3.7037037037037035E-4</v>
      </c>
      <c r="EJ164" s="10" cm="1">
        <f t="array" aca="1" ref="EJ164" ca="1">(1-$B$18)*SUMPRODUCT(OFFSET($BO$15,0,0,$B$14,1), 1*(_xlfn._xlws.FILTER(OFFSET($O$15,0,$DN164,$B$8,1),OFFSET($M$15,0,0,$B$8,1))=EJ$13), 1*(_xlfn._xlws.FILTER(OFFSET($O$15,0,$DO164,$B$8,1),OFFSET($M$15,0,0,$B$8,1))=EJ$14))   /   SUM(OFFSET($BO$15,0,0,$B$14,1)) + $B$18/($B$19*$B$19*($DN164&lt;&gt;$DO164) + $B$19*($DN164=$DO164))</f>
        <v>3.7037037037037035E-4</v>
      </c>
      <c r="EK164" s="10" cm="1">
        <f t="array" aca="1" ref="EK164" ca="1">(1-$B$18)*SUMPRODUCT(OFFSET($BO$15,0,0,$B$14,1), 1*(_xlfn._xlws.FILTER(OFFSET($O$15,0,$DN164,$B$8,1),OFFSET($M$15,0,0,$B$8,1))=EK$13), 1*(_xlfn._xlws.FILTER(OFFSET($O$15,0,$DO164,$B$8,1),OFFSET($M$15,0,0,$B$8,1))=EK$14))   /   SUM(OFFSET($BO$15,0,0,$B$14,1)) + $B$18/($B$19*$B$19*($DN164&lt;&gt;$DO164) + $B$19*($DN164=$DO164))</f>
        <v>3.7037037037037035E-4</v>
      </c>
      <c r="EL164" s="10" cm="1">
        <f t="array" aca="1" ref="EL164" ca="1">(1-$B$18)*SUMPRODUCT(OFFSET($BO$15,0,0,$B$14,1), 1*(_xlfn._xlws.FILTER(OFFSET($O$15,0,$DN164,$B$8,1),OFFSET($M$15,0,0,$B$8,1))=EL$13), 1*(_xlfn._xlws.FILTER(OFFSET($O$15,0,$DO164,$B$8,1),OFFSET($M$15,0,0,$B$8,1))=EL$14))   /   SUM(OFFSET($BO$15,0,0,$B$14,1)) + $B$18/($B$19*$B$19*($DN164&lt;&gt;$DO164) + $B$19*($DN164=$DO164))</f>
        <v>3.7037037037037035E-4</v>
      </c>
      <c r="EM164" s="10" cm="1">
        <f t="array" aca="1" ref="EM164" ca="1">(1-$B$18)*SUMPRODUCT(OFFSET($BO$15,0,0,$B$14,1), 1*(_xlfn._xlws.FILTER(OFFSET($O$15,0,$DN164,$B$8,1),OFFSET($M$15,0,0,$B$8,1))=EM$13), 1*(_xlfn._xlws.FILTER(OFFSET($O$15,0,$DO164,$B$8,1),OFFSET($M$15,0,0,$B$8,1))=EM$14))   /   SUM(OFFSET($BO$15,0,0,$B$14,1)) + $B$18/($B$19*$B$19*($DN164&lt;&gt;$DO164) + $B$19*($DN164=$DO164))</f>
        <v>3.7037037037037035E-4</v>
      </c>
      <c r="EN164" s="10" cm="1">
        <f t="array" aca="1" ref="EN164" ca="1">(1-$B$18)*SUMPRODUCT(OFFSET($BO$15,0,0,$B$14,1), 1*(_xlfn._xlws.FILTER(OFFSET($O$15,0,$DN164,$B$8,1),OFFSET($M$15,0,0,$B$8,1))=EN$13), 1*(_xlfn._xlws.FILTER(OFFSET($O$15,0,$DO164,$B$8,1),OFFSET($M$15,0,0,$B$8,1))=EN$14))   /   SUM(OFFSET($BO$15,0,0,$B$14,1)) + $B$18/($B$19*$B$19*($DN164&lt;&gt;$DO164) + $B$19*($DN164=$DO164))</f>
        <v>3.7037037037037035E-4</v>
      </c>
      <c r="EO164" s="10" cm="1">
        <f t="array" aca="1" ref="EO164" ca="1">(1-$B$18)*SUMPRODUCT(OFFSET($BO$15,0,0,$B$14,1), 1*(_xlfn._xlws.FILTER(OFFSET($O$15,0,$DN164,$B$8,1),OFFSET($M$15,0,0,$B$8,1))=EO$13), 1*(_xlfn._xlws.FILTER(OFFSET($O$15,0,$DO164,$B$8,1),OFFSET($M$15,0,0,$B$8,1))=EO$14))   /   SUM(OFFSET($BO$15,0,0,$B$14,1)) + $B$18/($B$19*$B$19*($DN164&lt;&gt;$DO164) + $B$19*($DN164=$DO164))</f>
        <v>3.7037037037037035E-4</v>
      </c>
      <c r="EP164" s="10" cm="1">
        <f t="array" aca="1" ref="EP164" ca="1">(1-$B$18)*SUMPRODUCT(OFFSET($BO$15,0,0,$B$14,1), 1*(_xlfn._xlws.FILTER(OFFSET($O$15,0,$DN164,$B$8,1),OFFSET($M$15,0,0,$B$8,1))=EP$13), 1*(_xlfn._xlws.FILTER(OFFSET($O$15,0,$DO164,$B$8,1),OFFSET($M$15,0,0,$B$8,1))=EP$14))   /   SUM(OFFSET($BO$15,0,0,$B$14,1)) + $B$18/($B$19*$B$19*($DN164&lt;&gt;$DO164) + $B$19*($DN164=$DO164))</f>
        <v>3.7037037037037035E-4</v>
      </c>
      <c r="EQ164" s="10" cm="1">
        <f t="array" aca="1" ref="EQ164" ca="1">(1-$B$18)*SUMPRODUCT(OFFSET($BO$15,0,0,$B$14,1), 1*(_xlfn._xlws.FILTER(OFFSET($O$15,0,$DN164,$B$8,1),OFFSET($M$15,0,0,$B$8,1))=EQ$13), 1*(_xlfn._xlws.FILTER(OFFSET($O$15,0,$DO164,$B$8,1),OFFSET($M$15,0,0,$B$8,1))=EQ$14))   /   SUM(OFFSET($BO$15,0,0,$B$14,1)) + $B$18/($B$19*$B$19*($DN164&lt;&gt;$DO164) + $B$19*($DN164=$DO164))</f>
        <v>3.7037037037037035E-4</v>
      </c>
      <c r="ER164" s="10" cm="1">
        <f t="array" aca="1" ref="ER164" ca="1">(1-$B$18)*SUMPRODUCT(OFFSET($BO$15,0,0,$B$14,1), 1*(_xlfn._xlws.FILTER(OFFSET($O$15,0,$DN164,$B$8,1),OFFSET($M$15,0,0,$B$8,1))=ER$13), 1*(_xlfn._xlws.FILTER(OFFSET($O$15,0,$DO164,$B$8,1),OFFSET($M$15,0,0,$B$8,1))=ER$14))   /   SUM(OFFSET($BO$15,0,0,$B$14,1)) + $B$18/($B$19*$B$19*($DN164&lt;&gt;$DO164) + $B$19*($DN164=$DO164))</f>
        <v>3.7037037037037035E-4</v>
      </c>
      <c r="ES164" s="10" cm="1">
        <f t="array" aca="1" ref="ES164" ca="1">(1-$B$18)*SUMPRODUCT(OFFSET($BO$15,0,0,$B$14,1), 1*(_xlfn._xlws.FILTER(OFFSET($O$15,0,$DN164,$B$8,1),OFFSET($M$15,0,0,$B$8,1))=ES$13), 1*(_xlfn._xlws.FILTER(OFFSET($O$15,0,$DO164,$B$8,1),OFFSET($M$15,0,0,$B$8,1))=ES$14))   /   SUM(OFFSET($BO$15,0,0,$B$14,1)) + $B$18/($B$19*$B$19*($DN164&lt;&gt;$DO164) + $B$19*($DN164=$DO164))</f>
        <v>3.7037037037037035E-4</v>
      </c>
      <c r="ET164" s="10" cm="1">
        <f t="array" aca="1" ref="ET164" ca="1">(1-$B$18)*SUMPRODUCT(OFFSET($BO$15,0,0,$B$14,1), 1*(_xlfn._xlws.FILTER(OFFSET($O$15,0,$DN164,$B$8,1),OFFSET($M$15,0,0,$B$8,1))=ET$13), 1*(_xlfn._xlws.FILTER(OFFSET($O$15,0,$DO164,$B$8,1),OFFSET($M$15,0,0,$B$8,1))=ET$14))   /   SUM(OFFSET($BO$15,0,0,$B$14,1)) + $B$18/($B$19*$B$19*($DN164&lt;&gt;$DO164) + $B$19*($DN164=$DO164))</f>
        <v>3.7037037037037035E-4</v>
      </c>
      <c r="EU164" s="10" cm="1">
        <f t="array" aca="1" ref="EU164" ca="1">(1-$B$18)*SUMPRODUCT(OFFSET($BO$15,0,0,$B$14,1), 1*(_xlfn._xlws.FILTER(OFFSET($O$15,0,$DN164,$B$8,1),OFFSET($M$15,0,0,$B$8,1))=EU$13), 1*(_xlfn._xlws.FILTER(OFFSET($O$15,0,$DO164,$B$8,1),OFFSET($M$15,0,0,$B$8,1))=EU$14))   /   SUM(OFFSET($BO$15,0,0,$B$14,1)) + $B$18/($B$19*$B$19*($DN164&lt;&gt;$DO164) + $B$19*($DN164=$DO164))</f>
        <v>3.7037037037037035E-4</v>
      </c>
      <c r="EV164" s="10" cm="1">
        <f t="array" aca="1" ref="EV164" ca="1">(1-$B$18)*SUMPRODUCT(OFFSET($BO$15,0,0,$B$14,1), 1*(_xlfn._xlws.FILTER(OFFSET($O$15,0,$DN164,$B$8,1),OFFSET($M$15,0,0,$B$8,1))=EV$13), 1*(_xlfn._xlws.FILTER(OFFSET($O$15,0,$DO164,$B$8,1),OFFSET($M$15,0,0,$B$8,1))=EV$14))   /   SUM(OFFSET($BO$15,0,0,$B$14,1)) + $B$18/($B$19*$B$19*($DN164&lt;&gt;$DO164) + $B$19*($DN164=$DO164))</f>
        <v>3.7037037037037035E-4</v>
      </c>
      <c r="EW164" s="10" cm="1">
        <f t="array" aca="1" ref="EW164" ca="1">(1-$B$18)*SUMPRODUCT(OFFSET($BO$15,0,0,$B$14,1), 1*(_xlfn._xlws.FILTER(OFFSET($O$15,0,$DN164,$B$8,1),OFFSET($M$15,0,0,$B$8,1))=EW$13), 1*(_xlfn._xlws.FILTER(OFFSET($O$15,0,$DO164,$B$8,1),OFFSET($M$15,0,0,$B$8,1))=EW$14))   /   SUM(OFFSET($BO$15,0,0,$B$14,1)) + $B$18/($B$19*$B$19*($DN164&lt;&gt;$DO164) + $B$19*($DN164=$DO164))</f>
        <v>3.7037037037037035E-4</v>
      </c>
      <c r="EX164" s="10" cm="1">
        <f t="array" aca="1" ref="EX164" ca="1">(1-$B$18)*SUMPRODUCT(OFFSET($BO$15,0,0,$B$14,1), 1*(_xlfn._xlws.FILTER(OFFSET($O$15,0,$DN164,$B$8,1),OFFSET($M$15,0,0,$B$8,1))=EX$13), 1*(_xlfn._xlws.FILTER(OFFSET($O$15,0,$DO164,$B$8,1),OFFSET($M$15,0,0,$B$8,1))=EX$14))   /   SUM(OFFSET($BO$15,0,0,$B$14,1)) + $B$18/($B$19*$B$19*($DN164&lt;&gt;$DO164) + $B$19*($DN164=$DO164))</f>
        <v>3.7037037037037035E-4</v>
      </c>
      <c r="EY164" s="10" cm="1">
        <f t="array" aca="1" ref="EY164" ca="1">(1-$B$18)*SUMPRODUCT(OFFSET($BO$15,0,0,$B$14,1), 1*(_xlfn._xlws.FILTER(OFFSET($O$15,0,$DN164,$B$8,1),OFFSET($M$15,0,0,$B$8,1))=EY$13), 1*(_xlfn._xlws.FILTER(OFFSET($O$15,0,$DO164,$B$8,1),OFFSET($M$15,0,0,$B$8,1))=EY$14))   /   SUM(OFFSET($BO$15,0,0,$B$14,1)) + $B$18/($B$19*$B$19*($DN164&lt;&gt;$DO164) + $B$19*($DN164=$DO164))</f>
        <v>3.7037037037037035E-4</v>
      </c>
      <c r="EZ164" s="10" cm="1">
        <f t="array" aca="1" ref="EZ164" ca="1">(1-$B$18)*SUMPRODUCT(OFFSET($BO$15,0,0,$B$14,1), 1*(_xlfn._xlws.FILTER(OFFSET($O$15,0,$DN164,$B$8,1),OFFSET($M$15,0,0,$B$8,1))=EZ$13), 1*(_xlfn._xlws.FILTER(OFFSET($O$15,0,$DO164,$B$8,1),OFFSET($M$15,0,0,$B$8,1))=EZ$14))   /   SUM(OFFSET($BO$15,0,0,$B$14,1)) + $B$18/($B$19*$B$19*($DN164&lt;&gt;$DO164) + $B$19*($DN164=$DO164))</f>
        <v>3.7037037037037035E-4</v>
      </c>
      <c r="FA164" s="10" cm="1">
        <f t="array" aca="1" ref="FA164" ca="1">(1-$B$18)*SUMPRODUCT(OFFSET($BO$15,0,0,$B$14,1), 1*(_xlfn._xlws.FILTER(OFFSET($O$15,0,$DN164,$B$8,1),OFFSET($M$15,0,0,$B$8,1))=FA$13), 1*(_xlfn._xlws.FILTER(OFFSET($O$15,0,$DO164,$B$8,1),OFFSET($M$15,0,0,$B$8,1))=FA$14))   /   SUM(OFFSET($BO$15,0,0,$B$14,1)) + $B$18/($B$19*$B$19*($DN164&lt;&gt;$DO164) + $B$19*($DN164=$DO164))</f>
        <v>3.7037037037037035E-4</v>
      </c>
      <c r="FB164" s="10" cm="1">
        <f t="array" aca="1" ref="FB164" ca="1">(1-$B$18)*SUMPRODUCT(OFFSET($BO$15,0,0,$B$14,1), 1*(_xlfn._xlws.FILTER(OFFSET($O$15,0,$DN164,$B$8,1),OFFSET($M$15,0,0,$B$8,1))=FB$13), 1*(_xlfn._xlws.FILTER(OFFSET($O$15,0,$DO164,$B$8,1),OFFSET($M$15,0,0,$B$8,1))=FB$14))   /   SUM(OFFSET($BO$15,0,0,$B$14,1)) + $B$18/($B$19*$B$19*($DN164&lt;&gt;$DO164) + $B$19*($DN164=$DO164))</f>
        <v>3.7037037037037035E-4</v>
      </c>
      <c r="FC164" s="10" cm="1">
        <f t="array" aca="1" ref="FC164" ca="1">(1-$B$18)*SUMPRODUCT(OFFSET($BO$15,0,0,$B$14,1), 1*(_xlfn._xlws.FILTER(OFFSET($O$15,0,$DN164,$B$8,1),OFFSET($M$15,0,0,$B$8,1))=FC$13), 1*(_xlfn._xlws.FILTER(OFFSET($O$15,0,$DO164,$B$8,1),OFFSET($M$15,0,0,$B$8,1))=FC$14))   /   SUM(OFFSET($BO$15,0,0,$B$14,1)) + $B$18/($B$19*$B$19*($DN164&lt;&gt;$DO164) + $B$19*($DN164=$DO164))</f>
        <v>3.7037037037037035E-4</v>
      </c>
      <c r="FD164" s="10" cm="1">
        <f t="array" aca="1" ref="FD164" ca="1">(1-$B$18)*SUMPRODUCT(OFFSET($BO$15,0,0,$B$14,1), 1*(_xlfn._xlws.FILTER(OFFSET($O$15,0,$DN164,$B$8,1),OFFSET($M$15,0,0,$B$8,1))=FD$13), 1*(_xlfn._xlws.FILTER(OFFSET($O$15,0,$DO164,$B$8,1),OFFSET($M$15,0,0,$B$8,1))=FD$14))   /   SUM(OFFSET($BO$15,0,0,$B$14,1)) + $B$18/($B$19*$B$19*($DN164&lt;&gt;$DO164) + $B$19*($DN164=$DO164))</f>
        <v>3.7037037037037035E-4</v>
      </c>
      <c r="FE164" s="10" cm="1">
        <f t="array" aca="1" ref="FE164" ca="1">(1-$B$18)*SUMPRODUCT(OFFSET($BO$15,0,0,$B$14,1), 1*(_xlfn._xlws.FILTER(OFFSET($O$15,0,$DN164,$B$8,1),OFFSET($M$15,0,0,$B$8,1))=FE$13), 1*(_xlfn._xlws.FILTER(OFFSET($O$15,0,$DO164,$B$8,1),OFFSET($M$15,0,0,$B$8,1))=FE$14))   /   SUM(OFFSET($BO$15,0,0,$B$14,1)) + $B$18/($B$19*$B$19*($DN164&lt;&gt;$DO164) + $B$19*($DN164=$DO164))</f>
        <v>3.7037037037037035E-4</v>
      </c>
      <c r="FF164" s="10" cm="1">
        <f t="array" aca="1" ref="FF164" ca="1">(1-$B$18)*SUMPRODUCT(OFFSET($BO$15,0,0,$B$14,1), 1*(_xlfn._xlws.FILTER(OFFSET($O$15,0,$DN164,$B$8,1),OFFSET($M$15,0,0,$B$8,1))=FF$13), 1*(_xlfn._xlws.FILTER(OFFSET($O$15,0,$DO164,$B$8,1),OFFSET($M$15,0,0,$B$8,1))=FF$14))   /   SUM(OFFSET($BO$15,0,0,$B$14,1)) + $B$18/($B$19*$B$19*($DN164&lt;&gt;$DO164) + $B$19*($DN164=$DO164))</f>
        <v>3.7037037037037035E-4</v>
      </c>
      <c r="FG164" s="10" cm="1">
        <f t="array" aca="1" ref="FG164" ca="1">(1-$B$18)*SUMPRODUCT(OFFSET($BO$15,0,0,$B$14,1), 1*(_xlfn._xlws.FILTER(OFFSET($O$15,0,$DN164,$B$8,1),OFFSET($M$15,0,0,$B$8,1))=FG$13), 1*(_xlfn._xlws.FILTER(OFFSET($O$15,0,$DO164,$B$8,1),OFFSET($M$15,0,0,$B$8,1))=FG$14))   /   SUM(OFFSET($BO$15,0,0,$B$14,1)) + $B$18/($B$19*$B$19*($DN164&lt;&gt;$DO164) + $B$19*($DN164=$DO164))</f>
        <v>3.7037037037037035E-4</v>
      </c>
      <c r="FH164" s="10" cm="1">
        <f t="array" aca="1" ref="FH164" ca="1">(1-$B$18)*SUMPRODUCT(OFFSET($BO$15,0,0,$B$14,1), 1*(_xlfn._xlws.FILTER(OFFSET($O$15,0,$DN164,$B$8,1),OFFSET($M$15,0,0,$B$8,1))=FH$13), 1*(_xlfn._xlws.FILTER(OFFSET($O$15,0,$DO164,$B$8,1),OFFSET($M$15,0,0,$B$8,1))=FH$14))   /   SUM(OFFSET($BO$15,0,0,$B$14,1)) + $B$18/($B$19*$B$19*($DN164&lt;&gt;$DO164) + $B$19*($DN164=$DO164))</f>
        <v>3.7037037037037035E-4</v>
      </c>
      <c r="FI164" s="10" cm="1">
        <f t="array" aca="1" ref="FI164" ca="1">(1-$B$18)*SUMPRODUCT(OFFSET($BO$15,0,0,$B$14,1), 1*(_xlfn._xlws.FILTER(OFFSET($O$15,0,$DN164,$B$8,1),OFFSET($M$15,0,0,$B$8,1))=FI$13), 1*(_xlfn._xlws.FILTER(OFFSET($O$15,0,$DO164,$B$8,1),OFFSET($M$15,0,0,$B$8,1))=FI$14))   /   SUM(OFFSET($BO$15,0,0,$B$14,1)) + $B$18/($B$19*$B$19*($DN164&lt;&gt;$DO164) + $B$19*($DN164=$DO164))</f>
        <v>3.7037037037037035E-4</v>
      </c>
      <c r="FJ164" s="10" cm="1">
        <f t="array" aca="1" ref="FJ164" ca="1">(1-$B$18)*SUMPRODUCT(OFFSET($BO$15,0,0,$B$14,1), 1*(_xlfn._xlws.FILTER(OFFSET($O$15,0,$DN164,$B$8,1),OFFSET($M$15,0,0,$B$8,1))=FJ$13), 1*(_xlfn._xlws.FILTER(OFFSET($O$15,0,$DO164,$B$8,1),OFFSET($M$15,0,0,$B$8,1))=FJ$14))   /   SUM(OFFSET($BO$15,0,0,$B$14,1)) + $B$18/($B$19*$B$19*($DN164&lt;&gt;$DO164) + $B$19*($DN164=$DO164))</f>
        <v>3.7037037037037035E-4</v>
      </c>
      <c r="FK164" s="10" cm="1">
        <f t="array" aca="1" ref="FK164" ca="1">(1-$B$18)*SUMPRODUCT(OFFSET($BO$15,0,0,$B$14,1), 1*(_xlfn._xlws.FILTER(OFFSET($O$15,0,$DN164,$B$8,1),OFFSET($M$15,0,0,$B$8,1))=FK$13), 1*(_xlfn._xlws.FILTER(OFFSET($O$15,0,$DO164,$B$8,1),OFFSET($M$15,0,0,$B$8,1))=FK$14))   /   SUM(OFFSET($BO$15,0,0,$B$14,1)) + $B$18/($B$19*$B$19*($DN164&lt;&gt;$DO164) + $B$19*($DN164=$DO164))</f>
        <v>3.7037037037037035E-4</v>
      </c>
      <c r="FL164" s="10" cm="1">
        <f t="array" aca="1" ref="FL164" ca="1">(1-$B$18)*SUMPRODUCT(OFFSET($BO$15,0,0,$B$14,1), 1*(_xlfn._xlws.FILTER(OFFSET($O$15,0,$DN164,$B$8,1),OFFSET($M$15,0,0,$B$8,1))=FL$13), 1*(_xlfn._xlws.FILTER(OFFSET($O$15,0,$DO164,$B$8,1),OFFSET($M$15,0,0,$B$8,1))=FL$14))   /   SUM(OFFSET($BO$15,0,0,$B$14,1)) + $B$18/($B$19*$B$19*($DN164&lt;&gt;$DO164) + $B$19*($DN164=$DO164))</f>
        <v>3.7037037037037035E-4</v>
      </c>
      <c r="FM164" s="10" cm="1">
        <f t="array" aca="1" ref="FM164" ca="1">(1-$B$18)*SUMPRODUCT(OFFSET($BO$15,0,0,$B$14,1), 1*(_xlfn._xlws.FILTER(OFFSET($O$15,0,$DN164,$B$8,1),OFFSET($M$15,0,0,$B$8,1))=FM$13), 1*(_xlfn._xlws.FILTER(OFFSET($O$15,0,$DO164,$B$8,1),OFFSET($M$15,0,0,$B$8,1))=FM$14))   /   SUM(OFFSET($BO$15,0,0,$B$14,1)) + $B$18/($B$19*$B$19*($DN164&lt;&gt;$DO164) + $B$19*($DN164=$DO164))</f>
        <v>3.7037037037037035E-4</v>
      </c>
      <c r="FN164" s="10" cm="1">
        <f t="array" aca="1" ref="FN164" ca="1">(1-$B$18)*SUMPRODUCT(OFFSET($BO$15,0,0,$B$14,1), 1*(_xlfn._xlws.FILTER(OFFSET($O$15,0,$DN164,$B$8,1),OFFSET($M$15,0,0,$B$8,1))=FN$13), 1*(_xlfn._xlws.FILTER(OFFSET($O$15,0,$DO164,$B$8,1),OFFSET($M$15,0,0,$B$8,1))=FN$14))   /   SUM(OFFSET($BO$15,0,0,$B$14,1)) + $B$18/($B$19*$B$19*($DN164&lt;&gt;$DO164) + $B$19*($DN164=$DO164))</f>
        <v>3.7037037037037035E-4</v>
      </c>
      <c r="FO164" s="10" cm="1">
        <f t="array" aca="1" ref="FO164" ca="1">(1-$B$18)*SUMPRODUCT(OFFSET($BO$15,0,0,$B$14,1), 1*(_xlfn._xlws.FILTER(OFFSET($O$15,0,$DN164,$B$8,1),OFFSET($M$15,0,0,$B$8,1))=FO$13), 1*(_xlfn._xlws.FILTER(OFFSET($O$15,0,$DO164,$B$8,1),OFFSET($M$15,0,0,$B$8,1))=FO$14))   /   SUM(OFFSET($BO$15,0,0,$B$14,1)) + $B$18/($B$19*$B$19*($DN164&lt;&gt;$DO164) + $B$19*($DN164=$DO164))</f>
        <v>0.97037037037037033</v>
      </c>
      <c r="FP164" s="10" cm="1">
        <f t="array" aca="1" ref="FP164" ca="1">(1-$B$18)*SUMPRODUCT(OFFSET($BO$15,0,0,$B$14,1), 1*(_xlfn._xlws.FILTER(OFFSET($O$15,0,$DN164,$B$8,1),OFFSET($M$15,0,0,$B$8,1))=FP$13), 1*(_xlfn._xlws.FILTER(OFFSET($O$15,0,$DO164,$B$8,1),OFFSET($M$15,0,0,$B$8,1))=FP$14))   /   SUM(OFFSET($BO$15,0,0,$B$14,1)) + $B$18/($B$19*$B$19*($DN164&lt;&gt;$DO164) + $B$19*($DN164=$DO164))</f>
        <v>3.7037037037037035E-4</v>
      </c>
      <c r="FQ164" s="10" cm="1">
        <f t="array" aca="1" ref="FQ164" ca="1">(1-$B$18)*SUMPRODUCT(OFFSET($BO$15,0,0,$B$14,1), 1*(_xlfn._xlws.FILTER(OFFSET($O$15,0,$DN164,$B$8,1),OFFSET($M$15,0,0,$B$8,1))=FQ$13), 1*(_xlfn._xlws.FILTER(OFFSET($O$15,0,$DO164,$B$8,1),OFFSET($M$15,0,0,$B$8,1))=FQ$14))   /   SUM(OFFSET($BO$15,0,0,$B$14,1)) + $B$18/($B$19*$B$19*($DN164&lt;&gt;$DO164) + $B$19*($DN164=$DO164))</f>
        <v>3.7037037037037035E-4</v>
      </c>
      <c r="FR164" s="10" cm="1">
        <f t="array" aca="1" ref="FR164" ca="1">(1-$B$18)*SUMPRODUCT(OFFSET($BO$15,0,0,$B$14,1), 1*(_xlfn._xlws.FILTER(OFFSET($O$15,0,$DN164,$B$8,1),OFFSET($M$15,0,0,$B$8,1))=FR$13), 1*(_xlfn._xlws.FILTER(OFFSET($O$15,0,$DO164,$B$8,1),OFFSET($M$15,0,0,$B$8,1))=FR$14))   /   SUM(OFFSET($BO$15,0,0,$B$14,1)) + $B$18/($B$19*$B$19*($DN164&lt;&gt;$DO164) + $B$19*($DN164=$DO164))</f>
        <v>3.7037037037037035E-4</v>
      </c>
      <c r="FS164" s="10" cm="1">
        <f t="array" aca="1" ref="FS164" ca="1">(1-$B$18)*SUMPRODUCT(OFFSET($BO$15,0,0,$B$14,1), 1*(_xlfn._xlws.FILTER(OFFSET($O$15,0,$DN164,$B$8,1),OFFSET($M$15,0,0,$B$8,1))=FS$13), 1*(_xlfn._xlws.FILTER(OFFSET($O$15,0,$DO164,$B$8,1),OFFSET($M$15,0,0,$B$8,1))=FS$14))   /   SUM(OFFSET($BO$15,0,0,$B$14,1)) + $B$18/($B$19*$B$19*($DN164&lt;&gt;$DO164) + $B$19*($DN164=$DO164))</f>
        <v>3.7037037037037035E-4</v>
      </c>
      <c r="FT164" s="10" cm="1">
        <f t="array" aca="1" ref="FT164" ca="1">(1-$B$18)*SUMPRODUCT(OFFSET($BO$15,0,0,$B$14,1), 1*(_xlfn._xlws.FILTER(OFFSET($O$15,0,$DN164,$B$8,1),OFFSET($M$15,0,0,$B$8,1))=FT$13), 1*(_xlfn._xlws.FILTER(OFFSET($O$15,0,$DO164,$B$8,1),OFFSET($M$15,0,0,$B$8,1))=FT$14))   /   SUM(OFFSET($BO$15,0,0,$B$14,1)) + $B$18/($B$19*$B$19*($DN164&lt;&gt;$DO164) + $B$19*($DN164=$DO164))</f>
        <v>3.7037037037037035E-4</v>
      </c>
      <c r="FU164" s="10" cm="1">
        <f t="array" aca="1" ref="FU164" ca="1">(1-$B$18)*SUMPRODUCT(OFFSET($BO$15,0,0,$B$14,1), 1*(_xlfn._xlws.FILTER(OFFSET($O$15,0,$DN164,$B$8,1),OFFSET($M$15,0,0,$B$8,1))=FU$13), 1*(_xlfn._xlws.FILTER(OFFSET($O$15,0,$DO164,$B$8,1),OFFSET($M$15,0,0,$B$8,1))=FU$14))   /   SUM(OFFSET($BO$15,0,0,$B$14,1)) + $B$18/($B$19*$B$19*($DN164&lt;&gt;$DO164) + $B$19*($DN164=$DO164))</f>
        <v>3.7037037037037035E-4</v>
      </c>
      <c r="FV164" s="10" cm="1">
        <f t="array" aca="1" ref="FV164" ca="1">(1-$B$18)*SUMPRODUCT(OFFSET($BO$15,0,0,$B$14,1), 1*(_xlfn._xlws.FILTER(OFFSET($O$15,0,$DN164,$B$8,1),OFFSET($M$15,0,0,$B$8,1))=FV$13), 1*(_xlfn._xlws.FILTER(OFFSET($O$15,0,$DO164,$B$8,1),OFFSET($M$15,0,0,$B$8,1))=FV$14))   /   SUM(OFFSET($BO$15,0,0,$B$14,1)) + $B$18/($B$19*$B$19*($DN164&lt;&gt;$DO164) + $B$19*($DN164=$DO164))</f>
        <v>3.7037037037037035E-4</v>
      </c>
      <c r="FW164" s="10" cm="1">
        <f t="array" aca="1" ref="FW164" ca="1">(1-$B$18)*SUMPRODUCT(OFFSET($BO$15,0,0,$B$14,1), 1*(_xlfn._xlws.FILTER(OFFSET($O$15,0,$DN164,$B$8,1),OFFSET($M$15,0,0,$B$8,1))=FW$13), 1*(_xlfn._xlws.FILTER(OFFSET($O$15,0,$DO164,$B$8,1),OFFSET($M$15,0,0,$B$8,1))=FW$14))   /   SUM(OFFSET($BO$15,0,0,$B$14,1)) + $B$18/($B$19*$B$19*($DN164&lt;&gt;$DO164) + $B$19*($DN164=$DO164))</f>
        <v>3.7037037037037035E-4</v>
      </c>
      <c r="FX164" s="10" cm="1">
        <f t="array" aca="1" ref="FX164" ca="1">(1-$B$18)*SUMPRODUCT(OFFSET($BO$15,0,0,$B$14,1), 1*(_xlfn._xlws.FILTER(OFFSET($O$15,0,$DN164,$B$8,1),OFFSET($M$15,0,0,$B$8,1))=FX$13), 1*(_xlfn._xlws.FILTER(OFFSET($O$15,0,$DO164,$B$8,1),OFFSET($M$15,0,0,$B$8,1))=FX$14))   /   SUM(OFFSET($BO$15,0,0,$B$14,1)) + $B$18/($B$19*$B$19*($DN164&lt;&gt;$DO164) + $B$19*($DN164=$DO164))</f>
        <v>3.7037037037037035E-4</v>
      </c>
      <c r="FY164" s="10" cm="1">
        <f t="array" aca="1" ref="FY164" ca="1">(1-$B$18)*SUMPRODUCT(OFFSET($BO$15,0,0,$B$14,1), 1*(_xlfn._xlws.FILTER(OFFSET($O$15,0,$DN164,$B$8,1),OFFSET($M$15,0,0,$B$8,1))=FY$13), 1*(_xlfn._xlws.FILTER(OFFSET($O$15,0,$DO164,$B$8,1),OFFSET($M$15,0,0,$B$8,1))=FY$14))   /   SUM(OFFSET($BO$15,0,0,$B$14,1)) + $B$18/($B$19*$B$19*($DN164&lt;&gt;$DO164) + $B$19*($DN164=$DO164))</f>
        <v>3.7037037037037035E-4</v>
      </c>
      <c r="FZ164" s="10" cm="1">
        <f t="array" aca="1" ref="FZ164" ca="1">(1-$B$18)*SUMPRODUCT(OFFSET($BO$15,0,0,$B$14,1), 1*(_xlfn._xlws.FILTER(OFFSET($O$15,0,$DN164,$B$8,1),OFFSET($M$15,0,0,$B$8,1))=FZ$13), 1*(_xlfn._xlws.FILTER(OFFSET($O$15,0,$DO164,$B$8,1),OFFSET($M$15,0,0,$B$8,1))=FZ$14))   /   SUM(OFFSET($BO$15,0,0,$B$14,1)) + $B$18/($B$19*$B$19*($DN164&lt;&gt;$DO164) + $B$19*($DN164=$DO164))</f>
        <v>3.7037037037037035E-4</v>
      </c>
      <c r="GA164" s="10" cm="1">
        <f t="array" aca="1" ref="GA164" ca="1">(1-$B$18)*SUMPRODUCT(OFFSET($BO$15,0,0,$B$14,1), 1*(_xlfn._xlws.FILTER(OFFSET($O$15,0,$DN164,$B$8,1),OFFSET($M$15,0,0,$B$8,1))=GA$13), 1*(_xlfn._xlws.FILTER(OFFSET($O$15,0,$DO164,$B$8,1),OFFSET($M$15,0,0,$B$8,1))=GA$14))   /   SUM(OFFSET($BO$15,0,0,$B$14,1)) + $B$18/($B$19*$B$19*($DN164&lt;&gt;$DO164) + $B$19*($DN164=$DO164))</f>
        <v>3.7037037037037035E-4</v>
      </c>
    </row>
    <row r="165" spans="118:183" x14ac:dyDescent="0.2">
      <c r="DN165" cm="1">
        <f t="array" aca="1" ref="DN165" ca="1">INDEX(_xlfn.ANCHORARRAY($CP$15), 1 + INT((ROWS($DO$15:$DO165) - 1) / ROWS(_xlfn.ANCHORARRAY($CP$15))))</f>
        <v>7</v>
      </c>
      <c r="DO165" cm="1">
        <f t="array" aca="1" ref="DO165" ca="1">INDEX(_xlfn.ANCHORARRAY($CP$15),1+MOD(ROWS($DO$15:$DO165)-1,ROWS(_xlfn.ANCHORARRAY($CP$15))))</f>
        <v>20</v>
      </c>
      <c r="DP165" s="10" cm="1">
        <f t="array" aca="1" ref="DP165" ca="1">(1-$B$18)*SUMPRODUCT(OFFSET($BO$15,0,0,$B$14,1), 1*(_xlfn._xlws.FILTER(OFFSET($O$15,0,$DN165,$B$8,1),OFFSET($M$15,0,0,$B$8,1))=DP$13), 1*(_xlfn._xlws.FILTER(OFFSET($O$15,0,$DO165,$B$8,1),OFFSET($M$15,0,0,$B$8,1))=DP$14))   /   SUM(OFFSET($BO$15,0,0,$B$14,1)) + $B$18/($B$19*$B$19*($DN165&lt;&gt;$DO165) + $B$19*($DN165=$DO165))</f>
        <v>3.7037037037037035E-4</v>
      </c>
      <c r="DQ165" s="10" cm="1">
        <f t="array" aca="1" ref="DQ165" ca="1">(1-$B$18)*SUMPRODUCT(OFFSET($BO$15,0,0,$B$14,1), 1*(_xlfn._xlws.FILTER(OFFSET($O$15,0,$DN165,$B$8,1),OFFSET($M$15,0,0,$B$8,1))=DQ$13), 1*(_xlfn._xlws.FILTER(OFFSET($O$15,0,$DO165,$B$8,1),OFFSET($M$15,0,0,$B$8,1))=DQ$14))   /   SUM(OFFSET($BO$15,0,0,$B$14,1)) + $B$18/($B$19*$B$19*($DN165&lt;&gt;$DO165) + $B$19*($DN165=$DO165))</f>
        <v>3.7037037037037035E-4</v>
      </c>
      <c r="DR165" s="10" cm="1">
        <f t="array" aca="1" ref="DR165" ca="1">(1-$B$18)*SUMPRODUCT(OFFSET($BO$15,0,0,$B$14,1), 1*(_xlfn._xlws.FILTER(OFFSET($O$15,0,$DN165,$B$8,1),OFFSET($M$15,0,0,$B$8,1))=DR$13), 1*(_xlfn._xlws.FILTER(OFFSET($O$15,0,$DO165,$B$8,1),OFFSET($M$15,0,0,$B$8,1))=DR$14))   /   SUM(OFFSET($BO$15,0,0,$B$14,1)) + $B$18/($B$19*$B$19*($DN165&lt;&gt;$DO165) + $B$19*($DN165=$DO165))</f>
        <v>3.7037037037037035E-4</v>
      </c>
      <c r="DS165" s="10" cm="1">
        <f t="array" aca="1" ref="DS165" ca="1">(1-$B$18)*SUMPRODUCT(OFFSET($BO$15,0,0,$B$14,1), 1*(_xlfn._xlws.FILTER(OFFSET($O$15,0,$DN165,$B$8,1),OFFSET($M$15,0,0,$B$8,1))=DS$13), 1*(_xlfn._xlws.FILTER(OFFSET($O$15,0,$DO165,$B$8,1),OFFSET($M$15,0,0,$B$8,1))=DS$14))   /   SUM(OFFSET($BO$15,0,0,$B$14,1)) + $B$18/($B$19*$B$19*($DN165&lt;&gt;$DO165) + $B$19*($DN165=$DO165))</f>
        <v>3.7037037037037035E-4</v>
      </c>
      <c r="DT165" s="10" cm="1">
        <f t="array" aca="1" ref="DT165" ca="1">(1-$B$18)*SUMPRODUCT(OFFSET($BO$15,0,0,$B$14,1), 1*(_xlfn._xlws.FILTER(OFFSET($O$15,0,$DN165,$B$8,1),OFFSET($M$15,0,0,$B$8,1))=DT$13), 1*(_xlfn._xlws.FILTER(OFFSET($O$15,0,$DO165,$B$8,1),OFFSET($M$15,0,0,$B$8,1))=DT$14))   /   SUM(OFFSET($BO$15,0,0,$B$14,1)) + $B$18/($B$19*$B$19*($DN165&lt;&gt;$DO165) + $B$19*($DN165=$DO165))</f>
        <v>3.7037037037037035E-4</v>
      </c>
      <c r="DU165" s="10" cm="1">
        <f t="array" aca="1" ref="DU165" ca="1">(1-$B$18)*SUMPRODUCT(OFFSET($BO$15,0,0,$B$14,1), 1*(_xlfn._xlws.FILTER(OFFSET($O$15,0,$DN165,$B$8,1),OFFSET($M$15,0,0,$B$8,1))=DU$13), 1*(_xlfn._xlws.FILTER(OFFSET($O$15,0,$DO165,$B$8,1),OFFSET($M$15,0,0,$B$8,1))=DU$14))   /   SUM(OFFSET($BO$15,0,0,$B$14,1)) + $B$18/($B$19*$B$19*($DN165&lt;&gt;$DO165) + $B$19*($DN165=$DO165))</f>
        <v>3.7037037037037035E-4</v>
      </c>
      <c r="DV165" s="10" cm="1">
        <f t="array" aca="1" ref="DV165" ca="1">(1-$B$18)*SUMPRODUCT(OFFSET($BO$15,0,0,$B$14,1), 1*(_xlfn._xlws.FILTER(OFFSET($O$15,0,$DN165,$B$8,1),OFFSET($M$15,0,0,$B$8,1))=DV$13), 1*(_xlfn._xlws.FILTER(OFFSET($O$15,0,$DO165,$B$8,1),OFFSET($M$15,0,0,$B$8,1))=DV$14))   /   SUM(OFFSET($BO$15,0,0,$B$14,1)) + $B$18/($B$19*$B$19*($DN165&lt;&gt;$DO165) + $B$19*($DN165=$DO165))</f>
        <v>3.7037037037037035E-4</v>
      </c>
      <c r="DW165" s="10" cm="1">
        <f t="array" aca="1" ref="DW165" ca="1">(1-$B$18)*SUMPRODUCT(OFFSET($BO$15,0,0,$B$14,1), 1*(_xlfn._xlws.FILTER(OFFSET($O$15,0,$DN165,$B$8,1),OFFSET($M$15,0,0,$B$8,1))=DW$13), 1*(_xlfn._xlws.FILTER(OFFSET($O$15,0,$DO165,$B$8,1),OFFSET($M$15,0,0,$B$8,1))=DW$14))   /   SUM(OFFSET($BO$15,0,0,$B$14,1)) + $B$18/($B$19*$B$19*($DN165&lt;&gt;$DO165) + $B$19*($DN165=$DO165))</f>
        <v>3.7037037037037035E-4</v>
      </c>
      <c r="DX165" s="10" cm="1">
        <f t="array" aca="1" ref="DX165" ca="1">(1-$B$18)*SUMPRODUCT(OFFSET($BO$15,0,0,$B$14,1), 1*(_xlfn._xlws.FILTER(OFFSET($O$15,0,$DN165,$B$8,1),OFFSET($M$15,0,0,$B$8,1))=DX$13), 1*(_xlfn._xlws.FILTER(OFFSET($O$15,0,$DO165,$B$8,1),OFFSET($M$15,0,0,$B$8,1))=DX$14))   /   SUM(OFFSET($BO$15,0,0,$B$14,1)) + $B$18/($B$19*$B$19*($DN165&lt;&gt;$DO165) + $B$19*($DN165=$DO165))</f>
        <v>3.7037037037037035E-4</v>
      </c>
      <c r="DY165" s="10" cm="1">
        <f t="array" aca="1" ref="DY165" ca="1">(1-$B$18)*SUMPRODUCT(OFFSET($BO$15,0,0,$B$14,1), 1*(_xlfn._xlws.FILTER(OFFSET($O$15,0,$DN165,$B$8,1),OFFSET($M$15,0,0,$B$8,1))=DY$13), 1*(_xlfn._xlws.FILTER(OFFSET($O$15,0,$DO165,$B$8,1),OFFSET($M$15,0,0,$B$8,1))=DY$14))   /   SUM(OFFSET($BO$15,0,0,$B$14,1)) + $B$18/($B$19*$B$19*($DN165&lt;&gt;$DO165) + $B$19*($DN165=$DO165))</f>
        <v>3.7037037037037035E-4</v>
      </c>
      <c r="DZ165" s="10" cm="1">
        <f t="array" aca="1" ref="DZ165" ca="1">(1-$B$18)*SUMPRODUCT(OFFSET($BO$15,0,0,$B$14,1), 1*(_xlfn._xlws.FILTER(OFFSET($O$15,0,$DN165,$B$8,1),OFFSET($M$15,0,0,$B$8,1))=DZ$13), 1*(_xlfn._xlws.FILTER(OFFSET($O$15,0,$DO165,$B$8,1),OFFSET($M$15,0,0,$B$8,1))=DZ$14))   /   SUM(OFFSET($BO$15,0,0,$B$14,1)) + $B$18/($B$19*$B$19*($DN165&lt;&gt;$DO165) + $B$19*($DN165=$DO165))</f>
        <v>3.7037037037037035E-4</v>
      </c>
      <c r="EA165" s="10" cm="1">
        <f t="array" aca="1" ref="EA165" ca="1">(1-$B$18)*SUMPRODUCT(OFFSET($BO$15,0,0,$B$14,1), 1*(_xlfn._xlws.FILTER(OFFSET($O$15,0,$DN165,$B$8,1),OFFSET($M$15,0,0,$B$8,1))=EA$13), 1*(_xlfn._xlws.FILTER(OFFSET($O$15,0,$DO165,$B$8,1),OFFSET($M$15,0,0,$B$8,1))=EA$14))   /   SUM(OFFSET($BO$15,0,0,$B$14,1)) + $B$18/($B$19*$B$19*($DN165&lt;&gt;$DO165) + $B$19*($DN165=$DO165))</f>
        <v>3.7037037037037035E-4</v>
      </c>
      <c r="EB165" s="10" cm="1">
        <f t="array" aca="1" ref="EB165" ca="1">(1-$B$18)*SUMPRODUCT(OFFSET($BO$15,0,0,$B$14,1), 1*(_xlfn._xlws.FILTER(OFFSET($O$15,0,$DN165,$B$8,1),OFFSET($M$15,0,0,$B$8,1))=EB$13), 1*(_xlfn._xlws.FILTER(OFFSET($O$15,0,$DO165,$B$8,1),OFFSET($M$15,0,0,$B$8,1))=EB$14))   /   SUM(OFFSET($BO$15,0,0,$B$14,1)) + $B$18/($B$19*$B$19*($DN165&lt;&gt;$DO165) + $B$19*($DN165=$DO165))</f>
        <v>3.7037037037037035E-4</v>
      </c>
      <c r="EC165" s="10" cm="1">
        <f t="array" aca="1" ref="EC165" ca="1">(1-$B$18)*SUMPRODUCT(OFFSET($BO$15,0,0,$B$14,1), 1*(_xlfn._xlws.FILTER(OFFSET($O$15,0,$DN165,$B$8,1),OFFSET($M$15,0,0,$B$8,1))=EC$13), 1*(_xlfn._xlws.FILTER(OFFSET($O$15,0,$DO165,$B$8,1),OFFSET($M$15,0,0,$B$8,1))=EC$14))   /   SUM(OFFSET($BO$15,0,0,$B$14,1)) + $B$18/($B$19*$B$19*($DN165&lt;&gt;$DO165) + $B$19*($DN165=$DO165))</f>
        <v>3.7037037037037035E-4</v>
      </c>
      <c r="ED165" s="10" cm="1">
        <f t="array" aca="1" ref="ED165" ca="1">(1-$B$18)*SUMPRODUCT(OFFSET($BO$15,0,0,$B$14,1), 1*(_xlfn._xlws.FILTER(OFFSET($O$15,0,$DN165,$B$8,1),OFFSET($M$15,0,0,$B$8,1))=ED$13), 1*(_xlfn._xlws.FILTER(OFFSET($O$15,0,$DO165,$B$8,1),OFFSET($M$15,0,0,$B$8,1))=ED$14))   /   SUM(OFFSET($BO$15,0,0,$B$14,1)) + $B$18/($B$19*$B$19*($DN165&lt;&gt;$DO165) + $B$19*($DN165=$DO165))</f>
        <v>3.7037037037037035E-4</v>
      </c>
      <c r="EE165" s="10" cm="1">
        <f t="array" aca="1" ref="EE165" ca="1">(1-$B$18)*SUMPRODUCT(OFFSET($BO$15,0,0,$B$14,1), 1*(_xlfn._xlws.FILTER(OFFSET($O$15,0,$DN165,$B$8,1),OFFSET($M$15,0,0,$B$8,1))=EE$13), 1*(_xlfn._xlws.FILTER(OFFSET($O$15,0,$DO165,$B$8,1),OFFSET($M$15,0,0,$B$8,1))=EE$14))   /   SUM(OFFSET($BO$15,0,0,$B$14,1)) + $B$18/($B$19*$B$19*($DN165&lt;&gt;$DO165) + $B$19*($DN165=$DO165))</f>
        <v>3.7037037037037035E-4</v>
      </c>
      <c r="EF165" s="10" cm="1">
        <f t="array" aca="1" ref="EF165" ca="1">(1-$B$18)*SUMPRODUCT(OFFSET($BO$15,0,0,$B$14,1), 1*(_xlfn._xlws.FILTER(OFFSET($O$15,0,$DN165,$B$8,1),OFFSET($M$15,0,0,$B$8,1))=EF$13), 1*(_xlfn._xlws.FILTER(OFFSET($O$15,0,$DO165,$B$8,1),OFFSET($M$15,0,0,$B$8,1))=EF$14))   /   SUM(OFFSET($BO$15,0,0,$B$14,1)) + $B$18/($B$19*$B$19*($DN165&lt;&gt;$DO165) + $B$19*($DN165=$DO165))</f>
        <v>3.7037037037037035E-4</v>
      </c>
      <c r="EG165" s="10" cm="1">
        <f t="array" aca="1" ref="EG165" ca="1">(1-$B$18)*SUMPRODUCT(OFFSET($BO$15,0,0,$B$14,1), 1*(_xlfn._xlws.FILTER(OFFSET($O$15,0,$DN165,$B$8,1),OFFSET($M$15,0,0,$B$8,1))=EG$13), 1*(_xlfn._xlws.FILTER(OFFSET($O$15,0,$DO165,$B$8,1),OFFSET($M$15,0,0,$B$8,1))=EG$14))   /   SUM(OFFSET($BO$15,0,0,$B$14,1)) + $B$18/($B$19*$B$19*($DN165&lt;&gt;$DO165) + $B$19*($DN165=$DO165))</f>
        <v>3.7037037037037035E-4</v>
      </c>
      <c r="EH165" s="10" cm="1">
        <f t="array" aca="1" ref="EH165" ca="1">(1-$B$18)*SUMPRODUCT(OFFSET($BO$15,0,0,$B$14,1), 1*(_xlfn._xlws.FILTER(OFFSET($O$15,0,$DN165,$B$8,1),OFFSET($M$15,0,0,$B$8,1))=EH$13), 1*(_xlfn._xlws.FILTER(OFFSET($O$15,0,$DO165,$B$8,1),OFFSET($M$15,0,0,$B$8,1))=EH$14))   /   SUM(OFFSET($BO$15,0,0,$B$14,1)) + $B$18/($B$19*$B$19*($DN165&lt;&gt;$DO165) + $B$19*($DN165=$DO165))</f>
        <v>3.7037037037037035E-4</v>
      </c>
      <c r="EI165" s="10" cm="1">
        <f t="array" aca="1" ref="EI165" ca="1">(1-$B$18)*SUMPRODUCT(OFFSET($BO$15,0,0,$B$14,1), 1*(_xlfn._xlws.FILTER(OFFSET($O$15,0,$DN165,$B$8,1),OFFSET($M$15,0,0,$B$8,1))=EI$13), 1*(_xlfn._xlws.FILTER(OFFSET($O$15,0,$DO165,$B$8,1),OFFSET($M$15,0,0,$B$8,1))=EI$14))   /   SUM(OFFSET($BO$15,0,0,$B$14,1)) + $B$18/($B$19*$B$19*($DN165&lt;&gt;$DO165) + $B$19*($DN165=$DO165))</f>
        <v>3.7037037037037035E-4</v>
      </c>
      <c r="EJ165" s="10" cm="1">
        <f t="array" aca="1" ref="EJ165" ca="1">(1-$B$18)*SUMPRODUCT(OFFSET($BO$15,0,0,$B$14,1), 1*(_xlfn._xlws.FILTER(OFFSET($O$15,0,$DN165,$B$8,1),OFFSET($M$15,0,0,$B$8,1))=EJ$13), 1*(_xlfn._xlws.FILTER(OFFSET($O$15,0,$DO165,$B$8,1),OFFSET($M$15,0,0,$B$8,1))=EJ$14))   /   SUM(OFFSET($BO$15,0,0,$B$14,1)) + $B$18/($B$19*$B$19*($DN165&lt;&gt;$DO165) + $B$19*($DN165=$DO165))</f>
        <v>3.7037037037037035E-4</v>
      </c>
      <c r="EK165" s="10" cm="1">
        <f t="array" aca="1" ref="EK165" ca="1">(1-$B$18)*SUMPRODUCT(OFFSET($BO$15,0,0,$B$14,1), 1*(_xlfn._xlws.FILTER(OFFSET($O$15,0,$DN165,$B$8,1),OFFSET($M$15,0,0,$B$8,1))=EK$13), 1*(_xlfn._xlws.FILTER(OFFSET($O$15,0,$DO165,$B$8,1),OFFSET($M$15,0,0,$B$8,1))=EK$14))   /   SUM(OFFSET($BO$15,0,0,$B$14,1)) + $B$18/($B$19*$B$19*($DN165&lt;&gt;$DO165) + $B$19*($DN165=$DO165))</f>
        <v>3.7037037037037035E-4</v>
      </c>
      <c r="EL165" s="10" cm="1">
        <f t="array" aca="1" ref="EL165" ca="1">(1-$B$18)*SUMPRODUCT(OFFSET($BO$15,0,0,$B$14,1), 1*(_xlfn._xlws.FILTER(OFFSET($O$15,0,$DN165,$B$8,1),OFFSET($M$15,0,0,$B$8,1))=EL$13), 1*(_xlfn._xlws.FILTER(OFFSET($O$15,0,$DO165,$B$8,1),OFFSET($M$15,0,0,$B$8,1))=EL$14))   /   SUM(OFFSET($BO$15,0,0,$B$14,1)) + $B$18/($B$19*$B$19*($DN165&lt;&gt;$DO165) + $B$19*($DN165=$DO165))</f>
        <v>3.7037037037037035E-4</v>
      </c>
      <c r="EM165" s="10" cm="1">
        <f t="array" aca="1" ref="EM165" ca="1">(1-$B$18)*SUMPRODUCT(OFFSET($BO$15,0,0,$B$14,1), 1*(_xlfn._xlws.FILTER(OFFSET($O$15,0,$DN165,$B$8,1),OFFSET($M$15,0,0,$B$8,1))=EM$13), 1*(_xlfn._xlws.FILTER(OFFSET($O$15,0,$DO165,$B$8,1),OFFSET($M$15,0,0,$B$8,1))=EM$14))   /   SUM(OFFSET($BO$15,0,0,$B$14,1)) + $B$18/($B$19*$B$19*($DN165&lt;&gt;$DO165) + $B$19*($DN165=$DO165))</f>
        <v>3.7037037037037035E-4</v>
      </c>
      <c r="EN165" s="10" cm="1">
        <f t="array" aca="1" ref="EN165" ca="1">(1-$B$18)*SUMPRODUCT(OFFSET($BO$15,0,0,$B$14,1), 1*(_xlfn._xlws.FILTER(OFFSET($O$15,0,$DN165,$B$8,1),OFFSET($M$15,0,0,$B$8,1))=EN$13), 1*(_xlfn._xlws.FILTER(OFFSET($O$15,0,$DO165,$B$8,1),OFFSET($M$15,0,0,$B$8,1))=EN$14))   /   SUM(OFFSET($BO$15,0,0,$B$14,1)) + $B$18/($B$19*$B$19*($DN165&lt;&gt;$DO165) + $B$19*($DN165=$DO165))</f>
        <v>3.7037037037037035E-4</v>
      </c>
      <c r="EO165" s="10" cm="1">
        <f t="array" aca="1" ref="EO165" ca="1">(1-$B$18)*SUMPRODUCT(OFFSET($BO$15,0,0,$B$14,1), 1*(_xlfn._xlws.FILTER(OFFSET($O$15,0,$DN165,$B$8,1),OFFSET($M$15,0,0,$B$8,1))=EO$13), 1*(_xlfn._xlws.FILTER(OFFSET($O$15,0,$DO165,$B$8,1),OFFSET($M$15,0,0,$B$8,1))=EO$14))   /   SUM(OFFSET($BO$15,0,0,$B$14,1)) + $B$18/($B$19*$B$19*($DN165&lt;&gt;$DO165) + $B$19*($DN165=$DO165))</f>
        <v>3.7037037037037035E-4</v>
      </c>
      <c r="EP165" s="10" cm="1">
        <f t="array" aca="1" ref="EP165" ca="1">(1-$B$18)*SUMPRODUCT(OFFSET($BO$15,0,0,$B$14,1), 1*(_xlfn._xlws.FILTER(OFFSET($O$15,0,$DN165,$B$8,1),OFFSET($M$15,0,0,$B$8,1))=EP$13), 1*(_xlfn._xlws.FILTER(OFFSET($O$15,0,$DO165,$B$8,1),OFFSET($M$15,0,0,$B$8,1))=EP$14))   /   SUM(OFFSET($BO$15,0,0,$B$14,1)) + $B$18/($B$19*$B$19*($DN165&lt;&gt;$DO165) + $B$19*($DN165=$DO165))</f>
        <v>3.7037037037037035E-4</v>
      </c>
      <c r="EQ165" s="10" cm="1">
        <f t="array" aca="1" ref="EQ165" ca="1">(1-$B$18)*SUMPRODUCT(OFFSET($BO$15,0,0,$B$14,1), 1*(_xlfn._xlws.FILTER(OFFSET($O$15,0,$DN165,$B$8,1),OFFSET($M$15,0,0,$B$8,1))=EQ$13), 1*(_xlfn._xlws.FILTER(OFFSET($O$15,0,$DO165,$B$8,1),OFFSET($M$15,0,0,$B$8,1))=EQ$14))   /   SUM(OFFSET($BO$15,0,0,$B$14,1)) + $B$18/($B$19*$B$19*($DN165&lt;&gt;$DO165) + $B$19*($DN165=$DO165))</f>
        <v>3.7037037037037035E-4</v>
      </c>
      <c r="ER165" s="10" cm="1">
        <f t="array" aca="1" ref="ER165" ca="1">(1-$B$18)*SUMPRODUCT(OFFSET($BO$15,0,0,$B$14,1), 1*(_xlfn._xlws.FILTER(OFFSET($O$15,0,$DN165,$B$8,1),OFFSET($M$15,0,0,$B$8,1))=ER$13), 1*(_xlfn._xlws.FILTER(OFFSET($O$15,0,$DO165,$B$8,1),OFFSET($M$15,0,0,$B$8,1))=ER$14))   /   SUM(OFFSET($BO$15,0,0,$B$14,1)) + $B$18/($B$19*$B$19*($DN165&lt;&gt;$DO165) + $B$19*($DN165=$DO165))</f>
        <v>3.7037037037037035E-4</v>
      </c>
      <c r="ES165" s="10" cm="1">
        <f t="array" aca="1" ref="ES165" ca="1">(1-$B$18)*SUMPRODUCT(OFFSET($BO$15,0,0,$B$14,1), 1*(_xlfn._xlws.FILTER(OFFSET($O$15,0,$DN165,$B$8,1),OFFSET($M$15,0,0,$B$8,1))=ES$13), 1*(_xlfn._xlws.FILTER(OFFSET($O$15,0,$DO165,$B$8,1),OFFSET($M$15,0,0,$B$8,1))=ES$14))   /   SUM(OFFSET($BO$15,0,0,$B$14,1)) + $B$18/($B$19*$B$19*($DN165&lt;&gt;$DO165) + $B$19*($DN165=$DO165))</f>
        <v>3.7037037037037035E-4</v>
      </c>
      <c r="ET165" s="10" cm="1">
        <f t="array" aca="1" ref="ET165" ca="1">(1-$B$18)*SUMPRODUCT(OFFSET($BO$15,0,0,$B$14,1), 1*(_xlfn._xlws.FILTER(OFFSET($O$15,0,$DN165,$B$8,1),OFFSET($M$15,0,0,$B$8,1))=ET$13), 1*(_xlfn._xlws.FILTER(OFFSET($O$15,0,$DO165,$B$8,1),OFFSET($M$15,0,0,$B$8,1))=ET$14))   /   SUM(OFFSET($BO$15,0,0,$B$14,1)) + $B$18/($B$19*$B$19*($DN165&lt;&gt;$DO165) + $B$19*($DN165=$DO165))</f>
        <v>3.7037037037037035E-4</v>
      </c>
      <c r="EU165" s="10" cm="1">
        <f t="array" aca="1" ref="EU165" ca="1">(1-$B$18)*SUMPRODUCT(OFFSET($BO$15,0,0,$B$14,1), 1*(_xlfn._xlws.FILTER(OFFSET($O$15,0,$DN165,$B$8,1),OFFSET($M$15,0,0,$B$8,1))=EU$13), 1*(_xlfn._xlws.FILTER(OFFSET($O$15,0,$DO165,$B$8,1),OFFSET($M$15,0,0,$B$8,1))=EU$14))   /   SUM(OFFSET($BO$15,0,0,$B$14,1)) + $B$18/($B$19*$B$19*($DN165&lt;&gt;$DO165) + $B$19*($DN165=$DO165))</f>
        <v>3.7037037037037035E-4</v>
      </c>
      <c r="EV165" s="10" cm="1">
        <f t="array" aca="1" ref="EV165" ca="1">(1-$B$18)*SUMPRODUCT(OFFSET($BO$15,0,0,$B$14,1), 1*(_xlfn._xlws.FILTER(OFFSET($O$15,0,$DN165,$B$8,1),OFFSET($M$15,0,0,$B$8,1))=EV$13), 1*(_xlfn._xlws.FILTER(OFFSET($O$15,0,$DO165,$B$8,1),OFFSET($M$15,0,0,$B$8,1))=EV$14))   /   SUM(OFFSET($BO$15,0,0,$B$14,1)) + $B$18/($B$19*$B$19*($DN165&lt;&gt;$DO165) + $B$19*($DN165=$DO165))</f>
        <v>3.7037037037037035E-4</v>
      </c>
      <c r="EW165" s="10" cm="1">
        <f t="array" aca="1" ref="EW165" ca="1">(1-$B$18)*SUMPRODUCT(OFFSET($BO$15,0,0,$B$14,1), 1*(_xlfn._xlws.FILTER(OFFSET($O$15,0,$DN165,$B$8,1),OFFSET($M$15,0,0,$B$8,1))=EW$13), 1*(_xlfn._xlws.FILTER(OFFSET($O$15,0,$DO165,$B$8,1),OFFSET($M$15,0,0,$B$8,1))=EW$14))   /   SUM(OFFSET($BO$15,0,0,$B$14,1)) + $B$18/($B$19*$B$19*($DN165&lt;&gt;$DO165) + $B$19*($DN165=$DO165))</f>
        <v>3.7037037037037035E-4</v>
      </c>
      <c r="EX165" s="10" cm="1">
        <f t="array" aca="1" ref="EX165" ca="1">(1-$B$18)*SUMPRODUCT(OFFSET($BO$15,0,0,$B$14,1), 1*(_xlfn._xlws.FILTER(OFFSET($O$15,0,$DN165,$B$8,1),OFFSET($M$15,0,0,$B$8,1))=EX$13), 1*(_xlfn._xlws.FILTER(OFFSET($O$15,0,$DO165,$B$8,1),OFFSET($M$15,0,0,$B$8,1))=EX$14))   /   SUM(OFFSET($BO$15,0,0,$B$14,1)) + $B$18/($B$19*$B$19*($DN165&lt;&gt;$DO165) + $B$19*($DN165=$DO165))</f>
        <v>3.7037037037037035E-4</v>
      </c>
      <c r="EY165" s="10" cm="1">
        <f t="array" aca="1" ref="EY165" ca="1">(1-$B$18)*SUMPRODUCT(OFFSET($BO$15,0,0,$B$14,1), 1*(_xlfn._xlws.FILTER(OFFSET($O$15,0,$DN165,$B$8,1),OFFSET($M$15,0,0,$B$8,1))=EY$13), 1*(_xlfn._xlws.FILTER(OFFSET($O$15,0,$DO165,$B$8,1),OFFSET($M$15,0,0,$B$8,1))=EY$14))   /   SUM(OFFSET($BO$15,0,0,$B$14,1)) + $B$18/($B$19*$B$19*($DN165&lt;&gt;$DO165) + $B$19*($DN165=$DO165))</f>
        <v>3.7037037037037035E-4</v>
      </c>
      <c r="EZ165" s="10" cm="1">
        <f t="array" aca="1" ref="EZ165" ca="1">(1-$B$18)*SUMPRODUCT(OFFSET($BO$15,0,0,$B$14,1), 1*(_xlfn._xlws.FILTER(OFFSET($O$15,0,$DN165,$B$8,1),OFFSET($M$15,0,0,$B$8,1))=EZ$13), 1*(_xlfn._xlws.FILTER(OFFSET($O$15,0,$DO165,$B$8,1),OFFSET($M$15,0,0,$B$8,1))=EZ$14))   /   SUM(OFFSET($BO$15,0,0,$B$14,1)) + $B$18/($B$19*$B$19*($DN165&lt;&gt;$DO165) + $B$19*($DN165=$DO165))</f>
        <v>3.7037037037037035E-4</v>
      </c>
      <c r="FA165" s="10" cm="1">
        <f t="array" aca="1" ref="FA165" ca="1">(1-$B$18)*SUMPRODUCT(OFFSET($BO$15,0,0,$B$14,1), 1*(_xlfn._xlws.FILTER(OFFSET($O$15,0,$DN165,$B$8,1),OFFSET($M$15,0,0,$B$8,1))=FA$13), 1*(_xlfn._xlws.FILTER(OFFSET($O$15,0,$DO165,$B$8,1),OFFSET($M$15,0,0,$B$8,1))=FA$14))   /   SUM(OFFSET($BO$15,0,0,$B$14,1)) + $B$18/($B$19*$B$19*($DN165&lt;&gt;$DO165) + $B$19*($DN165=$DO165))</f>
        <v>3.7037037037037035E-4</v>
      </c>
      <c r="FB165" s="10" cm="1">
        <f t="array" aca="1" ref="FB165" ca="1">(1-$B$18)*SUMPRODUCT(OFFSET($BO$15,0,0,$B$14,1), 1*(_xlfn._xlws.FILTER(OFFSET($O$15,0,$DN165,$B$8,1),OFFSET($M$15,0,0,$B$8,1))=FB$13), 1*(_xlfn._xlws.FILTER(OFFSET($O$15,0,$DO165,$B$8,1),OFFSET($M$15,0,0,$B$8,1))=FB$14))   /   SUM(OFFSET($BO$15,0,0,$B$14,1)) + $B$18/($B$19*$B$19*($DN165&lt;&gt;$DO165) + $B$19*($DN165=$DO165))</f>
        <v>3.7037037037037035E-4</v>
      </c>
      <c r="FC165" s="10" cm="1">
        <f t="array" aca="1" ref="FC165" ca="1">(1-$B$18)*SUMPRODUCT(OFFSET($BO$15,0,0,$B$14,1), 1*(_xlfn._xlws.FILTER(OFFSET($O$15,0,$DN165,$B$8,1),OFFSET($M$15,0,0,$B$8,1))=FC$13), 1*(_xlfn._xlws.FILTER(OFFSET($O$15,0,$DO165,$B$8,1),OFFSET($M$15,0,0,$B$8,1))=FC$14))   /   SUM(OFFSET($BO$15,0,0,$B$14,1)) + $B$18/($B$19*$B$19*($DN165&lt;&gt;$DO165) + $B$19*($DN165=$DO165))</f>
        <v>3.7037037037037035E-4</v>
      </c>
      <c r="FD165" s="10" cm="1">
        <f t="array" aca="1" ref="FD165" ca="1">(1-$B$18)*SUMPRODUCT(OFFSET($BO$15,0,0,$B$14,1), 1*(_xlfn._xlws.FILTER(OFFSET($O$15,0,$DN165,$B$8,1),OFFSET($M$15,0,0,$B$8,1))=FD$13), 1*(_xlfn._xlws.FILTER(OFFSET($O$15,0,$DO165,$B$8,1),OFFSET($M$15,0,0,$B$8,1))=FD$14))   /   SUM(OFFSET($BO$15,0,0,$B$14,1)) + $B$18/($B$19*$B$19*($DN165&lt;&gt;$DO165) + $B$19*($DN165=$DO165))</f>
        <v>3.7037037037037035E-4</v>
      </c>
      <c r="FE165" s="10" cm="1">
        <f t="array" aca="1" ref="FE165" ca="1">(1-$B$18)*SUMPRODUCT(OFFSET($BO$15,0,0,$B$14,1), 1*(_xlfn._xlws.FILTER(OFFSET($O$15,0,$DN165,$B$8,1),OFFSET($M$15,0,0,$B$8,1))=FE$13), 1*(_xlfn._xlws.FILTER(OFFSET($O$15,0,$DO165,$B$8,1),OFFSET($M$15,0,0,$B$8,1))=FE$14))   /   SUM(OFFSET($BO$15,0,0,$B$14,1)) + $B$18/($B$19*$B$19*($DN165&lt;&gt;$DO165) + $B$19*($DN165=$DO165))</f>
        <v>3.7037037037037035E-4</v>
      </c>
      <c r="FF165" s="10" cm="1">
        <f t="array" aca="1" ref="FF165" ca="1">(1-$B$18)*SUMPRODUCT(OFFSET($BO$15,0,0,$B$14,1), 1*(_xlfn._xlws.FILTER(OFFSET($O$15,0,$DN165,$B$8,1),OFFSET($M$15,0,0,$B$8,1))=FF$13), 1*(_xlfn._xlws.FILTER(OFFSET($O$15,0,$DO165,$B$8,1),OFFSET($M$15,0,0,$B$8,1))=FF$14))   /   SUM(OFFSET($BO$15,0,0,$B$14,1)) + $B$18/($B$19*$B$19*($DN165&lt;&gt;$DO165) + $B$19*($DN165=$DO165))</f>
        <v>3.7037037037037035E-4</v>
      </c>
      <c r="FG165" s="10" cm="1">
        <f t="array" aca="1" ref="FG165" ca="1">(1-$B$18)*SUMPRODUCT(OFFSET($BO$15,0,0,$B$14,1), 1*(_xlfn._xlws.FILTER(OFFSET($O$15,0,$DN165,$B$8,1),OFFSET($M$15,0,0,$B$8,1))=FG$13), 1*(_xlfn._xlws.FILTER(OFFSET($O$15,0,$DO165,$B$8,1),OFFSET($M$15,0,0,$B$8,1))=FG$14))   /   SUM(OFFSET($BO$15,0,0,$B$14,1)) + $B$18/($B$19*$B$19*($DN165&lt;&gt;$DO165) + $B$19*($DN165=$DO165))</f>
        <v>3.7037037037037035E-4</v>
      </c>
      <c r="FH165" s="10" cm="1">
        <f t="array" aca="1" ref="FH165" ca="1">(1-$B$18)*SUMPRODUCT(OFFSET($BO$15,0,0,$B$14,1), 1*(_xlfn._xlws.FILTER(OFFSET($O$15,0,$DN165,$B$8,1),OFFSET($M$15,0,0,$B$8,1))=FH$13), 1*(_xlfn._xlws.FILTER(OFFSET($O$15,0,$DO165,$B$8,1),OFFSET($M$15,0,0,$B$8,1))=FH$14))   /   SUM(OFFSET($BO$15,0,0,$B$14,1)) + $B$18/($B$19*$B$19*($DN165&lt;&gt;$DO165) + $B$19*($DN165=$DO165))</f>
        <v>3.7037037037037035E-4</v>
      </c>
      <c r="FI165" s="10" cm="1">
        <f t="array" aca="1" ref="FI165" ca="1">(1-$B$18)*SUMPRODUCT(OFFSET($BO$15,0,0,$B$14,1), 1*(_xlfn._xlws.FILTER(OFFSET($O$15,0,$DN165,$B$8,1),OFFSET($M$15,0,0,$B$8,1))=FI$13), 1*(_xlfn._xlws.FILTER(OFFSET($O$15,0,$DO165,$B$8,1),OFFSET($M$15,0,0,$B$8,1))=FI$14))   /   SUM(OFFSET($BO$15,0,0,$B$14,1)) + $B$18/($B$19*$B$19*($DN165&lt;&gt;$DO165) + $B$19*($DN165=$DO165))</f>
        <v>3.7037037037037035E-4</v>
      </c>
      <c r="FJ165" s="10" cm="1">
        <f t="array" aca="1" ref="FJ165" ca="1">(1-$B$18)*SUMPRODUCT(OFFSET($BO$15,0,0,$B$14,1), 1*(_xlfn._xlws.FILTER(OFFSET($O$15,0,$DN165,$B$8,1),OFFSET($M$15,0,0,$B$8,1))=FJ$13), 1*(_xlfn._xlws.FILTER(OFFSET($O$15,0,$DO165,$B$8,1),OFFSET($M$15,0,0,$B$8,1))=FJ$14))   /   SUM(OFFSET($BO$15,0,0,$B$14,1)) + $B$18/($B$19*$B$19*($DN165&lt;&gt;$DO165) + $B$19*($DN165=$DO165))</f>
        <v>3.7037037037037035E-4</v>
      </c>
      <c r="FK165" s="10" cm="1">
        <f t="array" aca="1" ref="FK165" ca="1">(1-$B$18)*SUMPRODUCT(OFFSET($BO$15,0,0,$B$14,1), 1*(_xlfn._xlws.FILTER(OFFSET($O$15,0,$DN165,$B$8,1),OFFSET($M$15,0,0,$B$8,1))=FK$13), 1*(_xlfn._xlws.FILTER(OFFSET($O$15,0,$DO165,$B$8,1),OFFSET($M$15,0,0,$B$8,1))=FK$14))   /   SUM(OFFSET($BO$15,0,0,$B$14,1)) + $B$18/($B$19*$B$19*($DN165&lt;&gt;$DO165) + $B$19*($DN165=$DO165))</f>
        <v>3.7037037037037035E-4</v>
      </c>
      <c r="FL165" s="10" cm="1">
        <f t="array" aca="1" ref="FL165" ca="1">(1-$B$18)*SUMPRODUCT(OFFSET($BO$15,0,0,$B$14,1), 1*(_xlfn._xlws.FILTER(OFFSET($O$15,0,$DN165,$B$8,1),OFFSET($M$15,0,0,$B$8,1))=FL$13), 1*(_xlfn._xlws.FILTER(OFFSET($O$15,0,$DO165,$B$8,1),OFFSET($M$15,0,0,$B$8,1))=FL$14))   /   SUM(OFFSET($BO$15,0,0,$B$14,1)) + $B$18/($B$19*$B$19*($DN165&lt;&gt;$DO165) + $B$19*($DN165=$DO165))</f>
        <v>3.7037037037037035E-4</v>
      </c>
      <c r="FM165" s="10" cm="1">
        <f t="array" aca="1" ref="FM165" ca="1">(1-$B$18)*SUMPRODUCT(OFFSET($BO$15,0,0,$B$14,1), 1*(_xlfn._xlws.FILTER(OFFSET($O$15,0,$DN165,$B$8,1),OFFSET($M$15,0,0,$B$8,1))=FM$13), 1*(_xlfn._xlws.FILTER(OFFSET($O$15,0,$DO165,$B$8,1),OFFSET($M$15,0,0,$B$8,1))=FM$14))   /   SUM(OFFSET($BO$15,0,0,$B$14,1)) + $B$18/($B$19*$B$19*($DN165&lt;&gt;$DO165) + $B$19*($DN165=$DO165))</f>
        <v>3.7037037037037035E-4</v>
      </c>
      <c r="FN165" s="10" cm="1">
        <f t="array" aca="1" ref="FN165" ca="1">(1-$B$18)*SUMPRODUCT(OFFSET($BO$15,0,0,$B$14,1), 1*(_xlfn._xlws.FILTER(OFFSET($O$15,0,$DN165,$B$8,1),OFFSET($M$15,0,0,$B$8,1))=FN$13), 1*(_xlfn._xlws.FILTER(OFFSET($O$15,0,$DO165,$B$8,1),OFFSET($M$15,0,0,$B$8,1))=FN$14))   /   SUM(OFFSET($BO$15,0,0,$B$14,1)) + $B$18/($B$19*$B$19*($DN165&lt;&gt;$DO165) + $B$19*($DN165=$DO165))</f>
        <v>3.7037037037037035E-4</v>
      </c>
      <c r="FO165" s="10" cm="1">
        <f t="array" aca="1" ref="FO165" ca="1">(1-$B$18)*SUMPRODUCT(OFFSET($BO$15,0,0,$B$14,1), 1*(_xlfn._xlws.FILTER(OFFSET($O$15,0,$DN165,$B$8,1),OFFSET($M$15,0,0,$B$8,1))=FO$13), 1*(_xlfn._xlws.FILTER(OFFSET($O$15,0,$DO165,$B$8,1),OFFSET($M$15,0,0,$B$8,1))=FO$14))   /   SUM(OFFSET($BO$15,0,0,$B$14,1)) + $B$18/($B$19*$B$19*($DN165&lt;&gt;$DO165) + $B$19*($DN165=$DO165))</f>
        <v>3.7037037037037035E-4</v>
      </c>
      <c r="FP165" s="10" cm="1">
        <f t="array" aca="1" ref="FP165" ca="1">(1-$B$18)*SUMPRODUCT(OFFSET($BO$15,0,0,$B$14,1), 1*(_xlfn._xlws.FILTER(OFFSET($O$15,0,$DN165,$B$8,1),OFFSET($M$15,0,0,$B$8,1))=FP$13), 1*(_xlfn._xlws.FILTER(OFFSET($O$15,0,$DO165,$B$8,1),OFFSET($M$15,0,0,$B$8,1))=FP$14))   /   SUM(OFFSET($BO$15,0,0,$B$14,1)) + $B$18/($B$19*$B$19*($DN165&lt;&gt;$DO165) + $B$19*($DN165=$DO165))</f>
        <v>0.24287037037037024</v>
      </c>
      <c r="FQ165" s="10" cm="1">
        <f t="array" aca="1" ref="FQ165" ca="1">(1-$B$18)*SUMPRODUCT(OFFSET($BO$15,0,0,$B$14,1), 1*(_xlfn._xlws.FILTER(OFFSET($O$15,0,$DN165,$B$8,1),OFFSET($M$15,0,0,$B$8,1))=FQ$13), 1*(_xlfn._xlws.FILTER(OFFSET($O$15,0,$DO165,$B$8,1),OFFSET($M$15,0,0,$B$8,1))=FQ$14))   /   SUM(OFFSET($BO$15,0,0,$B$14,1)) + $B$18/($B$19*$B$19*($DN165&lt;&gt;$DO165) + $B$19*($DN165=$DO165))</f>
        <v>0.24287037037037026</v>
      </c>
      <c r="FR165" s="10" cm="1">
        <f t="array" aca="1" ref="FR165" ca="1">(1-$B$18)*SUMPRODUCT(OFFSET($BO$15,0,0,$B$14,1), 1*(_xlfn._xlws.FILTER(OFFSET($O$15,0,$DN165,$B$8,1),OFFSET($M$15,0,0,$B$8,1))=FR$13), 1*(_xlfn._xlws.FILTER(OFFSET($O$15,0,$DO165,$B$8,1),OFFSET($M$15,0,0,$B$8,1))=FR$14))   /   SUM(OFFSET($BO$15,0,0,$B$14,1)) + $B$18/($B$19*$B$19*($DN165&lt;&gt;$DO165) + $B$19*($DN165=$DO165))</f>
        <v>0.48537037037037012</v>
      </c>
      <c r="FS165" s="10" cm="1">
        <f t="array" aca="1" ref="FS165" ca="1">(1-$B$18)*SUMPRODUCT(OFFSET($BO$15,0,0,$B$14,1), 1*(_xlfn._xlws.FILTER(OFFSET($O$15,0,$DN165,$B$8,1),OFFSET($M$15,0,0,$B$8,1))=FS$13), 1*(_xlfn._xlws.FILTER(OFFSET($O$15,0,$DO165,$B$8,1),OFFSET($M$15,0,0,$B$8,1))=FS$14))   /   SUM(OFFSET($BO$15,0,0,$B$14,1)) + $B$18/($B$19*$B$19*($DN165&lt;&gt;$DO165) + $B$19*($DN165=$DO165))</f>
        <v>3.7037037037037035E-4</v>
      </c>
      <c r="FT165" s="10" cm="1">
        <f t="array" aca="1" ref="FT165" ca="1">(1-$B$18)*SUMPRODUCT(OFFSET($BO$15,0,0,$B$14,1), 1*(_xlfn._xlws.FILTER(OFFSET($O$15,0,$DN165,$B$8,1),OFFSET($M$15,0,0,$B$8,1))=FT$13), 1*(_xlfn._xlws.FILTER(OFFSET($O$15,0,$DO165,$B$8,1),OFFSET($M$15,0,0,$B$8,1))=FT$14))   /   SUM(OFFSET($BO$15,0,0,$B$14,1)) + $B$18/($B$19*$B$19*($DN165&lt;&gt;$DO165) + $B$19*($DN165=$DO165))</f>
        <v>3.7037037037037035E-4</v>
      </c>
      <c r="FU165" s="10" cm="1">
        <f t="array" aca="1" ref="FU165" ca="1">(1-$B$18)*SUMPRODUCT(OFFSET($BO$15,0,0,$B$14,1), 1*(_xlfn._xlws.FILTER(OFFSET($O$15,0,$DN165,$B$8,1),OFFSET($M$15,0,0,$B$8,1))=FU$13), 1*(_xlfn._xlws.FILTER(OFFSET($O$15,0,$DO165,$B$8,1),OFFSET($M$15,0,0,$B$8,1))=FU$14))   /   SUM(OFFSET($BO$15,0,0,$B$14,1)) + $B$18/($B$19*$B$19*($DN165&lt;&gt;$DO165) + $B$19*($DN165=$DO165))</f>
        <v>3.7037037037037035E-4</v>
      </c>
      <c r="FV165" s="10" cm="1">
        <f t="array" aca="1" ref="FV165" ca="1">(1-$B$18)*SUMPRODUCT(OFFSET($BO$15,0,0,$B$14,1), 1*(_xlfn._xlws.FILTER(OFFSET($O$15,0,$DN165,$B$8,1),OFFSET($M$15,0,0,$B$8,1))=FV$13), 1*(_xlfn._xlws.FILTER(OFFSET($O$15,0,$DO165,$B$8,1),OFFSET($M$15,0,0,$B$8,1))=FV$14))   /   SUM(OFFSET($BO$15,0,0,$B$14,1)) + $B$18/($B$19*$B$19*($DN165&lt;&gt;$DO165) + $B$19*($DN165=$DO165))</f>
        <v>3.7037037037037035E-4</v>
      </c>
      <c r="FW165" s="10" cm="1">
        <f t="array" aca="1" ref="FW165" ca="1">(1-$B$18)*SUMPRODUCT(OFFSET($BO$15,0,0,$B$14,1), 1*(_xlfn._xlws.FILTER(OFFSET($O$15,0,$DN165,$B$8,1),OFFSET($M$15,0,0,$B$8,1))=FW$13), 1*(_xlfn._xlws.FILTER(OFFSET($O$15,0,$DO165,$B$8,1),OFFSET($M$15,0,0,$B$8,1))=FW$14))   /   SUM(OFFSET($BO$15,0,0,$B$14,1)) + $B$18/($B$19*$B$19*($DN165&lt;&gt;$DO165) + $B$19*($DN165=$DO165))</f>
        <v>3.7037037037037035E-4</v>
      </c>
      <c r="FX165" s="10" cm="1">
        <f t="array" aca="1" ref="FX165" ca="1">(1-$B$18)*SUMPRODUCT(OFFSET($BO$15,0,0,$B$14,1), 1*(_xlfn._xlws.FILTER(OFFSET($O$15,0,$DN165,$B$8,1),OFFSET($M$15,0,0,$B$8,1))=FX$13), 1*(_xlfn._xlws.FILTER(OFFSET($O$15,0,$DO165,$B$8,1),OFFSET($M$15,0,0,$B$8,1))=FX$14))   /   SUM(OFFSET($BO$15,0,0,$B$14,1)) + $B$18/($B$19*$B$19*($DN165&lt;&gt;$DO165) + $B$19*($DN165=$DO165))</f>
        <v>3.7037037037037035E-4</v>
      </c>
      <c r="FY165" s="10" cm="1">
        <f t="array" aca="1" ref="FY165" ca="1">(1-$B$18)*SUMPRODUCT(OFFSET($BO$15,0,0,$B$14,1), 1*(_xlfn._xlws.FILTER(OFFSET($O$15,0,$DN165,$B$8,1),OFFSET($M$15,0,0,$B$8,1))=FY$13), 1*(_xlfn._xlws.FILTER(OFFSET($O$15,0,$DO165,$B$8,1),OFFSET($M$15,0,0,$B$8,1))=FY$14))   /   SUM(OFFSET($BO$15,0,0,$B$14,1)) + $B$18/($B$19*$B$19*($DN165&lt;&gt;$DO165) + $B$19*($DN165=$DO165))</f>
        <v>3.7037037037037035E-4</v>
      </c>
      <c r="FZ165" s="10" cm="1">
        <f t="array" aca="1" ref="FZ165" ca="1">(1-$B$18)*SUMPRODUCT(OFFSET($BO$15,0,0,$B$14,1), 1*(_xlfn._xlws.FILTER(OFFSET($O$15,0,$DN165,$B$8,1),OFFSET($M$15,0,0,$B$8,1))=FZ$13), 1*(_xlfn._xlws.FILTER(OFFSET($O$15,0,$DO165,$B$8,1),OFFSET($M$15,0,0,$B$8,1))=FZ$14))   /   SUM(OFFSET($BO$15,0,0,$B$14,1)) + $B$18/($B$19*$B$19*($DN165&lt;&gt;$DO165) + $B$19*($DN165=$DO165))</f>
        <v>3.7037037037037035E-4</v>
      </c>
      <c r="GA165" s="10" cm="1">
        <f t="array" aca="1" ref="GA165" ca="1">(1-$B$18)*SUMPRODUCT(OFFSET($BO$15,0,0,$B$14,1), 1*(_xlfn._xlws.FILTER(OFFSET($O$15,0,$DN165,$B$8,1),OFFSET($M$15,0,0,$B$8,1))=GA$13), 1*(_xlfn._xlws.FILTER(OFFSET($O$15,0,$DO165,$B$8,1),OFFSET($M$15,0,0,$B$8,1))=GA$14))   /   SUM(OFFSET($BO$15,0,0,$B$14,1)) + $B$18/($B$19*$B$19*($DN165&lt;&gt;$DO165) + $B$19*($DN165=$DO165))</f>
        <v>3.7037037037037035E-4</v>
      </c>
    </row>
    <row r="166" spans="118:183" x14ac:dyDescent="0.2">
      <c r="DN166" cm="1">
        <f t="array" aca="1" ref="DN166" ca="1">INDEX(_xlfn.ANCHORARRAY($CP$15), 1 + INT((ROWS($DO$15:$DO166) - 1) / ROWS(_xlfn.ANCHORARRAY($CP$15))))</f>
        <v>7</v>
      </c>
      <c r="DO166" cm="1">
        <f t="array" aca="1" ref="DO166" ca="1">INDEX(_xlfn.ANCHORARRAY($CP$15),1+MOD(ROWS($DO$15:$DO166)-1,ROWS(_xlfn.ANCHORARRAY($CP$15))))</f>
        <v>21</v>
      </c>
      <c r="DP166" s="10" cm="1">
        <f t="array" aca="1" ref="DP166" ca="1">(1-$B$18)*SUMPRODUCT(OFFSET($BO$15,0,0,$B$14,1), 1*(_xlfn._xlws.FILTER(OFFSET($O$15,0,$DN166,$B$8,1),OFFSET($M$15,0,0,$B$8,1))=DP$13), 1*(_xlfn._xlws.FILTER(OFFSET($O$15,0,$DO166,$B$8,1),OFFSET($M$15,0,0,$B$8,1))=DP$14))   /   SUM(OFFSET($BO$15,0,0,$B$14,1)) + $B$18/($B$19*$B$19*($DN166&lt;&gt;$DO166) + $B$19*($DN166=$DO166))</f>
        <v>3.7037037037037035E-4</v>
      </c>
      <c r="DQ166" s="10" cm="1">
        <f t="array" aca="1" ref="DQ166" ca="1">(1-$B$18)*SUMPRODUCT(OFFSET($BO$15,0,0,$B$14,1), 1*(_xlfn._xlws.FILTER(OFFSET($O$15,0,$DN166,$B$8,1),OFFSET($M$15,0,0,$B$8,1))=DQ$13), 1*(_xlfn._xlws.FILTER(OFFSET($O$15,0,$DO166,$B$8,1),OFFSET($M$15,0,0,$B$8,1))=DQ$14))   /   SUM(OFFSET($BO$15,0,0,$B$14,1)) + $B$18/($B$19*$B$19*($DN166&lt;&gt;$DO166) + $B$19*($DN166=$DO166))</f>
        <v>3.7037037037037035E-4</v>
      </c>
      <c r="DR166" s="10" cm="1">
        <f t="array" aca="1" ref="DR166" ca="1">(1-$B$18)*SUMPRODUCT(OFFSET($BO$15,0,0,$B$14,1), 1*(_xlfn._xlws.FILTER(OFFSET($O$15,0,$DN166,$B$8,1),OFFSET($M$15,0,0,$B$8,1))=DR$13), 1*(_xlfn._xlws.FILTER(OFFSET($O$15,0,$DO166,$B$8,1),OFFSET($M$15,0,0,$B$8,1))=DR$14))   /   SUM(OFFSET($BO$15,0,0,$B$14,1)) + $B$18/($B$19*$B$19*($DN166&lt;&gt;$DO166) + $B$19*($DN166=$DO166))</f>
        <v>3.7037037037037035E-4</v>
      </c>
      <c r="DS166" s="10" cm="1">
        <f t="array" aca="1" ref="DS166" ca="1">(1-$B$18)*SUMPRODUCT(OFFSET($BO$15,0,0,$B$14,1), 1*(_xlfn._xlws.FILTER(OFFSET($O$15,0,$DN166,$B$8,1),OFFSET($M$15,0,0,$B$8,1))=DS$13), 1*(_xlfn._xlws.FILTER(OFFSET($O$15,0,$DO166,$B$8,1),OFFSET($M$15,0,0,$B$8,1))=DS$14))   /   SUM(OFFSET($BO$15,0,0,$B$14,1)) + $B$18/($B$19*$B$19*($DN166&lt;&gt;$DO166) + $B$19*($DN166=$DO166))</f>
        <v>3.7037037037037035E-4</v>
      </c>
      <c r="DT166" s="10" cm="1">
        <f t="array" aca="1" ref="DT166" ca="1">(1-$B$18)*SUMPRODUCT(OFFSET($BO$15,0,0,$B$14,1), 1*(_xlfn._xlws.FILTER(OFFSET($O$15,0,$DN166,$B$8,1),OFFSET($M$15,0,0,$B$8,1))=DT$13), 1*(_xlfn._xlws.FILTER(OFFSET($O$15,0,$DO166,$B$8,1),OFFSET($M$15,0,0,$B$8,1))=DT$14))   /   SUM(OFFSET($BO$15,0,0,$B$14,1)) + $B$18/($B$19*$B$19*($DN166&lt;&gt;$DO166) + $B$19*($DN166=$DO166))</f>
        <v>3.7037037037037035E-4</v>
      </c>
      <c r="DU166" s="10" cm="1">
        <f t="array" aca="1" ref="DU166" ca="1">(1-$B$18)*SUMPRODUCT(OFFSET($BO$15,0,0,$B$14,1), 1*(_xlfn._xlws.FILTER(OFFSET($O$15,0,$DN166,$B$8,1),OFFSET($M$15,0,0,$B$8,1))=DU$13), 1*(_xlfn._xlws.FILTER(OFFSET($O$15,0,$DO166,$B$8,1),OFFSET($M$15,0,0,$B$8,1))=DU$14))   /   SUM(OFFSET($BO$15,0,0,$B$14,1)) + $B$18/($B$19*$B$19*($DN166&lt;&gt;$DO166) + $B$19*($DN166=$DO166))</f>
        <v>3.7037037037037035E-4</v>
      </c>
      <c r="DV166" s="10" cm="1">
        <f t="array" aca="1" ref="DV166" ca="1">(1-$B$18)*SUMPRODUCT(OFFSET($BO$15,0,0,$B$14,1), 1*(_xlfn._xlws.FILTER(OFFSET($O$15,0,$DN166,$B$8,1),OFFSET($M$15,0,0,$B$8,1))=DV$13), 1*(_xlfn._xlws.FILTER(OFFSET($O$15,0,$DO166,$B$8,1),OFFSET($M$15,0,0,$B$8,1))=DV$14))   /   SUM(OFFSET($BO$15,0,0,$B$14,1)) + $B$18/($B$19*$B$19*($DN166&lt;&gt;$DO166) + $B$19*($DN166=$DO166))</f>
        <v>3.7037037037037035E-4</v>
      </c>
      <c r="DW166" s="10" cm="1">
        <f t="array" aca="1" ref="DW166" ca="1">(1-$B$18)*SUMPRODUCT(OFFSET($BO$15,0,0,$B$14,1), 1*(_xlfn._xlws.FILTER(OFFSET($O$15,0,$DN166,$B$8,1),OFFSET($M$15,0,0,$B$8,1))=DW$13), 1*(_xlfn._xlws.FILTER(OFFSET($O$15,0,$DO166,$B$8,1),OFFSET($M$15,0,0,$B$8,1))=DW$14))   /   SUM(OFFSET($BO$15,0,0,$B$14,1)) + $B$18/($B$19*$B$19*($DN166&lt;&gt;$DO166) + $B$19*($DN166=$DO166))</f>
        <v>3.7037037037037035E-4</v>
      </c>
      <c r="DX166" s="10" cm="1">
        <f t="array" aca="1" ref="DX166" ca="1">(1-$B$18)*SUMPRODUCT(OFFSET($BO$15,0,0,$B$14,1), 1*(_xlfn._xlws.FILTER(OFFSET($O$15,0,$DN166,$B$8,1),OFFSET($M$15,0,0,$B$8,1))=DX$13), 1*(_xlfn._xlws.FILTER(OFFSET($O$15,0,$DO166,$B$8,1),OFFSET($M$15,0,0,$B$8,1))=DX$14))   /   SUM(OFFSET($BO$15,0,0,$B$14,1)) + $B$18/($B$19*$B$19*($DN166&lt;&gt;$DO166) + $B$19*($DN166=$DO166))</f>
        <v>3.7037037037037035E-4</v>
      </c>
      <c r="DY166" s="10" cm="1">
        <f t="array" aca="1" ref="DY166" ca="1">(1-$B$18)*SUMPRODUCT(OFFSET($BO$15,0,0,$B$14,1), 1*(_xlfn._xlws.FILTER(OFFSET($O$15,0,$DN166,$B$8,1),OFFSET($M$15,0,0,$B$8,1))=DY$13), 1*(_xlfn._xlws.FILTER(OFFSET($O$15,0,$DO166,$B$8,1),OFFSET($M$15,0,0,$B$8,1))=DY$14))   /   SUM(OFFSET($BO$15,0,0,$B$14,1)) + $B$18/($B$19*$B$19*($DN166&lt;&gt;$DO166) + $B$19*($DN166=$DO166))</f>
        <v>3.7037037037037035E-4</v>
      </c>
      <c r="DZ166" s="10" cm="1">
        <f t="array" aca="1" ref="DZ166" ca="1">(1-$B$18)*SUMPRODUCT(OFFSET($BO$15,0,0,$B$14,1), 1*(_xlfn._xlws.FILTER(OFFSET($O$15,0,$DN166,$B$8,1),OFFSET($M$15,0,0,$B$8,1))=DZ$13), 1*(_xlfn._xlws.FILTER(OFFSET($O$15,0,$DO166,$B$8,1),OFFSET($M$15,0,0,$B$8,1))=DZ$14))   /   SUM(OFFSET($BO$15,0,0,$B$14,1)) + $B$18/($B$19*$B$19*($DN166&lt;&gt;$DO166) + $B$19*($DN166=$DO166))</f>
        <v>3.7037037037037035E-4</v>
      </c>
      <c r="EA166" s="10" cm="1">
        <f t="array" aca="1" ref="EA166" ca="1">(1-$B$18)*SUMPRODUCT(OFFSET($BO$15,0,0,$B$14,1), 1*(_xlfn._xlws.FILTER(OFFSET($O$15,0,$DN166,$B$8,1),OFFSET($M$15,0,0,$B$8,1))=EA$13), 1*(_xlfn._xlws.FILTER(OFFSET($O$15,0,$DO166,$B$8,1),OFFSET($M$15,0,0,$B$8,1))=EA$14))   /   SUM(OFFSET($BO$15,0,0,$B$14,1)) + $B$18/($B$19*$B$19*($DN166&lt;&gt;$DO166) + $B$19*($DN166=$DO166))</f>
        <v>3.7037037037037035E-4</v>
      </c>
      <c r="EB166" s="10" cm="1">
        <f t="array" aca="1" ref="EB166" ca="1">(1-$B$18)*SUMPRODUCT(OFFSET($BO$15,0,0,$B$14,1), 1*(_xlfn._xlws.FILTER(OFFSET($O$15,0,$DN166,$B$8,1),OFFSET($M$15,0,0,$B$8,1))=EB$13), 1*(_xlfn._xlws.FILTER(OFFSET($O$15,0,$DO166,$B$8,1),OFFSET($M$15,0,0,$B$8,1))=EB$14))   /   SUM(OFFSET($BO$15,0,0,$B$14,1)) + $B$18/($B$19*$B$19*($DN166&lt;&gt;$DO166) + $B$19*($DN166=$DO166))</f>
        <v>3.7037037037037035E-4</v>
      </c>
      <c r="EC166" s="10" cm="1">
        <f t="array" aca="1" ref="EC166" ca="1">(1-$B$18)*SUMPRODUCT(OFFSET($BO$15,0,0,$B$14,1), 1*(_xlfn._xlws.FILTER(OFFSET($O$15,0,$DN166,$B$8,1),OFFSET($M$15,0,0,$B$8,1))=EC$13), 1*(_xlfn._xlws.FILTER(OFFSET($O$15,0,$DO166,$B$8,1),OFFSET($M$15,0,0,$B$8,1))=EC$14))   /   SUM(OFFSET($BO$15,0,0,$B$14,1)) + $B$18/($B$19*$B$19*($DN166&lt;&gt;$DO166) + $B$19*($DN166=$DO166))</f>
        <v>3.7037037037037035E-4</v>
      </c>
      <c r="ED166" s="10" cm="1">
        <f t="array" aca="1" ref="ED166" ca="1">(1-$B$18)*SUMPRODUCT(OFFSET($BO$15,0,0,$B$14,1), 1*(_xlfn._xlws.FILTER(OFFSET($O$15,0,$DN166,$B$8,1),OFFSET($M$15,0,0,$B$8,1))=ED$13), 1*(_xlfn._xlws.FILTER(OFFSET($O$15,0,$DO166,$B$8,1),OFFSET($M$15,0,0,$B$8,1))=ED$14))   /   SUM(OFFSET($BO$15,0,0,$B$14,1)) + $B$18/($B$19*$B$19*($DN166&lt;&gt;$DO166) + $B$19*($DN166=$DO166))</f>
        <v>3.7037037037037035E-4</v>
      </c>
      <c r="EE166" s="10" cm="1">
        <f t="array" aca="1" ref="EE166" ca="1">(1-$B$18)*SUMPRODUCT(OFFSET($BO$15,0,0,$B$14,1), 1*(_xlfn._xlws.FILTER(OFFSET($O$15,0,$DN166,$B$8,1),OFFSET($M$15,0,0,$B$8,1))=EE$13), 1*(_xlfn._xlws.FILTER(OFFSET($O$15,0,$DO166,$B$8,1),OFFSET($M$15,0,0,$B$8,1))=EE$14))   /   SUM(OFFSET($BO$15,0,0,$B$14,1)) + $B$18/($B$19*$B$19*($DN166&lt;&gt;$DO166) + $B$19*($DN166=$DO166))</f>
        <v>3.7037037037037035E-4</v>
      </c>
      <c r="EF166" s="10" cm="1">
        <f t="array" aca="1" ref="EF166" ca="1">(1-$B$18)*SUMPRODUCT(OFFSET($BO$15,0,0,$B$14,1), 1*(_xlfn._xlws.FILTER(OFFSET($O$15,0,$DN166,$B$8,1),OFFSET($M$15,0,0,$B$8,1))=EF$13), 1*(_xlfn._xlws.FILTER(OFFSET($O$15,0,$DO166,$B$8,1),OFFSET($M$15,0,0,$B$8,1))=EF$14))   /   SUM(OFFSET($BO$15,0,0,$B$14,1)) + $B$18/($B$19*$B$19*($DN166&lt;&gt;$DO166) + $B$19*($DN166=$DO166))</f>
        <v>3.7037037037037035E-4</v>
      </c>
      <c r="EG166" s="10" cm="1">
        <f t="array" aca="1" ref="EG166" ca="1">(1-$B$18)*SUMPRODUCT(OFFSET($BO$15,0,0,$B$14,1), 1*(_xlfn._xlws.FILTER(OFFSET($O$15,0,$DN166,$B$8,1),OFFSET($M$15,0,0,$B$8,1))=EG$13), 1*(_xlfn._xlws.FILTER(OFFSET($O$15,0,$DO166,$B$8,1),OFFSET($M$15,0,0,$B$8,1))=EG$14))   /   SUM(OFFSET($BO$15,0,0,$B$14,1)) + $B$18/($B$19*$B$19*($DN166&lt;&gt;$DO166) + $B$19*($DN166=$DO166))</f>
        <v>3.7037037037037035E-4</v>
      </c>
      <c r="EH166" s="10" cm="1">
        <f t="array" aca="1" ref="EH166" ca="1">(1-$B$18)*SUMPRODUCT(OFFSET($BO$15,0,0,$B$14,1), 1*(_xlfn._xlws.FILTER(OFFSET($O$15,0,$DN166,$B$8,1),OFFSET($M$15,0,0,$B$8,1))=EH$13), 1*(_xlfn._xlws.FILTER(OFFSET($O$15,0,$DO166,$B$8,1),OFFSET($M$15,0,0,$B$8,1))=EH$14))   /   SUM(OFFSET($BO$15,0,0,$B$14,1)) + $B$18/($B$19*$B$19*($DN166&lt;&gt;$DO166) + $B$19*($DN166=$DO166))</f>
        <v>3.7037037037037035E-4</v>
      </c>
      <c r="EI166" s="10" cm="1">
        <f t="array" aca="1" ref="EI166" ca="1">(1-$B$18)*SUMPRODUCT(OFFSET($BO$15,0,0,$B$14,1), 1*(_xlfn._xlws.FILTER(OFFSET($O$15,0,$DN166,$B$8,1),OFFSET($M$15,0,0,$B$8,1))=EI$13), 1*(_xlfn._xlws.FILTER(OFFSET($O$15,0,$DO166,$B$8,1),OFFSET($M$15,0,0,$B$8,1))=EI$14))   /   SUM(OFFSET($BO$15,0,0,$B$14,1)) + $B$18/($B$19*$B$19*($DN166&lt;&gt;$DO166) + $B$19*($DN166=$DO166))</f>
        <v>3.7037037037037035E-4</v>
      </c>
      <c r="EJ166" s="10" cm="1">
        <f t="array" aca="1" ref="EJ166" ca="1">(1-$B$18)*SUMPRODUCT(OFFSET($BO$15,0,0,$B$14,1), 1*(_xlfn._xlws.FILTER(OFFSET($O$15,0,$DN166,$B$8,1),OFFSET($M$15,0,0,$B$8,1))=EJ$13), 1*(_xlfn._xlws.FILTER(OFFSET($O$15,0,$DO166,$B$8,1),OFFSET($M$15,0,0,$B$8,1))=EJ$14))   /   SUM(OFFSET($BO$15,0,0,$B$14,1)) + $B$18/($B$19*$B$19*($DN166&lt;&gt;$DO166) + $B$19*($DN166=$DO166))</f>
        <v>3.7037037037037035E-4</v>
      </c>
      <c r="EK166" s="10" cm="1">
        <f t="array" aca="1" ref="EK166" ca="1">(1-$B$18)*SUMPRODUCT(OFFSET($BO$15,0,0,$B$14,1), 1*(_xlfn._xlws.FILTER(OFFSET($O$15,0,$DN166,$B$8,1),OFFSET($M$15,0,0,$B$8,1))=EK$13), 1*(_xlfn._xlws.FILTER(OFFSET($O$15,0,$DO166,$B$8,1),OFFSET($M$15,0,0,$B$8,1))=EK$14))   /   SUM(OFFSET($BO$15,0,0,$B$14,1)) + $B$18/($B$19*$B$19*($DN166&lt;&gt;$DO166) + $B$19*($DN166=$DO166))</f>
        <v>3.7037037037037035E-4</v>
      </c>
      <c r="EL166" s="10" cm="1">
        <f t="array" aca="1" ref="EL166" ca="1">(1-$B$18)*SUMPRODUCT(OFFSET($BO$15,0,0,$B$14,1), 1*(_xlfn._xlws.FILTER(OFFSET($O$15,0,$DN166,$B$8,1),OFFSET($M$15,0,0,$B$8,1))=EL$13), 1*(_xlfn._xlws.FILTER(OFFSET($O$15,0,$DO166,$B$8,1),OFFSET($M$15,0,0,$B$8,1))=EL$14))   /   SUM(OFFSET($BO$15,0,0,$B$14,1)) + $B$18/($B$19*$B$19*($DN166&lt;&gt;$DO166) + $B$19*($DN166=$DO166))</f>
        <v>3.7037037037037035E-4</v>
      </c>
      <c r="EM166" s="10" cm="1">
        <f t="array" aca="1" ref="EM166" ca="1">(1-$B$18)*SUMPRODUCT(OFFSET($BO$15,0,0,$B$14,1), 1*(_xlfn._xlws.FILTER(OFFSET($O$15,0,$DN166,$B$8,1),OFFSET($M$15,0,0,$B$8,1))=EM$13), 1*(_xlfn._xlws.FILTER(OFFSET($O$15,0,$DO166,$B$8,1),OFFSET($M$15,0,0,$B$8,1))=EM$14))   /   SUM(OFFSET($BO$15,0,0,$B$14,1)) + $B$18/($B$19*$B$19*($DN166&lt;&gt;$DO166) + $B$19*($DN166=$DO166))</f>
        <v>3.7037037037037035E-4</v>
      </c>
      <c r="EN166" s="10" cm="1">
        <f t="array" aca="1" ref="EN166" ca="1">(1-$B$18)*SUMPRODUCT(OFFSET($BO$15,0,0,$B$14,1), 1*(_xlfn._xlws.FILTER(OFFSET($O$15,0,$DN166,$B$8,1),OFFSET($M$15,0,0,$B$8,1))=EN$13), 1*(_xlfn._xlws.FILTER(OFFSET($O$15,0,$DO166,$B$8,1),OFFSET($M$15,0,0,$B$8,1))=EN$14))   /   SUM(OFFSET($BO$15,0,0,$B$14,1)) + $B$18/($B$19*$B$19*($DN166&lt;&gt;$DO166) + $B$19*($DN166=$DO166))</f>
        <v>3.7037037037037035E-4</v>
      </c>
      <c r="EO166" s="10" cm="1">
        <f t="array" aca="1" ref="EO166" ca="1">(1-$B$18)*SUMPRODUCT(OFFSET($BO$15,0,0,$B$14,1), 1*(_xlfn._xlws.FILTER(OFFSET($O$15,0,$DN166,$B$8,1),OFFSET($M$15,0,0,$B$8,1))=EO$13), 1*(_xlfn._xlws.FILTER(OFFSET($O$15,0,$DO166,$B$8,1),OFFSET($M$15,0,0,$B$8,1))=EO$14))   /   SUM(OFFSET($BO$15,0,0,$B$14,1)) + $B$18/($B$19*$B$19*($DN166&lt;&gt;$DO166) + $B$19*($DN166=$DO166))</f>
        <v>3.7037037037037035E-4</v>
      </c>
      <c r="EP166" s="10" cm="1">
        <f t="array" aca="1" ref="EP166" ca="1">(1-$B$18)*SUMPRODUCT(OFFSET($BO$15,0,0,$B$14,1), 1*(_xlfn._xlws.FILTER(OFFSET($O$15,0,$DN166,$B$8,1),OFFSET($M$15,0,0,$B$8,1))=EP$13), 1*(_xlfn._xlws.FILTER(OFFSET($O$15,0,$DO166,$B$8,1),OFFSET($M$15,0,0,$B$8,1))=EP$14))   /   SUM(OFFSET($BO$15,0,0,$B$14,1)) + $B$18/($B$19*$B$19*($DN166&lt;&gt;$DO166) + $B$19*($DN166=$DO166))</f>
        <v>3.7037037037037035E-4</v>
      </c>
      <c r="EQ166" s="10" cm="1">
        <f t="array" aca="1" ref="EQ166" ca="1">(1-$B$18)*SUMPRODUCT(OFFSET($BO$15,0,0,$B$14,1), 1*(_xlfn._xlws.FILTER(OFFSET($O$15,0,$DN166,$B$8,1),OFFSET($M$15,0,0,$B$8,1))=EQ$13), 1*(_xlfn._xlws.FILTER(OFFSET($O$15,0,$DO166,$B$8,1),OFFSET($M$15,0,0,$B$8,1))=EQ$14))   /   SUM(OFFSET($BO$15,0,0,$B$14,1)) + $B$18/($B$19*$B$19*($DN166&lt;&gt;$DO166) + $B$19*($DN166=$DO166))</f>
        <v>3.7037037037037035E-4</v>
      </c>
      <c r="ER166" s="10" cm="1">
        <f t="array" aca="1" ref="ER166" ca="1">(1-$B$18)*SUMPRODUCT(OFFSET($BO$15,0,0,$B$14,1), 1*(_xlfn._xlws.FILTER(OFFSET($O$15,0,$DN166,$B$8,1),OFFSET($M$15,0,0,$B$8,1))=ER$13), 1*(_xlfn._xlws.FILTER(OFFSET($O$15,0,$DO166,$B$8,1),OFFSET($M$15,0,0,$B$8,1))=ER$14))   /   SUM(OFFSET($BO$15,0,0,$B$14,1)) + $B$18/($B$19*$B$19*($DN166&lt;&gt;$DO166) + $B$19*($DN166=$DO166))</f>
        <v>3.7037037037037035E-4</v>
      </c>
      <c r="ES166" s="10" cm="1">
        <f t="array" aca="1" ref="ES166" ca="1">(1-$B$18)*SUMPRODUCT(OFFSET($BO$15,0,0,$B$14,1), 1*(_xlfn._xlws.FILTER(OFFSET($O$15,0,$DN166,$B$8,1),OFFSET($M$15,0,0,$B$8,1))=ES$13), 1*(_xlfn._xlws.FILTER(OFFSET($O$15,0,$DO166,$B$8,1),OFFSET($M$15,0,0,$B$8,1))=ES$14))   /   SUM(OFFSET($BO$15,0,0,$B$14,1)) + $B$18/($B$19*$B$19*($DN166&lt;&gt;$DO166) + $B$19*($DN166=$DO166))</f>
        <v>3.7037037037037035E-4</v>
      </c>
      <c r="ET166" s="10" cm="1">
        <f t="array" aca="1" ref="ET166" ca="1">(1-$B$18)*SUMPRODUCT(OFFSET($BO$15,0,0,$B$14,1), 1*(_xlfn._xlws.FILTER(OFFSET($O$15,0,$DN166,$B$8,1),OFFSET($M$15,0,0,$B$8,1))=ET$13), 1*(_xlfn._xlws.FILTER(OFFSET($O$15,0,$DO166,$B$8,1),OFFSET($M$15,0,0,$B$8,1))=ET$14))   /   SUM(OFFSET($BO$15,0,0,$B$14,1)) + $B$18/($B$19*$B$19*($DN166&lt;&gt;$DO166) + $B$19*($DN166=$DO166))</f>
        <v>3.7037037037037035E-4</v>
      </c>
      <c r="EU166" s="10" cm="1">
        <f t="array" aca="1" ref="EU166" ca="1">(1-$B$18)*SUMPRODUCT(OFFSET($BO$15,0,0,$B$14,1), 1*(_xlfn._xlws.FILTER(OFFSET($O$15,0,$DN166,$B$8,1),OFFSET($M$15,0,0,$B$8,1))=EU$13), 1*(_xlfn._xlws.FILTER(OFFSET($O$15,0,$DO166,$B$8,1),OFFSET($M$15,0,0,$B$8,1))=EU$14))   /   SUM(OFFSET($BO$15,0,0,$B$14,1)) + $B$18/($B$19*$B$19*($DN166&lt;&gt;$DO166) + $B$19*($DN166=$DO166))</f>
        <v>3.7037037037037035E-4</v>
      </c>
      <c r="EV166" s="10" cm="1">
        <f t="array" aca="1" ref="EV166" ca="1">(1-$B$18)*SUMPRODUCT(OFFSET($BO$15,0,0,$B$14,1), 1*(_xlfn._xlws.FILTER(OFFSET($O$15,0,$DN166,$B$8,1),OFFSET($M$15,0,0,$B$8,1))=EV$13), 1*(_xlfn._xlws.FILTER(OFFSET($O$15,0,$DO166,$B$8,1),OFFSET($M$15,0,0,$B$8,1))=EV$14))   /   SUM(OFFSET($BO$15,0,0,$B$14,1)) + $B$18/($B$19*$B$19*($DN166&lt;&gt;$DO166) + $B$19*($DN166=$DO166))</f>
        <v>3.7037037037037035E-4</v>
      </c>
      <c r="EW166" s="10" cm="1">
        <f t="array" aca="1" ref="EW166" ca="1">(1-$B$18)*SUMPRODUCT(OFFSET($BO$15,0,0,$B$14,1), 1*(_xlfn._xlws.FILTER(OFFSET($O$15,0,$DN166,$B$8,1),OFFSET($M$15,0,0,$B$8,1))=EW$13), 1*(_xlfn._xlws.FILTER(OFFSET($O$15,0,$DO166,$B$8,1),OFFSET($M$15,0,0,$B$8,1))=EW$14))   /   SUM(OFFSET($BO$15,0,0,$B$14,1)) + $B$18/($B$19*$B$19*($DN166&lt;&gt;$DO166) + $B$19*($DN166=$DO166))</f>
        <v>3.7037037037037035E-4</v>
      </c>
      <c r="EX166" s="10" cm="1">
        <f t="array" aca="1" ref="EX166" ca="1">(1-$B$18)*SUMPRODUCT(OFFSET($BO$15,0,0,$B$14,1), 1*(_xlfn._xlws.FILTER(OFFSET($O$15,0,$DN166,$B$8,1),OFFSET($M$15,0,0,$B$8,1))=EX$13), 1*(_xlfn._xlws.FILTER(OFFSET($O$15,0,$DO166,$B$8,1),OFFSET($M$15,0,0,$B$8,1))=EX$14))   /   SUM(OFFSET($BO$15,0,0,$B$14,1)) + $B$18/($B$19*$B$19*($DN166&lt;&gt;$DO166) + $B$19*($DN166=$DO166))</f>
        <v>3.7037037037037035E-4</v>
      </c>
      <c r="EY166" s="10" cm="1">
        <f t="array" aca="1" ref="EY166" ca="1">(1-$B$18)*SUMPRODUCT(OFFSET($BO$15,0,0,$B$14,1), 1*(_xlfn._xlws.FILTER(OFFSET($O$15,0,$DN166,$B$8,1),OFFSET($M$15,0,0,$B$8,1))=EY$13), 1*(_xlfn._xlws.FILTER(OFFSET($O$15,0,$DO166,$B$8,1),OFFSET($M$15,0,0,$B$8,1))=EY$14))   /   SUM(OFFSET($BO$15,0,0,$B$14,1)) + $B$18/($B$19*$B$19*($DN166&lt;&gt;$DO166) + $B$19*($DN166=$DO166))</f>
        <v>3.7037037037037035E-4</v>
      </c>
      <c r="EZ166" s="10" cm="1">
        <f t="array" aca="1" ref="EZ166" ca="1">(1-$B$18)*SUMPRODUCT(OFFSET($BO$15,0,0,$B$14,1), 1*(_xlfn._xlws.FILTER(OFFSET($O$15,0,$DN166,$B$8,1),OFFSET($M$15,0,0,$B$8,1))=EZ$13), 1*(_xlfn._xlws.FILTER(OFFSET($O$15,0,$DO166,$B$8,1),OFFSET($M$15,0,0,$B$8,1))=EZ$14))   /   SUM(OFFSET($BO$15,0,0,$B$14,1)) + $B$18/($B$19*$B$19*($DN166&lt;&gt;$DO166) + $B$19*($DN166=$DO166))</f>
        <v>3.7037037037037035E-4</v>
      </c>
      <c r="FA166" s="10" cm="1">
        <f t="array" aca="1" ref="FA166" ca="1">(1-$B$18)*SUMPRODUCT(OFFSET($BO$15,0,0,$B$14,1), 1*(_xlfn._xlws.FILTER(OFFSET($O$15,0,$DN166,$B$8,1),OFFSET($M$15,0,0,$B$8,1))=FA$13), 1*(_xlfn._xlws.FILTER(OFFSET($O$15,0,$DO166,$B$8,1),OFFSET($M$15,0,0,$B$8,1))=FA$14))   /   SUM(OFFSET($BO$15,0,0,$B$14,1)) + $B$18/($B$19*$B$19*($DN166&lt;&gt;$DO166) + $B$19*($DN166=$DO166))</f>
        <v>3.7037037037037035E-4</v>
      </c>
      <c r="FB166" s="10" cm="1">
        <f t="array" aca="1" ref="FB166" ca="1">(1-$B$18)*SUMPRODUCT(OFFSET($BO$15,0,0,$B$14,1), 1*(_xlfn._xlws.FILTER(OFFSET($O$15,0,$DN166,$B$8,1),OFFSET($M$15,0,0,$B$8,1))=FB$13), 1*(_xlfn._xlws.FILTER(OFFSET($O$15,0,$DO166,$B$8,1),OFFSET($M$15,0,0,$B$8,1))=FB$14))   /   SUM(OFFSET($BO$15,0,0,$B$14,1)) + $B$18/($B$19*$B$19*($DN166&lt;&gt;$DO166) + $B$19*($DN166=$DO166))</f>
        <v>3.7037037037037035E-4</v>
      </c>
      <c r="FC166" s="10" cm="1">
        <f t="array" aca="1" ref="FC166" ca="1">(1-$B$18)*SUMPRODUCT(OFFSET($BO$15,0,0,$B$14,1), 1*(_xlfn._xlws.FILTER(OFFSET($O$15,0,$DN166,$B$8,1),OFFSET($M$15,0,0,$B$8,1))=FC$13), 1*(_xlfn._xlws.FILTER(OFFSET($O$15,0,$DO166,$B$8,1),OFFSET($M$15,0,0,$B$8,1))=FC$14))   /   SUM(OFFSET($BO$15,0,0,$B$14,1)) + $B$18/($B$19*$B$19*($DN166&lt;&gt;$DO166) + $B$19*($DN166=$DO166))</f>
        <v>3.7037037037037035E-4</v>
      </c>
      <c r="FD166" s="10" cm="1">
        <f t="array" aca="1" ref="FD166" ca="1">(1-$B$18)*SUMPRODUCT(OFFSET($BO$15,0,0,$B$14,1), 1*(_xlfn._xlws.FILTER(OFFSET($O$15,0,$DN166,$B$8,1),OFFSET($M$15,0,0,$B$8,1))=FD$13), 1*(_xlfn._xlws.FILTER(OFFSET($O$15,0,$DO166,$B$8,1),OFFSET($M$15,0,0,$B$8,1))=FD$14))   /   SUM(OFFSET($BO$15,0,0,$B$14,1)) + $B$18/($B$19*$B$19*($DN166&lt;&gt;$DO166) + $B$19*($DN166=$DO166))</f>
        <v>3.7037037037037035E-4</v>
      </c>
      <c r="FE166" s="10" cm="1">
        <f t="array" aca="1" ref="FE166" ca="1">(1-$B$18)*SUMPRODUCT(OFFSET($BO$15,0,0,$B$14,1), 1*(_xlfn._xlws.FILTER(OFFSET($O$15,0,$DN166,$B$8,1),OFFSET($M$15,0,0,$B$8,1))=FE$13), 1*(_xlfn._xlws.FILTER(OFFSET($O$15,0,$DO166,$B$8,1),OFFSET($M$15,0,0,$B$8,1))=FE$14))   /   SUM(OFFSET($BO$15,0,0,$B$14,1)) + $B$18/($B$19*$B$19*($DN166&lt;&gt;$DO166) + $B$19*($DN166=$DO166))</f>
        <v>3.7037037037037035E-4</v>
      </c>
      <c r="FF166" s="10" cm="1">
        <f t="array" aca="1" ref="FF166" ca="1">(1-$B$18)*SUMPRODUCT(OFFSET($BO$15,0,0,$B$14,1), 1*(_xlfn._xlws.FILTER(OFFSET($O$15,0,$DN166,$B$8,1),OFFSET($M$15,0,0,$B$8,1))=FF$13), 1*(_xlfn._xlws.FILTER(OFFSET($O$15,0,$DO166,$B$8,1),OFFSET($M$15,0,0,$B$8,1))=FF$14))   /   SUM(OFFSET($BO$15,0,0,$B$14,1)) + $B$18/($B$19*$B$19*($DN166&lt;&gt;$DO166) + $B$19*($DN166=$DO166))</f>
        <v>3.7037037037037035E-4</v>
      </c>
      <c r="FG166" s="10" cm="1">
        <f t="array" aca="1" ref="FG166" ca="1">(1-$B$18)*SUMPRODUCT(OFFSET($BO$15,0,0,$B$14,1), 1*(_xlfn._xlws.FILTER(OFFSET($O$15,0,$DN166,$B$8,1),OFFSET($M$15,0,0,$B$8,1))=FG$13), 1*(_xlfn._xlws.FILTER(OFFSET($O$15,0,$DO166,$B$8,1),OFFSET($M$15,0,0,$B$8,1))=FG$14))   /   SUM(OFFSET($BO$15,0,0,$B$14,1)) + $B$18/($B$19*$B$19*($DN166&lt;&gt;$DO166) + $B$19*($DN166=$DO166))</f>
        <v>3.7037037037037035E-4</v>
      </c>
      <c r="FH166" s="10" cm="1">
        <f t="array" aca="1" ref="FH166" ca="1">(1-$B$18)*SUMPRODUCT(OFFSET($BO$15,0,0,$B$14,1), 1*(_xlfn._xlws.FILTER(OFFSET($O$15,0,$DN166,$B$8,1),OFFSET($M$15,0,0,$B$8,1))=FH$13), 1*(_xlfn._xlws.FILTER(OFFSET($O$15,0,$DO166,$B$8,1),OFFSET($M$15,0,0,$B$8,1))=FH$14))   /   SUM(OFFSET($BO$15,0,0,$B$14,1)) + $B$18/($B$19*$B$19*($DN166&lt;&gt;$DO166) + $B$19*($DN166=$DO166))</f>
        <v>3.7037037037037035E-4</v>
      </c>
      <c r="FI166" s="10" cm="1">
        <f t="array" aca="1" ref="FI166" ca="1">(1-$B$18)*SUMPRODUCT(OFFSET($BO$15,0,0,$B$14,1), 1*(_xlfn._xlws.FILTER(OFFSET($O$15,0,$DN166,$B$8,1),OFFSET($M$15,0,0,$B$8,1))=FI$13), 1*(_xlfn._xlws.FILTER(OFFSET($O$15,0,$DO166,$B$8,1),OFFSET($M$15,0,0,$B$8,1))=FI$14))   /   SUM(OFFSET($BO$15,0,0,$B$14,1)) + $B$18/($B$19*$B$19*($DN166&lt;&gt;$DO166) + $B$19*($DN166=$DO166))</f>
        <v>3.7037037037037035E-4</v>
      </c>
      <c r="FJ166" s="10" cm="1">
        <f t="array" aca="1" ref="FJ166" ca="1">(1-$B$18)*SUMPRODUCT(OFFSET($BO$15,0,0,$B$14,1), 1*(_xlfn._xlws.FILTER(OFFSET($O$15,0,$DN166,$B$8,1),OFFSET($M$15,0,0,$B$8,1))=FJ$13), 1*(_xlfn._xlws.FILTER(OFFSET($O$15,0,$DO166,$B$8,1),OFFSET($M$15,0,0,$B$8,1))=FJ$14))   /   SUM(OFFSET($BO$15,0,0,$B$14,1)) + $B$18/($B$19*$B$19*($DN166&lt;&gt;$DO166) + $B$19*($DN166=$DO166))</f>
        <v>3.7037037037037035E-4</v>
      </c>
      <c r="FK166" s="10" cm="1">
        <f t="array" aca="1" ref="FK166" ca="1">(1-$B$18)*SUMPRODUCT(OFFSET($BO$15,0,0,$B$14,1), 1*(_xlfn._xlws.FILTER(OFFSET($O$15,0,$DN166,$B$8,1),OFFSET($M$15,0,0,$B$8,1))=FK$13), 1*(_xlfn._xlws.FILTER(OFFSET($O$15,0,$DO166,$B$8,1),OFFSET($M$15,0,0,$B$8,1))=FK$14))   /   SUM(OFFSET($BO$15,0,0,$B$14,1)) + $B$18/($B$19*$B$19*($DN166&lt;&gt;$DO166) + $B$19*($DN166=$DO166))</f>
        <v>3.7037037037037035E-4</v>
      </c>
      <c r="FL166" s="10" cm="1">
        <f t="array" aca="1" ref="FL166" ca="1">(1-$B$18)*SUMPRODUCT(OFFSET($BO$15,0,0,$B$14,1), 1*(_xlfn._xlws.FILTER(OFFSET($O$15,0,$DN166,$B$8,1),OFFSET($M$15,0,0,$B$8,1))=FL$13), 1*(_xlfn._xlws.FILTER(OFFSET($O$15,0,$DO166,$B$8,1),OFFSET($M$15,0,0,$B$8,1))=FL$14))   /   SUM(OFFSET($BO$15,0,0,$B$14,1)) + $B$18/($B$19*$B$19*($DN166&lt;&gt;$DO166) + $B$19*($DN166=$DO166))</f>
        <v>3.7037037037037035E-4</v>
      </c>
      <c r="FM166" s="10" cm="1">
        <f t="array" aca="1" ref="FM166" ca="1">(1-$B$18)*SUMPRODUCT(OFFSET($BO$15,0,0,$B$14,1), 1*(_xlfn._xlws.FILTER(OFFSET($O$15,0,$DN166,$B$8,1),OFFSET($M$15,0,0,$B$8,1))=FM$13), 1*(_xlfn._xlws.FILTER(OFFSET($O$15,0,$DO166,$B$8,1),OFFSET($M$15,0,0,$B$8,1))=FM$14))   /   SUM(OFFSET($BO$15,0,0,$B$14,1)) + $B$18/($B$19*$B$19*($DN166&lt;&gt;$DO166) + $B$19*($DN166=$DO166))</f>
        <v>3.7037037037037035E-4</v>
      </c>
      <c r="FN166" s="10" cm="1">
        <f t="array" aca="1" ref="FN166" ca="1">(1-$B$18)*SUMPRODUCT(OFFSET($BO$15,0,0,$B$14,1), 1*(_xlfn._xlws.FILTER(OFFSET($O$15,0,$DN166,$B$8,1),OFFSET($M$15,0,0,$B$8,1))=FN$13), 1*(_xlfn._xlws.FILTER(OFFSET($O$15,0,$DO166,$B$8,1),OFFSET($M$15,0,0,$B$8,1))=FN$14))   /   SUM(OFFSET($BO$15,0,0,$B$14,1)) + $B$18/($B$19*$B$19*($DN166&lt;&gt;$DO166) + $B$19*($DN166=$DO166))</f>
        <v>3.7037037037037035E-4</v>
      </c>
      <c r="FO166" s="10" cm="1">
        <f t="array" aca="1" ref="FO166" ca="1">(1-$B$18)*SUMPRODUCT(OFFSET($BO$15,0,0,$B$14,1), 1*(_xlfn._xlws.FILTER(OFFSET($O$15,0,$DN166,$B$8,1),OFFSET($M$15,0,0,$B$8,1))=FO$13), 1*(_xlfn._xlws.FILTER(OFFSET($O$15,0,$DO166,$B$8,1),OFFSET($M$15,0,0,$B$8,1))=FO$14))   /   SUM(OFFSET($BO$15,0,0,$B$14,1)) + $B$18/($B$19*$B$19*($DN166&lt;&gt;$DO166) + $B$19*($DN166=$DO166))</f>
        <v>3.7037037037037035E-4</v>
      </c>
      <c r="FP166" s="10" cm="1">
        <f t="array" aca="1" ref="FP166" ca="1">(1-$B$18)*SUMPRODUCT(OFFSET($BO$15,0,0,$B$14,1), 1*(_xlfn._xlws.FILTER(OFFSET($O$15,0,$DN166,$B$8,1),OFFSET($M$15,0,0,$B$8,1))=FP$13), 1*(_xlfn._xlws.FILTER(OFFSET($O$15,0,$DO166,$B$8,1),OFFSET($M$15,0,0,$B$8,1))=FP$14))   /   SUM(OFFSET($BO$15,0,0,$B$14,1)) + $B$18/($B$19*$B$19*($DN166&lt;&gt;$DO166) + $B$19*($DN166=$DO166))</f>
        <v>0.24287037037037024</v>
      </c>
      <c r="FQ166" s="10" cm="1">
        <f t="array" aca="1" ref="FQ166" ca="1">(1-$B$18)*SUMPRODUCT(OFFSET($BO$15,0,0,$B$14,1), 1*(_xlfn._xlws.FILTER(OFFSET($O$15,0,$DN166,$B$8,1),OFFSET($M$15,0,0,$B$8,1))=FQ$13), 1*(_xlfn._xlws.FILTER(OFFSET($O$15,0,$DO166,$B$8,1),OFFSET($M$15,0,0,$B$8,1))=FQ$14))   /   SUM(OFFSET($BO$15,0,0,$B$14,1)) + $B$18/($B$19*$B$19*($DN166&lt;&gt;$DO166) + $B$19*($DN166=$DO166))</f>
        <v>0.48537037037037012</v>
      </c>
      <c r="FR166" s="10" cm="1">
        <f t="array" aca="1" ref="FR166" ca="1">(1-$B$18)*SUMPRODUCT(OFFSET($BO$15,0,0,$B$14,1), 1*(_xlfn._xlws.FILTER(OFFSET($O$15,0,$DN166,$B$8,1),OFFSET($M$15,0,0,$B$8,1))=FR$13), 1*(_xlfn._xlws.FILTER(OFFSET($O$15,0,$DO166,$B$8,1),OFFSET($M$15,0,0,$B$8,1))=FR$14))   /   SUM(OFFSET($BO$15,0,0,$B$14,1)) + $B$18/($B$19*$B$19*($DN166&lt;&gt;$DO166) + $B$19*($DN166=$DO166))</f>
        <v>0.24287037037037026</v>
      </c>
      <c r="FS166" s="10" cm="1">
        <f t="array" aca="1" ref="FS166" ca="1">(1-$B$18)*SUMPRODUCT(OFFSET($BO$15,0,0,$B$14,1), 1*(_xlfn._xlws.FILTER(OFFSET($O$15,0,$DN166,$B$8,1),OFFSET($M$15,0,0,$B$8,1))=FS$13), 1*(_xlfn._xlws.FILTER(OFFSET($O$15,0,$DO166,$B$8,1),OFFSET($M$15,0,0,$B$8,1))=FS$14))   /   SUM(OFFSET($BO$15,0,0,$B$14,1)) + $B$18/($B$19*$B$19*($DN166&lt;&gt;$DO166) + $B$19*($DN166=$DO166))</f>
        <v>3.7037037037037035E-4</v>
      </c>
      <c r="FT166" s="10" cm="1">
        <f t="array" aca="1" ref="FT166" ca="1">(1-$B$18)*SUMPRODUCT(OFFSET($BO$15,0,0,$B$14,1), 1*(_xlfn._xlws.FILTER(OFFSET($O$15,0,$DN166,$B$8,1),OFFSET($M$15,0,0,$B$8,1))=FT$13), 1*(_xlfn._xlws.FILTER(OFFSET($O$15,0,$DO166,$B$8,1),OFFSET($M$15,0,0,$B$8,1))=FT$14))   /   SUM(OFFSET($BO$15,0,0,$B$14,1)) + $B$18/($B$19*$B$19*($DN166&lt;&gt;$DO166) + $B$19*($DN166=$DO166))</f>
        <v>3.7037037037037035E-4</v>
      </c>
      <c r="FU166" s="10" cm="1">
        <f t="array" aca="1" ref="FU166" ca="1">(1-$B$18)*SUMPRODUCT(OFFSET($BO$15,0,0,$B$14,1), 1*(_xlfn._xlws.FILTER(OFFSET($O$15,0,$DN166,$B$8,1),OFFSET($M$15,0,0,$B$8,1))=FU$13), 1*(_xlfn._xlws.FILTER(OFFSET($O$15,0,$DO166,$B$8,1),OFFSET($M$15,0,0,$B$8,1))=FU$14))   /   SUM(OFFSET($BO$15,0,0,$B$14,1)) + $B$18/($B$19*$B$19*($DN166&lt;&gt;$DO166) + $B$19*($DN166=$DO166))</f>
        <v>3.7037037037037035E-4</v>
      </c>
      <c r="FV166" s="10" cm="1">
        <f t="array" aca="1" ref="FV166" ca="1">(1-$B$18)*SUMPRODUCT(OFFSET($BO$15,0,0,$B$14,1), 1*(_xlfn._xlws.FILTER(OFFSET($O$15,0,$DN166,$B$8,1),OFFSET($M$15,0,0,$B$8,1))=FV$13), 1*(_xlfn._xlws.FILTER(OFFSET($O$15,0,$DO166,$B$8,1),OFFSET($M$15,0,0,$B$8,1))=FV$14))   /   SUM(OFFSET($BO$15,0,0,$B$14,1)) + $B$18/($B$19*$B$19*($DN166&lt;&gt;$DO166) + $B$19*($DN166=$DO166))</f>
        <v>3.7037037037037035E-4</v>
      </c>
      <c r="FW166" s="10" cm="1">
        <f t="array" aca="1" ref="FW166" ca="1">(1-$B$18)*SUMPRODUCT(OFFSET($BO$15,0,0,$B$14,1), 1*(_xlfn._xlws.FILTER(OFFSET($O$15,0,$DN166,$B$8,1),OFFSET($M$15,0,0,$B$8,1))=FW$13), 1*(_xlfn._xlws.FILTER(OFFSET($O$15,0,$DO166,$B$8,1),OFFSET($M$15,0,0,$B$8,1))=FW$14))   /   SUM(OFFSET($BO$15,0,0,$B$14,1)) + $B$18/($B$19*$B$19*($DN166&lt;&gt;$DO166) + $B$19*($DN166=$DO166))</f>
        <v>3.7037037037037035E-4</v>
      </c>
      <c r="FX166" s="10" cm="1">
        <f t="array" aca="1" ref="FX166" ca="1">(1-$B$18)*SUMPRODUCT(OFFSET($BO$15,0,0,$B$14,1), 1*(_xlfn._xlws.FILTER(OFFSET($O$15,0,$DN166,$B$8,1),OFFSET($M$15,0,0,$B$8,1))=FX$13), 1*(_xlfn._xlws.FILTER(OFFSET($O$15,0,$DO166,$B$8,1),OFFSET($M$15,0,0,$B$8,1))=FX$14))   /   SUM(OFFSET($BO$15,0,0,$B$14,1)) + $B$18/($B$19*$B$19*($DN166&lt;&gt;$DO166) + $B$19*($DN166=$DO166))</f>
        <v>3.7037037037037035E-4</v>
      </c>
      <c r="FY166" s="10" cm="1">
        <f t="array" aca="1" ref="FY166" ca="1">(1-$B$18)*SUMPRODUCT(OFFSET($BO$15,0,0,$B$14,1), 1*(_xlfn._xlws.FILTER(OFFSET($O$15,0,$DN166,$B$8,1),OFFSET($M$15,0,0,$B$8,1))=FY$13), 1*(_xlfn._xlws.FILTER(OFFSET($O$15,0,$DO166,$B$8,1),OFFSET($M$15,0,0,$B$8,1))=FY$14))   /   SUM(OFFSET($BO$15,0,0,$B$14,1)) + $B$18/($B$19*$B$19*($DN166&lt;&gt;$DO166) + $B$19*($DN166=$DO166))</f>
        <v>3.7037037037037035E-4</v>
      </c>
      <c r="FZ166" s="10" cm="1">
        <f t="array" aca="1" ref="FZ166" ca="1">(1-$B$18)*SUMPRODUCT(OFFSET($BO$15,0,0,$B$14,1), 1*(_xlfn._xlws.FILTER(OFFSET($O$15,0,$DN166,$B$8,1),OFFSET($M$15,0,0,$B$8,1))=FZ$13), 1*(_xlfn._xlws.FILTER(OFFSET($O$15,0,$DO166,$B$8,1),OFFSET($M$15,0,0,$B$8,1))=FZ$14))   /   SUM(OFFSET($BO$15,0,0,$B$14,1)) + $B$18/($B$19*$B$19*($DN166&lt;&gt;$DO166) + $B$19*($DN166=$DO166))</f>
        <v>3.7037037037037035E-4</v>
      </c>
      <c r="GA166" s="10" cm="1">
        <f t="array" aca="1" ref="GA166" ca="1">(1-$B$18)*SUMPRODUCT(OFFSET($BO$15,0,0,$B$14,1), 1*(_xlfn._xlws.FILTER(OFFSET($O$15,0,$DN166,$B$8,1),OFFSET($M$15,0,0,$B$8,1))=GA$13), 1*(_xlfn._xlws.FILTER(OFFSET($O$15,0,$DO166,$B$8,1),OFFSET($M$15,0,0,$B$8,1))=GA$14))   /   SUM(OFFSET($BO$15,0,0,$B$14,1)) + $B$18/($B$19*$B$19*($DN166&lt;&gt;$DO166) + $B$19*($DN166=$DO166))</f>
        <v>3.7037037037037035E-4</v>
      </c>
    </row>
    <row r="167" spans="118:183" x14ac:dyDescent="0.2">
      <c r="DN167" cm="1">
        <f t="array" aca="1" ref="DN167" ca="1">INDEX(_xlfn.ANCHORARRAY($CP$15), 1 + INT((ROWS($DO$15:$DO167) - 1) / ROWS(_xlfn.ANCHORARRAY($CP$15))))</f>
        <v>8</v>
      </c>
      <c r="DO167" cm="1">
        <f t="array" aca="1" ref="DO167" ca="1">INDEX(_xlfn.ANCHORARRAY($CP$15),1+MOD(ROWS($DO$15:$DO167)-1,ROWS(_xlfn.ANCHORARRAY($CP$15))))</f>
        <v>0</v>
      </c>
      <c r="DP167" s="10" cm="1">
        <f t="array" aca="1" ref="DP167" ca="1">(1-$B$18)*SUMPRODUCT(OFFSET($BO$15,0,0,$B$14,1), 1*(_xlfn._xlws.FILTER(OFFSET($O$15,0,$DN167,$B$8,1),OFFSET($M$15,0,0,$B$8,1))=DP$13), 1*(_xlfn._xlws.FILTER(OFFSET($O$15,0,$DO167,$B$8,1),OFFSET($M$15,0,0,$B$8,1))=DP$14))   /   SUM(OFFSET($BO$15,0,0,$B$14,1)) + $B$18/($B$19*$B$19*($DN167&lt;&gt;$DO167) + $B$19*($DN167=$DO167))</f>
        <v>3.7037037037037035E-4</v>
      </c>
      <c r="DQ167" s="10" cm="1">
        <f t="array" aca="1" ref="DQ167" ca="1">(1-$B$18)*SUMPRODUCT(OFFSET($BO$15,0,0,$B$14,1), 1*(_xlfn._xlws.FILTER(OFFSET($O$15,0,$DN167,$B$8,1),OFFSET($M$15,0,0,$B$8,1))=DQ$13), 1*(_xlfn._xlws.FILTER(OFFSET($O$15,0,$DO167,$B$8,1),OFFSET($M$15,0,0,$B$8,1))=DQ$14))   /   SUM(OFFSET($BO$15,0,0,$B$14,1)) + $B$18/($B$19*$B$19*($DN167&lt;&gt;$DO167) + $B$19*($DN167=$DO167))</f>
        <v>3.7037037037037035E-4</v>
      </c>
      <c r="DR167" s="10" cm="1">
        <f t="array" aca="1" ref="DR167" ca="1">(1-$B$18)*SUMPRODUCT(OFFSET($BO$15,0,0,$B$14,1), 1*(_xlfn._xlws.FILTER(OFFSET($O$15,0,$DN167,$B$8,1),OFFSET($M$15,0,0,$B$8,1))=DR$13), 1*(_xlfn._xlws.FILTER(OFFSET($O$15,0,$DO167,$B$8,1),OFFSET($M$15,0,0,$B$8,1))=DR$14))   /   SUM(OFFSET($BO$15,0,0,$B$14,1)) + $B$18/($B$19*$B$19*($DN167&lt;&gt;$DO167) + $B$19*($DN167=$DO167))</f>
        <v>3.7037037037037035E-4</v>
      </c>
      <c r="DS167" s="10" cm="1">
        <f t="array" aca="1" ref="DS167" ca="1">(1-$B$18)*SUMPRODUCT(OFFSET($BO$15,0,0,$B$14,1), 1*(_xlfn._xlws.FILTER(OFFSET($O$15,0,$DN167,$B$8,1),OFFSET($M$15,0,0,$B$8,1))=DS$13), 1*(_xlfn._xlws.FILTER(OFFSET($O$15,0,$DO167,$B$8,1),OFFSET($M$15,0,0,$B$8,1))=DS$14))   /   SUM(OFFSET($BO$15,0,0,$B$14,1)) + $B$18/($B$19*$B$19*($DN167&lt;&gt;$DO167) + $B$19*($DN167=$DO167))</f>
        <v>3.7037037037037035E-4</v>
      </c>
      <c r="DT167" s="10" cm="1">
        <f t="array" aca="1" ref="DT167" ca="1">(1-$B$18)*SUMPRODUCT(OFFSET($BO$15,0,0,$B$14,1), 1*(_xlfn._xlws.FILTER(OFFSET($O$15,0,$DN167,$B$8,1),OFFSET($M$15,0,0,$B$8,1))=DT$13), 1*(_xlfn._xlws.FILTER(OFFSET($O$15,0,$DO167,$B$8,1),OFFSET($M$15,0,0,$B$8,1))=DT$14))   /   SUM(OFFSET($BO$15,0,0,$B$14,1)) + $B$18/($B$19*$B$19*($DN167&lt;&gt;$DO167) + $B$19*($DN167=$DO167))</f>
        <v>3.7037037037037035E-4</v>
      </c>
      <c r="DU167" s="10" cm="1">
        <f t="array" aca="1" ref="DU167" ca="1">(1-$B$18)*SUMPRODUCT(OFFSET($BO$15,0,0,$B$14,1), 1*(_xlfn._xlws.FILTER(OFFSET($O$15,0,$DN167,$B$8,1),OFFSET($M$15,0,0,$B$8,1))=DU$13), 1*(_xlfn._xlws.FILTER(OFFSET($O$15,0,$DO167,$B$8,1),OFFSET($M$15,0,0,$B$8,1))=DU$14))   /   SUM(OFFSET($BO$15,0,0,$B$14,1)) + $B$18/($B$19*$B$19*($DN167&lt;&gt;$DO167) + $B$19*($DN167=$DO167))</f>
        <v>3.7037037037037035E-4</v>
      </c>
      <c r="DV167" s="10" cm="1">
        <f t="array" aca="1" ref="DV167" ca="1">(1-$B$18)*SUMPRODUCT(OFFSET($BO$15,0,0,$B$14,1), 1*(_xlfn._xlws.FILTER(OFFSET($O$15,0,$DN167,$B$8,1),OFFSET($M$15,0,0,$B$8,1))=DV$13), 1*(_xlfn._xlws.FILTER(OFFSET($O$15,0,$DO167,$B$8,1),OFFSET($M$15,0,0,$B$8,1))=DV$14))   /   SUM(OFFSET($BO$15,0,0,$B$14,1)) + $B$18/($B$19*$B$19*($DN167&lt;&gt;$DO167) + $B$19*($DN167=$DO167))</f>
        <v>3.7037037037037035E-4</v>
      </c>
      <c r="DW167" s="10" cm="1">
        <f t="array" aca="1" ref="DW167" ca="1">(1-$B$18)*SUMPRODUCT(OFFSET($BO$15,0,0,$B$14,1), 1*(_xlfn._xlws.FILTER(OFFSET($O$15,0,$DN167,$B$8,1),OFFSET($M$15,0,0,$B$8,1))=DW$13), 1*(_xlfn._xlws.FILTER(OFFSET($O$15,0,$DO167,$B$8,1),OFFSET($M$15,0,0,$B$8,1))=DW$14))   /   SUM(OFFSET($BO$15,0,0,$B$14,1)) + $B$18/($B$19*$B$19*($DN167&lt;&gt;$DO167) + $B$19*($DN167=$DO167))</f>
        <v>3.7037037037037035E-4</v>
      </c>
      <c r="DX167" s="10" cm="1">
        <f t="array" aca="1" ref="DX167" ca="1">(1-$B$18)*SUMPRODUCT(OFFSET($BO$15,0,0,$B$14,1), 1*(_xlfn._xlws.FILTER(OFFSET($O$15,0,$DN167,$B$8,1),OFFSET($M$15,0,0,$B$8,1))=DX$13), 1*(_xlfn._xlws.FILTER(OFFSET($O$15,0,$DO167,$B$8,1),OFFSET($M$15,0,0,$B$8,1))=DX$14))   /   SUM(OFFSET($BO$15,0,0,$B$14,1)) + $B$18/($B$19*$B$19*($DN167&lt;&gt;$DO167) + $B$19*($DN167=$DO167))</f>
        <v>3.7037037037037035E-4</v>
      </c>
      <c r="DY167" s="10" cm="1">
        <f t="array" aca="1" ref="DY167" ca="1">(1-$B$18)*SUMPRODUCT(OFFSET($BO$15,0,0,$B$14,1), 1*(_xlfn._xlws.FILTER(OFFSET($O$15,0,$DN167,$B$8,1),OFFSET($M$15,0,0,$B$8,1))=DY$13), 1*(_xlfn._xlws.FILTER(OFFSET($O$15,0,$DO167,$B$8,1),OFFSET($M$15,0,0,$B$8,1))=DY$14))   /   SUM(OFFSET($BO$15,0,0,$B$14,1)) + $B$18/($B$19*$B$19*($DN167&lt;&gt;$DO167) + $B$19*($DN167=$DO167))</f>
        <v>3.7037037037037035E-4</v>
      </c>
      <c r="DZ167" s="10" cm="1">
        <f t="array" aca="1" ref="DZ167" ca="1">(1-$B$18)*SUMPRODUCT(OFFSET($BO$15,0,0,$B$14,1), 1*(_xlfn._xlws.FILTER(OFFSET($O$15,0,$DN167,$B$8,1),OFFSET($M$15,0,0,$B$8,1))=DZ$13), 1*(_xlfn._xlws.FILTER(OFFSET($O$15,0,$DO167,$B$8,1),OFFSET($M$15,0,0,$B$8,1))=DZ$14))   /   SUM(OFFSET($BO$15,0,0,$B$14,1)) + $B$18/($B$19*$B$19*($DN167&lt;&gt;$DO167) + $B$19*($DN167=$DO167))</f>
        <v>3.7037037037037035E-4</v>
      </c>
      <c r="EA167" s="10" cm="1">
        <f t="array" aca="1" ref="EA167" ca="1">(1-$B$18)*SUMPRODUCT(OFFSET($BO$15,0,0,$B$14,1), 1*(_xlfn._xlws.FILTER(OFFSET($O$15,0,$DN167,$B$8,1),OFFSET($M$15,0,0,$B$8,1))=EA$13), 1*(_xlfn._xlws.FILTER(OFFSET($O$15,0,$DO167,$B$8,1),OFFSET($M$15,0,0,$B$8,1))=EA$14))   /   SUM(OFFSET($BO$15,0,0,$B$14,1)) + $B$18/($B$19*$B$19*($DN167&lt;&gt;$DO167) + $B$19*($DN167=$DO167))</f>
        <v>3.7037037037037035E-4</v>
      </c>
      <c r="EB167" s="10" cm="1">
        <f t="array" aca="1" ref="EB167" ca="1">(1-$B$18)*SUMPRODUCT(OFFSET($BO$15,0,0,$B$14,1), 1*(_xlfn._xlws.FILTER(OFFSET($O$15,0,$DN167,$B$8,1),OFFSET($M$15,0,0,$B$8,1))=EB$13), 1*(_xlfn._xlws.FILTER(OFFSET($O$15,0,$DO167,$B$8,1),OFFSET($M$15,0,0,$B$8,1))=EB$14))   /   SUM(OFFSET($BO$15,0,0,$B$14,1)) + $B$18/($B$19*$B$19*($DN167&lt;&gt;$DO167) + $B$19*($DN167=$DO167))</f>
        <v>3.7037037037037035E-4</v>
      </c>
      <c r="EC167" s="10" cm="1">
        <f t="array" aca="1" ref="EC167" ca="1">(1-$B$18)*SUMPRODUCT(OFFSET($BO$15,0,0,$B$14,1), 1*(_xlfn._xlws.FILTER(OFFSET($O$15,0,$DN167,$B$8,1),OFFSET($M$15,0,0,$B$8,1))=EC$13), 1*(_xlfn._xlws.FILTER(OFFSET($O$15,0,$DO167,$B$8,1),OFFSET($M$15,0,0,$B$8,1))=EC$14))   /   SUM(OFFSET($BO$15,0,0,$B$14,1)) + $B$18/($B$19*$B$19*($DN167&lt;&gt;$DO167) + $B$19*($DN167=$DO167))</f>
        <v>3.7037037037037035E-4</v>
      </c>
      <c r="ED167" s="10" cm="1">
        <f t="array" aca="1" ref="ED167" ca="1">(1-$B$18)*SUMPRODUCT(OFFSET($BO$15,0,0,$B$14,1), 1*(_xlfn._xlws.FILTER(OFFSET($O$15,0,$DN167,$B$8,1),OFFSET($M$15,0,0,$B$8,1))=ED$13), 1*(_xlfn._xlws.FILTER(OFFSET($O$15,0,$DO167,$B$8,1),OFFSET($M$15,0,0,$B$8,1))=ED$14))   /   SUM(OFFSET($BO$15,0,0,$B$14,1)) + $B$18/($B$19*$B$19*($DN167&lt;&gt;$DO167) + $B$19*($DN167=$DO167))</f>
        <v>3.7037037037037035E-4</v>
      </c>
      <c r="EE167" s="10" cm="1">
        <f t="array" aca="1" ref="EE167" ca="1">(1-$B$18)*SUMPRODUCT(OFFSET($BO$15,0,0,$B$14,1), 1*(_xlfn._xlws.FILTER(OFFSET($O$15,0,$DN167,$B$8,1),OFFSET($M$15,0,0,$B$8,1))=EE$13), 1*(_xlfn._xlws.FILTER(OFFSET($O$15,0,$DO167,$B$8,1),OFFSET($M$15,0,0,$B$8,1))=EE$14))   /   SUM(OFFSET($BO$15,0,0,$B$14,1)) + $B$18/($B$19*$B$19*($DN167&lt;&gt;$DO167) + $B$19*($DN167=$DO167))</f>
        <v>3.7037037037037035E-4</v>
      </c>
      <c r="EF167" s="10" cm="1">
        <f t="array" aca="1" ref="EF167" ca="1">(1-$B$18)*SUMPRODUCT(OFFSET($BO$15,0,0,$B$14,1), 1*(_xlfn._xlws.FILTER(OFFSET($O$15,0,$DN167,$B$8,1),OFFSET($M$15,0,0,$B$8,1))=EF$13), 1*(_xlfn._xlws.FILTER(OFFSET($O$15,0,$DO167,$B$8,1),OFFSET($M$15,0,0,$B$8,1))=EF$14))   /   SUM(OFFSET($BO$15,0,0,$B$14,1)) + $B$18/($B$19*$B$19*($DN167&lt;&gt;$DO167) + $B$19*($DN167=$DO167))</f>
        <v>3.7037037037037035E-4</v>
      </c>
      <c r="EG167" s="10" cm="1">
        <f t="array" aca="1" ref="EG167" ca="1">(1-$B$18)*SUMPRODUCT(OFFSET($BO$15,0,0,$B$14,1), 1*(_xlfn._xlws.FILTER(OFFSET($O$15,0,$DN167,$B$8,1),OFFSET($M$15,0,0,$B$8,1))=EG$13), 1*(_xlfn._xlws.FILTER(OFFSET($O$15,0,$DO167,$B$8,1),OFFSET($M$15,0,0,$B$8,1))=EG$14))   /   SUM(OFFSET($BO$15,0,0,$B$14,1)) + $B$18/($B$19*$B$19*($DN167&lt;&gt;$DO167) + $B$19*($DN167=$DO167))</f>
        <v>3.7037037037037035E-4</v>
      </c>
      <c r="EH167" s="10" cm="1">
        <f t="array" aca="1" ref="EH167" ca="1">(1-$B$18)*SUMPRODUCT(OFFSET($BO$15,0,0,$B$14,1), 1*(_xlfn._xlws.FILTER(OFFSET($O$15,0,$DN167,$B$8,1),OFFSET($M$15,0,0,$B$8,1))=EH$13), 1*(_xlfn._xlws.FILTER(OFFSET($O$15,0,$DO167,$B$8,1),OFFSET($M$15,0,0,$B$8,1))=EH$14))   /   SUM(OFFSET($BO$15,0,0,$B$14,1)) + $B$18/($B$19*$B$19*($DN167&lt;&gt;$DO167) + $B$19*($DN167=$DO167))</f>
        <v>3.7037037037037035E-4</v>
      </c>
      <c r="EI167" s="10" cm="1">
        <f t="array" aca="1" ref="EI167" ca="1">(1-$B$18)*SUMPRODUCT(OFFSET($BO$15,0,0,$B$14,1), 1*(_xlfn._xlws.FILTER(OFFSET($O$15,0,$DN167,$B$8,1),OFFSET($M$15,0,0,$B$8,1))=EI$13), 1*(_xlfn._xlws.FILTER(OFFSET($O$15,0,$DO167,$B$8,1),OFFSET($M$15,0,0,$B$8,1))=EI$14))   /   SUM(OFFSET($BO$15,0,0,$B$14,1)) + $B$18/($B$19*$B$19*($DN167&lt;&gt;$DO167) + $B$19*($DN167=$DO167))</f>
        <v>3.7037037037037035E-4</v>
      </c>
      <c r="EJ167" s="10" cm="1">
        <f t="array" aca="1" ref="EJ167" ca="1">(1-$B$18)*SUMPRODUCT(OFFSET($BO$15,0,0,$B$14,1), 1*(_xlfn._xlws.FILTER(OFFSET($O$15,0,$DN167,$B$8,1),OFFSET($M$15,0,0,$B$8,1))=EJ$13), 1*(_xlfn._xlws.FILTER(OFFSET($O$15,0,$DO167,$B$8,1),OFFSET($M$15,0,0,$B$8,1))=EJ$14))   /   SUM(OFFSET($BO$15,0,0,$B$14,1)) + $B$18/($B$19*$B$19*($DN167&lt;&gt;$DO167) + $B$19*($DN167=$DO167))</f>
        <v>3.7037037037037035E-4</v>
      </c>
      <c r="EK167" s="10" cm="1">
        <f t="array" aca="1" ref="EK167" ca="1">(1-$B$18)*SUMPRODUCT(OFFSET($BO$15,0,0,$B$14,1), 1*(_xlfn._xlws.FILTER(OFFSET($O$15,0,$DN167,$B$8,1),OFFSET($M$15,0,0,$B$8,1))=EK$13), 1*(_xlfn._xlws.FILTER(OFFSET($O$15,0,$DO167,$B$8,1),OFFSET($M$15,0,0,$B$8,1))=EK$14))   /   SUM(OFFSET($BO$15,0,0,$B$14,1)) + $B$18/($B$19*$B$19*($DN167&lt;&gt;$DO167) + $B$19*($DN167=$DO167))</f>
        <v>3.7037037037037035E-4</v>
      </c>
      <c r="EL167" s="10" cm="1">
        <f t="array" aca="1" ref="EL167" ca="1">(1-$B$18)*SUMPRODUCT(OFFSET($BO$15,0,0,$B$14,1), 1*(_xlfn._xlws.FILTER(OFFSET($O$15,0,$DN167,$B$8,1),OFFSET($M$15,0,0,$B$8,1))=EL$13), 1*(_xlfn._xlws.FILTER(OFFSET($O$15,0,$DO167,$B$8,1),OFFSET($M$15,0,0,$B$8,1))=EL$14))   /   SUM(OFFSET($BO$15,0,0,$B$14,1)) + $B$18/($B$19*$B$19*($DN167&lt;&gt;$DO167) + $B$19*($DN167=$DO167))</f>
        <v>3.7037037037037035E-4</v>
      </c>
      <c r="EM167" s="10" cm="1">
        <f t="array" aca="1" ref="EM167" ca="1">(1-$B$18)*SUMPRODUCT(OFFSET($BO$15,0,0,$B$14,1), 1*(_xlfn._xlws.FILTER(OFFSET($O$15,0,$DN167,$B$8,1),OFFSET($M$15,0,0,$B$8,1))=EM$13), 1*(_xlfn._xlws.FILTER(OFFSET($O$15,0,$DO167,$B$8,1),OFFSET($M$15,0,0,$B$8,1))=EM$14))   /   SUM(OFFSET($BO$15,0,0,$B$14,1)) + $B$18/($B$19*$B$19*($DN167&lt;&gt;$DO167) + $B$19*($DN167=$DO167))</f>
        <v>3.7037037037037035E-4</v>
      </c>
      <c r="EN167" s="10" cm="1">
        <f t="array" aca="1" ref="EN167" ca="1">(1-$B$18)*SUMPRODUCT(OFFSET($BO$15,0,0,$B$14,1), 1*(_xlfn._xlws.FILTER(OFFSET($O$15,0,$DN167,$B$8,1),OFFSET($M$15,0,0,$B$8,1))=EN$13), 1*(_xlfn._xlws.FILTER(OFFSET($O$15,0,$DO167,$B$8,1),OFFSET($M$15,0,0,$B$8,1))=EN$14))   /   SUM(OFFSET($BO$15,0,0,$B$14,1)) + $B$18/($B$19*$B$19*($DN167&lt;&gt;$DO167) + $B$19*($DN167=$DO167))</f>
        <v>3.7037037037037035E-4</v>
      </c>
      <c r="EO167" s="10" cm="1">
        <f t="array" aca="1" ref="EO167" ca="1">(1-$B$18)*SUMPRODUCT(OFFSET($BO$15,0,0,$B$14,1), 1*(_xlfn._xlws.FILTER(OFFSET($O$15,0,$DN167,$B$8,1),OFFSET($M$15,0,0,$B$8,1))=EO$13), 1*(_xlfn._xlws.FILTER(OFFSET($O$15,0,$DO167,$B$8,1),OFFSET($M$15,0,0,$B$8,1))=EO$14))   /   SUM(OFFSET($BO$15,0,0,$B$14,1)) + $B$18/($B$19*$B$19*($DN167&lt;&gt;$DO167) + $B$19*($DN167=$DO167))</f>
        <v>3.7037037037037035E-4</v>
      </c>
      <c r="EP167" s="10" cm="1">
        <f t="array" aca="1" ref="EP167" ca="1">(1-$B$18)*SUMPRODUCT(OFFSET($BO$15,0,0,$B$14,1), 1*(_xlfn._xlws.FILTER(OFFSET($O$15,0,$DN167,$B$8,1),OFFSET($M$15,0,0,$B$8,1))=EP$13), 1*(_xlfn._xlws.FILTER(OFFSET($O$15,0,$DO167,$B$8,1),OFFSET($M$15,0,0,$B$8,1))=EP$14))   /   SUM(OFFSET($BO$15,0,0,$B$14,1)) + $B$18/($B$19*$B$19*($DN167&lt;&gt;$DO167) + $B$19*($DN167=$DO167))</f>
        <v>3.7037037037037035E-4</v>
      </c>
      <c r="EQ167" s="10" cm="1">
        <f t="array" aca="1" ref="EQ167" ca="1">(1-$B$18)*SUMPRODUCT(OFFSET($BO$15,0,0,$B$14,1), 1*(_xlfn._xlws.FILTER(OFFSET($O$15,0,$DN167,$B$8,1),OFFSET($M$15,0,0,$B$8,1))=EQ$13), 1*(_xlfn._xlws.FILTER(OFFSET($O$15,0,$DO167,$B$8,1),OFFSET($M$15,0,0,$B$8,1))=EQ$14))   /   SUM(OFFSET($BO$15,0,0,$B$14,1)) + $B$18/($B$19*$B$19*($DN167&lt;&gt;$DO167) + $B$19*($DN167=$DO167))</f>
        <v>3.7037037037037035E-4</v>
      </c>
      <c r="ER167" s="10" cm="1">
        <f t="array" aca="1" ref="ER167" ca="1">(1-$B$18)*SUMPRODUCT(OFFSET($BO$15,0,0,$B$14,1), 1*(_xlfn._xlws.FILTER(OFFSET($O$15,0,$DN167,$B$8,1),OFFSET($M$15,0,0,$B$8,1))=ER$13), 1*(_xlfn._xlws.FILTER(OFFSET($O$15,0,$DO167,$B$8,1),OFFSET($M$15,0,0,$B$8,1))=ER$14))   /   SUM(OFFSET($BO$15,0,0,$B$14,1)) + $B$18/($B$19*$B$19*($DN167&lt;&gt;$DO167) + $B$19*($DN167=$DO167))</f>
        <v>3.7037037037037035E-4</v>
      </c>
      <c r="ES167" s="10" cm="1">
        <f t="array" aca="1" ref="ES167" ca="1">(1-$B$18)*SUMPRODUCT(OFFSET($BO$15,0,0,$B$14,1), 1*(_xlfn._xlws.FILTER(OFFSET($O$15,0,$DN167,$B$8,1),OFFSET($M$15,0,0,$B$8,1))=ES$13), 1*(_xlfn._xlws.FILTER(OFFSET($O$15,0,$DO167,$B$8,1),OFFSET($M$15,0,0,$B$8,1))=ES$14))   /   SUM(OFFSET($BO$15,0,0,$B$14,1)) + $B$18/($B$19*$B$19*($DN167&lt;&gt;$DO167) + $B$19*($DN167=$DO167))</f>
        <v>3.7037037037037035E-4</v>
      </c>
      <c r="ET167" s="10" cm="1">
        <f t="array" aca="1" ref="ET167" ca="1">(1-$B$18)*SUMPRODUCT(OFFSET($BO$15,0,0,$B$14,1), 1*(_xlfn._xlws.FILTER(OFFSET($O$15,0,$DN167,$B$8,1),OFFSET($M$15,0,0,$B$8,1))=ET$13), 1*(_xlfn._xlws.FILTER(OFFSET($O$15,0,$DO167,$B$8,1),OFFSET($M$15,0,0,$B$8,1))=ET$14))   /   SUM(OFFSET($BO$15,0,0,$B$14,1)) + $B$18/($B$19*$B$19*($DN167&lt;&gt;$DO167) + $B$19*($DN167=$DO167))</f>
        <v>3.7037037037037035E-4</v>
      </c>
      <c r="EU167" s="10" cm="1">
        <f t="array" aca="1" ref="EU167" ca="1">(1-$B$18)*SUMPRODUCT(OFFSET($BO$15,0,0,$B$14,1), 1*(_xlfn._xlws.FILTER(OFFSET($O$15,0,$DN167,$B$8,1),OFFSET($M$15,0,0,$B$8,1))=EU$13), 1*(_xlfn._xlws.FILTER(OFFSET($O$15,0,$DO167,$B$8,1),OFFSET($M$15,0,0,$B$8,1))=EU$14))   /   SUM(OFFSET($BO$15,0,0,$B$14,1)) + $B$18/($B$19*$B$19*($DN167&lt;&gt;$DO167) + $B$19*($DN167=$DO167))</f>
        <v>3.7037037037037035E-4</v>
      </c>
      <c r="EV167" s="10" cm="1">
        <f t="array" aca="1" ref="EV167" ca="1">(1-$B$18)*SUMPRODUCT(OFFSET($BO$15,0,0,$B$14,1), 1*(_xlfn._xlws.FILTER(OFFSET($O$15,0,$DN167,$B$8,1),OFFSET($M$15,0,0,$B$8,1))=EV$13), 1*(_xlfn._xlws.FILTER(OFFSET($O$15,0,$DO167,$B$8,1),OFFSET($M$15,0,0,$B$8,1))=EV$14))   /   SUM(OFFSET($BO$15,0,0,$B$14,1)) + $B$18/($B$19*$B$19*($DN167&lt;&gt;$DO167) + $B$19*($DN167=$DO167))</f>
        <v>3.7037037037037035E-4</v>
      </c>
      <c r="EW167" s="10" cm="1">
        <f t="array" aca="1" ref="EW167" ca="1">(1-$B$18)*SUMPRODUCT(OFFSET($BO$15,0,0,$B$14,1), 1*(_xlfn._xlws.FILTER(OFFSET($O$15,0,$DN167,$B$8,1),OFFSET($M$15,0,0,$B$8,1))=EW$13), 1*(_xlfn._xlws.FILTER(OFFSET($O$15,0,$DO167,$B$8,1),OFFSET($M$15,0,0,$B$8,1))=EW$14))   /   SUM(OFFSET($BO$15,0,0,$B$14,1)) + $B$18/($B$19*$B$19*($DN167&lt;&gt;$DO167) + $B$19*($DN167=$DO167))</f>
        <v>3.7037037037037035E-4</v>
      </c>
      <c r="EX167" s="10" cm="1">
        <f t="array" aca="1" ref="EX167" ca="1">(1-$B$18)*SUMPRODUCT(OFFSET($BO$15,0,0,$B$14,1), 1*(_xlfn._xlws.FILTER(OFFSET($O$15,0,$DN167,$B$8,1),OFFSET($M$15,0,0,$B$8,1))=EX$13), 1*(_xlfn._xlws.FILTER(OFFSET($O$15,0,$DO167,$B$8,1),OFFSET($M$15,0,0,$B$8,1))=EX$14))   /   SUM(OFFSET($BO$15,0,0,$B$14,1)) + $B$18/($B$19*$B$19*($DN167&lt;&gt;$DO167) + $B$19*($DN167=$DO167))</f>
        <v>3.7037037037037035E-4</v>
      </c>
      <c r="EY167" s="10" cm="1">
        <f t="array" aca="1" ref="EY167" ca="1">(1-$B$18)*SUMPRODUCT(OFFSET($BO$15,0,0,$B$14,1), 1*(_xlfn._xlws.FILTER(OFFSET($O$15,0,$DN167,$B$8,1),OFFSET($M$15,0,0,$B$8,1))=EY$13), 1*(_xlfn._xlws.FILTER(OFFSET($O$15,0,$DO167,$B$8,1),OFFSET($M$15,0,0,$B$8,1))=EY$14))   /   SUM(OFFSET($BO$15,0,0,$B$14,1)) + $B$18/($B$19*$B$19*($DN167&lt;&gt;$DO167) + $B$19*($DN167=$DO167))</f>
        <v>3.7037037037037035E-4</v>
      </c>
      <c r="EZ167" s="10" cm="1">
        <f t="array" aca="1" ref="EZ167" ca="1">(1-$B$18)*SUMPRODUCT(OFFSET($BO$15,0,0,$B$14,1), 1*(_xlfn._xlws.FILTER(OFFSET($O$15,0,$DN167,$B$8,1),OFFSET($M$15,0,0,$B$8,1))=EZ$13), 1*(_xlfn._xlws.FILTER(OFFSET($O$15,0,$DO167,$B$8,1),OFFSET($M$15,0,0,$B$8,1))=EZ$14))   /   SUM(OFFSET($BO$15,0,0,$B$14,1)) + $B$18/($B$19*$B$19*($DN167&lt;&gt;$DO167) + $B$19*($DN167=$DO167))</f>
        <v>3.7037037037037035E-4</v>
      </c>
      <c r="FA167" s="10" cm="1">
        <f t="array" aca="1" ref="FA167" ca="1">(1-$B$18)*SUMPRODUCT(OFFSET($BO$15,0,0,$B$14,1), 1*(_xlfn._xlws.FILTER(OFFSET($O$15,0,$DN167,$B$8,1),OFFSET($M$15,0,0,$B$8,1))=FA$13), 1*(_xlfn._xlws.FILTER(OFFSET($O$15,0,$DO167,$B$8,1),OFFSET($M$15,0,0,$B$8,1))=FA$14))   /   SUM(OFFSET($BO$15,0,0,$B$14,1)) + $B$18/($B$19*$B$19*($DN167&lt;&gt;$DO167) + $B$19*($DN167=$DO167))</f>
        <v>3.7037037037037035E-4</v>
      </c>
      <c r="FB167" s="10" cm="1">
        <f t="array" aca="1" ref="FB167" ca="1">(1-$B$18)*SUMPRODUCT(OFFSET($BO$15,0,0,$B$14,1), 1*(_xlfn._xlws.FILTER(OFFSET($O$15,0,$DN167,$B$8,1),OFFSET($M$15,0,0,$B$8,1))=FB$13), 1*(_xlfn._xlws.FILTER(OFFSET($O$15,0,$DO167,$B$8,1),OFFSET($M$15,0,0,$B$8,1))=FB$14))   /   SUM(OFFSET($BO$15,0,0,$B$14,1)) + $B$18/($B$19*$B$19*($DN167&lt;&gt;$DO167) + $B$19*($DN167=$DO167))</f>
        <v>3.7037037037037035E-4</v>
      </c>
      <c r="FC167" s="10" cm="1">
        <f t="array" aca="1" ref="FC167" ca="1">(1-$B$18)*SUMPRODUCT(OFFSET($BO$15,0,0,$B$14,1), 1*(_xlfn._xlws.FILTER(OFFSET($O$15,0,$DN167,$B$8,1),OFFSET($M$15,0,0,$B$8,1))=FC$13), 1*(_xlfn._xlws.FILTER(OFFSET($O$15,0,$DO167,$B$8,1),OFFSET($M$15,0,0,$B$8,1))=FC$14))   /   SUM(OFFSET($BO$15,0,0,$B$14,1)) + $B$18/($B$19*$B$19*($DN167&lt;&gt;$DO167) + $B$19*($DN167=$DO167))</f>
        <v>3.7037037037037035E-4</v>
      </c>
      <c r="FD167" s="10" cm="1">
        <f t="array" aca="1" ref="FD167" ca="1">(1-$B$18)*SUMPRODUCT(OFFSET($BO$15,0,0,$B$14,1), 1*(_xlfn._xlws.FILTER(OFFSET($O$15,0,$DN167,$B$8,1),OFFSET($M$15,0,0,$B$8,1))=FD$13), 1*(_xlfn._xlws.FILTER(OFFSET($O$15,0,$DO167,$B$8,1),OFFSET($M$15,0,0,$B$8,1))=FD$14))   /   SUM(OFFSET($BO$15,0,0,$B$14,1)) + $B$18/($B$19*$B$19*($DN167&lt;&gt;$DO167) + $B$19*($DN167=$DO167))</f>
        <v>3.7037037037037035E-4</v>
      </c>
      <c r="FE167" s="10" cm="1">
        <f t="array" aca="1" ref="FE167" ca="1">(1-$B$18)*SUMPRODUCT(OFFSET($BO$15,0,0,$B$14,1), 1*(_xlfn._xlws.FILTER(OFFSET($O$15,0,$DN167,$B$8,1),OFFSET($M$15,0,0,$B$8,1))=FE$13), 1*(_xlfn._xlws.FILTER(OFFSET($O$15,0,$DO167,$B$8,1),OFFSET($M$15,0,0,$B$8,1))=FE$14))   /   SUM(OFFSET($BO$15,0,0,$B$14,1)) + $B$18/($B$19*$B$19*($DN167&lt;&gt;$DO167) + $B$19*($DN167=$DO167))</f>
        <v>3.7037037037037035E-4</v>
      </c>
      <c r="FF167" s="10" cm="1">
        <f t="array" aca="1" ref="FF167" ca="1">(1-$B$18)*SUMPRODUCT(OFFSET($BO$15,0,0,$B$14,1), 1*(_xlfn._xlws.FILTER(OFFSET($O$15,0,$DN167,$B$8,1),OFFSET($M$15,0,0,$B$8,1))=FF$13), 1*(_xlfn._xlws.FILTER(OFFSET($O$15,0,$DO167,$B$8,1),OFFSET($M$15,0,0,$B$8,1))=FF$14))   /   SUM(OFFSET($BO$15,0,0,$B$14,1)) + $B$18/($B$19*$B$19*($DN167&lt;&gt;$DO167) + $B$19*($DN167=$DO167))</f>
        <v>3.7037037037037035E-4</v>
      </c>
      <c r="FG167" s="10" cm="1">
        <f t="array" aca="1" ref="FG167" ca="1">(1-$B$18)*SUMPRODUCT(OFFSET($BO$15,0,0,$B$14,1), 1*(_xlfn._xlws.FILTER(OFFSET($O$15,0,$DN167,$B$8,1),OFFSET($M$15,0,0,$B$8,1))=FG$13), 1*(_xlfn._xlws.FILTER(OFFSET($O$15,0,$DO167,$B$8,1),OFFSET($M$15,0,0,$B$8,1))=FG$14))   /   SUM(OFFSET($BO$15,0,0,$B$14,1)) + $B$18/($B$19*$B$19*($DN167&lt;&gt;$DO167) + $B$19*($DN167=$DO167))</f>
        <v>3.7037037037037035E-4</v>
      </c>
      <c r="FH167" s="10" cm="1">
        <f t="array" aca="1" ref="FH167" ca="1">(1-$B$18)*SUMPRODUCT(OFFSET($BO$15,0,0,$B$14,1), 1*(_xlfn._xlws.FILTER(OFFSET($O$15,0,$DN167,$B$8,1),OFFSET($M$15,0,0,$B$8,1))=FH$13), 1*(_xlfn._xlws.FILTER(OFFSET($O$15,0,$DO167,$B$8,1),OFFSET($M$15,0,0,$B$8,1))=FH$14))   /   SUM(OFFSET($BO$15,0,0,$B$14,1)) + $B$18/($B$19*$B$19*($DN167&lt;&gt;$DO167) + $B$19*($DN167=$DO167))</f>
        <v>3.7037037037037035E-4</v>
      </c>
      <c r="FI167" s="10" cm="1">
        <f t="array" aca="1" ref="FI167" ca="1">(1-$B$18)*SUMPRODUCT(OFFSET($BO$15,0,0,$B$14,1), 1*(_xlfn._xlws.FILTER(OFFSET($O$15,0,$DN167,$B$8,1),OFFSET($M$15,0,0,$B$8,1))=FI$13), 1*(_xlfn._xlws.FILTER(OFFSET($O$15,0,$DO167,$B$8,1),OFFSET($M$15,0,0,$B$8,1))=FI$14))   /   SUM(OFFSET($BO$15,0,0,$B$14,1)) + $B$18/($B$19*$B$19*($DN167&lt;&gt;$DO167) + $B$19*($DN167=$DO167))</f>
        <v>3.7037037037037035E-4</v>
      </c>
      <c r="FJ167" s="10" cm="1">
        <f t="array" aca="1" ref="FJ167" ca="1">(1-$B$18)*SUMPRODUCT(OFFSET($BO$15,0,0,$B$14,1), 1*(_xlfn._xlws.FILTER(OFFSET($O$15,0,$DN167,$B$8,1),OFFSET($M$15,0,0,$B$8,1))=FJ$13), 1*(_xlfn._xlws.FILTER(OFFSET($O$15,0,$DO167,$B$8,1),OFFSET($M$15,0,0,$B$8,1))=FJ$14))   /   SUM(OFFSET($BO$15,0,0,$B$14,1)) + $B$18/($B$19*$B$19*($DN167&lt;&gt;$DO167) + $B$19*($DN167=$DO167))</f>
        <v>3.7037037037037035E-4</v>
      </c>
      <c r="FK167" s="10" cm="1">
        <f t="array" aca="1" ref="FK167" ca="1">(1-$B$18)*SUMPRODUCT(OFFSET($BO$15,0,0,$B$14,1), 1*(_xlfn._xlws.FILTER(OFFSET($O$15,0,$DN167,$B$8,1),OFFSET($M$15,0,0,$B$8,1))=FK$13), 1*(_xlfn._xlws.FILTER(OFFSET($O$15,0,$DO167,$B$8,1),OFFSET($M$15,0,0,$B$8,1))=FK$14))   /   SUM(OFFSET($BO$15,0,0,$B$14,1)) + $B$18/($B$19*$B$19*($DN167&lt;&gt;$DO167) + $B$19*($DN167=$DO167))</f>
        <v>3.7037037037037035E-4</v>
      </c>
      <c r="FL167" s="10" cm="1">
        <f t="array" aca="1" ref="FL167" ca="1">(1-$B$18)*SUMPRODUCT(OFFSET($BO$15,0,0,$B$14,1), 1*(_xlfn._xlws.FILTER(OFFSET($O$15,0,$DN167,$B$8,1),OFFSET($M$15,0,0,$B$8,1))=FL$13), 1*(_xlfn._xlws.FILTER(OFFSET($O$15,0,$DO167,$B$8,1),OFFSET($M$15,0,0,$B$8,1))=FL$14))   /   SUM(OFFSET($BO$15,0,0,$B$14,1)) + $B$18/($B$19*$B$19*($DN167&lt;&gt;$DO167) + $B$19*($DN167=$DO167))</f>
        <v>3.7037037037037035E-4</v>
      </c>
      <c r="FM167" s="10" cm="1">
        <f t="array" aca="1" ref="FM167" ca="1">(1-$B$18)*SUMPRODUCT(OFFSET($BO$15,0,0,$B$14,1), 1*(_xlfn._xlws.FILTER(OFFSET($O$15,0,$DN167,$B$8,1),OFFSET($M$15,0,0,$B$8,1))=FM$13), 1*(_xlfn._xlws.FILTER(OFFSET($O$15,0,$DO167,$B$8,1),OFFSET($M$15,0,0,$B$8,1))=FM$14))   /   SUM(OFFSET($BO$15,0,0,$B$14,1)) + $B$18/($B$19*$B$19*($DN167&lt;&gt;$DO167) + $B$19*($DN167=$DO167))</f>
        <v>3.7037037037037035E-4</v>
      </c>
      <c r="FN167" s="10" cm="1">
        <f t="array" aca="1" ref="FN167" ca="1">(1-$B$18)*SUMPRODUCT(OFFSET($BO$15,0,0,$B$14,1), 1*(_xlfn._xlws.FILTER(OFFSET($O$15,0,$DN167,$B$8,1),OFFSET($M$15,0,0,$B$8,1))=FN$13), 1*(_xlfn._xlws.FILTER(OFFSET($O$15,0,$DO167,$B$8,1),OFFSET($M$15,0,0,$B$8,1))=FN$14))   /   SUM(OFFSET($BO$15,0,0,$B$14,1)) + $B$18/($B$19*$B$19*($DN167&lt;&gt;$DO167) + $B$19*($DN167=$DO167))</f>
        <v>3.7037037037037035E-4</v>
      </c>
      <c r="FO167" s="10" cm="1">
        <f t="array" aca="1" ref="FO167" ca="1">(1-$B$18)*SUMPRODUCT(OFFSET($BO$15,0,0,$B$14,1), 1*(_xlfn._xlws.FILTER(OFFSET($O$15,0,$DN167,$B$8,1),OFFSET($M$15,0,0,$B$8,1))=FO$13), 1*(_xlfn._xlws.FILTER(OFFSET($O$15,0,$DO167,$B$8,1),OFFSET($M$15,0,0,$B$8,1))=FO$14))   /   SUM(OFFSET($BO$15,0,0,$B$14,1)) + $B$18/($B$19*$B$19*($DN167&lt;&gt;$DO167) + $B$19*($DN167=$DO167))</f>
        <v>3.7037037037037035E-4</v>
      </c>
      <c r="FP167" s="10" cm="1">
        <f t="array" aca="1" ref="FP167" ca="1">(1-$B$18)*SUMPRODUCT(OFFSET($BO$15,0,0,$B$14,1), 1*(_xlfn._xlws.FILTER(OFFSET($O$15,0,$DN167,$B$8,1),OFFSET($M$15,0,0,$B$8,1))=FP$13), 1*(_xlfn._xlws.FILTER(OFFSET($O$15,0,$DO167,$B$8,1),OFFSET($M$15,0,0,$B$8,1))=FP$14))   /   SUM(OFFSET($BO$15,0,0,$B$14,1)) + $B$18/($B$19*$B$19*($DN167&lt;&gt;$DO167) + $B$19*($DN167=$DO167))</f>
        <v>3.7037037037037035E-4</v>
      </c>
      <c r="FQ167" s="10" cm="1">
        <f t="array" aca="1" ref="FQ167" ca="1">(1-$B$18)*SUMPRODUCT(OFFSET($BO$15,0,0,$B$14,1), 1*(_xlfn._xlws.FILTER(OFFSET($O$15,0,$DN167,$B$8,1),OFFSET($M$15,0,0,$B$8,1))=FQ$13), 1*(_xlfn._xlws.FILTER(OFFSET($O$15,0,$DO167,$B$8,1),OFFSET($M$15,0,0,$B$8,1))=FQ$14))   /   SUM(OFFSET($BO$15,0,0,$B$14,1)) + $B$18/($B$19*$B$19*($DN167&lt;&gt;$DO167) + $B$19*($DN167=$DO167))</f>
        <v>3.7037037037037035E-4</v>
      </c>
      <c r="FR167" s="10" cm="1">
        <f t="array" aca="1" ref="FR167" ca="1">(1-$B$18)*SUMPRODUCT(OFFSET($BO$15,0,0,$B$14,1), 1*(_xlfn._xlws.FILTER(OFFSET($O$15,0,$DN167,$B$8,1),OFFSET($M$15,0,0,$B$8,1))=FR$13), 1*(_xlfn._xlws.FILTER(OFFSET($O$15,0,$DO167,$B$8,1),OFFSET($M$15,0,0,$B$8,1))=FR$14))   /   SUM(OFFSET($BO$15,0,0,$B$14,1)) + $B$18/($B$19*$B$19*($DN167&lt;&gt;$DO167) + $B$19*($DN167=$DO167))</f>
        <v>0.97037037037037033</v>
      </c>
      <c r="FS167" s="10" cm="1">
        <f t="array" aca="1" ref="FS167" ca="1">(1-$B$18)*SUMPRODUCT(OFFSET($BO$15,0,0,$B$14,1), 1*(_xlfn._xlws.FILTER(OFFSET($O$15,0,$DN167,$B$8,1),OFFSET($M$15,0,0,$B$8,1))=FS$13), 1*(_xlfn._xlws.FILTER(OFFSET($O$15,0,$DO167,$B$8,1),OFFSET($M$15,0,0,$B$8,1))=FS$14))   /   SUM(OFFSET($BO$15,0,0,$B$14,1)) + $B$18/($B$19*$B$19*($DN167&lt;&gt;$DO167) + $B$19*($DN167=$DO167))</f>
        <v>3.7037037037037035E-4</v>
      </c>
      <c r="FT167" s="10" cm="1">
        <f t="array" aca="1" ref="FT167" ca="1">(1-$B$18)*SUMPRODUCT(OFFSET($BO$15,0,0,$B$14,1), 1*(_xlfn._xlws.FILTER(OFFSET($O$15,0,$DN167,$B$8,1),OFFSET($M$15,0,0,$B$8,1))=FT$13), 1*(_xlfn._xlws.FILTER(OFFSET($O$15,0,$DO167,$B$8,1),OFFSET($M$15,0,0,$B$8,1))=FT$14))   /   SUM(OFFSET($BO$15,0,0,$B$14,1)) + $B$18/($B$19*$B$19*($DN167&lt;&gt;$DO167) + $B$19*($DN167=$DO167))</f>
        <v>3.7037037037037035E-4</v>
      </c>
      <c r="FU167" s="10" cm="1">
        <f t="array" aca="1" ref="FU167" ca="1">(1-$B$18)*SUMPRODUCT(OFFSET($BO$15,0,0,$B$14,1), 1*(_xlfn._xlws.FILTER(OFFSET($O$15,0,$DN167,$B$8,1),OFFSET($M$15,0,0,$B$8,1))=FU$13), 1*(_xlfn._xlws.FILTER(OFFSET($O$15,0,$DO167,$B$8,1),OFFSET($M$15,0,0,$B$8,1))=FU$14))   /   SUM(OFFSET($BO$15,0,0,$B$14,1)) + $B$18/($B$19*$B$19*($DN167&lt;&gt;$DO167) + $B$19*($DN167=$DO167))</f>
        <v>3.7037037037037035E-4</v>
      </c>
      <c r="FV167" s="10" cm="1">
        <f t="array" aca="1" ref="FV167" ca="1">(1-$B$18)*SUMPRODUCT(OFFSET($BO$15,0,0,$B$14,1), 1*(_xlfn._xlws.FILTER(OFFSET($O$15,0,$DN167,$B$8,1),OFFSET($M$15,0,0,$B$8,1))=FV$13), 1*(_xlfn._xlws.FILTER(OFFSET($O$15,0,$DO167,$B$8,1),OFFSET($M$15,0,0,$B$8,1))=FV$14))   /   SUM(OFFSET($BO$15,0,0,$B$14,1)) + $B$18/($B$19*$B$19*($DN167&lt;&gt;$DO167) + $B$19*($DN167=$DO167))</f>
        <v>3.7037037037037035E-4</v>
      </c>
      <c r="FW167" s="10" cm="1">
        <f t="array" aca="1" ref="FW167" ca="1">(1-$B$18)*SUMPRODUCT(OFFSET($BO$15,0,0,$B$14,1), 1*(_xlfn._xlws.FILTER(OFFSET($O$15,0,$DN167,$B$8,1),OFFSET($M$15,0,0,$B$8,1))=FW$13), 1*(_xlfn._xlws.FILTER(OFFSET($O$15,0,$DO167,$B$8,1),OFFSET($M$15,0,0,$B$8,1))=FW$14))   /   SUM(OFFSET($BO$15,0,0,$B$14,1)) + $B$18/($B$19*$B$19*($DN167&lt;&gt;$DO167) + $B$19*($DN167=$DO167))</f>
        <v>3.7037037037037035E-4</v>
      </c>
      <c r="FX167" s="10" cm="1">
        <f t="array" aca="1" ref="FX167" ca="1">(1-$B$18)*SUMPRODUCT(OFFSET($BO$15,0,0,$B$14,1), 1*(_xlfn._xlws.FILTER(OFFSET($O$15,0,$DN167,$B$8,1),OFFSET($M$15,0,0,$B$8,1))=FX$13), 1*(_xlfn._xlws.FILTER(OFFSET($O$15,0,$DO167,$B$8,1),OFFSET($M$15,0,0,$B$8,1))=FX$14))   /   SUM(OFFSET($BO$15,0,0,$B$14,1)) + $B$18/($B$19*$B$19*($DN167&lt;&gt;$DO167) + $B$19*($DN167=$DO167))</f>
        <v>3.7037037037037035E-4</v>
      </c>
      <c r="FY167" s="10" cm="1">
        <f t="array" aca="1" ref="FY167" ca="1">(1-$B$18)*SUMPRODUCT(OFFSET($BO$15,0,0,$B$14,1), 1*(_xlfn._xlws.FILTER(OFFSET($O$15,0,$DN167,$B$8,1),OFFSET($M$15,0,0,$B$8,1))=FY$13), 1*(_xlfn._xlws.FILTER(OFFSET($O$15,0,$DO167,$B$8,1),OFFSET($M$15,0,0,$B$8,1))=FY$14))   /   SUM(OFFSET($BO$15,0,0,$B$14,1)) + $B$18/($B$19*$B$19*($DN167&lt;&gt;$DO167) + $B$19*($DN167=$DO167))</f>
        <v>3.7037037037037035E-4</v>
      </c>
      <c r="FZ167" s="10" cm="1">
        <f t="array" aca="1" ref="FZ167" ca="1">(1-$B$18)*SUMPRODUCT(OFFSET($BO$15,0,0,$B$14,1), 1*(_xlfn._xlws.FILTER(OFFSET($O$15,0,$DN167,$B$8,1),OFFSET($M$15,0,0,$B$8,1))=FZ$13), 1*(_xlfn._xlws.FILTER(OFFSET($O$15,0,$DO167,$B$8,1),OFFSET($M$15,0,0,$B$8,1))=FZ$14))   /   SUM(OFFSET($BO$15,0,0,$B$14,1)) + $B$18/($B$19*$B$19*($DN167&lt;&gt;$DO167) + $B$19*($DN167=$DO167))</f>
        <v>3.7037037037037035E-4</v>
      </c>
      <c r="GA167" s="10" cm="1">
        <f t="array" aca="1" ref="GA167" ca="1">(1-$B$18)*SUMPRODUCT(OFFSET($BO$15,0,0,$B$14,1), 1*(_xlfn._xlws.FILTER(OFFSET($O$15,0,$DN167,$B$8,1),OFFSET($M$15,0,0,$B$8,1))=GA$13), 1*(_xlfn._xlws.FILTER(OFFSET($O$15,0,$DO167,$B$8,1),OFFSET($M$15,0,0,$B$8,1))=GA$14))   /   SUM(OFFSET($BO$15,0,0,$B$14,1)) + $B$18/($B$19*$B$19*($DN167&lt;&gt;$DO167) + $B$19*($DN167=$DO167))</f>
        <v>3.7037037037037035E-4</v>
      </c>
    </row>
    <row r="168" spans="118:183" x14ac:dyDescent="0.2">
      <c r="DN168" cm="1">
        <f t="array" aca="1" ref="DN168" ca="1">INDEX(_xlfn.ANCHORARRAY($CP$15), 1 + INT((ROWS($DO$15:$DO168) - 1) / ROWS(_xlfn.ANCHORARRAY($CP$15))))</f>
        <v>8</v>
      </c>
      <c r="DO168" cm="1">
        <f t="array" aca="1" ref="DO168" ca="1">INDEX(_xlfn.ANCHORARRAY($CP$15),1+MOD(ROWS($DO$15:$DO168)-1,ROWS(_xlfn.ANCHORARRAY($CP$15))))</f>
        <v>1</v>
      </c>
      <c r="DP168" s="10" cm="1">
        <f t="array" aca="1" ref="DP168" ca="1">(1-$B$18)*SUMPRODUCT(OFFSET($BO$15,0,0,$B$14,1), 1*(_xlfn._xlws.FILTER(OFFSET($O$15,0,$DN168,$B$8,1),OFFSET($M$15,0,0,$B$8,1))=DP$13), 1*(_xlfn._xlws.FILTER(OFFSET($O$15,0,$DO168,$B$8,1),OFFSET($M$15,0,0,$B$8,1))=DP$14))   /   SUM(OFFSET($BO$15,0,0,$B$14,1)) + $B$18/($B$19*$B$19*($DN168&lt;&gt;$DO168) + $B$19*($DN168=$DO168))</f>
        <v>3.7037037037037035E-4</v>
      </c>
      <c r="DQ168" s="10" cm="1">
        <f t="array" aca="1" ref="DQ168" ca="1">(1-$B$18)*SUMPRODUCT(OFFSET($BO$15,0,0,$B$14,1), 1*(_xlfn._xlws.FILTER(OFFSET($O$15,0,$DN168,$B$8,1),OFFSET($M$15,0,0,$B$8,1))=DQ$13), 1*(_xlfn._xlws.FILTER(OFFSET($O$15,0,$DO168,$B$8,1),OFFSET($M$15,0,0,$B$8,1))=DQ$14))   /   SUM(OFFSET($BO$15,0,0,$B$14,1)) + $B$18/($B$19*$B$19*($DN168&lt;&gt;$DO168) + $B$19*($DN168=$DO168))</f>
        <v>3.7037037037037035E-4</v>
      </c>
      <c r="DR168" s="10" cm="1">
        <f t="array" aca="1" ref="DR168" ca="1">(1-$B$18)*SUMPRODUCT(OFFSET($BO$15,0,0,$B$14,1), 1*(_xlfn._xlws.FILTER(OFFSET($O$15,0,$DN168,$B$8,1),OFFSET($M$15,0,0,$B$8,1))=DR$13), 1*(_xlfn._xlws.FILTER(OFFSET($O$15,0,$DO168,$B$8,1),OFFSET($M$15,0,0,$B$8,1))=DR$14))   /   SUM(OFFSET($BO$15,0,0,$B$14,1)) + $B$18/($B$19*$B$19*($DN168&lt;&gt;$DO168) + $B$19*($DN168=$DO168))</f>
        <v>3.7037037037037035E-4</v>
      </c>
      <c r="DS168" s="10" cm="1">
        <f t="array" aca="1" ref="DS168" ca="1">(1-$B$18)*SUMPRODUCT(OFFSET($BO$15,0,0,$B$14,1), 1*(_xlfn._xlws.FILTER(OFFSET($O$15,0,$DN168,$B$8,1),OFFSET($M$15,0,0,$B$8,1))=DS$13), 1*(_xlfn._xlws.FILTER(OFFSET($O$15,0,$DO168,$B$8,1),OFFSET($M$15,0,0,$B$8,1))=DS$14))   /   SUM(OFFSET($BO$15,0,0,$B$14,1)) + $B$18/($B$19*$B$19*($DN168&lt;&gt;$DO168) + $B$19*($DN168=$DO168))</f>
        <v>3.7037037037037035E-4</v>
      </c>
      <c r="DT168" s="10" cm="1">
        <f t="array" aca="1" ref="DT168" ca="1">(1-$B$18)*SUMPRODUCT(OFFSET($BO$15,0,0,$B$14,1), 1*(_xlfn._xlws.FILTER(OFFSET($O$15,0,$DN168,$B$8,1),OFFSET($M$15,0,0,$B$8,1))=DT$13), 1*(_xlfn._xlws.FILTER(OFFSET($O$15,0,$DO168,$B$8,1),OFFSET($M$15,0,0,$B$8,1))=DT$14))   /   SUM(OFFSET($BO$15,0,0,$B$14,1)) + $B$18/($B$19*$B$19*($DN168&lt;&gt;$DO168) + $B$19*($DN168=$DO168))</f>
        <v>3.7037037037037035E-4</v>
      </c>
      <c r="DU168" s="10" cm="1">
        <f t="array" aca="1" ref="DU168" ca="1">(1-$B$18)*SUMPRODUCT(OFFSET($BO$15,0,0,$B$14,1), 1*(_xlfn._xlws.FILTER(OFFSET($O$15,0,$DN168,$B$8,1),OFFSET($M$15,0,0,$B$8,1))=DU$13), 1*(_xlfn._xlws.FILTER(OFFSET($O$15,0,$DO168,$B$8,1),OFFSET($M$15,0,0,$B$8,1))=DU$14))   /   SUM(OFFSET($BO$15,0,0,$B$14,1)) + $B$18/($B$19*$B$19*($DN168&lt;&gt;$DO168) + $B$19*($DN168=$DO168))</f>
        <v>3.7037037037037035E-4</v>
      </c>
      <c r="DV168" s="10" cm="1">
        <f t="array" aca="1" ref="DV168" ca="1">(1-$B$18)*SUMPRODUCT(OFFSET($BO$15,0,0,$B$14,1), 1*(_xlfn._xlws.FILTER(OFFSET($O$15,0,$DN168,$B$8,1),OFFSET($M$15,0,0,$B$8,1))=DV$13), 1*(_xlfn._xlws.FILTER(OFFSET($O$15,0,$DO168,$B$8,1),OFFSET($M$15,0,0,$B$8,1))=DV$14))   /   SUM(OFFSET($BO$15,0,0,$B$14,1)) + $B$18/($B$19*$B$19*($DN168&lt;&gt;$DO168) + $B$19*($DN168=$DO168))</f>
        <v>3.7037037037037035E-4</v>
      </c>
      <c r="DW168" s="10" cm="1">
        <f t="array" aca="1" ref="DW168" ca="1">(1-$B$18)*SUMPRODUCT(OFFSET($BO$15,0,0,$B$14,1), 1*(_xlfn._xlws.FILTER(OFFSET($O$15,0,$DN168,$B$8,1),OFFSET($M$15,0,0,$B$8,1))=DW$13), 1*(_xlfn._xlws.FILTER(OFFSET($O$15,0,$DO168,$B$8,1),OFFSET($M$15,0,0,$B$8,1))=DW$14))   /   SUM(OFFSET($BO$15,0,0,$B$14,1)) + $B$18/($B$19*$B$19*($DN168&lt;&gt;$DO168) + $B$19*($DN168=$DO168))</f>
        <v>3.7037037037037035E-4</v>
      </c>
      <c r="DX168" s="10" cm="1">
        <f t="array" aca="1" ref="DX168" ca="1">(1-$B$18)*SUMPRODUCT(OFFSET($BO$15,0,0,$B$14,1), 1*(_xlfn._xlws.FILTER(OFFSET($O$15,0,$DN168,$B$8,1),OFFSET($M$15,0,0,$B$8,1))=DX$13), 1*(_xlfn._xlws.FILTER(OFFSET($O$15,0,$DO168,$B$8,1),OFFSET($M$15,0,0,$B$8,1))=DX$14))   /   SUM(OFFSET($BO$15,0,0,$B$14,1)) + $B$18/($B$19*$B$19*($DN168&lt;&gt;$DO168) + $B$19*($DN168=$DO168))</f>
        <v>3.7037037037037035E-4</v>
      </c>
      <c r="DY168" s="10" cm="1">
        <f t="array" aca="1" ref="DY168" ca="1">(1-$B$18)*SUMPRODUCT(OFFSET($BO$15,0,0,$B$14,1), 1*(_xlfn._xlws.FILTER(OFFSET($O$15,0,$DN168,$B$8,1),OFFSET($M$15,0,0,$B$8,1))=DY$13), 1*(_xlfn._xlws.FILTER(OFFSET($O$15,0,$DO168,$B$8,1),OFFSET($M$15,0,0,$B$8,1))=DY$14))   /   SUM(OFFSET($BO$15,0,0,$B$14,1)) + $B$18/($B$19*$B$19*($DN168&lt;&gt;$DO168) + $B$19*($DN168=$DO168))</f>
        <v>3.7037037037037035E-4</v>
      </c>
      <c r="DZ168" s="10" cm="1">
        <f t="array" aca="1" ref="DZ168" ca="1">(1-$B$18)*SUMPRODUCT(OFFSET($BO$15,0,0,$B$14,1), 1*(_xlfn._xlws.FILTER(OFFSET($O$15,0,$DN168,$B$8,1),OFFSET($M$15,0,0,$B$8,1))=DZ$13), 1*(_xlfn._xlws.FILTER(OFFSET($O$15,0,$DO168,$B$8,1),OFFSET($M$15,0,0,$B$8,1))=DZ$14))   /   SUM(OFFSET($BO$15,0,0,$B$14,1)) + $B$18/($B$19*$B$19*($DN168&lt;&gt;$DO168) + $B$19*($DN168=$DO168))</f>
        <v>3.7037037037037035E-4</v>
      </c>
      <c r="EA168" s="10" cm="1">
        <f t="array" aca="1" ref="EA168" ca="1">(1-$B$18)*SUMPRODUCT(OFFSET($BO$15,0,0,$B$14,1), 1*(_xlfn._xlws.FILTER(OFFSET($O$15,0,$DN168,$B$8,1),OFFSET($M$15,0,0,$B$8,1))=EA$13), 1*(_xlfn._xlws.FILTER(OFFSET($O$15,0,$DO168,$B$8,1),OFFSET($M$15,0,0,$B$8,1))=EA$14))   /   SUM(OFFSET($BO$15,0,0,$B$14,1)) + $B$18/($B$19*$B$19*($DN168&lt;&gt;$DO168) + $B$19*($DN168=$DO168))</f>
        <v>3.7037037037037035E-4</v>
      </c>
      <c r="EB168" s="10" cm="1">
        <f t="array" aca="1" ref="EB168" ca="1">(1-$B$18)*SUMPRODUCT(OFFSET($BO$15,0,0,$B$14,1), 1*(_xlfn._xlws.FILTER(OFFSET($O$15,0,$DN168,$B$8,1),OFFSET($M$15,0,0,$B$8,1))=EB$13), 1*(_xlfn._xlws.FILTER(OFFSET($O$15,0,$DO168,$B$8,1),OFFSET($M$15,0,0,$B$8,1))=EB$14))   /   SUM(OFFSET($BO$15,0,0,$B$14,1)) + $B$18/($B$19*$B$19*($DN168&lt;&gt;$DO168) + $B$19*($DN168=$DO168))</f>
        <v>3.7037037037037035E-4</v>
      </c>
      <c r="EC168" s="10" cm="1">
        <f t="array" aca="1" ref="EC168" ca="1">(1-$B$18)*SUMPRODUCT(OFFSET($BO$15,0,0,$B$14,1), 1*(_xlfn._xlws.FILTER(OFFSET($O$15,0,$DN168,$B$8,1),OFFSET($M$15,0,0,$B$8,1))=EC$13), 1*(_xlfn._xlws.FILTER(OFFSET($O$15,0,$DO168,$B$8,1),OFFSET($M$15,0,0,$B$8,1))=EC$14))   /   SUM(OFFSET($BO$15,0,0,$B$14,1)) + $B$18/($B$19*$B$19*($DN168&lt;&gt;$DO168) + $B$19*($DN168=$DO168))</f>
        <v>3.7037037037037035E-4</v>
      </c>
      <c r="ED168" s="10" cm="1">
        <f t="array" aca="1" ref="ED168" ca="1">(1-$B$18)*SUMPRODUCT(OFFSET($BO$15,0,0,$B$14,1), 1*(_xlfn._xlws.FILTER(OFFSET($O$15,0,$DN168,$B$8,1),OFFSET($M$15,0,0,$B$8,1))=ED$13), 1*(_xlfn._xlws.FILTER(OFFSET($O$15,0,$DO168,$B$8,1),OFFSET($M$15,0,0,$B$8,1))=ED$14))   /   SUM(OFFSET($BO$15,0,0,$B$14,1)) + $B$18/($B$19*$B$19*($DN168&lt;&gt;$DO168) + $B$19*($DN168=$DO168))</f>
        <v>3.7037037037037035E-4</v>
      </c>
      <c r="EE168" s="10" cm="1">
        <f t="array" aca="1" ref="EE168" ca="1">(1-$B$18)*SUMPRODUCT(OFFSET($BO$15,0,0,$B$14,1), 1*(_xlfn._xlws.FILTER(OFFSET($O$15,0,$DN168,$B$8,1),OFFSET($M$15,0,0,$B$8,1))=EE$13), 1*(_xlfn._xlws.FILTER(OFFSET($O$15,0,$DO168,$B$8,1),OFFSET($M$15,0,0,$B$8,1))=EE$14))   /   SUM(OFFSET($BO$15,0,0,$B$14,1)) + $B$18/($B$19*$B$19*($DN168&lt;&gt;$DO168) + $B$19*($DN168=$DO168))</f>
        <v>3.7037037037037035E-4</v>
      </c>
      <c r="EF168" s="10" cm="1">
        <f t="array" aca="1" ref="EF168" ca="1">(1-$B$18)*SUMPRODUCT(OFFSET($BO$15,0,0,$B$14,1), 1*(_xlfn._xlws.FILTER(OFFSET($O$15,0,$DN168,$B$8,1),OFFSET($M$15,0,0,$B$8,1))=EF$13), 1*(_xlfn._xlws.FILTER(OFFSET($O$15,0,$DO168,$B$8,1),OFFSET($M$15,0,0,$B$8,1))=EF$14))   /   SUM(OFFSET($BO$15,0,0,$B$14,1)) + $B$18/($B$19*$B$19*($DN168&lt;&gt;$DO168) + $B$19*($DN168=$DO168))</f>
        <v>3.7037037037037035E-4</v>
      </c>
      <c r="EG168" s="10" cm="1">
        <f t="array" aca="1" ref="EG168" ca="1">(1-$B$18)*SUMPRODUCT(OFFSET($BO$15,0,0,$B$14,1), 1*(_xlfn._xlws.FILTER(OFFSET($O$15,0,$DN168,$B$8,1),OFFSET($M$15,0,0,$B$8,1))=EG$13), 1*(_xlfn._xlws.FILTER(OFFSET($O$15,0,$DO168,$B$8,1),OFFSET($M$15,0,0,$B$8,1))=EG$14))   /   SUM(OFFSET($BO$15,0,0,$B$14,1)) + $B$18/($B$19*$B$19*($DN168&lt;&gt;$DO168) + $B$19*($DN168=$DO168))</f>
        <v>3.7037037037037035E-4</v>
      </c>
      <c r="EH168" s="10" cm="1">
        <f t="array" aca="1" ref="EH168" ca="1">(1-$B$18)*SUMPRODUCT(OFFSET($BO$15,0,0,$B$14,1), 1*(_xlfn._xlws.FILTER(OFFSET($O$15,0,$DN168,$B$8,1),OFFSET($M$15,0,0,$B$8,1))=EH$13), 1*(_xlfn._xlws.FILTER(OFFSET($O$15,0,$DO168,$B$8,1),OFFSET($M$15,0,0,$B$8,1))=EH$14))   /   SUM(OFFSET($BO$15,0,0,$B$14,1)) + $B$18/($B$19*$B$19*($DN168&lt;&gt;$DO168) + $B$19*($DN168=$DO168))</f>
        <v>3.7037037037037035E-4</v>
      </c>
      <c r="EI168" s="10" cm="1">
        <f t="array" aca="1" ref="EI168" ca="1">(1-$B$18)*SUMPRODUCT(OFFSET($BO$15,0,0,$B$14,1), 1*(_xlfn._xlws.FILTER(OFFSET($O$15,0,$DN168,$B$8,1),OFFSET($M$15,0,0,$B$8,1))=EI$13), 1*(_xlfn._xlws.FILTER(OFFSET($O$15,0,$DO168,$B$8,1),OFFSET($M$15,0,0,$B$8,1))=EI$14))   /   SUM(OFFSET($BO$15,0,0,$B$14,1)) + $B$18/($B$19*$B$19*($DN168&lt;&gt;$DO168) + $B$19*($DN168=$DO168))</f>
        <v>3.7037037037037035E-4</v>
      </c>
      <c r="EJ168" s="10" cm="1">
        <f t="array" aca="1" ref="EJ168" ca="1">(1-$B$18)*SUMPRODUCT(OFFSET($BO$15,0,0,$B$14,1), 1*(_xlfn._xlws.FILTER(OFFSET($O$15,0,$DN168,$B$8,1),OFFSET($M$15,0,0,$B$8,1))=EJ$13), 1*(_xlfn._xlws.FILTER(OFFSET($O$15,0,$DO168,$B$8,1),OFFSET($M$15,0,0,$B$8,1))=EJ$14))   /   SUM(OFFSET($BO$15,0,0,$B$14,1)) + $B$18/($B$19*$B$19*($DN168&lt;&gt;$DO168) + $B$19*($DN168=$DO168))</f>
        <v>3.7037037037037035E-4</v>
      </c>
      <c r="EK168" s="10" cm="1">
        <f t="array" aca="1" ref="EK168" ca="1">(1-$B$18)*SUMPRODUCT(OFFSET($BO$15,0,0,$B$14,1), 1*(_xlfn._xlws.FILTER(OFFSET($O$15,0,$DN168,$B$8,1),OFFSET($M$15,0,0,$B$8,1))=EK$13), 1*(_xlfn._xlws.FILTER(OFFSET($O$15,0,$DO168,$B$8,1),OFFSET($M$15,0,0,$B$8,1))=EK$14))   /   SUM(OFFSET($BO$15,0,0,$B$14,1)) + $B$18/($B$19*$B$19*($DN168&lt;&gt;$DO168) + $B$19*($DN168=$DO168))</f>
        <v>3.7037037037037035E-4</v>
      </c>
      <c r="EL168" s="10" cm="1">
        <f t="array" aca="1" ref="EL168" ca="1">(1-$B$18)*SUMPRODUCT(OFFSET($BO$15,0,0,$B$14,1), 1*(_xlfn._xlws.FILTER(OFFSET($O$15,0,$DN168,$B$8,1),OFFSET($M$15,0,0,$B$8,1))=EL$13), 1*(_xlfn._xlws.FILTER(OFFSET($O$15,0,$DO168,$B$8,1),OFFSET($M$15,0,0,$B$8,1))=EL$14))   /   SUM(OFFSET($BO$15,0,0,$B$14,1)) + $B$18/($B$19*$B$19*($DN168&lt;&gt;$DO168) + $B$19*($DN168=$DO168))</f>
        <v>3.7037037037037035E-4</v>
      </c>
      <c r="EM168" s="10" cm="1">
        <f t="array" aca="1" ref="EM168" ca="1">(1-$B$18)*SUMPRODUCT(OFFSET($BO$15,0,0,$B$14,1), 1*(_xlfn._xlws.FILTER(OFFSET($O$15,0,$DN168,$B$8,1),OFFSET($M$15,0,0,$B$8,1))=EM$13), 1*(_xlfn._xlws.FILTER(OFFSET($O$15,0,$DO168,$B$8,1),OFFSET($M$15,0,0,$B$8,1))=EM$14))   /   SUM(OFFSET($BO$15,0,0,$B$14,1)) + $B$18/($B$19*$B$19*($DN168&lt;&gt;$DO168) + $B$19*($DN168=$DO168))</f>
        <v>3.7037037037037035E-4</v>
      </c>
      <c r="EN168" s="10" cm="1">
        <f t="array" aca="1" ref="EN168" ca="1">(1-$B$18)*SUMPRODUCT(OFFSET($BO$15,0,0,$B$14,1), 1*(_xlfn._xlws.FILTER(OFFSET($O$15,0,$DN168,$B$8,1),OFFSET($M$15,0,0,$B$8,1))=EN$13), 1*(_xlfn._xlws.FILTER(OFFSET($O$15,0,$DO168,$B$8,1),OFFSET($M$15,0,0,$B$8,1))=EN$14))   /   SUM(OFFSET($BO$15,0,0,$B$14,1)) + $B$18/($B$19*$B$19*($DN168&lt;&gt;$DO168) + $B$19*($DN168=$DO168))</f>
        <v>3.7037037037037035E-4</v>
      </c>
      <c r="EO168" s="10" cm="1">
        <f t="array" aca="1" ref="EO168" ca="1">(1-$B$18)*SUMPRODUCT(OFFSET($BO$15,0,0,$B$14,1), 1*(_xlfn._xlws.FILTER(OFFSET($O$15,0,$DN168,$B$8,1),OFFSET($M$15,0,0,$B$8,1))=EO$13), 1*(_xlfn._xlws.FILTER(OFFSET($O$15,0,$DO168,$B$8,1),OFFSET($M$15,0,0,$B$8,1))=EO$14))   /   SUM(OFFSET($BO$15,0,0,$B$14,1)) + $B$18/($B$19*$B$19*($DN168&lt;&gt;$DO168) + $B$19*($DN168=$DO168))</f>
        <v>3.7037037037037035E-4</v>
      </c>
      <c r="EP168" s="10" cm="1">
        <f t="array" aca="1" ref="EP168" ca="1">(1-$B$18)*SUMPRODUCT(OFFSET($BO$15,0,0,$B$14,1), 1*(_xlfn._xlws.FILTER(OFFSET($O$15,0,$DN168,$B$8,1),OFFSET($M$15,0,0,$B$8,1))=EP$13), 1*(_xlfn._xlws.FILTER(OFFSET($O$15,0,$DO168,$B$8,1),OFFSET($M$15,0,0,$B$8,1))=EP$14))   /   SUM(OFFSET($BO$15,0,0,$B$14,1)) + $B$18/($B$19*$B$19*($DN168&lt;&gt;$DO168) + $B$19*($DN168=$DO168))</f>
        <v>3.7037037037037035E-4</v>
      </c>
      <c r="EQ168" s="10" cm="1">
        <f t="array" aca="1" ref="EQ168" ca="1">(1-$B$18)*SUMPRODUCT(OFFSET($BO$15,0,0,$B$14,1), 1*(_xlfn._xlws.FILTER(OFFSET($O$15,0,$DN168,$B$8,1),OFFSET($M$15,0,0,$B$8,1))=EQ$13), 1*(_xlfn._xlws.FILTER(OFFSET($O$15,0,$DO168,$B$8,1),OFFSET($M$15,0,0,$B$8,1))=EQ$14))   /   SUM(OFFSET($BO$15,0,0,$B$14,1)) + $B$18/($B$19*$B$19*($DN168&lt;&gt;$DO168) + $B$19*($DN168=$DO168))</f>
        <v>3.7037037037037035E-4</v>
      </c>
      <c r="ER168" s="10" cm="1">
        <f t="array" aca="1" ref="ER168" ca="1">(1-$B$18)*SUMPRODUCT(OFFSET($BO$15,0,0,$B$14,1), 1*(_xlfn._xlws.FILTER(OFFSET($O$15,0,$DN168,$B$8,1),OFFSET($M$15,0,0,$B$8,1))=ER$13), 1*(_xlfn._xlws.FILTER(OFFSET($O$15,0,$DO168,$B$8,1),OFFSET($M$15,0,0,$B$8,1))=ER$14))   /   SUM(OFFSET($BO$15,0,0,$B$14,1)) + $B$18/($B$19*$B$19*($DN168&lt;&gt;$DO168) + $B$19*($DN168=$DO168))</f>
        <v>3.7037037037037035E-4</v>
      </c>
      <c r="ES168" s="10" cm="1">
        <f t="array" aca="1" ref="ES168" ca="1">(1-$B$18)*SUMPRODUCT(OFFSET($BO$15,0,0,$B$14,1), 1*(_xlfn._xlws.FILTER(OFFSET($O$15,0,$DN168,$B$8,1),OFFSET($M$15,0,0,$B$8,1))=ES$13), 1*(_xlfn._xlws.FILTER(OFFSET($O$15,0,$DO168,$B$8,1),OFFSET($M$15,0,0,$B$8,1))=ES$14))   /   SUM(OFFSET($BO$15,0,0,$B$14,1)) + $B$18/($B$19*$B$19*($DN168&lt;&gt;$DO168) + $B$19*($DN168=$DO168))</f>
        <v>3.7037037037037035E-4</v>
      </c>
      <c r="ET168" s="10" cm="1">
        <f t="array" aca="1" ref="ET168" ca="1">(1-$B$18)*SUMPRODUCT(OFFSET($BO$15,0,0,$B$14,1), 1*(_xlfn._xlws.FILTER(OFFSET($O$15,0,$DN168,$B$8,1),OFFSET($M$15,0,0,$B$8,1))=ET$13), 1*(_xlfn._xlws.FILTER(OFFSET($O$15,0,$DO168,$B$8,1),OFFSET($M$15,0,0,$B$8,1))=ET$14))   /   SUM(OFFSET($BO$15,0,0,$B$14,1)) + $B$18/($B$19*$B$19*($DN168&lt;&gt;$DO168) + $B$19*($DN168=$DO168))</f>
        <v>3.7037037037037035E-4</v>
      </c>
      <c r="EU168" s="10" cm="1">
        <f t="array" aca="1" ref="EU168" ca="1">(1-$B$18)*SUMPRODUCT(OFFSET($BO$15,0,0,$B$14,1), 1*(_xlfn._xlws.FILTER(OFFSET($O$15,0,$DN168,$B$8,1),OFFSET($M$15,0,0,$B$8,1))=EU$13), 1*(_xlfn._xlws.FILTER(OFFSET($O$15,0,$DO168,$B$8,1),OFFSET($M$15,0,0,$B$8,1))=EU$14))   /   SUM(OFFSET($BO$15,0,0,$B$14,1)) + $B$18/($B$19*$B$19*($DN168&lt;&gt;$DO168) + $B$19*($DN168=$DO168))</f>
        <v>3.7037037037037035E-4</v>
      </c>
      <c r="EV168" s="10" cm="1">
        <f t="array" aca="1" ref="EV168" ca="1">(1-$B$18)*SUMPRODUCT(OFFSET($BO$15,0,0,$B$14,1), 1*(_xlfn._xlws.FILTER(OFFSET($O$15,0,$DN168,$B$8,1),OFFSET($M$15,0,0,$B$8,1))=EV$13), 1*(_xlfn._xlws.FILTER(OFFSET($O$15,0,$DO168,$B$8,1),OFFSET($M$15,0,0,$B$8,1))=EV$14))   /   SUM(OFFSET($BO$15,0,0,$B$14,1)) + $B$18/($B$19*$B$19*($DN168&lt;&gt;$DO168) + $B$19*($DN168=$DO168))</f>
        <v>3.7037037037037035E-4</v>
      </c>
      <c r="EW168" s="10" cm="1">
        <f t="array" aca="1" ref="EW168" ca="1">(1-$B$18)*SUMPRODUCT(OFFSET($BO$15,0,0,$B$14,1), 1*(_xlfn._xlws.FILTER(OFFSET($O$15,0,$DN168,$B$8,1),OFFSET($M$15,0,0,$B$8,1))=EW$13), 1*(_xlfn._xlws.FILTER(OFFSET($O$15,0,$DO168,$B$8,1),OFFSET($M$15,0,0,$B$8,1))=EW$14))   /   SUM(OFFSET($BO$15,0,0,$B$14,1)) + $B$18/($B$19*$B$19*($DN168&lt;&gt;$DO168) + $B$19*($DN168=$DO168))</f>
        <v>3.7037037037037035E-4</v>
      </c>
      <c r="EX168" s="10" cm="1">
        <f t="array" aca="1" ref="EX168" ca="1">(1-$B$18)*SUMPRODUCT(OFFSET($BO$15,0,0,$B$14,1), 1*(_xlfn._xlws.FILTER(OFFSET($O$15,0,$DN168,$B$8,1),OFFSET($M$15,0,0,$B$8,1))=EX$13), 1*(_xlfn._xlws.FILTER(OFFSET($O$15,0,$DO168,$B$8,1),OFFSET($M$15,0,0,$B$8,1))=EX$14))   /   SUM(OFFSET($BO$15,0,0,$B$14,1)) + $B$18/($B$19*$B$19*($DN168&lt;&gt;$DO168) + $B$19*($DN168=$DO168))</f>
        <v>3.7037037037037035E-4</v>
      </c>
      <c r="EY168" s="10" cm="1">
        <f t="array" aca="1" ref="EY168" ca="1">(1-$B$18)*SUMPRODUCT(OFFSET($BO$15,0,0,$B$14,1), 1*(_xlfn._xlws.FILTER(OFFSET($O$15,0,$DN168,$B$8,1),OFFSET($M$15,0,0,$B$8,1))=EY$13), 1*(_xlfn._xlws.FILTER(OFFSET($O$15,0,$DO168,$B$8,1),OFFSET($M$15,0,0,$B$8,1))=EY$14))   /   SUM(OFFSET($BO$15,0,0,$B$14,1)) + $B$18/($B$19*$B$19*($DN168&lt;&gt;$DO168) + $B$19*($DN168=$DO168))</f>
        <v>3.7037037037037035E-4</v>
      </c>
      <c r="EZ168" s="10" cm="1">
        <f t="array" aca="1" ref="EZ168" ca="1">(1-$B$18)*SUMPRODUCT(OFFSET($BO$15,0,0,$B$14,1), 1*(_xlfn._xlws.FILTER(OFFSET($O$15,0,$DN168,$B$8,1),OFFSET($M$15,0,0,$B$8,1))=EZ$13), 1*(_xlfn._xlws.FILTER(OFFSET($O$15,0,$DO168,$B$8,1),OFFSET($M$15,0,0,$B$8,1))=EZ$14))   /   SUM(OFFSET($BO$15,0,0,$B$14,1)) + $B$18/($B$19*$B$19*($DN168&lt;&gt;$DO168) + $B$19*($DN168=$DO168))</f>
        <v>3.7037037037037035E-4</v>
      </c>
      <c r="FA168" s="10" cm="1">
        <f t="array" aca="1" ref="FA168" ca="1">(1-$B$18)*SUMPRODUCT(OFFSET($BO$15,0,0,$B$14,1), 1*(_xlfn._xlws.FILTER(OFFSET($O$15,0,$DN168,$B$8,1),OFFSET($M$15,0,0,$B$8,1))=FA$13), 1*(_xlfn._xlws.FILTER(OFFSET($O$15,0,$DO168,$B$8,1),OFFSET($M$15,0,0,$B$8,1))=FA$14))   /   SUM(OFFSET($BO$15,0,0,$B$14,1)) + $B$18/($B$19*$B$19*($DN168&lt;&gt;$DO168) + $B$19*($DN168=$DO168))</f>
        <v>3.7037037037037035E-4</v>
      </c>
      <c r="FB168" s="10" cm="1">
        <f t="array" aca="1" ref="FB168" ca="1">(1-$B$18)*SUMPRODUCT(OFFSET($BO$15,0,0,$B$14,1), 1*(_xlfn._xlws.FILTER(OFFSET($O$15,0,$DN168,$B$8,1),OFFSET($M$15,0,0,$B$8,1))=FB$13), 1*(_xlfn._xlws.FILTER(OFFSET($O$15,0,$DO168,$B$8,1),OFFSET($M$15,0,0,$B$8,1))=FB$14))   /   SUM(OFFSET($BO$15,0,0,$B$14,1)) + $B$18/($B$19*$B$19*($DN168&lt;&gt;$DO168) + $B$19*($DN168=$DO168))</f>
        <v>3.7037037037037035E-4</v>
      </c>
      <c r="FC168" s="10" cm="1">
        <f t="array" aca="1" ref="FC168" ca="1">(1-$B$18)*SUMPRODUCT(OFFSET($BO$15,0,0,$B$14,1), 1*(_xlfn._xlws.FILTER(OFFSET($O$15,0,$DN168,$B$8,1),OFFSET($M$15,0,0,$B$8,1))=FC$13), 1*(_xlfn._xlws.FILTER(OFFSET($O$15,0,$DO168,$B$8,1),OFFSET($M$15,0,0,$B$8,1))=FC$14))   /   SUM(OFFSET($BO$15,0,0,$B$14,1)) + $B$18/($B$19*$B$19*($DN168&lt;&gt;$DO168) + $B$19*($DN168=$DO168))</f>
        <v>3.7037037037037035E-4</v>
      </c>
      <c r="FD168" s="10" cm="1">
        <f t="array" aca="1" ref="FD168" ca="1">(1-$B$18)*SUMPRODUCT(OFFSET($BO$15,0,0,$B$14,1), 1*(_xlfn._xlws.FILTER(OFFSET($O$15,0,$DN168,$B$8,1),OFFSET($M$15,0,0,$B$8,1))=FD$13), 1*(_xlfn._xlws.FILTER(OFFSET($O$15,0,$DO168,$B$8,1),OFFSET($M$15,0,0,$B$8,1))=FD$14))   /   SUM(OFFSET($BO$15,0,0,$B$14,1)) + $B$18/($B$19*$B$19*($DN168&lt;&gt;$DO168) + $B$19*($DN168=$DO168))</f>
        <v>3.7037037037037035E-4</v>
      </c>
      <c r="FE168" s="10" cm="1">
        <f t="array" aca="1" ref="FE168" ca="1">(1-$B$18)*SUMPRODUCT(OFFSET($BO$15,0,0,$B$14,1), 1*(_xlfn._xlws.FILTER(OFFSET($O$15,0,$DN168,$B$8,1),OFFSET($M$15,0,0,$B$8,1))=FE$13), 1*(_xlfn._xlws.FILTER(OFFSET($O$15,0,$DO168,$B$8,1),OFFSET($M$15,0,0,$B$8,1))=FE$14))   /   SUM(OFFSET($BO$15,0,0,$B$14,1)) + $B$18/($B$19*$B$19*($DN168&lt;&gt;$DO168) + $B$19*($DN168=$DO168))</f>
        <v>3.7037037037037035E-4</v>
      </c>
      <c r="FF168" s="10" cm="1">
        <f t="array" aca="1" ref="FF168" ca="1">(1-$B$18)*SUMPRODUCT(OFFSET($BO$15,0,0,$B$14,1), 1*(_xlfn._xlws.FILTER(OFFSET($O$15,0,$DN168,$B$8,1),OFFSET($M$15,0,0,$B$8,1))=FF$13), 1*(_xlfn._xlws.FILTER(OFFSET($O$15,0,$DO168,$B$8,1),OFFSET($M$15,0,0,$B$8,1))=FF$14))   /   SUM(OFFSET($BO$15,0,0,$B$14,1)) + $B$18/($B$19*$B$19*($DN168&lt;&gt;$DO168) + $B$19*($DN168=$DO168))</f>
        <v>3.7037037037037035E-4</v>
      </c>
      <c r="FG168" s="10" cm="1">
        <f t="array" aca="1" ref="FG168" ca="1">(1-$B$18)*SUMPRODUCT(OFFSET($BO$15,0,0,$B$14,1), 1*(_xlfn._xlws.FILTER(OFFSET($O$15,0,$DN168,$B$8,1),OFFSET($M$15,0,0,$B$8,1))=FG$13), 1*(_xlfn._xlws.FILTER(OFFSET($O$15,0,$DO168,$B$8,1),OFFSET($M$15,0,0,$B$8,1))=FG$14))   /   SUM(OFFSET($BO$15,0,0,$B$14,1)) + $B$18/($B$19*$B$19*($DN168&lt;&gt;$DO168) + $B$19*($DN168=$DO168))</f>
        <v>3.7037037037037035E-4</v>
      </c>
      <c r="FH168" s="10" cm="1">
        <f t="array" aca="1" ref="FH168" ca="1">(1-$B$18)*SUMPRODUCT(OFFSET($BO$15,0,0,$B$14,1), 1*(_xlfn._xlws.FILTER(OFFSET($O$15,0,$DN168,$B$8,1),OFFSET($M$15,0,0,$B$8,1))=FH$13), 1*(_xlfn._xlws.FILTER(OFFSET($O$15,0,$DO168,$B$8,1),OFFSET($M$15,0,0,$B$8,1))=FH$14))   /   SUM(OFFSET($BO$15,0,0,$B$14,1)) + $B$18/($B$19*$B$19*($DN168&lt;&gt;$DO168) + $B$19*($DN168=$DO168))</f>
        <v>3.7037037037037035E-4</v>
      </c>
      <c r="FI168" s="10" cm="1">
        <f t="array" aca="1" ref="FI168" ca="1">(1-$B$18)*SUMPRODUCT(OFFSET($BO$15,0,0,$B$14,1), 1*(_xlfn._xlws.FILTER(OFFSET($O$15,0,$DN168,$B$8,1),OFFSET($M$15,0,0,$B$8,1))=FI$13), 1*(_xlfn._xlws.FILTER(OFFSET($O$15,0,$DO168,$B$8,1),OFFSET($M$15,0,0,$B$8,1))=FI$14))   /   SUM(OFFSET($BO$15,0,0,$B$14,1)) + $B$18/($B$19*$B$19*($DN168&lt;&gt;$DO168) + $B$19*($DN168=$DO168))</f>
        <v>3.7037037037037035E-4</v>
      </c>
      <c r="FJ168" s="10" cm="1">
        <f t="array" aca="1" ref="FJ168" ca="1">(1-$B$18)*SUMPRODUCT(OFFSET($BO$15,0,0,$B$14,1), 1*(_xlfn._xlws.FILTER(OFFSET($O$15,0,$DN168,$B$8,1),OFFSET($M$15,0,0,$B$8,1))=FJ$13), 1*(_xlfn._xlws.FILTER(OFFSET($O$15,0,$DO168,$B$8,1),OFFSET($M$15,0,0,$B$8,1))=FJ$14))   /   SUM(OFFSET($BO$15,0,0,$B$14,1)) + $B$18/($B$19*$B$19*($DN168&lt;&gt;$DO168) + $B$19*($DN168=$DO168))</f>
        <v>3.7037037037037035E-4</v>
      </c>
      <c r="FK168" s="10" cm="1">
        <f t="array" aca="1" ref="FK168" ca="1">(1-$B$18)*SUMPRODUCT(OFFSET($BO$15,0,0,$B$14,1), 1*(_xlfn._xlws.FILTER(OFFSET($O$15,0,$DN168,$B$8,1),OFFSET($M$15,0,0,$B$8,1))=FK$13), 1*(_xlfn._xlws.FILTER(OFFSET($O$15,0,$DO168,$B$8,1),OFFSET($M$15,0,0,$B$8,1))=FK$14))   /   SUM(OFFSET($BO$15,0,0,$B$14,1)) + $B$18/($B$19*$B$19*($DN168&lt;&gt;$DO168) + $B$19*($DN168=$DO168))</f>
        <v>3.7037037037037035E-4</v>
      </c>
      <c r="FL168" s="10" cm="1">
        <f t="array" aca="1" ref="FL168" ca="1">(1-$B$18)*SUMPRODUCT(OFFSET($BO$15,0,0,$B$14,1), 1*(_xlfn._xlws.FILTER(OFFSET($O$15,0,$DN168,$B$8,1),OFFSET($M$15,0,0,$B$8,1))=FL$13), 1*(_xlfn._xlws.FILTER(OFFSET($O$15,0,$DO168,$B$8,1),OFFSET($M$15,0,0,$B$8,1))=FL$14))   /   SUM(OFFSET($BO$15,0,0,$B$14,1)) + $B$18/($B$19*$B$19*($DN168&lt;&gt;$DO168) + $B$19*($DN168=$DO168))</f>
        <v>3.7037037037037035E-4</v>
      </c>
      <c r="FM168" s="10" cm="1">
        <f t="array" aca="1" ref="FM168" ca="1">(1-$B$18)*SUMPRODUCT(OFFSET($BO$15,0,0,$B$14,1), 1*(_xlfn._xlws.FILTER(OFFSET($O$15,0,$DN168,$B$8,1),OFFSET($M$15,0,0,$B$8,1))=FM$13), 1*(_xlfn._xlws.FILTER(OFFSET($O$15,0,$DO168,$B$8,1),OFFSET($M$15,0,0,$B$8,1))=FM$14))   /   SUM(OFFSET($BO$15,0,0,$B$14,1)) + $B$18/($B$19*$B$19*($DN168&lt;&gt;$DO168) + $B$19*($DN168=$DO168))</f>
        <v>3.7037037037037035E-4</v>
      </c>
      <c r="FN168" s="10" cm="1">
        <f t="array" aca="1" ref="FN168" ca="1">(1-$B$18)*SUMPRODUCT(OFFSET($BO$15,0,0,$B$14,1), 1*(_xlfn._xlws.FILTER(OFFSET($O$15,0,$DN168,$B$8,1),OFFSET($M$15,0,0,$B$8,1))=FN$13), 1*(_xlfn._xlws.FILTER(OFFSET($O$15,0,$DO168,$B$8,1),OFFSET($M$15,0,0,$B$8,1))=FN$14))   /   SUM(OFFSET($BO$15,0,0,$B$14,1)) + $B$18/($B$19*$B$19*($DN168&lt;&gt;$DO168) + $B$19*($DN168=$DO168))</f>
        <v>3.7037037037037035E-4</v>
      </c>
      <c r="FO168" s="10" cm="1">
        <f t="array" aca="1" ref="FO168" ca="1">(1-$B$18)*SUMPRODUCT(OFFSET($BO$15,0,0,$B$14,1), 1*(_xlfn._xlws.FILTER(OFFSET($O$15,0,$DN168,$B$8,1),OFFSET($M$15,0,0,$B$8,1))=FO$13), 1*(_xlfn._xlws.FILTER(OFFSET($O$15,0,$DO168,$B$8,1),OFFSET($M$15,0,0,$B$8,1))=FO$14))   /   SUM(OFFSET($BO$15,0,0,$B$14,1)) + $B$18/($B$19*$B$19*($DN168&lt;&gt;$DO168) + $B$19*($DN168=$DO168))</f>
        <v>3.7037037037037035E-4</v>
      </c>
      <c r="FP168" s="10" cm="1">
        <f t="array" aca="1" ref="FP168" ca="1">(1-$B$18)*SUMPRODUCT(OFFSET($BO$15,0,0,$B$14,1), 1*(_xlfn._xlws.FILTER(OFFSET($O$15,0,$DN168,$B$8,1),OFFSET($M$15,0,0,$B$8,1))=FP$13), 1*(_xlfn._xlws.FILTER(OFFSET($O$15,0,$DO168,$B$8,1),OFFSET($M$15,0,0,$B$8,1))=FP$14))   /   SUM(OFFSET($BO$15,0,0,$B$14,1)) + $B$18/($B$19*$B$19*($DN168&lt;&gt;$DO168) + $B$19*($DN168=$DO168))</f>
        <v>3.7037037037037035E-4</v>
      </c>
      <c r="FQ168" s="10" cm="1">
        <f t="array" aca="1" ref="FQ168" ca="1">(1-$B$18)*SUMPRODUCT(OFFSET($BO$15,0,0,$B$14,1), 1*(_xlfn._xlws.FILTER(OFFSET($O$15,0,$DN168,$B$8,1),OFFSET($M$15,0,0,$B$8,1))=FQ$13), 1*(_xlfn._xlws.FILTER(OFFSET($O$15,0,$DO168,$B$8,1),OFFSET($M$15,0,0,$B$8,1))=FQ$14))   /   SUM(OFFSET($BO$15,0,0,$B$14,1)) + $B$18/($B$19*$B$19*($DN168&lt;&gt;$DO168) + $B$19*($DN168=$DO168))</f>
        <v>3.7037037037037035E-4</v>
      </c>
      <c r="FR168" s="10" cm="1">
        <f t="array" aca="1" ref="FR168" ca="1">(1-$B$18)*SUMPRODUCT(OFFSET($BO$15,0,0,$B$14,1), 1*(_xlfn._xlws.FILTER(OFFSET($O$15,0,$DN168,$B$8,1),OFFSET($M$15,0,0,$B$8,1))=FR$13), 1*(_xlfn._xlws.FILTER(OFFSET($O$15,0,$DO168,$B$8,1),OFFSET($M$15,0,0,$B$8,1))=FR$14))   /   SUM(OFFSET($BO$15,0,0,$B$14,1)) + $B$18/($B$19*$B$19*($DN168&lt;&gt;$DO168) + $B$19*($DN168=$DO168))</f>
        <v>0.97037037037037033</v>
      </c>
      <c r="FS168" s="10" cm="1">
        <f t="array" aca="1" ref="FS168" ca="1">(1-$B$18)*SUMPRODUCT(OFFSET($BO$15,0,0,$B$14,1), 1*(_xlfn._xlws.FILTER(OFFSET($O$15,0,$DN168,$B$8,1),OFFSET($M$15,0,0,$B$8,1))=FS$13), 1*(_xlfn._xlws.FILTER(OFFSET($O$15,0,$DO168,$B$8,1),OFFSET($M$15,0,0,$B$8,1))=FS$14))   /   SUM(OFFSET($BO$15,0,0,$B$14,1)) + $B$18/($B$19*$B$19*($DN168&lt;&gt;$DO168) + $B$19*($DN168=$DO168))</f>
        <v>3.7037037037037035E-4</v>
      </c>
      <c r="FT168" s="10" cm="1">
        <f t="array" aca="1" ref="FT168" ca="1">(1-$B$18)*SUMPRODUCT(OFFSET($BO$15,0,0,$B$14,1), 1*(_xlfn._xlws.FILTER(OFFSET($O$15,0,$DN168,$B$8,1),OFFSET($M$15,0,0,$B$8,1))=FT$13), 1*(_xlfn._xlws.FILTER(OFFSET($O$15,0,$DO168,$B$8,1),OFFSET($M$15,0,0,$B$8,1))=FT$14))   /   SUM(OFFSET($BO$15,0,0,$B$14,1)) + $B$18/($B$19*$B$19*($DN168&lt;&gt;$DO168) + $B$19*($DN168=$DO168))</f>
        <v>3.7037037037037035E-4</v>
      </c>
      <c r="FU168" s="10" cm="1">
        <f t="array" aca="1" ref="FU168" ca="1">(1-$B$18)*SUMPRODUCT(OFFSET($BO$15,0,0,$B$14,1), 1*(_xlfn._xlws.FILTER(OFFSET($O$15,0,$DN168,$B$8,1),OFFSET($M$15,0,0,$B$8,1))=FU$13), 1*(_xlfn._xlws.FILTER(OFFSET($O$15,0,$DO168,$B$8,1),OFFSET($M$15,0,0,$B$8,1))=FU$14))   /   SUM(OFFSET($BO$15,0,0,$B$14,1)) + $B$18/($B$19*$B$19*($DN168&lt;&gt;$DO168) + $B$19*($DN168=$DO168))</f>
        <v>3.7037037037037035E-4</v>
      </c>
      <c r="FV168" s="10" cm="1">
        <f t="array" aca="1" ref="FV168" ca="1">(1-$B$18)*SUMPRODUCT(OFFSET($BO$15,0,0,$B$14,1), 1*(_xlfn._xlws.FILTER(OFFSET($O$15,0,$DN168,$B$8,1),OFFSET($M$15,0,0,$B$8,1))=FV$13), 1*(_xlfn._xlws.FILTER(OFFSET($O$15,0,$DO168,$B$8,1),OFFSET($M$15,0,0,$B$8,1))=FV$14))   /   SUM(OFFSET($BO$15,0,0,$B$14,1)) + $B$18/($B$19*$B$19*($DN168&lt;&gt;$DO168) + $B$19*($DN168=$DO168))</f>
        <v>3.7037037037037035E-4</v>
      </c>
      <c r="FW168" s="10" cm="1">
        <f t="array" aca="1" ref="FW168" ca="1">(1-$B$18)*SUMPRODUCT(OFFSET($BO$15,0,0,$B$14,1), 1*(_xlfn._xlws.FILTER(OFFSET($O$15,0,$DN168,$B$8,1),OFFSET($M$15,0,0,$B$8,1))=FW$13), 1*(_xlfn._xlws.FILTER(OFFSET($O$15,0,$DO168,$B$8,1),OFFSET($M$15,0,0,$B$8,1))=FW$14))   /   SUM(OFFSET($BO$15,0,0,$B$14,1)) + $B$18/($B$19*$B$19*($DN168&lt;&gt;$DO168) + $B$19*($DN168=$DO168))</f>
        <v>3.7037037037037035E-4</v>
      </c>
      <c r="FX168" s="10" cm="1">
        <f t="array" aca="1" ref="FX168" ca="1">(1-$B$18)*SUMPRODUCT(OFFSET($BO$15,0,0,$B$14,1), 1*(_xlfn._xlws.FILTER(OFFSET($O$15,0,$DN168,$B$8,1),OFFSET($M$15,0,0,$B$8,1))=FX$13), 1*(_xlfn._xlws.FILTER(OFFSET($O$15,0,$DO168,$B$8,1),OFFSET($M$15,0,0,$B$8,1))=FX$14))   /   SUM(OFFSET($BO$15,0,0,$B$14,1)) + $B$18/($B$19*$B$19*($DN168&lt;&gt;$DO168) + $B$19*($DN168=$DO168))</f>
        <v>3.7037037037037035E-4</v>
      </c>
      <c r="FY168" s="10" cm="1">
        <f t="array" aca="1" ref="FY168" ca="1">(1-$B$18)*SUMPRODUCT(OFFSET($BO$15,0,0,$B$14,1), 1*(_xlfn._xlws.FILTER(OFFSET($O$15,0,$DN168,$B$8,1),OFFSET($M$15,0,0,$B$8,1))=FY$13), 1*(_xlfn._xlws.FILTER(OFFSET($O$15,0,$DO168,$B$8,1),OFFSET($M$15,0,0,$B$8,1))=FY$14))   /   SUM(OFFSET($BO$15,0,0,$B$14,1)) + $B$18/($B$19*$B$19*($DN168&lt;&gt;$DO168) + $B$19*($DN168=$DO168))</f>
        <v>3.7037037037037035E-4</v>
      </c>
      <c r="FZ168" s="10" cm="1">
        <f t="array" aca="1" ref="FZ168" ca="1">(1-$B$18)*SUMPRODUCT(OFFSET($BO$15,0,0,$B$14,1), 1*(_xlfn._xlws.FILTER(OFFSET($O$15,0,$DN168,$B$8,1),OFFSET($M$15,0,0,$B$8,1))=FZ$13), 1*(_xlfn._xlws.FILTER(OFFSET($O$15,0,$DO168,$B$8,1),OFFSET($M$15,0,0,$B$8,1))=FZ$14))   /   SUM(OFFSET($BO$15,0,0,$B$14,1)) + $B$18/($B$19*$B$19*($DN168&lt;&gt;$DO168) + $B$19*($DN168=$DO168))</f>
        <v>3.7037037037037035E-4</v>
      </c>
      <c r="GA168" s="10" cm="1">
        <f t="array" aca="1" ref="GA168" ca="1">(1-$B$18)*SUMPRODUCT(OFFSET($BO$15,0,0,$B$14,1), 1*(_xlfn._xlws.FILTER(OFFSET($O$15,0,$DN168,$B$8,1),OFFSET($M$15,0,0,$B$8,1))=GA$13), 1*(_xlfn._xlws.FILTER(OFFSET($O$15,0,$DO168,$B$8,1),OFFSET($M$15,0,0,$B$8,1))=GA$14))   /   SUM(OFFSET($BO$15,0,0,$B$14,1)) + $B$18/($B$19*$B$19*($DN168&lt;&gt;$DO168) + $B$19*($DN168=$DO168))</f>
        <v>3.7037037037037035E-4</v>
      </c>
    </row>
    <row r="169" spans="118:183" x14ac:dyDescent="0.2">
      <c r="DN169" cm="1">
        <f t="array" aca="1" ref="DN169" ca="1">INDEX(_xlfn.ANCHORARRAY($CP$15), 1 + INT((ROWS($DO$15:$DO169) - 1) / ROWS(_xlfn.ANCHORARRAY($CP$15))))</f>
        <v>8</v>
      </c>
      <c r="DO169" cm="1">
        <f t="array" aca="1" ref="DO169" ca="1">INDEX(_xlfn.ANCHORARRAY($CP$15),1+MOD(ROWS($DO$15:$DO169)-1,ROWS(_xlfn.ANCHORARRAY($CP$15))))</f>
        <v>2</v>
      </c>
      <c r="DP169" s="10" cm="1">
        <f t="array" aca="1" ref="DP169" ca="1">(1-$B$18)*SUMPRODUCT(OFFSET($BO$15,0,0,$B$14,1), 1*(_xlfn._xlws.FILTER(OFFSET($O$15,0,$DN169,$B$8,1),OFFSET($M$15,0,0,$B$8,1))=DP$13), 1*(_xlfn._xlws.FILTER(OFFSET($O$15,0,$DO169,$B$8,1),OFFSET($M$15,0,0,$B$8,1))=DP$14))   /   SUM(OFFSET($BO$15,0,0,$B$14,1)) + $B$18/($B$19*$B$19*($DN169&lt;&gt;$DO169) + $B$19*($DN169=$DO169))</f>
        <v>3.7037037037037035E-4</v>
      </c>
      <c r="DQ169" s="10" cm="1">
        <f t="array" aca="1" ref="DQ169" ca="1">(1-$B$18)*SUMPRODUCT(OFFSET($BO$15,0,0,$B$14,1), 1*(_xlfn._xlws.FILTER(OFFSET($O$15,0,$DN169,$B$8,1),OFFSET($M$15,0,0,$B$8,1))=DQ$13), 1*(_xlfn._xlws.FILTER(OFFSET($O$15,0,$DO169,$B$8,1),OFFSET($M$15,0,0,$B$8,1))=DQ$14))   /   SUM(OFFSET($BO$15,0,0,$B$14,1)) + $B$18/($B$19*$B$19*($DN169&lt;&gt;$DO169) + $B$19*($DN169=$DO169))</f>
        <v>3.7037037037037035E-4</v>
      </c>
      <c r="DR169" s="10" cm="1">
        <f t="array" aca="1" ref="DR169" ca="1">(1-$B$18)*SUMPRODUCT(OFFSET($BO$15,0,0,$B$14,1), 1*(_xlfn._xlws.FILTER(OFFSET($O$15,0,$DN169,$B$8,1),OFFSET($M$15,0,0,$B$8,1))=DR$13), 1*(_xlfn._xlws.FILTER(OFFSET($O$15,0,$DO169,$B$8,1),OFFSET($M$15,0,0,$B$8,1))=DR$14))   /   SUM(OFFSET($BO$15,0,0,$B$14,1)) + $B$18/($B$19*$B$19*($DN169&lt;&gt;$DO169) + $B$19*($DN169=$DO169))</f>
        <v>3.7037037037037035E-4</v>
      </c>
      <c r="DS169" s="10" cm="1">
        <f t="array" aca="1" ref="DS169" ca="1">(1-$B$18)*SUMPRODUCT(OFFSET($BO$15,0,0,$B$14,1), 1*(_xlfn._xlws.FILTER(OFFSET($O$15,0,$DN169,$B$8,1),OFFSET($M$15,0,0,$B$8,1))=DS$13), 1*(_xlfn._xlws.FILTER(OFFSET($O$15,0,$DO169,$B$8,1),OFFSET($M$15,0,0,$B$8,1))=DS$14))   /   SUM(OFFSET($BO$15,0,0,$B$14,1)) + $B$18/($B$19*$B$19*($DN169&lt;&gt;$DO169) + $B$19*($DN169=$DO169))</f>
        <v>3.7037037037037035E-4</v>
      </c>
      <c r="DT169" s="10" cm="1">
        <f t="array" aca="1" ref="DT169" ca="1">(1-$B$18)*SUMPRODUCT(OFFSET($BO$15,0,0,$B$14,1), 1*(_xlfn._xlws.FILTER(OFFSET($O$15,0,$DN169,$B$8,1),OFFSET($M$15,0,0,$B$8,1))=DT$13), 1*(_xlfn._xlws.FILTER(OFFSET($O$15,0,$DO169,$B$8,1),OFFSET($M$15,0,0,$B$8,1))=DT$14))   /   SUM(OFFSET($BO$15,0,0,$B$14,1)) + $B$18/($B$19*$B$19*($DN169&lt;&gt;$DO169) + $B$19*($DN169=$DO169))</f>
        <v>3.7037037037037035E-4</v>
      </c>
      <c r="DU169" s="10" cm="1">
        <f t="array" aca="1" ref="DU169" ca="1">(1-$B$18)*SUMPRODUCT(OFFSET($BO$15,0,0,$B$14,1), 1*(_xlfn._xlws.FILTER(OFFSET($O$15,0,$DN169,$B$8,1),OFFSET($M$15,0,0,$B$8,1))=DU$13), 1*(_xlfn._xlws.FILTER(OFFSET($O$15,0,$DO169,$B$8,1),OFFSET($M$15,0,0,$B$8,1))=DU$14))   /   SUM(OFFSET($BO$15,0,0,$B$14,1)) + $B$18/($B$19*$B$19*($DN169&lt;&gt;$DO169) + $B$19*($DN169=$DO169))</f>
        <v>3.7037037037037035E-4</v>
      </c>
      <c r="DV169" s="10" cm="1">
        <f t="array" aca="1" ref="DV169" ca="1">(1-$B$18)*SUMPRODUCT(OFFSET($BO$15,0,0,$B$14,1), 1*(_xlfn._xlws.FILTER(OFFSET($O$15,0,$DN169,$B$8,1),OFFSET($M$15,0,0,$B$8,1))=DV$13), 1*(_xlfn._xlws.FILTER(OFFSET($O$15,0,$DO169,$B$8,1),OFFSET($M$15,0,0,$B$8,1))=DV$14))   /   SUM(OFFSET($BO$15,0,0,$B$14,1)) + $B$18/($B$19*$B$19*($DN169&lt;&gt;$DO169) + $B$19*($DN169=$DO169))</f>
        <v>3.7037037037037035E-4</v>
      </c>
      <c r="DW169" s="10" cm="1">
        <f t="array" aca="1" ref="DW169" ca="1">(1-$B$18)*SUMPRODUCT(OFFSET($BO$15,0,0,$B$14,1), 1*(_xlfn._xlws.FILTER(OFFSET($O$15,0,$DN169,$B$8,1),OFFSET($M$15,0,0,$B$8,1))=DW$13), 1*(_xlfn._xlws.FILTER(OFFSET($O$15,0,$DO169,$B$8,1),OFFSET($M$15,0,0,$B$8,1))=DW$14))   /   SUM(OFFSET($BO$15,0,0,$B$14,1)) + $B$18/($B$19*$B$19*($DN169&lt;&gt;$DO169) + $B$19*($DN169=$DO169))</f>
        <v>3.7037037037037035E-4</v>
      </c>
      <c r="DX169" s="10" cm="1">
        <f t="array" aca="1" ref="DX169" ca="1">(1-$B$18)*SUMPRODUCT(OFFSET($BO$15,0,0,$B$14,1), 1*(_xlfn._xlws.FILTER(OFFSET($O$15,0,$DN169,$B$8,1),OFFSET($M$15,0,0,$B$8,1))=DX$13), 1*(_xlfn._xlws.FILTER(OFFSET($O$15,0,$DO169,$B$8,1),OFFSET($M$15,0,0,$B$8,1))=DX$14))   /   SUM(OFFSET($BO$15,0,0,$B$14,1)) + $B$18/($B$19*$B$19*($DN169&lt;&gt;$DO169) + $B$19*($DN169=$DO169))</f>
        <v>3.7037037037037035E-4</v>
      </c>
      <c r="DY169" s="10" cm="1">
        <f t="array" aca="1" ref="DY169" ca="1">(1-$B$18)*SUMPRODUCT(OFFSET($BO$15,0,0,$B$14,1), 1*(_xlfn._xlws.FILTER(OFFSET($O$15,0,$DN169,$B$8,1),OFFSET($M$15,0,0,$B$8,1))=DY$13), 1*(_xlfn._xlws.FILTER(OFFSET($O$15,0,$DO169,$B$8,1),OFFSET($M$15,0,0,$B$8,1))=DY$14))   /   SUM(OFFSET($BO$15,0,0,$B$14,1)) + $B$18/($B$19*$B$19*($DN169&lt;&gt;$DO169) + $B$19*($DN169=$DO169))</f>
        <v>3.7037037037037035E-4</v>
      </c>
      <c r="DZ169" s="10" cm="1">
        <f t="array" aca="1" ref="DZ169" ca="1">(1-$B$18)*SUMPRODUCT(OFFSET($BO$15,0,0,$B$14,1), 1*(_xlfn._xlws.FILTER(OFFSET($O$15,0,$DN169,$B$8,1),OFFSET($M$15,0,0,$B$8,1))=DZ$13), 1*(_xlfn._xlws.FILTER(OFFSET($O$15,0,$DO169,$B$8,1),OFFSET($M$15,0,0,$B$8,1))=DZ$14))   /   SUM(OFFSET($BO$15,0,0,$B$14,1)) + $B$18/($B$19*$B$19*($DN169&lt;&gt;$DO169) + $B$19*($DN169=$DO169))</f>
        <v>3.7037037037037035E-4</v>
      </c>
      <c r="EA169" s="10" cm="1">
        <f t="array" aca="1" ref="EA169" ca="1">(1-$B$18)*SUMPRODUCT(OFFSET($BO$15,0,0,$B$14,1), 1*(_xlfn._xlws.FILTER(OFFSET($O$15,0,$DN169,$B$8,1),OFFSET($M$15,0,0,$B$8,1))=EA$13), 1*(_xlfn._xlws.FILTER(OFFSET($O$15,0,$DO169,$B$8,1),OFFSET($M$15,0,0,$B$8,1))=EA$14))   /   SUM(OFFSET($BO$15,0,0,$B$14,1)) + $B$18/($B$19*$B$19*($DN169&lt;&gt;$DO169) + $B$19*($DN169=$DO169))</f>
        <v>3.7037037037037035E-4</v>
      </c>
      <c r="EB169" s="10" cm="1">
        <f t="array" aca="1" ref="EB169" ca="1">(1-$B$18)*SUMPRODUCT(OFFSET($BO$15,0,0,$B$14,1), 1*(_xlfn._xlws.FILTER(OFFSET($O$15,0,$DN169,$B$8,1),OFFSET($M$15,0,0,$B$8,1))=EB$13), 1*(_xlfn._xlws.FILTER(OFFSET($O$15,0,$DO169,$B$8,1),OFFSET($M$15,0,0,$B$8,1))=EB$14))   /   SUM(OFFSET($BO$15,0,0,$B$14,1)) + $B$18/($B$19*$B$19*($DN169&lt;&gt;$DO169) + $B$19*($DN169=$DO169))</f>
        <v>3.7037037037037035E-4</v>
      </c>
      <c r="EC169" s="10" cm="1">
        <f t="array" aca="1" ref="EC169" ca="1">(1-$B$18)*SUMPRODUCT(OFFSET($BO$15,0,0,$B$14,1), 1*(_xlfn._xlws.FILTER(OFFSET($O$15,0,$DN169,$B$8,1),OFFSET($M$15,0,0,$B$8,1))=EC$13), 1*(_xlfn._xlws.FILTER(OFFSET($O$15,0,$DO169,$B$8,1),OFFSET($M$15,0,0,$B$8,1))=EC$14))   /   SUM(OFFSET($BO$15,0,0,$B$14,1)) + $B$18/($B$19*$B$19*($DN169&lt;&gt;$DO169) + $B$19*($DN169=$DO169))</f>
        <v>3.7037037037037035E-4</v>
      </c>
      <c r="ED169" s="10" cm="1">
        <f t="array" aca="1" ref="ED169" ca="1">(1-$B$18)*SUMPRODUCT(OFFSET($BO$15,0,0,$B$14,1), 1*(_xlfn._xlws.FILTER(OFFSET($O$15,0,$DN169,$B$8,1),OFFSET($M$15,0,0,$B$8,1))=ED$13), 1*(_xlfn._xlws.FILTER(OFFSET($O$15,0,$DO169,$B$8,1),OFFSET($M$15,0,0,$B$8,1))=ED$14))   /   SUM(OFFSET($BO$15,0,0,$B$14,1)) + $B$18/($B$19*$B$19*($DN169&lt;&gt;$DO169) + $B$19*($DN169=$DO169))</f>
        <v>3.7037037037037035E-4</v>
      </c>
      <c r="EE169" s="10" cm="1">
        <f t="array" aca="1" ref="EE169" ca="1">(1-$B$18)*SUMPRODUCT(OFFSET($BO$15,0,0,$B$14,1), 1*(_xlfn._xlws.FILTER(OFFSET($O$15,0,$DN169,$B$8,1),OFFSET($M$15,0,0,$B$8,1))=EE$13), 1*(_xlfn._xlws.FILTER(OFFSET($O$15,0,$DO169,$B$8,1),OFFSET($M$15,0,0,$B$8,1))=EE$14))   /   SUM(OFFSET($BO$15,0,0,$B$14,1)) + $B$18/($B$19*$B$19*($DN169&lt;&gt;$DO169) + $B$19*($DN169=$DO169))</f>
        <v>3.7037037037037035E-4</v>
      </c>
      <c r="EF169" s="10" cm="1">
        <f t="array" aca="1" ref="EF169" ca="1">(1-$B$18)*SUMPRODUCT(OFFSET($BO$15,0,0,$B$14,1), 1*(_xlfn._xlws.FILTER(OFFSET($O$15,0,$DN169,$B$8,1),OFFSET($M$15,0,0,$B$8,1))=EF$13), 1*(_xlfn._xlws.FILTER(OFFSET($O$15,0,$DO169,$B$8,1),OFFSET($M$15,0,0,$B$8,1))=EF$14))   /   SUM(OFFSET($BO$15,0,0,$B$14,1)) + $B$18/($B$19*$B$19*($DN169&lt;&gt;$DO169) + $B$19*($DN169=$DO169))</f>
        <v>3.7037037037037035E-4</v>
      </c>
      <c r="EG169" s="10" cm="1">
        <f t="array" aca="1" ref="EG169" ca="1">(1-$B$18)*SUMPRODUCT(OFFSET($BO$15,0,0,$B$14,1), 1*(_xlfn._xlws.FILTER(OFFSET($O$15,0,$DN169,$B$8,1),OFFSET($M$15,0,0,$B$8,1))=EG$13), 1*(_xlfn._xlws.FILTER(OFFSET($O$15,0,$DO169,$B$8,1),OFFSET($M$15,0,0,$B$8,1))=EG$14))   /   SUM(OFFSET($BO$15,0,0,$B$14,1)) + $B$18/($B$19*$B$19*($DN169&lt;&gt;$DO169) + $B$19*($DN169=$DO169))</f>
        <v>3.7037037037037035E-4</v>
      </c>
      <c r="EH169" s="10" cm="1">
        <f t="array" aca="1" ref="EH169" ca="1">(1-$B$18)*SUMPRODUCT(OFFSET($BO$15,0,0,$B$14,1), 1*(_xlfn._xlws.FILTER(OFFSET($O$15,0,$DN169,$B$8,1),OFFSET($M$15,0,0,$B$8,1))=EH$13), 1*(_xlfn._xlws.FILTER(OFFSET($O$15,0,$DO169,$B$8,1),OFFSET($M$15,0,0,$B$8,1))=EH$14))   /   SUM(OFFSET($BO$15,0,0,$B$14,1)) + $B$18/($B$19*$B$19*($DN169&lt;&gt;$DO169) + $B$19*($DN169=$DO169))</f>
        <v>3.7037037037037035E-4</v>
      </c>
      <c r="EI169" s="10" cm="1">
        <f t="array" aca="1" ref="EI169" ca="1">(1-$B$18)*SUMPRODUCT(OFFSET($BO$15,0,0,$B$14,1), 1*(_xlfn._xlws.FILTER(OFFSET($O$15,0,$DN169,$B$8,1),OFFSET($M$15,0,0,$B$8,1))=EI$13), 1*(_xlfn._xlws.FILTER(OFFSET($O$15,0,$DO169,$B$8,1),OFFSET($M$15,0,0,$B$8,1))=EI$14))   /   SUM(OFFSET($BO$15,0,0,$B$14,1)) + $B$18/($B$19*$B$19*($DN169&lt;&gt;$DO169) + $B$19*($DN169=$DO169))</f>
        <v>3.7037037037037035E-4</v>
      </c>
      <c r="EJ169" s="10" cm="1">
        <f t="array" aca="1" ref="EJ169" ca="1">(1-$B$18)*SUMPRODUCT(OFFSET($BO$15,0,0,$B$14,1), 1*(_xlfn._xlws.FILTER(OFFSET($O$15,0,$DN169,$B$8,1),OFFSET($M$15,0,0,$B$8,1))=EJ$13), 1*(_xlfn._xlws.FILTER(OFFSET($O$15,0,$DO169,$B$8,1),OFFSET($M$15,0,0,$B$8,1))=EJ$14))   /   SUM(OFFSET($BO$15,0,0,$B$14,1)) + $B$18/($B$19*$B$19*($DN169&lt;&gt;$DO169) + $B$19*($DN169=$DO169))</f>
        <v>3.7037037037037035E-4</v>
      </c>
      <c r="EK169" s="10" cm="1">
        <f t="array" aca="1" ref="EK169" ca="1">(1-$B$18)*SUMPRODUCT(OFFSET($BO$15,0,0,$B$14,1), 1*(_xlfn._xlws.FILTER(OFFSET($O$15,0,$DN169,$B$8,1),OFFSET($M$15,0,0,$B$8,1))=EK$13), 1*(_xlfn._xlws.FILTER(OFFSET($O$15,0,$DO169,$B$8,1),OFFSET($M$15,0,0,$B$8,1))=EK$14))   /   SUM(OFFSET($BO$15,0,0,$B$14,1)) + $B$18/($B$19*$B$19*($DN169&lt;&gt;$DO169) + $B$19*($DN169=$DO169))</f>
        <v>3.7037037037037035E-4</v>
      </c>
      <c r="EL169" s="10" cm="1">
        <f t="array" aca="1" ref="EL169" ca="1">(1-$B$18)*SUMPRODUCT(OFFSET($BO$15,0,0,$B$14,1), 1*(_xlfn._xlws.FILTER(OFFSET($O$15,0,$DN169,$B$8,1),OFFSET($M$15,0,0,$B$8,1))=EL$13), 1*(_xlfn._xlws.FILTER(OFFSET($O$15,0,$DO169,$B$8,1),OFFSET($M$15,0,0,$B$8,1))=EL$14))   /   SUM(OFFSET($BO$15,0,0,$B$14,1)) + $B$18/($B$19*$B$19*($DN169&lt;&gt;$DO169) + $B$19*($DN169=$DO169))</f>
        <v>3.7037037037037035E-4</v>
      </c>
      <c r="EM169" s="10" cm="1">
        <f t="array" aca="1" ref="EM169" ca="1">(1-$B$18)*SUMPRODUCT(OFFSET($BO$15,0,0,$B$14,1), 1*(_xlfn._xlws.FILTER(OFFSET($O$15,0,$DN169,$B$8,1),OFFSET($M$15,0,0,$B$8,1))=EM$13), 1*(_xlfn._xlws.FILTER(OFFSET($O$15,0,$DO169,$B$8,1),OFFSET($M$15,0,0,$B$8,1))=EM$14))   /   SUM(OFFSET($BO$15,0,0,$B$14,1)) + $B$18/($B$19*$B$19*($DN169&lt;&gt;$DO169) + $B$19*($DN169=$DO169))</f>
        <v>3.7037037037037035E-4</v>
      </c>
      <c r="EN169" s="10" cm="1">
        <f t="array" aca="1" ref="EN169" ca="1">(1-$B$18)*SUMPRODUCT(OFFSET($BO$15,0,0,$B$14,1), 1*(_xlfn._xlws.FILTER(OFFSET($O$15,0,$DN169,$B$8,1),OFFSET($M$15,0,0,$B$8,1))=EN$13), 1*(_xlfn._xlws.FILTER(OFFSET($O$15,0,$DO169,$B$8,1),OFFSET($M$15,0,0,$B$8,1))=EN$14))   /   SUM(OFFSET($BO$15,0,0,$B$14,1)) + $B$18/($B$19*$B$19*($DN169&lt;&gt;$DO169) + $B$19*($DN169=$DO169))</f>
        <v>3.7037037037037035E-4</v>
      </c>
      <c r="EO169" s="10" cm="1">
        <f t="array" aca="1" ref="EO169" ca="1">(1-$B$18)*SUMPRODUCT(OFFSET($BO$15,0,0,$B$14,1), 1*(_xlfn._xlws.FILTER(OFFSET($O$15,0,$DN169,$B$8,1),OFFSET($M$15,0,0,$B$8,1))=EO$13), 1*(_xlfn._xlws.FILTER(OFFSET($O$15,0,$DO169,$B$8,1),OFFSET($M$15,0,0,$B$8,1))=EO$14))   /   SUM(OFFSET($BO$15,0,0,$B$14,1)) + $B$18/($B$19*$B$19*($DN169&lt;&gt;$DO169) + $B$19*($DN169=$DO169))</f>
        <v>3.7037037037037035E-4</v>
      </c>
      <c r="EP169" s="10" cm="1">
        <f t="array" aca="1" ref="EP169" ca="1">(1-$B$18)*SUMPRODUCT(OFFSET($BO$15,0,0,$B$14,1), 1*(_xlfn._xlws.FILTER(OFFSET($O$15,0,$DN169,$B$8,1),OFFSET($M$15,0,0,$B$8,1))=EP$13), 1*(_xlfn._xlws.FILTER(OFFSET($O$15,0,$DO169,$B$8,1),OFFSET($M$15,0,0,$B$8,1))=EP$14))   /   SUM(OFFSET($BO$15,0,0,$B$14,1)) + $B$18/($B$19*$B$19*($DN169&lt;&gt;$DO169) + $B$19*($DN169=$DO169))</f>
        <v>3.7037037037037035E-4</v>
      </c>
      <c r="EQ169" s="10" cm="1">
        <f t="array" aca="1" ref="EQ169" ca="1">(1-$B$18)*SUMPRODUCT(OFFSET($BO$15,0,0,$B$14,1), 1*(_xlfn._xlws.FILTER(OFFSET($O$15,0,$DN169,$B$8,1),OFFSET($M$15,0,0,$B$8,1))=EQ$13), 1*(_xlfn._xlws.FILTER(OFFSET($O$15,0,$DO169,$B$8,1),OFFSET($M$15,0,0,$B$8,1))=EQ$14))   /   SUM(OFFSET($BO$15,0,0,$B$14,1)) + $B$18/($B$19*$B$19*($DN169&lt;&gt;$DO169) + $B$19*($DN169=$DO169))</f>
        <v>3.7037037037037035E-4</v>
      </c>
      <c r="ER169" s="10" cm="1">
        <f t="array" aca="1" ref="ER169" ca="1">(1-$B$18)*SUMPRODUCT(OFFSET($BO$15,0,0,$B$14,1), 1*(_xlfn._xlws.FILTER(OFFSET($O$15,0,$DN169,$B$8,1),OFFSET($M$15,0,0,$B$8,1))=ER$13), 1*(_xlfn._xlws.FILTER(OFFSET($O$15,0,$DO169,$B$8,1),OFFSET($M$15,0,0,$B$8,1))=ER$14))   /   SUM(OFFSET($BO$15,0,0,$B$14,1)) + $B$18/($B$19*$B$19*($DN169&lt;&gt;$DO169) + $B$19*($DN169=$DO169))</f>
        <v>3.7037037037037035E-4</v>
      </c>
      <c r="ES169" s="10" cm="1">
        <f t="array" aca="1" ref="ES169" ca="1">(1-$B$18)*SUMPRODUCT(OFFSET($BO$15,0,0,$B$14,1), 1*(_xlfn._xlws.FILTER(OFFSET($O$15,0,$DN169,$B$8,1),OFFSET($M$15,0,0,$B$8,1))=ES$13), 1*(_xlfn._xlws.FILTER(OFFSET($O$15,0,$DO169,$B$8,1),OFFSET($M$15,0,0,$B$8,1))=ES$14))   /   SUM(OFFSET($BO$15,0,0,$B$14,1)) + $B$18/($B$19*$B$19*($DN169&lt;&gt;$DO169) + $B$19*($DN169=$DO169))</f>
        <v>3.7037037037037035E-4</v>
      </c>
      <c r="ET169" s="10" cm="1">
        <f t="array" aca="1" ref="ET169" ca="1">(1-$B$18)*SUMPRODUCT(OFFSET($BO$15,0,0,$B$14,1), 1*(_xlfn._xlws.FILTER(OFFSET($O$15,0,$DN169,$B$8,1),OFFSET($M$15,0,0,$B$8,1))=ET$13), 1*(_xlfn._xlws.FILTER(OFFSET($O$15,0,$DO169,$B$8,1),OFFSET($M$15,0,0,$B$8,1))=ET$14))   /   SUM(OFFSET($BO$15,0,0,$B$14,1)) + $B$18/($B$19*$B$19*($DN169&lt;&gt;$DO169) + $B$19*($DN169=$DO169))</f>
        <v>3.7037037037037035E-4</v>
      </c>
      <c r="EU169" s="10" cm="1">
        <f t="array" aca="1" ref="EU169" ca="1">(1-$B$18)*SUMPRODUCT(OFFSET($BO$15,0,0,$B$14,1), 1*(_xlfn._xlws.FILTER(OFFSET($O$15,0,$DN169,$B$8,1),OFFSET($M$15,0,0,$B$8,1))=EU$13), 1*(_xlfn._xlws.FILTER(OFFSET($O$15,0,$DO169,$B$8,1),OFFSET($M$15,0,0,$B$8,1))=EU$14))   /   SUM(OFFSET($BO$15,0,0,$B$14,1)) + $B$18/($B$19*$B$19*($DN169&lt;&gt;$DO169) + $B$19*($DN169=$DO169))</f>
        <v>3.7037037037037035E-4</v>
      </c>
      <c r="EV169" s="10" cm="1">
        <f t="array" aca="1" ref="EV169" ca="1">(1-$B$18)*SUMPRODUCT(OFFSET($BO$15,0,0,$B$14,1), 1*(_xlfn._xlws.FILTER(OFFSET($O$15,0,$DN169,$B$8,1),OFFSET($M$15,0,0,$B$8,1))=EV$13), 1*(_xlfn._xlws.FILTER(OFFSET($O$15,0,$DO169,$B$8,1),OFFSET($M$15,0,0,$B$8,1))=EV$14))   /   SUM(OFFSET($BO$15,0,0,$B$14,1)) + $B$18/($B$19*$B$19*($DN169&lt;&gt;$DO169) + $B$19*($DN169=$DO169))</f>
        <v>3.7037037037037035E-4</v>
      </c>
      <c r="EW169" s="10" cm="1">
        <f t="array" aca="1" ref="EW169" ca="1">(1-$B$18)*SUMPRODUCT(OFFSET($BO$15,0,0,$B$14,1), 1*(_xlfn._xlws.FILTER(OFFSET($O$15,0,$DN169,$B$8,1),OFFSET($M$15,0,0,$B$8,1))=EW$13), 1*(_xlfn._xlws.FILTER(OFFSET($O$15,0,$DO169,$B$8,1),OFFSET($M$15,0,0,$B$8,1))=EW$14))   /   SUM(OFFSET($BO$15,0,0,$B$14,1)) + $B$18/($B$19*$B$19*($DN169&lt;&gt;$DO169) + $B$19*($DN169=$DO169))</f>
        <v>3.7037037037037035E-4</v>
      </c>
      <c r="EX169" s="10" cm="1">
        <f t="array" aca="1" ref="EX169" ca="1">(1-$B$18)*SUMPRODUCT(OFFSET($BO$15,0,0,$B$14,1), 1*(_xlfn._xlws.FILTER(OFFSET($O$15,0,$DN169,$B$8,1),OFFSET($M$15,0,0,$B$8,1))=EX$13), 1*(_xlfn._xlws.FILTER(OFFSET($O$15,0,$DO169,$B$8,1),OFFSET($M$15,0,0,$B$8,1))=EX$14))   /   SUM(OFFSET($BO$15,0,0,$B$14,1)) + $B$18/($B$19*$B$19*($DN169&lt;&gt;$DO169) + $B$19*($DN169=$DO169))</f>
        <v>3.7037037037037035E-4</v>
      </c>
      <c r="EY169" s="10" cm="1">
        <f t="array" aca="1" ref="EY169" ca="1">(1-$B$18)*SUMPRODUCT(OFFSET($BO$15,0,0,$B$14,1), 1*(_xlfn._xlws.FILTER(OFFSET($O$15,0,$DN169,$B$8,1),OFFSET($M$15,0,0,$B$8,1))=EY$13), 1*(_xlfn._xlws.FILTER(OFFSET($O$15,0,$DO169,$B$8,1),OFFSET($M$15,0,0,$B$8,1))=EY$14))   /   SUM(OFFSET($BO$15,0,0,$B$14,1)) + $B$18/($B$19*$B$19*($DN169&lt;&gt;$DO169) + $B$19*($DN169=$DO169))</f>
        <v>3.7037037037037035E-4</v>
      </c>
      <c r="EZ169" s="10" cm="1">
        <f t="array" aca="1" ref="EZ169" ca="1">(1-$B$18)*SUMPRODUCT(OFFSET($BO$15,0,0,$B$14,1), 1*(_xlfn._xlws.FILTER(OFFSET($O$15,0,$DN169,$B$8,1),OFFSET($M$15,0,0,$B$8,1))=EZ$13), 1*(_xlfn._xlws.FILTER(OFFSET($O$15,0,$DO169,$B$8,1),OFFSET($M$15,0,0,$B$8,1))=EZ$14))   /   SUM(OFFSET($BO$15,0,0,$B$14,1)) + $B$18/($B$19*$B$19*($DN169&lt;&gt;$DO169) + $B$19*($DN169=$DO169))</f>
        <v>3.7037037037037035E-4</v>
      </c>
      <c r="FA169" s="10" cm="1">
        <f t="array" aca="1" ref="FA169" ca="1">(1-$B$18)*SUMPRODUCT(OFFSET($BO$15,0,0,$B$14,1), 1*(_xlfn._xlws.FILTER(OFFSET($O$15,0,$DN169,$B$8,1),OFFSET($M$15,0,0,$B$8,1))=FA$13), 1*(_xlfn._xlws.FILTER(OFFSET($O$15,0,$DO169,$B$8,1),OFFSET($M$15,0,0,$B$8,1))=FA$14))   /   SUM(OFFSET($BO$15,0,0,$B$14,1)) + $B$18/($B$19*$B$19*($DN169&lt;&gt;$DO169) + $B$19*($DN169=$DO169))</f>
        <v>3.7037037037037035E-4</v>
      </c>
      <c r="FB169" s="10" cm="1">
        <f t="array" aca="1" ref="FB169" ca="1">(1-$B$18)*SUMPRODUCT(OFFSET($BO$15,0,0,$B$14,1), 1*(_xlfn._xlws.FILTER(OFFSET($O$15,0,$DN169,$B$8,1),OFFSET($M$15,0,0,$B$8,1))=FB$13), 1*(_xlfn._xlws.FILTER(OFFSET($O$15,0,$DO169,$B$8,1),OFFSET($M$15,0,0,$B$8,1))=FB$14))   /   SUM(OFFSET($BO$15,0,0,$B$14,1)) + $B$18/($B$19*$B$19*($DN169&lt;&gt;$DO169) + $B$19*($DN169=$DO169))</f>
        <v>3.7037037037037035E-4</v>
      </c>
      <c r="FC169" s="10" cm="1">
        <f t="array" aca="1" ref="FC169" ca="1">(1-$B$18)*SUMPRODUCT(OFFSET($BO$15,0,0,$B$14,1), 1*(_xlfn._xlws.FILTER(OFFSET($O$15,0,$DN169,$B$8,1),OFFSET($M$15,0,0,$B$8,1))=FC$13), 1*(_xlfn._xlws.FILTER(OFFSET($O$15,0,$DO169,$B$8,1),OFFSET($M$15,0,0,$B$8,1))=FC$14))   /   SUM(OFFSET($BO$15,0,0,$B$14,1)) + $B$18/($B$19*$B$19*($DN169&lt;&gt;$DO169) + $B$19*($DN169=$DO169))</f>
        <v>3.7037037037037035E-4</v>
      </c>
      <c r="FD169" s="10" cm="1">
        <f t="array" aca="1" ref="FD169" ca="1">(1-$B$18)*SUMPRODUCT(OFFSET($BO$15,0,0,$B$14,1), 1*(_xlfn._xlws.FILTER(OFFSET($O$15,0,$DN169,$B$8,1),OFFSET($M$15,0,0,$B$8,1))=FD$13), 1*(_xlfn._xlws.FILTER(OFFSET($O$15,0,$DO169,$B$8,1),OFFSET($M$15,0,0,$B$8,1))=FD$14))   /   SUM(OFFSET($BO$15,0,0,$B$14,1)) + $B$18/($B$19*$B$19*($DN169&lt;&gt;$DO169) + $B$19*($DN169=$DO169))</f>
        <v>3.7037037037037035E-4</v>
      </c>
      <c r="FE169" s="10" cm="1">
        <f t="array" aca="1" ref="FE169" ca="1">(1-$B$18)*SUMPRODUCT(OFFSET($BO$15,0,0,$B$14,1), 1*(_xlfn._xlws.FILTER(OFFSET($O$15,0,$DN169,$B$8,1),OFFSET($M$15,0,0,$B$8,1))=FE$13), 1*(_xlfn._xlws.FILTER(OFFSET($O$15,0,$DO169,$B$8,1),OFFSET($M$15,0,0,$B$8,1))=FE$14))   /   SUM(OFFSET($BO$15,0,0,$B$14,1)) + $B$18/($B$19*$B$19*($DN169&lt;&gt;$DO169) + $B$19*($DN169=$DO169))</f>
        <v>3.7037037037037035E-4</v>
      </c>
      <c r="FF169" s="10" cm="1">
        <f t="array" aca="1" ref="FF169" ca="1">(1-$B$18)*SUMPRODUCT(OFFSET($BO$15,0,0,$B$14,1), 1*(_xlfn._xlws.FILTER(OFFSET($O$15,0,$DN169,$B$8,1),OFFSET($M$15,0,0,$B$8,1))=FF$13), 1*(_xlfn._xlws.FILTER(OFFSET($O$15,0,$DO169,$B$8,1),OFFSET($M$15,0,0,$B$8,1))=FF$14))   /   SUM(OFFSET($BO$15,0,0,$B$14,1)) + $B$18/($B$19*$B$19*($DN169&lt;&gt;$DO169) + $B$19*($DN169=$DO169))</f>
        <v>3.7037037037037035E-4</v>
      </c>
      <c r="FG169" s="10" cm="1">
        <f t="array" aca="1" ref="FG169" ca="1">(1-$B$18)*SUMPRODUCT(OFFSET($BO$15,0,0,$B$14,1), 1*(_xlfn._xlws.FILTER(OFFSET($O$15,0,$DN169,$B$8,1),OFFSET($M$15,0,0,$B$8,1))=FG$13), 1*(_xlfn._xlws.FILTER(OFFSET($O$15,0,$DO169,$B$8,1),OFFSET($M$15,0,0,$B$8,1))=FG$14))   /   SUM(OFFSET($BO$15,0,0,$B$14,1)) + $B$18/($B$19*$B$19*($DN169&lt;&gt;$DO169) + $B$19*($DN169=$DO169))</f>
        <v>3.7037037037037035E-4</v>
      </c>
      <c r="FH169" s="10" cm="1">
        <f t="array" aca="1" ref="FH169" ca="1">(1-$B$18)*SUMPRODUCT(OFFSET($BO$15,0,0,$B$14,1), 1*(_xlfn._xlws.FILTER(OFFSET($O$15,0,$DN169,$B$8,1),OFFSET($M$15,0,0,$B$8,1))=FH$13), 1*(_xlfn._xlws.FILTER(OFFSET($O$15,0,$DO169,$B$8,1),OFFSET($M$15,0,0,$B$8,1))=FH$14))   /   SUM(OFFSET($BO$15,0,0,$B$14,1)) + $B$18/($B$19*$B$19*($DN169&lt;&gt;$DO169) + $B$19*($DN169=$DO169))</f>
        <v>3.7037037037037035E-4</v>
      </c>
      <c r="FI169" s="10" cm="1">
        <f t="array" aca="1" ref="FI169" ca="1">(1-$B$18)*SUMPRODUCT(OFFSET($BO$15,0,0,$B$14,1), 1*(_xlfn._xlws.FILTER(OFFSET($O$15,0,$DN169,$B$8,1),OFFSET($M$15,0,0,$B$8,1))=FI$13), 1*(_xlfn._xlws.FILTER(OFFSET($O$15,0,$DO169,$B$8,1),OFFSET($M$15,0,0,$B$8,1))=FI$14))   /   SUM(OFFSET($BO$15,0,0,$B$14,1)) + $B$18/($B$19*$B$19*($DN169&lt;&gt;$DO169) + $B$19*($DN169=$DO169))</f>
        <v>3.7037037037037035E-4</v>
      </c>
      <c r="FJ169" s="10" cm="1">
        <f t="array" aca="1" ref="FJ169" ca="1">(1-$B$18)*SUMPRODUCT(OFFSET($BO$15,0,0,$B$14,1), 1*(_xlfn._xlws.FILTER(OFFSET($O$15,0,$DN169,$B$8,1),OFFSET($M$15,0,0,$B$8,1))=FJ$13), 1*(_xlfn._xlws.FILTER(OFFSET($O$15,0,$DO169,$B$8,1),OFFSET($M$15,0,0,$B$8,1))=FJ$14))   /   SUM(OFFSET($BO$15,0,0,$B$14,1)) + $B$18/($B$19*$B$19*($DN169&lt;&gt;$DO169) + $B$19*($DN169=$DO169))</f>
        <v>3.7037037037037035E-4</v>
      </c>
      <c r="FK169" s="10" cm="1">
        <f t="array" aca="1" ref="FK169" ca="1">(1-$B$18)*SUMPRODUCT(OFFSET($BO$15,0,0,$B$14,1), 1*(_xlfn._xlws.FILTER(OFFSET($O$15,0,$DN169,$B$8,1),OFFSET($M$15,0,0,$B$8,1))=FK$13), 1*(_xlfn._xlws.FILTER(OFFSET($O$15,0,$DO169,$B$8,1),OFFSET($M$15,0,0,$B$8,1))=FK$14))   /   SUM(OFFSET($BO$15,0,0,$B$14,1)) + $B$18/($B$19*$B$19*($DN169&lt;&gt;$DO169) + $B$19*($DN169=$DO169))</f>
        <v>3.7037037037037035E-4</v>
      </c>
      <c r="FL169" s="10" cm="1">
        <f t="array" aca="1" ref="FL169" ca="1">(1-$B$18)*SUMPRODUCT(OFFSET($BO$15,0,0,$B$14,1), 1*(_xlfn._xlws.FILTER(OFFSET($O$15,0,$DN169,$B$8,1),OFFSET($M$15,0,0,$B$8,1))=FL$13), 1*(_xlfn._xlws.FILTER(OFFSET($O$15,0,$DO169,$B$8,1),OFFSET($M$15,0,0,$B$8,1))=FL$14))   /   SUM(OFFSET($BO$15,0,0,$B$14,1)) + $B$18/($B$19*$B$19*($DN169&lt;&gt;$DO169) + $B$19*($DN169=$DO169))</f>
        <v>3.7037037037037035E-4</v>
      </c>
      <c r="FM169" s="10" cm="1">
        <f t="array" aca="1" ref="FM169" ca="1">(1-$B$18)*SUMPRODUCT(OFFSET($BO$15,0,0,$B$14,1), 1*(_xlfn._xlws.FILTER(OFFSET($O$15,0,$DN169,$B$8,1),OFFSET($M$15,0,0,$B$8,1))=FM$13), 1*(_xlfn._xlws.FILTER(OFFSET($O$15,0,$DO169,$B$8,1),OFFSET($M$15,0,0,$B$8,1))=FM$14))   /   SUM(OFFSET($BO$15,0,0,$B$14,1)) + $B$18/($B$19*$B$19*($DN169&lt;&gt;$DO169) + $B$19*($DN169=$DO169))</f>
        <v>3.7037037037037035E-4</v>
      </c>
      <c r="FN169" s="10" cm="1">
        <f t="array" aca="1" ref="FN169" ca="1">(1-$B$18)*SUMPRODUCT(OFFSET($BO$15,0,0,$B$14,1), 1*(_xlfn._xlws.FILTER(OFFSET($O$15,0,$DN169,$B$8,1),OFFSET($M$15,0,0,$B$8,1))=FN$13), 1*(_xlfn._xlws.FILTER(OFFSET($O$15,0,$DO169,$B$8,1),OFFSET($M$15,0,0,$B$8,1))=FN$14))   /   SUM(OFFSET($BO$15,0,0,$B$14,1)) + $B$18/($B$19*$B$19*($DN169&lt;&gt;$DO169) + $B$19*($DN169=$DO169))</f>
        <v>3.7037037037037035E-4</v>
      </c>
      <c r="FO169" s="10" cm="1">
        <f t="array" aca="1" ref="FO169" ca="1">(1-$B$18)*SUMPRODUCT(OFFSET($BO$15,0,0,$B$14,1), 1*(_xlfn._xlws.FILTER(OFFSET($O$15,0,$DN169,$B$8,1),OFFSET($M$15,0,0,$B$8,1))=FO$13), 1*(_xlfn._xlws.FILTER(OFFSET($O$15,0,$DO169,$B$8,1),OFFSET($M$15,0,0,$B$8,1))=FO$14))   /   SUM(OFFSET($BO$15,0,0,$B$14,1)) + $B$18/($B$19*$B$19*($DN169&lt;&gt;$DO169) + $B$19*($DN169=$DO169))</f>
        <v>3.7037037037037035E-4</v>
      </c>
      <c r="FP169" s="10" cm="1">
        <f t="array" aca="1" ref="FP169" ca="1">(1-$B$18)*SUMPRODUCT(OFFSET($BO$15,0,0,$B$14,1), 1*(_xlfn._xlws.FILTER(OFFSET($O$15,0,$DN169,$B$8,1),OFFSET($M$15,0,0,$B$8,1))=FP$13), 1*(_xlfn._xlws.FILTER(OFFSET($O$15,0,$DO169,$B$8,1),OFFSET($M$15,0,0,$B$8,1))=FP$14))   /   SUM(OFFSET($BO$15,0,0,$B$14,1)) + $B$18/($B$19*$B$19*($DN169&lt;&gt;$DO169) + $B$19*($DN169=$DO169))</f>
        <v>3.7037037037037035E-4</v>
      </c>
      <c r="FQ169" s="10" cm="1">
        <f t="array" aca="1" ref="FQ169" ca="1">(1-$B$18)*SUMPRODUCT(OFFSET($BO$15,0,0,$B$14,1), 1*(_xlfn._xlws.FILTER(OFFSET($O$15,0,$DN169,$B$8,1),OFFSET($M$15,0,0,$B$8,1))=FQ$13), 1*(_xlfn._xlws.FILTER(OFFSET($O$15,0,$DO169,$B$8,1),OFFSET($M$15,0,0,$B$8,1))=FQ$14))   /   SUM(OFFSET($BO$15,0,0,$B$14,1)) + $B$18/($B$19*$B$19*($DN169&lt;&gt;$DO169) + $B$19*($DN169=$DO169))</f>
        <v>3.7037037037037035E-4</v>
      </c>
      <c r="FR169" s="10" cm="1">
        <f t="array" aca="1" ref="FR169" ca="1">(1-$B$18)*SUMPRODUCT(OFFSET($BO$15,0,0,$B$14,1), 1*(_xlfn._xlws.FILTER(OFFSET($O$15,0,$DN169,$B$8,1),OFFSET($M$15,0,0,$B$8,1))=FR$13), 1*(_xlfn._xlws.FILTER(OFFSET($O$15,0,$DO169,$B$8,1),OFFSET($M$15,0,0,$B$8,1))=FR$14))   /   SUM(OFFSET($BO$15,0,0,$B$14,1)) + $B$18/($B$19*$B$19*($DN169&lt;&gt;$DO169) + $B$19*($DN169=$DO169))</f>
        <v>0.97037037037037033</v>
      </c>
      <c r="FS169" s="10" cm="1">
        <f t="array" aca="1" ref="FS169" ca="1">(1-$B$18)*SUMPRODUCT(OFFSET($BO$15,0,0,$B$14,1), 1*(_xlfn._xlws.FILTER(OFFSET($O$15,0,$DN169,$B$8,1),OFFSET($M$15,0,0,$B$8,1))=FS$13), 1*(_xlfn._xlws.FILTER(OFFSET($O$15,0,$DO169,$B$8,1),OFFSET($M$15,0,0,$B$8,1))=FS$14))   /   SUM(OFFSET($BO$15,0,0,$B$14,1)) + $B$18/($B$19*$B$19*($DN169&lt;&gt;$DO169) + $B$19*($DN169=$DO169))</f>
        <v>3.7037037037037035E-4</v>
      </c>
      <c r="FT169" s="10" cm="1">
        <f t="array" aca="1" ref="FT169" ca="1">(1-$B$18)*SUMPRODUCT(OFFSET($BO$15,0,0,$B$14,1), 1*(_xlfn._xlws.FILTER(OFFSET($O$15,0,$DN169,$B$8,1),OFFSET($M$15,0,0,$B$8,1))=FT$13), 1*(_xlfn._xlws.FILTER(OFFSET($O$15,0,$DO169,$B$8,1),OFFSET($M$15,0,0,$B$8,1))=FT$14))   /   SUM(OFFSET($BO$15,0,0,$B$14,1)) + $B$18/($B$19*$B$19*($DN169&lt;&gt;$DO169) + $B$19*($DN169=$DO169))</f>
        <v>3.7037037037037035E-4</v>
      </c>
      <c r="FU169" s="10" cm="1">
        <f t="array" aca="1" ref="FU169" ca="1">(1-$B$18)*SUMPRODUCT(OFFSET($BO$15,0,0,$B$14,1), 1*(_xlfn._xlws.FILTER(OFFSET($O$15,0,$DN169,$B$8,1),OFFSET($M$15,0,0,$B$8,1))=FU$13), 1*(_xlfn._xlws.FILTER(OFFSET($O$15,0,$DO169,$B$8,1),OFFSET($M$15,0,0,$B$8,1))=FU$14))   /   SUM(OFFSET($BO$15,0,0,$B$14,1)) + $B$18/($B$19*$B$19*($DN169&lt;&gt;$DO169) + $B$19*($DN169=$DO169))</f>
        <v>3.7037037037037035E-4</v>
      </c>
      <c r="FV169" s="10" cm="1">
        <f t="array" aca="1" ref="FV169" ca="1">(1-$B$18)*SUMPRODUCT(OFFSET($BO$15,0,0,$B$14,1), 1*(_xlfn._xlws.FILTER(OFFSET($O$15,0,$DN169,$B$8,1),OFFSET($M$15,0,0,$B$8,1))=FV$13), 1*(_xlfn._xlws.FILTER(OFFSET($O$15,0,$DO169,$B$8,1),OFFSET($M$15,0,0,$B$8,1))=FV$14))   /   SUM(OFFSET($BO$15,0,0,$B$14,1)) + $B$18/($B$19*$B$19*($DN169&lt;&gt;$DO169) + $B$19*($DN169=$DO169))</f>
        <v>3.7037037037037035E-4</v>
      </c>
      <c r="FW169" s="10" cm="1">
        <f t="array" aca="1" ref="FW169" ca="1">(1-$B$18)*SUMPRODUCT(OFFSET($BO$15,0,0,$B$14,1), 1*(_xlfn._xlws.FILTER(OFFSET($O$15,0,$DN169,$B$8,1),OFFSET($M$15,0,0,$B$8,1))=FW$13), 1*(_xlfn._xlws.FILTER(OFFSET($O$15,0,$DO169,$B$8,1),OFFSET($M$15,0,0,$B$8,1))=FW$14))   /   SUM(OFFSET($BO$15,0,0,$B$14,1)) + $B$18/($B$19*$B$19*($DN169&lt;&gt;$DO169) + $B$19*($DN169=$DO169))</f>
        <v>3.7037037037037035E-4</v>
      </c>
      <c r="FX169" s="10" cm="1">
        <f t="array" aca="1" ref="FX169" ca="1">(1-$B$18)*SUMPRODUCT(OFFSET($BO$15,0,0,$B$14,1), 1*(_xlfn._xlws.FILTER(OFFSET($O$15,0,$DN169,$B$8,1),OFFSET($M$15,0,0,$B$8,1))=FX$13), 1*(_xlfn._xlws.FILTER(OFFSET($O$15,0,$DO169,$B$8,1),OFFSET($M$15,0,0,$B$8,1))=FX$14))   /   SUM(OFFSET($BO$15,0,0,$B$14,1)) + $B$18/($B$19*$B$19*($DN169&lt;&gt;$DO169) + $B$19*($DN169=$DO169))</f>
        <v>3.7037037037037035E-4</v>
      </c>
      <c r="FY169" s="10" cm="1">
        <f t="array" aca="1" ref="FY169" ca="1">(1-$B$18)*SUMPRODUCT(OFFSET($BO$15,0,0,$B$14,1), 1*(_xlfn._xlws.FILTER(OFFSET($O$15,0,$DN169,$B$8,1),OFFSET($M$15,0,0,$B$8,1))=FY$13), 1*(_xlfn._xlws.FILTER(OFFSET($O$15,0,$DO169,$B$8,1),OFFSET($M$15,0,0,$B$8,1))=FY$14))   /   SUM(OFFSET($BO$15,0,0,$B$14,1)) + $B$18/($B$19*$B$19*($DN169&lt;&gt;$DO169) + $B$19*($DN169=$DO169))</f>
        <v>3.7037037037037035E-4</v>
      </c>
      <c r="FZ169" s="10" cm="1">
        <f t="array" aca="1" ref="FZ169" ca="1">(1-$B$18)*SUMPRODUCT(OFFSET($BO$15,0,0,$B$14,1), 1*(_xlfn._xlws.FILTER(OFFSET($O$15,0,$DN169,$B$8,1),OFFSET($M$15,0,0,$B$8,1))=FZ$13), 1*(_xlfn._xlws.FILTER(OFFSET($O$15,0,$DO169,$B$8,1),OFFSET($M$15,0,0,$B$8,1))=FZ$14))   /   SUM(OFFSET($BO$15,0,0,$B$14,1)) + $B$18/($B$19*$B$19*($DN169&lt;&gt;$DO169) + $B$19*($DN169=$DO169))</f>
        <v>3.7037037037037035E-4</v>
      </c>
      <c r="GA169" s="10" cm="1">
        <f t="array" aca="1" ref="GA169" ca="1">(1-$B$18)*SUMPRODUCT(OFFSET($BO$15,0,0,$B$14,1), 1*(_xlfn._xlws.FILTER(OFFSET($O$15,0,$DN169,$B$8,1),OFFSET($M$15,0,0,$B$8,1))=GA$13), 1*(_xlfn._xlws.FILTER(OFFSET($O$15,0,$DO169,$B$8,1),OFFSET($M$15,0,0,$B$8,1))=GA$14))   /   SUM(OFFSET($BO$15,0,0,$B$14,1)) + $B$18/($B$19*$B$19*($DN169&lt;&gt;$DO169) + $B$19*($DN169=$DO169))</f>
        <v>3.7037037037037035E-4</v>
      </c>
    </row>
    <row r="170" spans="118:183" x14ac:dyDescent="0.2">
      <c r="DN170" cm="1">
        <f t="array" aca="1" ref="DN170" ca="1">INDEX(_xlfn.ANCHORARRAY($CP$15), 1 + INT((ROWS($DO$15:$DO170) - 1) / ROWS(_xlfn.ANCHORARRAY($CP$15))))</f>
        <v>8</v>
      </c>
      <c r="DO170" cm="1">
        <f t="array" aca="1" ref="DO170" ca="1">INDEX(_xlfn.ANCHORARRAY($CP$15),1+MOD(ROWS($DO$15:$DO170)-1,ROWS(_xlfn.ANCHORARRAY($CP$15))))</f>
        <v>3</v>
      </c>
      <c r="DP170" s="10" cm="1">
        <f t="array" aca="1" ref="DP170" ca="1">(1-$B$18)*SUMPRODUCT(OFFSET($BO$15,0,0,$B$14,1), 1*(_xlfn._xlws.FILTER(OFFSET($O$15,0,$DN170,$B$8,1),OFFSET($M$15,0,0,$B$8,1))=DP$13), 1*(_xlfn._xlws.FILTER(OFFSET($O$15,0,$DO170,$B$8,1),OFFSET($M$15,0,0,$B$8,1))=DP$14))   /   SUM(OFFSET($BO$15,0,0,$B$14,1)) + $B$18/($B$19*$B$19*($DN170&lt;&gt;$DO170) + $B$19*($DN170=$DO170))</f>
        <v>3.7037037037037035E-4</v>
      </c>
      <c r="DQ170" s="10" cm="1">
        <f t="array" aca="1" ref="DQ170" ca="1">(1-$B$18)*SUMPRODUCT(OFFSET($BO$15,0,0,$B$14,1), 1*(_xlfn._xlws.FILTER(OFFSET($O$15,0,$DN170,$B$8,1),OFFSET($M$15,0,0,$B$8,1))=DQ$13), 1*(_xlfn._xlws.FILTER(OFFSET($O$15,0,$DO170,$B$8,1),OFFSET($M$15,0,0,$B$8,1))=DQ$14))   /   SUM(OFFSET($BO$15,0,0,$B$14,1)) + $B$18/($B$19*$B$19*($DN170&lt;&gt;$DO170) + $B$19*($DN170=$DO170))</f>
        <v>3.7037037037037035E-4</v>
      </c>
      <c r="DR170" s="10" cm="1">
        <f t="array" aca="1" ref="DR170" ca="1">(1-$B$18)*SUMPRODUCT(OFFSET($BO$15,0,0,$B$14,1), 1*(_xlfn._xlws.FILTER(OFFSET($O$15,0,$DN170,$B$8,1),OFFSET($M$15,0,0,$B$8,1))=DR$13), 1*(_xlfn._xlws.FILTER(OFFSET($O$15,0,$DO170,$B$8,1),OFFSET($M$15,0,0,$B$8,1))=DR$14))   /   SUM(OFFSET($BO$15,0,0,$B$14,1)) + $B$18/($B$19*$B$19*($DN170&lt;&gt;$DO170) + $B$19*($DN170=$DO170))</f>
        <v>3.7037037037037035E-4</v>
      </c>
      <c r="DS170" s="10" cm="1">
        <f t="array" aca="1" ref="DS170" ca="1">(1-$B$18)*SUMPRODUCT(OFFSET($BO$15,0,0,$B$14,1), 1*(_xlfn._xlws.FILTER(OFFSET($O$15,0,$DN170,$B$8,1),OFFSET($M$15,0,0,$B$8,1))=DS$13), 1*(_xlfn._xlws.FILTER(OFFSET($O$15,0,$DO170,$B$8,1),OFFSET($M$15,0,0,$B$8,1))=DS$14))   /   SUM(OFFSET($BO$15,0,0,$B$14,1)) + $B$18/($B$19*$B$19*($DN170&lt;&gt;$DO170) + $B$19*($DN170=$DO170))</f>
        <v>3.7037037037037035E-4</v>
      </c>
      <c r="DT170" s="10" cm="1">
        <f t="array" aca="1" ref="DT170" ca="1">(1-$B$18)*SUMPRODUCT(OFFSET($BO$15,0,0,$B$14,1), 1*(_xlfn._xlws.FILTER(OFFSET($O$15,0,$DN170,$B$8,1),OFFSET($M$15,0,0,$B$8,1))=DT$13), 1*(_xlfn._xlws.FILTER(OFFSET($O$15,0,$DO170,$B$8,1),OFFSET($M$15,0,0,$B$8,1))=DT$14))   /   SUM(OFFSET($BO$15,0,0,$B$14,1)) + $B$18/($B$19*$B$19*($DN170&lt;&gt;$DO170) + $B$19*($DN170=$DO170))</f>
        <v>3.7037037037037035E-4</v>
      </c>
      <c r="DU170" s="10" cm="1">
        <f t="array" aca="1" ref="DU170" ca="1">(1-$B$18)*SUMPRODUCT(OFFSET($BO$15,0,0,$B$14,1), 1*(_xlfn._xlws.FILTER(OFFSET($O$15,0,$DN170,$B$8,1),OFFSET($M$15,0,0,$B$8,1))=DU$13), 1*(_xlfn._xlws.FILTER(OFFSET($O$15,0,$DO170,$B$8,1),OFFSET($M$15,0,0,$B$8,1))=DU$14))   /   SUM(OFFSET($BO$15,0,0,$B$14,1)) + $B$18/($B$19*$B$19*($DN170&lt;&gt;$DO170) + $B$19*($DN170=$DO170))</f>
        <v>3.7037037037037035E-4</v>
      </c>
      <c r="DV170" s="10" cm="1">
        <f t="array" aca="1" ref="DV170" ca="1">(1-$B$18)*SUMPRODUCT(OFFSET($BO$15,0,0,$B$14,1), 1*(_xlfn._xlws.FILTER(OFFSET($O$15,0,$DN170,$B$8,1),OFFSET($M$15,0,0,$B$8,1))=DV$13), 1*(_xlfn._xlws.FILTER(OFFSET($O$15,0,$DO170,$B$8,1),OFFSET($M$15,0,0,$B$8,1))=DV$14))   /   SUM(OFFSET($BO$15,0,0,$B$14,1)) + $B$18/($B$19*$B$19*($DN170&lt;&gt;$DO170) + $B$19*($DN170=$DO170))</f>
        <v>3.7037037037037035E-4</v>
      </c>
      <c r="DW170" s="10" cm="1">
        <f t="array" aca="1" ref="DW170" ca="1">(1-$B$18)*SUMPRODUCT(OFFSET($BO$15,0,0,$B$14,1), 1*(_xlfn._xlws.FILTER(OFFSET($O$15,0,$DN170,$B$8,1),OFFSET($M$15,0,0,$B$8,1))=DW$13), 1*(_xlfn._xlws.FILTER(OFFSET($O$15,0,$DO170,$B$8,1),OFFSET($M$15,0,0,$B$8,1))=DW$14))   /   SUM(OFFSET($BO$15,0,0,$B$14,1)) + $B$18/($B$19*$B$19*($DN170&lt;&gt;$DO170) + $B$19*($DN170=$DO170))</f>
        <v>3.7037037037037035E-4</v>
      </c>
      <c r="DX170" s="10" cm="1">
        <f t="array" aca="1" ref="DX170" ca="1">(1-$B$18)*SUMPRODUCT(OFFSET($BO$15,0,0,$B$14,1), 1*(_xlfn._xlws.FILTER(OFFSET($O$15,0,$DN170,$B$8,1),OFFSET($M$15,0,0,$B$8,1))=DX$13), 1*(_xlfn._xlws.FILTER(OFFSET($O$15,0,$DO170,$B$8,1),OFFSET($M$15,0,0,$B$8,1))=DX$14))   /   SUM(OFFSET($BO$15,0,0,$B$14,1)) + $B$18/($B$19*$B$19*($DN170&lt;&gt;$DO170) + $B$19*($DN170=$DO170))</f>
        <v>3.7037037037037035E-4</v>
      </c>
      <c r="DY170" s="10" cm="1">
        <f t="array" aca="1" ref="DY170" ca="1">(1-$B$18)*SUMPRODUCT(OFFSET($BO$15,0,0,$B$14,1), 1*(_xlfn._xlws.FILTER(OFFSET($O$15,0,$DN170,$B$8,1),OFFSET($M$15,0,0,$B$8,1))=DY$13), 1*(_xlfn._xlws.FILTER(OFFSET($O$15,0,$DO170,$B$8,1),OFFSET($M$15,0,0,$B$8,1))=DY$14))   /   SUM(OFFSET($BO$15,0,0,$B$14,1)) + $B$18/($B$19*$B$19*($DN170&lt;&gt;$DO170) + $B$19*($DN170=$DO170))</f>
        <v>3.7037037037037035E-4</v>
      </c>
      <c r="DZ170" s="10" cm="1">
        <f t="array" aca="1" ref="DZ170" ca="1">(1-$B$18)*SUMPRODUCT(OFFSET($BO$15,0,0,$B$14,1), 1*(_xlfn._xlws.FILTER(OFFSET($O$15,0,$DN170,$B$8,1),OFFSET($M$15,0,0,$B$8,1))=DZ$13), 1*(_xlfn._xlws.FILTER(OFFSET($O$15,0,$DO170,$B$8,1),OFFSET($M$15,0,0,$B$8,1))=DZ$14))   /   SUM(OFFSET($BO$15,0,0,$B$14,1)) + $B$18/($B$19*$B$19*($DN170&lt;&gt;$DO170) + $B$19*($DN170=$DO170))</f>
        <v>3.7037037037037035E-4</v>
      </c>
      <c r="EA170" s="10" cm="1">
        <f t="array" aca="1" ref="EA170" ca="1">(1-$B$18)*SUMPRODUCT(OFFSET($BO$15,0,0,$B$14,1), 1*(_xlfn._xlws.FILTER(OFFSET($O$15,0,$DN170,$B$8,1),OFFSET($M$15,0,0,$B$8,1))=EA$13), 1*(_xlfn._xlws.FILTER(OFFSET($O$15,0,$DO170,$B$8,1),OFFSET($M$15,0,0,$B$8,1))=EA$14))   /   SUM(OFFSET($BO$15,0,0,$B$14,1)) + $B$18/($B$19*$B$19*($DN170&lt;&gt;$DO170) + $B$19*($DN170=$DO170))</f>
        <v>3.7037037037037035E-4</v>
      </c>
      <c r="EB170" s="10" cm="1">
        <f t="array" aca="1" ref="EB170" ca="1">(1-$B$18)*SUMPRODUCT(OFFSET($BO$15,0,0,$B$14,1), 1*(_xlfn._xlws.FILTER(OFFSET($O$15,0,$DN170,$B$8,1),OFFSET($M$15,0,0,$B$8,1))=EB$13), 1*(_xlfn._xlws.FILTER(OFFSET($O$15,0,$DO170,$B$8,1),OFFSET($M$15,0,0,$B$8,1))=EB$14))   /   SUM(OFFSET($BO$15,0,0,$B$14,1)) + $B$18/($B$19*$B$19*($DN170&lt;&gt;$DO170) + $B$19*($DN170=$DO170))</f>
        <v>3.7037037037037035E-4</v>
      </c>
      <c r="EC170" s="10" cm="1">
        <f t="array" aca="1" ref="EC170" ca="1">(1-$B$18)*SUMPRODUCT(OFFSET($BO$15,0,0,$B$14,1), 1*(_xlfn._xlws.FILTER(OFFSET($O$15,0,$DN170,$B$8,1),OFFSET($M$15,0,0,$B$8,1))=EC$13), 1*(_xlfn._xlws.FILTER(OFFSET($O$15,0,$DO170,$B$8,1),OFFSET($M$15,0,0,$B$8,1))=EC$14))   /   SUM(OFFSET($BO$15,0,0,$B$14,1)) + $B$18/($B$19*$B$19*($DN170&lt;&gt;$DO170) + $B$19*($DN170=$DO170))</f>
        <v>3.7037037037037035E-4</v>
      </c>
      <c r="ED170" s="10" cm="1">
        <f t="array" aca="1" ref="ED170" ca="1">(1-$B$18)*SUMPRODUCT(OFFSET($BO$15,0,0,$B$14,1), 1*(_xlfn._xlws.FILTER(OFFSET($O$15,0,$DN170,$B$8,1),OFFSET($M$15,0,0,$B$8,1))=ED$13), 1*(_xlfn._xlws.FILTER(OFFSET($O$15,0,$DO170,$B$8,1),OFFSET($M$15,0,0,$B$8,1))=ED$14))   /   SUM(OFFSET($BO$15,0,0,$B$14,1)) + $B$18/($B$19*$B$19*($DN170&lt;&gt;$DO170) + $B$19*($DN170=$DO170))</f>
        <v>3.7037037037037035E-4</v>
      </c>
      <c r="EE170" s="10" cm="1">
        <f t="array" aca="1" ref="EE170" ca="1">(1-$B$18)*SUMPRODUCT(OFFSET($BO$15,0,0,$B$14,1), 1*(_xlfn._xlws.FILTER(OFFSET($O$15,0,$DN170,$B$8,1),OFFSET($M$15,0,0,$B$8,1))=EE$13), 1*(_xlfn._xlws.FILTER(OFFSET($O$15,0,$DO170,$B$8,1),OFFSET($M$15,0,0,$B$8,1))=EE$14))   /   SUM(OFFSET($BO$15,0,0,$B$14,1)) + $B$18/($B$19*$B$19*($DN170&lt;&gt;$DO170) + $B$19*($DN170=$DO170))</f>
        <v>3.7037037037037035E-4</v>
      </c>
      <c r="EF170" s="10" cm="1">
        <f t="array" aca="1" ref="EF170" ca="1">(1-$B$18)*SUMPRODUCT(OFFSET($BO$15,0,0,$B$14,1), 1*(_xlfn._xlws.FILTER(OFFSET($O$15,0,$DN170,$B$8,1),OFFSET($M$15,0,0,$B$8,1))=EF$13), 1*(_xlfn._xlws.FILTER(OFFSET($O$15,0,$DO170,$B$8,1),OFFSET($M$15,0,0,$B$8,1))=EF$14))   /   SUM(OFFSET($BO$15,0,0,$B$14,1)) + $B$18/($B$19*$B$19*($DN170&lt;&gt;$DO170) + $B$19*($DN170=$DO170))</f>
        <v>3.7037037037037035E-4</v>
      </c>
      <c r="EG170" s="10" cm="1">
        <f t="array" aca="1" ref="EG170" ca="1">(1-$B$18)*SUMPRODUCT(OFFSET($BO$15,0,0,$B$14,1), 1*(_xlfn._xlws.FILTER(OFFSET($O$15,0,$DN170,$B$8,1),OFFSET($M$15,0,0,$B$8,1))=EG$13), 1*(_xlfn._xlws.FILTER(OFFSET($O$15,0,$DO170,$B$8,1),OFFSET($M$15,0,0,$B$8,1))=EG$14))   /   SUM(OFFSET($BO$15,0,0,$B$14,1)) + $B$18/($B$19*$B$19*($DN170&lt;&gt;$DO170) + $B$19*($DN170=$DO170))</f>
        <v>3.7037037037037035E-4</v>
      </c>
      <c r="EH170" s="10" cm="1">
        <f t="array" aca="1" ref="EH170" ca="1">(1-$B$18)*SUMPRODUCT(OFFSET($BO$15,0,0,$B$14,1), 1*(_xlfn._xlws.FILTER(OFFSET($O$15,0,$DN170,$B$8,1),OFFSET($M$15,0,0,$B$8,1))=EH$13), 1*(_xlfn._xlws.FILTER(OFFSET($O$15,0,$DO170,$B$8,1),OFFSET($M$15,0,0,$B$8,1))=EH$14))   /   SUM(OFFSET($BO$15,0,0,$B$14,1)) + $B$18/($B$19*$B$19*($DN170&lt;&gt;$DO170) + $B$19*($DN170=$DO170))</f>
        <v>3.7037037037037035E-4</v>
      </c>
      <c r="EI170" s="10" cm="1">
        <f t="array" aca="1" ref="EI170" ca="1">(1-$B$18)*SUMPRODUCT(OFFSET($BO$15,0,0,$B$14,1), 1*(_xlfn._xlws.FILTER(OFFSET($O$15,0,$DN170,$B$8,1),OFFSET($M$15,0,0,$B$8,1))=EI$13), 1*(_xlfn._xlws.FILTER(OFFSET($O$15,0,$DO170,$B$8,1),OFFSET($M$15,0,0,$B$8,1))=EI$14))   /   SUM(OFFSET($BO$15,0,0,$B$14,1)) + $B$18/($B$19*$B$19*($DN170&lt;&gt;$DO170) + $B$19*($DN170=$DO170))</f>
        <v>3.7037037037037035E-4</v>
      </c>
      <c r="EJ170" s="10" cm="1">
        <f t="array" aca="1" ref="EJ170" ca="1">(1-$B$18)*SUMPRODUCT(OFFSET($BO$15,0,0,$B$14,1), 1*(_xlfn._xlws.FILTER(OFFSET($O$15,0,$DN170,$B$8,1),OFFSET($M$15,0,0,$B$8,1))=EJ$13), 1*(_xlfn._xlws.FILTER(OFFSET($O$15,0,$DO170,$B$8,1),OFFSET($M$15,0,0,$B$8,1))=EJ$14))   /   SUM(OFFSET($BO$15,0,0,$B$14,1)) + $B$18/($B$19*$B$19*($DN170&lt;&gt;$DO170) + $B$19*($DN170=$DO170))</f>
        <v>3.7037037037037035E-4</v>
      </c>
      <c r="EK170" s="10" cm="1">
        <f t="array" aca="1" ref="EK170" ca="1">(1-$B$18)*SUMPRODUCT(OFFSET($BO$15,0,0,$B$14,1), 1*(_xlfn._xlws.FILTER(OFFSET($O$15,0,$DN170,$B$8,1),OFFSET($M$15,0,0,$B$8,1))=EK$13), 1*(_xlfn._xlws.FILTER(OFFSET($O$15,0,$DO170,$B$8,1),OFFSET($M$15,0,0,$B$8,1))=EK$14))   /   SUM(OFFSET($BO$15,0,0,$B$14,1)) + $B$18/($B$19*$B$19*($DN170&lt;&gt;$DO170) + $B$19*($DN170=$DO170))</f>
        <v>3.7037037037037035E-4</v>
      </c>
      <c r="EL170" s="10" cm="1">
        <f t="array" aca="1" ref="EL170" ca="1">(1-$B$18)*SUMPRODUCT(OFFSET($BO$15,0,0,$B$14,1), 1*(_xlfn._xlws.FILTER(OFFSET($O$15,0,$DN170,$B$8,1),OFFSET($M$15,0,0,$B$8,1))=EL$13), 1*(_xlfn._xlws.FILTER(OFFSET($O$15,0,$DO170,$B$8,1),OFFSET($M$15,0,0,$B$8,1))=EL$14))   /   SUM(OFFSET($BO$15,0,0,$B$14,1)) + $B$18/($B$19*$B$19*($DN170&lt;&gt;$DO170) + $B$19*($DN170=$DO170))</f>
        <v>3.7037037037037035E-4</v>
      </c>
      <c r="EM170" s="10" cm="1">
        <f t="array" aca="1" ref="EM170" ca="1">(1-$B$18)*SUMPRODUCT(OFFSET($BO$15,0,0,$B$14,1), 1*(_xlfn._xlws.FILTER(OFFSET($O$15,0,$DN170,$B$8,1),OFFSET($M$15,0,0,$B$8,1))=EM$13), 1*(_xlfn._xlws.FILTER(OFFSET($O$15,0,$DO170,$B$8,1),OFFSET($M$15,0,0,$B$8,1))=EM$14))   /   SUM(OFFSET($BO$15,0,0,$B$14,1)) + $B$18/($B$19*$B$19*($DN170&lt;&gt;$DO170) + $B$19*($DN170=$DO170))</f>
        <v>3.7037037037037035E-4</v>
      </c>
      <c r="EN170" s="10" cm="1">
        <f t="array" aca="1" ref="EN170" ca="1">(1-$B$18)*SUMPRODUCT(OFFSET($BO$15,0,0,$B$14,1), 1*(_xlfn._xlws.FILTER(OFFSET($O$15,0,$DN170,$B$8,1),OFFSET($M$15,0,0,$B$8,1))=EN$13), 1*(_xlfn._xlws.FILTER(OFFSET($O$15,0,$DO170,$B$8,1),OFFSET($M$15,0,0,$B$8,1))=EN$14))   /   SUM(OFFSET($BO$15,0,0,$B$14,1)) + $B$18/($B$19*$B$19*($DN170&lt;&gt;$DO170) + $B$19*($DN170=$DO170))</f>
        <v>3.7037037037037035E-4</v>
      </c>
      <c r="EO170" s="10" cm="1">
        <f t="array" aca="1" ref="EO170" ca="1">(1-$B$18)*SUMPRODUCT(OFFSET($BO$15,0,0,$B$14,1), 1*(_xlfn._xlws.FILTER(OFFSET($O$15,0,$DN170,$B$8,1),OFFSET($M$15,0,0,$B$8,1))=EO$13), 1*(_xlfn._xlws.FILTER(OFFSET($O$15,0,$DO170,$B$8,1),OFFSET($M$15,0,0,$B$8,1))=EO$14))   /   SUM(OFFSET($BO$15,0,0,$B$14,1)) + $B$18/($B$19*$B$19*($DN170&lt;&gt;$DO170) + $B$19*($DN170=$DO170))</f>
        <v>3.7037037037037035E-4</v>
      </c>
      <c r="EP170" s="10" cm="1">
        <f t="array" aca="1" ref="EP170" ca="1">(1-$B$18)*SUMPRODUCT(OFFSET($BO$15,0,0,$B$14,1), 1*(_xlfn._xlws.FILTER(OFFSET($O$15,0,$DN170,$B$8,1),OFFSET($M$15,0,0,$B$8,1))=EP$13), 1*(_xlfn._xlws.FILTER(OFFSET($O$15,0,$DO170,$B$8,1),OFFSET($M$15,0,0,$B$8,1))=EP$14))   /   SUM(OFFSET($BO$15,0,0,$B$14,1)) + $B$18/($B$19*$B$19*($DN170&lt;&gt;$DO170) + $B$19*($DN170=$DO170))</f>
        <v>3.7037037037037035E-4</v>
      </c>
      <c r="EQ170" s="10" cm="1">
        <f t="array" aca="1" ref="EQ170" ca="1">(1-$B$18)*SUMPRODUCT(OFFSET($BO$15,0,0,$B$14,1), 1*(_xlfn._xlws.FILTER(OFFSET($O$15,0,$DN170,$B$8,1),OFFSET($M$15,0,0,$B$8,1))=EQ$13), 1*(_xlfn._xlws.FILTER(OFFSET($O$15,0,$DO170,$B$8,1),OFFSET($M$15,0,0,$B$8,1))=EQ$14))   /   SUM(OFFSET($BO$15,0,0,$B$14,1)) + $B$18/($B$19*$B$19*($DN170&lt;&gt;$DO170) + $B$19*($DN170=$DO170))</f>
        <v>3.7037037037037035E-4</v>
      </c>
      <c r="ER170" s="10" cm="1">
        <f t="array" aca="1" ref="ER170" ca="1">(1-$B$18)*SUMPRODUCT(OFFSET($BO$15,0,0,$B$14,1), 1*(_xlfn._xlws.FILTER(OFFSET($O$15,0,$DN170,$B$8,1),OFFSET($M$15,0,0,$B$8,1))=ER$13), 1*(_xlfn._xlws.FILTER(OFFSET($O$15,0,$DO170,$B$8,1),OFFSET($M$15,0,0,$B$8,1))=ER$14))   /   SUM(OFFSET($BO$15,0,0,$B$14,1)) + $B$18/($B$19*$B$19*($DN170&lt;&gt;$DO170) + $B$19*($DN170=$DO170))</f>
        <v>3.7037037037037035E-4</v>
      </c>
      <c r="ES170" s="10" cm="1">
        <f t="array" aca="1" ref="ES170" ca="1">(1-$B$18)*SUMPRODUCT(OFFSET($BO$15,0,0,$B$14,1), 1*(_xlfn._xlws.FILTER(OFFSET($O$15,0,$DN170,$B$8,1),OFFSET($M$15,0,0,$B$8,1))=ES$13), 1*(_xlfn._xlws.FILTER(OFFSET($O$15,0,$DO170,$B$8,1),OFFSET($M$15,0,0,$B$8,1))=ES$14))   /   SUM(OFFSET($BO$15,0,0,$B$14,1)) + $B$18/($B$19*$B$19*($DN170&lt;&gt;$DO170) + $B$19*($DN170=$DO170))</f>
        <v>3.7037037037037035E-4</v>
      </c>
      <c r="ET170" s="10" cm="1">
        <f t="array" aca="1" ref="ET170" ca="1">(1-$B$18)*SUMPRODUCT(OFFSET($BO$15,0,0,$B$14,1), 1*(_xlfn._xlws.FILTER(OFFSET($O$15,0,$DN170,$B$8,1),OFFSET($M$15,0,0,$B$8,1))=ET$13), 1*(_xlfn._xlws.FILTER(OFFSET($O$15,0,$DO170,$B$8,1),OFFSET($M$15,0,0,$B$8,1))=ET$14))   /   SUM(OFFSET($BO$15,0,0,$B$14,1)) + $B$18/($B$19*$B$19*($DN170&lt;&gt;$DO170) + $B$19*($DN170=$DO170))</f>
        <v>3.7037037037037035E-4</v>
      </c>
      <c r="EU170" s="10" cm="1">
        <f t="array" aca="1" ref="EU170" ca="1">(1-$B$18)*SUMPRODUCT(OFFSET($BO$15,0,0,$B$14,1), 1*(_xlfn._xlws.FILTER(OFFSET($O$15,0,$DN170,$B$8,1),OFFSET($M$15,0,0,$B$8,1))=EU$13), 1*(_xlfn._xlws.FILTER(OFFSET($O$15,0,$DO170,$B$8,1),OFFSET($M$15,0,0,$B$8,1))=EU$14))   /   SUM(OFFSET($BO$15,0,0,$B$14,1)) + $B$18/($B$19*$B$19*($DN170&lt;&gt;$DO170) + $B$19*($DN170=$DO170))</f>
        <v>3.7037037037037035E-4</v>
      </c>
      <c r="EV170" s="10" cm="1">
        <f t="array" aca="1" ref="EV170" ca="1">(1-$B$18)*SUMPRODUCT(OFFSET($BO$15,0,0,$B$14,1), 1*(_xlfn._xlws.FILTER(OFFSET($O$15,0,$DN170,$B$8,1),OFFSET($M$15,0,0,$B$8,1))=EV$13), 1*(_xlfn._xlws.FILTER(OFFSET($O$15,0,$DO170,$B$8,1),OFFSET($M$15,0,0,$B$8,1))=EV$14))   /   SUM(OFFSET($BO$15,0,0,$B$14,1)) + $B$18/($B$19*$B$19*($DN170&lt;&gt;$DO170) + $B$19*($DN170=$DO170))</f>
        <v>3.7037037037037035E-4</v>
      </c>
      <c r="EW170" s="10" cm="1">
        <f t="array" aca="1" ref="EW170" ca="1">(1-$B$18)*SUMPRODUCT(OFFSET($BO$15,0,0,$B$14,1), 1*(_xlfn._xlws.FILTER(OFFSET($O$15,0,$DN170,$B$8,1),OFFSET($M$15,0,0,$B$8,1))=EW$13), 1*(_xlfn._xlws.FILTER(OFFSET($O$15,0,$DO170,$B$8,1),OFFSET($M$15,0,0,$B$8,1))=EW$14))   /   SUM(OFFSET($BO$15,0,0,$B$14,1)) + $B$18/($B$19*$B$19*($DN170&lt;&gt;$DO170) + $B$19*($DN170=$DO170))</f>
        <v>3.7037037037037035E-4</v>
      </c>
      <c r="EX170" s="10" cm="1">
        <f t="array" aca="1" ref="EX170" ca="1">(1-$B$18)*SUMPRODUCT(OFFSET($BO$15,0,0,$B$14,1), 1*(_xlfn._xlws.FILTER(OFFSET($O$15,0,$DN170,$B$8,1),OFFSET($M$15,0,0,$B$8,1))=EX$13), 1*(_xlfn._xlws.FILTER(OFFSET($O$15,0,$DO170,$B$8,1),OFFSET($M$15,0,0,$B$8,1))=EX$14))   /   SUM(OFFSET($BO$15,0,0,$B$14,1)) + $B$18/($B$19*$B$19*($DN170&lt;&gt;$DO170) + $B$19*($DN170=$DO170))</f>
        <v>3.7037037037037035E-4</v>
      </c>
      <c r="EY170" s="10" cm="1">
        <f t="array" aca="1" ref="EY170" ca="1">(1-$B$18)*SUMPRODUCT(OFFSET($BO$15,0,0,$B$14,1), 1*(_xlfn._xlws.FILTER(OFFSET($O$15,0,$DN170,$B$8,1),OFFSET($M$15,0,0,$B$8,1))=EY$13), 1*(_xlfn._xlws.FILTER(OFFSET($O$15,0,$DO170,$B$8,1),OFFSET($M$15,0,0,$B$8,1))=EY$14))   /   SUM(OFFSET($BO$15,0,0,$B$14,1)) + $B$18/($B$19*$B$19*($DN170&lt;&gt;$DO170) + $B$19*($DN170=$DO170))</f>
        <v>3.7037037037037035E-4</v>
      </c>
      <c r="EZ170" s="10" cm="1">
        <f t="array" aca="1" ref="EZ170" ca="1">(1-$B$18)*SUMPRODUCT(OFFSET($BO$15,0,0,$B$14,1), 1*(_xlfn._xlws.FILTER(OFFSET($O$15,0,$DN170,$B$8,1),OFFSET($M$15,0,0,$B$8,1))=EZ$13), 1*(_xlfn._xlws.FILTER(OFFSET($O$15,0,$DO170,$B$8,1),OFFSET($M$15,0,0,$B$8,1))=EZ$14))   /   SUM(OFFSET($BO$15,0,0,$B$14,1)) + $B$18/($B$19*$B$19*($DN170&lt;&gt;$DO170) + $B$19*($DN170=$DO170))</f>
        <v>3.7037037037037035E-4</v>
      </c>
      <c r="FA170" s="10" cm="1">
        <f t="array" aca="1" ref="FA170" ca="1">(1-$B$18)*SUMPRODUCT(OFFSET($BO$15,0,0,$B$14,1), 1*(_xlfn._xlws.FILTER(OFFSET($O$15,0,$DN170,$B$8,1),OFFSET($M$15,0,0,$B$8,1))=FA$13), 1*(_xlfn._xlws.FILTER(OFFSET($O$15,0,$DO170,$B$8,1),OFFSET($M$15,0,0,$B$8,1))=FA$14))   /   SUM(OFFSET($BO$15,0,0,$B$14,1)) + $B$18/($B$19*$B$19*($DN170&lt;&gt;$DO170) + $B$19*($DN170=$DO170))</f>
        <v>3.7037037037037035E-4</v>
      </c>
      <c r="FB170" s="10" cm="1">
        <f t="array" aca="1" ref="FB170" ca="1">(1-$B$18)*SUMPRODUCT(OFFSET($BO$15,0,0,$B$14,1), 1*(_xlfn._xlws.FILTER(OFFSET($O$15,0,$DN170,$B$8,1),OFFSET($M$15,0,0,$B$8,1))=FB$13), 1*(_xlfn._xlws.FILTER(OFFSET($O$15,0,$DO170,$B$8,1),OFFSET($M$15,0,0,$B$8,1))=FB$14))   /   SUM(OFFSET($BO$15,0,0,$B$14,1)) + $B$18/($B$19*$B$19*($DN170&lt;&gt;$DO170) + $B$19*($DN170=$DO170))</f>
        <v>3.7037037037037035E-4</v>
      </c>
      <c r="FC170" s="10" cm="1">
        <f t="array" aca="1" ref="FC170" ca="1">(1-$B$18)*SUMPRODUCT(OFFSET($BO$15,0,0,$B$14,1), 1*(_xlfn._xlws.FILTER(OFFSET($O$15,0,$DN170,$B$8,1),OFFSET($M$15,0,0,$B$8,1))=FC$13), 1*(_xlfn._xlws.FILTER(OFFSET($O$15,0,$DO170,$B$8,1),OFFSET($M$15,0,0,$B$8,1))=FC$14))   /   SUM(OFFSET($BO$15,0,0,$B$14,1)) + $B$18/($B$19*$B$19*($DN170&lt;&gt;$DO170) + $B$19*($DN170=$DO170))</f>
        <v>3.7037037037037035E-4</v>
      </c>
      <c r="FD170" s="10" cm="1">
        <f t="array" aca="1" ref="FD170" ca="1">(1-$B$18)*SUMPRODUCT(OFFSET($BO$15,0,0,$B$14,1), 1*(_xlfn._xlws.FILTER(OFFSET($O$15,0,$DN170,$B$8,1),OFFSET($M$15,0,0,$B$8,1))=FD$13), 1*(_xlfn._xlws.FILTER(OFFSET($O$15,0,$DO170,$B$8,1),OFFSET($M$15,0,0,$B$8,1))=FD$14))   /   SUM(OFFSET($BO$15,0,0,$B$14,1)) + $B$18/($B$19*$B$19*($DN170&lt;&gt;$DO170) + $B$19*($DN170=$DO170))</f>
        <v>3.7037037037037035E-4</v>
      </c>
      <c r="FE170" s="10" cm="1">
        <f t="array" aca="1" ref="FE170" ca="1">(1-$B$18)*SUMPRODUCT(OFFSET($BO$15,0,0,$B$14,1), 1*(_xlfn._xlws.FILTER(OFFSET($O$15,0,$DN170,$B$8,1),OFFSET($M$15,0,0,$B$8,1))=FE$13), 1*(_xlfn._xlws.FILTER(OFFSET($O$15,0,$DO170,$B$8,1),OFFSET($M$15,0,0,$B$8,1))=FE$14))   /   SUM(OFFSET($BO$15,0,0,$B$14,1)) + $B$18/($B$19*$B$19*($DN170&lt;&gt;$DO170) + $B$19*($DN170=$DO170))</f>
        <v>3.7037037037037035E-4</v>
      </c>
      <c r="FF170" s="10" cm="1">
        <f t="array" aca="1" ref="FF170" ca="1">(1-$B$18)*SUMPRODUCT(OFFSET($BO$15,0,0,$B$14,1), 1*(_xlfn._xlws.FILTER(OFFSET($O$15,0,$DN170,$B$8,1),OFFSET($M$15,0,0,$B$8,1))=FF$13), 1*(_xlfn._xlws.FILTER(OFFSET($O$15,0,$DO170,$B$8,1),OFFSET($M$15,0,0,$B$8,1))=FF$14))   /   SUM(OFFSET($BO$15,0,0,$B$14,1)) + $B$18/($B$19*$B$19*($DN170&lt;&gt;$DO170) + $B$19*($DN170=$DO170))</f>
        <v>3.7037037037037035E-4</v>
      </c>
      <c r="FG170" s="10" cm="1">
        <f t="array" aca="1" ref="FG170" ca="1">(1-$B$18)*SUMPRODUCT(OFFSET($BO$15,0,0,$B$14,1), 1*(_xlfn._xlws.FILTER(OFFSET($O$15,0,$DN170,$B$8,1),OFFSET($M$15,0,0,$B$8,1))=FG$13), 1*(_xlfn._xlws.FILTER(OFFSET($O$15,0,$DO170,$B$8,1),OFFSET($M$15,0,0,$B$8,1))=FG$14))   /   SUM(OFFSET($BO$15,0,0,$B$14,1)) + $B$18/($B$19*$B$19*($DN170&lt;&gt;$DO170) + $B$19*($DN170=$DO170))</f>
        <v>3.7037037037037035E-4</v>
      </c>
      <c r="FH170" s="10" cm="1">
        <f t="array" aca="1" ref="FH170" ca="1">(1-$B$18)*SUMPRODUCT(OFFSET($BO$15,0,0,$B$14,1), 1*(_xlfn._xlws.FILTER(OFFSET($O$15,0,$DN170,$B$8,1),OFFSET($M$15,0,0,$B$8,1))=FH$13), 1*(_xlfn._xlws.FILTER(OFFSET($O$15,0,$DO170,$B$8,1),OFFSET($M$15,0,0,$B$8,1))=FH$14))   /   SUM(OFFSET($BO$15,0,0,$B$14,1)) + $B$18/($B$19*$B$19*($DN170&lt;&gt;$DO170) + $B$19*($DN170=$DO170))</f>
        <v>3.7037037037037035E-4</v>
      </c>
      <c r="FI170" s="10" cm="1">
        <f t="array" aca="1" ref="FI170" ca="1">(1-$B$18)*SUMPRODUCT(OFFSET($BO$15,0,0,$B$14,1), 1*(_xlfn._xlws.FILTER(OFFSET($O$15,0,$DN170,$B$8,1),OFFSET($M$15,0,0,$B$8,1))=FI$13), 1*(_xlfn._xlws.FILTER(OFFSET($O$15,0,$DO170,$B$8,1),OFFSET($M$15,0,0,$B$8,1))=FI$14))   /   SUM(OFFSET($BO$15,0,0,$B$14,1)) + $B$18/($B$19*$B$19*($DN170&lt;&gt;$DO170) + $B$19*($DN170=$DO170))</f>
        <v>3.7037037037037035E-4</v>
      </c>
      <c r="FJ170" s="10" cm="1">
        <f t="array" aca="1" ref="FJ170" ca="1">(1-$B$18)*SUMPRODUCT(OFFSET($BO$15,0,0,$B$14,1), 1*(_xlfn._xlws.FILTER(OFFSET($O$15,0,$DN170,$B$8,1),OFFSET($M$15,0,0,$B$8,1))=FJ$13), 1*(_xlfn._xlws.FILTER(OFFSET($O$15,0,$DO170,$B$8,1),OFFSET($M$15,0,0,$B$8,1))=FJ$14))   /   SUM(OFFSET($BO$15,0,0,$B$14,1)) + $B$18/($B$19*$B$19*($DN170&lt;&gt;$DO170) + $B$19*($DN170=$DO170))</f>
        <v>3.7037037037037035E-4</v>
      </c>
      <c r="FK170" s="10" cm="1">
        <f t="array" aca="1" ref="FK170" ca="1">(1-$B$18)*SUMPRODUCT(OFFSET($BO$15,0,0,$B$14,1), 1*(_xlfn._xlws.FILTER(OFFSET($O$15,0,$DN170,$B$8,1),OFFSET($M$15,0,0,$B$8,1))=FK$13), 1*(_xlfn._xlws.FILTER(OFFSET($O$15,0,$DO170,$B$8,1),OFFSET($M$15,0,0,$B$8,1))=FK$14))   /   SUM(OFFSET($BO$15,0,0,$B$14,1)) + $B$18/($B$19*$B$19*($DN170&lt;&gt;$DO170) + $B$19*($DN170=$DO170))</f>
        <v>3.7037037037037035E-4</v>
      </c>
      <c r="FL170" s="10" cm="1">
        <f t="array" aca="1" ref="FL170" ca="1">(1-$B$18)*SUMPRODUCT(OFFSET($BO$15,0,0,$B$14,1), 1*(_xlfn._xlws.FILTER(OFFSET($O$15,0,$DN170,$B$8,1),OFFSET($M$15,0,0,$B$8,1))=FL$13), 1*(_xlfn._xlws.FILTER(OFFSET($O$15,0,$DO170,$B$8,1),OFFSET($M$15,0,0,$B$8,1))=FL$14))   /   SUM(OFFSET($BO$15,0,0,$B$14,1)) + $B$18/($B$19*$B$19*($DN170&lt;&gt;$DO170) + $B$19*($DN170=$DO170))</f>
        <v>3.7037037037037035E-4</v>
      </c>
      <c r="FM170" s="10" cm="1">
        <f t="array" aca="1" ref="FM170" ca="1">(1-$B$18)*SUMPRODUCT(OFFSET($BO$15,0,0,$B$14,1), 1*(_xlfn._xlws.FILTER(OFFSET($O$15,0,$DN170,$B$8,1),OFFSET($M$15,0,0,$B$8,1))=FM$13), 1*(_xlfn._xlws.FILTER(OFFSET($O$15,0,$DO170,$B$8,1),OFFSET($M$15,0,0,$B$8,1))=FM$14))   /   SUM(OFFSET($BO$15,0,0,$B$14,1)) + $B$18/($B$19*$B$19*($DN170&lt;&gt;$DO170) + $B$19*($DN170=$DO170))</f>
        <v>3.7037037037037035E-4</v>
      </c>
      <c r="FN170" s="10" cm="1">
        <f t="array" aca="1" ref="FN170" ca="1">(1-$B$18)*SUMPRODUCT(OFFSET($BO$15,0,0,$B$14,1), 1*(_xlfn._xlws.FILTER(OFFSET($O$15,0,$DN170,$B$8,1),OFFSET($M$15,0,0,$B$8,1))=FN$13), 1*(_xlfn._xlws.FILTER(OFFSET($O$15,0,$DO170,$B$8,1),OFFSET($M$15,0,0,$B$8,1))=FN$14))   /   SUM(OFFSET($BO$15,0,0,$B$14,1)) + $B$18/($B$19*$B$19*($DN170&lt;&gt;$DO170) + $B$19*($DN170=$DO170))</f>
        <v>3.7037037037037035E-4</v>
      </c>
      <c r="FO170" s="10" cm="1">
        <f t="array" aca="1" ref="FO170" ca="1">(1-$B$18)*SUMPRODUCT(OFFSET($BO$15,0,0,$B$14,1), 1*(_xlfn._xlws.FILTER(OFFSET($O$15,0,$DN170,$B$8,1),OFFSET($M$15,0,0,$B$8,1))=FO$13), 1*(_xlfn._xlws.FILTER(OFFSET($O$15,0,$DO170,$B$8,1),OFFSET($M$15,0,0,$B$8,1))=FO$14))   /   SUM(OFFSET($BO$15,0,0,$B$14,1)) + $B$18/($B$19*$B$19*($DN170&lt;&gt;$DO170) + $B$19*($DN170=$DO170))</f>
        <v>3.7037037037037035E-4</v>
      </c>
      <c r="FP170" s="10" cm="1">
        <f t="array" aca="1" ref="FP170" ca="1">(1-$B$18)*SUMPRODUCT(OFFSET($BO$15,0,0,$B$14,1), 1*(_xlfn._xlws.FILTER(OFFSET($O$15,0,$DN170,$B$8,1),OFFSET($M$15,0,0,$B$8,1))=FP$13), 1*(_xlfn._xlws.FILTER(OFFSET($O$15,0,$DO170,$B$8,1),OFFSET($M$15,0,0,$B$8,1))=FP$14))   /   SUM(OFFSET($BO$15,0,0,$B$14,1)) + $B$18/($B$19*$B$19*($DN170&lt;&gt;$DO170) + $B$19*($DN170=$DO170))</f>
        <v>3.7037037037037035E-4</v>
      </c>
      <c r="FQ170" s="10" cm="1">
        <f t="array" aca="1" ref="FQ170" ca="1">(1-$B$18)*SUMPRODUCT(OFFSET($BO$15,0,0,$B$14,1), 1*(_xlfn._xlws.FILTER(OFFSET($O$15,0,$DN170,$B$8,1),OFFSET($M$15,0,0,$B$8,1))=FQ$13), 1*(_xlfn._xlws.FILTER(OFFSET($O$15,0,$DO170,$B$8,1),OFFSET($M$15,0,0,$B$8,1))=FQ$14))   /   SUM(OFFSET($BO$15,0,0,$B$14,1)) + $B$18/($B$19*$B$19*($DN170&lt;&gt;$DO170) + $B$19*($DN170=$DO170))</f>
        <v>3.7037037037037035E-4</v>
      </c>
      <c r="FR170" s="10" cm="1">
        <f t="array" aca="1" ref="FR170" ca="1">(1-$B$18)*SUMPRODUCT(OFFSET($BO$15,0,0,$B$14,1), 1*(_xlfn._xlws.FILTER(OFFSET($O$15,0,$DN170,$B$8,1),OFFSET($M$15,0,0,$B$8,1))=FR$13), 1*(_xlfn._xlws.FILTER(OFFSET($O$15,0,$DO170,$B$8,1),OFFSET($M$15,0,0,$B$8,1))=FR$14))   /   SUM(OFFSET($BO$15,0,0,$B$14,1)) + $B$18/($B$19*$B$19*($DN170&lt;&gt;$DO170) + $B$19*($DN170=$DO170))</f>
        <v>0.97037037037037033</v>
      </c>
      <c r="FS170" s="10" cm="1">
        <f t="array" aca="1" ref="FS170" ca="1">(1-$B$18)*SUMPRODUCT(OFFSET($BO$15,0,0,$B$14,1), 1*(_xlfn._xlws.FILTER(OFFSET($O$15,0,$DN170,$B$8,1),OFFSET($M$15,0,0,$B$8,1))=FS$13), 1*(_xlfn._xlws.FILTER(OFFSET($O$15,0,$DO170,$B$8,1),OFFSET($M$15,0,0,$B$8,1))=FS$14))   /   SUM(OFFSET($BO$15,0,0,$B$14,1)) + $B$18/($B$19*$B$19*($DN170&lt;&gt;$DO170) + $B$19*($DN170=$DO170))</f>
        <v>3.7037037037037035E-4</v>
      </c>
      <c r="FT170" s="10" cm="1">
        <f t="array" aca="1" ref="FT170" ca="1">(1-$B$18)*SUMPRODUCT(OFFSET($BO$15,0,0,$B$14,1), 1*(_xlfn._xlws.FILTER(OFFSET($O$15,0,$DN170,$B$8,1),OFFSET($M$15,0,0,$B$8,1))=FT$13), 1*(_xlfn._xlws.FILTER(OFFSET($O$15,0,$DO170,$B$8,1),OFFSET($M$15,0,0,$B$8,1))=FT$14))   /   SUM(OFFSET($BO$15,0,0,$B$14,1)) + $B$18/($B$19*$B$19*($DN170&lt;&gt;$DO170) + $B$19*($DN170=$DO170))</f>
        <v>3.7037037037037035E-4</v>
      </c>
      <c r="FU170" s="10" cm="1">
        <f t="array" aca="1" ref="FU170" ca="1">(1-$B$18)*SUMPRODUCT(OFFSET($BO$15,0,0,$B$14,1), 1*(_xlfn._xlws.FILTER(OFFSET($O$15,0,$DN170,$B$8,1),OFFSET($M$15,0,0,$B$8,1))=FU$13), 1*(_xlfn._xlws.FILTER(OFFSET($O$15,0,$DO170,$B$8,1),OFFSET($M$15,0,0,$B$8,1))=FU$14))   /   SUM(OFFSET($BO$15,0,0,$B$14,1)) + $B$18/($B$19*$B$19*($DN170&lt;&gt;$DO170) + $B$19*($DN170=$DO170))</f>
        <v>3.7037037037037035E-4</v>
      </c>
      <c r="FV170" s="10" cm="1">
        <f t="array" aca="1" ref="FV170" ca="1">(1-$B$18)*SUMPRODUCT(OFFSET($BO$15,0,0,$B$14,1), 1*(_xlfn._xlws.FILTER(OFFSET($O$15,0,$DN170,$B$8,1),OFFSET($M$15,0,0,$B$8,1))=FV$13), 1*(_xlfn._xlws.FILTER(OFFSET($O$15,0,$DO170,$B$8,1),OFFSET($M$15,0,0,$B$8,1))=FV$14))   /   SUM(OFFSET($BO$15,0,0,$B$14,1)) + $B$18/($B$19*$B$19*($DN170&lt;&gt;$DO170) + $B$19*($DN170=$DO170))</f>
        <v>3.7037037037037035E-4</v>
      </c>
      <c r="FW170" s="10" cm="1">
        <f t="array" aca="1" ref="FW170" ca="1">(1-$B$18)*SUMPRODUCT(OFFSET($BO$15,0,0,$B$14,1), 1*(_xlfn._xlws.FILTER(OFFSET($O$15,0,$DN170,$B$8,1),OFFSET($M$15,0,0,$B$8,1))=FW$13), 1*(_xlfn._xlws.FILTER(OFFSET($O$15,0,$DO170,$B$8,1),OFFSET($M$15,0,0,$B$8,1))=FW$14))   /   SUM(OFFSET($BO$15,0,0,$B$14,1)) + $B$18/($B$19*$B$19*($DN170&lt;&gt;$DO170) + $B$19*($DN170=$DO170))</f>
        <v>3.7037037037037035E-4</v>
      </c>
      <c r="FX170" s="10" cm="1">
        <f t="array" aca="1" ref="FX170" ca="1">(1-$B$18)*SUMPRODUCT(OFFSET($BO$15,0,0,$B$14,1), 1*(_xlfn._xlws.FILTER(OFFSET($O$15,0,$DN170,$B$8,1),OFFSET($M$15,0,0,$B$8,1))=FX$13), 1*(_xlfn._xlws.FILTER(OFFSET($O$15,0,$DO170,$B$8,1),OFFSET($M$15,0,0,$B$8,1))=FX$14))   /   SUM(OFFSET($BO$15,0,0,$B$14,1)) + $B$18/($B$19*$B$19*($DN170&lt;&gt;$DO170) + $B$19*($DN170=$DO170))</f>
        <v>3.7037037037037035E-4</v>
      </c>
      <c r="FY170" s="10" cm="1">
        <f t="array" aca="1" ref="FY170" ca="1">(1-$B$18)*SUMPRODUCT(OFFSET($BO$15,0,0,$B$14,1), 1*(_xlfn._xlws.FILTER(OFFSET($O$15,0,$DN170,$B$8,1),OFFSET($M$15,0,0,$B$8,1))=FY$13), 1*(_xlfn._xlws.FILTER(OFFSET($O$15,0,$DO170,$B$8,1),OFFSET($M$15,0,0,$B$8,1))=FY$14))   /   SUM(OFFSET($BO$15,0,0,$B$14,1)) + $B$18/($B$19*$B$19*($DN170&lt;&gt;$DO170) + $B$19*($DN170=$DO170))</f>
        <v>3.7037037037037035E-4</v>
      </c>
      <c r="FZ170" s="10" cm="1">
        <f t="array" aca="1" ref="FZ170" ca="1">(1-$B$18)*SUMPRODUCT(OFFSET($BO$15,0,0,$B$14,1), 1*(_xlfn._xlws.FILTER(OFFSET($O$15,0,$DN170,$B$8,1),OFFSET($M$15,0,0,$B$8,1))=FZ$13), 1*(_xlfn._xlws.FILTER(OFFSET($O$15,0,$DO170,$B$8,1),OFFSET($M$15,0,0,$B$8,1))=FZ$14))   /   SUM(OFFSET($BO$15,0,0,$B$14,1)) + $B$18/($B$19*$B$19*($DN170&lt;&gt;$DO170) + $B$19*($DN170=$DO170))</f>
        <v>3.7037037037037035E-4</v>
      </c>
      <c r="GA170" s="10" cm="1">
        <f t="array" aca="1" ref="GA170" ca="1">(1-$B$18)*SUMPRODUCT(OFFSET($BO$15,0,0,$B$14,1), 1*(_xlfn._xlws.FILTER(OFFSET($O$15,0,$DN170,$B$8,1),OFFSET($M$15,0,0,$B$8,1))=GA$13), 1*(_xlfn._xlws.FILTER(OFFSET($O$15,0,$DO170,$B$8,1),OFFSET($M$15,0,0,$B$8,1))=GA$14))   /   SUM(OFFSET($BO$15,0,0,$B$14,1)) + $B$18/($B$19*$B$19*($DN170&lt;&gt;$DO170) + $B$19*($DN170=$DO170))</f>
        <v>3.7037037037037035E-4</v>
      </c>
    </row>
    <row r="171" spans="118:183" x14ac:dyDescent="0.2">
      <c r="DN171" cm="1">
        <f t="array" aca="1" ref="DN171" ca="1">INDEX(_xlfn.ANCHORARRAY($CP$15), 1 + INT((ROWS($DO$15:$DO171) - 1) / ROWS(_xlfn.ANCHORARRAY($CP$15))))</f>
        <v>8</v>
      </c>
      <c r="DO171" cm="1">
        <f t="array" aca="1" ref="DO171" ca="1">INDEX(_xlfn.ANCHORARRAY($CP$15),1+MOD(ROWS($DO$15:$DO171)-1,ROWS(_xlfn.ANCHORARRAY($CP$15))))</f>
        <v>4</v>
      </c>
      <c r="DP171" s="10" cm="1">
        <f t="array" aca="1" ref="DP171" ca="1">(1-$B$18)*SUMPRODUCT(OFFSET($BO$15,0,0,$B$14,1), 1*(_xlfn._xlws.FILTER(OFFSET($O$15,0,$DN171,$B$8,1),OFFSET($M$15,0,0,$B$8,1))=DP$13), 1*(_xlfn._xlws.FILTER(OFFSET($O$15,0,$DO171,$B$8,1),OFFSET($M$15,0,0,$B$8,1))=DP$14))   /   SUM(OFFSET($BO$15,0,0,$B$14,1)) + $B$18/($B$19*$B$19*($DN171&lt;&gt;$DO171) + $B$19*($DN171=$DO171))</f>
        <v>3.7037037037037035E-4</v>
      </c>
      <c r="DQ171" s="10" cm="1">
        <f t="array" aca="1" ref="DQ171" ca="1">(1-$B$18)*SUMPRODUCT(OFFSET($BO$15,0,0,$B$14,1), 1*(_xlfn._xlws.FILTER(OFFSET($O$15,0,$DN171,$B$8,1),OFFSET($M$15,0,0,$B$8,1))=DQ$13), 1*(_xlfn._xlws.FILTER(OFFSET($O$15,0,$DO171,$B$8,1),OFFSET($M$15,0,0,$B$8,1))=DQ$14))   /   SUM(OFFSET($BO$15,0,0,$B$14,1)) + $B$18/($B$19*$B$19*($DN171&lt;&gt;$DO171) + $B$19*($DN171=$DO171))</f>
        <v>3.7037037037037035E-4</v>
      </c>
      <c r="DR171" s="10" cm="1">
        <f t="array" aca="1" ref="DR171" ca="1">(1-$B$18)*SUMPRODUCT(OFFSET($BO$15,0,0,$B$14,1), 1*(_xlfn._xlws.FILTER(OFFSET($O$15,0,$DN171,$B$8,1),OFFSET($M$15,0,0,$B$8,1))=DR$13), 1*(_xlfn._xlws.FILTER(OFFSET($O$15,0,$DO171,$B$8,1),OFFSET($M$15,0,0,$B$8,1))=DR$14))   /   SUM(OFFSET($BO$15,0,0,$B$14,1)) + $B$18/($B$19*$B$19*($DN171&lt;&gt;$DO171) + $B$19*($DN171=$DO171))</f>
        <v>3.7037037037037035E-4</v>
      </c>
      <c r="DS171" s="10" cm="1">
        <f t="array" aca="1" ref="DS171" ca="1">(1-$B$18)*SUMPRODUCT(OFFSET($BO$15,0,0,$B$14,1), 1*(_xlfn._xlws.FILTER(OFFSET($O$15,0,$DN171,$B$8,1),OFFSET($M$15,0,0,$B$8,1))=DS$13), 1*(_xlfn._xlws.FILTER(OFFSET($O$15,0,$DO171,$B$8,1),OFFSET($M$15,0,0,$B$8,1))=DS$14))   /   SUM(OFFSET($BO$15,0,0,$B$14,1)) + $B$18/($B$19*$B$19*($DN171&lt;&gt;$DO171) + $B$19*($DN171=$DO171))</f>
        <v>3.7037037037037035E-4</v>
      </c>
      <c r="DT171" s="10" cm="1">
        <f t="array" aca="1" ref="DT171" ca="1">(1-$B$18)*SUMPRODUCT(OFFSET($BO$15,0,0,$B$14,1), 1*(_xlfn._xlws.FILTER(OFFSET($O$15,0,$DN171,$B$8,1),OFFSET($M$15,0,0,$B$8,1))=DT$13), 1*(_xlfn._xlws.FILTER(OFFSET($O$15,0,$DO171,$B$8,1),OFFSET($M$15,0,0,$B$8,1))=DT$14))   /   SUM(OFFSET($BO$15,0,0,$B$14,1)) + $B$18/($B$19*$B$19*($DN171&lt;&gt;$DO171) + $B$19*($DN171=$DO171))</f>
        <v>3.7037037037037035E-4</v>
      </c>
      <c r="DU171" s="10" cm="1">
        <f t="array" aca="1" ref="DU171" ca="1">(1-$B$18)*SUMPRODUCT(OFFSET($BO$15,0,0,$B$14,1), 1*(_xlfn._xlws.FILTER(OFFSET($O$15,0,$DN171,$B$8,1),OFFSET($M$15,0,0,$B$8,1))=DU$13), 1*(_xlfn._xlws.FILTER(OFFSET($O$15,0,$DO171,$B$8,1),OFFSET($M$15,0,0,$B$8,1))=DU$14))   /   SUM(OFFSET($BO$15,0,0,$B$14,1)) + $B$18/($B$19*$B$19*($DN171&lt;&gt;$DO171) + $B$19*($DN171=$DO171))</f>
        <v>3.7037037037037035E-4</v>
      </c>
      <c r="DV171" s="10" cm="1">
        <f t="array" aca="1" ref="DV171" ca="1">(1-$B$18)*SUMPRODUCT(OFFSET($BO$15,0,0,$B$14,1), 1*(_xlfn._xlws.FILTER(OFFSET($O$15,0,$DN171,$B$8,1),OFFSET($M$15,0,0,$B$8,1))=DV$13), 1*(_xlfn._xlws.FILTER(OFFSET($O$15,0,$DO171,$B$8,1),OFFSET($M$15,0,0,$B$8,1))=DV$14))   /   SUM(OFFSET($BO$15,0,0,$B$14,1)) + $B$18/($B$19*$B$19*($DN171&lt;&gt;$DO171) + $B$19*($DN171=$DO171))</f>
        <v>3.7037037037037035E-4</v>
      </c>
      <c r="DW171" s="10" cm="1">
        <f t="array" aca="1" ref="DW171" ca="1">(1-$B$18)*SUMPRODUCT(OFFSET($BO$15,0,0,$B$14,1), 1*(_xlfn._xlws.FILTER(OFFSET($O$15,0,$DN171,$B$8,1),OFFSET($M$15,0,0,$B$8,1))=DW$13), 1*(_xlfn._xlws.FILTER(OFFSET($O$15,0,$DO171,$B$8,1),OFFSET($M$15,0,0,$B$8,1))=DW$14))   /   SUM(OFFSET($BO$15,0,0,$B$14,1)) + $B$18/($B$19*$B$19*($DN171&lt;&gt;$DO171) + $B$19*($DN171=$DO171))</f>
        <v>3.7037037037037035E-4</v>
      </c>
      <c r="DX171" s="10" cm="1">
        <f t="array" aca="1" ref="DX171" ca="1">(1-$B$18)*SUMPRODUCT(OFFSET($BO$15,0,0,$B$14,1), 1*(_xlfn._xlws.FILTER(OFFSET($O$15,0,$DN171,$B$8,1),OFFSET($M$15,0,0,$B$8,1))=DX$13), 1*(_xlfn._xlws.FILTER(OFFSET($O$15,0,$DO171,$B$8,1),OFFSET($M$15,0,0,$B$8,1))=DX$14))   /   SUM(OFFSET($BO$15,0,0,$B$14,1)) + $B$18/($B$19*$B$19*($DN171&lt;&gt;$DO171) + $B$19*($DN171=$DO171))</f>
        <v>3.7037037037037035E-4</v>
      </c>
      <c r="DY171" s="10" cm="1">
        <f t="array" aca="1" ref="DY171" ca="1">(1-$B$18)*SUMPRODUCT(OFFSET($BO$15,0,0,$B$14,1), 1*(_xlfn._xlws.FILTER(OFFSET($O$15,0,$DN171,$B$8,1),OFFSET($M$15,0,0,$B$8,1))=DY$13), 1*(_xlfn._xlws.FILTER(OFFSET($O$15,0,$DO171,$B$8,1),OFFSET($M$15,0,0,$B$8,1))=DY$14))   /   SUM(OFFSET($BO$15,0,0,$B$14,1)) + $B$18/($B$19*$B$19*($DN171&lt;&gt;$DO171) + $B$19*($DN171=$DO171))</f>
        <v>3.7037037037037035E-4</v>
      </c>
      <c r="DZ171" s="10" cm="1">
        <f t="array" aca="1" ref="DZ171" ca="1">(1-$B$18)*SUMPRODUCT(OFFSET($BO$15,0,0,$B$14,1), 1*(_xlfn._xlws.FILTER(OFFSET($O$15,0,$DN171,$B$8,1),OFFSET($M$15,0,0,$B$8,1))=DZ$13), 1*(_xlfn._xlws.FILTER(OFFSET($O$15,0,$DO171,$B$8,1),OFFSET($M$15,0,0,$B$8,1))=DZ$14))   /   SUM(OFFSET($BO$15,0,0,$B$14,1)) + $B$18/($B$19*$B$19*($DN171&lt;&gt;$DO171) + $B$19*($DN171=$DO171))</f>
        <v>3.7037037037037035E-4</v>
      </c>
      <c r="EA171" s="10" cm="1">
        <f t="array" aca="1" ref="EA171" ca="1">(1-$B$18)*SUMPRODUCT(OFFSET($BO$15,0,0,$B$14,1), 1*(_xlfn._xlws.FILTER(OFFSET($O$15,0,$DN171,$B$8,1),OFFSET($M$15,0,0,$B$8,1))=EA$13), 1*(_xlfn._xlws.FILTER(OFFSET($O$15,0,$DO171,$B$8,1),OFFSET($M$15,0,0,$B$8,1))=EA$14))   /   SUM(OFFSET($BO$15,0,0,$B$14,1)) + $B$18/($B$19*$B$19*($DN171&lt;&gt;$DO171) + $B$19*($DN171=$DO171))</f>
        <v>3.7037037037037035E-4</v>
      </c>
      <c r="EB171" s="10" cm="1">
        <f t="array" aca="1" ref="EB171" ca="1">(1-$B$18)*SUMPRODUCT(OFFSET($BO$15,0,0,$B$14,1), 1*(_xlfn._xlws.FILTER(OFFSET($O$15,0,$DN171,$B$8,1),OFFSET($M$15,0,0,$B$8,1))=EB$13), 1*(_xlfn._xlws.FILTER(OFFSET($O$15,0,$DO171,$B$8,1),OFFSET($M$15,0,0,$B$8,1))=EB$14))   /   SUM(OFFSET($BO$15,0,0,$B$14,1)) + $B$18/($B$19*$B$19*($DN171&lt;&gt;$DO171) + $B$19*($DN171=$DO171))</f>
        <v>3.7037037037037035E-4</v>
      </c>
      <c r="EC171" s="10" cm="1">
        <f t="array" aca="1" ref="EC171" ca="1">(1-$B$18)*SUMPRODUCT(OFFSET($BO$15,0,0,$B$14,1), 1*(_xlfn._xlws.FILTER(OFFSET($O$15,0,$DN171,$B$8,1),OFFSET($M$15,0,0,$B$8,1))=EC$13), 1*(_xlfn._xlws.FILTER(OFFSET($O$15,0,$DO171,$B$8,1),OFFSET($M$15,0,0,$B$8,1))=EC$14))   /   SUM(OFFSET($BO$15,0,0,$B$14,1)) + $B$18/($B$19*$B$19*($DN171&lt;&gt;$DO171) + $B$19*($DN171=$DO171))</f>
        <v>3.7037037037037035E-4</v>
      </c>
      <c r="ED171" s="10" cm="1">
        <f t="array" aca="1" ref="ED171" ca="1">(1-$B$18)*SUMPRODUCT(OFFSET($BO$15,0,0,$B$14,1), 1*(_xlfn._xlws.FILTER(OFFSET($O$15,0,$DN171,$B$8,1),OFFSET($M$15,0,0,$B$8,1))=ED$13), 1*(_xlfn._xlws.FILTER(OFFSET($O$15,0,$DO171,$B$8,1),OFFSET($M$15,0,0,$B$8,1))=ED$14))   /   SUM(OFFSET($BO$15,0,0,$B$14,1)) + $B$18/($B$19*$B$19*($DN171&lt;&gt;$DO171) + $B$19*($DN171=$DO171))</f>
        <v>3.7037037037037035E-4</v>
      </c>
      <c r="EE171" s="10" cm="1">
        <f t="array" aca="1" ref="EE171" ca="1">(1-$B$18)*SUMPRODUCT(OFFSET($BO$15,0,0,$B$14,1), 1*(_xlfn._xlws.FILTER(OFFSET($O$15,0,$DN171,$B$8,1),OFFSET($M$15,0,0,$B$8,1))=EE$13), 1*(_xlfn._xlws.FILTER(OFFSET($O$15,0,$DO171,$B$8,1),OFFSET($M$15,0,0,$B$8,1))=EE$14))   /   SUM(OFFSET($BO$15,0,0,$B$14,1)) + $B$18/($B$19*$B$19*($DN171&lt;&gt;$DO171) + $B$19*($DN171=$DO171))</f>
        <v>3.7037037037037035E-4</v>
      </c>
      <c r="EF171" s="10" cm="1">
        <f t="array" aca="1" ref="EF171" ca="1">(1-$B$18)*SUMPRODUCT(OFFSET($BO$15,0,0,$B$14,1), 1*(_xlfn._xlws.FILTER(OFFSET($O$15,0,$DN171,$B$8,1),OFFSET($M$15,0,0,$B$8,1))=EF$13), 1*(_xlfn._xlws.FILTER(OFFSET($O$15,0,$DO171,$B$8,1),OFFSET($M$15,0,0,$B$8,1))=EF$14))   /   SUM(OFFSET($BO$15,0,0,$B$14,1)) + $B$18/($B$19*$B$19*($DN171&lt;&gt;$DO171) + $B$19*($DN171=$DO171))</f>
        <v>3.7037037037037035E-4</v>
      </c>
      <c r="EG171" s="10" cm="1">
        <f t="array" aca="1" ref="EG171" ca="1">(1-$B$18)*SUMPRODUCT(OFFSET($BO$15,0,0,$B$14,1), 1*(_xlfn._xlws.FILTER(OFFSET($O$15,0,$DN171,$B$8,1),OFFSET($M$15,0,0,$B$8,1))=EG$13), 1*(_xlfn._xlws.FILTER(OFFSET($O$15,0,$DO171,$B$8,1),OFFSET($M$15,0,0,$B$8,1))=EG$14))   /   SUM(OFFSET($BO$15,0,0,$B$14,1)) + $B$18/($B$19*$B$19*($DN171&lt;&gt;$DO171) + $B$19*($DN171=$DO171))</f>
        <v>3.7037037037037035E-4</v>
      </c>
      <c r="EH171" s="10" cm="1">
        <f t="array" aca="1" ref="EH171" ca="1">(1-$B$18)*SUMPRODUCT(OFFSET($BO$15,0,0,$B$14,1), 1*(_xlfn._xlws.FILTER(OFFSET($O$15,0,$DN171,$B$8,1),OFFSET($M$15,0,0,$B$8,1))=EH$13), 1*(_xlfn._xlws.FILTER(OFFSET($O$15,0,$DO171,$B$8,1),OFFSET($M$15,0,0,$B$8,1))=EH$14))   /   SUM(OFFSET($BO$15,0,0,$B$14,1)) + $B$18/($B$19*$B$19*($DN171&lt;&gt;$DO171) + $B$19*($DN171=$DO171))</f>
        <v>3.7037037037037035E-4</v>
      </c>
      <c r="EI171" s="10" cm="1">
        <f t="array" aca="1" ref="EI171" ca="1">(1-$B$18)*SUMPRODUCT(OFFSET($BO$15,0,0,$B$14,1), 1*(_xlfn._xlws.FILTER(OFFSET($O$15,0,$DN171,$B$8,1),OFFSET($M$15,0,0,$B$8,1))=EI$13), 1*(_xlfn._xlws.FILTER(OFFSET($O$15,0,$DO171,$B$8,1),OFFSET($M$15,0,0,$B$8,1))=EI$14))   /   SUM(OFFSET($BO$15,0,0,$B$14,1)) + $B$18/($B$19*$B$19*($DN171&lt;&gt;$DO171) + $B$19*($DN171=$DO171))</f>
        <v>3.7037037037037035E-4</v>
      </c>
      <c r="EJ171" s="10" cm="1">
        <f t="array" aca="1" ref="EJ171" ca="1">(1-$B$18)*SUMPRODUCT(OFFSET($BO$15,0,0,$B$14,1), 1*(_xlfn._xlws.FILTER(OFFSET($O$15,0,$DN171,$B$8,1),OFFSET($M$15,0,0,$B$8,1))=EJ$13), 1*(_xlfn._xlws.FILTER(OFFSET($O$15,0,$DO171,$B$8,1),OFFSET($M$15,0,0,$B$8,1))=EJ$14))   /   SUM(OFFSET($BO$15,0,0,$B$14,1)) + $B$18/($B$19*$B$19*($DN171&lt;&gt;$DO171) + $B$19*($DN171=$DO171))</f>
        <v>3.7037037037037035E-4</v>
      </c>
      <c r="EK171" s="10" cm="1">
        <f t="array" aca="1" ref="EK171" ca="1">(1-$B$18)*SUMPRODUCT(OFFSET($BO$15,0,0,$B$14,1), 1*(_xlfn._xlws.FILTER(OFFSET($O$15,0,$DN171,$B$8,1),OFFSET($M$15,0,0,$B$8,1))=EK$13), 1*(_xlfn._xlws.FILTER(OFFSET($O$15,0,$DO171,$B$8,1),OFFSET($M$15,0,0,$B$8,1))=EK$14))   /   SUM(OFFSET($BO$15,0,0,$B$14,1)) + $B$18/($B$19*$B$19*($DN171&lt;&gt;$DO171) + $B$19*($DN171=$DO171))</f>
        <v>3.7037037037037035E-4</v>
      </c>
      <c r="EL171" s="10" cm="1">
        <f t="array" aca="1" ref="EL171" ca="1">(1-$B$18)*SUMPRODUCT(OFFSET($BO$15,0,0,$B$14,1), 1*(_xlfn._xlws.FILTER(OFFSET($O$15,0,$DN171,$B$8,1),OFFSET($M$15,0,0,$B$8,1))=EL$13), 1*(_xlfn._xlws.FILTER(OFFSET($O$15,0,$DO171,$B$8,1),OFFSET($M$15,0,0,$B$8,1))=EL$14))   /   SUM(OFFSET($BO$15,0,0,$B$14,1)) + $B$18/($B$19*$B$19*($DN171&lt;&gt;$DO171) + $B$19*($DN171=$DO171))</f>
        <v>3.7037037037037035E-4</v>
      </c>
      <c r="EM171" s="10" cm="1">
        <f t="array" aca="1" ref="EM171" ca="1">(1-$B$18)*SUMPRODUCT(OFFSET($BO$15,0,0,$B$14,1), 1*(_xlfn._xlws.FILTER(OFFSET($O$15,0,$DN171,$B$8,1),OFFSET($M$15,0,0,$B$8,1))=EM$13), 1*(_xlfn._xlws.FILTER(OFFSET($O$15,0,$DO171,$B$8,1),OFFSET($M$15,0,0,$B$8,1))=EM$14))   /   SUM(OFFSET($BO$15,0,0,$B$14,1)) + $B$18/($B$19*$B$19*($DN171&lt;&gt;$DO171) + $B$19*($DN171=$DO171))</f>
        <v>3.7037037037037035E-4</v>
      </c>
      <c r="EN171" s="10" cm="1">
        <f t="array" aca="1" ref="EN171" ca="1">(1-$B$18)*SUMPRODUCT(OFFSET($BO$15,0,0,$B$14,1), 1*(_xlfn._xlws.FILTER(OFFSET($O$15,0,$DN171,$B$8,1),OFFSET($M$15,0,0,$B$8,1))=EN$13), 1*(_xlfn._xlws.FILTER(OFFSET($O$15,0,$DO171,$B$8,1),OFFSET($M$15,0,0,$B$8,1))=EN$14))   /   SUM(OFFSET($BO$15,0,0,$B$14,1)) + $B$18/($B$19*$B$19*($DN171&lt;&gt;$DO171) + $B$19*($DN171=$DO171))</f>
        <v>3.7037037037037035E-4</v>
      </c>
      <c r="EO171" s="10" cm="1">
        <f t="array" aca="1" ref="EO171" ca="1">(1-$B$18)*SUMPRODUCT(OFFSET($BO$15,0,0,$B$14,1), 1*(_xlfn._xlws.FILTER(OFFSET($O$15,0,$DN171,$B$8,1),OFFSET($M$15,0,0,$B$8,1))=EO$13), 1*(_xlfn._xlws.FILTER(OFFSET($O$15,0,$DO171,$B$8,1),OFFSET($M$15,0,0,$B$8,1))=EO$14))   /   SUM(OFFSET($BO$15,0,0,$B$14,1)) + $B$18/($B$19*$B$19*($DN171&lt;&gt;$DO171) + $B$19*($DN171=$DO171))</f>
        <v>3.7037037037037035E-4</v>
      </c>
      <c r="EP171" s="10" cm="1">
        <f t="array" aca="1" ref="EP171" ca="1">(1-$B$18)*SUMPRODUCT(OFFSET($BO$15,0,0,$B$14,1), 1*(_xlfn._xlws.FILTER(OFFSET($O$15,0,$DN171,$B$8,1),OFFSET($M$15,0,0,$B$8,1))=EP$13), 1*(_xlfn._xlws.FILTER(OFFSET($O$15,0,$DO171,$B$8,1),OFFSET($M$15,0,0,$B$8,1))=EP$14))   /   SUM(OFFSET($BO$15,0,0,$B$14,1)) + $B$18/($B$19*$B$19*($DN171&lt;&gt;$DO171) + $B$19*($DN171=$DO171))</f>
        <v>3.7037037037037035E-4</v>
      </c>
      <c r="EQ171" s="10" cm="1">
        <f t="array" aca="1" ref="EQ171" ca="1">(1-$B$18)*SUMPRODUCT(OFFSET($BO$15,0,0,$B$14,1), 1*(_xlfn._xlws.FILTER(OFFSET($O$15,0,$DN171,$B$8,1),OFFSET($M$15,0,0,$B$8,1))=EQ$13), 1*(_xlfn._xlws.FILTER(OFFSET($O$15,0,$DO171,$B$8,1),OFFSET($M$15,0,0,$B$8,1))=EQ$14))   /   SUM(OFFSET($BO$15,0,0,$B$14,1)) + $B$18/($B$19*$B$19*($DN171&lt;&gt;$DO171) + $B$19*($DN171=$DO171))</f>
        <v>3.7037037037037035E-4</v>
      </c>
      <c r="ER171" s="10" cm="1">
        <f t="array" aca="1" ref="ER171" ca="1">(1-$B$18)*SUMPRODUCT(OFFSET($BO$15,0,0,$B$14,1), 1*(_xlfn._xlws.FILTER(OFFSET($O$15,0,$DN171,$B$8,1),OFFSET($M$15,0,0,$B$8,1))=ER$13), 1*(_xlfn._xlws.FILTER(OFFSET($O$15,0,$DO171,$B$8,1),OFFSET($M$15,0,0,$B$8,1))=ER$14))   /   SUM(OFFSET($BO$15,0,0,$B$14,1)) + $B$18/($B$19*$B$19*($DN171&lt;&gt;$DO171) + $B$19*($DN171=$DO171))</f>
        <v>3.7037037037037035E-4</v>
      </c>
      <c r="ES171" s="10" cm="1">
        <f t="array" aca="1" ref="ES171" ca="1">(1-$B$18)*SUMPRODUCT(OFFSET($BO$15,0,0,$B$14,1), 1*(_xlfn._xlws.FILTER(OFFSET($O$15,0,$DN171,$B$8,1),OFFSET($M$15,0,0,$B$8,1))=ES$13), 1*(_xlfn._xlws.FILTER(OFFSET($O$15,0,$DO171,$B$8,1),OFFSET($M$15,0,0,$B$8,1))=ES$14))   /   SUM(OFFSET($BO$15,0,0,$B$14,1)) + $B$18/($B$19*$B$19*($DN171&lt;&gt;$DO171) + $B$19*($DN171=$DO171))</f>
        <v>3.7037037037037035E-4</v>
      </c>
      <c r="ET171" s="10" cm="1">
        <f t="array" aca="1" ref="ET171" ca="1">(1-$B$18)*SUMPRODUCT(OFFSET($BO$15,0,0,$B$14,1), 1*(_xlfn._xlws.FILTER(OFFSET($O$15,0,$DN171,$B$8,1),OFFSET($M$15,0,0,$B$8,1))=ET$13), 1*(_xlfn._xlws.FILTER(OFFSET($O$15,0,$DO171,$B$8,1),OFFSET($M$15,0,0,$B$8,1))=ET$14))   /   SUM(OFFSET($BO$15,0,0,$B$14,1)) + $B$18/($B$19*$B$19*($DN171&lt;&gt;$DO171) + $B$19*($DN171=$DO171))</f>
        <v>3.7037037037037035E-4</v>
      </c>
      <c r="EU171" s="10" cm="1">
        <f t="array" aca="1" ref="EU171" ca="1">(1-$B$18)*SUMPRODUCT(OFFSET($BO$15,0,0,$B$14,1), 1*(_xlfn._xlws.FILTER(OFFSET($O$15,0,$DN171,$B$8,1),OFFSET($M$15,0,0,$B$8,1))=EU$13), 1*(_xlfn._xlws.FILTER(OFFSET($O$15,0,$DO171,$B$8,1),OFFSET($M$15,0,0,$B$8,1))=EU$14))   /   SUM(OFFSET($BO$15,0,0,$B$14,1)) + $B$18/($B$19*$B$19*($DN171&lt;&gt;$DO171) + $B$19*($DN171=$DO171))</f>
        <v>3.7037037037037035E-4</v>
      </c>
      <c r="EV171" s="10" cm="1">
        <f t="array" aca="1" ref="EV171" ca="1">(1-$B$18)*SUMPRODUCT(OFFSET($BO$15,0,0,$B$14,1), 1*(_xlfn._xlws.FILTER(OFFSET($O$15,0,$DN171,$B$8,1),OFFSET($M$15,0,0,$B$8,1))=EV$13), 1*(_xlfn._xlws.FILTER(OFFSET($O$15,0,$DO171,$B$8,1),OFFSET($M$15,0,0,$B$8,1))=EV$14))   /   SUM(OFFSET($BO$15,0,0,$B$14,1)) + $B$18/($B$19*$B$19*($DN171&lt;&gt;$DO171) + $B$19*($DN171=$DO171))</f>
        <v>3.7037037037037035E-4</v>
      </c>
      <c r="EW171" s="10" cm="1">
        <f t="array" aca="1" ref="EW171" ca="1">(1-$B$18)*SUMPRODUCT(OFFSET($BO$15,0,0,$B$14,1), 1*(_xlfn._xlws.FILTER(OFFSET($O$15,0,$DN171,$B$8,1),OFFSET($M$15,0,0,$B$8,1))=EW$13), 1*(_xlfn._xlws.FILTER(OFFSET($O$15,0,$DO171,$B$8,1),OFFSET($M$15,0,0,$B$8,1))=EW$14))   /   SUM(OFFSET($BO$15,0,0,$B$14,1)) + $B$18/($B$19*$B$19*($DN171&lt;&gt;$DO171) + $B$19*($DN171=$DO171))</f>
        <v>3.7037037037037035E-4</v>
      </c>
      <c r="EX171" s="10" cm="1">
        <f t="array" aca="1" ref="EX171" ca="1">(1-$B$18)*SUMPRODUCT(OFFSET($BO$15,0,0,$B$14,1), 1*(_xlfn._xlws.FILTER(OFFSET($O$15,0,$DN171,$B$8,1),OFFSET($M$15,0,0,$B$8,1))=EX$13), 1*(_xlfn._xlws.FILTER(OFFSET($O$15,0,$DO171,$B$8,1),OFFSET($M$15,0,0,$B$8,1))=EX$14))   /   SUM(OFFSET($BO$15,0,0,$B$14,1)) + $B$18/($B$19*$B$19*($DN171&lt;&gt;$DO171) + $B$19*($DN171=$DO171))</f>
        <v>3.7037037037037035E-4</v>
      </c>
      <c r="EY171" s="10" cm="1">
        <f t="array" aca="1" ref="EY171" ca="1">(1-$B$18)*SUMPRODUCT(OFFSET($BO$15,0,0,$B$14,1), 1*(_xlfn._xlws.FILTER(OFFSET($O$15,0,$DN171,$B$8,1),OFFSET($M$15,0,0,$B$8,1))=EY$13), 1*(_xlfn._xlws.FILTER(OFFSET($O$15,0,$DO171,$B$8,1),OFFSET($M$15,0,0,$B$8,1))=EY$14))   /   SUM(OFFSET($BO$15,0,0,$B$14,1)) + $B$18/($B$19*$B$19*($DN171&lt;&gt;$DO171) + $B$19*($DN171=$DO171))</f>
        <v>3.7037037037037035E-4</v>
      </c>
      <c r="EZ171" s="10" cm="1">
        <f t="array" aca="1" ref="EZ171" ca="1">(1-$B$18)*SUMPRODUCT(OFFSET($BO$15,0,0,$B$14,1), 1*(_xlfn._xlws.FILTER(OFFSET($O$15,0,$DN171,$B$8,1),OFFSET($M$15,0,0,$B$8,1))=EZ$13), 1*(_xlfn._xlws.FILTER(OFFSET($O$15,0,$DO171,$B$8,1),OFFSET($M$15,0,0,$B$8,1))=EZ$14))   /   SUM(OFFSET($BO$15,0,0,$B$14,1)) + $B$18/($B$19*$B$19*($DN171&lt;&gt;$DO171) + $B$19*($DN171=$DO171))</f>
        <v>3.7037037037037035E-4</v>
      </c>
      <c r="FA171" s="10" cm="1">
        <f t="array" aca="1" ref="FA171" ca="1">(1-$B$18)*SUMPRODUCT(OFFSET($BO$15,0,0,$B$14,1), 1*(_xlfn._xlws.FILTER(OFFSET($O$15,0,$DN171,$B$8,1),OFFSET($M$15,0,0,$B$8,1))=FA$13), 1*(_xlfn._xlws.FILTER(OFFSET($O$15,0,$DO171,$B$8,1),OFFSET($M$15,0,0,$B$8,1))=FA$14))   /   SUM(OFFSET($BO$15,0,0,$B$14,1)) + $B$18/($B$19*$B$19*($DN171&lt;&gt;$DO171) + $B$19*($DN171=$DO171))</f>
        <v>3.7037037037037035E-4</v>
      </c>
      <c r="FB171" s="10" cm="1">
        <f t="array" aca="1" ref="FB171" ca="1">(1-$B$18)*SUMPRODUCT(OFFSET($BO$15,0,0,$B$14,1), 1*(_xlfn._xlws.FILTER(OFFSET($O$15,0,$DN171,$B$8,1),OFFSET($M$15,0,0,$B$8,1))=FB$13), 1*(_xlfn._xlws.FILTER(OFFSET($O$15,0,$DO171,$B$8,1),OFFSET($M$15,0,0,$B$8,1))=FB$14))   /   SUM(OFFSET($BO$15,0,0,$B$14,1)) + $B$18/($B$19*$B$19*($DN171&lt;&gt;$DO171) + $B$19*($DN171=$DO171))</f>
        <v>3.7037037037037035E-4</v>
      </c>
      <c r="FC171" s="10" cm="1">
        <f t="array" aca="1" ref="FC171" ca="1">(1-$B$18)*SUMPRODUCT(OFFSET($BO$15,0,0,$B$14,1), 1*(_xlfn._xlws.FILTER(OFFSET($O$15,0,$DN171,$B$8,1),OFFSET($M$15,0,0,$B$8,1))=FC$13), 1*(_xlfn._xlws.FILTER(OFFSET($O$15,0,$DO171,$B$8,1),OFFSET($M$15,0,0,$B$8,1))=FC$14))   /   SUM(OFFSET($BO$15,0,0,$B$14,1)) + $B$18/($B$19*$B$19*($DN171&lt;&gt;$DO171) + $B$19*($DN171=$DO171))</f>
        <v>3.7037037037037035E-4</v>
      </c>
      <c r="FD171" s="10" cm="1">
        <f t="array" aca="1" ref="FD171" ca="1">(1-$B$18)*SUMPRODUCT(OFFSET($BO$15,0,0,$B$14,1), 1*(_xlfn._xlws.FILTER(OFFSET($O$15,0,$DN171,$B$8,1),OFFSET($M$15,0,0,$B$8,1))=FD$13), 1*(_xlfn._xlws.FILTER(OFFSET($O$15,0,$DO171,$B$8,1),OFFSET($M$15,0,0,$B$8,1))=FD$14))   /   SUM(OFFSET($BO$15,0,0,$B$14,1)) + $B$18/($B$19*$B$19*($DN171&lt;&gt;$DO171) + $B$19*($DN171=$DO171))</f>
        <v>3.7037037037037035E-4</v>
      </c>
      <c r="FE171" s="10" cm="1">
        <f t="array" aca="1" ref="FE171" ca="1">(1-$B$18)*SUMPRODUCT(OFFSET($BO$15,0,0,$B$14,1), 1*(_xlfn._xlws.FILTER(OFFSET($O$15,0,$DN171,$B$8,1),OFFSET($M$15,0,0,$B$8,1))=FE$13), 1*(_xlfn._xlws.FILTER(OFFSET($O$15,0,$DO171,$B$8,1),OFFSET($M$15,0,0,$B$8,1))=FE$14))   /   SUM(OFFSET($BO$15,0,0,$B$14,1)) + $B$18/($B$19*$B$19*($DN171&lt;&gt;$DO171) + $B$19*($DN171=$DO171))</f>
        <v>3.7037037037037035E-4</v>
      </c>
      <c r="FF171" s="10" cm="1">
        <f t="array" aca="1" ref="FF171" ca="1">(1-$B$18)*SUMPRODUCT(OFFSET($BO$15,0,0,$B$14,1), 1*(_xlfn._xlws.FILTER(OFFSET($O$15,0,$DN171,$B$8,1),OFFSET($M$15,0,0,$B$8,1))=FF$13), 1*(_xlfn._xlws.FILTER(OFFSET($O$15,0,$DO171,$B$8,1),OFFSET($M$15,0,0,$B$8,1))=FF$14))   /   SUM(OFFSET($BO$15,0,0,$B$14,1)) + $B$18/($B$19*$B$19*($DN171&lt;&gt;$DO171) + $B$19*($DN171=$DO171))</f>
        <v>3.7037037037037035E-4</v>
      </c>
      <c r="FG171" s="10" cm="1">
        <f t="array" aca="1" ref="FG171" ca="1">(1-$B$18)*SUMPRODUCT(OFFSET($BO$15,0,0,$B$14,1), 1*(_xlfn._xlws.FILTER(OFFSET($O$15,0,$DN171,$B$8,1),OFFSET($M$15,0,0,$B$8,1))=FG$13), 1*(_xlfn._xlws.FILTER(OFFSET($O$15,0,$DO171,$B$8,1),OFFSET($M$15,0,0,$B$8,1))=FG$14))   /   SUM(OFFSET($BO$15,0,0,$B$14,1)) + $B$18/($B$19*$B$19*($DN171&lt;&gt;$DO171) + $B$19*($DN171=$DO171))</f>
        <v>3.7037037037037035E-4</v>
      </c>
      <c r="FH171" s="10" cm="1">
        <f t="array" aca="1" ref="FH171" ca="1">(1-$B$18)*SUMPRODUCT(OFFSET($BO$15,0,0,$B$14,1), 1*(_xlfn._xlws.FILTER(OFFSET($O$15,0,$DN171,$B$8,1),OFFSET($M$15,0,0,$B$8,1))=FH$13), 1*(_xlfn._xlws.FILTER(OFFSET($O$15,0,$DO171,$B$8,1),OFFSET($M$15,0,0,$B$8,1))=FH$14))   /   SUM(OFFSET($BO$15,0,0,$B$14,1)) + $B$18/($B$19*$B$19*($DN171&lt;&gt;$DO171) + $B$19*($DN171=$DO171))</f>
        <v>3.7037037037037035E-4</v>
      </c>
      <c r="FI171" s="10" cm="1">
        <f t="array" aca="1" ref="FI171" ca="1">(1-$B$18)*SUMPRODUCT(OFFSET($BO$15,0,0,$B$14,1), 1*(_xlfn._xlws.FILTER(OFFSET($O$15,0,$DN171,$B$8,1),OFFSET($M$15,0,0,$B$8,1))=FI$13), 1*(_xlfn._xlws.FILTER(OFFSET($O$15,0,$DO171,$B$8,1),OFFSET($M$15,0,0,$B$8,1))=FI$14))   /   SUM(OFFSET($BO$15,0,0,$B$14,1)) + $B$18/($B$19*$B$19*($DN171&lt;&gt;$DO171) + $B$19*($DN171=$DO171))</f>
        <v>3.7037037037037035E-4</v>
      </c>
      <c r="FJ171" s="10" cm="1">
        <f t="array" aca="1" ref="FJ171" ca="1">(1-$B$18)*SUMPRODUCT(OFFSET($BO$15,0,0,$B$14,1), 1*(_xlfn._xlws.FILTER(OFFSET($O$15,0,$DN171,$B$8,1),OFFSET($M$15,0,0,$B$8,1))=FJ$13), 1*(_xlfn._xlws.FILTER(OFFSET($O$15,0,$DO171,$B$8,1),OFFSET($M$15,0,0,$B$8,1))=FJ$14))   /   SUM(OFFSET($BO$15,0,0,$B$14,1)) + $B$18/($B$19*$B$19*($DN171&lt;&gt;$DO171) + $B$19*($DN171=$DO171))</f>
        <v>3.7037037037037035E-4</v>
      </c>
      <c r="FK171" s="10" cm="1">
        <f t="array" aca="1" ref="FK171" ca="1">(1-$B$18)*SUMPRODUCT(OFFSET($BO$15,0,0,$B$14,1), 1*(_xlfn._xlws.FILTER(OFFSET($O$15,0,$DN171,$B$8,1),OFFSET($M$15,0,0,$B$8,1))=FK$13), 1*(_xlfn._xlws.FILTER(OFFSET($O$15,0,$DO171,$B$8,1),OFFSET($M$15,0,0,$B$8,1))=FK$14))   /   SUM(OFFSET($BO$15,0,0,$B$14,1)) + $B$18/($B$19*$B$19*($DN171&lt;&gt;$DO171) + $B$19*($DN171=$DO171))</f>
        <v>3.7037037037037035E-4</v>
      </c>
      <c r="FL171" s="10" cm="1">
        <f t="array" aca="1" ref="FL171" ca="1">(1-$B$18)*SUMPRODUCT(OFFSET($BO$15,0,0,$B$14,1), 1*(_xlfn._xlws.FILTER(OFFSET($O$15,0,$DN171,$B$8,1),OFFSET($M$15,0,0,$B$8,1))=FL$13), 1*(_xlfn._xlws.FILTER(OFFSET($O$15,0,$DO171,$B$8,1),OFFSET($M$15,0,0,$B$8,1))=FL$14))   /   SUM(OFFSET($BO$15,0,0,$B$14,1)) + $B$18/($B$19*$B$19*($DN171&lt;&gt;$DO171) + $B$19*($DN171=$DO171))</f>
        <v>3.7037037037037035E-4</v>
      </c>
      <c r="FM171" s="10" cm="1">
        <f t="array" aca="1" ref="FM171" ca="1">(1-$B$18)*SUMPRODUCT(OFFSET($BO$15,0,0,$B$14,1), 1*(_xlfn._xlws.FILTER(OFFSET($O$15,0,$DN171,$B$8,1),OFFSET($M$15,0,0,$B$8,1))=FM$13), 1*(_xlfn._xlws.FILTER(OFFSET($O$15,0,$DO171,$B$8,1),OFFSET($M$15,0,0,$B$8,1))=FM$14))   /   SUM(OFFSET($BO$15,0,0,$B$14,1)) + $B$18/($B$19*$B$19*($DN171&lt;&gt;$DO171) + $B$19*($DN171=$DO171))</f>
        <v>3.7037037037037035E-4</v>
      </c>
      <c r="FN171" s="10" cm="1">
        <f t="array" aca="1" ref="FN171" ca="1">(1-$B$18)*SUMPRODUCT(OFFSET($BO$15,0,0,$B$14,1), 1*(_xlfn._xlws.FILTER(OFFSET($O$15,0,$DN171,$B$8,1),OFFSET($M$15,0,0,$B$8,1))=FN$13), 1*(_xlfn._xlws.FILTER(OFFSET($O$15,0,$DO171,$B$8,1),OFFSET($M$15,0,0,$B$8,1))=FN$14))   /   SUM(OFFSET($BO$15,0,0,$B$14,1)) + $B$18/($B$19*$B$19*($DN171&lt;&gt;$DO171) + $B$19*($DN171=$DO171))</f>
        <v>3.7037037037037035E-4</v>
      </c>
      <c r="FO171" s="10" cm="1">
        <f t="array" aca="1" ref="FO171" ca="1">(1-$B$18)*SUMPRODUCT(OFFSET($BO$15,0,0,$B$14,1), 1*(_xlfn._xlws.FILTER(OFFSET($O$15,0,$DN171,$B$8,1),OFFSET($M$15,0,0,$B$8,1))=FO$13), 1*(_xlfn._xlws.FILTER(OFFSET($O$15,0,$DO171,$B$8,1),OFFSET($M$15,0,0,$B$8,1))=FO$14))   /   SUM(OFFSET($BO$15,0,0,$B$14,1)) + $B$18/($B$19*$B$19*($DN171&lt;&gt;$DO171) + $B$19*($DN171=$DO171))</f>
        <v>3.7037037037037035E-4</v>
      </c>
      <c r="FP171" s="10" cm="1">
        <f t="array" aca="1" ref="FP171" ca="1">(1-$B$18)*SUMPRODUCT(OFFSET($BO$15,0,0,$B$14,1), 1*(_xlfn._xlws.FILTER(OFFSET($O$15,0,$DN171,$B$8,1),OFFSET($M$15,0,0,$B$8,1))=FP$13), 1*(_xlfn._xlws.FILTER(OFFSET($O$15,0,$DO171,$B$8,1),OFFSET($M$15,0,0,$B$8,1))=FP$14))   /   SUM(OFFSET($BO$15,0,0,$B$14,1)) + $B$18/($B$19*$B$19*($DN171&lt;&gt;$DO171) + $B$19*($DN171=$DO171))</f>
        <v>3.7037037037037035E-4</v>
      </c>
      <c r="FQ171" s="10" cm="1">
        <f t="array" aca="1" ref="FQ171" ca="1">(1-$B$18)*SUMPRODUCT(OFFSET($BO$15,0,0,$B$14,1), 1*(_xlfn._xlws.FILTER(OFFSET($O$15,0,$DN171,$B$8,1),OFFSET($M$15,0,0,$B$8,1))=FQ$13), 1*(_xlfn._xlws.FILTER(OFFSET($O$15,0,$DO171,$B$8,1),OFFSET($M$15,0,0,$B$8,1))=FQ$14))   /   SUM(OFFSET($BO$15,0,0,$B$14,1)) + $B$18/($B$19*$B$19*($DN171&lt;&gt;$DO171) + $B$19*($DN171=$DO171))</f>
        <v>3.7037037037037035E-4</v>
      </c>
      <c r="FR171" s="10" cm="1">
        <f t="array" aca="1" ref="FR171" ca="1">(1-$B$18)*SUMPRODUCT(OFFSET($BO$15,0,0,$B$14,1), 1*(_xlfn._xlws.FILTER(OFFSET($O$15,0,$DN171,$B$8,1),OFFSET($M$15,0,0,$B$8,1))=FR$13), 1*(_xlfn._xlws.FILTER(OFFSET($O$15,0,$DO171,$B$8,1),OFFSET($M$15,0,0,$B$8,1))=FR$14))   /   SUM(OFFSET($BO$15,0,0,$B$14,1)) + $B$18/($B$19*$B$19*($DN171&lt;&gt;$DO171) + $B$19*($DN171=$DO171))</f>
        <v>0.97037037037037033</v>
      </c>
      <c r="FS171" s="10" cm="1">
        <f t="array" aca="1" ref="FS171" ca="1">(1-$B$18)*SUMPRODUCT(OFFSET($BO$15,0,0,$B$14,1), 1*(_xlfn._xlws.FILTER(OFFSET($O$15,0,$DN171,$B$8,1),OFFSET($M$15,0,0,$B$8,1))=FS$13), 1*(_xlfn._xlws.FILTER(OFFSET($O$15,0,$DO171,$B$8,1),OFFSET($M$15,0,0,$B$8,1))=FS$14))   /   SUM(OFFSET($BO$15,0,0,$B$14,1)) + $B$18/($B$19*$B$19*($DN171&lt;&gt;$DO171) + $B$19*($DN171=$DO171))</f>
        <v>3.7037037037037035E-4</v>
      </c>
      <c r="FT171" s="10" cm="1">
        <f t="array" aca="1" ref="FT171" ca="1">(1-$B$18)*SUMPRODUCT(OFFSET($BO$15,0,0,$B$14,1), 1*(_xlfn._xlws.FILTER(OFFSET($O$15,0,$DN171,$B$8,1),OFFSET($M$15,0,0,$B$8,1))=FT$13), 1*(_xlfn._xlws.FILTER(OFFSET($O$15,0,$DO171,$B$8,1),OFFSET($M$15,0,0,$B$8,1))=FT$14))   /   SUM(OFFSET($BO$15,0,0,$B$14,1)) + $B$18/($B$19*$B$19*($DN171&lt;&gt;$DO171) + $B$19*($DN171=$DO171))</f>
        <v>3.7037037037037035E-4</v>
      </c>
      <c r="FU171" s="10" cm="1">
        <f t="array" aca="1" ref="FU171" ca="1">(1-$B$18)*SUMPRODUCT(OFFSET($BO$15,0,0,$B$14,1), 1*(_xlfn._xlws.FILTER(OFFSET($O$15,0,$DN171,$B$8,1),OFFSET($M$15,0,0,$B$8,1))=FU$13), 1*(_xlfn._xlws.FILTER(OFFSET($O$15,0,$DO171,$B$8,1),OFFSET($M$15,0,0,$B$8,1))=FU$14))   /   SUM(OFFSET($BO$15,0,0,$B$14,1)) + $B$18/($B$19*$B$19*($DN171&lt;&gt;$DO171) + $B$19*($DN171=$DO171))</f>
        <v>3.7037037037037035E-4</v>
      </c>
      <c r="FV171" s="10" cm="1">
        <f t="array" aca="1" ref="FV171" ca="1">(1-$B$18)*SUMPRODUCT(OFFSET($BO$15,0,0,$B$14,1), 1*(_xlfn._xlws.FILTER(OFFSET($O$15,0,$DN171,$B$8,1),OFFSET($M$15,0,0,$B$8,1))=FV$13), 1*(_xlfn._xlws.FILTER(OFFSET($O$15,0,$DO171,$B$8,1),OFFSET($M$15,0,0,$B$8,1))=FV$14))   /   SUM(OFFSET($BO$15,0,0,$B$14,1)) + $B$18/($B$19*$B$19*($DN171&lt;&gt;$DO171) + $B$19*($DN171=$DO171))</f>
        <v>3.7037037037037035E-4</v>
      </c>
      <c r="FW171" s="10" cm="1">
        <f t="array" aca="1" ref="FW171" ca="1">(1-$B$18)*SUMPRODUCT(OFFSET($BO$15,0,0,$B$14,1), 1*(_xlfn._xlws.FILTER(OFFSET($O$15,0,$DN171,$B$8,1),OFFSET($M$15,0,0,$B$8,1))=FW$13), 1*(_xlfn._xlws.FILTER(OFFSET($O$15,0,$DO171,$B$8,1),OFFSET($M$15,0,0,$B$8,1))=FW$14))   /   SUM(OFFSET($BO$15,0,0,$B$14,1)) + $B$18/($B$19*$B$19*($DN171&lt;&gt;$DO171) + $B$19*($DN171=$DO171))</f>
        <v>3.7037037037037035E-4</v>
      </c>
      <c r="FX171" s="10" cm="1">
        <f t="array" aca="1" ref="FX171" ca="1">(1-$B$18)*SUMPRODUCT(OFFSET($BO$15,0,0,$B$14,1), 1*(_xlfn._xlws.FILTER(OFFSET($O$15,0,$DN171,$B$8,1),OFFSET($M$15,0,0,$B$8,1))=FX$13), 1*(_xlfn._xlws.FILTER(OFFSET($O$15,0,$DO171,$B$8,1),OFFSET($M$15,0,0,$B$8,1))=FX$14))   /   SUM(OFFSET($BO$15,0,0,$B$14,1)) + $B$18/($B$19*$B$19*($DN171&lt;&gt;$DO171) + $B$19*($DN171=$DO171))</f>
        <v>3.7037037037037035E-4</v>
      </c>
      <c r="FY171" s="10" cm="1">
        <f t="array" aca="1" ref="FY171" ca="1">(1-$B$18)*SUMPRODUCT(OFFSET($BO$15,0,0,$B$14,1), 1*(_xlfn._xlws.FILTER(OFFSET($O$15,0,$DN171,$B$8,1),OFFSET($M$15,0,0,$B$8,1))=FY$13), 1*(_xlfn._xlws.FILTER(OFFSET($O$15,0,$DO171,$B$8,1),OFFSET($M$15,0,0,$B$8,1))=FY$14))   /   SUM(OFFSET($BO$15,0,0,$B$14,1)) + $B$18/($B$19*$B$19*($DN171&lt;&gt;$DO171) + $B$19*($DN171=$DO171))</f>
        <v>3.7037037037037035E-4</v>
      </c>
      <c r="FZ171" s="10" cm="1">
        <f t="array" aca="1" ref="FZ171" ca="1">(1-$B$18)*SUMPRODUCT(OFFSET($BO$15,0,0,$B$14,1), 1*(_xlfn._xlws.FILTER(OFFSET($O$15,0,$DN171,$B$8,1),OFFSET($M$15,0,0,$B$8,1))=FZ$13), 1*(_xlfn._xlws.FILTER(OFFSET($O$15,0,$DO171,$B$8,1),OFFSET($M$15,0,0,$B$8,1))=FZ$14))   /   SUM(OFFSET($BO$15,0,0,$B$14,1)) + $B$18/($B$19*$B$19*($DN171&lt;&gt;$DO171) + $B$19*($DN171=$DO171))</f>
        <v>3.7037037037037035E-4</v>
      </c>
      <c r="GA171" s="10" cm="1">
        <f t="array" aca="1" ref="GA171" ca="1">(1-$B$18)*SUMPRODUCT(OFFSET($BO$15,0,0,$B$14,1), 1*(_xlfn._xlws.FILTER(OFFSET($O$15,0,$DN171,$B$8,1),OFFSET($M$15,0,0,$B$8,1))=GA$13), 1*(_xlfn._xlws.FILTER(OFFSET($O$15,0,$DO171,$B$8,1),OFFSET($M$15,0,0,$B$8,1))=GA$14))   /   SUM(OFFSET($BO$15,0,0,$B$14,1)) + $B$18/($B$19*$B$19*($DN171&lt;&gt;$DO171) + $B$19*($DN171=$DO171))</f>
        <v>3.7037037037037035E-4</v>
      </c>
    </row>
    <row r="172" spans="118:183" x14ac:dyDescent="0.2">
      <c r="DN172" cm="1">
        <f t="array" aca="1" ref="DN172" ca="1">INDEX(_xlfn.ANCHORARRAY($CP$15), 1 + INT((ROWS($DO$15:$DO172) - 1) / ROWS(_xlfn.ANCHORARRAY($CP$15))))</f>
        <v>8</v>
      </c>
      <c r="DO172" cm="1">
        <f t="array" aca="1" ref="DO172" ca="1">INDEX(_xlfn.ANCHORARRAY($CP$15),1+MOD(ROWS($DO$15:$DO172)-1,ROWS(_xlfn.ANCHORARRAY($CP$15))))</f>
        <v>5</v>
      </c>
      <c r="DP172" s="10" cm="1">
        <f t="array" aca="1" ref="DP172" ca="1">(1-$B$18)*SUMPRODUCT(OFFSET($BO$15,0,0,$B$14,1), 1*(_xlfn._xlws.FILTER(OFFSET($O$15,0,$DN172,$B$8,1),OFFSET($M$15,0,0,$B$8,1))=DP$13), 1*(_xlfn._xlws.FILTER(OFFSET($O$15,0,$DO172,$B$8,1),OFFSET($M$15,0,0,$B$8,1))=DP$14))   /   SUM(OFFSET($BO$15,0,0,$B$14,1)) + $B$18/($B$19*$B$19*($DN172&lt;&gt;$DO172) + $B$19*($DN172=$DO172))</f>
        <v>3.7037037037037035E-4</v>
      </c>
      <c r="DQ172" s="10" cm="1">
        <f t="array" aca="1" ref="DQ172" ca="1">(1-$B$18)*SUMPRODUCT(OFFSET($BO$15,0,0,$B$14,1), 1*(_xlfn._xlws.FILTER(OFFSET($O$15,0,$DN172,$B$8,1),OFFSET($M$15,0,0,$B$8,1))=DQ$13), 1*(_xlfn._xlws.FILTER(OFFSET($O$15,0,$DO172,$B$8,1),OFFSET($M$15,0,0,$B$8,1))=DQ$14))   /   SUM(OFFSET($BO$15,0,0,$B$14,1)) + $B$18/($B$19*$B$19*($DN172&lt;&gt;$DO172) + $B$19*($DN172=$DO172))</f>
        <v>3.7037037037037035E-4</v>
      </c>
      <c r="DR172" s="10" cm="1">
        <f t="array" aca="1" ref="DR172" ca="1">(1-$B$18)*SUMPRODUCT(OFFSET($BO$15,0,0,$B$14,1), 1*(_xlfn._xlws.FILTER(OFFSET($O$15,0,$DN172,$B$8,1),OFFSET($M$15,0,0,$B$8,1))=DR$13), 1*(_xlfn._xlws.FILTER(OFFSET($O$15,0,$DO172,$B$8,1),OFFSET($M$15,0,0,$B$8,1))=DR$14))   /   SUM(OFFSET($BO$15,0,0,$B$14,1)) + $B$18/($B$19*$B$19*($DN172&lt;&gt;$DO172) + $B$19*($DN172=$DO172))</f>
        <v>3.7037037037037035E-4</v>
      </c>
      <c r="DS172" s="10" cm="1">
        <f t="array" aca="1" ref="DS172" ca="1">(1-$B$18)*SUMPRODUCT(OFFSET($BO$15,0,0,$B$14,1), 1*(_xlfn._xlws.FILTER(OFFSET($O$15,0,$DN172,$B$8,1),OFFSET($M$15,0,0,$B$8,1))=DS$13), 1*(_xlfn._xlws.FILTER(OFFSET($O$15,0,$DO172,$B$8,1),OFFSET($M$15,0,0,$B$8,1))=DS$14))   /   SUM(OFFSET($BO$15,0,0,$B$14,1)) + $B$18/($B$19*$B$19*($DN172&lt;&gt;$DO172) + $B$19*($DN172=$DO172))</f>
        <v>3.7037037037037035E-4</v>
      </c>
      <c r="DT172" s="10" cm="1">
        <f t="array" aca="1" ref="DT172" ca="1">(1-$B$18)*SUMPRODUCT(OFFSET($BO$15,0,0,$B$14,1), 1*(_xlfn._xlws.FILTER(OFFSET($O$15,0,$DN172,$B$8,1),OFFSET($M$15,0,0,$B$8,1))=DT$13), 1*(_xlfn._xlws.FILTER(OFFSET($O$15,0,$DO172,$B$8,1),OFFSET($M$15,0,0,$B$8,1))=DT$14))   /   SUM(OFFSET($BO$15,0,0,$B$14,1)) + $B$18/($B$19*$B$19*($DN172&lt;&gt;$DO172) + $B$19*($DN172=$DO172))</f>
        <v>3.7037037037037035E-4</v>
      </c>
      <c r="DU172" s="10" cm="1">
        <f t="array" aca="1" ref="DU172" ca="1">(1-$B$18)*SUMPRODUCT(OFFSET($BO$15,0,0,$B$14,1), 1*(_xlfn._xlws.FILTER(OFFSET($O$15,0,$DN172,$B$8,1),OFFSET($M$15,0,0,$B$8,1))=DU$13), 1*(_xlfn._xlws.FILTER(OFFSET($O$15,0,$DO172,$B$8,1),OFFSET($M$15,0,0,$B$8,1))=DU$14))   /   SUM(OFFSET($BO$15,0,0,$B$14,1)) + $B$18/($B$19*$B$19*($DN172&lt;&gt;$DO172) + $B$19*($DN172=$DO172))</f>
        <v>3.7037037037037035E-4</v>
      </c>
      <c r="DV172" s="10" cm="1">
        <f t="array" aca="1" ref="DV172" ca="1">(1-$B$18)*SUMPRODUCT(OFFSET($BO$15,0,0,$B$14,1), 1*(_xlfn._xlws.FILTER(OFFSET($O$15,0,$DN172,$B$8,1),OFFSET($M$15,0,0,$B$8,1))=DV$13), 1*(_xlfn._xlws.FILTER(OFFSET($O$15,0,$DO172,$B$8,1),OFFSET($M$15,0,0,$B$8,1))=DV$14))   /   SUM(OFFSET($BO$15,0,0,$B$14,1)) + $B$18/($B$19*$B$19*($DN172&lt;&gt;$DO172) + $B$19*($DN172=$DO172))</f>
        <v>3.7037037037037035E-4</v>
      </c>
      <c r="DW172" s="10" cm="1">
        <f t="array" aca="1" ref="DW172" ca="1">(1-$B$18)*SUMPRODUCT(OFFSET($BO$15,0,0,$B$14,1), 1*(_xlfn._xlws.FILTER(OFFSET($O$15,0,$DN172,$B$8,1),OFFSET($M$15,0,0,$B$8,1))=DW$13), 1*(_xlfn._xlws.FILTER(OFFSET($O$15,0,$DO172,$B$8,1),OFFSET($M$15,0,0,$B$8,1))=DW$14))   /   SUM(OFFSET($BO$15,0,0,$B$14,1)) + $B$18/($B$19*$B$19*($DN172&lt;&gt;$DO172) + $B$19*($DN172=$DO172))</f>
        <v>3.7037037037037035E-4</v>
      </c>
      <c r="DX172" s="10" cm="1">
        <f t="array" aca="1" ref="DX172" ca="1">(1-$B$18)*SUMPRODUCT(OFFSET($BO$15,0,0,$B$14,1), 1*(_xlfn._xlws.FILTER(OFFSET($O$15,0,$DN172,$B$8,1),OFFSET($M$15,0,0,$B$8,1))=DX$13), 1*(_xlfn._xlws.FILTER(OFFSET($O$15,0,$DO172,$B$8,1),OFFSET($M$15,0,0,$B$8,1))=DX$14))   /   SUM(OFFSET($BO$15,0,0,$B$14,1)) + $B$18/($B$19*$B$19*($DN172&lt;&gt;$DO172) + $B$19*($DN172=$DO172))</f>
        <v>3.7037037037037035E-4</v>
      </c>
      <c r="DY172" s="10" cm="1">
        <f t="array" aca="1" ref="DY172" ca="1">(1-$B$18)*SUMPRODUCT(OFFSET($BO$15,0,0,$B$14,1), 1*(_xlfn._xlws.FILTER(OFFSET($O$15,0,$DN172,$B$8,1),OFFSET($M$15,0,0,$B$8,1))=DY$13), 1*(_xlfn._xlws.FILTER(OFFSET($O$15,0,$DO172,$B$8,1),OFFSET($M$15,0,0,$B$8,1))=DY$14))   /   SUM(OFFSET($BO$15,0,0,$B$14,1)) + $B$18/($B$19*$B$19*($DN172&lt;&gt;$DO172) + $B$19*($DN172=$DO172))</f>
        <v>3.7037037037037035E-4</v>
      </c>
      <c r="DZ172" s="10" cm="1">
        <f t="array" aca="1" ref="DZ172" ca="1">(1-$B$18)*SUMPRODUCT(OFFSET($BO$15,0,0,$B$14,1), 1*(_xlfn._xlws.FILTER(OFFSET($O$15,0,$DN172,$B$8,1),OFFSET($M$15,0,0,$B$8,1))=DZ$13), 1*(_xlfn._xlws.FILTER(OFFSET($O$15,0,$DO172,$B$8,1),OFFSET($M$15,0,0,$B$8,1))=DZ$14))   /   SUM(OFFSET($BO$15,0,0,$B$14,1)) + $B$18/($B$19*$B$19*($DN172&lt;&gt;$DO172) + $B$19*($DN172=$DO172))</f>
        <v>3.7037037037037035E-4</v>
      </c>
      <c r="EA172" s="10" cm="1">
        <f t="array" aca="1" ref="EA172" ca="1">(1-$B$18)*SUMPRODUCT(OFFSET($BO$15,0,0,$B$14,1), 1*(_xlfn._xlws.FILTER(OFFSET($O$15,0,$DN172,$B$8,1),OFFSET($M$15,0,0,$B$8,1))=EA$13), 1*(_xlfn._xlws.FILTER(OFFSET($O$15,0,$DO172,$B$8,1),OFFSET($M$15,0,0,$B$8,1))=EA$14))   /   SUM(OFFSET($BO$15,0,0,$B$14,1)) + $B$18/($B$19*$B$19*($DN172&lt;&gt;$DO172) + $B$19*($DN172=$DO172))</f>
        <v>3.7037037037037035E-4</v>
      </c>
      <c r="EB172" s="10" cm="1">
        <f t="array" aca="1" ref="EB172" ca="1">(1-$B$18)*SUMPRODUCT(OFFSET($BO$15,0,0,$B$14,1), 1*(_xlfn._xlws.FILTER(OFFSET($O$15,0,$DN172,$B$8,1),OFFSET($M$15,0,0,$B$8,1))=EB$13), 1*(_xlfn._xlws.FILTER(OFFSET($O$15,0,$DO172,$B$8,1),OFFSET($M$15,0,0,$B$8,1))=EB$14))   /   SUM(OFFSET($BO$15,0,0,$B$14,1)) + $B$18/($B$19*$B$19*($DN172&lt;&gt;$DO172) + $B$19*($DN172=$DO172))</f>
        <v>3.7037037037037035E-4</v>
      </c>
      <c r="EC172" s="10" cm="1">
        <f t="array" aca="1" ref="EC172" ca="1">(1-$B$18)*SUMPRODUCT(OFFSET($BO$15,0,0,$B$14,1), 1*(_xlfn._xlws.FILTER(OFFSET($O$15,0,$DN172,$B$8,1),OFFSET($M$15,0,0,$B$8,1))=EC$13), 1*(_xlfn._xlws.FILTER(OFFSET($O$15,0,$DO172,$B$8,1),OFFSET($M$15,0,0,$B$8,1))=EC$14))   /   SUM(OFFSET($BO$15,0,0,$B$14,1)) + $B$18/($B$19*$B$19*($DN172&lt;&gt;$DO172) + $B$19*($DN172=$DO172))</f>
        <v>3.7037037037037035E-4</v>
      </c>
      <c r="ED172" s="10" cm="1">
        <f t="array" aca="1" ref="ED172" ca="1">(1-$B$18)*SUMPRODUCT(OFFSET($BO$15,0,0,$B$14,1), 1*(_xlfn._xlws.FILTER(OFFSET($O$15,0,$DN172,$B$8,1),OFFSET($M$15,0,0,$B$8,1))=ED$13), 1*(_xlfn._xlws.FILTER(OFFSET($O$15,0,$DO172,$B$8,1),OFFSET($M$15,0,0,$B$8,1))=ED$14))   /   SUM(OFFSET($BO$15,0,0,$B$14,1)) + $B$18/($B$19*$B$19*($DN172&lt;&gt;$DO172) + $B$19*($DN172=$DO172))</f>
        <v>3.7037037037037035E-4</v>
      </c>
      <c r="EE172" s="10" cm="1">
        <f t="array" aca="1" ref="EE172" ca="1">(1-$B$18)*SUMPRODUCT(OFFSET($BO$15,0,0,$B$14,1), 1*(_xlfn._xlws.FILTER(OFFSET($O$15,0,$DN172,$B$8,1),OFFSET($M$15,0,0,$B$8,1))=EE$13), 1*(_xlfn._xlws.FILTER(OFFSET($O$15,0,$DO172,$B$8,1),OFFSET($M$15,0,0,$B$8,1))=EE$14))   /   SUM(OFFSET($BO$15,0,0,$B$14,1)) + $B$18/($B$19*$B$19*($DN172&lt;&gt;$DO172) + $B$19*($DN172=$DO172))</f>
        <v>3.7037037037037035E-4</v>
      </c>
      <c r="EF172" s="10" cm="1">
        <f t="array" aca="1" ref="EF172" ca="1">(1-$B$18)*SUMPRODUCT(OFFSET($BO$15,0,0,$B$14,1), 1*(_xlfn._xlws.FILTER(OFFSET($O$15,0,$DN172,$B$8,1),OFFSET($M$15,0,0,$B$8,1))=EF$13), 1*(_xlfn._xlws.FILTER(OFFSET($O$15,0,$DO172,$B$8,1),OFFSET($M$15,0,0,$B$8,1))=EF$14))   /   SUM(OFFSET($BO$15,0,0,$B$14,1)) + $B$18/($B$19*$B$19*($DN172&lt;&gt;$DO172) + $B$19*($DN172=$DO172))</f>
        <v>3.7037037037037035E-4</v>
      </c>
      <c r="EG172" s="10" cm="1">
        <f t="array" aca="1" ref="EG172" ca="1">(1-$B$18)*SUMPRODUCT(OFFSET($BO$15,0,0,$B$14,1), 1*(_xlfn._xlws.FILTER(OFFSET($O$15,0,$DN172,$B$8,1),OFFSET($M$15,0,0,$B$8,1))=EG$13), 1*(_xlfn._xlws.FILTER(OFFSET($O$15,0,$DO172,$B$8,1),OFFSET($M$15,0,0,$B$8,1))=EG$14))   /   SUM(OFFSET($BO$15,0,0,$B$14,1)) + $B$18/($B$19*$B$19*($DN172&lt;&gt;$DO172) + $B$19*($DN172=$DO172))</f>
        <v>3.7037037037037035E-4</v>
      </c>
      <c r="EH172" s="10" cm="1">
        <f t="array" aca="1" ref="EH172" ca="1">(1-$B$18)*SUMPRODUCT(OFFSET($BO$15,0,0,$B$14,1), 1*(_xlfn._xlws.FILTER(OFFSET($O$15,0,$DN172,$B$8,1),OFFSET($M$15,0,0,$B$8,1))=EH$13), 1*(_xlfn._xlws.FILTER(OFFSET($O$15,0,$DO172,$B$8,1),OFFSET($M$15,0,0,$B$8,1))=EH$14))   /   SUM(OFFSET($BO$15,0,0,$B$14,1)) + $B$18/($B$19*$B$19*($DN172&lt;&gt;$DO172) + $B$19*($DN172=$DO172))</f>
        <v>3.7037037037037035E-4</v>
      </c>
      <c r="EI172" s="10" cm="1">
        <f t="array" aca="1" ref="EI172" ca="1">(1-$B$18)*SUMPRODUCT(OFFSET($BO$15,0,0,$B$14,1), 1*(_xlfn._xlws.FILTER(OFFSET($O$15,0,$DN172,$B$8,1),OFFSET($M$15,0,0,$B$8,1))=EI$13), 1*(_xlfn._xlws.FILTER(OFFSET($O$15,0,$DO172,$B$8,1),OFFSET($M$15,0,0,$B$8,1))=EI$14))   /   SUM(OFFSET($BO$15,0,0,$B$14,1)) + $B$18/($B$19*$B$19*($DN172&lt;&gt;$DO172) + $B$19*($DN172=$DO172))</f>
        <v>3.7037037037037035E-4</v>
      </c>
      <c r="EJ172" s="10" cm="1">
        <f t="array" aca="1" ref="EJ172" ca="1">(1-$B$18)*SUMPRODUCT(OFFSET($BO$15,0,0,$B$14,1), 1*(_xlfn._xlws.FILTER(OFFSET($O$15,0,$DN172,$B$8,1),OFFSET($M$15,0,0,$B$8,1))=EJ$13), 1*(_xlfn._xlws.FILTER(OFFSET($O$15,0,$DO172,$B$8,1),OFFSET($M$15,0,0,$B$8,1))=EJ$14))   /   SUM(OFFSET($BO$15,0,0,$B$14,1)) + $B$18/($B$19*$B$19*($DN172&lt;&gt;$DO172) + $B$19*($DN172=$DO172))</f>
        <v>3.7037037037037035E-4</v>
      </c>
      <c r="EK172" s="10" cm="1">
        <f t="array" aca="1" ref="EK172" ca="1">(1-$B$18)*SUMPRODUCT(OFFSET($BO$15,0,0,$B$14,1), 1*(_xlfn._xlws.FILTER(OFFSET($O$15,0,$DN172,$B$8,1),OFFSET($M$15,0,0,$B$8,1))=EK$13), 1*(_xlfn._xlws.FILTER(OFFSET($O$15,0,$DO172,$B$8,1),OFFSET($M$15,0,0,$B$8,1))=EK$14))   /   SUM(OFFSET($BO$15,0,0,$B$14,1)) + $B$18/($B$19*$B$19*($DN172&lt;&gt;$DO172) + $B$19*($DN172=$DO172))</f>
        <v>3.7037037037037035E-4</v>
      </c>
      <c r="EL172" s="10" cm="1">
        <f t="array" aca="1" ref="EL172" ca="1">(1-$B$18)*SUMPRODUCT(OFFSET($BO$15,0,0,$B$14,1), 1*(_xlfn._xlws.FILTER(OFFSET($O$15,0,$DN172,$B$8,1),OFFSET($M$15,0,0,$B$8,1))=EL$13), 1*(_xlfn._xlws.FILTER(OFFSET($O$15,0,$DO172,$B$8,1),OFFSET($M$15,0,0,$B$8,1))=EL$14))   /   SUM(OFFSET($BO$15,0,0,$B$14,1)) + $B$18/($B$19*$B$19*($DN172&lt;&gt;$DO172) + $B$19*($DN172=$DO172))</f>
        <v>3.7037037037037035E-4</v>
      </c>
      <c r="EM172" s="10" cm="1">
        <f t="array" aca="1" ref="EM172" ca="1">(1-$B$18)*SUMPRODUCT(OFFSET($BO$15,0,0,$B$14,1), 1*(_xlfn._xlws.FILTER(OFFSET($O$15,0,$DN172,$B$8,1),OFFSET($M$15,0,0,$B$8,1))=EM$13), 1*(_xlfn._xlws.FILTER(OFFSET($O$15,0,$DO172,$B$8,1),OFFSET($M$15,0,0,$B$8,1))=EM$14))   /   SUM(OFFSET($BO$15,0,0,$B$14,1)) + $B$18/($B$19*$B$19*($DN172&lt;&gt;$DO172) + $B$19*($DN172=$DO172))</f>
        <v>3.7037037037037035E-4</v>
      </c>
      <c r="EN172" s="10" cm="1">
        <f t="array" aca="1" ref="EN172" ca="1">(1-$B$18)*SUMPRODUCT(OFFSET($BO$15,0,0,$B$14,1), 1*(_xlfn._xlws.FILTER(OFFSET($O$15,0,$DN172,$B$8,1),OFFSET($M$15,0,0,$B$8,1))=EN$13), 1*(_xlfn._xlws.FILTER(OFFSET($O$15,0,$DO172,$B$8,1),OFFSET($M$15,0,0,$B$8,1))=EN$14))   /   SUM(OFFSET($BO$15,0,0,$B$14,1)) + $B$18/($B$19*$B$19*($DN172&lt;&gt;$DO172) + $B$19*($DN172=$DO172))</f>
        <v>3.7037037037037035E-4</v>
      </c>
      <c r="EO172" s="10" cm="1">
        <f t="array" aca="1" ref="EO172" ca="1">(1-$B$18)*SUMPRODUCT(OFFSET($BO$15,0,0,$B$14,1), 1*(_xlfn._xlws.FILTER(OFFSET($O$15,0,$DN172,$B$8,1),OFFSET($M$15,0,0,$B$8,1))=EO$13), 1*(_xlfn._xlws.FILTER(OFFSET($O$15,0,$DO172,$B$8,1),OFFSET($M$15,0,0,$B$8,1))=EO$14))   /   SUM(OFFSET($BO$15,0,0,$B$14,1)) + $B$18/($B$19*$B$19*($DN172&lt;&gt;$DO172) + $B$19*($DN172=$DO172))</f>
        <v>3.7037037037037035E-4</v>
      </c>
      <c r="EP172" s="10" cm="1">
        <f t="array" aca="1" ref="EP172" ca="1">(1-$B$18)*SUMPRODUCT(OFFSET($BO$15,0,0,$B$14,1), 1*(_xlfn._xlws.FILTER(OFFSET($O$15,0,$DN172,$B$8,1),OFFSET($M$15,0,0,$B$8,1))=EP$13), 1*(_xlfn._xlws.FILTER(OFFSET($O$15,0,$DO172,$B$8,1),OFFSET($M$15,0,0,$B$8,1))=EP$14))   /   SUM(OFFSET($BO$15,0,0,$B$14,1)) + $B$18/($B$19*$B$19*($DN172&lt;&gt;$DO172) + $B$19*($DN172=$DO172))</f>
        <v>3.7037037037037035E-4</v>
      </c>
      <c r="EQ172" s="10" cm="1">
        <f t="array" aca="1" ref="EQ172" ca="1">(1-$B$18)*SUMPRODUCT(OFFSET($BO$15,0,0,$B$14,1), 1*(_xlfn._xlws.FILTER(OFFSET($O$15,0,$DN172,$B$8,1),OFFSET($M$15,0,0,$B$8,1))=EQ$13), 1*(_xlfn._xlws.FILTER(OFFSET($O$15,0,$DO172,$B$8,1),OFFSET($M$15,0,0,$B$8,1))=EQ$14))   /   SUM(OFFSET($BO$15,0,0,$B$14,1)) + $B$18/($B$19*$B$19*($DN172&lt;&gt;$DO172) + $B$19*($DN172=$DO172))</f>
        <v>3.7037037037037035E-4</v>
      </c>
      <c r="ER172" s="10" cm="1">
        <f t="array" aca="1" ref="ER172" ca="1">(1-$B$18)*SUMPRODUCT(OFFSET($BO$15,0,0,$B$14,1), 1*(_xlfn._xlws.FILTER(OFFSET($O$15,0,$DN172,$B$8,1),OFFSET($M$15,0,0,$B$8,1))=ER$13), 1*(_xlfn._xlws.FILTER(OFFSET($O$15,0,$DO172,$B$8,1),OFFSET($M$15,0,0,$B$8,1))=ER$14))   /   SUM(OFFSET($BO$15,0,0,$B$14,1)) + $B$18/($B$19*$B$19*($DN172&lt;&gt;$DO172) + $B$19*($DN172=$DO172))</f>
        <v>3.7037037037037035E-4</v>
      </c>
      <c r="ES172" s="10" cm="1">
        <f t="array" aca="1" ref="ES172" ca="1">(1-$B$18)*SUMPRODUCT(OFFSET($BO$15,0,0,$B$14,1), 1*(_xlfn._xlws.FILTER(OFFSET($O$15,0,$DN172,$B$8,1),OFFSET($M$15,0,0,$B$8,1))=ES$13), 1*(_xlfn._xlws.FILTER(OFFSET($O$15,0,$DO172,$B$8,1),OFFSET($M$15,0,0,$B$8,1))=ES$14))   /   SUM(OFFSET($BO$15,0,0,$B$14,1)) + $B$18/($B$19*$B$19*($DN172&lt;&gt;$DO172) + $B$19*($DN172=$DO172))</f>
        <v>3.7037037037037035E-4</v>
      </c>
      <c r="ET172" s="10" cm="1">
        <f t="array" aca="1" ref="ET172" ca="1">(1-$B$18)*SUMPRODUCT(OFFSET($BO$15,0,0,$B$14,1), 1*(_xlfn._xlws.FILTER(OFFSET($O$15,0,$DN172,$B$8,1),OFFSET($M$15,0,0,$B$8,1))=ET$13), 1*(_xlfn._xlws.FILTER(OFFSET($O$15,0,$DO172,$B$8,1),OFFSET($M$15,0,0,$B$8,1))=ET$14))   /   SUM(OFFSET($BO$15,0,0,$B$14,1)) + $B$18/($B$19*$B$19*($DN172&lt;&gt;$DO172) + $B$19*($DN172=$DO172))</f>
        <v>3.7037037037037035E-4</v>
      </c>
      <c r="EU172" s="10" cm="1">
        <f t="array" aca="1" ref="EU172" ca="1">(1-$B$18)*SUMPRODUCT(OFFSET($BO$15,0,0,$B$14,1), 1*(_xlfn._xlws.FILTER(OFFSET($O$15,0,$DN172,$B$8,1),OFFSET($M$15,0,0,$B$8,1))=EU$13), 1*(_xlfn._xlws.FILTER(OFFSET($O$15,0,$DO172,$B$8,1),OFFSET($M$15,0,0,$B$8,1))=EU$14))   /   SUM(OFFSET($BO$15,0,0,$B$14,1)) + $B$18/($B$19*$B$19*($DN172&lt;&gt;$DO172) + $B$19*($DN172=$DO172))</f>
        <v>3.7037037037037035E-4</v>
      </c>
      <c r="EV172" s="10" cm="1">
        <f t="array" aca="1" ref="EV172" ca="1">(1-$B$18)*SUMPRODUCT(OFFSET($BO$15,0,0,$B$14,1), 1*(_xlfn._xlws.FILTER(OFFSET($O$15,0,$DN172,$B$8,1),OFFSET($M$15,0,0,$B$8,1))=EV$13), 1*(_xlfn._xlws.FILTER(OFFSET($O$15,0,$DO172,$B$8,1),OFFSET($M$15,0,0,$B$8,1))=EV$14))   /   SUM(OFFSET($BO$15,0,0,$B$14,1)) + $B$18/($B$19*$B$19*($DN172&lt;&gt;$DO172) + $B$19*($DN172=$DO172))</f>
        <v>3.7037037037037035E-4</v>
      </c>
      <c r="EW172" s="10" cm="1">
        <f t="array" aca="1" ref="EW172" ca="1">(1-$B$18)*SUMPRODUCT(OFFSET($BO$15,0,0,$B$14,1), 1*(_xlfn._xlws.FILTER(OFFSET($O$15,0,$DN172,$B$8,1),OFFSET($M$15,0,0,$B$8,1))=EW$13), 1*(_xlfn._xlws.FILTER(OFFSET($O$15,0,$DO172,$B$8,1),OFFSET($M$15,0,0,$B$8,1))=EW$14))   /   SUM(OFFSET($BO$15,0,0,$B$14,1)) + $B$18/($B$19*$B$19*($DN172&lt;&gt;$DO172) + $B$19*($DN172=$DO172))</f>
        <v>3.7037037037037035E-4</v>
      </c>
      <c r="EX172" s="10" cm="1">
        <f t="array" aca="1" ref="EX172" ca="1">(1-$B$18)*SUMPRODUCT(OFFSET($BO$15,0,0,$B$14,1), 1*(_xlfn._xlws.FILTER(OFFSET($O$15,0,$DN172,$B$8,1),OFFSET($M$15,0,0,$B$8,1))=EX$13), 1*(_xlfn._xlws.FILTER(OFFSET($O$15,0,$DO172,$B$8,1),OFFSET($M$15,0,0,$B$8,1))=EX$14))   /   SUM(OFFSET($BO$15,0,0,$B$14,1)) + $B$18/($B$19*$B$19*($DN172&lt;&gt;$DO172) + $B$19*($DN172=$DO172))</f>
        <v>3.7037037037037035E-4</v>
      </c>
      <c r="EY172" s="10" cm="1">
        <f t="array" aca="1" ref="EY172" ca="1">(1-$B$18)*SUMPRODUCT(OFFSET($BO$15,0,0,$B$14,1), 1*(_xlfn._xlws.FILTER(OFFSET($O$15,0,$DN172,$B$8,1),OFFSET($M$15,0,0,$B$8,1))=EY$13), 1*(_xlfn._xlws.FILTER(OFFSET($O$15,0,$DO172,$B$8,1),OFFSET($M$15,0,0,$B$8,1))=EY$14))   /   SUM(OFFSET($BO$15,0,0,$B$14,1)) + $B$18/($B$19*$B$19*($DN172&lt;&gt;$DO172) + $B$19*($DN172=$DO172))</f>
        <v>3.7037037037037035E-4</v>
      </c>
      <c r="EZ172" s="10" cm="1">
        <f t="array" aca="1" ref="EZ172" ca="1">(1-$B$18)*SUMPRODUCT(OFFSET($BO$15,0,0,$B$14,1), 1*(_xlfn._xlws.FILTER(OFFSET($O$15,0,$DN172,$B$8,1),OFFSET($M$15,0,0,$B$8,1))=EZ$13), 1*(_xlfn._xlws.FILTER(OFFSET($O$15,0,$DO172,$B$8,1),OFFSET($M$15,0,0,$B$8,1))=EZ$14))   /   SUM(OFFSET($BO$15,0,0,$B$14,1)) + $B$18/($B$19*$B$19*($DN172&lt;&gt;$DO172) + $B$19*($DN172=$DO172))</f>
        <v>3.7037037037037035E-4</v>
      </c>
      <c r="FA172" s="10" cm="1">
        <f t="array" aca="1" ref="FA172" ca="1">(1-$B$18)*SUMPRODUCT(OFFSET($BO$15,0,0,$B$14,1), 1*(_xlfn._xlws.FILTER(OFFSET($O$15,0,$DN172,$B$8,1),OFFSET($M$15,0,0,$B$8,1))=FA$13), 1*(_xlfn._xlws.FILTER(OFFSET($O$15,0,$DO172,$B$8,1),OFFSET($M$15,0,0,$B$8,1))=FA$14))   /   SUM(OFFSET($BO$15,0,0,$B$14,1)) + $B$18/($B$19*$B$19*($DN172&lt;&gt;$DO172) + $B$19*($DN172=$DO172))</f>
        <v>3.7037037037037035E-4</v>
      </c>
      <c r="FB172" s="10" cm="1">
        <f t="array" aca="1" ref="FB172" ca="1">(1-$B$18)*SUMPRODUCT(OFFSET($BO$15,0,0,$B$14,1), 1*(_xlfn._xlws.FILTER(OFFSET($O$15,0,$DN172,$B$8,1),OFFSET($M$15,0,0,$B$8,1))=FB$13), 1*(_xlfn._xlws.FILTER(OFFSET($O$15,0,$DO172,$B$8,1),OFFSET($M$15,0,0,$B$8,1))=FB$14))   /   SUM(OFFSET($BO$15,0,0,$B$14,1)) + $B$18/($B$19*$B$19*($DN172&lt;&gt;$DO172) + $B$19*($DN172=$DO172))</f>
        <v>3.7037037037037035E-4</v>
      </c>
      <c r="FC172" s="10" cm="1">
        <f t="array" aca="1" ref="FC172" ca="1">(1-$B$18)*SUMPRODUCT(OFFSET($BO$15,0,0,$B$14,1), 1*(_xlfn._xlws.FILTER(OFFSET($O$15,0,$DN172,$B$8,1),OFFSET($M$15,0,0,$B$8,1))=FC$13), 1*(_xlfn._xlws.FILTER(OFFSET($O$15,0,$DO172,$B$8,1),OFFSET($M$15,0,0,$B$8,1))=FC$14))   /   SUM(OFFSET($BO$15,0,0,$B$14,1)) + $B$18/($B$19*$B$19*($DN172&lt;&gt;$DO172) + $B$19*($DN172=$DO172))</f>
        <v>3.7037037037037035E-4</v>
      </c>
      <c r="FD172" s="10" cm="1">
        <f t="array" aca="1" ref="FD172" ca="1">(1-$B$18)*SUMPRODUCT(OFFSET($BO$15,0,0,$B$14,1), 1*(_xlfn._xlws.FILTER(OFFSET($O$15,0,$DN172,$B$8,1),OFFSET($M$15,0,0,$B$8,1))=FD$13), 1*(_xlfn._xlws.FILTER(OFFSET($O$15,0,$DO172,$B$8,1),OFFSET($M$15,0,0,$B$8,1))=FD$14))   /   SUM(OFFSET($BO$15,0,0,$B$14,1)) + $B$18/($B$19*$B$19*($DN172&lt;&gt;$DO172) + $B$19*($DN172=$DO172))</f>
        <v>3.7037037037037035E-4</v>
      </c>
      <c r="FE172" s="10" cm="1">
        <f t="array" aca="1" ref="FE172" ca="1">(1-$B$18)*SUMPRODUCT(OFFSET($BO$15,0,0,$B$14,1), 1*(_xlfn._xlws.FILTER(OFFSET($O$15,0,$DN172,$B$8,1),OFFSET($M$15,0,0,$B$8,1))=FE$13), 1*(_xlfn._xlws.FILTER(OFFSET($O$15,0,$DO172,$B$8,1),OFFSET($M$15,0,0,$B$8,1))=FE$14))   /   SUM(OFFSET($BO$15,0,0,$B$14,1)) + $B$18/($B$19*$B$19*($DN172&lt;&gt;$DO172) + $B$19*($DN172=$DO172))</f>
        <v>3.7037037037037035E-4</v>
      </c>
      <c r="FF172" s="10" cm="1">
        <f t="array" aca="1" ref="FF172" ca="1">(1-$B$18)*SUMPRODUCT(OFFSET($BO$15,0,0,$B$14,1), 1*(_xlfn._xlws.FILTER(OFFSET($O$15,0,$DN172,$B$8,1),OFFSET($M$15,0,0,$B$8,1))=FF$13), 1*(_xlfn._xlws.FILTER(OFFSET($O$15,0,$DO172,$B$8,1),OFFSET($M$15,0,0,$B$8,1))=FF$14))   /   SUM(OFFSET($BO$15,0,0,$B$14,1)) + $B$18/($B$19*$B$19*($DN172&lt;&gt;$DO172) + $B$19*($DN172=$DO172))</f>
        <v>3.7037037037037035E-4</v>
      </c>
      <c r="FG172" s="10" cm="1">
        <f t="array" aca="1" ref="FG172" ca="1">(1-$B$18)*SUMPRODUCT(OFFSET($BO$15,0,0,$B$14,1), 1*(_xlfn._xlws.FILTER(OFFSET($O$15,0,$DN172,$B$8,1),OFFSET($M$15,0,0,$B$8,1))=FG$13), 1*(_xlfn._xlws.FILTER(OFFSET($O$15,0,$DO172,$B$8,1),OFFSET($M$15,0,0,$B$8,1))=FG$14))   /   SUM(OFFSET($BO$15,0,0,$B$14,1)) + $B$18/($B$19*$B$19*($DN172&lt;&gt;$DO172) + $B$19*($DN172=$DO172))</f>
        <v>3.7037037037037035E-4</v>
      </c>
      <c r="FH172" s="10" cm="1">
        <f t="array" aca="1" ref="FH172" ca="1">(1-$B$18)*SUMPRODUCT(OFFSET($BO$15,0,0,$B$14,1), 1*(_xlfn._xlws.FILTER(OFFSET($O$15,0,$DN172,$B$8,1),OFFSET($M$15,0,0,$B$8,1))=FH$13), 1*(_xlfn._xlws.FILTER(OFFSET($O$15,0,$DO172,$B$8,1),OFFSET($M$15,0,0,$B$8,1))=FH$14))   /   SUM(OFFSET($BO$15,0,0,$B$14,1)) + $B$18/($B$19*$B$19*($DN172&lt;&gt;$DO172) + $B$19*($DN172=$DO172))</f>
        <v>3.7037037037037035E-4</v>
      </c>
      <c r="FI172" s="10" cm="1">
        <f t="array" aca="1" ref="FI172" ca="1">(1-$B$18)*SUMPRODUCT(OFFSET($BO$15,0,0,$B$14,1), 1*(_xlfn._xlws.FILTER(OFFSET($O$15,0,$DN172,$B$8,1),OFFSET($M$15,0,0,$B$8,1))=FI$13), 1*(_xlfn._xlws.FILTER(OFFSET($O$15,0,$DO172,$B$8,1),OFFSET($M$15,0,0,$B$8,1))=FI$14))   /   SUM(OFFSET($BO$15,0,0,$B$14,1)) + $B$18/($B$19*$B$19*($DN172&lt;&gt;$DO172) + $B$19*($DN172=$DO172))</f>
        <v>3.7037037037037035E-4</v>
      </c>
      <c r="FJ172" s="10" cm="1">
        <f t="array" aca="1" ref="FJ172" ca="1">(1-$B$18)*SUMPRODUCT(OFFSET($BO$15,0,0,$B$14,1), 1*(_xlfn._xlws.FILTER(OFFSET($O$15,0,$DN172,$B$8,1),OFFSET($M$15,0,0,$B$8,1))=FJ$13), 1*(_xlfn._xlws.FILTER(OFFSET($O$15,0,$DO172,$B$8,1),OFFSET($M$15,0,0,$B$8,1))=FJ$14))   /   SUM(OFFSET($BO$15,0,0,$B$14,1)) + $B$18/($B$19*$B$19*($DN172&lt;&gt;$DO172) + $B$19*($DN172=$DO172))</f>
        <v>3.7037037037037035E-4</v>
      </c>
      <c r="FK172" s="10" cm="1">
        <f t="array" aca="1" ref="FK172" ca="1">(1-$B$18)*SUMPRODUCT(OFFSET($BO$15,0,0,$B$14,1), 1*(_xlfn._xlws.FILTER(OFFSET($O$15,0,$DN172,$B$8,1),OFFSET($M$15,0,0,$B$8,1))=FK$13), 1*(_xlfn._xlws.FILTER(OFFSET($O$15,0,$DO172,$B$8,1),OFFSET($M$15,0,0,$B$8,1))=FK$14))   /   SUM(OFFSET($BO$15,0,0,$B$14,1)) + $B$18/($B$19*$B$19*($DN172&lt;&gt;$DO172) + $B$19*($DN172=$DO172))</f>
        <v>3.7037037037037035E-4</v>
      </c>
      <c r="FL172" s="10" cm="1">
        <f t="array" aca="1" ref="FL172" ca="1">(1-$B$18)*SUMPRODUCT(OFFSET($BO$15,0,0,$B$14,1), 1*(_xlfn._xlws.FILTER(OFFSET($O$15,0,$DN172,$B$8,1),OFFSET($M$15,0,0,$B$8,1))=FL$13), 1*(_xlfn._xlws.FILTER(OFFSET($O$15,0,$DO172,$B$8,1),OFFSET($M$15,0,0,$B$8,1))=FL$14))   /   SUM(OFFSET($BO$15,0,0,$B$14,1)) + $B$18/($B$19*$B$19*($DN172&lt;&gt;$DO172) + $B$19*($DN172=$DO172))</f>
        <v>3.7037037037037035E-4</v>
      </c>
      <c r="FM172" s="10" cm="1">
        <f t="array" aca="1" ref="FM172" ca="1">(1-$B$18)*SUMPRODUCT(OFFSET($BO$15,0,0,$B$14,1), 1*(_xlfn._xlws.FILTER(OFFSET($O$15,0,$DN172,$B$8,1),OFFSET($M$15,0,0,$B$8,1))=FM$13), 1*(_xlfn._xlws.FILTER(OFFSET($O$15,0,$DO172,$B$8,1),OFFSET($M$15,0,0,$B$8,1))=FM$14))   /   SUM(OFFSET($BO$15,0,0,$B$14,1)) + $B$18/($B$19*$B$19*($DN172&lt;&gt;$DO172) + $B$19*($DN172=$DO172))</f>
        <v>3.7037037037037035E-4</v>
      </c>
      <c r="FN172" s="10" cm="1">
        <f t="array" aca="1" ref="FN172" ca="1">(1-$B$18)*SUMPRODUCT(OFFSET($BO$15,0,0,$B$14,1), 1*(_xlfn._xlws.FILTER(OFFSET($O$15,0,$DN172,$B$8,1),OFFSET($M$15,0,0,$B$8,1))=FN$13), 1*(_xlfn._xlws.FILTER(OFFSET($O$15,0,$DO172,$B$8,1),OFFSET($M$15,0,0,$B$8,1))=FN$14))   /   SUM(OFFSET($BO$15,0,0,$B$14,1)) + $B$18/($B$19*$B$19*($DN172&lt;&gt;$DO172) + $B$19*($DN172=$DO172))</f>
        <v>3.7037037037037035E-4</v>
      </c>
      <c r="FO172" s="10" cm="1">
        <f t="array" aca="1" ref="FO172" ca="1">(1-$B$18)*SUMPRODUCT(OFFSET($BO$15,0,0,$B$14,1), 1*(_xlfn._xlws.FILTER(OFFSET($O$15,0,$DN172,$B$8,1),OFFSET($M$15,0,0,$B$8,1))=FO$13), 1*(_xlfn._xlws.FILTER(OFFSET($O$15,0,$DO172,$B$8,1),OFFSET($M$15,0,0,$B$8,1))=FO$14))   /   SUM(OFFSET($BO$15,0,0,$B$14,1)) + $B$18/($B$19*$B$19*($DN172&lt;&gt;$DO172) + $B$19*($DN172=$DO172))</f>
        <v>3.7037037037037035E-4</v>
      </c>
      <c r="FP172" s="10" cm="1">
        <f t="array" aca="1" ref="FP172" ca="1">(1-$B$18)*SUMPRODUCT(OFFSET($BO$15,0,0,$B$14,1), 1*(_xlfn._xlws.FILTER(OFFSET($O$15,0,$DN172,$B$8,1),OFFSET($M$15,0,0,$B$8,1))=FP$13), 1*(_xlfn._xlws.FILTER(OFFSET($O$15,0,$DO172,$B$8,1),OFFSET($M$15,0,0,$B$8,1))=FP$14))   /   SUM(OFFSET($BO$15,0,0,$B$14,1)) + $B$18/($B$19*$B$19*($DN172&lt;&gt;$DO172) + $B$19*($DN172=$DO172))</f>
        <v>3.7037037037037035E-4</v>
      </c>
      <c r="FQ172" s="10" cm="1">
        <f t="array" aca="1" ref="FQ172" ca="1">(1-$B$18)*SUMPRODUCT(OFFSET($BO$15,0,0,$B$14,1), 1*(_xlfn._xlws.FILTER(OFFSET($O$15,0,$DN172,$B$8,1),OFFSET($M$15,0,0,$B$8,1))=FQ$13), 1*(_xlfn._xlws.FILTER(OFFSET($O$15,0,$DO172,$B$8,1),OFFSET($M$15,0,0,$B$8,1))=FQ$14))   /   SUM(OFFSET($BO$15,0,0,$B$14,1)) + $B$18/($B$19*$B$19*($DN172&lt;&gt;$DO172) + $B$19*($DN172=$DO172))</f>
        <v>3.7037037037037035E-4</v>
      </c>
      <c r="FR172" s="10" cm="1">
        <f t="array" aca="1" ref="FR172" ca="1">(1-$B$18)*SUMPRODUCT(OFFSET($BO$15,0,0,$B$14,1), 1*(_xlfn._xlws.FILTER(OFFSET($O$15,0,$DN172,$B$8,1),OFFSET($M$15,0,0,$B$8,1))=FR$13), 1*(_xlfn._xlws.FILTER(OFFSET($O$15,0,$DO172,$B$8,1),OFFSET($M$15,0,0,$B$8,1))=FR$14))   /   SUM(OFFSET($BO$15,0,0,$B$14,1)) + $B$18/($B$19*$B$19*($DN172&lt;&gt;$DO172) + $B$19*($DN172=$DO172))</f>
        <v>0.97037037037037033</v>
      </c>
      <c r="FS172" s="10" cm="1">
        <f t="array" aca="1" ref="FS172" ca="1">(1-$B$18)*SUMPRODUCT(OFFSET($BO$15,0,0,$B$14,1), 1*(_xlfn._xlws.FILTER(OFFSET($O$15,0,$DN172,$B$8,1),OFFSET($M$15,0,0,$B$8,1))=FS$13), 1*(_xlfn._xlws.FILTER(OFFSET($O$15,0,$DO172,$B$8,1),OFFSET($M$15,0,0,$B$8,1))=FS$14))   /   SUM(OFFSET($BO$15,0,0,$B$14,1)) + $B$18/($B$19*$B$19*($DN172&lt;&gt;$DO172) + $B$19*($DN172=$DO172))</f>
        <v>3.7037037037037035E-4</v>
      </c>
      <c r="FT172" s="10" cm="1">
        <f t="array" aca="1" ref="FT172" ca="1">(1-$B$18)*SUMPRODUCT(OFFSET($BO$15,0,0,$B$14,1), 1*(_xlfn._xlws.FILTER(OFFSET($O$15,0,$DN172,$B$8,1),OFFSET($M$15,0,0,$B$8,1))=FT$13), 1*(_xlfn._xlws.FILTER(OFFSET($O$15,0,$DO172,$B$8,1),OFFSET($M$15,0,0,$B$8,1))=FT$14))   /   SUM(OFFSET($BO$15,0,0,$B$14,1)) + $B$18/($B$19*$B$19*($DN172&lt;&gt;$DO172) + $B$19*($DN172=$DO172))</f>
        <v>3.7037037037037035E-4</v>
      </c>
      <c r="FU172" s="10" cm="1">
        <f t="array" aca="1" ref="FU172" ca="1">(1-$B$18)*SUMPRODUCT(OFFSET($BO$15,0,0,$B$14,1), 1*(_xlfn._xlws.FILTER(OFFSET($O$15,0,$DN172,$B$8,1),OFFSET($M$15,0,0,$B$8,1))=FU$13), 1*(_xlfn._xlws.FILTER(OFFSET($O$15,0,$DO172,$B$8,1),OFFSET($M$15,0,0,$B$8,1))=FU$14))   /   SUM(OFFSET($BO$15,0,0,$B$14,1)) + $B$18/($B$19*$B$19*($DN172&lt;&gt;$DO172) + $B$19*($DN172=$DO172))</f>
        <v>3.7037037037037035E-4</v>
      </c>
      <c r="FV172" s="10" cm="1">
        <f t="array" aca="1" ref="FV172" ca="1">(1-$B$18)*SUMPRODUCT(OFFSET($BO$15,0,0,$B$14,1), 1*(_xlfn._xlws.FILTER(OFFSET($O$15,0,$DN172,$B$8,1),OFFSET($M$15,0,0,$B$8,1))=FV$13), 1*(_xlfn._xlws.FILTER(OFFSET($O$15,0,$DO172,$B$8,1),OFFSET($M$15,0,0,$B$8,1))=FV$14))   /   SUM(OFFSET($BO$15,0,0,$B$14,1)) + $B$18/($B$19*$B$19*($DN172&lt;&gt;$DO172) + $B$19*($DN172=$DO172))</f>
        <v>3.7037037037037035E-4</v>
      </c>
      <c r="FW172" s="10" cm="1">
        <f t="array" aca="1" ref="FW172" ca="1">(1-$B$18)*SUMPRODUCT(OFFSET($BO$15,0,0,$B$14,1), 1*(_xlfn._xlws.FILTER(OFFSET($O$15,0,$DN172,$B$8,1),OFFSET($M$15,0,0,$B$8,1))=FW$13), 1*(_xlfn._xlws.FILTER(OFFSET($O$15,0,$DO172,$B$8,1),OFFSET($M$15,0,0,$B$8,1))=FW$14))   /   SUM(OFFSET($BO$15,0,0,$B$14,1)) + $B$18/($B$19*$B$19*($DN172&lt;&gt;$DO172) + $B$19*($DN172=$DO172))</f>
        <v>3.7037037037037035E-4</v>
      </c>
      <c r="FX172" s="10" cm="1">
        <f t="array" aca="1" ref="FX172" ca="1">(1-$B$18)*SUMPRODUCT(OFFSET($BO$15,0,0,$B$14,1), 1*(_xlfn._xlws.FILTER(OFFSET($O$15,0,$DN172,$B$8,1),OFFSET($M$15,0,0,$B$8,1))=FX$13), 1*(_xlfn._xlws.FILTER(OFFSET($O$15,0,$DO172,$B$8,1),OFFSET($M$15,0,0,$B$8,1))=FX$14))   /   SUM(OFFSET($BO$15,0,0,$B$14,1)) + $B$18/($B$19*$B$19*($DN172&lt;&gt;$DO172) + $B$19*($DN172=$DO172))</f>
        <v>3.7037037037037035E-4</v>
      </c>
      <c r="FY172" s="10" cm="1">
        <f t="array" aca="1" ref="FY172" ca="1">(1-$B$18)*SUMPRODUCT(OFFSET($BO$15,0,0,$B$14,1), 1*(_xlfn._xlws.FILTER(OFFSET($O$15,0,$DN172,$B$8,1),OFFSET($M$15,0,0,$B$8,1))=FY$13), 1*(_xlfn._xlws.FILTER(OFFSET($O$15,0,$DO172,$B$8,1),OFFSET($M$15,0,0,$B$8,1))=FY$14))   /   SUM(OFFSET($BO$15,0,0,$B$14,1)) + $B$18/($B$19*$B$19*($DN172&lt;&gt;$DO172) + $B$19*($DN172=$DO172))</f>
        <v>3.7037037037037035E-4</v>
      </c>
      <c r="FZ172" s="10" cm="1">
        <f t="array" aca="1" ref="FZ172" ca="1">(1-$B$18)*SUMPRODUCT(OFFSET($BO$15,0,0,$B$14,1), 1*(_xlfn._xlws.FILTER(OFFSET($O$15,0,$DN172,$B$8,1),OFFSET($M$15,0,0,$B$8,1))=FZ$13), 1*(_xlfn._xlws.FILTER(OFFSET($O$15,0,$DO172,$B$8,1),OFFSET($M$15,0,0,$B$8,1))=FZ$14))   /   SUM(OFFSET($BO$15,0,0,$B$14,1)) + $B$18/($B$19*$B$19*($DN172&lt;&gt;$DO172) + $B$19*($DN172=$DO172))</f>
        <v>3.7037037037037035E-4</v>
      </c>
      <c r="GA172" s="10" cm="1">
        <f t="array" aca="1" ref="GA172" ca="1">(1-$B$18)*SUMPRODUCT(OFFSET($BO$15,0,0,$B$14,1), 1*(_xlfn._xlws.FILTER(OFFSET($O$15,0,$DN172,$B$8,1),OFFSET($M$15,0,0,$B$8,1))=GA$13), 1*(_xlfn._xlws.FILTER(OFFSET($O$15,0,$DO172,$B$8,1),OFFSET($M$15,0,0,$B$8,1))=GA$14))   /   SUM(OFFSET($BO$15,0,0,$B$14,1)) + $B$18/($B$19*$B$19*($DN172&lt;&gt;$DO172) + $B$19*($DN172=$DO172))</f>
        <v>3.7037037037037035E-4</v>
      </c>
    </row>
    <row r="173" spans="118:183" x14ac:dyDescent="0.2">
      <c r="DN173" cm="1">
        <f t="array" aca="1" ref="DN173" ca="1">INDEX(_xlfn.ANCHORARRAY($CP$15), 1 + INT((ROWS($DO$15:$DO173) - 1) / ROWS(_xlfn.ANCHORARRAY($CP$15))))</f>
        <v>8</v>
      </c>
      <c r="DO173" cm="1">
        <f t="array" aca="1" ref="DO173" ca="1">INDEX(_xlfn.ANCHORARRAY($CP$15),1+MOD(ROWS($DO$15:$DO173)-1,ROWS(_xlfn.ANCHORARRAY($CP$15))))</f>
        <v>6</v>
      </c>
      <c r="DP173" s="10" cm="1">
        <f t="array" aca="1" ref="DP173" ca="1">(1-$B$18)*SUMPRODUCT(OFFSET($BO$15,0,0,$B$14,1), 1*(_xlfn._xlws.FILTER(OFFSET($O$15,0,$DN173,$B$8,1),OFFSET($M$15,0,0,$B$8,1))=DP$13), 1*(_xlfn._xlws.FILTER(OFFSET($O$15,0,$DO173,$B$8,1),OFFSET($M$15,0,0,$B$8,1))=DP$14))   /   SUM(OFFSET($BO$15,0,0,$B$14,1)) + $B$18/($B$19*$B$19*($DN173&lt;&gt;$DO173) + $B$19*($DN173=$DO173))</f>
        <v>3.7037037037037035E-4</v>
      </c>
      <c r="DQ173" s="10" cm="1">
        <f t="array" aca="1" ref="DQ173" ca="1">(1-$B$18)*SUMPRODUCT(OFFSET($BO$15,0,0,$B$14,1), 1*(_xlfn._xlws.FILTER(OFFSET($O$15,0,$DN173,$B$8,1),OFFSET($M$15,0,0,$B$8,1))=DQ$13), 1*(_xlfn._xlws.FILTER(OFFSET($O$15,0,$DO173,$B$8,1),OFFSET($M$15,0,0,$B$8,1))=DQ$14))   /   SUM(OFFSET($BO$15,0,0,$B$14,1)) + $B$18/($B$19*$B$19*($DN173&lt;&gt;$DO173) + $B$19*($DN173=$DO173))</f>
        <v>3.7037037037037035E-4</v>
      </c>
      <c r="DR173" s="10" cm="1">
        <f t="array" aca="1" ref="DR173" ca="1">(1-$B$18)*SUMPRODUCT(OFFSET($BO$15,0,0,$B$14,1), 1*(_xlfn._xlws.FILTER(OFFSET($O$15,0,$DN173,$B$8,1),OFFSET($M$15,0,0,$B$8,1))=DR$13), 1*(_xlfn._xlws.FILTER(OFFSET($O$15,0,$DO173,$B$8,1),OFFSET($M$15,0,0,$B$8,1))=DR$14))   /   SUM(OFFSET($BO$15,0,0,$B$14,1)) + $B$18/($B$19*$B$19*($DN173&lt;&gt;$DO173) + $B$19*($DN173=$DO173))</f>
        <v>3.7037037037037035E-4</v>
      </c>
      <c r="DS173" s="10" cm="1">
        <f t="array" aca="1" ref="DS173" ca="1">(1-$B$18)*SUMPRODUCT(OFFSET($BO$15,0,0,$B$14,1), 1*(_xlfn._xlws.FILTER(OFFSET($O$15,0,$DN173,$B$8,1),OFFSET($M$15,0,0,$B$8,1))=DS$13), 1*(_xlfn._xlws.FILTER(OFFSET($O$15,0,$DO173,$B$8,1),OFFSET($M$15,0,0,$B$8,1))=DS$14))   /   SUM(OFFSET($BO$15,0,0,$B$14,1)) + $B$18/($B$19*$B$19*($DN173&lt;&gt;$DO173) + $B$19*($DN173=$DO173))</f>
        <v>3.7037037037037035E-4</v>
      </c>
      <c r="DT173" s="10" cm="1">
        <f t="array" aca="1" ref="DT173" ca="1">(1-$B$18)*SUMPRODUCT(OFFSET($BO$15,0,0,$B$14,1), 1*(_xlfn._xlws.FILTER(OFFSET($O$15,0,$DN173,$B$8,1),OFFSET($M$15,0,0,$B$8,1))=DT$13), 1*(_xlfn._xlws.FILTER(OFFSET($O$15,0,$DO173,$B$8,1),OFFSET($M$15,0,0,$B$8,1))=DT$14))   /   SUM(OFFSET($BO$15,0,0,$B$14,1)) + $B$18/($B$19*$B$19*($DN173&lt;&gt;$DO173) + $B$19*($DN173=$DO173))</f>
        <v>3.7037037037037035E-4</v>
      </c>
      <c r="DU173" s="10" cm="1">
        <f t="array" aca="1" ref="DU173" ca="1">(1-$B$18)*SUMPRODUCT(OFFSET($BO$15,0,0,$B$14,1), 1*(_xlfn._xlws.FILTER(OFFSET($O$15,0,$DN173,$B$8,1),OFFSET($M$15,0,0,$B$8,1))=DU$13), 1*(_xlfn._xlws.FILTER(OFFSET($O$15,0,$DO173,$B$8,1),OFFSET($M$15,0,0,$B$8,1))=DU$14))   /   SUM(OFFSET($BO$15,0,0,$B$14,1)) + $B$18/($B$19*$B$19*($DN173&lt;&gt;$DO173) + $B$19*($DN173=$DO173))</f>
        <v>3.7037037037037035E-4</v>
      </c>
      <c r="DV173" s="10" cm="1">
        <f t="array" aca="1" ref="DV173" ca="1">(1-$B$18)*SUMPRODUCT(OFFSET($BO$15,0,0,$B$14,1), 1*(_xlfn._xlws.FILTER(OFFSET($O$15,0,$DN173,$B$8,1),OFFSET($M$15,0,0,$B$8,1))=DV$13), 1*(_xlfn._xlws.FILTER(OFFSET($O$15,0,$DO173,$B$8,1),OFFSET($M$15,0,0,$B$8,1))=DV$14))   /   SUM(OFFSET($BO$15,0,0,$B$14,1)) + $B$18/($B$19*$B$19*($DN173&lt;&gt;$DO173) + $B$19*($DN173=$DO173))</f>
        <v>3.7037037037037035E-4</v>
      </c>
      <c r="DW173" s="10" cm="1">
        <f t="array" aca="1" ref="DW173" ca="1">(1-$B$18)*SUMPRODUCT(OFFSET($BO$15,0,0,$B$14,1), 1*(_xlfn._xlws.FILTER(OFFSET($O$15,0,$DN173,$B$8,1),OFFSET($M$15,0,0,$B$8,1))=DW$13), 1*(_xlfn._xlws.FILTER(OFFSET($O$15,0,$DO173,$B$8,1),OFFSET($M$15,0,0,$B$8,1))=DW$14))   /   SUM(OFFSET($BO$15,0,0,$B$14,1)) + $B$18/($B$19*$B$19*($DN173&lt;&gt;$DO173) + $B$19*($DN173=$DO173))</f>
        <v>3.7037037037037035E-4</v>
      </c>
      <c r="DX173" s="10" cm="1">
        <f t="array" aca="1" ref="DX173" ca="1">(1-$B$18)*SUMPRODUCT(OFFSET($BO$15,0,0,$B$14,1), 1*(_xlfn._xlws.FILTER(OFFSET($O$15,0,$DN173,$B$8,1),OFFSET($M$15,0,0,$B$8,1))=DX$13), 1*(_xlfn._xlws.FILTER(OFFSET($O$15,0,$DO173,$B$8,1),OFFSET($M$15,0,0,$B$8,1))=DX$14))   /   SUM(OFFSET($BO$15,0,0,$B$14,1)) + $B$18/($B$19*$B$19*($DN173&lt;&gt;$DO173) + $B$19*($DN173=$DO173))</f>
        <v>3.7037037037037035E-4</v>
      </c>
      <c r="DY173" s="10" cm="1">
        <f t="array" aca="1" ref="DY173" ca="1">(1-$B$18)*SUMPRODUCT(OFFSET($BO$15,0,0,$B$14,1), 1*(_xlfn._xlws.FILTER(OFFSET($O$15,0,$DN173,$B$8,1),OFFSET($M$15,0,0,$B$8,1))=DY$13), 1*(_xlfn._xlws.FILTER(OFFSET($O$15,0,$DO173,$B$8,1),OFFSET($M$15,0,0,$B$8,1))=DY$14))   /   SUM(OFFSET($BO$15,0,0,$B$14,1)) + $B$18/($B$19*$B$19*($DN173&lt;&gt;$DO173) + $B$19*($DN173=$DO173))</f>
        <v>3.7037037037037035E-4</v>
      </c>
      <c r="DZ173" s="10" cm="1">
        <f t="array" aca="1" ref="DZ173" ca="1">(1-$B$18)*SUMPRODUCT(OFFSET($BO$15,0,0,$B$14,1), 1*(_xlfn._xlws.FILTER(OFFSET($O$15,0,$DN173,$B$8,1),OFFSET($M$15,0,0,$B$8,1))=DZ$13), 1*(_xlfn._xlws.FILTER(OFFSET($O$15,0,$DO173,$B$8,1),OFFSET($M$15,0,0,$B$8,1))=DZ$14))   /   SUM(OFFSET($BO$15,0,0,$B$14,1)) + $B$18/($B$19*$B$19*($DN173&lt;&gt;$DO173) + $B$19*($DN173=$DO173))</f>
        <v>3.7037037037037035E-4</v>
      </c>
      <c r="EA173" s="10" cm="1">
        <f t="array" aca="1" ref="EA173" ca="1">(1-$B$18)*SUMPRODUCT(OFFSET($BO$15,0,0,$B$14,1), 1*(_xlfn._xlws.FILTER(OFFSET($O$15,0,$DN173,$B$8,1),OFFSET($M$15,0,0,$B$8,1))=EA$13), 1*(_xlfn._xlws.FILTER(OFFSET($O$15,0,$DO173,$B$8,1),OFFSET($M$15,0,0,$B$8,1))=EA$14))   /   SUM(OFFSET($BO$15,0,0,$B$14,1)) + $B$18/($B$19*$B$19*($DN173&lt;&gt;$DO173) + $B$19*($DN173=$DO173))</f>
        <v>3.7037037037037035E-4</v>
      </c>
      <c r="EB173" s="10" cm="1">
        <f t="array" aca="1" ref="EB173" ca="1">(1-$B$18)*SUMPRODUCT(OFFSET($BO$15,0,0,$B$14,1), 1*(_xlfn._xlws.FILTER(OFFSET($O$15,0,$DN173,$B$8,1),OFFSET($M$15,0,0,$B$8,1))=EB$13), 1*(_xlfn._xlws.FILTER(OFFSET($O$15,0,$DO173,$B$8,1),OFFSET($M$15,0,0,$B$8,1))=EB$14))   /   SUM(OFFSET($BO$15,0,0,$B$14,1)) + $B$18/($B$19*$B$19*($DN173&lt;&gt;$DO173) + $B$19*($DN173=$DO173))</f>
        <v>3.7037037037037035E-4</v>
      </c>
      <c r="EC173" s="10" cm="1">
        <f t="array" aca="1" ref="EC173" ca="1">(1-$B$18)*SUMPRODUCT(OFFSET($BO$15,0,0,$B$14,1), 1*(_xlfn._xlws.FILTER(OFFSET($O$15,0,$DN173,$B$8,1),OFFSET($M$15,0,0,$B$8,1))=EC$13), 1*(_xlfn._xlws.FILTER(OFFSET($O$15,0,$DO173,$B$8,1),OFFSET($M$15,0,0,$B$8,1))=EC$14))   /   SUM(OFFSET($BO$15,0,0,$B$14,1)) + $B$18/($B$19*$B$19*($DN173&lt;&gt;$DO173) + $B$19*($DN173=$DO173))</f>
        <v>3.7037037037037035E-4</v>
      </c>
      <c r="ED173" s="10" cm="1">
        <f t="array" aca="1" ref="ED173" ca="1">(1-$B$18)*SUMPRODUCT(OFFSET($BO$15,0,0,$B$14,1), 1*(_xlfn._xlws.FILTER(OFFSET($O$15,0,$DN173,$B$8,1),OFFSET($M$15,0,0,$B$8,1))=ED$13), 1*(_xlfn._xlws.FILTER(OFFSET($O$15,0,$DO173,$B$8,1),OFFSET($M$15,0,0,$B$8,1))=ED$14))   /   SUM(OFFSET($BO$15,0,0,$B$14,1)) + $B$18/($B$19*$B$19*($DN173&lt;&gt;$DO173) + $B$19*($DN173=$DO173))</f>
        <v>3.7037037037037035E-4</v>
      </c>
      <c r="EE173" s="10" cm="1">
        <f t="array" aca="1" ref="EE173" ca="1">(1-$B$18)*SUMPRODUCT(OFFSET($BO$15,0,0,$B$14,1), 1*(_xlfn._xlws.FILTER(OFFSET($O$15,0,$DN173,$B$8,1),OFFSET($M$15,0,0,$B$8,1))=EE$13), 1*(_xlfn._xlws.FILTER(OFFSET($O$15,0,$DO173,$B$8,1),OFFSET($M$15,0,0,$B$8,1))=EE$14))   /   SUM(OFFSET($BO$15,0,0,$B$14,1)) + $B$18/($B$19*$B$19*($DN173&lt;&gt;$DO173) + $B$19*($DN173=$DO173))</f>
        <v>3.7037037037037035E-4</v>
      </c>
      <c r="EF173" s="10" cm="1">
        <f t="array" aca="1" ref="EF173" ca="1">(1-$B$18)*SUMPRODUCT(OFFSET($BO$15,0,0,$B$14,1), 1*(_xlfn._xlws.FILTER(OFFSET($O$15,0,$DN173,$B$8,1),OFFSET($M$15,0,0,$B$8,1))=EF$13), 1*(_xlfn._xlws.FILTER(OFFSET($O$15,0,$DO173,$B$8,1),OFFSET($M$15,0,0,$B$8,1))=EF$14))   /   SUM(OFFSET($BO$15,0,0,$B$14,1)) + $B$18/($B$19*$B$19*($DN173&lt;&gt;$DO173) + $B$19*($DN173=$DO173))</f>
        <v>3.7037037037037035E-4</v>
      </c>
      <c r="EG173" s="10" cm="1">
        <f t="array" aca="1" ref="EG173" ca="1">(1-$B$18)*SUMPRODUCT(OFFSET($BO$15,0,0,$B$14,1), 1*(_xlfn._xlws.FILTER(OFFSET($O$15,0,$DN173,$B$8,1),OFFSET($M$15,0,0,$B$8,1))=EG$13), 1*(_xlfn._xlws.FILTER(OFFSET($O$15,0,$DO173,$B$8,1),OFFSET($M$15,0,0,$B$8,1))=EG$14))   /   SUM(OFFSET($BO$15,0,0,$B$14,1)) + $B$18/($B$19*$B$19*($DN173&lt;&gt;$DO173) + $B$19*($DN173=$DO173))</f>
        <v>3.7037037037037035E-4</v>
      </c>
      <c r="EH173" s="10" cm="1">
        <f t="array" aca="1" ref="EH173" ca="1">(1-$B$18)*SUMPRODUCT(OFFSET($BO$15,0,0,$B$14,1), 1*(_xlfn._xlws.FILTER(OFFSET($O$15,0,$DN173,$B$8,1),OFFSET($M$15,0,0,$B$8,1))=EH$13), 1*(_xlfn._xlws.FILTER(OFFSET($O$15,0,$DO173,$B$8,1),OFFSET($M$15,0,0,$B$8,1))=EH$14))   /   SUM(OFFSET($BO$15,0,0,$B$14,1)) + $B$18/($B$19*$B$19*($DN173&lt;&gt;$DO173) + $B$19*($DN173=$DO173))</f>
        <v>3.7037037037037035E-4</v>
      </c>
      <c r="EI173" s="10" cm="1">
        <f t="array" aca="1" ref="EI173" ca="1">(1-$B$18)*SUMPRODUCT(OFFSET($BO$15,0,0,$B$14,1), 1*(_xlfn._xlws.FILTER(OFFSET($O$15,0,$DN173,$B$8,1),OFFSET($M$15,0,0,$B$8,1))=EI$13), 1*(_xlfn._xlws.FILTER(OFFSET($O$15,0,$DO173,$B$8,1),OFFSET($M$15,0,0,$B$8,1))=EI$14))   /   SUM(OFFSET($BO$15,0,0,$B$14,1)) + $B$18/($B$19*$B$19*($DN173&lt;&gt;$DO173) + $B$19*($DN173=$DO173))</f>
        <v>3.7037037037037035E-4</v>
      </c>
      <c r="EJ173" s="10" cm="1">
        <f t="array" aca="1" ref="EJ173" ca="1">(1-$B$18)*SUMPRODUCT(OFFSET($BO$15,0,0,$B$14,1), 1*(_xlfn._xlws.FILTER(OFFSET($O$15,0,$DN173,$B$8,1),OFFSET($M$15,0,0,$B$8,1))=EJ$13), 1*(_xlfn._xlws.FILTER(OFFSET($O$15,0,$DO173,$B$8,1),OFFSET($M$15,0,0,$B$8,1))=EJ$14))   /   SUM(OFFSET($BO$15,0,0,$B$14,1)) + $B$18/($B$19*$B$19*($DN173&lt;&gt;$DO173) + $B$19*($DN173=$DO173))</f>
        <v>3.7037037037037035E-4</v>
      </c>
      <c r="EK173" s="10" cm="1">
        <f t="array" aca="1" ref="EK173" ca="1">(1-$B$18)*SUMPRODUCT(OFFSET($BO$15,0,0,$B$14,1), 1*(_xlfn._xlws.FILTER(OFFSET($O$15,0,$DN173,$B$8,1),OFFSET($M$15,0,0,$B$8,1))=EK$13), 1*(_xlfn._xlws.FILTER(OFFSET($O$15,0,$DO173,$B$8,1),OFFSET($M$15,0,0,$B$8,1))=EK$14))   /   SUM(OFFSET($BO$15,0,0,$B$14,1)) + $B$18/($B$19*$B$19*($DN173&lt;&gt;$DO173) + $B$19*($DN173=$DO173))</f>
        <v>3.7037037037037035E-4</v>
      </c>
      <c r="EL173" s="10" cm="1">
        <f t="array" aca="1" ref="EL173" ca="1">(1-$B$18)*SUMPRODUCT(OFFSET($BO$15,0,0,$B$14,1), 1*(_xlfn._xlws.FILTER(OFFSET($O$15,0,$DN173,$B$8,1),OFFSET($M$15,0,0,$B$8,1))=EL$13), 1*(_xlfn._xlws.FILTER(OFFSET($O$15,0,$DO173,$B$8,1),OFFSET($M$15,0,0,$B$8,1))=EL$14))   /   SUM(OFFSET($BO$15,0,0,$B$14,1)) + $B$18/($B$19*$B$19*($DN173&lt;&gt;$DO173) + $B$19*($DN173=$DO173))</f>
        <v>3.7037037037037035E-4</v>
      </c>
      <c r="EM173" s="10" cm="1">
        <f t="array" aca="1" ref="EM173" ca="1">(1-$B$18)*SUMPRODUCT(OFFSET($BO$15,0,0,$B$14,1), 1*(_xlfn._xlws.FILTER(OFFSET($O$15,0,$DN173,$B$8,1),OFFSET($M$15,0,0,$B$8,1))=EM$13), 1*(_xlfn._xlws.FILTER(OFFSET($O$15,0,$DO173,$B$8,1),OFFSET($M$15,0,0,$B$8,1))=EM$14))   /   SUM(OFFSET($BO$15,0,0,$B$14,1)) + $B$18/($B$19*$B$19*($DN173&lt;&gt;$DO173) + $B$19*($DN173=$DO173))</f>
        <v>3.7037037037037035E-4</v>
      </c>
      <c r="EN173" s="10" cm="1">
        <f t="array" aca="1" ref="EN173" ca="1">(1-$B$18)*SUMPRODUCT(OFFSET($BO$15,0,0,$B$14,1), 1*(_xlfn._xlws.FILTER(OFFSET($O$15,0,$DN173,$B$8,1),OFFSET($M$15,0,0,$B$8,1))=EN$13), 1*(_xlfn._xlws.FILTER(OFFSET($O$15,0,$DO173,$B$8,1),OFFSET($M$15,0,0,$B$8,1))=EN$14))   /   SUM(OFFSET($BO$15,0,0,$B$14,1)) + $B$18/($B$19*$B$19*($DN173&lt;&gt;$DO173) + $B$19*($DN173=$DO173))</f>
        <v>3.7037037037037035E-4</v>
      </c>
      <c r="EO173" s="10" cm="1">
        <f t="array" aca="1" ref="EO173" ca="1">(1-$B$18)*SUMPRODUCT(OFFSET($BO$15,0,0,$B$14,1), 1*(_xlfn._xlws.FILTER(OFFSET($O$15,0,$DN173,$B$8,1),OFFSET($M$15,0,0,$B$8,1))=EO$13), 1*(_xlfn._xlws.FILTER(OFFSET($O$15,0,$DO173,$B$8,1),OFFSET($M$15,0,0,$B$8,1))=EO$14))   /   SUM(OFFSET($BO$15,0,0,$B$14,1)) + $B$18/($B$19*$B$19*($DN173&lt;&gt;$DO173) + $B$19*($DN173=$DO173))</f>
        <v>3.7037037037037035E-4</v>
      </c>
      <c r="EP173" s="10" cm="1">
        <f t="array" aca="1" ref="EP173" ca="1">(1-$B$18)*SUMPRODUCT(OFFSET($BO$15,0,0,$B$14,1), 1*(_xlfn._xlws.FILTER(OFFSET($O$15,0,$DN173,$B$8,1),OFFSET($M$15,0,0,$B$8,1))=EP$13), 1*(_xlfn._xlws.FILTER(OFFSET($O$15,0,$DO173,$B$8,1),OFFSET($M$15,0,0,$B$8,1))=EP$14))   /   SUM(OFFSET($BO$15,0,0,$B$14,1)) + $B$18/($B$19*$B$19*($DN173&lt;&gt;$DO173) + $B$19*($DN173=$DO173))</f>
        <v>3.7037037037037035E-4</v>
      </c>
      <c r="EQ173" s="10" cm="1">
        <f t="array" aca="1" ref="EQ173" ca="1">(1-$B$18)*SUMPRODUCT(OFFSET($BO$15,0,0,$B$14,1), 1*(_xlfn._xlws.FILTER(OFFSET($O$15,0,$DN173,$B$8,1),OFFSET($M$15,0,0,$B$8,1))=EQ$13), 1*(_xlfn._xlws.FILTER(OFFSET($O$15,0,$DO173,$B$8,1),OFFSET($M$15,0,0,$B$8,1))=EQ$14))   /   SUM(OFFSET($BO$15,0,0,$B$14,1)) + $B$18/($B$19*$B$19*($DN173&lt;&gt;$DO173) + $B$19*($DN173=$DO173))</f>
        <v>3.7037037037037035E-4</v>
      </c>
      <c r="ER173" s="10" cm="1">
        <f t="array" aca="1" ref="ER173" ca="1">(1-$B$18)*SUMPRODUCT(OFFSET($BO$15,0,0,$B$14,1), 1*(_xlfn._xlws.FILTER(OFFSET($O$15,0,$DN173,$B$8,1),OFFSET($M$15,0,0,$B$8,1))=ER$13), 1*(_xlfn._xlws.FILTER(OFFSET($O$15,0,$DO173,$B$8,1),OFFSET($M$15,0,0,$B$8,1))=ER$14))   /   SUM(OFFSET($BO$15,0,0,$B$14,1)) + $B$18/($B$19*$B$19*($DN173&lt;&gt;$DO173) + $B$19*($DN173=$DO173))</f>
        <v>3.7037037037037035E-4</v>
      </c>
      <c r="ES173" s="10" cm="1">
        <f t="array" aca="1" ref="ES173" ca="1">(1-$B$18)*SUMPRODUCT(OFFSET($BO$15,0,0,$B$14,1), 1*(_xlfn._xlws.FILTER(OFFSET($O$15,0,$DN173,$B$8,1),OFFSET($M$15,0,0,$B$8,1))=ES$13), 1*(_xlfn._xlws.FILTER(OFFSET($O$15,0,$DO173,$B$8,1),OFFSET($M$15,0,0,$B$8,1))=ES$14))   /   SUM(OFFSET($BO$15,0,0,$B$14,1)) + $B$18/($B$19*$B$19*($DN173&lt;&gt;$DO173) + $B$19*($DN173=$DO173))</f>
        <v>3.7037037037037035E-4</v>
      </c>
      <c r="ET173" s="10" cm="1">
        <f t="array" aca="1" ref="ET173" ca="1">(1-$B$18)*SUMPRODUCT(OFFSET($BO$15,0,0,$B$14,1), 1*(_xlfn._xlws.FILTER(OFFSET($O$15,0,$DN173,$B$8,1),OFFSET($M$15,0,0,$B$8,1))=ET$13), 1*(_xlfn._xlws.FILTER(OFFSET($O$15,0,$DO173,$B$8,1),OFFSET($M$15,0,0,$B$8,1))=ET$14))   /   SUM(OFFSET($BO$15,0,0,$B$14,1)) + $B$18/($B$19*$B$19*($DN173&lt;&gt;$DO173) + $B$19*($DN173=$DO173))</f>
        <v>3.7037037037037035E-4</v>
      </c>
      <c r="EU173" s="10" cm="1">
        <f t="array" aca="1" ref="EU173" ca="1">(1-$B$18)*SUMPRODUCT(OFFSET($BO$15,0,0,$B$14,1), 1*(_xlfn._xlws.FILTER(OFFSET($O$15,0,$DN173,$B$8,1),OFFSET($M$15,0,0,$B$8,1))=EU$13), 1*(_xlfn._xlws.FILTER(OFFSET($O$15,0,$DO173,$B$8,1),OFFSET($M$15,0,0,$B$8,1))=EU$14))   /   SUM(OFFSET($BO$15,0,0,$B$14,1)) + $B$18/($B$19*$B$19*($DN173&lt;&gt;$DO173) + $B$19*($DN173=$DO173))</f>
        <v>3.7037037037037035E-4</v>
      </c>
      <c r="EV173" s="10" cm="1">
        <f t="array" aca="1" ref="EV173" ca="1">(1-$B$18)*SUMPRODUCT(OFFSET($BO$15,0,0,$B$14,1), 1*(_xlfn._xlws.FILTER(OFFSET($O$15,0,$DN173,$B$8,1),OFFSET($M$15,0,0,$B$8,1))=EV$13), 1*(_xlfn._xlws.FILTER(OFFSET($O$15,0,$DO173,$B$8,1),OFFSET($M$15,0,0,$B$8,1))=EV$14))   /   SUM(OFFSET($BO$15,0,0,$B$14,1)) + $B$18/($B$19*$B$19*($DN173&lt;&gt;$DO173) + $B$19*($DN173=$DO173))</f>
        <v>3.7037037037037035E-4</v>
      </c>
      <c r="EW173" s="10" cm="1">
        <f t="array" aca="1" ref="EW173" ca="1">(1-$B$18)*SUMPRODUCT(OFFSET($BO$15,0,0,$B$14,1), 1*(_xlfn._xlws.FILTER(OFFSET($O$15,0,$DN173,$B$8,1),OFFSET($M$15,0,0,$B$8,1))=EW$13), 1*(_xlfn._xlws.FILTER(OFFSET($O$15,0,$DO173,$B$8,1),OFFSET($M$15,0,0,$B$8,1))=EW$14))   /   SUM(OFFSET($BO$15,0,0,$B$14,1)) + $B$18/($B$19*$B$19*($DN173&lt;&gt;$DO173) + $B$19*($DN173=$DO173))</f>
        <v>3.7037037037037035E-4</v>
      </c>
      <c r="EX173" s="10" cm="1">
        <f t="array" aca="1" ref="EX173" ca="1">(1-$B$18)*SUMPRODUCT(OFFSET($BO$15,0,0,$B$14,1), 1*(_xlfn._xlws.FILTER(OFFSET($O$15,0,$DN173,$B$8,1),OFFSET($M$15,0,0,$B$8,1))=EX$13), 1*(_xlfn._xlws.FILTER(OFFSET($O$15,0,$DO173,$B$8,1),OFFSET($M$15,0,0,$B$8,1))=EX$14))   /   SUM(OFFSET($BO$15,0,0,$B$14,1)) + $B$18/($B$19*$B$19*($DN173&lt;&gt;$DO173) + $B$19*($DN173=$DO173))</f>
        <v>3.7037037037037035E-4</v>
      </c>
      <c r="EY173" s="10" cm="1">
        <f t="array" aca="1" ref="EY173" ca="1">(1-$B$18)*SUMPRODUCT(OFFSET($BO$15,0,0,$B$14,1), 1*(_xlfn._xlws.FILTER(OFFSET($O$15,0,$DN173,$B$8,1),OFFSET($M$15,0,0,$B$8,1))=EY$13), 1*(_xlfn._xlws.FILTER(OFFSET($O$15,0,$DO173,$B$8,1),OFFSET($M$15,0,0,$B$8,1))=EY$14))   /   SUM(OFFSET($BO$15,0,0,$B$14,1)) + $B$18/($B$19*$B$19*($DN173&lt;&gt;$DO173) + $B$19*($DN173=$DO173))</f>
        <v>3.7037037037037035E-4</v>
      </c>
      <c r="EZ173" s="10" cm="1">
        <f t="array" aca="1" ref="EZ173" ca="1">(1-$B$18)*SUMPRODUCT(OFFSET($BO$15,0,0,$B$14,1), 1*(_xlfn._xlws.FILTER(OFFSET($O$15,0,$DN173,$B$8,1),OFFSET($M$15,0,0,$B$8,1))=EZ$13), 1*(_xlfn._xlws.FILTER(OFFSET($O$15,0,$DO173,$B$8,1),OFFSET($M$15,0,0,$B$8,1))=EZ$14))   /   SUM(OFFSET($BO$15,0,0,$B$14,1)) + $B$18/($B$19*$B$19*($DN173&lt;&gt;$DO173) + $B$19*($DN173=$DO173))</f>
        <v>3.7037037037037035E-4</v>
      </c>
      <c r="FA173" s="10" cm="1">
        <f t="array" aca="1" ref="FA173" ca="1">(1-$B$18)*SUMPRODUCT(OFFSET($BO$15,0,0,$B$14,1), 1*(_xlfn._xlws.FILTER(OFFSET($O$15,0,$DN173,$B$8,1),OFFSET($M$15,0,0,$B$8,1))=FA$13), 1*(_xlfn._xlws.FILTER(OFFSET($O$15,0,$DO173,$B$8,1),OFFSET($M$15,0,0,$B$8,1))=FA$14))   /   SUM(OFFSET($BO$15,0,0,$B$14,1)) + $B$18/($B$19*$B$19*($DN173&lt;&gt;$DO173) + $B$19*($DN173=$DO173))</f>
        <v>3.7037037037037035E-4</v>
      </c>
      <c r="FB173" s="10" cm="1">
        <f t="array" aca="1" ref="FB173" ca="1">(1-$B$18)*SUMPRODUCT(OFFSET($BO$15,0,0,$B$14,1), 1*(_xlfn._xlws.FILTER(OFFSET($O$15,0,$DN173,$B$8,1),OFFSET($M$15,0,0,$B$8,1))=FB$13), 1*(_xlfn._xlws.FILTER(OFFSET($O$15,0,$DO173,$B$8,1),OFFSET($M$15,0,0,$B$8,1))=FB$14))   /   SUM(OFFSET($BO$15,0,0,$B$14,1)) + $B$18/($B$19*$B$19*($DN173&lt;&gt;$DO173) + $B$19*($DN173=$DO173))</f>
        <v>3.7037037037037035E-4</v>
      </c>
      <c r="FC173" s="10" cm="1">
        <f t="array" aca="1" ref="FC173" ca="1">(1-$B$18)*SUMPRODUCT(OFFSET($BO$15,0,0,$B$14,1), 1*(_xlfn._xlws.FILTER(OFFSET($O$15,0,$DN173,$B$8,1),OFFSET($M$15,0,0,$B$8,1))=FC$13), 1*(_xlfn._xlws.FILTER(OFFSET($O$15,0,$DO173,$B$8,1),OFFSET($M$15,0,0,$B$8,1))=FC$14))   /   SUM(OFFSET($BO$15,0,0,$B$14,1)) + $B$18/($B$19*$B$19*($DN173&lt;&gt;$DO173) + $B$19*($DN173=$DO173))</f>
        <v>3.7037037037037035E-4</v>
      </c>
      <c r="FD173" s="10" cm="1">
        <f t="array" aca="1" ref="FD173" ca="1">(1-$B$18)*SUMPRODUCT(OFFSET($BO$15,0,0,$B$14,1), 1*(_xlfn._xlws.FILTER(OFFSET($O$15,0,$DN173,$B$8,1),OFFSET($M$15,0,0,$B$8,1))=FD$13), 1*(_xlfn._xlws.FILTER(OFFSET($O$15,0,$DO173,$B$8,1),OFFSET($M$15,0,0,$B$8,1))=FD$14))   /   SUM(OFFSET($BO$15,0,0,$B$14,1)) + $B$18/($B$19*$B$19*($DN173&lt;&gt;$DO173) + $B$19*($DN173=$DO173))</f>
        <v>3.7037037037037035E-4</v>
      </c>
      <c r="FE173" s="10" cm="1">
        <f t="array" aca="1" ref="FE173" ca="1">(1-$B$18)*SUMPRODUCT(OFFSET($BO$15,0,0,$B$14,1), 1*(_xlfn._xlws.FILTER(OFFSET($O$15,0,$DN173,$B$8,1),OFFSET($M$15,0,0,$B$8,1))=FE$13), 1*(_xlfn._xlws.FILTER(OFFSET($O$15,0,$DO173,$B$8,1),OFFSET($M$15,0,0,$B$8,1))=FE$14))   /   SUM(OFFSET($BO$15,0,0,$B$14,1)) + $B$18/($B$19*$B$19*($DN173&lt;&gt;$DO173) + $B$19*($DN173=$DO173))</f>
        <v>3.7037037037037035E-4</v>
      </c>
      <c r="FF173" s="10" cm="1">
        <f t="array" aca="1" ref="FF173" ca="1">(1-$B$18)*SUMPRODUCT(OFFSET($BO$15,0,0,$B$14,1), 1*(_xlfn._xlws.FILTER(OFFSET($O$15,0,$DN173,$B$8,1),OFFSET($M$15,0,0,$B$8,1))=FF$13), 1*(_xlfn._xlws.FILTER(OFFSET($O$15,0,$DO173,$B$8,1),OFFSET($M$15,0,0,$B$8,1))=FF$14))   /   SUM(OFFSET($BO$15,0,0,$B$14,1)) + $B$18/($B$19*$B$19*($DN173&lt;&gt;$DO173) + $B$19*($DN173=$DO173))</f>
        <v>3.7037037037037035E-4</v>
      </c>
      <c r="FG173" s="10" cm="1">
        <f t="array" aca="1" ref="FG173" ca="1">(1-$B$18)*SUMPRODUCT(OFFSET($BO$15,0,0,$B$14,1), 1*(_xlfn._xlws.FILTER(OFFSET($O$15,0,$DN173,$B$8,1),OFFSET($M$15,0,0,$B$8,1))=FG$13), 1*(_xlfn._xlws.FILTER(OFFSET($O$15,0,$DO173,$B$8,1),OFFSET($M$15,0,0,$B$8,1))=FG$14))   /   SUM(OFFSET($BO$15,0,0,$B$14,1)) + $B$18/($B$19*$B$19*($DN173&lt;&gt;$DO173) + $B$19*($DN173=$DO173))</f>
        <v>3.7037037037037035E-4</v>
      </c>
      <c r="FH173" s="10" cm="1">
        <f t="array" aca="1" ref="FH173" ca="1">(1-$B$18)*SUMPRODUCT(OFFSET($BO$15,0,0,$B$14,1), 1*(_xlfn._xlws.FILTER(OFFSET($O$15,0,$DN173,$B$8,1),OFFSET($M$15,0,0,$B$8,1))=FH$13), 1*(_xlfn._xlws.FILTER(OFFSET($O$15,0,$DO173,$B$8,1),OFFSET($M$15,0,0,$B$8,1))=FH$14))   /   SUM(OFFSET($BO$15,0,0,$B$14,1)) + $B$18/($B$19*$B$19*($DN173&lt;&gt;$DO173) + $B$19*($DN173=$DO173))</f>
        <v>3.7037037037037035E-4</v>
      </c>
      <c r="FI173" s="10" cm="1">
        <f t="array" aca="1" ref="FI173" ca="1">(1-$B$18)*SUMPRODUCT(OFFSET($BO$15,0,0,$B$14,1), 1*(_xlfn._xlws.FILTER(OFFSET($O$15,0,$DN173,$B$8,1),OFFSET($M$15,0,0,$B$8,1))=FI$13), 1*(_xlfn._xlws.FILTER(OFFSET($O$15,0,$DO173,$B$8,1),OFFSET($M$15,0,0,$B$8,1))=FI$14))   /   SUM(OFFSET($BO$15,0,0,$B$14,1)) + $B$18/($B$19*$B$19*($DN173&lt;&gt;$DO173) + $B$19*($DN173=$DO173))</f>
        <v>3.7037037037037035E-4</v>
      </c>
      <c r="FJ173" s="10" cm="1">
        <f t="array" aca="1" ref="FJ173" ca="1">(1-$B$18)*SUMPRODUCT(OFFSET($BO$15,0,0,$B$14,1), 1*(_xlfn._xlws.FILTER(OFFSET($O$15,0,$DN173,$B$8,1),OFFSET($M$15,0,0,$B$8,1))=FJ$13), 1*(_xlfn._xlws.FILTER(OFFSET($O$15,0,$DO173,$B$8,1),OFFSET($M$15,0,0,$B$8,1))=FJ$14))   /   SUM(OFFSET($BO$15,0,0,$B$14,1)) + $B$18/($B$19*$B$19*($DN173&lt;&gt;$DO173) + $B$19*($DN173=$DO173))</f>
        <v>3.7037037037037035E-4</v>
      </c>
      <c r="FK173" s="10" cm="1">
        <f t="array" aca="1" ref="FK173" ca="1">(1-$B$18)*SUMPRODUCT(OFFSET($BO$15,0,0,$B$14,1), 1*(_xlfn._xlws.FILTER(OFFSET($O$15,0,$DN173,$B$8,1),OFFSET($M$15,0,0,$B$8,1))=FK$13), 1*(_xlfn._xlws.FILTER(OFFSET($O$15,0,$DO173,$B$8,1),OFFSET($M$15,0,0,$B$8,1))=FK$14))   /   SUM(OFFSET($BO$15,0,0,$B$14,1)) + $B$18/($B$19*$B$19*($DN173&lt;&gt;$DO173) + $B$19*($DN173=$DO173))</f>
        <v>3.7037037037037035E-4</v>
      </c>
      <c r="FL173" s="10" cm="1">
        <f t="array" aca="1" ref="FL173" ca="1">(1-$B$18)*SUMPRODUCT(OFFSET($BO$15,0,0,$B$14,1), 1*(_xlfn._xlws.FILTER(OFFSET($O$15,0,$DN173,$B$8,1),OFFSET($M$15,0,0,$B$8,1))=FL$13), 1*(_xlfn._xlws.FILTER(OFFSET($O$15,0,$DO173,$B$8,1),OFFSET($M$15,0,0,$B$8,1))=FL$14))   /   SUM(OFFSET($BO$15,0,0,$B$14,1)) + $B$18/($B$19*$B$19*($DN173&lt;&gt;$DO173) + $B$19*($DN173=$DO173))</f>
        <v>3.7037037037037035E-4</v>
      </c>
      <c r="FM173" s="10" cm="1">
        <f t="array" aca="1" ref="FM173" ca="1">(1-$B$18)*SUMPRODUCT(OFFSET($BO$15,0,0,$B$14,1), 1*(_xlfn._xlws.FILTER(OFFSET($O$15,0,$DN173,$B$8,1),OFFSET($M$15,0,0,$B$8,1))=FM$13), 1*(_xlfn._xlws.FILTER(OFFSET($O$15,0,$DO173,$B$8,1),OFFSET($M$15,0,0,$B$8,1))=FM$14))   /   SUM(OFFSET($BO$15,0,0,$B$14,1)) + $B$18/($B$19*$B$19*($DN173&lt;&gt;$DO173) + $B$19*($DN173=$DO173))</f>
        <v>3.7037037037037035E-4</v>
      </c>
      <c r="FN173" s="10" cm="1">
        <f t="array" aca="1" ref="FN173" ca="1">(1-$B$18)*SUMPRODUCT(OFFSET($BO$15,0,0,$B$14,1), 1*(_xlfn._xlws.FILTER(OFFSET($O$15,0,$DN173,$B$8,1),OFFSET($M$15,0,0,$B$8,1))=FN$13), 1*(_xlfn._xlws.FILTER(OFFSET($O$15,0,$DO173,$B$8,1),OFFSET($M$15,0,0,$B$8,1))=FN$14))   /   SUM(OFFSET($BO$15,0,0,$B$14,1)) + $B$18/($B$19*$B$19*($DN173&lt;&gt;$DO173) + $B$19*($DN173=$DO173))</f>
        <v>3.7037037037037035E-4</v>
      </c>
      <c r="FO173" s="10" cm="1">
        <f t="array" aca="1" ref="FO173" ca="1">(1-$B$18)*SUMPRODUCT(OFFSET($BO$15,0,0,$B$14,1), 1*(_xlfn._xlws.FILTER(OFFSET($O$15,0,$DN173,$B$8,1),OFFSET($M$15,0,0,$B$8,1))=FO$13), 1*(_xlfn._xlws.FILTER(OFFSET($O$15,0,$DO173,$B$8,1),OFFSET($M$15,0,0,$B$8,1))=FO$14))   /   SUM(OFFSET($BO$15,0,0,$B$14,1)) + $B$18/($B$19*$B$19*($DN173&lt;&gt;$DO173) + $B$19*($DN173=$DO173))</f>
        <v>3.7037037037037035E-4</v>
      </c>
      <c r="FP173" s="10" cm="1">
        <f t="array" aca="1" ref="FP173" ca="1">(1-$B$18)*SUMPRODUCT(OFFSET($BO$15,0,0,$B$14,1), 1*(_xlfn._xlws.FILTER(OFFSET($O$15,0,$DN173,$B$8,1),OFFSET($M$15,0,0,$B$8,1))=FP$13), 1*(_xlfn._xlws.FILTER(OFFSET($O$15,0,$DO173,$B$8,1),OFFSET($M$15,0,0,$B$8,1))=FP$14))   /   SUM(OFFSET($BO$15,0,0,$B$14,1)) + $B$18/($B$19*$B$19*($DN173&lt;&gt;$DO173) + $B$19*($DN173=$DO173))</f>
        <v>3.7037037037037035E-4</v>
      </c>
      <c r="FQ173" s="10" cm="1">
        <f t="array" aca="1" ref="FQ173" ca="1">(1-$B$18)*SUMPRODUCT(OFFSET($BO$15,0,0,$B$14,1), 1*(_xlfn._xlws.FILTER(OFFSET($O$15,0,$DN173,$B$8,1),OFFSET($M$15,0,0,$B$8,1))=FQ$13), 1*(_xlfn._xlws.FILTER(OFFSET($O$15,0,$DO173,$B$8,1),OFFSET($M$15,0,0,$B$8,1))=FQ$14))   /   SUM(OFFSET($BO$15,0,0,$B$14,1)) + $B$18/($B$19*$B$19*($DN173&lt;&gt;$DO173) + $B$19*($DN173=$DO173))</f>
        <v>3.7037037037037035E-4</v>
      </c>
      <c r="FR173" s="10" cm="1">
        <f t="array" aca="1" ref="FR173" ca="1">(1-$B$18)*SUMPRODUCT(OFFSET($BO$15,0,0,$B$14,1), 1*(_xlfn._xlws.FILTER(OFFSET($O$15,0,$DN173,$B$8,1),OFFSET($M$15,0,0,$B$8,1))=FR$13), 1*(_xlfn._xlws.FILTER(OFFSET($O$15,0,$DO173,$B$8,1),OFFSET($M$15,0,0,$B$8,1))=FR$14))   /   SUM(OFFSET($BO$15,0,0,$B$14,1)) + $B$18/($B$19*$B$19*($DN173&lt;&gt;$DO173) + $B$19*($DN173=$DO173))</f>
        <v>0.97037037037037033</v>
      </c>
      <c r="FS173" s="10" cm="1">
        <f t="array" aca="1" ref="FS173" ca="1">(1-$B$18)*SUMPRODUCT(OFFSET($BO$15,0,0,$B$14,1), 1*(_xlfn._xlws.FILTER(OFFSET($O$15,0,$DN173,$B$8,1),OFFSET($M$15,0,0,$B$8,1))=FS$13), 1*(_xlfn._xlws.FILTER(OFFSET($O$15,0,$DO173,$B$8,1),OFFSET($M$15,0,0,$B$8,1))=FS$14))   /   SUM(OFFSET($BO$15,0,0,$B$14,1)) + $B$18/($B$19*$B$19*($DN173&lt;&gt;$DO173) + $B$19*($DN173=$DO173))</f>
        <v>3.7037037037037035E-4</v>
      </c>
      <c r="FT173" s="10" cm="1">
        <f t="array" aca="1" ref="FT173" ca="1">(1-$B$18)*SUMPRODUCT(OFFSET($BO$15,0,0,$B$14,1), 1*(_xlfn._xlws.FILTER(OFFSET($O$15,0,$DN173,$B$8,1),OFFSET($M$15,0,0,$B$8,1))=FT$13), 1*(_xlfn._xlws.FILTER(OFFSET($O$15,0,$DO173,$B$8,1),OFFSET($M$15,0,0,$B$8,1))=FT$14))   /   SUM(OFFSET($BO$15,0,0,$B$14,1)) + $B$18/($B$19*$B$19*($DN173&lt;&gt;$DO173) + $B$19*($DN173=$DO173))</f>
        <v>3.7037037037037035E-4</v>
      </c>
      <c r="FU173" s="10" cm="1">
        <f t="array" aca="1" ref="FU173" ca="1">(1-$B$18)*SUMPRODUCT(OFFSET($BO$15,0,0,$B$14,1), 1*(_xlfn._xlws.FILTER(OFFSET($O$15,0,$DN173,$B$8,1),OFFSET($M$15,0,0,$B$8,1))=FU$13), 1*(_xlfn._xlws.FILTER(OFFSET($O$15,0,$DO173,$B$8,1),OFFSET($M$15,0,0,$B$8,1))=FU$14))   /   SUM(OFFSET($BO$15,0,0,$B$14,1)) + $B$18/($B$19*$B$19*($DN173&lt;&gt;$DO173) + $B$19*($DN173=$DO173))</f>
        <v>3.7037037037037035E-4</v>
      </c>
      <c r="FV173" s="10" cm="1">
        <f t="array" aca="1" ref="FV173" ca="1">(1-$B$18)*SUMPRODUCT(OFFSET($BO$15,0,0,$B$14,1), 1*(_xlfn._xlws.FILTER(OFFSET($O$15,0,$DN173,$B$8,1),OFFSET($M$15,0,0,$B$8,1))=FV$13), 1*(_xlfn._xlws.FILTER(OFFSET($O$15,0,$DO173,$B$8,1),OFFSET($M$15,0,0,$B$8,1))=FV$14))   /   SUM(OFFSET($BO$15,0,0,$B$14,1)) + $B$18/($B$19*$B$19*($DN173&lt;&gt;$DO173) + $B$19*($DN173=$DO173))</f>
        <v>3.7037037037037035E-4</v>
      </c>
      <c r="FW173" s="10" cm="1">
        <f t="array" aca="1" ref="FW173" ca="1">(1-$B$18)*SUMPRODUCT(OFFSET($BO$15,0,0,$B$14,1), 1*(_xlfn._xlws.FILTER(OFFSET($O$15,0,$DN173,$B$8,1),OFFSET($M$15,0,0,$B$8,1))=FW$13), 1*(_xlfn._xlws.FILTER(OFFSET($O$15,0,$DO173,$B$8,1),OFFSET($M$15,0,0,$B$8,1))=FW$14))   /   SUM(OFFSET($BO$15,0,0,$B$14,1)) + $B$18/($B$19*$B$19*($DN173&lt;&gt;$DO173) + $B$19*($DN173=$DO173))</f>
        <v>3.7037037037037035E-4</v>
      </c>
      <c r="FX173" s="10" cm="1">
        <f t="array" aca="1" ref="FX173" ca="1">(1-$B$18)*SUMPRODUCT(OFFSET($BO$15,0,0,$B$14,1), 1*(_xlfn._xlws.FILTER(OFFSET($O$15,0,$DN173,$B$8,1),OFFSET($M$15,0,0,$B$8,1))=FX$13), 1*(_xlfn._xlws.FILTER(OFFSET($O$15,0,$DO173,$B$8,1),OFFSET($M$15,0,0,$B$8,1))=FX$14))   /   SUM(OFFSET($BO$15,0,0,$B$14,1)) + $B$18/($B$19*$B$19*($DN173&lt;&gt;$DO173) + $B$19*($DN173=$DO173))</f>
        <v>3.7037037037037035E-4</v>
      </c>
      <c r="FY173" s="10" cm="1">
        <f t="array" aca="1" ref="FY173" ca="1">(1-$B$18)*SUMPRODUCT(OFFSET($BO$15,0,0,$B$14,1), 1*(_xlfn._xlws.FILTER(OFFSET($O$15,0,$DN173,$B$8,1),OFFSET($M$15,0,0,$B$8,1))=FY$13), 1*(_xlfn._xlws.FILTER(OFFSET($O$15,0,$DO173,$B$8,1),OFFSET($M$15,0,0,$B$8,1))=FY$14))   /   SUM(OFFSET($BO$15,0,0,$B$14,1)) + $B$18/($B$19*$B$19*($DN173&lt;&gt;$DO173) + $B$19*($DN173=$DO173))</f>
        <v>3.7037037037037035E-4</v>
      </c>
      <c r="FZ173" s="10" cm="1">
        <f t="array" aca="1" ref="FZ173" ca="1">(1-$B$18)*SUMPRODUCT(OFFSET($BO$15,0,0,$B$14,1), 1*(_xlfn._xlws.FILTER(OFFSET($O$15,0,$DN173,$B$8,1),OFFSET($M$15,0,0,$B$8,1))=FZ$13), 1*(_xlfn._xlws.FILTER(OFFSET($O$15,0,$DO173,$B$8,1),OFFSET($M$15,0,0,$B$8,1))=FZ$14))   /   SUM(OFFSET($BO$15,0,0,$B$14,1)) + $B$18/($B$19*$B$19*($DN173&lt;&gt;$DO173) + $B$19*($DN173=$DO173))</f>
        <v>3.7037037037037035E-4</v>
      </c>
      <c r="GA173" s="10" cm="1">
        <f t="array" aca="1" ref="GA173" ca="1">(1-$B$18)*SUMPRODUCT(OFFSET($BO$15,0,0,$B$14,1), 1*(_xlfn._xlws.FILTER(OFFSET($O$15,0,$DN173,$B$8,1),OFFSET($M$15,0,0,$B$8,1))=GA$13), 1*(_xlfn._xlws.FILTER(OFFSET($O$15,0,$DO173,$B$8,1),OFFSET($M$15,0,0,$B$8,1))=GA$14))   /   SUM(OFFSET($BO$15,0,0,$B$14,1)) + $B$18/($B$19*$B$19*($DN173&lt;&gt;$DO173) + $B$19*($DN173=$DO173))</f>
        <v>3.7037037037037035E-4</v>
      </c>
    </row>
    <row r="174" spans="118:183" x14ac:dyDescent="0.2">
      <c r="DN174" cm="1">
        <f t="array" aca="1" ref="DN174" ca="1">INDEX(_xlfn.ANCHORARRAY($CP$15), 1 + INT((ROWS($DO$15:$DO174) - 1) / ROWS(_xlfn.ANCHORARRAY($CP$15))))</f>
        <v>8</v>
      </c>
      <c r="DO174" cm="1">
        <f t="array" aca="1" ref="DO174" ca="1">INDEX(_xlfn.ANCHORARRAY($CP$15),1+MOD(ROWS($DO$15:$DO174)-1,ROWS(_xlfn.ANCHORARRAY($CP$15))))</f>
        <v>7</v>
      </c>
      <c r="DP174" s="10" cm="1">
        <f t="array" aca="1" ref="DP174" ca="1">(1-$B$18)*SUMPRODUCT(OFFSET($BO$15,0,0,$B$14,1), 1*(_xlfn._xlws.FILTER(OFFSET($O$15,0,$DN174,$B$8,1),OFFSET($M$15,0,0,$B$8,1))=DP$13), 1*(_xlfn._xlws.FILTER(OFFSET($O$15,0,$DO174,$B$8,1),OFFSET($M$15,0,0,$B$8,1))=DP$14))   /   SUM(OFFSET($BO$15,0,0,$B$14,1)) + $B$18/($B$19*$B$19*($DN174&lt;&gt;$DO174) + $B$19*($DN174=$DO174))</f>
        <v>3.7037037037037035E-4</v>
      </c>
      <c r="DQ174" s="10" cm="1">
        <f t="array" aca="1" ref="DQ174" ca="1">(1-$B$18)*SUMPRODUCT(OFFSET($BO$15,0,0,$B$14,1), 1*(_xlfn._xlws.FILTER(OFFSET($O$15,0,$DN174,$B$8,1),OFFSET($M$15,0,0,$B$8,1))=DQ$13), 1*(_xlfn._xlws.FILTER(OFFSET($O$15,0,$DO174,$B$8,1),OFFSET($M$15,0,0,$B$8,1))=DQ$14))   /   SUM(OFFSET($BO$15,0,0,$B$14,1)) + $B$18/($B$19*$B$19*($DN174&lt;&gt;$DO174) + $B$19*($DN174=$DO174))</f>
        <v>3.7037037037037035E-4</v>
      </c>
      <c r="DR174" s="10" cm="1">
        <f t="array" aca="1" ref="DR174" ca="1">(1-$B$18)*SUMPRODUCT(OFFSET($BO$15,0,0,$B$14,1), 1*(_xlfn._xlws.FILTER(OFFSET($O$15,0,$DN174,$B$8,1),OFFSET($M$15,0,0,$B$8,1))=DR$13), 1*(_xlfn._xlws.FILTER(OFFSET($O$15,0,$DO174,$B$8,1),OFFSET($M$15,0,0,$B$8,1))=DR$14))   /   SUM(OFFSET($BO$15,0,0,$B$14,1)) + $B$18/($B$19*$B$19*($DN174&lt;&gt;$DO174) + $B$19*($DN174=$DO174))</f>
        <v>3.7037037037037035E-4</v>
      </c>
      <c r="DS174" s="10" cm="1">
        <f t="array" aca="1" ref="DS174" ca="1">(1-$B$18)*SUMPRODUCT(OFFSET($BO$15,0,0,$B$14,1), 1*(_xlfn._xlws.FILTER(OFFSET($O$15,0,$DN174,$B$8,1),OFFSET($M$15,0,0,$B$8,1))=DS$13), 1*(_xlfn._xlws.FILTER(OFFSET($O$15,0,$DO174,$B$8,1),OFFSET($M$15,0,0,$B$8,1))=DS$14))   /   SUM(OFFSET($BO$15,0,0,$B$14,1)) + $B$18/($B$19*$B$19*($DN174&lt;&gt;$DO174) + $B$19*($DN174=$DO174))</f>
        <v>3.7037037037037035E-4</v>
      </c>
      <c r="DT174" s="10" cm="1">
        <f t="array" aca="1" ref="DT174" ca="1">(1-$B$18)*SUMPRODUCT(OFFSET($BO$15,0,0,$B$14,1), 1*(_xlfn._xlws.FILTER(OFFSET($O$15,0,$DN174,$B$8,1),OFFSET($M$15,0,0,$B$8,1))=DT$13), 1*(_xlfn._xlws.FILTER(OFFSET($O$15,0,$DO174,$B$8,1),OFFSET($M$15,0,0,$B$8,1))=DT$14))   /   SUM(OFFSET($BO$15,0,0,$B$14,1)) + $B$18/($B$19*$B$19*($DN174&lt;&gt;$DO174) + $B$19*($DN174=$DO174))</f>
        <v>3.7037037037037035E-4</v>
      </c>
      <c r="DU174" s="10" cm="1">
        <f t="array" aca="1" ref="DU174" ca="1">(1-$B$18)*SUMPRODUCT(OFFSET($BO$15,0,0,$B$14,1), 1*(_xlfn._xlws.FILTER(OFFSET($O$15,0,$DN174,$B$8,1),OFFSET($M$15,0,0,$B$8,1))=DU$13), 1*(_xlfn._xlws.FILTER(OFFSET($O$15,0,$DO174,$B$8,1),OFFSET($M$15,0,0,$B$8,1))=DU$14))   /   SUM(OFFSET($BO$15,0,0,$B$14,1)) + $B$18/($B$19*$B$19*($DN174&lt;&gt;$DO174) + $B$19*($DN174=$DO174))</f>
        <v>3.7037037037037035E-4</v>
      </c>
      <c r="DV174" s="10" cm="1">
        <f t="array" aca="1" ref="DV174" ca="1">(1-$B$18)*SUMPRODUCT(OFFSET($BO$15,0,0,$B$14,1), 1*(_xlfn._xlws.FILTER(OFFSET($O$15,0,$DN174,$B$8,1),OFFSET($M$15,0,0,$B$8,1))=DV$13), 1*(_xlfn._xlws.FILTER(OFFSET($O$15,0,$DO174,$B$8,1),OFFSET($M$15,0,0,$B$8,1))=DV$14))   /   SUM(OFFSET($BO$15,0,0,$B$14,1)) + $B$18/($B$19*$B$19*($DN174&lt;&gt;$DO174) + $B$19*($DN174=$DO174))</f>
        <v>3.7037037037037035E-4</v>
      </c>
      <c r="DW174" s="10" cm="1">
        <f t="array" aca="1" ref="DW174" ca="1">(1-$B$18)*SUMPRODUCT(OFFSET($BO$15,0,0,$B$14,1), 1*(_xlfn._xlws.FILTER(OFFSET($O$15,0,$DN174,$B$8,1),OFFSET($M$15,0,0,$B$8,1))=DW$13), 1*(_xlfn._xlws.FILTER(OFFSET($O$15,0,$DO174,$B$8,1),OFFSET($M$15,0,0,$B$8,1))=DW$14))   /   SUM(OFFSET($BO$15,0,0,$B$14,1)) + $B$18/($B$19*$B$19*($DN174&lt;&gt;$DO174) + $B$19*($DN174=$DO174))</f>
        <v>3.7037037037037035E-4</v>
      </c>
      <c r="DX174" s="10" cm="1">
        <f t="array" aca="1" ref="DX174" ca="1">(1-$B$18)*SUMPRODUCT(OFFSET($BO$15,0,0,$B$14,1), 1*(_xlfn._xlws.FILTER(OFFSET($O$15,0,$DN174,$B$8,1),OFFSET($M$15,0,0,$B$8,1))=DX$13), 1*(_xlfn._xlws.FILTER(OFFSET($O$15,0,$DO174,$B$8,1),OFFSET($M$15,0,0,$B$8,1))=DX$14))   /   SUM(OFFSET($BO$15,0,0,$B$14,1)) + $B$18/($B$19*$B$19*($DN174&lt;&gt;$DO174) + $B$19*($DN174=$DO174))</f>
        <v>3.7037037037037035E-4</v>
      </c>
      <c r="DY174" s="10" cm="1">
        <f t="array" aca="1" ref="DY174" ca="1">(1-$B$18)*SUMPRODUCT(OFFSET($BO$15,0,0,$B$14,1), 1*(_xlfn._xlws.FILTER(OFFSET($O$15,0,$DN174,$B$8,1),OFFSET($M$15,0,0,$B$8,1))=DY$13), 1*(_xlfn._xlws.FILTER(OFFSET($O$15,0,$DO174,$B$8,1),OFFSET($M$15,0,0,$B$8,1))=DY$14))   /   SUM(OFFSET($BO$15,0,0,$B$14,1)) + $B$18/($B$19*$B$19*($DN174&lt;&gt;$DO174) + $B$19*($DN174=$DO174))</f>
        <v>3.7037037037037035E-4</v>
      </c>
      <c r="DZ174" s="10" cm="1">
        <f t="array" aca="1" ref="DZ174" ca="1">(1-$B$18)*SUMPRODUCT(OFFSET($BO$15,0,0,$B$14,1), 1*(_xlfn._xlws.FILTER(OFFSET($O$15,0,$DN174,$B$8,1),OFFSET($M$15,0,0,$B$8,1))=DZ$13), 1*(_xlfn._xlws.FILTER(OFFSET($O$15,0,$DO174,$B$8,1),OFFSET($M$15,0,0,$B$8,1))=DZ$14))   /   SUM(OFFSET($BO$15,0,0,$B$14,1)) + $B$18/($B$19*$B$19*($DN174&lt;&gt;$DO174) + $B$19*($DN174=$DO174))</f>
        <v>3.7037037037037035E-4</v>
      </c>
      <c r="EA174" s="10" cm="1">
        <f t="array" aca="1" ref="EA174" ca="1">(1-$B$18)*SUMPRODUCT(OFFSET($BO$15,0,0,$B$14,1), 1*(_xlfn._xlws.FILTER(OFFSET($O$15,0,$DN174,$B$8,1),OFFSET($M$15,0,0,$B$8,1))=EA$13), 1*(_xlfn._xlws.FILTER(OFFSET($O$15,0,$DO174,$B$8,1),OFFSET($M$15,0,0,$B$8,1))=EA$14))   /   SUM(OFFSET($BO$15,0,0,$B$14,1)) + $B$18/($B$19*$B$19*($DN174&lt;&gt;$DO174) + $B$19*($DN174=$DO174))</f>
        <v>3.7037037037037035E-4</v>
      </c>
      <c r="EB174" s="10" cm="1">
        <f t="array" aca="1" ref="EB174" ca="1">(1-$B$18)*SUMPRODUCT(OFFSET($BO$15,0,0,$B$14,1), 1*(_xlfn._xlws.FILTER(OFFSET($O$15,0,$DN174,$B$8,1),OFFSET($M$15,0,0,$B$8,1))=EB$13), 1*(_xlfn._xlws.FILTER(OFFSET($O$15,0,$DO174,$B$8,1),OFFSET($M$15,0,0,$B$8,1))=EB$14))   /   SUM(OFFSET($BO$15,0,0,$B$14,1)) + $B$18/($B$19*$B$19*($DN174&lt;&gt;$DO174) + $B$19*($DN174=$DO174))</f>
        <v>3.7037037037037035E-4</v>
      </c>
      <c r="EC174" s="10" cm="1">
        <f t="array" aca="1" ref="EC174" ca="1">(1-$B$18)*SUMPRODUCT(OFFSET($BO$15,0,0,$B$14,1), 1*(_xlfn._xlws.FILTER(OFFSET($O$15,0,$DN174,$B$8,1),OFFSET($M$15,0,0,$B$8,1))=EC$13), 1*(_xlfn._xlws.FILTER(OFFSET($O$15,0,$DO174,$B$8,1),OFFSET($M$15,0,0,$B$8,1))=EC$14))   /   SUM(OFFSET($BO$15,0,0,$B$14,1)) + $B$18/($B$19*$B$19*($DN174&lt;&gt;$DO174) + $B$19*($DN174=$DO174))</f>
        <v>3.7037037037037035E-4</v>
      </c>
      <c r="ED174" s="10" cm="1">
        <f t="array" aca="1" ref="ED174" ca="1">(1-$B$18)*SUMPRODUCT(OFFSET($BO$15,0,0,$B$14,1), 1*(_xlfn._xlws.FILTER(OFFSET($O$15,0,$DN174,$B$8,1),OFFSET($M$15,0,0,$B$8,1))=ED$13), 1*(_xlfn._xlws.FILTER(OFFSET($O$15,0,$DO174,$B$8,1),OFFSET($M$15,0,0,$B$8,1))=ED$14))   /   SUM(OFFSET($BO$15,0,0,$B$14,1)) + $B$18/($B$19*$B$19*($DN174&lt;&gt;$DO174) + $B$19*($DN174=$DO174))</f>
        <v>3.7037037037037035E-4</v>
      </c>
      <c r="EE174" s="10" cm="1">
        <f t="array" aca="1" ref="EE174" ca="1">(1-$B$18)*SUMPRODUCT(OFFSET($BO$15,0,0,$B$14,1), 1*(_xlfn._xlws.FILTER(OFFSET($O$15,0,$DN174,$B$8,1),OFFSET($M$15,0,0,$B$8,1))=EE$13), 1*(_xlfn._xlws.FILTER(OFFSET($O$15,0,$DO174,$B$8,1),OFFSET($M$15,0,0,$B$8,1))=EE$14))   /   SUM(OFFSET($BO$15,0,0,$B$14,1)) + $B$18/($B$19*$B$19*($DN174&lt;&gt;$DO174) + $B$19*($DN174=$DO174))</f>
        <v>3.7037037037037035E-4</v>
      </c>
      <c r="EF174" s="10" cm="1">
        <f t="array" aca="1" ref="EF174" ca="1">(1-$B$18)*SUMPRODUCT(OFFSET($BO$15,0,0,$B$14,1), 1*(_xlfn._xlws.FILTER(OFFSET($O$15,0,$DN174,$B$8,1),OFFSET($M$15,0,0,$B$8,1))=EF$13), 1*(_xlfn._xlws.FILTER(OFFSET($O$15,0,$DO174,$B$8,1),OFFSET($M$15,0,0,$B$8,1))=EF$14))   /   SUM(OFFSET($BO$15,0,0,$B$14,1)) + $B$18/($B$19*$B$19*($DN174&lt;&gt;$DO174) + $B$19*($DN174=$DO174))</f>
        <v>3.7037037037037035E-4</v>
      </c>
      <c r="EG174" s="10" cm="1">
        <f t="array" aca="1" ref="EG174" ca="1">(1-$B$18)*SUMPRODUCT(OFFSET($BO$15,0,0,$B$14,1), 1*(_xlfn._xlws.FILTER(OFFSET($O$15,0,$DN174,$B$8,1),OFFSET($M$15,0,0,$B$8,1))=EG$13), 1*(_xlfn._xlws.FILTER(OFFSET($O$15,0,$DO174,$B$8,1),OFFSET($M$15,0,0,$B$8,1))=EG$14))   /   SUM(OFFSET($BO$15,0,0,$B$14,1)) + $B$18/($B$19*$B$19*($DN174&lt;&gt;$DO174) + $B$19*($DN174=$DO174))</f>
        <v>3.7037037037037035E-4</v>
      </c>
      <c r="EH174" s="10" cm="1">
        <f t="array" aca="1" ref="EH174" ca="1">(1-$B$18)*SUMPRODUCT(OFFSET($BO$15,0,0,$B$14,1), 1*(_xlfn._xlws.FILTER(OFFSET($O$15,0,$DN174,$B$8,1),OFFSET($M$15,0,0,$B$8,1))=EH$13), 1*(_xlfn._xlws.FILTER(OFFSET($O$15,0,$DO174,$B$8,1),OFFSET($M$15,0,0,$B$8,1))=EH$14))   /   SUM(OFFSET($BO$15,0,0,$B$14,1)) + $B$18/($B$19*$B$19*($DN174&lt;&gt;$DO174) + $B$19*($DN174=$DO174))</f>
        <v>3.7037037037037035E-4</v>
      </c>
      <c r="EI174" s="10" cm="1">
        <f t="array" aca="1" ref="EI174" ca="1">(1-$B$18)*SUMPRODUCT(OFFSET($BO$15,0,0,$B$14,1), 1*(_xlfn._xlws.FILTER(OFFSET($O$15,0,$DN174,$B$8,1),OFFSET($M$15,0,0,$B$8,1))=EI$13), 1*(_xlfn._xlws.FILTER(OFFSET($O$15,0,$DO174,$B$8,1),OFFSET($M$15,0,0,$B$8,1))=EI$14))   /   SUM(OFFSET($BO$15,0,0,$B$14,1)) + $B$18/($B$19*$B$19*($DN174&lt;&gt;$DO174) + $B$19*($DN174=$DO174))</f>
        <v>3.7037037037037035E-4</v>
      </c>
      <c r="EJ174" s="10" cm="1">
        <f t="array" aca="1" ref="EJ174" ca="1">(1-$B$18)*SUMPRODUCT(OFFSET($BO$15,0,0,$B$14,1), 1*(_xlfn._xlws.FILTER(OFFSET($O$15,0,$DN174,$B$8,1),OFFSET($M$15,0,0,$B$8,1))=EJ$13), 1*(_xlfn._xlws.FILTER(OFFSET($O$15,0,$DO174,$B$8,1),OFFSET($M$15,0,0,$B$8,1))=EJ$14))   /   SUM(OFFSET($BO$15,0,0,$B$14,1)) + $B$18/($B$19*$B$19*($DN174&lt;&gt;$DO174) + $B$19*($DN174=$DO174))</f>
        <v>3.7037037037037035E-4</v>
      </c>
      <c r="EK174" s="10" cm="1">
        <f t="array" aca="1" ref="EK174" ca="1">(1-$B$18)*SUMPRODUCT(OFFSET($BO$15,0,0,$B$14,1), 1*(_xlfn._xlws.FILTER(OFFSET($O$15,0,$DN174,$B$8,1),OFFSET($M$15,0,0,$B$8,1))=EK$13), 1*(_xlfn._xlws.FILTER(OFFSET($O$15,0,$DO174,$B$8,1),OFFSET($M$15,0,0,$B$8,1))=EK$14))   /   SUM(OFFSET($BO$15,0,0,$B$14,1)) + $B$18/($B$19*$B$19*($DN174&lt;&gt;$DO174) + $B$19*($DN174=$DO174))</f>
        <v>3.7037037037037035E-4</v>
      </c>
      <c r="EL174" s="10" cm="1">
        <f t="array" aca="1" ref="EL174" ca="1">(1-$B$18)*SUMPRODUCT(OFFSET($BO$15,0,0,$B$14,1), 1*(_xlfn._xlws.FILTER(OFFSET($O$15,0,$DN174,$B$8,1),OFFSET($M$15,0,0,$B$8,1))=EL$13), 1*(_xlfn._xlws.FILTER(OFFSET($O$15,0,$DO174,$B$8,1),OFFSET($M$15,0,0,$B$8,1))=EL$14))   /   SUM(OFFSET($BO$15,0,0,$B$14,1)) + $B$18/($B$19*$B$19*($DN174&lt;&gt;$DO174) + $B$19*($DN174=$DO174))</f>
        <v>3.7037037037037035E-4</v>
      </c>
      <c r="EM174" s="10" cm="1">
        <f t="array" aca="1" ref="EM174" ca="1">(1-$B$18)*SUMPRODUCT(OFFSET($BO$15,0,0,$B$14,1), 1*(_xlfn._xlws.FILTER(OFFSET($O$15,0,$DN174,$B$8,1),OFFSET($M$15,0,0,$B$8,1))=EM$13), 1*(_xlfn._xlws.FILTER(OFFSET($O$15,0,$DO174,$B$8,1),OFFSET($M$15,0,0,$B$8,1))=EM$14))   /   SUM(OFFSET($BO$15,0,0,$B$14,1)) + $B$18/($B$19*$B$19*($DN174&lt;&gt;$DO174) + $B$19*($DN174=$DO174))</f>
        <v>3.7037037037037035E-4</v>
      </c>
      <c r="EN174" s="10" cm="1">
        <f t="array" aca="1" ref="EN174" ca="1">(1-$B$18)*SUMPRODUCT(OFFSET($BO$15,0,0,$B$14,1), 1*(_xlfn._xlws.FILTER(OFFSET($O$15,0,$DN174,$B$8,1),OFFSET($M$15,0,0,$B$8,1))=EN$13), 1*(_xlfn._xlws.FILTER(OFFSET($O$15,0,$DO174,$B$8,1),OFFSET($M$15,0,0,$B$8,1))=EN$14))   /   SUM(OFFSET($BO$15,0,0,$B$14,1)) + $B$18/($B$19*$B$19*($DN174&lt;&gt;$DO174) + $B$19*($DN174=$DO174))</f>
        <v>3.7037037037037035E-4</v>
      </c>
      <c r="EO174" s="10" cm="1">
        <f t="array" aca="1" ref="EO174" ca="1">(1-$B$18)*SUMPRODUCT(OFFSET($BO$15,0,0,$B$14,1), 1*(_xlfn._xlws.FILTER(OFFSET($O$15,0,$DN174,$B$8,1),OFFSET($M$15,0,0,$B$8,1))=EO$13), 1*(_xlfn._xlws.FILTER(OFFSET($O$15,0,$DO174,$B$8,1),OFFSET($M$15,0,0,$B$8,1))=EO$14))   /   SUM(OFFSET($BO$15,0,0,$B$14,1)) + $B$18/($B$19*$B$19*($DN174&lt;&gt;$DO174) + $B$19*($DN174=$DO174))</f>
        <v>3.7037037037037035E-4</v>
      </c>
      <c r="EP174" s="10" cm="1">
        <f t="array" aca="1" ref="EP174" ca="1">(1-$B$18)*SUMPRODUCT(OFFSET($BO$15,0,0,$B$14,1), 1*(_xlfn._xlws.FILTER(OFFSET($O$15,0,$DN174,$B$8,1),OFFSET($M$15,0,0,$B$8,1))=EP$13), 1*(_xlfn._xlws.FILTER(OFFSET($O$15,0,$DO174,$B$8,1),OFFSET($M$15,0,0,$B$8,1))=EP$14))   /   SUM(OFFSET($BO$15,0,0,$B$14,1)) + $B$18/($B$19*$B$19*($DN174&lt;&gt;$DO174) + $B$19*($DN174=$DO174))</f>
        <v>3.7037037037037035E-4</v>
      </c>
      <c r="EQ174" s="10" cm="1">
        <f t="array" aca="1" ref="EQ174" ca="1">(1-$B$18)*SUMPRODUCT(OFFSET($BO$15,0,0,$B$14,1), 1*(_xlfn._xlws.FILTER(OFFSET($O$15,0,$DN174,$B$8,1),OFFSET($M$15,0,0,$B$8,1))=EQ$13), 1*(_xlfn._xlws.FILTER(OFFSET($O$15,0,$DO174,$B$8,1),OFFSET($M$15,0,0,$B$8,1))=EQ$14))   /   SUM(OFFSET($BO$15,0,0,$B$14,1)) + $B$18/($B$19*$B$19*($DN174&lt;&gt;$DO174) + $B$19*($DN174=$DO174))</f>
        <v>3.7037037037037035E-4</v>
      </c>
      <c r="ER174" s="10" cm="1">
        <f t="array" aca="1" ref="ER174" ca="1">(1-$B$18)*SUMPRODUCT(OFFSET($BO$15,0,0,$B$14,1), 1*(_xlfn._xlws.FILTER(OFFSET($O$15,0,$DN174,$B$8,1),OFFSET($M$15,0,0,$B$8,1))=ER$13), 1*(_xlfn._xlws.FILTER(OFFSET($O$15,0,$DO174,$B$8,1),OFFSET($M$15,0,0,$B$8,1))=ER$14))   /   SUM(OFFSET($BO$15,0,0,$B$14,1)) + $B$18/($B$19*$B$19*($DN174&lt;&gt;$DO174) + $B$19*($DN174=$DO174))</f>
        <v>3.7037037037037035E-4</v>
      </c>
      <c r="ES174" s="10" cm="1">
        <f t="array" aca="1" ref="ES174" ca="1">(1-$B$18)*SUMPRODUCT(OFFSET($BO$15,0,0,$B$14,1), 1*(_xlfn._xlws.FILTER(OFFSET($O$15,0,$DN174,$B$8,1),OFFSET($M$15,0,0,$B$8,1))=ES$13), 1*(_xlfn._xlws.FILTER(OFFSET($O$15,0,$DO174,$B$8,1),OFFSET($M$15,0,0,$B$8,1))=ES$14))   /   SUM(OFFSET($BO$15,0,0,$B$14,1)) + $B$18/($B$19*$B$19*($DN174&lt;&gt;$DO174) + $B$19*($DN174=$DO174))</f>
        <v>3.7037037037037035E-4</v>
      </c>
      <c r="ET174" s="10" cm="1">
        <f t="array" aca="1" ref="ET174" ca="1">(1-$B$18)*SUMPRODUCT(OFFSET($BO$15,0,0,$B$14,1), 1*(_xlfn._xlws.FILTER(OFFSET($O$15,0,$DN174,$B$8,1),OFFSET($M$15,0,0,$B$8,1))=ET$13), 1*(_xlfn._xlws.FILTER(OFFSET($O$15,0,$DO174,$B$8,1),OFFSET($M$15,0,0,$B$8,1))=ET$14))   /   SUM(OFFSET($BO$15,0,0,$B$14,1)) + $B$18/($B$19*$B$19*($DN174&lt;&gt;$DO174) + $B$19*($DN174=$DO174))</f>
        <v>3.7037037037037035E-4</v>
      </c>
      <c r="EU174" s="10" cm="1">
        <f t="array" aca="1" ref="EU174" ca="1">(1-$B$18)*SUMPRODUCT(OFFSET($BO$15,0,0,$B$14,1), 1*(_xlfn._xlws.FILTER(OFFSET($O$15,0,$DN174,$B$8,1),OFFSET($M$15,0,0,$B$8,1))=EU$13), 1*(_xlfn._xlws.FILTER(OFFSET($O$15,0,$DO174,$B$8,1),OFFSET($M$15,0,0,$B$8,1))=EU$14))   /   SUM(OFFSET($BO$15,0,0,$B$14,1)) + $B$18/($B$19*$B$19*($DN174&lt;&gt;$DO174) + $B$19*($DN174=$DO174))</f>
        <v>3.7037037037037035E-4</v>
      </c>
      <c r="EV174" s="10" cm="1">
        <f t="array" aca="1" ref="EV174" ca="1">(1-$B$18)*SUMPRODUCT(OFFSET($BO$15,0,0,$B$14,1), 1*(_xlfn._xlws.FILTER(OFFSET($O$15,0,$DN174,$B$8,1),OFFSET($M$15,0,0,$B$8,1))=EV$13), 1*(_xlfn._xlws.FILTER(OFFSET($O$15,0,$DO174,$B$8,1),OFFSET($M$15,0,0,$B$8,1))=EV$14))   /   SUM(OFFSET($BO$15,0,0,$B$14,1)) + $B$18/($B$19*$B$19*($DN174&lt;&gt;$DO174) + $B$19*($DN174=$DO174))</f>
        <v>3.7037037037037035E-4</v>
      </c>
      <c r="EW174" s="10" cm="1">
        <f t="array" aca="1" ref="EW174" ca="1">(1-$B$18)*SUMPRODUCT(OFFSET($BO$15,0,0,$B$14,1), 1*(_xlfn._xlws.FILTER(OFFSET($O$15,0,$DN174,$B$8,1),OFFSET($M$15,0,0,$B$8,1))=EW$13), 1*(_xlfn._xlws.FILTER(OFFSET($O$15,0,$DO174,$B$8,1),OFFSET($M$15,0,0,$B$8,1))=EW$14))   /   SUM(OFFSET($BO$15,0,0,$B$14,1)) + $B$18/($B$19*$B$19*($DN174&lt;&gt;$DO174) + $B$19*($DN174=$DO174))</f>
        <v>3.7037037037037035E-4</v>
      </c>
      <c r="EX174" s="10" cm="1">
        <f t="array" aca="1" ref="EX174" ca="1">(1-$B$18)*SUMPRODUCT(OFFSET($BO$15,0,0,$B$14,1), 1*(_xlfn._xlws.FILTER(OFFSET($O$15,0,$DN174,$B$8,1),OFFSET($M$15,0,0,$B$8,1))=EX$13), 1*(_xlfn._xlws.FILTER(OFFSET($O$15,0,$DO174,$B$8,1),OFFSET($M$15,0,0,$B$8,1))=EX$14))   /   SUM(OFFSET($BO$15,0,0,$B$14,1)) + $B$18/($B$19*$B$19*($DN174&lt;&gt;$DO174) + $B$19*($DN174=$DO174))</f>
        <v>3.7037037037037035E-4</v>
      </c>
      <c r="EY174" s="10" cm="1">
        <f t="array" aca="1" ref="EY174" ca="1">(1-$B$18)*SUMPRODUCT(OFFSET($BO$15,0,0,$B$14,1), 1*(_xlfn._xlws.FILTER(OFFSET($O$15,0,$DN174,$B$8,1),OFFSET($M$15,0,0,$B$8,1))=EY$13), 1*(_xlfn._xlws.FILTER(OFFSET($O$15,0,$DO174,$B$8,1),OFFSET($M$15,0,0,$B$8,1))=EY$14))   /   SUM(OFFSET($BO$15,0,0,$B$14,1)) + $B$18/($B$19*$B$19*($DN174&lt;&gt;$DO174) + $B$19*($DN174=$DO174))</f>
        <v>3.7037037037037035E-4</v>
      </c>
      <c r="EZ174" s="10" cm="1">
        <f t="array" aca="1" ref="EZ174" ca="1">(1-$B$18)*SUMPRODUCT(OFFSET($BO$15,0,0,$B$14,1), 1*(_xlfn._xlws.FILTER(OFFSET($O$15,0,$DN174,$B$8,1),OFFSET($M$15,0,0,$B$8,1))=EZ$13), 1*(_xlfn._xlws.FILTER(OFFSET($O$15,0,$DO174,$B$8,1),OFFSET($M$15,0,0,$B$8,1))=EZ$14))   /   SUM(OFFSET($BO$15,0,0,$B$14,1)) + $B$18/($B$19*$B$19*($DN174&lt;&gt;$DO174) + $B$19*($DN174=$DO174))</f>
        <v>3.7037037037037035E-4</v>
      </c>
      <c r="FA174" s="10" cm="1">
        <f t="array" aca="1" ref="FA174" ca="1">(1-$B$18)*SUMPRODUCT(OFFSET($BO$15,0,0,$B$14,1), 1*(_xlfn._xlws.FILTER(OFFSET($O$15,0,$DN174,$B$8,1),OFFSET($M$15,0,0,$B$8,1))=FA$13), 1*(_xlfn._xlws.FILTER(OFFSET($O$15,0,$DO174,$B$8,1),OFFSET($M$15,0,0,$B$8,1))=FA$14))   /   SUM(OFFSET($BO$15,0,0,$B$14,1)) + $B$18/($B$19*$B$19*($DN174&lt;&gt;$DO174) + $B$19*($DN174=$DO174))</f>
        <v>3.7037037037037035E-4</v>
      </c>
      <c r="FB174" s="10" cm="1">
        <f t="array" aca="1" ref="FB174" ca="1">(1-$B$18)*SUMPRODUCT(OFFSET($BO$15,0,0,$B$14,1), 1*(_xlfn._xlws.FILTER(OFFSET($O$15,0,$DN174,$B$8,1),OFFSET($M$15,0,0,$B$8,1))=FB$13), 1*(_xlfn._xlws.FILTER(OFFSET($O$15,0,$DO174,$B$8,1),OFFSET($M$15,0,0,$B$8,1))=FB$14))   /   SUM(OFFSET($BO$15,0,0,$B$14,1)) + $B$18/($B$19*$B$19*($DN174&lt;&gt;$DO174) + $B$19*($DN174=$DO174))</f>
        <v>3.7037037037037035E-4</v>
      </c>
      <c r="FC174" s="10" cm="1">
        <f t="array" aca="1" ref="FC174" ca="1">(1-$B$18)*SUMPRODUCT(OFFSET($BO$15,0,0,$B$14,1), 1*(_xlfn._xlws.FILTER(OFFSET($O$15,0,$DN174,$B$8,1),OFFSET($M$15,0,0,$B$8,1))=FC$13), 1*(_xlfn._xlws.FILTER(OFFSET($O$15,0,$DO174,$B$8,1),OFFSET($M$15,0,0,$B$8,1))=FC$14))   /   SUM(OFFSET($BO$15,0,0,$B$14,1)) + $B$18/($B$19*$B$19*($DN174&lt;&gt;$DO174) + $B$19*($DN174=$DO174))</f>
        <v>3.7037037037037035E-4</v>
      </c>
      <c r="FD174" s="10" cm="1">
        <f t="array" aca="1" ref="FD174" ca="1">(1-$B$18)*SUMPRODUCT(OFFSET($BO$15,0,0,$B$14,1), 1*(_xlfn._xlws.FILTER(OFFSET($O$15,0,$DN174,$B$8,1),OFFSET($M$15,0,0,$B$8,1))=FD$13), 1*(_xlfn._xlws.FILTER(OFFSET($O$15,0,$DO174,$B$8,1),OFFSET($M$15,0,0,$B$8,1))=FD$14))   /   SUM(OFFSET($BO$15,0,0,$B$14,1)) + $B$18/($B$19*$B$19*($DN174&lt;&gt;$DO174) + $B$19*($DN174=$DO174))</f>
        <v>3.7037037037037035E-4</v>
      </c>
      <c r="FE174" s="10" cm="1">
        <f t="array" aca="1" ref="FE174" ca="1">(1-$B$18)*SUMPRODUCT(OFFSET($BO$15,0,0,$B$14,1), 1*(_xlfn._xlws.FILTER(OFFSET($O$15,0,$DN174,$B$8,1),OFFSET($M$15,0,0,$B$8,1))=FE$13), 1*(_xlfn._xlws.FILTER(OFFSET($O$15,0,$DO174,$B$8,1),OFFSET($M$15,0,0,$B$8,1))=FE$14))   /   SUM(OFFSET($BO$15,0,0,$B$14,1)) + $B$18/($B$19*$B$19*($DN174&lt;&gt;$DO174) + $B$19*($DN174=$DO174))</f>
        <v>3.7037037037037035E-4</v>
      </c>
      <c r="FF174" s="10" cm="1">
        <f t="array" aca="1" ref="FF174" ca="1">(1-$B$18)*SUMPRODUCT(OFFSET($BO$15,0,0,$B$14,1), 1*(_xlfn._xlws.FILTER(OFFSET($O$15,0,$DN174,$B$8,1),OFFSET($M$15,0,0,$B$8,1))=FF$13), 1*(_xlfn._xlws.FILTER(OFFSET($O$15,0,$DO174,$B$8,1),OFFSET($M$15,0,0,$B$8,1))=FF$14))   /   SUM(OFFSET($BO$15,0,0,$B$14,1)) + $B$18/($B$19*$B$19*($DN174&lt;&gt;$DO174) + $B$19*($DN174=$DO174))</f>
        <v>3.7037037037037035E-4</v>
      </c>
      <c r="FG174" s="10" cm="1">
        <f t="array" aca="1" ref="FG174" ca="1">(1-$B$18)*SUMPRODUCT(OFFSET($BO$15,0,0,$B$14,1), 1*(_xlfn._xlws.FILTER(OFFSET($O$15,0,$DN174,$B$8,1),OFFSET($M$15,0,0,$B$8,1))=FG$13), 1*(_xlfn._xlws.FILTER(OFFSET($O$15,0,$DO174,$B$8,1),OFFSET($M$15,0,0,$B$8,1))=FG$14))   /   SUM(OFFSET($BO$15,0,0,$B$14,1)) + $B$18/($B$19*$B$19*($DN174&lt;&gt;$DO174) + $B$19*($DN174=$DO174))</f>
        <v>3.7037037037037035E-4</v>
      </c>
      <c r="FH174" s="10" cm="1">
        <f t="array" aca="1" ref="FH174" ca="1">(1-$B$18)*SUMPRODUCT(OFFSET($BO$15,0,0,$B$14,1), 1*(_xlfn._xlws.FILTER(OFFSET($O$15,0,$DN174,$B$8,1),OFFSET($M$15,0,0,$B$8,1))=FH$13), 1*(_xlfn._xlws.FILTER(OFFSET($O$15,0,$DO174,$B$8,1),OFFSET($M$15,0,0,$B$8,1))=FH$14))   /   SUM(OFFSET($BO$15,0,0,$B$14,1)) + $B$18/($B$19*$B$19*($DN174&lt;&gt;$DO174) + $B$19*($DN174=$DO174))</f>
        <v>3.7037037037037035E-4</v>
      </c>
      <c r="FI174" s="10" cm="1">
        <f t="array" aca="1" ref="FI174" ca="1">(1-$B$18)*SUMPRODUCT(OFFSET($BO$15,0,0,$B$14,1), 1*(_xlfn._xlws.FILTER(OFFSET($O$15,0,$DN174,$B$8,1),OFFSET($M$15,0,0,$B$8,1))=FI$13), 1*(_xlfn._xlws.FILTER(OFFSET($O$15,0,$DO174,$B$8,1),OFFSET($M$15,0,0,$B$8,1))=FI$14))   /   SUM(OFFSET($BO$15,0,0,$B$14,1)) + $B$18/($B$19*$B$19*($DN174&lt;&gt;$DO174) + $B$19*($DN174=$DO174))</f>
        <v>3.7037037037037035E-4</v>
      </c>
      <c r="FJ174" s="10" cm="1">
        <f t="array" aca="1" ref="FJ174" ca="1">(1-$B$18)*SUMPRODUCT(OFFSET($BO$15,0,0,$B$14,1), 1*(_xlfn._xlws.FILTER(OFFSET($O$15,0,$DN174,$B$8,1),OFFSET($M$15,0,0,$B$8,1))=FJ$13), 1*(_xlfn._xlws.FILTER(OFFSET($O$15,0,$DO174,$B$8,1),OFFSET($M$15,0,0,$B$8,1))=FJ$14))   /   SUM(OFFSET($BO$15,0,0,$B$14,1)) + $B$18/($B$19*$B$19*($DN174&lt;&gt;$DO174) + $B$19*($DN174=$DO174))</f>
        <v>3.7037037037037035E-4</v>
      </c>
      <c r="FK174" s="10" cm="1">
        <f t="array" aca="1" ref="FK174" ca="1">(1-$B$18)*SUMPRODUCT(OFFSET($BO$15,0,0,$B$14,1), 1*(_xlfn._xlws.FILTER(OFFSET($O$15,0,$DN174,$B$8,1),OFFSET($M$15,0,0,$B$8,1))=FK$13), 1*(_xlfn._xlws.FILTER(OFFSET($O$15,0,$DO174,$B$8,1),OFFSET($M$15,0,0,$B$8,1))=FK$14))   /   SUM(OFFSET($BO$15,0,0,$B$14,1)) + $B$18/($B$19*$B$19*($DN174&lt;&gt;$DO174) + $B$19*($DN174=$DO174))</f>
        <v>3.7037037037037035E-4</v>
      </c>
      <c r="FL174" s="10" cm="1">
        <f t="array" aca="1" ref="FL174" ca="1">(1-$B$18)*SUMPRODUCT(OFFSET($BO$15,0,0,$B$14,1), 1*(_xlfn._xlws.FILTER(OFFSET($O$15,0,$DN174,$B$8,1),OFFSET($M$15,0,0,$B$8,1))=FL$13), 1*(_xlfn._xlws.FILTER(OFFSET($O$15,0,$DO174,$B$8,1),OFFSET($M$15,0,0,$B$8,1))=FL$14))   /   SUM(OFFSET($BO$15,0,0,$B$14,1)) + $B$18/($B$19*$B$19*($DN174&lt;&gt;$DO174) + $B$19*($DN174=$DO174))</f>
        <v>3.7037037037037035E-4</v>
      </c>
      <c r="FM174" s="10" cm="1">
        <f t="array" aca="1" ref="FM174" ca="1">(1-$B$18)*SUMPRODUCT(OFFSET($BO$15,0,0,$B$14,1), 1*(_xlfn._xlws.FILTER(OFFSET($O$15,0,$DN174,$B$8,1),OFFSET($M$15,0,0,$B$8,1))=FM$13), 1*(_xlfn._xlws.FILTER(OFFSET($O$15,0,$DO174,$B$8,1),OFFSET($M$15,0,0,$B$8,1))=FM$14))   /   SUM(OFFSET($BO$15,0,0,$B$14,1)) + $B$18/($B$19*$B$19*($DN174&lt;&gt;$DO174) + $B$19*($DN174=$DO174))</f>
        <v>3.7037037037037035E-4</v>
      </c>
      <c r="FN174" s="10" cm="1">
        <f t="array" aca="1" ref="FN174" ca="1">(1-$B$18)*SUMPRODUCT(OFFSET($BO$15,0,0,$B$14,1), 1*(_xlfn._xlws.FILTER(OFFSET($O$15,0,$DN174,$B$8,1),OFFSET($M$15,0,0,$B$8,1))=FN$13), 1*(_xlfn._xlws.FILTER(OFFSET($O$15,0,$DO174,$B$8,1),OFFSET($M$15,0,0,$B$8,1))=FN$14))   /   SUM(OFFSET($BO$15,0,0,$B$14,1)) + $B$18/($B$19*$B$19*($DN174&lt;&gt;$DO174) + $B$19*($DN174=$DO174))</f>
        <v>3.7037037037037035E-4</v>
      </c>
      <c r="FO174" s="10" cm="1">
        <f t="array" aca="1" ref="FO174" ca="1">(1-$B$18)*SUMPRODUCT(OFFSET($BO$15,0,0,$B$14,1), 1*(_xlfn._xlws.FILTER(OFFSET($O$15,0,$DN174,$B$8,1),OFFSET($M$15,0,0,$B$8,1))=FO$13), 1*(_xlfn._xlws.FILTER(OFFSET($O$15,0,$DO174,$B$8,1),OFFSET($M$15,0,0,$B$8,1))=FO$14))   /   SUM(OFFSET($BO$15,0,0,$B$14,1)) + $B$18/($B$19*$B$19*($DN174&lt;&gt;$DO174) + $B$19*($DN174=$DO174))</f>
        <v>3.7037037037037035E-4</v>
      </c>
      <c r="FP174" s="10" cm="1">
        <f t="array" aca="1" ref="FP174" ca="1">(1-$B$18)*SUMPRODUCT(OFFSET($BO$15,0,0,$B$14,1), 1*(_xlfn._xlws.FILTER(OFFSET($O$15,0,$DN174,$B$8,1),OFFSET($M$15,0,0,$B$8,1))=FP$13), 1*(_xlfn._xlws.FILTER(OFFSET($O$15,0,$DO174,$B$8,1),OFFSET($M$15,0,0,$B$8,1))=FP$14))   /   SUM(OFFSET($BO$15,0,0,$B$14,1)) + $B$18/($B$19*$B$19*($DN174&lt;&gt;$DO174) + $B$19*($DN174=$DO174))</f>
        <v>3.7037037037037035E-4</v>
      </c>
      <c r="FQ174" s="10" cm="1">
        <f t="array" aca="1" ref="FQ174" ca="1">(1-$B$18)*SUMPRODUCT(OFFSET($BO$15,0,0,$B$14,1), 1*(_xlfn._xlws.FILTER(OFFSET($O$15,0,$DN174,$B$8,1),OFFSET($M$15,0,0,$B$8,1))=FQ$13), 1*(_xlfn._xlws.FILTER(OFFSET($O$15,0,$DO174,$B$8,1),OFFSET($M$15,0,0,$B$8,1))=FQ$14))   /   SUM(OFFSET($BO$15,0,0,$B$14,1)) + $B$18/($B$19*$B$19*($DN174&lt;&gt;$DO174) + $B$19*($DN174=$DO174))</f>
        <v>3.7037037037037035E-4</v>
      </c>
      <c r="FR174" s="10" cm="1">
        <f t="array" aca="1" ref="FR174" ca="1">(1-$B$18)*SUMPRODUCT(OFFSET($BO$15,0,0,$B$14,1), 1*(_xlfn._xlws.FILTER(OFFSET($O$15,0,$DN174,$B$8,1),OFFSET($M$15,0,0,$B$8,1))=FR$13), 1*(_xlfn._xlws.FILTER(OFFSET($O$15,0,$DO174,$B$8,1),OFFSET($M$15,0,0,$B$8,1))=FR$14))   /   SUM(OFFSET($BO$15,0,0,$B$14,1)) + $B$18/($B$19*$B$19*($DN174&lt;&gt;$DO174) + $B$19*($DN174=$DO174))</f>
        <v>0.97037037037037033</v>
      </c>
      <c r="FS174" s="10" cm="1">
        <f t="array" aca="1" ref="FS174" ca="1">(1-$B$18)*SUMPRODUCT(OFFSET($BO$15,0,0,$B$14,1), 1*(_xlfn._xlws.FILTER(OFFSET($O$15,0,$DN174,$B$8,1),OFFSET($M$15,0,0,$B$8,1))=FS$13), 1*(_xlfn._xlws.FILTER(OFFSET($O$15,0,$DO174,$B$8,1),OFFSET($M$15,0,0,$B$8,1))=FS$14))   /   SUM(OFFSET($BO$15,0,0,$B$14,1)) + $B$18/($B$19*$B$19*($DN174&lt;&gt;$DO174) + $B$19*($DN174=$DO174))</f>
        <v>3.7037037037037035E-4</v>
      </c>
      <c r="FT174" s="10" cm="1">
        <f t="array" aca="1" ref="FT174" ca="1">(1-$B$18)*SUMPRODUCT(OFFSET($BO$15,0,0,$B$14,1), 1*(_xlfn._xlws.FILTER(OFFSET($O$15,0,$DN174,$B$8,1),OFFSET($M$15,0,0,$B$8,1))=FT$13), 1*(_xlfn._xlws.FILTER(OFFSET($O$15,0,$DO174,$B$8,1),OFFSET($M$15,0,0,$B$8,1))=FT$14))   /   SUM(OFFSET($BO$15,0,0,$B$14,1)) + $B$18/($B$19*$B$19*($DN174&lt;&gt;$DO174) + $B$19*($DN174=$DO174))</f>
        <v>3.7037037037037035E-4</v>
      </c>
      <c r="FU174" s="10" cm="1">
        <f t="array" aca="1" ref="FU174" ca="1">(1-$B$18)*SUMPRODUCT(OFFSET($BO$15,0,0,$B$14,1), 1*(_xlfn._xlws.FILTER(OFFSET($O$15,0,$DN174,$B$8,1),OFFSET($M$15,0,0,$B$8,1))=FU$13), 1*(_xlfn._xlws.FILTER(OFFSET($O$15,0,$DO174,$B$8,1),OFFSET($M$15,0,0,$B$8,1))=FU$14))   /   SUM(OFFSET($BO$15,0,0,$B$14,1)) + $B$18/($B$19*$B$19*($DN174&lt;&gt;$DO174) + $B$19*($DN174=$DO174))</f>
        <v>3.7037037037037035E-4</v>
      </c>
      <c r="FV174" s="10" cm="1">
        <f t="array" aca="1" ref="FV174" ca="1">(1-$B$18)*SUMPRODUCT(OFFSET($BO$15,0,0,$B$14,1), 1*(_xlfn._xlws.FILTER(OFFSET($O$15,0,$DN174,$B$8,1),OFFSET($M$15,0,0,$B$8,1))=FV$13), 1*(_xlfn._xlws.FILTER(OFFSET($O$15,0,$DO174,$B$8,1),OFFSET($M$15,0,0,$B$8,1))=FV$14))   /   SUM(OFFSET($BO$15,0,0,$B$14,1)) + $B$18/($B$19*$B$19*($DN174&lt;&gt;$DO174) + $B$19*($DN174=$DO174))</f>
        <v>3.7037037037037035E-4</v>
      </c>
      <c r="FW174" s="10" cm="1">
        <f t="array" aca="1" ref="FW174" ca="1">(1-$B$18)*SUMPRODUCT(OFFSET($BO$15,0,0,$B$14,1), 1*(_xlfn._xlws.FILTER(OFFSET($O$15,0,$DN174,$B$8,1),OFFSET($M$15,0,0,$B$8,1))=FW$13), 1*(_xlfn._xlws.FILTER(OFFSET($O$15,0,$DO174,$B$8,1),OFFSET($M$15,0,0,$B$8,1))=FW$14))   /   SUM(OFFSET($BO$15,0,0,$B$14,1)) + $B$18/($B$19*$B$19*($DN174&lt;&gt;$DO174) + $B$19*($DN174=$DO174))</f>
        <v>3.7037037037037035E-4</v>
      </c>
      <c r="FX174" s="10" cm="1">
        <f t="array" aca="1" ref="FX174" ca="1">(1-$B$18)*SUMPRODUCT(OFFSET($BO$15,0,0,$B$14,1), 1*(_xlfn._xlws.FILTER(OFFSET($O$15,0,$DN174,$B$8,1),OFFSET($M$15,0,0,$B$8,1))=FX$13), 1*(_xlfn._xlws.FILTER(OFFSET($O$15,0,$DO174,$B$8,1),OFFSET($M$15,0,0,$B$8,1))=FX$14))   /   SUM(OFFSET($BO$15,0,0,$B$14,1)) + $B$18/($B$19*$B$19*($DN174&lt;&gt;$DO174) + $B$19*($DN174=$DO174))</f>
        <v>3.7037037037037035E-4</v>
      </c>
      <c r="FY174" s="10" cm="1">
        <f t="array" aca="1" ref="FY174" ca="1">(1-$B$18)*SUMPRODUCT(OFFSET($BO$15,0,0,$B$14,1), 1*(_xlfn._xlws.FILTER(OFFSET($O$15,0,$DN174,$B$8,1),OFFSET($M$15,0,0,$B$8,1))=FY$13), 1*(_xlfn._xlws.FILTER(OFFSET($O$15,0,$DO174,$B$8,1),OFFSET($M$15,0,0,$B$8,1))=FY$14))   /   SUM(OFFSET($BO$15,0,0,$B$14,1)) + $B$18/($B$19*$B$19*($DN174&lt;&gt;$DO174) + $B$19*($DN174=$DO174))</f>
        <v>3.7037037037037035E-4</v>
      </c>
      <c r="FZ174" s="10" cm="1">
        <f t="array" aca="1" ref="FZ174" ca="1">(1-$B$18)*SUMPRODUCT(OFFSET($BO$15,0,0,$B$14,1), 1*(_xlfn._xlws.FILTER(OFFSET($O$15,0,$DN174,$B$8,1),OFFSET($M$15,0,0,$B$8,1))=FZ$13), 1*(_xlfn._xlws.FILTER(OFFSET($O$15,0,$DO174,$B$8,1),OFFSET($M$15,0,0,$B$8,1))=FZ$14))   /   SUM(OFFSET($BO$15,0,0,$B$14,1)) + $B$18/($B$19*$B$19*($DN174&lt;&gt;$DO174) + $B$19*($DN174=$DO174))</f>
        <v>3.7037037037037035E-4</v>
      </c>
      <c r="GA174" s="10" cm="1">
        <f t="array" aca="1" ref="GA174" ca="1">(1-$B$18)*SUMPRODUCT(OFFSET($BO$15,0,0,$B$14,1), 1*(_xlfn._xlws.FILTER(OFFSET($O$15,0,$DN174,$B$8,1),OFFSET($M$15,0,0,$B$8,1))=GA$13), 1*(_xlfn._xlws.FILTER(OFFSET($O$15,0,$DO174,$B$8,1),OFFSET($M$15,0,0,$B$8,1))=GA$14))   /   SUM(OFFSET($BO$15,0,0,$B$14,1)) + $B$18/($B$19*$B$19*($DN174&lt;&gt;$DO174) + $B$19*($DN174=$DO174))</f>
        <v>3.7037037037037035E-4</v>
      </c>
    </row>
    <row r="175" spans="118:183" x14ac:dyDescent="0.2">
      <c r="DN175" cm="1">
        <f t="array" aca="1" ref="DN175" ca="1">INDEX(_xlfn.ANCHORARRAY($CP$15), 1 + INT((ROWS($DO$15:$DO175) - 1) / ROWS(_xlfn.ANCHORARRAY($CP$15))))</f>
        <v>8</v>
      </c>
      <c r="DO175" cm="1">
        <f t="array" aca="1" ref="DO175" ca="1">INDEX(_xlfn.ANCHORARRAY($CP$15),1+MOD(ROWS($DO$15:$DO175)-1,ROWS(_xlfn.ANCHORARRAY($CP$15))))</f>
        <v>8</v>
      </c>
      <c r="DP175" s="10" cm="1">
        <f t="array" aca="1" ref="DP175" ca="1">(1-$B$18)*SUMPRODUCT(OFFSET($BO$15,0,0,$B$14,1), 1*(_xlfn._xlws.FILTER(OFFSET($O$15,0,$DN175,$B$8,1),OFFSET($M$15,0,0,$B$8,1))=DP$13), 1*(_xlfn._xlws.FILTER(OFFSET($O$15,0,$DO175,$B$8,1),OFFSET($M$15,0,0,$B$8,1))=DP$14))   /   SUM(OFFSET($BO$15,0,0,$B$14,1)) + $B$18/($B$19*$B$19*($DN175&lt;&gt;$DO175) + $B$19*($DN175=$DO175))</f>
        <v>3.3333333333333331E-3</v>
      </c>
      <c r="DQ175" s="10" cm="1">
        <f t="array" aca="1" ref="DQ175" ca="1">(1-$B$18)*SUMPRODUCT(OFFSET($BO$15,0,0,$B$14,1), 1*(_xlfn._xlws.FILTER(OFFSET($O$15,0,$DN175,$B$8,1),OFFSET($M$15,0,0,$B$8,1))=DQ$13), 1*(_xlfn._xlws.FILTER(OFFSET($O$15,0,$DO175,$B$8,1),OFFSET($M$15,0,0,$B$8,1))=DQ$14))   /   SUM(OFFSET($BO$15,0,0,$B$14,1)) + $B$18/($B$19*$B$19*($DN175&lt;&gt;$DO175) + $B$19*($DN175=$DO175))</f>
        <v>3.3333333333333331E-3</v>
      </c>
      <c r="DR175" s="10" cm="1">
        <f t="array" aca="1" ref="DR175" ca="1">(1-$B$18)*SUMPRODUCT(OFFSET($BO$15,0,0,$B$14,1), 1*(_xlfn._xlws.FILTER(OFFSET($O$15,0,$DN175,$B$8,1),OFFSET($M$15,0,0,$B$8,1))=DR$13), 1*(_xlfn._xlws.FILTER(OFFSET($O$15,0,$DO175,$B$8,1),OFFSET($M$15,0,0,$B$8,1))=DR$14))   /   SUM(OFFSET($BO$15,0,0,$B$14,1)) + $B$18/($B$19*$B$19*($DN175&lt;&gt;$DO175) + $B$19*($DN175=$DO175))</f>
        <v>3.3333333333333331E-3</v>
      </c>
      <c r="DS175" s="10" cm="1">
        <f t="array" aca="1" ref="DS175" ca="1">(1-$B$18)*SUMPRODUCT(OFFSET($BO$15,0,0,$B$14,1), 1*(_xlfn._xlws.FILTER(OFFSET($O$15,0,$DN175,$B$8,1),OFFSET($M$15,0,0,$B$8,1))=DS$13), 1*(_xlfn._xlws.FILTER(OFFSET($O$15,0,$DO175,$B$8,1),OFFSET($M$15,0,0,$B$8,1))=DS$14))   /   SUM(OFFSET($BO$15,0,0,$B$14,1)) + $B$18/($B$19*$B$19*($DN175&lt;&gt;$DO175) + $B$19*($DN175=$DO175))</f>
        <v>3.3333333333333331E-3</v>
      </c>
      <c r="DT175" s="10" cm="1">
        <f t="array" aca="1" ref="DT175" ca="1">(1-$B$18)*SUMPRODUCT(OFFSET($BO$15,0,0,$B$14,1), 1*(_xlfn._xlws.FILTER(OFFSET($O$15,0,$DN175,$B$8,1),OFFSET($M$15,0,0,$B$8,1))=DT$13), 1*(_xlfn._xlws.FILTER(OFFSET($O$15,0,$DO175,$B$8,1),OFFSET($M$15,0,0,$B$8,1))=DT$14))   /   SUM(OFFSET($BO$15,0,0,$B$14,1)) + $B$18/($B$19*$B$19*($DN175&lt;&gt;$DO175) + $B$19*($DN175=$DO175))</f>
        <v>3.3333333333333331E-3</v>
      </c>
      <c r="DU175" s="10" cm="1">
        <f t="array" aca="1" ref="DU175" ca="1">(1-$B$18)*SUMPRODUCT(OFFSET($BO$15,0,0,$B$14,1), 1*(_xlfn._xlws.FILTER(OFFSET($O$15,0,$DN175,$B$8,1),OFFSET($M$15,0,0,$B$8,1))=DU$13), 1*(_xlfn._xlws.FILTER(OFFSET($O$15,0,$DO175,$B$8,1),OFFSET($M$15,0,0,$B$8,1))=DU$14))   /   SUM(OFFSET($BO$15,0,0,$B$14,1)) + $B$18/($B$19*$B$19*($DN175&lt;&gt;$DO175) + $B$19*($DN175=$DO175))</f>
        <v>3.3333333333333331E-3</v>
      </c>
      <c r="DV175" s="10" cm="1">
        <f t="array" aca="1" ref="DV175" ca="1">(1-$B$18)*SUMPRODUCT(OFFSET($BO$15,0,0,$B$14,1), 1*(_xlfn._xlws.FILTER(OFFSET($O$15,0,$DN175,$B$8,1),OFFSET($M$15,0,0,$B$8,1))=DV$13), 1*(_xlfn._xlws.FILTER(OFFSET($O$15,0,$DO175,$B$8,1),OFFSET($M$15,0,0,$B$8,1))=DV$14))   /   SUM(OFFSET($BO$15,0,0,$B$14,1)) + $B$18/($B$19*$B$19*($DN175&lt;&gt;$DO175) + $B$19*($DN175=$DO175))</f>
        <v>3.3333333333333331E-3</v>
      </c>
      <c r="DW175" s="10" cm="1">
        <f t="array" aca="1" ref="DW175" ca="1">(1-$B$18)*SUMPRODUCT(OFFSET($BO$15,0,0,$B$14,1), 1*(_xlfn._xlws.FILTER(OFFSET($O$15,0,$DN175,$B$8,1),OFFSET($M$15,0,0,$B$8,1))=DW$13), 1*(_xlfn._xlws.FILTER(OFFSET($O$15,0,$DO175,$B$8,1),OFFSET($M$15,0,0,$B$8,1))=DW$14))   /   SUM(OFFSET($BO$15,0,0,$B$14,1)) + $B$18/($B$19*$B$19*($DN175&lt;&gt;$DO175) + $B$19*($DN175=$DO175))</f>
        <v>3.3333333333333331E-3</v>
      </c>
      <c r="DX175" s="10" cm="1">
        <f t="array" aca="1" ref="DX175" ca="1">(1-$B$18)*SUMPRODUCT(OFFSET($BO$15,0,0,$B$14,1), 1*(_xlfn._xlws.FILTER(OFFSET($O$15,0,$DN175,$B$8,1),OFFSET($M$15,0,0,$B$8,1))=DX$13), 1*(_xlfn._xlws.FILTER(OFFSET($O$15,0,$DO175,$B$8,1),OFFSET($M$15,0,0,$B$8,1))=DX$14))   /   SUM(OFFSET($BO$15,0,0,$B$14,1)) + $B$18/($B$19*$B$19*($DN175&lt;&gt;$DO175) + $B$19*($DN175=$DO175))</f>
        <v>3.3333333333333331E-3</v>
      </c>
      <c r="DY175" s="10" cm="1">
        <f t="array" aca="1" ref="DY175" ca="1">(1-$B$18)*SUMPRODUCT(OFFSET($BO$15,0,0,$B$14,1), 1*(_xlfn._xlws.FILTER(OFFSET($O$15,0,$DN175,$B$8,1),OFFSET($M$15,0,0,$B$8,1))=DY$13), 1*(_xlfn._xlws.FILTER(OFFSET($O$15,0,$DO175,$B$8,1),OFFSET($M$15,0,0,$B$8,1))=DY$14))   /   SUM(OFFSET($BO$15,0,0,$B$14,1)) + $B$18/($B$19*$B$19*($DN175&lt;&gt;$DO175) + $B$19*($DN175=$DO175))</f>
        <v>3.3333333333333331E-3</v>
      </c>
      <c r="DZ175" s="10" cm="1">
        <f t="array" aca="1" ref="DZ175" ca="1">(1-$B$18)*SUMPRODUCT(OFFSET($BO$15,0,0,$B$14,1), 1*(_xlfn._xlws.FILTER(OFFSET($O$15,0,$DN175,$B$8,1),OFFSET($M$15,0,0,$B$8,1))=DZ$13), 1*(_xlfn._xlws.FILTER(OFFSET($O$15,0,$DO175,$B$8,1),OFFSET($M$15,0,0,$B$8,1))=DZ$14))   /   SUM(OFFSET($BO$15,0,0,$B$14,1)) + $B$18/($B$19*$B$19*($DN175&lt;&gt;$DO175) + $B$19*($DN175=$DO175))</f>
        <v>3.3333333333333331E-3</v>
      </c>
      <c r="EA175" s="10" cm="1">
        <f t="array" aca="1" ref="EA175" ca="1">(1-$B$18)*SUMPRODUCT(OFFSET($BO$15,0,0,$B$14,1), 1*(_xlfn._xlws.FILTER(OFFSET($O$15,0,$DN175,$B$8,1),OFFSET($M$15,0,0,$B$8,1))=EA$13), 1*(_xlfn._xlws.FILTER(OFFSET($O$15,0,$DO175,$B$8,1),OFFSET($M$15,0,0,$B$8,1))=EA$14))   /   SUM(OFFSET($BO$15,0,0,$B$14,1)) + $B$18/($B$19*$B$19*($DN175&lt;&gt;$DO175) + $B$19*($DN175=$DO175))</f>
        <v>3.3333333333333331E-3</v>
      </c>
      <c r="EB175" s="10" cm="1">
        <f t="array" aca="1" ref="EB175" ca="1">(1-$B$18)*SUMPRODUCT(OFFSET($BO$15,0,0,$B$14,1), 1*(_xlfn._xlws.FILTER(OFFSET($O$15,0,$DN175,$B$8,1),OFFSET($M$15,0,0,$B$8,1))=EB$13), 1*(_xlfn._xlws.FILTER(OFFSET($O$15,0,$DO175,$B$8,1),OFFSET($M$15,0,0,$B$8,1))=EB$14))   /   SUM(OFFSET($BO$15,0,0,$B$14,1)) + $B$18/($B$19*$B$19*($DN175&lt;&gt;$DO175) + $B$19*($DN175=$DO175))</f>
        <v>3.3333333333333331E-3</v>
      </c>
      <c r="EC175" s="10" cm="1">
        <f t="array" aca="1" ref="EC175" ca="1">(1-$B$18)*SUMPRODUCT(OFFSET($BO$15,0,0,$B$14,1), 1*(_xlfn._xlws.FILTER(OFFSET($O$15,0,$DN175,$B$8,1),OFFSET($M$15,0,0,$B$8,1))=EC$13), 1*(_xlfn._xlws.FILTER(OFFSET($O$15,0,$DO175,$B$8,1),OFFSET($M$15,0,0,$B$8,1))=EC$14))   /   SUM(OFFSET($BO$15,0,0,$B$14,1)) + $B$18/($B$19*$B$19*($DN175&lt;&gt;$DO175) + $B$19*($DN175=$DO175))</f>
        <v>3.3333333333333331E-3</v>
      </c>
      <c r="ED175" s="10" cm="1">
        <f t="array" aca="1" ref="ED175" ca="1">(1-$B$18)*SUMPRODUCT(OFFSET($BO$15,0,0,$B$14,1), 1*(_xlfn._xlws.FILTER(OFFSET($O$15,0,$DN175,$B$8,1),OFFSET($M$15,0,0,$B$8,1))=ED$13), 1*(_xlfn._xlws.FILTER(OFFSET($O$15,0,$DO175,$B$8,1),OFFSET($M$15,0,0,$B$8,1))=ED$14))   /   SUM(OFFSET($BO$15,0,0,$B$14,1)) + $B$18/($B$19*$B$19*($DN175&lt;&gt;$DO175) + $B$19*($DN175=$DO175))</f>
        <v>3.3333333333333331E-3</v>
      </c>
      <c r="EE175" s="10" cm="1">
        <f t="array" aca="1" ref="EE175" ca="1">(1-$B$18)*SUMPRODUCT(OFFSET($BO$15,0,0,$B$14,1), 1*(_xlfn._xlws.FILTER(OFFSET($O$15,0,$DN175,$B$8,1),OFFSET($M$15,0,0,$B$8,1))=EE$13), 1*(_xlfn._xlws.FILTER(OFFSET($O$15,0,$DO175,$B$8,1),OFFSET($M$15,0,0,$B$8,1))=EE$14))   /   SUM(OFFSET($BO$15,0,0,$B$14,1)) + $B$18/($B$19*$B$19*($DN175&lt;&gt;$DO175) + $B$19*($DN175=$DO175))</f>
        <v>3.3333333333333331E-3</v>
      </c>
      <c r="EF175" s="10" cm="1">
        <f t="array" aca="1" ref="EF175" ca="1">(1-$B$18)*SUMPRODUCT(OFFSET($BO$15,0,0,$B$14,1), 1*(_xlfn._xlws.FILTER(OFFSET($O$15,0,$DN175,$B$8,1),OFFSET($M$15,0,0,$B$8,1))=EF$13), 1*(_xlfn._xlws.FILTER(OFFSET($O$15,0,$DO175,$B$8,1),OFFSET($M$15,0,0,$B$8,1))=EF$14))   /   SUM(OFFSET($BO$15,0,0,$B$14,1)) + $B$18/($B$19*$B$19*($DN175&lt;&gt;$DO175) + $B$19*($DN175=$DO175))</f>
        <v>3.3333333333333331E-3</v>
      </c>
      <c r="EG175" s="10" cm="1">
        <f t="array" aca="1" ref="EG175" ca="1">(1-$B$18)*SUMPRODUCT(OFFSET($BO$15,0,0,$B$14,1), 1*(_xlfn._xlws.FILTER(OFFSET($O$15,0,$DN175,$B$8,1),OFFSET($M$15,0,0,$B$8,1))=EG$13), 1*(_xlfn._xlws.FILTER(OFFSET($O$15,0,$DO175,$B$8,1),OFFSET($M$15,0,0,$B$8,1))=EG$14))   /   SUM(OFFSET($BO$15,0,0,$B$14,1)) + $B$18/($B$19*$B$19*($DN175&lt;&gt;$DO175) + $B$19*($DN175=$DO175))</f>
        <v>3.3333333333333331E-3</v>
      </c>
      <c r="EH175" s="10" cm="1">
        <f t="array" aca="1" ref="EH175" ca="1">(1-$B$18)*SUMPRODUCT(OFFSET($BO$15,0,0,$B$14,1), 1*(_xlfn._xlws.FILTER(OFFSET($O$15,0,$DN175,$B$8,1),OFFSET($M$15,0,0,$B$8,1))=EH$13), 1*(_xlfn._xlws.FILTER(OFFSET($O$15,0,$DO175,$B$8,1),OFFSET($M$15,0,0,$B$8,1))=EH$14))   /   SUM(OFFSET($BO$15,0,0,$B$14,1)) + $B$18/($B$19*$B$19*($DN175&lt;&gt;$DO175) + $B$19*($DN175=$DO175))</f>
        <v>3.3333333333333331E-3</v>
      </c>
      <c r="EI175" s="10" cm="1">
        <f t="array" aca="1" ref="EI175" ca="1">(1-$B$18)*SUMPRODUCT(OFFSET($BO$15,0,0,$B$14,1), 1*(_xlfn._xlws.FILTER(OFFSET($O$15,0,$DN175,$B$8,1),OFFSET($M$15,0,0,$B$8,1))=EI$13), 1*(_xlfn._xlws.FILTER(OFFSET($O$15,0,$DO175,$B$8,1),OFFSET($M$15,0,0,$B$8,1))=EI$14))   /   SUM(OFFSET($BO$15,0,0,$B$14,1)) + $B$18/($B$19*$B$19*($DN175&lt;&gt;$DO175) + $B$19*($DN175=$DO175))</f>
        <v>3.3333333333333331E-3</v>
      </c>
      <c r="EJ175" s="10" cm="1">
        <f t="array" aca="1" ref="EJ175" ca="1">(1-$B$18)*SUMPRODUCT(OFFSET($BO$15,0,0,$B$14,1), 1*(_xlfn._xlws.FILTER(OFFSET($O$15,0,$DN175,$B$8,1),OFFSET($M$15,0,0,$B$8,1))=EJ$13), 1*(_xlfn._xlws.FILTER(OFFSET($O$15,0,$DO175,$B$8,1),OFFSET($M$15,0,0,$B$8,1))=EJ$14))   /   SUM(OFFSET($BO$15,0,0,$B$14,1)) + $B$18/($B$19*$B$19*($DN175&lt;&gt;$DO175) + $B$19*($DN175=$DO175))</f>
        <v>3.3333333333333331E-3</v>
      </c>
      <c r="EK175" s="10" cm="1">
        <f t="array" aca="1" ref="EK175" ca="1">(1-$B$18)*SUMPRODUCT(OFFSET($BO$15,0,0,$B$14,1), 1*(_xlfn._xlws.FILTER(OFFSET($O$15,0,$DN175,$B$8,1),OFFSET($M$15,0,0,$B$8,1))=EK$13), 1*(_xlfn._xlws.FILTER(OFFSET($O$15,0,$DO175,$B$8,1),OFFSET($M$15,0,0,$B$8,1))=EK$14))   /   SUM(OFFSET($BO$15,0,0,$B$14,1)) + $B$18/($B$19*$B$19*($DN175&lt;&gt;$DO175) + $B$19*($DN175=$DO175))</f>
        <v>3.3333333333333331E-3</v>
      </c>
      <c r="EL175" s="10" cm="1">
        <f t="array" aca="1" ref="EL175" ca="1">(1-$B$18)*SUMPRODUCT(OFFSET($BO$15,0,0,$B$14,1), 1*(_xlfn._xlws.FILTER(OFFSET($O$15,0,$DN175,$B$8,1),OFFSET($M$15,0,0,$B$8,1))=EL$13), 1*(_xlfn._xlws.FILTER(OFFSET($O$15,0,$DO175,$B$8,1),OFFSET($M$15,0,0,$B$8,1))=EL$14))   /   SUM(OFFSET($BO$15,0,0,$B$14,1)) + $B$18/($B$19*$B$19*($DN175&lt;&gt;$DO175) + $B$19*($DN175=$DO175))</f>
        <v>3.3333333333333331E-3</v>
      </c>
      <c r="EM175" s="10" cm="1">
        <f t="array" aca="1" ref="EM175" ca="1">(1-$B$18)*SUMPRODUCT(OFFSET($BO$15,0,0,$B$14,1), 1*(_xlfn._xlws.FILTER(OFFSET($O$15,0,$DN175,$B$8,1),OFFSET($M$15,0,0,$B$8,1))=EM$13), 1*(_xlfn._xlws.FILTER(OFFSET($O$15,0,$DO175,$B$8,1),OFFSET($M$15,0,0,$B$8,1))=EM$14))   /   SUM(OFFSET($BO$15,0,0,$B$14,1)) + $B$18/($B$19*$B$19*($DN175&lt;&gt;$DO175) + $B$19*($DN175=$DO175))</f>
        <v>3.3333333333333331E-3</v>
      </c>
      <c r="EN175" s="10" cm="1">
        <f t="array" aca="1" ref="EN175" ca="1">(1-$B$18)*SUMPRODUCT(OFFSET($BO$15,0,0,$B$14,1), 1*(_xlfn._xlws.FILTER(OFFSET($O$15,0,$DN175,$B$8,1),OFFSET($M$15,0,0,$B$8,1))=EN$13), 1*(_xlfn._xlws.FILTER(OFFSET($O$15,0,$DO175,$B$8,1),OFFSET($M$15,0,0,$B$8,1))=EN$14))   /   SUM(OFFSET($BO$15,0,0,$B$14,1)) + $B$18/($B$19*$B$19*($DN175&lt;&gt;$DO175) + $B$19*($DN175=$DO175))</f>
        <v>3.3333333333333331E-3</v>
      </c>
      <c r="EO175" s="10" cm="1">
        <f t="array" aca="1" ref="EO175" ca="1">(1-$B$18)*SUMPRODUCT(OFFSET($BO$15,0,0,$B$14,1), 1*(_xlfn._xlws.FILTER(OFFSET($O$15,0,$DN175,$B$8,1),OFFSET($M$15,0,0,$B$8,1))=EO$13), 1*(_xlfn._xlws.FILTER(OFFSET($O$15,0,$DO175,$B$8,1),OFFSET($M$15,0,0,$B$8,1))=EO$14))   /   SUM(OFFSET($BO$15,0,0,$B$14,1)) + $B$18/($B$19*$B$19*($DN175&lt;&gt;$DO175) + $B$19*($DN175=$DO175))</f>
        <v>3.3333333333333331E-3</v>
      </c>
      <c r="EP175" s="10" cm="1">
        <f t="array" aca="1" ref="EP175" ca="1">(1-$B$18)*SUMPRODUCT(OFFSET($BO$15,0,0,$B$14,1), 1*(_xlfn._xlws.FILTER(OFFSET($O$15,0,$DN175,$B$8,1),OFFSET($M$15,0,0,$B$8,1))=EP$13), 1*(_xlfn._xlws.FILTER(OFFSET($O$15,0,$DO175,$B$8,1),OFFSET($M$15,0,0,$B$8,1))=EP$14))   /   SUM(OFFSET($BO$15,0,0,$B$14,1)) + $B$18/($B$19*$B$19*($DN175&lt;&gt;$DO175) + $B$19*($DN175=$DO175))</f>
        <v>3.3333333333333331E-3</v>
      </c>
      <c r="EQ175" s="10" cm="1">
        <f t="array" aca="1" ref="EQ175" ca="1">(1-$B$18)*SUMPRODUCT(OFFSET($BO$15,0,0,$B$14,1), 1*(_xlfn._xlws.FILTER(OFFSET($O$15,0,$DN175,$B$8,1),OFFSET($M$15,0,0,$B$8,1))=EQ$13), 1*(_xlfn._xlws.FILTER(OFFSET($O$15,0,$DO175,$B$8,1),OFFSET($M$15,0,0,$B$8,1))=EQ$14))   /   SUM(OFFSET($BO$15,0,0,$B$14,1)) + $B$18/($B$19*$B$19*($DN175&lt;&gt;$DO175) + $B$19*($DN175=$DO175))</f>
        <v>3.3333333333333331E-3</v>
      </c>
      <c r="ER175" s="10" cm="1">
        <f t="array" aca="1" ref="ER175" ca="1">(1-$B$18)*SUMPRODUCT(OFFSET($BO$15,0,0,$B$14,1), 1*(_xlfn._xlws.FILTER(OFFSET($O$15,0,$DN175,$B$8,1),OFFSET($M$15,0,0,$B$8,1))=ER$13), 1*(_xlfn._xlws.FILTER(OFFSET($O$15,0,$DO175,$B$8,1),OFFSET($M$15,0,0,$B$8,1))=ER$14))   /   SUM(OFFSET($BO$15,0,0,$B$14,1)) + $B$18/($B$19*$B$19*($DN175&lt;&gt;$DO175) + $B$19*($DN175=$DO175))</f>
        <v>3.3333333333333331E-3</v>
      </c>
      <c r="ES175" s="10" cm="1">
        <f t="array" aca="1" ref="ES175" ca="1">(1-$B$18)*SUMPRODUCT(OFFSET($BO$15,0,0,$B$14,1), 1*(_xlfn._xlws.FILTER(OFFSET($O$15,0,$DN175,$B$8,1),OFFSET($M$15,0,0,$B$8,1))=ES$13), 1*(_xlfn._xlws.FILTER(OFFSET($O$15,0,$DO175,$B$8,1),OFFSET($M$15,0,0,$B$8,1))=ES$14))   /   SUM(OFFSET($BO$15,0,0,$B$14,1)) + $B$18/($B$19*$B$19*($DN175&lt;&gt;$DO175) + $B$19*($DN175=$DO175))</f>
        <v>3.3333333333333331E-3</v>
      </c>
      <c r="ET175" s="10" cm="1">
        <f t="array" aca="1" ref="ET175" ca="1">(1-$B$18)*SUMPRODUCT(OFFSET($BO$15,0,0,$B$14,1), 1*(_xlfn._xlws.FILTER(OFFSET($O$15,0,$DN175,$B$8,1),OFFSET($M$15,0,0,$B$8,1))=ET$13), 1*(_xlfn._xlws.FILTER(OFFSET($O$15,0,$DO175,$B$8,1),OFFSET($M$15,0,0,$B$8,1))=ET$14))   /   SUM(OFFSET($BO$15,0,0,$B$14,1)) + $B$18/($B$19*$B$19*($DN175&lt;&gt;$DO175) + $B$19*($DN175=$DO175))</f>
        <v>3.3333333333333331E-3</v>
      </c>
      <c r="EU175" s="10" cm="1">
        <f t="array" aca="1" ref="EU175" ca="1">(1-$B$18)*SUMPRODUCT(OFFSET($BO$15,0,0,$B$14,1), 1*(_xlfn._xlws.FILTER(OFFSET($O$15,0,$DN175,$B$8,1),OFFSET($M$15,0,0,$B$8,1))=EU$13), 1*(_xlfn._xlws.FILTER(OFFSET($O$15,0,$DO175,$B$8,1),OFFSET($M$15,0,0,$B$8,1))=EU$14))   /   SUM(OFFSET($BO$15,0,0,$B$14,1)) + $B$18/($B$19*$B$19*($DN175&lt;&gt;$DO175) + $B$19*($DN175=$DO175))</f>
        <v>3.3333333333333331E-3</v>
      </c>
      <c r="EV175" s="10" cm="1">
        <f t="array" aca="1" ref="EV175" ca="1">(1-$B$18)*SUMPRODUCT(OFFSET($BO$15,0,0,$B$14,1), 1*(_xlfn._xlws.FILTER(OFFSET($O$15,0,$DN175,$B$8,1),OFFSET($M$15,0,0,$B$8,1))=EV$13), 1*(_xlfn._xlws.FILTER(OFFSET($O$15,0,$DO175,$B$8,1),OFFSET($M$15,0,0,$B$8,1))=EV$14))   /   SUM(OFFSET($BO$15,0,0,$B$14,1)) + $B$18/($B$19*$B$19*($DN175&lt;&gt;$DO175) + $B$19*($DN175=$DO175))</f>
        <v>3.3333333333333331E-3</v>
      </c>
      <c r="EW175" s="10" cm="1">
        <f t="array" aca="1" ref="EW175" ca="1">(1-$B$18)*SUMPRODUCT(OFFSET($BO$15,0,0,$B$14,1), 1*(_xlfn._xlws.FILTER(OFFSET($O$15,0,$DN175,$B$8,1),OFFSET($M$15,0,0,$B$8,1))=EW$13), 1*(_xlfn._xlws.FILTER(OFFSET($O$15,0,$DO175,$B$8,1),OFFSET($M$15,0,0,$B$8,1))=EW$14))   /   SUM(OFFSET($BO$15,0,0,$B$14,1)) + $B$18/($B$19*$B$19*($DN175&lt;&gt;$DO175) + $B$19*($DN175=$DO175))</f>
        <v>3.3333333333333331E-3</v>
      </c>
      <c r="EX175" s="10" cm="1">
        <f t="array" aca="1" ref="EX175" ca="1">(1-$B$18)*SUMPRODUCT(OFFSET($BO$15,0,0,$B$14,1), 1*(_xlfn._xlws.FILTER(OFFSET($O$15,0,$DN175,$B$8,1),OFFSET($M$15,0,0,$B$8,1))=EX$13), 1*(_xlfn._xlws.FILTER(OFFSET($O$15,0,$DO175,$B$8,1),OFFSET($M$15,0,0,$B$8,1))=EX$14))   /   SUM(OFFSET($BO$15,0,0,$B$14,1)) + $B$18/($B$19*$B$19*($DN175&lt;&gt;$DO175) + $B$19*($DN175=$DO175))</f>
        <v>3.3333333333333331E-3</v>
      </c>
      <c r="EY175" s="10" cm="1">
        <f t="array" aca="1" ref="EY175" ca="1">(1-$B$18)*SUMPRODUCT(OFFSET($BO$15,0,0,$B$14,1), 1*(_xlfn._xlws.FILTER(OFFSET($O$15,0,$DN175,$B$8,1),OFFSET($M$15,0,0,$B$8,1))=EY$13), 1*(_xlfn._xlws.FILTER(OFFSET($O$15,0,$DO175,$B$8,1),OFFSET($M$15,0,0,$B$8,1))=EY$14))   /   SUM(OFFSET($BO$15,0,0,$B$14,1)) + $B$18/($B$19*$B$19*($DN175&lt;&gt;$DO175) + $B$19*($DN175=$DO175))</f>
        <v>3.3333333333333331E-3</v>
      </c>
      <c r="EZ175" s="10" cm="1">
        <f t="array" aca="1" ref="EZ175" ca="1">(1-$B$18)*SUMPRODUCT(OFFSET($BO$15,0,0,$B$14,1), 1*(_xlfn._xlws.FILTER(OFFSET($O$15,0,$DN175,$B$8,1),OFFSET($M$15,0,0,$B$8,1))=EZ$13), 1*(_xlfn._xlws.FILTER(OFFSET($O$15,0,$DO175,$B$8,1),OFFSET($M$15,0,0,$B$8,1))=EZ$14))   /   SUM(OFFSET($BO$15,0,0,$B$14,1)) + $B$18/($B$19*$B$19*($DN175&lt;&gt;$DO175) + $B$19*($DN175=$DO175))</f>
        <v>3.3333333333333331E-3</v>
      </c>
      <c r="FA175" s="10" cm="1">
        <f t="array" aca="1" ref="FA175" ca="1">(1-$B$18)*SUMPRODUCT(OFFSET($BO$15,0,0,$B$14,1), 1*(_xlfn._xlws.FILTER(OFFSET($O$15,0,$DN175,$B$8,1),OFFSET($M$15,0,0,$B$8,1))=FA$13), 1*(_xlfn._xlws.FILTER(OFFSET($O$15,0,$DO175,$B$8,1),OFFSET($M$15,0,0,$B$8,1))=FA$14))   /   SUM(OFFSET($BO$15,0,0,$B$14,1)) + $B$18/($B$19*$B$19*($DN175&lt;&gt;$DO175) + $B$19*($DN175=$DO175))</f>
        <v>3.3333333333333331E-3</v>
      </c>
      <c r="FB175" s="10" cm="1">
        <f t="array" aca="1" ref="FB175" ca="1">(1-$B$18)*SUMPRODUCT(OFFSET($BO$15,0,0,$B$14,1), 1*(_xlfn._xlws.FILTER(OFFSET($O$15,0,$DN175,$B$8,1),OFFSET($M$15,0,0,$B$8,1))=FB$13), 1*(_xlfn._xlws.FILTER(OFFSET($O$15,0,$DO175,$B$8,1),OFFSET($M$15,0,0,$B$8,1))=FB$14))   /   SUM(OFFSET($BO$15,0,0,$B$14,1)) + $B$18/($B$19*$B$19*($DN175&lt;&gt;$DO175) + $B$19*($DN175=$DO175))</f>
        <v>3.3333333333333331E-3</v>
      </c>
      <c r="FC175" s="10" cm="1">
        <f t="array" aca="1" ref="FC175" ca="1">(1-$B$18)*SUMPRODUCT(OFFSET($BO$15,0,0,$B$14,1), 1*(_xlfn._xlws.FILTER(OFFSET($O$15,0,$DN175,$B$8,1),OFFSET($M$15,0,0,$B$8,1))=FC$13), 1*(_xlfn._xlws.FILTER(OFFSET($O$15,0,$DO175,$B$8,1),OFFSET($M$15,0,0,$B$8,1))=FC$14))   /   SUM(OFFSET($BO$15,0,0,$B$14,1)) + $B$18/($B$19*$B$19*($DN175&lt;&gt;$DO175) + $B$19*($DN175=$DO175))</f>
        <v>3.3333333333333331E-3</v>
      </c>
      <c r="FD175" s="10" cm="1">
        <f t="array" aca="1" ref="FD175" ca="1">(1-$B$18)*SUMPRODUCT(OFFSET($BO$15,0,0,$B$14,1), 1*(_xlfn._xlws.FILTER(OFFSET($O$15,0,$DN175,$B$8,1),OFFSET($M$15,0,0,$B$8,1))=FD$13), 1*(_xlfn._xlws.FILTER(OFFSET($O$15,0,$DO175,$B$8,1),OFFSET($M$15,0,0,$B$8,1))=FD$14))   /   SUM(OFFSET($BO$15,0,0,$B$14,1)) + $B$18/($B$19*$B$19*($DN175&lt;&gt;$DO175) + $B$19*($DN175=$DO175))</f>
        <v>3.3333333333333331E-3</v>
      </c>
      <c r="FE175" s="10" cm="1">
        <f t="array" aca="1" ref="FE175" ca="1">(1-$B$18)*SUMPRODUCT(OFFSET($BO$15,0,0,$B$14,1), 1*(_xlfn._xlws.FILTER(OFFSET($O$15,0,$DN175,$B$8,1),OFFSET($M$15,0,0,$B$8,1))=FE$13), 1*(_xlfn._xlws.FILTER(OFFSET($O$15,0,$DO175,$B$8,1),OFFSET($M$15,0,0,$B$8,1))=FE$14))   /   SUM(OFFSET($BO$15,0,0,$B$14,1)) + $B$18/($B$19*$B$19*($DN175&lt;&gt;$DO175) + $B$19*($DN175=$DO175))</f>
        <v>3.3333333333333331E-3</v>
      </c>
      <c r="FF175" s="10" cm="1">
        <f t="array" aca="1" ref="FF175" ca="1">(1-$B$18)*SUMPRODUCT(OFFSET($BO$15,0,0,$B$14,1), 1*(_xlfn._xlws.FILTER(OFFSET($O$15,0,$DN175,$B$8,1),OFFSET($M$15,0,0,$B$8,1))=FF$13), 1*(_xlfn._xlws.FILTER(OFFSET($O$15,0,$DO175,$B$8,1),OFFSET($M$15,0,0,$B$8,1))=FF$14))   /   SUM(OFFSET($BO$15,0,0,$B$14,1)) + $B$18/($B$19*$B$19*($DN175&lt;&gt;$DO175) + $B$19*($DN175=$DO175))</f>
        <v>3.3333333333333331E-3</v>
      </c>
      <c r="FG175" s="10" cm="1">
        <f t="array" aca="1" ref="FG175" ca="1">(1-$B$18)*SUMPRODUCT(OFFSET($BO$15,0,0,$B$14,1), 1*(_xlfn._xlws.FILTER(OFFSET($O$15,0,$DN175,$B$8,1),OFFSET($M$15,0,0,$B$8,1))=FG$13), 1*(_xlfn._xlws.FILTER(OFFSET($O$15,0,$DO175,$B$8,1),OFFSET($M$15,0,0,$B$8,1))=FG$14))   /   SUM(OFFSET($BO$15,0,0,$B$14,1)) + $B$18/($B$19*$B$19*($DN175&lt;&gt;$DO175) + $B$19*($DN175=$DO175))</f>
        <v>3.3333333333333331E-3</v>
      </c>
      <c r="FH175" s="10" cm="1">
        <f t="array" aca="1" ref="FH175" ca="1">(1-$B$18)*SUMPRODUCT(OFFSET($BO$15,0,0,$B$14,1), 1*(_xlfn._xlws.FILTER(OFFSET($O$15,0,$DN175,$B$8,1),OFFSET($M$15,0,0,$B$8,1))=FH$13), 1*(_xlfn._xlws.FILTER(OFFSET($O$15,0,$DO175,$B$8,1),OFFSET($M$15,0,0,$B$8,1))=FH$14))   /   SUM(OFFSET($BO$15,0,0,$B$14,1)) + $B$18/($B$19*$B$19*($DN175&lt;&gt;$DO175) + $B$19*($DN175=$DO175))</f>
        <v>3.3333333333333331E-3</v>
      </c>
      <c r="FI175" s="10" cm="1">
        <f t="array" aca="1" ref="FI175" ca="1">(1-$B$18)*SUMPRODUCT(OFFSET($BO$15,0,0,$B$14,1), 1*(_xlfn._xlws.FILTER(OFFSET($O$15,0,$DN175,$B$8,1),OFFSET($M$15,0,0,$B$8,1))=FI$13), 1*(_xlfn._xlws.FILTER(OFFSET($O$15,0,$DO175,$B$8,1),OFFSET($M$15,0,0,$B$8,1))=FI$14))   /   SUM(OFFSET($BO$15,0,0,$B$14,1)) + $B$18/($B$19*$B$19*($DN175&lt;&gt;$DO175) + $B$19*($DN175=$DO175))</f>
        <v>3.3333333333333331E-3</v>
      </c>
      <c r="FJ175" s="10" cm="1">
        <f t="array" aca="1" ref="FJ175" ca="1">(1-$B$18)*SUMPRODUCT(OFFSET($BO$15,0,0,$B$14,1), 1*(_xlfn._xlws.FILTER(OFFSET($O$15,0,$DN175,$B$8,1),OFFSET($M$15,0,0,$B$8,1))=FJ$13), 1*(_xlfn._xlws.FILTER(OFFSET($O$15,0,$DO175,$B$8,1),OFFSET($M$15,0,0,$B$8,1))=FJ$14))   /   SUM(OFFSET($BO$15,0,0,$B$14,1)) + $B$18/($B$19*$B$19*($DN175&lt;&gt;$DO175) + $B$19*($DN175=$DO175))</f>
        <v>3.3333333333333331E-3</v>
      </c>
      <c r="FK175" s="10" cm="1">
        <f t="array" aca="1" ref="FK175" ca="1">(1-$B$18)*SUMPRODUCT(OFFSET($BO$15,0,0,$B$14,1), 1*(_xlfn._xlws.FILTER(OFFSET($O$15,0,$DN175,$B$8,1),OFFSET($M$15,0,0,$B$8,1))=FK$13), 1*(_xlfn._xlws.FILTER(OFFSET($O$15,0,$DO175,$B$8,1),OFFSET($M$15,0,0,$B$8,1))=FK$14))   /   SUM(OFFSET($BO$15,0,0,$B$14,1)) + $B$18/($B$19*$B$19*($DN175&lt;&gt;$DO175) + $B$19*($DN175=$DO175))</f>
        <v>3.3333333333333331E-3</v>
      </c>
      <c r="FL175" s="10" cm="1">
        <f t="array" aca="1" ref="FL175" ca="1">(1-$B$18)*SUMPRODUCT(OFFSET($BO$15,0,0,$B$14,1), 1*(_xlfn._xlws.FILTER(OFFSET($O$15,0,$DN175,$B$8,1),OFFSET($M$15,0,0,$B$8,1))=FL$13), 1*(_xlfn._xlws.FILTER(OFFSET($O$15,0,$DO175,$B$8,1),OFFSET($M$15,0,0,$B$8,1))=FL$14))   /   SUM(OFFSET($BO$15,0,0,$B$14,1)) + $B$18/($B$19*$B$19*($DN175&lt;&gt;$DO175) + $B$19*($DN175=$DO175))</f>
        <v>3.3333333333333331E-3</v>
      </c>
      <c r="FM175" s="10" cm="1">
        <f t="array" aca="1" ref="FM175" ca="1">(1-$B$18)*SUMPRODUCT(OFFSET($BO$15,0,0,$B$14,1), 1*(_xlfn._xlws.FILTER(OFFSET($O$15,0,$DN175,$B$8,1),OFFSET($M$15,0,0,$B$8,1))=FM$13), 1*(_xlfn._xlws.FILTER(OFFSET($O$15,0,$DO175,$B$8,1),OFFSET($M$15,0,0,$B$8,1))=FM$14))   /   SUM(OFFSET($BO$15,0,0,$B$14,1)) + $B$18/($B$19*$B$19*($DN175&lt;&gt;$DO175) + $B$19*($DN175=$DO175))</f>
        <v>3.3333333333333331E-3</v>
      </c>
      <c r="FN175" s="10" cm="1">
        <f t="array" aca="1" ref="FN175" ca="1">(1-$B$18)*SUMPRODUCT(OFFSET($BO$15,0,0,$B$14,1), 1*(_xlfn._xlws.FILTER(OFFSET($O$15,0,$DN175,$B$8,1),OFFSET($M$15,0,0,$B$8,1))=FN$13), 1*(_xlfn._xlws.FILTER(OFFSET($O$15,0,$DO175,$B$8,1),OFFSET($M$15,0,0,$B$8,1))=FN$14))   /   SUM(OFFSET($BO$15,0,0,$B$14,1)) + $B$18/($B$19*$B$19*($DN175&lt;&gt;$DO175) + $B$19*($DN175=$DO175))</f>
        <v>3.3333333333333331E-3</v>
      </c>
      <c r="FO175" s="10" cm="1">
        <f t="array" aca="1" ref="FO175" ca="1">(1-$B$18)*SUMPRODUCT(OFFSET($BO$15,0,0,$B$14,1), 1*(_xlfn._xlws.FILTER(OFFSET($O$15,0,$DN175,$B$8,1),OFFSET($M$15,0,0,$B$8,1))=FO$13), 1*(_xlfn._xlws.FILTER(OFFSET($O$15,0,$DO175,$B$8,1),OFFSET($M$15,0,0,$B$8,1))=FO$14))   /   SUM(OFFSET($BO$15,0,0,$B$14,1)) + $B$18/($B$19*$B$19*($DN175&lt;&gt;$DO175) + $B$19*($DN175=$DO175))</f>
        <v>3.3333333333333331E-3</v>
      </c>
      <c r="FP175" s="10" cm="1">
        <f t="array" aca="1" ref="FP175" ca="1">(1-$B$18)*SUMPRODUCT(OFFSET($BO$15,0,0,$B$14,1), 1*(_xlfn._xlws.FILTER(OFFSET($O$15,0,$DN175,$B$8,1),OFFSET($M$15,0,0,$B$8,1))=FP$13), 1*(_xlfn._xlws.FILTER(OFFSET($O$15,0,$DO175,$B$8,1),OFFSET($M$15,0,0,$B$8,1))=FP$14))   /   SUM(OFFSET($BO$15,0,0,$B$14,1)) + $B$18/($B$19*$B$19*($DN175&lt;&gt;$DO175) + $B$19*($DN175=$DO175))</f>
        <v>3.3333333333333331E-3</v>
      </c>
      <c r="FQ175" s="10" cm="1">
        <f t="array" aca="1" ref="FQ175" ca="1">(1-$B$18)*SUMPRODUCT(OFFSET($BO$15,0,0,$B$14,1), 1*(_xlfn._xlws.FILTER(OFFSET($O$15,0,$DN175,$B$8,1),OFFSET($M$15,0,0,$B$8,1))=FQ$13), 1*(_xlfn._xlws.FILTER(OFFSET($O$15,0,$DO175,$B$8,1),OFFSET($M$15,0,0,$B$8,1))=FQ$14))   /   SUM(OFFSET($BO$15,0,0,$B$14,1)) + $B$18/($B$19*$B$19*($DN175&lt;&gt;$DO175) + $B$19*($DN175=$DO175))</f>
        <v>3.3333333333333331E-3</v>
      </c>
      <c r="FR175" s="10" cm="1">
        <f t="array" aca="1" ref="FR175" ca="1">(1-$B$18)*SUMPRODUCT(OFFSET($BO$15,0,0,$B$14,1), 1*(_xlfn._xlws.FILTER(OFFSET($O$15,0,$DN175,$B$8,1),OFFSET($M$15,0,0,$B$8,1))=FR$13), 1*(_xlfn._xlws.FILTER(OFFSET($O$15,0,$DO175,$B$8,1),OFFSET($M$15,0,0,$B$8,1))=FR$14))   /   SUM(OFFSET($BO$15,0,0,$B$14,1)) + $B$18/($B$19*$B$19*($DN175&lt;&gt;$DO175) + $B$19*($DN175=$DO175))</f>
        <v>0.97333333333333327</v>
      </c>
      <c r="FS175" s="10" cm="1">
        <f t="array" aca="1" ref="FS175" ca="1">(1-$B$18)*SUMPRODUCT(OFFSET($BO$15,0,0,$B$14,1), 1*(_xlfn._xlws.FILTER(OFFSET($O$15,0,$DN175,$B$8,1),OFFSET($M$15,0,0,$B$8,1))=FS$13), 1*(_xlfn._xlws.FILTER(OFFSET($O$15,0,$DO175,$B$8,1),OFFSET($M$15,0,0,$B$8,1))=FS$14))   /   SUM(OFFSET($BO$15,0,0,$B$14,1)) + $B$18/($B$19*$B$19*($DN175&lt;&gt;$DO175) + $B$19*($DN175=$DO175))</f>
        <v>3.3333333333333331E-3</v>
      </c>
      <c r="FT175" s="10" cm="1">
        <f t="array" aca="1" ref="FT175" ca="1">(1-$B$18)*SUMPRODUCT(OFFSET($BO$15,0,0,$B$14,1), 1*(_xlfn._xlws.FILTER(OFFSET($O$15,0,$DN175,$B$8,1),OFFSET($M$15,0,0,$B$8,1))=FT$13), 1*(_xlfn._xlws.FILTER(OFFSET($O$15,0,$DO175,$B$8,1),OFFSET($M$15,0,0,$B$8,1))=FT$14))   /   SUM(OFFSET($BO$15,0,0,$B$14,1)) + $B$18/($B$19*$B$19*($DN175&lt;&gt;$DO175) + $B$19*($DN175=$DO175))</f>
        <v>3.3333333333333331E-3</v>
      </c>
      <c r="FU175" s="10" cm="1">
        <f t="array" aca="1" ref="FU175" ca="1">(1-$B$18)*SUMPRODUCT(OFFSET($BO$15,0,0,$B$14,1), 1*(_xlfn._xlws.FILTER(OFFSET($O$15,0,$DN175,$B$8,1),OFFSET($M$15,0,0,$B$8,1))=FU$13), 1*(_xlfn._xlws.FILTER(OFFSET($O$15,0,$DO175,$B$8,1),OFFSET($M$15,0,0,$B$8,1))=FU$14))   /   SUM(OFFSET($BO$15,0,0,$B$14,1)) + $B$18/($B$19*$B$19*($DN175&lt;&gt;$DO175) + $B$19*($DN175=$DO175))</f>
        <v>3.3333333333333331E-3</v>
      </c>
      <c r="FV175" s="10" cm="1">
        <f t="array" aca="1" ref="FV175" ca="1">(1-$B$18)*SUMPRODUCT(OFFSET($BO$15,0,0,$B$14,1), 1*(_xlfn._xlws.FILTER(OFFSET($O$15,0,$DN175,$B$8,1),OFFSET($M$15,0,0,$B$8,1))=FV$13), 1*(_xlfn._xlws.FILTER(OFFSET($O$15,0,$DO175,$B$8,1),OFFSET($M$15,0,0,$B$8,1))=FV$14))   /   SUM(OFFSET($BO$15,0,0,$B$14,1)) + $B$18/($B$19*$B$19*($DN175&lt;&gt;$DO175) + $B$19*($DN175=$DO175))</f>
        <v>3.3333333333333331E-3</v>
      </c>
      <c r="FW175" s="10" cm="1">
        <f t="array" aca="1" ref="FW175" ca="1">(1-$B$18)*SUMPRODUCT(OFFSET($BO$15,0,0,$B$14,1), 1*(_xlfn._xlws.FILTER(OFFSET($O$15,0,$DN175,$B$8,1),OFFSET($M$15,0,0,$B$8,1))=FW$13), 1*(_xlfn._xlws.FILTER(OFFSET($O$15,0,$DO175,$B$8,1),OFFSET($M$15,0,0,$B$8,1))=FW$14))   /   SUM(OFFSET($BO$15,0,0,$B$14,1)) + $B$18/($B$19*$B$19*($DN175&lt;&gt;$DO175) + $B$19*($DN175=$DO175))</f>
        <v>3.3333333333333331E-3</v>
      </c>
      <c r="FX175" s="10" cm="1">
        <f t="array" aca="1" ref="FX175" ca="1">(1-$B$18)*SUMPRODUCT(OFFSET($BO$15,0,0,$B$14,1), 1*(_xlfn._xlws.FILTER(OFFSET($O$15,0,$DN175,$B$8,1),OFFSET($M$15,0,0,$B$8,1))=FX$13), 1*(_xlfn._xlws.FILTER(OFFSET($O$15,0,$DO175,$B$8,1),OFFSET($M$15,0,0,$B$8,1))=FX$14))   /   SUM(OFFSET($BO$15,0,0,$B$14,1)) + $B$18/($B$19*$B$19*($DN175&lt;&gt;$DO175) + $B$19*($DN175=$DO175))</f>
        <v>3.3333333333333331E-3</v>
      </c>
      <c r="FY175" s="10" cm="1">
        <f t="array" aca="1" ref="FY175" ca="1">(1-$B$18)*SUMPRODUCT(OFFSET($BO$15,0,0,$B$14,1), 1*(_xlfn._xlws.FILTER(OFFSET($O$15,0,$DN175,$B$8,1),OFFSET($M$15,0,0,$B$8,1))=FY$13), 1*(_xlfn._xlws.FILTER(OFFSET($O$15,0,$DO175,$B$8,1),OFFSET($M$15,0,0,$B$8,1))=FY$14))   /   SUM(OFFSET($BO$15,0,0,$B$14,1)) + $B$18/($B$19*$B$19*($DN175&lt;&gt;$DO175) + $B$19*($DN175=$DO175))</f>
        <v>3.3333333333333331E-3</v>
      </c>
      <c r="FZ175" s="10" cm="1">
        <f t="array" aca="1" ref="FZ175" ca="1">(1-$B$18)*SUMPRODUCT(OFFSET($BO$15,0,0,$B$14,1), 1*(_xlfn._xlws.FILTER(OFFSET($O$15,0,$DN175,$B$8,1),OFFSET($M$15,0,0,$B$8,1))=FZ$13), 1*(_xlfn._xlws.FILTER(OFFSET($O$15,0,$DO175,$B$8,1),OFFSET($M$15,0,0,$B$8,1))=FZ$14))   /   SUM(OFFSET($BO$15,0,0,$B$14,1)) + $B$18/($B$19*$B$19*($DN175&lt;&gt;$DO175) + $B$19*($DN175=$DO175))</f>
        <v>3.3333333333333331E-3</v>
      </c>
      <c r="GA175" s="10" cm="1">
        <f t="array" aca="1" ref="GA175" ca="1">(1-$B$18)*SUMPRODUCT(OFFSET($BO$15,0,0,$B$14,1), 1*(_xlfn._xlws.FILTER(OFFSET($O$15,0,$DN175,$B$8,1),OFFSET($M$15,0,0,$B$8,1))=GA$13), 1*(_xlfn._xlws.FILTER(OFFSET($O$15,0,$DO175,$B$8,1),OFFSET($M$15,0,0,$B$8,1))=GA$14))   /   SUM(OFFSET($BO$15,0,0,$B$14,1)) + $B$18/($B$19*$B$19*($DN175&lt;&gt;$DO175) + $B$19*($DN175=$DO175))</f>
        <v>3.3333333333333331E-3</v>
      </c>
    </row>
    <row r="176" spans="118:183" x14ac:dyDescent="0.2">
      <c r="DN176" cm="1">
        <f t="array" aca="1" ref="DN176" ca="1">INDEX(_xlfn.ANCHORARRAY($CP$15), 1 + INT((ROWS($DO$15:$DO176) - 1) / ROWS(_xlfn.ANCHORARRAY($CP$15))))</f>
        <v>8</v>
      </c>
      <c r="DO176" cm="1">
        <f t="array" aca="1" ref="DO176" ca="1">INDEX(_xlfn.ANCHORARRAY($CP$15),1+MOD(ROWS($DO$15:$DO176)-1,ROWS(_xlfn.ANCHORARRAY($CP$15))))</f>
        <v>9</v>
      </c>
      <c r="DP176" s="10" cm="1">
        <f t="array" aca="1" ref="DP176" ca="1">(1-$B$18)*SUMPRODUCT(OFFSET($BO$15,0,0,$B$14,1), 1*(_xlfn._xlws.FILTER(OFFSET($O$15,0,$DN176,$B$8,1),OFFSET($M$15,0,0,$B$8,1))=DP$13), 1*(_xlfn._xlws.FILTER(OFFSET($O$15,0,$DO176,$B$8,1),OFFSET($M$15,0,0,$B$8,1))=DP$14))   /   SUM(OFFSET($BO$15,0,0,$B$14,1)) + $B$18/($B$19*$B$19*($DN176&lt;&gt;$DO176) + $B$19*($DN176=$DO176))</f>
        <v>3.7037037037037035E-4</v>
      </c>
      <c r="DQ176" s="10" cm="1">
        <f t="array" aca="1" ref="DQ176" ca="1">(1-$B$18)*SUMPRODUCT(OFFSET($BO$15,0,0,$B$14,1), 1*(_xlfn._xlws.FILTER(OFFSET($O$15,0,$DN176,$B$8,1),OFFSET($M$15,0,0,$B$8,1))=DQ$13), 1*(_xlfn._xlws.FILTER(OFFSET($O$15,0,$DO176,$B$8,1),OFFSET($M$15,0,0,$B$8,1))=DQ$14))   /   SUM(OFFSET($BO$15,0,0,$B$14,1)) + $B$18/($B$19*$B$19*($DN176&lt;&gt;$DO176) + $B$19*($DN176=$DO176))</f>
        <v>3.7037037037037035E-4</v>
      </c>
      <c r="DR176" s="10" cm="1">
        <f t="array" aca="1" ref="DR176" ca="1">(1-$B$18)*SUMPRODUCT(OFFSET($BO$15,0,0,$B$14,1), 1*(_xlfn._xlws.FILTER(OFFSET($O$15,0,$DN176,$B$8,1),OFFSET($M$15,0,0,$B$8,1))=DR$13), 1*(_xlfn._xlws.FILTER(OFFSET($O$15,0,$DO176,$B$8,1),OFFSET($M$15,0,0,$B$8,1))=DR$14))   /   SUM(OFFSET($BO$15,0,0,$B$14,1)) + $B$18/($B$19*$B$19*($DN176&lt;&gt;$DO176) + $B$19*($DN176=$DO176))</f>
        <v>3.7037037037037035E-4</v>
      </c>
      <c r="DS176" s="10" cm="1">
        <f t="array" aca="1" ref="DS176" ca="1">(1-$B$18)*SUMPRODUCT(OFFSET($BO$15,0,0,$B$14,1), 1*(_xlfn._xlws.FILTER(OFFSET($O$15,0,$DN176,$B$8,1),OFFSET($M$15,0,0,$B$8,1))=DS$13), 1*(_xlfn._xlws.FILTER(OFFSET($O$15,0,$DO176,$B$8,1),OFFSET($M$15,0,0,$B$8,1))=DS$14))   /   SUM(OFFSET($BO$15,0,0,$B$14,1)) + $B$18/($B$19*$B$19*($DN176&lt;&gt;$DO176) + $B$19*($DN176=$DO176))</f>
        <v>3.7037037037037035E-4</v>
      </c>
      <c r="DT176" s="10" cm="1">
        <f t="array" aca="1" ref="DT176" ca="1">(1-$B$18)*SUMPRODUCT(OFFSET($BO$15,0,0,$B$14,1), 1*(_xlfn._xlws.FILTER(OFFSET($O$15,0,$DN176,$B$8,1),OFFSET($M$15,0,0,$B$8,1))=DT$13), 1*(_xlfn._xlws.FILTER(OFFSET($O$15,0,$DO176,$B$8,1),OFFSET($M$15,0,0,$B$8,1))=DT$14))   /   SUM(OFFSET($BO$15,0,0,$B$14,1)) + $B$18/($B$19*$B$19*($DN176&lt;&gt;$DO176) + $B$19*($DN176=$DO176))</f>
        <v>3.7037037037037035E-4</v>
      </c>
      <c r="DU176" s="10" cm="1">
        <f t="array" aca="1" ref="DU176" ca="1">(1-$B$18)*SUMPRODUCT(OFFSET($BO$15,0,0,$B$14,1), 1*(_xlfn._xlws.FILTER(OFFSET($O$15,0,$DN176,$B$8,1),OFFSET($M$15,0,0,$B$8,1))=DU$13), 1*(_xlfn._xlws.FILTER(OFFSET($O$15,0,$DO176,$B$8,1),OFFSET($M$15,0,0,$B$8,1))=DU$14))   /   SUM(OFFSET($BO$15,0,0,$B$14,1)) + $B$18/($B$19*$B$19*($DN176&lt;&gt;$DO176) + $B$19*($DN176=$DO176))</f>
        <v>3.7037037037037035E-4</v>
      </c>
      <c r="DV176" s="10" cm="1">
        <f t="array" aca="1" ref="DV176" ca="1">(1-$B$18)*SUMPRODUCT(OFFSET($BO$15,0,0,$B$14,1), 1*(_xlfn._xlws.FILTER(OFFSET($O$15,0,$DN176,$B$8,1),OFFSET($M$15,0,0,$B$8,1))=DV$13), 1*(_xlfn._xlws.FILTER(OFFSET($O$15,0,$DO176,$B$8,1),OFFSET($M$15,0,0,$B$8,1))=DV$14))   /   SUM(OFFSET($BO$15,0,0,$B$14,1)) + $B$18/($B$19*$B$19*($DN176&lt;&gt;$DO176) + $B$19*($DN176=$DO176))</f>
        <v>3.7037037037037035E-4</v>
      </c>
      <c r="DW176" s="10" cm="1">
        <f t="array" aca="1" ref="DW176" ca="1">(1-$B$18)*SUMPRODUCT(OFFSET($BO$15,0,0,$B$14,1), 1*(_xlfn._xlws.FILTER(OFFSET($O$15,0,$DN176,$B$8,1),OFFSET($M$15,0,0,$B$8,1))=DW$13), 1*(_xlfn._xlws.FILTER(OFFSET($O$15,0,$DO176,$B$8,1),OFFSET($M$15,0,0,$B$8,1))=DW$14))   /   SUM(OFFSET($BO$15,0,0,$B$14,1)) + $B$18/($B$19*$B$19*($DN176&lt;&gt;$DO176) + $B$19*($DN176=$DO176))</f>
        <v>3.7037037037037035E-4</v>
      </c>
      <c r="DX176" s="10" cm="1">
        <f t="array" aca="1" ref="DX176" ca="1">(1-$B$18)*SUMPRODUCT(OFFSET($BO$15,0,0,$B$14,1), 1*(_xlfn._xlws.FILTER(OFFSET($O$15,0,$DN176,$B$8,1),OFFSET($M$15,0,0,$B$8,1))=DX$13), 1*(_xlfn._xlws.FILTER(OFFSET($O$15,0,$DO176,$B$8,1),OFFSET($M$15,0,0,$B$8,1))=DX$14))   /   SUM(OFFSET($BO$15,0,0,$B$14,1)) + $B$18/($B$19*$B$19*($DN176&lt;&gt;$DO176) + $B$19*($DN176=$DO176))</f>
        <v>3.7037037037037035E-4</v>
      </c>
      <c r="DY176" s="10" cm="1">
        <f t="array" aca="1" ref="DY176" ca="1">(1-$B$18)*SUMPRODUCT(OFFSET($BO$15,0,0,$B$14,1), 1*(_xlfn._xlws.FILTER(OFFSET($O$15,0,$DN176,$B$8,1),OFFSET($M$15,0,0,$B$8,1))=DY$13), 1*(_xlfn._xlws.FILTER(OFFSET($O$15,0,$DO176,$B$8,1),OFFSET($M$15,0,0,$B$8,1))=DY$14))   /   SUM(OFFSET($BO$15,0,0,$B$14,1)) + $B$18/($B$19*$B$19*($DN176&lt;&gt;$DO176) + $B$19*($DN176=$DO176))</f>
        <v>3.7037037037037035E-4</v>
      </c>
      <c r="DZ176" s="10" cm="1">
        <f t="array" aca="1" ref="DZ176" ca="1">(1-$B$18)*SUMPRODUCT(OFFSET($BO$15,0,0,$B$14,1), 1*(_xlfn._xlws.FILTER(OFFSET($O$15,0,$DN176,$B$8,1),OFFSET($M$15,0,0,$B$8,1))=DZ$13), 1*(_xlfn._xlws.FILTER(OFFSET($O$15,0,$DO176,$B$8,1),OFFSET($M$15,0,0,$B$8,1))=DZ$14))   /   SUM(OFFSET($BO$15,0,0,$B$14,1)) + $B$18/($B$19*$B$19*($DN176&lt;&gt;$DO176) + $B$19*($DN176=$DO176))</f>
        <v>3.7037037037037035E-4</v>
      </c>
      <c r="EA176" s="10" cm="1">
        <f t="array" aca="1" ref="EA176" ca="1">(1-$B$18)*SUMPRODUCT(OFFSET($BO$15,0,0,$B$14,1), 1*(_xlfn._xlws.FILTER(OFFSET($O$15,0,$DN176,$B$8,1),OFFSET($M$15,0,0,$B$8,1))=EA$13), 1*(_xlfn._xlws.FILTER(OFFSET($O$15,0,$DO176,$B$8,1),OFFSET($M$15,0,0,$B$8,1))=EA$14))   /   SUM(OFFSET($BO$15,0,0,$B$14,1)) + $B$18/($B$19*$B$19*($DN176&lt;&gt;$DO176) + $B$19*($DN176=$DO176))</f>
        <v>3.7037037037037035E-4</v>
      </c>
      <c r="EB176" s="10" cm="1">
        <f t="array" aca="1" ref="EB176" ca="1">(1-$B$18)*SUMPRODUCT(OFFSET($BO$15,0,0,$B$14,1), 1*(_xlfn._xlws.FILTER(OFFSET($O$15,0,$DN176,$B$8,1),OFFSET($M$15,0,0,$B$8,1))=EB$13), 1*(_xlfn._xlws.FILTER(OFFSET($O$15,0,$DO176,$B$8,1),OFFSET($M$15,0,0,$B$8,1))=EB$14))   /   SUM(OFFSET($BO$15,0,0,$B$14,1)) + $B$18/($B$19*$B$19*($DN176&lt;&gt;$DO176) + $B$19*($DN176=$DO176))</f>
        <v>3.7037037037037035E-4</v>
      </c>
      <c r="EC176" s="10" cm="1">
        <f t="array" aca="1" ref="EC176" ca="1">(1-$B$18)*SUMPRODUCT(OFFSET($BO$15,0,0,$B$14,1), 1*(_xlfn._xlws.FILTER(OFFSET($O$15,0,$DN176,$B$8,1),OFFSET($M$15,0,0,$B$8,1))=EC$13), 1*(_xlfn._xlws.FILTER(OFFSET($O$15,0,$DO176,$B$8,1),OFFSET($M$15,0,0,$B$8,1))=EC$14))   /   SUM(OFFSET($BO$15,0,0,$B$14,1)) + $B$18/($B$19*$B$19*($DN176&lt;&gt;$DO176) + $B$19*($DN176=$DO176))</f>
        <v>3.7037037037037035E-4</v>
      </c>
      <c r="ED176" s="10" cm="1">
        <f t="array" aca="1" ref="ED176" ca="1">(1-$B$18)*SUMPRODUCT(OFFSET($BO$15,0,0,$B$14,1), 1*(_xlfn._xlws.FILTER(OFFSET($O$15,0,$DN176,$B$8,1),OFFSET($M$15,0,0,$B$8,1))=ED$13), 1*(_xlfn._xlws.FILTER(OFFSET($O$15,0,$DO176,$B$8,1),OFFSET($M$15,0,0,$B$8,1))=ED$14))   /   SUM(OFFSET($BO$15,0,0,$B$14,1)) + $B$18/($B$19*$B$19*($DN176&lt;&gt;$DO176) + $B$19*($DN176=$DO176))</f>
        <v>3.7037037037037035E-4</v>
      </c>
      <c r="EE176" s="10" cm="1">
        <f t="array" aca="1" ref="EE176" ca="1">(1-$B$18)*SUMPRODUCT(OFFSET($BO$15,0,0,$B$14,1), 1*(_xlfn._xlws.FILTER(OFFSET($O$15,0,$DN176,$B$8,1),OFFSET($M$15,0,0,$B$8,1))=EE$13), 1*(_xlfn._xlws.FILTER(OFFSET($O$15,0,$DO176,$B$8,1),OFFSET($M$15,0,0,$B$8,1))=EE$14))   /   SUM(OFFSET($BO$15,0,0,$B$14,1)) + $B$18/($B$19*$B$19*($DN176&lt;&gt;$DO176) + $B$19*($DN176=$DO176))</f>
        <v>3.7037037037037035E-4</v>
      </c>
      <c r="EF176" s="10" cm="1">
        <f t="array" aca="1" ref="EF176" ca="1">(1-$B$18)*SUMPRODUCT(OFFSET($BO$15,0,0,$B$14,1), 1*(_xlfn._xlws.FILTER(OFFSET($O$15,0,$DN176,$B$8,1),OFFSET($M$15,0,0,$B$8,1))=EF$13), 1*(_xlfn._xlws.FILTER(OFFSET($O$15,0,$DO176,$B$8,1),OFFSET($M$15,0,0,$B$8,1))=EF$14))   /   SUM(OFFSET($BO$15,0,0,$B$14,1)) + $B$18/($B$19*$B$19*($DN176&lt;&gt;$DO176) + $B$19*($DN176=$DO176))</f>
        <v>3.7037037037037035E-4</v>
      </c>
      <c r="EG176" s="10" cm="1">
        <f t="array" aca="1" ref="EG176" ca="1">(1-$B$18)*SUMPRODUCT(OFFSET($BO$15,0,0,$B$14,1), 1*(_xlfn._xlws.FILTER(OFFSET($O$15,0,$DN176,$B$8,1),OFFSET($M$15,0,0,$B$8,1))=EG$13), 1*(_xlfn._xlws.FILTER(OFFSET($O$15,0,$DO176,$B$8,1),OFFSET($M$15,0,0,$B$8,1))=EG$14))   /   SUM(OFFSET($BO$15,0,0,$B$14,1)) + $B$18/($B$19*$B$19*($DN176&lt;&gt;$DO176) + $B$19*($DN176=$DO176))</f>
        <v>3.7037037037037035E-4</v>
      </c>
      <c r="EH176" s="10" cm="1">
        <f t="array" aca="1" ref="EH176" ca="1">(1-$B$18)*SUMPRODUCT(OFFSET($BO$15,0,0,$B$14,1), 1*(_xlfn._xlws.FILTER(OFFSET($O$15,0,$DN176,$B$8,1),OFFSET($M$15,0,0,$B$8,1))=EH$13), 1*(_xlfn._xlws.FILTER(OFFSET($O$15,0,$DO176,$B$8,1),OFFSET($M$15,0,0,$B$8,1))=EH$14))   /   SUM(OFFSET($BO$15,0,0,$B$14,1)) + $B$18/($B$19*$B$19*($DN176&lt;&gt;$DO176) + $B$19*($DN176=$DO176))</f>
        <v>3.7037037037037035E-4</v>
      </c>
      <c r="EI176" s="10" cm="1">
        <f t="array" aca="1" ref="EI176" ca="1">(1-$B$18)*SUMPRODUCT(OFFSET($BO$15,0,0,$B$14,1), 1*(_xlfn._xlws.FILTER(OFFSET($O$15,0,$DN176,$B$8,1),OFFSET($M$15,0,0,$B$8,1))=EI$13), 1*(_xlfn._xlws.FILTER(OFFSET($O$15,0,$DO176,$B$8,1),OFFSET($M$15,0,0,$B$8,1))=EI$14))   /   SUM(OFFSET($BO$15,0,0,$B$14,1)) + $B$18/($B$19*$B$19*($DN176&lt;&gt;$DO176) + $B$19*($DN176=$DO176))</f>
        <v>3.7037037037037035E-4</v>
      </c>
      <c r="EJ176" s="10" cm="1">
        <f t="array" aca="1" ref="EJ176" ca="1">(1-$B$18)*SUMPRODUCT(OFFSET($BO$15,0,0,$B$14,1), 1*(_xlfn._xlws.FILTER(OFFSET($O$15,0,$DN176,$B$8,1),OFFSET($M$15,0,0,$B$8,1))=EJ$13), 1*(_xlfn._xlws.FILTER(OFFSET($O$15,0,$DO176,$B$8,1),OFFSET($M$15,0,0,$B$8,1))=EJ$14))   /   SUM(OFFSET($BO$15,0,0,$B$14,1)) + $B$18/($B$19*$B$19*($DN176&lt;&gt;$DO176) + $B$19*($DN176=$DO176))</f>
        <v>3.7037037037037035E-4</v>
      </c>
      <c r="EK176" s="10" cm="1">
        <f t="array" aca="1" ref="EK176" ca="1">(1-$B$18)*SUMPRODUCT(OFFSET($BO$15,0,0,$B$14,1), 1*(_xlfn._xlws.FILTER(OFFSET($O$15,0,$DN176,$B$8,1),OFFSET($M$15,0,0,$B$8,1))=EK$13), 1*(_xlfn._xlws.FILTER(OFFSET($O$15,0,$DO176,$B$8,1),OFFSET($M$15,0,0,$B$8,1))=EK$14))   /   SUM(OFFSET($BO$15,0,0,$B$14,1)) + $B$18/($B$19*$B$19*($DN176&lt;&gt;$DO176) + $B$19*($DN176=$DO176))</f>
        <v>3.7037037037037035E-4</v>
      </c>
      <c r="EL176" s="10" cm="1">
        <f t="array" aca="1" ref="EL176" ca="1">(1-$B$18)*SUMPRODUCT(OFFSET($BO$15,0,0,$B$14,1), 1*(_xlfn._xlws.FILTER(OFFSET($O$15,0,$DN176,$B$8,1),OFFSET($M$15,0,0,$B$8,1))=EL$13), 1*(_xlfn._xlws.FILTER(OFFSET($O$15,0,$DO176,$B$8,1),OFFSET($M$15,0,0,$B$8,1))=EL$14))   /   SUM(OFFSET($BO$15,0,0,$B$14,1)) + $B$18/($B$19*$B$19*($DN176&lt;&gt;$DO176) + $B$19*($DN176=$DO176))</f>
        <v>3.7037037037037035E-4</v>
      </c>
      <c r="EM176" s="10" cm="1">
        <f t="array" aca="1" ref="EM176" ca="1">(1-$B$18)*SUMPRODUCT(OFFSET($BO$15,0,0,$B$14,1), 1*(_xlfn._xlws.FILTER(OFFSET($O$15,0,$DN176,$B$8,1),OFFSET($M$15,0,0,$B$8,1))=EM$13), 1*(_xlfn._xlws.FILTER(OFFSET($O$15,0,$DO176,$B$8,1),OFFSET($M$15,0,0,$B$8,1))=EM$14))   /   SUM(OFFSET($BO$15,0,0,$B$14,1)) + $B$18/($B$19*$B$19*($DN176&lt;&gt;$DO176) + $B$19*($DN176=$DO176))</f>
        <v>3.7037037037037035E-4</v>
      </c>
      <c r="EN176" s="10" cm="1">
        <f t="array" aca="1" ref="EN176" ca="1">(1-$B$18)*SUMPRODUCT(OFFSET($BO$15,0,0,$B$14,1), 1*(_xlfn._xlws.FILTER(OFFSET($O$15,0,$DN176,$B$8,1),OFFSET($M$15,0,0,$B$8,1))=EN$13), 1*(_xlfn._xlws.FILTER(OFFSET($O$15,0,$DO176,$B$8,1),OFFSET($M$15,0,0,$B$8,1))=EN$14))   /   SUM(OFFSET($BO$15,0,0,$B$14,1)) + $B$18/($B$19*$B$19*($DN176&lt;&gt;$DO176) + $B$19*($DN176=$DO176))</f>
        <v>3.7037037037037035E-4</v>
      </c>
      <c r="EO176" s="10" cm="1">
        <f t="array" aca="1" ref="EO176" ca="1">(1-$B$18)*SUMPRODUCT(OFFSET($BO$15,0,0,$B$14,1), 1*(_xlfn._xlws.FILTER(OFFSET($O$15,0,$DN176,$B$8,1),OFFSET($M$15,0,0,$B$8,1))=EO$13), 1*(_xlfn._xlws.FILTER(OFFSET($O$15,0,$DO176,$B$8,1),OFFSET($M$15,0,0,$B$8,1))=EO$14))   /   SUM(OFFSET($BO$15,0,0,$B$14,1)) + $B$18/($B$19*$B$19*($DN176&lt;&gt;$DO176) + $B$19*($DN176=$DO176))</f>
        <v>3.7037037037037035E-4</v>
      </c>
      <c r="EP176" s="10" cm="1">
        <f t="array" aca="1" ref="EP176" ca="1">(1-$B$18)*SUMPRODUCT(OFFSET($BO$15,0,0,$B$14,1), 1*(_xlfn._xlws.FILTER(OFFSET($O$15,0,$DN176,$B$8,1),OFFSET($M$15,0,0,$B$8,1))=EP$13), 1*(_xlfn._xlws.FILTER(OFFSET($O$15,0,$DO176,$B$8,1),OFFSET($M$15,0,0,$B$8,1))=EP$14))   /   SUM(OFFSET($BO$15,0,0,$B$14,1)) + $B$18/($B$19*$B$19*($DN176&lt;&gt;$DO176) + $B$19*($DN176=$DO176))</f>
        <v>3.7037037037037035E-4</v>
      </c>
      <c r="EQ176" s="10" cm="1">
        <f t="array" aca="1" ref="EQ176" ca="1">(1-$B$18)*SUMPRODUCT(OFFSET($BO$15,0,0,$B$14,1), 1*(_xlfn._xlws.FILTER(OFFSET($O$15,0,$DN176,$B$8,1),OFFSET($M$15,0,0,$B$8,1))=EQ$13), 1*(_xlfn._xlws.FILTER(OFFSET($O$15,0,$DO176,$B$8,1),OFFSET($M$15,0,0,$B$8,1))=EQ$14))   /   SUM(OFFSET($BO$15,0,0,$B$14,1)) + $B$18/($B$19*$B$19*($DN176&lt;&gt;$DO176) + $B$19*($DN176=$DO176))</f>
        <v>3.7037037037037035E-4</v>
      </c>
      <c r="ER176" s="10" cm="1">
        <f t="array" aca="1" ref="ER176" ca="1">(1-$B$18)*SUMPRODUCT(OFFSET($BO$15,0,0,$B$14,1), 1*(_xlfn._xlws.FILTER(OFFSET($O$15,0,$DN176,$B$8,1),OFFSET($M$15,0,0,$B$8,1))=ER$13), 1*(_xlfn._xlws.FILTER(OFFSET($O$15,0,$DO176,$B$8,1),OFFSET($M$15,0,0,$B$8,1))=ER$14))   /   SUM(OFFSET($BO$15,0,0,$B$14,1)) + $B$18/($B$19*$B$19*($DN176&lt;&gt;$DO176) + $B$19*($DN176=$DO176))</f>
        <v>3.7037037037037035E-4</v>
      </c>
      <c r="ES176" s="10" cm="1">
        <f t="array" aca="1" ref="ES176" ca="1">(1-$B$18)*SUMPRODUCT(OFFSET($BO$15,0,0,$B$14,1), 1*(_xlfn._xlws.FILTER(OFFSET($O$15,0,$DN176,$B$8,1),OFFSET($M$15,0,0,$B$8,1))=ES$13), 1*(_xlfn._xlws.FILTER(OFFSET($O$15,0,$DO176,$B$8,1),OFFSET($M$15,0,0,$B$8,1))=ES$14))   /   SUM(OFFSET($BO$15,0,0,$B$14,1)) + $B$18/($B$19*$B$19*($DN176&lt;&gt;$DO176) + $B$19*($DN176=$DO176))</f>
        <v>3.7037037037037035E-4</v>
      </c>
      <c r="ET176" s="10" cm="1">
        <f t="array" aca="1" ref="ET176" ca="1">(1-$B$18)*SUMPRODUCT(OFFSET($BO$15,0,0,$B$14,1), 1*(_xlfn._xlws.FILTER(OFFSET($O$15,0,$DN176,$B$8,1),OFFSET($M$15,0,0,$B$8,1))=ET$13), 1*(_xlfn._xlws.FILTER(OFFSET($O$15,0,$DO176,$B$8,1),OFFSET($M$15,0,0,$B$8,1))=ET$14))   /   SUM(OFFSET($BO$15,0,0,$B$14,1)) + $B$18/($B$19*$B$19*($DN176&lt;&gt;$DO176) + $B$19*($DN176=$DO176))</f>
        <v>3.7037037037037035E-4</v>
      </c>
      <c r="EU176" s="10" cm="1">
        <f t="array" aca="1" ref="EU176" ca="1">(1-$B$18)*SUMPRODUCT(OFFSET($BO$15,0,0,$B$14,1), 1*(_xlfn._xlws.FILTER(OFFSET($O$15,0,$DN176,$B$8,1),OFFSET($M$15,0,0,$B$8,1))=EU$13), 1*(_xlfn._xlws.FILTER(OFFSET($O$15,0,$DO176,$B$8,1),OFFSET($M$15,0,0,$B$8,1))=EU$14))   /   SUM(OFFSET($BO$15,0,0,$B$14,1)) + $B$18/($B$19*$B$19*($DN176&lt;&gt;$DO176) + $B$19*($DN176=$DO176))</f>
        <v>3.7037037037037035E-4</v>
      </c>
      <c r="EV176" s="10" cm="1">
        <f t="array" aca="1" ref="EV176" ca="1">(1-$B$18)*SUMPRODUCT(OFFSET($BO$15,0,0,$B$14,1), 1*(_xlfn._xlws.FILTER(OFFSET($O$15,0,$DN176,$B$8,1),OFFSET($M$15,0,0,$B$8,1))=EV$13), 1*(_xlfn._xlws.FILTER(OFFSET($O$15,0,$DO176,$B$8,1),OFFSET($M$15,0,0,$B$8,1))=EV$14))   /   SUM(OFFSET($BO$15,0,0,$B$14,1)) + $B$18/($B$19*$B$19*($DN176&lt;&gt;$DO176) + $B$19*($DN176=$DO176))</f>
        <v>3.7037037037037035E-4</v>
      </c>
      <c r="EW176" s="10" cm="1">
        <f t="array" aca="1" ref="EW176" ca="1">(1-$B$18)*SUMPRODUCT(OFFSET($BO$15,0,0,$B$14,1), 1*(_xlfn._xlws.FILTER(OFFSET($O$15,0,$DN176,$B$8,1),OFFSET($M$15,0,0,$B$8,1))=EW$13), 1*(_xlfn._xlws.FILTER(OFFSET($O$15,0,$DO176,$B$8,1),OFFSET($M$15,0,0,$B$8,1))=EW$14))   /   SUM(OFFSET($BO$15,0,0,$B$14,1)) + $B$18/($B$19*$B$19*($DN176&lt;&gt;$DO176) + $B$19*($DN176=$DO176))</f>
        <v>3.7037037037037035E-4</v>
      </c>
      <c r="EX176" s="10" cm="1">
        <f t="array" aca="1" ref="EX176" ca="1">(1-$B$18)*SUMPRODUCT(OFFSET($BO$15,0,0,$B$14,1), 1*(_xlfn._xlws.FILTER(OFFSET($O$15,0,$DN176,$B$8,1),OFFSET($M$15,0,0,$B$8,1))=EX$13), 1*(_xlfn._xlws.FILTER(OFFSET($O$15,0,$DO176,$B$8,1),OFFSET($M$15,0,0,$B$8,1))=EX$14))   /   SUM(OFFSET($BO$15,0,0,$B$14,1)) + $B$18/($B$19*$B$19*($DN176&lt;&gt;$DO176) + $B$19*($DN176=$DO176))</f>
        <v>3.7037037037037035E-4</v>
      </c>
      <c r="EY176" s="10" cm="1">
        <f t="array" aca="1" ref="EY176" ca="1">(1-$B$18)*SUMPRODUCT(OFFSET($BO$15,0,0,$B$14,1), 1*(_xlfn._xlws.FILTER(OFFSET($O$15,0,$DN176,$B$8,1),OFFSET($M$15,0,0,$B$8,1))=EY$13), 1*(_xlfn._xlws.FILTER(OFFSET($O$15,0,$DO176,$B$8,1),OFFSET($M$15,0,0,$B$8,1))=EY$14))   /   SUM(OFFSET($BO$15,0,0,$B$14,1)) + $B$18/($B$19*$B$19*($DN176&lt;&gt;$DO176) + $B$19*($DN176=$DO176))</f>
        <v>3.7037037037037035E-4</v>
      </c>
      <c r="EZ176" s="10" cm="1">
        <f t="array" aca="1" ref="EZ176" ca="1">(1-$B$18)*SUMPRODUCT(OFFSET($BO$15,0,0,$B$14,1), 1*(_xlfn._xlws.FILTER(OFFSET($O$15,0,$DN176,$B$8,1),OFFSET($M$15,0,0,$B$8,1))=EZ$13), 1*(_xlfn._xlws.FILTER(OFFSET($O$15,0,$DO176,$B$8,1),OFFSET($M$15,0,0,$B$8,1))=EZ$14))   /   SUM(OFFSET($BO$15,0,0,$B$14,1)) + $B$18/($B$19*$B$19*($DN176&lt;&gt;$DO176) + $B$19*($DN176=$DO176))</f>
        <v>3.7037037037037035E-4</v>
      </c>
      <c r="FA176" s="10" cm="1">
        <f t="array" aca="1" ref="FA176" ca="1">(1-$B$18)*SUMPRODUCT(OFFSET($BO$15,0,0,$B$14,1), 1*(_xlfn._xlws.FILTER(OFFSET($O$15,0,$DN176,$B$8,1),OFFSET($M$15,0,0,$B$8,1))=FA$13), 1*(_xlfn._xlws.FILTER(OFFSET($O$15,0,$DO176,$B$8,1),OFFSET($M$15,0,0,$B$8,1))=FA$14))   /   SUM(OFFSET($BO$15,0,0,$B$14,1)) + $B$18/($B$19*$B$19*($DN176&lt;&gt;$DO176) + $B$19*($DN176=$DO176))</f>
        <v>3.7037037037037035E-4</v>
      </c>
      <c r="FB176" s="10" cm="1">
        <f t="array" aca="1" ref="FB176" ca="1">(1-$B$18)*SUMPRODUCT(OFFSET($BO$15,0,0,$B$14,1), 1*(_xlfn._xlws.FILTER(OFFSET($O$15,0,$DN176,$B$8,1),OFFSET($M$15,0,0,$B$8,1))=FB$13), 1*(_xlfn._xlws.FILTER(OFFSET($O$15,0,$DO176,$B$8,1),OFFSET($M$15,0,0,$B$8,1))=FB$14))   /   SUM(OFFSET($BO$15,0,0,$B$14,1)) + $B$18/($B$19*$B$19*($DN176&lt;&gt;$DO176) + $B$19*($DN176=$DO176))</f>
        <v>3.7037037037037035E-4</v>
      </c>
      <c r="FC176" s="10" cm="1">
        <f t="array" aca="1" ref="FC176" ca="1">(1-$B$18)*SUMPRODUCT(OFFSET($BO$15,0,0,$B$14,1), 1*(_xlfn._xlws.FILTER(OFFSET($O$15,0,$DN176,$B$8,1),OFFSET($M$15,0,0,$B$8,1))=FC$13), 1*(_xlfn._xlws.FILTER(OFFSET($O$15,0,$DO176,$B$8,1),OFFSET($M$15,0,0,$B$8,1))=FC$14))   /   SUM(OFFSET($BO$15,0,0,$B$14,1)) + $B$18/($B$19*$B$19*($DN176&lt;&gt;$DO176) + $B$19*($DN176=$DO176))</f>
        <v>3.7037037037037035E-4</v>
      </c>
      <c r="FD176" s="10" cm="1">
        <f t="array" aca="1" ref="FD176" ca="1">(1-$B$18)*SUMPRODUCT(OFFSET($BO$15,0,0,$B$14,1), 1*(_xlfn._xlws.FILTER(OFFSET($O$15,0,$DN176,$B$8,1),OFFSET($M$15,0,0,$B$8,1))=FD$13), 1*(_xlfn._xlws.FILTER(OFFSET($O$15,0,$DO176,$B$8,1),OFFSET($M$15,0,0,$B$8,1))=FD$14))   /   SUM(OFFSET($BO$15,0,0,$B$14,1)) + $B$18/($B$19*$B$19*($DN176&lt;&gt;$DO176) + $B$19*($DN176=$DO176))</f>
        <v>3.7037037037037035E-4</v>
      </c>
      <c r="FE176" s="10" cm="1">
        <f t="array" aca="1" ref="FE176" ca="1">(1-$B$18)*SUMPRODUCT(OFFSET($BO$15,0,0,$B$14,1), 1*(_xlfn._xlws.FILTER(OFFSET($O$15,0,$DN176,$B$8,1),OFFSET($M$15,0,0,$B$8,1))=FE$13), 1*(_xlfn._xlws.FILTER(OFFSET($O$15,0,$DO176,$B$8,1),OFFSET($M$15,0,0,$B$8,1))=FE$14))   /   SUM(OFFSET($BO$15,0,0,$B$14,1)) + $B$18/($B$19*$B$19*($DN176&lt;&gt;$DO176) + $B$19*($DN176=$DO176))</f>
        <v>3.7037037037037035E-4</v>
      </c>
      <c r="FF176" s="10" cm="1">
        <f t="array" aca="1" ref="FF176" ca="1">(1-$B$18)*SUMPRODUCT(OFFSET($BO$15,0,0,$B$14,1), 1*(_xlfn._xlws.FILTER(OFFSET($O$15,0,$DN176,$B$8,1),OFFSET($M$15,0,0,$B$8,1))=FF$13), 1*(_xlfn._xlws.FILTER(OFFSET($O$15,0,$DO176,$B$8,1),OFFSET($M$15,0,0,$B$8,1))=FF$14))   /   SUM(OFFSET($BO$15,0,0,$B$14,1)) + $B$18/($B$19*$B$19*($DN176&lt;&gt;$DO176) + $B$19*($DN176=$DO176))</f>
        <v>3.7037037037037035E-4</v>
      </c>
      <c r="FG176" s="10" cm="1">
        <f t="array" aca="1" ref="FG176" ca="1">(1-$B$18)*SUMPRODUCT(OFFSET($BO$15,0,0,$B$14,1), 1*(_xlfn._xlws.FILTER(OFFSET($O$15,0,$DN176,$B$8,1),OFFSET($M$15,0,0,$B$8,1))=FG$13), 1*(_xlfn._xlws.FILTER(OFFSET($O$15,0,$DO176,$B$8,1),OFFSET($M$15,0,0,$B$8,1))=FG$14))   /   SUM(OFFSET($BO$15,0,0,$B$14,1)) + $B$18/($B$19*$B$19*($DN176&lt;&gt;$DO176) + $B$19*($DN176=$DO176))</f>
        <v>3.7037037037037035E-4</v>
      </c>
      <c r="FH176" s="10" cm="1">
        <f t="array" aca="1" ref="FH176" ca="1">(1-$B$18)*SUMPRODUCT(OFFSET($BO$15,0,0,$B$14,1), 1*(_xlfn._xlws.FILTER(OFFSET($O$15,0,$DN176,$B$8,1),OFFSET($M$15,0,0,$B$8,1))=FH$13), 1*(_xlfn._xlws.FILTER(OFFSET($O$15,0,$DO176,$B$8,1),OFFSET($M$15,0,0,$B$8,1))=FH$14))   /   SUM(OFFSET($BO$15,0,0,$B$14,1)) + $B$18/($B$19*$B$19*($DN176&lt;&gt;$DO176) + $B$19*($DN176=$DO176))</f>
        <v>3.7037037037037035E-4</v>
      </c>
      <c r="FI176" s="10" cm="1">
        <f t="array" aca="1" ref="FI176" ca="1">(1-$B$18)*SUMPRODUCT(OFFSET($BO$15,0,0,$B$14,1), 1*(_xlfn._xlws.FILTER(OFFSET($O$15,0,$DN176,$B$8,1),OFFSET($M$15,0,0,$B$8,1))=FI$13), 1*(_xlfn._xlws.FILTER(OFFSET($O$15,0,$DO176,$B$8,1),OFFSET($M$15,0,0,$B$8,1))=FI$14))   /   SUM(OFFSET($BO$15,0,0,$B$14,1)) + $B$18/($B$19*$B$19*($DN176&lt;&gt;$DO176) + $B$19*($DN176=$DO176))</f>
        <v>3.7037037037037035E-4</v>
      </c>
      <c r="FJ176" s="10" cm="1">
        <f t="array" aca="1" ref="FJ176" ca="1">(1-$B$18)*SUMPRODUCT(OFFSET($BO$15,0,0,$B$14,1), 1*(_xlfn._xlws.FILTER(OFFSET($O$15,0,$DN176,$B$8,1),OFFSET($M$15,0,0,$B$8,1))=FJ$13), 1*(_xlfn._xlws.FILTER(OFFSET($O$15,0,$DO176,$B$8,1),OFFSET($M$15,0,0,$B$8,1))=FJ$14))   /   SUM(OFFSET($BO$15,0,0,$B$14,1)) + $B$18/($B$19*$B$19*($DN176&lt;&gt;$DO176) + $B$19*($DN176=$DO176))</f>
        <v>3.7037037037037035E-4</v>
      </c>
      <c r="FK176" s="10" cm="1">
        <f t="array" aca="1" ref="FK176" ca="1">(1-$B$18)*SUMPRODUCT(OFFSET($BO$15,0,0,$B$14,1), 1*(_xlfn._xlws.FILTER(OFFSET($O$15,0,$DN176,$B$8,1),OFFSET($M$15,0,0,$B$8,1))=FK$13), 1*(_xlfn._xlws.FILTER(OFFSET($O$15,0,$DO176,$B$8,1),OFFSET($M$15,0,0,$B$8,1))=FK$14))   /   SUM(OFFSET($BO$15,0,0,$B$14,1)) + $B$18/($B$19*$B$19*($DN176&lt;&gt;$DO176) + $B$19*($DN176=$DO176))</f>
        <v>3.7037037037037035E-4</v>
      </c>
      <c r="FL176" s="10" cm="1">
        <f t="array" aca="1" ref="FL176" ca="1">(1-$B$18)*SUMPRODUCT(OFFSET($BO$15,0,0,$B$14,1), 1*(_xlfn._xlws.FILTER(OFFSET($O$15,0,$DN176,$B$8,1),OFFSET($M$15,0,0,$B$8,1))=FL$13), 1*(_xlfn._xlws.FILTER(OFFSET($O$15,0,$DO176,$B$8,1),OFFSET($M$15,0,0,$B$8,1))=FL$14))   /   SUM(OFFSET($BO$15,0,0,$B$14,1)) + $B$18/($B$19*$B$19*($DN176&lt;&gt;$DO176) + $B$19*($DN176=$DO176))</f>
        <v>3.7037037037037035E-4</v>
      </c>
      <c r="FM176" s="10" cm="1">
        <f t="array" aca="1" ref="FM176" ca="1">(1-$B$18)*SUMPRODUCT(OFFSET($BO$15,0,0,$B$14,1), 1*(_xlfn._xlws.FILTER(OFFSET($O$15,0,$DN176,$B$8,1),OFFSET($M$15,0,0,$B$8,1))=FM$13), 1*(_xlfn._xlws.FILTER(OFFSET($O$15,0,$DO176,$B$8,1),OFFSET($M$15,0,0,$B$8,1))=FM$14))   /   SUM(OFFSET($BO$15,0,0,$B$14,1)) + $B$18/($B$19*$B$19*($DN176&lt;&gt;$DO176) + $B$19*($DN176=$DO176))</f>
        <v>3.7037037037037035E-4</v>
      </c>
      <c r="FN176" s="10" cm="1">
        <f t="array" aca="1" ref="FN176" ca="1">(1-$B$18)*SUMPRODUCT(OFFSET($BO$15,0,0,$B$14,1), 1*(_xlfn._xlws.FILTER(OFFSET($O$15,0,$DN176,$B$8,1),OFFSET($M$15,0,0,$B$8,1))=FN$13), 1*(_xlfn._xlws.FILTER(OFFSET($O$15,0,$DO176,$B$8,1),OFFSET($M$15,0,0,$B$8,1))=FN$14))   /   SUM(OFFSET($BO$15,0,0,$B$14,1)) + $B$18/($B$19*$B$19*($DN176&lt;&gt;$DO176) + $B$19*($DN176=$DO176))</f>
        <v>3.7037037037037035E-4</v>
      </c>
      <c r="FO176" s="10" cm="1">
        <f t="array" aca="1" ref="FO176" ca="1">(1-$B$18)*SUMPRODUCT(OFFSET($BO$15,0,0,$B$14,1), 1*(_xlfn._xlws.FILTER(OFFSET($O$15,0,$DN176,$B$8,1),OFFSET($M$15,0,0,$B$8,1))=FO$13), 1*(_xlfn._xlws.FILTER(OFFSET($O$15,0,$DO176,$B$8,1),OFFSET($M$15,0,0,$B$8,1))=FO$14))   /   SUM(OFFSET($BO$15,0,0,$B$14,1)) + $B$18/($B$19*$B$19*($DN176&lt;&gt;$DO176) + $B$19*($DN176=$DO176))</f>
        <v>3.7037037037037035E-4</v>
      </c>
      <c r="FP176" s="10" cm="1">
        <f t="array" aca="1" ref="FP176" ca="1">(1-$B$18)*SUMPRODUCT(OFFSET($BO$15,0,0,$B$14,1), 1*(_xlfn._xlws.FILTER(OFFSET($O$15,0,$DN176,$B$8,1),OFFSET($M$15,0,0,$B$8,1))=FP$13), 1*(_xlfn._xlws.FILTER(OFFSET($O$15,0,$DO176,$B$8,1),OFFSET($M$15,0,0,$B$8,1))=FP$14))   /   SUM(OFFSET($BO$15,0,0,$B$14,1)) + $B$18/($B$19*$B$19*($DN176&lt;&gt;$DO176) + $B$19*($DN176=$DO176))</f>
        <v>3.7037037037037035E-4</v>
      </c>
      <c r="FQ176" s="10" cm="1">
        <f t="array" aca="1" ref="FQ176" ca="1">(1-$B$18)*SUMPRODUCT(OFFSET($BO$15,0,0,$B$14,1), 1*(_xlfn._xlws.FILTER(OFFSET($O$15,0,$DN176,$B$8,1),OFFSET($M$15,0,0,$B$8,1))=FQ$13), 1*(_xlfn._xlws.FILTER(OFFSET($O$15,0,$DO176,$B$8,1),OFFSET($M$15,0,0,$B$8,1))=FQ$14))   /   SUM(OFFSET($BO$15,0,0,$B$14,1)) + $B$18/($B$19*$B$19*($DN176&lt;&gt;$DO176) + $B$19*($DN176=$DO176))</f>
        <v>3.7037037037037035E-4</v>
      </c>
      <c r="FR176" s="10" cm="1">
        <f t="array" aca="1" ref="FR176" ca="1">(1-$B$18)*SUMPRODUCT(OFFSET($BO$15,0,0,$B$14,1), 1*(_xlfn._xlws.FILTER(OFFSET($O$15,0,$DN176,$B$8,1),OFFSET($M$15,0,0,$B$8,1))=FR$13), 1*(_xlfn._xlws.FILTER(OFFSET($O$15,0,$DO176,$B$8,1),OFFSET($M$15,0,0,$B$8,1))=FR$14))   /   SUM(OFFSET($BO$15,0,0,$B$14,1)) + $B$18/($B$19*$B$19*($DN176&lt;&gt;$DO176) + $B$19*($DN176=$DO176))</f>
        <v>0.97037037037037033</v>
      </c>
      <c r="FS176" s="10" cm="1">
        <f t="array" aca="1" ref="FS176" ca="1">(1-$B$18)*SUMPRODUCT(OFFSET($BO$15,0,0,$B$14,1), 1*(_xlfn._xlws.FILTER(OFFSET($O$15,0,$DN176,$B$8,1),OFFSET($M$15,0,0,$B$8,1))=FS$13), 1*(_xlfn._xlws.FILTER(OFFSET($O$15,0,$DO176,$B$8,1),OFFSET($M$15,0,0,$B$8,1))=FS$14))   /   SUM(OFFSET($BO$15,0,0,$B$14,1)) + $B$18/($B$19*$B$19*($DN176&lt;&gt;$DO176) + $B$19*($DN176=$DO176))</f>
        <v>3.7037037037037035E-4</v>
      </c>
      <c r="FT176" s="10" cm="1">
        <f t="array" aca="1" ref="FT176" ca="1">(1-$B$18)*SUMPRODUCT(OFFSET($BO$15,0,0,$B$14,1), 1*(_xlfn._xlws.FILTER(OFFSET($O$15,0,$DN176,$B$8,1),OFFSET($M$15,0,0,$B$8,1))=FT$13), 1*(_xlfn._xlws.FILTER(OFFSET($O$15,0,$DO176,$B$8,1),OFFSET($M$15,0,0,$B$8,1))=FT$14))   /   SUM(OFFSET($BO$15,0,0,$B$14,1)) + $B$18/($B$19*$B$19*($DN176&lt;&gt;$DO176) + $B$19*($DN176=$DO176))</f>
        <v>3.7037037037037035E-4</v>
      </c>
      <c r="FU176" s="10" cm="1">
        <f t="array" aca="1" ref="FU176" ca="1">(1-$B$18)*SUMPRODUCT(OFFSET($BO$15,0,0,$B$14,1), 1*(_xlfn._xlws.FILTER(OFFSET($O$15,0,$DN176,$B$8,1),OFFSET($M$15,0,0,$B$8,1))=FU$13), 1*(_xlfn._xlws.FILTER(OFFSET($O$15,0,$DO176,$B$8,1),OFFSET($M$15,0,0,$B$8,1))=FU$14))   /   SUM(OFFSET($BO$15,0,0,$B$14,1)) + $B$18/($B$19*$B$19*($DN176&lt;&gt;$DO176) + $B$19*($DN176=$DO176))</f>
        <v>3.7037037037037035E-4</v>
      </c>
      <c r="FV176" s="10" cm="1">
        <f t="array" aca="1" ref="FV176" ca="1">(1-$B$18)*SUMPRODUCT(OFFSET($BO$15,0,0,$B$14,1), 1*(_xlfn._xlws.FILTER(OFFSET($O$15,0,$DN176,$B$8,1),OFFSET($M$15,0,0,$B$8,1))=FV$13), 1*(_xlfn._xlws.FILTER(OFFSET($O$15,0,$DO176,$B$8,1),OFFSET($M$15,0,0,$B$8,1))=FV$14))   /   SUM(OFFSET($BO$15,0,0,$B$14,1)) + $B$18/($B$19*$B$19*($DN176&lt;&gt;$DO176) + $B$19*($DN176=$DO176))</f>
        <v>3.7037037037037035E-4</v>
      </c>
      <c r="FW176" s="10" cm="1">
        <f t="array" aca="1" ref="FW176" ca="1">(1-$B$18)*SUMPRODUCT(OFFSET($BO$15,0,0,$B$14,1), 1*(_xlfn._xlws.FILTER(OFFSET($O$15,0,$DN176,$B$8,1),OFFSET($M$15,0,0,$B$8,1))=FW$13), 1*(_xlfn._xlws.FILTER(OFFSET($O$15,0,$DO176,$B$8,1),OFFSET($M$15,0,0,$B$8,1))=FW$14))   /   SUM(OFFSET($BO$15,0,0,$B$14,1)) + $B$18/($B$19*$B$19*($DN176&lt;&gt;$DO176) + $B$19*($DN176=$DO176))</f>
        <v>3.7037037037037035E-4</v>
      </c>
      <c r="FX176" s="10" cm="1">
        <f t="array" aca="1" ref="FX176" ca="1">(1-$B$18)*SUMPRODUCT(OFFSET($BO$15,0,0,$B$14,1), 1*(_xlfn._xlws.FILTER(OFFSET($O$15,0,$DN176,$B$8,1),OFFSET($M$15,0,0,$B$8,1))=FX$13), 1*(_xlfn._xlws.FILTER(OFFSET($O$15,0,$DO176,$B$8,1),OFFSET($M$15,0,0,$B$8,1))=FX$14))   /   SUM(OFFSET($BO$15,0,0,$B$14,1)) + $B$18/($B$19*$B$19*($DN176&lt;&gt;$DO176) + $B$19*($DN176=$DO176))</f>
        <v>3.7037037037037035E-4</v>
      </c>
      <c r="FY176" s="10" cm="1">
        <f t="array" aca="1" ref="FY176" ca="1">(1-$B$18)*SUMPRODUCT(OFFSET($BO$15,0,0,$B$14,1), 1*(_xlfn._xlws.FILTER(OFFSET($O$15,0,$DN176,$B$8,1),OFFSET($M$15,0,0,$B$8,1))=FY$13), 1*(_xlfn._xlws.FILTER(OFFSET($O$15,0,$DO176,$B$8,1),OFFSET($M$15,0,0,$B$8,1))=FY$14))   /   SUM(OFFSET($BO$15,0,0,$B$14,1)) + $B$18/($B$19*$B$19*($DN176&lt;&gt;$DO176) + $B$19*($DN176=$DO176))</f>
        <v>3.7037037037037035E-4</v>
      </c>
      <c r="FZ176" s="10" cm="1">
        <f t="array" aca="1" ref="FZ176" ca="1">(1-$B$18)*SUMPRODUCT(OFFSET($BO$15,0,0,$B$14,1), 1*(_xlfn._xlws.FILTER(OFFSET($O$15,0,$DN176,$B$8,1),OFFSET($M$15,0,0,$B$8,1))=FZ$13), 1*(_xlfn._xlws.FILTER(OFFSET($O$15,0,$DO176,$B$8,1),OFFSET($M$15,0,0,$B$8,1))=FZ$14))   /   SUM(OFFSET($BO$15,0,0,$B$14,1)) + $B$18/($B$19*$B$19*($DN176&lt;&gt;$DO176) + $B$19*($DN176=$DO176))</f>
        <v>3.7037037037037035E-4</v>
      </c>
      <c r="GA176" s="10" cm="1">
        <f t="array" aca="1" ref="GA176" ca="1">(1-$B$18)*SUMPRODUCT(OFFSET($BO$15,0,0,$B$14,1), 1*(_xlfn._xlws.FILTER(OFFSET($O$15,0,$DN176,$B$8,1),OFFSET($M$15,0,0,$B$8,1))=GA$13), 1*(_xlfn._xlws.FILTER(OFFSET($O$15,0,$DO176,$B$8,1),OFFSET($M$15,0,0,$B$8,1))=GA$14))   /   SUM(OFFSET($BO$15,0,0,$B$14,1)) + $B$18/($B$19*$B$19*($DN176&lt;&gt;$DO176) + $B$19*($DN176=$DO176))</f>
        <v>3.7037037037037035E-4</v>
      </c>
    </row>
    <row r="177" spans="118:183" x14ac:dyDescent="0.2">
      <c r="DN177" cm="1">
        <f t="array" aca="1" ref="DN177" ca="1">INDEX(_xlfn.ANCHORARRAY($CP$15), 1 + INT((ROWS($DO$15:$DO177) - 1) / ROWS(_xlfn.ANCHORARRAY($CP$15))))</f>
        <v>8</v>
      </c>
      <c r="DO177" cm="1">
        <f t="array" aca="1" ref="DO177" ca="1">INDEX(_xlfn.ANCHORARRAY($CP$15),1+MOD(ROWS($DO$15:$DO177)-1,ROWS(_xlfn.ANCHORARRAY($CP$15))))</f>
        <v>11</v>
      </c>
      <c r="DP177" s="10" cm="1">
        <f t="array" aca="1" ref="DP177" ca="1">(1-$B$18)*SUMPRODUCT(OFFSET($BO$15,0,0,$B$14,1), 1*(_xlfn._xlws.FILTER(OFFSET($O$15,0,$DN177,$B$8,1),OFFSET($M$15,0,0,$B$8,1))=DP$13), 1*(_xlfn._xlws.FILTER(OFFSET($O$15,0,$DO177,$B$8,1),OFFSET($M$15,0,0,$B$8,1))=DP$14))   /   SUM(OFFSET($BO$15,0,0,$B$14,1)) + $B$18/($B$19*$B$19*($DN177&lt;&gt;$DO177) + $B$19*($DN177=$DO177))</f>
        <v>3.7037037037037035E-4</v>
      </c>
      <c r="DQ177" s="10" cm="1">
        <f t="array" aca="1" ref="DQ177" ca="1">(1-$B$18)*SUMPRODUCT(OFFSET($BO$15,0,0,$B$14,1), 1*(_xlfn._xlws.FILTER(OFFSET($O$15,0,$DN177,$B$8,1),OFFSET($M$15,0,0,$B$8,1))=DQ$13), 1*(_xlfn._xlws.FILTER(OFFSET($O$15,0,$DO177,$B$8,1),OFFSET($M$15,0,0,$B$8,1))=DQ$14))   /   SUM(OFFSET($BO$15,0,0,$B$14,1)) + $B$18/($B$19*$B$19*($DN177&lt;&gt;$DO177) + $B$19*($DN177=$DO177))</f>
        <v>3.7037037037037035E-4</v>
      </c>
      <c r="DR177" s="10" cm="1">
        <f t="array" aca="1" ref="DR177" ca="1">(1-$B$18)*SUMPRODUCT(OFFSET($BO$15,0,0,$B$14,1), 1*(_xlfn._xlws.FILTER(OFFSET($O$15,0,$DN177,$B$8,1),OFFSET($M$15,0,0,$B$8,1))=DR$13), 1*(_xlfn._xlws.FILTER(OFFSET($O$15,0,$DO177,$B$8,1),OFFSET($M$15,0,0,$B$8,1))=DR$14))   /   SUM(OFFSET($BO$15,0,0,$B$14,1)) + $B$18/($B$19*$B$19*($DN177&lt;&gt;$DO177) + $B$19*($DN177=$DO177))</f>
        <v>3.7037037037037035E-4</v>
      </c>
      <c r="DS177" s="10" cm="1">
        <f t="array" aca="1" ref="DS177" ca="1">(1-$B$18)*SUMPRODUCT(OFFSET($BO$15,0,0,$B$14,1), 1*(_xlfn._xlws.FILTER(OFFSET($O$15,0,$DN177,$B$8,1),OFFSET($M$15,0,0,$B$8,1))=DS$13), 1*(_xlfn._xlws.FILTER(OFFSET($O$15,0,$DO177,$B$8,1),OFFSET($M$15,0,0,$B$8,1))=DS$14))   /   SUM(OFFSET($BO$15,0,0,$B$14,1)) + $B$18/($B$19*$B$19*($DN177&lt;&gt;$DO177) + $B$19*($DN177=$DO177))</f>
        <v>3.7037037037037035E-4</v>
      </c>
      <c r="DT177" s="10" cm="1">
        <f t="array" aca="1" ref="DT177" ca="1">(1-$B$18)*SUMPRODUCT(OFFSET($BO$15,0,0,$B$14,1), 1*(_xlfn._xlws.FILTER(OFFSET($O$15,0,$DN177,$B$8,1),OFFSET($M$15,0,0,$B$8,1))=DT$13), 1*(_xlfn._xlws.FILTER(OFFSET($O$15,0,$DO177,$B$8,1),OFFSET($M$15,0,0,$B$8,1))=DT$14))   /   SUM(OFFSET($BO$15,0,0,$B$14,1)) + $B$18/($B$19*$B$19*($DN177&lt;&gt;$DO177) + $B$19*($DN177=$DO177))</f>
        <v>3.7037037037037035E-4</v>
      </c>
      <c r="DU177" s="10" cm="1">
        <f t="array" aca="1" ref="DU177" ca="1">(1-$B$18)*SUMPRODUCT(OFFSET($BO$15,0,0,$B$14,1), 1*(_xlfn._xlws.FILTER(OFFSET($O$15,0,$DN177,$B$8,1),OFFSET($M$15,0,0,$B$8,1))=DU$13), 1*(_xlfn._xlws.FILTER(OFFSET($O$15,0,$DO177,$B$8,1),OFFSET($M$15,0,0,$B$8,1))=DU$14))   /   SUM(OFFSET($BO$15,0,0,$B$14,1)) + $B$18/($B$19*$B$19*($DN177&lt;&gt;$DO177) + $B$19*($DN177=$DO177))</f>
        <v>3.7037037037037035E-4</v>
      </c>
      <c r="DV177" s="10" cm="1">
        <f t="array" aca="1" ref="DV177" ca="1">(1-$B$18)*SUMPRODUCT(OFFSET($BO$15,0,0,$B$14,1), 1*(_xlfn._xlws.FILTER(OFFSET($O$15,0,$DN177,$B$8,1),OFFSET($M$15,0,0,$B$8,1))=DV$13), 1*(_xlfn._xlws.FILTER(OFFSET($O$15,0,$DO177,$B$8,1),OFFSET($M$15,0,0,$B$8,1))=DV$14))   /   SUM(OFFSET($BO$15,0,0,$B$14,1)) + $B$18/($B$19*$B$19*($DN177&lt;&gt;$DO177) + $B$19*($DN177=$DO177))</f>
        <v>3.7037037037037035E-4</v>
      </c>
      <c r="DW177" s="10" cm="1">
        <f t="array" aca="1" ref="DW177" ca="1">(1-$B$18)*SUMPRODUCT(OFFSET($BO$15,0,0,$B$14,1), 1*(_xlfn._xlws.FILTER(OFFSET($O$15,0,$DN177,$B$8,1),OFFSET($M$15,0,0,$B$8,1))=DW$13), 1*(_xlfn._xlws.FILTER(OFFSET($O$15,0,$DO177,$B$8,1),OFFSET($M$15,0,0,$B$8,1))=DW$14))   /   SUM(OFFSET($BO$15,0,0,$B$14,1)) + $B$18/($B$19*$B$19*($DN177&lt;&gt;$DO177) + $B$19*($DN177=$DO177))</f>
        <v>3.7037037037037035E-4</v>
      </c>
      <c r="DX177" s="10" cm="1">
        <f t="array" aca="1" ref="DX177" ca="1">(1-$B$18)*SUMPRODUCT(OFFSET($BO$15,0,0,$B$14,1), 1*(_xlfn._xlws.FILTER(OFFSET($O$15,0,$DN177,$B$8,1),OFFSET($M$15,0,0,$B$8,1))=DX$13), 1*(_xlfn._xlws.FILTER(OFFSET($O$15,0,$DO177,$B$8,1),OFFSET($M$15,0,0,$B$8,1))=DX$14))   /   SUM(OFFSET($BO$15,0,0,$B$14,1)) + $B$18/($B$19*$B$19*($DN177&lt;&gt;$DO177) + $B$19*($DN177=$DO177))</f>
        <v>3.7037037037037035E-4</v>
      </c>
      <c r="DY177" s="10" cm="1">
        <f t="array" aca="1" ref="DY177" ca="1">(1-$B$18)*SUMPRODUCT(OFFSET($BO$15,0,0,$B$14,1), 1*(_xlfn._xlws.FILTER(OFFSET($O$15,0,$DN177,$B$8,1),OFFSET($M$15,0,0,$B$8,1))=DY$13), 1*(_xlfn._xlws.FILTER(OFFSET($O$15,0,$DO177,$B$8,1),OFFSET($M$15,0,0,$B$8,1))=DY$14))   /   SUM(OFFSET($BO$15,0,0,$B$14,1)) + $B$18/($B$19*$B$19*($DN177&lt;&gt;$DO177) + $B$19*($DN177=$DO177))</f>
        <v>3.7037037037037035E-4</v>
      </c>
      <c r="DZ177" s="10" cm="1">
        <f t="array" aca="1" ref="DZ177" ca="1">(1-$B$18)*SUMPRODUCT(OFFSET($BO$15,0,0,$B$14,1), 1*(_xlfn._xlws.FILTER(OFFSET($O$15,0,$DN177,$B$8,1),OFFSET($M$15,0,0,$B$8,1))=DZ$13), 1*(_xlfn._xlws.FILTER(OFFSET($O$15,0,$DO177,$B$8,1),OFFSET($M$15,0,0,$B$8,1))=DZ$14))   /   SUM(OFFSET($BO$15,0,0,$B$14,1)) + $B$18/($B$19*$B$19*($DN177&lt;&gt;$DO177) + $B$19*($DN177=$DO177))</f>
        <v>3.7037037037037035E-4</v>
      </c>
      <c r="EA177" s="10" cm="1">
        <f t="array" aca="1" ref="EA177" ca="1">(1-$B$18)*SUMPRODUCT(OFFSET($BO$15,0,0,$B$14,1), 1*(_xlfn._xlws.FILTER(OFFSET($O$15,0,$DN177,$B$8,1),OFFSET($M$15,0,0,$B$8,1))=EA$13), 1*(_xlfn._xlws.FILTER(OFFSET($O$15,0,$DO177,$B$8,1),OFFSET($M$15,0,0,$B$8,1))=EA$14))   /   SUM(OFFSET($BO$15,0,0,$B$14,1)) + $B$18/($B$19*$B$19*($DN177&lt;&gt;$DO177) + $B$19*($DN177=$DO177))</f>
        <v>3.7037037037037035E-4</v>
      </c>
      <c r="EB177" s="10" cm="1">
        <f t="array" aca="1" ref="EB177" ca="1">(1-$B$18)*SUMPRODUCT(OFFSET($BO$15,0,0,$B$14,1), 1*(_xlfn._xlws.FILTER(OFFSET($O$15,0,$DN177,$B$8,1),OFFSET($M$15,0,0,$B$8,1))=EB$13), 1*(_xlfn._xlws.FILTER(OFFSET($O$15,0,$DO177,$B$8,1),OFFSET($M$15,0,0,$B$8,1))=EB$14))   /   SUM(OFFSET($BO$15,0,0,$B$14,1)) + $B$18/($B$19*$B$19*($DN177&lt;&gt;$DO177) + $B$19*($DN177=$DO177))</f>
        <v>3.7037037037037035E-4</v>
      </c>
      <c r="EC177" s="10" cm="1">
        <f t="array" aca="1" ref="EC177" ca="1">(1-$B$18)*SUMPRODUCT(OFFSET($BO$15,0,0,$B$14,1), 1*(_xlfn._xlws.FILTER(OFFSET($O$15,0,$DN177,$B$8,1),OFFSET($M$15,0,0,$B$8,1))=EC$13), 1*(_xlfn._xlws.FILTER(OFFSET($O$15,0,$DO177,$B$8,1),OFFSET($M$15,0,0,$B$8,1))=EC$14))   /   SUM(OFFSET($BO$15,0,0,$B$14,1)) + $B$18/($B$19*$B$19*($DN177&lt;&gt;$DO177) + $B$19*($DN177=$DO177))</f>
        <v>3.7037037037037035E-4</v>
      </c>
      <c r="ED177" s="10" cm="1">
        <f t="array" aca="1" ref="ED177" ca="1">(1-$B$18)*SUMPRODUCT(OFFSET($BO$15,0,0,$B$14,1), 1*(_xlfn._xlws.FILTER(OFFSET($O$15,0,$DN177,$B$8,1),OFFSET($M$15,0,0,$B$8,1))=ED$13), 1*(_xlfn._xlws.FILTER(OFFSET($O$15,0,$DO177,$B$8,1),OFFSET($M$15,0,0,$B$8,1))=ED$14))   /   SUM(OFFSET($BO$15,0,0,$B$14,1)) + $B$18/($B$19*$B$19*($DN177&lt;&gt;$DO177) + $B$19*($DN177=$DO177))</f>
        <v>3.7037037037037035E-4</v>
      </c>
      <c r="EE177" s="10" cm="1">
        <f t="array" aca="1" ref="EE177" ca="1">(1-$B$18)*SUMPRODUCT(OFFSET($BO$15,0,0,$B$14,1), 1*(_xlfn._xlws.FILTER(OFFSET($O$15,0,$DN177,$B$8,1),OFFSET($M$15,0,0,$B$8,1))=EE$13), 1*(_xlfn._xlws.FILTER(OFFSET($O$15,0,$DO177,$B$8,1),OFFSET($M$15,0,0,$B$8,1))=EE$14))   /   SUM(OFFSET($BO$15,0,0,$B$14,1)) + $B$18/($B$19*$B$19*($DN177&lt;&gt;$DO177) + $B$19*($DN177=$DO177))</f>
        <v>3.7037037037037035E-4</v>
      </c>
      <c r="EF177" s="10" cm="1">
        <f t="array" aca="1" ref="EF177" ca="1">(1-$B$18)*SUMPRODUCT(OFFSET($BO$15,0,0,$B$14,1), 1*(_xlfn._xlws.FILTER(OFFSET($O$15,0,$DN177,$B$8,1),OFFSET($M$15,0,0,$B$8,1))=EF$13), 1*(_xlfn._xlws.FILTER(OFFSET($O$15,0,$DO177,$B$8,1),OFFSET($M$15,0,0,$B$8,1))=EF$14))   /   SUM(OFFSET($BO$15,0,0,$B$14,1)) + $B$18/($B$19*$B$19*($DN177&lt;&gt;$DO177) + $B$19*($DN177=$DO177))</f>
        <v>3.7037037037037035E-4</v>
      </c>
      <c r="EG177" s="10" cm="1">
        <f t="array" aca="1" ref="EG177" ca="1">(1-$B$18)*SUMPRODUCT(OFFSET($BO$15,0,0,$B$14,1), 1*(_xlfn._xlws.FILTER(OFFSET($O$15,0,$DN177,$B$8,1),OFFSET($M$15,0,0,$B$8,1))=EG$13), 1*(_xlfn._xlws.FILTER(OFFSET($O$15,0,$DO177,$B$8,1),OFFSET($M$15,0,0,$B$8,1))=EG$14))   /   SUM(OFFSET($BO$15,0,0,$B$14,1)) + $B$18/($B$19*$B$19*($DN177&lt;&gt;$DO177) + $B$19*($DN177=$DO177))</f>
        <v>3.7037037037037035E-4</v>
      </c>
      <c r="EH177" s="10" cm="1">
        <f t="array" aca="1" ref="EH177" ca="1">(1-$B$18)*SUMPRODUCT(OFFSET($BO$15,0,0,$B$14,1), 1*(_xlfn._xlws.FILTER(OFFSET($O$15,0,$DN177,$B$8,1),OFFSET($M$15,0,0,$B$8,1))=EH$13), 1*(_xlfn._xlws.FILTER(OFFSET($O$15,0,$DO177,$B$8,1),OFFSET($M$15,0,0,$B$8,1))=EH$14))   /   SUM(OFFSET($BO$15,0,0,$B$14,1)) + $B$18/($B$19*$B$19*($DN177&lt;&gt;$DO177) + $B$19*($DN177=$DO177))</f>
        <v>3.7037037037037035E-4</v>
      </c>
      <c r="EI177" s="10" cm="1">
        <f t="array" aca="1" ref="EI177" ca="1">(1-$B$18)*SUMPRODUCT(OFFSET($BO$15,0,0,$B$14,1), 1*(_xlfn._xlws.FILTER(OFFSET($O$15,0,$DN177,$B$8,1),OFFSET($M$15,0,0,$B$8,1))=EI$13), 1*(_xlfn._xlws.FILTER(OFFSET($O$15,0,$DO177,$B$8,1),OFFSET($M$15,0,0,$B$8,1))=EI$14))   /   SUM(OFFSET($BO$15,0,0,$B$14,1)) + $B$18/($B$19*$B$19*($DN177&lt;&gt;$DO177) + $B$19*($DN177=$DO177))</f>
        <v>3.7037037037037035E-4</v>
      </c>
      <c r="EJ177" s="10" cm="1">
        <f t="array" aca="1" ref="EJ177" ca="1">(1-$B$18)*SUMPRODUCT(OFFSET($BO$15,0,0,$B$14,1), 1*(_xlfn._xlws.FILTER(OFFSET($O$15,0,$DN177,$B$8,1),OFFSET($M$15,0,0,$B$8,1))=EJ$13), 1*(_xlfn._xlws.FILTER(OFFSET($O$15,0,$DO177,$B$8,1),OFFSET($M$15,0,0,$B$8,1))=EJ$14))   /   SUM(OFFSET($BO$15,0,0,$B$14,1)) + $B$18/($B$19*$B$19*($DN177&lt;&gt;$DO177) + $B$19*($DN177=$DO177))</f>
        <v>3.7037037037037035E-4</v>
      </c>
      <c r="EK177" s="10" cm="1">
        <f t="array" aca="1" ref="EK177" ca="1">(1-$B$18)*SUMPRODUCT(OFFSET($BO$15,0,0,$B$14,1), 1*(_xlfn._xlws.FILTER(OFFSET($O$15,0,$DN177,$B$8,1),OFFSET($M$15,0,0,$B$8,1))=EK$13), 1*(_xlfn._xlws.FILTER(OFFSET($O$15,0,$DO177,$B$8,1),OFFSET($M$15,0,0,$B$8,1))=EK$14))   /   SUM(OFFSET($BO$15,0,0,$B$14,1)) + $B$18/($B$19*$B$19*($DN177&lt;&gt;$DO177) + $B$19*($DN177=$DO177))</f>
        <v>3.7037037037037035E-4</v>
      </c>
      <c r="EL177" s="10" cm="1">
        <f t="array" aca="1" ref="EL177" ca="1">(1-$B$18)*SUMPRODUCT(OFFSET($BO$15,0,0,$B$14,1), 1*(_xlfn._xlws.FILTER(OFFSET($O$15,0,$DN177,$B$8,1),OFFSET($M$15,0,0,$B$8,1))=EL$13), 1*(_xlfn._xlws.FILTER(OFFSET($O$15,0,$DO177,$B$8,1),OFFSET($M$15,0,0,$B$8,1))=EL$14))   /   SUM(OFFSET($BO$15,0,0,$B$14,1)) + $B$18/($B$19*$B$19*($DN177&lt;&gt;$DO177) + $B$19*($DN177=$DO177))</f>
        <v>3.7037037037037035E-4</v>
      </c>
      <c r="EM177" s="10" cm="1">
        <f t="array" aca="1" ref="EM177" ca="1">(1-$B$18)*SUMPRODUCT(OFFSET($BO$15,0,0,$B$14,1), 1*(_xlfn._xlws.FILTER(OFFSET($O$15,0,$DN177,$B$8,1),OFFSET($M$15,0,0,$B$8,1))=EM$13), 1*(_xlfn._xlws.FILTER(OFFSET($O$15,0,$DO177,$B$8,1),OFFSET($M$15,0,0,$B$8,1))=EM$14))   /   SUM(OFFSET($BO$15,0,0,$B$14,1)) + $B$18/($B$19*$B$19*($DN177&lt;&gt;$DO177) + $B$19*($DN177=$DO177))</f>
        <v>3.7037037037037035E-4</v>
      </c>
      <c r="EN177" s="10" cm="1">
        <f t="array" aca="1" ref="EN177" ca="1">(1-$B$18)*SUMPRODUCT(OFFSET($BO$15,0,0,$B$14,1), 1*(_xlfn._xlws.FILTER(OFFSET($O$15,0,$DN177,$B$8,1),OFFSET($M$15,0,0,$B$8,1))=EN$13), 1*(_xlfn._xlws.FILTER(OFFSET($O$15,0,$DO177,$B$8,1),OFFSET($M$15,0,0,$B$8,1))=EN$14))   /   SUM(OFFSET($BO$15,0,0,$B$14,1)) + $B$18/($B$19*$B$19*($DN177&lt;&gt;$DO177) + $B$19*($DN177=$DO177))</f>
        <v>3.7037037037037035E-4</v>
      </c>
      <c r="EO177" s="10" cm="1">
        <f t="array" aca="1" ref="EO177" ca="1">(1-$B$18)*SUMPRODUCT(OFFSET($BO$15,0,0,$B$14,1), 1*(_xlfn._xlws.FILTER(OFFSET($O$15,0,$DN177,$B$8,1),OFFSET($M$15,0,0,$B$8,1))=EO$13), 1*(_xlfn._xlws.FILTER(OFFSET($O$15,0,$DO177,$B$8,1),OFFSET($M$15,0,0,$B$8,1))=EO$14))   /   SUM(OFFSET($BO$15,0,0,$B$14,1)) + $B$18/($B$19*$B$19*($DN177&lt;&gt;$DO177) + $B$19*($DN177=$DO177))</f>
        <v>3.7037037037037035E-4</v>
      </c>
      <c r="EP177" s="10" cm="1">
        <f t="array" aca="1" ref="EP177" ca="1">(1-$B$18)*SUMPRODUCT(OFFSET($BO$15,0,0,$B$14,1), 1*(_xlfn._xlws.FILTER(OFFSET($O$15,0,$DN177,$B$8,1),OFFSET($M$15,0,0,$B$8,1))=EP$13), 1*(_xlfn._xlws.FILTER(OFFSET($O$15,0,$DO177,$B$8,1),OFFSET($M$15,0,0,$B$8,1))=EP$14))   /   SUM(OFFSET($BO$15,0,0,$B$14,1)) + $B$18/($B$19*$B$19*($DN177&lt;&gt;$DO177) + $B$19*($DN177=$DO177))</f>
        <v>3.7037037037037035E-4</v>
      </c>
      <c r="EQ177" s="10" cm="1">
        <f t="array" aca="1" ref="EQ177" ca="1">(1-$B$18)*SUMPRODUCT(OFFSET($BO$15,0,0,$B$14,1), 1*(_xlfn._xlws.FILTER(OFFSET($O$15,0,$DN177,$B$8,1),OFFSET($M$15,0,0,$B$8,1))=EQ$13), 1*(_xlfn._xlws.FILTER(OFFSET($O$15,0,$DO177,$B$8,1),OFFSET($M$15,0,0,$B$8,1))=EQ$14))   /   SUM(OFFSET($BO$15,0,0,$B$14,1)) + $B$18/($B$19*$B$19*($DN177&lt;&gt;$DO177) + $B$19*($DN177=$DO177))</f>
        <v>3.7037037037037035E-4</v>
      </c>
      <c r="ER177" s="10" cm="1">
        <f t="array" aca="1" ref="ER177" ca="1">(1-$B$18)*SUMPRODUCT(OFFSET($BO$15,0,0,$B$14,1), 1*(_xlfn._xlws.FILTER(OFFSET($O$15,0,$DN177,$B$8,1),OFFSET($M$15,0,0,$B$8,1))=ER$13), 1*(_xlfn._xlws.FILTER(OFFSET($O$15,0,$DO177,$B$8,1),OFFSET($M$15,0,0,$B$8,1))=ER$14))   /   SUM(OFFSET($BO$15,0,0,$B$14,1)) + $B$18/($B$19*$B$19*($DN177&lt;&gt;$DO177) + $B$19*($DN177=$DO177))</f>
        <v>3.7037037037037035E-4</v>
      </c>
      <c r="ES177" s="10" cm="1">
        <f t="array" aca="1" ref="ES177" ca="1">(1-$B$18)*SUMPRODUCT(OFFSET($BO$15,0,0,$B$14,1), 1*(_xlfn._xlws.FILTER(OFFSET($O$15,0,$DN177,$B$8,1),OFFSET($M$15,0,0,$B$8,1))=ES$13), 1*(_xlfn._xlws.FILTER(OFFSET($O$15,0,$DO177,$B$8,1),OFFSET($M$15,0,0,$B$8,1))=ES$14))   /   SUM(OFFSET($BO$15,0,0,$B$14,1)) + $B$18/($B$19*$B$19*($DN177&lt;&gt;$DO177) + $B$19*($DN177=$DO177))</f>
        <v>3.7037037037037035E-4</v>
      </c>
      <c r="ET177" s="10" cm="1">
        <f t="array" aca="1" ref="ET177" ca="1">(1-$B$18)*SUMPRODUCT(OFFSET($BO$15,0,0,$B$14,1), 1*(_xlfn._xlws.FILTER(OFFSET($O$15,0,$DN177,$B$8,1),OFFSET($M$15,0,0,$B$8,1))=ET$13), 1*(_xlfn._xlws.FILTER(OFFSET($O$15,0,$DO177,$B$8,1),OFFSET($M$15,0,0,$B$8,1))=ET$14))   /   SUM(OFFSET($BO$15,0,0,$B$14,1)) + $B$18/($B$19*$B$19*($DN177&lt;&gt;$DO177) + $B$19*($DN177=$DO177))</f>
        <v>3.7037037037037035E-4</v>
      </c>
      <c r="EU177" s="10" cm="1">
        <f t="array" aca="1" ref="EU177" ca="1">(1-$B$18)*SUMPRODUCT(OFFSET($BO$15,0,0,$B$14,1), 1*(_xlfn._xlws.FILTER(OFFSET($O$15,0,$DN177,$B$8,1),OFFSET($M$15,0,0,$B$8,1))=EU$13), 1*(_xlfn._xlws.FILTER(OFFSET($O$15,0,$DO177,$B$8,1),OFFSET($M$15,0,0,$B$8,1))=EU$14))   /   SUM(OFFSET($BO$15,0,0,$B$14,1)) + $B$18/($B$19*$B$19*($DN177&lt;&gt;$DO177) + $B$19*($DN177=$DO177))</f>
        <v>3.7037037037037035E-4</v>
      </c>
      <c r="EV177" s="10" cm="1">
        <f t="array" aca="1" ref="EV177" ca="1">(1-$B$18)*SUMPRODUCT(OFFSET($BO$15,0,0,$B$14,1), 1*(_xlfn._xlws.FILTER(OFFSET($O$15,0,$DN177,$B$8,1),OFFSET($M$15,0,0,$B$8,1))=EV$13), 1*(_xlfn._xlws.FILTER(OFFSET($O$15,0,$DO177,$B$8,1),OFFSET($M$15,0,0,$B$8,1))=EV$14))   /   SUM(OFFSET($BO$15,0,0,$B$14,1)) + $B$18/($B$19*$B$19*($DN177&lt;&gt;$DO177) + $B$19*($DN177=$DO177))</f>
        <v>3.7037037037037035E-4</v>
      </c>
      <c r="EW177" s="10" cm="1">
        <f t="array" aca="1" ref="EW177" ca="1">(1-$B$18)*SUMPRODUCT(OFFSET($BO$15,0,0,$B$14,1), 1*(_xlfn._xlws.FILTER(OFFSET($O$15,0,$DN177,$B$8,1),OFFSET($M$15,0,0,$B$8,1))=EW$13), 1*(_xlfn._xlws.FILTER(OFFSET($O$15,0,$DO177,$B$8,1),OFFSET($M$15,0,0,$B$8,1))=EW$14))   /   SUM(OFFSET($BO$15,0,0,$B$14,1)) + $B$18/($B$19*$B$19*($DN177&lt;&gt;$DO177) + $B$19*($DN177=$DO177))</f>
        <v>3.7037037037037035E-4</v>
      </c>
      <c r="EX177" s="10" cm="1">
        <f t="array" aca="1" ref="EX177" ca="1">(1-$B$18)*SUMPRODUCT(OFFSET($BO$15,0,0,$B$14,1), 1*(_xlfn._xlws.FILTER(OFFSET($O$15,0,$DN177,$B$8,1),OFFSET($M$15,0,0,$B$8,1))=EX$13), 1*(_xlfn._xlws.FILTER(OFFSET($O$15,0,$DO177,$B$8,1),OFFSET($M$15,0,0,$B$8,1))=EX$14))   /   SUM(OFFSET($BO$15,0,0,$B$14,1)) + $B$18/($B$19*$B$19*($DN177&lt;&gt;$DO177) + $B$19*($DN177=$DO177))</f>
        <v>3.7037037037037035E-4</v>
      </c>
      <c r="EY177" s="10" cm="1">
        <f t="array" aca="1" ref="EY177" ca="1">(1-$B$18)*SUMPRODUCT(OFFSET($BO$15,0,0,$B$14,1), 1*(_xlfn._xlws.FILTER(OFFSET($O$15,0,$DN177,$B$8,1),OFFSET($M$15,0,0,$B$8,1))=EY$13), 1*(_xlfn._xlws.FILTER(OFFSET($O$15,0,$DO177,$B$8,1),OFFSET($M$15,0,0,$B$8,1))=EY$14))   /   SUM(OFFSET($BO$15,0,0,$B$14,1)) + $B$18/($B$19*$B$19*($DN177&lt;&gt;$DO177) + $B$19*($DN177=$DO177))</f>
        <v>3.7037037037037035E-4</v>
      </c>
      <c r="EZ177" s="10" cm="1">
        <f t="array" aca="1" ref="EZ177" ca="1">(1-$B$18)*SUMPRODUCT(OFFSET($BO$15,0,0,$B$14,1), 1*(_xlfn._xlws.FILTER(OFFSET($O$15,0,$DN177,$B$8,1),OFFSET($M$15,0,0,$B$8,1))=EZ$13), 1*(_xlfn._xlws.FILTER(OFFSET($O$15,0,$DO177,$B$8,1),OFFSET($M$15,0,0,$B$8,1))=EZ$14))   /   SUM(OFFSET($BO$15,0,0,$B$14,1)) + $B$18/($B$19*$B$19*($DN177&lt;&gt;$DO177) + $B$19*($DN177=$DO177))</f>
        <v>3.7037037037037035E-4</v>
      </c>
      <c r="FA177" s="10" cm="1">
        <f t="array" aca="1" ref="FA177" ca="1">(1-$B$18)*SUMPRODUCT(OFFSET($BO$15,0,0,$B$14,1), 1*(_xlfn._xlws.FILTER(OFFSET($O$15,0,$DN177,$B$8,1),OFFSET($M$15,0,0,$B$8,1))=FA$13), 1*(_xlfn._xlws.FILTER(OFFSET($O$15,0,$DO177,$B$8,1),OFFSET($M$15,0,0,$B$8,1))=FA$14))   /   SUM(OFFSET($BO$15,0,0,$B$14,1)) + $B$18/($B$19*$B$19*($DN177&lt;&gt;$DO177) + $B$19*($DN177=$DO177))</f>
        <v>3.7037037037037035E-4</v>
      </c>
      <c r="FB177" s="10" cm="1">
        <f t="array" aca="1" ref="FB177" ca="1">(1-$B$18)*SUMPRODUCT(OFFSET($BO$15,0,0,$B$14,1), 1*(_xlfn._xlws.FILTER(OFFSET($O$15,0,$DN177,$B$8,1),OFFSET($M$15,0,0,$B$8,1))=FB$13), 1*(_xlfn._xlws.FILTER(OFFSET($O$15,0,$DO177,$B$8,1),OFFSET($M$15,0,0,$B$8,1))=FB$14))   /   SUM(OFFSET($BO$15,0,0,$B$14,1)) + $B$18/($B$19*$B$19*($DN177&lt;&gt;$DO177) + $B$19*($DN177=$DO177))</f>
        <v>3.7037037037037035E-4</v>
      </c>
      <c r="FC177" s="10" cm="1">
        <f t="array" aca="1" ref="FC177" ca="1">(1-$B$18)*SUMPRODUCT(OFFSET($BO$15,0,0,$B$14,1), 1*(_xlfn._xlws.FILTER(OFFSET($O$15,0,$DN177,$B$8,1),OFFSET($M$15,0,0,$B$8,1))=FC$13), 1*(_xlfn._xlws.FILTER(OFFSET($O$15,0,$DO177,$B$8,1),OFFSET($M$15,0,0,$B$8,1))=FC$14))   /   SUM(OFFSET($BO$15,0,0,$B$14,1)) + $B$18/($B$19*$B$19*($DN177&lt;&gt;$DO177) + $B$19*($DN177=$DO177))</f>
        <v>3.7037037037037035E-4</v>
      </c>
      <c r="FD177" s="10" cm="1">
        <f t="array" aca="1" ref="FD177" ca="1">(1-$B$18)*SUMPRODUCT(OFFSET($BO$15,0,0,$B$14,1), 1*(_xlfn._xlws.FILTER(OFFSET($O$15,0,$DN177,$B$8,1),OFFSET($M$15,0,0,$B$8,1))=FD$13), 1*(_xlfn._xlws.FILTER(OFFSET($O$15,0,$DO177,$B$8,1),OFFSET($M$15,0,0,$B$8,1))=FD$14))   /   SUM(OFFSET($BO$15,0,0,$B$14,1)) + $B$18/($B$19*$B$19*($DN177&lt;&gt;$DO177) + $B$19*($DN177=$DO177))</f>
        <v>3.7037037037037035E-4</v>
      </c>
      <c r="FE177" s="10" cm="1">
        <f t="array" aca="1" ref="FE177" ca="1">(1-$B$18)*SUMPRODUCT(OFFSET($BO$15,0,0,$B$14,1), 1*(_xlfn._xlws.FILTER(OFFSET($O$15,0,$DN177,$B$8,1),OFFSET($M$15,0,0,$B$8,1))=FE$13), 1*(_xlfn._xlws.FILTER(OFFSET($O$15,0,$DO177,$B$8,1),OFFSET($M$15,0,0,$B$8,1))=FE$14))   /   SUM(OFFSET($BO$15,0,0,$B$14,1)) + $B$18/($B$19*$B$19*($DN177&lt;&gt;$DO177) + $B$19*($DN177=$DO177))</f>
        <v>3.7037037037037035E-4</v>
      </c>
      <c r="FF177" s="10" cm="1">
        <f t="array" aca="1" ref="FF177" ca="1">(1-$B$18)*SUMPRODUCT(OFFSET($BO$15,0,0,$B$14,1), 1*(_xlfn._xlws.FILTER(OFFSET($O$15,0,$DN177,$B$8,1),OFFSET($M$15,0,0,$B$8,1))=FF$13), 1*(_xlfn._xlws.FILTER(OFFSET($O$15,0,$DO177,$B$8,1),OFFSET($M$15,0,0,$B$8,1))=FF$14))   /   SUM(OFFSET($BO$15,0,0,$B$14,1)) + $B$18/($B$19*$B$19*($DN177&lt;&gt;$DO177) + $B$19*($DN177=$DO177))</f>
        <v>3.7037037037037035E-4</v>
      </c>
      <c r="FG177" s="10" cm="1">
        <f t="array" aca="1" ref="FG177" ca="1">(1-$B$18)*SUMPRODUCT(OFFSET($BO$15,0,0,$B$14,1), 1*(_xlfn._xlws.FILTER(OFFSET($O$15,0,$DN177,$B$8,1),OFFSET($M$15,0,0,$B$8,1))=FG$13), 1*(_xlfn._xlws.FILTER(OFFSET($O$15,0,$DO177,$B$8,1),OFFSET($M$15,0,0,$B$8,1))=FG$14))   /   SUM(OFFSET($BO$15,0,0,$B$14,1)) + $B$18/($B$19*$B$19*($DN177&lt;&gt;$DO177) + $B$19*($DN177=$DO177))</f>
        <v>3.7037037037037035E-4</v>
      </c>
      <c r="FH177" s="10" cm="1">
        <f t="array" aca="1" ref="FH177" ca="1">(1-$B$18)*SUMPRODUCT(OFFSET($BO$15,0,0,$B$14,1), 1*(_xlfn._xlws.FILTER(OFFSET($O$15,0,$DN177,$B$8,1),OFFSET($M$15,0,0,$B$8,1))=FH$13), 1*(_xlfn._xlws.FILTER(OFFSET($O$15,0,$DO177,$B$8,1),OFFSET($M$15,0,0,$B$8,1))=FH$14))   /   SUM(OFFSET($BO$15,0,0,$B$14,1)) + $B$18/($B$19*$B$19*($DN177&lt;&gt;$DO177) + $B$19*($DN177=$DO177))</f>
        <v>3.7037037037037035E-4</v>
      </c>
      <c r="FI177" s="10" cm="1">
        <f t="array" aca="1" ref="FI177" ca="1">(1-$B$18)*SUMPRODUCT(OFFSET($BO$15,0,0,$B$14,1), 1*(_xlfn._xlws.FILTER(OFFSET($O$15,0,$DN177,$B$8,1),OFFSET($M$15,0,0,$B$8,1))=FI$13), 1*(_xlfn._xlws.FILTER(OFFSET($O$15,0,$DO177,$B$8,1),OFFSET($M$15,0,0,$B$8,1))=FI$14))   /   SUM(OFFSET($BO$15,0,0,$B$14,1)) + $B$18/($B$19*$B$19*($DN177&lt;&gt;$DO177) + $B$19*($DN177=$DO177))</f>
        <v>3.7037037037037035E-4</v>
      </c>
      <c r="FJ177" s="10" cm="1">
        <f t="array" aca="1" ref="FJ177" ca="1">(1-$B$18)*SUMPRODUCT(OFFSET($BO$15,0,0,$B$14,1), 1*(_xlfn._xlws.FILTER(OFFSET($O$15,0,$DN177,$B$8,1),OFFSET($M$15,0,0,$B$8,1))=FJ$13), 1*(_xlfn._xlws.FILTER(OFFSET($O$15,0,$DO177,$B$8,1),OFFSET($M$15,0,0,$B$8,1))=FJ$14))   /   SUM(OFFSET($BO$15,0,0,$B$14,1)) + $B$18/($B$19*$B$19*($DN177&lt;&gt;$DO177) + $B$19*($DN177=$DO177))</f>
        <v>3.7037037037037035E-4</v>
      </c>
      <c r="FK177" s="10" cm="1">
        <f t="array" aca="1" ref="FK177" ca="1">(1-$B$18)*SUMPRODUCT(OFFSET($BO$15,0,0,$B$14,1), 1*(_xlfn._xlws.FILTER(OFFSET($O$15,0,$DN177,$B$8,1),OFFSET($M$15,0,0,$B$8,1))=FK$13), 1*(_xlfn._xlws.FILTER(OFFSET($O$15,0,$DO177,$B$8,1),OFFSET($M$15,0,0,$B$8,1))=FK$14))   /   SUM(OFFSET($BO$15,0,0,$B$14,1)) + $B$18/($B$19*$B$19*($DN177&lt;&gt;$DO177) + $B$19*($DN177=$DO177))</f>
        <v>3.7037037037037035E-4</v>
      </c>
      <c r="FL177" s="10" cm="1">
        <f t="array" aca="1" ref="FL177" ca="1">(1-$B$18)*SUMPRODUCT(OFFSET($BO$15,0,0,$B$14,1), 1*(_xlfn._xlws.FILTER(OFFSET($O$15,0,$DN177,$B$8,1),OFFSET($M$15,0,0,$B$8,1))=FL$13), 1*(_xlfn._xlws.FILTER(OFFSET($O$15,0,$DO177,$B$8,1),OFFSET($M$15,0,0,$B$8,1))=FL$14))   /   SUM(OFFSET($BO$15,0,0,$B$14,1)) + $B$18/($B$19*$B$19*($DN177&lt;&gt;$DO177) + $B$19*($DN177=$DO177))</f>
        <v>0.48537037037037034</v>
      </c>
      <c r="FM177" s="10" cm="1">
        <f t="array" aca="1" ref="FM177" ca="1">(1-$B$18)*SUMPRODUCT(OFFSET($BO$15,0,0,$B$14,1), 1*(_xlfn._xlws.FILTER(OFFSET($O$15,0,$DN177,$B$8,1),OFFSET($M$15,0,0,$B$8,1))=FM$13), 1*(_xlfn._xlws.FILTER(OFFSET($O$15,0,$DO177,$B$8,1),OFFSET($M$15,0,0,$B$8,1))=FM$14))   /   SUM(OFFSET($BO$15,0,0,$B$14,1)) + $B$18/($B$19*$B$19*($DN177&lt;&gt;$DO177) + $B$19*($DN177=$DO177))</f>
        <v>3.7037037037037035E-4</v>
      </c>
      <c r="FN177" s="10" cm="1">
        <f t="array" aca="1" ref="FN177" ca="1">(1-$B$18)*SUMPRODUCT(OFFSET($BO$15,0,0,$B$14,1), 1*(_xlfn._xlws.FILTER(OFFSET($O$15,0,$DN177,$B$8,1),OFFSET($M$15,0,0,$B$8,1))=FN$13), 1*(_xlfn._xlws.FILTER(OFFSET($O$15,0,$DO177,$B$8,1),OFFSET($M$15,0,0,$B$8,1))=FN$14))   /   SUM(OFFSET($BO$15,0,0,$B$14,1)) + $B$18/($B$19*$B$19*($DN177&lt;&gt;$DO177) + $B$19*($DN177=$DO177))</f>
        <v>0.24287037037037026</v>
      </c>
      <c r="FO177" s="10" cm="1">
        <f t="array" aca="1" ref="FO177" ca="1">(1-$B$18)*SUMPRODUCT(OFFSET($BO$15,0,0,$B$14,1), 1*(_xlfn._xlws.FILTER(OFFSET($O$15,0,$DN177,$B$8,1),OFFSET($M$15,0,0,$B$8,1))=FO$13), 1*(_xlfn._xlws.FILTER(OFFSET($O$15,0,$DO177,$B$8,1),OFFSET($M$15,0,0,$B$8,1))=FO$14))   /   SUM(OFFSET($BO$15,0,0,$B$14,1)) + $B$18/($B$19*$B$19*($DN177&lt;&gt;$DO177) + $B$19*($DN177=$DO177))</f>
        <v>0.24287037037037026</v>
      </c>
      <c r="FP177" s="10" cm="1">
        <f t="array" aca="1" ref="FP177" ca="1">(1-$B$18)*SUMPRODUCT(OFFSET($BO$15,0,0,$B$14,1), 1*(_xlfn._xlws.FILTER(OFFSET($O$15,0,$DN177,$B$8,1),OFFSET($M$15,0,0,$B$8,1))=FP$13), 1*(_xlfn._xlws.FILTER(OFFSET($O$15,0,$DO177,$B$8,1),OFFSET($M$15,0,0,$B$8,1))=FP$14))   /   SUM(OFFSET($BO$15,0,0,$B$14,1)) + $B$18/($B$19*$B$19*($DN177&lt;&gt;$DO177) + $B$19*($DN177=$DO177))</f>
        <v>3.7037037037037035E-4</v>
      </c>
      <c r="FQ177" s="10" cm="1">
        <f t="array" aca="1" ref="FQ177" ca="1">(1-$B$18)*SUMPRODUCT(OFFSET($BO$15,0,0,$B$14,1), 1*(_xlfn._xlws.FILTER(OFFSET($O$15,0,$DN177,$B$8,1),OFFSET($M$15,0,0,$B$8,1))=FQ$13), 1*(_xlfn._xlws.FILTER(OFFSET($O$15,0,$DO177,$B$8,1),OFFSET($M$15,0,0,$B$8,1))=FQ$14))   /   SUM(OFFSET($BO$15,0,0,$B$14,1)) + $B$18/($B$19*$B$19*($DN177&lt;&gt;$DO177) + $B$19*($DN177=$DO177))</f>
        <v>3.7037037037037035E-4</v>
      </c>
      <c r="FR177" s="10" cm="1">
        <f t="array" aca="1" ref="FR177" ca="1">(1-$B$18)*SUMPRODUCT(OFFSET($BO$15,0,0,$B$14,1), 1*(_xlfn._xlws.FILTER(OFFSET($O$15,0,$DN177,$B$8,1),OFFSET($M$15,0,0,$B$8,1))=FR$13), 1*(_xlfn._xlws.FILTER(OFFSET($O$15,0,$DO177,$B$8,1),OFFSET($M$15,0,0,$B$8,1))=FR$14))   /   SUM(OFFSET($BO$15,0,0,$B$14,1)) + $B$18/($B$19*$B$19*($DN177&lt;&gt;$DO177) + $B$19*($DN177=$DO177))</f>
        <v>3.7037037037037035E-4</v>
      </c>
      <c r="FS177" s="10" cm="1">
        <f t="array" aca="1" ref="FS177" ca="1">(1-$B$18)*SUMPRODUCT(OFFSET($BO$15,0,0,$B$14,1), 1*(_xlfn._xlws.FILTER(OFFSET($O$15,0,$DN177,$B$8,1),OFFSET($M$15,0,0,$B$8,1))=FS$13), 1*(_xlfn._xlws.FILTER(OFFSET($O$15,0,$DO177,$B$8,1),OFFSET($M$15,0,0,$B$8,1))=FS$14))   /   SUM(OFFSET($BO$15,0,0,$B$14,1)) + $B$18/($B$19*$B$19*($DN177&lt;&gt;$DO177) + $B$19*($DN177=$DO177))</f>
        <v>3.7037037037037035E-4</v>
      </c>
      <c r="FT177" s="10" cm="1">
        <f t="array" aca="1" ref="FT177" ca="1">(1-$B$18)*SUMPRODUCT(OFFSET($BO$15,0,0,$B$14,1), 1*(_xlfn._xlws.FILTER(OFFSET($O$15,0,$DN177,$B$8,1),OFFSET($M$15,0,0,$B$8,1))=FT$13), 1*(_xlfn._xlws.FILTER(OFFSET($O$15,0,$DO177,$B$8,1),OFFSET($M$15,0,0,$B$8,1))=FT$14))   /   SUM(OFFSET($BO$15,0,0,$B$14,1)) + $B$18/($B$19*$B$19*($DN177&lt;&gt;$DO177) + $B$19*($DN177=$DO177))</f>
        <v>3.7037037037037035E-4</v>
      </c>
      <c r="FU177" s="10" cm="1">
        <f t="array" aca="1" ref="FU177" ca="1">(1-$B$18)*SUMPRODUCT(OFFSET($BO$15,0,0,$B$14,1), 1*(_xlfn._xlws.FILTER(OFFSET($O$15,0,$DN177,$B$8,1),OFFSET($M$15,0,0,$B$8,1))=FU$13), 1*(_xlfn._xlws.FILTER(OFFSET($O$15,0,$DO177,$B$8,1),OFFSET($M$15,0,0,$B$8,1))=FU$14))   /   SUM(OFFSET($BO$15,0,0,$B$14,1)) + $B$18/($B$19*$B$19*($DN177&lt;&gt;$DO177) + $B$19*($DN177=$DO177))</f>
        <v>3.7037037037037035E-4</v>
      </c>
      <c r="FV177" s="10" cm="1">
        <f t="array" aca="1" ref="FV177" ca="1">(1-$B$18)*SUMPRODUCT(OFFSET($BO$15,0,0,$B$14,1), 1*(_xlfn._xlws.FILTER(OFFSET($O$15,0,$DN177,$B$8,1),OFFSET($M$15,0,0,$B$8,1))=FV$13), 1*(_xlfn._xlws.FILTER(OFFSET($O$15,0,$DO177,$B$8,1),OFFSET($M$15,0,0,$B$8,1))=FV$14))   /   SUM(OFFSET($BO$15,0,0,$B$14,1)) + $B$18/($B$19*$B$19*($DN177&lt;&gt;$DO177) + $B$19*($DN177=$DO177))</f>
        <v>3.7037037037037035E-4</v>
      </c>
      <c r="FW177" s="10" cm="1">
        <f t="array" aca="1" ref="FW177" ca="1">(1-$B$18)*SUMPRODUCT(OFFSET($BO$15,0,0,$B$14,1), 1*(_xlfn._xlws.FILTER(OFFSET($O$15,0,$DN177,$B$8,1),OFFSET($M$15,0,0,$B$8,1))=FW$13), 1*(_xlfn._xlws.FILTER(OFFSET($O$15,0,$DO177,$B$8,1),OFFSET($M$15,0,0,$B$8,1))=FW$14))   /   SUM(OFFSET($BO$15,0,0,$B$14,1)) + $B$18/($B$19*$B$19*($DN177&lt;&gt;$DO177) + $B$19*($DN177=$DO177))</f>
        <v>3.7037037037037035E-4</v>
      </c>
      <c r="FX177" s="10" cm="1">
        <f t="array" aca="1" ref="FX177" ca="1">(1-$B$18)*SUMPRODUCT(OFFSET($BO$15,0,0,$B$14,1), 1*(_xlfn._xlws.FILTER(OFFSET($O$15,0,$DN177,$B$8,1),OFFSET($M$15,0,0,$B$8,1))=FX$13), 1*(_xlfn._xlws.FILTER(OFFSET($O$15,0,$DO177,$B$8,1),OFFSET($M$15,0,0,$B$8,1))=FX$14))   /   SUM(OFFSET($BO$15,0,0,$B$14,1)) + $B$18/($B$19*$B$19*($DN177&lt;&gt;$DO177) + $B$19*($DN177=$DO177))</f>
        <v>3.7037037037037035E-4</v>
      </c>
      <c r="FY177" s="10" cm="1">
        <f t="array" aca="1" ref="FY177" ca="1">(1-$B$18)*SUMPRODUCT(OFFSET($BO$15,0,0,$B$14,1), 1*(_xlfn._xlws.FILTER(OFFSET($O$15,0,$DN177,$B$8,1),OFFSET($M$15,0,0,$B$8,1))=FY$13), 1*(_xlfn._xlws.FILTER(OFFSET($O$15,0,$DO177,$B$8,1),OFFSET($M$15,0,0,$B$8,1))=FY$14))   /   SUM(OFFSET($BO$15,0,0,$B$14,1)) + $B$18/($B$19*$B$19*($DN177&lt;&gt;$DO177) + $B$19*($DN177=$DO177))</f>
        <v>3.7037037037037035E-4</v>
      </c>
      <c r="FZ177" s="10" cm="1">
        <f t="array" aca="1" ref="FZ177" ca="1">(1-$B$18)*SUMPRODUCT(OFFSET($BO$15,0,0,$B$14,1), 1*(_xlfn._xlws.FILTER(OFFSET($O$15,0,$DN177,$B$8,1),OFFSET($M$15,0,0,$B$8,1))=FZ$13), 1*(_xlfn._xlws.FILTER(OFFSET($O$15,0,$DO177,$B$8,1),OFFSET($M$15,0,0,$B$8,1))=FZ$14))   /   SUM(OFFSET($BO$15,0,0,$B$14,1)) + $B$18/($B$19*$B$19*($DN177&lt;&gt;$DO177) + $B$19*($DN177=$DO177))</f>
        <v>3.7037037037037035E-4</v>
      </c>
      <c r="GA177" s="10" cm="1">
        <f t="array" aca="1" ref="GA177" ca="1">(1-$B$18)*SUMPRODUCT(OFFSET($BO$15,0,0,$B$14,1), 1*(_xlfn._xlws.FILTER(OFFSET($O$15,0,$DN177,$B$8,1),OFFSET($M$15,0,0,$B$8,1))=GA$13), 1*(_xlfn._xlws.FILTER(OFFSET($O$15,0,$DO177,$B$8,1),OFFSET($M$15,0,0,$B$8,1))=GA$14))   /   SUM(OFFSET($BO$15,0,0,$B$14,1)) + $B$18/($B$19*$B$19*($DN177&lt;&gt;$DO177) + $B$19*($DN177=$DO177))</f>
        <v>3.7037037037037035E-4</v>
      </c>
    </row>
    <row r="178" spans="118:183" x14ac:dyDescent="0.2">
      <c r="DN178" cm="1">
        <f t="array" aca="1" ref="DN178" ca="1">INDEX(_xlfn.ANCHORARRAY($CP$15), 1 + INT((ROWS($DO$15:$DO178) - 1) / ROWS(_xlfn.ANCHORARRAY($CP$15))))</f>
        <v>8</v>
      </c>
      <c r="DO178" cm="1">
        <f t="array" aca="1" ref="DO178" ca="1">INDEX(_xlfn.ANCHORARRAY($CP$15),1+MOD(ROWS($DO$15:$DO178)-1,ROWS(_xlfn.ANCHORARRAY($CP$15))))</f>
        <v>12</v>
      </c>
      <c r="DP178" s="10" cm="1">
        <f t="array" aca="1" ref="DP178" ca="1">(1-$B$18)*SUMPRODUCT(OFFSET($BO$15,0,0,$B$14,1), 1*(_xlfn._xlws.FILTER(OFFSET($O$15,0,$DN178,$B$8,1),OFFSET($M$15,0,0,$B$8,1))=DP$13), 1*(_xlfn._xlws.FILTER(OFFSET($O$15,0,$DO178,$B$8,1),OFFSET($M$15,0,0,$B$8,1))=DP$14))   /   SUM(OFFSET($BO$15,0,0,$B$14,1)) + $B$18/($B$19*$B$19*($DN178&lt;&gt;$DO178) + $B$19*($DN178=$DO178))</f>
        <v>3.7037037037037035E-4</v>
      </c>
      <c r="DQ178" s="10" cm="1">
        <f t="array" aca="1" ref="DQ178" ca="1">(1-$B$18)*SUMPRODUCT(OFFSET($BO$15,0,0,$B$14,1), 1*(_xlfn._xlws.FILTER(OFFSET($O$15,0,$DN178,$B$8,1),OFFSET($M$15,0,0,$B$8,1))=DQ$13), 1*(_xlfn._xlws.FILTER(OFFSET($O$15,0,$DO178,$B$8,1),OFFSET($M$15,0,0,$B$8,1))=DQ$14))   /   SUM(OFFSET($BO$15,0,0,$B$14,1)) + $B$18/($B$19*$B$19*($DN178&lt;&gt;$DO178) + $B$19*($DN178=$DO178))</f>
        <v>3.7037037037037035E-4</v>
      </c>
      <c r="DR178" s="10" cm="1">
        <f t="array" aca="1" ref="DR178" ca="1">(1-$B$18)*SUMPRODUCT(OFFSET($BO$15,0,0,$B$14,1), 1*(_xlfn._xlws.FILTER(OFFSET($O$15,0,$DN178,$B$8,1),OFFSET($M$15,0,0,$B$8,1))=DR$13), 1*(_xlfn._xlws.FILTER(OFFSET($O$15,0,$DO178,$B$8,1),OFFSET($M$15,0,0,$B$8,1))=DR$14))   /   SUM(OFFSET($BO$15,0,0,$B$14,1)) + $B$18/($B$19*$B$19*($DN178&lt;&gt;$DO178) + $B$19*($DN178=$DO178))</f>
        <v>3.7037037037037035E-4</v>
      </c>
      <c r="DS178" s="10" cm="1">
        <f t="array" aca="1" ref="DS178" ca="1">(1-$B$18)*SUMPRODUCT(OFFSET($BO$15,0,0,$B$14,1), 1*(_xlfn._xlws.FILTER(OFFSET($O$15,0,$DN178,$B$8,1),OFFSET($M$15,0,0,$B$8,1))=DS$13), 1*(_xlfn._xlws.FILTER(OFFSET($O$15,0,$DO178,$B$8,1),OFFSET($M$15,0,0,$B$8,1))=DS$14))   /   SUM(OFFSET($BO$15,0,0,$B$14,1)) + $B$18/($B$19*$B$19*($DN178&lt;&gt;$DO178) + $B$19*($DN178=$DO178))</f>
        <v>3.7037037037037035E-4</v>
      </c>
      <c r="DT178" s="10" cm="1">
        <f t="array" aca="1" ref="DT178" ca="1">(1-$B$18)*SUMPRODUCT(OFFSET($BO$15,0,0,$B$14,1), 1*(_xlfn._xlws.FILTER(OFFSET($O$15,0,$DN178,$B$8,1),OFFSET($M$15,0,0,$B$8,1))=DT$13), 1*(_xlfn._xlws.FILTER(OFFSET($O$15,0,$DO178,$B$8,1),OFFSET($M$15,0,0,$B$8,1))=DT$14))   /   SUM(OFFSET($BO$15,0,0,$B$14,1)) + $B$18/($B$19*$B$19*($DN178&lt;&gt;$DO178) + $B$19*($DN178=$DO178))</f>
        <v>3.7037037037037035E-4</v>
      </c>
      <c r="DU178" s="10" cm="1">
        <f t="array" aca="1" ref="DU178" ca="1">(1-$B$18)*SUMPRODUCT(OFFSET($BO$15,0,0,$B$14,1), 1*(_xlfn._xlws.FILTER(OFFSET($O$15,0,$DN178,$B$8,1),OFFSET($M$15,0,0,$B$8,1))=DU$13), 1*(_xlfn._xlws.FILTER(OFFSET($O$15,0,$DO178,$B$8,1),OFFSET($M$15,0,0,$B$8,1))=DU$14))   /   SUM(OFFSET($BO$15,0,0,$B$14,1)) + $B$18/($B$19*$B$19*($DN178&lt;&gt;$DO178) + $B$19*($DN178=$DO178))</f>
        <v>3.7037037037037035E-4</v>
      </c>
      <c r="DV178" s="10" cm="1">
        <f t="array" aca="1" ref="DV178" ca="1">(1-$B$18)*SUMPRODUCT(OFFSET($BO$15,0,0,$B$14,1), 1*(_xlfn._xlws.FILTER(OFFSET($O$15,0,$DN178,$B$8,1),OFFSET($M$15,0,0,$B$8,1))=DV$13), 1*(_xlfn._xlws.FILTER(OFFSET($O$15,0,$DO178,$B$8,1),OFFSET($M$15,0,0,$B$8,1))=DV$14))   /   SUM(OFFSET($BO$15,0,0,$B$14,1)) + $B$18/($B$19*$B$19*($DN178&lt;&gt;$DO178) + $B$19*($DN178=$DO178))</f>
        <v>3.7037037037037035E-4</v>
      </c>
      <c r="DW178" s="10" cm="1">
        <f t="array" aca="1" ref="DW178" ca="1">(1-$B$18)*SUMPRODUCT(OFFSET($BO$15,0,0,$B$14,1), 1*(_xlfn._xlws.FILTER(OFFSET($O$15,0,$DN178,$B$8,1),OFFSET($M$15,0,0,$B$8,1))=DW$13), 1*(_xlfn._xlws.FILTER(OFFSET($O$15,0,$DO178,$B$8,1),OFFSET($M$15,0,0,$B$8,1))=DW$14))   /   SUM(OFFSET($BO$15,0,0,$B$14,1)) + $B$18/($B$19*$B$19*($DN178&lt;&gt;$DO178) + $B$19*($DN178=$DO178))</f>
        <v>3.7037037037037035E-4</v>
      </c>
      <c r="DX178" s="10" cm="1">
        <f t="array" aca="1" ref="DX178" ca="1">(1-$B$18)*SUMPRODUCT(OFFSET($BO$15,0,0,$B$14,1), 1*(_xlfn._xlws.FILTER(OFFSET($O$15,0,$DN178,$B$8,1),OFFSET($M$15,0,0,$B$8,1))=DX$13), 1*(_xlfn._xlws.FILTER(OFFSET($O$15,0,$DO178,$B$8,1),OFFSET($M$15,0,0,$B$8,1))=DX$14))   /   SUM(OFFSET($BO$15,0,0,$B$14,1)) + $B$18/($B$19*$B$19*($DN178&lt;&gt;$DO178) + $B$19*($DN178=$DO178))</f>
        <v>3.7037037037037035E-4</v>
      </c>
      <c r="DY178" s="10" cm="1">
        <f t="array" aca="1" ref="DY178" ca="1">(1-$B$18)*SUMPRODUCT(OFFSET($BO$15,0,0,$B$14,1), 1*(_xlfn._xlws.FILTER(OFFSET($O$15,0,$DN178,$B$8,1),OFFSET($M$15,0,0,$B$8,1))=DY$13), 1*(_xlfn._xlws.FILTER(OFFSET($O$15,0,$DO178,$B$8,1),OFFSET($M$15,0,0,$B$8,1))=DY$14))   /   SUM(OFFSET($BO$15,0,0,$B$14,1)) + $B$18/($B$19*$B$19*($DN178&lt;&gt;$DO178) + $B$19*($DN178=$DO178))</f>
        <v>3.7037037037037035E-4</v>
      </c>
      <c r="DZ178" s="10" cm="1">
        <f t="array" aca="1" ref="DZ178" ca="1">(1-$B$18)*SUMPRODUCT(OFFSET($BO$15,0,0,$B$14,1), 1*(_xlfn._xlws.FILTER(OFFSET($O$15,0,$DN178,$B$8,1),OFFSET($M$15,0,0,$B$8,1))=DZ$13), 1*(_xlfn._xlws.FILTER(OFFSET($O$15,0,$DO178,$B$8,1),OFFSET($M$15,0,0,$B$8,1))=DZ$14))   /   SUM(OFFSET($BO$15,0,0,$B$14,1)) + $B$18/($B$19*$B$19*($DN178&lt;&gt;$DO178) + $B$19*($DN178=$DO178))</f>
        <v>3.7037037037037035E-4</v>
      </c>
      <c r="EA178" s="10" cm="1">
        <f t="array" aca="1" ref="EA178" ca="1">(1-$B$18)*SUMPRODUCT(OFFSET($BO$15,0,0,$B$14,1), 1*(_xlfn._xlws.FILTER(OFFSET($O$15,0,$DN178,$B$8,1),OFFSET($M$15,0,0,$B$8,1))=EA$13), 1*(_xlfn._xlws.FILTER(OFFSET($O$15,0,$DO178,$B$8,1),OFFSET($M$15,0,0,$B$8,1))=EA$14))   /   SUM(OFFSET($BO$15,0,0,$B$14,1)) + $B$18/($B$19*$B$19*($DN178&lt;&gt;$DO178) + $B$19*($DN178=$DO178))</f>
        <v>3.7037037037037035E-4</v>
      </c>
      <c r="EB178" s="10" cm="1">
        <f t="array" aca="1" ref="EB178" ca="1">(1-$B$18)*SUMPRODUCT(OFFSET($BO$15,0,0,$B$14,1), 1*(_xlfn._xlws.FILTER(OFFSET($O$15,0,$DN178,$B$8,1),OFFSET($M$15,0,0,$B$8,1))=EB$13), 1*(_xlfn._xlws.FILTER(OFFSET($O$15,0,$DO178,$B$8,1),OFFSET($M$15,0,0,$B$8,1))=EB$14))   /   SUM(OFFSET($BO$15,0,0,$B$14,1)) + $B$18/($B$19*$B$19*($DN178&lt;&gt;$DO178) + $B$19*($DN178=$DO178))</f>
        <v>3.7037037037037035E-4</v>
      </c>
      <c r="EC178" s="10" cm="1">
        <f t="array" aca="1" ref="EC178" ca="1">(1-$B$18)*SUMPRODUCT(OFFSET($BO$15,0,0,$B$14,1), 1*(_xlfn._xlws.FILTER(OFFSET($O$15,0,$DN178,$B$8,1),OFFSET($M$15,0,0,$B$8,1))=EC$13), 1*(_xlfn._xlws.FILTER(OFFSET($O$15,0,$DO178,$B$8,1),OFFSET($M$15,0,0,$B$8,1))=EC$14))   /   SUM(OFFSET($BO$15,0,0,$B$14,1)) + $B$18/($B$19*$B$19*($DN178&lt;&gt;$DO178) + $B$19*($DN178=$DO178))</f>
        <v>3.7037037037037035E-4</v>
      </c>
      <c r="ED178" s="10" cm="1">
        <f t="array" aca="1" ref="ED178" ca="1">(1-$B$18)*SUMPRODUCT(OFFSET($BO$15,0,0,$B$14,1), 1*(_xlfn._xlws.FILTER(OFFSET($O$15,0,$DN178,$B$8,1),OFFSET($M$15,0,0,$B$8,1))=ED$13), 1*(_xlfn._xlws.FILTER(OFFSET($O$15,0,$DO178,$B$8,1),OFFSET($M$15,0,0,$B$8,1))=ED$14))   /   SUM(OFFSET($BO$15,0,0,$B$14,1)) + $B$18/($B$19*$B$19*($DN178&lt;&gt;$DO178) + $B$19*($DN178=$DO178))</f>
        <v>3.7037037037037035E-4</v>
      </c>
      <c r="EE178" s="10" cm="1">
        <f t="array" aca="1" ref="EE178" ca="1">(1-$B$18)*SUMPRODUCT(OFFSET($BO$15,0,0,$B$14,1), 1*(_xlfn._xlws.FILTER(OFFSET($O$15,0,$DN178,$B$8,1),OFFSET($M$15,0,0,$B$8,1))=EE$13), 1*(_xlfn._xlws.FILTER(OFFSET($O$15,0,$DO178,$B$8,1),OFFSET($M$15,0,0,$B$8,1))=EE$14))   /   SUM(OFFSET($BO$15,0,0,$B$14,1)) + $B$18/($B$19*$B$19*($DN178&lt;&gt;$DO178) + $B$19*($DN178=$DO178))</f>
        <v>3.7037037037037035E-4</v>
      </c>
      <c r="EF178" s="10" cm="1">
        <f t="array" aca="1" ref="EF178" ca="1">(1-$B$18)*SUMPRODUCT(OFFSET($BO$15,0,0,$B$14,1), 1*(_xlfn._xlws.FILTER(OFFSET($O$15,0,$DN178,$B$8,1),OFFSET($M$15,0,0,$B$8,1))=EF$13), 1*(_xlfn._xlws.FILTER(OFFSET($O$15,0,$DO178,$B$8,1),OFFSET($M$15,0,0,$B$8,1))=EF$14))   /   SUM(OFFSET($BO$15,0,0,$B$14,1)) + $B$18/($B$19*$B$19*($DN178&lt;&gt;$DO178) + $B$19*($DN178=$DO178))</f>
        <v>3.7037037037037035E-4</v>
      </c>
      <c r="EG178" s="10" cm="1">
        <f t="array" aca="1" ref="EG178" ca="1">(1-$B$18)*SUMPRODUCT(OFFSET($BO$15,0,0,$B$14,1), 1*(_xlfn._xlws.FILTER(OFFSET($O$15,0,$DN178,$B$8,1),OFFSET($M$15,0,0,$B$8,1))=EG$13), 1*(_xlfn._xlws.FILTER(OFFSET($O$15,0,$DO178,$B$8,1),OFFSET($M$15,0,0,$B$8,1))=EG$14))   /   SUM(OFFSET($BO$15,0,0,$B$14,1)) + $B$18/($B$19*$B$19*($DN178&lt;&gt;$DO178) + $B$19*($DN178=$DO178))</f>
        <v>3.7037037037037035E-4</v>
      </c>
      <c r="EH178" s="10" cm="1">
        <f t="array" aca="1" ref="EH178" ca="1">(1-$B$18)*SUMPRODUCT(OFFSET($BO$15,0,0,$B$14,1), 1*(_xlfn._xlws.FILTER(OFFSET($O$15,0,$DN178,$B$8,1),OFFSET($M$15,0,0,$B$8,1))=EH$13), 1*(_xlfn._xlws.FILTER(OFFSET($O$15,0,$DO178,$B$8,1),OFFSET($M$15,0,0,$B$8,1))=EH$14))   /   SUM(OFFSET($BO$15,0,0,$B$14,1)) + $B$18/($B$19*$B$19*($DN178&lt;&gt;$DO178) + $B$19*($DN178=$DO178))</f>
        <v>3.7037037037037035E-4</v>
      </c>
      <c r="EI178" s="10" cm="1">
        <f t="array" aca="1" ref="EI178" ca="1">(1-$B$18)*SUMPRODUCT(OFFSET($BO$15,0,0,$B$14,1), 1*(_xlfn._xlws.FILTER(OFFSET($O$15,0,$DN178,$B$8,1),OFFSET($M$15,0,0,$B$8,1))=EI$13), 1*(_xlfn._xlws.FILTER(OFFSET($O$15,0,$DO178,$B$8,1),OFFSET($M$15,0,0,$B$8,1))=EI$14))   /   SUM(OFFSET($BO$15,0,0,$B$14,1)) + $B$18/($B$19*$B$19*($DN178&lt;&gt;$DO178) + $B$19*($DN178=$DO178))</f>
        <v>3.7037037037037035E-4</v>
      </c>
      <c r="EJ178" s="10" cm="1">
        <f t="array" aca="1" ref="EJ178" ca="1">(1-$B$18)*SUMPRODUCT(OFFSET($BO$15,0,0,$B$14,1), 1*(_xlfn._xlws.FILTER(OFFSET($O$15,0,$DN178,$B$8,1),OFFSET($M$15,0,0,$B$8,1))=EJ$13), 1*(_xlfn._xlws.FILTER(OFFSET($O$15,0,$DO178,$B$8,1),OFFSET($M$15,0,0,$B$8,1))=EJ$14))   /   SUM(OFFSET($BO$15,0,0,$B$14,1)) + $B$18/($B$19*$B$19*($DN178&lt;&gt;$DO178) + $B$19*($DN178=$DO178))</f>
        <v>3.7037037037037035E-4</v>
      </c>
      <c r="EK178" s="10" cm="1">
        <f t="array" aca="1" ref="EK178" ca="1">(1-$B$18)*SUMPRODUCT(OFFSET($BO$15,0,0,$B$14,1), 1*(_xlfn._xlws.FILTER(OFFSET($O$15,0,$DN178,$B$8,1),OFFSET($M$15,0,0,$B$8,1))=EK$13), 1*(_xlfn._xlws.FILTER(OFFSET($O$15,0,$DO178,$B$8,1),OFFSET($M$15,0,0,$B$8,1))=EK$14))   /   SUM(OFFSET($BO$15,0,0,$B$14,1)) + $B$18/($B$19*$B$19*($DN178&lt;&gt;$DO178) + $B$19*($DN178=$DO178))</f>
        <v>3.7037037037037035E-4</v>
      </c>
      <c r="EL178" s="10" cm="1">
        <f t="array" aca="1" ref="EL178" ca="1">(1-$B$18)*SUMPRODUCT(OFFSET($BO$15,0,0,$B$14,1), 1*(_xlfn._xlws.FILTER(OFFSET($O$15,0,$DN178,$B$8,1),OFFSET($M$15,0,0,$B$8,1))=EL$13), 1*(_xlfn._xlws.FILTER(OFFSET($O$15,0,$DO178,$B$8,1),OFFSET($M$15,0,0,$B$8,1))=EL$14))   /   SUM(OFFSET($BO$15,0,0,$B$14,1)) + $B$18/($B$19*$B$19*($DN178&lt;&gt;$DO178) + $B$19*($DN178=$DO178))</f>
        <v>3.7037037037037035E-4</v>
      </c>
      <c r="EM178" s="10" cm="1">
        <f t="array" aca="1" ref="EM178" ca="1">(1-$B$18)*SUMPRODUCT(OFFSET($BO$15,0,0,$B$14,1), 1*(_xlfn._xlws.FILTER(OFFSET($O$15,0,$DN178,$B$8,1),OFFSET($M$15,0,0,$B$8,1))=EM$13), 1*(_xlfn._xlws.FILTER(OFFSET($O$15,0,$DO178,$B$8,1),OFFSET($M$15,0,0,$B$8,1))=EM$14))   /   SUM(OFFSET($BO$15,0,0,$B$14,1)) + $B$18/($B$19*$B$19*($DN178&lt;&gt;$DO178) + $B$19*($DN178=$DO178))</f>
        <v>3.7037037037037035E-4</v>
      </c>
      <c r="EN178" s="10" cm="1">
        <f t="array" aca="1" ref="EN178" ca="1">(1-$B$18)*SUMPRODUCT(OFFSET($BO$15,0,0,$B$14,1), 1*(_xlfn._xlws.FILTER(OFFSET($O$15,0,$DN178,$B$8,1),OFFSET($M$15,0,0,$B$8,1))=EN$13), 1*(_xlfn._xlws.FILTER(OFFSET($O$15,0,$DO178,$B$8,1),OFFSET($M$15,0,0,$B$8,1))=EN$14))   /   SUM(OFFSET($BO$15,0,0,$B$14,1)) + $B$18/($B$19*$B$19*($DN178&lt;&gt;$DO178) + $B$19*($DN178=$DO178))</f>
        <v>3.7037037037037035E-4</v>
      </c>
      <c r="EO178" s="10" cm="1">
        <f t="array" aca="1" ref="EO178" ca="1">(1-$B$18)*SUMPRODUCT(OFFSET($BO$15,0,0,$B$14,1), 1*(_xlfn._xlws.FILTER(OFFSET($O$15,0,$DN178,$B$8,1),OFFSET($M$15,0,0,$B$8,1))=EO$13), 1*(_xlfn._xlws.FILTER(OFFSET($O$15,0,$DO178,$B$8,1),OFFSET($M$15,0,0,$B$8,1))=EO$14))   /   SUM(OFFSET($BO$15,0,0,$B$14,1)) + $B$18/($B$19*$B$19*($DN178&lt;&gt;$DO178) + $B$19*($DN178=$DO178))</f>
        <v>3.7037037037037035E-4</v>
      </c>
      <c r="EP178" s="10" cm="1">
        <f t="array" aca="1" ref="EP178" ca="1">(1-$B$18)*SUMPRODUCT(OFFSET($BO$15,0,0,$B$14,1), 1*(_xlfn._xlws.FILTER(OFFSET($O$15,0,$DN178,$B$8,1),OFFSET($M$15,0,0,$B$8,1))=EP$13), 1*(_xlfn._xlws.FILTER(OFFSET($O$15,0,$DO178,$B$8,1),OFFSET($M$15,0,0,$B$8,1))=EP$14))   /   SUM(OFFSET($BO$15,0,0,$B$14,1)) + $B$18/($B$19*$B$19*($DN178&lt;&gt;$DO178) + $B$19*($DN178=$DO178))</f>
        <v>3.7037037037037035E-4</v>
      </c>
      <c r="EQ178" s="10" cm="1">
        <f t="array" aca="1" ref="EQ178" ca="1">(1-$B$18)*SUMPRODUCT(OFFSET($BO$15,0,0,$B$14,1), 1*(_xlfn._xlws.FILTER(OFFSET($O$15,0,$DN178,$B$8,1),OFFSET($M$15,0,0,$B$8,1))=EQ$13), 1*(_xlfn._xlws.FILTER(OFFSET($O$15,0,$DO178,$B$8,1),OFFSET($M$15,0,0,$B$8,1))=EQ$14))   /   SUM(OFFSET($BO$15,0,0,$B$14,1)) + $B$18/($B$19*$B$19*($DN178&lt;&gt;$DO178) + $B$19*($DN178=$DO178))</f>
        <v>3.7037037037037035E-4</v>
      </c>
      <c r="ER178" s="10" cm="1">
        <f t="array" aca="1" ref="ER178" ca="1">(1-$B$18)*SUMPRODUCT(OFFSET($BO$15,0,0,$B$14,1), 1*(_xlfn._xlws.FILTER(OFFSET($O$15,0,$DN178,$B$8,1),OFFSET($M$15,0,0,$B$8,1))=ER$13), 1*(_xlfn._xlws.FILTER(OFFSET($O$15,0,$DO178,$B$8,1),OFFSET($M$15,0,0,$B$8,1))=ER$14))   /   SUM(OFFSET($BO$15,0,0,$B$14,1)) + $B$18/($B$19*$B$19*($DN178&lt;&gt;$DO178) + $B$19*($DN178=$DO178))</f>
        <v>3.7037037037037035E-4</v>
      </c>
      <c r="ES178" s="10" cm="1">
        <f t="array" aca="1" ref="ES178" ca="1">(1-$B$18)*SUMPRODUCT(OFFSET($BO$15,0,0,$B$14,1), 1*(_xlfn._xlws.FILTER(OFFSET($O$15,0,$DN178,$B$8,1),OFFSET($M$15,0,0,$B$8,1))=ES$13), 1*(_xlfn._xlws.FILTER(OFFSET($O$15,0,$DO178,$B$8,1),OFFSET($M$15,0,0,$B$8,1))=ES$14))   /   SUM(OFFSET($BO$15,0,0,$B$14,1)) + $B$18/($B$19*$B$19*($DN178&lt;&gt;$DO178) + $B$19*($DN178=$DO178))</f>
        <v>3.7037037037037035E-4</v>
      </c>
      <c r="ET178" s="10" cm="1">
        <f t="array" aca="1" ref="ET178" ca="1">(1-$B$18)*SUMPRODUCT(OFFSET($BO$15,0,0,$B$14,1), 1*(_xlfn._xlws.FILTER(OFFSET($O$15,0,$DN178,$B$8,1),OFFSET($M$15,0,0,$B$8,1))=ET$13), 1*(_xlfn._xlws.FILTER(OFFSET($O$15,0,$DO178,$B$8,1),OFFSET($M$15,0,0,$B$8,1))=ET$14))   /   SUM(OFFSET($BO$15,0,0,$B$14,1)) + $B$18/($B$19*$B$19*($DN178&lt;&gt;$DO178) + $B$19*($DN178=$DO178))</f>
        <v>3.7037037037037035E-4</v>
      </c>
      <c r="EU178" s="10" cm="1">
        <f t="array" aca="1" ref="EU178" ca="1">(1-$B$18)*SUMPRODUCT(OFFSET($BO$15,0,0,$B$14,1), 1*(_xlfn._xlws.FILTER(OFFSET($O$15,0,$DN178,$B$8,1),OFFSET($M$15,0,0,$B$8,1))=EU$13), 1*(_xlfn._xlws.FILTER(OFFSET($O$15,0,$DO178,$B$8,1),OFFSET($M$15,0,0,$B$8,1))=EU$14))   /   SUM(OFFSET($BO$15,0,0,$B$14,1)) + $B$18/($B$19*$B$19*($DN178&lt;&gt;$DO178) + $B$19*($DN178=$DO178))</f>
        <v>3.7037037037037035E-4</v>
      </c>
      <c r="EV178" s="10" cm="1">
        <f t="array" aca="1" ref="EV178" ca="1">(1-$B$18)*SUMPRODUCT(OFFSET($BO$15,0,0,$B$14,1), 1*(_xlfn._xlws.FILTER(OFFSET($O$15,0,$DN178,$B$8,1),OFFSET($M$15,0,0,$B$8,1))=EV$13), 1*(_xlfn._xlws.FILTER(OFFSET($O$15,0,$DO178,$B$8,1),OFFSET($M$15,0,0,$B$8,1))=EV$14))   /   SUM(OFFSET($BO$15,0,0,$B$14,1)) + $B$18/($B$19*$B$19*($DN178&lt;&gt;$DO178) + $B$19*($DN178=$DO178))</f>
        <v>3.7037037037037035E-4</v>
      </c>
      <c r="EW178" s="10" cm="1">
        <f t="array" aca="1" ref="EW178" ca="1">(1-$B$18)*SUMPRODUCT(OFFSET($BO$15,0,0,$B$14,1), 1*(_xlfn._xlws.FILTER(OFFSET($O$15,0,$DN178,$B$8,1),OFFSET($M$15,0,0,$B$8,1))=EW$13), 1*(_xlfn._xlws.FILTER(OFFSET($O$15,0,$DO178,$B$8,1),OFFSET($M$15,0,0,$B$8,1))=EW$14))   /   SUM(OFFSET($BO$15,0,0,$B$14,1)) + $B$18/($B$19*$B$19*($DN178&lt;&gt;$DO178) + $B$19*($DN178=$DO178))</f>
        <v>3.7037037037037035E-4</v>
      </c>
      <c r="EX178" s="10" cm="1">
        <f t="array" aca="1" ref="EX178" ca="1">(1-$B$18)*SUMPRODUCT(OFFSET($BO$15,0,0,$B$14,1), 1*(_xlfn._xlws.FILTER(OFFSET($O$15,0,$DN178,$B$8,1),OFFSET($M$15,0,0,$B$8,1))=EX$13), 1*(_xlfn._xlws.FILTER(OFFSET($O$15,0,$DO178,$B$8,1),OFFSET($M$15,0,0,$B$8,1))=EX$14))   /   SUM(OFFSET($BO$15,0,0,$B$14,1)) + $B$18/($B$19*$B$19*($DN178&lt;&gt;$DO178) + $B$19*($DN178=$DO178))</f>
        <v>3.7037037037037035E-4</v>
      </c>
      <c r="EY178" s="10" cm="1">
        <f t="array" aca="1" ref="EY178" ca="1">(1-$B$18)*SUMPRODUCT(OFFSET($BO$15,0,0,$B$14,1), 1*(_xlfn._xlws.FILTER(OFFSET($O$15,0,$DN178,$B$8,1),OFFSET($M$15,0,0,$B$8,1))=EY$13), 1*(_xlfn._xlws.FILTER(OFFSET($O$15,0,$DO178,$B$8,1),OFFSET($M$15,0,0,$B$8,1))=EY$14))   /   SUM(OFFSET($BO$15,0,0,$B$14,1)) + $B$18/($B$19*$B$19*($DN178&lt;&gt;$DO178) + $B$19*($DN178=$DO178))</f>
        <v>3.7037037037037035E-4</v>
      </c>
      <c r="EZ178" s="10" cm="1">
        <f t="array" aca="1" ref="EZ178" ca="1">(1-$B$18)*SUMPRODUCT(OFFSET($BO$15,0,0,$B$14,1), 1*(_xlfn._xlws.FILTER(OFFSET($O$15,0,$DN178,$B$8,1),OFFSET($M$15,0,0,$B$8,1))=EZ$13), 1*(_xlfn._xlws.FILTER(OFFSET($O$15,0,$DO178,$B$8,1),OFFSET($M$15,0,0,$B$8,1))=EZ$14))   /   SUM(OFFSET($BO$15,0,0,$B$14,1)) + $B$18/($B$19*$B$19*($DN178&lt;&gt;$DO178) + $B$19*($DN178=$DO178))</f>
        <v>3.7037037037037035E-4</v>
      </c>
      <c r="FA178" s="10" cm="1">
        <f t="array" aca="1" ref="FA178" ca="1">(1-$B$18)*SUMPRODUCT(OFFSET($BO$15,0,0,$B$14,1), 1*(_xlfn._xlws.FILTER(OFFSET($O$15,0,$DN178,$B$8,1),OFFSET($M$15,0,0,$B$8,1))=FA$13), 1*(_xlfn._xlws.FILTER(OFFSET($O$15,0,$DO178,$B$8,1),OFFSET($M$15,0,0,$B$8,1))=FA$14))   /   SUM(OFFSET($BO$15,0,0,$B$14,1)) + $B$18/($B$19*$B$19*($DN178&lt;&gt;$DO178) + $B$19*($DN178=$DO178))</f>
        <v>3.7037037037037035E-4</v>
      </c>
      <c r="FB178" s="10" cm="1">
        <f t="array" aca="1" ref="FB178" ca="1">(1-$B$18)*SUMPRODUCT(OFFSET($BO$15,0,0,$B$14,1), 1*(_xlfn._xlws.FILTER(OFFSET($O$15,0,$DN178,$B$8,1),OFFSET($M$15,0,0,$B$8,1))=FB$13), 1*(_xlfn._xlws.FILTER(OFFSET($O$15,0,$DO178,$B$8,1),OFFSET($M$15,0,0,$B$8,1))=FB$14))   /   SUM(OFFSET($BO$15,0,0,$B$14,1)) + $B$18/($B$19*$B$19*($DN178&lt;&gt;$DO178) + $B$19*($DN178=$DO178))</f>
        <v>3.7037037037037035E-4</v>
      </c>
      <c r="FC178" s="10" cm="1">
        <f t="array" aca="1" ref="FC178" ca="1">(1-$B$18)*SUMPRODUCT(OFFSET($BO$15,0,0,$B$14,1), 1*(_xlfn._xlws.FILTER(OFFSET($O$15,0,$DN178,$B$8,1),OFFSET($M$15,0,0,$B$8,1))=FC$13), 1*(_xlfn._xlws.FILTER(OFFSET($O$15,0,$DO178,$B$8,1),OFFSET($M$15,0,0,$B$8,1))=FC$14))   /   SUM(OFFSET($BO$15,0,0,$B$14,1)) + $B$18/($B$19*$B$19*($DN178&lt;&gt;$DO178) + $B$19*($DN178=$DO178))</f>
        <v>3.7037037037037035E-4</v>
      </c>
      <c r="FD178" s="10" cm="1">
        <f t="array" aca="1" ref="FD178" ca="1">(1-$B$18)*SUMPRODUCT(OFFSET($BO$15,0,0,$B$14,1), 1*(_xlfn._xlws.FILTER(OFFSET($O$15,0,$DN178,$B$8,1),OFFSET($M$15,0,0,$B$8,1))=FD$13), 1*(_xlfn._xlws.FILTER(OFFSET($O$15,0,$DO178,$B$8,1),OFFSET($M$15,0,0,$B$8,1))=FD$14))   /   SUM(OFFSET($BO$15,0,0,$B$14,1)) + $B$18/($B$19*$B$19*($DN178&lt;&gt;$DO178) + $B$19*($DN178=$DO178))</f>
        <v>3.7037037037037035E-4</v>
      </c>
      <c r="FE178" s="10" cm="1">
        <f t="array" aca="1" ref="FE178" ca="1">(1-$B$18)*SUMPRODUCT(OFFSET($BO$15,0,0,$B$14,1), 1*(_xlfn._xlws.FILTER(OFFSET($O$15,0,$DN178,$B$8,1),OFFSET($M$15,0,0,$B$8,1))=FE$13), 1*(_xlfn._xlws.FILTER(OFFSET($O$15,0,$DO178,$B$8,1),OFFSET($M$15,0,0,$B$8,1))=FE$14))   /   SUM(OFFSET($BO$15,0,0,$B$14,1)) + $B$18/($B$19*$B$19*($DN178&lt;&gt;$DO178) + $B$19*($DN178=$DO178))</f>
        <v>3.7037037037037035E-4</v>
      </c>
      <c r="FF178" s="10" cm="1">
        <f t="array" aca="1" ref="FF178" ca="1">(1-$B$18)*SUMPRODUCT(OFFSET($BO$15,0,0,$B$14,1), 1*(_xlfn._xlws.FILTER(OFFSET($O$15,0,$DN178,$B$8,1),OFFSET($M$15,0,0,$B$8,1))=FF$13), 1*(_xlfn._xlws.FILTER(OFFSET($O$15,0,$DO178,$B$8,1),OFFSET($M$15,0,0,$B$8,1))=FF$14))   /   SUM(OFFSET($BO$15,0,0,$B$14,1)) + $B$18/($B$19*$B$19*($DN178&lt;&gt;$DO178) + $B$19*($DN178=$DO178))</f>
        <v>3.7037037037037035E-4</v>
      </c>
      <c r="FG178" s="10" cm="1">
        <f t="array" aca="1" ref="FG178" ca="1">(1-$B$18)*SUMPRODUCT(OFFSET($BO$15,0,0,$B$14,1), 1*(_xlfn._xlws.FILTER(OFFSET($O$15,0,$DN178,$B$8,1),OFFSET($M$15,0,0,$B$8,1))=FG$13), 1*(_xlfn._xlws.FILTER(OFFSET($O$15,0,$DO178,$B$8,1),OFFSET($M$15,0,0,$B$8,1))=FG$14))   /   SUM(OFFSET($BO$15,0,0,$B$14,1)) + $B$18/($B$19*$B$19*($DN178&lt;&gt;$DO178) + $B$19*($DN178=$DO178))</f>
        <v>3.7037037037037035E-4</v>
      </c>
      <c r="FH178" s="10" cm="1">
        <f t="array" aca="1" ref="FH178" ca="1">(1-$B$18)*SUMPRODUCT(OFFSET($BO$15,0,0,$B$14,1), 1*(_xlfn._xlws.FILTER(OFFSET($O$15,0,$DN178,$B$8,1),OFFSET($M$15,0,0,$B$8,1))=FH$13), 1*(_xlfn._xlws.FILTER(OFFSET($O$15,0,$DO178,$B$8,1),OFFSET($M$15,0,0,$B$8,1))=FH$14))   /   SUM(OFFSET($BO$15,0,0,$B$14,1)) + $B$18/($B$19*$B$19*($DN178&lt;&gt;$DO178) + $B$19*($DN178=$DO178))</f>
        <v>3.7037037037037035E-4</v>
      </c>
      <c r="FI178" s="10" cm="1">
        <f t="array" aca="1" ref="FI178" ca="1">(1-$B$18)*SUMPRODUCT(OFFSET($BO$15,0,0,$B$14,1), 1*(_xlfn._xlws.FILTER(OFFSET($O$15,0,$DN178,$B$8,1),OFFSET($M$15,0,0,$B$8,1))=FI$13), 1*(_xlfn._xlws.FILTER(OFFSET($O$15,0,$DO178,$B$8,1),OFFSET($M$15,0,0,$B$8,1))=FI$14))   /   SUM(OFFSET($BO$15,0,0,$B$14,1)) + $B$18/($B$19*$B$19*($DN178&lt;&gt;$DO178) + $B$19*($DN178=$DO178))</f>
        <v>3.7037037037037035E-4</v>
      </c>
      <c r="FJ178" s="10" cm="1">
        <f t="array" aca="1" ref="FJ178" ca="1">(1-$B$18)*SUMPRODUCT(OFFSET($BO$15,0,0,$B$14,1), 1*(_xlfn._xlws.FILTER(OFFSET($O$15,0,$DN178,$B$8,1),OFFSET($M$15,0,0,$B$8,1))=FJ$13), 1*(_xlfn._xlws.FILTER(OFFSET($O$15,0,$DO178,$B$8,1),OFFSET($M$15,0,0,$B$8,1))=FJ$14))   /   SUM(OFFSET($BO$15,0,0,$B$14,1)) + $B$18/($B$19*$B$19*($DN178&lt;&gt;$DO178) + $B$19*($DN178=$DO178))</f>
        <v>3.7037037037037035E-4</v>
      </c>
      <c r="FK178" s="10" cm="1">
        <f t="array" aca="1" ref="FK178" ca="1">(1-$B$18)*SUMPRODUCT(OFFSET($BO$15,0,0,$B$14,1), 1*(_xlfn._xlws.FILTER(OFFSET($O$15,0,$DN178,$B$8,1),OFFSET($M$15,0,0,$B$8,1))=FK$13), 1*(_xlfn._xlws.FILTER(OFFSET($O$15,0,$DO178,$B$8,1),OFFSET($M$15,0,0,$B$8,1))=FK$14))   /   SUM(OFFSET($BO$15,0,0,$B$14,1)) + $B$18/($B$19*$B$19*($DN178&lt;&gt;$DO178) + $B$19*($DN178=$DO178))</f>
        <v>3.7037037037037035E-4</v>
      </c>
      <c r="FL178" s="10" cm="1">
        <f t="array" aca="1" ref="FL178" ca="1">(1-$B$18)*SUMPRODUCT(OFFSET($BO$15,0,0,$B$14,1), 1*(_xlfn._xlws.FILTER(OFFSET($O$15,0,$DN178,$B$8,1),OFFSET($M$15,0,0,$B$8,1))=FL$13), 1*(_xlfn._xlws.FILTER(OFFSET($O$15,0,$DO178,$B$8,1),OFFSET($M$15,0,0,$B$8,1))=FL$14))   /   SUM(OFFSET($BO$15,0,0,$B$14,1)) + $B$18/($B$19*$B$19*($DN178&lt;&gt;$DO178) + $B$19*($DN178=$DO178))</f>
        <v>3.7037037037037035E-4</v>
      </c>
      <c r="FM178" s="10" cm="1">
        <f t="array" aca="1" ref="FM178" ca="1">(1-$B$18)*SUMPRODUCT(OFFSET($BO$15,0,0,$B$14,1), 1*(_xlfn._xlws.FILTER(OFFSET($O$15,0,$DN178,$B$8,1),OFFSET($M$15,0,0,$B$8,1))=FM$13), 1*(_xlfn._xlws.FILTER(OFFSET($O$15,0,$DO178,$B$8,1),OFFSET($M$15,0,0,$B$8,1))=FM$14))   /   SUM(OFFSET($BO$15,0,0,$B$14,1)) + $B$18/($B$19*$B$19*($DN178&lt;&gt;$DO178) + $B$19*($DN178=$DO178))</f>
        <v>0.97037037037037033</v>
      </c>
      <c r="FN178" s="10" cm="1">
        <f t="array" aca="1" ref="FN178" ca="1">(1-$B$18)*SUMPRODUCT(OFFSET($BO$15,0,0,$B$14,1), 1*(_xlfn._xlws.FILTER(OFFSET($O$15,0,$DN178,$B$8,1),OFFSET($M$15,0,0,$B$8,1))=FN$13), 1*(_xlfn._xlws.FILTER(OFFSET($O$15,0,$DO178,$B$8,1),OFFSET($M$15,0,0,$B$8,1))=FN$14))   /   SUM(OFFSET($BO$15,0,0,$B$14,1)) + $B$18/($B$19*$B$19*($DN178&lt;&gt;$DO178) + $B$19*($DN178=$DO178))</f>
        <v>3.7037037037037035E-4</v>
      </c>
      <c r="FO178" s="10" cm="1">
        <f t="array" aca="1" ref="FO178" ca="1">(1-$B$18)*SUMPRODUCT(OFFSET($BO$15,0,0,$B$14,1), 1*(_xlfn._xlws.FILTER(OFFSET($O$15,0,$DN178,$B$8,1),OFFSET($M$15,0,0,$B$8,1))=FO$13), 1*(_xlfn._xlws.FILTER(OFFSET($O$15,0,$DO178,$B$8,1),OFFSET($M$15,0,0,$B$8,1))=FO$14))   /   SUM(OFFSET($BO$15,0,0,$B$14,1)) + $B$18/($B$19*$B$19*($DN178&lt;&gt;$DO178) + $B$19*($DN178=$DO178))</f>
        <v>3.7037037037037035E-4</v>
      </c>
      <c r="FP178" s="10" cm="1">
        <f t="array" aca="1" ref="FP178" ca="1">(1-$B$18)*SUMPRODUCT(OFFSET($BO$15,0,0,$B$14,1), 1*(_xlfn._xlws.FILTER(OFFSET($O$15,0,$DN178,$B$8,1),OFFSET($M$15,0,0,$B$8,1))=FP$13), 1*(_xlfn._xlws.FILTER(OFFSET($O$15,0,$DO178,$B$8,1),OFFSET($M$15,0,0,$B$8,1))=FP$14))   /   SUM(OFFSET($BO$15,0,0,$B$14,1)) + $B$18/($B$19*$B$19*($DN178&lt;&gt;$DO178) + $B$19*($DN178=$DO178))</f>
        <v>3.7037037037037035E-4</v>
      </c>
      <c r="FQ178" s="10" cm="1">
        <f t="array" aca="1" ref="FQ178" ca="1">(1-$B$18)*SUMPRODUCT(OFFSET($BO$15,0,0,$B$14,1), 1*(_xlfn._xlws.FILTER(OFFSET($O$15,0,$DN178,$B$8,1),OFFSET($M$15,0,0,$B$8,1))=FQ$13), 1*(_xlfn._xlws.FILTER(OFFSET($O$15,0,$DO178,$B$8,1),OFFSET($M$15,0,0,$B$8,1))=FQ$14))   /   SUM(OFFSET($BO$15,0,0,$B$14,1)) + $B$18/($B$19*$B$19*($DN178&lt;&gt;$DO178) + $B$19*($DN178=$DO178))</f>
        <v>3.7037037037037035E-4</v>
      </c>
      <c r="FR178" s="10" cm="1">
        <f t="array" aca="1" ref="FR178" ca="1">(1-$B$18)*SUMPRODUCT(OFFSET($BO$15,0,0,$B$14,1), 1*(_xlfn._xlws.FILTER(OFFSET($O$15,0,$DN178,$B$8,1),OFFSET($M$15,0,0,$B$8,1))=FR$13), 1*(_xlfn._xlws.FILTER(OFFSET($O$15,0,$DO178,$B$8,1),OFFSET($M$15,0,0,$B$8,1))=FR$14))   /   SUM(OFFSET($BO$15,0,0,$B$14,1)) + $B$18/($B$19*$B$19*($DN178&lt;&gt;$DO178) + $B$19*($DN178=$DO178))</f>
        <v>3.7037037037037035E-4</v>
      </c>
      <c r="FS178" s="10" cm="1">
        <f t="array" aca="1" ref="FS178" ca="1">(1-$B$18)*SUMPRODUCT(OFFSET($BO$15,0,0,$B$14,1), 1*(_xlfn._xlws.FILTER(OFFSET($O$15,0,$DN178,$B$8,1),OFFSET($M$15,0,0,$B$8,1))=FS$13), 1*(_xlfn._xlws.FILTER(OFFSET($O$15,0,$DO178,$B$8,1),OFFSET($M$15,0,0,$B$8,1))=FS$14))   /   SUM(OFFSET($BO$15,0,0,$B$14,1)) + $B$18/($B$19*$B$19*($DN178&lt;&gt;$DO178) + $B$19*($DN178=$DO178))</f>
        <v>3.7037037037037035E-4</v>
      </c>
      <c r="FT178" s="10" cm="1">
        <f t="array" aca="1" ref="FT178" ca="1">(1-$B$18)*SUMPRODUCT(OFFSET($BO$15,0,0,$B$14,1), 1*(_xlfn._xlws.FILTER(OFFSET($O$15,0,$DN178,$B$8,1),OFFSET($M$15,0,0,$B$8,1))=FT$13), 1*(_xlfn._xlws.FILTER(OFFSET($O$15,0,$DO178,$B$8,1),OFFSET($M$15,0,0,$B$8,1))=FT$14))   /   SUM(OFFSET($BO$15,0,0,$B$14,1)) + $B$18/($B$19*$B$19*($DN178&lt;&gt;$DO178) + $B$19*($DN178=$DO178))</f>
        <v>3.7037037037037035E-4</v>
      </c>
      <c r="FU178" s="10" cm="1">
        <f t="array" aca="1" ref="FU178" ca="1">(1-$B$18)*SUMPRODUCT(OFFSET($BO$15,0,0,$B$14,1), 1*(_xlfn._xlws.FILTER(OFFSET($O$15,0,$DN178,$B$8,1),OFFSET($M$15,0,0,$B$8,1))=FU$13), 1*(_xlfn._xlws.FILTER(OFFSET($O$15,0,$DO178,$B$8,1),OFFSET($M$15,0,0,$B$8,1))=FU$14))   /   SUM(OFFSET($BO$15,0,0,$B$14,1)) + $B$18/($B$19*$B$19*($DN178&lt;&gt;$DO178) + $B$19*($DN178=$DO178))</f>
        <v>3.7037037037037035E-4</v>
      </c>
      <c r="FV178" s="10" cm="1">
        <f t="array" aca="1" ref="FV178" ca="1">(1-$B$18)*SUMPRODUCT(OFFSET($BO$15,0,0,$B$14,1), 1*(_xlfn._xlws.FILTER(OFFSET($O$15,0,$DN178,$B$8,1),OFFSET($M$15,0,0,$B$8,1))=FV$13), 1*(_xlfn._xlws.FILTER(OFFSET($O$15,0,$DO178,$B$8,1),OFFSET($M$15,0,0,$B$8,1))=FV$14))   /   SUM(OFFSET($BO$15,0,0,$B$14,1)) + $B$18/($B$19*$B$19*($DN178&lt;&gt;$DO178) + $B$19*($DN178=$DO178))</f>
        <v>3.7037037037037035E-4</v>
      </c>
      <c r="FW178" s="10" cm="1">
        <f t="array" aca="1" ref="FW178" ca="1">(1-$B$18)*SUMPRODUCT(OFFSET($BO$15,0,0,$B$14,1), 1*(_xlfn._xlws.FILTER(OFFSET($O$15,0,$DN178,$B$8,1),OFFSET($M$15,0,0,$B$8,1))=FW$13), 1*(_xlfn._xlws.FILTER(OFFSET($O$15,0,$DO178,$B$8,1),OFFSET($M$15,0,0,$B$8,1))=FW$14))   /   SUM(OFFSET($BO$15,0,0,$B$14,1)) + $B$18/($B$19*$B$19*($DN178&lt;&gt;$DO178) + $B$19*($DN178=$DO178))</f>
        <v>3.7037037037037035E-4</v>
      </c>
      <c r="FX178" s="10" cm="1">
        <f t="array" aca="1" ref="FX178" ca="1">(1-$B$18)*SUMPRODUCT(OFFSET($BO$15,0,0,$B$14,1), 1*(_xlfn._xlws.FILTER(OFFSET($O$15,0,$DN178,$B$8,1),OFFSET($M$15,0,0,$B$8,1))=FX$13), 1*(_xlfn._xlws.FILTER(OFFSET($O$15,0,$DO178,$B$8,1),OFFSET($M$15,0,0,$B$8,1))=FX$14))   /   SUM(OFFSET($BO$15,0,0,$B$14,1)) + $B$18/($B$19*$B$19*($DN178&lt;&gt;$DO178) + $B$19*($DN178=$DO178))</f>
        <v>3.7037037037037035E-4</v>
      </c>
      <c r="FY178" s="10" cm="1">
        <f t="array" aca="1" ref="FY178" ca="1">(1-$B$18)*SUMPRODUCT(OFFSET($BO$15,0,0,$B$14,1), 1*(_xlfn._xlws.FILTER(OFFSET($O$15,0,$DN178,$B$8,1),OFFSET($M$15,0,0,$B$8,1))=FY$13), 1*(_xlfn._xlws.FILTER(OFFSET($O$15,0,$DO178,$B$8,1),OFFSET($M$15,0,0,$B$8,1))=FY$14))   /   SUM(OFFSET($BO$15,0,0,$B$14,1)) + $B$18/($B$19*$B$19*($DN178&lt;&gt;$DO178) + $B$19*($DN178=$DO178))</f>
        <v>3.7037037037037035E-4</v>
      </c>
      <c r="FZ178" s="10" cm="1">
        <f t="array" aca="1" ref="FZ178" ca="1">(1-$B$18)*SUMPRODUCT(OFFSET($BO$15,0,0,$B$14,1), 1*(_xlfn._xlws.FILTER(OFFSET($O$15,0,$DN178,$B$8,1),OFFSET($M$15,0,0,$B$8,1))=FZ$13), 1*(_xlfn._xlws.FILTER(OFFSET($O$15,0,$DO178,$B$8,1),OFFSET($M$15,0,0,$B$8,1))=FZ$14))   /   SUM(OFFSET($BO$15,0,0,$B$14,1)) + $B$18/($B$19*$B$19*($DN178&lt;&gt;$DO178) + $B$19*($DN178=$DO178))</f>
        <v>3.7037037037037035E-4</v>
      </c>
      <c r="GA178" s="10" cm="1">
        <f t="array" aca="1" ref="GA178" ca="1">(1-$B$18)*SUMPRODUCT(OFFSET($BO$15,0,0,$B$14,1), 1*(_xlfn._xlws.FILTER(OFFSET($O$15,0,$DN178,$B$8,1),OFFSET($M$15,0,0,$B$8,1))=GA$13), 1*(_xlfn._xlws.FILTER(OFFSET($O$15,0,$DO178,$B$8,1),OFFSET($M$15,0,0,$B$8,1))=GA$14))   /   SUM(OFFSET($BO$15,0,0,$B$14,1)) + $B$18/($B$19*$B$19*($DN178&lt;&gt;$DO178) + $B$19*($DN178=$DO178))</f>
        <v>3.7037037037037035E-4</v>
      </c>
    </row>
    <row r="179" spans="118:183" x14ac:dyDescent="0.2">
      <c r="DN179" cm="1">
        <f t="array" aca="1" ref="DN179" ca="1">INDEX(_xlfn.ANCHORARRAY($CP$15), 1 + INT((ROWS($DO$15:$DO179) - 1) / ROWS(_xlfn.ANCHORARRAY($CP$15))))</f>
        <v>8</v>
      </c>
      <c r="DO179" cm="1">
        <f t="array" aca="1" ref="DO179" ca="1">INDEX(_xlfn.ANCHORARRAY($CP$15),1+MOD(ROWS($DO$15:$DO179)-1,ROWS(_xlfn.ANCHORARRAY($CP$15))))</f>
        <v>13</v>
      </c>
      <c r="DP179" s="10" cm="1">
        <f t="array" aca="1" ref="DP179" ca="1">(1-$B$18)*SUMPRODUCT(OFFSET($BO$15,0,0,$B$14,1), 1*(_xlfn._xlws.FILTER(OFFSET($O$15,0,$DN179,$B$8,1),OFFSET($M$15,0,0,$B$8,1))=DP$13), 1*(_xlfn._xlws.FILTER(OFFSET($O$15,0,$DO179,$B$8,1),OFFSET($M$15,0,0,$B$8,1))=DP$14))   /   SUM(OFFSET($BO$15,0,0,$B$14,1)) + $B$18/($B$19*$B$19*($DN179&lt;&gt;$DO179) + $B$19*($DN179=$DO179))</f>
        <v>3.7037037037037035E-4</v>
      </c>
      <c r="DQ179" s="10" cm="1">
        <f t="array" aca="1" ref="DQ179" ca="1">(1-$B$18)*SUMPRODUCT(OFFSET($BO$15,0,0,$B$14,1), 1*(_xlfn._xlws.FILTER(OFFSET($O$15,0,$DN179,$B$8,1),OFFSET($M$15,0,0,$B$8,1))=DQ$13), 1*(_xlfn._xlws.FILTER(OFFSET($O$15,0,$DO179,$B$8,1),OFFSET($M$15,0,0,$B$8,1))=DQ$14))   /   SUM(OFFSET($BO$15,0,0,$B$14,1)) + $B$18/($B$19*$B$19*($DN179&lt;&gt;$DO179) + $B$19*($DN179=$DO179))</f>
        <v>3.7037037037037035E-4</v>
      </c>
      <c r="DR179" s="10" cm="1">
        <f t="array" aca="1" ref="DR179" ca="1">(1-$B$18)*SUMPRODUCT(OFFSET($BO$15,0,0,$B$14,1), 1*(_xlfn._xlws.FILTER(OFFSET($O$15,0,$DN179,$B$8,1),OFFSET($M$15,0,0,$B$8,1))=DR$13), 1*(_xlfn._xlws.FILTER(OFFSET($O$15,0,$DO179,$B$8,1),OFFSET($M$15,0,0,$B$8,1))=DR$14))   /   SUM(OFFSET($BO$15,0,0,$B$14,1)) + $B$18/($B$19*$B$19*($DN179&lt;&gt;$DO179) + $B$19*($DN179=$DO179))</f>
        <v>3.7037037037037035E-4</v>
      </c>
      <c r="DS179" s="10" cm="1">
        <f t="array" aca="1" ref="DS179" ca="1">(1-$B$18)*SUMPRODUCT(OFFSET($BO$15,0,0,$B$14,1), 1*(_xlfn._xlws.FILTER(OFFSET($O$15,0,$DN179,$B$8,1),OFFSET($M$15,0,0,$B$8,1))=DS$13), 1*(_xlfn._xlws.FILTER(OFFSET($O$15,0,$DO179,$B$8,1),OFFSET($M$15,0,0,$B$8,1))=DS$14))   /   SUM(OFFSET($BO$15,0,0,$B$14,1)) + $B$18/($B$19*$B$19*($DN179&lt;&gt;$DO179) + $B$19*($DN179=$DO179))</f>
        <v>3.7037037037037035E-4</v>
      </c>
      <c r="DT179" s="10" cm="1">
        <f t="array" aca="1" ref="DT179" ca="1">(1-$B$18)*SUMPRODUCT(OFFSET($BO$15,0,0,$B$14,1), 1*(_xlfn._xlws.FILTER(OFFSET($O$15,0,$DN179,$B$8,1),OFFSET($M$15,0,0,$B$8,1))=DT$13), 1*(_xlfn._xlws.FILTER(OFFSET($O$15,0,$DO179,$B$8,1),OFFSET($M$15,0,0,$B$8,1))=DT$14))   /   SUM(OFFSET($BO$15,0,0,$B$14,1)) + $B$18/($B$19*$B$19*($DN179&lt;&gt;$DO179) + $B$19*($DN179=$DO179))</f>
        <v>3.7037037037037035E-4</v>
      </c>
      <c r="DU179" s="10" cm="1">
        <f t="array" aca="1" ref="DU179" ca="1">(1-$B$18)*SUMPRODUCT(OFFSET($BO$15,0,0,$B$14,1), 1*(_xlfn._xlws.FILTER(OFFSET($O$15,0,$DN179,$B$8,1),OFFSET($M$15,0,0,$B$8,1))=DU$13), 1*(_xlfn._xlws.FILTER(OFFSET($O$15,0,$DO179,$B$8,1),OFFSET($M$15,0,0,$B$8,1))=DU$14))   /   SUM(OFFSET($BO$15,0,0,$B$14,1)) + $B$18/($B$19*$B$19*($DN179&lt;&gt;$DO179) + $B$19*($DN179=$DO179))</f>
        <v>3.7037037037037035E-4</v>
      </c>
      <c r="DV179" s="10" cm="1">
        <f t="array" aca="1" ref="DV179" ca="1">(1-$B$18)*SUMPRODUCT(OFFSET($BO$15,0,0,$B$14,1), 1*(_xlfn._xlws.FILTER(OFFSET($O$15,0,$DN179,$B$8,1),OFFSET($M$15,0,0,$B$8,1))=DV$13), 1*(_xlfn._xlws.FILTER(OFFSET($O$15,0,$DO179,$B$8,1),OFFSET($M$15,0,0,$B$8,1))=DV$14))   /   SUM(OFFSET($BO$15,0,0,$B$14,1)) + $B$18/($B$19*$B$19*($DN179&lt;&gt;$DO179) + $B$19*($DN179=$DO179))</f>
        <v>3.7037037037037035E-4</v>
      </c>
      <c r="DW179" s="10" cm="1">
        <f t="array" aca="1" ref="DW179" ca="1">(1-$B$18)*SUMPRODUCT(OFFSET($BO$15,0,0,$B$14,1), 1*(_xlfn._xlws.FILTER(OFFSET($O$15,0,$DN179,$B$8,1),OFFSET($M$15,0,0,$B$8,1))=DW$13), 1*(_xlfn._xlws.FILTER(OFFSET($O$15,0,$DO179,$B$8,1),OFFSET($M$15,0,0,$B$8,1))=DW$14))   /   SUM(OFFSET($BO$15,0,0,$B$14,1)) + $B$18/($B$19*$B$19*($DN179&lt;&gt;$DO179) + $B$19*($DN179=$DO179))</f>
        <v>3.7037037037037035E-4</v>
      </c>
      <c r="DX179" s="10" cm="1">
        <f t="array" aca="1" ref="DX179" ca="1">(1-$B$18)*SUMPRODUCT(OFFSET($BO$15,0,0,$B$14,1), 1*(_xlfn._xlws.FILTER(OFFSET($O$15,0,$DN179,$B$8,1),OFFSET($M$15,0,0,$B$8,1))=DX$13), 1*(_xlfn._xlws.FILTER(OFFSET($O$15,0,$DO179,$B$8,1),OFFSET($M$15,0,0,$B$8,1))=DX$14))   /   SUM(OFFSET($BO$15,0,0,$B$14,1)) + $B$18/($B$19*$B$19*($DN179&lt;&gt;$DO179) + $B$19*($DN179=$DO179))</f>
        <v>3.7037037037037035E-4</v>
      </c>
      <c r="DY179" s="10" cm="1">
        <f t="array" aca="1" ref="DY179" ca="1">(1-$B$18)*SUMPRODUCT(OFFSET($BO$15,0,0,$B$14,1), 1*(_xlfn._xlws.FILTER(OFFSET($O$15,0,$DN179,$B$8,1),OFFSET($M$15,0,0,$B$8,1))=DY$13), 1*(_xlfn._xlws.FILTER(OFFSET($O$15,0,$DO179,$B$8,1),OFFSET($M$15,0,0,$B$8,1))=DY$14))   /   SUM(OFFSET($BO$15,0,0,$B$14,1)) + $B$18/($B$19*$B$19*($DN179&lt;&gt;$DO179) + $B$19*($DN179=$DO179))</f>
        <v>3.7037037037037035E-4</v>
      </c>
      <c r="DZ179" s="10" cm="1">
        <f t="array" aca="1" ref="DZ179" ca="1">(1-$B$18)*SUMPRODUCT(OFFSET($BO$15,0,0,$B$14,1), 1*(_xlfn._xlws.FILTER(OFFSET($O$15,0,$DN179,$B$8,1),OFFSET($M$15,0,0,$B$8,1))=DZ$13), 1*(_xlfn._xlws.FILTER(OFFSET($O$15,0,$DO179,$B$8,1),OFFSET($M$15,0,0,$B$8,1))=DZ$14))   /   SUM(OFFSET($BO$15,0,0,$B$14,1)) + $B$18/($B$19*$B$19*($DN179&lt;&gt;$DO179) + $B$19*($DN179=$DO179))</f>
        <v>3.7037037037037035E-4</v>
      </c>
      <c r="EA179" s="10" cm="1">
        <f t="array" aca="1" ref="EA179" ca="1">(1-$B$18)*SUMPRODUCT(OFFSET($BO$15,0,0,$B$14,1), 1*(_xlfn._xlws.FILTER(OFFSET($O$15,0,$DN179,$B$8,1),OFFSET($M$15,0,0,$B$8,1))=EA$13), 1*(_xlfn._xlws.FILTER(OFFSET($O$15,0,$DO179,$B$8,1),OFFSET($M$15,0,0,$B$8,1))=EA$14))   /   SUM(OFFSET($BO$15,0,0,$B$14,1)) + $B$18/($B$19*$B$19*($DN179&lt;&gt;$DO179) + $B$19*($DN179=$DO179))</f>
        <v>3.7037037037037035E-4</v>
      </c>
      <c r="EB179" s="10" cm="1">
        <f t="array" aca="1" ref="EB179" ca="1">(1-$B$18)*SUMPRODUCT(OFFSET($BO$15,0,0,$B$14,1), 1*(_xlfn._xlws.FILTER(OFFSET($O$15,0,$DN179,$B$8,1),OFFSET($M$15,0,0,$B$8,1))=EB$13), 1*(_xlfn._xlws.FILTER(OFFSET($O$15,0,$DO179,$B$8,1),OFFSET($M$15,0,0,$B$8,1))=EB$14))   /   SUM(OFFSET($BO$15,0,0,$B$14,1)) + $B$18/($B$19*$B$19*($DN179&lt;&gt;$DO179) + $B$19*($DN179=$DO179))</f>
        <v>3.7037037037037035E-4</v>
      </c>
      <c r="EC179" s="10" cm="1">
        <f t="array" aca="1" ref="EC179" ca="1">(1-$B$18)*SUMPRODUCT(OFFSET($BO$15,0,0,$B$14,1), 1*(_xlfn._xlws.FILTER(OFFSET($O$15,0,$DN179,$B$8,1),OFFSET($M$15,0,0,$B$8,1))=EC$13), 1*(_xlfn._xlws.FILTER(OFFSET($O$15,0,$DO179,$B$8,1),OFFSET($M$15,0,0,$B$8,1))=EC$14))   /   SUM(OFFSET($BO$15,0,0,$B$14,1)) + $B$18/($B$19*$B$19*($DN179&lt;&gt;$DO179) + $B$19*($DN179=$DO179))</f>
        <v>3.7037037037037035E-4</v>
      </c>
      <c r="ED179" s="10" cm="1">
        <f t="array" aca="1" ref="ED179" ca="1">(1-$B$18)*SUMPRODUCT(OFFSET($BO$15,0,0,$B$14,1), 1*(_xlfn._xlws.FILTER(OFFSET($O$15,0,$DN179,$B$8,1),OFFSET($M$15,0,0,$B$8,1))=ED$13), 1*(_xlfn._xlws.FILTER(OFFSET($O$15,0,$DO179,$B$8,1),OFFSET($M$15,0,0,$B$8,1))=ED$14))   /   SUM(OFFSET($BO$15,0,0,$B$14,1)) + $B$18/($B$19*$B$19*($DN179&lt;&gt;$DO179) + $B$19*($DN179=$DO179))</f>
        <v>3.7037037037037035E-4</v>
      </c>
      <c r="EE179" s="10" cm="1">
        <f t="array" aca="1" ref="EE179" ca="1">(1-$B$18)*SUMPRODUCT(OFFSET($BO$15,0,0,$B$14,1), 1*(_xlfn._xlws.FILTER(OFFSET($O$15,0,$DN179,$B$8,1),OFFSET($M$15,0,0,$B$8,1))=EE$13), 1*(_xlfn._xlws.FILTER(OFFSET($O$15,0,$DO179,$B$8,1),OFFSET($M$15,0,0,$B$8,1))=EE$14))   /   SUM(OFFSET($BO$15,0,0,$B$14,1)) + $B$18/($B$19*$B$19*($DN179&lt;&gt;$DO179) + $B$19*($DN179=$DO179))</f>
        <v>3.7037037037037035E-4</v>
      </c>
      <c r="EF179" s="10" cm="1">
        <f t="array" aca="1" ref="EF179" ca="1">(1-$B$18)*SUMPRODUCT(OFFSET($BO$15,0,0,$B$14,1), 1*(_xlfn._xlws.FILTER(OFFSET($O$15,0,$DN179,$B$8,1),OFFSET($M$15,0,0,$B$8,1))=EF$13), 1*(_xlfn._xlws.FILTER(OFFSET($O$15,0,$DO179,$B$8,1),OFFSET($M$15,0,0,$B$8,1))=EF$14))   /   SUM(OFFSET($BO$15,0,0,$B$14,1)) + $B$18/($B$19*$B$19*($DN179&lt;&gt;$DO179) + $B$19*($DN179=$DO179))</f>
        <v>3.7037037037037035E-4</v>
      </c>
      <c r="EG179" s="10" cm="1">
        <f t="array" aca="1" ref="EG179" ca="1">(1-$B$18)*SUMPRODUCT(OFFSET($BO$15,0,0,$B$14,1), 1*(_xlfn._xlws.FILTER(OFFSET($O$15,0,$DN179,$B$8,1),OFFSET($M$15,0,0,$B$8,1))=EG$13), 1*(_xlfn._xlws.FILTER(OFFSET($O$15,0,$DO179,$B$8,1),OFFSET($M$15,0,0,$B$8,1))=EG$14))   /   SUM(OFFSET($BO$15,0,0,$B$14,1)) + $B$18/($B$19*$B$19*($DN179&lt;&gt;$DO179) + $B$19*($DN179=$DO179))</f>
        <v>3.7037037037037035E-4</v>
      </c>
      <c r="EH179" s="10" cm="1">
        <f t="array" aca="1" ref="EH179" ca="1">(1-$B$18)*SUMPRODUCT(OFFSET($BO$15,0,0,$B$14,1), 1*(_xlfn._xlws.FILTER(OFFSET($O$15,0,$DN179,$B$8,1),OFFSET($M$15,0,0,$B$8,1))=EH$13), 1*(_xlfn._xlws.FILTER(OFFSET($O$15,0,$DO179,$B$8,1),OFFSET($M$15,0,0,$B$8,1))=EH$14))   /   SUM(OFFSET($BO$15,0,0,$B$14,1)) + $B$18/($B$19*$B$19*($DN179&lt;&gt;$DO179) + $B$19*($DN179=$DO179))</f>
        <v>3.7037037037037035E-4</v>
      </c>
      <c r="EI179" s="10" cm="1">
        <f t="array" aca="1" ref="EI179" ca="1">(1-$B$18)*SUMPRODUCT(OFFSET($BO$15,0,0,$B$14,1), 1*(_xlfn._xlws.FILTER(OFFSET($O$15,0,$DN179,$B$8,1),OFFSET($M$15,0,0,$B$8,1))=EI$13), 1*(_xlfn._xlws.FILTER(OFFSET($O$15,0,$DO179,$B$8,1),OFFSET($M$15,0,0,$B$8,1))=EI$14))   /   SUM(OFFSET($BO$15,0,0,$B$14,1)) + $B$18/($B$19*$B$19*($DN179&lt;&gt;$DO179) + $B$19*($DN179=$DO179))</f>
        <v>3.7037037037037035E-4</v>
      </c>
      <c r="EJ179" s="10" cm="1">
        <f t="array" aca="1" ref="EJ179" ca="1">(1-$B$18)*SUMPRODUCT(OFFSET($BO$15,0,0,$B$14,1), 1*(_xlfn._xlws.FILTER(OFFSET($O$15,0,$DN179,$B$8,1),OFFSET($M$15,0,0,$B$8,1))=EJ$13), 1*(_xlfn._xlws.FILTER(OFFSET($O$15,0,$DO179,$B$8,1),OFFSET($M$15,0,0,$B$8,1))=EJ$14))   /   SUM(OFFSET($BO$15,0,0,$B$14,1)) + $B$18/($B$19*$B$19*($DN179&lt;&gt;$DO179) + $B$19*($DN179=$DO179))</f>
        <v>3.7037037037037035E-4</v>
      </c>
      <c r="EK179" s="10" cm="1">
        <f t="array" aca="1" ref="EK179" ca="1">(1-$B$18)*SUMPRODUCT(OFFSET($BO$15,0,0,$B$14,1), 1*(_xlfn._xlws.FILTER(OFFSET($O$15,0,$DN179,$B$8,1),OFFSET($M$15,0,0,$B$8,1))=EK$13), 1*(_xlfn._xlws.FILTER(OFFSET($O$15,0,$DO179,$B$8,1),OFFSET($M$15,0,0,$B$8,1))=EK$14))   /   SUM(OFFSET($BO$15,0,0,$B$14,1)) + $B$18/($B$19*$B$19*($DN179&lt;&gt;$DO179) + $B$19*($DN179=$DO179))</f>
        <v>3.7037037037037035E-4</v>
      </c>
      <c r="EL179" s="10" cm="1">
        <f t="array" aca="1" ref="EL179" ca="1">(1-$B$18)*SUMPRODUCT(OFFSET($BO$15,0,0,$B$14,1), 1*(_xlfn._xlws.FILTER(OFFSET($O$15,0,$DN179,$B$8,1),OFFSET($M$15,0,0,$B$8,1))=EL$13), 1*(_xlfn._xlws.FILTER(OFFSET($O$15,0,$DO179,$B$8,1),OFFSET($M$15,0,0,$B$8,1))=EL$14))   /   SUM(OFFSET($BO$15,0,0,$B$14,1)) + $B$18/($B$19*$B$19*($DN179&lt;&gt;$DO179) + $B$19*($DN179=$DO179))</f>
        <v>3.7037037037037035E-4</v>
      </c>
      <c r="EM179" s="10" cm="1">
        <f t="array" aca="1" ref="EM179" ca="1">(1-$B$18)*SUMPRODUCT(OFFSET($BO$15,0,0,$B$14,1), 1*(_xlfn._xlws.FILTER(OFFSET($O$15,0,$DN179,$B$8,1),OFFSET($M$15,0,0,$B$8,1))=EM$13), 1*(_xlfn._xlws.FILTER(OFFSET($O$15,0,$DO179,$B$8,1),OFFSET($M$15,0,0,$B$8,1))=EM$14))   /   SUM(OFFSET($BO$15,0,0,$B$14,1)) + $B$18/($B$19*$B$19*($DN179&lt;&gt;$DO179) + $B$19*($DN179=$DO179))</f>
        <v>3.7037037037037035E-4</v>
      </c>
      <c r="EN179" s="10" cm="1">
        <f t="array" aca="1" ref="EN179" ca="1">(1-$B$18)*SUMPRODUCT(OFFSET($BO$15,0,0,$B$14,1), 1*(_xlfn._xlws.FILTER(OFFSET($O$15,0,$DN179,$B$8,1),OFFSET($M$15,0,0,$B$8,1))=EN$13), 1*(_xlfn._xlws.FILTER(OFFSET($O$15,0,$DO179,$B$8,1),OFFSET($M$15,0,0,$B$8,1))=EN$14))   /   SUM(OFFSET($BO$15,0,0,$B$14,1)) + $B$18/($B$19*$B$19*($DN179&lt;&gt;$DO179) + $B$19*($DN179=$DO179))</f>
        <v>3.7037037037037035E-4</v>
      </c>
      <c r="EO179" s="10" cm="1">
        <f t="array" aca="1" ref="EO179" ca="1">(1-$B$18)*SUMPRODUCT(OFFSET($BO$15,0,0,$B$14,1), 1*(_xlfn._xlws.FILTER(OFFSET($O$15,0,$DN179,$B$8,1),OFFSET($M$15,0,0,$B$8,1))=EO$13), 1*(_xlfn._xlws.FILTER(OFFSET($O$15,0,$DO179,$B$8,1),OFFSET($M$15,0,0,$B$8,1))=EO$14))   /   SUM(OFFSET($BO$15,0,0,$B$14,1)) + $B$18/($B$19*$B$19*($DN179&lt;&gt;$DO179) + $B$19*($DN179=$DO179))</f>
        <v>3.7037037037037035E-4</v>
      </c>
      <c r="EP179" s="10" cm="1">
        <f t="array" aca="1" ref="EP179" ca="1">(1-$B$18)*SUMPRODUCT(OFFSET($BO$15,0,0,$B$14,1), 1*(_xlfn._xlws.FILTER(OFFSET($O$15,0,$DN179,$B$8,1),OFFSET($M$15,0,0,$B$8,1))=EP$13), 1*(_xlfn._xlws.FILTER(OFFSET($O$15,0,$DO179,$B$8,1),OFFSET($M$15,0,0,$B$8,1))=EP$14))   /   SUM(OFFSET($BO$15,0,0,$B$14,1)) + $B$18/($B$19*$B$19*($DN179&lt;&gt;$DO179) + $B$19*($DN179=$DO179))</f>
        <v>3.7037037037037035E-4</v>
      </c>
      <c r="EQ179" s="10" cm="1">
        <f t="array" aca="1" ref="EQ179" ca="1">(1-$B$18)*SUMPRODUCT(OFFSET($BO$15,0,0,$B$14,1), 1*(_xlfn._xlws.FILTER(OFFSET($O$15,0,$DN179,$B$8,1),OFFSET($M$15,0,0,$B$8,1))=EQ$13), 1*(_xlfn._xlws.FILTER(OFFSET($O$15,0,$DO179,$B$8,1),OFFSET($M$15,0,0,$B$8,1))=EQ$14))   /   SUM(OFFSET($BO$15,0,0,$B$14,1)) + $B$18/($B$19*$B$19*($DN179&lt;&gt;$DO179) + $B$19*($DN179=$DO179))</f>
        <v>3.7037037037037035E-4</v>
      </c>
      <c r="ER179" s="10" cm="1">
        <f t="array" aca="1" ref="ER179" ca="1">(1-$B$18)*SUMPRODUCT(OFFSET($BO$15,0,0,$B$14,1), 1*(_xlfn._xlws.FILTER(OFFSET($O$15,0,$DN179,$B$8,1),OFFSET($M$15,0,0,$B$8,1))=ER$13), 1*(_xlfn._xlws.FILTER(OFFSET($O$15,0,$DO179,$B$8,1),OFFSET($M$15,0,0,$B$8,1))=ER$14))   /   SUM(OFFSET($BO$15,0,0,$B$14,1)) + $B$18/($B$19*$B$19*($DN179&lt;&gt;$DO179) + $B$19*($DN179=$DO179))</f>
        <v>3.7037037037037035E-4</v>
      </c>
      <c r="ES179" s="10" cm="1">
        <f t="array" aca="1" ref="ES179" ca="1">(1-$B$18)*SUMPRODUCT(OFFSET($BO$15,0,0,$B$14,1), 1*(_xlfn._xlws.FILTER(OFFSET($O$15,0,$DN179,$B$8,1),OFFSET($M$15,0,0,$B$8,1))=ES$13), 1*(_xlfn._xlws.FILTER(OFFSET($O$15,0,$DO179,$B$8,1),OFFSET($M$15,0,0,$B$8,1))=ES$14))   /   SUM(OFFSET($BO$15,0,0,$B$14,1)) + $B$18/($B$19*$B$19*($DN179&lt;&gt;$DO179) + $B$19*($DN179=$DO179))</f>
        <v>3.7037037037037035E-4</v>
      </c>
      <c r="ET179" s="10" cm="1">
        <f t="array" aca="1" ref="ET179" ca="1">(1-$B$18)*SUMPRODUCT(OFFSET($BO$15,0,0,$B$14,1), 1*(_xlfn._xlws.FILTER(OFFSET($O$15,0,$DN179,$B$8,1),OFFSET($M$15,0,0,$B$8,1))=ET$13), 1*(_xlfn._xlws.FILTER(OFFSET($O$15,0,$DO179,$B$8,1),OFFSET($M$15,0,0,$B$8,1))=ET$14))   /   SUM(OFFSET($BO$15,0,0,$B$14,1)) + $B$18/($B$19*$B$19*($DN179&lt;&gt;$DO179) + $B$19*($DN179=$DO179))</f>
        <v>3.7037037037037035E-4</v>
      </c>
      <c r="EU179" s="10" cm="1">
        <f t="array" aca="1" ref="EU179" ca="1">(1-$B$18)*SUMPRODUCT(OFFSET($BO$15,0,0,$B$14,1), 1*(_xlfn._xlws.FILTER(OFFSET($O$15,0,$DN179,$B$8,1),OFFSET($M$15,0,0,$B$8,1))=EU$13), 1*(_xlfn._xlws.FILTER(OFFSET($O$15,0,$DO179,$B$8,1),OFFSET($M$15,0,0,$B$8,1))=EU$14))   /   SUM(OFFSET($BO$15,0,0,$B$14,1)) + $B$18/($B$19*$B$19*($DN179&lt;&gt;$DO179) + $B$19*($DN179=$DO179))</f>
        <v>3.7037037037037035E-4</v>
      </c>
      <c r="EV179" s="10" cm="1">
        <f t="array" aca="1" ref="EV179" ca="1">(1-$B$18)*SUMPRODUCT(OFFSET($BO$15,0,0,$B$14,1), 1*(_xlfn._xlws.FILTER(OFFSET($O$15,0,$DN179,$B$8,1),OFFSET($M$15,0,0,$B$8,1))=EV$13), 1*(_xlfn._xlws.FILTER(OFFSET($O$15,0,$DO179,$B$8,1),OFFSET($M$15,0,0,$B$8,1))=EV$14))   /   SUM(OFFSET($BO$15,0,0,$B$14,1)) + $B$18/($B$19*$B$19*($DN179&lt;&gt;$DO179) + $B$19*($DN179=$DO179))</f>
        <v>3.7037037037037035E-4</v>
      </c>
      <c r="EW179" s="10" cm="1">
        <f t="array" aca="1" ref="EW179" ca="1">(1-$B$18)*SUMPRODUCT(OFFSET($BO$15,0,0,$B$14,1), 1*(_xlfn._xlws.FILTER(OFFSET($O$15,0,$DN179,$B$8,1),OFFSET($M$15,0,0,$B$8,1))=EW$13), 1*(_xlfn._xlws.FILTER(OFFSET($O$15,0,$DO179,$B$8,1),OFFSET($M$15,0,0,$B$8,1))=EW$14))   /   SUM(OFFSET($BO$15,0,0,$B$14,1)) + $B$18/($B$19*$B$19*($DN179&lt;&gt;$DO179) + $B$19*($DN179=$DO179))</f>
        <v>3.7037037037037035E-4</v>
      </c>
      <c r="EX179" s="10" cm="1">
        <f t="array" aca="1" ref="EX179" ca="1">(1-$B$18)*SUMPRODUCT(OFFSET($BO$15,0,0,$B$14,1), 1*(_xlfn._xlws.FILTER(OFFSET($O$15,0,$DN179,$B$8,1),OFFSET($M$15,0,0,$B$8,1))=EX$13), 1*(_xlfn._xlws.FILTER(OFFSET($O$15,0,$DO179,$B$8,1),OFFSET($M$15,0,0,$B$8,1))=EX$14))   /   SUM(OFFSET($BO$15,0,0,$B$14,1)) + $B$18/($B$19*$B$19*($DN179&lt;&gt;$DO179) + $B$19*($DN179=$DO179))</f>
        <v>3.7037037037037035E-4</v>
      </c>
      <c r="EY179" s="10" cm="1">
        <f t="array" aca="1" ref="EY179" ca="1">(1-$B$18)*SUMPRODUCT(OFFSET($BO$15,0,0,$B$14,1), 1*(_xlfn._xlws.FILTER(OFFSET($O$15,0,$DN179,$B$8,1),OFFSET($M$15,0,0,$B$8,1))=EY$13), 1*(_xlfn._xlws.FILTER(OFFSET($O$15,0,$DO179,$B$8,1),OFFSET($M$15,0,0,$B$8,1))=EY$14))   /   SUM(OFFSET($BO$15,0,0,$B$14,1)) + $B$18/($B$19*$B$19*($DN179&lt;&gt;$DO179) + $B$19*($DN179=$DO179))</f>
        <v>3.7037037037037035E-4</v>
      </c>
      <c r="EZ179" s="10" cm="1">
        <f t="array" aca="1" ref="EZ179" ca="1">(1-$B$18)*SUMPRODUCT(OFFSET($BO$15,0,0,$B$14,1), 1*(_xlfn._xlws.FILTER(OFFSET($O$15,0,$DN179,$B$8,1),OFFSET($M$15,0,0,$B$8,1))=EZ$13), 1*(_xlfn._xlws.FILTER(OFFSET($O$15,0,$DO179,$B$8,1),OFFSET($M$15,0,0,$B$8,1))=EZ$14))   /   SUM(OFFSET($BO$15,0,0,$B$14,1)) + $B$18/($B$19*$B$19*($DN179&lt;&gt;$DO179) + $B$19*($DN179=$DO179))</f>
        <v>3.7037037037037035E-4</v>
      </c>
      <c r="FA179" s="10" cm="1">
        <f t="array" aca="1" ref="FA179" ca="1">(1-$B$18)*SUMPRODUCT(OFFSET($BO$15,0,0,$B$14,1), 1*(_xlfn._xlws.FILTER(OFFSET($O$15,0,$DN179,$B$8,1),OFFSET($M$15,0,0,$B$8,1))=FA$13), 1*(_xlfn._xlws.FILTER(OFFSET($O$15,0,$DO179,$B$8,1),OFFSET($M$15,0,0,$B$8,1))=FA$14))   /   SUM(OFFSET($BO$15,0,0,$B$14,1)) + $B$18/($B$19*$B$19*($DN179&lt;&gt;$DO179) + $B$19*($DN179=$DO179))</f>
        <v>3.7037037037037035E-4</v>
      </c>
      <c r="FB179" s="10" cm="1">
        <f t="array" aca="1" ref="FB179" ca="1">(1-$B$18)*SUMPRODUCT(OFFSET($BO$15,0,0,$B$14,1), 1*(_xlfn._xlws.FILTER(OFFSET($O$15,0,$DN179,$B$8,1),OFFSET($M$15,0,0,$B$8,1))=FB$13), 1*(_xlfn._xlws.FILTER(OFFSET($O$15,0,$DO179,$B$8,1),OFFSET($M$15,0,0,$B$8,1))=FB$14))   /   SUM(OFFSET($BO$15,0,0,$B$14,1)) + $B$18/($B$19*$B$19*($DN179&lt;&gt;$DO179) + $B$19*($DN179=$DO179))</f>
        <v>3.7037037037037035E-4</v>
      </c>
      <c r="FC179" s="10" cm="1">
        <f t="array" aca="1" ref="FC179" ca="1">(1-$B$18)*SUMPRODUCT(OFFSET($BO$15,0,0,$B$14,1), 1*(_xlfn._xlws.FILTER(OFFSET($O$15,0,$DN179,$B$8,1),OFFSET($M$15,0,0,$B$8,1))=FC$13), 1*(_xlfn._xlws.FILTER(OFFSET($O$15,0,$DO179,$B$8,1),OFFSET($M$15,0,0,$B$8,1))=FC$14))   /   SUM(OFFSET($BO$15,0,0,$B$14,1)) + $B$18/($B$19*$B$19*($DN179&lt;&gt;$DO179) + $B$19*($DN179=$DO179))</f>
        <v>3.7037037037037035E-4</v>
      </c>
      <c r="FD179" s="10" cm="1">
        <f t="array" aca="1" ref="FD179" ca="1">(1-$B$18)*SUMPRODUCT(OFFSET($BO$15,0,0,$B$14,1), 1*(_xlfn._xlws.FILTER(OFFSET($O$15,0,$DN179,$B$8,1),OFFSET($M$15,0,0,$B$8,1))=FD$13), 1*(_xlfn._xlws.FILTER(OFFSET($O$15,0,$DO179,$B$8,1),OFFSET($M$15,0,0,$B$8,1))=FD$14))   /   SUM(OFFSET($BO$15,0,0,$B$14,1)) + $B$18/($B$19*$B$19*($DN179&lt;&gt;$DO179) + $B$19*($DN179=$DO179))</f>
        <v>3.7037037037037035E-4</v>
      </c>
      <c r="FE179" s="10" cm="1">
        <f t="array" aca="1" ref="FE179" ca="1">(1-$B$18)*SUMPRODUCT(OFFSET($BO$15,0,0,$B$14,1), 1*(_xlfn._xlws.FILTER(OFFSET($O$15,0,$DN179,$B$8,1),OFFSET($M$15,0,0,$B$8,1))=FE$13), 1*(_xlfn._xlws.FILTER(OFFSET($O$15,0,$DO179,$B$8,1),OFFSET($M$15,0,0,$B$8,1))=FE$14))   /   SUM(OFFSET($BO$15,0,0,$B$14,1)) + $B$18/($B$19*$B$19*($DN179&lt;&gt;$DO179) + $B$19*($DN179=$DO179))</f>
        <v>3.7037037037037035E-4</v>
      </c>
      <c r="FF179" s="10" cm="1">
        <f t="array" aca="1" ref="FF179" ca="1">(1-$B$18)*SUMPRODUCT(OFFSET($BO$15,0,0,$B$14,1), 1*(_xlfn._xlws.FILTER(OFFSET($O$15,0,$DN179,$B$8,1),OFFSET($M$15,0,0,$B$8,1))=FF$13), 1*(_xlfn._xlws.FILTER(OFFSET($O$15,0,$DO179,$B$8,1),OFFSET($M$15,0,0,$B$8,1))=FF$14))   /   SUM(OFFSET($BO$15,0,0,$B$14,1)) + $B$18/($B$19*$B$19*($DN179&lt;&gt;$DO179) + $B$19*($DN179=$DO179))</f>
        <v>3.7037037037037035E-4</v>
      </c>
      <c r="FG179" s="10" cm="1">
        <f t="array" aca="1" ref="FG179" ca="1">(1-$B$18)*SUMPRODUCT(OFFSET($BO$15,0,0,$B$14,1), 1*(_xlfn._xlws.FILTER(OFFSET($O$15,0,$DN179,$B$8,1),OFFSET($M$15,0,0,$B$8,1))=FG$13), 1*(_xlfn._xlws.FILTER(OFFSET($O$15,0,$DO179,$B$8,1),OFFSET($M$15,0,0,$B$8,1))=FG$14))   /   SUM(OFFSET($BO$15,0,0,$B$14,1)) + $B$18/($B$19*$B$19*($DN179&lt;&gt;$DO179) + $B$19*($DN179=$DO179))</f>
        <v>3.7037037037037035E-4</v>
      </c>
      <c r="FH179" s="10" cm="1">
        <f t="array" aca="1" ref="FH179" ca="1">(1-$B$18)*SUMPRODUCT(OFFSET($BO$15,0,0,$B$14,1), 1*(_xlfn._xlws.FILTER(OFFSET($O$15,0,$DN179,$B$8,1),OFFSET($M$15,0,0,$B$8,1))=FH$13), 1*(_xlfn._xlws.FILTER(OFFSET($O$15,0,$DO179,$B$8,1),OFFSET($M$15,0,0,$B$8,1))=FH$14))   /   SUM(OFFSET($BO$15,0,0,$B$14,1)) + $B$18/($B$19*$B$19*($DN179&lt;&gt;$DO179) + $B$19*($DN179=$DO179))</f>
        <v>3.7037037037037035E-4</v>
      </c>
      <c r="FI179" s="10" cm="1">
        <f t="array" aca="1" ref="FI179" ca="1">(1-$B$18)*SUMPRODUCT(OFFSET($BO$15,0,0,$B$14,1), 1*(_xlfn._xlws.FILTER(OFFSET($O$15,0,$DN179,$B$8,1),OFFSET($M$15,0,0,$B$8,1))=FI$13), 1*(_xlfn._xlws.FILTER(OFFSET($O$15,0,$DO179,$B$8,1),OFFSET($M$15,0,0,$B$8,1))=FI$14))   /   SUM(OFFSET($BO$15,0,0,$B$14,1)) + $B$18/($B$19*$B$19*($DN179&lt;&gt;$DO179) + $B$19*($DN179=$DO179))</f>
        <v>3.7037037037037035E-4</v>
      </c>
      <c r="FJ179" s="10" cm="1">
        <f t="array" aca="1" ref="FJ179" ca="1">(1-$B$18)*SUMPRODUCT(OFFSET($BO$15,0,0,$B$14,1), 1*(_xlfn._xlws.FILTER(OFFSET($O$15,0,$DN179,$B$8,1),OFFSET($M$15,0,0,$B$8,1))=FJ$13), 1*(_xlfn._xlws.FILTER(OFFSET($O$15,0,$DO179,$B$8,1),OFFSET($M$15,0,0,$B$8,1))=FJ$14))   /   SUM(OFFSET($BO$15,0,0,$B$14,1)) + $B$18/($B$19*$B$19*($DN179&lt;&gt;$DO179) + $B$19*($DN179=$DO179))</f>
        <v>3.7037037037037035E-4</v>
      </c>
      <c r="FK179" s="10" cm="1">
        <f t="array" aca="1" ref="FK179" ca="1">(1-$B$18)*SUMPRODUCT(OFFSET($BO$15,0,0,$B$14,1), 1*(_xlfn._xlws.FILTER(OFFSET($O$15,0,$DN179,$B$8,1),OFFSET($M$15,0,0,$B$8,1))=FK$13), 1*(_xlfn._xlws.FILTER(OFFSET($O$15,0,$DO179,$B$8,1),OFFSET($M$15,0,0,$B$8,1))=FK$14))   /   SUM(OFFSET($BO$15,0,0,$B$14,1)) + $B$18/($B$19*$B$19*($DN179&lt;&gt;$DO179) + $B$19*($DN179=$DO179))</f>
        <v>3.7037037037037035E-4</v>
      </c>
      <c r="FL179" s="10" cm="1">
        <f t="array" aca="1" ref="FL179" ca="1">(1-$B$18)*SUMPRODUCT(OFFSET($BO$15,0,0,$B$14,1), 1*(_xlfn._xlws.FILTER(OFFSET($O$15,0,$DN179,$B$8,1),OFFSET($M$15,0,0,$B$8,1))=FL$13), 1*(_xlfn._xlws.FILTER(OFFSET($O$15,0,$DO179,$B$8,1),OFFSET($M$15,0,0,$B$8,1))=FL$14))   /   SUM(OFFSET($BO$15,0,0,$B$14,1)) + $B$18/($B$19*$B$19*($DN179&lt;&gt;$DO179) + $B$19*($DN179=$DO179))</f>
        <v>3.7037037037037035E-4</v>
      </c>
      <c r="FM179" s="10" cm="1">
        <f t="array" aca="1" ref="FM179" ca="1">(1-$B$18)*SUMPRODUCT(OFFSET($BO$15,0,0,$B$14,1), 1*(_xlfn._xlws.FILTER(OFFSET($O$15,0,$DN179,$B$8,1),OFFSET($M$15,0,0,$B$8,1))=FM$13), 1*(_xlfn._xlws.FILTER(OFFSET($O$15,0,$DO179,$B$8,1),OFFSET($M$15,0,0,$B$8,1))=FM$14))   /   SUM(OFFSET($BO$15,0,0,$B$14,1)) + $B$18/($B$19*$B$19*($DN179&lt;&gt;$DO179) + $B$19*($DN179=$DO179))</f>
        <v>0.97037037037037033</v>
      </c>
      <c r="FN179" s="10" cm="1">
        <f t="array" aca="1" ref="FN179" ca="1">(1-$B$18)*SUMPRODUCT(OFFSET($BO$15,0,0,$B$14,1), 1*(_xlfn._xlws.FILTER(OFFSET($O$15,0,$DN179,$B$8,1),OFFSET($M$15,0,0,$B$8,1))=FN$13), 1*(_xlfn._xlws.FILTER(OFFSET($O$15,0,$DO179,$B$8,1),OFFSET($M$15,0,0,$B$8,1))=FN$14))   /   SUM(OFFSET($BO$15,0,0,$B$14,1)) + $B$18/($B$19*$B$19*($DN179&lt;&gt;$DO179) + $B$19*($DN179=$DO179))</f>
        <v>3.7037037037037035E-4</v>
      </c>
      <c r="FO179" s="10" cm="1">
        <f t="array" aca="1" ref="FO179" ca="1">(1-$B$18)*SUMPRODUCT(OFFSET($BO$15,0,0,$B$14,1), 1*(_xlfn._xlws.FILTER(OFFSET($O$15,0,$DN179,$B$8,1),OFFSET($M$15,0,0,$B$8,1))=FO$13), 1*(_xlfn._xlws.FILTER(OFFSET($O$15,0,$DO179,$B$8,1),OFFSET($M$15,0,0,$B$8,1))=FO$14))   /   SUM(OFFSET($BO$15,0,0,$B$14,1)) + $B$18/($B$19*$B$19*($DN179&lt;&gt;$DO179) + $B$19*($DN179=$DO179))</f>
        <v>3.7037037037037035E-4</v>
      </c>
      <c r="FP179" s="10" cm="1">
        <f t="array" aca="1" ref="FP179" ca="1">(1-$B$18)*SUMPRODUCT(OFFSET($BO$15,0,0,$B$14,1), 1*(_xlfn._xlws.FILTER(OFFSET($O$15,0,$DN179,$B$8,1),OFFSET($M$15,0,0,$B$8,1))=FP$13), 1*(_xlfn._xlws.FILTER(OFFSET($O$15,0,$DO179,$B$8,1),OFFSET($M$15,0,0,$B$8,1))=FP$14))   /   SUM(OFFSET($BO$15,0,0,$B$14,1)) + $B$18/($B$19*$B$19*($DN179&lt;&gt;$DO179) + $B$19*($DN179=$DO179))</f>
        <v>3.7037037037037035E-4</v>
      </c>
      <c r="FQ179" s="10" cm="1">
        <f t="array" aca="1" ref="FQ179" ca="1">(1-$B$18)*SUMPRODUCT(OFFSET($BO$15,0,0,$B$14,1), 1*(_xlfn._xlws.FILTER(OFFSET($O$15,0,$DN179,$B$8,1),OFFSET($M$15,0,0,$B$8,1))=FQ$13), 1*(_xlfn._xlws.FILTER(OFFSET($O$15,0,$DO179,$B$8,1),OFFSET($M$15,0,0,$B$8,1))=FQ$14))   /   SUM(OFFSET($BO$15,0,0,$B$14,1)) + $B$18/($B$19*$B$19*($DN179&lt;&gt;$DO179) + $B$19*($DN179=$DO179))</f>
        <v>3.7037037037037035E-4</v>
      </c>
      <c r="FR179" s="10" cm="1">
        <f t="array" aca="1" ref="FR179" ca="1">(1-$B$18)*SUMPRODUCT(OFFSET($BO$15,0,0,$B$14,1), 1*(_xlfn._xlws.FILTER(OFFSET($O$15,0,$DN179,$B$8,1),OFFSET($M$15,0,0,$B$8,1))=FR$13), 1*(_xlfn._xlws.FILTER(OFFSET($O$15,0,$DO179,$B$8,1),OFFSET($M$15,0,0,$B$8,1))=FR$14))   /   SUM(OFFSET($BO$15,0,0,$B$14,1)) + $B$18/($B$19*$B$19*($DN179&lt;&gt;$DO179) + $B$19*($DN179=$DO179))</f>
        <v>3.7037037037037035E-4</v>
      </c>
      <c r="FS179" s="10" cm="1">
        <f t="array" aca="1" ref="FS179" ca="1">(1-$B$18)*SUMPRODUCT(OFFSET($BO$15,0,0,$B$14,1), 1*(_xlfn._xlws.FILTER(OFFSET($O$15,0,$DN179,$B$8,1),OFFSET($M$15,0,0,$B$8,1))=FS$13), 1*(_xlfn._xlws.FILTER(OFFSET($O$15,0,$DO179,$B$8,1),OFFSET($M$15,0,0,$B$8,1))=FS$14))   /   SUM(OFFSET($BO$15,0,0,$B$14,1)) + $B$18/($B$19*$B$19*($DN179&lt;&gt;$DO179) + $B$19*($DN179=$DO179))</f>
        <v>3.7037037037037035E-4</v>
      </c>
      <c r="FT179" s="10" cm="1">
        <f t="array" aca="1" ref="FT179" ca="1">(1-$B$18)*SUMPRODUCT(OFFSET($BO$15,0,0,$B$14,1), 1*(_xlfn._xlws.FILTER(OFFSET($O$15,0,$DN179,$B$8,1),OFFSET($M$15,0,0,$B$8,1))=FT$13), 1*(_xlfn._xlws.FILTER(OFFSET($O$15,0,$DO179,$B$8,1),OFFSET($M$15,0,0,$B$8,1))=FT$14))   /   SUM(OFFSET($BO$15,0,0,$B$14,1)) + $B$18/($B$19*$B$19*($DN179&lt;&gt;$DO179) + $B$19*($DN179=$DO179))</f>
        <v>3.7037037037037035E-4</v>
      </c>
      <c r="FU179" s="10" cm="1">
        <f t="array" aca="1" ref="FU179" ca="1">(1-$B$18)*SUMPRODUCT(OFFSET($BO$15,0,0,$B$14,1), 1*(_xlfn._xlws.FILTER(OFFSET($O$15,0,$DN179,$B$8,1),OFFSET($M$15,0,0,$B$8,1))=FU$13), 1*(_xlfn._xlws.FILTER(OFFSET($O$15,0,$DO179,$B$8,1),OFFSET($M$15,0,0,$B$8,1))=FU$14))   /   SUM(OFFSET($BO$15,0,0,$B$14,1)) + $B$18/($B$19*$B$19*($DN179&lt;&gt;$DO179) + $B$19*($DN179=$DO179))</f>
        <v>3.7037037037037035E-4</v>
      </c>
      <c r="FV179" s="10" cm="1">
        <f t="array" aca="1" ref="FV179" ca="1">(1-$B$18)*SUMPRODUCT(OFFSET($BO$15,0,0,$B$14,1), 1*(_xlfn._xlws.FILTER(OFFSET($O$15,0,$DN179,$B$8,1),OFFSET($M$15,0,0,$B$8,1))=FV$13), 1*(_xlfn._xlws.FILTER(OFFSET($O$15,0,$DO179,$B$8,1),OFFSET($M$15,0,0,$B$8,1))=FV$14))   /   SUM(OFFSET($BO$15,0,0,$B$14,1)) + $B$18/($B$19*$B$19*($DN179&lt;&gt;$DO179) + $B$19*($DN179=$DO179))</f>
        <v>3.7037037037037035E-4</v>
      </c>
      <c r="FW179" s="10" cm="1">
        <f t="array" aca="1" ref="FW179" ca="1">(1-$B$18)*SUMPRODUCT(OFFSET($BO$15,0,0,$B$14,1), 1*(_xlfn._xlws.FILTER(OFFSET($O$15,0,$DN179,$B$8,1),OFFSET($M$15,0,0,$B$8,1))=FW$13), 1*(_xlfn._xlws.FILTER(OFFSET($O$15,0,$DO179,$B$8,1),OFFSET($M$15,0,0,$B$8,1))=FW$14))   /   SUM(OFFSET($BO$15,0,0,$B$14,1)) + $B$18/($B$19*$B$19*($DN179&lt;&gt;$DO179) + $B$19*($DN179=$DO179))</f>
        <v>3.7037037037037035E-4</v>
      </c>
      <c r="FX179" s="10" cm="1">
        <f t="array" aca="1" ref="FX179" ca="1">(1-$B$18)*SUMPRODUCT(OFFSET($BO$15,0,0,$B$14,1), 1*(_xlfn._xlws.FILTER(OFFSET($O$15,0,$DN179,$B$8,1),OFFSET($M$15,0,0,$B$8,1))=FX$13), 1*(_xlfn._xlws.FILTER(OFFSET($O$15,0,$DO179,$B$8,1),OFFSET($M$15,0,0,$B$8,1))=FX$14))   /   SUM(OFFSET($BO$15,0,0,$B$14,1)) + $B$18/($B$19*$B$19*($DN179&lt;&gt;$DO179) + $B$19*($DN179=$DO179))</f>
        <v>3.7037037037037035E-4</v>
      </c>
      <c r="FY179" s="10" cm="1">
        <f t="array" aca="1" ref="FY179" ca="1">(1-$B$18)*SUMPRODUCT(OFFSET($BO$15,0,0,$B$14,1), 1*(_xlfn._xlws.FILTER(OFFSET($O$15,0,$DN179,$B$8,1),OFFSET($M$15,0,0,$B$8,1))=FY$13), 1*(_xlfn._xlws.FILTER(OFFSET($O$15,0,$DO179,$B$8,1),OFFSET($M$15,0,0,$B$8,1))=FY$14))   /   SUM(OFFSET($BO$15,0,0,$B$14,1)) + $B$18/($B$19*$B$19*($DN179&lt;&gt;$DO179) + $B$19*($DN179=$DO179))</f>
        <v>3.7037037037037035E-4</v>
      </c>
      <c r="FZ179" s="10" cm="1">
        <f t="array" aca="1" ref="FZ179" ca="1">(1-$B$18)*SUMPRODUCT(OFFSET($BO$15,0,0,$B$14,1), 1*(_xlfn._xlws.FILTER(OFFSET($O$15,0,$DN179,$B$8,1),OFFSET($M$15,0,0,$B$8,1))=FZ$13), 1*(_xlfn._xlws.FILTER(OFFSET($O$15,0,$DO179,$B$8,1),OFFSET($M$15,0,0,$B$8,1))=FZ$14))   /   SUM(OFFSET($BO$15,0,0,$B$14,1)) + $B$18/($B$19*$B$19*($DN179&lt;&gt;$DO179) + $B$19*($DN179=$DO179))</f>
        <v>3.7037037037037035E-4</v>
      </c>
      <c r="GA179" s="10" cm="1">
        <f t="array" aca="1" ref="GA179" ca="1">(1-$B$18)*SUMPRODUCT(OFFSET($BO$15,0,0,$B$14,1), 1*(_xlfn._xlws.FILTER(OFFSET($O$15,0,$DN179,$B$8,1),OFFSET($M$15,0,0,$B$8,1))=GA$13), 1*(_xlfn._xlws.FILTER(OFFSET($O$15,0,$DO179,$B$8,1),OFFSET($M$15,0,0,$B$8,1))=GA$14))   /   SUM(OFFSET($BO$15,0,0,$B$14,1)) + $B$18/($B$19*$B$19*($DN179&lt;&gt;$DO179) + $B$19*($DN179=$DO179))</f>
        <v>3.7037037037037035E-4</v>
      </c>
    </row>
    <row r="180" spans="118:183" x14ac:dyDescent="0.2">
      <c r="DN180" cm="1">
        <f t="array" aca="1" ref="DN180" ca="1">INDEX(_xlfn.ANCHORARRAY($CP$15), 1 + INT((ROWS($DO$15:$DO180) - 1) / ROWS(_xlfn.ANCHORARRAY($CP$15))))</f>
        <v>8</v>
      </c>
      <c r="DO180" cm="1">
        <f t="array" aca="1" ref="DO180" ca="1">INDEX(_xlfn.ANCHORARRAY($CP$15),1+MOD(ROWS($DO$15:$DO180)-1,ROWS(_xlfn.ANCHORARRAY($CP$15))))</f>
        <v>14</v>
      </c>
      <c r="DP180" s="10" cm="1">
        <f t="array" aca="1" ref="DP180" ca="1">(1-$B$18)*SUMPRODUCT(OFFSET($BO$15,0,0,$B$14,1), 1*(_xlfn._xlws.FILTER(OFFSET($O$15,0,$DN180,$B$8,1),OFFSET($M$15,0,0,$B$8,1))=DP$13), 1*(_xlfn._xlws.FILTER(OFFSET($O$15,0,$DO180,$B$8,1),OFFSET($M$15,0,0,$B$8,1))=DP$14))   /   SUM(OFFSET($BO$15,0,0,$B$14,1)) + $B$18/($B$19*$B$19*($DN180&lt;&gt;$DO180) + $B$19*($DN180=$DO180))</f>
        <v>3.7037037037037035E-4</v>
      </c>
      <c r="DQ180" s="10" cm="1">
        <f t="array" aca="1" ref="DQ180" ca="1">(1-$B$18)*SUMPRODUCT(OFFSET($BO$15,0,0,$B$14,1), 1*(_xlfn._xlws.FILTER(OFFSET($O$15,0,$DN180,$B$8,1),OFFSET($M$15,0,0,$B$8,1))=DQ$13), 1*(_xlfn._xlws.FILTER(OFFSET($O$15,0,$DO180,$B$8,1),OFFSET($M$15,0,0,$B$8,1))=DQ$14))   /   SUM(OFFSET($BO$15,0,0,$B$14,1)) + $B$18/($B$19*$B$19*($DN180&lt;&gt;$DO180) + $B$19*($DN180=$DO180))</f>
        <v>3.7037037037037035E-4</v>
      </c>
      <c r="DR180" s="10" cm="1">
        <f t="array" aca="1" ref="DR180" ca="1">(1-$B$18)*SUMPRODUCT(OFFSET($BO$15,0,0,$B$14,1), 1*(_xlfn._xlws.FILTER(OFFSET($O$15,0,$DN180,$B$8,1),OFFSET($M$15,0,0,$B$8,1))=DR$13), 1*(_xlfn._xlws.FILTER(OFFSET($O$15,0,$DO180,$B$8,1),OFFSET($M$15,0,0,$B$8,1))=DR$14))   /   SUM(OFFSET($BO$15,0,0,$B$14,1)) + $B$18/($B$19*$B$19*($DN180&lt;&gt;$DO180) + $B$19*($DN180=$DO180))</f>
        <v>3.7037037037037035E-4</v>
      </c>
      <c r="DS180" s="10" cm="1">
        <f t="array" aca="1" ref="DS180" ca="1">(1-$B$18)*SUMPRODUCT(OFFSET($BO$15,0,0,$B$14,1), 1*(_xlfn._xlws.FILTER(OFFSET($O$15,0,$DN180,$B$8,1),OFFSET($M$15,0,0,$B$8,1))=DS$13), 1*(_xlfn._xlws.FILTER(OFFSET($O$15,0,$DO180,$B$8,1),OFFSET($M$15,0,0,$B$8,1))=DS$14))   /   SUM(OFFSET($BO$15,0,0,$B$14,1)) + $B$18/($B$19*$B$19*($DN180&lt;&gt;$DO180) + $B$19*($DN180=$DO180))</f>
        <v>3.7037037037037035E-4</v>
      </c>
      <c r="DT180" s="10" cm="1">
        <f t="array" aca="1" ref="DT180" ca="1">(1-$B$18)*SUMPRODUCT(OFFSET($BO$15,0,0,$B$14,1), 1*(_xlfn._xlws.FILTER(OFFSET($O$15,0,$DN180,$B$8,1),OFFSET($M$15,0,0,$B$8,1))=DT$13), 1*(_xlfn._xlws.FILTER(OFFSET($O$15,0,$DO180,$B$8,1),OFFSET($M$15,0,0,$B$8,1))=DT$14))   /   SUM(OFFSET($BO$15,0,0,$B$14,1)) + $B$18/($B$19*$B$19*($DN180&lt;&gt;$DO180) + $B$19*($DN180=$DO180))</f>
        <v>3.7037037037037035E-4</v>
      </c>
      <c r="DU180" s="10" cm="1">
        <f t="array" aca="1" ref="DU180" ca="1">(1-$B$18)*SUMPRODUCT(OFFSET($BO$15,0,0,$B$14,1), 1*(_xlfn._xlws.FILTER(OFFSET($O$15,0,$DN180,$B$8,1),OFFSET($M$15,0,0,$B$8,1))=DU$13), 1*(_xlfn._xlws.FILTER(OFFSET($O$15,0,$DO180,$B$8,1),OFFSET($M$15,0,0,$B$8,1))=DU$14))   /   SUM(OFFSET($BO$15,0,0,$B$14,1)) + $B$18/($B$19*$B$19*($DN180&lt;&gt;$DO180) + $B$19*($DN180=$DO180))</f>
        <v>3.7037037037037035E-4</v>
      </c>
      <c r="DV180" s="10" cm="1">
        <f t="array" aca="1" ref="DV180" ca="1">(1-$B$18)*SUMPRODUCT(OFFSET($BO$15,0,0,$B$14,1), 1*(_xlfn._xlws.FILTER(OFFSET($O$15,0,$DN180,$B$8,1),OFFSET($M$15,0,0,$B$8,1))=DV$13), 1*(_xlfn._xlws.FILTER(OFFSET($O$15,0,$DO180,$B$8,1),OFFSET($M$15,0,0,$B$8,1))=DV$14))   /   SUM(OFFSET($BO$15,0,0,$B$14,1)) + $B$18/($B$19*$B$19*($DN180&lt;&gt;$DO180) + $B$19*($DN180=$DO180))</f>
        <v>3.7037037037037035E-4</v>
      </c>
      <c r="DW180" s="10" cm="1">
        <f t="array" aca="1" ref="DW180" ca="1">(1-$B$18)*SUMPRODUCT(OFFSET($BO$15,0,0,$B$14,1), 1*(_xlfn._xlws.FILTER(OFFSET($O$15,0,$DN180,$B$8,1),OFFSET($M$15,0,0,$B$8,1))=DW$13), 1*(_xlfn._xlws.FILTER(OFFSET($O$15,0,$DO180,$B$8,1),OFFSET($M$15,0,0,$B$8,1))=DW$14))   /   SUM(OFFSET($BO$15,0,0,$B$14,1)) + $B$18/($B$19*$B$19*($DN180&lt;&gt;$DO180) + $B$19*($DN180=$DO180))</f>
        <v>3.7037037037037035E-4</v>
      </c>
      <c r="DX180" s="10" cm="1">
        <f t="array" aca="1" ref="DX180" ca="1">(1-$B$18)*SUMPRODUCT(OFFSET($BO$15,0,0,$B$14,1), 1*(_xlfn._xlws.FILTER(OFFSET($O$15,0,$DN180,$B$8,1),OFFSET($M$15,0,0,$B$8,1))=DX$13), 1*(_xlfn._xlws.FILTER(OFFSET($O$15,0,$DO180,$B$8,1),OFFSET($M$15,0,0,$B$8,1))=DX$14))   /   SUM(OFFSET($BO$15,0,0,$B$14,1)) + $B$18/($B$19*$B$19*($DN180&lt;&gt;$DO180) + $B$19*($DN180=$DO180))</f>
        <v>3.7037037037037035E-4</v>
      </c>
      <c r="DY180" s="10" cm="1">
        <f t="array" aca="1" ref="DY180" ca="1">(1-$B$18)*SUMPRODUCT(OFFSET($BO$15,0,0,$B$14,1), 1*(_xlfn._xlws.FILTER(OFFSET($O$15,0,$DN180,$B$8,1),OFFSET($M$15,0,0,$B$8,1))=DY$13), 1*(_xlfn._xlws.FILTER(OFFSET($O$15,0,$DO180,$B$8,1),OFFSET($M$15,0,0,$B$8,1))=DY$14))   /   SUM(OFFSET($BO$15,0,0,$B$14,1)) + $B$18/($B$19*$B$19*($DN180&lt;&gt;$DO180) + $B$19*($DN180=$DO180))</f>
        <v>3.7037037037037035E-4</v>
      </c>
      <c r="DZ180" s="10" cm="1">
        <f t="array" aca="1" ref="DZ180" ca="1">(1-$B$18)*SUMPRODUCT(OFFSET($BO$15,0,0,$B$14,1), 1*(_xlfn._xlws.FILTER(OFFSET($O$15,0,$DN180,$B$8,1),OFFSET($M$15,0,0,$B$8,1))=DZ$13), 1*(_xlfn._xlws.FILTER(OFFSET($O$15,0,$DO180,$B$8,1),OFFSET($M$15,0,0,$B$8,1))=DZ$14))   /   SUM(OFFSET($BO$15,0,0,$B$14,1)) + $B$18/($B$19*$B$19*($DN180&lt;&gt;$DO180) + $B$19*($DN180=$DO180))</f>
        <v>3.7037037037037035E-4</v>
      </c>
      <c r="EA180" s="10" cm="1">
        <f t="array" aca="1" ref="EA180" ca="1">(1-$B$18)*SUMPRODUCT(OFFSET($BO$15,0,0,$B$14,1), 1*(_xlfn._xlws.FILTER(OFFSET($O$15,0,$DN180,$B$8,1),OFFSET($M$15,0,0,$B$8,1))=EA$13), 1*(_xlfn._xlws.FILTER(OFFSET($O$15,0,$DO180,$B$8,1),OFFSET($M$15,0,0,$B$8,1))=EA$14))   /   SUM(OFFSET($BO$15,0,0,$B$14,1)) + $B$18/($B$19*$B$19*($DN180&lt;&gt;$DO180) + $B$19*($DN180=$DO180))</f>
        <v>3.7037037037037035E-4</v>
      </c>
      <c r="EB180" s="10" cm="1">
        <f t="array" aca="1" ref="EB180" ca="1">(1-$B$18)*SUMPRODUCT(OFFSET($BO$15,0,0,$B$14,1), 1*(_xlfn._xlws.FILTER(OFFSET($O$15,0,$DN180,$B$8,1),OFFSET($M$15,0,0,$B$8,1))=EB$13), 1*(_xlfn._xlws.FILTER(OFFSET($O$15,0,$DO180,$B$8,1),OFFSET($M$15,0,0,$B$8,1))=EB$14))   /   SUM(OFFSET($BO$15,0,0,$B$14,1)) + $B$18/($B$19*$B$19*($DN180&lt;&gt;$DO180) + $B$19*($DN180=$DO180))</f>
        <v>3.7037037037037035E-4</v>
      </c>
      <c r="EC180" s="10" cm="1">
        <f t="array" aca="1" ref="EC180" ca="1">(1-$B$18)*SUMPRODUCT(OFFSET($BO$15,0,0,$B$14,1), 1*(_xlfn._xlws.FILTER(OFFSET($O$15,0,$DN180,$B$8,1),OFFSET($M$15,0,0,$B$8,1))=EC$13), 1*(_xlfn._xlws.FILTER(OFFSET($O$15,0,$DO180,$B$8,1),OFFSET($M$15,0,0,$B$8,1))=EC$14))   /   SUM(OFFSET($BO$15,0,0,$B$14,1)) + $B$18/($B$19*$B$19*($DN180&lt;&gt;$DO180) + $B$19*($DN180=$DO180))</f>
        <v>3.7037037037037035E-4</v>
      </c>
      <c r="ED180" s="10" cm="1">
        <f t="array" aca="1" ref="ED180" ca="1">(1-$B$18)*SUMPRODUCT(OFFSET($BO$15,0,0,$B$14,1), 1*(_xlfn._xlws.FILTER(OFFSET($O$15,0,$DN180,$B$8,1),OFFSET($M$15,0,0,$B$8,1))=ED$13), 1*(_xlfn._xlws.FILTER(OFFSET($O$15,0,$DO180,$B$8,1),OFFSET($M$15,0,0,$B$8,1))=ED$14))   /   SUM(OFFSET($BO$15,0,0,$B$14,1)) + $B$18/($B$19*$B$19*($DN180&lt;&gt;$DO180) + $B$19*($DN180=$DO180))</f>
        <v>3.7037037037037035E-4</v>
      </c>
      <c r="EE180" s="10" cm="1">
        <f t="array" aca="1" ref="EE180" ca="1">(1-$B$18)*SUMPRODUCT(OFFSET($BO$15,0,0,$B$14,1), 1*(_xlfn._xlws.FILTER(OFFSET($O$15,0,$DN180,$B$8,1),OFFSET($M$15,0,0,$B$8,1))=EE$13), 1*(_xlfn._xlws.FILTER(OFFSET($O$15,0,$DO180,$B$8,1),OFFSET($M$15,0,0,$B$8,1))=EE$14))   /   SUM(OFFSET($BO$15,0,0,$B$14,1)) + $B$18/($B$19*$B$19*($DN180&lt;&gt;$DO180) + $B$19*($DN180=$DO180))</f>
        <v>3.7037037037037035E-4</v>
      </c>
      <c r="EF180" s="10" cm="1">
        <f t="array" aca="1" ref="EF180" ca="1">(1-$B$18)*SUMPRODUCT(OFFSET($BO$15,0,0,$B$14,1), 1*(_xlfn._xlws.FILTER(OFFSET($O$15,0,$DN180,$B$8,1),OFFSET($M$15,0,0,$B$8,1))=EF$13), 1*(_xlfn._xlws.FILTER(OFFSET($O$15,0,$DO180,$B$8,1),OFFSET($M$15,0,0,$B$8,1))=EF$14))   /   SUM(OFFSET($BO$15,0,0,$B$14,1)) + $B$18/($B$19*$B$19*($DN180&lt;&gt;$DO180) + $B$19*($DN180=$DO180))</f>
        <v>3.7037037037037035E-4</v>
      </c>
      <c r="EG180" s="10" cm="1">
        <f t="array" aca="1" ref="EG180" ca="1">(1-$B$18)*SUMPRODUCT(OFFSET($BO$15,0,0,$B$14,1), 1*(_xlfn._xlws.FILTER(OFFSET($O$15,0,$DN180,$B$8,1),OFFSET($M$15,0,0,$B$8,1))=EG$13), 1*(_xlfn._xlws.FILTER(OFFSET($O$15,0,$DO180,$B$8,1),OFFSET($M$15,0,0,$B$8,1))=EG$14))   /   SUM(OFFSET($BO$15,0,0,$B$14,1)) + $B$18/($B$19*$B$19*($DN180&lt;&gt;$DO180) + $B$19*($DN180=$DO180))</f>
        <v>3.7037037037037035E-4</v>
      </c>
      <c r="EH180" s="10" cm="1">
        <f t="array" aca="1" ref="EH180" ca="1">(1-$B$18)*SUMPRODUCT(OFFSET($BO$15,0,0,$B$14,1), 1*(_xlfn._xlws.FILTER(OFFSET($O$15,0,$DN180,$B$8,1),OFFSET($M$15,0,0,$B$8,1))=EH$13), 1*(_xlfn._xlws.FILTER(OFFSET($O$15,0,$DO180,$B$8,1),OFFSET($M$15,0,0,$B$8,1))=EH$14))   /   SUM(OFFSET($BO$15,0,0,$B$14,1)) + $B$18/($B$19*$B$19*($DN180&lt;&gt;$DO180) + $B$19*($DN180=$DO180))</f>
        <v>3.7037037037037035E-4</v>
      </c>
      <c r="EI180" s="10" cm="1">
        <f t="array" aca="1" ref="EI180" ca="1">(1-$B$18)*SUMPRODUCT(OFFSET($BO$15,0,0,$B$14,1), 1*(_xlfn._xlws.FILTER(OFFSET($O$15,0,$DN180,$B$8,1),OFFSET($M$15,0,0,$B$8,1))=EI$13), 1*(_xlfn._xlws.FILTER(OFFSET($O$15,0,$DO180,$B$8,1),OFFSET($M$15,0,0,$B$8,1))=EI$14))   /   SUM(OFFSET($BO$15,0,0,$B$14,1)) + $B$18/($B$19*$B$19*($DN180&lt;&gt;$DO180) + $B$19*($DN180=$DO180))</f>
        <v>3.7037037037037035E-4</v>
      </c>
      <c r="EJ180" s="10" cm="1">
        <f t="array" aca="1" ref="EJ180" ca="1">(1-$B$18)*SUMPRODUCT(OFFSET($BO$15,0,0,$B$14,1), 1*(_xlfn._xlws.FILTER(OFFSET($O$15,0,$DN180,$B$8,1),OFFSET($M$15,0,0,$B$8,1))=EJ$13), 1*(_xlfn._xlws.FILTER(OFFSET($O$15,0,$DO180,$B$8,1),OFFSET($M$15,0,0,$B$8,1))=EJ$14))   /   SUM(OFFSET($BO$15,0,0,$B$14,1)) + $B$18/($B$19*$B$19*($DN180&lt;&gt;$DO180) + $B$19*($DN180=$DO180))</f>
        <v>3.7037037037037035E-4</v>
      </c>
      <c r="EK180" s="10" cm="1">
        <f t="array" aca="1" ref="EK180" ca="1">(1-$B$18)*SUMPRODUCT(OFFSET($BO$15,0,0,$B$14,1), 1*(_xlfn._xlws.FILTER(OFFSET($O$15,0,$DN180,$B$8,1),OFFSET($M$15,0,0,$B$8,1))=EK$13), 1*(_xlfn._xlws.FILTER(OFFSET($O$15,0,$DO180,$B$8,1),OFFSET($M$15,0,0,$B$8,1))=EK$14))   /   SUM(OFFSET($BO$15,0,0,$B$14,1)) + $B$18/($B$19*$B$19*($DN180&lt;&gt;$DO180) + $B$19*($DN180=$DO180))</f>
        <v>3.7037037037037035E-4</v>
      </c>
      <c r="EL180" s="10" cm="1">
        <f t="array" aca="1" ref="EL180" ca="1">(1-$B$18)*SUMPRODUCT(OFFSET($BO$15,0,0,$B$14,1), 1*(_xlfn._xlws.FILTER(OFFSET($O$15,0,$DN180,$B$8,1),OFFSET($M$15,0,0,$B$8,1))=EL$13), 1*(_xlfn._xlws.FILTER(OFFSET($O$15,0,$DO180,$B$8,1),OFFSET($M$15,0,0,$B$8,1))=EL$14))   /   SUM(OFFSET($BO$15,0,0,$B$14,1)) + $B$18/($B$19*$B$19*($DN180&lt;&gt;$DO180) + $B$19*($DN180=$DO180))</f>
        <v>3.7037037037037035E-4</v>
      </c>
      <c r="EM180" s="10" cm="1">
        <f t="array" aca="1" ref="EM180" ca="1">(1-$B$18)*SUMPRODUCT(OFFSET($BO$15,0,0,$B$14,1), 1*(_xlfn._xlws.FILTER(OFFSET($O$15,0,$DN180,$B$8,1),OFFSET($M$15,0,0,$B$8,1))=EM$13), 1*(_xlfn._xlws.FILTER(OFFSET($O$15,0,$DO180,$B$8,1),OFFSET($M$15,0,0,$B$8,1))=EM$14))   /   SUM(OFFSET($BO$15,0,0,$B$14,1)) + $B$18/($B$19*$B$19*($DN180&lt;&gt;$DO180) + $B$19*($DN180=$DO180))</f>
        <v>3.7037037037037035E-4</v>
      </c>
      <c r="EN180" s="10" cm="1">
        <f t="array" aca="1" ref="EN180" ca="1">(1-$B$18)*SUMPRODUCT(OFFSET($BO$15,0,0,$B$14,1), 1*(_xlfn._xlws.FILTER(OFFSET($O$15,0,$DN180,$B$8,1),OFFSET($M$15,0,0,$B$8,1))=EN$13), 1*(_xlfn._xlws.FILTER(OFFSET($O$15,0,$DO180,$B$8,1),OFFSET($M$15,0,0,$B$8,1))=EN$14))   /   SUM(OFFSET($BO$15,0,0,$B$14,1)) + $B$18/($B$19*$B$19*($DN180&lt;&gt;$DO180) + $B$19*($DN180=$DO180))</f>
        <v>3.7037037037037035E-4</v>
      </c>
      <c r="EO180" s="10" cm="1">
        <f t="array" aca="1" ref="EO180" ca="1">(1-$B$18)*SUMPRODUCT(OFFSET($BO$15,0,0,$B$14,1), 1*(_xlfn._xlws.FILTER(OFFSET($O$15,0,$DN180,$B$8,1),OFFSET($M$15,0,0,$B$8,1))=EO$13), 1*(_xlfn._xlws.FILTER(OFFSET($O$15,0,$DO180,$B$8,1),OFFSET($M$15,0,0,$B$8,1))=EO$14))   /   SUM(OFFSET($BO$15,0,0,$B$14,1)) + $B$18/($B$19*$B$19*($DN180&lt;&gt;$DO180) + $B$19*($DN180=$DO180))</f>
        <v>3.7037037037037035E-4</v>
      </c>
      <c r="EP180" s="10" cm="1">
        <f t="array" aca="1" ref="EP180" ca="1">(1-$B$18)*SUMPRODUCT(OFFSET($BO$15,0,0,$B$14,1), 1*(_xlfn._xlws.FILTER(OFFSET($O$15,0,$DN180,$B$8,1),OFFSET($M$15,0,0,$B$8,1))=EP$13), 1*(_xlfn._xlws.FILTER(OFFSET($O$15,0,$DO180,$B$8,1),OFFSET($M$15,0,0,$B$8,1))=EP$14))   /   SUM(OFFSET($BO$15,0,0,$B$14,1)) + $B$18/($B$19*$B$19*($DN180&lt;&gt;$DO180) + $B$19*($DN180=$DO180))</f>
        <v>3.7037037037037035E-4</v>
      </c>
      <c r="EQ180" s="10" cm="1">
        <f t="array" aca="1" ref="EQ180" ca="1">(1-$B$18)*SUMPRODUCT(OFFSET($BO$15,0,0,$B$14,1), 1*(_xlfn._xlws.FILTER(OFFSET($O$15,0,$DN180,$B$8,1),OFFSET($M$15,0,0,$B$8,1))=EQ$13), 1*(_xlfn._xlws.FILTER(OFFSET($O$15,0,$DO180,$B$8,1),OFFSET($M$15,0,0,$B$8,1))=EQ$14))   /   SUM(OFFSET($BO$15,0,0,$B$14,1)) + $B$18/($B$19*$B$19*($DN180&lt;&gt;$DO180) + $B$19*($DN180=$DO180))</f>
        <v>3.7037037037037035E-4</v>
      </c>
      <c r="ER180" s="10" cm="1">
        <f t="array" aca="1" ref="ER180" ca="1">(1-$B$18)*SUMPRODUCT(OFFSET($BO$15,0,0,$B$14,1), 1*(_xlfn._xlws.FILTER(OFFSET($O$15,0,$DN180,$B$8,1),OFFSET($M$15,0,0,$B$8,1))=ER$13), 1*(_xlfn._xlws.FILTER(OFFSET($O$15,0,$DO180,$B$8,1),OFFSET($M$15,0,0,$B$8,1))=ER$14))   /   SUM(OFFSET($BO$15,0,0,$B$14,1)) + $B$18/($B$19*$B$19*($DN180&lt;&gt;$DO180) + $B$19*($DN180=$DO180))</f>
        <v>3.7037037037037035E-4</v>
      </c>
      <c r="ES180" s="10" cm="1">
        <f t="array" aca="1" ref="ES180" ca="1">(1-$B$18)*SUMPRODUCT(OFFSET($BO$15,0,0,$B$14,1), 1*(_xlfn._xlws.FILTER(OFFSET($O$15,0,$DN180,$B$8,1),OFFSET($M$15,0,0,$B$8,1))=ES$13), 1*(_xlfn._xlws.FILTER(OFFSET($O$15,0,$DO180,$B$8,1),OFFSET($M$15,0,0,$B$8,1))=ES$14))   /   SUM(OFFSET($BO$15,0,0,$B$14,1)) + $B$18/($B$19*$B$19*($DN180&lt;&gt;$DO180) + $B$19*($DN180=$DO180))</f>
        <v>3.7037037037037035E-4</v>
      </c>
      <c r="ET180" s="10" cm="1">
        <f t="array" aca="1" ref="ET180" ca="1">(1-$B$18)*SUMPRODUCT(OFFSET($BO$15,0,0,$B$14,1), 1*(_xlfn._xlws.FILTER(OFFSET($O$15,0,$DN180,$B$8,1),OFFSET($M$15,0,0,$B$8,1))=ET$13), 1*(_xlfn._xlws.FILTER(OFFSET($O$15,0,$DO180,$B$8,1),OFFSET($M$15,0,0,$B$8,1))=ET$14))   /   SUM(OFFSET($BO$15,0,0,$B$14,1)) + $B$18/($B$19*$B$19*($DN180&lt;&gt;$DO180) + $B$19*($DN180=$DO180))</f>
        <v>3.7037037037037035E-4</v>
      </c>
      <c r="EU180" s="10" cm="1">
        <f t="array" aca="1" ref="EU180" ca="1">(1-$B$18)*SUMPRODUCT(OFFSET($BO$15,0,0,$B$14,1), 1*(_xlfn._xlws.FILTER(OFFSET($O$15,0,$DN180,$B$8,1),OFFSET($M$15,0,0,$B$8,1))=EU$13), 1*(_xlfn._xlws.FILTER(OFFSET($O$15,0,$DO180,$B$8,1),OFFSET($M$15,0,0,$B$8,1))=EU$14))   /   SUM(OFFSET($BO$15,0,0,$B$14,1)) + $B$18/($B$19*$B$19*($DN180&lt;&gt;$DO180) + $B$19*($DN180=$DO180))</f>
        <v>3.7037037037037035E-4</v>
      </c>
      <c r="EV180" s="10" cm="1">
        <f t="array" aca="1" ref="EV180" ca="1">(1-$B$18)*SUMPRODUCT(OFFSET($BO$15,0,0,$B$14,1), 1*(_xlfn._xlws.FILTER(OFFSET($O$15,0,$DN180,$B$8,1),OFFSET($M$15,0,0,$B$8,1))=EV$13), 1*(_xlfn._xlws.FILTER(OFFSET($O$15,0,$DO180,$B$8,1),OFFSET($M$15,0,0,$B$8,1))=EV$14))   /   SUM(OFFSET($BO$15,0,0,$B$14,1)) + $B$18/($B$19*$B$19*($DN180&lt;&gt;$DO180) + $B$19*($DN180=$DO180))</f>
        <v>3.7037037037037035E-4</v>
      </c>
      <c r="EW180" s="10" cm="1">
        <f t="array" aca="1" ref="EW180" ca="1">(1-$B$18)*SUMPRODUCT(OFFSET($BO$15,0,0,$B$14,1), 1*(_xlfn._xlws.FILTER(OFFSET($O$15,0,$DN180,$B$8,1),OFFSET($M$15,0,0,$B$8,1))=EW$13), 1*(_xlfn._xlws.FILTER(OFFSET($O$15,0,$DO180,$B$8,1),OFFSET($M$15,0,0,$B$8,1))=EW$14))   /   SUM(OFFSET($BO$15,0,0,$B$14,1)) + $B$18/($B$19*$B$19*($DN180&lt;&gt;$DO180) + $B$19*($DN180=$DO180))</f>
        <v>3.7037037037037035E-4</v>
      </c>
      <c r="EX180" s="10" cm="1">
        <f t="array" aca="1" ref="EX180" ca="1">(1-$B$18)*SUMPRODUCT(OFFSET($BO$15,0,0,$B$14,1), 1*(_xlfn._xlws.FILTER(OFFSET($O$15,0,$DN180,$B$8,1),OFFSET($M$15,0,0,$B$8,1))=EX$13), 1*(_xlfn._xlws.FILTER(OFFSET($O$15,0,$DO180,$B$8,1),OFFSET($M$15,0,0,$B$8,1))=EX$14))   /   SUM(OFFSET($BO$15,0,0,$B$14,1)) + $B$18/($B$19*$B$19*($DN180&lt;&gt;$DO180) + $B$19*($DN180=$DO180))</f>
        <v>3.7037037037037035E-4</v>
      </c>
      <c r="EY180" s="10" cm="1">
        <f t="array" aca="1" ref="EY180" ca="1">(1-$B$18)*SUMPRODUCT(OFFSET($BO$15,0,0,$B$14,1), 1*(_xlfn._xlws.FILTER(OFFSET($O$15,0,$DN180,$B$8,1),OFFSET($M$15,0,0,$B$8,1))=EY$13), 1*(_xlfn._xlws.FILTER(OFFSET($O$15,0,$DO180,$B$8,1),OFFSET($M$15,0,0,$B$8,1))=EY$14))   /   SUM(OFFSET($BO$15,0,0,$B$14,1)) + $B$18/($B$19*$B$19*($DN180&lt;&gt;$DO180) + $B$19*($DN180=$DO180))</f>
        <v>3.7037037037037035E-4</v>
      </c>
      <c r="EZ180" s="10" cm="1">
        <f t="array" aca="1" ref="EZ180" ca="1">(1-$B$18)*SUMPRODUCT(OFFSET($BO$15,0,0,$B$14,1), 1*(_xlfn._xlws.FILTER(OFFSET($O$15,0,$DN180,$B$8,1),OFFSET($M$15,0,0,$B$8,1))=EZ$13), 1*(_xlfn._xlws.FILTER(OFFSET($O$15,0,$DO180,$B$8,1),OFFSET($M$15,0,0,$B$8,1))=EZ$14))   /   SUM(OFFSET($BO$15,0,0,$B$14,1)) + $B$18/($B$19*$B$19*($DN180&lt;&gt;$DO180) + $B$19*($DN180=$DO180))</f>
        <v>3.7037037037037035E-4</v>
      </c>
      <c r="FA180" s="10" cm="1">
        <f t="array" aca="1" ref="FA180" ca="1">(1-$B$18)*SUMPRODUCT(OFFSET($BO$15,0,0,$B$14,1), 1*(_xlfn._xlws.FILTER(OFFSET($O$15,0,$DN180,$B$8,1),OFFSET($M$15,0,0,$B$8,1))=FA$13), 1*(_xlfn._xlws.FILTER(OFFSET($O$15,0,$DO180,$B$8,1),OFFSET($M$15,0,0,$B$8,1))=FA$14))   /   SUM(OFFSET($BO$15,0,0,$B$14,1)) + $B$18/($B$19*$B$19*($DN180&lt;&gt;$DO180) + $B$19*($DN180=$DO180))</f>
        <v>3.7037037037037035E-4</v>
      </c>
      <c r="FB180" s="10" cm="1">
        <f t="array" aca="1" ref="FB180" ca="1">(1-$B$18)*SUMPRODUCT(OFFSET($BO$15,0,0,$B$14,1), 1*(_xlfn._xlws.FILTER(OFFSET($O$15,0,$DN180,$B$8,1),OFFSET($M$15,0,0,$B$8,1))=FB$13), 1*(_xlfn._xlws.FILTER(OFFSET($O$15,0,$DO180,$B$8,1),OFFSET($M$15,0,0,$B$8,1))=FB$14))   /   SUM(OFFSET($BO$15,0,0,$B$14,1)) + $B$18/($B$19*$B$19*($DN180&lt;&gt;$DO180) + $B$19*($DN180=$DO180))</f>
        <v>3.7037037037037035E-4</v>
      </c>
      <c r="FC180" s="10" cm="1">
        <f t="array" aca="1" ref="FC180" ca="1">(1-$B$18)*SUMPRODUCT(OFFSET($BO$15,0,0,$B$14,1), 1*(_xlfn._xlws.FILTER(OFFSET($O$15,0,$DN180,$B$8,1),OFFSET($M$15,0,0,$B$8,1))=FC$13), 1*(_xlfn._xlws.FILTER(OFFSET($O$15,0,$DO180,$B$8,1),OFFSET($M$15,0,0,$B$8,1))=FC$14))   /   SUM(OFFSET($BO$15,0,0,$B$14,1)) + $B$18/($B$19*$B$19*($DN180&lt;&gt;$DO180) + $B$19*($DN180=$DO180))</f>
        <v>3.7037037037037035E-4</v>
      </c>
      <c r="FD180" s="10" cm="1">
        <f t="array" aca="1" ref="FD180" ca="1">(1-$B$18)*SUMPRODUCT(OFFSET($BO$15,0,0,$B$14,1), 1*(_xlfn._xlws.FILTER(OFFSET($O$15,0,$DN180,$B$8,1),OFFSET($M$15,0,0,$B$8,1))=FD$13), 1*(_xlfn._xlws.FILTER(OFFSET($O$15,0,$DO180,$B$8,1),OFFSET($M$15,0,0,$B$8,1))=FD$14))   /   SUM(OFFSET($BO$15,0,0,$B$14,1)) + $B$18/($B$19*$B$19*($DN180&lt;&gt;$DO180) + $B$19*($DN180=$DO180))</f>
        <v>3.7037037037037035E-4</v>
      </c>
      <c r="FE180" s="10" cm="1">
        <f t="array" aca="1" ref="FE180" ca="1">(1-$B$18)*SUMPRODUCT(OFFSET($BO$15,0,0,$B$14,1), 1*(_xlfn._xlws.FILTER(OFFSET($O$15,0,$DN180,$B$8,1),OFFSET($M$15,0,0,$B$8,1))=FE$13), 1*(_xlfn._xlws.FILTER(OFFSET($O$15,0,$DO180,$B$8,1),OFFSET($M$15,0,0,$B$8,1))=FE$14))   /   SUM(OFFSET($BO$15,0,0,$B$14,1)) + $B$18/($B$19*$B$19*($DN180&lt;&gt;$DO180) + $B$19*($DN180=$DO180))</f>
        <v>3.7037037037037035E-4</v>
      </c>
      <c r="FF180" s="10" cm="1">
        <f t="array" aca="1" ref="FF180" ca="1">(1-$B$18)*SUMPRODUCT(OFFSET($BO$15,0,0,$B$14,1), 1*(_xlfn._xlws.FILTER(OFFSET($O$15,0,$DN180,$B$8,1),OFFSET($M$15,0,0,$B$8,1))=FF$13), 1*(_xlfn._xlws.FILTER(OFFSET($O$15,0,$DO180,$B$8,1),OFFSET($M$15,0,0,$B$8,1))=FF$14))   /   SUM(OFFSET($BO$15,0,0,$B$14,1)) + $B$18/($B$19*$B$19*($DN180&lt;&gt;$DO180) + $B$19*($DN180=$DO180))</f>
        <v>3.7037037037037035E-4</v>
      </c>
      <c r="FG180" s="10" cm="1">
        <f t="array" aca="1" ref="FG180" ca="1">(1-$B$18)*SUMPRODUCT(OFFSET($BO$15,0,0,$B$14,1), 1*(_xlfn._xlws.FILTER(OFFSET($O$15,0,$DN180,$B$8,1),OFFSET($M$15,0,0,$B$8,1))=FG$13), 1*(_xlfn._xlws.FILTER(OFFSET($O$15,0,$DO180,$B$8,1),OFFSET($M$15,0,0,$B$8,1))=FG$14))   /   SUM(OFFSET($BO$15,0,0,$B$14,1)) + $B$18/($B$19*$B$19*($DN180&lt;&gt;$DO180) + $B$19*($DN180=$DO180))</f>
        <v>3.7037037037037035E-4</v>
      </c>
      <c r="FH180" s="10" cm="1">
        <f t="array" aca="1" ref="FH180" ca="1">(1-$B$18)*SUMPRODUCT(OFFSET($BO$15,0,0,$B$14,1), 1*(_xlfn._xlws.FILTER(OFFSET($O$15,0,$DN180,$B$8,1),OFFSET($M$15,0,0,$B$8,1))=FH$13), 1*(_xlfn._xlws.FILTER(OFFSET($O$15,0,$DO180,$B$8,1),OFFSET($M$15,0,0,$B$8,1))=FH$14))   /   SUM(OFFSET($BO$15,0,0,$B$14,1)) + $B$18/($B$19*$B$19*($DN180&lt;&gt;$DO180) + $B$19*($DN180=$DO180))</f>
        <v>3.7037037037037035E-4</v>
      </c>
      <c r="FI180" s="10" cm="1">
        <f t="array" aca="1" ref="FI180" ca="1">(1-$B$18)*SUMPRODUCT(OFFSET($BO$15,0,0,$B$14,1), 1*(_xlfn._xlws.FILTER(OFFSET($O$15,0,$DN180,$B$8,1),OFFSET($M$15,0,0,$B$8,1))=FI$13), 1*(_xlfn._xlws.FILTER(OFFSET($O$15,0,$DO180,$B$8,1),OFFSET($M$15,0,0,$B$8,1))=FI$14))   /   SUM(OFFSET($BO$15,0,0,$B$14,1)) + $B$18/($B$19*$B$19*($DN180&lt;&gt;$DO180) + $B$19*($DN180=$DO180))</f>
        <v>3.7037037037037035E-4</v>
      </c>
      <c r="FJ180" s="10" cm="1">
        <f t="array" aca="1" ref="FJ180" ca="1">(1-$B$18)*SUMPRODUCT(OFFSET($BO$15,0,0,$B$14,1), 1*(_xlfn._xlws.FILTER(OFFSET($O$15,0,$DN180,$B$8,1),OFFSET($M$15,0,0,$B$8,1))=FJ$13), 1*(_xlfn._xlws.FILTER(OFFSET($O$15,0,$DO180,$B$8,1),OFFSET($M$15,0,0,$B$8,1))=FJ$14))   /   SUM(OFFSET($BO$15,0,0,$B$14,1)) + $B$18/($B$19*$B$19*($DN180&lt;&gt;$DO180) + $B$19*($DN180=$DO180))</f>
        <v>3.7037037037037035E-4</v>
      </c>
      <c r="FK180" s="10" cm="1">
        <f t="array" aca="1" ref="FK180" ca="1">(1-$B$18)*SUMPRODUCT(OFFSET($BO$15,0,0,$B$14,1), 1*(_xlfn._xlws.FILTER(OFFSET($O$15,0,$DN180,$B$8,1),OFFSET($M$15,0,0,$B$8,1))=FK$13), 1*(_xlfn._xlws.FILTER(OFFSET($O$15,0,$DO180,$B$8,1),OFFSET($M$15,0,0,$B$8,1))=FK$14))   /   SUM(OFFSET($BO$15,0,0,$B$14,1)) + $B$18/($B$19*$B$19*($DN180&lt;&gt;$DO180) + $B$19*($DN180=$DO180))</f>
        <v>3.7037037037037035E-4</v>
      </c>
      <c r="FL180" s="10" cm="1">
        <f t="array" aca="1" ref="FL180" ca="1">(1-$B$18)*SUMPRODUCT(OFFSET($BO$15,0,0,$B$14,1), 1*(_xlfn._xlws.FILTER(OFFSET($O$15,0,$DN180,$B$8,1),OFFSET($M$15,0,0,$B$8,1))=FL$13), 1*(_xlfn._xlws.FILTER(OFFSET($O$15,0,$DO180,$B$8,1),OFFSET($M$15,0,0,$B$8,1))=FL$14))   /   SUM(OFFSET($BO$15,0,0,$B$14,1)) + $B$18/($B$19*$B$19*($DN180&lt;&gt;$DO180) + $B$19*($DN180=$DO180))</f>
        <v>3.7037037037037035E-4</v>
      </c>
      <c r="FM180" s="10" cm="1">
        <f t="array" aca="1" ref="FM180" ca="1">(1-$B$18)*SUMPRODUCT(OFFSET($BO$15,0,0,$B$14,1), 1*(_xlfn._xlws.FILTER(OFFSET($O$15,0,$DN180,$B$8,1),OFFSET($M$15,0,0,$B$8,1))=FM$13), 1*(_xlfn._xlws.FILTER(OFFSET($O$15,0,$DO180,$B$8,1),OFFSET($M$15,0,0,$B$8,1))=FM$14))   /   SUM(OFFSET($BO$15,0,0,$B$14,1)) + $B$18/($B$19*$B$19*($DN180&lt;&gt;$DO180) + $B$19*($DN180=$DO180))</f>
        <v>3.7037037037037035E-4</v>
      </c>
      <c r="FN180" s="10" cm="1">
        <f t="array" aca="1" ref="FN180" ca="1">(1-$B$18)*SUMPRODUCT(OFFSET($BO$15,0,0,$B$14,1), 1*(_xlfn._xlws.FILTER(OFFSET($O$15,0,$DN180,$B$8,1),OFFSET($M$15,0,0,$B$8,1))=FN$13), 1*(_xlfn._xlws.FILTER(OFFSET($O$15,0,$DO180,$B$8,1),OFFSET($M$15,0,0,$B$8,1))=FN$14))   /   SUM(OFFSET($BO$15,0,0,$B$14,1)) + $B$18/($B$19*$B$19*($DN180&lt;&gt;$DO180) + $B$19*($DN180=$DO180))</f>
        <v>0.97037037037037033</v>
      </c>
      <c r="FO180" s="10" cm="1">
        <f t="array" aca="1" ref="FO180" ca="1">(1-$B$18)*SUMPRODUCT(OFFSET($BO$15,0,0,$B$14,1), 1*(_xlfn._xlws.FILTER(OFFSET($O$15,0,$DN180,$B$8,1),OFFSET($M$15,0,0,$B$8,1))=FO$13), 1*(_xlfn._xlws.FILTER(OFFSET($O$15,0,$DO180,$B$8,1),OFFSET($M$15,0,0,$B$8,1))=FO$14))   /   SUM(OFFSET($BO$15,0,0,$B$14,1)) + $B$18/($B$19*$B$19*($DN180&lt;&gt;$DO180) + $B$19*($DN180=$DO180))</f>
        <v>3.7037037037037035E-4</v>
      </c>
      <c r="FP180" s="10" cm="1">
        <f t="array" aca="1" ref="FP180" ca="1">(1-$B$18)*SUMPRODUCT(OFFSET($BO$15,0,0,$B$14,1), 1*(_xlfn._xlws.FILTER(OFFSET($O$15,0,$DN180,$B$8,1),OFFSET($M$15,0,0,$B$8,1))=FP$13), 1*(_xlfn._xlws.FILTER(OFFSET($O$15,0,$DO180,$B$8,1),OFFSET($M$15,0,0,$B$8,1))=FP$14))   /   SUM(OFFSET($BO$15,0,0,$B$14,1)) + $B$18/($B$19*$B$19*($DN180&lt;&gt;$DO180) + $B$19*($DN180=$DO180))</f>
        <v>3.7037037037037035E-4</v>
      </c>
      <c r="FQ180" s="10" cm="1">
        <f t="array" aca="1" ref="FQ180" ca="1">(1-$B$18)*SUMPRODUCT(OFFSET($BO$15,0,0,$B$14,1), 1*(_xlfn._xlws.FILTER(OFFSET($O$15,0,$DN180,$B$8,1),OFFSET($M$15,0,0,$B$8,1))=FQ$13), 1*(_xlfn._xlws.FILTER(OFFSET($O$15,0,$DO180,$B$8,1),OFFSET($M$15,0,0,$B$8,1))=FQ$14))   /   SUM(OFFSET($BO$15,0,0,$B$14,1)) + $B$18/($B$19*$B$19*($DN180&lt;&gt;$DO180) + $B$19*($DN180=$DO180))</f>
        <v>3.7037037037037035E-4</v>
      </c>
      <c r="FR180" s="10" cm="1">
        <f t="array" aca="1" ref="FR180" ca="1">(1-$B$18)*SUMPRODUCT(OFFSET($BO$15,0,0,$B$14,1), 1*(_xlfn._xlws.FILTER(OFFSET($O$15,0,$DN180,$B$8,1),OFFSET($M$15,0,0,$B$8,1))=FR$13), 1*(_xlfn._xlws.FILTER(OFFSET($O$15,0,$DO180,$B$8,1),OFFSET($M$15,0,0,$B$8,1))=FR$14))   /   SUM(OFFSET($BO$15,0,0,$B$14,1)) + $B$18/($B$19*$B$19*($DN180&lt;&gt;$DO180) + $B$19*($DN180=$DO180))</f>
        <v>3.7037037037037035E-4</v>
      </c>
      <c r="FS180" s="10" cm="1">
        <f t="array" aca="1" ref="FS180" ca="1">(1-$B$18)*SUMPRODUCT(OFFSET($BO$15,0,0,$B$14,1), 1*(_xlfn._xlws.FILTER(OFFSET($O$15,0,$DN180,$B$8,1),OFFSET($M$15,0,0,$B$8,1))=FS$13), 1*(_xlfn._xlws.FILTER(OFFSET($O$15,0,$DO180,$B$8,1),OFFSET($M$15,0,0,$B$8,1))=FS$14))   /   SUM(OFFSET($BO$15,0,0,$B$14,1)) + $B$18/($B$19*$B$19*($DN180&lt;&gt;$DO180) + $B$19*($DN180=$DO180))</f>
        <v>3.7037037037037035E-4</v>
      </c>
      <c r="FT180" s="10" cm="1">
        <f t="array" aca="1" ref="FT180" ca="1">(1-$B$18)*SUMPRODUCT(OFFSET($BO$15,0,0,$B$14,1), 1*(_xlfn._xlws.FILTER(OFFSET($O$15,0,$DN180,$B$8,1),OFFSET($M$15,0,0,$B$8,1))=FT$13), 1*(_xlfn._xlws.FILTER(OFFSET($O$15,0,$DO180,$B$8,1),OFFSET($M$15,0,0,$B$8,1))=FT$14))   /   SUM(OFFSET($BO$15,0,0,$B$14,1)) + $B$18/($B$19*$B$19*($DN180&lt;&gt;$DO180) + $B$19*($DN180=$DO180))</f>
        <v>3.7037037037037035E-4</v>
      </c>
      <c r="FU180" s="10" cm="1">
        <f t="array" aca="1" ref="FU180" ca="1">(1-$B$18)*SUMPRODUCT(OFFSET($BO$15,0,0,$B$14,1), 1*(_xlfn._xlws.FILTER(OFFSET($O$15,0,$DN180,$B$8,1),OFFSET($M$15,0,0,$B$8,1))=FU$13), 1*(_xlfn._xlws.FILTER(OFFSET($O$15,0,$DO180,$B$8,1),OFFSET($M$15,0,0,$B$8,1))=FU$14))   /   SUM(OFFSET($BO$15,0,0,$B$14,1)) + $B$18/($B$19*$B$19*($DN180&lt;&gt;$DO180) + $B$19*($DN180=$DO180))</f>
        <v>3.7037037037037035E-4</v>
      </c>
      <c r="FV180" s="10" cm="1">
        <f t="array" aca="1" ref="FV180" ca="1">(1-$B$18)*SUMPRODUCT(OFFSET($BO$15,0,0,$B$14,1), 1*(_xlfn._xlws.FILTER(OFFSET($O$15,0,$DN180,$B$8,1),OFFSET($M$15,0,0,$B$8,1))=FV$13), 1*(_xlfn._xlws.FILTER(OFFSET($O$15,0,$DO180,$B$8,1),OFFSET($M$15,0,0,$B$8,1))=FV$14))   /   SUM(OFFSET($BO$15,0,0,$B$14,1)) + $B$18/($B$19*$B$19*($DN180&lt;&gt;$DO180) + $B$19*($DN180=$DO180))</f>
        <v>3.7037037037037035E-4</v>
      </c>
      <c r="FW180" s="10" cm="1">
        <f t="array" aca="1" ref="FW180" ca="1">(1-$B$18)*SUMPRODUCT(OFFSET($BO$15,0,0,$B$14,1), 1*(_xlfn._xlws.FILTER(OFFSET($O$15,0,$DN180,$B$8,1),OFFSET($M$15,0,0,$B$8,1))=FW$13), 1*(_xlfn._xlws.FILTER(OFFSET($O$15,0,$DO180,$B$8,1),OFFSET($M$15,0,0,$B$8,1))=FW$14))   /   SUM(OFFSET($BO$15,0,0,$B$14,1)) + $B$18/($B$19*$B$19*($DN180&lt;&gt;$DO180) + $B$19*($DN180=$DO180))</f>
        <v>3.7037037037037035E-4</v>
      </c>
      <c r="FX180" s="10" cm="1">
        <f t="array" aca="1" ref="FX180" ca="1">(1-$B$18)*SUMPRODUCT(OFFSET($BO$15,0,0,$B$14,1), 1*(_xlfn._xlws.FILTER(OFFSET($O$15,0,$DN180,$B$8,1),OFFSET($M$15,0,0,$B$8,1))=FX$13), 1*(_xlfn._xlws.FILTER(OFFSET($O$15,0,$DO180,$B$8,1),OFFSET($M$15,0,0,$B$8,1))=FX$14))   /   SUM(OFFSET($BO$15,0,0,$B$14,1)) + $B$18/($B$19*$B$19*($DN180&lt;&gt;$DO180) + $B$19*($DN180=$DO180))</f>
        <v>3.7037037037037035E-4</v>
      </c>
      <c r="FY180" s="10" cm="1">
        <f t="array" aca="1" ref="FY180" ca="1">(1-$B$18)*SUMPRODUCT(OFFSET($BO$15,0,0,$B$14,1), 1*(_xlfn._xlws.FILTER(OFFSET($O$15,0,$DN180,$B$8,1),OFFSET($M$15,0,0,$B$8,1))=FY$13), 1*(_xlfn._xlws.FILTER(OFFSET($O$15,0,$DO180,$B$8,1),OFFSET($M$15,0,0,$B$8,1))=FY$14))   /   SUM(OFFSET($BO$15,0,0,$B$14,1)) + $B$18/($B$19*$B$19*($DN180&lt;&gt;$DO180) + $B$19*($DN180=$DO180))</f>
        <v>3.7037037037037035E-4</v>
      </c>
      <c r="FZ180" s="10" cm="1">
        <f t="array" aca="1" ref="FZ180" ca="1">(1-$B$18)*SUMPRODUCT(OFFSET($BO$15,0,0,$B$14,1), 1*(_xlfn._xlws.FILTER(OFFSET($O$15,0,$DN180,$B$8,1),OFFSET($M$15,0,0,$B$8,1))=FZ$13), 1*(_xlfn._xlws.FILTER(OFFSET($O$15,0,$DO180,$B$8,1),OFFSET($M$15,0,0,$B$8,1))=FZ$14))   /   SUM(OFFSET($BO$15,0,0,$B$14,1)) + $B$18/($B$19*$B$19*($DN180&lt;&gt;$DO180) + $B$19*($DN180=$DO180))</f>
        <v>3.7037037037037035E-4</v>
      </c>
      <c r="GA180" s="10" cm="1">
        <f t="array" aca="1" ref="GA180" ca="1">(1-$B$18)*SUMPRODUCT(OFFSET($BO$15,0,0,$B$14,1), 1*(_xlfn._xlws.FILTER(OFFSET($O$15,0,$DN180,$B$8,1),OFFSET($M$15,0,0,$B$8,1))=GA$13), 1*(_xlfn._xlws.FILTER(OFFSET($O$15,0,$DO180,$B$8,1),OFFSET($M$15,0,0,$B$8,1))=GA$14))   /   SUM(OFFSET($BO$15,0,0,$B$14,1)) + $B$18/($B$19*$B$19*($DN180&lt;&gt;$DO180) + $B$19*($DN180=$DO180))</f>
        <v>3.7037037037037035E-4</v>
      </c>
    </row>
    <row r="181" spans="118:183" x14ac:dyDescent="0.2">
      <c r="DN181" cm="1">
        <f t="array" aca="1" ref="DN181" ca="1">INDEX(_xlfn.ANCHORARRAY($CP$15), 1 + INT((ROWS($DO$15:$DO181) - 1) / ROWS(_xlfn.ANCHORARRAY($CP$15))))</f>
        <v>8</v>
      </c>
      <c r="DO181" cm="1">
        <f t="array" aca="1" ref="DO181" ca="1">INDEX(_xlfn.ANCHORARRAY($CP$15),1+MOD(ROWS($DO$15:$DO181)-1,ROWS(_xlfn.ANCHORARRAY($CP$15))))</f>
        <v>15</v>
      </c>
      <c r="DP181" s="10" cm="1">
        <f t="array" aca="1" ref="DP181" ca="1">(1-$B$18)*SUMPRODUCT(OFFSET($BO$15,0,0,$B$14,1), 1*(_xlfn._xlws.FILTER(OFFSET($O$15,0,$DN181,$B$8,1),OFFSET($M$15,0,0,$B$8,1))=DP$13), 1*(_xlfn._xlws.FILTER(OFFSET($O$15,0,$DO181,$B$8,1),OFFSET($M$15,0,0,$B$8,1))=DP$14))   /   SUM(OFFSET($BO$15,0,0,$B$14,1)) + $B$18/($B$19*$B$19*($DN181&lt;&gt;$DO181) + $B$19*($DN181=$DO181))</f>
        <v>3.7037037037037035E-4</v>
      </c>
      <c r="DQ181" s="10" cm="1">
        <f t="array" aca="1" ref="DQ181" ca="1">(1-$B$18)*SUMPRODUCT(OFFSET($BO$15,0,0,$B$14,1), 1*(_xlfn._xlws.FILTER(OFFSET($O$15,0,$DN181,$B$8,1),OFFSET($M$15,0,0,$B$8,1))=DQ$13), 1*(_xlfn._xlws.FILTER(OFFSET($O$15,0,$DO181,$B$8,1),OFFSET($M$15,0,0,$B$8,1))=DQ$14))   /   SUM(OFFSET($BO$15,0,0,$B$14,1)) + $B$18/($B$19*$B$19*($DN181&lt;&gt;$DO181) + $B$19*($DN181=$DO181))</f>
        <v>3.7037037037037035E-4</v>
      </c>
      <c r="DR181" s="10" cm="1">
        <f t="array" aca="1" ref="DR181" ca="1">(1-$B$18)*SUMPRODUCT(OFFSET($BO$15,0,0,$B$14,1), 1*(_xlfn._xlws.FILTER(OFFSET($O$15,0,$DN181,$B$8,1),OFFSET($M$15,0,0,$B$8,1))=DR$13), 1*(_xlfn._xlws.FILTER(OFFSET($O$15,0,$DO181,$B$8,1),OFFSET($M$15,0,0,$B$8,1))=DR$14))   /   SUM(OFFSET($BO$15,0,0,$B$14,1)) + $B$18/($B$19*$B$19*($DN181&lt;&gt;$DO181) + $B$19*($DN181=$DO181))</f>
        <v>3.7037037037037035E-4</v>
      </c>
      <c r="DS181" s="10" cm="1">
        <f t="array" aca="1" ref="DS181" ca="1">(1-$B$18)*SUMPRODUCT(OFFSET($BO$15,0,0,$B$14,1), 1*(_xlfn._xlws.FILTER(OFFSET($O$15,0,$DN181,$B$8,1),OFFSET($M$15,0,0,$B$8,1))=DS$13), 1*(_xlfn._xlws.FILTER(OFFSET($O$15,0,$DO181,$B$8,1),OFFSET($M$15,0,0,$B$8,1))=DS$14))   /   SUM(OFFSET($BO$15,0,0,$B$14,1)) + $B$18/($B$19*$B$19*($DN181&lt;&gt;$DO181) + $B$19*($DN181=$DO181))</f>
        <v>3.7037037037037035E-4</v>
      </c>
      <c r="DT181" s="10" cm="1">
        <f t="array" aca="1" ref="DT181" ca="1">(1-$B$18)*SUMPRODUCT(OFFSET($BO$15,0,0,$B$14,1), 1*(_xlfn._xlws.FILTER(OFFSET($O$15,0,$DN181,$B$8,1),OFFSET($M$15,0,0,$B$8,1))=DT$13), 1*(_xlfn._xlws.FILTER(OFFSET($O$15,0,$DO181,$B$8,1),OFFSET($M$15,0,0,$B$8,1))=DT$14))   /   SUM(OFFSET($BO$15,0,0,$B$14,1)) + $B$18/($B$19*$B$19*($DN181&lt;&gt;$DO181) + $B$19*($DN181=$DO181))</f>
        <v>3.7037037037037035E-4</v>
      </c>
      <c r="DU181" s="10" cm="1">
        <f t="array" aca="1" ref="DU181" ca="1">(1-$B$18)*SUMPRODUCT(OFFSET($BO$15,0,0,$B$14,1), 1*(_xlfn._xlws.FILTER(OFFSET($O$15,0,$DN181,$B$8,1),OFFSET($M$15,0,0,$B$8,1))=DU$13), 1*(_xlfn._xlws.FILTER(OFFSET($O$15,0,$DO181,$B$8,1),OFFSET($M$15,0,0,$B$8,1))=DU$14))   /   SUM(OFFSET($BO$15,0,0,$B$14,1)) + $B$18/($B$19*$B$19*($DN181&lt;&gt;$DO181) + $B$19*($DN181=$DO181))</f>
        <v>3.7037037037037035E-4</v>
      </c>
      <c r="DV181" s="10" cm="1">
        <f t="array" aca="1" ref="DV181" ca="1">(1-$B$18)*SUMPRODUCT(OFFSET($BO$15,0,0,$B$14,1), 1*(_xlfn._xlws.FILTER(OFFSET($O$15,0,$DN181,$B$8,1),OFFSET($M$15,0,0,$B$8,1))=DV$13), 1*(_xlfn._xlws.FILTER(OFFSET($O$15,0,$DO181,$B$8,1),OFFSET($M$15,0,0,$B$8,1))=DV$14))   /   SUM(OFFSET($BO$15,0,0,$B$14,1)) + $B$18/($B$19*$B$19*($DN181&lt;&gt;$DO181) + $B$19*($DN181=$DO181))</f>
        <v>3.7037037037037035E-4</v>
      </c>
      <c r="DW181" s="10" cm="1">
        <f t="array" aca="1" ref="DW181" ca="1">(1-$B$18)*SUMPRODUCT(OFFSET($BO$15,0,0,$B$14,1), 1*(_xlfn._xlws.FILTER(OFFSET($O$15,0,$DN181,$B$8,1),OFFSET($M$15,0,0,$B$8,1))=DW$13), 1*(_xlfn._xlws.FILTER(OFFSET($O$15,0,$DO181,$B$8,1),OFFSET($M$15,0,0,$B$8,1))=DW$14))   /   SUM(OFFSET($BO$15,0,0,$B$14,1)) + $B$18/($B$19*$B$19*($DN181&lt;&gt;$DO181) + $B$19*($DN181=$DO181))</f>
        <v>3.7037037037037035E-4</v>
      </c>
      <c r="DX181" s="10" cm="1">
        <f t="array" aca="1" ref="DX181" ca="1">(1-$B$18)*SUMPRODUCT(OFFSET($BO$15,0,0,$B$14,1), 1*(_xlfn._xlws.FILTER(OFFSET($O$15,0,$DN181,$B$8,1),OFFSET($M$15,0,0,$B$8,1))=DX$13), 1*(_xlfn._xlws.FILTER(OFFSET($O$15,0,$DO181,$B$8,1),OFFSET($M$15,0,0,$B$8,1))=DX$14))   /   SUM(OFFSET($BO$15,0,0,$B$14,1)) + $B$18/($B$19*$B$19*($DN181&lt;&gt;$DO181) + $B$19*($DN181=$DO181))</f>
        <v>3.7037037037037035E-4</v>
      </c>
      <c r="DY181" s="10" cm="1">
        <f t="array" aca="1" ref="DY181" ca="1">(1-$B$18)*SUMPRODUCT(OFFSET($BO$15,0,0,$B$14,1), 1*(_xlfn._xlws.FILTER(OFFSET($O$15,0,$DN181,$B$8,1),OFFSET($M$15,0,0,$B$8,1))=DY$13), 1*(_xlfn._xlws.FILTER(OFFSET($O$15,0,$DO181,$B$8,1),OFFSET($M$15,0,0,$B$8,1))=DY$14))   /   SUM(OFFSET($BO$15,0,0,$B$14,1)) + $B$18/($B$19*$B$19*($DN181&lt;&gt;$DO181) + $B$19*($DN181=$DO181))</f>
        <v>3.7037037037037035E-4</v>
      </c>
      <c r="DZ181" s="10" cm="1">
        <f t="array" aca="1" ref="DZ181" ca="1">(1-$B$18)*SUMPRODUCT(OFFSET($BO$15,0,0,$B$14,1), 1*(_xlfn._xlws.FILTER(OFFSET($O$15,0,$DN181,$B$8,1),OFFSET($M$15,0,0,$B$8,1))=DZ$13), 1*(_xlfn._xlws.FILTER(OFFSET($O$15,0,$DO181,$B$8,1),OFFSET($M$15,0,0,$B$8,1))=DZ$14))   /   SUM(OFFSET($BO$15,0,0,$B$14,1)) + $B$18/($B$19*$B$19*($DN181&lt;&gt;$DO181) + $B$19*($DN181=$DO181))</f>
        <v>3.7037037037037035E-4</v>
      </c>
      <c r="EA181" s="10" cm="1">
        <f t="array" aca="1" ref="EA181" ca="1">(1-$B$18)*SUMPRODUCT(OFFSET($BO$15,0,0,$B$14,1), 1*(_xlfn._xlws.FILTER(OFFSET($O$15,0,$DN181,$B$8,1),OFFSET($M$15,0,0,$B$8,1))=EA$13), 1*(_xlfn._xlws.FILTER(OFFSET($O$15,0,$DO181,$B$8,1),OFFSET($M$15,0,0,$B$8,1))=EA$14))   /   SUM(OFFSET($BO$15,0,0,$B$14,1)) + $B$18/($B$19*$B$19*($DN181&lt;&gt;$DO181) + $B$19*($DN181=$DO181))</f>
        <v>3.7037037037037035E-4</v>
      </c>
      <c r="EB181" s="10" cm="1">
        <f t="array" aca="1" ref="EB181" ca="1">(1-$B$18)*SUMPRODUCT(OFFSET($BO$15,0,0,$B$14,1), 1*(_xlfn._xlws.FILTER(OFFSET($O$15,0,$DN181,$B$8,1),OFFSET($M$15,0,0,$B$8,1))=EB$13), 1*(_xlfn._xlws.FILTER(OFFSET($O$15,0,$DO181,$B$8,1),OFFSET($M$15,0,0,$B$8,1))=EB$14))   /   SUM(OFFSET($BO$15,0,0,$B$14,1)) + $B$18/($B$19*$B$19*($DN181&lt;&gt;$DO181) + $B$19*($DN181=$DO181))</f>
        <v>3.7037037037037035E-4</v>
      </c>
      <c r="EC181" s="10" cm="1">
        <f t="array" aca="1" ref="EC181" ca="1">(1-$B$18)*SUMPRODUCT(OFFSET($BO$15,0,0,$B$14,1), 1*(_xlfn._xlws.FILTER(OFFSET($O$15,0,$DN181,$B$8,1),OFFSET($M$15,0,0,$B$8,1))=EC$13), 1*(_xlfn._xlws.FILTER(OFFSET($O$15,0,$DO181,$B$8,1),OFFSET($M$15,0,0,$B$8,1))=EC$14))   /   SUM(OFFSET($BO$15,0,0,$B$14,1)) + $B$18/($B$19*$B$19*($DN181&lt;&gt;$DO181) + $B$19*($DN181=$DO181))</f>
        <v>3.7037037037037035E-4</v>
      </c>
      <c r="ED181" s="10" cm="1">
        <f t="array" aca="1" ref="ED181" ca="1">(1-$B$18)*SUMPRODUCT(OFFSET($BO$15,0,0,$B$14,1), 1*(_xlfn._xlws.FILTER(OFFSET($O$15,0,$DN181,$B$8,1),OFFSET($M$15,0,0,$B$8,1))=ED$13), 1*(_xlfn._xlws.FILTER(OFFSET($O$15,0,$DO181,$B$8,1),OFFSET($M$15,0,0,$B$8,1))=ED$14))   /   SUM(OFFSET($BO$15,0,0,$B$14,1)) + $B$18/($B$19*$B$19*($DN181&lt;&gt;$DO181) + $B$19*($DN181=$DO181))</f>
        <v>3.7037037037037035E-4</v>
      </c>
      <c r="EE181" s="10" cm="1">
        <f t="array" aca="1" ref="EE181" ca="1">(1-$B$18)*SUMPRODUCT(OFFSET($BO$15,0,0,$B$14,1), 1*(_xlfn._xlws.FILTER(OFFSET($O$15,0,$DN181,$B$8,1),OFFSET($M$15,0,0,$B$8,1))=EE$13), 1*(_xlfn._xlws.FILTER(OFFSET($O$15,0,$DO181,$B$8,1),OFFSET($M$15,0,0,$B$8,1))=EE$14))   /   SUM(OFFSET($BO$15,0,0,$B$14,1)) + $B$18/($B$19*$B$19*($DN181&lt;&gt;$DO181) + $B$19*($DN181=$DO181))</f>
        <v>3.7037037037037035E-4</v>
      </c>
      <c r="EF181" s="10" cm="1">
        <f t="array" aca="1" ref="EF181" ca="1">(1-$B$18)*SUMPRODUCT(OFFSET($BO$15,0,0,$B$14,1), 1*(_xlfn._xlws.FILTER(OFFSET($O$15,0,$DN181,$B$8,1),OFFSET($M$15,0,0,$B$8,1))=EF$13), 1*(_xlfn._xlws.FILTER(OFFSET($O$15,0,$DO181,$B$8,1),OFFSET($M$15,0,0,$B$8,1))=EF$14))   /   SUM(OFFSET($BO$15,0,0,$B$14,1)) + $B$18/($B$19*$B$19*($DN181&lt;&gt;$DO181) + $B$19*($DN181=$DO181))</f>
        <v>3.7037037037037035E-4</v>
      </c>
      <c r="EG181" s="10" cm="1">
        <f t="array" aca="1" ref="EG181" ca="1">(1-$B$18)*SUMPRODUCT(OFFSET($BO$15,0,0,$B$14,1), 1*(_xlfn._xlws.FILTER(OFFSET($O$15,0,$DN181,$B$8,1),OFFSET($M$15,0,0,$B$8,1))=EG$13), 1*(_xlfn._xlws.FILTER(OFFSET($O$15,0,$DO181,$B$8,1),OFFSET($M$15,0,0,$B$8,1))=EG$14))   /   SUM(OFFSET($BO$15,0,0,$B$14,1)) + $B$18/($B$19*$B$19*($DN181&lt;&gt;$DO181) + $B$19*($DN181=$DO181))</f>
        <v>3.7037037037037035E-4</v>
      </c>
      <c r="EH181" s="10" cm="1">
        <f t="array" aca="1" ref="EH181" ca="1">(1-$B$18)*SUMPRODUCT(OFFSET($BO$15,0,0,$B$14,1), 1*(_xlfn._xlws.FILTER(OFFSET($O$15,0,$DN181,$B$8,1),OFFSET($M$15,0,0,$B$8,1))=EH$13), 1*(_xlfn._xlws.FILTER(OFFSET($O$15,0,$DO181,$B$8,1),OFFSET($M$15,0,0,$B$8,1))=EH$14))   /   SUM(OFFSET($BO$15,0,0,$B$14,1)) + $B$18/($B$19*$B$19*($DN181&lt;&gt;$DO181) + $B$19*($DN181=$DO181))</f>
        <v>3.7037037037037035E-4</v>
      </c>
      <c r="EI181" s="10" cm="1">
        <f t="array" aca="1" ref="EI181" ca="1">(1-$B$18)*SUMPRODUCT(OFFSET($BO$15,0,0,$B$14,1), 1*(_xlfn._xlws.FILTER(OFFSET($O$15,0,$DN181,$B$8,1),OFFSET($M$15,0,0,$B$8,1))=EI$13), 1*(_xlfn._xlws.FILTER(OFFSET($O$15,0,$DO181,$B$8,1),OFFSET($M$15,0,0,$B$8,1))=EI$14))   /   SUM(OFFSET($BO$15,0,0,$B$14,1)) + $B$18/($B$19*$B$19*($DN181&lt;&gt;$DO181) + $B$19*($DN181=$DO181))</f>
        <v>3.7037037037037035E-4</v>
      </c>
      <c r="EJ181" s="10" cm="1">
        <f t="array" aca="1" ref="EJ181" ca="1">(1-$B$18)*SUMPRODUCT(OFFSET($BO$15,0,0,$B$14,1), 1*(_xlfn._xlws.FILTER(OFFSET($O$15,0,$DN181,$B$8,1),OFFSET($M$15,0,0,$B$8,1))=EJ$13), 1*(_xlfn._xlws.FILTER(OFFSET($O$15,0,$DO181,$B$8,1),OFFSET($M$15,0,0,$B$8,1))=EJ$14))   /   SUM(OFFSET($BO$15,0,0,$B$14,1)) + $B$18/($B$19*$B$19*($DN181&lt;&gt;$DO181) + $B$19*($DN181=$DO181))</f>
        <v>3.7037037037037035E-4</v>
      </c>
      <c r="EK181" s="10" cm="1">
        <f t="array" aca="1" ref="EK181" ca="1">(1-$B$18)*SUMPRODUCT(OFFSET($BO$15,0,0,$B$14,1), 1*(_xlfn._xlws.FILTER(OFFSET($O$15,0,$DN181,$B$8,1),OFFSET($M$15,0,0,$B$8,1))=EK$13), 1*(_xlfn._xlws.FILTER(OFFSET($O$15,0,$DO181,$B$8,1),OFFSET($M$15,0,0,$B$8,1))=EK$14))   /   SUM(OFFSET($BO$15,0,0,$B$14,1)) + $B$18/($B$19*$B$19*($DN181&lt;&gt;$DO181) + $B$19*($DN181=$DO181))</f>
        <v>3.7037037037037035E-4</v>
      </c>
      <c r="EL181" s="10" cm="1">
        <f t="array" aca="1" ref="EL181" ca="1">(1-$B$18)*SUMPRODUCT(OFFSET($BO$15,0,0,$B$14,1), 1*(_xlfn._xlws.FILTER(OFFSET($O$15,0,$DN181,$B$8,1),OFFSET($M$15,0,0,$B$8,1))=EL$13), 1*(_xlfn._xlws.FILTER(OFFSET($O$15,0,$DO181,$B$8,1),OFFSET($M$15,0,0,$B$8,1))=EL$14))   /   SUM(OFFSET($BO$15,0,0,$B$14,1)) + $B$18/($B$19*$B$19*($DN181&lt;&gt;$DO181) + $B$19*($DN181=$DO181))</f>
        <v>3.7037037037037035E-4</v>
      </c>
      <c r="EM181" s="10" cm="1">
        <f t="array" aca="1" ref="EM181" ca="1">(1-$B$18)*SUMPRODUCT(OFFSET($BO$15,0,0,$B$14,1), 1*(_xlfn._xlws.FILTER(OFFSET($O$15,0,$DN181,$B$8,1),OFFSET($M$15,0,0,$B$8,1))=EM$13), 1*(_xlfn._xlws.FILTER(OFFSET($O$15,0,$DO181,$B$8,1),OFFSET($M$15,0,0,$B$8,1))=EM$14))   /   SUM(OFFSET($BO$15,0,0,$B$14,1)) + $B$18/($B$19*$B$19*($DN181&lt;&gt;$DO181) + $B$19*($DN181=$DO181))</f>
        <v>3.7037037037037035E-4</v>
      </c>
      <c r="EN181" s="10" cm="1">
        <f t="array" aca="1" ref="EN181" ca="1">(1-$B$18)*SUMPRODUCT(OFFSET($BO$15,0,0,$B$14,1), 1*(_xlfn._xlws.FILTER(OFFSET($O$15,0,$DN181,$B$8,1),OFFSET($M$15,0,0,$B$8,1))=EN$13), 1*(_xlfn._xlws.FILTER(OFFSET($O$15,0,$DO181,$B$8,1),OFFSET($M$15,0,0,$B$8,1))=EN$14))   /   SUM(OFFSET($BO$15,0,0,$B$14,1)) + $B$18/($B$19*$B$19*($DN181&lt;&gt;$DO181) + $B$19*($DN181=$DO181))</f>
        <v>3.7037037037037035E-4</v>
      </c>
      <c r="EO181" s="10" cm="1">
        <f t="array" aca="1" ref="EO181" ca="1">(1-$B$18)*SUMPRODUCT(OFFSET($BO$15,0,0,$B$14,1), 1*(_xlfn._xlws.FILTER(OFFSET($O$15,0,$DN181,$B$8,1),OFFSET($M$15,0,0,$B$8,1))=EO$13), 1*(_xlfn._xlws.FILTER(OFFSET($O$15,0,$DO181,$B$8,1),OFFSET($M$15,0,0,$B$8,1))=EO$14))   /   SUM(OFFSET($BO$15,0,0,$B$14,1)) + $B$18/($B$19*$B$19*($DN181&lt;&gt;$DO181) + $B$19*($DN181=$DO181))</f>
        <v>3.7037037037037035E-4</v>
      </c>
      <c r="EP181" s="10" cm="1">
        <f t="array" aca="1" ref="EP181" ca="1">(1-$B$18)*SUMPRODUCT(OFFSET($BO$15,0,0,$B$14,1), 1*(_xlfn._xlws.FILTER(OFFSET($O$15,0,$DN181,$B$8,1),OFFSET($M$15,0,0,$B$8,1))=EP$13), 1*(_xlfn._xlws.FILTER(OFFSET($O$15,0,$DO181,$B$8,1),OFFSET($M$15,0,0,$B$8,1))=EP$14))   /   SUM(OFFSET($BO$15,0,0,$B$14,1)) + $B$18/($B$19*$B$19*($DN181&lt;&gt;$DO181) + $B$19*($DN181=$DO181))</f>
        <v>3.7037037037037035E-4</v>
      </c>
      <c r="EQ181" s="10" cm="1">
        <f t="array" aca="1" ref="EQ181" ca="1">(1-$B$18)*SUMPRODUCT(OFFSET($BO$15,0,0,$B$14,1), 1*(_xlfn._xlws.FILTER(OFFSET($O$15,0,$DN181,$B$8,1),OFFSET($M$15,0,0,$B$8,1))=EQ$13), 1*(_xlfn._xlws.FILTER(OFFSET($O$15,0,$DO181,$B$8,1),OFFSET($M$15,0,0,$B$8,1))=EQ$14))   /   SUM(OFFSET($BO$15,0,0,$B$14,1)) + $B$18/($B$19*$B$19*($DN181&lt;&gt;$DO181) + $B$19*($DN181=$DO181))</f>
        <v>3.7037037037037035E-4</v>
      </c>
      <c r="ER181" s="10" cm="1">
        <f t="array" aca="1" ref="ER181" ca="1">(1-$B$18)*SUMPRODUCT(OFFSET($BO$15,0,0,$B$14,1), 1*(_xlfn._xlws.FILTER(OFFSET($O$15,0,$DN181,$B$8,1),OFFSET($M$15,0,0,$B$8,1))=ER$13), 1*(_xlfn._xlws.FILTER(OFFSET($O$15,0,$DO181,$B$8,1),OFFSET($M$15,0,0,$B$8,1))=ER$14))   /   SUM(OFFSET($BO$15,0,0,$B$14,1)) + $B$18/($B$19*$B$19*($DN181&lt;&gt;$DO181) + $B$19*($DN181=$DO181))</f>
        <v>3.7037037037037035E-4</v>
      </c>
      <c r="ES181" s="10" cm="1">
        <f t="array" aca="1" ref="ES181" ca="1">(1-$B$18)*SUMPRODUCT(OFFSET($BO$15,0,0,$B$14,1), 1*(_xlfn._xlws.FILTER(OFFSET($O$15,0,$DN181,$B$8,1),OFFSET($M$15,0,0,$B$8,1))=ES$13), 1*(_xlfn._xlws.FILTER(OFFSET($O$15,0,$DO181,$B$8,1),OFFSET($M$15,0,0,$B$8,1))=ES$14))   /   SUM(OFFSET($BO$15,0,0,$B$14,1)) + $B$18/($B$19*$B$19*($DN181&lt;&gt;$DO181) + $B$19*($DN181=$DO181))</f>
        <v>3.7037037037037035E-4</v>
      </c>
      <c r="ET181" s="10" cm="1">
        <f t="array" aca="1" ref="ET181" ca="1">(1-$B$18)*SUMPRODUCT(OFFSET($BO$15,0,0,$B$14,1), 1*(_xlfn._xlws.FILTER(OFFSET($O$15,0,$DN181,$B$8,1),OFFSET($M$15,0,0,$B$8,1))=ET$13), 1*(_xlfn._xlws.FILTER(OFFSET($O$15,0,$DO181,$B$8,1),OFFSET($M$15,0,0,$B$8,1))=ET$14))   /   SUM(OFFSET($BO$15,0,0,$B$14,1)) + $B$18/($B$19*$B$19*($DN181&lt;&gt;$DO181) + $B$19*($DN181=$DO181))</f>
        <v>3.7037037037037035E-4</v>
      </c>
      <c r="EU181" s="10" cm="1">
        <f t="array" aca="1" ref="EU181" ca="1">(1-$B$18)*SUMPRODUCT(OFFSET($BO$15,0,0,$B$14,1), 1*(_xlfn._xlws.FILTER(OFFSET($O$15,0,$DN181,$B$8,1),OFFSET($M$15,0,0,$B$8,1))=EU$13), 1*(_xlfn._xlws.FILTER(OFFSET($O$15,0,$DO181,$B$8,1),OFFSET($M$15,0,0,$B$8,1))=EU$14))   /   SUM(OFFSET($BO$15,0,0,$B$14,1)) + $B$18/($B$19*$B$19*($DN181&lt;&gt;$DO181) + $B$19*($DN181=$DO181))</f>
        <v>3.7037037037037035E-4</v>
      </c>
      <c r="EV181" s="10" cm="1">
        <f t="array" aca="1" ref="EV181" ca="1">(1-$B$18)*SUMPRODUCT(OFFSET($BO$15,0,0,$B$14,1), 1*(_xlfn._xlws.FILTER(OFFSET($O$15,0,$DN181,$B$8,1),OFFSET($M$15,0,0,$B$8,1))=EV$13), 1*(_xlfn._xlws.FILTER(OFFSET($O$15,0,$DO181,$B$8,1),OFFSET($M$15,0,0,$B$8,1))=EV$14))   /   SUM(OFFSET($BO$15,0,0,$B$14,1)) + $B$18/($B$19*$B$19*($DN181&lt;&gt;$DO181) + $B$19*($DN181=$DO181))</f>
        <v>3.7037037037037035E-4</v>
      </c>
      <c r="EW181" s="10" cm="1">
        <f t="array" aca="1" ref="EW181" ca="1">(1-$B$18)*SUMPRODUCT(OFFSET($BO$15,0,0,$B$14,1), 1*(_xlfn._xlws.FILTER(OFFSET($O$15,0,$DN181,$B$8,1),OFFSET($M$15,0,0,$B$8,1))=EW$13), 1*(_xlfn._xlws.FILTER(OFFSET($O$15,0,$DO181,$B$8,1),OFFSET($M$15,0,0,$B$8,1))=EW$14))   /   SUM(OFFSET($BO$15,0,0,$B$14,1)) + $B$18/($B$19*$B$19*($DN181&lt;&gt;$DO181) + $B$19*($DN181=$DO181))</f>
        <v>3.7037037037037035E-4</v>
      </c>
      <c r="EX181" s="10" cm="1">
        <f t="array" aca="1" ref="EX181" ca="1">(1-$B$18)*SUMPRODUCT(OFFSET($BO$15,0,0,$B$14,1), 1*(_xlfn._xlws.FILTER(OFFSET($O$15,0,$DN181,$B$8,1),OFFSET($M$15,0,0,$B$8,1))=EX$13), 1*(_xlfn._xlws.FILTER(OFFSET($O$15,0,$DO181,$B$8,1),OFFSET($M$15,0,0,$B$8,1))=EX$14))   /   SUM(OFFSET($BO$15,0,0,$B$14,1)) + $B$18/($B$19*$B$19*($DN181&lt;&gt;$DO181) + $B$19*($DN181=$DO181))</f>
        <v>3.7037037037037035E-4</v>
      </c>
      <c r="EY181" s="10" cm="1">
        <f t="array" aca="1" ref="EY181" ca="1">(1-$B$18)*SUMPRODUCT(OFFSET($BO$15,0,0,$B$14,1), 1*(_xlfn._xlws.FILTER(OFFSET($O$15,0,$DN181,$B$8,1),OFFSET($M$15,0,0,$B$8,1))=EY$13), 1*(_xlfn._xlws.FILTER(OFFSET($O$15,0,$DO181,$B$8,1),OFFSET($M$15,0,0,$B$8,1))=EY$14))   /   SUM(OFFSET($BO$15,0,0,$B$14,1)) + $B$18/($B$19*$B$19*($DN181&lt;&gt;$DO181) + $B$19*($DN181=$DO181))</f>
        <v>3.7037037037037035E-4</v>
      </c>
      <c r="EZ181" s="10" cm="1">
        <f t="array" aca="1" ref="EZ181" ca="1">(1-$B$18)*SUMPRODUCT(OFFSET($BO$15,0,0,$B$14,1), 1*(_xlfn._xlws.FILTER(OFFSET($O$15,0,$DN181,$B$8,1),OFFSET($M$15,0,0,$B$8,1))=EZ$13), 1*(_xlfn._xlws.FILTER(OFFSET($O$15,0,$DO181,$B$8,1),OFFSET($M$15,0,0,$B$8,1))=EZ$14))   /   SUM(OFFSET($BO$15,0,0,$B$14,1)) + $B$18/($B$19*$B$19*($DN181&lt;&gt;$DO181) + $B$19*($DN181=$DO181))</f>
        <v>3.7037037037037035E-4</v>
      </c>
      <c r="FA181" s="10" cm="1">
        <f t="array" aca="1" ref="FA181" ca="1">(1-$B$18)*SUMPRODUCT(OFFSET($BO$15,0,0,$B$14,1), 1*(_xlfn._xlws.FILTER(OFFSET($O$15,0,$DN181,$B$8,1),OFFSET($M$15,0,0,$B$8,1))=FA$13), 1*(_xlfn._xlws.FILTER(OFFSET($O$15,0,$DO181,$B$8,1),OFFSET($M$15,0,0,$B$8,1))=FA$14))   /   SUM(OFFSET($BO$15,0,0,$B$14,1)) + $B$18/($B$19*$B$19*($DN181&lt;&gt;$DO181) + $B$19*($DN181=$DO181))</f>
        <v>3.7037037037037035E-4</v>
      </c>
      <c r="FB181" s="10" cm="1">
        <f t="array" aca="1" ref="FB181" ca="1">(1-$B$18)*SUMPRODUCT(OFFSET($BO$15,0,0,$B$14,1), 1*(_xlfn._xlws.FILTER(OFFSET($O$15,0,$DN181,$B$8,1),OFFSET($M$15,0,0,$B$8,1))=FB$13), 1*(_xlfn._xlws.FILTER(OFFSET($O$15,0,$DO181,$B$8,1),OFFSET($M$15,0,0,$B$8,1))=FB$14))   /   SUM(OFFSET($BO$15,0,0,$B$14,1)) + $B$18/($B$19*$B$19*($DN181&lt;&gt;$DO181) + $B$19*($DN181=$DO181))</f>
        <v>3.7037037037037035E-4</v>
      </c>
      <c r="FC181" s="10" cm="1">
        <f t="array" aca="1" ref="FC181" ca="1">(1-$B$18)*SUMPRODUCT(OFFSET($BO$15,0,0,$B$14,1), 1*(_xlfn._xlws.FILTER(OFFSET($O$15,0,$DN181,$B$8,1),OFFSET($M$15,0,0,$B$8,1))=FC$13), 1*(_xlfn._xlws.FILTER(OFFSET($O$15,0,$DO181,$B$8,1),OFFSET($M$15,0,0,$B$8,1))=FC$14))   /   SUM(OFFSET($BO$15,0,0,$B$14,1)) + $B$18/($B$19*$B$19*($DN181&lt;&gt;$DO181) + $B$19*($DN181=$DO181))</f>
        <v>3.7037037037037035E-4</v>
      </c>
      <c r="FD181" s="10" cm="1">
        <f t="array" aca="1" ref="FD181" ca="1">(1-$B$18)*SUMPRODUCT(OFFSET($BO$15,0,0,$B$14,1), 1*(_xlfn._xlws.FILTER(OFFSET($O$15,0,$DN181,$B$8,1),OFFSET($M$15,0,0,$B$8,1))=FD$13), 1*(_xlfn._xlws.FILTER(OFFSET($O$15,0,$DO181,$B$8,1),OFFSET($M$15,0,0,$B$8,1))=FD$14))   /   SUM(OFFSET($BO$15,0,0,$B$14,1)) + $B$18/($B$19*$B$19*($DN181&lt;&gt;$DO181) + $B$19*($DN181=$DO181))</f>
        <v>3.7037037037037035E-4</v>
      </c>
      <c r="FE181" s="10" cm="1">
        <f t="array" aca="1" ref="FE181" ca="1">(1-$B$18)*SUMPRODUCT(OFFSET($BO$15,0,0,$B$14,1), 1*(_xlfn._xlws.FILTER(OFFSET($O$15,0,$DN181,$B$8,1),OFFSET($M$15,0,0,$B$8,1))=FE$13), 1*(_xlfn._xlws.FILTER(OFFSET($O$15,0,$DO181,$B$8,1),OFFSET($M$15,0,0,$B$8,1))=FE$14))   /   SUM(OFFSET($BO$15,0,0,$B$14,1)) + $B$18/($B$19*$B$19*($DN181&lt;&gt;$DO181) + $B$19*($DN181=$DO181))</f>
        <v>3.7037037037037035E-4</v>
      </c>
      <c r="FF181" s="10" cm="1">
        <f t="array" aca="1" ref="FF181" ca="1">(1-$B$18)*SUMPRODUCT(OFFSET($BO$15,0,0,$B$14,1), 1*(_xlfn._xlws.FILTER(OFFSET($O$15,0,$DN181,$B$8,1),OFFSET($M$15,0,0,$B$8,1))=FF$13), 1*(_xlfn._xlws.FILTER(OFFSET($O$15,0,$DO181,$B$8,1),OFFSET($M$15,0,0,$B$8,1))=FF$14))   /   SUM(OFFSET($BO$15,0,0,$B$14,1)) + $B$18/($B$19*$B$19*($DN181&lt;&gt;$DO181) + $B$19*($DN181=$DO181))</f>
        <v>3.7037037037037035E-4</v>
      </c>
      <c r="FG181" s="10" cm="1">
        <f t="array" aca="1" ref="FG181" ca="1">(1-$B$18)*SUMPRODUCT(OFFSET($BO$15,0,0,$B$14,1), 1*(_xlfn._xlws.FILTER(OFFSET($O$15,0,$DN181,$B$8,1),OFFSET($M$15,0,0,$B$8,1))=FG$13), 1*(_xlfn._xlws.FILTER(OFFSET($O$15,0,$DO181,$B$8,1),OFFSET($M$15,0,0,$B$8,1))=FG$14))   /   SUM(OFFSET($BO$15,0,0,$B$14,1)) + $B$18/($B$19*$B$19*($DN181&lt;&gt;$DO181) + $B$19*($DN181=$DO181))</f>
        <v>3.7037037037037035E-4</v>
      </c>
      <c r="FH181" s="10" cm="1">
        <f t="array" aca="1" ref="FH181" ca="1">(1-$B$18)*SUMPRODUCT(OFFSET($BO$15,0,0,$B$14,1), 1*(_xlfn._xlws.FILTER(OFFSET($O$15,0,$DN181,$B$8,1),OFFSET($M$15,0,0,$B$8,1))=FH$13), 1*(_xlfn._xlws.FILTER(OFFSET($O$15,0,$DO181,$B$8,1),OFFSET($M$15,0,0,$B$8,1))=FH$14))   /   SUM(OFFSET($BO$15,0,0,$B$14,1)) + $B$18/($B$19*$B$19*($DN181&lt;&gt;$DO181) + $B$19*($DN181=$DO181))</f>
        <v>3.7037037037037035E-4</v>
      </c>
      <c r="FI181" s="10" cm="1">
        <f t="array" aca="1" ref="FI181" ca="1">(1-$B$18)*SUMPRODUCT(OFFSET($BO$15,0,0,$B$14,1), 1*(_xlfn._xlws.FILTER(OFFSET($O$15,0,$DN181,$B$8,1),OFFSET($M$15,0,0,$B$8,1))=FI$13), 1*(_xlfn._xlws.FILTER(OFFSET($O$15,0,$DO181,$B$8,1),OFFSET($M$15,0,0,$B$8,1))=FI$14))   /   SUM(OFFSET($BO$15,0,0,$B$14,1)) + $B$18/($B$19*$B$19*($DN181&lt;&gt;$DO181) + $B$19*($DN181=$DO181))</f>
        <v>3.7037037037037035E-4</v>
      </c>
      <c r="FJ181" s="10" cm="1">
        <f t="array" aca="1" ref="FJ181" ca="1">(1-$B$18)*SUMPRODUCT(OFFSET($BO$15,0,0,$B$14,1), 1*(_xlfn._xlws.FILTER(OFFSET($O$15,0,$DN181,$B$8,1),OFFSET($M$15,0,0,$B$8,1))=FJ$13), 1*(_xlfn._xlws.FILTER(OFFSET($O$15,0,$DO181,$B$8,1),OFFSET($M$15,0,0,$B$8,1))=FJ$14))   /   SUM(OFFSET($BO$15,0,0,$B$14,1)) + $B$18/($B$19*$B$19*($DN181&lt;&gt;$DO181) + $B$19*($DN181=$DO181))</f>
        <v>3.7037037037037035E-4</v>
      </c>
      <c r="FK181" s="10" cm="1">
        <f t="array" aca="1" ref="FK181" ca="1">(1-$B$18)*SUMPRODUCT(OFFSET($BO$15,0,0,$B$14,1), 1*(_xlfn._xlws.FILTER(OFFSET($O$15,0,$DN181,$B$8,1),OFFSET($M$15,0,0,$B$8,1))=FK$13), 1*(_xlfn._xlws.FILTER(OFFSET($O$15,0,$DO181,$B$8,1),OFFSET($M$15,0,0,$B$8,1))=FK$14))   /   SUM(OFFSET($BO$15,0,0,$B$14,1)) + $B$18/($B$19*$B$19*($DN181&lt;&gt;$DO181) + $B$19*($DN181=$DO181))</f>
        <v>3.7037037037037035E-4</v>
      </c>
      <c r="FL181" s="10" cm="1">
        <f t="array" aca="1" ref="FL181" ca="1">(1-$B$18)*SUMPRODUCT(OFFSET($BO$15,0,0,$B$14,1), 1*(_xlfn._xlws.FILTER(OFFSET($O$15,0,$DN181,$B$8,1),OFFSET($M$15,0,0,$B$8,1))=FL$13), 1*(_xlfn._xlws.FILTER(OFFSET($O$15,0,$DO181,$B$8,1),OFFSET($M$15,0,0,$B$8,1))=FL$14))   /   SUM(OFFSET($BO$15,0,0,$B$14,1)) + $B$18/($B$19*$B$19*($DN181&lt;&gt;$DO181) + $B$19*($DN181=$DO181))</f>
        <v>3.7037037037037035E-4</v>
      </c>
      <c r="FM181" s="10" cm="1">
        <f t="array" aca="1" ref="FM181" ca="1">(1-$B$18)*SUMPRODUCT(OFFSET($BO$15,0,0,$B$14,1), 1*(_xlfn._xlws.FILTER(OFFSET($O$15,0,$DN181,$B$8,1),OFFSET($M$15,0,0,$B$8,1))=FM$13), 1*(_xlfn._xlws.FILTER(OFFSET($O$15,0,$DO181,$B$8,1),OFFSET($M$15,0,0,$B$8,1))=FM$14))   /   SUM(OFFSET($BO$15,0,0,$B$14,1)) + $B$18/($B$19*$B$19*($DN181&lt;&gt;$DO181) + $B$19*($DN181=$DO181))</f>
        <v>3.7037037037037035E-4</v>
      </c>
      <c r="FN181" s="10" cm="1">
        <f t="array" aca="1" ref="FN181" ca="1">(1-$B$18)*SUMPRODUCT(OFFSET($BO$15,0,0,$B$14,1), 1*(_xlfn._xlws.FILTER(OFFSET($O$15,0,$DN181,$B$8,1),OFFSET($M$15,0,0,$B$8,1))=FN$13), 1*(_xlfn._xlws.FILTER(OFFSET($O$15,0,$DO181,$B$8,1),OFFSET($M$15,0,0,$B$8,1))=FN$14))   /   SUM(OFFSET($BO$15,0,0,$B$14,1)) + $B$18/($B$19*$B$19*($DN181&lt;&gt;$DO181) + $B$19*($DN181=$DO181))</f>
        <v>0.97037037037037033</v>
      </c>
      <c r="FO181" s="10" cm="1">
        <f t="array" aca="1" ref="FO181" ca="1">(1-$B$18)*SUMPRODUCT(OFFSET($BO$15,0,0,$B$14,1), 1*(_xlfn._xlws.FILTER(OFFSET($O$15,0,$DN181,$B$8,1),OFFSET($M$15,0,0,$B$8,1))=FO$13), 1*(_xlfn._xlws.FILTER(OFFSET($O$15,0,$DO181,$B$8,1),OFFSET($M$15,0,0,$B$8,1))=FO$14))   /   SUM(OFFSET($BO$15,0,0,$B$14,1)) + $B$18/($B$19*$B$19*($DN181&lt;&gt;$DO181) + $B$19*($DN181=$DO181))</f>
        <v>3.7037037037037035E-4</v>
      </c>
      <c r="FP181" s="10" cm="1">
        <f t="array" aca="1" ref="FP181" ca="1">(1-$B$18)*SUMPRODUCT(OFFSET($BO$15,0,0,$B$14,1), 1*(_xlfn._xlws.FILTER(OFFSET($O$15,0,$DN181,$B$8,1),OFFSET($M$15,0,0,$B$8,1))=FP$13), 1*(_xlfn._xlws.FILTER(OFFSET($O$15,0,$DO181,$B$8,1),OFFSET($M$15,0,0,$B$8,1))=FP$14))   /   SUM(OFFSET($BO$15,0,0,$B$14,1)) + $B$18/($B$19*$B$19*($DN181&lt;&gt;$DO181) + $B$19*($DN181=$DO181))</f>
        <v>3.7037037037037035E-4</v>
      </c>
      <c r="FQ181" s="10" cm="1">
        <f t="array" aca="1" ref="FQ181" ca="1">(1-$B$18)*SUMPRODUCT(OFFSET($BO$15,0,0,$B$14,1), 1*(_xlfn._xlws.FILTER(OFFSET($O$15,0,$DN181,$B$8,1),OFFSET($M$15,0,0,$B$8,1))=FQ$13), 1*(_xlfn._xlws.FILTER(OFFSET($O$15,0,$DO181,$B$8,1),OFFSET($M$15,0,0,$B$8,1))=FQ$14))   /   SUM(OFFSET($BO$15,0,0,$B$14,1)) + $B$18/($B$19*$B$19*($DN181&lt;&gt;$DO181) + $B$19*($DN181=$DO181))</f>
        <v>3.7037037037037035E-4</v>
      </c>
      <c r="FR181" s="10" cm="1">
        <f t="array" aca="1" ref="FR181" ca="1">(1-$B$18)*SUMPRODUCT(OFFSET($BO$15,0,0,$B$14,1), 1*(_xlfn._xlws.FILTER(OFFSET($O$15,0,$DN181,$B$8,1),OFFSET($M$15,0,0,$B$8,1))=FR$13), 1*(_xlfn._xlws.FILTER(OFFSET($O$15,0,$DO181,$B$8,1),OFFSET($M$15,0,0,$B$8,1))=FR$14))   /   SUM(OFFSET($BO$15,0,0,$B$14,1)) + $B$18/($B$19*$B$19*($DN181&lt;&gt;$DO181) + $B$19*($DN181=$DO181))</f>
        <v>3.7037037037037035E-4</v>
      </c>
      <c r="FS181" s="10" cm="1">
        <f t="array" aca="1" ref="FS181" ca="1">(1-$B$18)*SUMPRODUCT(OFFSET($BO$15,0,0,$B$14,1), 1*(_xlfn._xlws.FILTER(OFFSET($O$15,0,$DN181,$B$8,1),OFFSET($M$15,0,0,$B$8,1))=FS$13), 1*(_xlfn._xlws.FILTER(OFFSET($O$15,0,$DO181,$B$8,1),OFFSET($M$15,0,0,$B$8,1))=FS$14))   /   SUM(OFFSET($BO$15,0,0,$B$14,1)) + $B$18/($B$19*$B$19*($DN181&lt;&gt;$DO181) + $B$19*($DN181=$DO181))</f>
        <v>3.7037037037037035E-4</v>
      </c>
      <c r="FT181" s="10" cm="1">
        <f t="array" aca="1" ref="FT181" ca="1">(1-$B$18)*SUMPRODUCT(OFFSET($BO$15,0,0,$B$14,1), 1*(_xlfn._xlws.FILTER(OFFSET($O$15,0,$DN181,$B$8,1),OFFSET($M$15,0,0,$B$8,1))=FT$13), 1*(_xlfn._xlws.FILTER(OFFSET($O$15,0,$DO181,$B$8,1),OFFSET($M$15,0,0,$B$8,1))=FT$14))   /   SUM(OFFSET($BO$15,0,0,$B$14,1)) + $B$18/($B$19*$B$19*($DN181&lt;&gt;$DO181) + $B$19*($DN181=$DO181))</f>
        <v>3.7037037037037035E-4</v>
      </c>
      <c r="FU181" s="10" cm="1">
        <f t="array" aca="1" ref="FU181" ca="1">(1-$B$18)*SUMPRODUCT(OFFSET($BO$15,0,0,$B$14,1), 1*(_xlfn._xlws.FILTER(OFFSET($O$15,0,$DN181,$B$8,1),OFFSET($M$15,0,0,$B$8,1))=FU$13), 1*(_xlfn._xlws.FILTER(OFFSET($O$15,0,$DO181,$B$8,1),OFFSET($M$15,0,0,$B$8,1))=FU$14))   /   SUM(OFFSET($BO$15,0,0,$B$14,1)) + $B$18/($B$19*$B$19*($DN181&lt;&gt;$DO181) + $B$19*($DN181=$DO181))</f>
        <v>3.7037037037037035E-4</v>
      </c>
      <c r="FV181" s="10" cm="1">
        <f t="array" aca="1" ref="FV181" ca="1">(1-$B$18)*SUMPRODUCT(OFFSET($BO$15,0,0,$B$14,1), 1*(_xlfn._xlws.FILTER(OFFSET($O$15,0,$DN181,$B$8,1),OFFSET($M$15,0,0,$B$8,1))=FV$13), 1*(_xlfn._xlws.FILTER(OFFSET($O$15,0,$DO181,$B$8,1),OFFSET($M$15,0,0,$B$8,1))=FV$14))   /   SUM(OFFSET($BO$15,0,0,$B$14,1)) + $B$18/($B$19*$B$19*($DN181&lt;&gt;$DO181) + $B$19*($DN181=$DO181))</f>
        <v>3.7037037037037035E-4</v>
      </c>
      <c r="FW181" s="10" cm="1">
        <f t="array" aca="1" ref="FW181" ca="1">(1-$B$18)*SUMPRODUCT(OFFSET($BO$15,0,0,$B$14,1), 1*(_xlfn._xlws.FILTER(OFFSET($O$15,0,$DN181,$B$8,1),OFFSET($M$15,0,0,$B$8,1))=FW$13), 1*(_xlfn._xlws.FILTER(OFFSET($O$15,0,$DO181,$B$8,1),OFFSET($M$15,0,0,$B$8,1))=FW$14))   /   SUM(OFFSET($BO$15,0,0,$B$14,1)) + $B$18/($B$19*$B$19*($DN181&lt;&gt;$DO181) + $B$19*($DN181=$DO181))</f>
        <v>3.7037037037037035E-4</v>
      </c>
      <c r="FX181" s="10" cm="1">
        <f t="array" aca="1" ref="FX181" ca="1">(1-$B$18)*SUMPRODUCT(OFFSET($BO$15,0,0,$B$14,1), 1*(_xlfn._xlws.FILTER(OFFSET($O$15,0,$DN181,$B$8,1),OFFSET($M$15,0,0,$B$8,1))=FX$13), 1*(_xlfn._xlws.FILTER(OFFSET($O$15,0,$DO181,$B$8,1),OFFSET($M$15,0,0,$B$8,1))=FX$14))   /   SUM(OFFSET($BO$15,0,0,$B$14,1)) + $B$18/($B$19*$B$19*($DN181&lt;&gt;$DO181) + $B$19*($DN181=$DO181))</f>
        <v>3.7037037037037035E-4</v>
      </c>
      <c r="FY181" s="10" cm="1">
        <f t="array" aca="1" ref="FY181" ca="1">(1-$B$18)*SUMPRODUCT(OFFSET($BO$15,0,0,$B$14,1), 1*(_xlfn._xlws.FILTER(OFFSET($O$15,0,$DN181,$B$8,1),OFFSET($M$15,0,0,$B$8,1))=FY$13), 1*(_xlfn._xlws.FILTER(OFFSET($O$15,0,$DO181,$B$8,1),OFFSET($M$15,0,0,$B$8,1))=FY$14))   /   SUM(OFFSET($BO$15,0,0,$B$14,1)) + $B$18/($B$19*$B$19*($DN181&lt;&gt;$DO181) + $B$19*($DN181=$DO181))</f>
        <v>3.7037037037037035E-4</v>
      </c>
      <c r="FZ181" s="10" cm="1">
        <f t="array" aca="1" ref="FZ181" ca="1">(1-$B$18)*SUMPRODUCT(OFFSET($BO$15,0,0,$B$14,1), 1*(_xlfn._xlws.FILTER(OFFSET($O$15,0,$DN181,$B$8,1),OFFSET($M$15,0,0,$B$8,1))=FZ$13), 1*(_xlfn._xlws.FILTER(OFFSET($O$15,0,$DO181,$B$8,1),OFFSET($M$15,0,0,$B$8,1))=FZ$14))   /   SUM(OFFSET($BO$15,0,0,$B$14,1)) + $B$18/($B$19*$B$19*($DN181&lt;&gt;$DO181) + $B$19*($DN181=$DO181))</f>
        <v>3.7037037037037035E-4</v>
      </c>
      <c r="GA181" s="10" cm="1">
        <f t="array" aca="1" ref="GA181" ca="1">(1-$B$18)*SUMPRODUCT(OFFSET($BO$15,0,0,$B$14,1), 1*(_xlfn._xlws.FILTER(OFFSET($O$15,0,$DN181,$B$8,1),OFFSET($M$15,0,0,$B$8,1))=GA$13), 1*(_xlfn._xlws.FILTER(OFFSET($O$15,0,$DO181,$B$8,1),OFFSET($M$15,0,0,$B$8,1))=GA$14))   /   SUM(OFFSET($BO$15,0,0,$B$14,1)) + $B$18/($B$19*$B$19*($DN181&lt;&gt;$DO181) + $B$19*($DN181=$DO181))</f>
        <v>3.7037037037037035E-4</v>
      </c>
    </row>
    <row r="182" spans="118:183" x14ac:dyDescent="0.2">
      <c r="DN182" cm="1">
        <f t="array" aca="1" ref="DN182" ca="1">INDEX(_xlfn.ANCHORARRAY($CP$15), 1 + INT((ROWS($DO$15:$DO182) - 1) / ROWS(_xlfn.ANCHORARRAY($CP$15))))</f>
        <v>8</v>
      </c>
      <c r="DO182" cm="1">
        <f t="array" aca="1" ref="DO182" ca="1">INDEX(_xlfn.ANCHORARRAY($CP$15),1+MOD(ROWS($DO$15:$DO182)-1,ROWS(_xlfn.ANCHORARRAY($CP$15))))</f>
        <v>18</v>
      </c>
      <c r="DP182" s="10" cm="1">
        <f t="array" aca="1" ref="DP182" ca="1">(1-$B$18)*SUMPRODUCT(OFFSET($BO$15,0,0,$B$14,1), 1*(_xlfn._xlws.FILTER(OFFSET($O$15,0,$DN182,$B$8,1),OFFSET($M$15,0,0,$B$8,1))=DP$13), 1*(_xlfn._xlws.FILTER(OFFSET($O$15,0,$DO182,$B$8,1),OFFSET($M$15,0,0,$B$8,1))=DP$14))   /   SUM(OFFSET($BO$15,0,0,$B$14,1)) + $B$18/($B$19*$B$19*($DN182&lt;&gt;$DO182) + $B$19*($DN182=$DO182))</f>
        <v>3.7037037037037035E-4</v>
      </c>
      <c r="DQ182" s="10" cm="1">
        <f t="array" aca="1" ref="DQ182" ca="1">(1-$B$18)*SUMPRODUCT(OFFSET($BO$15,0,0,$B$14,1), 1*(_xlfn._xlws.FILTER(OFFSET($O$15,0,$DN182,$B$8,1),OFFSET($M$15,0,0,$B$8,1))=DQ$13), 1*(_xlfn._xlws.FILTER(OFFSET($O$15,0,$DO182,$B$8,1),OFFSET($M$15,0,0,$B$8,1))=DQ$14))   /   SUM(OFFSET($BO$15,0,0,$B$14,1)) + $B$18/($B$19*$B$19*($DN182&lt;&gt;$DO182) + $B$19*($DN182=$DO182))</f>
        <v>3.7037037037037035E-4</v>
      </c>
      <c r="DR182" s="10" cm="1">
        <f t="array" aca="1" ref="DR182" ca="1">(1-$B$18)*SUMPRODUCT(OFFSET($BO$15,0,0,$B$14,1), 1*(_xlfn._xlws.FILTER(OFFSET($O$15,0,$DN182,$B$8,1),OFFSET($M$15,0,0,$B$8,1))=DR$13), 1*(_xlfn._xlws.FILTER(OFFSET($O$15,0,$DO182,$B$8,1),OFFSET($M$15,0,0,$B$8,1))=DR$14))   /   SUM(OFFSET($BO$15,0,0,$B$14,1)) + $B$18/($B$19*$B$19*($DN182&lt;&gt;$DO182) + $B$19*($DN182=$DO182))</f>
        <v>3.7037037037037035E-4</v>
      </c>
      <c r="DS182" s="10" cm="1">
        <f t="array" aca="1" ref="DS182" ca="1">(1-$B$18)*SUMPRODUCT(OFFSET($BO$15,0,0,$B$14,1), 1*(_xlfn._xlws.FILTER(OFFSET($O$15,0,$DN182,$B$8,1),OFFSET($M$15,0,0,$B$8,1))=DS$13), 1*(_xlfn._xlws.FILTER(OFFSET($O$15,0,$DO182,$B$8,1),OFFSET($M$15,0,0,$B$8,1))=DS$14))   /   SUM(OFFSET($BO$15,0,0,$B$14,1)) + $B$18/($B$19*$B$19*($DN182&lt;&gt;$DO182) + $B$19*($DN182=$DO182))</f>
        <v>3.7037037037037035E-4</v>
      </c>
      <c r="DT182" s="10" cm="1">
        <f t="array" aca="1" ref="DT182" ca="1">(1-$B$18)*SUMPRODUCT(OFFSET($BO$15,0,0,$B$14,1), 1*(_xlfn._xlws.FILTER(OFFSET($O$15,0,$DN182,$B$8,1),OFFSET($M$15,0,0,$B$8,1))=DT$13), 1*(_xlfn._xlws.FILTER(OFFSET($O$15,0,$DO182,$B$8,1),OFFSET($M$15,0,0,$B$8,1))=DT$14))   /   SUM(OFFSET($BO$15,0,0,$B$14,1)) + $B$18/($B$19*$B$19*($DN182&lt;&gt;$DO182) + $B$19*($DN182=$DO182))</f>
        <v>3.7037037037037035E-4</v>
      </c>
      <c r="DU182" s="10" cm="1">
        <f t="array" aca="1" ref="DU182" ca="1">(1-$B$18)*SUMPRODUCT(OFFSET($BO$15,0,0,$B$14,1), 1*(_xlfn._xlws.FILTER(OFFSET($O$15,0,$DN182,$B$8,1),OFFSET($M$15,0,0,$B$8,1))=DU$13), 1*(_xlfn._xlws.FILTER(OFFSET($O$15,0,$DO182,$B$8,1),OFFSET($M$15,0,0,$B$8,1))=DU$14))   /   SUM(OFFSET($BO$15,0,0,$B$14,1)) + $B$18/($B$19*$B$19*($DN182&lt;&gt;$DO182) + $B$19*($DN182=$DO182))</f>
        <v>3.7037037037037035E-4</v>
      </c>
      <c r="DV182" s="10" cm="1">
        <f t="array" aca="1" ref="DV182" ca="1">(1-$B$18)*SUMPRODUCT(OFFSET($BO$15,0,0,$B$14,1), 1*(_xlfn._xlws.FILTER(OFFSET($O$15,0,$DN182,$B$8,1),OFFSET($M$15,0,0,$B$8,1))=DV$13), 1*(_xlfn._xlws.FILTER(OFFSET($O$15,0,$DO182,$B$8,1),OFFSET($M$15,0,0,$B$8,1))=DV$14))   /   SUM(OFFSET($BO$15,0,0,$B$14,1)) + $B$18/($B$19*$B$19*($DN182&lt;&gt;$DO182) + $B$19*($DN182=$DO182))</f>
        <v>3.7037037037037035E-4</v>
      </c>
      <c r="DW182" s="10" cm="1">
        <f t="array" aca="1" ref="DW182" ca="1">(1-$B$18)*SUMPRODUCT(OFFSET($BO$15,0,0,$B$14,1), 1*(_xlfn._xlws.FILTER(OFFSET($O$15,0,$DN182,$B$8,1),OFFSET($M$15,0,0,$B$8,1))=DW$13), 1*(_xlfn._xlws.FILTER(OFFSET($O$15,0,$DO182,$B$8,1),OFFSET($M$15,0,0,$B$8,1))=DW$14))   /   SUM(OFFSET($BO$15,0,0,$B$14,1)) + $B$18/($B$19*$B$19*($DN182&lt;&gt;$DO182) + $B$19*($DN182=$DO182))</f>
        <v>3.7037037037037035E-4</v>
      </c>
      <c r="DX182" s="10" cm="1">
        <f t="array" aca="1" ref="DX182" ca="1">(1-$B$18)*SUMPRODUCT(OFFSET($BO$15,0,0,$B$14,1), 1*(_xlfn._xlws.FILTER(OFFSET($O$15,0,$DN182,$B$8,1),OFFSET($M$15,0,0,$B$8,1))=DX$13), 1*(_xlfn._xlws.FILTER(OFFSET($O$15,0,$DO182,$B$8,1),OFFSET($M$15,0,0,$B$8,1))=DX$14))   /   SUM(OFFSET($BO$15,0,0,$B$14,1)) + $B$18/($B$19*$B$19*($DN182&lt;&gt;$DO182) + $B$19*($DN182=$DO182))</f>
        <v>3.7037037037037035E-4</v>
      </c>
      <c r="DY182" s="10" cm="1">
        <f t="array" aca="1" ref="DY182" ca="1">(1-$B$18)*SUMPRODUCT(OFFSET($BO$15,0,0,$B$14,1), 1*(_xlfn._xlws.FILTER(OFFSET($O$15,0,$DN182,$B$8,1),OFFSET($M$15,0,0,$B$8,1))=DY$13), 1*(_xlfn._xlws.FILTER(OFFSET($O$15,0,$DO182,$B$8,1),OFFSET($M$15,0,0,$B$8,1))=DY$14))   /   SUM(OFFSET($BO$15,0,0,$B$14,1)) + $B$18/($B$19*$B$19*($DN182&lt;&gt;$DO182) + $B$19*($DN182=$DO182))</f>
        <v>3.7037037037037035E-4</v>
      </c>
      <c r="DZ182" s="10" cm="1">
        <f t="array" aca="1" ref="DZ182" ca="1">(1-$B$18)*SUMPRODUCT(OFFSET($BO$15,0,0,$B$14,1), 1*(_xlfn._xlws.FILTER(OFFSET($O$15,0,$DN182,$B$8,1),OFFSET($M$15,0,0,$B$8,1))=DZ$13), 1*(_xlfn._xlws.FILTER(OFFSET($O$15,0,$DO182,$B$8,1),OFFSET($M$15,0,0,$B$8,1))=DZ$14))   /   SUM(OFFSET($BO$15,0,0,$B$14,1)) + $B$18/($B$19*$B$19*($DN182&lt;&gt;$DO182) + $B$19*($DN182=$DO182))</f>
        <v>3.7037037037037035E-4</v>
      </c>
      <c r="EA182" s="10" cm="1">
        <f t="array" aca="1" ref="EA182" ca="1">(1-$B$18)*SUMPRODUCT(OFFSET($BO$15,0,0,$B$14,1), 1*(_xlfn._xlws.FILTER(OFFSET($O$15,0,$DN182,$B$8,1),OFFSET($M$15,0,0,$B$8,1))=EA$13), 1*(_xlfn._xlws.FILTER(OFFSET($O$15,0,$DO182,$B$8,1),OFFSET($M$15,0,0,$B$8,1))=EA$14))   /   SUM(OFFSET($BO$15,0,0,$B$14,1)) + $B$18/($B$19*$B$19*($DN182&lt;&gt;$DO182) + $B$19*($DN182=$DO182))</f>
        <v>3.7037037037037035E-4</v>
      </c>
      <c r="EB182" s="10" cm="1">
        <f t="array" aca="1" ref="EB182" ca="1">(1-$B$18)*SUMPRODUCT(OFFSET($BO$15,0,0,$B$14,1), 1*(_xlfn._xlws.FILTER(OFFSET($O$15,0,$DN182,$B$8,1),OFFSET($M$15,0,0,$B$8,1))=EB$13), 1*(_xlfn._xlws.FILTER(OFFSET($O$15,0,$DO182,$B$8,1),OFFSET($M$15,0,0,$B$8,1))=EB$14))   /   SUM(OFFSET($BO$15,0,0,$B$14,1)) + $B$18/($B$19*$B$19*($DN182&lt;&gt;$DO182) + $B$19*($DN182=$DO182))</f>
        <v>3.7037037037037035E-4</v>
      </c>
      <c r="EC182" s="10" cm="1">
        <f t="array" aca="1" ref="EC182" ca="1">(1-$B$18)*SUMPRODUCT(OFFSET($BO$15,0,0,$B$14,1), 1*(_xlfn._xlws.FILTER(OFFSET($O$15,0,$DN182,$B$8,1),OFFSET($M$15,0,0,$B$8,1))=EC$13), 1*(_xlfn._xlws.FILTER(OFFSET($O$15,0,$DO182,$B$8,1),OFFSET($M$15,0,0,$B$8,1))=EC$14))   /   SUM(OFFSET($BO$15,0,0,$B$14,1)) + $B$18/($B$19*$B$19*($DN182&lt;&gt;$DO182) + $B$19*($DN182=$DO182))</f>
        <v>3.7037037037037035E-4</v>
      </c>
      <c r="ED182" s="10" cm="1">
        <f t="array" aca="1" ref="ED182" ca="1">(1-$B$18)*SUMPRODUCT(OFFSET($BO$15,0,0,$B$14,1), 1*(_xlfn._xlws.FILTER(OFFSET($O$15,0,$DN182,$B$8,1),OFFSET($M$15,0,0,$B$8,1))=ED$13), 1*(_xlfn._xlws.FILTER(OFFSET($O$15,0,$DO182,$B$8,1),OFFSET($M$15,0,0,$B$8,1))=ED$14))   /   SUM(OFFSET($BO$15,0,0,$B$14,1)) + $B$18/($B$19*$B$19*($DN182&lt;&gt;$DO182) + $B$19*($DN182=$DO182))</f>
        <v>3.7037037037037035E-4</v>
      </c>
      <c r="EE182" s="10" cm="1">
        <f t="array" aca="1" ref="EE182" ca="1">(1-$B$18)*SUMPRODUCT(OFFSET($BO$15,0,0,$B$14,1), 1*(_xlfn._xlws.FILTER(OFFSET($O$15,0,$DN182,$B$8,1),OFFSET($M$15,0,0,$B$8,1))=EE$13), 1*(_xlfn._xlws.FILTER(OFFSET($O$15,0,$DO182,$B$8,1),OFFSET($M$15,0,0,$B$8,1))=EE$14))   /   SUM(OFFSET($BO$15,0,0,$B$14,1)) + $B$18/($B$19*$B$19*($DN182&lt;&gt;$DO182) + $B$19*($DN182=$DO182))</f>
        <v>3.7037037037037035E-4</v>
      </c>
      <c r="EF182" s="10" cm="1">
        <f t="array" aca="1" ref="EF182" ca="1">(1-$B$18)*SUMPRODUCT(OFFSET($BO$15,0,0,$B$14,1), 1*(_xlfn._xlws.FILTER(OFFSET($O$15,0,$DN182,$B$8,1),OFFSET($M$15,0,0,$B$8,1))=EF$13), 1*(_xlfn._xlws.FILTER(OFFSET($O$15,0,$DO182,$B$8,1),OFFSET($M$15,0,0,$B$8,1))=EF$14))   /   SUM(OFFSET($BO$15,0,0,$B$14,1)) + $B$18/($B$19*$B$19*($DN182&lt;&gt;$DO182) + $B$19*($DN182=$DO182))</f>
        <v>3.7037037037037035E-4</v>
      </c>
      <c r="EG182" s="10" cm="1">
        <f t="array" aca="1" ref="EG182" ca="1">(1-$B$18)*SUMPRODUCT(OFFSET($BO$15,0,0,$B$14,1), 1*(_xlfn._xlws.FILTER(OFFSET($O$15,0,$DN182,$B$8,1),OFFSET($M$15,0,0,$B$8,1))=EG$13), 1*(_xlfn._xlws.FILTER(OFFSET($O$15,0,$DO182,$B$8,1),OFFSET($M$15,0,0,$B$8,1))=EG$14))   /   SUM(OFFSET($BO$15,0,0,$B$14,1)) + $B$18/($B$19*$B$19*($DN182&lt;&gt;$DO182) + $B$19*($DN182=$DO182))</f>
        <v>3.7037037037037035E-4</v>
      </c>
      <c r="EH182" s="10" cm="1">
        <f t="array" aca="1" ref="EH182" ca="1">(1-$B$18)*SUMPRODUCT(OFFSET($BO$15,0,0,$B$14,1), 1*(_xlfn._xlws.FILTER(OFFSET($O$15,0,$DN182,$B$8,1),OFFSET($M$15,0,0,$B$8,1))=EH$13), 1*(_xlfn._xlws.FILTER(OFFSET($O$15,0,$DO182,$B$8,1),OFFSET($M$15,0,0,$B$8,1))=EH$14))   /   SUM(OFFSET($BO$15,0,0,$B$14,1)) + $B$18/($B$19*$B$19*($DN182&lt;&gt;$DO182) + $B$19*($DN182=$DO182))</f>
        <v>3.7037037037037035E-4</v>
      </c>
      <c r="EI182" s="10" cm="1">
        <f t="array" aca="1" ref="EI182" ca="1">(1-$B$18)*SUMPRODUCT(OFFSET($BO$15,0,0,$B$14,1), 1*(_xlfn._xlws.FILTER(OFFSET($O$15,0,$DN182,$B$8,1),OFFSET($M$15,0,0,$B$8,1))=EI$13), 1*(_xlfn._xlws.FILTER(OFFSET($O$15,0,$DO182,$B$8,1),OFFSET($M$15,0,0,$B$8,1))=EI$14))   /   SUM(OFFSET($BO$15,0,0,$B$14,1)) + $B$18/($B$19*$B$19*($DN182&lt;&gt;$DO182) + $B$19*($DN182=$DO182))</f>
        <v>3.7037037037037035E-4</v>
      </c>
      <c r="EJ182" s="10" cm="1">
        <f t="array" aca="1" ref="EJ182" ca="1">(1-$B$18)*SUMPRODUCT(OFFSET($BO$15,0,0,$B$14,1), 1*(_xlfn._xlws.FILTER(OFFSET($O$15,0,$DN182,$B$8,1),OFFSET($M$15,0,0,$B$8,1))=EJ$13), 1*(_xlfn._xlws.FILTER(OFFSET($O$15,0,$DO182,$B$8,1),OFFSET($M$15,0,0,$B$8,1))=EJ$14))   /   SUM(OFFSET($BO$15,0,0,$B$14,1)) + $B$18/($B$19*$B$19*($DN182&lt;&gt;$DO182) + $B$19*($DN182=$DO182))</f>
        <v>3.7037037037037035E-4</v>
      </c>
      <c r="EK182" s="10" cm="1">
        <f t="array" aca="1" ref="EK182" ca="1">(1-$B$18)*SUMPRODUCT(OFFSET($BO$15,0,0,$B$14,1), 1*(_xlfn._xlws.FILTER(OFFSET($O$15,0,$DN182,$B$8,1),OFFSET($M$15,0,0,$B$8,1))=EK$13), 1*(_xlfn._xlws.FILTER(OFFSET($O$15,0,$DO182,$B$8,1),OFFSET($M$15,0,0,$B$8,1))=EK$14))   /   SUM(OFFSET($BO$15,0,0,$B$14,1)) + $B$18/($B$19*$B$19*($DN182&lt;&gt;$DO182) + $B$19*($DN182=$DO182))</f>
        <v>3.7037037037037035E-4</v>
      </c>
      <c r="EL182" s="10" cm="1">
        <f t="array" aca="1" ref="EL182" ca="1">(1-$B$18)*SUMPRODUCT(OFFSET($BO$15,0,0,$B$14,1), 1*(_xlfn._xlws.FILTER(OFFSET($O$15,0,$DN182,$B$8,1),OFFSET($M$15,0,0,$B$8,1))=EL$13), 1*(_xlfn._xlws.FILTER(OFFSET($O$15,0,$DO182,$B$8,1),OFFSET($M$15,0,0,$B$8,1))=EL$14))   /   SUM(OFFSET($BO$15,0,0,$B$14,1)) + $B$18/($B$19*$B$19*($DN182&lt;&gt;$DO182) + $B$19*($DN182=$DO182))</f>
        <v>3.7037037037037035E-4</v>
      </c>
      <c r="EM182" s="10" cm="1">
        <f t="array" aca="1" ref="EM182" ca="1">(1-$B$18)*SUMPRODUCT(OFFSET($BO$15,0,0,$B$14,1), 1*(_xlfn._xlws.FILTER(OFFSET($O$15,0,$DN182,$B$8,1),OFFSET($M$15,0,0,$B$8,1))=EM$13), 1*(_xlfn._xlws.FILTER(OFFSET($O$15,0,$DO182,$B$8,1),OFFSET($M$15,0,0,$B$8,1))=EM$14))   /   SUM(OFFSET($BO$15,0,0,$B$14,1)) + $B$18/($B$19*$B$19*($DN182&lt;&gt;$DO182) + $B$19*($DN182=$DO182))</f>
        <v>3.7037037037037035E-4</v>
      </c>
      <c r="EN182" s="10" cm="1">
        <f t="array" aca="1" ref="EN182" ca="1">(1-$B$18)*SUMPRODUCT(OFFSET($BO$15,0,0,$B$14,1), 1*(_xlfn._xlws.FILTER(OFFSET($O$15,0,$DN182,$B$8,1),OFFSET($M$15,0,0,$B$8,1))=EN$13), 1*(_xlfn._xlws.FILTER(OFFSET($O$15,0,$DO182,$B$8,1),OFFSET($M$15,0,0,$B$8,1))=EN$14))   /   SUM(OFFSET($BO$15,0,0,$B$14,1)) + $B$18/($B$19*$B$19*($DN182&lt;&gt;$DO182) + $B$19*($DN182=$DO182))</f>
        <v>3.7037037037037035E-4</v>
      </c>
      <c r="EO182" s="10" cm="1">
        <f t="array" aca="1" ref="EO182" ca="1">(1-$B$18)*SUMPRODUCT(OFFSET($BO$15,0,0,$B$14,1), 1*(_xlfn._xlws.FILTER(OFFSET($O$15,0,$DN182,$B$8,1),OFFSET($M$15,0,0,$B$8,1))=EO$13), 1*(_xlfn._xlws.FILTER(OFFSET($O$15,0,$DO182,$B$8,1),OFFSET($M$15,0,0,$B$8,1))=EO$14))   /   SUM(OFFSET($BO$15,0,0,$B$14,1)) + $B$18/($B$19*$B$19*($DN182&lt;&gt;$DO182) + $B$19*($DN182=$DO182))</f>
        <v>3.7037037037037035E-4</v>
      </c>
      <c r="EP182" s="10" cm="1">
        <f t="array" aca="1" ref="EP182" ca="1">(1-$B$18)*SUMPRODUCT(OFFSET($BO$15,0,0,$B$14,1), 1*(_xlfn._xlws.FILTER(OFFSET($O$15,0,$DN182,$B$8,1),OFFSET($M$15,0,0,$B$8,1))=EP$13), 1*(_xlfn._xlws.FILTER(OFFSET($O$15,0,$DO182,$B$8,1),OFFSET($M$15,0,0,$B$8,1))=EP$14))   /   SUM(OFFSET($BO$15,0,0,$B$14,1)) + $B$18/($B$19*$B$19*($DN182&lt;&gt;$DO182) + $B$19*($DN182=$DO182))</f>
        <v>3.7037037037037035E-4</v>
      </c>
      <c r="EQ182" s="10" cm="1">
        <f t="array" aca="1" ref="EQ182" ca="1">(1-$B$18)*SUMPRODUCT(OFFSET($BO$15,0,0,$B$14,1), 1*(_xlfn._xlws.FILTER(OFFSET($O$15,0,$DN182,$B$8,1),OFFSET($M$15,0,0,$B$8,1))=EQ$13), 1*(_xlfn._xlws.FILTER(OFFSET($O$15,0,$DO182,$B$8,1),OFFSET($M$15,0,0,$B$8,1))=EQ$14))   /   SUM(OFFSET($BO$15,0,0,$B$14,1)) + $B$18/($B$19*$B$19*($DN182&lt;&gt;$DO182) + $B$19*($DN182=$DO182))</f>
        <v>3.7037037037037035E-4</v>
      </c>
      <c r="ER182" s="10" cm="1">
        <f t="array" aca="1" ref="ER182" ca="1">(1-$B$18)*SUMPRODUCT(OFFSET($BO$15,0,0,$B$14,1), 1*(_xlfn._xlws.FILTER(OFFSET($O$15,0,$DN182,$B$8,1),OFFSET($M$15,0,0,$B$8,1))=ER$13), 1*(_xlfn._xlws.FILTER(OFFSET($O$15,0,$DO182,$B$8,1),OFFSET($M$15,0,0,$B$8,1))=ER$14))   /   SUM(OFFSET($BO$15,0,0,$B$14,1)) + $B$18/($B$19*$B$19*($DN182&lt;&gt;$DO182) + $B$19*($DN182=$DO182))</f>
        <v>3.7037037037037035E-4</v>
      </c>
      <c r="ES182" s="10" cm="1">
        <f t="array" aca="1" ref="ES182" ca="1">(1-$B$18)*SUMPRODUCT(OFFSET($BO$15,0,0,$B$14,1), 1*(_xlfn._xlws.FILTER(OFFSET($O$15,0,$DN182,$B$8,1),OFFSET($M$15,0,0,$B$8,1))=ES$13), 1*(_xlfn._xlws.FILTER(OFFSET($O$15,0,$DO182,$B$8,1),OFFSET($M$15,0,0,$B$8,1))=ES$14))   /   SUM(OFFSET($BO$15,0,0,$B$14,1)) + $B$18/($B$19*$B$19*($DN182&lt;&gt;$DO182) + $B$19*($DN182=$DO182))</f>
        <v>3.7037037037037035E-4</v>
      </c>
      <c r="ET182" s="10" cm="1">
        <f t="array" aca="1" ref="ET182" ca="1">(1-$B$18)*SUMPRODUCT(OFFSET($BO$15,0,0,$B$14,1), 1*(_xlfn._xlws.FILTER(OFFSET($O$15,0,$DN182,$B$8,1),OFFSET($M$15,0,0,$B$8,1))=ET$13), 1*(_xlfn._xlws.FILTER(OFFSET($O$15,0,$DO182,$B$8,1),OFFSET($M$15,0,0,$B$8,1))=ET$14))   /   SUM(OFFSET($BO$15,0,0,$B$14,1)) + $B$18/($B$19*$B$19*($DN182&lt;&gt;$DO182) + $B$19*($DN182=$DO182))</f>
        <v>3.7037037037037035E-4</v>
      </c>
      <c r="EU182" s="10" cm="1">
        <f t="array" aca="1" ref="EU182" ca="1">(1-$B$18)*SUMPRODUCT(OFFSET($BO$15,0,0,$B$14,1), 1*(_xlfn._xlws.FILTER(OFFSET($O$15,0,$DN182,$B$8,1),OFFSET($M$15,0,0,$B$8,1))=EU$13), 1*(_xlfn._xlws.FILTER(OFFSET($O$15,0,$DO182,$B$8,1),OFFSET($M$15,0,0,$B$8,1))=EU$14))   /   SUM(OFFSET($BO$15,0,0,$B$14,1)) + $B$18/($B$19*$B$19*($DN182&lt;&gt;$DO182) + $B$19*($DN182=$DO182))</f>
        <v>3.7037037037037035E-4</v>
      </c>
      <c r="EV182" s="10" cm="1">
        <f t="array" aca="1" ref="EV182" ca="1">(1-$B$18)*SUMPRODUCT(OFFSET($BO$15,0,0,$B$14,1), 1*(_xlfn._xlws.FILTER(OFFSET($O$15,0,$DN182,$B$8,1),OFFSET($M$15,0,0,$B$8,1))=EV$13), 1*(_xlfn._xlws.FILTER(OFFSET($O$15,0,$DO182,$B$8,1),OFFSET($M$15,0,0,$B$8,1))=EV$14))   /   SUM(OFFSET($BO$15,0,0,$B$14,1)) + $B$18/($B$19*$B$19*($DN182&lt;&gt;$DO182) + $B$19*($DN182=$DO182))</f>
        <v>3.7037037037037035E-4</v>
      </c>
      <c r="EW182" s="10" cm="1">
        <f t="array" aca="1" ref="EW182" ca="1">(1-$B$18)*SUMPRODUCT(OFFSET($BO$15,0,0,$B$14,1), 1*(_xlfn._xlws.FILTER(OFFSET($O$15,0,$DN182,$B$8,1),OFFSET($M$15,0,0,$B$8,1))=EW$13), 1*(_xlfn._xlws.FILTER(OFFSET($O$15,0,$DO182,$B$8,1),OFFSET($M$15,0,0,$B$8,1))=EW$14))   /   SUM(OFFSET($BO$15,0,0,$B$14,1)) + $B$18/($B$19*$B$19*($DN182&lt;&gt;$DO182) + $B$19*($DN182=$DO182))</f>
        <v>3.7037037037037035E-4</v>
      </c>
      <c r="EX182" s="10" cm="1">
        <f t="array" aca="1" ref="EX182" ca="1">(1-$B$18)*SUMPRODUCT(OFFSET($BO$15,0,0,$B$14,1), 1*(_xlfn._xlws.FILTER(OFFSET($O$15,0,$DN182,$B$8,1),OFFSET($M$15,0,0,$B$8,1))=EX$13), 1*(_xlfn._xlws.FILTER(OFFSET($O$15,0,$DO182,$B$8,1),OFFSET($M$15,0,0,$B$8,1))=EX$14))   /   SUM(OFFSET($BO$15,0,0,$B$14,1)) + $B$18/($B$19*$B$19*($DN182&lt;&gt;$DO182) + $B$19*($DN182=$DO182))</f>
        <v>3.7037037037037035E-4</v>
      </c>
      <c r="EY182" s="10" cm="1">
        <f t="array" aca="1" ref="EY182" ca="1">(1-$B$18)*SUMPRODUCT(OFFSET($BO$15,0,0,$B$14,1), 1*(_xlfn._xlws.FILTER(OFFSET($O$15,0,$DN182,$B$8,1),OFFSET($M$15,0,0,$B$8,1))=EY$13), 1*(_xlfn._xlws.FILTER(OFFSET($O$15,0,$DO182,$B$8,1),OFFSET($M$15,0,0,$B$8,1))=EY$14))   /   SUM(OFFSET($BO$15,0,0,$B$14,1)) + $B$18/($B$19*$B$19*($DN182&lt;&gt;$DO182) + $B$19*($DN182=$DO182))</f>
        <v>3.7037037037037035E-4</v>
      </c>
      <c r="EZ182" s="10" cm="1">
        <f t="array" aca="1" ref="EZ182" ca="1">(1-$B$18)*SUMPRODUCT(OFFSET($BO$15,0,0,$B$14,1), 1*(_xlfn._xlws.FILTER(OFFSET($O$15,0,$DN182,$B$8,1),OFFSET($M$15,0,0,$B$8,1))=EZ$13), 1*(_xlfn._xlws.FILTER(OFFSET($O$15,0,$DO182,$B$8,1),OFFSET($M$15,0,0,$B$8,1))=EZ$14))   /   SUM(OFFSET($BO$15,0,0,$B$14,1)) + $B$18/($B$19*$B$19*($DN182&lt;&gt;$DO182) + $B$19*($DN182=$DO182))</f>
        <v>3.7037037037037035E-4</v>
      </c>
      <c r="FA182" s="10" cm="1">
        <f t="array" aca="1" ref="FA182" ca="1">(1-$B$18)*SUMPRODUCT(OFFSET($BO$15,0,0,$B$14,1), 1*(_xlfn._xlws.FILTER(OFFSET($O$15,0,$DN182,$B$8,1),OFFSET($M$15,0,0,$B$8,1))=FA$13), 1*(_xlfn._xlws.FILTER(OFFSET($O$15,0,$DO182,$B$8,1),OFFSET($M$15,0,0,$B$8,1))=FA$14))   /   SUM(OFFSET($BO$15,0,0,$B$14,1)) + $B$18/($B$19*$B$19*($DN182&lt;&gt;$DO182) + $B$19*($DN182=$DO182))</f>
        <v>3.7037037037037035E-4</v>
      </c>
      <c r="FB182" s="10" cm="1">
        <f t="array" aca="1" ref="FB182" ca="1">(1-$B$18)*SUMPRODUCT(OFFSET($BO$15,0,0,$B$14,1), 1*(_xlfn._xlws.FILTER(OFFSET($O$15,0,$DN182,$B$8,1),OFFSET($M$15,0,0,$B$8,1))=FB$13), 1*(_xlfn._xlws.FILTER(OFFSET($O$15,0,$DO182,$B$8,1),OFFSET($M$15,0,0,$B$8,1))=FB$14))   /   SUM(OFFSET($BO$15,0,0,$B$14,1)) + $B$18/($B$19*$B$19*($DN182&lt;&gt;$DO182) + $B$19*($DN182=$DO182))</f>
        <v>3.7037037037037035E-4</v>
      </c>
      <c r="FC182" s="10" cm="1">
        <f t="array" aca="1" ref="FC182" ca="1">(1-$B$18)*SUMPRODUCT(OFFSET($BO$15,0,0,$B$14,1), 1*(_xlfn._xlws.FILTER(OFFSET($O$15,0,$DN182,$B$8,1),OFFSET($M$15,0,0,$B$8,1))=FC$13), 1*(_xlfn._xlws.FILTER(OFFSET($O$15,0,$DO182,$B$8,1),OFFSET($M$15,0,0,$B$8,1))=FC$14))   /   SUM(OFFSET($BO$15,0,0,$B$14,1)) + $B$18/($B$19*$B$19*($DN182&lt;&gt;$DO182) + $B$19*($DN182=$DO182))</f>
        <v>3.7037037037037035E-4</v>
      </c>
      <c r="FD182" s="10" cm="1">
        <f t="array" aca="1" ref="FD182" ca="1">(1-$B$18)*SUMPRODUCT(OFFSET($BO$15,0,0,$B$14,1), 1*(_xlfn._xlws.FILTER(OFFSET($O$15,0,$DN182,$B$8,1),OFFSET($M$15,0,0,$B$8,1))=FD$13), 1*(_xlfn._xlws.FILTER(OFFSET($O$15,0,$DO182,$B$8,1),OFFSET($M$15,0,0,$B$8,1))=FD$14))   /   SUM(OFFSET($BO$15,0,0,$B$14,1)) + $B$18/($B$19*$B$19*($DN182&lt;&gt;$DO182) + $B$19*($DN182=$DO182))</f>
        <v>3.7037037037037035E-4</v>
      </c>
      <c r="FE182" s="10" cm="1">
        <f t="array" aca="1" ref="FE182" ca="1">(1-$B$18)*SUMPRODUCT(OFFSET($BO$15,0,0,$B$14,1), 1*(_xlfn._xlws.FILTER(OFFSET($O$15,0,$DN182,$B$8,1),OFFSET($M$15,0,0,$B$8,1))=FE$13), 1*(_xlfn._xlws.FILTER(OFFSET($O$15,0,$DO182,$B$8,1),OFFSET($M$15,0,0,$B$8,1))=FE$14))   /   SUM(OFFSET($BO$15,0,0,$B$14,1)) + $B$18/($B$19*$B$19*($DN182&lt;&gt;$DO182) + $B$19*($DN182=$DO182))</f>
        <v>3.7037037037037035E-4</v>
      </c>
      <c r="FF182" s="10" cm="1">
        <f t="array" aca="1" ref="FF182" ca="1">(1-$B$18)*SUMPRODUCT(OFFSET($BO$15,0,0,$B$14,1), 1*(_xlfn._xlws.FILTER(OFFSET($O$15,0,$DN182,$B$8,1),OFFSET($M$15,0,0,$B$8,1))=FF$13), 1*(_xlfn._xlws.FILTER(OFFSET($O$15,0,$DO182,$B$8,1),OFFSET($M$15,0,0,$B$8,1))=FF$14))   /   SUM(OFFSET($BO$15,0,0,$B$14,1)) + $B$18/($B$19*$B$19*($DN182&lt;&gt;$DO182) + $B$19*($DN182=$DO182))</f>
        <v>3.7037037037037035E-4</v>
      </c>
      <c r="FG182" s="10" cm="1">
        <f t="array" aca="1" ref="FG182" ca="1">(1-$B$18)*SUMPRODUCT(OFFSET($BO$15,0,0,$B$14,1), 1*(_xlfn._xlws.FILTER(OFFSET($O$15,0,$DN182,$B$8,1),OFFSET($M$15,0,0,$B$8,1))=FG$13), 1*(_xlfn._xlws.FILTER(OFFSET($O$15,0,$DO182,$B$8,1),OFFSET($M$15,0,0,$B$8,1))=FG$14))   /   SUM(OFFSET($BO$15,0,0,$B$14,1)) + $B$18/($B$19*$B$19*($DN182&lt;&gt;$DO182) + $B$19*($DN182=$DO182))</f>
        <v>3.7037037037037035E-4</v>
      </c>
      <c r="FH182" s="10" cm="1">
        <f t="array" aca="1" ref="FH182" ca="1">(1-$B$18)*SUMPRODUCT(OFFSET($BO$15,0,0,$B$14,1), 1*(_xlfn._xlws.FILTER(OFFSET($O$15,0,$DN182,$B$8,1),OFFSET($M$15,0,0,$B$8,1))=FH$13), 1*(_xlfn._xlws.FILTER(OFFSET($O$15,0,$DO182,$B$8,1),OFFSET($M$15,0,0,$B$8,1))=FH$14))   /   SUM(OFFSET($BO$15,0,0,$B$14,1)) + $B$18/($B$19*$B$19*($DN182&lt;&gt;$DO182) + $B$19*($DN182=$DO182))</f>
        <v>3.7037037037037035E-4</v>
      </c>
      <c r="FI182" s="10" cm="1">
        <f t="array" aca="1" ref="FI182" ca="1">(1-$B$18)*SUMPRODUCT(OFFSET($BO$15,0,0,$B$14,1), 1*(_xlfn._xlws.FILTER(OFFSET($O$15,0,$DN182,$B$8,1),OFFSET($M$15,0,0,$B$8,1))=FI$13), 1*(_xlfn._xlws.FILTER(OFFSET($O$15,0,$DO182,$B$8,1),OFFSET($M$15,0,0,$B$8,1))=FI$14))   /   SUM(OFFSET($BO$15,0,0,$B$14,1)) + $B$18/($B$19*$B$19*($DN182&lt;&gt;$DO182) + $B$19*($DN182=$DO182))</f>
        <v>3.7037037037037035E-4</v>
      </c>
      <c r="FJ182" s="10" cm="1">
        <f t="array" aca="1" ref="FJ182" ca="1">(1-$B$18)*SUMPRODUCT(OFFSET($BO$15,0,0,$B$14,1), 1*(_xlfn._xlws.FILTER(OFFSET($O$15,0,$DN182,$B$8,1),OFFSET($M$15,0,0,$B$8,1))=FJ$13), 1*(_xlfn._xlws.FILTER(OFFSET($O$15,0,$DO182,$B$8,1),OFFSET($M$15,0,0,$B$8,1))=FJ$14))   /   SUM(OFFSET($BO$15,0,0,$B$14,1)) + $B$18/($B$19*$B$19*($DN182&lt;&gt;$DO182) + $B$19*($DN182=$DO182))</f>
        <v>3.7037037037037035E-4</v>
      </c>
      <c r="FK182" s="10" cm="1">
        <f t="array" aca="1" ref="FK182" ca="1">(1-$B$18)*SUMPRODUCT(OFFSET($BO$15,0,0,$B$14,1), 1*(_xlfn._xlws.FILTER(OFFSET($O$15,0,$DN182,$B$8,1),OFFSET($M$15,0,0,$B$8,1))=FK$13), 1*(_xlfn._xlws.FILTER(OFFSET($O$15,0,$DO182,$B$8,1),OFFSET($M$15,0,0,$B$8,1))=FK$14))   /   SUM(OFFSET($BO$15,0,0,$B$14,1)) + $B$18/($B$19*$B$19*($DN182&lt;&gt;$DO182) + $B$19*($DN182=$DO182))</f>
        <v>3.7037037037037035E-4</v>
      </c>
      <c r="FL182" s="10" cm="1">
        <f t="array" aca="1" ref="FL182" ca="1">(1-$B$18)*SUMPRODUCT(OFFSET($BO$15,0,0,$B$14,1), 1*(_xlfn._xlws.FILTER(OFFSET($O$15,0,$DN182,$B$8,1),OFFSET($M$15,0,0,$B$8,1))=FL$13), 1*(_xlfn._xlws.FILTER(OFFSET($O$15,0,$DO182,$B$8,1),OFFSET($M$15,0,0,$B$8,1))=FL$14))   /   SUM(OFFSET($BO$15,0,0,$B$14,1)) + $B$18/($B$19*$B$19*($DN182&lt;&gt;$DO182) + $B$19*($DN182=$DO182))</f>
        <v>3.7037037037037035E-4</v>
      </c>
      <c r="FM182" s="10" cm="1">
        <f t="array" aca="1" ref="FM182" ca="1">(1-$B$18)*SUMPRODUCT(OFFSET($BO$15,0,0,$B$14,1), 1*(_xlfn._xlws.FILTER(OFFSET($O$15,0,$DN182,$B$8,1),OFFSET($M$15,0,0,$B$8,1))=FM$13), 1*(_xlfn._xlws.FILTER(OFFSET($O$15,0,$DO182,$B$8,1),OFFSET($M$15,0,0,$B$8,1))=FM$14))   /   SUM(OFFSET($BO$15,0,0,$B$14,1)) + $B$18/($B$19*$B$19*($DN182&lt;&gt;$DO182) + $B$19*($DN182=$DO182))</f>
        <v>3.7037037037037035E-4</v>
      </c>
      <c r="FN182" s="10" cm="1">
        <f t="array" aca="1" ref="FN182" ca="1">(1-$B$18)*SUMPRODUCT(OFFSET($BO$15,0,0,$B$14,1), 1*(_xlfn._xlws.FILTER(OFFSET($O$15,0,$DN182,$B$8,1),OFFSET($M$15,0,0,$B$8,1))=FN$13), 1*(_xlfn._xlws.FILTER(OFFSET($O$15,0,$DO182,$B$8,1),OFFSET($M$15,0,0,$B$8,1))=FN$14))   /   SUM(OFFSET($BO$15,0,0,$B$14,1)) + $B$18/($B$19*$B$19*($DN182&lt;&gt;$DO182) + $B$19*($DN182=$DO182))</f>
        <v>3.7037037037037035E-4</v>
      </c>
      <c r="FO182" s="10" cm="1">
        <f t="array" aca="1" ref="FO182" ca="1">(1-$B$18)*SUMPRODUCT(OFFSET($BO$15,0,0,$B$14,1), 1*(_xlfn._xlws.FILTER(OFFSET($O$15,0,$DN182,$B$8,1),OFFSET($M$15,0,0,$B$8,1))=FO$13), 1*(_xlfn._xlws.FILTER(OFFSET($O$15,0,$DO182,$B$8,1),OFFSET($M$15,0,0,$B$8,1))=FO$14))   /   SUM(OFFSET($BO$15,0,0,$B$14,1)) + $B$18/($B$19*$B$19*($DN182&lt;&gt;$DO182) + $B$19*($DN182=$DO182))</f>
        <v>0.97037037037037033</v>
      </c>
      <c r="FP182" s="10" cm="1">
        <f t="array" aca="1" ref="FP182" ca="1">(1-$B$18)*SUMPRODUCT(OFFSET($BO$15,0,0,$B$14,1), 1*(_xlfn._xlws.FILTER(OFFSET($O$15,0,$DN182,$B$8,1),OFFSET($M$15,0,0,$B$8,1))=FP$13), 1*(_xlfn._xlws.FILTER(OFFSET($O$15,0,$DO182,$B$8,1),OFFSET($M$15,0,0,$B$8,1))=FP$14))   /   SUM(OFFSET($BO$15,0,0,$B$14,1)) + $B$18/($B$19*$B$19*($DN182&lt;&gt;$DO182) + $B$19*($DN182=$DO182))</f>
        <v>3.7037037037037035E-4</v>
      </c>
      <c r="FQ182" s="10" cm="1">
        <f t="array" aca="1" ref="FQ182" ca="1">(1-$B$18)*SUMPRODUCT(OFFSET($BO$15,0,0,$B$14,1), 1*(_xlfn._xlws.FILTER(OFFSET($O$15,0,$DN182,$B$8,1),OFFSET($M$15,0,0,$B$8,1))=FQ$13), 1*(_xlfn._xlws.FILTER(OFFSET($O$15,0,$DO182,$B$8,1),OFFSET($M$15,0,0,$B$8,1))=FQ$14))   /   SUM(OFFSET($BO$15,0,0,$B$14,1)) + $B$18/($B$19*$B$19*($DN182&lt;&gt;$DO182) + $B$19*($DN182=$DO182))</f>
        <v>3.7037037037037035E-4</v>
      </c>
      <c r="FR182" s="10" cm="1">
        <f t="array" aca="1" ref="FR182" ca="1">(1-$B$18)*SUMPRODUCT(OFFSET($BO$15,0,0,$B$14,1), 1*(_xlfn._xlws.FILTER(OFFSET($O$15,0,$DN182,$B$8,1),OFFSET($M$15,0,0,$B$8,1))=FR$13), 1*(_xlfn._xlws.FILTER(OFFSET($O$15,0,$DO182,$B$8,1),OFFSET($M$15,0,0,$B$8,1))=FR$14))   /   SUM(OFFSET($BO$15,0,0,$B$14,1)) + $B$18/($B$19*$B$19*($DN182&lt;&gt;$DO182) + $B$19*($DN182=$DO182))</f>
        <v>3.7037037037037035E-4</v>
      </c>
      <c r="FS182" s="10" cm="1">
        <f t="array" aca="1" ref="FS182" ca="1">(1-$B$18)*SUMPRODUCT(OFFSET($BO$15,0,0,$B$14,1), 1*(_xlfn._xlws.FILTER(OFFSET($O$15,0,$DN182,$B$8,1),OFFSET($M$15,0,0,$B$8,1))=FS$13), 1*(_xlfn._xlws.FILTER(OFFSET($O$15,0,$DO182,$B$8,1),OFFSET($M$15,0,0,$B$8,1))=FS$14))   /   SUM(OFFSET($BO$15,0,0,$B$14,1)) + $B$18/($B$19*$B$19*($DN182&lt;&gt;$DO182) + $B$19*($DN182=$DO182))</f>
        <v>3.7037037037037035E-4</v>
      </c>
      <c r="FT182" s="10" cm="1">
        <f t="array" aca="1" ref="FT182" ca="1">(1-$B$18)*SUMPRODUCT(OFFSET($BO$15,0,0,$B$14,1), 1*(_xlfn._xlws.FILTER(OFFSET($O$15,0,$DN182,$B$8,1),OFFSET($M$15,0,0,$B$8,1))=FT$13), 1*(_xlfn._xlws.FILTER(OFFSET($O$15,0,$DO182,$B$8,1),OFFSET($M$15,0,0,$B$8,1))=FT$14))   /   SUM(OFFSET($BO$15,0,0,$B$14,1)) + $B$18/($B$19*$B$19*($DN182&lt;&gt;$DO182) + $B$19*($DN182=$DO182))</f>
        <v>3.7037037037037035E-4</v>
      </c>
      <c r="FU182" s="10" cm="1">
        <f t="array" aca="1" ref="FU182" ca="1">(1-$B$18)*SUMPRODUCT(OFFSET($BO$15,0,0,$B$14,1), 1*(_xlfn._xlws.FILTER(OFFSET($O$15,0,$DN182,$B$8,1),OFFSET($M$15,0,0,$B$8,1))=FU$13), 1*(_xlfn._xlws.FILTER(OFFSET($O$15,0,$DO182,$B$8,1),OFFSET($M$15,0,0,$B$8,1))=FU$14))   /   SUM(OFFSET($BO$15,0,0,$B$14,1)) + $B$18/($B$19*$B$19*($DN182&lt;&gt;$DO182) + $B$19*($DN182=$DO182))</f>
        <v>3.7037037037037035E-4</v>
      </c>
      <c r="FV182" s="10" cm="1">
        <f t="array" aca="1" ref="FV182" ca="1">(1-$B$18)*SUMPRODUCT(OFFSET($BO$15,0,0,$B$14,1), 1*(_xlfn._xlws.FILTER(OFFSET($O$15,0,$DN182,$B$8,1),OFFSET($M$15,0,0,$B$8,1))=FV$13), 1*(_xlfn._xlws.FILTER(OFFSET($O$15,0,$DO182,$B$8,1),OFFSET($M$15,0,0,$B$8,1))=FV$14))   /   SUM(OFFSET($BO$15,0,0,$B$14,1)) + $B$18/($B$19*$B$19*($DN182&lt;&gt;$DO182) + $B$19*($DN182=$DO182))</f>
        <v>3.7037037037037035E-4</v>
      </c>
      <c r="FW182" s="10" cm="1">
        <f t="array" aca="1" ref="FW182" ca="1">(1-$B$18)*SUMPRODUCT(OFFSET($BO$15,0,0,$B$14,1), 1*(_xlfn._xlws.FILTER(OFFSET($O$15,0,$DN182,$B$8,1),OFFSET($M$15,0,0,$B$8,1))=FW$13), 1*(_xlfn._xlws.FILTER(OFFSET($O$15,0,$DO182,$B$8,1),OFFSET($M$15,0,0,$B$8,1))=FW$14))   /   SUM(OFFSET($BO$15,0,0,$B$14,1)) + $B$18/($B$19*$B$19*($DN182&lt;&gt;$DO182) + $B$19*($DN182=$DO182))</f>
        <v>3.7037037037037035E-4</v>
      </c>
      <c r="FX182" s="10" cm="1">
        <f t="array" aca="1" ref="FX182" ca="1">(1-$B$18)*SUMPRODUCT(OFFSET($BO$15,0,0,$B$14,1), 1*(_xlfn._xlws.FILTER(OFFSET($O$15,0,$DN182,$B$8,1),OFFSET($M$15,0,0,$B$8,1))=FX$13), 1*(_xlfn._xlws.FILTER(OFFSET($O$15,0,$DO182,$B$8,1),OFFSET($M$15,0,0,$B$8,1))=FX$14))   /   SUM(OFFSET($BO$15,0,0,$B$14,1)) + $B$18/($B$19*$B$19*($DN182&lt;&gt;$DO182) + $B$19*($DN182=$DO182))</f>
        <v>3.7037037037037035E-4</v>
      </c>
      <c r="FY182" s="10" cm="1">
        <f t="array" aca="1" ref="FY182" ca="1">(1-$B$18)*SUMPRODUCT(OFFSET($BO$15,0,0,$B$14,1), 1*(_xlfn._xlws.FILTER(OFFSET($O$15,0,$DN182,$B$8,1),OFFSET($M$15,0,0,$B$8,1))=FY$13), 1*(_xlfn._xlws.FILTER(OFFSET($O$15,0,$DO182,$B$8,1),OFFSET($M$15,0,0,$B$8,1))=FY$14))   /   SUM(OFFSET($BO$15,0,0,$B$14,1)) + $B$18/($B$19*$B$19*($DN182&lt;&gt;$DO182) + $B$19*($DN182=$DO182))</f>
        <v>3.7037037037037035E-4</v>
      </c>
      <c r="FZ182" s="10" cm="1">
        <f t="array" aca="1" ref="FZ182" ca="1">(1-$B$18)*SUMPRODUCT(OFFSET($BO$15,0,0,$B$14,1), 1*(_xlfn._xlws.FILTER(OFFSET($O$15,0,$DN182,$B$8,1),OFFSET($M$15,0,0,$B$8,1))=FZ$13), 1*(_xlfn._xlws.FILTER(OFFSET($O$15,0,$DO182,$B$8,1),OFFSET($M$15,0,0,$B$8,1))=FZ$14))   /   SUM(OFFSET($BO$15,0,0,$B$14,1)) + $B$18/($B$19*$B$19*($DN182&lt;&gt;$DO182) + $B$19*($DN182=$DO182))</f>
        <v>3.7037037037037035E-4</v>
      </c>
      <c r="GA182" s="10" cm="1">
        <f t="array" aca="1" ref="GA182" ca="1">(1-$B$18)*SUMPRODUCT(OFFSET($BO$15,0,0,$B$14,1), 1*(_xlfn._xlws.FILTER(OFFSET($O$15,0,$DN182,$B$8,1),OFFSET($M$15,0,0,$B$8,1))=GA$13), 1*(_xlfn._xlws.FILTER(OFFSET($O$15,0,$DO182,$B$8,1),OFFSET($M$15,0,0,$B$8,1))=GA$14))   /   SUM(OFFSET($BO$15,0,0,$B$14,1)) + $B$18/($B$19*$B$19*($DN182&lt;&gt;$DO182) + $B$19*($DN182=$DO182))</f>
        <v>3.7037037037037035E-4</v>
      </c>
    </row>
    <row r="183" spans="118:183" x14ac:dyDescent="0.2">
      <c r="DN183" cm="1">
        <f t="array" aca="1" ref="DN183" ca="1">INDEX(_xlfn.ANCHORARRAY($CP$15), 1 + INT((ROWS($DO$15:$DO183) - 1) / ROWS(_xlfn.ANCHORARRAY($CP$15))))</f>
        <v>8</v>
      </c>
      <c r="DO183" cm="1">
        <f t="array" aca="1" ref="DO183" ca="1">INDEX(_xlfn.ANCHORARRAY($CP$15),1+MOD(ROWS($DO$15:$DO183)-1,ROWS(_xlfn.ANCHORARRAY($CP$15))))</f>
        <v>19</v>
      </c>
      <c r="DP183" s="10" cm="1">
        <f t="array" aca="1" ref="DP183" ca="1">(1-$B$18)*SUMPRODUCT(OFFSET($BO$15,0,0,$B$14,1), 1*(_xlfn._xlws.FILTER(OFFSET($O$15,0,$DN183,$B$8,1),OFFSET($M$15,0,0,$B$8,1))=DP$13), 1*(_xlfn._xlws.FILTER(OFFSET($O$15,0,$DO183,$B$8,1),OFFSET($M$15,0,0,$B$8,1))=DP$14))   /   SUM(OFFSET($BO$15,0,0,$B$14,1)) + $B$18/($B$19*$B$19*($DN183&lt;&gt;$DO183) + $B$19*($DN183=$DO183))</f>
        <v>3.7037037037037035E-4</v>
      </c>
      <c r="DQ183" s="10" cm="1">
        <f t="array" aca="1" ref="DQ183" ca="1">(1-$B$18)*SUMPRODUCT(OFFSET($BO$15,0,0,$B$14,1), 1*(_xlfn._xlws.FILTER(OFFSET($O$15,0,$DN183,$B$8,1),OFFSET($M$15,0,0,$B$8,1))=DQ$13), 1*(_xlfn._xlws.FILTER(OFFSET($O$15,0,$DO183,$B$8,1),OFFSET($M$15,0,0,$B$8,1))=DQ$14))   /   SUM(OFFSET($BO$15,0,0,$B$14,1)) + $B$18/($B$19*$B$19*($DN183&lt;&gt;$DO183) + $B$19*($DN183=$DO183))</f>
        <v>3.7037037037037035E-4</v>
      </c>
      <c r="DR183" s="10" cm="1">
        <f t="array" aca="1" ref="DR183" ca="1">(1-$B$18)*SUMPRODUCT(OFFSET($BO$15,0,0,$B$14,1), 1*(_xlfn._xlws.FILTER(OFFSET($O$15,0,$DN183,$B$8,1),OFFSET($M$15,0,0,$B$8,1))=DR$13), 1*(_xlfn._xlws.FILTER(OFFSET($O$15,0,$DO183,$B$8,1),OFFSET($M$15,0,0,$B$8,1))=DR$14))   /   SUM(OFFSET($BO$15,0,0,$B$14,1)) + $B$18/($B$19*$B$19*($DN183&lt;&gt;$DO183) + $B$19*($DN183=$DO183))</f>
        <v>3.7037037037037035E-4</v>
      </c>
      <c r="DS183" s="10" cm="1">
        <f t="array" aca="1" ref="DS183" ca="1">(1-$B$18)*SUMPRODUCT(OFFSET($BO$15,0,0,$B$14,1), 1*(_xlfn._xlws.FILTER(OFFSET($O$15,0,$DN183,$B$8,1),OFFSET($M$15,0,0,$B$8,1))=DS$13), 1*(_xlfn._xlws.FILTER(OFFSET($O$15,0,$DO183,$B$8,1),OFFSET($M$15,0,0,$B$8,1))=DS$14))   /   SUM(OFFSET($BO$15,0,0,$B$14,1)) + $B$18/($B$19*$B$19*($DN183&lt;&gt;$DO183) + $B$19*($DN183=$DO183))</f>
        <v>3.7037037037037035E-4</v>
      </c>
      <c r="DT183" s="10" cm="1">
        <f t="array" aca="1" ref="DT183" ca="1">(1-$B$18)*SUMPRODUCT(OFFSET($BO$15,0,0,$B$14,1), 1*(_xlfn._xlws.FILTER(OFFSET($O$15,0,$DN183,$B$8,1),OFFSET($M$15,0,0,$B$8,1))=DT$13), 1*(_xlfn._xlws.FILTER(OFFSET($O$15,0,$DO183,$B$8,1),OFFSET($M$15,0,0,$B$8,1))=DT$14))   /   SUM(OFFSET($BO$15,0,0,$B$14,1)) + $B$18/($B$19*$B$19*($DN183&lt;&gt;$DO183) + $B$19*($DN183=$DO183))</f>
        <v>3.7037037037037035E-4</v>
      </c>
      <c r="DU183" s="10" cm="1">
        <f t="array" aca="1" ref="DU183" ca="1">(1-$B$18)*SUMPRODUCT(OFFSET($BO$15,0,0,$B$14,1), 1*(_xlfn._xlws.FILTER(OFFSET($O$15,0,$DN183,$B$8,1),OFFSET($M$15,0,0,$B$8,1))=DU$13), 1*(_xlfn._xlws.FILTER(OFFSET($O$15,0,$DO183,$B$8,1),OFFSET($M$15,0,0,$B$8,1))=DU$14))   /   SUM(OFFSET($BO$15,0,0,$B$14,1)) + $B$18/($B$19*$B$19*($DN183&lt;&gt;$DO183) + $B$19*($DN183=$DO183))</f>
        <v>3.7037037037037035E-4</v>
      </c>
      <c r="DV183" s="10" cm="1">
        <f t="array" aca="1" ref="DV183" ca="1">(1-$B$18)*SUMPRODUCT(OFFSET($BO$15,0,0,$B$14,1), 1*(_xlfn._xlws.FILTER(OFFSET($O$15,0,$DN183,$B$8,1),OFFSET($M$15,0,0,$B$8,1))=DV$13), 1*(_xlfn._xlws.FILTER(OFFSET($O$15,0,$DO183,$B$8,1),OFFSET($M$15,0,0,$B$8,1))=DV$14))   /   SUM(OFFSET($BO$15,0,0,$B$14,1)) + $B$18/($B$19*$B$19*($DN183&lt;&gt;$DO183) + $B$19*($DN183=$DO183))</f>
        <v>3.7037037037037035E-4</v>
      </c>
      <c r="DW183" s="10" cm="1">
        <f t="array" aca="1" ref="DW183" ca="1">(1-$B$18)*SUMPRODUCT(OFFSET($BO$15,0,0,$B$14,1), 1*(_xlfn._xlws.FILTER(OFFSET($O$15,0,$DN183,$B$8,1),OFFSET($M$15,0,0,$B$8,1))=DW$13), 1*(_xlfn._xlws.FILTER(OFFSET($O$15,0,$DO183,$B$8,1),OFFSET($M$15,0,0,$B$8,1))=DW$14))   /   SUM(OFFSET($BO$15,0,0,$B$14,1)) + $B$18/($B$19*$B$19*($DN183&lt;&gt;$DO183) + $B$19*($DN183=$DO183))</f>
        <v>3.7037037037037035E-4</v>
      </c>
      <c r="DX183" s="10" cm="1">
        <f t="array" aca="1" ref="DX183" ca="1">(1-$B$18)*SUMPRODUCT(OFFSET($BO$15,0,0,$B$14,1), 1*(_xlfn._xlws.FILTER(OFFSET($O$15,0,$DN183,$B$8,1),OFFSET($M$15,0,0,$B$8,1))=DX$13), 1*(_xlfn._xlws.FILTER(OFFSET($O$15,0,$DO183,$B$8,1),OFFSET($M$15,0,0,$B$8,1))=DX$14))   /   SUM(OFFSET($BO$15,0,0,$B$14,1)) + $B$18/($B$19*$B$19*($DN183&lt;&gt;$DO183) + $B$19*($DN183=$DO183))</f>
        <v>3.7037037037037035E-4</v>
      </c>
      <c r="DY183" s="10" cm="1">
        <f t="array" aca="1" ref="DY183" ca="1">(1-$B$18)*SUMPRODUCT(OFFSET($BO$15,0,0,$B$14,1), 1*(_xlfn._xlws.FILTER(OFFSET($O$15,0,$DN183,$B$8,1),OFFSET($M$15,0,0,$B$8,1))=DY$13), 1*(_xlfn._xlws.FILTER(OFFSET($O$15,0,$DO183,$B$8,1),OFFSET($M$15,0,0,$B$8,1))=DY$14))   /   SUM(OFFSET($BO$15,0,0,$B$14,1)) + $B$18/($B$19*$B$19*($DN183&lt;&gt;$DO183) + $B$19*($DN183=$DO183))</f>
        <v>3.7037037037037035E-4</v>
      </c>
      <c r="DZ183" s="10" cm="1">
        <f t="array" aca="1" ref="DZ183" ca="1">(1-$B$18)*SUMPRODUCT(OFFSET($BO$15,0,0,$B$14,1), 1*(_xlfn._xlws.FILTER(OFFSET($O$15,0,$DN183,$B$8,1),OFFSET($M$15,0,0,$B$8,1))=DZ$13), 1*(_xlfn._xlws.FILTER(OFFSET($O$15,0,$DO183,$B$8,1),OFFSET($M$15,0,0,$B$8,1))=DZ$14))   /   SUM(OFFSET($BO$15,0,0,$B$14,1)) + $B$18/($B$19*$B$19*($DN183&lt;&gt;$DO183) + $B$19*($DN183=$DO183))</f>
        <v>3.7037037037037035E-4</v>
      </c>
      <c r="EA183" s="10" cm="1">
        <f t="array" aca="1" ref="EA183" ca="1">(1-$B$18)*SUMPRODUCT(OFFSET($BO$15,0,0,$B$14,1), 1*(_xlfn._xlws.FILTER(OFFSET($O$15,0,$DN183,$B$8,1),OFFSET($M$15,0,0,$B$8,1))=EA$13), 1*(_xlfn._xlws.FILTER(OFFSET($O$15,0,$DO183,$B$8,1),OFFSET($M$15,0,0,$B$8,1))=EA$14))   /   SUM(OFFSET($BO$15,0,0,$B$14,1)) + $B$18/($B$19*$B$19*($DN183&lt;&gt;$DO183) + $B$19*($DN183=$DO183))</f>
        <v>3.7037037037037035E-4</v>
      </c>
      <c r="EB183" s="10" cm="1">
        <f t="array" aca="1" ref="EB183" ca="1">(1-$B$18)*SUMPRODUCT(OFFSET($BO$15,0,0,$B$14,1), 1*(_xlfn._xlws.FILTER(OFFSET($O$15,0,$DN183,$B$8,1),OFFSET($M$15,0,0,$B$8,1))=EB$13), 1*(_xlfn._xlws.FILTER(OFFSET($O$15,0,$DO183,$B$8,1),OFFSET($M$15,0,0,$B$8,1))=EB$14))   /   SUM(OFFSET($BO$15,0,0,$B$14,1)) + $B$18/($B$19*$B$19*($DN183&lt;&gt;$DO183) + $B$19*($DN183=$DO183))</f>
        <v>3.7037037037037035E-4</v>
      </c>
      <c r="EC183" s="10" cm="1">
        <f t="array" aca="1" ref="EC183" ca="1">(1-$B$18)*SUMPRODUCT(OFFSET($BO$15,0,0,$B$14,1), 1*(_xlfn._xlws.FILTER(OFFSET($O$15,0,$DN183,$B$8,1),OFFSET($M$15,0,0,$B$8,1))=EC$13), 1*(_xlfn._xlws.FILTER(OFFSET($O$15,0,$DO183,$B$8,1),OFFSET($M$15,0,0,$B$8,1))=EC$14))   /   SUM(OFFSET($BO$15,0,0,$B$14,1)) + $B$18/($B$19*$B$19*($DN183&lt;&gt;$DO183) + $B$19*($DN183=$DO183))</f>
        <v>3.7037037037037035E-4</v>
      </c>
      <c r="ED183" s="10" cm="1">
        <f t="array" aca="1" ref="ED183" ca="1">(1-$B$18)*SUMPRODUCT(OFFSET($BO$15,0,0,$B$14,1), 1*(_xlfn._xlws.FILTER(OFFSET($O$15,0,$DN183,$B$8,1),OFFSET($M$15,0,0,$B$8,1))=ED$13), 1*(_xlfn._xlws.FILTER(OFFSET($O$15,0,$DO183,$B$8,1),OFFSET($M$15,0,0,$B$8,1))=ED$14))   /   SUM(OFFSET($BO$15,0,0,$B$14,1)) + $B$18/($B$19*$B$19*($DN183&lt;&gt;$DO183) + $B$19*($DN183=$DO183))</f>
        <v>3.7037037037037035E-4</v>
      </c>
      <c r="EE183" s="10" cm="1">
        <f t="array" aca="1" ref="EE183" ca="1">(1-$B$18)*SUMPRODUCT(OFFSET($BO$15,0,0,$B$14,1), 1*(_xlfn._xlws.FILTER(OFFSET($O$15,0,$DN183,$B$8,1),OFFSET($M$15,0,0,$B$8,1))=EE$13), 1*(_xlfn._xlws.FILTER(OFFSET($O$15,0,$DO183,$B$8,1),OFFSET($M$15,0,0,$B$8,1))=EE$14))   /   SUM(OFFSET($BO$15,0,0,$B$14,1)) + $B$18/($B$19*$B$19*($DN183&lt;&gt;$DO183) + $B$19*($DN183=$DO183))</f>
        <v>3.7037037037037035E-4</v>
      </c>
      <c r="EF183" s="10" cm="1">
        <f t="array" aca="1" ref="EF183" ca="1">(1-$B$18)*SUMPRODUCT(OFFSET($BO$15,0,0,$B$14,1), 1*(_xlfn._xlws.FILTER(OFFSET($O$15,0,$DN183,$B$8,1),OFFSET($M$15,0,0,$B$8,1))=EF$13), 1*(_xlfn._xlws.FILTER(OFFSET($O$15,0,$DO183,$B$8,1),OFFSET($M$15,0,0,$B$8,1))=EF$14))   /   SUM(OFFSET($BO$15,0,0,$B$14,1)) + $B$18/($B$19*$B$19*($DN183&lt;&gt;$DO183) + $B$19*($DN183=$DO183))</f>
        <v>3.7037037037037035E-4</v>
      </c>
      <c r="EG183" s="10" cm="1">
        <f t="array" aca="1" ref="EG183" ca="1">(1-$B$18)*SUMPRODUCT(OFFSET($BO$15,0,0,$B$14,1), 1*(_xlfn._xlws.FILTER(OFFSET($O$15,0,$DN183,$B$8,1),OFFSET($M$15,0,0,$B$8,1))=EG$13), 1*(_xlfn._xlws.FILTER(OFFSET($O$15,0,$DO183,$B$8,1),OFFSET($M$15,0,0,$B$8,1))=EG$14))   /   SUM(OFFSET($BO$15,0,0,$B$14,1)) + $B$18/($B$19*$B$19*($DN183&lt;&gt;$DO183) + $B$19*($DN183=$DO183))</f>
        <v>3.7037037037037035E-4</v>
      </c>
      <c r="EH183" s="10" cm="1">
        <f t="array" aca="1" ref="EH183" ca="1">(1-$B$18)*SUMPRODUCT(OFFSET($BO$15,0,0,$B$14,1), 1*(_xlfn._xlws.FILTER(OFFSET($O$15,0,$DN183,$B$8,1),OFFSET($M$15,0,0,$B$8,1))=EH$13), 1*(_xlfn._xlws.FILTER(OFFSET($O$15,0,$DO183,$B$8,1),OFFSET($M$15,0,0,$B$8,1))=EH$14))   /   SUM(OFFSET($BO$15,0,0,$B$14,1)) + $B$18/($B$19*$B$19*($DN183&lt;&gt;$DO183) + $B$19*($DN183=$DO183))</f>
        <v>3.7037037037037035E-4</v>
      </c>
      <c r="EI183" s="10" cm="1">
        <f t="array" aca="1" ref="EI183" ca="1">(1-$B$18)*SUMPRODUCT(OFFSET($BO$15,0,0,$B$14,1), 1*(_xlfn._xlws.FILTER(OFFSET($O$15,0,$DN183,$B$8,1),OFFSET($M$15,0,0,$B$8,1))=EI$13), 1*(_xlfn._xlws.FILTER(OFFSET($O$15,0,$DO183,$B$8,1),OFFSET($M$15,0,0,$B$8,1))=EI$14))   /   SUM(OFFSET($BO$15,0,0,$B$14,1)) + $B$18/($B$19*$B$19*($DN183&lt;&gt;$DO183) + $B$19*($DN183=$DO183))</f>
        <v>3.7037037037037035E-4</v>
      </c>
      <c r="EJ183" s="10" cm="1">
        <f t="array" aca="1" ref="EJ183" ca="1">(1-$B$18)*SUMPRODUCT(OFFSET($BO$15,0,0,$B$14,1), 1*(_xlfn._xlws.FILTER(OFFSET($O$15,0,$DN183,$B$8,1),OFFSET($M$15,0,0,$B$8,1))=EJ$13), 1*(_xlfn._xlws.FILTER(OFFSET($O$15,0,$DO183,$B$8,1),OFFSET($M$15,0,0,$B$8,1))=EJ$14))   /   SUM(OFFSET($BO$15,0,0,$B$14,1)) + $B$18/($B$19*$B$19*($DN183&lt;&gt;$DO183) + $B$19*($DN183=$DO183))</f>
        <v>3.7037037037037035E-4</v>
      </c>
      <c r="EK183" s="10" cm="1">
        <f t="array" aca="1" ref="EK183" ca="1">(1-$B$18)*SUMPRODUCT(OFFSET($BO$15,0,0,$B$14,1), 1*(_xlfn._xlws.FILTER(OFFSET($O$15,0,$DN183,$B$8,1),OFFSET($M$15,0,0,$B$8,1))=EK$13), 1*(_xlfn._xlws.FILTER(OFFSET($O$15,0,$DO183,$B$8,1),OFFSET($M$15,0,0,$B$8,1))=EK$14))   /   SUM(OFFSET($BO$15,0,0,$B$14,1)) + $B$18/($B$19*$B$19*($DN183&lt;&gt;$DO183) + $B$19*($DN183=$DO183))</f>
        <v>3.7037037037037035E-4</v>
      </c>
      <c r="EL183" s="10" cm="1">
        <f t="array" aca="1" ref="EL183" ca="1">(1-$B$18)*SUMPRODUCT(OFFSET($BO$15,0,0,$B$14,1), 1*(_xlfn._xlws.FILTER(OFFSET($O$15,0,$DN183,$B$8,1),OFFSET($M$15,0,0,$B$8,1))=EL$13), 1*(_xlfn._xlws.FILTER(OFFSET($O$15,0,$DO183,$B$8,1),OFFSET($M$15,0,0,$B$8,1))=EL$14))   /   SUM(OFFSET($BO$15,0,0,$B$14,1)) + $B$18/($B$19*$B$19*($DN183&lt;&gt;$DO183) + $B$19*($DN183=$DO183))</f>
        <v>3.7037037037037035E-4</v>
      </c>
      <c r="EM183" s="10" cm="1">
        <f t="array" aca="1" ref="EM183" ca="1">(1-$B$18)*SUMPRODUCT(OFFSET($BO$15,0,0,$B$14,1), 1*(_xlfn._xlws.FILTER(OFFSET($O$15,0,$DN183,$B$8,1),OFFSET($M$15,0,0,$B$8,1))=EM$13), 1*(_xlfn._xlws.FILTER(OFFSET($O$15,0,$DO183,$B$8,1),OFFSET($M$15,0,0,$B$8,1))=EM$14))   /   SUM(OFFSET($BO$15,0,0,$B$14,1)) + $B$18/($B$19*$B$19*($DN183&lt;&gt;$DO183) + $B$19*($DN183=$DO183))</f>
        <v>3.7037037037037035E-4</v>
      </c>
      <c r="EN183" s="10" cm="1">
        <f t="array" aca="1" ref="EN183" ca="1">(1-$B$18)*SUMPRODUCT(OFFSET($BO$15,0,0,$B$14,1), 1*(_xlfn._xlws.FILTER(OFFSET($O$15,0,$DN183,$B$8,1),OFFSET($M$15,0,0,$B$8,1))=EN$13), 1*(_xlfn._xlws.FILTER(OFFSET($O$15,0,$DO183,$B$8,1),OFFSET($M$15,0,0,$B$8,1))=EN$14))   /   SUM(OFFSET($BO$15,0,0,$B$14,1)) + $B$18/($B$19*$B$19*($DN183&lt;&gt;$DO183) + $B$19*($DN183=$DO183))</f>
        <v>3.7037037037037035E-4</v>
      </c>
      <c r="EO183" s="10" cm="1">
        <f t="array" aca="1" ref="EO183" ca="1">(1-$B$18)*SUMPRODUCT(OFFSET($BO$15,0,0,$B$14,1), 1*(_xlfn._xlws.FILTER(OFFSET($O$15,0,$DN183,$B$8,1),OFFSET($M$15,0,0,$B$8,1))=EO$13), 1*(_xlfn._xlws.FILTER(OFFSET($O$15,0,$DO183,$B$8,1),OFFSET($M$15,0,0,$B$8,1))=EO$14))   /   SUM(OFFSET($BO$15,0,0,$B$14,1)) + $B$18/($B$19*$B$19*($DN183&lt;&gt;$DO183) + $B$19*($DN183=$DO183))</f>
        <v>3.7037037037037035E-4</v>
      </c>
      <c r="EP183" s="10" cm="1">
        <f t="array" aca="1" ref="EP183" ca="1">(1-$B$18)*SUMPRODUCT(OFFSET($BO$15,0,0,$B$14,1), 1*(_xlfn._xlws.FILTER(OFFSET($O$15,0,$DN183,$B$8,1),OFFSET($M$15,0,0,$B$8,1))=EP$13), 1*(_xlfn._xlws.FILTER(OFFSET($O$15,0,$DO183,$B$8,1),OFFSET($M$15,0,0,$B$8,1))=EP$14))   /   SUM(OFFSET($BO$15,0,0,$B$14,1)) + $B$18/($B$19*$B$19*($DN183&lt;&gt;$DO183) + $B$19*($DN183=$DO183))</f>
        <v>3.7037037037037035E-4</v>
      </c>
      <c r="EQ183" s="10" cm="1">
        <f t="array" aca="1" ref="EQ183" ca="1">(1-$B$18)*SUMPRODUCT(OFFSET($BO$15,0,0,$B$14,1), 1*(_xlfn._xlws.FILTER(OFFSET($O$15,0,$DN183,$B$8,1),OFFSET($M$15,0,0,$B$8,1))=EQ$13), 1*(_xlfn._xlws.FILTER(OFFSET($O$15,0,$DO183,$B$8,1),OFFSET($M$15,0,0,$B$8,1))=EQ$14))   /   SUM(OFFSET($BO$15,0,0,$B$14,1)) + $B$18/($B$19*$B$19*($DN183&lt;&gt;$DO183) + $B$19*($DN183=$DO183))</f>
        <v>3.7037037037037035E-4</v>
      </c>
      <c r="ER183" s="10" cm="1">
        <f t="array" aca="1" ref="ER183" ca="1">(1-$B$18)*SUMPRODUCT(OFFSET($BO$15,0,0,$B$14,1), 1*(_xlfn._xlws.FILTER(OFFSET($O$15,0,$DN183,$B$8,1),OFFSET($M$15,0,0,$B$8,1))=ER$13), 1*(_xlfn._xlws.FILTER(OFFSET($O$15,0,$DO183,$B$8,1),OFFSET($M$15,0,0,$B$8,1))=ER$14))   /   SUM(OFFSET($BO$15,0,0,$B$14,1)) + $B$18/($B$19*$B$19*($DN183&lt;&gt;$DO183) + $B$19*($DN183=$DO183))</f>
        <v>3.7037037037037035E-4</v>
      </c>
      <c r="ES183" s="10" cm="1">
        <f t="array" aca="1" ref="ES183" ca="1">(1-$B$18)*SUMPRODUCT(OFFSET($BO$15,0,0,$B$14,1), 1*(_xlfn._xlws.FILTER(OFFSET($O$15,0,$DN183,$B$8,1),OFFSET($M$15,0,0,$B$8,1))=ES$13), 1*(_xlfn._xlws.FILTER(OFFSET($O$15,0,$DO183,$B$8,1),OFFSET($M$15,0,0,$B$8,1))=ES$14))   /   SUM(OFFSET($BO$15,0,0,$B$14,1)) + $B$18/($B$19*$B$19*($DN183&lt;&gt;$DO183) + $B$19*($DN183=$DO183))</f>
        <v>3.7037037037037035E-4</v>
      </c>
      <c r="ET183" s="10" cm="1">
        <f t="array" aca="1" ref="ET183" ca="1">(1-$B$18)*SUMPRODUCT(OFFSET($BO$15,0,0,$B$14,1), 1*(_xlfn._xlws.FILTER(OFFSET($O$15,0,$DN183,$B$8,1),OFFSET($M$15,0,0,$B$8,1))=ET$13), 1*(_xlfn._xlws.FILTER(OFFSET($O$15,0,$DO183,$B$8,1),OFFSET($M$15,0,0,$B$8,1))=ET$14))   /   SUM(OFFSET($BO$15,0,0,$B$14,1)) + $B$18/($B$19*$B$19*($DN183&lt;&gt;$DO183) + $B$19*($DN183=$DO183))</f>
        <v>3.7037037037037035E-4</v>
      </c>
      <c r="EU183" s="10" cm="1">
        <f t="array" aca="1" ref="EU183" ca="1">(1-$B$18)*SUMPRODUCT(OFFSET($BO$15,0,0,$B$14,1), 1*(_xlfn._xlws.FILTER(OFFSET($O$15,0,$DN183,$B$8,1),OFFSET($M$15,0,0,$B$8,1))=EU$13), 1*(_xlfn._xlws.FILTER(OFFSET($O$15,0,$DO183,$B$8,1),OFFSET($M$15,0,0,$B$8,1))=EU$14))   /   SUM(OFFSET($BO$15,0,0,$B$14,1)) + $B$18/($B$19*$B$19*($DN183&lt;&gt;$DO183) + $B$19*($DN183=$DO183))</f>
        <v>3.7037037037037035E-4</v>
      </c>
      <c r="EV183" s="10" cm="1">
        <f t="array" aca="1" ref="EV183" ca="1">(1-$B$18)*SUMPRODUCT(OFFSET($BO$15,0,0,$B$14,1), 1*(_xlfn._xlws.FILTER(OFFSET($O$15,0,$DN183,$B$8,1),OFFSET($M$15,0,0,$B$8,1))=EV$13), 1*(_xlfn._xlws.FILTER(OFFSET($O$15,0,$DO183,$B$8,1),OFFSET($M$15,0,0,$B$8,1))=EV$14))   /   SUM(OFFSET($BO$15,0,0,$B$14,1)) + $B$18/($B$19*$B$19*($DN183&lt;&gt;$DO183) + $B$19*($DN183=$DO183))</f>
        <v>3.7037037037037035E-4</v>
      </c>
      <c r="EW183" s="10" cm="1">
        <f t="array" aca="1" ref="EW183" ca="1">(1-$B$18)*SUMPRODUCT(OFFSET($BO$15,0,0,$B$14,1), 1*(_xlfn._xlws.FILTER(OFFSET($O$15,0,$DN183,$B$8,1),OFFSET($M$15,0,0,$B$8,1))=EW$13), 1*(_xlfn._xlws.FILTER(OFFSET($O$15,0,$DO183,$B$8,1),OFFSET($M$15,0,0,$B$8,1))=EW$14))   /   SUM(OFFSET($BO$15,0,0,$B$14,1)) + $B$18/($B$19*$B$19*($DN183&lt;&gt;$DO183) + $B$19*($DN183=$DO183))</f>
        <v>3.7037037037037035E-4</v>
      </c>
      <c r="EX183" s="10" cm="1">
        <f t="array" aca="1" ref="EX183" ca="1">(1-$B$18)*SUMPRODUCT(OFFSET($BO$15,0,0,$B$14,1), 1*(_xlfn._xlws.FILTER(OFFSET($O$15,0,$DN183,$B$8,1),OFFSET($M$15,0,0,$B$8,1))=EX$13), 1*(_xlfn._xlws.FILTER(OFFSET($O$15,0,$DO183,$B$8,1),OFFSET($M$15,0,0,$B$8,1))=EX$14))   /   SUM(OFFSET($BO$15,0,0,$B$14,1)) + $B$18/($B$19*$B$19*($DN183&lt;&gt;$DO183) + $B$19*($DN183=$DO183))</f>
        <v>3.7037037037037035E-4</v>
      </c>
      <c r="EY183" s="10" cm="1">
        <f t="array" aca="1" ref="EY183" ca="1">(1-$B$18)*SUMPRODUCT(OFFSET($BO$15,0,0,$B$14,1), 1*(_xlfn._xlws.FILTER(OFFSET($O$15,0,$DN183,$B$8,1),OFFSET($M$15,0,0,$B$8,1))=EY$13), 1*(_xlfn._xlws.FILTER(OFFSET($O$15,0,$DO183,$B$8,1),OFFSET($M$15,0,0,$B$8,1))=EY$14))   /   SUM(OFFSET($BO$15,0,0,$B$14,1)) + $B$18/($B$19*$B$19*($DN183&lt;&gt;$DO183) + $B$19*($DN183=$DO183))</f>
        <v>3.7037037037037035E-4</v>
      </c>
      <c r="EZ183" s="10" cm="1">
        <f t="array" aca="1" ref="EZ183" ca="1">(1-$B$18)*SUMPRODUCT(OFFSET($BO$15,0,0,$B$14,1), 1*(_xlfn._xlws.FILTER(OFFSET($O$15,0,$DN183,$B$8,1),OFFSET($M$15,0,0,$B$8,1))=EZ$13), 1*(_xlfn._xlws.FILTER(OFFSET($O$15,0,$DO183,$B$8,1),OFFSET($M$15,0,0,$B$8,1))=EZ$14))   /   SUM(OFFSET($BO$15,0,0,$B$14,1)) + $B$18/($B$19*$B$19*($DN183&lt;&gt;$DO183) + $B$19*($DN183=$DO183))</f>
        <v>3.7037037037037035E-4</v>
      </c>
      <c r="FA183" s="10" cm="1">
        <f t="array" aca="1" ref="FA183" ca="1">(1-$B$18)*SUMPRODUCT(OFFSET($BO$15,0,0,$B$14,1), 1*(_xlfn._xlws.FILTER(OFFSET($O$15,0,$DN183,$B$8,1),OFFSET($M$15,0,0,$B$8,1))=FA$13), 1*(_xlfn._xlws.FILTER(OFFSET($O$15,0,$DO183,$B$8,1),OFFSET($M$15,0,0,$B$8,1))=FA$14))   /   SUM(OFFSET($BO$15,0,0,$B$14,1)) + $B$18/($B$19*$B$19*($DN183&lt;&gt;$DO183) + $B$19*($DN183=$DO183))</f>
        <v>3.7037037037037035E-4</v>
      </c>
      <c r="FB183" s="10" cm="1">
        <f t="array" aca="1" ref="FB183" ca="1">(1-$B$18)*SUMPRODUCT(OFFSET($BO$15,0,0,$B$14,1), 1*(_xlfn._xlws.FILTER(OFFSET($O$15,0,$DN183,$B$8,1),OFFSET($M$15,0,0,$B$8,1))=FB$13), 1*(_xlfn._xlws.FILTER(OFFSET($O$15,0,$DO183,$B$8,1),OFFSET($M$15,0,0,$B$8,1))=FB$14))   /   SUM(OFFSET($BO$15,0,0,$B$14,1)) + $B$18/($B$19*$B$19*($DN183&lt;&gt;$DO183) + $B$19*($DN183=$DO183))</f>
        <v>3.7037037037037035E-4</v>
      </c>
      <c r="FC183" s="10" cm="1">
        <f t="array" aca="1" ref="FC183" ca="1">(1-$B$18)*SUMPRODUCT(OFFSET($BO$15,0,0,$B$14,1), 1*(_xlfn._xlws.FILTER(OFFSET($O$15,0,$DN183,$B$8,1),OFFSET($M$15,0,0,$B$8,1))=FC$13), 1*(_xlfn._xlws.FILTER(OFFSET($O$15,0,$DO183,$B$8,1),OFFSET($M$15,0,0,$B$8,1))=FC$14))   /   SUM(OFFSET($BO$15,0,0,$B$14,1)) + $B$18/($B$19*$B$19*($DN183&lt;&gt;$DO183) + $B$19*($DN183=$DO183))</f>
        <v>3.7037037037037035E-4</v>
      </c>
      <c r="FD183" s="10" cm="1">
        <f t="array" aca="1" ref="FD183" ca="1">(1-$B$18)*SUMPRODUCT(OFFSET($BO$15,0,0,$B$14,1), 1*(_xlfn._xlws.FILTER(OFFSET($O$15,0,$DN183,$B$8,1),OFFSET($M$15,0,0,$B$8,1))=FD$13), 1*(_xlfn._xlws.FILTER(OFFSET($O$15,0,$DO183,$B$8,1),OFFSET($M$15,0,0,$B$8,1))=FD$14))   /   SUM(OFFSET($BO$15,0,0,$B$14,1)) + $B$18/($B$19*$B$19*($DN183&lt;&gt;$DO183) + $B$19*($DN183=$DO183))</f>
        <v>3.7037037037037035E-4</v>
      </c>
      <c r="FE183" s="10" cm="1">
        <f t="array" aca="1" ref="FE183" ca="1">(1-$B$18)*SUMPRODUCT(OFFSET($BO$15,0,0,$B$14,1), 1*(_xlfn._xlws.FILTER(OFFSET($O$15,0,$DN183,$B$8,1),OFFSET($M$15,0,0,$B$8,1))=FE$13), 1*(_xlfn._xlws.FILTER(OFFSET($O$15,0,$DO183,$B$8,1),OFFSET($M$15,0,0,$B$8,1))=FE$14))   /   SUM(OFFSET($BO$15,0,0,$B$14,1)) + $B$18/($B$19*$B$19*($DN183&lt;&gt;$DO183) + $B$19*($DN183=$DO183))</f>
        <v>3.7037037037037035E-4</v>
      </c>
      <c r="FF183" s="10" cm="1">
        <f t="array" aca="1" ref="FF183" ca="1">(1-$B$18)*SUMPRODUCT(OFFSET($BO$15,0,0,$B$14,1), 1*(_xlfn._xlws.FILTER(OFFSET($O$15,0,$DN183,$B$8,1),OFFSET($M$15,0,0,$B$8,1))=FF$13), 1*(_xlfn._xlws.FILTER(OFFSET($O$15,0,$DO183,$B$8,1),OFFSET($M$15,0,0,$B$8,1))=FF$14))   /   SUM(OFFSET($BO$15,0,0,$B$14,1)) + $B$18/($B$19*$B$19*($DN183&lt;&gt;$DO183) + $B$19*($DN183=$DO183))</f>
        <v>3.7037037037037035E-4</v>
      </c>
      <c r="FG183" s="10" cm="1">
        <f t="array" aca="1" ref="FG183" ca="1">(1-$B$18)*SUMPRODUCT(OFFSET($BO$15,0,0,$B$14,1), 1*(_xlfn._xlws.FILTER(OFFSET($O$15,0,$DN183,$B$8,1),OFFSET($M$15,0,0,$B$8,1))=FG$13), 1*(_xlfn._xlws.FILTER(OFFSET($O$15,0,$DO183,$B$8,1),OFFSET($M$15,0,0,$B$8,1))=FG$14))   /   SUM(OFFSET($BO$15,0,0,$B$14,1)) + $B$18/($B$19*$B$19*($DN183&lt;&gt;$DO183) + $B$19*($DN183=$DO183))</f>
        <v>3.7037037037037035E-4</v>
      </c>
      <c r="FH183" s="10" cm="1">
        <f t="array" aca="1" ref="FH183" ca="1">(1-$B$18)*SUMPRODUCT(OFFSET($BO$15,0,0,$B$14,1), 1*(_xlfn._xlws.FILTER(OFFSET($O$15,0,$DN183,$B$8,1),OFFSET($M$15,0,0,$B$8,1))=FH$13), 1*(_xlfn._xlws.FILTER(OFFSET($O$15,0,$DO183,$B$8,1),OFFSET($M$15,0,0,$B$8,1))=FH$14))   /   SUM(OFFSET($BO$15,0,0,$B$14,1)) + $B$18/($B$19*$B$19*($DN183&lt;&gt;$DO183) + $B$19*($DN183=$DO183))</f>
        <v>3.7037037037037035E-4</v>
      </c>
      <c r="FI183" s="10" cm="1">
        <f t="array" aca="1" ref="FI183" ca="1">(1-$B$18)*SUMPRODUCT(OFFSET($BO$15,0,0,$B$14,1), 1*(_xlfn._xlws.FILTER(OFFSET($O$15,0,$DN183,$B$8,1),OFFSET($M$15,0,0,$B$8,1))=FI$13), 1*(_xlfn._xlws.FILTER(OFFSET($O$15,0,$DO183,$B$8,1),OFFSET($M$15,0,0,$B$8,1))=FI$14))   /   SUM(OFFSET($BO$15,0,0,$B$14,1)) + $B$18/($B$19*$B$19*($DN183&lt;&gt;$DO183) + $B$19*($DN183=$DO183))</f>
        <v>3.7037037037037035E-4</v>
      </c>
      <c r="FJ183" s="10" cm="1">
        <f t="array" aca="1" ref="FJ183" ca="1">(1-$B$18)*SUMPRODUCT(OFFSET($BO$15,0,0,$B$14,1), 1*(_xlfn._xlws.FILTER(OFFSET($O$15,0,$DN183,$B$8,1),OFFSET($M$15,0,0,$B$8,1))=FJ$13), 1*(_xlfn._xlws.FILTER(OFFSET($O$15,0,$DO183,$B$8,1),OFFSET($M$15,0,0,$B$8,1))=FJ$14))   /   SUM(OFFSET($BO$15,0,0,$B$14,1)) + $B$18/($B$19*$B$19*($DN183&lt;&gt;$DO183) + $B$19*($DN183=$DO183))</f>
        <v>3.7037037037037035E-4</v>
      </c>
      <c r="FK183" s="10" cm="1">
        <f t="array" aca="1" ref="FK183" ca="1">(1-$B$18)*SUMPRODUCT(OFFSET($BO$15,0,0,$B$14,1), 1*(_xlfn._xlws.FILTER(OFFSET($O$15,0,$DN183,$B$8,1),OFFSET($M$15,0,0,$B$8,1))=FK$13), 1*(_xlfn._xlws.FILTER(OFFSET($O$15,0,$DO183,$B$8,1),OFFSET($M$15,0,0,$B$8,1))=FK$14))   /   SUM(OFFSET($BO$15,0,0,$B$14,1)) + $B$18/($B$19*$B$19*($DN183&lt;&gt;$DO183) + $B$19*($DN183=$DO183))</f>
        <v>3.7037037037037035E-4</v>
      </c>
      <c r="FL183" s="10" cm="1">
        <f t="array" aca="1" ref="FL183" ca="1">(1-$B$18)*SUMPRODUCT(OFFSET($BO$15,0,0,$B$14,1), 1*(_xlfn._xlws.FILTER(OFFSET($O$15,0,$DN183,$B$8,1),OFFSET($M$15,0,0,$B$8,1))=FL$13), 1*(_xlfn._xlws.FILTER(OFFSET($O$15,0,$DO183,$B$8,1),OFFSET($M$15,0,0,$B$8,1))=FL$14))   /   SUM(OFFSET($BO$15,0,0,$B$14,1)) + $B$18/($B$19*$B$19*($DN183&lt;&gt;$DO183) + $B$19*($DN183=$DO183))</f>
        <v>3.7037037037037035E-4</v>
      </c>
      <c r="FM183" s="10" cm="1">
        <f t="array" aca="1" ref="FM183" ca="1">(1-$B$18)*SUMPRODUCT(OFFSET($BO$15,0,0,$B$14,1), 1*(_xlfn._xlws.FILTER(OFFSET($O$15,0,$DN183,$B$8,1),OFFSET($M$15,0,0,$B$8,1))=FM$13), 1*(_xlfn._xlws.FILTER(OFFSET($O$15,0,$DO183,$B$8,1),OFFSET($M$15,0,0,$B$8,1))=FM$14))   /   SUM(OFFSET($BO$15,0,0,$B$14,1)) + $B$18/($B$19*$B$19*($DN183&lt;&gt;$DO183) + $B$19*($DN183=$DO183))</f>
        <v>3.7037037037037035E-4</v>
      </c>
      <c r="FN183" s="10" cm="1">
        <f t="array" aca="1" ref="FN183" ca="1">(1-$B$18)*SUMPRODUCT(OFFSET($BO$15,0,0,$B$14,1), 1*(_xlfn._xlws.FILTER(OFFSET($O$15,0,$DN183,$B$8,1),OFFSET($M$15,0,0,$B$8,1))=FN$13), 1*(_xlfn._xlws.FILTER(OFFSET($O$15,0,$DO183,$B$8,1),OFFSET($M$15,0,0,$B$8,1))=FN$14))   /   SUM(OFFSET($BO$15,0,0,$B$14,1)) + $B$18/($B$19*$B$19*($DN183&lt;&gt;$DO183) + $B$19*($DN183=$DO183))</f>
        <v>3.7037037037037035E-4</v>
      </c>
      <c r="FO183" s="10" cm="1">
        <f t="array" aca="1" ref="FO183" ca="1">(1-$B$18)*SUMPRODUCT(OFFSET($BO$15,0,0,$B$14,1), 1*(_xlfn._xlws.FILTER(OFFSET($O$15,0,$DN183,$B$8,1),OFFSET($M$15,0,0,$B$8,1))=FO$13), 1*(_xlfn._xlws.FILTER(OFFSET($O$15,0,$DO183,$B$8,1),OFFSET($M$15,0,0,$B$8,1))=FO$14))   /   SUM(OFFSET($BO$15,0,0,$B$14,1)) + $B$18/($B$19*$B$19*($DN183&lt;&gt;$DO183) + $B$19*($DN183=$DO183))</f>
        <v>0.97037037037037033</v>
      </c>
      <c r="FP183" s="10" cm="1">
        <f t="array" aca="1" ref="FP183" ca="1">(1-$B$18)*SUMPRODUCT(OFFSET($BO$15,0,0,$B$14,1), 1*(_xlfn._xlws.FILTER(OFFSET($O$15,0,$DN183,$B$8,1),OFFSET($M$15,0,0,$B$8,1))=FP$13), 1*(_xlfn._xlws.FILTER(OFFSET($O$15,0,$DO183,$B$8,1),OFFSET($M$15,0,0,$B$8,1))=FP$14))   /   SUM(OFFSET($BO$15,0,0,$B$14,1)) + $B$18/($B$19*$B$19*($DN183&lt;&gt;$DO183) + $B$19*($DN183=$DO183))</f>
        <v>3.7037037037037035E-4</v>
      </c>
      <c r="FQ183" s="10" cm="1">
        <f t="array" aca="1" ref="FQ183" ca="1">(1-$B$18)*SUMPRODUCT(OFFSET($BO$15,0,0,$B$14,1), 1*(_xlfn._xlws.FILTER(OFFSET($O$15,0,$DN183,$B$8,1),OFFSET($M$15,0,0,$B$8,1))=FQ$13), 1*(_xlfn._xlws.FILTER(OFFSET($O$15,0,$DO183,$B$8,1),OFFSET($M$15,0,0,$B$8,1))=FQ$14))   /   SUM(OFFSET($BO$15,0,0,$B$14,1)) + $B$18/($B$19*$B$19*($DN183&lt;&gt;$DO183) + $B$19*($DN183=$DO183))</f>
        <v>3.7037037037037035E-4</v>
      </c>
      <c r="FR183" s="10" cm="1">
        <f t="array" aca="1" ref="FR183" ca="1">(1-$B$18)*SUMPRODUCT(OFFSET($BO$15,0,0,$B$14,1), 1*(_xlfn._xlws.FILTER(OFFSET($O$15,0,$DN183,$B$8,1),OFFSET($M$15,0,0,$B$8,1))=FR$13), 1*(_xlfn._xlws.FILTER(OFFSET($O$15,0,$DO183,$B$8,1),OFFSET($M$15,0,0,$B$8,1))=FR$14))   /   SUM(OFFSET($BO$15,0,0,$B$14,1)) + $B$18/($B$19*$B$19*($DN183&lt;&gt;$DO183) + $B$19*($DN183=$DO183))</f>
        <v>3.7037037037037035E-4</v>
      </c>
      <c r="FS183" s="10" cm="1">
        <f t="array" aca="1" ref="FS183" ca="1">(1-$B$18)*SUMPRODUCT(OFFSET($BO$15,0,0,$B$14,1), 1*(_xlfn._xlws.FILTER(OFFSET($O$15,0,$DN183,$B$8,1),OFFSET($M$15,0,0,$B$8,1))=FS$13), 1*(_xlfn._xlws.FILTER(OFFSET($O$15,0,$DO183,$B$8,1),OFFSET($M$15,0,0,$B$8,1))=FS$14))   /   SUM(OFFSET($BO$15,0,0,$B$14,1)) + $B$18/($B$19*$B$19*($DN183&lt;&gt;$DO183) + $B$19*($DN183=$DO183))</f>
        <v>3.7037037037037035E-4</v>
      </c>
      <c r="FT183" s="10" cm="1">
        <f t="array" aca="1" ref="FT183" ca="1">(1-$B$18)*SUMPRODUCT(OFFSET($BO$15,0,0,$B$14,1), 1*(_xlfn._xlws.FILTER(OFFSET($O$15,0,$DN183,$B$8,1),OFFSET($M$15,0,0,$B$8,1))=FT$13), 1*(_xlfn._xlws.FILTER(OFFSET($O$15,0,$DO183,$B$8,1),OFFSET($M$15,0,0,$B$8,1))=FT$14))   /   SUM(OFFSET($BO$15,0,0,$B$14,1)) + $B$18/($B$19*$B$19*($DN183&lt;&gt;$DO183) + $B$19*($DN183=$DO183))</f>
        <v>3.7037037037037035E-4</v>
      </c>
      <c r="FU183" s="10" cm="1">
        <f t="array" aca="1" ref="FU183" ca="1">(1-$B$18)*SUMPRODUCT(OFFSET($BO$15,0,0,$B$14,1), 1*(_xlfn._xlws.FILTER(OFFSET($O$15,0,$DN183,$B$8,1),OFFSET($M$15,0,0,$B$8,1))=FU$13), 1*(_xlfn._xlws.FILTER(OFFSET($O$15,0,$DO183,$B$8,1),OFFSET($M$15,0,0,$B$8,1))=FU$14))   /   SUM(OFFSET($BO$15,0,0,$B$14,1)) + $B$18/($B$19*$B$19*($DN183&lt;&gt;$DO183) + $B$19*($DN183=$DO183))</f>
        <v>3.7037037037037035E-4</v>
      </c>
      <c r="FV183" s="10" cm="1">
        <f t="array" aca="1" ref="FV183" ca="1">(1-$B$18)*SUMPRODUCT(OFFSET($BO$15,0,0,$B$14,1), 1*(_xlfn._xlws.FILTER(OFFSET($O$15,0,$DN183,$B$8,1),OFFSET($M$15,0,0,$B$8,1))=FV$13), 1*(_xlfn._xlws.FILTER(OFFSET($O$15,0,$DO183,$B$8,1),OFFSET($M$15,0,0,$B$8,1))=FV$14))   /   SUM(OFFSET($BO$15,0,0,$B$14,1)) + $B$18/($B$19*$B$19*($DN183&lt;&gt;$DO183) + $B$19*($DN183=$DO183))</f>
        <v>3.7037037037037035E-4</v>
      </c>
      <c r="FW183" s="10" cm="1">
        <f t="array" aca="1" ref="FW183" ca="1">(1-$B$18)*SUMPRODUCT(OFFSET($BO$15,0,0,$B$14,1), 1*(_xlfn._xlws.FILTER(OFFSET($O$15,0,$DN183,$B$8,1),OFFSET($M$15,0,0,$B$8,1))=FW$13), 1*(_xlfn._xlws.FILTER(OFFSET($O$15,0,$DO183,$B$8,1),OFFSET($M$15,0,0,$B$8,1))=FW$14))   /   SUM(OFFSET($BO$15,0,0,$B$14,1)) + $B$18/($B$19*$B$19*($DN183&lt;&gt;$DO183) + $B$19*($DN183=$DO183))</f>
        <v>3.7037037037037035E-4</v>
      </c>
      <c r="FX183" s="10" cm="1">
        <f t="array" aca="1" ref="FX183" ca="1">(1-$B$18)*SUMPRODUCT(OFFSET($BO$15,0,0,$B$14,1), 1*(_xlfn._xlws.FILTER(OFFSET($O$15,0,$DN183,$B$8,1),OFFSET($M$15,0,0,$B$8,1))=FX$13), 1*(_xlfn._xlws.FILTER(OFFSET($O$15,0,$DO183,$B$8,1),OFFSET($M$15,0,0,$B$8,1))=FX$14))   /   SUM(OFFSET($BO$15,0,0,$B$14,1)) + $B$18/($B$19*$B$19*($DN183&lt;&gt;$DO183) + $B$19*($DN183=$DO183))</f>
        <v>3.7037037037037035E-4</v>
      </c>
      <c r="FY183" s="10" cm="1">
        <f t="array" aca="1" ref="FY183" ca="1">(1-$B$18)*SUMPRODUCT(OFFSET($BO$15,0,0,$B$14,1), 1*(_xlfn._xlws.FILTER(OFFSET($O$15,0,$DN183,$B$8,1),OFFSET($M$15,0,0,$B$8,1))=FY$13), 1*(_xlfn._xlws.FILTER(OFFSET($O$15,0,$DO183,$B$8,1),OFFSET($M$15,0,0,$B$8,1))=FY$14))   /   SUM(OFFSET($BO$15,0,0,$B$14,1)) + $B$18/($B$19*$B$19*($DN183&lt;&gt;$DO183) + $B$19*($DN183=$DO183))</f>
        <v>3.7037037037037035E-4</v>
      </c>
      <c r="FZ183" s="10" cm="1">
        <f t="array" aca="1" ref="FZ183" ca="1">(1-$B$18)*SUMPRODUCT(OFFSET($BO$15,0,0,$B$14,1), 1*(_xlfn._xlws.FILTER(OFFSET($O$15,0,$DN183,$B$8,1),OFFSET($M$15,0,0,$B$8,1))=FZ$13), 1*(_xlfn._xlws.FILTER(OFFSET($O$15,0,$DO183,$B$8,1),OFFSET($M$15,0,0,$B$8,1))=FZ$14))   /   SUM(OFFSET($BO$15,0,0,$B$14,1)) + $B$18/($B$19*$B$19*($DN183&lt;&gt;$DO183) + $B$19*($DN183=$DO183))</f>
        <v>3.7037037037037035E-4</v>
      </c>
      <c r="GA183" s="10" cm="1">
        <f t="array" aca="1" ref="GA183" ca="1">(1-$B$18)*SUMPRODUCT(OFFSET($BO$15,0,0,$B$14,1), 1*(_xlfn._xlws.FILTER(OFFSET($O$15,0,$DN183,$B$8,1),OFFSET($M$15,0,0,$B$8,1))=GA$13), 1*(_xlfn._xlws.FILTER(OFFSET($O$15,0,$DO183,$B$8,1),OFFSET($M$15,0,0,$B$8,1))=GA$14))   /   SUM(OFFSET($BO$15,0,0,$B$14,1)) + $B$18/($B$19*$B$19*($DN183&lt;&gt;$DO183) + $B$19*($DN183=$DO183))</f>
        <v>3.7037037037037035E-4</v>
      </c>
    </row>
    <row r="184" spans="118:183" x14ac:dyDescent="0.2">
      <c r="DN184" cm="1">
        <f t="array" aca="1" ref="DN184" ca="1">INDEX(_xlfn.ANCHORARRAY($CP$15), 1 + INT((ROWS($DO$15:$DO184) - 1) / ROWS(_xlfn.ANCHORARRAY($CP$15))))</f>
        <v>8</v>
      </c>
      <c r="DO184" cm="1">
        <f t="array" aca="1" ref="DO184" ca="1">INDEX(_xlfn.ANCHORARRAY($CP$15),1+MOD(ROWS($DO$15:$DO184)-1,ROWS(_xlfn.ANCHORARRAY($CP$15))))</f>
        <v>20</v>
      </c>
      <c r="DP184" s="10" cm="1">
        <f t="array" aca="1" ref="DP184" ca="1">(1-$B$18)*SUMPRODUCT(OFFSET($BO$15,0,0,$B$14,1), 1*(_xlfn._xlws.FILTER(OFFSET($O$15,0,$DN184,$B$8,1),OFFSET($M$15,0,0,$B$8,1))=DP$13), 1*(_xlfn._xlws.FILTER(OFFSET($O$15,0,$DO184,$B$8,1),OFFSET($M$15,0,0,$B$8,1))=DP$14))   /   SUM(OFFSET($BO$15,0,0,$B$14,1)) + $B$18/($B$19*$B$19*($DN184&lt;&gt;$DO184) + $B$19*($DN184=$DO184))</f>
        <v>3.7037037037037035E-4</v>
      </c>
      <c r="DQ184" s="10" cm="1">
        <f t="array" aca="1" ref="DQ184" ca="1">(1-$B$18)*SUMPRODUCT(OFFSET($BO$15,0,0,$B$14,1), 1*(_xlfn._xlws.FILTER(OFFSET($O$15,0,$DN184,$B$8,1),OFFSET($M$15,0,0,$B$8,1))=DQ$13), 1*(_xlfn._xlws.FILTER(OFFSET($O$15,0,$DO184,$B$8,1),OFFSET($M$15,0,0,$B$8,1))=DQ$14))   /   SUM(OFFSET($BO$15,0,0,$B$14,1)) + $B$18/($B$19*$B$19*($DN184&lt;&gt;$DO184) + $B$19*($DN184=$DO184))</f>
        <v>3.7037037037037035E-4</v>
      </c>
      <c r="DR184" s="10" cm="1">
        <f t="array" aca="1" ref="DR184" ca="1">(1-$B$18)*SUMPRODUCT(OFFSET($BO$15,0,0,$B$14,1), 1*(_xlfn._xlws.FILTER(OFFSET($O$15,0,$DN184,$B$8,1),OFFSET($M$15,0,0,$B$8,1))=DR$13), 1*(_xlfn._xlws.FILTER(OFFSET($O$15,0,$DO184,$B$8,1),OFFSET($M$15,0,0,$B$8,1))=DR$14))   /   SUM(OFFSET($BO$15,0,0,$B$14,1)) + $B$18/($B$19*$B$19*($DN184&lt;&gt;$DO184) + $B$19*($DN184=$DO184))</f>
        <v>3.7037037037037035E-4</v>
      </c>
      <c r="DS184" s="10" cm="1">
        <f t="array" aca="1" ref="DS184" ca="1">(1-$B$18)*SUMPRODUCT(OFFSET($BO$15,0,0,$B$14,1), 1*(_xlfn._xlws.FILTER(OFFSET($O$15,0,$DN184,$B$8,1),OFFSET($M$15,0,0,$B$8,1))=DS$13), 1*(_xlfn._xlws.FILTER(OFFSET($O$15,0,$DO184,$B$8,1),OFFSET($M$15,0,0,$B$8,1))=DS$14))   /   SUM(OFFSET($BO$15,0,0,$B$14,1)) + $B$18/($B$19*$B$19*($DN184&lt;&gt;$DO184) + $B$19*($DN184=$DO184))</f>
        <v>3.7037037037037035E-4</v>
      </c>
      <c r="DT184" s="10" cm="1">
        <f t="array" aca="1" ref="DT184" ca="1">(1-$B$18)*SUMPRODUCT(OFFSET($BO$15,0,0,$B$14,1), 1*(_xlfn._xlws.FILTER(OFFSET($O$15,0,$DN184,$B$8,1),OFFSET($M$15,0,0,$B$8,1))=DT$13), 1*(_xlfn._xlws.FILTER(OFFSET($O$15,0,$DO184,$B$8,1),OFFSET($M$15,0,0,$B$8,1))=DT$14))   /   SUM(OFFSET($BO$15,0,0,$B$14,1)) + $B$18/($B$19*$B$19*($DN184&lt;&gt;$DO184) + $B$19*($DN184=$DO184))</f>
        <v>3.7037037037037035E-4</v>
      </c>
      <c r="DU184" s="10" cm="1">
        <f t="array" aca="1" ref="DU184" ca="1">(1-$B$18)*SUMPRODUCT(OFFSET($BO$15,0,0,$B$14,1), 1*(_xlfn._xlws.FILTER(OFFSET($O$15,0,$DN184,$B$8,1),OFFSET($M$15,0,0,$B$8,1))=DU$13), 1*(_xlfn._xlws.FILTER(OFFSET($O$15,0,$DO184,$B$8,1),OFFSET($M$15,0,0,$B$8,1))=DU$14))   /   SUM(OFFSET($BO$15,0,0,$B$14,1)) + $B$18/($B$19*$B$19*($DN184&lt;&gt;$DO184) + $B$19*($DN184=$DO184))</f>
        <v>3.7037037037037035E-4</v>
      </c>
      <c r="DV184" s="10" cm="1">
        <f t="array" aca="1" ref="DV184" ca="1">(1-$B$18)*SUMPRODUCT(OFFSET($BO$15,0,0,$B$14,1), 1*(_xlfn._xlws.FILTER(OFFSET($O$15,0,$DN184,$B$8,1),OFFSET($M$15,0,0,$B$8,1))=DV$13), 1*(_xlfn._xlws.FILTER(OFFSET($O$15,0,$DO184,$B$8,1),OFFSET($M$15,0,0,$B$8,1))=DV$14))   /   SUM(OFFSET($BO$15,0,0,$B$14,1)) + $B$18/($B$19*$B$19*($DN184&lt;&gt;$DO184) + $B$19*($DN184=$DO184))</f>
        <v>3.7037037037037035E-4</v>
      </c>
      <c r="DW184" s="10" cm="1">
        <f t="array" aca="1" ref="DW184" ca="1">(1-$B$18)*SUMPRODUCT(OFFSET($BO$15,0,0,$B$14,1), 1*(_xlfn._xlws.FILTER(OFFSET($O$15,0,$DN184,$B$8,1),OFFSET($M$15,0,0,$B$8,1))=DW$13), 1*(_xlfn._xlws.FILTER(OFFSET($O$15,0,$DO184,$B$8,1),OFFSET($M$15,0,0,$B$8,1))=DW$14))   /   SUM(OFFSET($BO$15,0,0,$B$14,1)) + $B$18/($B$19*$B$19*($DN184&lt;&gt;$DO184) + $B$19*($DN184=$DO184))</f>
        <v>3.7037037037037035E-4</v>
      </c>
      <c r="DX184" s="10" cm="1">
        <f t="array" aca="1" ref="DX184" ca="1">(1-$B$18)*SUMPRODUCT(OFFSET($BO$15,0,0,$B$14,1), 1*(_xlfn._xlws.FILTER(OFFSET($O$15,0,$DN184,$B$8,1),OFFSET($M$15,0,0,$B$8,1))=DX$13), 1*(_xlfn._xlws.FILTER(OFFSET($O$15,0,$DO184,$B$8,1),OFFSET($M$15,0,0,$B$8,1))=DX$14))   /   SUM(OFFSET($BO$15,0,0,$B$14,1)) + $B$18/($B$19*$B$19*($DN184&lt;&gt;$DO184) + $B$19*($DN184=$DO184))</f>
        <v>3.7037037037037035E-4</v>
      </c>
      <c r="DY184" s="10" cm="1">
        <f t="array" aca="1" ref="DY184" ca="1">(1-$B$18)*SUMPRODUCT(OFFSET($BO$15,0,0,$B$14,1), 1*(_xlfn._xlws.FILTER(OFFSET($O$15,0,$DN184,$B$8,1),OFFSET($M$15,0,0,$B$8,1))=DY$13), 1*(_xlfn._xlws.FILTER(OFFSET($O$15,0,$DO184,$B$8,1),OFFSET($M$15,0,0,$B$8,1))=DY$14))   /   SUM(OFFSET($BO$15,0,0,$B$14,1)) + $B$18/($B$19*$B$19*($DN184&lt;&gt;$DO184) + $B$19*($DN184=$DO184))</f>
        <v>3.7037037037037035E-4</v>
      </c>
      <c r="DZ184" s="10" cm="1">
        <f t="array" aca="1" ref="DZ184" ca="1">(1-$B$18)*SUMPRODUCT(OFFSET($BO$15,0,0,$B$14,1), 1*(_xlfn._xlws.FILTER(OFFSET($O$15,0,$DN184,$B$8,1),OFFSET($M$15,0,0,$B$8,1))=DZ$13), 1*(_xlfn._xlws.FILTER(OFFSET($O$15,0,$DO184,$B$8,1),OFFSET($M$15,0,0,$B$8,1))=DZ$14))   /   SUM(OFFSET($BO$15,0,0,$B$14,1)) + $B$18/($B$19*$B$19*($DN184&lt;&gt;$DO184) + $B$19*($DN184=$DO184))</f>
        <v>3.7037037037037035E-4</v>
      </c>
      <c r="EA184" s="10" cm="1">
        <f t="array" aca="1" ref="EA184" ca="1">(1-$B$18)*SUMPRODUCT(OFFSET($BO$15,0,0,$B$14,1), 1*(_xlfn._xlws.FILTER(OFFSET($O$15,0,$DN184,$B$8,1),OFFSET($M$15,0,0,$B$8,1))=EA$13), 1*(_xlfn._xlws.FILTER(OFFSET($O$15,0,$DO184,$B$8,1),OFFSET($M$15,0,0,$B$8,1))=EA$14))   /   SUM(OFFSET($BO$15,0,0,$B$14,1)) + $B$18/($B$19*$B$19*($DN184&lt;&gt;$DO184) + $B$19*($DN184=$DO184))</f>
        <v>3.7037037037037035E-4</v>
      </c>
      <c r="EB184" s="10" cm="1">
        <f t="array" aca="1" ref="EB184" ca="1">(1-$B$18)*SUMPRODUCT(OFFSET($BO$15,0,0,$B$14,1), 1*(_xlfn._xlws.FILTER(OFFSET($O$15,0,$DN184,$B$8,1),OFFSET($M$15,0,0,$B$8,1))=EB$13), 1*(_xlfn._xlws.FILTER(OFFSET($O$15,0,$DO184,$B$8,1),OFFSET($M$15,0,0,$B$8,1))=EB$14))   /   SUM(OFFSET($BO$15,0,0,$B$14,1)) + $B$18/($B$19*$B$19*($DN184&lt;&gt;$DO184) + $B$19*($DN184=$DO184))</f>
        <v>3.7037037037037035E-4</v>
      </c>
      <c r="EC184" s="10" cm="1">
        <f t="array" aca="1" ref="EC184" ca="1">(1-$B$18)*SUMPRODUCT(OFFSET($BO$15,0,0,$B$14,1), 1*(_xlfn._xlws.FILTER(OFFSET($O$15,0,$DN184,$B$8,1),OFFSET($M$15,0,0,$B$8,1))=EC$13), 1*(_xlfn._xlws.FILTER(OFFSET($O$15,0,$DO184,$B$8,1),OFFSET($M$15,0,0,$B$8,1))=EC$14))   /   SUM(OFFSET($BO$15,0,0,$B$14,1)) + $B$18/($B$19*$B$19*($DN184&lt;&gt;$DO184) + $B$19*($DN184=$DO184))</f>
        <v>3.7037037037037035E-4</v>
      </c>
      <c r="ED184" s="10" cm="1">
        <f t="array" aca="1" ref="ED184" ca="1">(1-$B$18)*SUMPRODUCT(OFFSET($BO$15,0,0,$B$14,1), 1*(_xlfn._xlws.FILTER(OFFSET($O$15,0,$DN184,$B$8,1),OFFSET($M$15,0,0,$B$8,1))=ED$13), 1*(_xlfn._xlws.FILTER(OFFSET($O$15,0,$DO184,$B$8,1),OFFSET($M$15,0,0,$B$8,1))=ED$14))   /   SUM(OFFSET($BO$15,0,0,$B$14,1)) + $B$18/($B$19*$B$19*($DN184&lt;&gt;$DO184) + $B$19*($DN184=$DO184))</f>
        <v>3.7037037037037035E-4</v>
      </c>
      <c r="EE184" s="10" cm="1">
        <f t="array" aca="1" ref="EE184" ca="1">(1-$B$18)*SUMPRODUCT(OFFSET($BO$15,0,0,$B$14,1), 1*(_xlfn._xlws.FILTER(OFFSET($O$15,0,$DN184,$B$8,1),OFFSET($M$15,0,0,$B$8,1))=EE$13), 1*(_xlfn._xlws.FILTER(OFFSET($O$15,0,$DO184,$B$8,1),OFFSET($M$15,0,0,$B$8,1))=EE$14))   /   SUM(OFFSET($BO$15,0,0,$B$14,1)) + $B$18/($B$19*$B$19*($DN184&lt;&gt;$DO184) + $B$19*($DN184=$DO184))</f>
        <v>3.7037037037037035E-4</v>
      </c>
      <c r="EF184" s="10" cm="1">
        <f t="array" aca="1" ref="EF184" ca="1">(1-$B$18)*SUMPRODUCT(OFFSET($BO$15,0,0,$B$14,1), 1*(_xlfn._xlws.FILTER(OFFSET($O$15,0,$DN184,$B$8,1),OFFSET($M$15,0,0,$B$8,1))=EF$13), 1*(_xlfn._xlws.FILTER(OFFSET($O$15,0,$DO184,$B$8,1),OFFSET($M$15,0,0,$B$8,1))=EF$14))   /   SUM(OFFSET($BO$15,0,0,$B$14,1)) + $B$18/($B$19*$B$19*($DN184&lt;&gt;$DO184) + $B$19*($DN184=$DO184))</f>
        <v>3.7037037037037035E-4</v>
      </c>
      <c r="EG184" s="10" cm="1">
        <f t="array" aca="1" ref="EG184" ca="1">(1-$B$18)*SUMPRODUCT(OFFSET($BO$15,0,0,$B$14,1), 1*(_xlfn._xlws.FILTER(OFFSET($O$15,0,$DN184,$B$8,1),OFFSET($M$15,0,0,$B$8,1))=EG$13), 1*(_xlfn._xlws.FILTER(OFFSET($O$15,0,$DO184,$B$8,1),OFFSET($M$15,0,0,$B$8,1))=EG$14))   /   SUM(OFFSET($BO$15,0,0,$B$14,1)) + $B$18/($B$19*$B$19*($DN184&lt;&gt;$DO184) + $B$19*($DN184=$DO184))</f>
        <v>3.7037037037037035E-4</v>
      </c>
      <c r="EH184" s="10" cm="1">
        <f t="array" aca="1" ref="EH184" ca="1">(1-$B$18)*SUMPRODUCT(OFFSET($BO$15,0,0,$B$14,1), 1*(_xlfn._xlws.FILTER(OFFSET($O$15,0,$DN184,$B$8,1),OFFSET($M$15,0,0,$B$8,1))=EH$13), 1*(_xlfn._xlws.FILTER(OFFSET($O$15,0,$DO184,$B$8,1),OFFSET($M$15,0,0,$B$8,1))=EH$14))   /   SUM(OFFSET($BO$15,0,0,$B$14,1)) + $B$18/($B$19*$B$19*($DN184&lt;&gt;$DO184) + $B$19*($DN184=$DO184))</f>
        <v>3.7037037037037035E-4</v>
      </c>
      <c r="EI184" s="10" cm="1">
        <f t="array" aca="1" ref="EI184" ca="1">(1-$B$18)*SUMPRODUCT(OFFSET($BO$15,0,0,$B$14,1), 1*(_xlfn._xlws.FILTER(OFFSET($O$15,0,$DN184,$B$8,1),OFFSET($M$15,0,0,$B$8,1))=EI$13), 1*(_xlfn._xlws.FILTER(OFFSET($O$15,0,$DO184,$B$8,1),OFFSET($M$15,0,0,$B$8,1))=EI$14))   /   SUM(OFFSET($BO$15,0,0,$B$14,1)) + $B$18/($B$19*$B$19*($DN184&lt;&gt;$DO184) + $B$19*($DN184=$DO184))</f>
        <v>3.7037037037037035E-4</v>
      </c>
      <c r="EJ184" s="10" cm="1">
        <f t="array" aca="1" ref="EJ184" ca="1">(1-$B$18)*SUMPRODUCT(OFFSET($BO$15,0,0,$B$14,1), 1*(_xlfn._xlws.FILTER(OFFSET($O$15,0,$DN184,$B$8,1),OFFSET($M$15,0,0,$B$8,1))=EJ$13), 1*(_xlfn._xlws.FILTER(OFFSET($O$15,0,$DO184,$B$8,1),OFFSET($M$15,0,0,$B$8,1))=EJ$14))   /   SUM(OFFSET($BO$15,0,0,$B$14,1)) + $B$18/($B$19*$B$19*($DN184&lt;&gt;$DO184) + $B$19*($DN184=$DO184))</f>
        <v>3.7037037037037035E-4</v>
      </c>
      <c r="EK184" s="10" cm="1">
        <f t="array" aca="1" ref="EK184" ca="1">(1-$B$18)*SUMPRODUCT(OFFSET($BO$15,0,0,$B$14,1), 1*(_xlfn._xlws.FILTER(OFFSET($O$15,0,$DN184,$B$8,1),OFFSET($M$15,0,0,$B$8,1))=EK$13), 1*(_xlfn._xlws.FILTER(OFFSET($O$15,0,$DO184,$B$8,1),OFFSET($M$15,0,0,$B$8,1))=EK$14))   /   SUM(OFFSET($BO$15,0,0,$B$14,1)) + $B$18/($B$19*$B$19*($DN184&lt;&gt;$DO184) + $B$19*($DN184=$DO184))</f>
        <v>3.7037037037037035E-4</v>
      </c>
      <c r="EL184" s="10" cm="1">
        <f t="array" aca="1" ref="EL184" ca="1">(1-$B$18)*SUMPRODUCT(OFFSET($BO$15,0,0,$B$14,1), 1*(_xlfn._xlws.FILTER(OFFSET($O$15,0,$DN184,$B$8,1),OFFSET($M$15,0,0,$B$8,1))=EL$13), 1*(_xlfn._xlws.FILTER(OFFSET($O$15,0,$DO184,$B$8,1),OFFSET($M$15,0,0,$B$8,1))=EL$14))   /   SUM(OFFSET($BO$15,0,0,$B$14,1)) + $B$18/($B$19*$B$19*($DN184&lt;&gt;$DO184) + $B$19*($DN184=$DO184))</f>
        <v>3.7037037037037035E-4</v>
      </c>
      <c r="EM184" s="10" cm="1">
        <f t="array" aca="1" ref="EM184" ca="1">(1-$B$18)*SUMPRODUCT(OFFSET($BO$15,0,0,$B$14,1), 1*(_xlfn._xlws.FILTER(OFFSET($O$15,0,$DN184,$B$8,1),OFFSET($M$15,0,0,$B$8,1))=EM$13), 1*(_xlfn._xlws.FILTER(OFFSET($O$15,0,$DO184,$B$8,1),OFFSET($M$15,0,0,$B$8,1))=EM$14))   /   SUM(OFFSET($BO$15,0,0,$B$14,1)) + $B$18/($B$19*$B$19*($DN184&lt;&gt;$DO184) + $B$19*($DN184=$DO184))</f>
        <v>3.7037037037037035E-4</v>
      </c>
      <c r="EN184" s="10" cm="1">
        <f t="array" aca="1" ref="EN184" ca="1">(1-$B$18)*SUMPRODUCT(OFFSET($BO$15,0,0,$B$14,1), 1*(_xlfn._xlws.FILTER(OFFSET($O$15,0,$DN184,$B$8,1),OFFSET($M$15,0,0,$B$8,1))=EN$13), 1*(_xlfn._xlws.FILTER(OFFSET($O$15,0,$DO184,$B$8,1),OFFSET($M$15,0,0,$B$8,1))=EN$14))   /   SUM(OFFSET($BO$15,0,0,$B$14,1)) + $B$18/($B$19*$B$19*($DN184&lt;&gt;$DO184) + $B$19*($DN184=$DO184))</f>
        <v>3.7037037037037035E-4</v>
      </c>
      <c r="EO184" s="10" cm="1">
        <f t="array" aca="1" ref="EO184" ca="1">(1-$B$18)*SUMPRODUCT(OFFSET($BO$15,0,0,$B$14,1), 1*(_xlfn._xlws.FILTER(OFFSET($O$15,0,$DN184,$B$8,1),OFFSET($M$15,0,0,$B$8,1))=EO$13), 1*(_xlfn._xlws.FILTER(OFFSET($O$15,0,$DO184,$B$8,1),OFFSET($M$15,0,0,$B$8,1))=EO$14))   /   SUM(OFFSET($BO$15,0,0,$B$14,1)) + $B$18/($B$19*$B$19*($DN184&lt;&gt;$DO184) + $B$19*($DN184=$DO184))</f>
        <v>3.7037037037037035E-4</v>
      </c>
      <c r="EP184" s="10" cm="1">
        <f t="array" aca="1" ref="EP184" ca="1">(1-$B$18)*SUMPRODUCT(OFFSET($BO$15,0,0,$B$14,1), 1*(_xlfn._xlws.FILTER(OFFSET($O$15,0,$DN184,$B$8,1),OFFSET($M$15,0,0,$B$8,1))=EP$13), 1*(_xlfn._xlws.FILTER(OFFSET($O$15,0,$DO184,$B$8,1),OFFSET($M$15,0,0,$B$8,1))=EP$14))   /   SUM(OFFSET($BO$15,0,0,$B$14,1)) + $B$18/($B$19*$B$19*($DN184&lt;&gt;$DO184) + $B$19*($DN184=$DO184))</f>
        <v>3.7037037037037035E-4</v>
      </c>
      <c r="EQ184" s="10" cm="1">
        <f t="array" aca="1" ref="EQ184" ca="1">(1-$B$18)*SUMPRODUCT(OFFSET($BO$15,0,0,$B$14,1), 1*(_xlfn._xlws.FILTER(OFFSET($O$15,0,$DN184,$B$8,1),OFFSET($M$15,0,0,$B$8,1))=EQ$13), 1*(_xlfn._xlws.FILTER(OFFSET($O$15,0,$DO184,$B$8,1),OFFSET($M$15,0,0,$B$8,1))=EQ$14))   /   SUM(OFFSET($BO$15,0,0,$B$14,1)) + $B$18/($B$19*$B$19*($DN184&lt;&gt;$DO184) + $B$19*($DN184=$DO184))</f>
        <v>3.7037037037037035E-4</v>
      </c>
      <c r="ER184" s="10" cm="1">
        <f t="array" aca="1" ref="ER184" ca="1">(1-$B$18)*SUMPRODUCT(OFFSET($BO$15,0,0,$B$14,1), 1*(_xlfn._xlws.FILTER(OFFSET($O$15,0,$DN184,$B$8,1),OFFSET($M$15,0,0,$B$8,1))=ER$13), 1*(_xlfn._xlws.FILTER(OFFSET($O$15,0,$DO184,$B$8,1),OFFSET($M$15,0,0,$B$8,1))=ER$14))   /   SUM(OFFSET($BO$15,0,0,$B$14,1)) + $B$18/($B$19*$B$19*($DN184&lt;&gt;$DO184) + $B$19*($DN184=$DO184))</f>
        <v>3.7037037037037035E-4</v>
      </c>
      <c r="ES184" s="10" cm="1">
        <f t="array" aca="1" ref="ES184" ca="1">(1-$B$18)*SUMPRODUCT(OFFSET($BO$15,0,0,$B$14,1), 1*(_xlfn._xlws.FILTER(OFFSET($O$15,0,$DN184,$B$8,1),OFFSET($M$15,0,0,$B$8,1))=ES$13), 1*(_xlfn._xlws.FILTER(OFFSET($O$15,0,$DO184,$B$8,1),OFFSET($M$15,0,0,$B$8,1))=ES$14))   /   SUM(OFFSET($BO$15,0,0,$B$14,1)) + $B$18/($B$19*$B$19*($DN184&lt;&gt;$DO184) + $B$19*($DN184=$DO184))</f>
        <v>3.7037037037037035E-4</v>
      </c>
      <c r="ET184" s="10" cm="1">
        <f t="array" aca="1" ref="ET184" ca="1">(1-$B$18)*SUMPRODUCT(OFFSET($BO$15,0,0,$B$14,1), 1*(_xlfn._xlws.FILTER(OFFSET($O$15,0,$DN184,$B$8,1),OFFSET($M$15,0,0,$B$8,1))=ET$13), 1*(_xlfn._xlws.FILTER(OFFSET($O$15,0,$DO184,$B$8,1),OFFSET($M$15,0,0,$B$8,1))=ET$14))   /   SUM(OFFSET($BO$15,0,0,$B$14,1)) + $B$18/($B$19*$B$19*($DN184&lt;&gt;$DO184) + $B$19*($DN184=$DO184))</f>
        <v>3.7037037037037035E-4</v>
      </c>
      <c r="EU184" s="10" cm="1">
        <f t="array" aca="1" ref="EU184" ca="1">(1-$B$18)*SUMPRODUCT(OFFSET($BO$15,0,0,$B$14,1), 1*(_xlfn._xlws.FILTER(OFFSET($O$15,0,$DN184,$B$8,1),OFFSET($M$15,0,0,$B$8,1))=EU$13), 1*(_xlfn._xlws.FILTER(OFFSET($O$15,0,$DO184,$B$8,1),OFFSET($M$15,0,0,$B$8,1))=EU$14))   /   SUM(OFFSET($BO$15,0,0,$B$14,1)) + $B$18/($B$19*$B$19*($DN184&lt;&gt;$DO184) + $B$19*($DN184=$DO184))</f>
        <v>3.7037037037037035E-4</v>
      </c>
      <c r="EV184" s="10" cm="1">
        <f t="array" aca="1" ref="EV184" ca="1">(1-$B$18)*SUMPRODUCT(OFFSET($BO$15,0,0,$B$14,1), 1*(_xlfn._xlws.FILTER(OFFSET($O$15,0,$DN184,$B$8,1),OFFSET($M$15,0,0,$B$8,1))=EV$13), 1*(_xlfn._xlws.FILTER(OFFSET($O$15,0,$DO184,$B$8,1),OFFSET($M$15,0,0,$B$8,1))=EV$14))   /   SUM(OFFSET($BO$15,0,0,$B$14,1)) + $B$18/($B$19*$B$19*($DN184&lt;&gt;$DO184) + $B$19*($DN184=$DO184))</f>
        <v>3.7037037037037035E-4</v>
      </c>
      <c r="EW184" s="10" cm="1">
        <f t="array" aca="1" ref="EW184" ca="1">(1-$B$18)*SUMPRODUCT(OFFSET($BO$15,0,0,$B$14,1), 1*(_xlfn._xlws.FILTER(OFFSET($O$15,0,$DN184,$B$8,1),OFFSET($M$15,0,0,$B$8,1))=EW$13), 1*(_xlfn._xlws.FILTER(OFFSET($O$15,0,$DO184,$B$8,1),OFFSET($M$15,0,0,$B$8,1))=EW$14))   /   SUM(OFFSET($BO$15,0,0,$B$14,1)) + $B$18/($B$19*$B$19*($DN184&lt;&gt;$DO184) + $B$19*($DN184=$DO184))</f>
        <v>3.7037037037037035E-4</v>
      </c>
      <c r="EX184" s="10" cm="1">
        <f t="array" aca="1" ref="EX184" ca="1">(1-$B$18)*SUMPRODUCT(OFFSET($BO$15,0,0,$B$14,1), 1*(_xlfn._xlws.FILTER(OFFSET($O$15,0,$DN184,$B$8,1),OFFSET($M$15,0,0,$B$8,1))=EX$13), 1*(_xlfn._xlws.FILTER(OFFSET($O$15,0,$DO184,$B$8,1),OFFSET($M$15,0,0,$B$8,1))=EX$14))   /   SUM(OFFSET($BO$15,0,0,$B$14,1)) + $B$18/($B$19*$B$19*($DN184&lt;&gt;$DO184) + $B$19*($DN184=$DO184))</f>
        <v>3.7037037037037035E-4</v>
      </c>
      <c r="EY184" s="10" cm="1">
        <f t="array" aca="1" ref="EY184" ca="1">(1-$B$18)*SUMPRODUCT(OFFSET($BO$15,0,0,$B$14,1), 1*(_xlfn._xlws.FILTER(OFFSET($O$15,0,$DN184,$B$8,1),OFFSET($M$15,0,0,$B$8,1))=EY$13), 1*(_xlfn._xlws.FILTER(OFFSET($O$15,0,$DO184,$B$8,1),OFFSET($M$15,0,0,$B$8,1))=EY$14))   /   SUM(OFFSET($BO$15,0,0,$B$14,1)) + $B$18/($B$19*$B$19*($DN184&lt;&gt;$DO184) + $B$19*($DN184=$DO184))</f>
        <v>3.7037037037037035E-4</v>
      </c>
      <c r="EZ184" s="10" cm="1">
        <f t="array" aca="1" ref="EZ184" ca="1">(1-$B$18)*SUMPRODUCT(OFFSET($BO$15,0,0,$B$14,1), 1*(_xlfn._xlws.FILTER(OFFSET($O$15,0,$DN184,$B$8,1),OFFSET($M$15,0,0,$B$8,1))=EZ$13), 1*(_xlfn._xlws.FILTER(OFFSET($O$15,0,$DO184,$B$8,1),OFFSET($M$15,0,0,$B$8,1))=EZ$14))   /   SUM(OFFSET($BO$15,0,0,$B$14,1)) + $B$18/($B$19*$B$19*($DN184&lt;&gt;$DO184) + $B$19*($DN184=$DO184))</f>
        <v>3.7037037037037035E-4</v>
      </c>
      <c r="FA184" s="10" cm="1">
        <f t="array" aca="1" ref="FA184" ca="1">(1-$B$18)*SUMPRODUCT(OFFSET($BO$15,0,0,$B$14,1), 1*(_xlfn._xlws.FILTER(OFFSET($O$15,0,$DN184,$B$8,1),OFFSET($M$15,0,0,$B$8,1))=FA$13), 1*(_xlfn._xlws.FILTER(OFFSET($O$15,0,$DO184,$B$8,1),OFFSET($M$15,0,0,$B$8,1))=FA$14))   /   SUM(OFFSET($BO$15,0,0,$B$14,1)) + $B$18/($B$19*$B$19*($DN184&lt;&gt;$DO184) + $B$19*($DN184=$DO184))</f>
        <v>3.7037037037037035E-4</v>
      </c>
      <c r="FB184" s="10" cm="1">
        <f t="array" aca="1" ref="FB184" ca="1">(1-$B$18)*SUMPRODUCT(OFFSET($BO$15,0,0,$B$14,1), 1*(_xlfn._xlws.FILTER(OFFSET($O$15,0,$DN184,$B$8,1),OFFSET($M$15,0,0,$B$8,1))=FB$13), 1*(_xlfn._xlws.FILTER(OFFSET($O$15,0,$DO184,$B$8,1),OFFSET($M$15,0,0,$B$8,1))=FB$14))   /   SUM(OFFSET($BO$15,0,0,$B$14,1)) + $B$18/($B$19*$B$19*($DN184&lt;&gt;$DO184) + $B$19*($DN184=$DO184))</f>
        <v>3.7037037037037035E-4</v>
      </c>
      <c r="FC184" s="10" cm="1">
        <f t="array" aca="1" ref="FC184" ca="1">(1-$B$18)*SUMPRODUCT(OFFSET($BO$15,0,0,$B$14,1), 1*(_xlfn._xlws.FILTER(OFFSET($O$15,0,$DN184,$B$8,1),OFFSET($M$15,0,0,$B$8,1))=FC$13), 1*(_xlfn._xlws.FILTER(OFFSET($O$15,0,$DO184,$B$8,1),OFFSET($M$15,0,0,$B$8,1))=FC$14))   /   SUM(OFFSET($BO$15,0,0,$B$14,1)) + $B$18/($B$19*$B$19*($DN184&lt;&gt;$DO184) + $B$19*($DN184=$DO184))</f>
        <v>3.7037037037037035E-4</v>
      </c>
      <c r="FD184" s="10" cm="1">
        <f t="array" aca="1" ref="FD184" ca="1">(1-$B$18)*SUMPRODUCT(OFFSET($BO$15,0,0,$B$14,1), 1*(_xlfn._xlws.FILTER(OFFSET($O$15,0,$DN184,$B$8,1),OFFSET($M$15,0,0,$B$8,1))=FD$13), 1*(_xlfn._xlws.FILTER(OFFSET($O$15,0,$DO184,$B$8,1),OFFSET($M$15,0,0,$B$8,1))=FD$14))   /   SUM(OFFSET($BO$15,0,0,$B$14,1)) + $B$18/($B$19*$B$19*($DN184&lt;&gt;$DO184) + $B$19*($DN184=$DO184))</f>
        <v>3.7037037037037035E-4</v>
      </c>
      <c r="FE184" s="10" cm="1">
        <f t="array" aca="1" ref="FE184" ca="1">(1-$B$18)*SUMPRODUCT(OFFSET($BO$15,0,0,$B$14,1), 1*(_xlfn._xlws.FILTER(OFFSET($O$15,0,$DN184,$B$8,1),OFFSET($M$15,0,0,$B$8,1))=FE$13), 1*(_xlfn._xlws.FILTER(OFFSET($O$15,0,$DO184,$B$8,1),OFFSET($M$15,0,0,$B$8,1))=FE$14))   /   SUM(OFFSET($BO$15,0,0,$B$14,1)) + $B$18/($B$19*$B$19*($DN184&lt;&gt;$DO184) + $B$19*($DN184=$DO184))</f>
        <v>3.7037037037037035E-4</v>
      </c>
      <c r="FF184" s="10" cm="1">
        <f t="array" aca="1" ref="FF184" ca="1">(1-$B$18)*SUMPRODUCT(OFFSET($BO$15,0,0,$B$14,1), 1*(_xlfn._xlws.FILTER(OFFSET($O$15,0,$DN184,$B$8,1),OFFSET($M$15,0,0,$B$8,1))=FF$13), 1*(_xlfn._xlws.FILTER(OFFSET($O$15,0,$DO184,$B$8,1),OFFSET($M$15,0,0,$B$8,1))=FF$14))   /   SUM(OFFSET($BO$15,0,0,$B$14,1)) + $B$18/($B$19*$B$19*($DN184&lt;&gt;$DO184) + $B$19*($DN184=$DO184))</f>
        <v>3.7037037037037035E-4</v>
      </c>
      <c r="FG184" s="10" cm="1">
        <f t="array" aca="1" ref="FG184" ca="1">(1-$B$18)*SUMPRODUCT(OFFSET($BO$15,0,0,$B$14,1), 1*(_xlfn._xlws.FILTER(OFFSET($O$15,0,$DN184,$B$8,1),OFFSET($M$15,0,0,$B$8,1))=FG$13), 1*(_xlfn._xlws.FILTER(OFFSET($O$15,0,$DO184,$B$8,1),OFFSET($M$15,0,0,$B$8,1))=FG$14))   /   SUM(OFFSET($BO$15,0,0,$B$14,1)) + $B$18/($B$19*$B$19*($DN184&lt;&gt;$DO184) + $B$19*($DN184=$DO184))</f>
        <v>3.7037037037037035E-4</v>
      </c>
      <c r="FH184" s="10" cm="1">
        <f t="array" aca="1" ref="FH184" ca="1">(1-$B$18)*SUMPRODUCT(OFFSET($BO$15,0,0,$B$14,1), 1*(_xlfn._xlws.FILTER(OFFSET($O$15,0,$DN184,$B$8,1),OFFSET($M$15,0,0,$B$8,1))=FH$13), 1*(_xlfn._xlws.FILTER(OFFSET($O$15,0,$DO184,$B$8,1),OFFSET($M$15,0,0,$B$8,1))=FH$14))   /   SUM(OFFSET($BO$15,0,0,$B$14,1)) + $B$18/($B$19*$B$19*($DN184&lt;&gt;$DO184) + $B$19*($DN184=$DO184))</f>
        <v>3.7037037037037035E-4</v>
      </c>
      <c r="FI184" s="10" cm="1">
        <f t="array" aca="1" ref="FI184" ca="1">(1-$B$18)*SUMPRODUCT(OFFSET($BO$15,0,0,$B$14,1), 1*(_xlfn._xlws.FILTER(OFFSET($O$15,0,$DN184,$B$8,1),OFFSET($M$15,0,0,$B$8,1))=FI$13), 1*(_xlfn._xlws.FILTER(OFFSET($O$15,0,$DO184,$B$8,1),OFFSET($M$15,0,0,$B$8,1))=FI$14))   /   SUM(OFFSET($BO$15,0,0,$B$14,1)) + $B$18/($B$19*$B$19*($DN184&lt;&gt;$DO184) + $B$19*($DN184=$DO184))</f>
        <v>3.7037037037037035E-4</v>
      </c>
      <c r="FJ184" s="10" cm="1">
        <f t="array" aca="1" ref="FJ184" ca="1">(1-$B$18)*SUMPRODUCT(OFFSET($BO$15,0,0,$B$14,1), 1*(_xlfn._xlws.FILTER(OFFSET($O$15,0,$DN184,$B$8,1),OFFSET($M$15,0,0,$B$8,1))=FJ$13), 1*(_xlfn._xlws.FILTER(OFFSET($O$15,0,$DO184,$B$8,1),OFFSET($M$15,0,0,$B$8,1))=FJ$14))   /   SUM(OFFSET($BO$15,0,0,$B$14,1)) + $B$18/($B$19*$B$19*($DN184&lt;&gt;$DO184) + $B$19*($DN184=$DO184))</f>
        <v>3.7037037037037035E-4</v>
      </c>
      <c r="FK184" s="10" cm="1">
        <f t="array" aca="1" ref="FK184" ca="1">(1-$B$18)*SUMPRODUCT(OFFSET($BO$15,0,0,$B$14,1), 1*(_xlfn._xlws.FILTER(OFFSET($O$15,0,$DN184,$B$8,1),OFFSET($M$15,0,0,$B$8,1))=FK$13), 1*(_xlfn._xlws.FILTER(OFFSET($O$15,0,$DO184,$B$8,1),OFFSET($M$15,0,0,$B$8,1))=FK$14))   /   SUM(OFFSET($BO$15,0,0,$B$14,1)) + $B$18/($B$19*$B$19*($DN184&lt;&gt;$DO184) + $B$19*($DN184=$DO184))</f>
        <v>3.7037037037037035E-4</v>
      </c>
      <c r="FL184" s="10" cm="1">
        <f t="array" aca="1" ref="FL184" ca="1">(1-$B$18)*SUMPRODUCT(OFFSET($BO$15,0,0,$B$14,1), 1*(_xlfn._xlws.FILTER(OFFSET($O$15,0,$DN184,$B$8,1),OFFSET($M$15,0,0,$B$8,1))=FL$13), 1*(_xlfn._xlws.FILTER(OFFSET($O$15,0,$DO184,$B$8,1),OFFSET($M$15,0,0,$B$8,1))=FL$14))   /   SUM(OFFSET($BO$15,0,0,$B$14,1)) + $B$18/($B$19*$B$19*($DN184&lt;&gt;$DO184) + $B$19*($DN184=$DO184))</f>
        <v>3.7037037037037035E-4</v>
      </c>
      <c r="FM184" s="10" cm="1">
        <f t="array" aca="1" ref="FM184" ca="1">(1-$B$18)*SUMPRODUCT(OFFSET($BO$15,0,0,$B$14,1), 1*(_xlfn._xlws.FILTER(OFFSET($O$15,0,$DN184,$B$8,1),OFFSET($M$15,0,0,$B$8,1))=FM$13), 1*(_xlfn._xlws.FILTER(OFFSET($O$15,0,$DO184,$B$8,1),OFFSET($M$15,0,0,$B$8,1))=FM$14))   /   SUM(OFFSET($BO$15,0,0,$B$14,1)) + $B$18/($B$19*$B$19*($DN184&lt;&gt;$DO184) + $B$19*($DN184=$DO184))</f>
        <v>3.7037037037037035E-4</v>
      </c>
      <c r="FN184" s="10" cm="1">
        <f t="array" aca="1" ref="FN184" ca="1">(1-$B$18)*SUMPRODUCT(OFFSET($BO$15,0,0,$B$14,1), 1*(_xlfn._xlws.FILTER(OFFSET($O$15,0,$DN184,$B$8,1),OFFSET($M$15,0,0,$B$8,1))=FN$13), 1*(_xlfn._xlws.FILTER(OFFSET($O$15,0,$DO184,$B$8,1),OFFSET($M$15,0,0,$B$8,1))=FN$14))   /   SUM(OFFSET($BO$15,0,0,$B$14,1)) + $B$18/($B$19*$B$19*($DN184&lt;&gt;$DO184) + $B$19*($DN184=$DO184))</f>
        <v>3.7037037037037035E-4</v>
      </c>
      <c r="FO184" s="10" cm="1">
        <f t="array" aca="1" ref="FO184" ca="1">(1-$B$18)*SUMPRODUCT(OFFSET($BO$15,0,0,$B$14,1), 1*(_xlfn._xlws.FILTER(OFFSET($O$15,0,$DN184,$B$8,1),OFFSET($M$15,0,0,$B$8,1))=FO$13), 1*(_xlfn._xlws.FILTER(OFFSET($O$15,0,$DO184,$B$8,1),OFFSET($M$15,0,0,$B$8,1))=FO$14))   /   SUM(OFFSET($BO$15,0,0,$B$14,1)) + $B$18/($B$19*$B$19*($DN184&lt;&gt;$DO184) + $B$19*($DN184=$DO184))</f>
        <v>3.7037037037037035E-4</v>
      </c>
      <c r="FP184" s="10" cm="1">
        <f t="array" aca="1" ref="FP184" ca="1">(1-$B$18)*SUMPRODUCT(OFFSET($BO$15,0,0,$B$14,1), 1*(_xlfn._xlws.FILTER(OFFSET($O$15,0,$DN184,$B$8,1),OFFSET($M$15,0,0,$B$8,1))=FP$13), 1*(_xlfn._xlws.FILTER(OFFSET($O$15,0,$DO184,$B$8,1),OFFSET($M$15,0,0,$B$8,1))=FP$14))   /   SUM(OFFSET($BO$15,0,0,$B$14,1)) + $B$18/($B$19*$B$19*($DN184&lt;&gt;$DO184) + $B$19*($DN184=$DO184))</f>
        <v>0.24287037037037024</v>
      </c>
      <c r="FQ184" s="10" cm="1">
        <f t="array" aca="1" ref="FQ184" ca="1">(1-$B$18)*SUMPRODUCT(OFFSET($BO$15,0,0,$B$14,1), 1*(_xlfn._xlws.FILTER(OFFSET($O$15,0,$DN184,$B$8,1),OFFSET($M$15,0,0,$B$8,1))=FQ$13), 1*(_xlfn._xlws.FILTER(OFFSET($O$15,0,$DO184,$B$8,1),OFFSET($M$15,0,0,$B$8,1))=FQ$14))   /   SUM(OFFSET($BO$15,0,0,$B$14,1)) + $B$18/($B$19*$B$19*($DN184&lt;&gt;$DO184) + $B$19*($DN184=$DO184))</f>
        <v>0.24287037037037026</v>
      </c>
      <c r="FR184" s="10" cm="1">
        <f t="array" aca="1" ref="FR184" ca="1">(1-$B$18)*SUMPRODUCT(OFFSET($BO$15,0,0,$B$14,1), 1*(_xlfn._xlws.FILTER(OFFSET($O$15,0,$DN184,$B$8,1),OFFSET($M$15,0,0,$B$8,1))=FR$13), 1*(_xlfn._xlws.FILTER(OFFSET($O$15,0,$DO184,$B$8,1),OFFSET($M$15,0,0,$B$8,1))=FR$14))   /   SUM(OFFSET($BO$15,0,0,$B$14,1)) + $B$18/($B$19*$B$19*($DN184&lt;&gt;$DO184) + $B$19*($DN184=$DO184))</f>
        <v>0.48537037037037012</v>
      </c>
      <c r="FS184" s="10" cm="1">
        <f t="array" aca="1" ref="FS184" ca="1">(1-$B$18)*SUMPRODUCT(OFFSET($BO$15,0,0,$B$14,1), 1*(_xlfn._xlws.FILTER(OFFSET($O$15,0,$DN184,$B$8,1),OFFSET($M$15,0,0,$B$8,1))=FS$13), 1*(_xlfn._xlws.FILTER(OFFSET($O$15,0,$DO184,$B$8,1),OFFSET($M$15,0,0,$B$8,1))=FS$14))   /   SUM(OFFSET($BO$15,0,0,$B$14,1)) + $B$18/($B$19*$B$19*($DN184&lt;&gt;$DO184) + $B$19*($DN184=$DO184))</f>
        <v>3.7037037037037035E-4</v>
      </c>
      <c r="FT184" s="10" cm="1">
        <f t="array" aca="1" ref="FT184" ca="1">(1-$B$18)*SUMPRODUCT(OFFSET($BO$15,0,0,$B$14,1), 1*(_xlfn._xlws.FILTER(OFFSET($O$15,0,$DN184,$B$8,1),OFFSET($M$15,0,0,$B$8,1))=FT$13), 1*(_xlfn._xlws.FILTER(OFFSET($O$15,0,$DO184,$B$8,1),OFFSET($M$15,0,0,$B$8,1))=FT$14))   /   SUM(OFFSET($BO$15,0,0,$B$14,1)) + $B$18/($B$19*$B$19*($DN184&lt;&gt;$DO184) + $B$19*($DN184=$DO184))</f>
        <v>3.7037037037037035E-4</v>
      </c>
      <c r="FU184" s="10" cm="1">
        <f t="array" aca="1" ref="FU184" ca="1">(1-$B$18)*SUMPRODUCT(OFFSET($BO$15,0,0,$B$14,1), 1*(_xlfn._xlws.FILTER(OFFSET($O$15,0,$DN184,$B$8,1),OFFSET($M$15,0,0,$B$8,1))=FU$13), 1*(_xlfn._xlws.FILTER(OFFSET($O$15,0,$DO184,$B$8,1),OFFSET($M$15,0,0,$B$8,1))=FU$14))   /   SUM(OFFSET($BO$15,0,0,$B$14,1)) + $B$18/($B$19*$B$19*($DN184&lt;&gt;$DO184) + $B$19*($DN184=$DO184))</f>
        <v>3.7037037037037035E-4</v>
      </c>
      <c r="FV184" s="10" cm="1">
        <f t="array" aca="1" ref="FV184" ca="1">(1-$B$18)*SUMPRODUCT(OFFSET($BO$15,0,0,$B$14,1), 1*(_xlfn._xlws.FILTER(OFFSET($O$15,0,$DN184,$B$8,1),OFFSET($M$15,0,0,$B$8,1))=FV$13), 1*(_xlfn._xlws.FILTER(OFFSET($O$15,0,$DO184,$B$8,1),OFFSET($M$15,0,0,$B$8,1))=FV$14))   /   SUM(OFFSET($BO$15,0,0,$B$14,1)) + $B$18/($B$19*$B$19*($DN184&lt;&gt;$DO184) + $B$19*($DN184=$DO184))</f>
        <v>3.7037037037037035E-4</v>
      </c>
      <c r="FW184" s="10" cm="1">
        <f t="array" aca="1" ref="FW184" ca="1">(1-$B$18)*SUMPRODUCT(OFFSET($BO$15,0,0,$B$14,1), 1*(_xlfn._xlws.FILTER(OFFSET($O$15,0,$DN184,$B$8,1),OFFSET($M$15,0,0,$B$8,1))=FW$13), 1*(_xlfn._xlws.FILTER(OFFSET($O$15,0,$DO184,$B$8,1),OFFSET($M$15,0,0,$B$8,1))=FW$14))   /   SUM(OFFSET($BO$15,0,0,$B$14,1)) + $B$18/($B$19*$B$19*($DN184&lt;&gt;$DO184) + $B$19*($DN184=$DO184))</f>
        <v>3.7037037037037035E-4</v>
      </c>
      <c r="FX184" s="10" cm="1">
        <f t="array" aca="1" ref="FX184" ca="1">(1-$B$18)*SUMPRODUCT(OFFSET($BO$15,0,0,$B$14,1), 1*(_xlfn._xlws.FILTER(OFFSET($O$15,0,$DN184,$B$8,1),OFFSET($M$15,0,0,$B$8,1))=FX$13), 1*(_xlfn._xlws.FILTER(OFFSET($O$15,0,$DO184,$B$8,1),OFFSET($M$15,0,0,$B$8,1))=FX$14))   /   SUM(OFFSET($BO$15,0,0,$B$14,1)) + $B$18/($B$19*$B$19*($DN184&lt;&gt;$DO184) + $B$19*($DN184=$DO184))</f>
        <v>3.7037037037037035E-4</v>
      </c>
      <c r="FY184" s="10" cm="1">
        <f t="array" aca="1" ref="FY184" ca="1">(1-$B$18)*SUMPRODUCT(OFFSET($BO$15,0,0,$B$14,1), 1*(_xlfn._xlws.FILTER(OFFSET($O$15,0,$DN184,$B$8,1),OFFSET($M$15,0,0,$B$8,1))=FY$13), 1*(_xlfn._xlws.FILTER(OFFSET($O$15,0,$DO184,$B$8,1),OFFSET($M$15,0,0,$B$8,1))=FY$14))   /   SUM(OFFSET($BO$15,0,0,$B$14,1)) + $B$18/($B$19*$B$19*($DN184&lt;&gt;$DO184) + $B$19*($DN184=$DO184))</f>
        <v>3.7037037037037035E-4</v>
      </c>
      <c r="FZ184" s="10" cm="1">
        <f t="array" aca="1" ref="FZ184" ca="1">(1-$B$18)*SUMPRODUCT(OFFSET($BO$15,0,0,$B$14,1), 1*(_xlfn._xlws.FILTER(OFFSET($O$15,0,$DN184,$B$8,1),OFFSET($M$15,0,0,$B$8,1))=FZ$13), 1*(_xlfn._xlws.FILTER(OFFSET($O$15,0,$DO184,$B$8,1),OFFSET($M$15,0,0,$B$8,1))=FZ$14))   /   SUM(OFFSET($BO$15,0,0,$B$14,1)) + $B$18/($B$19*$B$19*($DN184&lt;&gt;$DO184) + $B$19*($DN184=$DO184))</f>
        <v>3.7037037037037035E-4</v>
      </c>
      <c r="GA184" s="10" cm="1">
        <f t="array" aca="1" ref="GA184" ca="1">(1-$B$18)*SUMPRODUCT(OFFSET($BO$15,0,0,$B$14,1), 1*(_xlfn._xlws.FILTER(OFFSET($O$15,0,$DN184,$B$8,1),OFFSET($M$15,0,0,$B$8,1))=GA$13), 1*(_xlfn._xlws.FILTER(OFFSET($O$15,0,$DO184,$B$8,1),OFFSET($M$15,0,0,$B$8,1))=GA$14))   /   SUM(OFFSET($BO$15,0,0,$B$14,1)) + $B$18/($B$19*$B$19*($DN184&lt;&gt;$DO184) + $B$19*($DN184=$DO184))</f>
        <v>3.7037037037037035E-4</v>
      </c>
    </row>
    <row r="185" spans="118:183" x14ac:dyDescent="0.2">
      <c r="DN185" cm="1">
        <f t="array" aca="1" ref="DN185" ca="1">INDEX(_xlfn.ANCHORARRAY($CP$15), 1 + INT((ROWS($DO$15:$DO185) - 1) / ROWS(_xlfn.ANCHORARRAY($CP$15))))</f>
        <v>8</v>
      </c>
      <c r="DO185" cm="1">
        <f t="array" aca="1" ref="DO185" ca="1">INDEX(_xlfn.ANCHORARRAY($CP$15),1+MOD(ROWS($DO$15:$DO185)-1,ROWS(_xlfn.ANCHORARRAY($CP$15))))</f>
        <v>21</v>
      </c>
      <c r="DP185" s="10" cm="1">
        <f t="array" aca="1" ref="DP185" ca="1">(1-$B$18)*SUMPRODUCT(OFFSET($BO$15,0,0,$B$14,1), 1*(_xlfn._xlws.FILTER(OFFSET($O$15,0,$DN185,$B$8,1),OFFSET($M$15,0,0,$B$8,1))=DP$13), 1*(_xlfn._xlws.FILTER(OFFSET($O$15,0,$DO185,$B$8,1),OFFSET($M$15,0,0,$B$8,1))=DP$14))   /   SUM(OFFSET($BO$15,0,0,$B$14,1)) + $B$18/($B$19*$B$19*($DN185&lt;&gt;$DO185) + $B$19*($DN185=$DO185))</f>
        <v>3.7037037037037035E-4</v>
      </c>
      <c r="DQ185" s="10" cm="1">
        <f t="array" aca="1" ref="DQ185" ca="1">(1-$B$18)*SUMPRODUCT(OFFSET($BO$15,0,0,$B$14,1), 1*(_xlfn._xlws.FILTER(OFFSET($O$15,0,$DN185,$B$8,1),OFFSET($M$15,0,0,$B$8,1))=DQ$13), 1*(_xlfn._xlws.FILTER(OFFSET($O$15,0,$DO185,$B$8,1),OFFSET($M$15,0,0,$B$8,1))=DQ$14))   /   SUM(OFFSET($BO$15,0,0,$B$14,1)) + $B$18/($B$19*$B$19*($DN185&lt;&gt;$DO185) + $B$19*($DN185=$DO185))</f>
        <v>3.7037037037037035E-4</v>
      </c>
      <c r="DR185" s="10" cm="1">
        <f t="array" aca="1" ref="DR185" ca="1">(1-$B$18)*SUMPRODUCT(OFFSET($BO$15,0,0,$B$14,1), 1*(_xlfn._xlws.FILTER(OFFSET($O$15,0,$DN185,$B$8,1),OFFSET($M$15,0,0,$B$8,1))=DR$13), 1*(_xlfn._xlws.FILTER(OFFSET($O$15,0,$DO185,$B$8,1),OFFSET($M$15,0,0,$B$8,1))=DR$14))   /   SUM(OFFSET($BO$15,0,0,$B$14,1)) + $B$18/($B$19*$B$19*($DN185&lt;&gt;$DO185) + $B$19*($DN185=$DO185))</f>
        <v>3.7037037037037035E-4</v>
      </c>
      <c r="DS185" s="10" cm="1">
        <f t="array" aca="1" ref="DS185" ca="1">(1-$B$18)*SUMPRODUCT(OFFSET($BO$15,0,0,$B$14,1), 1*(_xlfn._xlws.FILTER(OFFSET($O$15,0,$DN185,$B$8,1),OFFSET($M$15,0,0,$B$8,1))=DS$13), 1*(_xlfn._xlws.FILTER(OFFSET($O$15,0,$DO185,$B$8,1),OFFSET($M$15,0,0,$B$8,1))=DS$14))   /   SUM(OFFSET($BO$15,0,0,$B$14,1)) + $B$18/($B$19*$B$19*($DN185&lt;&gt;$DO185) + $B$19*($DN185=$DO185))</f>
        <v>3.7037037037037035E-4</v>
      </c>
      <c r="DT185" s="10" cm="1">
        <f t="array" aca="1" ref="DT185" ca="1">(1-$B$18)*SUMPRODUCT(OFFSET($BO$15,0,0,$B$14,1), 1*(_xlfn._xlws.FILTER(OFFSET($O$15,0,$DN185,$B$8,1),OFFSET($M$15,0,0,$B$8,1))=DT$13), 1*(_xlfn._xlws.FILTER(OFFSET($O$15,0,$DO185,$B$8,1),OFFSET($M$15,0,0,$B$8,1))=DT$14))   /   SUM(OFFSET($BO$15,0,0,$B$14,1)) + $B$18/($B$19*$B$19*($DN185&lt;&gt;$DO185) + $B$19*($DN185=$DO185))</f>
        <v>3.7037037037037035E-4</v>
      </c>
      <c r="DU185" s="10" cm="1">
        <f t="array" aca="1" ref="DU185" ca="1">(1-$B$18)*SUMPRODUCT(OFFSET($BO$15,0,0,$B$14,1), 1*(_xlfn._xlws.FILTER(OFFSET($O$15,0,$DN185,$B$8,1),OFFSET($M$15,0,0,$B$8,1))=DU$13), 1*(_xlfn._xlws.FILTER(OFFSET($O$15,0,$DO185,$B$8,1),OFFSET($M$15,0,0,$B$8,1))=DU$14))   /   SUM(OFFSET($BO$15,0,0,$B$14,1)) + $B$18/($B$19*$B$19*($DN185&lt;&gt;$DO185) + $B$19*($DN185=$DO185))</f>
        <v>3.7037037037037035E-4</v>
      </c>
      <c r="DV185" s="10" cm="1">
        <f t="array" aca="1" ref="DV185" ca="1">(1-$B$18)*SUMPRODUCT(OFFSET($BO$15,0,0,$B$14,1), 1*(_xlfn._xlws.FILTER(OFFSET($O$15,0,$DN185,$B$8,1),OFFSET($M$15,0,0,$B$8,1))=DV$13), 1*(_xlfn._xlws.FILTER(OFFSET($O$15,0,$DO185,$B$8,1),OFFSET($M$15,0,0,$B$8,1))=DV$14))   /   SUM(OFFSET($BO$15,0,0,$B$14,1)) + $B$18/($B$19*$B$19*($DN185&lt;&gt;$DO185) + $B$19*($DN185=$DO185))</f>
        <v>3.7037037037037035E-4</v>
      </c>
      <c r="DW185" s="10" cm="1">
        <f t="array" aca="1" ref="DW185" ca="1">(1-$B$18)*SUMPRODUCT(OFFSET($BO$15,0,0,$B$14,1), 1*(_xlfn._xlws.FILTER(OFFSET($O$15,0,$DN185,$B$8,1),OFFSET($M$15,0,0,$B$8,1))=DW$13), 1*(_xlfn._xlws.FILTER(OFFSET($O$15,0,$DO185,$B$8,1),OFFSET($M$15,0,0,$B$8,1))=DW$14))   /   SUM(OFFSET($BO$15,0,0,$B$14,1)) + $B$18/($B$19*$B$19*($DN185&lt;&gt;$DO185) + $B$19*($DN185=$DO185))</f>
        <v>3.7037037037037035E-4</v>
      </c>
      <c r="DX185" s="10" cm="1">
        <f t="array" aca="1" ref="DX185" ca="1">(1-$B$18)*SUMPRODUCT(OFFSET($BO$15,0,0,$B$14,1), 1*(_xlfn._xlws.FILTER(OFFSET($O$15,0,$DN185,$B$8,1),OFFSET($M$15,0,0,$B$8,1))=DX$13), 1*(_xlfn._xlws.FILTER(OFFSET($O$15,0,$DO185,$B$8,1),OFFSET($M$15,0,0,$B$8,1))=DX$14))   /   SUM(OFFSET($BO$15,0,0,$B$14,1)) + $B$18/($B$19*$B$19*($DN185&lt;&gt;$DO185) + $B$19*($DN185=$DO185))</f>
        <v>3.7037037037037035E-4</v>
      </c>
      <c r="DY185" s="10" cm="1">
        <f t="array" aca="1" ref="DY185" ca="1">(1-$B$18)*SUMPRODUCT(OFFSET($BO$15,0,0,$B$14,1), 1*(_xlfn._xlws.FILTER(OFFSET($O$15,0,$DN185,$B$8,1),OFFSET($M$15,0,0,$B$8,1))=DY$13), 1*(_xlfn._xlws.FILTER(OFFSET($O$15,0,$DO185,$B$8,1),OFFSET($M$15,0,0,$B$8,1))=DY$14))   /   SUM(OFFSET($BO$15,0,0,$B$14,1)) + $B$18/($B$19*$B$19*($DN185&lt;&gt;$DO185) + $B$19*($DN185=$DO185))</f>
        <v>3.7037037037037035E-4</v>
      </c>
      <c r="DZ185" s="10" cm="1">
        <f t="array" aca="1" ref="DZ185" ca="1">(1-$B$18)*SUMPRODUCT(OFFSET($BO$15,0,0,$B$14,1), 1*(_xlfn._xlws.FILTER(OFFSET($O$15,0,$DN185,$B$8,1),OFFSET($M$15,0,0,$B$8,1))=DZ$13), 1*(_xlfn._xlws.FILTER(OFFSET($O$15,0,$DO185,$B$8,1),OFFSET($M$15,0,0,$B$8,1))=DZ$14))   /   SUM(OFFSET($BO$15,0,0,$B$14,1)) + $B$18/($B$19*$B$19*($DN185&lt;&gt;$DO185) + $B$19*($DN185=$DO185))</f>
        <v>3.7037037037037035E-4</v>
      </c>
      <c r="EA185" s="10" cm="1">
        <f t="array" aca="1" ref="EA185" ca="1">(1-$B$18)*SUMPRODUCT(OFFSET($BO$15,0,0,$B$14,1), 1*(_xlfn._xlws.FILTER(OFFSET($O$15,0,$DN185,$B$8,1),OFFSET($M$15,0,0,$B$8,1))=EA$13), 1*(_xlfn._xlws.FILTER(OFFSET($O$15,0,$DO185,$B$8,1),OFFSET($M$15,0,0,$B$8,1))=EA$14))   /   SUM(OFFSET($BO$15,0,0,$B$14,1)) + $B$18/($B$19*$B$19*($DN185&lt;&gt;$DO185) + $B$19*($DN185=$DO185))</f>
        <v>3.7037037037037035E-4</v>
      </c>
      <c r="EB185" s="10" cm="1">
        <f t="array" aca="1" ref="EB185" ca="1">(1-$B$18)*SUMPRODUCT(OFFSET($BO$15,0,0,$B$14,1), 1*(_xlfn._xlws.FILTER(OFFSET($O$15,0,$DN185,$B$8,1),OFFSET($M$15,0,0,$B$8,1))=EB$13), 1*(_xlfn._xlws.FILTER(OFFSET($O$15,0,$DO185,$B$8,1),OFFSET($M$15,0,0,$B$8,1))=EB$14))   /   SUM(OFFSET($BO$15,0,0,$B$14,1)) + $B$18/($B$19*$B$19*($DN185&lt;&gt;$DO185) + $B$19*($DN185=$DO185))</f>
        <v>3.7037037037037035E-4</v>
      </c>
      <c r="EC185" s="10" cm="1">
        <f t="array" aca="1" ref="EC185" ca="1">(1-$B$18)*SUMPRODUCT(OFFSET($BO$15,0,0,$B$14,1), 1*(_xlfn._xlws.FILTER(OFFSET($O$15,0,$DN185,$B$8,1),OFFSET($M$15,0,0,$B$8,1))=EC$13), 1*(_xlfn._xlws.FILTER(OFFSET($O$15,0,$DO185,$B$8,1),OFFSET($M$15,0,0,$B$8,1))=EC$14))   /   SUM(OFFSET($BO$15,0,0,$B$14,1)) + $B$18/($B$19*$B$19*($DN185&lt;&gt;$DO185) + $B$19*($DN185=$DO185))</f>
        <v>3.7037037037037035E-4</v>
      </c>
      <c r="ED185" s="10" cm="1">
        <f t="array" aca="1" ref="ED185" ca="1">(1-$B$18)*SUMPRODUCT(OFFSET($BO$15,0,0,$B$14,1), 1*(_xlfn._xlws.FILTER(OFFSET($O$15,0,$DN185,$B$8,1),OFFSET($M$15,0,0,$B$8,1))=ED$13), 1*(_xlfn._xlws.FILTER(OFFSET($O$15,0,$DO185,$B$8,1),OFFSET($M$15,0,0,$B$8,1))=ED$14))   /   SUM(OFFSET($BO$15,0,0,$B$14,1)) + $B$18/($B$19*$B$19*($DN185&lt;&gt;$DO185) + $B$19*($DN185=$DO185))</f>
        <v>3.7037037037037035E-4</v>
      </c>
      <c r="EE185" s="10" cm="1">
        <f t="array" aca="1" ref="EE185" ca="1">(1-$B$18)*SUMPRODUCT(OFFSET($BO$15,0,0,$B$14,1), 1*(_xlfn._xlws.FILTER(OFFSET($O$15,0,$DN185,$B$8,1),OFFSET($M$15,0,0,$B$8,1))=EE$13), 1*(_xlfn._xlws.FILTER(OFFSET($O$15,0,$DO185,$B$8,1),OFFSET($M$15,0,0,$B$8,1))=EE$14))   /   SUM(OFFSET($BO$15,0,0,$B$14,1)) + $B$18/($B$19*$B$19*($DN185&lt;&gt;$DO185) + $B$19*($DN185=$DO185))</f>
        <v>3.7037037037037035E-4</v>
      </c>
      <c r="EF185" s="10" cm="1">
        <f t="array" aca="1" ref="EF185" ca="1">(1-$B$18)*SUMPRODUCT(OFFSET($BO$15,0,0,$B$14,1), 1*(_xlfn._xlws.FILTER(OFFSET($O$15,0,$DN185,$B$8,1),OFFSET($M$15,0,0,$B$8,1))=EF$13), 1*(_xlfn._xlws.FILTER(OFFSET($O$15,0,$DO185,$B$8,1),OFFSET($M$15,0,0,$B$8,1))=EF$14))   /   SUM(OFFSET($BO$15,0,0,$B$14,1)) + $B$18/($B$19*$B$19*($DN185&lt;&gt;$DO185) + $B$19*($DN185=$DO185))</f>
        <v>3.7037037037037035E-4</v>
      </c>
      <c r="EG185" s="10" cm="1">
        <f t="array" aca="1" ref="EG185" ca="1">(1-$B$18)*SUMPRODUCT(OFFSET($BO$15,0,0,$B$14,1), 1*(_xlfn._xlws.FILTER(OFFSET($O$15,0,$DN185,$B$8,1),OFFSET($M$15,0,0,$B$8,1))=EG$13), 1*(_xlfn._xlws.FILTER(OFFSET($O$15,0,$DO185,$B$8,1),OFFSET($M$15,0,0,$B$8,1))=EG$14))   /   SUM(OFFSET($BO$15,0,0,$B$14,1)) + $B$18/($B$19*$B$19*($DN185&lt;&gt;$DO185) + $B$19*($DN185=$DO185))</f>
        <v>3.7037037037037035E-4</v>
      </c>
      <c r="EH185" s="10" cm="1">
        <f t="array" aca="1" ref="EH185" ca="1">(1-$B$18)*SUMPRODUCT(OFFSET($BO$15,0,0,$B$14,1), 1*(_xlfn._xlws.FILTER(OFFSET($O$15,0,$DN185,$B$8,1),OFFSET($M$15,0,0,$B$8,1))=EH$13), 1*(_xlfn._xlws.FILTER(OFFSET($O$15,0,$DO185,$B$8,1),OFFSET($M$15,0,0,$B$8,1))=EH$14))   /   SUM(OFFSET($BO$15,0,0,$B$14,1)) + $B$18/($B$19*$B$19*($DN185&lt;&gt;$DO185) + $B$19*($DN185=$DO185))</f>
        <v>3.7037037037037035E-4</v>
      </c>
      <c r="EI185" s="10" cm="1">
        <f t="array" aca="1" ref="EI185" ca="1">(1-$B$18)*SUMPRODUCT(OFFSET($BO$15,0,0,$B$14,1), 1*(_xlfn._xlws.FILTER(OFFSET($O$15,0,$DN185,$B$8,1),OFFSET($M$15,0,0,$B$8,1))=EI$13), 1*(_xlfn._xlws.FILTER(OFFSET($O$15,0,$DO185,$B$8,1),OFFSET($M$15,0,0,$B$8,1))=EI$14))   /   SUM(OFFSET($BO$15,0,0,$B$14,1)) + $B$18/($B$19*$B$19*($DN185&lt;&gt;$DO185) + $B$19*($DN185=$DO185))</f>
        <v>3.7037037037037035E-4</v>
      </c>
      <c r="EJ185" s="10" cm="1">
        <f t="array" aca="1" ref="EJ185" ca="1">(1-$B$18)*SUMPRODUCT(OFFSET($BO$15,0,0,$B$14,1), 1*(_xlfn._xlws.FILTER(OFFSET($O$15,0,$DN185,$B$8,1),OFFSET($M$15,0,0,$B$8,1))=EJ$13), 1*(_xlfn._xlws.FILTER(OFFSET($O$15,0,$DO185,$B$8,1),OFFSET($M$15,0,0,$B$8,1))=EJ$14))   /   SUM(OFFSET($BO$15,0,0,$B$14,1)) + $B$18/($B$19*$B$19*($DN185&lt;&gt;$DO185) + $B$19*($DN185=$DO185))</f>
        <v>3.7037037037037035E-4</v>
      </c>
      <c r="EK185" s="10" cm="1">
        <f t="array" aca="1" ref="EK185" ca="1">(1-$B$18)*SUMPRODUCT(OFFSET($BO$15,0,0,$B$14,1), 1*(_xlfn._xlws.FILTER(OFFSET($O$15,0,$DN185,$B$8,1),OFFSET($M$15,0,0,$B$8,1))=EK$13), 1*(_xlfn._xlws.FILTER(OFFSET($O$15,0,$DO185,$B$8,1),OFFSET($M$15,0,0,$B$8,1))=EK$14))   /   SUM(OFFSET($BO$15,0,0,$B$14,1)) + $B$18/($B$19*$B$19*($DN185&lt;&gt;$DO185) + $B$19*($DN185=$DO185))</f>
        <v>3.7037037037037035E-4</v>
      </c>
      <c r="EL185" s="10" cm="1">
        <f t="array" aca="1" ref="EL185" ca="1">(1-$B$18)*SUMPRODUCT(OFFSET($BO$15,0,0,$B$14,1), 1*(_xlfn._xlws.FILTER(OFFSET($O$15,0,$DN185,$B$8,1),OFFSET($M$15,0,0,$B$8,1))=EL$13), 1*(_xlfn._xlws.FILTER(OFFSET($O$15,0,$DO185,$B$8,1),OFFSET($M$15,0,0,$B$8,1))=EL$14))   /   SUM(OFFSET($BO$15,0,0,$B$14,1)) + $B$18/($B$19*$B$19*($DN185&lt;&gt;$DO185) + $B$19*($DN185=$DO185))</f>
        <v>3.7037037037037035E-4</v>
      </c>
      <c r="EM185" s="10" cm="1">
        <f t="array" aca="1" ref="EM185" ca="1">(1-$B$18)*SUMPRODUCT(OFFSET($BO$15,0,0,$B$14,1), 1*(_xlfn._xlws.FILTER(OFFSET($O$15,0,$DN185,$B$8,1),OFFSET($M$15,0,0,$B$8,1))=EM$13), 1*(_xlfn._xlws.FILTER(OFFSET($O$15,0,$DO185,$B$8,1),OFFSET($M$15,0,0,$B$8,1))=EM$14))   /   SUM(OFFSET($BO$15,0,0,$B$14,1)) + $B$18/($B$19*$B$19*($DN185&lt;&gt;$DO185) + $B$19*($DN185=$DO185))</f>
        <v>3.7037037037037035E-4</v>
      </c>
      <c r="EN185" s="10" cm="1">
        <f t="array" aca="1" ref="EN185" ca="1">(1-$B$18)*SUMPRODUCT(OFFSET($BO$15,0,0,$B$14,1), 1*(_xlfn._xlws.FILTER(OFFSET($O$15,0,$DN185,$B$8,1),OFFSET($M$15,0,0,$B$8,1))=EN$13), 1*(_xlfn._xlws.FILTER(OFFSET($O$15,0,$DO185,$B$8,1),OFFSET($M$15,0,0,$B$8,1))=EN$14))   /   SUM(OFFSET($BO$15,0,0,$B$14,1)) + $B$18/($B$19*$B$19*($DN185&lt;&gt;$DO185) + $B$19*($DN185=$DO185))</f>
        <v>3.7037037037037035E-4</v>
      </c>
      <c r="EO185" s="10" cm="1">
        <f t="array" aca="1" ref="EO185" ca="1">(1-$B$18)*SUMPRODUCT(OFFSET($BO$15,0,0,$B$14,1), 1*(_xlfn._xlws.FILTER(OFFSET($O$15,0,$DN185,$B$8,1),OFFSET($M$15,0,0,$B$8,1))=EO$13), 1*(_xlfn._xlws.FILTER(OFFSET($O$15,0,$DO185,$B$8,1),OFFSET($M$15,0,0,$B$8,1))=EO$14))   /   SUM(OFFSET($BO$15,0,0,$B$14,1)) + $B$18/($B$19*$B$19*($DN185&lt;&gt;$DO185) + $B$19*($DN185=$DO185))</f>
        <v>3.7037037037037035E-4</v>
      </c>
      <c r="EP185" s="10" cm="1">
        <f t="array" aca="1" ref="EP185" ca="1">(1-$B$18)*SUMPRODUCT(OFFSET($BO$15,0,0,$B$14,1), 1*(_xlfn._xlws.FILTER(OFFSET($O$15,0,$DN185,$B$8,1),OFFSET($M$15,0,0,$B$8,1))=EP$13), 1*(_xlfn._xlws.FILTER(OFFSET($O$15,0,$DO185,$B$8,1),OFFSET($M$15,0,0,$B$8,1))=EP$14))   /   SUM(OFFSET($BO$15,0,0,$B$14,1)) + $B$18/($B$19*$B$19*($DN185&lt;&gt;$DO185) + $B$19*($DN185=$DO185))</f>
        <v>3.7037037037037035E-4</v>
      </c>
      <c r="EQ185" s="10" cm="1">
        <f t="array" aca="1" ref="EQ185" ca="1">(1-$B$18)*SUMPRODUCT(OFFSET($BO$15,0,0,$B$14,1), 1*(_xlfn._xlws.FILTER(OFFSET($O$15,0,$DN185,$B$8,1),OFFSET($M$15,0,0,$B$8,1))=EQ$13), 1*(_xlfn._xlws.FILTER(OFFSET($O$15,0,$DO185,$B$8,1),OFFSET($M$15,0,0,$B$8,1))=EQ$14))   /   SUM(OFFSET($BO$15,0,0,$B$14,1)) + $B$18/($B$19*$B$19*($DN185&lt;&gt;$DO185) + $B$19*($DN185=$DO185))</f>
        <v>3.7037037037037035E-4</v>
      </c>
      <c r="ER185" s="10" cm="1">
        <f t="array" aca="1" ref="ER185" ca="1">(1-$B$18)*SUMPRODUCT(OFFSET($BO$15,0,0,$B$14,1), 1*(_xlfn._xlws.FILTER(OFFSET($O$15,0,$DN185,$B$8,1),OFFSET($M$15,0,0,$B$8,1))=ER$13), 1*(_xlfn._xlws.FILTER(OFFSET($O$15,0,$DO185,$B$8,1),OFFSET($M$15,0,0,$B$8,1))=ER$14))   /   SUM(OFFSET($BO$15,0,0,$B$14,1)) + $B$18/($B$19*$B$19*($DN185&lt;&gt;$DO185) + $B$19*($DN185=$DO185))</f>
        <v>3.7037037037037035E-4</v>
      </c>
      <c r="ES185" s="10" cm="1">
        <f t="array" aca="1" ref="ES185" ca="1">(1-$B$18)*SUMPRODUCT(OFFSET($BO$15,0,0,$B$14,1), 1*(_xlfn._xlws.FILTER(OFFSET($O$15,0,$DN185,$B$8,1),OFFSET($M$15,0,0,$B$8,1))=ES$13), 1*(_xlfn._xlws.FILTER(OFFSET($O$15,0,$DO185,$B$8,1),OFFSET($M$15,0,0,$B$8,1))=ES$14))   /   SUM(OFFSET($BO$15,0,0,$B$14,1)) + $B$18/($B$19*$B$19*($DN185&lt;&gt;$DO185) + $B$19*($DN185=$DO185))</f>
        <v>3.7037037037037035E-4</v>
      </c>
      <c r="ET185" s="10" cm="1">
        <f t="array" aca="1" ref="ET185" ca="1">(1-$B$18)*SUMPRODUCT(OFFSET($BO$15,0,0,$B$14,1), 1*(_xlfn._xlws.FILTER(OFFSET($O$15,0,$DN185,$B$8,1),OFFSET($M$15,0,0,$B$8,1))=ET$13), 1*(_xlfn._xlws.FILTER(OFFSET($O$15,0,$DO185,$B$8,1),OFFSET($M$15,0,0,$B$8,1))=ET$14))   /   SUM(OFFSET($BO$15,0,0,$B$14,1)) + $B$18/($B$19*$B$19*($DN185&lt;&gt;$DO185) + $B$19*($DN185=$DO185))</f>
        <v>3.7037037037037035E-4</v>
      </c>
      <c r="EU185" s="10" cm="1">
        <f t="array" aca="1" ref="EU185" ca="1">(1-$B$18)*SUMPRODUCT(OFFSET($BO$15,0,0,$B$14,1), 1*(_xlfn._xlws.FILTER(OFFSET($O$15,0,$DN185,$B$8,1),OFFSET($M$15,0,0,$B$8,1))=EU$13), 1*(_xlfn._xlws.FILTER(OFFSET($O$15,0,$DO185,$B$8,1),OFFSET($M$15,0,0,$B$8,1))=EU$14))   /   SUM(OFFSET($BO$15,0,0,$B$14,1)) + $B$18/($B$19*$B$19*($DN185&lt;&gt;$DO185) + $B$19*($DN185=$DO185))</f>
        <v>3.7037037037037035E-4</v>
      </c>
      <c r="EV185" s="10" cm="1">
        <f t="array" aca="1" ref="EV185" ca="1">(1-$B$18)*SUMPRODUCT(OFFSET($BO$15,0,0,$B$14,1), 1*(_xlfn._xlws.FILTER(OFFSET($O$15,0,$DN185,$B$8,1),OFFSET($M$15,0,0,$B$8,1))=EV$13), 1*(_xlfn._xlws.FILTER(OFFSET($O$15,0,$DO185,$B$8,1),OFFSET($M$15,0,0,$B$8,1))=EV$14))   /   SUM(OFFSET($BO$15,0,0,$B$14,1)) + $B$18/($B$19*$B$19*($DN185&lt;&gt;$DO185) + $B$19*($DN185=$DO185))</f>
        <v>3.7037037037037035E-4</v>
      </c>
      <c r="EW185" s="10" cm="1">
        <f t="array" aca="1" ref="EW185" ca="1">(1-$B$18)*SUMPRODUCT(OFFSET($BO$15,0,0,$B$14,1), 1*(_xlfn._xlws.FILTER(OFFSET($O$15,0,$DN185,$B$8,1),OFFSET($M$15,0,0,$B$8,1))=EW$13), 1*(_xlfn._xlws.FILTER(OFFSET($O$15,0,$DO185,$B$8,1),OFFSET($M$15,0,0,$B$8,1))=EW$14))   /   SUM(OFFSET($BO$15,0,0,$B$14,1)) + $B$18/($B$19*$B$19*($DN185&lt;&gt;$DO185) + $B$19*($DN185=$DO185))</f>
        <v>3.7037037037037035E-4</v>
      </c>
      <c r="EX185" s="10" cm="1">
        <f t="array" aca="1" ref="EX185" ca="1">(1-$B$18)*SUMPRODUCT(OFFSET($BO$15,0,0,$B$14,1), 1*(_xlfn._xlws.FILTER(OFFSET($O$15,0,$DN185,$B$8,1),OFFSET($M$15,0,0,$B$8,1))=EX$13), 1*(_xlfn._xlws.FILTER(OFFSET($O$15,0,$DO185,$B$8,1),OFFSET($M$15,0,0,$B$8,1))=EX$14))   /   SUM(OFFSET($BO$15,0,0,$B$14,1)) + $B$18/($B$19*$B$19*($DN185&lt;&gt;$DO185) + $B$19*($DN185=$DO185))</f>
        <v>3.7037037037037035E-4</v>
      </c>
      <c r="EY185" s="10" cm="1">
        <f t="array" aca="1" ref="EY185" ca="1">(1-$B$18)*SUMPRODUCT(OFFSET($BO$15,0,0,$B$14,1), 1*(_xlfn._xlws.FILTER(OFFSET($O$15,0,$DN185,$B$8,1),OFFSET($M$15,0,0,$B$8,1))=EY$13), 1*(_xlfn._xlws.FILTER(OFFSET($O$15,0,$DO185,$B$8,1),OFFSET($M$15,0,0,$B$8,1))=EY$14))   /   SUM(OFFSET($BO$15,0,0,$B$14,1)) + $B$18/($B$19*$B$19*($DN185&lt;&gt;$DO185) + $B$19*($DN185=$DO185))</f>
        <v>3.7037037037037035E-4</v>
      </c>
      <c r="EZ185" s="10" cm="1">
        <f t="array" aca="1" ref="EZ185" ca="1">(1-$B$18)*SUMPRODUCT(OFFSET($BO$15,0,0,$B$14,1), 1*(_xlfn._xlws.FILTER(OFFSET($O$15,0,$DN185,$B$8,1),OFFSET($M$15,0,0,$B$8,1))=EZ$13), 1*(_xlfn._xlws.FILTER(OFFSET($O$15,0,$DO185,$B$8,1),OFFSET($M$15,0,0,$B$8,1))=EZ$14))   /   SUM(OFFSET($BO$15,0,0,$B$14,1)) + $B$18/($B$19*$B$19*($DN185&lt;&gt;$DO185) + $B$19*($DN185=$DO185))</f>
        <v>3.7037037037037035E-4</v>
      </c>
      <c r="FA185" s="10" cm="1">
        <f t="array" aca="1" ref="FA185" ca="1">(1-$B$18)*SUMPRODUCT(OFFSET($BO$15,0,0,$B$14,1), 1*(_xlfn._xlws.FILTER(OFFSET($O$15,0,$DN185,$B$8,1),OFFSET($M$15,0,0,$B$8,1))=FA$13), 1*(_xlfn._xlws.FILTER(OFFSET($O$15,0,$DO185,$B$8,1),OFFSET($M$15,0,0,$B$8,1))=FA$14))   /   SUM(OFFSET($BO$15,0,0,$B$14,1)) + $B$18/($B$19*$B$19*($DN185&lt;&gt;$DO185) + $B$19*($DN185=$DO185))</f>
        <v>3.7037037037037035E-4</v>
      </c>
      <c r="FB185" s="10" cm="1">
        <f t="array" aca="1" ref="FB185" ca="1">(1-$B$18)*SUMPRODUCT(OFFSET($BO$15,0,0,$B$14,1), 1*(_xlfn._xlws.FILTER(OFFSET($O$15,0,$DN185,$B$8,1),OFFSET($M$15,0,0,$B$8,1))=FB$13), 1*(_xlfn._xlws.FILTER(OFFSET($O$15,0,$DO185,$B$8,1),OFFSET($M$15,0,0,$B$8,1))=FB$14))   /   SUM(OFFSET($BO$15,0,0,$B$14,1)) + $B$18/($B$19*$B$19*($DN185&lt;&gt;$DO185) + $B$19*($DN185=$DO185))</f>
        <v>3.7037037037037035E-4</v>
      </c>
      <c r="FC185" s="10" cm="1">
        <f t="array" aca="1" ref="FC185" ca="1">(1-$B$18)*SUMPRODUCT(OFFSET($BO$15,0,0,$B$14,1), 1*(_xlfn._xlws.FILTER(OFFSET($O$15,0,$DN185,$B$8,1),OFFSET($M$15,0,0,$B$8,1))=FC$13), 1*(_xlfn._xlws.FILTER(OFFSET($O$15,0,$DO185,$B$8,1),OFFSET($M$15,0,0,$B$8,1))=FC$14))   /   SUM(OFFSET($BO$15,0,0,$B$14,1)) + $B$18/($B$19*$B$19*($DN185&lt;&gt;$DO185) + $B$19*($DN185=$DO185))</f>
        <v>3.7037037037037035E-4</v>
      </c>
      <c r="FD185" s="10" cm="1">
        <f t="array" aca="1" ref="FD185" ca="1">(1-$B$18)*SUMPRODUCT(OFFSET($BO$15,0,0,$B$14,1), 1*(_xlfn._xlws.FILTER(OFFSET($O$15,0,$DN185,$B$8,1),OFFSET($M$15,0,0,$B$8,1))=FD$13), 1*(_xlfn._xlws.FILTER(OFFSET($O$15,0,$DO185,$B$8,1),OFFSET($M$15,0,0,$B$8,1))=FD$14))   /   SUM(OFFSET($BO$15,0,0,$B$14,1)) + $B$18/($B$19*$B$19*($DN185&lt;&gt;$DO185) + $B$19*($DN185=$DO185))</f>
        <v>3.7037037037037035E-4</v>
      </c>
      <c r="FE185" s="10" cm="1">
        <f t="array" aca="1" ref="FE185" ca="1">(1-$B$18)*SUMPRODUCT(OFFSET($BO$15,0,0,$B$14,1), 1*(_xlfn._xlws.FILTER(OFFSET($O$15,0,$DN185,$B$8,1),OFFSET($M$15,0,0,$B$8,1))=FE$13), 1*(_xlfn._xlws.FILTER(OFFSET($O$15,0,$DO185,$B$8,1),OFFSET($M$15,0,0,$B$8,1))=FE$14))   /   SUM(OFFSET($BO$15,0,0,$B$14,1)) + $B$18/($B$19*$B$19*($DN185&lt;&gt;$DO185) + $B$19*($DN185=$DO185))</f>
        <v>3.7037037037037035E-4</v>
      </c>
      <c r="FF185" s="10" cm="1">
        <f t="array" aca="1" ref="FF185" ca="1">(1-$B$18)*SUMPRODUCT(OFFSET($BO$15,0,0,$B$14,1), 1*(_xlfn._xlws.FILTER(OFFSET($O$15,0,$DN185,$B$8,1),OFFSET($M$15,0,0,$B$8,1))=FF$13), 1*(_xlfn._xlws.FILTER(OFFSET($O$15,0,$DO185,$B$8,1),OFFSET($M$15,0,0,$B$8,1))=FF$14))   /   SUM(OFFSET($BO$15,0,0,$B$14,1)) + $B$18/($B$19*$B$19*($DN185&lt;&gt;$DO185) + $B$19*($DN185=$DO185))</f>
        <v>3.7037037037037035E-4</v>
      </c>
      <c r="FG185" s="10" cm="1">
        <f t="array" aca="1" ref="FG185" ca="1">(1-$B$18)*SUMPRODUCT(OFFSET($BO$15,0,0,$B$14,1), 1*(_xlfn._xlws.FILTER(OFFSET($O$15,0,$DN185,$B$8,1),OFFSET($M$15,0,0,$B$8,1))=FG$13), 1*(_xlfn._xlws.FILTER(OFFSET($O$15,0,$DO185,$B$8,1),OFFSET($M$15,0,0,$B$8,1))=FG$14))   /   SUM(OFFSET($BO$15,0,0,$B$14,1)) + $B$18/($B$19*$B$19*($DN185&lt;&gt;$DO185) + $B$19*($DN185=$DO185))</f>
        <v>3.7037037037037035E-4</v>
      </c>
      <c r="FH185" s="10" cm="1">
        <f t="array" aca="1" ref="FH185" ca="1">(1-$B$18)*SUMPRODUCT(OFFSET($BO$15,0,0,$B$14,1), 1*(_xlfn._xlws.FILTER(OFFSET($O$15,0,$DN185,$B$8,1),OFFSET($M$15,0,0,$B$8,1))=FH$13), 1*(_xlfn._xlws.FILTER(OFFSET($O$15,0,$DO185,$B$8,1),OFFSET($M$15,0,0,$B$8,1))=FH$14))   /   SUM(OFFSET($BO$15,0,0,$B$14,1)) + $B$18/($B$19*$B$19*($DN185&lt;&gt;$DO185) + $B$19*($DN185=$DO185))</f>
        <v>3.7037037037037035E-4</v>
      </c>
      <c r="FI185" s="10" cm="1">
        <f t="array" aca="1" ref="FI185" ca="1">(1-$B$18)*SUMPRODUCT(OFFSET($BO$15,0,0,$B$14,1), 1*(_xlfn._xlws.FILTER(OFFSET($O$15,0,$DN185,$B$8,1),OFFSET($M$15,0,0,$B$8,1))=FI$13), 1*(_xlfn._xlws.FILTER(OFFSET($O$15,0,$DO185,$B$8,1),OFFSET($M$15,0,0,$B$8,1))=FI$14))   /   SUM(OFFSET($BO$15,0,0,$B$14,1)) + $B$18/($B$19*$B$19*($DN185&lt;&gt;$DO185) + $B$19*($DN185=$DO185))</f>
        <v>3.7037037037037035E-4</v>
      </c>
      <c r="FJ185" s="10" cm="1">
        <f t="array" aca="1" ref="FJ185" ca="1">(1-$B$18)*SUMPRODUCT(OFFSET($BO$15,0,0,$B$14,1), 1*(_xlfn._xlws.FILTER(OFFSET($O$15,0,$DN185,$B$8,1),OFFSET($M$15,0,0,$B$8,1))=FJ$13), 1*(_xlfn._xlws.FILTER(OFFSET($O$15,0,$DO185,$B$8,1),OFFSET($M$15,0,0,$B$8,1))=FJ$14))   /   SUM(OFFSET($BO$15,0,0,$B$14,1)) + $B$18/($B$19*$B$19*($DN185&lt;&gt;$DO185) + $B$19*($DN185=$DO185))</f>
        <v>3.7037037037037035E-4</v>
      </c>
      <c r="FK185" s="10" cm="1">
        <f t="array" aca="1" ref="FK185" ca="1">(1-$B$18)*SUMPRODUCT(OFFSET($BO$15,0,0,$B$14,1), 1*(_xlfn._xlws.FILTER(OFFSET($O$15,0,$DN185,$B$8,1),OFFSET($M$15,0,0,$B$8,1))=FK$13), 1*(_xlfn._xlws.FILTER(OFFSET($O$15,0,$DO185,$B$8,1),OFFSET($M$15,0,0,$B$8,1))=FK$14))   /   SUM(OFFSET($BO$15,0,0,$B$14,1)) + $B$18/($B$19*$B$19*($DN185&lt;&gt;$DO185) + $B$19*($DN185=$DO185))</f>
        <v>3.7037037037037035E-4</v>
      </c>
      <c r="FL185" s="10" cm="1">
        <f t="array" aca="1" ref="FL185" ca="1">(1-$B$18)*SUMPRODUCT(OFFSET($BO$15,0,0,$B$14,1), 1*(_xlfn._xlws.FILTER(OFFSET($O$15,0,$DN185,$B$8,1),OFFSET($M$15,0,0,$B$8,1))=FL$13), 1*(_xlfn._xlws.FILTER(OFFSET($O$15,0,$DO185,$B$8,1),OFFSET($M$15,0,0,$B$8,1))=FL$14))   /   SUM(OFFSET($BO$15,0,0,$B$14,1)) + $B$18/($B$19*$B$19*($DN185&lt;&gt;$DO185) + $B$19*($DN185=$DO185))</f>
        <v>3.7037037037037035E-4</v>
      </c>
      <c r="FM185" s="10" cm="1">
        <f t="array" aca="1" ref="FM185" ca="1">(1-$B$18)*SUMPRODUCT(OFFSET($BO$15,0,0,$B$14,1), 1*(_xlfn._xlws.FILTER(OFFSET($O$15,0,$DN185,$B$8,1),OFFSET($M$15,0,0,$B$8,1))=FM$13), 1*(_xlfn._xlws.FILTER(OFFSET($O$15,0,$DO185,$B$8,1),OFFSET($M$15,0,0,$B$8,1))=FM$14))   /   SUM(OFFSET($BO$15,0,0,$B$14,1)) + $B$18/($B$19*$B$19*($DN185&lt;&gt;$DO185) + $B$19*($DN185=$DO185))</f>
        <v>3.7037037037037035E-4</v>
      </c>
      <c r="FN185" s="10" cm="1">
        <f t="array" aca="1" ref="FN185" ca="1">(1-$B$18)*SUMPRODUCT(OFFSET($BO$15,0,0,$B$14,1), 1*(_xlfn._xlws.FILTER(OFFSET($O$15,0,$DN185,$B$8,1),OFFSET($M$15,0,0,$B$8,1))=FN$13), 1*(_xlfn._xlws.FILTER(OFFSET($O$15,0,$DO185,$B$8,1),OFFSET($M$15,0,0,$B$8,1))=FN$14))   /   SUM(OFFSET($BO$15,0,0,$B$14,1)) + $B$18/($B$19*$B$19*($DN185&lt;&gt;$DO185) + $B$19*($DN185=$DO185))</f>
        <v>3.7037037037037035E-4</v>
      </c>
      <c r="FO185" s="10" cm="1">
        <f t="array" aca="1" ref="FO185" ca="1">(1-$B$18)*SUMPRODUCT(OFFSET($BO$15,0,0,$B$14,1), 1*(_xlfn._xlws.FILTER(OFFSET($O$15,0,$DN185,$B$8,1),OFFSET($M$15,0,0,$B$8,1))=FO$13), 1*(_xlfn._xlws.FILTER(OFFSET($O$15,0,$DO185,$B$8,1),OFFSET($M$15,0,0,$B$8,1))=FO$14))   /   SUM(OFFSET($BO$15,0,0,$B$14,1)) + $B$18/($B$19*$B$19*($DN185&lt;&gt;$DO185) + $B$19*($DN185=$DO185))</f>
        <v>3.7037037037037035E-4</v>
      </c>
      <c r="FP185" s="10" cm="1">
        <f t="array" aca="1" ref="FP185" ca="1">(1-$B$18)*SUMPRODUCT(OFFSET($BO$15,0,0,$B$14,1), 1*(_xlfn._xlws.FILTER(OFFSET($O$15,0,$DN185,$B$8,1),OFFSET($M$15,0,0,$B$8,1))=FP$13), 1*(_xlfn._xlws.FILTER(OFFSET($O$15,0,$DO185,$B$8,1),OFFSET($M$15,0,0,$B$8,1))=FP$14))   /   SUM(OFFSET($BO$15,0,0,$B$14,1)) + $B$18/($B$19*$B$19*($DN185&lt;&gt;$DO185) + $B$19*($DN185=$DO185))</f>
        <v>0.24287037037037024</v>
      </c>
      <c r="FQ185" s="10" cm="1">
        <f t="array" aca="1" ref="FQ185" ca="1">(1-$B$18)*SUMPRODUCT(OFFSET($BO$15,0,0,$B$14,1), 1*(_xlfn._xlws.FILTER(OFFSET($O$15,0,$DN185,$B$8,1),OFFSET($M$15,0,0,$B$8,1))=FQ$13), 1*(_xlfn._xlws.FILTER(OFFSET($O$15,0,$DO185,$B$8,1),OFFSET($M$15,0,0,$B$8,1))=FQ$14))   /   SUM(OFFSET($BO$15,0,0,$B$14,1)) + $B$18/($B$19*$B$19*($DN185&lt;&gt;$DO185) + $B$19*($DN185=$DO185))</f>
        <v>0.48537037037037012</v>
      </c>
      <c r="FR185" s="10" cm="1">
        <f t="array" aca="1" ref="FR185" ca="1">(1-$B$18)*SUMPRODUCT(OFFSET($BO$15,0,0,$B$14,1), 1*(_xlfn._xlws.FILTER(OFFSET($O$15,0,$DN185,$B$8,1),OFFSET($M$15,0,0,$B$8,1))=FR$13), 1*(_xlfn._xlws.FILTER(OFFSET($O$15,0,$DO185,$B$8,1),OFFSET($M$15,0,0,$B$8,1))=FR$14))   /   SUM(OFFSET($BO$15,0,0,$B$14,1)) + $B$18/($B$19*$B$19*($DN185&lt;&gt;$DO185) + $B$19*($DN185=$DO185))</f>
        <v>0.24287037037037026</v>
      </c>
      <c r="FS185" s="10" cm="1">
        <f t="array" aca="1" ref="FS185" ca="1">(1-$B$18)*SUMPRODUCT(OFFSET($BO$15,0,0,$B$14,1), 1*(_xlfn._xlws.FILTER(OFFSET($O$15,0,$DN185,$B$8,1),OFFSET($M$15,0,0,$B$8,1))=FS$13), 1*(_xlfn._xlws.FILTER(OFFSET($O$15,0,$DO185,$B$8,1),OFFSET($M$15,0,0,$B$8,1))=FS$14))   /   SUM(OFFSET($BO$15,0,0,$B$14,1)) + $B$18/($B$19*$B$19*($DN185&lt;&gt;$DO185) + $B$19*($DN185=$DO185))</f>
        <v>3.7037037037037035E-4</v>
      </c>
      <c r="FT185" s="10" cm="1">
        <f t="array" aca="1" ref="FT185" ca="1">(1-$B$18)*SUMPRODUCT(OFFSET($BO$15,0,0,$B$14,1), 1*(_xlfn._xlws.FILTER(OFFSET($O$15,0,$DN185,$B$8,1),OFFSET($M$15,0,0,$B$8,1))=FT$13), 1*(_xlfn._xlws.FILTER(OFFSET($O$15,0,$DO185,$B$8,1),OFFSET($M$15,0,0,$B$8,1))=FT$14))   /   SUM(OFFSET($BO$15,0,0,$B$14,1)) + $B$18/($B$19*$B$19*($DN185&lt;&gt;$DO185) + $B$19*($DN185=$DO185))</f>
        <v>3.7037037037037035E-4</v>
      </c>
      <c r="FU185" s="10" cm="1">
        <f t="array" aca="1" ref="FU185" ca="1">(1-$B$18)*SUMPRODUCT(OFFSET($BO$15,0,0,$B$14,1), 1*(_xlfn._xlws.FILTER(OFFSET($O$15,0,$DN185,$B$8,1),OFFSET($M$15,0,0,$B$8,1))=FU$13), 1*(_xlfn._xlws.FILTER(OFFSET($O$15,0,$DO185,$B$8,1),OFFSET($M$15,0,0,$B$8,1))=FU$14))   /   SUM(OFFSET($BO$15,0,0,$B$14,1)) + $B$18/($B$19*$B$19*($DN185&lt;&gt;$DO185) + $B$19*($DN185=$DO185))</f>
        <v>3.7037037037037035E-4</v>
      </c>
      <c r="FV185" s="10" cm="1">
        <f t="array" aca="1" ref="FV185" ca="1">(1-$B$18)*SUMPRODUCT(OFFSET($BO$15,0,0,$B$14,1), 1*(_xlfn._xlws.FILTER(OFFSET($O$15,0,$DN185,$B$8,1),OFFSET($M$15,0,0,$B$8,1))=FV$13), 1*(_xlfn._xlws.FILTER(OFFSET($O$15,0,$DO185,$B$8,1),OFFSET($M$15,0,0,$B$8,1))=FV$14))   /   SUM(OFFSET($BO$15,0,0,$B$14,1)) + $B$18/($B$19*$B$19*($DN185&lt;&gt;$DO185) + $B$19*($DN185=$DO185))</f>
        <v>3.7037037037037035E-4</v>
      </c>
      <c r="FW185" s="10" cm="1">
        <f t="array" aca="1" ref="FW185" ca="1">(1-$B$18)*SUMPRODUCT(OFFSET($BO$15,0,0,$B$14,1), 1*(_xlfn._xlws.FILTER(OFFSET($O$15,0,$DN185,$B$8,1),OFFSET($M$15,0,0,$B$8,1))=FW$13), 1*(_xlfn._xlws.FILTER(OFFSET($O$15,0,$DO185,$B$8,1),OFFSET($M$15,0,0,$B$8,1))=FW$14))   /   SUM(OFFSET($BO$15,0,0,$B$14,1)) + $B$18/($B$19*$B$19*($DN185&lt;&gt;$DO185) + $B$19*($DN185=$DO185))</f>
        <v>3.7037037037037035E-4</v>
      </c>
      <c r="FX185" s="10" cm="1">
        <f t="array" aca="1" ref="FX185" ca="1">(1-$B$18)*SUMPRODUCT(OFFSET($BO$15,0,0,$B$14,1), 1*(_xlfn._xlws.FILTER(OFFSET($O$15,0,$DN185,$B$8,1),OFFSET($M$15,0,0,$B$8,1))=FX$13), 1*(_xlfn._xlws.FILTER(OFFSET($O$15,0,$DO185,$B$8,1),OFFSET($M$15,0,0,$B$8,1))=FX$14))   /   SUM(OFFSET($BO$15,0,0,$B$14,1)) + $B$18/($B$19*$B$19*($DN185&lt;&gt;$DO185) + $B$19*($DN185=$DO185))</f>
        <v>3.7037037037037035E-4</v>
      </c>
      <c r="FY185" s="10" cm="1">
        <f t="array" aca="1" ref="FY185" ca="1">(1-$B$18)*SUMPRODUCT(OFFSET($BO$15,0,0,$B$14,1), 1*(_xlfn._xlws.FILTER(OFFSET($O$15,0,$DN185,$B$8,1),OFFSET($M$15,0,0,$B$8,1))=FY$13), 1*(_xlfn._xlws.FILTER(OFFSET($O$15,0,$DO185,$B$8,1),OFFSET($M$15,0,0,$B$8,1))=FY$14))   /   SUM(OFFSET($BO$15,0,0,$B$14,1)) + $B$18/($B$19*$B$19*($DN185&lt;&gt;$DO185) + $B$19*($DN185=$DO185))</f>
        <v>3.7037037037037035E-4</v>
      </c>
      <c r="FZ185" s="10" cm="1">
        <f t="array" aca="1" ref="FZ185" ca="1">(1-$B$18)*SUMPRODUCT(OFFSET($BO$15,0,0,$B$14,1), 1*(_xlfn._xlws.FILTER(OFFSET($O$15,0,$DN185,$B$8,1),OFFSET($M$15,0,0,$B$8,1))=FZ$13), 1*(_xlfn._xlws.FILTER(OFFSET($O$15,0,$DO185,$B$8,1),OFFSET($M$15,0,0,$B$8,1))=FZ$14))   /   SUM(OFFSET($BO$15,0,0,$B$14,1)) + $B$18/($B$19*$B$19*($DN185&lt;&gt;$DO185) + $B$19*($DN185=$DO185))</f>
        <v>3.7037037037037035E-4</v>
      </c>
      <c r="GA185" s="10" cm="1">
        <f t="array" aca="1" ref="GA185" ca="1">(1-$B$18)*SUMPRODUCT(OFFSET($BO$15,0,0,$B$14,1), 1*(_xlfn._xlws.FILTER(OFFSET($O$15,0,$DN185,$B$8,1),OFFSET($M$15,0,0,$B$8,1))=GA$13), 1*(_xlfn._xlws.FILTER(OFFSET($O$15,0,$DO185,$B$8,1),OFFSET($M$15,0,0,$B$8,1))=GA$14))   /   SUM(OFFSET($BO$15,0,0,$B$14,1)) + $B$18/($B$19*$B$19*($DN185&lt;&gt;$DO185) + $B$19*($DN185=$DO185))</f>
        <v>3.7037037037037035E-4</v>
      </c>
    </row>
    <row r="186" spans="118:183" x14ac:dyDescent="0.2">
      <c r="DN186" cm="1">
        <f t="array" aca="1" ref="DN186" ca="1">INDEX(_xlfn.ANCHORARRAY($CP$15), 1 + INT((ROWS($DO$15:$DO186) - 1) / ROWS(_xlfn.ANCHORARRAY($CP$15))))</f>
        <v>9</v>
      </c>
      <c r="DO186" cm="1">
        <f t="array" aca="1" ref="DO186" ca="1">INDEX(_xlfn.ANCHORARRAY($CP$15),1+MOD(ROWS($DO$15:$DO186)-1,ROWS(_xlfn.ANCHORARRAY($CP$15))))</f>
        <v>0</v>
      </c>
      <c r="DP186" s="10" cm="1">
        <f t="array" aca="1" ref="DP186" ca="1">(1-$B$18)*SUMPRODUCT(OFFSET($BO$15,0,0,$B$14,1), 1*(_xlfn._xlws.FILTER(OFFSET($O$15,0,$DN186,$B$8,1),OFFSET($M$15,0,0,$B$8,1))=DP$13), 1*(_xlfn._xlws.FILTER(OFFSET($O$15,0,$DO186,$B$8,1),OFFSET($M$15,0,0,$B$8,1))=DP$14))   /   SUM(OFFSET($BO$15,0,0,$B$14,1)) + $B$18/($B$19*$B$19*($DN186&lt;&gt;$DO186) + $B$19*($DN186=$DO186))</f>
        <v>3.7037037037037035E-4</v>
      </c>
      <c r="DQ186" s="10" cm="1">
        <f t="array" aca="1" ref="DQ186" ca="1">(1-$B$18)*SUMPRODUCT(OFFSET($BO$15,0,0,$B$14,1), 1*(_xlfn._xlws.FILTER(OFFSET($O$15,0,$DN186,$B$8,1),OFFSET($M$15,0,0,$B$8,1))=DQ$13), 1*(_xlfn._xlws.FILTER(OFFSET($O$15,0,$DO186,$B$8,1),OFFSET($M$15,0,0,$B$8,1))=DQ$14))   /   SUM(OFFSET($BO$15,0,0,$B$14,1)) + $B$18/($B$19*$B$19*($DN186&lt;&gt;$DO186) + $B$19*($DN186=$DO186))</f>
        <v>3.7037037037037035E-4</v>
      </c>
      <c r="DR186" s="10" cm="1">
        <f t="array" aca="1" ref="DR186" ca="1">(1-$B$18)*SUMPRODUCT(OFFSET($BO$15,0,0,$B$14,1), 1*(_xlfn._xlws.FILTER(OFFSET($O$15,0,$DN186,$B$8,1),OFFSET($M$15,0,0,$B$8,1))=DR$13), 1*(_xlfn._xlws.FILTER(OFFSET($O$15,0,$DO186,$B$8,1),OFFSET($M$15,0,0,$B$8,1))=DR$14))   /   SUM(OFFSET($BO$15,0,0,$B$14,1)) + $B$18/($B$19*$B$19*($DN186&lt;&gt;$DO186) + $B$19*($DN186=$DO186))</f>
        <v>3.7037037037037035E-4</v>
      </c>
      <c r="DS186" s="10" cm="1">
        <f t="array" aca="1" ref="DS186" ca="1">(1-$B$18)*SUMPRODUCT(OFFSET($BO$15,0,0,$B$14,1), 1*(_xlfn._xlws.FILTER(OFFSET($O$15,0,$DN186,$B$8,1),OFFSET($M$15,0,0,$B$8,1))=DS$13), 1*(_xlfn._xlws.FILTER(OFFSET($O$15,0,$DO186,$B$8,1),OFFSET($M$15,0,0,$B$8,1))=DS$14))   /   SUM(OFFSET($BO$15,0,0,$B$14,1)) + $B$18/($B$19*$B$19*($DN186&lt;&gt;$DO186) + $B$19*($DN186=$DO186))</f>
        <v>3.7037037037037035E-4</v>
      </c>
      <c r="DT186" s="10" cm="1">
        <f t="array" aca="1" ref="DT186" ca="1">(1-$B$18)*SUMPRODUCT(OFFSET($BO$15,0,0,$B$14,1), 1*(_xlfn._xlws.FILTER(OFFSET($O$15,0,$DN186,$B$8,1),OFFSET($M$15,0,0,$B$8,1))=DT$13), 1*(_xlfn._xlws.FILTER(OFFSET($O$15,0,$DO186,$B$8,1),OFFSET($M$15,0,0,$B$8,1))=DT$14))   /   SUM(OFFSET($BO$15,0,0,$B$14,1)) + $B$18/($B$19*$B$19*($DN186&lt;&gt;$DO186) + $B$19*($DN186=$DO186))</f>
        <v>3.7037037037037035E-4</v>
      </c>
      <c r="DU186" s="10" cm="1">
        <f t="array" aca="1" ref="DU186" ca="1">(1-$B$18)*SUMPRODUCT(OFFSET($BO$15,0,0,$B$14,1), 1*(_xlfn._xlws.FILTER(OFFSET($O$15,0,$DN186,$B$8,1),OFFSET($M$15,0,0,$B$8,1))=DU$13), 1*(_xlfn._xlws.FILTER(OFFSET($O$15,0,$DO186,$B$8,1),OFFSET($M$15,0,0,$B$8,1))=DU$14))   /   SUM(OFFSET($BO$15,0,0,$B$14,1)) + $B$18/($B$19*$B$19*($DN186&lt;&gt;$DO186) + $B$19*($DN186=$DO186))</f>
        <v>3.7037037037037035E-4</v>
      </c>
      <c r="DV186" s="10" cm="1">
        <f t="array" aca="1" ref="DV186" ca="1">(1-$B$18)*SUMPRODUCT(OFFSET($BO$15,0,0,$B$14,1), 1*(_xlfn._xlws.FILTER(OFFSET($O$15,0,$DN186,$B$8,1),OFFSET($M$15,0,0,$B$8,1))=DV$13), 1*(_xlfn._xlws.FILTER(OFFSET($O$15,0,$DO186,$B$8,1),OFFSET($M$15,0,0,$B$8,1))=DV$14))   /   SUM(OFFSET($BO$15,0,0,$B$14,1)) + $B$18/($B$19*$B$19*($DN186&lt;&gt;$DO186) + $B$19*($DN186=$DO186))</f>
        <v>3.7037037037037035E-4</v>
      </c>
      <c r="DW186" s="10" cm="1">
        <f t="array" aca="1" ref="DW186" ca="1">(1-$B$18)*SUMPRODUCT(OFFSET($BO$15,0,0,$B$14,1), 1*(_xlfn._xlws.FILTER(OFFSET($O$15,0,$DN186,$B$8,1),OFFSET($M$15,0,0,$B$8,1))=DW$13), 1*(_xlfn._xlws.FILTER(OFFSET($O$15,0,$DO186,$B$8,1),OFFSET($M$15,0,0,$B$8,1))=DW$14))   /   SUM(OFFSET($BO$15,0,0,$B$14,1)) + $B$18/($B$19*$B$19*($DN186&lt;&gt;$DO186) + $B$19*($DN186=$DO186))</f>
        <v>3.7037037037037035E-4</v>
      </c>
      <c r="DX186" s="10" cm="1">
        <f t="array" aca="1" ref="DX186" ca="1">(1-$B$18)*SUMPRODUCT(OFFSET($BO$15,0,0,$B$14,1), 1*(_xlfn._xlws.FILTER(OFFSET($O$15,0,$DN186,$B$8,1),OFFSET($M$15,0,0,$B$8,1))=DX$13), 1*(_xlfn._xlws.FILTER(OFFSET($O$15,0,$DO186,$B$8,1),OFFSET($M$15,0,0,$B$8,1))=DX$14))   /   SUM(OFFSET($BO$15,0,0,$B$14,1)) + $B$18/($B$19*$B$19*($DN186&lt;&gt;$DO186) + $B$19*($DN186=$DO186))</f>
        <v>3.7037037037037035E-4</v>
      </c>
      <c r="DY186" s="10" cm="1">
        <f t="array" aca="1" ref="DY186" ca="1">(1-$B$18)*SUMPRODUCT(OFFSET($BO$15,0,0,$B$14,1), 1*(_xlfn._xlws.FILTER(OFFSET($O$15,0,$DN186,$B$8,1),OFFSET($M$15,0,0,$B$8,1))=DY$13), 1*(_xlfn._xlws.FILTER(OFFSET($O$15,0,$DO186,$B$8,1),OFFSET($M$15,0,0,$B$8,1))=DY$14))   /   SUM(OFFSET($BO$15,0,0,$B$14,1)) + $B$18/($B$19*$B$19*($DN186&lt;&gt;$DO186) + $B$19*($DN186=$DO186))</f>
        <v>3.7037037037037035E-4</v>
      </c>
      <c r="DZ186" s="10" cm="1">
        <f t="array" aca="1" ref="DZ186" ca="1">(1-$B$18)*SUMPRODUCT(OFFSET($BO$15,0,0,$B$14,1), 1*(_xlfn._xlws.FILTER(OFFSET($O$15,0,$DN186,$B$8,1),OFFSET($M$15,0,0,$B$8,1))=DZ$13), 1*(_xlfn._xlws.FILTER(OFFSET($O$15,0,$DO186,$B$8,1),OFFSET($M$15,0,0,$B$8,1))=DZ$14))   /   SUM(OFFSET($BO$15,0,0,$B$14,1)) + $B$18/($B$19*$B$19*($DN186&lt;&gt;$DO186) + $B$19*($DN186=$DO186))</f>
        <v>3.7037037037037035E-4</v>
      </c>
      <c r="EA186" s="10" cm="1">
        <f t="array" aca="1" ref="EA186" ca="1">(1-$B$18)*SUMPRODUCT(OFFSET($BO$15,0,0,$B$14,1), 1*(_xlfn._xlws.FILTER(OFFSET($O$15,0,$DN186,$B$8,1),OFFSET($M$15,0,0,$B$8,1))=EA$13), 1*(_xlfn._xlws.FILTER(OFFSET($O$15,0,$DO186,$B$8,1),OFFSET($M$15,0,0,$B$8,1))=EA$14))   /   SUM(OFFSET($BO$15,0,0,$B$14,1)) + $B$18/($B$19*$B$19*($DN186&lt;&gt;$DO186) + $B$19*($DN186=$DO186))</f>
        <v>3.7037037037037035E-4</v>
      </c>
      <c r="EB186" s="10" cm="1">
        <f t="array" aca="1" ref="EB186" ca="1">(1-$B$18)*SUMPRODUCT(OFFSET($BO$15,0,0,$B$14,1), 1*(_xlfn._xlws.FILTER(OFFSET($O$15,0,$DN186,$B$8,1),OFFSET($M$15,0,0,$B$8,1))=EB$13), 1*(_xlfn._xlws.FILTER(OFFSET($O$15,0,$DO186,$B$8,1),OFFSET($M$15,0,0,$B$8,1))=EB$14))   /   SUM(OFFSET($BO$15,0,0,$B$14,1)) + $B$18/($B$19*$B$19*($DN186&lt;&gt;$DO186) + $B$19*($DN186=$DO186))</f>
        <v>3.7037037037037035E-4</v>
      </c>
      <c r="EC186" s="10" cm="1">
        <f t="array" aca="1" ref="EC186" ca="1">(1-$B$18)*SUMPRODUCT(OFFSET($BO$15,0,0,$B$14,1), 1*(_xlfn._xlws.FILTER(OFFSET($O$15,0,$DN186,$B$8,1),OFFSET($M$15,0,0,$B$8,1))=EC$13), 1*(_xlfn._xlws.FILTER(OFFSET($O$15,0,$DO186,$B$8,1),OFFSET($M$15,0,0,$B$8,1))=EC$14))   /   SUM(OFFSET($BO$15,0,0,$B$14,1)) + $B$18/($B$19*$B$19*($DN186&lt;&gt;$DO186) + $B$19*($DN186=$DO186))</f>
        <v>3.7037037037037035E-4</v>
      </c>
      <c r="ED186" s="10" cm="1">
        <f t="array" aca="1" ref="ED186" ca="1">(1-$B$18)*SUMPRODUCT(OFFSET($BO$15,0,0,$B$14,1), 1*(_xlfn._xlws.FILTER(OFFSET($O$15,0,$DN186,$B$8,1),OFFSET($M$15,0,0,$B$8,1))=ED$13), 1*(_xlfn._xlws.FILTER(OFFSET($O$15,0,$DO186,$B$8,1),OFFSET($M$15,0,0,$B$8,1))=ED$14))   /   SUM(OFFSET($BO$15,0,0,$B$14,1)) + $B$18/($B$19*$B$19*($DN186&lt;&gt;$DO186) + $B$19*($DN186=$DO186))</f>
        <v>3.7037037037037035E-4</v>
      </c>
      <c r="EE186" s="10" cm="1">
        <f t="array" aca="1" ref="EE186" ca="1">(1-$B$18)*SUMPRODUCT(OFFSET($BO$15,0,0,$B$14,1), 1*(_xlfn._xlws.FILTER(OFFSET($O$15,0,$DN186,$B$8,1),OFFSET($M$15,0,0,$B$8,1))=EE$13), 1*(_xlfn._xlws.FILTER(OFFSET($O$15,0,$DO186,$B$8,1),OFFSET($M$15,0,0,$B$8,1))=EE$14))   /   SUM(OFFSET($BO$15,0,0,$B$14,1)) + $B$18/($B$19*$B$19*($DN186&lt;&gt;$DO186) + $B$19*($DN186=$DO186))</f>
        <v>3.7037037037037035E-4</v>
      </c>
      <c r="EF186" s="10" cm="1">
        <f t="array" aca="1" ref="EF186" ca="1">(1-$B$18)*SUMPRODUCT(OFFSET($BO$15,0,0,$B$14,1), 1*(_xlfn._xlws.FILTER(OFFSET($O$15,0,$DN186,$B$8,1),OFFSET($M$15,0,0,$B$8,1))=EF$13), 1*(_xlfn._xlws.FILTER(OFFSET($O$15,0,$DO186,$B$8,1),OFFSET($M$15,0,0,$B$8,1))=EF$14))   /   SUM(OFFSET($BO$15,0,0,$B$14,1)) + $B$18/($B$19*$B$19*($DN186&lt;&gt;$DO186) + $B$19*($DN186=$DO186))</f>
        <v>3.7037037037037035E-4</v>
      </c>
      <c r="EG186" s="10" cm="1">
        <f t="array" aca="1" ref="EG186" ca="1">(1-$B$18)*SUMPRODUCT(OFFSET($BO$15,0,0,$B$14,1), 1*(_xlfn._xlws.FILTER(OFFSET($O$15,0,$DN186,$B$8,1),OFFSET($M$15,0,0,$B$8,1))=EG$13), 1*(_xlfn._xlws.FILTER(OFFSET($O$15,0,$DO186,$B$8,1),OFFSET($M$15,0,0,$B$8,1))=EG$14))   /   SUM(OFFSET($BO$15,0,0,$B$14,1)) + $B$18/($B$19*$B$19*($DN186&lt;&gt;$DO186) + $B$19*($DN186=$DO186))</f>
        <v>3.7037037037037035E-4</v>
      </c>
      <c r="EH186" s="10" cm="1">
        <f t="array" aca="1" ref="EH186" ca="1">(1-$B$18)*SUMPRODUCT(OFFSET($BO$15,0,0,$B$14,1), 1*(_xlfn._xlws.FILTER(OFFSET($O$15,0,$DN186,$B$8,1),OFFSET($M$15,0,0,$B$8,1))=EH$13), 1*(_xlfn._xlws.FILTER(OFFSET($O$15,0,$DO186,$B$8,1),OFFSET($M$15,0,0,$B$8,1))=EH$14))   /   SUM(OFFSET($BO$15,0,0,$B$14,1)) + $B$18/($B$19*$B$19*($DN186&lt;&gt;$DO186) + $B$19*($DN186=$DO186))</f>
        <v>3.7037037037037035E-4</v>
      </c>
      <c r="EI186" s="10" cm="1">
        <f t="array" aca="1" ref="EI186" ca="1">(1-$B$18)*SUMPRODUCT(OFFSET($BO$15,0,0,$B$14,1), 1*(_xlfn._xlws.FILTER(OFFSET($O$15,0,$DN186,$B$8,1),OFFSET($M$15,0,0,$B$8,1))=EI$13), 1*(_xlfn._xlws.FILTER(OFFSET($O$15,0,$DO186,$B$8,1),OFFSET($M$15,0,0,$B$8,1))=EI$14))   /   SUM(OFFSET($BO$15,0,0,$B$14,1)) + $B$18/($B$19*$B$19*($DN186&lt;&gt;$DO186) + $B$19*($DN186=$DO186))</f>
        <v>3.7037037037037035E-4</v>
      </c>
      <c r="EJ186" s="10" cm="1">
        <f t="array" aca="1" ref="EJ186" ca="1">(1-$B$18)*SUMPRODUCT(OFFSET($BO$15,0,0,$B$14,1), 1*(_xlfn._xlws.FILTER(OFFSET($O$15,0,$DN186,$B$8,1),OFFSET($M$15,0,0,$B$8,1))=EJ$13), 1*(_xlfn._xlws.FILTER(OFFSET($O$15,0,$DO186,$B$8,1),OFFSET($M$15,0,0,$B$8,1))=EJ$14))   /   SUM(OFFSET($BO$15,0,0,$B$14,1)) + $B$18/($B$19*$B$19*($DN186&lt;&gt;$DO186) + $B$19*($DN186=$DO186))</f>
        <v>3.7037037037037035E-4</v>
      </c>
      <c r="EK186" s="10" cm="1">
        <f t="array" aca="1" ref="EK186" ca="1">(1-$B$18)*SUMPRODUCT(OFFSET($BO$15,0,0,$B$14,1), 1*(_xlfn._xlws.FILTER(OFFSET($O$15,0,$DN186,$B$8,1),OFFSET($M$15,0,0,$B$8,1))=EK$13), 1*(_xlfn._xlws.FILTER(OFFSET($O$15,0,$DO186,$B$8,1),OFFSET($M$15,0,0,$B$8,1))=EK$14))   /   SUM(OFFSET($BO$15,0,0,$B$14,1)) + $B$18/($B$19*$B$19*($DN186&lt;&gt;$DO186) + $B$19*($DN186=$DO186))</f>
        <v>3.7037037037037035E-4</v>
      </c>
      <c r="EL186" s="10" cm="1">
        <f t="array" aca="1" ref="EL186" ca="1">(1-$B$18)*SUMPRODUCT(OFFSET($BO$15,0,0,$B$14,1), 1*(_xlfn._xlws.FILTER(OFFSET($O$15,0,$DN186,$B$8,1),OFFSET($M$15,0,0,$B$8,1))=EL$13), 1*(_xlfn._xlws.FILTER(OFFSET($O$15,0,$DO186,$B$8,1),OFFSET($M$15,0,0,$B$8,1))=EL$14))   /   SUM(OFFSET($BO$15,0,0,$B$14,1)) + $B$18/($B$19*$B$19*($DN186&lt;&gt;$DO186) + $B$19*($DN186=$DO186))</f>
        <v>3.7037037037037035E-4</v>
      </c>
      <c r="EM186" s="10" cm="1">
        <f t="array" aca="1" ref="EM186" ca="1">(1-$B$18)*SUMPRODUCT(OFFSET($BO$15,0,0,$B$14,1), 1*(_xlfn._xlws.FILTER(OFFSET($O$15,0,$DN186,$B$8,1),OFFSET($M$15,0,0,$B$8,1))=EM$13), 1*(_xlfn._xlws.FILTER(OFFSET($O$15,0,$DO186,$B$8,1),OFFSET($M$15,0,0,$B$8,1))=EM$14))   /   SUM(OFFSET($BO$15,0,0,$B$14,1)) + $B$18/($B$19*$B$19*($DN186&lt;&gt;$DO186) + $B$19*($DN186=$DO186))</f>
        <v>3.7037037037037035E-4</v>
      </c>
      <c r="EN186" s="10" cm="1">
        <f t="array" aca="1" ref="EN186" ca="1">(1-$B$18)*SUMPRODUCT(OFFSET($BO$15,0,0,$B$14,1), 1*(_xlfn._xlws.FILTER(OFFSET($O$15,0,$DN186,$B$8,1),OFFSET($M$15,0,0,$B$8,1))=EN$13), 1*(_xlfn._xlws.FILTER(OFFSET($O$15,0,$DO186,$B$8,1),OFFSET($M$15,0,0,$B$8,1))=EN$14))   /   SUM(OFFSET($BO$15,0,0,$B$14,1)) + $B$18/($B$19*$B$19*($DN186&lt;&gt;$DO186) + $B$19*($DN186=$DO186))</f>
        <v>3.7037037037037035E-4</v>
      </c>
      <c r="EO186" s="10" cm="1">
        <f t="array" aca="1" ref="EO186" ca="1">(1-$B$18)*SUMPRODUCT(OFFSET($BO$15,0,0,$B$14,1), 1*(_xlfn._xlws.FILTER(OFFSET($O$15,0,$DN186,$B$8,1),OFFSET($M$15,0,0,$B$8,1))=EO$13), 1*(_xlfn._xlws.FILTER(OFFSET($O$15,0,$DO186,$B$8,1),OFFSET($M$15,0,0,$B$8,1))=EO$14))   /   SUM(OFFSET($BO$15,0,0,$B$14,1)) + $B$18/($B$19*$B$19*($DN186&lt;&gt;$DO186) + $B$19*($DN186=$DO186))</f>
        <v>3.7037037037037035E-4</v>
      </c>
      <c r="EP186" s="10" cm="1">
        <f t="array" aca="1" ref="EP186" ca="1">(1-$B$18)*SUMPRODUCT(OFFSET($BO$15,0,0,$B$14,1), 1*(_xlfn._xlws.FILTER(OFFSET($O$15,0,$DN186,$B$8,1),OFFSET($M$15,0,0,$B$8,1))=EP$13), 1*(_xlfn._xlws.FILTER(OFFSET($O$15,0,$DO186,$B$8,1),OFFSET($M$15,0,0,$B$8,1))=EP$14))   /   SUM(OFFSET($BO$15,0,0,$B$14,1)) + $B$18/($B$19*$B$19*($DN186&lt;&gt;$DO186) + $B$19*($DN186=$DO186))</f>
        <v>3.7037037037037035E-4</v>
      </c>
      <c r="EQ186" s="10" cm="1">
        <f t="array" aca="1" ref="EQ186" ca="1">(1-$B$18)*SUMPRODUCT(OFFSET($BO$15,0,0,$B$14,1), 1*(_xlfn._xlws.FILTER(OFFSET($O$15,0,$DN186,$B$8,1),OFFSET($M$15,0,0,$B$8,1))=EQ$13), 1*(_xlfn._xlws.FILTER(OFFSET($O$15,0,$DO186,$B$8,1),OFFSET($M$15,0,0,$B$8,1))=EQ$14))   /   SUM(OFFSET($BO$15,0,0,$B$14,1)) + $B$18/($B$19*$B$19*($DN186&lt;&gt;$DO186) + $B$19*($DN186=$DO186))</f>
        <v>3.7037037037037035E-4</v>
      </c>
      <c r="ER186" s="10" cm="1">
        <f t="array" aca="1" ref="ER186" ca="1">(1-$B$18)*SUMPRODUCT(OFFSET($BO$15,0,0,$B$14,1), 1*(_xlfn._xlws.FILTER(OFFSET($O$15,0,$DN186,$B$8,1),OFFSET($M$15,0,0,$B$8,1))=ER$13), 1*(_xlfn._xlws.FILTER(OFFSET($O$15,0,$DO186,$B$8,1),OFFSET($M$15,0,0,$B$8,1))=ER$14))   /   SUM(OFFSET($BO$15,0,0,$B$14,1)) + $B$18/($B$19*$B$19*($DN186&lt;&gt;$DO186) + $B$19*($DN186=$DO186))</f>
        <v>3.7037037037037035E-4</v>
      </c>
      <c r="ES186" s="10" cm="1">
        <f t="array" aca="1" ref="ES186" ca="1">(1-$B$18)*SUMPRODUCT(OFFSET($BO$15,0,0,$B$14,1), 1*(_xlfn._xlws.FILTER(OFFSET($O$15,0,$DN186,$B$8,1),OFFSET($M$15,0,0,$B$8,1))=ES$13), 1*(_xlfn._xlws.FILTER(OFFSET($O$15,0,$DO186,$B$8,1),OFFSET($M$15,0,0,$B$8,1))=ES$14))   /   SUM(OFFSET($BO$15,0,0,$B$14,1)) + $B$18/($B$19*$B$19*($DN186&lt;&gt;$DO186) + $B$19*($DN186=$DO186))</f>
        <v>3.7037037037037035E-4</v>
      </c>
      <c r="ET186" s="10" cm="1">
        <f t="array" aca="1" ref="ET186" ca="1">(1-$B$18)*SUMPRODUCT(OFFSET($BO$15,0,0,$B$14,1), 1*(_xlfn._xlws.FILTER(OFFSET($O$15,0,$DN186,$B$8,1),OFFSET($M$15,0,0,$B$8,1))=ET$13), 1*(_xlfn._xlws.FILTER(OFFSET($O$15,0,$DO186,$B$8,1),OFFSET($M$15,0,0,$B$8,1))=ET$14))   /   SUM(OFFSET($BO$15,0,0,$B$14,1)) + $B$18/($B$19*$B$19*($DN186&lt;&gt;$DO186) + $B$19*($DN186=$DO186))</f>
        <v>3.7037037037037035E-4</v>
      </c>
      <c r="EU186" s="10" cm="1">
        <f t="array" aca="1" ref="EU186" ca="1">(1-$B$18)*SUMPRODUCT(OFFSET($BO$15,0,0,$B$14,1), 1*(_xlfn._xlws.FILTER(OFFSET($O$15,0,$DN186,$B$8,1),OFFSET($M$15,0,0,$B$8,1))=EU$13), 1*(_xlfn._xlws.FILTER(OFFSET($O$15,0,$DO186,$B$8,1),OFFSET($M$15,0,0,$B$8,1))=EU$14))   /   SUM(OFFSET($BO$15,0,0,$B$14,1)) + $B$18/($B$19*$B$19*($DN186&lt;&gt;$DO186) + $B$19*($DN186=$DO186))</f>
        <v>3.7037037037037035E-4</v>
      </c>
      <c r="EV186" s="10" cm="1">
        <f t="array" aca="1" ref="EV186" ca="1">(1-$B$18)*SUMPRODUCT(OFFSET($BO$15,0,0,$B$14,1), 1*(_xlfn._xlws.FILTER(OFFSET($O$15,0,$DN186,$B$8,1),OFFSET($M$15,0,0,$B$8,1))=EV$13), 1*(_xlfn._xlws.FILTER(OFFSET($O$15,0,$DO186,$B$8,1),OFFSET($M$15,0,0,$B$8,1))=EV$14))   /   SUM(OFFSET($BO$15,0,0,$B$14,1)) + $B$18/($B$19*$B$19*($DN186&lt;&gt;$DO186) + $B$19*($DN186=$DO186))</f>
        <v>3.7037037037037035E-4</v>
      </c>
      <c r="EW186" s="10" cm="1">
        <f t="array" aca="1" ref="EW186" ca="1">(1-$B$18)*SUMPRODUCT(OFFSET($BO$15,0,0,$B$14,1), 1*(_xlfn._xlws.FILTER(OFFSET($O$15,0,$DN186,$B$8,1),OFFSET($M$15,0,0,$B$8,1))=EW$13), 1*(_xlfn._xlws.FILTER(OFFSET($O$15,0,$DO186,$B$8,1),OFFSET($M$15,0,0,$B$8,1))=EW$14))   /   SUM(OFFSET($BO$15,0,0,$B$14,1)) + $B$18/($B$19*$B$19*($DN186&lt;&gt;$DO186) + $B$19*($DN186=$DO186))</f>
        <v>3.7037037037037035E-4</v>
      </c>
      <c r="EX186" s="10" cm="1">
        <f t="array" aca="1" ref="EX186" ca="1">(1-$B$18)*SUMPRODUCT(OFFSET($BO$15,0,0,$B$14,1), 1*(_xlfn._xlws.FILTER(OFFSET($O$15,0,$DN186,$B$8,1),OFFSET($M$15,0,0,$B$8,1))=EX$13), 1*(_xlfn._xlws.FILTER(OFFSET($O$15,0,$DO186,$B$8,1),OFFSET($M$15,0,0,$B$8,1))=EX$14))   /   SUM(OFFSET($BO$15,0,0,$B$14,1)) + $B$18/($B$19*$B$19*($DN186&lt;&gt;$DO186) + $B$19*($DN186=$DO186))</f>
        <v>3.7037037037037035E-4</v>
      </c>
      <c r="EY186" s="10" cm="1">
        <f t="array" aca="1" ref="EY186" ca="1">(1-$B$18)*SUMPRODUCT(OFFSET($BO$15,0,0,$B$14,1), 1*(_xlfn._xlws.FILTER(OFFSET($O$15,0,$DN186,$B$8,1),OFFSET($M$15,0,0,$B$8,1))=EY$13), 1*(_xlfn._xlws.FILTER(OFFSET($O$15,0,$DO186,$B$8,1),OFFSET($M$15,0,0,$B$8,1))=EY$14))   /   SUM(OFFSET($BO$15,0,0,$B$14,1)) + $B$18/($B$19*$B$19*($DN186&lt;&gt;$DO186) + $B$19*($DN186=$DO186))</f>
        <v>3.7037037037037035E-4</v>
      </c>
      <c r="EZ186" s="10" cm="1">
        <f t="array" aca="1" ref="EZ186" ca="1">(1-$B$18)*SUMPRODUCT(OFFSET($BO$15,0,0,$B$14,1), 1*(_xlfn._xlws.FILTER(OFFSET($O$15,0,$DN186,$B$8,1),OFFSET($M$15,0,0,$B$8,1))=EZ$13), 1*(_xlfn._xlws.FILTER(OFFSET($O$15,0,$DO186,$B$8,1),OFFSET($M$15,0,0,$B$8,1))=EZ$14))   /   SUM(OFFSET($BO$15,0,0,$B$14,1)) + $B$18/($B$19*$B$19*($DN186&lt;&gt;$DO186) + $B$19*($DN186=$DO186))</f>
        <v>3.7037037037037035E-4</v>
      </c>
      <c r="FA186" s="10" cm="1">
        <f t="array" aca="1" ref="FA186" ca="1">(1-$B$18)*SUMPRODUCT(OFFSET($BO$15,0,0,$B$14,1), 1*(_xlfn._xlws.FILTER(OFFSET($O$15,0,$DN186,$B$8,1),OFFSET($M$15,0,0,$B$8,1))=FA$13), 1*(_xlfn._xlws.FILTER(OFFSET($O$15,0,$DO186,$B$8,1),OFFSET($M$15,0,0,$B$8,1))=FA$14))   /   SUM(OFFSET($BO$15,0,0,$B$14,1)) + $B$18/($B$19*$B$19*($DN186&lt;&gt;$DO186) + $B$19*($DN186=$DO186))</f>
        <v>3.7037037037037035E-4</v>
      </c>
      <c r="FB186" s="10" cm="1">
        <f t="array" aca="1" ref="FB186" ca="1">(1-$B$18)*SUMPRODUCT(OFFSET($BO$15,0,0,$B$14,1), 1*(_xlfn._xlws.FILTER(OFFSET($O$15,0,$DN186,$B$8,1),OFFSET($M$15,0,0,$B$8,1))=FB$13), 1*(_xlfn._xlws.FILTER(OFFSET($O$15,0,$DO186,$B$8,1),OFFSET($M$15,0,0,$B$8,1))=FB$14))   /   SUM(OFFSET($BO$15,0,0,$B$14,1)) + $B$18/($B$19*$B$19*($DN186&lt;&gt;$DO186) + $B$19*($DN186=$DO186))</f>
        <v>3.7037037037037035E-4</v>
      </c>
      <c r="FC186" s="10" cm="1">
        <f t="array" aca="1" ref="FC186" ca="1">(1-$B$18)*SUMPRODUCT(OFFSET($BO$15,0,0,$B$14,1), 1*(_xlfn._xlws.FILTER(OFFSET($O$15,0,$DN186,$B$8,1),OFFSET($M$15,0,0,$B$8,1))=FC$13), 1*(_xlfn._xlws.FILTER(OFFSET($O$15,0,$DO186,$B$8,1),OFFSET($M$15,0,0,$B$8,1))=FC$14))   /   SUM(OFFSET($BO$15,0,0,$B$14,1)) + $B$18/($B$19*$B$19*($DN186&lt;&gt;$DO186) + $B$19*($DN186=$DO186))</f>
        <v>3.7037037037037035E-4</v>
      </c>
      <c r="FD186" s="10" cm="1">
        <f t="array" aca="1" ref="FD186" ca="1">(1-$B$18)*SUMPRODUCT(OFFSET($BO$15,0,0,$B$14,1), 1*(_xlfn._xlws.FILTER(OFFSET($O$15,0,$DN186,$B$8,1),OFFSET($M$15,0,0,$B$8,1))=FD$13), 1*(_xlfn._xlws.FILTER(OFFSET($O$15,0,$DO186,$B$8,1),OFFSET($M$15,0,0,$B$8,1))=FD$14))   /   SUM(OFFSET($BO$15,0,0,$B$14,1)) + $B$18/($B$19*$B$19*($DN186&lt;&gt;$DO186) + $B$19*($DN186=$DO186))</f>
        <v>3.7037037037037035E-4</v>
      </c>
      <c r="FE186" s="10" cm="1">
        <f t="array" aca="1" ref="FE186" ca="1">(1-$B$18)*SUMPRODUCT(OFFSET($BO$15,0,0,$B$14,1), 1*(_xlfn._xlws.FILTER(OFFSET($O$15,0,$DN186,$B$8,1),OFFSET($M$15,0,0,$B$8,1))=FE$13), 1*(_xlfn._xlws.FILTER(OFFSET($O$15,0,$DO186,$B$8,1),OFFSET($M$15,0,0,$B$8,1))=FE$14))   /   SUM(OFFSET($BO$15,0,0,$B$14,1)) + $B$18/($B$19*$B$19*($DN186&lt;&gt;$DO186) + $B$19*($DN186=$DO186))</f>
        <v>3.7037037037037035E-4</v>
      </c>
      <c r="FF186" s="10" cm="1">
        <f t="array" aca="1" ref="FF186" ca="1">(1-$B$18)*SUMPRODUCT(OFFSET($BO$15,0,0,$B$14,1), 1*(_xlfn._xlws.FILTER(OFFSET($O$15,0,$DN186,$B$8,1),OFFSET($M$15,0,0,$B$8,1))=FF$13), 1*(_xlfn._xlws.FILTER(OFFSET($O$15,0,$DO186,$B$8,1),OFFSET($M$15,0,0,$B$8,1))=FF$14))   /   SUM(OFFSET($BO$15,0,0,$B$14,1)) + $B$18/($B$19*$B$19*($DN186&lt;&gt;$DO186) + $B$19*($DN186=$DO186))</f>
        <v>3.7037037037037035E-4</v>
      </c>
      <c r="FG186" s="10" cm="1">
        <f t="array" aca="1" ref="FG186" ca="1">(1-$B$18)*SUMPRODUCT(OFFSET($BO$15,0,0,$B$14,1), 1*(_xlfn._xlws.FILTER(OFFSET($O$15,0,$DN186,$B$8,1),OFFSET($M$15,0,0,$B$8,1))=FG$13), 1*(_xlfn._xlws.FILTER(OFFSET($O$15,0,$DO186,$B$8,1),OFFSET($M$15,0,0,$B$8,1))=FG$14))   /   SUM(OFFSET($BO$15,0,0,$B$14,1)) + $B$18/($B$19*$B$19*($DN186&lt;&gt;$DO186) + $B$19*($DN186=$DO186))</f>
        <v>3.7037037037037035E-4</v>
      </c>
      <c r="FH186" s="10" cm="1">
        <f t="array" aca="1" ref="FH186" ca="1">(1-$B$18)*SUMPRODUCT(OFFSET($BO$15,0,0,$B$14,1), 1*(_xlfn._xlws.FILTER(OFFSET($O$15,0,$DN186,$B$8,1),OFFSET($M$15,0,0,$B$8,1))=FH$13), 1*(_xlfn._xlws.FILTER(OFFSET($O$15,0,$DO186,$B$8,1),OFFSET($M$15,0,0,$B$8,1))=FH$14))   /   SUM(OFFSET($BO$15,0,0,$B$14,1)) + $B$18/($B$19*$B$19*($DN186&lt;&gt;$DO186) + $B$19*($DN186=$DO186))</f>
        <v>3.7037037037037035E-4</v>
      </c>
      <c r="FI186" s="10" cm="1">
        <f t="array" aca="1" ref="FI186" ca="1">(1-$B$18)*SUMPRODUCT(OFFSET($BO$15,0,0,$B$14,1), 1*(_xlfn._xlws.FILTER(OFFSET($O$15,0,$DN186,$B$8,1),OFFSET($M$15,0,0,$B$8,1))=FI$13), 1*(_xlfn._xlws.FILTER(OFFSET($O$15,0,$DO186,$B$8,1),OFFSET($M$15,0,0,$B$8,1))=FI$14))   /   SUM(OFFSET($BO$15,0,0,$B$14,1)) + $B$18/($B$19*$B$19*($DN186&lt;&gt;$DO186) + $B$19*($DN186=$DO186))</f>
        <v>3.7037037037037035E-4</v>
      </c>
      <c r="FJ186" s="10" cm="1">
        <f t="array" aca="1" ref="FJ186" ca="1">(1-$B$18)*SUMPRODUCT(OFFSET($BO$15,0,0,$B$14,1), 1*(_xlfn._xlws.FILTER(OFFSET($O$15,0,$DN186,$B$8,1),OFFSET($M$15,0,0,$B$8,1))=FJ$13), 1*(_xlfn._xlws.FILTER(OFFSET($O$15,0,$DO186,$B$8,1),OFFSET($M$15,0,0,$B$8,1))=FJ$14))   /   SUM(OFFSET($BO$15,0,0,$B$14,1)) + $B$18/($B$19*$B$19*($DN186&lt;&gt;$DO186) + $B$19*($DN186=$DO186))</f>
        <v>3.7037037037037035E-4</v>
      </c>
      <c r="FK186" s="10" cm="1">
        <f t="array" aca="1" ref="FK186" ca="1">(1-$B$18)*SUMPRODUCT(OFFSET($BO$15,0,0,$B$14,1), 1*(_xlfn._xlws.FILTER(OFFSET($O$15,0,$DN186,$B$8,1),OFFSET($M$15,0,0,$B$8,1))=FK$13), 1*(_xlfn._xlws.FILTER(OFFSET($O$15,0,$DO186,$B$8,1),OFFSET($M$15,0,0,$B$8,1))=FK$14))   /   SUM(OFFSET($BO$15,0,0,$B$14,1)) + $B$18/($B$19*$B$19*($DN186&lt;&gt;$DO186) + $B$19*($DN186=$DO186))</f>
        <v>3.7037037037037035E-4</v>
      </c>
      <c r="FL186" s="10" cm="1">
        <f t="array" aca="1" ref="FL186" ca="1">(1-$B$18)*SUMPRODUCT(OFFSET($BO$15,0,0,$B$14,1), 1*(_xlfn._xlws.FILTER(OFFSET($O$15,0,$DN186,$B$8,1),OFFSET($M$15,0,0,$B$8,1))=FL$13), 1*(_xlfn._xlws.FILTER(OFFSET($O$15,0,$DO186,$B$8,1),OFFSET($M$15,0,0,$B$8,1))=FL$14))   /   SUM(OFFSET($BO$15,0,0,$B$14,1)) + $B$18/($B$19*$B$19*($DN186&lt;&gt;$DO186) + $B$19*($DN186=$DO186))</f>
        <v>3.7037037037037035E-4</v>
      </c>
      <c r="FM186" s="10" cm="1">
        <f t="array" aca="1" ref="FM186" ca="1">(1-$B$18)*SUMPRODUCT(OFFSET($BO$15,0,0,$B$14,1), 1*(_xlfn._xlws.FILTER(OFFSET($O$15,0,$DN186,$B$8,1),OFFSET($M$15,0,0,$B$8,1))=FM$13), 1*(_xlfn._xlws.FILTER(OFFSET($O$15,0,$DO186,$B$8,1),OFFSET($M$15,0,0,$B$8,1))=FM$14))   /   SUM(OFFSET($BO$15,0,0,$B$14,1)) + $B$18/($B$19*$B$19*($DN186&lt;&gt;$DO186) + $B$19*($DN186=$DO186))</f>
        <v>3.7037037037037035E-4</v>
      </c>
      <c r="FN186" s="10" cm="1">
        <f t="array" aca="1" ref="FN186" ca="1">(1-$B$18)*SUMPRODUCT(OFFSET($BO$15,0,0,$B$14,1), 1*(_xlfn._xlws.FILTER(OFFSET($O$15,0,$DN186,$B$8,1),OFFSET($M$15,0,0,$B$8,1))=FN$13), 1*(_xlfn._xlws.FILTER(OFFSET($O$15,0,$DO186,$B$8,1),OFFSET($M$15,0,0,$B$8,1))=FN$14))   /   SUM(OFFSET($BO$15,0,0,$B$14,1)) + $B$18/($B$19*$B$19*($DN186&lt;&gt;$DO186) + $B$19*($DN186=$DO186))</f>
        <v>3.7037037037037035E-4</v>
      </c>
      <c r="FO186" s="10" cm="1">
        <f t="array" aca="1" ref="FO186" ca="1">(1-$B$18)*SUMPRODUCT(OFFSET($BO$15,0,0,$B$14,1), 1*(_xlfn._xlws.FILTER(OFFSET($O$15,0,$DN186,$B$8,1),OFFSET($M$15,0,0,$B$8,1))=FO$13), 1*(_xlfn._xlws.FILTER(OFFSET($O$15,0,$DO186,$B$8,1),OFFSET($M$15,0,0,$B$8,1))=FO$14))   /   SUM(OFFSET($BO$15,0,0,$B$14,1)) + $B$18/($B$19*$B$19*($DN186&lt;&gt;$DO186) + $B$19*($DN186=$DO186))</f>
        <v>3.7037037037037035E-4</v>
      </c>
      <c r="FP186" s="10" cm="1">
        <f t="array" aca="1" ref="FP186" ca="1">(1-$B$18)*SUMPRODUCT(OFFSET($BO$15,0,0,$B$14,1), 1*(_xlfn._xlws.FILTER(OFFSET($O$15,0,$DN186,$B$8,1),OFFSET($M$15,0,0,$B$8,1))=FP$13), 1*(_xlfn._xlws.FILTER(OFFSET($O$15,0,$DO186,$B$8,1),OFFSET($M$15,0,0,$B$8,1))=FP$14))   /   SUM(OFFSET($BO$15,0,0,$B$14,1)) + $B$18/($B$19*$B$19*($DN186&lt;&gt;$DO186) + $B$19*($DN186=$DO186))</f>
        <v>3.7037037037037035E-4</v>
      </c>
      <c r="FQ186" s="10" cm="1">
        <f t="array" aca="1" ref="FQ186" ca="1">(1-$B$18)*SUMPRODUCT(OFFSET($BO$15,0,0,$B$14,1), 1*(_xlfn._xlws.FILTER(OFFSET($O$15,0,$DN186,$B$8,1),OFFSET($M$15,0,0,$B$8,1))=FQ$13), 1*(_xlfn._xlws.FILTER(OFFSET($O$15,0,$DO186,$B$8,1),OFFSET($M$15,0,0,$B$8,1))=FQ$14))   /   SUM(OFFSET($BO$15,0,0,$B$14,1)) + $B$18/($B$19*$B$19*($DN186&lt;&gt;$DO186) + $B$19*($DN186=$DO186))</f>
        <v>3.7037037037037035E-4</v>
      </c>
      <c r="FR186" s="10" cm="1">
        <f t="array" aca="1" ref="FR186" ca="1">(1-$B$18)*SUMPRODUCT(OFFSET($BO$15,0,0,$B$14,1), 1*(_xlfn._xlws.FILTER(OFFSET($O$15,0,$DN186,$B$8,1),OFFSET($M$15,0,0,$B$8,1))=FR$13), 1*(_xlfn._xlws.FILTER(OFFSET($O$15,0,$DO186,$B$8,1),OFFSET($M$15,0,0,$B$8,1))=FR$14))   /   SUM(OFFSET($BO$15,0,0,$B$14,1)) + $B$18/($B$19*$B$19*($DN186&lt;&gt;$DO186) + $B$19*($DN186=$DO186))</f>
        <v>0.97037037037037033</v>
      </c>
      <c r="FS186" s="10" cm="1">
        <f t="array" aca="1" ref="FS186" ca="1">(1-$B$18)*SUMPRODUCT(OFFSET($BO$15,0,0,$B$14,1), 1*(_xlfn._xlws.FILTER(OFFSET($O$15,0,$DN186,$B$8,1),OFFSET($M$15,0,0,$B$8,1))=FS$13), 1*(_xlfn._xlws.FILTER(OFFSET($O$15,0,$DO186,$B$8,1),OFFSET($M$15,0,0,$B$8,1))=FS$14))   /   SUM(OFFSET($BO$15,0,0,$B$14,1)) + $B$18/($B$19*$B$19*($DN186&lt;&gt;$DO186) + $B$19*($DN186=$DO186))</f>
        <v>3.7037037037037035E-4</v>
      </c>
      <c r="FT186" s="10" cm="1">
        <f t="array" aca="1" ref="FT186" ca="1">(1-$B$18)*SUMPRODUCT(OFFSET($BO$15,0,0,$B$14,1), 1*(_xlfn._xlws.FILTER(OFFSET($O$15,0,$DN186,$B$8,1),OFFSET($M$15,0,0,$B$8,1))=FT$13), 1*(_xlfn._xlws.FILTER(OFFSET($O$15,0,$DO186,$B$8,1),OFFSET($M$15,0,0,$B$8,1))=FT$14))   /   SUM(OFFSET($BO$15,0,0,$B$14,1)) + $B$18/($B$19*$B$19*($DN186&lt;&gt;$DO186) + $B$19*($DN186=$DO186))</f>
        <v>3.7037037037037035E-4</v>
      </c>
      <c r="FU186" s="10" cm="1">
        <f t="array" aca="1" ref="FU186" ca="1">(1-$B$18)*SUMPRODUCT(OFFSET($BO$15,0,0,$B$14,1), 1*(_xlfn._xlws.FILTER(OFFSET($O$15,0,$DN186,$B$8,1),OFFSET($M$15,0,0,$B$8,1))=FU$13), 1*(_xlfn._xlws.FILTER(OFFSET($O$15,0,$DO186,$B$8,1),OFFSET($M$15,0,0,$B$8,1))=FU$14))   /   SUM(OFFSET($BO$15,0,0,$B$14,1)) + $B$18/($B$19*$B$19*($DN186&lt;&gt;$DO186) + $B$19*($DN186=$DO186))</f>
        <v>3.7037037037037035E-4</v>
      </c>
      <c r="FV186" s="10" cm="1">
        <f t="array" aca="1" ref="FV186" ca="1">(1-$B$18)*SUMPRODUCT(OFFSET($BO$15,0,0,$B$14,1), 1*(_xlfn._xlws.FILTER(OFFSET($O$15,0,$DN186,$B$8,1),OFFSET($M$15,0,0,$B$8,1))=FV$13), 1*(_xlfn._xlws.FILTER(OFFSET($O$15,0,$DO186,$B$8,1),OFFSET($M$15,0,0,$B$8,1))=FV$14))   /   SUM(OFFSET($BO$15,0,0,$B$14,1)) + $B$18/($B$19*$B$19*($DN186&lt;&gt;$DO186) + $B$19*($DN186=$DO186))</f>
        <v>3.7037037037037035E-4</v>
      </c>
      <c r="FW186" s="10" cm="1">
        <f t="array" aca="1" ref="FW186" ca="1">(1-$B$18)*SUMPRODUCT(OFFSET($BO$15,0,0,$B$14,1), 1*(_xlfn._xlws.FILTER(OFFSET($O$15,0,$DN186,$B$8,1),OFFSET($M$15,0,0,$B$8,1))=FW$13), 1*(_xlfn._xlws.FILTER(OFFSET($O$15,0,$DO186,$B$8,1),OFFSET($M$15,0,0,$B$8,1))=FW$14))   /   SUM(OFFSET($BO$15,0,0,$B$14,1)) + $B$18/($B$19*$B$19*($DN186&lt;&gt;$DO186) + $B$19*($DN186=$DO186))</f>
        <v>3.7037037037037035E-4</v>
      </c>
      <c r="FX186" s="10" cm="1">
        <f t="array" aca="1" ref="FX186" ca="1">(1-$B$18)*SUMPRODUCT(OFFSET($BO$15,0,0,$B$14,1), 1*(_xlfn._xlws.FILTER(OFFSET($O$15,0,$DN186,$B$8,1),OFFSET($M$15,0,0,$B$8,1))=FX$13), 1*(_xlfn._xlws.FILTER(OFFSET($O$15,0,$DO186,$B$8,1),OFFSET($M$15,0,0,$B$8,1))=FX$14))   /   SUM(OFFSET($BO$15,0,0,$B$14,1)) + $B$18/($B$19*$B$19*($DN186&lt;&gt;$DO186) + $B$19*($DN186=$DO186))</f>
        <v>3.7037037037037035E-4</v>
      </c>
      <c r="FY186" s="10" cm="1">
        <f t="array" aca="1" ref="FY186" ca="1">(1-$B$18)*SUMPRODUCT(OFFSET($BO$15,0,0,$B$14,1), 1*(_xlfn._xlws.FILTER(OFFSET($O$15,0,$DN186,$B$8,1),OFFSET($M$15,0,0,$B$8,1))=FY$13), 1*(_xlfn._xlws.FILTER(OFFSET($O$15,0,$DO186,$B$8,1),OFFSET($M$15,0,0,$B$8,1))=FY$14))   /   SUM(OFFSET($BO$15,0,0,$B$14,1)) + $B$18/($B$19*$B$19*($DN186&lt;&gt;$DO186) + $B$19*($DN186=$DO186))</f>
        <v>3.7037037037037035E-4</v>
      </c>
      <c r="FZ186" s="10" cm="1">
        <f t="array" aca="1" ref="FZ186" ca="1">(1-$B$18)*SUMPRODUCT(OFFSET($BO$15,0,0,$B$14,1), 1*(_xlfn._xlws.FILTER(OFFSET($O$15,0,$DN186,$B$8,1),OFFSET($M$15,0,0,$B$8,1))=FZ$13), 1*(_xlfn._xlws.FILTER(OFFSET($O$15,0,$DO186,$B$8,1),OFFSET($M$15,0,0,$B$8,1))=FZ$14))   /   SUM(OFFSET($BO$15,0,0,$B$14,1)) + $B$18/($B$19*$B$19*($DN186&lt;&gt;$DO186) + $B$19*($DN186=$DO186))</f>
        <v>3.7037037037037035E-4</v>
      </c>
      <c r="GA186" s="10" cm="1">
        <f t="array" aca="1" ref="GA186" ca="1">(1-$B$18)*SUMPRODUCT(OFFSET($BO$15,0,0,$B$14,1), 1*(_xlfn._xlws.FILTER(OFFSET($O$15,0,$DN186,$B$8,1),OFFSET($M$15,0,0,$B$8,1))=GA$13), 1*(_xlfn._xlws.FILTER(OFFSET($O$15,0,$DO186,$B$8,1),OFFSET($M$15,0,0,$B$8,1))=GA$14))   /   SUM(OFFSET($BO$15,0,0,$B$14,1)) + $B$18/($B$19*$B$19*($DN186&lt;&gt;$DO186) + $B$19*($DN186=$DO186))</f>
        <v>3.7037037037037035E-4</v>
      </c>
    </row>
    <row r="187" spans="118:183" x14ac:dyDescent="0.2">
      <c r="DN187" cm="1">
        <f t="array" aca="1" ref="DN187" ca="1">INDEX(_xlfn.ANCHORARRAY($CP$15), 1 + INT((ROWS($DO$15:$DO187) - 1) / ROWS(_xlfn.ANCHORARRAY($CP$15))))</f>
        <v>9</v>
      </c>
      <c r="DO187" cm="1">
        <f t="array" aca="1" ref="DO187" ca="1">INDEX(_xlfn.ANCHORARRAY($CP$15),1+MOD(ROWS($DO$15:$DO187)-1,ROWS(_xlfn.ANCHORARRAY($CP$15))))</f>
        <v>1</v>
      </c>
      <c r="DP187" s="10" cm="1">
        <f t="array" aca="1" ref="DP187" ca="1">(1-$B$18)*SUMPRODUCT(OFFSET($BO$15,0,0,$B$14,1), 1*(_xlfn._xlws.FILTER(OFFSET($O$15,0,$DN187,$B$8,1),OFFSET($M$15,0,0,$B$8,1))=DP$13), 1*(_xlfn._xlws.FILTER(OFFSET($O$15,0,$DO187,$B$8,1),OFFSET($M$15,0,0,$B$8,1))=DP$14))   /   SUM(OFFSET($BO$15,0,0,$B$14,1)) + $B$18/($B$19*$B$19*($DN187&lt;&gt;$DO187) + $B$19*($DN187=$DO187))</f>
        <v>3.7037037037037035E-4</v>
      </c>
      <c r="DQ187" s="10" cm="1">
        <f t="array" aca="1" ref="DQ187" ca="1">(1-$B$18)*SUMPRODUCT(OFFSET($BO$15,0,0,$B$14,1), 1*(_xlfn._xlws.FILTER(OFFSET($O$15,0,$DN187,$B$8,1),OFFSET($M$15,0,0,$B$8,1))=DQ$13), 1*(_xlfn._xlws.FILTER(OFFSET($O$15,0,$DO187,$B$8,1),OFFSET($M$15,0,0,$B$8,1))=DQ$14))   /   SUM(OFFSET($BO$15,0,0,$B$14,1)) + $B$18/($B$19*$B$19*($DN187&lt;&gt;$DO187) + $B$19*($DN187=$DO187))</f>
        <v>3.7037037037037035E-4</v>
      </c>
      <c r="DR187" s="10" cm="1">
        <f t="array" aca="1" ref="DR187" ca="1">(1-$B$18)*SUMPRODUCT(OFFSET($BO$15,0,0,$B$14,1), 1*(_xlfn._xlws.FILTER(OFFSET($O$15,0,$DN187,$B$8,1),OFFSET($M$15,0,0,$B$8,1))=DR$13), 1*(_xlfn._xlws.FILTER(OFFSET($O$15,0,$DO187,$B$8,1),OFFSET($M$15,0,0,$B$8,1))=DR$14))   /   SUM(OFFSET($BO$15,0,0,$B$14,1)) + $B$18/($B$19*$B$19*($DN187&lt;&gt;$DO187) + $B$19*($DN187=$DO187))</f>
        <v>3.7037037037037035E-4</v>
      </c>
      <c r="DS187" s="10" cm="1">
        <f t="array" aca="1" ref="DS187" ca="1">(1-$B$18)*SUMPRODUCT(OFFSET($BO$15,0,0,$B$14,1), 1*(_xlfn._xlws.FILTER(OFFSET($O$15,0,$DN187,$B$8,1),OFFSET($M$15,0,0,$B$8,1))=DS$13), 1*(_xlfn._xlws.FILTER(OFFSET($O$15,0,$DO187,$B$8,1),OFFSET($M$15,0,0,$B$8,1))=DS$14))   /   SUM(OFFSET($BO$15,0,0,$B$14,1)) + $B$18/($B$19*$B$19*($DN187&lt;&gt;$DO187) + $B$19*($DN187=$DO187))</f>
        <v>3.7037037037037035E-4</v>
      </c>
      <c r="DT187" s="10" cm="1">
        <f t="array" aca="1" ref="DT187" ca="1">(1-$B$18)*SUMPRODUCT(OFFSET($BO$15,0,0,$B$14,1), 1*(_xlfn._xlws.FILTER(OFFSET($O$15,0,$DN187,$B$8,1),OFFSET($M$15,0,0,$B$8,1))=DT$13), 1*(_xlfn._xlws.FILTER(OFFSET($O$15,0,$DO187,$B$8,1),OFFSET($M$15,0,0,$B$8,1))=DT$14))   /   SUM(OFFSET($BO$15,0,0,$B$14,1)) + $B$18/($B$19*$B$19*($DN187&lt;&gt;$DO187) + $B$19*($DN187=$DO187))</f>
        <v>3.7037037037037035E-4</v>
      </c>
      <c r="DU187" s="10" cm="1">
        <f t="array" aca="1" ref="DU187" ca="1">(1-$B$18)*SUMPRODUCT(OFFSET($BO$15,0,0,$B$14,1), 1*(_xlfn._xlws.FILTER(OFFSET($O$15,0,$DN187,$B$8,1),OFFSET($M$15,0,0,$B$8,1))=DU$13), 1*(_xlfn._xlws.FILTER(OFFSET($O$15,0,$DO187,$B$8,1),OFFSET($M$15,0,0,$B$8,1))=DU$14))   /   SUM(OFFSET($BO$15,0,0,$B$14,1)) + $B$18/($B$19*$B$19*($DN187&lt;&gt;$DO187) + $B$19*($DN187=$DO187))</f>
        <v>3.7037037037037035E-4</v>
      </c>
      <c r="DV187" s="10" cm="1">
        <f t="array" aca="1" ref="DV187" ca="1">(1-$B$18)*SUMPRODUCT(OFFSET($BO$15,0,0,$B$14,1), 1*(_xlfn._xlws.FILTER(OFFSET($O$15,0,$DN187,$B$8,1),OFFSET($M$15,0,0,$B$8,1))=DV$13), 1*(_xlfn._xlws.FILTER(OFFSET($O$15,0,$DO187,$B$8,1),OFFSET($M$15,0,0,$B$8,1))=DV$14))   /   SUM(OFFSET($BO$15,0,0,$B$14,1)) + $B$18/($B$19*$B$19*($DN187&lt;&gt;$DO187) + $B$19*($DN187=$DO187))</f>
        <v>3.7037037037037035E-4</v>
      </c>
      <c r="DW187" s="10" cm="1">
        <f t="array" aca="1" ref="DW187" ca="1">(1-$B$18)*SUMPRODUCT(OFFSET($BO$15,0,0,$B$14,1), 1*(_xlfn._xlws.FILTER(OFFSET($O$15,0,$DN187,$B$8,1),OFFSET($M$15,0,0,$B$8,1))=DW$13), 1*(_xlfn._xlws.FILTER(OFFSET($O$15,0,$DO187,$B$8,1),OFFSET($M$15,0,0,$B$8,1))=DW$14))   /   SUM(OFFSET($BO$15,0,0,$B$14,1)) + $B$18/($B$19*$B$19*($DN187&lt;&gt;$DO187) + $B$19*($DN187=$DO187))</f>
        <v>3.7037037037037035E-4</v>
      </c>
      <c r="DX187" s="10" cm="1">
        <f t="array" aca="1" ref="DX187" ca="1">(1-$B$18)*SUMPRODUCT(OFFSET($BO$15,0,0,$B$14,1), 1*(_xlfn._xlws.FILTER(OFFSET($O$15,0,$DN187,$B$8,1),OFFSET($M$15,0,0,$B$8,1))=DX$13), 1*(_xlfn._xlws.FILTER(OFFSET($O$15,0,$DO187,$B$8,1),OFFSET($M$15,0,0,$B$8,1))=DX$14))   /   SUM(OFFSET($BO$15,0,0,$B$14,1)) + $B$18/($B$19*$B$19*($DN187&lt;&gt;$DO187) + $B$19*($DN187=$DO187))</f>
        <v>3.7037037037037035E-4</v>
      </c>
      <c r="DY187" s="10" cm="1">
        <f t="array" aca="1" ref="DY187" ca="1">(1-$B$18)*SUMPRODUCT(OFFSET($BO$15,0,0,$B$14,1), 1*(_xlfn._xlws.FILTER(OFFSET($O$15,0,$DN187,$B$8,1),OFFSET($M$15,0,0,$B$8,1))=DY$13), 1*(_xlfn._xlws.FILTER(OFFSET($O$15,0,$DO187,$B$8,1),OFFSET($M$15,0,0,$B$8,1))=DY$14))   /   SUM(OFFSET($BO$15,0,0,$B$14,1)) + $B$18/($B$19*$B$19*($DN187&lt;&gt;$DO187) + $B$19*($DN187=$DO187))</f>
        <v>3.7037037037037035E-4</v>
      </c>
      <c r="DZ187" s="10" cm="1">
        <f t="array" aca="1" ref="DZ187" ca="1">(1-$B$18)*SUMPRODUCT(OFFSET($BO$15,0,0,$B$14,1), 1*(_xlfn._xlws.FILTER(OFFSET($O$15,0,$DN187,$B$8,1),OFFSET($M$15,0,0,$B$8,1))=DZ$13), 1*(_xlfn._xlws.FILTER(OFFSET($O$15,0,$DO187,$B$8,1),OFFSET($M$15,0,0,$B$8,1))=DZ$14))   /   SUM(OFFSET($BO$15,0,0,$B$14,1)) + $B$18/($B$19*$B$19*($DN187&lt;&gt;$DO187) + $B$19*($DN187=$DO187))</f>
        <v>3.7037037037037035E-4</v>
      </c>
      <c r="EA187" s="10" cm="1">
        <f t="array" aca="1" ref="EA187" ca="1">(1-$B$18)*SUMPRODUCT(OFFSET($BO$15,0,0,$B$14,1), 1*(_xlfn._xlws.FILTER(OFFSET($O$15,0,$DN187,$B$8,1),OFFSET($M$15,0,0,$B$8,1))=EA$13), 1*(_xlfn._xlws.FILTER(OFFSET($O$15,0,$DO187,$B$8,1),OFFSET($M$15,0,0,$B$8,1))=EA$14))   /   SUM(OFFSET($BO$15,0,0,$B$14,1)) + $B$18/($B$19*$B$19*($DN187&lt;&gt;$DO187) + $B$19*($DN187=$DO187))</f>
        <v>3.7037037037037035E-4</v>
      </c>
      <c r="EB187" s="10" cm="1">
        <f t="array" aca="1" ref="EB187" ca="1">(1-$B$18)*SUMPRODUCT(OFFSET($BO$15,0,0,$B$14,1), 1*(_xlfn._xlws.FILTER(OFFSET($O$15,0,$DN187,$B$8,1),OFFSET($M$15,0,0,$B$8,1))=EB$13), 1*(_xlfn._xlws.FILTER(OFFSET($O$15,0,$DO187,$B$8,1),OFFSET($M$15,0,0,$B$8,1))=EB$14))   /   SUM(OFFSET($BO$15,0,0,$B$14,1)) + $B$18/($B$19*$B$19*($DN187&lt;&gt;$DO187) + $B$19*($DN187=$DO187))</f>
        <v>3.7037037037037035E-4</v>
      </c>
      <c r="EC187" s="10" cm="1">
        <f t="array" aca="1" ref="EC187" ca="1">(1-$B$18)*SUMPRODUCT(OFFSET($BO$15,0,0,$B$14,1), 1*(_xlfn._xlws.FILTER(OFFSET($O$15,0,$DN187,$B$8,1),OFFSET($M$15,0,0,$B$8,1))=EC$13), 1*(_xlfn._xlws.FILTER(OFFSET($O$15,0,$DO187,$B$8,1),OFFSET($M$15,0,0,$B$8,1))=EC$14))   /   SUM(OFFSET($BO$15,0,0,$B$14,1)) + $B$18/($B$19*$B$19*($DN187&lt;&gt;$DO187) + $B$19*($DN187=$DO187))</f>
        <v>3.7037037037037035E-4</v>
      </c>
      <c r="ED187" s="10" cm="1">
        <f t="array" aca="1" ref="ED187" ca="1">(1-$B$18)*SUMPRODUCT(OFFSET($BO$15,0,0,$B$14,1), 1*(_xlfn._xlws.FILTER(OFFSET($O$15,0,$DN187,$B$8,1),OFFSET($M$15,0,0,$B$8,1))=ED$13), 1*(_xlfn._xlws.FILTER(OFFSET($O$15,0,$DO187,$B$8,1),OFFSET($M$15,0,0,$B$8,1))=ED$14))   /   SUM(OFFSET($BO$15,0,0,$B$14,1)) + $B$18/($B$19*$B$19*($DN187&lt;&gt;$DO187) + $B$19*($DN187=$DO187))</f>
        <v>3.7037037037037035E-4</v>
      </c>
      <c r="EE187" s="10" cm="1">
        <f t="array" aca="1" ref="EE187" ca="1">(1-$B$18)*SUMPRODUCT(OFFSET($BO$15,0,0,$B$14,1), 1*(_xlfn._xlws.FILTER(OFFSET($O$15,0,$DN187,$B$8,1),OFFSET($M$15,0,0,$B$8,1))=EE$13), 1*(_xlfn._xlws.FILTER(OFFSET($O$15,0,$DO187,$B$8,1),OFFSET($M$15,0,0,$B$8,1))=EE$14))   /   SUM(OFFSET($BO$15,0,0,$B$14,1)) + $B$18/($B$19*$B$19*($DN187&lt;&gt;$DO187) + $B$19*($DN187=$DO187))</f>
        <v>3.7037037037037035E-4</v>
      </c>
      <c r="EF187" s="10" cm="1">
        <f t="array" aca="1" ref="EF187" ca="1">(1-$B$18)*SUMPRODUCT(OFFSET($BO$15,0,0,$B$14,1), 1*(_xlfn._xlws.FILTER(OFFSET($O$15,0,$DN187,$B$8,1),OFFSET($M$15,0,0,$B$8,1))=EF$13), 1*(_xlfn._xlws.FILTER(OFFSET($O$15,0,$DO187,$B$8,1),OFFSET($M$15,0,0,$B$8,1))=EF$14))   /   SUM(OFFSET($BO$15,0,0,$B$14,1)) + $B$18/($B$19*$B$19*($DN187&lt;&gt;$DO187) + $B$19*($DN187=$DO187))</f>
        <v>3.7037037037037035E-4</v>
      </c>
      <c r="EG187" s="10" cm="1">
        <f t="array" aca="1" ref="EG187" ca="1">(1-$B$18)*SUMPRODUCT(OFFSET($BO$15,0,0,$B$14,1), 1*(_xlfn._xlws.FILTER(OFFSET($O$15,0,$DN187,$B$8,1),OFFSET($M$15,0,0,$B$8,1))=EG$13), 1*(_xlfn._xlws.FILTER(OFFSET($O$15,0,$DO187,$B$8,1),OFFSET($M$15,0,0,$B$8,1))=EG$14))   /   SUM(OFFSET($BO$15,0,0,$B$14,1)) + $B$18/($B$19*$B$19*($DN187&lt;&gt;$DO187) + $B$19*($DN187=$DO187))</f>
        <v>3.7037037037037035E-4</v>
      </c>
      <c r="EH187" s="10" cm="1">
        <f t="array" aca="1" ref="EH187" ca="1">(1-$B$18)*SUMPRODUCT(OFFSET($BO$15,0,0,$B$14,1), 1*(_xlfn._xlws.FILTER(OFFSET($O$15,0,$DN187,$B$8,1),OFFSET($M$15,0,0,$B$8,1))=EH$13), 1*(_xlfn._xlws.FILTER(OFFSET($O$15,0,$DO187,$B$8,1),OFFSET($M$15,0,0,$B$8,1))=EH$14))   /   SUM(OFFSET($BO$15,0,0,$B$14,1)) + $B$18/($B$19*$B$19*($DN187&lt;&gt;$DO187) + $B$19*($DN187=$DO187))</f>
        <v>3.7037037037037035E-4</v>
      </c>
      <c r="EI187" s="10" cm="1">
        <f t="array" aca="1" ref="EI187" ca="1">(1-$B$18)*SUMPRODUCT(OFFSET($BO$15,0,0,$B$14,1), 1*(_xlfn._xlws.FILTER(OFFSET($O$15,0,$DN187,$B$8,1),OFFSET($M$15,0,0,$B$8,1))=EI$13), 1*(_xlfn._xlws.FILTER(OFFSET($O$15,0,$DO187,$B$8,1),OFFSET($M$15,0,0,$B$8,1))=EI$14))   /   SUM(OFFSET($BO$15,0,0,$B$14,1)) + $B$18/($B$19*$B$19*($DN187&lt;&gt;$DO187) + $B$19*($DN187=$DO187))</f>
        <v>3.7037037037037035E-4</v>
      </c>
      <c r="EJ187" s="10" cm="1">
        <f t="array" aca="1" ref="EJ187" ca="1">(1-$B$18)*SUMPRODUCT(OFFSET($BO$15,0,0,$B$14,1), 1*(_xlfn._xlws.FILTER(OFFSET($O$15,0,$DN187,$B$8,1),OFFSET($M$15,0,0,$B$8,1))=EJ$13), 1*(_xlfn._xlws.FILTER(OFFSET($O$15,0,$DO187,$B$8,1),OFFSET($M$15,0,0,$B$8,1))=EJ$14))   /   SUM(OFFSET($BO$15,0,0,$B$14,1)) + $B$18/($B$19*$B$19*($DN187&lt;&gt;$DO187) + $B$19*($DN187=$DO187))</f>
        <v>3.7037037037037035E-4</v>
      </c>
      <c r="EK187" s="10" cm="1">
        <f t="array" aca="1" ref="EK187" ca="1">(1-$B$18)*SUMPRODUCT(OFFSET($BO$15,0,0,$B$14,1), 1*(_xlfn._xlws.FILTER(OFFSET($O$15,0,$DN187,$B$8,1),OFFSET($M$15,0,0,$B$8,1))=EK$13), 1*(_xlfn._xlws.FILTER(OFFSET($O$15,0,$DO187,$B$8,1),OFFSET($M$15,0,0,$B$8,1))=EK$14))   /   SUM(OFFSET($BO$15,0,0,$B$14,1)) + $B$18/($B$19*$B$19*($DN187&lt;&gt;$DO187) + $B$19*($DN187=$DO187))</f>
        <v>3.7037037037037035E-4</v>
      </c>
      <c r="EL187" s="10" cm="1">
        <f t="array" aca="1" ref="EL187" ca="1">(1-$B$18)*SUMPRODUCT(OFFSET($BO$15,0,0,$B$14,1), 1*(_xlfn._xlws.FILTER(OFFSET($O$15,0,$DN187,$B$8,1),OFFSET($M$15,0,0,$B$8,1))=EL$13), 1*(_xlfn._xlws.FILTER(OFFSET($O$15,0,$DO187,$B$8,1),OFFSET($M$15,0,0,$B$8,1))=EL$14))   /   SUM(OFFSET($BO$15,0,0,$B$14,1)) + $B$18/($B$19*$B$19*($DN187&lt;&gt;$DO187) + $B$19*($DN187=$DO187))</f>
        <v>3.7037037037037035E-4</v>
      </c>
      <c r="EM187" s="10" cm="1">
        <f t="array" aca="1" ref="EM187" ca="1">(1-$B$18)*SUMPRODUCT(OFFSET($BO$15,0,0,$B$14,1), 1*(_xlfn._xlws.FILTER(OFFSET($O$15,0,$DN187,$B$8,1),OFFSET($M$15,0,0,$B$8,1))=EM$13), 1*(_xlfn._xlws.FILTER(OFFSET($O$15,0,$DO187,$B$8,1),OFFSET($M$15,0,0,$B$8,1))=EM$14))   /   SUM(OFFSET($BO$15,0,0,$B$14,1)) + $B$18/($B$19*$B$19*($DN187&lt;&gt;$DO187) + $B$19*($DN187=$DO187))</f>
        <v>3.7037037037037035E-4</v>
      </c>
      <c r="EN187" s="10" cm="1">
        <f t="array" aca="1" ref="EN187" ca="1">(1-$B$18)*SUMPRODUCT(OFFSET($BO$15,0,0,$B$14,1), 1*(_xlfn._xlws.FILTER(OFFSET($O$15,0,$DN187,$B$8,1),OFFSET($M$15,0,0,$B$8,1))=EN$13), 1*(_xlfn._xlws.FILTER(OFFSET($O$15,0,$DO187,$B$8,1),OFFSET($M$15,0,0,$B$8,1))=EN$14))   /   SUM(OFFSET($BO$15,0,0,$B$14,1)) + $B$18/($B$19*$B$19*($DN187&lt;&gt;$DO187) + $B$19*($DN187=$DO187))</f>
        <v>3.7037037037037035E-4</v>
      </c>
      <c r="EO187" s="10" cm="1">
        <f t="array" aca="1" ref="EO187" ca="1">(1-$B$18)*SUMPRODUCT(OFFSET($BO$15,0,0,$B$14,1), 1*(_xlfn._xlws.FILTER(OFFSET($O$15,0,$DN187,$B$8,1),OFFSET($M$15,0,0,$B$8,1))=EO$13), 1*(_xlfn._xlws.FILTER(OFFSET($O$15,0,$DO187,$B$8,1),OFFSET($M$15,0,0,$B$8,1))=EO$14))   /   SUM(OFFSET($BO$15,0,0,$B$14,1)) + $B$18/($B$19*$B$19*($DN187&lt;&gt;$DO187) + $B$19*($DN187=$DO187))</f>
        <v>3.7037037037037035E-4</v>
      </c>
      <c r="EP187" s="10" cm="1">
        <f t="array" aca="1" ref="EP187" ca="1">(1-$B$18)*SUMPRODUCT(OFFSET($BO$15,0,0,$B$14,1), 1*(_xlfn._xlws.FILTER(OFFSET($O$15,0,$DN187,$B$8,1),OFFSET($M$15,0,0,$B$8,1))=EP$13), 1*(_xlfn._xlws.FILTER(OFFSET($O$15,0,$DO187,$B$8,1),OFFSET($M$15,0,0,$B$8,1))=EP$14))   /   SUM(OFFSET($BO$15,0,0,$B$14,1)) + $B$18/($B$19*$B$19*($DN187&lt;&gt;$DO187) + $B$19*($DN187=$DO187))</f>
        <v>3.7037037037037035E-4</v>
      </c>
      <c r="EQ187" s="10" cm="1">
        <f t="array" aca="1" ref="EQ187" ca="1">(1-$B$18)*SUMPRODUCT(OFFSET($BO$15,0,0,$B$14,1), 1*(_xlfn._xlws.FILTER(OFFSET($O$15,0,$DN187,$B$8,1),OFFSET($M$15,0,0,$B$8,1))=EQ$13), 1*(_xlfn._xlws.FILTER(OFFSET($O$15,0,$DO187,$B$8,1),OFFSET($M$15,0,0,$B$8,1))=EQ$14))   /   SUM(OFFSET($BO$15,0,0,$B$14,1)) + $B$18/($B$19*$B$19*($DN187&lt;&gt;$DO187) + $B$19*($DN187=$DO187))</f>
        <v>3.7037037037037035E-4</v>
      </c>
      <c r="ER187" s="10" cm="1">
        <f t="array" aca="1" ref="ER187" ca="1">(1-$B$18)*SUMPRODUCT(OFFSET($BO$15,0,0,$B$14,1), 1*(_xlfn._xlws.FILTER(OFFSET($O$15,0,$DN187,$B$8,1),OFFSET($M$15,0,0,$B$8,1))=ER$13), 1*(_xlfn._xlws.FILTER(OFFSET($O$15,0,$DO187,$B$8,1),OFFSET($M$15,0,0,$B$8,1))=ER$14))   /   SUM(OFFSET($BO$15,0,0,$B$14,1)) + $B$18/($B$19*$B$19*($DN187&lt;&gt;$DO187) + $B$19*($DN187=$DO187))</f>
        <v>3.7037037037037035E-4</v>
      </c>
      <c r="ES187" s="10" cm="1">
        <f t="array" aca="1" ref="ES187" ca="1">(1-$B$18)*SUMPRODUCT(OFFSET($BO$15,0,0,$B$14,1), 1*(_xlfn._xlws.FILTER(OFFSET($O$15,0,$DN187,$B$8,1),OFFSET($M$15,0,0,$B$8,1))=ES$13), 1*(_xlfn._xlws.FILTER(OFFSET($O$15,0,$DO187,$B$8,1),OFFSET($M$15,0,0,$B$8,1))=ES$14))   /   SUM(OFFSET($BO$15,0,0,$B$14,1)) + $B$18/($B$19*$B$19*($DN187&lt;&gt;$DO187) + $B$19*($DN187=$DO187))</f>
        <v>3.7037037037037035E-4</v>
      </c>
      <c r="ET187" s="10" cm="1">
        <f t="array" aca="1" ref="ET187" ca="1">(1-$B$18)*SUMPRODUCT(OFFSET($BO$15,0,0,$B$14,1), 1*(_xlfn._xlws.FILTER(OFFSET($O$15,0,$DN187,$B$8,1),OFFSET($M$15,0,0,$B$8,1))=ET$13), 1*(_xlfn._xlws.FILTER(OFFSET($O$15,0,$DO187,$B$8,1),OFFSET($M$15,0,0,$B$8,1))=ET$14))   /   SUM(OFFSET($BO$15,0,0,$B$14,1)) + $B$18/($B$19*$B$19*($DN187&lt;&gt;$DO187) + $B$19*($DN187=$DO187))</f>
        <v>3.7037037037037035E-4</v>
      </c>
      <c r="EU187" s="10" cm="1">
        <f t="array" aca="1" ref="EU187" ca="1">(1-$B$18)*SUMPRODUCT(OFFSET($BO$15,0,0,$B$14,1), 1*(_xlfn._xlws.FILTER(OFFSET($O$15,0,$DN187,$B$8,1),OFFSET($M$15,0,0,$B$8,1))=EU$13), 1*(_xlfn._xlws.FILTER(OFFSET($O$15,0,$DO187,$B$8,1),OFFSET($M$15,0,0,$B$8,1))=EU$14))   /   SUM(OFFSET($BO$15,0,0,$B$14,1)) + $B$18/($B$19*$B$19*($DN187&lt;&gt;$DO187) + $B$19*($DN187=$DO187))</f>
        <v>3.7037037037037035E-4</v>
      </c>
      <c r="EV187" s="10" cm="1">
        <f t="array" aca="1" ref="EV187" ca="1">(1-$B$18)*SUMPRODUCT(OFFSET($BO$15,0,0,$B$14,1), 1*(_xlfn._xlws.FILTER(OFFSET($O$15,0,$DN187,$B$8,1),OFFSET($M$15,0,0,$B$8,1))=EV$13), 1*(_xlfn._xlws.FILTER(OFFSET($O$15,0,$DO187,$B$8,1),OFFSET($M$15,0,0,$B$8,1))=EV$14))   /   SUM(OFFSET($BO$15,0,0,$B$14,1)) + $B$18/($B$19*$B$19*($DN187&lt;&gt;$DO187) + $B$19*($DN187=$DO187))</f>
        <v>3.7037037037037035E-4</v>
      </c>
      <c r="EW187" s="10" cm="1">
        <f t="array" aca="1" ref="EW187" ca="1">(1-$B$18)*SUMPRODUCT(OFFSET($BO$15,0,0,$B$14,1), 1*(_xlfn._xlws.FILTER(OFFSET($O$15,0,$DN187,$B$8,1),OFFSET($M$15,0,0,$B$8,1))=EW$13), 1*(_xlfn._xlws.FILTER(OFFSET($O$15,0,$DO187,$B$8,1),OFFSET($M$15,0,0,$B$8,1))=EW$14))   /   SUM(OFFSET($BO$15,0,0,$B$14,1)) + $B$18/($B$19*$B$19*($DN187&lt;&gt;$DO187) + $B$19*($DN187=$DO187))</f>
        <v>3.7037037037037035E-4</v>
      </c>
      <c r="EX187" s="10" cm="1">
        <f t="array" aca="1" ref="EX187" ca="1">(1-$B$18)*SUMPRODUCT(OFFSET($BO$15,0,0,$B$14,1), 1*(_xlfn._xlws.FILTER(OFFSET($O$15,0,$DN187,$B$8,1),OFFSET($M$15,0,0,$B$8,1))=EX$13), 1*(_xlfn._xlws.FILTER(OFFSET($O$15,0,$DO187,$B$8,1),OFFSET($M$15,0,0,$B$8,1))=EX$14))   /   SUM(OFFSET($BO$15,0,0,$B$14,1)) + $B$18/($B$19*$B$19*($DN187&lt;&gt;$DO187) + $B$19*($DN187=$DO187))</f>
        <v>3.7037037037037035E-4</v>
      </c>
      <c r="EY187" s="10" cm="1">
        <f t="array" aca="1" ref="EY187" ca="1">(1-$B$18)*SUMPRODUCT(OFFSET($BO$15,0,0,$B$14,1), 1*(_xlfn._xlws.FILTER(OFFSET($O$15,0,$DN187,$B$8,1),OFFSET($M$15,0,0,$B$8,1))=EY$13), 1*(_xlfn._xlws.FILTER(OFFSET($O$15,0,$DO187,$B$8,1),OFFSET($M$15,0,0,$B$8,1))=EY$14))   /   SUM(OFFSET($BO$15,0,0,$B$14,1)) + $B$18/($B$19*$B$19*($DN187&lt;&gt;$DO187) + $B$19*($DN187=$DO187))</f>
        <v>3.7037037037037035E-4</v>
      </c>
      <c r="EZ187" s="10" cm="1">
        <f t="array" aca="1" ref="EZ187" ca="1">(1-$B$18)*SUMPRODUCT(OFFSET($BO$15,0,0,$B$14,1), 1*(_xlfn._xlws.FILTER(OFFSET($O$15,0,$DN187,$B$8,1),OFFSET($M$15,0,0,$B$8,1))=EZ$13), 1*(_xlfn._xlws.FILTER(OFFSET($O$15,0,$DO187,$B$8,1),OFFSET($M$15,0,0,$B$8,1))=EZ$14))   /   SUM(OFFSET($BO$15,0,0,$B$14,1)) + $B$18/($B$19*$B$19*($DN187&lt;&gt;$DO187) + $B$19*($DN187=$DO187))</f>
        <v>3.7037037037037035E-4</v>
      </c>
      <c r="FA187" s="10" cm="1">
        <f t="array" aca="1" ref="FA187" ca="1">(1-$B$18)*SUMPRODUCT(OFFSET($BO$15,0,0,$B$14,1), 1*(_xlfn._xlws.FILTER(OFFSET($O$15,0,$DN187,$B$8,1),OFFSET($M$15,0,0,$B$8,1))=FA$13), 1*(_xlfn._xlws.FILTER(OFFSET($O$15,0,$DO187,$B$8,1),OFFSET($M$15,0,0,$B$8,1))=FA$14))   /   SUM(OFFSET($BO$15,0,0,$B$14,1)) + $B$18/($B$19*$B$19*($DN187&lt;&gt;$DO187) + $B$19*($DN187=$DO187))</f>
        <v>3.7037037037037035E-4</v>
      </c>
      <c r="FB187" s="10" cm="1">
        <f t="array" aca="1" ref="FB187" ca="1">(1-$B$18)*SUMPRODUCT(OFFSET($BO$15,0,0,$B$14,1), 1*(_xlfn._xlws.FILTER(OFFSET($O$15,0,$DN187,$B$8,1),OFFSET($M$15,0,0,$B$8,1))=FB$13), 1*(_xlfn._xlws.FILTER(OFFSET($O$15,0,$DO187,$B$8,1),OFFSET($M$15,0,0,$B$8,1))=FB$14))   /   SUM(OFFSET($BO$15,0,0,$B$14,1)) + $B$18/($B$19*$B$19*($DN187&lt;&gt;$DO187) + $B$19*($DN187=$DO187))</f>
        <v>3.7037037037037035E-4</v>
      </c>
      <c r="FC187" s="10" cm="1">
        <f t="array" aca="1" ref="FC187" ca="1">(1-$B$18)*SUMPRODUCT(OFFSET($BO$15,0,0,$B$14,1), 1*(_xlfn._xlws.FILTER(OFFSET($O$15,0,$DN187,$B$8,1),OFFSET($M$15,0,0,$B$8,1))=FC$13), 1*(_xlfn._xlws.FILTER(OFFSET($O$15,0,$DO187,$B$8,1),OFFSET($M$15,0,0,$B$8,1))=FC$14))   /   SUM(OFFSET($BO$15,0,0,$B$14,1)) + $B$18/($B$19*$B$19*($DN187&lt;&gt;$DO187) + $B$19*($DN187=$DO187))</f>
        <v>3.7037037037037035E-4</v>
      </c>
      <c r="FD187" s="10" cm="1">
        <f t="array" aca="1" ref="FD187" ca="1">(1-$B$18)*SUMPRODUCT(OFFSET($BO$15,0,0,$B$14,1), 1*(_xlfn._xlws.FILTER(OFFSET($O$15,0,$DN187,$B$8,1),OFFSET($M$15,0,0,$B$8,1))=FD$13), 1*(_xlfn._xlws.FILTER(OFFSET($O$15,0,$DO187,$B$8,1),OFFSET($M$15,0,0,$B$8,1))=FD$14))   /   SUM(OFFSET($BO$15,0,0,$B$14,1)) + $B$18/($B$19*$B$19*($DN187&lt;&gt;$DO187) + $B$19*($DN187=$DO187))</f>
        <v>3.7037037037037035E-4</v>
      </c>
      <c r="FE187" s="10" cm="1">
        <f t="array" aca="1" ref="FE187" ca="1">(1-$B$18)*SUMPRODUCT(OFFSET($BO$15,0,0,$B$14,1), 1*(_xlfn._xlws.FILTER(OFFSET($O$15,0,$DN187,$B$8,1),OFFSET($M$15,0,0,$B$8,1))=FE$13), 1*(_xlfn._xlws.FILTER(OFFSET($O$15,0,$DO187,$B$8,1),OFFSET($M$15,0,0,$B$8,1))=FE$14))   /   SUM(OFFSET($BO$15,0,0,$B$14,1)) + $B$18/($B$19*$B$19*($DN187&lt;&gt;$DO187) + $B$19*($DN187=$DO187))</f>
        <v>3.7037037037037035E-4</v>
      </c>
      <c r="FF187" s="10" cm="1">
        <f t="array" aca="1" ref="FF187" ca="1">(1-$B$18)*SUMPRODUCT(OFFSET($BO$15,0,0,$B$14,1), 1*(_xlfn._xlws.FILTER(OFFSET($O$15,0,$DN187,$B$8,1),OFFSET($M$15,0,0,$B$8,1))=FF$13), 1*(_xlfn._xlws.FILTER(OFFSET($O$15,0,$DO187,$B$8,1),OFFSET($M$15,0,0,$B$8,1))=FF$14))   /   SUM(OFFSET($BO$15,0,0,$B$14,1)) + $B$18/($B$19*$B$19*($DN187&lt;&gt;$DO187) + $B$19*($DN187=$DO187))</f>
        <v>3.7037037037037035E-4</v>
      </c>
      <c r="FG187" s="10" cm="1">
        <f t="array" aca="1" ref="FG187" ca="1">(1-$B$18)*SUMPRODUCT(OFFSET($BO$15,0,0,$B$14,1), 1*(_xlfn._xlws.FILTER(OFFSET($O$15,0,$DN187,$B$8,1),OFFSET($M$15,0,0,$B$8,1))=FG$13), 1*(_xlfn._xlws.FILTER(OFFSET($O$15,0,$DO187,$B$8,1),OFFSET($M$15,0,0,$B$8,1))=FG$14))   /   SUM(OFFSET($BO$15,0,0,$B$14,1)) + $B$18/($B$19*$B$19*($DN187&lt;&gt;$DO187) + $B$19*($DN187=$DO187))</f>
        <v>3.7037037037037035E-4</v>
      </c>
      <c r="FH187" s="10" cm="1">
        <f t="array" aca="1" ref="FH187" ca="1">(1-$B$18)*SUMPRODUCT(OFFSET($BO$15,0,0,$B$14,1), 1*(_xlfn._xlws.FILTER(OFFSET($O$15,0,$DN187,$B$8,1),OFFSET($M$15,0,0,$B$8,1))=FH$13), 1*(_xlfn._xlws.FILTER(OFFSET($O$15,0,$DO187,$B$8,1),OFFSET($M$15,0,0,$B$8,1))=FH$14))   /   SUM(OFFSET($BO$15,0,0,$B$14,1)) + $B$18/($B$19*$B$19*($DN187&lt;&gt;$DO187) + $B$19*($DN187=$DO187))</f>
        <v>3.7037037037037035E-4</v>
      </c>
      <c r="FI187" s="10" cm="1">
        <f t="array" aca="1" ref="FI187" ca="1">(1-$B$18)*SUMPRODUCT(OFFSET($BO$15,0,0,$B$14,1), 1*(_xlfn._xlws.FILTER(OFFSET($O$15,0,$DN187,$B$8,1),OFFSET($M$15,0,0,$B$8,1))=FI$13), 1*(_xlfn._xlws.FILTER(OFFSET($O$15,0,$DO187,$B$8,1),OFFSET($M$15,0,0,$B$8,1))=FI$14))   /   SUM(OFFSET($BO$15,0,0,$B$14,1)) + $B$18/($B$19*$B$19*($DN187&lt;&gt;$DO187) + $B$19*($DN187=$DO187))</f>
        <v>3.7037037037037035E-4</v>
      </c>
      <c r="FJ187" s="10" cm="1">
        <f t="array" aca="1" ref="FJ187" ca="1">(1-$B$18)*SUMPRODUCT(OFFSET($BO$15,0,0,$B$14,1), 1*(_xlfn._xlws.FILTER(OFFSET($O$15,0,$DN187,$B$8,1),OFFSET($M$15,0,0,$B$8,1))=FJ$13), 1*(_xlfn._xlws.FILTER(OFFSET($O$15,0,$DO187,$B$8,1),OFFSET($M$15,0,0,$B$8,1))=FJ$14))   /   SUM(OFFSET($BO$15,0,0,$B$14,1)) + $B$18/($B$19*$B$19*($DN187&lt;&gt;$DO187) + $B$19*($DN187=$DO187))</f>
        <v>3.7037037037037035E-4</v>
      </c>
      <c r="FK187" s="10" cm="1">
        <f t="array" aca="1" ref="FK187" ca="1">(1-$B$18)*SUMPRODUCT(OFFSET($BO$15,0,0,$B$14,1), 1*(_xlfn._xlws.FILTER(OFFSET($O$15,0,$DN187,$B$8,1),OFFSET($M$15,0,0,$B$8,1))=FK$13), 1*(_xlfn._xlws.FILTER(OFFSET($O$15,0,$DO187,$B$8,1),OFFSET($M$15,0,0,$B$8,1))=FK$14))   /   SUM(OFFSET($BO$15,0,0,$B$14,1)) + $B$18/($B$19*$B$19*($DN187&lt;&gt;$DO187) + $B$19*($DN187=$DO187))</f>
        <v>3.7037037037037035E-4</v>
      </c>
      <c r="FL187" s="10" cm="1">
        <f t="array" aca="1" ref="FL187" ca="1">(1-$B$18)*SUMPRODUCT(OFFSET($BO$15,0,0,$B$14,1), 1*(_xlfn._xlws.FILTER(OFFSET($O$15,0,$DN187,$B$8,1),OFFSET($M$15,0,0,$B$8,1))=FL$13), 1*(_xlfn._xlws.FILTER(OFFSET($O$15,0,$DO187,$B$8,1),OFFSET($M$15,0,0,$B$8,1))=FL$14))   /   SUM(OFFSET($BO$15,0,0,$B$14,1)) + $B$18/($B$19*$B$19*($DN187&lt;&gt;$DO187) + $B$19*($DN187=$DO187))</f>
        <v>3.7037037037037035E-4</v>
      </c>
      <c r="FM187" s="10" cm="1">
        <f t="array" aca="1" ref="FM187" ca="1">(1-$B$18)*SUMPRODUCT(OFFSET($BO$15,0,0,$B$14,1), 1*(_xlfn._xlws.FILTER(OFFSET($O$15,0,$DN187,$B$8,1),OFFSET($M$15,0,0,$B$8,1))=FM$13), 1*(_xlfn._xlws.FILTER(OFFSET($O$15,0,$DO187,$B$8,1),OFFSET($M$15,0,0,$B$8,1))=FM$14))   /   SUM(OFFSET($BO$15,0,0,$B$14,1)) + $B$18/($B$19*$B$19*($DN187&lt;&gt;$DO187) + $B$19*($DN187=$DO187))</f>
        <v>3.7037037037037035E-4</v>
      </c>
      <c r="FN187" s="10" cm="1">
        <f t="array" aca="1" ref="FN187" ca="1">(1-$B$18)*SUMPRODUCT(OFFSET($BO$15,0,0,$B$14,1), 1*(_xlfn._xlws.FILTER(OFFSET($O$15,0,$DN187,$B$8,1),OFFSET($M$15,0,0,$B$8,1))=FN$13), 1*(_xlfn._xlws.FILTER(OFFSET($O$15,0,$DO187,$B$8,1),OFFSET($M$15,0,0,$B$8,1))=FN$14))   /   SUM(OFFSET($BO$15,0,0,$B$14,1)) + $B$18/($B$19*$B$19*($DN187&lt;&gt;$DO187) + $B$19*($DN187=$DO187))</f>
        <v>3.7037037037037035E-4</v>
      </c>
      <c r="FO187" s="10" cm="1">
        <f t="array" aca="1" ref="FO187" ca="1">(1-$B$18)*SUMPRODUCT(OFFSET($BO$15,0,0,$B$14,1), 1*(_xlfn._xlws.FILTER(OFFSET($O$15,0,$DN187,$B$8,1),OFFSET($M$15,0,0,$B$8,1))=FO$13), 1*(_xlfn._xlws.FILTER(OFFSET($O$15,0,$DO187,$B$8,1),OFFSET($M$15,0,0,$B$8,1))=FO$14))   /   SUM(OFFSET($BO$15,0,0,$B$14,1)) + $B$18/($B$19*$B$19*($DN187&lt;&gt;$DO187) + $B$19*($DN187=$DO187))</f>
        <v>3.7037037037037035E-4</v>
      </c>
      <c r="FP187" s="10" cm="1">
        <f t="array" aca="1" ref="FP187" ca="1">(1-$B$18)*SUMPRODUCT(OFFSET($BO$15,0,0,$B$14,1), 1*(_xlfn._xlws.FILTER(OFFSET($O$15,0,$DN187,$B$8,1),OFFSET($M$15,0,0,$B$8,1))=FP$13), 1*(_xlfn._xlws.FILTER(OFFSET($O$15,0,$DO187,$B$8,1),OFFSET($M$15,0,0,$B$8,1))=FP$14))   /   SUM(OFFSET($BO$15,0,0,$B$14,1)) + $B$18/($B$19*$B$19*($DN187&lt;&gt;$DO187) + $B$19*($DN187=$DO187))</f>
        <v>3.7037037037037035E-4</v>
      </c>
      <c r="FQ187" s="10" cm="1">
        <f t="array" aca="1" ref="FQ187" ca="1">(1-$B$18)*SUMPRODUCT(OFFSET($BO$15,0,0,$B$14,1), 1*(_xlfn._xlws.FILTER(OFFSET($O$15,0,$DN187,$B$8,1),OFFSET($M$15,0,0,$B$8,1))=FQ$13), 1*(_xlfn._xlws.FILTER(OFFSET($O$15,0,$DO187,$B$8,1),OFFSET($M$15,0,0,$B$8,1))=FQ$14))   /   SUM(OFFSET($BO$15,0,0,$B$14,1)) + $B$18/($B$19*$B$19*($DN187&lt;&gt;$DO187) + $B$19*($DN187=$DO187))</f>
        <v>3.7037037037037035E-4</v>
      </c>
      <c r="FR187" s="10" cm="1">
        <f t="array" aca="1" ref="FR187" ca="1">(1-$B$18)*SUMPRODUCT(OFFSET($BO$15,0,0,$B$14,1), 1*(_xlfn._xlws.FILTER(OFFSET($O$15,0,$DN187,$B$8,1),OFFSET($M$15,0,0,$B$8,1))=FR$13), 1*(_xlfn._xlws.FILTER(OFFSET($O$15,0,$DO187,$B$8,1),OFFSET($M$15,0,0,$B$8,1))=FR$14))   /   SUM(OFFSET($BO$15,0,0,$B$14,1)) + $B$18/($B$19*$B$19*($DN187&lt;&gt;$DO187) + $B$19*($DN187=$DO187))</f>
        <v>0.97037037037037033</v>
      </c>
      <c r="FS187" s="10" cm="1">
        <f t="array" aca="1" ref="FS187" ca="1">(1-$B$18)*SUMPRODUCT(OFFSET($BO$15,0,0,$B$14,1), 1*(_xlfn._xlws.FILTER(OFFSET($O$15,0,$DN187,$B$8,1),OFFSET($M$15,0,0,$B$8,1))=FS$13), 1*(_xlfn._xlws.FILTER(OFFSET($O$15,0,$DO187,$B$8,1),OFFSET($M$15,0,0,$B$8,1))=FS$14))   /   SUM(OFFSET($BO$15,0,0,$B$14,1)) + $B$18/($B$19*$B$19*($DN187&lt;&gt;$DO187) + $B$19*($DN187=$DO187))</f>
        <v>3.7037037037037035E-4</v>
      </c>
      <c r="FT187" s="10" cm="1">
        <f t="array" aca="1" ref="FT187" ca="1">(1-$B$18)*SUMPRODUCT(OFFSET($BO$15,0,0,$B$14,1), 1*(_xlfn._xlws.FILTER(OFFSET($O$15,0,$DN187,$B$8,1),OFFSET($M$15,0,0,$B$8,1))=FT$13), 1*(_xlfn._xlws.FILTER(OFFSET($O$15,0,$DO187,$B$8,1),OFFSET($M$15,0,0,$B$8,1))=FT$14))   /   SUM(OFFSET($BO$15,0,0,$B$14,1)) + $B$18/($B$19*$B$19*($DN187&lt;&gt;$DO187) + $B$19*($DN187=$DO187))</f>
        <v>3.7037037037037035E-4</v>
      </c>
      <c r="FU187" s="10" cm="1">
        <f t="array" aca="1" ref="FU187" ca="1">(1-$B$18)*SUMPRODUCT(OFFSET($BO$15,0,0,$B$14,1), 1*(_xlfn._xlws.FILTER(OFFSET($O$15,0,$DN187,$B$8,1),OFFSET($M$15,0,0,$B$8,1))=FU$13), 1*(_xlfn._xlws.FILTER(OFFSET($O$15,0,$DO187,$B$8,1),OFFSET($M$15,0,0,$B$8,1))=FU$14))   /   SUM(OFFSET($BO$15,0,0,$B$14,1)) + $B$18/($B$19*$B$19*($DN187&lt;&gt;$DO187) + $B$19*($DN187=$DO187))</f>
        <v>3.7037037037037035E-4</v>
      </c>
      <c r="FV187" s="10" cm="1">
        <f t="array" aca="1" ref="FV187" ca="1">(1-$B$18)*SUMPRODUCT(OFFSET($BO$15,0,0,$B$14,1), 1*(_xlfn._xlws.FILTER(OFFSET($O$15,0,$DN187,$B$8,1),OFFSET($M$15,0,0,$B$8,1))=FV$13), 1*(_xlfn._xlws.FILTER(OFFSET($O$15,0,$DO187,$B$8,1),OFFSET($M$15,0,0,$B$8,1))=FV$14))   /   SUM(OFFSET($BO$15,0,0,$B$14,1)) + $B$18/($B$19*$B$19*($DN187&lt;&gt;$DO187) + $B$19*($DN187=$DO187))</f>
        <v>3.7037037037037035E-4</v>
      </c>
      <c r="FW187" s="10" cm="1">
        <f t="array" aca="1" ref="FW187" ca="1">(1-$B$18)*SUMPRODUCT(OFFSET($BO$15,0,0,$B$14,1), 1*(_xlfn._xlws.FILTER(OFFSET($O$15,0,$DN187,$B$8,1),OFFSET($M$15,0,0,$B$8,1))=FW$13), 1*(_xlfn._xlws.FILTER(OFFSET($O$15,0,$DO187,$B$8,1),OFFSET($M$15,0,0,$B$8,1))=FW$14))   /   SUM(OFFSET($BO$15,0,0,$B$14,1)) + $B$18/($B$19*$B$19*($DN187&lt;&gt;$DO187) + $B$19*($DN187=$DO187))</f>
        <v>3.7037037037037035E-4</v>
      </c>
      <c r="FX187" s="10" cm="1">
        <f t="array" aca="1" ref="FX187" ca="1">(1-$B$18)*SUMPRODUCT(OFFSET($BO$15,0,0,$B$14,1), 1*(_xlfn._xlws.FILTER(OFFSET($O$15,0,$DN187,$B$8,1),OFFSET($M$15,0,0,$B$8,1))=FX$13), 1*(_xlfn._xlws.FILTER(OFFSET($O$15,0,$DO187,$B$8,1),OFFSET($M$15,0,0,$B$8,1))=FX$14))   /   SUM(OFFSET($BO$15,0,0,$B$14,1)) + $B$18/($B$19*$B$19*($DN187&lt;&gt;$DO187) + $B$19*($DN187=$DO187))</f>
        <v>3.7037037037037035E-4</v>
      </c>
      <c r="FY187" s="10" cm="1">
        <f t="array" aca="1" ref="FY187" ca="1">(1-$B$18)*SUMPRODUCT(OFFSET($BO$15,0,0,$B$14,1), 1*(_xlfn._xlws.FILTER(OFFSET($O$15,0,$DN187,$B$8,1),OFFSET($M$15,0,0,$B$8,1))=FY$13), 1*(_xlfn._xlws.FILTER(OFFSET($O$15,0,$DO187,$B$8,1),OFFSET($M$15,0,0,$B$8,1))=FY$14))   /   SUM(OFFSET($BO$15,0,0,$B$14,1)) + $B$18/($B$19*$B$19*($DN187&lt;&gt;$DO187) + $B$19*($DN187=$DO187))</f>
        <v>3.7037037037037035E-4</v>
      </c>
      <c r="FZ187" s="10" cm="1">
        <f t="array" aca="1" ref="FZ187" ca="1">(1-$B$18)*SUMPRODUCT(OFFSET($BO$15,0,0,$B$14,1), 1*(_xlfn._xlws.FILTER(OFFSET($O$15,0,$DN187,$B$8,1),OFFSET($M$15,0,0,$B$8,1))=FZ$13), 1*(_xlfn._xlws.FILTER(OFFSET($O$15,0,$DO187,$B$8,1),OFFSET($M$15,0,0,$B$8,1))=FZ$14))   /   SUM(OFFSET($BO$15,0,0,$B$14,1)) + $B$18/($B$19*$B$19*($DN187&lt;&gt;$DO187) + $B$19*($DN187=$DO187))</f>
        <v>3.7037037037037035E-4</v>
      </c>
      <c r="GA187" s="10" cm="1">
        <f t="array" aca="1" ref="GA187" ca="1">(1-$B$18)*SUMPRODUCT(OFFSET($BO$15,0,0,$B$14,1), 1*(_xlfn._xlws.FILTER(OFFSET($O$15,0,$DN187,$B$8,1),OFFSET($M$15,0,0,$B$8,1))=GA$13), 1*(_xlfn._xlws.FILTER(OFFSET($O$15,0,$DO187,$B$8,1),OFFSET($M$15,0,0,$B$8,1))=GA$14))   /   SUM(OFFSET($BO$15,0,0,$B$14,1)) + $B$18/($B$19*$B$19*($DN187&lt;&gt;$DO187) + $B$19*($DN187=$DO187))</f>
        <v>3.7037037037037035E-4</v>
      </c>
    </row>
    <row r="188" spans="118:183" x14ac:dyDescent="0.2">
      <c r="DN188" cm="1">
        <f t="array" aca="1" ref="DN188" ca="1">INDEX(_xlfn.ANCHORARRAY($CP$15), 1 + INT((ROWS($DO$15:$DO188) - 1) / ROWS(_xlfn.ANCHORARRAY($CP$15))))</f>
        <v>9</v>
      </c>
      <c r="DO188" cm="1">
        <f t="array" aca="1" ref="DO188" ca="1">INDEX(_xlfn.ANCHORARRAY($CP$15),1+MOD(ROWS($DO$15:$DO188)-1,ROWS(_xlfn.ANCHORARRAY($CP$15))))</f>
        <v>2</v>
      </c>
      <c r="DP188" s="10" cm="1">
        <f t="array" aca="1" ref="DP188" ca="1">(1-$B$18)*SUMPRODUCT(OFFSET($BO$15,0,0,$B$14,1), 1*(_xlfn._xlws.FILTER(OFFSET($O$15,0,$DN188,$B$8,1),OFFSET($M$15,0,0,$B$8,1))=DP$13), 1*(_xlfn._xlws.FILTER(OFFSET($O$15,0,$DO188,$B$8,1),OFFSET($M$15,0,0,$B$8,1))=DP$14))   /   SUM(OFFSET($BO$15,0,0,$B$14,1)) + $B$18/($B$19*$B$19*($DN188&lt;&gt;$DO188) + $B$19*($DN188=$DO188))</f>
        <v>3.7037037037037035E-4</v>
      </c>
      <c r="DQ188" s="10" cm="1">
        <f t="array" aca="1" ref="DQ188" ca="1">(1-$B$18)*SUMPRODUCT(OFFSET($BO$15,0,0,$B$14,1), 1*(_xlfn._xlws.FILTER(OFFSET($O$15,0,$DN188,$B$8,1),OFFSET($M$15,0,0,$B$8,1))=DQ$13), 1*(_xlfn._xlws.FILTER(OFFSET($O$15,0,$DO188,$B$8,1),OFFSET($M$15,0,0,$B$8,1))=DQ$14))   /   SUM(OFFSET($BO$15,0,0,$B$14,1)) + $B$18/($B$19*$B$19*($DN188&lt;&gt;$DO188) + $B$19*($DN188=$DO188))</f>
        <v>3.7037037037037035E-4</v>
      </c>
      <c r="DR188" s="10" cm="1">
        <f t="array" aca="1" ref="DR188" ca="1">(1-$B$18)*SUMPRODUCT(OFFSET($BO$15,0,0,$B$14,1), 1*(_xlfn._xlws.FILTER(OFFSET($O$15,0,$DN188,$B$8,1),OFFSET($M$15,0,0,$B$8,1))=DR$13), 1*(_xlfn._xlws.FILTER(OFFSET($O$15,0,$DO188,$B$8,1),OFFSET($M$15,0,0,$B$8,1))=DR$14))   /   SUM(OFFSET($BO$15,0,0,$B$14,1)) + $B$18/($B$19*$B$19*($DN188&lt;&gt;$DO188) + $B$19*($DN188=$DO188))</f>
        <v>3.7037037037037035E-4</v>
      </c>
      <c r="DS188" s="10" cm="1">
        <f t="array" aca="1" ref="DS188" ca="1">(1-$B$18)*SUMPRODUCT(OFFSET($BO$15,0,0,$B$14,1), 1*(_xlfn._xlws.FILTER(OFFSET($O$15,0,$DN188,$B$8,1),OFFSET($M$15,0,0,$B$8,1))=DS$13), 1*(_xlfn._xlws.FILTER(OFFSET($O$15,0,$DO188,$B$8,1),OFFSET($M$15,0,0,$B$8,1))=DS$14))   /   SUM(OFFSET($BO$15,0,0,$B$14,1)) + $B$18/($B$19*$B$19*($DN188&lt;&gt;$DO188) + $B$19*($DN188=$DO188))</f>
        <v>3.7037037037037035E-4</v>
      </c>
      <c r="DT188" s="10" cm="1">
        <f t="array" aca="1" ref="DT188" ca="1">(1-$B$18)*SUMPRODUCT(OFFSET($BO$15,0,0,$B$14,1), 1*(_xlfn._xlws.FILTER(OFFSET($O$15,0,$DN188,$B$8,1),OFFSET($M$15,0,0,$B$8,1))=DT$13), 1*(_xlfn._xlws.FILTER(OFFSET($O$15,0,$DO188,$B$8,1),OFFSET($M$15,0,0,$B$8,1))=DT$14))   /   SUM(OFFSET($BO$15,0,0,$B$14,1)) + $B$18/($B$19*$B$19*($DN188&lt;&gt;$DO188) + $B$19*($DN188=$DO188))</f>
        <v>3.7037037037037035E-4</v>
      </c>
      <c r="DU188" s="10" cm="1">
        <f t="array" aca="1" ref="DU188" ca="1">(1-$B$18)*SUMPRODUCT(OFFSET($BO$15,0,0,$B$14,1), 1*(_xlfn._xlws.FILTER(OFFSET($O$15,0,$DN188,$B$8,1),OFFSET($M$15,0,0,$B$8,1))=DU$13), 1*(_xlfn._xlws.FILTER(OFFSET($O$15,0,$DO188,$B$8,1),OFFSET($M$15,0,0,$B$8,1))=DU$14))   /   SUM(OFFSET($BO$15,0,0,$B$14,1)) + $B$18/($B$19*$B$19*($DN188&lt;&gt;$DO188) + $B$19*($DN188=$DO188))</f>
        <v>3.7037037037037035E-4</v>
      </c>
      <c r="DV188" s="10" cm="1">
        <f t="array" aca="1" ref="DV188" ca="1">(1-$B$18)*SUMPRODUCT(OFFSET($BO$15,0,0,$B$14,1), 1*(_xlfn._xlws.FILTER(OFFSET($O$15,0,$DN188,$B$8,1),OFFSET($M$15,0,0,$B$8,1))=DV$13), 1*(_xlfn._xlws.FILTER(OFFSET($O$15,0,$DO188,$B$8,1),OFFSET($M$15,0,0,$B$8,1))=DV$14))   /   SUM(OFFSET($BO$15,0,0,$B$14,1)) + $B$18/($B$19*$B$19*($DN188&lt;&gt;$DO188) + $B$19*($DN188=$DO188))</f>
        <v>3.7037037037037035E-4</v>
      </c>
      <c r="DW188" s="10" cm="1">
        <f t="array" aca="1" ref="DW188" ca="1">(1-$B$18)*SUMPRODUCT(OFFSET($BO$15,0,0,$B$14,1), 1*(_xlfn._xlws.FILTER(OFFSET($O$15,0,$DN188,$B$8,1),OFFSET($M$15,0,0,$B$8,1))=DW$13), 1*(_xlfn._xlws.FILTER(OFFSET($O$15,0,$DO188,$B$8,1),OFFSET($M$15,0,0,$B$8,1))=DW$14))   /   SUM(OFFSET($BO$15,0,0,$B$14,1)) + $B$18/($B$19*$B$19*($DN188&lt;&gt;$DO188) + $B$19*($DN188=$DO188))</f>
        <v>3.7037037037037035E-4</v>
      </c>
      <c r="DX188" s="10" cm="1">
        <f t="array" aca="1" ref="DX188" ca="1">(1-$B$18)*SUMPRODUCT(OFFSET($BO$15,0,0,$B$14,1), 1*(_xlfn._xlws.FILTER(OFFSET($O$15,0,$DN188,$B$8,1),OFFSET($M$15,0,0,$B$8,1))=DX$13), 1*(_xlfn._xlws.FILTER(OFFSET($O$15,0,$DO188,$B$8,1),OFFSET($M$15,0,0,$B$8,1))=DX$14))   /   SUM(OFFSET($BO$15,0,0,$B$14,1)) + $B$18/($B$19*$B$19*($DN188&lt;&gt;$DO188) + $B$19*($DN188=$DO188))</f>
        <v>3.7037037037037035E-4</v>
      </c>
      <c r="DY188" s="10" cm="1">
        <f t="array" aca="1" ref="DY188" ca="1">(1-$B$18)*SUMPRODUCT(OFFSET($BO$15,0,0,$B$14,1), 1*(_xlfn._xlws.FILTER(OFFSET($O$15,0,$DN188,$B$8,1),OFFSET($M$15,0,0,$B$8,1))=DY$13), 1*(_xlfn._xlws.FILTER(OFFSET($O$15,0,$DO188,$B$8,1),OFFSET($M$15,0,0,$B$8,1))=DY$14))   /   SUM(OFFSET($BO$15,0,0,$B$14,1)) + $B$18/($B$19*$B$19*($DN188&lt;&gt;$DO188) + $B$19*($DN188=$DO188))</f>
        <v>3.7037037037037035E-4</v>
      </c>
      <c r="DZ188" s="10" cm="1">
        <f t="array" aca="1" ref="DZ188" ca="1">(1-$B$18)*SUMPRODUCT(OFFSET($BO$15,0,0,$B$14,1), 1*(_xlfn._xlws.FILTER(OFFSET($O$15,0,$DN188,$B$8,1),OFFSET($M$15,0,0,$B$8,1))=DZ$13), 1*(_xlfn._xlws.FILTER(OFFSET($O$15,0,$DO188,$B$8,1),OFFSET($M$15,0,0,$B$8,1))=DZ$14))   /   SUM(OFFSET($BO$15,0,0,$B$14,1)) + $B$18/($B$19*$B$19*($DN188&lt;&gt;$DO188) + $B$19*($DN188=$DO188))</f>
        <v>3.7037037037037035E-4</v>
      </c>
      <c r="EA188" s="10" cm="1">
        <f t="array" aca="1" ref="EA188" ca="1">(1-$B$18)*SUMPRODUCT(OFFSET($BO$15,0,0,$B$14,1), 1*(_xlfn._xlws.FILTER(OFFSET($O$15,0,$DN188,$B$8,1),OFFSET($M$15,0,0,$B$8,1))=EA$13), 1*(_xlfn._xlws.FILTER(OFFSET($O$15,0,$DO188,$B$8,1),OFFSET($M$15,0,0,$B$8,1))=EA$14))   /   SUM(OFFSET($BO$15,0,0,$B$14,1)) + $B$18/($B$19*$B$19*($DN188&lt;&gt;$DO188) + $B$19*($DN188=$DO188))</f>
        <v>3.7037037037037035E-4</v>
      </c>
      <c r="EB188" s="10" cm="1">
        <f t="array" aca="1" ref="EB188" ca="1">(1-$B$18)*SUMPRODUCT(OFFSET($BO$15,0,0,$B$14,1), 1*(_xlfn._xlws.FILTER(OFFSET($O$15,0,$DN188,$B$8,1),OFFSET($M$15,0,0,$B$8,1))=EB$13), 1*(_xlfn._xlws.FILTER(OFFSET($O$15,0,$DO188,$B$8,1),OFFSET($M$15,0,0,$B$8,1))=EB$14))   /   SUM(OFFSET($BO$15,0,0,$B$14,1)) + $B$18/($B$19*$B$19*($DN188&lt;&gt;$DO188) + $B$19*($DN188=$DO188))</f>
        <v>3.7037037037037035E-4</v>
      </c>
      <c r="EC188" s="10" cm="1">
        <f t="array" aca="1" ref="EC188" ca="1">(1-$B$18)*SUMPRODUCT(OFFSET($BO$15,0,0,$B$14,1), 1*(_xlfn._xlws.FILTER(OFFSET($O$15,0,$DN188,$B$8,1),OFFSET($M$15,0,0,$B$8,1))=EC$13), 1*(_xlfn._xlws.FILTER(OFFSET($O$15,0,$DO188,$B$8,1),OFFSET($M$15,0,0,$B$8,1))=EC$14))   /   SUM(OFFSET($BO$15,0,0,$B$14,1)) + $B$18/($B$19*$B$19*($DN188&lt;&gt;$DO188) + $B$19*($DN188=$DO188))</f>
        <v>3.7037037037037035E-4</v>
      </c>
      <c r="ED188" s="10" cm="1">
        <f t="array" aca="1" ref="ED188" ca="1">(1-$B$18)*SUMPRODUCT(OFFSET($BO$15,0,0,$B$14,1), 1*(_xlfn._xlws.FILTER(OFFSET($O$15,0,$DN188,$B$8,1),OFFSET($M$15,0,0,$B$8,1))=ED$13), 1*(_xlfn._xlws.FILTER(OFFSET($O$15,0,$DO188,$B$8,1),OFFSET($M$15,0,0,$B$8,1))=ED$14))   /   SUM(OFFSET($BO$15,0,0,$B$14,1)) + $B$18/($B$19*$B$19*($DN188&lt;&gt;$DO188) + $B$19*($DN188=$DO188))</f>
        <v>3.7037037037037035E-4</v>
      </c>
      <c r="EE188" s="10" cm="1">
        <f t="array" aca="1" ref="EE188" ca="1">(1-$B$18)*SUMPRODUCT(OFFSET($BO$15,0,0,$B$14,1), 1*(_xlfn._xlws.FILTER(OFFSET($O$15,0,$DN188,$B$8,1),OFFSET($M$15,0,0,$B$8,1))=EE$13), 1*(_xlfn._xlws.FILTER(OFFSET($O$15,0,$DO188,$B$8,1),OFFSET($M$15,0,0,$B$8,1))=EE$14))   /   SUM(OFFSET($BO$15,0,0,$B$14,1)) + $B$18/($B$19*$B$19*($DN188&lt;&gt;$DO188) + $B$19*($DN188=$DO188))</f>
        <v>3.7037037037037035E-4</v>
      </c>
      <c r="EF188" s="10" cm="1">
        <f t="array" aca="1" ref="EF188" ca="1">(1-$B$18)*SUMPRODUCT(OFFSET($BO$15,0,0,$B$14,1), 1*(_xlfn._xlws.FILTER(OFFSET($O$15,0,$DN188,$B$8,1),OFFSET($M$15,0,0,$B$8,1))=EF$13), 1*(_xlfn._xlws.FILTER(OFFSET($O$15,0,$DO188,$B$8,1),OFFSET($M$15,0,0,$B$8,1))=EF$14))   /   SUM(OFFSET($BO$15,0,0,$B$14,1)) + $B$18/($B$19*$B$19*($DN188&lt;&gt;$DO188) + $B$19*($DN188=$DO188))</f>
        <v>3.7037037037037035E-4</v>
      </c>
      <c r="EG188" s="10" cm="1">
        <f t="array" aca="1" ref="EG188" ca="1">(1-$B$18)*SUMPRODUCT(OFFSET($BO$15,0,0,$B$14,1), 1*(_xlfn._xlws.FILTER(OFFSET($O$15,0,$DN188,$B$8,1),OFFSET($M$15,0,0,$B$8,1))=EG$13), 1*(_xlfn._xlws.FILTER(OFFSET($O$15,0,$DO188,$B$8,1),OFFSET($M$15,0,0,$B$8,1))=EG$14))   /   SUM(OFFSET($BO$15,0,0,$B$14,1)) + $B$18/($B$19*$B$19*($DN188&lt;&gt;$DO188) + $B$19*($DN188=$DO188))</f>
        <v>3.7037037037037035E-4</v>
      </c>
      <c r="EH188" s="10" cm="1">
        <f t="array" aca="1" ref="EH188" ca="1">(1-$B$18)*SUMPRODUCT(OFFSET($BO$15,0,0,$B$14,1), 1*(_xlfn._xlws.FILTER(OFFSET($O$15,0,$DN188,$B$8,1),OFFSET($M$15,0,0,$B$8,1))=EH$13), 1*(_xlfn._xlws.FILTER(OFFSET($O$15,0,$DO188,$B$8,1),OFFSET($M$15,0,0,$B$8,1))=EH$14))   /   SUM(OFFSET($BO$15,0,0,$B$14,1)) + $B$18/($B$19*$B$19*($DN188&lt;&gt;$DO188) + $B$19*($DN188=$DO188))</f>
        <v>3.7037037037037035E-4</v>
      </c>
      <c r="EI188" s="10" cm="1">
        <f t="array" aca="1" ref="EI188" ca="1">(1-$B$18)*SUMPRODUCT(OFFSET($BO$15,0,0,$B$14,1), 1*(_xlfn._xlws.FILTER(OFFSET($O$15,0,$DN188,$B$8,1),OFFSET($M$15,0,0,$B$8,1))=EI$13), 1*(_xlfn._xlws.FILTER(OFFSET($O$15,0,$DO188,$B$8,1),OFFSET($M$15,0,0,$B$8,1))=EI$14))   /   SUM(OFFSET($BO$15,0,0,$B$14,1)) + $B$18/($B$19*$B$19*($DN188&lt;&gt;$DO188) + $B$19*($DN188=$DO188))</f>
        <v>3.7037037037037035E-4</v>
      </c>
      <c r="EJ188" s="10" cm="1">
        <f t="array" aca="1" ref="EJ188" ca="1">(1-$B$18)*SUMPRODUCT(OFFSET($BO$15,0,0,$B$14,1), 1*(_xlfn._xlws.FILTER(OFFSET($O$15,0,$DN188,$B$8,1),OFFSET($M$15,0,0,$B$8,1))=EJ$13), 1*(_xlfn._xlws.FILTER(OFFSET($O$15,0,$DO188,$B$8,1),OFFSET($M$15,0,0,$B$8,1))=EJ$14))   /   SUM(OFFSET($BO$15,0,0,$B$14,1)) + $B$18/($B$19*$B$19*($DN188&lt;&gt;$DO188) + $B$19*($DN188=$DO188))</f>
        <v>3.7037037037037035E-4</v>
      </c>
      <c r="EK188" s="10" cm="1">
        <f t="array" aca="1" ref="EK188" ca="1">(1-$B$18)*SUMPRODUCT(OFFSET($BO$15,0,0,$B$14,1), 1*(_xlfn._xlws.FILTER(OFFSET($O$15,0,$DN188,$B$8,1),OFFSET($M$15,0,0,$B$8,1))=EK$13), 1*(_xlfn._xlws.FILTER(OFFSET($O$15,0,$DO188,$B$8,1),OFFSET($M$15,0,0,$B$8,1))=EK$14))   /   SUM(OFFSET($BO$15,0,0,$B$14,1)) + $B$18/($B$19*$B$19*($DN188&lt;&gt;$DO188) + $B$19*($DN188=$DO188))</f>
        <v>3.7037037037037035E-4</v>
      </c>
      <c r="EL188" s="10" cm="1">
        <f t="array" aca="1" ref="EL188" ca="1">(1-$B$18)*SUMPRODUCT(OFFSET($BO$15,0,0,$B$14,1), 1*(_xlfn._xlws.FILTER(OFFSET($O$15,0,$DN188,$B$8,1),OFFSET($M$15,0,0,$B$8,1))=EL$13), 1*(_xlfn._xlws.FILTER(OFFSET($O$15,0,$DO188,$B$8,1),OFFSET($M$15,0,0,$B$8,1))=EL$14))   /   SUM(OFFSET($BO$15,0,0,$B$14,1)) + $B$18/($B$19*$B$19*($DN188&lt;&gt;$DO188) + $B$19*($DN188=$DO188))</f>
        <v>3.7037037037037035E-4</v>
      </c>
      <c r="EM188" s="10" cm="1">
        <f t="array" aca="1" ref="EM188" ca="1">(1-$B$18)*SUMPRODUCT(OFFSET($BO$15,0,0,$B$14,1), 1*(_xlfn._xlws.FILTER(OFFSET($O$15,0,$DN188,$B$8,1),OFFSET($M$15,0,0,$B$8,1))=EM$13), 1*(_xlfn._xlws.FILTER(OFFSET($O$15,0,$DO188,$B$8,1),OFFSET($M$15,0,0,$B$8,1))=EM$14))   /   SUM(OFFSET($BO$15,0,0,$B$14,1)) + $B$18/($B$19*$B$19*($DN188&lt;&gt;$DO188) + $B$19*($DN188=$DO188))</f>
        <v>3.7037037037037035E-4</v>
      </c>
      <c r="EN188" s="10" cm="1">
        <f t="array" aca="1" ref="EN188" ca="1">(1-$B$18)*SUMPRODUCT(OFFSET($BO$15,0,0,$B$14,1), 1*(_xlfn._xlws.FILTER(OFFSET($O$15,0,$DN188,$B$8,1),OFFSET($M$15,0,0,$B$8,1))=EN$13), 1*(_xlfn._xlws.FILTER(OFFSET($O$15,0,$DO188,$B$8,1),OFFSET($M$15,0,0,$B$8,1))=EN$14))   /   SUM(OFFSET($BO$15,0,0,$B$14,1)) + $B$18/($B$19*$B$19*($DN188&lt;&gt;$DO188) + $B$19*($DN188=$DO188))</f>
        <v>3.7037037037037035E-4</v>
      </c>
      <c r="EO188" s="10" cm="1">
        <f t="array" aca="1" ref="EO188" ca="1">(1-$B$18)*SUMPRODUCT(OFFSET($BO$15,0,0,$B$14,1), 1*(_xlfn._xlws.FILTER(OFFSET($O$15,0,$DN188,$B$8,1),OFFSET($M$15,0,0,$B$8,1))=EO$13), 1*(_xlfn._xlws.FILTER(OFFSET($O$15,0,$DO188,$B$8,1),OFFSET($M$15,0,0,$B$8,1))=EO$14))   /   SUM(OFFSET($BO$15,0,0,$B$14,1)) + $B$18/($B$19*$B$19*($DN188&lt;&gt;$DO188) + $B$19*($DN188=$DO188))</f>
        <v>3.7037037037037035E-4</v>
      </c>
      <c r="EP188" s="10" cm="1">
        <f t="array" aca="1" ref="EP188" ca="1">(1-$B$18)*SUMPRODUCT(OFFSET($BO$15,0,0,$B$14,1), 1*(_xlfn._xlws.FILTER(OFFSET($O$15,0,$DN188,$B$8,1),OFFSET($M$15,0,0,$B$8,1))=EP$13), 1*(_xlfn._xlws.FILTER(OFFSET($O$15,0,$DO188,$B$8,1),OFFSET($M$15,0,0,$B$8,1))=EP$14))   /   SUM(OFFSET($BO$15,0,0,$B$14,1)) + $B$18/($B$19*$B$19*($DN188&lt;&gt;$DO188) + $B$19*($DN188=$DO188))</f>
        <v>3.7037037037037035E-4</v>
      </c>
      <c r="EQ188" s="10" cm="1">
        <f t="array" aca="1" ref="EQ188" ca="1">(1-$B$18)*SUMPRODUCT(OFFSET($BO$15,0,0,$B$14,1), 1*(_xlfn._xlws.FILTER(OFFSET($O$15,0,$DN188,$B$8,1),OFFSET($M$15,0,0,$B$8,1))=EQ$13), 1*(_xlfn._xlws.FILTER(OFFSET($O$15,0,$DO188,$B$8,1),OFFSET($M$15,0,0,$B$8,1))=EQ$14))   /   SUM(OFFSET($BO$15,0,0,$B$14,1)) + $B$18/($B$19*$B$19*($DN188&lt;&gt;$DO188) + $B$19*($DN188=$DO188))</f>
        <v>3.7037037037037035E-4</v>
      </c>
      <c r="ER188" s="10" cm="1">
        <f t="array" aca="1" ref="ER188" ca="1">(1-$B$18)*SUMPRODUCT(OFFSET($BO$15,0,0,$B$14,1), 1*(_xlfn._xlws.FILTER(OFFSET($O$15,0,$DN188,$B$8,1),OFFSET($M$15,0,0,$B$8,1))=ER$13), 1*(_xlfn._xlws.FILTER(OFFSET($O$15,0,$DO188,$B$8,1),OFFSET($M$15,0,0,$B$8,1))=ER$14))   /   SUM(OFFSET($BO$15,0,0,$B$14,1)) + $B$18/($B$19*$B$19*($DN188&lt;&gt;$DO188) + $B$19*($DN188=$DO188))</f>
        <v>3.7037037037037035E-4</v>
      </c>
      <c r="ES188" s="10" cm="1">
        <f t="array" aca="1" ref="ES188" ca="1">(1-$B$18)*SUMPRODUCT(OFFSET($BO$15,0,0,$B$14,1), 1*(_xlfn._xlws.FILTER(OFFSET($O$15,0,$DN188,$B$8,1),OFFSET($M$15,0,0,$B$8,1))=ES$13), 1*(_xlfn._xlws.FILTER(OFFSET($O$15,0,$DO188,$B$8,1),OFFSET($M$15,0,0,$B$8,1))=ES$14))   /   SUM(OFFSET($BO$15,0,0,$B$14,1)) + $B$18/($B$19*$B$19*($DN188&lt;&gt;$DO188) + $B$19*($DN188=$DO188))</f>
        <v>3.7037037037037035E-4</v>
      </c>
      <c r="ET188" s="10" cm="1">
        <f t="array" aca="1" ref="ET188" ca="1">(1-$B$18)*SUMPRODUCT(OFFSET($BO$15,0,0,$B$14,1), 1*(_xlfn._xlws.FILTER(OFFSET($O$15,0,$DN188,$B$8,1),OFFSET($M$15,0,0,$B$8,1))=ET$13), 1*(_xlfn._xlws.FILTER(OFFSET($O$15,0,$DO188,$B$8,1),OFFSET($M$15,0,0,$B$8,1))=ET$14))   /   SUM(OFFSET($BO$15,0,0,$B$14,1)) + $B$18/($B$19*$B$19*($DN188&lt;&gt;$DO188) + $B$19*($DN188=$DO188))</f>
        <v>3.7037037037037035E-4</v>
      </c>
      <c r="EU188" s="10" cm="1">
        <f t="array" aca="1" ref="EU188" ca="1">(1-$B$18)*SUMPRODUCT(OFFSET($BO$15,0,0,$B$14,1), 1*(_xlfn._xlws.FILTER(OFFSET($O$15,0,$DN188,$B$8,1),OFFSET($M$15,0,0,$B$8,1))=EU$13), 1*(_xlfn._xlws.FILTER(OFFSET($O$15,0,$DO188,$B$8,1),OFFSET($M$15,0,0,$B$8,1))=EU$14))   /   SUM(OFFSET($BO$15,0,0,$B$14,1)) + $B$18/($B$19*$B$19*($DN188&lt;&gt;$DO188) + $B$19*($DN188=$DO188))</f>
        <v>3.7037037037037035E-4</v>
      </c>
      <c r="EV188" s="10" cm="1">
        <f t="array" aca="1" ref="EV188" ca="1">(1-$B$18)*SUMPRODUCT(OFFSET($BO$15,0,0,$B$14,1), 1*(_xlfn._xlws.FILTER(OFFSET($O$15,0,$DN188,$B$8,1),OFFSET($M$15,0,0,$B$8,1))=EV$13), 1*(_xlfn._xlws.FILTER(OFFSET($O$15,0,$DO188,$B$8,1),OFFSET($M$15,0,0,$B$8,1))=EV$14))   /   SUM(OFFSET($BO$15,0,0,$B$14,1)) + $B$18/($B$19*$B$19*($DN188&lt;&gt;$DO188) + $B$19*($DN188=$DO188))</f>
        <v>3.7037037037037035E-4</v>
      </c>
      <c r="EW188" s="10" cm="1">
        <f t="array" aca="1" ref="EW188" ca="1">(1-$B$18)*SUMPRODUCT(OFFSET($BO$15,0,0,$B$14,1), 1*(_xlfn._xlws.FILTER(OFFSET($O$15,0,$DN188,$B$8,1),OFFSET($M$15,0,0,$B$8,1))=EW$13), 1*(_xlfn._xlws.FILTER(OFFSET($O$15,0,$DO188,$B$8,1),OFFSET($M$15,0,0,$B$8,1))=EW$14))   /   SUM(OFFSET($BO$15,0,0,$B$14,1)) + $B$18/($B$19*$B$19*($DN188&lt;&gt;$DO188) + $B$19*($DN188=$DO188))</f>
        <v>3.7037037037037035E-4</v>
      </c>
      <c r="EX188" s="10" cm="1">
        <f t="array" aca="1" ref="EX188" ca="1">(1-$B$18)*SUMPRODUCT(OFFSET($BO$15,0,0,$B$14,1), 1*(_xlfn._xlws.FILTER(OFFSET($O$15,0,$DN188,$B$8,1),OFFSET($M$15,0,0,$B$8,1))=EX$13), 1*(_xlfn._xlws.FILTER(OFFSET($O$15,0,$DO188,$B$8,1),OFFSET($M$15,0,0,$B$8,1))=EX$14))   /   SUM(OFFSET($BO$15,0,0,$B$14,1)) + $B$18/($B$19*$B$19*($DN188&lt;&gt;$DO188) + $B$19*($DN188=$DO188))</f>
        <v>3.7037037037037035E-4</v>
      </c>
      <c r="EY188" s="10" cm="1">
        <f t="array" aca="1" ref="EY188" ca="1">(1-$B$18)*SUMPRODUCT(OFFSET($BO$15,0,0,$B$14,1), 1*(_xlfn._xlws.FILTER(OFFSET($O$15,0,$DN188,$B$8,1),OFFSET($M$15,0,0,$B$8,1))=EY$13), 1*(_xlfn._xlws.FILTER(OFFSET($O$15,0,$DO188,$B$8,1),OFFSET($M$15,0,0,$B$8,1))=EY$14))   /   SUM(OFFSET($BO$15,0,0,$B$14,1)) + $B$18/($B$19*$B$19*($DN188&lt;&gt;$DO188) + $B$19*($DN188=$DO188))</f>
        <v>3.7037037037037035E-4</v>
      </c>
      <c r="EZ188" s="10" cm="1">
        <f t="array" aca="1" ref="EZ188" ca="1">(1-$B$18)*SUMPRODUCT(OFFSET($BO$15,0,0,$B$14,1), 1*(_xlfn._xlws.FILTER(OFFSET($O$15,0,$DN188,$B$8,1),OFFSET($M$15,0,0,$B$8,1))=EZ$13), 1*(_xlfn._xlws.FILTER(OFFSET($O$15,0,$DO188,$B$8,1),OFFSET($M$15,0,0,$B$8,1))=EZ$14))   /   SUM(OFFSET($BO$15,0,0,$B$14,1)) + $B$18/($B$19*$B$19*($DN188&lt;&gt;$DO188) + $B$19*($DN188=$DO188))</f>
        <v>3.7037037037037035E-4</v>
      </c>
      <c r="FA188" s="10" cm="1">
        <f t="array" aca="1" ref="FA188" ca="1">(1-$B$18)*SUMPRODUCT(OFFSET($BO$15,0,0,$B$14,1), 1*(_xlfn._xlws.FILTER(OFFSET($O$15,0,$DN188,$B$8,1),OFFSET($M$15,0,0,$B$8,1))=FA$13), 1*(_xlfn._xlws.FILTER(OFFSET($O$15,0,$DO188,$B$8,1),OFFSET($M$15,0,0,$B$8,1))=FA$14))   /   SUM(OFFSET($BO$15,0,0,$B$14,1)) + $B$18/($B$19*$B$19*($DN188&lt;&gt;$DO188) + $B$19*($DN188=$DO188))</f>
        <v>3.7037037037037035E-4</v>
      </c>
      <c r="FB188" s="10" cm="1">
        <f t="array" aca="1" ref="FB188" ca="1">(1-$B$18)*SUMPRODUCT(OFFSET($BO$15,0,0,$B$14,1), 1*(_xlfn._xlws.FILTER(OFFSET($O$15,0,$DN188,$B$8,1),OFFSET($M$15,0,0,$B$8,1))=FB$13), 1*(_xlfn._xlws.FILTER(OFFSET($O$15,0,$DO188,$B$8,1),OFFSET($M$15,0,0,$B$8,1))=FB$14))   /   SUM(OFFSET($BO$15,0,0,$B$14,1)) + $B$18/($B$19*$B$19*($DN188&lt;&gt;$DO188) + $B$19*($DN188=$DO188))</f>
        <v>3.7037037037037035E-4</v>
      </c>
      <c r="FC188" s="10" cm="1">
        <f t="array" aca="1" ref="FC188" ca="1">(1-$B$18)*SUMPRODUCT(OFFSET($BO$15,0,0,$B$14,1), 1*(_xlfn._xlws.FILTER(OFFSET($O$15,0,$DN188,$B$8,1),OFFSET($M$15,0,0,$B$8,1))=FC$13), 1*(_xlfn._xlws.FILTER(OFFSET($O$15,0,$DO188,$B$8,1),OFFSET($M$15,0,0,$B$8,1))=FC$14))   /   SUM(OFFSET($BO$15,0,0,$B$14,1)) + $B$18/($B$19*$B$19*($DN188&lt;&gt;$DO188) + $B$19*($DN188=$DO188))</f>
        <v>3.7037037037037035E-4</v>
      </c>
      <c r="FD188" s="10" cm="1">
        <f t="array" aca="1" ref="FD188" ca="1">(1-$B$18)*SUMPRODUCT(OFFSET($BO$15,0,0,$B$14,1), 1*(_xlfn._xlws.FILTER(OFFSET($O$15,0,$DN188,$B$8,1),OFFSET($M$15,0,0,$B$8,1))=FD$13), 1*(_xlfn._xlws.FILTER(OFFSET($O$15,0,$DO188,$B$8,1),OFFSET($M$15,0,0,$B$8,1))=FD$14))   /   SUM(OFFSET($BO$15,0,0,$B$14,1)) + $B$18/($B$19*$B$19*($DN188&lt;&gt;$DO188) + $B$19*($DN188=$DO188))</f>
        <v>3.7037037037037035E-4</v>
      </c>
      <c r="FE188" s="10" cm="1">
        <f t="array" aca="1" ref="FE188" ca="1">(1-$B$18)*SUMPRODUCT(OFFSET($BO$15,0,0,$B$14,1), 1*(_xlfn._xlws.FILTER(OFFSET($O$15,0,$DN188,$B$8,1),OFFSET($M$15,0,0,$B$8,1))=FE$13), 1*(_xlfn._xlws.FILTER(OFFSET($O$15,0,$DO188,$B$8,1),OFFSET($M$15,0,0,$B$8,1))=FE$14))   /   SUM(OFFSET($BO$15,0,0,$B$14,1)) + $B$18/($B$19*$B$19*($DN188&lt;&gt;$DO188) + $B$19*($DN188=$DO188))</f>
        <v>3.7037037037037035E-4</v>
      </c>
      <c r="FF188" s="10" cm="1">
        <f t="array" aca="1" ref="FF188" ca="1">(1-$B$18)*SUMPRODUCT(OFFSET($BO$15,0,0,$B$14,1), 1*(_xlfn._xlws.FILTER(OFFSET($O$15,0,$DN188,$B$8,1),OFFSET($M$15,0,0,$B$8,1))=FF$13), 1*(_xlfn._xlws.FILTER(OFFSET($O$15,0,$DO188,$B$8,1),OFFSET($M$15,0,0,$B$8,1))=FF$14))   /   SUM(OFFSET($BO$15,0,0,$B$14,1)) + $B$18/($B$19*$B$19*($DN188&lt;&gt;$DO188) + $B$19*($DN188=$DO188))</f>
        <v>3.7037037037037035E-4</v>
      </c>
      <c r="FG188" s="10" cm="1">
        <f t="array" aca="1" ref="FG188" ca="1">(1-$B$18)*SUMPRODUCT(OFFSET($BO$15,0,0,$B$14,1), 1*(_xlfn._xlws.FILTER(OFFSET($O$15,0,$DN188,$B$8,1),OFFSET($M$15,0,0,$B$8,1))=FG$13), 1*(_xlfn._xlws.FILTER(OFFSET($O$15,0,$DO188,$B$8,1),OFFSET($M$15,0,0,$B$8,1))=FG$14))   /   SUM(OFFSET($BO$15,0,0,$B$14,1)) + $B$18/($B$19*$B$19*($DN188&lt;&gt;$DO188) + $B$19*($DN188=$DO188))</f>
        <v>3.7037037037037035E-4</v>
      </c>
      <c r="FH188" s="10" cm="1">
        <f t="array" aca="1" ref="FH188" ca="1">(1-$B$18)*SUMPRODUCT(OFFSET($BO$15,0,0,$B$14,1), 1*(_xlfn._xlws.FILTER(OFFSET($O$15,0,$DN188,$B$8,1),OFFSET($M$15,0,0,$B$8,1))=FH$13), 1*(_xlfn._xlws.FILTER(OFFSET($O$15,0,$DO188,$B$8,1),OFFSET($M$15,0,0,$B$8,1))=FH$14))   /   SUM(OFFSET($BO$15,0,0,$B$14,1)) + $B$18/($B$19*$B$19*($DN188&lt;&gt;$DO188) + $B$19*($DN188=$DO188))</f>
        <v>3.7037037037037035E-4</v>
      </c>
      <c r="FI188" s="10" cm="1">
        <f t="array" aca="1" ref="FI188" ca="1">(1-$B$18)*SUMPRODUCT(OFFSET($BO$15,0,0,$B$14,1), 1*(_xlfn._xlws.FILTER(OFFSET($O$15,0,$DN188,$B$8,1),OFFSET($M$15,0,0,$B$8,1))=FI$13), 1*(_xlfn._xlws.FILTER(OFFSET($O$15,0,$DO188,$B$8,1),OFFSET($M$15,0,0,$B$8,1))=FI$14))   /   SUM(OFFSET($BO$15,0,0,$B$14,1)) + $B$18/($B$19*$B$19*($DN188&lt;&gt;$DO188) + $B$19*($DN188=$DO188))</f>
        <v>3.7037037037037035E-4</v>
      </c>
      <c r="FJ188" s="10" cm="1">
        <f t="array" aca="1" ref="FJ188" ca="1">(1-$B$18)*SUMPRODUCT(OFFSET($BO$15,0,0,$B$14,1), 1*(_xlfn._xlws.FILTER(OFFSET($O$15,0,$DN188,$B$8,1),OFFSET($M$15,0,0,$B$8,1))=FJ$13), 1*(_xlfn._xlws.FILTER(OFFSET($O$15,0,$DO188,$B$8,1),OFFSET($M$15,0,0,$B$8,1))=FJ$14))   /   SUM(OFFSET($BO$15,0,0,$B$14,1)) + $B$18/($B$19*$B$19*($DN188&lt;&gt;$DO188) + $B$19*($DN188=$DO188))</f>
        <v>3.7037037037037035E-4</v>
      </c>
      <c r="FK188" s="10" cm="1">
        <f t="array" aca="1" ref="FK188" ca="1">(1-$B$18)*SUMPRODUCT(OFFSET($BO$15,0,0,$B$14,1), 1*(_xlfn._xlws.FILTER(OFFSET($O$15,0,$DN188,$B$8,1),OFFSET($M$15,0,0,$B$8,1))=FK$13), 1*(_xlfn._xlws.FILTER(OFFSET($O$15,0,$DO188,$B$8,1),OFFSET($M$15,0,0,$B$8,1))=FK$14))   /   SUM(OFFSET($BO$15,0,0,$B$14,1)) + $B$18/($B$19*$B$19*($DN188&lt;&gt;$DO188) + $B$19*($DN188=$DO188))</f>
        <v>3.7037037037037035E-4</v>
      </c>
      <c r="FL188" s="10" cm="1">
        <f t="array" aca="1" ref="FL188" ca="1">(1-$B$18)*SUMPRODUCT(OFFSET($BO$15,0,0,$B$14,1), 1*(_xlfn._xlws.FILTER(OFFSET($O$15,0,$DN188,$B$8,1),OFFSET($M$15,0,0,$B$8,1))=FL$13), 1*(_xlfn._xlws.FILTER(OFFSET($O$15,0,$DO188,$B$8,1),OFFSET($M$15,0,0,$B$8,1))=FL$14))   /   SUM(OFFSET($BO$15,0,0,$B$14,1)) + $B$18/($B$19*$B$19*($DN188&lt;&gt;$DO188) + $B$19*($DN188=$DO188))</f>
        <v>3.7037037037037035E-4</v>
      </c>
      <c r="FM188" s="10" cm="1">
        <f t="array" aca="1" ref="FM188" ca="1">(1-$B$18)*SUMPRODUCT(OFFSET($BO$15,0,0,$B$14,1), 1*(_xlfn._xlws.FILTER(OFFSET($O$15,0,$DN188,$B$8,1),OFFSET($M$15,0,0,$B$8,1))=FM$13), 1*(_xlfn._xlws.FILTER(OFFSET($O$15,0,$DO188,$B$8,1),OFFSET($M$15,0,0,$B$8,1))=FM$14))   /   SUM(OFFSET($BO$15,0,0,$B$14,1)) + $B$18/($B$19*$B$19*($DN188&lt;&gt;$DO188) + $B$19*($DN188=$DO188))</f>
        <v>3.7037037037037035E-4</v>
      </c>
      <c r="FN188" s="10" cm="1">
        <f t="array" aca="1" ref="FN188" ca="1">(1-$B$18)*SUMPRODUCT(OFFSET($BO$15,0,0,$B$14,1), 1*(_xlfn._xlws.FILTER(OFFSET($O$15,0,$DN188,$B$8,1),OFFSET($M$15,0,0,$B$8,1))=FN$13), 1*(_xlfn._xlws.FILTER(OFFSET($O$15,0,$DO188,$B$8,1),OFFSET($M$15,0,0,$B$8,1))=FN$14))   /   SUM(OFFSET($BO$15,0,0,$B$14,1)) + $B$18/($B$19*$B$19*($DN188&lt;&gt;$DO188) + $B$19*($DN188=$DO188))</f>
        <v>3.7037037037037035E-4</v>
      </c>
      <c r="FO188" s="10" cm="1">
        <f t="array" aca="1" ref="FO188" ca="1">(1-$B$18)*SUMPRODUCT(OFFSET($BO$15,0,0,$B$14,1), 1*(_xlfn._xlws.FILTER(OFFSET($O$15,0,$DN188,$B$8,1),OFFSET($M$15,0,0,$B$8,1))=FO$13), 1*(_xlfn._xlws.FILTER(OFFSET($O$15,0,$DO188,$B$8,1),OFFSET($M$15,0,0,$B$8,1))=FO$14))   /   SUM(OFFSET($BO$15,0,0,$B$14,1)) + $B$18/($B$19*$B$19*($DN188&lt;&gt;$DO188) + $B$19*($DN188=$DO188))</f>
        <v>3.7037037037037035E-4</v>
      </c>
      <c r="FP188" s="10" cm="1">
        <f t="array" aca="1" ref="FP188" ca="1">(1-$B$18)*SUMPRODUCT(OFFSET($BO$15,0,0,$B$14,1), 1*(_xlfn._xlws.FILTER(OFFSET($O$15,0,$DN188,$B$8,1),OFFSET($M$15,0,0,$B$8,1))=FP$13), 1*(_xlfn._xlws.FILTER(OFFSET($O$15,0,$DO188,$B$8,1),OFFSET($M$15,0,0,$B$8,1))=FP$14))   /   SUM(OFFSET($BO$15,0,0,$B$14,1)) + $B$18/($B$19*$B$19*($DN188&lt;&gt;$DO188) + $B$19*($DN188=$DO188))</f>
        <v>3.7037037037037035E-4</v>
      </c>
      <c r="FQ188" s="10" cm="1">
        <f t="array" aca="1" ref="FQ188" ca="1">(1-$B$18)*SUMPRODUCT(OFFSET($BO$15,0,0,$B$14,1), 1*(_xlfn._xlws.FILTER(OFFSET($O$15,0,$DN188,$B$8,1),OFFSET($M$15,0,0,$B$8,1))=FQ$13), 1*(_xlfn._xlws.FILTER(OFFSET($O$15,0,$DO188,$B$8,1),OFFSET($M$15,0,0,$B$8,1))=FQ$14))   /   SUM(OFFSET($BO$15,0,0,$B$14,1)) + $B$18/($B$19*$B$19*($DN188&lt;&gt;$DO188) + $B$19*($DN188=$DO188))</f>
        <v>3.7037037037037035E-4</v>
      </c>
      <c r="FR188" s="10" cm="1">
        <f t="array" aca="1" ref="FR188" ca="1">(1-$B$18)*SUMPRODUCT(OFFSET($BO$15,0,0,$B$14,1), 1*(_xlfn._xlws.FILTER(OFFSET($O$15,0,$DN188,$B$8,1),OFFSET($M$15,0,0,$B$8,1))=FR$13), 1*(_xlfn._xlws.FILTER(OFFSET($O$15,0,$DO188,$B$8,1),OFFSET($M$15,0,0,$B$8,1))=FR$14))   /   SUM(OFFSET($BO$15,0,0,$B$14,1)) + $B$18/($B$19*$B$19*($DN188&lt;&gt;$DO188) + $B$19*($DN188=$DO188))</f>
        <v>0.97037037037037033</v>
      </c>
      <c r="FS188" s="10" cm="1">
        <f t="array" aca="1" ref="FS188" ca="1">(1-$B$18)*SUMPRODUCT(OFFSET($BO$15,0,0,$B$14,1), 1*(_xlfn._xlws.FILTER(OFFSET($O$15,0,$DN188,$B$8,1),OFFSET($M$15,0,0,$B$8,1))=FS$13), 1*(_xlfn._xlws.FILTER(OFFSET($O$15,0,$DO188,$B$8,1),OFFSET($M$15,0,0,$B$8,1))=FS$14))   /   SUM(OFFSET($BO$15,0,0,$B$14,1)) + $B$18/($B$19*$B$19*($DN188&lt;&gt;$DO188) + $B$19*($DN188=$DO188))</f>
        <v>3.7037037037037035E-4</v>
      </c>
      <c r="FT188" s="10" cm="1">
        <f t="array" aca="1" ref="FT188" ca="1">(1-$B$18)*SUMPRODUCT(OFFSET($BO$15,0,0,$B$14,1), 1*(_xlfn._xlws.FILTER(OFFSET($O$15,0,$DN188,$B$8,1),OFFSET($M$15,0,0,$B$8,1))=FT$13), 1*(_xlfn._xlws.FILTER(OFFSET($O$15,0,$DO188,$B$8,1),OFFSET($M$15,0,0,$B$8,1))=FT$14))   /   SUM(OFFSET($BO$15,0,0,$B$14,1)) + $B$18/($B$19*$B$19*($DN188&lt;&gt;$DO188) + $B$19*($DN188=$DO188))</f>
        <v>3.7037037037037035E-4</v>
      </c>
      <c r="FU188" s="10" cm="1">
        <f t="array" aca="1" ref="FU188" ca="1">(1-$B$18)*SUMPRODUCT(OFFSET($BO$15,0,0,$B$14,1), 1*(_xlfn._xlws.FILTER(OFFSET($O$15,0,$DN188,$B$8,1),OFFSET($M$15,0,0,$B$8,1))=FU$13), 1*(_xlfn._xlws.FILTER(OFFSET($O$15,0,$DO188,$B$8,1),OFFSET($M$15,0,0,$B$8,1))=FU$14))   /   SUM(OFFSET($BO$15,0,0,$B$14,1)) + $B$18/($B$19*$B$19*($DN188&lt;&gt;$DO188) + $B$19*($DN188=$DO188))</f>
        <v>3.7037037037037035E-4</v>
      </c>
      <c r="FV188" s="10" cm="1">
        <f t="array" aca="1" ref="FV188" ca="1">(1-$B$18)*SUMPRODUCT(OFFSET($BO$15,0,0,$B$14,1), 1*(_xlfn._xlws.FILTER(OFFSET($O$15,0,$DN188,$B$8,1),OFFSET($M$15,0,0,$B$8,1))=FV$13), 1*(_xlfn._xlws.FILTER(OFFSET($O$15,0,$DO188,$B$8,1),OFFSET($M$15,0,0,$B$8,1))=FV$14))   /   SUM(OFFSET($BO$15,0,0,$B$14,1)) + $B$18/($B$19*$B$19*($DN188&lt;&gt;$DO188) + $B$19*($DN188=$DO188))</f>
        <v>3.7037037037037035E-4</v>
      </c>
      <c r="FW188" s="10" cm="1">
        <f t="array" aca="1" ref="FW188" ca="1">(1-$B$18)*SUMPRODUCT(OFFSET($BO$15,0,0,$B$14,1), 1*(_xlfn._xlws.FILTER(OFFSET($O$15,0,$DN188,$B$8,1),OFFSET($M$15,0,0,$B$8,1))=FW$13), 1*(_xlfn._xlws.FILTER(OFFSET($O$15,0,$DO188,$B$8,1),OFFSET($M$15,0,0,$B$8,1))=FW$14))   /   SUM(OFFSET($BO$15,0,0,$B$14,1)) + $B$18/($B$19*$B$19*($DN188&lt;&gt;$DO188) + $B$19*($DN188=$DO188))</f>
        <v>3.7037037037037035E-4</v>
      </c>
      <c r="FX188" s="10" cm="1">
        <f t="array" aca="1" ref="FX188" ca="1">(1-$B$18)*SUMPRODUCT(OFFSET($BO$15,0,0,$B$14,1), 1*(_xlfn._xlws.FILTER(OFFSET($O$15,0,$DN188,$B$8,1),OFFSET($M$15,0,0,$B$8,1))=FX$13), 1*(_xlfn._xlws.FILTER(OFFSET($O$15,0,$DO188,$B$8,1),OFFSET($M$15,0,0,$B$8,1))=FX$14))   /   SUM(OFFSET($BO$15,0,0,$B$14,1)) + $B$18/($B$19*$B$19*($DN188&lt;&gt;$DO188) + $B$19*($DN188=$DO188))</f>
        <v>3.7037037037037035E-4</v>
      </c>
      <c r="FY188" s="10" cm="1">
        <f t="array" aca="1" ref="FY188" ca="1">(1-$B$18)*SUMPRODUCT(OFFSET($BO$15,0,0,$B$14,1), 1*(_xlfn._xlws.FILTER(OFFSET($O$15,0,$DN188,$B$8,1),OFFSET($M$15,0,0,$B$8,1))=FY$13), 1*(_xlfn._xlws.FILTER(OFFSET($O$15,0,$DO188,$B$8,1),OFFSET($M$15,0,0,$B$8,1))=FY$14))   /   SUM(OFFSET($BO$15,0,0,$B$14,1)) + $B$18/($B$19*$B$19*($DN188&lt;&gt;$DO188) + $B$19*($DN188=$DO188))</f>
        <v>3.7037037037037035E-4</v>
      </c>
      <c r="FZ188" s="10" cm="1">
        <f t="array" aca="1" ref="FZ188" ca="1">(1-$B$18)*SUMPRODUCT(OFFSET($BO$15,0,0,$B$14,1), 1*(_xlfn._xlws.FILTER(OFFSET($O$15,0,$DN188,$B$8,1),OFFSET($M$15,0,0,$B$8,1))=FZ$13), 1*(_xlfn._xlws.FILTER(OFFSET($O$15,0,$DO188,$B$8,1),OFFSET($M$15,0,0,$B$8,1))=FZ$14))   /   SUM(OFFSET($BO$15,0,0,$B$14,1)) + $B$18/($B$19*$B$19*($DN188&lt;&gt;$DO188) + $B$19*($DN188=$DO188))</f>
        <v>3.7037037037037035E-4</v>
      </c>
      <c r="GA188" s="10" cm="1">
        <f t="array" aca="1" ref="GA188" ca="1">(1-$B$18)*SUMPRODUCT(OFFSET($BO$15,0,0,$B$14,1), 1*(_xlfn._xlws.FILTER(OFFSET($O$15,0,$DN188,$B$8,1),OFFSET($M$15,0,0,$B$8,1))=GA$13), 1*(_xlfn._xlws.FILTER(OFFSET($O$15,0,$DO188,$B$8,1),OFFSET($M$15,0,0,$B$8,1))=GA$14))   /   SUM(OFFSET($BO$15,0,0,$B$14,1)) + $B$18/($B$19*$B$19*($DN188&lt;&gt;$DO188) + $B$19*($DN188=$DO188))</f>
        <v>3.7037037037037035E-4</v>
      </c>
    </row>
    <row r="189" spans="118:183" x14ac:dyDescent="0.2">
      <c r="DN189" cm="1">
        <f t="array" aca="1" ref="DN189" ca="1">INDEX(_xlfn.ANCHORARRAY($CP$15), 1 + INT((ROWS($DO$15:$DO189) - 1) / ROWS(_xlfn.ANCHORARRAY($CP$15))))</f>
        <v>9</v>
      </c>
      <c r="DO189" cm="1">
        <f t="array" aca="1" ref="DO189" ca="1">INDEX(_xlfn.ANCHORARRAY($CP$15),1+MOD(ROWS($DO$15:$DO189)-1,ROWS(_xlfn.ANCHORARRAY($CP$15))))</f>
        <v>3</v>
      </c>
      <c r="DP189" s="10" cm="1">
        <f t="array" aca="1" ref="DP189" ca="1">(1-$B$18)*SUMPRODUCT(OFFSET($BO$15,0,0,$B$14,1), 1*(_xlfn._xlws.FILTER(OFFSET($O$15,0,$DN189,$B$8,1),OFFSET($M$15,0,0,$B$8,1))=DP$13), 1*(_xlfn._xlws.FILTER(OFFSET($O$15,0,$DO189,$B$8,1),OFFSET($M$15,0,0,$B$8,1))=DP$14))   /   SUM(OFFSET($BO$15,0,0,$B$14,1)) + $B$18/($B$19*$B$19*($DN189&lt;&gt;$DO189) + $B$19*($DN189=$DO189))</f>
        <v>3.7037037037037035E-4</v>
      </c>
      <c r="DQ189" s="10" cm="1">
        <f t="array" aca="1" ref="DQ189" ca="1">(1-$B$18)*SUMPRODUCT(OFFSET($BO$15,0,0,$B$14,1), 1*(_xlfn._xlws.FILTER(OFFSET($O$15,0,$DN189,$B$8,1),OFFSET($M$15,0,0,$B$8,1))=DQ$13), 1*(_xlfn._xlws.FILTER(OFFSET($O$15,0,$DO189,$B$8,1),OFFSET($M$15,0,0,$B$8,1))=DQ$14))   /   SUM(OFFSET($BO$15,0,0,$B$14,1)) + $B$18/($B$19*$B$19*($DN189&lt;&gt;$DO189) + $B$19*($DN189=$DO189))</f>
        <v>3.7037037037037035E-4</v>
      </c>
      <c r="DR189" s="10" cm="1">
        <f t="array" aca="1" ref="DR189" ca="1">(1-$B$18)*SUMPRODUCT(OFFSET($BO$15,0,0,$B$14,1), 1*(_xlfn._xlws.FILTER(OFFSET($O$15,0,$DN189,$B$8,1),OFFSET($M$15,0,0,$B$8,1))=DR$13), 1*(_xlfn._xlws.FILTER(OFFSET($O$15,0,$DO189,$B$8,1),OFFSET($M$15,0,0,$B$8,1))=DR$14))   /   SUM(OFFSET($BO$15,0,0,$B$14,1)) + $B$18/($B$19*$B$19*($DN189&lt;&gt;$DO189) + $B$19*($DN189=$DO189))</f>
        <v>3.7037037037037035E-4</v>
      </c>
      <c r="DS189" s="10" cm="1">
        <f t="array" aca="1" ref="DS189" ca="1">(1-$B$18)*SUMPRODUCT(OFFSET($BO$15,0,0,$B$14,1), 1*(_xlfn._xlws.FILTER(OFFSET($O$15,0,$DN189,$B$8,1),OFFSET($M$15,0,0,$B$8,1))=DS$13), 1*(_xlfn._xlws.FILTER(OFFSET($O$15,0,$DO189,$B$8,1),OFFSET($M$15,0,0,$B$8,1))=DS$14))   /   SUM(OFFSET($BO$15,0,0,$B$14,1)) + $B$18/($B$19*$B$19*($DN189&lt;&gt;$DO189) + $B$19*($DN189=$DO189))</f>
        <v>3.7037037037037035E-4</v>
      </c>
      <c r="DT189" s="10" cm="1">
        <f t="array" aca="1" ref="DT189" ca="1">(1-$B$18)*SUMPRODUCT(OFFSET($BO$15,0,0,$B$14,1), 1*(_xlfn._xlws.FILTER(OFFSET($O$15,0,$DN189,$B$8,1),OFFSET($M$15,0,0,$B$8,1))=DT$13), 1*(_xlfn._xlws.FILTER(OFFSET($O$15,0,$DO189,$B$8,1),OFFSET($M$15,0,0,$B$8,1))=DT$14))   /   SUM(OFFSET($BO$15,0,0,$B$14,1)) + $B$18/($B$19*$B$19*($DN189&lt;&gt;$DO189) + $B$19*($DN189=$DO189))</f>
        <v>3.7037037037037035E-4</v>
      </c>
      <c r="DU189" s="10" cm="1">
        <f t="array" aca="1" ref="DU189" ca="1">(1-$B$18)*SUMPRODUCT(OFFSET($BO$15,0,0,$B$14,1), 1*(_xlfn._xlws.FILTER(OFFSET($O$15,0,$DN189,$B$8,1),OFFSET($M$15,0,0,$B$8,1))=DU$13), 1*(_xlfn._xlws.FILTER(OFFSET($O$15,0,$DO189,$B$8,1),OFFSET($M$15,0,0,$B$8,1))=DU$14))   /   SUM(OFFSET($BO$15,0,0,$B$14,1)) + $B$18/($B$19*$B$19*($DN189&lt;&gt;$DO189) + $B$19*($DN189=$DO189))</f>
        <v>3.7037037037037035E-4</v>
      </c>
      <c r="DV189" s="10" cm="1">
        <f t="array" aca="1" ref="DV189" ca="1">(1-$B$18)*SUMPRODUCT(OFFSET($BO$15,0,0,$B$14,1), 1*(_xlfn._xlws.FILTER(OFFSET($O$15,0,$DN189,$B$8,1),OFFSET($M$15,0,0,$B$8,1))=DV$13), 1*(_xlfn._xlws.FILTER(OFFSET($O$15,0,$DO189,$B$8,1),OFFSET($M$15,0,0,$B$8,1))=DV$14))   /   SUM(OFFSET($BO$15,0,0,$B$14,1)) + $B$18/($B$19*$B$19*($DN189&lt;&gt;$DO189) + $B$19*($DN189=$DO189))</f>
        <v>3.7037037037037035E-4</v>
      </c>
      <c r="DW189" s="10" cm="1">
        <f t="array" aca="1" ref="DW189" ca="1">(1-$B$18)*SUMPRODUCT(OFFSET($BO$15,0,0,$B$14,1), 1*(_xlfn._xlws.FILTER(OFFSET($O$15,0,$DN189,$B$8,1),OFFSET($M$15,0,0,$B$8,1))=DW$13), 1*(_xlfn._xlws.FILTER(OFFSET($O$15,0,$DO189,$B$8,1),OFFSET($M$15,0,0,$B$8,1))=DW$14))   /   SUM(OFFSET($BO$15,0,0,$B$14,1)) + $B$18/($B$19*$B$19*($DN189&lt;&gt;$DO189) + $B$19*($DN189=$DO189))</f>
        <v>3.7037037037037035E-4</v>
      </c>
      <c r="DX189" s="10" cm="1">
        <f t="array" aca="1" ref="DX189" ca="1">(1-$B$18)*SUMPRODUCT(OFFSET($BO$15,0,0,$B$14,1), 1*(_xlfn._xlws.FILTER(OFFSET($O$15,0,$DN189,$B$8,1),OFFSET($M$15,0,0,$B$8,1))=DX$13), 1*(_xlfn._xlws.FILTER(OFFSET($O$15,0,$DO189,$B$8,1),OFFSET($M$15,0,0,$B$8,1))=DX$14))   /   SUM(OFFSET($BO$15,0,0,$B$14,1)) + $B$18/($B$19*$B$19*($DN189&lt;&gt;$DO189) + $B$19*($DN189=$DO189))</f>
        <v>3.7037037037037035E-4</v>
      </c>
      <c r="DY189" s="10" cm="1">
        <f t="array" aca="1" ref="DY189" ca="1">(1-$B$18)*SUMPRODUCT(OFFSET($BO$15,0,0,$B$14,1), 1*(_xlfn._xlws.FILTER(OFFSET($O$15,0,$DN189,$B$8,1),OFFSET($M$15,0,0,$B$8,1))=DY$13), 1*(_xlfn._xlws.FILTER(OFFSET($O$15,0,$DO189,$B$8,1),OFFSET($M$15,0,0,$B$8,1))=DY$14))   /   SUM(OFFSET($BO$15,0,0,$B$14,1)) + $B$18/($B$19*$B$19*($DN189&lt;&gt;$DO189) + $B$19*($DN189=$DO189))</f>
        <v>3.7037037037037035E-4</v>
      </c>
      <c r="DZ189" s="10" cm="1">
        <f t="array" aca="1" ref="DZ189" ca="1">(1-$B$18)*SUMPRODUCT(OFFSET($BO$15,0,0,$B$14,1), 1*(_xlfn._xlws.FILTER(OFFSET($O$15,0,$DN189,$B$8,1),OFFSET($M$15,0,0,$B$8,1))=DZ$13), 1*(_xlfn._xlws.FILTER(OFFSET($O$15,0,$DO189,$B$8,1),OFFSET($M$15,0,0,$B$8,1))=DZ$14))   /   SUM(OFFSET($BO$15,0,0,$B$14,1)) + $B$18/($B$19*$B$19*($DN189&lt;&gt;$DO189) + $B$19*($DN189=$DO189))</f>
        <v>3.7037037037037035E-4</v>
      </c>
      <c r="EA189" s="10" cm="1">
        <f t="array" aca="1" ref="EA189" ca="1">(1-$B$18)*SUMPRODUCT(OFFSET($BO$15,0,0,$B$14,1), 1*(_xlfn._xlws.FILTER(OFFSET($O$15,0,$DN189,$B$8,1),OFFSET($M$15,0,0,$B$8,1))=EA$13), 1*(_xlfn._xlws.FILTER(OFFSET($O$15,0,$DO189,$B$8,1),OFFSET($M$15,0,0,$B$8,1))=EA$14))   /   SUM(OFFSET($BO$15,0,0,$B$14,1)) + $B$18/($B$19*$B$19*($DN189&lt;&gt;$DO189) + $B$19*($DN189=$DO189))</f>
        <v>3.7037037037037035E-4</v>
      </c>
      <c r="EB189" s="10" cm="1">
        <f t="array" aca="1" ref="EB189" ca="1">(1-$B$18)*SUMPRODUCT(OFFSET($BO$15,0,0,$B$14,1), 1*(_xlfn._xlws.FILTER(OFFSET($O$15,0,$DN189,$B$8,1),OFFSET($M$15,0,0,$B$8,1))=EB$13), 1*(_xlfn._xlws.FILTER(OFFSET($O$15,0,$DO189,$B$8,1),OFFSET($M$15,0,0,$B$8,1))=EB$14))   /   SUM(OFFSET($BO$15,0,0,$B$14,1)) + $B$18/($B$19*$B$19*($DN189&lt;&gt;$DO189) + $B$19*($DN189=$DO189))</f>
        <v>3.7037037037037035E-4</v>
      </c>
      <c r="EC189" s="10" cm="1">
        <f t="array" aca="1" ref="EC189" ca="1">(1-$B$18)*SUMPRODUCT(OFFSET($BO$15,0,0,$B$14,1), 1*(_xlfn._xlws.FILTER(OFFSET($O$15,0,$DN189,$B$8,1),OFFSET($M$15,0,0,$B$8,1))=EC$13), 1*(_xlfn._xlws.FILTER(OFFSET($O$15,0,$DO189,$B$8,1),OFFSET($M$15,0,0,$B$8,1))=EC$14))   /   SUM(OFFSET($BO$15,0,0,$B$14,1)) + $B$18/($B$19*$B$19*($DN189&lt;&gt;$DO189) + $B$19*($DN189=$DO189))</f>
        <v>3.7037037037037035E-4</v>
      </c>
      <c r="ED189" s="10" cm="1">
        <f t="array" aca="1" ref="ED189" ca="1">(1-$B$18)*SUMPRODUCT(OFFSET($BO$15,0,0,$B$14,1), 1*(_xlfn._xlws.FILTER(OFFSET($O$15,0,$DN189,$B$8,1),OFFSET($M$15,0,0,$B$8,1))=ED$13), 1*(_xlfn._xlws.FILTER(OFFSET($O$15,0,$DO189,$B$8,1),OFFSET($M$15,0,0,$B$8,1))=ED$14))   /   SUM(OFFSET($BO$15,0,0,$B$14,1)) + $B$18/($B$19*$B$19*($DN189&lt;&gt;$DO189) + $B$19*($DN189=$DO189))</f>
        <v>3.7037037037037035E-4</v>
      </c>
      <c r="EE189" s="10" cm="1">
        <f t="array" aca="1" ref="EE189" ca="1">(1-$B$18)*SUMPRODUCT(OFFSET($BO$15,0,0,$B$14,1), 1*(_xlfn._xlws.FILTER(OFFSET($O$15,0,$DN189,$B$8,1),OFFSET($M$15,0,0,$B$8,1))=EE$13), 1*(_xlfn._xlws.FILTER(OFFSET($O$15,0,$DO189,$B$8,1),OFFSET($M$15,0,0,$B$8,1))=EE$14))   /   SUM(OFFSET($BO$15,0,0,$B$14,1)) + $B$18/($B$19*$B$19*($DN189&lt;&gt;$DO189) + $B$19*($DN189=$DO189))</f>
        <v>3.7037037037037035E-4</v>
      </c>
      <c r="EF189" s="10" cm="1">
        <f t="array" aca="1" ref="EF189" ca="1">(1-$B$18)*SUMPRODUCT(OFFSET($BO$15,0,0,$B$14,1), 1*(_xlfn._xlws.FILTER(OFFSET($O$15,0,$DN189,$B$8,1),OFFSET($M$15,0,0,$B$8,1))=EF$13), 1*(_xlfn._xlws.FILTER(OFFSET($O$15,0,$DO189,$B$8,1),OFFSET($M$15,0,0,$B$8,1))=EF$14))   /   SUM(OFFSET($BO$15,0,0,$B$14,1)) + $B$18/($B$19*$B$19*($DN189&lt;&gt;$DO189) + $B$19*($DN189=$DO189))</f>
        <v>3.7037037037037035E-4</v>
      </c>
      <c r="EG189" s="10" cm="1">
        <f t="array" aca="1" ref="EG189" ca="1">(1-$B$18)*SUMPRODUCT(OFFSET($BO$15,0,0,$B$14,1), 1*(_xlfn._xlws.FILTER(OFFSET($O$15,0,$DN189,$B$8,1),OFFSET($M$15,0,0,$B$8,1))=EG$13), 1*(_xlfn._xlws.FILTER(OFFSET($O$15,0,$DO189,$B$8,1),OFFSET($M$15,0,0,$B$8,1))=EG$14))   /   SUM(OFFSET($BO$15,0,0,$B$14,1)) + $B$18/($B$19*$B$19*($DN189&lt;&gt;$DO189) + $B$19*($DN189=$DO189))</f>
        <v>3.7037037037037035E-4</v>
      </c>
      <c r="EH189" s="10" cm="1">
        <f t="array" aca="1" ref="EH189" ca="1">(1-$B$18)*SUMPRODUCT(OFFSET($BO$15,0,0,$B$14,1), 1*(_xlfn._xlws.FILTER(OFFSET($O$15,0,$DN189,$B$8,1),OFFSET($M$15,0,0,$B$8,1))=EH$13), 1*(_xlfn._xlws.FILTER(OFFSET($O$15,0,$DO189,$B$8,1),OFFSET($M$15,0,0,$B$8,1))=EH$14))   /   SUM(OFFSET($BO$15,0,0,$B$14,1)) + $B$18/($B$19*$B$19*($DN189&lt;&gt;$DO189) + $B$19*($DN189=$DO189))</f>
        <v>3.7037037037037035E-4</v>
      </c>
      <c r="EI189" s="10" cm="1">
        <f t="array" aca="1" ref="EI189" ca="1">(1-$B$18)*SUMPRODUCT(OFFSET($BO$15,0,0,$B$14,1), 1*(_xlfn._xlws.FILTER(OFFSET($O$15,0,$DN189,$B$8,1),OFFSET($M$15,0,0,$B$8,1))=EI$13), 1*(_xlfn._xlws.FILTER(OFFSET($O$15,0,$DO189,$B$8,1),OFFSET($M$15,0,0,$B$8,1))=EI$14))   /   SUM(OFFSET($BO$15,0,0,$B$14,1)) + $B$18/($B$19*$B$19*($DN189&lt;&gt;$DO189) + $B$19*($DN189=$DO189))</f>
        <v>3.7037037037037035E-4</v>
      </c>
      <c r="EJ189" s="10" cm="1">
        <f t="array" aca="1" ref="EJ189" ca="1">(1-$B$18)*SUMPRODUCT(OFFSET($BO$15,0,0,$B$14,1), 1*(_xlfn._xlws.FILTER(OFFSET($O$15,0,$DN189,$B$8,1),OFFSET($M$15,0,0,$B$8,1))=EJ$13), 1*(_xlfn._xlws.FILTER(OFFSET($O$15,0,$DO189,$B$8,1),OFFSET($M$15,0,0,$B$8,1))=EJ$14))   /   SUM(OFFSET($BO$15,0,0,$B$14,1)) + $B$18/($B$19*$B$19*($DN189&lt;&gt;$DO189) + $B$19*($DN189=$DO189))</f>
        <v>3.7037037037037035E-4</v>
      </c>
      <c r="EK189" s="10" cm="1">
        <f t="array" aca="1" ref="EK189" ca="1">(1-$B$18)*SUMPRODUCT(OFFSET($BO$15,0,0,$B$14,1), 1*(_xlfn._xlws.FILTER(OFFSET($O$15,0,$DN189,$B$8,1),OFFSET($M$15,0,0,$B$8,1))=EK$13), 1*(_xlfn._xlws.FILTER(OFFSET($O$15,0,$DO189,$B$8,1),OFFSET($M$15,0,0,$B$8,1))=EK$14))   /   SUM(OFFSET($BO$15,0,0,$B$14,1)) + $B$18/($B$19*$B$19*($DN189&lt;&gt;$DO189) + $B$19*($DN189=$DO189))</f>
        <v>3.7037037037037035E-4</v>
      </c>
      <c r="EL189" s="10" cm="1">
        <f t="array" aca="1" ref="EL189" ca="1">(1-$B$18)*SUMPRODUCT(OFFSET($BO$15,0,0,$B$14,1), 1*(_xlfn._xlws.FILTER(OFFSET($O$15,0,$DN189,$B$8,1),OFFSET($M$15,0,0,$B$8,1))=EL$13), 1*(_xlfn._xlws.FILTER(OFFSET($O$15,0,$DO189,$B$8,1),OFFSET($M$15,0,0,$B$8,1))=EL$14))   /   SUM(OFFSET($BO$15,0,0,$B$14,1)) + $B$18/($B$19*$B$19*($DN189&lt;&gt;$DO189) + $B$19*($DN189=$DO189))</f>
        <v>3.7037037037037035E-4</v>
      </c>
      <c r="EM189" s="10" cm="1">
        <f t="array" aca="1" ref="EM189" ca="1">(1-$B$18)*SUMPRODUCT(OFFSET($BO$15,0,0,$B$14,1), 1*(_xlfn._xlws.FILTER(OFFSET($O$15,0,$DN189,$B$8,1),OFFSET($M$15,0,0,$B$8,1))=EM$13), 1*(_xlfn._xlws.FILTER(OFFSET($O$15,0,$DO189,$B$8,1),OFFSET($M$15,0,0,$B$8,1))=EM$14))   /   SUM(OFFSET($BO$15,0,0,$B$14,1)) + $B$18/($B$19*$B$19*($DN189&lt;&gt;$DO189) + $B$19*($DN189=$DO189))</f>
        <v>3.7037037037037035E-4</v>
      </c>
      <c r="EN189" s="10" cm="1">
        <f t="array" aca="1" ref="EN189" ca="1">(1-$B$18)*SUMPRODUCT(OFFSET($BO$15,0,0,$B$14,1), 1*(_xlfn._xlws.FILTER(OFFSET($O$15,0,$DN189,$B$8,1),OFFSET($M$15,0,0,$B$8,1))=EN$13), 1*(_xlfn._xlws.FILTER(OFFSET($O$15,0,$DO189,$B$8,1),OFFSET($M$15,0,0,$B$8,1))=EN$14))   /   SUM(OFFSET($BO$15,0,0,$B$14,1)) + $B$18/($B$19*$B$19*($DN189&lt;&gt;$DO189) + $B$19*($DN189=$DO189))</f>
        <v>3.7037037037037035E-4</v>
      </c>
      <c r="EO189" s="10" cm="1">
        <f t="array" aca="1" ref="EO189" ca="1">(1-$B$18)*SUMPRODUCT(OFFSET($BO$15,0,0,$B$14,1), 1*(_xlfn._xlws.FILTER(OFFSET($O$15,0,$DN189,$B$8,1),OFFSET($M$15,0,0,$B$8,1))=EO$13), 1*(_xlfn._xlws.FILTER(OFFSET($O$15,0,$DO189,$B$8,1),OFFSET($M$15,0,0,$B$8,1))=EO$14))   /   SUM(OFFSET($BO$15,0,0,$B$14,1)) + $B$18/($B$19*$B$19*($DN189&lt;&gt;$DO189) + $B$19*($DN189=$DO189))</f>
        <v>3.7037037037037035E-4</v>
      </c>
      <c r="EP189" s="10" cm="1">
        <f t="array" aca="1" ref="EP189" ca="1">(1-$B$18)*SUMPRODUCT(OFFSET($BO$15,0,0,$B$14,1), 1*(_xlfn._xlws.FILTER(OFFSET($O$15,0,$DN189,$B$8,1),OFFSET($M$15,0,0,$B$8,1))=EP$13), 1*(_xlfn._xlws.FILTER(OFFSET($O$15,0,$DO189,$B$8,1),OFFSET($M$15,0,0,$B$8,1))=EP$14))   /   SUM(OFFSET($BO$15,0,0,$B$14,1)) + $B$18/($B$19*$B$19*($DN189&lt;&gt;$DO189) + $B$19*($DN189=$DO189))</f>
        <v>3.7037037037037035E-4</v>
      </c>
      <c r="EQ189" s="10" cm="1">
        <f t="array" aca="1" ref="EQ189" ca="1">(1-$B$18)*SUMPRODUCT(OFFSET($BO$15,0,0,$B$14,1), 1*(_xlfn._xlws.FILTER(OFFSET($O$15,0,$DN189,$B$8,1),OFFSET($M$15,0,0,$B$8,1))=EQ$13), 1*(_xlfn._xlws.FILTER(OFFSET($O$15,0,$DO189,$B$8,1),OFFSET($M$15,0,0,$B$8,1))=EQ$14))   /   SUM(OFFSET($BO$15,0,0,$B$14,1)) + $B$18/($B$19*$B$19*($DN189&lt;&gt;$DO189) + $B$19*($DN189=$DO189))</f>
        <v>3.7037037037037035E-4</v>
      </c>
      <c r="ER189" s="10" cm="1">
        <f t="array" aca="1" ref="ER189" ca="1">(1-$B$18)*SUMPRODUCT(OFFSET($BO$15,0,0,$B$14,1), 1*(_xlfn._xlws.FILTER(OFFSET($O$15,0,$DN189,$B$8,1),OFFSET($M$15,0,0,$B$8,1))=ER$13), 1*(_xlfn._xlws.FILTER(OFFSET($O$15,0,$DO189,$B$8,1),OFFSET($M$15,0,0,$B$8,1))=ER$14))   /   SUM(OFFSET($BO$15,0,0,$B$14,1)) + $B$18/($B$19*$B$19*($DN189&lt;&gt;$DO189) + $B$19*($DN189=$DO189))</f>
        <v>3.7037037037037035E-4</v>
      </c>
      <c r="ES189" s="10" cm="1">
        <f t="array" aca="1" ref="ES189" ca="1">(1-$B$18)*SUMPRODUCT(OFFSET($BO$15,0,0,$B$14,1), 1*(_xlfn._xlws.FILTER(OFFSET($O$15,0,$DN189,$B$8,1),OFFSET($M$15,0,0,$B$8,1))=ES$13), 1*(_xlfn._xlws.FILTER(OFFSET($O$15,0,$DO189,$B$8,1),OFFSET($M$15,0,0,$B$8,1))=ES$14))   /   SUM(OFFSET($BO$15,0,0,$B$14,1)) + $B$18/($B$19*$B$19*($DN189&lt;&gt;$DO189) + $B$19*($DN189=$DO189))</f>
        <v>3.7037037037037035E-4</v>
      </c>
      <c r="ET189" s="10" cm="1">
        <f t="array" aca="1" ref="ET189" ca="1">(1-$B$18)*SUMPRODUCT(OFFSET($BO$15,0,0,$B$14,1), 1*(_xlfn._xlws.FILTER(OFFSET($O$15,0,$DN189,$B$8,1),OFFSET($M$15,0,0,$B$8,1))=ET$13), 1*(_xlfn._xlws.FILTER(OFFSET($O$15,0,$DO189,$B$8,1),OFFSET($M$15,0,0,$B$8,1))=ET$14))   /   SUM(OFFSET($BO$15,0,0,$B$14,1)) + $B$18/($B$19*$B$19*($DN189&lt;&gt;$DO189) + $B$19*($DN189=$DO189))</f>
        <v>3.7037037037037035E-4</v>
      </c>
      <c r="EU189" s="10" cm="1">
        <f t="array" aca="1" ref="EU189" ca="1">(1-$B$18)*SUMPRODUCT(OFFSET($BO$15,0,0,$B$14,1), 1*(_xlfn._xlws.FILTER(OFFSET($O$15,0,$DN189,$B$8,1),OFFSET($M$15,0,0,$B$8,1))=EU$13), 1*(_xlfn._xlws.FILTER(OFFSET($O$15,0,$DO189,$B$8,1),OFFSET($M$15,0,0,$B$8,1))=EU$14))   /   SUM(OFFSET($BO$15,0,0,$B$14,1)) + $B$18/($B$19*$B$19*($DN189&lt;&gt;$DO189) + $B$19*($DN189=$DO189))</f>
        <v>3.7037037037037035E-4</v>
      </c>
      <c r="EV189" s="10" cm="1">
        <f t="array" aca="1" ref="EV189" ca="1">(1-$B$18)*SUMPRODUCT(OFFSET($BO$15,0,0,$B$14,1), 1*(_xlfn._xlws.FILTER(OFFSET($O$15,0,$DN189,$B$8,1),OFFSET($M$15,0,0,$B$8,1))=EV$13), 1*(_xlfn._xlws.FILTER(OFFSET($O$15,0,$DO189,$B$8,1),OFFSET($M$15,0,0,$B$8,1))=EV$14))   /   SUM(OFFSET($BO$15,0,0,$B$14,1)) + $B$18/($B$19*$B$19*($DN189&lt;&gt;$DO189) + $B$19*($DN189=$DO189))</f>
        <v>3.7037037037037035E-4</v>
      </c>
      <c r="EW189" s="10" cm="1">
        <f t="array" aca="1" ref="EW189" ca="1">(1-$B$18)*SUMPRODUCT(OFFSET($BO$15,0,0,$B$14,1), 1*(_xlfn._xlws.FILTER(OFFSET($O$15,0,$DN189,$B$8,1),OFFSET($M$15,0,0,$B$8,1))=EW$13), 1*(_xlfn._xlws.FILTER(OFFSET($O$15,0,$DO189,$B$8,1),OFFSET($M$15,0,0,$B$8,1))=EW$14))   /   SUM(OFFSET($BO$15,0,0,$B$14,1)) + $B$18/($B$19*$B$19*($DN189&lt;&gt;$DO189) + $B$19*($DN189=$DO189))</f>
        <v>3.7037037037037035E-4</v>
      </c>
      <c r="EX189" s="10" cm="1">
        <f t="array" aca="1" ref="EX189" ca="1">(1-$B$18)*SUMPRODUCT(OFFSET($BO$15,0,0,$B$14,1), 1*(_xlfn._xlws.FILTER(OFFSET($O$15,0,$DN189,$B$8,1),OFFSET($M$15,0,0,$B$8,1))=EX$13), 1*(_xlfn._xlws.FILTER(OFFSET($O$15,0,$DO189,$B$8,1),OFFSET($M$15,0,0,$B$8,1))=EX$14))   /   SUM(OFFSET($BO$15,0,0,$B$14,1)) + $B$18/($B$19*$B$19*($DN189&lt;&gt;$DO189) + $B$19*($DN189=$DO189))</f>
        <v>3.7037037037037035E-4</v>
      </c>
      <c r="EY189" s="10" cm="1">
        <f t="array" aca="1" ref="EY189" ca="1">(1-$B$18)*SUMPRODUCT(OFFSET($BO$15,0,0,$B$14,1), 1*(_xlfn._xlws.FILTER(OFFSET($O$15,0,$DN189,$B$8,1),OFFSET($M$15,0,0,$B$8,1))=EY$13), 1*(_xlfn._xlws.FILTER(OFFSET($O$15,0,$DO189,$B$8,1),OFFSET($M$15,0,0,$B$8,1))=EY$14))   /   SUM(OFFSET($BO$15,0,0,$B$14,1)) + $B$18/($B$19*$B$19*($DN189&lt;&gt;$DO189) + $B$19*($DN189=$DO189))</f>
        <v>3.7037037037037035E-4</v>
      </c>
      <c r="EZ189" s="10" cm="1">
        <f t="array" aca="1" ref="EZ189" ca="1">(1-$B$18)*SUMPRODUCT(OFFSET($BO$15,0,0,$B$14,1), 1*(_xlfn._xlws.FILTER(OFFSET($O$15,0,$DN189,$B$8,1),OFFSET($M$15,0,0,$B$8,1))=EZ$13), 1*(_xlfn._xlws.FILTER(OFFSET($O$15,0,$DO189,$B$8,1),OFFSET($M$15,0,0,$B$8,1))=EZ$14))   /   SUM(OFFSET($BO$15,0,0,$B$14,1)) + $B$18/($B$19*$B$19*($DN189&lt;&gt;$DO189) + $B$19*($DN189=$DO189))</f>
        <v>3.7037037037037035E-4</v>
      </c>
      <c r="FA189" s="10" cm="1">
        <f t="array" aca="1" ref="FA189" ca="1">(1-$B$18)*SUMPRODUCT(OFFSET($BO$15,0,0,$B$14,1), 1*(_xlfn._xlws.FILTER(OFFSET($O$15,0,$DN189,$B$8,1),OFFSET($M$15,0,0,$B$8,1))=FA$13), 1*(_xlfn._xlws.FILTER(OFFSET($O$15,0,$DO189,$B$8,1),OFFSET($M$15,0,0,$B$8,1))=FA$14))   /   SUM(OFFSET($BO$15,0,0,$B$14,1)) + $B$18/($B$19*$B$19*($DN189&lt;&gt;$DO189) + $B$19*($DN189=$DO189))</f>
        <v>3.7037037037037035E-4</v>
      </c>
      <c r="FB189" s="10" cm="1">
        <f t="array" aca="1" ref="FB189" ca="1">(1-$B$18)*SUMPRODUCT(OFFSET($BO$15,0,0,$B$14,1), 1*(_xlfn._xlws.FILTER(OFFSET($O$15,0,$DN189,$B$8,1),OFFSET($M$15,0,0,$B$8,1))=FB$13), 1*(_xlfn._xlws.FILTER(OFFSET($O$15,0,$DO189,$B$8,1),OFFSET($M$15,0,0,$B$8,1))=FB$14))   /   SUM(OFFSET($BO$15,0,0,$B$14,1)) + $B$18/($B$19*$B$19*($DN189&lt;&gt;$DO189) + $B$19*($DN189=$DO189))</f>
        <v>3.7037037037037035E-4</v>
      </c>
      <c r="FC189" s="10" cm="1">
        <f t="array" aca="1" ref="FC189" ca="1">(1-$B$18)*SUMPRODUCT(OFFSET($BO$15,0,0,$B$14,1), 1*(_xlfn._xlws.FILTER(OFFSET($O$15,0,$DN189,$B$8,1),OFFSET($M$15,0,0,$B$8,1))=FC$13), 1*(_xlfn._xlws.FILTER(OFFSET($O$15,0,$DO189,$B$8,1),OFFSET($M$15,0,0,$B$8,1))=FC$14))   /   SUM(OFFSET($BO$15,0,0,$B$14,1)) + $B$18/($B$19*$B$19*($DN189&lt;&gt;$DO189) + $B$19*($DN189=$DO189))</f>
        <v>3.7037037037037035E-4</v>
      </c>
      <c r="FD189" s="10" cm="1">
        <f t="array" aca="1" ref="FD189" ca="1">(1-$B$18)*SUMPRODUCT(OFFSET($BO$15,0,0,$B$14,1), 1*(_xlfn._xlws.FILTER(OFFSET($O$15,0,$DN189,$B$8,1),OFFSET($M$15,0,0,$B$8,1))=FD$13), 1*(_xlfn._xlws.FILTER(OFFSET($O$15,0,$DO189,$B$8,1),OFFSET($M$15,0,0,$B$8,1))=FD$14))   /   SUM(OFFSET($BO$15,0,0,$B$14,1)) + $B$18/($B$19*$B$19*($DN189&lt;&gt;$DO189) + $B$19*($DN189=$DO189))</f>
        <v>3.7037037037037035E-4</v>
      </c>
      <c r="FE189" s="10" cm="1">
        <f t="array" aca="1" ref="FE189" ca="1">(1-$B$18)*SUMPRODUCT(OFFSET($BO$15,0,0,$B$14,1), 1*(_xlfn._xlws.FILTER(OFFSET($O$15,0,$DN189,$B$8,1),OFFSET($M$15,0,0,$B$8,1))=FE$13), 1*(_xlfn._xlws.FILTER(OFFSET($O$15,0,$DO189,$B$8,1),OFFSET($M$15,0,0,$B$8,1))=FE$14))   /   SUM(OFFSET($BO$15,0,0,$B$14,1)) + $B$18/($B$19*$B$19*($DN189&lt;&gt;$DO189) + $B$19*($DN189=$DO189))</f>
        <v>3.7037037037037035E-4</v>
      </c>
      <c r="FF189" s="10" cm="1">
        <f t="array" aca="1" ref="FF189" ca="1">(1-$B$18)*SUMPRODUCT(OFFSET($BO$15,0,0,$B$14,1), 1*(_xlfn._xlws.FILTER(OFFSET($O$15,0,$DN189,$B$8,1),OFFSET($M$15,0,0,$B$8,1))=FF$13), 1*(_xlfn._xlws.FILTER(OFFSET($O$15,0,$DO189,$B$8,1),OFFSET($M$15,0,0,$B$8,1))=FF$14))   /   SUM(OFFSET($BO$15,0,0,$B$14,1)) + $B$18/($B$19*$B$19*($DN189&lt;&gt;$DO189) + $B$19*($DN189=$DO189))</f>
        <v>3.7037037037037035E-4</v>
      </c>
      <c r="FG189" s="10" cm="1">
        <f t="array" aca="1" ref="FG189" ca="1">(1-$B$18)*SUMPRODUCT(OFFSET($BO$15,0,0,$B$14,1), 1*(_xlfn._xlws.FILTER(OFFSET($O$15,0,$DN189,$B$8,1),OFFSET($M$15,0,0,$B$8,1))=FG$13), 1*(_xlfn._xlws.FILTER(OFFSET($O$15,0,$DO189,$B$8,1),OFFSET($M$15,0,0,$B$8,1))=FG$14))   /   SUM(OFFSET($BO$15,0,0,$B$14,1)) + $B$18/($B$19*$B$19*($DN189&lt;&gt;$DO189) + $B$19*($DN189=$DO189))</f>
        <v>3.7037037037037035E-4</v>
      </c>
      <c r="FH189" s="10" cm="1">
        <f t="array" aca="1" ref="FH189" ca="1">(1-$B$18)*SUMPRODUCT(OFFSET($BO$15,0,0,$B$14,1), 1*(_xlfn._xlws.FILTER(OFFSET($O$15,0,$DN189,$B$8,1),OFFSET($M$15,0,0,$B$8,1))=FH$13), 1*(_xlfn._xlws.FILTER(OFFSET($O$15,0,$DO189,$B$8,1),OFFSET($M$15,0,0,$B$8,1))=FH$14))   /   SUM(OFFSET($BO$15,0,0,$B$14,1)) + $B$18/($B$19*$B$19*($DN189&lt;&gt;$DO189) + $B$19*($DN189=$DO189))</f>
        <v>3.7037037037037035E-4</v>
      </c>
      <c r="FI189" s="10" cm="1">
        <f t="array" aca="1" ref="FI189" ca="1">(1-$B$18)*SUMPRODUCT(OFFSET($BO$15,0,0,$B$14,1), 1*(_xlfn._xlws.FILTER(OFFSET($O$15,0,$DN189,$B$8,1),OFFSET($M$15,0,0,$B$8,1))=FI$13), 1*(_xlfn._xlws.FILTER(OFFSET($O$15,0,$DO189,$B$8,1),OFFSET($M$15,0,0,$B$8,1))=FI$14))   /   SUM(OFFSET($BO$15,0,0,$B$14,1)) + $B$18/($B$19*$B$19*($DN189&lt;&gt;$DO189) + $B$19*($DN189=$DO189))</f>
        <v>3.7037037037037035E-4</v>
      </c>
      <c r="FJ189" s="10" cm="1">
        <f t="array" aca="1" ref="FJ189" ca="1">(1-$B$18)*SUMPRODUCT(OFFSET($BO$15,0,0,$B$14,1), 1*(_xlfn._xlws.FILTER(OFFSET($O$15,0,$DN189,$B$8,1),OFFSET($M$15,0,0,$B$8,1))=FJ$13), 1*(_xlfn._xlws.FILTER(OFFSET($O$15,0,$DO189,$B$8,1),OFFSET($M$15,0,0,$B$8,1))=FJ$14))   /   SUM(OFFSET($BO$15,0,0,$B$14,1)) + $B$18/($B$19*$B$19*($DN189&lt;&gt;$DO189) + $B$19*($DN189=$DO189))</f>
        <v>3.7037037037037035E-4</v>
      </c>
      <c r="FK189" s="10" cm="1">
        <f t="array" aca="1" ref="FK189" ca="1">(1-$B$18)*SUMPRODUCT(OFFSET($BO$15,0,0,$B$14,1), 1*(_xlfn._xlws.FILTER(OFFSET($O$15,0,$DN189,$B$8,1),OFFSET($M$15,0,0,$B$8,1))=FK$13), 1*(_xlfn._xlws.FILTER(OFFSET($O$15,0,$DO189,$B$8,1),OFFSET($M$15,0,0,$B$8,1))=FK$14))   /   SUM(OFFSET($BO$15,0,0,$B$14,1)) + $B$18/($B$19*$B$19*($DN189&lt;&gt;$DO189) + $B$19*($DN189=$DO189))</f>
        <v>3.7037037037037035E-4</v>
      </c>
      <c r="FL189" s="10" cm="1">
        <f t="array" aca="1" ref="FL189" ca="1">(1-$B$18)*SUMPRODUCT(OFFSET($BO$15,0,0,$B$14,1), 1*(_xlfn._xlws.FILTER(OFFSET($O$15,0,$DN189,$B$8,1),OFFSET($M$15,0,0,$B$8,1))=FL$13), 1*(_xlfn._xlws.FILTER(OFFSET($O$15,0,$DO189,$B$8,1),OFFSET($M$15,0,0,$B$8,1))=FL$14))   /   SUM(OFFSET($BO$15,0,0,$B$14,1)) + $B$18/($B$19*$B$19*($DN189&lt;&gt;$DO189) + $B$19*($DN189=$DO189))</f>
        <v>3.7037037037037035E-4</v>
      </c>
      <c r="FM189" s="10" cm="1">
        <f t="array" aca="1" ref="FM189" ca="1">(1-$B$18)*SUMPRODUCT(OFFSET($BO$15,0,0,$B$14,1), 1*(_xlfn._xlws.FILTER(OFFSET($O$15,0,$DN189,$B$8,1),OFFSET($M$15,0,0,$B$8,1))=FM$13), 1*(_xlfn._xlws.FILTER(OFFSET($O$15,0,$DO189,$B$8,1),OFFSET($M$15,0,0,$B$8,1))=FM$14))   /   SUM(OFFSET($BO$15,0,0,$B$14,1)) + $B$18/($B$19*$B$19*($DN189&lt;&gt;$DO189) + $B$19*($DN189=$DO189))</f>
        <v>3.7037037037037035E-4</v>
      </c>
      <c r="FN189" s="10" cm="1">
        <f t="array" aca="1" ref="FN189" ca="1">(1-$B$18)*SUMPRODUCT(OFFSET($BO$15,0,0,$B$14,1), 1*(_xlfn._xlws.FILTER(OFFSET($O$15,0,$DN189,$B$8,1),OFFSET($M$15,0,0,$B$8,1))=FN$13), 1*(_xlfn._xlws.FILTER(OFFSET($O$15,0,$DO189,$B$8,1),OFFSET($M$15,0,0,$B$8,1))=FN$14))   /   SUM(OFFSET($BO$15,0,0,$B$14,1)) + $B$18/($B$19*$B$19*($DN189&lt;&gt;$DO189) + $B$19*($DN189=$DO189))</f>
        <v>3.7037037037037035E-4</v>
      </c>
      <c r="FO189" s="10" cm="1">
        <f t="array" aca="1" ref="FO189" ca="1">(1-$B$18)*SUMPRODUCT(OFFSET($BO$15,0,0,$B$14,1), 1*(_xlfn._xlws.FILTER(OFFSET($O$15,0,$DN189,$B$8,1),OFFSET($M$15,0,0,$B$8,1))=FO$13), 1*(_xlfn._xlws.FILTER(OFFSET($O$15,0,$DO189,$B$8,1),OFFSET($M$15,0,0,$B$8,1))=FO$14))   /   SUM(OFFSET($BO$15,0,0,$B$14,1)) + $B$18/($B$19*$B$19*($DN189&lt;&gt;$DO189) + $B$19*($DN189=$DO189))</f>
        <v>3.7037037037037035E-4</v>
      </c>
      <c r="FP189" s="10" cm="1">
        <f t="array" aca="1" ref="FP189" ca="1">(1-$B$18)*SUMPRODUCT(OFFSET($BO$15,0,0,$B$14,1), 1*(_xlfn._xlws.FILTER(OFFSET($O$15,0,$DN189,$B$8,1),OFFSET($M$15,0,0,$B$8,1))=FP$13), 1*(_xlfn._xlws.FILTER(OFFSET($O$15,0,$DO189,$B$8,1),OFFSET($M$15,0,0,$B$8,1))=FP$14))   /   SUM(OFFSET($BO$15,0,0,$B$14,1)) + $B$18/($B$19*$B$19*($DN189&lt;&gt;$DO189) + $B$19*($DN189=$DO189))</f>
        <v>3.7037037037037035E-4</v>
      </c>
      <c r="FQ189" s="10" cm="1">
        <f t="array" aca="1" ref="FQ189" ca="1">(1-$B$18)*SUMPRODUCT(OFFSET($BO$15,0,0,$B$14,1), 1*(_xlfn._xlws.FILTER(OFFSET($O$15,0,$DN189,$B$8,1),OFFSET($M$15,0,0,$B$8,1))=FQ$13), 1*(_xlfn._xlws.FILTER(OFFSET($O$15,0,$DO189,$B$8,1),OFFSET($M$15,0,0,$B$8,1))=FQ$14))   /   SUM(OFFSET($BO$15,0,0,$B$14,1)) + $B$18/($B$19*$B$19*($DN189&lt;&gt;$DO189) + $B$19*($DN189=$DO189))</f>
        <v>3.7037037037037035E-4</v>
      </c>
      <c r="FR189" s="10" cm="1">
        <f t="array" aca="1" ref="FR189" ca="1">(1-$B$18)*SUMPRODUCT(OFFSET($BO$15,0,0,$B$14,1), 1*(_xlfn._xlws.FILTER(OFFSET($O$15,0,$DN189,$B$8,1),OFFSET($M$15,0,0,$B$8,1))=FR$13), 1*(_xlfn._xlws.FILTER(OFFSET($O$15,0,$DO189,$B$8,1),OFFSET($M$15,0,0,$B$8,1))=FR$14))   /   SUM(OFFSET($BO$15,0,0,$B$14,1)) + $B$18/($B$19*$B$19*($DN189&lt;&gt;$DO189) + $B$19*($DN189=$DO189))</f>
        <v>0.97037037037037033</v>
      </c>
      <c r="FS189" s="10" cm="1">
        <f t="array" aca="1" ref="FS189" ca="1">(1-$B$18)*SUMPRODUCT(OFFSET($BO$15,0,0,$B$14,1), 1*(_xlfn._xlws.FILTER(OFFSET($O$15,0,$DN189,$B$8,1),OFFSET($M$15,0,0,$B$8,1))=FS$13), 1*(_xlfn._xlws.FILTER(OFFSET($O$15,0,$DO189,$B$8,1),OFFSET($M$15,0,0,$B$8,1))=FS$14))   /   SUM(OFFSET($BO$15,0,0,$B$14,1)) + $B$18/($B$19*$B$19*($DN189&lt;&gt;$DO189) + $B$19*($DN189=$DO189))</f>
        <v>3.7037037037037035E-4</v>
      </c>
      <c r="FT189" s="10" cm="1">
        <f t="array" aca="1" ref="FT189" ca="1">(1-$B$18)*SUMPRODUCT(OFFSET($BO$15,0,0,$B$14,1), 1*(_xlfn._xlws.FILTER(OFFSET($O$15,0,$DN189,$B$8,1),OFFSET($M$15,0,0,$B$8,1))=FT$13), 1*(_xlfn._xlws.FILTER(OFFSET($O$15,0,$DO189,$B$8,1),OFFSET($M$15,0,0,$B$8,1))=FT$14))   /   SUM(OFFSET($BO$15,0,0,$B$14,1)) + $B$18/($B$19*$B$19*($DN189&lt;&gt;$DO189) + $B$19*($DN189=$DO189))</f>
        <v>3.7037037037037035E-4</v>
      </c>
      <c r="FU189" s="10" cm="1">
        <f t="array" aca="1" ref="FU189" ca="1">(1-$B$18)*SUMPRODUCT(OFFSET($BO$15,0,0,$B$14,1), 1*(_xlfn._xlws.FILTER(OFFSET($O$15,0,$DN189,$B$8,1),OFFSET($M$15,0,0,$B$8,1))=FU$13), 1*(_xlfn._xlws.FILTER(OFFSET($O$15,0,$DO189,$B$8,1),OFFSET($M$15,0,0,$B$8,1))=FU$14))   /   SUM(OFFSET($BO$15,0,0,$B$14,1)) + $B$18/($B$19*$B$19*($DN189&lt;&gt;$DO189) + $B$19*($DN189=$DO189))</f>
        <v>3.7037037037037035E-4</v>
      </c>
      <c r="FV189" s="10" cm="1">
        <f t="array" aca="1" ref="FV189" ca="1">(1-$B$18)*SUMPRODUCT(OFFSET($BO$15,0,0,$B$14,1), 1*(_xlfn._xlws.FILTER(OFFSET($O$15,0,$DN189,$B$8,1),OFFSET($M$15,0,0,$B$8,1))=FV$13), 1*(_xlfn._xlws.FILTER(OFFSET($O$15,0,$DO189,$B$8,1),OFFSET($M$15,0,0,$B$8,1))=FV$14))   /   SUM(OFFSET($BO$15,0,0,$B$14,1)) + $B$18/($B$19*$B$19*($DN189&lt;&gt;$DO189) + $B$19*($DN189=$DO189))</f>
        <v>3.7037037037037035E-4</v>
      </c>
      <c r="FW189" s="10" cm="1">
        <f t="array" aca="1" ref="FW189" ca="1">(1-$B$18)*SUMPRODUCT(OFFSET($BO$15,0,0,$B$14,1), 1*(_xlfn._xlws.FILTER(OFFSET($O$15,0,$DN189,$B$8,1),OFFSET($M$15,0,0,$B$8,1))=FW$13), 1*(_xlfn._xlws.FILTER(OFFSET($O$15,0,$DO189,$B$8,1),OFFSET($M$15,0,0,$B$8,1))=FW$14))   /   SUM(OFFSET($BO$15,0,0,$B$14,1)) + $B$18/($B$19*$B$19*($DN189&lt;&gt;$DO189) + $B$19*($DN189=$DO189))</f>
        <v>3.7037037037037035E-4</v>
      </c>
      <c r="FX189" s="10" cm="1">
        <f t="array" aca="1" ref="FX189" ca="1">(1-$B$18)*SUMPRODUCT(OFFSET($BO$15,0,0,$B$14,1), 1*(_xlfn._xlws.FILTER(OFFSET($O$15,0,$DN189,$B$8,1),OFFSET($M$15,0,0,$B$8,1))=FX$13), 1*(_xlfn._xlws.FILTER(OFFSET($O$15,0,$DO189,$B$8,1),OFFSET($M$15,0,0,$B$8,1))=FX$14))   /   SUM(OFFSET($BO$15,0,0,$B$14,1)) + $B$18/($B$19*$B$19*($DN189&lt;&gt;$DO189) + $B$19*($DN189=$DO189))</f>
        <v>3.7037037037037035E-4</v>
      </c>
      <c r="FY189" s="10" cm="1">
        <f t="array" aca="1" ref="FY189" ca="1">(1-$B$18)*SUMPRODUCT(OFFSET($BO$15,0,0,$B$14,1), 1*(_xlfn._xlws.FILTER(OFFSET($O$15,0,$DN189,$B$8,1),OFFSET($M$15,0,0,$B$8,1))=FY$13), 1*(_xlfn._xlws.FILTER(OFFSET($O$15,0,$DO189,$B$8,1),OFFSET($M$15,0,0,$B$8,1))=FY$14))   /   SUM(OFFSET($BO$15,0,0,$B$14,1)) + $B$18/($B$19*$B$19*($DN189&lt;&gt;$DO189) + $B$19*($DN189=$DO189))</f>
        <v>3.7037037037037035E-4</v>
      </c>
      <c r="FZ189" s="10" cm="1">
        <f t="array" aca="1" ref="FZ189" ca="1">(1-$B$18)*SUMPRODUCT(OFFSET($BO$15,0,0,$B$14,1), 1*(_xlfn._xlws.FILTER(OFFSET($O$15,0,$DN189,$B$8,1),OFFSET($M$15,0,0,$B$8,1))=FZ$13), 1*(_xlfn._xlws.FILTER(OFFSET($O$15,0,$DO189,$B$8,1),OFFSET($M$15,0,0,$B$8,1))=FZ$14))   /   SUM(OFFSET($BO$15,0,0,$B$14,1)) + $B$18/($B$19*$B$19*($DN189&lt;&gt;$DO189) + $B$19*($DN189=$DO189))</f>
        <v>3.7037037037037035E-4</v>
      </c>
      <c r="GA189" s="10" cm="1">
        <f t="array" aca="1" ref="GA189" ca="1">(1-$B$18)*SUMPRODUCT(OFFSET($BO$15,0,0,$B$14,1), 1*(_xlfn._xlws.FILTER(OFFSET($O$15,0,$DN189,$B$8,1),OFFSET($M$15,0,0,$B$8,1))=GA$13), 1*(_xlfn._xlws.FILTER(OFFSET($O$15,0,$DO189,$B$8,1),OFFSET($M$15,0,0,$B$8,1))=GA$14))   /   SUM(OFFSET($BO$15,0,0,$B$14,1)) + $B$18/($B$19*$B$19*($DN189&lt;&gt;$DO189) + $B$19*($DN189=$DO189))</f>
        <v>3.7037037037037035E-4</v>
      </c>
    </row>
    <row r="190" spans="118:183" x14ac:dyDescent="0.2">
      <c r="DN190" cm="1">
        <f t="array" aca="1" ref="DN190" ca="1">INDEX(_xlfn.ANCHORARRAY($CP$15), 1 + INT((ROWS($DO$15:$DO190) - 1) / ROWS(_xlfn.ANCHORARRAY($CP$15))))</f>
        <v>9</v>
      </c>
      <c r="DO190" cm="1">
        <f t="array" aca="1" ref="DO190" ca="1">INDEX(_xlfn.ANCHORARRAY($CP$15),1+MOD(ROWS($DO$15:$DO190)-1,ROWS(_xlfn.ANCHORARRAY($CP$15))))</f>
        <v>4</v>
      </c>
      <c r="DP190" s="10" cm="1">
        <f t="array" aca="1" ref="DP190" ca="1">(1-$B$18)*SUMPRODUCT(OFFSET($BO$15,0,0,$B$14,1), 1*(_xlfn._xlws.FILTER(OFFSET($O$15,0,$DN190,$B$8,1),OFFSET($M$15,0,0,$B$8,1))=DP$13), 1*(_xlfn._xlws.FILTER(OFFSET($O$15,0,$DO190,$B$8,1),OFFSET($M$15,0,0,$B$8,1))=DP$14))   /   SUM(OFFSET($BO$15,0,0,$B$14,1)) + $B$18/($B$19*$B$19*($DN190&lt;&gt;$DO190) + $B$19*($DN190=$DO190))</f>
        <v>3.7037037037037035E-4</v>
      </c>
      <c r="DQ190" s="10" cm="1">
        <f t="array" aca="1" ref="DQ190" ca="1">(1-$B$18)*SUMPRODUCT(OFFSET($BO$15,0,0,$B$14,1), 1*(_xlfn._xlws.FILTER(OFFSET($O$15,0,$DN190,$B$8,1),OFFSET($M$15,0,0,$B$8,1))=DQ$13), 1*(_xlfn._xlws.FILTER(OFFSET($O$15,0,$DO190,$B$8,1),OFFSET($M$15,0,0,$B$8,1))=DQ$14))   /   SUM(OFFSET($BO$15,0,0,$B$14,1)) + $B$18/($B$19*$B$19*($DN190&lt;&gt;$DO190) + $B$19*($DN190=$DO190))</f>
        <v>3.7037037037037035E-4</v>
      </c>
      <c r="DR190" s="10" cm="1">
        <f t="array" aca="1" ref="DR190" ca="1">(1-$B$18)*SUMPRODUCT(OFFSET($BO$15,0,0,$B$14,1), 1*(_xlfn._xlws.FILTER(OFFSET($O$15,0,$DN190,$B$8,1),OFFSET($M$15,0,0,$B$8,1))=DR$13), 1*(_xlfn._xlws.FILTER(OFFSET($O$15,0,$DO190,$B$8,1),OFFSET($M$15,0,0,$B$8,1))=DR$14))   /   SUM(OFFSET($BO$15,0,0,$B$14,1)) + $B$18/($B$19*$B$19*($DN190&lt;&gt;$DO190) + $B$19*($DN190=$DO190))</f>
        <v>3.7037037037037035E-4</v>
      </c>
      <c r="DS190" s="10" cm="1">
        <f t="array" aca="1" ref="DS190" ca="1">(1-$B$18)*SUMPRODUCT(OFFSET($BO$15,0,0,$B$14,1), 1*(_xlfn._xlws.FILTER(OFFSET($O$15,0,$DN190,$B$8,1),OFFSET($M$15,0,0,$B$8,1))=DS$13), 1*(_xlfn._xlws.FILTER(OFFSET($O$15,0,$DO190,$B$8,1),OFFSET($M$15,0,0,$B$8,1))=DS$14))   /   SUM(OFFSET($BO$15,0,0,$B$14,1)) + $B$18/($B$19*$B$19*($DN190&lt;&gt;$DO190) + $B$19*($DN190=$DO190))</f>
        <v>3.7037037037037035E-4</v>
      </c>
      <c r="DT190" s="10" cm="1">
        <f t="array" aca="1" ref="DT190" ca="1">(1-$B$18)*SUMPRODUCT(OFFSET($BO$15,0,0,$B$14,1), 1*(_xlfn._xlws.FILTER(OFFSET($O$15,0,$DN190,$B$8,1),OFFSET($M$15,0,0,$B$8,1))=DT$13), 1*(_xlfn._xlws.FILTER(OFFSET($O$15,0,$DO190,$B$8,1),OFFSET($M$15,0,0,$B$8,1))=DT$14))   /   SUM(OFFSET($BO$15,0,0,$B$14,1)) + $B$18/($B$19*$B$19*($DN190&lt;&gt;$DO190) + $B$19*($DN190=$DO190))</f>
        <v>3.7037037037037035E-4</v>
      </c>
      <c r="DU190" s="10" cm="1">
        <f t="array" aca="1" ref="DU190" ca="1">(1-$B$18)*SUMPRODUCT(OFFSET($BO$15,0,0,$B$14,1), 1*(_xlfn._xlws.FILTER(OFFSET($O$15,0,$DN190,$B$8,1),OFFSET($M$15,0,0,$B$8,1))=DU$13), 1*(_xlfn._xlws.FILTER(OFFSET($O$15,0,$DO190,$B$8,1),OFFSET($M$15,0,0,$B$8,1))=DU$14))   /   SUM(OFFSET($BO$15,0,0,$B$14,1)) + $B$18/($B$19*$B$19*($DN190&lt;&gt;$DO190) + $B$19*($DN190=$DO190))</f>
        <v>3.7037037037037035E-4</v>
      </c>
      <c r="DV190" s="10" cm="1">
        <f t="array" aca="1" ref="DV190" ca="1">(1-$B$18)*SUMPRODUCT(OFFSET($BO$15,0,0,$B$14,1), 1*(_xlfn._xlws.FILTER(OFFSET($O$15,0,$DN190,$B$8,1),OFFSET($M$15,0,0,$B$8,1))=DV$13), 1*(_xlfn._xlws.FILTER(OFFSET($O$15,0,$DO190,$B$8,1),OFFSET($M$15,0,0,$B$8,1))=DV$14))   /   SUM(OFFSET($BO$15,0,0,$B$14,1)) + $B$18/($B$19*$B$19*($DN190&lt;&gt;$DO190) + $B$19*($DN190=$DO190))</f>
        <v>3.7037037037037035E-4</v>
      </c>
      <c r="DW190" s="10" cm="1">
        <f t="array" aca="1" ref="DW190" ca="1">(1-$B$18)*SUMPRODUCT(OFFSET($BO$15,0,0,$B$14,1), 1*(_xlfn._xlws.FILTER(OFFSET($O$15,0,$DN190,$B$8,1),OFFSET($M$15,0,0,$B$8,1))=DW$13), 1*(_xlfn._xlws.FILTER(OFFSET($O$15,0,$DO190,$B$8,1),OFFSET($M$15,0,0,$B$8,1))=DW$14))   /   SUM(OFFSET($BO$15,0,0,$B$14,1)) + $B$18/($B$19*$B$19*($DN190&lt;&gt;$DO190) + $B$19*($DN190=$DO190))</f>
        <v>3.7037037037037035E-4</v>
      </c>
      <c r="DX190" s="10" cm="1">
        <f t="array" aca="1" ref="DX190" ca="1">(1-$B$18)*SUMPRODUCT(OFFSET($BO$15,0,0,$B$14,1), 1*(_xlfn._xlws.FILTER(OFFSET($O$15,0,$DN190,$B$8,1),OFFSET($M$15,0,0,$B$8,1))=DX$13), 1*(_xlfn._xlws.FILTER(OFFSET($O$15,0,$DO190,$B$8,1),OFFSET($M$15,0,0,$B$8,1))=DX$14))   /   SUM(OFFSET($BO$15,0,0,$B$14,1)) + $B$18/($B$19*$B$19*($DN190&lt;&gt;$DO190) + $B$19*($DN190=$DO190))</f>
        <v>3.7037037037037035E-4</v>
      </c>
      <c r="DY190" s="10" cm="1">
        <f t="array" aca="1" ref="DY190" ca="1">(1-$B$18)*SUMPRODUCT(OFFSET($BO$15,0,0,$B$14,1), 1*(_xlfn._xlws.FILTER(OFFSET($O$15,0,$DN190,$B$8,1),OFFSET($M$15,0,0,$B$8,1))=DY$13), 1*(_xlfn._xlws.FILTER(OFFSET($O$15,0,$DO190,$B$8,1),OFFSET($M$15,0,0,$B$8,1))=DY$14))   /   SUM(OFFSET($BO$15,0,0,$B$14,1)) + $B$18/($B$19*$B$19*($DN190&lt;&gt;$DO190) + $B$19*($DN190=$DO190))</f>
        <v>3.7037037037037035E-4</v>
      </c>
      <c r="DZ190" s="10" cm="1">
        <f t="array" aca="1" ref="DZ190" ca="1">(1-$B$18)*SUMPRODUCT(OFFSET($BO$15,0,0,$B$14,1), 1*(_xlfn._xlws.FILTER(OFFSET($O$15,0,$DN190,$B$8,1),OFFSET($M$15,0,0,$B$8,1))=DZ$13), 1*(_xlfn._xlws.FILTER(OFFSET($O$15,0,$DO190,$B$8,1),OFFSET($M$15,0,0,$B$8,1))=DZ$14))   /   SUM(OFFSET($BO$15,0,0,$B$14,1)) + $B$18/($B$19*$B$19*($DN190&lt;&gt;$DO190) + $B$19*($DN190=$DO190))</f>
        <v>3.7037037037037035E-4</v>
      </c>
      <c r="EA190" s="10" cm="1">
        <f t="array" aca="1" ref="EA190" ca="1">(1-$B$18)*SUMPRODUCT(OFFSET($BO$15,0,0,$B$14,1), 1*(_xlfn._xlws.FILTER(OFFSET($O$15,0,$DN190,$B$8,1),OFFSET($M$15,0,0,$B$8,1))=EA$13), 1*(_xlfn._xlws.FILTER(OFFSET($O$15,0,$DO190,$B$8,1),OFFSET($M$15,0,0,$B$8,1))=EA$14))   /   SUM(OFFSET($BO$15,0,0,$B$14,1)) + $B$18/($B$19*$B$19*($DN190&lt;&gt;$DO190) + $B$19*($DN190=$DO190))</f>
        <v>3.7037037037037035E-4</v>
      </c>
      <c r="EB190" s="10" cm="1">
        <f t="array" aca="1" ref="EB190" ca="1">(1-$B$18)*SUMPRODUCT(OFFSET($BO$15,0,0,$B$14,1), 1*(_xlfn._xlws.FILTER(OFFSET($O$15,0,$DN190,$B$8,1),OFFSET($M$15,0,0,$B$8,1))=EB$13), 1*(_xlfn._xlws.FILTER(OFFSET($O$15,0,$DO190,$B$8,1),OFFSET($M$15,0,0,$B$8,1))=EB$14))   /   SUM(OFFSET($BO$15,0,0,$B$14,1)) + $B$18/($B$19*$B$19*($DN190&lt;&gt;$DO190) + $B$19*($DN190=$DO190))</f>
        <v>3.7037037037037035E-4</v>
      </c>
      <c r="EC190" s="10" cm="1">
        <f t="array" aca="1" ref="EC190" ca="1">(1-$B$18)*SUMPRODUCT(OFFSET($BO$15,0,0,$B$14,1), 1*(_xlfn._xlws.FILTER(OFFSET($O$15,0,$DN190,$B$8,1),OFFSET($M$15,0,0,$B$8,1))=EC$13), 1*(_xlfn._xlws.FILTER(OFFSET($O$15,0,$DO190,$B$8,1),OFFSET($M$15,0,0,$B$8,1))=EC$14))   /   SUM(OFFSET($BO$15,0,0,$B$14,1)) + $B$18/($B$19*$B$19*($DN190&lt;&gt;$DO190) + $B$19*($DN190=$DO190))</f>
        <v>3.7037037037037035E-4</v>
      </c>
      <c r="ED190" s="10" cm="1">
        <f t="array" aca="1" ref="ED190" ca="1">(1-$B$18)*SUMPRODUCT(OFFSET($BO$15,0,0,$B$14,1), 1*(_xlfn._xlws.FILTER(OFFSET($O$15,0,$DN190,$B$8,1),OFFSET($M$15,0,0,$B$8,1))=ED$13), 1*(_xlfn._xlws.FILTER(OFFSET($O$15,0,$DO190,$B$8,1),OFFSET($M$15,0,0,$B$8,1))=ED$14))   /   SUM(OFFSET($BO$15,0,0,$B$14,1)) + $B$18/($B$19*$B$19*($DN190&lt;&gt;$DO190) + $B$19*($DN190=$DO190))</f>
        <v>3.7037037037037035E-4</v>
      </c>
      <c r="EE190" s="10" cm="1">
        <f t="array" aca="1" ref="EE190" ca="1">(1-$B$18)*SUMPRODUCT(OFFSET($BO$15,0,0,$B$14,1), 1*(_xlfn._xlws.FILTER(OFFSET($O$15,0,$DN190,$B$8,1),OFFSET($M$15,0,0,$B$8,1))=EE$13), 1*(_xlfn._xlws.FILTER(OFFSET($O$15,0,$DO190,$B$8,1),OFFSET($M$15,0,0,$B$8,1))=EE$14))   /   SUM(OFFSET($BO$15,0,0,$B$14,1)) + $B$18/($B$19*$B$19*($DN190&lt;&gt;$DO190) + $B$19*($DN190=$DO190))</f>
        <v>3.7037037037037035E-4</v>
      </c>
      <c r="EF190" s="10" cm="1">
        <f t="array" aca="1" ref="EF190" ca="1">(1-$B$18)*SUMPRODUCT(OFFSET($BO$15,0,0,$B$14,1), 1*(_xlfn._xlws.FILTER(OFFSET($O$15,0,$DN190,$B$8,1),OFFSET($M$15,0,0,$B$8,1))=EF$13), 1*(_xlfn._xlws.FILTER(OFFSET($O$15,0,$DO190,$B$8,1),OFFSET($M$15,0,0,$B$8,1))=EF$14))   /   SUM(OFFSET($BO$15,0,0,$B$14,1)) + $B$18/($B$19*$B$19*($DN190&lt;&gt;$DO190) + $B$19*($DN190=$DO190))</f>
        <v>3.7037037037037035E-4</v>
      </c>
      <c r="EG190" s="10" cm="1">
        <f t="array" aca="1" ref="EG190" ca="1">(1-$B$18)*SUMPRODUCT(OFFSET($BO$15,0,0,$B$14,1), 1*(_xlfn._xlws.FILTER(OFFSET($O$15,0,$DN190,$B$8,1),OFFSET($M$15,0,0,$B$8,1))=EG$13), 1*(_xlfn._xlws.FILTER(OFFSET($O$15,0,$DO190,$B$8,1),OFFSET($M$15,0,0,$B$8,1))=EG$14))   /   SUM(OFFSET($BO$15,0,0,$B$14,1)) + $B$18/($B$19*$B$19*($DN190&lt;&gt;$DO190) + $B$19*($DN190=$DO190))</f>
        <v>3.7037037037037035E-4</v>
      </c>
      <c r="EH190" s="10" cm="1">
        <f t="array" aca="1" ref="EH190" ca="1">(1-$B$18)*SUMPRODUCT(OFFSET($BO$15,0,0,$B$14,1), 1*(_xlfn._xlws.FILTER(OFFSET($O$15,0,$DN190,$B$8,1),OFFSET($M$15,0,0,$B$8,1))=EH$13), 1*(_xlfn._xlws.FILTER(OFFSET($O$15,0,$DO190,$B$8,1),OFFSET($M$15,0,0,$B$8,1))=EH$14))   /   SUM(OFFSET($BO$15,0,0,$B$14,1)) + $B$18/($B$19*$B$19*($DN190&lt;&gt;$DO190) + $B$19*($DN190=$DO190))</f>
        <v>3.7037037037037035E-4</v>
      </c>
      <c r="EI190" s="10" cm="1">
        <f t="array" aca="1" ref="EI190" ca="1">(1-$B$18)*SUMPRODUCT(OFFSET($BO$15,0,0,$B$14,1), 1*(_xlfn._xlws.FILTER(OFFSET($O$15,0,$DN190,$B$8,1),OFFSET($M$15,0,0,$B$8,1))=EI$13), 1*(_xlfn._xlws.FILTER(OFFSET($O$15,0,$DO190,$B$8,1),OFFSET($M$15,0,0,$B$8,1))=EI$14))   /   SUM(OFFSET($BO$15,0,0,$B$14,1)) + $B$18/($B$19*$B$19*($DN190&lt;&gt;$DO190) + $B$19*($DN190=$DO190))</f>
        <v>3.7037037037037035E-4</v>
      </c>
      <c r="EJ190" s="10" cm="1">
        <f t="array" aca="1" ref="EJ190" ca="1">(1-$B$18)*SUMPRODUCT(OFFSET($BO$15,0,0,$B$14,1), 1*(_xlfn._xlws.FILTER(OFFSET($O$15,0,$DN190,$B$8,1),OFFSET($M$15,0,0,$B$8,1))=EJ$13), 1*(_xlfn._xlws.FILTER(OFFSET($O$15,0,$DO190,$B$8,1),OFFSET($M$15,0,0,$B$8,1))=EJ$14))   /   SUM(OFFSET($BO$15,0,0,$B$14,1)) + $B$18/($B$19*$B$19*($DN190&lt;&gt;$DO190) + $B$19*($DN190=$DO190))</f>
        <v>3.7037037037037035E-4</v>
      </c>
      <c r="EK190" s="10" cm="1">
        <f t="array" aca="1" ref="EK190" ca="1">(1-$B$18)*SUMPRODUCT(OFFSET($BO$15,0,0,$B$14,1), 1*(_xlfn._xlws.FILTER(OFFSET($O$15,0,$DN190,$B$8,1),OFFSET($M$15,0,0,$B$8,1))=EK$13), 1*(_xlfn._xlws.FILTER(OFFSET($O$15,0,$DO190,$B$8,1),OFFSET($M$15,0,0,$B$8,1))=EK$14))   /   SUM(OFFSET($BO$15,0,0,$B$14,1)) + $B$18/($B$19*$B$19*($DN190&lt;&gt;$DO190) + $B$19*($DN190=$DO190))</f>
        <v>3.7037037037037035E-4</v>
      </c>
      <c r="EL190" s="10" cm="1">
        <f t="array" aca="1" ref="EL190" ca="1">(1-$B$18)*SUMPRODUCT(OFFSET($BO$15,0,0,$B$14,1), 1*(_xlfn._xlws.FILTER(OFFSET($O$15,0,$DN190,$B$8,1),OFFSET($M$15,0,0,$B$8,1))=EL$13), 1*(_xlfn._xlws.FILTER(OFFSET($O$15,0,$DO190,$B$8,1),OFFSET($M$15,0,0,$B$8,1))=EL$14))   /   SUM(OFFSET($BO$15,0,0,$B$14,1)) + $B$18/($B$19*$B$19*($DN190&lt;&gt;$DO190) + $B$19*($DN190=$DO190))</f>
        <v>3.7037037037037035E-4</v>
      </c>
      <c r="EM190" s="10" cm="1">
        <f t="array" aca="1" ref="EM190" ca="1">(1-$B$18)*SUMPRODUCT(OFFSET($BO$15,0,0,$B$14,1), 1*(_xlfn._xlws.FILTER(OFFSET($O$15,0,$DN190,$B$8,1),OFFSET($M$15,0,0,$B$8,1))=EM$13), 1*(_xlfn._xlws.FILTER(OFFSET($O$15,0,$DO190,$B$8,1),OFFSET($M$15,0,0,$B$8,1))=EM$14))   /   SUM(OFFSET($BO$15,0,0,$B$14,1)) + $B$18/($B$19*$B$19*($DN190&lt;&gt;$DO190) + $B$19*($DN190=$DO190))</f>
        <v>3.7037037037037035E-4</v>
      </c>
      <c r="EN190" s="10" cm="1">
        <f t="array" aca="1" ref="EN190" ca="1">(1-$B$18)*SUMPRODUCT(OFFSET($BO$15,0,0,$B$14,1), 1*(_xlfn._xlws.FILTER(OFFSET($O$15,0,$DN190,$B$8,1),OFFSET($M$15,0,0,$B$8,1))=EN$13), 1*(_xlfn._xlws.FILTER(OFFSET($O$15,0,$DO190,$B$8,1),OFFSET($M$15,0,0,$B$8,1))=EN$14))   /   SUM(OFFSET($BO$15,0,0,$B$14,1)) + $B$18/($B$19*$B$19*($DN190&lt;&gt;$DO190) + $B$19*($DN190=$DO190))</f>
        <v>3.7037037037037035E-4</v>
      </c>
      <c r="EO190" s="10" cm="1">
        <f t="array" aca="1" ref="EO190" ca="1">(1-$B$18)*SUMPRODUCT(OFFSET($BO$15,0,0,$B$14,1), 1*(_xlfn._xlws.FILTER(OFFSET($O$15,0,$DN190,$B$8,1),OFFSET($M$15,0,0,$B$8,1))=EO$13), 1*(_xlfn._xlws.FILTER(OFFSET($O$15,0,$DO190,$B$8,1),OFFSET($M$15,0,0,$B$8,1))=EO$14))   /   SUM(OFFSET($BO$15,0,0,$B$14,1)) + $B$18/($B$19*$B$19*($DN190&lt;&gt;$DO190) + $B$19*($DN190=$DO190))</f>
        <v>3.7037037037037035E-4</v>
      </c>
      <c r="EP190" s="10" cm="1">
        <f t="array" aca="1" ref="EP190" ca="1">(1-$B$18)*SUMPRODUCT(OFFSET($BO$15,0,0,$B$14,1), 1*(_xlfn._xlws.FILTER(OFFSET($O$15,0,$DN190,$B$8,1),OFFSET($M$15,0,0,$B$8,1))=EP$13), 1*(_xlfn._xlws.FILTER(OFFSET($O$15,0,$DO190,$B$8,1),OFFSET($M$15,0,0,$B$8,1))=EP$14))   /   SUM(OFFSET($BO$15,0,0,$B$14,1)) + $B$18/($B$19*$B$19*($DN190&lt;&gt;$DO190) + $B$19*($DN190=$DO190))</f>
        <v>3.7037037037037035E-4</v>
      </c>
      <c r="EQ190" s="10" cm="1">
        <f t="array" aca="1" ref="EQ190" ca="1">(1-$B$18)*SUMPRODUCT(OFFSET($BO$15,0,0,$B$14,1), 1*(_xlfn._xlws.FILTER(OFFSET($O$15,0,$DN190,$B$8,1),OFFSET($M$15,0,0,$B$8,1))=EQ$13), 1*(_xlfn._xlws.FILTER(OFFSET($O$15,0,$DO190,$B$8,1),OFFSET($M$15,0,0,$B$8,1))=EQ$14))   /   SUM(OFFSET($BO$15,0,0,$B$14,1)) + $B$18/($B$19*$B$19*($DN190&lt;&gt;$DO190) + $B$19*($DN190=$DO190))</f>
        <v>3.7037037037037035E-4</v>
      </c>
      <c r="ER190" s="10" cm="1">
        <f t="array" aca="1" ref="ER190" ca="1">(1-$B$18)*SUMPRODUCT(OFFSET($BO$15,0,0,$B$14,1), 1*(_xlfn._xlws.FILTER(OFFSET($O$15,0,$DN190,$B$8,1),OFFSET($M$15,0,0,$B$8,1))=ER$13), 1*(_xlfn._xlws.FILTER(OFFSET($O$15,0,$DO190,$B$8,1),OFFSET($M$15,0,0,$B$8,1))=ER$14))   /   SUM(OFFSET($BO$15,0,0,$B$14,1)) + $B$18/($B$19*$B$19*($DN190&lt;&gt;$DO190) + $B$19*($DN190=$DO190))</f>
        <v>3.7037037037037035E-4</v>
      </c>
      <c r="ES190" s="10" cm="1">
        <f t="array" aca="1" ref="ES190" ca="1">(1-$B$18)*SUMPRODUCT(OFFSET($BO$15,0,0,$B$14,1), 1*(_xlfn._xlws.FILTER(OFFSET($O$15,0,$DN190,$B$8,1),OFFSET($M$15,0,0,$B$8,1))=ES$13), 1*(_xlfn._xlws.FILTER(OFFSET($O$15,0,$DO190,$B$8,1),OFFSET($M$15,0,0,$B$8,1))=ES$14))   /   SUM(OFFSET($BO$15,0,0,$B$14,1)) + $B$18/($B$19*$B$19*($DN190&lt;&gt;$DO190) + $B$19*($DN190=$DO190))</f>
        <v>3.7037037037037035E-4</v>
      </c>
      <c r="ET190" s="10" cm="1">
        <f t="array" aca="1" ref="ET190" ca="1">(1-$B$18)*SUMPRODUCT(OFFSET($BO$15,0,0,$B$14,1), 1*(_xlfn._xlws.FILTER(OFFSET($O$15,0,$DN190,$B$8,1),OFFSET($M$15,0,0,$B$8,1))=ET$13), 1*(_xlfn._xlws.FILTER(OFFSET($O$15,0,$DO190,$B$8,1),OFFSET($M$15,0,0,$B$8,1))=ET$14))   /   SUM(OFFSET($BO$15,0,0,$B$14,1)) + $B$18/($B$19*$B$19*($DN190&lt;&gt;$DO190) + $B$19*($DN190=$DO190))</f>
        <v>3.7037037037037035E-4</v>
      </c>
      <c r="EU190" s="10" cm="1">
        <f t="array" aca="1" ref="EU190" ca="1">(1-$B$18)*SUMPRODUCT(OFFSET($BO$15,0,0,$B$14,1), 1*(_xlfn._xlws.FILTER(OFFSET($O$15,0,$DN190,$B$8,1),OFFSET($M$15,0,0,$B$8,1))=EU$13), 1*(_xlfn._xlws.FILTER(OFFSET($O$15,0,$DO190,$B$8,1),OFFSET($M$15,0,0,$B$8,1))=EU$14))   /   SUM(OFFSET($BO$15,0,0,$B$14,1)) + $B$18/($B$19*$B$19*($DN190&lt;&gt;$DO190) + $B$19*($DN190=$DO190))</f>
        <v>3.7037037037037035E-4</v>
      </c>
      <c r="EV190" s="10" cm="1">
        <f t="array" aca="1" ref="EV190" ca="1">(1-$B$18)*SUMPRODUCT(OFFSET($BO$15,0,0,$B$14,1), 1*(_xlfn._xlws.FILTER(OFFSET($O$15,0,$DN190,$B$8,1),OFFSET($M$15,0,0,$B$8,1))=EV$13), 1*(_xlfn._xlws.FILTER(OFFSET($O$15,0,$DO190,$B$8,1),OFFSET($M$15,0,0,$B$8,1))=EV$14))   /   SUM(OFFSET($BO$15,0,0,$B$14,1)) + $B$18/($B$19*$B$19*($DN190&lt;&gt;$DO190) + $B$19*($DN190=$DO190))</f>
        <v>3.7037037037037035E-4</v>
      </c>
      <c r="EW190" s="10" cm="1">
        <f t="array" aca="1" ref="EW190" ca="1">(1-$B$18)*SUMPRODUCT(OFFSET($BO$15,0,0,$B$14,1), 1*(_xlfn._xlws.FILTER(OFFSET($O$15,0,$DN190,$B$8,1),OFFSET($M$15,0,0,$B$8,1))=EW$13), 1*(_xlfn._xlws.FILTER(OFFSET($O$15,0,$DO190,$B$8,1),OFFSET($M$15,0,0,$B$8,1))=EW$14))   /   SUM(OFFSET($BO$15,0,0,$B$14,1)) + $B$18/($B$19*$B$19*($DN190&lt;&gt;$DO190) + $B$19*($DN190=$DO190))</f>
        <v>3.7037037037037035E-4</v>
      </c>
      <c r="EX190" s="10" cm="1">
        <f t="array" aca="1" ref="EX190" ca="1">(1-$B$18)*SUMPRODUCT(OFFSET($BO$15,0,0,$B$14,1), 1*(_xlfn._xlws.FILTER(OFFSET($O$15,0,$DN190,$B$8,1),OFFSET($M$15,0,0,$B$8,1))=EX$13), 1*(_xlfn._xlws.FILTER(OFFSET($O$15,0,$DO190,$B$8,1),OFFSET($M$15,0,0,$B$8,1))=EX$14))   /   SUM(OFFSET($BO$15,0,0,$B$14,1)) + $B$18/($B$19*$B$19*($DN190&lt;&gt;$DO190) + $B$19*($DN190=$DO190))</f>
        <v>3.7037037037037035E-4</v>
      </c>
      <c r="EY190" s="10" cm="1">
        <f t="array" aca="1" ref="EY190" ca="1">(1-$B$18)*SUMPRODUCT(OFFSET($BO$15,0,0,$B$14,1), 1*(_xlfn._xlws.FILTER(OFFSET($O$15,0,$DN190,$B$8,1),OFFSET($M$15,0,0,$B$8,1))=EY$13), 1*(_xlfn._xlws.FILTER(OFFSET($O$15,0,$DO190,$B$8,1),OFFSET($M$15,0,0,$B$8,1))=EY$14))   /   SUM(OFFSET($BO$15,0,0,$B$14,1)) + $B$18/($B$19*$B$19*($DN190&lt;&gt;$DO190) + $B$19*($DN190=$DO190))</f>
        <v>3.7037037037037035E-4</v>
      </c>
      <c r="EZ190" s="10" cm="1">
        <f t="array" aca="1" ref="EZ190" ca="1">(1-$B$18)*SUMPRODUCT(OFFSET($BO$15,0,0,$B$14,1), 1*(_xlfn._xlws.FILTER(OFFSET($O$15,0,$DN190,$B$8,1),OFFSET($M$15,0,0,$B$8,1))=EZ$13), 1*(_xlfn._xlws.FILTER(OFFSET($O$15,0,$DO190,$B$8,1),OFFSET($M$15,0,0,$B$8,1))=EZ$14))   /   SUM(OFFSET($BO$15,0,0,$B$14,1)) + $B$18/($B$19*$B$19*($DN190&lt;&gt;$DO190) + $B$19*($DN190=$DO190))</f>
        <v>3.7037037037037035E-4</v>
      </c>
      <c r="FA190" s="10" cm="1">
        <f t="array" aca="1" ref="FA190" ca="1">(1-$B$18)*SUMPRODUCT(OFFSET($BO$15,0,0,$B$14,1), 1*(_xlfn._xlws.FILTER(OFFSET($O$15,0,$DN190,$B$8,1),OFFSET($M$15,0,0,$B$8,1))=FA$13), 1*(_xlfn._xlws.FILTER(OFFSET($O$15,0,$DO190,$B$8,1),OFFSET($M$15,0,0,$B$8,1))=FA$14))   /   SUM(OFFSET($BO$15,0,0,$B$14,1)) + $B$18/($B$19*$B$19*($DN190&lt;&gt;$DO190) + $B$19*($DN190=$DO190))</f>
        <v>3.7037037037037035E-4</v>
      </c>
      <c r="FB190" s="10" cm="1">
        <f t="array" aca="1" ref="FB190" ca="1">(1-$B$18)*SUMPRODUCT(OFFSET($BO$15,0,0,$B$14,1), 1*(_xlfn._xlws.FILTER(OFFSET($O$15,0,$DN190,$B$8,1),OFFSET($M$15,0,0,$B$8,1))=FB$13), 1*(_xlfn._xlws.FILTER(OFFSET($O$15,0,$DO190,$B$8,1),OFFSET($M$15,0,0,$B$8,1))=FB$14))   /   SUM(OFFSET($BO$15,0,0,$B$14,1)) + $B$18/($B$19*$B$19*($DN190&lt;&gt;$DO190) + $B$19*($DN190=$DO190))</f>
        <v>3.7037037037037035E-4</v>
      </c>
      <c r="FC190" s="10" cm="1">
        <f t="array" aca="1" ref="FC190" ca="1">(1-$B$18)*SUMPRODUCT(OFFSET($BO$15,0,0,$B$14,1), 1*(_xlfn._xlws.FILTER(OFFSET($O$15,0,$DN190,$B$8,1),OFFSET($M$15,0,0,$B$8,1))=FC$13), 1*(_xlfn._xlws.FILTER(OFFSET($O$15,0,$DO190,$B$8,1),OFFSET($M$15,0,0,$B$8,1))=FC$14))   /   SUM(OFFSET($BO$15,0,0,$B$14,1)) + $B$18/($B$19*$B$19*($DN190&lt;&gt;$DO190) + $B$19*($DN190=$DO190))</f>
        <v>3.7037037037037035E-4</v>
      </c>
      <c r="FD190" s="10" cm="1">
        <f t="array" aca="1" ref="FD190" ca="1">(1-$B$18)*SUMPRODUCT(OFFSET($BO$15,0,0,$B$14,1), 1*(_xlfn._xlws.FILTER(OFFSET($O$15,0,$DN190,$B$8,1),OFFSET($M$15,0,0,$B$8,1))=FD$13), 1*(_xlfn._xlws.FILTER(OFFSET($O$15,0,$DO190,$B$8,1),OFFSET($M$15,0,0,$B$8,1))=FD$14))   /   SUM(OFFSET($BO$15,0,0,$B$14,1)) + $B$18/($B$19*$B$19*($DN190&lt;&gt;$DO190) + $B$19*($DN190=$DO190))</f>
        <v>3.7037037037037035E-4</v>
      </c>
      <c r="FE190" s="10" cm="1">
        <f t="array" aca="1" ref="FE190" ca="1">(1-$B$18)*SUMPRODUCT(OFFSET($BO$15,0,0,$B$14,1), 1*(_xlfn._xlws.FILTER(OFFSET($O$15,0,$DN190,$B$8,1),OFFSET($M$15,0,0,$B$8,1))=FE$13), 1*(_xlfn._xlws.FILTER(OFFSET($O$15,0,$DO190,$B$8,1),OFFSET($M$15,0,0,$B$8,1))=FE$14))   /   SUM(OFFSET($BO$15,0,0,$B$14,1)) + $B$18/($B$19*$B$19*($DN190&lt;&gt;$DO190) + $B$19*($DN190=$DO190))</f>
        <v>3.7037037037037035E-4</v>
      </c>
      <c r="FF190" s="10" cm="1">
        <f t="array" aca="1" ref="FF190" ca="1">(1-$B$18)*SUMPRODUCT(OFFSET($BO$15,0,0,$B$14,1), 1*(_xlfn._xlws.FILTER(OFFSET($O$15,0,$DN190,$B$8,1),OFFSET($M$15,0,0,$B$8,1))=FF$13), 1*(_xlfn._xlws.FILTER(OFFSET($O$15,0,$DO190,$B$8,1),OFFSET($M$15,0,0,$B$8,1))=FF$14))   /   SUM(OFFSET($BO$15,0,0,$B$14,1)) + $B$18/($B$19*$B$19*($DN190&lt;&gt;$DO190) + $B$19*($DN190=$DO190))</f>
        <v>3.7037037037037035E-4</v>
      </c>
      <c r="FG190" s="10" cm="1">
        <f t="array" aca="1" ref="FG190" ca="1">(1-$B$18)*SUMPRODUCT(OFFSET($BO$15,0,0,$B$14,1), 1*(_xlfn._xlws.FILTER(OFFSET($O$15,0,$DN190,$B$8,1),OFFSET($M$15,0,0,$B$8,1))=FG$13), 1*(_xlfn._xlws.FILTER(OFFSET($O$15,0,$DO190,$B$8,1),OFFSET($M$15,0,0,$B$8,1))=FG$14))   /   SUM(OFFSET($BO$15,0,0,$B$14,1)) + $B$18/($B$19*$B$19*($DN190&lt;&gt;$DO190) + $B$19*($DN190=$DO190))</f>
        <v>3.7037037037037035E-4</v>
      </c>
      <c r="FH190" s="10" cm="1">
        <f t="array" aca="1" ref="FH190" ca="1">(1-$B$18)*SUMPRODUCT(OFFSET($BO$15,0,0,$B$14,1), 1*(_xlfn._xlws.FILTER(OFFSET($O$15,0,$DN190,$B$8,1),OFFSET($M$15,0,0,$B$8,1))=FH$13), 1*(_xlfn._xlws.FILTER(OFFSET($O$15,0,$DO190,$B$8,1),OFFSET($M$15,0,0,$B$8,1))=FH$14))   /   SUM(OFFSET($BO$15,0,0,$B$14,1)) + $B$18/($B$19*$B$19*($DN190&lt;&gt;$DO190) + $B$19*($DN190=$DO190))</f>
        <v>3.7037037037037035E-4</v>
      </c>
      <c r="FI190" s="10" cm="1">
        <f t="array" aca="1" ref="FI190" ca="1">(1-$B$18)*SUMPRODUCT(OFFSET($BO$15,0,0,$B$14,1), 1*(_xlfn._xlws.FILTER(OFFSET($O$15,0,$DN190,$B$8,1),OFFSET($M$15,0,0,$B$8,1))=FI$13), 1*(_xlfn._xlws.FILTER(OFFSET($O$15,0,$DO190,$B$8,1),OFFSET($M$15,0,0,$B$8,1))=FI$14))   /   SUM(OFFSET($BO$15,0,0,$B$14,1)) + $B$18/($B$19*$B$19*($DN190&lt;&gt;$DO190) + $B$19*($DN190=$DO190))</f>
        <v>3.7037037037037035E-4</v>
      </c>
      <c r="FJ190" s="10" cm="1">
        <f t="array" aca="1" ref="FJ190" ca="1">(1-$B$18)*SUMPRODUCT(OFFSET($BO$15,0,0,$B$14,1), 1*(_xlfn._xlws.FILTER(OFFSET($O$15,0,$DN190,$B$8,1),OFFSET($M$15,0,0,$B$8,1))=FJ$13), 1*(_xlfn._xlws.FILTER(OFFSET($O$15,0,$DO190,$B$8,1),OFFSET($M$15,0,0,$B$8,1))=FJ$14))   /   SUM(OFFSET($BO$15,0,0,$B$14,1)) + $B$18/($B$19*$B$19*($DN190&lt;&gt;$DO190) + $B$19*($DN190=$DO190))</f>
        <v>3.7037037037037035E-4</v>
      </c>
      <c r="FK190" s="10" cm="1">
        <f t="array" aca="1" ref="FK190" ca="1">(1-$B$18)*SUMPRODUCT(OFFSET($BO$15,0,0,$B$14,1), 1*(_xlfn._xlws.FILTER(OFFSET($O$15,0,$DN190,$B$8,1),OFFSET($M$15,0,0,$B$8,1))=FK$13), 1*(_xlfn._xlws.FILTER(OFFSET($O$15,0,$DO190,$B$8,1),OFFSET($M$15,0,0,$B$8,1))=FK$14))   /   SUM(OFFSET($BO$15,0,0,$B$14,1)) + $B$18/($B$19*$B$19*($DN190&lt;&gt;$DO190) + $B$19*($DN190=$DO190))</f>
        <v>3.7037037037037035E-4</v>
      </c>
      <c r="FL190" s="10" cm="1">
        <f t="array" aca="1" ref="FL190" ca="1">(1-$B$18)*SUMPRODUCT(OFFSET($BO$15,0,0,$B$14,1), 1*(_xlfn._xlws.FILTER(OFFSET($O$15,0,$DN190,$B$8,1),OFFSET($M$15,0,0,$B$8,1))=FL$13), 1*(_xlfn._xlws.FILTER(OFFSET($O$15,0,$DO190,$B$8,1),OFFSET($M$15,0,0,$B$8,1))=FL$14))   /   SUM(OFFSET($BO$15,0,0,$B$14,1)) + $B$18/($B$19*$B$19*($DN190&lt;&gt;$DO190) + $B$19*($DN190=$DO190))</f>
        <v>3.7037037037037035E-4</v>
      </c>
      <c r="FM190" s="10" cm="1">
        <f t="array" aca="1" ref="FM190" ca="1">(1-$B$18)*SUMPRODUCT(OFFSET($BO$15,0,0,$B$14,1), 1*(_xlfn._xlws.FILTER(OFFSET($O$15,0,$DN190,$B$8,1),OFFSET($M$15,0,0,$B$8,1))=FM$13), 1*(_xlfn._xlws.FILTER(OFFSET($O$15,0,$DO190,$B$8,1),OFFSET($M$15,0,0,$B$8,1))=FM$14))   /   SUM(OFFSET($BO$15,0,0,$B$14,1)) + $B$18/($B$19*$B$19*($DN190&lt;&gt;$DO190) + $B$19*($DN190=$DO190))</f>
        <v>3.7037037037037035E-4</v>
      </c>
      <c r="FN190" s="10" cm="1">
        <f t="array" aca="1" ref="FN190" ca="1">(1-$B$18)*SUMPRODUCT(OFFSET($BO$15,0,0,$B$14,1), 1*(_xlfn._xlws.FILTER(OFFSET($O$15,0,$DN190,$B$8,1),OFFSET($M$15,0,0,$B$8,1))=FN$13), 1*(_xlfn._xlws.FILTER(OFFSET($O$15,0,$DO190,$B$8,1),OFFSET($M$15,0,0,$B$8,1))=FN$14))   /   SUM(OFFSET($BO$15,0,0,$B$14,1)) + $B$18/($B$19*$B$19*($DN190&lt;&gt;$DO190) + $B$19*($DN190=$DO190))</f>
        <v>3.7037037037037035E-4</v>
      </c>
      <c r="FO190" s="10" cm="1">
        <f t="array" aca="1" ref="FO190" ca="1">(1-$B$18)*SUMPRODUCT(OFFSET($BO$15,0,0,$B$14,1), 1*(_xlfn._xlws.FILTER(OFFSET($O$15,0,$DN190,$B$8,1),OFFSET($M$15,0,0,$B$8,1))=FO$13), 1*(_xlfn._xlws.FILTER(OFFSET($O$15,0,$DO190,$B$8,1),OFFSET($M$15,0,0,$B$8,1))=FO$14))   /   SUM(OFFSET($BO$15,0,0,$B$14,1)) + $B$18/($B$19*$B$19*($DN190&lt;&gt;$DO190) + $B$19*($DN190=$DO190))</f>
        <v>3.7037037037037035E-4</v>
      </c>
      <c r="FP190" s="10" cm="1">
        <f t="array" aca="1" ref="FP190" ca="1">(1-$B$18)*SUMPRODUCT(OFFSET($BO$15,0,0,$B$14,1), 1*(_xlfn._xlws.FILTER(OFFSET($O$15,0,$DN190,$B$8,1),OFFSET($M$15,0,0,$B$8,1))=FP$13), 1*(_xlfn._xlws.FILTER(OFFSET($O$15,0,$DO190,$B$8,1),OFFSET($M$15,0,0,$B$8,1))=FP$14))   /   SUM(OFFSET($BO$15,0,0,$B$14,1)) + $B$18/($B$19*$B$19*($DN190&lt;&gt;$DO190) + $B$19*($DN190=$DO190))</f>
        <v>3.7037037037037035E-4</v>
      </c>
      <c r="FQ190" s="10" cm="1">
        <f t="array" aca="1" ref="FQ190" ca="1">(1-$B$18)*SUMPRODUCT(OFFSET($BO$15,0,0,$B$14,1), 1*(_xlfn._xlws.FILTER(OFFSET($O$15,0,$DN190,$B$8,1),OFFSET($M$15,0,0,$B$8,1))=FQ$13), 1*(_xlfn._xlws.FILTER(OFFSET($O$15,0,$DO190,$B$8,1),OFFSET($M$15,0,0,$B$8,1))=FQ$14))   /   SUM(OFFSET($BO$15,0,0,$B$14,1)) + $B$18/($B$19*$B$19*($DN190&lt;&gt;$DO190) + $B$19*($DN190=$DO190))</f>
        <v>3.7037037037037035E-4</v>
      </c>
      <c r="FR190" s="10" cm="1">
        <f t="array" aca="1" ref="FR190" ca="1">(1-$B$18)*SUMPRODUCT(OFFSET($BO$15,0,0,$B$14,1), 1*(_xlfn._xlws.FILTER(OFFSET($O$15,0,$DN190,$B$8,1),OFFSET($M$15,0,0,$B$8,1))=FR$13), 1*(_xlfn._xlws.FILTER(OFFSET($O$15,0,$DO190,$B$8,1),OFFSET($M$15,0,0,$B$8,1))=FR$14))   /   SUM(OFFSET($BO$15,0,0,$B$14,1)) + $B$18/($B$19*$B$19*($DN190&lt;&gt;$DO190) + $B$19*($DN190=$DO190))</f>
        <v>0.97037037037037033</v>
      </c>
      <c r="FS190" s="10" cm="1">
        <f t="array" aca="1" ref="FS190" ca="1">(1-$B$18)*SUMPRODUCT(OFFSET($BO$15,0,0,$B$14,1), 1*(_xlfn._xlws.FILTER(OFFSET($O$15,0,$DN190,$B$8,1),OFFSET($M$15,0,0,$B$8,1))=FS$13), 1*(_xlfn._xlws.FILTER(OFFSET($O$15,0,$DO190,$B$8,1),OFFSET($M$15,0,0,$B$8,1))=FS$14))   /   SUM(OFFSET($BO$15,0,0,$B$14,1)) + $B$18/($B$19*$B$19*($DN190&lt;&gt;$DO190) + $B$19*($DN190=$DO190))</f>
        <v>3.7037037037037035E-4</v>
      </c>
      <c r="FT190" s="10" cm="1">
        <f t="array" aca="1" ref="FT190" ca="1">(1-$B$18)*SUMPRODUCT(OFFSET($BO$15,0,0,$B$14,1), 1*(_xlfn._xlws.FILTER(OFFSET($O$15,0,$DN190,$B$8,1),OFFSET($M$15,0,0,$B$8,1))=FT$13), 1*(_xlfn._xlws.FILTER(OFFSET($O$15,0,$DO190,$B$8,1),OFFSET($M$15,0,0,$B$8,1))=FT$14))   /   SUM(OFFSET($BO$15,0,0,$B$14,1)) + $B$18/($B$19*$B$19*($DN190&lt;&gt;$DO190) + $B$19*($DN190=$DO190))</f>
        <v>3.7037037037037035E-4</v>
      </c>
      <c r="FU190" s="10" cm="1">
        <f t="array" aca="1" ref="FU190" ca="1">(1-$B$18)*SUMPRODUCT(OFFSET($BO$15,0,0,$B$14,1), 1*(_xlfn._xlws.FILTER(OFFSET($O$15,0,$DN190,$B$8,1),OFFSET($M$15,0,0,$B$8,1))=FU$13), 1*(_xlfn._xlws.FILTER(OFFSET($O$15,0,$DO190,$B$8,1),OFFSET($M$15,0,0,$B$8,1))=FU$14))   /   SUM(OFFSET($BO$15,0,0,$B$14,1)) + $B$18/($B$19*$B$19*($DN190&lt;&gt;$DO190) + $B$19*($DN190=$DO190))</f>
        <v>3.7037037037037035E-4</v>
      </c>
      <c r="FV190" s="10" cm="1">
        <f t="array" aca="1" ref="FV190" ca="1">(1-$B$18)*SUMPRODUCT(OFFSET($BO$15,0,0,$B$14,1), 1*(_xlfn._xlws.FILTER(OFFSET($O$15,0,$DN190,$B$8,1),OFFSET($M$15,0,0,$B$8,1))=FV$13), 1*(_xlfn._xlws.FILTER(OFFSET($O$15,0,$DO190,$B$8,1),OFFSET($M$15,0,0,$B$8,1))=FV$14))   /   SUM(OFFSET($BO$15,0,0,$B$14,1)) + $B$18/($B$19*$B$19*($DN190&lt;&gt;$DO190) + $B$19*($DN190=$DO190))</f>
        <v>3.7037037037037035E-4</v>
      </c>
      <c r="FW190" s="10" cm="1">
        <f t="array" aca="1" ref="FW190" ca="1">(1-$B$18)*SUMPRODUCT(OFFSET($BO$15,0,0,$B$14,1), 1*(_xlfn._xlws.FILTER(OFFSET($O$15,0,$DN190,$B$8,1),OFFSET($M$15,0,0,$B$8,1))=FW$13), 1*(_xlfn._xlws.FILTER(OFFSET($O$15,0,$DO190,$B$8,1),OFFSET($M$15,0,0,$B$8,1))=FW$14))   /   SUM(OFFSET($BO$15,0,0,$B$14,1)) + $B$18/($B$19*$B$19*($DN190&lt;&gt;$DO190) + $B$19*($DN190=$DO190))</f>
        <v>3.7037037037037035E-4</v>
      </c>
      <c r="FX190" s="10" cm="1">
        <f t="array" aca="1" ref="FX190" ca="1">(1-$B$18)*SUMPRODUCT(OFFSET($BO$15,0,0,$B$14,1), 1*(_xlfn._xlws.FILTER(OFFSET($O$15,0,$DN190,$B$8,1),OFFSET($M$15,0,0,$B$8,1))=FX$13), 1*(_xlfn._xlws.FILTER(OFFSET($O$15,0,$DO190,$B$8,1),OFFSET($M$15,0,0,$B$8,1))=FX$14))   /   SUM(OFFSET($BO$15,0,0,$B$14,1)) + $B$18/($B$19*$B$19*($DN190&lt;&gt;$DO190) + $B$19*($DN190=$DO190))</f>
        <v>3.7037037037037035E-4</v>
      </c>
      <c r="FY190" s="10" cm="1">
        <f t="array" aca="1" ref="FY190" ca="1">(1-$B$18)*SUMPRODUCT(OFFSET($BO$15,0,0,$B$14,1), 1*(_xlfn._xlws.FILTER(OFFSET($O$15,0,$DN190,$B$8,1),OFFSET($M$15,0,0,$B$8,1))=FY$13), 1*(_xlfn._xlws.FILTER(OFFSET($O$15,0,$DO190,$B$8,1),OFFSET($M$15,0,0,$B$8,1))=FY$14))   /   SUM(OFFSET($BO$15,0,0,$B$14,1)) + $B$18/($B$19*$B$19*($DN190&lt;&gt;$DO190) + $B$19*($DN190=$DO190))</f>
        <v>3.7037037037037035E-4</v>
      </c>
      <c r="FZ190" s="10" cm="1">
        <f t="array" aca="1" ref="FZ190" ca="1">(1-$B$18)*SUMPRODUCT(OFFSET($BO$15,0,0,$B$14,1), 1*(_xlfn._xlws.FILTER(OFFSET($O$15,0,$DN190,$B$8,1),OFFSET($M$15,0,0,$B$8,1))=FZ$13), 1*(_xlfn._xlws.FILTER(OFFSET($O$15,0,$DO190,$B$8,1),OFFSET($M$15,0,0,$B$8,1))=FZ$14))   /   SUM(OFFSET($BO$15,0,0,$B$14,1)) + $B$18/($B$19*$B$19*($DN190&lt;&gt;$DO190) + $B$19*($DN190=$DO190))</f>
        <v>3.7037037037037035E-4</v>
      </c>
      <c r="GA190" s="10" cm="1">
        <f t="array" aca="1" ref="GA190" ca="1">(1-$B$18)*SUMPRODUCT(OFFSET($BO$15,0,0,$B$14,1), 1*(_xlfn._xlws.FILTER(OFFSET($O$15,0,$DN190,$B$8,1),OFFSET($M$15,0,0,$B$8,1))=GA$13), 1*(_xlfn._xlws.FILTER(OFFSET($O$15,0,$DO190,$B$8,1),OFFSET($M$15,0,0,$B$8,1))=GA$14))   /   SUM(OFFSET($BO$15,0,0,$B$14,1)) + $B$18/($B$19*$B$19*($DN190&lt;&gt;$DO190) + $B$19*($DN190=$DO190))</f>
        <v>3.7037037037037035E-4</v>
      </c>
    </row>
    <row r="191" spans="118:183" x14ac:dyDescent="0.2">
      <c r="DN191" cm="1">
        <f t="array" aca="1" ref="DN191" ca="1">INDEX(_xlfn.ANCHORARRAY($CP$15), 1 + INT((ROWS($DO$15:$DO191) - 1) / ROWS(_xlfn.ANCHORARRAY($CP$15))))</f>
        <v>9</v>
      </c>
      <c r="DO191" cm="1">
        <f t="array" aca="1" ref="DO191" ca="1">INDEX(_xlfn.ANCHORARRAY($CP$15),1+MOD(ROWS($DO$15:$DO191)-1,ROWS(_xlfn.ANCHORARRAY($CP$15))))</f>
        <v>5</v>
      </c>
      <c r="DP191" s="10" cm="1">
        <f t="array" aca="1" ref="DP191" ca="1">(1-$B$18)*SUMPRODUCT(OFFSET($BO$15,0,0,$B$14,1), 1*(_xlfn._xlws.FILTER(OFFSET($O$15,0,$DN191,$B$8,1),OFFSET($M$15,0,0,$B$8,1))=DP$13), 1*(_xlfn._xlws.FILTER(OFFSET($O$15,0,$DO191,$B$8,1),OFFSET($M$15,0,0,$B$8,1))=DP$14))   /   SUM(OFFSET($BO$15,0,0,$B$14,1)) + $B$18/($B$19*$B$19*($DN191&lt;&gt;$DO191) + $B$19*($DN191=$DO191))</f>
        <v>3.7037037037037035E-4</v>
      </c>
      <c r="DQ191" s="10" cm="1">
        <f t="array" aca="1" ref="DQ191" ca="1">(1-$B$18)*SUMPRODUCT(OFFSET($BO$15,0,0,$B$14,1), 1*(_xlfn._xlws.FILTER(OFFSET($O$15,0,$DN191,$B$8,1),OFFSET($M$15,0,0,$B$8,1))=DQ$13), 1*(_xlfn._xlws.FILTER(OFFSET($O$15,0,$DO191,$B$8,1),OFFSET($M$15,0,0,$B$8,1))=DQ$14))   /   SUM(OFFSET($BO$15,0,0,$B$14,1)) + $B$18/($B$19*$B$19*($DN191&lt;&gt;$DO191) + $B$19*($DN191=$DO191))</f>
        <v>3.7037037037037035E-4</v>
      </c>
      <c r="DR191" s="10" cm="1">
        <f t="array" aca="1" ref="DR191" ca="1">(1-$B$18)*SUMPRODUCT(OFFSET($BO$15,0,0,$B$14,1), 1*(_xlfn._xlws.FILTER(OFFSET($O$15,0,$DN191,$B$8,1),OFFSET($M$15,0,0,$B$8,1))=DR$13), 1*(_xlfn._xlws.FILTER(OFFSET($O$15,0,$DO191,$B$8,1),OFFSET($M$15,0,0,$B$8,1))=DR$14))   /   SUM(OFFSET($BO$15,0,0,$B$14,1)) + $B$18/($B$19*$B$19*($DN191&lt;&gt;$DO191) + $B$19*($DN191=$DO191))</f>
        <v>3.7037037037037035E-4</v>
      </c>
      <c r="DS191" s="10" cm="1">
        <f t="array" aca="1" ref="DS191" ca="1">(1-$B$18)*SUMPRODUCT(OFFSET($BO$15,0,0,$B$14,1), 1*(_xlfn._xlws.FILTER(OFFSET($O$15,0,$DN191,$B$8,1),OFFSET($M$15,0,0,$B$8,1))=DS$13), 1*(_xlfn._xlws.FILTER(OFFSET($O$15,0,$DO191,$B$8,1),OFFSET($M$15,0,0,$B$8,1))=DS$14))   /   SUM(OFFSET($BO$15,0,0,$B$14,1)) + $B$18/($B$19*$B$19*($DN191&lt;&gt;$DO191) + $B$19*($DN191=$DO191))</f>
        <v>3.7037037037037035E-4</v>
      </c>
      <c r="DT191" s="10" cm="1">
        <f t="array" aca="1" ref="DT191" ca="1">(1-$B$18)*SUMPRODUCT(OFFSET($BO$15,0,0,$B$14,1), 1*(_xlfn._xlws.FILTER(OFFSET($O$15,0,$DN191,$B$8,1),OFFSET($M$15,0,0,$B$8,1))=DT$13), 1*(_xlfn._xlws.FILTER(OFFSET($O$15,0,$DO191,$B$8,1),OFFSET($M$15,0,0,$B$8,1))=DT$14))   /   SUM(OFFSET($BO$15,0,0,$B$14,1)) + $B$18/($B$19*$B$19*($DN191&lt;&gt;$DO191) + $B$19*($DN191=$DO191))</f>
        <v>3.7037037037037035E-4</v>
      </c>
      <c r="DU191" s="10" cm="1">
        <f t="array" aca="1" ref="DU191" ca="1">(1-$B$18)*SUMPRODUCT(OFFSET($BO$15,0,0,$B$14,1), 1*(_xlfn._xlws.FILTER(OFFSET($O$15,0,$DN191,$B$8,1),OFFSET($M$15,0,0,$B$8,1))=DU$13), 1*(_xlfn._xlws.FILTER(OFFSET($O$15,0,$DO191,$B$8,1),OFFSET($M$15,0,0,$B$8,1))=DU$14))   /   SUM(OFFSET($BO$15,0,0,$B$14,1)) + $B$18/($B$19*$B$19*($DN191&lt;&gt;$DO191) + $B$19*($DN191=$DO191))</f>
        <v>3.7037037037037035E-4</v>
      </c>
      <c r="DV191" s="10" cm="1">
        <f t="array" aca="1" ref="DV191" ca="1">(1-$B$18)*SUMPRODUCT(OFFSET($BO$15,0,0,$B$14,1), 1*(_xlfn._xlws.FILTER(OFFSET($O$15,0,$DN191,$B$8,1),OFFSET($M$15,0,0,$B$8,1))=DV$13), 1*(_xlfn._xlws.FILTER(OFFSET($O$15,0,$DO191,$B$8,1),OFFSET($M$15,0,0,$B$8,1))=DV$14))   /   SUM(OFFSET($BO$15,0,0,$B$14,1)) + $B$18/($B$19*$B$19*($DN191&lt;&gt;$DO191) + $B$19*($DN191=$DO191))</f>
        <v>3.7037037037037035E-4</v>
      </c>
      <c r="DW191" s="10" cm="1">
        <f t="array" aca="1" ref="DW191" ca="1">(1-$B$18)*SUMPRODUCT(OFFSET($BO$15,0,0,$B$14,1), 1*(_xlfn._xlws.FILTER(OFFSET($O$15,0,$DN191,$B$8,1),OFFSET($M$15,0,0,$B$8,1))=DW$13), 1*(_xlfn._xlws.FILTER(OFFSET($O$15,0,$DO191,$B$8,1),OFFSET($M$15,0,0,$B$8,1))=DW$14))   /   SUM(OFFSET($BO$15,0,0,$B$14,1)) + $B$18/($B$19*$B$19*($DN191&lt;&gt;$DO191) + $B$19*($DN191=$DO191))</f>
        <v>3.7037037037037035E-4</v>
      </c>
      <c r="DX191" s="10" cm="1">
        <f t="array" aca="1" ref="DX191" ca="1">(1-$B$18)*SUMPRODUCT(OFFSET($BO$15,0,0,$B$14,1), 1*(_xlfn._xlws.FILTER(OFFSET($O$15,0,$DN191,$B$8,1),OFFSET($M$15,0,0,$B$8,1))=DX$13), 1*(_xlfn._xlws.FILTER(OFFSET($O$15,0,$DO191,$B$8,1),OFFSET($M$15,0,0,$B$8,1))=DX$14))   /   SUM(OFFSET($BO$15,0,0,$B$14,1)) + $B$18/($B$19*$B$19*($DN191&lt;&gt;$DO191) + $B$19*($DN191=$DO191))</f>
        <v>3.7037037037037035E-4</v>
      </c>
      <c r="DY191" s="10" cm="1">
        <f t="array" aca="1" ref="DY191" ca="1">(1-$B$18)*SUMPRODUCT(OFFSET($BO$15,0,0,$B$14,1), 1*(_xlfn._xlws.FILTER(OFFSET($O$15,0,$DN191,$B$8,1),OFFSET($M$15,0,0,$B$8,1))=DY$13), 1*(_xlfn._xlws.FILTER(OFFSET($O$15,0,$DO191,$B$8,1),OFFSET($M$15,0,0,$B$8,1))=DY$14))   /   SUM(OFFSET($BO$15,0,0,$B$14,1)) + $B$18/($B$19*$B$19*($DN191&lt;&gt;$DO191) + $B$19*($DN191=$DO191))</f>
        <v>3.7037037037037035E-4</v>
      </c>
      <c r="DZ191" s="10" cm="1">
        <f t="array" aca="1" ref="DZ191" ca="1">(1-$B$18)*SUMPRODUCT(OFFSET($BO$15,0,0,$B$14,1), 1*(_xlfn._xlws.FILTER(OFFSET($O$15,0,$DN191,$B$8,1),OFFSET($M$15,0,0,$B$8,1))=DZ$13), 1*(_xlfn._xlws.FILTER(OFFSET($O$15,0,$DO191,$B$8,1),OFFSET($M$15,0,0,$B$8,1))=DZ$14))   /   SUM(OFFSET($BO$15,0,0,$B$14,1)) + $B$18/($B$19*$B$19*($DN191&lt;&gt;$DO191) + $B$19*($DN191=$DO191))</f>
        <v>3.7037037037037035E-4</v>
      </c>
      <c r="EA191" s="10" cm="1">
        <f t="array" aca="1" ref="EA191" ca="1">(1-$B$18)*SUMPRODUCT(OFFSET($BO$15,0,0,$B$14,1), 1*(_xlfn._xlws.FILTER(OFFSET($O$15,0,$DN191,$B$8,1),OFFSET($M$15,0,0,$B$8,1))=EA$13), 1*(_xlfn._xlws.FILTER(OFFSET($O$15,0,$DO191,$B$8,1),OFFSET($M$15,0,0,$B$8,1))=EA$14))   /   SUM(OFFSET($BO$15,0,0,$B$14,1)) + $B$18/($B$19*$B$19*($DN191&lt;&gt;$DO191) + $B$19*($DN191=$DO191))</f>
        <v>3.7037037037037035E-4</v>
      </c>
      <c r="EB191" s="10" cm="1">
        <f t="array" aca="1" ref="EB191" ca="1">(1-$B$18)*SUMPRODUCT(OFFSET($BO$15,0,0,$B$14,1), 1*(_xlfn._xlws.FILTER(OFFSET($O$15,0,$DN191,$B$8,1),OFFSET($M$15,0,0,$B$8,1))=EB$13), 1*(_xlfn._xlws.FILTER(OFFSET($O$15,0,$DO191,$B$8,1),OFFSET($M$15,0,0,$B$8,1))=EB$14))   /   SUM(OFFSET($BO$15,0,0,$B$14,1)) + $B$18/($B$19*$B$19*($DN191&lt;&gt;$DO191) + $B$19*($DN191=$DO191))</f>
        <v>3.7037037037037035E-4</v>
      </c>
      <c r="EC191" s="10" cm="1">
        <f t="array" aca="1" ref="EC191" ca="1">(1-$B$18)*SUMPRODUCT(OFFSET($BO$15,0,0,$B$14,1), 1*(_xlfn._xlws.FILTER(OFFSET($O$15,0,$DN191,$B$8,1),OFFSET($M$15,0,0,$B$8,1))=EC$13), 1*(_xlfn._xlws.FILTER(OFFSET($O$15,0,$DO191,$B$8,1),OFFSET($M$15,0,0,$B$8,1))=EC$14))   /   SUM(OFFSET($BO$15,0,0,$B$14,1)) + $B$18/($B$19*$B$19*($DN191&lt;&gt;$DO191) + $B$19*($DN191=$DO191))</f>
        <v>3.7037037037037035E-4</v>
      </c>
      <c r="ED191" s="10" cm="1">
        <f t="array" aca="1" ref="ED191" ca="1">(1-$B$18)*SUMPRODUCT(OFFSET($BO$15,0,0,$B$14,1), 1*(_xlfn._xlws.FILTER(OFFSET($O$15,0,$DN191,$B$8,1),OFFSET($M$15,0,0,$B$8,1))=ED$13), 1*(_xlfn._xlws.FILTER(OFFSET($O$15,0,$DO191,$B$8,1),OFFSET($M$15,0,0,$B$8,1))=ED$14))   /   SUM(OFFSET($BO$15,0,0,$B$14,1)) + $B$18/($B$19*$B$19*($DN191&lt;&gt;$DO191) + $B$19*($DN191=$DO191))</f>
        <v>3.7037037037037035E-4</v>
      </c>
      <c r="EE191" s="10" cm="1">
        <f t="array" aca="1" ref="EE191" ca="1">(1-$B$18)*SUMPRODUCT(OFFSET($BO$15,0,0,$B$14,1), 1*(_xlfn._xlws.FILTER(OFFSET($O$15,0,$DN191,$B$8,1),OFFSET($M$15,0,0,$B$8,1))=EE$13), 1*(_xlfn._xlws.FILTER(OFFSET($O$15,0,$DO191,$B$8,1),OFFSET($M$15,0,0,$B$8,1))=EE$14))   /   SUM(OFFSET($BO$15,0,0,$B$14,1)) + $B$18/($B$19*$B$19*($DN191&lt;&gt;$DO191) + $B$19*($DN191=$DO191))</f>
        <v>3.7037037037037035E-4</v>
      </c>
      <c r="EF191" s="10" cm="1">
        <f t="array" aca="1" ref="EF191" ca="1">(1-$B$18)*SUMPRODUCT(OFFSET($BO$15,0,0,$B$14,1), 1*(_xlfn._xlws.FILTER(OFFSET($O$15,0,$DN191,$B$8,1),OFFSET($M$15,0,0,$B$8,1))=EF$13), 1*(_xlfn._xlws.FILTER(OFFSET($O$15,0,$DO191,$B$8,1),OFFSET($M$15,0,0,$B$8,1))=EF$14))   /   SUM(OFFSET($BO$15,0,0,$B$14,1)) + $B$18/($B$19*$B$19*($DN191&lt;&gt;$DO191) + $B$19*($DN191=$DO191))</f>
        <v>3.7037037037037035E-4</v>
      </c>
      <c r="EG191" s="10" cm="1">
        <f t="array" aca="1" ref="EG191" ca="1">(1-$B$18)*SUMPRODUCT(OFFSET($BO$15,0,0,$B$14,1), 1*(_xlfn._xlws.FILTER(OFFSET($O$15,0,$DN191,$B$8,1),OFFSET($M$15,0,0,$B$8,1))=EG$13), 1*(_xlfn._xlws.FILTER(OFFSET($O$15,0,$DO191,$B$8,1),OFFSET($M$15,0,0,$B$8,1))=EG$14))   /   SUM(OFFSET($BO$15,0,0,$B$14,1)) + $B$18/($B$19*$B$19*($DN191&lt;&gt;$DO191) + $B$19*($DN191=$DO191))</f>
        <v>3.7037037037037035E-4</v>
      </c>
      <c r="EH191" s="10" cm="1">
        <f t="array" aca="1" ref="EH191" ca="1">(1-$B$18)*SUMPRODUCT(OFFSET($BO$15,0,0,$B$14,1), 1*(_xlfn._xlws.FILTER(OFFSET($O$15,0,$DN191,$B$8,1),OFFSET($M$15,0,0,$B$8,1))=EH$13), 1*(_xlfn._xlws.FILTER(OFFSET($O$15,0,$DO191,$B$8,1),OFFSET($M$15,0,0,$B$8,1))=EH$14))   /   SUM(OFFSET($BO$15,0,0,$B$14,1)) + $B$18/($B$19*$B$19*($DN191&lt;&gt;$DO191) + $B$19*($DN191=$DO191))</f>
        <v>3.7037037037037035E-4</v>
      </c>
      <c r="EI191" s="10" cm="1">
        <f t="array" aca="1" ref="EI191" ca="1">(1-$B$18)*SUMPRODUCT(OFFSET($BO$15,0,0,$B$14,1), 1*(_xlfn._xlws.FILTER(OFFSET($O$15,0,$DN191,$B$8,1),OFFSET($M$15,0,0,$B$8,1))=EI$13), 1*(_xlfn._xlws.FILTER(OFFSET($O$15,0,$DO191,$B$8,1),OFFSET($M$15,0,0,$B$8,1))=EI$14))   /   SUM(OFFSET($BO$15,0,0,$B$14,1)) + $B$18/($B$19*$B$19*($DN191&lt;&gt;$DO191) + $B$19*($DN191=$DO191))</f>
        <v>3.7037037037037035E-4</v>
      </c>
      <c r="EJ191" s="10" cm="1">
        <f t="array" aca="1" ref="EJ191" ca="1">(1-$B$18)*SUMPRODUCT(OFFSET($BO$15,0,0,$B$14,1), 1*(_xlfn._xlws.FILTER(OFFSET($O$15,0,$DN191,$B$8,1),OFFSET($M$15,0,0,$B$8,1))=EJ$13), 1*(_xlfn._xlws.FILTER(OFFSET($O$15,0,$DO191,$B$8,1),OFFSET($M$15,0,0,$B$8,1))=EJ$14))   /   SUM(OFFSET($BO$15,0,0,$B$14,1)) + $B$18/($B$19*$B$19*($DN191&lt;&gt;$DO191) + $B$19*($DN191=$DO191))</f>
        <v>3.7037037037037035E-4</v>
      </c>
      <c r="EK191" s="10" cm="1">
        <f t="array" aca="1" ref="EK191" ca="1">(1-$B$18)*SUMPRODUCT(OFFSET($BO$15,0,0,$B$14,1), 1*(_xlfn._xlws.FILTER(OFFSET($O$15,0,$DN191,$B$8,1),OFFSET($M$15,0,0,$B$8,1))=EK$13), 1*(_xlfn._xlws.FILTER(OFFSET($O$15,0,$DO191,$B$8,1),OFFSET($M$15,0,0,$B$8,1))=EK$14))   /   SUM(OFFSET($BO$15,0,0,$B$14,1)) + $B$18/($B$19*$B$19*($DN191&lt;&gt;$DO191) + $B$19*($DN191=$DO191))</f>
        <v>3.7037037037037035E-4</v>
      </c>
      <c r="EL191" s="10" cm="1">
        <f t="array" aca="1" ref="EL191" ca="1">(1-$B$18)*SUMPRODUCT(OFFSET($BO$15,0,0,$B$14,1), 1*(_xlfn._xlws.FILTER(OFFSET($O$15,0,$DN191,$B$8,1),OFFSET($M$15,0,0,$B$8,1))=EL$13), 1*(_xlfn._xlws.FILTER(OFFSET($O$15,0,$DO191,$B$8,1),OFFSET($M$15,0,0,$B$8,1))=EL$14))   /   SUM(OFFSET($BO$15,0,0,$B$14,1)) + $B$18/($B$19*$B$19*($DN191&lt;&gt;$DO191) + $B$19*($DN191=$DO191))</f>
        <v>3.7037037037037035E-4</v>
      </c>
      <c r="EM191" s="10" cm="1">
        <f t="array" aca="1" ref="EM191" ca="1">(1-$B$18)*SUMPRODUCT(OFFSET($BO$15,0,0,$B$14,1), 1*(_xlfn._xlws.FILTER(OFFSET($O$15,0,$DN191,$B$8,1),OFFSET($M$15,0,0,$B$8,1))=EM$13), 1*(_xlfn._xlws.FILTER(OFFSET($O$15,0,$DO191,$B$8,1),OFFSET($M$15,0,0,$B$8,1))=EM$14))   /   SUM(OFFSET($BO$15,0,0,$B$14,1)) + $B$18/($B$19*$B$19*($DN191&lt;&gt;$DO191) + $B$19*($DN191=$DO191))</f>
        <v>3.7037037037037035E-4</v>
      </c>
      <c r="EN191" s="10" cm="1">
        <f t="array" aca="1" ref="EN191" ca="1">(1-$B$18)*SUMPRODUCT(OFFSET($BO$15,0,0,$B$14,1), 1*(_xlfn._xlws.FILTER(OFFSET($O$15,0,$DN191,$B$8,1),OFFSET($M$15,0,0,$B$8,1))=EN$13), 1*(_xlfn._xlws.FILTER(OFFSET($O$15,0,$DO191,$B$8,1),OFFSET($M$15,0,0,$B$8,1))=EN$14))   /   SUM(OFFSET($BO$15,0,0,$B$14,1)) + $B$18/($B$19*$B$19*($DN191&lt;&gt;$DO191) + $B$19*($DN191=$DO191))</f>
        <v>3.7037037037037035E-4</v>
      </c>
      <c r="EO191" s="10" cm="1">
        <f t="array" aca="1" ref="EO191" ca="1">(1-$B$18)*SUMPRODUCT(OFFSET($BO$15,0,0,$B$14,1), 1*(_xlfn._xlws.FILTER(OFFSET($O$15,0,$DN191,$B$8,1),OFFSET($M$15,0,0,$B$8,1))=EO$13), 1*(_xlfn._xlws.FILTER(OFFSET($O$15,0,$DO191,$B$8,1),OFFSET($M$15,0,0,$B$8,1))=EO$14))   /   SUM(OFFSET($BO$15,0,0,$B$14,1)) + $B$18/($B$19*$B$19*($DN191&lt;&gt;$DO191) + $B$19*($DN191=$DO191))</f>
        <v>3.7037037037037035E-4</v>
      </c>
      <c r="EP191" s="10" cm="1">
        <f t="array" aca="1" ref="EP191" ca="1">(1-$B$18)*SUMPRODUCT(OFFSET($BO$15,0,0,$B$14,1), 1*(_xlfn._xlws.FILTER(OFFSET($O$15,0,$DN191,$B$8,1),OFFSET($M$15,0,0,$B$8,1))=EP$13), 1*(_xlfn._xlws.FILTER(OFFSET($O$15,0,$DO191,$B$8,1),OFFSET($M$15,0,0,$B$8,1))=EP$14))   /   SUM(OFFSET($BO$15,0,0,$B$14,1)) + $B$18/($B$19*$B$19*($DN191&lt;&gt;$DO191) + $B$19*($DN191=$DO191))</f>
        <v>3.7037037037037035E-4</v>
      </c>
      <c r="EQ191" s="10" cm="1">
        <f t="array" aca="1" ref="EQ191" ca="1">(1-$B$18)*SUMPRODUCT(OFFSET($BO$15,0,0,$B$14,1), 1*(_xlfn._xlws.FILTER(OFFSET($O$15,0,$DN191,$B$8,1),OFFSET($M$15,0,0,$B$8,1))=EQ$13), 1*(_xlfn._xlws.FILTER(OFFSET($O$15,0,$DO191,$B$8,1),OFFSET($M$15,0,0,$B$8,1))=EQ$14))   /   SUM(OFFSET($BO$15,0,0,$B$14,1)) + $B$18/($B$19*$B$19*($DN191&lt;&gt;$DO191) + $B$19*($DN191=$DO191))</f>
        <v>3.7037037037037035E-4</v>
      </c>
      <c r="ER191" s="10" cm="1">
        <f t="array" aca="1" ref="ER191" ca="1">(1-$B$18)*SUMPRODUCT(OFFSET($BO$15,0,0,$B$14,1), 1*(_xlfn._xlws.FILTER(OFFSET($O$15,0,$DN191,$B$8,1),OFFSET($M$15,0,0,$B$8,1))=ER$13), 1*(_xlfn._xlws.FILTER(OFFSET($O$15,0,$DO191,$B$8,1),OFFSET($M$15,0,0,$B$8,1))=ER$14))   /   SUM(OFFSET($BO$15,0,0,$B$14,1)) + $B$18/($B$19*$B$19*($DN191&lt;&gt;$DO191) + $B$19*($DN191=$DO191))</f>
        <v>3.7037037037037035E-4</v>
      </c>
      <c r="ES191" s="10" cm="1">
        <f t="array" aca="1" ref="ES191" ca="1">(1-$B$18)*SUMPRODUCT(OFFSET($BO$15,0,0,$B$14,1), 1*(_xlfn._xlws.FILTER(OFFSET($O$15,0,$DN191,$B$8,1),OFFSET($M$15,0,0,$B$8,1))=ES$13), 1*(_xlfn._xlws.FILTER(OFFSET($O$15,0,$DO191,$B$8,1),OFFSET($M$15,0,0,$B$8,1))=ES$14))   /   SUM(OFFSET($BO$15,0,0,$B$14,1)) + $B$18/($B$19*$B$19*($DN191&lt;&gt;$DO191) + $B$19*($DN191=$DO191))</f>
        <v>3.7037037037037035E-4</v>
      </c>
      <c r="ET191" s="10" cm="1">
        <f t="array" aca="1" ref="ET191" ca="1">(1-$B$18)*SUMPRODUCT(OFFSET($BO$15,0,0,$B$14,1), 1*(_xlfn._xlws.FILTER(OFFSET($O$15,0,$DN191,$B$8,1),OFFSET($M$15,0,0,$B$8,1))=ET$13), 1*(_xlfn._xlws.FILTER(OFFSET($O$15,0,$DO191,$B$8,1),OFFSET($M$15,0,0,$B$8,1))=ET$14))   /   SUM(OFFSET($BO$15,0,0,$B$14,1)) + $B$18/($B$19*$B$19*($DN191&lt;&gt;$DO191) + $B$19*($DN191=$DO191))</f>
        <v>3.7037037037037035E-4</v>
      </c>
      <c r="EU191" s="10" cm="1">
        <f t="array" aca="1" ref="EU191" ca="1">(1-$B$18)*SUMPRODUCT(OFFSET($BO$15,0,0,$B$14,1), 1*(_xlfn._xlws.FILTER(OFFSET($O$15,0,$DN191,$B$8,1),OFFSET($M$15,0,0,$B$8,1))=EU$13), 1*(_xlfn._xlws.FILTER(OFFSET($O$15,0,$DO191,$B$8,1),OFFSET($M$15,0,0,$B$8,1))=EU$14))   /   SUM(OFFSET($BO$15,0,0,$B$14,1)) + $B$18/($B$19*$B$19*($DN191&lt;&gt;$DO191) + $B$19*($DN191=$DO191))</f>
        <v>3.7037037037037035E-4</v>
      </c>
      <c r="EV191" s="10" cm="1">
        <f t="array" aca="1" ref="EV191" ca="1">(1-$B$18)*SUMPRODUCT(OFFSET($BO$15,0,0,$B$14,1), 1*(_xlfn._xlws.FILTER(OFFSET($O$15,0,$DN191,$B$8,1),OFFSET($M$15,0,0,$B$8,1))=EV$13), 1*(_xlfn._xlws.FILTER(OFFSET($O$15,0,$DO191,$B$8,1),OFFSET($M$15,0,0,$B$8,1))=EV$14))   /   SUM(OFFSET($BO$15,0,0,$B$14,1)) + $B$18/($B$19*$B$19*($DN191&lt;&gt;$DO191) + $B$19*($DN191=$DO191))</f>
        <v>3.7037037037037035E-4</v>
      </c>
      <c r="EW191" s="10" cm="1">
        <f t="array" aca="1" ref="EW191" ca="1">(1-$B$18)*SUMPRODUCT(OFFSET($BO$15,0,0,$B$14,1), 1*(_xlfn._xlws.FILTER(OFFSET($O$15,0,$DN191,$B$8,1),OFFSET($M$15,0,0,$B$8,1))=EW$13), 1*(_xlfn._xlws.FILTER(OFFSET($O$15,0,$DO191,$B$8,1),OFFSET($M$15,0,0,$B$8,1))=EW$14))   /   SUM(OFFSET($BO$15,0,0,$B$14,1)) + $B$18/($B$19*$B$19*($DN191&lt;&gt;$DO191) + $B$19*($DN191=$DO191))</f>
        <v>3.7037037037037035E-4</v>
      </c>
      <c r="EX191" s="10" cm="1">
        <f t="array" aca="1" ref="EX191" ca="1">(1-$B$18)*SUMPRODUCT(OFFSET($BO$15,0,0,$B$14,1), 1*(_xlfn._xlws.FILTER(OFFSET($O$15,0,$DN191,$B$8,1),OFFSET($M$15,0,0,$B$8,1))=EX$13), 1*(_xlfn._xlws.FILTER(OFFSET($O$15,0,$DO191,$B$8,1),OFFSET($M$15,0,0,$B$8,1))=EX$14))   /   SUM(OFFSET($BO$15,0,0,$B$14,1)) + $B$18/($B$19*$B$19*($DN191&lt;&gt;$DO191) + $B$19*($DN191=$DO191))</f>
        <v>3.7037037037037035E-4</v>
      </c>
      <c r="EY191" s="10" cm="1">
        <f t="array" aca="1" ref="EY191" ca="1">(1-$B$18)*SUMPRODUCT(OFFSET($BO$15,0,0,$B$14,1), 1*(_xlfn._xlws.FILTER(OFFSET($O$15,0,$DN191,$B$8,1),OFFSET($M$15,0,0,$B$8,1))=EY$13), 1*(_xlfn._xlws.FILTER(OFFSET($O$15,0,$DO191,$B$8,1),OFFSET($M$15,0,0,$B$8,1))=EY$14))   /   SUM(OFFSET($BO$15,0,0,$B$14,1)) + $B$18/($B$19*$B$19*($DN191&lt;&gt;$DO191) + $B$19*($DN191=$DO191))</f>
        <v>3.7037037037037035E-4</v>
      </c>
      <c r="EZ191" s="10" cm="1">
        <f t="array" aca="1" ref="EZ191" ca="1">(1-$B$18)*SUMPRODUCT(OFFSET($BO$15,0,0,$B$14,1), 1*(_xlfn._xlws.FILTER(OFFSET($O$15,0,$DN191,$B$8,1),OFFSET($M$15,0,0,$B$8,1))=EZ$13), 1*(_xlfn._xlws.FILTER(OFFSET($O$15,0,$DO191,$B$8,1),OFFSET($M$15,0,0,$B$8,1))=EZ$14))   /   SUM(OFFSET($BO$15,0,0,$B$14,1)) + $B$18/($B$19*$B$19*($DN191&lt;&gt;$DO191) + $B$19*($DN191=$DO191))</f>
        <v>3.7037037037037035E-4</v>
      </c>
      <c r="FA191" s="10" cm="1">
        <f t="array" aca="1" ref="FA191" ca="1">(1-$B$18)*SUMPRODUCT(OFFSET($BO$15,0,0,$B$14,1), 1*(_xlfn._xlws.FILTER(OFFSET($O$15,0,$DN191,$B$8,1),OFFSET($M$15,0,0,$B$8,1))=FA$13), 1*(_xlfn._xlws.FILTER(OFFSET($O$15,0,$DO191,$B$8,1),OFFSET($M$15,0,0,$B$8,1))=FA$14))   /   SUM(OFFSET($BO$15,0,0,$B$14,1)) + $B$18/($B$19*$B$19*($DN191&lt;&gt;$DO191) + $B$19*($DN191=$DO191))</f>
        <v>3.7037037037037035E-4</v>
      </c>
      <c r="FB191" s="10" cm="1">
        <f t="array" aca="1" ref="FB191" ca="1">(1-$B$18)*SUMPRODUCT(OFFSET($BO$15,0,0,$B$14,1), 1*(_xlfn._xlws.FILTER(OFFSET($O$15,0,$DN191,$B$8,1),OFFSET($M$15,0,0,$B$8,1))=FB$13), 1*(_xlfn._xlws.FILTER(OFFSET($O$15,0,$DO191,$B$8,1),OFFSET($M$15,0,0,$B$8,1))=FB$14))   /   SUM(OFFSET($BO$15,0,0,$B$14,1)) + $B$18/($B$19*$B$19*($DN191&lt;&gt;$DO191) + $B$19*($DN191=$DO191))</f>
        <v>3.7037037037037035E-4</v>
      </c>
      <c r="FC191" s="10" cm="1">
        <f t="array" aca="1" ref="FC191" ca="1">(1-$B$18)*SUMPRODUCT(OFFSET($BO$15,0,0,$B$14,1), 1*(_xlfn._xlws.FILTER(OFFSET($O$15,0,$DN191,$B$8,1),OFFSET($M$15,0,0,$B$8,1))=FC$13), 1*(_xlfn._xlws.FILTER(OFFSET($O$15,0,$DO191,$B$8,1),OFFSET($M$15,0,0,$B$8,1))=FC$14))   /   SUM(OFFSET($BO$15,0,0,$B$14,1)) + $B$18/($B$19*$B$19*($DN191&lt;&gt;$DO191) + $B$19*($DN191=$DO191))</f>
        <v>3.7037037037037035E-4</v>
      </c>
      <c r="FD191" s="10" cm="1">
        <f t="array" aca="1" ref="FD191" ca="1">(1-$B$18)*SUMPRODUCT(OFFSET($BO$15,0,0,$B$14,1), 1*(_xlfn._xlws.FILTER(OFFSET($O$15,0,$DN191,$B$8,1),OFFSET($M$15,0,0,$B$8,1))=FD$13), 1*(_xlfn._xlws.FILTER(OFFSET($O$15,0,$DO191,$B$8,1),OFFSET($M$15,0,0,$B$8,1))=FD$14))   /   SUM(OFFSET($BO$15,0,0,$B$14,1)) + $B$18/($B$19*$B$19*($DN191&lt;&gt;$DO191) + $B$19*($DN191=$DO191))</f>
        <v>3.7037037037037035E-4</v>
      </c>
      <c r="FE191" s="10" cm="1">
        <f t="array" aca="1" ref="FE191" ca="1">(1-$B$18)*SUMPRODUCT(OFFSET($BO$15,0,0,$B$14,1), 1*(_xlfn._xlws.FILTER(OFFSET($O$15,0,$DN191,$B$8,1),OFFSET($M$15,0,0,$B$8,1))=FE$13), 1*(_xlfn._xlws.FILTER(OFFSET($O$15,0,$DO191,$B$8,1),OFFSET($M$15,0,0,$B$8,1))=FE$14))   /   SUM(OFFSET($BO$15,0,0,$B$14,1)) + $B$18/($B$19*$B$19*($DN191&lt;&gt;$DO191) + $B$19*($DN191=$DO191))</f>
        <v>3.7037037037037035E-4</v>
      </c>
      <c r="FF191" s="10" cm="1">
        <f t="array" aca="1" ref="FF191" ca="1">(1-$B$18)*SUMPRODUCT(OFFSET($BO$15,0,0,$B$14,1), 1*(_xlfn._xlws.FILTER(OFFSET($O$15,0,$DN191,$B$8,1),OFFSET($M$15,0,0,$B$8,1))=FF$13), 1*(_xlfn._xlws.FILTER(OFFSET($O$15,0,$DO191,$B$8,1),OFFSET($M$15,0,0,$B$8,1))=FF$14))   /   SUM(OFFSET($BO$15,0,0,$B$14,1)) + $B$18/($B$19*$B$19*($DN191&lt;&gt;$DO191) + $B$19*($DN191=$DO191))</f>
        <v>3.7037037037037035E-4</v>
      </c>
      <c r="FG191" s="10" cm="1">
        <f t="array" aca="1" ref="FG191" ca="1">(1-$B$18)*SUMPRODUCT(OFFSET($BO$15,0,0,$B$14,1), 1*(_xlfn._xlws.FILTER(OFFSET($O$15,0,$DN191,$B$8,1),OFFSET($M$15,0,0,$B$8,1))=FG$13), 1*(_xlfn._xlws.FILTER(OFFSET($O$15,0,$DO191,$B$8,1),OFFSET($M$15,0,0,$B$8,1))=FG$14))   /   SUM(OFFSET($BO$15,0,0,$B$14,1)) + $B$18/($B$19*$B$19*($DN191&lt;&gt;$DO191) + $B$19*($DN191=$DO191))</f>
        <v>3.7037037037037035E-4</v>
      </c>
      <c r="FH191" s="10" cm="1">
        <f t="array" aca="1" ref="FH191" ca="1">(1-$B$18)*SUMPRODUCT(OFFSET($BO$15,0,0,$B$14,1), 1*(_xlfn._xlws.FILTER(OFFSET($O$15,0,$DN191,$B$8,1),OFFSET($M$15,0,0,$B$8,1))=FH$13), 1*(_xlfn._xlws.FILTER(OFFSET($O$15,0,$DO191,$B$8,1),OFFSET($M$15,0,0,$B$8,1))=FH$14))   /   SUM(OFFSET($BO$15,0,0,$B$14,1)) + $B$18/($B$19*$B$19*($DN191&lt;&gt;$DO191) + $B$19*($DN191=$DO191))</f>
        <v>3.7037037037037035E-4</v>
      </c>
      <c r="FI191" s="10" cm="1">
        <f t="array" aca="1" ref="FI191" ca="1">(1-$B$18)*SUMPRODUCT(OFFSET($BO$15,0,0,$B$14,1), 1*(_xlfn._xlws.FILTER(OFFSET($O$15,0,$DN191,$B$8,1),OFFSET($M$15,0,0,$B$8,1))=FI$13), 1*(_xlfn._xlws.FILTER(OFFSET($O$15,0,$DO191,$B$8,1),OFFSET($M$15,0,0,$B$8,1))=FI$14))   /   SUM(OFFSET($BO$15,0,0,$B$14,1)) + $B$18/($B$19*$B$19*($DN191&lt;&gt;$DO191) + $B$19*($DN191=$DO191))</f>
        <v>3.7037037037037035E-4</v>
      </c>
      <c r="FJ191" s="10" cm="1">
        <f t="array" aca="1" ref="FJ191" ca="1">(1-$B$18)*SUMPRODUCT(OFFSET($BO$15,0,0,$B$14,1), 1*(_xlfn._xlws.FILTER(OFFSET($O$15,0,$DN191,$B$8,1),OFFSET($M$15,0,0,$B$8,1))=FJ$13), 1*(_xlfn._xlws.FILTER(OFFSET($O$15,0,$DO191,$B$8,1),OFFSET($M$15,0,0,$B$8,1))=FJ$14))   /   SUM(OFFSET($BO$15,0,0,$B$14,1)) + $B$18/($B$19*$B$19*($DN191&lt;&gt;$DO191) + $B$19*($DN191=$DO191))</f>
        <v>3.7037037037037035E-4</v>
      </c>
      <c r="FK191" s="10" cm="1">
        <f t="array" aca="1" ref="FK191" ca="1">(1-$B$18)*SUMPRODUCT(OFFSET($BO$15,0,0,$B$14,1), 1*(_xlfn._xlws.FILTER(OFFSET($O$15,0,$DN191,$B$8,1),OFFSET($M$15,0,0,$B$8,1))=FK$13), 1*(_xlfn._xlws.FILTER(OFFSET($O$15,0,$DO191,$B$8,1),OFFSET($M$15,0,0,$B$8,1))=FK$14))   /   SUM(OFFSET($BO$15,0,0,$B$14,1)) + $B$18/($B$19*$B$19*($DN191&lt;&gt;$DO191) + $B$19*($DN191=$DO191))</f>
        <v>3.7037037037037035E-4</v>
      </c>
      <c r="FL191" s="10" cm="1">
        <f t="array" aca="1" ref="FL191" ca="1">(1-$B$18)*SUMPRODUCT(OFFSET($BO$15,0,0,$B$14,1), 1*(_xlfn._xlws.FILTER(OFFSET($O$15,0,$DN191,$B$8,1),OFFSET($M$15,0,0,$B$8,1))=FL$13), 1*(_xlfn._xlws.FILTER(OFFSET($O$15,0,$DO191,$B$8,1),OFFSET($M$15,0,0,$B$8,1))=FL$14))   /   SUM(OFFSET($BO$15,0,0,$B$14,1)) + $B$18/($B$19*$B$19*($DN191&lt;&gt;$DO191) + $B$19*($DN191=$DO191))</f>
        <v>3.7037037037037035E-4</v>
      </c>
      <c r="FM191" s="10" cm="1">
        <f t="array" aca="1" ref="FM191" ca="1">(1-$B$18)*SUMPRODUCT(OFFSET($BO$15,0,0,$B$14,1), 1*(_xlfn._xlws.FILTER(OFFSET($O$15,0,$DN191,$B$8,1),OFFSET($M$15,0,0,$B$8,1))=FM$13), 1*(_xlfn._xlws.FILTER(OFFSET($O$15,0,$DO191,$B$8,1),OFFSET($M$15,0,0,$B$8,1))=FM$14))   /   SUM(OFFSET($BO$15,0,0,$B$14,1)) + $B$18/($B$19*$B$19*($DN191&lt;&gt;$DO191) + $B$19*($DN191=$DO191))</f>
        <v>3.7037037037037035E-4</v>
      </c>
      <c r="FN191" s="10" cm="1">
        <f t="array" aca="1" ref="FN191" ca="1">(1-$B$18)*SUMPRODUCT(OFFSET($BO$15,0,0,$B$14,1), 1*(_xlfn._xlws.FILTER(OFFSET($O$15,0,$DN191,$B$8,1),OFFSET($M$15,0,0,$B$8,1))=FN$13), 1*(_xlfn._xlws.FILTER(OFFSET($O$15,0,$DO191,$B$8,1),OFFSET($M$15,0,0,$B$8,1))=FN$14))   /   SUM(OFFSET($BO$15,0,0,$B$14,1)) + $B$18/($B$19*$B$19*($DN191&lt;&gt;$DO191) + $B$19*($DN191=$DO191))</f>
        <v>3.7037037037037035E-4</v>
      </c>
      <c r="FO191" s="10" cm="1">
        <f t="array" aca="1" ref="FO191" ca="1">(1-$B$18)*SUMPRODUCT(OFFSET($BO$15,0,0,$B$14,1), 1*(_xlfn._xlws.FILTER(OFFSET($O$15,0,$DN191,$B$8,1),OFFSET($M$15,0,0,$B$8,1))=FO$13), 1*(_xlfn._xlws.FILTER(OFFSET($O$15,0,$DO191,$B$8,1),OFFSET($M$15,0,0,$B$8,1))=FO$14))   /   SUM(OFFSET($BO$15,0,0,$B$14,1)) + $B$18/($B$19*$B$19*($DN191&lt;&gt;$DO191) + $B$19*($DN191=$DO191))</f>
        <v>3.7037037037037035E-4</v>
      </c>
      <c r="FP191" s="10" cm="1">
        <f t="array" aca="1" ref="FP191" ca="1">(1-$B$18)*SUMPRODUCT(OFFSET($BO$15,0,0,$B$14,1), 1*(_xlfn._xlws.FILTER(OFFSET($O$15,0,$DN191,$B$8,1),OFFSET($M$15,0,0,$B$8,1))=FP$13), 1*(_xlfn._xlws.FILTER(OFFSET($O$15,0,$DO191,$B$8,1),OFFSET($M$15,0,0,$B$8,1))=FP$14))   /   SUM(OFFSET($BO$15,0,0,$B$14,1)) + $B$18/($B$19*$B$19*($DN191&lt;&gt;$DO191) + $B$19*($DN191=$DO191))</f>
        <v>3.7037037037037035E-4</v>
      </c>
      <c r="FQ191" s="10" cm="1">
        <f t="array" aca="1" ref="FQ191" ca="1">(1-$B$18)*SUMPRODUCT(OFFSET($BO$15,0,0,$B$14,1), 1*(_xlfn._xlws.FILTER(OFFSET($O$15,0,$DN191,$B$8,1),OFFSET($M$15,0,0,$B$8,1))=FQ$13), 1*(_xlfn._xlws.FILTER(OFFSET($O$15,0,$DO191,$B$8,1),OFFSET($M$15,0,0,$B$8,1))=FQ$14))   /   SUM(OFFSET($BO$15,0,0,$B$14,1)) + $B$18/($B$19*$B$19*($DN191&lt;&gt;$DO191) + $B$19*($DN191=$DO191))</f>
        <v>3.7037037037037035E-4</v>
      </c>
      <c r="FR191" s="10" cm="1">
        <f t="array" aca="1" ref="FR191" ca="1">(1-$B$18)*SUMPRODUCT(OFFSET($BO$15,0,0,$B$14,1), 1*(_xlfn._xlws.FILTER(OFFSET($O$15,0,$DN191,$B$8,1),OFFSET($M$15,0,0,$B$8,1))=FR$13), 1*(_xlfn._xlws.FILTER(OFFSET($O$15,0,$DO191,$B$8,1),OFFSET($M$15,0,0,$B$8,1))=FR$14))   /   SUM(OFFSET($BO$15,0,0,$B$14,1)) + $B$18/($B$19*$B$19*($DN191&lt;&gt;$DO191) + $B$19*($DN191=$DO191))</f>
        <v>0.97037037037037033</v>
      </c>
      <c r="FS191" s="10" cm="1">
        <f t="array" aca="1" ref="FS191" ca="1">(1-$B$18)*SUMPRODUCT(OFFSET($BO$15,0,0,$B$14,1), 1*(_xlfn._xlws.FILTER(OFFSET($O$15,0,$DN191,$B$8,1),OFFSET($M$15,0,0,$B$8,1))=FS$13), 1*(_xlfn._xlws.FILTER(OFFSET($O$15,0,$DO191,$B$8,1),OFFSET($M$15,0,0,$B$8,1))=FS$14))   /   SUM(OFFSET($BO$15,0,0,$B$14,1)) + $B$18/($B$19*$B$19*($DN191&lt;&gt;$DO191) + $B$19*($DN191=$DO191))</f>
        <v>3.7037037037037035E-4</v>
      </c>
      <c r="FT191" s="10" cm="1">
        <f t="array" aca="1" ref="FT191" ca="1">(1-$B$18)*SUMPRODUCT(OFFSET($BO$15,0,0,$B$14,1), 1*(_xlfn._xlws.FILTER(OFFSET($O$15,0,$DN191,$B$8,1),OFFSET($M$15,0,0,$B$8,1))=FT$13), 1*(_xlfn._xlws.FILTER(OFFSET($O$15,0,$DO191,$B$8,1),OFFSET($M$15,0,0,$B$8,1))=FT$14))   /   SUM(OFFSET($BO$15,0,0,$B$14,1)) + $B$18/($B$19*$B$19*($DN191&lt;&gt;$DO191) + $B$19*($DN191=$DO191))</f>
        <v>3.7037037037037035E-4</v>
      </c>
      <c r="FU191" s="10" cm="1">
        <f t="array" aca="1" ref="FU191" ca="1">(1-$B$18)*SUMPRODUCT(OFFSET($BO$15,0,0,$B$14,1), 1*(_xlfn._xlws.FILTER(OFFSET($O$15,0,$DN191,$B$8,1),OFFSET($M$15,0,0,$B$8,1))=FU$13), 1*(_xlfn._xlws.FILTER(OFFSET($O$15,0,$DO191,$B$8,1),OFFSET($M$15,0,0,$B$8,1))=FU$14))   /   SUM(OFFSET($BO$15,0,0,$B$14,1)) + $B$18/($B$19*$B$19*($DN191&lt;&gt;$DO191) + $B$19*($DN191=$DO191))</f>
        <v>3.7037037037037035E-4</v>
      </c>
      <c r="FV191" s="10" cm="1">
        <f t="array" aca="1" ref="FV191" ca="1">(1-$B$18)*SUMPRODUCT(OFFSET($BO$15,0,0,$B$14,1), 1*(_xlfn._xlws.FILTER(OFFSET($O$15,0,$DN191,$B$8,1),OFFSET($M$15,0,0,$B$8,1))=FV$13), 1*(_xlfn._xlws.FILTER(OFFSET($O$15,0,$DO191,$B$8,1),OFFSET($M$15,0,0,$B$8,1))=FV$14))   /   SUM(OFFSET($BO$15,0,0,$B$14,1)) + $B$18/($B$19*$B$19*($DN191&lt;&gt;$DO191) + $B$19*($DN191=$DO191))</f>
        <v>3.7037037037037035E-4</v>
      </c>
      <c r="FW191" s="10" cm="1">
        <f t="array" aca="1" ref="FW191" ca="1">(1-$B$18)*SUMPRODUCT(OFFSET($BO$15,0,0,$B$14,1), 1*(_xlfn._xlws.FILTER(OFFSET($O$15,0,$DN191,$B$8,1),OFFSET($M$15,0,0,$B$8,1))=FW$13), 1*(_xlfn._xlws.FILTER(OFFSET($O$15,0,$DO191,$B$8,1),OFFSET($M$15,0,0,$B$8,1))=FW$14))   /   SUM(OFFSET($BO$15,0,0,$B$14,1)) + $B$18/($B$19*$B$19*($DN191&lt;&gt;$DO191) + $B$19*($DN191=$DO191))</f>
        <v>3.7037037037037035E-4</v>
      </c>
      <c r="FX191" s="10" cm="1">
        <f t="array" aca="1" ref="FX191" ca="1">(1-$B$18)*SUMPRODUCT(OFFSET($BO$15,0,0,$B$14,1), 1*(_xlfn._xlws.FILTER(OFFSET($O$15,0,$DN191,$B$8,1),OFFSET($M$15,0,0,$B$8,1))=FX$13), 1*(_xlfn._xlws.FILTER(OFFSET($O$15,0,$DO191,$B$8,1),OFFSET($M$15,0,0,$B$8,1))=FX$14))   /   SUM(OFFSET($BO$15,0,0,$B$14,1)) + $B$18/($B$19*$B$19*($DN191&lt;&gt;$DO191) + $B$19*($DN191=$DO191))</f>
        <v>3.7037037037037035E-4</v>
      </c>
      <c r="FY191" s="10" cm="1">
        <f t="array" aca="1" ref="FY191" ca="1">(1-$B$18)*SUMPRODUCT(OFFSET($BO$15,0,0,$B$14,1), 1*(_xlfn._xlws.FILTER(OFFSET($O$15,0,$DN191,$B$8,1),OFFSET($M$15,0,0,$B$8,1))=FY$13), 1*(_xlfn._xlws.FILTER(OFFSET($O$15,0,$DO191,$B$8,1),OFFSET($M$15,0,0,$B$8,1))=FY$14))   /   SUM(OFFSET($BO$15,0,0,$B$14,1)) + $B$18/($B$19*$B$19*($DN191&lt;&gt;$DO191) + $B$19*($DN191=$DO191))</f>
        <v>3.7037037037037035E-4</v>
      </c>
      <c r="FZ191" s="10" cm="1">
        <f t="array" aca="1" ref="FZ191" ca="1">(1-$B$18)*SUMPRODUCT(OFFSET($BO$15,0,0,$B$14,1), 1*(_xlfn._xlws.FILTER(OFFSET($O$15,0,$DN191,$B$8,1),OFFSET($M$15,0,0,$B$8,1))=FZ$13), 1*(_xlfn._xlws.FILTER(OFFSET($O$15,0,$DO191,$B$8,1),OFFSET($M$15,0,0,$B$8,1))=FZ$14))   /   SUM(OFFSET($BO$15,0,0,$B$14,1)) + $B$18/($B$19*$B$19*($DN191&lt;&gt;$DO191) + $B$19*($DN191=$DO191))</f>
        <v>3.7037037037037035E-4</v>
      </c>
      <c r="GA191" s="10" cm="1">
        <f t="array" aca="1" ref="GA191" ca="1">(1-$B$18)*SUMPRODUCT(OFFSET($BO$15,0,0,$B$14,1), 1*(_xlfn._xlws.FILTER(OFFSET($O$15,0,$DN191,$B$8,1),OFFSET($M$15,0,0,$B$8,1))=GA$13), 1*(_xlfn._xlws.FILTER(OFFSET($O$15,0,$DO191,$B$8,1),OFFSET($M$15,0,0,$B$8,1))=GA$14))   /   SUM(OFFSET($BO$15,0,0,$B$14,1)) + $B$18/($B$19*$B$19*($DN191&lt;&gt;$DO191) + $B$19*($DN191=$DO191))</f>
        <v>3.7037037037037035E-4</v>
      </c>
    </row>
    <row r="192" spans="118:183" x14ac:dyDescent="0.2">
      <c r="DN192" cm="1">
        <f t="array" aca="1" ref="DN192" ca="1">INDEX(_xlfn.ANCHORARRAY($CP$15), 1 + INT((ROWS($DO$15:$DO192) - 1) / ROWS(_xlfn.ANCHORARRAY($CP$15))))</f>
        <v>9</v>
      </c>
      <c r="DO192" cm="1">
        <f t="array" aca="1" ref="DO192" ca="1">INDEX(_xlfn.ANCHORARRAY($CP$15),1+MOD(ROWS($DO$15:$DO192)-1,ROWS(_xlfn.ANCHORARRAY($CP$15))))</f>
        <v>6</v>
      </c>
      <c r="DP192" s="10" cm="1">
        <f t="array" aca="1" ref="DP192" ca="1">(1-$B$18)*SUMPRODUCT(OFFSET($BO$15,0,0,$B$14,1), 1*(_xlfn._xlws.FILTER(OFFSET($O$15,0,$DN192,$B$8,1),OFFSET($M$15,0,0,$B$8,1))=DP$13), 1*(_xlfn._xlws.FILTER(OFFSET($O$15,0,$DO192,$B$8,1),OFFSET($M$15,0,0,$B$8,1))=DP$14))   /   SUM(OFFSET($BO$15,0,0,$B$14,1)) + $B$18/($B$19*$B$19*($DN192&lt;&gt;$DO192) + $B$19*($DN192=$DO192))</f>
        <v>3.7037037037037035E-4</v>
      </c>
      <c r="DQ192" s="10" cm="1">
        <f t="array" aca="1" ref="DQ192" ca="1">(1-$B$18)*SUMPRODUCT(OFFSET($BO$15,0,0,$B$14,1), 1*(_xlfn._xlws.FILTER(OFFSET($O$15,0,$DN192,$B$8,1),OFFSET($M$15,0,0,$B$8,1))=DQ$13), 1*(_xlfn._xlws.FILTER(OFFSET($O$15,0,$DO192,$B$8,1),OFFSET($M$15,0,0,$B$8,1))=DQ$14))   /   SUM(OFFSET($BO$15,0,0,$B$14,1)) + $B$18/($B$19*$B$19*($DN192&lt;&gt;$DO192) + $B$19*($DN192=$DO192))</f>
        <v>3.7037037037037035E-4</v>
      </c>
      <c r="DR192" s="10" cm="1">
        <f t="array" aca="1" ref="DR192" ca="1">(1-$B$18)*SUMPRODUCT(OFFSET($BO$15,0,0,$B$14,1), 1*(_xlfn._xlws.FILTER(OFFSET($O$15,0,$DN192,$B$8,1),OFFSET($M$15,0,0,$B$8,1))=DR$13), 1*(_xlfn._xlws.FILTER(OFFSET($O$15,0,$DO192,$B$8,1),OFFSET($M$15,0,0,$B$8,1))=DR$14))   /   SUM(OFFSET($BO$15,0,0,$B$14,1)) + $B$18/($B$19*$B$19*($DN192&lt;&gt;$DO192) + $B$19*($DN192=$DO192))</f>
        <v>3.7037037037037035E-4</v>
      </c>
      <c r="DS192" s="10" cm="1">
        <f t="array" aca="1" ref="DS192" ca="1">(1-$B$18)*SUMPRODUCT(OFFSET($BO$15,0,0,$B$14,1), 1*(_xlfn._xlws.FILTER(OFFSET($O$15,0,$DN192,$B$8,1),OFFSET($M$15,0,0,$B$8,1))=DS$13), 1*(_xlfn._xlws.FILTER(OFFSET($O$15,0,$DO192,$B$8,1),OFFSET($M$15,0,0,$B$8,1))=DS$14))   /   SUM(OFFSET($BO$15,0,0,$B$14,1)) + $B$18/($B$19*$B$19*($DN192&lt;&gt;$DO192) + $B$19*($DN192=$DO192))</f>
        <v>3.7037037037037035E-4</v>
      </c>
      <c r="DT192" s="10" cm="1">
        <f t="array" aca="1" ref="DT192" ca="1">(1-$B$18)*SUMPRODUCT(OFFSET($BO$15,0,0,$B$14,1), 1*(_xlfn._xlws.FILTER(OFFSET($O$15,0,$DN192,$B$8,1),OFFSET($M$15,0,0,$B$8,1))=DT$13), 1*(_xlfn._xlws.FILTER(OFFSET($O$15,0,$DO192,$B$8,1),OFFSET($M$15,0,0,$B$8,1))=DT$14))   /   SUM(OFFSET($BO$15,0,0,$B$14,1)) + $B$18/($B$19*$B$19*($DN192&lt;&gt;$DO192) + $B$19*($DN192=$DO192))</f>
        <v>3.7037037037037035E-4</v>
      </c>
      <c r="DU192" s="10" cm="1">
        <f t="array" aca="1" ref="DU192" ca="1">(1-$B$18)*SUMPRODUCT(OFFSET($BO$15,0,0,$B$14,1), 1*(_xlfn._xlws.FILTER(OFFSET($O$15,0,$DN192,$B$8,1),OFFSET($M$15,0,0,$B$8,1))=DU$13), 1*(_xlfn._xlws.FILTER(OFFSET($O$15,0,$DO192,$B$8,1),OFFSET($M$15,0,0,$B$8,1))=DU$14))   /   SUM(OFFSET($BO$15,0,0,$B$14,1)) + $B$18/($B$19*$B$19*($DN192&lt;&gt;$DO192) + $B$19*($DN192=$DO192))</f>
        <v>3.7037037037037035E-4</v>
      </c>
      <c r="DV192" s="10" cm="1">
        <f t="array" aca="1" ref="DV192" ca="1">(1-$B$18)*SUMPRODUCT(OFFSET($BO$15,0,0,$B$14,1), 1*(_xlfn._xlws.FILTER(OFFSET($O$15,0,$DN192,$B$8,1),OFFSET($M$15,0,0,$B$8,1))=DV$13), 1*(_xlfn._xlws.FILTER(OFFSET($O$15,0,$DO192,$B$8,1),OFFSET($M$15,0,0,$B$8,1))=DV$14))   /   SUM(OFFSET($BO$15,0,0,$B$14,1)) + $B$18/($B$19*$B$19*($DN192&lt;&gt;$DO192) + $B$19*($DN192=$DO192))</f>
        <v>3.7037037037037035E-4</v>
      </c>
      <c r="DW192" s="10" cm="1">
        <f t="array" aca="1" ref="DW192" ca="1">(1-$B$18)*SUMPRODUCT(OFFSET($BO$15,0,0,$B$14,1), 1*(_xlfn._xlws.FILTER(OFFSET($O$15,0,$DN192,$B$8,1),OFFSET($M$15,0,0,$B$8,1))=DW$13), 1*(_xlfn._xlws.FILTER(OFFSET($O$15,0,$DO192,$B$8,1),OFFSET($M$15,0,0,$B$8,1))=DW$14))   /   SUM(OFFSET($BO$15,0,0,$B$14,1)) + $B$18/($B$19*$B$19*($DN192&lt;&gt;$DO192) + $B$19*($DN192=$DO192))</f>
        <v>3.7037037037037035E-4</v>
      </c>
      <c r="DX192" s="10" cm="1">
        <f t="array" aca="1" ref="DX192" ca="1">(1-$B$18)*SUMPRODUCT(OFFSET($BO$15,0,0,$B$14,1), 1*(_xlfn._xlws.FILTER(OFFSET($O$15,0,$DN192,$B$8,1),OFFSET($M$15,0,0,$B$8,1))=DX$13), 1*(_xlfn._xlws.FILTER(OFFSET($O$15,0,$DO192,$B$8,1),OFFSET($M$15,0,0,$B$8,1))=DX$14))   /   SUM(OFFSET($BO$15,0,0,$B$14,1)) + $B$18/($B$19*$B$19*($DN192&lt;&gt;$DO192) + $B$19*($DN192=$DO192))</f>
        <v>3.7037037037037035E-4</v>
      </c>
      <c r="DY192" s="10" cm="1">
        <f t="array" aca="1" ref="DY192" ca="1">(1-$B$18)*SUMPRODUCT(OFFSET($BO$15,0,0,$B$14,1), 1*(_xlfn._xlws.FILTER(OFFSET($O$15,0,$DN192,$B$8,1),OFFSET($M$15,0,0,$B$8,1))=DY$13), 1*(_xlfn._xlws.FILTER(OFFSET($O$15,0,$DO192,$B$8,1),OFFSET($M$15,0,0,$B$8,1))=DY$14))   /   SUM(OFFSET($BO$15,0,0,$B$14,1)) + $B$18/($B$19*$B$19*($DN192&lt;&gt;$DO192) + $B$19*($DN192=$DO192))</f>
        <v>3.7037037037037035E-4</v>
      </c>
      <c r="DZ192" s="10" cm="1">
        <f t="array" aca="1" ref="DZ192" ca="1">(1-$B$18)*SUMPRODUCT(OFFSET($BO$15,0,0,$B$14,1), 1*(_xlfn._xlws.FILTER(OFFSET($O$15,0,$DN192,$B$8,1),OFFSET($M$15,0,0,$B$8,1))=DZ$13), 1*(_xlfn._xlws.FILTER(OFFSET($O$15,0,$DO192,$B$8,1),OFFSET($M$15,0,0,$B$8,1))=DZ$14))   /   SUM(OFFSET($BO$15,0,0,$B$14,1)) + $B$18/($B$19*$B$19*($DN192&lt;&gt;$DO192) + $B$19*($DN192=$DO192))</f>
        <v>3.7037037037037035E-4</v>
      </c>
      <c r="EA192" s="10" cm="1">
        <f t="array" aca="1" ref="EA192" ca="1">(1-$B$18)*SUMPRODUCT(OFFSET($BO$15,0,0,$B$14,1), 1*(_xlfn._xlws.FILTER(OFFSET($O$15,0,$DN192,$B$8,1),OFFSET($M$15,0,0,$B$8,1))=EA$13), 1*(_xlfn._xlws.FILTER(OFFSET($O$15,0,$DO192,$B$8,1),OFFSET($M$15,0,0,$B$8,1))=EA$14))   /   SUM(OFFSET($BO$15,0,0,$B$14,1)) + $B$18/($B$19*$B$19*($DN192&lt;&gt;$DO192) + $B$19*($DN192=$DO192))</f>
        <v>3.7037037037037035E-4</v>
      </c>
      <c r="EB192" s="10" cm="1">
        <f t="array" aca="1" ref="EB192" ca="1">(1-$B$18)*SUMPRODUCT(OFFSET($BO$15,0,0,$B$14,1), 1*(_xlfn._xlws.FILTER(OFFSET($O$15,0,$DN192,$B$8,1),OFFSET($M$15,0,0,$B$8,1))=EB$13), 1*(_xlfn._xlws.FILTER(OFFSET($O$15,0,$DO192,$B$8,1),OFFSET($M$15,0,0,$B$8,1))=EB$14))   /   SUM(OFFSET($BO$15,0,0,$B$14,1)) + $B$18/($B$19*$B$19*($DN192&lt;&gt;$DO192) + $B$19*($DN192=$DO192))</f>
        <v>3.7037037037037035E-4</v>
      </c>
      <c r="EC192" s="10" cm="1">
        <f t="array" aca="1" ref="EC192" ca="1">(1-$B$18)*SUMPRODUCT(OFFSET($BO$15,0,0,$B$14,1), 1*(_xlfn._xlws.FILTER(OFFSET($O$15,0,$DN192,$B$8,1),OFFSET($M$15,0,0,$B$8,1))=EC$13), 1*(_xlfn._xlws.FILTER(OFFSET($O$15,0,$DO192,$B$8,1),OFFSET($M$15,0,0,$B$8,1))=EC$14))   /   SUM(OFFSET($BO$15,0,0,$B$14,1)) + $B$18/($B$19*$B$19*($DN192&lt;&gt;$DO192) + $B$19*($DN192=$DO192))</f>
        <v>3.7037037037037035E-4</v>
      </c>
      <c r="ED192" s="10" cm="1">
        <f t="array" aca="1" ref="ED192" ca="1">(1-$B$18)*SUMPRODUCT(OFFSET($BO$15,0,0,$B$14,1), 1*(_xlfn._xlws.FILTER(OFFSET($O$15,0,$DN192,$B$8,1),OFFSET($M$15,0,0,$B$8,1))=ED$13), 1*(_xlfn._xlws.FILTER(OFFSET($O$15,0,$DO192,$B$8,1),OFFSET($M$15,0,0,$B$8,1))=ED$14))   /   SUM(OFFSET($BO$15,0,0,$B$14,1)) + $B$18/($B$19*$B$19*($DN192&lt;&gt;$DO192) + $B$19*($DN192=$DO192))</f>
        <v>3.7037037037037035E-4</v>
      </c>
      <c r="EE192" s="10" cm="1">
        <f t="array" aca="1" ref="EE192" ca="1">(1-$B$18)*SUMPRODUCT(OFFSET($BO$15,0,0,$B$14,1), 1*(_xlfn._xlws.FILTER(OFFSET($O$15,0,$DN192,$B$8,1),OFFSET($M$15,0,0,$B$8,1))=EE$13), 1*(_xlfn._xlws.FILTER(OFFSET($O$15,0,$DO192,$B$8,1),OFFSET($M$15,0,0,$B$8,1))=EE$14))   /   SUM(OFFSET($BO$15,0,0,$B$14,1)) + $B$18/($B$19*$B$19*($DN192&lt;&gt;$DO192) + $B$19*($DN192=$DO192))</f>
        <v>3.7037037037037035E-4</v>
      </c>
      <c r="EF192" s="10" cm="1">
        <f t="array" aca="1" ref="EF192" ca="1">(1-$B$18)*SUMPRODUCT(OFFSET($BO$15,0,0,$B$14,1), 1*(_xlfn._xlws.FILTER(OFFSET($O$15,0,$DN192,$B$8,1),OFFSET($M$15,0,0,$B$8,1))=EF$13), 1*(_xlfn._xlws.FILTER(OFFSET($O$15,0,$DO192,$B$8,1),OFFSET($M$15,0,0,$B$8,1))=EF$14))   /   SUM(OFFSET($BO$15,0,0,$B$14,1)) + $B$18/($B$19*$B$19*($DN192&lt;&gt;$DO192) + $B$19*($DN192=$DO192))</f>
        <v>3.7037037037037035E-4</v>
      </c>
      <c r="EG192" s="10" cm="1">
        <f t="array" aca="1" ref="EG192" ca="1">(1-$B$18)*SUMPRODUCT(OFFSET($BO$15,0,0,$B$14,1), 1*(_xlfn._xlws.FILTER(OFFSET($O$15,0,$DN192,$B$8,1),OFFSET($M$15,0,0,$B$8,1))=EG$13), 1*(_xlfn._xlws.FILTER(OFFSET($O$15,0,$DO192,$B$8,1),OFFSET($M$15,0,0,$B$8,1))=EG$14))   /   SUM(OFFSET($BO$15,0,0,$B$14,1)) + $B$18/($B$19*$B$19*($DN192&lt;&gt;$DO192) + $B$19*($DN192=$DO192))</f>
        <v>3.7037037037037035E-4</v>
      </c>
      <c r="EH192" s="10" cm="1">
        <f t="array" aca="1" ref="EH192" ca="1">(1-$B$18)*SUMPRODUCT(OFFSET($BO$15,0,0,$B$14,1), 1*(_xlfn._xlws.FILTER(OFFSET($O$15,0,$DN192,$B$8,1),OFFSET($M$15,0,0,$B$8,1))=EH$13), 1*(_xlfn._xlws.FILTER(OFFSET($O$15,0,$DO192,$B$8,1),OFFSET($M$15,0,0,$B$8,1))=EH$14))   /   SUM(OFFSET($BO$15,0,0,$B$14,1)) + $B$18/($B$19*$B$19*($DN192&lt;&gt;$DO192) + $B$19*($DN192=$DO192))</f>
        <v>3.7037037037037035E-4</v>
      </c>
      <c r="EI192" s="10" cm="1">
        <f t="array" aca="1" ref="EI192" ca="1">(1-$B$18)*SUMPRODUCT(OFFSET($BO$15,0,0,$B$14,1), 1*(_xlfn._xlws.FILTER(OFFSET($O$15,0,$DN192,$B$8,1),OFFSET($M$15,0,0,$B$8,1))=EI$13), 1*(_xlfn._xlws.FILTER(OFFSET($O$15,0,$DO192,$B$8,1),OFFSET($M$15,0,0,$B$8,1))=EI$14))   /   SUM(OFFSET($BO$15,0,0,$B$14,1)) + $B$18/($B$19*$B$19*($DN192&lt;&gt;$DO192) + $B$19*($DN192=$DO192))</f>
        <v>3.7037037037037035E-4</v>
      </c>
      <c r="EJ192" s="10" cm="1">
        <f t="array" aca="1" ref="EJ192" ca="1">(1-$B$18)*SUMPRODUCT(OFFSET($BO$15,0,0,$B$14,1), 1*(_xlfn._xlws.FILTER(OFFSET($O$15,0,$DN192,$B$8,1),OFFSET($M$15,0,0,$B$8,1))=EJ$13), 1*(_xlfn._xlws.FILTER(OFFSET($O$15,0,$DO192,$B$8,1),OFFSET($M$15,0,0,$B$8,1))=EJ$14))   /   SUM(OFFSET($BO$15,0,0,$B$14,1)) + $B$18/($B$19*$B$19*($DN192&lt;&gt;$DO192) + $B$19*($DN192=$DO192))</f>
        <v>3.7037037037037035E-4</v>
      </c>
      <c r="EK192" s="10" cm="1">
        <f t="array" aca="1" ref="EK192" ca="1">(1-$B$18)*SUMPRODUCT(OFFSET($BO$15,0,0,$B$14,1), 1*(_xlfn._xlws.FILTER(OFFSET($O$15,0,$DN192,$B$8,1),OFFSET($M$15,0,0,$B$8,1))=EK$13), 1*(_xlfn._xlws.FILTER(OFFSET($O$15,0,$DO192,$B$8,1),OFFSET($M$15,0,0,$B$8,1))=EK$14))   /   SUM(OFFSET($BO$15,0,0,$B$14,1)) + $B$18/($B$19*$B$19*($DN192&lt;&gt;$DO192) + $B$19*($DN192=$DO192))</f>
        <v>3.7037037037037035E-4</v>
      </c>
      <c r="EL192" s="10" cm="1">
        <f t="array" aca="1" ref="EL192" ca="1">(1-$B$18)*SUMPRODUCT(OFFSET($BO$15,0,0,$B$14,1), 1*(_xlfn._xlws.FILTER(OFFSET($O$15,0,$DN192,$B$8,1),OFFSET($M$15,0,0,$B$8,1))=EL$13), 1*(_xlfn._xlws.FILTER(OFFSET($O$15,0,$DO192,$B$8,1),OFFSET($M$15,0,0,$B$8,1))=EL$14))   /   SUM(OFFSET($BO$15,0,0,$B$14,1)) + $B$18/($B$19*$B$19*($DN192&lt;&gt;$DO192) + $B$19*($DN192=$DO192))</f>
        <v>3.7037037037037035E-4</v>
      </c>
      <c r="EM192" s="10" cm="1">
        <f t="array" aca="1" ref="EM192" ca="1">(1-$B$18)*SUMPRODUCT(OFFSET($BO$15,0,0,$B$14,1), 1*(_xlfn._xlws.FILTER(OFFSET($O$15,0,$DN192,$B$8,1),OFFSET($M$15,0,0,$B$8,1))=EM$13), 1*(_xlfn._xlws.FILTER(OFFSET($O$15,0,$DO192,$B$8,1),OFFSET($M$15,0,0,$B$8,1))=EM$14))   /   SUM(OFFSET($BO$15,0,0,$B$14,1)) + $B$18/($B$19*$B$19*($DN192&lt;&gt;$DO192) + $B$19*($DN192=$DO192))</f>
        <v>3.7037037037037035E-4</v>
      </c>
      <c r="EN192" s="10" cm="1">
        <f t="array" aca="1" ref="EN192" ca="1">(1-$B$18)*SUMPRODUCT(OFFSET($BO$15,0,0,$B$14,1), 1*(_xlfn._xlws.FILTER(OFFSET($O$15,0,$DN192,$B$8,1),OFFSET($M$15,0,0,$B$8,1))=EN$13), 1*(_xlfn._xlws.FILTER(OFFSET($O$15,0,$DO192,$B$8,1),OFFSET($M$15,0,0,$B$8,1))=EN$14))   /   SUM(OFFSET($BO$15,0,0,$B$14,1)) + $B$18/($B$19*$B$19*($DN192&lt;&gt;$DO192) + $B$19*($DN192=$DO192))</f>
        <v>3.7037037037037035E-4</v>
      </c>
      <c r="EO192" s="10" cm="1">
        <f t="array" aca="1" ref="EO192" ca="1">(1-$B$18)*SUMPRODUCT(OFFSET($BO$15,0,0,$B$14,1), 1*(_xlfn._xlws.FILTER(OFFSET($O$15,0,$DN192,$B$8,1),OFFSET($M$15,0,0,$B$8,1))=EO$13), 1*(_xlfn._xlws.FILTER(OFFSET($O$15,0,$DO192,$B$8,1),OFFSET($M$15,0,0,$B$8,1))=EO$14))   /   SUM(OFFSET($BO$15,0,0,$B$14,1)) + $B$18/($B$19*$B$19*($DN192&lt;&gt;$DO192) + $B$19*($DN192=$DO192))</f>
        <v>3.7037037037037035E-4</v>
      </c>
      <c r="EP192" s="10" cm="1">
        <f t="array" aca="1" ref="EP192" ca="1">(1-$B$18)*SUMPRODUCT(OFFSET($BO$15,0,0,$B$14,1), 1*(_xlfn._xlws.FILTER(OFFSET($O$15,0,$DN192,$B$8,1),OFFSET($M$15,0,0,$B$8,1))=EP$13), 1*(_xlfn._xlws.FILTER(OFFSET($O$15,0,$DO192,$B$8,1),OFFSET($M$15,0,0,$B$8,1))=EP$14))   /   SUM(OFFSET($BO$15,0,0,$B$14,1)) + $B$18/($B$19*$B$19*($DN192&lt;&gt;$DO192) + $B$19*($DN192=$DO192))</f>
        <v>3.7037037037037035E-4</v>
      </c>
      <c r="EQ192" s="10" cm="1">
        <f t="array" aca="1" ref="EQ192" ca="1">(1-$B$18)*SUMPRODUCT(OFFSET($BO$15,0,0,$B$14,1), 1*(_xlfn._xlws.FILTER(OFFSET($O$15,0,$DN192,$B$8,1),OFFSET($M$15,0,0,$B$8,1))=EQ$13), 1*(_xlfn._xlws.FILTER(OFFSET($O$15,0,$DO192,$B$8,1),OFFSET($M$15,0,0,$B$8,1))=EQ$14))   /   SUM(OFFSET($BO$15,0,0,$B$14,1)) + $B$18/($B$19*$B$19*($DN192&lt;&gt;$DO192) + $B$19*($DN192=$DO192))</f>
        <v>3.7037037037037035E-4</v>
      </c>
      <c r="ER192" s="10" cm="1">
        <f t="array" aca="1" ref="ER192" ca="1">(1-$B$18)*SUMPRODUCT(OFFSET($BO$15,0,0,$B$14,1), 1*(_xlfn._xlws.FILTER(OFFSET($O$15,0,$DN192,$B$8,1),OFFSET($M$15,0,0,$B$8,1))=ER$13), 1*(_xlfn._xlws.FILTER(OFFSET($O$15,0,$DO192,$B$8,1),OFFSET($M$15,0,0,$B$8,1))=ER$14))   /   SUM(OFFSET($BO$15,0,0,$B$14,1)) + $B$18/($B$19*$B$19*($DN192&lt;&gt;$DO192) + $B$19*($DN192=$DO192))</f>
        <v>3.7037037037037035E-4</v>
      </c>
      <c r="ES192" s="10" cm="1">
        <f t="array" aca="1" ref="ES192" ca="1">(1-$B$18)*SUMPRODUCT(OFFSET($BO$15,0,0,$B$14,1), 1*(_xlfn._xlws.FILTER(OFFSET($O$15,0,$DN192,$B$8,1),OFFSET($M$15,0,0,$B$8,1))=ES$13), 1*(_xlfn._xlws.FILTER(OFFSET($O$15,0,$DO192,$B$8,1),OFFSET($M$15,0,0,$B$8,1))=ES$14))   /   SUM(OFFSET($BO$15,0,0,$B$14,1)) + $B$18/($B$19*$B$19*($DN192&lt;&gt;$DO192) + $B$19*($DN192=$DO192))</f>
        <v>3.7037037037037035E-4</v>
      </c>
      <c r="ET192" s="10" cm="1">
        <f t="array" aca="1" ref="ET192" ca="1">(1-$B$18)*SUMPRODUCT(OFFSET($BO$15,0,0,$B$14,1), 1*(_xlfn._xlws.FILTER(OFFSET($O$15,0,$DN192,$B$8,1),OFFSET($M$15,0,0,$B$8,1))=ET$13), 1*(_xlfn._xlws.FILTER(OFFSET($O$15,0,$DO192,$B$8,1),OFFSET($M$15,0,0,$B$8,1))=ET$14))   /   SUM(OFFSET($BO$15,0,0,$B$14,1)) + $B$18/($B$19*$B$19*($DN192&lt;&gt;$DO192) + $B$19*($DN192=$DO192))</f>
        <v>3.7037037037037035E-4</v>
      </c>
      <c r="EU192" s="10" cm="1">
        <f t="array" aca="1" ref="EU192" ca="1">(1-$B$18)*SUMPRODUCT(OFFSET($BO$15,0,0,$B$14,1), 1*(_xlfn._xlws.FILTER(OFFSET($O$15,0,$DN192,$B$8,1),OFFSET($M$15,0,0,$B$8,1))=EU$13), 1*(_xlfn._xlws.FILTER(OFFSET($O$15,0,$DO192,$B$8,1),OFFSET($M$15,0,0,$B$8,1))=EU$14))   /   SUM(OFFSET($BO$15,0,0,$B$14,1)) + $B$18/($B$19*$B$19*($DN192&lt;&gt;$DO192) + $B$19*($DN192=$DO192))</f>
        <v>3.7037037037037035E-4</v>
      </c>
      <c r="EV192" s="10" cm="1">
        <f t="array" aca="1" ref="EV192" ca="1">(1-$B$18)*SUMPRODUCT(OFFSET($BO$15,0,0,$B$14,1), 1*(_xlfn._xlws.FILTER(OFFSET($O$15,0,$DN192,$B$8,1),OFFSET($M$15,0,0,$B$8,1))=EV$13), 1*(_xlfn._xlws.FILTER(OFFSET($O$15,0,$DO192,$B$8,1),OFFSET($M$15,0,0,$B$8,1))=EV$14))   /   SUM(OFFSET($BO$15,0,0,$B$14,1)) + $B$18/($B$19*$B$19*($DN192&lt;&gt;$DO192) + $B$19*($DN192=$DO192))</f>
        <v>3.7037037037037035E-4</v>
      </c>
      <c r="EW192" s="10" cm="1">
        <f t="array" aca="1" ref="EW192" ca="1">(1-$B$18)*SUMPRODUCT(OFFSET($BO$15,0,0,$B$14,1), 1*(_xlfn._xlws.FILTER(OFFSET($O$15,0,$DN192,$B$8,1),OFFSET($M$15,0,0,$B$8,1))=EW$13), 1*(_xlfn._xlws.FILTER(OFFSET($O$15,0,$DO192,$B$8,1),OFFSET($M$15,0,0,$B$8,1))=EW$14))   /   SUM(OFFSET($BO$15,0,0,$B$14,1)) + $B$18/($B$19*$B$19*($DN192&lt;&gt;$DO192) + $B$19*($DN192=$DO192))</f>
        <v>3.7037037037037035E-4</v>
      </c>
      <c r="EX192" s="10" cm="1">
        <f t="array" aca="1" ref="EX192" ca="1">(1-$B$18)*SUMPRODUCT(OFFSET($BO$15,0,0,$B$14,1), 1*(_xlfn._xlws.FILTER(OFFSET($O$15,0,$DN192,$B$8,1),OFFSET($M$15,0,0,$B$8,1))=EX$13), 1*(_xlfn._xlws.FILTER(OFFSET($O$15,0,$DO192,$B$8,1),OFFSET($M$15,0,0,$B$8,1))=EX$14))   /   SUM(OFFSET($BO$15,0,0,$B$14,1)) + $B$18/($B$19*$B$19*($DN192&lt;&gt;$DO192) + $B$19*($DN192=$DO192))</f>
        <v>3.7037037037037035E-4</v>
      </c>
      <c r="EY192" s="10" cm="1">
        <f t="array" aca="1" ref="EY192" ca="1">(1-$B$18)*SUMPRODUCT(OFFSET($BO$15,0,0,$B$14,1), 1*(_xlfn._xlws.FILTER(OFFSET($O$15,0,$DN192,$B$8,1),OFFSET($M$15,0,0,$B$8,1))=EY$13), 1*(_xlfn._xlws.FILTER(OFFSET($O$15,0,$DO192,$B$8,1),OFFSET($M$15,0,0,$B$8,1))=EY$14))   /   SUM(OFFSET($BO$15,0,0,$B$14,1)) + $B$18/($B$19*$B$19*($DN192&lt;&gt;$DO192) + $B$19*($DN192=$DO192))</f>
        <v>3.7037037037037035E-4</v>
      </c>
      <c r="EZ192" s="10" cm="1">
        <f t="array" aca="1" ref="EZ192" ca="1">(1-$B$18)*SUMPRODUCT(OFFSET($BO$15,0,0,$B$14,1), 1*(_xlfn._xlws.FILTER(OFFSET($O$15,0,$DN192,$B$8,1),OFFSET($M$15,0,0,$B$8,1))=EZ$13), 1*(_xlfn._xlws.FILTER(OFFSET($O$15,0,$DO192,$B$8,1),OFFSET($M$15,0,0,$B$8,1))=EZ$14))   /   SUM(OFFSET($BO$15,0,0,$B$14,1)) + $B$18/($B$19*$B$19*($DN192&lt;&gt;$DO192) + $B$19*($DN192=$DO192))</f>
        <v>3.7037037037037035E-4</v>
      </c>
      <c r="FA192" s="10" cm="1">
        <f t="array" aca="1" ref="FA192" ca="1">(1-$B$18)*SUMPRODUCT(OFFSET($BO$15,0,0,$B$14,1), 1*(_xlfn._xlws.FILTER(OFFSET($O$15,0,$DN192,$B$8,1),OFFSET($M$15,0,0,$B$8,1))=FA$13), 1*(_xlfn._xlws.FILTER(OFFSET($O$15,0,$DO192,$B$8,1),OFFSET($M$15,0,0,$B$8,1))=FA$14))   /   SUM(OFFSET($BO$15,0,0,$B$14,1)) + $B$18/($B$19*$B$19*($DN192&lt;&gt;$DO192) + $B$19*($DN192=$DO192))</f>
        <v>3.7037037037037035E-4</v>
      </c>
      <c r="FB192" s="10" cm="1">
        <f t="array" aca="1" ref="FB192" ca="1">(1-$B$18)*SUMPRODUCT(OFFSET($BO$15,0,0,$B$14,1), 1*(_xlfn._xlws.FILTER(OFFSET($O$15,0,$DN192,$B$8,1),OFFSET($M$15,0,0,$B$8,1))=FB$13), 1*(_xlfn._xlws.FILTER(OFFSET($O$15,0,$DO192,$B$8,1),OFFSET($M$15,0,0,$B$8,1))=FB$14))   /   SUM(OFFSET($BO$15,0,0,$B$14,1)) + $B$18/($B$19*$B$19*($DN192&lt;&gt;$DO192) + $B$19*($DN192=$DO192))</f>
        <v>3.7037037037037035E-4</v>
      </c>
      <c r="FC192" s="10" cm="1">
        <f t="array" aca="1" ref="FC192" ca="1">(1-$B$18)*SUMPRODUCT(OFFSET($BO$15,0,0,$B$14,1), 1*(_xlfn._xlws.FILTER(OFFSET($O$15,0,$DN192,$B$8,1),OFFSET($M$15,0,0,$B$8,1))=FC$13), 1*(_xlfn._xlws.FILTER(OFFSET($O$15,0,$DO192,$B$8,1),OFFSET($M$15,0,0,$B$8,1))=FC$14))   /   SUM(OFFSET($BO$15,0,0,$B$14,1)) + $B$18/($B$19*$B$19*($DN192&lt;&gt;$DO192) + $B$19*($DN192=$DO192))</f>
        <v>3.7037037037037035E-4</v>
      </c>
      <c r="FD192" s="10" cm="1">
        <f t="array" aca="1" ref="FD192" ca="1">(1-$B$18)*SUMPRODUCT(OFFSET($BO$15,0,0,$B$14,1), 1*(_xlfn._xlws.FILTER(OFFSET($O$15,0,$DN192,$B$8,1),OFFSET($M$15,0,0,$B$8,1))=FD$13), 1*(_xlfn._xlws.FILTER(OFFSET($O$15,0,$DO192,$B$8,1),OFFSET($M$15,0,0,$B$8,1))=FD$14))   /   SUM(OFFSET($BO$15,0,0,$B$14,1)) + $B$18/($B$19*$B$19*($DN192&lt;&gt;$DO192) + $B$19*($DN192=$DO192))</f>
        <v>3.7037037037037035E-4</v>
      </c>
      <c r="FE192" s="10" cm="1">
        <f t="array" aca="1" ref="FE192" ca="1">(1-$B$18)*SUMPRODUCT(OFFSET($BO$15,0,0,$B$14,1), 1*(_xlfn._xlws.FILTER(OFFSET($O$15,0,$DN192,$B$8,1),OFFSET($M$15,0,0,$B$8,1))=FE$13), 1*(_xlfn._xlws.FILTER(OFFSET($O$15,0,$DO192,$B$8,1),OFFSET($M$15,0,0,$B$8,1))=FE$14))   /   SUM(OFFSET($BO$15,0,0,$B$14,1)) + $B$18/($B$19*$B$19*($DN192&lt;&gt;$DO192) + $B$19*($DN192=$DO192))</f>
        <v>3.7037037037037035E-4</v>
      </c>
      <c r="FF192" s="10" cm="1">
        <f t="array" aca="1" ref="FF192" ca="1">(1-$B$18)*SUMPRODUCT(OFFSET($BO$15,0,0,$B$14,1), 1*(_xlfn._xlws.FILTER(OFFSET($O$15,0,$DN192,$B$8,1),OFFSET($M$15,0,0,$B$8,1))=FF$13), 1*(_xlfn._xlws.FILTER(OFFSET($O$15,0,$DO192,$B$8,1),OFFSET($M$15,0,0,$B$8,1))=FF$14))   /   SUM(OFFSET($BO$15,0,0,$B$14,1)) + $B$18/($B$19*$B$19*($DN192&lt;&gt;$DO192) + $B$19*($DN192=$DO192))</f>
        <v>3.7037037037037035E-4</v>
      </c>
      <c r="FG192" s="10" cm="1">
        <f t="array" aca="1" ref="FG192" ca="1">(1-$B$18)*SUMPRODUCT(OFFSET($BO$15,0,0,$B$14,1), 1*(_xlfn._xlws.FILTER(OFFSET($O$15,0,$DN192,$B$8,1),OFFSET($M$15,0,0,$B$8,1))=FG$13), 1*(_xlfn._xlws.FILTER(OFFSET($O$15,0,$DO192,$B$8,1),OFFSET($M$15,0,0,$B$8,1))=FG$14))   /   SUM(OFFSET($BO$15,0,0,$B$14,1)) + $B$18/($B$19*$B$19*($DN192&lt;&gt;$DO192) + $B$19*($DN192=$DO192))</f>
        <v>3.7037037037037035E-4</v>
      </c>
      <c r="FH192" s="10" cm="1">
        <f t="array" aca="1" ref="FH192" ca="1">(1-$B$18)*SUMPRODUCT(OFFSET($BO$15,0,0,$B$14,1), 1*(_xlfn._xlws.FILTER(OFFSET($O$15,0,$DN192,$B$8,1),OFFSET($M$15,0,0,$B$8,1))=FH$13), 1*(_xlfn._xlws.FILTER(OFFSET($O$15,0,$DO192,$B$8,1),OFFSET($M$15,0,0,$B$8,1))=FH$14))   /   SUM(OFFSET($BO$15,0,0,$B$14,1)) + $B$18/($B$19*$B$19*($DN192&lt;&gt;$DO192) + $B$19*($DN192=$DO192))</f>
        <v>3.7037037037037035E-4</v>
      </c>
      <c r="FI192" s="10" cm="1">
        <f t="array" aca="1" ref="FI192" ca="1">(1-$B$18)*SUMPRODUCT(OFFSET($BO$15,0,0,$B$14,1), 1*(_xlfn._xlws.FILTER(OFFSET($O$15,0,$DN192,$B$8,1),OFFSET($M$15,0,0,$B$8,1))=FI$13), 1*(_xlfn._xlws.FILTER(OFFSET($O$15,0,$DO192,$B$8,1),OFFSET($M$15,0,0,$B$8,1))=FI$14))   /   SUM(OFFSET($BO$15,0,0,$B$14,1)) + $B$18/($B$19*$B$19*($DN192&lt;&gt;$DO192) + $B$19*($DN192=$DO192))</f>
        <v>3.7037037037037035E-4</v>
      </c>
      <c r="FJ192" s="10" cm="1">
        <f t="array" aca="1" ref="FJ192" ca="1">(1-$B$18)*SUMPRODUCT(OFFSET($BO$15,0,0,$B$14,1), 1*(_xlfn._xlws.FILTER(OFFSET($O$15,0,$DN192,$B$8,1),OFFSET($M$15,0,0,$B$8,1))=FJ$13), 1*(_xlfn._xlws.FILTER(OFFSET($O$15,0,$DO192,$B$8,1),OFFSET($M$15,0,0,$B$8,1))=FJ$14))   /   SUM(OFFSET($BO$15,0,0,$B$14,1)) + $B$18/($B$19*$B$19*($DN192&lt;&gt;$DO192) + $B$19*($DN192=$DO192))</f>
        <v>3.7037037037037035E-4</v>
      </c>
      <c r="FK192" s="10" cm="1">
        <f t="array" aca="1" ref="FK192" ca="1">(1-$B$18)*SUMPRODUCT(OFFSET($BO$15,0,0,$B$14,1), 1*(_xlfn._xlws.FILTER(OFFSET($O$15,0,$DN192,$B$8,1),OFFSET($M$15,0,0,$B$8,1))=FK$13), 1*(_xlfn._xlws.FILTER(OFFSET($O$15,0,$DO192,$B$8,1),OFFSET($M$15,0,0,$B$8,1))=FK$14))   /   SUM(OFFSET($BO$15,0,0,$B$14,1)) + $B$18/($B$19*$B$19*($DN192&lt;&gt;$DO192) + $B$19*($DN192=$DO192))</f>
        <v>3.7037037037037035E-4</v>
      </c>
      <c r="FL192" s="10" cm="1">
        <f t="array" aca="1" ref="FL192" ca="1">(1-$B$18)*SUMPRODUCT(OFFSET($BO$15,0,0,$B$14,1), 1*(_xlfn._xlws.FILTER(OFFSET($O$15,0,$DN192,$B$8,1),OFFSET($M$15,0,0,$B$8,1))=FL$13), 1*(_xlfn._xlws.FILTER(OFFSET($O$15,0,$DO192,$B$8,1),OFFSET($M$15,0,0,$B$8,1))=FL$14))   /   SUM(OFFSET($BO$15,0,0,$B$14,1)) + $B$18/($B$19*$B$19*($DN192&lt;&gt;$DO192) + $B$19*($DN192=$DO192))</f>
        <v>3.7037037037037035E-4</v>
      </c>
      <c r="FM192" s="10" cm="1">
        <f t="array" aca="1" ref="FM192" ca="1">(1-$B$18)*SUMPRODUCT(OFFSET($BO$15,0,0,$B$14,1), 1*(_xlfn._xlws.FILTER(OFFSET($O$15,0,$DN192,$B$8,1),OFFSET($M$15,0,0,$B$8,1))=FM$13), 1*(_xlfn._xlws.FILTER(OFFSET($O$15,0,$DO192,$B$8,1),OFFSET($M$15,0,0,$B$8,1))=FM$14))   /   SUM(OFFSET($BO$15,0,0,$B$14,1)) + $B$18/($B$19*$B$19*($DN192&lt;&gt;$DO192) + $B$19*($DN192=$DO192))</f>
        <v>3.7037037037037035E-4</v>
      </c>
      <c r="FN192" s="10" cm="1">
        <f t="array" aca="1" ref="FN192" ca="1">(1-$B$18)*SUMPRODUCT(OFFSET($BO$15,0,0,$B$14,1), 1*(_xlfn._xlws.FILTER(OFFSET($O$15,0,$DN192,$B$8,1),OFFSET($M$15,0,0,$B$8,1))=FN$13), 1*(_xlfn._xlws.FILTER(OFFSET($O$15,0,$DO192,$B$8,1),OFFSET($M$15,0,0,$B$8,1))=FN$14))   /   SUM(OFFSET($BO$15,0,0,$B$14,1)) + $B$18/($B$19*$B$19*($DN192&lt;&gt;$DO192) + $B$19*($DN192=$DO192))</f>
        <v>3.7037037037037035E-4</v>
      </c>
      <c r="FO192" s="10" cm="1">
        <f t="array" aca="1" ref="FO192" ca="1">(1-$B$18)*SUMPRODUCT(OFFSET($BO$15,0,0,$B$14,1), 1*(_xlfn._xlws.FILTER(OFFSET($O$15,0,$DN192,$B$8,1),OFFSET($M$15,0,0,$B$8,1))=FO$13), 1*(_xlfn._xlws.FILTER(OFFSET($O$15,0,$DO192,$B$8,1),OFFSET($M$15,0,0,$B$8,1))=FO$14))   /   SUM(OFFSET($BO$15,0,0,$B$14,1)) + $B$18/($B$19*$B$19*($DN192&lt;&gt;$DO192) + $B$19*($DN192=$DO192))</f>
        <v>3.7037037037037035E-4</v>
      </c>
      <c r="FP192" s="10" cm="1">
        <f t="array" aca="1" ref="FP192" ca="1">(1-$B$18)*SUMPRODUCT(OFFSET($BO$15,0,0,$B$14,1), 1*(_xlfn._xlws.FILTER(OFFSET($O$15,0,$DN192,$B$8,1),OFFSET($M$15,0,0,$B$8,1))=FP$13), 1*(_xlfn._xlws.FILTER(OFFSET($O$15,0,$DO192,$B$8,1),OFFSET($M$15,0,0,$B$8,1))=FP$14))   /   SUM(OFFSET($BO$15,0,0,$B$14,1)) + $B$18/($B$19*$B$19*($DN192&lt;&gt;$DO192) + $B$19*($DN192=$DO192))</f>
        <v>3.7037037037037035E-4</v>
      </c>
      <c r="FQ192" s="10" cm="1">
        <f t="array" aca="1" ref="FQ192" ca="1">(1-$B$18)*SUMPRODUCT(OFFSET($BO$15,0,0,$B$14,1), 1*(_xlfn._xlws.FILTER(OFFSET($O$15,0,$DN192,$B$8,1),OFFSET($M$15,0,0,$B$8,1))=FQ$13), 1*(_xlfn._xlws.FILTER(OFFSET($O$15,0,$DO192,$B$8,1),OFFSET($M$15,0,0,$B$8,1))=FQ$14))   /   SUM(OFFSET($BO$15,0,0,$B$14,1)) + $B$18/($B$19*$B$19*($DN192&lt;&gt;$DO192) + $B$19*($DN192=$DO192))</f>
        <v>3.7037037037037035E-4</v>
      </c>
      <c r="FR192" s="10" cm="1">
        <f t="array" aca="1" ref="FR192" ca="1">(1-$B$18)*SUMPRODUCT(OFFSET($BO$15,0,0,$B$14,1), 1*(_xlfn._xlws.FILTER(OFFSET($O$15,0,$DN192,$B$8,1),OFFSET($M$15,0,0,$B$8,1))=FR$13), 1*(_xlfn._xlws.FILTER(OFFSET($O$15,0,$DO192,$B$8,1),OFFSET($M$15,0,0,$B$8,1))=FR$14))   /   SUM(OFFSET($BO$15,0,0,$B$14,1)) + $B$18/($B$19*$B$19*($DN192&lt;&gt;$DO192) + $B$19*($DN192=$DO192))</f>
        <v>0.97037037037037033</v>
      </c>
      <c r="FS192" s="10" cm="1">
        <f t="array" aca="1" ref="FS192" ca="1">(1-$B$18)*SUMPRODUCT(OFFSET($BO$15,0,0,$B$14,1), 1*(_xlfn._xlws.FILTER(OFFSET($O$15,0,$DN192,$B$8,1),OFFSET($M$15,0,0,$B$8,1))=FS$13), 1*(_xlfn._xlws.FILTER(OFFSET($O$15,0,$DO192,$B$8,1),OFFSET($M$15,0,0,$B$8,1))=FS$14))   /   SUM(OFFSET($BO$15,0,0,$B$14,1)) + $B$18/($B$19*$B$19*($DN192&lt;&gt;$DO192) + $B$19*($DN192=$DO192))</f>
        <v>3.7037037037037035E-4</v>
      </c>
      <c r="FT192" s="10" cm="1">
        <f t="array" aca="1" ref="FT192" ca="1">(1-$B$18)*SUMPRODUCT(OFFSET($BO$15,0,0,$B$14,1), 1*(_xlfn._xlws.FILTER(OFFSET($O$15,0,$DN192,$B$8,1),OFFSET($M$15,0,0,$B$8,1))=FT$13), 1*(_xlfn._xlws.FILTER(OFFSET($O$15,0,$DO192,$B$8,1),OFFSET($M$15,0,0,$B$8,1))=FT$14))   /   SUM(OFFSET($BO$15,0,0,$B$14,1)) + $B$18/($B$19*$B$19*($DN192&lt;&gt;$DO192) + $B$19*($DN192=$DO192))</f>
        <v>3.7037037037037035E-4</v>
      </c>
      <c r="FU192" s="10" cm="1">
        <f t="array" aca="1" ref="FU192" ca="1">(1-$B$18)*SUMPRODUCT(OFFSET($BO$15,0,0,$B$14,1), 1*(_xlfn._xlws.FILTER(OFFSET($O$15,0,$DN192,$B$8,1),OFFSET($M$15,0,0,$B$8,1))=FU$13), 1*(_xlfn._xlws.FILTER(OFFSET($O$15,0,$DO192,$B$8,1),OFFSET($M$15,0,0,$B$8,1))=FU$14))   /   SUM(OFFSET($BO$15,0,0,$B$14,1)) + $B$18/($B$19*$B$19*($DN192&lt;&gt;$DO192) + $B$19*($DN192=$DO192))</f>
        <v>3.7037037037037035E-4</v>
      </c>
      <c r="FV192" s="10" cm="1">
        <f t="array" aca="1" ref="FV192" ca="1">(1-$B$18)*SUMPRODUCT(OFFSET($BO$15,0,0,$B$14,1), 1*(_xlfn._xlws.FILTER(OFFSET($O$15,0,$DN192,$B$8,1),OFFSET($M$15,0,0,$B$8,1))=FV$13), 1*(_xlfn._xlws.FILTER(OFFSET($O$15,0,$DO192,$B$8,1),OFFSET($M$15,0,0,$B$8,1))=FV$14))   /   SUM(OFFSET($BO$15,0,0,$B$14,1)) + $B$18/($B$19*$B$19*($DN192&lt;&gt;$DO192) + $B$19*($DN192=$DO192))</f>
        <v>3.7037037037037035E-4</v>
      </c>
      <c r="FW192" s="10" cm="1">
        <f t="array" aca="1" ref="FW192" ca="1">(1-$B$18)*SUMPRODUCT(OFFSET($BO$15,0,0,$B$14,1), 1*(_xlfn._xlws.FILTER(OFFSET($O$15,0,$DN192,$B$8,1),OFFSET($M$15,0,0,$B$8,1))=FW$13), 1*(_xlfn._xlws.FILTER(OFFSET($O$15,0,$DO192,$B$8,1),OFFSET($M$15,0,0,$B$8,1))=FW$14))   /   SUM(OFFSET($BO$15,0,0,$B$14,1)) + $B$18/($B$19*$B$19*($DN192&lt;&gt;$DO192) + $B$19*($DN192=$DO192))</f>
        <v>3.7037037037037035E-4</v>
      </c>
      <c r="FX192" s="10" cm="1">
        <f t="array" aca="1" ref="FX192" ca="1">(1-$B$18)*SUMPRODUCT(OFFSET($BO$15,0,0,$B$14,1), 1*(_xlfn._xlws.FILTER(OFFSET($O$15,0,$DN192,$B$8,1),OFFSET($M$15,0,0,$B$8,1))=FX$13), 1*(_xlfn._xlws.FILTER(OFFSET($O$15,0,$DO192,$B$8,1),OFFSET($M$15,0,0,$B$8,1))=FX$14))   /   SUM(OFFSET($BO$15,0,0,$B$14,1)) + $B$18/($B$19*$B$19*($DN192&lt;&gt;$DO192) + $B$19*($DN192=$DO192))</f>
        <v>3.7037037037037035E-4</v>
      </c>
      <c r="FY192" s="10" cm="1">
        <f t="array" aca="1" ref="FY192" ca="1">(1-$B$18)*SUMPRODUCT(OFFSET($BO$15,0,0,$B$14,1), 1*(_xlfn._xlws.FILTER(OFFSET($O$15,0,$DN192,$B$8,1),OFFSET($M$15,0,0,$B$8,1))=FY$13), 1*(_xlfn._xlws.FILTER(OFFSET($O$15,0,$DO192,$B$8,1),OFFSET($M$15,0,0,$B$8,1))=FY$14))   /   SUM(OFFSET($BO$15,0,0,$B$14,1)) + $B$18/($B$19*$B$19*($DN192&lt;&gt;$DO192) + $B$19*($DN192=$DO192))</f>
        <v>3.7037037037037035E-4</v>
      </c>
      <c r="FZ192" s="10" cm="1">
        <f t="array" aca="1" ref="FZ192" ca="1">(1-$B$18)*SUMPRODUCT(OFFSET($BO$15,0,0,$B$14,1), 1*(_xlfn._xlws.FILTER(OFFSET($O$15,0,$DN192,$B$8,1),OFFSET($M$15,0,0,$B$8,1))=FZ$13), 1*(_xlfn._xlws.FILTER(OFFSET($O$15,0,$DO192,$B$8,1),OFFSET($M$15,0,0,$B$8,1))=FZ$14))   /   SUM(OFFSET($BO$15,0,0,$B$14,1)) + $B$18/($B$19*$B$19*($DN192&lt;&gt;$DO192) + $B$19*($DN192=$DO192))</f>
        <v>3.7037037037037035E-4</v>
      </c>
      <c r="GA192" s="10" cm="1">
        <f t="array" aca="1" ref="GA192" ca="1">(1-$B$18)*SUMPRODUCT(OFFSET($BO$15,0,0,$B$14,1), 1*(_xlfn._xlws.FILTER(OFFSET($O$15,0,$DN192,$B$8,1),OFFSET($M$15,0,0,$B$8,1))=GA$13), 1*(_xlfn._xlws.FILTER(OFFSET($O$15,0,$DO192,$B$8,1),OFFSET($M$15,0,0,$B$8,1))=GA$14))   /   SUM(OFFSET($BO$15,0,0,$B$14,1)) + $B$18/($B$19*$B$19*($DN192&lt;&gt;$DO192) + $B$19*($DN192=$DO192))</f>
        <v>3.7037037037037035E-4</v>
      </c>
    </row>
    <row r="193" spans="118:183" x14ac:dyDescent="0.2">
      <c r="DN193" cm="1">
        <f t="array" aca="1" ref="DN193" ca="1">INDEX(_xlfn.ANCHORARRAY($CP$15), 1 + INT((ROWS($DO$15:$DO193) - 1) / ROWS(_xlfn.ANCHORARRAY($CP$15))))</f>
        <v>9</v>
      </c>
      <c r="DO193" cm="1">
        <f t="array" aca="1" ref="DO193" ca="1">INDEX(_xlfn.ANCHORARRAY($CP$15),1+MOD(ROWS($DO$15:$DO193)-1,ROWS(_xlfn.ANCHORARRAY($CP$15))))</f>
        <v>7</v>
      </c>
      <c r="DP193" s="10" cm="1">
        <f t="array" aca="1" ref="DP193" ca="1">(1-$B$18)*SUMPRODUCT(OFFSET($BO$15,0,0,$B$14,1), 1*(_xlfn._xlws.FILTER(OFFSET($O$15,0,$DN193,$B$8,1),OFFSET($M$15,0,0,$B$8,1))=DP$13), 1*(_xlfn._xlws.FILTER(OFFSET($O$15,0,$DO193,$B$8,1),OFFSET($M$15,0,0,$B$8,1))=DP$14))   /   SUM(OFFSET($BO$15,0,0,$B$14,1)) + $B$18/($B$19*$B$19*($DN193&lt;&gt;$DO193) + $B$19*($DN193=$DO193))</f>
        <v>3.7037037037037035E-4</v>
      </c>
      <c r="DQ193" s="10" cm="1">
        <f t="array" aca="1" ref="DQ193" ca="1">(1-$B$18)*SUMPRODUCT(OFFSET($BO$15,0,0,$B$14,1), 1*(_xlfn._xlws.FILTER(OFFSET($O$15,0,$DN193,$B$8,1),OFFSET($M$15,0,0,$B$8,1))=DQ$13), 1*(_xlfn._xlws.FILTER(OFFSET($O$15,0,$DO193,$B$8,1),OFFSET($M$15,0,0,$B$8,1))=DQ$14))   /   SUM(OFFSET($BO$15,0,0,$B$14,1)) + $B$18/($B$19*$B$19*($DN193&lt;&gt;$DO193) + $B$19*($DN193=$DO193))</f>
        <v>3.7037037037037035E-4</v>
      </c>
      <c r="DR193" s="10" cm="1">
        <f t="array" aca="1" ref="DR193" ca="1">(1-$B$18)*SUMPRODUCT(OFFSET($BO$15,0,0,$B$14,1), 1*(_xlfn._xlws.FILTER(OFFSET($O$15,0,$DN193,$B$8,1),OFFSET($M$15,0,0,$B$8,1))=DR$13), 1*(_xlfn._xlws.FILTER(OFFSET($O$15,0,$DO193,$B$8,1),OFFSET($M$15,0,0,$B$8,1))=DR$14))   /   SUM(OFFSET($BO$15,0,0,$B$14,1)) + $B$18/($B$19*$B$19*($DN193&lt;&gt;$DO193) + $B$19*($DN193=$DO193))</f>
        <v>3.7037037037037035E-4</v>
      </c>
      <c r="DS193" s="10" cm="1">
        <f t="array" aca="1" ref="DS193" ca="1">(1-$B$18)*SUMPRODUCT(OFFSET($BO$15,0,0,$B$14,1), 1*(_xlfn._xlws.FILTER(OFFSET($O$15,0,$DN193,$B$8,1),OFFSET($M$15,0,0,$B$8,1))=DS$13), 1*(_xlfn._xlws.FILTER(OFFSET($O$15,0,$DO193,$B$8,1),OFFSET($M$15,0,0,$B$8,1))=DS$14))   /   SUM(OFFSET($BO$15,0,0,$B$14,1)) + $B$18/($B$19*$B$19*($DN193&lt;&gt;$DO193) + $B$19*($DN193=$DO193))</f>
        <v>3.7037037037037035E-4</v>
      </c>
      <c r="DT193" s="10" cm="1">
        <f t="array" aca="1" ref="DT193" ca="1">(1-$B$18)*SUMPRODUCT(OFFSET($BO$15,0,0,$B$14,1), 1*(_xlfn._xlws.FILTER(OFFSET($O$15,0,$DN193,$B$8,1),OFFSET($M$15,0,0,$B$8,1))=DT$13), 1*(_xlfn._xlws.FILTER(OFFSET($O$15,0,$DO193,$B$8,1),OFFSET($M$15,0,0,$B$8,1))=DT$14))   /   SUM(OFFSET($BO$15,0,0,$B$14,1)) + $B$18/($B$19*$B$19*($DN193&lt;&gt;$DO193) + $B$19*($DN193=$DO193))</f>
        <v>3.7037037037037035E-4</v>
      </c>
      <c r="DU193" s="10" cm="1">
        <f t="array" aca="1" ref="DU193" ca="1">(1-$B$18)*SUMPRODUCT(OFFSET($BO$15,0,0,$B$14,1), 1*(_xlfn._xlws.FILTER(OFFSET($O$15,0,$DN193,$B$8,1),OFFSET($M$15,0,0,$B$8,1))=DU$13), 1*(_xlfn._xlws.FILTER(OFFSET($O$15,0,$DO193,$B$8,1),OFFSET($M$15,0,0,$B$8,1))=DU$14))   /   SUM(OFFSET($BO$15,0,0,$B$14,1)) + $B$18/($B$19*$B$19*($DN193&lt;&gt;$DO193) + $B$19*($DN193=$DO193))</f>
        <v>3.7037037037037035E-4</v>
      </c>
      <c r="DV193" s="10" cm="1">
        <f t="array" aca="1" ref="DV193" ca="1">(1-$B$18)*SUMPRODUCT(OFFSET($BO$15,0,0,$B$14,1), 1*(_xlfn._xlws.FILTER(OFFSET($O$15,0,$DN193,$B$8,1),OFFSET($M$15,0,0,$B$8,1))=DV$13), 1*(_xlfn._xlws.FILTER(OFFSET($O$15,0,$DO193,$B$8,1),OFFSET($M$15,0,0,$B$8,1))=DV$14))   /   SUM(OFFSET($BO$15,0,0,$B$14,1)) + $B$18/($B$19*$B$19*($DN193&lt;&gt;$DO193) + $B$19*($DN193=$DO193))</f>
        <v>3.7037037037037035E-4</v>
      </c>
      <c r="DW193" s="10" cm="1">
        <f t="array" aca="1" ref="DW193" ca="1">(1-$B$18)*SUMPRODUCT(OFFSET($BO$15,0,0,$B$14,1), 1*(_xlfn._xlws.FILTER(OFFSET($O$15,0,$DN193,$B$8,1),OFFSET($M$15,0,0,$B$8,1))=DW$13), 1*(_xlfn._xlws.FILTER(OFFSET($O$15,0,$DO193,$B$8,1),OFFSET($M$15,0,0,$B$8,1))=DW$14))   /   SUM(OFFSET($BO$15,0,0,$B$14,1)) + $B$18/($B$19*$B$19*($DN193&lt;&gt;$DO193) + $B$19*($DN193=$DO193))</f>
        <v>3.7037037037037035E-4</v>
      </c>
      <c r="DX193" s="10" cm="1">
        <f t="array" aca="1" ref="DX193" ca="1">(1-$B$18)*SUMPRODUCT(OFFSET($BO$15,0,0,$B$14,1), 1*(_xlfn._xlws.FILTER(OFFSET($O$15,0,$DN193,$B$8,1),OFFSET($M$15,0,0,$B$8,1))=DX$13), 1*(_xlfn._xlws.FILTER(OFFSET($O$15,0,$DO193,$B$8,1),OFFSET($M$15,0,0,$B$8,1))=DX$14))   /   SUM(OFFSET($BO$15,0,0,$B$14,1)) + $B$18/($B$19*$B$19*($DN193&lt;&gt;$DO193) + $B$19*($DN193=$DO193))</f>
        <v>3.7037037037037035E-4</v>
      </c>
      <c r="DY193" s="10" cm="1">
        <f t="array" aca="1" ref="DY193" ca="1">(1-$B$18)*SUMPRODUCT(OFFSET($BO$15,0,0,$B$14,1), 1*(_xlfn._xlws.FILTER(OFFSET($O$15,0,$DN193,$B$8,1),OFFSET($M$15,0,0,$B$8,1))=DY$13), 1*(_xlfn._xlws.FILTER(OFFSET($O$15,0,$DO193,$B$8,1),OFFSET($M$15,0,0,$B$8,1))=DY$14))   /   SUM(OFFSET($BO$15,0,0,$B$14,1)) + $B$18/($B$19*$B$19*($DN193&lt;&gt;$DO193) + $B$19*($DN193=$DO193))</f>
        <v>3.7037037037037035E-4</v>
      </c>
      <c r="DZ193" s="10" cm="1">
        <f t="array" aca="1" ref="DZ193" ca="1">(1-$B$18)*SUMPRODUCT(OFFSET($BO$15,0,0,$B$14,1), 1*(_xlfn._xlws.FILTER(OFFSET($O$15,0,$DN193,$B$8,1),OFFSET($M$15,0,0,$B$8,1))=DZ$13), 1*(_xlfn._xlws.FILTER(OFFSET($O$15,0,$DO193,$B$8,1),OFFSET($M$15,0,0,$B$8,1))=DZ$14))   /   SUM(OFFSET($BO$15,0,0,$B$14,1)) + $B$18/($B$19*$B$19*($DN193&lt;&gt;$DO193) + $B$19*($DN193=$DO193))</f>
        <v>3.7037037037037035E-4</v>
      </c>
      <c r="EA193" s="10" cm="1">
        <f t="array" aca="1" ref="EA193" ca="1">(1-$B$18)*SUMPRODUCT(OFFSET($BO$15,0,0,$B$14,1), 1*(_xlfn._xlws.FILTER(OFFSET($O$15,0,$DN193,$B$8,1),OFFSET($M$15,0,0,$B$8,1))=EA$13), 1*(_xlfn._xlws.FILTER(OFFSET($O$15,0,$DO193,$B$8,1),OFFSET($M$15,0,0,$B$8,1))=EA$14))   /   SUM(OFFSET($BO$15,0,0,$B$14,1)) + $B$18/($B$19*$B$19*($DN193&lt;&gt;$DO193) + $B$19*($DN193=$DO193))</f>
        <v>3.7037037037037035E-4</v>
      </c>
      <c r="EB193" s="10" cm="1">
        <f t="array" aca="1" ref="EB193" ca="1">(1-$B$18)*SUMPRODUCT(OFFSET($BO$15,0,0,$B$14,1), 1*(_xlfn._xlws.FILTER(OFFSET($O$15,0,$DN193,$B$8,1),OFFSET($M$15,0,0,$B$8,1))=EB$13), 1*(_xlfn._xlws.FILTER(OFFSET($O$15,0,$DO193,$B$8,1),OFFSET($M$15,0,0,$B$8,1))=EB$14))   /   SUM(OFFSET($BO$15,0,0,$B$14,1)) + $B$18/($B$19*$B$19*($DN193&lt;&gt;$DO193) + $B$19*($DN193=$DO193))</f>
        <v>3.7037037037037035E-4</v>
      </c>
      <c r="EC193" s="10" cm="1">
        <f t="array" aca="1" ref="EC193" ca="1">(1-$B$18)*SUMPRODUCT(OFFSET($BO$15,0,0,$B$14,1), 1*(_xlfn._xlws.FILTER(OFFSET($O$15,0,$DN193,$B$8,1),OFFSET($M$15,0,0,$B$8,1))=EC$13), 1*(_xlfn._xlws.FILTER(OFFSET($O$15,0,$DO193,$B$8,1),OFFSET($M$15,0,0,$B$8,1))=EC$14))   /   SUM(OFFSET($BO$15,0,0,$B$14,1)) + $B$18/($B$19*$B$19*($DN193&lt;&gt;$DO193) + $B$19*($DN193=$DO193))</f>
        <v>3.7037037037037035E-4</v>
      </c>
      <c r="ED193" s="10" cm="1">
        <f t="array" aca="1" ref="ED193" ca="1">(1-$B$18)*SUMPRODUCT(OFFSET($BO$15,0,0,$B$14,1), 1*(_xlfn._xlws.FILTER(OFFSET($O$15,0,$DN193,$B$8,1),OFFSET($M$15,0,0,$B$8,1))=ED$13), 1*(_xlfn._xlws.FILTER(OFFSET($O$15,0,$DO193,$B$8,1),OFFSET($M$15,0,0,$B$8,1))=ED$14))   /   SUM(OFFSET($BO$15,0,0,$B$14,1)) + $B$18/($B$19*$B$19*($DN193&lt;&gt;$DO193) + $B$19*($DN193=$DO193))</f>
        <v>3.7037037037037035E-4</v>
      </c>
      <c r="EE193" s="10" cm="1">
        <f t="array" aca="1" ref="EE193" ca="1">(1-$B$18)*SUMPRODUCT(OFFSET($BO$15,0,0,$B$14,1), 1*(_xlfn._xlws.FILTER(OFFSET($O$15,0,$DN193,$B$8,1),OFFSET($M$15,0,0,$B$8,1))=EE$13), 1*(_xlfn._xlws.FILTER(OFFSET($O$15,0,$DO193,$B$8,1),OFFSET($M$15,0,0,$B$8,1))=EE$14))   /   SUM(OFFSET($BO$15,0,0,$B$14,1)) + $B$18/($B$19*$B$19*($DN193&lt;&gt;$DO193) + $B$19*($DN193=$DO193))</f>
        <v>3.7037037037037035E-4</v>
      </c>
      <c r="EF193" s="10" cm="1">
        <f t="array" aca="1" ref="EF193" ca="1">(1-$B$18)*SUMPRODUCT(OFFSET($BO$15,0,0,$B$14,1), 1*(_xlfn._xlws.FILTER(OFFSET($O$15,0,$DN193,$B$8,1),OFFSET($M$15,0,0,$B$8,1))=EF$13), 1*(_xlfn._xlws.FILTER(OFFSET($O$15,0,$DO193,$B$8,1),OFFSET($M$15,0,0,$B$8,1))=EF$14))   /   SUM(OFFSET($BO$15,0,0,$B$14,1)) + $B$18/($B$19*$B$19*($DN193&lt;&gt;$DO193) + $B$19*($DN193=$DO193))</f>
        <v>3.7037037037037035E-4</v>
      </c>
      <c r="EG193" s="10" cm="1">
        <f t="array" aca="1" ref="EG193" ca="1">(1-$B$18)*SUMPRODUCT(OFFSET($BO$15,0,0,$B$14,1), 1*(_xlfn._xlws.FILTER(OFFSET($O$15,0,$DN193,$B$8,1),OFFSET($M$15,0,0,$B$8,1))=EG$13), 1*(_xlfn._xlws.FILTER(OFFSET($O$15,0,$DO193,$B$8,1),OFFSET($M$15,0,0,$B$8,1))=EG$14))   /   SUM(OFFSET($BO$15,0,0,$B$14,1)) + $B$18/($B$19*$B$19*($DN193&lt;&gt;$DO193) + $B$19*($DN193=$DO193))</f>
        <v>3.7037037037037035E-4</v>
      </c>
      <c r="EH193" s="10" cm="1">
        <f t="array" aca="1" ref="EH193" ca="1">(1-$B$18)*SUMPRODUCT(OFFSET($BO$15,0,0,$B$14,1), 1*(_xlfn._xlws.FILTER(OFFSET($O$15,0,$DN193,$B$8,1),OFFSET($M$15,0,0,$B$8,1))=EH$13), 1*(_xlfn._xlws.FILTER(OFFSET($O$15,0,$DO193,$B$8,1),OFFSET($M$15,0,0,$B$8,1))=EH$14))   /   SUM(OFFSET($BO$15,0,0,$B$14,1)) + $B$18/($B$19*$B$19*($DN193&lt;&gt;$DO193) + $B$19*($DN193=$DO193))</f>
        <v>3.7037037037037035E-4</v>
      </c>
      <c r="EI193" s="10" cm="1">
        <f t="array" aca="1" ref="EI193" ca="1">(1-$B$18)*SUMPRODUCT(OFFSET($BO$15,0,0,$B$14,1), 1*(_xlfn._xlws.FILTER(OFFSET($O$15,0,$DN193,$B$8,1),OFFSET($M$15,0,0,$B$8,1))=EI$13), 1*(_xlfn._xlws.FILTER(OFFSET($O$15,0,$DO193,$B$8,1),OFFSET($M$15,0,0,$B$8,1))=EI$14))   /   SUM(OFFSET($BO$15,0,0,$B$14,1)) + $B$18/($B$19*$B$19*($DN193&lt;&gt;$DO193) + $B$19*($DN193=$DO193))</f>
        <v>3.7037037037037035E-4</v>
      </c>
      <c r="EJ193" s="10" cm="1">
        <f t="array" aca="1" ref="EJ193" ca="1">(1-$B$18)*SUMPRODUCT(OFFSET($BO$15,0,0,$B$14,1), 1*(_xlfn._xlws.FILTER(OFFSET($O$15,0,$DN193,$B$8,1),OFFSET($M$15,0,0,$B$8,1))=EJ$13), 1*(_xlfn._xlws.FILTER(OFFSET($O$15,0,$DO193,$B$8,1),OFFSET($M$15,0,0,$B$8,1))=EJ$14))   /   SUM(OFFSET($BO$15,0,0,$B$14,1)) + $B$18/($B$19*$B$19*($DN193&lt;&gt;$DO193) + $B$19*($DN193=$DO193))</f>
        <v>3.7037037037037035E-4</v>
      </c>
      <c r="EK193" s="10" cm="1">
        <f t="array" aca="1" ref="EK193" ca="1">(1-$B$18)*SUMPRODUCT(OFFSET($BO$15,0,0,$B$14,1), 1*(_xlfn._xlws.FILTER(OFFSET($O$15,0,$DN193,$B$8,1),OFFSET($M$15,0,0,$B$8,1))=EK$13), 1*(_xlfn._xlws.FILTER(OFFSET($O$15,0,$DO193,$B$8,1),OFFSET($M$15,0,0,$B$8,1))=EK$14))   /   SUM(OFFSET($BO$15,0,0,$B$14,1)) + $B$18/($B$19*$B$19*($DN193&lt;&gt;$DO193) + $B$19*($DN193=$DO193))</f>
        <v>3.7037037037037035E-4</v>
      </c>
      <c r="EL193" s="10" cm="1">
        <f t="array" aca="1" ref="EL193" ca="1">(1-$B$18)*SUMPRODUCT(OFFSET($BO$15,0,0,$B$14,1), 1*(_xlfn._xlws.FILTER(OFFSET($O$15,0,$DN193,$B$8,1),OFFSET($M$15,0,0,$B$8,1))=EL$13), 1*(_xlfn._xlws.FILTER(OFFSET($O$15,0,$DO193,$B$8,1),OFFSET($M$15,0,0,$B$8,1))=EL$14))   /   SUM(OFFSET($BO$15,0,0,$B$14,1)) + $B$18/($B$19*$B$19*($DN193&lt;&gt;$DO193) + $B$19*($DN193=$DO193))</f>
        <v>3.7037037037037035E-4</v>
      </c>
      <c r="EM193" s="10" cm="1">
        <f t="array" aca="1" ref="EM193" ca="1">(1-$B$18)*SUMPRODUCT(OFFSET($BO$15,0,0,$B$14,1), 1*(_xlfn._xlws.FILTER(OFFSET($O$15,0,$DN193,$B$8,1),OFFSET($M$15,0,0,$B$8,1))=EM$13), 1*(_xlfn._xlws.FILTER(OFFSET($O$15,0,$DO193,$B$8,1),OFFSET($M$15,0,0,$B$8,1))=EM$14))   /   SUM(OFFSET($BO$15,0,0,$B$14,1)) + $B$18/($B$19*$B$19*($DN193&lt;&gt;$DO193) + $B$19*($DN193=$DO193))</f>
        <v>3.7037037037037035E-4</v>
      </c>
      <c r="EN193" s="10" cm="1">
        <f t="array" aca="1" ref="EN193" ca="1">(1-$B$18)*SUMPRODUCT(OFFSET($BO$15,0,0,$B$14,1), 1*(_xlfn._xlws.FILTER(OFFSET($O$15,0,$DN193,$B$8,1),OFFSET($M$15,0,0,$B$8,1))=EN$13), 1*(_xlfn._xlws.FILTER(OFFSET($O$15,0,$DO193,$B$8,1),OFFSET($M$15,0,0,$B$8,1))=EN$14))   /   SUM(OFFSET($BO$15,0,0,$B$14,1)) + $B$18/($B$19*$B$19*($DN193&lt;&gt;$DO193) + $B$19*($DN193=$DO193))</f>
        <v>3.7037037037037035E-4</v>
      </c>
      <c r="EO193" s="10" cm="1">
        <f t="array" aca="1" ref="EO193" ca="1">(1-$B$18)*SUMPRODUCT(OFFSET($BO$15,0,0,$B$14,1), 1*(_xlfn._xlws.FILTER(OFFSET($O$15,0,$DN193,$B$8,1),OFFSET($M$15,0,0,$B$8,1))=EO$13), 1*(_xlfn._xlws.FILTER(OFFSET($O$15,0,$DO193,$B$8,1),OFFSET($M$15,0,0,$B$8,1))=EO$14))   /   SUM(OFFSET($BO$15,0,0,$B$14,1)) + $B$18/($B$19*$B$19*($DN193&lt;&gt;$DO193) + $B$19*($DN193=$DO193))</f>
        <v>3.7037037037037035E-4</v>
      </c>
      <c r="EP193" s="10" cm="1">
        <f t="array" aca="1" ref="EP193" ca="1">(1-$B$18)*SUMPRODUCT(OFFSET($BO$15,0,0,$B$14,1), 1*(_xlfn._xlws.FILTER(OFFSET($O$15,0,$DN193,$B$8,1),OFFSET($M$15,0,0,$B$8,1))=EP$13), 1*(_xlfn._xlws.FILTER(OFFSET($O$15,0,$DO193,$B$8,1),OFFSET($M$15,0,0,$B$8,1))=EP$14))   /   SUM(OFFSET($BO$15,0,0,$B$14,1)) + $B$18/($B$19*$B$19*($DN193&lt;&gt;$DO193) + $B$19*($DN193=$DO193))</f>
        <v>3.7037037037037035E-4</v>
      </c>
      <c r="EQ193" s="10" cm="1">
        <f t="array" aca="1" ref="EQ193" ca="1">(1-$B$18)*SUMPRODUCT(OFFSET($BO$15,0,0,$B$14,1), 1*(_xlfn._xlws.FILTER(OFFSET($O$15,0,$DN193,$B$8,1),OFFSET($M$15,0,0,$B$8,1))=EQ$13), 1*(_xlfn._xlws.FILTER(OFFSET($O$15,0,$DO193,$B$8,1),OFFSET($M$15,0,0,$B$8,1))=EQ$14))   /   SUM(OFFSET($BO$15,0,0,$B$14,1)) + $B$18/($B$19*$B$19*($DN193&lt;&gt;$DO193) + $B$19*($DN193=$DO193))</f>
        <v>3.7037037037037035E-4</v>
      </c>
      <c r="ER193" s="10" cm="1">
        <f t="array" aca="1" ref="ER193" ca="1">(1-$B$18)*SUMPRODUCT(OFFSET($BO$15,0,0,$B$14,1), 1*(_xlfn._xlws.FILTER(OFFSET($O$15,0,$DN193,$B$8,1),OFFSET($M$15,0,0,$B$8,1))=ER$13), 1*(_xlfn._xlws.FILTER(OFFSET($O$15,0,$DO193,$B$8,1),OFFSET($M$15,0,0,$B$8,1))=ER$14))   /   SUM(OFFSET($BO$15,0,0,$B$14,1)) + $B$18/($B$19*$B$19*($DN193&lt;&gt;$DO193) + $B$19*($DN193=$DO193))</f>
        <v>3.7037037037037035E-4</v>
      </c>
      <c r="ES193" s="10" cm="1">
        <f t="array" aca="1" ref="ES193" ca="1">(1-$B$18)*SUMPRODUCT(OFFSET($BO$15,0,0,$B$14,1), 1*(_xlfn._xlws.FILTER(OFFSET($O$15,0,$DN193,$B$8,1),OFFSET($M$15,0,0,$B$8,1))=ES$13), 1*(_xlfn._xlws.FILTER(OFFSET($O$15,0,$DO193,$B$8,1),OFFSET($M$15,0,0,$B$8,1))=ES$14))   /   SUM(OFFSET($BO$15,0,0,$B$14,1)) + $B$18/($B$19*$B$19*($DN193&lt;&gt;$DO193) + $B$19*($DN193=$DO193))</f>
        <v>3.7037037037037035E-4</v>
      </c>
      <c r="ET193" s="10" cm="1">
        <f t="array" aca="1" ref="ET193" ca="1">(1-$B$18)*SUMPRODUCT(OFFSET($BO$15,0,0,$B$14,1), 1*(_xlfn._xlws.FILTER(OFFSET($O$15,0,$DN193,$B$8,1),OFFSET($M$15,0,0,$B$8,1))=ET$13), 1*(_xlfn._xlws.FILTER(OFFSET($O$15,0,$DO193,$B$8,1),OFFSET($M$15,0,0,$B$8,1))=ET$14))   /   SUM(OFFSET($BO$15,0,0,$B$14,1)) + $B$18/($B$19*$B$19*($DN193&lt;&gt;$DO193) + $B$19*($DN193=$DO193))</f>
        <v>3.7037037037037035E-4</v>
      </c>
      <c r="EU193" s="10" cm="1">
        <f t="array" aca="1" ref="EU193" ca="1">(1-$B$18)*SUMPRODUCT(OFFSET($BO$15,0,0,$B$14,1), 1*(_xlfn._xlws.FILTER(OFFSET($O$15,0,$DN193,$B$8,1),OFFSET($M$15,0,0,$B$8,1))=EU$13), 1*(_xlfn._xlws.FILTER(OFFSET($O$15,0,$DO193,$B$8,1),OFFSET($M$15,0,0,$B$8,1))=EU$14))   /   SUM(OFFSET($BO$15,0,0,$B$14,1)) + $B$18/($B$19*$B$19*($DN193&lt;&gt;$DO193) + $B$19*($DN193=$DO193))</f>
        <v>3.7037037037037035E-4</v>
      </c>
      <c r="EV193" s="10" cm="1">
        <f t="array" aca="1" ref="EV193" ca="1">(1-$B$18)*SUMPRODUCT(OFFSET($BO$15,0,0,$B$14,1), 1*(_xlfn._xlws.FILTER(OFFSET($O$15,0,$DN193,$B$8,1),OFFSET($M$15,0,0,$B$8,1))=EV$13), 1*(_xlfn._xlws.FILTER(OFFSET($O$15,0,$DO193,$B$8,1),OFFSET($M$15,0,0,$B$8,1))=EV$14))   /   SUM(OFFSET($BO$15,0,0,$B$14,1)) + $B$18/($B$19*$B$19*($DN193&lt;&gt;$DO193) + $B$19*($DN193=$DO193))</f>
        <v>3.7037037037037035E-4</v>
      </c>
      <c r="EW193" s="10" cm="1">
        <f t="array" aca="1" ref="EW193" ca="1">(1-$B$18)*SUMPRODUCT(OFFSET($BO$15,0,0,$B$14,1), 1*(_xlfn._xlws.FILTER(OFFSET($O$15,0,$DN193,$B$8,1),OFFSET($M$15,0,0,$B$8,1))=EW$13), 1*(_xlfn._xlws.FILTER(OFFSET($O$15,0,$DO193,$B$8,1),OFFSET($M$15,0,0,$B$8,1))=EW$14))   /   SUM(OFFSET($BO$15,0,0,$B$14,1)) + $B$18/($B$19*$B$19*($DN193&lt;&gt;$DO193) + $B$19*($DN193=$DO193))</f>
        <v>3.7037037037037035E-4</v>
      </c>
      <c r="EX193" s="10" cm="1">
        <f t="array" aca="1" ref="EX193" ca="1">(1-$B$18)*SUMPRODUCT(OFFSET($BO$15,0,0,$B$14,1), 1*(_xlfn._xlws.FILTER(OFFSET($O$15,0,$DN193,$B$8,1),OFFSET($M$15,0,0,$B$8,1))=EX$13), 1*(_xlfn._xlws.FILTER(OFFSET($O$15,0,$DO193,$B$8,1),OFFSET($M$15,0,0,$B$8,1))=EX$14))   /   SUM(OFFSET($BO$15,0,0,$B$14,1)) + $B$18/($B$19*$B$19*($DN193&lt;&gt;$DO193) + $B$19*($DN193=$DO193))</f>
        <v>3.7037037037037035E-4</v>
      </c>
      <c r="EY193" s="10" cm="1">
        <f t="array" aca="1" ref="EY193" ca="1">(1-$B$18)*SUMPRODUCT(OFFSET($BO$15,0,0,$B$14,1), 1*(_xlfn._xlws.FILTER(OFFSET($O$15,0,$DN193,$B$8,1),OFFSET($M$15,0,0,$B$8,1))=EY$13), 1*(_xlfn._xlws.FILTER(OFFSET($O$15,0,$DO193,$B$8,1),OFFSET($M$15,0,0,$B$8,1))=EY$14))   /   SUM(OFFSET($BO$15,0,0,$B$14,1)) + $B$18/($B$19*$B$19*($DN193&lt;&gt;$DO193) + $B$19*($DN193=$DO193))</f>
        <v>3.7037037037037035E-4</v>
      </c>
      <c r="EZ193" s="10" cm="1">
        <f t="array" aca="1" ref="EZ193" ca="1">(1-$B$18)*SUMPRODUCT(OFFSET($BO$15,0,0,$B$14,1), 1*(_xlfn._xlws.FILTER(OFFSET($O$15,0,$DN193,$B$8,1),OFFSET($M$15,0,0,$B$8,1))=EZ$13), 1*(_xlfn._xlws.FILTER(OFFSET($O$15,0,$DO193,$B$8,1),OFFSET($M$15,0,0,$B$8,1))=EZ$14))   /   SUM(OFFSET($BO$15,0,0,$B$14,1)) + $B$18/($B$19*$B$19*($DN193&lt;&gt;$DO193) + $B$19*($DN193=$DO193))</f>
        <v>3.7037037037037035E-4</v>
      </c>
      <c r="FA193" s="10" cm="1">
        <f t="array" aca="1" ref="FA193" ca="1">(1-$B$18)*SUMPRODUCT(OFFSET($BO$15,0,0,$B$14,1), 1*(_xlfn._xlws.FILTER(OFFSET($O$15,0,$DN193,$B$8,1),OFFSET($M$15,0,0,$B$8,1))=FA$13), 1*(_xlfn._xlws.FILTER(OFFSET($O$15,0,$DO193,$B$8,1),OFFSET($M$15,0,0,$B$8,1))=FA$14))   /   SUM(OFFSET($BO$15,0,0,$B$14,1)) + $B$18/($B$19*$B$19*($DN193&lt;&gt;$DO193) + $B$19*($DN193=$DO193))</f>
        <v>3.7037037037037035E-4</v>
      </c>
      <c r="FB193" s="10" cm="1">
        <f t="array" aca="1" ref="FB193" ca="1">(1-$B$18)*SUMPRODUCT(OFFSET($BO$15,0,0,$B$14,1), 1*(_xlfn._xlws.FILTER(OFFSET($O$15,0,$DN193,$B$8,1),OFFSET($M$15,0,0,$B$8,1))=FB$13), 1*(_xlfn._xlws.FILTER(OFFSET($O$15,0,$DO193,$B$8,1),OFFSET($M$15,0,0,$B$8,1))=FB$14))   /   SUM(OFFSET($BO$15,0,0,$B$14,1)) + $B$18/($B$19*$B$19*($DN193&lt;&gt;$DO193) + $B$19*($DN193=$DO193))</f>
        <v>3.7037037037037035E-4</v>
      </c>
      <c r="FC193" s="10" cm="1">
        <f t="array" aca="1" ref="FC193" ca="1">(1-$B$18)*SUMPRODUCT(OFFSET($BO$15,0,0,$B$14,1), 1*(_xlfn._xlws.FILTER(OFFSET($O$15,0,$DN193,$B$8,1),OFFSET($M$15,0,0,$B$8,1))=FC$13), 1*(_xlfn._xlws.FILTER(OFFSET($O$15,0,$DO193,$B$8,1),OFFSET($M$15,0,0,$B$8,1))=FC$14))   /   SUM(OFFSET($BO$15,0,0,$B$14,1)) + $B$18/($B$19*$B$19*($DN193&lt;&gt;$DO193) + $B$19*($DN193=$DO193))</f>
        <v>3.7037037037037035E-4</v>
      </c>
      <c r="FD193" s="10" cm="1">
        <f t="array" aca="1" ref="FD193" ca="1">(1-$B$18)*SUMPRODUCT(OFFSET($BO$15,0,0,$B$14,1), 1*(_xlfn._xlws.FILTER(OFFSET($O$15,0,$DN193,$B$8,1),OFFSET($M$15,0,0,$B$8,1))=FD$13), 1*(_xlfn._xlws.FILTER(OFFSET($O$15,0,$DO193,$B$8,1),OFFSET($M$15,0,0,$B$8,1))=FD$14))   /   SUM(OFFSET($BO$15,0,0,$B$14,1)) + $B$18/($B$19*$B$19*($DN193&lt;&gt;$DO193) + $B$19*($DN193=$DO193))</f>
        <v>3.7037037037037035E-4</v>
      </c>
      <c r="FE193" s="10" cm="1">
        <f t="array" aca="1" ref="FE193" ca="1">(1-$B$18)*SUMPRODUCT(OFFSET($BO$15,0,0,$B$14,1), 1*(_xlfn._xlws.FILTER(OFFSET($O$15,0,$DN193,$B$8,1),OFFSET($M$15,0,0,$B$8,1))=FE$13), 1*(_xlfn._xlws.FILTER(OFFSET($O$15,0,$DO193,$B$8,1),OFFSET($M$15,0,0,$B$8,1))=FE$14))   /   SUM(OFFSET($BO$15,0,0,$B$14,1)) + $B$18/($B$19*$B$19*($DN193&lt;&gt;$DO193) + $B$19*($DN193=$DO193))</f>
        <v>3.7037037037037035E-4</v>
      </c>
      <c r="FF193" s="10" cm="1">
        <f t="array" aca="1" ref="FF193" ca="1">(1-$B$18)*SUMPRODUCT(OFFSET($BO$15,0,0,$B$14,1), 1*(_xlfn._xlws.FILTER(OFFSET($O$15,0,$DN193,$B$8,1),OFFSET($M$15,0,0,$B$8,1))=FF$13), 1*(_xlfn._xlws.FILTER(OFFSET($O$15,0,$DO193,$B$8,1),OFFSET($M$15,0,0,$B$8,1))=FF$14))   /   SUM(OFFSET($BO$15,0,0,$B$14,1)) + $B$18/($B$19*$B$19*($DN193&lt;&gt;$DO193) + $B$19*($DN193=$DO193))</f>
        <v>3.7037037037037035E-4</v>
      </c>
      <c r="FG193" s="10" cm="1">
        <f t="array" aca="1" ref="FG193" ca="1">(1-$B$18)*SUMPRODUCT(OFFSET($BO$15,0,0,$B$14,1), 1*(_xlfn._xlws.FILTER(OFFSET($O$15,0,$DN193,$B$8,1),OFFSET($M$15,0,0,$B$8,1))=FG$13), 1*(_xlfn._xlws.FILTER(OFFSET($O$15,0,$DO193,$B$8,1),OFFSET($M$15,0,0,$B$8,1))=FG$14))   /   SUM(OFFSET($BO$15,0,0,$B$14,1)) + $B$18/($B$19*$B$19*($DN193&lt;&gt;$DO193) + $B$19*($DN193=$DO193))</f>
        <v>3.7037037037037035E-4</v>
      </c>
      <c r="FH193" s="10" cm="1">
        <f t="array" aca="1" ref="FH193" ca="1">(1-$B$18)*SUMPRODUCT(OFFSET($BO$15,0,0,$B$14,1), 1*(_xlfn._xlws.FILTER(OFFSET($O$15,0,$DN193,$B$8,1),OFFSET($M$15,0,0,$B$8,1))=FH$13), 1*(_xlfn._xlws.FILTER(OFFSET($O$15,0,$DO193,$B$8,1),OFFSET($M$15,0,0,$B$8,1))=FH$14))   /   SUM(OFFSET($BO$15,0,0,$B$14,1)) + $B$18/($B$19*$B$19*($DN193&lt;&gt;$DO193) + $B$19*($DN193=$DO193))</f>
        <v>3.7037037037037035E-4</v>
      </c>
      <c r="FI193" s="10" cm="1">
        <f t="array" aca="1" ref="FI193" ca="1">(1-$B$18)*SUMPRODUCT(OFFSET($BO$15,0,0,$B$14,1), 1*(_xlfn._xlws.FILTER(OFFSET($O$15,0,$DN193,$B$8,1),OFFSET($M$15,0,0,$B$8,1))=FI$13), 1*(_xlfn._xlws.FILTER(OFFSET($O$15,0,$DO193,$B$8,1),OFFSET($M$15,0,0,$B$8,1))=FI$14))   /   SUM(OFFSET($BO$15,0,0,$B$14,1)) + $B$18/($B$19*$B$19*($DN193&lt;&gt;$DO193) + $B$19*($DN193=$DO193))</f>
        <v>3.7037037037037035E-4</v>
      </c>
      <c r="FJ193" s="10" cm="1">
        <f t="array" aca="1" ref="FJ193" ca="1">(1-$B$18)*SUMPRODUCT(OFFSET($BO$15,0,0,$B$14,1), 1*(_xlfn._xlws.FILTER(OFFSET($O$15,0,$DN193,$B$8,1),OFFSET($M$15,0,0,$B$8,1))=FJ$13), 1*(_xlfn._xlws.FILTER(OFFSET($O$15,0,$DO193,$B$8,1),OFFSET($M$15,0,0,$B$8,1))=FJ$14))   /   SUM(OFFSET($BO$15,0,0,$B$14,1)) + $B$18/($B$19*$B$19*($DN193&lt;&gt;$DO193) + $B$19*($DN193=$DO193))</f>
        <v>3.7037037037037035E-4</v>
      </c>
      <c r="FK193" s="10" cm="1">
        <f t="array" aca="1" ref="FK193" ca="1">(1-$B$18)*SUMPRODUCT(OFFSET($BO$15,0,0,$B$14,1), 1*(_xlfn._xlws.FILTER(OFFSET($O$15,0,$DN193,$B$8,1),OFFSET($M$15,0,0,$B$8,1))=FK$13), 1*(_xlfn._xlws.FILTER(OFFSET($O$15,0,$DO193,$B$8,1),OFFSET($M$15,0,0,$B$8,1))=FK$14))   /   SUM(OFFSET($BO$15,0,0,$B$14,1)) + $B$18/($B$19*$B$19*($DN193&lt;&gt;$DO193) + $B$19*($DN193=$DO193))</f>
        <v>3.7037037037037035E-4</v>
      </c>
      <c r="FL193" s="10" cm="1">
        <f t="array" aca="1" ref="FL193" ca="1">(1-$B$18)*SUMPRODUCT(OFFSET($BO$15,0,0,$B$14,1), 1*(_xlfn._xlws.FILTER(OFFSET($O$15,0,$DN193,$B$8,1),OFFSET($M$15,0,0,$B$8,1))=FL$13), 1*(_xlfn._xlws.FILTER(OFFSET($O$15,0,$DO193,$B$8,1),OFFSET($M$15,0,0,$B$8,1))=FL$14))   /   SUM(OFFSET($BO$15,0,0,$B$14,1)) + $B$18/($B$19*$B$19*($DN193&lt;&gt;$DO193) + $B$19*($DN193=$DO193))</f>
        <v>3.7037037037037035E-4</v>
      </c>
      <c r="FM193" s="10" cm="1">
        <f t="array" aca="1" ref="FM193" ca="1">(1-$B$18)*SUMPRODUCT(OFFSET($BO$15,0,0,$B$14,1), 1*(_xlfn._xlws.FILTER(OFFSET($O$15,0,$DN193,$B$8,1),OFFSET($M$15,0,0,$B$8,1))=FM$13), 1*(_xlfn._xlws.FILTER(OFFSET($O$15,0,$DO193,$B$8,1),OFFSET($M$15,0,0,$B$8,1))=FM$14))   /   SUM(OFFSET($BO$15,0,0,$B$14,1)) + $B$18/($B$19*$B$19*($DN193&lt;&gt;$DO193) + $B$19*($DN193=$DO193))</f>
        <v>3.7037037037037035E-4</v>
      </c>
      <c r="FN193" s="10" cm="1">
        <f t="array" aca="1" ref="FN193" ca="1">(1-$B$18)*SUMPRODUCT(OFFSET($BO$15,0,0,$B$14,1), 1*(_xlfn._xlws.FILTER(OFFSET($O$15,0,$DN193,$B$8,1),OFFSET($M$15,0,0,$B$8,1))=FN$13), 1*(_xlfn._xlws.FILTER(OFFSET($O$15,0,$DO193,$B$8,1),OFFSET($M$15,0,0,$B$8,1))=FN$14))   /   SUM(OFFSET($BO$15,0,0,$B$14,1)) + $B$18/($B$19*$B$19*($DN193&lt;&gt;$DO193) + $B$19*($DN193=$DO193))</f>
        <v>3.7037037037037035E-4</v>
      </c>
      <c r="FO193" s="10" cm="1">
        <f t="array" aca="1" ref="FO193" ca="1">(1-$B$18)*SUMPRODUCT(OFFSET($BO$15,0,0,$B$14,1), 1*(_xlfn._xlws.FILTER(OFFSET($O$15,0,$DN193,$B$8,1),OFFSET($M$15,0,0,$B$8,1))=FO$13), 1*(_xlfn._xlws.FILTER(OFFSET($O$15,0,$DO193,$B$8,1),OFFSET($M$15,0,0,$B$8,1))=FO$14))   /   SUM(OFFSET($BO$15,0,0,$B$14,1)) + $B$18/($B$19*$B$19*($DN193&lt;&gt;$DO193) + $B$19*($DN193=$DO193))</f>
        <v>3.7037037037037035E-4</v>
      </c>
      <c r="FP193" s="10" cm="1">
        <f t="array" aca="1" ref="FP193" ca="1">(1-$B$18)*SUMPRODUCT(OFFSET($BO$15,0,0,$B$14,1), 1*(_xlfn._xlws.FILTER(OFFSET($O$15,0,$DN193,$B$8,1),OFFSET($M$15,0,0,$B$8,1))=FP$13), 1*(_xlfn._xlws.FILTER(OFFSET($O$15,0,$DO193,$B$8,1),OFFSET($M$15,0,0,$B$8,1))=FP$14))   /   SUM(OFFSET($BO$15,0,0,$B$14,1)) + $B$18/($B$19*$B$19*($DN193&lt;&gt;$DO193) + $B$19*($DN193=$DO193))</f>
        <v>3.7037037037037035E-4</v>
      </c>
      <c r="FQ193" s="10" cm="1">
        <f t="array" aca="1" ref="FQ193" ca="1">(1-$B$18)*SUMPRODUCT(OFFSET($BO$15,0,0,$B$14,1), 1*(_xlfn._xlws.FILTER(OFFSET($O$15,0,$DN193,$B$8,1),OFFSET($M$15,0,0,$B$8,1))=FQ$13), 1*(_xlfn._xlws.FILTER(OFFSET($O$15,0,$DO193,$B$8,1),OFFSET($M$15,0,0,$B$8,1))=FQ$14))   /   SUM(OFFSET($BO$15,0,0,$B$14,1)) + $B$18/($B$19*$B$19*($DN193&lt;&gt;$DO193) + $B$19*($DN193=$DO193))</f>
        <v>3.7037037037037035E-4</v>
      </c>
      <c r="FR193" s="10" cm="1">
        <f t="array" aca="1" ref="FR193" ca="1">(1-$B$18)*SUMPRODUCT(OFFSET($BO$15,0,0,$B$14,1), 1*(_xlfn._xlws.FILTER(OFFSET($O$15,0,$DN193,$B$8,1),OFFSET($M$15,0,0,$B$8,1))=FR$13), 1*(_xlfn._xlws.FILTER(OFFSET($O$15,0,$DO193,$B$8,1),OFFSET($M$15,0,0,$B$8,1))=FR$14))   /   SUM(OFFSET($BO$15,0,0,$B$14,1)) + $B$18/($B$19*$B$19*($DN193&lt;&gt;$DO193) + $B$19*($DN193=$DO193))</f>
        <v>0.97037037037037033</v>
      </c>
      <c r="FS193" s="10" cm="1">
        <f t="array" aca="1" ref="FS193" ca="1">(1-$B$18)*SUMPRODUCT(OFFSET($BO$15,0,0,$B$14,1), 1*(_xlfn._xlws.FILTER(OFFSET($O$15,0,$DN193,$B$8,1),OFFSET($M$15,0,0,$B$8,1))=FS$13), 1*(_xlfn._xlws.FILTER(OFFSET($O$15,0,$DO193,$B$8,1),OFFSET($M$15,0,0,$B$8,1))=FS$14))   /   SUM(OFFSET($BO$15,0,0,$B$14,1)) + $B$18/($B$19*$B$19*($DN193&lt;&gt;$DO193) + $B$19*($DN193=$DO193))</f>
        <v>3.7037037037037035E-4</v>
      </c>
      <c r="FT193" s="10" cm="1">
        <f t="array" aca="1" ref="FT193" ca="1">(1-$B$18)*SUMPRODUCT(OFFSET($BO$15,0,0,$B$14,1), 1*(_xlfn._xlws.FILTER(OFFSET($O$15,0,$DN193,$B$8,1),OFFSET($M$15,0,0,$B$8,1))=FT$13), 1*(_xlfn._xlws.FILTER(OFFSET($O$15,0,$DO193,$B$8,1),OFFSET($M$15,0,0,$B$8,1))=FT$14))   /   SUM(OFFSET($BO$15,0,0,$B$14,1)) + $B$18/($B$19*$B$19*($DN193&lt;&gt;$DO193) + $B$19*($DN193=$DO193))</f>
        <v>3.7037037037037035E-4</v>
      </c>
      <c r="FU193" s="10" cm="1">
        <f t="array" aca="1" ref="FU193" ca="1">(1-$B$18)*SUMPRODUCT(OFFSET($BO$15,0,0,$B$14,1), 1*(_xlfn._xlws.FILTER(OFFSET($O$15,0,$DN193,$B$8,1),OFFSET($M$15,0,0,$B$8,1))=FU$13), 1*(_xlfn._xlws.FILTER(OFFSET($O$15,0,$DO193,$B$8,1),OFFSET($M$15,0,0,$B$8,1))=FU$14))   /   SUM(OFFSET($BO$15,0,0,$B$14,1)) + $B$18/($B$19*$B$19*($DN193&lt;&gt;$DO193) + $B$19*($DN193=$DO193))</f>
        <v>3.7037037037037035E-4</v>
      </c>
      <c r="FV193" s="10" cm="1">
        <f t="array" aca="1" ref="FV193" ca="1">(1-$B$18)*SUMPRODUCT(OFFSET($BO$15,0,0,$B$14,1), 1*(_xlfn._xlws.FILTER(OFFSET($O$15,0,$DN193,$B$8,1),OFFSET($M$15,0,0,$B$8,1))=FV$13), 1*(_xlfn._xlws.FILTER(OFFSET($O$15,0,$DO193,$B$8,1),OFFSET($M$15,0,0,$B$8,1))=FV$14))   /   SUM(OFFSET($BO$15,0,0,$B$14,1)) + $B$18/($B$19*$B$19*($DN193&lt;&gt;$DO193) + $B$19*($DN193=$DO193))</f>
        <v>3.7037037037037035E-4</v>
      </c>
      <c r="FW193" s="10" cm="1">
        <f t="array" aca="1" ref="FW193" ca="1">(1-$B$18)*SUMPRODUCT(OFFSET($BO$15,0,0,$B$14,1), 1*(_xlfn._xlws.FILTER(OFFSET($O$15,0,$DN193,$B$8,1),OFFSET($M$15,0,0,$B$8,1))=FW$13), 1*(_xlfn._xlws.FILTER(OFFSET($O$15,0,$DO193,$B$8,1),OFFSET($M$15,0,0,$B$8,1))=FW$14))   /   SUM(OFFSET($BO$15,0,0,$B$14,1)) + $B$18/($B$19*$B$19*($DN193&lt;&gt;$DO193) + $B$19*($DN193=$DO193))</f>
        <v>3.7037037037037035E-4</v>
      </c>
      <c r="FX193" s="10" cm="1">
        <f t="array" aca="1" ref="FX193" ca="1">(1-$B$18)*SUMPRODUCT(OFFSET($BO$15,0,0,$B$14,1), 1*(_xlfn._xlws.FILTER(OFFSET($O$15,0,$DN193,$B$8,1),OFFSET($M$15,0,0,$B$8,1))=FX$13), 1*(_xlfn._xlws.FILTER(OFFSET($O$15,0,$DO193,$B$8,1),OFFSET($M$15,0,0,$B$8,1))=FX$14))   /   SUM(OFFSET($BO$15,0,0,$B$14,1)) + $B$18/($B$19*$B$19*($DN193&lt;&gt;$DO193) + $B$19*($DN193=$DO193))</f>
        <v>3.7037037037037035E-4</v>
      </c>
      <c r="FY193" s="10" cm="1">
        <f t="array" aca="1" ref="FY193" ca="1">(1-$B$18)*SUMPRODUCT(OFFSET($BO$15,0,0,$B$14,1), 1*(_xlfn._xlws.FILTER(OFFSET($O$15,0,$DN193,$B$8,1),OFFSET($M$15,0,0,$B$8,1))=FY$13), 1*(_xlfn._xlws.FILTER(OFFSET($O$15,0,$DO193,$B$8,1),OFFSET($M$15,0,0,$B$8,1))=FY$14))   /   SUM(OFFSET($BO$15,0,0,$B$14,1)) + $B$18/($B$19*$B$19*($DN193&lt;&gt;$DO193) + $B$19*($DN193=$DO193))</f>
        <v>3.7037037037037035E-4</v>
      </c>
      <c r="FZ193" s="10" cm="1">
        <f t="array" aca="1" ref="FZ193" ca="1">(1-$B$18)*SUMPRODUCT(OFFSET($BO$15,0,0,$B$14,1), 1*(_xlfn._xlws.FILTER(OFFSET($O$15,0,$DN193,$B$8,1),OFFSET($M$15,0,0,$B$8,1))=FZ$13), 1*(_xlfn._xlws.FILTER(OFFSET($O$15,0,$DO193,$B$8,1),OFFSET($M$15,0,0,$B$8,1))=FZ$14))   /   SUM(OFFSET($BO$15,0,0,$B$14,1)) + $B$18/($B$19*$B$19*($DN193&lt;&gt;$DO193) + $B$19*($DN193=$DO193))</f>
        <v>3.7037037037037035E-4</v>
      </c>
      <c r="GA193" s="10" cm="1">
        <f t="array" aca="1" ref="GA193" ca="1">(1-$B$18)*SUMPRODUCT(OFFSET($BO$15,0,0,$B$14,1), 1*(_xlfn._xlws.FILTER(OFFSET($O$15,0,$DN193,$B$8,1),OFFSET($M$15,0,0,$B$8,1))=GA$13), 1*(_xlfn._xlws.FILTER(OFFSET($O$15,0,$DO193,$B$8,1),OFFSET($M$15,0,0,$B$8,1))=GA$14))   /   SUM(OFFSET($BO$15,0,0,$B$14,1)) + $B$18/($B$19*$B$19*($DN193&lt;&gt;$DO193) + $B$19*($DN193=$DO193))</f>
        <v>3.7037037037037035E-4</v>
      </c>
    </row>
    <row r="194" spans="118:183" x14ac:dyDescent="0.2">
      <c r="DN194" cm="1">
        <f t="array" aca="1" ref="DN194" ca="1">INDEX(_xlfn.ANCHORARRAY($CP$15), 1 + INT((ROWS($DO$15:$DO194) - 1) / ROWS(_xlfn.ANCHORARRAY($CP$15))))</f>
        <v>9</v>
      </c>
      <c r="DO194" cm="1">
        <f t="array" aca="1" ref="DO194" ca="1">INDEX(_xlfn.ANCHORARRAY($CP$15),1+MOD(ROWS($DO$15:$DO194)-1,ROWS(_xlfn.ANCHORARRAY($CP$15))))</f>
        <v>8</v>
      </c>
      <c r="DP194" s="10" cm="1">
        <f t="array" aca="1" ref="DP194" ca="1">(1-$B$18)*SUMPRODUCT(OFFSET($BO$15,0,0,$B$14,1), 1*(_xlfn._xlws.FILTER(OFFSET($O$15,0,$DN194,$B$8,1),OFFSET($M$15,0,0,$B$8,1))=DP$13), 1*(_xlfn._xlws.FILTER(OFFSET($O$15,0,$DO194,$B$8,1),OFFSET($M$15,0,0,$B$8,1))=DP$14))   /   SUM(OFFSET($BO$15,0,0,$B$14,1)) + $B$18/($B$19*$B$19*($DN194&lt;&gt;$DO194) + $B$19*($DN194=$DO194))</f>
        <v>3.7037037037037035E-4</v>
      </c>
      <c r="DQ194" s="10" cm="1">
        <f t="array" aca="1" ref="DQ194" ca="1">(1-$B$18)*SUMPRODUCT(OFFSET($BO$15,0,0,$B$14,1), 1*(_xlfn._xlws.FILTER(OFFSET($O$15,0,$DN194,$B$8,1),OFFSET($M$15,0,0,$B$8,1))=DQ$13), 1*(_xlfn._xlws.FILTER(OFFSET($O$15,0,$DO194,$B$8,1),OFFSET($M$15,0,0,$B$8,1))=DQ$14))   /   SUM(OFFSET($BO$15,0,0,$B$14,1)) + $B$18/($B$19*$B$19*($DN194&lt;&gt;$DO194) + $B$19*($DN194=$DO194))</f>
        <v>3.7037037037037035E-4</v>
      </c>
      <c r="DR194" s="10" cm="1">
        <f t="array" aca="1" ref="DR194" ca="1">(1-$B$18)*SUMPRODUCT(OFFSET($BO$15,0,0,$B$14,1), 1*(_xlfn._xlws.FILTER(OFFSET($O$15,0,$DN194,$B$8,1),OFFSET($M$15,0,0,$B$8,1))=DR$13), 1*(_xlfn._xlws.FILTER(OFFSET($O$15,0,$DO194,$B$8,1),OFFSET($M$15,0,0,$B$8,1))=DR$14))   /   SUM(OFFSET($BO$15,0,0,$B$14,1)) + $B$18/($B$19*$B$19*($DN194&lt;&gt;$DO194) + $B$19*($DN194=$DO194))</f>
        <v>3.7037037037037035E-4</v>
      </c>
      <c r="DS194" s="10" cm="1">
        <f t="array" aca="1" ref="DS194" ca="1">(1-$B$18)*SUMPRODUCT(OFFSET($BO$15,0,0,$B$14,1), 1*(_xlfn._xlws.FILTER(OFFSET($O$15,0,$DN194,$B$8,1),OFFSET($M$15,0,0,$B$8,1))=DS$13), 1*(_xlfn._xlws.FILTER(OFFSET($O$15,0,$DO194,$B$8,1),OFFSET($M$15,0,0,$B$8,1))=DS$14))   /   SUM(OFFSET($BO$15,0,0,$B$14,1)) + $B$18/($B$19*$B$19*($DN194&lt;&gt;$DO194) + $B$19*($DN194=$DO194))</f>
        <v>3.7037037037037035E-4</v>
      </c>
      <c r="DT194" s="10" cm="1">
        <f t="array" aca="1" ref="DT194" ca="1">(1-$B$18)*SUMPRODUCT(OFFSET($BO$15,0,0,$B$14,1), 1*(_xlfn._xlws.FILTER(OFFSET($O$15,0,$DN194,$B$8,1),OFFSET($M$15,0,0,$B$8,1))=DT$13), 1*(_xlfn._xlws.FILTER(OFFSET($O$15,0,$DO194,$B$8,1),OFFSET($M$15,0,0,$B$8,1))=DT$14))   /   SUM(OFFSET($BO$15,0,0,$B$14,1)) + $B$18/($B$19*$B$19*($DN194&lt;&gt;$DO194) + $B$19*($DN194=$DO194))</f>
        <v>3.7037037037037035E-4</v>
      </c>
      <c r="DU194" s="10" cm="1">
        <f t="array" aca="1" ref="DU194" ca="1">(1-$B$18)*SUMPRODUCT(OFFSET($BO$15,0,0,$B$14,1), 1*(_xlfn._xlws.FILTER(OFFSET($O$15,0,$DN194,$B$8,1),OFFSET($M$15,0,0,$B$8,1))=DU$13), 1*(_xlfn._xlws.FILTER(OFFSET($O$15,0,$DO194,$B$8,1),OFFSET($M$15,0,0,$B$8,1))=DU$14))   /   SUM(OFFSET($BO$15,0,0,$B$14,1)) + $B$18/($B$19*$B$19*($DN194&lt;&gt;$DO194) + $B$19*($DN194=$DO194))</f>
        <v>3.7037037037037035E-4</v>
      </c>
      <c r="DV194" s="10" cm="1">
        <f t="array" aca="1" ref="DV194" ca="1">(1-$B$18)*SUMPRODUCT(OFFSET($BO$15,0,0,$B$14,1), 1*(_xlfn._xlws.FILTER(OFFSET($O$15,0,$DN194,$B$8,1),OFFSET($M$15,0,0,$B$8,1))=DV$13), 1*(_xlfn._xlws.FILTER(OFFSET($O$15,0,$DO194,$B$8,1),OFFSET($M$15,0,0,$B$8,1))=DV$14))   /   SUM(OFFSET($BO$15,0,0,$B$14,1)) + $B$18/($B$19*$B$19*($DN194&lt;&gt;$DO194) + $B$19*($DN194=$DO194))</f>
        <v>3.7037037037037035E-4</v>
      </c>
      <c r="DW194" s="10" cm="1">
        <f t="array" aca="1" ref="DW194" ca="1">(1-$B$18)*SUMPRODUCT(OFFSET($BO$15,0,0,$B$14,1), 1*(_xlfn._xlws.FILTER(OFFSET($O$15,0,$DN194,$B$8,1),OFFSET($M$15,0,0,$B$8,1))=DW$13), 1*(_xlfn._xlws.FILTER(OFFSET($O$15,0,$DO194,$B$8,1),OFFSET($M$15,0,0,$B$8,1))=DW$14))   /   SUM(OFFSET($BO$15,0,0,$B$14,1)) + $B$18/($B$19*$B$19*($DN194&lt;&gt;$DO194) + $B$19*($DN194=$DO194))</f>
        <v>3.7037037037037035E-4</v>
      </c>
      <c r="DX194" s="10" cm="1">
        <f t="array" aca="1" ref="DX194" ca="1">(1-$B$18)*SUMPRODUCT(OFFSET($BO$15,0,0,$B$14,1), 1*(_xlfn._xlws.FILTER(OFFSET($O$15,0,$DN194,$B$8,1),OFFSET($M$15,0,0,$B$8,1))=DX$13), 1*(_xlfn._xlws.FILTER(OFFSET($O$15,0,$DO194,$B$8,1),OFFSET($M$15,0,0,$B$8,1))=DX$14))   /   SUM(OFFSET($BO$15,0,0,$B$14,1)) + $B$18/($B$19*$B$19*($DN194&lt;&gt;$DO194) + $B$19*($DN194=$DO194))</f>
        <v>3.7037037037037035E-4</v>
      </c>
      <c r="DY194" s="10" cm="1">
        <f t="array" aca="1" ref="DY194" ca="1">(1-$B$18)*SUMPRODUCT(OFFSET($BO$15,0,0,$B$14,1), 1*(_xlfn._xlws.FILTER(OFFSET($O$15,0,$DN194,$B$8,1),OFFSET($M$15,0,0,$B$8,1))=DY$13), 1*(_xlfn._xlws.FILTER(OFFSET($O$15,0,$DO194,$B$8,1),OFFSET($M$15,0,0,$B$8,1))=DY$14))   /   SUM(OFFSET($BO$15,0,0,$B$14,1)) + $B$18/($B$19*$B$19*($DN194&lt;&gt;$DO194) + $B$19*($DN194=$DO194))</f>
        <v>3.7037037037037035E-4</v>
      </c>
      <c r="DZ194" s="10" cm="1">
        <f t="array" aca="1" ref="DZ194" ca="1">(1-$B$18)*SUMPRODUCT(OFFSET($BO$15,0,0,$B$14,1), 1*(_xlfn._xlws.FILTER(OFFSET($O$15,0,$DN194,$B$8,1),OFFSET($M$15,0,0,$B$8,1))=DZ$13), 1*(_xlfn._xlws.FILTER(OFFSET($O$15,0,$DO194,$B$8,1),OFFSET($M$15,0,0,$B$8,1))=DZ$14))   /   SUM(OFFSET($BO$15,0,0,$B$14,1)) + $B$18/($B$19*$B$19*($DN194&lt;&gt;$DO194) + $B$19*($DN194=$DO194))</f>
        <v>3.7037037037037035E-4</v>
      </c>
      <c r="EA194" s="10" cm="1">
        <f t="array" aca="1" ref="EA194" ca="1">(1-$B$18)*SUMPRODUCT(OFFSET($BO$15,0,0,$B$14,1), 1*(_xlfn._xlws.FILTER(OFFSET($O$15,0,$DN194,$B$8,1),OFFSET($M$15,0,0,$B$8,1))=EA$13), 1*(_xlfn._xlws.FILTER(OFFSET($O$15,0,$DO194,$B$8,1),OFFSET($M$15,0,0,$B$8,1))=EA$14))   /   SUM(OFFSET($BO$15,0,0,$B$14,1)) + $B$18/($B$19*$B$19*($DN194&lt;&gt;$DO194) + $B$19*($DN194=$DO194))</f>
        <v>3.7037037037037035E-4</v>
      </c>
      <c r="EB194" s="10" cm="1">
        <f t="array" aca="1" ref="EB194" ca="1">(1-$B$18)*SUMPRODUCT(OFFSET($BO$15,0,0,$B$14,1), 1*(_xlfn._xlws.FILTER(OFFSET($O$15,0,$DN194,$B$8,1),OFFSET($M$15,0,0,$B$8,1))=EB$13), 1*(_xlfn._xlws.FILTER(OFFSET($O$15,0,$DO194,$B$8,1),OFFSET($M$15,0,0,$B$8,1))=EB$14))   /   SUM(OFFSET($BO$15,0,0,$B$14,1)) + $B$18/($B$19*$B$19*($DN194&lt;&gt;$DO194) + $B$19*($DN194=$DO194))</f>
        <v>3.7037037037037035E-4</v>
      </c>
      <c r="EC194" s="10" cm="1">
        <f t="array" aca="1" ref="EC194" ca="1">(1-$B$18)*SUMPRODUCT(OFFSET($BO$15,0,0,$B$14,1), 1*(_xlfn._xlws.FILTER(OFFSET($O$15,0,$DN194,$B$8,1),OFFSET($M$15,0,0,$B$8,1))=EC$13), 1*(_xlfn._xlws.FILTER(OFFSET($O$15,0,$DO194,$B$8,1),OFFSET($M$15,0,0,$B$8,1))=EC$14))   /   SUM(OFFSET($BO$15,0,0,$B$14,1)) + $B$18/($B$19*$B$19*($DN194&lt;&gt;$DO194) + $B$19*($DN194=$DO194))</f>
        <v>3.7037037037037035E-4</v>
      </c>
      <c r="ED194" s="10" cm="1">
        <f t="array" aca="1" ref="ED194" ca="1">(1-$B$18)*SUMPRODUCT(OFFSET($BO$15,0,0,$B$14,1), 1*(_xlfn._xlws.FILTER(OFFSET($O$15,0,$DN194,$B$8,1),OFFSET($M$15,0,0,$B$8,1))=ED$13), 1*(_xlfn._xlws.FILTER(OFFSET($O$15,0,$DO194,$B$8,1),OFFSET($M$15,0,0,$B$8,1))=ED$14))   /   SUM(OFFSET($BO$15,0,0,$B$14,1)) + $B$18/($B$19*$B$19*($DN194&lt;&gt;$DO194) + $B$19*($DN194=$DO194))</f>
        <v>3.7037037037037035E-4</v>
      </c>
      <c r="EE194" s="10" cm="1">
        <f t="array" aca="1" ref="EE194" ca="1">(1-$B$18)*SUMPRODUCT(OFFSET($BO$15,0,0,$B$14,1), 1*(_xlfn._xlws.FILTER(OFFSET($O$15,0,$DN194,$B$8,1),OFFSET($M$15,0,0,$B$8,1))=EE$13), 1*(_xlfn._xlws.FILTER(OFFSET($O$15,0,$DO194,$B$8,1),OFFSET($M$15,0,0,$B$8,1))=EE$14))   /   SUM(OFFSET($BO$15,0,0,$B$14,1)) + $B$18/($B$19*$B$19*($DN194&lt;&gt;$DO194) + $B$19*($DN194=$DO194))</f>
        <v>3.7037037037037035E-4</v>
      </c>
      <c r="EF194" s="10" cm="1">
        <f t="array" aca="1" ref="EF194" ca="1">(1-$B$18)*SUMPRODUCT(OFFSET($BO$15,0,0,$B$14,1), 1*(_xlfn._xlws.FILTER(OFFSET($O$15,0,$DN194,$B$8,1),OFFSET($M$15,0,0,$B$8,1))=EF$13), 1*(_xlfn._xlws.FILTER(OFFSET($O$15,0,$DO194,$B$8,1),OFFSET($M$15,0,0,$B$8,1))=EF$14))   /   SUM(OFFSET($BO$15,0,0,$B$14,1)) + $B$18/($B$19*$B$19*($DN194&lt;&gt;$DO194) + $B$19*($DN194=$DO194))</f>
        <v>3.7037037037037035E-4</v>
      </c>
      <c r="EG194" s="10" cm="1">
        <f t="array" aca="1" ref="EG194" ca="1">(1-$B$18)*SUMPRODUCT(OFFSET($BO$15,0,0,$B$14,1), 1*(_xlfn._xlws.FILTER(OFFSET($O$15,0,$DN194,$B$8,1),OFFSET($M$15,0,0,$B$8,1))=EG$13), 1*(_xlfn._xlws.FILTER(OFFSET($O$15,0,$DO194,$B$8,1),OFFSET($M$15,0,0,$B$8,1))=EG$14))   /   SUM(OFFSET($BO$15,0,0,$B$14,1)) + $B$18/($B$19*$B$19*($DN194&lt;&gt;$DO194) + $B$19*($DN194=$DO194))</f>
        <v>3.7037037037037035E-4</v>
      </c>
      <c r="EH194" s="10" cm="1">
        <f t="array" aca="1" ref="EH194" ca="1">(1-$B$18)*SUMPRODUCT(OFFSET($BO$15,0,0,$B$14,1), 1*(_xlfn._xlws.FILTER(OFFSET($O$15,0,$DN194,$B$8,1),OFFSET($M$15,0,0,$B$8,1))=EH$13), 1*(_xlfn._xlws.FILTER(OFFSET($O$15,0,$DO194,$B$8,1),OFFSET($M$15,0,0,$B$8,1))=EH$14))   /   SUM(OFFSET($BO$15,0,0,$B$14,1)) + $B$18/($B$19*$B$19*($DN194&lt;&gt;$DO194) + $B$19*($DN194=$DO194))</f>
        <v>3.7037037037037035E-4</v>
      </c>
      <c r="EI194" s="10" cm="1">
        <f t="array" aca="1" ref="EI194" ca="1">(1-$B$18)*SUMPRODUCT(OFFSET($BO$15,0,0,$B$14,1), 1*(_xlfn._xlws.FILTER(OFFSET($O$15,0,$DN194,$B$8,1),OFFSET($M$15,0,0,$B$8,1))=EI$13), 1*(_xlfn._xlws.FILTER(OFFSET($O$15,0,$DO194,$B$8,1),OFFSET($M$15,0,0,$B$8,1))=EI$14))   /   SUM(OFFSET($BO$15,0,0,$B$14,1)) + $B$18/($B$19*$B$19*($DN194&lt;&gt;$DO194) + $B$19*($DN194=$DO194))</f>
        <v>3.7037037037037035E-4</v>
      </c>
      <c r="EJ194" s="10" cm="1">
        <f t="array" aca="1" ref="EJ194" ca="1">(1-$B$18)*SUMPRODUCT(OFFSET($BO$15,0,0,$B$14,1), 1*(_xlfn._xlws.FILTER(OFFSET($O$15,0,$DN194,$B$8,1),OFFSET($M$15,0,0,$B$8,1))=EJ$13), 1*(_xlfn._xlws.FILTER(OFFSET($O$15,0,$DO194,$B$8,1),OFFSET($M$15,0,0,$B$8,1))=EJ$14))   /   SUM(OFFSET($BO$15,0,0,$B$14,1)) + $B$18/($B$19*$B$19*($DN194&lt;&gt;$DO194) + $B$19*($DN194=$DO194))</f>
        <v>3.7037037037037035E-4</v>
      </c>
      <c r="EK194" s="10" cm="1">
        <f t="array" aca="1" ref="EK194" ca="1">(1-$B$18)*SUMPRODUCT(OFFSET($BO$15,0,0,$B$14,1), 1*(_xlfn._xlws.FILTER(OFFSET($O$15,0,$DN194,$B$8,1),OFFSET($M$15,0,0,$B$8,1))=EK$13), 1*(_xlfn._xlws.FILTER(OFFSET($O$15,0,$DO194,$B$8,1),OFFSET($M$15,0,0,$B$8,1))=EK$14))   /   SUM(OFFSET($BO$15,0,0,$B$14,1)) + $B$18/($B$19*$B$19*($DN194&lt;&gt;$DO194) + $B$19*($DN194=$DO194))</f>
        <v>3.7037037037037035E-4</v>
      </c>
      <c r="EL194" s="10" cm="1">
        <f t="array" aca="1" ref="EL194" ca="1">(1-$B$18)*SUMPRODUCT(OFFSET($BO$15,0,0,$B$14,1), 1*(_xlfn._xlws.FILTER(OFFSET($O$15,0,$DN194,$B$8,1),OFFSET($M$15,0,0,$B$8,1))=EL$13), 1*(_xlfn._xlws.FILTER(OFFSET($O$15,0,$DO194,$B$8,1),OFFSET($M$15,0,0,$B$8,1))=EL$14))   /   SUM(OFFSET($BO$15,0,0,$B$14,1)) + $B$18/($B$19*$B$19*($DN194&lt;&gt;$DO194) + $B$19*($DN194=$DO194))</f>
        <v>3.7037037037037035E-4</v>
      </c>
      <c r="EM194" s="10" cm="1">
        <f t="array" aca="1" ref="EM194" ca="1">(1-$B$18)*SUMPRODUCT(OFFSET($BO$15,0,0,$B$14,1), 1*(_xlfn._xlws.FILTER(OFFSET($O$15,0,$DN194,$B$8,1),OFFSET($M$15,0,0,$B$8,1))=EM$13), 1*(_xlfn._xlws.FILTER(OFFSET($O$15,0,$DO194,$B$8,1),OFFSET($M$15,0,0,$B$8,1))=EM$14))   /   SUM(OFFSET($BO$15,0,0,$B$14,1)) + $B$18/($B$19*$B$19*($DN194&lt;&gt;$DO194) + $B$19*($DN194=$DO194))</f>
        <v>3.7037037037037035E-4</v>
      </c>
      <c r="EN194" s="10" cm="1">
        <f t="array" aca="1" ref="EN194" ca="1">(1-$B$18)*SUMPRODUCT(OFFSET($BO$15,0,0,$B$14,1), 1*(_xlfn._xlws.FILTER(OFFSET($O$15,0,$DN194,$B$8,1),OFFSET($M$15,0,0,$B$8,1))=EN$13), 1*(_xlfn._xlws.FILTER(OFFSET($O$15,0,$DO194,$B$8,1),OFFSET($M$15,0,0,$B$8,1))=EN$14))   /   SUM(OFFSET($BO$15,0,0,$B$14,1)) + $B$18/($B$19*$B$19*($DN194&lt;&gt;$DO194) + $B$19*($DN194=$DO194))</f>
        <v>3.7037037037037035E-4</v>
      </c>
      <c r="EO194" s="10" cm="1">
        <f t="array" aca="1" ref="EO194" ca="1">(1-$B$18)*SUMPRODUCT(OFFSET($BO$15,0,0,$B$14,1), 1*(_xlfn._xlws.FILTER(OFFSET($O$15,0,$DN194,$B$8,1),OFFSET($M$15,0,0,$B$8,1))=EO$13), 1*(_xlfn._xlws.FILTER(OFFSET($O$15,0,$DO194,$B$8,1),OFFSET($M$15,0,0,$B$8,1))=EO$14))   /   SUM(OFFSET($BO$15,0,0,$B$14,1)) + $B$18/($B$19*$B$19*($DN194&lt;&gt;$DO194) + $B$19*($DN194=$DO194))</f>
        <v>3.7037037037037035E-4</v>
      </c>
      <c r="EP194" s="10" cm="1">
        <f t="array" aca="1" ref="EP194" ca="1">(1-$B$18)*SUMPRODUCT(OFFSET($BO$15,0,0,$B$14,1), 1*(_xlfn._xlws.FILTER(OFFSET($O$15,0,$DN194,$B$8,1),OFFSET($M$15,0,0,$B$8,1))=EP$13), 1*(_xlfn._xlws.FILTER(OFFSET($O$15,0,$DO194,$B$8,1),OFFSET($M$15,0,0,$B$8,1))=EP$14))   /   SUM(OFFSET($BO$15,0,0,$B$14,1)) + $B$18/($B$19*$B$19*($DN194&lt;&gt;$DO194) + $B$19*($DN194=$DO194))</f>
        <v>3.7037037037037035E-4</v>
      </c>
      <c r="EQ194" s="10" cm="1">
        <f t="array" aca="1" ref="EQ194" ca="1">(1-$B$18)*SUMPRODUCT(OFFSET($BO$15,0,0,$B$14,1), 1*(_xlfn._xlws.FILTER(OFFSET($O$15,0,$DN194,$B$8,1),OFFSET($M$15,0,0,$B$8,1))=EQ$13), 1*(_xlfn._xlws.FILTER(OFFSET($O$15,0,$DO194,$B$8,1),OFFSET($M$15,0,0,$B$8,1))=EQ$14))   /   SUM(OFFSET($BO$15,0,0,$B$14,1)) + $B$18/($B$19*$B$19*($DN194&lt;&gt;$DO194) + $B$19*($DN194=$DO194))</f>
        <v>3.7037037037037035E-4</v>
      </c>
      <c r="ER194" s="10" cm="1">
        <f t="array" aca="1" ref="ER194" ca="1">(1-$B$18)*SUMPRODUCT(OFFSET($BO$15,0,0,$B$14,1), 1*(_xlfn._xlws.FILTER(OFFSET($O$15,0,$DN194,$B$8,1),OFFSET($M$15,0,0,$B$8,1))=ER$13), 1*(_xlfn._xlws.FILTER(OFFSET($O$15,0,$DO194,$B$8,1),OFFSET($M$15,0,0,$B$8,1))=ER$14))   /   SUM(OFFSET($BO$15,0,0,$B$14,1)) + $B$18/($B$19*$B$19*($DN194&lt;&gt;$DO194) + $B$19*($DN194=$DO194))</f>
        <v>3.7037037037037035E-4</v>
      </c>
      <c r="ES194" s="10" cm="1">
        <f t="array" aca="1" ref="ES194" ca="1">(1-$B$18)*SUMPRODUCT(OFFSET($BO$15,0,0,$B$14,1), 1*(_xlfn._xlws.FILTER(OFFSET($O$15,0,$DN194,$B$8,1),OFFSET($M$15,0,0,$B$8,1))=ES$13), 1*(_xlfn._xlws.FILTER(OFFSET($O$15,0,$DO194,$B$8,1),OFFSET($M$15,0,0,$B$8,1))=ES$14))   /   SUM(OFFSET($BO$15,0,0,$B$14,1)) + $B$18/($B$19*$B$19*($DN194&lt;&gt;$DO194) + $B$19*($DN194=$DO194))</f>
        <v>3.7037037037037035E-4</v>
      </c>
      <c r="ET194" s="10" cm="1">
        <f t="array" aca="1" ref="ET194" ca="1">(1-$B$18)*SUMPRODUCT(OFFSET($BO$15,0,0,$B$14,1), 1*(_xlfn._xlws.FILTER(OFFSET($O$15,0,$DN194,$B$8,1),OFFSET($M$15,0,0,$B$8,1))=ET$13), 1*(_xlfn._xlws.FILTER(OFFSET($O$15,0,$DO194,$B$8,1),OFFSET($M$15,0,0,$B$8,1))=ET$14))   /   SUM(OFFSET($BO$15,0,0,$B$14,1)) + $B$18/($B$19*$B$19*($DN194&lt;&gt;$DO194) + $B$19*($DN194=$DO194))</f>
        <v>3.7037037037037035E-4</v>
      </c>
      <c r="EU194" s="10" cm="1">
        <f t="array" aca="1" ref="EU194" ca="1">(1-$B$18)*SUMPRODUCT(OFFSET($BO$15,0,0,$B$14,1), 1*(_xlfn._xlws.FILTER(OFFSET($O$15,0,$DN194,$B$8,1),OFFSET($M$15,0,0,$B$8,1))=EU$13), 1*(_xlfn._xlws.FILTER(OFFSET($O$15,0,$DO194,$B$8,1),OFFSET($M$15,0,0,$B$8,1))=EU$14))   /   SUM(OFFSET($BO$15,0,0,$B$14,1)) + $B$18/($B$19*$B$19*($DN194&lt;&gt;$DO194) + $B$19*($DN194=$DO194))</f>
        <v>3.7037037037037035E-4</v>
      </c>
      <c r="EV194" s="10" cm="1">
        <f t="array" aca="1" ref="EV194" ca="1">(1-$B$18)*SUMPRODUCT(OFFSET($BO$15,0,0,$B$14,1), 1*(_xlfn._xlws.FILTER(OFFSET($O$15,0,$DN194,$B$8,1),OFFSET($M$15,0,0,$B$8,1))=EV$13), 1*(_xlfn._xlws.FILTER(OFFSET($O$15,0,$DO194,$B$8,1),OFFSET($M$15,0,0,$B$8,1))=EV$14))   /   SUM(OFFSET($BO$15,0,0,$B$14,1)) + $B$18/($B$19*$B$19*($DN194&lt;&gt;$DO194) + $B$19*($DN194=$DO194))</f>
        <v>3.7037037037037035E-4</v>
      </c>
      <c r="EW194" s="10" cm="1">
        <f t="array" aca="1" ref="EW194" ca="1">(1-$B$18)*SUMPRODUCT(OFFSET($BO$15,0,0,$B$14,1), 1*(_xlfn._xlws.FILTER(OFFSET($O$15,0,$DN194,$B$8,1),OFFSET($M$15,0,0,$B$8,1))=EW$13), 1*(_xlfn._xlws.FILTER(OFFSET($O$15,0,$DO194,$B$8,1),OFFSET($M$15,0,0,$B$8,1))=EW$14))   /   SUM(OFFSET($BO$15,0,0,$B$14,1)) + $B$18/($B$19*$B$19*($DN194&lt;&gt;$DO194) + $B$19*($DN194=$DO194))</f>
        <v>3.7037037037037035E-4</v>
      </c>
      <c r="EX194" s="10" cm="1">
        <f t="array" aca="1" ref="EX194" ca="1">(1-$B$18)*SUMPRODUCT(OFFSET($BO$15,0,0,$B$14,1), 1*(_xlfn._xlws.FILTER(OFFSET($O$15,0,$DN194,$B$8,1),OFFSET($M$15,0,0,$B$8,1))=EX$13), 1*(_xlfn._xlws.FILTER(OFFSET($O$15,0,$DO194,$B$8,1),OFFSET($M$15,0,0,$B$8,1))=EX$14))   /   SUM(OFFSET($BO$15,0,0,$B$14,1)) + $B$18/($B$19*$B$19*($DN194&lt;&gt;$DO194) + $B$19*($DN194=$DO194))</f>
        <v>3.7037037037037035E-4</v>
      </c>
      <c r="EY194" s="10" cm="1">
        <f t="array" aca="1" ref="EY194" ca="1">(1-$B$18)*SUMPRODUCT(OFFSET($BO$15,0,0,$B$14,1), 1*(_xlfn._xlws.FILTER(OFFSET($O$15,0,$DN194,$B$8,1),OFFSET($M$15,0,0,$B$8,1))=EY$13), 1*(_xlfn._xlws.FILTER(OFFSET($O$15,0,$DO194,$B$8,1),OFFSET($M$15,0,0,$B$8,1))=EY$14))   /   SUM(OFFSET($BO$15,0,0,$B$14,1)) + $B$18/($B$19*$B$19*($DN194&lt;&gt;$DO194) + $B$19*($DN194=$DO194))</f>
        <v>3.7037037037037035E-4</v>
      </c>
      <c r="EZ194" s="10" cm="1">
        <f t="array" aca="1" ref="EZ194" ca="1">(1-$B$18)*SUMPRODUCT(OFFSET($BO$15,0,0,$B$14,1), 1*(_xlfn._xlws.FILTER(OFFSET($O$15,0,$DN194,$B$8,1),OFFSET($M$15,0,0,$B$8,1))=EZ$13), 1*(_xlfn._xlws.FILTER(OFFSET($O$15,0,$DO194,$B$8,1),OFFSET($M$15,0,0,$B$8,1))=EZ$14))   /   SUM(OFFSET($BO$15,0,0,$B$14,1)) + $B$18/($B$19*$B$19*($DN194&lt;&gt;$DO194) + $B$19*($DN194=$DO194))</f>
        <v>3.7037037037037035E-4</v>
      </c>
      <c r="FA194" s="10" cm="1">
        <f t="array" aca="1" ref="FA194" ca="1">(1-$B$18)*SUMPRODUCT(OFFSET($BO$15,0,0,$B$14,1), 1*(_xlfn._xlws.FILTER(OFFSET($O$15,0,$DN194,$B$8,1),OFFSET($M$15,0,0,$B$8,1))=FA$13), 1*(_xlfn._xlws.FILTER(OFFSET($O$15,0,$DO194,$B$8,1),OFFSET($M$15,0,0,$B$8,1))=FA$14))   /   SUM(OFFSET($BO$15,0,0,$B$14,1)) + $B$18/($B$19*$B$19*($DN194&lt;&gt;$DO194) + $B$19*($DN194=$DO194))</f>
        <v>3.7037037037037035E-4</v>
      </c>
      <c r="FB194" s="10" cm="1">
        <f t="array" aca="1" ref="FB194" ca="1">(1-$B$18)*SUMPRODUCT(OFFSET($BO$15,0,0,$B$14,1), 1*(_xlfn._xlws.FILTER(OFFSET($O$15,0,$DN194,$B$8,1),OFFSET($M$15,0,0,$B$8,1))=FB$13), 1*(_xlfn._xlws.FILTER(OFFSET($O$15,0,$DO194,$B$8,1),OFFSET($M$15,0,0,$B$8,1))=FB$14))   /   SUM(OFFSET($BO$15,0,0,$B$14,1)) + $B$18/($B$19*$B$19*($DN194&lt;&gt;$DO194) + $B$19*($DN194=$DO194))</f>
        <v>3.7037037037037035E-4</v>
      </c>
      <c r="FC194" s="10" cm="1">
        <f t="array" aca="1" ref="FC194" ca="1">(1-$B$18)*SUMPRODUCT(OFFSET($BO$15,0,0,$B$14,1), 1*(_xlfn._xlws.FILTER(OFFSET($O$15,0,$DN194,$B$8,1),OFFSET($M$15,0,0,$B$8,1))=FC$13), 1*(_xlfn._xlws.FILTER(OFFSET($O$15,0,$DO194,$B$8,1),OFFSET($M$15,0,0,$B$8,1))=FC$14))   /   SUM(OFFSET($BO$15,0,0,$B$14,1)) + $B$18/($B$19*$B$19*($DN194&lt;&gt;$DO194) + $B$19*($DN194=$DO194))</f>
        <v>3.7037037037037035E-4</v>
      </c>
      <c r="FD194" s="10" cm="1">
        <f t="array" aca="1" ref="FD194" ca="1">(1-$B$18)*SUMPRODUCT(OFFSET($BO$15,0,0,$B$14,1), 1*(_xlfn._xlws.FILTER(OFFSET($O$15,0,$DN194,$B$8,1),OFFSET($M$15,0,0,$B$8,1))=FD$13), 1*(_xlfn._xlws.FILTER(OFFSET($O$15,0,$DO194,$B$8,1),OFFSET($M$15,0,0,$B$8,1))=FD$14))   /   SUM(OFFSET($BO$15,0,0,$B$14,1)) + $B$18/($B$19*$B$19*($DN194&lt;&gt;$DO194) + $B$19*($DN194=$DO194))</f>
        <v>3.7037037037037035E-4</v>
      </c>
      <c r="FE194" s="10" cm="1">
        <f t="array" aca="1" ref="FE194" ca="1">(1-$B$18)*SUMPRODUCT(OFFSET($BO$15,0,0,$B$14,1), 1*(_xlfn._xlws.FILTER(OFFSET($O$15,0,$DN194,$B$8,1),OFFSET($M$15,0,0,$B$8,1))=FE$13), 1*(_xlfn._xlws.FILTER(OFFSET($O$15,0,$DO194,$B$8,1),OFFSET($M$15,0,0,$B$8,1))=FE$14))   /   SUM(OFFSET($BO$15,0,0,$B$14,1)) + $B$18/($B$19*$B$19*($DN194&lt;&gt;$DO194) + $B$19*($DN194=$DO194))</f>
        <v>3.7037037037037035E-4</v>
      </c>
      <c r="FF194" s="10" cm="1">
        <f t="array" aca="1" ref="FF194" ca="1">(1-$B$18)*SUMPRODUCT(OFFSET($BO$15,0,0,$B$14,1), 1*(_xlfn._xlws.FILTER(OFFSET($O$15,0,$DN194,$B$8,1),OFFSET($M$15,0,0,$B$8,1))=FF$13), 1*(_xlfn._xlws.FILTER(OFFSET($O$15,0,$DO194,$B$8,1),OFFSET($M$15,0,0,$B$8,1))=FF$14))   /   SUM(OFFSET($BO$15,0,0,$B$14,1)) + $B$18/($B$19*$B$19*($DN194&lt;&gt;$DO194) + $B$19*($DN194=$DO194))</f>
        <v>3.7037037037037035E-4</v>
      </c>
      <c r="FG194" s="10" cm="1">
        <f t="array" aca="1" ref="FG194" ca="1">(1-$B$18)*SUMPRODUCT(OFFSET($BO$15,0,0,$B$14,1), 1*(_xlfn._xlws.FILTER(OFFSET($O$15,0,$DN194,$B$8,1),OFFSET($M$15,0,0,$B$8,1))=FG$13), 1*(_xlfn._xlws.FILTER(OFFSET($O$15,0,$DO194,$B$8,1),OFFSET($M$15,0,0,$B$8,1))=FG$14))   /   SUM(OFFSET($BO$15,0,0,$B$14,1)) + $B$18/($B$19*$B$19*($DN194&lt;&gt;$DO194) + $B$19*($DN194=$DO194))</f>
        <v>3.7037037037037035E-4</v>
      </c>
      <c r="FH194" s="10" cm="1">
        <f t="array" aca="1" ref="FH194" ca="1">(1-$B$18)*SUMPRODUCT(OFFSET($BO$15,0,0,$B$14,1), 1*(_xlfn._xlws.FILTER(OFFSET($O$15,0,$DN194,$B$8,1),OFFSET($M$15,0,0,$B$8,1))=FH$13), 1*(_xlfn._xlws.FILTER(OFFSET($O$15,0,$DO194,$B$8,1),OFFSET($M$15,0,0,$B$8,1))=FH$14))   /   SUM(OFFSET($BO$15,0,0,$B$14,1)) + $B$18/($B$19*$B$19*($DN194&lt;&gt;$DO194) + $B$19*($DN194=$DO194))</f>
        <v>3.7037037037037035E-4</v>
      </c>
      <c r="FI194" s="10" cm="1">
        <f t="array" aca="1" ref="FI194" ca="1">(1-$B$18)*SUMPRODUCT(OFFSET($BO$15,0,0,$B$14,1), 1*(_xlfn._xlws.FILTER(OFFSET($O$15,0,$DN194,$B$8,1),OFFSET($M$15,0,0,$B$8,1))=FI$13), 1*(_xlfn._xlws.FILTER(OFFSET($O$15,0,$DO194,$B$8,1),OFFSET($M$15,0,0,$B$8,1))=FI$14))   /   SUM(OFFSET($BO$15,0,0,$B$14,1)) + $B$18/($B$19*$B$19*($DN194&lt;&gt;$DO194) + $B$19*($DN194=$DO194))</f>
        <v>3.7037037037037035E-4</v>
      </c>
      <c r="FJ194" s="10" cm="1">
        <f t="array" aca="1" ref="FJ194" ca="1">(1-$B$18)*SUMPRODUCT(OFFSET($BO$15,0,0,$B$14,1), 1*(_xlfn._xlws.FILTER(OFFSET($O$15,0,$DN194,$B$8,1),OFFSET($M$15,0,0,$B$8,1))=FJ$13), 1*(_xlfn._xlws.FILTER(OFFSET($O$15,0,$DO194,$B$8,1),OFFSET($M$15,0,0,$B$8,1))=FJ$14))   /   SUM(OFFSET($BO$15,0,0,$B$14,1)) + $B$18/($B$19*$B$19*($DN194&lt;&gt;$DO194) + $B$19*($DN194=$DO194))</f>
        <v>3.7037037037037035E-4</v>
      </c>
      <c r="FK194" s="10" cm="1">
        <f t="array" aca="1" ref="FK194" ca="1">(1-$B$18)*SUMPRODUCT(OFFSET($BO$15,0,0,$B$14,1), 1*(_xlfn._xlws.FILTER(OFFSET($O$15,0,$DN194,$B$8,1),OFFSET($M$15,0,0,$B$8,1))=FK$13), 1*(_xlfn._xlws.FILTER(OFFSET($O$15,0,$DO194,$B$8,1),OFFSET($M$15,0,0,$B$8,1))=FK$14))   /   SUM(OFFSET($BO$15,0,0,$B$14,1)) + $B$18/($B$19*$B$19*($DN194&lt;&gt;$DO194) + $B$19*($DN194=$DO194))</f>
        <v>3.7037037037037035E-4</v>
      </c>
      <c r="FL194" s="10" cm="1">
        <f t="array" aca="1" ref="FL194" ca="1">(1-$B$18)*SUMPRODUCT(OFFSET($BO$15,0,0,$B$14,1), 1*(_xlfn._xlws.FILTER(OFFSET($O$15,0,$DN194,$B$8,1),OFFSET($M$15,0,0,$B$8,1))=FL$13), 1*(_xlfn._xlws.FILTER(OFFSET($O$15,0,$DO194,$B$8,1),OFFSET($M$15,0,0,$B$8,1))=FL$14))   /   SUM(OFFSET($BO$15,0,0,$B$14,1)) + $B$18/($B$19*$B$19*($DN194&lt;&gt;$DO194) + $B$19*($DN194=$DO194))</f>
        <v>3.7037037037037035E-4</v>
      </c>
      <c r="FM194" s="10" cm="1">
        <f t="array" aca="1" ref="FM194" ca="1">(1-$B$18)*SUMPRODUCT(OFFSET($BO$15,0,0,$B$14,1), 1*(_xlfn._xlws.FILTER(OFFSET($O$15,0,$DN194,$B$8,1),OFFSET($M$15,0,0,$B$8,1))=FM$13), 1*(_xlfn._xlws.FILTER(OFFSET($O$15,0,$DO194,$B$8,1),OFFSET($M$15,0,0,$B$8,1))=FM$14))   /   SUM(OFFSET($BO$15,0,0,$B$14,1)) + $B$18/($B$19*$B$19*($DN194&lt;&gt;$DO194) + $B$19*($DN194=$DO194))</f>
        <v>3.7037037037037035E-4</v>
      </c>
      <c r="FN194" s="10" cm="1">
        <f t="array" aca="1" ref="FN194" ca="1">(1-$B$18)*SUMPRODUCT(OFFSET($BO$15,0,0,$B$14,1), 1*(_xlfn._xlws.FILTER(OFFSET($O$15,0,$DN194,$B$8,1),OFFSET($M$15,0,0,$B$8,1))=FN$13), 1*(_xlfn._xlws.FILTER(OFFSET($O$15,0,$DO194,$B$8,1),OFFSET($M$15,0,0,$B$8,1))=FN$14))   /   SUM(OFFSET($BO$15,0,0,$B$14,1)) + $B$18/($B$19*$B$19*($DN194&lt;&gt;$DO194) + $B$19*($DN194=$DO194))</f>
        <v>3.7037037037037035E-4</v>
      </c>
      <c r="FO194" s="10" cm="1">
        <f t="array" aca="1" ref="FO194" ca="1">(1-$B$18)*SUMPRODUCT(OFFSET($BO$15,0,0,$B$14,1), 1*(_xlfn._xlws.FILTER(OFFSET($O$15,0,$DN194,$B$8,1),OFFSET($M$15,0,0,$B$8,1))=FO$13), 1*(_xlfn._xlws.FILTER(OFFSET($O$15,0,$DO194,$B$8,1),OFFSET($M$15,0,0,$B$8,1))=FO$14))   /   SUM(OFFSET($BO$15,0,0,$B$14,1)) + $B$18/($B$19*$B$19*($DN194&lt;&gt;$DO194) + $B$19*($DN194=$DO194))</f>
        <v>3.7037037037037035E-4</v>
      </c>
      <c r="FP194" s="10" cm="1">
        <f t="array" aca="1" ref="FP194" ca="1">(1-$B$18)*SUMPRODUCT(OFFSET($BO$15,0,0,$B$14,1), 1*(_xlfn._xlws.FILTER(OFFSET($O$15,0,$DN194,$B$8,1),OFFSET($M$15,0,0,$B$8,1))=FP$13), 1*(_xlfn._xlws.FILTER(OFFSET($O$15,0,$DO194,$B$8,1),OFFSET($M$15,0,0,$B$8,1))=FP$14))   /   SUM(OFFSET($BO$15,0,0,$B$14,1)) + $B$18/($B$19*$B$19*($DN194&lt;&gt;$DO194) + $B$19*($DN194=$DO194))</f>
        <v>3.7037037037037035E-4</v>
      </c>
      <c r="FQ194" s="10" cm="1">
        <f t="array" aca="1" ref="FQ194" ca="1">(1-$B$18)*SUMPRODUCT(OFFSET($BO$15,0,0,$B$14,1), 1*(_xlfn._xlws.FILTER(OFFSET($O$15,0,$DN194,$B$8,1),OFFSET($M$15,0,0,$B$8,1))=FQ$13), 1*(_xlfn._xlws.FILTER(OFFSET($O$15,0,$DO194,$B$8,1),OFFSET($M$15,0,0,$B$8,1))=FQ$14))   /   SUM(OFFSET($BO$15,0,0,$B$14,1)) + $B$18/($B$19*$B$19*($DN194&lt;&gt;$DO194) + $B$19*($DN194=$DO194))</f>
        <v>3.7037037037037035E-4</v>
      </c>
      <c r="FR194" s="10" cm="1">
        <f t="array" aca="1" ref="FR194" ca="1">(1-$B$18)*SUMPRODUCT(OFFSET($BO$15,0,0,$B$14,1), 1*(_xlfn._xlws.FILTER(OFFSET($O$15,0,$DN194,$B$8,1),OFFSET($M$15,0,0,$B$8,1))=FR$13), 1*(_xlfn._xlws.FILTER(OFFSET($O$15,0,$DO194,$B$8,1),OFFSET($M$15,0,0,$B$8,1))=FR$14))   /   SUM(OFFSET($BO$15,0,0,$B$14,1)) + $B$18/($B$19*$B$19*($DN194&lt;&gt;$DO194) + $B$19*($DN194=$DO194))</f>
        <v>0.97037037037037033</v>
      </c>
      <c r="FS194" s="10" cm="1">
        <f t="array" aca="1" ref="FS194" ca="1">(1-$B$18)*SUMPRODUCT(OFFSET($BO$15,0,0,$B$14,1), 1*(_xlfn._xlws.FILTER(OFFSET($O$15,0,$DN194,$B$8,1),OFFSET($M$15,0,0,$B$8,1))=FS$13), 1*(_xlfn._xlws.FILTER(OFFSET($O$15,0,$DO194,$B$8,1),OFFSET($M$15,0,0,$B$8,1))=FS$14))   /   SUM(OFFSET($BO$15,0,0,$B$14,1)) + $B$18/($B$19*$B$19*($DN194&lt;&gt;$DO194) + $B$19*($DN194=$DO194))</f>
        <v>3.7037037037037035E-4</v>
      </c>
      <c r="FT194" s="10" cm="1">
        <f t="array" aca="1" ref="FT194" ca="1">(1-$B$18)*SUMPRODUCT(OFFSET($BO$15,0,0,$B$14,1), 1*(_xlfn._xlws.FILTER(OFFSET($O$15,0,$DN194,$B$8,1),OFFSET($M$15,0,0,$B$8,1))=FT$13), 1*(_xlfn._xlws.FILTER(OFFSET($O$15,0,$DO194,$B$8,1),OFFSET($M$15,0,0,$B$8,1))=FT$14))   /   SUM(OFFSET($BO$15,0,0,$B$14,1)) + $B$18/($B$19*$B$19*($DN194&lt;&gt;$DO194) + $B$19*($DN194=$DO194))</f>
        <v>3.7037037037037035E-4</v>
      </c>
      <c r="FU194" s="10" cm="1">
        <f t="array" aca="1" ref="FU194" ca="1">(1-$B$18)*SUMPRODUCT(OFFSET($BO$15,0,0,$B$14,1), 1*(_xlfn._xlws.FILTER(OFFSET($O$15,0,$DN194,$B$8,1),OFFSET($M$15,0,0,$B$8,1))=FU$13), 1*(_xlfn._xlws.FILTER(OFFSET($O$15,0,$DO194,$B$8,1),OFFSET($M$15,0,0,$B$8,1))=FU$14))   /   SUM(OFFSET($BO$15,0,0,$B$14,1)) + $B$18/($B$19*$B$19*($DN194&lt;&gt;$DO194) + $B$19*($DN194=$DO194))</f>
        <v>3.7037037037037035E-4</v>
      </c>
      <c r="FV194" s="10" cm="1">
        <f t="array" aca="1" ref="FV194" ca="1">(1-$B$18)*SUMPRODUCT(OFFSET($BO$15,0,0,$B$14,1), 1*(_xlfn._xlws.FILTER(OFFSET($O$15,0,$DN194,$B$8,1),OFFSET($M$15,0,0,$B$8,1))=FV$13), 1*(_xlfn._xlws.FILTER(OFFSET($O$15,0,$DO194,$B$8,1),OFFSET($M$15,0,0,$B$8,1))=FV$14))   /   SUM(OFFSET($BO$15,0,0,$B$14,1)) + $B$18/($B$19*$B$19*($DN194&lt;&gt;$DO194) + $B$19*($DN194=$DO194))</f>
        <v>3.7037037037037035E-4</v>
      </c>
      <c r="FW194" s="10" cm="1">
        <f t="array" aca="1" ref="FW194" ca="1">(1-$B$18)*SUMPRODUCT(OFFSET($BO$15,0,0,$B$14,1), 1*(_xlfn._xlws.FILTER(OFFSET($O$15,0,$DN194,$B$8,1),OFFSET($M$15,0,0,$B$8,1))=FW$13), 1*(_xlfn._xlws.FILTER(OFFSET($O$15,0,$DO194,$B$8,1),OFFSET($M$15,0,0,$B$8,1))=FW$14))   /   SUM(OFFSET($BO$15,0,0,$B$14,1)) + $B$18/($B$19*$B$19*($DN194&lt;&gt;$DO194) + $B$19*($DN194=$DO194))</f>
        <v>3.7037037037037035E-4</v>
      </c>
      <c r="FX194" s="10" cm="1">
        <f t="array" aca="1" ref="FX194" ca="1">(1-$B$18)*SUMPRODUCT(OFFSET($BO$15,0,0,$B$14,1), 1*(_xlfn._xlws.FILTER(OFFSET($O$15,0,$DN194,$B$8,1),OFFSET($M$15,0,0,$B$8,1))=FX$13), 1*(_xlfn._xlws.FILTER(OFFSET($O$15,0,$DO194,$B$8,1),OFFSET($M$15,0,0,$B$8,1))=FX$14))   /   SUM(OFFSET($BO$15,0,0,$B$14,1)) + $B$18/($B$19*$B$19*($DN194&lt;&gt;$DO194) + $B$19*($DN194=$DO194))</f>
        <v>3.7037037037037035E-4</v>
      </c>
      <c r="FY194" s="10" cm="1">
        <f t="array" aca="1" ref="FY194" ca="1">(1-$B$18)*SUMPRODUCT(OFFSET($BO$15,0,0,$B$14,1), 1*(_xlfn._xlws.FILTER(OFFSET($O$15,0,$DN194,$B$8,1),OFFSET($M$15,0,0,$B$8,1))=FY$13), 1*(_xlfn._xlws.FILTER(OFFSET($O$15,0,$DO194,$B$8,1),OFFSET($M$15,0,0,$B$8,1))=FY$14))   /   SUM(OFFSET($BO$15,0,0,$B$14,1)) + $B$18/($B$19*$B$19*($DN194&lt;&gt;$DO194) + $B$19*($DN194=$DO194))</f>
        <v>3.7037037037037035E-4</v>
      </c>
      <c r="FZ194" s="10" cm="1">
        <f t="array" aca="1" ref="FZ194" ca="1">(1-$B$18)*SUMPRODUCT(OFFSET($BO$15,0,0,$B$14,1), 1*(_xlfn._xlws.FILTER(OFFSET($O$15,0,$DN194,$B$8,1),OFFSET($M$15,0,0,$B$8,1))=FZ$13), 1*(_xlfn._xlws.FILTER(OFFSET($O$15,0,$DO194,$B$8,1),OFFSET($M$15,0,0,$B$8,1))=FZ$14))   /   SUM(OFFSET($BO$15,0,0,$B$14,1)) + $B$18/($B$19*$B$19*($DN194&lt;&gt;$DO194) + $B$19*($DN194=$DO194))</f>
        <v>3.7037037037037035E-4</v>
      </c>
      <c r="GA194" s="10" cm="1">
        <f t="array" aca="1" ref="GA194" ca="1">(1-$B$18)*SUMPRODUCT(OFFSET($BO$15,0,0,$B$14,1), 1*(_xlfn._xlws.FILTER(OFFSET($O$15,0,$DN194,$B$8,1),OFFSET($M$15,0,0,$B$8,1))=GA$13), 1*(_xlfn._xlws.FILTER(OFFSET($O$15,0,$DO194,$B$8,1),OFFSET($M$15,0,0,$B$8,1))=GA$14))   /   SUM(OFFSET($BO$15,0,0,$B$14,1)) + $B$18/($B$19*$B$19*($DN194&lt;&gt;$DO194) + $B$19*($DN194=$DO194))</f>
        <v>3.7037037037037035E-4</v>
      </c>
    </row>
    <row r="195" spans="118:183" x14ac:dyDescent="0.2">
      <c r="DN195" cm="1">
        <f t="array" aca="1" ref="DN195" ca="1">INDEX(_xlfn.ANCHORARRAY($CP$15), 1 + INT((ROWS($DO$15:$DO195) - 1) / ROWS(_xlfn.ANCHORARRAY($CP$15))))</f>
        <v>9</v>
      </c>
      <c r="DO195" cm="1">
        <f t="array" aca="1" ref="DO195" ca="1">INDEX(_xlfn.ANCHORARRAY($CP$15),1+MOD(ROWS($DO$15:$DO195)-1,ROWS(_xlfn.ANCHORARRAY($CP$15))))</f>
        <v>9</v>
      </c>
      <c r="DP195" s="10" cm="1">
        <f t="array" aca="1" ref="DP195" ca="1">(1-$B$18)*SUMPRODUCT(OFFSET($BO$15,0,0,$B$14,1), 1*(_xlfn._xlws.FILTER(OFFSET($O$15,0,$DN195,$B$8,1),OFFSET($M$15,0,0,$B$8,1))=DP$13), 1*(_xlfn._xlws.FILTER(OFFSET($O$15,0,$DO195,$B$8,1),OFFSET($M$15,0,0,$B$8,1))=DP$14))   /   SUM(OFFSET($BO$15,0,0,$B$14,1)) + $B$18/($B$19*$B$19*($DN195&lt;&gt;$DO195) + $B$19*($DN195=$DO195))</f>
        <v>3.3333333333333331E-3</v>
      </c>
      <c r="DQ195" s="10" cm="1">
        <f t="array" aca="1" ref="DQ195" ca="1">(1-$B$18)*SUMPRODUCT(OFFSET($BO$15,0,0,$B$14,1), 1*(_xlfn._xlws.FILTER(OFFSET($O$15,0,$DN195,$B$8,1),OFFSET($M$15,0,0,$B$8,1))=DQ$13), 1*(_xlfn._xlws.FILTER(OFFSET($O$15,0,$DO195,$B$8,1),OFFSET($M$15,0,0,$B$8,1))=DQ$14))   /   SUM(OFFSET($BO$15,0,0,$B$14,1)) + $B$18/($B$19*$B$19*($DN195&lt;&gt;$DO195) + $B$19*($DN195=$DO195))</f>
        <v>3.3333333333333331E-3</v>
      </c>
      <c r="DR195" s="10" cm="1">
        <f t="array" aca="1" ref="DR195" ca="1">(1-$B$18)*SUMPRODUCT(OFFSET($BO$15,0,0,$B$14,1), 1*(_xlfn._xlws.FILTER(OFFSET($O$15,0,$DN195,$B$8,1),OFFSET($M$15,0,0,$B$8,1))=DR$13), 1*(_xlfn._xlws.FILTER(OFFSET($O$15,0,$DO195,$B$8,1),OFFSET($M$15,0,0,$B$8,1))=DR$14))   /   SUM(OFFSET($BO$15,0,0,$B$14,1)) + $B$18/($B$19*$B$19*($DN195&lt;&gt;$DO195) + $B$19*($DN195=$DO195))</f>
        <v>3.3333333333333331E-3</v>
      </c>
      <c r="DS195" s="10" cm="1">
        <f t="array" aca="1" ref="DS195" ca="1">(1-$B$18)*SUMPRODUCT(OFFSET($BO$15,0,0,$B$14,1), 1*(_xlfn._xlws.FILTER(OFFSET($O$15,0,$DN195,$B$8,1),OFFSET($M$15,0,0,$B$8,1))=DS$13), 1*(_xlfn._xlws.FILTER(OFFSET($O$15,0,$DO195,$B$8,1),OFFSET($M$15,0,0,$B$8,1))=DS$14))   /   SUM(OFFSET($BO$15,0,0,$B$14,1)) + $B$18/($B$19*$B$19*($DN195&lt;&gt;$DO195) + $B$19*($DN195=$DO195))</f>
        <v>3.3333333333333331E-3</v>
      </c>
      <c r="DT195" s="10" cm="1">
        <f t="array" aca="1" ref="DT195" ca="1">(1-$B$18)*SUMPRODUCT(OFFSET($BO$15,0,0,$B$14,1), 1*(_xlfn._xlws.FILTER(OFFSET($O$15,0,$DN195,$B$8,1),OFFSET($M$15,0,0,$B$8,1))=DT$13), 1*(_xlfn._xlws.FILTER(OFFSET($O$15,0,$DO195,$B$8,1),OFFSET($M$15,0,0,$B$8,1))=DT$14))   /   SUM(OFFSET($BO$15,0,0,$B$14,1)) + $B$18/($B$19*$B$19*($DN195&lt;&gt;$DO195) + $B$19*($DN195=$DO195))</f>
        <v>3.3333333333333331E-3</v>
      </c>
      <c r="DU195" s="10" cm="1">
        <f t="array" aca="1" ref="DU195" ca="1">(1-$B$18)*SUMPRODUCT(OFFSET($BO$15,0,0,$B$14,1), 1*(_xlfn._xlws.FILTER(OFFSET($O$15,0,$DN195,$B$8,1),OFFSET($M$15,0,0,$B$8,1))=DU$13), 1*(_xlfn._xlws.FILTER(OFFSET($O$15,0,$DO195,$B$8,1),OFFSET($M$15,0,0,$B$8,1))=DU$14))   /   SUM(OFFSET($BO$15,0,0,$B$14,1)) + $B$18/($B$19*$B$19*($DN195&lt;&gt;$DO195) + $B$19*($DN195=$DO195))</f>
        <v>3.3333333333333331E-3</v>
      </c>
      <c r="DV195" s="10" cm="1">
        <f t="array" aca="1" ref="DV195" ca="1">(1-$B$18)*SUMPRODUCT(OFFSET($BO$15,0,0,$B$14,1), 1*(_xlfn._xlws.FILTER(OFFSET($O$15,0,$DN195,$B$8,1),OFFSET($M$15,0,0,$B$8,1))=DV$13), 1*(_xlfn._xlws.FILTER(OFFSET($O$15,0,$DO195,$B$8,1),OFFSET($M$15,0,0,$B$8,1))=DV$14))   /   SUM(OFFSET($BO$15,0,0,$B$14,1)) + $B$18/($B$19*$B$19*($DN195&lt;&gt;$DO195) + $B$19*($DN195=$DO195))</f>
        <v>3.3333333333333331E-3</v>
      </c>
      <c r="DW195" s="10" cm="1">
        <f t="array" aca="1" ref="DW195" ca="1">(1-$B$18)*SUMPRODUCT(OFFSET($BO$15,0,0,$B$14,1), 1*(_xlfn._xlws.FILTER(OFFSET($O$15,0,$DN195,$B$8,1),OFFSET($M$15,0,0,$B$8,1))=DW$13), 1*(_xlfn._xlws.FILTER(OFFSET($O$15,0,$DO195,$B$8,1),OFFSET($M$15,0,0,$B$8,1))=DW$14))   /   SUM(OFFSET($BO$15,0,0,$B$14,1)) + $B$18/($B$19*$B$19*($DN195&lt;&gt;$DO195) + $B$19*($DN195=$DO195))</f>
        <v>3.3333333333333331E-3</v>
      </c>
      <c r="DX195" s="10" cm="1">
        <f t="array" aca="1" ref="DX195" ca="1">(1-$B$18)*SUMPRODUCT(OFFSET($BO$15,0,0,$B$14,1), 1*(_xlfn._xlws.FILTER(OFFSET($O$15,0,$DN195,$B$8,1),OFFSET($M$15,0,0,$B$8,1))=DX$13), 1*(_xlfn._xlws.FILTER(OFFSET($O$15,0,$DO195,$B$8,1),OFFSET($M$15,0,0,$B$8,1))=DX$14))   /   SUM(OFFSET($BO$15,0,0,$B$14,1)) + $B$18/($B$19*$B$19*($DN195&lt;&gt;$DO195) + $B$19*($DN195=$DO195))</f>
        <v>3.3333333333333331E-3</v>
      </c>
      <c r="DY195" s="10" cm="1">
        <f t="array" aca="1" ref="DY195" ca="1">(1-$B$18)*SUMPRODUCT(OFFSET($BO$15,0,0,$B$14,1), 1*(_xlfn._xlws.FILTER(OFFSET($O$15,0,$DN195,$B$8,1),OFFSET($M$15,0,0,$B$8,1))=DY$13), 1*(_xlfn._xlws.FILTER(OFFSET($O$15,0,$DO195,$B$8,1),OFFSET($M$15,0,0,$B$8,1))=DY$14))   /   SUM(OFFSET($BO$15,0,0,$B$14,1)) + $B$18/($B$19*$B$19*($DN195&lt;&gt;$DO195) + $B$19*($DN195=$DO195))</f>
        <v>3.3333333333333331E-3</v>
      </c>
      <c r="DZ195" s="10" cm="1">
        <f t="array" aca="1" ref="DZ195" ca="1">(1-$B$18)*SUMPRODUCT(OFFSET($BO$15,0,0,$B$14,1), 1*(_xlfn._xlws.FILTER(OFFSET($O$15,0,$DN195,$B$8,1),OFFSET($M$15,0,0,$B$8,1))=DZ$13), 1*(_xlfn._xlws.FILTER(OFFSET($O$15,0,$DO195,$B$8,1),OFFSET($M$15,0,0,$B$8,1))=DZ$14))   /   SUM(OFFSET($BO$15,0,0,$B$14,1)) + $B$18/($B$19*$B$19*($DN195&lt;&gt;$DO195) + $B$19*($DN195=$DO195))</f>
        <v>3.3333333333333331E-3</v>
      </c>
      <c r="EA195" s="10" cm="1">
        <f t="array" aca="1" ref="EA195" ca="1">(1-$B$18)*SUMPRODUCT(OFFSET($BO$15,0,0,$B$14,1), 1*(_xlfn._xlws.FILTER(OFFSET($O$15,0,$DN195,$B$8,1),OFFSET($M$15,0,0,$B$8,1))=EA$13), 1*(_xlfn._xlws.FILTER(OFFSET($O$15,0,$DO195,$B$8,1),OFFSET($M$15,0,0,$B$8,1))=EA$14))   /   SUM(OFFSET($BO$15,0,0,$B$14,1)) + $B$18/($B$19*$B$19*($DN195&lt;&gt;$DO195) + $B$19*($DN195=$DO195))</f>
        <v>3.3333333333333331E-3</v>
      </c>
      <c r="EB195" s="10" cm="1">
        <f t="array" aca="1" ref="EB195" ca="1">(1-$B$18)*SUMPRODUCT(OFFSET($BO$15,0,0,$B$14,1), 1*(_xlfn._xlws.FILTER(OFFSET($O$15,0,$DN195,$B$8,1),OFFSET($M$15,0,0,$B$8,1))=EB$13), 1*(_xlfn._xlws.FILTER(OFFSET($O$15,0,$DO195,$B$8,1),OFFSET($M$15,0,0,$B$8,1))=EB$14))   /   SUM(OFFSET($BO$15,0,0,$B$14,1)) + $B$18/($B$19*$B$19*($DN195&lt;&gt;$DO195) + $B$19*($DN195=$DO195))</f>
        <v>3.3333333333333331E-3</v>
      </c>
      <c r="EC195" s="10" cm="1">
        <f t="array" aca="1" ref="EC195" ca="1">(1-$B$18)*SUMPRODUCT(OFFSET($BO$15,0,0,$B$14,1), 1*(_xlfn._xlws.FILTER(OFFSET($O$15,0,$DN195,$B$8,1),OFFSET($M$15,0,0,$B$8,1))=EC$13), 1*(_xlfn._xlws.FILTER(OFFSET($O$15,0,$DO195,$B$8,1),OFFSET($M$15,0,0,$B$8,1))=EC$14))   /   SUM(OFFSET($BO$15,0,0,$B$14,1)) + $B$18/($B$19*$B$19*($DN195&lt;&gt;$DO195) + $B$19*($DN195=$DO195))</f>
        <v>3.3333333333333331E-3</v>
      </c>
      <c r="ED195" s="10" cm="1">
        <f t="array" aca="1" ref="ED195" ca="1">(1-$B$18)*SUMPRODUCT(OFFSET($BO$15,0,0,$B$14,1), 1*(_xlfn._xlws.FILTER(OFFSET($O$15,0,$DN195,$B$8,1),OFFSET($M$15,0,0,$B$8,1))=ED$13), 1*(_xlfn._xlws.FILTER(OFFSET($O$15,0,$DO195,$B$8,1),OFFSET($M$15,0,0,$B$8,1))=ED$14))   /   SUM(OFFSET($BO$15,0,0,$B$14,1)) + $B$18/($B$19*$B$19*($DN195&lt;&gt;$DO195) + $B$19*($DN195=$DO195))</f>
        <v>3.3333333333333331E-3</v>
      </c>
      <c r="EE195" s="10" cm="1">
        <f t="array" aca="1" ref="EE195" ca="1">(1-$B$18)*SUMPRODUCT(OFFSET($BO$15,0,0,$B$14,1), 1*(_xlfn._xlws.FILTER(OFFSET($O$15,0,$DN195,$B$8,1),OFFSET($M$15,0,0,$B$8,1))=EE$13), 1*(_xlfn._xlws.FILTER(OFFSET($O$15,0,$DO195,$B$8,1),OFFSET($M$15,0,0,$B$8,1))=EE$14))   /   SUM(OFFSET($BO$15,0,0,$B$14,1)) + $B$18/($B$19*$B$19*($DN195&lt;&gt;$DO195) + $B$19*($DN195=$DO195))</f>
        <v>3.3333333333333331E-3</v>
      </c>
      <c r="EF195" s="10" cm="1">
        <f t="array" aca="1" ref="EF195" ca="1">(1-$B$18)*SUMPRODUCT(OFFSET($BO$15,0,0,$B$14,1), 1*(_xlfn._xlws.FILTER(OFFSET($O$15,0,$DN195,$B$8,1),OFFSET($M$15,0,0,$B$8,1))=EF$13), 1*(_xlfn._xlws.FILTER(OFFSET($O$15,0,$DO195,$B$8,1),OFFSET($M$15,0,0,$B$8,1))=EF$14))   /   SUM(OFFSET($BO$15,0,0,$B$14,1)) + $B$18/($B$19*$B$19*($DN195&lt;&gt;$DO195) + $B$19*($DN195=$DO195))</f>
        <v>3.3333333333333331E-3</v>
      </c>
      <c r="EG195" s="10" cm="1">
        <f t="array" aca="1" ref="EG195" ca="1">(1-$B$18)*SUMPRODUCT(OFFSET($BO$15,0,0,$B$14,1), 1*(_xlfn._xlws.FILTER(OFFSET($O$15,0,$DN195,$B$8,1),OFFSET($M$15,0,0,$B$8,1))=EG$13), 1*(_xlfn._xlws.FILTER(OFFSET($O$15,0,$DO195,$B$8,1),OFFSET($M$15,0,0,$B$8,1))=EG$14))   /   SUM(OFFSET($BO$15,0,0,$B$14,1)) + $B$18/($B$19*$B$19*($DN195&lt;&gt;$DO195) + $B$19*($DN195=$DO195))</f>
        <v>3.3333333333333331E-3</v>
      </c>
      <c r="EH195" s="10" cm="1">
        <f t="array" aca="1" ref="EH195" ca="1">(1-$B$18)*SUMPRODUCT(OFFSET($BO$15,0,0,$B$14,1), 1*(_xlfn._xlws.FILTER(OFFSET($O$15,0,$DN195,$B$8,1),OFFSET($M$15,0,0,$B$8,1))=EH$13), 1*(_xlfn._xlws.FILTER(OFFSET($O$15,0,$DO195,$B$8,1),OFFSET($M$15,0,0,$B$8,1))=EH$14))   /   SUM(OFFSET($BO$15,0,0,$B$14,1)) + $B$18/($B$19*$B$19*($DN195&lt;&gt;$DO195) + $B$19*($DN195=$DO195))</f>
        <v>3.3333333333333331E-3</v>
      </c>
      <c r="EI195" s="10" cm="1">
        <f t="array" aca="1" ref="EI195" ca="1">(1-$B$18)*SUMPRODUCT(OFFSET($BO$15,0,0,$B$14,1), 1*(_xlfn._xlws.FILTER(OFFSET($O$15,0,$DN195,$B$8,1),OFFSET($M$15,0,0,$B$8,1))=EI$13), 1*(_xlfn._xlws.FILTER(OFFSET($O$15,0,$DO195,$B$8,1),OFFSET($M$15,0,0,$B$8,1))=EI$14))   /   SUM(OFFSET($BO$15,0,0,$B$14,1)) + $B$18/($B$19*$B$19*($DN195&lt;&gt;$DO195) + $B$19*($DN195=$DO195))</f>
        <v>3.3333333333333331E-3</v>
      </c>
      <c r="EJ195" s="10" cm="1">
        <f t="array" aca="1" ref="EJ195" ca="1">(1-$B$18)*SUMPRODUCT(OFFSET($BO$15,0,0,$B$14,1), 1*(_xlfn._xlws.FILTER(OFFSET($O$15,0,$DN195,$B$8,1),OFFSET($M$15,0,0,$B$8,1))=EJ$13), 1*(_xlfn._xlws.FILTER(OFFSET($O$15,0,$DO195,$B$8,1),OFFSET($M$15,0,0,$B$8,1))=EJ$14))   /   SUM(OFFSET($BO$15,0,0,$B$14,1)) + $B$18/($B$19*$B$19*($DN195&lt;&gt;$DO195) + $B$19*($DN195=$DO195))</f>
        <v>3.3333333333333331E-3</v>
      </c>
      <c r="EK195" s="10" cm="1">
        <f t="array" aca="1" ref="EK195" ca="1">(1-$B$18)*SUMPRODUCT(OFFSET($BO$15,0,0,$B$14,1), 1*(_xlfn._xlws.FILTER(OFFSET($O$15,0,$DN195,$B$8,1),OFFSET($M$15,0,0,$B$8,1))=EK$13), 1*(_xlfn._xlws.FILTER(OFFSET($O$15,0,$DO195,$B$8,1),OFFSET($M$15,0,0,$B$8,1))=EK$14))   /   SUM(OFFSET($BO$15,0,0,$B$14,1)) + $B$18/($B$19*$B$19*($DN195&lt;&gt;$DO195) + $B$19*($DN195=$DO195))</f>
        <v>3.3333333333333331E-3</v>
      </c>
      <c r="EL195" s="10" cm="1">
        <f t="array" aca="1" ref="EL195" ca="1">(1-$B$18)*SUMPRODUCT(OFFSET($BO$15,0,0,$B$14,1), 1*(_xlfn._xlws.FILTER(OFFSET($O$15,0,$DN195,$B$8,1),OFFSET($M$15,0,0,$B$8,1))=EL$13), 1*(_xlfn._xlws.FILTER(OFFSET($O$15,0,$DO195,$B$8,1),OFFSET($M$15,0,0,$B$8,1))=EL$14))   /   SUM(OFFSET($BO$15,0,0,$B$14,1)) + $B$18/($B$19*$B$19*($DN195&lt;&gt;$DO195) + $B$19*($DN195=$DO195))</f>
        <v>3.3333333333333331E-3</v>
      </c>
      <c r="EM195" s="10" cm="1">
        <f t="array" aca="1" ref="EM195" ca="1">(1-$B$18)*SUMPRODUCT(OFFSET($BO$15,0,0,$B$14,1), 1*(_xlfn._xlws.FILTER(OFFSET($O$15,0,$DN195,$B$8,1),OFFSET($M$15,0,0,$B$8,1))=EM$13), 1*(_xlfn._xlws.FILTER(OFFSET($O$15,0,$DO195,$B$8,1),OFFSET($M$15,0,0,$B$8,1))=EM$14))   /   SUM(OFFSET($BO$15,0,0,$B$14,1)) + $B$18/($B$19*$B$19*($DN195&lt;&gt;$DO195) + $B$19*($DN195=$DO195))</f>
        <v>3.3333333333333331E-3</v>
      </c>
      <c r="EN195" s="10" cm="1">
        <f t="array" aca="1" ref="EN195" ca="1">(1-$B$18)*SUMPRODUCT(OFFSET($BO$15,0,0,$B$14,1), 1*(_xlfn._xlws.FILTER(OFFSET($O$15,0,$DN195,$B$8,1),OFFSET($M$15,0,0,$B$8,1))=EN$13), 1*(_xlfn._xlws.FILTER(OFFSET($O$15,0,$DO195,$B$8,1),OFFSET($M$15,0,0,$B$8,1))=EN$14))   /   SUM(OFFSET($BO$15,0,0,$B$14,1)) + $B$18/($B$19*$B$19*($DN195&lt;&gt;$DO195) + $B$19*($DN195=$DO195))</f>
        <v>3.3333333333333331E-3</v>
      </c>
      <c r="EO195" s="10" cm="1">
        <f t="array" aca="1" ref="EO195" ca="1">(1-$B$18)*SUMPRODUCT(OFFSET($BO$15,0,0,$B$14,1), 1*(_xlfn._xlws.FILTER(OFFSET($O$15,0,$DN195,$B$8,1),OFFSET($M$15,0,0,$B$8,1))=EO$13), 1*(_xlfn._xlws.FILTER(OFFSET($O$15,0,$DO195,$B$8,1),OFFSET($M$15,0,0,$B$8,1))=EO$14))   /   SUM(OFFSET($BO$15,0,0,$B$14,1)) + $B$18/($B$19*$B$19*($DN195&lt;&gt;$DO195) + $B$19*($DN195=$DO195))</f>
        <v>3.3333333333333331E-3</v>
      </c>
      <c r="EP195" s="10" cm="1">
        <f t="array" aca="1" ref="EP195" ca="1">(1-$B$18)*SUMPRODUCT(OFFSET($BO$15,0,0,$B$14,1), 1*(_xlfn._xlws.FILTER(OFFSET($O$15,0,$DN195,$B$8,1),OFFSET($M$15,0,0,$B$8,1))=EP$13), 1*(_xlfn._xlws.FILTER(OFFSET($O$15,0,$DO195,$B$8,1),OFFSET($M$15,0,0,$B$8,1))=EP$14))   /   SUM(OFFSET($BO$15,0,0,$B$14,1)) + $B$18/($B$19*$B$19*($DN195&lt;&gt;$DO195) + $B$19*($DN195=$DO195))</f>
        <v>3.3333333333333331E-3</v>
      </c>
      <c r="EQ195" s="10" cm="1">
        <f t="array" aca="1" ref="EQ195" ca="1">(1-$B$18)*SUMPRODUCT(OFFSET($BO$15,0,0,$B$14,1), 1*(_xlfn._xlws.FILTER(OFFSET($O$15,0,$DN195,$B$8,1),OFFSET($M$15,0,0,$B$8,1))=EQ$13), 1*(_xlfn._xlws.FILTER(OFFSET($O$15,0,$DO195,$B$8,1),OFFSET($M$15,0,0,$B$8,1))=EQ$14))   /   SUM(OFFSET($BO$15,0,0,$B$14,1)) + $B$18/($B$19*$B$19*($DN195&lt;&gt;$DO195) + $B$19*($DN195=$DO195))</f>
        <v>3.3333333333333331E-3</v>
      </c>
      <c r="ER195" s="10" cm="1">
        <f t="array" aca="1" ref="ER195" ca="1">(1-$B$18)*SUMPRODUCT(OFFSET($BO$15,0,0,$B$14,1), 1*(_xlfn._xlws.FILTER(OFFSET($O$15,0,$DN195,$B$8,1),OFFSET($M$15,0,0,$B$8,1))=ER$13), 1*(_xlfn._xlws.FILTER(OFFSET($O$15,0,$DO195,$B$8,1),OFFSET($M$15,0,0,$B$8,1))=ER$14))   /   SUM(OFFSET($BO$15,0,0,$B$14,1)) + $B$18/($B$19*$B$19*($DN195&lt;&gt;$DO195) + $B$19*($DN195=$DO195))</f>
        <v>3.3333333333333331E-3</v>
      </c>
      <c r="ES195" s="10" cm="1">
        <f t="array" aca="1" ref="ES195" ca="1">(1-$B$18)*SUMPRODUCT(OFFSET($BO$15,0,0,$B$14,1), 1*(_xlfn._xlws.FILTER(OFFSET($O$15,0,$DN195,$B$8,1),OFFSET($M$15,0,0,$B$8,1))=ES$13), 1*(_xlfn._xlws.FILTER(OFFSET($O$15,0,$DO195,$B$8,1),OFFSET($M$15,0,0,$B$8,1))=ES$14))   /   SUM(OFFSET($BO$15,0,0,$B$14,1)) + $B$18/($B$19*$B$19*($DN195&lt;&gt;$DO195) + $B$19*($DN195=$DO195))</f>
        <v>3.3333333333333331E-3</v>
      </c>
      <c r="ET195" s="10" cm="1">
        <f t="array" aca="1" ref="ET195" ca="1">(1-$B$18)*SUMPRODUCT(OFFSET($BO$15,0,0,$B$14,1), 1*(_xlfn._xlws.FILTER(OFFSET($O$15,0,$DN195,$B$8,1),OFFSET($M$15,0,0,$B$8,1))=ET$13), 1*(_xlfn._xlws.FILTER(OFFSET($O$15,0,$DO195,$B$8,1),OFFSET($M$15,0,0,$B$8,1))=ET$14))   /   SUM(OFFSET($BO$15,0,0,$B$14,1)) + $B$18/($B$19*$B$19*($DN195&lt;&gt;$DO195) + $B$19*($DN195=$DO195))</f>
        <v>3.3333333333333331E-3</v>
      </c>
      <c r="EU195" s="10" cm="1">
        <f t="array" aca="1" ref="EU195" ca="1">(1-$B$18)*SUMPRODUCT(OFFSET($BO$15,0,0,$B$14,1), 1*(_xlfn._xlws.FILTER(OFFSET($O$15,0,$DN195,$B$8,1),OFFSET($M$15,0,0,$B$8,1))=EU$13), 1*(_xlfn._xlws.FILTER(OFFSET($O$15,0,$DO195,$B$8,1),OFFSET($M$15,0,0,$B$8,1))=EU$14))   /   SUM(OFFSET($BO$15,0,0,$B$14,1)) + $B$18/($B$19*$B$19*($DN195&lt;&gt;$DO195) + $B$19*($DN195=$DO195))</f>
        <v>3.3333333333333331E-3</v>
      </c>
      <c r="EV195" s="10" cm="1">
        <f t="array" aca="1" ref="EV195" ca="1">(1-$B$18)*SUMPRODUCT(OFFSET($BO$15,0,0,$B$14,1), 1*(_xlfn._xlws.FILTER(OFFSET($O$15,0,$DN195,$B$8,1),OFFSET($M$15,0,0,$B$8,1))=EV$13), 1*(_xlfn._xlws.FILTER(OFFSET($O$15,0,$DO195,$B$8,1),OFFSET($M$15,0,0,$B$8,1))=EV$14))   /   SUM(OFFSET($BO$15,0,0,$B$14,1)) + $B$18/($B$19*$B$19*($DN195&lt;&gt;$DO195) + $B$19*($DN195=$DO195))</f>
        <v>3.3333333333333331E-3</v>
      </c>
      <c r="EW195" s="10" cm="1">
        <f t="array" aca="1" ref="EW195" ca="1">(1-$B$18)*SUMPRODUCT(OFFSET($BO$15,0,0,$B$14,1), 1*(_xlfn._xlws.FILTER(OFFSET($O$15,0,$DN195,$B$8,1),OFFSET($M$15,0,0,$B$8,1))=EW$13), 1*(_xlfn._xlws.FILTER(OFFSET($O$15,0,$DO195,$B$8,1),OFFSET($M$15,0,0,$B$8,1))=EW$14))   /   SUM(OFFSET($BO$15,0,0,$B$14,1)) + $B$18/($B$19*$B$19*($DN195&lt;&gt;$DO195) + $B$19*($DN195=$DO195))</f>
        <v>3.3333333333333331E-3</v>
      </c>
      <c r="EX195" s="10" cm="1">
        <f t="array" aca="1" ref="EX195" ca="1">(1-$B$18)*SUMPRODUCT(OFFSET($BO$15,0,0,$B$14,1), 1*(_xlfn._xlws.FILTER(OFFSET($O$15,0,$DN195,$B$8,1),OFFSET($M$15,0,0,$B$8,1))=EX$13), 1*(_xlfn._xlws.FILTER(OFFSET($O$15,0,$DO195,$B$8,1),OFFSET($M$15,0,0,$B$8,1))=EX$14))   /   SUM(OFFSET($BO$15,0,0,$B$14,1)) + $B$18/($B$19*$B$19*($DN195&lt;&gt;$DO195) + $B$19*($DN195=$DO195))</f>
        <v>3.3333333333333331E-3</v>
      </c>
      <c r="EY195" s="10" cm="1">
        <f t="array" aca="1" ref="EY195" ca="1">(1-$B$18)*SUMPRODUCT(OFFSET($BO$15,0,0,$B$14,1), 1*(_xlfn._xlws.FILTER(OFFSET($O$15,0,$DN195,$B$8,1),OFFSET($M$15,0,0,$B$8,1))=EY$13), 1*(_xlfn._xlws.FILTER(OFFSET($O$15,0,$DO195,$B$8,1),OFFSET($M$15,0,0,$B$8,1))=EY$14))   /   SUM(OFFSET($BO$15,0,0,$B$14,1)) + $B$18/($B$19*$B$19*($DN195&lt;&gt;$DO195) + $B$19*($DN195=$DO195))</f>
        <v>3.3333333333333331E-3</v>
      </c>
      <c r="EZ195" s="10" cm="1">
        <f t="array" aca="1" ref="EZ195" ca="1">(1-$B$18)*SUMPRODUCT(OFFSET($BO$15,0,0,$B$14,1), 1*(_xlfn._xlws.FILTER(OFFSET($O$15,0,$DN195,$B$8,1),OFFSET($M$15,0,0,$B$8,1))=EZ$13), 1*(_xlfn._xlws.FILTER(OFFSET($O$15,0,$DO195,$B$8,1),OFFSET($M$15,0,0,$B$8,1))=EZ$14))   /   SUM(OFFSET($BO$15,0,0,$B$14,1)) + $B$18/($B$19*$B$19*($DN195&lt;&gt;$DO195) + $B$19*($DN195=$DO195))</f>
        <v>3.3333333333333331E-3</v>
      </c>
      <c r="FA195" s="10" cm="1">
        <f t="array" aca="1" ref="FA195" ca="1">(1-$B$18)*SUMPRODUCT(OFFSET($BO$15,0,0,$B$14,1), 1*(_xlfn._xlws.FILTER(OFFSET($O$15,0,$DN195,$B$8,1),OFFSET($M$15,0,0,$B$8,1))=FA$13), 1*(_xlfn._xlws.FILTER(OFFSET($O$15,0,$DO195,$B$8,1),OFFSET($M$15,0,0,$B$8,1))=FA$14))   /   SUM(OFFSET($BO$15,0,0,$B$14,1)) + $B$18/($B$19*$B$19*($DN195&lt;&gt;$DO195) + $B$19*($DN195=$DO195))</f>
        <v>3.3333333333333331E-3</v>
      </c>
      <c r="FB195" s="10" cm="1">
        <f t="array" aca="1" ref="FB195" ca="1">(1-$B$18)*SUMPRODUCT(OFFSET($BO$15,0,0,$B$14,1), 1*(_xlfn._xlws.FILTER(OFFSET($O$15,0,$DN195,$B$8,1),OFFSET($M$15,0,0,$B$8,1))=FB$13), 1*(_xlfn._xlws.FILTER(OFFSET($O$15,0,$DO195,$B$8,1),OFFSET($M$15,0,0,$B$8,1))=FB$14))   /   SUM(OFFSET($BO$15,0,0,$B$14,1)) + $B$18/($B$19*$B$19*($DN195&lt;&gt;$DO195) + $B$19*($DN195=$DO195))</f>
        <v>3.3333333333333331E-3</v>
      </c>
      <c r="FC195" s="10" cm="1">
        <f t="array" aca="1" ref="FC195" ca="1">(1-$B$18)*SUMPRODUCT(OFFSET($BO$15,0,0,$B$14,1), 1*(_xlfn._xlws.FILTER(OFFSET($O$15,0,$DN195,$B$8,1),OFFSET($M$15,0,0,$B$8,1))=FC$13), 1*(_xlfn._xlws.FILTER(OFFSET($O$15,0,$DO195,$B$8,1),OFFSET($M$15,0,0,$B$8,1))=FC$14))   /   SUM(OFFSET($BO$15,0,0,$B$14,1)) + $B$18/($B$19*$B$19*($DN195&lt;&gt;$DO195) + $B$19*($DN195=$DO195))</f>
        <v>3.3333333333333331E-3</v>
      </c>
      <c r="FD195" s="10" cm="1">
        <f t="array" aca="1" ref="FD195" ca="1">(1-$B$18)*SUMPRODUCT(OFFSET($BO$15,0,0,$B$14,1), 1*(_xlfn._xlws.FILTER(OFFSET($O$15,0,$DN195,$B$8,1),OFFSET($M$15,0,0,$B$8,1))=FD$13), 1*(_xlfn._xlws.FILTER(OFFSET($O$15,0,$DO195,$B$8,1),OFFSET($M$15,0,0,$B$8,1))=FD$14))   /   SUM(OFFSET($BO$15,0,0,$B$14,1)) + $B$18/($B$19*$B$19*($DN195&lt;&gt;$DO195) + $B$19*($DN195=$DO195))</f>
        <v>3.3333333333333331E-3</v>
      </c>
      <c r="FE195" s="10" cm="1">
        <f t="array" aca="1" ref="FE195" ca="1">(1-$B$18)*SUMPRODUCT(OFFSET($BO$15,0,0,$B$14,1), 1*(_xlfn._xlws.FILTER(OFFSET($O$15,0,$DN195,$B$8,1),OFFSET($M$15,0,0,$B$8,1))=FE$13), 1*(_xlfn._xlws.FILTER(OFFSET($O$15,0,$DO195,$B$8,1),OFFSET($M$15,0,0,$B$8,1))=FE$14))   /   SUM(OFFSET($BO$15,0,0,$B$14,1)) + $B$18/($B$19*$B$19*($DN195&lt;&gt;$DO195) + $B$19*($DN195=$DO195))</f>
        <v>3.3333333333333331E-3</v>
      </c>
      <c r="FF195" s="10" cm="1">
        <f t="array" aca="1" ref="FF195" ca="1">(1-$B$18)*SUMPRODUCT(OFFSET($BO$15,0,0,$B$14,1), 1*(_xlfn._xlws.FILTER(OFFSET($O$15,0,$DN195,$B$8,1),OFFSET($M$15,0,0,$B$8,1))=FF$13), 1*(_xlfn._xlws.FILTER(OFFSET($O$15,0,$DO195,$B$8,1),OFFSET($M$15,0,0,$B$8,1))=FF$14))   /   SUM(OFFSET($BO$15,0,0,$B$14,1)) + $B$18/($B$19*$B$19*($DN195&lt;&gt;$DO195) + $B$19*($DN195=$DO195))</f>
        <v>3.3333333333333331E-3</v>
      </c>
      <c r="FG195" s="10" cm="1">
        <f t="array" aca="1" ref="FG195" ca="1">(1-$B$18)*SUMPRODUCT(OFFSET($BO$15,0,0,$B$14,1), 1*(_xlfn._xlws.FILTER(OFFSET($O$15,0,$DN195,$B$8,1),OFFSET($M$15,0,0,$B$8,1))=FG$13), 1*(_xlfn._xlws.FILTER(OFFSET($O$15,0,$DO195,$B$8,1),OFFSET($M$15,0,0,$B$8,1))=FG$14))   /   SUM(OFFSET($BO$15,0,0,$B$14,1)) + $B$18/($B$19*$B$19*($DN195&lt;&gt;$DO195) + $B$19*($DN195=$DO195))</f>
        <v>3.3333333333333331E-3</v>
      </c>
      <c r="FH195" s="10" cm="1">
        <f t="array" aca="1" ref="FH195" ca="1">(1-$B$18)*SUMPRODUCT(OFFSET($BO$15,0,0,$B$14,1), 1*(_xlfn._xlws.FILTER(OFFSET($O$15,0,$DN195,$B$8,1),OFFSET($M$15,0,0,$B$8,1))=FH$13), 1*(_xlfn._xlws.FILTER(OFFSET($O$15,0,$DO195,$B$8,1),OFFSET($M$15,0,0,$B$8,1))=FH$14))   /   SUM(OFFSET($BO$15,0,0,$B$14,1)) + $B$18/($B$19*$B$19*($DN195&lt;&gt;$DO195) + $B$19*($DN195=$DO195))</f>
        <v>3.3333333333333331E-3</v>
      </c>
      <c r="FI195" s="10" cm="1">
        <f t="array" aca="1" ref="FI195" ca="1">(1-$B$18)*SUMPRODUCT(OFFSET($BO$15,0,0,$B$14,1), 1*(_xlfn._xlws.FILTER(OFFSET($O$15,0,$DN195,$B$8,1),OFFSET($M$15,0,0,$B$8,1))=FI$13), 1*(_xlfn._xlws.FILTER(OFFSET($O$15,0,$DO195,$B$8,1),OFFSET($M$15,0,0,$B$8,1))=FI$14))   /   SUM(OFFSET($BO$15,0,0,$B$14,1)) + $B$18/($B$19*$B$19*($DN195&lt;&gt;$DO195) + $B$19*($DN195=$DO195))</f>
        <v>3.3333333333333331E-3</v>
      </c>
      <c r="FJ195" s="10" cm="1">
        <f t="array" aca="1" ref="FJ195" ca="1">(1-$B$18)*SUMPRODUCT(OFFSET($BO$15,0,0,$B$14,1), 1*(_xlfn._xlws.FILTER(OFFSET($O$15,0,$DN195,$B$8,1),OFFSET($M$15,0,0,$B$8,1))=FJ$13), 1*(_xlfn._xlws.FILTER(OFFSET($O$15,0,$DO195,$B$8,1),OFFSET($M$15,0,0,$B$8,1))=FJ$14))   /   SUM(OFFSET($BO$15,0,0,$B$14,1)) + $B$18/($B$19*$B$19*($DN195&lt;&gt;$DO195) + $B$19*($DN195=$DO195))</f>
        <v>3.3333333333333331E-3</v>
      </c>
      <c r="FK195" s="10" cm="1">
        <f t="array" aca="1" ref="FK195" ca="1">(1-$B$18)*SUMPRODUCT(OFFSET($BO$15,0,0,$B$14,1), 1*(_xlfn._xlws.FILTER(OFFSET($O$15,0,$DN195,$B$8,1),OFFSET($M$15,0,0,$B$8,1))=FK$13), 1*(_xlfn._xlws.FILTER(OFFSET($O$15,0,$DO195,$B$8,1),OFFSET($M$15,0,0,$B$8,1))=FK$14))   /   SUM(OFFSET($BO$15,0,0,$B$14,1)) + $B$18/($B$19*$B$19*($DN195&lt;&gt;$DO195) + $B$19*($DN195=$DO195))</f>
        <v>3.3333333333333331E-3</v>
      </c>
      <c r="FL195" s="10" cm="1">
        <f t="array" aca="1" ref="FL195" ca="1">(1-$B$18)*SUMPRODUCT(OFFSET($BO$15,0,0,$B$14,1), 1*(_xlfn._xlws.FILTER(OFFSET($O$15,0,$DN195,$B$8,1),OFFSET($M$15,0,0,$B$8,1))=FL$13), 1*(_xlfn._xlws.FILTER(OFFSET($O$15,0,$DO195,$B$8,1),OFFSET($M$15,0,0,$B$8,1))=FL$14))   /   SUM(OFFSET($BO$15,0,0,$B$14,1)) + $B$18/($B$19*$B$19*($DN195&lt;&gt;$DO195) + $B$19*($DN195=$DO195))</f>
        <v>3.3333333333333331E-3</v>
      </c>
      <c r="FM195" s="10" cm="1">
        <f t="array" aca="1" ref="FM195" ca="1">(1-$B$18)*SUMPRODUCT(OFFSET($BO$15,0,0,$B$14,1), 1*(_xlfn._xlws.FILTER(OFFSET($O$15,0,$DN195,$B$8,1),OFFSET($M$15,0,0,$B$8,1))=FM$13), 1*(_xlfn._xlws.FILTER(OFFSET($O$15,0,$DO195,$B$8,1),OFFSET($M$15,0,0,$B$8,1))=FM$14))   /   SUM(OFFSET($BO$15,0,0,$B$14,1)) + $B$18/($B$19*$B$19*($DN195&lt;&gt;$DO195) + $B$19*($DN195=$DO195))</f>
        <v>3.3333333333333331E-3</v>
      </c>
      <c r="FN195" s="10" cm="1">
        <f t="array" aca="1" ref="FN195" ca="1">(1-$B$18)*SUMPRODUCT(OFFSET($BO$15,0,0,$B$14,1), 1*(_xlfn._xlws.FILTER(OFFSET($O$15,0,$DN195,$B$8,1),OFFSET($M$15,0,0,$B$8,1))=FN$13), 1*(_xlfn._xlws.FILTER(OFFSET($O$15,0,$DO195,$B$8,1),OFFSET($M$15,0,0,$B$8,1))=FN$14))   /   SUM(OFFSET($BO$15,0,0,$B$14,1)) + $B$18/($B$19*$B$19*($DN195&lt;&gt;$DO195) + $B$19*($DN195=$DO195))</f>
        <v>3.3333333333333331E-3</v>
      </c>
      <c r="FO195" s="10" cm="1">
        <f t="array" aca="1" ref="FO195" ca="1">(1-$B$18)*SUMPRODUCT(OFFSET($BO$15,0,0,$B$14,1), 1*(_xlfn._xlws.FILTER(OFFSET($O$15,0,$DN195,$B$8,1),OFFSET($M$15,0,0,$B$8,1))=FO$13), 1*(_xlfn._xlws.FILTER(OFFSET($O$15,0,$DO195,$B$8,1),OFFSET($M$15,0,0,$B$8,1))=FO$14))   /   SUM(OFFSET($BO$15,0,0,$B$14,1)) + $B$18/($B$19*$B$19*($DN195&lt;&gt;$DO195) + $B$19*($DN195=$DO195))</f>
        <v>3.3333333333333331E-3</v>
      </c>
      <c r="FP195" s="10" cm="1">
        <f t="array" aca="1" ref="FP195" ca="1">(1-$B$18)*SUMPRODUCT(OFFSET($BO$15,0,0,$B$14,1), 1*(_xlfn._xlws.FILTER(OFFSET($O$15,0,$DN195,$B$8,1),OFFSET($M$15,0,0,$B$8,1))=FP$13), 1*(_xlfn._xlws.FILTER(OFFSET($O$15,0,$DO195,$B$8,1),OFFSET($M$15,0,0,$B$8,1))=FP$14))   /   SUM(OFFSET($BO$15,0,0,$B$14,1)) + $B$18/($B$19*$B$19*($DN195&lt;&gt;$DO195) + $B$19*($DN195=$DO195))</f>
        <v>3.3333333333333331E-3</v>
      </c>
      <c r="FQ195" s="10" cm="1">
        <f t="array" aca="1" ref="FQ195" ca="1">(1-$B$18)*SUMPRODUCT(OFFSET($BO$15,0,0,$B$14,1), 1*(_xlfn._xlws.FILTER(OFFSET($O$15,0,$DN195,$B$8,1),OFFSET($M$15,0,0,$B$8,1))=FQ$13), 1*(_xlfn._xlws.FILTER(OFFSET($O$15,0,$DO195,$B$8,1),OFFSET($M$15,0,0,$B$8,1))=FQ$14))   /   SUM(OFFSET($BO$15,0,0,$B$14,1)) + $B$18/($B$19*$B$19*($DN195&lt;&gt;$DO195) + $B$19*($DN195=$DO195))</f>
        <v>3.3333333333333331E-3</v>
      </c>
      <c r="FR195" s="10" cm="1">
        <f t="array" aca="1" ref="FR195" ca="1">(1-$B$18)*SUMPRODUCT(OFFSET($BO$15,0,0,$B$14,1), 1*(_xlfn._xlws.FILTER(OFFSET($O$15,0,$DN195,$B$8,1),OFFSET($M$15,0,0,$B$8,1))=FR$13), 1*(_xlfn._xlws.FILTER(OFFSET($O$15,0,$DO195,$B$8,1),OFFSET($M$15,0,0,$B$8,1))=FR$14))   /   SUM(OFFSET($BO$15,0,0,$B$14,1)) + $B$18/($B$19*$B$19*($DN195&lt;&gt;$DO195) + $B$19*($DN195=$DO195))</f>
        <v>0.97333333333333327</v>
      </c>
      <c r="FS195" s="10" cm="1">
        <f t="array" aca="1" ref="FS195" ca="1">(1-$B$18)*SUMPRODUCT(OFFSET($BO$15,0,0,$B$14,1), 1*(_xlfn._xlws.FILTER(OFFSET($O$15,0,$DN195,$B$8,1),OFFSET($M$15,0,0,$B$8,1))=FS$13), 1*(_xlfn._xlws.FILTER(OFFSET($O$15,0,$DO195,$B$8,1),OFFSET($M$15,0,0,$B$8,1))=FS$14))   /   SUM(OFFSET($BO$15,0,0,$B$14,1)) + $B$18/($B$19*$B$19*($DN195&lt;&gt;$DO195) + $B$19*($DN195=$DO195))</f>
        <v>3.3333333333333331E-3</v>
      </c>
      <c r="FT195" s="10" cm="1">
        <f t="array" aca="1" ref="FT195" ca="1">(1-$B$18)*SUMPRODUCT(OFFSET($BO$15,0,0,$B$14,1), 1*(_xlfn._xlws.FILTER(OFFSET($O$15,0,$DN195,$B$8,1),OFFSET($M$15,0,0,$B$8,1))=FT$13), 1*(_xlfn._xlws.FILTER(OFFSET($O$15,0,$DO195,$B$8,1),OFFSET($M$15,0,0,$B$8,1))=FT$14))   /   SUM(OFFSET($BO$15,0,0,$B$14,1)) + $B$18/($B$19*$B$19*($DN195&lt;&gt;$DO195) + $B$19*($DN195=$DO195))</f>
        <v>3.3333333333333331E-3</v>
      </c>
      <c r="FU195" s="10" cm="1">
        <f t="array" aca="1" ref="FU195" ca="1">(1-$B$18)*SUMPRODUCT(OFFSET($BO$15,0,0,$B$14,1), 1*(_xlfn._xlws.FILTER(OFFSET($O$15,0,$DN195,$B$8,1),OFFSET($M$15,0,0,$B$8,1))=FU$13), 1*(_xlfn._xlws.FILTER(OFFSET($O$15,0,$DO195,$B$8,1),OFFSET($M$15,0,0,$B$8,1))=FU$14))   /   SUM(OFFSET($BO$15,0,0,$B$14,1)) + $B$18/($B$19*$B$19*($DN195&lt;&gt;$DO195) + $B$19*($DN195=$DO195))</f>
        <v>3.3333333333333331E-3</v>
      </c>
      <c r="FV195" s="10" cm="1">
        <f t="array" aca="1" ref="FV195" ca="1">(1-$B$18)*SUMPRODUCT(OFFSET($BO$15,0,0,$B$14,1), 1*(_xlfn._xlws.FILTER(OFFSET($O$15,0,$DN195,$B$8,1),OFFSET($M$15,0,0,$B$8,1))=FV$13), 1*(_xlfn._xlws.FILTER(OFFSET($O$15,0,$DO195,$B$8,1),OFFSET($M$15,0,0,$B$8,1))=FV$14))   /   SUM(OFFSET($BO$15,0,0,$B$14,1)) + $B$18/($B$19*$B$19*($DN195&lt;&gt;$DO195) + $B$19*($DN195=$DO195))</f>
        <v>3.3333333333333331E-3</v>
      </c>
      <c r="FW195" s="10" cm="1">
        <f t="array" aca="1" ref="FW195" ca="1">(1-$B$18)*SUMPRODUCT(OFFSET($BO$15,0,0,$B$14,1), 1*(_xlfn._xlws.FILTER(OFFSET($O$15,0,$DN195,$B$8,1),OFFSET($M$15,0,0,$B$8,1))=FW$13), 1*(_xlfn._xlws.FILTER(OFFSET($O$15,0,$DO195,$B$8,1),OFFSET($M$15,0,0,$B$8,1))=FW$14))   /   SUM(OFFSET($BO$15,0,0,$B$14,1)) + $B$18/($B$19*$B$19*($DN195&lt;&gt;$DO195) + $B$19*($DN195=$DO195))</f>
        <v>3.3333333333333331E-3</v>
      </c>
      <c r="FX195" s="10" cm="1">
        <f t="array" aca="1" ref="FX195" ca="1">(1-$B$18)*SUMPRODUCT(OFFSET($BO$15,0,0,$B$14,1), 1*(_xlfn._xlws.FILTER(OFFSET($O$15,0,$DN195,$B$8,1),OFFSET($M$15,0,0,$B$8,1))=FX$13), 1*(_xlfn._xlws.FILTER(OFFSET($O$15,0,$DO195,$B$8,1),OFFSET($M$15,0,0,$B$8,1))=FX$14))   /   SUM(OFFSET($BO$15,0,0,$B$14,1)) + $B$18/($B$19*$B$19*($DN195&lt;&gt;$DO195) + $B$19*($DN195=$DO195))</f>
        <v>3.3333333333333331E-3</v>
      </c>
      <c r="FY195" s="10" cm="1">
        <f t="array" aca="1" ref="FY195" ca="1">(1-$B$18)*SUMPRODUCT(OFFSET($BO$15,0,0,$B$14,1), 1*(_xlfn._xlws.FILTER(OFFSET($O$15,0,$DN195,$B$8,1),OFFSET($M$15,0,0,$B$8,1))=FY$13), 1*(_xlfn._xlws.FILTER(OFFSET($O$15,0,$DO195,$B$8,1),OFFSET($M$15,0,0,$B$8,1))=FY$14))   /   SUM(OFFSET($BO$15,0,0,$B$14,1)) + $B$18/($B$19*$B$19*($DN195&lt;&gt;$DO195) + $B$19*($DN195=$DO195))</f>
        <v>3.3333333333333331E-3</v>
      </c>
      <c r="FZ195" s="10" cm="1">
        <f t="array" aca="1" ref="FZ195" ca="1">(1-$B$18)*SUMPRODUCT(OFFSET($BO$15,0,0,$B$14,1), 1*(_xlfn._xlws.FILTER(OFFSET($O$15,0,$DN195,$B$8,1),OFFSET($M$15,0,0,$B$8,1))=FZ$13), 1*(_xlfn._xlws.FILTER(OFFSET($O$15,0,$DO195,$B$8,1),OFFSET($M$15,0,0,$B$8,1))=FZ$14))   /   SUM(OFFSET($BO$15,0,0,$B$14,1)) + $B$18/($B$19*$B$19*($DN195&lt;&gt;$DO195) + $B$19*($DN195=$DO195))</f>
        <v>3.3333333333333331E-3</v>
      </c>
      <c r="GA195" s="10" cm="1">
        <f t="array" aca="1" ref="GA195" ca="1">(1-$B$18)*SUMPRODUCT(OFFSET($BO$15,0,0,$B$14,1), 1*(_xlfn._xlws.FILTER(OFFSET($O$15,0,$DN195,$B$8,1),OFFSET($M$15,0,0,$B$8,1))=GA$13), 1*(_xlfn._xlws.FILTER(OFFSET($O$15,0,$DO195,$B$8,1),OFFSET($M$15,0,0,$B$8,1))=GA$14))   /   SUM(OFFSET($BO$15,0,0,$B$14,1)) + $B$18/($B$19*$B$19*($DN195&lt;&gt;$DO195) + $B$19*($DN195=$DO195))</f>
        <v>3.3333333333333331E-3</v>
      </c>
    </row>
    <row r="196" spans="118:183" x14ac:dyDescent="0.2">
      <c r="DN196" cm="1">
        <f t="array" aca="1" ref="DN196" ca="1">INDEX(_xlfn.ANCHORARRAY($CP$15), 1 + INT((ROWS($DO$15:$DO196) - 1) / ROWS(_xlfn.ANCHORARRAY($CP$15))))</f>
        <v>9</v>
      </c>
      <c r="DO196" cm="1">
        <f t="array" aca="1" ref="DO196" ca="1">INDEX(_xlfn.ANCHORARRAY($CP$15),1+MOD(ROWS($DO$15:$DO196)-1,ROWS(_xlfn.ANCHORARRAY($CP$15))))</f>
        <v>11</v>
      </c>
      <c r="DP196" s="10" cm="1">
        <f t="array" aca="1" ref="DP196" ca="1">(1-$B$18)*SUMPRODUCT(OFFSET($BO$15,0,0,$B$14,1), 1*(_xlfn._xlws.FILTER(OFFSET($O$15,0,$DN196,$B$8,1),OFFSET($M$15,0,0,$B$8,1))=DP$13), 1*(_xlfn._xlws.FILTER(OFFSET($O$15,0,$DO196,$B$8,1),OFFSET($M$15,0,0,$B$8,1))=DP$14))   /   SUM(OFFSET($BO$15,0,0,$B$14,1)) + $B$18/($B$19*$B$19*($DN196&lt;&gt;$DO196) + $B$19*($DN196=$DO196))</f>
        <v>3.7037037037037035E-4</v>
      </c>
      <c r="DQ196" s="10" cm="1">
        <f t="array" aca="1" ref="DQ196" ca="1">(1-$B$18)*SUMPRODUCT(OFFSET($BO$15,0,0,$B$14,1), 1*(_xlfn._xlws.FILTER(OFFSET($O$15,0,$DN196,$B$8,1),OFFSET($M$15,0,0,$B$8,1))=DQ$13), 1*(_xlfn._xlws.FILTER(OFFSET($O$15,0,$DO196,$B$8,1),OFFSET($M$15,0,0,$B$8,1))=DQ$14))   /   SUM(OFFSET($BO$15,0,0,$B$14,1)) + $B$18/($B$19*$B$19*($DN196&lt;&gt;$DO196) + $B$19*($DN196=$DO196))</f>
        <v>3.7037037037037035E-4</v>
      </c>
      <c r="DR196" s="10" cm="1">
        <f t="array" aca="1" ref="DR196" ca="1">(1-$B$18)*SUMPRODUCT(OFFSET($BO$15,0,0,$B$14,1), 1*(_xlfn._xlws.FILTER(OFFSET($O$15,0,$DN196,$B$8,1),OFFSET($M$15,0,0,$B$8,1))=DR$13), 1*(_xlfn._xlws.FILTER(OFFSET($O$15,0,$DO196,$B$8,1),OFFSET($M$15,0,0,$B$8,1))=DR$14))   /   SUM(OFFSET($BO$15,0,0,$B$14,1)) + $B$18/($B$19*$B$19*($DN196&lt;&gt;$DO196) + $B$19*($DN196=$DO196))</f>
        <v>3.7037037037037035E-4</v>
      </c>
      <c r="DS196" s="10" cm="1">
        <f t="array" aca="1" ref="DS196" ca="1">(1-$B$18)*SUMPRODUCT(OFFSET($BO$15,0,0,$B$14,1), 1*(_xlfn._xlws.FILTER(OFFSET($O$15,0,$DN196,$B$8,1),OFFSET($M$15,0,0,$B$8,1))=DS$13), 1*(_xlfn._xlws.FILTER(OFFSET($O$15,0,$DO196,$B$8,1),OFFSET($M$15,0,0,$B$8,1))=DS$14))   /   SUM(OFFSET($BO$15,0,0,$B$14,1)) + $B$18/($B$19*$B$19*($DN196&lt;&gt;$DO196) + $B$19*($DN196=$DO196))</f>
        <v>3.7037037037037035E-4</v>
      </c>
      <c r="DT196" s="10" cm="1">
        <f t="array" aca="1" ref="DT196" ca="1">(1-$B$18)*SUMPRODUCT(OFFSET($BO$15,0,0,$B$14,1), 1*(_xlfn._xlws.FILTER(OFFSET($O$15,0,$DN196,$B$8,1),OFFSET($M$15,0,0,$B$8,1))=DT$13), 1*(_xlfn._xlws.FILTER(OFFSET($O$15,0,$DO196,$B$8,1),OFFSET($M$15,0,0,$B$8,1))=DT$14))   /   SUM(OFFSET($BO$15,0,0,$B$14,1)) + $B$18/($B$19*$B$19*($DN196&lt;&gt;$DO196) + $B$19*($DN196=$DO196))</f>
        <v>3.7037037037037035E-4</v>
      </c>
      <c r="DU196" s="10" cm="1">
        <f t="array" aca="1" ref="DU196" ca="1">(1-$B$18)*SUMPRODUCT(OFFSET($BO$15,0,0,$B$14,1), 1*(_xlfn._xlws.FILTER(OFFSET($O$15,0,$DN196,$B$8,1),OFFSET($M$15,0,0,$B$8,1))=DU$13), 1*(_xlfn._xlws.FILTER(OFFSET($O$15,0,$DO196,$B$8,1),OFFSET($M$15,0,0,$B$8,1))=DU$14))   /   SUM(OFFSET($BO$15,0,0,$B$14,1)) + $B$18/($B$19*$B$19*($DN196&lt;&gt;$DO196) + $B$19*($DN196=$DO196))</f>
        <v>3.7037037037037035E-4</v>
      </c>
      <c r="DV196" s="10" cm="1">
        <f t="array" aca="1" ref="DV196" ca="1">(1-$B$18)*SUMPRODUCT(OFFSET($BO$15,0,0,$B$14,1), 1*(_xlfn._xlws.FILTER(OFFSET($O$15,0,$DN196,$B$8,1),OFFSET($M$15,0,0,$B$8,1))=DV$13), 1*(_xlfn._xlws.FILTER(OFFSET($O$15,0,$DO196,$B$8,1),OFFSET($M$15,0,0,$B$8,1))=DV$14))   /   SUM(OFFSET($BO$15,0,0,$B$14,1)) + $B$18/($B$19*$B$19*($DN196&lt;&gt;$DO196) + $B$19*($DN196=$DO196))</f>
        <v>3.7037037037037035E-4</v>
      </c>
      <c r="DW196" s="10" cm="1">
        <f t="array" aca="1" ref="DW196" ca="1">(1-$B$18)*SUMPRODUCT(OFFSET($BO$15,0,0,$B$14,1), 1*(_xlfn._xlws.FILTER(OFFSET($O$15,0,$DN196,$B$8,1),OFFSET($M$15,0,0,$B$8,1))=DW$13), 1*(_xlfn._xlws.FILTER(OFFSET($O$15,0,$DO196,$B$8,1),OFFSET($M$15,0,0,$B$8,1))=DW$14))   /   SUM(OFFSET($BO$15,0,0,$B$14,1)) + $B$18/($B$19*$B$19*($DN196&lt;&gt;$DO196) + $B$19*($DN196=$DO196))</f>
        <v>3.7037037037037035E-4</v>
      </c>
      <c r="DX196" s="10" cm="1">
        <f t="array" aca="1" ref="DX196" ca="1">(1-$B$18)*SUMPRODUCT(OFFSET($BO$15,0,0,$B$14,1), 1*(_xlfn._xlws.FILTER(OFFSET($O$15,0,$DN196,$B$8,1),OFFSET($M$15,0,0,$B$8,1))=DX$13), 1*(_xlfn._xlws.FILTER(OFFSET($O$15,0,$DO196,$B$8,1),OFFSET($M$15,0,0,$B$8,1))=DX$14))   /   SUM(OFFSET($BO$15,0,0,$B$14,1)) + $B$18/($B$19*$B$19*($DN196&lt;&gt;$DO196) + $B$19*($DN196=$DO196))</f>
        <v>3.7037037037037035E-4</v>
      </c>
      <c r="DY196" s="10" cm="1">
        <f t="array" aca="1" ref="DY196" ca="1">(1-$B$18)*SUMPRODUCT(OFFSET($BO$15,0,0,$B$14,1), 1*(_xlfn._xlws.FILTER(OFFSET($O$15,0,$DN196,$B$8,1),OFFSET($M$15,0,0,$B$8,1))=DY$13), 1*(_xlfn._xlws.FILTER(OFFSET($O$15,0,$DO196,$B$8,1),OFFSET($M$15,0,0,$B$8,1))=DY$14))   /   SUM(OFFSET($BO$15,0,0,$B$14,1)) + $B$18/($B$19*$B$19*($DN196&lt;&gt;$DO196) + $B$19*($DN196=$DO196))</f>
        <v>3.7037037037037035E-4</v>
      </c>
      <c r="DZ196" s="10" cm="1">
        <f t="array" aca="1" ref="DZ196" ca="1">(1-$B$18)*SUMPRODUCT(OFFSET($BO$15,0,0,$B$14,1), 1*(_xlfn._xlws.FILTER(OFFSET($O$15,0,$DN196,$B$8,1),OFFSET($M$15,0,0,$B$8,1))=DZ$13), 1*(_xlfn._xlws.FILTER(OFFSET($O$15,0,$DO196,$B$8,1),OFFSET($M$15,0,0,$B$8,1))=DZ$14))   /   SUM(OFFSET($BO$15,0,0,$B$14,1)) + $B$18/($B$19*$B$19*($DN196&lt;&gt;$DO196) + $B$19*($DN196=$DO196))</f>
        <v>3.7037037037037035E-4</v>
      </c>
      <c r="EA196" s="10" cm="1">
        <f t="array" aca="1" ref="EA196" ca="1">(1-$B$18)*SUMPRODUCT(OFFSET($BO$15,0,0,$B$14,1), 1*(_xlfn._xlws.FILTER(OFFSET($O$15,0,$DN196,$B$8,1),OFFSET($M$15,0,0,$B$8,1))=EA$13), 1*(_xlfn._xlws.FILTER(OFFSET($O$15,0,$DO196,$B$8,1),OFFSET($M$15,0,0,$B$8,1))=EA$14))   /   SUM(OFFSET($BO$15,0,0,$B$14,1)) + $B$18/($B$19*$B$19*($DN196&lt;&gt;$DO196) + $B$19*($DN196=$DO196))</f>
        <v>3.7037037037037035E-4</v>
      </c>
      <c r="EB196" s="10" cm="1">
        <f t="array" aca="1" ref="EB196" ca="1">(1-$B$18)*SUMPRODUCT(OFFSET($BO$15,0,0,$B$14,1), 1*(_xlfn._xlws.FILTER(OFFSET($O$15,0,$DN196,$B$8,1),OFFSET($M$15,0,0,$B$8,1))=EB$13), 1*(_xlfn._xlws.FILTER(OFFSET($O$15,0,$DO196,$B$8,1),OFFSET($M$15,0,0,$B$8,1))=EB$14))   /   SUM(OFFSET($BO$15,0,0,$B$14,1)) + $B$18/($B$19*$B$19*($DN196&lt;&gt;$DO196) + $B$19*($DN196=$DO196))</f>
        <v>3.7037037037037035E-4</v>
      </c>
      <c r="EC196" s="10" cm="1">
        <f t="array" aca="1" ref="EC196" ca="1">(1-$B$18)*SUMPRODUCT(OFFSET($BO$15,0,0,$B$14,1), 1*(_xlfn._xlws.FILTER(OFFSET($O$15,0,$DN196,$B$8,1),OFFSET($M$15,0,0,$B$8,1))=EC$13), 1*(_xlfn._xlws.FILTER(OFFSET($O$15,0,$DO196,$B$8,1),OFFSET($M$15,0,0,$B$8,1))=EC$14))   /   SUM(OFFSET($BO$15,0,0,$B$14,1)) + $B$18/($B$19*$B$19*($DN196&lt;&gt;$DO196) + $B$19*($DN196=$DO196))</f>
        <v>3.7037037037037035E-4</v>
      </c>
      <c r="ED196" s="10" cm="1">
        <f t="array" aca="1" ref="ED196" ca="1">(1-$B$18)*SUMPRODUCT(OFFSET($BO$15,0,0,$B$14,1), 1*(_xlfn._xlws.FILTER(OFFSET($O$15,0,$DN196,$B$8,1),OFFSET($M$15,0,0,$B$8,1))=ED$13), 1*(_xlfn._xlws.FILTER(OFFSET($O$15,0,$DO196,$B$8,1),OFFSET($M$15,0,0,$B$8,1))=ED$14))   /   SUM(OFFSET($BO$15,0,0,$B$14,1)) + $B$18/($B$19*$B$19*($DN196&lt;&gt;$DO196) + $B$19*($DN196=$DO196))</f>
        <v>3.7037037037037035E-4</v>
      </c>
      <c r="EE196" s="10" cm="1">
        <f t="array" aca="1" ref="EE196" ca="1">(1-$B$18)*SUMPRODUCT(OFFSET($BO$15,0,0,$B$14,1), 1*(_xlfn._xlws.FILTER(OFFSET($O$15,0,$DN196,$B$8,1),OFFSET($M$15,0,0,$B$8,1))=EE$13), 1*(_xlfn._xlws.FILTER(OFFSET($O$15,0,$DO196,$B$8,1),OFFSET($M$15,0,0,$B$8,1))=EE$14))   /   SUM(OFFSET($BO$15,0,0,$B$14,1)) + $B$18/($B$19*$B$19*($DN196&lt;&gt;$DO196) + $B$19*($DN196=$DO196))</f>
        <v>3.7037037037037035E-4</v>
      </c>
      <c r="EF196" s="10" cm="1">
        <f t="array" aca="1" ref="EF196" ca="1">(1-$B$18)*SUMPRODUCT(OFFSET($BO$15,0,0,$B$14,1), 1*(_xlfn._xlws.FILTER(OFFSET($O$15,0,$DN196,$B$8,1),OFFSET($M$15,0,0,$B$8,1))=EF$13), 1*(_xlfn._xlws.FILTER(OFFSET($O$15,0,$DO196,$B$8,1),OFFSET($M$15,0,0,$B$8,1))=EF$14))   /   SUM(OFFSET($BO$15,0,0,$B$14,1)) + $B$18/($B$19*$B$19*($DN196&lt;&gt;$DO196) + $B$19*($DN196=$DO196))</f>
        <v>3.7037037037037035E-4</v>
      </c>
      <c r="EG196" s="10" cm="1">
        <f t="array" aca="1" ref="EG196" ca="1">(1-$B$18)*SUMPRODUCT(OFFSET($BO$15,0,0,$B$14,1), 1*(_xlfn._xlws.FILTER(OFFSET($O$15,0,$DN196,$B$8,1),OFFSET($M$15,0,0,$B$8,1))=EG$13), 1*(_xlfn._xlws.FILTER(OFFSET($O$15,0,$DO196,$B$8,1),OFFSET($M$15,0,0,$B$8,1))=EG$14))   /   SUM(OFFSET($BO$15,0,0,$B$14,1)) + $B$18/($B$19*$B$19*($DN196&lt;&gt;$DO196) + $B$19*($DN196=$DO196))</f>
        <v>3.7037037037037035E-4</v>
      </c>
      <c r="EH196" s="10" cm="1">
        <f t="array" aca="1" ref="EH196" ca="1">(1-$B$18)*SUMPRODUCT(OFFSET($BO$15,0,0,$B$14,1), 1*(_xlfn._xlws.FILTER(OFFSET($O$15,0,$DN196,$B$8,1),OFFSET($M$15,0,0,$B$8,1))=EH$13), 1*(_xlfn._xlws.FILTER(OFFSET($O$15,0,$DO196,$B$8,1),OFFSET($M$15,0,0,$B$8,1))=EH$14))   /   SUM(OFFSET($BO$15,0,0,$B$14,1)) + $B$18/($B$19*$B$19*($DN196&lt;&gt;$DO196) + $B$19*($DN196=$DO196))</f>
        <v>3.7037037037037035E-4</v>
      </c>
      <c r="EI196" s="10" cm="1">
        <f t="array" aca="1" ref="EI196" ca="1">(1-$B$18)*SUMPRODUCT(OFFSET($BO$15,0,0,$B$14,1), 1*(_xlfn._xlws.FILTER(OFFSET($O$15,0,$DN196,$B$8,1),OFFSET($M$15,0,0,$B$8,1))=EI$13), 1*(_xlfn._xlws.FILTER(OFFSET($O$15,0,$DO196,$B$8,1),OFFSET($M$15,0,0,$B$8,1))=EI$14))   /   SUM(OFFSET($BO$15,0,0,$B$14,1)) + $B$18/($B$19*$B$19*($DN196&lt;&gt;$DO196) + $B$19*($DN196=$DO196))</f>
        <v>3.7037037037037035E-4</v>
      </c>
      <c r="EJ196" s="10" cm="1">
        <f t="array" aca="1" ref="EJ196" ca="1">(1-$B$18)*SUMPRODUCT(OFFSET($BO$15,0,0,$B$14,1), 1*(_xlfn._xlws.FILTER(OFFSET($O$15,0,$DN196,$B$8,1),OFFSET($M$15,0,0,$B$8,1))=EJ$13), 1*(_xlfn._xlws.FILTER(OFFSET($O$15,0,$DO196,$B$8,1),OFFSET($M$15,0,0,$B$8,1))=EJ$14))   /   SUM(OFFSET($BO$15,0,0,$B$14,1)) + $B$18/($B$19*$B$19*($DN196&lt;&gt;$DO196) + $B$19*($DN196=$DO196))</f>
        <v>3.7037037037037035E-4</v>
      </c>
      <c r="EK196" s="10" cm="1">
        <f t="array" aca="1" ref="EK196" ca="1">(1-$B$18)*SUMPRODUCT(OFFSET($BO$15,0,0,$B$14,1), 1*(_xlfn._xlws.FILTER(OFFSET($O$15,0,$DN196,$B$8,1),OFFSET($M$15,0,0,$B$8,1))=EK$13), 1*(_xlfn._xlws.FILTER(OFFSET($O$15,0,$DO196,$B$8,1),OFFSET($M$15,0,0,$B$8,1))=EK$14))   /   SUM(OFFSET($BO$15,0,0,$B$14,1)) + $B$18/($B$19*$B$19*($DN196&lt;&gt;$DO196) + $B$19*($DN196=$DO196))</f>
        <v>3.7037037037037035E-4</v>
      </c>
      <c r="EL196" s="10" cm="1">
        <f t="array" aca="1" ref="EL196" ca="1">(1-$B$18)*SUMPRODUCT(OFFSET($BO$15,0,0,$B$14,1), 1*(_xlfn._xlws.FILTER(OFFSET($O$15,0,$DN196,$B$8,1),OFFSET($M$15,0,0,$B$8,1))=EL$13), 1*(_xlfn._xlws.FILTER(OFFSET($O$15,0,$DO196,$B$8,1),OFFSET($M$15,0,0,$B$8,1))=EL$14))   /   SUM(OFFSET($BO$15,0,0,$B$14,1)) + $B$18/($B$19*$B$19*($DN196&lt;&gt;$DO196) + $B$19*($DN196=$DO196))</f>
        <v>3.7037037037037035E-4</v>
      </c>
      <c r="EM196" s="10" cm="1">
        <f t="array" aca="1" ref="EM196" ca="1">(1-$B$18)*SUMPRODUCT(OFFSET($BO$15,0,0,$B$14,1), 1*(_xlfn._xlws.FILTER(OFFSET($O$15,0,$DN196,$B$8,1),OFFSET($M$15,0,0,$B$8,1))=EM$13), 1*(_xlfn._xlws.FILTER(OFFSET($O$15,0,$DO196,$B$8,1),OFFSET($M$15,0,0,$B$8,1))=EM$14))   /   SUM(OFFSET($BO$15,0,0,$B$14,1)) + $B$18/($B$19*$B$19*($DN196&lt;&gt;$DO196) + $B$19*($DN196=$DO196))</f>
        <v>3.7037037037037035E-4</v>
      </c>
      <c r="EN196" s="10" cm="1">
        <f t="array" aca="1" ref="EN196" ca="1">(1-$B$18)*SUMPRODUCT(OFFSET($BO$15,0,0,$B$14,1), 1*(_xlfn._xlws.FILTER(OFFSET($O$15,0,$DN196,$B$8,1),OFFSET($M$15,0,0,$B$8,1))=EN$13), 1*(_xlfn._xlws.FILTER(OFFSET($O$15,0,$DO196,$B$8,1),OFFSET($M$15,0,0,$B$8,1))=EN$14))   /   SUM(OFFSET($BO$15,0,0,$B$14,1)) + $B$18/($B$19*$B$19*($DN196&lt;&gt;$DO196) + $B$19*($DN196=$DO196))</f>
        <v>3.7037037037037035E-4</v>
      </c>
      <c r="EO196" s="10" cm="1">
        <f t="array" aca="1" ref="EO196" ca="1">(1-$B$18)*SUMPRODUCT(OFFSET($BO$15,0,0,$B$14,1), 1*(_xlfn._xlws.FILTER(OFFSET($O$15,0,$DN196,$B$8,1),OFFSET($M$15,0,0,$B$8,1))=EO$13), 1*(_xlfn._xlws.FILTER(OFFSET($O$15,0,$DO196,$B$8,1),OFFSET($M$15,0,0,$B$8,1))=EO$14))   /   SUM(OFFSET($BO$15,0,0,$B$14,1)) + $B$18/($B$19*$B$19*($DN196&lt;&gt;$DO196) + $B$19*($DN196=$DO196))</f>
        <v>3.7037037037037035E-4</v>
      </c>
      <c r="EP196" s="10" cm="1">
        <f t="array" aca="1" ref="EP196" ca="1">(1-$B$18)*SUMPRODUCT(OFFSET($BO$15,0,0,$B$14,1), 1*(_xlfn._xlws.FILTER(OFFSET($O$15,0,$DN196,$B$8,1),OFFSET($M$15,0,0,$B$8,1))=EP$13), 1*(_xlfn._xlws.FILTER(OFFSET($O$15,0,$DO196,$B$8,1),OFFSET($M$15,0,0,$B$8,1))=EP$14))   /   SUM(OFFSET($BO$15,0,0,$B$14,1)) + $B$18/($B$19*$B$19*($DN196&lt;&gt;$DO196) + $B$19*($DN196=$DO196))</f>
        <v>3.7037037037037035E-4</v>
      </c>
      <c r="EQ196" s="10" cm="1">
        <f t="array" aca="1" ref="EQ196" ca="1">(1-$B$18)*SUMPRODUCT(OFFSET($BO$15,0,0,$B$14,1), 1*(_xlfn._xlws.FILTER(OFFSET($O$15,0,$DN196,$B$8,1),OFFSET($M$15,0,0,$B$8,1))=EQ$13), 1*(_xlfn._xlws.FILTER(OFFSET($O$15,0,$DO196,$B$8,1),OFFSET($M$15,0,0,$B$8,1))=EQ$14))   /   SUM(OFFSET($BO$15,0,0,$B$14,1)) + $B$18/($B$19*$B$19*($DN196&lt;&gt;$DO196) + $B$19*($DN196=$DO196))</f>
        <v>3.7037037037037035E-4</v>
      </c>
      <c r="ER196" s="10" cm="1">
        <f t="array" aca="1" ref="ER196" ca="1">(1-$B$18)*SUMPRODUCT(OFFSET($BO$15,0,0,$B$14,1), 1*(_xlfn._xlws.FILTER(OFFSET($O$15,0,$DN196,$B$8,1),OFFSET($M$15,0,0,$B$8,1))=ER$13), 1*(_xlfn._xlws.FILTER(OFFSET($O$15,0,$DO196,$B$8,1),OFFSET($M$15,0,0,$B$8,1))=ER$14))   /   SUM(OFFSET($BO$15,0,0,$B$14,1)) + $B$18/($B$19*$B$19*($DN196&lt;&gt;$DO196) + $B$19*($DN196=$DO196))</f>
        <v>3.7037037037037035E-4</v>
      </c>
      <c r="ES196" s="10" cm="1">
        <f t="array" aca="1" ref="ES196" ca="1">(1-$B$18)*SUMPRODUCT(OFFSET($BO$15,0,0,$B$14,1), 1*(_xlfn._xlws.FILTER(OFFSET($O$15,0,$DN196,$B$8,1),OFFSET($M$15,0,0,$B$8,1))=ES$13), 1*(_xlfn._xlws.FILTER(OFFSET($O$15,0,$DO196,$B$8,1),OFFSET($M$15,0,0,$B$8,1))=ES$14))   /   SUM(OFFSET($BO$15,0,0,$B$14,1)) + $B$18/($B$19*$B$19*($DN196&lt;&gt;$DO196) + $B$19*($DN196=$DO196))</f>
        <v>3.7037037037037035E-4</v>
      </c>
      <c r="ET196" s="10" cm="1">
        <f t="array" aca="1" ref="ET196" ca="1">(1-$B$18)*SUMPRODUCT(OFFSET($BO$15,0,0,$B$14,1), 1*(_xlfn._xlws.FILTER(OFFSET($O$15,0,$DN196,$B$8,1),OFFSET($M$15,0,0,$B$8,1))=ET$13), 1*(_xlfn._xlws.FILTER(OFFSET($O$15,0,$DO196,$B$8,1),OFFSET($M$15,0,0,$B$8,1))=ET$14))   /   SUM(OFFSET($BO$15,0,0,$B$14,1)) + $B$18/($B$19*$B$19*($DN196&lt;&gt;$DO196) + $B$19*($DN196=$DO196))</f>
        <v>3.7037037037037035E-4</v>
      </c>
      <c r="EU196" s="10" cm="1">
        <f t="array" aca="1" ref="EU196" ca="1">(1-$B$18)*SUMPRODUCT(OFFSET($BO$15,0,0,$B$14,1), 1*(_xlfn._xlws.FILTER(OFFSET($O$15,0,$DN196,$B$8,1),OFFSET($M$15,0,0,$B$8,1))=EU$13), 1*(_xlfn._xlws.FILTER(OFFSET($O$15,0,$DO196,$B$8,1),OFFSET($M$15,0,0,$B$8,1))=EU$14))   /   SUM(OFFSET($BO$15,0,0,$B$14,1)) + $B$18/($B$19*$B$19*($DN196&lt;&gt;$DO196) + $B$19*($DN196=$DO196))</f>
        <v>3.7037037037037035E-4</v>
      </c>
      <c r="EV196" s="10" cm="1">
        <f t="array" aca="1" ref="EV196" ca="1">(1-$B$18)*SUMPRODUCT(OFFSET($BO$15,0,0,$B$14,1), 1*(_xlfn._xlws.FILTER(OFFSET($O$15,0,$DN196,$B$8,1),OFFSET($M$15,0,0,$B$8,1))=EV$13), 1*(_xlfn._xlws.FILTER(OFFSET($O$15,0,$DO196,$B$8,1),OFFSET($M$15,0,0,$B$8,1))=EV$14))   /   SUM(OFFSET($BO$15,0,0,$B$14,1)) + $B$18/($B$19*$B$19*($DN196&lt;&gt;$DO196) + $B$19*($DN196=$DO196))</f>
        <v>3.7037037037037035E-4</v>
      </c>
      <c r="EW196" s="10" cm="1">
        <f t="array" aca="1" ref="EW196" ca="1">(1-$B$18)*SUMPRODUCT(OFFSET($BO$15,0,0,$B$14,1), 1*(_xlfn._xlws.FILTER(OFFSET($O$15,0,$DN196,$B$8,1),OFFSET($M$15,0,0,$B$8,1))=EW$13), 1*(_xlfn._xlws.FILTER(OFFSET($O$15,0,$DO196,$B$8,1),OFFSET($M$15,0,0,$B$8,1))=EW$14))   /   SUM(OFFSET($BO$15,0,0,$B$14,1)) + $B$18/($B$19*$B$19*($DN196&lt;&gt;$DO196) + $B$19*($DN196=$DO196))</f>
        <v>3.7037037037037035E-4</v>
      </c>
      <c r="EX196" s="10" cm="1">
        <f t="array" aca="1" ref="EX196" ca="1">(1-$B$18)*SUMPRODUCT(OFFSET($BO$15,0,0,$B$14,1), 1*(_xlfn._xlws.FILTER(OFFSET($O$15,0,$DN196,$B$8,1),OFFSET($M$15,0,0,$B$8,1))=EX$13), 1*(_xlfn._xlws.FILTER(OFFSET($O$15,0,$DO196,$B$8,1),OFFSET($M$15,0,0,$B$8,1))=EX$14))   /   SUM(OFFSET($BO$15,0,0,$B$14,1)) + $B$18/($B$19*$B$19*($DN196&lt;&gt;$DO196) + $B$19*($DN196=$DO196))</f>
        <v>3.7037037037037035E-4</v>
      </c>
      <c r="EY196" s="10" cm="1">
        <f t="array" aca="1" ref="EY196" ca="1">(1-$B$18)*SUMPRODUCT(OFFSET($BO$15,0,0,$B$14,1), 1*(_xlfn._xlws.FILTER(OFFSET($O$15,0,$DN196,$B$8,1),OFFSET($M$15,0,0,$B$8,1))=EY$13), 1*(_xlfn._xlws.FILTER(OFFSET($O$15,0,$DO196,$B$8,1),OFFSET($M$15,0,0,$B$8,1))=EY$14))   /   SUM(OFFSET($BO$15,0,0,$B$14,1)) + $B$18/($B$19*$B$19*($DN196&lt;&gt;$DO196) + $B$19*($DN196=$DO196))</f>
        <v>3.7037037037037035E-4</v>
      </c>
      <c r="EZ196" s="10" cm="1">
        <f t="array" aca="1" ref="EZ196" ca="1">(1-$B$18)*SUMPRODUCT(OFFSET($BO$15,0,0,$B$14,1), 1*(_xlfn._xlws.FILTER(OFFSET($O$15,0,$DN196,$B$8,1),OFFSET($M$15,0,0,$B$8,1))=EZ$13), 1*(_xlfn._xlws.FILTER(OFFSET($O$15,0,$DO196,$B$8,1),OFFSET($M$15,0,0,$B$8,1))=EZ$14))   /   SUM(OFFSET($BO$15,0,0,$B$14,1)) + $B$18/($B$19*$B$19*($DN196&lt;&gt;$DO196) + $B$19*($DN196=$DO196))</f>
        <v>3.7037037037037035E-4</v>
      </c>
      <c r="FA196" s="10" cm="1">
        <f t="array" aca="1" ref="FA196" ca="1">(1-$B$18)*SUMPRODUCT(OFFSET($BO$15,0,0,$B$14,1), 1*(_xlfn._xlws.FILTER(OFFSET($O$15,0,$DN196,$B$8,1),OFFSET($M$15,0,0,$B$8,1))=FA$13), 1*(_xlfn._xlws.FILTER(OFFSET($O$15,0,$DO196,$B$8,1),OFFSET($M$15,0,0,$B$8,1))=FA$14))   /   SUM(OFFSET($BO$15,0,0,$B$14,1)) + $B$18/($B$19*$B$19*($DN196&lt;&gt;$DO196) + $B$19*($DN196=$DO196))</f>
        <v>3.7037037037037035E-4</v>
      </c>
      <c r="FB196" s="10" cm="1">
        <f t="array" aca="1" ref="FB196" ca="1">(1-$B$18)*SUMPRODUCT(OFFSET($BO$15,0,0,$B$14,1), 1*(_xlfn._xlws.FILTER(OFFSET($O$15,0,$DN196,$B$8,1),OFFSET($M$15,0,0,$B$8,1))=FB$13), 1*(_xlfn._xlws.FILTER(OFFSET($O$15,0,$DO196,$B$8,1),OFFSET($M$15,0,0,$B$8,1))=FB$14))   /   SUM(OFFSET($BO$15,0,0,$B$14,1)) + $B$18/($B$19*$B$19*($DN196&lt;&gt;$DO196) + $B$19*($DN196=$DO196))</f>
        <v>3.7037037037037035E-4</v>
      </c>
      <c r="FC196" s="10" cm="1">
        <f t="array" aca="1" ref="FC196" ca="1">(1-$B$18)*SUMPRODUCT(OFFSET($BO$15,0,0,$B$14,1), 1*(_xlfn._xlws.FILTER(OFFSET($O$15,0,$DN196,$B$8,1),OFFSET($M$15,0,0,$B$8,1))=FC$13), 1*(_xlfn._xlws.FILTER(OFFSET($O$15,0,$DO196,$B$8,1),OFFSET($M$15,0,0,$B$8,1))=FC$14))   /   SUM(OFFSET($BO$15,0,0,$B$14,1)) + $B$18/($B$19*$B$19*($DN196&lt;&gt;$DO196) + $B$19*($DN196=$DO196))</f>
        <v>3.7037037037037035E-4</v>
      </c>
      <c r="FD196" s="10" cm="1">
        <f t="array" aca="1" ref="FD196" ca="1">(1-$B$18)*SUMPRODUCT(OFFSET($BO$15,0,0,$B$14,1), 1*(_xlfn._xlws.FILTER(OFFSET($O$15,0,$DN196,$B$8,1),OFFSET($M$15,0,0,$B$8,1))=FD$13), 1*(_xlfn._xlws.FILTER(OFFSET($O$15,0,$DO196,$B$8,1),OFFSET($M$15,0,0,$B$8,1))=FD$14))   /   SUM(OFFSET($BO$15,0,0,$B$14,1)) + $B$18/($B$19*$B$19*($DN196&lt;&gt;$DO196) + $B$19*($DN196=$DO196))</f>
        <v>3.7037037037037035E-4</v>
      </c>
      <c r="FE196" s="10" cm="1">
        <f t="array" aca="1" ref="FE196" ca="1">(1-$B$18)*SUMPRODUCT(OFFSET($BO$15,0,0,$B$14,1), 1*(_xlfn._xlws.FILTER(OFFSET($O$15,0,$DN196,$B$8,1),OFFSET($M$15,0,0,$B$8,1))=FE$13), 1*(_xlfn._xlws.FILTER(OFFSET($O$15,0,$DO196,$B$8,1),OFFSET($M$15,0,0,$B$8,1))=FE$14))   /   SUM(OFFSET($BO$15,0,0,$B$14,1)) + $B$18/($B$19*$B$19*($DN196&lt;&gt;$DO196) + $B$19*($DN196=$DO196))</f>
        <v>3.7037037037037035E-4</v>
      </c>
      <c r="FF196" s="10" cm="1">
        <f t="array" aca="1" ref="FF196" ca="1">(1-$B$18)*SUMPRODUCT(OFFSET($BO$15,0,0,$B$14,1), 1*(_xlfn._xlws.FILTER(OFFSET($O$15,0,$DN196,$B$8,1),OFFSET($M$15,0,0,$B$8,1))=FF$13), 1*(_xlfn._xlws.FILTER(OFFSET($O$15,0,$DO196,$B$8,1),OFFSET($M$15,0,0,$B$8,1))=FF$14))   /   SUM(OFFSET($BO$15,0,0,$B$14,1)) + $B$18/($B$19*$B$19*($DN196&lt;&gt;$DO196) + $B$19*($DN196=$DO196))</f>
        <v>3.7037037037037035E-4</v>
      </c>
      <c r="FG196" s="10" cm="1">
        <f t="array" aca="1" ref="FG196" ca="1">(1-$B$18)*SUMPRODUCT(OFFSET($BO$15,0,0,$B$14,1), 1*(_xlfn._xlws.FILTER(OFFSET($O$15,0,$DN196,$B$8,1),OFFSET($M$15,0,0,$B$8,1))=FG$13), 1*(_xlfn._xlws.FILTER(OFFSET($O$15,0,$DO196,$B$8,1),OFFSET($M$15,0,0,$B$8,1))=FG$14))   /   SUM(OFFSET($BO$15,0,0,$B$14,1)) + $B$18/($B$19*$B$19*($DN196&lt;&gt;$DO196) + $B$19*($DN196=$DO196))</f>
        <v>3.7037037037037035E-4</v>
      </c>
      <c r="FH196" s="10" cm="1">
        <f t="array" aca="1" ref="FH196" ca="1">(1-$B$18)*SUMPRODUCT(OFFSET($BO$15,0,0,$B$14,1), 1*(_xlfn._xlws.FILTER(OFFSET($O$15,0,$DN196,$B$8,1),OFFSET($M$15,0,0,$B$8,1))=FH$13), 1*(_xlfn._xlws.FILTER(OFFSET($O$15,0,$DO196,$B$8,1),OFFSET($M$15,0,0,$B$8,1))=FH$14))   /   SUM(OFFSET($BO$15,0,0,$B$14,1)) + $B$18/($B$19*$B$19*($DN196&lt;&gt;$DO196) + $B$19*($DN196=$DO196))</f>
        <v>3.7037037037037035E-4</v>
      </c>
      <c r="FI196" s="10" cm="1">
        <f t="array" aca="1" ref="FI196" ca="1">(1-$B$18)*SUMPRODUCT(OFFSET($BO$15,0,0,$B$14,1), 1*(_xlfn._xlws.FILTER(OFFSET($O$15,0,$DN196,$B$8,1),OFFSET($M$15,0,0,$B$8,1))=FI$13), 1*(_xlfn._xlws.FILTER(OFFSET($O$15,0,$DO196,$B$8,1),OFFSET($M$15,0,0,$B$8,1))=FI$14))   /   SUM(OFFSET($BO$15,0,0,$B$14,1)) + $B$18/($B$19*$B$19*($DN196&lt;&gt;$DO196) + $B$19*($DN196=$DO196))</f>
        <v>3.7037037037037035E-4</v>
      </c>
      <c r="FJ196" s="10" cm="1">
        <f t="array" aca="1" ref="FJ196" ca="1">(1-$B$18)*SUMPRODUCT(OFFSET($BO$15,0,0,$B$14,1), 1*(_xlfn._xlws.FILTER(OFFSET($O$15,0,$DN196,$B$8,1),OFFSET($M$15,0,0,$B$8,1))=FJ$13), 1*(_xlfn._xlws.FILTER(OFFSET($O$15,0,$DO196,$B$8,1),OFFSET($M$15,0,0,$B$8,1))=FJ$14))   /   SUM(OFFSET($BO$15,0,0,$B$14,1)) + $B$18/($B$19*$B$19*($DN196&lt;&gt;$DO196) + $B$19*($DN196=$DO196))</f>
        <v>3.7037037037037035E-4</v>
      </c>
      <c r="FK196" s="10" cm="1">
        <f t="array" aca="1" ref="FK196" ca="1">(1-$B$18)*SUMPRODUCT(OFFSET($BO$15,0,0,$B$14,1), 1*(_xlfn._xlws.FILTER(OFFSET($O$15,0,$DN196,$B$8,1),OFFSET($M$15,0,0,$B$8,1))=FK$13), 1*(_xlfn._xlws.FILTER(OFFSET($O$15,0,$DO196,$B$8,1),OFFSET($M$15,0,0,$B$8,1))=FK$14))   /   SUM(OFFSET($BO$15,0,0,$B$14,1)) + $B$18/($B$19*$B$19*($DN196&lt;&gt;$DO196) + $B$19*($DN196=$DO196))</f>
        <v>3.7037037037037035E-4</v>
      </c>
      <c r="FL196" s="10" cm="1">
        <f t="array" aca="1" ref="FL196" ca="1">(1-$B$18)*SUMPRODUCT(OFFSET($BO$15,0,0,$B$14,1), 1*(_xlfn._xlws.FILTER(OFFSET($O$15,0,$DN196,$B$8,1),OFFSET($M$15,0,0,$B$8,1))=FL$13), 1*(_xlfn._xlws.FILTER(OFFSET($O$15,0,$DO196,$B$8,1),OFFSET($M$15,0,0,$B$8,1))=FL$14))   /   SUM(OFFSET($BO$15,0,0,$B$14,1)) + $B$18/($B$19*$B$19*($DN196&lt;&gt;$DO196) + $B$19*($DN196=$DO196))</f>
        <v>0.48537037037037034</v>
      </c>
      <c r="FM196" s="10" cm="1">
        <f t="array" aca="1" ref="FM196" ca="1">(1-$B$18)*SUMPRODUCT(OFFSET($BO$15,0,0,$B$14,1), 1*(_xlfn._xlws.FILTER(OFFSET($O$15,0,$DN196,$B$8,1),OFFSET($M$15,0,0,$B$8,1))=FM$13), 1*(_xlfn._xlws.FILTER(OFFSET($O$15,0,$DO196,$B$8,1),OFFSET($M$15,0,0,$B$8,1))=FM$14))   /   SUM(OFFSET($BO$15,0,0,$B$14,1)) + $B$18/($B$19*$B$19*($DN196&lt;&gt;$DO196) + $B$19*($DN196=$DO196))</f>
        <v>3.7037037037037035E-4</v>
      </c>
      <c r="FN196" s="10" cm="1">
        <f t="array" aca="1" ref="FN196" ca="1">(1-$B$18)*SUMPRODUCT(OFFSET($BO$15,0,0,$B$14,1), 1*(_xlfn._xlws.FILTER(OFFSET($O$15,0,$DN196,$B$8,1),OFFSET($M$15,0,0,$B$8,1))=FN$13), 1*(_xlfn._xlws.FILTER(OFFSET($O$15,0,$DO196,$B$8,1),OFFSET($M$15,0,0,$B$8,1))=FN$14))   /   SUM(OFFSET($BO$15,0,0,$B$14,1)) + $B$18/($B$19*$B$19*($DN196&lt;&gt;$DO196) + $B$19*($DN196=$DO196))</f>
        <v>0.24287037037037026</v>
      </c>
      <c r="FO196" s="10" cm="1">
        <f t="array" aca="1" ref="FO196" ca="1">(1-$B$18)*SUMPRODUCT(OFFSET($BO$15,0,0,$B$14,1), 1*(_xlfn._xlws.FILTER(OFFSET($O$15,0,$DN196,$B$8,1),OFFSET($M$15,0,0,$B$8,1))=FO$13), 1*(_xlfn._xlws.FILTER(OFFSET($O$15,0,$DO196,$B$8,1),OFFSET($M$15,0,0,$B$8,1))=FO$14))   /   SUM(OFFSET($BO$15,0,0,$B$14,1)) + $B$18/($B$19*$B$19*($DN196&lt;&gt;$DO196) + $B$19*($DN196=$DO196))</f>
        <v>0.24287037037037026</v>
      </c>
      <c r="FP196" s="10" cm="1">
        <f t="array" aca="1" ref="FP196" ca="1">(1-$B$18)*SUMPRODUCT(OFFSET($BO$15,0,0,$B$14,1), 1*(_xlfn._xlws.FILTER(OFFSET($O$15,0,$DN196,$B$8,1),OFFSET($M$15,0,0,$B$8,1))=FP$13), 1*(_xlfn._xlws.FILTER(OFFSET($O$15,0,$DO196,$B$8,1),OFFSET($M$15,0,0,$B$8,1))=FP$14))   /   SUM(OFFSET($BO$15,0,0,$B$14,1)) + $B$18/($B$19*$B$19*($DN196&lt;&gt;$DO196) + $B$19*($DN196=$DO196))</f>
        <v>3.7037037037037035E-4</v>
      </c>
      <c r="FQ196" s="10" cm="1">
        <f t="array" aca="1" ref="FQ196" ca="1">(1-$B$18)*SUMPRODUCT(OFFSET($BO$15,0,0,$B$14,1), 1*(_xlfn._xlws.FILTER(OFFSET($O$15,0,$DN196,$B$8,1),OFFSET($M$15,0,0,$B$8,1))=FQ$13), 1*(_xlfn._xlws.FILTER(OFFSET($O$15,0,$DO196,$B$8,1),OFFSET($M$15,0,0,$B$8,1))=FQ$14))   /   SUM(OFFSET($BO$15,0,0,$B$14,1)) + $B$18/($B$19*$B$19*($DN196&lt;&gt;$DO196) + $B$19*($DN196=$DO196))</f>
        <v>3.7037037037037035E-4</v>
      </c>
      <c r="FR196" s="10" cm="1">
        <f t="array" aca="1" ref="FR196" ca="1">(1-$B$18)*SUMPRODUCT(OFFSET($BO$15,0,0,$B$14,1), 1*(_xlfn._xlws.FILTER(OFFSET($O$15,0,$DN196,$B$8,1),OFFSET($M$15,0,0,$B$8,1))=FR$13), 1*(_xlfn._xlws.FILTER(OFFSET($O$15,0,$DO196,$B$8,1),OFFSET($M$15,0,0,$B$8,1))=FR$14))   /   SUM(OFFSET($BO$15,0,0,$B$14,1)) + $B$18/($B$19*$B$19*($DN196&lt;&gt;$DO196) + $B$19*($DN196=$DO196))</f>
        <v>3.7037037037037035E-4</v>
      </c>
      <c r="FS196" s="10" cm="1">
        <f t="array" aca="1" ref="FS196" ca="1">(1-$B$18)*SUMPRODUCT(OFFSET($BO$15,0,0,$B$14,1), 1*(_xlfn._xlws.FILTER(OFFSET($O$15,0,$DN196,$B$8,1),OFFSET($M$15,0,0,$B$8,1))=FS$13), 1*(_xlfn._xlws.FILTER(OFFSET($O$15,0,$DO196,$B$8,1),OFFSET($M$15,0,0,$B$8,1))=FS$14))   /   SUM(OFFSET($BO$15,0,0,$B$14,1)) + $B$18/($B$19*$B$19*($DN196&lt;&gt;$DO196) + $B$19*($DN196=$DO196))</f>
        <v>3.7037037037037035E-4</v>
      </c>
      <c r="FT196" s="10" cm="1">
        <f t="array" aca="1" ref="FT196" ca="1">(1-$B$18)*SUMPRODUCT(OFFSET($BO$15,0,0,$B$14,1), 1*(_xlfn._xlws.FILTER(OFFSET($O$15,0,$DN196,$B$8,1),OFFSET($M$15,0,0,$B$8,1))=FT$13), 1*(_xlfn._xlws.FILTER(OFFSET($O$15,0,$DO196,$B$8,1),OFFSET($M$15,0,0,$B$8,1))=FT$14))   /   SUM(OFFSET($BO$15,0,0,$B$14,1)) + $B$18/($B$19*$B$19*($DN196&lt;&gt;$DO196) + $B$19*($DN196=$DO196))</f>
        <v>3.7037037037037035E-4</v>
      </c>
      <c r="FU196" s="10" cm="1">
        <f t="array" aca="1" ref="FU196" ca="1">(1-$B$18)*SUMPRODUCT(OFFSET($BO$15,0,0,$B$14,1), 1*(_xlfn._xlws.FILTER(OFFSET($O$15,0,$DN196,$B$8,1),OFFSET($M$15,0,0,$B$8,1))=FU$13), 1*(_xlfn._xlws.FILTER(OFFSET($O$15,0,$DO196,$B$8,1),OFFSET($M$15,0,0,$B$8,1))=FU$14))   /   SUM(OFFSET($BO$15,0,0,$B$14,1)) + $B$18/($B$19*$B$19*($DN196&lt;&gt;$DO196) + $B$19*($DN196=$DO196))</f>
        <v>3.7037037037037035E-4</v>
      </c>
      <c r="FV196" s="10" cm="1">
        <f t="array" aca="1" ref="FV196" ca="1">(1-$B$18)*SUMPRODUCT(OFFSET($BO$15,0,0,$B$14,1), 1*(_xlfn._xlws.FILTER(OFFSET($O$15,0,$DN196,$B$8,1),OFFSET($M$15,0,0,$B$8,1))=FV$13), 1*(_xlfn._xlws.FILTER(OFFSET($O$15,0,$DO196,$B$8,1),OFFSET($M$15,0,0,$B$8,1))=FV$14))   /   SUM(OFFSET($BO$15,0,0,$B$14,1)) + $B$18/($B$19*$B$19*($DN196&lt;&gt;$DO196) + $B$19*($DN196=$DO196))</f>
        <v>3.7037037037037035E-4</v>
      </c>
      <c r="FW196" s="10" cm="1">
        <f t="array" aca="1" ref="FW196" ca="1">(1-$B$18)*SUMPRODUCT(OFFSET($BO$15,0,0,$B$14,1), 1*(_xlfn._xlws.FILTER(OFFSET($O$15,0,$DN196,$B$8,1),OFFSET($M$15,0,0,$B$8,1))=FW$13), 1*(_xlfn._xlws.FILTER(OFFSET($O$15,0,$DO196,$B$8,1),OFFSET($M$15,0,0,$B$8,1))=FW$14))   /   SUM(OFFSET($BO$15,0,0,$B$14,1)) + $B$18/($B$19*$B$19*($DN196&lt;&gt;$DO196) + $B$19*($DN196=$DO196))</f>
        <v>3.7037037037037035E-4</v>
      </c>
      <c r="FX196" s="10" cm="1">
        <f t="array" aca="1" ref="FX196" ca="1">(1-$B$18)*SUMPRODUCT(OFFSET($BO$15,0,0,$B$14,1), 1*(_xlfn._xlws.FILTER(OFFSET($O$15,0,$DN196,$B$8,1),OFFSET($M$15,0,0,$B$8,1))=FX$13), 1*(_xlfn._xlws.FILTER(OFFSET($O$15,0,$DO196,$B$8,1),OFFSET($M$15,0,0,$B$8,1))=FX$14))   /   SUM(OFFSET($BO$15,0,0,$B$14,1)) + $B$18/($B$19*$B$19*($DN196&lt;&gt;$DO196) + $B$19*($DN196=$DO196))</f>
        <v>3.7037037037037035E-4</v>
      </c>
      <c r="FY196" s="10" cm="1">
        <f t="array" aca="1" ref="FY196" ca="1">(1-$B$18)*SUMPRODUCT(OFFSET($BO$15,0,0,$B$14,1), 1*(_xlfn._xlws.FILTER(OFFSET($O$15,0,$DN196,$B$8,1),OFFSET($M$15,0,0,$B$8,1))=FY$13), 1*(_xlfn._xlws.FILTER(OFFSET($O$15,0,$DO196,$B$8,1),OFFSET($M$15,0,0,$B$8,1))=FY$14))   /   SUM(OFFSET($BO$15,0,0,$B$14,1)) + $B$18/($B$19*$B$19*($DN196&lt;&gt;$DO196) + $B$19*($DN196=$DO196))</f>
        <v>3.7037037037037035E-4</v>
      </c>
      <c r="FZ196" s="10" cm="1">
        <f t="array" aca="1" ref="FZ196" ca="1">(1-$B$18)*SUMPRODUCT(OFFSET($BO$15,0,0,$B$14,1), 1*(_xlfn._xlws.FILTER(OFFSET($O$15,0,$DN196,$B$8,1),OFFSET($M$15,0,0,$B$8,1))=FZ$13), 1*(_xlfn._xlws.FILTER(OFFSET($O$15,0,$DO196,$B$8,1),OFFSET($M$15,0,0,$B$8,1))=FZ$14))   /   SUM(OFFSET($BO$15,0,0,$B$14,1)) + $B$18/($B$19*$B$19*($DN196&lt;&gt;$DO196) + $B$19*($DN196=$DO196))</f>
        <v>3.7037037037037035E-4</v>
      </c>
      <c r="GA196" s="10" cm="1">
        <f t="array" aca="1" ref="GA196" ca="1">(1-$B$18)*SUMPRODUCT(OFFSET($BO$15,0,0,$B$14,1), 1*(_xlfn._xlws.FILTER(OFFSET($O$15,0,$DN196,$B$8,1),OFFSET($M$15,0,0,$B$8,1))=GA$13), 1*(_xlfn._xlws.FILTER(OFFSET($O$15,0,$DO196,$B$8,1),OFFSET($M$15,0,0,$B$8,1))=GA$14))   /   SUM(OFFSET($BO$15,0,0,$B$14,1)) + $B$18/($B$19*$B$19*($DN196&lt;&gt;$DO196) + $B$19*($DN196=$DO196))</f>
        <v>3.7037037037037035E-4</v>
      </c>
    </row>
    <row r="197" spans="118:183" x14ac:dyDescent="0.2">
      <c r="DN197" cm="1">
        <f t="array" aca="1" ref="DN197" ca="1">INDEX(_xlfn.ANCHORARRAY($CP$15), 1 + INT((ROWS($DO$15:$DO197) - 1) / ROWS(_xlfn.ANCHORARRAY($CP$15))))</f>
        <v>9</v>
      </c>
      <c r="DO197" cm="1">
        <f t="array" aca="1" ref="DO197" ca="1">INDEX(_xlfn.ANCHORARRAY($CP$15),1+MOD(ROWS($DO$15:$DO197)-1,ROWS(_xlfn.ANCHORARRAY($CP$15))))</f>
        <v>12</v>
      </c>
      <c r="DP197" s="10" cm="1">
        <f t="array" aca="1" ref="DP197" ca="1">(1-$B$18)*SUMPRODUCT(OFFSET($BO$15,0,0,$B$14,1), 1*(_xlfn._xlws.FILTER(OFFSET($O$15,0,$DN197,$B$8,1),OFFSET($M$15,0,0,$B$8,1))=DP$13), 1*(_xlfn._xlws.FILTER(OFFSET($O$15,0,$DO197,$B$8,1),OFFSET($M$15,0,0,$B$8,1))=DP$14))   /   SUM(OFFSET($BO$15,0,0,$B$14,1)) + $B$18/($B$19*$B$19*($DN197&lt;&gt;$DO197) + $B$19*($DN197=$DO197))</f>
        <v>3.7037037037037035E-4</v>
      </c>
      <c r="DQ197" s="10" cm="1">
        <f t="array" aca="1" ref="DQ197" ca="1">(1-$B$18)*SUMPRODUCT(OFFSET($BO$15,0,0,$B$14,1), 1*(_xlfn._xlws.FILTER(OFFSET($O$15,0,$DN197,$B$8,1),OFFSET($M$15,0,0,$B$8,1))=DQ$13), 1*(_xlfn._xlws.FILTER(OFFSET($O$15,0,$DO197,$B$8,1),OFFSET($M$15,0,0,$B$8,1))=DQ$14))   /   SUM(OFFSET($BO$15,0,0,$B$14,1)) + $B$18/($B$19*$B$19*($DN197&lt;&gt;$DO197) + $B$19*($DN197=$DO197))</f>
        <v>3.7037037037037035E-4</v>
      </c>
      <c r="DR197" s="10" cm="1">
        <f t="array" aca="1" ref="DR197" ca="1">(1-$B$18)*SUMPRODUCT(OFFSET($BO$15,0,0,$B$14,1), 1*(_xlfn._xlws.FILTER(OFFSET($O$15,0,$DN197,$B$8,1),OFFSET($M$15,0,0,$B$8,1))=DR$13), 1*(_xlfn._xlws.FILTER(OFFSET($O$15,0,$DO197,$B$8,1),OFFSET($M$15,0,0,$B$8,1))=DR$14))   /   SUM(OFFSET($BO$15,0,0,$B$14,1)) + $B$18/($B$19*$B$19*($DN197&lt;&gt;$DO197) + $B$19*($DN197=$DO197))</f>
        <v>3.7037037037037035E-4</v>
      </c>
      <c r="DS197" s="10" cm="1">
        <f t="array" aca="1" ref="DS197" ca="1">(1-$B$18)*SUMPRODUCT(OFFSET($BO$15,0,0,$B$14,1), 1*(_xlfn._xlws.FILTER(OFFSET($O$15,0,$DN197,$B$8,1),OFFSET($M$15,0,0,$B$8,1))=DS$13), 1*(_xlfn._xlws.FILTER(OFFSET($O$15,0,$DO197,$B$8,1),OFFSET($M$15,0,0,$B$8,1))=DS$14))   /   SUM(OFFSET($BO$15,0,0,$B$14,1)) + $B$18/($B$19*$B$19*($DN197&lt;&gt;$DO197) + $B$19*($DN197=$DO197))</f>
        <v>3.7037037037037035E-4</v>
      </c>
      <c r="DT197" s="10" cm="1">
        <f t="array" aca="1" ref="DT197" ca="1">(1-$B$18)*SUMPRODUCT(OFFSET($BO$15,0,0,$B$14,1), 1*(_xlfn._xlws.FILTER(OFFSET($O$15,0,$DN197,$B$8,1),OFFSET($M$15,0,0,$B$8,1))=DT$13), 1*(_xlfn._xlws.FILTER(OFFSET($O$15,0,$DO197,$B$8,1),OFFSET($M$15,0,0,$B$8,1))=DT$14))   /   SUM(OFFSET($BO$15,0,0,$B$14,1)) + $B$18/($B$19*$B$19*($DN197&lt;&gt;$DO197) + $B$19*($DN197=$DO197))</f>
        <v>3.7037037037037035E-4</v>
      </c>
      <c r="DU197" s="10" cm="1">
        <f t="array" aca="1" ref="DU197" ca="1">(1-$B$18)*SUMPRODUCT(OFFSET($BO$15,0,0,$B$14,1), 1*(_xlfn._xlws.FILTER(OFFSET($O$15,0,$DN197,$B$8,1),OFFSET($M$15,0,0,$B$8,1))=DU$13), 1*(_xlfn._xlws.FILTER(OFFSET($O$15,0,$DO197,$B$8,1),OFFSET($M$15,0,0,$B$8,1))=DU$14))   /   SUM(OFFSET($BO$15,0,0,$B$14,1)) + $B$18/($B$19*$B$19*($DN197&lt;&gt;$DO197) + $B$19*($DN197=$DO197))</f>
        <v>3.7037037037037035E-4</v>
      </c>
      <c r="DV197" s="10" cm="1">
        <f t="array" aca="1" ref="DV197" ca="1">(1-$B$18)*SUMPRODUCT(OFFSET($BO$15,0,0,$B$14,1), 1*(_xlfn._xlws.FILTER(OFFSET($O$15,0,$DN197,$B$8,1),OFFSET($M$15,0,0,$B$8,1))=DV$13), 1*(_xlfn._xlws.FILTER(OFFSET($O$15,0,$DO197,$B$8,1),OFFSET($M$15,0,0,$B$8,1))=DV$14))   /   SUM(OFFSET($BO$15,0,0,$B$14,1)) + $B$18/($B$19*$B$19*($DN197&lt;&gt;$DO197) + $B$19*($DN197=$DO197))</f>
        <v>3.7037037037037035E-4</v>
      </c>
      <c r="DW197" s="10" cm="1">
        <f t="array" aca="1" ref="DW197" ca="1">(1-$B$18)*SUMPRODUCT(OFFSET($BO$15,0,0,$B$14,1), 1*(_xlfn._xlws.FILTER(OFFSET($O$15,0,$DN197,$B$8,1),OFFSET($M$15,0,0,$B$8,1))=DW$13), 1*(_xlfn._xlws.FILTER(OFFSET($O$15,0,$DO197,$B$8,1),OFFSET($M$15,0,0,$B$8,1))=DW$14))   /   SUM(OFFSET($BO$15,0,0,$B$14,1)) + $B$18/($B$19*$B$19*($DN197&lt;&gt;$DO197) + $B$19*($DN197=$DO197))</f>
        <v>3.7037037037037035E-4</v>
      </c>
      <c r="DX197" s="10" cm="1">
        <f t="array" aca="1" ref="DX197" ca="1">(1-$B$18)*SUMPRODUCT(OFFSET($BO$15,0,0,$B$14,1), 1*(_xlfn._xlws.FILTER(OFFSET($O$15,0,$DN197,$B$8,1),OFFSET($M$15,0,0,$B$8,1))=DX$13), 1*(_xlfn._xlws.FILTER(OFFSET($O$15,0,$DO197,$B$8,1),OFFSET($M$15,0,0,$B$8,1))=DX$14))   /   SUM(OFFSET($BO$15,0,0,$B$14,1)) + $B$18/($B$19*$B$19*($DN197&lt;&gt;$DO197) + $B$19*($DN197=$DO197))</f>
        <v>3.7037037037037035E-4</v>
      </c>
      <c r="DY197" s="10" cm="1">
        <f t="array" aca="1" ref="DY197" ca="1">(1-$B$18)*SUMPRODUCT(OFFSET($BO$15,0,0,$B$14,1), 1*(_xlfn._xlws.FILTER(OFFSET($O$15,0,$DN197,$B$8,1),OFFSET($M$15,0,0,$B$8,1))=DY$13), 1*(_xlfn._xlws.FILTER(OFFSET($O$15,0,$DO197,$B$8,1),OFFSET($M$15,0,0,$B$8,1))=DY$14))   /   SUM(OFFSET($BO$15,0,0,$B$14,1)) + $B$18/($B$19*$B$19*($DN197&lt;&gt;$DO197) + $B$19*($DN197=$DO197))</f>
        <v>3.7037037037037035E-4</v>
      </c>
      <c r="DZ197" s="10" cm="1">
        <f t="array" aca="1" ref="DZ197" ca="1">(1-$B$18)*SUMPRODUCT(OFFSET($BO$15,0,0,$B$14,1), 1*(_xlfn._xlws.FILTER(OFFSET($O$15,0,$DN197,$B$8,1),OFFSET($M$15,0,0,$B$8,1))=DZ$13), 1*(_xlfn._xlws.FILTER(OFFSET($O$15,0,$DO197,$B$8,1),OFFSET($M$15,0,0,$B$8,1))=DZ$14))   /   SUM(OFFSET($BO$15,0,0,$B$14,1)) + $B$18/($B$19*$B$19*($DN197&lt;&gt;$DO197) + $B$19*($DN197=$DO197))</f>
        <v>3.7037037037037035E-4</v>
      </c>
      <c r="EA197" s="10" cm="1">
        <f t="array" aca="1" ref="EA197" ca="1">(1-$B$18)*SUMPRODUCT(OFFSET($BO$15,0,0,$B$14,1), 1*(_xlfn._xlws.FILTER(OFFSET($O$15,0,$DN197,$B$8,1),OFFSET($M$15,0,0,$B$8,1))=EA$13), 1*(_xlfn._xlws.FILTER(OFFSET($O$15,0,$DO197,$B$8,1),OFFSET($M$15,0,0,$B$8,1))=EA$14))   /   SUM(OFFSET($BO$15,0,0,$B$14,1)) + $B$18/($B$19*$B$19*($DN197&lt;&gt;$DO197) + $B$19*($DN197=$DO197))</f>
        <v>3.7037037037037035E-4</v>
      </c>
      <c r="EB197" s="10" cm="1">
        <f t="array" aca="1" ref="EB197" ca="1">(1-$B$18)*SUMPRODUCT(OFFSET($BO$15,0,0,$B$14,1), 1*(_xlfn._xlws.FILTER(OFFSET($O$15,0,$DN197,$B$8,1),OFFSET($M$15,0,0,$B$8,1))=EB$13), 1*(_xlfn._xlws.FILTER(OFFSET($O$15,0,$DO197,$B$8,1),OFFSET($M$15,0,0,$B$8,1))=EB$14))   /   SUM(OFFSET($BO$15,0,0,$B$14,1)) + $B$18/($B$19*$B$19*($DN197&lt;&gt;$DO197) + $B$19*($DN197=$DO197))</f>
        <v>3.7037037037037035E-4</v>
      </c>
      <c r="EC197" s="10" cm="1">
        <f t="array" aca="1" ref="EC197" ca="1">(1-$B$18)*SUMPRODUCT(OFFSET($BO$15,0,0,$B$14,1), 1*(_xlfn._xlws.FILTER(OFFSET($O$15,0,$DN197,$B$8,1),OFFSET($M$15,0,0,$B$8,1))=EC$13), 1*(_xlfn._xlws.FILTER(OFFSET($O$15,0,$DO197,$B$8,1),OFFSET($M$15,0,0,$B$8,1))=EC$14))   /   SUM(OFFSET($BO$15,0,0,$B$14,1)) + $B$18/($B$19*$B$19*($DN197&lt;&gt;$DO197) + $B$19*($DN197=$DO197))</f>
        <v>3.7037037037037035E-4</v>
      </c>
      <c r="ED197" s="10" cm="1">
        <f t="array" aca="1" ref="ED197" ca="1">(1-$B$18)*SUMPRODUCT(OFFSET($BO$15,0,0,$B$14,1), 1*(_xlfn._xlws.FILTER(OFFSET($O$15,0,$DN197,$B$8,1),OFFSET($M$15,0,0,$B$8,1))=ED$13), 1*(_xlfn._xlws.FILTER(OFFSET($O$15,0,$DO197,$B$8,1),OFFSET($M$15,0,0,$B$8,1))=ED$14))   /   SUM(OFFSET($BO$15,0,0,$B$14,1)) + $B$18/($B$19*$B$19*($DN197&lt;&gt;$DO197) + $B$19*($DN197=$DO197))</f>
        <v>3.7037037037037035E-4</v>
      </c>
      <c r="EE197" s="10" cm="1">
        <f t="array" aca="1" ref="EE197" ca="1">(1-$B$18)*SUMPRODUCT(OFFSET($BO$15,0,0,$B$14,1), 1*(_xlfn._xlws.FILTER(OFFSET($O$15,0,$DN197,$B$8,1),OFFSET($M$15,0,0,$B$8,1))=EE$13), 1*(_xlfn._xlws.FILTER(OFFSET($O$15,0,$DO197,$B$8,1),OFFSET($M$15,0,0,$B$8,1))=EE$14))   /   SUM(OFFSET($BO$15,0,0,$B$14,1)) + $B$18/($B$19*$B$19*($DN197&lt;&gt;$DO197) + $B$19*($DN197=$DO197))</f>
        <v>3.7037037037037035E-4</v>
      </c>
      <c r="EF197" s="10" cm="1">
        <f t="array" aca="1" ref="EF197" ca="1">(1-$B$18)*SUMPRODUCT(OFFSET($BO$15,0,0,$B$14,1), 1*(_xlfn._xlws.FILTER(OFFSET($O$15,0,$DN197,$B$8,1),OFFSET($M$15,0,0,$B$8,1))=EF$13), 1*(_xlfn._xlws.FILTER(OFFSET($O$15,0,$DO197,$B$8,1),OFFSET($M$15,0,0,$B$8,1))=EF$14))   /   SUM(OFFSET($BO$15,0,0,$B$14,1)) + $B$18/($B$19*$B$19*($DN197&lt;&gt;$DO197) + $B$19*($DN197=$DO197))</f>
        <v>3.7037037037037035E-4</v>
      </c>
      <c r="EG197" s="10" cm="1">
        <f t="array" aca="1" ref="EG197" ca="1">(1-$B$18)*SUMPRODUCT(OFFSET($BO$15,0,0,$B$14,1), 1*(_xlfn._xlws.FILTER(OFFSET($O$15,0,$DN197,$B$8,1),OFFSET($M$15,0,0,$B$8,1))=EG$13), 1*(_xlfn._xlws.FILTER(OFFSET($O$15,0,$DO197,$B$8,1),OFFSET($M$15,0,0,$B$8,1))=EG$14))   /   SUM(OFFSET($BO$15,0,0,$B$14,1)) + $B$18/($B$19*$B$19*($DN197&lt;&gt;$DO197) + $B$19*($DN197=$DO197))</f>
        <v>3.7037037037037035E-4</v>
      </c>
      <c r="EH197" s="10" cm="1">
        <f t="array" aca="1" ref="EH197" ca="1">(1-$B$18)*SUMPRODUCT(OFFSET($BO$15,0,0,$B$14,1), 1*(_xlfn._xlws.FILTER(OFFSET($O$15,0,$DN197,$B$8,1),OFFSET($M$15,0,0,$B$8,1))=EH$13), 1*(_xlfn._xlws.FILTER(OFFSET($O$15,0,$DO197,$B$8,1),OFFSET($M$15,0,0,$B$8,1))=EH$14))   /   SUM(OFFSET($BO$15,0,0,$B$14,1)) + $B$18/($B$19*$B$19*($DN197&lt;&gt;$DO197) + $B$19*($DN197=$DO197))</f>
        <v>3.7037037037037035E-4</v>
      </c>
      <c r="EI197" s="10" cm="1">
        <f t="array" aca="1" ref="EI197" ca="1">(1-$B$18)*SUMPRODUCT(OFFSET($BO$15,0,0,$B$14,1), 1*(_xlfn._xlws.FILTER(OFFSET($O$15,0,$DN197,$B$8,1),OFFSET($M$15,0,0,$B$8,1))=EI$13), 1*(_xlfn._xlws.FILTER(OFFSET($O$15,0,$DO197,$B$8,1),OFFSET($M$15,0,0,$B$8,1))=EI$14))   /   SUM(OFFSET($BO$15,0,0,$B$14,1)) + $B$18/($B$19*$B$19*($DN197&lt;&gt;$DO197) + $B$19*($DN197=$DO197))</f>
        <v>3.7037037037037035E-4</v>
      </c>
      <c r="EJ197" s="10" cm="1">
        <f t="array" aca="1" ref="EJ197" ca="1">(1-$B$18)*SUMPRODUCT(OFFSET($BO$15,0,0,$B$14,1), 1*(_xlfn._xlws.FILTER(OFFSET($O$15,0,$DN197,$B$8,1),OFFSET($M$15,0,0,$B$8,1))=EJ$13), 1*(_xlfn._xlws.FILTER(OFFSET($O$15,0,$DO197,$B$8,1),OFFSET($M$15,0,0,$B$8,1))=EJ$14))   /   SUM(OFFSET($BO$15,0,0,$B$14,1)) + $B$18/($B$19*$B$19*($DN197&lt;&gt;$DO197) + $B$19*($DN197=$DO197))</f>
        <v>3.7037037037037035E-4</v>
      </c>
      <c r="EK197" s="10" cm="1">
        <f t="array" aca="1" ref="EK197" ca="1">(1-$B$18)*SUMPRODUCT(OFFSET($BO$15,0,0,$B$14,1), 1*(_xlfn._xlws.FILTER(OFFSET($O$15,0,$DN197,$B$8,1),OFFSET($M$15,0,0,$B$8,1))=EK$13), 1*(_xlfn._xlws.FILTER(OFFSET($O$15,0,$DO197,$B$8,1),OFFSET($M$15,0,0,$B$8,1))=EK$14))   /   SUM(OFFSET($BO$15,0,0,$B$14,1)) + $B$18/($B$19*$B$19*($DN197&lt;&gt;$DO197) + $B$19*($DN197=$DO197))</f>
        <v>3.7037037037037035E-4</v>
      </c>
      <c r="EL197" s="10" cm="1">
        <f t="array" aca="1" ref="EL197" ca="1">(1-$B$18)*SUMPRODUCT(OFFSET($BO$15,0,0,$B$14,1), 1*(_xlfn._xlws.FILTER(OFFSET($O$15,0,$DN197,$B$8,1),OFFSET($M$15,0,0,$B$8,1))=EL$13), 1*(_xlfn._xlws.FILTER(OFFSET($O$15,0,$DO197,$B$8,1),OFFSET($M$15,0,0,$B$8,1))=EL$14))   /   SUM(OFFSET($BO$15,0,0,$B$14,1)) + $B$18/($B$19*$B$19*($DN197&lt;&gt;$DO197) + $B$19*($DN197=$DO197))</f>
        <v>3.7037037037037035E-4</v>
      </c>
      <c r="EM197" s="10" cm="1">
        <f t="array" aca="1" ref="EM197" ca="1">(1-$B$18)*SUMPRODUCT(OFFSET($BO$15,0,0,$B$14,1), 1*(_xlfn._xlws.FILTER(OFFSET($O$15,0,$DN197,$B$8,1),OFFSET($M$15,0,0,$B$8,1))=EM$13), 1*(_xlfn._xlws.FILTER(OFFSET($O$15,0,$DO197,$B$8,1),OFFSET($M$15,0,0,$B$8,1))=EM$14))   /   SUM(OFFSET($BO$15,0,0,$B$14,1)) + $B$18/($B$19*$B$19*($DN197&lt;&gt;$DO197) + $B$19*($DN197=$DO197))</f>
        <v>3.7037037037037035E-4</v>
      </c>
      <c r="EN197" s="10" cm="1">
        <f t="array" aca="1" ref="EN197" ca="1">(1-$B$18)*SUMPRODUCT(OFFSET($BO$15,0,0,$B$14,1), 1*(_xlfn._xlws.FILTER(OFFSET($O$15,0,$DN197,$B$8,1),OFFSET($M$15,0,0,$B$8,1))=EN$13), 1*(_xlfn._xlws.FILTER(OFFSET($O$15,0,$DO197,$B$8,1),OFFSET($M$15,0,0,$B$8,1))=EN$14))   /   SUM(OFFSET($BO$15,0,0,$B$14,1)) + $B$18/($B$19*$B$19*($DN197&lt;&gt;$DO197) + $B$19*($DN197=$DO197))</f>
        <v>3.7037037037037035E-4</v>
      </c>
      <c r="EO197" s="10" cm="1">
        <f t="array" aca="1" ref="EO197" ca="1">(1-$B$18)*SUMPRODUCT(OFFSET($BO$15,0,0,$B$14,1), 1*(_xlfn._xlws.FILTER(OFFSET($O$15,0,$DN197,$B$8,1),OFFSET($M$15,0,0,$B$8,1))=EO$13), 1*(_xlfn._xlws.FILTER(OFFSET($O$15,0,$DO197,$B$8,1),OFFSET($M$15,0,0,$B$8,1))=EO$14))   /   SUM(OFFSET($BO$15,0,0,$B$14,1)) + $B$18/($B$19*$B$19*($DN197&lt;&gt;$DO197) + $B$19*($DN197=$DO197))</f>
        <v>3.7037037037037035E-4</v>
      </c>
      <c r="EP197" s="10" cm="1">
        <f t="array" aca="1" ref="EP197" ca="1">(1-$B$18)*SUMPRODUCT(OFFSET($BO$15,0,0,$B$14,1), 1*(_xlfn._xlws.FILTER(OFFSET($O$15,0,$DN197,$B$8,1),OFFSET($M$15,0,0,$B$8,1))=EP$13), 1*(_xlfn._xlws.FILTER(OFFSET($O$15,0,$DO197,$B$8,1),OFFSET($M$15,0,0,$B$8,1))=EP$14))   /   SUM(OFFSET($BO$15,0,0,$B$14,1)) + $B$18/($B$19*$B$19*($DN197&lt;&gt;$DO197) + $B$19*($DN197=$DO197))</f>
        <v>3.7037037037037035E-4</v>
      </c>
      <c r="EQ197" s="10" cm="1">
        <f t="array" aca="1" ref="EQ197" ca="1">(1-$B$18)*SUMPRODUCT(OFFSET($BO$15,0,0,$B$14,1), 1*(_xlfn._xlws.FILTER(OFFSET($O$15,0,$DN197,$B$8,1),OFFSET($M$15,0,0,$B$8,1))=EQ$13), 1*(_xlfn._xlws.FILTER(OFFSET($O$15,0,$DO197,$B$8,1),OFFSET($M$15,0,0,$B$8,1))=EQ$14))   /   SUM(OFFSET($BO$15,0,0,$B$14,1)) + $B$18/($B$19*$B$19*($DN197&lt;&gt;$DO197) + $B$19*($DN197=$DO197))</f>
        <v>3.7037037037037035E-4</v>
      </c>
      <c r="ER197" s="10" cm="1">
        <f t="array" aca="1" ref="ER197" ca="1">(1-$B$18)*SUMPRODUCT(OFFSET($BO$15,0,0,$B$14,1), 1*(_xlfn._xlws.FILTER(OFFSET($O$15,0,$DN197,$B$8,1),OFFSET($M$15,0,0,$B$8,1))=ER$13), 1*(_xlfn._xlws.FILTER(OFFSET($O$15,0,$DO197,$B$8,1),OFFSET($M$15,0,0,$B$8,1))=ER$14))   /   SUM(OFFSET($BO$15,0,0,$B$14,1)) + $B$18/($B$19*$B$19*($DN197&lt;&gt;$DO197) + $B$19*($DN197=$DO197))</f>
        <v>3.7037037037037035E-4</v>
      </c>
      <c r="ES197" s="10" cm="1">
        <f t="array" aca="1" ref="ES197" ca="1">(1-$B$18)*SUMPRODUCT(OFFSET($BO$15,0,0,$B$14,1), 1*(_xlfn._xlws.FILTER(OFFSET($O$15,0,$DN197,$B$8,1),OFFSET($M$15,0,0,$B$8,1))=ES$13), 1*(_xlfn._xlws.FILTER(OFFSET($O$15,0,$DO197,$B$8,1),OFFSET($M$15,0,0,$B$8,1))=ES$14))   /   SUM(OFFSET($BO$15,0,0,$B$14,1)) + $B$18/($B$19*$B$19*($DN197&lt;&gt;$DO197) + $B$19*($DN197=$DO197))</f>
        <v>3.7037037037037035E-4</v>
      </c>
      <c r="ET197" s="10" cm="1">
        <f t="array" aca="1" ref="ET197" ca="1">(1-$B$18)*SUMPRODUCT(OFFSET($BO$15,0,0,$B$14,1), 1*(_xlfn._xlws.FILTER(OFFSET($O$15,0,$DN197,$B$8,1),OFFSET($M$15,0,0,$B$8,1))=ET$13), 1*(_xlfn._xlws.FILTER(OFFSET($O$15,0,$DO197,$B$8,1),OFFSET($M$15,0,0,$B$8,1))=ET$14))   /   SUM(OFFSET($BO$15,0,0,$B$14,1)) + $B$18/($B$19*$B$19*($DN197&lt;&gt;$DO197) + $B$19*($DN197=$DO197))</f>
        <v>3.7037037037037035E-4</v>
      </c>
      <c r="EU197" s="10" cm="1">
        <f t="array" aca="1" ref="EU197" ca="1">(1-$B$18)*SUMPRODUCT(OFFSET($BO$15,0,0,$B$14,1), 1*(_xlfn._xlws.FILTER(OFFSET($O$15,0,$DN197,$B$8,1),OFFSET($M$15,0,0,$B$8,1))=EU$13), 1*(_xlfn._xlws.FILTER(OFFSET($O$15,0,$DO197,$B$8,1),OFFSET($M$15,0,0,$B$8,1))=EU$14))   /   SUM(OFFSET($BO$15,0,0,$B$14,1)) + $B$18/($B$19*$B$19*($DN197&lt;&gt;$DO197) + $B$19*($DN197=$DO197))</f>
        <v>3.7037037037037035E-4</v>
      </c>
      <c r="EV197" s="10" cm="1">
        <f t="array" aca="1" ref="EV197" ca="1">(1-$B$18)*SUMPRODUCT(OFFSET($BO$15,0,0,$B$14,1), 1*(_xlfn._xlws.FILTER(OFFSET($O$15,0,$DN197,$B$8,1),OFFSET($M$15,0,0,$B$8,1))=EV$13), 1*(_xlfn._xlws.FILTER(OFFSET($O$15,0,$DO197,$B$8,1),OFFSET($M$15,0,0,$B$8,1))=EV$14))   /   SUM(OFFSET($BO$15,0,0,$B$14,1)) + $B$18/($B$19*$B$19*($DN197&lt;&gt;$DO197) + $B$19*($DN197=$DO197))</f>
        <v>3.7037037037037035E-4</v>
      </c>
      <c r="EW197" s="10" cm="1">
        <f t="array" aca="1" ref="EW197" ca="1">(1-$B$18)*SUMPRODUCT(OFFSET($BO$15,0,0,$B$14,1), 1*(_xlfn._xlws.FILTER(OFFSET($O$15,0,$DN197,$B$8,1),OFFSET($M$15,0,0,$B$8,1))=EW$13), 1*(_xlfn._xlws.FILTER(OFFSET($O$15,0,$DO197,$B$8,1),OFFSET($M$15,0,0,$B$8,1))=EW$14))   /   SUM(OFFSET($BO$15,0,0,$B$14,1)) + $B$18/($B$19*$B$19*($DN197&lt;&gt;$DO197) + $B$19*($DN197=$DO197))</f>
        <v>3.7037037037037035E-4</v>
      </c>
      <c r="EX197" s="10" cm="1">
        <f t="array" aca="1" ref="EX197" ca="1">(1-$B$18)*SUMPRODUCT(OFFSET($BO$15,0,0,$B$14,1), 1*(_xlfn._xlws.FILTER(OFFSET($O$15,0,$DN197,$B$8,1),OFFSET($M$15,0,0,$B$8,1))=EX$13), 1*(_xlfn._xlws.FILTER(OFFSET($O$15,0,$DO197,$B$8,1),OFFSET($M$15,0,0,$B$8,1))=EX$14))   /   SUM(OFFSET($BO$15,0,0,$B$14,1)) + $B$18/($B$19*$B$19*($DN197&lt;&gt;$DO197) + $B$19*($DN197=$DO197))</f>
        <v>3.7037037037037035E-4</v>
      </c>
      <c r="EY197" s="10" cm="1">
        <f t="array" aca="1" ref="EY197" ca="1">(1-$B$18)*SUMPRODUCT(OFFSET($BO$15,0,0,$B$14,1), 1*(_xlfn._xlws.FILTER(OFFSET($O$15,0,$DN197,$B$8,1),OFFSET($M$15,0,0,$B$8,1))=EY$13), 1*(_xlfn._xlws.FILTER(OFFSET($O$15,0,$DO197,$B$8,1),OFFSET($M$15,0,0,$B$8,1))=EY$14))   /   SUM(OFFSET($BO$15,0,0,$B$14,1)) + $B$18/($B$19*$B$19*($DN197&lt;&gt;$DO197) + $B$19*($DN197=$DO197))</f>
        <v>3.7037037037037035E-4</v>
      </c>
      <c r="EZ197" s="10" cm="1">
        <f t="array" aca="1" ref="EZ197" ca="1">(1-$B$18)*SUMPRODUCT(OFFSET($BO$15,0,0,$B$14,1), 1*(_xlfn._xlws.FILTER(OFFSET($O$15,0,$DN197,$B$8,1),OFFSET($M$15,0,0,$B$8,1))=EZ$13), 1*(_xlfn._xlws.FILTER(OFFSET($O$15,0,$DO197,$B$8,1),OFFSET($M$15,0,0,$B$8,1))=EZ$14))   /   SUM(OFFSET($BO$15,0,0,$B$14,1)) + $B$18/($B$19*$B$19*($DN197&lt;&gt;$DO197) + $B$19*($DN197=$DO197))</f>
        <v>3.7037037037037035E-4</v>
      </c>
      <c r="FA197" s="10" cm="1">
        <f t="array" aca="1" ref="FA197" ca="1">(1-$B$18)*SUMPRODUCT(OFFSET($BO$15,0,0,$B$14,1), 1*(_xlfn._xlws.FILTER(OFFSET($O$15,0,$DN197,$B$8,1),OFFSET($M$15,0,0,$B$8,1))=FA$13), 1*(_xlfn._xlws.FILTER(OFFSET($O$15,0,$DO197,$B$8,1),OFFSET($M$15,0,0,$B$8,1))=FA$14))   /   SUM(OFFSET($BO$15,0,0,$B$14,1)) + $B$18/($B$19*$B$19*($DN197&lt;&gt;$DO197) + $B$19*($DN197=$DO197))</f>
        <v>3.7037037037037035E-4</v>
      </c>
      <c r="FB197" s="10" cm="1">
        <f t="array" aca="1" ref="FB197" ca="1">(1-$B$18)*SUMPRODUCT(OFFSET($BO$15,0,0,$B$14,1), 1*(_xlfn._xlws.FILTER(OFFSET($O$15,0,$DN197,$B$8,1),OFFSET($M$15,0,0,$B$8,1))=FB$13), 1*(_xlfn._xlws.FILTER(OFFSET($O$15,0,$DO197,$B$8,1),OFFSET($M$15,0,0,$B$8,1))=FB$14))   /   SUM(OFFSET($BO$15,0,0,$B$14,1)) + $B$18/($B$19*$B$19*($DN197&lt;&gt;$DO197) + $B$19*($DN197=$DO197))</f>
        <v>3.7037037037037035E-4</v>
      </c>
      <c r="FC197" s="10" cm="1">
        <f t="array" aca="1" ref="FC197" ca="1">(1-$B$18)*SUMPRODUCT(OFFSET($BO$15,0,0,$B$14,1), 1*(_xlfn._xlws.FILTER(OFFSET($O$15,0,$DN197,$B$8,1),OFFSET($M$15,0,0,$B$8,1))=FC$13), 1*(_xlfn._xlws.FILTER(OFFSET($O$15,0,$DO197,$B$8,1),OFFSET($M$15,0,0,$B$8,1))=FC$14))   /   SUM(OFFSET($BO$15,0,0,$B$14,1)) + $B$18/($B$19*$B$19*($DN197&lt;&gt;$DO197) + $B$19*($DN197=$DO197))</f>
        <v>3.7037037037037035E-4</v>
      </c>
      <c r="FD197" s="10" cm="1">
        <f t="array" aca="1" ref="FD197" ca="1">(1-$B$18)*SUMPRODUCT(OFFSET($BO$15,0,0,$B$14,1), 1*(_xlfn._xlws.FILTER(OFFSET($O$15,0,$DN197,$B$8,1),OFFSET($M$15,0,0,$B$8,1))=FD$13), 1*(_xlfn._xlws.FILTER(OFFSET($O$15,0,$DO197,$B$8,1),OFFSET($M$15,0,0,$B$8,1))=FD$14))   /   SUM(OFFSET($BO$15,0,0,$B$14,1)) + $B$18/($B$19*$B$19*($DN197&lt;&gt;$DO197) + $B$19*($DN197=$DO197))</f>
        <v>3.7037037037037035E-4</v>
      </c>
      <c r="FE197" s="10" cm="1">
        <f t="array" aca="1" ref="FE197" ca="1">(1-$B$18)*SUMPRODUCT(OFFSET($BO$15,0,0,$B$14,1), 1*(_xlfn._xlws.FILTER(OFFSET($O$15,0,$DN197,$B$8,1),OFFSET($M$15,0,0,$B$8,1))=FE$13), 1*(_xlfn._xlws.FILTER(OFFSET($O$15,0,$DO197,$B$8,1),OFFSET($M$15,0,0,$B$8,1))=FE$14))   /   SUM(OFFSET($BO$15,0,0,$B$14,1)) + $B$18/($B$19*$B$19*($DN197&lt;&gt;$DO197) + $B$19*($DN197=$DO197))</f>
        <v>3.7037037037037035E-4</v>
      </c>
      <c r="FF197" s="10" cm="1">
        <f t="array" aca="1" ref="FF197" ca="1">(1-$B$18)*SUMPRODUCT(OFFSET($BO$15,0,0,$B$14,1), 1*(_xlfn._xlws.FILTER(OFFSET($O$15,0,$DN197,$B$8,1),OFFSET($M$15,0,0,$B$8,1))=FF$13), 1*(_xlfn._xlws.FILTER(OFFSET($O$15,0,$DO197,$B$8,1),OFFSET($M$15,0,0,$B$8,1))=FF$14))   /   SUM(OFFSET($BO$15,0,0,$B$14,1)) + $B$18/($B$19*$B$19*($DN197&lt;&gt;$DO197) + $B$19*($DN197=$DO197))</f>
        <v>3.7037037037037035E-4</v>
      </c>
      <c r="FG197" s="10" cm="1">
        <f t="array" aca="1" ref="FG197" ca="1">(1-$B$18)*SUMPRODUCT(OFFSET($BO$15,0,0,$B$14,1), 1*(_xlfn._xlws.FILTER(OFFSET($O$15,0,$DN197,$B$8,1),OFFSET($M$15,0,0,$B$8,1))=FG$13), 1*(_xlfn._xlws.FILTER(OFFSET($O$15,0,$DO197,$B$8,1),OFFSET($M$15,0,0,$B$8,1))=FG$14))   /   SUM(OFFSET($BO$15,0,0,$B$14,1)) + $B$18/($B$19*$B$19*($DN197&lt;&gt;$DO197) + $B$19*($DN197=$DO197))</f>
        <v>3.7037037037037035E-4</v>
      </c>
      <c r="FH197" s="10" cm="1">
        <f t="array" aca="1" ref="FH197" ca="1">(1-$B$18)*SUMPRODUCT(OFFSET($BO$15,0,0,$B$14,1), 1*(_xlfn._xlws.FILTER(OFFSET($O$15,0,$DN197,$B$8,1),OFFSET($M$15,0,0,$B$8,1))=FH$13), 1*(_xlfn._xlws.FILTER(OFFSET($O$15,0,$DO197,$B$8,1),OFFSET($M$15,0,0,$B$8,1))=FH$14))   /   SUM(OFFSET($BO$15,0,0,$B$14,1)) + $B$18/($B$19*$B$19*($DN197&lt;&gt;$DO197) + $B$19*($DN197=$DO197))</f>
        <v>3.7037037037037035E-4</v>
      </c>
      <c r="FI197" s="10" cm="1">
        <f t="array" aca="1" ref="FI197" ca="1">(1-$B$18)*SUMPRODUCT(OFFSET($BO$15,0,0,$B$14,1), 1*(_xlfn._xlws.FILTER(OFFSET($O$15,0,$DN197,$B$8,1),OFFSET($M$15,0,0,$B$8,1))=FI$13), 1*(_xlfn._xlws.FILTER(OFFSET($O$15,0,$DO197,$B$8,1),OFFSET($M$15,0,0,$B$8,1))=FI$14))   /   SUM(OFFSET($BO$15,0,0,$B$14,1)) + $B$18/($B$19*$B$19*($DN197&lt;&gt;$DO197) + $B$19*($DN197=$DO197))</f>
        <v>3.7037037037037035E-4</v>
      </c>
      <c r="FJ197" s="10" cm="1">
        <f t="array" aca="1" ref="FJ197" ca="1">(1-$B$18)*SUMPRODUCT(OFFSET($BO$15,0,0,$B$14,1), 1*(_xlfn._xlws.FILTER(OFFSET($O$15,0,$DN197,$B$8,1),OFFSET($M$15,0,0,$B$8,1))=FJ$13), 1*(_xlfn._xlws.FILTER(OFFSET($O$15,0,$DO197,$B$8,1),OFFSET($M$15,0,0,$B$8,1))=FJ$14))   /   SUM(OFFSET($BO$15,0,0,$B$14,1)) + $B$18/($B$19*$B$19*($DN197&lt;&gt;$DO197) + $B$19*($DN197=$DO197))</f>
        <v>3.7037037037037035E-4</v>
      </c>
      <c r="FK197" s="10" cm="1">
        <f t="array" aca="1" ref="FK197" ca="1">(1-$B$18)*SUMPRODUCT(OFFSET($BO$15,0,0,$B$14,1), 1*(_xlfn._xlws.FILTER(OFFSET($O$15,0,$DN197,$B$8,1),OFFSET($M$15,0,0,$B$8,1))=FK$13), 1*(_xlfn._xlws.FILTER(OFFSET($O$15,0,$DO197,$B$8,1),OFFSET($M$15,0,0,$B$8,1))=FK$14))   /   SUM(OFFSET($BO$15,0,0,$B$14,1)) + $B$18/($B$19*$B$19*($DN197&lt;&gt;$DO197) + $B$19*($DN197=$DO197))</f>
        <v>3.7037037037037035E-4</v>
      </c>
      <c r="FL197" s="10" cm="1">
        <f t="array" aca="1" ref="FL197" ca="1">(1-$B$18)*SUMPRODUCT(OFFSET($BO$15,0,0,$B$14,1), 1*(_xlfn._xlws.FILTER(OFFSET($O$15,0,$DN197,$B$8,1),OFFSET($M$15,0,0,$B$8,1))=FL$13), 1*(_xlfn._xlws.FILTER(OFFSET($O$15,0,$DO197,$B$8,1),OFFSET($M$15,0,0,$B$8,1))=FL$14))   /   SUM(OFFSET($BO$15,0,0,$B$14,1)) + $B$18/($B$19*$B$19*($DN197&lt;&gt;$DO197) + $B$19*($DN197=$DO197))</f>
        <v>3.7037037037037035E-4</v>
      </c>
      <c r="FM197" s="10" cm="1">
        <f t="array" aca="1" ref="FM197" ca="1">(1-$B$18)*SUMPRODUCT(OFFSET($BO$15,0,0,$B$14,1), 1*(_xlfn._xlws.FILTER(OFFSET($O$15,0,$DN197,$B$8,1),OFFSET($M$15,0,0,$B$8,1))=FM$13), 1*(_xlfn._xlws.FILTER(OFFSET($O$15,0,$DO197,$B$8,1),OFFSET($M$15,0,0,$B$8,1))=FM$14))   /   SUM(OFFSET($BO$15,0,0,$B$14,1)) + $B$18/($B$19*$B$19*($DN197&lt;&gt;$DO197) + $B$19*($DN197=$DO197))</f>
        <v>0.97037037037037033</v>
      </c>
      <c r="FN197" s="10" cm="1">
        <f t="array" aca="1" ref="FN197" ca="1">(1-$B$18)*SUMPRODUCT(OFFSET($BO$15,0,0,$B$14,1), 1*(_xlfn._xlws.FILTER(OFFSET($O$15,0,$DN197,$B$8,1),OFFSET($M$15,0,0,$B$8,1))=FN$13), 1*(_xlfn._xlws.FILTER(OFFSET($O$15,0,$DO197,$B$8,1),OFFSET($M$15,0,0,$B$8,1))=FN$14))   /   SUM(OFFSET($BO$15,0,0,$B$14,1)) + $B$18/($B$19*$B$19*($DN197&lt;&gt;$DO197) + $B$19*($DN197=$DO197))</f>
        <v>3.7037037037037035E-4</v>
      </c>
      <c r="FO197" s="10" cm="1">
        <f t="array" aca="1" ref="FO197" ca="1">(1-$B$18)*SUMPRODUCT(OFFSET($BO$15,0,0,$B$14,1), 1*(_xlfn._xlws.FILTER(OFFSET($O$15,0,$DN197,$B$8,1),OFFSET($M$15,0,0,$B$8,1))=FO$13), 1*(_xlfn._xlws.FILTER(OFFSET($O$15,0,$DO197,$B$8,1),OFFSET($M$15,0,0,$B$8,1))=FO$14))   /   SUM(OFFSET($BO$15,0,0,$B$14,1)) + $B$18/($B$19*$B$19*($DN197&lt;&gt;$DO197) + $B$19*($DN197=$DO197))</f>
        <v>3.7037037037037035E-4</v>
      </c>
      <c r="FP197" s="10" cm="1">
        <f t="array" aca="1" ref="FP197" ca="1">(1-$B$18)*SUMPRODUCT(OFFSET($BO$15,0,0,$B$14,1), 1*(_xlfn._xlws.FILTER(OFFSET($O$15,0,$DN197,$B$8,1),OFFSET($M$15,0,0,$B$8,1))=FP$13), 1*(_xlfn._xlws.FILTER(OFFSET($O$15,0,$DO197,$B$8,1),OFFSET($M$15,0,0,$B$8,1))=FP$14))   /   SUM(OFFSET($BO$15,0,0,$B$14,1)) + $B$18/($B$19*$B$19*($DN197&lt;&gt;$DO197) + $B$19*($DN197=$DO197))</f>
        <v>3.7037037037037035E-4</v>
      </c>
      <c r="FQ197" s="10" cm="1">
        <f t="array" aca="1" ref="FQ197" ca="1">(1-$B$18)*SUMPRODUCT(OFFSET($BO$15,0,0,$B$14,1), 1*(_xlfn._xlws.FILTER(OFFSET($O$15,0,$DN197,$B$8,1),OFFSET($M$15,0,0,$B$8,1))=FQ$13), 1*(_xlfn._xlws.FILTER(OFFSET($O$15,0,$DO197,$B$8,1),OFFSET($M$15,0,0,$B$8,1))=FQ$14))   /   SUM(OFFSET($BO$15,0,0,$B$14,1)) + $B$18/($B$19*$B$19*($DN197&lt;&gt;$DO197) + $B$19*($DN197=$DO197))</f>
        <v>3.7037037037037035E-4</v>
      </c>
      <c r="FR197" s="10" cm="1">
        <f t="array" aca="1" ref="FR197" ca="1">(1-$B$18)*SUMPRODUCT(OFFSET($BO$15,0,0,$B$14,1), 1*(_xlfn._xlws.FILTER(OFFSET($O$15,0,$DN197,$B$8,1),OFFSET($M$15,0,0,$B$8,1))=FR$13), 1*(_xlfn._xlws.FILTER(OFFSET($O$15,0,$DO197,$B$8,1),OFFSET($M$15,0,0,$B$8,1))=FR$14))   /   SUM(OFFSET($BO$15,0,0,$B$14,1)) + $B$18/($B$19*$B$19*($DN197&lt;&gt;$DO197) + $B$19*($DN197=$DO197))</f>
        <v>3.7037037037037035E-4</v>
      </c>
      <c r="FS197" s="10" cm="1">
        <f t="array" aca="1" ref="FS197" ca="1">(1-$B$18)*SUMPRODUCT(OFFSET($BO$15,0,0,$B$14,1), 1*(_xlfn._xlws.FILTER(OFFSET($O$15,0,$DN197,$B$8,1),OFFSET($M$15,0,0,$B$8,1))=FS$13), 1*(_xlfn._xlws.FILTER(OFFSET($O$15,0,$DO197,$B$8,1),OFFSET($M$15,0,0,$B$8,1))=FS$14))   /   SUM(OFFSET($BO$15,0,0,$B$14,1)) + $B$18/($B$19*$B$19*($DN197&lt;&gt;$DO197) + $B$19*($DN197=$DO197))</f>
        <v>3.7037037037037035E-4</v>
      </c>
      <c r="FT197" s="10" cm="1">
        <f t="array" aca="1" ref="FT197" ca="1">(1-$B$18)*SUMPRODUCT(OFFSET($BO$15,0,0,$B$14,1), 1*(_xlfn._xlws.FILTER(OFFSET($O$15,0,$DN197,$B$8,1),OFFSET($M$15,0,0,$B$8,1))=FT$13), 1*(_xlfn._xlws.FILTER(OFFSET($O$15,0,$DO197,$B$8,1),OFFSET($M$15,0,0,$B$8,1))=FT$14))   /   SUM(OFFSET($BO$15,0,0,$B$14,1)) + $B$18/($B$19*$B$19*($DN197&lt;&gt;$DO197) + $B$19*($DN197=$DO197))</f>
        <v>3.7037037037037035E-4</v>
      </c>
      <c r="FU197" s="10" cm="1">
        <f t="array" aca="1" ref="FU197" ca="1">(1-$B$18)*SUMPRODUCT(OFFSET($BO$15,0,0,$B$14,1), 1*(_xlfn._xlws.FILTER(OFFSET($O$15,0,$DN197,$B$8,1),OFFSET($M$15,0,0,$B$8,1))=FU$13), 1*(_xlfn._xlws.FILTER(OFFSET($O$15,0,$DO197,$B$8,1),OFFSET($M$15,0,0,$B$8,1))=FU$14))   /   SUM(OFFSET($BO$15,0,0,$B$14,1)) + $B$18/($B$19*$B$19*($DN197&lt;&gt;$DO197) + $B$19*($DN197=$DO197))</f>
        <v>3.7037037037037035E-4</v>
      </c>
      <c r="FV197" s="10" cm="1">
        <f t="array" aca="1" ref="FV197" ca="1">(1-$B$18)*SUMPRODUCT(OFFSET($BO$15,0,0,$B$14,1), 1*(_xlfn._xlws.FILTER(OFFSET($O$15,0,$DN197,$B$8,1),OFFSET($M$15,0,0,$B$8,1))=FV$13), 1*(_xlfn._xlws.FILTER(OFFSET($O$15,0,$DO197,$B$8,1),OFFSET($M$15,0,0,$B$8,1))=FV$14))   /   SUM(OFFSET($BO$15,0,0,$B$14,1)) + $B$18/($B$19*$B$19*($DN197&lt;&gt;$DO197) + $B$19*($DN197=$DO197))</f>
        <v>3.7037037037037035E-4</v>
      </c>
      <c r="FW197" s="10" cm="1">
        <f t="array" aca="1" ref="FW197" ca="1">(1-$B$18)*SUMPRODUCT(OFFSET($BO$15,0,0,$B$14,1), 1*(_xlfn._xlws.FILTER(OFFSET($O$15,0,$DN197,$B$8,1),OFFSET($M$15,0,0,$B$8,1))=FW$13), 1*(_xlfn._xlws.FILTER(OFFSET($O$15,0,$DO197,$B$8,1),OFFSET($M$15,0,0,$B$8,1))=FW$14))   /   SUM(OFFSET($BO$15,0,0,$B$14,1)) + $B$18/($B$19*$B$19*($DN197&lt;&gt;$DO197) + $B$19*($DN197=$DO197))</f>
        <v>3.7037037037037035E-4</v>
      </c>
      <c r="FX197" s="10" cm="1">
        <f t="array" aca="1" ref="FX197" ca="1">(1-$B$18)*SUMPRODUCT(OFFSET($BO$15,0,0,$B$14,1), 1*(_xlfn._xlws.FILTER(OFFSET($O$15,0,$DN197,$B$8,1),OFFSET($M$15,0,0,$B$8,1))=FX$13), 1*(_xlfn._xlws.FILTER(OFFSET($O$15,0,$DO197,$B$8,1),OFFSET($M$15,0,0,$B$8,1))=FX$14))   /   SUM(OFFSET($BO$15,0,0,$B$14,1)) + $B$18/($B$19*$B$19*($DN197&lt;&gt;$DO197) + $B$19*($DN197=$DO197))</f>
        <v>3.7037037037037035E-4</v>
      </c>
      <c r="FY197" s="10" cm="1">
        <f t="array" aca="1" ref="FY197" ca="1">(1-$B$18)*SUMPRODUCT(OFFSET($BO$15,0,0,$B$14,1), 1*(_xlfn._xlws.FILTER(OFFSET($O$15,0,$DN197,$B$8,1),OFFSET($M$15,0,0,$B$8,1))=FY$13), 1*(_xlfn._xlws.FILTER(OFFSET($O$15,0,$DO197,$B$8,1),OFFSET($M$15,0,0,$B$8,1))=FY$14))   /   SUM(OFFSET($BO$15,0,0,$B$14,1)) + $B$18/($B$19*$B$19*($DN197&lt;&gt;$DO197) + $B$19*($DN197=$DO197))</f>
        <v>3.7037037037037035E-4</v>
      </c>
      <c r="FZ197" s="10" cm="1">
        <f t="array" aca="1" ref="FZ197" ca="1">(1-$B$18)*SUMPRODUCT(OFFSET($BO$15,0,0,$B$14,1), 1*(_xlfn._xlws.FILTER(OFFSET($O$15,0,$DN197,$B$8,1),OFFSET($M$15,0,0,$B$8,1))=FZ$13), 1*(_xlfn._xlws.FILTER(OFFSET($O$15,0,$DO197,$B$8,1),OFFSET($M$15,0,0,$B$8,1))=FZ$14))   /   SUM(OFFSET($BO$15,0,0,$B$14,1)) + $B$18/($B$19*$B$19*($DN197&lt;&gt;$DO197) + $B$19*($DN197=$DO197))</f>
        <v>3.7037037037037035E-4</v>
      </c>
      <c r="GA197" s="10" cm="1">
        <f t="array" aca="1" ref="GA197" ca="1">(1-$B$18)*SUMPRODUCT(OFFSET($BO$15,0,0,$B$14,1), 1*(_xlfn._xlws.FILTER(OFFSET($O$15,0,$DN197,$B$8,1),OFFSET($M$15,0,0,$B$8,1))=GA$13), 1*(_xlfn._xlws.FILTER(OFFSET($O$15,0,$DO197,$B$8,1),OFFSET($M$15,0,0,$B$8,1))=GA$14))   /   SUM(OFFSET($BO$15,0,0,$B$14,1)) + $B$18/($B$19*$B$19*($DN197&lt;&gt;$DO197) + $B$19*($DN197=$DO197))</f>
        <v>3.7037037037037035E-4</v>
      </c>
    </row>
    <row r="198" spans="118:183" x14ac:dyDescent="0.2">
      <c r="DN198" cm="1">
        <f t="array" aca="1" ref="DN198" ca="1">INDEX(_xlfn.ANCHORARRAY($CP$15), 1 + INT((ROWS($DO$15:$DO198) - 1) / ROWS(_xlfn.ANCHORARRAY($CP$15))))</f>
        <v>9</v>
      </c>
      <c r="DO198" cm="1">
        <f t="array" aca="1" ref="DO198" ca="1">INDEX(_xlfn.ANCHORARRAY($CP$15),1+MOD(ROWS($DO$15:$DO198)-1,ROWS(_xlfn.ANCHORARRAY($CP$15))))</f>
        <v>13</v>
      </c>
      <c r="DP198" s="10" cm="1">
        <f t="array" aca="1" ref="DP198" ca="1">(1-$B$18)*SUMPRODUCT(OFFSET($BO$15,0,0,$B$14,1), 1*(_xlfn._xlws.FILTER(OFFSET($O$15,0,$DN198,$B$8,1),OFFSET($M$15,0,0,$B$8,1))=DP$13), 1*(_xlfn._xlws.FILTER(OFFSET($O$15,0,$DO198,$B$8,1),OFFSET($M$15,0,0,$B$8,1))=DP$14))   /   SUM(OFFSET($BO$15,0,0,$B$14,1)) + $B$18/($B$19*$B$19*($DN198&lt;&gt;$DO198) + $B$19*($DN198=$DO198))</f>
        <v>3.7037037037037035E-4</v>
      </c>
      <c r="DQ198" s="10" cm="1">
        <f t="array" aca="1" ref="DQ198" ca="1">(1-$B$18)*SUMPRODUCT(OFFSET($BO$15,0,0,$B$14,1), 1*(_xlfn._xlws.FILTER(OFFSET($O$15,0,$DN198,$B$8,1),OFFSET($M$15,0,0,$B$8,1))=DQ$13), 1*(_xlfn._xlws.FILTER(OFFSET($O$15,0,$DO198,$B$8,1),OFFSET($M$15,0,0,$B$8,1))=DQ$14))   /   SUM(OFFSET($BO$15,0,0,$B$14,1)) + $B$18/($B$19*$B$19*($DN198&lt;&gt;$DO198) + $B$19*($DN198=$DO198))</f>
        <v>3.7037037037037035E-4</v>
      </c>
      <c r="DR198" s="10" cm="1">
        <f t="array" aca="1" ref="DR198" ca="1">(1-$B$18)*SUMPRODUCT(OFFSET($BO$15,0,0,$B$14,1), 1*(_xlfn._xlws.FILTER(OFFSET($O$15,0,$DN198,$B$8,1),OFFSET($M$15,0,0,$B$8,1))=DR$13), 1*(_xlfn._xlws.FILTER(OFFSET($O$15,0,$DO198,$B$8,1),OFFSET($M$15,0,0,$B$8,1))=DR$14))   /   SUM(OFFSET($BO$15,0,0,$B$14,1)) + $B$18/($B$19*$B$19*($DN198&lt;&gt;$DO198) + $B$19*($DN198=$DO198))</f>
        <v>3.7037037037037035E-4</v>
      </c>
      <c r="DS198" s="10" cm="1">
        <f t="array" aca="1" ref="DS198" ca="1">(1-$B$18)*SUMPRODUCT(OFFSET($BO$15,0,0,$B$14,1), 1*(_xlfn._xlws.FILTER(OFFSET($O$15,0,$DN198,$B$8,1),OFFSET($M$15,0,0,$B$8,1))=DS$13), 1*(_xlfn._xlws.FILTER(OFFSET($O$15,0,$DO198,$B$8,1),OFFSET($M$15,0,0,$B$8,1))=DS$14))   /   SUM(OFFSET($BO$15,0,0,$B$14,1)) + $B$18/($B$19*$B$19*($DN198&lt;&gt;$DO198) + $B$19*($DN198=$DO198))</f>
        <v>3.7037037037037035E-4</v>
      </c>
      <c r="DT198" s="10" cm="1">
        <f t="array" aca="1" ref="DT198" ca="1">(1-$B$18)*SUMPRODUCT(OFFSET($BO$15,0,0,$B$14,1), 1*(_xlfn._xlws.FILTER(OFFSET($O$15,0,$DN198,$B$8,1),OFFSET($M$15,0,0,$B$8,1))=DT$13), 1*(_xlfn._xlws.FILTER(OFFSET($O$15,0,$DO198,$B$8,1),OFFSET($M$15,0,0,$B$8,1))=DT$14))   /   SUM(OFFSET($BO$15,0,0,$B$14,1)) + $B$18/($B$19*$B$19*($DN198&lt;&gt;$DO198) + $B$19*($DN198=$DO198))</f>
        <v>3.7037037037037035E-4</v>
      </c>
      <c r="DU198" s="10" cm="1">
        <f t="array" aca="1" ref="DU198" ca="1">(1-$B$18)*SUMPRODUCT(OFFSET($BO$15,0,0,$B$14,1), 1*(_xlfn._xlws.FILTER(OFFSET($O$15,0,$DN198,$B$8,1),OFFSET($M$15,0,0,$B$8,1))=DU$13), 1*(_xlfn._xlws.FILTER(OFFSET($O$15,0,$DO198,$B$8,1),OFFSET($M$15,0,0,$B$8,1))=DU$14))   /   SUM(OFFSET($BO$15,0,0,$B$14,1)) + $B$18/($B$19*$B$19*($DN198&lt;&gt;$DO198) + $B$19*($DN198=$DO198))</f>
        <v>3.7037037037037035E-4</v>
      </c>
      <c r="DV198" s="10" cm="1">
        <f t="array" aca="1" ref="DV198" ca="1">(1-$B$18)*SUMPRODUCT(OFFSET($BO$15,0,0,$B$14,1), 1*(_xlfn._xlws.FILTER(OFFSET($O$15,0,$DN198,$B$8,1),OFFSET($M$15,0,0,$B$8,1))=DV$13), 1*(_xlfn._xlws.FILTER(OFFSET($O$15,0,$DO198,$B$8,1),OFFSET($M$15,0,0,$B$8,1))=DV$14))   /   SUM(OFFSET($BO$15,0,0,$B$14,1)) + $B$18/($B$19*$B$19*($DN198&lt;&gt;$DO198) + $B$19*($DN198=$DO198))</f>
        <v>3.7037037037037035E-4</v>
      </c>
      <c r="DW198" s="10" cm="1">
        <f t="array" aca="1" ref="DW198" ca="1">(1-$B$18)*SUMPRODUCT(OFFSET($BO$15,0,0,$B$14,1), 1*(_xlfn._xlws.FILTER(OFFSET($O$15,0,$DN198,$B$8,1),OFFSET($M$15,0,0,$B$8,1))=DW$13), 1*(_xlfn._xlws.FILTER(OFFSET($O$15,0,$DO198,$B$8,1),OFFSET($M$15,0,0,$B$8,1))=DW$14))   /   SUM(OFFSET($BO$15,0,0,$B$14,1)) + $B$18/($B$19*$B$19*($DN198&lt;&gt;$DO198) + $B$19*($DN198=$DO198))</f>
        <v>3.7037037037037035E-4</v>
      </c>
      <c r="DX198" s="10" cm="1">
        <f t="array" aca="1" ref="DX198" ca="1">(1-$B$18)*SUMPRODUCT(OFFSET($BO$15,0,0,$B$14,1), 1*(_xlfn._xlws.FILTER(OFFSET($O$15,0,$DN198,$B$8,1),OFFSET($M$15,0,0,$B$8,1))=DX$13), 1*(_xlfn._xlws.FILTER(OFFSET($O$15,0,$DO198,$B$8,1),OFFSET($M$15,0,0,$B$8,1))=DX$14))   /   SUM(OFFSET($BO$15,0,0,$B$14,1)) + $B$18/($B$19*$B$19*($DN198&lt;&gt;$DO198) + $B$19*($DN198=$DO198))</f>
        <v>3.7037037037037035E-4</v>
      </c>
      <c r="DY198" s="10" cm="1">
        <f t="array" aca="1" ref="DY198" ca="1">(1-$B$18)*SUMPRODUCT(OFFSET($BO$15,0,0,$B$14,1), 1*(_xlfn._xlws.FILTER(OFFSET($O$15,0,$DN198,$B$8,1),OFFSET($M$15,0,0,$B$8,1))=DY$13), 1*(_xlfn._xlws.FILTER(OFFSET($O$15,0,$DO198,$B$8,1),OFFSET($M$15,0,0,$B$8,1))=DY$14))   /   SUM(OFFSET($BO$15,0,0,$B$14,1)) + $B$18/($B$19*$B$19*($DN198&lt;&gt;$DO198) + $B$19*($DN198=$DO198))</f>
        <v>3.7037037037037035E-4</v>
      </c>
      <c r="DZ198" s="10" cm="1">
        <f t="array" aca="1" ref="DZ198" ca="1">(1-$B$18)*SUMPRODUCT(OFFSET($BO$15,0,0,$B$14,1), 1*(_xlfn._xlws.FILTER(OFFSET($O$15,0,$DN198,$B$8,1),OFFSET($M$15,0,0,$B$8,1))=DZ$13), 1*(_xlfn._xlws.FILTER(OFFSET($O$15,0,$DO198,$B$8,1),OFFSET($M$15,0,0,$B$8,1))=DZ$14))   /   SUM(OFFSET($BO$15,0,0,$B$14,1)) + $B$18/($B$19*$B$19*($DN198&lt;&gt;$DO198) + $B$19*($DN198=$DO198))</f>
        <v>3.7037037037037035E-4</v>
      </c>
      <c r="EA198" s="10" cm="1">
        <f t="array" aca="1" ref="EA198" ca="1">(1-$B$18)*SUMPRODUCT(OFFSET($BO$15,0,0,$B$14,1), 1*(_xlfn._xlws.FILTER(OFFSET($O$15,0,$DN198,$B$8,1),OFFSET($M$15,0,0,$B$8,1))=EA$13), 1*(_xlfn._xlws.FILTER(OFFSET($O$15,0,$DO198,$B$8,1),OFFSET($M$15,0,0,$B$8,1))=EA$14))   /   SUM(OFFSET($BO$15,0,0,$B$14,1)) + $B$18/($B$19*$B$19*($DN198&lt;&gt;$DO198) + $B$19*($DN198=$DO198))</f>
        <v>3.7037037037037035E-4</v>
      </c>
      <c r="EB198" s="10" cm="1">
        <f t="array" aca="1" ref="EB198" ca="1">(1-$B$18)*SUMPRODUCT(OFFSET($BO$15,0,0,$B$14,1), 1*(_xlfn._xlws.FILTER(OFFSET($O$15,0,$DN198,$B$8,1),OFFSET($M$15,0,0,$B$8,1))=EB$13), 1*(_xlfn._xlws.FILTER(OFFSET($O$15,0,$DO198,$B$8,1),OFFSET($M$15,0,0,$B$8,1))=EB$14))   /   SUM(OFFSET($BO$15,0,0,$B$14,1)) + $B$18/($B$19*$B$19*($DN198&lt;&gt;$DO198) + $B$19*($DN198=$DO198))</f>
        <v>3.7037037037037035E-4</v>
      </c>
      <c r="EC198" s="10" cm="1">
        <f t="array" aca="1" ref="EC198" ca="1">(1-$B$18)*SUMPRODUCT(OFFSET($BO$15,0,0,$B$14,1), 1*(_xlfn._xlws.FILTER(OFFSET($O$15,0,$DN198,$B$8,1),OFFSET($M$15,0,0,$B$8,1))=EC$13), 1*(_xlfn._xlws.FILTER(OFFSET($O$15,0,$DO198,$B$8,1),OFFSET($M$15,0,0,$B$8,1))=EC$14))   /   SUM(OFFSET($BO$15,0,0,$B$14,1)) + $B$18/($B$19*$B$19*($DN198&lt;&gt;$DO198) + $B$19*($DN198=$DO198))</f>
        <v>3.7037037037037035E-4</v>
      </c>
      <c r="ED198" s="10" cm="1">
        <f t="array" aca="1" ref="ED198" ca="1">(1-$B$18)*SUMPRODUCT(OFFSET($BO$15,0,0,$B$14,1), 1*(_xlfn._xlws.FILTER(OFFSET($O$15,0,$DN198,$B$8,1),OFFSET($M$15,0,0,$B$8,1))=ED$13), 1*(_xlfn._xlws.FILTER(OFFSET($O$15,0,$DO198,$B$8,1),OFFSET($M$15,0,0,$B$8,1))=ED$14))   /   SUM(OFFSET($BO$15,0,0,$B$14,1)) + $B$18/($B$19*$B$19*($DN198&lt;&gt;$DO198) + $B$19*($DN198=$DO198))</f>
        <v>3.7037037037037035E-4</v>
      </c>
      <c r="EE198" s="10" cm="1">
        <f t="array" aca="1" ref="EE198" ca="1">(1-$B$18)*SUMPRODUCT(OFFSET($BO$15,0,0,$B$14,1), 1*(_xlfn._xlws.FILTER(OFFSET($O$15,0,$DN198,$B$8,1),OFFSET($M$15,0,0,$B$8,1))=EE$13), 1*(_xlfn._xlws.FILTER(OFFSET($O$15,0,$DO198,$B$8,1),OFFSET($M$15,0,0,$B$8,1))=EE$14))   /   SUM(OFFSET($BO$15,0,0,$B$14,1)) + $B$18/($B$19*$B$19*($DN198&lt;&gt;$DO198) + $B$19*($DN198=$DO198))</f>
        <v>3.7037037037037035E-4</v>
      </c>
      <c r="EF198" s="10" cm="1">
        <f t="array" aca="1" ref="EF198" ca="1">(1-$B$18)*SUMPRODUCT(OFFSET($BO$15,0,0,$B$14,1), 1*(_xlfn._xlws.FILTER(OFFSET($O$15,0,$DN198,$B$8,1),OFFSET($M$15,0,0,$B$8,1))=EF$13), 1*(_xlfn._xlws.FILTER(OFFSET($O$15,0,$DO198,$B$8,1),OFFSET($M$15,0,0,$B$8,1))=EF$14))   /   SUM(OFFSET($BO$15,0,0,$B$14,1)) + $B$18/($B$19*$B$19*($DN198&lt;&gt;$DO198) + $B$19*($DN198=$DO198))</f>
        <v>3.7037037037037035E-4</v>
      </c>
      <c r="EG198" s="10" cm="1">
        <f t="array" aca="1" ref="EG198" ca="1">(1-$B$18)*SUMPRODUCT(OFFSET($BO$15,0,0,$B$14,1), 1*(_xlfn._xlws.FILTER(OFFSET($O$15,0,$DN198,$B$8,1),OFFSET($M$15,0,0,$B$8,1))=EG$13), 1*(_xlfn._xlws.FILTER(OFFSET($O$15,0,$DO198,$B$8,1),OFFSET($M$15,0,0,$B$8,1))=EG$14))   /   SUM(OFFSET($BO$15,0,0,$B$14,1)) + $B$18/($B$19*$B$19*($DN198&lt;&gt;$DO198) + $B$19*($DN198=$DO198))</f>
        <v>3.7037037037037035E-4</v>
      </c>
      <c r="EH198" s="10" cm="1">
        <f t="array" aca="1" ref="EH198" ca="1">(1-$B$18)*SUMPRODUCT(OFFSET($BO$15,0,0,$B$14,1), 1*(_xlfn._xlws.FILTER(OFFSET($O$15,0,$DN198,$B$8,1),OFFSET($M$15,0,0,$B$8,1))=EH$13), 1*(_xlfn._xlws.FILTER(OFFSET($O$15,0,$DO198,$B$8,1),OFFSET($M$15,0,0,$B$8,1))=EH$14))   /   SUM(OFFSET($BO$15,0,0,$B$14,1)) + $B$18/($B$19*$B$19*($DN198&lt;&gt;$DO198) + $B$19*($DN198=$DO198))</f>
        <v>3.7037037037037035E-4</v>
      </c>
      <c r="EI198" s="10" cm="1">
        <f t="array" aca="1" ref="EI198" ca="1">(1-$B$18)*SUMPRODUCT(OFFSET($BO$15,0,0,$B$14,1), 1*(_xlfn._xlws.FILTER(OFFSET($O$15,0,$DN198,$B$8,1),OFFSET($M$15,0,0,$B$8,1))=EI$13), 1*(_xlfn._xlws.FILTER(OFFSET($O$15,0,$DO198,$B$8,1),OFFSET($M$15,0,0,$B$8,1))=EI$14))   /   SUM(OFFSET($BO$15,0,0,$B$14,1)) + $B$18/($B$19*$B$19*($DN198&lt;&gt;$DO198) + $B$19*($DN198=$DO198))</f>
        <v>3.7037037037037035E-4</v>
      </c>
      <c r="EJ198" s="10" cm="1">
        <f t="array" aca="1" ref="EJ198" ca="1">(1-$B$18)*SUMPRODUCT(OFFSET($BO$15,0,0,$B$14,1), 1*(_xlfn._xlws.FILTER(OFFSET($O$15,0,$DN198,$B$8,1),OFFSET($M$15,0,0,$B$8,1))=EJ$13), 1*(_xlfn._xlws.FILTER(OFFSET($O$15,0,$DO198,$B$8,1),OFFSET($M$15,0,0,$B$8,1))=EJ$14))   /   SUM(OFFSET($BO$15,0,0,$B$14,1)) + $B$18/($B$19*$B$19*($DN198&lt;&gt;$DO198) + $B$19*($DN198=$DO198))</f>
        <v>3.7037037037037035E-4</v>
      </c>
      <c r="EK198" s="10" cm="1">
        <f t="array" aca="1" ref="EK198" ca="1">(1-$B$18)*SUMPRODUCT(OFFSET($BO$15,0,0,$B$14,1), 1*(_xlfn._xlws.FILTER(OFFSET($O$15,0,$DN198,$B$8,1),OFFSET($M$15,0,0,$B$8,1))=EK$13), 1*(_xlfn._xlws.FILTER(OFFSET($O$15,0,$DO198,$B$8,1),OFFSET($M$15,0,0,$B$8,1))=EK$14))   /   SUM(OFFSET($BO$15,0,0,$B$14,1)) + $B$18/($B$19*$B$19*($DN198&lt;&gt;$DO198) + $B$19*($DN198=$DO198))</f>
        <v>3.7037037037037035E-4</v>
      </c>
      <c r="EL198" s="10" cm="1">
        <f t="array" aca="1" ref="EL198" ca="1">(1-$B$18)*SUMPRODUCT(OFFSET($BO$15,0,0,$B$14,1), 1*(_xlfn._xlws.FILTER(OFFSET($O$15,0,$DN198,$B$8,1),OFFSET($M$15,0,0,$B$8,1))=EL$13), 1*(_xlfn._xlws.FILTER(OFFSET($O$15,0,$DO198,$B$8,1),OFFSET($M$15,0,0,$B$8,1))=EL$14))   /   SUM(OFFSET($BO$15,0,0,$B$14,1)) + $B$18/($B$19*$B$19*($DN198&lt;&gt;$DO198) + $B$19*($DN198=$DO198))</f>
        <v>3.7037037037037035E-4</v>
      </c>
      <c r="EM198" s="10" cm="1">
        <f t="array" aca="1" ref="EM198" ca="1">(1-$B$18)*SUMPRODUCT(OFFSET($BO$15,0,0,$B$14,1), 1*(_xlfn._xlws.FILTER(OFFSET($O$15,0,$DN198,$B$8,1),OFFSET($M$15,0,0,$B$8,1))=EM$13), 1*(_xlfn._xlws.FILTER(OFFSET($O$15,0,$DO198,$B$8,1),OFFSET($M$15,0,0,$B$8,1))=EM$14))   /   SUM(OFFSET($BO$15,0,0,$B$14,1)) + $B$18/($B$19*$B$19*($DN198&lt;&gt;$DO198) + $B$19*($DN198=$DO198))</f>
        <v>3.7037037037037035E-4</v>
      </c>
      <c r="EN198" s="10" cm="1">
        <f t="array" aca="1" ref="EN198" ca="1">(1-$B$18)*SUMPRODUCT(OFFSET($BO$15,0,0,$B$14,1), 1*(_xlfn._xlws.FILTER(OFFSET($O$15,0,$DN198,$B$8,1),OFFSET($M$15,0,0,$B$8,1))=EN$13), 1*(_xlfn._xlws.FILTER(OFFSET($O$15,0,$DO198,$B$8,1),OFFSET($M$15,0,0,$B$8,1))=EN$14))   /   SUM(OFFSET($BO$15,0,0,$B$14,1)) + $B$18/($B$19*$B$19*($DN198&lt;&gt;$DO198) + $B$19*($DN198=$DO198))</f>
        <v>3.7037037037037035E-4</v>
      </c>
      <c r="EO198" s="10" cm="1">
        <f t="array" aca="1" ref="EO198" ca="1">(1-$B$18)*SUMPRODUCT(OFFSET($BO$15,0,0,$B$14,1), 1*(_xlfn._xlws.FILTER(OFFSET($O$15,0,$DN198,$B$8,1),OFFSET($M$15,0,0,$B$8,1))=EO$13), 1*(_xlfn._xlws.FILTER(OFFSET($O$15,0,$DO198,$B$8,1),OFFSET($M$15,0,0,$B$8,1))=EO$14))   /   SUM(OFFSET($BO$15,0,0,$B$14,1)) + $B$18/($B$19*$B$19*($DN198&lt;&gt;$DO198) + $B$19*($DN198=$DO198))</f>
        <v>3.7037037037037035E-4</v>
      </c>
      <c r="EP198" s="10" cm="1">
        <f t="array" aca="1" ref="EP198" ca="1">(1-$B$18)*SUMPRODUCT(OFFSET($BO$15,0,0,$B$14,1), 1*(_xlfn._xlws.FILTER(OFFSET($O$15,0,$DN198,$B$8,1),OFFSET($M$15,0,0,$B$8,1))=EP$13), 1*(_xlfn._xlws.FILTER(OFFSET($O$15,0,$DO198,$B$8,1),OFFSET($M$15,0,0,$B$8,1))=EP$14))   /   SUM(OFFSET($BO$15,0,0,$B$14,1)) + $B$18/($B$19*$B$19*($DN198&lt;&gt;$DO198) + $B$19*($DN198=$DO198))</f>
        <v>3.7037037037037035E-4</v>
      </c>
      <c r="EQ198" s="10" cm="1">
        <f t="array" aca="1" ref="EQ198" ca="1">(1-$B$18)*SUMPRODUCT(OFFSET($BO$15,0,0,$B$14,1), 1*(_xlfn._xlws.FILTER(OFFSET($O$15,0,$DN198,$B$8,1),OFFSET($M$15,0,0,$B$8,1))=EQ$13), 1*(_xlfn._xlws.FILTER(OFFSET($O$15,0,$DO198,$B$8,1),OFFSET($M$15,0,0,$B$8,1))=EQ$14))   /   SUM(OFFSET($BO$15,0,0,$B$14,1)) + $B$18/($B$19*$B$19*($DN198&lt;&gt;$DO198) + $B$19*($DN198=$DO198))</f>
        <v>3.7037037037037035E-4</v>
      </c>
      <c r="ER198" s="10" cm="1">
        <f t="array" aca="1" ref="ER198" ca="1">(1-$B$18)*SUMPRODUCT(OFFSET($BO$15,0,0,$B$14,1), 1*(_xlfn._xlws.FILTER(OFFSET($O$15,0,$DN198,$B$8,1),OFFSET($M$15,0,0,$B$8,1))=ER$13), 1*(_xlfn._xlws.FILTER(OFFSET($O$15,0,$DO198,$B$8,1),OFFSET($M$15,0,0,$B$8,1))=ER$14))   /   SUM(OFFSET($BO$15,0,0,$B$14,1)) + $B$18/($B$19*$B$19*($DN198&lt;&gt;$DO198) + $B$19*($DN198=$DO198))</f>
        <v>3.7037037037037035E-4</v>
      </c>
      <c r="ES198" s="10" cm="1">
        <f t="array" aca="1" ref="ES198" ca="1">(1-$B$18)*SUMPRODUCT(OFFSET($BO$15,0,0,$B$14,1), 1*(_xlfn._xlws.FILTER(OFFSET($O$15,0,$DN198,$B$8,1),OFFSET($M$15,0,0,$B$8,1))=ES$13), 1*(_xlfn._xlws.FILTER(OFFSET($O$15,0,$DO198,$B$8,1),OFFSET($M$15,0,0,$B$8,1))=ES$14))   /   SUM(OFFSET($BO$15,0,0,$B$14,1)) + $B$18/($B$19*$B$19*($DN198&lt;&gt;$DO198) + $B$19*($DN198=$DO198))</f>
        <v>3.7037037037037035E-4</v>
      </c>
      <c r="ET198" s="10" cm="1">
        <f t="array" aca="1" ref="ET198" ca="1">(1-$B$18)*SUMPRODUCT(OFFSET($BO$15,0,0,$B$14,1), 1*(_xlfn._xlws.FILTER(OFFSET($O$15,0,$DN198,$B$8,1),OFFSET($M$15,0,0,$B$8,1))=ET$13), 1*(_xlfn._xlws.FILTER(OFFSET($O$15,0,$DO198,$B$8,1),OFFSET($M$15,0,0,$B$8,1))=ET$14))   /   SUM(OFFSET($BO$15,0,0,$B$14,1)) + $B$18/($B$19*$B$19*($DN198&lt;&gt;$DO198) + $B$19*($DN198=$DO198))</f>
        <v>3.7037037037037035E-4</v>
      </c>
      <c r="EU198" s="10" cm="1">
        <f t="array" aca="1" ref="EU198" ca="1">(1-$B$18)*SUMPRODUCT(OFFSET($BO$15,0,0,$B$14,1), 1*(_xlfn._xlws.FILTER(OFFSET($O$15,0,$DN198,$B$8,1),OFFSET($M$15,0,0,$B$8,1))=EU$13), 1*(_xlfn._xlws.FILTER(OFFSET($O$15,0,$DO198,$B$8,1),OFFSET($M$15,0,0,$B$8,1))=EU$14))   /   SUM(OFFSET($BO$15,0,0,$B$14,1)) + $B$18/($B$19*$B$19*($DN198&lt;&gt;$DO198) + $B$19*($DN198=$DO198))</f>
        <v>3.7037037037037035E-4</v>
      </c>
      <c r="EV198" s="10" cm="1">
        <f t="array" aca="1" ref="EV198" ca="1">(1-$B$18)*SUMPRODUCT(OFFSET($BO$15,0,0,$B$14,1), 1*(_xlfn._xlws.FILTER(OFFSET($O$15,0,$DN198,$B$8,1),OFFSET($M$15,0,0,$B$8,1))=EV$13), 1*(_xlfn._xlws.FILTER(OFFSET($O$15,0,$DO198,$B$8,1),OFFSET($M$15,0,0,$B$8,1))=EV$14))   /   SUM(OFFSET($BO$15,0,0,$B$14,1)) + $B$18/($B$19*$B$19*($DN198&lt;&gt;$DO198) + $B$19*($DN198=$DO198))</f>
        <v>3.7037037037037035E-4</v>
      </c>
      <c r="EW198" s="10" cm="1">
        <f t="array" aca="1" ref="EW198" ca="1">(1-$B$18)*SUMPRODUCT(OFFSET($BO$15,0,0,$B$14,1), 1*(_xlfn._xlws.FILTER(OFFSET($O$15,0,$DN198,$B$8,1),OFFSET($M$15,0,0,$B$8,1))=EW$13), 1*(_xlfn._xlws.FILTER(OFFSET($O$15,0,$DO198,$B$8,1),OFFSET($M$15,0,0,$B$8,1))=EW$14))   /   SUM(OFFSET($BO$15,0,0,$B$14,1)) + $B$18/($B$19*$B$19*($DN198&lt;&gt;$DO198) + $B$19*($DN198=$DO198))</f>
        <v>3.7037037037037035E-4</v>
      </c>
      <c r="EX198" s="10" cm="1">
        <f t="array" aca="1" ref="EX198" ca="1">(1-$B$18)*SUMPRODUCT(OFFSET($BO$15,0,0,$B$14,1), 1*(_xlfn._xlws.FILTER(OFFSET($O$15,0,$DN198,$B$8,1),OFFSET($M$15,0,0,$B$8,1))=EX$13), 1*(_xlfn._xlws.FILTER(OFFSET($O$15,0,$DO198,$B$8,1),OFFSET($M$15,0,0,$B$8,1))=EX$14))   /   SUM(OFFSET($BO$15,0,0,$B$14,1)) + $B$18/($B$19*$B$19*($DN198&lt;&gt;$DO198) + $B$19*($DN198=$DO198))</f>
        <v>3.7037037037037035E-4</v>
      </c>
      <c r="EY198" s="10" cm="1">
        <f t="array" aca="1" ref="EY198" ca="1">(1-$B$18)*SUMPRODUCT(OFFSET($BO$15,0,0,$B$14,1), 1*(_xlfn._xlws.FILTER(OFFSET($O$15,0,$DN198,$B$8,1),OFFSET($M$15,0,0,$B$8,1))=EY$13), 1*(_xlfn._xlws.FILTER(OFFSET($O$15,0,$DO198,$B$8,1),OFFSET($M$15,0,0,$B$8,1))=EY$14))   /   SUM(OFFSET($BO$15,0,0,$B$14,1)) + $B$18/($B$19*$B$19*($DN198&lt;&gt;$DO198) + $B$19*($DN198=$DO198))</f>
        <v>3.7037037037037035E-4</v>
      </c>
      <c r="EZ198" s="10" cm="1">
        <f t="array" aca="1" ref="EZ198" ca="1">(1-$B$18)*SUMPRODUCT(OFFSET($BO$15,0,0,$B$14,1), 1*(_xlfn._xlws.FILTER(OFFSET($O$15,0,$DN198,$B$8,1),OFFSET($M$15,0,0,$B$8,1))=EZ$13), 1*(_xlfn._xlws.FILTER(OFFSET($O$15,0,$DO198,$B$8,1),OFFSET($M$15,0,0,$B$8,1))=EZ$14))   /   SUM(OFFSET($BO$15,0,0,$B$14,1)) + $B$18/($B$19*$B$19*($DN198&lt;&gt;$DO198) + $B$19*($DN198=$DO198))</f>
        <v>3.7037037037037035E-4</v>
      </c>
      <c r="FA198" s="10" cm="1">
        <f t="array" aca="1" ref="FA198" ca="1">(1-$B$18)*SUMPRODUCT(OFFSET($BO$15,0,0,$B$14,1), 1*(_xlfn._xlws.FILTER(OFFSET($O$15,0,$DN198,$B$8,1),OFFSET($M$15,0,0,$B$8,1))=FA$13), 1*(_xlfn._xlws.FILTER(OFFSET($O$15,0,$DO198,$B$8,1),OFFSET($M$15,0,0,$B$8,1))=FA$14))   /   SUM(OFFSET($BO$15,0,0,$B$14,1)) + $B$18/($B$19*$B$19*($DN198&lt;&gt;$DO198) + $B$19*($DN198=$DO198))</f>
        <v>3.7037037037037035E-4</v>
      </c>
      <c r="FB198" s="10" cm="1">
        <f t="array" aca="1" ref="FB198" ca="1">(1-$B$18)*SUMPRODUCT(OFFSET($BO$15,0,0,$B$14,1), 1*(_xlfn._xlws.FILTER(OFFSET($O$15,0,$DN198,$B$8,1),OFFSET($M$15,0,0,$B$8,1))=FB$13), 1*(_xlfn._xlws.FILTER(OFFSET($O$15,0,$DO198,$B$8,1),OFFSET($M$15,0,0,$B$8,1))=FB$14))   /   SUM(OFFSET($BO$15,0,0,$B$14,1)) + $B$18/($B$19*$B$19*($DN198&lt;&gt;$DO198) + $B$19*($DN198=$DO198))</f>
        <v>3.7037037037037035E-4</v>
      </c>
      <c r="FC198" s="10" cm="1">
        <f t="array" aca="1" ref="FC198" ca="1">(1-$B$18)*SUMPRODUCT(OFFSET($BO$15,0,0,$B$14,1), 1*(_xlfn._xlws.FILTER(OFFSET($O$15,0,$DN198,$B$8,1),OFFSET($M$15,0,0,$B$8,1))=FC$13), 1*(_xlfn._xlws.FILTER(OFFSET($O$15,0,$DO198,$B$8,1),OFFSET($M$15,0,0,$B$8,1))=FC$14))   /   SUM(OFFSET($BO$15,0,0,$B$14,1)) + $B$18/($B$19*$B$19*($DN198&lt;&gt;$DO198) + $B$19*($DN198=$DO198))</f>
        <v>3.7037037037037035E-4</v>
      </c>
      <c r="FD198" s="10" cm="1">
        <f t="array" aca="1" ref="FD198" ca="1">(1-$B$18)*SUMPRODUCT(OFFSET($BO$15,0,0,$B$14,1), 1*(_xlfn._xlws.FILTER(OFFSET($O$15,0,$DN198,$B$8,1),OFFSET($M$15,0,0,$B$8,1))=FD$13), 1*(_xlfn._xlws.FILTER(OFFSET($O$15,0,$DO198,$B$8,1),OFFSET($M$15,0,0,$B$8,1))=FD$14))   /   SUM(OFFSET($BO$15,0,0,$B$14,1)) + $B$18/($B$19*$B$19*($DN198&lt;&gt;$DO198) + $B$19*($DN198=$DO198))</f>
        <v>3.7037037037037035E-4</v>
      </c>
      <c r="FE198" s="10" cm="1">
        <f t="array" aca="1" ref="FE198" ca="1">(1-$B$18)*SUMPRODUCT(OFFSET($BO$15,0,0,$B$14,1), 1*(_xlfn._xlws.FILTER(OFFSET($O$15,0,$DN198,$B$8,1),OFFSET($M$15,0,0,$B$8,1))=FE$13), 1*(_xlfn._xlws.FILTER(OFFSET($O$15,0,$DO198,$B$8,1),OFFSET($M$15,0,0,$B$8,1))=FE$14))   /   SUM(OFFSET($BO$15,0,0,$B$14,1)) + $B$18/($B$19*$B$19*($DN198&lt;&gt;$DO198) + $B$19*($DN198=$DO198))</f>
        <v>3.7037037037037035E-4</v>
      </c>
      <c r="FF198" s="10" cm="1">
        <f t="array" aca="1" ref="FF198" ca="1">(1-$B$18)*SUMPRODUCT(OFFSET($BO$15,0,0,$B$14,1), 1*(_xlfn._xlws.FILTER(OFFSET($O$15,0,$DN198,$B$8,1),OFFSET($M$15,0,0,$B$8,1))=FF$13), 1*(_xlfn._xlws.FILTER(OFFSET($O$15,0,$DO198,$B$8,1),OFFSET($M$15,0,0,$B$8,1))=FF$14))   /   SUM(OFFSET($BO$15,0,0,$B$14,1)) + $B$18/($B$19*$B$19*($DN198&lt;&gt;$DO198) + $B$19*($DN198=$DO198))</f>
        <v>3.7037037037037035E-4</v>
      </c>
      <c r="FG198" s="10" cm="1">
        <f t="array" aca="1" ref="FG198" ca="1">(1-$B$18)*SUMPRODUCT(OFFSET($BO$15,0,0,$B$14,1), 1*(_xlfn._xlws.FILTER(OFFSET($O$15,0,$DN198,$B$8,1),OFFSET($M$15,0,0,$B$8,1))=FG$13), 1*(_xlfn._xlws.FILTER(OFFSET($O$15,0,$DO198,$B$8,1),OFFSET($M$15,0,0,$B$8,1))=FG$14))   /   SUM(OFFSET($BO$15,0,0,$B$14,1)) + $B$18/($B$19*$B$19*($DN198&lt;&gt;$DO198) + $B$19*($DN198=$DO198))</f>
        <v>3.7037037037037035E-4</v>
      </c>
      <c r="FH198" s="10" cm="1">
        <f t="array" aca="1" ref="FH198" ca="1">(1-$B$18)*SUMPRODUCT(OFFSET($BO$15,0,0,$B$14,1), 1*(_xlfn._xlws.FILTER(OFFSET($O$15,0,$DN198,$B$8,1),OFFSET($M$15,0,0,$B$8,1))=FH$13), 1*(_xlfn._xlws.FILTER(OFFSET($O$15,0,$DO198,$B$8,1),OFFSET($M$15,0,0,$B$8,1))=FH$14))   /   SUM(OFFSET($BO$15,0,0,$B$14,1)) + $B$18/($B$19*$B$19*($DN198&lt;&gt;$DO198) + $B$19*($DN198=$DO198))</f>
        <v>3.7037037037037035E-4</v>
      </c>
      <c r="FI198" s="10" cm="1">
        <f t="array" aca="1" ref="FI198" ca="1">(1-$B$18)*SUMPRODUCT(OFFSET($BO$15,0,0,$B$14,1), 1*(_xlfn._xlws.FILTER(OFFSET($O$15,0,$DN198,$B$8,1),OFFSET($M$15,0,0,$B$8,1))=FI$13), 1*(_xlfn._xlws.FILTER(OFFSET($O$15,0,$DO198,$B$8,1),OFFSET($M$15,0,0,$B$8,1))=FI$14))   /   SUM(OFFSET($BO$15,0,0,$B$14,1)) + $B$18/($B$19*$B$19*($DN198&lt;&gt;$DO198) + $B$19*($DN198=$DO198))</f>
        <v>3.7037037037037035E-4</v>
      </c>
      <c r="FJ198" s="10" cm="1">
        <f t="array" aca="1" ref="FJ198" ca="1">(1-$B$18)*SUMPRODUCT(OFFSET($BO$15,0,0,$B$14,1), 1*(_xlfn._xlws.FILTER(OFFSET($O$15,0,$DN198,$B$8,1),OFFSET($M$15,0,0,$B$8,1))=FJ$13), 1*(_xlfn._xlws.FILTER(OFFSET($O$15,0,$DO198,$B$8,1),OFFSET($M$15,0,0,$B$8,1))=FJ$14))   /   SUM(OFFSET($BO$15,0,0,$B$14,1)) + $B$18/($B$19*$B$19*($DN198&lt;&gt;$DO198) + $B$19*($DN198=$DO198))</f>
        <v>3.7037037037037035E-4</v>
      </c>
      <c r="FK198" s="10" cm="1">
        <f t="array" aca="1" ref="FK198" ca="1">(1-$B$18)*SUMPRODUCT(OFFSET($BO$15,0,0,$B$14,1), 1*(_xlfn._xlws.FILTER(OFFSET($O$15,0,$DN198,$B$8,1),OFFSET($M$15,0,0,$B$8,1))=FK$13), 1*(_xlfn._xlws.FILTER(OFFSET($O$15,0,$DO198,$B$8,1),OFFSET($M$15,0,0,$B$8,1))=FK$14))   /   SUM(OFFSET($BO$15,0,0,$B$14,1)) + $B$18/($B$19*$B$19*($DN198&lt;&gt;$DO198) + $B$19*($DN198=$DO198))</f>
        <v>3.7037037037037035E-4</v>
      </c>
      <c r="FL198" s="10" cm="1">
        <f t="array" aca="1" ref="FL198" ca="1">(1-$B$18)*SUMPRODUCT(OFFSET($BO$15,0,0,$B$14,1), 1*(_xlfn._xlws.FILTER(OFFSET($O$15,0,$DN198,$B$8,1),OFFSET($M$15,0,0,$B$8,1))=FL$13), 1*(_xlfn._xlws.FILTER(OFFSET($O$15,0,$DO198,$B$8,1),OFFSET($M$15,0,0,$B$8,1))=FL$14))   /   SUM(OFFSET($BO$15,0,0,$B$14,1)) + $B$18/($B$19*$B$19*($DN198&lt;&gt;$DO198) + $B$19*($DN198=$DO198))</f>
        <v>3.7037037037037035E-4</v>
      </c>
      <c r="FM198" s="10" cm="1">
        <f t="array" aca="1" ref="FM198" ca="1">(1-$B$18)*SUMPRODUCT(OFFSET($BO$15,0,0,$B$14,1), 1*(_xlfn._xlws.FILTER(OFFSET($O$15,0,$DN198,$B$8,1),OFFSET($M$15,0,0,$B$8,1))=FM$13), 1*(_xlfn._xlws.FILTER(OFFSET($O$15,0,$DO198,$B$8,1),OFFSET($M$15,0,0,$B$8,1))=FM$14))   /   SUM(OFFSET($BO$15,0,0,$B$14,1)) + $B$18/($B$19*$B$19*($DN198&lt;&gt;$DO198) + $B$19*($DN198=$DO198))</f>
        <v>0.97037037037037033</v>
      </c>
      <c r="FN198" s="10" cm="1">
        <f t="array" aca="1" ref="FN198" ca="1">(1-$B$18)*SUMPRODUCT(OFFSET($BO$15,0,0,$B$14,1), 1*(_xlfn._xlws.FILTER(OFFSET($O$15,0,$DN198,$B$8,1),OFFSET($M$15,0,0,$B$8,1))=FN$13), 1*(_xlfn._xlws.FILTER(OFFSET($O$15,0,$DO198,$B$8,1),OFFSET($M$15,0,0,$B$8,1))=FN$14))   /   SUM(OFFSET($BO$15,0,0,$B$14,1)) + $B$18/($B$19*$B$19*($DN198&lt;&gt;$DO198) + $B$19*($DN198=$DO198))</f>
        <v>3.7037037037037035E-4</v>
      </c>
      <c r="FO198" s="10" cm="1">
        <f t="array" aca="1" ref="FO198" ca="1">(1-$B$18)*SUMPRODUCT(OFFSET($BO$15,0,0,$B$14,1), 1*(_xlfn._xlws.FILTER(OFFSET($O$15,0,$DN198,$B$8,1),OFFSET($M$15,0,0,$B$8,1))=FO$13), 1*(_xlfn._xlws.FILTER(OFFSET($O$15,0,$DO198,$B$8,1),OFFSET($M$15,0,0,$B$8,1))=FO$14))   /   SUM(OFFSET($BO$15,0,0,$B$14,1)) + $B$18/($B$19*$B$19*($DN198&lt;&gt;$DO198) + $B$19*($DN198=$DO198))</f>
        <v>3.7037037037037035E-4</v>
      </c>
      <c r="FP198" s="10" cm="1">
        <f t="array" aca="1" ref="FP198" ca="1">(1-$B$18)*SUMPRODUCT(OFFSET($BO$15,0,0,$B$14,1), 1*(_xlfn._xlws.FILTER(OFFSET($O$15,0,$DN198,$B$8,1),OFFSET($M$15,0,0,$B$8,1))=FP$13), 1*(_xlfn._xlws.FILTER(OFFSET($O$15,0,$DO198,$B$8,1),OFFSET($M$15,0,0,$B$8,1))=FP$14))   /   SUM(OFFSET($BO$15,0,0,$B$14,1)) + $B$18/($B$19*$B$19*($DN198&lt;&gt;$DO198) + $B$19*($DN198=$DO198))</f>
        <v>3.7037037037037035E-4</v>
      </c>
      <c r="FQ198" s="10" cm="1">
        <f t="array" aca="1" ref="FQ198" ca="1">(1-$B$18)*SUMPRODUCT(OFFSET($BO$15,0,0,$B$14,1), 1*(_xlfn._xlws.FILTER(OFFSET($O$15,0,$DN198,$B$8,1),OFFSET($M$15,0,0,$B$8,1))=FQ$13), 1*(_xlfn._xlws.FILTER(OFFSET($O$15,0,$DO198,$B$8,1),OFFSET($M$15,0,0,$B$8,1))=FQ$14))   /   SUM(OFFSET($BO$15,0,0,$B$14,1)) + $B$18/($B$19*$B$19*($DN198&lt;&gt;$DO198) + $B$19*($DN198=$DO198))</f>
        <v>3.7037037037037035E-4</v>
      </c>
      <c r="FR198" s="10" cm="1">
        <f t="array" aca="1" ref="FR198" ca="1">(1-$B$18)*SUMPRODUCT(OFFSET($BO$15,0,0,$B$14,1), 1*(_xlfn._xlws.FILTER(OFFSET($O$15,0,$DN198,$B$8,1),OFFSET($M$15,0,0,$B$8,1))=FR$13), 1*(_xlfn._xlws.FILTER(OFFSET($O$15,0,$DO198,$B$8,1),OFFSET($M$15,0,0,$B$8,1))=FR$14))   /   SUM(OFFSET($BO$15,0,0,$B$14,1)) + $B$18/($B$19*$B$19*($DN198&lt;&gt;$DO198) + $B$19*($DN198=$DO198))</f>
        <v>3.7037037037037035E-4</v>
      </c>
      <c r="FS198" s="10" cm="1">
        <f t="array" aca="1" ref="FS198" ca="1">(1-$B$18)*SUMPRODUCT(OFFSET($BO$15,0,0,$B$14,1), 1*(_xlfn._xlws.FILTER(OFFSET($O$15,0,$DN198,$B$8,1),OFFSET($M$15,0,0,$B$8,1))=FS$13), 1*(_xlfn._xlws.FILTER(OFFSET($O$15,0,$DO198,$B$8,1),OFFSET($M$15,0,0,$B$8,1))=FS$14))   /   SUM(OFFSET($BO$15,0,0,$B$14,1)) + $B$18/($B$19*$B$19*($DN198&lt;&gt;$DO198) + $B$19*($DN198=$DO198))</f>
        <v>3.7037037037037035E-4</v>
      </c>
      <c r="FT198" s="10" cm="1">
        <f t="array" aca="1" ref="FT198" ca="1">(1-$B$18)*SUMPRODUCT(OFFSET($BO$15,0,0,$B$14,1), 1*(_xlfn._xlws.FILTER(OFFSET($O$15,0,$DN198,$B$8,1),OFFSET($M$15,0,0,$B$8,1))=FT$13), 1*(_xlfn._xlws.FILTER(OFFSET($O$15,0,$DO198,$B$8,1),OFFSET($M$15,0,0,$B$8,1))=FT$14))   /   SUM(OFFSET($BO$15,0,0,$B$14,1)) + $B$18/($B$19*$B$19*($DN198&lt;&gt;$DO198) + $B$19*($DN198=$DO198))</f>
        <v>3.7037037037037035E-4</v>
      </c>
      <c r="FU198" s="10" cm="1">
        <f t="array" aca="1" ref="FU198" ca="1">(1-$B$18)*SUMPRODUCT(OFFSET($BO$15,0,0,$B$14,1), 1*(_xlfn._xlws.FILTER(OFFSET($O$15,0,$DN198,$B$8,1),OFFSET($M$15,0,0,$B$8,1))=FU$13), 1*(_xlfn._xlws.FILTER(OFFSET($O$15,0,$DO198,$B$8,1),OFFSET($M$15,0,0,$B$8,1))=FU$14))   /   SUM(OFFSET($BO$15,0,0,$B$14,1)) + $B$18/($B$19*$B$19*($DN198&lt;&gt;$DO198) + $B$19*($DN198=$DO198))</f>
        <v>3.7037037037037035E-4</v>
      </c>
      <c r="FV198" s="10" cm="1">
        <f t="array" aca="1" ref="FV198" ca="1">(1-$B$18)*SUMPRODUCT(OFFSET($BO$15,0,0,$B$14,1), 1*(_xlfn._xlws.FILTER(OFFSET($O$15,0,$DN198,$B$8,1),OFFSET($M$15,0,0,$B$8,1))=FV$13), 1*(_xlfn._xlws.FILTER(OFFSET($O$15,0,$DO198,$B$8,1),OFFSET($M$15,0,0,$B$8,1))=FV$14))   /   SUM(OFFSET($BO$15,0,0,$B$14,1)) + $B$18/($B$19*$B$19*($DN198&lt;&gt;$DO198) + $B$19*($DN198=$DO198))</f>
        <v>3.7037037037037035E-4</v>
      </c>
      <c r="FW198" s="10" cm="1">
        <f t="array" aca="1" ref="FW198" ca="1">(1-$B$18)*SUMPRODUCT(OFFSET($BO$15,0,0,$B$14,1), 1*(_xlfn._xlws.FILTER(OFFSET($O$15,0,$DN198,$B$8,1),OFFSET($M$15,0,0,$B$8,1))=FW$13), 1*(_xlfn._xlws.FILTER(OFFSET($O$15,0,$DO198,$B$8,1),OFFSET($M$15,0,0,$B$8,1))=FW$14))   /   SUM(OFFSET($BO$15,0,0,$B$14,1)) + $B$18/($B$19*$B$19*($DN198&lt;&gt;$DO198) + $B$19*($DN198=$DO198))</f>
        <v>3.7037037037037035E-4</v>
      </c>
      <c r="FX198" s="10" cm="1">
        <f t="array" aca="1" ref="FX198" ca="1">(1-$B$18)*SUMPRODUCT(OFFSET($BO$15,0,0,$B$14,1), 1*(_xlfn._xlws.FILTER(OFFSET($O$15,0,$DN198,$B$8,1),OFFSET($M$15,0,0,$B$8,1))=FX$13), 1*(_xlfn._xlws.FILTER(OFFSET($O$15,0,$DO198,$B$8,1),OFFSET($M$15,0,0,$B$8,1))=FX$14))   /   SUM(OFFSET($BO$15,0,0,$B$14,1)) + $B$18/($B$19*$B$19*($DN198&lt;&gt;$DO198) + $B$19*($DN198=$DO198))</f>
        <v>3.7037037037037035E-4</v>
      </c>
      <c r="FY198" s="10" cm="1">
        <f t="array" aca="1" ref="FY198" ca="1">(1-$B$18)*SUMPRODUCT(OFFSET($BO$15,0,0,$B$14,1), 1*(_xlfn._xlws.FILTER(OFFSET($O$15,0,$DN198,$B$8,1),OFFSET($M$15,0,0,$B$8,1))=FY$13), 1*(_xlfn._xlws.FILTER(OFFSET($O$15,0,$DO198,$B$8,1),OFFSET($M$15,0,0,$B$8,1))=FY$14))   /   SUM(OFFSET($BO$15,0,0,$B$14,1)) + $B$18/($B$19*$B$19*($DN198&lt;&gt;$DO198) + $B$19*($DN198=$DO198))</f>
        <v>3.7037037037037035E-4</v>
      </c>
      <c r="FZ198" s="10" cm="1">
        <f t="array" aca="1" ref="FZ198" ca="1">(1-$B$18)*SUMPRODUCT(OFFSET($BO$15,0,0,$B$14,1), 1*(_xlfn._xlws.FILTER(OFFSET($O$15,0,$DN198,$B$8,1),OFFSET($M$15,0,0,$B$8,1))=FZ$13), 1*(_xlfn._xlws.FILTER(OFFSET($O$15,0,$DO198,$B$8,1),OFFSET($M$15,0,0,$B$8,1))=FZ$14))   /   SUM(OFFSET($BO$15,0,0,$B$14,1)) + $B$18/($B$19*$B$19*($DN198&lt;&gt;$DO198) + $B$19*($DN198=$DO198))</f>
        <v>3.7037037037037035E-4</v>
      </c>
      <c r="GA198" s="10" cm="1">
        <f t="array" aca="1" ref="GA198" ca="1">(1-$B$18)*SUMPRODUCT(OFFSET($BO$15,0,0,$B$14,1), 1*(_xlfn._xlws.FILTER(OFFSET($O$15,0,$DN198,$B$8,1),OFFSET($M$15,0,0,$B$8,1))=GA$13), 1*(_xlfn._xlws.FILTER(OFFSET($O$15,0,$DO198,$B$8,1),OFFSET($M$15,0,0,$B$8,1))=GA$14))   /   SUM(OFFSET($BO$15,0,0,$B$14,1)) + $B$18/($B$19*$B$19*($DN198&lt;&gt;$DO198) + $B$19*($DN198=$DO198))</f>
        <v>3.7037037037037035E-4</v>
      </c>
    </row>
    <row r="199" spans="118:183" x14ac:dyDescent="0.2">
      <c r="DN199" cm="1">
        <f t="array" aca="1" ref="DN199" ca="1">INDEX(_xlfn.ANCHORARRAY($CP$15), 1 + INT((ROWS($DO$15:$DO199) - 1) / ROWS(_xlfn.ANCHORARRAY($CP$15))))</f>
        <v>9</v>
      </c>
      <c r="DO199" cm="1">
        <f t="array" aca="1" ref="DO199" ca="1">INDEX(_xlfn.ANCHORARRAY($CP$15),1+MOD(ROWS($DO$15:$DO199)-1,ROWS(_xlfn.ANCHORARRAY($CP$15))))</f>
        <v>14</v>
      </c>
      <c r="DP199" s="10" cm="1">
        <f t="array" aca="1" ref="DP199" ca="1">(1-$B$18)*SUMPRODUCT(OFFSET($BO$15,0,0,$B$14,1), 1*(_xlfn._xlws.FILTER(OFFSET($O$15,0,$DN199,$B$8,1),OFFSET($M$15,0,0,$B$8,1))=DP$13), 1*(_xlfn._xlws.FILTER(OFFSET($O$15,0,$DO199,$B$8,1),OFFSET($M$15,0,0,$B$8,1))=DP$14))   /   SUM(OFFSET($BO$15,0,0,$B$14,1)) + $B$18/($B$19*$B$19*($DN199&lt;&gt;$DO199) + $B$19*($DN199=$DO199))</f>
        <v>3.7037037037037035E-4</v>
      </c>
      <c r="DQ199" s="10" cm="1">
        <f t="array" aca="1" ref="DQ199" ca="1">(1-$B$18)*SUMPRODUCT(OFFSET($BO$15,0,0,$B$14,1), 1*(_xlfn._xlws.FILTER(OFFSET($O$15,0,$DN199,$B$8,1),OFFSET($M$15,0,0,$B$8,1))=DQ$13), 1*(_xlfn._xlws.FILTER(OFFSET($O$15,0,$DO199,$B$8,1),OFFSET($M$15,0,0,$B$8,1))=DQ$14))   /   SUM(OFFSET($BO$15,0,0,$B$14,1)) + $B$18/($B$19*$B$19*($DN199&lt;&gt;$DO199) + $B$19*($DN199=$DO199))</f>
        <v>3.7037037037037035E-4</v>
      </c>
      <c r="DR199" s="10" cm="1">
        <f t="array" aca="1" ref="DR199" ca="1">(1-$B$18)*SUMPRODUCT(OFFSET($BO$15,0,0,$B$14,1), 1*(_xlfn._xlws.FILTER(OFFSET($O$15,0,$DN199,$B$8,1),OFFSET($M$15,0,0,$B$8,1))=DR$13), 1*(_xlfn._xlws.FILTER(OFFSET($O$15,0,$DO199,$B$8,1),OFFSET($M$15,0,0,$B$8,1))=DR$14))   /   SUM(OFFSET($BO$15,0,0,$B$14,1)) + $B$18/($B$19*$B$19*($DN199&lt;&gt;$DO199) + $B$19*($DN199=$DO199))</f>
        <v>3.7037037037037035E-4</v>
      </c>
      <c r="DS199" s="10" cm="1">
        <f t="array" aca="1" ref="DS199" ca="1">(1-$B$18)*SUMPRODUCT(OFFSET($BO$15,0,0,$B$14,1), 1*(_xlfn._xlws.FILTER(OFFSET($O$15,0,$DN199,$B$8,1),OFFSET($M$15,0,0,$B$8,1))=DS$13), 1*(_xlfn._xlws.FILTER(OFFSET($O$15,0,$DO199,$B$8,1),OFFSET($M$15,0,0,$B$8,1))=DS$14))   /   SUM(OFFSET($BO$15,0,0,$B$14,1)) + $B$18/($B$19*$B$19*($DN199&lt;&gt;$DO199) + $B$19*($DN199=$DO199))</f>
        <v>3.7037037037037035E-4</v>
      </c>
      <c r="DT199" s="10" cm="1">
        <f t="array" aca="1" ref="DT199" ca="1">(1-$B$18)*SUMPRODUCT(OFFSET($BO$15,0,0,$B$14,1), 1*(_xlfn._xlws.FILTER(OFFSET($O$15,0,$DN199,$B$8,1),OFFSET($M$15,0,0,$B$8,1))=DT$13), 1*(_xlfn._xlws.FILTER(OFFSET($O$15,0,$DO199,$B$8,1),OFFSET($M$15,0,0,$B$8,1))=DT$14))   /   SUM(OFFSET($BO$15,0,0,$B$14,1)) + $B$18/($B$19*$B$19*($DN199&lt;&gt;$DO199) + $B$19*($DN199=$DO199))</f>
        <v>3.7037037037037035E-4</v>
      </c>
      <c r="DU199" s="10" cm="1">
        <f t="array" aca="1" ref="DU199" ca="1">(1-$B$18)*SUMPRODUCT(OFFSET($BO$15,0,0,$B$14,1), 1*(_xlfn._xlws.FILTER(OFFSET($O$15,0,$DN199,$B$8,1),OFFSET($M$15,0,0,$B$8,1))=DU$13), 1*(_xlfn._xlws.FILTER(OFFSET($O$15,0,$DO199,$B$8,1),OFFSET($M$15,0,0,$B$8,1))=DU$14))   /   SUM(OFFSET($BO$15,0,0,$B$14,1)) + $B$18/($B$19*$B$19*($DN199&lt;&gt;$DO199) + $B$19*($DN199=$DO199))</f>
        <v>3.7037037037037035E-4</v>
      </c>
      <c r="DV199" s="10" cm="1">
        <f t="array" aca="1" ref="DV199" ca="1">(1-$B$18)*SUMPRODUCT(OFFSET($BO$15,0,0,$B$14,1), 1*(_xlfn._xlws.FILTER(OFFSET($O$15,0,$DN199,$B$8,1),OFFSET($M$15,0,0,$B$8,1))=DV$13), 1*(_xlfn._xlws.FILTER(OFFSET($O$15,0,$DO199,$B$8,1),OFFSET($M$15,0,0,$B$8,1))=DV$14))   /   SUM(OFFSET($BO$15,0,0,$B$14,1)) + $B$18/($B$19*$B$19*($DN199&lt;&gt;$DO199) + $B$19*($DN199=$DO199))</f>
        <v>3.7037037037037035E-4</v>
      </c>
      <c r="DW199" s="10" cm="1">
        <f t="array" aca="1" ref="DW199" ca="1">(1-$B$18)*SUMPRODUCT(OFFSET($BO$15,0,0,$B$14,1), 1*(_xlfn._xlws.FILTER(OFFSET($O$15,0,$DN199,$B$8,1),OFFSET($M$15,0,0,$B$8,1))=DW$13), 1*(_xlfn._xlws.FILTER(OFFSET($O$15,0,$DO199,$B$8,1),OFFSET($M$15,0,0,$B$8,1))=DW$14))   /   SUM(OFFSET($BO$15,0,0,$B$14,1)) + $B$18/($B$19*$B$19*($DN199&lt;&gt;$DO199) + $B$19*($DN199=$DO199))</f>
        <v>3.7037037037037035E-4</v>
      </c>
      <c r="DX199" s="10" cm="1">
        <f t="array" aca="1" ref="DX199" ca="1">(1-$B$18)*SUMPRODUCT(OFFSET($BO$15,0,0,$B$14,1), 1*(_xlfn._xlws.FILTER(OFFSET($O$15,0,$DN199,$B$8,1),OFFSET($M$15,0,0,$B$8,1))=DX$13), 1*(_xlfn._xlws.FILTER(OFFSET($O$15,0,$DO199,$B$8,1),OFFSET($M$15,0,0,$B$8,1))=DX$14))   /   SUM(OFFSET($BO$15,0,0,$B$14,1)) + $B$18/($B$19*$B$19*($DN199&lt;&gt;$DO199) + $B$19*($DN199=$DO199))</f>
        <v>3.7037037037037035E-4</v>
      </c>
      <c r="DY199" s="10" cm="1">
        <f t="array" aca="1" ref="DY199" ca="1">(1-$B$18)*SUMPRODUCT(OFFSET($BO$15,0,0,$B$14,1), 1*(_xlfn._xlws.FILTER(OFFSET($O$15,0,$DN199,$B$8,1),OFFSET($M$15,0,0,$B$8,1))=DY$13), 1*(_xlfn._xlws.FILTER(OFFSET($O$15,0,$DO199,$B$8,1),OFFSET($M$15,0,0,$B$8,1))=DY$14))   /   SUM(OFFSET($BO$15,0,0,$B$14,1)) + $B$18/($B$19*$B$19*($DN199&lt;&gt;$DO199) + $B$19*($DN199=$DO199))</f>
        <v>3.7037037037037035E-4</v>
      </c>
      <c r="DZ199" s="10" cm="1">
        <f t="array" aca="1" ref="DZ199" ca="1">(1-$B$18)*SUMPRODUCT(OFFSET($BO$15,0,0,$B$14,1), 1*(_xlfn._xlws.FILTER(OFFSET($O$15,0,$DN199,$B$8,1),OFFSET($M$15,0,0,$B$8,1))=DZ$13), 1*(_xlfn._xlws.FILTER(OFFSET($O$15,0,$DO199,$B$8,1),OFFSET($M$15,0,0,$B$8,1))=DZ$14))   /   SUM(OFFSET($BO$15,0,0,$B$14,1)) + $B$18/($B$19*$B$19*($DN199&lt;&gt;$DO199) + $B$19*($DN199=$DO199))</f>
        <v>3.7037037037037035E-4</v>
      </c>
      <c r="EA199" s="10" cm="1">
        <f t="array" aca="1" ref="EA199" ca="1">(1-$B$18)*SUMPRODUCT(OFFSET($BO$15,0,0,$B$14,1), 1*(_xlfn._xlws.FILTER(OFFSET($O$15,0,$DN199,$B$8,1),OFFSET($M$15,0,0,$B$8,1))=EA$13), 1*(_xlfn._xlws.FILTER(OFFSET($O$15,0,$DO199,$B$8,1),OFFSET($M$15,0,0,$B$8,1))=EA$14))   /   SUM(OFFSET($BO$15,0,0,$B$14,1)) + $B$18/($B$19*$B$19*($DN199&lt;&gt;$DO199) + $B$19*($DN199=$DO199))</f>
        <v>3.7037037037037035E-4</v>
      </c>
      <c r="EB199" s="10" cm="1">
        <f t="array" aca="1" ref="EB199" ca="1">(1-$B$18)*SUMPRODUCT(OFFSET($BO$15,0,0,$B$14,1), 1*(_xlfn._xlws.FILTER(OFFSET($O$15,0,$DN199,$B$8,1),OFFSET($M$15,0,0,$B$8,1))=EB$13), 1*(_xlfn._xlws.FILTER(OFFSET($O$15,0,$DO199,$B$8,1),OFFSET($M$15,0,0,$B$8,1))=EB$14))   /   SUM(OFFSET($BO$15,0,0,$B$14,1)) + $B$18/($B$19*$B$19*($DN199&lt;&gt;$DO199) + $B$19*($DN199=$DO199))</f>
        <v>3.7037037037037035E-4</v>
      </c>
      <c r="EC199" s="10" cm="1">
        <f t="array" aca="1" ref="EC199" ca="1">(1-$B$18)*SUMPRODUCT(OFFSET($BO$15,0,0,$B$14,1), 1*(_xlfn._xlws.FILTER(OFFSET($O$15,0,$DN199,$B$8,1),OFFSET($M$15,0,0,$B$8,1))=EC$13), 1*(_xlfn._xlws.FILTER(OFFSET($O$15,0,$DO199,$B$8,1),OFFSET($M$15,0,0,$B$8,1))=EC$14))   /   SUM(OFFSET($BO$15,0,0,$B$14,1)) + $B$18/($B$19*$B$19*($DN199&lt;&gt;$DO199) + $B$19*($DN199=$DO199))</f>
        <v>3.7037037037037035E-4</v>
      </c>
      <c r="ED199" s="10" cm="1">
        <f t="array" aca="1" ref="ED199" ca="1">(1-$B$18)*SUMPRODUCT(OFFSET($BO$15,0,0,$B$14,1), 1*(_xlfn._xlws.FILTER(OFFSET($O$15,0,$DN199,$B$8,1),OFFSET($M$15,0,0,$B$8,1))=ED$13), 1*(_xlfn._xlws.FILTER(OFFSET($O$15,0,$DO199,$B$8,1),OFFSET($M$15,0,0,$B$8,1))=ED$14))   /   SUM(OFFSET($BO$15,0,0,$B$14,1)) + $B$18/($B$19*$B$19*($DN199&lt;&gt;$DO199) + $B$19*($DN199=$DO199))</f>
        <v>3.7037037037037035E-4</v>
      </c>
      <c r="EE199" s="10" cm="1">
        <f t="array" aca="1" ref="EE199" ca="1">(1-$B$18)*SUMPRODUCT(OFFSET($BO$15,0,0,$B$14,1), 1*(_xlfn._xlws.FILTER(OFFSET($O$15,0,$DN199,$B$8,1),OFFSET($M$15,0,0,$B$8,1))=EE$13), 1*(_xlfn._xlws.FILTER(OFFSET($O$15,0,$DO199,$B$8,1),OFFSET($M$15,0,0,$B$8,1))=EE$14))   /   SUM(OFFSET($BO$15,0,0,$B$14,1)) + $B$18/($B$19*$B$19*($DN199&lt;&gt;$DO199) + $B$19*($DN199=$DO199))</f>
        <v>3.7037037037037035E-4</v>
      </c>
      <c r="EF199" s="10" cm="1">
        <f t="array" aca="1" ref="EF199" ca="1">(1-$B$18)*SUMPRODUCT(OFFSET($BO$15,0,0,$B$14,1), 1*(_xlfn._xlws.FILTER(OFFSET($O$15,0,$DN199,$B$8,1),OFFSET($M$15,0,0,$B$8,1))=EF$13), 1*(_xlfn._xlws.FILTER(OFFSET($O$15,0,$DO199,$B$8,1),OFFSET($M$15,0,0,$B$8,1))=EF$14))   /   SUM(OFFSET($BO$15,0,0,$B$14,1)) + $B$18/($B$19*$B$19*($DN199&lt;&gt;$DO199) + $B$19*($DN199=$DO199))</f>
        <v>3.7037037037037035E-4</v>
      </c>
      <c r="EG199" s="10" cm="1">
        <f t="array" aca="1" ref="EG199" ca="1">(1-$B$18)*SUMPRODUCT(OFFSET($BO$15,0,0,$B$14,1), 1*(_xlfn._xlws.FILTER(OFFSET($O$15,0,$DN199,$B$8,1),OFFSET($M$15,0,0,$B$8,1))=EG$13), 1*(_xlfn._xlws.FILTER(OFFSET($O$15,0,$DO199,$B$8,1),OFFSET($M$15,0,0,$B$8,1))=EG$14))   /   SUM(OFFSET($BO$15,0,0,$B$14,1)) + $B$18/($B$19*$B$19*($DN199&lt;&gt;$DO199) + $B$19*($DN199=$DO199))</f>
        <v>3.7037037037037035E-4</v>
      </c>
      <c r="EH199" s="10" cm="1">
        <f t="array" aca="1" ref="EH199" ca="1">(1-$B$18)*SUMPRODUCT(OFFSET($BO$15,0,0,$B$14,1), 1*(_xlfn._xlws.FILTER(OFFSET($O$15,0,$DN199,$B$8,1),OFFSET($M$15,0,0,$B$8,1))=EH$13), 1*(_xlfn._xlws.FILTER(OFFSET($O$15,0,$DO199,$B$8,1),OFFSET($M$15,0,0,$B$8,1))=EH$14))   /   SUM(OFFSET($BO$15,0,0,$B$14,1)) + $B$18/($B$19*$B$19*($DN199&lt;&gt;$DO199) + $B$19*($DN199=$DO199))</f>
        <v>3.7037037037037035E-4</v>
      </c>
      <c r="EI199" s="10" cm="1">
        <f t="array" aca="1" ref="EI199" ca="1">(1-$B$18)*SUMPRODUCT(OFFSET($BO$15,0,0,$B$14,1), 1*(_xlfn._xlws.FILTER(OFFSET($O$15,0,$DN199,$B$8,1),OFFSET($M$15,0,0,$B$8,1))=EI$13), 1*(_xlfn._xlws.FILTER(OFFSET($O$15,0,$DO199,$B$8,1),OFFSET($M$15,0,0,$B$8,1))=EI$14))   /   SUM(OFFSET($BO$15,0,0,$B$14,1)) + $B$18/($B$19*$B$19*($DN199&lt;&gt;$DO199) + $B$19*($DN199=$DO199))</f>
        <v>3.7037037037037035E-4</v>
      </c>
      <c r="EJ199" s="10" cm="1">
        <f t="array" aca="1" ref="EJ199" ca="1">(1-$B$18)*SUMPRODUCT(OFFSET($BO$15,0,0,$B$14,1), 1*(_xlfn._xlws.FILTER(OFFSET($O$15,0,$DN199,$B$8,1),OFFSET($M$15,0,0,$B$8,1))=EJ$13), 1*(_xlfn._xlws.FILTER(OFFSET($O$15,0,$DO199,$B$8,1),OFFSET($M$15,0,0,$B$8,1))=EJ$14))   /   SUM(OFFSET($BO$15,0,0,$B$14,1)) + $B$18/($B$19*$B$19*($DN199&lt;&gt;$DO199) + $B$19*($DN199=$DO199))</f>
        <v>3.7037037037037035E-4</v>
      </c>
      <c r="EK199" s="10" cm="1">
        <f t="array" aca="1" ref="EK199" ca="1">(1-$B$18)*SUMPRODUCT(OFFSET($BO$15,0,0,$B$14,1), 1*(_xlfn._xlws.FILTER(OFFSET($O$15,0,$DN199,$B$8,1),OFFSET($M$15,0,0,$B$8,1))=EK$13), 1*(_xlfn._xlws.FILTER(OFFSET($O$15,0,$DO199,$B$8,1),OFFSET($M$15,0,0,$B$8,1))=EK$14))   /   SUM(OFFSET($BO$15,0,0,$B$14,1)) + $B$18/($B$19*$B$19*($DN199&lt;&gt;$DO199) + $B$19*($DN199=$DO199))</f>
        <v>3.7037037037037035E-4</v>
      </c>
      <c r="EL199" s="10" cm="1">
        <f t="array" aca="1" ref="EL199" ca="1">(1-$B$18)*SUMPRODUCT(OFFSET($BO$15,0,0,$B$14,1), 1*(_xlfn._xlws.FILTER(OFFSET($O$15,0,$DN199,$B$8,1),OFFSET($M$15,0,0,$B$8,1))=EL$13), 1*(_xlfn._xlws.FILTER(OFFSET($O$15,0,$DO199,$B$8,1),OFFSET($M$15,0,0,$B$8,1))=EL$14))   /   SUM(OFFSET($BO$15,0,0,$B$14,1)) + $B$18/($B$19*$B$19*($DN199&lt;&gt;$DO199) + $B$19*($DN199=$DO199))</f>
        <v>3.7037037037037035E-4</v>
      </c>
      <c r="EM199" s="10" cm="1">
        <f t="array" aca="1" ref="EM199" ca="1">(1-$B$18)*SUMPRODUCT(OFFSET($BO$15,0,0,$B$14,1), 1*(_xlfn._xlws.FILTER(OFFSET($O$15,0,$DN199,$B$8,1),OFFSET($M$15,0,0,$B$8,1))=EM$13), 1*(_xlfn._xlws.FILTER(OFFSET($O$15,0,$DO199,$B$8,1),OFFSET($M$15,0,0,$B$8,1))=EM$14))   /   SUM(OFFSET($BO$15,0,0,$B$14,1)) + $B$18/($B$19*$B$19*($DN199&lt;&gt;$DO199) + $B$19*($DN199=$DO199))</f>
        <v>3.7037037037037035E-4</v>
      </c>
      <c r="EN199" s="10" cm="1">
        <f t="array" aca="1" ref="EN199" ca="1">(1-$B$18)*SUMPRODUCT(OFFSET($BO$15,0,0,$B$14,1), 1*(_xlfn._xlws.FILTER(OFFSET($O$15,0,$DN199,$B$8,1),OFFSET($M$15,0,0,$B$8,1))=EN$13), 1*(_xlfn._xlws.FILTER(OFFSET($O$15,0,$DO199,$B$8,1),OFFSET($M$15,0,0,$B$8,1))=EN$14))   /   SUM(OFFSET($BO$15,0,0,$B$14,1)) + $B$18/($B$19*$B$19*($DN199&lt;&gt;$DO199) + $B$19*($DN199=$DO199))</f>
        <v>3.7037037037037035E-4</v>
      </c>
      <c r="EO199" s="10" cm="1">
        <f t="array" aca="1" ref="EO199" ca="1">(1-$B$18)*SUMPRODUCT(OFFSET($BO$15,0,0,$B$14,1), 1*(_xlfn._xlws.FILTER(OFFSET($O$15,0,$DN199,$B$8,1),OFFSET($M$15,0,0,$B$8,1))=EO$13), 1*(_xlfn._xlws.FILTER(OFFSET($O$15,0,$DO199,$B$8,1),OFFSET($M$15,0,0,$B$8,1))=EO$14))   /   SUM(OFFSET($BO$15,0,0,$B$14,1)) + $B$18/($B$19*$B$19*($DN199&lt;&gt;$DO199) + $B$19*($DN199=$DO199))</f>
        <v>3.7037037037037035E-4</v>
      </c>
      <c r="EP199" s="10" cm="1">
        <f t="array" aca="1" ref="EP199" ca="1">(1-$B$18)*SUMPRODUCT(OFFSET($BO$15,0,0,$B$14,1), 1*(_xlfn._xlws.FILTER(OFFSET($O$15,0,$DN199,$B$8,1),OFFSET($M$15,0,0,$B$8,1))=EP$13), 1*(_xlfn._xlws.FILTER(OFFSET($O$15,0,$DO199,$B$8,1),OFFSET($M$15,0,0,$B$8,1))=EP$14))   /   SUM(OFFSET($BO$15,0,0,$B$14,1)) + $B$18/($B$19*$B$19*($DN199&lt;&gt;$DO199) + $B$19*($DN199=$DO199))</f>
        <v>3.7037037037037035E-4</v>
      </c>
      <c r="EQ199" s="10" cm="1">
        <f t="array" aca="1" ref="EQ199" ca="1">(1-$B$18)*SUMPRODUCT(OFFSET($BO$15,0,0,$B$14,1), 1*(_xlfn._xlws.FILTER(OFFSET($O$15,0,$DN199,$B$8,1),OFFSET($M$15,0,0,$B$8,1))=EQ$13), 1*(_xlfn._xlws.FILTER(OFFSET($O$15,0,$DO199,$B$8,1),OFFSET($M$15,0,0,$B$8,1))=EQ$14))   /   SUM(OFFSET($BO$15,0,0,$B$14,1)) + $B$18/($B$19*$B$19*($DN199&lt;&gt;$DO199) + $B$19*($DN199=$DO199))</f>
        <v>3.7037037037037035E-4</v>
      </c>
      <c r="ER199" s="10" cm="1">
        <f t="array" aca="1" ref="ER199" ca="1">(1-$B$18)*SUMPRODUCT(OFFSET($BO$15,0,0,$B$14,1), 1*(_xlfn._xlws.FILTER(OFFSET($O$15,0,$DN199,$B$8,1),OFFSET($M$15,0,0,$B$8,1))=ER$13), 1*(_xlfn._xlws.FILTER(OFFSET($O$15,0,$DO199,$B$8,1),OFFSET($M$15,0,0,$B$8,1))=ER$14))   /   SUM(OFFSET($BO$15,0,0,$B$14,1)) + $B$18/($B$19*$B$19*($DN199&lt;&gt;$DO199) + $B$19*($DN199=$DO199))</f>
        <v>3.7037037037037035E-4</v>
      </c>
      <c r="ES199" s="10" cm="1">
        <f t="array" aca="1" ref="ES199" ca="1">(1-$B$18)*SUMPRODUCT(OFFSET($BO$15,0,0,$B$14,1), 1*(_xlfn._xlws.FILTER(OFFSET($O$15,0,$DN199,$B$8,1),OFFSET($M$15,0,0,$B$8,1))=ES$13), 1*(_xlfn._xlws.FILTER(OFFSET($O$15,0,$DO199,$B$8,1),OFFSET($M$15,0,0,$B$8,1))=ES$14))   /   SUM(OFFSET($BO$15,0,0,$B$14,1)) + $B$18/($B$19*$B$19*($DN199&lt;&gt;$DO199) + $B$19*($DN199=$DO199))</f>
        <v>3.7037037037037035E-4</v>
      </c>
      <c r="ET199" s="10" cm="1">
        <f t="array" aca="1" ref="ET199" ca="1">(1-$B$18)*SUMPRODUCT(OFFSET($BO$15,0,0,$B$14,1), 1*(_xlfn._xlws.FILTER(OFFSET($O$15,0,$DN199,$B$8,1),OFFSET($M$15,0,0,$B$8,1))=ET$13), 1*(_xlfn._xlws.FILTER(OFFSET($O$15,0,$DO199,$B$8,1),OFFSET($M$15,0,0,$B$8,1))=ET$14))   /   SUM(OFFSET($BO$15,0,0,$B$14,1)) + $B$18/($B$19*$B$19*($DN199&lt;&gt;$DO199) + $B$19*($DN199=$DO199))</f>
        <v>3.7037037037037035E-4</v>
      </c>
      <c r="EU199" s="10" cm="1">
        <f t="array" aca="1" ref="EU199" ca="1">(1-$B$18)*SUMPRODUCT(OFFSET($BO$15,0,0,$B$14,1), 1*(_xlfn._xlws.FILTER(OFFSET($O$15,0,$DN199,$B$8,1),OFFSET($M$15,0,0,$B$8,1))=EU$13), 1*(_xlfn._xlws.FILTER(OFFSET($O$15,0,$DO199,$B$8,1),OFFSET($M$15,0,0,$B$8,1))=EU$14))   /   SUM(OFFSET($BO$15,0,0,$B$14,1)) + $B$18/($B$19*$B$19*($DN199&lt;&gt;$DO199) + $B$19*($DN199=$DO199))</f>
        <v>3.7037037037037035E-4</v>
      </c>
      <c r="EV199" s="10" cm="1">
        <f t="array" aca="1" ref="EV199" ca="1">(1-$B$18)*SUMPRODUCT(OFFSET($BO$15,0,0,$B$14,1), 1*(_xlfn._xlws.FILTER(OFFSET($O$15,0,$DN199,$B$8,1),OFFSET($M$15,0,0,$B$8,1))=EV$13), 1*(_xlfn._xlws.FILTER(OFFSET($O$15,0,$DO199,$B$8,1),OFFSET($M$15,0,0,$B$8,1))=EV$14))   /   SUM(OFFSET($BO$15,0,0,$B$14,1)) + $B$18/($B$19*$B$19*($DN199&lt;&gt;$DO199) + $B$19*($DN199=$DO199))</f>
        <v>3.7037037037037035E-4</v>
      </c>
      <c r="EW199" s="10" cm="1">
        <f t="array" aca="1" ref="EW199" ca="1">(1-$B$18)*SUMPRODUCT(OFFSET($BO$15,0,0,$B$14,1), 1*(_xlfn._xlws.FILTER(OFFSET($O$15,0,$DN199,$B$8,1),OFFSET($M$15,0,0,$B$8,1))=EW$13), 1*(_xlfn._xlws.FILTER(OFFSET($O$15,0,$DO199,$B$8,1),OFFSET($M$15,0,0,$B$8,1))=EW$14))   /   SUM(OFFSET($BO$15,0,0,$B$14,1)) + $B$18/($B$19*$B$19*($DN199&lt;&gt;$DO199) + $B$19*($DN199=$DO199))</f>
        <v>3.7037037037037035E-4</v>
      </c>
      <c r="EX199" s="10" cm="1">
        <f t="array" aca="1" ref="EX199" ca="1">(1-$B$18)*SUMPRODUCT(OFFSET($BO$15,0,0,$B$14,1), 1*(_xlfn._xlws.FILTER(OFFSET($O$15,0,$DN199,$B$8,1),OFFSET($M$15,0,0,$B$8,1))=EX$13), 1*(_xlfn._xlws.FILTER(OFFSET($O$15,0,$DO199,$B$8,1),OFFSET($M$15,0,0,$B$8,1))=EX$14))   /   SUM(OFFSET($BO$15,0,0,$B$14,1)) + $B$18/($B$19*$B$19*($DN199&lt;&gt;$DO199) + $B$19*($DN199=$DO199))</f>
        <v>3.7037037037037035E-4</v>
      </c>
      <c r="EY199" s="10" cm="1">
        <f t="array" aca="1" ref="EY199" ca="1">(1-$B$18)*SUMPRODUCT(OFFSET($BO$15,0,0,$B$14,1), 1*(_xlfn._xlws.FILTER(OFFSET($O$15,0,$DN199,$B$8,1),OFFSET($M$15,0,0,$B$8,1))=EY$13), 1*(_xlfn._xlws.FILTER(OFFSET($O$15,0,$DO199,$B$8,1),OFFSET($M$15,0,0,$B$8,1))=EY$14))   /   SUM(OFFSET($BO$15,0,0,$B$14,1)) + $B$18/($B$19*$B$19*($DN199&lt;&gt;$DO199) + $B$19*($DN199=$DO199))</f>
        <v>3.7037037037037035E-4</v>
      </c>
      <c r="EZ199" s="10" cm="1">
        <f t="array" aca="1" ref="EZ199" ca="1">(1-$B$18)*SUMPRODUCT(OFFSET($BO$15,0,0,$B$14,1), 1*(_xlfn._xlws.FILTER(OFFSET($O$15,0,$DN199,$B$8,1),OFFSET($M$15,0,0,$B$8,1))=EZ$13), 1*(_xlfn._xlws.FILTER(OFFSET($O$15,0,$DO199,$B$8,1),OFFSET($M$15,0,0,$B$8,1))=EZ$14))   /   SUM(OFFSET($BO$15,0,0,$B$14,1)) + $B$18/($B$19*$B$19*($DN199&lt;&gt;$DO199) + $B$19*($DN199=$DO199))</f>
        <v>3.7037037037037035E-4</v>
      </c>
      <c r="FA199" s="10" cm="1">
        <f t="array" aca="1" ref="FA199" ca="1">(1-$B$18)*SUMPRODUCT(OFFSET($BO$15,0,0,$B$14,1), 1*(_xlfn._xlws.FILTER(OFFSET($O$15,0,$DN199,$B$8,1),OFFSET($M$15,0,0,$B$8,1))=FA$13), 1*(_xlfn._xlws.FILTER(OFFSET($O$15,0,$DO199,$B$8,1),OFFSET($M$15,0,0,$B$8,1))=FA$14))   /   SUM(OFFSET($BO$15,0,0,$B$14,1)) + $B$18/($B$19*$B$19*($DN199&lt;&gt;$DO199) + $B$19*($DN199=$DO199))</f>
        <v>3.7037037037037035E-4</v>
      </c>
      <c r="FB199" s="10" cm="1">
        <f t="array" aca="1" ref="FB199" ca="1">(1-$B$18)*SUMPRODUCT(OFFSET($BO$15,0,0,$B$14,1), 1*(_xlfn._xlws.FILTER(OFFSET($O$15,0,$DN199,$B$8,1),OFFSET($M$15,0,0,$B$8,1))=FB$13), 1*(_xlfn._xlws.FILTER(OFFSET($O$15,0,$DO199,$B$8,1),OFFSET($M$15,0,0,$B$8,1))=FB$14))   /   SUM(OFFSET($BO$15,0,0,$B$14,1)) + $B$18/($B$19*$B$19*($DN199&lt;&gt;$DO199) + $B$19*($DN199=$DO199))</f>
        <v>3.7037037037037035E-4</v>
      </c>
      <c r="FC199" s="10" cm="1">
        <f t="array" aca="1" ref="FC199" ca="1">(1-$B$18)*SUMPRODUCT(OFFSET($BO$15,0,0,$B$14,1), 1*(_xlfn._xlws.FILTER(OFFSET($O$15,0,$DN199,$B$8,1),OFFSET($M$15,0,0,$B$8,1))=FC$13), 1*(_xlfn._xlws.FILTER(OFFSET($O$15,0,$DO199,$B$8,1),OFFSET($M$15,0,0,$B$8,1))=FC$14))   /   SUM(OFFSET($BO$15,0,0,$B$14,1)) + $B$18/($B$19*$B$19*($DN199&lt;&gt;$DO199) + $B$19*($DN199=$DO199))</f>
        <v>3.7037037037037035E-4</v>
      </c>
      <c r="FD199" s="10" cm="1">
        <f t="array" aca="1" ref="FD199" ca="1">(1-$B$18)*SUMPRODUCT(OFFSET($BO$15,0,0,$B$14,1), 1*(_xlfn._xlws.FILTER(OFFSET($O$15,0,$DN199,$B$8,1),OFFSET($M$15,0,0,$B$8,1))=FD$13), 1*(_xlfn._xlws.FILTER(OFFSET($O$15,0,$DO199,$B$8,1),OFFSET($M$15,0,0,$B$8,1))=FD$14))   /   SUM(OFFSET($BO$15,0,0,$B$14,1)) + $B$18/($B$19*$B$19*($DN199&lt;&gt;$DO199) + $B$19*($DN199=$DO199))</f>
        <v>3.7037037037037035E-4</v>
      </c>
      <c r="FE199" s="10" cm="1">
        <f t="array" aca="1" ref="FE199" ca="1">(1-$B$18)*SUMPRODUCT(OFFSET($BO$15,0,0,$B$14,1), 1*(_xlfn._xlws.FILTER(OFFSET($O$15,0,$DN199,$B$8,1),OFFSET($M$15,0,0,$B$8,1))=FE$13), 1*(_xlfn._xlws.FILTER(OFFSET($O$15,0,$DO199,$B$8,1),OFFSET($M$15,0,0,$B$8,1))=FE$14))   /   SUM(OFFSET($BO$15,0,0,$B$14,1)) + $B$18/($B$19*$B$19*($DN199&lt;&gt;$DO199) + $B$19*($DN199=$DO199))</f>
        <v>3.7037037037037035E-4</v>
      </c>
      <c r="FF199" s="10" cm="1">
        <f t="array" aca="1" ref="FF199" ca="1">(1-$B$18)*SUMPRODUCT(OFFSET($BO$15,0,0,$B$14,1), 1*(_xlfn._xlws.FILTER(OFFSET($O$15,0,$DN199,$B$8,1),OFFSET($M$15,0,0,$B$8,1))=FF$13), 1*(_xlfn._xlws.FILTER(OFFSET($O$15,0,$DO199,$B$8,1),OFFSET($M$15,0,0,$B$8,1))=FF$14))   /   SUM(OFFSET($BO$15,0,0,$B$14,1)) + $B$18/($B$19*$B$19*($DN199&lt;&gt;$DO199) + $B$19*($DN199=$DO199))</f>
        <v>3.7037037037037035E-4</v>
      </c>
      <c r="FG199" s="10" cm="1">
        <f t="array" aca="1" ref="FG199" ca="1">(1-$B$18)*SUMPRODUCT(OFFSET($BO$15,0,0,$B$14,1), 1*(_xlfn._xlws.FILTER(OFFSET($O$15,0,$DN199,$B$8,1),OFFSET($M$15,0,0,$B$8,1))=FG$13), 1*(_xlfn._xlws.FILTER(OFFSET($O$15,0,$DO199,$B$8,1),OFFSET($M$15,0,0,$B$8,1))=FG$14))   /   SUM(OFFSET($BO$15,0,0,$B$14,1)) + $B$18/($B$19*$B$19*($DN199&lt;&gt;$DO199) + $B$19*($DN199=$DO199))</f>
        <v>3.7037037037037035E-4</v>
      </c>
      <c r="FH199" s="10" cm="1">
        <f t="array" aca="1" ref="FH199" ca="1">(1-$B$18)*SUMPRODUCT(OFFSET($BO$15,0,0,$B$14,1), 1*(_xlfn._xlws.FILTER(OFFSET($O$15,0,$DN199,$B$8,1),OFFSET($M$15,0,0,$B$8,1))=FH$13), 1*(_xlfn._xlws.FILTER(OFFSET($O$15,0,$DO199,$B$8,1),OFFSET($M$15,0,0,$B$8,1))=FH$14))   /   SUM(OFFSET($BO$15,0,0,$B$14,1)) + $B$18/($B$19*$B$19*($DN199&lt;&gt;$DO199) + $B$19*($DN199=$DO199))</f>
        <v>3.7037037037037035E-4</v>
      </c>
      <c r="FI199" s="10" cm="1">
        <f t="array" aca="1" ref="FI199" ca="1">(1-$B$18)*SUMPRODUCT(OFFSET($BO$15,0,0,$B$14,1), 1*(_xlfn._xlws.FILTER(OFFSET($O$15,0,$DN199,$B$8,1),OFFSET($M$15,0,0,$B$8,1))=FI$13), 1*(_xlfn._xlws.FILTER(OFFSET($O$15,0,$DO199,$B$8,1),OFFSET($M$15,0,0,$B$8,1))=FI$14))   /   SUM(OFFSET($BO$15,0,0,$B$14,1)) + $B$18/($B$19*$B$19*($DN199&lt;&gt;$DO199) + $B$19*($DN199=$DO199))</f>
        <v>3.7037037037037035E-4</v>
      </c>
      <c r="FJ199" s="10" cm="1">
        <f t="array" aca="1" ref="FJ199" ca="1">(1-$B$18)*SUMPRODUCT(OFFSET($BO$15,0,0,$B$14,1), 1*(_xlfn._xlws.FILTER(OFFSET($O$15,0,$DN199,$B$8,1),OFFSET($M$15,0,0,$B$8,1))=FJ$13), 1*(_xlfn._xlws.FILTER(OFFSET($O$15,0,$DO199,$B$8,1),OFFSET($M$15,0,0,$B$8,1))=FJ$14))   /   SUM(OFFSET($BO$15,0,0,$B$14,1)) + $B$18/($B$19*$B$19*($DN199&lt;&gt;$DO199) + $B$19*($DN199=$DO199))</f>
        <v>3.7037037037037035E-4</v>
      </c>
      <c r="FK199" s="10" cm="1">
        <f t="array" aca="1" ref="FK199" ca="1">(1-$B$18)*SUMPRODUCT(OFFSET($BO$15,0,0,$B$14,1), 1*(_xlfn._xlws.FILTER(OFFSET($O$15,0,$DN199,$B$8,1),OFFSET($M$15,0,0,$B$8,1))=FK$13), 1*(_xlfn._xlws.FILTER(OFFSET($O$15,0,$DO199,$B$8,1),OFFSET($M$15,0,0,$B$8,1))=FK$14))   /   SUM(OFFSET($BO$15,0,0,$B$14,1)) + $B$18/($B$19*$B$19*($DN199&lt;&gt;$DO199) + $B$19*($DN199=$DO199))</f>
        <v>3.7037037037037035E-4</v>
      </c>
      <c r="FL199" s="10" cm="1">
        <f t="array" aca="1" ref="FL199" ca="1">(1-$B$18)*SUMPRODUCT(OFFSET($BO$15,0,0,$B$14,1), 1*(_xlfn._xlws.FILTER(OFFSET($O$15,0,$DN199,$B$8,1),OFFSET($M$15,0,0,$B$8,1))=FL$13), 1*(_xlfn._xlws.FILTER(OFFSET($O$15,0,$DO199,$B$8,1),OFFSET($M$15,0,0,$B$8,1))=FL$14))   /   SUM(OFFSET($BO$15,0,0,$B$14,1)) + $B$18/($B$19*$B$19*($DN199&lt;&gt;$DO199) + $B$19*($DN199=$DO199))</f>
        <v>3.7037037037037035E-4</v>
      </c>
      <c r="FM199" s="10" cm="1">
        <f t="array" aca="1" ref="FM199" ca="1">(1-$B$18)*SUMPRODUCT(OFFSET($BO$15,0,0,$B$14,1), 1*(_xlfn._xlws.FILTER(OFFSET($O$15,0,$DN199,$B$8,1),OFFSET($M$15,0,0,$B$8,1))=FM$13), 1*(_xlfn._xlws.FILTER(OFFSET($O$15,0,$DO199,$B$8,1),OFFSET($M$15,0,0,$B$8,1))=FM$14))   /   SUM(OFFSET($BO$15,0,0,$B$14,1)) + $B$18/($B$19*$B$19*($DN199&lt;&gt;$DO199) + $B$19*($DN199=$DO199))</f>
        <v>3.7037037037037035E-4</v>
      </c>
      <c r="FN199" s="10" cm="1">
        <f t="array" aca="1" ref="FN199" ca="1">(1-$B$18)*SUMPRODUCT(OFFSET($BO$15,0,0,$B$14,1), 1*(_xlfn._xlws.FILTER(OFFSET($O$15,0,$DN199,$B$8,1),OFFSET($M$15,0,0,$B$8,1))=FN$13), 1*(_xlfn._xlws.FILTER(OFFSET($O$15,0,$DO199,$B$8,1),OFFSET($M$15,0,0,$B$8,1))=FN$14))   /   SUM(OFFSET($BO$15,0,0,$B$14,1)) + $B$18/($B$19*$B$19*($DN199&lt;&gt;$DO199) + $B$19*($DN199=$DO199))</f>
        <v>0.97037037037037033</v>
      </c>
      <c r="FO199" s="10" cm="1">
        <f t="array" aca="1" ref="FO199" ca="1">(1-$B$18)*SUMPRODUCT(OFFSET($BO$15,0,0,$B$14,1), 1*(_xlfn._xlws.FILTER(OFFSET($O$15,0,$DN199,$B$8,1),OFFSET($M$15,0,0,$B$8,1))=FO$13), 1*(_xlfn._xlws.FILTER(OFFSET($O$15,0,$DO199,$B$8,1),OFFSET($M$15,0,0,$B$8,1))=FO$14))   /   SUM(OFFSET($BO$15,0,0,$B$14,1)) + $B$18/($B$19*$B$19*($DN199&lt;&gt;$DO199) + $B$19*($DN199=$DO199))</f>
        <v>3.7037037037037035E-4</v>
      </c>
      <c r="FP199" s="10" cm="1">
        <f t="array" aca="1" ref="FP199" ca="1">(1-$B$18)*SUMPRODUCT(OFFSET($BO$15,0,0,$B$14,1), 1*(_xlfn._xlws.FILTER(OFFSET($O$15,0,$DN199,$B$8,1),OFFSET($M$15,0,0,$B$8,1))=FP$13), 1*(_xlfn._xlws.FILTER(OFFSET($O$15,0,$DO199,$B$8,1),OFFSET($M$15,0,0,$B$8,1))=FP$14))   /   SUM(OFFSET($BO$15,0,0,$B$14,1)) + $B$18/($B$19*$B$19*($DN199&lt;&gt;$DO199) + $B$19*($DN199=$DO199))</f>
        <v>3.7037037037037035E-4</v>
      </c>
      <c r="FQ199" s="10" cm="1">
        <f t="array" aca="1" ref="FQ199" ca="1">(1-$B$18)*SUMPRODUCT(OFFSET($BO$15,0,0,$B$14,1), 1*(_xlfn._xlws.FILTER(OFFSET($O$15,0,$DN199,$B$8,1),OFFSET($M$15,0,0,$B$8,1))=FQ$13), 1*(_xlfn._xlws.FILTER(OFFSET($O$15,0,$DO199,$B$8,1),OFFSET($M$15,0,0,$B$8,1))=FQ$14))   /   SUM(OFFSET($BO$15,0,0,$B$14,1)) + $B$18/($B$19*$B$19*($DN199&lt;&gt;$DO199) + $B$19*($DN199=$DO199))</f>
        <v>3.7037037037037035E-4</v>
      </c>
      <c r="FR199" s="10" cm="1">
        <f t="array" aca="1" ref="FR199" ca="1">(1-$B$18)*SUMPRODUCT(OFFSET($BO$15,0,0,$B$14,1), 1*(_xlfn._xlws.FILTER(OFFSET($O$15,0,$DN199,$B$8,1),OFFSET($M$15,0,0,$B$8,1))=FR$13), 1*(_xlfn._xlws.FILTER(OFFSET($O$15,0,$DO199,$B$8,1),OFFSET($M$15,0,0,$B$8,1))=FR$14))   /   SUM(OFFSET($BO$15,0,0,$B$14,1)) + $B$18/($B$19*$B$19*($DN199&lt;&gt;$DO199) + $B$19*($DN199=$DO199))</f>
        <v>3.7037037037037035E-4</v>
      </c>
      <c r="FS199" s="10" cm="1">
        <f t="array" aca="1" ref="FS199" ca="1">(1-$B$18)*SUMPRODUCT(OFFSET($BO$15,0,0,$B$14,1), 1*(_xlfn._xlws.FILTER(OFFSET($O$15,0,$DN199,$B$8,1),OFFSET($M$15,0,0,$B$8,1))=FS$13), 1*(_xlfn._xlws.FILTER(OFFSET($O$15,0,$DO199,$B$8,1),OFFSET($M$15,0,0,$B$8,1))=FS$14))   /   SUM(OFFSET($BO$15,0,0,$B$14,1)) + $B$18/($B$19*$B$19*($DN199&lt;&gt;$DO199) + $B$19*($DN199=$DO199))</f>
        <v>3.7037037037037035E-4</v>
      </c>
      <c r="FT199" s="10" cm="1">
        <f t="array" aca="1" ref="FT199" ca="1">(1-$B$18)*SUMPRODUCT(OFFSET($BO$15,0,0,$B$14,1), 1*(_xlfn._xlws.FILTER(OFFSET($O$15,0,$DN199,$B$8,1),OFFSET($M$15,0,0,$B$8,1))=FT$13), 1*(_xlfn._xlws.FILTER(OFFSET($O$15,0,$DO199,$B$8,1),OFFSET($M$15,0,0,$B$8,1))=FT$14))   /   SUM(OFFSET($BO$15,0,0,$B$14,1)) + $B$18/($B$19*$B$19*($DN199&lt;&gt;$DO199) + $B$19*($DN199=$DO199))</f>
        <v>3.7037037037037035E-4</v>
      </c>
      <c r="FU199" s="10" cm="1">
        <f t="array" aca="1" ref="FU199" ca="1">(1-$B$18)*SUMPRODUCT(OFFSET($BO$15,0,0,$B$14,1), 1*(_xlfn._xlws.FILTER(OFFSET($O$15,0,$DN199,$B$8,1),OFFSET($M$15,0,0,$B$8,1))=FU$13), 1*(_xlfn._xlws.FILTER(OFFSET($O$15,0,$DO199,$B$8,1),OFFSET($M$15,0,0,$B$8,1))=FU$14))   /   SUM(OFFSET($BO$15,0,0,$B$14,1)) + $B$18/($B$19*$B$19*($DN199&lt;&gt;$DO199) + $B$19*($DN199=$DO199))</f>
        <v>3.7037037037037035E-4</v>
      </c>
      <c r="FV199" s="10" cm="1">
        <f t="array" aca="1" ref="FV199" ca="1">(1-$B$18)*SUMPRODUCT(OFFSET($BO$15,0,0,$B$14,1), 1*(_xlfn._xlws.FILTER(OFFSET($O$15,0,$DN199,$B$8,1),OFFSET($M$15,0,0,$B$8,1))=FV$13), 1*(_xlfn._xlws.FILTER(OFFSET($O$15,0,$DO199,$B$8,1),OFFSET($M$15,0,0,$B$8,1))=FV$14))   /   SUM(OFFSET($BO$15,0,0,$B$14,1)) + $B$18/($B$19*$B$19*($DN199&lt;&gt;$DO199) + $B$19*($DN199=$DO199))</f>
        <v>3.7037037037037035E-4</v>
      </c>
      <c r="FW199" s="10" cm="1">
        <f t="array" aca="1" ref="FW199" ca="1">(1-$B$18)*SUMPRODUCT(OFFSET($BO$15,0,0,$B$14,1), 1*(_xlfn._xlws.FILTER(OFFSET($O$15,0,$DN199,$B$8,1),OFFSET($M$15,0,0,$B$8,1))=FW$13), 1*(_xlfn._xlws.FILTER(OFFSET($O$15,0,$DO199,$B$8,1),OFFSET($M$15,0,0,$B$8,1))=FW$14))   /   SUM(OFFSET($BO$15,0,0,$B$14,1)) + $B$18/($B$19*$B$19*($DN199&lt;&gt;$DO199) + $B$19*($DN199=$DO199))</f>
        <v>3.7037037037037035E-4</v>
      </c>
      <c r="FX199" s="10" cm="1">
        <f t="array" aca="1" ref="FX199" ca="1">(1-$B$18)*SUMPRODUCT(OFFSET($BO$15,0,0,$B$14,1), 1*(_xlfn._xlws.FILTER(OFFSET($O$15,0,$DN199,$B$8,1),OFFSET($M$15,0,0,$B$8,1))=FX$13), 1*(_xlfn._xlws.FILTER(OFFSET($O$15,0,$DO199,$B$8,1),OFFSET($M$15,0,0,$B$8,1))=FX$14))   /   SUM(OFFSET($BO$15,0,0,$B$14,1)) + $B$18/($B$19*$B$19*($DN199&lt;&gt;$DO199) + $B$19*($DN199=$DO199))</f>
        <v>3.7037037037037035E-4</v>
      </c>
      <c r="FY199" s="10" cm="1">
        <f t="array" aca="1" ref="FY199" ca="1">(1-$B$18)*SUMPRODUCT(OFFSET($BO$15,0,0,$B$14,1), 1*(_xlfn._xlws.FILTER(OFFSET($O$15,0,$DN199,$B$8,1),OFFSET($M$15,0,0,$B$8,1))=FY$13), 1*(_xlfn._xlws.FILTER(OFFSET($O$15,0,$DO199,$B$8,1),OFFSET($M$15,0,0,$B$8,1))=FY$14))   /   SUM(OFFSET($BO$15,0,0,$B$14,1)) + $B$18/($B$19*$B$19*($DN199&lt;&gt;$DO199) + $B$19*($DN199=$DO199))</f>
        <v>3.7037037037037035E-4</v>
      </c>
      <c r="FZ199" s="10" cm="1">
        <f t="array" aca="1" ref="FZ199" ca="1">(1-$B$18)*SUMPRODUCT(OFFSET($BO$15,0,0,$B$14,1), 1*(_xlfn._xlws.FILTER(OFFSET($O$15,0,$DN199,$B$8,1),OFFSET($M$15,0,0,$B$8,1))=FZ$13), 1*(_xlfn._xlws.FILTER(OFFSET($O$15,0,$DO199,$B$8,1),OFFSET($M$15,0,0,$B$8,1))=FZ$14))   /   SUM(OFFSET($BO$15,0,0,$B$14,1)) + $B$18/($B$19*$B$19*($DN199&lt;&gt;$DO199) + $B$19*($DN199=$DO199))</f>
        <v>3.7037037037037035E-4</v>
      </c>
      <c r="GA199" s="10" cm="1">
        <f t="array" aca="1" ref="GA199" ca="1">(1-$B$18)*SUMPRODUCT(OFFSET($BO$15,0,0,$B$14,1), 1*(_xlfn._xlws.FILTER(OFFSET($O$15,0,$DN199,$B$8,1),OFFSET($M$15,0,0,$B$8,1))=GA$13), 1*(_xlfn._xlws.FILTER(OFFSET($O$15,0,$DO199,$B$8,1),OFFSET($M$15,0,0,$B$8,1))=GA$14))   /   SUM(OFFSET($BO$15,0,0,$B$14,1)) + $B$18/($B$19*$B$19*($DN199&lt;&gt;$DO199) + $B$19*($DN199=$DO199))</f>
        <v>3.7037037037037035E-4</v>
      </c>
    </row>
    <row r="200" spans="118:183" x14ac:dyDescent="0.2">
      <c r="DN200" cm="1">
        <f t="array" aca="1" ref="DN200" ca="1">INDEX(_xlfn.ANCHORARRAY($CP$15), 1 + INT((ROWS($DO$15:$DO200) - 1) / ROWS(_xlfn.ANCHORARRAY($CP$15))))</f>
        <v>9</v>
      </c>
      <c r="DO200" cm="1">
        <f t="array" aca="1" ref="DO200" ca="1">INDEX(_xlfn.ANCHORARRAY($CP$15),1+MOD(ROWS($DO$15:$DO200)-1,ROWS(_xlfn.ANCHORARRAY($CP$15))))</f>
        <v>15</v>
      </c>
      <c r="DP200" s="10" cm="1">
        <f t="array" aca="1" ref="DP200" ca="1">(1-$B$18)*SUMPRODUCT(OFFSET($BO$15,0,0,$B$14,1), 1*(_xlfn._xlws.FILTER(OFFSET($O$15,0,$DN200,$B$8,1),OFFSET($M$15,0,0,$B$8,1))=DP$13), 1*(_xlfn._xlws.FILTER(OFFSET($O$15,0,$DO200,$B$8,1),OFFSET($M$15,0,0,$B$8,1))=DP$14))   /   SUM(OFFSET($BO$15,0,0,$B$14,1)) + $B$18/($B$19*$B$19*($DN200&lt;&gt;$DO200) + $B$19*($DN200=$DO200))</f>
        <v>3.7037037037037035E-4</v>
      </c>
      <c r="DQ200" s="10" cm="1">
        <f t="array" aca="1" ref="DQ200" ca="1">(1-$B$18)*SUMPRODUCT(OFFSET($BO$15,0,0,$B$14,1), 1*(_xlfn._xlws.FILTER(OFFSET($O$15,0,$DN200,$B$8,1),OFFSET($M$15,0,0,$B$8,1))=DQ$13), 1*(_xlfn._xlws.FILTER(OFFSET($O$15,0,$DO200,$B$8,1),OFFSET($M$15,0,0,$B$8,1))=DQ$14))   /   SUM(OFFSET($BO$15,0,0,$B$14,1)) + $B$18/($B$19*$B$19*($DN200&lt;&gt;$DO200) + $B$19*($DN200=$DO200))</f>
        <v>3.7037037037037035E-4</v>
      </c>
      <c r="DR200" s="10" cm="1">
        <f t="array" aca="1" ref="DR200" ca="1">(1-$B$18)*SUMPRODUCT(OFFSET($BO$15,0,0,$B$14,1), 1*(_xlfn._xlws.FILTER(OFFSET($O$15,0,$DN200,$B$8,1),OFFSET($M$15,0,0,$B$8,1))=DR$13), 1*(_xlfn._xlws.FILTER(OFFSET($O$15,0,$DO200,$B$8,1),OFFSET($M$15,0,0,$B$8,1))=DR$14))   /   SUM(OFFSET($BO$15,0,0,$B$14,1)) + $B$18/($B$19*$B$19*($DN200&lt;&gt;$DO200) + $B$19*($DN200=$DO200))</f>
        <v>3.7037037037037035E-4</v>
      </c>
      <c r="DS200" s="10" cm="1">
        <f t="array" aca="1" ref="DS200" ca="1">(1-$B$18)*SUMPRODUCT(OFFSET($BO$15,0,0,$B$14,1), 1*(_xlfn._xlws.FILTER(OFFSET($O$15,0,$DN200,$B$8,1),OFFSET($M$15,0,0,$B$8,1))=DS$13), 1*(_xlfn._xlws.FILTER(OFFSET($O$15,0,$DO200,$B$8,1),OFFSET($M$15,0,0,$B$8,1))=DS$14))   /   SUM(OFFSET($BO$15,0,0,$B$14,1)) + $B$18/($B$19*$B$19*($DN200&lt;&gt;$DO200) + $B$19*($DN200=$DO200))</f>
        <v>3.7037037037037035E-4</v>
      </c>
      <c r="DT200" s="10" cm="1">
        <f t="array" aca="1" ref="DT200" ca="1">(1-$B$18)*SUMPRODUCT(OFFSET($BO$15,0,0,$B$14,1), 1*(_xlfn._xlws.FILTER(OFFSET($O$15,0,$DN200,$B$8,1),OFFSET($M$15,0,0,$B$8,1))=DT$13), 1*(_xlfn._xlws.FILTER(OFFSET($O$15,0,$DO200,$B$8,1),OFFSET($M$15,0,0,$B$8,1))=DT$14))   /   SUM(OFFSET($BO$15,0,0,$B$14,1)) + $B$18/($B$19*$B$19*($DN200&lt;&gt;$DO200) + $B$19*($DN200=$DO200))</f>
        <v>3.7037037037037035E-4</v>
      </c>
      <c r="DU200" s="10" cm="1">
        <f t="array" aca="1" ref="DU200" ca="1">(1-$B$18)*SUMPRODUCT(OFFSET($BO$15,0,0,$B$14,1), 1*(_xlfn._xlws.FILTER(OFFSET($O$15,0,$DN200,$B$8,1),OFFSET($M$15,0,0,$B$8,1))=DU$13), 1*(_xlfn._xlws.FILTER(OFFSET($O$15,0,$DO200,$B$8,1),OFFSET($M$15,0,0,$B$8,1))=DU$14))   /   SUM(OFFSET($BO$15,0,0,$B$14,1)) + $B$18/($B$19*$B$19*($DN200&lt;&gt;$DO200) + $B$19*($DN200=$DO200))</f>
        <v>3.7037037037037035E-4</v>
      </c>
      <c r="DV200" s="10" cm="1">
        <f t="array" aca="1" ref="DV200" ca="1">(1-$B$18)*SUMPRODUCT(OFFSET($BO$15,0,0,$B$14,1), 1*(_xlfn._xlws.FILTER(OFFSET($O$15,0,$DN200,$B$8,1),OFFSET($M$15,0,0,$B$8,1))=DV$13), 1*(_xlfn._xlws.FILTER(OFFSET($O$15,0,$DO200,$B$8,1),OFFSET($M$15,0,0,$B$8,1))=DV$14))   /   SUM(OFFSET($BO$15,0,0,$B$14,1)) + $B$18/($B$19*$B$19*($DN200&lt;&gt;$DO200) + $B$19*($DN200=$DO200))</f>
        <v>3.7037037037037035E-4</v>
      </c>
      <c r="DW200" s="10" cm="1">
        <f t="array" aca="1" ref="DW200" ca="1">(1-$B$18)*SUMPRODUCT(OFFSET($BO$15,0,0,$B$14,1), 1*(_xlfn._xlws.FILTER(OFFSET($O$15,0,$DN200,$B$8,1),OFFSET($M$15,0,0,$B$8,1))=DW$13), 1*(_xlfn._xlws.FILTER(OFFSET($O$15,0,$DO200,$B$8,1),OFFSET($M$15,0,0,$B$8,1))=DW$14))   /   SUM(OFFSET($BO$15,0,0,$B$14,1)) + $B$18/($B$19*$B$19*($DN200&lt;&gt;$DO200) + $B$19*($DN200=$DO200))</f>
        <v>3.7037037037037035E-4</v>
      </c>
      <c r="DX200" s="10" cm="1">
        <f t="array" aca="1" ref="DX200" ca="1">(1-$B$18)*SUMPRODUCT(OFFSET($BO$15,0,0,$B$14,1), 1*(_xlfn._xlws.FILTER(OFFSET($O$15,0,$DN200,$B$8,1),OFFSET($M$15,0,0,$B$8,1))=DX$13), 1*(_xlfn._xlws.FILTER(OFFSET($O$15,0,$DO200,$B$8,1),OFFSET($M$15,0,0,$B$8,1))=DX$14))   /   SUM(OFFSET($BO$15,0,0,$B$14,1)) + $B$18/($B$19*$B$19*($DN200&lt;&gt;$DO200) + $B$19*($DN200=$DO200))</f>
        <v>3.7037037037037035E-4</v>
      </c>
      <c r="DY200" s="10" cm="1">
        <f t="array" aca="1" ref="DY200" ca="1">(1-$B$18)*SUMPRODUCT(OFFSET($BO$15,0,0,$B$14,1), 1*(_xlfn._xlws.FILTER(OFFSET($O$15,0,$DN200,$B$8,1),OFFSET($M$15,0,0,$B$8,1))=DY$13), 1*(_xlfn._xlws.FILTER(OFFSET($O$15,0,$DO200,$B$8,1),OFFSET($M$15,0,0,$B$8,1))=DY$14))   /   SUM(OFFSET($BO$15,0,0,$B$14,1)) + $B$18/($B$19*$B$19*($DN200&lt;&gt;$DO200) + $B$19*($DN200=$DO200))</f>
        <v>3.7037037037037035E-4</v>
      </c>
      <c r="DZ200" s="10" cm="1">
        <f t="array" aca="1" ref="DZ200" ca="1">(1-$B$18)*SUMPRODUCT(OFFSET($BO$15,0,0,$B$14,1), 1*(_xlfn._xlws.FILTER(OFFSET($O$15,0,$DN200,$B$8,1),OFFSET($M$15,0,0,$B$8,1))=DZ$13), 1*(_xlfn._xlws.FILTER(OFFSET($O$15,0,$DO200,$B$8,1),OFFSET($M$15,0,0,$B$8,1))=DZ$14))   /   SUM(OFFSET($BO$15,0,0,$B$14,1)) + $B$18/($B$19*$B$19*($DN200&lt;&gt;$DO200) + $B$19*($DN200=$DO200))</f>
        <v>3.7037037037037035E-4</v>
      </c>
      <c r="EA200" s="10" cm="1">
        <f t="array" aca="1" ref="EA200" ca="1">(1-$B$18)*SUMPRODUCT(OFFSET($BO$15,0,0,$B$14,1), 1*(_xlfn._xlws.FILTER(OFFSET($O$15,0,$DN200,$B$8,1),OFFSET($M$15,0,0,$B$8,1))=EA$13), 1*(_xlfn._xlws.FILTER(OFFSET($O$15,0,$DO200,$B$8,1),OFFSET($M$15,0,0,$B$8,1))=EA$14))   /   SUM(OFFSET($BO$15,0,0,$B$14,1)) + $B$18/($B$19*$B$19*($DN200&lt;&gt;$DO200) + $B$19*($DN200=$DO200))</f>
        <v>3.7037037037037035E-4</v>
      </c>
      <c r="EB200" s="10" cm="1">
        <f t="array" aca="1" ref="EB200" ca="1">(1-$B$18)*SUMPRODUCT(OFFSET($BO$15,0,0,$B$14,1), 1*(_xlfn._xlws.FILTER(OFFSET($O$15,0,$DN200,$B$8,1),OFFSET($M$15,0,0,$B$8,1))=EB$13), 1*(_xlfn._xlws.FILTER(OFFSET($O$15,0,$DO200,$B$8,1),OFFSET($M$15,0,0,$B$8,1))=EB$14))   /   SUM(OFFSET($BO$15,0,0,$B$14,1)) + $B$18/($B$19*$B$19*($DN200&lt;&gt;$DO200) + $B$19*($DN200=$DO200))</f>
        <v>3.7037037037037035E-4</v>
      </c>
      <c r="EC200" s="10" cm="1">
        <f t="array" aca="1" ref="EC200" ca="1">(1-$B$18)*SUMPRODUCT(OFFSET($BO$15,0,0,$B$14,1), 1*(_xlfn._xlws.FILTER(OFFSET($O$15,0,$DN200,$B$8,1),OFFSET($M$15,0,0,$B$8,1))=EC$13), 1*(_xlfn._xlws.FILTER(OFFSET($O$15,0,$DO200,$B$8,1),OFFSET($M$15,0,0,$B$8,1))=EC$14))   /   SUM(OFFSET($BO$15,0,0,$B$14,1)) + $B$18/($B$19*$B$19*($DN200&lt;&gt;$DO200) + $B$19*($DN200=$DO200))</f>
        <v>3.7037037037037035E-4</v>
      </c>
      <c r="ED200" s="10" cm="1">
        <f t="array" aca="1" ref="ED200" ca="1">(1-$B$18)*SUMPRODUCT(OFFSET($BO$15,0,0,$B$14,1), 1*(_xlfn._xlws.FILTER(OFFSET($O$15,0,$DN200,$B$8,1),OFFSET($M$15,0,0,$B$8,1))=ED$13), 1*(_xlfn._xlws.FILTER(OFFSET($O$15,0,$DO200,$B$8,1),OFFSET($M$15,0,0,$B$8,1))=ED$14))   /   SUM(OFFSET($BO$15,0,0,$B$14,1)) + $B$18/($B$19*$B$19*($DN200&lt;&gt;$DO200) + $B$19*($DN200=$DO200))</f>
        <v>3.7037037037037035E-4</v>
      </c>
      <c r="EE200" s="10" cm="1">
        <f t="array" aca="1" ref="EE200" ca="1">(1-$B$18)*SUMPRODUCT(OFFSET($BO$15,0,0,$B$14,1), 1*(_xlfn._xlws.FILTER(OFFSET($O$15,0,$DN200,$B$8,1),OFFSET($M$15,0,0,$B$8,1))=EE$13), 1*(_xlfn._xlws.FILTER(OFFSET($O$15,0,$DO200,$B$8,1),OFFSET($M$15,0,0,$B$8,1))=EE$14))   /   SUM(OFFSET($BO$15,0,0,$B$14,1)) + $B$18/($B$19*$B$19*($DN200&lt;&gt;$DO200) + $B$19*($DN200=$DO200))</f>
        <v>3.7037037037037035E-4</v>
      </c>
      <c r="EF200" s="10" cm="1">
        <f t="array" aca="1" ref="EF200" ca="1">(1-$B$18)*SUMPRODUCT(OFFSET($BO$15,0,0,$B$14,1), 1*(_xlfn._xlws.FILTER(OFFSET($O$15,0,$DN200,$B$8,1),OFFSET($M$15,0,0,$B$8,1))=EF$13), 1*(_xlfn._xlws.FILTER(OFFSET($O$15,0,$DO200,$B$8,1),OFFSET($M$15,0,0,$B$8,1))=EF$14))   /   SUM(OFFSET($BO$15,0,0,$B$14,1)) + $B$18/($B$19*$B$19*($DN200&lt;&gt;$DO200) + $B$19*($DN200=$DO200))</f>
        <v>3.7037037037037035E-4</v>
      </c>
      <c r="EG200" s="10" cm="1">
        <f t="array" aca="1" ref="EG200" ca="1">(1-$B$18)*SUMPRODUCT(OFFSET($BO$15,0,0,$B$14,1), 1*(_xlfn._xlws.FILTER(OFFSET($O$15,0,$DN200,$B$8,1),OFFSET($M$15,0,0,$B$8,1))=EG$13), 1*(_xlfn._xlws.FILTER(OFFSET($O$15,0,$DO200,$B$8,1),OFFSET($M$15,0,0,$B$8,1))=EG$14))   /   SUM(OFFSET($BO$15,0,0,$B$14,1)) + $B$18/($B$19*$B$19*($DN200&lt;&gt;$DO200) + $B$19*($DN200=$DO200))</f>
        <v>3.7037037037037035E-4</v>
      </c>
      <c r="EH200" s="10" cm="1">
        <f t="array" aca="1" ref="EH200" ca="1">(1-$B$18)*SUMPRODUCT(OFFSET($BO$15,0,0,$B$14,1), 1*(_xlfn._xlws.FILTER(OFFSET($O$15,0,$DN200,$B$8,1),OFFSET($M$15,0,0,$B$8,1))=EH$13), 1*(_xlfn._xlws.FILTER(OFFSET($O$15,0,$DO200,$B$8,1),OFFSET($M$15,0,0,$B$8,1))=EH$14))   /   SUM(OFFSET($BO$15,0,0,$B$14,1)) + $B$18/($B$19*$B$19*($DN200&lt;&gt;$DO200) + $B$19*($DN200=$DO200))</f>
        <v>3.7037037037037035E-4</v>
      </c>
      <c r="EI200" s="10" cm="1">
        <f t="array" aca="1" ref="EI200" ca="1">(1-$B$18)*SUMPRODUCT(OFFSET($BO$15,0,0,$B$14,1), 1*(_xlfn._xlws.FILTER(OFFSET($O$15,0,$DN200,$B$8,1),OFFSET($M$15,0,0,$B$8,1))=EI$13), 1*(_xlfn._xlws.FILTER(OFFSET($O$15,0,$DO200,$B$8,1),OFFSET($M$15,0,0,$B$8,1))=EI$14))   /   SUM(OFFSET($BO$15,0,0,$B$14,1)) + $B$18/($B$19*$B$19*($DN200&lt;&gt;$DO200) + $B$19*($DN200=$DO200))</f>
        <v>3.7037037037037035E-4</v>
      </c>
      <c r="EJ200" s="10" cm="1">
        <f t="array" aca="1" ref="EJ200" ca="1">(1-$B$18)*SUMPRODUCT(OFFSET($BO$15,0,0,$B$14,1), 1*(_xlfn._xlws.FILTER(OFFSET($O$15,0,$DN200,$B$8,1),OFFSET($M$15,0,0,$B$8,1))=EJ$13), 1*(_xlfn._xlws.FILTER(OFFSET($O$15,0,$DO200,$B$8,1),OFFSET($M$15,0,0,$B$8,1))=EJ$14))   /   SUM(OFFSET($BO$15,0,0,$B$14,1)) + $B$18/($B$19*$B$19*($DN200&lt;&gt;$DO200) + $B$19*($DN200=$DO200))</f>
        <v>3.7037037037037035E-4</v>
      </c>
      <c r="EK200" s="10" cm="1">
        <f t="array" aca="1" ref="EK200" ca="1">(1-$B$18)*SUMPRODUCT(OFFSET($BO$15,0,0,$B$14,1), 1*(_xlfn._xlws.FILTER(OFFSET($O$15,0,$DN200,$B$8,1),OFFSET($M$15,0,0,$B$8,1))=EK$13), 1*(_xlfn._xlws.FILTER(OFFSET($O$15,0,$DO200,$B$8,1),OFFSET($M$15,0,0,$B$8,1))=EK$14))   /   SUM(OFFSET($BO$15,0,0,$B$14,1)) + $B$18/($B$19*$B$19*($DN200&lt;&gt;$DO200) + $B$19*($DN200=$DO200))</f>
        <v>3.7037037037037035E-4</v>
      </c>
      <c r="EL200" s="10" cm="1">
        <f t="array" aca="1" ref="EL200" ca="1">(1-$B$18)*SUMPRODUCT(OFFSET($BO$15,0,0,$B$14,1), 1*(_xlfn._xlws.FILTER(OFFSET($O$15,0,$DN200,$B$8,1),OFFSET($M$15,0,0,$B$8,1))=EL$13), 1*(_xlfn._xlws.FILTER(OFFSET($O$15,0,$DO200,$B$8,1),OFFSET($M$15,0,0,$B$8,1))=EL$14))   /   SUM(OFFSET($BO$15,0,0,$B$14,1)) + $B$18/($B$19*$B$19*($DN200&lt;&gt;$DO200) + $B$19*($DN200=$DO200))</f>
        <v>3.7037037037037035E-4</v>
      </c>
      <c r="EM200" s="10" cm="1">
        <f t="array" aca="1" ref="EM200" ca="1">(1-$B$18)*SUMPRODUCT(OFFSET($BO$15,0,0,$B$14,1), 1*(_xlfn._xlws.FILTER(OFFSET($O$15,0,$DN200,$B$8,1),OFFSET($M$15,0,0,$B$8,1))=EM$13), 1*(_xlfn._xlws.FILTER(OFFSET($O$15,0,$DO200,$B$8,1),OFFSET($M$15,0,0,$B$8,1))=EM$14))   /   SUM(OFFSET($BO$15,0,0,$B$14,1)) + $B$18/($B$19*$B$19*($DN200&lt;&gt;$DO200) + $B$19*($DN200=$DO200))</f>
        <v>3.7037037037037035E-4</v>
      </c>
      <c r="EN200" s="10" cm="1">
        <f t="array" aca="1" ref="EN200" ca="1">(1-$B$18)*SUMPRODUCT(OFFSET($BO$15,0,0,$B$14,1), 1*(_xlfn._xlws.FILTER(OFFSET($O$15,0,$DN200,$B$8,1),OFFSET($M$15,0,0,$B$8,1))=EN$13), 1*(_xlfn._xlws.FILTER(OFFSET($O$15,0,$DO200,$B$8,1),OFFSET($M$15,0,0,$B$8,1))=EN$14))   /   SUM(OFFSET($BO$15,0,0,$B$14,1)) + $B$18/($B$19*$B$19*($DN200&lt;&gt;$DO200) + $B$19*($DN200=$DO200))</f>
        <v>3.7037037037037035E-4</v>
      </c>
      <c r="EO200" s="10" cm="1">
        <f t="array" aca="1" ref="EO200" ca="1">(1-$B$18)*SUMPRODUCT(OFFSET($BO$15,0,0,$B$14,1), 1*(_xlfn._xlws.FILTER(OFFSET($O$15,0,$DN200,$B$8,1),OFFSET($M$15,0,0,$B$8,1))=EO$13), 1*(_xlfn._xlws.FILTER(OFFSET($O$15,0,$DO200,$B$8,1),OFFSET($M$15,0,0,$B$8,1))=EO$14))   /   SUM(OFFSET($BO$15,0,0,$B$14,1)) + $B$18/($B$19*$B$19*($DN200&lt;&gt;$DO200) + $B$19*($DN200=$DO200))</f>
        <v>3.7037037037037035E-4</v>
      </c>
      <c r="EP200" s="10" cm="1">
        <f t="array" aca="1" ref="EP200" ca="1">(1-$B$18)*SUMPRODUCT(OFFSET($BO$15,0,0,$B$14,1), 1*(_xlfn._xlws.FILTER(OFFSET($O$15,0,$DN200,$B$8,1),OFFSET($M$15,0,0,$B$8,1))=EP$13), 1*(_xlfn._xlws.FILTER(OFFSET($O$15,0,$DO200,$B$8,1),OFFSET($M$15,0,0,$B$8,1))=EP$14))   /   SUM(OFFSET($BO$15,0,0,$B$14,1)) + $B$18/($B$19*$B$19*($DN200&lt;&gt;$DO200) + $B$19*($DN200=$DO200))</f>
        <v>3.7037037037037035E-4</v>
      </c>
      <c r="EQ200" s="10" cm="1">
        <f t="array" aca="1" ref="EQ200" ca="1">(1-$B$18)*SUMPRODUCT(OFFSET($BO$15,0,0,$B$14,1), 1*(_xlfn._xlws.FILTER(OFFSET($O$15,0,$DN200,$B$8,1),OFFSET($M$15,0,0,$B$8,1))=EQ$13), 1*(_xlfn._xlws.FILTER(OFFSET($O$15,0,$DO200,$B$8,1),OFFSET($M$15,0,0,$B$8,1))=EQ$14))   /   SUM(OFFSET($BO$15,0,0,$B$14,1)) + $B$18/($B$19*$B$19*($DN200&lt;&gt;$DO200) + $B$19*($DN200=$DO200))</f>
        <v>3.7037037037037035E-4</v>
      </c>
      <c r="ER200" s="10" cm="1">
        <f t="array" aca="1" ref="ER200" ca="1">(1-$B$18)*SUMPRODUCT(OFFSET($BO$15,0,0,$B$14,1), 1*(_xlfn._xlws.FILTER(OFFSET($O$15,0,$DN200,$B$8,1),OFFSET($M$15,0,0,$B$8,1))=ER$13), 1*(_xlfn._xlws.FILTER(OFFSET($O$15,0,$DO200,$B$8,1),OFFSET($M$15,0,0,$B$8,1))=ER$14))   /   SUM(OFFSET($BO$15,0,0,$B$14,1)) + $B$18/($B$19*$B$19*($DN200&lt;&gt;$DO200) + $B$19*($DN200=$DO200))</f>
        <v>3.7037037037037035E-4</v>
      </c>
      <c r="ES200" s="10" cm="1">
        <f t="array" aca="1" ref="ES200" ca="1">(1-$B$18)*SUMPRODUCT(OFFSET($BO$15,0,0,$B$14,1), 1*(_xlfn._xlws.FILTER(OFFSET($O$15,0,$DN200,$B$8,1),OFFSET($M$15,0,0,$B$8,1))=ES$13), 1*(_xlfn._xlws.FILTER(OFFSET($O$15,0,$DO200,$B$8,1),OFFSET($M$15,0,0,$B$8,1))=ES$14))   /   SUM(OFFSET($BO$15,0,0,$B$14,1)) + $B$18/($B$19*$B$19*($DN200&lt;&gt;$DO200) + $B$19*($DN200=$DO200))</f>
        <v>3.7037037037037035E-4</v>
      </c>
      <c r="ET200" s="10" cm="1">
        <f t="array" aca="1" ref="ET200" ca="1">(1-$B$18)*SUMPRODUCT(OFFSET($BO$15,0,0,$B$14,1), 1*(_xlfn._xlws.FILTER(OFFSET($O$15,0,$DN200,$B$8,1),OFFSET($M$15,0,0,$B$8,1))=ET$13), 1*(_xlfn._xlws.FILTER(OFFSET($O$15,0,$DO200,$B$8,1),OFFSET($M$15,0,0,$B$8,1))=ET$14))   /   SUM(OFFSET($BO$15,0,0,$B$14,1)) + $B$18/($B$19*$B$19*($DN200&lt;&gt;$DO200) + $B$19*($DN200=$DO200))</f>
        <v>3.7037037037037035E-4</v>
      </c>
      <c r="EU200" s="10" cm="1">
        <f t="array" aca="1" ref="EU200" ca="1">(1-$B$18)*SUMPRODUCT(OFFSET($BO$15,0,0,$B$14,1), 1*(_xlfn._xlws.FILTER(OFFSET($O$15,0,$DN200,$B$8,1),OFFSET($M$15,0,0,$B$8,1))=EU$13), 1*(_xlfn._xlws.FILTER(OFFSET($O$15,0,$DO200,$B$8,1),OFFSET($M$15,0,0,$B$8,1))=EU$14))   /   SUM(OFFSET($BO$15,0,0,$B$14,1)) + $B$18/($B$19*$B$19*($DN200&lt;&gt;$DO200) + $B$19*($DN200=$DO200))</f>
        <v>3.7037037037037035E-4</v>
      </c>
      <c r="EV200" s="10" cm="1">
        <f t="array" aca="1" ref="EV200" ca="1">(1-$B$18)*SUMPRODUCT(OFFSET($BO$15,0,0,$B$14,1), 1*(_xlfn._xlws.FILTER(OFFSET($O$15,0,$DN200,$B$8,1),OFFSET($M$15,0,0,$B$8,1))=EV$13), 1*(_xlfn._xlws.FILTER(OFFSET($O$15,0,$DO200,$B$8,1),OFFSET($M$15,0,0,$B$8,1))=EV$14))   /   SUM(OFFSET($BO$15,0,0,$B$14,1)) + $B$18/($B$19*$B$19*($DN200&lt;&gt;$DO200) + $B$19*($DN200=$DO200))</f>
        <v>3.7037037037037035E-4</v>
      </c>
      <c r="EW200" s="10" cm="1">
        <f t="array" aca="1" ref="EW200" ca="1">(1-$B$18)*SUMPRODUCT(OFFSET($BO$15,0,0,$B$14,1), 1*(_xlfn._xlws.FILTER(OFFSET($O$15,0,$DN200,$B$8,1),OFFSET($M$15,0,0,$B$8,1))=EW$13), 1*(_xlfn._xlws.FILTER(OFFSET($O$15,0,$DO200,$B$8,1),OFFSET($M$15,0,0,$B$8,1))=EW$14))   /   SUM(OFFSET($BO$15,0,0,$B$14,1)) + $B$18/($B$19*$B$19*($DN200&lt;&gt;$DO200) + $B$19*($DN200=$DO200))</f>
        <v>3.7037037037037035E-4</v>
      </c>
      <c r="EX200" s="10" cm="1">
        <f t="array" aca="1" ref="EX200" ca="1">(1-$B$18)*SUMPRODUCT(OFFSET($BO$15,0,0,$B$14,1), 1*(_xlfn._xlws.FILTER(OFFSET($O$15,0,$DN200,$B$8,1),OFFSET($M$15,0,0,$B$8,1))=EX$13), 1*(_xlfn._xlws.FILTER(OFFSET($O$15,0,$DO200,$B$8,1),OFFSET($M$15,0,0,$B$8,1))=EX$14))   /   SUM(OFFSET($BO$15,0,0,$B$14,1)) + $B$18/($B$19*$B$19*($DN200&lt;&gt;$DO200) + $B$19*($DN200=$DO200))</f>
        <v>3.7037037037037035E-4</v>
      </c>
      <c r="EY200" s="10" cm="1">
        <f t="array" aca="1" ref="EY200" ca="1">(1-$B$18)*SUMPRODUCT(OFFSET($BO$15,0,0,$B$14,1), 1*(_xlfn._xlws.FILTER(OFFSET($O$15,0,$DN200,$B$8,1),OFFSET($M$15,0,0,$B$8,1))=EY$13), 1*(_xlfn._xlws.FILTER(OFFSET($O$15,0,$DO200,$B$8,1),OFFSET($M$15,0,0,$B$8,1))=EY$14))   /   SUM(OFFSET($BO$15,0,0,$B$14,1)) + $B$18/($B$19*$B$19*($DN200&lt;&gt;$DO200) + $B$19*($DN200=$DO200))</f>
        <v>3.7037037037037035E-4</v>
      </c>
      <c r="EZ200" s="10" cm="1">
        <f t="array" aca="1" ref="EZ200" ca="1">(1-$B$18)*SUMPRODUCT(OFFSET($BO$15,0,0,$B$14,1), 1*(_xlfn._xlws.FILTER(OFFSET($O$15,0,$DN200,$B$8,1),OFFSET($M$15,0,0,$B$8,1))=EZ$13), 1*(_xlfn._xlws.FILTER(OFFSET($O$15,0,$DO200,$B$8,1),OFFSET($M$15,0,0,$B$8,1))=EZ$14))   /   SUM(OFFSET($BO$15,0,0,$B$14,1)) + $B$18/($B$19*$B$19*($DN200&lt;&gt;$DO200) + $B$19*($DN200=$DO200))</f>
        <v>3.7037037037037035E-4</v>
      </c>
      <c r="FA200" s="10" cm="1">
        <f t="array" aca="1" ref="FA200" ca="1">(1-$B$18)*SUMPRODUCT(OFFSET($BO$15,0,0,$B$14,1), 1*(_xlfn._xlws.FILTER(OFFSET($O$15,0,$DN200,$B$8,1),OFFSET($M$15,0,0,$B$8,1))=FA$13), 1*(_xlfn._xlws.FILTER(OFFSET($O$15,0,$DO200,$B$8,1),OFFSET($M$15,0,0,$B$8,1))=FA$14))   /   SUM(OFFSET($BO$15,0,0,$B$14,1)) + $B$18/($B$19*$B$19*($DN200&lt;&gt;$DO200) + $B$19*($DN200=$DO200))</f>
        <v>3.7037037037037035E-4</v>
      </c>
      <c r="FB200" s="10" cm="1">
        <f t="array" aca="1" ref="FB200" ca="1">(1-$B$18)*SUMPRODUCT(OFFSET($BO$15,0,0,$B$14,1), 1*(_xlfn._xlws.FILTER(OFFSET($O$15,0,$DN200,$B$8,1),OFFSET($M$15,0,0,$B$8,1))=FB$13), 1*(_xlfn._xlws.FILTER(OFFSET($O$15,0,$DO200,$B$8,1),OFFSET($M$15,0,0,$B$8,1))=FB$14))   /   SUM(OFFSET($BO$15,0,0,$B$14,1)) + $B$18/($B$19*$B$19*($DN200&lt;&gt;$DO200) + $B$19*($DN200=$DO200))</f>
        <v>3.7037037037037035E-4</v>
      </c>
      <c r="FC200" s="10" cm="1">
        <f t="array" aca="1" ref="FC200" ca="1">(1-$B$18)*SUMPRODUCT(OFFSET($BO$15,0,0,$B$14,1), 1*(_xlfn._xlws.FILTER(OFFSET($O$15,0,$DN200,$B$8,1),OFFSET($M$15,0,0,$B$8,1))=FC$13), 1*(_xlfn._xlws.FILTER(OFFSET($O$15,0,$DO200,$B$8,1),OFFSET($M$15,0,0,$B$8,1))=FC$14))   /   SUM(OFFSET($BO$15,0,0,$B$14,1)) + $B$18/($B$19*$B$19*($DN200&lt;&gt;$DO200) + $B$19*($DN200=$DO200))</f>
        <v>3.7037037037037035E-4</v>
      </c>
      <c r="FD200" s="10" cm="1">
        <f t="array" aca="1" ref="FD200" ca="1">(1-$B$18)*SUMPRODUCT(OFFSET($BO$15,0,0,$B$14,1), 1*(_xlfn._xlws.FILTER(OFFSET($O$15,0,$DN200,$B$8,1),OFFSET($M$15,0,0,$B$8,1))=FD$13), 1*(_xlfn._xlws.FILTER(OFFSET($O$15,0,$DO200,$B$8,1),OFFSET($M$15,0,0,$B$8,1))=FD$14))   /   SUM(OFFSET($BO$15,0,0,$B$14,1)) + $B$18/($B$19*$B$19*($DN200&lt;&gt;$DO200) + $B$19*($DN200=$DO200))</f>
        <v>3.7037037037037035E-4</v>
      </c>
      <c r="FE200" s="10" cm="1">
        <f t="array" aca="1" ref="FE200" ca="1">(1-$B$18)*SUMPRODUCT(OFFSET($BO$15,0,0,$B$14,1), 1*(_xlfn._xlws.FILTER(OFFSET($O$15,0,$DN200,$B$8,1),OFFSET($M$15,0,0,$B$8,1))=FE$13), 1*(_xlfn._xlws.FILTER(OFFSET($O$15,0,$DO200,$B$8,1),OFFSET($M$15,0,0,$B$8,1))=FE$14))   /   SUM(OFFSET($BO$15,0,0,$B$14,1)) + $B$18/($B$19*$B$19*($DN200&lt;&gt;$DO200) + $B$19*($DN200=$DO200))</f>
        <v>3.7037037037037035E-4</v>
      </c>
      <c r="FF200" s="10" cm="1">
        <f t="array" aca="1" ref="FF200" ca="1">(1-$B$18)*SUMPRODUCT(OFFSET($BO$15,0,0,$B$14,1), 1*(_xlfn._xlws.FILTER(OFFSET($O$15,0,$DN200,$B$8,1),OFFSET($M$15,0,0,$B$8,1))=FF$13), 1*(_xlfn._xlws.FILTER(OFFSET($O$15,0,$DO200,$B$8,1),OFFSET($M$15,0,0,$B$8,1))=FF$14))   /   SUM(OFFSET($BO$15,0,0,$B$14,1)) + $B$18/($B$19*$B$19*($DN200&lt;&gt;$DO200) + $B$19*($DN200=$DO200))</f>
        <v>3.7037037037037035E-4</v>
      </c>
      <c r="FG200" s="10" cm="1">
        <f t="array" aca="1" ref="FG200" ca="1">(1-$B$18)*SUMPRODUCT(OFFSET($BO$15,0,0,$B$14,1), 1*(_xlfn._xlws.FILTER(OFFSET($O$15,0,$DN200,$B$8,1),OFFSET($M$15,0,0,$B$8,1))=FG$13), 1*(_xlfn._xlws.FILTER(OFFSET($O$15,0,$DO200,$B$8,1),OFFSET($M$15,0,0,$B$8,1))=FG$14))   /   SUM(OFFSET($BO$15,0,0,$B$14,1)) + $B$18/($B$19*$B$19*($DN200&lt;&gt;$DO200) + $B$19*($DN200=$DO200))</f>
        <v>3.7037037037037035E-4</v>
      </c>
      <c r="FH200" s="10" cm="1">
        <f t="array" aca="1" ref="FH200" ca="1">(1-$B$18)*SUMPRODUCT(OFFSET($BO$15,0,0,$B$14,1), 1*(_xlfn._xlws.FILTER(OFFSET($O$15,0,$DN200,$B$8,1),OFFSET($M$15,0,0,$B$8,1))=FH$13), 1*(_xlfn._xlws.FILTER(OFFSET($O$15,0,$DO200,$B$8,1),OFFSET($M$15,0,0,$B$8,1))=FH$14))   /   SUM(OFFSET($BO$15,0,0,$B$14,1)) + $B$18/($B$19*$B$19*($DN200&lt;&gt;$DO200) + $B$19*($DN200=$DO200))</f>
        <v>3.7037037037037035E-4</v>
      </c>
      <c r="FI200" s="10" cm="1">
        <f t="array" aca="1" ref="FI200" ca="1">(1-$B$18)*SUMPRODUCT(OFFSET($BO$15,0,0,$B$14,1), 1*(_xlfn._xlws.FILTER(OFFSET($O$15,0,$DN200,$B$8,1),OFFSET($M$15,0,0,$B$8,1))=FI$13), 1*(_xlfn._xlws.FILTER(OFFSET($O$15,0,$DO200,$B$8,1),OFFSET($M$15,0,0,$B$8,1))=FI$14))   /   SUM(OFFSET($BO$15,0,0,$B$14,1)) + $B$18/($B$19*$B$19*($DN200&lt;&gt;$DO200) + $B$19*($DN200=$DO200))</f>
        <v>3.7037037037037035E-4</v>
      </c>
      <c r="FJ200" s="10" cm="1">
        <f t="array" aca="1" ref="FJ200" ca="1">(1-$B$18)*SUMPRODUCT(OFFSET($BO$15,0,0,$B$14,1), 1*(_xlfn._xlws.FILTER(OFFSET($O$15,0,$DN200,$B$8,1),OFFSET($M$15,0,0,$B$8,1))=FJ$13), 1*(_xlfn._xlws.FILTER(OFFSET($O$15,0,$DO200,$B$8,1),OFFSET($M$15,0,0,$B$8,1))=FJ$14))   /   SUM(OFFSET($BO$15,0,0,$B$14,1)) + $B$18/($B$19*$B$19*($DN200&lt;&gt;$DO200) + $B$19*($DN200=$DO200))</f>
        <v>3.7037037037037035E-4</v>
      </c>
      <c r="FK200" s="10" cm="1">
        <f t="array" aca="1" ref="FK200" ca="1">(1-$B$18)*SUMPRODUCT(OFFSET($BO$15,0,0,$B$14,1), 1*(_xlfn._xlws.FILTER(OFFSET($O$15,0,$DN200,$B$8,1),OFFSET($M$15,0,0,$B$8,1))=FK$13), 1*(_xlfn._xlws.FILTER(OFFSET($O$15,0,$DO200,$B$8,1),OFFSET($M$15,0,0,$B$8,1))=FK$14))   /   SUM(OFFSET($BO$15,0,0,$B$14,1)) + $B$18/($B$19*$B$19*($DN200&lt;&gt;$DO200) + $B$19*($DN200=$DO200))</f>
        <v>3.7037037037037035E-4</v>
      </c>
      <c r="FL200" s="10" cm="1">
        <f t="array" aca="1" ref="FL200" ca="1">(1-$B$18)*SUMPRODUCT(OFFSET($BO$15,0,0,$B$14,1), 1*(_xlfn._xlws.FILTER(OFFSET($O$15,0,$DN200,$B$8,1),OFFSET($M$15,0,0,$B$8,1))=FL$13), 1*(_xlfn._xlws.FILTER(OFFSET($O$15,0,$DO200,$B$8,1),OFFSET($M$15,0,0,$B$8,1))=FL$14))   /   SUM(OFFSET($BO$15,0,0,$B$14,1)) + $B$18/($B$19*$B$19*($DN200&lt;&gt;$DO200) + $B$19*($DN200=$DO200))</f>
        <v>3.7037037037037035E-4</v>
      </c>
      <c r="FM200" s="10" cm="1">
        <f t="array" aca="1" ref="FM200" ca="1">(1-$B$18)*SUMPRODUCT(OFFSET($BO$15,0,0,$B$14,1), 1*(_xlfn._xlws.FILTER(OFFSET($O$15,0,$DN200,$B$8,1),OFFSET($M$15,0,0,$B$8,1))=FM$13), 1*(_xlfn._xlws.FILTER(OFFSET($O$15,0,$DO200,$B$8,1),OFFSET($M$15,0,0,$B$8,1))=FM$14))   /   SUM(OFFSET($BO$15,0,0,$B$14,1)) + $B$18/($B$19*$B$19*($DN200&lt;&gt;$DO200) + $B$19*($DN200=$DO200))</f>
        <v>3.7037037037037035E-4</v>
      </c>
      <c r="FN200" s="10" cm="1">
        <f t="array" aca="1" ref="FN200" ca="1">(1-$B$18)*SUMPRODUCT(OFFSET($BO$15,0,0,$B$14,1), 1*(_xlfn._xlws.FILTER(OFFSET($O$15,0,$DN200,$B$8,1),OFFSET($M$15,0,0,$B$8,1))=FN$13), 1*(_xlfn._xlws.FILTER(OFFSET($O$15,0,$DO200,$B$8,1),OFFSET($M$15,0,0,$B$8,1))=FN$14))   /   SUM(OFFSET($BO$15,0,0,$B$14,1)) + $B$18/($B$19*$B$19*($DN200&lt;&gt;$DO200) + $B$19*($DN200=$DO200))</f>
        <v>0.97037037037037033</v>
      </c>
      <c r="FO200" s="10" cm="1">
        <f t="array" aca="1" ref="FO200" ca="1">(1-$B$18)*SUMPRODUCT(OFFSET($BO$15,0,0,$B$14,1), 1*(_xlfn._xlws.FILTER(OFFSET($O$15,0,$DN200,$B$8,1),OFFSET($M$15,0,0,$B$8,1))=FO$13), 1*(_xlfn._xlws.FILTER(OFFSET($O$15,0,$DO200,$B$8,1),OFFSET($M$15,0,0,$B$8,1))=FO$14))   /   SUM(OFFSET($BO$15,0,0,$B$14,1)) + $B$18/($B$19*$B$19*($DN200&lt;&gt;$DO200) + $B$19*($DN200=$DO200))</f>
        <v>3.7037037037037035E-4</v>
      </c>
      <c r="FP200" s="10" cm="1">
        <f t="array" aca="1" ref="FP200" ca="1">(1-$B$18)*SUMPRODUCT(OFFSET($BO$15,0,0,$B$14,1), 1*(_xlfn._xlws.FILTER(OFFSET($O$15,0,$DN200,$B$8,1),OFFSET($M$15,0,0,$B$8,1))=FP$13), 1*(_xlfn._xlws.FILTER(OFFSET($O$15,0,$DO200,$B$8,1),OFFSET($M$15,0,0,$B$8,1))=FP$14))   /   SUM(OFFSET($BO$15,0,0,$B$14,1)) + $B$18/($B$19*$B$19*($DN200&lt;&gt;$DO200) + $B$19*($DN200=$DO200))</f>
        <v>3.7037037037037035E-4</v>
      </c>
      <c r="FQ200" s="10" cm="1">
        <f t="array" aca="1" ref="FQ200" ca="1">(1-$B$18)*SUMPRODUCT(OFFSET($BO$15,0,0,$B$14,1), 1*(_xlfn._xlws.FILTER(OFFSET($O$15,0,$DN200,$B$8,1),OFFSET($M$15,0,0,$B$8,1))=FQ$13), 1*(_xlfn._xlws.FILTER(OFFSET($O$15,0,$DO200,$B$8,1),OFFSET($M$15,0,0,$B$8,1))=FQ$14))   /   SUM(OFFSET($BO$15,0,0,$B$14,1)) + $B$18/($B$19*$B$19*($DN200&lt;&gt;$DO200) + $B$19*($DN200=$DO200))</f>
        <v>3.7037037037037035E-4</v>
      </c>
      <c r="FR200" s="10" cm="1">
        <f t="array" aca="1" ref="FR200" ca="1">(1-$B$18)*SUMPRODUCT(OFFSET($BO$15,0,0,$B$14,1), 1*(_xlfn._xlws.FILTER(OFFSET($O$15,0,$DN200,$B$8,1),OFFSET($M$15,0,0,$B$8,1))=FR$13), 1*(_xlfn._xlws.FILTER(OFFSET($O$15,0,$DO200,$B$8,1),OFFSET($M$15,0,0,$B$8,1))=FR$14))   /   SUM(OFFSET($BO$15,0,0,$B$14,1)) + $B$18/($B$19*$B$19*($DN200&lt;&gt;$DO200) + $B$19*($DN200=$DO200))</f>
        <v>3.7037037037037035E-4</v>
      </c>
      <c r="FS200" s="10" cm="1">
        <f t="array" aca="1" ref="FS200" ca="1">(1-$B$18)*SUMPRODUCT(OFFSET($BO$15,0,0,$B$14,1), 1*(_xlfn._xlws.FILTER(OFFSET($O$15,0,$DN200,$B$8,1),OFFSET($M$15,0,0,$B$8,1))=FS$13), 1*(_xlfn._xlws.FILTER(OFFSET($O$15,0,$DO200,$B$8,1),OFFSET($M$15,0,0,$B$8,1))=FS$14))   /   SUM(OFFSET($BO$15,0,0,$B$14,1)) + $B$18/($B$19*$B$19*($DN200&lt;&gt;$DO200) + $B$19*($DN200=$DO200))</f>
        <v>3.7037037037037035E-4</v>
      </c>
      <c r="FT200" s="10" cm="1">
        <f t="array" aca="1" ref="FT200" ca="1">(1-$B$18)*SUMPRODUCT(OFFSET($BO$15,0,0,$B$14,1), 1*(_xlfn._xlws.FILTER(OFFSET($O$15,0,$DN200,$B$8,1),OFFSET($M$15,0,0,$B$8,1))=FT$13), 1*(_xlfn._xlws.FILTER(OFFSET($O$15,0,$DO200,$B$8,1),OFFSET($M$15,0,0,$B$8,1))=FT$14))   /   SUM(OFFSET($BO$15,0,0,$B$14,1)) + $B$18/($B$19*$B$19*($DN200&lt;&gt;$DO200) + $B$19*($DN200=$DO200))</f>
        <v>3.7037037037037035E-4</v>
      </c>
      <c r="FU200" s="10" cm="1">
        <f t="array" aca="1" ref="FU200" ca="1">(1-$B$18)*SUMPRODUCT(OFFSET($BO$15,0,0,$B$14,1), 1*(_xlfn._xlws.FILTER(OFFSET($O$15,0,$DN200,$B$8,1),OFFSET($M$15,0,0,$B$8,1))=FU$13), 1*(_xlfn._xlws.FILTER(OFFSET($O$15,0,$DO200,$B$8,1),OFFSET($M$15,0,0,$B$8,1))=FU$14))   /   SUM(OFFSET($BO$15,0,0,$B$14,1)) + $B$18/($B$19*$B$19*($DN200&lt;&gt;$DO200) + $B$19*($DN200=$DO200))</f>
        <v>3.7037037037037035E-4</v>
      </c>
      <c r="FV200" s="10" cm="1">
        <f t="array" aca="1" ref="FV200" ca="1">(1-$B$18)*SUMPRODUCT(OFFSET($BO$15,0,0,$B$14,1), 1*(_xlfn._xlws.FILTER(OFFSET($O$15,0,$DN200,$B$8,1),OFFSET($M$15,0,0,$B$8,1))=FV$13), 1*(_xlfn._xlws.FILTER(OFFSET($O$15,0,$DO200,$B$8,1),OFFSET($M$15,0,0,$B$8,1))=FV$14))   /   SUM(OFFSET($BO$15,0,0,$B$14,1)) + $B$18/($B$19*$B$19*($DN200&lt;&gt;$DO200) + $B$19*($DN200=$DO200))</f>
        <v>3.7037037037037035E-4</v>
      </c>
      <c r="FW200" s="10" cm="1">
        <f t="array" aca="1" ref="FW200" ca="1">(1-$B$18)*SUMPRODUCT(OFFSET($BO$15,0,0,$B$14,1), 1*(_xlfn._xlws.FILTER(OFFSET($O$15,0,$DN200,$B$8,1),OFFSET($M$15,0,0,$B$8,1))=FW$13), 1*(_xlfn._xlws.FILTER(OFFSET($O$15,0,$DO200,$B$8,1),OFFSET($M$15,0,0,$B$8,1))=FW$14))   /   SUM(OFFSET($BO$15,0,0,$B$14,1)) + $B$18/($B$19*$B$19*($DN200&lt;&gt;$DO200) + $B$19*($DN200=$DO200))</f>
        <v>3.7037037037037035E-4</v>
      </c>
      <c r="FX200" s="10" cm="1">
        <f t="array" aca="1" ref="FX200" ca="1">(1-$B$18)*SUMPRODUCT(OFFSET($BO$15,0,0,$B$14,1), 1*(_xlfn._xlws.FILTER(OFFSET($O$15,0,$DN200,$B$8,1),OFFSET($M$15,0,0,$B$8,1))=FX$13), 1*(_xlfn._xlws.FILTER(OFFSET($O$15,0,$DO200,$B$8,1),OFFSET($M$15,0,0,$B$8,1))=FX$14))   /   SUM(OFFSET($BO$15,0,0,$B$14,1)) + $B$18/($B$19*$B$19*($DN200&lt;&gt;$DO200) + $B$19*($DN200=$DO200))</f>
        <v>3.7037037037037035E-4</v>
      </c>
      <c r="FY200" s="10" cm="1">
        <f t="array" aca="1" ref="FY200" ca="1">(1-$B$18)*SUMPRODUCT(OFFSET($BO$15,0,0,$B$14,1), 1*(_xlfn._xlws.FILTER(OFFSET($O$15,0,$DN200,$B$8,1),OFFSET($M$15,0,0,$B$8,1))=FY$13), 1*(_xlfn._xlws.FILTER(OFFSET($O$15,0,$DO200,$B$8,1),OFFSET($M$15,0,0,$B$8,1))=FY$14))   /   SUM(OFFSET($BO$15,0,0,$B$14,1)) + $B$18/($B$19*$B$19*($DN200&lt;&gt;$DO200) + $B$19*($DN200=$DO200))</f>
        <v>3.7037037037037035E-4</v>
      </c>
      <c r="FZ200" s="10" cm="1">
        <f t="array" aca="1" ref="FZ200" ca="1">(1-$B$18)*SUMPRODUCT(OFFSET($BO$15,0,0,$B$14,1), 1*(_xlfn._xlws.FILTER(OFFSET($O$15,0,$DN200,$B$8,1),OFFSET($M$15,0,0,$B$8,1))=FZ$13), 1*(_xlfn._xlws.FILTER(OFFSET($O$15,0,$DO200,$B$8,1),OFFSET($M$15,0,0,$B$8,1))=FZ$14))   /   SUM(OFFSET($BO$15,0,0,$B$14,1)) + $B$18/($B$19*$B$19*($DN200&lt;&gt;$DO200) + $B$19*($DN200=$DO200))</f>
        <v>3.7037037037037035E-4</v>
      </c>
      <c r="GA200" s="10" cm="1">
        <f t="array" aca="1" ref="GA200" ca="1">(1-$B$18)*SUMPRODUCT(OFFSET($BO$15,0,0,$B$14,1), 1*(_xlfn._xlws.FILTER(OFFSET($O$15,0,$DN200,$B$8,1),OFFSET($M$15,0,0,$B$8,1))=GA$13), 1*(_xlfn._xlws.FILTER(OFFSET($O$15,0,$DO200,$B$8,1),OFFSET($M$15,0,0,$B$8,1))=GA$14))   /   SUM(OFFSET($BO$15,0,0,$B$14,1)) + $B$18/($B$19*$B$19*($DN200&lt;&gt;$DO200) + $B$19*($DN200=$DO200))</f>
        <v>3.7037037037037035E-4</v>
      </c>
    </row>
    <row r="201" spans="118:183" x14ac:dyDescent="0.2">
      <c r="DN201" cm="1">
        <f t="array" aca="1" ref="DN201" ca="1">INDEX(_xlfn.ANCHORARRAY($CP$15), 1 + INT((ROWS($DO$15:$DO201) - 1) / ROWS(_xlfn.ANCHORARRAY($CP$15))))</f>
        <v>9</v>
      </c>
      <c r="DO201" cm="1">
        <f t="array" aca="1" ref="DO201" ca="1">INDEX(_xlfn.ANCHORARRAY($CP$15),1+MOD(ROWS($DO$15:$DO201)-1,ROWS(_xlfn.ANCHORARRAY($CP$15))))</f>
        <v>18</v>
      </c>
      <c r="DP201" s="10" cm="1">
        <f t="array" aca="1" ref="DP201" ca="1">(1-$B$18)*SUMPRODUCT(OFFSET($BO$15,0,0,$B$14,1), 1*(_xlfn._xlws.FILTER(OFFSET($O$15,0,$DN201,$B$8,1),OFFSET($M$15,0,0,$B$8,1))=DP$13), 1*(_xlfn._xlws.FILTER(OFFSET($O$15,0,$DO201,$B$8,1),OFFSET($M$15,0,0,$B$8,1))=DP$14))   /   SUM(OFFSET($BO$15,0,0,$B$14,1)) + $B$18/($B$19*$B$19*($DN201&lt;&gt;$DO201) + $B$19*($DN201=$DO201))</f>
        <v>3.7037037037037035E-4</v>
      </c>
      <c r="DQ201" s="10" cm="1">
        <f t="array" aca="1" ref="DQ201" ca="1">(1-$B$18)*SUMPRODUCT(OFFSET($BO$15,0,0,$B$14,1), 1*(_xlfn._xlws.FILTER(OFFSET($O$15,0,$DN201,$B$8,1),OFFSET($M$15,0,0,$B$8,1))=DQ$13), 1*(_xlfn._xlws.FILTER(OFFSET($O$15,0,$DO201,$B$8,1),OFFSET($M$15,0,0,$B$8,1))=DQ$14))   /   SUM(OFFSET($BO$15,0,0,$B$14,1)) + $B$18/($B$19*$B$19*($DN201&lt;&gt;$DO201) + $B$19*($DN201=$DO201))</f>
        <v>3.7037037037037035E-4</v>
      </c>
      <c r="DR201" s="10" cm="1">
        <f t="array" aca="1" ref="DR201" ca="1">(1-$B$18)*SUMPRODUCT(OFFSET($BO$15,0,0,$B$14,1), 1*(_xlfn._xlws.FILTER(OFFSET($O$15,0,$DN201,$B$8,1),OFFSET($M$15,0,0,$B$8,1))=DR$13), 1*(_xlfn._xlws.FILTER(OFFSET($O$15,0,$DO201,$B$8,1),OFFSET($M$15,0,0,$B$8,1))=DR$14))   /   SUM(OFFSET($BO$15,0,0,$B$14,1)) + $B$18/($B$19*$B$19*($DN201&lt;&gt;$DO201) + $B$19*($DN201=$DO201))</f>
        <v>3.7037037037037035E-4</v>
      </c>
      <c r="DS201" s="10" cm="1">
        <f t="array" aca="1" ref="DS201" ca="1">(1-$B$18)*SUMPRODUCT(OFFSET($BO$15,0,0,$B$14,1), 1*(_xlfn._xlws.FILTER(OFFSET($O$15,0,$DN201,$B$8,1),OFFSET($M$15,0,0,$B$8,1))=DS$13), 1*(_xlfn._xlws.FILTER(OFFSET($O$15,0,$DO201,$B$8,1),OFFSET($M$15,0,0,$B$8,1))=DS$14))   /   SUM(OFFSET($BO$15,0,0,$B$14,1)) + $B$18/($B$19*$B$19*($DN201&lt;&gt;$DO201) + $B$19*($DN201=$DO201))</f>
        <v>3.7037037037037035E-4</v>
      </c>
      <c r="DT201" s="10" cm="1">
        <f t="array" aca="1" ref="DT201" ca="1">(1-$B$18)*SUMPRODUCT(OFFSET($BO$15,0,0,$B$14,1), 1*(_xlfn._xlws.FILTER(OFFSET($O$15,0,$DN201,$B$8,1),OFFSET($M$15,0,0,$B$8,1))=DT$13), 1*(_xlfn._xlws.FILTER(OFFSET($O$15,0,$DO201,$B$8,1),OFFSET($M$15,0,0,$B$8,1))=DT$14))   /   SUM(OFFSET($BO$15,0,0,$B$14,1)) + $B$18/($B$19*$B$19*($DN201&lt;&gt;$DO201) + $B$19*($DN201=$DO201))</f>
        <v>3.7037037037037035E-4</v>
      </c>
      <c r="DU201" s="10" cm="1">
        <f t="array" aca="1" ref="DU201" ca="1">(1-$B$18)*SUMPRODUCT(OFFSET($BO$15,0,0,$B$14,1), 1*(_xlfn._xlws.FILTER(OFFSET($O$15,0,$DN201,$B$8,1),OFFSET($M$15,0,0,$B$8,1))=DU$13), 1*(_xlfn._xlws.FILTER(OFFSET($O$15,0,$DO201,$B$8,1),OFFSET($M$15,0,0,$B$8,1))=DU$14))   /   SUM(OFFSET($BO$15,0,0,$B$14,1)) + $B$18/($B$19*$B$19*($DN201&lt;&gt;$DO201) + $B$19*($DN201=$DO201))</f>
        <v>3.7037037037037035E-4</v>
      </c>
      <c r="DV201" s="10" cm="1">
        <f t="array" aca="1" ref="DV201" ca="1">(1-$B$18)*SUMPRODUCT(OFFSET($BO$15,0,0,$B$14,1), 1*(_xlfn._xlws.FILTER(OFFSET($O$15,0,$DN201,$B$8,1),OFFSET($M$15,0,0,$B$8,1))=DV$13), 1*(_xlfn._xlws.FILTER(OFFSET($O$15,0,$DO201,$B$8,1),OFFSET($M$15,0,0,$B$8,1))=DV$14))   /   SUM(OFFSET($BO$15,0,0,$B$14,1)) + $B$18/($B$19*$B$19*($DN201&lt;&gt;$DO201) + $B$19*($DN201=$DO201))</f>
        <v>3.7037037037037035E-4</v>
      </c>
      <c r="DW201" s="10" cm="1">
        <f t="array" aca="1" ref="DW201" ca="1">(1-$B$18)*SUMPRODUCT(OFFSET($BO$15,0,0,$B$14,1), 1*(_xlfn._xlws.FILTER(OFFSET($O$15,0,$DN201,$B$8,1),OFFSET($M$15,0,0,$B$8,1))=DW$13), 1*(_xlfn._xlws.FILTER(OFFSET($O$15,0,$DO201,$B$8,1),OFFSET($M$15,0,0,$B$8,1))=DW$14))   /   SUM(OFFSET($BO$15,0,0,$B$14,1)) + $B$18/($B$19*$B$19*($DN201&lt;&gt;$DO201) + $B$19*($DN201=$DO201))</f>
        <v>3.7037037037037035E-4</v>
      </c>
      <c r="DX201" s="10" cm="1">
        <f t="array" aca="1" ref="DX201" ca="1">(1-$B$18)*SUMPRODUCT(OFFSET($BO$15,0,0,$B$14,1), 1*(_xlfn._xlws.FILTER(OFFSET($O$15,0,$DN201,$B$8,1),OFFSET($M$15,0,0,$B$8,1))=DX$13), 1*(_xlfn._xlws.FILTER(OFFSET($O$15,0,$DO201,$B$8,1),OFFSET($M$15,0,0,$B$8,1))=DX$14))   /   SUM(OFFSET($BO$15,0,0,$B$14,1)) + $B$18/($B$19*$B$19*($DN201&lt;&gt;$DO201) + $B$19*($DN201=$DO201))</f>
        <v>3.7037037037037035E-4</v>
      </c>
      <c r="DY201" s="10" cm="1">
        <f t="array" aca="1" ref="DY201" ca="1">(1-$B$18)*SUMPRODUCT(OFFSET($BO$15,0,0,$B$14,1), 1*(_xlfn._xlws.FILTER(OFFSET($O$15,0,$DN201,$B$8,1),OFFSET($M$15,0,0,$B$8,1))=DY$13), 1*(_xlfn._xlws.FILTER(OFFSET($O$15,0,$DO201,$B$8,1),OFFSET($M$15,0,0,$B$8,1))=DY$14))   /   SUM(OFFSET($BO$15,0,0,$B$14,1)) + $B$18/($B$19*$B$19*($DN201&lt;&gt;$DO201) + $B$19*($DN201=$DO201))</f>
        <v>3.7037037037037035E-4</v>
      </c>
      <c r="DZ201" s="10" cm="1">
        <f t="array" aca="1" ref="DZ201" ca="1">(1-$B$18)*SUMPRODUCT(OFFSET($BO$15,0,0,$B$14,1), 1*(_xlfn._xlws.FILTER(OFFSET($O$15,0,$DN201,$B$8,1),OFFSET($M$15,0,0,$B$8,1))=DZ$13), 1*(_xlfn._xlws.FILTER(OFFSET($O$15,0,$DO201,$B$8,1),OFFSET($M$15,0,0,$B$8,1))=DZ$14))   /   SUM(OFFSET($BO$15,0,0,$B$14,1)) + $B$18/($B$19*$B$19*($DN201&lt;&gt;$DO201) + $B$19*($DN201=$DO201))</f>
        <v>3.7037037037037035E-4</v>
      </c>
      <c r="EA201" s="10" cm="1">
        <f t="array" aca="1" ref="EA201" ca="1">(1-$B$18)*SUMPRODUCT(OFFSET($BO$15,0,0,$B$14,1), 1*(_xlfn._xlws.FILTER(OFFSET($O$15,0,$DN201,$B$8,1),OFFSET($M$15,0,0,$B$8,1))=EA$13), 1*(_xlfn._xlws.FILTER(OFFSET($O$15,0,$DO201,$B$8,1),OFFSET($M$15,0,0,$B$8,1))=EA$14))   /   SUM(OFFSET($BO$15,0,0,$B$14,1)) + $B$18/($B$19*$B$19*($DN201&lt;&gt;$DO201) + $B$19*($DN201=$DO201))</f>
        <v>3.7037037037037035E-4</v>
      </c>
      <c r="EB201" s="10" cm="1">
        <f t="array" aca="1" ref="EB201" ca="1">(1-$B$18)*SUMPRODUCT(OFFSET($BO$15,0,0,$B$14,1), 1*(_xlfn._xlws.FILTER(OFFSET($O$15,0,$DN201,$B$8,1),OFFSET($M$15,0,0,$B$8,1))=EB$13), 1*(_xlfn._xlws.FILTER(OFFSET($O$15,0,$DO201,$B$8,1),OFFSET($M$15,0,0,$B$8,1))=EB$14))   /   SUM(OFFSET($BO$15,0,0,$B$14,1)) + $B$18/($B$19*$B$19*($DN201&lt;&gt;$DO201) + $B$19*($DN201=$DO201))</f>
        <v>3.7037037037037035E-4</v>
      </c>
      <c r="EC201" s="10" cm="1">
        <f t="array" aca="1" ref="EC201" ca="1">(1-$B$18)*SUMPRODUCT(OFFSET($BO$15,0,0,$B$14,1), 1*(_xlfn._xlws.FILTER(OFFSET($O$15,0,$DN201,$B$8,1),OFFSET($M$15,0,0,$B$8,1))=EC$13), 1*(_xlfn._xlws.FILTER(OFFSET($O$15,0,$DO201,$B$8,1),OFFSET($M$15,0,0,$B$8,1))=EC$14))   /   SUM(OFFSET($BO$15,0,0,$B$14,1)) + $B$18/($B$19*$B$19*($DN201&lt;&gt;$DO201) + $B$19*($DN201=$DO201))</f>
        <v>3.7037037037037035E-4</v>
      </c>
      <c r="ED201" s="10" cm="1">
        <f t="array" aca="1" ref="ED201" ca="1">(1-$B$18)*SUMPRODUCT(OFFSET($BO$15,0,0,$B$14,1), 1*(_xlfn._xlws.FILTER(OFFSET($O$15,0,$DN201,$B$8,1),OFFSET($M$15,0,0,$B$8,1))=ED$13), 1*(_xlfn._xlws.FILTER(OFFSET($O$15,0,$DO201,$B$8,1),OFFSET($M$15,0,0,$B$8,1))=ED$14))   /   SUM(OFFSET($BO$15,0,0,$B$14,1)) + $B$18/($B$19*$B$19*($DN201&lt;&gt;$DO201) + $B$19*($DN201=$DO201))</f>
        <v>3.7037037037037035E-4</v>
      </c>
      <c r="EE201" s="10" cm="1">
        <f t="array" aca="1" ref="EE201" ca="1">(1-$B$18)*SUMPRODUCT(OFFSET($BO$15,0,0,$B$14,1), 1*(_xlfn._xlws.FILTER(OFFSET($O$15,0,$DN201,$B$8,1),OFFSET($M$15,0,0,$B$8,1))=EE$13), 1*(_xlfn._xlws.FILTER(OFFSET($O$15,0,$DO201,$B$8,1),OFFSET($M$15,0,0,$B$8,1))=EE$14))   /   SUM(OFFSET($BO$15,0,0,$B$14,1)) + $B$18/($B$19*$B$19*($DN201&lt;&gt;$DO201) + $B$19*($DN201=$DO201))</f>
        <v>3.7037037037037035E-4</v>
      </c>
      <c r="EF201" s="10" cm="1">
        <f t="array" aca="1" ref="EF201" ca="1">(1-$B$18)*SUMPRODUCT(OFFSET($BO$15,0,0,$B$14,1), 1*(_xlfn._xlws.FILTER(OFFSET($O$15,0,$DN201,$B$8,1),OFFSET($M$15,0,0,$B$8,1))=EF$13), 1*(_xlfn._xlws.FILTER(OFFSET($O$15,0,$DO201,$B$8,1),OFFSET($M$15,0,0,$B$8,1))=EF$14))   /   SUM(OFFSET($BO$15,0,0,$B$14,1)) + $B$18/($B$19*$B$19*($DN201&lt;&gt;$DO201) + $B$19*($DN201=$DO201))</f>
        <v>3.7037037037037035E-4</v>
      </c>
      <c r="EG201" s="10" cm="1">
        <f t="array" aca="1" ref="EG201" ca="1">(1-$B$18)*SUMPRODUCT(OFFSET($BO$15,0,0,$B$14,1), 1*(_xlfn._xlws.FILTER(OFFSET($O$15,0,$DN201,$B$8,1),OFFSET($M$15,0,0,$B$8,1))=EG$13), 1*(_xlfn._xlws.FILTER(OFFSET($O$15,0,$DO201,$B$8,1),OFFSET($M$15,0,0,$B$8,1))=EG$14))   /   SUM(OFFSET($BO$15,0,0,$B$14,1)) + $B$18/($B$19*$B$19*($DN201&lt;&gt;$DO201) + $B$19*($DN201=$DO201))</f>
        <v>3.7037037037037035E-4</v>
      </c>
      <c r="EH201" s="10" cm="1">
        <f t="array" aca="1" ref="EH201" ca="1">(1-$B$18)*SUMPRODUCT(OFFSET($BO$15,0,0,$B$14,1), 1*(_xlfn._xlws.FILTER(OFFSET($O$15,0,$DN201,$B$8,1),OFFSET($M$15,0,0,$B$8,1))=EH$13), 1*(_xlfn._xlws.FILTER(OFFSET($O$15,0,$DO201,$B$8,1),OFFSET($M$15,0,0,$B$8,1))=EH$14))   /   SUM(OFFSET($BO$15,0,0,$B$14,1)) + $B$18/($B$19*$B$19*($DN201&lt;&gt;$DO201) + $B$19*($DN201=$DO201))</f>
        <v>3.7037037037037035E-4</v>
      </c>
      <c r="EI201" s="10" cm="1">
        <f t="array" aca="1" ref="EI201" ca="1">(1-$B$18)*SUMPRODUCT(OFFSET($BO$15,0,0,$B$14,1), 1*(_xlfn._xlws.FILTER(OFFSET($O$15,0,$DN201,$B$8,1),OFFSET($M$15,0,0,$B$8,1))=EI$13), 1*(_xlfn._xlws.FILTER(OFFSET($O$15,0,$DO201,$B$8,1),OFFSET($M$15,0,0,$B$8,1))=EI$14))   /   SUM(OFFSET($BO$15,0,0,$B$14,1)) + $B$18/($B$19*$B$19*($DN201&lt;&gt;$DO201) + $B$19*($DN201=$DO201))</f>
        <v>3.7037037037037035E-4</v>
      </c>
      <c r="EJ201" s="10" cm="1">
        <f t="array" aca="1" ref="EJ201" ca="1">(1-$B$18)*SUMPRODUCT(OFFSET($BO$15,0,0,$B$14,1), 1*(_xlfn._xlws.FILTER(OFFSET($O$15,0,$DN201,$B$8,1),OFFSET($M$15,0,0,$B$8,1))=EJ$13), 1*(_xlfn._xlws.FILTER(OFFSET($O$15,0,$DO201,$B$8,1),OFFSET($M$15,0,0,$B$8,1))=EJ$14))   /   SUM(OFFSET($BO$15,0,0,$B$14,1)) + $B$18/($B$19*$B$19*($DN201&lt;&gt;$DO201) + $B$19*($DN201=$DO201))</f>
        <v>3.7037037037037035E-4</v>
      </c>
      <c r="EK201" s="10" cm="1">
        <f t="array" aca="1" ref="EK201" ca="1">(1-$B$18)*SUMPRODUCT(OFFSET($BO$15,0,0,$B$14,1), 1*(_xlfn._xlws.FILTER(OFFSET($O$15,0,$DN201,$B$8,1),OFFSET($M$15,0,0,$B$8,1))=EK$13), 1*(_xlfn._xlws.FILTER(OFFSET($O$15,0,$DO201,$B$8,1),OFFSET($M$15,0,0,$B$8,1))=EK$14))   /   SUM(OFFSET($BO$15,0,0,$B$14,1)) + $B$18/($B$19*$B$19*($DN201&lt;&gt;$DO201) + $B$19*($DN201=$DO201))</f>
        <v>3.7037037037037035E-4</v>
      </c>
      <c r="EL201" s="10" cm="1">
        <f t="array" aca="1" ref="EL201" ca="1">(1-$B$18)*SUMPRODUCT(OFFSET($BO$15,0,0,$B$14,1), 1*(_xlfn._xlws.FILTER(OFFSET($O$15,0,$DN201,$B$8,1),OFFSET($M$15,0,0,$B$8,1))=EL$13), 1*(_xlfn._xlws.FILTER(OFFSET($O$15,0,$DO201,$B$8,1),OFFSET($M$15,0,0,$B$8,1))=EL$14))   /   SUM(OFFSET($BO$15,0,0,$B$14,1)) + $B$18/($B$19*$B$19*($DN201&lt;&gt;$DO201) + $B$19*($DN201=$DO201))</f>
        <v>3.7037037037037035E-4</v>
      </c>
      <c r="EM201" s="10" cm="1">
        <f t="array" aca="1" ref="EM201" ca="1">(1-$B$18)*SUMPRODUCT(OFFSET($BO$15,0,0,$B$14,1), 1*(_xlfn._xlws.FILTER(OFFSET($O$15,0,$DN201,$B$8,1),OFFSET($M$15,0,0,$B$8,1))=EM$13), 1*(_xlfn._xlws.FILTER(OFFSET($O$15,0,$DO201,$B$8,1),OFFSET($M$15,0,0,$B$8,1))=EM$14))   /   SUM(OFFSET($BO$15,0,0,$B$14,1)) + $B$18/($B$19*$B$19*($DN201&lt;&gt;$DO201) + $B$19*($DN201=$DO201))</f>
        <v>3.7037037037037035E-4</v>
      </c>
      <c r="EN201" s="10" cm="1">
        <f t="array" aca="1" ref="EN201" ca="1">(1-$B$18)*SUMPRODUCT(OFFSET($BO$15,0,0,$B$14,1), 1*(_xlfn._xlws.FILTER(OFFSET($O$15,0,$DN201,$B$8,1),OFFSET($M$15,0,0,$B$8,1))=EN$13), 1*(_xlfn._xlws.FILTER(OFFSET($O$15,0,$DO201,$B$8,1),OFFSET($M$15,0,0,$B$8,1))=EN$14))   /   SUM(OFFSET($BO$15,0,0,$B$14,1)) + $B$18/($B$19*$B$19*($DN201&lt;&gt;$DO201) + $B$19*($DN201=$DO201))</f>
        <v>3.7037037037037035E-4</v>
      </c>
      <c r="EO201" s="10" cm="1">
        <f t="array" aca="1" ref="EO201" ca="1">(1-$B$18)*SUMPRODUCT(OFFSET($BO$15,0,0,$B$14,1), 1*(_xlfn._xlws.FILTER(OFFSET($O$15,0,$DN201,$B$8,1),OFFSET($M$15,0,0,$B$8,1))=EO$13), 1*(_xlfn._xlws.FILTER(OFFSET($O$15,0,$DO201,$B$8,1),OFFSET($M$15,0,0,$B$8,1))=EO$14))   /   SUM(OFFSET($BO$15,0,0,$B$14,1)) + $B$18/($B$19*$B$19*($DN201&lt;&gt;$DO201) + $B$19*($DN201=$DO201))</f>
        <v>3.7037037037037035E-4</v>
      </c>
      <c r="EP201" s="10" cm="1">
        <f t="array" aca="1" ref="EP201" ca="1">(1-$B$18)*SUMPRODUCT(OFFSET($BO$15,0,0,$B$14,1), 1*(_xlfn._xlws.FILTER(OFFSET($O$15,0,$DN201,$B$8,1),OFFSET($M$15,0,0,$B$8,1))=EP$13), 1*(_xlfn._xlws.FILTER(OFFSET($O$15,0,$DO201,$B$8,1),OFFSET($M$15,0,0,$B$8,1))=EP$14))   /   SUM(OFFSET($BO$15,0,0,$B$14,1)) + $B$18/($B$19*$B$19*($DN201&lt;&gt;$DO201) + $B$19*($DN201=$DO201))</f>
        <v>3.7037037037037035E-4</v>
      </c>
      <c r="EQ201" s="10" cm="1">
        <f t="array" aca="1" ref="EQ201" ca="1">(1-$B$18)*SUMPRODUCT(OFFSET($BO$15,0,0,$B$14,1), 1*(_xlfn._xlws.FILTER(OFFSET($O$15,0,$DN201,$B$8,1),OFFSET($M$15,0,0,$B$8,1))=EQ$13), 1*(_xlfn._xlws.FILTER(OFFSET($O$15,0,$DO201,$B$8,1),OFFSET($M$15,0,0,$B$8,1))=EQ$14))   /   SUM(OFFSET($BO$15,0,0,$B$14,1)) + $B$18/($B$19*$B$19*($DN201&lt;&gt;$DO201) + $B$19*($DN201=$DO201))</f>
        <v>3.7037037037037035E-4</v>
      </c>
      <c r="ER201" s="10" cm="1">
        <f t="array" aca="1" ref="ER201" ca="1">(1-$B$18)*SUMPRODUCT(OFFSET($BO$15,0,0,$B$14,1), 1*(_xlfn._xlws.FILTER(OFFSET($O$15,0,$DN201,$B$8,1),OFFSET($M$15,0,0,$B$8,1))=ER$13), 1*(_xlfn._xlws.FILTER(OFFSET($O$15,0,$DO201,$B$8,1),OFFSET($M$15,0,0,$B$8,1))=ER$14))   /   SUM(OFFSET($BO$15,0,0,$B$14,1)) + $B$18/($B$19*$B$19*($DN201&lt;&gt;$DO201) + $B$19*($DN201=$DO201))</f>
        <v>3.7037037037037035E-4</v>
      </c>
      <c r="ES201" s="10" cm="1">
        <f t="array" aca="1" ref="ES201" ca="1">(1-$B$18)*SUMPRODUCT(OFFSET($BO$15,0,0,$B$14,1), 1*(_xlfn._xlws.FILTER(OFFSET($O$15,0,$DN201,$B$8,1),OFFSET($M$15,0,0,$B$8,1))=ES$13), 1*(_xlfn._xlws.FILTER(OFFSET($O$15,0,$DO201,$B$8,1),OFFSET($M$15,0,0,$B$8,1))=ES$14))   /   SUM(OFFSET($BO$15,0,0,$B$14,1)) + $B$18/($B$19*$B$19*($DN201&lt;&gt;$DO201) + $B$19*($DN201=$DO201))</f>
        <v>3.7037037037037035E-4</v>
      </c>
      <c r="ET201" s="10" cm="1">
        <f t="array" aca="1" ref="ET201" ca="1">(1-$B$18)*SUMPRODUCT(OFFSET($BO$15,0,0,$B$14,1), 1*(_xlfn._xlws.FILTER(OFFSET($O$15,0,$DN201,$B$8,1),OFFSET($M$15,0,0,$B$8,1))=ET$13), 1*(_xlfn._xlws.FILTER(OFFSET($O$15,0,$DO201,$B$8,1),OFFSET($M$15,0,0,$B$8,1))=ET$14))   /   SUM(OFFSET($BO$15,0,0,$B$14,1)) + $B$18/($B$19*$B$19*($DN201&lt;&gt;$DO201) + $B$19*($DN201=$DO201))</f>
        <v>3.7037037037037035E-4</v>
      </c>
      <c r="EU201" s="10" cm="1">
        <f t="array" aca="1" ref="EU201" ca="1">(1-$B$18)*SUMPRODUCT(OFFSET($BO$15,0,0,$B$14,1), 1*(_xlfn._xlws.FILTER(OFFSET($O$15,0,$DN201,$B$8,1),OFFSET($M$15,0,0,$B$8,1))=EU$13), 1*(_xlfn._xlws.FILTER(OFFSET($O$15,0,$DO201,$B$8,1),OFFSET($M$15,0,0,$B$8,1))=EU$14))   /   SUM(OFFSET($BO$15,0,0,$B$14,1)) + $B$18/($B$19*$B$19*($DN201&lt;&gt;$DO201) + $B$19*($DN201=$DO201))</f>
        <v>3.7037037037037035E-4</v>
      </c>
      <c r="EV201" s="10" cm="1">
        <f t="array" aca="1" ref="EV201" ca="1">(1-$B$18)*SUMPRODUCT(OFFSET($BO$15,0,0,$B$14,1), 1*(_xlfn._xlws.FILTER(OFFSET($O$15,0,$DN201,$B$8,1),OFFSET($M$15,0,0,$B$8,1))=EV$13), 1*(_xlfn._xlws.FILTER(OFFSET($O$15,0,$DO201,$B$8,1),OFFSET($M$15,0,0,$B$8,1))=EV$14))   /   SUM(OFFSET($BO$15,0,0,$B$14,1)) + $B$18/($B$19*$B$19*($DN201&lt;&gt;$DO201) + $B$19*($DN201=$DO201))</f>
        <v>3.7037037037037035E-4</v>
      </c>
      <c r="EW201" s="10" cm="1">
        <f t="array" aca="1" ref="EW201" ca="1">(1-$B$18)*SUMPRODUCT(OFFSET($BO$15,0,0,$B$14,1), 1*(_xlfn._xlws.FILTER(OFFSET($O$15,0,$DN201,$B$8,1),OFFSET($M$15,0,0,$B$8,1))=EW$13), 1*(_xlfn._xlws.FILTER(OFFSET($O$15,0,$DO201,$B$8,1),OFFSET($M$15,0,0,$B$8,1))=EW$14))   /   SUM(OFFSET($BO$15,0,0,$B$14,1)) + $B$18/($B$19*$B$19*($DN201&lt;&gt;$DO201) + $B$19*($DN201=$DO201))</f>
        <v>3.7037037037037035E-4</v>
      </c>
      <c r="EX201" s="10" cm="1">
        <f t="array" aca="1" ref="EX201" ca="1">(1-$B$18)*SUMPRODUCT(OFFSET($BO$15,0,0,$B$14,1), 1*(_xlfn._xlws.FILTER(OFFSET($O$15,0,$DN201,$B$8,1),OFFSET($M$15,0,0,$B$8,1))=EX$13), 1*(_xlfn._xlws.FILTER(OFFSET($O$15,0,$DO201,$B$8,1),OFFSET($M$15,0,0,$B$8,1))=EX$14))   /   SUM(OFFSET($BO$15,0,0,$B$14,1)) + $B$18/($B$19*$B$19*($DN201&lt;&gt;$DO201) + $B$19*($DN201=$DO201))</f>
        <v>3.7037037037037035E-4</v>
      </c>
      <c r="EY201" s="10" cm="1">
        <f t="array" aca="1" ref="EY201" ca="1">(1-$B$18)*SUMPRODUCT(OFFSET($BO$15,0,0,$B$14,1), 1*(_xlfn._xlws.FILTER(OFFSET($O$15,0,$DN201,$B$8,1),OFFSET($M$15,0,0,$B$8,1))=EY$13), 1*(_xlfn._xlws.FILTER(OFFSET($O$15,0,$DO201,$B$8,1),OFFSET($M$15,0,0,$B$8,1))=EY$14))   /   SUM(OFFSET($BO$15,0,0,$B$14,1)) + $B$18/($B$19*$B$19*($DN201&lt;&gt;$DO201) + $B$19*($DN201=$DO201))</f>
        <v>3.7037037037037035E-4</v>
      </c>
      <c r="EZ201" s="10" cm="1">
        <f t="array" aca="1" ref="EZ201" ca="1">(1-$B$18)*SUMPRODUCT(OFFSET($BO$15,0,0,$B$14,1), 1*(_xlfn._xlws.FILTER(OFFSET($O$15,0,$DN201,$B$8,1),OFFSET($M$15,0,0,$B$8,1))=EZ$13), 1*(_xlfn._xlws.FILTER(OFFSET($O$15,0,$DO201,$B$8,1),OFFSET($M$15,0,0,$B$8,1))=EZ$14))   /   SUM(OFFSET($BO$15,0,0,$B$14,1)) + $B$18/($B$19*$B$19*($DN201&lt;&gt;$DO201) + $B$19*($DN201=$DO201))</f>
        <v>3.7037037037037035E-4</v>
      </c>
      <c r="FA201" s="10" cm="1">
        <f t="array" aca="1" ref="FA201" ca="1">(1-$B$18)*SUMPRODUCT(OFFSET($BO$15,0,0,$B$14,1), 1*(_xlfn._xlws.FILTER(OFFSET($O$15,0,$DN201,$B$8,1),OFFSET($M$15,0,0,$B$8,1))=FA$13), 1*(_xlfn._xlws.FILTER(OFFSET($O$15,0,$DO201,$B$8,1),OFFSET($M$15,0,0,$B$8,1))=FA$14))   /   SUM(OFFSET($BO$15,0,0,$B$14,1)) + $B$18/($B$19*$B$19*($DN201&lt;&gt;$DO201) + $B$19*($DN201=$DO201))</f>
        <v>3.7037037037037035E-4</v>
      </c>
      <c r="FB201" s="10" cm="1">
        <f t="array" aca="1" ref="FB201" ca="1">(1-$B$18)*SUMPRODUCT(OFFSET($BO$15,0,0,$B$14,1), 1*(_xlfn._xlws.FILTER(OFFSET($O$15,0,$DN201,$B$8,1),OFFSET($M$15,0,0,$B$8,1))=FB$13), 1*(_xlfn._xlws.FILTER(OFFSET($O$15,0,$DO201,$B$8,1),OFFSET($M$15,0,0,$B$8,1))=FB$14))   /   SUM(OFFSET($BO$15,0,0,$B$14,1)) + $B$18/($B$19*$B$19*($DN201&lt;&gt;$DO201) + $B$19*($DN201=$DO201))</f>
        <v>3.7037037037037035E-4</v>
      </c>
      <c r="FC201" s="10" cm="1">
        <f t="array" aca="1" ref="FC201" ca="1">(1-$B$18)*SUMPRODUCT(OFFSET($BO$15,0,0,$B$14,1), 1*(_xlfn._xlws.FILTER(OFFSET($O$15,0,$DN201,$B$8,1),OFFSET($M$15,0,0,$B$8,1))=FC$13), 1*(_xlfn._xlws.FILTER(OFFSET($O$15,0,$DO201,$B$8,1),OFFSET($M$15,0,0,$B$8,1))=FC$14))   /   SUM(OFFSET($BO$15,0,0,$B$14,1)) + $B$18/($B$19*$B$19*($DN201&lt;&gt;$DO201) + $B$19*($DN201=$DO201))</f>
        <v>3.7037037037037035E-4</v>
      </c>
      <c r="FD201" s="10" cm="1">
        <f t="array" aca="1" ref="FD201" ca="1">(1-$B$18)*SUMPRODUCT(OFFSET($BO$15,0,0,$B$14,1), 1*(_xlfn._xlws.FILTER(OFFSET($O$15,0,$DN201,$B$8,1),OFFSET($M$15,0,0,$B$8,1))=FD$13), 1*(_xlfn._xlws.FILTER(OFFSET($O$15,0,$DO201,$B$8,1),OFFSET($M$15,0,0,$B$8,1))=FD$14))   /   SUM(OFFSET($BO$15,0,0,$B$14,1)) + $B$18/($B$19*$B$19*($DN201&lt;&gt;$DO201) + $B$19*($DN201=$DO201))</f>
        <v>3.7037037037037035E-4</v>
      </c>
      <c r="FE201" s="10" cm="1">
        <f t="array" aca="1" ref="FE201" ca="1">(1-$B$18)*SUMPRODUCT(OFFSET($BO$15,0,0,$B$14,1), 1*(_xlfn._xlws.FILTER(OFFSET($O$15,0,$DN201,$B$8,1),OFFSET($M$15,0,0,$B$8,1))=FE$13), 1*(_xlfn._xlws.FILTER(OFFSET($O$15,0,$DO201,$B$8,1),OFFSET($M$15,0,0,$B$8,1))=FE$14))   /   SUM(OFFSET($BO$15,0,0,$B$14,1)) + $B$18/($B$19*$B$19*($DN201&lt;&gt;$DO201) + $B$19*($DN201=$DO201))</f>
        <v>3.7037037037037035E-4</v>
      </c>
      <c r="FF201" s="10" cm="1">
        <f t="array" aca="1" ref="FF201" ca="1">(1-$B$18)*SUMPRODUCT(OFFSET($BO$15,0,0,$B$14,1), 1*(_xlfn._xlws.FILTER(OFFSET($O$15,0,$DN201,$B$8,1),OFFSET($M$15,0,0,$B$8,1))=FF$13), 1*(_xlfn._xlws.FILTER(OFFSET($O$15,0,$DO201,$B$8,1),OFFSET($M$15,0,0,$B$8,1))=FF$14))   /   SUM(OFFSET($BO$15,0,0,$B$14,1)) + $B$18/($B$19*$B$19*($DN201&lt;&gt;$DO201) + $B$19*($DN201=$DO201))</f>
        <v>3.7037037037037035E-4</v>
      </c>
      <c r="FG201" s="10" cm="1">
        <f t="array" aca="1" ref="FG201" ca="1">(1-$B$18)*SUMPRODUCT(OFFSET($BO$15,0,0,$B$14,1), 1*(_xlfn._xlws.FILTER(OFFSET($O$15,0,$DN201,$B$8,1),OFFSET($M$15,0,0,$B$8,1))=FG$13), 1*(_xlfn._xlws.FILTER(OFFSET($O$15,0,$DO201,$B$8,1),OFFSET($M$15,0,0,$B$8,1))=FG$14))   /   SUM(OFFSET($BO$15,0,0,$B$14,1)) + $B$18/($B$19*$B$19*($DN201&lt;&gt;$DO201) + $B$19*($DN201=$DO201))</f>
        <v>3.7037037037037035E-4</v>
      </c>
      <c r="FH201" s="10" cm="1">
        <f t="array" aca="1" ref="FH201" ca="1">(1-$B$18)*SUMPRODUCT(OFFSET($BO$15,0,0,$B$14,1), 1*(_xlfn._xlws.FILTER(OFFSET($O$15,0,$DN201,$B$8,1),OFFSET($M$15,0,0,$B$8,1))=FH$13), 1*(_xlfn._xlws.FILTER(OFFSET($O$15,0,$DO201,$B$8,1),OFFSET($M$15,0,0,$B$8,1))=FH$14))   /   SUM(OFFSET($BO$15,0,0,$B$14,1)) + $B$18/($B$19*$B$19*($DN201&lt;&gt;$DO201) + $B$19*($DN201=$DO201))</f>
        <v>3.7037037037037035E-4</v>
      </c>
      <c r="FI201" s="10" cm="1">
        <f t="array" aca="1" ref="FI201" ca="1">(1-$B$18)*SUMPRODUCT(OFFSET($BO$15,0,0,$B$14,1), 1*(_xlfn._xlws.FILTER(OFFSET($O$15,0,$DN201,$B$8,1),OFFSET($M$15,0,0,$B$8,1))=FI$13), 1*(_xlfn._xlws.FILTER(OFFSET($O$15,0,$DO201,$B$8,1),OFFSET($M$15,0,0,$B$8,1))=FI$14))   /   SUM(OFFSET($BO$15,0,0,$B$14,1)) + $B$18/($B$19*$B$19*($DN201&lt;&gt;$DO201) + $B$19*($DN201=$DO201))</f>
        <v>3.7037037037037035E-4</v>
      </c>
      <c r="FJ201" s="10" cm="1">
        <f t="array" aca="1" ref="FJ201" ca="1">(1-$B$18)*SUMPRODUCT(OFFSET($BO$15,0,0,$B$14,1), 1*(_xlfn._xlws.FILTER(OFFSET($O$15,0,$DN201,$B$8,1),OFFSET($M$15,0,0,$B$8,1))=FJ$13), 1*(_xlfn._xlws.FILTER(OFFSET($O$15,0,$DO201,$B$8,1),OFFSET($M$15,0,0,$B$8,1))=FJ$14))   /   SUM(OFFSET($BO$15,0,0,$B$14,1)) + $B$18/($B$19*$B$19*($DN201&lt;&gt;$DO201) + $B$19*($DN201=$DO201))</f>
        <v>3.7037037037037035E-4</v>
      </c>
      <c r="FK201" s="10" cm="1">
        <f t="array" aca="1" ref="FK201" ca="1">(1-$B$18)*SUMPRODUCT(OFFSET($BO$15,0,0,$B$14,1), 1*(_xlfn._xlws.FILTER(OFFSET($O$15,0,$DN201,$B$8,1),OFFSET($M$15,0,0,$B$8,1))=FK$13), 1*(_xlfn._xlws.FILTER(OFFSET($O$15,0,$DO201,$B$8,1),OFFSET($M$15,0,0,$B$8,1))=FK$14))   /   SUM(OFFSET($BO$15,0,0,$B$14,1)) + $B$18/($B$19*$B$19*($DN201&lt;&gt;$DO201) + $B$19*($DN201=$DO201))</f>
        <v>3.7037037037037035E-4</v>
      </c>
      <c r="FL201" s="10" cm="1">
        <f t="array" aca="1" ref="FL201" ca="1">(1-$B$18)*SUMPRODUCT(OFFSET($BO$15,0,0,$B$14,1), 1*(_xlfn._xlws.FILTER(OFFSET($O$15,0,$DN201,$B$8,1),OFFSET($M$15,0,0,$B$8,1))=FL$13), 1*(_xlfn._xlws.FILTER(OFFSET($O$15,0,$DO201,$B$8,1),OFFSET($M$15,0,0,$B$8,1))=FL$14))   /   SUM(OFFSET($BO$15,0,0,$B$14,1)) + $B$18/($B$19*$B$19*($DN201&lt;&gt;$DO201) + $B$19*($DN201=$DO201))</f>
        <v>3.7037037037037035E-4</v>
      </c>
      <c r="FM201" s="10" cm="1">
        <f t="array" aca="1" ref="FM201" ca="1">(1-$B$18)*SUMPRODUCT(OFFSET($BO$15,0,0,$B$14,1), 1*(_xlfn._xlws.FILTER(OFFSET($O$15,0,$DN201,$B$8,1),OFFSET($M$15,0,0,$B$8,1))=FM$13), 1*(_xlfn._xlws.FILTER(OFFSET($O$15,0,$DO201,$B$8,1),OFFSET($M$15,0,0,$B$8,1))=FM$14))   /   SUM(OFFSET($BO$15,0,0,$B$14,1)) + $B$18/($B$19*$B$19*($DN201&lt;&gt;$DO201) + $B$19*($DN201=$DO201))</f>
        <v>3.7037037037037035E-4</v>
      </c>
      <c r="FN201" s="10" cm="1">
        <f t="array" aca="1" ref="FN201" ca="1">(1-$B$18)*SUMPRODUCT(OFFSET($BO$15,0,0,$B$14,1), 1*(_xlfn._xlws.FILTER(OFFSET($O$15,0,$DN201,$B$8,1),OFFSET($M$15,0,0,$B$8,1))=FN$13), 1*(_xlfn._xlws.FILTER(OFFSET($O$15,0,$DO201,$B$8,1),OFFSET($M$15,0,0,$B$8,1))=FN$14))   /   SUM(OFFSET($BO$15,0,0,$B$14,1)) + $B$18/($B$19*$B$19*($DN201&lt;&gt;$DO201) + $B$19*($DN201=$DO201))</f>
        <v>3.7037037037037035E-4</v>
      </c>
      <c r="FO201" s="10" cm="1">
        <f t="array" aca="1" ref="FO201" ca="1">(1-$B$18)*SUMPRODUCT(OFFSET($BO$15,0,0,$B$14,1), 1*(_xlfn._xlws.FILTER(OFFSET($O$15,0,$DN201,$B$8,1),OFFSET($M$15,0,0,$B$8,1))=FO$13), 1*(_xlfn._xlws.FILTER(OFFSET($O$15,0,$DO201,$B$8,1),OFFSET($M$15,0,0,$B$8,1))=FO$14))   /   SUM(OFFSET($BO$15,0,0,$B$14,1)) + $B$18/($B$19*$B$19*($DN201&lt;&gt;$DO201) + $B$19*($DN201=$DO201))</f>
        <v>0.97037037037037033</v>
      </c>
      <c r="FP201" s="10" cm="1">
        <f t="array" aca="1" ref="FP201" ca="1">(1-$B$18)*SUMPRODUCT(OFFSET($BO$15,0,0,$B$14,1), 1*(_xlfn._xlws.FILTER(OFFSET($O$15,0,$DN201,$B$8,1),OFFSET($M$15,0,0,$B$8,1))=FP$13), 1*(_xlfn._xlws.FILTER(OFFSET($O$15,0,$DO201,$B$8,1),OFFSET($M$15,0,0,$B$8,1))=FP$14))   /   SUM(OFFSET($BO$15,0,0,$B$14,1)) + $B$18/($B$19*$B$19*($DN201&lt;&gt;$DO201) + $B$19*($DN201=$DO201))</f>
        <v>3.7037037037037035E-4</v>
      </c>
      <c r="FQ201" s="10" cm="1">
        <f t="array" aca="1" ref="FQ201" ca="1">(1-$B$18)*SUMPRODUCT(OFFSET($BO$15,0,0,$B$14,1), 1*(_xlfn._xlws.FILTER(OFFSET($O$15,0,$DN201,$B$8,1),OFFSET($M$15,0,0,$B$8,1))=FQ$13), 1*(_xlfn._xlws.FILTER(OFFSET($O$15,0,$DO201,$B$8,1),OFFSET($M$15,0,0,$B$8,1))=FQ$14))   /   SUM(OFFSET($BO$15,0,0,$B$14,1)) + $B$18/($B$19*$B$19*($DN201&lt;&gt;$DO201) + $B$19*($DN201=$DO201))</f>
        <v>3.7037037037037035E-4</v>
      </c>
      <c r="FR201" s="10" cm="1">
        <f t="array" aca="1" ref="FR201" ca="1">(1-$B$18)*SUMPRODUCT(OFFSET($BO$15,0,0,$B$14,1), 1*(_xlfn._xlws.FILTER(OFFSET($O$15,0,$DN201,$B$8,1),OFFSET($M$15,0,0,$B$8,1))=FR$13), 1*(_xlfn._xlws.FILTER(OFFSET($O$15,0,$DO201,$B$8,1),OFFSET($M$15,0,0,$B$8,1))=FR$14))   /   SUM(OFFSET($BO$15,0,0,$B$14,1)) + $B$18/($B$19*$B$19*($DN201&lt;&gt;$DO201) + $B$19*($DN201=$DO201))</f>
        <v>3.7037037037037035E-4</v>
      </c>
      <c r="FS201" s="10" cm="1">
        <f t="array" aca="1" ref="FS201" ca="1">(1-$B$18)*SUMPRODUCT(OFFSET($BO$15,0,0,$B$14,1), 1*(_xlfn._xlws.FILTER(OFFSET($O$15,0,$DN201,$B$8,1),OFFSET($M$15,0,0,$B$8,1))=FS$13), 1*(_xlfn._xlws.FILTER(OFFSET($O$15,0,$DO201,$B$8,1),OFFSET($M$15,0,0,$B$8,1))=FS$14))   /   SUM(OFFSET($BO$15,0,0,$B$14,1)) + $B$18/($B$19*$B$19*($DN201&lt;&gt;$DO201) + $B$19*($DN201=$DO201))</f>
        <v>3.7037037037037035E-4</v>
      </c>
      <c r="FT201" s="10" cm="1">
        <f t="array" aca="1" ref="FT201" ca="1">(1-$B$18)*SUMPRODUCT(OFFSET($BO$15,0,0,$B$14,1), 1*(_xlfn._xlws.FILTER(OFFSET($O$15,0,$DN201,$B$8,1),OFFSET($M$15,0,0,$B$8,1))=FT$13), 1*(_xlfn._xlws.FILTER(OFFSET($O$15,0,$DO201,$B$8,1),OFFSET($M$15,0,0,$B$8,1))=FT$14))   /   SUM(OFFSET($BO$15,0,0,$B$14,1)) + $B$18/($B$19*$B$19*($DN201&lt;&gt;$DO201) + $B$19*($DN201=$DO201))</f>
        <v>3.7037037037037035E-4</v>
      </c>
      <c r="FU201" s="10" cm="1">
        <f t="array" aca="1" ref="FU201" ca="1">(1-$B$18)*SUMPRODUCT(OFFSET($BO$15,0,0,$B$14,1), 1*(_xlfn._xlws.FILTER(OFFSET($O$15,0,$DN201,$B$8,1),OFFSET($M$15,0,0,$B$8,1))=FU$13), 1*(_xlfn._xlws.FILTER(OFFSET($O$15,0,$DO201,$B$8,1),OFFSET($M$15,0,0,$B$8,1))=FU$14))   /   SUM(OFFSET($BO$15,0,0,$B$14,1)) + $B$18/($B$19*$B$19*($DN201&lt;&gt;$DO201) + $B$19*($DN201=$DO201))</f>
        <v>3.7037037037037035E-4</v>
      </c>
      <c r="FV201" s="10" cm="1">
        <f t="array" aca="1" ref="FV201" ca="1">(1-$B$18)*SUMPRODUCT(OFFSET($BO$15,0,0,$B$14,1), 1*(_xlfn._xlws.FILTER(OFFSET($O$15,0,$DN201,$B$8,1),OFFSET($M$15,0,0,$B$8,1))=FV$13), 1*(_xlfn._xlws.FILTER(OFFSET($O$15,0,$DO201,$B$8,1),OFFSET($M$15,0,0,$B$8,1))=FV$14))   /   SUM(OFFSET($BO$15,0,0,$B$14,1)) + $B$18/($B$19*$B$19*($DN201&lt;&gt;$DO201) + $B$19*($DN201=$DO201))</f>
        <v>3.7037037037037035E-4</v>
      </c>
      <c r="FW201" s="10" cm="1">
        <f t="array" aca="1" ref="FW201" ca="1">(1-$B$18)*SUMPRODUCT(OFFSET($BO$15,0,0,$B$14,1), 1*(_xlfn._xlws.FILTER(OFFSET($O$15,0,$DN201,$B$8,1),OFFSET($M$15,0,0,$B$8,1))=FW$13), 1*(_xlfn._xlws.FILTER(OFFSET($O$15,0,$DO201,$B$8,1),OFFSET($M$15,0,0,$B$8,1))=FW$14))   /   SUM(OFFSET($BO$15,0,0,$B$14,1)) + $B$18/($B$19*$B$19*($DN201&lt;&gt;$DO201) + $B$19*($DN201=$DO201))</f>
        <v>3.7037037037037035E-4</v>
      </c>
      <c r="FX201" s="10" cm="1">
        <f t="array" aca="1" ref="FX201" ca="1">(1-$B$18)*SUMPRODUCT(OFFSET($BO$15,0,0,$B$14,1), 1*(_xlfn._xlws.FILTER(OFFSET($O$15,0,$DN201,$B$8,1),OFFSET($M$15,0,0,$B$8,1))=FX$13), 1*(_xlfn._xlws.FILTER(OFFSET($O$15,0,$DO201,$B$8,1),OFFSET($M$15,0,0,$B$8,1))=FX$14))   /   SUM(OFFSET($BO$15,0,0,$B$14,1)) + $B$18/($B$19*$B$19*($DN201&lt;&gt;$DO201) + $B$19*($DN201=$DO201))</f>
        <v>3.7037037037037035E-4</v>
      </c>
      <c r="FY201" s="10" cm="1">
        <f t="array" aca="1" ref="FY201" ca="1">(1-$B$18)*SUMPRODUCT(OFFSET($BO$15,0,0,$B$14,1), 1*(_xlfn._xlws.FILTER(OFFSET($O$15,0,$DN201,$B$8,1),OFFSET($M$15,0,0,$B$8,1))=FY$13), 1*(_xlfn._xlws.FILTER(OFFSET($O$15,0,$DO201,$B$8,1),OFFSET($M$15,0,0,$B$8,1))=FY$14))   /   SUM(OFFSET($BO$15,0,0,$B$14,1)) + $B$18/($B$19*$B$19*($DN201&lt;&gt;$DO201) + $B$19*($DN201=$DO201))</f>
        <v>3.7037037037037035E-4</v>
      </c>
      <c r="FZ201" s="10" cm="1">
        <f t="array" aca="1" ref="FZ201" ca="1">(1-$B$18)*SUMPRODUCT(OFFSET($BO$15,0,0,$B$14,1), 1*(_xlfn._xlws.FILTER(OFFSET($O$15,0,$DN201,$B$8,1),OFFSET($M$15,0,0,$B$8,1))=FZ$13), 1*(_xlfn._xlws.FILTER(OFFSET($O$15,0,$DO201,$B$8,1),OFFSET($M$15,0,0,$B$8,1))=FZ$14))   /   SUM(OFFSET($BO$15,0,0,$B$14,1)) + $B$18/($B$19*$B$19*($DN201&lt;&gt;$DO201) + $B$19*($DN201=$DO201))</f>
        <v>3.7037037037037035E-4</v>
      </c>
      <c r="GA201" s="10" cm="1">
        <f t="array" aca="1" ref="GA201" ca="1">(1-$B$18)*SUMPRODUCT(OFFSET($BO$15,0,0,$B$14,1), 1*(_xlfn._xlws.FILTER(OFFSET($O$15,0,$DN201,$B$8,1),OFFSET($M$15,0,0,$B$8,1))=GA$13), 1*(_xlfn._xlws.FILTER(OFFSET($O$15,0,$DO201,$B$8,1),OFFSET($M$15,0,0,$B$8,1))=GA$14))   /   SUM(OFFSET($BO$15,0,0,$B$14,1)) + $B$18/($B$19*$B$19*($DN201&lt;&gt;$DO201) + $B$19*($DN201=$DO201))</f>
        <v>3.7037037037037035E-4</v>
      </c>
    </row>
    <row r="202" spans="118:183" x14ac:dyDescent="0.2">
      <c r="DN202" cm="1">
        <f t="array" aca="1" ref="DN202" ca="1">INDEX(_xlfn.ANCHORARRAY($CP$15), 1 + INT((ROWS($DO$15:$DO202) - 1) / ROWS(_xlfn.ANCHORARRAY($CP$15))))</f>
        <v>9</v>
      </c>
      <c r="DO202" cm="1">
        <f t="array" aca="1" ref="DO202" ca="1">INDEX(_xlfn.ANCHORARRAY($CP$15),1+MOD(ROWS($DO$15:$DO202)-1,ROWS(_xlfn.ANCHORARRAY($CP$15))))</f>
        <v>19</v>
      </c>
      <c r="DP202" s="10" cm="1">
        <f t="array" aca="1" ref="DP202" ca="1">(1-$B$18)*SUMPRODUCT(OFFSET($BO$15,0,0,$B$14,1), 1*(_xlfn._xlws.FILTER(OFFSET($O$15,0,$DN202,$B$8,1),OFFSET($M$15,0,0,$B$8,1))=DP$13), 1*(_xlfn._xlws.FILTER(OFFSET($O$15,0,$DO202,$B$8,1),OFFSET($M$15,0,0,$B$8,1))=DP$14))   /   SUM(OFFSET($BO$15,0,0,$B$14,1)) + $B$18/($B$19*$B$19*($DN202&lt;&gt;$DO202) + $B$19*($DN202=$DO202))</f>
        <v>3.7037037037037035E-4</v>
      </c>
      <c r="DQ202" s="10" cm="1">
        <f t="array" aca="1" ref="DQ202" ca="1">(1-$B$18)*SUMPRODUCT(OFFSET($BO$15,0,0,$B$14,1), 1*(_xlfn._xlws.FILTER(OFFSET($O$15,0,$DN202,$B$8,1),OFFSET($M$15,0,0,$B$8,1))=DQ$13), 1*(_xlfn._xlws.FILTER(OFFSET($O$15,0,$DO202,$B$8,1),OFFSET($M$15,0,0,$B$8,1))=DQ$14))   /   SUM(OFFSET($BO$15,0,0,$B$14,1)) + $B$18/($B$19*$B$19*($DN202&lt;&gt;$DO202) + $B$19*($DN202=$DO202))</f>
        <v>3.7037037037037035E-4</v>
      </c>
      <c r="DR202" s="10" cm="1">
        <f t="array" aca="1" ref="DR202" ca="1">(1-$B$18)*SUMPRODUCT(OFFSET($BO$15,0,0,$B$14,1), 1*(_xlfn._xlws.FILTER(OFFSET($O$15,0,$DN202,$B$8,1),OFFSET($M$15,0,0,$B$8,1))=DR$13), 1*(_xlfn._xlws.FILTER(OFFSET($O$15,0,$DO202,$B$8,1),OFFSET($M$15,0,0,$B$8,1))=DR$14))   /   SUM(OFFSET($BO$15,0,0,$B$14,1)) + $B$18/($B$19*$B$19*($DN202&lt;&gt;$DO202) + $B$19*($DN202=$DO202))</f>
        <v>3.7037037037037035E-4</v>
      </c>
      <c r="DS202" s="10" cm="1">
        <f t="array" aca="1" ref="DS202" ca="1">(1-$B$18)*SUMPRODUCT(OFFSET($BO$15,0,0,$B$14,1), 1*(_xlfn._xlws.FILTER(OFFSET($O$15,0,$DN202,$B$8,1),OFFSET($M$15,0,0,$B$8,1))=DS$13), 1*(_xlfn._xlws.FILTER(OFFSET($O$15,0,$DO202,$B$8,1),OFFSET($M$15,0,0,$B$8,1))=DS$14))   /   SUM(OFFSET($BO$15,0,0,$B$14,1)) + $B$18/($B$19*$B$19*($DN202&lt;&gt;$DO202) + $B$19*($DN202=$DO202))</f>
        <v>3.7037037037037035E-4</v>
      </c>
      <c r="DT202" s="10" cm="1">
        <f t="array" aca="1" ref="DT202" ca="1">(1-$B$18)*SUMPRODUCT(OFFSET($BO$15,0,0,$B$14,1), 1*(_xlfn._xlws.FILTER(OFFSET($O$15,0,$DN202,$B$8,1),OFFSET($M$15,0,0,$B$8,1))=DT$13), 1*(_xlfn._xlws.FILTER(OFFSET($O$15,0,$DO202,$B$8,1),OFFSET($M$15,0,0,$B$8,1))=DT$14))   /   SUM(OFFSET($BO$15,0,0,$B$14,1)) + $B$18/($B$19*$B$19*($DN202&lt;&gt;$DO202) + $B$19*($DN202=$DO202))</f>
        <v>3.7037037037037035E-4</v>
      </c>
      <c r="DU202" s="10" cm="1">
        <f t="array" aca="1" ref="DU202" ca="1">(1-$B$18)*SUMPRODUCT(OFFSET($BO$15,0,0,$B$14,1), 1*(_xlfn._xlws.FILTER(OFFSET($O$15,0,$DN202,$B$8,1),OFFSET($M$15,0,0,$B$8,1))=DU$13), 1*(_xlfn._xlws.FILTER(OFFSET($O$15,0,$DO202,$B$8,1),OFFSET($M$15,0,0,$B$8,1))=DU$14))   /   SUM(OFFSET($BO$15,0,0,$B$14,1)) + $B$18/($B$19*$B$19*($DN202&lt;&gt;$DO202) + $B$19*($DN202=$DO202))</f>
        <v>3.7037037037037035E-4</v>
      </c>
      <c r="DV202" s="10" cm="1">
        <f t="array" aca="1" ref="DV202" ca="1">(1-$B$18)*SUMPRODUCT(OFFSET($BO$15,0,0,$B$14,1), 1*(_xlfn._xlws.FILTER(OFFSET($O$15,0,$DN202,$B$8,1),OFFSET($M$15,0,0,$B$8,1))=DV$13), 1*(_xlfn._xlws.FILTER(OFFSET($O$15,0,$DO202,$B$8,1),OFFSET($M$15,0,0,$B$8,1))=DV$14))   /   SUM(OFFSET($BO$15,0,0,$B$14,1)) + $B$18/($B$19*$B$19*($DN202&lt;&gt;$DO202) + $B$19*($DN202=$DO202))</f>
        <v>3.7037037037037035E-4</v>
      </c>
      <c r="DW202" s="10" cm="1">
        <f t="array" aca="1" ref="DW202" ca="1">(1-$B$18)*SUMPRODUCT(OFFSET($BO$15,0,0,$B$14,1), 1*(_xlfn._xlws.FILTER(OFFSET($O$15,0,$DN202,$B$8,1),OFFSET($M$15,0,0,$B$8,1))=DW$13), 1*(_xlfn._xlws.FILTER(OFFSET($O$15,0,$DO202,$B$8,1),OFFSET($M$15,0,0,$B$8,1))=DW$14))   /   SUM(OFFSET($BO$15,0,0,$B$14,1)) + $B$18/($B$19*$B$19*($DN202&lt;&gt;$DO202) + $B$19*($DN202=$DO202))</f>
        <v>3.7037037037037035E-4</v>
      </c>
      <c r="DX202" s="10" cm="1">
        <f t="array" aca="1" ref="DX202" ca="1">(1-$B$18)*SUMPRODUCT(OFFSET($BO$15,0,0,$B$14,1), 1*(_xlfn._xlws.FILTER(OFFSET($O$15,0,$DN202,$B$8,1),OFFSET($M$15,0,0,$B$8,1))=DX$13), 1*(_xlfn._xlws.FILTER(OFFSET($O$15,0,$DO202,$B$8,1),OFFSET($M$15,0,0,$B$8,1))=DX$14))   /   SUM(OFFSET($BO$15,0,0,$B$14,1)) + $B$18/($B$19*$B$19*($DN202&lt;&gt;$DO202) + $B$19*($DN202=$DO202))</f>
        <v>3.7037037037037035E-4</v>
      </c>
      <c r="DY202" s="10" cm="1">
        <f t="array" aca="1" ref="DY202" ca="1">(1-$B$18)*SUMPRODUCT(OFFSET($BO$15,0,0,$B$14,1), 1*(_xlfn._xlws.FILTER(OFFSET($O$15,0,$DN202,$B$8,1),OFFSET($M$15,0,0,$B$8,1))=DY$13), 1*(_xlfn._xlws.FILTER(OFFSET($O$15,0,$DO202,$B$8,1),OFFSET($M$15,0,0,$B$8,1))=DY$14))   /   SUM(OFFSET($BO$15,0,0,$B$14,1)) + $B$18/($B$19*$B$19*($DN202&lt;&gt;$DO202) + $B$19*($DN202=$DO202))</f>
        <v>3.7037037037037035E-4</v>
      </c>
      <c r="DZ202" s="10" cm="1">
        <f t="array" aca="1" ref="DZ202" ca="1">(1-$B$18)*SUMPRODUCT(OFFSET($BO$15,0,0,$B$14,1), 1*(_xlfn._xlws.FILTER(OFFSET($O$15,0,$DN202,$B$8,1),OFFSET($M$15,0,0,$B$8,1))=DZ$13), 1*(_xlfn._xlws.FILTER(OFFSET($O$15,0,$DO202,$B$8,1),OFFSET($M$15,0,0,$B$8,1))=DZ$14))   /   SUM(OFFSET($BO$15,0,0,$B$14,1)) + $B$18/($B$19*$B$19*($DN202&lt;&gt;$DO202) + $B$19*($DN202=$DO202))</f>
        <v>3.7037037037037035E-4</v>
      </c>
      <c r="EA202" s="10" cm="1">
        <f t="array" aca="1" ref="EA202" ca="1">(1-$B$18)*SUMPRODUCT(OFFSET($BO$15,0,0,$B$14,1), 1*(_xlfn._xlws.FILTER(OFFSET($O$15,0,$DN202,$B$8,1),OFFSET($M$15,0,0,$B$8,1))=EA$13), 1*(_xlfn._xlws.FILTER(OFFSET($O$15,0,$DO202,$B$8,1),OFFSET($M$15,0,0,$B$8,1))=EA$14))   /   SUM(OFFSET($BO$15,0,0,$B$14,1)) + $B$18/($B$19*$B$19*($DN202&lt;&gt;$DO202) + $B$19*($DN202=$DO202))</f>
        <v>3.7037037037037035E-4</v>
      </c>
      <c r="EB202" s="10" cm="1">
        <f t="array" aca="1" ref="EB202" ca="1">(1-$B$18)*SUMPRODUCT(OFFSET($BO$15,0,0,$B$14,1), 1*(_xlfn._xlws.FILTER(OFFSET($O$15,0,$DN202,$B$8,1),OFFSET($M$15,0,0,$B$8,1))=EB$13), 1*(_xlfn._xlws.FILTER(OFFSET($O$15,0,$DO202,$B$8,1),OFFSET($M$15,0,0,$B$8,1))=EB$14))   /   SUM(OFFSET($BO$15,0,0,$B$14,1)) + $B$18/($B$19*$B$19*($DN202&lt;&gt;$DO202) + $B$19*($DN202=$DO202))</f>
        <v>3.7037037037037035E-4</v>
      </c>
      <c r="EC202" s="10" cm="1">
        <f t="array" aca="1" ref="EC202" ca="1">(1-$B$18)*SUMPRODUCT(OFFSET($BO$15,0,0,$B$14,1), 1*(_xlfn._xlws.FILTER(OFFSET($O$15,0,$DN202,$B$8,1),OFFSET($M$15,0,0,$B$8,1))=EC$13), 1*(_xlfn._xlws.FILTER(OFFSET($O$15,0,$DO202,$B$8,1),OFFSET($M$15,0,0,$B$8,1))=EC$14))   /   SUM(OFFSET($BO$15,0,0,$B$14,1)) + $B$18/($B$19*$B$19*($DN202&lt;&gt;$DO202) + $B$19*($DN202=$DO202))</f>
        <v>3.7037037037037035E-4</v>
      </c>
      <c r="ED202" s="10" cm="1">
        <f t="array" aca="1" ref="ED202" ca="1">(1-$B$18)*SUMPRODUCT(OFFSET($BO$15,0,0,$B$14,1), 1*(_xlfn._xlws.FILTER(OFFSET($O$15,0,$DN202,$B$8,1),OFFSET($M$15,0,0,$B$8,1))=ED$13), 1*(_xlfn._xlws.FILTER(OFFSET($O$15,0,$DO202,$B$8,1),OFFSET($M$15,0,0,$B$8,1))=ED$14))   /   SUM(OFFSET($BO$15,0,0,$B$14,1)) + $B$18/($B$19*$B$19*($DN202&lt;&gt;$DO202) + $B$19*($DN202=$DO202))</f>
        <v>3.7037037037037035E-4</v>
      </c>
      <c r="EE202" s="10" cm="1">
        <f t="array" aca="1" ref="EE202" ca="1">(1-$B$18)*SUMPRODUCT(OFFSET($BO$15,0,0,$B$14,1), 1*(_xlfn._xlws.FILTER(OFFSET($O$15,0,$DN202,$B$8,1),OFFSET($M$15,0,0,$B$8,1))=EE$13), 1*(_xlfn._xlws.FILTER(OFFSET($O$15,0,$DO202,$B$8,1),OFFSET($M$15,0,0,$B$8,1))=EE$14))   /   SUM(OFFSET($BO$15,0,0,$B$14,1)) + $B$18/($B$19*$B$19*($DN202&lt;&gt;$DO202) + $B$19*($DN202=$DO202))</f>
        <v>3.7037037037037035E-4</v>
      </c>
      <c r="EF202" s="10" cm="1">
        <f t="array" aca="1" ref="EF202" ca="1">(1-$B$18)*SUMPRODUCT(OFFSET($BO$15,0,0,$B$14,1), 1*(_xlfn._xlws.FILTER(OFFSET($O$15,0,$DN202,$B$8,1),OFFSET($M$15,0,0,$B$8,1))=EF$13), 1*(_xlfn._xlws.FILTER(OFFSET($O$15,0,$DO202,$B$8,1),OFFSET($M$15,0,0,$B$8,1))=EF$14))   /   SUM(OFFSET($BO$15,0,0,$B$14,1)) + $B$18/($B$19*$B$19*($DN202&lt;&gt;$DO202) + $B$19*($DN202=$DO202))</f>
        <v>3.7037037037037035E-4</v>
      </c>
      <c r="EG202" s="10" cm="1">
        <f t="array" aca="1" ref="EG202" ca="1">(1-$B$18)*SUMPRODUCT(OFFSET($BO$15,0,0,$B$14,1), 1*(_xlfn._xlws.FILTER(OFFSET($O$15,0,$DN202,$B$8,1),OFFSET($M$15,0,0,$B$8,1))=EG$13), 1*(_xlfn._xlws.FILTER(OFFSET($O$15,0,$DO202,$B$8,1),OFFSET($M$15,0,0,$B$8,1))=EG$14))   /   SUM(OFFSET($BO$15,0,0,$B$14,1)) + $B$18/($B$19*$B$19*($DN202&lt;&gt;$DO202) + $B$19*($DN202=$DO202))</f>
        <v>3.7037037037037035E-4</v>
      </c>
      <c r="EH202" s="10" cm="1">
        <f t="array" aca="1" ref="EH202" ca="1">(1-$B$18)*SUMPRODUCT(OFFSET($BO$15,0,0,$B$14,1), 1*(_xlfn._xlws.FILTER(OFFSET($O$15,0,$DN202,$B$8,1),OFFSET($M$15,0,0,$B$8,1))=EH$13), 1*(_xlfn._xlws.FILTER(OFFSET($O$15,0,$DO202,$B$8,1),OFFSET($M$15,0,0,$B$8,1))=EH$14))   /   SUM(OFFSET($BO$15,0,0,$B$14,1)) + $B$18/($B$19*$B$19*($DN202&lt;&gt;$DO202) + $B$19*($DN202=$DO202))</f>
        <v>3.7037037037037035E-4</v>
      </c>
      <c r="EI202" s="10" cm="1">
        <f t="array" aca="1" ref="EI202" ca="1">(1-$B$18)*SUMPRODUCT(OFFSET($BO$15,0,0,$B$14,1), 1*(_xlfn._xlws.FILTER(OFFSET($O$15,0,$DN202,$B$8,1),OFFSET($M$15,0,0,$B$8,1))=EI$13), 1*(_xlfn._xlws.FILTER(OFFSET($O$15,0,$DO202,$B$8,1),OFFSET($M$15,0,0,$B$8,1))=EI$14))   /   SUM(OFFSET($BO$15,0,0,$B$14,1)) + $B$18/($B$19*$B$19*($DN202&lt;&gt;$DO202) + $B$19*($DN202=$DO202))</f>
        <v>3.7037037037037035E-4</v>
      </c>
      <c r="EJ202" s="10" cm="1">
        <f t="array" aca="1" ref="EJ202" ca="1">(1-$B$18)*SUMPRODUCT(OFFSET($BO$15,0,0,$B$14,1), 1*(_xlfn._xlws.FILTER(OFFSET($O$15,0,$DN202,$B$8,1),OFFSET($M$15,0,0,$B$8,1))=EJ$13), 1*(_xlfn._xlws.FILTER(OFFSET($O$15,0,$DO202,$B$8,1),OFFSET($M$15,0,0,$B$8,1))=EJ$14))   /   SUM(OFFSET($BO$15,0,0,$B$14,1)) + $B$18/($B$19*$B$19*($DN202&lt;&gt;$DO202) + $B$19*($DN202=$DO202))</f>
        <v>3.7037037037037035E-4</v>
      </c>
      <c r="EK202" s="10" cm="1">
        <f t="array" aca="1" ref="EK202" ca="1">(1-$B$18)*SUMPRODUCT(OFFSET($BO$15,0,0,$B$14,1), 1*(_xlfn._xlws.FILTER(OFFSET($O$15,0,$DN202,$B$8,1),OFFSET($M$15,0,0,$B$8,1))=EK$13), 1*(_xlfn._xlws.FILTER(OFFSET($O$15,0,$DO202,$B$8,1),OFFSET($M$15,0,0,$B$8,1))=EK$14))   /   SUM(OFFSET($BO$15,0,0,$B$14,1)) + $B$18/($B$19*$B$19*($DN202&lt;&gt;$DO202) + $B$19*($DN202=$DO202))</f>
        <v>3.7037037037037035E-4</v>
      </c>
      <c r="EL202" s="10" cm="1">
        <f t="array" aca="1" ref="EL202" ca="1">(1-$B$18)*SUMPRODUCT(OFFSET($BO$15,0,0,$B$14,1), 1*(_xlfn._xlws.FILTER(OFFSET($O$15,0,$DN202,$B$8,1),OFFSET($M$15,0,0,$B$8,1))=EL$13), 1*(_xlfn._xlws.FILTER(OFFSET($O$15,0,$DO202,$B$8,1),OFFSET($M$15,0,0,$B$8,1))=EL$14))   /   SUM(OFFSET($BO$15,0,0,$B$14,1)) + $B$18/($B$19*$B$19*($DN202&lt;&gt;$DO202) + $B$19*($DN202=$DO202))</f>
        <v>3.7037037037037035E-4</v>
      </c>
      <c r="EM202" s="10" cm="1">
        <f t="array" aca="1" ref="EM202" ca="1">(1-$B$18)*SUMPRODUCT(OFFSET($BO$15,0,0,$B$14,1), 1*(_xlfn._xlws.FILTER(OFFSET($O$15,0,$DN202,$B$8,1),OFFSET($M$15,0,0,$B$8,1))=EM$13), 1*(_xlfn._xlws.FILTER(OFFSET($O$15,0,$DO202,$B$8,1),OFFSET($M$15,0,0,$B$8,1))=EM$14))   /   SUM(OFFSET($BO$15,0,0,$B$14,1)) + $B$18/($B$19*$B$19*($DN202&lt;&gt;$DO202) + $B$19*($DN202=$DO202))</f>
        <v>3.7037037037037035E-4</v>
      </c>
      <c r="EN202" s="10" cm="1">
        <f t="array" aca="1" ref="EN202" ca="1">(1-$B$18)*SUMPRODUCT(OFFSET($BO$15,0,0,$B$14,1), 1*(_xlfn._xlws.FILTER(OFFSET($O$15,0,$DN202,$B$8,1),OFFSET($M$15,0,0,$B$8,1))=EN$13), 1*(_xlfn._xlws.FILTER(OFFSET($O$15,0,$DO202,$B$8,1),OFFSET($M$15,0,0,$B$8,1))=EN$14))   /   SUM(OFFSET($BO$15,0,0,$B$14,1)) + $B$18/($B$19*$B$19*($DN202&lt;&gt;$DO202) + $B$19*($DN202=$DO202))</f>
        <v>3.7037037037037035E-4</v>
      </c>
      <c r="EO202" s="10" cm="1">
        <f t="array" aca="1" ref="EO202" ca="1">(1-$B$18)*SUMPRODUCT(OFFSET($BO$15,0,0,$B$14,1), 1*(_xlfn._xlws.FILTER(OFFSET($O$15,0,$DN202,$B$8,1),OFFSET($M$15,0,0,$B$8,1))=EO$13), 1*(_xlfn._xlws.FILTER(OFFSET($O$15,0,$DO202,$B$8,1),OFFSET($M$15,0,0,$B$8,1))=EO$14))   /   SUM(OFFSET($BO$15,0,0,$B$14,1)) + $B$18/($B$19*$B$19*($DN202&lt;&gt;$DO202) + $B$19*($DN202=$DO202))</f>
        <v>3.7037037037037035E-4</v>
      </c>
      <c r="EP202" s="10" cm="1">
        <f t="array" aca="1" ref="EP202" ca="1">(1-$B$18)*SUMPRODUCT(OFFSET($BO$15,0,0,$B$14,1), 1*(_xlfn._xlws.FILTER(OFFSET($O$15,0,$DN202,$B$8,1),OFFSET($M$15,0,0,$B$8,1))=EP$13), 1*(_xlfn._xlws.FILTER(OFFSET($O$15,0,$DO202,$B$8,1),OFFSET($M$15,0,0,$B$8,1))=EP$14))   /   SUM(OFFSET($BO$15,0,0,$B$14,1)) + $B$18/($B$19*$B$19*($DN202&lt;&gt;$DO202) + $B$19*($DN202=$DO202))</f>
        <v>3.7037037037037035E-4</v>
      </c>
      <c r="EQ202" s="10" cm="1">
        <f t="array" aca="1" ref="EQ202" ca="1">(1-$B$18)*SUMPRODUCT(OFFSET($BO$15,0,0,$B$14,1), 1*(_xlfn._xlws.FILTER(OFFSET($O$15,0,$DN202,$B$8,1),OFFSET($M$15,0,0,$B$8,1))=EQ$13), 1*(_xlfn._xlws.FILTER(OFFSET($O$15,0,$DO202,$B$8,1),OFFSET($M$15,0,0,$B$8,1))=EQ$14))   /   SUM(OFFSET($BO$15,0,0,$B$14,1)) + $B$18/($B$19*$B$19*($DN202&lt;&gt;$DO202) + $B$19*($DN202=$DO202))</f>
        <v>3.7037037037037035E-4</v>
      </c>
      <c r="ER202" s="10" cm="1">
        <f t="array" aca="1" ref="ER202" ca="1">(1-$B$18)*SUMPRODUCT(OFFSET($BO$15,0,0,$B$14,1), 1*(_xlfn._xlws.FILTER(OFFSET($O$15,0,$DN202,$B$8,1),OFFSET($M$15,0,0,$B$8,1))=ER$13), 1*(_xlfn._xlws.FILTER(OFFSET($O$15,0,$DO202,$B$8,1),OFFSET($M$15,0,0,$B$8,1))=ER$14))   /   SUM(OFFSET($BO$15,0,0,$B$14,1)) + $B$18/($B$19*$B$19*($DN202&lt;&gt;$DO202) + $B$19*($DN202=$DO202))</f>
        <v>3.7037037037037035E-4</v>
      </c>
      <c r="ES202" s="10" cm="1">
        <f t="array" aca="1" ref="ES202" ca="1">(1-$B$18)*SUMPRODUCT(OFFSET($BO$15,0,0,$B$14,1), 1*(_xlfn._xlws.FILTER(OFFSET($O$15,0,$DN202,$B$8,1),OFFSET($M$15,0,0,$B$8,1))=ES$13), 1*(_xlfn._xlws.FILTER(OFFSET($O$15,0,$DO202,$B$8,1),OFFSET($M$15,0,0,$B$8,1))=ES$14))   /   SUM(OFFSET($BO$15,0,0,$B$14,1)) + $B$18/($B$19*$B$19*($DN202&lt;&gt;$DO202) + $B$19*($DN202=$DO202))</f>
        <v>3.7037037037037035E-4</v>
      </c>
      <c r="ET202" s="10" cm="1">
        <f t="array" aca="1" ref="ET202" ca="1">(1-$B$18)*SUMPRODUCT(OFFSET($BO$15,0,0,$B$14,1), 1*(_xlfn._xlws.FILTER(OFFSET($O$15,0,$DN202,$B$8,1),OFFSET($M$15,0,0,$B$8,1))=ET$13), 1*(_xlfn._xlws.FILTER(OFFSET($O$15,0,$DO202,$B$8,1),OFFSET($M$15,0,0,$B$8,1))=ET$14))   /   SUM(OFFSET($BO$15,0,0,$B$14,1)) + $B$18/($B$19*$B$19*($DN202&lt;&gt;$DO202) + $B$19*($DN202=$DO202))</f>
        <v>3.7037037037037035E-4</v>
      </c>
      <c r="EU202" s="10" cm="1">
        <f t="array" aca="1" ref="EU202" ca="1">(1-$B$18)*SUMPRODUCT(OFFSET($BO$15,0,0,$B$14,1), 1*(_xlfn._xlws.FILTER(OFFSET($O$15,0,$DN202,$B$8,1),OFFSET($M$15,0,0,$B$8,1))=EU$13), 1*(_xlfn._xlws.FILTER(OFFSET($O$15,0,$DO202,$B$8,1),OFFSET($M$15,0,0,$B$8,1))=EU$14))   /   SUM(OFFSET($BO$15,0,0,$B$14,1)) + $B$18/($B$19*$B$19*($DN202&lt;&gt;$DO202) + $B$19*($DN202=$DO202))</f>
        <v>3.7037037037037035E-4</v>
      </c>
      <c r="EV202" s="10" cm="1">
        <f t="array" aca="1" ref="EV202" ca="1">(1-$B$18)*SUMPRODUCT(OFFSET($BO$15,0,0,$B$14,1), 1*(_xlfn._xlws.FILTER(OFFSET($O$15,0,$DN202,$B$8,1),OFFSET($M$15,0,0,$B$8,1))=EV$13), 1*(_xlfn._xlws.FILTER(OFFSET($O$15,0,$DO202,$B$8,1),OFFSET($M$15,0,0,$B$8,1))=EV$14))   /   SUM(OFFSET($BO$15,0,0,$B$14,1)) + $B$18/($B$19*$B$19*($DN202&lt;&gt;$DO202) + $B$19*($DN202=$DO202))</f>
        <v>3.7037037037037035E-4</v>
      </c>
      <c r="EW202" s="10" cm="1">
        <f t="array" aca="1" ref="EW202" ca="1">(1-$B$18)*SUMPRODUCT(OFFSET($BO$15,0,0,$B$14,1), 1*(_xlfn._xlws.FILTER(OFFSET($O$15,0,$DN202,$B$8,1),OFFSET($M$15,0,0,$B$8,1))=EW$13), 1*(_xlfn._xlws.FILTER(OFFSET($O$15,0,$DO202,$B$8,1),OFFSET($M$15,0,0,$B$8,1))=EW$14))   /   SUM(OFFSET($BO$15,0,0,$B$14,1)) + $B$18/($B$19*$B$19*($DN202&lt;&gt;$DO202) + $B$19*($DN202=$DO202))</f>
        <v>3.7037037037037035E-4</v>
      </c>
      <c r="EX202" s="10" cm="1">
        <f t="array" aca="1" ref="EX202" ca="1">(1-$B$18)*SUMPRODUCT(OFFSET($BO$15,0,0,$B$14,1), 1*(_xlfn._xlws.FILTER(OFFSET($O$15,0,$DN202,$B$8,1),OFFSET($M$15,0,0,$B$8,1))=EX$13), 1*(_xlfn._xlws.FILTER(OFFSET($O$15,0,$DO202,$B$8,1),OFFSET($M$15,0,0,$B$8,1))=EX$14))   /   SUM(OFFSET($BO$15,0,0,$B$14,1)) + $B$18/($B$19*$B$19*($DN202&lt;&gt;$DO202) + $B$19*($DN202=$DO202))</f>
        <v>3.7037037037037035E-4</v>
      </c>
      <c r="EY202" s="10" cm="1">
        <f t="array" aca="1" ref="EY202" ca="1">(1-$B$18)*SUMPRODUCT(OFFSET($BO$15,0,0,$B$14,1), 1*(_xlfn._xlws.FILTER(OFFSET($O$15,0,$DN202,$B$8,1),OFFSET($M$15,0,0,$B$8,1))=EY$13), 1*(_xlfn._xlws.FILTER(OFFSET($O$15,0,$DO202,$B$8,1),OFFSET($M$15,0,0,$B$8,1))=EY$14))   /   SUM(OFFSET($BO$15,0,0,$B$14,1)) + $B$18/($B$19*$B$19*($DN202&lt;&gt;$DO202) + $B$19*($DN202=$DO202))</f>
        <v>3.7037037037037035E-4</v>
      </c>
      <c r="EZ202" s="10" cm="1">
        <f t="array" aca="1" ref="EZ202" ca="1">(1-$B$18)*SUMPRODUCT(OFFSET($BO$15,0,0,$B$14,1), 1*(_xlfn._xlws.FILTER(OFFSET($O$15,0,$DN202,$B$8,1),OFFSET($M$15,0,0,$B$8,1))=EZ$13), 1*(_xlfn._xlws.FILTER(OFFSET($O$15,0,$DO202,$B$8,1),OFFSET($M$15,0,0,$B$8,1))=EZ$14))   /   SUM(OFFSET($BO$15,0,0,$B$14,1)) + $B$18/($B$19*$B$19*($DN202&lt;&gt;$DO202) + $B$19*($DN202=$DO202))</f>
        <v>3.7037037037037035E-4</v>
      </c>
      <c r="FA202" s="10" cm="1">
        <f t="array" aca="1" ref="FA202" ca="1">(1-$B$18)*SUMPRODUCT(OFFSET($BO$15,0,0,$B$14,1), 1*(_xlfn._xlws.FILTER(OFFSET($O$15,0,$DN202,$B$8,1),OFFSET($M$15,0,0,$B$8,1))=FA$13), 1*(_xlfn._xlws.FILTER(OFFSET($O$15,0,$DO202,$B$8,1),OFFSET($M$15,0,0,$B$8,1))=FA$14))   /   SUM(OFFSET($BO$15,0,0,$B$14,1)) + $B$18/($B$19*$B$19*($DN202&lt;&gt;$DO202) + $B$19*($DN202=$DO202))</f>
        <v>3.7037037037037035E-4</v>
      </c>
      <c r="FB202" s="10" cm="1">
        <f t="array" aca="1" ref="FB202" ca="1">(1-$B$18)*SUMPRODUCT(OFFSET($BO$15,0,0,$B$14,1), 1*(_xlfn._xlws.FILTER(OFFSET($O$15,0,$DN202,$B$8,1),OFFSET($M$15,0,0,$B$8,1))=FB$13), 1*(_xlfn._xlws.FILTER(OFFSET($O$15,0,$DO202,$B$8,1),OFFSET($M$15,0,0,$B$8,1))=FB$14))   /   SUM(OFFSET($BO$15,0,0,$B$14,1)) + $B$18/($B$19*$B$19*($DN202&lt;&gt;$DO202) + $B$19*($DN202=$DO202))</f>
        <v>3.7037037037037035E-4</v>
      </c>
      <c r="FC202" s="10" cm="1">
        <f t="array" aca="1" ref="FC202" ca="1">(1-$B$18)*SUMPRODUCT(OFFSET($BO$15,0,0,$B$14,1), 1*(_xlfn._xlws.FILTER(OFFSET($O$15,0,$DN202,$B$8,1),OFFSET($M$15,0,0,$B$8,1))=FC$13), 1*(_xlfn._xlws.FILTER(OFFSET($O$15,0,$DO202,$B$8,1),OFFSET($M$15,0,0,$B$8,1))=FC$14))   /   SUM(OFFSET($BO$15,0,0,$B$14,1)) + $B$18/($B$19*$B$19*($DN202&lt;&gt;$DO202) + $B$19*($DN202=$DO202))</f>
        <v>3.7037037037037035E-4</v>
      </c>
      <c r="FD202" s="10" cm="1">
        <f t="array" aca="1" ref="FD202" ca="1">(1-$B$18)*SUMPRODUCT(OFFSET($BO$15,0,0,$B$14,1), 1*(_xlfn._xlws.FILTER(OFFSET($O$15,0,$DN202,$B$8,1),OFFSET($M$15,0,0,$B$8,1))=FD$13), 1*(_xlfn._xlws.FILTER(OFFSET($O$15,0,$DO202,$B$8,1),OFFSET($M$15,0,0,$B$8,1))=FD$14))   /   SUM(OFFSET($BO$15,0,0,$B$14,1)) + $B$18/($B$19*$B$19*($DN202&lt;&gt;$DO202) + $B$19*($DN202=$DO202))</f>
        <v>3.7037037037037035E-4</v>
      </c>
      <c r="FE202" s="10" cm="1">
        <f t="array" aca="1" ref="FE202" ca="1">(1-$B$18)*SUMPRODUCT(OFFSET($BO$15,0,0,$B$14,1), 1*(_xlfn._xlws.FILTER(OFFSET($O$15,0,$DN202,$B$8,1),OFFSET($M$15,0,0,$B$8,1))=FE$13), 1*(_xlfn._xlws.FILTER(OFFSET($O$15,0,$DO202,$B$8,1),OFFSET($M$15,0,0,$B$8,1))=FE$14))   /   SUM(OFFSET($BO$15,0,0,$B$14,1)) + $B$18/($B$19*$B$19*($DN202&lt;&gt;$DO202) + $B$19*($DN202=$DO202))</f>
        <v>3.7037037037037035E-4</v>
      </c>
      <c r="FF202" s="10" cm="1">
        <f t="array" aca="1" ref="FF202" ca="1">(1-$B$18)*SUMPRODUCT(OFFSET($BO$15,0,0,$B$14,1), 1*(_xlfn._xlws.FILTER(OFFSET($O$15,0,$DN202,$B$8,1),OFFSET($M$15,0,0,$B$8,1))=FF$13), 1*(_xlfn._xlws.FILTER(OFFSET($O$15,0,$DO202,$B$8,1),OFFSET($M$15,0,0,$B$8,1))=FF$14))   /   SUM(OFFSET($BO$15,0,0,$B$14,1)) + $B$18/($B$19*$B$19*($DN202&lt;&gt;$DO202) + $B$19*($DN202=$DO202))</f>
        <v>3.7037037037037035E-4</v>
      </c>
      <c r="FG202" s="10" cm="1">
        <f t="array" aca="1" ref="FG202" ca="1">(1-$B$18)*SUMPRODUCT(OFFSET($BO$15,0,0,$B$14,1), 1*(_xlfn._xlws.FILTER(OFFSET($O$15,0,$DN202,$B$8,1),OFFSET($M$15,0,0,$B$8,1))=FG$13), 1*(_xlfn._xlws.FILTER(OFFSET($O$15,0,$DO202,$B$8,1),OFFSET($M$15,0,0,$B$8,1))=FG$14))   /   SUM(OFFSET($BO$15,0,0,$B$14,1)) + $B$18/($B$19*$B$19*($DN202&lt;&gt;$DO202) + $B$19*($DN202=$DO202))</f>
        <v>3.7037037037037035E-4</v>
      </c>
      <c r="FH202" s="10" cm="1">
        <f t="array" aca="1" ref="FH202" ca="1">(1-$B$18)*SUMPRODUCT(OFFSET($BO$15,0,0,$B$14,1), 1*(_xlfn._xlws.FILTER(OFFSET($O$15,0,$DN202,$B$8,1),OFFSET($M$15,0,0,$B$8,1))=FH$13), 1*(_xlfn._xlws.FILTER(OFFSET($O$15,0,$DO202,$B$8,1),OFFSET($M$15,0,0,$B$8,1))=FH$14))   /   SUM(OFFSET($BO$15,0,0,$B$14,1)) + $B$18/($B$19*$B$19*($DN202&lt;&gt;$DO202) + $B$19*($DN202=$DO202))</f>
        <v>3.7037037037037035E-4</v>
      </c>
      <c r="FI202" s="10" cm="1">
        <f t="array" aca="1" ref="FI202" ca="1">(1-$B$18)*SUMPRODUCT(OFFSET($BO$15,0,0,$B$14,1), 1*(_xlfn._xlws.FILTER(OFFSET($O$15,0,$DN202,$B$8,1),OFFSET($M$15,0,0,$B$8,1))=FI$13), 1*(_xlfn._xlws.FILTER(OFFSET($O$15,0,$DO202,$B$8,1),OFFSET($M$15,0,0,$B$8,1))=FI$14))   /   SUM(OFFSET($BO$15,0,0,$B$14,1)) + $B$18/($B$19*$B$19*($DN202&lt;&gt;$DO202) + $B$19*($DN202=$DO202))</f>
        <v>3.7037037037037035E-4</v>
      </c>
      <c r="FJ202" s="10" cm="1">
        <f t="array" aca="1" ref="FJ202" ca="1">(1-$B$18)*SUMPRODUCT(OFFSET($BO$15,0,0,$B$14,1), 1*(_xlfn._xlws.FILTER(OFFSET($O$15,0,$DN202,$B$8,1),OFFSET($M$15,0,0,$B$8,1))=FJ$13), 1*(_xlfn._xlws.FILTER(OFFSET($O$15,0,$DO202,$B$8,1),OFFSET($M$15,0,0,$B$8,1))=FJ$14))   /   SUM(OFFSET($BO$15,0,0,$B$14,1)) + $B$18/($B$19*$B$19*($DN202&lt;&gt;$DO202) + $B$19*($DN202=$DO202))</f>
        <v>3.7037037037037035E-4</v>
      </c>
      <c r="FK202" s="10" cm="1">
        <f t="array" aca="1" ref="FK202" ca="1">(1-$B$18)*SUMPRODUCT(OFFSET($BO$15,0,0,$B$14,1), 1*(_xlfn._xlws.FILTER(OFFSET($O$15,0,$DN202,$B$8,1),OFFSET($M$15,0,0,$B$8,1))=FK$13), 1*(_xlfn._xlws.FILTER(OFFSET($O$15,0,$DO202,$B$8,1),OFFSET($M$15,0,0,$B$8,1))=FK$14))   /   SUM(OFFSET($BO$15,0,0,$B$14,1)) + $B$18/($B$19*$B$19*($DN202&lt;&gt;$DO202) + $B$19*($DN202=$DO202))</f>
        <v>3.7037037037037035E-4</v>
      </c>
      <c r="FL202" s="10" cm="1">
        <f t="array" aca="1" ref="FL202" ca="1">(1-$B$18)*SUMPRODUCT(OFFSET($BO$15,0,0,$B$14,1), 1*(_xlfn._xlws.FILTER(OFFSET($O$15,0,$DN202,$B$8,1),OFFSET($M$15,0,0,$B$8,1))=FL$13), 1*(_xlfn._xlws.FILTER(OFFSET($O$15,0,$DO202,$B$8,1),OFFSET($M$15,0,0,$B$8,1))=FL$14))   /   SUM(OFFSET($BO$15,0,0,$B$14,1)) + $B$18/($B$19*$B$19*($DN202&lt;&gt;$DO202) + $B$19*($DN202=$DO202))</f>
        <v>3.7037037037037035E-4</v>
      </c>
      <c r="FM202" s="10" cm="1">
        <f t="array" aca="1" ref="FM202" ca="1">(1-$B$18)*SUMPRODUCT(OFFSET($BO$15,0,0,$B$14,1), 1*(_xlfn._xlws.FILTER(OFFSET($O$15,0,$DN202,$B$8,1),OFFSET($M$15,0,0,$B$8,1))=FM$13), 1*(_xlfn._xlws.FILTER(OFFSET($O$15,0,$DO202,$B$8,1),OFFSET($M$15,0,0,$B$8,1))=FM$14))   /   SUM(OFFSET($BO$15,0,0,$B$14,1)) + $B$18/($B$19*$B$19*($DN202&lt;&gt;$DO202) + $B$19*($DN202=$DO202))</f>
        <v>3.7037037037037035E-4</v>
      </c>
      <c r="FN202" s="10" cm="1">
        <f t="array" aca="1" ref="FN202" ca="1">(1-$B$18)*SUMPRODUCT(OFFSET($BO$15,0,0,$B$14,1), 1*(_xlfn._xlws.FILTER(OFFSET($O$15,0,$DN202,$B$8,1),OFFSET($M$15,0,0,$B$8,1))=FN$13), 1*(_xlfn._xlws.FILTER(OFFSET($O$15,0,$DO202,$B$8,1),OFFSET($M$15,0,0,$B$8,1))=FN$14))   /   SUM(OFFSET($BO$15,0,0,$B$14,1)) + $B$18/($B$19*$B$19*($DN202&lt;&gt;$DO202) + $B$19*($DN202=$DO202))</f>
        <v>3.7037037037037035E-4</v>
      </c>
      <c r="FO202" s="10" cm="1">
        <f t="array" aca="1" ref="FO202" ca="1">(1-$B$18)*SUMPRODUCT(OFFSET($BO$15,0,0,$B$14,1), 1*(_xlfn._xlws.FILTER(OFFSET($O$15,0,$DN202,$B$8,1),OFFSET($M$15,0,0,$B$8,1))=FO$13), 1*(_xlfn._xlws.FILTER(OFFSET($O$15,0,$DO202,$B$8,1),OFFSET($M$15,0,0,$B$8,1))=FO$14))   /   SUM(OFFSET($BO$15,0,0,$B$14,1)) + $B$18/($B$19*$B$19*($DN202&lt;&gt;$DO202) + $B$19*($DN202=$DO202))</f>
        <v>0.97037037037037033</v>
      </c>
      <c r="FP202" s="10" cm="1">
        <f t="array" aca="1" ref="FP202" ca="1">(1-$B$18)*SUMPRODUCT(OFFSET($BO$15,0,0,$B$14,1), 1*(_xlfn._xlws.FILTER(OFFSET($O$15,0,$DN202,$B$8,1),OFFSET($M$15,0,0,$B$8,1))=FP$13), 1*(_xlfn._xlws.FILTER(OFFSET($O$15,0,$DO202,$B$8,1),OFFSET($M$15,0,0,$B$8,1))=FP$14))   /   SUM(OFFSET($BO$15,0,0,$B$14,1)) + $B$18/($B$19*$B$19*($DN202&lt;&gt;$DO202) + $B$19*($DN202=$DO202))</f>
        <v>3.7037037037037035E-4</v>
      </c>
      <c r="FQ202" s="10" cm="1">
        <f t="array" aca="1" ref="FQ202" ca="1">(1-$B$18)*SUMPRODUCT(OFFSET($BO$15,0,0,$B$14,1), 1*(_xlfn._xlws.FILTER(OFFSET($O$15,0,$DN202,$B$8,1),OFFSET($M$15,0,0,$B$8,1))=FQ$13), 1*(_xlfn._xlws.FILTER(OFFSET($O$15,0,$DO202,$B$8,1),OFFSET($M$15,0,0,$B$8,1))=FQ$14))   /   SUM(OFFSET($BO$15,0,0,$B$14,1)) + $B$18/($B$19*$B$19*($DN202&lt;&gt;$DO202) + $B$19*($DN202=$DO202))</f>
        <v>3.7037037037037035E-4</v>
      </c>
      <c r="FR202" s="10" cm="1">
        <f t="array" aca="1" ref="FR202" ca="1">(1-$B$18)*SUMPRODUCT(OFFSET($BO$15,0,0,$B$14,1), 1*(_xlfn._xlws.FILTER(OFFSET($O$15,0,$DN202,$B$8,1),OFFSET($M$15,0,0,$B$8,1))=FR$13), 1*(_xlfn._xlws.FILTER(OFFSET($O$15,0,$DO202,$B$8,1),OFFSET($M$15,0,0,$B$8,1))=FR$14))   /   SUM(OFFSET($BO$15,0,0,$B$14,1)) + $B$18/($B$19*$B$19*($DN202&lt;&gt;$DO202) + $B$19*($DN202=$DO202))</f>
        <v>3.7037037037037035E-4</v>
      </c>
      <c r="FS202" s="10" cm="1">
        <f t="array" aca="1" ref="FS202" ca="1">(1-$B$18)*SUMPRODUCT(OFFSET($BO$15,0,0,$B$14,1), 1*(_xlfn._xlws.FILTER(OFFSET($O$15,0,$DN202,$B$8,1),OFFSET($M$15,0,0,$B$8,1))=FS$13), 1*(_xlfn._xlws.FILTER(OFFSET($O$15,0,$DO202,$B$8,1),OFFSET($M$15,0,0,$B$8,1))=FS$14))   /   SUM(OFFSET($BO$15,0,0,$B$14,1)) + $B$18/($B$19*$B$19*($DN202&lt;&gt;$DO202) + $B$19*($DN202=$DO202))</f>
        <v>3.7037037037037035E-4</v>
      </c>
      <c r="FT202" s="10" cm="1">
        <f t="array" aca="1" ref="FT202" ca="1">(1-$B$18)*SUMPRODUCT(OFFSET($BO$15,0,0,$B$14,1), 1*(_xlfn._xlws.FILTER(OFFSET($O$15,0,$DN202,$B$8,1),OFFSET($M$15,0,0,$B$8,1))=FT$13), 1*(_xlfn._xlws.FILTER(OFFSET($O$15,0,$DO202,$B$8,1),OFFSET($M$15,0,0,$B$8,1))=FT$14))   /   SUM(OFFSET($BO$15,0,0,$B$14,1)) + $B$18/($B$19*$B$19*($DN202&lt;&gt;$DO202) + $B$19*($DN202=$DO202))</f>
        <v>3.7037037037037035E-4</v>
      </c>
      <c r="FU202" s="10" cm="1">
        <f t="array" aca="1" ref="FU202" ca="1">(1-$B$18)*SUMPRODUCT(OFFSET($BO$15,0,0,$B$14,1), 1*(_xlfn._xlws.FILTER(OFFSET($O$15,0,$DN202,$B$8,1),OFFSET($M$15,0,0,$B$8,1))=FU$13), 1*(_xlfn._xlws.FILTER(OFFSET($O$15,0,$DO202,$B$8,1),OFFSET($M$15,0,0,$B$8,1))=FU$14))   /   SUM(OFFSET($BO$15,0,0,$B$14,1)) + $B$18/($B$19*$B$19*($DN202&lt;&gt;$DO202) + $B$19*($DN202=$DO202))</f>
        <v>3.7037037037037035E-4</v>
      </c>
      <c r="FV202" s="10" cm="1">
        <f t="array" aca="1" ref="FV202" ca="1">(1-$B$18)*SUMPRODUCT(OFFSET($BO$15,0,0,$B$14,1), 1*(_xlfn._xlws.FILTER(OFFSET($O$15,0,$DN202,$B$8,1),OFFSET($M$15,0,0,$B$8,1))=FV$13), 1*(_xlfn._xlws.FILTER(OFFSET($O$15,0,$DO202,$B$8,1),OFFSET($M$15,0,0,$B$8,1))=FV$14))   /   SUM(OFFSET($BO$15,0,0,$B$14,1)) + $B$18/($B$19*$B$19*($DN202&lt;&gt;$DO202) + $B$19*($DN202=$DO202))</f>
        <v>3.7037037037037035E-4</v>
      </c>
      <c r="FW202" s="10" cm="1">
        <f t="array" aca="1" ref="FW202" ca="1">(1-$B$18)*SUMPRODUCT(OFFSET($BO$15,0,0,$B$14,1), 1*(_xlfn._xlws.FILTER(OFFSET($O$15,0,$DN202,$B$8,1),OFFSET($M$15,0,0,$B$8,1))=FW$13), 1*(_xlfn._xlws.FILTER(OFFSET($O$15,0,$DO202,$B$8,1),OFFSET($M$15,0,0,$B$8,1))=FW$14))   /   SUM(OFFSET($BO$15,0,0,$B$14,1)) + $B$18/($B$19*$B$19*($DN202&lt;&gt;$DO202) + $B$19*($DN202=$DO202))</f>
        <v>3.7037037037037035E-4</v>
      </c>
      <c r="FX202" s="10" cm="1">
        <f t="array" aca="1" ref="FX202" ca="1">(1-$B$18)*SUMPRODUCT(OFFSET($BO$15,0,0,$B$14,1), 1*(_xlfn._xlws.FILTER(OFFSET($O$15,0,$DN202,$B$8,1),OFFSET($M$15,0,0,$B$8,1))=FX$13), 1*(_xlfn._xlws.FILTER(OFFSET($O$15,0,$DO202,$B$8,1),OFFSET($M$15,0,0,$B$8,1))=FX$14))   /   SUM(OFFSET($BO$15,0,0,$B$14,1)) + $B$18/($B$19*$B$19*($DN202&lt;&gt;$DO202) + $B$19*($DN202=$DO202))</f>
        <v>3.7037037037037035E-4</v>
      </c>
      <c r="FY202" s="10" cm="1">
        <f t="array" aca="1" ref="FY202" ca="1">(1-$B$18)*SUMPRODUCT(OFFSET($BO$15,0,0,$B$14,1), 1*(_xlfn._xlws.FILTER(OFFSET($O$15,0,$DN202,$B$8,1),OFFSET($M$15,0,0,$B$8,1))=FY$13), 1*(_xlfn._xlws.FILTER(OFFSET($O$15,0,$DO202,$B$8,1),OFFSET($M$15,0,0,$B$8,1))=FY$14))   /   SUM(OFFSET($BO$15,0,0,$B$14,1)) + $B$18/($B$19*$B$19*($DN202&lt;&gt;$DO202) + $B$19*($DN202=$DO202))</f>
        <v>3.7037037037037035E-4</v>
      </c>
      <c r="FZ202" s="10" cm="1">
        <f t="array" aca="1" ref="FZ202" ca="1">(1-$B$18)*SUMPRODUCT(OFFSET($BO$15,0,0,$B$14,1), 1*(_xlfn._xlws.FILTER(OFFSET($O$15,0,$DN202,$B$8,1),OFFSET($M$15,0,0,$B$8,1))=FZ$13), 1*(_xlfn._xlws.FILTER(OFFSET($O$15,0,$DO202,$B$8,1),OFFSET($M$15,0,0,$B$8,1))=FZ$14))   /   SUM(OFFSET($BO$15,0,0,$B$14,1)) + $B$18/($B$19*$B$19*($DN202&lt;&gt;$DO202) + $B$19*($DN202=$DO202))</f>
        <v>3.7037037037037035E-4</v>
      </c>
      <c r="GA202" s="10" cm="1">
        <f t="array" aca="1" ref="GA202" ca="1">(1-$B$18)*SUMPRODUCT(OFFSET($BO$15,0,0,$B$14,1), 1*(_xlfn._xlws.FILTER(OFFSET($O$15,0,$DN202,$B$8,1),OFFSET($M$15,0,0,$B$8,1))=GA$13), 1*(_xlfn._xlws.FILTER(OFFSET($O$15,0,$DO202,$B$8,1),OFFSET($M$15,0,0,$B$8,1))=GA$14))   /   SUM(OFFSET($BO$15,0,0,$B$14,1)) + $B$18/($B$19*$B$19*($DN202&lt;&gt;$DO202) + $B$19*($DN202=$DO202))</f>
        <v>3.7037037037037035E-4</v>
      </c>
    </row>
    <row r="203" spans="118:183" x14ac:dyDescent="0.2">
      <c r="DN203" cm="1">
        <f t="array" aca="1" ref="DN203" ca="1">INDEX(_xlfn.ANCHORARRAY($CP$15), 1 + INT((ROWS($DO$15:$DO203) - 1) / ROWS(_xlfn.ANCHORARRAY($CP$15))))</f>
        <v>9</v>
      </c>
      <c r="DO203" cm="1">
        <f t="array" aca="1" ref="DO203" ca="1">INDEX(_xlfn.ANCHORARRAY($CP$15),1+MOD(ROWS($DO$15:$DO203)-1,ROWS(_xlfn.ANCHORARRAY($CP$15))))</f>
        <v>20</v>
      </c>
      <c r="DP203" s="10" cm="1">
        <f t="array" aca="1" ref="DP203" ca="1">(1-$B$18)*SUMPRODUCT(OFFSET($BO$15,0,0,$B$14,1), 1*(_xlfn._xlws.FILTER(OFFSET($O$15,0,$DN203,$B$8,1),OFFSET($M$15,0,0,$B$8,1))=DP$13), 1*(_xlfn._xlws.FILTER(OFFSET($O$15,0,$DO203,$B$8,1),OFFSET($M$15,0,0,$B$8,1))=DP$14))   /   SUM(OFFSET($BO$15,0,0,$B$14,1)) + $B$18/($B$19*$B$19*($DN203&lt;&gt;$DO203) + $B$19*($DN203=$DO203))</f>
        <v>3.7037037037037035E-4</v>
      </c>
      <c r="DQ203" s="10" cm="1">
        <f t="array" aca="1" ref="DQ203" ca="1">(1-$B$18)*SUMPRODUCT(OFFSET($BO$15,0,0,$B$14,1), 1*(_xlfn._xlws.FILTER(OFFSET($O$15,0,$DN203,$B$8,1),OFFSET($M$15,0,0,$B$8,1))=DQ$13), 1*(_xlfn._xlws.FILTER(OFFSET($O$15,0,$DO203,$B$8,1),OFFSET($M$15,0,0,$B$8,1))=DQ$14))   /   SUM(OFFSET($BO$15,0,0,$B$14,1)) + $B$18/($B$19*$B$19*($DN203&lt;&gt;$DO203) + $B$19*($DN203=$DO203))</f>
        <v>3.7037037037037035E-4</v>
      </c>
      <c r="DR203" s="10" cm="1">
        <f t="array" aca="1" ref="DR203" ca="1">(1-$B$18)*SUMPRODUCT(OFFSET($BO$15,0,0,$B$14,1), 1*(_xlfn._xlws.FILTER(OFFSET($O$15,0,$DN203,$B$8,1),OFFSET($M$15,0,0,$B$8,1))=DR$13), 1*(_xlfn._xlws.FILTER(OFFSET($O$15,0,$DO203,$B$8,1),OFFSET($M$15,0,0,$B$8,1))=DR$14))   /   SUM(OFFSET($BO$15,0,0,$B$14,1)) + $B$18/($B$19*$B$19*($DN203&lt;&gt;$DO203) + $B$19*($DN203=$DO203))</f>
        <v>3.7037037037037035E-4</v>
      </c>
      <c r="DS203" s="10" cm="1">
        <f t="array" aca="1" ref="DS203" ca="1">(1-$B$18)*SUMPRODUCT(OFFSET($BO$15,0,0,$B$14,1), 1*(_xlfn._xlws.FILTER(OFFSET($O$15,0,$DN203,$B$8,1),OFFSET($M$15,0,0,$B$8,1))=DS$13), 1*(_xlfn._xlws.FILTER(OFFSET($O$15,0,$DO203,$B$8,1),OFFSET($M$15,0,0,$B$8,1))=DS$14))   /   SUM(OFFSET($BO$15,0,0,$B$14,1)) + $B$18/($B$19*$B$19*($DN203&lt;&gt;$DO203) + $B$19*($DN203=$DO203))</f>
        <v>3.7037037037037035E-4</v>
      </c>
      <c r="DT203" s="10" cm="1">
        <f t="array" aca="1" ref="DT203" ca="1">(1-$B$18)*SUMPRODUCT(OFFSET($BO$15,0,0,$B$14,1), 1*(_xlfn._xlws.FILTER(OFFSET($O$15,0,$DN203,$B$8,1),OFFSET($M$15,0,0,$B$8,1))=DT$13), 1*(_xlfn._xlws.FILTER(OFFSET($O$15,0,$DO203,$B$8,1),OFFSET($M$15,0,0,$B$8,1))=DT$14))   /   SUM(OFFSET($BO$15,0,0,$B$14,1)) + $B$18/($B$19*$B$19*($DN203&lt;&gt;$DO203) + $B$19*($DN203=$DO203))</f>
        <v>3.7037037037037035E-4</v>
      </c>
      <c r="DU203" s="10" cm="1">
        <f t="array" aca="1" ref="DU203" ca="1">(1-$B$18)*SUMPRODUCT(OFFSET($BO$15,0,0,$B$14,1), 1*(_xlfn._xlws.FILTER(OFFSET($O$15,0,$DN203,$B$8,1),OFFSET($M$15,0,0,$B$8,1))=DU$13), 1*(_xlfn._xlws.FILTER(OFFSET($O$15,0,$DO203,$B$8,1),OFFSET($M$15,0,0,$B$8,1))=DU$14))   /   SUM(OFFSET($BO$15,0,0,$B$14,1)) + $B$18/($B$19*$B$19*($DN203&lt;&gt;$DO203) + $B$19*($DN203=$DO203))</f>
        <v>3.7037037037037035E-4</v>
      </c>
      <c r="DV203" s="10" cm="1">
        <f t="array" aca="1" ref="DV203" ca="1">(1-$B$18)*SUMPRODUCT(OFFSET($BO$15,0,0,$B$14,1), 1*(_xlfn._xlws.FILTER(OFFSET($O$15,0,$DN203,$B$8,1),OFFSET($M$15,0,0,$B$8,1))=DV$13), 1*(_xlfn._xlws.FILTER(OFFSET($O$15,0,$DO203,$B$8,1),OFFSET($M$15,0,0,$B$8,1))=DV$14))   /   SUM(OFFSET($BO$15,0,0,$B$14,1)) + $B$18/($B$19*$B$19*($DN203&lt;&gt;$DO203) + $B$19*($DN203=$DO203))</f>
        <v>3.7037037037037035E-4</v>
      </c>
      <c r="DW203" s="10" cm="1">
        <f t="array" aca="1" ref="DW203" ca="1">(1-$B$18)*SUMPRODUCT(OFFSET($BO$15,0,0,$B$14,1), 1*(_xlfn._xlws.FILTER(OFFSET($O$15,0,$DN203,$B$8,1),OFFSET($M$15,0,0,$B$8,1))=DW$13), 1*(_xlfn._xlws.FILTER(OFFSET($O$15,0,$DO203,$B$8,1),OFFSET($M$15,0,0,$B$8,1))=DW$14))   /   SUM(OFFSET($BO$15,0,0,$B$14,1)) + $B$18/($B$19*$B$19*($DN203&lt;&gt;$DO203) + $B$19*($DN203=$DO203))</f>
        <v>3.7037037037037035E-4</v>
      </c>
      <c r="DX203" s="10" cm="1">
        <f t="array" aca="1" ref="DX203" ca="1">(1-$B$18)*SUMPRODUCT(OFFSET($BO$15,0,0,$B$14,1), 1*(_xlfn._xlws.FILTER(OFFSET($O$15,0,$DN203,$B$8,1),OFFSET($M$15,0,0,$B$8,1))=DX$13), 1*(_xlfn._xlws.FILTER(OFFSET($O$15,0,$DO203,$B$8,1),OFFSET($M$15,0,0,$B$8,1))=DX$14))   /   SUM(OFFSET($BO$15,0,0,$B$14,1)) + $B$18/($B$19*$B$19*($DN203&lt;&gt;$DO203) + $B$19*($DN203=$DO203))</f>
        <v>3.7037037037037035E-4</v>
      </c>
      <c r="DY203" s="10" cm="1">
        <f t="array" aca="1" ref="DY203" ca="1">(1-$B$18)*SUMPRODUCT(OFFSET($BO$15,0,0,$B$14,1), 1*(_xlfn._xlws.FILTER(OFFSET($O$15,0,$DN203,$B$8,1),OFFSET($M$15,0,0,$B$8,1))=DY$13), 1*(_xlfn._xlws.FILTER(OFFSET($O$15,0,$DO203,$B$8,1),OFFSET($M$15,0,0,$B$8,1))=DY$14))   /   SUM(OFFSET($BO$15,0,0,$B$14,1)) + $B$18/($B$19*$B$19*($DN203&lt;&gt;$DO203) + $B$19*($DN203=$DO203))</f>
        <v>3.7037037037037035E-4</v>
      </c>
      <c r="DZ203" s="10" cm="1">
        <f t="array" aca="1" ref="DZ203" ca="1">(1-$B$18)*SUMPRODUCT(OFFSET($BO$15,0,0,$B$14,1), 1*(_xlfn._xlws.FILTER(OFFSET($O$15,0,$DN203,$B$8,1),OFFSET($M$15,0,0,$B$8,1))=DZ$13), 1*(_xlfn._xlws.FILTER(OFFSET($O$15,0,$DO203,$B$8,1),OFFSET($M$15,0,0,$B$8,1))=DZ$14))   /   SUM(OFFSET($BO$15,0,0,$B$14,1)) + $B$18/($B$19*$B$19*($DN203&lt;&gt;$DO203) + $B$19*($DN203=$DO203))</f>
        <v>3.7037037037037035E-4</v>
      </c>
      <c r="EA203" s="10" cm="1">
        <f t="array" aca="1" ref="EA203" ca="1">(1-$B$18)*SUMPRODUCT(OFFSET($BO$15,0,0,$B$14,1), 1*(_xlfn._xlws.FILTER(OFFSET($O$15,0,$DN203,$B$8,1),OFFSET($M$15,0,0,$B$8,1))=EA$13), 1*(_xlfn._xlws.FILTER(OFFSET($O$15,0,$DO203,$B$8,1),OFFSET($M$15,0,0,$B$8,1))=EA$14))   /   SUM(OFFSET($BO$15,0,0,$B$14,1)) + $B$18/($B$19*$B$19*($DN203&lt;&gt;$DO203) + $B$19*($DN203=$DO203))</f>
        <v>3.7037037037037035E-4</v>
      </c>
      <c r="EB203" s="10" cm="1">
        <f t="array" aca="1" ref="EB203" ca="1">(1-$B$18)*SUMPRODUCT(OFFSET($BO$15,0,0,$B$14,1), 1*(_xlfn._xlws.FILTER(OFFSET($O$15,0,$DN203,$B$8,1),OFFSET($M$15,0,0,$B$8,1))=EB$13), 1*(_xlfn._xlws.FILTER(OFFSET($O$15,0,$DO203,$B$8,1),OFFSET($M$15,0,0,$B$8,1))=EB$14))   /   SUM(OFFSET($BO$15,0,0,$B$14,1)) + $B$18/($B$19*$B$19*($DN203&lt;&gt;$DO203) + $B$19*($DN203=$DO203))</f>
        <v>3.7037037037037035E-4</v>
      </c>
      <c r="EC203" s="10" cm="1">
        <f t="array" aca="1" ref="EC203" ca="1">(1-$B$18)*SUMPRODUCT(OFFSET($BO$15,0,0,$B$14,1), 1*(_xlfn._xlws.FILTER(OFFSET($O$15,0,$DN203,$B$8,1),OFFSET($M$15,0,0,$B$8,1))=EC$13), 1*(_xlfn._xlws.FILTER(OFFSET($O$15,0,$DO203,$B$8,1),OFFSET($M$15,0,0,$B$8,1))=EC$14))   /   SUM(OFFSET($BO$15,0,0,$B$14,1)) + $B$18/($B$19*$B$19*($DN203&lt;&gt;$DO203) + $B$19*($DN203=$DO203))</f>
        <v>3.7037037037037035E-4</v>
      </c>
      <c r="ED203" s="10" cm="1">
        <f t="array" aca="1" ref="ED203" ca="1">(1-$B$18)*SUMPRODUCT(OFFSET($BO$15,0,0,$B$14,1), 1*(_xlfn._xlws.FILTER(OFFSET($O$15,0,$DN203,$B$8,1),OFFSET($M$15,0,0,$B$8,1))=ED$13), 1*(_xlfn._xlws.FILTER(OFFSET($O$15,0,$DO203,$B$8,1),OFFSET($M$15,0,0,$B$8,1))=ED$14))   /   SUM(OFFSET($BO$15,0,0,$B$14,1)) + $B$18/($B$19*$B$19*($DN203&lt;&gt;$DO203) + $B$19*($DN203=$DO203))</f>
        <v>3.7037037037037035E-4</v>
      </c>
      <c r="EE203" s="10" cm="1">
        <f t="array" aca="1" ref="EE203" ca="1">(1-$B$18)*SUMPRODUCT(OFFSET($BO$15,0,0,$B$14,1), 1*(_xlfn._xlws.FILTER(OFFSET($O$15,0,$DN203,$B$8,1),OFFSET($M$15,0,0,$B$8,1))=EE$13), 1*(_xlfn._xlws.FILTER(OFFSET($O$15,0,$DO203,$B$8,1),OFFSET($M$15,0,0,$B$8,1))=EE$14))   /   SUM(OFFSET($BO$15,0,0,$B$14,1)) + $B$18/($B$19*$B$19*($DN203&lt;&gt;$DO203) + $B$19*($DN203=$DO203))</f>
        <v>3.7037037037037035E-4</v>
      </c>
      <c r="EF203" s="10" cm="1">
        <f t="array" aca="1" ref="EF203" ca="1">(1-$B$18)*SUMPRODUCT(OFFSET($BO$15,0,0,$B$14,1), 1*(_xlfn._xlws.FILTER(OFFSET($O$15,0,$DN203,$B$8,1),OFFSET($M$15,0,0,$B$8,1))=EF$13), 1*(_xlfn._xlws.FILTER(OFFSET($O$15,0,$DO203,$B$8,1),OFFSET($M$15,0,0,$B$8,1))=EF$14))   /   SUM(OFFSET($BO$15,0,0,$B$14,1)) + $B$18/($B$19*$B$19*($DN203&lt;&gt;$DO203) + $B$19*($DN203=$DO203))</f>
        <v>3.7037037037037035E-4</v>
      </c>
      <c r="EG203" s="10" cm="1">
        <f t="array" aca="1" ref="EG203" ca="1">(1-$B$18)*SUMPRODUCT(OFFSET($BO$15,0,0,$B$14,1), 1*(_xlfn._xlws.FILTER(OFFSET($O$15,0,$DN203,$B$8,1),OFFSET($M$15,0,0,$B$8,1))=EG$13), 1*(_xlfn._xlws.FILTER(OFFSET($O$15,0,$DO203,$B$8,1),OFFSET($M$15,0,0,$B$8,1))=EG$14))   /   SUM(OFFSET($BO$15,0,0,$B$14,1)) + $B$18/($B$19*$B$19*($DN203&lt;&gt;$DO203) + $B$19*($DN203=$DO203))</f>
        <v>3.7037037037037035E-4</v>
      </c>
      <c r="EH203" s="10" cm="1">
        <f t="array" aca="1" ref="EH203" ca="1">(1-$B$18)*SUMPRODUCT(OFFSET($BO$15,0,0,$B$14,1), 1*(_xlfn._xlws.FILTER(OFFSET($O$15,0,$DN203,$B$8,1),OFFSET($M$15,0,0,$B$8,1))=EH$13), 1*(_xlfn._xlws.FILTER(OFFSET($O$15,0,$DO203,$B$8,1),OFFSET($M$15,0,0,$B$8,1))=EH$14))   /   SUM(OFFSET($BO$15,0,0,$B$14,1)) + $B$18/($B$19*$B$19*($DN203&lt;&gt;$DO203) + $B$19*($DN203=$DO203))</f>
        <v>3.7037037037037035E-4</v>
      </c>
      <c r="EI203" s="10" cm="1">
        <f t="array" aca="1" ref="EI203" ca="1">(1-$B$18)*SUMPRODUCT(OFFSET($BO$15,0,0,$B$14,1), 1*(_xlfn._xlws.FILTER(OFFSET($O$15,0,$DN203,$B$8,1),OFFSET($M$15,0,0,$B$8,1))=EI$13), 1*(_xlfn._xlws.FILTER(OFFSET($O$15,0,$DO203,$B$8,1),OFFSET($M$15,0,0,$B$8,1))=EI$14))   /   SUM(OFFSET($BO$15,0,0,$B$14,1)) + $B$18/($B$19*$B$19*($DN203&lt;&gt;$DO203) + $B$19*($DN203=$DO203))</f>
        <v>3.7037037037037035E-4</v>
      </c>
      <c r="EJ203" s="10" cm="1">
        <f t="array" aca="1" ref="EJ203" ca="1">(1-$B$18)*SUMPRODUCT(OFFSET($BO$15,0,0,$B$14,1), 1*(_xlfn._xlws.FILTER(OFFSET($O$15,0,$DN203,$B$8,1),OFFSET($M$15,0,0,$B$8,1))=EJ$13), 1*(_xlfn._xlws.FILTER(OFFSET($O$15,0,$DO203,$B$8,1),OFFSET($M$15,0,0,$B$8,1))=EJ$14))   /   SUM(OFFSET($BO$15,0,0,$B$14,1)) + $B$18/($B$19*$B$19*($DN203&lt;&gt;$DO203) + $B$19*($DN203=$DO203))</f>
        <v>3.7037037037037035E-4</v>
      </c>
      <c r="EK203" s="10" cm="1">
        <f t="array" aca="1" ref="EK203" ca="1">(1-$B$18)*SUMPRODUCT(OFFSET($BO$15,0,0,$B$14,1), 1*(_xlfn._xlws.FILTER(OFFSET($O$15,0,$DN203,$B$8,1),OFFSET($M$15,0,0,$B$8,1))=EK$13), 1*(_xlfn._xlws.FILTER(OFFSET($O$15,0,$DO203,$B$8,1),OFFSET($M$15,0,0,$B$8,1))=EK$14))   /   SUM(OFFSET($BO$15,0,0,$B$14,1)) + $B$18/($B$19*$B$19*($DN203&lt;&gt;$DO203) + $B$19*($DN203=$DO203))</f>
        <v>3.7037037037037035E-4</v>
      </c>
      <c r="EL203" s="10" cm="1">
        <f t="array" aca="1" ref="EL203" ca="1">(1-$B$18)*SUMPRODUCT(OFFSET($BO$15,0,0,$B$14,1), 1*(_xlfn._xlws.FILTER(OFFSET($O$15,0,$DN203,$B$8,1),OFFSET($M$15,0,0,$B$8,1))=EL$13), 1*(_xlfn._xlws.FILTER(OFFSET($O$15,0,$DO203,$B$8,1),OFFSET($M$15,0,0,$B$8,1))=EL$14))   /   SUM(OFFSET($BO$15,0,0,$B$14,1)) + $B$18/($B$19*$B$19*($DN203&lt;&gt;$DO203) + $B$19*($DN203=$DO203))</f>
        <v>3.7037037037037035E-4</v>
      </c>
      <c r="EM203" s="10" cm="1">
        <f t="array" aca="1" ref="EM203" ca="1">(1-$B$18)*SUMPRODUCT(OFFSET($BO$15,0,0,$B$14,1), 1*(_xlfn._xlws.FILTER(OFFSET($O$15,0,$DN203,$B$8,1),OFFSET($M$15,0,0,$B$8,1))=EM$13), 1*(_xlfn._xlws.FILTER(OFFSET($O$15,0,$DO203,$B$8,1),OFFSET($M$15,0,0,$B$8,1))=EM$14))   /   SUM(OFFSET($BO$15,0,0,$B$14,1)) + $B$18/($B$19*$B$19*($DN203&lt;&gt;$DO203) + $B$19*($DN203=$DO203))</f>
        <v>3.7037037037037035E-4</v>
      </c>
      <c r="EN203" s="10" cm="1">
        <f t="array" aca="1" ref="EN203" ca="1">(1-$B$18)*SUMPRODUCT(OFFSET($BO$15,0,0,$B$14,1), 1*(_xlfn._xlws.FILTER(OFFSET($O$15,0,$DN203,$B$8,1),OFFSET($M$15,0,0,$B$8,1))=EN$13), 1*(_xlfn._xlws.FILTER(OFFSET($O$15,0,$DO203,$B$8,1),OFFSET($M$15,0,0,$B$8,1))=EN$14))   /   SUM(OFFSET($BO$15,0,0,$B$14,1)) + $B$18/($B$19*$B$19*($DN203&lt;&gt;$DO203) + $B$19*($DN203=$DO203))</f>
        <v>3.7037037037037035E-4</v>
      </c>
      <c r="EO203" s="10" cm="1">
        <f t="array" aca="1" ref="EO203" ca="1">(1-$B$18)*SUMPRODUCT(OFFSET($BO$15,0,0,$B$14,1), 1*(_xlfn._xlws.FILTER(OFFSET($O$15,0,$DN203,$B$8,1),OFFSET($M$15,0,0,$B$8,1))=EO$13), 1*(_xlfn._xlws.FILTER(OFFSET($O$15,0,$DO203,$B$8,1),OFFSET($M$15,0,0,$B$8,1))=EO$14))   /   SUM(OFFSET($BO$15,0,0,$B$14,1)) + $B$18/($B$19*$B$19*($DN203&lt;&gt;$DO203) + $B$19*($DN203=$DO203))</f>
        <v>3.7037037037037035E-4</v>
      </c>
      <c r="EP203" s="10" cm="1">
        <f t="array" aca="1" ref="EP203" ca="1">(1-$B$18)*SUMPRODUCT(OFFSET($BO$15,0,0,$B$14,1), 1*(_xlfn._xlws.FILTER(OFFSET($O$15,0,$DN203,$B$8,1),OFFSET($M$15,0,0,$B$8,1))=EP$13), 1*(_xlfn._xlws.FILTER(OFFSET($O$15,0,$DO203,$B$8,1),OFFSET($M$15,0,0,$B$8,1))=EP$14))   /   SUM(OFFSET($BO$15,0,0,$B$14,1)) + $B$18/($B$19*$B$19*($DN203&lt;&gt;$DO203) + $B$19*($DN203=$DO203))</f>
        <v>3.7037037037037035E-4</v>
      </c>
      <c r="EQ203" s="10" cm="1">
        <f t="array" aca="1" ref="EQ203" ca="1">(1-$B$18)*SUMPRODUCT(OFFSET($BO$15,0,0,$B$14,1), 1*(_xlfn._xlws.FILTER(OFFSET($O$15,0,$DN203,$B$8,1),OFFSET($M$15,0,0,$B$8,1))=EQ$13), 1*(_xlfn._xlws.FILTER(OFFSET($O$15,0,$DO203,$B$8,1),OFFSET($M$15,0,0,$B$8,1))=EQ$14))   /   SUM(OFFSET($BO$15,0,0,$B$14,1)) + $B$18/($B$19*$B$19*($DN203&lt;&gt;$DO203) + $B$19*($DN203=$DO203))</f>
        <v>3.7037037037037035E-4</v>
      </c>
      <c r="ER203" s="10" cm="1">
        <f t="array" aca="1" ref="ER203" ca="1">(1-$B$18)*SUMPRODUCT(OFFSET($BO$15,0,0,$B$14,1), 1*(_xlfn._xlws.FILTER(OFFSET($O$15,0,$DN203,$B$8,1),OFFSET($M$15,0,0,$B$8,1))=ER$13), 1*(_xlfn._xlws.FILTER(OFFSET($O$15,0,$DO203,$B$8,1),OFFSET($M$15,0,0,$B$8,1))=ER$14))   /   SUM(OFFSET($BO$15,0,0,$B$14,1)) + $B$18/($B$19*$B$19*($DN203&lt;&gt;$DO203) + $B$19*($DN203=$DO203))</f>
        <v>3.7037037037037035E-4</v>
      </c>
      <c r="ES203" s="10" cm="1">
        <f t="array" aca="1" ref="ES203" ca="1">(1-$B$18)*SUMPRODUCT(OFFSET($BO$15,0,0,$B$14,1), 1*(_xlfn._xlws.FILTER(OFFSET($O$15,0,$DN203,$B$8,1),OFFSET($M$15,0,0,$B$8,1))=ES$13), 1*(_xlfn._xlws.FILTER(OFFSET($O$15,0,$DO203,$B$8,1),OFFSET($M$15,0,0,$B$8,1))=ES$14))   /   SUM(OFFSET($BO$15,0,0,$B$14,1)) + $B$18/($B$19*$B$19*($DN203&lt;&gt;$DO203) + $B$19*($DN203=$DO203))</f>
        <v>3.7037037037037035E-4</v>
      </c>
      <c r="ET203" s="10" cm="1">
        <f t="array" aca="1" ref="ET203" ca="1">(1-$B$18)*SUMPRODUCT(OFFSET($BO$15,0,0,$B$14,1), 1*(_xlfn._xlws.FILTER(OFFSET($O$15,0,$DN203,$B$8,1),OFFSET($M$15,0,0,$B$8,1))=ET$13), 1*(_xlfn._xlws.FILTER(OFFSET($O$15,0,$DO203,$B$8,1),OFFSET($M$15,0,0,$B$8,1))=ET$14))   /   SUM(OFFSET($BO$15,0,0,$B$14,1)) + $B$18/($B$19*$B$19*($DN203&lt;&gt;$DO203) + $B$19*($DN203=$DO203))</f>
        <v>3.7037037037037035E-4</v>
      </c>
      <c r="EU203" s="10" cm="1">
        <f t="array" aca="1" ref="EU203" ca="1">(1-$B$18)*SUMPRODUCT(OFFSET($BO$15,0,0,$B$14,1), 1*(_xlfn._xlws.FILTER(OFFSET($O$15,0,$DN203,$B$8,1),OFFSET($M$15,0,0,$B$8,1))=EU$13), 1*(_xlfn._xlws.FILTER(OFFSET($O$15,0,$DO203,$B$8,1),OFFSET($M$15,0,0,$B$8,1))=EU$14))   /   SUM(OFFSET($BO$15,0,0,$B$14,1)) + $B$18/($B$19*$B$19*($DN203&lt;&gt;$DO203) + $B$19*($DN203=$DO203))</f>
        <v>3.7037037037037035E-4</v>
      </c>
      <c r="EV203" s="10" cm="1">
        <f t="array" aca="1" ref="EV203" ca="1">(1-$B$18)*SUMPRODUCT(OFFSET($BO$15,0,0,$B$14,1), 1*(_xlfn._xlws.FILTER(OFFSET($O$15,0,$DN203,$B$8,1),OFFSET($M$15,0,0,$B$8,1))=EV$13), 1*(_xlfn._xlws.FILTER(OFFSET($O$15,0,$DO203,$B$8,1),OFFSET($M$15,0,0,$B$8,1))=EV$14))   /   SUM(OFFSET($BO$15,0,0,$B$14,1)) + $B$18/($B$19*$B$19*($DN203&lt;&gt;$DO203) + $B$19*($DN203=$DO203))</f>
        <v>3.7037037037037035E-4</v>
      </c>
      <c r="EW203" s="10" cm="1">
        <f t="array" aca="1" ref="EW203" ca="1">(1-$B$18)*SUMPRODUCT(OFFSET($BO$15,0,0,$B$14,1), 1*(_xlfn._xlws.FILTER(OFFSET($O$15,0,$DN203,$B$8,1),OFFSET($M$15,0,0,$B$8,1))=EW$13), 1*(_xlfn._xlws.FILTER(OFFSET($O$15,0,$DO203,$B$8,1),OFFSET($M$15,0,0,$B$8,1))=EW$14))   /   SUM(OFFSET($BO$15,0,0,$B$14,1)) + $B$18/($B$19*$B$19*($DN203&lt;&gt;$DO203) + $B$19*($DN203=$DO203))</f>
        <v>3.7037037037037035E-4</v>
      </c>
      <c r="EX203" s="10" cm="1">
        <f t="array" aca="1" ref="EX203" ca="1">(1-$B$18)*SUMPRODUCT(OFFSET($BO$15,0,0,$B$14,1), 1*(_xlfn._xlws.FILTER(OFFSET($O$15,0,$DN203,$B$8,1),OFFSET($M$15,0,0,$B$8,1))=EX$13), 1*(_xlfn._xlws.FILTER(OFFSET($O$15,0,$DO203,$B$8,1),OFFSET($M$15,0,0,$B$8,1))=EX$14))   /   SUM(OFFSET($BO$15,0,0,$B$14,1)) + $B$18/($B$19*$B$19*($DN203&lt;&gt;$DO203) + $B$19*($DN203=$DO203))</f>
        <v>3.7037037037037035E-4</v>
      </c>
      <c r="EY203" s="10" cm="1">
        <f t="array" aca="1" ref="EY203" ca="1">(1-$B$18)*SUMPRODUCT(OFFSET($BO$15,0,0,$B$14,1), 1*(_xlfn._xlws.FILTER(OFFSET($O$15,0,$DN203,$B$8,1),OFFSET($M$15,0,0,$B$8,1))=EY$13), 1*(_xlfn._xlws.FILTER(OFFSET($O$15,0,$DO203,$B$8,1),OFFSET($M$15,0,0,$B$8,1))=EY$14))   /   SUM(OFFSET($BO$15,0,0,$B$14,1)) + $B$18/($B$19*$B$19*($DN203&lt;&gt;$DO203) + $B$19*($DN203=$DO203))</f>
        <v>3.7037037037037035E-4</v>
      </c>
      <c r="EZ203" s="10" cm="1">
        <f t="array" aca="1" ref="EZ203" ca="1">(1-$B$18)*SUMPRODUCT(OFFSET($BO$15,0,0,$B$14,1), 1*(_xlfn._xlws.FILTER(OFFSET($O$15,0,$DN203,$B$8,1),OFFSET($M$15,0,0,$B$8,1))=EZ$13), 1*(_xlfn._xlws.FILTER(OFFSET($O$15,0,$DO203,$B$8,1),OFFSET($M$15,0,0,$B$8,1))=EZ$14))   /   SUM(OFFSET($BO$15,0,0,$B$14,1)) + $B$18/($B$19*$B$19*($DN203&lt;&gt;$DO203) + $B$19*($DN203=$DO203))</f>
        <v>3.7037037037037035E-4</v>
      </c>
      <c r="FA203" s="10" cm="1">
        <f t="array" aca="1" ref="FA203" ca="1">(1-$B$18)*SUMPRODUCT(OFFSET($BO$15,0,0,$B$14,1), 1*(_xlfn._xlws.FILTER(OFFSET($O$15,0,$DN203,$B$8,1),OFFSET($M$15,0,0,$B$8,1))=FA$13), 1*(_xlfn._xlws.FILTER(OFFSET($O$15,0,$DO203,$B$8,1),OFFSET($M$15,0,0,$B$8,1))=FA$14))   /   SUM(OFFSET($BO$15,0,0,$B$14,1)) + $B$18/($B$19*$B$19*($DN203&lt;&gt;$DO203) + $B$19*($DN203=$DO203))</f>
        <v>3.7037037037037035E-4</v>
      </c>
      <c r="FB203" s="10" cm="1">
        <f t="array" aca="1" ref="FB203" ca="1">(1-$B$18)*SUMPRODUCT(OFFSET($BO$15,0,0,$B$14,1), 1*(_xlfn._xlws.FILTER(OFFSET($O$15,0,$DN203,$B$8,1),OFFSET($M$15,0,0,$B$8,1))=FB$13), 1*(_xlfn._xlws.FILTER(OFFSET($O$15,0,$DO203,$B$8,1),OFFSET($M$15,0,0,$B$8,1))=FB$14))   /   SUM(OFFSET($BO$15,0,0,$B$14,1)) + $B$18/($B$19*$B$19*($DN203&lt;&gt;$DO203) + $B$19*($DN203=$DO203))</f>
        <v>3.7037037037037035E-4</v>
      </c>
      <c r="FC203" s="10" cm="1">
        <f t="array" aca="1" ref="FC203" ca="1">(1-$B$18)*SUMPRODUCT(OFFSET($BO$15,0,0,$B$14,1), 1*(_xlfn._xlws.FILTER(OFFSET($O$15,0,$DN203,$B$8,1),OFFSET($M$15,0,0,$B$8,1))=FC$13), 1*(_xlfn._xlws.FILTER(OFFSET($O$15,0,$DO203,$B$8,1),OFFSET($M$15,0,0,$B$8,1))=FC$14))   /   SUM(OFFSET($BO$15,0,0,$B$14,1)) + $B$18/($B$19*$B$19*($DN203&lt;&gt;$DO203) + $B$19*($DN203=$DO203))</f>
        <v>3.7037037037037035E-4</v>
      </c>
      <c r="FD203" s="10" cm="1">
        <f t="array" aca="1" ref="FD203" ca="1">(1-$B$18)*SUMPRODUCT(OFFSET($BO$15,0,0,$B$14,1), 1*(_xlfn._xlws.FILTER(OFFSET($O$15,0,$DN203,$B$8,1),OFFSET($M$15,0,0,$B$8,1))=FD$13), 1*(_xlfn._xlws.FILTER(OFFSET($O$15,0,$DO203,$B$8,1),OFFSET($M$15,0,0,$B$8,1))=FD$14))   /   SUM(OFFSET($BO$15,0,0,$B$14,1)) + $B$18/($B$19*$B$19*($DN203&lt;&gt;$DO203) + $B$19*($DN203=$DO203))</f>
        <v>3.7037037037037035E-4</v>
      </c>
      <c r="FE203" s="10" cm="1">
        <f t="array" aca="1" ref="FE203" ca="1">(1-$B$18)*SUMPRODUCT(OFFSET($BO$15,0,0,$B$14,1), 1*(_xlfn._xlws.FILTER(OFFSET($O$15,0,$DN203,$B$8,1),OFFSET($M$15,0,0,$B$8,1))=FE$13), 1*(_xlfn._xlws.FILTER(OFFSET($O$15,0,$DO203,$B$8,1),OFFSET($M$15,0,0,$B$8,1))=FE$14))   /   SUM(OFFSET($BO$15,0,0,$B$14,1)) + $B$18/($B$19*$B$19*($DN203&lt;&gt;$DO203) + $B$19*($DN203=$DO203))</f>
        <v>3.7037037037037035E-4</v>
      </c>
      <c r="FF203" s="10" cm="1">
        <f t="array" aca="1" ref="FF203" ca="1">(1-$B$18)*SUMPRODUCT(OFFSET($BO$15,0,0,$B$14,1), 1*(_xlfn._xlws.FILTER(OFFSET($O$15,0,$DN203,$B$8,1),OFFSET($M$15,0,0,$B$8,1))=FF$13), 1*(_xlfn._xlws.FILTER(OFFSET($O$15,0,$DO203,$B$8,1),OFFSET($M$15,0,0,$B$8,1))=FF$14))   /   SUM(OFFSET($BO$15,0,0,$B$14,1)) + $B$18/($B$19*$B$19*($DN203&lt;&gt;$DO203) + $B$19*($DN203=$DO203))</f>
        <v>3.7037037037037035E-4</v>
      </c>
      <c r="FG203" s="10" cm="1">
        <f t="array" aca="1" ref="FG203" ca="1">(1-$B$18)*SUMPRODUCT(OFFSET($BO$15,0,0,$B$14,1), 1*(_xlfn._xlws.FILTER(OFFSET($O$15,0,$DN203,$B$8,1),OFFSET($M$15,0,0,$B$8,1))=FG$13), 1*(_xlfn._xlws.FILTER(OFFSET($O$15,0,$DO203,$B$8,1),OFFSET($M$15,0,0,$B$8,1))=FG$14))   /   SUM(OFFSET($BO$15,0,0,$B$14,1)) + $B$18/($B$19*$B$19*($DN203&lt;&gt;$DO203) + $B$19*($DN203=$DO203))</f>
        <v>3.7037037037037035E-4</v>
      </c>
      <c r="FH203" s="10" cm="1">
        <f t="array" aca="1" ref="FH203" ca="1">(1-$B$18)*SUMPRODUCT(OFFSET($BO$15,0,0,$B$14,1), 1*(_xlfn._xlws.FILTER(OFFSET($O$15,0,$DN203,$B$8,1),OFFSET($M$15,0,0,$B$8,1))=FH$13), 1*(_xlfn._xlws.FILTER(OFFSET($O$15,0,$DO203,$B$8,1),OFFSET($M$15,0,0,$B$8,1))=FH$14))   /   SUM(OFFSET($BO$15,0,0,$B$14,1)) + $B$18/($B$19*$B$19*($DN203&lt;&gt;$DO203) + $B$19*($DN203=$DO203))</f>
        <v>3.7037037037037035E-4</v>
      </c>
      <c r="FI203" s="10" cm="1">
        <f t="array" aca="1" ref="FI203" ca="1">(1-$B$18)*SUMPRODUCT(OFFSET($BO$15,0,0,$B$14,1), 1*(_xlfn._xlws.FILTER(OFFSET($O$15,0,$DN203,$B$8,1),OFFSET($M$15,0,0,$B$8,1))=FI$13), 1*(_xlfn._xlws.FILTER(OFFSET($O$15,0,$DO203,$B$8,1),OFFSET($M$15,0,0,$B$8,1))=FI$14))   /   SUM(OFFSET($BO$15,0,0,$B$14,1)) + $B$18/($B$19*$B$19*($DN203&lt;&gt;$DO203) + $B$19*($DN203=$DO203))</f>
        <v>3.7037037037037035E-4</v>
      </c>
      <c r="FJ203" s="10" cm="1">
        <f t="array" aca="1" ref="FJ203" ca="1">(1-$B$18)*SUMPRODUCT(OFFSET($BO$15,0,0,$B$14,1), 1*(_xlfn._xlws.FILTER(OFFSET($O$15,0,$DN203,$B$8,1),OFFSET($M$15,0,0,$B$8,1))=FJ$13), 1*(_xlfn._xlws.FILTER(OFFSET($O$15,0,$DO203,$B$8,1),OFFSET($M$15,0,0,$B$8,1))=FJ$14))   /   SUM(OFFSET($BO$15,0,0,$B$14,1)) + $B$18/($B$19*$B$19*($DN203&lt;&gt;$DO203) + $B$19*($DN203=$DO203))</f>
        <v>3.7037037037037035E-4</v>
      </c>
      <c r="FK203" s="10" cm="1">
        <f t="array" aca="1" ref="FK203" ca="1">(1-$B$18)*SUMPRODUCT(OFFSET($BO$15,0,0,$B$14,1), 1*(_xlfn._xlws.FILTER(OFFSET($O$15,0,$DN203,$B$8,1),OFFSET($M$15,0,0,$B$8,1))=FK$13), 1*(_xlfn._xlws.FILTER(OFFSET($O$15,0,$DO203,$B$8,1),OFFSET($M$15,0,0,$B$8,1))=FK$14))   /   SUM(OFFSET($BO$15,0,0,$B$14,1)) + $B$18/($B$19*$B$19*($DN203&lt;&gt;$DO203) + $B$19*($DN203=$DO203))</f>
        <v>3.7037037037037035E-4</v>
      </c>
      <c r="FL203" s="10" cm="1">
        <f t="array" aca="1" ref="FL203" ca="1">(1-$B$18)*SUMPRODUCT(OFFSET($BO$15,0,0,$B$14,1), 1*(_xlfn._xlws.FILTER(OFFSET($O$15,0,$DN203,$B$8,1),OFFSET($M$15,0,0,$B$8,1))=FL$13), 1*(_xlfn._xlws.FILTER(OFFSET($O$15,0,$DO203,$B$8,1),OFFSET($M$15,0,0,$B$8,1))=FL$14))   /   SUM(OFFSET($BO$15,0,0,$B$14,1)) + $B$18/($B$19*$B$19*($DN203&lt;&gt;$DO203) + $B$19*($DN203=$DO203))</f>
        <v>3.7037037037037035E-4</v>
      </c>
      <c r="FM203" s="10" cm="1">
        <f t="array" aca="1" ref="FM203" ca="1">(1-$B$18)*SUMPRODUCT(OFFSET($BO$15,0,0,$B$14,1), 1*(_xlfn._xlws.FILTER(OFFSET($O$15,0,$DN203,$B$8,1),OFFSET($M$15,0,0,$B$8,1))=FM$13), 1*(_xlfn._xlws.FILTER(OFFSET($O$15,0,$DO203,$B$8,1),OFFSET($M$15,0,0,$B$8,1))=FM$14))   /   SUM(OFFSET($BO$15,0,0,$B$14,1)) + $B$18/($B$19*$B$19*($DN203&lt;&gt;$DO203) + $B$19*($DN203=$DO203))</f>
        <v>3.7037037037037035E-4</v>
      </c>
      <c r="FN203" s="10" cm="1">
        <f t="array" aca="1" ref="FN203" ca="1">(1-$B$18)*SUMPRODUCT(OFFSET($BO$15,0,0,$B$14,1), 1*(_xlfn._xlws.FILTER(OFFSET($O$15,0,$DN203,$B$8,1),OFFSET($M$15,0,0,$B$8,1))=FN$13), 1*(_xlfn._xlws.FILTER(OFFSET($O$15,0,$DO203,$B$8,1),OFFSET($M$15,0,0,$B$8,1))=FN$14))   /   SUM(OFFSET($BO$15,0,0,$B$14,1)) + $B$18/($B$19*$B$19*($DN203&lt;&gt;$DO203) + $B$19*($DN203=$DO203))</f>
        <v>3.7037037037037035E-4</v>
      </c>
      <c r="FO203" s="10" cm="1">
        <f t="array" aca="1" ref="FO203" ca="1">(1-$B$18)*SUMPRODUCT(OFFSET($BO$15,0,0,$B$14,1), 1*(_xlfn._xlws.FILTER(OFFSET($O$15,0,$DN203,$B$8,1),OFFSET($M$15,0,0,$B$8,1))=FO$13), 1*(_xlfn._xlws.FILTER(OFFSET($O$15,0,$DO203,$B$8,1),OFFSET($M$15,0,0,$B$8,1))=FO$14))   /   SUM(OFFSET($BO$15,0,0,$B$14,1)) + $B$18/($B$19*$B$19*($DN203&lt;&gt;$DO203) + $B$19*($DN203=$DO203))</f>
        <v>3.7037037037037035E-4</v>
      </c>
      <c r="FP203" s="10" cm="1">
        <f t="array" aca="1" ref="FP203" ca="1">(1-$B$18)*SUMPRODUCT(OFFSET($BO$15,0,0,$B$14,1), 1*(_xlfn._xlws.FILTER(OFFSET($O$15,0,$DN203,$B$8,1),OFFSET($M$15,0,0,$B$8,1))=FP$13), 1*(_xlfn._xlws.FILTER(OFFSET($O$15,0,$DO203,$B$8,1),OFFSET($M$15,0,0,$B$8,1))=FP$14))   /   SUM(OFFSET($BO$15,0,0,$B$14,1)) + $B$18/($B$19*$B$19*($DN203&lt;&gt;$DO203) + $B$19*($DN203=$DO203))</f>
        <v>0.24287037037037024</v>
      </c>
      <c r="FQ203" s="10" cm="1">
        <f t="array" aca="1" ref="FQ203" ca="1">(1-$B$18)*SUMPRODUCT(OFFSET($BO$15,0,0,$B$14,1), 1*(_xlfn._xlws.FILTER(OFFSET($O$15,0,$DN203,$B$8,1),OFFSET($M$15,0,0,$B$8,1))=FQ$13), 1*(_xlfn._xlws.FILTER(OFFSET($O$15,0,$DO203,$B$8,1),OFFSET($M$15,0,0,$B$8,1))=FQ$14))   /   SUM(OFFSET($BO$15,0,0,$B$14,1)) + $B$18/($B$19*$B$19*($DN203&lt;&gt;$DO203) + $B$19*($DN203=$DO203))</f>
        <v>0.24287037037037026</v>
      </c>
      <c r="FR203" s="10" cm="1">
        <f t="array" aca="1" ref="FR203" ca="1">(1-$B$18)*SUMPRODUCT(OFFSET($BO$15,0,0,$B$14,1), 1*(_xlfn._xlws.FILTER(OFFSET($O$15,0,$DN203,$B$8,1),OFFSET($M$15,0,0,$B$8,1))=FR$13), 1*(_xlfn._xlws.FILTER(OFFSET($O$15,0,$DO203,$B$8,1),OFFSET($M$15,0,0,$B$8,1))=FR$14))   /   SUM(OFFSET($BO$15,0,0,$B$14,1)) + $B$18/($B$19*$B$19*($DN203&lt;&gt;$DO203) + $B$19*($DN203=$DO203))</f>
        <v>0.48537037037037012</v>
      </c>
      <c r="FS203" s="10" cm="1">
        <f t="array" aca="1" ref="FS203" ca="1">(1-$B$18)*SUMPRODUCT(OFFSET($BO$15,0,0,$B$14,1), 1*(_xlfn._xlws.FILTER(OFFSET($O$15,0,$DN203,$B$8,1),OFFSET($M$15,0,0,$B$8,1))=FS$13), 1*(_xlfn._xlws.FILTER(OFFSET($O$15,0,$DO203,$B$8,1),OFFSET($M$15,0,0,$B$8,1))=FS$14))   /   SUM(OFFSET($BO$15,0,0,$B$14,1)) + $B$18/($B$19*$B$19*($DN203&lt;&gt;$DO203) + $B$19*($DN203=$DO203))</f>
        <v>3.7037037037037035E-4</v>
      </c>
      <c r="FT203" s="10" cm="1">
        <f t="array" aca="1" ref="FT203" ca="1">(1-$B$18)*SUMPRODUCT(OFFSET($BO$15,0,0,$B$14,1), 1*(_xlfn._xlws.FILTER(OFFSET($O$15,0,$DN203,$B$8,1),OFFSET($M$15,0,0,$B$8,1))=FT$13), 1*(_xlfn._xlws.FILTER(OFFSET($O$15,0,$DO203,$B$8,1),OFFSET($M$15,0,0,$B$8,1))=FT$14))   /   SUM(OFFSET($BO$15,0,0,$B$14,1)) + $B$18/($B$19*$B$19*($DN203&lt;&gt;$DO203) + $B$19*($DN203=$DO203))</f>
        <v>3.7037037037037035E-4</v>
      </c>
      <c r="FU203" s="10" cm="1">
        <f t="array" aca="1" ref="FU203" ca="1">(1-$B$18)*SUMPRODUCT(OFFSET($BO$15,0,0,$B$14,1), 1*(_xlfn._xlws.FILTER(OFFSET($O$15,0,$DN203,$B$8,1),OFFSET($M$15,0,0,$B$8,1))=FU$13), 1*(_xlfn._xlws.FILTER(OFFSET($O$15,0,$DO203,$B$8,1),OFFSET($M$15,0,0,$B$8,1))=FU$14))   /   SUM(OFFSET($BO$15,0,0,$B$14,1)) + $B$18/($B$19*$B$19*($DN203&lt;&gt;$DO203) + $B$19*($DN203=$DO203))</f>
        <v>3.7037037037037035E-4</v>
      </c>
      <c r="FV203" s="10" cm="1">
        <f t="array" aca="1" ref="FV203" ca="1">(1-$B$18)*SUMPRODUCT(OFFSET($BO$15,0,0,$B$14,1), 1*(_xlfn._xlws.FILTER(OFFSET($O$15,0,$DN203,$B$8,1),OFFSET($M$15,0,0,$B$8,1))=FV$13), 1*(_xlfn._xlws.FILTER(OFFSET($O$15,0,$DO203,$B$8,1),OFFSET($M$15,0,0,$B$8,1))=FV$14))   /   SUM(OFFSET($BO$15,0,0,$B$14,1)) + $B$18/($B$19*$B$19*($DN203&lt;&gt;$DO203) + $B$19*($DN203=$DO203))</f>
        <v>3.7037037037037035E-4</v>
      </c>
      <c r="FW203" s="10" cm="1">
        <f t="array" aca="1" ref="FW203" ca="1">(1-$B$18)*SUMPRODUCT(OFFSET($BO$15,0,0,$B$14,1), 1*(_xlfn._xlws.FILTER(OFFSET($O$15,0,$DN203,$B$8,1),OFFSET($M$15,0,0,$B$8,1))=FW$13), 1*(_xlfn._xlws.FILTER(OFFSET($O$15,0,$DO203,$B$8,1),OFFSET($M$15,0,0,$B$8,1))=FW$14))   /   SUM(OFFSET($BO$15,0,0,$B$14,1)) + $B$18/($B$19*$B$19*($DN203&lt;&gt;$DO203) + $B$19*($DN203=$DO203))</f>
        <v>3.7037037037037035E-4</v>
      </c>
      <c r="FX203" s="10" cm="1">
        <f t="array" aca="1" ref="FX203" ca="1">(1-$B$18)*SUMPRODUCT(OFFSET($BO$15,0,0,$B$14,1), 1*(_xlfn._xlws.FILTER(OFFSET($O$15,0,$DN203,$B$8,1),OFFSET($M$15,0,0,$B$8,1))=FX$13), 1*(_xlfn._xlws.FILTER(OFFSET($O$15,0,$DO203,$B$8,1),OFFSET($M$15,0,0,$B$8,1))=FX$14))   /   SUM(OFFSET($BO$15,0,0,$B$14,1)) + $B$18/($B$19*$B$19*($DN203&lt;&gt;$DO203) + $B$19*($DN203=$DO203))</f>
        <v>3.7037037037037035E-4</v>
      </c>
      <c r="FY203" s="10" cm="1">
        <f t="array" aca="1" ref="FY203" ca="1">(1-$B$18)*SUMPRODUCT(OFFSET($BO$15,0,0,$B$14,1), 1*(_xlfn._xlws.FILTER(OFFSET($O$15,0,$DN203,$B$8,1),OFFSET($M$15,0,0,$B$8,1))=FY$13), 1*(_xlfn._xlws.FILTER(OFFSET($O$15,0,$DO203,$B$8,1),OFFSET($M$15,0,0,$B$8,1))=FY$14))   /   SUM(OFFSET($BO$15,0,0,$B$14,1)) + $B$18/($B$19*$B$19*($DN203&lt;&gt;$DO203) + $B$19*($DN203=$DO203))</f>
        <v>3.7037037037037035E-4</v>
      </c>
      <c r="FZ203" s="10" cm="1">
        <f t="array" aca="1" ref="FZ203" ca="1">(1-$B$18)*SUMPRODUCT(OFFSET($BO$15,0,0,$B$14,1), 1*(_xlfn._xlws.FILTER(OFFSET($O$15,0,$DN203,$B$8,1),OFFSET($M$15,0,0,$B$8,1))=FZ$13), 1*(_xlfn._xlws.FILTER(OFFSET($O$15,0,$DO203,$B$8,1),OFFSET($M$15,0,0,$B$8,1))=FZ$14))   /   SUM(OFFSET($BO$15,0,0,$B$14,1)) + $B$18/($B$19*$B$19*($DN203&lt;&gt;$DO203) + $B$19*($DN203=$DO203))</f>
        <v>3.7037037037037035E-4</v>
      </c>
      <c r="GA203" s="10" cm="1">
        <f t="array" aca="1" ref="GA203" ca="1">(1-$B$18)*SUMPRODUCT(OFFSET($BO$15,0,0,$B$14,1), 1*(_xlfn._xlws.FILTER(OFFSET($O$15,0,$DN203,$B$8,1),OFFSET($M$15,0,0,$B$8,1))=GA$13), 1*(_xlfn._xlws.FILTER(OFFSET($O$15,0,$DO203,$B$8,1),OFFSET($M$15,0,0,$B$8,1))=GA$14))   /   SUM(OFFSET($BO$15,0,0,$B$14,1)) + $B$18/($B$19*$B$19*($DN203&lt;&gt;$DO203) + $B$19*($DN203=$DO203))</f>
        <v>3.7037037037037035E-4</v>
      </c>
    </row>
    <row r="204" spans="118:183" x14ac:dyDescent="0.2">
      <c r="DN204" cm="1">
        <f t="array" aca="1" ref="DN204" ca="1">INDEX(_xlfn.ANCHORARRAY($CP$15), 1 + INT((ROWS($DO$15:$DO204) - 1) / ROWS(_xlfn.ANCHORARRAY($CP$15))))</f>
        <v>9</v>
      </c>
      <c r="DO204" cm="1">
        <f t="array" aca="1" ref="DO204" ca="1">INDEX(_xlfn.ANCHORARRAY($CP$15),1+MOD(ROWS($DO$15:$DO204)-1,ROWS(_xlfn.ANCHORARRAY($CP$15))))</f>
        <v>21</v>
      </c>
      <c r="DP204" s="10" cm="1">
        <f t="array" aca="1" ref="DP204" ca="1">(1-$B$18)*SUMPRODUCT(OFFSET($BO$15,0,0,$B$14,1), 1*(_xlfn._xlws.FILTER(OFFSET($O$15,0,$DN204,$B$8,1),OFFSET($M$15,0,0,$B$8,1))=DP$13), 1*(_xlfn._xlws.FILTER(OFFSET($O$15,0,$DO204,$B$8,1),OFFSET($M$15,0,0,$B$8,1))=DP$14))   /   SUM(OFFSET($BO$15,0,0,$B$14,1)) + $B$18/($B$19*$B$19*($DN204&lt;&gt;$DO204) + $B$19*($DN204=$DO204))</f>
        <v>3.7037037037037035E-4</v>
      </c>
      <c r="DQ204" s="10" cm="1">
        <f t="array" aca="1" ref="DQ204" ca="1">(1-$B$18)*SUMPRODUCT(OFFSET($BO$15,0,0,$B$14,1), 1*(_xlfn._xlws.FILTER(OFFSET($O$15,0,$DN204,$B$8,1),OFFSET($M$15,0,0,$B$8,1))=DQ$13), 1*(_xlfn._xlws.FILTER(OFFSET($O$15,0,$DO204,$B$8,1),OFFSET($M$15,0,0,$B$8,1))=DQ$14))   /   SUM(OFFSET($BO$15,0,0,$B$14,1)) + $B$18/($B$19*$B$19*($DN204&lt;&gt;$DO204) + $B$19*($DN204=$DO204))</f>
        <v>3.7037037037037035E-4</v>
      </c>
      <c r="DR204" s="10" cm="1">
        <f t="array" aca="1" ref="DR204" ca="1">(1-$B$18)*SUMPRODUCT(OFFSET($BO$15,0,0,$B$14,1), 1*(_xlfn._xlws.FILTER(OFFSET($O$15,0,$DN204,$B$8,1),OFFSET($M$15,0,0,$B$8,1))=DR$13), 1*(_xlfn._xlws.FILTER(OFFSET($O$15,0,$DO204,$B$8,1),OFFSET($M$15,0,0,$B$8,1))=DR$14))   /   SUM(OFFSET($BO$15,0,0,$B$14,1)) + $B$18/($B$19*$B$19*($DN204&lt;&gt;$DO204) + $B$19*($DN204=$DO204))</f>
        <v>3.7037037037037035E-4</v>
      </c>
      <c r="DS204" s="10" cm="1">
        <f t="array" aca="1" ref="DS204" ca="1">(1-$B$18)*SUMPRODUCT(OFFSET($BO$15,0,0,$B$14,1), 1*(_xlfn._xlws.FILTER(OFFSET($O$15,0,$DN204,$B$8,1),OFFSET($M$15,0,0,$B$8,1))=DS$13), 1*(_xlfn._xlws.FILTER(OFFSET($O$15,0,$DO204,$B$8,1),OFFSET($M$15,0,0,$B$8,1))=DS$14))   /   SUM(OFFSET($BO$15,0,0,$B$14,1)) + $B$18/($B$19*$B$19*($DN204&lt;&gt;$DO204) + $B$19*($DN204=$DO204))</f>
        <v>3.7037037037037035E-4</v>
      </c>
      <c r="DT204" s="10" cm="1">
        <f t="array" aca="1" ref="DT204" ca="1">(1-$B$18)*SUMPRODUCT(OFFSET($BO$15,0,0,$B$14,1), 1*(_xlfn._xlws.FILTER(OFFSET($O$15,0,$DN204,$B$8,1),OFFSET($M$15,0,0,$B$8,1))=DT$13), 1*(_xlfn._xlws.FILTER(OFFSET($O$15,0,$DO204,$B$8,1),OFFSET($M$15,0,0,$B$8,1))=DT$14))   /   SUM(OFFSET($BO$15,0,0,$B$14,1)) + $B$18/($B$19*$B$19*($DN204&lt;&gt;$DO204) + $B$19*($DN204=$DO204))</f>
        <v>3.7037037037037035E-4</v>
      </c>
      <c r="DU204" s="10" cm="1">
        <f t="array" aca="1" ref="DU204" ca="1">(1-$B$18)*SUMPRODUCT(OFFSET($BO$15,0,0,$B$14,1), 1*(_xlfn._xlws.FILTER(OFFSET($O$15,0,$DN204,$B$8,1),OFFSET($M$15,0,0,$B$8,1))=DU$13), 1*(_xlfn._xlws.FILTER(OFFSET($O$15,0,$DO204,$B$8,1),OFFSET($M$15,0,0,$B$8,1))=DU$14))   /   SUM(OFFSET($BO$15,0,0,$B$14,1)) + $B$18/($B$19*$B$19*($DN204&lt;&gt;$DO204) + $B$19*($DN204=$DO204))</f>
        <v>3.7037037037037035E-4</v>
      </c>
      <c r="DV204" s="10" cm="1">
        <f t="array" aca="1" ref="DV204" ca="1">(1-$B$18)*SUMPRODUCT(OFFSET($BO$15,0,0,$B$14,1), 1*(_xlfn._xlws.FILTER(OFFSET($O$15,0,$DN204,$B$8,1),OFFSET($M$15,0,0,$B$8,1))=DV$13), 1*(_xlfn._xlws.FILTER(OFFSET($O$15,0,$DO204,$B$8,1),OFFSET($M$15,0,0,$B$8,1))=DV$14))   /   SUM(OFFSET($BO$15,0,0,$B$14,1)) + $B$18/($B$19*$B$19*($DN204&lt;&gt;$DO204) + $B$19*($DN204=$DO204))</f>
        <v>3.7037037037037035E-4</v>
      </c>
      <c r="DW204" s="10" cm="1">
        <f t="array" aca="1" ref="DW204" ca="1">(1-$B$18)*SUMPRODUCT(OFFSET($BO$15,0,0,$B$14,1), 1*(_xlfn._xlws.FILTER(OFFSET($O$15,0,$DN204,$B$8,1),OFFSET($M$15,0,0,$B$8,1))=DW$13), 1*(_xlfn._xlws.FILTER(OFFSET($O$15,0,$DO204,$B$8,1),OFFSET($M$15,0,0,$B$8,1))=DW$14))   /   SUM(OFFSET($BO$15,0,0,$B$14,1)) + $B$18/($B$19*$B$19*($DN204&lt;&gt;$DO204) + $B$19*($DN204=$DO204))</f>
        <v>3.7037037037037035E-4</v>
      </c>
      <c r="DX204" s="10" cm="1">
        <f t="array" aca="1" ref="DX204" ca="1">(1-$B$18)*SUMPRODUCT(OFFSET($BO$15,0,0,$B$14,1), 1*(_xlfn._xlws.FILTER(OFFSET($O$15,0,$DN204,$B$8,1),OFFSET($M$15,0,0,$B$8,1))=DX$13), 1*(_xlfn._xlws.FILTER(OFFSET($O$15,0,$DO204,$B$8,1),OFFSET($M$15,0,0,$B$8,1))=DX$14))   /   SUM(OFFSET($BO$15,0,0,$B$14,1)) + $B$18/($B$19*$B$19*($DN204&lt;&gt;$DO204) + $B$19*($DN204=$DO204))</f>
        <v>3.7037037037037035E-4</v>
      </c>
      <c r="DY204" s="10" cm="1">
        <f t="array" aca="1" ref="DY204" ca="1">(1-$B$18)*SUMPRODUCT(OFFSET($BO$15,0,0,$B$14,1), 1*(_xlfn._xlws.FILTER(OFFSET($O$15,0,$DN204,$B$8,1),OFFSET($M$15,0,0,$B$8,1))=DY$13), 1*(_xlfn._xlws.FILTER(OFFSET($O$15,0,$DO204,$B$8,1),OFFSET($M$15,0,0,$B$8,1))=DY$14))   /   SUM(OFFSET($BO$15,0,0,$B$14,1)) + $B$18/($B$19*$B$19*($DN204&lt;&gt;$DO204) + $B$19*($DN204=$DO204))</f>
        <v>3.7037037037037035E-4</v>
      </c>
      <c r="DZ204" s="10" cm="1">
        <f t="array" aca="1" ref="DZ204" ca="1">(1-$B$18)*SUMPRODUCT(OFFSET($BO$15,0,0,$B$14,1), 1*(_xlfn._xlws.FILTER(OFFSET($O$15,0,$DN204,$B$8,1),OFFSET($M$15,0,0,$B$8,1))=DZ$13), 1*(_xlfn._xlws.FILTER(OFFSET($O$15,0,$DO204,$B$8,1),OFFSET($M$15,0,0,$B$8,1))=DZ$14))   /   SUM(OFFSET($BO$15,0,0,$B$14,1)) + $B$18/($B$19*$B$19*($DN204&lt;&gt;$DO204) + $B$19*($DN204=$DO204))</f>
        <v>3.7037037037037035E-4</v>
      </c>
      <c r="EA204" s="10" cm="1">
        <f t="array" aca="1" ref="EA204" ca="1">(1-$B$18)*SUMPRODUCT(OFFSET($BO$15,0,0,$B$14,1), 1*(_xlfn._xlws.FILTER(OFFSET($O$15,0,$DN204,$B$8,1),OFFSET($M$15,0,0,$B$8,1))=EA$13), 1*(_xlfn._xlws.FILTER(OFFSET($O$15,0,$DO204,$B$8,1),OFFSET($M$15,0,0,$B$8,1))=EA$14))   /   SUM(OFFSET($BO$15,0,0,$B$14,1)) + $B$18/($B$19*$B$19*($DN204&lt;&gt;$DO204) + $B$19*($DN204=$DO204))</f>
        <v>3.7037037037037035E-4</v>
      </c>
      <c r="EB204" s="10" cm="1">
        <f t="array" aca="1" ref="EB204" ca="1">(1-$B$18)*SUMPRODUCT(OFFSET($BO$15,0,0,$B$14,1), 1*(_xlfn._xlws.FILTER(OFFSET($O$15,0,$DN204,$B$8,1),OFFSET($M$15,0,0,$B$8,1))=EB$13), 1*(_xlfn._xlws.FILTER(OFFSET($O$15,0,$DO204,$B$8,1),OFFSET($M$15,0,0,$B$8,1))=EB$14))   /   SUM(OFFSET($BO$15,0,0,$B$14,1)) + $B$18/($B$19*$B$19*($DN204&lt;&gt;$DO204) + $B$19*($DN204=$DO204))</f>
        <v>3.7037037037037035E-4</v>
      </c>
      <c r="EC204" s="10" cm="1">
        <f t="array" aca="1" ref="EC204" ca="1">(1-$B$18)*SUMPRODUCT(OFFSET($BO$15,0,0,$B$14,1), 1*(_xlfn._xlws.FILTER(OFFSET($O$15,0,$DN204,$B$8,1),OFFSET($M$15,0,0,$B$8,1))=EC$13), 1*(_xlfn._xlws.FILTER(OFFSET($O$15,0,$DO204,$B$8,1),OFFSET($M$15,0,0,$B$8,1))=EC$14))   /   SUM(OFFSET($BO$15,0,0,$B$14,1)) + $B$18/($B$19*$B$19*($DN204&lt;&gt;$DO204) + $B$19*($DN204=$DO204))</f>
        <v>3.7037037037037035E-4</v>
      </c>
      <c r="ED204" s="10" cm="1">
        <f t="array" aca="1" ref="ED204" ca="1">(1-$B$18)*SUMPRODUCT(OFFSET($BO$15,0,0,$B$14,1), 1*(_xlfn._xlws.FILTER(OFFSET($O$15,0,$DN204,$B$8,1),OFFSET($M$15,0,0,$B$8,1))=ED$13), 1*(_xlfn._xlws.FILTER(OFFSET($O$15,0,$DO204,$B$8,1),OFFSET($M$15,0,0,$B$8,1))=ED$14))   /   SUM(OFFSET($BO$15,0,0,$B$14,1)) + $B$18/($B$19*$B$19*($DN204&lt;&gt;$DO204) + $B$19*($DN204=$DO204))</f>
        <v>3.7037037037037035E-4</v>
      </c>
      <c r="EE204" s="10" cm="1">
        <f t="array" aca="1" ref="EE204" ca="1">(1-$B$18)*SUMPRODUCT(OFFSET($BO$15,0,0,$B$14,1), 1*(_xlfn._xlws.FILTER(OFFSET($O$15,0,$DN204,$B$8,1),OFFSET($M$15,0,0,$B$8,1))=EE$13), 1*(_xlfn._xlws.FILTER(OFFSET($O$15,0,$DO204,$B$8,1),OFFSET($M$15,0,0,$B$8,1))=EE$14))   /   SUM(OFFSET($BO$15,0,0,$B$14,1)) + $B$18/($B$19*$B$19*($DN204&lt;&gt;$DO204) + $B$19*($DN204=$DO204))</f>
        <v>3.7037037037037035E-4</v>
      </c>
      <c r="EF204" s="10" cm="1">
        <f t="array" aca="1" ref="EF204" ca="1">(1-$B$18)*SUMPRODUCT(OFFSET($BO$15,0,0,$B$14,1), 1*(_xlfn._xlws.FILTER(OFFSET($O$15,0,$DN204,$B$8,1),OFFSET($M$15,0,0,$B$8,1))=EF$13), 1*(_xlfn._xlws.FILTER(OFFSET($O$15,0,$DO204,$B$8,1),OFFSET($M$15,0,0,$B$8,1))=EF$14))   /   SUM(OFFSET($BO$15,0,0,$B$14,1)) + $B$18/($B$19*$B$19*($DN204&lt;&gt;$DO204) + $B$19*($DN204=$DO204))</f>
        <v>3.7037037037037035E-4</v>
      </c>
      <c r="EG204" s="10" cm="1">
        <f t="array" aca="1" ref="EG204" ca="1">(1-$B$18)*SUMPRODUCT(OFFSET($BO$15,0,0,$B$14,1), 1*(_xlfn._xlws.FILTER(OFFSET($O$15,0,$DN204,$B$8,1),OFFSET($M$15,0,0,$B$8,1))=EG$13), 1*(_xlfn._xlws.FILTER(OFFSET($O$15,0,$DO204,$B$8,1),OFFSET($M$15,0,0,$B$8,1))=EG$14))   /   SUM(OFFSET($BO$15,0,0,$B$14,1)) + $B$18/($B$19*$B$19*($DN204&lt;&gt;$DO204) + $B$19*($DN204=$DO204))</f>
        <v>3.7037037037037035E-4</v>
      </c>
      <c r="EH204" s="10" cm="1">
        <f t="array" aca="1" ref="EH204" ca="1">(1-$B$18)*SUMPRODUCT(OFFSET($BO$15,0,0,$B$14,1), 1*(_xlfn._xlws.FILTER(OFFSET($O$15,0,$DN204,$B$8,1),OFFSET($M$15,0,0,$B$8,1))=EH$13), 1*(_xlfn._xlws.FILTER(OFFSET($O$15,0,$DO204,$B$8,1),OFFSET($M$15,0,0,$B$8,1))=EH$14))   /   SUM(OFFSET($BO$15,0,0,$B$14,1)) + $B$18/($B$19*$B$19*($DN204&lt;&gt;$DO204) + $B$19*($DN204=$DO204))</f>
        <v>3.7037037037037035E-4</v>
      </c>
      <c r="EI204" s="10" cm="1">
        <f t="array" aca="1" ref="EI204" ca="1">(1-$B$18)*SUMPRODUCT(OFFSET($BO$15,0,0,$B$14,1), 1*(_xlfn._xlws.FILTER(OFFSET($O$15,0,$DN204,$B$8,1),OFFSET($M$15,0,0,$B$8,1))=EI$13), 1*(_xlfn._xlws.FILTER(OFFSET($O$15,0,$DO204,$B$8,1),OFFSET($M$15,0,0,$B$8,1))=EI$14))   /   SUM(OFFSET($BO$15,0,0,$B$14,1)) + $B$18/($B$19*$B$19*($DN204&lt;&gt;$DO204) + $B$19*($DN204=$DO204))</f>
        <v>3.7037037037037035E-4</v>
      </c>
      <c r="EJ204" s="10" cm="1">
        <f t="array" aca="1" ref="EJ204" ca="1">(1-$B$18)*SUMPRODUCT(OFFSET($BO$15,0,0,$B$14,1), 1*(_xlfn._xlws.FILTER(OFFSET($O$15,0,$DN204,$B$8,1),OFFSET($M$15,0,0,$B$8,1))=EJ$13), 1*(_xlfn._xlws.FILTER(OFFSET($O$15,0,$DO204,$B$8,1),OFFSET($M$15,0,0,$B$8,1))=EJ$14))   /   SUM(OFFSET($BO$15,0,0,$B$14,1)) + $B$18/($B$19*$B$19*($DN204&lt;&gt;$DO204) + $B$19*($DN204=$DO204))</f>
        <v>3.7037037037037035E-4</v>
      </c>
      <c r="EK204" s="10" cm="1">
        <f t="array" aca="1" ref="EK204" ca="1">(1-$B$18)*SUMPRODUCT(OFFSET($BO$15,0,0,$B$14,1), 1*(_xlfn._xlws.FILTER(OFFSET($O$15,0,$DN204,$B$8,1),OFFSET($M$15,0,0,$B$8,1))=EK$13), 1*(_xlfn._xlws.FILTER(OFFSET($O$15,0,$DO204,$B$8,1),OFFSET($M$15,0,0,$B$8,1))=EK$14))   /   SUM(OFFSET($BO$15,0,0,$B$14,1)) + $B$18/($B$19*$B$19*($DN204&lt;&gt;$DO204) + $B$19*($DN204=$DO204))</f>
        <v>3.7037037037037035E-4</v>
      </c>
      <c r="EL204" s="10" cm="1">
        <f t="array" aca="1" ref="EL204" ca="1">(1-$B$18)*SUMPRODUCT(OFFSET($BO$15,0,0,$B$14,1), 1*(_xlfn._xlws.FILTER(OFFSET($O$15,0,$DN204,$B$8,1),OFFSET($M$15,0,0,$B$8,1))=EL$13), 1*(_xlfn._xlws.FILTER(OFFSET($O$15,0,$DO204,$B$8,1),OFFSET($M$15,0,0,$B$8,1))=EL$14))   /   SUM(OFFSET($BO$15,0,0,$B$14,1)) + $B$18/($B$19*$B$19*($DN204&lt;&gt;$DO204) + $B$19*($DN204=$DO204))</f>
        <v>3.7037037037037035E-4</v>
      </c>
      <c r="EM204" s="10" cm="1">
        <f t="array" aca="1" ref="EM204" ca="1">(1-$B$18)*SUMPRODUCT(OFFSET($BO$15,0,0,$B$14,1), 1*(_xlfn._xlws.FILTER(OFFSET($O$15,0,$DN204,$B$8,1),OFFSET($M$15,0,0,$B$8,1))=EM$13), 1*(_xlfn._xlws.FILTER(OFFSET($O$15,0,$DO204,$B$8,1),OFFSET($M$15,0,0,$B$8,1))=EM$14))   /   SUM(OFFSET($BO$15,0,0,$B$14,1)) + $B$18/($B$19*$B$19*($DN204&lt;&gt;$DO204) + $B$19*($DN204=$DO204))</f>
        <v>3.7037037037037035E-4</v>
      </c>
      <c r="EN204" s="10" cm="1">
        <f t="array" aca="1" ref="EN204" ca="1">(1-$B$18)*SUMPRODUCT(OFFSET($BO$15,0,0,$B$14,1), 1*(_xlfn._xlws.FILTER(OFFSET($O$15,0,$DN204,$B$8,1),OFFSET($M$15,0,0,$B$8,1))=EN$13), 1*(_xlfn._xlws.FILTER(OFFSET($O$15,0,$DO204,$B$8,1),OFFSET($M$15,0,0,$B$8,1))=EN$14))   /   SUM(OFFSET($BO$15,0,0,$B$14,1)) + $B$18/($B$19*$B$19*($DN204&lt;&gt;$DO204) + $B$19*($DN204=$DO204))</f>
        <v>3.7037037037037035E-4</v>
      </c>
      <c r="EO204" s="10" cm="1">
        <f t="array" aca="1" ref="EO204" ca="1">(1-$B$18)*SUMPRODUCT(OFFSET($BO$15,0,0,$B$14,1), 1*(_xlfn._xlws.FILTER(OFFSET($O$15,0,$DN204,$B$8,1),OFFSET($M$15,0,0,$B$8,1))=EO$13), 1*(_xlfn._xlws.FILTER(OFFSET($O$15,0,$DO204,$B$8,1),OFFSET($M$15,0,0,$B$8,1))=EO$14))   /   SUM(OFFSET($BO$15,0,0,$B$14,1)) + $B$18/($B$19*$B$19*($DN204&lt;&gt;$DO204) + $B$19*($DN204=$DO204))</f>
        <v>3.7037037037037035E-4</v>
      </c>
      <c r="EP204" s="10" cm="1">
        <f t="array" aca="1" ref="EP204" ca="1">(1-$B$18)*SUMPRODUCT(OFFSET($BO$15,0,0,$B$14,1), 1*(_xlfn._xlws.FILTER(OFFSET($O$15,0,$DN204,$B$8,1),OFFSET($M$15,0,0,$B$8,1))=EP$13), 1*(_xlfn._xlws.FILTER(OFFSET($O$15,0,$DO204,$B$8,1),OFFSET($M$15,0,0,$B$8,1))=EP$14))   /   SUM(OFFSET($BO$15,0,0,$B$14,1)) + $B$18/($B$19*$B$19*($DN204&lt;&gt;$DO204) + $B$19*($DN204=$DO204))</f>
        <v>3.7037037037037035E-4</v>
      </c>
      <c r="EQ204" s="10" cm="1">
        <f t="array" aca="1" ref="EQ204" ca="1">(1-$B$18)*SUMPRODUCT(OFFSET($BO$15,0,0,$B$14,1), 1*(_xlfn._xlws.FILTER(OFFSET($O$15,0,$DN204,$B$8,1),OFFSET($M$15,0,0,$B$8,1))=EQ$13), 1*(_xlfn._xlws.FILTER(OFFSET($O$15,0,$DO204,$B$8,1),OFFSET($M$15,0,0,$B$8,1))=EQ$14))   /   SUM(OFFSET($BO$15,0,0,$B$14,1)) + $B$18/($B$19*$B$19*($DN204&lt;&gt;$DO204) + $B$19*($DN204=$DO204))</f>
        <v>3.7037037037037035E-4</v>
      </c>
      <c r="ER204" s="10" cm="1">
        <f t="array" aca="1" ref="ER204" ca="1">(1-$B$18)*SUMPRODUCT(OFFSET($BO$15,0,0,$B$14,1), 1*(_xlfn._xlws.FILTER(OFFSET($O$15,0,$DN204,$B$8,1),OFFSET($M$15,0,0,$B$8,1))=ER$13), 1*(_xlfn._xlws.FILTER(OFFSET($O$15,0,$DO204,$B$8,1),OFFSET($M$15,0,0,$B$8,1))=ER$14))   /   SUM(OFFSET($BO$15,0,0,$B$14,1)) + $B$18/($B$19*$B$19*($DN204&lt;&gt;$DO204) + $B$19*($DN204=$DO204))</f>
        <v>3.7037037037037035E-4</v>
      </c>
      <c r="ES204" s="10" cm="1">
        <f t="array" aca="1" ref="ES204" ca="1">(1-$B$18)*SUMPRODUCT(OFFSET($BO$15,0,0,$B$14,1), 1*(_xlfn._xlws.FILTER(OFFSET($O$15,0,$DN204,$B$8,1),OFFSET($M$15,0,0,$B$8,1))=ES$13), 1*(_xlfn._xlws.FILTER(OFFSET($O$15,0,$DO204,$B$8,1),OFFSET($M$15,0,0,$B$8,1))=ES$14))   /   SUM(OFFSET($BO$15,0,0,$B$14,1)) + $B$18/($B$19*$B$19*($DN204&lt;&gt;$DO204) + $B$19*($DN204=$DO204))</f>
        <v>3.7037037037037035E-4</v>
      </c>
      <c r="ET204" s="10" cm="1">
        <f t="array" aca="1" ref="ET204" ca="1">(1-$B$18)*SUMPRODUCT(OFFSET($BO$15,0,0,$B$14,1), 1*(_xlfn._xlws.FILTER(OFFSET($O$15,0,$DN204,$B$8,1),OFFSET($M$15,0,0,$B$8,1))=ET$13), 1*(_xlfn._xlws.FILTER(OFFSET($O$15,0,$DO204,$B$8,1),OFFSET($M$15,0,0,$B$8,1))=ET$14))   /   SUM(OFFSET($BO$15,0,0,$B$14,1)) + $B$18/($B$19*$B$19*($DN204&lt;&gt;$DO204) + $B$19*($DN204=$DO204))</f>
        <v>3.7037037037037035E-4</v>
      </c>
      <c r="EU204" s="10" cm="1">
        <f t="array" aca="1" ref="EU204" ca="1">(1-$B$18)*SUMPRODUCT(OFFSET($BO$15,0,0,$B$14,1), 1*(_xlfn._xlws.FILTER(OFFSET($O$15,0,$DN204,$B$8,1),OFFSET($M$15,0,0,$B$8,1))=EU$13), 1*(_xlfn._xlws.FILTER(OFFSET($O$15,0,$DO204,$B$8,1),OFFSET($M$15,0,0,$B$8,1))=EU$14))   /   SUM(OFFSET($BO$15,0,0,$B$14,1)) + $B$18/($B$19*$B$19*($DN204&lt;&gt;$DO204) + $B$19*($DN204=$DO204))</f>
        <v>3.7037037037037035E-4</v>
      </c>
      <c r="EV204" s="10" cm="1">
        <f t="array" aca="1" ref="EV204" ca="1">(1-$B$18)*SUMPRODUCT(OFFSET($BO$15,0,0,$B$14,1), 1*(_xlfn._xlws.FILTER(OFFSET($O$15,0,$DN204,$B$8,1),OFFSET($M$15,0,0,$B$8,1))=EV$13), 1*(_xlfn._xlws.FILTER(OFFSET($O$15,0,$DO204,$B$8,1),OFFSET($M$15,0,0,$B$8,1))=EV$14))   /   SUM(OFFSET($BO$15,0,0,$B$14,1)) + $B$18/($B$19*$B$19*($DN204&lt;&gt;$DO204) + $B$19*($DN204=$DO204))</f>
        <v>3.7037037037037035E-4</v>
      </c>
      <c r="EW204" s="10" cm="1">
        <f t="array" aca="1" ref="EW204" ca="1">(1-$B$18)*SUMPRODUCT(OFFSET($BO$15,0,0,$B$14,1), 1*(_xlfn._xlws.FILTER(OFFSET($O$15,0,$DN204,$B$8,1),OFFSET($M$15,0,0,$B$8,1))=EW$13), 1*(_xlfn._xlws.FILTER(OFFSET($O$15,0,$DO204,$B$8,1),OFFSET($M$15,0,0,$B$8,1))=EW$14))   /   SUM(OFFSET($BO$15,0,0,$B$14,1)) + $B$18/($B$19*$B$19*($DN204&lt;&gt;$DO204) + $B$19*($DN204=$DO204))</f>
        <v>3.7037037037037035E-4</v>
      </c>
      <c r="EX204" s="10" cm="1">
        <f t="array" aca="1" ref="EX204" ca="1">(1-$B$18)*SUMPRODUCT(OFFSET($BO$15,0,0,$B$14,1), 1*(_xlfn._xlws.FILTER(OFFSET($O$15,0,$DN204,$B$8,1),OFFSET($M$15,0,0,$B$8,1))=EX$13), 1*(_xlfn._xlws.FILTER(OFFSET($O$15,0,$DO204,$B$8,1),OFFSET($M$15,0,0,$B$8,1))=EX$14))   /   SUM(OFFSET($BO$15,0,0,$B$14,1)) + $B$18/($B$19*$B$19*($DN204&lt;&gt;$DO204) + $B$19*($DN204=$DO204))</f>
        <v>3.7037037037037035E-4</v>
      </c>
      <c r="EY204" s="10" cm="1">
        <f t="array" aca="1" ref="EY204" ca="1">(1-$B$18)*SUMPRODUCT(OFFSET($BO$15,0,0,$B$14,1), 1*(_xlfn._xlws.FILTER(OFFSET($O$15,0,$DN204,$B$8,1),OFFSET($M$15,0,0,$B$8,1))=EY$13), 1*(_xlfn._xlws.FILTER(OFFSET($O$15,0,$DO204,$B$8,1),OFFSET($M$15,0,0,$B$8,1))=EY$14))   /   SUM(OFFSET($BO$15,0,0,$B$14,1)) + $B$18/($B$19*$B$19*($DN204&lt;&gt;$DO204) + $B$19*($DN204=$DO204))</f>
        <v>3.7037037037037035E-4</v>
      </c>
      <c r="EZ204" s="10" cm="1">
        <f t="array" aca="1" ref="EZ204" ca="1">(1-$B$18)*SUMPRODUCT(OFFSET($BO$15,0,0,$B$14,1), 1*(_xlfn._xlws.FILTER(OFFSET($O$15,0,$DN204,$B$8,1),OFFSET($M$15,0,0,$B$8,1))=EZ$13), 1*(_xlfn._xlws.FILTER(OFFSET($O$15,0,$DO204,$B$8,1),OFFSET($M$15,0,0,$B$8,1))=EZ$14))   /   SUM(OFFSET($BO$15,0,0,$B$14,1)) + $B$18/($B$19*$B$19*($DN204&lt;&gt;$DO204) + $B$19*($DN204=$DO204))</f>
        <v>3.7037037037037035E-4</v>
      </c>
      <c r="FA204" s="10" cm="1">
        <f t="array" aca="1" ref="FA204" ca="1">(1-$B$18)*SUMPRODUCT(OFFSET($BO$15,0,0,$B$14,1), 1*(_xlfn._xlws.FILTER(OFFSET($O$15,0,$DN204,$B$8,1),OFFSET($M$15,0,0,$B$8,1))=FA$13), 1*(_xlfn._xlws.FILTER(OFFSET($O$15,0,$DO204,$B$8,1),OFFSET($M$15,0,0,$B$8,1))=FA$14))   /   SUM(OFFSET($BO$15,0,0,$B$14,1)) + $B$18/($B$19*$B$19*($DN204&lt;&gt;$DO204) + $B$19*($DN204=$DO204))</f>
        <v>3.7037037037037035E-4</v>
      </c>
      <c r="FB204" s="10" cm="1">
        <f t="array" aca="1" ref="FB204" ca="1">(1-$B$18)*SUMPRODUCT(OFFSET($BO$15,0,0,$B$14,1), 1*(_xlfn._xlws.FILTER(OFFSET($O$15,0,$DN204,$B$8,1),OFFSET($M$15,0,0,$B$8,1))=FB$13), 1*(_xlfn._xlws.FILTER(OFFSET($O$15,0,$DO204,$B$8,1),OFFSET($M$15,0,0,$B$8,1))=FB$14))   /   SUM(OFFSET($BO$15,0,0,$B$14,1)) + $B$18/($B$19*$B$19*($DN204&lt;&gt;$DO204) + $B$19*($DN204=$DO204))</f>
        <v>3.7037037037037035E-4</v>
      </c>
      <c r="FC204" s="10" cm="1">
        <f t="array" aca="1" ref="FC204" ca="1">(1-$B$18)*SUMPRODUCT(OFFSET($BO$15,0,0,$B$14,1), 1*(_xlfn._xlws.FILTER(OFFSET($O$15,0,$DN204,$B$8,1),OFFSET($M$15,0,0,$B$8,1))=FC$13), 1*(_xlfn._xlws.FILTER(OFFSET($O$15,0,$DO204,$B$8,1),OFFSET($M$15,0,0,$B$8,1))=FC$14))   /   SUM(OFFSET($BO$15,0,0,$B$14,1)) + $B$18/($B$19*$B$19*($DN204&lt;&gt;$DO204) + $B$19*($DN204=$DO204))</f>
        <v>3.7037037037037035E-4</v>
      </c>
      <c r="FD204" s="10" cm="1">
        <f t="array" aca="1" ref="FD204" ca="1">(1-$B$18)*SUMPRODUCT(OFFSET($BO$15,0,0,$B$14,1), 1*(_xlfn._xlws.FILTER(OFFSET($O$15,0,$DN204,$B$8,1),OFFSET($M$15,0,0,$B$8,1))=FD$13), 1*(_xlfn._xlws.FILTER(OFFSET($O$15,0,$DO204,$B$8,1),OFFSET($M$15,0,0,$B$8,1))=FD$14))   /   SUM(OFFSET($BO$15,0,0,$B$14,1)) + $B$18/($B$19*$B$19*($DN204&lt;&gt;$DO204) + $B$19*($DN204=$DO204))</f>
        <v>3.7037037037037035E-4</v>
      </c>
      <c r="FE204" s="10" cm="1">
        <f t="array" aca="1" ref="FE204" ca="1">(1-$B$18)*SUMPRODUCT(OFFSET($BO$15,0,0,$B$14,1), 1*(_xlfn._xlws.FILTER(OFFSET($O$15,0,$DN204,$B$8,1),OFFSET($M$15,0,0,$B$8,1))=FE$13), 1*(_xlfn._xlws.FILTER(OFFSET($O$15,0,$DO204,$B$8,1),OFFSET($M$15,0,0,$B$8,1))=FE$14))   /   SUM(OFFSET($BO$15,0,0,$B$14,1)) + $B$18/($B$19*$B$19*($DN204&lt;&gt;$DO204) + $B$19*($DN204=$DO204))</f>
        <v>3.7037037037037035E-4</v>
      </c>
      <c r="FF204" s="10" cm="1">
        <f t="array" aca="1" ref="FF204" ca="1">(1-$B$18)*SUMPRODUCT(OFFSET($BO$15,0,0,$B$14,1), 1*(_xlfn._xlws.FILTER(OFFSET($O$15,0,$DN204,$B$8,1),OFFSET($M$15,0,0,$B$8,1))=FF$13), 1*(_xlfn._xlws.FILTER(OFFSET($O$15,0,$DO204,$B$8,1),OFFSET($M$15,0,0,$B$8,1))=FF$14))   /   SUM(OFFSET($BO$15,0,0,$B$14,1)) + $B$18/($B$19*$B$19*($DN204&lt;&gt;$DO204) + $B$19*($DN204=$DO204))</f>
        <v>3.7037037037037035E-4</v>
      </c>
      <c r="FG204" s="10" cm="1">
        <f t="array" aca="1" ref="FG204" ca="1">(1-$B$18)*SUMPRODUCT(OFFSET($BO$15,0,0,$B$14,1), 1*(_xlfn._xlws.FILTER(OFFSET($O$15,0,$DN204,$B$8,1),OFFSET($M$15,0,0,$B$8,1))=FG$13), 1*(_xlfn._xlws.FILTER(OFFSET($O$15,0,$DO204,$B$8,1),OFFSET($M$15,0,0,$B$8,1))=FG$14))   /   SUM(OFFSET($BO$15,0,0,$B$14,1)) + $B$18/($B$19*$B$19*($DN204&lt;&gt;$DO204) + $B$19*($DN204=$DO204))</f>
        <v>3.7037037037037035E-4</v>
      </c>
      <c r="FH204" s="10" cm="1">
        <f t="array" aca="1" ref="FH204" ca="1">(1-$B$18)*SUMPRODUCT(OFFSET($BO$15,0,0,$B$14,1), 1*(_xlfn._xlws.FILTER(OFFSET($O$15,0,$DN204,$B$8,1),OFFSET($M$15,0,0,$B$8,1))=FH$13), 1*(_xlfn._xlws.FILTER(OFFSET($O$15,0,$DO204,$B$8,1),OFFSET($M$15,0,0,$B$8,1))=FH$14))   /   SUM(OFFSET($BO$15,0,0,$B$14,1)) + $B$18/($B$19*$B$19*($DN204&lt;&gt;$DO204) + $B$19*($DN204=$DO204))</f>
        <v>3.7037037037037035E-4</v>
      </c>
      <c r="FI204" s="10" cm="1">
        <f t="array" aca="1" ref="FI204" ca="1">(1-$B$18)*SUMPRODUCT(OFFSET($BO$15,0,0,$B$14,1), 1*(_xlfn._xlws.FILTER(OFFSET($O$15,0,$DN204,$B$8,1),OFFSET($M$15,0,0,$B$8,1))=FI$13), 1*(_xlfn._xlws.FILTER(OFFSET($O$15,0,$DO204,$B$8,1),OFFSET($M$15,0,0,$B$8,1))=FI$14))   /   SUM(OFFSET($BO$15,0,0,$B$14,1)) + $B$18/($B$19*$B$19*($DN204&lt;&gt;$DO204) + $B$19*($DN204=$DO204))</f>
        <v>3.7037037037037035E-4</v>
      </c>
      <c r="FJ204" s="10" cm="1">
        <f t="array" aca="1" ref="FJ204" ca="1">(1-$B$18)*SUMPRODUCT(OFFSET($BO$15,0,0,$B$14,1), 1*(_xlfn._xlws.FILTER(OFFSET($O$15,0,$DN204,$B$8,1),OFFSET($M$15,0,0,$B$8,1))=FJ$13), 1*(_xlfn._xlws.FILTER(OFFSET($O$15,0,$DO204,$B$8,1),OFFSET($M$15,0,0,$B$8,1))=FJ$14))   /   SUM(OFFSET($BO$15,0,0,$B$14,1)) + $B$18/($B$19*$B$19*($DN204&lt;&gt;$DO204) + $B$19*($DN204=$DO204))</f>
        <v>3.7037037037037035E-4</v>
      </c>
      <c r="FK204" s="10" cm="1">
        <f t="array" aca="1" ref="FK204" ca="1">(1-$B$18)*SUMPRODUCT(OFFSET($BO$15,0,0,$B$14,1), 1*(_xlfn._xlws.FILTER(OFFSET($O$15,0,$DN204,$B$8,1),OFFSET($M$15,0,0,$B$8,1))=FK$13), 1*(_xlfn._xlws.FILTER(OFFSET($O$15,0,$DO204,$B$8,1),OFFSET($M$15,0,0,$B$8,1))=FK$14))   /   SUM(OFFSET($BO$15,0,0,$B$14,1)) + $B$18/($B$19*$B$19*($DN204&lt;&gt;$DO204) + $B$19*($DN204=$DO204))</f>
        <v>3.7037037037037035E-4</v>
      </c>
      <c r="FL204" s="10" cm="1">
        <f t="array" aca="1" ref="FL204" ca="1">(1-$B$18)*SUMPRODUCT(OFFSET($BO$15,0,0,$B$14,1), 1*(_xlfn._xlws.FILTER(OFFSET($O$15,0,$DN204,$B$8,1),OFFSET($M$15,0,0,$B$8,1))=FL$13), 1*(_xlfn._xlws.FILTER(OFFSET($O$15,0,$DO204,$B$8,1),OFFSET($M$15,0,0,$B$8,1))=FL$14))   /   SUM(OFFSET($BO$15,0,0,$B$14,1)) + $B$18/($B$19*$B$19*($DN204&lt;&gt;$DO204) + $B$19*($DN204=$DO204))</f>
        <v>3.7037037037037035E-4</v>
      </c>
      <c r="FM204" s="10" cm="1">
        <f t="array" aca="1" ref="FM204" ca="1">(1-$B$18)*SUMPRODUCT(OFFSET($BO$15,0,0,$B$14,1), 1*(_xlfn._xlws.FILTER(OFFSET($O$15,0,$DN204,$B$8,1),OFFSET($M$15,0,0,$B$8,1))=FM$13), 1*(_xlfn._xlws.FILTER(OFFSET($O$15,0,$DO204,$B$8,1),OFFSET($M$15,0,0,$B$8,1))=FM$14))   /   SUM(OFFSET($BO$15,0,0,$B$14,1)) + $B$18/($B$19*$B$19*($DN204&lt;&gt;$DO204) + $B$19*($DN204=$DO204))</f>
        <v>3.7037037037037035E-4</v>
      </c>
      <c r="FN204" s="10" cm="1">
        <f t="array" aca="1" ref="FN204" ca="1">(1-$B$18)*SUMPRODUCT(OFFSET($BO$15,0,0,$B$14,1), 1*(_xlfn._xlws.FILTER(OFFSET($O$15,0,$DN204,$B$8,1),OFFSET($M$15,0,0,$B$8,1))=FN$13), 1*(_xlfn._xlws.FILTER(OFFSET($O$15,0,$DO204,$B$8,1),OFFSET($M$15,0,0,$B$8,1))=FN$14))   /   SUM(OFFSET($BO$15,0,0,$B$14,1)) + $B$18/($B$19*$B$19*($DN204&lt;&gt;$DO204) + $B$19*($DN204=$DO204))</f>
        <v>3.7037037037037035E-4</v>
      </c>
      <c r="FO204" s="10" cm="1">
        <f t="array" aca="1" ref="FO204" ca="1">(1-$B$18)*SUMPRODUCT(OFFSET($BO$15,0,0,$B$14,1), 1*(_xlfn._xlws.FILTER(OFFSET($O$15,0,$DN204,$B$8,1),OFFSET($M$15,0,0,$B$8,1))=FO$13), 1*(_xlfn._xlws.FILTER(OFFSET($O$15,0,$DO204,$B$8,1),OFFSET($M$15,0,0,$B$8,1))=FO$14))   /   SUM(OFFSET($BO$15,0,0,$B$14,1)) + $B$18/($B$19*$B$19*($DN204&lt;&gt;$DO204) + $B$19*($DN204=$DO204))</f>
        <v>3.7037037037037035E-4</v>
      </c>
      <c r="FP204" s="10" cm="1">
        <f t="array" aca="1" ref="FP204" ca="1">(1-$B$18)*SUMPRODUCT(OFFSET($BO$15,0,0,$B$14,1), 1*(_xlfn._xlws.FILTER(OFFSET($O$15,0,$DN204,$B$8,1),OFFSET($M$15,0,0,$B$8,1))=FP$13), 1*(_xlfn._xlws.FILTER(OFFSET($O$15,0,$DO204,$B$8,1),OFFSET($M$15,0,0,$B$8,1))=FP$14))   /   SUM(OFFSET($BO$15,0,0,$B$14,1)) + $B$18/($B$19*$B$19*($DN204&lt;&gt;$DO204) + $B$19*($DN204=$DO204))</f>
        <v>0.24287037037037024</v>
      </c>
      <c r="FQ204" s="10" cm="1">
        <f t="array" aca="1" ref="FQ204" ca="1">(1-$B$18)*SUMPRODUCT(OFFSET($BO$15,0,0,$B$14,1), 1*(_xlfn._xlws.FILTER(OFFSET($O$15,0,$DN204,$B$8,1),OFFSET($M$15,0,0,$B$8,1))=FQ$13), 1*(_xlfn._xlws.FILTER(OFFSET($O$15,0,$DO204,$B$8,1),OFFSET($M$15,0,0,$B$8,1))=FQ$14))   /   SUM(OFFSET($BO$15,0,0,$B$14,1)) + $B$18/($B$19*$B$19*($DN204&lt;&gt;$DO204) + $B$19*($DN204=$DO204))</f>
        <v>0.48537037037037012</v>
      </c>
      <c r="FR204" s="10" cm="1">
        <f t="array" aca="1" ref="FR204" ca="1">(1-$B$18)*SUMPRODUCT(OFFSET($BO$15,0,0,$B$14,1), 1*(_xlfn._xlws.FILTER(OFFSET($O$15,0,$DN204,$B$8,1),OFFSET($M$15,0,0,$B$8,1))=FR$13), 1*(_xlfn._xlws.FILTER(OFFSET($O$15,0,$DO204,$B$8,1),OFFSET($M$15,0,0,$B$8,1))=FR$14))   /   SUM(OFFSET($BO$15,0,0,$B$14,1)) + $B$18/($B$19*$B$19*($DN204&lt;&gt;$DO204) + $B$19*($DN204=$DO204))</f>
        <v>0.24287037037037026</v>
      </c>
      <c r="FS204" s="10" cm="1">
        <f t="array" aca="1" ref="FS204" ca="1">(1-$B$18)*SUMPRODUCT(OFFSET($BO$15,0,0,$B$14,1), 1*(_xlfn._xlws.FILTER(OFFSET($O$15,0,$DN204,$B$8,1),OFFSET($M$15,0,0,$B$8,1))=FS$13), 1*(_xlfn._xlws.FILTER(OFFSET($O$15,0,$DO204,$B$8,1),OFFSET($M$15,0,0,$B$8,1))=FS$14))   /   SUM(OFFSET($BO$15,0,0,$B$14,1)) + $B$18/($B$19*$B$19*($DN204&lt;&gt;$DO204) + $B$19*($DN204=$DO204))</f>
        <v>3.7037037037037035E-4</v>
      </c>
      <c r="FT204" s="10" cm="1">
        <f t="array" aca="1" ref="FT204" ca="1">(1-$B$18)*SUMPRODUCT(OFFSET($BO$15,0,0,$B$14,1), 1*(_xlfn._xlws.FILTER(OFFSET($O$15,0,$DN204,$B$8,1),OFFSET($M$15,0,0,$B$8,1))=FT$13), 1*(_xlfn._xlws.FILTER(OFFSET($O$15,0,$DO204,$B$8,1),OFFSET($M$15,0,0,$B$8,1))=FT$14))   /   SUM(OFFSET($BO$15,0,0,$B$14,1)) + $B$18/($B$19*$B$19*($DN204&lt;&gt;$DO204) + $B$19*($DN204=$DO204))</f>
        <v>3.7037037037037035E-4</v>
      </c>
      <c r="FU204" s="10" cm="1">
        <f t="array" aca="1" ref="FU204" ca="1">(1-$B$18)*SUMPRODUCT(OFFSET($BO$15,0,0,$B$14,1), 1*(_xlfn._xlws.FILTER(OFFSET($O$15,0,$DN204,$B$8,1),OFFSET($M$15,0,0,$B$8,1))=FU$13), 1*(_xlfn._xlws.FILTER(OFFSET($O$15,0,$DO204,$B$8,1),OFFSET($M$15,0,0,$B$8,1))=FU$14))   /   SUM(OFFSET($BO$15,0,0,$B$14,1)) + $B$18/($B$19*$B$19*($DN204&lt;&gt;$DO204) + $B$19*($DN204=$DO204))</f>
        <v>3.7037037037037035E-4</v>
      </c>
      <c r="FV204" s="10" cm="1">
        <f t="array" aca="1" ref="FV204" ca="1">(1-$B$18)*SUMPRODUCT(OFFSET($BO$15,0,0,$B$14,1), 1*(_xlfn._xlws.FILTER(OFFSET($O$15,0,$DN204,$B$8,1),OFFSET($M$15,0,0,$B$8,1))=FV$13), 1*(_xlfn._xlws.FILTER(OFFSET($O$15,0,$DO204,$B$8,1),OFFSET($M$15,0,0,$B$8,1))=FV$14))   /   SUM(OFFSET($BO$15,0,0,$B$14,1)) + $B$18/($B$19*$B$19*($DN204&lt;&gt;$DO204) + $B$19*($DN204=$DO204))</f>
        <v>3.7037037037037035E-4</v>
      </c>
      <c r="FW204" s="10" cm="1">
        <f t="array" aca="1" ref="FW204" ca="1">(1-$B$18)*SUMPRODUCT(OFFSET($BO$15,0,0,$B$14,1), 1*(_xlfn._xlws.FILTER(OFFSET($O$15,0,$DN204,$B$8,1),OFFSET($M$15,0,0,$B$8,1))=FW$13), 1*(_xlfn._xlws.FILTER(OFFSET($O$15,0,$DO204,$B$8,1),OFFSET($M$15,0,0,$B$8,1))=FW$14))   /   SUM(OFFSET($BO$15,0,0,$B$14,1)) + $B$18/($B$19*$B$19*($DN204&lt;&gt;$DO204) + $B$19*($DN204=$DO204))</f>
        <v>3.7037037037037035E-4</v>
      </c>
      <c r="FX204" s="10" cm="1">
        <f t="array" aca="1" ref="FX204" ca="1">(1-$B$18)*SUMPRODUCT(OFFSET($BO$15,0,0,$B$14,1), 1*(_xlfn._xlws.FILTER(OFFSET($O$15,0,$DN204,$B$8,1),OFFSET($M$15,0,0,$B$8,1))=FX$13), 1*(_xlfn._xlws.FILTER(OFFSET($O$15,0,$DO204,$B$8,1),OFFSET($M$15,0,0,$B$8,1))=FX$14))   /   SUM(OFFSET($BO$15,0,0,$B$14,1)) + $B$18/($B$19*$B$19*($DN204&lt;&gt;$DO204) + $B$19*($DN204=$DO204))</f>
        <v>3.7037037037037035E-4</v>
      </c>
      <c r="FY204" s="10" cm="1">
        <f t="array" aca="1" ref="FY204" ca="1">(1-$B$18)*SUMPRODUCT(OFFSET($BO$15,0,0,$B$14,1), 1*(_xlfn._xlws.FILTER(OFFSET($O$15,0,$DN204,$B$8,1),OFFSET($M$15,0,0,$B$8,1))=FY$13), 1*(_xlfn._xlws.FILTER(OFFSET($O$15,0,$DO204,$B$8,1),OFFSET($M$15,0,0,$B$8,1))=FY$14))   /   SUM(OFFSET($BO$15,0,0,$B$14,1)) + $B$18/($B$19*$B$19*($DN204&lt;&gt;$DO204) + $B$19*($DN204=$DO204))</f>
        <v>3.7037037037037035E-4</v>
      </c>
      <c r="FZ204" s="10" cm="1">
        <f t="array" aca="1" ref="FZ204" ca="1">(1-$B$18)*SUMPRODUCT(OFFSET($BO$15,0,0,$B$14,1), 1*(_xlfn._xlws.FILTER(OFFSET($O$15,0,$DN204,$B$8,1),OFFSET($M$15,0,0,$B$8,1))=FZ$13), 1*(_xlfn._xlws.FILTER(OFFSET($O$15,0,$DO204,$B$8,1),OFFSET($M$15,0,0,$B$8,1))=FZ$14))   /   SUM(OFFSET($BO$15,0,0,$B$14,1)) + $B$18/($B$19*$B$19*($DN204&lt;&gt;$DO204) + $B$19*($DN204=$DO204))</f>
        <v>3.7037037037037035E-4</v>
      </c>
      <c r="GA204" s="10" cm="1">
        <f t="array" aca="1" ref="GA204" ca="1">(1-$B$18)*SUMPRODUCT(OFFSET($BO$15,0,0,$B$14,1), 1*(_xlfn._xlws.FILTER(OFFSET($O$15,0,$DN204,$B$8,1),OFFSET($M$15,0,0,$B$8,1))=GA$13), 1*(_xlfn._xlws.FILTER(OFFSET($O$15,0,$DO204,$B$8,1),OFFSET($M$15,0,0,$B$8,1))=GA$14))   /   SUM(OFFSET($BO$15,0,0,$B$14,1)) + $B$18/($B$19*$B$19*($DN204&lt;&gt;$DO204) + $B$19*($DN204=$DO204))</f>
        <v>3.7037037037037035E-4</v>
      </c>
    </row>
    <row r="205" spans="118:183" x14ac:dyDescent="0.2">
      <c r="DN205" cm="1">
        <f t="array" aca="1" ref="DN205" ca="1">INDEX(_xlfn.ANCHORARRAY($CP$15), 1 + INT((ROWS($DO$15:$DO205) - 1) / ROWS(_xlfn.ANCHORARRAY($CP$15))))</f>
        <v>11</v>
      </c>
      <c r="DO205" cm="1">
        <f t="array" aca="1" ref="DO205" ca="1">INDEX(_xlfn.ANCHORARRAY($CP$15),1+MOD(ROWS($DO$15:$DO205)-1,ROWS(_xlfn.ANCHORARRAY($CP$15))))</f>
        <v>0</v>
      </c>
      <c r="DP205" s="10" cm="1">
        <f t="array" aca="1" ref="DP205" ca="1">(1-$B$18)*SUMPRODUCT(OFFSET($BO$15,0,0,$B$14,1), 1*(_xlfn._xlws.FILTER(OFFSET($O$15,0,$DN205,$B$8,1),OFFSET($M$15,0,0,$B$8,1))=DP$13), 1*(_xlfn._xlws.FILTER(OFFSET($O$15,0,$DO205,$B$8,1),OFFSET($M$15,0,0,$B$8,1))=DP$14))   /   SUM(OFFSET($BO$15,0,0,$B$14,1)) + $B$18/($B$19*$B$19*($DN205&lt;&gt;$DO205) + $B$19*($DN205=$DO205))</f>
        <v>3.7037037037037035E-4</v>
      </c>
      <c r="DQ205" s="10" cm="1">
        <f t="array" aca="1" ref="DQ205" ca="1">(1-$B$18)*SUMPRODUCT(OFFSET($BO$15,0,0,$B$14,1), 1*(_xlfn._xlws.FILTER(OFFSET($O$15,0,$DN205,$B$8,1),OFFSET($M$15,0,0,$B$8,1))=DQ$13), 1*(_xlfn._xlws.FILTER(OFFSET($O$15,0,$DO205,$B$8,1),OFFSET($M$15,0,0,$B$8,1))=DQ$14))   /   SUM(OFFSET($BO$15,0,0,$B$14,1)) + $B$18/($B$19*$B$19*($DN205&lt;&gt;$DO205) + $B$19*($DN205=$DO205))</f>
        <v>3.7037037037037035E-4</v>
      </c>
      <c r="DR205" s="10" cm="1">
        <f t="array" aca="1" ref="DR205" ca="1">(1-$B$18)*SUMPRODUCT(OFFSET($BO$15,0,0,$B$14,1), 1*(_xlfn._xlws.FILTER(OFFSET($O$15,0,$DN205,$B$8,1),OFFSET($M$15,0,0,$B$8,1))=DR$13), 1*(_xlfn._xlws.FILTER(OFFSET($O$15,0,$DO205,$B$8,1),OFFSET($M$15,0,0,$B$8,1))=DR$14))   /   SUM(OFFSET($BO$15,0,0,$B$14,1)) + $B$18/($B$19*$B$19*($DN205&lt;&gt;$DO205) + $B$19*($DN205=$DO205))</f>
        <v>3.7037037037037035E-4</v>
      </c>
      <c r="DS205" s="10" cm="1">
        <f t="array" aca="1" ref="DS205" ca="1">(1-$B$18)*SUMPRODUCT(OFFSET($BO$15,0,0,$B$14,1), 1*(_xlfn._xlws.FILTER(OFFSET($O$15,0,$DN205,$B$8,1),OFFSET($M$15,0,0,$B$8,1))=DS$13), 1*(_xlfn._xlws.FILTER(OFFSET($O$15,0,$DO205,$B$8,1),OFFSET($M$15,0,0,$B$8,1))=DS$14))   /   SUM(OFFSET($BO$15,0,0,$B$14,1)) + $B$18/($B$19*$B$19*($DN205&lt;&gt;$DO205) + $B$19*($DN205=$DO205))</f>
        <v>3.7037037037037035E-4</v>
      </c>
      <c r="DT205" s="10" cm="1">
        <f t="array" aca="1" ref="DT205" ca="1">(1-$B$18)*SUMPRODUCT(OFFSET($BO$15,0,0,$B$14,1), 1*(_xlfn._xlws.FILTER(OFFSET($O$15,0,$DN205,$B$8,1),OFFSET($M$15,0,0,$B$8,1))=DT$13), 1*(_xlfn._xlws.FILTER(OFFSET($O$15,0,$DO205,$B$8,1),OFFSET($M$15,0,0,$B$8,1))=DT$14))   /   SUM(OFFSET($BO$15,0,0,$B$14,1)) + $B$18/($B$19*$B$19*($DN205&lt;&gt;$DO205) + $B$19*($DN205=$DO205))</f>
        <v>3.7037037037037035E-4</v>
      </c>
      <c r="DU205" s="10" cm="1">
        <f t="array" aca="1" ref="DU205" ca="1">(1-$B$18)*SUMPRODUCT(OFFSET($BO$15,0,0,$B$14,1), 1*(_xlfn._xlws.FILTER(OFFSET($O$15,0,$DN205,$B$8,1),OFFSET($M$15,0,0,$B$8,1))=DU$13), 1*(_xlfn._xlws.FILTER(OFFSET($O$15,0,$DO205,$B$8,1),OFFSET($M$15,0,0,$B$8,1))=DU$14))   /   SUM(OFFSET($BO$15,0,0,$B$14,1)) + $B$18/($B$19*$B$19*($DN205&lt;&gt;$DO205) + $B$19*($DN205=$DO205))</f>
        <v>3.7037037037037035E-4</v>
      </c>
      <c r="DV205" s="10" cm="1">
        <f t="array" aca="1" ref="DV205" ca="1">(1-$B$18)*SUMPRODUCT(OFFSET($BO$15,0,0,$B$14,1), 1*(_xlfn._xlws.FILTER(OFFSET($O$15,0,$DN205,$B$8,1),OFFSET($M$15,0,0,$B$8,1))=DV$13), 1*(_xlfn._xlws.FILTER(OFFSET($O$15,0,$DO205,$B$8,1),OFFSET($M$15,0,0,$B$8,1))=DV$14))   /   SUM(OFFSET($BO$15,0,0,$B$14,1)) + $B$18/($B$19*$B$19*($DN205&lt;&gt;$DO205) + $B$19*($DN205=$DO205))</f>
        <v>0.48537037037037034</v>
      </c>
      <c r="DW205" s="10" cm="1">
        <f t="array" aca="1" ref="DW205" ca="1">(1-$B$18)*SUMPRODUCT(OFFSET($BO$15,0,0,$B$14,1), 1*(_xlfn._xlws.FILTER(OFFSET($O$15,0,$DN205,$B$8,1),OFFSET($M$15,0,0,$B$8,1))=DW$13), 1*(_xlfn._xlws.FILTER(OFFSET($O$15,0,$DO205,$B$8,1),OFFSET($M$15,0,0,$B$8,1))=DW$14))   /   SUM(OFFSET($BO$15,0,0,$B$14,1)) + $B$18/($B$19*$B$19*($DN205&lt;&gt;$DO205) + $B$19*($DN205=$DO205))</f>
        <v>3.7037037037037035E-4</v>
      </c>
      <c r="DX205" s="10" cm="1">
        <f t="array" aca="1" ref="DX205" ca="1">(1-$B$18)*SUMPRODUCT(OFFSET($BO$15,0,0,$B$14,1), 1*(_xlfn._xlws.FILTER(OFFSET($O$15,0,$DN205,$B$8,1),OFFSET($M$15,0,0,$B$8,1))=DX$13), 1*(_xlfn._xlws.FILTER(OFFSET($O$15,0,$DO205,$B$8,1),OFFSET($M$15,0,0,$B$8,1))=DX$14))   /   SUM(OFFSET($BO$15,0,0,$B$14,1)) + $B$18/($B$19*$B$19*($DN205&lt;&gt;$DO205) + $B$19*($DN205=$DO205))</f>
        <v>3.7037037037037035E-4</v>
      </c>
      <c r="DY205" s="10" cm="1">
        <f t="array" aca="1" ref="DY205" ca="1">(1-$B$18)*SUMPRODUCT(OFFSET($BO$15,0,0,$B$14,1), 1*(_xlfn._xlws.FILTER(OFFSET($O$15,0,$DN205,$B$8,1),OFFSET($M$15,0,0,$B$8,1))=DY$13), 1*(_xlfn._xlws.FILTER(OFFSET($O$15,0,$DO205,$B$8,1),OFFSET($M$15,0,0,$B$8,1))=DY$14))   /   SUM(OFFSET($BO$15,0,0,$B$14,1)) + $B$18/($B$19*$B$19*($DN205&lt;&gt;$DO205) + $B$19*($DN205=$DO205))</f>
        <v>3.7037037037037035E-4</v>
      </c>
      <c r="DZ205" s="10" cm="1">
        <f t="array" aca="1" ref="DZ205" ca="1">(1-$B$18)*SUMPRODUCT(OFFSET($BO$15,0,0,$B$14,1), 1*(_xlfn._xlws.FILTER(OFFSET($O$15,0,$DN205,$B$8,1),OFFSET($M$15,0,0,$B$8,1))=DZ$13), 1*(_xlfn._xlws.FILTER(OFFSET($O$15,0,$DO205,$B$8,1),OFFSET($M$15,0,0,$B$8,1))=DZ$14))   /   SUM(OFFSET($BO$15,0,0,$B$14,1)) + $B$18/($B$19*$B$19*($DN205&lt;&gt;$DO205) + $B$19*($DN205=$DO205))</f>
        <v>3.7037037037037035E-4</v>
      </c>
      <c r="EA205" s="10" cm="1">
        <f t="array" aca="1" ref="EA205" ca="1">(1-$B$18)*SUMPRODUCT(OFFSET($BO$15,0,0,$B$14,1), 1*(_xlfn._xlws.FILTER(OFFSET($O$15,0,$DN205,$B$8,1),OFFSET($M$15,0,0,$B$8,1))=EA$13), 1*(_xlfn._xlws.FILTER(OFFSET($O$15,0,$DO205,$B$8,1),OFFSET($M$15,0,0,$B$8,1))=EA$14))   /   SUM(OFFSET($BO$15,0,0,$B$14,1)) + $B$18/($B$19*$B$19*($DN205&lt;&gt;$DO205) + $B$19*($DN205=$DO205))</f>
        <v>3.7037037037037035E-4</v>
      </c>
      <c r="EB205" s="10" cm="1">
        <f t="array" aca="1" ref="EB205" ca="1">(1-$B$18)*SUMPRODUCT(OFFSET($BO$15,0,0,$B$14,1), 1*(_xlfn._xlws.FILTER(OFFSET($O$15,0,$DN205,$B$8,1),OFFSET($M$15,0,0,$B$8,1))=EB$13), 1*(_xlfn._xlws.FILTER(OFFSET($O$15,0,$DO205,$B$8,1),OFFSET($M$15,0,0,$B$8,1))=EB$14))   /   SUM(OFFSET($BO$15,0,0,$B$14,1)) + $B$18/($B$19*$B$19*($DN205&lt;&gt;$DO205) + $B$19*($DN205=$DO205))</f>
        <v>3.7037037037037035E-4</v>
      </c>
      <c r="EC205" s="10" cm="1">
        <f t="array" aca="1" ref="EC205" ca="1">(1-$B$18)*SUMPRODUCT(OFFSET($BO$15,0,0,$B$14,1), 1*(_xlfn._xlws.FILTER(OFFSET($O$15,0,$DN205,$B$8,1),OFFSET($M$15,0,0,$B$8,1))=EC$13), 1*(_xlfn._xlws.FILTER(OFFSET($O$15,0,$DO205,$B$8,1),OFFSET($M$15,0,0,$B$8,1))=EC$14))   /   SUM(OFFSET($BO$15,0,0,$B$14,1)) + $B$18/($B$19*$B$19*($DN205&lt;&gt;$DO205) + $B$19*($DN205=$DO205))</f>
        <v>3.7037037037037035E-4</v>
      </c>
      <c r="ED205" s="10" cm="1">
        <f t="array" aca="1" ref="ED205" ca="1">(1-$B$18)*SUMPRODUCT(OFFSET($BO$15,0,0,$B$14,1), 1*(_xlfn._xlws.FILTER(OFFSET($O$15,0,$DN205,$B$8,1),OFFSET($M$15,0,0,$B$8,1))=ED$13), 1*(_xlfn._xlws.FILTER(OFFSET($O$15,0,$DO205,$B$8,1),OFFSET($M$15,0,0,$B$8,1))=ED$14))   /   SUM(OFFSET($BO$15,0,0,$B$14,1)) + $B$18/($B$19*$B$19*($DN205&lt;&gt;$DO205) + $B$19*($DN205=$DO205))</f>
        <v>3.7037037037037035E-4</v>
      </c>
      <c r="EE205" s="10" cm="1">
        <f t="array" aca="1" ref="EE205" ca="1">(1-$B$18)*SUMPRODUCT(OFFSET($BO$15,0,0,$B$14,1), 1*(_xlfn._xlws.FILTER(OFFSET($O$15,0,$DN205,$B$8,1),OFFSET($M$15,0,0,$B$8,1))=EE$13), 1*(_xlfn._xlws.FILTER(OFFSET($O$15,0,$DO205,$B$8,1),OFFSET($M$15,0,0,$B$8,1))=EE$14))   /   SUM(OFFSET($BO$15,0,0,$B$14,1)) + $B$18/($B$19*$B$19*($DN205&lt;&gt;$DO205) + $B$19*($DN205=$DO205))</f>
        <v>3.7037037037037035E-4</v>
      </c>
      <c r="EF205" s="10" cm="1">
        <f t="array" aca="1" ref="EF205" ca="1">(1-$B$18)*SUMPRODUCT(OFFSET($BO$15,0,0,$B$14,1), 1*(_xlfn._xlws.FILTER(OFFSET($O$15,0,$DN205,$B$8,1),OFFSET($M$15,0,0,$B$8,1))=EF$13), 1*(_xlfn._xlws.FILTER(OFFSET($O$15,0,$DO205,$B$8,1),OFFSET($M$15,0,0,$B$8,1))=EF$14))   /   SUM(OFFSET($BO$15,0,0,$B$14,1)) + $B$18/($B$19*$B$19*($DN205&lt;&gt;$DO205) + $B$19*($DN205=$DO205))</f>
        <v>3.7037037037037035E-4</v>
      </c>
      <c r="EG205" s="10" cm="1">
        <f t="array" aca="1" ref="EG205" ca="1">(1-$B$18)*SUMPRODUCT(OFFSET($BO$15,0,0,$B$14,1), 1*(_xlfn._xlws.FILTER(OFFSET($O$15,0,$DN205,$B$8,1),OFFSET($M$15,0,0,$B$8,1))=EG$13), 1*(_xlfn._xlws.FILTER(OFFSET($O$15,0,$DO205,$B$8,1),OFFSET($M$15,0,0,$B$8,1))=EG$14))   /   SUM(OFFSET($BO$15,0,0,$B$14,1)) + $B$18/($B$19*$B$19*($DN205&lt;&gt;$DO205) + $B$19*($DN205=$DO205))</f>
        <v>3.7037037037037035E-4</v>
      </c>
      <c r="EH205" s="10" cm="1">
        <f t="array" aca="1" ref="EH205" ca="1">(1-$B$18)*SUMPRODUCT(OFFSET($BO$15,0,0,$B$14,1), 1*(_xlfn._xlws.FILTER(OFFSET($O$15,0,$DN205,$B$8,1),OFFSET($M$15,0,0,$B$8,1))=EH$13), 1*(_xlfn._xlws.FILTER(OFFSET($O$15,0,$DO205,$B$8,1),OFFSET($M$15,0,0,$B$8,1))=EH$14))   /   SUM(OFFSET($BO$15,0,0,$B$14,1)) + $B$18/($B$19*$B$19*($DN205&lt;&gt;$DO205) + $B$19*($DN205=$DO205))</f>
        <v>3.7037037037037035E-4</v>
      </c>
      <c r="EI205" s="10" cm="1">
        <f t="array" aca="1" ref="EI205" ca="1">(1-$B$18)*SUMPRODUCT(OFFSET($BO$15,0,0,$B$14,1), 1*(_xlfn._xlws.FILTER(OFFSET($O$15,0,$DN205,$B$8,1),OFFSET($M$15,0,0,$B$8,1))=EI$13), 1*(_xlfn._xlws.FILTER(OFFSET($O$15,0,$DO205,$B$8,1),OFFSET($M$15,0,0,$B$8,1))=EI$14))   /   SUM(OFFSET($BO$15,0,0,$B$14,1)) + $B$18/($B$19*$B$19*($DN205&lt;&gt;$DO205) + $B$19*($DN205=$DO205))</f>
        <v>3.7037037037037035E-4</v>
      </c>
      <c r="EJ205" s="10" cm="1">
        <f t="array" aca="1" ref="EJ205" ca="1">(1-$B$18)*SUMPRODUCT(OFFSET($BO$15,0,0,$B$14,1), 1*(_xlfn._xlws.FILTER(OFFSET($O$15,0,$DN205,$B$8,1),OFFSET($M$15,0,0,$B$8,1))=EJ$13), 1*(_xlfn._xlws.FILTER(OFFSET($O$15,0,$DO205,$B$8,1),OFFSET($M$15,0,0,$B$8,1))=EJ$14))   /   SUM(OFFSET($BO$15,0,0,$B$14,1)) + $B$18/($B$19*$B$19*($DN205&lt;&gt;$DO205) + $B$19*($DN205=$DO205))</f>
        <v>3.7037037037037035E-4</v>
      </c>
      <c r="EK205" s="10" cm="1">
        <f t="array" aca="1" ref="EK205" ca="1">(1-$B$18)*SUMPRODUCT(OFFSET($BO$15,0,0,$B$14,1), 1*(_xlfn._xlws.FILTER(OFFSET($O$15,0,$DN205,$B$8,1),OFFSET($M$15,0,0,$B$8,1))=EK$13), 1*(_xlfn._xlws.FILTER(OFFSET($O$15,0,$DO205,$B$8,1),OFFSET($M$15,0,0,$B$8,1))=EK$14))   /   SUM(OFFSET($BO$15,0,0,$B$14,1)) + $B$18/($B$19*$B$19*($DN205&lt;&gt;$DO205) + $B$19*($DN205=$DO205))</f>
        <v>3.7037037037037035E-4</v>
      </c>
      <c r="EL205" s="10" cm="1">
        <f t="array" aca="1" ref="EL205" ca="1">(1-$B$18)*SUMPRODUCT(OFFSET($BO$15,0,0,$B$14,1), 1*(_xlfn._xlws.FILTER(OFFSET($O$15,0,$DN205,$B$8,1),OFFSET($M$15,0,0,$B$8,1))=EL$13), 1*(_xlfn._xlws.FILTER(OFFSET($O$15,0,$DO205,$B$8,1),OFFSET($M$15,0,0,$B$8,1))=EL$14))   /   SUM(OFFSET($BO$15,0,0,$B$14,1)) + $B$18/($B$19*$B$19*($DN205&lt;&gt;$DO205) + $B$19*($DN205=$DO205))</f>
        <v>0.24287037037037026</v>
      </c>
      <c r="EM205" s="10" cm="1">
        <f t="array" aca="1" ref="EM205" ca="1">(1-$B$18)*SUMPRODUCT(OFFSET($BO$15,0,0,$B$14,1), 1*(_xlfn._xlws.FILTER(OFFSET($O$15,0,$DN205,$B$8,1),OFFSET($M$15,0,0,$B$8,1))=EM$13), 1*(_xlfn._xlws.FILTER(OFFSET($O$15,0,$DO205,$B$8,1),OFFSET($M$15,0,0,$B$8,1))=EM$14))   /   SUM(OFFSET($BO$15,0,0,$B$14,1)) + $B$18/($B$19*$B$19*($DN205&lt;&gt;$DO205) + $B$19*($DN205=$DO205))</f>
        <v>3.7037037037037035E-4</v>
      </c>
      <c r="EN205" s="10" cm="1">
        <f t="array" aca="1" ref="EN205" ca="1">(1-$B$18)*SUMPRODUCT(OFFSET($BO$15,0,0,$B$14,1), 1*(_xlfn._xlws.FILTER(OFFSET($O$15,0,$DN205,$B$8,1),OFFSET($M$15,0,0,$B$8,1))=EN$13), 1*(_xlfn._xlws.FILTER(OFFSET($O$15,0,$DO205,$B$8,1),OFFSET($M$15,0,0,$B$8,1))=EN$14))   /   SUM(OFFSET($BO$15,0,0,$B$14,1)) + $B$18/($B$19*$B$19*($DN205&lt;&gt;$DO205) + $B$19*($DN205=$DO205))</f>
        <v>3.7037037037037035E-4</v>
      </c>
      <c r="EO205" s="10" cm="1">
        <f t="array" aca="1" ref="EO205" ca="1">(1-$B$18)*SUMPRODUCT(OFFSET($BO$15,0,0,$B$14,1), 1*(_xlfn._xlws.FILTER(OFFSET($O$15,0,$DN205,$B$8,1),OFFSET($M$15,0,0,$B$8,1))=EO$13), 1*(_xlfn._xlws.FILTER(OFFSET($O$15,0,$DO205,$B$8,1),OFFSET($M$15,0,0,$B$8,1))=EO$14))   /   SUM(OFFSET($BO$15,0,0,$B$14,1)) + $B$18/($B$19*$B$19*($DN205&lt;&gt;$DO205) + $B$19*($DN205=$DO205))</f>
        <v>3.7037037037037035E-4</v>
      </c>
      <c r="EP205" s="10" cm="1">
        <f t="array" aca="1" ref="EP205" ca="1">(1-$B$18)*SUMPRODUCT(OFFSET($BO$15,0,0,$B$14,1), 1*(_xlfn._xlws.FILTER(OFFSET($O$15,0,$DN205,$B$8,1),OFFSET($M$15,0,0,$B$8,1))=EP$13), 1*(_xlfn._xlws.FILTER(OFFSET($O$15,0,$DO205,$B$8,1),OFFSET($M$15,0,0,$B$8,1))=EP$14))   /   SUM(OFFSET($BO$15,0,0,$B$14,1)) + $B$18/($B$19*$B$19*($DN205&lt;&gt;$DO205) + $B$19*($DN205=$DO205))</f>
        <v>3.7037037037037035E-4</v>
      </c>
      <c r="EQ205" s="10" cm="1">
        <f t="array" aca="1" ref="EQ205" ca="1">(1-$B$18)*SUMPRODUCT(OFFSET($BO$15,0,0,$B$14,1), 1*(_xlfn._xlws.FILTER(OFFSET($O$15,0,$DN205,$B$8,1),OFFSET($M$15,0,0,$B$8,1))=EQ$13), 1*(_xlfn._xlws.FILTER(OFFSET($O$15,0,$DO205,$B$8,1),OFFSET($M$15,0,0,$B$8,1))=EQ$14))   /   SUM(OFFSET($BO$15,0,0,$B$14,1)) + $B$18/($B$19*$B$19*($DN205&lt;&gt;$DO205) + $B$19*($DN205=$DO205))</f>
        <v>3.7037037037037035E-4</v>
      </c>
      <c r="ER205" s="10" cm="1">
        <f t="array" aca="1" ref="ER205" ca="1">(1-$B$18)*SUMPRODUCT(OFFSET($BO$15,0,0,$B$14,1), 1*(_xlfn._xlws.FILTER(OFFSET($O$15,0,$DN205,$B$8,1),OFFSET($M$15,0,0,$B$8,1))=ER$13), 1*(_xlfn._xlws.FILTER(OFFSET($O$15,0,$DO205,$B$8,1),OFFSET($M$15,0,0,$B$8,1))=ER$14))   /   SUM(OFFSET($BO$15,0,0,$B$14,1)) + $B$18/($B$19*$B$19*($DN205&lt;&gt;$DO205) + $B$19*($DN205=$DO205))</f>
        <v>3.7037037037037035E-4</v>
      </c>
      <c r="ES205" s="10" cm="1">
        <f t="array" aca="1" ref="ES205" ca="1">(1-$B$18)*SUMPRODUCT(OFFSET($BO$15,0,0,$B$14,1), 1*(_xlfn._xlws.FILTER(OFFSET($O$15,0,$DN205,$B$8,1),OFFSET($M$15,0,0,$B$8,1))=ES$13), 1*(_xlfn._xlws.FILTER(OFFSET($O$15,0,$DO205,$B$8,1),OFFSET($M$15,0,0,$B$8,1))=ES$14))   /   SUM(OFFSET($BO$15,0,0,$B$14,1)) + $B$18/($B$19*$B$19*($DN205&lt;&gt;$DO205) + $B$19*($DN205=$DO205))</f>
        <v>3.7037037037037035E-4</v>
      </c>
      <c r="ET205" s="10" cm="1">
        <f t="array" aca="1" ref="ET205" ca="1">(1-$B$18)*SUMPRODUCT(OFFSET($BO$15,0,0,$B$14,1), 1*(_xlfn._xlws.FILTER(OFFSET($O$15,0,$DN205,$B$8,1),OFFSET($M$15,0,0,$B$8,1))=ET$13), 1*(_xlfn._xlws.FILTER(OFFSET($O$15,0,$DO205,$B$8,1),OFFSET($M$15,0,0,$B$8,1))=ET$14))   /   SUM(OFFSET($BO$15,0,0,$B$14,1)) + $B$18/($B$19*$B$19*($DN205&lt;&gt;$DO205) + $B$19*($DN205=$DO205))</f>
        <v>0.24287037037037026</v>
      </c>
      <c r="EU205" s="10" cm="1">
        <f t="array" aca="1" ref="EU205" ca="1">(1-$B$18)*SUMPRODUCT(OFFSET($BO$15,0,0,$B$14,1), 1*(_xlfn._xlws.FILTER(OFFSET($O$15,0,$DN205,$B$8,1),OFFSET($M$15,0,0,$B$8,1))=EU$13), 1*(_xlfn._xlws.FILTER(OFFSET($O$15,0,$DO205,$B$8,1),OFFSET($M$15,0,0,$B$8,1))=EU$14))   /   SUM(OFFSET($BO$15,0,0,$B$14,1)) + $B$18/($B$19*$B$19*($DN205&lt;&gt;$DO205) + $B$19*($DN205=$DO205))</f>
        <v>3.7037037037037035E-4</v>
      </c>
      <c r="EV205" s="10" cm="1">
        <f t="array" aca="1" ref="EV205" ca="1">(1-$B$18)*SUMPRODUCT(OFFSET($BO$15,0,0,$B$14,1), 1*(_xlfn._xlws.FILTER(OFFSET($O$15,0,$DN205,$B$8,1),OFFSET($M$15,0,0,$B$8,1))=EV$13), 1*(_xlfn._xlws.FILTER(OFFSET($O$15,0,$DO205,$B$8,1),OFFSET($M$15,0,0,$B$8,1))=EV$14))   /   SUM(OFFSET($BO$15,0,0,$B$14,1)) + $B$18/($B$19*$B$19*($DN205&lt;&gt;$DO205) + $B$19*($DN205=$DO205))</f>
        <v>3.7037037037037035E-4</v>
      </c>
      <c r="EW205" s="10" cm="1">
        <f t="array" aca="1" ref="EW205" ca="1">(1-$B$18)*SUMPRODUCT(OFFSET($BO$15,0,0,$B$14,1), 1*(_xlfn._xlws.FILTER(OFFSET($O$15,0,$DN205,$B$8,1),OFFSET($M$15,0,0,$B$8,1))=EW$13), 1*(_xlfn._xlws.FILTER(OFFSET($O$15,0,$DO205,$B$8,1),OFFSET($M$15,0,0,$B$8,1))=EW$14))   /   SUM(OFFSET($BO$15,0,0,$B$14,1)) + $B$18/($B$19*$B$19*($DN205&lt;&gt;$DO205) + $B$19*($DN205=$DO205))</f>
        <v>3.7037037037037035E-4</v>
      </c>
      <c r="EX205" s="10" cm="1">
        <f t="array" aca="1" ref="EX205" ca="1">(1-$B$18)*SUMPRODUCT(OFFSET($BO$15,0,0,$B$14,1), 1*(_xlfn._xlws.FILTER(OFFSET($O$15,0,$DN205,$B$8,1),OFFSET($M$15,0,0,$B$8,1))=EX$13), 1*(_xlfn._xlws.FILTER(OFFSET($O$15,0,$DO205,$B$8,1),OFFSET($M$15,0,0,$B$8,1))=EX$14))   /   SUM(OFFSET($BO$15,0,0,$B$14,1)) + $B$18/($B$19*$B$19*($DN205&lt;&gt;$DO205) + $B$19*($DN205=$DO205))</f>
        <v>3.7037037037037035E-4</v>
      </c>
      <c r="EY205" s="10" cm="1">
        <f t="array" aca="1" ref="EY205" ca="1">(1-$B$18)*SUMPRODUCT(OFFSET($BO$15,0,0,$B$14,1), 1*(_xlfn._xlws.FILTER(OFFSET($O$15,0,$DN205,$B$8,1),OFFSET($M$15,0,0,$B$8,1))=EY$13), 1*(_xlfn._xlws.FILTER(OFFSET($O$15,0,$DO205,$B$8,1),OFFSET($M$15,0,0,$B$8,1))=EY$14))   /   SUM(OFFSET($BO$15,0,0,$B$14,1)) + $B$18/($B$19*$B$19*($DN205&lt;&gt;$DO205) + $B$19*($DN205=$DO205))</f>
        <v>3.7037037037037035E-4</v>
      </c>
      <c r="EZ205" s="10" cm="1">
        <f t="array" aca="1" ref="EZ205" ca="1">(1-$B$18)*SUMPRODUCT(OFFSET($BO$15,0,0,$B$14,1), 1*(_xlfn._xlws.FILTER(OFFSET($O$15,0,$DN205,$B$8,1),OFFSET($M$15,0,0,$B$8,1))=EZ$13), 1*(_xlfn._xlws.FILTER(OFFSET($O$15,0,$DO205,$B$8,1),OFFSET($M$15,0,0,$B$8,1))=EZ$14))   /   SUM(OFFSET($BO$15,0,0,$B$14,1)) + $B$18/($B$19*$B$19*($DN205&lt;&gt;$DO205) + $B$19*($DN205=$DO205))</f>
        <v>3.7037037037037035E-4</v>
      </c>
      <c r="FA205" s="10" cm="1">
        <f t="array" aca="1" ref="FA205" ca="1">(1-$B$18)*SUMPRODUCT(OFFSET($BO$15,0,0,$B$14,1), 1*(_xlfn._xlws.FILTER(OFFSET($O$15,0,$DN205,$B$8,1),OFFSET($M$15,0,0,$B$8,1))=FA$13), 1*(_xlfn._xlws.FILTER(OFFSET($O$15,0,$DO205,$B$8,1),OFFSET($M$15,0,0,$B$8,1))=FA$14))   /   SUM(OFFSET($BO$15,0,0,$B$14,1)) + $B$18/($B$19*$B$19*($DN205&lt;&gt;$DO205) + $B$19*($DN205=$DO205))</f>
        <v>3.7037037037037035E-4</v>
      </c>
      <c r="FB205" s="10" cm="1">
        <f t="array" aca="1" ref="FB205" ca="1">(1-$B$18)*SUMPRODUCT(OFFSET($BO$15,0,0,$B$14,1), 1*(_xlfn._xlws.FILTER(OFFSET($O$15,0,$DN205,$B$8,1),OFFSET($M$15,0,0,$B$8,1))=FB$13), 1*(_xlfn._xlws.FILTER(OFFSET($O$15,0,$DO205,$B$8,1),OFFSET($M$15,0,0,$B$8,1))=FB$14))   /   SUM(OFFSET($BO$15,0,0,$B$14,1)) + $B$18/($B$19*$B$19*($DN205&lt;&gt;$DO205) + $B$19*($DN205=$DO205))</f>
        <v>3.7037037037037035E-4</v>
      </c>
      <c r="FC205" s="10" cm="1">
        <f t="array" aca="1" ref="FC205" ca="1">(1-$B$18)*SUMPRODUCT(OFFSET($BO$15,0,0,$B$14,1), 1*(_xlfn._xlws.FILTER(OFFSET($O$15,0,$DN205,$B$8,1),OFFSET($M$15,0,0,$B$8,1))=FC$13), 1*(_xlfn._xlws.FILTER(OFFSET($O$15,0,$DO205,$B$8,1),OFFSET($M$15,0,0,$B$8,1))=FC$14))   /   SUM(OFFSET($BO$15,0,0,$B$14,1)) + $B$18/($B$19*$B$19*($DN205&lt;&gt;$DO205) + $B$19*($DN205=$DO205))</f>
        <v>3.7037037037037035E-4</v>
      </c>
      <c r="FD205" s="10" cm="1">
        <f t="array" aca="1" ref="FD205" ca="1">(1-$B$18)*SUMPRODUCT(OFFSET($BO$15,0,0,$B$14,1), 1*(_xlfn._xlws.FILTER(OFFSET($O$15,0,$DN205,$B$8,1),OFFSET($M$15,0,0,$B$8,1))=FD$13), 1*(_xlfn._xlws.FILTER(OFFSET($O$15,0,$DO205,$B$8,1),OFFSET($M$15,0,0,$B$8,1))=FD$14))   /   SUM(OFFSET($BO$15,0,0,$B$14,1)) + $B$18/($B$19*$B$19*($DN205&lt;&gt;$DO205) + $B$19*($DN205=$DO205))</f>
        <v>3.7037037037037035E-4</v>
      </c>
      <c r="FE205" s="10" cm="1">
        <f t="array" aca="1" ref="FE205" ca="1">(1-$B$18)*SUMPRODUCT(OFFSET($BO$15,0,0,$B$14,1), 1*(_xlfn._xlws.FILTER(OFFSET($O$15,0,$DN205,$B$8,1),OFFSET($M$15,0,0,$B$8,1))=FE$13), 1*(_xlfn._xlws.FILTER(OFFSET($O$15,0,$DO205,$B$8,1),OFFSET($M$15,0,0,$B$8,1))=FE$14))   /   SUM(OFFSET($BO$15,0,0,$B$14,1)) + $B$18/($B$19*$B$19*($DN205&lt;&gt;$DO205) + $B$19*($DN205=$DO205))</f>
        <v>3.7037037037037035E-4</v>
      </c>
      <c r="FF205" s="10" cm="1">
        <f t="array" aca="1" ref="FF205" ca="1">(1-$B$18)*SUMPRODUCT(OFFSET($BO$15,0,0,$B$14,1), 1*(_xlfn._xlws.FILTER(OFFSET($O$15,0,$DN205,$B$8,1),OFFSET($M$15,0,0,$B$8,1))=FF$13), 1*(_xlfn._xlws.FILTER(OFFSET($O$15,0,$DO205,$B$8,1),OFFSET($M$15,0,0,$B$8,1))=FF$14))   /   SUM(OFFSET($BO$15,0,0,$B$14,1)) + $B$18/($B$19*$B$19*($DN205&lt;&gt;$DO205) + $B$19*($DN205=$DO205))</f>
        <v>3.7037037037037035E-4</v>
      </c>
      <c r="FG205" s="10" cm="1">
        <f t="array" aca="1" ref="FG205" ca="1">(1-$B$18)*SUMPRODUCT(OFFSET($BO$15,0,0,$B$14,1), 1*(_xlfn._xlws.FILTER(OFFSET($O$15,0,$DN205,$B$8,1),OFFSET($M$15,0,0,$B$8,1))=FG$13), 1*(_xlfn._xlws.FILTER(OFFSET($O$15,0,$DO205,$B$8,1),OFFSET($M$15,0,0,$B$8,1))=FG$14))   /   SUM(OFFSET($BO$15,0,0,$B$14,1)) + $B$18/($B$19*$B$19*($DN205&lt;&gt;$DO205) + $B$19*($DN205=$DO205))</f>
        <v>3.7037037037037035E-4</v>
      </c>
      <c r="FH205" s="10" cm="1">
        <f t="array" aca="1" ref="FH205" ca="1">(1-$B$18)*SUMPRODUCT(OFFSET($BO$15,0,0,$B$14,1), 1*(_xlfn._xlws.FILTER(OFFSET($O$15,0,$DN205,$B$8,1),OFFSET($M$15,0,0,$B$8,1))=FH$13), 1*(_xlfn._xlws.FILTER(OFFSET($O$15,0,$DO205,$B$8,1),OFFSET($M$15,0,0,$B$8,1))=FH$14))   /   SUM(OFFSET($BO$15,0,0,$B$14,1)) + $B$18/($B$19*$B$19*($DN205&lt;&gt;$DO205) + $B$19*($DN205=$DO205))</f>
        <v>3.7037037037037035E-4</v>
      </c>
      <c r="FI205" s="10" cm="1">
        <f t="array" aca="1" ref="FI205" ca="1">(1-$B$18)*SUMPRODUCT(OFFSET($BO$15,0,0,$B$14,1), 1*(_xlfn._xlws.FILTER(OFFSET($O$15,0,$DN205,$B$8,1),OFFSET($M$15,0,0,$B$8,1))=FI$13), 1*(_xlfn._xlws.FILTER(OFFSET($O$15,0,$DO205,$B$8,1),OFFSET($M$15,0,0,$B$8,1))=FI$14))   /   SUM(OFFSET($BO$15,0,0,$B$14,1)) + $B$18/($B$19*$B$19*($DN205&lt;&gt;$DO205) + $B$19*($DN205=$DO205))</f>
        <v>3.7037037037037035E-4</v>
      </c>
      <c r="FJ205" s="10" cm="1">
        <f t="array" aca="1" ref="FJ205" ca="1">(1-$B$18)*SUMPRODUCT(OFFSET($BO$15,0,0,$B$14,1), 1*(_xlfn._xlws.FILTER(OFFSET($O$15,0,$DN205,$B$8,1),OFFSET($M$15,0,0,$B$8,1))=FJ$13), 1*(_xlfn._xlws.FILTER(OFFSET($O$15,0,$DO205,$B$8,1),OFFSET($M$15,0,0,$B$8,1))=FJ$14))   /   SUM(OFFSET($BO$15,0,0,$B$14,1)) + $B$18/($B$19*$B$19*($DN205&lt;&gt;$DO205) + $B$19*($DN205=$DO205))</f>
        <v>3.7037037037037035E-4</v>
      </c>
      <c r="FK205" s="10" cm="1">
        <f t="array" aca="1" ref="FK205" ca="1">(1-$B$18)*SUMPRODUCT(OFFSET($BO$15,0,0,$B$14,1), 1*(_xlfn._xlws.FILTER(OFFSET($O$15,0,$DN205,$B$8,1),OFFSET($M$15,0,0,$B$8,1))=FK$13), 1*(_xlfn._xlws.FILTER(OFFSET($O$15,0,$DO205,$B$8,1),OFFSET($M$15,0,0,$B$8,1))=FK$14))   /   SUM(OFFSET($BO$15,0,0,$B$14,1)) + $B$18/($B$19*$B$19*($DN205&lt;&gt;$DO205) + $B$19*($DN205=$DO205))</f>
        <v>3.7037037037037035E-4</v>
      </c>
      <c r="FL205" s="10" cm="1">
        <f t="array" aca="1" ref="FL205" ca="1">(1-$B$18)*SUMPRODUCT(OFFSET($BO$15,0,0,$B$14,1), 1*(_xlfn._xlws.FILTER(OFFSET($O$15,0,$DN205,$B$8,1),OFFSET($M$15,0,0,$B$8,1))=FL$13), 1*(_xlfn._xlws.FILTER(OFFSET($O$15,0,$DO205,$B$8,1),OFFSET($M$15,0,0,$B$8,1))=FL$14))   /   SUM(OFFSET($BO$15,0,0,$B$14,1)) + $B$18/($B$19*$B$19*($DN205&lt;&gt;$DO205) + $B$19*($DN205=$DO205))</f>
        <v>3.7037037037037035E-4</v>
      </c>
      <c r="FM205" s="10" cm="1">
        <f t="array" aca="1" ref="FM205" ca="1">(1-$B$18)*SUMPRODUCT(OFFSET($BO$15,0,0,$B$14,1), 1*(_xlfn._xlws.FILTER(OFFSET($O$15,0,$DN205,$B$8,1),OFFSET($M$15,0,0,$B$8,1))=FM$13), 1*(_xlfn._xlws.FILTER(OFFSET($O$15,0,$DO205,$B$8,1),OFFSET($M$15,0,0,$B$8,1))=FM$14))   /   SUM(OFFSET($BO$15,0,0,$B$14,1)) + $B$18/($B$19*$B$19*($DN205&lt;&gt;$DO205) + $B$19*($DN205=$DO205))</f>
        <v>3.7037037037037035E-4</v>
      </c>
      <c r="FN205" s="10" cm="1">
        <f t="array" aca="1" ref="FN205" ca="1">(1-$B$18)*SUMPRODUCT(OFFSET($BO$15,0,0,$B$14,1), 1*(_xlfn._xlws.FILTER(OFFSET($O$15,0,$DN205,$B$8,1),OFFSET($M$15,0,0,$B$8,1))=FN$13), 1*(_xlfn._xlws.FILTER(OFFSET($O$15,0,$DO205,$B$8,1),OFFSET($M$15,0,0,$B$8,1))=FN$14))   /   SUM(OFFSET($BO$15,0,0,$B$14,1)) + $B$18/($B$19*$B$19*($DN205&lt;&gt;$DO205) + $B$19*($DN205=$DO205))</f>
        <v>3.7037037037037035E-4</v>
      </c>
      <c r="FO205" s="10" cm="1">
        <f t="array" aca="1" ref="FO205" ca="1">(1-$B$18)*SUMPRODUCT(OFFSET($BO$15,0,0,$B$14,1), 1*(_xlfn._xlws.FILTER(OFFSET($O$15,0,$DN205,$B$8,1),OFFSET($M$15,0,0,$B$8,1))=FO$13), 1*(_xlfn._xlws.FILTER(OFFSET($O$15,0,$DO205,$B$8,1),OFFSET($M$15,0,0,$B$8,1))=FO$14))   /   SUM(OFFSET($BO$15,0,0,$B$14,1)) + $B$18/($B$19*$B$19*($DN205&lt;&gt;$DO205) + $B$19*($DN205=$DO205))</f>
        <v>3.7037037037037035E-4</v>
      </c>
      <c r="FP205" s="10" cm="1">
        <f t="array" aca="1" ref="FP205" ca="1">(1-$B$18)*SUMPRODUCT(OFFSET($BO$15,0,0,$B$14,1), 1*(_xlfn._xlws.FILTER(OFFSET($O$15,0,$DN205,$B$8,1),OFFSET($M$15,0,0,$B$8,1))=FP$13), 1*(_xlfn._xlws.FILTER(OFFSET($O$15,0,$DO205,$B$8,1),OFFSET($M$15,0,0,$B$8,1))=FP$14))   /   SUM(OFFSET($BO$15,0,0,$B$14,1)) + $B$18/($B$19*$B$19*($DN205&lt;&gt;$DO205) + $B$19*($DN205=$DO205))</f>
        <v>3.7037037037037035E-4</v>
      </c>
      <c r="FQ205" s="10" cm="1">
        <f t="array" aca="1" ref="FQ205" ca="1">(1-$B$18)*SUMPRODUCT(OFFSET($BO$15,0,0,$B$14,1), 1*(_xlfn._xlws.FILTER(OFFSET($O$15,0,$DN205,$B$8,1),OFFSET($M$15,0,0,$B$8,1))=FQ$13), 1*(_xlfn._xlws.FILTER(OFFSET($O$15,0,$DO205,$B$8,1),OFFSET($M$15,0,0,$B$8,1))=FQ$14))   /   SUM(OFFSET($BO$15,0,0,$B$14,1)) + $B$18/($B$19*$B$19*($DN205&lt;&gt;$DO205) + $B$19*($DN205=$DO205))</f>
        <v>3.7037037037037035E-4</v>
      </c>
      <c r="FR205" s="10" cm="1">
        <f t="array" aca="1" ref="FR205" ca="1">(1-$B$18)*SUMPRODUCT(OFFSET($BO$15,0,0,$B$14,1), 1*(_xlfn._xlws.FILTER(OFFSET($O$15,0,$DN205,$B$8,1),OFFSET($M$15,0,0,$B$8,1))=FR$13), 1*(_xlfn._xlws.FILTER(OFFSET($O$15,0,$DO205,$B$8,1),OFFSET($M$15,0,0,$B$8,1))=FR$14))   /   SUM(OFFSET($BO$15,0,0,$B$14,1)) + $B$18/($B$19*$B$19*($DN205&lt;&gt;$DO205) + $B$19*($DN205=$DO205))</f>
        <v>3.7037037037037035E-4</v>
      </c>
      <c r="FS205" s="10" cm="1">
        <f t="array" aca="1" ref="FS205" ca="1">(1-$B$18)*SUMPRODUCT(OFFSET($BO$15,0,0,$B$14,1), 1*(_xlfn._xlws.FILTER(OFFSET($O$15,0,$DN205,$B$8,1),OFFSET($M$15,0,0,$B$8,1))=FS$13), 1*(_xlfn._xlws.FILTER(OFFSET($O$15,0,$DO205,$B$8,1),OFFSET($M$15,0,0,$B$8,1))=FS$14))   /   SUM(OFFSET($BO$15,0,0,$B$14,1)) + $B$18/($B$19*$B$19*($DN205&lt;&gt;$DO205) + $B$19*($DN205=$DO205))</f>
        <v>3.7037037037037035E-4</v>
      </c>
      <c r="FT205" s="10" cm="1">
        <f t="array" aca="1" ref="FT205" ca="1">(1-$B$18)*SUMPRODUCT(OFFSET($BO$15,0,0,$B$14,1), 1*(_xlfn._xlws.FILTER(OFFSET($O$15,0,$DN205,$B$8,1),OFFSET($M$15,0,0,$B$8,1))=FT$13), 1*(_xlfn._xlws.FILTER(OFFSET($O$15,0,$DO205,$B$8,1),OFFSET($M$15,0,0,$B$8,1))=FT$14))   /   SUM(OFFSET($BO$15,0,0,$B$14,1)) + $B$18/($B$19*$B$19*($DN205&lt;&gt;$DO205) + $B$19*($DN205=$DO205))</f>
        <v>3.7037037037037035E-4</v>
      </c>
      <c r="FU205" s="10" cm="1">
        <f t="array" aca="1" ref="FU205" ca="1">(1-$B$18)*SUMPRODUCT(OFFSET($BO$15,0,0,$B$14,1), 1*(_xlfn._xlws.FILTER(OFFSET($O$15,0,$DN205,$B$8,1),OFFSET($M$15,0,0,$B$8,1))=FU$13), 1*(_xlfn._xlws.FILTER(OFFSET($O$15,0,$DO205,$B$8,1),OFFSET($M$15,0,0,$B$8,1))=FU$14))   /   SUM(OFFSET($BO$15,0,0,$B$14,1)) + $B$18/($B$19*$B$19*($DN205&lt;&gt;$DO205) + $B$19*($DN205=$DO205))</f>
        <v>3.7037037037037035E-4</v>
      </c>
      <c r="FV205" s="10" cm="1">
        <f t="array" aca="1" ref="FV205" ca="1">(1-$B$18)*SUMPRODUCT(OFFSET($BO$15,0,0,$B$14,1), 1*(_xlfn._xlws.FILTER(OFFSET($O$15,0,$DN205,$B$8,1),OFFSET($M$15,0,0,$B$8,1))=FV$13), 1*(_xlfn._xlws.FILTER(OFFSET($O$15,0,$DO205,$B$8,1),OFFSET($M$15,0,0,$B$8,1))=FV$14))   /   SUM(OFFSET($BO$15,0,0,$B$14,1)) + $B$18/($B$19*$B$19*($DN205&lt;&gt;$DO205) + $B$19*($DN205=$DO205))</f>
        <v>3.7037037037037035E-4</v>
      </c>
      <c r="FW205" s="10" cm="1">
        <f t="array" aca="1" ref="FW205" ca="1">(1-$B$18)*SUMPRODUCT(OFFSET($BO$15,0,0,$B$14,1), 1*(_xlfn._xlws.FILTER(OFFSET($O$15,0,$DN205,$B$8,1),OFFSET($M$15,0,0,$B$8,1))=FW$13), 1*(_xlfn._xlws.FILTER(OFFSET($O$15,0,$DO205,$B$8,1),OFFSET($M$15,0,0,$B$8,1))=FW$14))   /   SUM(OFFSET($BO$15,0,0,$B$14,1)) + $B$18/($B$19*$B$19*($DN205&lt;&gt;$DO205) + $B$19*($DN205=$DO205))</f>
        <v>3.7037037037037035E-4</v>
      </c>
      <c r="FX205" s="10" cm="1">
        <f t="array" aca="1" ref="FX205" ca="1">(1-$B$18)*SUMPRODUCT(OFFSET($BO$15,0,0,$B$14,1), 1*(_xlfn._xlws.FILTER(OFFSET($O$15,0,$DN205,$B$8,1),OFFSET($M$15,0,0,$B$8,1))=FX$13), 1*(_xlfn._xlws.FILTER(OFFSET($O$15,0,$DO205,$B$8,1),OFFSET($M$15,0,0,$B$8,1))=FX$14))   /   SUM(OFFSET($BO$15,0,0,$B$14,1)) + $B$18/($B$19*$B$19*($DN205&lt;&gt;$DO205) + $B$19*($DN205=$DO205))</f>
        <v>3.7037037037037035E-4</v>
      </c>
      <c r="FY205" s="10" cm="1">
        <f t="array" aca="1" ref="FY205" ca="1">(1-$B$18)*SUMPRODUCT(OFFSET($BO$15,0,0,$B$14,1), 1*(_xlfn._xlws.FILTER(OFFSET($O$15,0,$DN205,$B$8,1),OFFSET($M$15,0,0,$B$8,1))=FY$13), 1*(_xlfn._xlws.FILTER(OFFSET($O$15,0,$DO205,$B$8,1),OFFSET($M$15,0,0,$B$8,1))=FY$14))   /   SUM(OFFSET($BO$15,0,0,$B$14,1)) + $B$18/($B$19*$B$19*($DN205&lt;&gt;$DO205) + $B$19*($DN205=$DO205))</f>
        <v>3.7037037037037035E-4</v>
      </c>
      <c r="FZ205" s="10" cm="1">
        <f t="array" aca="1" ref="FZ205" ca="1">(1-$B$18)*SUMPRODUCT(OFFSET($BO$15,0,0,$B$14,1), 1*(_xlfn._xlws.FILTER(OFFSET($O$15,0,$DN205,$B$8,1),OFFSET($M$15,0,0,$B$8,1))=FZ$13), 1*(_xlfn._xlws.FILTER(OFFSET($O$15,0,$DO205,$B$8,1),OFFSET($M$15,0,0,$B$8,1))=FZ$14))   /   SUM(OFFSET($BO$15,0,0,$B$14,1)) + $B$18/($B$19*$B$19*($DN205&lt;&gt;$DO205) + $B$19*($DN205=$DO205))</f>
        <v>3.7037037037037035E-4</v>
      </c>
      <c r="GA205" s="10" cm="1">
        <f t="array" aca="1" ref="GA205" ca="1">(1-$B$18)*SUMPRODUCT(OFFSET($BO$15,0,0,$B$14,1), 1*(_xlfn._xlws.FILTER(OFFSET($O$15,0,$DN205,$B$8,1),OFFSET($M$15,0,0,$B$8,1))=GA$13), 1*(_xlfn._xlws.FILTER(OFFSET($O$15,0,$DO205,$B$8,1),OFFSET($M$15,0,0,$B$8,1))=GA$14))   /   SUM(OFFSET($BO$15,0,0,$B$14,1)) + $B$18/($B$19*$B$19*($DN205&lt;&gt;$DO205) + $B$19*($DN205=$DO205))</f>
        <v>3.7037037037037035E-4</v>
      </c>
    </row>
    <row r="206" spans="118:183" x14ac:dyDescent="0.2">
      <c r="DN206" cm="1">
        <f t="array" aca="1" ref="DN206" ca="1">INDEX(_xlfn.ANCHORARRAY($CP$15), 1 + INT((ROWS($DO$15:$DO206) - 1) / ROWS(_xlfn.ANCHORARRAY($CP$15))))</f>
        <v>11</v>
      </c>
      <c r="DO206" cm="1">
        <f t="array" aca="1" ref="DO206" ca="1">INDEX(_xlfn.ANCHORARRAY($CP$15),1+MOD(ROWS($DO$15:$DO206)-1,ROWS(_xlfn.ANCHORARRAY($CP$15))))</f>
        <v>1</v>
      </c>
      <c r="DP206" s="10" cm="1">
        <f t="array" aca="1" ref="DP206" ca="1">(1-$B$18)*SUMPRODUCT(OFFSET($BO$15,0,0,$B$14,1), 1*(_xlfn._xlws.FILTER(OFFSET($O$15,0,$DN206,$B$8,1),OFFSET($M$15,0,0,$B$8,1))=DP$13), 1*(_xlfn._xlws.FILTER(OFFSET($O$15,0,$DO206,$B$8,1),OFFSET($M$15,0,0,$B$8,1))=DP$14))   /   SUM(OFFSET($BO$15,0,0,$B$14,1)) + $B$18/($B$19*$B$19*($DN206&lt;&gt;$DO206) + $B$19*($DN206=$DO206))</f>
        <v>3.7037037037037035E-4</v>
      </c>
      <c r="DQ206" s="10" cm="1">
        <f t="array" aca="1" ref="DQ206" ca="1">(1-$B$18)*SUMPRODUCT(OFFSET($BO$15,0,0,$B$14,1), 1*(_xlfn._xlws.FILTER(OFFSET($O$15,0,$DN206,$B$8,1),OFFSET($M$15,0,0,$B$8,1))=DQ$13), 1*(_xlfn._xlws.FILTER(OFFSET($O$15,0,$DO206,$B$8,1),OFFSET($M$15,0,0,$B$8,1))=DQ$14))   /   SUM(OFFSET($BO$15,0,0,$B$14,1)) + $B$18/($B$19*$B$19*($DN206&lt;&gt;$DO206) + $B$19*($DN206=$DO206))</f>
        <v>3.7037037037037035E-4</v>
      </c>
      <c r="DR206" s="10" cm="1">
        <f t="array" aca="1" ref="DR206" ca="1">(1-$B$18)*SUMPRODUCT(OFFSET($BO$15,0,0,$B$14,1), 1*(_xlfn._xlws.FILTER(OFFSET($O$15,0,$DN206,$B$8,1),OFFSET($M$15,0,0,$B$8,1))=DR$13), 1*(_xlfn._xlws.FILTER(OFFSET($O$15,0,$DO206,$B$8,1),OFFSET($M$15,0,0,$B$8,1))=DR$14))   /   SUM(OFFSET($BO$15,0,0,$B$14,1)) + $B$18/($B$19*$B$19*($DN206&lt;&gt;$DO206) + $B$19*($DN206=$DO206))</f>
        <v>3.7037037037037035E-4</v>
      </c>
      <c r="DS206" s="10" cm="1">
        <f t="array" aca="1" ref="DS206" ca="1">(1-$B$18)*SUMPRODUCT(OFFSET($BO$15,0,0,$B$14,1), 1*(_xlfn._xlws.FILTER(OFFSET($O$15,0,$DN206,$B$8,1),OFFSET($M$15,0,0,$B$8,1))=DS$13), 1*(_xlfn._xlws.FILTER(OFFSET($O$15,0,$DO206,$B$8,1),OFFSET($M$15,0,0,$B$8,1))=DS$14))   /   SUM(OFFSET($BO$15,0,0,$B$14,1)) + $B$18/($B$19*$B$19*($DN206&lt;&gt;$DO206) + $B$19*($DN206=$DO206))</f>
        <v>3.7037037037037035E-4</v>
      </c>
      <c r="DT206" s="10" cm="1">
        <f t="array" aca="1" ref="DT206" ca="1">(1-$B$18)*SUMPRODUCT(OFFSET($BO$15,0,0,$B$14,1), 1*(_xlfn._xlws.FILTER(OFFSET($O$15,0,$DN206,$B$8,1),OFFSET($M$15,0,0,$B$8,1))=DT$13), 1*(_xlfn._xlws.FILTER(OFFSET($O$15,0,$DO206,$B$8,1),OFFSET($M$15,0,0,$B$8,1))=DT$14))   /   SUM(OFFSET($BO$15,0,0,$B$14,1)) + $B$18/($B$19*$B$19*($DN206&lt;&gt;$DO206) + $B$19*($DN206=$DO206))</f>
        <v>3.7037037037037035E-4</v>
      </c>
      <c r="DU206" s="10" cm="1">
        <f t="array" aca="1" ref="DU206" ca="1">(1-$B$18)*SUMPRODUCT(OFFSET($BO$15,0,0,$B$14,1), 1*(_xlfn._xlws.FILTER(OFFSET($O$15,0,$DN206,$B$8,1),OFFSET($M$15,0,0,$B$8,1))=DU$13), 1*(_xlfn._xlws.FILTER(OFFSET($O$15,0,$DO206,$B$8,1),OFFSET($M$15,0,0,$B$8,1))=DU$14))   /   SUM(OFFSET($BO$15,0,0,$B$14,1)) + $B$18/($B$19*$B$19*($DN206&lt;&gt;$DO206) + $B$19*($DN206=$DO206))</f>
        <v>3.7037037037037035E-4</v>
      </c>
      <c r="DV206" s="10" cm="1">
        <f t="array" aca="1" ref="DV206" ca="1">(1-$B$18)*SUMPRODUCT(OFFSET($BO$15,0,0,$B$14,1), 1*(_xlfn._xlws.FILTER(OFFSET($O$15,0,$DN206,$B$8,1),OFFSET($M$15,0,0,$B$8,1))=DV$13), 1*(_xlfn._xlws.FILTER(OFFSET($O$15,0,$DO206,$B$8,1),OFFSET($M$15,0,0,$B$8,1))=DV$14))   /   SUM(OFFSET($BO$15,0,0,$B$14,1)) + $B$18/($B$19*$B$19*($DN206&lt;&gt;$DO206) + $B$19*($DN206=$DO206))</f>
        <v>0.48537037037037034</v>
      </c>
      <c r="DW206" s="10" cm="1">
        <f t="array" aca="1" ref="DW206" ca="1">(1-$B$18)*SUMPRODUCT(OFFSET($BO$15,0,0,$B$14,1), 1*(_xlfn._xlws.FILTER(OFFSET($O$15,0,$DN206,$B$8,1),OFFSET($M$15,0,0,$B$8,1))=DW$13), 1*(_xlfn._xlws.FILTER(OFFSET($O$15,0,$DO206,$B$8,1),OFFSET($M$15,0,0,$B$8,1))=DW$14))   /   SUM(OFFSET($BO$15,0,0,$B$14,1)) + $B$18/($B$19*$B$19*($DN206&lt;&gt;$DO206) + $B$19*($DN206=$DO206))</f>
        <v>3.7037037037037035E-4</v>
      </c>
      <c r="DX206" s="10" cm="1">
        <f t="array" aca="1" ref="DX206" ca="1">(1-$B$18)*SUMPRODUCT(OFFSET($BO$15,0,0,$B$14,1), 1*(_xlfn._xlws.FILTER(OFFSET($O$15,0,$DN206,$B$8,1),OFFSET($M$15,0,0,$B$8,1))=DX$13), 1*(_xlfn._xlws.FILTER(OFFSET($O$15,0,$DO206,$B$8,1),OFFSET($M$15,0,0,$B$8,1))=DX$14))   /   SUM(OFFSET($BO$15,0,0,$B$14,1)) + $B$18/($B$19*$B$19*($DN206&lt;&gt;$DO206) + $B$19*($DN206=$DO206))</f>
        <v>3.7037037037037035E-4</v>
      </c>
      <c r="DY206" s="10" cm="1">
        <f t="array" aca="1" ref="DY206" ca="1">(1-$B$18)*SUMPRODUCT(OFFSET($BO$15,0,0,$B$14,1), 1*(_xlfn._xlws.FILTER(OFFSET($O$15,0,$DN206,$B$8,1),OFFSET($M$15,0,0,$B$8,1))=DY$13), 1*(_xlfn._xlws.FILTER(OFFSET($O$15,0,$DO206,$B$8,1),OFFSET($M$15,0,0,$B$8,1))=DY$14))   /   SUM(OFFSET($BO$15,0,0,$B$14,1)) + $B$18/($B$19*$B$19*($DN206&lt;&gt;$DO206) + $B$19*($DN206=$DO206))</f>
        <v>3.7037037037037035E-4</v>
      </c>
      <c r="DZ206" s="10" cm="1">
        <f t="array" aca="1" ref="DZ206" ca="1">(1-$B$18)*SUMPRODUCT(OFFSET($BO$15,0,0,$B$14,1), 1*(_xlfn._xlws.FILTER(OFFSET($O$15,0,$DN206,$B$8,1),OFFSET($M$15,0,0,$B$8,1))=DZ$13), 1*(_xlfn._xlws.FILTER(OFFSET($O$15,0,$DO206,$B$8,1),OFFSET($M$15,0,0,$B$8,1))=DZ$14))   /   SUM(OFFSET($BO$15,0,0,$B$14,1)) + $B$18/($B$19*$B$19*($DN206&lt;&gt;$DO206) + $B$19*($DN206=$DO206))</f>
        <v>3.7037037037037035E-4</v>
      </c>
      <c r="EA206" s="10" cm="1">
        <f t="array" aca="1" ref="EA206" ca="1">(1-$B$18)*SUMPRODUCT(OFFSET($BO$15,0,0,$B$14,1), 1*(_xlfn._xlws.FILTER(OFFSET($O$15,0,$DN206,$B$8,1),OFFSET($M$15,0,0,$B$8,1))=EA$13), 1*(_xlfn._xlws.FILTER(OFFSET($O$15,0,$DO206,$B$8,1),OFFSET($M$15,0,0,$B$8,1))=EA$14))   /   SUM(OFFSET($BO$15,0,0,$B$14,1)) + $B$18/($B$19*$B$19*($DN206&lt;&gt;$DO206) + $B$19*($DN206=$DO206))</f>
        <v>3.7037037037037035E-4</v>
      </c>
      <c r="EB206" s="10" cm="1">
        <f t="array" aca="1" ref="EB206" ca="1">(1-$B$18)*SUMPRODUCT(OFFSET($BO$15,0,0,$B$14,1), 1*(_xlfn._xlws.FILTER(OFFSET($O$15,0,$DN206,$B$8,1),OFFSET($M$15,0,0,$B$8,1))=EB$13), 1*(_xlfn._xlws.FILTER(OFFSET($O$15,0,$DO206,$B$8,1),OFFSET($M$15,0,0,$B$8,1))=EB$14))   /   SUM(OFFSET($BO$15,0,0,$B$14,1)) + $B$18/($B$19*$B$19*($DN206&lt;&gt;$DO206) + $B$19*($DN206=$DO206))</f>
        <v>3.7037037037037035E-4</v>
      </c>
      <c r="EC206" s="10" cm="1">
        <f t="array" aca="1" ref="EC206" ca="1">(1-$B$18)*SUMPRODUCT(OFFSET($BO$15,0,0,$B$14,1), 1*(_xlfn._xlws.FILTER(OFFSET($O$15,0,$DN206,$B$8,1),OFFSET($M$15,0,0,$B$8,1))=EC$13), 1*(_xlfn._xlws.FILTER(OFFSET($O$15,0,$DO206,$B$8,1),OFFSET($M$15,0,0,$B$8,1))=EC$14))   /   SUM(OFFSET($BO$15,0,0,$B$14,1)) + $B$18/($B$19*$B$19*($DN206&lt;&gt;$DO206) + $B$19*($DN206=$DO206))</f>
        <v>3.7037037037037035E-4</v>
      </c>
      <c r="ED206" s="10" cm="1">
        <f t="array" aca="1" ref="ED206" ca="1">(1-$B$18)*SUMPRODUCT(OFFSET($BO$15,0,0,$B$14,1), 1*(_xlfn._xlws.FILTER(OFFSET($O$15,0,$DN206,$B$8,1),OFFSET($M$15,0,0,$B$8,1))=ED$13), 1*(_xlfn._xlws.FILTER(OFFSET($O$15,0,$DO206,$B$8,1),OFFSET($M$15,0,0,$B$8,1))=ED$14))   /   SUM(OFFSET($BO$15,0,0,$B$14,1)) + $B$18/($B$19*$B$19*($DN206&lt;&gt;$DO206) + $B$19*($DN206=$DO206))</f>
        <v>3.7037037037037035E-4</v>
      </c>
      <c r="EE206" s="10" cm="1">
        <f t="array" aca="1" ref="EE206" ca="1">(1-$B$18)*SUMPRODUCT(OFFSET($BO$15,0,0,$B$14,1), 1*(_xlfn._xlws.FILTER(OFFSET($O$15,0,$DN206,$B$8,1),OFFSET($M$15,0,0,$B$8,1))=EE$13), 1*(_xlfn._xlws.FILTER(OFFSET($O$15,0,$DO206,$B$8,1),OFFSET($M$15,0,0,$B$8,1))=EE$14))   /   SUM(OFFSET($BO$15,0,0,$B$14,1)) + $B$18/($B$19*$B$19*($DN206&lt;&gt;$DO206) + $B$19*($DN206=$DO206))</f>
        <v>3.7037037037037035E-4</v>
      </c>
      <c r="EF206" s="10" cm="1">
        <f t="array" aca="1" ref="EF206" ca="1">(1-$B$18)*SUMPRODUCT(OFFSET($BO$15,0,0,$B$14,1), 1*(_xlfn._xlws.FILTER(OFFSET($O$15,0,$DN206,$B$8,1),OFFSET($M$15,0,0,$B$8,1))=EF$13), 1*(_xlfn._xlws.FILTER(OFFSET($O$15,0,$DO206,$B$8,1),OFFSET($M$15,0,0,$B$8,1))=EF$14))   /   SUM(OFFSET($BO$15,0,0,$B$14,1)) + $B$18/($B$19*$B$19*($DN206&lt;&gt;$DO206) + $B$19*($DN206=$DO206))</f>
        <v>3.7037037037037035E-4</v>
      </c>
      <c r="EG206" s="10" cm="1">
        <f t="array" aca="1" ref="EG206" ca="1">(1-$B$18)*SUMPRODUCT(OFFSET($BO$15,0,0,$B$14,1), 1*(_xlfn._xlws.FILTER(OFFSET($O$15,0,$DN206,$B$8,1),OFFSET($M$15,0,0,$B$8,1))=EG$13), 1*(_xlfn._xlws.FILTER(OFFSET($O$15,0,$DO206,$B$8,1),OFFSET($M$15,0,0,$B$8,1))=EG$14))   /   SUM(OFFSET($BO$15,0,0,$B$14,1)) + $B$18/($B$19*$B$19*($DN206&lt;&gt;$DO206) + $B$19*($DN206=$DO206))</f>
        <v>3.7037037037037035E-4</v>
      </c>
      <c r="EH206" s="10" cm="1">
        <f t="array" aca="1" ref="EH206" ca="1">(1-$B$18)*SUMPRODUCT(OFFSET($BO$15,0,0,$B$14,1), 1*(_xlfn._xlws.FILTER(OFFSET($O$15,0,$DN206,$B$8,1),OFFSET($M$15,0,0,$B$8,1))=EH$13), 1*(_xlfn._xlws.FILTER(OFFSET($O$15,0,$DO206,$B$8,1),OFFSET($M$15,0,0,$B$8,1))=EH$14))   /   SUM(OFFSET($BO$15,0,0,$B$14,1)) + $B$18/($B$19*$B$19*($DN206&lt;&gt;$DO206) + $B$19*($DN206=$DO206))</f>
        <v>3.7037037037037035E-4</v>
      </c>
      <c r="EI206" s="10" cm="1">
        <f t="array" aca="1" ref="EI206" ca="1">(1-$B$18)*SUMPRODUCT(OFFSET($BO$15,0,0,$B$14,1), 1*(_xlfn._xlws.FILTER(OFFSET($O$15,0,$DN206,$B$8,1),OFFSET($M$15,0,0,$B$8,1))=EI$13), 1*(_xlfn._xlws.FILTER(OFFSET($O$15,0,$DO206,$B$8,1),OFFSET($M$15,0,0,$B$8,1))=EI$14))   /   SUM(OFFSET($BO$15,0,0,$B$14,1)) + $B$18/($B$19*$B$19*($DN206&lt;&gt;$DO206) + $B$19*($DN206=$DO206))</f>
        <v>3.7037037037037035E-4</v>
      </c>
      <c r="EJ206" s="10" cm="1">
        <f t="array" aca="1" ref="EJ206" ca="1">(1-$B$18)*SUMPRODUCT(OFFSET($BO$15,0,0,$B$14,1), 1*(_xlfn._xlws.FILTER(OFFSET($O$15,0,$DN206,$B$8,1),OFFSET($M$15,0,0,$B$8,1))=EJ$13), 1*(_xlfn._xlws.FILTER(OFFSET($O$15,0,$DO206,$B$8,1),OFFSET($M$15,0,0,$B$8,1))=EJ$14))   /   SUM(OFFSET($BO$15,0,0,$B$14,1)) + $B$18/($B$19*$B$19*($DN206&lt;&gt;$DO206) + $B$19*($DN206=$DO206))</f>
        <v>3.7037037037037035E-4</v>
      </c>
      <c r="EK206" s="10" cm="1">
        <f t="array" aca="1" ref="EK206" ca="1">(1-$B$18)*SUMPRODUCT(OFFSET($BO$15,0,0,$B$14,1), 1*(_xlfn._xlws.FILTER(OFFSET($O$15,0,$DN206,$B$8,1),OFFSET($M$15,0,0,$B$8,1))=EK$13), 1*(_xlfn._xlws.FILTER(OFFSET($O$15,0,$DO206,$B$8,1),OFFSET($M$15,0,0,$B$8,1))=EK$14))   /   SUM(OFFSET($BO$15,0,0,$B$14,1)) + $B$18/($B$19*$B$19*($DN206&lt;&gt;$DO206) + $B$19*($DN206=$DO206))</f>
        <v>3.7037037037037035E-4</v>
      </c>
      <c r="EL206" s="10" cm="1">
        <f t="array" aca="1" ref="EL206" ca="1">(1-$B$18)*SUMPRODUCT(OFFSET($BO$15,0,0,$B$14,1), 1*(_xlfn._xlws.FILTER(OFFSET($O$15,0,$DN206,$B$8,1),OFFSET($M$15,0,0,$B$8,1))=EL$13), 1*(_xlfn._xlws.FILTER(OFFSET($O$15,0,$DO206,$B$8,1),OFFSET($M$15,0,0,$B$8,1))=EL$14))   /   SUM(OFFSET($BO$15,0,0,$B$14,1)) + $B$18/($B$19*$B$19*($DN206&lt;&gt;$DO206) + $B$19*($DN206=$DO206))</f>
        <v>0.24287037037037026</v>
      </c>
      <c r="EM206" s="10" cm="1">
        <f t="array" aca="1" ref="EM206" ca="1">(1-$B$18)*SUMPRODUCT(OFFSET($BO$15,0,0,$B$14,1), 1*(_xlfn._xlws.FILTER(OFFSET($O$15,0,$DN206,$B$8,1),OFFSET($M$15,0,0,$B$8,1))=EM$13), 1*(_xlfn._xlws.FILTER(OFFSET($O$15,0,$DO206,$B$8,1),OFFSET($M$15,0,0,$B$8,1))=EM$14))   /   SUM(OFFSET($BO$15,0,0,$B$14,1)) + $B$18/($B$19*$B$19*($DN206&lt;&gt;$DO206) + $B$19*($DN206=$DO206))</f>
        <v>3.7037037037037035E-4</v>
      </c>
      <c r="EN206" s="10" cm="1">
        <f t="array" aca="1" ref="EN206" ca="1">(1-$B$18)*SUMPRODUCT(OFFSET($BO$15,0,0,$B$14,1), 1*(_xlfn._xlws.FILTER(OFFSET($O$15,0,$DN206,$B$8,1),OFFSET($M$15,0,0,$B$8,1))=EN$13), 1*(_xlfn._xlws.FILTER(OFFSET($O$15,0,$DO206,$B$8,1),OFFSET($M$15,0,0,$B$8,1))=EN$14))   /   SUM(OFFSET($BO$15,0,0,$B$14,1)) + $B$18/($B$19*$B$19*($DN206&lt;&gt;$DO206) + $B$19*($DN206=$DO206))</f>
        <v>3.7037037037037035E-4</v>
      </c>
      <c r="EO206" s="10" cm="1">
        <f t="array" aca="1" ref="EO206" ca="1">(1-$B$18)*SUMPRODUCT(OFFSET($BO$15,0,0,$B$14,1), 1*(_xlfn._xlws.FILTER(OFFSET($O$15,0,$DN206,$B$8,1),OFFSET($M$15,0,0,$B$8,1))=EO$13), 1*(_xlfn._xlws.FILTER(OFFSET($O$15,0,$DO206,$B$8,1),OFFSET($M$15,0,0,$B$8,1))=EO$14))   /   SUM(OFFSET($BO$15,0,0,$B$14,1)) + $B$18/($B$19*$B$19*($DN206&lt;&gt;$DO206) + $B$19*($DN206=$DO206))</f>
        <v>3.7037037037037035E-4</v>
      </c>
      <c r="EP206" s="10" cm="1">
        <f t="array" aca="1" ref="EP206" ca="1">(1-$B$18)*SUMPRODUCT(OFFSET($BO$15,0,0,$B$14,1), 1*(_xlfn._xlws.FILTER(OFFSET($O$15,0,$DN206,$B$8,1),OFFSET($M$15,0,0,$B$8,1))=EP$13), 1*(_xlfn._xlws.FILTER(OFFSET($O$15,0,$DO206,$B$8,1),OFFSET($M$15,0,0,$B$8,1))=EP$14))   /   SUM(OFFSET($BO$15,0,0,$B$14,1)) + $B$18/($B$19*$B$19*($DN206&lt;&gt;$DO206) + $B$19*($DN206=$DO206))</f>
        <v>3.7037037037037035E-4</v>
      </c>
      <c r="EQ206" s="10" cm="1">
        <f t="array" aca="1" ref="EQ206" ca="1">(1-$B$18)*SUMPRODUCT(OFFSET($BO$15,0,0,$B$14,1), 1*(_xlfn._xlws.FILTER(OFFSET($O$15,0,$DN206,$B$8,1),OFFSET($M$15,0,0,$B$8,1))=EQ$13), 1*(_xlfn._xlws.FILTER(OFFSET($O$15,0,$DO206,$B$8,1),OFFSET($M$15,0,0,$B$8,1))=EQ$14))   /   SUM(OFFSET($BO$15,0,0,$B$14,1)) + $B$18/($B$19*$B$19*($DN206&lt;&gt;$DO206) + $B$19*($DN206=$DO206))</f>
        <v>3.7037037037037035E-4</v>
      </c>
      <c r="ER206" s="10" cm="1">
        <f t="array" aca="1" ref="ER206" ca="1">(1-$B$18)*SUMPRODUCT(OFFSET($BO$15,0,0,$B$14,1), 1*(_xlfn._xlws.FILTER(OFFSET($O$15,0,$DN206,$B$8,1),OFFSET($M$15,0,0,$B$8,1))=ER$13), 1*(_xlfn._xlws.FILTER(OFFSET($O$15,0,$DO206,$B$8,1),OFFSET($M$15,0,0,$B$8,1))=ER$14))   /   SUM(OFFSET($BO$15,0,0,$B$14,1)) + $B$18/($B$19*$B$19*($DN206&lt;&gt;$DO206) + $B$19*($DN206=$DO206))</f>
        <v>3.7037037037037035E-4</v>
      </c>
      <c r="ES206" s="10" cm="1">
        <f t="array" aca="1" ref="ES206" ca="1">(1-$B$18)*SUMPRODUCT(OFFSET($BO$15,0,0,$B$14,1), 1*(_xlfn._xlws.FILTER(OFFSET($O$15,0,$DN206,$B$8,1),OFFSET($M$15,0,0,$B$8,1))=ES$13), 1*(_xlfn._xlws.FILTER(OFFSET($O$15,0,$DO206,$B$8,1),OFFSET($M$15,0,0,$B$8,1))=ES$14))   /   SUM(OFFSET($BO$15,0,0,$B$14,1)) + $B$18/($B$19*$B$19*($DN206&lt;&gt;$DO206) + $B$19*($DN206=$DO206))</f>
        <v>3.7037037037037035E-4</v>
      </c>
      <c r="ET206" s="10" cm="1">
        <f t="array" aca="1" ref="ET206" ca="1">(1-$B$18)*SUMPRODUCT(OFFSET($BO$15,0,0,$B$14,1), 1*(_xlfn._xlws.FILTER(OFFSET($O$15,0,$DN206,$B$8,1),OFFSET($M$15,0,0,$B$8,1))=ET$13), 1*(_xlfn._xlws.FILTER(OFFSET($O$15,0,$DO206,$B$8,1),OFFSET($M$15,0,0,$B$8,1))=ET$14))   /   SUM(OFFSET($BO$15,0,0,$B$14,1)) + $B$18/($B$19*$B$19*($DN206&lt;&gt;$DO206) + $B$19*($DN206=$DO206))</f>
        <v>0.24287037037037026</v>
      </c>
      <c r="EU206" s="10" cm="1">
        <f t="array" aca="1" ref="EU206" ca="1">(1-$B$18)*SUMPRODUCT(OFFSET($BO$15,0,0,$B$14,1), 1*(_xlfn._xlws.FILTER(OFFSET($O$15,0,$DN206,$B$8,1),OFFSET($M$15,0,0,$B$8,1))=EU$13), 1*(_xlfn._xlws.FILTER(OFFSET($O$15,0,$DO206,$B$8,1),OFFSET($M$15,0,0,$B$8,1))=EU$14))   /   SUM(OFFSET($BO$15,0,0,$B$14,1)) + $B$18/($B$19*$B$19*($DN206&lt;&gt;$DO206) + $B$19*($DN206=$DO206))</f>
        <v>3.7037037037037035E-4</v>
      </c>
      <c r="EV206" s="10" cm="1">
        <f t="array" aca="1" ref="EV206" ca="1">(1-$B$18)*SUMPRODUCT(OFFSET($BO$15,0,0,$B$14,1), 1*(_xlfn._xlws.FILTER(OFFSET($O$15,0,$DN206,$B$8,1),OFFSET($M$15,0,0,$B$8,1))=EV$13), 1*(_xlfn._xlws.FILTER(OFFSET($O$15,0,$DO206,$B$8,1),OFFSET($M$15,0,0,$B$8,1))=EV$14))   /   SUM(OFFSET($BO$15,0,0,$B$14,1)) + $B$18/($B$19*$B$19*($DN206&lt;&gt;$DO206) + $B$19*($DN206=$DO206))</f>
        <v>3.7037037037037035E-4</v>
      </c>
      <c r="EW206" s="10" cm="1">
        <f t="array" aca="1" ref="EW206" ca="1">(1-$B$18)*SUMPRODUCT(OFFSET($BO$15,0,0,$B$14,1), 1*(_xlfn._xlws.FILTER(OFFSET($O$15,0,$DN206,$B$8,1),OFFSET($M$15,0,0,$B$8,1))=EW$13), 1*(_xlfn._xlws.FILTER(OFFSET($O$15,0,$DO206,$B$8,1),OFFSET($M$15,0,0,$B$8,1))=EW$14))   /   SUM(OFFSET($BO$15,0,0,$B$14,1)) + $B$18/($B$19*$B$19*($DN206&lt;&gt;$DO206) + $B$19*($DN206=$DO206))</f>
        <v>3.7037037037037035E-4</v>
      </c>
      <c r="EX206" s="10" cm="1">
        <f t="array" aca="1" ref="EX206" ca="1">(1-$B$18)*SUMPRODUCT(OFFSET($BO$15,0,0,$B$14,1), 1*(_xlfn._xlws.FILTER(OFFSET($O$15,0,$DN206,$B$8,1),OFFSET($M$15,0,0,$B$8,1))=EX$13), 1*(_xlfn._xlws.FILTER(OFFSET($O$15,0,$DO206,$B$8,1),OFFSET($M$15,0,0,$B$8,1))=EX$14))   /   SUM(OFFSET($BO$15,0,0,$B$14,1)) + $B$18/($B$19*$B$19*($DN206&lt;&gt;$DO206) + $B$19*($DN206=$DO206))</f>
        <v>3.7037037037037035E-4</v>
      </c>
      <c r="EY206" s="10" cm="1">
        <f t="array" aca="1" ref="EY206" ca="1">(1-$B$18)*SUMPRODUCT(OFFSET($BO$15,0,0,$B$14,1), 1*(_xlfn._xlws.FILTER(OFFSET($O$15,0,$DN206,$B$8,1),OFFSET($M$15,0,0,$B$8,1))=EY$13), 1*(_xlfn._xlws.FILTER(OFFSET($O$15,0,$DO206,$B$8,1),OFFSET($M$15,0,0,$B$8,1))=EY$14))   /   SUM(OFFSET($BO$15,0,0,$B$14,1)) + $B$18/($B$19*$B$19*($DN206&lt;&gt;$DO206) + $B$19*($DN206=$DO206))</f>
        <v>3.7037037037037035E-4</v>
      </c>
      <c r="EZ206" s="10" cm="1">
        <f t="array" aca="1" ref="EZ206" ca="1">(1-$B$18)*SUMPRODUCT(OFFSET($BO$15,0,0,$B$14,1), 1*(_xlfn._xlws.FILTER(OFFSET($O$15,0,$DN206,$B$8,1),OFFSET($M$15,0,0,$B$8,1))=EZ$13), 1*(_xlfn._xlws.FILTER(OFFSET($O$15,0,$DO206,$B$8,1),OFFSET($M$15,0,0,$B$8,1))=EZ$14))   /   SUM(OFFSET($BO$15,0,0,$B$14,1)) + $B$18/($B$19*$B$19*($DN206&lt;&gt;$DO206) + $B$19*($DN206=$DO206))</f>
        <v>3.7037037037037035E-4</v>
      </c>
      <c r="FA206" s="10" cm="1">
        <f t="array" aca="1" ref="FA206" ca="1">(1-$B$18)*SUMPRODUCT(OFFSET($BO$15,0,0,$B$14,1), 1*(_xlfn._xlws.FILTER(OFFSET($O$15,0,$DN206,$B$8,1),OFFSET($M$15,0,0,$B$8,1))=FA$13), 1*(_xlfn._xlws.FILTER(OFFSET($O$15,0,$DO206,$B$8,1),OFFSET($M$15,0,0,$B$8,1))=FA$14))   /   SUM(OFFSET($BO$15,0,0,$B$14,1)) + $B$18/($B$19*$B$19*($DN206&lt;&gt;$DO206) + $B$19*($DN206=$DO206))</f>
        <v>3.7037037037037035E-4</v>
      </c>
      <c r="FB206" s="10" cm="1">
        <f t="array" aca="1" ref="FB206" ca="1">(1-$B$18)*SUMPRODUCT(OFFSET($BO$15,0,0,$B$14,1), 1*(_xlfn._xlws.FILTER(OFFSET($O$15,0,$DN206,$B$8,1),OFFSET($M$15,0,0,$B$8,1))=FB$13), 1*(_xlfn._xlws.FILTER(OFFSET($O$15,0,$DO206,$B$8,1),OFFSET($M$15,0,0,$B$8,1))=FB$14))   /   SUM(OFFSET($BO$15,0,0,$B$14,1)) + $B$18/($B$19*$B$19*($DN206&lt;&gt;$DO206) + $B$19*($DN206=$DO206))</f>
        <v>3.7037037037037035E-4</v>
      </c>
      <c r="FC206" s="10" cm="1">
        <f t="array" aca="1" ref="FC206" ca="1">(1-$B$18)*SUMPRODUCT(OFFSET($BO$15,0,0,$B$14,1), 1*(_xlfn._xlws.FILTER(OFFSET($O$15,0,$DN206,$B$8,1),OFFSET($M$15,0,0,$B$8,1))=FC$13), 1*(_xlfn._xlws.FILTER(OFFSET($O$15,0,$DO206,$B$8,1),OFFSET($M$15,0,0,$B$8,1))=FC$14))   /   SUM(OFFSET($BO$15,0,0,$B$14,1)) + $B$18/($B$19*$B$19*($DN206&lt;&gt;$DO206) + $B$19*($DN206=$DO206))</f>
        <v>3.7037037037037035E-4</v>
      </c>
      <c r="FD206" s="10" cm="1">
        <f t="array" aca="1" ref="FD206" ca="1">(1-$B$18)*SUMPRODUCT(OFFSET($BO$15,0,0,$B$14,1), 1*(_xlfn._xlws.FILTER(OFFSET($O$15,0,$DN206,$B$8,1),OFFSET($M$15,0,0,$B$8,1))=FD$13), 1*(_xlfn._xlws.FILTER(OFFSET($O$15,0,$DO206,$B$8,1),OFFSET($M$15,0,0,$B$8,1))=FD$14))   /   SUM(OFFSET($BO$15,0,0,$B$14,1)) + $B$18/($B$19*$B$19*($DN206&lt;&gt;$DO206) + $B$19*($DN206=$DO206))</f>
        <v>3.7037037037037035E-4</v>
      </c>
      <c r="FE206" s="10" cm="1">
        <f t="array" aca="1" ref="FE206" ca="1">(1-$B$18)*SUMPRODUCT(OFFSET($BO$15,0,0,$B$14,1), 1*(_xlfn._xlws.FILTER(OFFSET($O$15,0,$DN206,$B$8,1),OFFSET($M$15,0,0,$B$8,1))=FE$13), 1*(_xlfn._xlws.FILTER(OFFSET($O$15,0,$DO206,$B$8,1),OFFSET($M$15,0,0,$B$8,1))=FE$14))   /   SUM(OFFSET($BO$15,0,0,$B$14,1)) + $B$18/($B$19*$B$19*($DN206&lt;&gt;$DO206) + $B$19*($DN206=$DO206))</f>
        <v>3.7037037037037035E-4</v>
      </c>
      <c r="FF206" s="10" cm="1">
        <f t="array" aca="1" ref="FF206" ca="1">(1-$B$18)*SUMPRODUCT(OFFSET($BO$15,0,0,$B$14,1), 1*(_xlfn._xlws.FILTER(OFFSET($O$15,0,$DN206,$B$8,1),OFFSET($M$15,0,0,$B$8,1))=FF$13), 1*(_xlfn._xlws.FILTER(OFFSET($O$15,0,$DO206,$B$8,1),OFFSET($M$15,0,0,$B$8,1))=FF$14))   /   SUM(OFFSET($BO$15,0,0,$B$14,1)) + $B$18/($B$19*$B$19*($DN206&lt;&gt;$DO206) + $B$19*($DN206=$DO206))</f>
        <v>3.7037037037037035E-4</v>
      </c>
      <c r="FG206" s="10" cm="1">
        <f t="array" aca="1" ref="FG206" ca="1">(1-$B$18)*SUMPRODUCT(OFFSET($BO$15,0,0,$B$14,1), 1*(_xlfn._xlws.FILTER(OFFSET($O$15,0,$DN206,$B$8,1),OFFSET($M$15,0,0,$B$8,1))=FG$13), 1*(_xlfn._xlws.FILTER(OFFSET($O$15,0,$DO206,$B$8,1),OFFSET($M$15,0,0,$B$8,1))=FG$14))   /   SUM(OFFSET($BO$15,0,0,$B$14,1)) + $B$18/($B$19*$B$19*($DN206&lt;&gt;$DO206) + $B$19*($DN206=$DO206))</f>
        <v>3.7037037037037035E-4</v>
      </c>
      <c r="FH206" s="10" cm="1">
        <f t="array" aca="1" ref="FH206" ca="1">(1-$B$18)*SUMPRODUCT(OFFSET($BO$15,0,0,$B$14,1), 1*(_xlfn._xlws.FILTER(OFFSET($O$15,0,$DN206,$B$8,1),OFFSET($M$15,0,0,$B$8,1))=FH$13), 1*(_xlfn._xlws.FILTER(OFFSET($O$15,0,$DO206,$B$8,1),OFFSET($M$15,0,0,$B$8,1))=FH$14))   /   SUM(OFFSET($BO$15,0,0,$B$14,1)) + $B$18/($B$19*$B$19*($DN206&lt;&gt;$DO206) + $B$19*($DN206=$DO206))</f>
        <v>3.7037037037037035E-4</v>
      </c>
      <c r="FI206" s="10" cm="1">
        <f t="array" aca="1" ref="FI206" ca="1">(1-$B$18)*SUMPRODUCT(OFFSET($BO$15,0,0,$B$14,1), 1*(_xlfn._xlws.FILTER(OFFSET($O$15,0,$DN206,$B$8,1),OFFSET($M$15,0,0,$B$8,1))=FI$13), 1*(_xlfn._xlws.FILTER(OFFSET($O$15,0,$DO206,$B$8,1),OFFSET($M$15,0,0,$B$8,1))=FI$14))   /   SUM(OFFSET($BO$15,0,0,$B$14,1)) + $B$18/($B$19*$B$19*($DN206&lt;&gt;$DO206) + $B$19*($DN206=$DO206))</f>
        <v>3.7037037037037035E-4</v>
      </c>
      <c r="FJ206" s="10" cm="1">
        <f t="array" aca="1" ref="FJ206" ca="1">(1-$B$18)*SUMPRODUCT(OFFSET($BO$15,0,0,$B$14,1), 1*(_xlfn._xlws.FILTER(OFFSET($O$15,0,$DN206,$B$8,1),OFFSET($M$15,0,0,$B$8,1))=FJ$13), 1*(_xlfn._xlws.FILTER(OFFSET($O$15,0,$DO206,$B$8,1),OFFSET($M$15,0,0,$B$8,1))=FJ$14))   /   SUM(OFFSET($BO$15,0,0,$B$14,1)) + $B$18/($B$19*$B$19*($DN206&lt;&gt;$DO206) + $B$19*($DN206=$DO206))</f>
        <v>3.7037037037037035E-4</v>
      </c>
      <c r="FK206" s="10" cm="1">
        <f t="array" aca="1" ref="FK206" ca="1">(1-$B$18)*SUMPRODUCT(OFFSET($BO$15,0,0,$B$14,1), 1*(_xlfn._xlws.FILTER(OFFSET($O$15,0,$DN206,$B$8,1),OFFSET($M$15,0,0,$B$8,1))=FK$13), 1*(_xlfn._xlws.FILTER(OFFSET($O$15,0,$DO206,$B$8,1),OFFSET($M$15,0,0,$B$8,1))=FK$14))   /   SUM(OFFSET($BO$15,0,0,$B$14,1)) + $B$18/($B$19*$B$19*($DN206&lt;&gt;$DO206) + $B$19*($DN206=$DO206))</f>
        <v>3.7037037037037035E-4</v>
      </c>
      <c r="FL206" s="10" cm="1">
        <f t="array" aca="1" ref="FL206" ca="1">(1-$B$18)*SUMPRODUCT(OFFSET($BO$15,0,0,$B$14,1), 1*(_xlfn._xlws.FILTER(OFFSET($O$15,0,$DN206,$B$8,1),OFFSET($M$15,0,0,$B$8,1))=FL$13), 1*(_xlfn._xlws.FILTER(OFFSET($O$15,0,$DO206,$B$8,1),OFFSET($M$15,0,0,$B$8,1))=FL$14))   /   SUM(OFFSET($BO$15,0,0,$B$14,1)) + $B$18/($B$19*$B$19*($DN206&lt;&gt;$DO206) + $B$19*($DN206=$DO206))</f>
        <v>3.7037037037037035E-4</v>
      </c>
      <c r="FM206" s="10" cm="1">
        <f t="array" aca="1" ref="FM206" ca="1">(1-$B$18)*SUMPRODUCT(OFFSET($BO$15,0,0,$B$14,1), 1*(_xlfn._xlws.FILTER(OFFSET($O$15,0,$DN206,$B$8,1),OFFSET($M$15,0,0,$B$8,1))=FM$13), 1*(_xlfn._xlws.FILTER(OFFSET($O$15,0,$DO206,$B$8,1),OFFSET($M$15,0,0,$B$8,1))=FM$14))   /   SUM(OFFSET($BO$15,0,0,$B$14,1)) + $B$18/($B$19*$B$19*($DN206&lt;&gt;$DO206) + $B$19*($DN206=$DO206))</f>
        <v>3.7037037037037035E-4</v>
      </c>
      <c r="FN206" s="10" cm="1">
        <f t="array" aca="1" ref="FN206" ca="1">(1-$B$18)*SUMPRODUCT(OFFSET($BO$15,0,0,$B$14,1), 1*(_xlfn._xlws.FILTER(OFFSET($O$15,0,$DN206,$B$8,1),OFFSET($M$15,0,0,$B$8,1))=FN$13), 1*(_xlfn._xlws.FILTER(OFFSET($O$15,0,$DO206,$B$8,1),OFFSET($M$15,0,0,$B$8,1))=FN$14))   /   SUM(OFFSET($BO$15,0,0,$B$14,1)) + $B$18/($B$19*$B$19*($DN206&lt;&gt;$DO206) + $B$19*($DN206=$DO206))</f>
        <v>3.7037037037037035E-4</v>
      </c>
      <c r="FO206" s="10" cm="1">
        <f t="array" aca="1" ref="FO206" ca="1">(1-$B$18)*SUMPRODUCT(OFFSET($BO$15,0,0,$B$14,1), 1*(_xlfn._xlws.FILTER(OFFSET($O$15,0,$DN206,$B$8,1),OFFSET($M$15,0,0,$B$8,1))=FO$13), 1*(_xlfn._xlws.FILTER(OFFSET($O$15,0,$DO206,$B$8,1),OFFSET($M$15,0,0,$B$8,1))=FO$14))   /   SUM(OFFSET($BO$15,0,0,$B$14,1)) + $B$18/($B$19*$B$19*($DN206&lt;&gt;$DO206) + $B$19*($DN206=$DO206))</f>
        <v>3.7037037037037035E-4</v>
      </c>
      <c r="FP206" s="10" cm="1">
        <f t="array" aca="1" ref="FP206" ca="1">(1-$B$18)*SUMPRODUCT(OFFSET($BO$15,0,0,$B$14,1), 1*(_xlfn._xlws.FILTER(OFFSET($O$15,0,$DN206,$B$8,1),OFFSET($M$15,0,0,$B$8,1))=FP$13), 1*(_xlfn._xlws.FILTER(OFFSET($O$15,0,$DO206,$B$8,1),OFFSET($M$15,0,0,$B$8,1))=FP$14))   /   SUM(OFFSET($BO$15,0,0,$B$14,1)) + $B$18/($B$19*$B$19*($DN206&lt;&gt;$DO206) + $B$19*($DN206=$DO206))</f>
        <v>3.7037037037037035E-4</v>
      </c>
      <c r="FQ206" s="10" cm="1">
        <f t="array" aca="1" ref="FQ206" ca="1">(1-$B$18)*SUMPRODUCT(OFFSET($BO$15,0,0,$B$14,1), 1*(_xlfn._xlws.FILTER(OFFSET($O$15,0,$DN206,$B$8,1),OFFSET($M$15,0,0,$B$8,1))=FQ$13), 1*(_xlfn._xlws.FILTER(OFFSET($O$15,0,$DO206,$B$8,1),OFFSET($M$15,0,0,$B$8,1))=FQ$14))   /   SUM(OFFSET($BO$15,0,0,$B$14,1)) + $B$18/($B$19*$B$19*($DN206&lt;&gt;$DO206) + $B$19*($DN206=$DO206))</f>
        <v>3.7037037037037035E-4</v>
      </c>
      <c r="FR206" s="10" cm="1">
        <f t="array" aca="1" ref="FR206" ca="1">(1-$B$18)*SUMPRODUCT(OFFSET($BO$15,0,0,$B$14,1), 1*(_xlfn._xlws.FILTER(OFFSET($O$15,0,$DN206,$B$8,1),OFFSET($M$15,0,0,$B$8,1))=FR$13), 1*(_xlfn._xlws.FILTER(OFFSET($O$15,0,$DO206,$B$8,1),OFFSET($M$15,0,0,$B$8,1))=FR$14))   /   SUM(OFFSET($BO$15,0,0,$B$14,1)) + $B$18/($B$19*$B$19*($DN206&lt;&gt;$DO206) + $B$19*($DN206=$DO206))</f>
        <v>3.7037037037037035E-4</v>
      </c>
      <c r="FS206" s="10" cm="1">
        <f t="array" aca="1" ref="FS206" ca="1">(1-$B$18)*SUMPRODUCT(OFFSET($BO$15,0,0,$B$14,1), 1*(_xlfn._xlws.FILTER(OFFSET($O$15,0,$DN206,$B$8,1),OFFSET($M$15,0,0,$B$8,1))=FS$13), 1*(_xlfn._xlws.FILTER(OFFSET($O$15,0,$DO206,$B$8,1),OFFSET($M$15,0,0,$B$8,1))=FS$14))   /   SUM(OFFSET($BO$15,0,0,$B$14,1)) + $B$18/($B$19*$B$19*($DN206&lt;&gt;$DO206) + $B$19*($DN206=$DO206))</f>
        <v>3.7037037037037035E-4</v>
      </c>
      <c r="FT206" s="10" cm="1">
        <f t="array" aca="1" ref="FT206" ca="1">(1-$B$18)*SUMPRODUCT(OFFSET($BO$15,0,0,$B$14,1), 1*(_xlfn._xlws.FILTER(OFFSET($O$15,0,$DN206,$B$8,1),OFFSET($M$15,0,0,$B$8,1))=FT$13), 1*(_xlfn._xlws.FILTER(OFFSET($O$15,0,$DO206,$B$8,1),OFFSET($M$15,0,0,$B$8,1))=FT$14))   /   SUM(OFFSET($BO$15,0,0,$B$14,1)) + $B$18/($B$19*$B$19*($DN206&lt;&gt;$DO206) + $B$19*($DN206=$DO206))</f>
        <v>3.7037037037037035E-4</v>
      </c>
      <c r="FU206" s="10" cm="1">
        <f t="array" aca="1" ref="FU206" ca="1">(1-$B$18)*SUMPRODUCT(OFFSET($BO$15,0,0,$B$14,1), 1*(_xlfn._xlws.FILTER(OFFSET($O$15,0,$DN206,$B$8,1),OFFSET($M$15,0,0,$B$8,1))=FU$13), 1*(_xlfn._xlws.FILTER(OFFSET($O$15,0,$DO206,$B$8,1),OFFSET($M$15,0,0,$B$8,1))=FU$14))   /   SUM(OFFSET($BO$15,0,0,$B$14,1)) + $B$18/($B$19*$B$19*($DN206&lt;&gt;$DO206) + $B$19*($DN206=$DO206))</f>
        <v>3.7037037037037035E-4</v>
      </c>
      <c r="FV206" s="10" cm="1">
        <f t="array" aca="1" ref="FV206" ca="1">(1-$B$18)*SUMPRODUCT(OFFSET($BO$15,0,0,$B$14,1), 1*(_xlfn._xlws.FILTER(OFFSET($O$15,0,$DN206,$B$8,1),OFFSET($M$15,0,0,$B$8,1))=FV$13), 1*(_xlfn._xlws.FILTER(OFFSET($O$15,0,$DO206,$B$8,1),OFFSET($M$15,0,0,$B$8,1))=FV$14))   /   SUM(OFFSET($BO$15,0,0,$B$14,1)) + $B$18/($B$19*$B$19*($DN206&lt;&gt;$DO206) + $B$19*($DN206=$DO206))</f>
        <v>3.7037037037037035E-4</v>
      </c>
      <c r="FW206" s="10" cm="1">
        <f t="array" aca="1" ref="FW206" ca="1">(1-$B$18)*SUMPRODUCT(OFFSET($BO$15,0,0,$B$14,1), 1*(_xlfn._xlws.FILTER(OFFSET($O$15,0,$DN206,$B$8,1),OFFSET($M$15,0,0,$B$8,1))=FW$13), 1*(_xlfn._xlws.FILTER(OFFSET($O$15,0,$DO206,$B$8,1),OFFSET($M$15,0,0,$B$8,1))=FW$14))   /   SUM(OFFSET($BO$15,0,0,$B$14,1)) + $B$18/($B$19*$B$19*($DN206&lt;&gt;$DO206) + $B$19*($DN206=$DO206))</f>
        <v>3.7037037037037035E-4</v>
      </c>
      <c r="FX206" s="10" cm="1">
        <f t="array" aca="1" ref="FX206" ca="1">(1-$B$18)*SUMPRODUCT(OFFSET($BO$15,0,0,$B$14,1), 1*(_xlfn._xlws.FILTER(OFFSET($O$15,0,$DN206,$B$8,1),OFFSET($M$15,0,0,$B$8,1))=FX$13), 1*(_xlfn._xlws.FILTER(OFFSET($O$15,0,$DO206,$B$8,1),OFFSET($M$15,0,0,$B$8,1))=FX$14))   /   SUM(OFFSET($BO$15,0,0,$B$14,1)) + $B$18/($B$19*$B$19*($DN206&lt;&gt;$DO206) + $B$19*($DN206=$DO206))</f>
        <v>3.7037037037037035E-4</v>
      </c>
      <c r="FY206" s="10" cm="1">
        <f t="array" aca="1" ref="FY206" ca="1">(1-$B$18)*SUMPRODUCT(OFFSET($BO$15,0,0,$B$14,1), 1*(_xlfn._xlws.FILTER(OFFSET($O$15,0,$DN206,$B$8,1),OFFSET($M$15,0,0,$B$8,1))=FY$13), 1*(_xlfn._xlws.FILTER(OFFSET($O$15,0,$DO206,$B$8,1),OFFSET($M$15,0,0,$B$8,1))=FY$14))   /   SUM(OFFSET($BO$15,0,0,$B$14,1)) + $B$18/($B$19*$B$19*($DN206&lt;&gt;$DO206) + $B$19*($DN206=$DO206))</f>
        <v>3.7037037037037035E-4</v>
      </c>
      <c r="FZ206" s="10" cm="1">
        <f t="array" aca="1" ref="FZ206" ca="1">(1-$B$18)*SUMPRODUCT(OFFSET($BO$15,0,0,$B$14,1), 1*(_xlfn._xlws.FILTER(OFFSET($O$15,0,$DN206,$B$8,1),OFFSET($M$15,0,0,$B$8,1))=FZ$13), 1*(_xlfn._xlws.FILTER(OFFSET($O$15,0,$DO206,$B$8,1),OFFSET($M$15,0,0,$B$8,1))=FZ$14))   /   SUM(OFFSET($BO$15,0,0,$B$14,1)) + $B$18/($B$19*$B$19*($DN206&lt;&gt;$DO206) + $B$19*($DN206=$DO206))</f>
        <v>3.7037037037037035E-4</v>
      </c>
      <c r="GA206" s="10" cm="1">
        <f t="array" aca="1" ref="GA206" ca="1">(1-$B$18)*SUMPRODUCT(OFFSET($BO$15,0,0,$B$14,1), 1*(_xlfn._xlws.FILTER(OFFSET($O$15,0,$DN206,$B$8,1),OFFSET($M$15,0,0,$B$8,1))=GA$13), 1*(_xlfn._xlws.FILTER(OFFSET($O$15,0,$DO206,$B$8,1),OFFSET($M$15,0,0,$B$8,1))=GA$14))   /   SUM(OFFSET($BO$15,0,0,$B$14,1)) + $B$18/($B$19*$B$19*($DN206&lt;&gt;$DO206) + $B$19*($DN206=$DO206))</f>
        <v>3.7037037037037035E-4</v>
      </c>
    </row>
    <row r="207" spans="118:183" x14ac:dyDescent="0.2">
      <c r="DN207" cm="1">
        <f t="array" aca="1" ref="DN207" ca="1">INDEX(_xlfn.ANCHORARRAY($CP$15), 1 + INT((ROWS($DO$15:$DO207) - 1) / ROWS(_xlfn.ANCHORARRAY($CP$15))))</f>
        <v>11</v>
      </c>
      <c r="DO207" cm="1">
        <f t="array" aca="1" ref="DO207" ca="1">INDEX(_xlfn.ANCHORARRAY($CP$15),1+MOD(ROWS($DO$15:$DO207)-1,ROWS(_xlfn.ANCHORARRAY($CP$15))))</f>
        <v>2</v>
      </c>
      <c r="DP207" s="10" cm="1">
        <f t="array" aca="1" ref="DP207" ca="1">(1-$B$18)*SUMPRODUCT(OFFSET($BO$15,0,0,$B$14,1), 1*(_xlfn._xlws.FILTER(OFFSET($O$15,0,$DN207,$B$8,1),OFFSET($M$15,0,0,$B$8,1))=DP$13), 1*(_xlfn._xlws.FILTER(OFFSET($O$15,0,$DO207,$B$8,1),OFFSET($M$15,0,0,$B$8,1))=DP$14))   /   SUM(OFFSET($BO$15,0,0,$B$14,1)) + $B$18/($B$19*$B$19*($DN207&lt;&gt;$DO207) + $B$19*($DN207=$DO207))</f>
        <v>3.7037037037037035E-4</v>
      </c>
      <c r="DQ207" s="10" cm="1">
        <f t="array" aca="1" ref="DQ207" ca="1">(1-$B$18)*SUMPRODUCT(OFFSET($BO$15,0,0,$B$14,1), 1*(_xlfn._xlws.FILTER(OFFSET($O$15,0,$DN207,$B$8,1),OFFSET($M$15,0,0,$B$8,1))=DQ$13), 1*(_xlfn._xlws.FILTER(OFFSET($O$15,0,$DO207,$B$8,1),OFFSET($M$15,0,0,$B$8,1))=DQ$14))   /   SUM(OFFSET($BO$15,0,0,$B$14,1)) + $B$18/($B$19*$B$19*($DN207&lt;&gt;$DO207) + $B$19*($DN207=$DO207))</f>
        <v>3.7037037037037035E-4</v>
      </c>
      <c r="DR207" s="10" cm="1">
        <f t="array" aca="1" ref="DR207" ca="1">(1-$B$18)*SUMPRODUCT(OFFSET($BO$15,0,0,$B$14,1), 1*(_xlfn._xlws.FILTER(OFFSET($O$15,0,$DN207,$B$8,1),OFFSET($M$15,0,0,$B$8,1))=DR$13), 1*(_xlfn._xlws.FILTER(OFFSET($O$15,0,$DO207,$B$8,1),OFFSET($M$15,0,0,$B$8,1))=DR$14))   /   SUM(OFFSET($BO$15,0,0,$B$14,1)) + $B$18/($B$19*$B$19*($DN207&lt;&gt;$DO207) + $B$19*($DN207=$DO207))</f>
        <v>3.7037037037037035E-4</v>
      </c>
      <c r="DS207" s="10" cm="1">
        <f t="array" aca="1" ref="DS207" ca="1">(1-$B$18)*SUMPRODUCT(OFFSET($BO$15,0,0,$B$14,1), 1*(_xlfn._xlws.FILTER(OFFSET($O$15,0,$DN207,$B$8,1),OFFSET($M$15,0,0,$B$8,1))=DS$13), 1*(_xlfn._xlws.FILTER(OFFSET($O$15,0,$DO207,$B$8,1),OFFSET($M$15,0,0,$B$8,1))=DS$14))   /   SUM(OFFSET($BO$15,0,0,$B$14,1)) + $B$18/($B$19*$B$19*($DN207&lt;&gt;$DO207) + $B$19*($DN207=$DO207))</f>
        <v>3.7037037037037035E-4</v>
      </c>
      <c r="DT207" s="10" cm="1">
        <f t="array" aca="1" ref="DT207" ca="1">(1-$B$18)*SUMPRODUCT(OFFSET($BO$15,0,0,$B$14,1), 1*(_xlfn._xlws.FILTER(OFFSET($O$15,0,$DN207,$B$8,1),OFFSET($M$15,0,0,$B$8,1))=DT$13), 1*(_xlfn._xlws.FILTER(OFFSET($O$15,0,$DO207,$B$8,1),OFFSET($M$15,0,0,$B$8,1))=DT$14))   /   SUM(OFFSET($BO$15,0,0,$B$14,1)) + $B$18/($B$19*$B$19*($DN207&lt;&gt;$DO207) + $B$19*($DN207=$DO207))</f>
        <v>3.7037037037037035E-4</v>
      </c>
      <c r="DU207" s="10" cm="1">
        <f t="array" aca="1" ref="DU207" ca="1">(1-$B$18)*SUMPRODUCT(OFFSET($BO$15,0,0,$B$14,1), 1*(_xlfn._xlws.FILTER(OFFSET($O$15,0,$DN207,$B$8,1),OFFSET($M$15,0,0,$B$8,1))=DU$13), 1*(_xlfn._xlws.FILTER(OFFSET($O$15,0,$DO207,$B$8,1),OFFSET($M$15,0,0,$B$8,1))=DU$14))   /   SUM(OFFSET($BO$15,0,0,$B$14,1)) + $B$18/($B$19*$B$19*($DN207&lt;&gt;$DO207) + $B$19*($DN207=$DO207))</f>
        <v>3.7037037037037035E-4</v>
      </c>
      <c r="DV207" s="10" cm="1">
        <f t="array" aca="1" ref="DV207" ca="1">(1-$B$18)*SUMPRODUCT(OFFSET($BO$15,0,0,$B$14,1), 1*(_xlfn._xlws.FILTER(OFFSET($O$15,0,$DN207,$B$8,1),OFFSET($M$15,0,0,$B$8,1))=DV$13), 1*(_xlfn._xlws.FILTER(OFFSET($O$15,0,$DO207,$B$8,1),OFFSET($M$15,0,0,$B$8,1))=DV$14))   /   SUM(OFFSET($BO$15,0,0,$B$14,1)) + $B$18/($B$19*$B$19*($DN207&lt;&gt;$DO207) + $B$19*($DN207=$DO207))</f>
        <v>0.48537037037037034</v>
      </c>
      <c r="DW207" s="10" cm="1">
        <f t="array" aca="1" ref="DW207" ca="1">(1-$B$18)*SUMPRODUCT(OFFSET($BO$15,0,0,$B$14,1), 1*(_xlfn._xlws.FILTER(OFFSET($O$15,0,$DN207,$B$8,1),OFFSET($M$15,0,0,$B$8,1))=DW$13), 1*(_xlfn._xlws.FILTER(OFFSET($O$15,0,$DO207,$B$8,1),OFFSET($M$15,0,0,$B$8,1))=DW$14))   /   SUM(OFFSET($BO$15,0,0,$B$14,1)) + $B$18/($B$19*$B$19*($DN207&lt;&gt;$DO207) + $B$19*($DN207=$DO207))</f>
        <v>3.7037037037037035E-4</v>
      </c>
      <c r="DX207" s="10" cm="1">
        <f t="array" aca="1" ref="DX207" ca="1">(1-$B$18)*SUMPRODUCT(OFFSET($BO$15,0,0,$B$14,1), 1*(_xlfn._xlws.FILTER(OFFSET($O$15,0,$DN207,$B$8,1),OFFSET($M$15,0,0,$B$8,1))=DX$13), 1*(_xlfn._xlws.FILTER(OFFSET($O$15,0,$DO207,$B$8,1),OFFSET($M$15,0,0,$B$8,1))=DX$14))   /   SUM(OFFSET($BO$15,0,0,$B$14,1)) + $B$18/($B$19*$B$19*($DN207&lt;&gt;$DO207) + $B$19*($DN207=$DO207))</f>
        <v>3.7037037037037035E-4</v>
      </c>
      <c r="DY207" s="10" cm="1">
        <f t="array" aca="1" ref="DY207" ca="1">(1-$B$18)*SUMPRODUCT(OFFSET($BO$15,0,0,$B$14,1), 1*(_xlfn._xlws.FILTER(OFFSET($O$15,0,$DN207,$B$8,1),OFFSET($M$15,0,0,$B$8,1))=DY$13), 1*(_xlfn._xlws.FILTER(OFFSET($O$15,0,$DO207,$B$8,1),OFFSET($M$15,0,0,$B$8,1))=DY$14))   /   SUM(OFFSET($BO$15,0,0,$B$14,1)) + $B$18/($B$19*$B$19*($DN207&lt;&gt;$DO207) + $B$19*($DN207=$DO207))</f>
        <v>3.7037037037037035E-4</v>
      </c>
      <c r="DZ207" s="10" cm="1">
        <f t="array" aca="1" ref="DZ207" ca="1">(1-$B$18)*SUMPRODUCT(OFFSET($BO$15,0,0,$B$14,1), 1*(_xlfn._xlws.FILTER(OFFSET($O$15,0,$DN207,$B$8,1),OFFSET($M$15,0,0,$B$8,1))=DZ$13), 1*(_xlfn._xlws.FILTER(OFFSET($O$15,0,$DO207,$B$8,1),OFFSET($M$15,0,0,$B$8,1))=DZ$14))   /   SUM(OFFSET($BO$15,0,0,$B$14,1)) + $B$18/($B$19*$B$19*($DN207&lt;&gt;$DO207) + $B$19*($DN207=$DO207))</f>
        <v>3.7037037037037035E-4</v>
      </c>
      <c r="EA207" s="10" cm="1">
        <f t="array" aca="1" ref="EA207" ca="1">(1-$B$18)*SUMPRODUCT(OFFSET($BO$15,0,0,$B$14,1), 1*(_xlfn._xlws.FILTER(OFFSET($O$15,0,$DN207,$B$8,1),OFFSET($M$15,0,0,$B$8,1))=EA$13), 1*(_xlfn._xlws.FILTER(OFFSET($O$15,0,$DO207,$B$8,1),OFFSET($M$15,0,0,$B$8,1))=EA$14))   /   SUM(OFFSET($BO$15,0,0,$B$14,1)) + $B$18/($B$19*$B$19*($DN207&lt;&gt;$DO207) + $B$19*($DN207=$DO207))</f>
        <v>3.7037037037037035E-4</v>
      </c>
      <c r="EB207" s="10" cm="1">
        <f t="array" aca="1" ref="EB207" ca="1">(1-$B$18)*SUMPRODUCT(OFFSET($BO$15,0,0,$B$14,1), 1*(_xlfn._xlws.FILTER(OFFSET($O$15,0,$DN207,$B$8,1),OFFSET($M$15,0,0,$B$8,1))=EB$13), 1*(_xlfn._xlws.FILTER(OFFSET($O$15,0,$DO207,$B$8,1),OFFSET($M$15,0,0,$B$8,1))=EB$14))   /   SUM(OFFSET($BO$15,0,0,$B$14,1)) + $B$18/($B$19*$B$19*($DN207&lt;&gt;$DO207) + $B$19*($DN207=$DO207))</f>
        <v>3.7037037037037035E-4</v>
      </c>
      <c r="EC207" s="10" cm="1">
        <f t="array" aca="1" ref="EC207" ca="1">(1-$B$18)*SUMPRODUCT(OFFSET($BO$15,0,0,$B$14,1), 1*(_xlfn._xlws.FILTER(OFFSET($O$15,0,$DN207,$B$8,1),OFFSET($M$15,0,0,$B$8,1))=EC$13), 1*(_xlfn._xlws.FILTER(OFFSET($O$15,0,$DO207,$B$8,1),OFFSET($M$15,0,0,$B$8,1))=EC$14))   /   SUM(OFFSET($BO$15,0,0,$B$14,1)) + $B$18/($B$19*$B$19*($DN207&lt;&gt;$DO207) + $B$19*($DN207=$DO207))</f>
        <v>3.7037037037037035E-4</v>
      </c>
      <c r="ED207" s="10" cm="1">
        <f t="array" aca="1" ref="ED207" ca="1">(1-$B$18)*SUMPRODUCT(OFFSET($BO$15,0,0,$B$14,1), 1*(_xlfn._xlws.FILTER(OFFSET($O$15,0,$DN207,$B$8,1),OFFSET($M$15,0,0,$B$8,1))=ED$13), 1*(_xlfn._xlws.FILTER(OFFSET($O$15,0,$DO207,$B$8,1),OFFSET($M$15,0,0,$B$8,1))=ED$14))   /   SUM(OFFSET($BO$15,0,0,$B$14,1)) + $B$18/($B$19*$B$19*($DN207&lt;&gt;$DO207) + $B$19*($DN207=$DO207))</f>
        <v>3.7037037037037035E-4</v>
      </c>
      <c r="EE207" s="10" cm="1">
        <f t="array" aca="1" ref="EE207" ca="1">(1-$B$18)*SUMPRODUCT(OFFSET($BO$15,0,0,$B$14,1), 1*(_xlfn._xlws.FILTER(OFFSET($O$15,0,$DN207,$B$8,1),OFFSET($M$15,0,0,$B$8,1))=EE$13), 1*(_xlfn._xlws.FILTER(OFFSET($O$15,0,$DO207,$B$8,1),OFFSET($M$15,0,0,$B$8,1))=EE$14))   /   SUM(OFFSET($BO$15,0,0,$B$14,1)) + $B$18/($B$19*$B$19*($DN207&lt;&gt;$DO207) + $B$19*($DN207=$DO207))</f>
        <v>3.7037037037037035E-4</v>
      </c>
      <c r="EF207" s="10" cm="1">
        <f t="array" aca="1" ref="EF207" ca="1">(1-$B$18)*SUMPRODUCT(OFFSET($BO$15,0,0,$B$14,1), 1*(_xlfn._xlws.FILTER(OFFSET($O$15,0,$DN207,$B$8,1),OFFSET($M$15,0,0,$B$8,1))=EF$13), 1*(_xlfn._xlws.FILTER(OFFSET($O$15,0,$DO207,$B$8,1),OFFSET($M$15,0,0,$B$8,1))=EF$14))   /   SUM(OFFSET($BO$15,0,0,$B$14,1)) + $B$18/($B$19*$B$19*($DN207&lt;&gt;$DO207) + $B$19*($DN207=$DO207))</f>
        <v>3.7037037037037035E-4</v>
      </c>
      <c r="EG207" s="10" cm="1">
        <f t="array" aca="1" ref="EG207" ca="1">(1-$B$18)*SUMPRODUCT(OFFSET($BO$15,0,0,$B$14,1), 1*(_xlfn._xlws.FILTER(OFFSET($O$15,0,$DN207,$B$8,1),OFFSET($M$15,0,0,$B$8,1))=EG$13), 1*(_xlfn._xlws.FILTER(OFFSET($O$15,0,$DO207,$B$8,1),OFFSET($M$15,0,0,$B$8,1))=EG$14))   /   SUM(OFFSET($BO$15,0,0,$B$14,1)) + $B$18/($B$19*$B$19*($DN207&lt;&gt;$DO207) + $B$19*($DN207=$DO207))</f>
        <v>3.7037037037037035E-4</v>
      </c>
      <c r="EH207" s="10" cm="1">
        <f t="array" aca="1" ref="EH207" ca="1">(1-$B$18)*SUMPRODUCT(OFFSET($BO$15,0,0,$B$14,1), 1*(_xlfn._xlws.FILTER(OFFSET($O$15,0,$DN207,$B$8,1),OFFSET($M$15,0,0,$B$8,1))=EH$13), 1*(_xlfn._xlws.FILTER(OFFSET($O$15,0,$DO207,$B$8,1),OFFSET($M$15,0,0,$B$8,1))=EH$14))   /   SUM(OFFSET($BO$15,0,0,$B$14,1)) + $B$18/($B$19*$B$19*($DN207&lt;&gt;$DO207) + $B$19*($DN207=$DO207))</f>
        <v>3.7037037037037035E-4</v>
      </c>
      <c r="EI207" s="10" cm="1">
        <f t="array" aca="1" ref="EI207" ca="1">(1-$B$18)*SUMPRODUCT(OFFSET($BO$15,0,0,$B$14,1), 1*(_xlfn._xlws.FILTER(OFFSET($O$15,0,$DN207,$B$8,1),OFFSET($M$15,0,0,$B$8,1))=EI$13), 1*(_xlfn._xlws.FILTER(OFFSET($O$15,0,$DO207,$B$8,1),OFFSET($M$15,0,0,$B$8,1))=EI$14))   /   SUM(OFFSET($BO$15,0,0,$B$14,1)) + $B$18/($B$19*$B$19*($DN207&lt;&gt;$DO207) + $B$19*($DN207=$DO207))</f>
        <v>3.7037037037037035E-4</v>
      </c>
      <c r="EJ207" s="10" cm="1">
        <f t="array" aca="1" ref="EJ207" ca="1">(1-$B$18)*SUMPRODUCT(OFFSET($BO$15,0,0,$B$14,1), 1*(_xlfn._xlws.FILTER(OFFSET($O$15,0,$DN207,$B$8,1),OFFSET($M$15,0,0,$B$8,1))=EJ$13), 1*(_xlfn._xlws.FILTER(OFFSET($O$15,0,$DO207,$B$8,1),OFFSET($M$15,0,0,$B$8,1))=EJ$14))   /   SUM(OFFSET($BO$15,0,0,$B$14,1)) + $B$18/($B$19*$B$19*($DN207&lt;&gt;$DO207) + $B$19*($DN207=$DO207))</f>
        <v>3.7037037037037035E-4</v>
      </c>
      <c r="EK207" s="10" cm="1">
        <f t="array" aca="1" ref="EK207" ca="1">(1-$B$18)*SUMPRODUCT(OFFSET($BO$15,0,0,$B$14,1), 1*(_xlfn._xlws.FILTER(OFFSET($O$15,0,$DN207,$B$8,1),OFFSET($M$15,0,0,$B$8,1))=EK$13), 1*(_xlfn._xlws.FILTER(OFFSET($O$15,0,$DO207,$B$8,1),OFFSET($M$15,0,0,$B$8,1))=EK$14))   /   SUM(OFFSET($BO$15,0,0,$B$14,1)) + $B$18/($B$19*$B$19*($DN207&lt;&gt;$DO207) + $B$19*($DN207=$DO207))</f>
        <v>3.7037037037037035E-4</v>
      </c>
      <c r="EL207" s="10" cm="1">
        <f t="array" aca="1" ref="EL207" ca="1">(1-$B$18)*SUMPRODUCT(OFFSET($BO$15,0,0,$B$14,1), 1*(_xlfn._xlws.FILTER(OFFSET($O$15,0,$DN207,$B$8,1),OFFSET($M$15,0,0,$B$8,1))=EL$13), 1*(_xlfn._xlws.FILTER(OFFSET($O$15,0,$DO207,$B$8,1),OFFSET($M$15,0,0,$B$8,1))=EL$14))   /   SUM(OFFSET($BO$15,0,0,$B$14,1)) + $B$18/($B$19*$B$19*($DN207&lt;&gt;$DO207) + $B$19*($DN207=$DO207))</f>
        <v>0.24287037037037026</v>
      </c>
      <c r="EM207" s="10" cm="1">
        <f t="array" aca="1" ref="EM207" ca="1">(1-$B$18)*SUMPRODUCT(OFFSET($BO$15,0,0,$B$14,1), 1*(_xlfn._xlws.FILTER(OFFSET($O$15,0,$DN207,$B$8,1),OFFSET($M$15,0,0,$B$8,1))=EM$13), 1*(_xlfn._xlws.FILTER(OFFSET($O$15,0,$DO207,$B$8,1),OFFSET($M$15,0,0,$B$8,1))=EM$14))   /   SUM(OFFSET($BO$15,0,0,$B$14,1)) + $B$18/($B$19*$B$19*($DN207&lt;&gt;$DO207) + $B$19*($DN207=$DO207))</f>
        <v>3.7037037037037035E-4</v>
      </c>
      <c r="EN207" s="10" cm="1">
        <f t="array" aca="1" ref="EN207" ca="1">(1-$B$18)*SUMPRODUCT(OFFSET($BO$15,0,0,$B$14,1), 1*(_xlfn._xlws.FILTER(OFFSET($O$15,0,$DN207,$B$8,1),OFFSET($M$15,0,0,$B$8,1))=EN$13), 1*(_xlfn._xlws.FILTER(OFFSET($O$15,0,$DO207,$B$8,1),OFFSET($M$15,0,0,$B$8,1))=EN$14))   /   SUM(OFFSET($BO$15,0,0,$B$14,1)) + $B$18/($B$19*$B$19*($DN207&lt;&gt;$DO207) + $B$19*($DN207=$DO207))</f>
        <v>3.7037037037037035E-4</v>
      </c>
      <c r="EO207" s="10" cm="1">
        <f t="array" aca="1" ref="EO207" ca="1">(1-$B$18)*SUMPRODUCT(OFFSET($BO$15,0,0,$B$14,1), 1*(_xlfn._xlws.FILTER(OFFSET($O$15,0,$DN207,$B$8,1),OFFSET($M$15,0,0,$B$8,1))=EO$13), 1*(_xlfn._xlws.FILTER(OFFSET($O$15,0,$DO207,$B$8,1),OFFSET($M$15,0,0,$B$8,1))=EO$14))   /   SUM(OFFSET($BO$15,0,0,$B$14,1)) + $B$18/($B$19*$B$19*($DN207&lt;&gt;$DO207) + $B$19*($DN207=$DO207))</f>
        <v>3.7037037037037035E-4</v>
      </c>
      <c r="EP207" s="10" cm="1">
        <f t="array" aca="1" ref="EP207" ca="1">(1-$B$18)*SUMPRODUCT(OFFSET($BO$15,0,0,$B$14,1), 1*(_xlfn._xlws.FILTER(OFFSET($O$15,0,$DN207,$B$8,1),OFFSET($M$15,0,0,$B$8,1))=EP$13), 1*(_xlfn._xlws.FILTER(OFFSET($O$15,0,$DO207,$B$8,1),OFFSET($M$15,0,0,$B$8,1))=EP$14))   /   SUM(OFFSET($BO$15,0,0,$B$14,1)) + $B$18/($B$19*$B$19*($DN207&lt;&gt;$DO207) + $B$19*($DN207=$DO207))</f>
        <v>3.7037037037037035E-4</v>
      </c>
      <c r="EQ207" s="10" cm="1">
        <f t="array" aca="1" ref="EQ207" ca="1">(1-$B$18)*SUMPRODUCT(OFFSET($BO$15,0,0,$B$14,1), 1*(_xlfn._xlws.FILTER(OFFSET($O$15,0,$DN207,$B$8,1),OFFSET($M$15,0,0,$B$8,1))=EQ$13), 1*(_xlfn._xlws.FILTER(OFFSET($O$15,0,$DO207,$B$8,1),OFFSET($M$15,0,0,$B$8,1))=EQ$14))   /   SUM(OFFSET($BO$15,0,0,$B$14,1)) + $B$18/($B$19*$B$19*($DN207&lt;&gt;$DO207) + $B$19*($DN207=$DO207))</f>
        <v>3.7037037037037035E-4</v>
      </c>
      <c r="ER207" s="10" cm="1">
        <f t="array" aca="1" ref="ER207" ca="1">(1-$B$18)*SUMPRODUCT(OFFSET($BO$15,0,0,$B$14,1), 1*(_xlfn._xlws.FILTER(OFFSET($O$15,0,$DN207,$B$8,1),OFFSET($M$15,0,0,$B$8,1))=ER$13), 1*(_xlfn._xlws.FILTER(OFFSET($O$15,0,$DO207,$B$8,1),OFFSET($M$15,0,0,$B$8,1))=ER$14))   /   SUM(OFFSET($BO$15,0,0,$B$14,1)) + $B$18/($B$19*$B$19*($DN207&lt;&gt;$DO207) + $B$19*($DN207=$DO207))</f>
        <v>3.7037037037037035E-4</v>
      </c>
      <c r="ES207" s="10" cm="1">
        <f t="array" aca="1" ref="ES207" ca="1">(1-$B$18)*SUMPRODUCT(OFFSET($BO$15,0,0,$B$14,1), 1*(_xlfn._xlws.FILTER(OFFSET($O$15,0,$DN207,$B$8,1),OFFSET($M$15,0,0,$B$8,1))=ES$13), 1*(_xlfn._xlws.FILTER(OFFSET($O$15,0,$DO207,$B$8,1),OFFSET($M$15,0,0,$B$8,1))=ES$14))   /   SUM(OFFSET($BO$15,0,0,$B$14,1)) + $B$18/($B$19*$B$19*($DN207&lt;&gt;$DO207) + $B$19*($DN207=$DO207))</f>
        <v>3.7037037037037035E-4</v>
      </c>
      <c r="ET207" s="10" cm="1">
        <f t="array" aca="1" ref="ET207" ca="1">(1-$B$18)*SUMPRODUCT(OFFSET($BO$15,0,0,$B$14,1), 1*(_xlfn._xlws.FILTER(OFFSET($O$15,0,$DN207,$B$8,1),OFFSET($M$15,0,0,$B$8,1))=ET$13), 1*(_xlfn._xlws.FILTER(OFFSET($O$15,0,$DO207,$B$8,1),OFFSET($M$15,0,0,$B$8,1))=ET$14))   /   SUM(OFFSET($BO$15,0,0,$B$14,1)) + $B$18/($B$19*$B$19*($DN207&lt;&gt;$DO207) + $B$19*($DN207=$DO207))</f>
        <v>0.24287037037037026</v>
      </c>
      <c r="EU207" s="10" cm="1">
        <f t="array" aca="1" ref="EU207" ca="1">(1-$B$18)*SUMPRODUCT(OFFSET($BO$15,0,0,$B$14,1), 1*(_xlfn._xlws.FILTER(OFFSET($O$15,0,$DN207,$B$8,1),OFFSET($M$15,0,0,$B$8,1))=EU$13), 1*(_xlfn._xlws.FILTER(OFFSET($O$15,0,$DO207,$B$8,1),OFFSET($M$15,0,0,$B$8,1))=EU$14))   /   SUM(OFFSET($BO$15,0,0,$B$14,1)) + $B$18/($B$19*$B$19*($DN207&lt;&gt;$DO207) + $B$19*($DN207=$DO207))</f>
        <v>3.7037037037037035E-4</v>
      </c>
      <c r="EV207" s="10" cm="1">
        <f t="array" aca="1" ref="EV207" ca="1">(1-$B$18)*SUMPRODUCT(OFFSET($BO$15,0,0,$B$14,1), 1*(_xlfn._xlws.FILTER(OFFSET($O$15,0,$DN207,$B$8,1),OFFSET($M$15,0,0,$B$8,1))=EV$13), 1*(_xlfn._xlws.FILTER(OFFSET($O$15,0,$DO207,$B$8,1),OFFSET($M$15,0,0,$B$8,1))=EV$14))   /   SUM(OFFSET($BO$15,0,0,$B$14,1)) + $B$18/($B$19*$B$19*($DN207&lt;&gt;$DO207) + $B$19*($DN207=$DO207))</f>
        <v>3.7037037037037035E-4</v>
      </c>
      <c r="EW207" s="10" cm="1">
        <f t="array" aca="1" ref="EW207" ca="1">(1-$B$18)*SUMPRODUCT(OFFSET($BO$15,0,0,$B$14,1), 1*(_xlfn._xlws.FILTER(OFFSET($O$15,0,$DN207,$B$8,1),OFFSET($M$15,0,0,$B$8,1))=EW$13), 1*(_xlfn._xlws.FILTER(OFFSET($O$15,0,$DO207,$B$8,1),OFFSET($M$15,0,0,$B$8,1))=EW$14))   /   SUM(OFFSET($BO$15,0,0,$B$14,1)) + $B$18/($B$19*$B$19*($DN207&lt;&gt;$DO207) + $B$19*($DN207=$DO207))</f>
        <v>3.7037037037037035E-4</v>
      </c>
      <c r="EX207" s="10" cm="1">
        <f t="array" aca="1" ref="EX207" ca="1">(1-$B$18)*SUMPRODUCT(OFFSET($BO$15,0,0,$B$14,1), 1*(_xlfn._xlws.FILTER(OFFSET($O$15,0,$DN207,$B$8,1),OFFSET($M$15,0,0,$B$8,1))=EX$13), 1*(_xlfn._xlws.FILTER(OFFSET($O$15,0,$DO207,$B$8,1),OFFSET($M$15,0,0,$B$8,1))=EX$14))   /   SUM(OFFSET($BO$15,0,0,$B$14,1)) + $B$18/($B$19*$B$19*($DN207&lt;&gt;$DO207) + $B$19*($DN207=$DO207))</f>
        <v>3.7037037037037035E-4</v>
      </c>
      <c r="EY207" s="10" cm="1">
        <f t="array" aca="1" ref="EY207" ca="1">(1-$B$18)*SUMPRODUCT(OFFSET($BO$15,0,0,$B$14,1), 1*(_xlfn._xlws.FILTER(OFFSET($O$15,0,$DN207,$B$8,1),OFFSET($M$15,0,0,$B$8,1))=EY$13), 1*(_xlfn._xlws.FILTER(OFFSET($O$15,0,$DO207,$B$8,1),OFFSET($M$15,0,0,$B$8,1))=EY$14))   /   SUM(OFFSET($BO$15,0,0,$B$14,1)) + $B$18/($B$19*$B$19*($DN207&lt;&gt;$DO207) + $B$19*($DN207=$DO207))</f>
        <v>3.7037037037037035E-4</v>
      </c>
      <c r="EZ207" s="10" cm="1">
        <f t="array" aca="1" ref="EZ207" ca="1">(1-$B$18)*SUMPRODUCT(OFFSET($BO$15,0,0,$B$14,1), 1*(_xlfn._xlws.FILTER(OFFSET($O$15,0,$DN207,$B$8,1),OFFSET($M$15,0,0,$B$8,1))=EZ$13), 1*(_xlfn._xlws.FILTER(OFFSET($O$15,0,$DO207,$B$8,1),OFFSET($M$15,0,0,$B$8,1))=EZ$14))   /   SUM(OFFSET($BO$15,0,0,$B$14,1)) + $B$18/($B$19*$B$19*($DN207&lt;&gt;$DO207) + $B$19*($DN207=$DO207))</f>
        <v>3.7037037037037035E-4</v>
      </c>
      <c r="FA207" s="10" cm="1">
        <f t="array" aca="1" ref="FA207" ca="1">(1-$B$18)*SUMPRODUCT(OFFSET($BO$15,0,0,$B$14,1), 1*(_xlfn._xlws.FILTER(OFFSET($O$15,0,$DN207,$B$8,1),OFFSET($M$15,0,0,$B$8,1))=FA$13), 1*(_xlfn._xlws.FILTER(OFFSET($O$15,0,$DO207,$B$8,1),OFFSET($M$15,0,0,$B$8,1))=FA$14))   /   SUM(OFFSET($BO$15,0,0,$B$14,1)) + $B$18/($B$19*$B$19*($DN207&lt;&gt;$DO207) + $B$19*($DN207=$DO207))</f>
        <v>3.7037037037037035E-4</v>
      </c>
      <c r="FB207" s="10" cm="1">
        <f t="array" aca="1" ref="FB207" ca="1">(1-$B$18)*SUMPRODUCT(OFFSET($BO$15,0,0,$B$14,1), 1*(_xlfn._xlws.FILTER(OFFSET($O$15,0,$DN207,$B$8,1),OFFSET($M$15,0,0,$B$8,1))=FB$13), 1*(_xlfn._xlws.FILTER(OFFSET($O$15,0,$DO207,$B$8,1),OFFSET($M$15,0,0,$B$8,1))=FB$14))   /   SUM(OFFSET($BO$15,0,0,$B$14,1)) + $B$18/($B$19*$B$19*($DN207&lt;&gt;$DO207) + $B$19*($DN207=$DO207))</f>
        <v>3.7037037037037035E-4</v>
      </c>
      <c r="FC207" s="10" cm="1">
        <f t="array" aca="1" ref="FC207" ca="1">(1-$B$18)*SUMPRODUCT(OFFSET($BO$15,0,0,$B$14,1), 1*(_xlfn._xlws.FILTER(OFFSET($O$15,0,$DN207,$B$8,1),OFFSET($M$15,0,0,$B$8,1))=FC$13), 1*(_xlfn._xlws.FILTER(OFFSET($O$15,0,$DO207,$B$8,1),OFFSET($M$15,0,0,$B$8,1))=FC$14))   /   SUM(OFFSET($BO$15,0,0,$B$14,1)) + $B$18/($B$19*$B$19*($DN207&lt;&gt;$DO207) + $B$19*($DN207=$DO207))</f>
        <v>3.7037037037037035E-4</v>
      </c>
      <c r="FD207" s="10" cm="1">
        <f t="array" aca="1" ref="FD207" ca="1">(1-$B$18)*SUMPRODUCT(OFFSET($BO$15,0,0,$B$14,1), 1*(_xlfn._xlws.FILTER(OFFSET($O$15,0,$DN207,$B$8,1),OFFSET($M$15,0,0,$B$8,1))=FD$13), 1*(_xlfn._xlws.FILTER(OFFSET($O$15,0,$DO207,$B$8,1),OFFSET($M$15,0,0,$B$8,1))=FD$14))   /   SUM(OFFSET($BO$15,0,0,$B$14,1)) + $B$18/($B$19*$B$19*($DN207&lt;&gt;$DO207) + $B$19*($DN207=$DO207))</f>
        <v>3.7037037037037035E-4</v>
      </c>
      <c r="FE207" s="10" cm="1">
        <f t="array" aca="1" ref="FE207" ca="1">(1-$B$18)*SUMPRODUCT(OFFSET($BO$15,0,0,$B$14,1), 1*(_xlfn._xlws.FILTER(OFFSET($O$15,0,$DN207,$B$8,1),OFFSET($M$15,0,0,$B$8,1))=FE$13), 1*(_xlfn._xlws.FILTER(OFFSET($O$15,0,$DO207,$B$8,1),OFFSET($M$15,0,0,$B$8,1))=FE$14))   /   SUM(OFFSET($BO$15,0,0,$B$14,1)) + $B$18/($B$19*$B$19*($DN207&lt;&gt;$DO207) + $B$19*($DN207=$DO207))</f>
        <v>3.7037037037037035E-4</v>
      </c>
      <c r="FF207" s="10" cm="1">
        <f t="array" aca="1" ref="FF207" ca="1">(1-$B$18)*SUMPRODUCT(OFFSET($BO$15,0,0,$B$14,1), 1*(_xlfn._xlws.FILTER(OFFSET($O$15,0,$DN207,$B$8,1),OFFSET($M$15,0,0,$B$8,1))=FF$13), 1*(_xlfn._xlws.FILTER(OFFSET($O$15,0,$DO207,$B$8,1),OFFSET($M$15,0,0,$B$8,1))=FF$14))   /   SUM(OFFSET($BO$15,0,0,$B$14,1)) + $B$18/($B$19*$B$19*($DN207&lt;&gt;$DO207) + $B$19*($DN207=$DO207))</f>
        <v>3.7037037037037035E-4</v>
      </c>
      <c r="FG207" s="10" cm="1">
        <f t="array" aca="1" ref="FG207" ca="1">(1-$B$18)*SUMPRODUCT(OFFSET($BO$15,0,0,$B$14,1), 1*(_xlfn._xlws.FILTER(OFFSET($O$15,0,$DN207,$B$8,1),OFFSET($M$15,0,0,$B$8,1))=FG$13), 1*(_xlfn._xlws.FILTER(OFFSET($O$15,0,$DO207,$B$8,1),OFFSET($M$15,0,0,$B$8,1))=FG$14))   /   SUM(OFFSET($BO$15,0,0,$B$14,1)) + $B$18/($B$19*$B$19*($DN207&lt;&gt;$DO207) + $B$19*($DN207=$DO207))</f>
        <v>3.7037037037037035E-4</v>
      </c>
      <c r="FH207" s="10" cm="1">
        <f t="array" aca="1" ref="FH207" ca="1">(1-$B$18)*SUMPRODUCT(OFFSET($BO$15,0,0,$B$14,1), 1*(_xlfn._xlws.FILTER(OFFSET($O$15,0,$DN207,$B$8,1),OFFSET($M$15,0,0,$B$8,1))=FH$13), 1*(_xlfn._xlws.FILTER(OFFSET($O$15,0,$DO207,$B$8,1),OFFSET($M$15,0,0,$B$8,1))=FH$14))   /   SUM(OFFSET($BO$15,0,0,$B$14,1)) + $B$18/($B$19*$B$19*($DN207&lt;&gt;$DO207) + $B$19*($DN207=$DO207))</f>
        <v>3.7037037037037035E-4</v>
      </c>
      <c r="FI207" s="10" cm="1">
        <f t="array" aca="1" ref="FI207" ca="1">(1-$B$18)*SUMPRODUCT(OFFSET($BO$15,0,0,$B$14,1), 1*(_xlfn._xlws.FILTER(OFFSET($O$15,0,$DN207,$B$8,1),OFFSET($M$15,0,0,$B$8,1))=FI$13), 1*(_xlfn._xlws.FILTER(OFFSET($O$15,0,$DO207,$B$8,1),OFFSET($M$15,0,0,$B$8,1))=FI$14))   /   SUM(OFFSET($BO$15,0,0,$B$14,1)) + $B$18/($B$19*$B$19*($DN207&lt;&gt;$DO207) + $B$19*($DN207=$DO207))</f>
        <v>3.7037037037037035E-4</v>
      </c>
      <c r="FJ207" s="10" cm="1">
        <f t="array" aca="1" ref="FJ207" ca="1">(1-$B$18)*SUMPRODUCT(OFFSET($BO$15,0,0,$B$14,1), 1*(_xlfn._xlws.FILTER(OFFSET($O$15,0,$DN207,$B$8,1),OFFSET($M$15,0,0,$B$8,1))=FJ$13), 1*(_xlfn._xlws.FILTER(OFFSET($O$15,0,$DO207,$B$8,1),OFFSET($M$15,0,0,$B$8,1))=FJ$14))   /   SUM(OFFSET($BO$15,0,0,$B$14,1)) + $B$18/($B$19*$B$19*($DN207&lt;&gt;$DO207) + $B$19*($DN207=$DO207))</f>
        <v>3.7037037037037035E-4</v>
      </c>
      <c r="FK207" s="10" cm="1">
        <f t="array" aca="1" ref="FK207" ca="1">(1-$B$18)*SUMPRODUCT(OFFSET($BO$15,0,0,$B$14,1), 1*(_xlfn._xlws.FILTER(OFFSET($O$15,0,$DN207,$B$8,1),OFFSET($M$15,0,0,$B$8,1))=FK$13), 1*(_xlfn._xlws.FILTER(OFFSET($O$15,0,$DO207,$B$8,1),OFFSET($M$15,0,0,$B$8,1))=FK$14))   /   SUM(OFFSET($BO$15,0,0,$B$14,1)) + $B$18/($B$19*$B$19*($DN207&lt;&gt;$DO207) + $B$19*($DN207=$DO207))</f>
        <v>3.7037037037037035E-4</v>
      </c>
      <c r="FL207" s="10" cm="1">
        <f t="array" aca="1" ref="FL207" ca="1">(1-$B$18)*SUMPRODUCT(OFFSET($BO$15,0,0,$B$14,1), 1*(_xlfn._xlws.FILTER(OFFSET($O$15,0,$DN207,$B$8,1),OFFSET($M$15,0,0,$B$8,1))=FL$13), 1*(_xlfn._xlws.FILTER(OFFSET($O$15,0,$DO207,$B$8,1),OFFSET($M$15,0,0,$B$8,1))=FL$14))   /   SUM(OFFSET($BO$15,0,0,$B$14,1)) + $B$18/($B$19*$B$19*($DN207&lt;&gt;$DO207) + $B$19*($DN207=$DO207))</f>
        <v>3.7037037037037035E-4</v>
      </c>
      <c r="FM207" s="10" cm="1">
        <f t="array" aca="1" ref="FM207" ca="1">(1-$B$18)*SUMPRODUCT(OFFSET($BO$15,0,0,$B$14,1), 1*(_xlfn._xlws.FILTER(OFFSET($O$15,0,$DN207,$B$8,1),OFFSET($M$15,0,0,$B$8,1))=FM$13), 1*(_xlfn._xlws.FILTER(OFFSET($O$15,0,$DO207,$B$8,1),OFFSET($M$15,0,0,$B$8,1))=FM$14))   /   SUM(OFFSET($BO$15,0,0,$B$14,1)) + $B$18/($B$19*$B$19*($DN207&lt;&gt;$DO207) + $B$19*($DN207=$DO207))</f>
        <v>3.7037037037037035E-4</v>
      </c>
      <c r="FN207" s="10" cm="1">
        <f t="array" aca="1" ref="FN207" ca="1">(1-$B$18)*SUMPRODUCT(OFFSET($BO$15,0,0,$B$14,1), 1*(_xlfn._xlws.FILTER(OFFSET($O$15,0,$DN207,$B$8,1),OFFSET($M$15,0,0,$B$8,1))=FN$13), 1*(_xlfn._xlws.FILTER(OFFSET($O$15,0,$DO207,$B$8,1),OFFSET($M$15,0,0,$B$8,1))=FN$14))   /   SUM(OFFSET($BO$15,0,0,$B$14,1)) + $B$18/($B$19*$B$19*($DN207&lt;&gt;$DO207) + $B$19*($DN207=$DO207))</f>
        <v>3.7037037037037035E-4</v>
      </c>
      <c r="FO207" s="10" cm="1">
        <f t="array" aca="1" ref="FO207" ca="1">(1-$B$18)*SUMPRODUCT(OFFSET($BO$15,0,0,$B$14,1), 1*(_xlfn._xlws.FILTER(OFFSET($O$15,0,$DN207,$B$8,1),OFFSET($M$15,0,0,$B$8,1))=FO$13), 1*(_xlfn._xlws.FILTER(OFFSET($O$15,0,$DO207,$B$8,1),OFFSET($M$15,0,0,$B$8,1))=FO$14))   /   SUM(OFFSET($BO$15,0,0,$B$14,1)) + $B$18/($B$19*$B$19*($DN207&lt;&gt;$DO207) + $B$19*($DN207=$DO207))</f>
        <v>3.7037037037037035E-4</v>
      </c>
      <c r="FP207" s="10" cm="1">
        <f t="array" aca="1" ref="FP207" ca="1">(1-$B$18)*SUMPRODUCT(OFFSET($BO$15,0,0,$B$14,1), 1*(_xlfn._xlws.FILTER(OFFSET($O$15,0,$DN207,$B$8,1),OFFSET($M$15,0,0,$B$8,1))=FP$13), 1*(_xlfn._xlws.FILTER(OFFSET($O$15,0,$DO207,$B$8,1),OFFSET($M$15,0,0,$B$8,1))=FP$14))   /   SUM(OFFSET($BO$15,0,0,$B$14,1)) + $B$18/($B$19*$B$19*($DN207&lt;&gt;$DO207) + $B$19*($DN207=$DO207))</f>
        <v>3.7037037037037035E-4</v>
      </c>
      <c r="FQ207" s="10" cm="1">
        <f t="array" aca="1" ref="FQ207" ca="1">(1-$B$18)*SUMPRODUCT(OFFSET($BO$15,0,0,$B$14,1), 1*(_xlfn._xlws.FILTER(OFFSET($O$15,0,$DN207,$B$8,1),OFFSET($M$15,0,0,$B$8,1))=FQ$13), 1*(_xlfn._xlws.FILTER(OFFSET($O$15,0,$DO207,$B$8,1),OFFSET($M$15,0,0,$B$8,1))=FQ$14))   /   SUM(OFFSET($BO$15,0,0,$B$14,1)) + $B$18/($B$19*$B$19*($DN207&lt;&gt;$DO207) + $B$19*($DN207=$DO207))</f>
        <v>3.7037037037037035E-4</v>
      </c>
      <c r="FR207" s="10" cm="1">
        <f t="array" aca="1" ref="FR207" ca="1">(1-$B$18)*SUMPRODUCT(OFFSET($BO$15,0,0,$B$14,1), 1*(_xlfn._xlws.FILTER(OFFSET($O$15,0,$DN207,$B$8,1),OFFSET($M$15,0,0,$B$8,1))=FR$13), 1*(_xlfn._xlws.FILTER(OFFSET($O$15,0,$DO207,$B$8,1),OFFSET($M$15,0,0,$B$8,1))=FR$14))   /   SUM(OFFSET($BO$15,0,0,$B$14,1)) + $B$18/($B$19*$B$19*($DN207&lt;&gt;$DO207) + $B$19*($DN207=$DO207))</f>
        <v>3.7037037037037035E-4</v>
      </c>
      <c r="FS207" s="10" cm="1">
        <f t="array" aca="1" ref="FS207" ca="1">(1-$B$18)*SUMPRODUCT(OFFSET($BO$15,0,0,$B$14,1), 1*(_xlfn._xlws.FILTER(OFFSET($O$15,0,$DN207,$B$8,1),OFFSET($M$15,0,0,$B$8,1))=FS$13), 1*(_xlfn._xlws.FILTER(OFFSET($O$15,0,$DO207,$B$8,1),OFFSET($M$15,0,0,$B$8,1))=FS$14))   /   SUM(OFFSET($BO$15,0,0,$B$14,1)) + $B$18/($B$19*$B$19*($DN207&lt;&gt;$DO207) + $B$19*($DN207=$DO207))</f>
        <v>3.7037037037037035E-4</v>
      </c>
      <c r="FT207" s="10" cm="1">
        <f t="array" aca="1" ref="FT207" ca="1">(1-$B$18)*SUMPRODUCT(OFFSET($BO$15,0,0,$B$14,1), 1*(_xlfn._xlws.FILTER(OFFSET($O$15,0,$DN207,$B$8,1),OFFSET($M$15,0,0,$B$8,1))=FT$13), 1*(_xlfn._xlws.FILTER(OFFSET($O$15,0,$DO207,$B$8,1),OFFSET($M$15,0,0,$B$8,1))=FT$14))   /   SUM(OFFSET($BO$15,0,0,$B$14,1)) + $B$18/($B$19*$B$19*($DN207&lt;&gt;$DO207) + $B$19*($DN207=$DO207))</f>
        <v>3.7037037037037035E-4</v>
      </c>
      <c r="FU207" s="10" cm="1">
        <f t="array" aca="1" ref="FU207" ca="1">(1-$B$18)*SUMPRODUCT(OFFSET($BO$15,0,0,$B$14,1), 1*(_xlfn._xlws.FILTER(OFFSET($O$15,0,$DN207,$B$8,1),OFFSET($M$15,0,0,$B$8,1))=FU$13), 1*(_xlfn._xlws.FILTER(OFFSET($O$15,0,$DO207,$B$8,1),OFFSET($M$15,0,0,$B$8,1))=FU$14))   /   SUM(OFFSET($BO$15,0,0,$B$14,1)) + $B$18/($B$19*$B$19*($DN207&lt;&gt;$DO207) + $B$19*($DN207=$DO207))</f>
        <v>3.7037037037037035E-4</v>
      </c>
      <c r="FV207" s="10" cm="1">
        <f t="array" aca="1" ref="FV207" ca="1">(1-$B$18)*SUMPRODUCT(OFFSET($BO$15,0,0,$B$14,1), 1*(_xlfn._xlws.FILTER(OFFSET($O$15,0,$DN207,$B$8,1),OFFSET($M$15,0,0,$B$8,1))=FV$13), 1*(_xlfn._xlws.FILTER(OFFSET($O$15,0,$DO207,$B$8,1),OFFSET($M$15,0,0,$B$8,1))=FV$14))   /   SUM(OFFSET($BO$15,0,0,$B$14,1)) + $B$18/($B$19*$B$19*($DN207&lt;&gt;$DO207) + $B$19*($DN207=$DO207))</f>
        <v>3.7037037037037035E-4</v>
      </c>
      <c r="FW207" s="10" cm="1">
        <f t="array" aca="1" ref="FW207" ca="1">(1-$B$18)*SUMPRODUCT(OFFSET($BO$15,0,0,$B$14,1), 1*(_xlfn._xlws.FILTER(OFFSET($O$15,0,$DN207,$B$8,1),OFFSET($M$15,0,0,$B$8,1))=FW$13), 1*(_xlfn._xlws.FILTER(OFFSET($O$15,0,$DO207,$B$8,1),OFFSET($M$15,0,0,$B$8,1))=FW$14))   /   SUM(OFFSET($BO$15,0,0,$B$14,1)) + $B$18/($B$19*$B$19*($DN207&lt;&gt;$DO207) + $B$19*($DN207=$DO207))</f>
        <v>3.7037037037037035E-4</v>
      </c>
      <c r="FX207" s="10" cm="1">
        <f t="array" aca="1" ref="FX207" ca="1">(1-$B$18)*SUMPRODUCT(OFFSET($BO$15,0,0,$B$14,1), 1*(_xlfn._xlws.FILTER(OFFSET($O$15,0,$DN207,$B$8,1),OFFSET($M$15,0,0,$B$8,1))=FX$13), 1*(_xlfn._xlws.FILTER(OFFSET($O$15,0,$DO207,$B$8,1),OFFSET($M$15,0,0,$B$8,1))=FX$14))   /   SUM(OFFSET($BO$15,0,0,$B$14,1)) + $B$18/($B$19*$B$19*($DN207&lt;&gt;$DO207) + $B$19*($DN207=$DO207))</f>
        <v>3.7037037037037035E-4</v>
      </c>
      <c r="FY207" s="10" cm="1">
        <f t="array" aca="1" ref="FY207" ca="1">(1-$B$18)*SUMPRODUCT(OFFSET($BO$15,0,0,$B$14,1), 1*(_xlfn._xlws.FILTER(OFFSET($O$15,0,$DN207,$B$8,1),OFFSET($M$15,0,0,$B$8,1))=FY$13), 1*(_xlfn._xlws.FILTER(OFFSET($O$15,0,$DO207,$B$8,1),OFFSET($M$15,0,0,$B$8,1))=FY$14))   /   SUM(OFFSET($BO$15,0,0,$B$14,1)) + $B$18/($B$19*$B$19*($DN207&lt;&gt;$DO207) + $B$19*($DN207=$DO207))</f>
        <v>3.7037037037037035E-4</v>
      </c>
      <c r="FZ207" s="10" cm="1">
        <f t="array" aca="1" ref="FZ207" ca="1">(1-$B$18)*SUMPRODUCT(OFFSET($BO$15,0,0,$B$14,1), 1*(_xlfn._xlws.FILTER(OFFSET($O$15,0,$DN207,$B$8,1),OFFSET($M$15,0,0,$B$8,1))=FZ$13), 1*(_xlfn._xlws.FILTER(OFFSET($O$15,0,$DO207,$B$8,1),OFFSET($M$15,0,0,$B$8,1))=FZ$14))   /   SUM(OFFSET($BO$15,0,0,$B$14,1)) + $B$18/($B$19*$B$19*($DN207&lt;&gt;$DO207) + $B$19*($DN207=$DO207))</f>
        <v>3.7037037037037035E-4</v>
      </c>
      <c r="GA207" s="10" cm="1">
        <f t="array" aca="1" ref="GA207" ca="1">(1-$B$18)*SUMPRODUCT(OFFSET($BO$15,0,0,$B$14,1), 1*(_xlfn._xlws.FILTER(OFFSET($O$15,0,$DN207,$B$8,1),OFFSET($M$15,0,0,$B$8,1))=GA$13), 1*(_xlfn._xlws.FILTER(OFFSET($O$15,0,$DO207,$B$8,1),OFFSET($M$15,0,0,$B$8,1))=GA$14))   /   SUM(OFFSET($BO$15,0,0,$B$14,1)) + $B$18/($B$19*$B$19*($DN207&lt;&gt;$DO207) + $B$19*($DN207=$DO207))</f>
        <v>3.7037037037037035E-4</v>
      </c>
    </row>
    <row r="208" spans="118:183" x14ac:dyDescent="0.2">
      <c r="DN208" cm="1">
        <f t="array" aca="1" ref="DN208" ca="1">INDEX(_xlfn.ANCHORARRAY($CP$15), 1 + INT((ROWS($DO$15:$DO208) - 1) / ROWS(_xlfn.ANCHORARRAY($CP$15))))</f>
        <v>11</v>
      </c>
      <c r="DO208" cm="1">
        <f t="array" aca="1" ref="DO208" ca="1">INDEX(_xlfn.ANCHORARRAY($CP$15),1+MOD(ROWS($DO$15:$DO208)-1,ROWS(_xlfn.ANCHORARRAY($CP$15))))</f>
        <v>3</v>
      </c>
      <c r="DP208" s="10" cm="1">
        <f t="array" aca="1" ref="DP208" ca="1">(1-$B$18)*SUMPRODUCT(OFFSET($BO$15,0,0,$B$14,1), 1*(_xlfn._xlws.FILTER(OFFSET($O$15,0,$DN208,$B$8,1),OFFSET($M$15,0,0,$B$8,1))=DP$13), 1*(_xlfn._xlws.FILTER(OFFSET($O$15,0,$DO208,$B$8,1),OFFSET($M$15,0,0,$B$8,1))=DP$14))   /   SUM(OFFSET($BO$15,0,0,$B$14,1)) + $B$18/($B$19*$B$19*($DN208&lt;&gt;$DO208) + $B$19*($DN208=$DO208))</f>
        <v>3.7037037037037035E-4</v>
      </c>
      <c r="DQ208" s="10" cm="1">
        <f t="array" aca="1" ref="DQ208" ca="1">(1-$B$18)*SUMPRODUCT(OFFSET($BO$15,0,0,$B$14,1), 1*(_xlfn._xlws.FILTER(OFFSET($O$15,0,$DN208,$B$8,1),OFFSET($M$15,0,0,$B$8,1))=DQ$13), 1*(_xlfn._xlws.FILTER(OFFSET($O$15,0,$DO208,$B$8,1),OFFSET($M$15,0,0,$B$8,1))=DQ$14))   /   SUM(OFFSET($BO$15,0,0,$B$14,1)) + $B$18/($B$19*$B$19*($DN208&lt;&gt;$DO208) + $B$19*($DN208=$DO208))</f>
        <v>3.7037037037037035E-4</v>
      </c>
      <c r="DR208" s="10" cm="1">
        <f t="array" aca="1" ref="DR208" ca="1">(1-$B$18)*SUMPRODUCT(OFFSET($BO$15,0,0,$B$14,1), 1*(_xlfn._xlws.FILTER(OFFSET($O$15,0,$DN208,$B$8,1),OFFSET($M$15,0,0,$B$8,1))=DR$13), 1*(_xlfn._xlws.FILTER(OFFSET($O$15,0,$DO208,$B$8,1),OFFSET($M$15,0,0,$B$8,1))=DR$14))   /   SUM(OFFSET($BO$15,0,0,$B$14,1)) + $B$18/($B$19*$B$19*($DN208&lt;&gt;$DO208) + $B$19*($DN208=$DO208))</f>
        <v>3.7037037037037035E-4</v>
      </c>
      <c r="DS208" s="10" cm="1">
        <f t="array" aca="1" ref="DS208" ca="1">(1-$B$18)*SUMPRODUCT(OFFSET($BO$15,0,0,$B$14,1), 1*(_xlfn._xlws.FILTER(OFFSET($O$15,0,$DN208,$B$8,1),OFFSET($M$15,0,0,$B$8,1))=DS$13), 1*(_xlfn._xlws.FILTER(OFFSET($O$15,0,$DO208,$B$8,1),OFFSET($M$15,0,0,$B$8,1))=DS$14))   /   SUM(OFFSET($BO$15,0,0,$B$14,1)) + $B$18/($B$19*$B$19*($DN208&lt;&gt;$DO208) + $B$19*($DN208=$DO208))</f>
        <v>3.7037037037037035E-4</v>
      </c>
      <c r="DT208" s="10" cm="1">
        <f t="array" aca="1" ref="DT208" ca="1">(1-$B$18)*SUMPRODUCT(OFFSET($BO$15,0,0,$B$14,1), 1*(_xlfn._xlws.FILTER(OFFSET($O$15,0,$DN208,$B$8,1),OFFSET($M$15,0,0,$B$8,1))=DT$13), 1*(_xlfn._xlws.FILTER(OFFSET($O$15,0,$DO208,$B$8,1),OFFSET($M$15,0,0,$B$8,1))=DT$14))   /   SUM(OFFSET($BO$15,0,0,$B$14,1)) + $B$18/($B$19*$B$19*($DN208&lt;&gt;$DO208) + $B$19*($DN208=$DO208))</f>
        <v>3.7037037037037035E-4</v>
      </c>
      <c r="DU208" s="10" cm="1">
        <f t="array" aca="1" ref="DU208" ca="1">(1-$B$18)*SUMPRODUCT(OFFSET($BO$15,0,0,$B$14,1), 1*(_xlfn._xlws.FILTER(OFFSET($O$15,0,$DN208,$B$8,1),OFFSET($M$15,0,0,$B$8,1))=DU$13), 1*(_xlfn._xlws.FILTER(OFFSET($O$15,0,$DO208,$B$8,1),OFFSET($M$15,0,0,$B$8,1))=DU$14))   /   SUM(OFFSET($BO$15,0,0,$B$14,1)) + $B$18/($B$19*$B$19*($DN208&lt;&gt;$DO208) + $B$19*($DN208=$DO208))</f>
        <v>3.7037037037037035E-4</v>
      </c>
      <c r="DV208" s="10" cm="1">
        <f t="array" aca="1" ref="DV208" ca="1">(1-$B$18)*SUMPRODUCT(OFFSET($BO$15,0,0,$B$14,1), 1*(_xlfn._xlws.FILTER(OFFSET($O$15,0,$DN208,$B$8,1),OFFSET($M$15,0,0,$B$8,1))=DV$13), 1*(_xlfn._xlws.FILTER(OFFSET($O$15,0,$DO208,$B$8,1),OFFSET($M$15,0,0,$B$8,1))=DV$14))   /   SUM(OFFSET($BO$15,0,0,$B$14,1)) + $B$18/($B$19*$B$19*($DN208&lt;&gt;$DO208) + $B$19*($DN208=$DO208))</f>
        <v>0.48537037037037034</v>
      </c>
      <c r="DW208" s="10" cm="1">
        <f t="array" aca="1" ref="DW208" ca="1">(1-$B$18)*SUMPRODUCT(OFFSET($BO$15,0,0,$B$14,1), 1*(_xlfn._xlws.FILTER(OFFSET($O$15,0,$DN208,$B$8,1),OFFSET($M$15,0,0,$B$8,1))=DW$13), 1*(_xlfn._xlws.FILTER(OFFSET($O$15,0,$DO208,$B$8,1),OFFSET($M$15,0,0,$B$8,1))=DW$14))   /   SUM(OFFSET($BO$15,0,0,$B$14,1)) + $B$18/($B$19*$B$19*($DN208&lt;&gt;$DO208) + $B$19*($DN208=$DO208))</f>
        <v>3.7037037037037035E-4</v>
      </c>
      <c r="DX208" s="10" cm="1">
        <f t="array" aca="1" ref="DX208" ca="1">(1-$B$18)*SUMPRODUCT(OFFSET($BO$15,0,0,$B$14,1), 1*(_xlfn._xlws.FILTER(OFFSET($O$15,0,$DN208,$B$8,1),OFFSET($M$15,0,0,$B$8,1))=DX$13), 1*(_xlfn._xlws.FILTER(OFFSET($O$15,0,$DO208,$B$8,1),OFFSET($M$15,0,0,$B$8,1))=DX$14))   /   SUM(OFFSET($BO$15,0,0,$B$14,1)) + $B$18/($B$19*$B$19*($DN208&lt;&gt;$DO208) + $B$19*($DN208=$DO208))</f>
        <v>3.7037037037037035E-4</v>
      </c>
      <c r="DY208" s="10" cm="1">
        <f t="array" aca="1" ref="DY208" ca="1">(1-$B$18)*SUMPRODUCT(OFFSET($BO$15,0,0,$B$14,1), 1*(_xlfn._xlws.FILTER(OFFSET($O$15,0,$DN208,$B$8,1),OFFSET($M$15,0,0,$B$8,1))=DY$13), 1*(_xlfn._xlws.FILTER(OFFSET($O$15,0,$DO208,$B$8,1),OFFSET($M$15,0,0,$B$8,1))=DY$14))   /   SUM(OFFSET($BO$15,0,0,$B$14,1)) + $B$18/($B$19*$B$19*($DN208&lt;&gt;$DO208) + $B$19*($DN208=$DO208))</f>
        <v>3.7037037037037035E-4</v>
      </c>
      <c r="DZ208" s="10" cm="1">
        <f t="array" aca="1" ref="DZ208" ca="1">(1-$B$18)*SUMPRODUCT(OFFSET($BO$15,0,0,$B$14,1), 1*(_xlfn._xlws.FILTER(OFFSET($O$15,0,$DN208,$B$8,1),OFFSET($M$15,0,0,$B$8,1))=DZ$13), 1*(_xlfn._xlws.FILTER(OFFSET($O$15,0,$DO208,$B$8,1),OFFSET($M$15,0,0,$B$8,1))=DZ$14))   /   SUM(OFFSET($BO$15,0,0,$B$14,1)) + $B$18/($B$19*$B$19*($DN208&lt;&gt;$DO208) + $B$19*($DN208=$DO208))</f>
        <v>3.7037037037037035E-4</v>
      </c>
      <c r="EA208" s="10" cm="1">
        <f t="array" aca="1" ref="EA208" ca="1">(1-$B$18)*SUMPRODUCT(OFFSET($BO$15,0,0,$B$14,1), 1*(_xlfn._xlws.FILTER(OFFSET($O$15,0,$DN208,$B$8,1),OFFSET($M$15,0,0,$B$8,1))=EA$13), 1*(_xlfn._xlws.FILTER(OFFSET($O$15,0,$DO208,$B$8,1),OFFSET($M$15,0,0,$B$8,1))=EA$14))   /   SUM(OFFSET($BO$15,0,0,$B$14,1)) + $B$18/($B$19*$B$19*($DN208&lt;&gt;$DO208) + $B$19*($DN208=$DO208))</f>
        <v>3.7037037037037035E-4</v>
      </c>
      <c r="EB208" s="10" cm="1">
        <f t="array" aca="1" ref="EB208" ca="1">(1-$B$18)*SUMPRODUCT(OFFSET($BO$15,0,0,$B$14,1), 1*(_xlfn._xlws.FILTER(OFFSET($O$15,0,$DN208,$B$8,1),OFFSET($M$15,0,0,$B$8,1))=EB$13), 1*(_xlfn._xlws.FILTER(OFFSET($O$15,0,$DO208,$B$8,1),OFFSET($M$15,0,0,$B$8,1))=EB$14))   /   SUM(OFFSET($BO$15,0,0,$B$14,1)) + $B$18/($B$19*$B$19*($DN208&lt;&gt;$DO208) + $B$19*($DN208=$DO208))</f>
        <v>3.7037037037037035E-4</v>
      </c>
      <c r="EC208" s="10" cm="1">
        <f t="array" aca="1" ref="EC208" ca="1">(1-$B$18)*SUMPRODUCT(OFFSET($BO$15,0,0,$B$14,1), 1*(_xlfn._xlws.FILTER(OFFSET($O$15,0,$DN208,$B$8,1),OFFSET($M$15,0,0,$B$8,1))=EC$13), 1*(_xlfn._xlws.FILTER(OFFSET($O$15,0,$DO208,$B$8,1),OFFSET($M$15,0,0,$B$8,1))=EC$14))   /   SUM(OFFSET($BO$15,0,0,$B$14,1)) + $B$18/($B$19*$B$19*($DN208&lt;&gt;$DO208) + $B$19*($DN208=$DO208))</f>
        <v>3.7037037037037035E-4</v>
      </c>
      <c r="ED208" s="10" cm="1">
        <f t="array" aca="1" ref="ED208" ca="1">(1-$B$18)*SUMPRODUCT(OFFSET($BO$15,0,0,$B$14,1), 1*(_xlfn._xlws.FILTER(OFFSET($O$15,0,$DN208,$B$8,1),OFFSET($M$15,0,0,$B$8,1))=ED$13), 1*(_xlfn._xlws.FILTER(OFFSET($O$15,0,$DO208,$B$8,1),OFFSET($M$15,0,0,$B$8,1))=ED$14))   /   SUM(OFFSET($BO$15,0,0,$B$14,1)) + $B$18/($B$19*$B$19*($DN208&lt;&gt;$DO208) + $B$19*($DN208=$DO208))</f>
        <v>3.7037037037037035E-4</v>
      </c>
      <c r="EE208" s="10" cm="1">
        <f t="array" aca="1" ref="EE208" ca="1">(1-$B$18)*SUMPRODUCT(OFFSET($BO$15,0,0,$B$14,1), 1*(_xlfn._xlws.FILTER(OFFSET($O$15,0,$DN208,$B$8,1),OFFSET($M$15,0,0,$B$8,1))=EE$13), 1*(_xlfn._xlws.FILTER(OFFSET($O$15,0,$DO208,$B$8,1),OFFSET($M$15,0,0,$B$8,1))=EE$14))   /   SUM(OFFSET($BO$15,0,0,$B$14,1)) + $B$18/($B$19*$B$19*($DN208&lt;&gt;$DO208) + $B$19*($DN208=$DO208))</f>
        <v>3.7037037037037035E-4</v>
      </c>
      <c r="EF208" s="10" cm="1">
        <f t="array" aca="1" ref="EF208" ca="1">(1-$B$18)*SUMPRODUCT(OFFSET($BO$15,0,0,$B$14,1), 1*(_xlfn._xlws.FILTER(OFFSET($O$15,0,$DN208,$B$8,1),OFFSET($M$15,0,0,$B$8,1))=EF$13), 1*(_xlfn._xlws.FILTER(OFFSET($O$15,0,$DO208,$B$8,1),OFFSET($M$15,0,0,$B$8,1))=EF$14))   /   SUM(OFFSET($BO$15,0,0,$B$14,1)) + $B$18/($B$19*$B$19*($DN208&lt;&gt;$DO208) + $B$19*($DN208=$DO208))</f>
        <v>3.7037037037037035E-4</v>
      </c>
      <c r="EG208" s="10" cm="1">
        <f t="array" aca="1" ref="EG208" ca="1">(1-$B$18)*SUMPRODUCT(OFFSET($BO$15,0,0,$B$14,1), 1*(_xlfn._xlws.FILTER(OFFSET($O$15,0,$DN208,$B$8,1),OFFSET($M$15,0,0,$B$8,1))=EG$13), 1*(_xlfn._xlws.FILTER(OFFSET($O$15,0,$DO208,$B$8,1),OFFSET($M$15,0,0,$B$8,1))=EG$14))   /   SUM(OFFSET($BO$15,0,0,$B$14,1)) + $B$18/($B$19*$B$19*($DN208&lt;&gt;$DO208) + $B$19*($DN208=$DO208))</f>
        <v>3.7037037037037035E-4</v>
      </c>
      <c r="EH208" s="10" cm="1">
        <f t="array" aca="1" ref="EH208" ca="1">(1-$B$18)*SUMPRODUCT(OFFSET($BO$15,0,0,$B$14,1), 1*(_xlfn._xlws.FILTER(OFFSET($O$15,0,$DN208,$B$8,1),OFFSET($M$15,0,0,$B$8,1))=EH$13), 1*(_xlfn._xlws.FILTER(OFFSET($O$15,0,$DO208,$B$8,1),OFFSET($M$15,0,0,$B$8,1))=EH$14))   /   SUM(OFFSET($BO$15,0,0,$B$14,1)) + $B$18/($B$19*$B$19*($DN208&lt;&gt;$DO208) + $B$19*($DN208=$DO208))</f>
        <v>3.7037037037037035E-4</v>
      </c>
      <c r="EI208" s="10" cm="1">
        <f t="array" aca="1" ref="EI208" ca="1">(1-$B$18)*SUMPRODUCT(OFFSET($BO$15,0,0,$B$14,1), 1*(_xlfn._xlws.FILTER(OFFSET($O$15,0,$DN208,$B$8,1),OFFSET($M$15,0,0,$B$8,1))=EI$13), 1*(_xlfn._xlws.FILTER(OFFSET($O$15,0,$DO208,$B$8,1),OFFSET($M$15,0,0,$B$8,1))=EI$14))   /   SUM(OFFSET($BO$15,0,0,$B$14,1)) + $B$18/($B$19*$B$19*($DN208&lt;&gt;$DO208) + $B$19*($DN208=$DO208))</f>
        <v>3.7037037037037035E-4</v>
      </c>
      <c r="EJ208" s="10" cm="1">
        <f t="array" aca="1" ref="EJ208" ca="1">(1-$B$18)*SUMPRODUCT(OFFSET($BO$15,0,0,$B$14,1), 1*(_xlfn._xlws.FILTER(OFFSET($O$15,0,$DN208,$B$8,1),OFFSET($M$15,0,0,$B$8,1))=EJ$13), 1*(_xlfn._xlws.FILTER(OFFSET($O$15,0,$DO208,$B$8,1),OFFSET($M$15,0,0,$B$8,1))=EJ$14))   /   SUM(OFFSET($BO$15,0,0,$B$14,1)) + $B$18/($B$19*$B$19*($DN208&lt;&gt;$DO208) + $B$19*($DN208=$DO208))</f>
        <v>3.7037037037037035E-4</v>
      </c>
      <c r="EK208" s="10" cm="1">
        <f t="array" aca="1" ref="EK208" ca="1">(1-$B$18)*SUMPRODUCT(OFFSET($BO$15,0,0,$B$14,1), 1*(_xlfn._xlws.FILTER(OFFSET($O$15,0,$DN208,$B$8,1),OFFSET($M$15,0,0,$B$8,1))=EK$13), 1*(_xlfn._xlws.FILTER(OFFSET($O$15,0,$DO208,$B$8,1),OFFSET($M$15,0,0,$B$8,1))=EK$14))   /   SUM(OFFSET($BO$15,0,0,$B$14,1)) + $B$18/($B$19*$B$19*($DN208&lt;&gt;$DO208) + $B$19*($DN208=$DO208))</f>
        <v>3.7037037037037035E-4</v>
      </c>
      <c r="EL208" s="10" cm="1">
        <f t="array" aca="1" ref="EL208" ca="1">(1-$B$18)*SUMPRODUCT(OFFSET($BO$15,0,0,$B$14,1), 1*(_xlfn._xlws.FILTER(OFFSET($O$15,0,$DN208,$B$8,1),OFFSET($M$15,0,0,$B$8,1))=EL$13), 1*(_xlfn._xlws.FILTER(OFFSET($O$15,0,$DO208,$B$8,1),OFFSET($M$15,0,0,$B$8,1))=EL$14))   /   SUM(OFFSET($BO$15,0,0,$B$14,1)) + $B$18/($B$19*$B$19*($DN208&lt;&gt;$DO208) + $B$19*($DN208=$DO208))</f>
        <v>0.24287037037037026</v>
      </c>
      <c r="EM208" s="10" cm="1">
        <f t="array" aca="1" ref="EM208" ca="1">(1-$B$18)*SUMPRODUCT(OFFSET($BO$15,0,0,$B$14,1), 1*(_xlfn._xlws.FILTER(OFFSET($O$15,0,$DN208,$B$8,1),OFFSET($M$15,0,0,$B$8,1))=EM$13), 1*(_xlfn._xlws.FILTER(OFFSET($O$15,0,$DO208,$B$8,1),OFFSET($M$15,0,0,$B$8,1))=EM$14))   /   SUM(OFFSET($BO$15,0,0,$B$14,1)) + $B$18/($B$19*$B$19*($DN208&lt;&gt;$DO208) + $B$19*($DN208=$DO208))</f>
        <v>3.7037037037037035E-4</v>
      </c>
      <c r="EN208" s="10" cm="1">
        <f t="array" aca="1" ref="EN208" ca="1">(1-$B$18)*SUMPRODUCT(OFFSET($BO$15,0,0,$B$14,1), 1*(_xlfn._xlws.FILTER(OFFSET($O$15,0,$DN208,$B$8,1),OFFSET($M$15,0,0,$B$8,1))=EN$13), 1*(_xlfn._xlws.FILTER(OFFSET($O$15,0,$DO208,$B$8,1),OFFSET($M$15,0,0,$B$8,1))=EN$14))   /   SUM(OFFSET($BO$15,0,0,$B$14,1)) + $B$18/($B$19*$B$19*($DN208&lt;&gt;$DO208) + $B$19*($DN208=$DO208))</f>
        <v>3.7037037037037035E-4</v>
      </c>
      <c r="EO208" s="10" cm="1">
        <f t="array" aca="1" ref="EO208" ca="1">(1-$B$18)*SUMPRODUCT(OFFSET($BO$15,0,0,$B$14,1), 1*(_xlfn._xlws.FILTER(OFFSET($O$15,0,$DN208,$B$8,1),OFFSET($M$15,0,0,$B$8,1))=EO$13), 1*(_xlfn._xlws.FILTER(OFFSET($O$15,0,$DO208,$B$8,1),OFFSET($M$15,0,0,$B$8,1))=EO$14))   /   SUM(OFFSET($BO$15,0,0,$B$14,1)) + $B$18/($B$19*$B$19*($DN208&lt;&gt;$DO208) + $B$19*($DN208=$DO208))</f>
        <v>3.7037037037037035E-4</v>
      </c>
      <c r="EP208" s="10" cm="1">
        <f t="array" aca="1" ref="EP208" ca="1">(1-$B$18)*SUMPRODUCT(OFFSET($BO$15,0,0,$B$14,1), 1*(_xlfn._xlws.FILTER(OFFSET($O$15,0,$DN208,$B$8,1),OFFSET($M$15,0,0,$B$8,1))=EP$13), 1*(_xlfn._xlws.FILTER(OFFSET($O$15,0,$DO208,$B$8,1),OFFSET($M$15,0,0,$B$8,1))=EP$14))   /   SUM(OFFSET($BO$15,0,0,$B$14,1)) + $B$18/($B$19*$B$19*($DN208&lt;&gt;$DO208) + $B$19*($DN208=$DO208))</f>
        <v>3.7037037037037035E-4</v>
      </c>
      <c r="EQ208" s="10" cm="1">
        <f t="array" aca="1" ref="EQ208" ca="1">(1-$B$18)*SUMPRODUCT(OFFSET($BO$15,0,0,$B$14,1), 1*(_xlfn._xlws.FILTER(OFFSET($O$15,0,$DN208,$B$8,1),OFFSET($M$15,0,0,$B$8,1))=EQ$13), 1*(_xlfn._xlws.FILTER(OFFSET($O$15,0,$DO208,$B$8,1),OFFSET($M$15,0,0,$B$8,1))=EQ$14))   /   SUM(OFFSET($BO$15,0,0,$B$14,1)) + $B$18/($B$19*$B$19*($DN208&lt;&gt;$DO208) + $B$19*($DN208=$DO208))</f>
        <v>3.7037037037037035E-4</v>
      </c>
      <c r="ER208" s="10" cm="1">
        <f t="array" aca="1" ref="ER208" ca="1">(1-$B$18)*SUMPRODUCT(OFFSET($BO$15,0,0,$B$14,1), 1*(_xlfn._xlws.FILTER(OFFSET($O$15,0,$DN208,$B$8,1),OFFSET($M$15,0,0,$B$8,1))=ER$13), 1*(_xlfn._xlws.FILTER(OFFSET($O$15,0,$DO208,$B$8,1),OFFSET($M$15,0,0,$B$8,1))=ER$14))   /   SUM(OFFSET($BO$15,0,0,$B$14,1)) + $B$18/($B$19*$B$19*($DN208&lt;&gt;$DO208) + $B$19*($DN208=$DO208))</f>
        <v>3.7037037037037035E-4</v>
      </c>
      <c r="ES208" s="10" cm="1">
        <f t="array" aca="1" ref="ES208" ca="1">(1-$B$18)*SUMPRODUCT(OFFSET($BO$15,0,0,$B$14,1), 1*(_xlfn._xlws.FILTER(OFFSET($O$15,0,$DN208,$B$8,1),OFFSET($M$15,0,0,$B$8,1))=ES$13), 1*(_xlfn._xlws.FILTER(OFFSET($O$15,0,$DO208,$B$8,1),OFFSET($M$15,0,0,$B$8,1))=ES$14))   /   SUM(OFFSET($BO$15,0,0,$B$14,1)) + $B$18/($B$19*$B$19*($DN208&lt;&gt;$DO208) + $B$19*($DN208=$DO208))</f>
        <v>3.7037037037037035E-4</v>
      </c>
      <c r="ET208" s="10" cm="1">
        <f t="array" aca="1" ref="ET208" ca="1">(1-$B$18)*SUMPRODUCT(OFFSET($BO$15,0,0,$B$14,1), 1*(_xlfn._xlws.FILTER(OFFSET($O$15,0,$DN208,$B$8,1),OFFSET($M$15,0,0,$B$8,1))=ET$13), 1*(_xlfn._xlws.FILTER(OFFSET($O$15,0,$DO208,$B$8,1),OFFSET($M$15,0,0,$B$8,1))=ET$14))   /   SUM(OFFSET($BO$15,0,0,$B$14,1)) + $B$18/($B$19*$B$19*($DN208&lt;&gt;$DO208) + $B$19*($DN208=$DO208))</f>
        <v>0.24287037037037026</v>
      </c>
      <c r="EU208" s="10" cm="1">
        <f t="array" aca="1" ref="EU208" ca="1">(1-$B$18)*SUMPRODUCT(OFFSET($BO$15,0,0,$B$14,1), 1*(_xlfn._xlws.FILTER(OFFSET($O$15,0,$DN208,$B$8,1),OFFSET($M$15,0,0,$B$8,1))=EU$13), 1*(_xlfn._xlws.FILTER(OFFSET($O$15,0,$DO208,$B$8,1),OFFSET($M$15,0,0,$B$8,1))=EU$14))   /   SUM(OFFSET($BO$15,0,0,$B$14,1)) + $B$18/($B$19*$B$19*($DN208&lt;&gt;$DO208) + $B$19*($DN208=$DO208))</f>
        <v>3.7037037037037035E-4</v>
      </c>
      <c r="EV208" s="10" cm="1">
        <f t="array" aca="1" ref="EV208" ca="1">(1-$B$18)*SUMPRODUCT(OFFSET($BO$15,0,0,$B$14,1), 1*(_xlfn._xlws.FILTER(OFFSET($O$15,0,$DN208,$B$8,1),OFFSET($M$15,0,0,$B$8,1))=EV$13), 1*(_xlfn._xlws.FILTER(OFFSET($O$15,0,$DO208,$B$8,1),OFFSET($M$15,0,0,$B$8,1))=EV$14))   /   SUM(OFFSET($BO$15,0,0,$B$14,1)) + $B$18/($B$19*$B$19*($DN208&lt;&gt;$DO208) + $B$19*($DN208=$DO208))</f>
        <v>3.7037037037037035E-4</v>
      </c>
      <c r="EW208" s="10" cm="1">
        <f t="array" aca="1" ref="EW208" ca="1">(1-$B$18)*SUMPRODUCT(OFFSET($BO$15,0,0,$B$14,1), 1*(_xlfn._xlws.FILTER(OFFSET($O$15,0,$DN208,$B$8,1),OFFSET($M$15,0,0,$B$8,1))=EW$13), 1*(_xlfn._xlws.FILTER(OFFSET($O$15,0,$DO208,$B$8,1),OFFSET($M$15,0,0,$B$8,1))=EW$14))   /   SUM(OFFSET($BO$15,0,0,$B$14,1)) + $B$18/($B$19*$B$19*($DN208&lt;&gt;$DO208) + $B$19*($DN208=$DO208))</f>
        <v>3.7037037037037035E-4</v>
      </c>
      <c r="EX208" s="10" cm="1">
        <f t="array" aca="1" ref="EX208" ca="1">(1-$B$18)*SUMPRODUCT(OFFSET($BO$15,0,0,$B$14,1), 1*(_xlfn._xlws.FILTER(OFFSET($O$15,0,$DN208,$B$8,1),OFFSET($M$15,0,0,$B$8,1))=EX$13), 1*(_xlfn._xlws.FILTER(OFFSET($O$15,0,$DO208,$B$8,1),OFFSET($M$15,0,0,$B$8,1))=EX$14))   /   SUM(OFFSET($BO$15,0,0,$B$14,1)) + $B$18/($B$19*$B$19*($DN208&lt;&gt;$DO208) + $B$19*($DN208=$DO208))</f>
        <v>3.7037037037037035E-4</v>
      </c>
      <c r="EY208" s="10" cm="1">
        <f t="array" aca="1" ref="EY208" ca="1">(1-$B$18)*SUMPRODUCT(OFFSET($BO$15,0,0,$B$14,1), 1*(_xlfn._xlws.FILTER(OFFSET($O$15,0,$DN208,$B$8,1),OFFSET($M$15,0,0,$B$8,1))=EY$13), 1*(_xlfn._xlws.FILTER(OFFSET($O$15,0,$DO208,$B$8,1),OFFSET($M$15,0,0,$B$8,1))=EY$14))   /   SUM(OFFSET($BO$15,0,0,$B$14,1)) + $B$18/($B$19*$B$19*($DN208&lt;&gt;$DO208) + $B$19*($DN208=$DO208))</f>
        <v>3.7037037037037035E-4</v>
      </c>
      <c r="EZ208" s="10" cm="1">
        <f t="array" aca="1" ref="EZ208" ca="1">(1-$B$18)*SUMPRODUCT(OFFSET($BO$15,0,0,$B$14,1), 1*(_xlfn._xlws.FILTER(OFFSET($O$15,0,$DN208,$B$8,1),OFFSET($M$15,0,0,$B$8,1))=EZ$13), 1*(_xlfn._xlws.FILTER(OFFSET($O$15,0,$DO208,$B$8,1),OFFSET($M$15,0,0,$B$8,1))=EZ$14))   /   SUM(OFFSET($BO$15,0,0,$B$14,1)) + $B$18/($B$19*$B$19*($DN208&lt;&gt;$DO208) + $B$19*($DN208=$DO208))</f>
        <v>3.7037037037037035E-4</v>
      </c>
      <c r="FA208" s="10" cm="1">
        <f t="array" aca="1" ref="FA208" ca="1">(1-$B$18)*SUMPRODUCT(OFFSET($BO$15,0,0,$B$14,1), 1*(_xlfn._xlws.FILTER(OFFSET($O$15,0,$DN208,$B$8,1),OFFSET($M$15,0,0,$B$8,1))=FA$13), 1*(_xlfn._xlws.FILTER(OFFSET($O$15,0,$DO208,$B$8,1),OFFSET($M$15,0,0,$B$8,1))=FA$14))   /   SUM(OFFSET($BO$15,0,0,$B$14,1)) + $B$18/($B$19*$B$19*($DN208&lt;&gt;$DO208) + $B$19*($DN208=$DO208))</f>
        <v>3.7037037037037035E-4</v>
      </c>
      <c r="FB208" s="10" cm="1">
        <f t="array" aca="1" ref="FB208" ca="1">(1-$B$18)*SUMPRODUCT(OFFSET($BO$15,0,0,$B$14,1), 1*(_xlfn._xlws.FILTER(OFFSET($O$15,0,$DN208,$B$8,1),OFFSET($M$15,0,0,$B$8,1))=FB$13), 1*(_xlfn._xlws.FILTER(OFFSET($O$15,0,$DO208,$B$8,1),OFFSET($M$15,0,0,$B$8,1))=FB$14))   /   SUM(OFFSET($BO$15,0,0,$B$14,1)) + $B$18/($B$19*$B$19*($DN208&lt;&gt;$DO208) + $B$19*($DN208=$DO208))</f>
        <v>3.7037037037037035E-4</v>
      </c>
      <c r="FC208" s="10" cm="1">
        <f t="array" aca="1" ref="FC208" ca="1">(1-$B$18)*SUMPRODUCT(OFFSET($BO$15,0,0,$B$14,1), 1*(_xlfn._xlws.FILTER(OFFSET($O$15,0,$DN208,$B$8,1),OFFSET($M$15,0,0,$B$8,1))=FC$13), 1*(_xlfn._xlws.FILTER(OFFSET($O$15,0,$DO208,$B$8,1),OFFSET($M$15,0,0,$B$8,1))=FC$14))   /   SUM(OFFSET($BO$15,0,0,$B$14,1)) + $B$18/($B$19*$B$19*($DN208&lt;&gt;$DO208) + $B$19*($DN208=$DO208))</f>
        <v>3.7037037037037035E-4</v>
      </c>
      <c r="FD208" s="10" cm="1">
        <f t="array" aca="1" ref="FD208" ca="1">(1-$B$18)*SUMPRODUCT(OFFSET($BO$15,0,0,$B$14,1), 1*(_xlfn._xlws.FILTER(OFFSET($O$15,0,$DN208,$B$8,1),OFFSET($M$15,0,0,$B$8,1))=FD$13), 1*(_xlfn._xlws.FILTER(OFFSET($O$15,0,$DO208,$B$8,1),OFFSET($M$15,0,0,$B$8,1))=FD$14))   /   SUM(OFFSET($BO$15,0,0,$B$14,1)) + $B$18/($B$19*$B$19*($DN208&lt;&gt;$DO208) + $B$19*($DN208=$DO208))</f>
        <v>3.7037037037037035E-4</v>
      </c>
      <c r="FE208" s="10" cm="1">
        <f t="array" aca="1" ref="FE208" ca="1">(1-$B$18)*SUMPRODUCT(OFFSET($BO$15,0,0,$B$14,1), 1*(_xlfn._xlws.FILTER(OFFSET($O$15,0,$DN208,$B$8,1),OFFSET($M$15,0,0,$B$8,1))=FE$13), 1*(_xlfn._xlws.FILTER(OFFSET($O$15,0,$DO208,$B$8,1),OFFSET($M$15,0,0,$B$8,1))=FE$14))   /   SUM(OFFSET($BO$15,0,0,$B$14,1)) + $B$18/($B$19*$B$19*($DN208&lt;&gt;$DO208) + $B$19*($DN208=$DO208))</f>
        <v>3.7037037037037035E-4</v>
      </c>
      <c r="FF208" s="10" cm="1">
        <f t="array" aca="1" ref="FF208" ca="1">(1-$B$18)*SUMPRODUCT(OFFSET($BO$15,0,0,$B$14,1), 1*(_xlfn._xlws.FILTER(OFFSET($O$15,0,$DN208,$B$8,1),OFFSET($M$15,0,0,$B$8,1))=FF$13), 1*(_xlfn._xlws.FILTER(OFFSET($O$15,0,$DO208,$B$8,1),OFFSET($M$15,0,0,$B$8,1))=FF$14))   /   SUM(OFFSET($BO$15,0,0,$B$14,1)) + $B$18/($B$19*$B$19*($DN208&lt;&gt;$DO208) + $B$19*($DN208=$DO208))</f>
        <v>3.7037037037037035E-4</v>
      </c>
      <c r="FG208" s="10" cm="1">
        <f t="array" aca="1" ref="FG208" ca="1">(1-$B$18)*SUMPRODUCT(OFFSET($BO$15,0,0,$B$14,1), 1*(_xlfn._xlws.FILTER(OFFSET($O$15,0,$DN208,$B$8,1),OFFSET($M$15,0,0,$B$8,1))=FG$13), 1*(_xlfn._xlws.FILTER(OFFSET($O$15,0,$DO208,$B$8,1),OFFSET($M$15,0,0,$B$8,1))=FG$14))   /   SUM(OFFSET($BO$15,0,0,$B$14,1)) + $B$18/($B$19*$B$19*($DN208&lt;&gt;$DO208) + $B$19*($DN208=$DO208))</f>
        <v>3.7037037037037035E-4</v>
      </c>
      <c r="FH208" s="10" cm="1">
        <f t="array" aca="1" ref="FH208" ca="1">(1-$B$18)*SUMPRODUCT(OFFSET($BO$15,0,0,$B$14,1), 1*(_xlfn._xlws.FILTER(OFFSET($O$15,0,$DN208,$B$8,1),OFFSET($M$15,0,0,$B$8,1))=FH$13), 1*(_xlfn._xlws.FILTER(OFFSET($O$15,0,$DO208,$B$8,1),OFFSET($M$15,0,0,$B$8,1))=FH$14))   /   SUM(OFFSET($BO$15,0,0,$B$14,1)) + $B$18/($B$19*$B$19*($DN208&lt;&gt;$DO208) + $B$19*($DN208=$DO208))</f>
        <v>3.7037037037037035E-4</v>
      </c>
      <c r="FI208" s="10" cm="1">
        <f t="array" aca="1" ref="FI208" ca="1">(1-$B$18)*SUMPRODUCT(OFFSET($BO$15,0,0,$B$14,1), 1*(_xlfn._xlws.FILTER(OFFSET($O$15,0,$DN208,$B$8,1),OFFSET($M$15,0,0,$B$8,1))=FI$13), 1*(_xlfn._xlws.FILTER(OFFSET($O$15,0,$DO208,$B$8,1),OFFSET($M$15,0,0,$B$8,1))=FI$14))   /   SUM(OFFSET($BO$15,0,0,$B$14,1)) + $B$18/($B$19*$B$19*($DN208&lt;&gt;$DO208) + $B$19*($DN208=$DO208))</f>
        <v>3.7037037037037035E-4</v>
      </c>
      <c r="FJ208" s="10" cm="1">
        <f t="array" aca="1" ref="FJ208" ca="1">(1-$B$18)*SUMPRODUCT(OFFSET($BO$15,0,0,$B$14,1), 1*(_xlfn._xlws.FILTER(OFFSET($O$15,0,$DN208,$B$8,1),OFFSET($M$15,0,0,$B$8,1))=FJ$13), 1*(_xlfn._xlws.FILTER(OFFSET($O$15,0,$DO208,$B$8,1),OFFSET($M$15,0,0,$B$8,1))=FJ$14))   /   SUM(OFFSET($BO$15,0,0,$B$14,1)) + $B$18/($B$19*$B$19*($DN208&lt;&gt;$DO208) + $B$19*($DN208=$DO208))</f>
        <v>3.7037037037037035E-4</v>
      </c>
      <c r="FK208" s="10" cm="1">
        <f t="array" aca="1" ref="FK208" ca="1">(1-$B$18)*SUMPRODUCT(OFFSET($BO$15,0,0,$B$14,1), 1*(_xlfn._xlws.FILTER(OFFSET($O$15,0,$DN208,$B$8,1),OFFSET($M$15,0,0,$B$8,1))=FK$13), 1*(_xlfn._xlws.FILTER(OFFSET($O$15,0,$DO208,$B$8,1),OFFSET($M$15,0,0,$B$8,1))=FK$14))   /   SUM(OFFSET($BO$15,0,0,$B$14,1)) + $B$18/($B$19*$B$19*($DN208&lt;&gt;$DO208) + $B$19*($DN208=$DO208))</f>
        <v>3.7037037037037035E-4</v>
      </c>
      <c r="FL208" s="10" cm="1">
        <f t="array" aca="1" ref="FL208" ca="1">(1-$B$18)*SUMPRODUCT(OFFSET($BO$15,0,0,$B$14,1), 1*(_xlfn._xlws.FILTER(OFFSET($O$15,0,$DN208,$B$8,1),OFFSET($M$15,0,0,$B$8,1))=FL$13), 1*(_xlfn._xlws.FILTER(OFFSET($O$15,0,$DO208,$B$8,1),OFFSET($M$15,0,0,$B$8,1))=FL$14))   /   SUM(OFFSET($BO$15,0,0,$B$14,1)) + $B$18/($B$19*$B$19*($DN208&lt;&gt;$DO208) + $B$19*($DN208=$DO208))</f>
        <v>3.7037037037037035E-4</v>
      </c>
      <c r="FM208" s="10" cm="1">
        <f t="array" aca="1" ref="FM208" ca="1">(1-$B$18)*SUMPRODUCT(OFFSET($BO$15,0,0,$B$14,1), 1*(_xlfn._xlws.FILTER(OFFSET($O$15,0,$DN208,$B$8,1),OFFSET($M$15,0,0,$B$8,1))=FM$13), 1*(_xlfn._xlws.FILTER(OFFSET($O$15,0,$DO208,$B$8,1),OFFSET($M$15,0,0,$B$8,1))=FM$14))   /   SUM(OFFSET($BO$15,0,0,$B$14,1)) + $B$18/($B$19*$B$19*($DN208&lt;&gt;$DO208) + $B$19*($DN208=$DO208))</f>
        <v>3.7037037037037035E-4</v>
      </c>
      <c r="FN208" s="10" cm="1">
        <f t="array" aca="1" ref="FN208" ca="1">(1-$B$18)*SUMPRODUCT(OFFSET($BO$15,0,0,$B$14,1), 1*(_xlfn._xlws.FILTER(OFFSET($O$15,0,$DN208,$B$8,1),OFFSET($M$15,0,0,$B$8,1))=FN$13), 1*(_xlfn._xlws.FILTER(OFFSET($O$15,0,$DO208,$B$8,1),OFFSET($M$15,0,0,$B$8,1))=FN$14))   /   SUM(OFFSET($BO$15,0,0,$B$14,1)) + $B$18/($B$19*$B$19*($DN208&lt;&gt;$DO208) + $B$19*($DN208=$DO208))</f>
        <v>3.7037037037037035E-4</v>
      </c>
      <c r="FO208" s="10" cm="1">
        <f t="array" aca="1" ref="FO208" ca="1">(1-$B$18)*SUMPRODUCT(OFFSET($BO$15,0,0,$B$14,1), 1*(_xlfn._xlws.FILTER(OFFSET($O$15,0,$DN208,$B$8,1),OFFSET($M$15,0,0,$B$8,1))=FO$13), 1*(_xlfn._xlws.FILTER(OFFSET($O$15,0,$DO208,$B$8,1),OFFSET($M$15,0,0,$B$8,1))=FO$14))   /   SUM(OFFSET($BO$15,0,0,$B$14,1)) + $B$18/($B$19*$B$19*($DN208&lt;&gt;$DO208) + $B$19*($DN208=$DO208))</f>
        <v>3.7037037037037035E-4</v>
      </c>
      <c r="FP208" s="10" cm="1">
        <f t="array" aca="1" ref="FP208" ca="1">(1-$B$18)*SUMPRODUCT(OFFSET($BO$15,0,0,$B$14,1), 1*(_xlfn._xlws.FILTER(OFFSET($O$15,0,$DN208,$B$8,1),OFFSET($M$15,0,0,$B$8,1))=FP$13), 1*(_xlfn._xlws.FILTER(OFFSET($O$15,0,$DO208,$B$8,1),OFFSET($M$15,0,0,$B$8,1))=FP$14))   /   SUM(OFFSET($BO$15,0,0,$B$14,1)) + $B$18/($B$19*$B$19*($DN208&lt;&gt;$DO208) + $B$19*($DN208=$DO208))</f>
        <v>3.7037037037037035E-4</v>
      </c>
      <c r="FQ208" s="10" cm="1">
        <f t="array" aca="1" ref="FQ208" ca="1">(1-$B$18)*SUMPRODUCT(OFFSET($BO$15,0,0,$B$14,1), 1*(_xlfn._xlws.FILTER(OFFSET($O$15,0,$DN208,$B$8,1),OFFSET($M$15,0,0,$B$8,1))=FQ$13), 1*(_xlfn._xlws.FILTER(OFFSET($O$15,0,$DO208,$B$8,1),OFFSET($M$15,0,0,$B$8,1))=FQ$14))   /   SUM(OFFSET($BO$15,0,0,$B$14,1)) + $B$18/($B$19*$B$19*($DN208&lt;&gt;$DO208) + $B$19*($DN208=$DO208))</f>
        <v>3.7037037037037035E-4</v>
      </c>
      <c r="FR208" s="10" cm="1">
        <f t="array" aca="1" ref="FR208" ca="1">(1-$B$18)*SUMPRODUCT(OFFSET($BO$15,0,0,$B$14,1), 1*(_xlfn._xlws.FILTER(OFFSET($O$15,0,$DN208,$B$8,1),OFFSET($M$15,0,0,$B$8,1))=FR$13), 1*(_xlfn._xlws.FILTER(OFFSET($O$15,0,$DO208,$B$8,1),OFFSET($M$15,0,0,$B$8,1))=FR$14))   /   SUM(OFFSET($BO$15,0,0,$B$14,1)) + $B$18/($B$19*$B$19*($DN208&lt;&gt;$DO208) + $B$19*($DN208=$DO208))</f>
        <v>3.7037037037037035E-4</v>
      </c>
      <c r="FS208" s="10" cm="1">
        <f t="array" aca="1" ref="FS208" ca="1">(1-$B$18)*SUMPRODUCT(OFFSET($BO$15,0,0,$B$14,1), 1*(_xlfn._xlws.FILTER(OFFSET($O$15,0,$DN208,$B$8,1),OFFSET($M$15,0,0,$B$8,1))=FS$13), 1*(_xlfn._xlws.FILTER(OFFSET($O$15,0,$DO208,$B$8,1),OFFSET($M$15,0,0,$B$8,1))=FS$14))   /   SUM(OFFSET($BO$15,0,0,$B$14,1)) + $B$18/($B$19*$B$19*($DN208&lt;&gt;$DO208) + $B$19*($DN208=$DO208))</f>
        <v>3.7037037037037035E-4</v>
      </c>
      <c r="FT208" s="10" cm="1">
        <f t="array" aca="1" ref="FT208" ca="1">(1-$B$18)*SUMPRODUCT(OFFSET($BO$15,0,0,$B$14,1), 1*(_xlfn._xlws.FILTER(OFFSET($O$15,0,$DN208,$B$8,1),OFFSET($M$15,0,0,$B$8,1))=FT$13), 1*(_xlfn._xlws.FILTER(OFFSET($O$15,0,$DO208,$B$8,1),OFFSET($M$15,0,0,$B$8,1))=FT$14))   /   SUM(OFFSET($BO$15,0,0,$B$14,1)) + $B$18/($B$19*$B$19*($DN208&lt;&gt;$DO208) + $B$19*($DN208=$DO208))</f>
        <v>3.7037037037037035E-4</v>
      </c>
      <c r="FU208" s="10" cm="1">
        <f t="array" aca="1" ref="FU208" ca="1">(1-$B$18)*SUMPRODUCT(OFFSET($BO$15,0,0,$B$14,1), 1*(_xlfn._xlws.FILTER(OFFSET($O$15,0,$DN208,$B$8,1),OFFSET($M$15,0,0,$B$8,1))=FU$13), 1*(_xlfn._xlws.FILTER(OFFSET($O$15,0,$DO208,$B$8,1),OFFSET($M$15,0,0,$B$8,1))=FU$14))   /   SUM(OFFSET($BO$15,0,0,$B$14,1)) + $B$18/($B$19*$B$19*($DN208&lt;&gt;$DO208) + $B$19*($DN208=$DO208))</f>
        <v>3.7037037037037035E-4</v>
      </c>
      <c r="FV208" s="10" cm="1">
        <f t="array" aca="1" ref="FV208" ca="1">(1-$B$18)*SUMPRODUCT(OFFSET($BO$15,0,0,$B$14,1), 1*(_xlfn._xlws.FILTER(OFFSET($O$15,0,$DN208,$B$8,1),OFFSET($M$15,0,0,$B$8,1))=FV$13), 1*(_xlfn._xlws.FILTER(OFFSET($O$15,0,$DO208,$B$8,1),OFFSET($M$15,0,0,$B$8,1))=FV$14))   /   SUM(OFFSET($BO$15,0,0,$B$14,1)) + $B$18/($B$19*$B$19*($DN208&lt;&gt;$DO208) + $B$19*($DN208=$DO208))</f>
        <v>3.7037037037037035E-4</v>
      </c>
      <c r="FW208" s="10" cm="1">
        <f t="array" aca="1" ref="FW208" ca="1">(1-$B$18)*SUMPRODUCT(OFFSET($BO$15,0,0,$B$14,1), 1*(_xlfn._xlws.FILTER(OFFSET($O$15,0,$DN208,$B$8,1),OFFSET($M$15,0,0,$B$8,1))=FW$13), 1*(_xlfn._xlws.FILTER(OFFSET($O$15,0,$DO208,$B$8,1),OFFSET($M$15,0,0,$B$8,1))=FW$14))   /   SUM(OFFSET($BO$15,0,0,$B$14,1)) + $B$18/($B$19*$B$19*($DN208&lt;&gt;$DO208) + $B$19*($DN208=$DO208))</f>
        <v>3.7037037037037035E-4</v>
      </c>
      <c r="FX208" s="10" cm="1">
        <f t="array" aca="1" ref="FX208" ca="1">(1-$B$18)*SUMPRODUCT(OFFSET($BO$15,0,0,$B$14,1), 1*(_xlfn._xlws.FILTER(OFFSET($O$15,0,$DN208,$B$8,1),OFFSET($M$15,0,0,$B$8,1))=FX$13), 1*(_xlfn._xlws.FILTER(OFFSET($O$15,0,$DO208,$B$8,1),OFFSET($M$15,0,0,$B$8,1))=FX$14))   /   SUM(OFFSET($BO$15,0,0,$B$14,1)) + $B$18/($B$19*$B$19*($DN208&lt;&gt;$DO208) + $B$19*($DN208=$DO208))</f>
        <v>3.7037037037037035E-4</v>
      </c>
      <c r="FY208" s="10" cm="1">
        <f t="array" aca="1" ref="FY208" ca="1">(1-$B$18)*SUMPRODUCT(OFFSET($BO$15,0,0,$B$14,1), 1*(_xlfn._xlws.FILTER(OFFSET($O$15,0,$DN208,$B$8,1),OFFSET($M$15,0,0,$B$8,1))=FY$13), 1*(_xlfn._xlws.FILTER(OFFSET($O$15,0,$DO208,$B$8,1),OFFSET($M$15,0,0,$B$8,1))=FY$14))   /   SUM(OFFSET($BO$15,0,0,$B$14,1)) + $B$18/($B$19*$B$19*($DN208&lt;&gt;$DO208) + $B$19*($DN208=$DO208))</f>
        <v>3.7037037037037035E-4</v>
      </c>
      <c r="FZ208" s="10" cm="1">
        <f t="array" aca="1" ref="FZ208" ca="1">(1-$B$18)*SUMPRODUCT(OFFSET($BO$15,0,0,$B$14,1), 1*(_xlfn._xlws.FILTER(OFFSET($O$15,0,$DN208,$B$8,1),OFFSET($M$15,0,0,$B$8,1))=FZ$13), 1*(_xlfn._xlws.FILTER(OFFSET($O$15,0,$DO208,$B$8,1),OFFSET($M$15,0,0,$B$8,1))=FZ$14))   /   SUM(OFFSET($BO$15,0,0,$B$14,1)) + $B$18/($B$19*$B$19*($DN208&lt;&gt;$DO208) + $B$19*($DN208=$DO208))</f>
        <v>3.7037037037037035E-4</v>
      </c>
      <c r="GA208" s="10" cm="1">
        <f t="array" aca="1" ref="GA208" ca="1">(1-$B$18)*SUMPRODUCT(OFFSET($BO$15,0,0,$B$14,1), 1*(_xlfn._xlws.FILTER(OFFSET($O$15,0,$DN208,$B$8,1),OFFSET($M$15,0,0,$B$8,1))=GA$13), 1*(_xlfn._xlws.FILTER(OFFSET($O$15,0,$DO208,$B$8,1),OFFSET($M$15,0,0,$B$8,1))=GA$14))   /   SUM(OFFSET($BO$15,0,0,$B$14,1)) + $B$18/($B$19*$B$19*($DN208&lt;&gt;$DO208) + $B$19*($DN208=$DO208))</f>
        <v>3.7037037037037035E-4</v>
      </c>
    </row>
    <row r="209" spans="118:183" x14ac:dyDescent="0.2">
      <c r="DN209" cm="1">
        <f t="array" aca="1" ref="DN209" ca="1">INDEX(_xlfn.ANCHORARRAY($CP$15), 1 + INT((ROWS($DO$15:$DO209) - 1) / ROWS(_xlfn.ANCHORARRAY($CP$15))))</f>
        <v>11</v>
      </c>
      <c r="DO209" cm="1">
        <f t="array" aca="1" ref="DO209" ca="1">INDEX(_xlfn.ANCHORARRAY($CP$15),1+MOD(ROWS($DO$15:$DO209)-1,ROWS(_xlfn.ANCHORARRAY($CP$15))))</f>
        <v>4</v>
      </c>
      <c r="DP209" s="10" cm="1">
        <f t="array" aca="1" ref="DP209" ca="1">(1-$B$18)*SUMPRODUCT(OFFSET($BO$15,0,0,$B$14,1), 1*(_xlfn._xlws.FILTER(OFFSET($O$15,0,$DN209,$B$8,1),OFFSET($M$15,0,0,$B$8,1))=DP$13), 1*(_xlfn._xlws.FILTER(OFFSET($O$15,0,$DO209,$B$8,1),OFFSET($M$15,0,0,$B$8,1))=DP$14))   /   SUM(OFFSET($BO$15,0,0,$B$14,1)) + $B$18/($B$19*$B$19*($DN209&lt;&gt;$DO209) + $B$19*($DN209=$DO209))</f>
        <v>3.7037037037037035E-4</v>
      </c>
      <c r="DQ209" s="10" cm="1">
        <f t="array" aca="1" ref="DQ209" ca="1">(1-$B$18)*SUMPRODUCT(OFFSET($BO$15,0,0,$B$14,1), 1*(_xlfn._xlws.FILTER(OFFSET($O$15,0,$DN209,$B$8,1),OFFSET($M$15,0,0,$B$8,1))=DQ$13), 1*(_xlfn._xlws.FILTER(OFFSET($O$15,0,$DO209,$B$8,1),OFFSET($M$15,0,0,$B$8,1))=DQ$14))   /   SUM(OFFSET($BO$15,0,0,$B$14,1)) + $B$18/($B$19*$B$19*($DN209&lt;&gt;$DO209) + $B$19*($DN209=$DO209))</f>
        <v>3.7037037037037035E-4</v>
      </c>
      <c r="DR209" s="10" cm="1">
        <f t="array" aca="1" ref="DR209" ca="1">(1-$B$18)*SUMPRODUCT(OFFSET($BO$15,0,0,$B$14,1), 1*(_xlfn._xlws.FILTER(OFFSET($O$15,0,$DN209,$B$8,1),OFFSET($M$15,0,0,$B$8,1))=DR$13), 1*(_xlfn._xlws.FILTER(OFFSET($O$15,0,$DO209,$B$8,1),OFFSET($M$15,0,0,$B$8,1))=DR$14))   /   SUM(OFFSET($BO$15,0,0,$B$14,1)) + $B$18/($B$19*$B$19*($DN209&lt;&gt;$DO209) + $B$19*($DN209=$DO209))</f>
        <v>3.7037037037037035E-4</v>
      </c>
      <c r="DS209" s="10" cm="1">
        <f t="array" aca="1" ref="DS209" ca="1">(1-$B$18)*SUMPRODUCT(OFFSET($BO$15,0,0,$B$14,1), 1*(_xlfn._xlws.FILTER(OFFSET($O$15,0,$DN209,$B$8,1),OFFSET($M$15,0,0,$B$8,1))=DS$13), 1*(_xlfn._xlws.FILTER(OFFSET($O$15,0,$DO209,$B$8,1),OFFSET($M$15,0,0,$B$8,1))=DS$14))   /   SUM(OFFSET($BO$15,0,0,$B$14,1)) + $B$18/($B$19*$B$19*($DN209&lt;&gt;$DO209) + $B$19*($DN209=$DO209))</f>
        <v>3.7037037037037035E-4</v>
      </c>
      <c r="DT209" s="10" cm="1">
        <f t="array" aca="1" ref="DT209" ca="1">(1-$B$18)*SUMPRODUCT(OFFSET($BO$15,0,0,$B$14,1), 1*(_xlfn._xlws.FILTER(OFFSET($O$15,0,$DN209,$B$8,1),OFFSET($M$15,0,0,$B$8,1))=DT$13), 1*(_xlfn._xlws.FILTER(OFFSET($O$15,0,$DO209,$B$8,1),OFFSET($M$15,0,0,$B$8,1))=DT$14))   /   SUM(OFFSET($BO$15,0,0,$B$14,1)) + $B$18/($B$19*$B$19*($DN209&lt;&gt;$DO209) + $B$19*($DN209=$DO209))</f>
        <v>3.7037037037037035E-4</v>
      </c>
      <c r="DU209" s="10" cm="1">
        <f t="array" aca="1" ref="DU209" ca="1">(1-$B$18)*SUMPRODUCT(OFFSET($BO$15,0,0,$B$14,1), 1*(_xlfn._xlws.FILTER(OFFSET($O$15,0,$DN209,$B$8,1),OFFSET($M$15,0,0,$B$8,1))=DU$13), 1*(_xlfn._xlws.FILTER(OFFSET($O$15,0,$DO209,$B$8,1),OFFSET($M$15,0,0,$B$8,1))=DU$14))   /   SUM(OFFSET($BO$15,0,0,$B$14,1)) + $B$18/($B$19*$B$19*($DN209&lt;&gt;$DO209) + $B$19*($DN209=$DO209))</f>
        <v>3.7037037037037035E-4</v>
      </c>
      <c r="DV209" s="10" cm="1">
        <f t="array" aca="1" ref="DV209" ca="1">(1-$B$18)*SUMPRODUCT(OFFSET($BO$15,0,0,$B$14,1), 1*(_xlfn._xlws.FILTER(OFFSET($O$15,0,$DN209,$B$8,1),OFFSET($M$15,0,0,$B$8,1))=DV$13), 1*(_xlfn._xlws.FILTER(OFFSET($O$15,0,$DO209,$B$8,1),OFFSET($M$15,0,0,$B$8,1))=DV$14))   /   SUM(OFFSET($BO$15,0,0,$B$14,1)) + $B$18/($B$19*$B$19*($DN209&lt;&gt;$DO209) + $B$19*($DN209=$DO209))</f>
        <v>0.48537037037037034</v>
      </c>
      <c r="DW209" s="10" cm="1">
        <f t="array" aca="1" ref="DW209" ca="1">(1-$B$18)*SUMPRODUCT(OFFSET($BO$15,0,0,$B$14,1), 1*(_xlfn._xlws.FILTER(OFFSET($O$15,0,$DN209,$B$8,1),OFFSET($M$15,0,0,$B$8,1))=DW$13), 1*(_xlfn._xlws.FILTER(OFFSET($O$15,0,$DO209,$B$8,1),OFFSET($M$15,0,0,$B$8,1))=DW$14))   /   SUM(OFFSET($BO$15,0,0,$B$14,1)) + $B$18/($B$19*$B$19*($DN209&lt;&gt;$DO209) + $B$19*($DN209=$DO209))</f>
        <v>3.7037037037037035E-4</v>
      </c>
      <c r="DX209" s="10" cm="1">
        <f t="array" aca="1" ref="DX209" ca="1">(1-$B$18)*SUMPRODUCT(OFFSET($BO$15,0,0,$B$14,1), 1*(_xlfn._xlws.FILTER(OFFSET($O$15,0,$DN209,$B$8,1),OFFSET($M$15,0,0,$B$8,1))=DX$13), 1*(_xlfn._xlws.FILTER(OFFSET($O$15,0,$DO209,$B$8,1),OFFSET($M$15,0,0,$B$8,1))=DX$14))   /   SUM(OFFSET($BO$15,0,0,$B$14,1)) + $B$18/($B$19*$B$19*($DN209&lt;&gt;$DO209) + $B$19*($DN209=$DO209))</f>
        <v>3.7037037037037035E-4</v>
      </c>
      <c r="DY209" s="10" cm="1">
        <f t="array" aca="1" ref="DY209" ca="1">(1-$B$18)*SUMPRODUCT(OFFSET($BO$15,0,0,$B$14,1), 1*(_xlfn._xlws.FILTER(OFFSET($O$15,0,$DN209,$B$8,1),OFFSET($M$15,0,0,$B$8,1))=DY$13), 1*(_xlfn._xlws.FILTER(OFFSET($O$15,0,$DO209,$B$8,1),OFFSET($M$15,0,0,$B$8,1))=DY$14))   /   SUM(OFFSET($BO$15,0,0,$B$14,1)) + $B$18/($B$19*$B$19*($DN209&lt;&gt;$DO209) + $B$19*($DN209=$DO209))</f>
        <v>3.7037037037037035E-4</v>
      </c>
      <c r="DZ209" s="10" cm="1">
        <f t="array" aca="1" ref="DZ209" ca="1">(1-$B$18)*SUMPRODUCT(OFFSET($BO$15,0,0,$B$14,1), 1*(_xlfn._xlws.FILTER(OFFSET($O$15,0,$DN209,$B$8,1),OFFSET($M$15,0,0,$B$8,1))=DZ$13), 1*(_xlfn._xlws.FILTER(OFFSET($O$15,0,$DO209,$B$8,1),OFFSET($M$15,0,0,$B$8,1))=DZ$14))   /   SUM(OFFSET($BO$15,0,0,$B$14,1)) + $B$18/($B$19*$B$19*($DN209&lt;&gt;$DO209) + $B$19*($DN209=$DO209))</f>
        <v>3.7037037037037035E-4</v>
      </c>
      <c r="EA209" s="10" cm="1">
        <f t="array" aca="1" ref="EA209" ca="1">(1-$B$18)*SUMPRODUCT(OFFSET($BO$15,0,0,$B$14,1), 1*(_xlfn._xlws.FILTER(OFFSET($O$15,0,$DN209,$B$8,1),OFFSET($M$15,0,0,$B$8,1))=EA$13), 1*(_xlfn._xlws.FILTER(OFFSET($O$15,0,$DO209,$B$8,1),OFFSET($M$15,0,0,$B$8,1))=EA$14))   /   SUM(OFFSET($BO$15,0,0,$B$14,1)) + $B$18/($B$19*$B$19*($DN209&lt;&gt;$DO209) + $B$19*($DN209=$DO209))</f>
        <v>3.7037037037037035E-4</v>
      </c>
      <c r="EB209" s="10" cm="1">
        <f t="array" aca="1" ref="EB209" ca="1">(1-$B$18)*SUMPRODUCT(OFFSET($BO$15,0,0,$B$14,1), 1*(_xlfn._xlws.FILTER(OFFSET($O$15,0,$DN209,$B$8,1),OFFSET($M$15,0,0,$B$8,1))=EB$13), 1*(_xlfn._xlws.FILTER(OFFSET($O$15,0,$DO209,$B$8,1),OFFSET($M$15,0,0,$B$8,1))=EB$14))   /   SUM(OFFSET($BO$15,0,0,$B$14,1)) + $B$18/($B$19*$B$19*($DN209&lt;&gt;$DO209) + $B$19*($DN209=$DO209))</f>
        <v>3.7037037037037035E-4</v>
      </c>
      <c r="EC209" s="10" cm="1">
        <f t="array" aca="1" ref="EC209" ca="1">(1-$B$18)*SUMPRODUCT(OFFSET($BO$15,0,0,$B$14,1), 1*(_xlfn._xlws.FILTER(OFFSET($O$15,0,$DN209,$B$8,1),OFFSET($M$15,0,0,$B$8,1))=EC$13), 1*(_xlfn._xlws.FILTER(OFFSET($O$15,0,$DO209,$B$8,1),OFFSET($M$15,0,0,$B$8,1))=EC$14))   /   SUM(OFFSET($BO$15,0,0,$B$14,1)) + $B$18/($B$19*$B$19*($DN209&lt;&gt;$DO209) + $B$19*($DN209=$DO209))</f>
        <v>3.7037037037037035E-4</v>
      </c>
      <c r="ED209" s="10" cm="1">
        <f t="array" aca="1" ref="ED209" ca="1">(1-$B$18)*SUMPRODUCT(OFFSET($BO$15,0,0,$B$14,1), 1*(_xlfn._xlws.FILTER(OFFSET($O$15,0,$DN209,$B$8,1),OFFSET($M$15,0,0,$B$8,1))=ED$13), 1*(_xlfn._xlws.FILTER(OFFSET($O$15,0,$DO209,$B$8,1),OFFSET($M$15,0,0,$B$8,1))=ED$14))   /   SUM(OFFSET($BO$15,0,0,$B$14,1)) + $B$18/($B$19*$B$19*($DN209&lt;&gt;$DO209) + $B$19*($DN209=$DO209))</f>
        <v>3.7037037037037035E-4</v>
      </c>
      <c r="EE209" s="10" cm="1">
        <f t="array" aca="1" ref="EE209" ca="1">(1-$B$18)*SUMPRODUCT(OFFSET($BO$15,0,0,$B$14,1), 1*(_xlfn._xlws.FILTER(OFFSET($O$15,0,$DN209,$B$8,1),OFFSET($M$15,0,0,$B$8,1))=EE$13), 1*(_xlfn._xlws.FILTER(OFFSET($O$15,0,$DO209,$B$8,1),OFFSET($M$15,0,0,$B$8,1))=EE$14))   /   SUM(OFFSET($BO$15,0,0,$B$14,1)) + $B$18/($B$19*$B$19*($DN209&lt;&gt;$DO209) + $B$19*($DN209=$DO209))</f>
        <v>3.7037037037037035E-4</v>
      </c>
      <c r="EF209" s="10" cm="1">
        <f t="array" aca="1" ref="EF209" ca="1">(1-$B$18)*SUMPRODUCT(OFFSET($BO$15,0,0,$B$14,1), 1*(_xlfn._xlws.FILTER(OFFSET($O$15,0,$DN209,$B$8,1),OFFSET($M$15,0,0,$B$8,1))=EF$13), 1*(_xlfn._xlws.FILTER(OFFSET($O$15,0,$DO209,$B$8,1),OFFSET($M$15,0,0,$B$8,1))=EF$14))   /   SUM(OFFSET($BO$15,0,0,$B$14,1)) + $B$18/($B$19*$B$19*($DN209&lt;&gt;$DO209) + $B$19*($DN209=$DO209))</f>
        <v>3.7037037037037035E-4</v>
      </c>
      <c r="EG209" s="10" cm="1">
        <f t="array" aca="1" ref="EG209" ca="1">(1-$B$18)*SUMPRODUCT(OFFSET($BO$15,0,0,$B$14,1), 1*(_xlfn._xlws.FILTER(OFFSET($O$15,0,$DN209,$B$8,1),OFFSET($M$15,0,0,$B$8,1))=EG$13), 1*(_xlfn._xlws.FILTER(OFFSET($O$15,0,$DO209,$B$8,1),OFFSET($M$15,0,0,$B$8,1))=EG$14))   /   SUM(OFFSET($BO$15,0,0,$B$14,1)) + $B$18/($B$19*$B$19*($DN209&lt;&gt;$DO209) + $B$19*($DN209=$DO209))</f>
        <v>3.7037037037037035E-4</v>
      </c>
      <c r="EH209" s="10" cm="1">
        <f t="array" aca="1" ref="EH209" ca="1">(1-$B$18)*SUMPRODUCT(OFFSET($BO$15,0,0,$B$14,1), 1*(_xlfn._xlws.FILTER(OFFSET($O$15,0,$DN209,$B$8,1),OFFSET($M$15,0,0,$B$8,1))=EH$13), 1*(_xlfn._xlws.FILTER(OFFSET($O$15,0,$DO209,$B$8,1),OFFSET($M$15,0,0,$B$8,1))=EH$14))   /   SUM(OFFSET($BO$15,0,0,$B$14,1)) + $B$18/($B$19*$B$19*($DN209&lt;&gt;$DO209) + $B$19*($DN209=$DO209))</f>
        <v>3.7037037037037035E-4</v>
      </c>
      <c r="EI209" s="10" cm="1">
        <f t="array" aca="1" ref="EI209" ca="1">(1-$B$18)*SUMPRODUCT(OFFSET($BO$15,0,0,$B$14,1), 1*(_xlfn._xlws.FILTER(OFFSET($O$15,0,$DN209,$B$8,1),OFFSET($M$15,0,0,$B$8,1))=EI$13), 1*(_xlfn._xlws.FILTER(OFFSET($O$15,0,$DO209,$B$8,1),OFFSET($M$15,0,0,$B$8,1))=EI$14))   /   SUM(OFFSET($BO$15,0,0,$B$14,1)) + $B$18/($B$19*$B$19*($DN209&lt;&gt;$DO209) + $B$19*($DN209=$DO209))</f>
        <v>3.7037037037037035E-4</v>
      </c>
      <c r="EJ209" s="10" cm="1">
        <f t="array" aca="1" ref="EJ209" ca="1">(1-$B$18)*SUMPRODUCT(OFFSET($BO$15,0,0,$B$14,1), 1*(_xlfn._xlws.FILTER(OFFSET($O$15,0,$DN209,$B$8,1),OFFSET($M$15,0,0,$B$8,1))=EJ$13), 1*(_xlfn._xlws.FILTER(OFFSET($O$15,0,$DO209,$B$8,1),OFFSET($M$15,0,0,$B$8,1))=EJ$14))   /   SUM(OFFSET($BO$15,0,0,$B$14,1)) + $B$18/($B$19*$B$19*($DN209&lt;&gt;$DO209) + $B$19*($DN209=$DO209))</f>
        <v>3.7037037037037035E-4</v>
      </c>
      <c r="EK209" s="10" cm="1">
        <f t="array" aca="1" ref="EK209" ca="1">(1-$B$18)*SUMPRODUCT(OFFSET($BO$15,0,0,$B$14,1), 1*(_xlfn._xlws.FILTER(OFFSET($O$15,0,$DN209,$B$8,1),OFFSET($M$15,0,0,$B$8,1))=EK$13), 1*(_xlfn._xlws.FILTER(OFFSET($O$15,0,$DO209,$B$8,1),OFFSET($M$15,0,0,$B$8,1))=EK$14))   /   SUM(OFFSET($BO$15,0,0,$B$14,1)) + $B$18/($B$19*$B$19*($DN209&lt;&gt;$DO209) + $B$19*($DN209=$DO209))</f>
        <v>3.7037037037037035E-4</v>
      </c>
      <c r="EL209" s="10" cm="1">
        <f t="array" aca="1" ref="EL209" ca="1">(1-$B$18)*SUMPRODUCT(OFFSET($BO$15,0,0,$B$14,1), 1*(_xlfn._xlws.FILTER(OFFSET($O$15,0,$DN209,$B$8,1),OFFSET($M$15,0,0,$B$8,1))=EL$13), 1*(_xlfn._xlws.FILTER(OFFSET($O$15,0,$DO209,$B$8,1),OFFSET($M$15,0,0,$B$8,1))=EL$14))   /   SUM(OFFSET($BO$15,0,0,$B$14,1)) + $B$18/($B$19*$B$19*($DN209&lt;&gt;$DO209) + $B$19*($DN209=$DO209))</f>
        <v>0.24287037037037026</v>
      </c>
      <c r="EM209" s="10" cm="1">
        <f t="array" aca="1" ref="EM209" ca="1">(1-$B$18)*SUMPRODUCT(OFFSET($BO$15,0,0,$B$14,1), 1*(_xlfn._xlws.FILTER(OFFSET($O$15,0,$DN209,$B$8,1),OFFSET($M$15,0,0,$B$8,1))=EM$13), 1*(_xlfn._xlws.FILTER(OFFSET($O$15,0,$DO209,$B$8,1),OFFSET($M$15,0,0,$B$8,1))=EM$14))   /   SUM(OFFSET($BO$15,0,0,$B$14,1)) + $B$18/($B$19*$B$19*($DN209&lt;&gt;$DO209) + $B$19*($DN209=$DO209))</f>
        <v>3.7037037037037035E-4</v>
      </c>
      <c r="EN209" s="10" cm="1">
        <f t="array" aca="1" ref="EN209" ca="1">(1-$B$18)*SUMPRODUCT(OFFSET($BO$15,0,0,$B$14,1), 1*(_xlfn._xlws.FILTER(OFFSET($O$15,0,$DN209,$B$8,1),OFFSET($M$15,0,0,$B$8,1))=EN$13), 1*(_xlfn._xlws.FILTER(OFFSET($O$15,0,$DO209,$B$8,1),OFFSET($M$15,0,0,$B$8,1))=EN$14))   /   SUM(OFFSET($BO$15,0,0,$B$14,1)) + $B$18/($B$19*$B$19*($DN209&lt;&gt;$DO209) + $B$19*($DN209=$DO209))</f>
        <v>3.7037037037037035E-4</v>
      </c>
      <c r="EO209" s="10" cm="1">
        <f t="array" aca="1" ref="EO209" ca="1">(1-$B$18)*SUMPRODUCT(OFFSET($BO$15,0,0,$B$14,1), 1*(_xlfn._xlws.FILTER(OFFSET($O$15,0,$DN209,$B$8,1),OFFSET($M$15,0,0,$B$8,1))=EO$13), 1*(_xlfn._xlws.FILTER(OFFSET($O$15,0,$DO209,$B$8,1),OFFSET($M$15,0,0,$B$8,1))=EO$14))   /   SUM(OFFSET($BO$15,0,0,$B$14,1)) + $B$18/($B$19*$B$19*($DN209&lt;&gt;$DO209) + $B$19*($DN209=$DO209))</f>
        <v>3.7037037037037035E-4</v>
      </c>
      <c r="EP209" s="10" cm="1">
        <f t="array" aca="1" ref="EP209" ca="1">(1-$B$18)*SUMPRODUCT(OFFSET($BO$15,0,0,$B$14,1), 1*(_xlfn._xlws.FILTER(OFFSET($O$15,0,$DN209,$B$8,1),OFFSET($M$15,0,0,$B$8,1))=EP$13), 1*(_xlfn._xlws.FILTER(OFFSET($O$15,0,$DO209,$B$8,1),OFFSET($M$15,0,0,$B$8,1))=EP$14))   /   SUM(OFFSET($BO$15,0,0,$B$14,1)) + $B$18/($B$19*$B$19*($DN209&lt;&gt;$DO209) + $B$19*($DN209=$DO209))</f>
        <v>3.7037037037037035E-4</v>
      </c>
      <c r="EQ209" s="10" cm="1">
        <f t="array" aca="1" ref="EQ209" ca="1">(1-$B$18)*SUMPRODUCT(OFFSET($BO$15,0,0,$B$14,1), 1*(_xlfn._xlws.FILTER(OFFSET($O$15,0,$DN209,$B$8,1),OFFSET($M$15,0,0,$B$8,1))=EQ$13), 1*(_xlfn._xlws.FILTER(OFFSET($O$15,0,$DO209,$B$8,1),OFFSET($M$15,0,0,$B$8,1))=EQ$14))   /   SUM(OFFSET($BO$15,0,0,$B$14,1)) + $B$18/($B$19*$B$19*($DN209&lt;&gt;$DO209) + $B$19*($DN209=$DO209))</f>
        <v>3.7037037037037035E-4</v>
      </c>
      <c r="ER209" s="10" cm="1">
        <f t="array" aca="1" ref="ER209" ca="1">(1-$B$18)*SUMPRODUCT(OFFSET($BO$15,0,0,$B$14,1), 1*(_xlfn._xlws.FILTER(OFFSET($O$15,0,$DN209,$B$8,1),OFFSET($M$15,0,0,$B$8,1))=ER$13), 1*(_xlfn._xlws.FILTER(OFFSET($O$15,0,$DO209,$B$8,1),OFFSET($M$15,0,0,$B$8,1))=ER$14))   /   SUM(OFFSET($BO$15,0,0,$B$14,1)) + $B$18/($B$19*$B$19*($DN209&lt;&gt;$DO209) + $B$19*($DN209=$DO209))</f>
        <v>3.7037037037037035E-4</v>
      </c>
      <c r="ES209" s="10" cm="1">
        <f t="array" aca="1" ref="ES209" ca="1">(1-$B$18)*SUMPRODUCT(OFFSET($BO$15,0,0,$B$14,1), 1*(_xlfn._xlws.FILTER(OFFSET($O$15,0,$DN209,$B$8,1),OFFSET($M$15,0,0,$B$8,1))=ES$13), 1*(_xlfn._xlws.FILTER(OFFSET($O$15,0,$DO209,$B$8,1),OFFSET($M$15,0,0,$B$8,1))=ES$14))   /   SUM(OFFSET($BO$15,0,0,$B$14,1)) + $B$18/($B$19*$B$19*($DN209&lt;&gt;$DO209) + $B$19*($DN209=$DO209))</f>
        <v>3.7037037037037035E-4</v>
      </c>
      <c r="ET209" s="10" cm="1">
        <f t="array" aca="1" ref="ET209" ca="1">(1-$B$18)*SUMPRODUCT(OFFSET($BO$15,0,0,$B$14,1), 1*(_xlfn._xlws.FILTER(OFFSET($O$15,0,$DN209,$B$8,1),OFFSET($M$15,0,0,$B$8,1))=ET$13), 1*(_xlfn._xlws.FILTER(OFFSET($O$15,0,$DO209,$B$8,1),OFFSET($M$15,0,0,$B$8,1))=ET$14))   /   SUM(OFFSET($BO$15,0,0,$B$14,1)) + $B$18/($B$19*$B$19*($DN209&lt;&gt;$DO209) + $B$19*($DN209=$DO209))</f>
        <v>0.24287037037037026</v>
      </c>
      <c r="EU209" s="10" cm="1">
        <f t="array" aca="1" ref="EU209" ca="1">(1-$B$18)*SUMPRODUCT(OFFSET($BO$15,0,0,$B$14,1), 1*(_xlfn._xlws.FILTER(OFFSET($O$15,0,$DN209,$B$8,1),OFFSET($M$15,0,0,$B$8,1))=EU$13), 1*(_xlfn._xlws.FILTER(OFFSET($O$15,0,$DO209,$B$8,1),OFFSET($M$15,0,0,$B$8,1))=EU$14))   /   SUM(OFFSET($BO$15,0,0,$B$14,1)) + $B$18/($B$19*$B$19*($DN209&lt;&gt;$DO209) + $B$19*($DN209=$DO209))</f>
        <v>3.7037037037037035E-4</v>
      </c>
      <c r="EV209" s="10" cm="1">
        <f t="array" aca="1" ref="EV209" ca="1">(1-$B$18)*SUMPRODUCT(OFFSET($BO$15,0,0,$B$14,1), 1*(_xlfn._xlws.FILTER(OFFSET($O$15,0,$DN209,$B$8,1),OFFSET($M$15,0,0,$B$8,1))=EV$13), 1*(_xlfn._xlws.FILTER(OFFSET($O$15,0,$DO209,$B$8,1),OFFSET($M$15,0,0,$B$8,1))=EV$14))   /   SUM(OFFSET($BO$15,0,0,$B$14,1)) + $B$18/($B$19*$B$19*($DN209&lt;&gt;$DO209) + $B$19*($DN209=$DO209))</f>
        <v>3.7037037037037035E-4</v>
      </c>
      <c r="EW209" s="10" cm="1">
        <f t="array" aca="1" ref="EW209" ca="1">(1-$B$18)*SUMPRODUCT(OFFSET($BO$15,0,0,$B$14,1), 1*(_xlfn._xlws.FILTER(OFFSET($O$15,0,$DN209,$B$8,1),OFFSET($M$15,0,0,$B$8,1))=EW$13), 1*(_xlfn._xlws.FILTER(OFFSET($O$15,0,$DO209,$B$8,1),OFFSET($M$15,0,0,$B$8,1))=EW$14))   /   SUM(OFFSET($BO$15,0,0,$B$14,1)) + $B$18/($B$19*$B$19*($DN209&lt;&gt;$DO209) + $B$19*($DN209=$DO209))</f>
        <v>3.7037037037037035E-4</v>
      </c>
      <c r="EX209" s="10" cm="1">
        <f t="array" aca="1" ref="EX209" ca="1">(1-$B$18)*SUMPRODUCT(OFFSET($BO$15,0,0,$B$14,1), 1*(_xlfn._xlws.FILTER(OFFSET($O$15,0,$DN209,$B$8,1),OFFSET($M$15,0,0,$B$8,1))=EX$13), 1*(_xlfn._xlws.FILTER(OFFSET($O$15,0,$DO209,$B$8,1),OFFSET($M$15,0,0,$B$8,1))=EX$14))   /   SUM(OFFSET($BO$15,0,0,$B$14,1)) + $B$18/($B$19*$B$19*($DN209&lt;&gt;$DO209) + $B$19*($DN209=$DO209))</f>
        <v>3.7037037037037035E-4</v>
      </c>
      <c r="EY209" s="10" cm="1">
        <f t="array" aca="1" ref="EY209" ca="1">(1-$B$18)*SUMPRODUCT(OFFSET($BO$15,0,0,$B$14,1), 1*(_xlfn._xlws.FILTER(OFFSET($O$15,0,$DN209,$B$8,1),OFFSET($M$15,0,0,$B$8,1))=EY$13), 1*(_xlfn._xlws.FILTER(OFFSET($O$15,0,$DO209,$B$8,1),OFFSET($M$15,0,0,$B$8,1))=EY$14))   /   SUM(OFFSET($BO$15,0,0,$B$14,1)) + $B$18/($B$19*$B$19*($DN209&lt;&gt;$DO209) + $B$19*($DN209=$DO209))</f>
        <v>3.7037037037037035E-4</v>
      </c>
      <c r="EZ209" s="10" cm="1">
        <f t="array" aca="1" ref="EZ209" ca="1">(1-$B$18)*SUMPRODUCT(OFFSET($BO$15,0,0,$B$14,1), 1*(_xlfn._xlws.FILTER(OFFSET($O$15,0,$DN209,$B$8,1),OFFSET($M$15,0,0,$B$8,1))=EZ$13), 1*(_xlfn._xlws.FILTER(OFFSET($O$15,0,$DO209,$B$8,1),OFFSET($M$15,0,0,$B$8,1))=EZ$14))   /   SUM(OFFSET($BO$15,0,0,$B$14,1)) + $B$18/($B$19*$B$19*($DN209&lt;&gt;$DO209) + $B$19*($DN209=$DO209))</f>
        <v>3.7037037037037035E-4</v>
      </c>
      <c r="FA209" s="10" cm="1">
        <f t="array" aca="1" ref="FA209" ca="1">(1-$B$18)*SUMPRODUCT(OFFSET($BO$15,0,0,$B$14,1), 1*(_xlfn._xlws.FILTER(OFFSET($O$15,0,$DN209,$B$8,1),OFFSET($M$15,0,0,$B$8,1))=FA$13), 1*(_xlfn._xlws.FILTER(OFFSET($O$15,0,$DO209,$B$8,1),OFFSET($M$15,0,0,$B$8,1))=FA$14))   /   SUM(OFFSET($BO$15,0,0,$B$14,1)) + $B$18/($B$19*$B$19*($DN209&lt;&gt;$DO209) + $B$19*($DN209=$DO209))</f>
        <v>3.7037037037037035E-4</v>
      </c>
      <c r="FB209" s="10" cm="1">
        <f t="array" aca="1" ref="FB209" ca="1">(1-$B$18)*SUMPRODUCT(OFFSET($BO$15,0,0,$B$14,1), 1*(_xlfn._xlws.FILTER(OFFSET($O$15,0,$DN209,$B$8,1),OFFSET($M$15,0,0,$B$8,1))=FB$13), 1*(_xlfn._xlws.FILTER(OFFSET($O$15,0,$DO209,$B$8,1),OFFSET($M$15,0,0,$B$8,1))=FB$14))   /   SUM(OFFSET($BO$15,0,0,$B$14,1)) + $B$18/($B$19*$B$19*($DN209&lt;&gt;$DO209) + $B$19*($DN209=$DO209))</f>
        <v>3.7037037037037035E-4</v>
      </c>
      <c r="FC209" s="10" cm="1">
        <f t="array" aca="1" ref="FC209" ca="1">(1-$B$18)*SUMPRODUCT(OFFSET($BO$15,0,0,$B$14,1), 1*(_xlfn._xlws.FILTER(OFFSET($O$15,0,$DN209,$B$8,1),OFFSET($M$15,0,0,$B$8,1))=FC$13), 1*(_xlfn._xlws.FILTER(OFFSET($O$15,0,$DO209,$B$8,1),OFFSET($M$15,0,0,$B$8,1))=FC$14))   /   SUM(OFFSET($BO$15,0,0,$B$14,1)) + $B$18/($B$19*$B$19*($DN209&lt;&gt;$DO209) + $B$19*($DN209=$DO209))</f>
        <v>3.7037037037037035E-4</v>
      </c>
      <c r="FD209" s="10" cm="1">
        <f t="array" aca="1" ref="FD209" ca="1">(1-$B$18)*SUMPRODUCT(OFFSET($BO$15,0,0,$B$14,1), 1*(_xlfn._xlws.FILTER(OFFSET($O$15,0,$DN209,$B$8,1),OFFSET($M$15,0,0,$B$8,1))=FD$13), 1*(_xlfn._xlws.FILTER(OFFSET($O$15,0,$DO209,$B$8,1),OFFSET($M$15,0,0,$B$8,1))=FD$14))   /   SUM(OFFSET($BO$15,0,0,$B$14,1)) + $B$18/($B$19*$B$19*($DN209&lt;&gt;$DO209) + $B$19*($DN209=$DO209))</f>
        <v>3.7037037037037035E-4</v>
      </c>
      <c r="FE209" s="10" cm="1">
        <f t="array" aca="1" ref="FE209" ca="1">(1-$B$18)*SUMPRODUCT(OFFSET($BO$15,0,0,$B$14,1), 1*(_xlfn._xlws.FILTER(OFFSET($O$15,0,$DN209,$B$8,1),OFFSET($M$15,0,0,$B$8,1))=FE$13), 1*(_xlfn._xlws.FILTER(OFFSET($O$15,0,$DO209,$B$8,1),OFFSET($M$15,0,0,$B$8,1))=FE$14))   /   SUM(OFFSET($BO$15,0,0,$B$14,1)) + $B$18/($B$19*$B$19*($DN209&lt;&gt;$DO209) + $B$19*($DN209=$DO209))</f>
        <v>3.7037037037037035E-4</v>
      </c>
      <c r="FF209" s="10" cm="1">
        <f t="array" aca="1" ref="FF209" ca="1">(1-$B$18)*SUMPRODUCT(OFFSET($BO$15,0,0,$B$14,1), 1*(_xlfn._xlws.FILTER(OFFSET($O$15,0,$DN209,$B$8,1),OFFSET($M$15,0,0,$B$8,1))=FF$13), 1*(_xlfn._xlws.FILTER(OFFSET($O$15,0,$DO209,$B$8,1),OFFSET($M$15,0,0,$B$8,1))=FF$14))   /   SUM(OFFSET($BO$15,0,0,$B$14,1)) + $B$18/($B$19*$B$19*($DN209&lt;&gt;$DO209) + $B$19*($DN209=$DO209))</f>
        <v>3.7037037037037035E-4</v>
      </c>
      <c r="FG209" s="10" cm="1">
        <f t="array" aca="1" ref="FG209" ca="1">(1-$B$18)*SUMPRODUCT(OFFSET($BO$15,0,0,$B$14,1), 1*(_xlfn._xlws.FILTER(OFFSET($O$15,0,$DN209,$B$8,1),OFFSET($M$15,0,0,$B$8,1))=FG$13), 1*(_xlfn._xlws.FILTER(OFFSET($O$15,0,$DO209,$B$8,1),OFFSET($M$15,0,0,$B$8,1))=FG$14))   /   SUM(OFFSET($BO$15,0,0,$B$14,1)) + $B$18/($B$19*$B$19*($DN209&lt;&gt;$DO209) + $B$19*($DN209=$DO209))</f>
        <v>3.7037037037037035E-4</v>
      </c>
      <c r="FH209" s="10" cm="1">
        <f t="array" aca="1" ref="FH209" ca="1">(1-$B$18)*SUMPRODUCT(OFFSET($BO$15,0,0,$B$14,1), 1*(_xlfn._xlws.FILTER(OFFSET($O$15,0,$DN209,$B$8,1),OFFSET($M$15,0,0,$B$8,1))=FH$13), 1*(_xlfn._xlws.FILTER(OFFSET($O$15,0,$DO209,$B$8,1),OFFSET($M$15,0,0,$B$8,1))=FH$14))   /   SUM(OFFSET($BO$15,0,0,$B$14,1)) + $B$18/($B$19*$B$19*($DN209&lt;&gt;$DO209) + $B$19*($DN209=$DO209))</f>
        <v>3.7037037037037035E-4</v>
      </c>
      <c r="FI209" s="10" cm="1">
        <f t="array" aca="1" ref="FI209" ca="1">(1-$B$18)*SUMPRODUCT(OFFSET($BO$15,0,0,$B$14,1), 1*(_xlfn._xlws.FILTER(OFFSET($O$15,0,$DN209,$B$8,1),OFFSET($M$15,0,0,$B$8,1))=FI$13), 1*(_xlfn._xlws.FILTER(OFFSET($O$15,0,$DO209,$B$8,1),OFFSET($M$15,0,0,$B$8,1))=FI$14))   /   SUM(OFFSET($BO$15,0,0,$B$14,1)) + $B$18/($B$19*$B$19*($DN209&lt;&gt;$DO209) + $B$19*($DN209=$DO209))</f>
        <v>3.7037037037037035E-4</v>
      </c>
      <c r="FJ209" s="10" cm="1">
        <f t="array" aca="1" ref="FJ209" ca="1">(1-$B$18)*SUMPRODUCT(OFFSET($BO$15,0,0,$B$14,1), 1*(_xlfn._xlws.FILTER(OFFSET($O$15,0,$DN209,$B$8,1),OFFSET($M$15,0,0,$B$8,1))=FJ$13), 1*(_xlfn._xlws.FILTER(OFFSET($O$15,0,$DO209,$B$8,1),OFFSET($M$15,0,0,$B$8,1))=FJ$14))   /   SUM(OFFSET($BO$15,0,0,$B$14,1)) + $B$18/($B$19*$B$19*($DN209&lt;&gt;$DO209) + $B$19*($DN209=$DO209))</f>
        <v>3.7037037037037035E-4</v>
      </c>
      <c r="FK209" s="10" cm="1">
        <f t="array" aca="1" ref="FK209" ca="1">(1-$B$18)*SUMPRODUCT(OFFSET($BO$15,0,0,$B$14,1), 1*(_xlfn._xlws.FILTER(OFFSET($O$15,0,$DN209,$B$8,1),OFFSET($M$15,0,0,$B$8,1))=FK$13), 1*(_xlfn._xlws.FILTER(OFFSET($O$15,0,$DO209,$B$8,1),OFFSET($M$15,0,0,$B$8,1))=FK$14))   /   SUM(OFFSET($BO$15,0,0,$B$14,1)) + $B$18/($B$19*$B$19*($DN209&lt;&gt;$DO209) + $B$19*($DN209=$DO209))</f>
        <v>3.7037037037037035E-4</v>
      </c>
      <c r="FL209" s="10" cm="1">
        <f t="array" aca="1" ref="FL209" ca="1">(1-$B$18)*SUMPRODUCT(OFFSET($BO$15,0,0,$B$14,1), 1*(_xlfn._xlws.FILTER(OFFSET($O$15,0,$DN209,$B$8,1),OFFSET($M$15,0,0,$B$8,1))=FL$13), 1*(_xlfn._xlws.FILTER(OFFSET($O$15,0,$DO209,$B$8,1),OFFSET($M$15,0,0,$B$8,1))=FL$14))   /   SUM(OFFSET($BO$15,0,0,$B$14,1)) + $B$18/($B$19*$B$19*($DN209&lt;&gt;$DO209) + $B$19*($DN209=$DO209))</f>
        <v>3.7037037037037035E-4</v>
      </c>
      <c r="FM209" s="10" cm="1">
        <f t="array" aca="1" ref="FM209" ca="1">(1-$B$18)*SUMPRODUCT(OFFSET($BO$15,0,0,$B$14,1), 1*(_xlfn._xlws.FILTER(OFFSET($O$15,0,$DN209,$B$8,1),OFFSET($M$15,0,0,$B$8,1))=FM$13), 1*(_xlfn._xlws.FILTER(OFFSET($O$15,0,$DO209,$B$8,1),OFFSET($M$15,0,0,$B$8,1))=FM$14))   /   SUM(OFFSET($BO$15,0,0,$B$14,1)) + $B$18/($B$19*$B$19*($DN209&lt;&gt;$DO209) + $B$19*($DN209=$DO209))</f>
        <v>3.7037037037037035E-4</v>
      </c>
      <c r="FN209" s="10" cm="1">
        <f t="array" aca="1" ref="FN209" ca="1">(1-$B$18)*SUMPRODUCT(OFFSET($BO$15,0,0,$B$14,1), 1*(_xlfn._xlws.FILTER(OFFSET($O$15,0,$DN209,$B$8,1),OFFSET($M$15,0,0,$B$8,1))=FN$13), 1*(_xlfn._xlws.FILTER(OFFSET($O$15,0,$DO209,$B$8,1),OFFSET($M$15,0,0,$B$8,1))=FN$14))   /   SUM(OFFSET($BO$15,0,0,$B$14,1)) + $B$18/($B$19*$B$19*($DN209&lt;&gt;$DO209) + $B$19*($DN209=$DO209))</f>
        <v>3.7037037037037035E-4</v>
      </c>
      <c r="FO209" s="10" cm="1">
        <f t="array" aca="1" ref="FO209" ca="1">(1-$B$18)*SUMPRODUCT(OFFSET($BO$15,0,0,$B$14,1), 1*(_xlfn._xlws.FILTER(OFFSET($O$15,0,$DN209,$B$8,1),OFFSET($M$15,0,0,$B$8,1))=FO$13), 1*(_xlfn._xlws.FILTER(OFFSET($O$15,0,$DO209,$B$8,1),OFFSET($M$15,0,0,$B$8,1))=FO$14))   /   SUM(OFFSET($BO$15,0,0,$B$14,1)) + $B$18/($B$19*$B$19*($DN209&lt;&gt;$DO209) + $B$19*($DN209=$DO209))</f>
        <v>3.7037037037037035E-4</v>
      </c>
      <c r="FP209" s="10" cm="1">
        <f t="array" aca="1" ref="FP209" ca="1">(1-$B$18)*SUMPRODUCT(OFFSET($BO$15,0,0,$B$14,1), 1*(_xlfn._xlws.FILTER(OFFSET($O$15,0,$DN209,$B$8,1),OFFSET($M$15,0,0,$B$8,1))=FP$13), 1*(_xlfn._xlws.FILTER(OFFSET($O$15,0,$DO209,$B$8,1),OFFSET($M$15,0,0,$B$8,1))=FP$14))   /   SUM(OFFSET($BO$15,0,0,$B$14,1)) + $B$18/($B$19*$B$19*($DN209&lt;&gt;$DO209) + $B$19*($DN209=$DO209))</f>
        <v>3.7037037037037035E-4</v>
      </c>
      <c r="FQ209" s="10" cm="1">
        <f t="array" aca="1" ref="FQ209" ca="1">(1-$B$18)*SUMPRODUCT(OFFSET($BO$15,0,0,$B$14,1), 1*(_xlfn._xlws.FILTER(OFFSET($O$15,0,$DN209,$B$8,1),OFFSET($M$15,0,0,$B$8,1))=FQ$13), 1*(_xlfn._xlws.FILTER(OFFSET($O$15,0,$DO209,$B$8,1),OFFSET($M$15,0,0,$B$8,1))=FQ$14))   /   SUM(OFFSET($BO$15,0,0,$B$14,1)) + $B$18/($B$19*$B$19*($DN209&lt;&gt;$DO209) + $B$19*($DN209=$DO209))</f>
        <v>3.7037037037037035E-4</v>
      </c>
      <c r="FR209" s="10" cm="1">
        <f t="array" aca="1" ref="FR209" ca="1">(1-$B$18)*SUMPRODUCT(OFFSET($BO$15,0,0,$B$14,1), 1*(_xlfn._xlws.FILTER(OFFSET($O$15,0,$DN209,$B$8,1),OFFSET($M$15,0,0,$B$8,1))=FR$13), 1*(_xlfn._xlws.FILTER(OFFSET($O$15,0,$DO209,$B$8,1),OFFSET($M$15,0,0,$B$8,1))=FR$14))   /   SUM(OFFSET($BO$15,0,0,$B$14,1)) + $B$18/($B$19*$B$19*($DN209&lt;&gt;$DO209) + $B$19*($DN209=$DO209))</f>
        <v>3.7037037037037035E-4</v>
      </c>
      <c r="FS209" s="10" cm="1">
        <f t="array" aca="1" ref="FS209" ca="1">(1-$B$18)*SUMPRODUCT(OFFSET($BO$15,0,0,$B$14,1), 1*(_xlfn._xlws.FILTER(OFFSET($O$15,0,$DN209,$B$8,1),OFFSET($M$15,0,0,$B$8,1))=FS$13), 1*(_xlfn._xlws.FILTER(OFFSET($O$15,0,$DO209,$B$8,1),OFFSET($M$15,0,0,$B$8,1))=FS$14))   /   SUM(OFFSET($BO$15,0,0,$B$14,1)) + $B$18/($B$19*$B$19*($DN209&lt;&gt;$DO209) + $B$19*($DN209=$DO209))</f>
        <v>3.7037037037037035E-4</v>
      </c>
      <c r="FT209" s="10" cm="1">
        <f t="array" aca="1" ref="FT209" ca="1">(1-$B$18)*SUMPRODUCT(OFFSET($BO$15,0,0,$B$14,1), 1*(_xlfn._xlws.FILTER(OFFSET($O$15,0,$DN209,$B$8,1),OFFSET($M$15,0,0,$B$8,1))=FT$13), 1*(_xlfn._xlws.FILTER(OFFSET($O$15,0,$DO209,$B$8,1),OFFSET($M$15,0,0,$B$8,1))=FT$14))   /   SUM(OFFSET($BO$15,0,0,$B$14,1)) + $B$18/($B$19*$B$19*($DN209&lt;&gt;$DO209) + $B$19*($DN209=$DO209))</f>
        <v>3.7037037037037035E-4</v>
      </c>
      <c r="FU209" s="10" cm="1">
        <f t="array" aca="1" ref="FU209" ca="1">(1-$B$18)*SUMPRODUCT(OFFSET($BO$15,0,0,$B$14,1), 1*(_xlfn._xlws.FILTER(OFFSET($O$15,0,$DN209,$B$8,1),OFFSET($M$15,0,0,$B$8,1))=FU$13), 1*(_xlfn._xlws.FILTER(OFFSET($O$15,0,$DO209,$B$8,1),OFFSET($M$15,0,0,$B$8,1))=FU$14))   /   SUM(OFFSET($BO$15,0,0,$B$14,1)) + $B$18/($B$19*$B$19*($DN209&lt;&gt;$DO209) + $B$19*($DN209=$DO209))</f>
        <v>3.7037037037037035E-4</v>
      </c>
      <c r="FV209" s="10" cm="1">
        <f t="array" aca="1" ref="FV209" ca="1">(1-$B$18)*SUMPRODUCT(OFFSET($BO$15,0,0,$B$14,1), 1*(_xlfn._xlws.FILTER(OFFSET($O$15,0,$DN209,$B$8,1),OFFSET($M$15,0,0,$B$8,1))=FV$13), 1*(_xlfn._xlws.FILTER(OFFSET($O$15,0,$DO209,$B$8,1),OFFSET($M$15,0,0,$B$8,1))=FV$14))   /   SUM(OFFSET($BO$15,0,0,$B$14,1)) + $B$18/($B$19*$B$19*($DN209&lt;&gt;$DO209) + $B$19*($DN209=$DO209))</f>
        <v>3.7037037037037035E-4</v>
      </c>
      <c r="FW209" s="10" cm="1">
        <f t="array" aca="1" ref="FW209" ca="1">(1-$B$18)*SUMPRODUCT(OFFSET($BO$15,0,0,$B$14,1), 1*(_xlfn._xlws.FILTER(OFFSET($O$15,0,$DN209,$B$8,1),OFFSET($M$15,0,0,$B$8,1))=FW$13), 1*(_xlfn._xlws.FILTER(OFFSET($O$15,0,$DO209,$B$8,1),OFFSET($M$15,0,0,$B$8,1))=FW$14))   /   SUM(OFFSET($BO$15,0,0,$B$14,1)) + $B$18/($B$19*$B$19*($DN209&lt;&gt;$DO209) + $B$19*($DN209=$DO209))</f>
        <v>3.7037037037037035E-4</v>
      </c>
      <c r="FX209" s="10" cm="1">
        <f t="array" aca="1" ref="FX209" ca="1">(1-$B$18)*SUMPRODUCT(OFFSET($BO$15,0,0,$B$14,1), 1*(_xlfn._xlws.FILTER(OFFSET($O$15,0,$DN209,$B$8,1),OFFSET($M$15,0,0,$B$8,1))=FX$13), 1*(_xlfn._xlws.FILTER(OFFSET($O$15,0,$DO209,$B$8,1),OFFSET($M$15,0,0,$B$8,1))=FX$14))   /   SUM(OFFSET($BO$15,0,0,$B$14,1)) + $B$18/($B$19*$B$19*($DN209&lt;&gt;$DO209) + $B$19*($DN209=$DO209))</f>
        <v>3.7037037037037035E-4</v>
      </c>
      <c r="FY209" s="10" cm="1">
        <f t="array" aca="1" ref="FY209" ca="1">(1-$B$18)*SUMPRODUCT(OFFSET($BO$15,0,0,$B$14,1), 1*(_xlfn._xlws.FILTER(OFFSET($O$15,0,$DN209,$B$8,1),OFFSET($M$15,0,0,$B$8,1))=FY$13), 1*(_xlfn._xlws.FILTER(OFFSET($O$15,0,$DO209,$B$8,1),OFFSET($M$15,0,0,$B$8,1))=FY$14))   /   SUM(OFFSET($BO$15,0,0,$B$14,1)) + $B$18/($B$19*$B$19*($DN209&lt;&gt;$DO209) + $B$19*($DN209=$DO209))</f>
        <v>3.7037037037037035E-4</v>
      </c>
      <c r="FZ209" s="10" cm="1">
        <f t="array" aca="1" ref="FZ209" ca="1">(1-$B$18)*SUMPRODUCT(OFFSET($BO$15,0,0,$B$14,1), 1*(_xlfn._xlws.FILTER(OFFSET($O$15,0,$DN209,$B$8,1),OFFSET($M$15,0,0,$B$8,1))=FZ$13), 1*(_xlfn._xlws.FILTER(OFFSET($O$15,0,$DO209,$B$8,1),OFFSET($M$15,0,0,$B$8,1))=FZ$14))   /   SUM(OFFSET($BO$15,0,0,$B$14,1)) + $B$18/($B$19*$B$19*($DN209&lt;&gt;$DO209) + $B$19*($DN209=$DO209))</f>
        <v>3.7037037037037035E-4</v>
      </c>
      <c r="GA209" s="10" cm="1">
        <f t="array" aca="1" ref="GA209" ca="1">(1-$B$18)*SUMPRODUCT(OFFSET($BO$15,0,0,$B$14,1), 1*(_xlfn._xlws.FILTER(OFFSET($O$15,0,$DN209,$B$8,1),OFFSET($M$15,0,0,$B$8,1))=GA$13), 1*(_xlfn._xlws.FILTER(OFFSET($O$15,0,$DO209,$B$8,1),OFFSET($M$15,0,0,$B$8,1))=GA$14))   /   SUM(OFFSET($BO$15,0,0,$B$14,1)) + $B$18/($B$19*$B$19*($DN209&lt;&gt;$DO209) + $B$19*($DN209=$DO209))</f>
        <v>3.7037037037037035E-4</v>
      </c>
    </row>
    <row r="210" spans="118:183" x14ac:dyDescent="0.2">
      <c r="DN210" cm="1">
        <f t="array" aca="1" ref="DN210" ca="1">INDEX(_xlfn.ANCHORARRAY($CP$15), 1 + INT((ROWS($DO$15:$DO210) - 1) / ROWS(_xlfn.ANCHORARRAY($CP$15))))</f>
        <v>11</v>
      </c>
      <c r="DO210" cm="1">
        <f t="array" aca="1" ref="DO210" ca="1">INDEX(_xlfn.ANCHORARRAY($CP$15),1+MOD(ROWS($DO$15:$DO210)-1,ROWS(_xlfn.ANCHORARRAY($CP$15))))</f>
        <v>5</v>
      </c>
      <c r="DP210" s="10" cm="1">
        <f t="array" aca="1" ref="DP210" ca="1">(1-$B$18)*SUMPRODUCT(OFFSET($BO$15,0,0,$B$14,1), 1*(_xlfn._xlws.FILTER(OFFSET($O$15,0,$DN210,$B$8,1),OFFSET($M$15,0,0,$B$8,1))=DP$13), 1*(_xlfn._xlws.FILTER(OFFSET($O$15,0,$DO210,$B$8,1),OFFSET($M$15,0,0,$B$8,1))=DP$14))   /   SUM(OFFSET($BO$15,0,0,$B$14,1)) + $B$18/($B$19*$B$19*($DN210&lt;&gt;$DO210) + $B$19*($DN210=$DO210))</f>
        <v>3.7037037037037035E-4</v>
      </c>
      <c r="DQ210" s="10" cm="1">
        <f t="array" aca="1" ref="DQ210" ca="1">(1-$B$18)*SUMPRODUCT(OFFSET($BO$15,0,0,$B$14,1), 1*(_xlfn._xlws.FILTER(OFFSET($O$15,0,$DN210,$B$8,1),OFFSET($M$15,0,0,$B$8,1))=DQ$13), 1*(_xlfn._xlws.FILTER(OFFSET($O$15,0,$DO210,$B$8,1),OFFSET($M$15,0,0,$B$8,1))=DQ$14))   /   SUM(OFFSET($BO$15,0,0,$B$14,1)) + $B$18/($B$19*$B$19*($DN210&lt;&gt;$DO210) + $B$19*($DN210=$DO210))</f>
        <v>3.7037037037037035E-4</v>
      </c>
      <c r="DR210" s="10" cm="1">
        <f t="array" aca="1" ref="DR210" ca="1">(1-$B$18)*SUMPRODUCT(OFFSET($BO$15,0,0,$B$14,1), 1*(_xlfn._xlws.FILTER(OFFSET($O$15,0,$DN210,$B$8,1),OFFSET($M$15,0,0,$B$8,1))=DR$13), 1*(_xlfn._xlws.FILTER(OFFSET($O$15,0,$DO210,$B$8,1),OFFSET($M$15,0,0,$B$8,1))=DR$14))   /   SUM(OFFSET($BO$15,0,0,$B$14,1)) + $B$18/($B$19*$B$19*($DN210&lt;&gt;$DO210) + $B$19*($DN210=$DO210))</f>
        <v>3.7037037037037035E-4</v>
      </c>
      <c r="DS210" s="10" cm="1">
        <f t="array" aca="1" ref="DS210" ca="1">(1-$B$18)*SUMPRODUCT(OFFSET($BO$15,0,0,$B$14,1), 1*(_xlfn._xlws.FILTER(OFFSET($O$15,0,$DN210,$B$8,1),OFFSET($M$15,0,0,$B$8,1))=DS$13), 1*(_xlfn._xlws.FILTER(OFFSET($O$15,0,$DO210,$B$8,1),OFFSET($M$15,0,0,$B$8,1))=DS$14))   /   SUM(OFFSET($BO$15,0,0,$B$14,1)) + $B$18/($B$19*$B$19*($DN210&lt;&gt;$DO210) + $B$19*($DN210=$DO210))</f>
        <v>3.7037037037037035E-4</v>
      </c>
      <c r="DT210" s="10" cm="1">
        <f t="array" aca="1" ref="DT210" ca="1">(1-$B$18)*SUMPRODUCT(OFFSET($BO$15,0,0,$B$14,1), 1*(_xlfn._xlws.FILTER(OFFSET($O$15,0,$DN210,$B$8,1),OFFSET($M$15,0,0,$B$8,1))=DT$13), 1*(_xlfn._xlws.FILTER(OFFSET($O$15,0,$DO210,$B$8,1),OFFSET($M$15,0,0,$B$8,1))=DT$14))   /   SUM(OFFSET($BO$15,0,0,$B$14,1)) + $B$18/($B$19*$B$19*($DN210&lt;&gt;$DO210) + $B$19*($DN210=$DO210))</f>
        <v>3.7037037037037035E-4</v>
      </c>
      <c r="DU210" s="10" cm="1">
        <f t="array" aca="1" ref="DU210" ca="1">(1-$B$18)*SUMPRODUCT(OFFSET($BO$15,0,0,$B$14,1), 1*(_xlfn._xlws.FILTER(OFFSET($O$15,0,$DN210,$B$8,1),OFFSET($M$15,0,0,$B$8,1))=DU$13), 1*(_xlfn._xlws.FILTER(OFFSET($O$15,0,$DO210,$B$8,1),OFFSET($M$15,0,0,$B$8,1))=DU$14))   /   SUM(OFFSET($BO$15,0,0,$B$14,1)) + $B$18/($B$19*$B$19*($DN210&lt;&gt;$DO210) + $B$19*($DN210=$DO210))</f>
        <v>3.7037037037037035E-4</v>
      </c>
      <c r="DV210" s="10" cm="1">
        <f t="array" aca="1" ref="DV210" ca="1">(1-$B$18)*SUMPRODUCT(OFFSET($BO$15,0,0,$B$14,1), 1*(_xlfn._xlws.FILTER(OFFSET($O$15,0,$DN210,$B$8,1),OFFSET($M$15,0,0,$B$8,1))=DV$13), 1*(_xlfn._xlws.FILTER(OFFSET($O$15,0,$DO210,$B$8,1),OFFSET($M$15,0,0,$B$8,1))=DV$14))   /   SUM(OFFSET($BO$15,0,0,$B$14,1)) + $B$18/($B$19*$B$19*($DN210&lt;&gt;$DO210) + $B$19*($DN210=$DO210))</f>
        <v>0.48537037037037034</v>
      </c>
      <c r="DW210" s="10" cm="1">
        <f t="array" aca="1" ref="DW210" ca="1">(1-$B$18)*SUMPRODUCT(OFFSET($BO$15,0,0,$B$14,1), 1*(_xlfn._xlws.FILTER(OFFSET($O$15,0,$DN210,$B$8,1),OFFSET($M$15,0,0,$B$8,1))=DW$13), 1*(_xlfn._xlws.FILTER(OFFSET($O$15,0,$DO210,$B$8,1),OFFSET($M$15,0,0,$B$8,1))=DW$14))   /   SUM(OFFSET($BO$15,0,0,$B$14,1)) + $B$18/($B$19*$B$19*($DN210&lt;&gt;$DO210) + $B$19*($DN210=$DO210))</f>
        <v>3.7037037037037035E-4</v>
      </c>
      <c r="DX210" s="10" cm="1">
        <f t="array" aca="1" ref="DX210" ca="1">(1-$B$18)*SUMPRODUCT(OFFSET($BO$15,0,0,$B$14,1), 1*(_xlfn._xlws.FILTER(OFFSET($O$15,0,$DN210,$B$8,1),OFFSET($M$15,0,0,$B$8,1))=DX$13), 1*(_xlfn._xlws.FILTER(OFFSET($O$15,0,$DO210,$B$8,1),OFFSET($M$15,0,0,$B$8,1))=DX$14))   /   SUM(OFFSET($BO$15,0,0,$B$14,1)) + $B$18/($B$19*$B$19*($DN210&lt;&gt;$DO210) + $B$19*($DN210=$DO210))</f>
        <v>3.7037037037037035E-4</v>
      </c>
      <c r="DY210" s="10" cm="1">
        <f t="array" aca="1" ref="DY210" ca="1">(1-$B$18)*SUMPRODUCT(OFFSET($BO$15,0,0,$B$14,1), 1*(_xlfn._xlws.FILTER(OFFSET($O$15,0,$DN210,$B$8,1),OFFSET($M$15,0,0,$B$8,1))=DY$13), 1*(_xlfn._xlws.FILTER(OFFSET($O$15,0,$DO210,$B$8,1),OFFSET($M$15,0,0,$B$8,1))=DY$14))   /   SUM(OFFSET($BO$15,0,0,$B$14,1)) + $B$18/($B$19*$B$19*($DN210&lt;&gt;$DO210) + $B$19*($DN210=$DO210))</f>
        <v>3.7037037037037035E-4</v>
      </c>
      <c r="DZ210" s="10" cm="1">
        <f t="array" aca="1" ref="DZ210" ca="1">(1-$B$18)*SUMPRODUCT(OFFSET($BO$15,0,0,$B$14,1), 1*(_xlfn._xlws.FILTER(OFFSET($O$15,0,$DN210,$B$8,1),OFFSET($M$15,0,0,$B$8,1))=DZ$13), 1*(_xlfn._xlws.FILTER(OFFSET($O$15,0,$DO210,$B$8,1),OFFSET($M$15,0,0,$B$8,1))=DZ$14))   /   SUM(OFFSET($BO$15,0,0,$B$14,1)) + $B$18/($B$19*$B$19*($DN210&lt;&gt;$DO210) + $B$19*($DN210=$DO210))</f>
        <v>3.7037037037037035E-4</v>
      </c>
      <c r="EA210" s="10" cm="1">
        <f t="array" aca="1" ref="EA210" ca="1">(1-$B$18)*SUMPRODUCT(OFFSET($BO$15,0,0,$B$14,1), 1*(_xlfn._xlws.FILTER(OFFSET($O$15,0,$DN210,$B$8,1),OFFSET($M$15,0,0,$B$8,1))=EA$13), 1*(_xlfn._xlws.FILTER(OFFSET($O$15,0,$DO210,$B$8,1),OFFSET($M$15,0,0,$B$8,1))=EA$14))   /   SUM(OFFSET($BO$15,0,0,$B$14,1)) + $B$18/($B$19*$B$19*($DN210&lt;&gt;$DO210) + $B$19*($DN210=$DO210))</f>
        <v>3.7037037037037035E-4</v>
      </c>
      <c r="EB210" s="10" cm="1">
        <f t="array" aca="1" ref="EB210" ca="1">(1-$B$18)*SUMPRODUCT(OFFSET($BO$15,0,0,$B$14,1), 1*(_xlfn._xlws.FILTER(OFFSET($O$15,0,$DN210,$B$8,1),OFFSET($M$15,0,0,$B$8,1))=EB$13), 1*(_xlfn._xlws.FILTER(OFFSET($O$15,0,$DO210,$B$8,1),OFFSET($M$15,0,0,$B$8,1))=EB$14))   /   SUM(OFFSET($BO$15,0,0,$B$14,1)) + $B$18/($B$19*$B$19*($DN210&lt;&gt;$DO210) + $B$19*($DN210=$DO210))</f>
        <v>3.7037037037037035E-4</v>
      </c>
      <c r="EC210" s="10" cm="1">
        <f t="array" aca="1" ref="EC210" ca="1">(1-$B$18)*SUMPRODUCT(OFFSET($BO$15,0,0,$B$14,1), 1*(_xlfn._xlws.FILTER(OFFSET($O$15,0,$DN210,$B$8,1),OFFSET($M$15,0,0,$B$8,1))=EC$13), 1*(_xlfn._xlws.FILTER(OFFSET($O$15,0,$DO210,$B$8,1),OFFSET($M$15,0,0,$B$8,1))=EC$14))   /   SUM(OFFSET($BO$15,0,0,$B$14,1)) + $B$18/($B$19*$B$19*($DN210&lt;&gt;$DO210) + $B$19*($DN210=$DO210))</f>
        <v>3.7037037037037035E-4</v>
      </c>
      <c r="ED210" s="10" cm="1">
        <f t="array" aca="1" ref="ED210" ca="1">(1-$B$18)*SUMPRODUCT(OFFSET($BO$15,0,0,$B$14,1), 1*(_xlfn._xlws.FILTER(OFFSET($O$15,0,$DN210,$B$8,1),OFFSET($M$15,0,0,$B$8,1))=ED$13), 1*(_xlfn._xlws.FILTER(OFFSET($O$15,0,$DO210,$B$8,1),OFFSET($M$15,0,0,$B$8,1))=ED$14))   /   SUM(OFFSET($BO$15,0,0,$B$14,1)) + $B$18/($B$19*$B$19*($DN210&lt;&gt;$DO210) + $B$19*($DN210=$DO210))</f>
        <v>3.7037037037037035E-4</v>
      </c>
      <c r="EE210" s="10" cm="1">
        <f t="array" aca="1" ref="EE210" ca="1">(1-$B$18)*SUMPRODUCT(OFFSET($BO$15,0,0,$B$14,1), 1*(_xlfn._xlws.FILTER(OFFSET($O$15,0,$DN210,$B$8,1),OFFSET($M$15,0,0,$B$8,1))=EE$13), 1*(_xlfn._xlws.FILTER(OFFSET($O$15,0,$DO210,$B$8,1),OFFSET($M$15,0,0,$B$8,1))=EE$14))   /   SUM(OFFSET($BO$15,0,0,$B$14,1)) + $B$18/($B$19*$B$19*($DN210&lt;&gt;$DO210) + $B$19*($DN210=$DO210))</f>
        <v>3.7037037037037035E-4</v>
      </c>
      <c r="EF210" s="10" cm="1">
        <f t="array" aca="1" ref="EF210" ca="1">(1-$B$18)*SUMPRODUCT(OFFSET($BO$15,0,0,$B$14,1), 1*(_xlfn._xlws.FILTER(OFFSET($O$15,0,$DN210,$B$8,1),OFFSET($M$15,0,0,$B$8,1))=EF$13), 1*(_xlfn._xlws.FILTER(OFFSET($O$15,0,$DO210,$B$8,1),OFFSET($M$15,0,0,$B$8,1))=EF$14))   /   SUM(OFFSET($BO$15,0,0,$B$14,1)) + $B$18/($B$19*$B$19*($DN210&lt;&gt;$DO210) + $B$19*($DN210=$DO210))</f>
        <v>3.7037037037037035E-4</v>
      </c>
      <c r="EG210" s="10" cm="1">
        <f t="array" aca="1" ref="EG210" ca="1">(1-$B$18)*SUMPRODUCT(OFFSET($BO$15,0,0,$B$14,1), 1*(_xlfn._xlws.FILTER(OFFSET($O$15,0,$DN210,$B$8,1),OFFSET($M$15,0,0,$B$8,1))=EG$13), 1*(_xlfn._xlws.FILTER(OFFSET($O$15,0,$DO210,$B$8,1),OFFSET($M$15,0,0,$B$8,1))=EG$14))   /   SUM(OFFSET($BO$15,0,0,$B$14,1)) + $B$18/($B$19*$B$19*($DN210&lt;&gt;$DO210) + $B$19*($DN210=$DO210))</f>
        <v>3.7037037037037035E-4</v>
      </c>
      <c r="EH210" s="10" cm="1">
        <f t="array" aca="1" ref="EH210" ca="1">(1-$B$18)*SUMPRODUCT(OFFSET($BO$15,0,0,$B$14,1), 1*(_xlfn._xlws.FILTER(OFFSET($O$15,0,$DN210,$B$8,1),OFFSET($M$15,0,0,$B$8,1))=EH$13), 1*(_xlfn._xlws.FILTER(OFFSET($O$15,0,$DO210,$B$8,1),OFFSET($M$15,0,0,$B$8,1))=EH$14))   /   SUM(OFFSET($BO$15,0,0,$B$14,1)) + $B$18/($B$19*$B$19*($DN210&lt;&gt;$DO210) + $B$19*($DN210=$DO210))</f>
        <v>3.7037037037037035E-4</v>
      </c>
      <c r="EI210" s="10" cm="1">
        <f t="array" aca="1" ref="EI210" ca="1">(1-$B$18)*SUMPRODUCT(OFFSET($BO$15,0,0,$B$14,1), 1*(_xlfn._xlws.FILTER(OFFSET($O$15,0,$DN210,$B$8,1),OFFSET($M$15,0,0,$B$8,1))=EI$13), 1*(_xlfn._xlws.FILTER(OFFSET($O$15,0,$DO210,$B$8,1),OFFSET($M$15,0,0,$B$8,1))=EI$14))   /   SUM(OFFSET($BO$15,0,0,$B$14,1)) + $B$18/($B$19*$B$19*($DN210&lt;&gt;$DO210) + $B$19*($DN210=$DO210))</f>
        <v>3.7037037037037035E-4</v>
      </c>
      <c r="EJ210" s="10" cm="1">
        <f t="array" aca="1" ref="EJ210" ca="1">(1-$B$18)*SUMPRODUCT(OFFSET($BO$15,0,0,$B$14,1), 1*(_xlfn._xlws.FILTER(OFFSET($O$15,0,$DN210,$B$8,1),OFFSET($M$15,0,0,$B$8,1))=EJ$13), 1*(_xlfn._xlws.FILTER(OFFSET($O$15,0,$DO210,$B$8,1),OFFSET($M$15,0,0,$B$8,1))=EJ$14))   /   SUM(OFFSET($BO$15,0,0,$B$14,1)) + $B$18/($B$19*$B$19*($DN210&lt;&gt;$DO210) + $B$19*($DN210=$DO210))</f>
        <v>3.7037037037037035E-4</v>
      </c>
      <c r="EK210" s="10" cm="1">
        <f t="array" aca="1" ref="EK210" ca="1">(1-$B$18)*SUMPRODUCT(OFFSET($BO$15,0,0,$B$14,1), 1*(_xlfn._xlws.FILTER(OFFSET($O$15,0,$DN210,$B$8,1),OFFSET($M$15,0,0,$B$8,1))=EK$13), 1*(_xlfn._xlws.FILTER(OFFSET($O$15,0,$DO210,$B$8,1),OFFSET($M$15,0,0,$B$8,1))=EK$14))   /   SUM(OFFSET($BO$15,0,0,$B$14,1)) + $B$18/($B$19*$B$19*($DN210&lt;&gt;$DO210) + $B$19*($DN210=$DO210))</f>
        <v>3.7037037037037035E-4</v>
      </c>
      <c r="EL210" s="10" cm="1">
        <f t="array" aca="1" ref="EL210" ca="1">(1-$B$18)*SUMPRODUCT(OFFSET($BO$15,0,0,$B$14,1), 1*(_xlfn._xlws.FILTER(OFFSET($O$15,0,$DN210,$B$8,1),OFFSET($M$15,0,0,$B$8,1))=EL$13), 1*(_xlfn._xlws.FILTER(OFFSET($O$15,0,$DO210,$B$8,1),OFFSET($M$15,0,0,$B$8,1))=EL$14))   /   SUM(OFFSET($BO$15,0,0,$B$14,1)) + $B$18/($B$19*$B$19*($DN210&lt;&gt;$DO210) + $B$19*($DN210=$DO210))</f>
        <v>0.24287037037037026</v>
      </c>
      <c r="EM210" s="10" cm="1">
        <f t="array" aca="1" ref="EM210" ca="1">(1-$B$18)*SUMPRODUCT(OFFSET($BO$15,0,0,$B$14,1), 1*(_xlfn._xlws.FILTER(OFFSET($O$15,0,$DN210,$B$8,1),OFFSET($M$15,0,0,$B$8,1))=EM$13), 1*(_xlfn._xlws.FILTER(OFFSET($O$15,0,$DO210,$B$8,1),OFFSET($M$15,0,0,$B$8,1))=EM$14))   /   SUM(OFFSET($BO$15,0,0,$B$14,1)) + $B$18/($B$19*$B$19*($DN210&lt;&gt;$DO210) + $B$19*($DN210=$DO210))</f>
        <v>3.7037037037037035E-4</v>
      </c>
      <c r="EN210" s="10" cm="1">
        <f t="array" aca="1" ref="EN210" ca="1">(1-$B$18)*SUMPRODUCT(OFFSET($BO$15,0,0,$B$14,1), 1*(_xlfn._xlws.FILTER(OFFSET($O$15,0,$DN210,$B$8,1),OFFSET($M$15,0,0,$B$8,1))=EN$13), 1*(_xlfn._xlws.FILTER(OFFSET($O$15,0,$DO210,$B$8,1),OFFSET($M$15,0,0,$B$8,1))=EN$14))   /   SUM(OFFSET($BO$15,0,0,$B$14,1)) + $B$18/($B$19*$B$19*($DN210&lt;&gt;$DO210) + $B$19*($DN210=$DO210))</f>
        <v>3.7037037037037035E-4</v>
      </c>
      <c r="EO210" s="10" cm="1">
        <f t="array" aca="1" ref="EO210" ca="1">(1-$B$18)*SUMPRODUCT(OFFSET($BO$15,0,0,$B$14,1), 1*(_xlfn._xlws.FILTER(OFFSET($O$15,0,$DN210,$B$8,1),OFFSET($M$15,0,0,$B$8,1))=EO$13), 1*(_xlfn._xlws.FILTER(OFFSET($O$15,0,$DO210,$B$8,1),OFFSET($M$15,0,0,$B$8,1))=EO$14))   /   SUM(OFFSET($BO$15,0,0,$B$14,1)) + $B$18/($B$19*$B$19*($DN210&lt;&gt;$DO210) + $B$19*($DN210=$DO210))</f>
        <v>3.7037037037037035E-4</v>
      </c>
      <c r="EP210" s="10" cm="1">
        <f t="array" aca="1" ref="EP210" ca="1">(1-$B$18)*SUMPRODUCT(OFFSET($BO$15,0,0,$B$14,1), 1*(_xlfn._xlws.FILTER(OFFSET($O$15,0,$DN210,$B$8,1),OFFSET($M$15,0,0,$B$8,1))=EP$13), 1*(_xlfn._xlws.FILTER(OFFSET($O$15,0,$DO210,$B$8,1),OFFSET($M$15,0,0,$B$8,1))=EP$14))   /   SUM(OFFSET($BO$15,0,0,$B$14,1)) + $B$18/($B$19*$B$19*($DN210&lt;&gt;$DO210) + $B$19*($DN210=$DO210))</f>
        <v>3.7037037037037035E-4</v>
      </c>
      <c r="EQ210" s="10" cm="1">
        <f t="array" aca="1" ref="EQ210" ca="1">(1-$B$18)*SUMPRODUCT(OFFSET($BO$15,0,0,$B$14,1), 1*(_xlfn._xlws.FILTER(OFFSET($O$15,0,$DN210,$B$8,1),OFFSET($M$15,0,0,$B$8,1))=EQ$13), 1*(_xlfn._xlws.FILTER(OFFSET($O$15,0,$DO210,$B$8,1),OFFSET($M$15,0,0,$B$8,1))=EQ$14))   /   SUM(OFFSET($BO$15,0,0,$B$14,1)) + $B$18/($B$19*$B$19*($DN210&lt;&gt;$DO210) + $B$19*($DN210=$DO210))</f>
        <v>3.7037037037037035E-4</v>
      </c>
      <c r="ER210" s="10" cm="1">
        <f t="array" aca="1" ref="ER210" ca="1">(1-$B$18)*SUMPRODUCT(OFFSET($BO$15,0,0,$B$14,1), 1*(_xlfn._xlws.FILTER(OFFSET($O$15,0,$DN210,$B$8,1),OFFSET($M$15,0,0,$B$8,1))=ER$13), 1*(_xlfn._xlws.FILTER(OFFSET($O$15,0,$DO210,$B$8,1),OFFSET($M$15,0,0,$B$8,1))=ER$14))   /   SUM(OFFSET($BO$15,0,0,$B$14,1)) + $B$18/($B$19*$B$19*($DN210&lt;&gt;$DO210) + $B$19*($DN210=$DO210))</f>
        <v>3.7037037037037035E-4</v>
      </c>
      <c r="ES210" s="10" cm="1">
        <f t="array" aca="1" ref="ES210" ca="1">(1-$B$18)*SUMPRODUCT(OFFSET($BO$15,0,0,$B$14,1), 1*(_xlfn._xlws.FILTER(OFFSET($O$15,0,$DN210,$B$8,1),OFFSET($M$15,0,0,$B$8,1))=ES$13), 1*(_xlfn._xlws.FILTER(OFFSET($O$15,0,$DO210,$B$8,1),OFFSET($M$15,0,0,$B$8,1))=ES$14))   /   SUM(OFFSET($BO$15,0,0,$B$14,1)) + $B$18/($B$19*$B$19*($DN210&lt;&gt;$DO210) + $B$19*($DN210=$DO210))</f>
        <v>3.7037037037037035E-4</v>
      </c>
      <c r="ET210" s="10" cm="1">
        <f t="array" aca="1" ref="ET210" ca="1">(1-$B$18)*SUMPRODUCT(OFFSET($BO$15,0,0,$B$14,1), 1*(_xlfn._xlws.FILTER(OFFSET($O$15,0,$DN210,$B$8,1),OFFSET($M$15,0,0,$B$8,1))=ET$13), 1*(_xlfn._xlws.FILTER(OFFSET($O$15,0,$DO210,$B$8,1),OFFSET($M$15,0,0,$B$8,1))=ET$14))   /   SUM(OFFSET($BO$15,0,0,$B$14,1)) + $B$18/($B$19*$B$19*($DN210&lt;&gt;$DO210) + $B$19*($DN210=$DO210))</f>
        <v>0.24287037037037026</v>
      </c>
      <c r="EU210" s="10" cm="1">
        <f t="array" aca="1" ref="EU210" ca="1">(1-$B$18)*SUMPRODUCT(OFFSET($BO$15,0,0,$B$14,1), 1*(_xlfn._xlws.FILTER(OFFSET($O$15,0,$DN210,$B$8,1),OFFSET($M$15,0,0,$B$8,1))=EU$13), 1*(_xlfn._xlws.FILTER(OFFSET($O$15,0,$DO210,$B$8,1),OFFSET($M$15,0,0,$B$8,1))=EU$14))   /   SUM(OFFSET($BO$15,0,0,$B$14,1)) + $B$18/($B$19*$B$19*($DN210&lt;&gt;$DO210) + $B$19*($DN210=$DO210))</f>
        <v>3.7037037037037035E-4</v>
      </c>
      <c r="EV210" s="10" cm="1">
        <f t="array" aca="1" ref="EV210" ca="1">(1-$B$18)*SUMPRODUCT(OFFSET($BO$15,0,0,$B$14,1), 1*(_xlfn._xlws.FILTER(OFFSET($O$15,0,$DN210,$B$8,1),OFFSET($M$15,0,0,$B$8,1))=EV$13), 1*(_xlfn._xlws.FILTER(OFFSET($O$15,0,$DO210,$B$8,1),OFFSET($M$15,0,0,$B$8,1))=EV$14))   /   SUM(OFFSET($BO$15,0,0,$B$14,1)) + $B$18/($B$19*$B$19*($DN210&lt;&gt;$DO210) + $B$19*($DN210=$DO210))</f>
        <v>3.7037037037037035E-4</v>
      </c>
      <c r="EW210" s="10" cm="1">
        <f t="array" aca="1" ref="EW210" ca="1">(1-$B$18)*SUMPRODUCT(OFFSET($BO$15,0,0,$B$14,1), 1*(_xlfn._xlws.FILTER(OFFSET($O$15,0,$DN210,$B$8,1),OFFSET($M$15,0,0,$B$8,1))=EW$13), 1*(_xlfn._xlws.FILTER(OFFSET($O$15,0,$DO210,$B$8,1),OFFSET($M$15,0,0,$B$8,1))=EW$14))   /   SUM(OFFSET($BO$15,0,0,$B$14,1)) + $B$18/($B$19*$B$19*($DN210&lt;&gt;$DO210) + $B$19*($DN210=$DO210))</f>
        <v>3.7037037037037035E-4</v>
      </c>
      <c r="EX210" s="10" cm="1">
        <f t="array" aca="1" ref="EX210" ca="1">(1-$B$18)*SUMPRODUCT(OFFSET($BO$15,0,0,$B$14,1), 1*(_xlfn._xlws.FILTER(OFFSET($O$15,0,$DN210,$B$8,1),OFFSET($M$15,0,0,$B$8,1))=EX$13), 1*(_xlfn._xlws.FILTER(OFFSET($O$15,0,$DO210,$B$8,1),OFFSET($M$15,0,0,$B$8,1))=EX$14))   /   SUM(OFFSET($BO$15,0,0,$B$14,1)) + $B$18/($B$19*$B$19*($DN210&lt;&gt;$DO210) + $B$19*($DN210=$DO210))</f>
        <v>3.7037037037037035E-4</v>
      </c>
      <c r="EY210" s="10" cm="1">
        <f t="array" aca="1" ref="EY210" ca="1">(1-$B$18)*SUMPRODUCT(OFFSET($BO$15,0,0,$B$14,1), 1*(_xlfn._xlws.FILTER(OFFSET($O$15,0,$DN210,$B$8,1),OFFSET($M$15,0,0,$B$8,1))=EY$13), 1*(_xlfn._xlws.FILTER(OFFSET($O$15,0,$DO210,$B$8,1),OFFSET($M$15,0,0,$B$8,1))=EY$14))   /   SUM(OFFSET($BO$15,0,0,$B$14,1)) + $B$18/($B$19*$B$19*($DN210&lt;&gt;$DO210) + $B$19*($DN210=$DO210))</f>
        <v>3.7037037037037035E-4</v>
      </c>
      <c r="EZ210" s="10" cm="1">
        <f t="array" aca="1" ref="EZ210" ca="1">(1-$B$18)*SUMPRODUCT(OFFSET($BO$15,0,0,$B$14,1), 1*(_xlfn._xlws.FILTER(OFFSET($O$15,0,$DN210,$B$8,1),OFFSET($M$15,0,0,$B$8,1))=EZ$13), 1*(_xlfn._xlws.FILTER(OFFSET($O$15,0,$DO210,$B$8,1),OFFSET($M$15,0,0,$B$8,1))=EZ$14))   /   SUM(OFFSET($BO$15,0,0,$B$14,1)) + $B$18/($B$19*$B$19*($DN210&lt;&gt;$DO210) + $B$19*($DN210=$DO210))</f>
        <v>3.7037037037037035E-4</v>
      </c>
      <c r="FA210" s="10" cm="1">
        <f t="array" aca="1" ref="FA210" ca="1">(1-$B$18)*SUMPRODUCT(OFFSET($BO$15,0,0,$B$14,1), 1*(_xlfn._xlws.FILTER(OFFSET($O$15,0,$DN210,$B$8,1),OFFSET($M$15,0,0,$B$8,1))=FA$13), 1*(_xlfn._xlws.FILTER(OFFSET($O$15,0,$DO210,$B$8,1),OFFSET($M$15,0,0,$B$8,1))=FA$14))   /   SUM(OFFSET($BO$15,0,0,$B$14,1)) + $B$18/($B$19*$B$19*($DN210&lt;&gt;$DO210) + $B$19*($DN210=$DO210))</f>
        <v>3.7037037037037035E-4</v>
      </c>
      <c r="FB210" s="10" cm="1">
        <f t="array" aca="1" ref="FB210" ca="1">(1-$B$18)*SUMPRODUCT(OFFSET($BO$15,0,0,$B$14,1), 1*(_xlfn._xlws.FILTER(OFFSET($O$15,0,$DN210,$B$8,1),OFFSET($M$15,0,0,$B$8,1))=FB$13), 1*(_xlfn._xlws.FILTER(OFFSET($O$15,0,$DO210,$B$8,1),OFFSET($M$15,0,0,$B$8,1))=FB$14))   /   SUM(OFFSET($BO$15,0,0,$B$14,1)) + $B$18/($B$19*$B$19*($DN210&lt;&gt;$DO210) + $B$19*($DN210=$DO210))</f>
        <v>3.7037037037037035E-4</v>
      </c>
      <c r="FC210" s="10" cm="1">
        <f t="array" aca="1" ref="FC210" ca="1">(1-$B$18)*SUMPRODUCT(OFFSET($BO$15,0,0,$B$14,1), 1*(_xlfn._xlws.FILTER(OFFSET($O$15,0,$DN210,$B$8,1),OFFSET($M$15,0,0,$B$8,1))=FC$13), 1*(_xlfn._xlws.FILTER(OFFSET($O$15,0,$DO210,$B$8,1),OFFSET($M$15,0,0,$B$8,1))=FC$14))   /   SUM(OFFSET($BO$15,0,0,$B$14,1)) + $B$18/($B$19*$B$19*($DN210&lt;&gt;$DO210) + $B$19*($DN210=$DO210))</f>
        <v>3.7037037037037035E-4</v>
      </c>
      <c r="FD210" s="10" cm="1">
        <f t="array" aca="1" ref="FD210" ca="1">(1-$B$18)*SUMPRODUCT(OFFSET($BO$15,0,0,$B$14,1), 1*(_xlfn._xlws.FILTER(OFFSET($O$15,0,$DN210,$B$8,1),OFFSET($M$15,0,0,$B$8,1))=FD$13), 1*(_xlfn._xlws.FILTER(OFFSET($O$15,0,$DO210,$B$8,1),OFFSET($M$15,0,0,$B$8,1))=FD$14))   /   SUM(OFFSET($BO$15,0,0,$B$14,1)) + $B$18/($B$19*$B$19*($DN210&lt;&gt;$DO210) + $B$19*($DN210=$DO210))</f>
        <v>3.7037037037037035E-4</v>
      </c>
      <c r="FE210" s="10" cm="1">
        <f t="array" aca="1" ref="FE210" ca="1">(1-$B$18)*SUMPRODUCT(OFFSET($BO$15,0,0,$B$14,1), 1*(_xlfn._xlws.FILTER(OFFSET($O$15,0,$DN210,$B$8,1),OFFSET($M$15,0,0,$B$8,1))=FE$13), 1*(_xlfn._xlws.FILTER(OFFSET($O$15,0,$DO210,$B$8,1),OFFSET($M$15,0,0,$B$8,1))=FE$14))   /   SUM(OFFSET($BO$15,0,0,$B$14,1)) + $B$18/($B$19*$B$19*($DN210&lt;&gt;$DO210) + $B$19*($DN210=$DO210))</f>
        <v>3.7037037037037035E-4</v>
      </c>
      <c r="FF210" s="10" cm="1">
        <f t="array" aca="1" ref="FF210" ca="1">(1-$B$18)*SUMPRODUCT(OFFSET($BO$15,0,0,$B$14,1), 1*(_xlfn._xlws.FILTER(OFFSET($O$15,0,$DN210,$B$8,1),OFFSET($M$15,0,0,$B$8,1))=FF$13), 1*(_xlfn._xlws.FILTER(OFFSET($O$15,0,$DO210,$B$8,1),OFFSET($M$15,0,0,$B$8,1))=FF$14))   /   SUM(OFFSET($BO$15,0,0,$B$14,1)) + $B$18/($B$19*$B$19*($DN210&lt;&gt;$DO210) + $B$19*($DN210=$DO210))</f>
        <v>3.7037037037037035E-4</v>
      </c>
      <c r="FG210" s="10" cm="1">
        <f t="array" aca="1" ref="FG210" ca="1">(1-$B$18)*SUMPRODUCT(OFFSET($BO$15,0,0,$B$14,1), 1*(_xlfn._xlws.FILTER(OFFSET($O$15,0,$DN210,$B$8,1),OFFSET($M$15,0,0,$B$8,1))=FG$13), 1*(_xlfn._xlws.FILTER(OFFSET($O$15,0,$DO210,$B$8,1),OFFSET($M$15,0,0,$B$8,1))=FG$14))   /   SUM(OFFSET($BO$15,0,0,$B$14,1)) + $B$18/($B$19*$B$19*($DN210&lt;&gt;$DO210) + $B$19*($DN210=$DO210))</f>
        <v>3.7037037037037035E-4</v>
      </c>
      <c r="FH210" s="10" cm="1">
        <f t="array" aca="1" ref="FH210" ca="1">(1-$B$18)*SUMPRODUCT(OFFSET($BO$15,0,0,$B$14,1), 1*(_xlfn._xlws.FILTER(OFFSET($O$15,0,$DN210,$B$8,1),OFFSET($M$15,0,0,$B$8,1))=FH$13), 1*(_xlfn._xlws.FILTER(OFFSET($O$15,0,$DO210,$B$8,1),OFFSET($M$15,0,0,$B$8,1))=FH$14))   /   SUM(OFFSET($BO$15,0,0,$B$14,1)) + $B$18/($B$19*$B$19*($DN210&lt;&gt;$DO210) + $B$19*($DN210=$DO210))</f>
        <v>3.7037037037037035E-4</v>
      </c>
      <c r="FI210" s="10" cm="1">
        <f t="array" aca="1" ref="FI210" ca="1">(1-$B$18)*SUMPRODUCT(OFFSET($BO$15,0,0,$B$14,1), 1*(_xlfn._xlws.FILTER(OFFSET($O$15,0,$DN210,$B$8,1),OFFSET($M$15,0,0,$B$8,1))=FI$13), 1*(_xlfn._xlws.FILTER(OFFSET($O$15,0,$DO210,$B$8,1),OFFSET($M$15,0,0,$B$8,1))=FI$14))   /   SUM(OFFSET($BO$15,0,0,$B$14,1)) + $B$18/($B$19*$B$19*($DN210&lt;&gt;$DO210) + $B$19*($DN210=$DO210))</f>
        <v>3.7037037037037035E-4</v>
      </c>
      <c r="FJ210" s="10" cm="1">
        <f t="array" aca="1" ref="FJ210" ca="1">(1-$B$18)*SUMPRODUCT(OFFSET($BO$15,0,0,$B$14,1), 1*(_xlfn._xlws.FILTER(OFFSET($O$15,0,$DN210,$B$8,1),OFFSET($M$15,0,0,$B$8,1))=FJ$13), 1*(_xlfn._xlws.FILTER(OFFSET($O$15,0,$DO210,$B$8,1),OFFSET($M$15,0,0,$B$8,1))=FJ$14))   /   SUM(OFFSET($BO$15,0,0,$B$14,1)) + $B$18/($B$19*$B$19*($DN210&lt;&gt;$DO210) + $B$19*($DN210=$DO210))</f>
        <v>3.7037037037037035E-4</v>
      </c>
      <c r="FK210" s="10" cm="1">
        <f t="array" aca="1" ref="FK210" ca="1">(1-$B$18)*SUMPRODUCT(OFFSET($BO$15,0,0,$B$14,1), 1*(_xlfn._xlws.FILTER(OFFSET($O$15,0,$DN210,$B$8,1),OFFSET($M$15,0,0,$B$8,1))=FK$13), 1*(_xlfn._xlws.FILTER(OFFSET($O$15,0,$DO210,$B$8,1),OFFSET($M$15,0,0,$B$8,1))=FK$14))   /   SUM(OFFSET($BO$15,0,0,$B$14,1)) + $B$18/($B$19*$B$19*($DN210&lt;&gt;$DO210) + $B$19*($DN210=$DO210))</f>
        <v>3.7037037037037035E-4</v>
      </c>
      <c r="FL210" s="10" cm="1">
        <f t="array" aca="1" ref="FL210" ca="1">(1-$B$18)*SUMPRODUCT(OFFSET($BO$15,0,0,$B$14,1), 1*(_xlfn._xlws.FILTER(OFFSET($O$15,0,$DN210,$B$8,1),OFFSET($M$15,0,0,$B$8,1))=FL$13), 1*(_xlfn._xlws.FILTER(OFFSET($O$15,0,$DO210,$B$8,1),OFFSET($M$15,0,0,$B$8,1))=FL$14))   /   SUM(OFFSET($BO$15,0,0,$B$14,1)) + $B$18/($B$19*$B$19*($DN210&lt;&gt;$DO210) + $B$19*($DN210=$DO210))</f>
        <v>3.7037037037037035E-4</v>
      </c>
      <c r="FM210" s="10" cm="1">
        <f t="array" aca="1" ref="FM210" ca="1">(1-$B$18)*SUMPRODUCT(OFFSET($BO$15,0,0,$B$14,1), 1*(_xlfn._xlws.FILTER(OFFSET($O$15,0,$DN210,$B$8,1),OFFSET($M$15,0,0,$B$8,1))=FM$13), 1*(_xlfn._xlws.FILTER(OFFSET($O$15,0,$DO210,$B$8,1),OFFSET($M$15,0,0,$B$8,1))=FM$14))   /   SUM(OFFSET($BO$15,0,0,$B$14,1)) + $B$18/($B$19*$B$19*($DN210&lt;&gt;$DO210) + $B$19*($DN210=$DO210))</f>
        <v>3.7037037037037035E-4</v>
      </c>
      <c r="FN210" s="10" cm="1">
        <f t="array" aca="1" ref="FN210" ca="1">(1-$B$18)*SUMPRODUCT(OFFSET($BO$15,0,0,$B$14,1), 1*(_xlfn._xlws.FILTER(OFFSET($O$15,0,$DN210,$B$8,1),OFFSET($M$15,0,0,$B$8,1))=FN$13), 1*(_xlfn._xlws.FILTER(OFFSET($O$15,0,$DO210,$B$8,1),OFFSET($M$15,0,0,$B$8,1))=FN$14))   /   SUM(OFFSET($BO$15,0,0,$B$14,1)) + $B$18/($B$19*$B$19*($DN210&lt;&gt;$DO210) + $B$19*($DN210=$DO210))</f>
        <v>3.7037037037037035E-4</v>
      </c>
      <c r="FO210" s="10" cm="1">
        <f t="array" aca="1" ref="FO210" ca="1">(1-$B$18)*SUMPRODUCT(OFFSET($BO$15,0,0,$B$14,1), 1*(_xlfn._xlws.FILTER(OFFSET($O$15,0,$DN210,$B$8,1),OFFSET($M$15,0,0,$B$8,1))=FO$13), 1*(_xlfn._xlws.FILTER(OFFSET($O$15,0,$DO210,$B$8,1),OFFSET($M$15,0,0,$B$8,1))=FO$14))   /   SUM(OFFSET($BO$15,0,0,$B$14,1)) + $B$18/($B$19*$B$19*($DN210&lt;&gt;$DO210) + $B$19*($DN210=$DO210))</f>
        <v>3.7037037037037035E-4</v>
      </c>
      <c r="FP210" s="10" cm="1">
        <f t="array" aca="1" ref="FP210" ca="1">(1-$B$18)*SUMPRODUCT(OFFSET($BO$15,0,0,$B$14,1), 1*(_xlfn._xlws.FILTER(OFFSET($O$15,0,$DN210,$B$8,1),OFFSET($M$15,0,0,$B$8,1))=FP$13), 1*(_xlfn._xlws.FILTER(OFFSET($O$15,0,$DO210,$B$8,1),OFFSET($M$15,0,0,$B$8,1))=FP$14))   /   SUM(OFFSET($BO$15,0,0,$B$14,1)) + $B$18/($B$19*$B$19*($DN210&lt;&gt;$DO210) + $B$19*($DN210=$DO210))</f>
        <v>3.7037037037037035E-4</v>
      </c>
      <c r="FQ210" s="10" cm="1">
        <f t="array" aca="1" ref="FQ210" ca="1">(1-$B$18)*SUMPRODUCT(OFFSET($BO$15,0,0,$B$14,1), 1*(_xlfn._xlws.FILTER(OFFSET($O$15,0,$DN210,$B$8,1),OFFSET($M$15,0,0,$B$8,1))=FQ$13), 1*(_xlfn._xlws.FILTER(OFFSET($O$15,0,$DO210,$B$8,1),OFFSET($M$15,0,0,$B$8,1))=FQ$14))   /   SUM(OFFSET($BO$15,0,0,$B$14,1)) + $B$18/($B$19*$B$19*($DN210&lt;&gt;$DO210) + $B$19*($DN210=$DO210))</f>
        <v>3.7037037037037035E-4</v>
      </c>
      <c r="FR210" s="10" cm="1">
        <f t="array" aca="1" ref="FR210" ca="1">(1-$B$18)*SUMPRODUCT(OFFSET($BO$15,0,0,$B$14,1), 1*(_xlfn._xlws.FILTER(OFFSET($O$15,0,$DN210,$B$8,1),OFFSET($M$15,0,0,$B$8,1))=FR$13), 1*(_xlfn._xlws.FILTER(OFFSET($O$15,0,$DO210,$B$8,1),OFFSET($M$15,0,0,$B$8,1))=FR$14))   /   SUM(OFFSET($BO$15,0,0,$B$14,1)) + $B$18/($B$19*$B$19*($DN210&lt;&gt;$DO210) + $B$19*($DN210=$DO210))</f>
        <v>3.7037037037037035E-4</v>
      </c>
      <c r="FS210" s="10" cm="1">
        <f t="array" aca="1" ref="FS210" ca="1">(1-$B$18)*SUMPRODUCT(OFFSET($BO$15,0,0,$B$14,1), 1*(_xlfn._xlws.FILTER(OFFSET($O$15,0,$DN210,$B$8,1),OFFSET($M$15,0,0,$B$8,1))=FS$13), 1*(_xlfn._xlws.FILTER(OFFSET($O$15,0,$DO210,$B$8,1),OFFSET($M$15,0,0,$B$8,1))=FS$14))   /   SUM(OFFSET($BO$15,0,0,$B$14,1)) + $B$18/($B$19*$B$19*($DN210&lt;&gt;$DO210) + $B$19*($DN210=$DO210))</f>
        <v>3.7037037037037035E-4</v>
      </c>
      <c r="FT210" s="10" cm="1">
        <f t="array" aca="1" ref="FT210" ca="1">(1-$B$18)*SUMPRODUCT(OFFSET($BO$15,0,0,$B$14,1), 1*(_xlfn._xlws.FILTER(OFFSET($O$15,0,$DN210,$B$8,1),OFFSET($M$15,0,0,$B$8,1))=FT$13), 1*(_xlfn._xlws.FILTER(OFFSET($O$15,0,$DO210,$B$8,1),OFFSET($M$15,0,0,$B$8,1))=FT$14))   /   SUM(OFFSET($BO$15,0,0,$B$14,1)) + $B$18/($B$19*$B$19*($DN210&lt;&gt;$DO210) + $B$19*($DN210=$DO210))</f>
        <v>3.7037037037037035E-4</v>
      </c>
      <c r="FU210" s="10" cm="1">
        <f t="array" aca="1" ref="FU210" ca="1">(1-$B$18)*SUMPRODUCT(OFFSET($BO$15,0,0,$B$14,1), 1*(_xlfn._xlws.FILTER(OFFSET($O$15,0,$DN210,$B$8,1),OFFSET($M$15,0,0,$B$8,1))=FU$13), 1*(_xlfn._xlws.FILTER(OFFSET($O$15,0,$DO210,$B$8,1),OFFSET($M$15,0,0,$B$8,1))=FU$14))   /   SUM(OFFSET($BO$15,0,0,$B$14,1)) + $B$18/($B$19*$B$19*($DN210&lt;&gt;$DO210) + $B$19*($DN210=$DO210))</f>
        <v>3.7037037037037035E-4</v>
      </c>
      <c r="FV210" s="10" cm="1">
        <f t="array" aca="1" ref="FV210" ca="1">(1-$B$18)*SUMPRODUCT(OFFSET($BO$15,0,0,$B$14,1), 1*(_xlfn._xlws.FILTER(OFFSET($O$15,0,$DN210,$B$8,1),OFFSET($M$15,0,0,$B$8,1))=FV$13), 1*(_xlfn._xlws.FILTER(OFFSET($O$15,0,$DO210,$B$8,1),OFFSET($M$15,0,0,$B$8,1))=FV$14))   /   SUM(OFFSET($BO$15,0,0,$B$14,1)) + $B$18/($B$19*$B$19*($DN210&lt;&gt;$DO210) + $B$19*($DN210=$DO210))</f>
        <v>3.7037037037037035E-4</v>
      </c>
      <c r="FW210" s="10" cm="1">
        <f t="array" aca="1" ref="FW210" ca="1">(1-$B$18)*SUMPRODUCT(OFFSET($BO$15,0,0,$B$14,1), 1*(_xlfn._xlws.FILTER(OFFSET($O$15,0,$DN210,$B$8,1),OFFSET($M$15,0,0,$B$8,1))=FW$13), 1*(_xlfn._xlws.FILTER(OFFSET($O$15,0,$DO210,$B$8,1),OFFSET($M$15,0,0,$B$8,1))=FW$14))   /   SUM(OFFSET($BO$15,0,0,$B$14,1)) + $B$18/($B$19*$B$19*($DN210&lt;&gt;$DO210) + $B$19*($DN210=$DO210))</f>
        <v>3.7037037037037035E-4</v>
      </c>
      <c r="FX210" s="10" cm="1">
        <f t="array" aca="1" ref="FX210" ca="1">(1-$B$18)*SUMPRODUCT(OFFSET($BO$15,0,0,$B$14,1), 1*(_xlfn._xlws.FILTER(OFFSET($O$15,0,$DN210,$B$8,1),OFFSET($M$15,0,0,$B$8,1))=FX$13), 1*(_xlfn._xlws.FILTER(OFFSET($O$15,0,$DO210,$B$8,1),OFFSET($M$15,0,0,$B$8,1))=FX$14))   /   SUM(OFFSET($BO$15,0,0,$B$14,1)) + $B$18/($B$19*$B$19*($DN210&lt;&gt;$DO210) + $B$19*($DN210=$DO210))</f>
        <v>3.7037037037037035E-4</v>
      </c>
      <c r="FY210" s="10" cm="1">
        <f t="array" aca="1" ref="FY210" ca="1">(1-$B$18)*SUMPRODUCT(OFFSET($BO$15,0,0,$B$14,1), 1*(_xlfn._xlws.FILTER(OFFSET($O$15,0,$DN210,$B$8,1),OFFSET($M$15,0,0,$B$8,1))=FY$13), 1*(_xlfn._xlws.FILTER(OFFSET($O$15,0,$DO210,$B$8,1),OFFSET($M$15,0,0,$B$8,1))=FY$14))   /   SUM(OFFSET($BO$15,0,0,$B$14,1)) + $B$18/($B$19*$B$19*($DN210&lt;&gt;$DO210) + $B$19*($DN210=$DO210))</f>
        <v>3.7037037037037035E-4</v>
      </c>
      <c r="FZ210" s="10" cm="1">
        <f t="array" aca="1" ref="FZ210" ca="1">(1-$B$18)*SUMPRODUCT(OFFSET($BO$15,0,0,$B$14,1), 1*(_xlfn._xlws.FILTER(OFFSET($O$15,0,$DN210,$B$8,1),OFFSET($M$15,0,0,$B$8,1))=FZ$13), 1*(_xlfn._xlws.FILTER(OFFSET($O$15,0,$DO210,$B$8,1),OFFSET($M$15,0,0,$B$8,1))=FZ$14))   /   SUM(OFFSET($BO$15,0,0,$B$14,1)) + $B$18/($B$19*$B$19*($DN210&lt;&gt;$DO210) + $B$19*($DN210=$DO210))</f>
        <v>3.7037037037037035E-4</v>
      </c>
      <c r="GA210" s="10" cm="1">
        <f t="array" aca="1" ref="GA210" ca="1">(1-$B$18)*SUMPRODUCT(OFFSET($BO$15,0,0,$B$14,1), 1*(_xlfn._xlws.FILTER(OFFSET($O$15,0,$DN210,$B$8,1),OFFSET($M$15,0,0,$B$8,1))=GA$13), 1*(_xlfn._xlws.FILTER(OFFSET($O$15,0,$DO210,$B$8,1),OFFSET($M$15,0,0,$B$8,1))=GA$14))   /   SUM(OFFSET($BO$15,0,0,$B$14,1)) + $B$18/($B$19*$B$19*($DN210&lt;&gt;$DO210) + $B$19*($DN210=$DO210))</f>
        <v>3.7037037037037035E-4</v>
      </c>
    </row>
    <row r="211" spans="118:183" x14ac:dyDescent="0.2">
      <c r="DN211" cm="1">
        <f t="array" aca="1" ref="DN211" ca="1">INDEX(_xlfn.ANCHORARRAY($CP$15), 1 + INT((ROWS($DO$15:$DO211) - 1) / ROWS(_xlfn.ANCHORARRAY($CP$15))))</f>
        <v>11</v>
      </c>
      <c r="DO211" cm="1">
        <f t="array" aca="1" ref="DO211" ca="1">INDEX(_xlfn.ANCHORARRAY($CP$15),1+MOD(ROWS($DO$15:$DO211)-1,ROWS(_xlfn.ANCHORARRAY($CP$15))))</f>
        <v>6</v>
      </c>
      <c r="DP211" s="10" cm="1">
        <f t="array" aca="1" ref="DP211" ca="1">(1-$B$18)*SUMPRODUCT(OFFSET($BO$15,0,0,$B$14,1), 1*(_xlfn._xlws.FILTER(OFFSET($O$15,0,$DN211,$B$8,1),OFFSET($M$15,0,0,$B$8,1))=DP$13), 1*(_xlfn._xlws.FILTER(OFFSET($O$15,0,$DO211,$B$8,1),OFFSET($M$15,0,0,$B$8,1))=DP$14))   /   SUM(OFFSET($BO$15,0,0,$B$14,1)) + $B$18/($B$19*$B$19*($DN211&lt;&gt;$DO211) + $B$19*($DN211=$DO211))</f>
        <v>3.7037037037037035E-4</v>
      </c>
      <c r="DQ211" s="10" cm="1">
        <f t="array" aca="1" ref="DQ211" ca="1">(1-$B$18)*SUMPRODUCT(OFFSET($BO$15,0,0,$B$14,1), 1*(_xlfn._xlws.FILTER(OFFSET($O$15,0,$DN211,$B$8,1),OFFSET($M$15,0,0,$B$8,1))=DQ$13), 1*(_xlfn._xlws.FILTER(OFFSET($O$15,0,$DO211,$B$8,1),OFFSET($M$15,0,0,$B$8,1))=DQ$14))   /   SUM(OFFSET($BO$15,0,0,$B$14,1)) + $B$18/($B$19*$B$19*($DN211&lt;&gt;$DO211) + $B$19*($DN211=$DO211))</f>
        <v>3.7037037037037035E-4</v>
      </c>
      <c r="DR211" s="10" cm="1">
        <f t="array" aca="1" ref="DR211" ca="1">(1-$B$18)*SUMPRODUCT(OFFSET($BO$15,0,0,$B$14,1), 1*(_xlfn._xlws.FILTER(OFFSET($O$15,0,$DN211,$B$8,1),OFFSET($M$15,0,0,$B$8,1))=DR$13), 1*(_xlfn._xlws.FILTER(OFFSET($O$15,0,$DO211,$B$8,1),OFFSET($M$15,0,0,$B$8,1))=DR$14))   /   SUM(OFFSET($BO$15,0,0,$B$14,1)) + $B$18/($B$19*$B$19*($DN211&lt;&gt;$DO211) + $B$19*($DN211=$DO211))</f>
        <v>3.7037037037037035E-4</v>
      </c>
      <c r="DS211" s="10" cm="1">
        <f t="array" aca="1" ref="DS211" ca="1">(1-$B$18)*SUMPRODUCT(OFFSET($BO$15,0,0,$B$14,1), 1*(_xlfn._xlws.FILTER(OFFSET($O$15,0,$DN211,$B$8,1),OFFSET($M$15,0,0,$B$8,1))=DS$13), 1*(_xlfn._xlws.FILTER(OFFSET($O$15,0,$DO211,$B$8,1),OFFSET($M$15,0,0,$B$8,1))=DS$14))   /   SUM(OFFSET($BO$15,0,0,$B$14,1)) + $B$18/($B$19*$B$19*($DN211&lt;&gt;$DO211) + $B$19*($DN211=$DO211))</f>
        <v>3.7037037037037035E-4</v>
      </c>
      <c r="DT211" s="10" cm="1">
        <f t="array" aca="1" ref="DT211" ca="1">(1-$B$18)*SUMPRODUCT(OFFSET($BO$15,0,0,$B$14,1), 1*(_xlfn._xlws.FILTER(OFFSET($O$15,0,$DN211,$B$8,1),OFFSET($M$15,0,0,$B$8,1))=DT$13), 1*(_xlfn._xlws.FILTER(OFFSET($O$15,0,$DO211,$B$8,1),OFFSET($M$15,0,0,$B$8,1))=DT$14))   /   SUM(OFFSET($BO$15,0,0,$B$14,1)) + $B$18/($B$19*$B$19*($DN211&lt;&gt;$DO211) + $B$19*($DN211=$DO211))</f>
        <v>3.7037037037037035E-4</v>
      </c>
      <c r="DU211" s="10" cm="1">
        <f t="array" aca="1" ref="DU211" ca="1">(1-$B$18)*SUMPRODUCT(OFFSET($BO$15,0,0,$B$14,1), 1*(_xlfn._xlws.FILTER(OFFSET($O$15,0,$DN211,$B$8,1),OFFSET($M$15,0,0,$B$8,1))=DU$13), 1*(_xlfn._xlws.FILTER(OFFSET($O$15,0,$DO211,$B$8,1),OFFSET($M$15,0,0,$B$8,1))=DU$14))   /   SUM(OFFSET($BO$15,0,0,$B$14,1)) + $B$18/($B$19*$B$19*($DN211&lt;&gt;$DO211) + $B$19*($DN211=$DO211))</f>
        <v>3.7037037037037035E-4</v>
      </c>
      <c r="DV211" s="10" cm="1">
        <f t="array" aca="1" ref="DV211" ca="1">(1-$B$18)*SUMPRODUCT(OFFSET($BO$15,0,0,$B$14,1), 1*(_xlfn._xlws.FILTER(OFFSET($O$15,0,$DN211,$B$8,1),OFFSET($M$15,0,0,$B$8,1))=DV$13), 1*(_xlfn._xlws.FILTER(OFFSET($O$15,0,$DO211,$B$8,1),OFFSET($M$15,0,0,$B$8,1))=DV$14))   /   SUM(OFFSET($BO$15,0,0,$B$14,1)) + $B$18/($B$19*$B$19*($DN211&lt;&gt;$DO211) + $B$19*($DN211=$DO211))</f>
        <v>0.48537037037037034</v>
      </c>
      <c r="DW211" s="10" cm="1">
        <f t="array" aca="1" ref="DW211" ca="1">(1-$B$18)*SUMPRODUCT(OFFSET($BO$15,0,0,$B$14,1), 1*(_xlfn._xlws.FILTER(OFFSET($O$15,0,$DN211,$B$8,1),OFFSET($M$15,0,0,$B$8,1))=DW$13), 1*(_xlfn._xlws.FILTER(OFFSET($O$15,0,$DO211,$B$8,1),OFFSET($M$15,0,0,$B$8,1))=DW$14))   /   SUM(OFFSET($BO$15,0,0,$B$14,1)) + $B$18/($B$19*$B$19*($DN211&lt;&gt;$DO211) + $B$19*($DN211=$DO211))</f>
        <v>3.7037037037037035E-4</v>
      </c>
      <c r="DX211" s="10" cm="1">
        <f t="array" aca="1" ref="DX211" ca="1">(1-$B$18)*SUMPRODUCT(OFFSET($BO$15,0,0,$B$14,1), 1*(_xlfn._xlws.FILTER(OFFSET($O$15,0,$DN211,$B$8,1),OFFSET($M$15,0,0,$B$8,1))=DX$13), 1*(_xlfn._xlws.FILTER(OFFSET($O$15,0,$DO211,$B$8,1),OFFSET($M$15,0,0,$B$8,1))=DX$14))   /   SUM(OFFSET($BO$15,0,0,$B$14,1)) + $B$18/($B$19*$B$19*($DN211&lt;&gt;$DO211) + $B$19*($DN211=$DO211))</f>
        <v>3.7037037037037035E-4</v>
      </c>
      <c r="DY211" s="10" cm="1">
        <f t="array" aca="1" ref="DY211" ca="1">(1-$B$18)*SUMPRODUCT(OFFSET($BO$15,0,0,$B$14,1), 1*(_xlfn._xlws.FILTER(OFFSET($O$15,0,$DN211,$B$8,1),OFFSET($M$15,0,0,$B$8,1))=DY$13), 1*(_xlfn._xlws.FILTER(OFFSET($O$15,0,$DO211,$B$8,1),OFFSET($M$15,0,0,$B$8,1))=DY$14))   /   SUM(OFFSET($BO$15,0,0,$B$14,1)) + $B$18/($B$19*$B$19*($DN211&lt;&gt;$DO211) + $B$19*($DN211=$DO211))</f>
        <v>3.7037037037037035E-4</v>
      </c>
      <c r="DZ211" s="10" cm="1">
        <f t="array" aca="1" ref="DZ211" ca="1">(1-$B$18)*SUMPRODUCT(OFFSET($BO$15,0,0,$B$14,1), 1*(_xlfn._xlws.FILTER(OFFSET($O$15,0,$DN211,$B$8,1),OFFSET($M$15,0,0,$B$8,1))=DZ$13), 1*(_xlfn._xlws.FILTER(OFFSET($O$15,0,$DO211,$B$8,1),OFFSET($M$15,0,0,$B$8,1))=DZ$14))   /   SUM(OFFSET($BO$15,0,0,$B$14,1)) + $B$18/($B$19*$B$19*($DN211&lt;&gt;$DO211) + $B$19*($DN211=$DO211))</f>
        <v>3.7037037037037035E-4</v>
      </c>
      <c r="EA211" s="10" cm="1">
        <f t="array" aca="1" ref="EA211" ca="1">(1-$B$18)*SUMPRODUCT(OFFSET($BO$15,0,0,$B$14,1), 1*(_xlfn._xlws.FILTER(OFFSET($O$15,0,$DN211,$B$8,1),OFFSET($M$15,0,0,$B$8,1))=EA$13), 1*(_xlfn._xlws.FILTER(OFFSET($O$15,0,$DO211,$B$8,1),OFFSET($M$15,0,0,$B$8,1))=EA$14))   /   SUM(OFFSET($BO$15,0,0,$B$14,1)) + $B$18/($B$19*$B$19*($DN211&lt;&gt;$DO211) + $B$19*($DN211=$DO211))</f>
        <v>3.7037037037037035E-4</v>
      </c>
      <c r="EB211" s="10" cm="1">
        <f t="array" aca="1" ref="EB211" ca="1">(1-$B$18)*SUMPRODUCT(OFFSET($BO$15,0,0,$B$14,1), 1*(_xlfn._xlws.FILTER(OFFSET($O$15,0,$DN211,$B$8,1),OFFSET($M$15,0,0,$B$8,1))=EB$13), 1*(_xlfn._xlws.FILTER(OFFSET($O$15,0,$DO211,$B$8,1),OFFSET($M$15,0,0,$B$8,1))=EB$14))   /   SUM(OFFSET($BO$15,0,0,$B$14,1)) + $B$18/($B$19*$B$19*($DN211&lt;&gt;$DO211) + $B$19*($DN211=$DO211))</f>
        <v>3.7037037037037035E-4</v>
      </c>
      <c r="EC211" s="10" cm="1">
        <f t="array" aca="1" ref="EC211" ca="1">(1-$B$18)*SUMPRODUCT(OFFSET($BO$15,0,0,$B$14,1), 1*(_xlfn._xlws.FILTER(OFFSET($O$15,0,$DN211,$B$8,1),OFFSET($M$15,0,0,$B$8,1))=EC$13), 1*(_xlfn._xlws.FILTER(OFFSET($O$15,0,$DO211,$B$8,1),OFFSET($M$15,0,0,$B$8,1))=EC$14))   /   SUM(OFFSET($BO$15,0,0,$B$14,1)) + $B$18/($B$19*$B$19*($DN211&lt;&gt;$DO211) + $B$19*($DN211=$DO211))</f>
        <v>3.7037037037037035E-4</v>
      </c>
      <c r="ED211" s="10" cm="1">
        <f t="array" aca="1" ref="ED211" ca="1">(1-$B$18)*SUMPRODUCT(OFFSET($BO$15,0,0,$B$14,1), 1*(_xlfn._xlws.FILTER(OFFSET($O$15,0,$DN211,$B$8,1),OFFSET($M$15,0,0,$B$8,1))=ED$13), 1*(_xlfn._xlws.FILTER(OFFSET($O$15,0,$DO211,$B$8,1),OFFSET($M$15,0,0,$B$8,1))=ED$14))   /   SUM(OFFSET($BO$15,0,0,$B$14,1)) + $B$18/($B$19*$B$19*($DN211&lt;&gt;$DO211) + $B$19*($DN211=$DO211))</f>
        <v>3.7037037037037035E-4</v>
      </c>
      <c r="EE211" s="10" cm="1">
        <f t="array" aca="1" ref="EE211" ca="1">(1-$B$18)*SUMPRODUCT(OFFSET($BO$15,0,0,$B$14,1), 1*(_xlfn._xlws.FILTER(OFFSET($O$15,0,$DN211,$B$8,1),OFFSET($M$15,0,0,$B$8,1))=EE$13), 1*(_xlfn._xlws.FILTER(OFFSET($O$15,0,$DO211,$B$8,1),OFFSET($M$15,0,0,$B$8,1))=EE$14))   /   SUM(OFFSET($BO$15,0,0,$B$14,1)) + $B$18/($B$19*$B$19*($DN211&lt;&gt;$DO211) + $B$19*($DN211=$DO211))</f>
        <v>3.7037037037037035E-4</v>
      </c>
      <c r="EF211" s="10" cm="1">
        <f t="array" aca="1" ref="EF211" ca="1">(1-$B$18)*SUMPRODUCT(OFFSET($BO$15,0,0,$B$14,1), 1*(_xlfn._xlws.FILTER(OFFSET($O$15,0,$DN211,$B$8,1),OFFSET($M$15,0,0,$B$8,1))=EF$13), 1*(_xlfn._xlws.FILTER(OFFSET($O$15,0,$DO211,$B$8,1),OFFSET($M$15,0,0,$B$8,1))=EF$14))   /   SUM(OFFSET($BO$15,0,0,$B$14,1)) + $B$18/($B$19*$B$19*($DN211&lt;&gt;$DO211) + $B$19*($DN211=$DO211))</f>
        <v>3.7037037037037035E-4</v>
      </c>
      <c r="EG211" s="10" cm="1">
        <f t="array" aca="1" ref="EG211" ca="1">(1-$B$18)*SUMPRODUCT(OFFSET($BO$15,0,0,$B$14,1), 1*(_xlfn._xlws.FILTER(OFFSET($O$15,0,$DN211,$B$8,1),OFFSET($M$15,0,0,$B$8,1))=EG$13), 1*(_xlfn._xlws.FILTER(OFFSET($O$15,0,$DO211,$B$8,1),OFFSET($M$15,0,0,$B$8,1))=EG$14))   /   SUM(OFFSET($BO$15,0,0,$B$14,1)) + $B$18/($B$19*$B$19*($DN211&lt;&gt;$DO211) + $B$19*($DN211=$DO211))</f>
        <v>3.7037037037037035E-4</v>
      </c>
      <c r="EH211" s="10" cm="1">
        <f t="array" aca="1" ref="EH211" ca="1">(1-$B$18)*SUMPRODUCT(OFFSET($BO$15,0,0,$B$14,1), 1*(_xlfn._xlws.FILTER(OFFSET($O$15,0,$DN211,$B$8,1),OFFSET($M$15,0,0,$B$8,1))=EH$13), 1*(_xlfn._xlws.FILTER(OFFSET($O$15,0,$DO211,$B$8,1),OFFSET($M$15,0,0,$B$8,1))=EH$14))   /   SUM(OFFSET($BO$15,0,0,$B$14,1)) + $B$18/($B$19*$B$19*($DN211&lt;&gt;$DO211) + $B$19*($DN211=$DO211))</f>
        <v>3.7037037037037035E-4</v>
      </c>
      <c r="EI211" s="10" cm="1">
        <f t="array" aca="1" ref="EI211" ca="1">(1-$B$18)*SUMPRODUCT(OFFSET($BO$15,0,0,$B$14,1), 1*(_xlfn._xlws.FILTER(OFFSET($O$15,0,$DN211,$B$8,1),OFFSET($M$15,0,0,$B$8,1))=EI$13), 1*(_xlfn._xlws.FILTER(OFFSET($O$15,0,$DO211,$B$8,1),OFFSET($M$15,0,0,$B$8,1))=EI$14))   /   SUM(OFFSET($BO$15,0,0,$B$14,1)) + $B$18/($B$19*$B$19*($DN211&lt;&gt;$DO211) + $B$19*($DN211=$DO211))</f>
        <v>3.7037037037037035E-4</v>
      </c>
      <c r="EJ211" s="10" cm="1">
        <f t="array" aca="1" ref="EJ211" ca="1">(1-$B$18)*SUMPRODUCT(OFFSET($BO$15,0,0,$B$14,1), 1*(_xlfn._xlws.FILTER(OFFSET($O$15,0,$DN211,$B$8,1),OFFSET($M$15,0,0,$B$8,1))=EJ$13), 1*(_xlfn._xlws.FILTER(OFFSET($O$15,0,$DO211,$B$8,1),OFFSET($M$15,0,0,$B$8,1))=EJ$14))   /   SUM(OFFSET($BO$15,0,0,$B$14,1)) + $B$18/($B$19*$B$19*($DN211&lt;&gt;$DO211) + $B$19*($DN211=$DO211))</f>
        <v>3.7037037037037035E-4</v>
      </c>
      <c r="EK211" s="10" cm="1">
        <f t="array" aca="1" ref="EK211" ca="1">(1-$B$18)*SUMPRODUCT(OFFSET($BO$15,0,0,$B$14,1), 1*(_xlfn._xlws.FILTER(OFFSET($O$15,0,$DN211,$B$8,1),OFFSET($M$15,0,0,$B$8,1))=EK$13), 1*(_xlfn._xlws.FILTER(OFFSET($O$15,0,$DO211,$B$8,1),OFFSET($M$15,0,0,$B$8,1))=EK$14))   /   SUM(OFFSET($BO$15,0,0,$B$14,1)) + $B$18/($B$19*$B$19*($DN211&lt;&gt;$DO211) + $B$19*($DN211=$DO211))</f>
        <v>3.7037037037037035E-4</v>
      </c>
      <c r="EL211" s="10" cm="1">
        <f t="array" aca="1" ref="EL211" ca="1">(1-$B$18)*SUMPRODUCT(OFFSET($BO$15,0,0,$B$14,1), 1*(_xlfn._xlws.FILTER(OFFSET($O$15,0,$DN211,$B$8,1),OFFSET($M$15,0,0,$B$8,1))=EL$13), 1*(_xlfn._xlws.FILTER(OFFSET($O$15,0,$DO211,$B$8,1),OFFSET($M$15,0,0,$B$8,1))=EL$14))   /   SUM(OFFSET($BO$15,0,0,$B$14,1)) + $B$18/($B$19*$B$19*($DN211&lt;&gt;$DO211) + $B$19*($DN211=$DO211))</f>
        <v>0.24287037037037026</v>
      </c>
      <c r="EM211" s="10" cm="1">
        <f t="array" aca="1" ref="EM211" ca="1">(1-$B$18)*SUMPRODUCT(OFFSET($BO$15,0,0,$B$14,1), 1*(_xlfn._xlws.FILTER(OFFSET($O$15,0,$DN211,$B$8,1),OFFSET($M$15,0,0,$B$8,1))=EM$13), 1*(_xlfn._xlws.FILTER(OFFSET($O$15,0,$DO211,$B$8,1),OFFSET($M$15,0,0,$B$8,1))=EM$14))   /   SUM(OFFSET($BO$15,0,0,$B$14,1)) + $B$18/($B$19*$B$19*($DN211&lt;&gt;$DO211) + $B$19*($DN211=$DO211))</f>
        <v>3.7037037037037035E-4</v>
      </c>
      <c r="EN211" s="10" cm="1">
        <f t="array" aca="1" ref="EN211" ca="1">(1-$B$18)*SUMPRODUCT(OFFSET($BO$15,0,0,$B$14,1), 1*(_xlfn._xlws.FILTER(OFFSET($O$15,0,$DN211,$B$8,1),OFFSET($M$15,0,0,$B$8,1))=EN$13), 1*(_xlfn._xlws.FILTER(OFFSET($O$15,0,$DO211,$B$8,1),OFFSET($M$15,0,0,$B$8,1))=EN$14))   /   SUM(OFFSET($BO$15,0,0,$B$14,1)) + $B$18/($B$19*$B$19*($DN211&lt;&gt;$DO211) + $B$19*($DN211=$DO211))</f>
        <v>3.7037037037037035E-4</v>
      </c>
      <c r="EO211" s="10" cm="1">
        <f t="array" aca="1" ref="EO211" ca="1">(1-$B$18)*SUMPRODUCT(OFFSET($BO$15,0,0,$B$14,1), 1*(_xlfn._xlws.FILTER(OFFSET($O$15,0,$DN211,$B$8,1),OFFSET($M$15,0,0,$B$8,1))=EO$13), 1*(_xlfn._xlws.FILTER(OFFSET($O$15,0,$DO211,$B$8,1),OFFSET($M$15,0,0,$B$8,1))=EO$14))   /   SUM(OFFSET($BO$15,0,0,$B$14,1)) + $B$18/($B$19*$B$19*($DN211&lt;&gt;$DO211) + $B$19*($DN211=$DO211))</f>
        <v>3.7037037037037035E-4</v>
      </c>
      <c r="EP211" s="10" cm="1">
        <f t="array" aca="1" ref="EP211" ca="1">(1-$B$18)*SUMPRODUCT(OFFSET($BO$15,0,0,$B$14,1), 1*(_xlfn._xlws.FILTER(OFFSET($O$15,0,$DN211,$B$8,1),OFFSET($M$15,0,0,$B$8,1))=EP$13), 1*(_xlfn._xlws.FILTER(OFFSET($O$15,0,$DO211,$B$8,1),OFFSET($M$15,0,0,$B$8,1))=EP$14))   /   SUM(OFFSET($BO$15,0,0,$B$14,1)) + $B$18/($B$19*$B$19*($DN211&lt;&gt;$DO211) + $B$19*($DN211=$DO211))</f>
        <v>3.7037037037037035E-4</v>
      </c>
      <c r="EQ211" s="10" cm="1">
        <f t="array" aca="1" ref="EQ211" ca="1">(1-$B$18)*SUMPRODUCT(OFFSET($BO$15,0,0,$B$14,1), 1*(_xlfn._xlws.FILTER(OFFSET($O$15,0,$DN211,$B$8,1),OFFSET($M$15,0,0,$B$8,1))=EQ$13), 1*(_xlfn._xlws.FILTER(OFFSET($O$15,0,$DO211,$B$8,1),OFFSET($M$15,0,0,$B$8,1))=EQ$14))   /   SUM(OFFSET($BO$15,0,0,$B$14,1)) + $B$18/($B$19*$B$19*($DN211&lt;&gt;$DO211) + $B$19*($DN211=$DO211))</f>
        <v>3.7037037037037035E-4</v>
      </c>
      <c r="ER211" s="10" cm="1">
        <f t="array" aca="1" ref="ER211" ca="1">(1-$B$18)*SUMPRODUCT(OFFSET($BO$15,0,0,$B$14,1), 1*(_xlfn._xlws.FILTER(OFFSET($O$15,0,$DN211,$B$8,1),OFFSET($M$15,0,0,$B$8,1))=ER$13), 1*(_xlfn._xlws.FILTER(OFFSET($O$15,0,$DO211,$B$8,1),OFFSET($M$15,0,0,$B$8,1))=ER$14))   /   SUM(OFFSET($BO$15,0,0,$B$14,1)) + $B$18/($B$19*$B$19*($DN211&lt;&gt;$DO211) + $B$19*($DN211=$DO211))</f>
        <v>3.7037037037037035E-4</v>
      </c>
      <c r="ES211" s="10" cm="1">
        <f t="array" aca="1" ref="ES211" ca="1">(1-$B$18)*SUMPRODUCT(OFFSET($BO$15,0,0,$B$14,1), 1*(_xlfn._xlws.FILTER(OFFSET($O$15,0,$DN211,$B$8,1),OFFSET($M$15,0,0,$B$8,1))=ES$13), 1*(_xlfn._xlws.FILTER(OFFSET($O$15,0,$DO211,$B$8,1),OFFSET($M$15,0,0,$B$8,1))=ES$14))   /   SUM(OFFSET($BO$15,0,0,$B$14,1)) + $B$18/($B$19*$B$19*($DN211&lt;&gt;$DO211) + $B$19*($DN211=$DO211))</f>
        <v>3.7037037037037035E-4</v>
      </c>
      <c r="ET211" s="10" cm="1">
        <f t="array" aca="1" ref="ET211" ca="1">(1-$B$18)*SUMPRODUCT(OFFSET($BO$15,0,0,$B$14,1), 1*(_xlfn._xlws.FILTER(OFFSET($O$15,0,$DN211,$B$8,1),OFFSET($M$15,0,0,$B$8,1))=ET$13), 1*(_xlfn._xlws.FILTER(OFFSET($O$15,0,$DO211,$B$8,1),OFFSET($M$15,0,0,$B$8,1))=ET$14))   /   SUM(OFFSET($BO$15,0,0,$B$14,1)) + $B$18/($B$19*$B$19*($DN211&lt;&gt;$DO211) + $B$19*($DN211=$DO211))</f>
        <v>0.24287037037037026</v>
      </c>
      <c r="EU211" s="10" cm="1">
        <f t="array" aca="1" ref="EU211" ca="1">(1-$B$18)*SUMPRODUCT(OFFSET($BO$15,0,0,$B$14,1), 1*(_xlfn._xlws.FILTER(OFFSET($O$15,0,$DN211,$B$8,1),OFFSET($M$15,0,0,$B$8,1))=EU$13), 1*(_xlfn._xlws.FILTER(OFFSET($O$15,0,$DO211,$B$8,1),OFFSET($M$15,0,0,$B$8,1))=EU$14))   /   SUM(OFFSET($BO$15,0,0,$B$14,1)) + $B$18/($B$19*$B$19*($DN211&lt;&gt;$DO211) + $B$19*($DN211=$DO211))</f>
        <v>3.7037037037037035E-4</v>
      </c>
      <c r="EV211" s="10" cm="1">
        <f t="array" aca="1" ref="EV211" ca="1">(1-$B$18)*SUMPRODUCT(OFFSET($BO$15,0,0,$B$14,1), 1*(_xlfn._xlws.FILTER(OFFSET($O$15,0,$DN211,$B$8,1),OFFSET($M$15,0,0,$B$8,1))=EV$13), 1*(_xlfn._xlws.FILTER(OFFSET($O$15,0,$DO211,$B$8,1),OFFSET($M$15,0,0,$B$8,1))=EV$14))   /   SUM(OFFSET($BO$15,0,0,$B$14,1)) + $B$18/($B$19*$B$19*($DN211&lt;&gt;$DO211) + $B$19*($DN211=$DO211))</f>
        <v>3.7037037037037035E-4</v>
      </c>
      <c r="EW211" s="10" cm="1">
        <f t="array" aca="1" ref="EW211" ca="1">(1-$B$18)*SUMPRODUCT(OFFSET($BO$15,0,0,$B$14,1), 1*(_xlfn._xlws.FILTER(OFFSET($O$15,0,$DN211,$B$8,1),OFFSET($M$15,0,0,$B$8,1))=EW$13), 1*(_xlfn._xlws.FILTER(OFFSET($O$15,0,$DO211,$B$8,1),OFFSET($M$15,0,0,$B$8,1))=EW$14))   /   SUM(OFFSET($BO$15,0,0,$B$14,1)) + $B$18/($B$19*$B$19*($DN211&lt;&gt;$DO211) + $B$19*($DN211=$DO211))</f>
        <v>3.7037037037037035E-4</v>
      </c>
      <c r="EX211" s="10" cm="1">
        <f t="array" aca="1" ref="EX211" ca="1">(1-$B$18)*SUMPRODUCT(OFFSET($BO$15,0,0,$B$14,1), 1*(_xlfn._xlws.FILTER(OFFSET($O$15,0,$DN211,$B$8,1),OFFSET($M$15,0,0,$B$8,1))=EX$13), 1*(_xlfn._xlws.FILTER(OFFSET($O$15,0,$DO211,$B$8,1),OFFSET($M$15,0,0,$B$8,1))=EX$14))   /   SUM(OFFSET($BO$15,0,0,$B$14,1)) + $B$18/($B$19*$B$19*($DN211&lt;&gt;$DO211) + $B$19*($DN211=$DO211))</f>
        <v>3.7037037037037035E-4</v>
      </c>
      <c r="EY211" s="10" cm="1">
        <f t="array" aca="1" ref="EY211" ca="1">(1-$B$18)*SUMPRODUCT(OFFSET($BO$15,0,0,$B$14,1), 1*(_xlfn._xlws.FILTER(OFFSET($O$15,0,$DN211,$B$8,1),OFFSET($M$15,0,0,$B$8,1))=EY$13), 1*(_xlfn._xlws.FILTER(OFFSET($O$15,0,$DO211,$B$8,1),OFFSET($M$15,0,0,$B$8,1))=EY$14))   /   SUM(OFFSET($BO$15,0,0,$B$14,1)) + $B$18/($B$19*$B$19*($DN211&lt;&gt;$DO211) + $B$19*($DN211=$DO211))</f>
        <v>3.7037037037037035E-4</v>
      </c>
      <c r="EZ211" s="10" cm="1">
        <f t="array" aca="1" ref="EZ211" ca="1">(1-$B$18)*SUMPRODUCT(OFFSET($BO$15,0,0,$B$14,1), 1*(_xlfn._xlws.FILTER(OFFSET($O$15,0,$DN211,$B$8,1),OFFSET($M$15,0,0,$B$8,1))=EZ$13), 1*(_xlfn._xlws.FILTER(OFFSET($O$15,0,$DO211,$B$8,1),OFFSET($M$15,0,0,$B$8,1))=EZ$14))   /   SUM(OFFSET($BO$15,0,0,$B$14,1)) + $B$18/($B$19*$B$19*($DN211&lt;&gt;$DO211) + $B$19*($DN211=$DO211))</f>
        <v>3.7037037037037035E-4</v>
      </c>
      <c r="FA211" s="10" cm="1">
        <f t="array" aca="1" ref="FA211" ca="1">(1-$B$18)*SUMPRODUCT(OFFSET($BO$15,0,0,$B$14,1), 1*(_xlfn._xlws.FILTER(OFFSET($O$15,0,$DN211,$B$8,1),OFFSET($M$15,0,0,$B$8,1))=FA$13), 1*(_xlfn._xlws.FILTER(OFFSET($O$15,0,$DO211,$B$8,1),OFFSET($M$15,0,0,$B$8,1))=FA$14))   /   SUM(OFFSET($BO$15,0,0,$B$14,1)) + $B$18/($B$19*$B$19*($DN211&lt;&gt;$DO211) + $B$19*($DN211=$DO211))</f>
        <v>3.7037037037037035E-4</v>
      </c>
      <c r="FB211" s="10" cm="1">
        <f t="array" aca="1" ref="FB211" ca="1">(1-$B$18)*SUMPRODUCT(OFFSET($BO$15,0,0,$B$14,1), 1*(_xlfn._xlws.FILTER(OFFSET($O$15,0,$DN211,$B$8,1),OFFSET($M$15,0,0,$B$8,1))=FB$13), 1*(_xlfn._xlws.FILTER(OFFSET($O$15,0,$DO211,$B$8,1),OFFSET($M$15,0,0,$B$8,1))=FB$14))   /   SUM(OFFSET($BO$15,0,0,$B$14,1)) + $B$18/($B$19*$B$19*($DN211&lt;&gt;$DO211) + $B$19*($DN211=$DO211))</f>
        <v>3.7037037037037035E-4</v>
      </c>
      <c r="FC211" s="10" cm="1">
        <f t="array" aca="1" ref="FC211" ca="1">(1-$B$18)*SUMPRODUCT(OFFSET($BO$15,0,0,$B$14,1), 1*(_xlfn._xlws.FILTER(OFFSET($O$15,0,$DN211,$B$8,1),OFFSET($M$15,0,0,$B$8,1))=FC$13), 1*(_xlfn._xlws.FILTER(OFFSET($O$15,0,$DO211,$B$8,1),OFFSET($M$15,0,0,$B$8,1))=FC$14))   /   SUM(OFFSET($BO$15,0,0,$B$14,1)) + $B$18/($B$19*$B$19*($DN211&lt;&gt;$DO211) + $B$19*($DN211=$DO211))</f>
        <v>3.7037037037037035E-4</v>
      </c>
      <c r="FD211" s="10" cm="1">
        <f t="array" aca="1" ref="FD211" ca="1">(1-$B$18)*SUMPRODUCT(OFFSET($BO$15,0,0,$B$14,1), 1*(_xlfn._xlws.FILTER(OFFSET($O$15,0,$DN211,$B$8,1),OFFSET($M$15,0,0,$B$8,1))=FD$13), 1*(_xlfn._xlws.FILTER(OFFSET($O$15,0,$DO211,$B$8,1),OFFSET($M$15,0,0,$B$8,1))=FD$14))   /   SUM(OFFSET($BO$15,0,0,$B$14,1)) + $B$18/($B$19*$B$19*($DN211&lt;&gt;$DO211) + $B$19*($DN211=$DO211))</f>
        <v>3.7037037037037035E-4</v>
      </c>
      <c r="FE211" s="10" cm="1">
        <f t="array" aca="1" ref="FE211" ca="1">(1-$B$18)*SUMPRODUCT(OFFSET($BO$15,0,0,$B$14,1), 1*(_xlfn._xlws.FILTER(OFFSET($O$15,0,$DN211,$B$8,1),OFFSET($M$15,0,0,$B$8,1))=FE$13), 1*(_xlfn._xlws.FILTER(OFFSET($O$15,0,$DO211,$B$8,1),OFFSET($M$15,0,0,$B$8,1))=FE$14))   /   SUM(OFFSET($BO$15,0,0,$B$14,1)) + $B$18/($B$19*$B$19*($DN211&lt;&gt;$DO211) + $B$19*($DN211=$DO211))</f>
        <v>3.7037037037037035E-4</v>
      </c>
      <c r="FF211" s="10" cm="1">
        <f t="array" aca="1" ref="FF211" ca="1">(1-$B$18)*SUMPRODUCT(OFFSET($BO$15,0,0,$B$14,1), 1*(_xlfn._xlws.FILTER(OFFSET($O$15,0,$DN211,$B$8,1),OFFSET($M$15,0,0,$B$8,1))=FF$13), 1*(_xlfn._xlws.FILTER(OFFSET($O$15,0,$DO211,$B$8,1),OFFSET($M$15,0,0,$B$8,1))=FF$14))   /   SUM(OFFSET($BO$15,0,0,$B$14,1)) + $B$18/($B$19*$B$19*($DN211&lt;&gt;$DO211) + $B$19*($DN211=$DO211))</f>
        <v>3.7037037037037035E-4</v>
      </c>
      <c r="FG211" s="10" cm="1">
        <f t="array" aca="1" ref="FG211" ca="1">(1-$B$18)*SUMPRODUCT(OFFSET($BO$15,0,0,$B$14,1), 1*(_xlfn._xlws.FILTER(OFFSET($O$15,0,$DN211,$B$8,1),OFFSET($M$15,0,0,$B$8,1))=FG$13), 1*(_xlfn._xlws.FILTER(OFFSET($O$15,0,$DO211,$B$8,1),OFFSET($M$15,0,0,$B$8,1))=FG$14))   /   SUM(OFFSET($BO$15,0,0,$B$14,1)) + $B$18/($B$19*$B$19*($DN211&lt;&gt;$DO211) + $B$19*($DN211=$DO211))</f>
        <v>3.7037037037037035E-4</v>
      </c>
      <c r="FH211" s="10" cm="1">
        <f t="array" aca="1" ref="FH211" ca="1">(1-$B$18)*SUMPRODUCT(OFFSET($BO$15,0,0,$B$14,1), 1*(_xlfn._xlws.FILTER(OFFSET($O$15,0,$DN211,$B$8,1),OFFSET($M$15,0,0,$B$8,1))=FH$13), 1*(_xlfn._xlws.FILTER(OFFSET($O$15,0,$DO211,$B$8,1),OFFSET($M$15,0,0,$B$8,1))=FH$14))   /   SUM(OFFSET($BO$15,0,0,$B$14,1)) + $B$18/($B$19*$B$19*($DN211&lt;&gt;$DO211) + $B$19*($DN211=$DO211))</f>
        <v>3.7037037037037035E-4</v>
      </c>
      <c r="FI211" s="10" cm="1">
        <f t="array" aca="1" ref="FI211" ca="1">(1-$B$18)*SUMPRODUCT(OFFSET($BO$15,0,0,$B$14,1), 1*(_xlfn._xlws.FILTER(OFFSET($O$15,0,$DN211,$B$8,1),OFFSET($M$15,0,0,$B$8,1))=FI$13), 1*(_xlfn._xlws.FILTER(OFFSET($O$15,0,$DO211,$B$8,1),OFFSET($M$15,0,0,$B$8,1))=FI$14))   /   SUM(OFFSET($BO$15,0,0,$B$14,1)) + $B$18/($B$19*$B$19*($DN211&lt;&gt;$DO211) + $B$19*($DN211=$DO211))</f>
        <v>3.7037037037037035E-4</v>
      </c>
      <c r="FJ211" s="10" cm="1">
        <f t="array" aca="1" ref="FJ211" ca="1">(1-$B$18)*SUMPRODUCT(OFFSET($BO$15,0,0,$B$14,1), 1*(_xlfn._xlws.FILTER(OFFSET($O$15,0,$DN211,$B$8,1),OFFSET($M$15,0,0,$B$8,1))=FJ$13), 1*(_xlfn._xlws.FILTER(OFFSET($O$15,0,$DO211,$B$8,1),OFFSET($M$15,0,0,$B$8,1))=FJ$14))   /   SUM(OFFSET($BO$15,0,0,$B$14,1)) + $B$18/($B$19*$B$19*($DN211&lt;&gt;$DO211) + $B$19*($DN211=$DO211))</f>
        <v>3.7037037037037035E-4</v>
      </c>
      <c r="FK211" s="10" cm="1">
        <f t="array" aca="1" ref="FK211" ca="1">(1-$B$18)*SUMPRODUCT(OFFSET($BO$15,0,0,$B$14,1), 1*(_xlfn._xlws.FILTER(OFFSET($O$15,0,$DN211,$B$8,1),OFFSET($M$15,0,0,$B$8,1))=FK$13), 1*(_xlfn._xlws.FILTER(OFFSET($O$15,0,$DO211,$B$8,1),OFFSET($M$15,0,0,$B$8,1))=FK$14))   /   SUM(OFFSET($BO$15,0,0,$B$14,1)) + $B$18/($B$19*$B$19*($DN211&lt;&gt;$DO211) + $B$19*($DN211=$DO211))</f>
        <v>3.7037037037037035E-4</v>
      </c>
      <c r="FL211" s="10" cm="1">
        <f t="array" aca="1" ref="FL211" ca="1">(1-$B$18)*SUMPRODUCT(OFFSET($BO$15,0,0,$B$14,1), 1*(_xlfn._xlws.FILTER(OFFSET($O$15,0,$DN211,$B$8,1),OFFSET($M$15,0,0,$B$8,1))=FL$13), 1*(_xlfn._xlws.FILTER(OFFSET($O$15,0,$DO211,$B$8,1),OFFSET($M$15,0,0,$B$8,1))=FL$14))   /   SUM(OFFSET($BO$15,0,0,$B$14,1)) + $B$18/($B$19*$B$19*($DN211&lt;&gt;$DO211) + $B$19*($DN211=$DO211))</f>
        <v>3.7037037037037035E-4</v>
      </c>
      <c r="FM211" s="10" cm="1">
        <f t="array" aca="1" ref="FM211" ca="1">(1-$B$18)*SUMPRODUCT(OFFSET($BO$15,0,0,$B$14,1), 1*(_xlfn._xlws.FILTER(OFFSET($O$15,0,$DN211,$B$8,1),OFFSET($M$15,0,0,$B$8,1))=FM$13), 1*(_xlfn._xlws.FILTER(OFFSET($O$15,0,$DO211,$B$8,1),OFFSET($M$15,0,0,$B$8,1))=FM$14))   /   SUM(OFFSET($BO$15,0,0,$B$14,1)) + $B$18/($B$19*$B$19*($DN211&lt;&gt;$DO211) + $B$19*($DN211=$DO211))</f>
        <v>3.7037037037037035E-4</v>
      </c>
      <c r="FN211" s="10" cm="1">
        <f t="array" aca="1" ref="FN211" ca="1">(1-$B$18)*SUMPRODUCT(OFFSET($BO$15,0,0,$B$14,1), 1*(_xlfn._xlws.FILTER(OFFSET($O$15,0,$DN211,$B$8,1),OFFSET($M$15,0,0,$B$8,1))=FN$13), 1*(_xlfn._xlws.FILTER(OFFSET($O$15,0,$DO211,$B$8,1),OFFSET($M$15,0,0,$B$8,1))=FN$14))   /   SUM(OFFSET($BO$15,0,0,$B$14,1)) + $B$18/($B$19*$B$19*($DN211&lt;&gt;$DO211) + $B$19*($DN211=$DO211))</f>
        <v>3.7037037037037035E-4</v>
      </c>
      <c r="FO211" s="10" cm="1">
        <f t="array" aca="1" ref="FO211" ca="1">(1-$B$18)*SUMPRODUCT(OFFSET($BO$15,0,0,$B$14,1), 1*(_xlfn._xlws.FILTER(OFFSET($O$15,0,$DN211,$B$8,1),OFFSET($M$15,0,0,$B$8,1))=FO$13), 1*(_xlfn._xlws.FILTER(OFFSET($O$15,0,$DO211,$B$8,1),OFFSET($M$15,0,0,$B$8,1))=FO$14))   /   SUM(OFFSET($BO$15,0,0,$B$14,1)) + $B$18/($B$19*$B$19*($DN211&lt;&gt;$DO211) + $B$19*($DN211=$DO211))</f>
        <v>3.7037037037037035E-4</v>
      </c>
      <c r="FP211" s="10" cm="1">
        <f t="array" aca="1" ref="FP211" ca="1">(1-$B$18)*SUMPRODUCT(OFFSET($BO$15,0,0,$B$14,1), 1*(_xlfn._xlws.FILTER(OFFSET($O$15,0,$DN211,$B$8,1),OFFSET($M$15,0,0,$B$8,1))=FP$13), 1*(_xlfn._xlws.FILTER(OFFSET($O$15,0,$DO211,$B$8,1),OFFSET($M$15,0,0,$B$8,1))=FP$14))   /   SUM(OFFSET($BO$15,0,0,$B$14,1)) + $B$18/($B$19*$B$19*($DN211&lt;&gt;$DO211) + $B$19*($DN211=$DO211))</f>
        <v>3.7037037037037035E-4</v>
      </c>
      <c r="FQ211" s="10" cm="1">
        <f t="array" aca="1" ref="FQ211" ca="1">(1-$B$18)*SUMPRODUCT(OFFSET($BO$15,0,0,$B$14,1), 1*(_xlfn._xlws.FILTER(OFFSET($O$15,0,$DN211,$B$8,1),OFFSET($M$15,0,0,$B$8,1))=FQ$13), 1*(_xlfn._xlws.FILTER(OFFSET($O$15,0,$DO211,$B$8,1),OFFSET($M$15,0,0,$B$8,1))=FQ$14))   /   SUM(OFFSET($BO$15,0,0,$B$14,1)) + $B$18/($B$19*$B$19*($DN211&lt;&gt;$DO211) + $B$19*($DN211=$DO211))</f>
        <v>3.7037037037037035E-4</v>
      </c>
      <c r="FR211" s="10" cm="1">
        <f t="array" aca="1" ref="FR211" ca="1">(1-$B$18)*SUMPRODUCT(OFFSET($BO$15,0,0,$B$14,1), 1*(_xlfn._xlws.FILTER(OFFSET($O$15,0,$DN211,$B$8,1),OFFSET($M$15,0,0,$B$8,1))=FR$13), 1*(_xlfn._xlws.FILTER(OFFSET($O$15,0,$DO211,$B$8,1),OFFSET($M$15,0,0,$B$8,1))=FR$14))   /   SUM(OFFSET($BO$15,0,0,$B$14,1)) + $B$18/($B$19*$B$19*($DN211&lt;&gt;$DO211) + $B$19*($DN211=$DO211))</f>
        <v>3.7037037037037035E-4</v>
      </c>
      <c r="FS211" s="10" cm="1">
        <f t="array" aca="1" ref="FS211" ca="1">(1-$B$18)*SUMPRODUCT(OFFSET($BO$15,0,0,$B$14,1), 1*(_xlfn._xlws.FILTER(OFFSET($O$15,0,$DN211,$B$8,1),OFFSET($M$15,0,0,$B$8,1))=FS$13), 1*(_xlfn._xlws.FILTER(OFFSET($O$15,0,$DO211,$B$8,1),OFFSET($M$15,0,0,$B$8,1))=FS$14))   /   SUM(OFFSET($BO$15,0,0,$B$14,1)) + $B$18/($B$19*$B$19*($DN211&lt;&gt;$DO211) + $B$19*($DN211=$DO211))</f>
        <v>3.7037037037037035E-4</v>
      </c>
      <c r="FT211" s="10" cm="1">
        <f t="array" aca="1" ref="FT211" ca="1">(1-$B$18)*SUMPRODUCT(OFFSET($BO$15,0,0,$B$14,1), 1*(_xlfn._xlws.FILTER(OFFSET($O$15,0,$DN211,$B$8,1),OFFSET($M$15,0,0,$B$8,1))=FT$13), 1*(_xlfn._xlws.FILTER(OFFSET($O$15,0,$DO211,$B$8,1),OFFSET($M$15,0,0,$B$8,1))=FT$14))   /   SUM(OFFSET($BO$15,0,0,$B$14,1)) + $B$18/($B$19*$B$19*($DN211&lt;&gt;$DO211) + $B$19*($DN211=$DO211))</f>
        <v>3.7037037037037035E-4</v>
      </c>
      <c r="FU211" s="10" cm="1">
        <f t="array" aca="1" ref="FU211" ca="1">(1-$B$18)*SUMPRODUCT(OFFSET($BO$15,0,0,$B$14,1), 1*(_xlfn._xlws.FILTER(OFFSET($O$15,0,$DN211,$B$8,1),OFFSET($M$15,0,0,$B$8,1))=FU$13), 1*(_xlfn._xlws.FILTER(OFFSET($O$15,0,$DO211,$B$8,1),OFFSET($M$15,0,0,$B$8,1))=FU$14))   /   SUM(OFFSET($BO$15,0,0,$B$14,1)) + $B$18/($B$19*$B$19*($DN211&lt;&gt;$DO211) + $B$19*($DN211=$DO211))</f>
        <v>3.7037037037037035E-4</v>
      </c>
      <c r="FV211" s="10" cm="1">
        <f t="array" aca="1" ref="FV211" ca="1">(1-$B$18)*SUMPRODUCT(OFFSET($BO$15,0,0,$B$14,1), 1*(_xlfn._xlws.FILTER(OFFSET($O$15,0,$DN211,$B$8,1),OFFSET($M$15,0,0,$B$8,1))=FV$13), 1*(_xlfn._xlws.FILTER(OFFSET($O$15,0,$DO211,$B$8,1),OFFSET($M$15,0,0,$B$8,1))=FV$14))   /   SUM(OFFSET($BO$15,0,0,$B$14,1)) + $B$18/($B$19*$B$19*($DN211&lt;&gt;$DO211) + $B$19*($DN211=$DO211))</f>
        <v>3.7037037037037035E-4</v>
      </c>
      <c r="FW211" s="10" cm="1">
        <f t="array" aca="1" ref="FW211" ca="1">(1-$B$18)*SUMPRODUCT(OFFSET($BO$15,0,0,$B$14,1), 1*(_xlfn._xlws.FILTER(OFFSET($O$15,0,$DN211,$B$8,1),OFFSET($M$15,0,0,$B$8,1))=FW$13), 1*(_xlfn._xlws.FILTER(OFFSET($O$15,0,$DO211,$B$8,1),OFFSET($M$15,0,0,$B$8,1))=FW$14))   /   SUM(OFFSET($BO$15,0,0,$B$14,1)) + $B$18/($B$19*$B$19*($DN211&lt;&gt;$DO211) + $B$19*($DN211=$DO211))</f>
        <v>3.7037037037037035E-4</v>
      </c>
      <c r="FX211" s="10" cm="1">
        <f t="array" aca="1" ref="FX211" ca="1">(1-$B$18)*SUMPRODUCT(OFFSET($BO$15,0,0,$B$14,1), 1*(_xlfn._xlws.FILTER(OFFSET($O$15,0,$DN211,$B$8,1),OFFSET($M$15,0,0,$B$8,1))=FX$13), 1*(_xlfn._xlws.FILTER(OFFSET($O$15,0,$DO211,$B$8,1),OFFSET($M$15,0,0,$B$8,1))=FX$14))   /   SUM(OFFSET($BO$15,0,0,$B$14,1)) + $B$18/($B$19*$B$19*($DN211&lt;&gt;$DO211) + $B$19*($DN211=$DO211))</f>
        <v>3.7037037037037035E-4</v>
      </c>
      <c r="FY211" s="10" cm="1">
        <f t="array" aca="1" ref="FY211" ca="1">(1-$B$18)*SUMPRODUCT(OFFSET($BO$15,0,0,$B$14,1), 1*(_xlfn._xlws.FILTER(OFFSET($O$15,0,$DN211,$B$8,1),OFFSET($M$15,0,0,$B$8,1))=FY$13), 1*(_xlfn._xlws.FILTER(OFFSET($O$15,0,$DO211,$B$8,1),OFFSET($M$15,0,0,$B$8,1))=FY$14))   /   SUM(OFFSET($BO$15,0,0,$B$14,1)) + $B$18/($B$19*$B$19*($DN211&lt;&gt;$DO211) + $B$19*($DN211=$DO211))</f>
        <v>3.7037037037037035E-4</v>
      </c>
      <c r="FZ211" s="10" cm="1">
        <f t="array" aca="1" ref="FZ211" ca="1">(1-$B$18)*SUMPRODUCT(OFFSET($BO$15,0,0,$B$14,1), 1*(_xlfn._xlws.FILTER(OFFSET($O$15,0,$DN211,$B$8,1),OFFSET($M$15,0,0,$B$8,1))=FZ$13), 1*(_xlfn._xlws.FILTER(OFFSET($O$15,0,$DO211,$B$8,1),OFFSET($M$15,0,0,$B$8,1))=FZ$14))   /   SUM(OFFSET($BO$15,0,0,$B$14,1)) + $B$18/($B$19*$B$19*($DN211&lt;&gt;$DO211) + $B$19*($DN211=$DO211))</f>
        <v>3.7037037037037035E-4</v>
      </c>
      <c r="GA211" s="10" cm="1">
        <f t="array" aca="1" ref="GA211" ca="1">(1-$B$18)*SUMPRODUCT(OFFSET($BO$15,0,0,$B$14,1), 1*(_xlfn._xlws.FILTER(OFFSET($O$15,0,$DN211,$B$8,1),OFFSET($M$15,0,0,$B$8,1))=GA$13), 1*(_xlfn._xlws.FILTER(OFFSET($O$15,0,$DO211,$B$8,1),OFFSET($M$15,0,0,$B$8,1))=GA$14))   /   SUM(OFFSET($BO$15,0,0,$B$14,1)) + $B$18/($B$19*$B$19*($DN211&lt;&gt;$DO211) + $B$19*($DN211=$DO211))</f>
        <v>3.7037037037037035E-4</v>
      </c>
    </row>
    <row r="212" spans="118:183" x14ac:dyDescent="0.2">
      <c r="DN212" cm="1">
        <f t="array" aca="1" ref="DN212" ca="1">INDEX(_xlfn.ANCHORARRAY($CP$15), 1 + INT((ROWS($DO$15:$DO212) - 1) / ROWS(_xlfn.ANCHORARRAY($CP$15))))</f>
        <v>11</v>
      </c>
      <c r="DO212" cm="1">
        <f t="array" aca="1" ref="DO212" ca="1">INDEX(_xlfn.ANCHORARRAY($CP$15),1+MOD(ROWS($DO$15:$DO212)-1,ROWS(_xlfn.ANCHORARRAY($CP$15))))</f>
        <v>7</v>
      </c>
      <c r="DP212" s="10" cm="1">
        <f t="array" aca="1" ref="DP212" ca="1">(1-$B$18)*SUMPRODUCT(OFFSET($BO$15,0,0,$B$14,1), 1*(_xlfn._xlws.FILTER(OFFSET($O$15,0,$DN212,$B$8,1),OFFSET($M$15,0,0,$B$8,1))=DP$13), 1*(_xlfn._xlws.FILTER(OFFSET($O$15,0,$DO212,$B$8,1),OFFSET($M$15,0,0,$B$8,1))=DP$14))   /   SUM(OFFSET($BO$15,0,0,$B$14,1)) + $B$18/($B$19*$B$19*($DN212&lt;&gt;$DO212) + $B$19*($DN212=$DO212))</f>
        <v>3.7037037037037035E-4</v>
      </c>
      <c r="DQ212" s="10" cm="1">
        <f t="array" aca="1" ref="DQ212" ca="1">(1-$B$18)*SUMPRODUCT(OFFSET($BO$15,0,0,$B$14,1), 1*(_xlfn._xlws.FILTER(OFFSET($O$15,0,$DN212,$B$8,1),OFFSET($M$15,0,0,$B$8,1))=DQ$13), 1*(_xlfn._xlws.FILTER(OFFSET($O$15,0,$DO212,$B$8,1),OFFSET($M$15,0,0,$B$8,1))=DQ$14))   /   SUM(OFFSET($BO$15,0,0,$B$14,1)) + $B$18/($B$19*$B$19*($DN212&lt;&gt;$DO212) + $B$19*($DN212=$DO212))</f>
        <v>3.7037037037037035E-4</v>
      </c>
      <c r="DR212" s="10" cm="1">
        <f t="array" aca="1" ref="DR212" ca="1">(1-$B$18)*SUMPRODUCT(OFFSET($BO$15,0,0,$B$14,1), 1*(_xlfn._xlws.FILTER(OFFSET($O$15,0,$DN212,$B$8,1),OFFSET($M$15,0,0,$B$8,1))=DR$13), 1*(_xlfn._xlws.FILTER(OFFSET($O$15,0,$DO212,$B$8,1),OFFSET($M$15,0,0,$B$8,1))=DR$14))   /   SUM(OFFSET($BO$15,0,0,$B$14,1)) + $B$18/($B$19*$B$19*($DN212&lt;&gt;$DO212) + $B$19*($DN212=$DO212))</f>
        <v>3.7037037037037035E-4</v>
      </c>
      <c r="DS212" s="10" cm="1">
        <f t="array" aca="1" ref="DS212" ca="1">(1-$B$18)*SUMPRODUCT(OFFSET($BO$15,0,0,$B$14,1), 1*(_xlfn._xlws.FILTER(OFFSET($O$15,0,$DN212,$B$8,1),OFFSET($M$15,0,0,$B$8,1))=DS$13), 1*(_xlfn._xlws.FILTER(OFFSET($O$15,0,$DO212,$B$8,1),OFFSET($M$15,0,0,$B$8,1))=DS$14))   /   SUM(OFFSET($BO$15,0,0,$B$14,1)) + $B$18/($B$19*$B$19*($DN212&lt;&gt;$DO212) + $B$19*($DN212=$DO212))</f>
        <v>3.7037037037037035E-4</v>
      </c>
      <c r="DT212" s="10" cm="1">
        <f t="array" aca="1" ref="DT212" ca="1">(1-$B$18)*SUMPRODUCT(OFFSET($BO$15,0,0,$B$14,1), 1*(_xlfn._xlws.FILTER(OFFSET($O$15,0,$DN212,$B$8,1),OFFSET($M$15,0,0,$B$8,1))=DT$13), 1*(_xlfn._xlws.FILTER(OFFSET($O$15,0,$DO212,$B$8,1),OFFSET($M$15,0,0,$B$8,1))=DT$14))   /   SUM(OFFSET($BO$15,0,0,$B$14,1)) + $B$18/($B$19*$B$19*($DN212&lt;&gt;$DO212) + $B$19*($DN212=$DO212))</f>
        <v>3.7037037037037035E-4</v>
      </c>
      <c r="DU212" s="10" cm="1">
        <f t="array" aca="1" ref="DU212" ca="1">(1-$B$18)*SUMPRODUCT(OFFSET($BO$15,0,0,$B$14,1), 1*(_xlfn._xlws.FILTER(OFFSET($O$15,0,$DN212,$B$8,1),OFFSET($M$15,0,0,$B$8,1))=DU$13), 1*(_xlfn._xlws.FILTER(OFFSET($O$15,0,$DO212,$B$8,1),OFFSET($M$15,0,0,$B$8,1))=DU$14))   /   SUM(OFFSET($BO$15,0,0,$B$14,1)) + $B$18/($B$19*$B$19*($DN212&lt;&gt;$DO212) + $B$19*($DN212=$DO212))</f>
        <v>3.7037037037037035E-4</v>
      </c>
      <c r="DV212" s="10" cm="1">
        <f t="array" aca="1" ref="DV212" ca="1">(1-$B$18)*SUMPRODUCT(OFFSET($BO$15,0,0,$B$14,1), 1*(_xlfn._xlws.FILTER(OFFSET($O$15,0,$DN212,$B$8,1),OFFSET($M$15,0,0,$B$8,1))=DV$13), 1*(_xlfn._xlws.FILTER(OFFSET($O$15,0,$DO212,$B$8,1),OFFSET($M$15,0,0,$B$8,1))=DV$14))   /   SUM(OFFSET($BO$15,0,0,$B$14,1)) + $B$18/($B$19*$B$19*($DN212&lt;&gt;$DO212) + $B$19*($DN212=$DO212))</f>
        <v>0.48537037037037034</v>
      </c>
      <c r="DW212" s="10" cm="1">
        <f t="array" aca="1" ref="DW212" ca="1">(1-$B$18)*SUMPRODUCT(OFFSET($BO$15,0,0,$B$14,1), 1*(_xlfn._xlws.FILTER(OFFSET($O$15,0,$DN212,$B$8,1),OFFSET($M$15,0,0,$B$8,1))=DW$13), 1*(_xlfn._xlws.FILTER(OFFSET($O$15,0,$DO212,$B$8,1),OFFSET($M$15,0,0,$B$8,1))=DW$14))   /   SUM(OFFSET($BO$15,0,0,$B$14,1)) + $B$18/($B$19*$B$19*($DN212&lt;&gt;$DO212) + $B$19*($DN212=$DO212))</f>
        <v>3.7037037037037035E-4</v>
      </c>
      <c r="DX212" s="10" cm="1">
        <f t="array" aca="1" ref="DX212" ca="1">(1-$B$18)*SUMPRODUCT(OFFSET($BO$15,0,0,$B$14,1), 1*(_xlfn._xlws.FILTER(OFFSET($O$15,0,$DN212,$B$8,1),OFFSET($M$15,0,0,$B$8,1))=DX$13), 1*(_xlfn._xlws.FILTER(OFFSET($O$15,0,$DO212,$B$8,1),OFFSET($M$15,0,0,$B$8,1))=DX$14))   /   SUM(OFFSET($BO$15,0,0,$B$14,1)) + $B$18/($B$19*$B$19*($DN212&lt;&gt;$DO212) + $B$19*($DN212=$DO212))</f>
        <v>3.7037037037037035E-4</v>
      </c>
      <c r="DY212" s="10" cm="1">
        <f t="array" aca="1" ref="DY212" ca="1">(1-$B$18)*SUMPRODUCT(OFFSET($BO$15,0,0,$B$14,1), 1*(_xlfn._xlws.FILTER(OFFSET($O$15,0,$DN212,$B$8,1),OFFSET($M$15,0,0,$B$8,1))=DY$13), 1*(_xlfn._xlws.FILTER(OFFSET($O$15,0,$DO212,$B$8,1),OFFSET($M$15,0,0,$B$8,1))=DY$14))   /   SUM(OFFSET($BO$15,0,0,$B$14,1)) + $B$18/($B$19*$B$19*($DN212&lt;&gt;$DO212) + $B$19*($DN212=$DO212))</f>
        <v>3.7037037037037035E-4</v>
      </c>
      <c r="DZ212" s="10" cm="1">
        <f t="array" aca="1" ref="DZ212" ca="1">(1-$B$18)*SUMPRODUCT(OFFSET($BO$15,0,0,$B$14,1), 1*(_xlfn._xlws.FILTER(OFFSET($O$15,0,$DN212,$B$8,1),OFFSET($M$15,0,0,$B$8,1))=DZ$13), 1*(_xlfn._xlws.FILTER(OFFSET($O$15,0,$DO212,$B$8,1),OFFSET($M$15,0,0,$B$8,1))=DZ$14))   /   SUM(OFFSET($BO$15,0,0,$B$14,1)) + $B$18/($B$19*$B$19*($DN212&lt;&gt;$DO212) + $B$19*($DN212=$DO212))</f>
        <v>3.7037037037037035E-4</v>
      </c>
      <c r="EA212" s="10" cm="1">
        <f t="array" aca="1" ref="EA212" ca="1">(1-$B$18)*SUMPRODUCT(OFFSET($BO$15,0,0,$B$14,1), 1*(_xlfn._xlws.FILTER(OFFSET($O$15,0,$DN212,$B$8,1),OFFSET($M$15,0,0,$B$8,1))=EA$13), 1*(_xlfn._xlws.FILTER(OFFSET($O$15,0,$DO212,$B$8,1),OFFSET($M$15,0,0,$B$8,1))=EA$14))   /   SUM(OFFSET($BO$15,0,0,$B$14,1)) + $B$18/($B$19*$B$19*($DN212&lt;&gt;$DO212) + $B$19*($DN212=$DO212))</f>
        <v>3.7037037037037035E-4</v>
      </c>
      <c r="EB212" s="10" cm="1">
        <f t="array" aca="1" ref="EB212" ca="1">(1-$B$18)*SUMPRODUCT(OFFSET($BO$15,0,0,$B$14,1), 1*(_xlfn._xlws.FILTER(OFFSET($O$15,0,$DN212,$B$8,1),OFFSET($M$15,0,0,$B$8,1))=EB$13), 1*(_xlfn._xlws.FILTER(OFFSET($O$15,0,$DO212,$B$8,1),OFFSET($M$15,0,0,$B$8,1))=EB$14))   /   SUM(OFFSET($BO$15,0,0,$B$14,1)) + $B$18/($B$19*$B$19*($DN212&lt;&gt;$DO212) + $B$19*($DN212=$DO212))</f>
        <v>3.7037037037037035E-4</v>
      </c>
      <c r="EC212" s="10" cm="1">
        <f t="array" aca="1" ref="EC212" ca="1">(1-$B$18)*SUMPRODUCT(OFFSET($BO$15,0,0,$B$14,1), 1*(_xlfn._xlws.FILTER(OFFSET($O$15,0,$DN212,$B$8,1),OFFSET($M$15,0,0,$B$8,1))=EC$13), 1*(_xlfn._xlws.FILTER(OFFSET($O$15,0,$DO212,$B$8,1),OFFSET($M$15,0,0,$B$8,1))=EC$14))   /   SUM(OFFSET($BO$15,0,0,$B$14,1)) + $B$18/($B$19*$B$19*($DN212&lt;&gt;$DO212) + $B$19*($DN212=$DO212))</f>
        <v>3.7037037037037035E-4</v>
      </c>
      <c r="ED212" s="10" cm="1">
        <f t="array" aca="1" ref="ED212" ca="1">(1-$B$18)*SUMPRODUCT(OFFSET($BO$15,0,0,$B$14,1), 1*(_xlfn._xlws.FILTER(OFFSET($O$15,0,$DN212,$B$8,1),OFFSET($M$15,0,0,$B$8,1))=ED$13), 1*(_xlfn._xlws.FILTER(OFFSET($O$15,0,$DO212,$B$8,1),OFFSET($M$15,0,0,$B$8,1))=ED$14))   /   SUM(OFFSET($BO$15,0,0,$B$14,1)) + $B$18/($B$19*$B$19*($DN212&lt;&gt;$DO212) + $B$19*($DN212=$DO212))</f>
        <v>3.7037037037037035E-4</v>
      </c>
      <c r="EE212" s="10" cm="1">
        <f t="array" aca="1" ref="EE212" ca="1">(1-$B$18)*SUMPRODUCT(OFFSET($BO$15,0,0,$B$14,1), 1*(_xlfn._xlws.FILTER(OFFSET($O$15,0,$DN212,$B$8,1),OFFSET($M$15,0,0,$B$8,1))=EE$13), 1*(_xlfn._xlws.FILTER(OFFSET($O$15,0,$DO212,$B$8,1),OFFSET($M$15,0,0,$B$8,1))=EE$14))   /   SUM(OFFSET($BO$15,0,0,$B$14,1)) + $B$18/($B$19*$B$19*($DN212&lt;&gt;$DO212) + $B$19*($DN212=$DO212))</f>
        <v>3.7037037037037035E-4</v>
      </c>
      <c r="EF212" s="10" cm="1">
        <f t="array" aca="1" ref="EF212" ca="1">(1-$B$18)*SUMPRODUCT(OFFSET($BO$15,0,0,$B$14,1), 1*(_xlfn._xlws.FILTER(OFFSET($O$15,0,$DN212,$B$8,1),OFFSET($M$15,0,0,$B$8,1))=EF$13), 1*(_xlfn._xlws.FILTER(OFFSET($O$15,0,$DO212,$B$8,1),OFFSET($M$15,0,0,$B$8,1))=EF$14))   /   SUM(OFFSET($BO$15,0,0,$B$14,1)) + $B$18/($B$19*$B$19*($DN212&lt;&gt;$DO212) + $B$19*($DN212=$DO212))</f>
        <v>3.7037037037037035E-4</v>
      </c>
      <c r="EG212" s="10" cm="1">
        <f t="array" aca="1" ref="EG212" ca="1">(1-$B$18)*SUMPRODUCT(OFFSET($BO$15,0,0,$B$14,1), 1*(_xlfn._xlws.FILTER(OFFSET($O$15,0,$DN212,$B$8,1),OFFSET($M$15,0,0,$B$8,1))=EG$13), 1*(_xlfn._xlws.FILTER(OFFSET($O$15,0,$DO212,$B$8,1),OFFSET($M$15,0,0,$B$8,1))=EG$14))   /   SUM(OFFSET($BO$15,0,0,$B$14,1)) + $B$18/($B$19*$B$19*($DN212&lt;&gt;$DO212) + $B$19*($DN212=$DO212))</f>
        <v>3.7037037037037035E-4</v>
      </c>
      <c r="EH212" s="10" cm="1">
        <f t="array" aca="1" ref="EH212" ca="1">(1-$B$18)*SUMPRODUCT(OFFSET($BO$15,0,0,$B$14,1), 1*(_xlfn._xlws.FILTER(OFFSET($O$15,0,$DN212,$B$8,1),OFFSET($M$15,0,0,$B$8,1))=EH$13), 1*(_xlfn._xlws.FILTER(OFFSET($O$15,0,$DO212,$B$8,1),OFFSET($M$15,0,0,$B$8,1))=EH$14))   /   SUM(OFFSET($BO$15,0,0,$B$14,1)) + $B$18/($B$19*$B$19*($DN212&lt;&gt;$DO212) + $B$19*($DN212=$DO212))</f>
        <v>3.7037037037037035E-4</v>
      </c>
      <c r="EI212" s="10" cm="1">
        <f t="array" aca="1" ref="EI212" ca="1">(1-$B$18)*SUMPRODUCT(OFFSET($BO$15,0,0,$B$14,1), 1*(_xlfn._xlws.FILTER(OFFSET($O$15,0,$DN212,$B$8,1),OFFSET($M$15,0,0,$B$8,1))=EI$13), 1*(_xlfn._xlws.FILTER(OFFSET($O$15,0,$DO212,$B$8,1),OFFSET($M$15,0,0,$B$8,1))=EI$14))   /   SUM(OFFSET($BO$15,0,0,$B$14,1)) + $B$18/($B$19*$B$19*($DN212&lt;&gt;$DO212) + $B$19*($DN212=$DO212))</f>
        <v>3.7037037037037035E-4</v>
      </c>
      <c r="EJ212" s="10" cm="1">
        <f t="array" aca="1" ref="EJ212" ca="1">(1-$B$18)*SUMPRODUCT(OFFSET($BO$15,0,0,$B$14,1), 1*(_xlfn._xlws.FILTER(OFFSET($O$15,0,$DN212,$B$8,1),OFFSET($M$15,0,0,$B$8,1))=EJ$13), 1*(_xlfn._xlws.FILTER(OFFSET($O$15,0,$DO212,$B$8,1),OFFSET($M$15,0,0,$B$8,1))=EJ$14))   /   SUM(OFFSET($BO$15,0,0,$B$14,1)) + $B$18/($B$19*$B$19*($DN212&lt;&gt;$DO212) + $B$19*($DN212=$DO212))</f>
        <v>3.7037037037037035E-4</v>
      </c>
      <c r="EK212" s="10" cm="1">
        <f t="array" aca="1" ref="EK212" ca="1">(1-$B$18)*SUMPRODUCT(OFFSET($BO$15,0,0,$B$14,1), 1*(_xlfn._xlws.FILTER(OFFSET($O$15,0,$DN212,$B$8,1),OFFSET($M$15,0,0,$B$8,1))=EK$13), 1*(_xlfn._xlws.FILTER(OFFSET($O$15,0,$DO212,$B$8,1),OFFSET($M$15,0,0,$B$8,1))=EK$14))   /   SUM(OFFSET($BO$15,0,0,$B$14,1)) + $B$18/($B$19*$B$19*($DN212&lt;&gt;$DO212) + $B$19*($DN212=$DO212))</f>
        <v>3.7037037037037035E-4</v>
      </c>
      <c r="EL212" s="10" cm="1">
        <f t="array" aca="1" ref="EL212" ca="1">(1-$B$18)*SUMPRODUCT(OFFSET($BO$15,0,0,$B$14,1), 1*(_xlfn._xlws.FILTER(OFFSET($O$15,0,$DN212,$B$8,1),OFFSET($M$15,0,0,$B$8,1))=EL$13), 1*(_xlfn._xlws.FILTER(OFFSET($O$15,0,$DO212,$B$8,1),OFFSET($M$15,0,0,$B$8,1))=EL$14))   /   SUM(OFFSET($BO$15,0,0,$B$14,1)) + $B$18/($B$19*$B$19*($DN212&lt;&gt;$DO212) + $B$19*($DN212=$DO212))</f>
        <v>0.24287037037037026</v>
      </c>
      <c r="EM212" s="10" cm="1">
        <f t="array" aca="1" ref="EM212" ca="1">(1-$B$18)*SUMPRODUCT(OFFSET($BO$15,0,0,$B$14,1), 1*(_xlfn._xlws.FILTER(OFFSET($O$15,0,$DN212,$B$8,1),OFFSET($M$15,0,0,$B$8,1))=EM$13), 1*(_xlfn._xlws.FILTER(OFFSET($O$15,0,$DO212,$B$8,1),OFFSET($M$15,0,0,$B$8,1))=EM$14))   /   SUM(OFFSET($BO$15,0,0,$B$14,1)) + $B$18/($B$19*$B$19*($DN212&lt;&gt;$DO212) + $B$19*($DN212=$DO212))</f>
        <v>3.7037037037037035E-4</v>
      </c>
      <c r="EN212" s="10" cm="1">
        <f t="array" aca="1" ref="EN212" ca="1">(1-$B$18)*SUMPRODUCT(OFFSET($BO$15,0,0,$B$14,1), 1*(_xlfn._xlws.FILTER(OFFSET($O$15,0,$DN212,$B$8,1),OFFSET($M$15,0,0,$B$8,1))=EN$13), 1*(_xlfn._xlws.FILTER(OFFSET($O$15,0,$DO212,$B$8,1),OFFSET($M$15,0,0,$B$8,1))=EN$14))   /   SUM(OFFSET($BO$15,0,0,$B$14,1)) + $B$18/($B$19*$B$19*($DN212&lt;&gt;$DO212) + $B$19*($DN212=$DO212))</f>
        <v>3.7037037037037035E-4</v>
      </c>
      <c r="EO212" s="10" cm="1">
        <f t="array" aca="1" ref="EO212" ca="1">(1-$B$18)*SUMPRODUCT(OFFSET($BO$15,0,0,$B$14,1), 1*(_xlfn._xlws.FILTER(OFFSET($O$15,0,$DN212,$B$8,1),OFFSET($M$15,0,0,$B$8,1))=EO$13), 1*(_xlfn._xlws.FILTER(OFFSET($O$15,0,$DO212,$B$8,1),OFFSET($M$15,0,0,$B$8,1))=EO$14))   /   SUM(OFFSET($BO$15,0,0,$B$14,1)) + $B$18/($B$19*$B$19*($DN212&lt;&gt;$DO212) + $B$19*($DN212=$DO212))</f>
        <v>3.7037037037037035E-4</v>
      </c>
      <c r="EP212" s="10" cm="1">
        <f t="array" aca="1" ref="EP212" ca="1">(1-$B$18)*SUMPRODUCT(OFFSET($BO$15,0,0,$B$14,1), 1*(_xlfn._xlws.FILTER(OFFSET($O$15,0,$DN212,$B$8,1),OFFSET($M$15,0,0,$B$8,1))=EP$13), 1*(_xlfn._xlws.FILTER(OFFSET($O$15,0,$DO212,$B$8,1),OFFSET($M$15,0,0,$B$8,1))=EP$14))   /   SUM(OFFSET($BO$15,0,0,$B$14,1)) + $B$18/($B$19*$B$19*($DN212&lt;&gt;$DO212) + $B$19*($DN212=$DO212))</f>
        <v>3.7037037037037035E-4</v>
      </c>
      <c r="EQ212" s="10" cm="1">
        <f t="array" aca="1" ref="EQ212" ca="1">(1-$B$18)*SUMPRODUCT(OFFSET($BO$15,0,0,$B$14,1), 1*(_xlfn._xlws.FILTER(OFFSET($O$15,0,$DN212,$B$8,1),OFFSET($M$15,0,0,$B$8,1))=EQ$13), 1*(_xlfn._xlws.FILTER(OFFSET($O$15,0,$DO212,$B$8,1),OFFSET($M$15,0,0,$B$8,1))=EQ$14))   /   SUM(OFFSET($BO$15,0,0,$B$14,1)) + $B$18/($B$19*$B$19*($DN212&lt;&gt;$DO212) + $B$19*($DN212=$DO212))</f>
        <v>3.7037037037037035E-4</v>
      </c>
      <c r="ER212" s="10" cm="1">
        <f t="array" aca="1" ref="ER212" ca="1">(1-$B$18)*SUMPRODUCT(OFFSET($BO$15,0,0,$B$14,1), 1*(_xlfn._xlws.FILTER(OFFSET($O$15,0,$DN212,$B$8,1),OFFSET($M$15,0,0,$B$8,1))=ER$13), 1*(_xlfn._xlws.FILTER(OFFSET($O$15,0,$DO212,$B$8,1),OFFSET($M$15,0,0,$B$8,1))=ER$14))   /   SUM(OFFSET($BO$15,0,0,$B$14,1)) + $B$18/($B$19*$B$19*($DN212&lt;&gt;$DO212) + $B$19*($DN212=$DO212))</f>
        <v>3.7037037037037035E-4</v>
      </c>
      <c r="ES212" s="10" cm="1">
        <f t="array" aca="1" ref="ES212" ca="1">(1-$B$18)*SUMPRODUCT(OFFSET($BO$15,0,0,$B$14,1), 1*(_xlfn._xlws.FILTER(OFFSET($O$15,0,$DN212,$B$8,1),OFFSET($M$15,0,0,$B$8,1))=ES$13), 1*(_xlfn._xlws.FILTER(OFFSET($O$15,0,$DO212,$B$8,1),OFFSET($M$15,0,0,$B$8,1))=ES$14))   /   SUM(OFFSET($BO$15,0,0,$B$14,1)) + $B$18/($B$19*$B$19*($DN212&lt;&gt;$DO212) + $B$19*($DN212=$DO212))</f>
        <v>3.7037037037037035E-4</v>
      </c>
      <c r="ET212" s="10" cm="1">
        <f t="array" aca="1" ref="ET212" ca="1">(1-$B$18)*SUMPRODUCT(OFFSET($BO$15,0,0,$B$14,1), 1*(_xlfn._xlws.FILTER(OFFSET($O$15,0,$DN212,$B$8,1),OFFSET($M$15,0,0,$B$8,1))=ET$13), 1*(_xlfn._xlws.FILTER(OFFSET($O$15,0,$DO212,$B$8,1),OFFSET($M$15,0,0,$B$8,1))=ET$14))   /   SUM(OFFSET($BO$15,0,0,$B$14,1)) + $B$18/($B$19*$B$19*($DN212&lt;&gt;$DO212) + $B$19*($DN212=$DO212))</f>
        <v>0.24287037037037026</v>
      </c>
      <c r="EU212" s="10" cm="1">
        <f t="array" aca="1" ref="EU212" ca="1">(1-$B$18)*SUMPRODUCT(OFFSET($BO$15,0,0,$B$14,1), 1*(_xlfn._xlws.FILTER(OFFSET($O$15,0,$DN212,$B$8,1),OFFSET($M$15,0,0,$B$8,1))=EU$13), 1*(_xlfn._xlws.FILTER(OFFSET($O$15,0,$DO212,$B$8,1),OFFSET($M$15,0,0,$B$8,1))=EU$14))   /   SUM(OFFSET($BO$15,0,0,$B$14,1)) + $B$18/($B$19*$B$19*($DN212&lt;&gt;$DO212) + $B$19*($DN212=$DO212))</f>
        <v>3.7037037037037035E-4</v>
      </c>
      <c r="EV212" s="10" cm="1">
        <f t="array" aca="1" ref="EV212" ca="1">(1-$B$18)*SUMPRODUCT(OFFSET($BO$15,0,0,$B$14,1), 1*(_xlfn._xlws.FILTER(OFFSET($O$15,0,$DN212,$B$8,1),OFFSET($M$15,0,0,$B$8,1))=EV$13), 1*(_xlfn._xlws.FILTER(OFFSET($O$15,0,$DO212,$B$8,1),OFFSET($M$15,0,0,$B$8,1))=EV$14))   /   SUM(OFFSET($BO$15,0,0,$B$14,1)) + $B$18/($B$19*$B$19*($DN212&lt;&gt;$DO212) + $B$19*($DN212=$DO212))</f>
        <v>3.7037037037037035E-4</v>
      </c>
      <c r="EW212" s="10" cm="1">
        <f t="array" aca="1" ref="EW212" ca="1">(1-$B$18)*SUMPRODUCT(OFFSET($BO$15,0,0,$B$14,1), 1*(_xlfn._xlws.FILTER(OFFSET($O$15,0,$DN212,$B$8,1),OFFSET($M$15,0,0,$B$8,1))=EW$13), 1*(_xlfn._xlws.FILTER(OFFSET($O$15,0,$DO212,$B$8,1),OFFSET($M$15,0,0,$B$8,1))=EW$14))   /   SUM(OFFSET($BO$15,0,0,$B$14,1)) + $B$18/($B$19*$B$19*($DN212&lt;&gt;$DO212) + $B$19*($DN212=$DO212))</f>
        <v>3.7037037037037035E-4</v>
      </c>
      <c r="EX212" s="10" cm="1">
        <f t="array" aca="1" ref="EX212" ca="1">(1-$B$18)*SUMPRODUCT(OFFSET($BO$15,0,0,$B$14,1), 1*(_xlfn._xlws.FILTER(OFFSET($O$15,0,$DN212,$B$8,1),OFFSET($M$15,0,0,$B$8,1))=EX$13), 1*(_xlfn._xlws.FILTER(OFFSET($O$15,0,$DO212,$B$8,1),OFFSET($M$15,0,0,$B$8,1))=EX$14))   /   SUM(OFFSET($BO$15,0,0,$B$14,1)) + $B$18/($B$19*$B$19*($DN212&lt;&gt;$DO212) + $B$19*($DN212=$DO212))</f>
        <v>3.7037037037037035E-4</v>
      </c>
      <c r="EY212" s="10" cm="1">
        <f t="array" aca="1" ref="EY212" ca="1">(1-$B$18)*SUMPRODUCT(OFFSET($BO$15,0,0,$B$14,1), 1*(_xlfn._xlws.FILTER(OFFSET($O$15,0,$DN212,$B$8,1),OFFSET($M$15,0,0,$B$8,1))=EY$13), 1*(_xlfn._xlws.FILTER(OFFSET($O$15,0,$DO212,$B$8,1),OFFSET($M$15,0,0,$B$8,1))=EY$14))   /   SUM(OFFSET($BO$15,0,0,$B$14,1)) + $B$18/($B$19*$B$19*($DN212&lt;&gt;$DO212) + $B$19*($DN212=$DO212))</f>
        <v>3.7037037037037035E-4</v>
      </c>
      <c r="EZ212" s="10" cm="1">
        <f t="array" aca="1" ref="EZ212" ca="1">(1-$B$18)*SUMPRODUCT(OFFSET($BO$15,0,0,$B$14,1), 1*(_xlfn._xlws.FILTER(OFFSET($O$15,0,$DN212,$B$8,1),OFFSET($M$15,0,0,$B$8,1))=EZ$13), 1*(_xlfn._xlws.FILTER(OFFSET($O$15,0,$DO212,$B$8,1),OFFSET($M$15,0,0,$B$8,1))=EZ$14))   /   SUM(OFFSET($BO$15,0,0,$B$14,1)) + $B$18/($B$19*$B$19*($DN212&lt;&gt;$DO212) + $B$19*($DN212=$DO212))</f>
        <v>3.7037037037037035E-4</v>
      </c>
      <c r="FA212" s="10" cm="1">
        <f t="array" aca="1" ref="FA212" ca="1">(1-$B$18)*SUMPRODUCT(OFFSET($BO$15,0,0,$B$14,1), 1*(_xlfn._xlws.FILTER(OFFSET($O$15,0,$DN212,$B$8,1),OFFSET($M$15,0,0,$B$8,1))=FA$13), 1*(_xlfn._xlws.FILTER(OFFSET($O$15,0,$DO212,$B$8,1),OFFSET($M$15,0,0,$B$8,1))=FA$14))   /   SUM(OFFSET($BO$15,0,0,$B$14,1)) + $B$18/($B$19*$B$19*($DN212&lt;&gt;$DO212) + $B$19*($DN212=$DO212))</f>
        <v>3.7037037037037035E-4</v>
      </c>
      <c r="FB212" s="10" cm="1">
        <f t="array" aca="1" ref="FB212" ca="1">(1-$B$18)*SUMPRODUCT(OFFSET($BO$15,0,0,$B$14,1), 1*(_xlfn._xlws.FILTER(OFFSET($O$15,0,$DN212,$B$8,1),OFFSET($M$15,0,0,$B$8,1))=FB$13), 1*(_xlfn._xlws.FILTER(OFFSET($O$15,0,$DO212,$B$8,1),OFFSET($M$15,0,0,$B$8,1))=FB$14))   /   SUM(OFFSET($BO$15,0,0,$B$14,1)) + $B$18/($B$19*$B$19*($DN212&lt;&gt;$DO212) + $B$19*($DN212=$DO212))</f>
        <v>3.7037037037037035E-4</v>
      </c>
      <c r="FC212" s="10" cm="1">
        <f t="array" aca="1" ref="FC212" ca="1">(1-$B$18)*SUMPRODUCT(OFFSET($BO$15,0,0,$B$14,1), 1*(_xlfn._xlws.FILTER(OFFSET($O$15,0,$DN212,$B$8,1),OFFSET($M$15,0,0,$B$8,1))=FC$13), 1*(_xlfn._xlws.FILTER(OFFSET($O$15,0,$DO212,$B$8,1),OFFSET($M$15,0,0,$B$8,1))=FC$14))   /   SUM(OFFSET($BO$15,0,0,$B$14,1)) + $B$18/($B$19*$B$19*($DN212&lt;&gt;$DO212) + $B$19*($DN212=$DO212))</f>
        <v>3.7037037037037035E-4</v>
      </c>
      <c r="FD212" s="10" cm="1">
        <f t="array" aca="1" ref="FD212" ca="1">(1-$B$18)*SUMPRODUCT(OFFSET($BO$15,0,0,$B$14,1), 1*(_xlfn._xlws.FILTER(OFFSET($O$15,0,$DN212,$B$8,1),OFFSET($M$15,0,0,$B$8,1))=FD$13), 1*(_xlfn._xlws.FILTER(OFFSET($O$15,0,$DO212,$B$8,1),OFFSET($M$15,0,0,$B$8,1))=FD$14))   /   SUM(OFFSET($BO$15,0,0,$B$14,1)) + $B$18/($B$19*$B$19*($DN212&lt;&gt;$DO212) + $B$19*($DN212=$DO212))</f>
        <v>3.7037037037037035E-4</v>
      </c>
      <c r="FE212" s="10" cm="1">
        <f t="array" aca="1" ref="FE212" ca="1">(1-$B$18)*SUMPRODUCT(OFFSET($BO$15,0,0,$B$14,1), 1*(_xlfn._xlws.FILTER(OFFSET($O$15,0,$DN212,$B$8,1),OFFSET($M$15,0,0,$B$8,1))=FE$13), 1*(_xlfn._xlws.FILTER(OFFSET($O$15,0,$DO212,$B$8,1),OFFSET($M$15,0,0,$B$8,1))=FE$14))   /   SUM(OFFSET($BO$15,0,0,$B$14,1)) + $B$18/($B$19*$B$19*($DN212&lt;&gt;$DO212) + $B$19*($DN212=$DO212))</f>
        <v>3.7037037037037035E-4</v>
      </c>
      <c r="FF212" s="10" cm="1">
        <f t="array" aca="1" ref="FF212" ca="1">(1-$B$18)*SUMPRODUCT(OFFSET($BO$15,0,0,$B$14,1), 1*(_xlfn._xlws.FILTER(OFFSET($O$15,0,$DN212,$B$8,1),OFFSET($M$15,0,0,$B$8,1))=FF$13), 1*(_xlfn._xlws.FILTER(OFFSET($O$15,0,$DO212,$B$8,1),OFFSET($M$15,0,0,$B$8,1))=FF$14))   /   SUM(OFFSET($BO$15,0,0,$B$14,1)) + $B$18/($B$19*$B$19*($DN212&lt;&gt;$DO212) + $B$19*($DN212=$DO212))</f>
        <v>3.7037037037037035E-4</v>
      </c>
      <c r="FG212" s="10" cm="1">
        <f t="array" aca="1" ref="FG212" ca="1">(1-$B$18)*SUMPRODUCT(OFFSET($BO$15,0,0,$B$14,1), 1*(_xlfn._xlws.FILTER(OFFSET($O$15,0,$DN212,$B$8,1),OFFSET($M$15,0,0,$B$8,1))=FG$13), 1*(_xlfn._xlws.FILTER(OFFSET($O$15,0,$DO212,$B$8,1),OFFSET($M$15,0,0,$B$8,1))=FG$14))   /   SUM(OFFSET($BO$15,0,0,$B$14,1)) + $B$18/($B$19*$B$19*($DN212&lt;&gt;$DO212) + $B$19*($DN212=$DO212))</f>
        <v>3.7037037037037035E-4</v>
      </c>
      <c r="FH212" s="10" cm="1">
        <f t="array" aca="1" ref="FH212" ca="1">(1-$B$18)*SUMPRODUCT(OFFSET($BO$15,0,0,$B$14,1), 1*(_xlfn._xlws.FILTER(OFFSET($O$15,0,$DN212,$B$8,1),OFFSET($M$15,0,0,$B$8,1))=FH$13), 1*(_xlfn._xlws.FILTER(OFFSET($O$15,0,$DO212,$B$8,1),OFFSET($M$15,0,0,$B$8,1))=FH$14))   /   SUM(OFFSET($BO$15,0,0,$B$14,1)) + $B$18/($B$19*$B$19*($DN212&lt;&gt;$DO212) + $B$19*($DN212=$DO212))</f>
        <v>3.7037037037037035E-4</v>
      </c>
      <c r="FI212" s="10" cm="1">
        <f t="array" aca="1" ref="FI212" ca="1">(1-$B$18)*SUMPRODUCT(OFFSET($BO$15,0,0,$B$14,1), 1*(_xlfn._xlws.FILTER(OFFSET($O$15,0,$DN212,$B$8,1),OFFSET($M$15,0,0,$B$8,1))=FI$13), 1*(_xlfn._xlws.FILTER(OFFSET($O$15,0,$DO212,$B$8,1),OFFSET($M$15,0,0,$B$8,1))=FI$14))   /   SUM(OFFSET($BO$15,0,0,$B$14,1)) + $B$18/($B$19*$B$19*($DN212&lt;&gt;$DO212) + $B$19*($DN212=$DO212))</f>
        <v>3.7037037037037035E-4</v>
      </c>
      <c r="FJ212" s="10" cm="1">
        <f t="array" aca="1" ref="FJ212" ca="1">(1-$B$18)*SUMPRODUCT(OFFSET($BO$15,0,0,$B$14,1), 1*(_xlfn._xlws.FILTER(OFFSET($O$15,0,$DN212,$B$8,1),OFFSET($M$15,0,0,$B$8,1))=FJ$13), 1*(_xlfn._xlws.FILTER(OFFSET($O$15,0,$DO212,$B$8,1),OFFSET($M$15,0,0,$B$8,1))=FJ$14))   /   SUM(OFFSET($BO$15,0,0,$B$14,1)) + $B$18/($B$19*$B$19*($DN212&lt;&gt;$DO212) + $B$19*($DN212=$DO212))</f>
        <v>3.7037037037037035E-4</v>
      </c>
      <c r="FK212" s="10" cm="1">
        <f t="array" aca="1" ref="FK212" ca="1">(1-$B$18)*SUMPRODUCT(OFFSET($BO$15,0,0,$B$14,1), 1*(_xlfn._xlws.FILTER(OFFSET($O$15,0,$DN212,$B$8,1),OFFSET($M$15,0,0,$B$8,1))=FK$13), 1*(_xlfn._xlws.FILTER(OFFSET($O$15,0,$DO212,$B$8,1),OFFSET($M$15,0,0,$B$8,1))=FK$14))   /   SUM(OFFSET($BO$15,0,0,$B$14,1)) + $B$18/($B$19*$B$19*($DN212&lt;&gt;$DO212) + $B$19*($DN212=$DO212))</f>
        <v>3.7037037037037035E-4</v>
      </c>
      <c r="FL212" s="10" cm="1">
        <f t="array" aca="1" ref="FL212" ca="1">(1-$B$18)*SUMPRODUCT(OFFSET($BO$15,0,0,$B$14,1), 1*(_xlfn._xlws.FILTER(OFFSET($O$15,0,$DN212,$B$8,1),OFFSET($M$15,0,0,$B$8,1))=FL$13), 1*(_xlfn._xlws.FILTER(OFFSET($O$15,0,$DO212,$B$8,1),OFFSET($M$15,0,0,$B$8,1))=FL$14))   /   SUM(OFFSET($BO$15,0,0,$B$14,1)) + $B$18/($B$19*$B$19*($DN212&lt;&gt;$DO212) + $B$19*($DN212=$DO212))</f>
        <v>3.7037037037037035E-4</v>
      </c>
      <c r="FM212" s="10" cm="1">
        <f t="array" aca="1" ref="FM212" ca="1">(1-$B$18)*SUMPRODUCT(OFFSET($BO$15,0,0,$B$14,1), 1*(_xlfn._xlws.FILTER(OFFSET($O$15,0,$DN212,$B$8,1),OFFSET($M$15,0,0,$B$8,1))=FM$13), 1*(_xlfn._xlws.FILTER(OFFSET($O$15,0,$DO212,$B$8,1),OFFSET($M$15,0,0,$B$8,1))=FM$14))   /   SUM(OFFSET($BO$15,0,0,$B$14,1)) + $B$18/($B$19*$B$19*($DN212&lt;&gt;$DO212) + $B$19*($DN212=$DO212))</f>
        <v>3.7037037037037035E-4</v>
      </c>
      <c r="FN212" s="10" cm="1">
        <f t="array" aca="1" ref="FN212" ca="1">(1-$B$18)*SUMPRODUCT(OFFSET($BO$15,0,0,$B$14,1), 1*(_xlfn._xlws.FILTER(OFFSET($O$15,0,$DN212,$B$8,1),OFFSET($M$15,0,0,$B$8,1))=FN$13), 1*(_xlfn._xlws.FILTER(OFFSET($O$15,0,$DO212,$B$8,1),OFFSET($M$15,0,0,$B$8,1))=FN$14))   /   SUM(OFFSET($BO$15,0,0,$B$14,1)) + $B$18/($B$19*$B$19*($DN212&lt;&gt;$DO212) + $B$19*($DN212=$DO212))</f>
        <v>3.7037037037037035E-4</v>
      </c>
      <c r="FO212" s="10" cm="1">
        <f t="array" aca="1" ref="FO212" ca="1">(1-$B$18)*SUMPRODUCT(OFFSET($BO$15,0,0,$B$14,1), 1*(_xlfn._xlws.FILTER(OFFSET($O$15,0,$DN212,$B$8,1),OFFSET($M$15,0,0,$B$8,1))=FO$13), 1*(_xlfn._xlws.FILTER(OFFSET($O$15,0,$DO212,$B$8,1),OFFSET($M$15,0,0,$B$8,1))=FO$14))   /   SUM(OFFSET($BO$15,0,0,$B$14,1)) + $B$18/($B$19*$B$19*($DN212&lt;&gt;$DO212) + $B$19*($DN212=$DO212))</f>
        <v>3.7037037037037035E-4</v>
      </c>
      <c r="FP212" s="10" cm="1">
        <f t="array" aca="1" ref="FP212" ca="1">(1-$B$18)*SUMPRODUCT(OFFSET($BO$15,0,0,$B$14,1), 1*(_xlfn._xlws.FILTER(OFFSET($O$15,0,$DN212,$B$8,1),OFFSET($M$15,0,0,$B$8,1))=FP$13), 1*(_xlfn._xlws.FILTER(OFFSET($O$15,0,$DO212,$B$8,1),OFFSET($M$15,0,0,$B$8,1))=FP$14))   /   SUM(OFFSET($BO$15,0,0,$B$14,1)) + $B$18/($B$19*$B$19*($DN212&lt;&gt;$DO212) + $B$19*($DN212=$DO212))</f>
        <v>3.7037037037037035E-4</v>
      </c>
      <c r="FQ212" s="10" cm="1">
        <f t="array" aca="1" ref="FQ212" ca="1">(1-$B$18)*SUMPRODUCT(OFFSET($BO$15,0,0,$B$14,1), 1*(_xlfn._xlws.FILTER(OFFSET($O$15,0,$DN212,$B$8,1),OFFSET($M$15,0,0,$B$8,1))=FQ$13), 1*(_xlfn._xlws.FILTER(OFFSET($O$15,0,$DO212,$B$8,1),OFFSET($M$15,0,0,$B$8,1))=FQ$14))   /   SUM(OFFSET($BO$15,0,0,$B$14,1)) + $B$18/($B$19*$B$19*($DN212&lt;&gt;$DO212) + $B$19*($DN212=$DO212))</f>
        <v>3.7037037037037035E-4</v>
      </c>
      <c r="FR212" s="10" cm="1">
        <f t="array" aca="1" ref="FR212" ca="1">(1-$B$18)*SUMPRODUCT(OFFSET($BO$15,0,0,$B$14,1), 1*(_xlfn._xlws.FILTER(OFFSET($O$15,0,$DN212,$B$8,1),OFFSET($M$15,0,0,$B$8,1))=FR$13), 1*(_xlfn._xlws.FILTER(OFFSET($O$15,0,$DO212,$B$8,1),OFFSET($M$15,0,0,$B$8,1))=FR$14))   /   SUM(OFFSET($BO$15,0,0,$B$14,1)) + $B$18/($B$19*$B$19*($DN212&lt;&gt;$DO212) + $B$19*($DN212=$DO212))</f>
        <v>3.7037037037037035E-4</v>
      </c>
      <c r="FS212" s="10" cm="1">
        <f t="array" aca="1" ref="FS212" ca="1">(1-$B$18)*SUMPRODUCT(OFFSET($BO$15,0,0,$B$14,1), 1*(_xlfn._xlws.FILTER(OFFSET($O$15,0,$DN212,$B$8,1),OFFSET($M$15,0,0,$B$8,1))=FS$13), 1*(_xlfn._xlws.FILTER(OFFSET($O$15,0,$DO212,$B$8,1),OFFSET($M$15,0,0,$B$8,1))=FS$14))   /   SUM(OFFSET($BO$15,0,0,$B$14,1)) + $B$18/($B$19*$B$19*($DN212&lt;&gt;$DO212) + $B$19*($DN212=$DO212))</f>
        <v>3.7037037037037035E-4</v>
      </c>
      <c r="FT212" s="10" cm="1">
        <f t="array" aca="1" ref="FT212" ca="1">(1-$B$18)*SUMPRODUCT(OFFSET($BO$15,0,0,$B$14,1), 1*(_xlfn._xlws.FILTER(OFFSET($O$15,0,$DN212,$B$8,1),OFFSET($M$15,0,0,$B$8,1))=FT$13), 1*(_xlfn._xlws.FILTER(OFFSET($O$15,0,$DO212,$B$8,1),OFFSET($M$15,0,0,$B$8,1))=FT$14))   /   SUM(OFFSET($BO$15,0,0,$B$14,1)) + $B$18/($B$19*$B$19*($DN212&lt;&gt;$DO212) + $B$19*($DN212=$DO212))</f>
        <v>3.7037037037037035E-4</v>
      </c>
      <c r="FU212" s="10" cm="1">
        <f t="array" aca="1" ref="FU212" ca="1">(1-$B$18)*SUMPRODUCT(OFFSET($BO$15,0,0,$B$14,1), 1*(_xlfn._xlws.FILTER(OFFSET($O$15,0,$DN212,$B$8,1),OFFSET($M$15,0,0,$B$8,1))=FU$13), 1*(_xlfn._xlws.FILTER(OFFSET($O$15,0,$DO212,$B$8,1),OFFSET($M$15,0,0,$B$8,1))=FU$14))   /   SUM(OFFSET($BO$15,0,0,$B$14,1)) + $B$18/($B$19*$B$19*($DN212&lt;&gt;$DO212) + $B$19*($DN212=$DO212))</f>
        <v>3.7037037037037035E-4</v>
      </c>
      <c r="FV212" s="10" cm="1">
        <f t="array" aca="1" ref="FV212" ca="1">(1-$B$18)*SUMPRODUCT(OFFSET($BO$15,0,0,$B$14,1), 1*(_xlfn._xlws.FILTER(OFFSET($O$15,0,$DN212,$B$8,1),OFFSET($M$15,0,0,$B$8,1))=FV$13), 1*(_xlfn._xlws.FILTER(OFFSET($O$15,0,$DO212,$B$8,1),OFFSET($M$15,0,0,$B$8,1))=FV$14))   /   SUM(OFFSET($BO$15,0,0,$B$14,1)) + $B$18/($B$19*$B$19*($DN212&lt;&gt;$DO212) + $B$19*($DN212=$DO212))</f>
        <v>3.7037037037037035E-4</v>
      </c>
      <c r="FW212" s="10" cm="1">
        <f t="array" aca="1" ref="FW212" ca="1">(1-$B$18)*SUMPRODUCT(OFFSET($BO$15,0,0,$B$14,1), 1*(_xlfn._xlws.FILTER(OFFSET($O$15,0,$DN212,$B$8,1),OFFSET($M$15,0,0,$B$8,1))=FW$13), 1*(_xlfn._xlws.FILTER(OFFSET($O$15,0,$DO212,$B$8,1),OFFSET($M$15,0,0,$B$8,1))=FW$14))   /   SUM(OFFSET($BO$15,0,0,$B$14,1)) + $B$18/($B$19*$B$19*($DN212&lt;&gt;$DO212) + $B$19*($DN212=$DO212))</f>
        <v>3.7037037037037035E-4</v>
      </c>
      <c r="FX212" s="10" cm="1">
        <f t="array" aca="1" ref="FX212" ca="1">(1-$B$18)*SUMPRODUCT(OFFSET($BO$15,0,0,$B$14,1), 1*(_xlfn._xlws.FILTER(OFFSET($O$15,0,$DN212,$B$8,1),OFFSET($M$15,0,0,$B$8,1))=FX$13), 1*(_xlfn._xlws.FILTER(OFFSET($O$15,0,$DO212,$B$8,1),OFFSET($M$15,0,0,$B$8,1))=FX$14))   /   SUM(OFFSET($BO$15,0,0,$B$14,1)) + $B$18/($B$19*$B$19*($DN212&lt;&gt;$DO212) + $B$19*($DN212=$DO212))</f>
        <v>3.7037037037037035E-4</v>
      </c>
      <c r="FY212" s="10" cm="1">
        <f t="array" aca="1" ref="FY212" ca="1">(1-$B$18)*SUMPRODUCT(OFFSET($BO$15,0,0,$B$14,1), 1*(_xlfn._xlws.FILTER(OFFSET($O$15,0,$DN212,$B$8,1),OFFSET($M$15,0,0,$B$8,1))=FY$13), 1*(_xlfn._xlws.FILTER(OFFSET($O$15,0,$DO212,$B$8,1),OFFSET($M$15,0,0,$B$8,1))=FY$14))   /   SUM(OFFSET($BO$15,0,0,$B$14,1)) + $B$18/($B$19*$B$19*($DN212&lt;&gt;$DO212) + $B$19*($DN212=$DO212))</f>
        <v>3.7037037037037035E-4</v>
      </c>
      <c r="FZ212" s="10" cm="1">
        <f t="array" aca="1" ref="FZ212" ca="1">(1-$B$18)*SUMPRODUCT(OFFSET($BO$15,0,0,$B$14,1), 1*(_xlfn._xlws.FILTER(OFFSET($O$15,0,$DN212,$B$8,1),OFFSET($M$15,0,0,$B$8,1))=FZ$13), 1*(_xlfn._xlws.FILTER(OFFSET($O$15,0,$DO212,$B$8,1),OFFSET($M$15,0,0,$B$8,1))=FZ$14))   /   SUM(OFFSET($BO$15,0,0,$B$14,1)) + $B$18/($B$19*$B$19*($DN212&lt;&gt;$DO212) + $B$19*($DN212=$DO212))</f>
        <v>3.7037037037037035E-4</v>
      </c>
      <c r="GA212" s="10" cm="1">
        <f t="array" aca="1" ref="GA212" ca="1">(1-$B$18)*SUMPRODUCT(OFFSET($BO$15,0,0,$B$14,1), 1*(_xlfn._xlws.FILTER(OFFSET($O$15,0,$DN212,$B$8,1),OFFSET($M$15,0,0,$B$8,1))=GA$13), 1*(_xlfn._xlws.FILTER(OFFSET($O$15,0,$DO212,$B$8,1),OFFSET($M$15,0,0,$B$8,1))=GA$14))   /   SUM(OFFSET($BO$15,0,0,$B$14,1)) + $B$18/($B$19*$B$19*($DN212&lt;&gt;$DO212) + $B$19*($DN212=$DO212))</f>
        <v>3.7037037037037035E-4</v>
      </c>
    </row>
    <row r="213" spans="118:183" x14ac:dyDescent="0.2">
      <c r="DN213" cm="1">
        <f t="array" aca="1" ref="DN213" ca="1">INDEX(_xlfn.ANCHORARRAY($CP$15), 1 + INT((ROWS($DO$15:$DO213) - 1) / ROWS(_xlfn.ANCHORARRAY($CP$15))))</f>
        <v>11</v>
      </c>
      <c r="DO213" cm="1">
        <f t="array" aca="1" ref="DO213" ca="1">INDEX(_xlfn.ANCHORARRAY($CP$15),1+MOD(ROWS($DO$15:$DO213)-1,ROWS(_xlfn.ANCHORARRAY($CP$15))))</f>
        <v>8</v>
      </c>
      <c r="DP213" s="10" cm="1">
        <f t="array" aca="1" ref="DP213" ca="1">(1-$B$18)*SUMPRODUCT(OFFSET($BO$15,0,0,$B$14,1), 1*(_xlfn._xlws.FILTER(OFFSET($O$15,0,$DN213,$B$8,1),OFFSET($M$15,0,0,$B$8,1))=DP$13), 1*(_xlfn._xlws.FILTER(OFFSET($O$15,0,$DO213,$B$8,1),OFFSET($M$15,0,0,$B$8,1))=DP$14))   /   SUM(OFFSET($BO$15,0,0,$B$14,1)) + $B$18/($B$19*$B$19*($DN213&lt;&gt;$DO213) + $B$19*($DN213=$DO213))</f>
        <v>3.7037037037037035E-4</v>
      </c>
      <c r="DQ213" s="10" cm="1">
        <f t="array" aca="1" ref="DQ213" ca="1">(1-$B$18)*SUMPRODUCT(OFFSET($BO$15,0,0,$B$14,1), 1*(_xlfn._xlws.FILTER(OFFSET($O$15,0,$DN213,$B$8,1),OFFSET($M$15,0,0,$B$8,1))=DQ$13), 1*(_xlfn._xlws.FILTER(OFFSET($O$15,0,$DO213,$B$8,1),OFFSET($M$15,0,0,$B$8,1))=DQ$14))   /   SUM(OFFSET($BO$15,0,0,$B$14,1)) + $B$18/($B$19*$B$19*($DN213&lt;&gt;$DO213) + $B$19*($DN213=$DO213))</f>
        <v>3.7037037037037035E-4</v>
      </c>
      <c r="DR213" s="10" cm="1">
        <f t="array" aca="1" ref="DR213" ca="1">(1-$B$18)*SUMPRODUCT(OFFSET($BO$15,0,0,$B$14,1), 1*(_xlfn._xlws.FILTER(OFFSET($O$15,0,$DN213,$B$8,1),OFFSET($M$15,0,0,$B$8,1))=DR$13), 1*(_xlfn._xlws.FILTER(OFFSET($O$15,0,$DO213,$B$8,1),OFFSET($M$15,0,0,$B$8,1))=DR$14))   /   SUM(OFFSET($BO$15,0,0,$B$14,1)) + $B$18/($B$19*$B$19*($DN213&lt;&gt;$DO213) + $B$19*($DN213=$DO213))</f>
        <v>3.7037037037037035E-4</v>
      </c>
      <c r="DS213" s="10" cm="1">
        <f t="array" aca="1" ref="DS213" ca="1">(1-$B$18)*SUMPRODUCT(OFFSET($BO$15,0,0,$B$14,1), 1*(_xlfn._xlws.FILTER(OFFSET($O$15,0,$DN213,$B$8,1),OFFSET($M$15,0,0,$B$8,1))=DS$13), 1*(_xlfn._xlws.FILTER(OFFSET($O$15,0,$DO213,$B$8,1),OFFSET($M$15,0,0,$B$8,1))=DS$14))   /   SUM(OFFSET($BO$15,0,0,$B$14,1)) + $B$18/($B$19*$B$19*($DN213&lt;&gt;$DO213) + $B$19*($DN213=$DO213))</f>
        <v>3.7037037037037035E-4</v>
      </c>
      <c r="DT213" s="10" cm="1">
        <f t="array" aca="1" ref="DT213" ca="1">(1-$B$18)*SUMPRODUCT(OFFSET($BO$15,0,0,$B$14,1), 1*(_xlfn._xlws.FILTER(OFFSET($O$15,0,$DN213,$B$8,1),OFFSET($M$15,0,0,$B$8,1))=DT$13), 1*(_xlfn._xlws.FILTER(OFFSET($O$15,0,$DO213,$B$8,1),OFFSET($M$15,0,0,$B$8,1))=DT$14))   /   SUM(OFFSET($BO$15,0,0,$B$14,1)) + $B$18/($B$19*$B$19*($DN213&lt;&gt;$DO213) + $B$19*($DN213=$DO213))</f>
        <v>3.7037037037037035E-4</v>
      </c>
      <c r="DU213" s="10" cm="1">
        <f t="array" aca="1" ref="DU213" ca="1">(1-$B$18)*SUMPRODUCT(OFFSET($BO$15,0,0,$B$14,1), 1*(_xlfn._xlws.FILTER(OFFSET($O$15,0,$DN213,$B$8,1),OFFSET($M$15,0,0,$B$8,1))=DU$13), 1*(_xlfn._xlws.FILTER(OFFSET($O$15,0,$DO213,$B$8,1),OFFSET($M$15,0,0,$B$8,1))=DU$14))   /   SUM(OFFSET($BO$15,0,0,$B$14,1)) + $B$18/($B$19*$B$19*($DN213&lt;&gt;$DO213) + $B$19*($DN213=$DO213))</f>
        <v>3.7037037037037035E-4</v>
      </c>
      <c r="DV213" s="10" cm="1">
        <f t="array" aca="1" ref="DV213" ca="1">(1-$B$18)*SUMPRODUCT(OFFSET($BO$15,0,0,$B$14,1), 1*(_xlfn._xlws.FILTER(OFFSET($O$15,0,$DN213,$B$8,1),OFFSET($M$15,0,0,$B$8,1))=DV$13), 1*(_xlfn._xlws.FILTER(OFFSET($O$15,0,$DO213,$B$8,1),OFFSET($M$15,0,0,$B$8,1))=DV$14))   /   SUM(OFFSET($BO$15,0,0,$B$14,1)) + $B$18/($B$19*$B$19*($DN213&lt;&gt;$DO213) + $B$19*($DN213=$DO213))</f>
        <v>0.48537037037037034</v>
      </c>
      <c r="DW213" s="10" cm="1">
        <f t="array" aca="1" ref="DW213" ca="1">(1-$B$18)*SUMPRODUCT(OFFSET($BO$15,0,0,$B$14,1), 1*(_xlfn._xlws.FILTER(OFFSET($O$15,0,$DN213,$B$8,1),OFFSET($M$15,0,0,$B$8,1))=DW$13), 1*(_xlfn._xlws.FILTER(OFFSET($O$15,0,$DO213,$B$8,1),OFFSET($M$15,0,0,$B$8,1))=DW$14))   /   SUM(OFFSET($BO$15,0,0,$B$14,1)) + $B$18/($B$19*$B$19*($DN213&lt;&gt;$DO213) + $B$19*($DN213=$DO213))</f>
        <v>3.7037037037037035E-4</v>
      </c>
      <c r="DX213" s="10" cm="1">
        <f t="array" aca="1" ref="DX213" ca="1">(1-$B$18)*SUMPRODUCT(OFFSET($BO$15,0,0,$B$14,1), 1*(_xlfn._xlws.FILTER(OFFSET($O$15,0,$DN213,$B$8,1),OFFSET($M$15,0,0,$B$8,1))=DX$13), 1*(_xlfn._xlws.FILTER(OFFSET($O$15,0,$DO213,$B$8,1),OFFSET($M$15,0,0,$B$8,1))=DX$14))   /   SUM(OFFSET($BO$15,0,0,$B$14,1)) + $B$18/($B$19*$B$19*($DN213&lt;&gt;$DO213) + $B$19*($DN213=$DO213))</f>
        <v>3.7037037037037035E-4</v>
      </c>
      <c r="DY213" s="10" cm="1">
        <f t="array" aca="1" ref="DY213" ca="1">(1-$B$18)*SUMPRODUCT(OFFSET($BO$15,0,0,$B$14,1), 1*(_xlfn._xlws.FILTER(OFFSET($O$15,0,$DN213,$B$8,1),OFFSET($M$15,0,0,$B$8,1))=DY$13), 1*(_xlfn._xlws.FILTER(OFFSET($O$15,0,$DO213,$B$8,1),OFFSET($M$15,0,0,$B$8,1))=DY$14))   /   SUM(OFFSET($BO$15,0,0,$B$14,1)) + $B$18/($B$19*$B$19*($DN213&lt;&gt;$DO213) + $B$19*($DN213=$DO213))</f>
        <v>3.7037037037037035E-4</v>
      </c>
      <c r="DZ213" s="10" cm="1">
        <f t="array" aca="1" ref="DZ213" ca="1">(1-$B$18)*SUMPRODUCT(OFFSET($BO$15,0,0,$B$14,1), 1*(_xlfn._xlws.FILTER(OFFSET($O$15,0,$DN213,$B$8,1),OFFSET($M$15,0,0,$B$8,1))=DZ$13), 1*(_xlfn._xlws.FILTER(OFFSET($O$15,0,$DO213,$B$8,1),OFFSET($M$15,0,0,$B$8,1))=DZ$14))   /   SUM(OFFSET($BO$15,0,0,$B$14,1)) + $B$18/($B$19*$B$19*($DN213&lt;&gt;$DO213) + $B$19*($DN213=$DO213))</f>
        <v>3.7037037037037035E-4</v>
      </c>
      <c r="EA213" s="10" cm="1">
        <f t="array" aca="1" ref="EA213" ca="1">(1-$B$18)*SUMPRODUCT(OFFSET($BO$15,0,0,$B$14,1), 1*(_xlfn._xlws.FILTER(OFFSET($O$15,0,$DN213,$B$8,1),OFFSET($M$15,0,0,$B$8,1))=EA$13), 1*(_xlfn._xlws.FILTER(OFFSET($O$15,0,$DO213,$B$8,1),OFFSET($M$15,0,0,$B$8,1))=EA$14))   /   SUM(OFFSET($BO$15,0,0,$B$14,1)) + $B$18/($B$19*$B$19*($DN213&lt;&gt;$DO213) + $B$19*($DN213=$DO213))</f>
        <v>3.7037037037037035E-4</v>
      </c>
      <c r="EB213" s="10" cm="1">
        <f t="array" aca="1" ref="EB213" ca="1">(1-$B$18)*SUMPRODUCT(OFFSET($BO$15,0,0,$B$14,1), 1*(_xlfn._xlws.FILTER(OFFSET($O$15,0,$DN213,$B$8,1),OFFSET($M$15,0,0,$B$8,1))=EB$13), 1*(_xlfn._xlws.FILTER(OFFSET($O$15,0,$DO213,$B$8,1),OFFSET($M$15,0,0,$B$8,1))=EB$14))   /   SUM(OFFSET($BO$15,0,0,$B$14,1)) + $B$18/($B$19*$B$19*($DN213&lt;&gt;$DO213) + $B$19*($DN213=$DO213))</f>
        <v>3.7037037037037035E-4</v>
      </c>
      <c r="EC213" s="10" cm="1">
        <f t="array" aca="1" ref="EC213" ca="1">(1-$B$18)*SUMPRODUCT(OFFSET($BO$15,0,0,$B$14,1), 1*(_xlfn._xlws.FILTER(OFFSET($O$15,0,$DN213,$B$8,1),OFFSET($M$15,0,0,$B$8,1))=EC$13), 1*(_xlfn._xlws.FILTER(OFFSET($O$15,0,$DO213,$B$8,1),OFFSET($M$15,0,0,$B$8,1))=EC$14))   /   SUM(OFFSET($BO$15,0,0,$B$14,1)) + $B$18/($B$19*$B$19*($DN213&lt;&gt;$DO213) + $B$19*($DN213=$DO213))</f>
        <v>3.7037037037037035E-4</v>
      </c>
      <c r="ED213" s="10" cm="1">
        <f t="array" aca="1" ref="ED213" ca="1">(1-$B$18)*SUMPRODUCT(OFFSET($BO$15,0,0,$B$14,1), 1*(_xlfn._xlws.FILTER(OFFSET($O$15,0,$DN213,$B$8,1),OFFSET($M$15,0,0,$B$8,1))=ED$13), 1*(_xlfn._xlws.FILTER(OFFSET($O$15,0,$DO213,$B$8,1),OFFSET($M$15,0,0,$B$8,1))=ED$14))   /   SUM(OFFSET($BO$15,0,0,$B$14,1)) + $B$18/($B$19*$B$19*($DN213&lt;&gt;$DO213) + $B$19*($DN213=$DO213))</f>
        <v>3.7037037037037035E-4</v>
      </c>
      <c r="EE213" s="10" cm="1">
        <f t="array" aca="1" ref="EE213" ca="1">(1-$B$18)*SUMPRODUCT(OFFSET($BO$15,0,0,$B$14,1), 1*(_xlfn._xlws.FILTER(OFFSET($O$15,0,$DN213,$B$8,1),OFFSET($M$15,0,0,$B$8,1))=EE$13), 1*(_xlfn._xlws.FILTER(OFFSET($O$15,0,$DO213,$B$8,1),OFFSET($M$15,0,0,$B$8,1))=EE$14))   /   SUM(OFFSET($BO$15,0,0,$B$14,1)) + $B$18/($B$19*$B$19*($DN213&lt;&gt;$DO213) + $B$19*($DN213=$DO213))</f>
        <v>3.7037037037037035E-4</v>
      </c>
      <c r="EF213" s="10" cm="1">
        <f t="array" aca="1" ref="EF213" ca="1">(1-$B$18)*SUMPRODUCT(OFFSET($BO$15,0,0,$B$14,1), 1*(_xlfn._xlws.FILTER(OFFSET($O$15,0,$DN213,$B$8,1),OFFSET($M$15,0,0,$B$8,1))=EF$13), 1*(_xlfn._xlws.FILTER(OFFSET($O$15,0,$DO213,$B$8,1),OFFSET($M$15,0,0,$B$8,1))=EF$14))   /   SUM(OFFSET($BO$15,0,0,$B$14,1)) + $B$18/($B$19*$B$19*($DN213&lt;&gt;$DO213) + $B$19*($DN213=$DO213))</f>
        <v>3.7037037037037035E-4</v>
      </c>
      <c r="EG213" s="10" cm="1">
        <f t="array" aca="1" ref="EG213" ca="1">(1-$B$18)*SUMPRODUCT(OFFSET($BO$15,0,0,$B$14,1), 1*(_xlfn._xlws.FILTER(OFFSET($O$15,0,$DN213,$B$8,1),OFFSET($M$15,0,0,$B$8,1))=EG$13), 1*(_xlfn._xlws.FILTER(OFFSET($O$15,0,$DO213,$B$8,1),OFFSET($M$15,0,0,$B$8,1))=EG$14))   /   SUM(OFFSET($BO$15,0,0,$B$14,1)) + $B$18/($B$19*$B$19*($DN213&lt;&gt;$DO213) + $B$19*($DN213=$DO213))</f>
        <v>3.7037037037037035E-4</v>
      </c>
      <c r="EH213" s="10" cm="1">
        <f t="array" aca="1" ref="EH213" ca="1">(1-$B$18)*SUMPRODUCT(OFFSET($BO$15,0,0,$B$14,1), 1*(_xlfn._xlws.FILTER(OFFSET($O$15,0,$DN213,$B$8,1),OFFSET($M$15,0,0,$B$8,1))=EH$13), 1*(_xlfn._xlws.FILTER(OFFSET($O$15,0,$DO213,$B$8,1),OFFSET($M$15,0,0,$B$8,1))=EH$14))   /   SUM(OFFSET($BO$15,0,0,$B$14,1)) + $B$18/($B$19*$B$19*($DN213&lt;&gt;$DO213) + $B$19*($DN213=$DO213))</f>
        <v>3.7037037037037035E-4</v>
      </c>
      <c r="EI213" s="10" cm="1">
        <f t="array" aca="1" ref="EI213" ca="1">(1-$B$18)*SUMPRODUCT(OFFSET($BO$15,0,0,$B$14,1), 1*(_xlfn._xlws.FILTER(OFFSET($O$15,0,$DN213,$B$8,1),OFFSET($M$15,0,0,$B$8,1))=EI$13), 1*(_xlfn._xlws.FILTER(OFFSET($O$15,0,$DO213,$B$8,1),OFFSET($M$15,0,0,$B$8,1))=EI$14))   /   SUM(OFFSET($BO$15,0,0,$B$14,1)) + $B$18/($B$19*$B$19*($DN213&lt;&gt;$DO213) + $B$19*($DN213=$DO213))</f>
        <v>3.7037037037037035E-4</v>
      </c>
      <c r="EJ213" s="10" cm="1">
        <f t="array" aca="1" ref="EJ213" ca="1">(1-$B$18)*SUMPRODUCT(OFFSET($BO$15,0,0,$B$14,1), 1*(_xlfn._xlws.FILTER(OFFSET($O$15,0,$DN213,$B$8,1),OFFSET($M$15,0,0,$B$8,1))=EJ$13), 1*(_xlfn._xlws.FILTER(OFFSET($O$15,0,$DO213,$B$8,1),OFFSET($M$15,0,0,$B$8,1))=EJ$14))   /   SUM(OFFSET($BO$15,0,0,$B$14,1)) + $B$18/($B$19*$B$19*($DN213&lt;&gt;$DO213) + $B$19*($DN213=$DO213))</f>
        <v>3.7037037037037035E-4</v>
      </c>
      <c r="EK213" s="10" cm="1">
        <f t="array" aca="1" ref="EK213" ca="1">(1-$B$18)*SUMPRODUCT(OFFSET($BO$15,0,0,$B$14,1), 1*(_xlfn._xlws.FILTER(OFFSET($O$15,0,$DN213,$B$8,1),OFFSET($M$15,0,0,$B$8,1))=EK$13), 1*(_xlfn._xlws.FILTER(OFFSET($O$15,0,$DO213,$B$8,1),OFFSET($M$15,0,0,$B$8,1))=EK$14))   /   SUM(OFFSET($BO$15,0,0,$B$14,1)) + $B$18/($B$19*$B$19*($DN213&lt;&gt;$DO213) + $B$19*($DN213=$DO213))</f>
        <v>3.7037037037037035E-4</v>
      </c>
      <c r="EL213" s="10" cm="1">
        <f t="array" aca="1" ref="EL213" ca="1">(1-$B$18)*SUMPRODUCT(OFFSET($BO$15,0,0,$B$14,1), 1*(_xlfn._xlws.FILTER(OFFSET($O$15,0,$DN213,$B$8,1),OFFSET($M$15,0,0,$B$8,1))=EL$13), 1*(_xlfn._xlws.FILTER(OFFSET($O$15,0,$DO213,$B$8,1),OFFSET($M$15,0,0,$B$8,1))=EL$14))   /   SUM(OFFSET($BO$15,0,0,$B$14,1)) + $B$18/($B$19*$B$19*($DN213&lt;&gt;$DO213) + $B$19*($DN213=$DO213))</f>
        <v>0.24287037037037026</v>
      </c>
      <c r="EM213" s="10" cm="1">
        <f t="array" aca="1" ref="EM213" ca="1">(1-$B$18)*SUMPRODUCT(OFFSET($BO$15,0,0,$B$14,1), 1*(_xlfn._xlws.FILTER(OFFSET($O$15,0,$DN213,$B$8,1),OFFSET($M$15,0,0,$B$8,1))=EM$13), 1*(_xlfn._xlws.FILTER(OFFSET($O$15,0,$DO213,$B$8,1),OFFSET($M$15,0,0,$B$8,1))=EM$14))   /   SUM(OFFSET($BO$15,0,0,$B$14,1)) + $B$18/($B$19*$B$19*($DN213&lt;&gt;$DO213) + $B$19*($DN213=$DO213))</f>
        <v>3.7037037037037035E-4</v>
      </c>
      <c r="EN213" s="10" cm="1">
        <f t="array" aca="1" ref="EN213" ca="1">(1-$B$18)*SUMPRODUCT(OFFSET($BO$15,0,0,$B$14,1), 1*(_xlfn._xlws.FILTER(OFFSET($O$15,0,$DN213,$B$8,1),OFFSET($M$15,0,0,$B$8,1))=EN$13), 1*(_xlfn._xlws.FILTER(OFFSET($O$15,0,$DO213,$B$8,1),OFFSET($M$15,0,0,$B$8,1))=EN$14))   /   SUM(OFFSET($BO$15,0,0,$B$14,1)) + $B$18/($B$19*$B$19*($DN213&lt;&gt;$DO213) + $B$19*($DN213=$DO213))</f>
        <v>3.7037037037037035E-4</v>
      </c>
      <c r="EO213" s="10" cm="1">
        <f t="array" aca="1" ref="EO213" ca="1">(1-$B$18)*SUMPRODUCT(OFFSET($BO$15,0,0,$B$14,1), 1*(_xlfn._xlws.FILTER(OFFSET($O$15,0,$DN213,$B$8,1),OFFSET($M$15,0,0,$B$8,1))=EO$13), 1*(_xlfn._xlws.FILTER(OFFSET($O$15,0,$DO213,$B$8,1),OFFSET($M$15,0,0,$B$8,1))=EO$14))   /   SUM(OFFSET($BO$15,0,0,$B$14,1)) + $B$18/($B$19*$B$19*($DN213&lt;&gt;$DO213) + $B$19*($DN213=$DO213))</f>
        <v>3.7037037037037035E-4</v>
      </c>
      <c r="EP213" s="10" cm="1">
        <f t="array" aca="1" ref="EP213" ca="1">(1-$B$18)*SUMPRODUCT(OFFSET($BO$15,0,0,$B$14,1), 1*(_xlfn._xlws.FILTER(OFFSET($O$15,0,$DN213,$B$8,1),OFFSET($M$15,0,0,$B$8,1))=EP$13), 1*(_xlfn._xlws.FILTER(OFFSET($O$15,0,$DO213,$B$8,1),OFFSET($M$15,0,0,$B$8,1))=EP$14))   /   SUM(OFFSET($BO$15,0,0,$B$14,1)) + $B$18/($B$19*$B$19*($DN213&lt;&gt;$DO213) + $B$19*($DN213=$DO213))</f>
        <v>3.7037037037037035E-4</v>
      </c>
      <c r="EQ213" s="10" cm="1">
        <f t="array" aca="1" ref="EQ213" ca="1">(1-$B$18)*SUMPRODUCT(OFFSET($BO$15,0,0,$B$14,1), 1*(_xlfn._xlws.FILTER(OFFSET($O$15,0,$DN213,$B$8,1),OFFSET($M$15,0,0,$B$8,1))=EQ$13), 1*(_xlfn._xlws.FILTER(OFFSET($O$15,0,$DO213,$B$8,1),OFFSET($M$15,0,0,$B$8,1))=EQ$14))   /   SUM(OFFSET($BO$15,0,0,$B$14,1)) + $B$18/($B$19*$B$19*($DN213&lt;&gt;$DO213) + $B$19*($DN213=$DO213))</f>
        <v>3.7037037037037035E-4</v>
      </c>
      <c r="ER213" s="10" cm="1">
        <f t="array" aca="1" ref="ER213" ca="1">(1-$B$18)*SUMPRODUCT(OFFSET($BO$15,0,0,$B$14,1), 1*(_xlfn._xlws.FILTER(OFFSET($O$15,0,$DN213,$B$8,1),OFFSET($M$15,0,0,$B$8,1))=ER$13), 1*(_xlfn._xlws.FILTER(OFFSET($O$15,0,$DO213,$B$8,1),OFFSET($M$15,0,0,$B$8,1))=ER$14))   /   SUM(OFFSET($BO$15,0,0,$B$14,1)) + $B$18/($B$19*$B$19*($DN213&lt;&gt;$DO213) + $B$19*($DN213=$DO213))</f>
        <v>3.7037037037037035E-4</v>
      </c>
      <c r="ES213" s="10" cm="1">
        <f t="array" aca="1" ref="ES213" ca="1">(1-$B$18)*SUMPRODUCT(OFFSET($BO$15,0,0,$B$14,1), 1*(_xlfn._xlws.FILTER(OFFSET($O$15,0,$DN213,$B$8,1),OFFSET($M$15,0,0,$B$8,1))=ES$13), 1*(_xlfn._xlws.FILTER(OFFSET($O$15,0,$DO213,$B$8,1),OFFSET($M$15,0,0,$B$8,1))=ES$14))   /   SUM(OFFSET($BO$15,0,0,$B$14,1)) + $B$18/($B$19*$B$19*($DN213&lt;&gt;$DO213) + $B$19*($DN213=$DO213))</f>
        <v>3.7037037037037035E-4</v>
      </c>
      <c r="ET213" s="10" cm="1">
        <f t="array" aca="1" ref="ET213" ca="1">(1-$B$18)*SUMPRODUCT(OFFSET($BO$15,0,0,$B$14,1), 1*(_xlfn._xlws.FILTER(OFFSET($O$15,0,$DN213,$B$8,1),OFFSET($M$15,0,0,$B$8,1))=ET$13), 1*(_xlfn._xlws.FILTER(OFFSET($O$15,0,$DO213,$B$8,1),OFFSET($M$15,0,0,$B$8,1))=ET$14))   /   SUM(OFFSET($BO$15,0,0,$B$14,1)) + $B$18/($B$19*$B$19*($DN213&lt;&gt;$DO213) + $B$19*($DN213=$DO213))</f>
        <v>0.24287037037037026</v>
      </c>
      <c r="EU213" s="10" cm="1">
        <f t="array" aca="1" ref="EU213" ca="1">(1-$B$18)*SUMPRODUCT(OFFSET($BO$15,0,0,$B$14,1), 1*(_xlfn._xlws.FILTER(OFFSET($O$15,0,$DN213,$B$8,1),OFFSET($M$15,0,0,$B$8,1))=EU$13), 1*(_xlfn._xlws.FILTER(OFFSET($O$15,0,$DO213,$B$8,1),OFFSET($M$15,0,0,$B$8,1))=EU$14))   /   SUM(OFFSET($BO$15,0,0,$B$14,1)) + $B$18/($B$19*$B$19*($DN213&lt;&gt;$DO213) + $B$19*($DN213=$DO213))</f>
        <v>3.7037037037037035E-4</v>
      </c>
      <c r="EV213" s="10" cm="1">
        <f t="array" aca="1" ref="EV213" ca="1">(1-$B$18)*SUMPRODUCT(OFFSET($BO$15,0,0,$B$14,1), 1*(_xlfn._xlws.FILTER(OFFSET($O$15,0,$DN213,$B$8,1),OFFSET($M$15,0,0,$B$8,1))=EV$13), 1*(_xlfn._xlws.FILTER(OFFSET($O$15,0,$DO213,$B$8,1),OFFSET($M$15,0,0,$B$8,1))=EV$14))   /   SUM(OFFSET($BO$15,0,0,$B$14,1)) + $B$18/($B$19*$B$19*($DN213&lt;&gt;$DO213) + $B$19*($DN213=$DO213))</f>
        <v>3.7037037037037035E-4</v>
      </c>
      <c r="EW213" s="10" cm="1">
        <f t="array" aca="1" ref="EW213" ca="1">(1-$B$18)*SUMPRODUCT(OFFSET($BO$15,0,0,$B$14,1), 1*(_xlfn._xlws.FILTER(OFFSET($O$15,0,$DN213,$B$8,1),OFFSET($M$15,0,0,$B$8,1))=EW$13), 1*(_xlfn._xlws.FILTER(OFFSET($O$15,0,$DO213,$B$8,1),OFFSET($M$15,0,0,$B$8,1))=EW$14))   /   SUM(OFFSET($BO$15,0,0,$B$14,1)) + $B$18/($B$19*$B$19*($DN213&lt;&gt;$DO213) + $B$19*($DN213=$DO213))</f>
        <v>3.7037037037037035E-4</v>
      </c>
      <c r="EX213" s="10" cm="1">
        <f t="array" aca="1" ref="EX213" ca="1">(1-$B$18)*SUMPRODUCT(OFFSET($BO$15,0,0,$B$14,1), 1*(_xlfn._xlws.FILTER(OFFSET($O$15,0,$DN213,$B$8,1),OFFSET($M$15,0,0,$B$8,1))=EX$13), 1*(_xlfn._xlws.FILTER(OFFSET($O$15,0,$DO213,$B$8,1),OFFSET($M$15,0,0,$B$8,1))=EX$14))   /   SUM(OFFSET($BO$15,0,0,$B$14,1)) + $B$18/($B$19*$B$19*($DN213&lt;&gt;$DO213) + $B$19*($DN213=$DO213))</f>
        <v>3.7037037037037035E-4</v>
      </c>
      <c r="EY213" s="10" cm="1">
        <f t="array" aca="1" ref="EY213" ca="1">(1-$B$18)*SUMPRODUCT(OFFSET($BO$15,0,0,$B$14,1), 1*(_xlfn._xlws.FILTER(OFFSET($O$15,0,$DN213,$B$8,1),OFFSET($M$15,0,0,$B$8,1))=EY$13), 1*(_xlfn._xlws.FILTER(OFFSET($O$15,0,$DO213,$B$8,1),OFFSET($M$15,0,0,$B$8,1))=EY$14))   /   SUM(OFFSET($BO$15,0,0,$B$14,1)) + $B$18/($B$19*$B$19*($DN213&lt;&gt;$DO213) + $B$19*($DN213=$DO213))</f>
        <v>3.7037037037037035E-4</v>
      </c>
      <c r="EZ213" s="10" cm="1">
        <f t="array" aca="1" ref="EZ213" ca="1">(1-$B$18)*SUMPRODUCT(OFFSET($BO$15,0,0,$B$14,1), 1*(_xlfn._xlws.FILTER(OFFSET($O$15,0,$DN213,$B$8,1),OFFSET($M$15,0,0,$B$8,1))=EZ$13), 1*(_xlfn._xlws.FILTER(OFFSET($O$15,0,$DO213,$B$8,1),OFFSET($M$15,0,0,$B$8,1))=EZ$14))   /   SUM(OFFSET($BO$15,0,0,$B$14,1)) + $B$18/($B$19*$B$19*($DN213&lt;&gt;$DO213) + $B$19*($DN213=$DO213))</f>
        <v>3.7037037037037035E-4</v>
      </c>
      <c r="FA213" s="10" cm="1">
        <f t="array" aca="1" ref="FA213" ca="1">(1-$B$18)*SUMPRODUCT(OFFSET($BO$15,0,0,$B$14,1), 1*(_xlfn._xlws.FILTER(OFFSET($O$15,0,$DN213,$B$8,1),OFFSET($M$15,0,0,$B$8,1))=FA$13), 1*(_xlfn._xlws.FILTER(OFFSET($O$15,0,$DO213,$B$8,1),OFFSET($M$15,0,0,$B$8,1))=FA$14))   /   SUM(OFFSET($BO$15,0,0,$B$14,1)) + $B$18/($B$19*$B$19*($DN213&lt;&gt;$DO213) + $B$19*($DN213=$DO213))</f>
        <v>3.7037037037037035E-4</v>
      </c>
      <c r="FB213" s="10" cm="1">
        <f t="array" aca="1" ref="FB213" ca="1">(1-$B$18)*SUMPRODUCT(OFFSET($BO$15,0,0,$B$14,1), 1*(_xlfn._xlws.FILTER(OFFSET($O$15,0,$DN213,$B$8,1),OFFSET($M$15,0,0,$B$8,1))=FB$13), 1*(_xlfn._xlws.FILTER(OFFSET($O$15,0,$DO213,$B$8,1),OFFSET($M$15,0,0,$B$8,1))=FB$14))   /   SUM(OFFSET($BO$15,0,0,$B$14,1)) + $B$18/($B$19*$B$19*($DN213&lt;&gt;$DO213) + $B$19*($DN213=$DO213))</f>
        <v>3.7037037037037035E-4</v>
      </c>
      <c r="FC213" s="10" cm="1">
        <f t="array" aca="1" ref="FC213" ca="1">(1-$B$18)*SUMPRODUCT(OFFSET($BO$15,0,0,$B$14,1), 1*(_xlfn._xlws.FILTER(OFFSET($O$15,0,$DN213,$B$8,1),OFFSET($M$15,0,0,$B$8,1))=FC$13), 1*(_xlfn._xlws.FILTER(OFFSET($O$15,0,$DO213,$B$8,1),OFFSET($M$15,0,0,$B$8,1))=FC$14))   /   SUM(OFFSET($BO$15,0,0,$B$14,1)) + $B$18/($B$19*$B$19*($DN213&lt;&gt;$DO213) + $B$19*($DN213=$DO213))</f>
        <v>3.7037037037037035E-4</v>
      </c>
      <c r="FD213" s="10" cm="1">
        <f t="array" aca="1" ref="FD213" ca="1">(1-$B$18)*SUMPRODUCT(OFFSET($BO$15,0,0,$B$14,1), 1*(_xlfn._xlws.FILTER(OFFSET($O$15,0,$DN213,$B$8,1),OFFSET($M$15,0,0,$B$8,1))=FD$13), 1*(_xlfn._xlws.FILTER(OFFSET($O$15,0,$DO213,$B$8,1),OFFSET($M$15,0,0,$B$8,1))=FD$14))   /   SUM(OFFSET($BO$15,0,0,$B$14,1)) + $B$18/($B$19*$B$19*($DN213&lt;&gt;$DO213) + $B$19*($DN213=$DO213))</f>
        <v>3.7037037037037035E-4</v>
      </c>
      <c r="FE213" s="10" cm="1">
        <f t="array" aca="1" ref="FE213" ca="1">(1-$B$18)*SUMPRODUCT(OFFSET($BO$15,0,0,$B$14,1), 1*(_xlfn._xlws.FILTER(OFFSET($O$15,0,$DN213,$B$8,1),OFFSET($M$15,0,0,$B$8,1))=FE$13), 1*(_xlfn._xlws.FILTER(OFFSET($O$15,0,$DO213,$B$8,1),OFFSET($M$15,0,0,$B$8,1))=FE$14))   /   SUM(OFFSET($BO$15,0,0,$B$14,1)) + $B$18/($B$19*$B$19*($DN213&lt;&gt;$DO213) + $B$19*($DN213=$DO213))</f>
        <v>3.7037037037037035E-4</v>
      </c>
      <c r="FF213" s="10" cm="1">
        <f t="array" aca="1" ref="FF213" ca="1">(1-$B$18)*SUMPRODUCT(OFFSET($BO$15,0,0,$B$14,1), 1*(_xlfn._xlws.FILTER(OFFSET($O$15,0,$DN213,$B$8,1),OFFSET($M$15,0,0,$B$8,1))=FF$13), 1*(_xlfn._xlws.FILTER(OFFSET($O$15,0,$DO213,$B$8,1),OFFSET($M$15,0,0,$B$8,1))=FF$14))   /   SUM(OFFSET($BO$15,0,0,$B$14,1)) + $B$18/($B$19*$B$19*($DN213&lt;&gt;$DO213) + $B$19*($DN213=$DO213))</f>
        <v>3.7037037037037035E-4</v>
      </c>
      <c r="FG213" s="10" cm="1">
        <f t="array" aca="1" ref="FG213" ca="1">(1-$B$18)*SUMPRODUCT(OFFSET($BO$15,0,0,$B$14,1), 1*(_xlfn._xlws.FILTER(OFFSET($O$15,0,$DN213,$B$8,1),OFFSET($M$15,0,0,$B$8,1))=FG$13), 1*(_xlfn._xlws.FILTER(OFFSET($O$15,0,$DO213,$B$8,1),OFFSET($M$15,0,0,$B$8,1))=FG$14))   /   SUM(OFFSET($BO$15,0,0,$B$14,1)) + $B$18/($B$19*$B$19*($DN213&lt;&gt;$DO213) + $B$19*($DN213=$DO213))</f>
        <v>3.7037037037037035E-4</v>
      </c>
      <c r="FH213" s="10" cm="1">
        <f t="array" aca="1" ref="FH213" ca="1">(1-$B$18)*SUMPRODUCT(OFFSET($BO$15,0,0,$B$14,1), 1*(_xlfn._xlws.FILTER(OFFSET($O$15,0,$DN213,$B$8,1),OFFSET($M$15,0,0,$B$8,1))=FH$13), 1*(_xlfn._xlws.FILTER(OFFSET($O$15,0,$DO213,$B$8,1),OFFSET($M$15,0,0,$B$8,1))=FH$14))   /   SUM(OFFSET($BO$15,0,0,$B$14,1)) + $B$18/($B$19*$B$19*($DN213&lt;&gt;$DO213) + $B$19*($DN213=$DO213))</f>
        <v>3.7037037037037035E-4</v>
      </c>
      <c r="FI213" s="10" cm="1">
        <f t="array" aca="1" ref="FI213" ca="1">(1-$B$18)*SUMPRODUCT(OFFSET($BO$15,0,0,$B$14,1), 1*(_xlfn._xlws.FILTER(OFFSET($O$15,0,$DN213,$B$8,1),OFFSET($M$15,0,0,$B$8,1))=FI$13), 1*(_xlfn._xlws.FILTER(OFFSET($O$15,0,$DO213,$B$8,1),OFFSET($M$15,0,0,$B$8,1))=FI$14))   /   SUM(OFFSET($BO$15,0,0,$B$14,1)) + $B$18/($B$19*$B$19*($DN213&lt;&gt;$DO213) + $B$19*($DN213=$DO213))</f>
        <v>3.7037037037037035E-4</v>
      </c>
      <c r="FJ213" s="10" cm="1">
        <f t="array" aca="1" ref="FJ213" ca="1">(1-$B$18)*SUMPRODUCT(OFFSET($BO$15,0,0,$B$14,1), 1*(_xlfn._xlws.FILTER(OFFSET($O$15,0,$DN213,$B$8,1),OFFSET($M$15,0,0,$B$8,1))=FJ$13), 1*(_xlfn._xlws.FILTER(OFFSET($O$15,0,$DO213,$B$8,1),OFFSET($M$15,0,0,$B$8,1))=FJ$14))   /   SUM(OFFSET($BO$15,0,0,$B$14,1)) + $B$18/($B$19*$B$19*($DN213&lt;&gt;$DO213) + $B$19*($DN213=$DO213))</f>
        <v>3.7037037037037035E-4</v>
      </c>
      <c r="FK213" s="10" cm="1">
        <f t="array" aca="1" ref="FK213" ca="1">(1-$B$18)*SUMPRODUCT(OFFSET($BO$15,0,0,$B$14,1), 1*(_xlfn._xlws.FILTER(OFFSET($O$15,0,$DN213,$B$8,1),OFFSET($M$15,0,0,$B$8,1))=FK$13), 1*(_xlfn._xlws.FILTER(OFFSET($O$15,0,$DO213,$B$8,1),OFFSET($M$15,0,0,$B$8,1))=FK$14))   /   SUM(OFFSET($BO$15,0,0,$B$14,1)) + $B$18/($B$19*$B$19*($DN213&lt;&gt;$DO213) + $B$19*($DN213=$DO213))</f>
        <v>3.7037037037037035E-4</v>
      </c>
      <c r="FL213" s="10" cm="1">
        <f t="array" aca="1" ref="FL213" ca="1">(1-$B$18)*SUMPRODUCT(OFFSET($BO$15,0,0,$B$14,1), 1*(_xlfn._xlws.FILTER(OFFSET($O$15,0,$DN213,$B$8,1),OFFSET($M$15,0,0,$B$8,1))=FL$13), 1*(_xlfn._xlws.FILTER(OFFSET($O$15,0,$DO213,$B$8,1),OFFSET($M$15,0,0,$B$8,1))=FL$14))   /   SUM(OFFSET($BO$15,0,0,$B$14,1)) + $B$18/($B$19*$B$19*($DN213&lt;&gt;$DO213) + $B$19*($DN213=$DO213))</f>
        <v>3.7037037037037035E-4</v>
      </c>
      <c r="FM213" s="10" cm="1">
        <f t="array" aca="1" ref="FM213" ca="1">(1-$B$18)*SUMPRODUCT(OFFSET($BO$15,0,0,$B$14,1), 1*(_xlfn._xlws.FILTER(OFFSET($O$15,0,$DN213,$B$8,1),OFFSET($M$15,0,0,$B$8,1))=FM$13), 1*(_xlfn._xlws.FILTER(OFFSET($O$15,0,$DO213,$B$8,1),OFFSET($M$15,0,0,$B$8,1))=FM$14))   /   SUM(OFFSET($BO$15,0,0,$B$14,1)) + $B$18/($B$19*$B$19*($DN213&lt;&gt;$DO213) + $B$19*($DN213=$DO213))</f>
        <v>3.7037037037037035E-4</v>
      </c>
      <c r="FN213" s="10" cm="1">
        <f t="array" aca="1" ref="FN213" ca="1">(1-$B$18)*SUMPRODUCT(OFFSET($BO$15,0,0,$B$14,1), 1*(_xlfn._xlws.FILTER(OFFSET($O$15,0,$DN213,$B$8,1),OFFSET($M$15,0,0,$B$8,1))=FN$13), 1*(_xlfn._xlws.FILTER(OFFSET($O$15,0,$DO213,$B$8,1),OFFSET($M$15,0,0,$B$8,1))=FN$14))   /   SUM(OFFSET($BO$15,0,0,$B$14,1)) + $B$18/($B$19*$B$19*($DN213&lt;&gt;$DO213) + $B$19*($DN213=$DO213))</f>
        <v>3.7037037037037035E-4</v>
      </c>
      <c r="FO213" s="10" cm="1">
        <f t="array" aca="1" ref="FO213" ca="1">(1-$B$18)*SUMPRODUCT(OFFSET($BO$15,0,0,$B$14,1), 1*(_xlfn._xlws.FILTER(OFFSET($O$15,0,$DN213,$B$8,1),OFFSET($M$15,0,0,$B$8,1))=FO$13), 1*(_xlfn._xlws.FILTER(OFFSET($O$15,0,$DO213,$B$8,1),OFFSET($M$15,0,0,$B$8,1))=FO$14))   /   SUM(OFFSET($BO$15,0,0,$B$14,1)) + $B$18/($B$19*$B$19*($DN213&lt;&gt;$DO213) + $B$19*($DN213=$DO213))</f>
        <v>3.7037037037037035E-4</v>
      </c>
      <c r="FP213" s="10" cm="1">
        <f t="array" aca="1" ref="FP213" ca="1">(1-$B$18)*SUMPRODUCT(OFFSET($BO$15,0,0,$B$14,1), 1*(_xlfn._xlws.FILTER(OFFSET($O$15,0,$DN213,$B$8,1),OFFSET($M$15,0,0,$B$8,1))=FP$13), 1*(_xlfn._xlws.FILTER(OFFSET($O$15,0,$DO213,$B$8,1),OFFSET($M$15,0,0,$B$8,1))=FP$14))   /   SUM(OFFSET($BO$15,0,0,$B$14,1)) + $B$18/($B$19*$B$19*($DN213&lt;&gt;$DO213) + $B$19*($DN213=$DO213))</f>
        <v>3.7037037037037035E-4</v>
      </c>
      <c r="FQ213" s="10" cm="1">
        <f t="array" aca="1" ref="FQ213" ca="1">(1-$B$18)*SUMPRODUCT(OFFSET($BO$15,0,0,$B$14,1), 1*(_xlfn._xlws.FILTER(OFFSET($O$15,0,$DN213,$B$8,1),OFFSET($M$15,0,0,$B$8,1))=FQ$13), 1*(_xlfn._xlws.FILTER(OFFSET($O$15,0,$DO213,$B$8,1),OFFSET($M$15,0,0,$B$8,1))=FQ$14))   /   SUM(OFFSET($BO$15,0,0,$B$14,1)) + $B$18/($B$19*$B$19*($DN213&lt;&gt;$DO213) + $B$19*($DN213=$DO213))</f>
        <v>3.7037037037037035E-4</v>
      </c>
      <c r="FR213" s="10" cm="1">
        <f t="array" aca="1" ref="FR213" ca="1">(1-$B$18)*SUMPRODUCT(OFFSET($BO$15,0,0,$B$14,1), 1*(_xlfn._xlws.FILTER(OFFSET($O$15,0,$DN213,$B$8,1),OFFSET($M$15,0,0,$B$8,1))=FR$13), 1*(_xlfn._xlws.FILTER(OFFSET($O$15,0,$DO213,$B$8,1),OFFSET($M$15,0,0,$B$8,1))=FR$14))   /   SUM(OFFSET($BO$15,0,0,$B$14,1)) + $B$18/($B$19*$B$19*($DN213&lt;&gt;$DO213) + $B$19*($DN213=$DO213))</f>
        <v>3.7037037037037035E-4</v>
      </c>
      <c r="FS213" s="10" cm="1">
        <f t="array" aca="1" ref="FS213" ca="1">(1-$B$18)*SUMPRODUCT(OFFSET($BO$15,0,0,$B$14,1), 1*(_xlfn._xlws.FILTER(OFFSET($O$15,0,$DN213,$B$8,1),OFFSET($M$15,0,0,$B$8,1))=FS$13), 1*(_xlfn._xlws.FILTER(OFFSET($O$15,0,$DO213,$B$8,1),OFFSET($M$15,0,0,$B$8,1))=FS$14))   /   SUM(OFFSET($BO$15,0,0,$B$14,1)) + $B$18/($B$19*$B$19*($DN213&lt;&gt;$DO213) + $B$19*($DN213=$DO213))</f>
        <v>3.7037037037037035E-4</v>
      </c>
      <c r="FT213" s="10" cm="1">
        <f t="array" aca="1" ref="FT213" ca="1">(1-$B$18)*SUMPRODUCT(OFFSET($BO$15,0,0,$B$14,1), 1*(_xlfn._xlws.FILTER(OFFSET($O$15,0,$DN213,$B$8,1),OFFSET($M$15,0,0,$B$8,1))=FT$13), 1*(_xlfn._xlws.FILTER(OFFSET($O$15,0,$DO213,$B$8,1),OFFSET($M$15,0,0,$B$8,1))=FT$14))   /   SUM(OFFSET($BO$15,0,0,$B$14,1)) + $B$18/($B$19*$B$19*($DN213&lt;&gt;$DO213) + $B$19*($DN213=$DO213))</f>
        <v>3.7037037037037035E-4</v>
      </c>
      <c r="FU213" s="10" cm="1">
        <f t="array" aca="1" ref="FU213" ca="1">(1-$B$18)*SUMPRODUCT(OFFSET($BO$15,0,0,$B$14,1), 1*(_xlfn._xlws.FILTER(OFFSET($O$15,0,$DN213,$B$8,1),OFFSET($M$15,0,0,$B$8,1))=FU$13), 1*(_xlfn._xlws.FILTER(OFFSET($O$15,0,$DO213,$B$8,1),OFFSET($M$15,0,0,$B$8,1))=FU$14))   /   SUM(OFFSET($BO$15,0,0,$B$14,1)) + $B$18/($B$19*$B$19*($DN213&lt;&gt;$DO213) + $B$19*($DN213=$DO213))</f>
        <v>3.7037037037037035E-4</v>
      </c>
      <c r="FV213" s="10" cm="1">
        <f t="array" aca="1" ref="FV213" ca="1">(1-$B$18)*SUMPRODUCT(OFFSET($BO$15,0,0,$B$14,1), 1*(_xlfn._xlws.FILTER(OFFSET($O$15,0,$DN213,$B$8,1),OFFSET($M$15,0,0,$B$8,1))=FV$13), 1*(_xlfn._xlws.FILTER(OFFSET($O$15,0,$DO213,$B$8,1),OFFSET($M$15,0,0,$B$8,1))=FV$14))   /   SUM(OFFSET($BO$15,0,0,$B$14,1)) + $B$18/($B$19*$B$19*($DN213&lt;&gt;$DO213) + $B$19*($DN213=$DO213))</f>
        <v>3.7037037037037035E-4</v>
      </c>
      <c r="FW213" s="10" cm="1">
        <f t="array" aca="1" ref="FW213" ca="1">(1-$B$18)*SUMPRODUCT(OFFSET($BO$15,0,0,$B$14,1), 1*(_xlfn._xlws.FILTER(OFFSET($O$15,0,$DN213,$B$8,1),OFFSET($M$15,0,0,$B$8,1))=FW$13), 1*(_xlfn._xlws.FILTER(OFFSET($O$15,0,$DO213,$B$8,1),OFFSET($M$15,0,0,$B$8,1))=FW$14))   /   SUM(OFFSET($BO$15,0,0,$B$14,1)) + $B$18/($B$19*$B$19*($DN213&lt;&gt;$DO213) + $B$19*($DN213=$DO213))</f>
        <v>3.7037037037037035E-4</v>
      </c>
      <c r="FX213" s="10" cm="1">
        <f t="array" aca="1" ref="FX213" ca="1">(1-$B$18)*SUMPRODUCT(OFFSET($BO$15,0,0,$B$14,1), 1*(_xlfn._xlws.FILTER(OFFSET($O$15,0,$DN213,$B$8,1),OFFSET($M$15,0,0,$B$8,1))=FX$13), 1*(_xlfn._xlws.FILTER(OFFSET($O$15,0,$DO213,$B$8,1),OFFSET($M$15,0,0,$B$8,1))=FX$14))   /   SUM(OFFSET($BO$15,0,0,$B$14,1)) + $B$18/($B$19*$B$19*($DN213&lt;&gt;$DO213) + $B$19*($DN213=$DO213))</f>
        <v>3.7037037037037035E-4</v>
      </c>
      <c r="FY213" s="10" cm="1">
        <f t="array" aca="1" ref="FY213" ca="1">(1-$B$18)*SUMPRODUCT(OFFSET($BO$15,0,0,$B$14,1), 1*(_xlfn._xlws.FILTER(OFFSET($O$15,0,$DN213,$B$8,1),OFFSET($M$15,0,0,$B$8,1))=FY$13), 1*(_xlfn._xlws.FILTER(OFFSET($O$15,0,$DO213,$B$8,1),OFFSET($M$15,0,0,$B$8,1))=FY$14))   /   SUM(OFFSET($BO$15,0,0,$B$14,1)) + $B$18/($B$19*$B$19*($DN213&lt;&gt;$DO213) + $B$19*($DN213=$DO213))</f>
        <v>3.7037037037037035E-4</v>
      </c>
      <c r="FZ213" s="10" cm="1">
        <f t="array" aca="1" ref="FZ213" ca="1">(1-$B$18)*SUMPRODUCT(OFFSET($BO$15,0,0,$B$14,1), 1*(_xlfn._xlws.FILTER(OFFSET($O$15,0,$DN213,$B$8,1),OFFSET($M$15,0,0,$B$8,1))=FZ$13), 1*(_xlfn._xlws.FILTER(OFFSET($O$15,0,$DO213,$B$8,1),OFFSET($M$15,0,0,$B$8,1))=FZ$14))   /   SUM(OFFSET($BO$15,0,0,$B$14,1)) + $B$18/($B$19*$B$19*($DN213&lt;&gt;$DO213) + $B$19*($DN213=$DO213))</f>
        <v>3.7037037037037035E-4</v>
      </c>
      <c r="GA213" s="10" cm="1">
        <f t="array" aca="1" ref="GA213" ca="1">(1-$B$18)*SUMPRODUCT(OFFSET($BO$15,0,0,$B$14,1), 1*(_xlfn._xlws.FILTER(OFFSET($O$15,0,$DN213,$B$8,1),OFFSET($M$15,0,0,$B$8,1))=GA$13), 1*(_xlfn._xlws.FILTER(OFFSET($O$15,0,$DO213,$B$8,1),OFFSET($M$15,0,0,$B$8,1))=GA$14))   /   SUM(OFFSET($BO$15,0,0,$B$14,1)) + $B$18/($B$19*$B$19*($DN213&lt;&gt;$DO213) + $B$19*($DN213=$DO213))</f>
        <v>3.7037037037037035E-4</v>
      </c>
    </row>
    <row r="214" spans="118:183" x14ac:dyDescent="0.2">
      <c r="DN214" cm="1">
        <f t="array" aca="1" ref="DN214" ca="1">INDEX(_xlfn.ANCHORARRAY($CP$15), 1 + INT((ROWS($DO$15:$DO214) - 1) / ROWS(_xlfn.ANCHORARRAY($CP$15))))</f>
        <v>11</v>
      </c>
      <c r="DO214" cm="1">
        <f t="array" aca="1" ref="DO214" ca="1">INDEX(_xlfn.ANCHORARRAY($CP$15),1+MOD(ROWS($DO$15:$DO214)-1,ROWS(_xlfn.ANCHORARRAY($CP$15))))</f>
        <v>9</v>
      </c>
      <c r="DP214" s="10" cm="1">
        <f t="array" aca="1" ref="DP214" ca="1">(1-$B$18)*SUMPRODUCT(OFFSET($BO$15,0,0,$B$14,1), 1*(_xlfn._xlws.FILTER(OFFSET($O$15,0,$DN214,$B$8,1),OFFSET($M$15,0,0,$B$8,1))=DP$13), 1*(_xlfn._xlws.FILTER(OFFSET($O$15,0,$DO214,$B$8,1),OFFSET($M$15,0,0,$B$8,1))=DP$14))   /   SUM(OFFSET($BO$15,0,0,$B$14,1)) + $B$18/($B$19*$B$19*($DN214&lt;&gt;$DO214) + $B$19*($DN214=$DO214))</f>
        <v>3.7037037037037035E-4</v>
      </c>
      <c r="DQ214" s="10" cm="1">
        <f t="array" aca="1" ref="DQ214" ca="1">(1-$B$18)*SUMPRODUCT(OFFSET($BO$15,0,0,$B$14,1), 1*(_xlfn._xlws.FILTER(OFFSET($O$15,0,$DN214,$B$8,1),OFFSET($M$15,0,0,$B$8,1))=DQ$13), 1*(_xlfn._xlws.FILTER(OFFSET($O$15,0,$DO214,$B$8,1),OFFSET($M$15,0,0,$B$8,1))=DQ$14))   /   SUM(OFFSET($BO$15,0,0,$B$14,1)) + $B$18/($B$19*$B$19*($DN214&lt;&gt;$DO214) + $B$19*($DN214=$DO214))</f>
        <v>3.7037037037037035E-4</v>
      </c>
      <c r="DR214" s="10" cm="1">
        <f t="array" aca="1" ref="DR214" ca="1">(1-$B$18)*SUMPRODUCT(OFFSET($BO$15,0,0,$B$14,1), 1*(_xlfn._xlws.FILTER(OFFSET($O$15,0,$DN214,$B$8,1),OFFSET($M$15,0,0,$B$8,1))=DR$13), 1*(_xlfn._xlws.FILTER(OFFSET($O$15,0,$DO214,$B$8,1),OFFSET($M$15,0,0,$B$8,1))=DR$14))   /   SUM(OFFSET($BO$15,0,0,$B$14,1)) + $B$18/($B$19*$B$19*($DN214&lt;&gt;$DO214) + $B$19*($DN214=$DO214))</f>
        <v>3.7037037037037035E-4</v>
      </c>
      <c r="DS214" s="10" cm="1">
        <f t="array" aca="1" ref="DS214" ca="1">(1-$B$18)*SUMPRODUCT(OFFSET($BO$15,0,0,$B$14,1), 1*(_xlfn._xlws.FILTER(OFFSET($O$15,0,$DN214,$B$8,1),OFFSET($M$15,0,0,$B$8,1))=DS$13), 1*(_xlfn._xlws.FILTER(OFFSET($O$15,0,$DO214,$B$8,1),OFFSET($M$15,0,0,$B$8,1))=DS$14))   /   SUM(OFFSET($BO$15,0,0,$B$14,1)) + $B$18/($B$19*$B$19*($DN214&lt;&gt;$DO214) + $B$19*($DN214=$DO214))</f>
        <v>3.7037037037037035E-4</v>
      </c>
      <c r="DT214" s="10" cm="1">
        <f t="array" aca="1" ref="DT214" ca="1">(1-$B$18)*SUMPRODUCT(OFFSET($BO$15,0,0,$B$14,1), 1*(_xlfn._xlws.FILTER(OFFSET($O$15,0,$DN214,$B$8,1),OFFSET($M$15,0,0,$B$8,1))=DT$13), 1*(_xlfn._xlws.FILTER(OFFSET($O$15,0,$DO214,$B$8,1),OFFSET($M$15,0,0,$B$8,1))=DT$14))   /   SUM(OFFSET($BO$15,0,0,$B$14,1)) + $B$18/($B$19*$B$19*($DN214&lt;&gt;$DO214) + $B$19*($DN214=$DO214))</f>
        <v>3.7037037037037035E-4</v>
      </c>
      <c r="DU214" s="10" cm="1">
        <f t="array" aca="1" ref="DU214" ca="1">(1-$B$18)*SUMPRODUCT(OFFSET($BO$15,0,0,$B$14,1), 1*(_xlfn._xlws.FILTER(OFFSET($O$15,0,$DN214,$B$8,1),OFFSET($M$15,0,0,$B$8,1))=DU$13), 1*(_xlfn._xlws.FILTER(OFFSET($O$15,0,$DO214,$B$8,1),OFFSET($M$15,0,0,$B$8,1))=DU$14))   /   SUM(OFFSET($BO$15,0,0,$B$14,1)) + $B$18/($B$19*$B$19*($DN214&lt;&gt;$DO214) + $B$19*($DN214=$DO214))</f>
        <v>3.7037037037037035E-4</v>
      </c>
      <c r="DV214" s="10" cm="1">
        <f t="array" aca="1" ref="DV214" ca="1">(1-$B$18)*SUMPRODUCT(OFFSET($BO$15,0,0,$B$14,1), 1*(_xlfn._xlws.FILTER(OFFSET($O$15,0,$DN214,$B$8,1),OFFSET($M$15,0,0,$B$8,1))=DV$13), 1*(_xlfn._xlws.FILTER(OFFSET($O$15,0,$DO214,$B$8,1),OFFSET($M$15,0,0,$B$8,1))=DV$14))   /   SUM(OFFSET($BO$15,0,0,$B$14,1)) + $B$18/($B$19*$B$19*($DN214&lt;&gt;$DO214) + $B$19*($DN214=$DO214))</f>
        <v>0.48537037037037034</v>
      </c>
      <c r="DW214" s="10" cm="1">
        <f t="array" aca="1" ref="DW214" ca="1">(1-$B$18)*SUMPRODUCT(OFFSET($BO$15,0,0,$B$14,1), 1*(_xlfn._xlws.FILTER(OFFSET($O$15,0,$DN214,$B$8,1),OFFSET($M$15,0,0,$B$8,1))=DW$13), 1*(_xlfn._xlws.FILTER(OFFSET($O$15,0,$DO214,$B$8,1),OFFSET($M$15,0,0,$B$8,1))=DW$14))   /   SUM(OFFSET($BO$15,0,0,$B$14,1)) + $B$18/($B$19*$B$19*($DN214&lt;&gt;$DO214) + $B$19*($DN214=$DO214))</f>
        <v>3.7037037037037035E-4</v>
      </c>
      <c r="DX214" s="10" cm="1">
        <f t="array" aca="1" ref="DX214" ca="1">(1-$B$18)*SUMPRODUCT(OFFSET($BO$15,0,0,$B$14,1), 1*(_xlfn._xlws.FILTER(OFFSET($O$15,0,$DN214,$B$8,1),OFFSET($M$15,0,0,$B$8,1))=DX$13), 1*(_xlfn._xlws.FILTER(OFFSET($O$15,0,$DO214,$B$8,1),OFFSET($M$15,0,0,$B$8,1))=DX$14))   /   SUM(OFFSET($BO$15,0,0,$B$14,1)) + $B$18/($B$19*$B$19*($DN214&lt;&gt;$DO214) + $B$19*($DN214=$DO214))</f>
        <v>3.7037037037037035E-4</v>
      </c>
      <c r="DY214" s="10" cm="1">
        <f t="array" aca="1" ref="DY214" ca="1">(1-$B$18)*SUMPRODUCT(OFFSET($BO$15,0,0,$B$14,1), 1*(_xlfn._xlws.FILTER(OFFSET($O$15,0,$DN214,$B$8,1),OFFSET($M$15,0,0,$B$8,1))=DY$13), 1*(_xlfn._xlws.FILTER(OFFSET($O$15,0,$DO214,$B$8,1),OFFSET($M$15,0,0,$B$8,1))=DY$14))   /   SUM(OFFSET($BO$15,0,0,$B$14,1)) + $B$18/($B$19*$B$19*($DN214&lt;&gt;$DO214) + $B$19*($DN214=$DO214))</f>
        <v>3.7037037037037035E-4</v>
      </c>
      <c r="DZ214" s="10" cm="1">
        <f t="array" aca="1" ref="DZ214" ca="1">(1-$B$18)*SUMPRODUCT(OFFSET($BO$15,0,0,$B$14,1), 1*(_xlfn._xlws.FILTER(OFFSET($O$15,0,$DN214,$B$8,1),OFFSET($M$15,0,0,$B$8,1))=DZ$13), 1*(_xlfn._xlws.FILTER(OFFSET($O$15,0,$DO214,$B$8,1),OFFSET($M$15,0,0,$B$8,1))=DZ$14))   /   SUM(OFFSET($BO$15,0,0,$B$14,1)) + $B$18/($B$19*$B$19*($DN214&lt;&gt;$DO214) + $B$19*($DN214=$DO214))</f>
        <v>3.7037037037037035E-4</v>
      </c>
      <c r="EA214" s="10" cm="1">
        <f t="array" aca="1" ref="EA214" ca="1">(1-$B$18)*SUMPRODUCT(OFFSET($BO$15,0,0,$B$14,1), 1*(_xlfn._xlws.FILTER(OFFSET($O$15,0,$DN214,$B$8,1),OFFSET($M$15,0,0,$B$8,1))=EA$13), 1*(_xlfn._xlws.FILTER(OFFSET($O$15,0,$DO214,$B$8,1),OFFSET($M$15,0,0,$B$8,1))=EA$14))   /   SUM(OFFSET($BO$15,0,0,$B$14,1)) + $B$18/($B$19*$B$19*($DN214&lt;&gt;$DO214) + $B$19*($DN214=$DO214))</f>
        <v>3.7037037037037035E-4</v>
      </c>
      <c r="EB214" s="10" cm="1">
        <f t="array" aca="1" ref="EB214" ca="1">(1-$B$18)*SUMPRODUCT(OFFSET($BO$15,0,0,$B$14,1), 1*(_xlfn._xlws.FILTER(OFFSET($O$15,0,$DN214,$B$8,1),OFFSET($M$15,0,0,$B$8,1))=EB$13), 1*(_xlfn._xlws.FILTER(OFFSET($O$15,0,$DO214,$B$8,1),OFFSET($M$15,0,0,$B$8,1))=EB$14))   /   SUM(OFFSET($BO$15,0,0,$B$14,1)) + $B$18/($B$19*$B$19*($DN214&lt;&gt;$DO214) + $B$19*($DN214=$DO214))</f>
        <v>3.7037037037037035E-4</v>
      </c>
      <c r="EC214" s="10" cm="1">
        <f t="array" aca="1" ref="EC214" ca="1">(1-$B$18)*SUMPRODUCT(OFFSET($BO$15,0,0,$B$14,1), 1*(_xlfn._xlws.FILTER(OFFSET($O$15,0,$DN214,$B$8,1),OFFSET($M$15,0,0,$B$8,1))=EC$13), 1*(_xlfn._xlws.FILTER(OFFSET($O$15,0,$DO214,$B$8,1),OFFSET($M$15,0,0,$B$8,1))=EC$14))   /   SUM(OFFSET($BO$15,0,0,$B$14,1)) + $B$18/($B$19*$B$19*($DN214&lt;&gt;$DO214) + $B$19*($DN214=$DO214))</f>
        <v>3.7037037037037035E-4</v>
      </c>
      <c r="ED214" s="10" cm="1">
        <f t="array" aca="1" ref="ED214" ca="1">(1-$B$18)*SUMPRODUCT(OFFSET($BO$15,0,0,$B$14,1), 1*(_xlfn._xlws.FILTER(OFFSET($O$15,0,$DN214,$B$8,1),OFFSET($M$15,0,0,$B$8,1))=ED$13), 1*(_xlfn._xlws.FILTER(OFFSET($O$15,0,$DO214,$B$8,1),OFFSET($M$15,0,0,$B$8,1))=ED$14))   /   SUM(OFFSET($BO$15,0,0,$B$14,1)) + $B$18/($B$19*$B$19*($DN214&lt;&gt;$DO214) + $B$19*($DN214=$DO214))</f>
        <v>3.7037037037037035E-4</v>
      </c>
      <c r="EE214" s="10" cm="1">
        <f t="array" aca="1" ref="EE214" ca="1">(1-$B$18)*SUMPRODUCT(OFFSET($BO$15,0,0,$B$14,1), 1*(_xlfn._xlws.FILTER(OFFSET($O$15,0,$DN214,$B$8,1),OFFSET($M$15,0,0,$B$8,1))=EE$13), 1*(_xlfn._xlws.FILTER(OFFSET($O$15,0,$DO214,$B$8,1),OFFSET($M$15,0,0,$B$8,1))=EE$14))   /   SUM(OFFSET($BO$15,0,0,$B$14,1)) + $B$18/($B$19*$B$19*($DN214&lt;&gt;$DO214) + $B$19*($DN214=$DO214))</f>
        <v>3.7037037037037035E-4</v>
      </c>
      <c r="EF214" s="10" cm="1">
        <f t="array" aca="1" ref="EF214" ca="1">(1-$B$18)*SUMPRODUCT(OFFSET($BO$15,0,0,$B$14,1), 1*(_xlfn._xlws.FILTER(OFFSET($O$15,0,$DN214,$B$8,1),OFFSET($M$15,0,0,$B$8,1))=EF$13), 1*(_xlfn._xlws.FILTER(OFFSET($O$15,0,$DO214,$B$8,1),OFFSET($M$15,0,0,$B$8,1))=EF$14))   /   SUM(OFFSET($BO$15,0,0,$B$14,1)) + $B$18/($B$19*$B$19*($DN214&lt;&gt;$DO214) + $B$19*($DN214=$DO214))</f>
        <v>3.7037037037037035E-4</v>
      </c>
      <c r="EG214" s="10" cm="1">
        <f t="array" aca="1" ref="EG214" ca="1">(1-$B$18)*SUMPRODUCT(OFFSET($BO$15,0,0,$B$14,1), 1*(_xlfn._xlws.FILTER(OFFSET($O$15,0,$DN214,$B$8,1),OFFSET($M$15,0,0,$B$8,1))=EG$13), 1*(_xlfn._xlws.FILTER(OFFSET($O$15,0,$DO214,$B$8,1),OFFSET($M$15,0,0,$B$8,1))=EG$14))   /   SUM(OFFSET($BO$15,0,0,$B$14,1)) + $B$18/($B$19*$B$19*($DN214&lt;&gt;$DO214) + $B$19*($DN214=$DO214))</f>
        <v>3.7037037037037035E-4</v>
      </c>
      <c r="EH214" s="10" cm="1">
        <f t="array" aca="1" ref="EH214" ca="1">(1-$B$18)*SUMPRODUCT(OFFSET($BO$15,0,0,$B$14,1), 1*(_xlfn._xlws.FILTER(OFFSET($O$15,0,$DN214,$B$8,1),OFFSET($M$15,0,0,$B$8,1))=EH$13), 1*(_xlfn._xlws.FILTER(OFFSET($O$15,0,$DO214,$B$8,1),OFFSET($M$15,0,0,$B$8,1))=EH$14))   /   SUM(OFFSET($BO$15,0,0,$B$14,1)) + $B$18/($B$19*$B$19*($DN214&lt;&gt;$DO214) + $B$19*($DN214=$DO214))</f>
        <v>3.7037037037037035E-4</v>
      </c>
      <c r="EI214" s="10" cm="1">
        <f t="array" aca="1" ref="EI214" ca="1">(1-$B$18)*SUMPRODUCT(OFFSET($BO$15,0,0,$B$14,1), 1*(_xlfn._xlws.FILTER(OFFSET($O$15,0,$DN214,$B$8,1),OFFSET($M$15,0,0,$B$8,1))=EI$13), 1*(_xlfn._xlws.FILTER(OFFSET($O$15,0,$DO214,$B$8,1),OFFSET($M$15,0,0,$B$8,1))=EI$14))   /   SUM(OFFSET($BO$15,0,0,$B$14,1)) + $B$18/($B$19*$B$19*($DN214&lt;&gt;$DO214) + $B$19*($DN214=$DO214))</f>
        <v>3.7037037037037035E-4</v>
      </c>
      <c r="EJ214" s="10" cm="1">
        <f t="array" aca="1" ref="EJ214" ca="1">(1-$B$18)*SUMPRODUCT(OFFSET($BO$15,0,0,$B$14,1), 1*(_xlfn._xlws.FILTER(OFFSET($O$15,0,$DN214,$B$8,1),OFFSET($M$15,0,0,$B$8,1))=EJ$13), 1*(_xlfn._xlws.FILTER(OFFSET($O$15,0,$DO214,$B$8,1),OFFSET($M$15,0,0,$B$8,1))=EJ$14))   /   SUM(OFFSET($BO$15,0,0,$B$14,1)) + $B$18/($B$19*$B$19*($DN214&lt;&gt;$DO214) + $B$19*($DN214=$DO214))</f>
        <v>3.7037037037037035E-4</v>
      </c>
      <c r="EK214" s="10" cm="1">
        <f t="array" aca="1" ref="EK214" ca="1">(1-$B$18)*SUMPRODUCT(OFFSET($BO$15,0,0,$B$14,1), 1*(_xlfn._xlws.FILTER(OFFSET($O$15,0,$DN214,$B$8,1),OFFSET($M$15,0,0,$B$8,1))=EK$13), 1*(_xlfn._xlws.FILTER(OFFSET($O$15,0,$DO214,$B$8,1),OFFSET($M$15,0,0,$B$8,1))=EK$14))   /   SUM(OFFSET($BO$15,0,0,$B$14,1)) + $B$18/($B$19*$B$19*($DN214&lt;&gt;$DO214) + $B$19*($DN214=$DO214))</f>
        <v>3.7037037037037035E-4</v>
      </c>
      <c r="EL214" s="10" cm="1">
        <f t="array" aca="1" ref="EL214" ca="1">(1-$B$18)*SUMPRODUCT(OFFSET($BO$15,0,0,$B$14,1), 1*(_xlfn._xlws.FILTER(OFFSET($O$15,0,$DN214,$B$8,1),OFFSET($M$15,0,0,$B$8,1))=EL$13), 1*(_xlfn._xlws.FILTER(OFFSET($O$15,0,$DO214,$B$8,1),OFFSET($M$15,0,0,$B$8,1))=EL$14))   /   SUM(OFFSET($BO$15,0,0,$B$14,1)) + $B$18/($B$19*$B$19*($DN214&lt;&gt;$DO214) + $B$19*($DN214=$DO214))</f>
        <v>0.24287037037037026</v>
      </c>
      <c r="EM214" s="10" cm="1">
        <f t="array" aca="1" ref="EM214" ca="1">(1-$B$18)*SUMPRODUCT(OFFSET($BO$15,0,0,$B$14,1), 1*(_xlfn._xlws.FILTER(OFFSET($O$15,0,$DN214,$B$8,1),OFFSET($M$15,0,0,$B$8,1))=EM$13), 1*(_xlfn._xlws.FILTER(OFFSET($O$15,0,$DO214,$B$8,1),OFFSET($M$15,0,0,$B$8,1))=EM$14))   /   SUM(OFFSET($BO$15,0,0,$B$14,1)) + $B$18/($B$19*$B$19*($DN214&lt;&gt;$DO214) + $B$19*($DN214=$DO214))</f>
        <v>3.7037037037037035E-4</v>
      </c>
      <c r="EN214" s="10" cm="1">
        <f t="array" aca="1" ref="EN214" ca="1">(1-$B$18)*SUMPRODUCT(OFFSET($BO$15,0,0,$B$14,1), 1*(_xlfn._xlws.FILTER(OFFSET($O$15,0,$DN214,$B$8,1),OFFSET($M$15,0,0,$B$8,1))=EN$13), 1*(_xlfn._xlws.FILTER(OFFSET($O$15,0,$DO214,$B$8,1),OFFSET($M$15,0,0,$B$8,1))=EN$14))   /   SUM(OFFSET($BO$15,0,0,$B$14,1)) + $B$18/($B$19*$B$19*($DN214&lt;&gt;$DO214) + $B$19*($DN214=$DO214))</f>
        <v>3.7037037037037035E-4</v>
      </c>
      <c r="EO214" s="10" cm="1">
        <f t="array" aca="1" ref="EO214" ca="1">(1-$B$18)*SUMPRODUCT(OFFSET($BO$15,0,0,$B$14,1), 1*(_xlfn._xlws.FILTER(OFFSET($O$15,0,$DN214,$B$8,1),OFFSET($M$15,0,0,$B$8,1))=EO$13), 1*(_xlfn._xlws.FILTER(OFFSET($O$15,0,$DO214,$B$8,1),OFFSET($M$15,0,0,$B$8,1))=EO$14))   /   SUM(OFFSET($BO$15,0,0,$B$14,1)) + $B$18/($B$19*$B$19*($DN214&lt;&gt;$DO214) + $B$19*($DN214=$DO214))</f>
        <v>3.7037037037037035E-4</v>
      </c>
      <c r="EP214" s="10" cm="1">
        <f t="array" aca="1" ref="EP214" ca="1">(1-$B$18)*SUMPRODUCT(OFFSET($BO$15,0,0,$B$14,1), 1*(_xlfn._xlws.FILTER(OFFSET($O$15,0,$DN214,$B$8,1),OFFSET($M$15,0,0,$B$8,1))=EP$13), 1*(_xlfn._xlws.FILTER(OFFSET($O$15,0,$DO214,$B$8,1),OFFSET($M$15,0,0,$B$8,1))=EP$14))   /   SUM(OFFSET($BO$15,0,0,$B$14,1)) + $B$18/($B$19*$B$19*($DN214&lt;&gt;$DO214) + $B$19*($DN214=$DO214))</f>
        <v>3.7037037037037035E-4</v>
      </c>
      <c r="EQ214" s="10" cm="1">
        <f t="array" aca="1" ref="EQ214" ca="1">(1-$B$18)*SUMPRODUCT(OFFSET($BO$15,0,0,$B$14,1), 1*(_xlfn._xlws.FILTER(OFFSET($O$15,0,$DN214,$B$8,1),OFFSET($M$15,0,0,$B$8,1))=EQ$13), 1*(_xlfn._xlws.FILTER(OFFSET($O$15,0,$DO214,$B$8,1),OFFSET($M$15,0,0,$B$8,1))=EQ$14))   /   SUM(OFFSET($BO$15,0,0,$B$14,1)) + $B$18/($B$19*$B$19*($DN214&lt;&gt;$DO214) + $B$19*($DN214=$DO214))</f>
        <v>3.7037037037037035E-4</v>
      </c>
      <c r="ER214" s="10" cm="1">
        <f t="array" aca="1" ref="ER214" ca="1">(1-$B$18)*SUMPRODUCT(OFFSET($BO$15,0,0,$B$14,1), 1*(_xlfn._xlws.FILTER(OFFSET($O$15,0,$DN214,$B$8,1),OFFSET($M$15,0,0,$B$8,1))=ER$13), 1*(_xlfn._xlws.FILTER(OFFSET($O$15,0,$DO214,$B$8,1),OFFSET($M$15,0,0,$B$8,1))=ER$14))   /   SUM(OFFSET($BO$15,0,0,$B$14,1)) + $B$18/($B$19*$B$19*($DN214&lt;&gt;$DO214) + $B$19*($DN214=$DO214))</f>
        <v>3.7037037037037035E-4</v>
      </c>
      <c r="ES214" s="10" cm="1">
        <f t="array" aca="1" ref="ES214" ca="1">(1-$B$18)*SUMPRODUCT(OFFSET($BO$15,0,0,$B$14,1), 1*(_xlfn._xlws.FILTER(OFFSET($O$15,0,$DN214,$B$8,1),OFFSET($M$15,0,0,$B$8,1))=ES$13), 1*(_xlfn._xlws.FILTER(OFFSET($O$15,0,$DO214,$B$8,1),OFFSET($M$15,0,0,$B$8,1))=ES$14))   /   SUM(OFFSET($BO$15,0,0,$B$14,1)) + $B$18/($B$19*$B$19*($DN214&lt;&gt;$DO214) + $B$19*($DN214=$DO214))</f>
        <v>3.7037037037037035E-4</v>
      </c>
      <c r="ET214" s="10" cm="1">
        <f t="array" aca="1" ref="ET214" ca="1">(1-$B$18)*SUMPRODUCT(OFFSET($BO$15,0,0,$B$14,1), 1*(_xlfn._xlws.FILTER(OFFSET($O$15,0,$DN214,$B$8,1),OFFSET($M$15,0,0,$B$8,1))=ET$13), 1*(_xlfn._xlws.FILTER(OFFSET($O$15,0,$DO214,$B$8,1),OFFSET($M$15,0,0,$B$8,1))=ET$14))   /   SUM(OFFSET($BO$15,0,0,$B$14,1)) + $B$18/($B$19*$B$19*($DN214&lt;&gt;$DO214) + $B$19*($DN214=$DO214))</f>
        <v>0.24287037037037026</v>
      </c>
      <c r="EU214" s="10" cm="1">
        <f t="array" aca="1" ref="EU214" ca="1">(1-$B$18)*SUMPRODUCT(OFFSET($BO$15,0,0,$B$14,1), 1*(_xlfn._xlws.FILTER(OFFSET($O$15,0,$DN214,$B$8,1),OFFSET($M$15,0,0,$B$8,1))=EU$13), 1*(_xlfn._xlws.FILTER(OFFSET($O$15,0,$DO214,$B$8,1),OFFSET($M$15,0,0,$B$8,1))=EU$14))   /   SUM(OFFSET($BO$15,0,0,$B$14,1)) + $B$18/($B$19*$B$19*($DN214&lt;&gt;$DO214) + $B$19*($DN214=$DO214))</f>
        <v>3.7037037037037035E-4</v>
      </c>
      <c r="EV214" s="10" cm="1">
        <f t="array" aca="1" ref="EV214" ca="1">(1-$B$18)*SUMPRODUCT(OFFSET($BO$15,0,0,$B$14,1), 1*(_xlfn._xlws.FILTER(OFFSET($O$15,0,$DN214,$B$8,1),OFFSET($M$15,0,0,$B$8,1))=EV$13), 1*(_xlfn._xlws.FILTER(OFFSET($O$15,0,$DO214,$B$8,1),OFFSET($M$15,0,0,$B$8,1))=EV$14))   /   SUM(OFFSET($BO$15,0,0,$B$14,1)) + $B$18/($B$19*$B$19*($DN214&lt;&gt;$DO214) + $B$19*($DN214=$DO214))</f>
        <v>3.7037037037037035E-4</v>
      </c>
      <c r="EW214" s="10" cm="1">
        <f t="array" aca="1" ref="EW214" ca="1">(1-$B$18)*SUMPRODUCT(OFFSET($BO$15,0,0,$B$14,1), 1*(_xlfn._xlws.FILTER(OFFSET($O$15,0,$DN214,$B$8,1),OFFSET($M$15,0,0,$B$8,1))=EW$13), 1*(_xlfn._xlws.FILTER(OFFSET($O$15,0,$DO214,$B$8,1),OFFSET($M$15,0,0,$B$8,1))=EW$14))   /   SUM(OFFSET($BO$15,0,0,$B$14,1)) + $B$18/($B$19*$B$19*($DN214&lt;&gt;$DO214) + $B$19*($DN214=$DO214))</f>
        <v>3.7037037037037035E-4</v>
      </c>
      <c r="EX214" s="10" cm="1">
        <f t="array" aca="1" ref="EX214" ca="1">(1-$B$18)*SUMPRODUCT(OFFSET($BO$15,0,0,$B$14,1), 1*(_xlfn._xlws.FILTER(OFFSET($O$15,0,$DN214,$B$8,1),OFFSET($M$15,0,0,$B$8,1))=EX$13), 1*(_xlfn._xlws.FILTER(OFFSET($O$15,0,$DO214,$B$8,1),OFFSET($M$15,0,0,$B$8,1))=EX$14))   /   SUM(OFFSET($BO$15,0,0,$B$14,1)) + $B$18/($B$19*$B$19*($DN214&lt;&gt;$DO214) + $B$19*($DN214=$DO214))</f>
        <v>3.7037037037037035E-4</v>
      </c>
      <c r="EY214" s="10" cm="1">
        <f t="array" aca="1" ref="EY214" ca="1">(1-$B$18)*SUMPRODUCT(OFFSET($BO$15,0,0,$B$14,1), 1*(_xlfn._xlws.FILTER(OFFSET($O$15,0,$DN214,$B$8,1),OFFSET($M$15,0,0,$B$8,1))=EY$13), 1*(_xlfn._xlws.FILTER(OFFSET($O$15,0,$DO214,$B$8,1),OFFSET($M$15,0,0,$B$8,1))=EY$14))   /   SUM(OFFSET($BO$15,0,0,$B$14,1)) + $B$18/($B$19*$B$19*($DN214&lt;&gt;$DO214) + $B$19*($DN214=$DO214))</f>
        <v>3.7037037037037035E-4</v>
      </c>
      <c r="EZ214" s="10" cm="1">
        <f t="array" aca="1" ref="EZ214" ca="1">(1-$B$18)*SUMPRODUCT(OFFSET($BO$15,0,0,$B$14,1), 1*(_xlfn._xlws.FILTER(OFFSET($O$15,0,$DN214,$B$8,1),OFFSET($M$15,0,0,$B$8,1))=EZ$13), 1*(_xlfn._xlws.FILTER(OFFSET($O$15,0,$DO214,$B$8,1),OFFSET($M$15,0,0,$B$8,1))=EZ$14))   /   SUM(OFFSET($BO$15,0,0,$B$14,1)) + $B$18/($B$19*$B$19*($DN214&lt;&gt;$DO214) + $B$19*($DN214=$DO214))</f>
        <v>3.7037037037037035E-4</v>
      </c>
      <c r="FA214" s="10" cm="1">
        <f t="array" aca="1" ref="FA214" ca="1">(1-$B$18)*SUMPRODUCT(OFFSET($BO$15,0,0,$B$14,1), 1*(_xlfn._xlws.FILTER(OFFSET($O$15,0,$DN214,$B$8,1),OFFSET($M$15,0,0,$B$8,1))=FA$13), 1*(_xlfn._xlws.FILTER(OFFSET($O$15,0,$DO214,$B$8,1),OFFSET($M$15,0,0,$B$8,1))=FA$14))   /   SUM(OFFSET($BO$15,0,0,$B$14,1)) + $B$18/($B$19*$B$19*($DN214&lt;&gt;$DO214) + $B$19*($DN214=$DO214))</f>
        <v>3.7037037037037035E-4</v>
      </c>
      <c r="FB214" s="10" cm="1">
        <f t="array" aca="1" ref="FB214" ca="1">(1-$B$18)*SUMPRODUCT(OFFSET($BO$15,0,0,$B$14,1), 1*(_xlfn._xlws.FILTER(OFFSET($O$15,0,$DN214,$B$8,1),OFFSET($M$15,0,0,$B$8,1))=FB$13), 1*(_xlfn._xlws.FILTER(OFFSET($O$15,0,$DO214,$B$8,1),OFFSET($M$15,0,0,$B$8,1))=FB$14))   /   SUM(OFFSET($BO$15,0,0,$B$14,1)) + $B$18/($B$19*$B$19*($DN214&lt;&gt;$DO214) + $B$19*($DN214=$DO214))</f>
        <v>3.7037037037037035E-4</v>
      </c>
      <c r="FC214" s="10" cm="1">
        <f t="array" aca="1" ref="FC214" ca="1">(1-$B$18)*SUMPRODUCT(OFFSET($BO$15,0,0,$B$14,1), 1*(_xlfn._xlws.FILTER(OFFSET($O$15,0,$DN214,$B$8,1),OFFSET($M$15,0,0,$B$8,1))=FC$13), 1*(_xlfn._xlws.FILTER(OFFSET($O$15,0,$DO214,$B$8,1),OFFSET($M$15,0,0,$B$8,1))=FC$14))   /   SUM(OFFSET($BO$15,0,0,$B$14,1)) + $B$18/($B$19*$B$19*($DN214&lt;&gt;$DO214) + $B$19*($DN214=$DO214))</f>
        <v>3.7037037037037035E-4</v>
      </c>
      <c r="FD214" s="10" cm="1">
        <f t="array" aca="1" ref="FD214" ca="1">(1-$B$18)*SUMPRODUCT(OFFSET($BO$15,0,0,$B$14,1), 1*(_xlfn._xlws.FILTER(OFFSET($O$15,0,$DN214,$B$8,1),OFFSET($M$15,0,0,$B$8,1))=FD$13), 1*(_xlfn._xlws.FILTER(OFFSET($O$15,0,$DO214,$B$8,1),OFFSET($M$15,0,0,$B$8,1))=FD$14))   /   SUM(OFFSET($BO$15,0,0,$B$14,1)) + $B$18/($B$19*$B$19*($DN214&lt;&gt;$DO214) + $B$19*($DN214=$DO214))</f>
        <v>3.7037037037037035E-4</v>
      </c>
      <c r="FE214" s="10" cm="1">
        <f t="array" aca="1" ref="FE214" ca="1">(1-$B$18)*SUMPRODUCT(OFFSET($BO$15,0,0,$B$14,1), 1*(_xlfn._xlws.FILTER(OFFSET($O$15,0,$DN214,$B$8,1),OFFSET($M$15,0,0,$B$8,1))=FE$13), 1*(_xlfn._xlws.FILTER(OFFSET($O$15,0,$DO214,$B$8,1),OFFSET($M$15,0,0,$B$8,1))=FE$14))   /   SUM(OFFSET($BO$15,0,0,$B$14,1)) + $B$18/($B$19*$B$19*($DN214&lt;&gt;$DO214) + $B$19*($DN214=$DO214))</f>
        <v>3.7037037037037035E-4</v>
      </c>
      <c r="FF214" s="10" cm="1">
        <f t="array" aca="1" ref="FF214" ca="1">(1-$B$18)*SUMPRODUCT(OFFSET($BO$15,0,0,$B$14,1), 1*(_xlfn._xlws.FILTER(OFFSET($O$15,0,$DN214,$B$8,1),OFFSET($M$15,0,0,$B$8,1))=FF$13), 1*(_xlfn._xlws.FILTER(OFFSET($O$15,0,$DO214,$B$8,1),OFFSET($M$15,0,0,$B$8,1))=FF$14))   /   SUM(OFFSET($BO$15,0,0,$B$14,1)) + $B$18/($B$19*$B$19*($DN214&lt;&gt;$DO214) + $B$19*($DN214=$DO214))</f>
        <v>3.7037037037037035E-4</v>
      </c>
      <c r="FG214" s="10" cm="1">
        <f t="array" aca="1" ref="FG214" ca="1">(1-$B$18)*SUMPRODUCT(OFFSET($BO$15,0,0,$B$14,1), 1*(_xlfn._xlws.FILTER(OFFSET($O$15,0,$DN214,$B$8,1),OFFSET($M$15,0,0,$B$8,1))=FG$13), 1*(_xlfn._xlws.FILTER(OFFSET($O$15,0,$DO214,$B$8,1),OFFSET($M$15,0,0,$B$8,1))=FG$14))   /   SUM(OFFSET($BO$15,0,0,$B$14,1)) + $B$18/($B$19*$B$19*($DN214&lt;&gt;$DO214) + $B$19*($DN214=$DO214))</f>
        <v>3.7037037037037035E-4</v>
      </c>
      <c r="FH214" s="10" cm="1">
        <f t="array" aca="1" ref="FH214" ca="1">(1-$B$18)*SUMPRODUCT(OFFSET($BO$15,0,0,$B$14,1), 1*(_xlfn._xlws.FILTER(OFFSET($O$15,0,$DN214,$B$8,1),OFFSET($M$15,0,0,$B$8,1))=FH$13), 1*(_xlfn._xlws.FILTER(OFFSET($O$15,0,$DO214,$B$8,1),OFFSET($M$15,0,0,$B$8,1))=FH$14))   /   SUM(OFFSET($BO$15,0,0,$B$14,1)) + $B$18/($B$19*$B$19*($DN214&lt;&gt;$DO214) + $B$19*($DN214=$DO214))</f>
        <v>3.7037037037037035E-4</v>
      </c>
      <c r="FI214" s="10" cm="1">
        <f t="array" aca="1" ref="FI214" ca="1">(1-$B$18)*SUMPRODUCT(OFFSET($BO$15,0,0,$B$14,1), 1*(_xlfn._xlws.FILTER(OFFSET($O$15,0,$DN214,$B$8,1),OFFSET($M$15,0,0,$B$8,1))=FI$13), 1*(_xlfn._xlws.FILTER(OFFSET($O$15,0,$DO214,$B$8,1),OFFSET($M$15,0,0,$B$8,1))=FI$14))   /   SUM(OFFSET($BO$15,0,0,$B$14,1)) + $B$18/($B$19*$B$19*($DN214&lt;&gt;$DO214) + $B$19*($DN214=$DO214))</f>
        <v>3.7037037037037035E-4</v>
      </c>
      <c r="FJ214" s="10" cm="1">
        <f t="array" aca="1" ref="FJ214" ca="1">(1-$B$18)*SUMPRODUCT(OFFSET($BO$15,0,0,$B$14,1), 1*(_xlfn._xlws.FILTER(OFFSET($O$15,0,$DN214,$B$8,1),OFFSET($M$15,0,0,$B$8,1))=FJ$13), 1*(_xlfn._xlws.FILTER(OFFSET($O$15,0,$DO214,$B$8,1),OFFSET($M$15,0,0,$B$8,1))=FJ$14))   /   SUM(OFFSET($BO$15,0,0,$B$14,1)) + $B$18/($B$19*$B$19*($DN214&lt;&gt;$DO214) + $B$19*($DN214=$DO214))</f>
        <v>3.7037037037037035E-4</v>
      </c>
      <c r="FK214" s="10" cm="1">
        <f t="array" aca="1" ref="FK214" ca="1">(1-$B$18)*SUMPRODUCT(OFFSET($BO$15,0,0,$B$14,1), 1*(_xlfn._xlws.FILTER(OFFSET($O$15,0,$DN214,$B$8,1),OFFSET($M$15,0,0,$B$8,1))=FK$13), 1*(_xlfn._xlws.FILTER(OFFSET($O$15,0,$DO214,$B$8,1),OFFSET($M$15,0,0,$B$8,1))=FK$14))   /   SUM(OFFSET($BO$15,0,0,$B$14,1)) + $B$18/($B$19*$B$19*($DN214&lt;&gt;$DO214) + $B$19*($DN214=$DO214))</f>
        <v>3.7037037037037035E-4</v>
      </c>
      <c r="FL214" s="10" cm="1">
        <f t="array" aca="1" ref="FL214" ca="1">(1-$B$18)*SUMPRODUCT(OFFSET($BO$15,0,0,$B$14,1), 1*(_xlfn._xlws.FILTER(OFFSET($O$15,0,$DN214,$B$8,1),OFFSET($M$15,0,0,$B$8,1))=FL$13), 1*(_xlfn._xlws.FILTER(OFFSET($O$15,0,$DO214,$B$8,1),OFFSET($M$15,0,0,$B$8,1))=FL$14))   /   SUM(OFFSET($BO$15,0,0,$B$14,1)) + $B$18/($B$19*$B$19*($DN214&lt;&gt;$DO214) + $B$19*($DN214=$DO214))</f>
        <v>3.7037037037037035E-4</v>
      </c>
      <c r="FM214" s="10" cm="1">
        <f t="array" aca="1" ref="FM214" ca="1">(1-$B$18)*SUMPRODUCT(OFFSET($BO$15,0,0,$B$14,1), 1*(_xlfn._xlws.FILTER(OFFSET($O$15,0,$DN214,$B$8,1),OFFSET($M$15,0,0,$B$8,1))=FM$13), 1*(_xlfn._xlws.FILTER(OFFSET($O$15,0,$DO214,$B$8,1),OFFSET($M$15,0,0,$B$8,1))=FM$14))   /   SUM(OFFSET($BO$15,0,0,$B$14,1)) + $B$18/($B$19*$B$19*($DN214&lt;&gt;$DO214) + $B$19*($DN214=$DO214))</f>
        <v>3.7037037037037035E-4</v>
      </c>
      <c r="FN214" s="10" cm="1">
        <f t="array" aca="1" ref="FN214" ca="1">(1-$B$18)*SUMPRODUCT(OFFSET($BO$15,0,0,$B$14,1), 1*(_xlfn._xlws.FILTER(OFFSET($O$15,0,$DN214,$B$8,1),OFFSET($M$15,0,0,$B$8,1))=FN$13), 1*(_xlfn._xlws.FILTER(OFFSET($O$15,0,$DO214,$B$8,1),OFFSET($M$15,0,0,$B$8,1))=FN$14))   /   SUM(OFFSET($BO$15,0,0,$B$14,1)) + $B$18/($B$19*$B$19*($DN214&lt;&gt;$DO214) + $B$19*($DN214=$DO214))</f>
        <v>3.7037037037037035E-4</v>
      </c>
      <c r="FO214" s="10" cm="1">
        <f t="array" aca="1" ref="FO214" ca="1">(1-$B$18)*SUMPRODUCT(OFFSET($BO$15,0,0,$B$14,1), 1*(_xlfn._xlws.FILTER(OFFSET($O$15,0,$DN214,$B$8,1),OFFSET($M$15,0,0,$B$8,1))=FO$13), 1*(_xlfn._xlws.FILTER(OFFSET($O$15,0,$DO214,$B$8,1),OFFSET($M$15,0,0,$B$8,1))=FO$14))   /   SUM(OFFSET($BO$15,0,0,$B$14,1)) + $B$18/($B$19*$B$19*($DN214&lt;&gt;$DO214) + $B$19*($DN214=$DO214))</f>
        <v>3.7037037037037035E-4</v>
      </c>
      <c r="FP214" s="10" cm="1">
        <f t="array" aca="1" ref="FP214" ca="1">(1-$B$18)*SUMPRODUCT(OFFSET($BO$15,0,0,$B$14,1), 1*(_xlfn._xlws.FILTER(OFFSET($O$15,0,$DN214,$B$8,1),OFFSET($M$15,0,0,$B$8,1))=FP$13), 1*(_xlfn._xlws.FILTER(OFFSET($O$15,0,$DO214,$B$8,1),OFFSET($M$15,0,0,$B$8,1))=FP$14))   /   SUM(OFFSET($BO$15,0,0,$B$14,1)) + $B$18/($B$19*$B$19*($DN214&lt;&gt;$DO214) + $B$19*($DN214=$DO214))</f>
        <v>3.7037037037037035E-4</v>
      </c>
      <c r="FQ214" s="10" cm="1">
        <f t="array" aca="1" ref="FQ214" ca="1">(1-$B$18)*SUMPRODUCT(OFFSET($BO$15,0,0,$B$14,1), 1*(_xlfn._xlws.FILTER(OFFSET($O$15,0,$DN214,$B$8,1),OFFSET($M$15,0,0,$B$8,1))=FQ$13), 1*(_xlfn._xlws.FILTER(OFFSET($O$15,0,$DO214,$B$8,1),OFFSET($M$15,0,0,$B$8,1))=FQ$14))   /   SUM(OFFSET($BO$15,0,0,$B$14,1)) + $B$18/($B$19*$B$19*($DN214&lt;&gt;$DO214) + $B$19*($DN214=$DO214))</f>
        <v>3.7037037037037035E-4</v>
      </c>
      <c r="FR214" s="10" cm="1">
        <f t="array" aca="1" ref="FR214" ca="1">(1-$B$18)*SUMPRODUCT(OFFSET($BO$15,0,0,$B$14,1), 1*(_xlfn._xlws.FILTER(OFFSET($O$15,0,$DN214,$B$8,1),OFFSET($M$15,0,0,$B$8,1))=FR$13), 1*(_xlfn._xlws.FILTER(OFFSET($O$15,0,$DO214,$B$8,1),OFFSET($M$15,0,0,$B$8,1))=FR$14))   /   SUM(OFFSET($BO$15,0,0,$B$14,1)) + $B$18/($B$19*$B$19*($DN214&lt;&gt;$DO214) + $B$19*($DN214=$DO214))</f>
        <v>3.7037037037037035E-4</v>
      </c>
      <c r="FS214" s="10" cm="1">
        <f t="array" aca="1" ref="FS214" ca="1">(1-$B$18)*SUMPRODUCT(OFFSET($BO$15,0,0,$B$14,1), 1*(_xlfn._xlws.FILTER(OFFSET($O$15,0,$DN214,$B$8,1),OFFSET($M$15,0,0,$B$8,1))=FS$13), 1*(_xlfn._xlws.FILTER(OFFSET($O$15,0,$DO214,$B$8,1),OFFSET($M$15,0,0,$B$8,1))=FS$14))   /   SUM(OFFSET($BO$15,0,0,$B$14,1)) + $B$18/($B$19*$B$19*($DN214&lt;&gt;$DO214) + $B$19*($DN214=$DO214))</f>
        <v>3.7037037037037035E-4</v>
      </c>
      <c r="FT214" s="10" cm="1">
        <f t="array" aca="1" ref="FT214" ca="1">(1-$B$18)*SUMPRODUCT(OFFSET($BO$15,0,0,$B$14,1), 1*(_xlfn._xlws.FILTER(OFFSET($O$15,0,$DN214,$B$8,1),OFFSET($M$15,0,0,$B$8,1))=FT$13), 1*(_xlfn._xlws.FILTER(OFFSET($O$15,0,$DO214,$B$8,1),OFFSET($M$15,0,0,$B$8,1))=FT$14))   /   SUM(OFFSET($BO$15,0,0,$B$14,1)) + $B$18/($B$19*$B$19*($DN214&lt;&gt;$DO214) + $B$19*($DN214=$DO214))</f>
        <v>3.7037037037037035E-4</v>
      </c>
      <c r="FU214" s="10" cm="1">
        <f t="array" aca="1" ref="FU214" ca="1">(1-$B$18)*SUMPRODUCT(OFFSET($BO$15,0,0,$B$14,1), 1*(_xlfn._xlws.FILTER(OFFSET($O$15,0,$DN214,$B$8,1),OFFSET($M$15,0,0,$B$8,1))=FU$13), 1*(_xlfn._xlws.FILTER(OFFSET($O$15,0,$DO214,$B$8,1),OFFSET($M$15,0,0,$B$8,1))=FU$14))   /   SUM(OFFSET($BO$15,0,0,$B$14,1)) + $B$18/($B$19*$B$19*($DN214&lt;&gt;$DO214) + $B$19*($DN214=$DO214))</f>
        <v>3.7037037037037035E-4</v>
      </c>
      <c r="FV214" s="10" cm="1">
        <f t="array" aca="1" ref="FV214" ca="1">(1-$B$18)*SUMPRODUCT(OFFSET($BO$15,0,0,$B$14,1), 1*(_xlfn._xlws.FILTER(OFFSET($O$15,0,$DN214,$B$8,1),OFFSET($M$15,0,0,$B$8,1))=FV$13), 1*(_xlfn._xlws.FILTER(OFFSET($O$15,0,$DO214,$B$8,1),OFFSET($M$15,0,0,$B$8,1))=FV$14))   /   SUM(OFFSET($BO$15,0,0,$B$14,1)) + $B$18/($B$19*$B$19*($DN214&lt;&gt;$DO214) + $B$19*($DN214=$DO214))</f>
        <v>3.7037037037037035E-4</v>
      </c>
      <c r="FW214" s="10" cm="1">
        <f t="array" aca="1" ref="FW214" ca="1">(1-$B$18)*SUMPRODUCT(OFFSET($BO$15,0,0,$B$14,1), 1*(_xlfn._xlws.FILTER(OFFSET($O$15,0,$DN214,$B$8,1),OFFSET($M$15,0,0,$B$8,1))=FW$13), 1*(_xlfn._xlws.FILTER(OFFSET($O$15,0,$DO214,$B$8,1),OFFSET($M$15,0,0,$B$8,1))=FW$14))   /   SUM(OFFSET($BO$15,0,0,$B$14,1)) + $B$18/($B$19*$B$19*($DN214&lt;&gt;$DO214) + $B$19*($DN214=$DO214))</f>
        <v>3.7037037037037035E-4</v>
      </c>
      <c r="FX214" s="10" cm="1">
        <f t="array" aca="1" ref="FX214" ca="1">(1-$B$18)*SUMPRODUCT(OFFSET($BO$15,0,0,$B$14,1), 1*(_xlfn._xlws.FILTER(OFFSET($O$15,0,$DN214,$B$8,1),OFFSET($M$15,0,0,$B$8,1))=FX$13), 1*(_xlfn._xlws.FILTER(OFFSET($O$15,0,$DO214,$B$8,1),OFFSET($M$15,0,0,$B$8,1))=FX$14))   /   SUM(OFFSET($BO$15,0,0,$B$14,1)) + $B$18/($B$19*$B$19*($DN214&lt;&gt;$DO214) + $B$19*($DN214=$DO214))</f>
        <v>3.7037037037037035E-4</v>
      </c>
      <c r="FY214" s="10" cm="1">
        <f t="array" aca="1" ref="FY214" ca="1">(1-$B$18)*SUMPRODUCT(OFFSET($BO$15,0,0,$B$14,1), 1*(_xlfn._xlws.FILTER(OFFSET($O$15,0,$DN214,$B$8,1),OFFSET($M$15,0,0,$B$8,1))=FY$13), 1*(_xlfn._xlws.FILTER(OFFSET($O$15,0,$DO214,$B$8,1),OFFSET($M$15,0,0,$B$8,1))=FY$14))   /   SUM(OFFSET($BO$15,0,0,$B$14,1)) + $B$18/($B$19*$B$19*($DN214&lt;&gt;$DO214) + $B$19*($DN214=$DO214))</f>
        <v>3.7037037037037035E-4</v>
      </c>
      <c r="FZ214" s="10" cm="1">
        <f t="array" aca="1" ref="FZ214" ca="1">(1-$B$18)*SUMPRODUCT(OFFSET($BO$15,0,0,$B$14,1), 1*(_xlfn._xlws.FILTER(OFFSET($O$15,0,$DN214,$B$8,1),OFFSET($M$15,0,0,$B$8,1))=FZ$13), 1*(_xlfn._xlws.FILTER(OFFSET($O$15,0,$DO214,$B$8,1),OFFSET($M$15,0,0,$B$8,1))=FZ$14))   /   SUM(OFFSET($BO$15,0,0,$B$14,1)) + $B$18/($B$19*$B$19*($DN214&lt;&gt;$DO214) + $B$19*($DN214=$DO214))</f>
        <v>3.7037037037037035E-4</v>
      </c>
      <c r="GA214" s="10" cm="1">
        <f t="array" aca="1" ref="GA214" ca="1">(1-$B$18)*SUMPRODUCT(OFFSET($BO$15,0,0,$B$14,1), 1*(_xlfn._xlws.FILTER(OFFSET($O$15,0,$DN214,$B$8,1),OFFSET($M$15,0,0,$B$8,1))=GA$13), 1*(_xlfn._xlws.FILTER(OFFSET($O$15,0,$DO214,$B$8,1),OFFSET($M$15,0,0,$B$8,1))=GA$14))   /   SUM(OFFSET($BO$15,0,0,$B$14,1)) + $B$18/($B$19*$B$19*($DN214&lt;&gt;$DO214) + $B$19*($DN214=$DO214))</f>
        <v>3.7037037037037035E-4</v>
      </c>
    </row>
    <row r="215" spans="118:183" x14ac:dyDescent="0.2">
      <c r="DN215" cm="1">
        <f t="array" aca="1" ref="DN215" ca="1">INDEX(_xlfn.ANCHORARRAY($CP$15), 1 + INT((ROWS($DO$15:$DO215) - 1) / ROWS(_xlfn.ANCHORARRAY($CP$15))))</f>
        <v>11</v>
      </c>
      <c r="DO215" cm="1">
        <f t="array" aca="1" ref="DO215" ca="1">INDEX(_xlfn.ANCHORARRAY($CP$15),1+MOD(ROWS($DO$15:$DO215)-1,ROWS(_xlfn.ANCHORARRAY($CP$15))))</f>
        <v>11</v>
      </c>
      <c r="DP215" s="10" cm="1">
        <f t="array" aca="1" ref="DP215" ca="1">(1-$B$18)*SUMPRODUCT(OFFSET($BO$15,0,0,$B$14,1), 1*(_xlfn._xlws.FILTER(OFFSET($O$15,0,$DN215,$B$8,1),OFFSET($M$15,0,0,$B$8,1))=DP$13), 1*(_xlfn._xlws.FILTER(OFFSET($O$15,0,$DO215,$B$8,1),OFFSET($M$15,0,0,$B$8,1))=DP$14))   /   SUM(OFFSET($BO$15,0,0,$B$14,1)) + $B$18/($B$19*$B$19*($DN215&lt;&gt;$DO215) + $B$19*($DN215=$DO215))</f>
        <v>0.48833333333333334</v>
      </c>
      <c r="DQ215" s="10" cm="1">
        <f t="array" aca="1" ref="DQ215" ca="1">(1-$B$18)*SUMPRODUCT(OFFSET($BO$15,0,0,$B$14,1), 1*(_xlfn._xlws.FILTER(OFFSET($O$15,0,$DN215,$B$8,1),OFFSET($M$15,0,0,$B$8,1))=DQ$13), 1*(_xlfn._xlws.FILTER(OFFSET($O$15,0,$DO215,$B$8,1),OFFSET($M$15,0,0,$B$8,1))=DQ$14))   /   SUM(OFFSET($BO$15,0,0,$B$14,1)) + $B$18/($B$19*$B$19*($DN215&lt;&gt;$DO215) + $B$19*($DN215=$DO215))</f>
        <v>3.3333333333333331E-3</v>
      </c>
      <c r="DR215" s="10" cm="1">
        <f t="array" aca="1" ref="DR215" ca="1">(1-$B$18)*SUMPRODUCT(OFFSET($BO$15,0,0,$B$14,1), 1*(_xlfn._xlws.FILTER(OFFSET($O$15,0,$DN215,$B$8,1),OFFSET($M$15,0,0,$B$8,1))=DR$13), 1*(_xlfn._xlws.FILTER(OFFSET($O$15,0,$DO215,$B$8,1),OFFSET($M$15,0,0,$B$8,1))=DR$14))   /   SUM(OFFSET($BO$15,0,0,$B$14,1)) + $B$18/($B$19*$B$19*($DN215&lt;&gt;$DO215) + $B$19*($DN215=$DO215))</f>
        <v>3.3333333333333331E-3</v>
      </c>
      <c r="DS215" s="10" cm="1">
        <f t="array" aca="1" ref="DS215" ca="1">(1-$B$18)*SUMPRODUCT(OFFSET($BO$15,0,0,$B$14,1), 1*(_xlfn._xlws.FILTER(OFFSET($O$15,0,$DN215,$B$8,1),OFFSET($M$15,0,0,$B$8,1))=DS$13), 1*(_xlfn._xlws.FILTER(OFFSET($O$15,0,$DO215,$B$8,1),OFFSET($M$15,0,0,$B$8,1))=DS$14))   /   SUM(OFFSET($BO$15,0,0,$B$14,1)) + $B$18/($B$19*$B$19*($DN215&lt;&gt;$DO215) + $B$19*($DN215=$DO215))</f>
        <v>3.3333333333333331E-3</v>
      </c>
      <c r="DT215" s="10" cm="1">
        <f t="array" aca="1" ref="DT215" ca="1">(1-$B$18)*SUMPRODUCT(OFFSET($BO$15,0,0,$B$14,1), 1*(_xlfn._xlws.FILTER(OFFSET($O$15,0,$DN215,$B$8,1),OFFSET($M$15,0,0,$B$8,1))=DT$13), 1*(_xlfn._xlws.FILTER(OFFSET($O$15,0,$DO215,$B$8,1),OFFSET($M$15,0,0,$B$8,1))=DT$14))   /   SUM(OFFSET($BO$15,0,0,$B$14,1)) + $B$18/($B$19*$B$19*($DN215&lt;&gt;$DO215) + $B$19*($DN215=$DO215))</f>
        <v>3.3333333333333331E-3</v>
      </c>
      <c r="DU215" s="10" cm="1">
        <f t="array" aca="1" ref="DU215" ca="1">(1-$B$18)*SUMPRODUCT(OFFSET($BO$15,0,0,$B$14,1), 1*(_xlfn._xlws.FILTER(OFFSET($O$15,0,$DN215,$B$8,1),OFFSET($M$15,0,0,$B$8,1))=DU$13), 1*(_xlfn._xlws.FILTER(OFFSET($O$15,0,$DO215,$B$8,1),OFFSET($M$15,0,0,$B$8,1))=DU$14))   /   SUM(OFFSET($BO$15,0,0,$B$14,1)) + $B$18/($B$19*$B$19*($DN215&lt;&gt;$DO215) + $B$19*($DN215=$DO215))</f>
        <v>3.3333333333333331E-3</v>
      </c>
      <c r="DV215" s="10" cm="1">
        <f t="array" aca="1" ref="DV215" ca="1">(1-$B$18)*SUMPRODUCT(OFFSET($BO$15,0,0,$B$14,1), 1*(_xlfn._xlws.FILTER(OFFSET($O$15,0,$DN215,$B$8,1),OFFSET($M$15,0,0,$B$8,1))=DV$13), 1*(_xlfn._xlws.FILTER(OFFSET($O$15,0,$DO215,$B$8,1),OFFSET($M$15,0,0,$B$8,1))=DV$14))   /   SUM(OFFSET($BO$15,0,0,$B$14,1)) + $B$18/($B$19*$B$19*($DN215&lt;&gt;$DO215) + $B$19*($DN215=$DO215))</f>
        <v>3.3333333333333331E-3</v>
      </c>
      <c r="DW215" s="10" cm="1">
        <f t="array" aca="1" ref="DW215" ca="1">(1-$B$18)*SUMPRODUCT(OFFSET($BO$15,0,0,$B$14,1), 1*(_xlfn._xlws.FILTER(OFFSET($O$15,0,$DN215,$B$8,1),OFFSET($M$15,0,0,$B$8,1))=DW$13), 1*(_xlfn._xlws.FILTER(OFFSET($O$15,0,$DO215,$B$8,1),OFFSET($M$15,0,0,$B$8,1))=DW$14))   /   SUM(OFFSET($BO$15,0,0,$B$14,1)) + $B$18/($B$19*$B$19*($DN215&lt;&gt;$DO215) + $B$19*($DN215=$DO215))</f>
        <v>3.3333333333333331E-3</v>
      </c>
      <c r="DX215" s="10" cm="1">
        <f t="array" aca="1" ref="DX215" ca="1">(1-$B$18)*SUMPRODUCT(OFFSET($BO$15,0,0,$B$14,1), 1*(_xlfn._xlws.FILTER(OFFSET($O$15,0,$DN215,$B$8,1),OFFSET($M$15,0,0,$B$8,1))=DX$13), 1*(_xlfn._xlws.FILTER(OFFSET($O$15,0,$DO215,$B$8,1),OFFSET($M$15,0,0,$B$8,1))=DX$14))   /   SUM(OFFSET($BO$15,0,0,$B$14,1)) + $B$18/($B$19*$B$19*($DN215&lt;&gt;$DO215) + $B$19*($DN215=$DO215))</f>
        <v>3.3333333333333331E-3</v>
      </c>
      <c r="DY215" s="10" cm="1">
        <f t="array" aca="1" ref="DY215" ca="1">(1-$B$18)*SUMPRODUCT(OFFSET($BO$15,0,0,$B$14,1), 1*(_xlfn._xlws.FILTER(OFFSET($O$15,0,$DN215,$B$8,1),OFFSET($M$15,0,0,$B$8,1))=DY$13), 1*(_xlfn._xlws.FILTER(OFFSET($O$15,0,$DO215,$B$8,1),OFFSET($M$15,0,0,$B$8,1))=DY$14))   /   SUM(OFFSET($BO$15,0,0,$B$14,1)) + $B$18/($B$19*$B$19*($DN215&lt;&gt;$DO215) + $B$19*($DN215=$DO215))</f>
        <v>3.3333333333333331E-3</v>
      </c>
      <c r="DZ215" s="10" cm="1">
        <f t="array" aca="1" ref="DZ215" ca="1">(1-$B$18)*SUMPRODUCT(OFFSET($BO$15,0,0,$B$14,1), 1*(_xlfn._xlws.FILTER(OFFSET($O$15,0,$DN215,$B$8,1),OFFSET($M$15,0,0,$B$8,1))=DZ$13), 1*(_xlfn._xlws.FILTER(OFFSET($O$15,0,$DO215,$B$8,1),OFFSET($M$15,0,0,$B$8,1))=DZ$14))   /   SUM(OFFSET($BO$15,0,0,$B$14,1)) + $B$18/($B$19*$B$19*($DN215&lt;&gt;$DO215) + $B$19*($DN215=$DO215))</f>
        <v>3.3333333333333331E-3</v>
      </c>
      <c r="EA215" s="10" cm="1">
        <f t="array" aca="1" ref="EA215" ca="1">(1-$B$18)*SUMPRODUCT(OFFSET($BO$15,0,0,$B$14,1), 1*(_xlfn._xlws.FILTER(OFFSET($O$15,0,$DN215,$B$8,1),OFFSET($M$15,0,0,$B$8,1))=EA$13), 1*(_xlfn._xlws.FILTER(OFFSET($O$15,0,$DO215,$B$8,1),OFFSET($M$15,0,0,$B$8,1))=EA$14))   /   SUM(OFFSET($BO$15,0,0,$B$14,1)) + $B$18/($B$19*$B$19*($DN215&lt;&gt;$DO215) + $B$19*($DN215=$DO215))</f>
        <v>3.3333333333333331E-3</v>
      </c>
      <c r="EB215" s="10" cm="1">
        <f t="array" aca="1" ref="EB215" ca="1">(1-$B$18)*SUMPRODUCT(OFFSET($BO$15,0,0,$B$14,1), 1*(_xlfn._xlws.FILTER(OFFSET($O$15,0,$DN215,$B$8,1),OFFSET($M$15,0,0,$B$8,1))=EB$13), 1*(_xlfn._xlws.FILTER(OFFSET($O$15,0,$DO215,$B$8,1),OFFSET($M$15,0,0,$B$8,1))=EB$14))   /   SUM(OFFSET($BO$15,0,0,$B$14,1)) + $B$18/($B$19*$B$19*($DN215&lt;&gt;$DO215) + $B$19*($DN215=$DO215))</f>
        <v>3.3333333333333331E-3</v>
      </c>
      <c r="EC215" s="10" cm="1">
        <f t="array" aca="1" ref="EC215" ca="1">(1-$B$18)*SUMPRODUCT(OFFSET($BO$15,0,0,$B$14,1), 1*(_xlfn._xlws.FILTER(OFFSET($O$15,0,$DN215,$B$8,1),OFFSET($M$15,0,0,$B$8,1))=EC$13), 1*(_xlfn._xlws.FILTER(OFFSET($O$15,0,$DO215,$B$8,1),OFFSET($M$15,0,0,$B$8,1))=EC$14))   /   SUM(OFFSET($BO$15,0,0,$B$14,1)) + $B$18/($B$19*$B$19*($DN215&lt;&gt;$DO215) + $B$19*($DN215=$DO215))</f>
        <v>3.3333333333333331E-3</v>
      </c>
      <c r="ED215" s="10" cm="1">
        <f t="array" aca="1" ref="ED215" ca="1">(1-$B$18)*SUMPRODUCT(OFFSET($BO$15,0,0,$B$14,1), 1*(_xlfn._xlws.FILTER(OFFSET($O$15,0,$DN215,$B$8,1),OFFSET($M$15,0,0,$B$8,1))=ED$13), 1*(_xlfn._xlws.FILTER(OFFSET($O$15,0,$DO215,$B$8,1),OFFSET($M$15,0,0,$B$8,1))=ED$14))   /   SUM(OFFSET($BO$15,0,0,$B$14,1)) + $B$18/($B$19*$B$19*($DN215&lt;&gt;$DO215) + $B$19*($DN215=$DO215))</f>
        <v>3.3333333333333331E-3</v>
      </c>
      <c r="EE215" s="10" cm="1">
        <f t="array" aca="1" ref="EE215" ca="1">(1-$B$18)*SUMPRODUCT(OFFSET($BO$15,0,0,$B$14,1), 1*(_xlfn._xlws.FILTER(OFFSET($O$15,0,$DN215,$B$8,1),OFFSET($M$15,0,0,$B$8,1))=EE$13), 1*(_xlfn._xlws.FILTER(OFFSET($O$15,0,$DO215,$B$8,1),OFFSET($M$15,0,0,$B$8,1))=EE$14))   /   SUM(OFFSET($BO$15,0,0,$B$14,1)) + $B$18/($B$19*$B$19*($DN215&lt;&gt;$DO215) + $B$19*($DN215=$DO215))</f>
        <v>3.3333333333333331E-3</v>
      </c>
      <c r="EF215" s="10" cm="1">
        <f t="array" aca="1" ref="EF215" ca="1">(1-$B$18)*SUMPRODUCT(OFFSET($BO$15,0,0,$B$14,1), 1*(_xlfn._xlws.FILTER(OFFSET($O$15,0,$DN215,$B$8,1),OFFSET($M$15,0,0,$B$8,1))=EF$13), 1*(_xlfn._xlws.FILTER(OFFSET($O$15,0,$DO215,$B$8,1),OFFSET($M$15,0,0,$B$8,1))=EF$14))   /   SUM(OFFSET($BO$15,0,0,$B$14,1)) + $B$18/($B$19*$B$19*($DN215&lt;&gt;$DO215) + $B$19*($DN215=$DO215))</f>
        <v>3.3333333333333331E-3</v>
      </c>
      <c r="EG215" s="10" cm="1">
        <f t="array" aca="1" ref="EG215" ca="1">(1-$B$18)*SUMPRODUCT(OFFSET($BO$15,0,0,$B$14,1), 1*(_xlfn._xlws.FILTER(OFFSET($O$15,0,$DN215,$B$8,1),OFFSET($M$15,0,0,$B$8,1))=EG$13), 1*(_xlfn._xlws.FILTER(OFFSET($O$15,0,$DO215,$B$8,1),OFFSET($M$15,0,0,$B$8,1))=EG$14))   /   SUM(OFFSET($BO$15,0,0,$B$14,1)) + $B$18/($B$19*$B$19*($DN215&lt;&gt;$DO215) + $B$19*($DN215=$DO215))</f>
        <v>3.3333333333333331E-3</v>
      </c>
      <c r="EH215" s="10" cm="1">
        <f t="array" aca="1" ref="EH215" ca="1">(1-$B$18)*SUMPRODUCT(OFFSET($BO$15,0,0,$B$14,1), 1*(_xlfn._xlws.FILTER(OFFSET($O$15,0,$DN215,$B$8,1),OFFSET($M$15,0,0,$B$8,1))=EH$13), 1*(_xlfn._xlws.FILTER(OFFSET($O$15,0,$DO215,$B$8,1),OFFSET($M$15,0,0,$B$8,1))=EH$14))   /   SUM(OFFSET($BO$15,0,0,$B$14,1)) + $B$18/($B$19*$B$19*($DN215&lt;&gt;$DO215) + $B$19*($DN215=$DO215))</f>
        <v>0.24583333333333321</v>
      </c>
      <c r="EI215" s="10" cm="1">
        <f t="array" aca="1" ref="EI215" ca="1">(1-$B$18)*SUMPRODUCT(OFFSET($BO$15,0,0,$B$14,1), 1*(_xlfn._xlws.FILTER(OFFSET($O$15,0,$DN215,$B$8,1),OFFSET($M$15,0,0,$B$8,1))=EI$13), 1*(_xlfn._xlws.FILTER(OFFSET($O$15,0,$DO215,$B$8,1),OFFSET($M$15,0,0,$B$8,1))=EI$14))   /   SUM(OFFSET($BO$15,0,0,$B$14,1)) + $B$18/($B$19*$B$19*($DN215&lt;&gt;$DO215) + $B$19*($DN215=$DO215))</f>
        <v>3.3333333333333331E-3</v>
      </c>
      <c r="EJ215" s="10" cm="1">
        <f t="array" aca="1" ref="EJ215" ca="1">(1-$B$18)*SUMPRODUCT(OFFSET($BO$15,0,0,$B$14,1), 1*(_xlfn._xlws.FILTER(OFFSET($O$15,0,$DN215,$B$8,1),OFFSET($M$15,0,0,$B$8,1))=EJ$13), 1*(_xlfn._xlws.FILTER(OFFSET($O$15,0,$DO215,$B$8,1),OFFSET($M$15,0,0,$B$8,1))=EJ$14))   /   SUM(OFFSET($BO$15,0,0,$B$14,1)) + $B$18/($B$19*$B$19*($DN215&lt;&gt;$DO215) + $B$19*($DN215=$DO215))</f>
        <v>3.3333333333333331E-3</v>
      </c>
      <c r="EK215" s="10" cm="1">
        <f t="array" aca="1" ref="EK215" ca="1">(1-$B$18)*SUMPRODUCT(OFFSET($BO$15,0,0,$B$14,1), 1*(_xlfn._xlws.FILTER(OFFSET($O$15,0,$DN215,$B$8,1),OFFSET($M$15,0,0,$B$8,1))=EK$13), 1*(_xlfn._xlws.FILTER(OFFSET($O$15,0,$DO215,$B$8,1),OFFSET($M$15,0,0,$B$8,1))=EK$14))   /   SUM(OFFSET($BO$15,0,0,$B$14,1)) + $B$18/($B$19*$B$19*($DN215&lt;&gt;$DO215) + $B$19*($DN215=$DO215))</f>
        <v>3.3333333333333331E-3</v>
      </c>
      <c r="EL215" s="10" cm="1">
        <f t="array" aca="1" ref="EL215" ca="1">(1-$B$18)*SUMPRODUCT(OFFSET($BO$15,0,0,$B$14,1), 1*(_xlfn._xlws.FILTER(OFFSET($O$15,0,$DN215,$B$8,1),OFFSET($M$15,0,0,$B$8,1))=EL$13), 1*(_xlfn._xlws.FILTER(OFFSET($O$15,0,$DO215,$B$8,1),OFFSET($M$15,0,0,$B$8,1))=EL$14))   /   SUM(OFFSET($BO$15,0,0,$B$14,1)) + $B$18/($B$19*$B$19*($DN215&lt;&gt;$DO215) + $B$19*($DN215=$DO215))</f>
        <v>3.3333333333333331E-3</v>
      </c>
      <c r="EM215" s="10" cm="1">
        <f t="array" aca="1" ref="EM215" ca="1">(1-$B$18)*SUMPRODUCT(OFFSET($BO$15,0,0,$B$14,1), 1*(_xlfn._xlws.FILTER(OFFSET($O$15,0,$DN215,$B$8,1),OFFSET($M$15,0,0,$B$8,1))=EM$13), 1*(_xlfn._xlws.FILTER(OFFSET($O$15,0,$DO215,$B$8,1),OFFSET($M$15,0,0,$B$8,1))=EM$14))   /   SUM(OFFSET($BO$15,0,0,$B$14,1)) + $B$18/($B$19*$B$19*($DN215&lt;&gt;$DO215) + $B$19*($DN215=$DO215))</f>
        <v>3.3333333333333331E-3</v>
      </c>
      <c r="EN215" s="10" cm="1">
        <f t="array" aca="1" ref="EN215" ca="1">(1-$B$18)*SUMPRODUCT(OFFSET($BO$15,0,0,$B$14,1), 1*(_xlfn._xlws.FILTER(OFFSET($O$15,0,$DN215,$B$8,1),OFFSET($M$15,0,0,$B$8,1))=EN$13), 1*(_xlfn._xlws.FILTER(OFFSET($O$15,0,$DO215,$B$8,1),OFFSET($M$15,0,0,$B$8,1))=EN$14))   /   SUM(OFFSET($BO$15,0,0,$B$14,1)) + $B$18/($B$19*$B$19*($DN215&lt;&gt;$DO215) + $B$19*($DN215=$DO215))</f>
        <v>3.3333333333333331E-3</v>
      </c>
      <c r="EO215" s="10" cm="1">
        <f t="array" aca="1" ref="EO215" ca="1">(1-$B$18)*SUMPRODUCT(OFFSET($BO$15,0,0,$B$14,1), 1*(_xlfn._xlws.FILTER(OFFSET($O$15,0,$DN215,$B$8,1),OFFSET($M$15,0,0,$B$8,1))=EO$13), 1*(_xlfn._xlws.FILTER(OFFSET($O$15,0,$DO215,$B$8,1),OFFSET($M$15,0,0,$B$8,1))=EO$14))   /   SUM(OFFSET($BO$15,0,0,$B$14,1)) + $B$18/($B$19*$B$19*($DN215&lt;&gt;$DO215) + $B$19*($DN215=$DO215))</f>
        <v>3.3333333333333331E-3</v>
      </c>
      <c r="EP215" s="10" cm="1">
        <f t="array" aca="1" ref="EP215" ca="1">(1-$B$18)*SUMPRODUCT(OFFSET($BO$15,0,0,$B$14,1), 1*(_xlfn._xlws.FILTER(OFFSET($O$15,0,$DN215,$B$8,1),OFFSET($M$15,0,0,$B$8,1))=EP$13), 1*(_xlfn._xlws.FILTER(OFFSET($O$15,0,$DO215,$B$8,1),OFFSET($M$15,0,0,$B$8,1))=EP$14))   /   SUM(OFFSET($BO$15,0,0,$B$14,1)) + $B$18/($B$19*$B$19*($DN215&lt;&gt;$DO215) + $B$19*($DN215=$DO215))</f>
        <v>3.3333333333333331E-3</v>
      </c>
      <c r="EQ215" s="10" cm="1">
        <f t="array" aca="1" ref="EQ215" ca="1">(1-$B$18)*SUMPRODUCT(OFFSET($BO$15,0,0,$B$14,1), 1*(_xlfn._xlws.FILTER(OFFSET($O$15,0,$DN215,$B$8,1),OFFSET($M$15,0,0,$B$8,1))=EQ$13), 1*(_xlfn._xlws.FILTER(OFFSET($O$15,0,$DO215,$B$8,1),OFFSET($M$15,0,0,$B$8,1))=EQ$14))   /   SUM(OFFSET($BO$15,0,0,$B$14,1)) + $B$18/($B$19*$B$19*($DN215&lt;&gt;$DO215) + $B$19*($DN215=$DO215))</f>
        <v>0.24583333333333321</v>
      </c>
      <c r="ER215" s="10" cm="1">
        <f t="array" aca="1" ref="ER215" ca="1">(1-$B$18)*SUMPRODUCT(OFFSET($BO$15,0,0,$B$14,1), 1*(_xlfn._xlws.FILTER(OFFSET($O$15,0,$DN215,$B$8,1),OFFSET($M$15,0,0,$B$8,1))=ER$13), 1*(_xlfn._xlws.FILTER(OFFSET($O$15,0,$DO215,$B$8,1),OFFSET($M$15,0,0,$B$8,1))=ER$14))   /   SUM(OFFSET($BO$15,0,0,$B$14,1)) + $B$18/($B$19*$B$19*($DN215&lt;&gt;$DO215) + $B$19*($DN215=$DO215))</f>
        <v>3.3333333333333331E-3</v>
      </c>
      <c r="ES215" s="10" cm="1">
        <f t="array" aca="1" ref="ES215" ca="1">(1-$B$18)*SUMPRODUCT(OFFSET($BO$15,0,0,$B$14,1), 1*(_xlfn._xlws.FILTER(OFFSET($O$15,0,$DN215,$B$8,1),OFFSET($M$15,0,0,$B$8,1))=ES$13), 1*(_xlfn._xlws.FILTER(OFFSET($O$15,0,$DO215,$B$8,1),OFFSET($M$15,0,0,$B$8,1))=ES$14))   /   SUM(OFFSET($BO$15,0,0,$B$14,1)) + $B$18/($B$19*$B$19*($DN215&lt;&gt;$DO215) + $B$19*($DN215=$DO215))</f>
        <v>3.3333333333333331E-3</v>
      </c>
      <c r="ET215" s="10" cm="1">
        <f t="array" aca="1" ref="ET215" ca="1">(1-$B$18)*SUMPRODUCT(OFFSET($BO$15,0,0,$B$14,1), 1*(_xlfn._xlws.FILTER(OFFSET($O$15,0,$DN215,$B$8,1),OFFSET($M$15,0,0,$B$8,1))=ET$13), 1*(_xlfn._xlws.FILTER(OFFSET($O$15,0,$DO215,$B$8,1),OFFSET($M$15,0,0,$B$8,1))=ET$14))   /   SUM(OFFSET($BO$15,0,0,$B$14,1)) + $B$18/($B$19*$B$19*($DN215&lt;&gt;$DO215) + $B$19*($DN215=$DO215))</f>
        <v>3.3333333333333331E-3</v>
      </c>
      <c r="EU215" s="10" cm="1">
        <f t="array" aca="1" ref="EU215" ca="1">(1-$B$18)*SUMPRODUCT(OFFSET($BO$15,0,0,$B$14,1), 1*(_xlfn._xlws.FILTER(OFFSET($O$15,0,$DN215,$B$8,1),OFFSET($M$15,0,0,$B$8,1))=EU$13), 1*(_xlfn._xlws.FILTER(OFFSET($O$15,0,$DO215,$B$8,1),OFFSET($M$15,0,0,$B$8,1))=EU$14))   /   SUM(OFFSET($BO$15,0,0,$B$14,1)) + $B$18/($B$19*$B$19*($DN215&lt;&gt;$DO215) + $B$19*($DN215=$DO215))</f>
        <v>3.3333333333333331E-3</v>
      </c>
      <c r="EV215" s="10" cm="1">
        <f t="array" aca="1" ref="EV215" ca="1">(1-$B$18)*SUMPRODUCT(OFFSET($BO$15,0,0,$B$14,1), 1*(_xlfn._xlws.FILTER(OFFSET($O$15,0,$DN215,$B$8,1),OFFSET($M$15,0,0,$B$8,1))=EV$13), 1*(_xlfn._xlws.FILTER(OFFSET($O$15,0,$DO215,$B$8,1),OFFSET($M$15,0,0,$B$8,1))=EV$14))   /   SUM(OFFSET($BO$15,0,0,$B$14,1)) + $B$18/($B$19*$B$19*($DN215&lt;&gt;$DO215) + $B$19*($DN215=$DO215))</f>
        <v>3.3333333333333331E-3</v>
      </c>
      <c r="EW215" s="10" cm="1">
        <f t="array" aca="1" ref="EW215" ca="1">(1-$B$18)*SUMPRODUCT(OFFSET($BO$15,0,0,$B$14,1), 1*(_xlfn._xlws.FILTER(OFFSET($O$15,0,$DN215,$B$8,1),OFFSET($M$15,0,0,$B$8,1))=EW$13), 1*(_xlfn._xlws.FILTER(OFFSET($O$15,0,$DO215,$B$8,1),OFFSET($M$15,0,0,$B$8,1))=EW$14))   /   SUM(OFFSET($BO$15,0,0,$B$14,1)) + $B$18/($B$19*$B$19*($DN215&lt;&gt;$DO215) + $B$19*($DN215=$DO215))</f>
        <v>3.3333333333333331E-3</v>
      </c>
      <c r="EX215" s="10" cm="1">
        <f t="array" aca="1" ref="EX215" ca="1">(1-$B$18)*SUMPRODUCT(OFFSET($BO$15,0,0,$B$14,1), 1*(_xlfn._xlws.FILTER(OFFSET($O$15,0,$DN215,$B$8,1),OFFSET($M$15,0,0,$B$8,1))=EX$13), 1*(_xlfn._xlws.FILTER(OFFSET($O$15,0,$DO215,$B$8,1),OFFSET($M$15,0,0,$B$8,1))=EX$14))   /   SUM(OFFSET($BO$15,0,0,$B$14,1)) + $B$18/($B$19*$B$19*($DN215&lt;&gt;$DO215) + $B$19*($DN215=$DO215))</f>
        <v>3.3333333333333331E-3</v>
      </c>
      <c r="EY215" s="10" cm="1">
        <f t="array" aca="1" ref="EY215" ca="1">(1-$B$18)*SUMPRODUCT(OFFSET($BO$15,0,0,$B$14,1), 1*(_xlfn._xlws.FILTER(OFFSET($O$15,0,$DN215,$B$8,1),OFFSET($M$15,0,0,$B$8,1))=EY$13), 1*(_xlfn._xlws.FILTER(OFFSET($O$15,0,$DO215,$B$8,1),OFFSET($M$15,0,0,$B$8,1))=EY$14))   /   SUM(OFFSET($BO$15,0,0,$B$14,1)) + $B$18/($B$19*$B$19*($DN215&lt;&gt;$DO215) + $B$19*($DN215=$DO215))</f>
        <v>3.3333333333333331E-3</v>
      </c>
      <c r="EZ215" s="10" cm="1">
        <f t="array" aca="1" ref="EZ215" ca="1">(1-$B$18)*SUMPRODUCT(OFFSET($BO$15,0,0,$B$14,1), 1*(_xlfn._xlws.FILTER(OFFSET($O$15,0,$DN215,$B$8,1),OFFSET($M$15,0,0,$B$8,1))=EZ$13), 1*(_xlfn._xlws.FILTER(OFFSET($O$15,0,$DO215,$B$8,1),OFFSET($M$15,0,0,$B$8,1))=EZ$14))   /   SUM(OFFSET($BO$15,0,0,$B$14,1)) + $B$18/($B$19*$B$19*($DN215&lt;&gt;$DO215) + $B$19*($DN215=$DO215))</f>
        <v>3.3333333333333331E-3</v>
      </c>
      <c r="FA215" s="10" cm="1">
        <f t="array" aca="1" ref="FA215" ca="1">(1-$B$18)*SUMPRODUCT(OFFSET($BO$15,0,0,$B$14,1), 1*(_xlfn._xlws.FILTER(OFFSET($O$15,0,$DN215,$B$8,1),OFFSET($M$15,0,0,$B$8,1))=FA$13), 1*(_xlfn._xlws.FILTER(OFFSET($O$15,0,$DO215,$B$8,1),OFFSET($M$15,0,0,$B$8,1))=FA$14))   /   SUM(OFFSET($BO$15,0,0,$B$14,1)) + $B$18/($B$19*$B$19*($DN215&lt;&gt;$DO215) + $B$19*($DN215=$DO215))</f>
        <v>3.3333333333333331E-3</v>
      </c>
      <c r="FB215" s="10" cm="1">
        <f t="array" aca="1" ref="FB215" ca="1">(1-$B$18)*SUMPRODUCT(OFFSET($BO$15,0,0,$B$14,1), 1*(_xlfn._xlws.FILTER(OFFSET($O$15,0,$DN215,$B$8,1),OFFSET($M$15,0,0,$B$8,1))=FB$13), 1*(_xlfn._xlws.FILTER(OFFSET($O$15,0,$DO215,$B$8,1),OFFSET($M$15,0,0,$B$8,1))=FB$14))   /   SUM(OFFSET($BO$15,0,0,$B$14,1)) + $B$18/($B$19*$B$19*($DN215&lt;&gt;$DO215) + $B$19*($DN215=$DO215))</f>
        <v>3.3333333333333331E-3</v>
      </c>
      <c r="FC215" s="10" cm="1">
        <f t="array" aca="1" ref="FC215" ca="1">(1-$B$18)*SUMPRODUCT(OFFSET($BO$15,0,0,$B$14,1), 1*(_xlfn._xlws.FILTER(OFFSET($O$15,0,$DN215,$B$8,1),OFFSET($M$15,0,0,$B$8,1))=FC$13), 1*(_xlfn._xlws.FILTER(OFFSET($O$15,0,$DO215,$B$8,1),OFFSET($M$15,0,0,$B$8,1))=FC$14))   /   SUM(OFFSET($BO$15,0,0,$B$14,1)) + $B$18/($B$19*$B$19*($DN215&lt;&gt;$DO215) + $B$19*($DN215=$DO215))</f>
        <v>3.3333333333333331E-3</v>
      </c>
      <c r="FD215" s="10" cm="1">
        <f t="array" aca="1" ref="FD215" ca="1">(1-$B$18)*SUMPRODUCT(OFFSET($BO$15,0,0,$B$14,1), 1*(_xlfn._xlws.FILTER(OFFSET($O$15,0,$DN215,$B$8,1),OFFSET($M$15,0,0,$B$8,1))=FD$13), 1*(_xlfn._xlws.FILTER(OFFSET($O$15,0,$DO215,$B$8,1),OFFSET($M$15,0,0,$B$8,1))=FD$14))   /   SUM(OFFSET($BO$15,0,0,$B$14,1)) + $B$18/($B$19*$B$19*($DN215&lt;&gt;$DO215) + $B$19*($DN215=$DO215))</f>
        <v>3.3333333333333331E-3</v>
      </c>
      <c r="FE215" s="10" cm="1">
        <f t="array" aca="1" ref="FE215" ca="1">(1-$B$18)*SUMPRODUCT(OFFSET($BO$15,0,0,$B$14,1), 1*(_xlfn._xlws.FILTER(OFFSET($O$15,0,$DN215,$B$8,1),OFFSET($M$15,0,0,$B$8,1))=FE$13), 1*(_xlfn._xlws.FILTER(OFFSET($O$15,0,$DO215,$B$8,1),OFFSET($M$15,0,0,$B$8,1))=FE$14))   /   SUM(OFFSET($BO$15,0,0,$B$14,1)) + $B$18/($B$19*$B$19*($DN215&lt;&gt;$DO215) + $B$19*($DN215=$DO215))</f>
        <v>3.3333333333333331E-3</v>
      </c>
      <c r="FF215" s="10" cm="1">
        <f t="array" aca="1" ref="FF215" ca="1">(1-$B$18)*SUMPRODUCT(OFFSET($BO$15,0,0,$B$14,1), 1*(_xlfn._xlws.FILTER(OFFSET($O$15,0,$DN215,$B$8,1),OFFSET($M$15,0,0,$B$8,1))=FF$13), 1*(_xlfn._xlws.FILTER(OFFSET($O$15,0,$DO215,$B$8,1),OFFSET($M$15,0,0,$B$8,1))=FF$14))   /   SUM(OFFSET($BO$15,0,0,$B$14,1)) + $B$18/($B$19*$B$19*($DN215&lt;&gt;$DO215) + $B$19*($DN215=$DO215))</f>
        <v>3.3333333333333331E-3</v>
      </c>
      <c r="FG215" s="10" cm="1">
        <f t="array" aca="1" ref="FG215" ca="1">(1-$B$18)*SUMPRODUCT(OFFSET($BO$15,0,0,$B$14,1), 1*(_xlfn._xlws.FILTER(OFFSET($O$15,0,$DN215,$B$8,1),OFFSET($M$15,0,0,$B$8,1))=FG$13), 1*(_xlfn._xlws.FILTER(OFFSET($O$15,0,$DO215,$B$8,1),OFFSET($M$15,0,0,$B$8,1))=FG$14))   /   SUM(OFFSET($BO$15,0,0,$B$14,1)) + $B$18/($B$19*$B$19*($DN215&lt;&gt;$DO215) + $B$19*($DN215=$DO215))</f>
        <v>3.3333333333333331E-3</v>
      </c>
      <c r="FH215" s="10" cm="1">
        <f t="array" aca="1" ref="FH215" ca="1">(1-$B$18)*SUMPRODUCT(OFFSET($BO$15,0,0,$B$14,1), 1*(_xlfn._xlws.FILTER(OFFSET($O$15,0,$DN215,$B$8,1),OFFSET($M$15,0,0,$B$8,1))=FH$13), 1*(_xlfn._xlws.FILTER(OFFSET($O$15,0,$DO215,$B$8,1),OFFSET($M$15,0,0,$B$8,1))=FH$14))   /   SUM(OFFSET($BO$15,0,0,$B$14,1)) + $B$18/($B$19*$B$19*($DN215&lt;&gt;$DO215) + $B$19*($DN215=$DO215))</f>
        <v>3.3333333333333331E-3</v>
      </c>
      <c r="FI215" s="10" cm="1">
        <f t="array" aca="1" ref="FI215" ca="1">(1-$B$18)*SUMPRODUCT(OFFSET($BO$15,0,0,$B$14,1), 1*(_xlfn._xlws.FILTER(OFFSET($O$15,0,$DN215,$B$8,1),OFFSET($M$15,0,0,$B$8,1))=FI$13), 1*(_xlfn._xlws.FILTER(OFFSET($O$15,0,$DO215,$B$8,1),OFFSET($M$15,0,0,$B$8,1))=FI$14))   /   SUM(OFFSET($BO$15,0,0,$B$14,1)) + $B$18/($B$19*$B$19*($DN215&lt;&gt;$DO215) + $B$19*($DN215=$DO215))</f>
        <v>3.3333333333333331E-3</v>
      </c>
      <c r="FJ215" s="10" cm="1">
        <f t="array" aca="1" ref="FJ215" ca="1">(1-$B$18)*SUMPRODUCT(OFFSET($BO$15,0,0,$B$14,1), 1*(_xlfn._xlws.FILTER(OFFSET($O$15,0,$DN215,$B$8,1),OFFSET($M$15,0,0,$B$8,1))=FJ$13), 1*(_xlfn._xlws.FILTER(OFFSET($O$15,0,$DO215,$B$8,1),OFFSET($M$15,0,0,$B$8,1))=FJ$14))   /   SUM(OFFSET($BO$15,0,0,$B$14,1)) + $B$18/($B$19*$B$19*($DN215&lt;&gt;$DO215) + $B$19*($DN215=$DO215))</f>
        <v>3.3333333333333331E-3</v>
      </c>
      <c r="FK215" s="10" cm="1">
        <f t="array" aca="1" ref="FK215" ca="1">(1-$B$18)*SUMPRODUCT(OFFSET($BO$15,0,0,$B$14,1), 1*(_xlfn._xlws.FILTER(OFFSET($O$15,0,$DN215,$B$8,1),OFFSET($M$15,0,0,$B$8,1))=FK$13), 1*(_xlfn._xlws.FILTER(OFFSET($O$15,0,$DO215,$B$8,1),OFFSET($M$15,0,0,$B$8,1))=FK$14))   /   SUM(OFFSET($BO$15,0,0,$B$14,1)) + $B$18/($B$19*$B$19*($DN215&lt;&gt;$DO215) + $B$19*($DN215=$DO215))</f>
        <v>3.3333333333333331E-3</v>
      </c>
      <c r="FL215" s="10" cm="1">
        <f t="array" aca="1" ref="FL215" ca="1">(1-$B$18)*SUMPRODUCT(OFFSET($BO$15,0,0,$B$14,1), 1*(_xlfn._xlws.FILTER(OFFSET($O$15,0,$DN215,$B$8,1),OFFSET($M$15,0,0,$B$8,1))=FL$13), 1*(_xlfn._xlws.FILTER(OFFSET($O$15,0,$DO215,$B$8,1),OFFSET($M$15,0,0,$B$8,1))=FL$14))   /   SUM(OFFSET($BO$15,0,0,$B$14,1)) + $B$18/($B$19*$B$19*($DN215&lt;&gt;$DO215) + $B$19*($DN215=$DO215))</f>
        <v>3.3333333333333331E-3</v>
      </c>
      <c r="FM215" s="10" cm="1">
        <f t="array" aca="1" ref="FM215" ca="1">(1-$B$18)*SUMPRODUCT(OFFSET($BO$15,0,0,$B$14,1), 1*(_xlfn._xlws.FILTER(OFFSET($O$15,0,$DN215,$B$8,1),OFFSET($M$15,0,0,$B$8,1))=FM$13), 1*(_xlfn._xlws.FILTER(OFFSET($O$15,0,$DO215,$B$8,1),OFFSET($M$15,0,0,$B$8,1))=FM$14))   /   SUM(OFFSET($BO$15,0,0,$B$14,1)) + $B$18/($B$19*$B$19*($DN215&lt;&gt;$DO215) + $B$19*($DN215=$DO215))</f>
        <v>3.3333333333333331E-3</v>
      </c>
      <c r="FN215" s="10" cm="1">
        <f t="array" aca="1" ref="FN215" ca="1">(1-$B$18)*SUMPRODUCT(OFFSET($BO$15,0,0,$B$14,1), 1*(_xlfn._xlws.FILTER(OFFSET($O$15,0,$DN215,$B$8,1),OFFSET($M$15,0,0,$B$8,1))=FN$13), 1*(_xlfn._xlws.FILTER(OFFSET($O$15,0,$DO215,$B$8,1),OFFSET($M$15,0,0,$B$8,1))=FN$14))   /   SUM(OFFSET($BO$15,0,0,$B$14,1)) + $B$18/($B$19*$B$19*($DN215&lt;&gt;$DO215) + $B$19*($DN215=$DO215))</f>
        <v>3.3333333333333331E-3</v>
      </c>
      <c r="FO215" s="10" cm="1">
        <f t="array" aca="1" ref="FO215" ca="1">(1-$B$18)*SUMPRODUCT(OFFSET($BO$15,0,0,$B$14,1), 1*(_xlfn._xlws.FILTER(OFFSET($O$15,0,$DN215,$B$8,1),OFFSET($M$15,0,0,$B$8,1))=FO$13), 1*(_xlfn._xlws.FILTER(OFFSET($O$15,0,$DO215,$B$8,1),OFFSET($M$15,0,0,$B$8,1))=FO$14))   /   SUM(OFFSET($BO$15,0,0,$B$14,1)) + $B$18/($B$19*$B$19*($DN215&lt;&gt;$DO215) + $B$19*($DN215=$DO215))</f>
        <v>3.3333333333333331E-3</v>
      </c>
      <c r="FP215" s="10" cm="1">
        <f t="array" aca="1" ref="FP215" ca="1">(1-$B$18)*SUMPRODUCT(OFFSET($BO$15,0,0,$B$14,1), 1*(_xlfn._xlws.FILTER(OFFSET($O$15,0,$DN215,$B$8,1),OFFSET($M$15,0,0,$B$8,1))=FP$13), 1*(_xlfn._xlws.FILTER(OFFSET($O$15,0,$DO215,$B$8,1),OFFSET($M$15,0,0,$B$8,1))=FP$14))   /   SUM(OFFSET($BO$15,0,0,$B$14,1)) + $B$18/($B$19*$B$19*($DN215&lt;&gt;$DO215) + $B$19*($DN215=$DO215))</f>
        <v>3.3333333333333331E-3</v>
      </c>
      <c r="FQ215" s="10" cm="1">
        <f t="array" aca="1" ref="FQ215" ca="1">(1-$B$18)*SUMPRODUCT(OFFSET($BO$15,0,0,$B$14,1), 1*(_xlfn._xlws.FILTER(OFFSET($O$15,0,$DN215,$B$8,1),OFFSET($M$15,0,0,$B$8,1))=FQ$13), 1*(_xlfn._xlws.FILTER(OFFSET($O$15,0,$DO215,$B$8,1),OFFSET($M$15,0,0,$B$8,1))=FQ$14))   /   SUM(OFFSET($BO$15,0,0,$B$14,1)) + $B$18/($B$19*$B$19*($DN215&lt;&gt;$DO215) + $B$19*($DN215=$DO215))</f>
        <v>3.3333333333333331E-3</v>
      </c>
      <c r="FR215" s="10" cm="1">
        <f t="array" aca="1" ref="FR215" ca="1">(1-$B$18)*SUMPRODUCT(OFFSET($BO$15,0,0,$B$14,1), 1*(_xlfn._xlws.FILTER(OFFSET($O$15,0,$DN215,$B$8,1),OFFSET($M$15,0,0,$B$8,1))=FR$13), 1*(_xlfn._xlws.FILTER(OFFSET($O$15,0,$DO215,$B$8,1),OFFSET($M$15,0,0,$B$8,1))=FR$14))   /   SUM(OFFSET($BO$15,0,0,$B$14,1)) + $B$18/($B$19*$B$19*($DN215&lt;&gt;$DO215) + $B$19*($DN215=$DO215))</f>
        <v>3.3333333333333331E-3</v>
      </c>
      <c r="FS215" s="10" cm="1">
        <f t="array" aca="1" ref="FS215" ca="1">(1-$B$18)*SUMPRODUCT(OFFSET($BO$15,0,0,$B$14,1), 1*(_xlfn._xlws.FILTER(OFFSET($O$15,0,$DN215,$B$8,1),OFFSET($M$15,0,0,$B$8,1))=FS$13), 1*(_xlfn._xlws.FILTER(OFFSET($O$15,0,$DO215,$B$8,1),OFFSET($M$15,0,0,$B$8,1))=FS$14))   /   SUM(OFFSET($BO$15,0,0,$B$14,1)) + $B$18/($B$19*$B$19*($DN215&lt;&gt;$DO215) + $B$19*($DN215=$DO215))</f>
        <v>3.3333333333333331E-3</v>
      </c>
      <c r="FT215" s="10" cm="1">
        <f t="array" aca="1" ref="FT215" ca="1">(1-$B$18)*SUMPRODUCT(OFFSET($BO$15,0,0,$B$14,1), 1*(_xlfn._xlws.FILTER(OFFSET($O$15,0,$DN215,$B$8,1),OFFSET($M$15,0,0,$B$8,1))=FT$13), 1*(_xlfn._xlws.FILTER(OFFSET($O$15,0,$DO215,$B$8,1),OFFSET($M$15,0,0,$B$8,1))=FT$14))   /   SUM(OFFSET($BO$15,0,0,$B$14,1)) + $B$18/($B$19*$B$19*($DN215&lt;&gt;$DO215) + $B$19*($DN215=$DO215))</f>
        <v>3.3333333333333331E-3</v>
      </c>
      <c r="FU215" s="10" cm="1">
        <f t="array" aca="1" ref="FU215" ca="1">(1-$B$18)*SUMPRODUCT(OFFSET($BO$15,0,0,$B$14,1), 1*(_xlfn._xlws.FILTER(OFFSET($O$15,0,$DN215,$B$8,1),OFFSET($M$15,0,0,$B$8,1))=FU$13), 1*(_xlfn._xlws.FILTER(OFFSET($O$15,0,$DO215,$B$8,1),OFFSET($M$15,0,0,$B$8,1))=FU$14))   /   SUM(OFFSET($BO$15,0,0,$B$14,1)) + $B$18/($B$19*$B$19*($DN215&lt;&gt;$DO215) + $B$19*($DN215=$DO215))</f>
        <v>3.3333333333333331E-3</v>
      </c>
      <c r="FV215" s="10" cm="1">
        <f t="array" aca="1" ref="FV215" ca="1">(1-$B$18)*SUMPRODUCT(OFFSET($BO$15,0,0,$B$14,1), 1*(_xlfn._xlws.FILTER(OFFSET($O$15,0,$DN215,$B$8,1),OFFSET($M$15,0,0,$B$8,1))=FV$13), 1*(_xlfn._xlws.FILTER(OFFSET($O$15,0,$DO215,$B$8,1),OFFSET($M$15,0,0,$B$8,1))=FV$14))   /   SUM(OFFSET($BO$15,0,0,$B$14,1)) + $B$18/($B$19*$B$19*($DN215&lt;&gt;$DO215) + $B$19*($DN215=$DO215))</f>
        <v>3.3333333333333331E-3</v>
      </c>
      <c r="FW215" s="10" cm="1">
        <f t="array" aca="1" ref="FW215" ca="1">(1-$B$18)*SUMPRODUCT(OFFSET($BO$15,0,0,$B$14,1), 1*(_xlfn._xlws.FILTER(OFFSET($O$15,0,$DN215,$B$8,1),OFFSET($M$15,0,0,$B$8,1))=FW$13), 1*(_xlfn._xlws.FILTER(OFFSET($O$15,0,$DO215,$B$8,1),OFFSET($M$15,0,0,$B$8,1))=FW$14))   /   SUM(OFFSET($BO$15,0,0,$B$14,1)) + $B$18/($B$19*$B$19*($DN215&lt;&gt;$DO215) + $B$19*($DN215=$DO215))</f>
        <v>3.3333333333333331E-3</v>
      </c>
      <c r="FX215" s="10" cm="1">
        <f t="array" aca="1" ref="FX215" ca="1">(1-$B$18)*SUMPRODUCT(OFFSET($BO$15,0,0,$B$14,1), 1*(_xlfn._xlws.FILTER(OFFSET($O$15,0,$DN215,$B$8,1),OFFSET($M$15,0,0,$B$8,1))=FX$13), 1*(_xlfn._xlws.FILTER(OFFSET($O$15,0,$DO215,$B$8,1),OFFSET($M$15,0,0,$B$8,1))=FX$14))   /   SUM(OFFSET($BO$15,0,0,$B$14,1)) + $B$18/($B$19*$B$19*($DN215&lt;&gt;$DO215) + $B$19*($DN215=$DO215))</f>
        <v>3.3333333333333331E-3</v>
      </c>
      <c r="FY215" s="10" cm="1">
        <f t="array" aca="1" ref="FY215" ca="1">(1-$B$18)*SUMPRODUCT(OFFSET($BO$15,0,0,$B$14,1), 1*(_xlfn._xlws.FILTER(OFFSET($O$15,0,$DN215,$B$8,1),OFFSET($M$15,0,0,$B$8,1))=FY$13), 1*(_xlfn._xlws.FILTER(OFFSET($O$15,0,$DO215,$B$8,1),OFFSET($M$15,0,0,$B$8,1))=FY$14))   /   SUM(OFFSET($BO$15,0,0,$B$14,1)) + $B$18/($B$19*$B$19*($DN215&lt;&gt;$DO215) + $B$19*($DN215=$DO215))</f>
        <v>3.3333333333333331E-3</v>
      </c>
      <c r="FZ215" s="10" cm="1">
        <f t="array" aca="1" ref="FZ215" ca="1">(1-$B$18)*SUMPRODUCT(OFFSET($BO$15,0,0,$B$14,1), 1*(_xlfn._xlws.FILTER(OFFSET($O$15,0,$DN215,$B$8,1),OFFSET($M$15,0,0,$B$8,1))=FZ$13), 1*(_xlfn._xlws.FILTER(OFFSET($O$15,0,$DO215,$B$8,1),OFFSET($M$15,0,0,$B$8,1))=FZ$14))   /   SUM(OFFSET($BO$15,0,0,$B$14,1)) + $B$18/($B$19*$B$19*($DN215&lt;&gt;$DO215) + $B$19*($DN215=$DO215))</f>
        <v>3.3333333333333331E-3</v>
      </c>
      <c r="GA215" s="10" cm="1">
        <f t="array" aca="1" ref="GA215" ca="1">(1-$B$18)*SUMPRODUCT(OFFSET($BO$15,0,0,$B$14,1), 1*(_xlfn._xlws.FILTER(OFFSET($O$15,0,$DN215,$B$8,1),OFFSET($M$15,0,0,$B$8,1))=GA$13), 1*(_xlfn._xlws.FILTER(OFFSET($O$15,0,$DO215,$B$8,1),OFFSET($M$15,0,0,$B$8,1))=GA$14))   /   SUM(OFFSET($BO$15,0,0,$B$14,1)) + $B$18/($B$19*$B$19*($DN215&lt;&gt;$DO215) + $B$19*($DN215=$DO215))</f>
        <v>3.3333333333333331E-3</v>
      </c>
    </row>
    <row r="216" spans="118:183" x14ac:dyDescent="0.2">
      <c r="DN216" cm="1">
        <f t="array" aca="1" ref="DN216" ca="1">INDEX(_xlfn.ANCHORARRAY($CP$15), 1 + INT((ROWS($DO$15:$DO216) - 1) / ROWS(_xlfn.ANCHORARRAY($CP$15))))</f>
        <v>11</v>
      </c>
      <c r="DO216" cm="1">
        <f t="array" aca="1" ref="DO216" ca="1">INDEX(_xlfn.ANCHORARRAY($CP$15),1+MOD(ROWS($DO$15:$DO216)-1,ROWS(_xlfn.ANCHORARRAY($CP$15))))</f>
        <v>12</v>
      </c>
      <c r="DP216" s="10" cm="1">
        <f t="array" aca="1" ref="DP216" ca="1">(1-$B$18)*SUMPRODUCT(OFFSET($BO$15,0,0,$B$14,1), 1*(_xlfn._xlws.FILTER(OFFSET($O$15,0,$DN216,$B$8,1),OFFSET($M$15,0,0,$B$8,1))=DP$13), 1*(_xlfn._xlws.FILTER(OFFSET($O$15,0,$DO216,$B$8,1),OFFSET($M$15,0,0,$B$8,1))=DP$14))   /   SUM(OFFSET($BO$15,0,0,$B$14,1)) + $B$18/($B$19*$B$19*($DN216&lt;&gt;$DO216) + $B$19*($DN216=$DO216))</f>
        <v>3.7037037037037035E-4</v>
      </c>
      <c r="DQ216" s="10" cm="1">
        <f t="array" aca="1" ref="DQ216" ca="1">(1-$B$18)*SUMPRODUCT(OFFSET($BO$15,0,0,$B$14,1), 1*(_xlfn._xlws.FILTER(OFFSET($O$15,0,$DN216,$B$8,1),OFFSET($M$15,0,0,$B$8,1))=DQ$13), 1*(_xlfn._xlws.FILTER(OFFSET($O$15,0,$DO216,$B$8,1),OFFSET($M$15,0,0,$B$8,1))=DQ$14))   /   SUM(OFFSET($BO$15,0,0,$B$14,1)) + $B$18/($B$19*$B$19*($DN216&lt;&gt;$DO216) + $B$19*($DN216=$DO216))</f>
        <v>0.48537037037037034</v>
      </c>
      <c r="DR216" s="10" cm="1">
        <f t="array" aca="1" ref="DR216" ca="1">(1-$B$18)*SUMPRODUCT(OFFSET($BO$15,0,0,$B$14,1), 1*(_xlfn._xlws.FILTER(OFFSET($O$15,0,$DN216,$B$8,1),OFFSET($M$15,0,0,$B$8,1))=DR$13), 1*(_xlfn._xlws.FILTER(OFFSET($O$15,0,$DO216,$B$8,1),OFFSET($M$15,0,0,$B$8,1))=DR$14))   /   SUM(OFFSET($BO$15,0,0,$B$14,1)) + $B$18/($B$19*$B$19*($DN216&lt;&gt;$DO216) + $B$19*($DN216=$DO216))</f>
        <v>3.7037037037037035E-4</v>
      </c>
      <c r="DS216" s="10" cm="1">
        <f t="array" aca="1" ref="DS216" ca="1">(1-$B$18)*SUMPRODUCT(OFFSET($BO$15,0,0,$B$14,1), 1*(_xlfn._xlws.FILTER(OFFSET($O$15,0,$DN216,$B$8,1),OFFSET($M$15,0,0,$B$8,1))=DS$13), 1*(_xlfn._xlws.FILTER(OFFSET($O$15,0,$DO216,$B$8,1),OFFSET($M$15,0,0,$B$8,1))=DS$14))   /   SUM(OFFSET($BO$15,0,0,$B$14,1)) + $B$18/($B$19*$B$19*($DN216&lt;&gt;$DO216) + $B$19*($DN216=$DO216))</f>
        <v>3.7037037037037035E-4</v>
      </c>
      <c r="DT216" s="10" cm="1">
        <f t="array" aca="1" ref="DT216" ca="1">(1-$B$18)*SUMPRODUCT(OFFSET($BO$15,0,0,$B$14,1), 1*(_xlfn._xlws.FILTER(OFFSET($O$15,0,$DN216,$B$8,1),OFFSET($M$15,0,0,$B$8,1))=DT$13), 1*(_xlfn._xlws.FILTER(OFFSET($O$15,0,$DO216,$B$8,1),OFFSET($M$15,0,0,$B$8,1))=DT$14))   /   SUM(OFFSET($BO$15,0,0,$B$14,1)) + $B$18/($B$19*$B$19*($DN216&lt;&gt;$DO216) + $B$19*($DN216=$DO216))</f>
        <v>3.7037037037037035E-4</v>
      </c>
      <c r="DU216" s="10" cm="1">
        <f t="array" aca="1" ref="DU216" ca="1">(1-$B$18)*SUMPRODUCT(OFFSET($BO$15,0,0,$B$14,1), 1*(_xlfn._xlws.FILTER(OFFSET($O$15,0,$DN216,$B$8,1),OFFSET($M$15,0,0,$B$8,1))=DU$13), 1*(_xlfn._xlws.FILTER(OFFSET($O$15,0,$DO216,$B$8,1),OFFSET($M$15,0,0,$B$8,1))=DU$14))   /   SUM(OFFSET($BO$15,0,0,$B$14,1)) + $B$18/($B$19*$B$19*($DN216&lt;&gt;$DO216) + $B$19*($DN216=$DO216))</f>
        <v>3.7037037037037035E-4</v>
      </c>
      <c r="DV216" s="10" cm="1">
        <f t="array" aca="1" ref="DV216" ca="1">(1-$B$18)*SUMPRODUCT(OFFSET($BO$15,0,0,$B$14,1), 1*(_xlfn._xlws.FILTER(OFFSET($O$15,0,$DN216,$B$8,1),OFFSET($M$15,0,0,$B$8,1))=DV$13), 1*(_xlfn._xlws.FILTER(OFFSET($O$15,0,$DO216,$B$8,1),OFFSET($M$15,0,0,$B$8,1))=DV$14))   /   SUM(OFFSET($BO$15,0,0,$B$14,1)) + $B$18/($B$19*$B$19*($DN216&lt;&gt;$DO216) + $B$19*($DN216=$DO216))</f>
        <v>3.7037037037037035E-4</v>
      </c>
      <c r="DW216" s="10" cm="1">
        <f t="array" aca="1" ref="DW216" ca="1">(1-$B$18)*SUMPRODUCT(OFFSET($BO$15,0,0,$B$14,1), 1*(_xlfn._xlws.FILTER(OFFSET($O$15,0,$DN216,$B$8,1),OFFSET($M$15,0,0,$B$8,1))=DW$13), 1*(_xlfn._xlws.FILTER(OFFSET($O$15,0,$DO216,$B$8,1),OFFSET($M$15,0,0,$B$8,1))=DW$14))   /   SUM(OFFSET($BO$15,0,0,$B$14,1)) + $B$18/($B$19*$B$19*($DN216&lt;&gt;$DO216) + $B$19*($DN216=$DO216))</f>
        <v>3.7037037037037035E-4</v>
      </c>
      <c r="DX216" s="10" cm="1">
        <f t="array" aca="1" ref="DX216" ca="1">(1-$B$18)*SUMPRODUCT(OFFSET($BO$15,0,0,$B$14,1), 1*(_xlfn._xlws.FILTER(OFFSET($O$15,0,$DN216,$B$8,1),OFFSET($M$15,0,0,$B$8,1))=DX$13), 1*(_xlfn._xlws.FILTER(OFFSET($O$15,0,$DO216,$B$8,1),OFFSET($M$15,0,0,$B$8,1))=DX$14))   /   SUM(OFFSET($BO$15,0,0,$B$14,1)) + $B$18/($B$19*$B$19*($DN216&lt;&gt;$DO216) + $B$19*($DN216=$DO216))</f>
        <v>3.7037037037037035E-4</v>
      </c>
      <c r="DY216" s="10" cm="1">
        <f t="array" aca="1" ref="DY216" ca="1">(1-$B$18)*SUMPRODUCT(OFFSET($BO$15,0,0,$B$14,1), 1*(_xlfn._xlws.FILTER(OFFSET($O$15,0,$DN216,$B$8,1),OFFSET($M$15,0,0,$B$8,1))=DY$13), 1*(_xlfn._xlws.FILTER(OFFSET($O$15,0,$DO216,$B$8,1),OFFSET($M$15,0,0,$B$8,1))=DY$14))   /   SUM(OFFSET($BO$15,0,0,$B$14,1)) + $B$18/($B$19*$B$19*($DN216&lt;&gt;$DO216) + $B$19*($DN216=$DO216))</f>
        <v>3.7037037037037035E-4</v>
      </c>
      <c r="DZ216" s="10" cm="1">
        <f t="array" aca="1" ref="DZ216" ca="1">(1-$B$18)*SUMPRODUCT(OFFSET($BO$15,0,0,$B$14,1), 1*(_xlfn._xlws.FILTER(OFFSET($O$15,0,$DN216,$B$8,1),OFFSET($M$15,0,0,$B$8,1))=DZ$13), 1*(_xlfn._xlws.FILTER(OFFSET($O$15,0,$DO216,$B$8,1),OFFSET($M$15,0,0,$B$8,1))=DZ$14))   /   SUM(OFFSET($BO$15,0,0,$B$14,1)) + $B$18/($B$19*$B$19*($DN216&lt;&gt;$DO216) + $B$19*($DN216=$DO216))</f>
        <v>3.7037037037037035E-4</v>
      </c>
      <c r="EA216" s="10" cm="1">
        <f t="array" aca="1" ref="EA216" ca="1">(1-$B$18)*SUMPRODUCT(OFFSET($BO$15,0,0,$B$14,1), 1*(_xlfn._xlws.FILTER(OFFSET($O$15,0,$DN216,$B$8,1),OFFSET($M$15,0,0,$B$8,1))=EA$13), 1*(_xlfn._xlws.FILTER(OFFSET($O$15,0,$DO216,$B$8,1),OFFSET($M$15,0,0,$B$8,1))=EA$14))   /   SUM(OFFSET($BO$15,0,0,$B$14,1)) + $B$18/($B$19*$B$19*($DN216&lt;&gt;$DO216) + $B$19*($DN216=$DO216))</f>
        <v>3.7037037037037035E-4</v>
      </c>
      <c r="EB216" s="10" cm="1">
        <f t="array" aca="1" ref="EB216" ca="1">(1-$B$18)*SUMPRODUCT(OFFSET($BO$15,0,0,$B$14,1), 1*(_xlfn._xlws.FILTER(OFFSET($O$15,0,$DN216,$B$8,1),OFFSET($M$15,0,0,$B$8,1))=EB$13), 1*(_xlfn._xlws.FILTER(OFFSET($O$15,0,$DO216,$B$8,1),OFFSET($M$15,0,0,$B$8,1))=EB$14))   /   SUM(OFFSET($BO$15,0,0,$B$14,1)) + $B$18/($B$19*$B$19*($DN216&lt;&gt;$DO216) + $B$19*($DN216=$DO216))</f>
        <v>3.7037037037037035E-4</v>
      </c>
      <c r="EC216" s="10" cm="1">
        <f t="array" aca="1" ref="EC216" ca="1">(1-$B$18)*SUMPRODUCT(OFFSET($BO$15,0,0,$B$14,1), 1*(_xlfn._xlws.FILTER(OFFSET($O$15,0,$DN216,$B$8,1),OFFSET($M$15,0,0,$B$8,1))=EC$13), 1*(_xlfn._xlws.FILTER(OFFSET($O$15,0,$DO216,$B$8,1),OFFSET($M$15,0,0,$B$8,1))=EC$14))   /   SUM(OFFSET($BO$15,0,0,$B$14,1)) + $B$18/($B$19*$B$19*($DN216&lt;&gt;$DO216) + $B$19*($DN216=$DO216))</f>
        <v>3.7037037037037035E-4</v>
      </c>
      <c r="ED216" s="10" cm="1">
        <f t="array" aca="1" ref="ED216" ca="1">(1-$B$18)*SUMPRODUCT(OFFSET($BO$15,0,0,$B$14,1), 1*(_xlfn._xlws.FILTER(OFFSET($O$15,0,$DN216,$B$8,1),OFFSET($M$15,0,0,$B$8,1))=ED$13), 1*(_xlfn._xlws.FILTER(OFFSET($O$15,0,$DO216,$B$8,1),OFFSET($M$15,0,0,$B$8,1))=ED$14))   /   SUM(OFFSET($BO$15,0,0,$B$14,1)) + $B$18/($B$19*$B$19*($DN216&lt;&gt;$DO216) + $B$19*($DN216=$DO216))</f>
        <v>3.7037037037037035E-4</v>
      </c>
      <c r="EE216" s="10" cm="1">
        <f t="array" aca="1" ref="EE216" ca="1">(1-$B$18)*SUMPRODUCT(OFFSET($BO$15,0,0,$B$14,1), 1*(_xlfn._xlws.FILTER(OFFSET($O$15,0,$DN216,$B$8,1),OFFSET($M$15,0,0,$B$8,1))=EE$13), 1*(_xlfn._xlws.FILTER(OFFSET($O$15,0,$DO216,$B$8,1),OFFSET($M$15,0,0,$B$8,1))=EE$14))   /   SUM(OFFSET($BO$15,0,0,$B$14,1)) + $B$18/($B$19*$B$19*($DN216&lt;&gt;$DO216) + $B$19*($DN216=$DO216))</f>
        <v>3.7037037037037035E-4</v>
      </c>
      <c r="EF216" s="10" cm="1">
        <f t="array" aca="1" ref="EF216" ca="1">(1-$B$18)*SUMPRODUCT(OFFSET($BO$15,0,0,$B$14,1), 1*(_xlfn._xlws.FILTER(OFFSET($O$15,0,$DN216,$B$8,1),OFFSET($M$15,0,0,$B$8,1))=EF$13), 1*(_xlfn._xlws.FILTER(OFFSET($O$15,0,$DO216,$B$8,1),OFFSET($M$15,0,0,$B$8,1))=EF$14))   /   SUM(OFFSET($BO$15,0,0,$B$14,1)) + $B$18/($B$19*$B$19*($DN216&lt;&gt;$DO216) + $B$19*($DN216=$DO216))</f>
        <v>3.7037037037037035E-4</v>
      </c>
      <c r="EG216" s="10" cm="1">
        <f t="array" aca="1" ref="EG216" ca="1">(1-$B$18)*SUMPRODUCT(OFFSET($BO$15,0,0,$B$14,1), 1*(_xlfn._xlws.FILTER(OFFSET($O$15,0,$DN216,$B$8,1),OFFSET($M$15,0,0,$B$8,1))=EG$13), 1*(_xlfn._xlws.FILTER(OFFSET($O$15,0,$DO216,$B$8,1),OFFSET($M$15,0,0,$B$8,1))=EG$14))   /   SUM(OFFSET($BO$15,0,0,$B$14,1)) + $B$18/($B$19*$B$19*($DN216&lt;&gt;$DO216) + $B$19*($DN216=$DO216))</f>
        <v>0.24287037037037026</v>
      </c>
      <c r="EH216" s="10" cm="1">
        <f t="array" aca="1" ref="EH216" ca="1">(1-$B$18)*SUMPRODUCT(OFFSET($BO$15,0,0,$B$14,1), 1*(_xlfn._xlws.FILTER(OFFSET($O$15,0,$DN216,$B$8,1),OFFSET($M$15,0,0,$B$8,1))=EH$13), 1*(_xlfn._xlws.FILTER(OFFSET($O$15,0,$DO216,$B$8,1),OFFSET($M$15,0,0,$B$8,1))=EH$14))   /   SUM(OFFSET($BO$15,0,0,$B$14,1)) + $B$18/($B$19*$B$19*($DN216&lt;&gt;$DO216) + $B$19*($DN216=$DO216))</f>
        <v>3.7037037037037035E-4</v>
      </c>
      <c r="EI216" s="10" cm="1">
        <f t="array" aca="1" ref="EI216" ca="1">(1-$B$18)*SUMPRODUCT(OFFSET($BO$15,0,0,$B$14,1), 1*(_xlfn._xlws.FILTER(OFFSET($O$15,0,$DN216,$B$8,1),OFFSET($M$15,0,0,$B$8,1))=EI$13), 1*(_xlfn._xlws.FILTER(OFFSET($O$15,0,$DO216,$B$8,1),OFFSET($M$15,0,0,$B$8,1))=EI$14))   /   SUM(OFFSET($BO$15,0,0,$B$14,1)) + $B$18/($B$19*$B$19*($DN216&lt;&gt;$DO216) + $B$19*($DN216=$DO216))</f>
        <v>3.7037037037037035E-4</v>
      </c>
      <c r="EJ216" s="10" cm="1">
        <f t="array" aca="1" ref="EJ216" ca="1">(1-$B$18)*SUMPRODUCT(OFFSET($BO$15,0,0,$B$14,1), 1*(_xlfn._xlws.FILTER(OFFSET($O$15,0,$DN216,$B$8,1),OFFSET($M$15,0,0,$B$8,1))=EJ$13), 1*(_xlfn._xlws.FILTER(OFFSET($O$15,0,$DO216,$B$8,1),OFFSET($M$15,0,0,$B$8,1))=EJ$14))   /   SUM(OFFSET($BO$15,0,0,$B$14,1)) + $B$18/($B$19*$B$19*($DN216&lt;&gt;$DO216) + $B$19*($DN216=$DO216))</f>
        <v>3.7037037037037035E-4</v>
      </c>
      <c r="EK216" s="10" cm="1">
        <f t="array" aca="1" ref="EK216" ca="1">(1-$B$18)*SUMPRODUCT(OFFSET($BO$15,0,0,$B$14,1), 1*(_xlfn._xlws.FILTER(OFFSET($O$15,0,$DN216,$B$8,1),OFFSET($M$15,0,0,$B$8,1))=EK$13), 1*(_xlfn._xlws.FILTER(OFFSET($O$15,0,$DO216,$B$8,1),OFFSET($M$15,0,0,$B$8,1))=EK$14))   /   SUM(OFFSET($BO$15,0,0,$B$14,1)) + $B$18/($B$19*$B$19*($DN216&lt;&gt;$DO216) + $B$19*($DN216=$DO216))</f>
        <v>3.7037037037037035E-4</v>
      </c>
      <c r="EL216" s="10" cm="1">
        <f t="array" aca="1" ref="EL216" ca="1">(1-$B$18)*SUMPRODUCT(OFFSET($BO$15,0,0,$B$14,1), 1*(_xlfn._xlws.FILTER(OFFSET($O$15,0,$DN216,$B$8,1),OFFSET($M$15,0,0,$B$8,1))=EL$13), 1*(_xlfn._xlws.FILTER(OFFSET($O$15,0,$DO216,$B$8,1),OFFSET($M$15,0,0,$B$8,1))=EL$14))   /   SUM(OFFSET($BO$15,0,0,$B$14,1)) + $B$18/($B$19*$B$19*($DN216&lt;&gt;$DO216) + $B$19*($DN216=$DO216))</f>
        <v>3.7037037037037035E-4</v>
      </c>
      <c r="EM216" s="10" cm="1">
        <f t="array" aca="1" ref="EM216" ca="1">(1-$B$18)*SUMPRODUCT(OFFSET($BO$15,0,0,$B$14,1), 1*(_xlfn._xlws.FILTER(OFFSET($O$15,0,$DN216,$B$8,1),OFFSET($M$15,0,0,$B$8,1))=EM$13), 1*(_xlfn._xlws.FILTER(OFFSET($O$15,0,$DO216,$B$8,1),OFFSET($M$15,0,0,$B$8,1))=EM$14))   /   SUM(OFFSET($BO$15,0,0,$B$14,1)) + $B$18/($B$19*$B$19*($DN216&lt;&gt;$DO216) + $B$19*($DN216=$DO216))</f>
        <v>3.7037037037037035E-4</v>
      </c>
      <c r="EN216" s="10" cm="1">
        <f t="array" aca="1" ref="EN216" ca="1">(1-$B$18)*SUMPRODUCT(OFFSET($BO$15,0,0,$B$14,1), 1*(_xlfn._xlws.FILTER(OFFSET($O$15,0,$DN216,$B$8,1),OFFSET($M$15,0,0,$B$8,1))=EN$13), 1*(_xlfn._xlws.FILTER(OFFSET($O$15,0,$DO216,$B$8,1),OFFSET($M$15,0,0,$B$8,1))=EN$14))   /   SUM(OFFSET($BO$15,0,0,$B$14,1)) + $B$18/($B$19*$B$19*($DN216&lt;&gt;$DO216) + $B$19*($DN216=$DO216))</f>
        <v>3.7037037037037035E-4</v>
      </c>
      <c r="EO216" s="10" cm="1">
        <f t="array" aca="1" ref="EO216" ca="1">(1-$B$18)*SUMPRODUCT(OFFSET($BO$15,0,0,$B$14,1), 1*(_xlfn._xlws.FILTER(OFFSET($O$15,0,$DN216,$B$8,1),OFFSET($M$15,0,0,$B$8,1))=EO$13), 1*(_xlfn._xlws.FILTER(OFFSET($O$15,0,$DO216,$B$8,1),OFFSET($M$15,0,0,$B$8,1))=EO$14))   /   SUM(OFFSET($BO$15,0,0,$B$14,1)) + $B$18/($B$19*$B$19*($DN216&lt;&gt;$DO216) + $B$19*($DN216=$DO216))</f>
        <v>0.24287037037037026</v>
      </c>
      <c r="EP216" s="10" cm="1">
        <f t="array" aca="1" ref="EP216" ca="1">(1-$B$18)*SUMPRODUCT(OFFSET($BO$15,0,0,$B$14,1), 1*(_xlfn._xlws.FILTER(OFFSET($O$15,0,$DN216,$B$8,1),OFFSET($M$15,0,0,$B$8,1))=EP$13), 1*(_xlfn._xlws.FILTER(OFFSET($O$15,0,$DO216,$B$8,1),OFFSET($M$15,0,0,$B$8,1))=EP$14))   /   SUM(OFFSET($BO$15,0,0,$B$14,1)) + $B$18/($B$19*$B$19*($DN216&lt;&gt;$DO216) + $B$19*($DN216=$DO216))</f>
        <v>3.7037037037037035E-4</v>
      </c>
      <c r="EQ216" s="10" cm="1">
        <f t="array" aca="1" ref="EQ216" ca="1">(1-$B$18)*SUMPRODUCT(OFFSET($BO$15,0,0,$B$14,1), 1*(_xlfn._xlws.FILTER(OFFSET($O$15,0,$DN216,$B$8,1),OFFSET($M$15,0,0,$B$8,1))=EQ$13), 1*(_xlfn._xlws.FILTER(OFFSET($O$15,0,$DO216,$B$8,1),OFFSET($M$15,0,0,$B$8,1))=EQ$14))   /   SUM(OFFSET($BO$15,0,0,$B$14,1)) + $B$18/($B$19*$B$19*($DN216&lt;&gt;$DO216) + $B$19*($DN216=$DO216))</f>
        <v>3.7037037037037035E-4</v>
      </c>
      <c r="ER216" s="10" cm="1">
        <f t="array" aca="1" ref="ER216" ca="1">(1-$B$18)*SUMPRODUCT(OFFSET($BO$15,0,0,$B$14,1), 1*(_xlfn._xlws.FILTER(OFFSET($O$15,0,$DN216,$B$8,1),OFFSET($M$15,0,0,$B$8,1))=ER$13), 1*(_xlfn._xlws.FILTER(OFFSET($O$15,0,$DO216,$B$8,1),OFFSET($M$15,0,0,$B$8,1))=ER$14))   /   SUM(OFFSET($BO$15,0,0,$B$14,1)) + $B$18/($B$19*$B$19*($DN216&lt;&gt;$DO216) + $B$19*($DN216=$DO216))</f>
        <v>3.7037037037037035E-4</v>
      </c>
      <c r="ES216" s="10" cm="1">
        <f t="array" aca="1" ref="ES216" ca="1">(1-$B$18)*SUMPRODUCT(OFFSET($BO$15,0,0,$B$14,1), 1*(_xlfn._xlws.FILTER(OFFSET($O$15,0,$DN216,$B$8,1),OFFSET($M$15,0,0,$B$8,1))=ES$13), 1*(_xlfn._xlws.FILTER(OFFSET($O$15,0,$DO216,$B$8,1),OFFSET($M$15,0,0,$B$8,1))=ES$14))   /   SUM(OFFSET($BO$15,0,0,$B$14,1)) + $B$18/($B$19*$B$19*($DN216&lt;&gt;$DO216) + $B$19*($DN216=$DO216))</f>
        <v>3.7037037037037035E-4</v>
      </c>
      <c r="ET216" s="10" cm="1">
        <f t="array" aca="1" ref="ET216" ca="1">(1-$B$18)*SUMPRODUCT(OFFSET($BO$15,0,0,$B$14,1), 1*(_xlfn._xlws.FILTER(OFFSET($O$15,0,$DN216,$B$8,1),OFFSET($M$15,0,0,$B$8,1))=ET$13), 1*(_xlfn._xlws.FILTER(OFFSET($O$15,0,$DO216,$B$8,1),OFFSET($M$15,0,0,$B$8,1))=ET$14))   /   SUM(OFFSET($BO$15,0,0,$B$14,1)) + $B$18/($B$19*$B$19*($DN216&lt;&gt;$DO216) + $B$19*($DN216=$DO216))</f>
        <v>3.7037037037037035E-4</v>
      </c>
      <c r="EU216" s="10" cm="1">
        <f t="array" aca="1" ref="EU216" ca="1">(1-$B$18)*SUMPRODUCT(OFFSET($BO$15,0,0,$B$14,1), 1*(_xlfn._xlws.FILTER(OFFSET($O$15,0,$DN216,$B$8,1),OFFSET($M$15,0,0,$B$8,1))=EU$13), 1*(_xlfn._xlws.FILTER(OFFSET($O$15,0,$DO216,$B$8,1),OFFSET($M$15,0,0,$B$8,1))=EU$14))   /   SUM(OFFSET($BO$15,0,0,$B$14,1)) + $B$18/($B$19*$B$19*($DN216&lt;&gt;$DO216) + $B$19*($DN216=$DO216))</f>
        <v>3.7037037037037035E-4</v>
      </c>
      <c r="EV216" s="10" cm="1">
        <f t="array" aca="1" ref="EV216" ca="1">(1-$B$18)*SUMPRODUCT(OFFSET($BO$15,0,0,$B$14,1), 1*(_xlfn._xlws.FILTER(OFFSET($O$15,0,$DN216,$B$8,1),OFFSET($M$15,0,0,$B$8,1))=EV$13), 1*(_xlfn._xlws.FILTER(OFFSET($O$15,0,$DO216,$B$8,1),OFFSET($M$15,0,0,$B$8,1))=EV$14))   /   SUM(OFFSET($BO$15,0,0,$B$14,1)) + $B$18/($B$19*$B$19*($DN216&lt;&gt;$DO216) + $B$19*($DN216=$DO216))</f>
        <v>3.7037037037037035E-4</v>
      </c>
      <c r="EW216" s="10" cm="1">
        <f t="array" aca="1" ref="EW216" ca="1">(1-$B$18)*SUMPRODUCT(OFFSET($BO$15,0,0,$B$14,1), 1*(_xlfn._xlws.FILTER(OFFSET($O$15,0,$DN216,$B$8,1),OFFSET($M$15,0,0,$B$8,1))=EW$13), 1*(_xlfn._xlws.FILTER(OFFSET($O$15,0,$DO216,$B$8,1),OFFSET($M$15,0,0,$B$8,1))=EW$14))   /   SUM(OFFSET($BO$15,0,0,$B$14,1)) + $B$18/($B$19*$B$19*($DN216&lt;&gt;$DO216) + $B$19*($DN216=$DO216))</f>
        <v>3.7037037037037035E-4</v>
      </c>
      <c r="EX216" s="10" cm="1">
        <f t="array" aca="1" ref="EX216" ca="1">(1-$B$18)*SUMPRODUCT(OFFSET($BO$15,0,0,$B$14,1), 1*(_xlfn._xlws.FILTER(OFFSET($O$15,0,$DN216,$B$8,1),OFFSET($M$15,0,0,$B$8,1))=EX$13), 1*(_xlfn._xlws.FILTER(OFFSET($O$15,0,$DO216,$B$8,1),OFFSET($M$15,0,0,$B$8,1))=EX$14))   /   SUM(OFFSET($BO$15,0,0,$B$14,1)) + $B$18/($B$19*$B$19*($DN216&lt;&gt;$DO216) + $B$19*($DN216=$DO216))</f>
        <v>3.7037037037037035E-4</v>
      </c>
      <c r="EY216" s="10" cm="1">
        <f t="array" aca="1" ref="EY216" ca="1">(1-$B$18)*SUMPRODUCT(OFFSET($BO$15,0,0,$B$14,1), 1*(_xlfn._xlws.FILTER(OFFSET($O$15,0,$DN216,$B$8,1),OFFSET($M$15,0,0,$B$8,1))=EY$13), 1*(_xlfn._xlws.FILTER(OFFSET($O$15,0,$DO216,$B$8,1),OFFSET($M$15,0,0,$B$8,1))=EY$14))   /   SUM(OFFSET($BO$15,0,0,$B$14,1)) + $B$18/($B$19*$B$19*($DN216&lt;&gt;$DO216) + $B$19*($DN216=$DO216))</f>
        <v>3.7037037037037035E-4</v>
      </c>
      <c r="EZ216" s="10" cm="1">
        <f t="array" aca="1" ref="EZ216" ca="1">(1-$B$18)*SUMPRODUCT(OFFSET($BO$15,0,0,$B$14,1), 1*(_xlfn._xlws.FILTER(OFFSET($O$15,0,$DN216,$B$8,1),OFFSET($M$15,0,0,$B$8,1))=EZ$13), 1*(_xlfn._xlws.FILTER(OFFSET($O$15,0,$DO216,$B$8,1),OFFSET($M$15,0,0,$B$8,1))=EZ$14))   /   SUM(OFFSET($BO$15,0,0,$B$14,1)) + $B$18/($B$19*$B$19*($DN216&lt;&gt;$DO216) + $B$19*($DN216=$DO216))</f>
        <v>3.7037037037037035E-4</v>
      </c>
      <c r="FA216" s="10" cm="1">
        <f t="array" aca="1" ref="FA216" ca="1">(1-$B$18)*SUMPRODUCT(OFFSET($BO$15,0,0,$B$14,1), 1*(_xlfn._xlws.FILTER(OFFSET($O$15,0,$DN216,$B$8,1),OFFSET($M$15,0,0,$B$8,1))=FA$13), 1*(_xlfn._xlws.FILTER(OFFSET($O$15,0,$DO216,$B$8,1),OFFSET($M$15,0,0,$B$8,1))=FA$14))   /   SUM(OFFSET($BO$15,0,0,$B$14,1)) + $B$18/($B$19*$B$19*($DN216&lt;&gt;$DO216) + $B$19*($DN216=$DO216))</f>
        <v>3.7037037037037035E-4</v>
      </c>
      <c r="FB216" s="10" cm="1">
        <f t="array" aca="1" ref="FB216" ca="1">(1-$B$18)*SUMPRODUCT(OFFSET($BO$15,0,0,$B$14,1), 1*(_xlfn._xlws.FILTER(OFFSET($O$15,0,$DN216,$B$8,1),OFFSET($M$15,0,0,$B$8,1))=FB$13), 1*(_xlfn._xlws.FILTER(OFFSET($O$15,0,$DO216,$B$8,1),OFFSET($M$15,0,0,$B$8,1))=FB$14))   /   SUM(OFFSET($BO$15,0,0,$B$14,1)) + $B$18/($B$19*$B$19*($DN216&lt;&gt;$DO216) + $B$19*($DN216=$DO216))</f>
        <v>3.7037037037037035E-4</v>
      </c>
      <c r="FC216" s="10" cm="1">
        <f t="array" aca="1" ref="FC216" ca="1">(1-$B$18)*SUMPRODUCT(OFFSET($BO$15,0,0,$B$14,1), 1*(_xlfn._xlws.FILTER(OFFSET($O$15,0,$DN216,$B$8,1),OFFSET($M$15,0,0,$B$8,1))=FC$13), 1*(_xlfn._xlws.FILTER(OFFSET($O$15,0,$DO216,$B$8,1),OFFSET($M$15,0,0,$B$8,1))=FC$14))   /   SUM(OFFSET($BO$15,0,0,$B$14,1)) + $B$18/($B$19*$B$19*($DN216&lt;&gt;$DO216) + $B$19*($DN216=$DO216))</f>
        <v>3.7037037037037035E-4</v>
      </c>
      <c r="FD216" s="10" cm="1">
        <f t="array" aca="1" ref="FD216" ca="1">(1-$B$18)*SUMPRODUCT(OFFSET($BO$15,0,0,$B$14,1), 1*(_xlfn._xlws.FILTER(OFFSET($O$15,0,$DN216,$B$8,1),OFFSET($M$15,0,0,$B$8,1))=FD$13), 1*(_xlfn._xlws.FILTER(OFFSET($O$15,0,$DO216,$B$8,1),OFFSET($M$15,0,0,$B$8,1))=FD$14))   /   SUM(OFFSET($BO$15,0,0,$B$14,1)) + $B$18/($B$19*$B$19*($DN216&lt;&gt;$DO216) + $B$19*($DN216=$DO216))</f>
        <v>3.7037037037037035E-4</v>
      </c>
      <c r="FE216" s="10" cm="1">
        <f t="array" aca="1" ref="FE216" ca="1">(1-$B$18)*SUMPRODUCT(OFFSET($BO$15,0,0,$B$14,1), 1*(_xlfn._xlws.FILTER(OFFSET($O$15,0,$DN216,$B$8,1),OFFSET($M$15,0,0,$B$8,1))=FE$13), 1*(_xlfn._xlws.FILTER(OFFSET($O$15,0,$DO216,$B$8,1),OFFSET($M$15,0,0,$B$8,1))=FE$14))   /   SUM(OFFSET($BO$15,0,0,$B$14,1)) + $B$18/($B$19*$B$19*($DN216&lt;&gt;$DO216) + $B$19*($DN216=$DO216))</f>
        <v>3.7037037037037035E-4</v>
      </c>
      <c r="FF216" s="10" cm="1">
        <f t="array" aca="1" ref="FF216" ca="1">(1-$B$18)*SUMPRODUCT(OFFSET($BO$15,0,0,$B$14,1), 1*(_xlfn._xlws.FILTER(OFFSET($O$15,0,$DN216,$B$8,1),OFFSET($M$15,0,0,$B$8,1))=FF$13), 1*(_xlfn._xlws.FILTER(OFFSET($O$15,0,$DO216,$B$8,1),OFFSET($M$15,0,0,$B$8,1))=FF$14))   /   SUM(OFFSET($BO$15,0,0,$B$14,1)) + $B$18/($B$19*$B$19*($DN216&lt;&gt;$DO216) + $B$19*($DN216=$DO216))</f>
        <v>3.7037037037037035E-4</v>
      </c>
      <c r="FG216" s="10" cm="1">
        <f t="array" aca="1" ref="FG216" ca="1">(1-$B$18)*SUMPRODUCT(OFFSET($BO$15,0,0,$B$14,1), 1*(_xlfn._xlws.FILTER(OFFSET($O$15,0,$DN216,$B$8,1),OFFSET($M$15,0,0,$B$8,1))=FG$13), 1*(_xlfn._xlws.FILTER(OFFSET($O$15,0,$DO216,$B$8,1),OFFSET($M$15,0,0,$B$8,1))=FG$14))   /   SUM(OFFSET($BO$15,0,0,$B$14,1)) + $B$18/($B$19*$B$19*($DN216&lt;&gt;$DO216) + $B$19*($DN216=$DO216))</f>
        <v>3.7037037037037035E-4</v>
      </c>
      <c r="FH216" s="10" cm="1">
        <f t="array" aca="1" ref="FH216" ca="1">(1-$B$18)*SUMPRODUCT(OFFSET($BO$15,0,0,$B$14,1), 1*(_xlfn._xlws.FILTER(OFFSET($O$15,0,$DN216,$B$8,1),OFFSET($M$15,0,0,$B$8,1))=FH$13), 1*(_xlfn._xlws.FILTER(OFFSET($O$15,0,$DO216,$B$8,1),OFFSET($M$15,0,0,$B$8,1))=FH$14))   /   SUM(OFFSET($BO$15,0,0,$B$14,1)) + $B$18/($B$19*$B$19*($DN216&lt;&gt;$DO216) + $B$19*($DN216=$DO216))</f>
        <v>3.7037037037037035E-4</v>
      </c>
      <c r="FI216" s="10" cm="1">
        <f t="array" aca="1" ref="FI216" ca="1">(1-$B$18)*SUMPRODUCT(OFFSET($BO$15,0,0,$B$14,1), 1*(_xlfn._xlws.FILTER(OFFSET($O$15,0,$DN216,$B$8,1),OFFSET($M$15,0,0,$B$8,1))=FI$13), 1*(_xlfn._xlws.FILTER(OFFSET($O$15,0,$DO216,$B$8,1),OFFSET($M$15,0,0,$B$8,1))=FI$14))   /   SUM(OFFSET($BO$15,0,0,$B$14,1)) + $B$18/($B$19*$B$19*($DN216&lt;&gt;$DO216) + $B$19*($DN216=$DO216))</f>
        <v>3.7037037037037035E-4</v>
      </c>
      <c r="FJ216" s="10" cm="1">
        <f t="array" aca="1" ref="FJ216" ca="1">(1-$B$18)*SUMPRODUCT(OFFSET($BO$15,0,0,$B$14,1), 1*(_xlfn._xlws.FILTER(OFFSET($O$15,0,$DN216,$B$8,1),OFFSET($M$15,0,0,$B$8,1))=FJ$13), 1*(_xlfn._xlws.FILTER(OFFSET($O$15,0,$DO216,$B$8,1),OFFSET($M$15,0,0,$B$8,1))=FJ$14))   /   SUM(OFFSET($BO$15,0,0,$B$14,1)) + $B$18/($B$19*$B$19*($DN216&lt;&gt;$DO216) + $B$19*($DN216=$DO216))</f>
        <v>3.7037037037037035E-4</v>
      </c>
      <c r="FK216" s="10" cm="1">
        <f t="array" aca="1" ref="FK216" ca="1">(1-$B$18)*SUMPRODUCT(OFFSET($BO$15,0,0,$B$14,1), 1*(_xlfn._xlws.FILTER(OFFSET($O$15,0,$DN216,$B$8,1),OFFSET($M$15,0,0,$B$8,1))=FK$13), 1*(_xlfn._xlws.FILTER(OFFSET($O$15,0,$DO216,$B$8,1),OFFSET($M$15,0,0,$B$8,1))=FK$14))   /   SUM(OFFSET($BO$15,0,0,$B$14,1)) + $B$18/($B$19*$B$19*($DN216&lt;&gt;$DO216) + $B$19*($DN216=$DO216))</f>
        <v>3.7037037037037035E-4</v>
      </c>
      <c r="FL216" s="10" cm="1">
        <f t="array" aca="1" ref="FL216" ca="1">(1-$B$18)*SUMPRODUCT(OFFSET($BO$15,0,0,$B$14,1), 1*(_xlfn._xlws.FILTER(OFFSET($O$15,0,$DN216,$B$8,1),OFFSET($M$15,0,0,$B$8,1))=FL$13), 1*(_xlfn._xlws.FILTER(OFFSET($O$15,0,$DO216,$B$8,1),OFFSET($M$15,0,0,$B$8,1))=FL$14))   /   SUM(OFFSET($BO$15,0,0,$B$14,1)) + $B$18/($B$19*$B$19*($DN216&lt;&gt;$DO216) + $B$19*($DN216=$DO216))</f>
        <v>3.7037037037037035E-4</v>
      </c>
      <c r="FM216" s="10" cm="1">
        <f t="array" aca="1" ref="FM216" ca="1">(1-$B$18)*SUMPRODUCT(OFFSET($BO$15,0,0,$B$14,1), 1*(_xlfn._xlws.FILTER(OFFSET($O$15,0,$DN216,$B$8,1),OFFSET($M$15,0,0,$B$8,1))=FM$13), 1*(_xlfn._xlws.FILTER(OFFSET($O$15,0,$DO216,$B$8,1),OFFSET($M$15,0,0,$B$8,1))=FM$14))   /   SUM(OFFSET($BO$15,0,0,$B$14,1)) + $B$18/($B$19*$B$19*($DN216&lt;&gt;$DO216) + $B$19*($DN216=$DO216))</f>
        <v>3.7037037037037035E-4</v>
      </c>
      <c r="FN216" s="10" cm="1">
        <f t="array" aca="1" ref="FN216" ca="1">(1-$B$18)*SUMPRODUCT(OFFSET($BO$15,0,0,$B$14,1), 1*(_xlfn._xlws.FILTER(OFFSET($O$15,0,$DN216,$B$8,1),OFFSET($M$15,0,0,$B$8,1))=FN$13), 1*(_xlfn._xlws.FILTER(OFFSET($O$15,0,$DO216,$B$8,1),OFFSET($M$15,0,0,$B$8,1))=FN$14))   /   SUM(OFFSET($BO$15,0,0,$B$14,1)) + $B$18/($B$19*$B$19*($DN216&lt;&gt;$DO216) + $B$19*($DN216=$DO216))</f>
        <v>3.7037037037037035E-4</v>
      </c>
      <c r="FO216" s="10" cm="1">
        <f t="array" aca="1" ref="FO216" ca="1">(1-$B$18)*SUMPRODUCT(OFFSET($BO$15,0,0,$B$14,1), 1*(_xlfn._xlws.FILTER(OFFSET($O$15,0,$DN216,$B$8,1),OFFSET($M$15,0,0,$B$8,1))=FO$13), 1*(_xlfn._xlws.FILTER(OFFSET($O$15,0,$DO216,$B$8,1),OFFSET($M$15,0,0,$B$8,1))=FO$14))   /   SUM(OFFSET($BO$15,0,0,$B$14,1)) + $B$18/($B$19*$B$19*($DN216&lt;&gt;$DO216) + $B$19*($DN216=$DO216))</f>
        <v>3.7037037037037035E-4</v>
      </c>
      <c r="FP216" s="10" cm="1">
        <f t="array" aca="1" ref="FP216" ca="1">(1-$B$18)*SUMPRODUCT(OFFSET($BO$15,0,0,$B$14,1), 1*(_xlfn._xlws.FILTER(OFFSET($O$15,0,$DN216,$B$8,1),OFFSET($M$15,0,0,$B$8,1))=FP$13), 1*(_xlfn._xlws.FILTER(OFFSET($O$15,0,$DO216,$B$8,1),OFFSET($M$15,0,0,$B$8,1))=FP$14))   /   SUM(OFFSET($BO$15,0,0,$B$14,1)) + $B$18/($B$19*$B$19*($DN216&lt;&gt;$DO216) + $B$19*($DN216=$DO216))</f>
        <v>3.7037037037037035E-4</v>
      </c>
      <c r="FQ216" s="10" cm="1">
        <f t="array" aca="1" ref="FQ216" ca="1">(1-$B$18)*SUMPRODUCT(OFFSET($BO$15,0,0,$B$14,1), 1*(_xlfn._xlws.FILTER(OFFSET($O$15,0,$DN216,$B$8,1),OFFSET($M$15,0,0,$B$8,1))=FQ$13), 1*(_xlfn._xlws.FILTER(OFFSET($O$15,0,$DO216,$B$8,1),OFFSET($M$15,0,0,$B$8,1))=FQ$14))   /   SUM(OFFSET($BO$15,0,0,$B$14,1)) + $B$18/($B$19*$B$19*($DN216&lt;&gt;$DO216) + $B$19*($DN216=$DO216))</f>
        <v>3.7037037037037035E-4</v>
      </c>
      <c r="FR216" s="10" cm="1">
        <f t="array" aca="1" ref="FR216" ca="1">(1-$B$18)*SUMPRODUCT(OFFSET($BO$15,0,0,$B$14,1), 1*(_xlfn._xlws.FILTER(OFFSET($O$15,0,$DN216,$B$8,1),OFFSET($M$15,0,0,$B$8,1))=FR$13), 1*(_xlfn._xlws.FILTER(OFFSET($O$15,0,$DO216,$B$8,1),OFFSET($M$15,0,0,$B$8,1))=FR$14))   /   SUM(OFFSET($BO$15,0,0,$B$14,1)) + $B$18/($B$19*$B$19*($DN216&lt;&gt;$DO216) + $B$19*($DN216=$DO216))</f>
        <v>3.7037037037037035E-4</v>
      </c>
      <c r="FS216" s="10" cm="1">
        <f t="array" aca="1" ref="FS216" ca="1">(1-$B$18)*SUMPRODUCT(OFFSET($BO$15,0,0,$B$14,1), 1*(_xlfn._xlws.FILTER(OFFSET($O$15,0,$DN216,$B$8,1),OFFSET($M$15,0,0,$B$8,1))=FS$13), 1*(_xlfn._xlws.FILTER(OFFSET($O$15,0,$DO216,$B$8,1),OFFSET($M$15,0,0,$B$8,1))=FS$14))   /   SUM(OFFSET($BO$15,0,0,$B$14,1)) + $B$18/($B$19*$B$19*($DN216&lt;&gt;$DO216) + $B$19*($DN216=$DO216))</f>
        <v>3.7037037037037035E-4</v>
      </c>
      <c r="FT216" s="10" cm="1">
        <f t="array" aca="1" ref="FT216" ca="1">(1-$B$18)*SUMPRODUCT(OFFSET($BO$15,0,0,$B$14,1), 1*(_xlfn._xlws.FILTER(OFFSET($O$15,0,$DN216,$B$8,1),OFFSET($M$15,0,0,$B$8,1))=FT$13), 1*(_xlfn._xlws.FILTER(OFFSET($O$15,0,$DO216,$B$8,1),OFFSET($M$15,0,0,$B$8,1))=FT$14))   /   SUM(OFFSET($BO$15,0,0,$B$14,1)) + $B$18/($B$19*$B$19*($DN216&lt;&gt;$DO216) + $B$19*($DN216=$DO216))</f>
        <v>3.7037037037037035E-4</v>
      </c>
      <c r="FU216" s="10" cm="1">
        <f t="array" aca="1" ref="FU216" ca="1">(1-$B$18)*SUMPRODUCT(OFFSET($BO$15,0,0,$B$14,1), 1*(_xlfn._xlws.FILTER(OFFSET($O$15,0,$DN216,$B$8,1),OFFSET($M$15,0,0,$B$8,1))=FU$13), 1*(_xlfn._xlws.FILTER(OFFSET($O$15,0,$DO216,$B$8,1),OFFSET($M$15,0,0,$B$8,1))=FU$14))   /   SUM(OFFSET($BO$15,0,0,$B$14,1)) + $B$18/($B$19*$B$19*($DN216&lt;&gt;$DO216) + $B$19*($DN216=$DO216))</f>
        <v>3.7037037037037035E-4</v>
      </c>
      <c r="FV216" s="10" cm="1">
        <f t="array" aca="1" ref="FV216" ca="1">(1-$B$18)*SUMPRODUCT(OFFSET($BO$15,0,0,$B$14,1), 1*(_xlfn._xlws.FILTER(OFFSET($O$15,0,$DN216,$B$8,1),OFFSET($M$15,0,0,$B$8,1))=FV$13), 1*(_xlfn._xlws.FILTER(OFFSET($O$15,0,$DO216,$B$8,1),OFFSET($M$15,0,0,$B$8,1))=FV$14))   /   SUM(OFFSET($BO$15,0,0,$B$14,1)) + $B$18/($B$19*$B$19*($DN216&lt;&gt;$DO216) + $B$19*($DN216=$DO216))</f>
        <v>3.7037037037037035E-4</v>
      </c>
      <c r="FW216" s="10" cm="1">
        <f t="array" aca="1" ref="FW216" ca="1">(1-$B$18)*SUMPRODUCT(OFFSET($BO$15,0,0,$B$14,1), 1*(_xlfn._xlws.FILTER(OFFSET($O$15,0,$DN216,$B$8,1),OFFSET($M$15,0,0,$B$8,1))=FW$13), 1*(_xlfn._xlws.FILTER(OFFSET($O$15,0,$DO216,$B$8,1),OFFSET($M$15,0,0,$B$8,1))=FW$14))   /   SUM(OFFSET($BO$15,0,0,$B$14,1)) + $B$18/($B$19*$B$19*($DN216&lt;&gt;$DO216) + $B$19*($DN216=$DO216))</f>
        <v>3.7037037037037035E-4</v>
      </c>
      <c r="FX216" s="10" cm="1">
        <f t="array" aca="1" ref="FX216" ca="1">(1-$B$18)*SUMPRODUCT(OFFSET($BO$15,0,0,$B$14,1), 1*(_xlfn._xlws.FILTER(OFFSET($O$15,0,$DN216,$B$8,1),OFFSET($M$15,0,0,$B$8,1))=FX$13), 1*(_xlfn._xlws.FILTER(OFFSET($O$15,0,$DO216,$B$8,1),OFFSET($M$15,0,0,$B$8,1))=FX$14))   /   SUM(OFFSET($BO$15,0,0,$B$14,1)) + $B$18/($B$19*$B$19*($DN216&lt;&gt;$DO216) + $B$19*($DN216=$DO216))</f>
        <v>3.7037037037037035E-4</v>
      </c>
      <c r="FY216" s="10" cm="1">
        <f t="array" aca="1" ref="FY216" ca="1">(1-$B$18)*SUMPRODUCT(OFFSET($BO$15,0,0,$B$14,1), 1*(_xlfn._xlws.FILTER(OFFSET($O$15,0,$DN216,$B$8,1),OFFSET($M$15,0,0,$B$8,1))=FY$13), 1*(_xlfn._xlws.FILTER(OFFSET($O$15,0,$DO216,$B$8,1),OFFSET($M$15,0,0,$B$8,1))=FY$14))   /   SUM(OFFSET($BO$15,0,0,$B$14,1)) + $B$18/($B$19*$B$19*($DN216&lt;&gt;$DO216) + $B$19*($DN216=$DO216))</f>
        <v>3.7037037037037035E-4</v>
      </c>
      <c r="FZ216" s="10" cm="1">
        <f t="array" aca="1" ref="FZ216" ca="1">(1-$B$18)*SUMPRODUCT(OFFSET($BO$15,0,0,$B$14,1), 1*(_xlfn._xlws.FILTER(OFFSET($O$15,0,$DN216,$B$8,1),OFFSET($M$15,0,0,$B$8,1))=FZ$13), 1*(_xlfn._xlws.FILTER(OFFSET($O$15,0,$DO216,$B$8,1),OFFSET($M$15,0,0,$B$8,1))=FZ$14))   /   SUM(OFFSET($BO$15,0,0,$B$14,1)) + $B$18/($B$19*$B$19*($DN216&lt;&gt;$DO216) + $B$19*($DN216=$DO216))</f>
        <v>3.7037037037037035E-4</v>
      </c>
      <c r="GA216" s="10" cm="1">
        <f t="array" aca="1" ref="GA216" ca="1">(1-$B$18)*SUMPRODUCT(OFFSET($BO$15,0,0,$B$14,1), 1*(_xlfn._xlws.FILTER(OFFSET($O$15,0,$DN216,$B$8,1),OFFSET($M$15,0,0,$B$8,1))=GA$13), 1*(_xlfn._xlws.FILTER(OFFSET($O$15,0,$DO216,$B$8,1),OFFSET($M$15,0,0,$B$8,1))=GA$14))   /   SUM(OFFSET($BO$15,0,0,$B$14,1)) + $B$18/($B$19*$B$19*($DN216&lt;&gt;$DO216) + $B$19*($DN216=$DO216))</f>
        <v>3.7037037037037035E-4</v>
      </c>
    </row>
    <row r="217" spans="118:183" x14ac:dyDescent="0.2">
      <c r="DN217" cm="1">
        <f t="array" aca="1" ref="DN217" ca="1">INDEX(_xlfn.ANCHORARRAY($CP$15), 1 + INT((ROWS($DO$15:$DO217) - 1) / ROWS(_xlfn.ANCHORARRAY($CP$15))))</f>
        <v>11</v>
      </c>
      <c r="DO217" cm="1">
        <f t="array" aca="1" ref="DO217" ca="1">INDEX(_xlfn.ANCHORARRAY($CP$15),1+MOD(ROWS($DO$15:$DO217)-1,ROWS(_xlfn.ANCHORARRAY($CP$15))))</f>
        <v>13</v>
      </c>
      <c r="DP217" s="10" cm="1">
        <f t="array" aca="1" ref="DP217" ca="1">(1-$B$18)*SUMPRODUCT(OFFSET($BO$15,0,0,$B$14,1), 1*(_xlfn._xlws.FILTER(OFFSET($O$15,0,$DN217,$B$8,1),OFFSET($M$15,0,0,$B$8,1))=DP$13), 1*(_xlfn._xlws.FILTER(OFFSET($O$15,0,$DO217,$B$8,1),OFFSET($M$15,0,0,$B$8,1))=DP$14))   /   SUM(OFFSET($BO$15,0,0,$B$14,1)) + $B$18/($B$19*$B$19*($DN217&lt;&gt;$DO217) + $B$19*($DN217=$DO217))</f>
        <v>3.7037037037037035E-4</v>
      </c>
      <c r="DQ217" s="10" cm="1">
        <f t="array" aca="1" ref="DQ217" ca="1">(1-$B$18)*SUMPRODUCT(OFFSET($BO$15,0,0,$B$14,1), 1*(_xlfn._xlws.FILTER(OFFSET($O$15,0,$DN217,$B$8,1),OFFSET($M$15,0,0,$B$8,1))=DQ$13), 1*(_xlfn._xlws.FILTER(OFFSET($O$15,0,$DO217,$B$8,1),OFFSET($M$15,0,0,$B$8,1))=DQ$14))   /   SUM(OFFSET($BO$15,0,0,$B$14,1)) + $B$18/($B$19*$B$19*($DN217&lt;&gt;$DO217) + $B$19*($DN217=$DO217))</f>
        <v>0.48537037037037034</v>
      </c>
      <c r="DR217" s="10" cm="1">
        <f t="array" aca="1" ref="DR217" ca="1">(1-$B$18)*SUMPRODUCT(OFFSET($BO$15,0,0,$B$14,1), 1*(_xlfn._xlws.FILTER(OFFSET($O$15,0,$DN217,$B$8,1),OFFSET($M$15,0,0,$B$8,1))=DR$13), 1*(_xlfn._xlws.FILTER(OFFSET($O$15,0,$DO217,$B$8,1),OFFSET($M$15,0,0,$B$8,1))=DR$14))   /   SUM(OFFSET($BO$15,0,0,$B$14,1)) + $B$18/($B$19*$B$19*($DN217&lt;&gt;$DO217) + $B$19*($DN217=$DO217))</f>
        <v>3.7037037037037035E-4</v>
      </c>
      <c r="DS217" s="10" cm="1">
        <f t="array" aca="1" ref="DS217" ca="1">(1-$B$18)*SUMPRODUCT(OFFSET($BO$15,0,0,$B$14,1), 1*(_xlfn._xlws.FILTER(OFFSET($O$15,0,$DN217,$B$8,1),OFFSET($M$15,0,0,$B$8,1))=DS$13), 1*(_xlfn._xlws.FILTER(OFFSET($O$15,0,$DO217,$B$8,1),OFFSET($M$15,0,0,$B$8,1))=DS$14))   /   SUM(OFFSET($BO$15,0,0,$B$14,1)) + $B$18/($B$19*$B$19*($DN217&lt;&gt;$DO217) + $B$19*($DN217=$DO217))</f>
        <v>3.7037037037037035E-4</v>
      </c>
      <c r="DT217" s="10" cm="1">
        <f t="array" aca="1" ref="DT217" ca="1">(1-$B$18)*SUMPRODUCT(OFFSET($BO$15,0,0,$B$14,1), 1*(_xlfn._xlws.FILTER(OFFSET($O$15,0,$DN217,$B$8,1),OFFSET($M$15,0,0,$B$8,1))=DT$13), 1*(_xlfn._xlws.FILTER(OFFSET($O$15,0,$DO217,$B$8,1),OFFSET($M$15,0,0,$B$8,1))=DT$14))   /   SUM(OFFSET($BO$15,0,0,$B$14,1)) + $B$18/($B$19*$B$19*($DN217&lt;&gt;$DO217) + $B$19*($DN217=$DO217))</f>
        <v>3.7037037037037035E-4</v>
      </c>
      <c r="DU217" s="10" cm="1">
        <f t="array" aca="1" ref="DU217" ca="1">(1-$B$18)*SUMPRODUCT(OFFSET($BO$15,0,0,$B$14,1), 1*(_xlfn._xlws.FILTER(OFFSET($O$15,0,$DN217,$B$8,1),OFFSET($M$15,0,0,$B$8,1))=DU$13), 1*(_xlfn._xlws.FILTER(OFFSET($O$15,0,$DO217,$B$8,1),OFFSET($M$15,0,0,$B$8,1))=DU$14))   /   SUM(OFFSET($BO$15,0,0,$B$14,1)) + $B$18/($B$19*$B$19*($DN217&lt;&gt;$DO217) + $B$19*($DN217=$DO217))</f>
        <v>3.7037037037037035E-4</v>
      </c>
      <c r="DV217" s="10" cm="1">
        <f t="array" aca="1" ref="DV217" ca="1">(1-$B$18)*SUMPRODUCT(OFFSET($BO$15,0,0,$B$14,1), 1*(_xlfn._xlws.FILTER(OFFSET($O$15,0,$DN217,$B$8,1),OFFSET($M$15,0,0,$B$8,1))=DV$13), 1*(_xlfn._xlws.FILTER(OFFSET($O$15,0,$DO217,$B$8,1),OFFSET($M$15,0,0,$B$8,1))=DV$14))   /   SUM(OFFSET($BO$15,0,0,$B$14,1)) + $B$18/($B$19*$B$19*($DN217&lt;&gt;$DO217) + $B$19*($DN217=$DO217))</f>
        <v>3.7037037037037035E-4</v>
      </c>
      <c r="DW217" s="10" cm="1">
        <f t="array" aca="1" ref="DW217" ca="1">(1-$B$18)*SUMPRODUCT(OFFSET($BO$15,0,0,$B$14,1), 1*(_xlfn._xlws.FILTER(OFFSET($O$15,0,$DN217,$B$8,1),OFFSET($M$15,0,0,$B$8,1))=DW$13), 1*(_xlfn._xlws.FILTER(OFFSET($O$15,0,$DO217,$B$8,1),OFFSET($M$15,0,0,$B$8,1))=DW$14))   /   SUM(OFFSET($BO$15,0,0,$B$14,1)) + $B$18/($B$19*$B$19*($DN217&lt;&gt;$DO217) + $B$19*($DN217=$DO217))</f>
        <v>3.7037037037037035E-4</v>
      </c>
      <c r="DX217" s="10" cm="1">
        <f t="array" aca="1" ref="DX217" ca="1">(1-$B$18)*SUMPRODUCT(OFFSET($BO$15,0,0,$B$14,1), 1*(_xlfn._xlws.FILTER(OFFSET($O$15,0,$DN217,$B$8,1),OFFSET($M$15,0,0,$B$8,1))=DX$13), 1*(_xlfn._xlws.FILTER(OFFSET($O$15,0,$DO217,$B$8,1),OFFSET($M$15,0,0,$B$8,1))=DX$14))   /   SUM(OFFSET($BO$15,0,0,$B$14,1)) + $B$18/($B$19*$B$19*($DN217&lt;&gt;$DO217) + $B$19*($DN217=$DO217))</f>
        <v>3.7037037037037035E-4</v>
      </c>
      <c r="DY217" s="10" cm="1">
        <f t="array" aca="1" ref="DY217" ca="1">(1-$B$18)*SUMPRODUCT(OFFSET($BO$15,0,0,$B$14,1), 1*(_xlfn._xlws.FILTER(OFFSET($O$15,0,$DN217,$B$8,1),OFFSET($M$15,0,0,$B$8,1))=DY$13), 1*(_xlfn._xlws.FILTER(OFFSET($O$15,0,$DO217,$B$8,1),OFFSET($M$15,0,0,$B$8,1))=DY$14))   /   SUM(OFFSET($BO$15,0,0,$B$14,1)) + $B$18/($B$19*$B$19*($DN217&lt;&gt;$DO217) + $B$19*($DN217=$DO217))</f>
        <v>3.7037037037037035E-4</v>
      </c>
      <c r="DZ217" s="10" cm="1">
        <f t="array" aca="1" ref="DZ217" ca="1">(1-$B$18)*SUMPRODUCT(OFFSET($BO$15,0,0,$B$14,1), 1*(_xlfn._xlws.FILTER(OFFSET($O$15,0,$DN217,$B$8,1),OFFSET($M$15,0,0,$B$8,1))=DZ$13), 1*(_xlfn._xlws.FILTER(OFFSET($O$15,0,$DO217,$B$8,1),OFFSET($M$15,0,0,$B$8,1))=DZ$14))   /   SUM(OFFSET($BO$15,0,0,$B$14,1)) + $B$18/($B$19*$B$19*($DN217&lt;&gt;$DO217) + $B$19*($DN217=$DO217))</f>
        <v>3.7037037037037035E-4</v>
      </c>
      <c r="EA217" s="10" cm="1">
        <f t="array" aca="1" ref="EA217" ca="1">(1-$B$18)*SUMPRODUCT(OFFSET($BO$15,0,0,$B$14,1), 1*(_xlfn._xlws.FILTER(OFFSET($O$15,0,$DN217,$B$8,1),OFFSET($M$15,0,0,$B$8,1))=EA$13), 1*(_xlfn._xlws.FILTER(OFFSET($O$15,0,$DO217,$B$8,1),OFFSET($M$15,0,0,$B$8,1))=EA$14))   /   SUM(OFFSET($BO$15,0,0,$B$14,1)) + $B$18/($B$19*$B$19*($DN217&lt;&gt;$DO217) + $B$19*($DN217=$DO217))</f>
        <v>3.7037037037037035E-4</v>
      </c>
      <c r="EB217" s="10" cm="1">
        <f t="array" aca="1" ref="EB217" ca="1">(1-$B$18)*SUMPRODUCT(OFFSET($BO$15,0,0,$B$14,1), 1*(_xlfn._xlws.FILTER(OFFSET($O$15,0,$DN217,$B$8,1),OFFSET($M$15,0,0,$B$8,1))=EB$13), 1*(_xlfn._xlws.FILTER(OFFSET($O$15,0,$DO217,$B$8,1),OFFSET($M$15,0,0,$B$8,1))=EB$14))   /   SUM(OFFSET($BO$15,0,0,$B$14,1)) + $B$18/($B$19*$B$19*($DN217&lt;&gt;$DO217) + $B$19*($DN217=$DO217))</f>
        <v>3.7037037037037035E-4</v>
      </c>
      <c r="EC217" s="10" cm="1">
        <f t="array" aca="1" ref="EC217" ca="1">(1-$B$18)*SUMPRODUCT(OFFSET($BO$15,0,0,$B$14,1), 1*(_xlfn._xlws.FILTER(OFFSET($O$15,0,$DN217,$B$8,1),OFFSET($M$15,0,0,$B$8,1))=EC$13), 1*(_xlfn._xlws.FILTER(OFFSET($O$15,0,$DO217,$B$8,1),OFFSET($M$15,0,0,$B$8,1))=EC$14))   /   SUM(OFFSET($BO$15,0,0,$B$14,1)) + $B$18/($B$19*$B$19*($DN217&lt;&gt;$DO217) + $B$19*($DN217=$DO217))</f>
        <v>3.7037037037037035E-4</v>
      </c>
      <c r="ED217" s="10" cm="1">
        <f t="array" aca="1" ref="ED217" ca="1">(1-$B$18)*SUMPRODUCT(OFFSET($BO$15,0,0,$B$14,1), 1*(_xlfn._xlws.FILTER(OFFSET($O$15,0,$DN217,$B$8,1),OFFSET($M$15,0,0,$B$8,1))=ED$13), 1*(_xlfn._xlws.FILTER(OFFSET($O$15,0,$DO217,$B$8,1),OFFSET($M$15,0,0,$B$8,1))=ED$14))   /   SUM(OFFSET($BO$15,0,0,$B$14,1)) + $B$18/($B$19*$B$19*($DN217&lt;&gt;$DO217) + $B$19*($DN217=$DO217))</f>
        <v>3.7037037037037035E-4</v>
      </c>
      <c r="EE217" s="10" cm="1">
        <f t="array" aca="1" ref="EE217" ca="1">(1-$B$18)*SUMPRODUCT(OFFSET($BO$15,0,0,$B$14,1), 1*(_xlfn._xlws.FILTER(OFFSET($O$15,0,$DN217,$B$8,1),OFFSET($M$15,0,0,$B$8,1))=EE$13), 1*(_xlfn._xlws.FILTER(OFFSET($O$15,0,$DO217,$B$8,1),OFFSET($M$15,0,0,$B$8,1))=EE$14))   /   SUM(OFFSET($BO$15,0,0,$B$14,1)) + $B$18/($B$19*$B$19*($DN217&lt;&gt;$DO217) + $B$19*($DN217=$DO217))</f>
        <v>3.7037037037037035E-4</v>
      </c>
      <c r="EF217" s="10" cm="1">
        <f t="array" aca="1" ref="EF217" ca="1">(1-$B$18)*SUMPRODUCT(OFFSET($BO$15,0,0,$B$14,1), 1*(_xlfn._xlws.FILTER(OFFSET($O$15,0,$DN217,$B$8,1),OFFSET($M$15,0,0,$B$8,1))=EF$13), 1*(_xlfn._xlws.FILTER(OFFSET($O$15,0,$DO217,$B$8,1),OFFSET($M$15,0,0,$B$8,1))=EF$14))   /   SUM(OFFSET($BO$15,0,0,$B$14,1)) + $B$18/($B$19*$B$19*($DN217&lt;&gt;$DO217) + $B$19*($DN217=$DO217))</f>
        <v>3.7037037037037035E-4</v>
      </c>
      <c r="EG217" s="10" cm="1">
        <f t="array" aca="1" ref="EG217" ca="1">(1-$B$18)*SUMPRODUCT(OFFSET($BO$15,0,0,$B$14,1), 1*(_xlfn._xlws.FILTER(OFFSET($O$15,0,$DN217,$B$8,1),OFFSET($M$15,0,0,$B$8,1))=EG$13), 1*(_xlfn._xlws.FILTER(OFFSET($O$15,0,$DO217,$B$8,1),OFFSET($M$15,0,0,$B$8,1))=EG$14))   /   SUM(OFFSET($BO$15,0,0,$B$14,1)) + $B$18/($B$19*$B$19*($DN217&lt;&gt;$DO217) + $B$19*($DN217=$DO217))</f>
        <v>0.24287037037037026</v>
      </c>
      <c r="EH217" s="10" cm="1">
        <f t="array" aca="1" ref="EH217" ca="1">(1-$B$18)*SUMPRODUCT(OFFSET($BO$15,0,0,$B$14,1), 1*(_xlfn._xlws.FILTER(OFFSET($O$15,0,$DN217,$B$8,1),OFFSET($M$15,0,0,$B$8,1))=EH$13), 1*(_xlfn._xlws.FILTER(OFFSET($O$15,0,$DO217,$B$8,1),OFFSET($M$15,0,0,$B$8,1))=EH$14))   /   SUM(OFFSET($BO$15,0,0,$B$14,1)) + $B$18/($B$19*$B$19*($DN217&lt;&gt;$DO217) + $B$19*($DN217=$DO217))</f>
        <v>3.7037037037037035E-4</v>
      </c>
      <c r="EI217" s="10" cm="1">
        <f t="array" aca="1" ref="EI217" ca="1">(1-$B$18)*SUMPRODUCT(OFFSET($BO$15,0,0,$B$14,1), 1*(_xlfn._xlws.FILTER(OFFSET($O$15,0,$DN217,$B$8,1),OFFSET($M$15,0,0,$B$8,1))=EI$13), 1*(_xlfn._xlws.FILTER(OFFSET($O$15,0,$DO217,$B$8,1),OFFSET($M$15,0,0,$B$8,1))=EI$14))   /   SUM(OFFSET($BO$15,0,0,$B$14,1)) + $B$18/($B$19*$B$19*($DN217&lt;&gt;$DO217) + $B$19*($DN217=$DO217))</f>
        <v>3.7037037037037035E-4</v>
      </c>
      <c r="EJ217" s="10" cm="1">
        <f t="array" aca="1" ref="EJ217" ca="1">(1-$B$18)*SUMPRODUCT(OFFSET($BO$15,0,0,$B$14,1), 1*(_xlfn._xlws.FILTER(OFFSET($O$15,0,$DN217,$B$8,1),OFFSET($M$15,0,0,$B$8,1))=EJ$13), 1*(_xlfn._xlws.FILTER(OFFSET($O$15,0,$DO217,$B$8,1),OFFSET($M$15,0,0,$B$8,1))=EJ$14))   /   SUM(OFFSET($BO$15,0,0,$B$14,1)) + $B$18/($B$19*$B$19*($DN217&lt;&gt;$DO217) + $B$19*($DN217=$DO217))</f>
        <v>3.7037037037037035E-4</v>
      </c>
      <c r="EK217" s="10" cm="1">
        <f t="array" aca="1" ref="EK217" ca="1">(1-$B$18)*SUMPRODUCT(OFFSET($BO$15,0,0,$B$14,1), 1*(_xlfn._xlws.FILTER(OFFSET($O$15,0,$DN217,$B$8,1),OFFSET($M$15,0,0,$B$8,1))=EK$13), 1*(_xlfn._xlws.FILTER(OFFSET($O$15,0,$DO217,$B$8,1),OFFSET($M$15,0,0,$B$8,1))=EK$14))   /   SUM(OFFSET($BO$15,0,0,$B$14,1)) + $B$18/($B$19*$B$19*($DN217&lt;&gt;$DO217) + $B$19*($DN217=$DO217))</f>
        <v>3.7037037037037035E-4</v>
      </c>
      <c r="EL217" s="10" cm="1">
        <f t="array" aca="1" ref="EL217" ca="1">(1-$B$18)*SUMPRODUCT(OFFSET($BO$15,0,0,$B$14,1), 1*(_xlfn._xlws.FILTER(OFFSET($O$15,0,$DN217,$B$8,1),OFFSET($M$15,0,0,$B$8,1))=EL$13), 1*(_xlfn._xlws.FILTER(OFFSET($O$15,0,$DO217,$B$8,1),OFFSET($M$15,0,0,$B$8,1))=EL$14))   /   SUM(OFFSET($BO$15,0,0,$B$14,1)) + $B$18/($B$19*$B$19*($DN217&lt;&gt;$DO217) + $B$19*($DN217=$DO217))</f>
        <v>3.7037037037037035E-4</v>
      </c>
      <c r="EM217" s="10" cm="1">
        <f t="array" aca="1" ref="EM217" ca="1">(1-$B$18)*SUMPRODUCT(OFFSET($BO$15,0,0,$B$14,1), 1*(_xlfn._xlws.FILTER(OFFSET($O$15,0,$DN217,$B$8,1),OFFSET($M$15,0,0,$B$8,1))=EM$13), 1*(_xlfn._xlws.FILTER(OFFSET($O$15,0,$DO217,$B$8,1),OFFSET($M$15,0,0,$B$8,1))=EM$14))   /   SUM(OFFSET($BO$15,0,0,$B$14,1)) + $B$18/($B$19*$B$19*($DN217&lt;&gt;$DO217) + $B$19*($DN217=$DO217))</f>
        <v>3.7037037037037035E-4</v>
      </c>
      <c r="EN217" s="10" cm="1">
        <f t="array" aca="1" ref="EN217" ca="1">(1-$B$18)*SUMPRODUCT(OFFSET($BO$15,0,0,$B$14,1), 1*(_xlfn._xlws.FILTER(OFFSET($O$15,0,$DN217,$B$8,1),OFFSET($M$15,0,0,$B$8,1))=EN$13), 1*(_xlfn._xlws.FILTER(OFFSET($O$15,0,$DO217,$B$8,1),OFFSET($M$15,0,0,$B$8,1))=EN$14))   /   SUM(OFFSET($BO$15,0,0,$B$14,1)) + $B$18/($B$19*$B$19*($DN217&lt;&gt;$DO217) + $B$19*($DN217=$DO217))</f>
        <v>3.7037037037037035E-4</v>
      </c>
      <c r="EO217" s="10" cm="1">
        <f t="array" aca="1" ref="EO217" ca="1">(1-$B$18)*SUMPRODUCT(OFFSET($BO$15,0,0,$B$14,1), 1*(_xlfn._xlws.FILTER(OFFSET($O$15,0,$DN217,$B$8,1),OFFSET($M$15,0,0,$B$8,1))=EO$13), 1*(_xlfn._xlws.FILTER(OFFSET($O$15,0,$DO217,$B$8,1),OFFSET($M$15,0,0,$B$8,1))=EO$14))   /   SUM(OFFSET($BO$15,0,0,$B$14,1)) + $B$18/($B$19*$B$19*($DN217&lt;&gt;$DO217) + $B$19*($DN217=$DO217))</f>
        <v>0.24287037037037026</v>
      </c>
      <c r="EP217" s="10" cm="1">
        <f t="array" aca="1" ref="EP217" ca="1">(1-$B$18)*SUMPRODUCT(OFFSET($BO$15,0,0,$B$14,1), 1*(_xlfn._xlws.FILTER(OFFSET($O$15,0,$DN217,$B$8,1),OFFSET($M$15,0,0,$B$8,1))=EP$13), 1*(_xlfn._xlws.FILTER(OFFSET($O$15,0,$DO217,$B$8,1),OFFSET($M$15,0,0,$B$8,1))=EP$14))   /   SUM(OFFSET($BO$15,0,0,$B$14,1)) + $B$18/($B$19*$B$19*($DN217&lt;&gt;$DO217) + $B$19*($DN217=$DO217))</f>
        <v>3.7037037037037035E-4</v>
      </c>
      <c r="EQ217" s="10" cm="1">
        <f t="array" aca="1" ref="EQ217" ca="1">(1-$B$18)*SUMPRODUCT(OFFSET($BO$15,0,0,$B$14,1), 1*(_xlfn._xlws.FILTER(OFFSET($O$15,0,$DN217,$B$8,1),OFFSET($M$15,0,0,$B$8,1))=EQ$13), 1*(_xlfn._xlws.FILTER(OFFSET($O$15,0,$DO217,$B$8,1),OFFSET($M$15,0,0,$B$8,1))=EQ$14))   /   SUM(OFFSET($BO$15,0,0,$B$14,1)) + $B$18/($B$19*$B$19*($DN217&lt;&gt;$DO217) + $B$19*($DN217=$DO217))</f>
        <v>3.7037037037037035E-4</v>
      </c>
      <c r="ER217" s="10" cm="1">
        <f t="array" aca="1" ref="ER217" ca="1">(1-$B$18)*SUMPRODUCT(OFFSET($BO$15,0,0,$B$14,1), 1*(_xlfn._xlws.FILTER(OFFSET($O$15,0,$DN217,$B$8,1),OFFSET($M$15,0,0,$B$8,1))=ER$13), 1*(_xlfn._xlws.FILTER(OFFSET($O$15,0,$DO217,$B$8,1),OFFSET($M$15,0,0,$B$8,1))=ER$14))   /   SUM(OFFSET($BO$15,0,0,$B$14,1)) + $B$18/($B$19*$B$19*($DN217&lt;&gt;$DO217) + $B$19*($DN217=$DO217))</f>
        <v>3.7037037037037035E-4</v>
      </c>
      <c r="ES217" s="10" cm="1">
        <f t="array" aca="1" ref="ES217" ca="1">(1-$B$18)*SUMPRODUCT(OFFSET($BO$15,0,0,$B$14,1), 1*(_xlfn._xlws.FILTER(OFFSET($O$15,0,$DN217,$B$8,1),OFFSET($M$15,0,0,$B$8,1))=ES$13), 1*(_xlfn._xlws.FILTER(OFFSET($O$15,0,$DO217,$B$8,1),OFFSET($M$15,0,0,$B$8,1))=ES$14))   /   SUM(OFFSET($BO$15,0,0,$B$14,1)) + $B$18/($B$19*$B$19*($DN217&lt;&gt;$DO217) + $B$19*($DN217=$DO217))</f>
        <v>3.7037037037037035E-4</v>
      </c>
      <c r="ET217" s="10" cm="1">
        <f t="array" aca="1" ref="ET217" ca="1">(1-$B$18)*SUMPRODUCT(OFFSET($BO$15,0,0,$B$14,1), 1*(_xlfn._xlws.FILTER(OFFSET($O$15,0,$DN217,$B$8,1),OFFSET($M$15,0,0,$B$8,1))=ET$13), 1*(_xlfn._xlws.FILTER(OFFSET($O$15,0,$DO217,$B$8,1),OFFSET($M$15,0,0,$B$8,1))=ET$14))   /   SUM(OFFSET($BO$15,0,0,$B$14,1)) + $B$18/($B$19*$B$19*($DN217&lt;&gt;$DO217) + $B$19*($DN217=$DO217))</f>
        <v>3.7037037037037035E-4</v>
      </c>
      <c r="EU217" s="10" cm="1">
        <f t="array" aca="1" ref="EU217" ca="1">(1-$B$18)*SUMPRODUCT(OFFSET($BO$15,0,0,$B$14,1), 1*(_xlfn._xlws.FILTER(OFFSET($O$15,0,$DN217,$B$8,1),OFFSET($M$15,0,0,$B$8,1))=EU$13), 1*(_xlfn._xlws.FILTER(OFFSET($O$15,0,$DO217,$B$8,1),OFFSET($M$15,0,0,$B$8,1))=EU$14))   /   SUM(OFFSET($BO$15,0,0,$B$14,1)) + $B$18/($B$19*$B$19*($DN217&lt;&gt;$DO217) + $B$19*($DN217=$DO217))</f>
        <v>3.7037037037037035E-4</v>
      </c>
      <c r="EV217" s="10" cm="1">
        <f t="array" aca="1" ref="EV217" ca="1">(1-$B$18)*SUMPRODUCT(OFFSET($BO$15,0,0,$B$14,1), 1*(_xlfn._xlws.FILTER(OFFSET($O$15,0,$DN217,$B$8,1),OFFSET($M$15,0,0,$B$8,1))=EV$13), 1*(_xlfn._xlws.FILTER(OFFSET($O$15,0,$DO217,$B$8,1),OFFSET($M$15,0,0,$B$8,1))=EV$14))   /   SUM(OFFSET($BO$15,0,0,$B$14,1)) + $B$18/($B$19*$B$19*($DN217&lt;&gt;$DO217) + $B$19*($DN217=$DO217))</f>
        <v>3.7037037037037035E-4</v>
      </c>
      <c r="EW217" s="10" cm="1">
        <f t="array" aca="1" ref="EW217" ca="1">(1-$B$18)*SUMPRODUCT(OFFSET($BO$15,0,0,$B$14,1), 1*(_xlfn._xlws.FILTER(OFFSET($O$15,0,$DN217,$B$8,1),OFFSET($M$15,0,0,$B$8,1))=EW$13), 1*(_xlfn._xlws.FILTER(OFFSET($O$15,0,$DO217,$B$8,1),OFFSET($M$15,0,0,$B$8,1))=EW$14))   /   SUM(OFFSET($BO$15,0,0,$B$14,1)) + $B$18/($B$19*$B$19*($DN217&lt;&gt;$DO217) + $B$19*($DN217=$DO217))</f>
        <v>3.7037037037037035E-4</v>
      </c>
      <c r="EX217" s="10" cm="1">
        <f t="array" aca="1" ref="EX217" ca="1">(1-$B$18)*SUMPRODUCT(OFFSET($BO$15,0,0,$B$14,1), 1*(_xlfn._xlws.FILTER(OFFSET($O$15,0,$DN217,$B$8,1),OFFSET($M$15,0,0,$B$8,1))=EX$13), 1*(_xlfn._xlws.FILTER(OFFSET($O$15,0,$DO217,$B$8,1),OFFSET($M$15,0,0,$B$8,1))=EX$14))   /   SUM(OFFSET($BO$15,0,0,$B$14,1)) + $B$18/($B$19*$B$19*($DN217&lt;&gt;$DO217) + $B$19*($DN217=$DO217))</f>
        <v>3.7037037037037035E-4</v>
      </c>
      <c r="EY217" s="10" cm="1">
        <f t="array" aca="1" ref="EY217" ca="1">(1-$B$18)*SUMPRODUCT(OFFSET($BO$15,0,0,$B$14,1), 1*(_xlfn._xlws.FILTER(OFFSET($O$15,0,$DN217,$B$8,1),OFFSET($M$15,0,0,$B$8,1))=EY$13), 1*(_xlfn._xlws.FILTER(OFFSET($O$15,0,$DO217,$B$8,1),OFFSET($M$15,0,0,$B$8,1))=EY$14))   /   SUM(OFFSET($BO$15,0,0,$B$14,1)) + $B$18/($B$19*$B$19*($DN217&lt;&gt;$DO217) + $B$19*($DN217=$DO217))</f>
        <v>3.7037037037037035E-4</v>
      </c>
      <c r="EZ217" s="10" cm="1">
        <f t="array" aca="1" ref="EZ217" ca="1">(1-$B$18)*SUMPRODUCT(OFFSET($BO$15,0,0,$B$14,1), 1*(_xlfn._xlws.FILTER(OFFSET($O$15,0,$DN217,$B$8,1),OFFSET($M$15,0,0,$B$8,1))=EZ$13), 1*(_xlfn._xlws.FILTER(OFFSET($O$15,0,$DO217,$B$8,1),OFFSET($M$15,0,0,$B$8,1))=EZ$14))   /   SUM(OFFSET($BO$15,0,0,$B$14,1)) + $B$18/($B$19*$B$19*($DN217&lt;&gt;$DO217) + $B$19*($DN217=$DO217))</f>
        <v>3.7037037037037035E-4</v>
      </c>
      <c r="FA217" s="10" cm="1">
        <f t="array" aca="1" ref="FA217" ca="1">(1-$B$18)*SUMPRODUCT(OFFSET($BO$15,0,0,$B$14,1), 1*(_xlfn._xlws.FILTER(OFFSET($O$15,0,$DN217,$B$8,1),OFFSET($M$15,0,0,$B$8,1))=FA$13), 1*(_xlfn._xlws.FILTER(OFFSET($O$15,0,$DO217,$B$8,1),OFFSET($M$15,0,0,$B$8,1))=FA$14))   /   SUM(OFFSET($BO$15,0,0,$B$14,1)) + $B$18/($B$19*$B$19*($DN217&lt;&gt;$DO217) + $B$19*($DN217=$DO217))</f>
        <v>3.7037037037037035E-4</v>
      </c>
      <c r="FB217" s="10" cm="1">
        <f t="array" aca="1" ref="FB217" ca="1">(1-$B$18)*SUMPRODUCT(OFFSET($BO$15,0,0,$B$14,1), 1*(_xlfn._xlws.FILTER(OFFSET($O$15,0,$DN217,$B$8,1),OFFSET($M$15,0,0,$B$8,1))=FB$13), 1*(_xlfn._xlws.FILTER(OFFSET($O$15,0,$DO217,$B$8,1),OFFSET($M$15,0,0,$B$8,1))=FB$14))   /   SUM(OFFSET($BO$15,0,0,$B$14,1)) + $B$18/($B$19*$B$19*($DN217&lt;&gt;$DO217) + $B$19*($DN217=$DO217))</f>
        <v>3.7037037037037035E-4</v>
      </c>
      <c r="FC217" s="10" cm="1">
        <f t="array" aca="1" ref="FC217" ca="1">(1-$B$18)*SUMPRODUCT(OFFSET($BO$15,0,0,$B$14,1), 1*(_xlfn._xlws.FILTER(OFFSET($O$15,0,$DN217,$B$8,1),OFFSET($M$15,0,0,$B$8,1))=FC$13), 1*(_xlfn._xlws.FILTER(OFFSET($O$15,0,$DO217,$B$8,1),OFFSET($M$15,0,0,$B$8,1))=FC$14))   /   SUM(OFFSET($BO$15,0,0,$B$14,1)) + $B$18/($B$19*$B$19*($DN217&lt;&gt;$DO217) + $B$19*($DN217=$DO217))</f>
        <v>3.7037037037037035E-4</v>
      </c>
      <c r="FD217" s="10" cm="1">
        <f t="array" aca="1" ref="FD217" ca="1">(1-$B$18)*SUMPRODUCT(OFFSET($BO$15,0,0,$B$14,1), 1*(_xlfn._xlws.FILTER(OFFSET($O$15,0,$DN217,$B$8,1),OFFSET($M$15,0,0,$B$8,1))=FD$13), 1*(_xlfn._xlws.FILTER(OFFSET($O$15,0,$DO217,$B$8,1),OFFSET($M$15,0,0,$B$8,1))=FD$14))   /   SUM(OFFSET($BO$15,0,0,$B$14,1)) + $B$18/($B$19*$B$19*($DN217&lt;&gt;$DO217) + $B$19*($DN217=$DO217))</f>
        <v>3.7037037037037035E-4</v>
      </c>
      <c r="FE217" s="10" cm="1">
        <f t="array" aca="1" ref="FE217" ca="1">(1-$B$18)*SUMPRODUCT(OFFSET($BO$15,0,0,$B$14,1), 1*(_xlfn._xlws.FILTER(OFFSET($O$15,0,$DN217,$B$8,1),OFFSET($M$15,0,0,$B$8,1))=FE$13), 1*(_xlfn._xlws.FILTER(OFFSET($O$15,0,$DO217,$B$8,1),OFFSET($M$15,0,0,$B$8,1))=FE$14))   /   SUM(OFFSET($BO$15,0,0,$B$14,1)) + $B$18/($B$19*$B$19*($DN217&lt;&gt;$DO217) + $B$19*($DN217=$DO217))</f>
        <v>3.7037037037037035E-4</v>
      </c>
      <c r="FF217" s="10" cm="1">
        <f t="array" aca="1" ref="FF217" ca="1">(1-$B$18)*SUMPRODUCT(OFFSET($BO$15,0,0,$B$14,1), 1*(_xlfn._xlws.FILTER(OFFSET($O$15,0,$DN217,$B$8,1),OFFSET($M$15,0,0,$B$8,1))=FF$13), 1*(_xlfn._xlws.FILTER(OFFSET($O$15,0,$DO217,$B$8,1),OFFSET($M$15,0,0,$B$8,1))=FF$14))   /   SUM(OFFSET($BO$15,0,0,$B$14,1)) + $B$18/($B$19*$B$19*($DN217&lt;&gt;$DO217) + $B$19*($DN217=$DO217))</f>
        <v>3.7037037037037035E-4</v>
      </c>
      <c r="FG217" s="10" cm="1">
        <f t="array" aca="1" ref="FG217" ca="1">(1-$B$18)*SUMPRODUCT(OFFSET($BO$15,0,0,$B$14,1), 1*(_xlfn._xlws.FILTER(OFFSET($O$15,0,$DN217,$B$8,1),OFFSET($M$15,0,0,$B$8,1))=FG$13), 1*(_xlfn._xlws.FILTER(OFFSET($O$15,0,$DO217,$B$8,1),OFFSET($M$15,0,0,$B$8,1))=FG$14))   /   SUM(OFFSET($BO$15,0,0,$B$14,1)) + $B$18/($B$19*$B$19*($DN217&lt;&gt;$DO217) + $B$19*($DN217=$DO217))</f>
        <v>3.7037037037037035E-4</v>
      </c>
      <c r="FH217" s="10" cm="1">
        <f t="array" aca="1" ref="FH217" ca="1">(1-$B$18)*SUMPRODUCT(OFFSET($BO$15,0,0,$B$14,1), 1*(_xlfn._xlws.FILTER(OFFSET($O$15,0,$DN217,$B$8,1),OFFSET($M$15,0,0,$B$8,1))=FH$13), 1*(_xlfn._xlws.FILTER(OFFSET($O$15,0,$DO217,$B$8,1),OFFSET($M$15,0,0,$B$8,1))=FH$14))   /   SUM(OFFSET($BO$15,0,0,$B$14,1)) + $B$18/($B$19*$B$19*($DN217&lt;&gt;$DO217) + $B$19*($DN217=$DO217))</f>
        <v>3.7037037037037035E-4</v>
      </c>
      <c r="FI217" s="10" cm="1">
        <f t="array" aca="1" ref="FI217" ca="1">(1-$B$18)*SUMPRODUCT(OFFSET($BO$15,0,0,$B$14,1), 1*(_xlfn._xlws.FILTER(OFFSET($O$15,0,$DN217,$B$8,1),OFFSET($M$15,0,0,$B$8,1))=FI$13), 1*(_xlfn._xlws.FILTER(OFFSET($O$15,0,$DO217,$B$8,1),OFFSET($M$15,0,0,$B$8,1))=FI$14))   /   SUM(OFFSET($BO$15,0,0,$B$14,1)) + $B$18/($B$19*$B$19*($DN217&lt;&gt;$DO217) + $B$19*($DN217=$DO217))</f>
        <v>3.7037037037037035E-4</v>
      </c>
      <c r="FJ217" s="10" cm="1">
        <f t="array" aca="1" ref="FJ217" ca="1">(1-$B$18)*SUMPRODUCT(OFFSET($BO$15,0,0,$B$14,1), 1*(_xlfn._xlws.FILTER(OFFSET($O$15,0,$DN217,$B$8,1),OFFSET($M$15,0,0,$B$8,1))=FJ$13), 1*(_xlfn._xlws.FILTER(OFFSET($O$15,0,$DO217,$B$8,1),OFFSET($M$15,0,0,$B$8,1))=FJ$14))   /   SUM(OFFSET($BO$15,0,0,$B$14,1)) + $B$18/($B$19*$B$19*($DN217&lt;&gt;$DO217) + $B$19*($DN217=$DO217))</f>
        <v>3.7037037037037035E-4</v>
      </c>
      <c r="FK217" s="10" cm="1">
        <f t="array" aca="1" ref="FK217" ca="1">(1-$B$18)*SUMPRODUCT(OFFSET($BO$15,0,0,$B$14,1), 1*(_xlfn._xlws.FILTER(OFFSET($O$15,0,$DN217,$B$8,1),OFFSET($M$15,0,0,$B$8,1))=FK$13), 1*(_xlfn._xlws.FILTER(OFFSET($O$15,0,$DO217,$B$8,1),OFFSET($M$15,0,0,$B$8,1))=FK$14))   /   SUM(OFFSET($BO$15,0,0,$B$14,1)) + $B$18/($B$19*$B$19*($DN217&lt;&gt;$DO217) + $B$19*($DN217=$DO217))</f>
        <v>3.7037037037037035E-4</v>
      </c>
      <c r="FL217" s="10" cm="1">
        <f t="array" aca="1" ref="FL217" ca="1">(1-$B$18)*SUMPRODUCT(OFFSET($BO$15,0,0,$B$14,1), 1*(_xlfn._xlws.FILTER(OFFSET($O$15,0,$DN217,$B$8,1),OFFSET($M$15,0,0,$B$8,1))=FL$13), 1*(_xlfn._xlws.FILTER(OFFSET($O$15,0,$DO217,$B$8,1),OFFSET($M$15,0,0,$B$8,1))=FL$14))   /   SUM(OFFSET($BO$15,0,0,$B$14,1)) + $B$18/($B$19*$B$19*($DN217&lt;&gt;$DO217) + $B$19*($DN217=$DO217))</f>
        <v>3.7037037037037035E-4</v>
      </c>
      <c r="FM217" s="10" cm="1">
        <f t="array" aca="1" ref="FM217" ca="1">(1-$B$18)*SUMPRODUCT(OFFSET($BO$15,0,0,$B$14,1), 1*(_xlfn._xlws.FILTER(OFFSET($O$15,0,$DN217,$B$8,1),OFFSET($M$15,0,0,$B$8,1))=FM$13), 1*(_xlfn._xlws.FILTER(OFFSET($O$15,0,$DO217,$B$8,1),OFFSET($M$15,0,0,$B$8,1))=FM$14))   /   SUM(OFFSET($BO$15,0,0,$B$14,1)) + $B$18/($B$19*$B$19*($DN217&lt;&gt;$DO217) + $B$19*($DN217=$DO217))</f>
        <v>3.7037037037037035E-4</v>
      </c>
      <c r="FN217" s="10" cm="1">
        <f t="array" aca="1" ref="FN217" ca="1">(1-$B$18)*SUMPRODUCT(OFFSET($BO$15,0,0,$B$14,1), 1*(_xlfn._xlws.FILTER(OFFSET($O$15,0,$DN217,$B$8,1),OFFSET($M$15,0,0,$B$8,1))=FN$13), 1*(_xlfn._xlws.FILTER(OFFSET($O$15,0,$DO217,$B$8,1),OFFSET($M$15,0,0,$B$8,1))=FN$14))   /   SUM(OFFSET($BO$15,0,0,$B$14,1)) + $B$18/($B$19*$B$19*($DN217&lt;&gt;$DO217) + $B$19*($DN217=$DO217))</f>
        <v>3.7037037037037035E-4</v>
      </c>
      <c r="FO217" s="10" cm="1">
        <f t="array" aca="1" ref="FO217" ca="1">(1-$B$18)*SUMPRODUCT(OFFSET($BO$15,0,0,$B$14,1), 1*(_xlfn._xlws.FILTER(OFFSET($O$15,0,$DN217,$B$8,1),OFFSET($M$15,0,0,$B$8,1))=FO$13), 1*(_xlfn._xlws.FILTER(OFFSET($O$15,0,$DO217,$B$8,1),OFFSET($M$15,0,0,$B$8,1))=FO$14))   /   SUM(OFFSET($BO$15,0,0,$B$14,1)) + $B$18/($B$19*$B$19*($DN217&lt;&gt;$DO217) + $B$19*($DN217=$DO217))</f>
        <v>3.7037037037037035E-4</v>
      </c>
      <c r="FP217" s="10" cm="1">
        <f t="array" aca="1" ref="FP217" ca="1">(1-$B$18)*SUMPRODUCT(OFFSET($BO$15,0,0,$B$14,1), 1*(_xlfn._xlws.FILTER(OFFSET($O$15,0,$DN217,$B$8,1),OFFSET($M$15,0,0,$B$8,1))=FP$13), 1*(_xlfn._xlws.FILTER(OFFSET($O$15,0,$DO217,$B$8,1),OFFSET($M$15,0,0,$B$8,1))=FP$14))   /   SUM(OFFSET($BO$15,0,0,$B$14,1)) + $B$18/($B$19*$B$19*($DN217&lt;&gt;$DO217) + $B$19*($DN217=$DO217))</f>
        <v>3.7037037037037035E-4</v>
      </c>
      <c r="FQ217" s="10" cm="1">
        <f t="array" aca="1" ref="FQ217" ca="1">(1-$B$18)*SUMPRODUCT(OFFSET($BO$15,0,0,$B$14,1), 1*(_xlfn._xlws.FILTER(OFFSET($O$15,0,$DN217,$B$8,1),OFFSET($M$15,0,0,$B$8,1))=FQ$13), 1*(_xlfn._xlws.FILTER(OFFSET($O$15,0,$DO217,$B$8,1),OFFSET($M$15,0,0,$B$8,1))=FQ$14))   /   SUM(OFFSET($BO$15,0,0,$B$14,1)) + $B$18/($B$19*$B$19*($DN217&lt;&gt;$DO217) + $B$19*($DN217=$DO217))</f>
        <v>3.7037037037037035E-4</v>
      </c>
      <c r="FR217" s="10" cm="1">
        <f t="array" aca="1" ref="FR217" ca="1">(1-$B$18)*SUMPRODUCT(OFFSET($BO$15,0,0,$B$14,1), 1*(_xlfn._xlws.FILTER(OFFSET($O$15,0,$DN217,$B$8,1),OFFSET($M$15,0,0,$B$8,1))=FR$13), 1*(_xlfn._xlws.FILTER(OFFSET($O$15,0,$DO217,$B$8,1),OFFSET($M$15,0,0,$B$8,1))=FR$14))   /   SUM(OFFSET($BO$15,0,0,$B$14,1)) + $B$18/($B$19*$B$19*($DN217&lt;&gt;$DO217) + $B$19*($DN217=$DO217))</f>
        <v>3.7037037037037035E-4</v>
      </c>
      <c r="FS217" s="10" cm="1">
        <f t="array" aca="1" ref="FS217" ca="1">(1-$B$18)*SUMPRODUCT(OFFSET($BO$15,0,0,$B$14,1), 1*(_xlfn._xlws.FILTER(OFFSET($O$15,0,$DN217,$B$8,1),OFFSET($M$15,0,0,$B$8,1))=FS$13), 1*(_xlfn._xlws.FILTER(OFFSET($O$15,0,$DO217,$B$8,1),OFFSET($M$15,0,0,$B$8,1))=FS$14))   /   SUM(OFFSET($BO$15,0,0,$B$14,1)) + $B$18/($B$19*$B$19*($DN217&lt;&gt;$DO217) + $B$19*($DN217=$DO217))</f>
        <v>3.7037037037037035E-4</v>
      </c>
      <c r="FT217" s="10" cm="1">
        <f t="array" aca="1" ref="FT217" ca="1">(1-$B$18)*SUMPRODUCT(OFFSET($BO$15,0,0,$B$14,1), 1*(_xlfn._xlws.FILTER(OFFSET($O$15,0,$DN217,$B$8,1),OFFSET($M$15,0,0,$B$8,1))=FT$13), 1*(_xlfn._xlws.FILTER(OFFSET($O$15,0,$DO217,$B$8,1),OFFSET($M$15,0,0,$B$8,1))=FT$14))   /   SUM(OFFSET($BO$15,0,0,$B$14,1)) + $B$18/($B$19*$B$19*($DN217&lt;&gt;$DO217) + $B$19*($DN217=$DO217))</f>
        <v>3.7037037037037035E-4</v>
      </c>
      <c r="FU217" s="10" cm="1">
        <f t="array" aca="1" ref="FU217" ca="1">(1-$B$18)*SUMPRODUCT(OFFSET($BO$15,0,0,$B$14,1), 1*(_xlfn._xlws.FILTER(OFFSET($O$15,0,$DN217,$B$8,1),OFFSET($M$15,0,0,$B$8,1))=FU$13), 1*(_xlfn._xlws.FILTER(OFFSET($O$15,0,$DO217,$B$8,1),OFFSET($M$15,0,0,$B$8,1))=FU$14))   /   SUM(OFFSET($BO$15,0,0,$B$14,1)) + $B$18/($B$19*$B$19*($DN217&lt;&gt;$DO217) + $B$19*($DN217=$DO217))</f>
        <v>3.7037037037037035E-4</v>
      </c>
      <c r="FV217" s="10" cm="1">
        <f t="array" aca="1" ref="FV217" ca="1">(1-$B$18)*SUMPRODUCT(OFFSET($BO$15,0,0,$B$14,1), 1*(_xlfn._xlws.FILTER(OFFSET($O$15,0,$DN217,$B$8,1),OFFSET($M$15,0,0,$B$8,1))=FV$13), 1*(_xlfn._xlws.FILTER(OFFSET($O$15,0,$DO217,$B$8,1),OFFSET($M$15,0,0,$B$8,1))=FV$14))   /   SUM(OFFSET($BO$15,0,0,$B$14,1)) + $B$18/($B$19*$B$19*($DN217&lt;&gt;$DO217) + $B$19*($DN217=$DO217))</f>
        <v>3.7037037037037035E-4</v>
      </c>
      <c r="FW217" s="10" cm="1">
        <f t="array" aca="1" ref="FW217" ca="1">(1-$B$18)*SUMPRODUCT(OFFSET($BO$15,0,0,$B$14,1), 1*(_xlfn._xlws.FILTER(OFFSET($O$15,0,$DN217,$B$8,1),OFFSET($M$15,0,0,$B$8,1))=FW$13), 1*(_xlfn._xlws.FILTER(OFFSET($O$15,0,$DO217,$B$8,1),OFFSET($M$15,0,0,$B$8,1))=FW$14))   /   SUM(OFFSET($BO$15,0,0,$B$14,1)) + $B$18/($B$19*$B$19*($DN217&lt;&gt;$DO217) + $B$19*($DN217=$DO217))</f>
        <v>3.7037037037037035E-4</v>
      </c>
      <c r="FX217" s="10" cm="1">
        <f t="array" aca="1" ref="FX217" ca="1">(1-$B$18)*SUMPRODUCT(OFFSET($BO$15,0,0,$B$14,1), 1*(_xlfn._xlws.FILTER(OFFSET($O$15,0,$DN217,$B$8,1),OFFSET($M$15,0,0,$B$8,1))=FX$13), 1*(_xlfn._xlws.FILTER(OFFSET($O$15,0,$DO217,$B$8,1),OFFSET($M$15,0,0,$B$8,1))=FX$14))   /   SUM(OFFSET($BO$15,0,0,$B$14,1)) + $B$18/($B$19*$B$19*($DN217&lt;&gt;$DO217) + $B$19*($DN217=$DO217))</f>
        <v>3.7037037037037035E-4</v>
      </c>
      <c r="FY217" s="10" cm="1">
        <f t="array" aca="1" ref="FY217" ca="1">(1-$B$18)*SUMPRODUCT(OFFSET($BO$15,0,0,$B$14,1), 1*(_xlfn._xlws.FILTER(OFFSET($O$15,0,$DN217,$B$8,1),OFFSET($M$15,0,0,$B$8,1))=FY$13), 1*(_xlfn._xlws.FILTER(OFFSET($O$15,0,$DO217,$B$8,1),OFFSET($M$15,0,0,$B$8,1))=FY$14))   /   SUM(OFFSET($BO$15,0,0,$B$14,1)) + $B$18/($B$19*$B$19*($DN217&lt;&gt;$DO217) + $B$19*($DN217=$DO217))</f>
        <v>3.7037037037037035E-4</v>
      </c>
      <c r="FZ217" s="10" cm="1">
        <f t="array" aca="1" ref="FZ217" ca="1">(1-$B$18)*SUMPRODUCT(OFFSET($BO$15,0,0,$B$14,1), 1*(_xlfn._xlws.FILTER(OFFSET($O$15,0,$DN217,$B$8,1),OFFSET($M$15,0,0,$B$8,1))=FZ$13), 1*(_xlfn._xlws.FILTER(OFFSET($O$15,0,$DO217,$B$8,1),OFFSET($M$15,0,0,$B$8,1))=FZ$14))   /   SUM(OFFSET($BO$15,0,0,$B$14,1)) + $B$18/($B$19*$B$19*($DN217&lt;&gt;$DO217) + $B$19*($DN217=$DO217))</f>
        <v>3.7037037037037035E-4</v>
      </c>
      <c r="GA217" s="10" cm="1">
        <f t="array" aca="1" ref="GA217" ca="1">(1-$B$18)*SUMPRODUCT(OFFSET($BO$15,0,0,$B$14,1), 1*(_xlfn._xlws.FILTER(OFFSET($O$15,0,$DN217,$B$8,1),OFFSET($M$15,0,0,$B$8,1))=GA$13), 1*(_xlfn._xlws.FILTER(OFFSET($O$15,0,$DO217,$B$8,1),OFFSET($M$15,0,0,$B$8,1))=GA$14))   /   SUM(OFFSET($BO$15,0,0,$B$14,1)) + $B$18/($B$19*$B$19*($DN217&lt;&gt;$DO217) + $B$19*($DN217=$DO217))</f>
        <v>3.7037037037037035E-4</v>
      </c>
    </row>
    <row r="218" spans="118:183" x14ac:dyDescent="0.2">
      <c r="DN218" cm="1">
        <f t="array" aca="1" ref="DN218" ca="1">INDEX(_xlfn.ANCHORARRAY($CP$15), 1 + INT((ROWS($DO$15:$DO218) - 1) / ROWS(_xlfn.ANCHORARRAY($CP$15))))</f>
        <v>11</v>
      </c>
      <c r="DO218" cm="1">
        <f t="array" aca="1" ref="DO218" ca="1">INDEX(_xlfn.ANCHORARRAY($CP$15),1+MOD(ROWS($DO$15:$DO218)-1,ROWS(_xlfn.ANCHORARRAY($CP$15))))</f>
        <v>14</v>
      </c>
      <c r="DP218" s="10" cm="1">
        <f t="array" aca="1" ref="DP218" ca="1">(1-$B$18)*SUMPRODUCT(OFFSET($BO$15,0,0,$B$14,1), 1*(_xlfn._xlws.FILTER(OFFSET($O$15,0,$DN218,$B$8,1),OFFSET($M$15,0,0,$B$8,1))=DP$13), 1*(_xlfn._xlws.FILTER(OFFSET($O$15,0,$DO218,$B$8,1),OFFSET($M$15,0,0,$B$8,1))=DP$14))   /   SUM(OFFSET($BO$15,0,0,$B$14,1)) + $B$18/($B$19*$B$19*($DN218&lt;&gt;$DO218) + $B$19*($DN218=$DO218))</f>
        <v>3.7037037037037035E-4</v>
      </c>
      <c r="DQ218" s="10" cm="1">
        <f t="array" aca="1" ref="DQ218" ca="1">(1-$B$18)*SUMPRODUCT(OFFSET($BO$15,0,0,$B$14,1), 1*(_xlfn._xlws.FILTER(OFFSET($O$15,0,$DN218,$B$8,1),OFFSET($M$15,0,0,$B$8,1))=DQ$13), 1*(_xlfn._xlws.FILTER(OFFSET($O$15,0,$DO218,$B$8,1),OFFSET($M$15,0,0,$B$8,1))=DQ$14))   /   SUM(OFFSET($BO$15,0,0,$B$14,1)) + $B$18/($B$19*$B$19*($DN218&lt;&gt;$DO218) + $B$19*($DN218=$DO218))</f>
        <v>3.7037037037037035E-4</v>
      </c>
      <c r="DR218" s="10" cm="1">
        <f t="array" aca="1" ref="DR218" ca="1">(1-$B$18)*SUMPRODUCT(OFFSET($BO$15,0,0,$B$14,1), 1*(_xlfn._xlws.FILTER(OFFSET($O$15,0,$DN218,$B$8,1),OFFSET($M$15,0,0,$B$8,1))=DR$13), 1*(_xlfn._xlws.FILTER(OFFSET($O$15,0,$DO218,$B$8,1),OFFSET($M$15,0,0,$B$8,1))=DR$14))   /   SUM(OFFSET($BO$15,0,0,$B$14,1)) + $B$18/($B$19*$B$19*($DN218&lt;&gt;$DO218) + $B$19*($DN218=$DO218))</f>
        <v>0.48537037037037034</v>
      </c>
      <c r="DS218" s="10" cm="1">
        <f t="array" aca="1" ref="DS218" ca="1">(1-$B$18)*SUMPRODUCT(OFFSET($BO$15,0,0,$B$14,1), 1*(_xlfn._xlws.FILTER(OFFSET($O$15,0,$DN218,$B$8,1),OFFSET($M$15,0,0,$B$8,1))=DS$13), 1*(_xlfn._xlws.FILTER(OFFSET($O$15,0,$DO218,$B$8,1),OFFSET($M$15,0,0,$B$8,1))=DS$14))   /   SUM(OFFSET($BO$15,0,0,$B$14,1)) + $B$18/($B$19*$B$19*($DN218&lt;&gt;$DO218) + $B$19*($DN218=$DO218))</f>
        <v>3.7037037037037035E-4</v>
      </c>
      <c r="DT218" s="10" cm="1">
        <f t="array" aca="1" ref="DT218" ca="1">(1-$B$18)*SUMPRODUCT(OFFSET($BO$15,0,0,$B$14,1), 1*(_xlfn._xlws.FILTER(OFFSET($O$15,0,$DN218,$B$8,1),OFFSET($M$15,0,0,$B$8,1))=DT$13), 1*(_xlfn._xlws.FILTER(OFFSET($O$15,0,$DO218,$B$8,1),OFFSET($M$15,0,0,$B$8,1))=DT$14))   /   SUM(OFFSET($BO$15,0,0,$B$14,1)) + $B$18/($B$19*$B$19*($DN218&lt;&gt;$DO218) + $B$19*($DN218=$DO218))</f>
        <v>3.7037037037037035E-4</v>
      </c>
      <c r="DU218" s="10" cm="1">
        <f t="array" aca="1" ref="DU218" ca="1">(1-$B$18)*SUMPRODUCT(OFFSET($BO$15,0,0,$B$14,1), 1*(_xlfn._xlws.FILTER(OFFSET($O$15,0,$DN218,$B$8,1),OFFSET($M$15,0,0,$B$8,1))=DU$13), 1*(_xlfn._xlws.FILTER(OFFSET($O$15,0,$DO218,$B$8,1),OFFSET($M$15,0,0,$B$8,1))=DU$14))   /   SUM(OFFSET($BO$15,0,0,$B$14,1)) + $B$18/($B$19*$B$19*($DN218&lt;&gt;$DO218) + $B$19*($DN218=$DO218))</f>
        <v>3.7037037037037035E-4</v>
      </c>
      <c r="DV218" s="10" cm="1">
        <f t="array" aca="1" ref="DV218" ca="1">(1-$B$18)*SUMPRODUCT(OFFSET($BO$15,0,0,$B$14,1), 1*(_xlfn._xlws.FILTER(OFFSET($O$15,0,$DN218,$B$8,1),OFFSET($M$15,0,0,$B$8,1))=DV$13), 1*(_xlfn._xlws.FILTER(OFFSET($O$15,0,$DO218,$B$8,1),OFFSET($M$15,0,0,$B$8,1))=DV$14))   /   SUM(OFFSET($BO$15,0,0,$B$14,1)) + $B$18/($B$19*$B$19*($DN218&lt;&gt;$DO218) + $B$19*($DN218=$DO218))</f>
        <v>3.7037037037037035E-4</v>
      </c>
      <c r="DW218" s="10" cm="1">
        <f t="array" aca="1" ref="DW218" ca="1">(1-$B$18)*SUMPRODUCT(OFFSET($BO$15,0,0,$B$14,1), 1*(_xlfn._xlws.FILTER(OFFSET($O$15,0,$DN218,$B$8,1),OFFSET($M$15,0,0,$B$8,1))=DW$13), 1*(_xlfn._xlws.FILTER(OFFSET($O$15,0,$DO218,$B$8,1),OFFSET($M$15,0,0,$B$8,1))=DW$14))   /   SUM(OFFSET($BO$15,0,0,$B$14,1)) + $B$18/($B$19*$B$19*($DN218&lt;&gt;$DO218) + $B$19*($DN218=$DO218))</f>
        <v>3.7037037037037035E-4</v>
      </c>
      <c r="DX218" s="10" cm="1">
        <f t="array" aca="1" ref="DX218" ca="1">(1-$B$18)*SUMPRODUCT(OFFSET($BO$15,0,0,$B$14,1), 1*(_xlfn._xlws.FILTER(OFFSET($O$15,0,$DN218,$B$8,1),OFFSET($M$15,0,0,$B$8,1))=DX$13), 1*(_xlfn._xlws.FILTER(OFFSET($O$15,0,$DO218,$B$8,1),OFFSET($M$15,0,0,$B$8,1))=DX$14))   /   SUM(OFFSET($BO$15,0,0,$B$14,1)) + $B$18/($B$19*$B$19*($DN218&lt;&gt;$DO218) + $B$19*($DN218=$DO218))</f>
        <v>3.7037037037037035E-4</v>
      </c>
      <c r="DY218" s="10" cm="1">
        <f t="array" aca="1" ref="DY218" ca="1">(1-$B$18)*SUMPRODUCT(OFFSET($BO$15,0,0,$B$14,1), 1*(_xlfn._xlws.FILTER(OFFSET($O$15,0,$DN218,$B$8,1),OFFSET($M$15,0,0,$B$8,1))=DY$13), 1*(_xlfn._xlws.FILTER(OFFSET($O$15,0,$DO218,$B$8,1),OFFSET($M$15,0,0,$B$8,1))=DY$14))   /   SUM(OFFSET($BO$15,0,0,$B$14,1)) + $B$18/($B$19*$B$19*($DN218&lt;&gt;$DO218) + $B$19*($DN218=$DO218))</f>
        <v>3.7037037037037035E-4</v>
      </c>
      <c r="DZ218" s="10" cm="1">
        <f t="array" aca="1" ref="DZ218" ca="1">(1-$B$18)*SUMPRODUCT(OFFSET($BO$15,0,0,$B$14,1), 1*(_xlfn._xlws.FILTER(OFFSET($O$15,0,$DN218,$B$8,1),OFFSET($M$15,0,0,$B$8,1))=DZ$13), 1*(_xlfn._xlws.FILTER(OFFSET($O$15,0,$DO218,$B$8,1),OFFSET($M$15,0,0,$B$8,1))=DZ$14))   /   SUM(OFFSET($BO$15,0,0,$B$14,1)) + $B$18/($B$19*$B$19*($DN218&lt;&gt;$DO218) + $B$19*($DN218=$DO218))</f>
        <v>3.7037037037037035E-4</v>
      </c>
      <c r="EA218" s="10" cm="1">
        <f t="array" aca="1" ref="EA218" ca="1">(1-$B$18)*SUMPRODUCT(OFFSET($BO$15,0,0,$B$14,1), 1*(_xlfn._xlws.FILTER(OFFSET($O$15,0,$DN218,$B$8,1),OFFSET($M$15,0,0,$B$8,1))=EA$13), 1*(_xlfn._xlws.FILTER(OFFSET($O$15,0,$DO218,$B$8,1),OFFSET($M$15,0,0,$B$8,1))=EA$14))   /   SUM(OFFSET($BO$15,0,0,$B$14,1)) + $B$18/($B$19*$B$19*($DN218&lt;&gt;$DO218) + $B$19*($DN218=$DO218))</f>
        <v>3.7037037037037035E-4</v>
      </c>
      <c r="EB218" s="10" cm="1">
        <f t="array" aca="1" ref="EB218" ca="1">(1-$B$18)*SUMPRODUCT(OFFSET($BO$15,0,0,$B$14,1), 1*(_xlfn._xlws.FILTER(OFFSET($O$15,0,$DN218,$B$8,1),OFFSET($M$15,0,0,$B$8,1))=EB$13), 1*(_xlfn._xlws.FILTER(OFFSET($O$15,0,$DO218,$B$8,1),OFFSET($M$15,0,0,$B$8,1))=EB$14))   /   SUM(OFFSET($BO$15,0,0,$B$14,1)) + $B$18/($B$19*$B$19*($DN218&lt;&gt;$DO218) + $B$19*($DN218=$DO218))</f>
        <v>3.7037037037037035E-4</v>
      </c>
      <c r="EC218" s="10" cm="1">
        <f t="array" aca="1" ref="EC218" ca="1">(1-$B$18)*SUMPRODUCT(OFFSET($BO$15,0,0,$B$14,1), 1*(_xlfn._xlws.FILTER(OFFSET($O$15,0,$DN218,$B$8,1),OFFSET($M$15,0,0,$B$8,1))=EC$13), 1*(_xlfn._xlws.FILTER(OFFSET($O$15,0,$DO218,$B$8,1),OFFSET($M$15,0,0,$B$8,1))=EC$14))   /   SUM(OFFSET($BO$15,0,0,$B$14,1)) + $B$18/($B$19*$B$19*($DN218&lt;&gt;$DO218) + $B$19*($DN218=$DO218))</f>
        <v>3.7037037037037035E-4</v>
      </c>
      <c r="ED218" s="10" cm="1">
        <f t="array" aca="1" ref="ED218" ca="1">(1-$B$18)*SUMPRODUCT(OFFSET($BO$15,0,0,$B$14,1), 1*(_xlfn._xlws.FILTER(OFFSET($O$15,0,$DN218,$B$8,1),OFFSET($M$15,0,0,$B$8,1))=ED$13), 1*(_xlfn._xlws.FILTER(OFFSET($O$15,0,$DO218,$B$8,1),OFFSET($M$15,0,0,$B$8,1))=ED$14))   /   SUM(OFFSET($BO$15,0,0,$B$14,1)) + $B$18/($B$19*$B$19*($DN218&lt;&gt;$DO218) + $B$19*($DN218=$DO218))</f>
        <v>3.7037037037037035E-4</v>
      </c>
      <c r="EE218" s="10" cm="1">
        <f t="array" aca="1" ref="EE218" ca="1">(1-$B$18)*SUMPRODUCT(OFFSET($BO$15,0,0,$B$14,1), 1*(_xlfn._xlws.FILTER(OFFSET($O$15,0,$DN218,$B$8,1),OFFSET($M$15,0,0,$B$8,1))=EE$13), 1*(_xlfn._xlws.FILTER(OFFSET($O$15,0,$DO218,$B$8,1),OFFSET($M$15,0,0,$B$8,1))=EE$14))   /   SUM(OFFSET($BO$15,0,0,$B$14,1)) + $B$18/($B$19*$B$19*($DN218&lt;&gt;$DO218) + $B$19*($DN218=$DO218))</f>
        <v>3.7037037037037035E-4</v>
      </c>
      <c r="EF218" s="10" cm="1">
        <f t="array" aca="1" ref="EF218" ca="1">(1-$B$18)*SUMPRODUCT(OFFSET($BO$15,0,0,$B$14,1), 1*(_xlfn._xlws.FILTER(OFFSET($O$15,0,$DN218,$B$8,1),OFFSET($M$15,0,0,$B$8,1))=EF$13), 1*(_xlfn._xlws.FILTER(OFFSET($O$15,0,$DO218,$B$8,1),OFFSET($M$15,0,0,$B$8,1))=EF$14))   /   SUM(OFFSET($BO$15,0,0,$B$14,1)) + $B$18/($B$19*$B$19*($DN218&lt;&gt;$DO218) + $B$19*($DN218=$DO218))</f>
        <v>3.7037037037037035E-4</v>
      </c>
      <c r="EG218" s="10" cm="1">
        <f t="array" aca="1" ref="EG218" ca="1">(1-$B$18)*SUMPRODUCT(OFFSET($BO$15,0,0,$B$14,1), 1*(_xlfn._xlws.FILTER(OFFSET($O$15,0,$DN218,$B$8,1),OFFSET($M$15,0,0,$B$8,1))=EG$13), 1*(_xlfn._xlws.FILTER(OFFSET($O$15,0,$DO218,$B$8,1),OFFSET($M$15,0,0,$B$8,1))=EG$14))   /   SUM(OFFSET($BO$15,0,0,$B$14,1)) + $B$18/($B$19*$B$19*($DN218&lt;&gt;$DO218) + $B$19*($DN218=$DO218))</f>
        <v>3.7037037037037035E-4</v>
      </c>
      <c r="EH218" s="10" cm="1">
        <f t="array" aca="1" ref="EH218" ca="1">(1-$B$18)*SUMPRODUCT(OFFSET($BO$15,0,0,$B$14,1), 1*(_xlfn._xlws.FILTER(OFFSET($O$15,0,$DN218,$B$8,1),OFFSET($M$15,0,0,$B$8,1))=EH$13), 1*(_xlfn._xlws.FILTER(OFFSET($O$15,0,$DO218,$B$8,1),OFFSET($M$15,0,0,$B$8,1))=EH$14))   /   SUM(OFFSET($BO$15,0,0,$B$14,1)) + $B$18/($B$19*$B$19*($DN218&lt;&gt;$DO218) + $B$19*($DN218=$DO218))</f>
        <v>0.24287037037037026</v>
      </c>
      <c r="EI218" s="10" cm="1">
        <f t="array" aca="1" ref="EI218" ca="1">(1-$B$18)*SUMPRODUCT(OFFSET($BO$15,0,0,$B$14,1), 1*(_xlfn._xlws.FILTER(OFFSET($O$15,0,$DN218,$B$8,1),OFFSET($M$15,0,0,$B$8,1))=EI$13), 1*(_xlfn._xlws.FILTER(OFFSET($O$15,0,$DO218,$B$8,1),OFFSET($M$15,0,0,$B$8,1))=EI$14))   /   SUM(OFFSET($BO$15,0,0,$B$14,1)) + $B$18/($B$19*$B$19*($DN218&lt;&gt;$DO218) + $B$19*($DN218=$DO218))</f>
        <v>3.7037037037037035E-4</v>
      </c>
      <c r="EJ218" s="10" cm="1">
        <f t="array" aca="1" ref="EJ218" ca="1">(1-$B$18)*SUMPRODUCT(OFFSET($BO$15,0,0,$B$14,1), 1*(_xlfn._xlws.FILTER(OFFSET($O$15,0,$DN218,$B$8,1),OFFSET($M$15,0,0,$B$8,1))=EJ$13), 1*(_xlfn._xlws.FILTER(OFFSET($O$15,0,$DO218,$B$8,1),OFFSET($M$15,0,0,$B$8,1))=EJ$14))   /   SUM(OFFSET($BO$15,0,0,$B$14,1)) + $B$18/($B$19*$B$19*($DN218&lt;&gt;$DO218) + $B$19*($DN218=$DO218))</f>
        <v>3.7037037037037035E-4</v>
      </c>
      <c r="EK218" s="10" cm="1">
        <f t="array" aca="1" ref="EK218" ca="1">(1-$B$18)*SUMPRODUCT(OFFSET($BO$15,0,0,$B$14,1), 1*(_xlfn._xlws.FILTER(OFFSET($O$15,0,$DN218,$B$8,1),OFFSET($M$15,0,0,$B$8,1))=EK$13), 1*(_xlfn._xlws.FILTER(OFFSET($O$15,0,$DO218,$B$8,1),OFFSET($M$15,0,0,$B$8,1))=EK$14))   /   SUM(OFFSET($BO$15,0,0,$B$14,1)) + $B$18/($B$19*$B$19*($DN218&lt;&gt;$DO218) + $B$19*($DN218=$DO218))</f>
        <v>3.7037037037037035E-4</v>
      </c>
      <c r="EL218" s="10" cm="1">
        <f t="array" aca="1" ref="EL218" ca="1">(1-$B$18)*SUMPRODUCT(OFFSET($BO$15,0,0,$B$14,1), 1*(_xlfn._xlws.FILTER(OFFSET($O$15,0,$DN218,$B$8,1),OFFSET($M$15,0,0,$B$8,1))=EL$13), 1*(_xlfn._xlws.FILTER(OFFSET($O$15,0,$DO218,$B$8,1),OFFSET($M$15,0,0,$B$8,1))=EL$14))   /   SUM(OFFSET($BO$15,0,0,$B$14,1)) + $B$18/($B$19*$B$19*($DN218&lt;&gt;$DO218) + $B$19*($DN218=$DO218))</f>
        <v>3.7037037037037035E-4</v>
      </c>
      <c r="EM218" s="10" cm="1">
        <f t="array" aca="1" ref="EM218" ca="1">(1-$B$18)*SUMPRODUCT(OFFSET($BO$15,0,0,$B$14,1), 1*(_xlfn._xlws.FILTER(OFFSET($O$15,0,$DN218,$B$8,1),OFFSET($M$15,0,0,$B$8,1))=EM$13), 1*(_xlfn._xlws.FILTER(OFFSET($O$15,0,$DO218,$B$8,1),OFFSET($M$15,0,0,$B$8,1))=EM$14))   /   SUM(OFFSET($BO$15,0,0,$B$14,1)) + $B$18/($B$19*$B$19*($DN218&lt;&gt;$DO218) + $B$19*($DN218=$DO218))</f>
        <v>3.7037037037037035E-4</v>
      </c>
      <c r="EN218" s="10" cm="1">
        <f t="array" aca="1" ref="EN218" ca="1">(1-$B$18)*SUMPRODUCT(OFFSET($BO$15,0,0,$B$14,1), 1*(_xlfn._xlws.FILTER(OFFSET($O$15,0,$DN218,$B$8,1),OFFSET($M$15,0,0,$B$8,1))=EN$13), 1*(_xlfn._xlws.FILTER(OFFSET($O$15,0,$DO218,$B$8,1),OFFSET($M$15,0,0,$B$8,1))=EN$14))   /   SUM(OFFSET($BO$15,0,0,$B$14,1)) + $B$18/($B$19*$B$19*($DN218&lt;&gt;$DO218) + $B$19*($DN218=$DO218))</f>
        <v>3.7037037037037035E-4</v>
      </c>
      <c r="EO218" s="10" cm="1">
        <f t="array" aca="1" ref="EO218" ca="1">(1-$B$18)*SUMPRODUCT(OFFSET($BO$15,0,0,$B$14,1), 1*(_xlfn._xlws.FILTER(OFFSET($O$15,0,$DN218,$B$8,1),OFFSET($M$15,0,0,$B$8,1))=EO$13), 1*(_xlfn._xlws.FILTER(OFFSET($O$15,0,$DO218,$B$8,1),OFFSET($M$15,0,0,$B$8,1))=EO$14))   /   SUM(OFFSET($BO$15,0,0,$B$14,1)) + $B$18/($B$19*$B$19*($DN218&lt;&gt;$DO218) + $B$19*($DN218=$DO218))</f>
        <v>3.7037037037037035E-4</v>
      </c>
      <c r="EP218" s="10" cm="1">
        <f t="array" aca="1" ref="EP218" ca="1">(1-$B$18)*SUMPRODUCT(OFFSET($BO$15,0,0,$B$14,1), 1*(_xlfn._xlws.FILTER(OFFSET($O$15,0,$DN218,$B$8,1),OFFSET($M$15,0,0,$B$8,1))=EP$13), 1*(_xlfn._xlws.FILTER(OFFSET($O$15,0,$DO218,$B$8,1),OFFSET($M$15,0,0,$B$8,1))=EP$14))   /   SUM(OFFSET($BO$15,0,0,$B$14,1)) + $B$18/($B$19*$B$19*($DN218&lt;&gt;$DO218) + $B$19*($DN218=$DO218))</f>
        <v>0.24287037037037026</v>
      </c>
      <c r="EQ218" s="10" cm="1">
        <f t="array" aca="1" ref="EQ218" ca="1">(1-$B$18)*SUMPRODUCT(OFFSET($BO$15,0,0,$B$14,1), 1*(_xlfn._xlws.FILTER(OFFSET($O$15,0,$DN218,$B$8,1),OFFSET($M$15,0,0,$B$8,1))=EQ$13), 1*(_xlfn._xlws.FILTER(OFFSET($O$15,0,$DO218,$B$8,1),OFFSET($M$15,0,0,$B$8,1))=EQ$14))   /   SUM(OFFSET($BO$15,0,0,$B$14,1)) + $B$18/($B$19*$B$19*($DN218&lt;&gt;$DO218) + $B$19*($DN218=$DO218))</f>
        <v>3.7037037037037035E-4</v>
      </c>
      <c r="ER218" s="10" cm="1">
        <f t="array" aca="1" ref="ER218" ca="1">(1-$B$18)*SUMPRODUCT(OFFSET($BO$15,0,0,$B$14,1), 1*(_xlfn._xlws.FILTER(OFFSET($O$15,0,$DN218,$B$8,1),OFFSET($M$15,0,0,$B$8,1))=ER$13), 1*(_xlfn._xlws.FILTER(OFFSET($O$15,0,$DO218,$B$8,1),OFFSET($M$15,0,0,$B$8,1))=ER$14))   /   SUM(OFFSET($BO$15,0,0,$B$14,1)) + $B$18/($B$19*$B$19*($DN218&lt;&gt;$DO218) + $B$19*($DN218=$DO218))</f>
        <v>3.7037037037037035E-4</v>
      </c>
      <c r="ES218" s="10" cm="1">
        <f t="array" aca="1" ref="ES218" ca="1">(1-$B$18)*SUMPRODUCT(OFFSET($BO$15,0,0,$B$14,1), 1*(_xlfn._xlws.FILTER(OFFSET($O$15,0,$DN218,$B$8,1),OFFSET($M$15,0,0,$B$8,1))=ES$13), 1*(_xlfn._xlws.FILTER(OFFSET($O$15,0,$DO218,$B$8,1),OFFSET($M$15,0,0,$B$8,1))=ES$14))   /   SUM(OFFSET($BO$15,0,0,$B$14,1)) + $B$18/($B$19*$B$19*($DN218&lt;&gt;$DO218) + $B$19*($DN218=$DO218))</f>
        <v>3.7037037037037035E-4</v>
      </c>
      <c r="ET218" s="10" cm="1">
        <f t="array" aca="1" ref="ET218" ca="1">(1-$B$18)*SUMPRODUCT(OFFSET($BO$15,0,0,$B$14,1), 1*(_xlfn._xlws.FILTER(OFFSET($O$15,0,$DN218,$B$8,1),OFFSET($M$15,0,0,$B$8,1))=ET$13), 1*(_xlfn._xlws.FILTER(OFFSET($O$15,0,$DO218,$B$8,1),OFFSET($M$15,0,0,$B$8,1))=ET$14))   /   SUM(OFFSET($BO$15,0,0,$B$14,1)) + $B$18/($B$19*$B$19*($DN218&lt;&gt;$DO218) + $B$19*($DN218=$DO218))</f>
        <v>3.7037037037037035E-4</v>
      </c>
      <c r="EU218" s="10" cm="1">
        <f t="array" aca="1" ref="EU218" ca="1">(1-$B$18)*SUMPRODUCT(OFFSET($BO$15,0,0,$B$14,1), 1*(_xlfn._xlws.FILTER(OFFSET($O$15,0,$DN218,$B$8,1),OFFSET($M$15,0,0,$B$8,1))=EU$13), 1*(_xlfn._xlws.FILTER(OFFSET($O$15,0,$DO218,$B$8,1),OFFSET($M$15,0,0,$B$8,1))=EU$14))   /   SUM(OFFSET($BO$15,0,0,$B$14,1)) + $B$18/($B$19*$B$19*($DN218&lt;&gt;$DO218) + $B$19*($DN218=$DO218))</f>
        <v>3.7037037037037035E-4</v>
      </c>
      <c r="EV218" s="10" cm="1">
        <f t="array" aca="1" ref="EV218" ca="1">(1-$B$18)*SUMPRODUCT(OFFSET($BO$15,0,0,$B$14,1), 1*(_xlfn._xlws.FILTER(OFFSET($O$15,0,$DN218,$B$8,1),OFFSET($M$15,0,0,$B$8,1))=EV$13), 1*(_xlfn._xlws.FILTER(OFFSET($O$15,0,$DO218,$B$8,1),OFFSET($M$15,0,0,$B$8,1))=EV$14))   /   SUM(OFFSET($BO$15,0,0,$B$14,1)) + $B$18/($B$19*$B$19*($DN218&lt;&gt;$DO218) + $B$19*($DN218=$DO218))</f>
        <v>3.7037037037037035E-4</v>
      </c>
      <c r="EW218" s="10" cm="1">
        <f t="array" aca="1" ref="EW218" ca="1">(1-$B$18)*SUMPRODUCT(OFFSET($BO$15,0,0,$B$14,1), 1*(_xlfn._xlws.FILTER(OFFSET($O$15,0,$DN218,$B$8,1),OFFSET($M$15,0,0,$B$8,1))=EW$13), 1*(_xlfn._xlws.FILTER(OFFSET($O$15,0,$DO218,$B$8,1),OFFSET($M$15,0,0,$B$8,1))=EW$14))   /   SUM(OFFSET($BO$15,0,0,$B$14,1)) + $B$18/($B$19*$B$19*($DN218&lt;&gt;$DO218) + $B$19*($DN218=$DO218))</f>
        <v>3.7037037037037035E-4</v>
      </c>
      <c r="EX218" s="10" cm="1">
        <f t="array" aca="1" ref="EX218" ca="1">(1-$B$18)*SUMPRODUCT(OFFSET($BO$15,0,0,$B$14,1), 1*(_xlfn._xlws.FILTER(OFFSET($O$15,0,$DN218,$B$8,1),OFFSET($M$15,0,0,$B$8,1))=EX$13), 1*(_xlfn._xlws.FILTER(OFFSET($O$15,0,$DO218,$B$8,1),OFFSET($M$15,0,0,$B$8,1))=EX$14))   /   SUM(OFFSET($BO$15,0,0,$B$14,1)) + $B$18/($B$19*$B$19*($DN218&lt;&gt;$DO218) + $B$19*($DN218=$DO218))</f>
        <v>3.7037037037037035E-4</v>
      </c>
      <c r="EY218" s="10" cm="1">
        <f t="array" aca="1" ref="EY218" ca="1">(1-$B$18)*SUMPRODUCT(OFFSET($BO$15,0,0,$B$14,1), 1*(_xlfn._xlws.FILTER(OFFSET($O$15,0,$DN218,$B$8,1),OFFSET($M$15,0,0,$B$8,1))=EY$13), 1*(_xlfn._xlws.FILTER(OFFSET($O$15,0,$DO218,$B$8,1),OFFSET($M$15,0,0,$B$8,1))=EY$14))   /   SUM(OFFSET($BO$15,0,0,$B$14,1)) + $B$18/($B$19*$B$19*($DN218&lt;&gt;$DO218) + $B$19*($DN218=$DO218))</f>
        <v>3.7037037037037035E-4</v>
      </c>
      <c r="EZ218" s="10" cm="1">
        <f t="array" aca="1" ref="EZ218" ca="1">(1-$B$18)*SUMPRODUCT(OFFSET($BO$15,0,0,$B$14,1), 1*(_xlfn._xlws.FILTER(OFFSET($O$15,0,$DN218,$B$8,1),OFFSET($M$15,0,0,$B$8,1))=EZ$13), 1*(_xlfn._xlws.FILTER(OFFSET($O$15,0,$DO218,$B$8,1),OFFSET($M$15,0,0,$B$8,1))=EZ$14))   /   SUM(OFFSET($BO$15,0,0,$B$14,1)) + $B$18/($B$19*$B$19*($DN218&lt;&gt;$DO218) + $B$19*($DN218=$DO218))</f>
        <v>3.7037037037037035E-4</v>
      </c>
      <c r="FA218" s="10" cm="1">
        <f t="array" aca="1" ref="FA218" ca="1">(1-$B$18)*SUMPRODUCT(OFFSET($BO$15,0,0,$B$14,1), 1*(_xlfn._xlws.FILTER(OFFSET($O$15,0,$DN218,$B$8,1),OFFSET($M$15,0,0,$B$8,1))=FA$13), 1*(_xlfn._xlws.FILTER(OFFSET($O$15,0,$DO218,$B$8,1),OFFSET($M$15,0,0,$B$8,1))=FA$14))   /   SUM(OFFSET($BO$15,0,0,$B$14,1)) + $B$18/($B$19*$B$19*($DN218&lt;&gt;$DO218) + $B$19*($DN218=$DO218))</f>
        <v>3.7037037037037035E-4</v>
      </c>
      <c r="FB218" s="10" cm="1">
        <f t="array" aca="1" ref="FB218" ca="1">(1-$B$18)*SUMPRODUCT(OFFSET($BO$15,0,0,$B$14,1), 1*(_xlfn._xlws.FILTER(OFFSET($O$15,0,$DN218,$B$8,1),OFFSET($M$15,0,0,$B$8,1))=FB$13), 1*(_xlfn._xlws.FILTER(OFFSET($O$15,0,$DO218,$B$8,1),OFFSET($M$15,0,0,$B$8,1))=FB$14))   /   SUM(OFFSET($BO$15,0,0,$B$14,1)) + $B$18/($B$19*$B$19*($DN218&lt;&gt;$DO218) + $B$19*($DN218=$DO218))</f>
        <v>3.7037037037037035E-4</v>
      </c>
      <c r="FC218" s="10" cm="1">
        <f t="array" aca="1" ref="FC218" ca="1">(1-$B$18)*SUMPRODUCT(OFFSET($BO$15,0,0,$B$14,1), 1*(_xlfn._xlws.FILTER(OFFSET($O$15,0,$DN218,$B$8,1),OFFSET($M$15,0,0,$B$8,1))=FC$13), 1*(_xlfn._xlws.FILTER(OFFSET($O$15,0,$DO218,$B$8,1),OFFSET($M$15,0,0,$B$8,1))=FC$14))   /   SUM(OFFSET($BO$15,0,0,$B$14,1)) + $B$18/($B$19*$B$19*($DN218&lt;&gt;$DO218) + $B$19*($DN218=$DO218))</f>
        <v>3.7037037037037035E-4</v>
      </c>
      <c r="FD218" s="10" cm="1">
        <f t="array" aca="1" ref="FD218" ca="1">(1-$B$18)*SUMPRODUCT(OFFSET($BO$15,0,0,$B$14,1), 1*(_xlfn._xlws.FILTER(OFFSET($O$15,0,$DN218,$B$8,1),OFFSET($M$15,0,0,$B$8,1))=FD$13), 1*(_xlfn._xlws.FILTER(OFFSET($O$15,0,$DO218,$B$8,1),OFFSET($M$15,0,0,$B$8,1))=FD$14))   /   SUM(OFFSET($BO$15,0,0,$B$14,1)) + $B$18/($B$19*$B$19*($DN218&lt;&gt;$DO218) + $B$19*($DN218=$DO218))</f>
        <v>3.7037037037037035E-4</v>
      </c>
      <c r="FE218" s="10" cm="1">
        <f t="array" aca="1" ref="FE218" ca="1">(1-$B$18)*SUMPRODUCT(OFFSET($BO$15,0,0,$B$14,1), 1*(_xlfn._xlws.FILTER(OFFSET($O$15,0,$DN218,$B$8,1),OFFSET($M$15,0,0,$B$8,1))=FE$13), 1*(_xlfn._xlws.FILTER(OFFSET($O$15,0,$DO218,$B$8,1),OFFSET($M$15,0,0,$B$8,1))=FE$14))   /   SUM(OFFSET($BO$15,0,0,$B$14,1)) + $B$18/($B$19*$B$19*($DN218&lt;&gt;$DO218) + $B$19*($DN218=$DO218))</f>
        <v>3.7037037037037035E-4</v>
      </c>
      <c r="FF218" s="10" cm="1">
        <f t="array" aca="1" ref="FF218" ca="1">(1-$B$18)*SUMPRODUCT(OFFSET($BO$15,0,0,$B$14,1), 1*(_xlfn._xlws.FILTER(OFFSET($O$15,0,$DN218,$B$8,1),OFFSET($M$15,0,0,$B$8,1))=FF$13), 1*(_xlfn._xlws.FILTER(OFFSET($O$15,0,$DO218,$B$8,1),OFFSET($M$15,0,0,$B$8,1))=FF$14))   /   SUM(OFFSET($BO$15,0,0,$B$14,1)) + $B$18/($B$19*$B$19*($DN218&lt;&gt;$DO218) + $B$19*($DN218=$DO218))</f>
        <v>3.7037037037037035E-4</v>
      </c>
      <c r="FG218" s="10" cm="1">
        <f t="array" aca="1" ref="FG218" ca="1">(1-$B$18)*SUMPRODUCT(OFFSET($BO$15,0,0,$B$14,1), 1*(_xlfn._xlws.FILTER(OFFSET($O$15,0,$DN218,$B$8,1),OFFSET($M$15,0,0,$B$8,1))=FG$13), 1*(_xlfn._xlws.FILTER(OFFSET($O$15,0,$DO218,$B$8,1),OFFSET($M$15,0,0,$B$8,1))=FG$14))   /   SUM(OFFSET($BO$15,0,0,$B$14,1)) + $B$18/($B$19*$B$19*($DN218&lt;&gt;$DO218) + $B$19*($DN218=$DO218))</f>
        <v>3.7037037037037035E-4</v>
      </c>
      <c r="FH218" s="10" cm="1">
        <f t="array" aca="1" ref="FH218" ca="1">(1-$B$18)*SUMPRODUCT(OFFSET($BO$15,0,0,$B$14,1), 1*(_xlfn._xlws.FILTER(OFFSET($O$15,0,$DN218,$B$8,1),OFFSET($M$15,0,0,$B$8,1))=FH$13), 1*(_xlfn._xlws.FILTER(OFFSET($O$15,0,$DO218,$B$8,1),OFFSET($M$15,0,0,$B$8,1))=FH$14))   /   SUM(OFFSET($BO$15,0,0,$B$14,1)) + $B$18/($B$19*$B$19*($DN218&lt;&gt;$DO218) + $B$19*($DN218=$DO218))</f>
        <v>3.7037037037037035E-4</v>
      </c>
      <c r="FI218" s="10" cm="1">
        <f t="array" aca="1" ref="FI218" ca="1">(1-$B$18)*SUMPRODUCT(OFFSET($BO$15,0,0,$B$14,1), 1*(_xlfn._xlws.FILTER(OFFSET($O$15,0,$DN218,$B$8,1),OFFSET($M$15,0,0,$B$8,1))=FI$13), 1*(_xlfn._xlws.FILTER(OFFSET($O$15,0,$DO218,$B$8,1),OFFSET($M$15,0,0,$B$8,1))=FI$14))   /   SUM(OFFSET($BO$15,0,0,$B$14,1)) + $B$18/($B$19*$B$19*($DN218&lt;&gt;$DO218) + $B$19*($DN218=$DO218))</f>
        <v>3.7037037037037035E-4</v>
      </c>
      <c r="FJ218" s="10" cm="1">
        <f t="array" aca="1" ref="FJ218" ca="1">(1-$B$18)*SUMPRODUCT(OFFSET($BO$15,0,0,$B$14,1), 1*(_xlfn._xlws.FILTER(OFFSET($O$15,0,$DN218,$B$8,1),OFFSET($M$15,0,0,$B$8,1))=FJ$13), 1*(_xlfn._xlws.FILTER(OFFSET($O$15,0,$DO218,$B$8,1),OFFSET($M$15,0,0,$B$8,1))=FJ$14))   /   SUM(OFFSET($BO$15,0,0,$B$14,1)) + $B$18/($B$19*$B$19*($DN218&lt;&gt;$DO218) + $B$19*($DN218=$DO218))</f>
        <v>3.7037037037037035E-4</v>
      </c>
      <c r="FK218" s="10" cm="1">
        <f t="array" aca="1" ref="FK218" ca="1">(1-$B$18)*SUMPRODUCT(OFFSET($BO$15,0,0,$B$14,1), 1*(_xlfn._xlws.FILTER(OFFSET($O$15,0,$DN218,$B$8,1),OFFSET($M$15,0,0,$B$8,1))=FK$13), 1*(_xlfn._xlws.FILTER(OFFSET($O$15,0,$DO218,$B$8,1),OFFSET($M$15,0,0,$B$8,1))=FK$14))   /   SUM(OFFSET($BO$15,0,0,$B$14,1)) + $B$18/($B$19*$B$19*($DN218&lt;&gt;$DO218) + $B$19*($DN218=$DO218))</f>
        <v>3.7037037037037035E-4</v>
      </c>
      <c r="FL218" s="10" cm="1">
        <f t="array" aca="1" ref="FL218" ca="1">(1-$B$18)*SUMPRODUCT(OFFSET($BO$15,0,0,$B$14,1), 1*(_xlfn._xlws.FILTER(OFFSET($O$15,0,$DN218,$B$8,1),OFFSET($M$15,0,0,$B$8,1))=FL$13), 1*(_xlfn._xlws.FILTER(OFFSET($O$15,0,$DO218,$B$8,1),OFFSET($M$15,0,0,$B$8,1))=FL$14))   /   SUM(OFFSET($BO$15,0,0,$B$14,1)) + $B$18/($B$19*$B$19*($DN218&lt;&gt;$DO218) + $B$19*($DN218=$DO218))</f>
        <v>3.7037037037037035E-4</v>
      </c>
      <c r="FM218" s="10" cm="1">
        <f t="array" aca="1" ref="FM218" ca="1">(1-$B$18)*SUMPRODUCT(OFFSET($BO$15,0,0,$B$14,1), 1*(_xlfn._xlws.FILTER(OFFSET($O$15,0,$DN218,$B$8,1),OFFSET($M$15,0,0,$B$8,1))=FM$13), 1*(_xlfn._xlws.FILTER(OFFSET($O$15,0,$DO218,$B$8,1),OFFSET($M$15,0,0,$B$8,1))=FM$14))   /   SUM(OFFSET($BO$15,0,0,$B$14,1)) + $B$18/($B$19*$B$19*($DN218&lt;&gt;$DO218) + $B$19*($DN218=$DO218))</f>
        <v>3.7037037037037035E-4</v>
      </c>
      <c r="FN218" s="10" cm="1">
        <f t="array" aca="1" ref="FN218" ca="1">(1-$B$18)*SUMPRODUCT(OFFSET($BO$15,0,0,$B$14,1), 1*(_xlfn._xlws.FILTER(OFFSET($O$15,0,$DN218,$B$8,1),OFFSET($M$15,0,0,$B$8,1))=FN$13), 1*(_xlfn._xlws.FILTER(OFFSET($O$15,0,$DO218,$B$8,1),OFFSET($M$15,0,0,$B$8,1))=FN$14))   /   SUM(OFFSET($BO$15,0,0,$B$14,1)) + $B$18/($B$19*$B$19*($DN218&lt;&gt;$DO218) + $B$19*($DN218=$DO218))</f>
        <v>3.7037037037037035E-4</v>
      </c>
      <c r="FO218" s="10" cm="1">
        <f t="array" aca="1" ref="FO218" ca="1">(1-$B$18)*SUMPRODUCT(OFFSET($BO$15,0,0,$B$14,1), 1*(_xlfn._xlws.FILTER(OFFSET($O$15,0,$DN218,$B$8,1),OFFSET($M$15,0,0,$B$8,1))=FO$13), 1*(_xlfn._xlws.FILTER(OFFSET($O$15,0,$DO218,$B$8,1),OFFSET($M$15,0,0,$B$8,1))=FO$14))   /   SUM(OFFSET($BO$15,0,0,$B$14,1)) + $B$18/($B$19*$B$19*($DN218&lt;&gt;$DO218) + $B$19*($DN218=$DO218))</f>
        <v>3.7037037037037035E-4</v>
      </c>
      <c r="FP218" s="10" cm="1">
        <f t="array" aca="1" ref="FP218" ca="1">(1-$B$18)*SUMPRODUCT(OFFSET($BO$15,0,0,$B$14,1), 1*(_xlfn._xlws.FILTER(OFFSET($O$15,0,$DN218,$B$8,1),OFFSET($M$15,0,0,$B$8,1))=FP$13), 1*(_xlfn._xlws.FILTER(OFFSET($O$15,0,$DO218,$B$8,1),OFFSET($M$15,0,0,$B$8,1))=FP$14))   /   SUM(OFFSET($BO$15,0,0,$B$14,1)) + $B$18/($B$19*$B$19*($DN218&lt;&gt;$DO218) + $B$19*($DN218=$DO218))</f>
        <v>3.7037037037037035E-4</v>
      </c>
      <c r="FQ218" s="10" cm="1">
        <f t="array" aca="1" ref="FQ218" ca="1">(1-$B$18)*SUMPRODUCT(OFFSET($BO$15,0,0,$B$14,1), 1*(_xlfn._xlws.FILTER(OFFSET($O$15,0,$DN218,$B$8,1),OFFSET($M$15,0,0,$B$8,1))=FQ$13), 1*(_xlfn._xlws.FILTER(OFFSET($O$15,0,$DO218,$B$8,1),OFFSET($M$15,0,0,$B$8,1))=FQ$14))   /   SUM(OFFSET($BO$15,0,0,$B$14,1)) + $B$18/($B$19*$B$19*($DN218&lt;&gt;$DO218) + $B$19*($DN218=$DO218))</f>
        <v>3.7037037037037035E-4</v>
      </c>
      <c r="FR218" s="10" cm="1">
        <f t="array" aca="1" ref="FR218" ca="1">(1-$B$18)*SUMPRODUCT(OFFSET($BO$15,0,0,$B$14,1), 1*(_xlfn._xlws.FILTER(OFFSET($O$15,0,$DN218,$B$8,1),OFFSET($M$15,0,0,$B$8,1))=FR$13), 1*(_xlfn._xlws.FILTER(OFFSET($O$15,0,$DO218,$B$8,1),OFFSET($M$15,0,0,$B$8,1))=FR$14))   /   SUM(OFFSET($BO$15,0,0,$B$14,1)) + $B$18/($B$19*$B$19*($DN218&lt;&gt;$DO218) + $B$19*($DN218=$DO218))</f>
        <v>3.7037037037037035E-4</v>
      </c>
      <c r="FS218" s="10" cm="1">
        <f t="array" aca="1" ref="FS218" ca="1">(1-$B$18)*SUMPRODUCT(OFFSET($BO$15,0,0,$B$14,1), 1*(_xlfn._xlws.FILTER(OFFSET($O$15,0,$DN218,$B$8,1),OFFSET($M$15,0,0,$B$8,1))=FS$13), 1*(_xlfn._xlws.FILTER(OFFSET($O$15,0,$DO218,$B$8,1),OFFSET($M$15,0,0,$B$8,1))=FS$14))   /   SUM(OFFSET($BO$15,0,0,$B$14,1)) + $B$18/($B$19*$B$19*($DN218&lt;&gt;$DO218) + $B$19*($DN218=$DO218))</f>
        <v>3.7037037037037035E-4</v>
      </c>
      <c r="FT218" s="10" cm="1">
        <f t="array" aca="1" ref="FT218" ca="1">(1-$B$18)*SUMPRODUCT(OFFSET($BO$15,0,0,$B$14,1), 1*(_xlfn._xlws.FILTER(OFFSET($O$15,0,$DN218,$B$8,1),OFFSET($M$15,0,0,$B$8,1))=FT$13), 1*(_xlfn._xlws.FILTER(OFFSET($O$15,0,$DO218,$B$8,1),OFFSET($M$15,0,0,$B$8,1))=FT$14))   /   SUM(OFFSET($BO$15,0,0,$B$14,1)) + $B$18/($B$19*$B$19*($DN218&lt;&gt;$DO218) + $B$19*($DN218=$DO218))</f>
        <v>3.7037037037037035E-4</v>
      </c>
      <c r="FU218" s="10" cm="1">
        <f t="array" aca="1" ref="FU218" ca="1">(1-$B$18)*SUMPRODUCT(OFFSET($BO$15,0,0,$B$14,1), 1*(_xlfn._xlws.FILTER(OFFSET($O$15,0,$DN218,$B$8,1),OFFSET($M$15,0,0,$B$8,1))=FU$13), 1*(_xlfn._xlws.FILTER(OFFSET($O$15,0,$DO218,$B$8,1),OFFSET($M$15,0,0,$B$8,1))=FU$14))   /   SUM(OFFSET($BO$15,0,0,$B$14,1)) + $B$18/($B$19*$B$19*($DN218&lt;&gt;$DO218) + $B$19*($DN218=$DO218))</f>
        <v>3.7037037037037035E-4</v>
      </c>
      <c r="FV218" s="10" cm="1">
        <f t="array" aca="1" ref="FV218" ca="1">(1-$B$18)*SUMPRODUCT(OFFSET($BO$15,0,0,$B$14,1), 1*(_xlfn._xlws.FILTER(OFFSET($O$15,0,$DN218,$B$8,1),OFFSET($M$15,0,0,$B$8,1))=FV$13), 1*(_xlfn._xlws.FILTER(OFFSET($O$15,0,$DO218,$B$8,1),OFFSET($M$15,0,0,$B$8,1))=FV$14))   /   SUM(OFFSET($BO$15,0,0,$B$14,1)) + $B$18/($B$19*$B$19*($DN218&lt;&gt;$DO218) + $B$19*($DN218=$DO218))</f>
        <v>3.7037037037037035E-4</v>
      </c>
      <c r="FW218" s="10" cm="1">
        <f t="array" aca="1" ref="FW218" ca="1">(1-$B$18)*SUMPRODUCT(OFFSET($BO$15,0,0,$B$14,1), 1*(_xlfn._xlws.FILTER(OFFSET($O$15,0,$DN218,$B$8,1),OFFSET($M$15,0,0,$B$8,1))=FW$13), 1*(_xlfn._xlws.FILTER(OFFSET($O$15,0,$DO218,$B$8,1),OFFSET($M$15,0,0,$B$8,1))=FW$14))   /   SUM(OFFSET($BO$15,0,0,$B$14,1)) + $B$18/($B$19*$B$19*($DN218&lt;&gt;$DO218) + $B$19*($DN218=$DO218))</f>
        <v>3.7037037037037035E-4</v>
      </c>
      <c r="FX218" s="10" cm="1">
        <f t="array" aca="1" ref="FX218" ca="1">(1-$B$18)*SUMPRODUCT(OFFSET($BO$15,0,0,$B$14,1), 1*(_xlfn._xlws.FILTER(OFFSET($O$15,0,$DN218,$B$8,1),OFFSET($M$15,0,0,$B$8,1))=FX$13), 1*(_xlfn._xlws.FILTER(OFFSET($O$15,0,$DO218,$B$8,1),OFFSET($M$15,0,0,$B$8,1))=FX$14))   /   SUM(OFFSET($BO$15,0,0,$B$14,1)) + $B$18/($B$19*$B$19*($DN218&lt;&gt;$DO218) + $B$19*($DN218=$DO218))</f>
        <v>3.7037037037037035E-4</v>
      </c>
      <c r="FY218" s="10" cm="1">
        <f t="array" aca="1" ref="FY218" ca="1">(1-$B$18)*SUMPRODUCT(OFFSET($BO$15,0,0,$B$14,1), 1*(_xlfn._xlws.FILTER(OFFSET($O$15,0,$DN218,$B$8,1),OFFSET($M$15,0,0,$B$8,1))=FY$13), 1*(_xlfn._xlws.FILTER(OFFSET($O$15,0,$DO218,$B$8,1),OFFSET($M$15,0,0,$B$8,1))=FY$14))   /   SUM(OFFSET($BO$15,0,0,$B$14,1)) + $B$18/($B$19*$B$19*($DN218&lt;&gt;$DO218) + $B$19*($DN218=$DO218))</f>
        <v>3.7037037037037035E-4</v>
      </c>
      <c r="FZ218" s="10" cm="1">
        <f t="array" aca="1" ref="FZ218" ca="1">(1-$B$18)*SUMPRODUCT(OFFSET($BO$15,0,0,$B$14,1), 1*(_xlfn._xlws.FILTER(OFFSET($O$15,0,$DN218,$B$8,1),OFFSET($M$15,0,0,$B$8,1))=FZ$13), 1*(_xlfn._xlws.FILTER(OFFSET($O$15,0,$DO218,$B$8,1),OFFSET($M$15,0,0,$B$8,1))=FZ$14))   /   SUM(OFFSET($BO$15,0,0,$B$14,1)) + $B$18/($B$19*$B$19*($DN218&lt;&gt;$DO218) + $B$19*($DN218=$DO218))</f>
        <v>3.7037037037037035E-4</v>
      </c>
      <c r="GA218" s="10" cm="1">
        <f t="array" aca="1" ref="GA218" ca="1">(1-$B$18)*SUMPRODUCT(OFFSET($BO$15,0,0,$B$14,1), 1*(_xlfn._xlws.FILTER(OFFSET($O$15,0,$DN218,$B$8,1),OFFSET($M$15,0,0,$B$8,1))=GA$13), 1*(_xlfn._xlws.FILTER(OFFSET($O$15,0,$DO218,$B$8,1),OFFSET($M$15,0,0,$B$8,1))=GA$14))   /   SUM(OFFSET($BO$15,0,0,$B$14,1)) + $B$18/($B$19*$B$19*($DN218&lt;&gt;$DO218) + $B$19*($DN218=$DO218))</f>
        <v>3.7037037037037035E-4</v>
      </c>
    </row>
    <row r="219" spans="118:183" x14ac:dyDescent="0.2">
      <c r="DN219" cm="1">
        <f t="array" aca="1" ref="DN219" ca="1">INDEX(_xlfn.ANCHORARRAY($CP$15), 1 + INT((ROWS($DO$15:$DO219) - 1) / ROWS(_xlfn.ANCHORARRAY($CP$15))))</f>
        <v>11</v>
      </c>
      <c r="DO219" cm="1">
        <f t="array" aca="1" ref="DO219" ca="1">INDEX(_xlfn.ANCHORARRAY($CP$15),1+MOD(ROWS($DO$15:$DO219)-1,ROWS(_xlfn.ANCHORARRAY($CP$15))))</f>
        <v>15</v>
      </c>
      <c r="DP219" s="10" cm="1">
        <f t="array" aca="1" ref="DP219" ca="1">(1-$B$18)*SUMPRODUCT(OFFSET($BO$15,0,0,$B$14,1), 1*(_xlfn._xlws.FILTER(OFFSET($O$15,0,$DN219,$B$8,1),OFFSET($M$15,0,0,$B$8,1))=DP$13), 1*(_xlfn._xlws.FILTER(OFFSET($O$15,0,$DO219,$B$8,1),OFFSET($M$15,0,0,$B$8,1))=DP$14))   /   SUM(OFFSET($BO$15,0,0,$B$14,1)) + $B$18/($B$19*$B$19*($DN219&lt;&gt;$DO219) + $B$19*($DN219=$DO219))</f>
        <v>3.7037037037037035E-4</v>
      </c>
      <c r="DQ219" s="10" cm="1">
        <f t="array" aca="1" ref="DQ219" ca="1">(1-$B$18)*SUMPRODUCT(OFFSET($BO$15,0,0,$B$14,1), 1*(_xlfn._xlws.FILTER(OFFSET($O$15,0,$DN219,$B$8,1),OFFSET($M$15,0,0,$B$8,1))=DQ$13), 1*(_xlfn._xlws.FILTER(OFFSET($O$15,0,$DO219,$B$8,1),OFFSET($M$15,0,0,$B$8,1))=DQ$14))   /   SUM(OFFSET($BO$15,0,0,$B$14,1)) + $B$18/($B$19*$B$19*($DN219&lt;&gt;$DO219) + $B$19*($DN219=$DO219))</f>
        <v>3.7037037037037035E-4</v>
      </c>
      <c r="DR219" s="10" cm="1">
        <f t="array" aca="1" ref="DR219" ca="1">(1-$B$18)*SUMPRODUCT(OFFSET($BO$15,0,0,$B$14,1), 1*(_xlfn._xlws.FILTER(OFFSET($O$15,0,$DN219,$B$8,1),OFFSET($M$15,0,0,$B$8,1))=DR$13), 1*(_xlfn._xlws.FILTER(OFFSET($O$15,0,$DO219,$B$8,1),OFFSET($M$15,0,0,$B$8,1))=DR$14))   /   SUM(OFFSET($BO$15,0,0,$B$14,1)) + $B$18/($B$19*$B$19*($DN219&lt;&gt;$DO219) + $B$19*($DN219=$DO219))</f>
        <v>0.48537037037037034</v>
      </c>
      <c r="DS219" s="10" cm="1">
        <f t="array" aca="1" ref="DS219" ca="1">(1-$B$18)*SUMPRODUCT(OFFSET($BO$15,0,0,$B$14,1), 1*(_xlfn._xlws.FILTER(OFFSET($O$15,0,$DN219,$B$8,1),OFFSET($M$15,0,0,$B$8,1))=DS$13), 1*(_xlfn._xlws.FILTER(OFFSET($O$15,0,$DO219,$B$8,1),OFFSET($M$15,0,0,$B$8,1))=DS$14))   /   SUM(OFFSET($BO$15,0,0,$B$14,1)) + $B$18/($B$19*$B$19*($DN219&lt;&gt;$DO219) + $B$19*($DN219=$DO219))</f>
        <v>3.7037037037037035E-4</v>
      </c>
      <c r="DT219" s="10" cm="1">
        <f t="array" aca="1" ref="DT219" ca="1">(1-$B$18)*SUMPRODUCT(OFFSET($BO$15,0,0,$B$14,1), 1*(_xlfn._xlws.FILTER(OFFSET($O$15,0,$DN219,$B$8,1),OFFSET($M$15,0,0,$B$8,1))=DT$13), 1*(_xlfn._xlws.FILTER(OFFSET($O$15,0,$DO219,$B$8,1),OFFSET($M$15,0,0,$B$8,1))=DT$14))   /   SUM(OFFSET($BO$15,0,0,$B$14,1)) + $B$18/($B$19*$B$19*($DN219&lt;&gt;$DO219) + $B$19*($DN219=$DO219))</f>
        <v>3.7037037037037035E-4</v>
      </c>
      <c r="DU219" s="10" cm="1">
        <f t="array" aca="1" ref="DU219" ca="1">(1-$B$18)*SUMPRODUCT(OFFSET($BO$15,0,0,$B$14,1), 1*(_xlfn._xlws.FILTER(OFFSET($O$15,0,$DN219,$B$8,1),OFFSET($M$15,0,0,$B$8,1))=DU$13), 1*(_xlfn._xlws.FILTER(OFFSET($O$15,0,$DO219,$B$8,1),OFFSET($M$15,0,0,$B$8,1))=DU$14))   /   SUM(OFFSET($BO$15,0,0,$B$14,1)) + $B$18/($B$19*$B$19*($DN219&lt;&gt;$DO219) + $B$19*($DN219=$DO219))</f>
        <v>3.7037037037037035E-4</v>
      </c>
      <c r="DV219" s="10" cm="1">
        <f t="array" aca="1" ref="DV219" ca="1">(1-$B$18)*SUMPRODUCT(OFFSET($BO$15,0,0,$B$14,1), 1*(_xlfn._xlws.FILTER(OFFSET($O$15,0,$DN219,$B$8,1),OFFSET($M$15,0,0,$B$8,1))=DV$13), 1*(_xlfn._xlws.FILTER(OFFSET($O$15,0,$DO219,$B$8,1),OFFSET($M$15,0,0,$B$8,1))=DV$14))   /   SUM(OFFSET($BO$15,0,0,$B$14,1)) + $B$18/($B$19*$B$19*($DN219&lt;&gt;$DO219) + $B$19*($DN219=$DO219))</f>
        <v>3.7037037037037035E-4</v>
      </c>
      <c r="DW219" s="10" cm="1">
        <f t="array" aca="1" ref="DW219" ca="1">(1-$B$18)*SUMPRODUCT(OFFSET($BO$15,0,0,$B$14,1), 1*(_xlfn._xlws.FILTER(OFFSET($O$15,0,$DN219,$B$8,1),OFFSET($M$15,0,0,$B$8,1))=DW$13), 1*(_xlfn._xlws.FILTER(OFFSET($O$15,0,$DO219,$B$8,1),OFFSET($M$15,0,0,$B$8,1))=DW$14))   /   SUM(OFFSET($BO$15,0,0,$B$14,1)) + $B$18/($B$19*$B$19*($DN219&lt;&gt;$DO219) + $B$19*($DN219=$DO219))</f>
        <v>3.7037037037037035E-4</v>
      </c>
      <c r="DX219" s="10" cm="1">
        <f t="array" aca="1" ref="DX219" ca="1">(1-$B$18)*SUMPRODUCT(OFFSET($BO$15,0,0,$B$14,1), 1*(_xlfn._xlws.FILTER(OFFSET($O$15,0,$DN219,$B$8,1),OFFSET($M$15,0,0,$B$8,1))=DX$13), 1*(_xlfn._xlws.FILTER(OFFSET($O$15,0,$DO219,$B$8,1),OFFSET($M$15,0,0,$B$8,1))=DX$14))   /   SUM(OFFSET($BO$15,0,0,$B$14,1)) + $B$18/($B$19*$B$19*($DN219&lt;&gt;$DO219) + $B$19*($DN219=$DO219))</f>
        <v>3.7037037037037035E-4</v>
      </c>
      <c r="DY219" s="10" cm="1">
        <f t="array" aca="1" ref="DY219" ca="1">(1-$B$18)*SUMPRODUCT(OFFSET($BO$15,0,0,$B$14,1), 1*(_xlfn._xlws.FILTER(OFFSET($O$15,0,$DN219,$B$8,1),OFFSET($M$15,0,0,$B$8,1))=DY$13), 1*(_xlfn._xlws.FILTER(OFFSET($O$15,0,$DO219,$B$8,1),OFFSET($M$15,0,0,$B$8,1))=DY$14))   /   SUM(OFFSET($BO$15,0,0,$B$14,1)) + $B$18/($B$19*$B$19*($DN219&lt;&gt;$DO219) + $B$19*($DN219=$DO219))</f>
        <v>3.7037037037037035E-4</v>
      </c>
      <c r="DZ219" s="10" cm="1">
        <f t="array" aca="1" ref="DZ219" ca="1">(1-$B$18)*SUMPRODUCT(OFFSET($BO$15,0,0,$B$14,1), 1*(_xlfn._xlws.FILTER(OFFSET($O$15,0,$DN219,$B$8,1),OFFSET($M$15,0,0,$B$8,1))=DZ$13), 1*(_xlfn._xlws.FILTER(OFFSET($O$15,0,$DO219,$B$8,1),OFFSET($M$15,0,0,$B$8,1))=DZ$14))   /   SUM(OFFSET($BO$15,0,0,$B$14,1)) + $B$18/($B$19*$B$19*($DN219&lt;&gt;$DO219) + $B$19*($DN219=$DO219))</f>
        <v>3.7037037037037035E-4</v>
      </c>
      <c r="EA219" s="10" cm="1">
        <f t="array" aca="1" ref="EA219" ca="1">(1-$B$18)*SUMPRODUCT(OFFSET($BO$15,0,0,$B$14,1), 1*(_xlfn._xlws.FILTER(OFFSET($O$15,0,$DN219,$B$8,1),OFFSET($M$15,0,0,$B$8,1))=EA$13), 1*(_xlfn._xlws.FILTER(OFFSET($O$15,0,$DO219,$B$8,1),OFFSET($M$15,0,0,$B$8,1))=EA$14))   /   SUM(OFFSET($BO$15,0,0,$B$14,1)) + $B$18/($B$19*$B$19*($DN219&lt;&gt;$DO219) + $B$19*($DN219=$DO219))</f>
        <v>3.7037037037037035E-4</v>
      </c>
      <c r="EB219" s="10" cm="1">
        <f t="array" aca="1" ref="EB219" ca="1">(1-$B$18)*SUMPRODUCT(OFFSET($BO$15,0,0,$B$14,1), 1*(_xlfn._xlws.FILTER(OFFSET($O$15,0,$DN219,$B$8,1),OFFSET($M$15,0,0,$B$8,1))=EB$13), 1*(_xlfn._xlws.FILTER(OFFSET($O$15,0,$DO219,$B$8,1),OFFSET($M$15,0,0,$B$8,1))=EB$14))   /   SUM(OFFSET($BO$15,0,0,$B$14,1)) + $B$18/($B$19*$B$19*($DN219&lt;&gt;$DO219) + $B$19*($DN219=$DO219))</f>
        <v>3.7037037037037035E-4</v>
      </c>
      <c r="EC219" s="10" cm="1">
        <f t="array" aca="1" ref="EC219" ca="1">(1-$B$18)*SUMPRODUCT(OFFSET($BO$15,0,0,$B$14,1), 1*(_xlfn._xlws.FILTER(OFFSET($O$15,0,$DN219,$B$8,1),OFFSET($M$15,0,0,$B$8,1))=EC$13), 1*(_xlfn._xlws.FILTER(OFFSET($O$15,0,$DO219,$B$8,1),OFFSET($M$15,0,0,$B$8,1))=EC$14))   /   SUM(OFFSET($BO$15,0,0,$B$14,1)) + $B$18/($B$19*$B$19*($DN219&lt;&gt;$DO219) + $B$19*($DN219=$DO219))</f>
        <v>3.7037037037037035E-4</v>
      </c>
      <c r="ED219" s="10" cm="1">
        <f t="array" aca="1" ref="ED219" ca="1">(1-$B$18)*SUMPRODUCT(OFFSET($BO$15,0,0,$B$14,1), 1*(_xlfn._xlws.FILTER(OFFSET($O$15,0,$DN219,$B$8,1),OFFSET($M$15,0,0,$B$8,1))=ED$13), 1*(_xlfn._xlws.FILTER(OFFSET($O$15,0,$DO219,$B$8,1),OFFSET($M$15,0,0,$B$8,1))=ED$14))   /   SUM(OFFSET($BO$15,0,0,$B$14,1)) + $B$18/($B$19*$B$19*($DN219&lt;&gt;$DO219) + $B$19*($DN219=$DO219))</f>
        <v>3.7037037037037035E-4</v>
      </c>
      <c r="EE219" s="10" cm="1">
        <f t="array" aca="1" ref="EE219" ca="1">(1-$B$18)*SUMPRODUCT(OFFSET($BO$15,0,0,$B$14,1), 1*(_xlfn._xlws.FILTER(OFFSET($O$15,0,$DN219,$B$8,1),OFFSET($M$15,0,0,$B$8,1))=EE$13), 1*(_xlfn._xlws.FILTER(OFFSET($O$15,0,$DO219,$B$8,1),OFFSET($M$15,0,0,$B$8,1))=EE$14))   /   SUM(OFFSET($BO$15,0,0,$B$14,1)) + $B$18/($B$19*$B$19*($DN219&lt;&gt;$DO219) + $B$19*($DN219=$DO219))</f>
        <v>3.7037037037037035E-4</v>
      </c>
      <c r="EF219" s="10" cm="1">
        <f t="array" aca="1" ref="EF219" ca="1">(1-$B$18)*SUMPRODUCT(OFFSET($BO$15,0,0,$B$14,1), 1*(_xlfn._xlws.FILTER(OFFSET($O$15,0,$DN219,$B$8,1),OFFSET($M$15,0,0,$B$8,1))=EF$13), 1*(_xlfn._xlws.FILTER(OFFSET($O$15,0,$DO219,$B$8,1),OFFSET($M$15,0,0,$B$8,1))=EF$14))   /   SUM(OFFSET($BO$15,0,0,$B$14,1)) + $B$18/($B$19*$B$19*($DN219&lt;&gt;$DO219) + $B$19*($DN219=$DO219))</f>
        <v>3.7037037037037035E-4</v>
      </c>
      <c r="EG219" s="10" cm="1">
        <f t="array" aca="1" ref="EG219" ca="1">(1-$B$18)*SUMPRODUCT(OFFSET($BO$15,0,0,$B$14,1), 1*(_xlfn._xlws.FILTER(OFFSET($O$15,0,$DN219,$B$8,1),OFFSET($M$15,0,0,$B$8,1))=EG$13), 1*(_xlfn._xlws.FILTER(OFFSET($O$15,0,$DO219,$B$8,1),OFFSET($M$15,0,0,$B$8,1))=EG$14))   /   SUM(OFFSET($BO$15,0,0,$B$14,1)) + $B$18/($B$19*$B$19*($DN219&lt;&gt;$DO219) + $B$19*($DN219=$DO219))</f>
        <v>3.7037037037037035E-4</v>
      </c>
      <c r="EH219" s="10" cm="1">
        <f t="array" aca="1" ref="EH219" ca="1">(1-$B$18)*SUMPRODUCT(OFFSET($BO$15,0,0,$B$14,1), 1*(_xlfn._xlws.FILTER(OFFSET($O$15,0,$DN219,$B$8,1),OFFSET($M$15,0,0,$B$8,1))=EH$13), 1*(_xlfn._xlws.FILTER(OFFSET($O$15,0,$DO219,$B$8,1),OFFSET($M$15,0,0,$B$8,1))=EH$14))   /   SUM(OFFSET($BO$15,0,0,$B$14,1)) + $B$18/($B$19*$B$19*($DN219&lt;&gt;$DO219) + $B$19*($DN219=$DO219))</f>
        <v>0.24287037037037026</v>
      </c>
      <c r="EI219" s="10" cm="1">
        <f t="array" aca="1" ref="EI219" ca="1">(1-$B$18)*SUMPRODUCT(OFFSET($BO$15,0,0,$B$14,1), 1*(_xlfn._xlws.FILTER(OFFSET($O$15,0,$DN219,$B$8,1),OFFSET($M$15,0,0,$B$8,1))=EI$13), 1*(_xlfn._xlws.FILTER(OFFSET($O$15,0,$DO219,$B$8,1),OFFSET($M$15,0,0,$B$8,1))=EI$14))   /   SUM(OFFSET($BO$15,0,0,$B$14,1)) + $B$18/($B$19*$B$19*($DN219&lt;&gt;$DO219) + $B$19*($DN219=$DO219))</f>
        <v>3.7037037037037035E-4</v>
      </c>
      <c r="EJ219" s="10" cm="1">
        <f t="array" aca="1" ref="EJ219" ca="1">(1-$B$18)*SUMPRODUCT(OFFSET($BO$15,0,0,$B$14,1), 1*(_xlfn._xlws.FILTER(OFFSET($O$15,0,$DN219,$B$8,1),OFFSET($M$15,0,0,$B$8,1))=EJ$13), 1*(_xlfn._xlws.FILTER(OFFSET($O$15,0,$DO219,$B$8,1),OFFSET($M$15,0,0,$B$8,1))=EJ$14))   /   SUM(OFFSET($BO$15,0,0,$B$14,1)) + $B$18/($B$19*$B$19*($DN219&lt;&gt;$DO219) + $B$19*($DN219=$DO219))</f>
        <v>3.7037037037037035E-4</v>
      </c>
      <c r="EK219" s="10" cm="1">
        <f t="array" aca="1" ref="EK219" ca="1">(1-$B$18)*SUMPRODUCT(OFFSET($BO$15,0,0,$B$14,1), 1*(_xlfn._xlws.FILTER(OFFSET($O$15,0,$DN219,$B$8,1),OFFSET($M$15,0,0,$B$8,1))=EK$13), 1*(_xlfn._xlws.FILTER(OFFSET($O$15,0,$DO219,$B$8,1),OFFSET($M$15,0,0,$B$8,1))=EK$14))   /   SUM(OFFSET($BO$15,0,0,$B$14,1)) + $B$18/($B$19*$B$19*($DN219&lt;&gt;$DO219) + $B$19*($DN219=$DO219))</f>
        <v>3.7037037037037035E-4</v>
      </c>
      <c r="EL219" s="10" cm="1">
        <f t="array" aca="1" ref="EL219" ca="1">(1-$B$18)*SUMPRODUCT(OFFSET($BO$15,0,0,$B$14,1), 1*(_xlfn._xlws.FILTER(OFFSET($O$15,0,$DN219,$B$8,1),OFFSET($M$15,0,0,$B$8,1))=EL$13), 1*(_xlfn._xlws.FILTER(OFFSET($O$15,0,$DO219,$B$8,1),OFFSET($M$15,0,0,$B$8,1))=EL$14))   /   SUM(OFFSET($BO$15,0,0,$B$14,1)) + $B$18/($B$19*$B$19*($DN219&lt;&gt;$DO219) + $B$19*($DN219=$DO219))</f>
        <v>3.7037037037037035E-4</v>
      </c>
      <c r="EM219" s="10" cm="1">
        <f t="array" aca="1" ref="EM219" ca="1">(1-$B$18)*SUMPRODUCT(OFFSET($BO$15,0,0,$B$14,1), 1*(_xlfn._xlws.FILTER(OFFSET($O$15,0,$DN219,$B$8,1),OFFSET($M$15,0,0,$B$8,1))=EM$13), 1*(_xlfn._xlws.FILTER(OFFSET($O$15,0,$DO219,$B$8,1),OFFSET($M$15,0,0,$B$8,1))=EM$14))   /   SUM(OFFSET($BO$15,0,0,$B$14,1)) + $B$18/($B$19*$B$19*($DN219&lt;&gt;$DO219) + $B$19*($DN219=$DO219))</f>
        <v>3.7037037037037035E-4</v>
      </c>
      <c r="EN219" s="10" cm="1">
        <f t="array" aca="1" ref="EN219" ca="1">(1-$B$18)*SUMPRODUCT(OFFSET($BO$15,0,0,$B$14,1), 1*(_xlfn._xlws.FILTER(OFFSET($O$15,0,$DN219,$B$8,1),OFFSET($M$15,0,0,$B$8,1))=EN$13), 1*(_xlfn._xlws.FILTER(OFFSET($O$15,0,$DO219,$B$8,1),OFFSET($M$15,0,0,$B$8,1))=EN$14))   /   SUM(OFFSET($BO$15,0,0,$B$14,1)) + $B$18/($B$19*$B$19*($DN219&lt;&gt;$DO219) + $B$19*($DN219=$DO219))</f>
        <v>3.7037037037037035E-4</v>
      </c>
      <c r="EO219" s="10" cm="1">
        <f t="array" aca="1" ref="EO219" ca="1">(1-$B$18)*SUMPRODUCT(OFFSET($BO$15,0,0,$B$14,1), 1*(_xlfn._xlws.FILTER(OFFSET($O$15,0,$DN219,$B$8,1),OFFSET($M$15,0,0,$B$8,1))=EO$13), 1*(_xlfn._xlws.FILTER(OFFSET($O$15,0,$DO219,$B$8,1),OFFSET($M$15,0,0,$B$8,1))=EO$14))   /   SUM(OFFSET($BO$15,0,0,$B$14,1)) + $B$18/($B$19*$B$19*($DN219&lt;&gt;$DO219) + $B$19*($DN219=$DO219))</f>
        <v>3.7037037037037035E-4</v>
      </c>
      <c r="EP219" s="10" cm="1">
        <f t="array" aca="1" ref="EP219" ca="1">(1-$B$18)*SUMPRODUCT(OFFSET($BO$15,0,0,$B$14,1), 1*(_xlfn._xlws.FILTER(OFFSET($O$15,0,$DN219,$B$8,1),OFFSET($M$15,0,0,$B$8,1))=EP$13), 1*(_xlfn._xlws.FILTER(OFFSET($O$15,0,$DO219,$B$8,1),OFFSET($M$15,0,0,$B$8,1))=EP$14))   /   SUM(OFFSET($BO$15,0,0,$B$14,1)) + $B$18/($B$19*$B$19*($DN219&lt;&gt;$DO219) + $B$19*($DN219=$DO219))</f>
        <v>0.24287037037037026</v>
      </c>
      <c r="EQ219" s="10" cm="1">
        <f t="array" aca="1" ref="EQ219" ca="1">(1-$B$18)*SUMPRODUCT(OFFSET($BO$15,0,0,$B$14,1), 1*(_xlfn._xlws.FILTER(OFFSET($O$15,0,$DN219,$B$8,1),OFFSET($M$15,0,0,$B$8,1))=EQ$13), 1*(_xlfn._xlws.FILTER(OFFSET($O$15,0,$DO219,$B$8,1),OFFSET($M$15,0,0,$B$8,1))=EQ$14))   /   SUM(OFFSET($BO$15,0,0,$B$14,1)) + $B$18/($B$19*$B$19*($DN219&lt;&gt;$DO219) + $B$19*($DN219=$DO219))</f>
        <v>3.7037037037037035E-4</v>
      </c>
      <c r="ER219" s="10" cm="1">
        <f t="array" aca="1" ref="ER219" ca="1">(1-$B$18)*SUMPRODUCT(OFFSET($BO$15,0,0,$B$14,1), 1*(_xlfn._xlws.FILTER(OFFSET($O$15,0,$DN219,$B$8,1),OFFSET($M$15,0,0,$B$8,1))=ER$13), 1*(_xlfn._xlws.FILTER(OFFSET($O$15,0,$DO219,$B$8,1),OFFSET($M$15,0,0,$B$8,1))=ER$14))   /   SUM(OFFSET($BO$15,0,0,$B$14,1)) + $B$18/($B$19*$B$19*($DN219&lt;&gt;$DO219) + $B$19*($DN219=$DO219))</f>
        <v>3.7037037037037035E-4</v>
      </c>
      <c r="ES219" s="10" cm="1">
        <f t="array" aca="1" ref="ES219" ca="1">(1-$B$18)*SUMPRODUCT(OFFSET($BO$15,0,0,$B$14,1), 1*(_xlfn._xlws.FILTER(OFFSET($O$15,0,$DN219,$B$8,1),OFFSET($M$15,0,0,$B$8,1))=ES$13), 1*(_xlfn._xlws.FILTER(OFFSET($O$15,0,$DO219,$B$8,1),OFFSET($M$15,0,0,$B$8,1))=ES$14))   /   SUM(OFFSET($BO$15,0,0,$B$14,1)) + $B$18/($B$19*$B$19*($DN219&lt;&gt;$DO219) + $B$19*($DN219=$DO219))</f>
        <v>3.7037037037037035E-4</v>
      </c>
      <c r="ET219" s="10" cm="1">
        <f t="array" aca="1" ref="ET219" ca="1">(1-$B$18)*SUMPRODUCT(OFFSET($BO$15,0,0,$B$14,1), 1*(_xlfn._xlws.FILTER(OFFSET($O$15,0,$DN219,$B$8,1),OFFSET($M$15,0,0,$B$8,1))=ET$13), 1*(_xlfn._xlws.FILTER(OFFSET($O$15,0,$DO219,$B$8,1),OFFSET($M$15,0,0,$B$8,1))=ET$14))   /   SUM(OFFSET($BO$15,0,0,$B$14,1)) + $B$18/($B$19*$B$19*($DN219&lt;&gt;$DO219) + $B$19*($DN219=$DO219))</f>
        <v>3.7037037037037035E-4</v>
      </c>
      <c r="EU219" s="10" cm="1">
        <f t="array" aca="1" ref="EU219" ca="1">(1-$B$18)*SUMPRODUCT(OFFSET($BO$15,0,0,$B$14,1), 1*(_xlfn._xlws.FILTER(OFFSET($O$15,0,$DN219,$B$8,1),OFFSET($M$15,0,0,$B$8,1))=EU$13), 1*(_xlfn._xlws.FILTER(OFFSET($O$15,0,$DO219,$B$8,1),OFFSET($M$15,0,0,$B$8,1))=EU$14))   /   SUM(OFFSET($BO$15,0,0,$B$14,1)) + $B$18/($B$19*$B$19*($DN219&lt;&gt;$DO219) + $B$19*($DN219=$DO219))</f>
        <v>3.7037037037037035E-4</v>
      </c>
      <c r="EV219" s="10" cm="1">
        <f t="array" aca="1" ref="EV219" ca="1">(1-$B$18)*SUMPRODUCT(OFFSET($BO$15,0,0,$B$14,1), 1*(_xlfn._xlws.FILTER(OFFSET($O$15,0,$DN219,$B$8,1),OFFSET($M$15,0,0,$B$8,1))=EV$13), 1*(_xlfn._xlws.FILTER(OFFSET($O$15,0,$DO219,$B$8,1),OFFSET($M$15,0,0,$B$8,1))=EV$14))   /   SUM(OFFSET($BO$15,0,0,$B$14,1)) + $B$18/($B$19*$B$19*($DN219&lt;&gt;$DO219) + $B$19*($DN219=$DO219))</f>
        <v>3.7037037037037035E-4</v>
      </c>
      <c r="EW219" s="10" cm="1">
        <f t="array" aca="1" ref="EW219" ca="1">(1-$B$18)*SUMPRODUCT(OFFSET($BO$15,0,0,$B$14,1), 1*(_xlfn._xlws.FILTER(OFFSET($O$15,0,$DN219,$B$8,1),OFFSET($M$15,0,0,$B$8,1))=EW$13), 1*(_xlfn._xlws.FILTER(OFFSET($O$15,0,$DO219,$B$8,1),OFFSET($M$15,0,0,$B$8,1))=EW$14))   /   SUM(OFFSET($BO$15,0,0,$B$14,1)) + $B$18/($B$19*$B$19*($DN219&lt;&gt;$DO219) + $B$19*($DN219=$DO219))</f>
        <v>3.7037037037037035E-4</v>
      </c>
      <c r="EX219" s="10" cm="1">
        <f t="array" aca="1" ref="EX219" ca="1">(1-$B$18)*SUMPRODUCT(OFFSET($BO$15,0,0,$B$14,1), 1*(_xlfn._xlws.FILTER(OFFSET($O$15,0,$DN219,$B$8,1),OFFSET($M$15,0,0,$B$8,1))=EX$13), 1*(_xlfn._xlws.FILTER(OFFSET($O$15,0,$DO219,$B$8,1),OFFSET($M$15,0,0,$B$8,1))=EX$14))   /   SUM(OFFSET($BO$15,0,0,$B$14,1)) + $B$18/($B$19*$B$19*($DN219&lt;&gt;$DO219) + $B$19*($DN219=$DO219))</f>
        <v>3.7037037037037035E-4</v>
      </c>
      <c r="EY219" s="10" cm="1">
        <f t="array" aca="1" ref="EY219" ca="1">(1-$B$18)*SUMPRODUCT(OFFSET($BO$15,0,0,$B$14,1), 1*(_xlfn._xlws.FILTER(OFFSET($O$15,0,$DN219,$B$8,1),OFFSET($M$15,0,0,$B$8,1))=EY$13), 1*(_xlfn._xlws.FILTER(OFFSET($O$15,0,$DO219,$B$8,1),OFFSET($M$15,0,0,$B$8,1))=EY$14))   /   SUM(OFFSET($BO$15,0,0,$B$14,1)) + $B$18/($B$19*$B$19*($DN219&lt;&gt;$DO219) + $B$19*($DN219=$DO219))</f>
        <v>3.7037037037037035E-4</v>
      </c>
      <c r="EZ219" s="10" cm="1">
        <f t="array" aca="1" ref="EZ219" ca="1">(1-$B$18)*SUMPRODUCT(OFFSET($BO$15,0,0,$B$14,1), 1*(_xlfn._xlws.FILTER(OFFSET($O$15,0,$DN219,$B$8,1),OFFSET($M$15,0,0,$B$8,1))=EZ$13), 1*(_xlfn._xlws.FILTER(OFFSET($O$15,0,$DO219,$B$8,1),OFFSET($M$15,0,0,$B$8,1))=EZ$14))   /   SUM(OFFSET($BO$15,0,0,$B$14,1)) + $B$18/($B$19*$B$19*($DN219&lt;&gt;$DO219) + $B$19*($DN219=$DO219))</f>
        <v>3.7037037037037035E-4</v>
      </c>
      <c r="FA219" s="10" cm="1">
        <f t="array" aca="1" ref="FA219" ca="1">(1-$B$18)*SUMPRODUCT(OFFSET($BO$15,0,0,$B$14,1), 1*(_xlfn._xlws.FILTER(OFFSET($O$15,0,$DN219,$B$8,1),OFFSET($M$15,0,0,$B$8,1))=FA$13), 1*(_xlfn._xlws.FILTER(OFFSET($O$15,0,$DO219,$B$8,1),OFFSET($M$15,0,0,$B$8,1))=FA$14))   /   SUM(OFFSET($BO$15,0,0,$B$14,1)) + $B$18/($B$19*$B$19*($DN219&lt;&gt;$DO219) + $B$19*($DN219=$DO219))</f>
        <v>3.7037037037037035E-4</v>
      </c>
      <c r="FB219" s="10" cm="1">
        <f t="array" aca="1" ref="FB219" ca="1">(1-$B$18)*SUMPRODUCT(OFFSET($BO$15,0,0,$B$14,1), 1*(_xlfn._xlws.FILTER(OFFSET($O$15,0,$DN219,$B$8,1),OFFSET($M$15,0,0,$B$8,1))=FB$13), 1*(_xlfn._xlws.FILTER(OFFSET($O$15,0,$DO219,$B$8,1),OFFSET($M$15,0,0,$B$8,1))=FB$14))   /   SUM(OFFSET($BO$15,0,0,$B$14,1)) + $B$18/($B$19*$B$19*($DN219&lt;&gt;$DO219) + $B$19*($DN219=$DO219))</f>
        <v>3.7037037037037035E-4</v>
      </c>
      <c r="FC219" s="10" cm="1">
        <f t="array" aca="1" ref="FC219" ca="1">(1-$B$18)*SUMPRODUCT(OFFSET($BO$15,0,0,$B$14,1), 1*(_xlfn._xlws.FILTER(OFFSET($O$15,0,$DN219,$B$8,1),OFFSET($M$15,0,0,$B$8,1))=FC$13), 1*(_xlfn._xlws.FILTER(OFFSET($O$15,0,$DO219,$B$8,1),OFFSET($M$15,0,0,$B$8,1))=FC$14))   /   SUM(OFFSET($BO$15,0,0,$B$14,1)) + $B$18/($B$19*$B$19*($DN219&lt;&gt;$DO219) + $B$19*($DN219=$DO219))</f>
        <v>3.7037037037037035E-4</v>
      </c>
      <c r="FD219" s="10" cm="1">
        <f t="array" aca="1" ref="FD219" ca="1">(1-$B$18)*SUMPRODUCT(OFFSET($BO$15,0,0,$B$14,1), 1*(_xlfn._xlws.FILTER(OFFSET($O$15,0,$DN219,$B$8,1),OFFSET($M$15,0,0,$B$8,1))=FD$13), 1*(_xlfn._xlws.FILTER(OFFSET($O$15,0,$DO219,$B$8,1),OFFSET($M$15,0,0,$B$8,1))=FD$14))   /   SUM(OFFSET($BO$15,0,0,$B$14,1)) + $B$18/($B$19*$B$19*($DN219&lt;&gt;$DO219) + $B$19*($DN219=$DO219))</f>
        <v>3.7037037037037035E-4</v>
      </c>
      <c r="FE219" s="10" cm="1">
        <f t="array" aca="1" ref="FE219" ca="1">(1-$B$18)*SUMPRODUCT(OFFSET($BO$15,0,0,$B$14,1), 1*(_xlfn._xlws.FILTER(OFFSET($O$15,0,$DN219,$B$8,1),OFFSET($M$15,0,0,$B$8,1))=FE$13), 1*(_xlfn._xlws.FILTER(OFFSET($O$15,0,$DO219,$B$8,1),OFFSET($M$15,0,0,$B$8,1))=FE$14))   /   SUM(OFFSET($BO$15,0,0,$B$14,1)) + $B$18/($B$19*$B$19*($DN219&lt;&gt;$DO219) + $B$19*($DN219=$DO219))</f>
        <v>3.7037037037037035E-4</v>
      </c>
      <c r="FF219" s="10" cm="1">
        <f t="array" aca="1" ref="FF219" ca="1">(1-$B$18)*SUMPRODUCT(OFFSET($BO$15,0,0,$B$14,1), 1*(_xlfn._xlws.FILTER(OFFSET($O$15,0,$DN219,$B$8,1),OFFSET($M$15,0,0,$B$8,1))=FF$13), 1*(_xlfn._xlws.FILTER(OFFSET($O$15,0,$DO219,$B$8,1),OFFSET($M$15,0,0,$B$8,1))=FF$14))   /   SUM(OFFSET($BO$15,0,0,$B$14,1)) + $B$18/($B$19*$B$19*($DN219&lt;&gt;$DO219) + $B$19*($DN219=$DO219))</f>
        <v>3.7037037037037035E-4</v>
      </c>
      <c r="FG219" s="10" cm="1">
        <f t="array" aca="1" ref="FG219" ca="1">(1-$B$18)*SUMPRODUCT(OFFSET($BO$15,0,0,$B$14,1), 1*(_xlfn._xlws.FILTER(OFFSET($O$15,0,$DN219,$B$8,1),OFFSET($M$15,0,0,$B$8,1))=FG$13), 1*(_xlfn._xlws.FILTER(OFFSET($O$15,0,$DO219,$B$8,1),OFFSET($M$15,0,0,$B$8,1))=FG$14))   /   SUM(OFFSET($BO$15,0,0,$B$14,1)) + $B$18/($B$19*$B$19*($DN219&lt;&gt;$DO219) + $B$19*($DN219=$DO219))</f>
        <v>3.7037037037037035E-4</v>
      </c>
      <c r="FH219" s="10" cm="1">
        <f t="array" aca="1" ref="FH219" ca="1">(1-$B$18)*SUMPRODUCT(OFFSET($BO$15,0,0,$B$14,1), 1*(_xlfn._xlws.FILTER(OFFSET($O$15,0,$DN219,$B$8,1),OFFSET($M$15,0,0,$B$8,1))=FH$13), 1*(_xlfn._xlws.FILTER(OFFSET($O$15,0,$DO219,$B$8,1),OFFSET($M$15,0,0,$B$8,1))=FH$14))   /   SUM(OFFSET($BO$15,0,0,$B$14,1)) + $B$18/($B$19*$B$19*($DN219&lt;&gt;$DO219) + $B$19*($DN219=$DO219))</f>
        <v>3.7037037037037035E-4</v>
      </c>
      <c r="FI219" s="10" cm="1">
        <f t="array" aca="1" ref="FI219" ca="1">(1-$B$18)*SUMPRODUCT(OFFSET($BO$15,0,0,$B$14,1), 1*(_xlfn._xlws.FILTER(OFFSET($O$15,0,$DN219,$B$8,1),OFFSET($M$15,0,0,$B$8,1))=FI$13), 1*(_xlfn._xlws.FILTER(OFFSET($O$15,0,$DO219,$B$8,1),OFFSET($M$15,0,0,$B$8,1))=FI$14))   /   SUM(OFFSET($BO$15,0,0,$B$14,1)) + $B$18/($B$19*$B$19*($DN219&lt;&gt;$DO219) + $B$19*($DN219=$DO219))</f>
        <v>3.7037037037037035E-4</v>
      </c>
      <c r="FJ219" s="10" cm="1">
        <f t="array" aca="1" ref="FJ219" ca="1">(1-$B$18)*SUMPRODUCT(OFFSET($BO$15,0,0,$B$14,1), 1*(_xlfn._xlws.FILTER(OFFSET($O$15,0,$DN219,$B$8,1),OFFSET($M$15,0,0,$B$8,1))=FJ$13), 1*(_xlfn._xlws.FILTER(OFFSET($O$15,0,$DO219,$B$8,1),OFFSET($M$15,0,0,$B$8,1))=FJ$14))   /   SUM(OFFSET($BO$15,0,0,$B$14,1)) + $B$18/($B$19*$B$19*($DN219&lt;&gt;$DO219) + $B$19*($DN219=$DO219))</f>
        <v>3.7037037037037035E-4</v>
      </c>
      <c r="FK219" s="10" cm="1">
        <f t="array" aca="1" ref="FK219" ca="1">(1-$B$18)*SUMPRODUCT(OFFSET($BO$15,0,0,$B$14,1), 1*(_xlfn._xlws.FILTER(OFFSET($O$15,0,$DN219,$B$8,1),OFFSET($M$15,0,0,$B$8,1))=FK$13), 1*(_xlfn._xlws.FILTER(OFFSET($O$15,0,$DO219,$B$8,1),OFFSET($M$15,0,0,$B$8,1))=FK$14))   /   SUM(OFFSET($BO$15,0,0,$B$14,1)) + $B$18/($B$19*$B$19*($DN219&lt;&gt;$DO219) + $B$19*($DN219=$DO219))</f>
        <v>3.7037037037037035E-4</v>
      </c>
      <c r="FL219" s="10" cm="1">
        <f t="array" aca="1" ref="FL219" ca="1">(1-$B$18)*SUMPRODUCT(OFFSET($BO$15,0,0,$B$14,1), 1*(_xlfn._xlws.FILTER(OFFSET($O$15,0,$DN219,$B$8,1),OFFSET($M$15,0,0,$B$8,1))=FL$13), 1*(_xlfn._xlws.FILTER(OFFSET($O$15,0,$DO219,$B$8,1),OFFSET($M$15,0,0,$B$8,1))=FL$14))   /   SUM(OFFSET($BO$15,0,0,$B$14,1)) + $B$18/($B$19*$B$19*($DN219&lt;&gt;$DO219) + $B$19*($DN219=$DO219))</f>
        <v>3.7037037037037035E-4</v>
      </c>
      <c r="FM219" s="10" cm="1">
        <f t="array" aca="1" ref="FM219" ca="1">(1-$B$18)*SUMPRODUCT(OFFSET($BO$15,0,0,$B$14,1), 1*(_xlfn._xlws.FILTER(OFFSET($O$15,0,$DN219,$B$8,1),OFFSET($M$15,0,0,$B$8,1))=FM$13), 1*(_xlfn._xlws.FILTER(OFFSET($O$15,0,$DO219,$B$8,1),OFFSET($M$15,0,0,$B$8,1))=FM$14))   /   SUM(OFFSET($BO$15,0,0,$B$14,1)) + $B$18/($B$19*$B$19*($DN219&lt;&gt;$DO219) + $B$19*($DN219=$DO219))</f>
        <v>3.7037037037037035E-4</v>
      </c>
      <c r="FN219" s="10" cm="1">
        <f t="array" aca="1" ref="FN219" ca="1">(1-$B$18)*SUMPRODUCT(OFFSET($BO$15,0,0,$B$14,1), 1*(_xlfn._xlws.FILTER(OFFSET($O$15,0,$DN219,$B$8,1),OFFSET($M$15,0,0,$B$8,1))=FN$13), 1*(_xlfn._xlws.FILTER(OFFSET($O$15,0,$DO219,$B$8,1),OFFSET($M$15,0,0,$B$8,1))=FN$14))   /   SUM(OFFSET($BO$15,0,0,$B$14,1)) + $B$18/($B$19*$B$19*($DN219&lt;&gt;$DO219) + $B$19*($DN219=$DO219))</f>
        <v>3.7037037037037035E-4</v>
      </c>
      <c r="FO219" s="10" cm="1">
        <f t="array" aca="1" ref="FO219" ca="1">(1-$B$18)*SUMPRODUCT(OFFSET($BO$15,0,0,$B$14,1), 1*(_xlfn._xlws.FILTER(OFFSET($O$15,0,$DN219,$B$8,1),OFFSET($M$15,0,0,$B$8,1))=FO$13), 1*(_xlfn._xlws.FILTER(OFFSET($O$15,0,$DO219,$B$8,1),OFFSET($M$15,0,0,$B$8,1))=FO$14))   /   SUM(OFFSET($BO$15,0,0,$B$14,1)) + $B$18/($B$19*$B$19*($DN219&lt;&gt;$DO219) + $B$19*($DN219=$DO219))</f>
        <v>3.7037037037037035E-4</v>
      </c>
      <c r="FP219" s="10" cm="1">
        <f t="array" aca="1" ref="FP219" ca="1">(1-$B$18)*SUMPRODUCT(OFFSET($BO$15,0,0,$B$14,1), 1*(_xlfn._xlws.FILTER(OFFSET($O$15,0,$DN219,$B$8,1),OFFSET($M$15,0,0,$B$8,1))=FP$13), 1*(_xlfn._xlws.FILTER(OFFSET($O$15,0,$DO219,$B$8,1),OFFSET($M$15,0,0,$B$8,1))=FP$14))   /   SUM(OFFSET($BO$15,0,0,$B$14,1)) + $B$18/($B$19*$B$19*($DN219&lt;&gt;$DO219) + $B$19*($DN219=$DO219))</f>
        <v>3.7037037037037035E-4</v>
      </c>
      <c r="FQ219" s="10" cm="1">
        <f t="array" aca="1" ref="FQ219" ca="1">(1-$B$18)*SUMPRODUCT(OFFSET($BO$15,0,0,$B$14,1), 1*(_xlfn._xlws.FILTER(OFFSET($O$15,0,$DN219,$B$8,1),OFFSET($M$15,0,0,$B$8,1))=FQ$13), 1*(_xlfn._xlws.FILTER(OFFSET($O$15,0,$DO219,$B$8,1),OFFSET($M$15,0,0,$B$8,1))=FQ$14))   /   SUM(OFFSET($BO$15,0,0,$B$14,1)) + $B$18/($B$19*$B$19*($DN219&lt;&gt;$DO219) + $B$19*($DN219=$DO219))</f>
        <v>3.7037037037037035E-4</v>
      </c>
      <c r="FR219" s="10" cm="1">
        <f t="array" aca="1" ref="FR219" ca="1">(1-$B$18)*SUMPRODUCT(OFFSET($BO$15,0,0,$B$14,1), 1*(_xlfn._xlws.FILTER(OFFSET($O$15,0,$DN219,$B$8,1),OFFSET($M$15,0,0,$B$8,1))=FR$13), 1*(_xlfn._xlws.FILTER(OFFSET($O$15,0,$DO219,$B$8,1),OFFSET($M$15,0,0,$B$8,1))=FR$14))   /   SUM(OFFSET($BO$15,0,0,$B$14,1)) + $B$18/($B$19*$B$19*($DN219&lt;&gt;$DO219) + $B$19*($DN219=$DO219))</f>
        <v>3.7037037037037035E-4</v>
      </c>
      <c r="FS219" s="10" cm="1">
        <f t="array" aca="1" ref="FS219" ca="1">(1-$B$18)*SUMPRODUCT(OFFSET($BO$15,0,0,$B$14,1), 1*(_xlfn._xlws.FILTER(OFFSET($O$15,0,$DN219,$B$8,1),OFFSET($M$15,0,0,$B$8,1))=FS$13), 1*(_xlfn._xlws.FILTER(OFFSET($O$15,0,$DO219,$B$8,1),OFFSET($M$15,0,0,$B$8,1))=FS$14))   /   SUM(OFFSET($BO$15,0,0,$B$14,1)) + $B$18/($B$19*$B$19*($DN219&lt;&gt;$DO219) + $B$19*($DN219=$DO219))</f>
        <v>3.7037037037037035E-4</v>
      </c>
      <c r="FT219" s="10" cm="1">
        <f t="array" aca="1" ref="FT219" ca="1">(1-$B$18)*SUMPRODUCT(OFFSET($BO$15,0,0,$B$14,1), 1*(_xlfn._xlws.FILTER(OFFSET($O$15,0,$DN219,$B$8,1),OFFSET($M$15,0,0,$B$8,1))=FT$13), 1*(_xlfn._xlws.FILTER(OFFSET($O$15,0,$DO219,$B$8,1),OFFSET($M$15,0,0,$B$8,1))=FT$14))   /   SUM(OFFSET($BO$15,0,0,$B$14,1)) + $B$18/($B$19*$B$19*($DN219&lt;&gt;$DO219) + $B$19*($DN219=$DO219))</f>
        <v>3.7037037037037035E-4</v>
      </c>
      <c r="FU219" s="10" cm="1">
        <f t="array" aca="1" ref="FU219" ca="1">(1-$B$18)*SUMPRODUCT(OFFSET($BO$15,0,0,$B$14,1), 1*(_xlfn._xlws.FILTER(OFFSET($O$15,0,$DN219,$B$8,1),OFFSET($M$15,0,0,$B$8,1))=FU$13), 1*(_xlfn._xlws.FILTER(OFFSET($O$15,0,$DO219,$B$8,1),OFFSET($M$15,0,0,$B$8,1))=FU$14))   /   SUM(OFFSET($BO$15,0,0,$B$14,1)) + $B$18/($B$19*$B$19*($DN219&lt;&gt;$DO219) + $B$19*($DN219=$DO219))</f>
        <v>3.7037037037037035E-4</v>
      </c>
      <c r="FV219" s="10" cm="1">
        <f t="array" aca="1" ref="FV219" ca="1">(1-$B$18)*SUMPRODUCT(OFFSET($BO$15,0,0,$B$14,1), 1*(_xlfn._xlws.FILTER(OFFSET($O$15,0,$DN219,$B$8,1),OFFSET($M$15,0,0,$B$8,1))=FV$13), 1*(_xlfn._xlws.FILTER(OFFSET($O$15,0,$DO219,$B$8,1),OFFSET($M$15,0,0,$B$8,1))=FV$14))   /   SUM(OFFSET($BO$15,0,0,$B$14,1)) + $B$18/($B$19*$B$19*($DN219&lt;&gt;$DO219) + $B$19*($DN219=$DO219))</f>
        <v>3.7037037037037035E-4</v>
      </c>
      <c r="FW219" s="10" cm="1">
        <f t="array" aca="1" ref="FW219" ca="1">(1-$B$18)*SUMPRODUCT(OFFSET($BO$15,0,0,$B$14,1), 1*(_xlfn._xlws.FILTER(OFFSET($O$15,0,$DN219,$B$8,1),OFFSET($M$15,0,0,$B$8,1))=FW$13), 1*(_xlfn._xlws.FILTER(OFFSET($O$15,0,$DO219,$B$8,1),OFFSET($M$15,0,0,$B$8,1))=FW$14))   /   SUM(OFFSET($BO$15,0,0,$B$14,1)) + $B$18/($B$19*$B$19*($DN219&lt;&gt;$DO219) + $B$19*($DN219=$DO219))</f>
        <v>3.7037037037037035E-4</v>
      </c>
      <c r="FX219" s="10" cm="1">
        <f t="array" aca="1" ref="FX219" ca="1">(1-$B$18)*SUMPRODUCT(OFFSET($BO$15,0,0,$B$14,1), 1*(_xlfn._xlws.FILTER(OFFSET($O$15,0,$DN219,$B$8,1),OFFSET($M$15,0,0,$B$8,1))=FX$13), 1*(_xlfn._xlws.FILTER(OFFSET($O$15,0,$DO219,$B$8,1),OFFSET($M$15,0,0,$B$8,1))=FX$14))   /   SUM(OFFSET($BO$15,0,0,$B$14,1)) + $B$18/($B$19*$B$19*($DN219&lt;&gt;$DO219) + $B$19*($DN219=$DO219))</f>
        <v>3.7037037037037035E-4</v>
      </c>
      <c r="FY219" s="10" cm="1">
        <f t="array" aca="1" ref="FY219" ca="1">(1-$B$18)*SUMPRODUCT(OFFSET($BO$15,0,0,$B$14,1), 1*(_xlfn._xlws.FILTER(OFFSET($O$15,0,$DN219,$B$8,1),OFFSET($M$15,0,0,$B$8,1))=FY$13), 1*(_xlfn._xlws.FILTER(OFFSET($O$15,0,$DO219,$B$8,1),OFFSET($M$15,0,0,$B$8,1))=FY$14))   /   SUM(OFFSET($BO$15,0,0,$B$14,1)) + $B$18/($B$19*$B$19*($DN219&lt;&gt;$DO219) + $B$19*($DN219=$DO219))</f>
        <v>3.7037037037037035E-4</v>
      </c>
      <c r="FZ219" s="10" cm="1">
        <f t="array" aca="1" ref="FZ219" ca="1">(1-$B$18)*SUMPRODUCT(OFFSET($BO$15,0,0,$B$14,1), 1*(_xlfn._xlws.FILTER(OFFSET($O$15,0,$DN219,$B$8,1),OFFSET($M$15,0,0,$B$8,1))=FZ$13), 1*(_xlfn._xlws.FILTER(OFFSET($O$15,0,$DO219,$B$8,1),OFFSET($M$15,0,0,$B$8,1))=FZ$14))   /   SUM(OFFSET($BO$15,0,0,$B$14,1)) + $B$18/($B$19*$B$19*($DN219&lt;&gt;$DO219) + $B$19*($DN219=$DO219))</f>
        <v>3.7037037037037035E-4</v>
      </c>
      <c r="GA219" s="10" cm="1">
        <f t="array" aca="1" ref="GA219" ca="1">(1-$B$18)*SUMPRODUCT(OFFSET($BO$15,0,0,$B$14,1), 1*(_xlfn._xlws.FILTER(OFFSET($O$15,0,$DN219,$B$8,1),OFFSET($M$15,0,0,$B$8,1))=GA$13), 1*(_xlfn._xlws.FILTER(OFFSET($O$15,0,$DO219,$B$8,1),OFFSET($M$15,0,0,$B$8,1))=GA$14))   /   SUM(OFFSET($BO$15,0,0,$B$14,1)) + $B$18/($B$19*$B$19*($DN219&lt;&gt;$DO219) + $B$19*($DN219=$DO219))</f>
        <v>3.7037037037037035E-4</v>
      </c>
    </row>
    <row r="220" spans="118:183" x14ac:dyDescent="0.2">
      <c r="DN220" cm="1">
        <f t="array" aca="1" ref="DN220" ca="1">INDEX(_xlfn.ANCHORARRAY($CP$15), 1 + INT((ROWS($DO$15:$DO220) - 1) / ROWS(_xlfn.ANCHORARRAY($CP$15))))</f>
        <v>11</v>
      </c>
      <c r="DO220" cm="1">
        <f t="array" aca="1" ref="DO220" ca="1">INDEX(_xlfn.ANCHORARRAY($CP$15),1+MOD(ROWS($DO$15:$DO220)-1,ROWS(_xlfn.ANCHORARRAY($CP$15))))</f>
        <v>18</v>
      </c>
      <c r="DP220" s="10" cm="1">
        <f t="array" aca="1" ref="DP220" ca="1">(1-$B$18)*SUMPRODUCT(OFFSET($BO$15,0,0,$B$14,1), 1*(_xlfn._xlws.FILTER(OFFSET($O$15,0,$DN220,$B$8,1),OFFSET($M$15,0,0,$B$8,1))=DP$13), 1*(_xlfn._xlws.FILTER(OFFSET($O$15,0,$DO220,$B$8,1),OFFSET($M$15,0,0,$B$8,1))=DP$14))   /   SUM(OFFSET($BO$15,0,0,$B$14,1)) + $B$18/($B$19*$B$19*($DN220&lt;&gt;$DO220) + $B$19*($DN220=$DO220))</f>
        <v>3.7037037037037035E-4</v>
      </c>
      <c r="DQ220" s="10" cm="1">
        <f t="array" aca="1" ref="DQ220" ca="1">(1-$B$18)*SUMPRODUCT(OFFSET($BO$15,0,0,$B$14,1), 1*(_xlfn._xlws.FILTER(OFFSET($O$15,0,$DN220,$B$8,1),OFFSET($M$15,0,0,$B$8,1))=DQ$13), 1*(_xlfn._xlws.FILTER(OFFSET($O$15,0,$DO220,$B$8,1),OFFSET($M$15,0,0,$B$8,1))=DQ$14))   /   SUM(OFFSET($BO$15,0,0,$B$14,1)) + $B$18/($B$19*$B$19*($DN220&lt;&gt;$DO220) + $B$19*($DN220=$DO220))</f>
        <v>3.7037037037037035E-4</v>
      </c>
      <c r="DR220" s="10" cm="1">
        <f t="array" aca="1" ref="DR220" ca="1">(1-$B$18)*SUMPRODUCT(OFFSET($BO$15,0,0,$B$14,1), 1*(_xlfn._xlws.FILTER(OFFSET($O$15,0,$DN220,$B$8,1),OFFSET($M$15,0,0,$B$8,1))=DR$13), 1*(_xlfn._xlws.FILTER(OFFSET($O$15,0,$DO220,$B$8,1),OFFSET($M$15,0,0,$B$8,1))=DR$14))   /   SUM(OFFSET($BO$15,0,0,$B$14,1)) + $B$18/($B$19*$B$19*($DN220&lt;&gt;$DO220) + $B$19*($DN220=$DO220))</f>
        <v>3.7037037037037035E-4</v>
      </c>
      <c r="DS220" s="10" cm="1">
        <f t="array" aca="1" ref="DS220" ca="1">(1-$B$18)*SUMPRODUCT(OFFSET($BO$15,0,0,$B$14,1), 1*(_xlfn._xlws.FILTER(OFFSET($O$15,0,$DN220,$B$8,1),OFFSET($M$15,0,0,$B$8,1))=DS$13), 1*(_xlfn._xlws.FILTER(OFFSET($O$15,0,$DO220,$B$8,1),OFFSET($M$15,0,0,$B$8,1))=DS$14))   /   SUM(OFFSET($BO$15,0,0,$B$14,1)) + $B$18/($B$19*$B$19*($DN220&lt;&gt;$DO220) + $B$19*($DN220=$DO220))</f>
        <v>0.48537037037037034</v>
      </c>
      <c r="DT220" s="10" cm="1">
        <f t="array" aca="1" ref="DT220" ca="1">(1-$B$18)*SUMPRODUCT(OFFSET($BO$15,0,0,$B$14,1), 1*(_xlfn._xlws.FILTER(OFFSET($O$15,0,$DN220,$B$8,1),OFFSET($M$15,0,0,$B$8,1))=DT$13), 1*(_xlfn._xlws.FILTER(OFFSET($O$15,0,$DO220,$B$8,1),OFFSET($M$15,0,0,$B$8,1))=DT$14))   /   SUM(OFFSET($BO$15,0,0,$B$14,1)) + $B$18/($B$19*$B$19*($DN220&lt;&gt;$DO220) + $B$19*($DN220=$DO220))</f>
        <v>3.7037037037037035E-4</v>
      </c>
      <c r="DU220" s="10" cm="1">
        <f t="array" aca="1" ref="DU220" ca="1">(1-$B$18)*SUMPRODUCT(OFFSET($BO$15,0,0,$B$14,1), 1*(_xlfn._xlws.FILTER(OFFSET($O$15,0,$DN220,$B$8,1),OFFSET($M$15,0,0,$B$8,1))=DU$13), 1*(_xlfn._xlws.FILTER(OFFSET($O$15,0,$DO220,$B$8,1),OFFSET($M$15,0,0,$B$8,1))=DU$14))   /   SUM(OFFSET($BO$15,0,0,$B$14,1)) + $B$18/($B$19*$B$19*($DN220&lt;&gt;$DO220) + $B$19*($DN220=$DO220))</f>
        <v>3.7037037037037035E-4</v>
      </c>
      <c r="DV220" s="10" cm="1">
        <f t="array" aca="1" ref="DV220" ca="1">(1-$B$18)*SUMPRODUCT(OFFSET($BO$15,0,0,$B$14,1), 1*(_xlfn._xlws.FILTER(OFFSET($O$15,0,$DN220,$B$8,1),OFFSET($M$15,0,0,$B$8,1))=DV$13), 1*(_xlfn._xlws.FILTER(OFFSET($O$15,0,$DO220,$B$8,1),OFFSET($M$15,0,0,$B$8,1))=DV$14))   /   SUM(OFFSET($BO$15,0,0,$B$14,1)) + $B$18/($B$19*$B$19*($DN220&lt;&gt;$DO220) + $B$19*($DN220=$DO220))</f>
        <v>3.7037037037037035E-4</v>
      </c>
      <c r="DW220" s="10" cm="1">
        <f t="array" aca="1" ref="DW220" ca="1">(1-$B$18)*SUMPRODUCT(OFFSET($BO$15,0,0,$B$14,1), 1*(_xlfn._xlws.FILTER(OFFSET($O$15,0,$DN220,$B$8,1),OFFSET($M$15,0,0,$B$8,1))=DW$13), 1*(_xlfn._xlws.FILTER(OFFSET($O$15,0,$DO220,$B$8,1),OFFSET($M$15,0,0,$B$8,1))=DW$14))   /   SUM(OFFSET($BO$15,0,0,$B$14,1)) + $B$18/($B$19*$B$19*($DN220&lt;&gt;$DO220) + $B$19*($DN220=$DO220))</f>
        <v>3.7037037037037035E-4</v>
      </c>
      <c r="DX220" s="10" cm="1">
        <f t="array" aca="1" ref="DX220" ca="1">(1-$B$18)*SUMPRODUCT(OFFSET($BO$15,0,0,$B$14,1), 1*(_xlfn._xlws.FILTER(OFFSET($O$15,0,$DN220,$B$8,1),OFFSET($M$15,0,0,$B$8,1))=DX$13), 1*(_xlfn._xlws.FILTER(OFFSET($O$15,0,$DO220,$B$8,1),OFFSET($M$15,0,0,$B$8,1))=DX$14))   /   SUM(OFFSET($BO$15,0,0,$B$14,1)) + $B$18/($B$19*$B$19*($DN220&lt;&gt;$DO220) + $B$19*($DN220=$DO220))</f>
        <v>3.7037037037037035E-4</v>
      </c>
      <c r="DY220" s="10" cm="1">
        <f t="array" aca="1" ref="DY220" ca="1">(1-$B$18)*SUMPRODUCT(OFFSET($BO$15,0,0,$B$14,1), 1*(_xlfn._xlws.FILTER(OFFSET($O$15,0,$DN220,$B$8,1),OFFSET($M$15,0,0,$B$8,1))=DY$13), 1*(_xlfn._xlws.FILTER(OFFSET($O$15,0,$DO220,$B$8,1),OFFSET($M$15,0,0,$B$8,1))=DY$14))   /   SUM(OFFSET($BO$15,0,0,$B$14,1)) + $B$18/($B$19*$B$19*($DN220&lt;&gt;$DO220) + $B$19*($DN220=$DO220))</f>
        <v>3.7037037037037035E-4</v>
      </c>
      <c r="DZ220" s="10" cm="1">
        <f t="array" aca="1" ref="DZ220" ca="1">(1-$B$18)*SUMPRODUCT(OFFSET($BO$15,0,0,$B$14,1), 1*(_xlfn._xlws.FILTER(OFFSET($O$15,0,$DN220,$B$8,1),OFFSET($M$15,0,0,$B$8,1))=DZ$13), 1*(_xlfn._xlws.FILTER(OFFSET($O$15,0,$DO220,$B$8,1),OFFSET($M$15,0,0,$B$8,1))=DZ$14))   /   SUM(OFFSET($BO$15,0,0,$B$14,1)) + $B$18/($B$19*$B$19*($DN220&lt;&gt;$DO220) + $B$19*($DN220=$DO220))</f>
        <v>3.7037037037037035E-4</v>
      </c>
      <c r="EA220" s="10" cm="1">
        <f t="array" aca="1" ref="EA220" ca="1">(1-$B$18)*SUMPRODUCT(OFFSET($BO$15,0,0,$B$14,1), 1*(_xlfn._xlws.FILTER(OFFSET($O$15,0,$DN220,$B$8,1),OFFSET($M$15,0,0,$B$8,1))=EA$13), 1*(_xlfn._xlws.FILTER(OFFSET($O$15,0,$DO220,$B$8,1),OFFSET($M$15,0,0,$B$8,1))=EA$14))   /   SUM(OFFSET($BO$15,0,0,$B$14,1)) + $B$18/($B$19*$B$19*($DN220&lt;&gt;$DO220) + $B$19*($DN220=$DO220))</f>
        <v>3.7037037037037035E-4</v>
      </c>
      <c r="EB220" s="10" cm="1">
        <f t="array" aca="1" ref="EB220" ca="1">(1-$B$18)*SUMPRODUCT(OFFSET($BO$15,0,0,$B$14,1), 1*(_xlfn._xlws.FILTER(OFFSET($O$15,0,$DN220,$B$8,1),OFFSET($M$15,0,0,$B$8,1))=EB$13), 1*(_xlfn._xlws.FILTER(OFFSET($O$15,0,$DO220,$B$8,1),OFFSET($M$15,0,0,$B$8,1))=EB$14))   /   SUM(OFFSET($BO$15,0,0,$B$14,1)) + $B$18/($B$19*$B$19*($DN220&lt;&gt;$DO220) + $B$19*($DN220=$DO220))</f>
        <v>3.7037037037037035E-4</v>
      </c>
      <c r="EC220" s="10" cm="1">
        <f t="array" aca="1" ref="EC220" ca="1">(1-$B$18)*SUMPRODUCT(OFFSET($BO$15,0,0,$B$14,1), 1*(_xlfn._xlws.FILTER(OFFSET($O$15,0,$DN220,$B$8,1),OFFSET($M$15,0,0,$B$8,1))=EC$13), 1*(_xlfn._xlws.FILTER(OFFSET($O$15,0,$DO220,$B$8,1),OFFSET($M$15,0,0,$B$8,1))=EC$14))   /   SUM(OFFSET($BO$15,0,0,$B$14,1)) + $B$18/($B$19*$B$19*($DN220&lt;&gt;$DO220) + $B$19*($DN220=$DO220))</f>
        <v>3.7037037037037035E-4</v>
      </c>
      <c r="ED220" s="10" cm="1">
        <f t="array" aca="1" ref="ED220" ca="1">(1-$B$18)*SUMPRODUCT(OFFSET($BO$15,0,0,$B$14,1), 1*(_xlfn._xlws.FILTER(OFFSET($O$15,0,$DN220,$B$8,1),OFFSET($M$15,0,0,$B$8,1))=ED$13), 1*(_xlfn._xlws.FILTER(OFFSET($O$15,0,$DO220,$B$8,1),OFFSET($M$15,0,0,$B$8,1))=ED$14))   /   SUM(OFFSET($BO$15,0,0,$B$14,1)) + $B$18/($B$19*$B$19*($DN220&lt;&gt;$DO220) + $B$19*($DN220=$DO220))</f>
        <v>3.7037037037037035E-4</v>
      </c>
      <c r="EE220" s="10" cm="1">
        <f t="array" aca="1" ref="EE220" ca="1">(1-$B$18)*SUMPRODUCT(OFFSET($BO$15,0,0,$B$14,1), 1*(_xlfn._xlws.FILTER(OFFSET($O$15,0,$DN220,$B$8,1),OFFSET($M$15,0,0,$B$8,1))=EE$13), 1*(_xlfn._xlws.FILTER(OFFSET($O$15,0,$DO220,$B$8,1),OFFSET($M$15,0,0,$B$8,1))=EE$14))   /   SUM(OFFSET($BO$15,0,0,$B$14,1)) + $B$18/($B$19*$B$19*($DN220&lt;&gt;$DO220) + $B$19*($DN220=$DO220))</f>
        <v>3.7037037037037035E-4</v>
      </c>
      <c r="EF220" s="10" cm="1">
        <f t="array" aca="1" ref="EF220" ca="1">(1-$B$18)*SUMPRODUCT(OFFSET($BO$15,0,0,$B$14,1), 1*(_xlfn._xlws.FILTER(OFFSET($O$15,0,$DN220,$B$8,1),OFFSET($M$15,0,0,$B$8,1))=EF$13), 1*(_xlfn._xlws.FILTER(OFFSET($O$15,0,$DO220,$B$8,1),OFFSET($M$15,0,0,$B$8,1))=EF$14))   /   SUM(OFFSET($BO$15,0,0,$B$14,1)) + $B$18/($B$19*$B$19*($DN220&lt;&gt;$DO220) + $B$19*($DN220=$DO220))</f>
        <v>3.7037037037037035E-4</v>
      </c>
      <c r="EG220" s="10" cm="1">
        <f t="array" aca="1" ref="EG220" ca="1">(1-$B$18)*SUMPRODUCT(OFFSET($BO$15,0,0,$B$14,1), 1*(_xlfn._xlws.FILTER(OFFSET($O$15,0,$DN220,$B$8,1),OFFSET($M$15,0,0,$B$8,1))=EG$13), 1*(_xlfn._xlws.FILTER(OFFSET($O$15,0,$DO220,$B$8,1),OFFSET($M$15,0,0,$B$8,1))=EG$14))   /   SUM(OFFSET($BO$15,0,0,$B$14,1)) + $B$18/($B$19*$B$19*($DN220&lt;&gt;$DO220) + $B$19*($DN220=$DO220))</f>
        <v>3.7037037037037035E-4</v>
      </c>
      <c r="EH220" s="10" cm="1">
        <f t="array" aca="1" ref="EH220" ca="1">(1-$B$18)*SUMPRODUCT(OFFSET($BO$15,0,0,$B$14,1), 1*(_xlfn._xlws.FILTER(OFFSET($O$15,0,$DN220,$B$8,1),OFFSET($M$15,0,0,$B$8,1))=EH$13), 1*(_xlfn._xlws.FILTER(OFFSET($O$15,0,$DO220,$B$8,1),OFFSET($M$15,0,0,$B$8,1))=EH$14))   /   SUM(OFFSET($BO$15,0,0,$B$14,1)) + $B$18/($B$19*$B$19*($DN220&lt;&gt;$DO220) + $B$19*($DN220=$DO220))</f>
        <v>3.7037037037037035E-4</v>
      </c>
      <c r="EI220" s="10" cm="1">
        <f t="array" aca="1" ref="EI220" ca="1">(1-$B$18)*SUMPRODUCT(OFFSET($BO$15,0,0,$B$14,1), 1*(_xlfn._xlws.FILTER(OFFSET($O$15,0,$DN220,$B$8,1),OFFSET($M$15,0,0,$B$8,1))=EI$13), 1*(_xlfn._xlws.FILTER(OFFSET($O$15,0,$DO220,$B$8,1),OFFSET($M$15,0,0,$B$8,1))=EI$14))   /   SUM(OFFSET($BO$15,0,0,$B$14,1)) + $B$18/($B$19*$B$19*($DN220&lt;&gt;$DO220) + $B$19*($DN220=$DO220))</f>
        <v>0.24287037037037026</v>
      </c>
      <c r="EJ220" s="10" cm="1">
        <f t="array" aca="1" ref="EJ220" ca="1">(1-$B$18)*SUMPRODUCT(OFFSET($BO$15,0,0,$B$14,1), 1*(_xlfn._xlws.FILTER(OFFSET($O$15,0,$DN220,$B$8,1),OFFSET($M$15,0,0,$B$8,1))=EJ$13), 1*(_xlfn._xlws.FILTER(OFFSET($O$15,0,$DO220,$B$8,1),OFFSET($M$15,0,0,$B$8,1))=EJ$14))   /   SUM(OFFSET($BO$15,0,0,$B$14,1)) + $B$18/($B$19*$B$19*($DN220&lt;&gt;$DO220) + $B$19*($DN220=$DO220))</f>
        <v>3.7037037037037035E-4</v>
      </c>
      <c r="EK220" s="10" cm="1">
        <f t="array" aca="1" ref="EK220" ca="1">(1-$B$18)*SUMPRODUCT(OFFSET($BO$15,0,0,$B$14,1), 1*(_xlfn._xlws.FILTER(OFFSET($O$15,0,$DN220,$B$8,1),OFFSET($M$15,0,0,$B$8,1))=EK$13), 1*(_xlfn._xlws.FILTER(OFFSET($O$15,0,$DO220,$B$8,1),OFFSET($M$15,0,0,$B$8,1))=EK$14))   /   SUM(OFFSET($BO$15,0,0,$B$14,1)) + $B$18/($B$19*$B$19*($DN220&lt;&gt;$DO220) + $B$19*($DN220=$DO220))</f>
        <v>3.7037037037037035E-4</v>
      </c>
      <c r="EL220" s="10" cm="1">
        <f t="array" aca="1" ref="EL220" ca="1">(1-$B$18)*SUMPRODUCT(OFFSET($BO$15,0,0,$B$14,1), 1*(_xlfn._xlws.FILTER(OFFSET($O$15,0,$DN220,$B$8,1),OFFSET($M$15,0,0,$B$8,1))=EL$13), 1*(_xlfn._xlws.FILTER(OFFSET($O$15,0,$DO220,$B$8,1),OFFSET($M$15,0,0,$B$8,1))=EL$14))   /   SUM(OFFSET($BO$15,0,0,$B$14,1)) + $B$18/($B$19*$B$19*($DN220&lt;&gt;$DO220) + $B$19*($DN220=$DO220))</f>
        <v>3.7037037037037035E-4</v>
      </c>
      <c r="EM220" s="10" cm="1">
        <f t="array" aca="1" ref="EM220" ca="1">(1-$B$18)*SUMPRODUCT(OFFSET($BO$15,0,0,$B$14,1), 1*(_xlfn._xlws.FILTER(OFFSET($O$15,0,$DN220,$B$8,1),OFFSET($M$15,0,0,$B$8,1))=EM$13), 1*(_xlfn._xlws.FILTER(OFFSET($O$15,0,$DO220,$B$8,1),OFFSET($M$15,0,0,$B$8,1))=EM$14))   /   SUM(OFFSET($BO$15,0,0,$B$14,1)) + $B$18/($B$19*$B$19*($DN220&lt;&gt;$DO220) + $B$19*($DN220=$DO220))</f>
        <v>3.7037037037037035E-4</v>
      </c>
      <c r="EN220" s="10" cm="1">
        <f t="array" aca="1" ref="EN220" ca="1">(1-$B$18)*SUMPRODUCT(OFFSET($BO$15,0,0,$B$14,1), 1*(_xlfn._xlws.FILTER(OFFSET($O$15,0,$DN220,$B$8,1),OFFSET($M$15,0,0,$B$8,1))=EN$13), 1*(_xlfn._xlws.FILTER(OFFSET($O$15,0,$DO220,$B$8,1),OFFSET($M$15,0,0,$B$8,1))=EN$14))   /   SUM(OFFSET($BO$15,0,0,$B$14,1)) + $B$18/($B$19*$B$19*($DN220&lt;&gt;$DO220) + $B$19*($DN220=$DO220))</f>
        <v>3.7037037037037035E-4</v>
      </c>
      <c r="EO220" s="10" cm="1">
        <f t="array" aca="1" ref="EO220" ca="1">(1-$B$18)*SUMPRODUCT(OFFSET($BO$15,0,0,$B$14,1), 1*(_xlfn._xlws.FILTER(OFFSET($O$15,0,$DN220,$B$8,1),OFFSET($M$15,0,0,$B$8,1))=EO$13), 1*(_xlfn._xlws.FILTER(OFFSET($O$15,0,$DO220,$B$8,1),OFFSET($M$15,0,0,$B$8,1))=EO$14))   /   SUM(OFFSET($BO$15,0,0,$B$14,1)) + $B$18/($B$19*$B$19*($DN220&lt;&gt;$DO220) + $B$19*($DN220=$DO220))</f>
        <v>3.7037037037037035E-4</v>
      </c>
      <c r="EP220" s="10" cm="1">
        <f t="array" aca="1" ref="EP220" ca="1">(1-$B$18)*SUMPRODUCT(OFFSET($BO$15,0,0,$B$14,1), 1*(_xlfn._xlws.FILTER(OFFSET($O$15,0,$DN220,$B$8,1),OFFSET($M$15,0,0,$B$8,1))=EP$13), 1*(_xlfn._xlws.FILTER(OFFSET($O$15,0,$DO220,$B$8,1),OFFSET($M$15,0,0,$B$8,1))=EP$14))   /   SUM(OFFSET($BO$15,0,0,$B$14,1)) + $B$18/($B$19*$B$19*($DN220&lt;&gt;$DO220) + $B$19*($DN220=$DO220))</f>
        <v>3.7037037037037035E-4</v>
      </c>
      <c r="EQ220" s="10" cm="1">
        <f t="array" aca="1" ref="EQ220" ca="1">(1-$B$18)*SUMPRODUCT(OFFSET($BO$15,0,0,$B$14,1), 1*(_xlfn._xlws.FILTER(OFFSET($O$15,0,$DN220,$B$8,1),OFFSET($M$15,0,0,$B$8,1))=EQ$13), 1*(_xlfn._xlws.FILTER(OFFSET($O$15,0,$DO220,$B$8,1),OFFSET($M$15,0,0,$B$8,1))=EQ$14))   /   SUM(OFFSET($BO$15,0,0,$B$14,1)) + $B$18/($B$19*$B$19*($DN220&lt;&gt;$DO220) + $B$19*($DN220=$DO220))</f>
        <v>0.24287037037037026</v>
      </c>
      <c r="ER220" s="10" cm="1">
        <f t="array" aca="1" ref="ER220" ca="1">(1-$B$18)*SUMPRODUCT(OFFSET($BO$15,0,0,$B$14,1), 1*(_xlfn._xlws.FILTER(OFFSET($O$15,0,$DN220,$B$8,1),OFFSET($M$15,0,0,$B$8,1))=ER$13), 1*(_xlfn._xlws.FILTER(OFFSET($O$15,0,$DO220,$B$8,1),OFFSET($M$15,0,0,$B$8,1))=ER$14))   /   SUM(OFFSET($BO$15,0,0,$B$14,1)) + $B$18/($B$19*$B$19*($DN220&lt;&gt;$DO220) + $B$19*($DN220=$DO220))</f>
        <v>3.7037037037037035E-4</v>
      </c>
      <c r="ES220" s="10" cm="1">
        <f t="array" aca="1" ref="ES220" ca="1">(1-$B$18)*SUMPRODUCT(OFFSET($BO$15,0,0,$B$14,1), 1*(_xlfn._xlws.FILTER(OFFSET($O$15,0,$DN220,$B$8,1),OFFSET($M$15,0,0,$B$8,1))=ES$13), 1*(_xlfn._xlws.FILTER(OFFSET($O$15,0,$DO220,$B$8,1),OFFSET($M$15,0,0,$B$8,1))=ES$14))   /   SUM(OFFSET($BO$15,0,0,$B$14,1)) + $B$18/($B$19*$B$19*($DN220&lt;&gt;$DO220) + $B$19*($DN220=$DO220))</f>
        <v>3.7037037037037035E-4</v>
      </c>
      <c r="ET220" s="10" cm="1">
        <f t="array" aca="1" ref="ET220" ca="1">(1-$B$18)*SUMPRODUCT(OFFSET($BO$15,0,0,$B$14,1), 1*(_xlfn._xlws.FILTER(OFFSET($O$15,0,$DN220,$B$8,1),OFFSET($M$15,0,0,$B$8,1))=ET$13), 1*(_xlfn._xlws.FILTER(OFFSET($O$15,0,$DO220,$B$8,1),OFFSET($M$15,0,0,$B$8,1))=ET$14))   /   SUM(OFFSET($BO$15,0,0,$B$14,1)) + $B$18/($B$19*$B$19*($DN220&lt;&gt;$DO220) + $B$19*($DN220=$DO220))</f>
        <v>3.7037037037037035E-4</v>
      </c>
      <c r="EU220" s="10" cm="1">
        <f t="array" aca="1" ref="EU220" ca="1">(1-$B$18)*SUMPRODUCT(OFFSET($BO$15,0,0,$B$14,1), 1*(_xlfn._xlws.FILTER(OFFSET($O$15,0,$DN220,$B$8,1),OFFSET($M$15,0,0,$B$8,1))=EU$13), 1*(_xlfn._xlws.FILTER(OFFSET($O$15,0,$DO220,$B$8,1),OFFSET($M$15,0,0,$B$8,1))=EU$14))   /   SUM(OFFSET($BO$15,0,0,$B$14,1)) + $B$18/($B$19*$B$19*($DN220&lt;&gt;$DO220) + $B$19*($DN220=$DO220))</f>
        <v>3.7037037037037035E-4</v>
      </c>
      <c r="EV220" s="10" cm="1">
        <f t="array" aca="1" ref="EV220" ca="1">(1-$B$18)*SUMPRODUCT(OFFSET($BO$15,0,0,$B$14,1), 1*(_xlfn._xlws.FILTER(OFFSET($O$15,0,$DN220,$B$8,1),OFFSET($M$15,0,0,$B$8,1))=EV$13), 1*(_xlfn._xlws.FILTER(OFFSET($O$15,0,$DO220,$B$8,1),OFFSET($M$15,0,0,$B$8,1))=EV$14))   /   SUM(OFFSET($BO$15,0,0,$B$14,1)) + $B$18/($B$19*$B$19*($DN220&lt;&gt;$DO220) + $B$19*($DN220=$DO220))</f>
        <v>3.7037037037037035E-4</v>
      </c>
      <c r="EW220" s="10" cm="1">
        <f t="array" aca="1" ref="EW220" ca="1">(1-$B$18)*SUMPRODUCT(OFFSET($BO$15,0,0,$B$14,1), 1*(_xlfn._xlws.FILTER(OFFSET($O$15,0,$DN220,$B$8,1),OFFSET($M$15,0,0,$B$8,1))=EW$13), 1*(_xlfn._xlws.FILTER(OFFSET($O$15,0,$DO220,$B$8,1),OFFSET($M$15,0,0,$B$8,1))=EW$14))   /   SUM(OFFSET($BO$15,0,0,$B$14,1)) + $B$18/($B$19*$B$19*($DN220&lt;&gt;$DO220) + $B$19*($DN220=$DO220))</f>
        <v>3.7037037037037035E-4</v>
      </c>
      <c r="EX220" s="10" cm="1">
        <f t="array" aca="1" ref="EX220" ca="1">(1-$B$18)*SUMPRODUCT(OFFSET($BO$15,0,0,$B$14,1), 1*(_xlfn._xlws.FILTER(OFFSET($O$15,0,$DN220,$B$8,1),OFFSET($M$15,0,0,$B$8,1))=EX$13), 1*(_xlfn._xlws.FILTER(OFFSET($O$15,0,$DO220,$B$8,1),OFFSET($M$15,0,0,$B$8,1))=EX$14))   /   SUM(OFFSET($BO$15,0,0,$B$14,1)) + $B$18/($B$19*$B$19*($DN220&lt;&gt;$DO220) + $B$19*($DN220=$DO220))</f>
        <v>3.7037037037037035E-4</v>
      </c>
      <c r="EY220" s="10" cm="1">
        <f t="array" aca="1" ref="EY220" ca="1">(1-$B$18)*SUMPRODUCT(OFFSET($BO$15,0,0,$B$14,1), 1*(_xlfn._xlws.FILTER(OFFSET($O$15,0,$DN220,$B$8,1),OFFSET($M$15,0,0,$B$8,1))=EY$13), 1*(_xlfn._xlws.FILTER(OFFSET($O$15,0,$DO220,$B$8,1),OFFSET($M$15,0,0,$B$8,1))=EY$14))   /   SUM(OFFSET($BO$15,0,0,$B$14,1)) + $B$18/($B$19*$B$19*($DN220&lt;&gt;$DO220) + $B$19*($DN220=$DO220))</f>
        <v>3.7037037037037035E-4</v>
      </c>
      <c r="EZ220" s="10" cm="1">
        <f t="array" aca="1" ref="EZ220" ca="1">(1-$B$18)*SUMPRODUCT(OFFSET($BO$15,0,0,$B$14,1), 1*(_xlfn._xlws.FILTER(OFFSET($O$15,0,$DN220,$B$8,1),OFFSET($M$15,0,0,$B$8,1))=EZ$13), 1*(_xlfn._xlws.FILTER(OFFSET($O$15,0,$DO220,$B$8,1),OFFSET($M$15,0,0,$B$8,1))=EZ$14))   /   SUM(OFFSET($BO$15,0,0,$B$14,1)) + $B$18/($B$19*$B$19*($DN220&lt;&gt;$DO220) + $B$19*($DN220=$DO220))</f>
        <v>3.7037037037037035E-4</v>
      </c>
      <c r="FA220" s="10" cm="1">
        <f t="array" aca="1" ref="FA220" ca="1">(1-$B$18)*SUMPRODUCT(OFFSET($BO$15,0,0,$B$14,1), 1*(_xlfn._xlws.FILTER(OFFSET($O$15,0,$DN220,$B$8,1),OFFSET($M$15,0,0,$B$8,1))=FA$13), 1*(_xlfn._xlws.FILTER(OFFSET($O$15,0,$DO220,$B$8,1),OFFSET($M$15,0,0,$B$8,1))=FA$14))   /   SUM(OFFSET($BO$15,0,0,$B$14,1)) + $B$18/($B$19*$B$19*($DN220&lt;&gt;$DO220) + $B$19*($DN220=$DO220))</f>
        <v>3.7037037037037035E-4</v>
      </c>
      <c r="FB220" s="10" cm="1">
        <f t="array" aca="1" ref="FB220" ca="1">(1-$B$18)*SUMPRODUCT(OFFSET($BO$15,0,0,$B$14,1), 1*(_xlfn._xlws.FILTER(OFFSET($O$15,0,$DN220,$B$8,1),OFFSET($M$15,0,0,$B$8,1))=FB$13), 1*(_xlfn._xlws.FILTER(OFFSET($O$15,0,$DO220,$B$8,1),OFFSET($M$15,0,0,$B$8,1))=FB$14))   /   SUM(OFFSET($BO$15,0,0,$B$14,1)) + $B$18/($B$19*$B$19*($DN220&lt;&gt;$DO220) + $B$19*($DN220=$DO220))</f>
        <v>3.7037037037037035E-4</v>
      </c>
      <c r="FC220" s="10" cm="1">
        <f t="array" aca="1" ref="FC220" ca="1">(1-$B$18)*SUMPRODUCT(OFFSET($BO$15,0,0,$B$14,1), 1*(_xlfn._xlws.FILTER(OFFSET($O$15,0,$DN220,$B$8,1),OFFSET($M$15,0,0,$B$8,1))=FC$13), 1*(_xlfn._xlws.FILTER(OFFSET($O$15,0,$DO220,$B$8,1),OFFSET($M$15,0,0,$B$8,1))=FC$14))   /   SUM(OFFSET($BO$15,0,0,$B$14,1)) + $B$18/($B$19*$B$19*($DN220&lt;&gt;$DO220) + $B$19*($DN220=$DO220))</f>
        <v>3.7037037037037035E-4</v>
      </c>
      <c r="FD220" s="10" cm="1">
        <f t="array" aca="1" ref="FD220" ca="1">(1-$B$18)*SUMPRODUCT(OFFSET($BO$15,0,0,$B$14,1), 1*(_xlfn._xlws.FILTER(OFFSET($O$15,0,$DN220,$B$8,1),OFFSET($M$15,0,0,$B$8,1))=FD$13), 1*(_xlfn._xlws.FILTER(OFFSET($O$15,0,$DO220,$B$8,1),OFFSET($M$15,0,0,$B$8,1))=FD$14))   /   SUM(OFFSET($BO$15,0,0,$B$14,1)) + $B$18/($B$19*$B$19*($DN220&lt;&gt;$DO220) + $B$19*($DN220=$DO220))</f>
        <v>3.7037037037037035E-4</v>
      </c>
      <c r="FE220" s="10" cm="1">
        <f t="array" aca="1" ref="FE220" ca="1">(1-$B$18)*SUMPRODUCT(OFFSET($BO$15,0,0,$B$14,1), 1*(_xlfn._xlws.FILTER(OFFSET($O$15,0,$DN220,$B$8,1),OFFSET($M$15,0,0,$B$8,1))=FE$13), 1*(_xlfn._xlws.FILTER(OFFSET($O$15,0,$DO220,$B$8,1),OFFSET($M$15,0,0,$B$8,1))=FE$14))   /   SUM(OFFSET($BO$15,0,0,$B$14,1)) + $B$18/($B$19*$B$19*($DN220&lt;&gt;$DO220) + $B$19*($DN220=$DO220))</f>
        <v>3.7037037037037035E-4</v>
      </c>
      <c r="FF220" s="10" cm="1">
        <f t="array" aca="1" ref="FF220" ca="1">(1-$B$18)*SUMPRODUCT(OFFSET($BO$15,0,0,$B$14,1), 1*(_xlfn._xlws.FILTER(OFFSET($O$15,0,$DN220,$B$8,1),OFFSET($M$15,0,0,$B$8,1))=FF$13), 1*(_xlfn._xlws.FILTER(OFFSET($O$15,0,$DO220,$B$8,1),OFFSET($M$15,0,0,$B$8,1))=FF$14))   /   SUM(OFFSET($BO$15,0,0,$B$14,1)) + $B$18/($B$19*$B$19*($DN220&lt;&gt;$DO220) + $B$19*($DN220=$DO220))</f>
        <v>3.7037037037037035E-4</v>
      </c>
      <c r="FG220" s="10" cm="1">
        <f t="array" aca="1" ref="FG220" ca="1">(1-$B$18)*SUMPRODUCT(OFFSET($BO$15,0,0,$B$14,1), 1*(_xlfn._xlws.FILTER(OFFSET($O$15,0,$DN220,$B$8,1),OFFSET($M$15,0,0,$B$8,1))=FG$13), 1*(_xlfn._xlws.FILTER(OFFSET($O$15,0,$DO220,$B$8,1),OFFSET($M$15,0,0,$B$8,1))=FG$14))   /   SUM(OFFSET($BO$15,0,0,$B$14,1)) + $B$18/($B$19*$B$19*($DN220&lt;&gt;$DO220) + $B$19*($DN220=$DO220))</f>
        <v>3.7037037037037035E-4</v>
      </c>
      <c r="FH220" s="10" cm="1">
        <f t="array" aca="1" ref="FH220" ca="1">(1-$B$18)*SUMPRODUCT(OFFSET($BO$15,0,0,$B$14,1), 1*(_xlfn._xlws.FILTER(OFFSET($O$15,0,$DN220,$B$8,1),OFFSET($M$15,0,0,$B$8,1))=FH$13), 1*(_xlfn._xlws.FILTER(OFFSET($O$15,0,$DO220,$B$8,1),OFFSET($M$15,0,0,$B$8,1))=FH$14))   /   SUM(OFFSET($BO$15,0,0,$B$14,1)) + $B$18/($B$19*$B$19*($DN220&lt;&gt;$DO220) + $B$19*($DN220=$DO220))</f>
        <v>3.7037037037037035E-4</v>
      </c>
      <c r="FI220" s="10" cm="1">
        <f t="array" aca="1" ref="FI220" ca="1">(1-$B$18)*SUMPRODUCT(OFFSET($BO$15,0,0,$B$14,1), 1*(_xlfn._xlws.FILTER(OFFSET($O$15,0,$DN220,$B$8,1),OFFSET($M$15,0,0,$B$8,1))=FI$13), 1*(_xlfn._xlws.FILTER(OFFSET($O$15,0,$DO220,$B$8,1),OFFSET($M$15,0,0,$B$8,1))=FI$14))   /   SUM(OFFSET($BO$15,0,0,$B$14,1)) + $B$18/($B$19*$B$19*($DN220&lt;&gt;$DO220) + $B$19*($DN220=$DO220))</f>
        <v>3.7037037037037035E-4</v>
      </c>
      <c r="FJ220" s="10" cm="1">
        <f t="array" aca="1" ref="FJ220" ca="1">(1-$B$18)*SUMPRODUCT(OFFSET($BO$15,0,0,$B$14,1), 1*(_xlfn._xlws.FILTER(OFFSET($O$15,0,$DN220,$B$8,1),OFFSET($M$15,0,0,$B$8,1))=FJ$13), 1*(_xlfn._xlws.FILTER(OFFSET($O$15,0,$DO220,$B$8,1),OFFSET($M$15,0,0,$B$8,1))=FJ$14))   /   SUM(OFFSET($BO$15,0,0,$B$14,1)) + $B$18/($B$19*$B$19*($DN220&lt;&gt;$DO220) + $B$19*($DN220=$DO220))</f>
        <v>3.7037037037037035E-4</v>
      </c>
      <c r="FK220" s="10" cm="1">
        <f t="array" aca="1" ref="FK220" ca="1">(1-$B$18)*SUMPRODUCT(OFFSET($BO$15,0,0,$B$14,1), 1*(_xlfn._xlws.FILTER(OFFSET($O$15,0,$DN220,$B$8,1),OFFSET($M$15,0,0,$B$8,1))=FK$13), 1*(_xlfn._xlws.FILTER(OFFSET($O$15,0,$DO220,$B$8,1),OFFSET($M$15,0,0,$B$8,1))=FK$14))   /   SUM(OFFSET($BO$15,0,0,$B$14,1)) + $B$18/($B$19*$B$19*($DN220&lt;&gt;$DO220) + $B$19*($DN220=$DO220))</f>
        <v>3.7037037037037035E-4</v>
      </c>
      <c r="FL220" s="10" cm="1">
        <f t="array" aca="1" ref="FL220" ca="1">(1-$B$18)*SUMPRODUCT(OFFSET($BO$15,0,0,$B$14,1), 1*(_xlfn._xlws.FILTER(OFFSET($O$15,0,$DN220,$B$8,1),OFFSET($M$15,0,0,$B$8,1))=FL$13), 1*(_xlfn._xlws.FILTER(OFFSET($O$15,0,$DO220,$B$8,1),OFFSET($M$15,0,0,$B$8,1))=FL$14))   /   SUM(OFFSET($BO$15,0,0,$B$14,1)) + $B$18/($B$19*$B$19*($DN220&lt;&gt;$DO220) + $B$19*($DN220=$DO220))</f>
        <v>3.7037037037037035E-4</v>
      </c>
      <c r="FM220" s="10" cm="1">
        <f t="array" aca="1" ref="FM220" ca="1">(1-$B$18)*SUMPRODUCT(OFFSET($BO$15,0,0,$B$14,1), 1*(_xlfn._xlws.FILTER(OFFSET($O$15,0,$DN220,$B$8,1),OFFSET($M$15,0,0,$B$8,1))=FM$13), 1*(_xlfn._xlws.FILTER(OFFSET($O$15,0,$DO220,$B$8,1),OFFSET($M$15,0,0,$B$8,1))=FM$14))   /   SUM(OFFSET($BO$15,0,0,$B$14,1)) + $B$18/($B$19*$B$19*($DN220&lt;&gt;$DO220) + $B$19*($DN220=$DO220))</f>
        <v>3.7037037037037035E-4</v>
      </c>
      <c r="FN220" s="10" cm="1">
        <f t="array" aca="1" ref="FN220" ca="1">(1-$B$18)*SUMPRODUCT(OFFSET($BO$15,0,0,$B$14,1), 1*(_xlfn._xlws.FILTER(OFFSET($O$15,0,$DN220,$B$8,1),OFFSET($M$15,0,0,$B$8,1))=FN$13), 1*(_xlfn._xlws.FILTER(OFFSET($O$15,0,$DO220,$B$8,1),OFFSET($M$15,0,0,$B$8,1))=FN$14))   /   SUM(OFFSET($BO$15,0,0,$B$14,1)) + $B$18/($B$19*$B$19*($DN220&lt;&gt;$DO220) + $B$19*($DN220=$DO220))</f>
        <v>3.7037037037037035E-4</v>
      </c>
      <c r="FO220" s="10" cm="1">
        <f t="array" aca="1" ref="FO220" ca="1">(1-$B$18)*SUMPRODUCT(OFFSET($BO$15,0,0,$B$14,1), 1*(_xlfn._xlws.FILTER(OFFSET($O$15,0,$DN220,$B$8,1),OFFSET($M$15,0,0,$B$8,1))=FO$13), 1*(_xlfn._xlws.FILTER(OFFSET($O$15,0,$DO220,$B$8,1),OFFSET($M$15,0,0,$B$8,1))=FO$14))   /   SUM(OFFSET($BO$15,0,0,$B$14,1)) + $B$18/($B$19*$B$19*($DN220&lt;&gt;$DO220) + $B$19*($DN220=$DO220))</f>
        <v>3.7037037037037035E-4</v>
      </c>
      <c r="FP220" s="10" cm="1">
        <f t="array" aca="1" ref="FP220" ca="1">(1-$B$18)*SUMPRODUCT(OFFSET($BO$15,0,0,$B$14,1), 1*(_xlfn._xlws.FILTER(OFFSET($O$15,0,$DN220,$B$8,1),OFFSET($M$15,0,0,$B$8,1))=FP$13), 1*(_xlfn._xlws.FILTER(OFFSET($O$15,0,$DO220,$B$8,1),OFFSET($M$15,0,0,$B$8,1))=FP$14))   /   SUM(OFFSET($BO$15,0,0,$B$14,1)) + $B$18/($B$19*$B$19*($DN220&lt;&gt;$DO220) + $B$19*($DN220=$DO220))</f>
        <v>3.7037037037037035E-4</v>
      </c>
      <c r="FQ220" s="10" cm="1">
        <f t="array" aca="1" ref="FQ220" ca="1">(1-$B$18)*SUMPRODUCT(OFFSET($BO$15,0,0,$B$14,1), 1*(_xlfn._xlws.FILTER(OFFSET($O$15,0,$DN220,$B$8,1),OFFSET($M$15,0,0,$B$8,1))=FQ$13), 1*(_xlfn._xlws.FILTER(OFFSET($O$15,0,$DO220,$B$8,1),OFFSET($M$15,0,0,$B$8,1))=FQ$14))   /   SUM(OFFSET($BO$15,0,0,$B$14,1)) + $B$18/($B$19*$B$19*($DN220&lt;&gt;$DO220) + $B$19*($DN220=$DO220))</f>
        <v>3.7037037037037035E-4</v>
      </c>
      <c r="FR220" s="10" cm="1">
        <f t="array" aca="1" ref="FR220" ca="1">(1-$B$18)*SUMPRODUCT(OFFSET($BO$15,0,0,$B$14,1), 1*(_xlfn._xlws.FILTER(OFFSET($O$15,0,$DN220,$B$8,1),OFFSET($M$15,0,0,$B$8,1))=FR$13), 1*(_xlfn._xlws.FILTER(OFFSET($O$15,0,$DO220,$B$8,1),OFFSET($M$15,0,0,$B$8,1))=FR$14))   /   SUM(OFFSET($BO$15,0,0,$B$14,1)) + $B$18/($B$19*$B$19*($DN220&lt;&gt;$DO220) + $B$19*($DN220=$DO220))</f>
        <v>3.7037037037037035E-4</v>
      </c>
      <c r="FS220" s="10" cm="1">
        <f t="array" aca="1" ref="FS220" ca="1">(1-$B$18)*SUMPRODUCT(OFFSET($BO$15,0,0,$B$14,1), 1*(_xlfn._xlws.FILTER(OFFSET($O$15,0,$DN220,$B$8,1),OFFSET($M$15,0,0,$B$8,1))=FS$13), 1*(_xlfn._xlws.FILTER(OFFSET($O$15,0,$DO220,$B$8,1),OFFSET($M$15,0,0,$B$8,1))=FS$14))   /   SUM(OFFSET($BO$15,0,0,$B$14,1)) + $B$18/($B$19*$B$19*($DN220&lt;&gt;$DO220) + $B$19*($DN220=$DO220))</f>
        <v>3.7037037037037035E-4</v>
      </c>
      <c r="FT220" s="10" cm="1">
        <f t="array" aca="1" ref="FT220" ca="1">(1-$B$18)*SUMPRODUCT(OFFSET($BO$15,0,0,$B$14,1), 1*(_xlfn._xlws.FILTER(OFFSET($O$15,0,$DN220,$B$8,1),OFFSET($M$15,0,0,$B$8,1))=FT$13), 1*(_xlfn._xlws.FILTER(OFFSET($O$15,0,$DO220,$B$8,1),OFFSET($M$15,0,0,$B$8,1))=FT$14))   /   SUM(OFFSET($BO$15,0,0,$B$14,1)) + $B$18/($B$19*$B$19*($DN220&lt;&gt;$DO220) + $B$19*($DN220=$DO220))</f>
        <v>3.7037037037037035E-4</v>
      </c>
      <c r="FU220" s="10" cm="1">
        <f t="array" aca="1" ref="FU220" ca="1">(1-$B$18)*SUMPRODUCT(OFFSET($BO$15,0,0,$B$14,1), 1*(_xlfn._xlws.FILTER(OFFSET($O$15,0,$DN220,$B$8,1),OFFSET($M$15,0,0,$B$8,1))=FU$13), 1*(_xlfn._xlws.FILTER(OFFSET($O$15,0,$DO220,$B$8,1),OFFSET($M$15,0,0,$B$8,1))=FU$14))   /   SUM(OFFSET($BO$15,0,0,$B$14,1)) + $B$18/($B$19*$B$19*($DN220&lt;&gt;$DO220) + $B$19*($DN220=$DO220))</f>
        <v>3.7037037037037035E-4</v>
      </c>
      <c r="FV220" s="10" cm="1">
        <f t="array" aca="1" ref="FV220" ca="1">(1-$B$18)*SUMPRODUCT(OFFSET($BO$15,0,0,$B$14,1), 1*(_xlfn._xlws.FILTER(OFFSET($O$15,0,$DN220,$B$8,1),OFFSET($M$15,0,0,$B$8,1))=FV$13), 1*(_xlfn._xlws.FILTER(OFFSET($O$15,0,$DO220,$B$8,1),OFFSET($M$15,0,0,$B$8,1))=FV$14))   /   SUM(OFFSET($BO$15,0,0,$B$14,1)) + $B$18/($B$19*$B$19*($DN220&lt;&gt;$DO220) + $B$19*($DN220=$DO220))</f>
        <v>3.7037037037037035E-4</v>
      </c>
      <c r="FW220" s="10" cm="1">
        <f t="array" aca="1" ref="FW220" ca="1">(1-$B$18)*SUMPRODUCT(OFFSET($BO$15,0,0,$B$14,1), 1*(_xlfn._xlws.FILTER(OFFSET($O$15,0,$DN220,$B$8,1),OFFSET($M$15,0,0,$B$8,1))=FW$13), 1*(_xlfn._xlws.FILTER(OFFSET($O$15,0,$DO220,$B$8,1),OFFSET($M$15,0,0,$B$8,1))=FW$14))   /   SUM(OFFSET($BO$15,0,0,$B$14,1)) + $B$18/($B$19*$B$19*($DN220&lt;&gt;$DO220) + $B$19*($DN220=$DO220))</f>
        <v>3.7037037037037035E-4</v>
      </c>
      <c r="FX220" s="10" cm="1">
        <f t="array" aca="1" ref="FX220" ca="1">(1-$B$18)*SUMPRODUCT(OFFSET($BO$15,0,0,$B$14,1), 1*(_xlfn._xlws.FILTER(OFFSET($O$15,0,$DN220,$B$8,1),OFFSET($M$15,0,0,$B$8,1))=FX$13), 1*(_xlfn._xlws.FILTER(OFFSET($O$15,0,$DO220,$B$8,1),OFFSET($M$15,0,0,$B$8,1))=FX$14))   /   SUM(OFFSET($BO$15,0,0,$B$14,1)) + $B$18/($B$19*$B$19*($DN220&lt;&gt;$DO220) + $B$19*($DN220=$DO220))</f>
        <v>3.7037037037037035E-4</v>
      </c>
      <c r="FY220" s="10" cm="1">
        <f t="array" aca="1" ref="FY220" ca="1">(1-$B$18)*SUMPRODUCT(OFFSET($BO$15,0,0,$B$14,1), 1*(_xlfn._xlws.FILTER(OFFSET($O$15,0,$DN220,$B$8,1),OFFSET($M$15,0,0,$B$8,1))=FY$13), 1*(_xlfn._xlws.FILTER(OFFSET($O$15,0,$DO220,$B$8,1),OFFSET($M$15,0,0,$B$8,1))=FY$14))   /   SUM(OFFSET($BO$15,0,0,$B$14,1)) + $B$18/($B$19*$B$19*($DN220&lt;&gt;$DO220) + $B$19*($DN220=$DO220))</f>
        <v>3.7037037037037035E-4</v>
      </c>
      <c r="FZ220" s="10" cm="1">
        <f t="array" aca="1" ref="FZ220" ca="1">(1-$B$18)*SUMPRODUCT(OFFSET($BO$15,0,0,$B$14,1), 1*(_xlfn._xlws.FILTER(OFFSET($O$15,0,$DN220,$B$8,1),OFFSET($M$15,0,0,$B$8,1))=FZ$13), 1*(_xlfn._xlws.FILTER(OFFSET($O$15,0,$DO220,$B$8,1),OFFSET($M$15,0,0,$B$8,1))=FZ$14))   /   SUM(OFFSET($BO$15,0,0,$B$14,1)) + $B$18/($B$19*$B$19*($DN220&lt;&gt;$DO220) + $B$19*($DN220=$DO220))</f>
        <v>3.7037037037037035E-4</v>
      </c>
      <c r="GA220" s="10" cm="1">
        <f t="array" aca="1" ref="GA220" ca="1">(1-$B$18)*SUMPRODUCT(OFFSET($BO$15,0,0,$B$14,1), 1*(_xlfn._xlws.FILTER(OFFSET($O$15,0,$DN220,$B$8,1),OFFSET($M$15,0,0,$B$8,1))=GA$13), 1*(_xlfn._xlws.FILTER(OFFSET($O$15,0,$DO220,$B$8,1),OFFSET($M$15,0,0,$B$8,1))=GA$14))   /   SUM(OFFSET($BO$15,0,0,$B$14,1)) + $B$18/($B$19*$B$19*($DN220&lt;&gt;$DO220) + $B$19*($DN220=$DO220))</f>
        <v>3.7037037037037035E-4</v>
      </c>
    </row>
    <row r="221" spans="118:183" x14ac:dyDescent="0.2">
      <c r="DN221" cm="1">
        <f t="array" aca="1" ref="DN221" ca="1">INDEX(_xlfn.ANCHORARRAY($CP$15), 1 + INT((ROWS($DO$15:$DO221) - 1) / ROWS(_xlfn.ANCHORARRAY($CP$15))))</f>
        <v>11</v>
      </c>
      <c r="DO221" cm="1">
        <f t="array" aca="1" ref="DO221" ca="1">INDEX(_xlfn.ANCHORARRAY($CP$15),1+MOD(ROWS($DO$15:$DO221)-1,ROWS(_xlfn.ANCHORARRAY($CP$15))))</f>
        <v>19</v>
      </c>
      <c r="DP221" s="10" cm="1">
        <f t="array" aca="1" ref="DP221" ca="1">(1-$B$18)*SUMPRODUCT(OFFSET($BO$15,0,0,$B$14,1), 1*(_xlfn._xlws.FILTER(OFFSET($O$15,0,$DN221,$B$8,1),OFFSET($M$15,0,0,$B$8,1))=DP$13), 1*(_xlfn._xlws.FILTER(OFFSET($O$15,0,$DO221,$B$8,1),OFFSET($M$15,0,0,$B$8,1))=DP$14))   /   SUM(OFFSET($BO$15,0,0,$B$14,1)) + $B$18/($B$19*$B$19*($DN221&lt;&gt;$DO221) + $B$19*($DN221=$DO221))</f>
        <v>3.7037037037037035E-4</v>
      </c>
      <c r="DQ221" s="10" cm="1">
        <f t="array" aca="1" ref="DQ221" ca="1">(1-$B$18)*SUMPRODUCT(OFFSET($BO$15,0,0,$B$14,1), 1*(_xlfn._xlws.FILTER(OFFSET($O$15,0,$DN221,$B$8,1),OFFSET($M$15,0,0,$B$8,1))=DQ$13), 1*(_xlfn._xlws.FILTER(OFFSET($O$15,0,$DO221,$B$8,1),OFFSET($M$15,0,0,$B$8,1))=DQ$14))   /   SUM(OFFSET($BO$15,0,0,$B$14,1)) + $B$18/($B$19*$B$19*($DN221&lt;&gt;$DO221) + $B$19*($DN221=$DO221))</f>
        <v>3.7037037037037035E-4</v>
      </c>
      <c r="DR221" s="10" cm="1">
        <f t="array" aca="1" ref="DR221" ca="1">(1-$B$18)*SUMPRODUCT(OFFSET($BO$15,0,0,$B$14,1), 1*(_xlfn._xlws.FILTER(OFFSET($O$15,0,$DN221,$B$8,1),OFFSET($M$15,0,0,$B$8,1))=DR$13), 1*(_xlfn._xlws.FILTER(OFFSET($O$15,0,$DO221,$B$8,1),OFFSET($M$15,0,0,$B$8,1))=DR$14))   /   SUM(OFFSET($BO$15,0,0,$B$14,1)) + $B$18/($B$19*$B$19*($DN221&lt;&gt;$DO221) + $B$19*($DN221=$DO221))</f>
        <v>3.7037037037037035E-4</v>
      </c>
      <c r="DS221" s="10" cm="1">
        <f t="array" aca="1" ref="DS221" ca="1">(1-$B$18)*SUMPRODUCT(OFFSET($BO$15,0,0,$B$14,1), 1*(_xlfn._xlws.FILTER(OFFSET($O$15,0,$DN221,$B$8,1),OFFSET($M$15,0,0,$B$8,1))=DS$13), 1*(_xlfn._xlws.FILTER(OFFSET($O$15,0,$DO221,$B$8,1),OFFSET($M$15,0,0,$B$8,1))=DS$14))   /   SUM(OFFSET($BO$15,0,0,$B$14,1)) + $B$18/($B$19*$B$19*($DN221&lt;&gt;$DO221) + $B$19*($DN221=$DO221))</f>
        <v>0.48537037037037034</v>
      </c>
      <c r="DT221" s="10" cm="1">
        <f t="array" aca="1" ref="DT221" ca="1">(1-$B$18)*SUMPRODUCT(OFFSET($BO$15,0,0,$B$14,1), 1*(_xlfn._xlws.FILTER(OFFSET($O$15,0,$DN221,$B$8,1),OFFSET($M$15,0,0,$B$8,1))=DT$13), 1*(_xlfn._xlws.FILTER(OFFSET($O$15,0,$DO221,$B$8,1),OFFSET($M$15,0,0,$B$8,1))=DT$14))   /   SUM(OFFSET($BO$15,0,0,$B$14,1)) + $B$18/($B$19*$B$19*($DN221&lt;&gt;$DO221) + $B$19*($DN221=$DO221))</f>
        <v>3.7037037037037035E-4</v>
      </c>
      <c r="DU221" s="10" cm="1">
        <f t="array" aca="1" ref="DU221" ca="1">(1-$B$18)*SUMPRODUCT(OFFSET($BO$15,0,0,$B$14,1), 1*(_xlfn._xlws.FILTER(OFFSET($O$15,0,$DN221,$B$8,1),OFFSET($M$15,0,0,$B$8,1))=DU$13), 1*(_xlfn._xlws.FILTER(OFFSET($O$15,0,$DO221,$B$8,1),OFFSET($M$15,0,0,$B$8,1))=DU$14))   /   SUM(OFFSET($BO$15,0,0,$B$14,1)) + $B$18/($B$19*$B$19*($DN221&lt;&gt;$DO221) + $B$19*($DN221=$DO221))</f>
        <v>3.7037037037037035E-4</v>
      </c>
      <c r="DV221" s="10" cm="1">
        <f t="array" aca="1" ref="DV221" ca="1">(1-$B$18)*SUMPRODUCT(OFFSET($BO$15,0,0,$B$14,1), 1*(_xlfn._xlws.FILTER(OFFSET($O$15,0,$DN221,$B$8,1),OFFSET($M$15,0,0,$B$8,1))=DV$13), 1*(_xlfn._xlws.FILTER(OFFSET($O$15,0,$DO221,$B$8,1),OFFSET($M$15,0,0,$B$8,1))=DV$14))   /   SUM(OFFSET($BO$15,0,0,$B$14,1)) + $B$18/($B$19*$B$19*($DN221&lt;&gt;$DO221) + $B$19*($DN221=$DO221))</f>
        <v>3.7037037037037035E-4</v>
      </c>
      <c r="DW221" s="10" cm="1">
        <f t="array" aca="1" ref="DW221" ca="1">(1-$B$18)*SUMPRODUCT(OFFSET($BO$15,0,0,$B$14,1), 1*(_xlfn._xlws.FILTER(OFFSET($O$15,0,$DN221,$B$8,1),OFFSET($M$15,0,0,$B$8,1))=DW$13), 1*(_xlfn._xlws.FILTER(OFFSET($O$15,0,$DO221,$B$8,1),OFFSET($M$15,0,0,$B$8,1))=DW$14))   /   SUM(OFFSET($BO$15,0,0,$B$14,1)) + $B$18/($B$19*$B$19*($DN221&lt;&gt;$DO221) + $B$19*($DN221=$DO221))</f>
        <v>3.7037037037037035E-4</v>
      </c>
      <c r="DX221" s="10" cm="1">
        <f t="array" aca="1" ref="DX221" ca="1">(1-$B$18)*SUMPRODUCT(OFFSET($BO$15,0,0,$B$14,1), 1*(_xlfn._xlws.FILTER(OFFSET($O$15,0,$DN221,$B$8,1),OFFSET($M$15,0,0,$B$8,1))=DX$13), 1*(_xlfn._xlws.FILTER(OFFSET($O$15,0,$DO221,$B$8,1),OFFSET($M$15,0,0,$B$8,1))=DX$14))   /   SUM(OFFSET($BO$15,0,0,$B$14,1)) + $B$18/($B$19*$B$19*($DN221&lt;&gt;$DO221) + $B$19*($DN221=$DO221))</f>
        <v>3.7037037037037035E-4</v>
      </c>
      <c r="DY221" s="10" cm="1">
        <f t="array" aca="1" ref="DY221" ca="1">(1-$B$18)*SUMPRODUCT(OFFSET($BO$15,0,0,$B$14,1), 1*(_xlfn._xlws.FILTER(OFFSET($O$15,0,$DN221,$B$8,1),OFFSET($M$15,0,0,$B$8,1))=DY$13), 1*(_xlfn._xlws.FILTER(OFFSET($O$15,0,$DO221,$B$8,1),OFFSET($M$15,0,0,$B$8,1))=DY$14))   /   SUM(OFFSET($BO$15,0,0,$B$14,1)) + $B$18/($B$19*$B$19*($DN221&lt;&gt;$DO221) + $B$19*($DN221=$DO221))</f>
        <v>3.7037037037037035E-4</v>
      </c>
      <c r="DZ221" s="10" cm="1">
        <f t="array" aca="1" ref="DZ221" ca="1">(1-$B$18)*SUMPRODUCT(OFFSET($BO$15,0,0,$B$14,1), 1*(_xlfn._xlws.FILTER(OFFSET($O$15,0,$DN221,$B$8,1),OFFSET($M$15,0,0,$B$8,1))=DZ$13), 1*(_xlfn._xlws.FILTER(OFFSET($O$15,0,$DO221,$B$8,1),OFFSET($M$15,0,0,$B$8,1))=DZ$14))   /   SUM(OFFSET($BO$15,0,0,$B$14,1)) + $B$18/($B$19*$B$19*($DN221&lt;&gt;$DO221) + $B$19*($DN221=$DO221))</f>
        <v>3.7037037037037035E-4</v>
      </c>
      <c r="EA221" s="10" cm="1">
        <f t="array" aca="1" ref="EA221" ca="1">(1-$B$18)*SUMPRODUCT(OFFSET($BO$15,0,0,$B$14,1), 1*(_xlfn._xlws.FILTER(OFFSET($O$15,0,$DN221,$B$8,1),OFFSET($M$15,0,0,$B$8,1))=EA$13), 1*(_xlfn._xlws.FILTER(OFFSET($O$15,0,$DO221,$B$8,1),OFFSET($M$15,0,0,$B$8,1))=EA$14))   /   SUM(OFFSET($BO$15,0,0,$B$14,1)) + $B$18/($B$19*$B$19*($DN221&lt;&gt;$DO221) + $B$19*($DN221=$DO221))</f>
        <v>3.7037037037037035E-4</v>
      </c>
      <c r="EB221" s="10" cm="1">
        <f t="array" aca="1" ref="EB221" ca="1">(1-$B$18)*SUMPRODUCT(OFFSET($BO$15,0,0,$B$14,1), 1*(_xlfn._xlws.FILTER(OFFSET($O$15,0,$DN221,$B$8,1),OFFSET($M$15,0,0,$B$8,1))=EB$13), 1*(_xlfn._xlws.FILTER(OFFSET($O$15,0,$DO221,$B$8,1),OFFSET($M$15,0,0,$B$8,1))=EB$14))   /   SUM(OFFSET($BO$15,0,0,$B$14,1)) + $B$18/($B$19*$B$19*($DN221&lt;&gt;$DO221) + $B$19*($DN221=$DO221))</f>
        <v>3.7037037037037035E-4</v>
      </c>
      <c r="EC221" s="10" cm="1">
        <f t="array" aca="1" ref="EC221" ca="1">(1-$B$18)*SUMPRODUCT(OFFSET($BO$15,0,0,$B$14,1), 1*(_xlfn._xlws.FILTER(OFFSET($O$15,0,$DN221,$B$8,1),OFFSET($M$15,0,0,$B$8,1))=EC$13), 1*(_xlfn._xlws.FILTER(OFFSET($O$15,0,$DO221,$B$8,1),OFFSET($M$15,0,0,$B$8,1))=EC$14))   /   SUM(OFFSET($BO$15,0,0,$B$14,1)) + $B$18/($B$19*$B$19*($DN221&lt;&gt;$DO221) + $B$19*($DN221=$DO221))</f>
        <v>3.7037037037037035E-4</v>
      </c>
      <c r="ED221" s="10" cm="1">
        <f t="array" aca="1" ref="ED221" ca="1">(1-$B$18)*SUMPRODUCT(OFFSET($BO$15,0,0,$B$14,1), 1*(_xlfn._xlws.FILTER(OFFSET($O$15,0,$DN221,$B$8,1),OFFSET($M$15,0,0,$B$8,1))=ED$13), 1*(_xlfn._xlws.FILTER(OFFSET($O$15,0,$DO221,$B$8,1),OFFSET($M$15,0,0,$B$8,1))=ED$14))   /   SUM(OFFSET($BO$15,0,0,$B$14,1)) + $B$18/($B$19*$B$19*($DN221&lt;&gt;$DO221) + $B$19*($DN221=$DO221))</f>
        <v>3.7037037037037035E-4</v>
      </c>
      <c r="EE221" s="10" cm="1">
        <f t="array" aca="1" ref="EE221" ca="1">(1-$B$18)*SUMPRODUCT(OFFSET($BO$15,0,0,$B$14,1), 1*(_xlfn._xlws.FILTER(OFFSET($O$15,0,$DN221,$B$8,1),OFFSET($M$15,0,0,$B$8,1))=EE$13), 1*(_xlfn._xlws.FILTER(OFFSET($O$15,0,$DO221,$B$8,1),OFFSET($M$15,0,0,$B$8,1))=EE$14))   /   SUM(OFFSET($BO$15,0,0,$B$14,1)) + $B$18/($B$19*$B$19*($DN221&lt;&gt;$DO221) + $B$19*($DN221=$DO221))</f>
        <v>3.7037037037037035E-4</v>
      </c>
      <c r="EF221" s="10" cm="1">
        <f t="array" aca="1" ref="EF221" ca="1">(1-$B$18)*SUMPRODUCT(OFFSET($BO$15,0,0,$B$14,1), 1*(_xlfn._xlws.FILTER(OFFSET($O$15,0,$DN221,$B$8,1),OFFSET($M$15,0,0,$B$8,1))=EF$13), 1*(_xlfn._xlws.FILTER(OFFSET($O$15,0,$DO221,$B$8,1),OFFSET($M$15,0,0,$B$8,1))=EF$14))   /   SUM(OFFSET($BO$15,0,0,$B$14,1)) + $B$18/($B$19*$B$19*($DN221&lt;&gt;$DO221) + $B$19*($DN221=$DO221))</f>
        <v>3.7037037037037035E-4</v>
      </c>
      <c r="EG221" s="10" cm="1">
        <f t="array" aca="1" ref="EG221" ca="1">(1-$B$18)*SUMPRODUCT(OFFSET($BO$15,0,0,$B$14,1), 1*(_xlfn._xlws.FILTER(OFFSET($O$15,0,$DN221,$B$8,1),OFFSET($M$15,0,0,$B$8,1))=EG$13), 1*(_xlfn._xlws.FILTER(OFFSET($O$15,0,$DO221,$B$8,1),OFFSET($M$15,0,0,$B$8,1))=EG$14))   /   SUM(OFFSET($BO$15,0,0,$B$14,1)) + $B$18/($B$19*$B$19*($DN221&lt;&gt;$DO221) + $B$19*($DN221=$DO221))</f>
        <v>3.7037037037037035E-4</v>
      </c>
      <c r="EH221" s="10" cm="1">
        <f t="array" aca="1" ref="EH221" ca="1">(1-$B$18)*SUMPRODUCT(OFFSET($BO$15,0,0,$B$14,1), 1*(_xlfn._xlws.FILTER(OFFSET($O$15,0,$DN221,$B$8,1),OFFSET($M$15,0,0,$B$8,1))=EH$13), 1*(_xlfn._xlws.FILTER(OFFSET($O$15,0,$DO221,$B$8,1),OFFSET($M$15,0,0,$B$8,1))=EH$14))   /   SUM(OFFSET($BO$15,0,0,$B$14,1)) + $B$18/($B$19*$B$19*($DN221&lt;&gt;$DO221) + $B$19*($DN221=$DO221))</f>
        <v>3.7037037037037035E-4</v>
      </c>
      <c r="EI221" s="10" cm="1">
        <f t="array" aca="1" ref="EI221" ca="1">(1-$B$18)*SUMPRODUCT(OFFSET($BO$15,0,0,$B$14,1), 1*(_xlfn._xlws.FILTER(OFFSET($O$15,0,$DN221,$B$8,1),OFFSET($M$15,0,0,$B$8,1))=EI$13), 1*(_xlfn._xlws.FILTER(OFFSET($O$15,0,$DO221,$B$8,1),OFFSET($M$15,0,0,$B$8,1))=EI$14))   /   SUM(OFFSET($BO$15,0,0,$B$14,1)) + $B$18/($B$19*$B$19*($DN221&lt;&gt;$DO221) + $B$19*($DN221=$DO221))</f>
        <v>0.24287037037037026</v>
      </c>
      <c r="EJ221" s="10" cm="1">
        <f t="array" aca="1" ref="EJ221" ca="1">(1-$B$18)*SUMPRODUCT(OFFSET($BO$15,0,0,$B$14,1), 1*(_xlfn._xlws.FILTER(OFFSET($O$15,0,$DN221,$B$8,1),OFFSET($M$15,0,0,$B$8,1))=EJ$13), 1*(_xlfn._xlws.FILTER(OFFSET($O$15,0,$DO221,$B$8,1),OFFSET($M$15,0,0,$B$8,1))=EJ$14))   /   SUM(OFFSET($BO$15,0,0,$B$14,1)) + $B$18/($B$19*$B$19*($DN221&lt;&gt;$DO221) + $B$19*($DN221=$DO221))</f>
        <v>3.7037037037037035E-4</v>
      </c>
      <c r="EK221" s="10" cm="1">
        <f t="array" aca="1" ref="EK221" ca="1">(1-$B$18)*SUMPRODUCT(OFFSET($BO$15,0,0,$B$14,1), 1*(_xlfn._xlws.FILTER(OFFSET($O$15,0,$DN221,$B$8,1),OFFSET($M$15,0,0,$B$8,1))=EK$13), 1*(_xlfn._xlws.FILTER(OFFSET($O$15,0,$DO221,$B$8,1),OFFSET($M$15,0,0,$B$8,1))=EK$14))   /   SUM(OFFSET($BO$15,0,0,$B$14,1)) + $B$18/($B$19*$B$19*($DN221&lt;&gt;$DO221) + $B$19*($DN221=$DO221))</f>
        <v>3.7037037037037035E-4</v>
      </c>
      <c r="EL221" s="10" cm="1">
        <f t="array" aca="1" ref="EL221" ca="1">(1-$B$18)*SUMPRODUCT(OFFSET($BO$15,0,0,$B$14,1), 1*(_xlfn._xlws.FILTER(OFFSET($O$15,0,$DN221,$B$8,1),OFFSET($M$15,0,0,$B$8,1))=EL$13), 1*(_xlfn._xlws.FILTER(OFFSET($O$15,0,$DO221,$B$8,1),OFFSET($M$15,0,0,$B$8,1))=EL$14))   /   SUM(OFFSET($BO$15,0,0,$B$14,1)) + $B$18/($B$19*$B$19*($DN221&lt;&gt;$DO221) + $B$19*($DN221=$DO221))</f>
        <v>3.7037037037037035E-4</v>
      </c>
      <c r="EM221" s="10" cm="1">
        <f t="array" aca="1" ref="EM221" ca="1">(1-$B$18)*SUMPRODUCT(OFFSET($BO$15,0,0,$B$14,1), 1*(_xlfn._xlws.FILTER(OFFSET($O$15,0,$DN221,$B$8,1),OFFSET($M$15,0,0,$B$8,1))=EM$13), 1*(_xlfn._xlws.FILTER(OFFSET($O$15,0,$DO221,$B$8,1),OFFSET($M$15,0,0,$B$8,1))=EM$14))   /   SUM(OFFSET($BO$15,0,0,$B$14,1)) + $B$18/($B$19*$B$19*($DN221&lt;&gt;$DO221) + $B$19*($DN221=$DO221))</f>
        <v>3.7037037037037035E-4</v>
      </c>
      <c r="EN221" s="10" cm="1">
        <f t="array" aca="1" ref="EN221" ca="1">(1-$B$18)*SUMPRODUCT(OFFSET($BO$15,0,0,$B$14,1), 1*(_xlfn._xlws.FILTER(OFFSET($O$15,0,$DN221,$B$8,1),OFFSET($M$15,0,0,$B$8,1))=EN$13), 1*(_xlfn._xlws.FILTER(OFFSET($O$15,0,$DO221,$B$8,1),OFFSET($M$15,0,0,$B$8,1))=EN$14))   /   SUM(OFFSET($BO$15,0,0,$B$14,1)) + $B$18/($B$19*$B$19*($DN221&lt;&gt;$DO221) + $B$19*($DN221=$DO221))</f>
        <v>3.7037037037037035E-4</v>
      </c>
      <c r="EO221" s="10" cm="1">
        <f t="array" aca="1" ref="EO221" ca="1">(1-$B$18)*SUMPRODUCT(OFFSET($BO$15,0,0,$B$14,1), 1*(_xlfn._xlws.FILTER(OFFSET($O$15,0,$DN221,$B$8,1),OFFSET($M$15,0,0,$B$8,1))=EO$13), 1*(_xlfn._xlws.FILTER(OFFSET($O$15,0,$DO221,$B$8,1),OFFSET($M$15,0,0,$B$8,1))=EO$14))   /   SUM(OFFSET($BO$15,0,0,$B$14,1)) + $B$18/($B$19*$B$19*($DN221&lt;&gt;$DO221) + $B$19*($DN221=$DO221))</f>
        <v>3.7037037037037035E-4</v>
      </c>
      <c r="EP221" s="10" cm="1">
        <f t="array" aca="1" ref="EP221" ca="1">(1-$B$18)*SUMPRODUCT(OFFSET($BO$15,0,0,$B$14,1), 1*(_xlfn._xlws.FILTER(OFFSET($O$15,0,$DN221,$B$8,1),OFFSET($M$15,0,0,$B$8,1))=EP$13), 1*(_xlfn._xlws.FILTER(OFFSET($O$15,0,$DO221,$B$8,1),OFFSET($M$15,0,0,$B$8,1))=EP$14))   /   SUM(OFFSET($BO$15,0,0,$B$14,1)) + $B$18/($B$19*$B$19*($DN221&lt;&gt;$DO221) + $B$19*($DN221=$DO221))</f>
        <v>3.7037037037037035E-4</v>
      </c>
      <c r="EQ221" s="10" cm="1">
        <f t="array" aca="1" ref="EQ221" ca="1">(1-$B$18)*SUMPRODUCT(OFFSET($BO$15,0,0,$B$14,1), 1*(_xlfn._xlws.FILTER(OFFSET($O$15,0,$DN221,$B$8,1),OFFSET($M$15,0,0,$B$8,1))=EQ$13), 1*(_xlfn._xlws.FILTER(OFFSET($O$15,0,$DO221,$B$8,1),OFFSET($M$15,0,0,$B$8,1))=EQ$14))   /   SUM(OFFSET($BO$15,0,0,$B$14,1)) + $B$18/($B$19*$B$19*($DN221&lt;&gt;$DO221) + $B$19*($DN221=$DO221))</f>
        <v>0.24287037037037026</v>
      </c>
      <c r="ER221" s="10" cm="1">
        <f t="array" aca="1" ref="ER221" ca="1">(1-$B$18)*SUMPRODUCT(OFFSET($BO$15,0,0,$B$14,1), 1*(_xlfn._xlws.FILTER(OFFSET($O$15,0,$DN221,$B$8,1),OFFSET($M$15,0,0,$B$8,1))=ER$13), 1*(_xlfn._xlws.FILTER(OFFSET($O$15,0,$DO221,$B$8,1),OFFSET($M$15,0,0,$B$8,1))=ER$14))   /   SUM(OFFSET($BO$15,0,0,$B$14,1)) + $B$18/($B$19*$B$19*($DN221&lt;&gt;$DO221) + $B$19*($DN221=$DO221))</f>
        <v>3.7037037037037035E-4</v>
      </c>
      <c r="ES221" s="10" cm="1">
        <f t="array" aca="1" ref="ES221" ca="1">(1-$B$18)*SUMPRODUCT(OFFSET($BO$15,0,0,$B$14,1), 1*(_xlfn._xlws.FILTER(OFFSET($O$15,0,$DN221,$B$8,1),OFFSET($M$15,0,0,$B$8,1))=ES$13), 1*(_xlfn._xlws.FILTER(OFFSET($O$15,0,$DO221,$B$8,1),OFFSET($M$15,0,0,$B$8,1))=ES$14))   /   SUM(OFFSET($BO$15,0,0,$B$14,1)) + $B$18/($B$19*$B$19*($DN221&lt;&gt;$DO221) + $B$19*($DN221=$DO221))</f>
        <v>3.7037037037037035E-4</v>
      </c>
      <c r="ET221" s="10" cm="1">
        <f t="array" aca="1" ref="ET221" ca="1">(1-$B$18)*SUMPRODUCT(OFFSET($BO$15,0,0,$B$14,1), 1*(_xlfn._xlws.FILTER(OFFSET($O$15,0,$DN221,$B$8,1),OFFSET($M$15,0,0,$B$8,1))=ET$13), 1*(_xlfn._xlws.FILTER(OFFSET($O$15,0,$DO221,$B$8,1),OFFSET($M$15,0,0,$B$8,1))=ET$14))   /   SUM(OFFSET($BO$15,0,0,$B$14,1)) + $B$18/($B$19*$B$19*($DN221&lt;&gt;$DO221) + $B$19*($DN221=$DO221))</f>
        <v>3.7037037037037035E-4</v>
      </c>
      <c r="EU221" s="10" cm="1">
        <f t="array" aca="1" ref="EU221" ca="1">(1-$B$18)*SUMPRODUCT(OFFSET($BO$15,0,0,$B$14,1), 1*(_xlfn._xlws.FILTER(OFFSET($O$15,0,$DN221,$B$8,1),OFFSET($M$15,0,0,$B$8,1))=EU$13), 1*(_xlfn._xlws.FILTER(OFFSET($O$15,0,$DO221,$B$8,1),OFFSET($M$15,0,0,$B$8,1))=EU$14))   /   SUM(OFFSET($BO$15,0,0,$B$14,1)) + $B$18/($B$19*$B$19*($DN221&lt;&gt;$DO221) + $B$19*($DN221=$DO221))</f>
        <v>3.7037037037037035E-4</v>
      </c>
      <c r="EV221" s="10" cm="1">
        <f t="array" aca="1" ref="EV221" ca="1">(1-$B$18)*SUMPRODUCT(OFFSET($BO$15,0,0,$B$14,1), 1*(_xlfn._xlws.FILTER(OFFSET($O$15,0,$DN221,$B$8,1),OFFSET($M$15,0,0,$B$8,1))=EV$13), 1*(_xlfn._xlws.FILTER(OFFSET($O$15,0,$DO221,$B$8,1),OFFSET($M$15,0,0,$B$8,1))=EV$14))   /   SUM(OFFSET($BO$15,0,0,$B$14,1)) + $B$18/($B$19*$B$19*($DN221&lt;&gt;$DO221) + $B$19*($DN221=$DO221))</f>
        <v>3.7037037037037035E-4</v>
      </c>
      <c r="EW221" s="10" cm="1">
        <f t="array" aca="1" ref="EW221" ca="1">(1-$B$18)*SUMPRODUCT(OFFSET($BO$15,0,0,$B$14,1), 1*(_xlfn._xlws.FILTER(OFFSET($O$15,0,$DN221,$B$8,1),OFFSET($M$15,0,0,$B$8,1))=EW$13), 1*(_xlfn._xlws.FILTER(OFFSET($O$15,0,$DO221,$B$8,1),OFFSET($M$15,0,0,$B$8,1))=EW$14))   /   SUM(OFFSET($BO$15,0,0,$B$14,1)) + $B$18/($B$19*$B$19*($DN221&lt;&gt;$DO221) + $B$19*($DN221=$DO221))</f>
        <v>3.7037037037037035E-4</v>
      </c>
      <c r="EX221" s="10" cm="1">
        <f t="array" aca="1" ref="EX221" ca="1">(1-$B$18)*SUMPRODUCT(OFFSET($BO$15,0,0,$B$14,1), 1*(_xlfn._xlws.FILTER(OFFSET($O$15,0,$DN221,$B$8,1),OFFSET($M$15,0,0,$B$8,1))=EX$13), 1*(_xlfn._xlws.FILTER(OFFSET($O$15,0,$DO221,$B$8,1),OFFSET($M$15,0,0,$B$8,1))=EX$14))   /   SUM(OFFSET($BO$15,0,0,$B$14,1)) + $B$18/($B$19*$B$19*($DN221&lt;&gt;$DO221) + $B$19*($DN221=$DO221))</f>
        <v>3.7037037037037035E-4</v>
      </c>
      <c r="EY221" s="10" cm="1">
        <f t="array" aca="1" ref="EY221" ca="1">(1-$B$18)*SUMPRODUCT(OFFSET($BO$15,0,0,$B$14,1), 1*(_xlfn._xlws.FILTER(OFFSET($O$15,0,$DN221,$B$8,1),OFFSET($M$15,0,0,$B$8,1))=EY$13), 1*(_xlfn._xlws.FILTER(OFFSET($O$15,0,$DO221,$B$8,1),OFFSET($M$15,0,0,$B$8,1))=EY$14))   /   SUM(OFFSET($BO$15,0,0,$B$14,1)) + $B$18/($B$19*$B$19*($DN221&lt;&gt;$DO221) + $B$19*($DN221=$DO221))</f>
        <v>3.7037037037037035E-4</v>
      </c>
      <c r="EZ221" s="10" cm="1">
        <f t="array" aca="1" ref="EZ221" ca="1">(1-$B$18)*SUMPRODUCT(OFFSET($BO$15,0,0,$B$14,1), 1*(_xlfn._xlws.FILTER(OFFSET($O$15,0,$DN221,$B$8,1),OFFSET($M$15,0,0,$B$8,1))=EZ$13), 1*(_xlfn._xlws.FILTER(OFFSET($O$15,0,$DO221,$B$8,1),OFFSET($M$15,0,0,$B$8,1))=EZ$14))   /   SUM(OFFSET($BO$15,0,0,$B$14,1)) + $B$18/($B$19*$B$19*($DN221&lt;&gt;$DO221) + $B$19*($DN221=$DO221))</f>
        <v>3.7037037037037035E-4</v>
      </c>
      <c r="FA221" s="10" cm="1">
        <f t="array" aca="1" ref="FA221" ca="1">(1-$B$18)*SUMPRODUCT(OFFSET($BO$15,0,0,$B$14,1), 1*(_xlfn._xlws.FILTER(OFFSET($O$15,0,$DN221,$B$8,1),OFFSET($M$15,0,0,$B$8,1))=FA$13), 1*(_xlfn._xlws.FILTER(OFFSET($O$15,0,$DO221,$B$8,1),OFFSET($M$15,0,0,$B$8,1))=FA$14))   /   SUM(OFFSET($BO$15,0,0,$B$14,1)) + $B$18/($B$19*$B$19*($DN221&lt;&gt;$DO221) + $B$19*($DN221=$DO221))</f>
        <v>3.7037037037037035E-4</v>
      </c>
      <c r="FB221" s="10" cm="1">
        <f t="array" aca="1" ref="FB221" ca="1">(1-$B$18)*SUMPRODUCT(OFFSET($BO$15,0,0,$B$14,1), 1*(_xlfn._xlws.FILTER(OFFSET($O$15,0,$DN221,$B$8,1),OFFSET($M$15,0,0,$B$8,1))=FB$13), 1*(_xlfn._xlws.FILTER(OFFSET($O$15,0,$DO221,$B$8,1),OFFSET($M$15,0,0,$B$8,1))=FB$14))   /   SUM(OFFSET($BO$15,0,0,$B$14,1)) + $B$18/($B$19*$B$19*($DN221&lt;&gt;$DO221) + $B$19*($DN221=$DO221))</f>
        <v>3.7037037037037035E-4</v>
      </c>
      <c r="FC221" s="10" cm="1">
        <f t="array" aca="1" ref="FC221" ca="1">(1-$B$18)*SUMPRODUCT(OFFSET($BO$15,0,0,$B$14,1), 1*(_xlfn._xlws.FILTER(OFFSET($O$15,0,$DN221,$B$8,1),OFFSET($M$15,0,0,$B$8,1))=FC$13), 1*(_xlfn._xlws.FILTER(OFFSET($O$15,0,$DO221,$B$8,1),OFFSET($M$15,0,0,$B$8,1))=FC$14))   /   SUM(OFFSET($BO$15,0,0,$B$14,1)) + $B$18/($B$19*$B$19*($DN221&lt;&gt;$DO221) + $B$19*($DN221=$DO221))</f>
        <v>3.7037037037037035E-4</v>
      </c>
      <c r="FD221" s="10" cm="1">
        <f t="array" aca="1" ref="FD221" ca="1">(1-$B$18)*SUMPRODUCT(OFFSET($BO$15,0,0,$B$14,1), 1*(_xlfn._xlws.FILTER(OFFSET($O$15,0,$DN221,$B$8,1),OFFSET($M$15,0,0,$B$8,1))=FD$13), 1*(_xlfn._xlws.FILTER(OFFSET($O$15,0,$DO221,$B$8,1),OFFSET($M$15,0,0,$B$8,1))=FD$14))   /   SUM(OFFSET($BO$15,0,0,$B$14,1)) + $B$18/($B$19*$B$19*($DN221&lt;&gt;$DO221) + $B$19*($DN221=$DO221))</f>
        <v>3.7037037037037035E-4</v>
      </c>
      <c r="FE221" s="10" cm="1">
        <f t="array" aca="1" ref="FE221" ca="1">(1-$B$18)*SUMPRODUCT(OFFSET($BO$15,0,0,$B$14,1), 1*(_xlfn._xlws.FILTER(OFFSET($O$15,0,$DN221,$B$8,1),OFFSET($M$15,0,0,$B$8,1))=FE$13), 1*(_xlfn._xlws.FILTER(OFFSET($O$15,0,$DO221,$B$8,1),OFFSET($M$15,0,0,$B$8,1))=FE$14))   /   SUM(OFFSET($BO$15,0,0,$B$14,1)) + $B$18/($B$19*$B$19*($DN221&lt;&gt;$DO221) + $B$19*($DN221=$DO221))</f>
        <v>3.7037037037037035E-4</v>
      </c>
      <c r="FF221" s="10" cm="1">
        <f t="array" aca="1" ref="FF221" ca="1">(1-$B$18)*SUMPRODUCT(OFFSET($BO$15,0,0,$B$14,1), 1*(_xlfn._xlws.FILTER(OFFSET($O$15,0,$DN221,$B$8,1),OFFSET($M$15,0,0,$B$8,1))=FF$13), 1*(_xlfn._xlws.FILTER(OFFSET($O$15,0,$DO221,$B$8,1),OFFSET($M$15,0,0,$B$8,1))=FF$14))   /   SUM(OFFSET($BO$15,0,0,$B$14,1)) + $B$18/($B$19*$B$19*($DN221&lt;&gt;$DO221) + $B$19*($DN221=$DO221))</f>
        <v>3.7037037037037035E-4</v>
      </c>
      <c r="FG221" s="10" cm="1">
        <f t="array" aca="1" ref="FG221" ca="1">(1-$B$18)*SUMPRODUCT(OFFSET($BO$15,0,0,$B$14,1), 1*(_xlfn._xlws.FILTER(OFFSET($O$15,0,$DN221,$B$8,1),OFFSET($M$15,0,0,$B$8,1))=FG$13), 1*(_xlfn._xlws.FILTER(OFFSET($O$15,0,$DO221,$B$8,1),OFFSET($M$15,0,0,$B$8,1))=FG$14))   /   SUM(OFFSET($BO$15,0,0,$B$14,1)) + $B$18/($B$19*$B$19*($DN221&lt;&gt;$DO221) + $B$19*($DN221=$DO221))</f>
        <v>3.7037037037037035E-4</v>
      </c>
      <c r="FH221" s="10" cm="1">
        <f t="array" aca="1" ref="FH221" ca="1">(1-$B$18)*SUMPRODUCT(OFFSET($BO$15,0,0,$B$14,1), 1*(_xlfn._xlws.FILTER(OFFSET($O$15,0,$DN221,$B$8,1),OFFSET($M$15,0,0,$B$8,1))=FH$13), 1*(_xlfn._xlws.FILTER(OFFSET($O$15,0,$DO221,$B$8,1),OFFSET($M$15,0,0,$B$8,1))=FH$14))   /   SUM(OFFSET($BO$15,0,0,$B$14,1)) + $B$18/($B$19*$B$19*($DN221&lt;&gt;$DO221) + $B$19*($DN221=$DO221))</f>
        <v>3.7037037037037035E-4</v>
      </c>
      <c r="FI221" s="10" cm="1">
        <f t="array" aca="1" ref="FI221" ca="1">(1-$B$18)*SUMPRODUCT(OFFSET($BO$15,0,0,$B$14,1), 1*(_xlfn._xlws.FILTER(OFFSET($O$15,0,$DN221,$B$8,1),OFFSET($M$15,0,0,$B$8,1))=FI$13), 1*(_xlfn._xlws.FILTER(OFFSET($O$15,0,$DO221,$B$8,1),OFFSET($M$15,0,0,$B$8,1))=FI$14))   /   SUM(OFFSET($BO$15,0,0,$B$14,1)) + $B$18/($B$19*$B$19*($DN221&lt;&gt;$DO221) + $B$19*($DN221=$DO221))</f>
        <v>3.7037037037037035E-4</v>
      </c>
      <c r="FJ221" s="10" cm="1">
        <f t="array" aca="1" ref="FJ221" ca="1">(1-$B$18)*SUMPRODUCT(OFFSET($BO$15,0,0,$B$14,1), 1*(_xlfn._xlws.FILTER(OFFSET($O$15,0,$DN221,$B$8,1),OFFSET($M$15,0,0,$B$8,1))=FJ$13), 1*(_xlfn._xlws.FILTER(OFFSET($O$15,0,$DO221,$B$8,1),OFFSET($M$15,0,0,$B$8,1))=FJ$14))   /   SUM(OFFSET($BO$15,0,0,$B$14,1)) + $B$18/($B$19*$B$19*($DN221&lt;&gt;$DO221) + $B$19*($DN221=$DO221))</f>
        <v>3.7037037037037035E-4</v>
      </c>
      <c r="FK221" s="10" cm="1">
        <f t="array" aca="1" ref="FK221" ca="1">(1-$B$18)*SUMPRODUCT(OFFSET($BO$15,0,0,$B$14,1), 1*(_xlfn._xlws.FILTER(OFFSET($O$15,0,$DN221,$B$8,1),OFFSET($M$15,0,0,$B$8,1))=FK$13), 1*(_xlfn._xlws.FILTER(OFFSET($O$15,0,$DO221,$B$8,1),OFFSET($M$15,0,0,$B$8,1))=FK$14))   /   SUM(OFFSET($BO$15,0,0,$B$14,1)) + $B$18/($B$19*$B$19*($DN221&lt;&gt;$DO221) + $B$19*($DN221=$DO221))</f>
        <v>3.7037037037037035E-4</v>
      </c>
      <c r="FL221" s="10" cm="1">
        <f t="array" aca="1" ref="FL221" ca="1">(1-$B$18)*SUMPRODUCT(OFFSET($BO$15,0,0,$B$14,1), 1*(_xlfn._xlws.FILTER(OFFSET($O$15,0,$DN221,$B$8,1),OFFSET($M$15,0,0,$B$8,1))=FL$13), 1*(_xlfn._xlws.FILTER(OFFSET($O$15,0,$DO221,$B$8,1),OFFSET($M$15,0,0,$B$8,1))=FL$14))   /   SUM(OFFSET($BO$15,0,0,$B$14,1)) + $B$18/($B$19*$B$19*($DN221&lt;&gt;$DO221) + $B$19*($DN221=$DO221))</f>
        <v>3.7037037037037035E-4</v>
      </c>
      <c r="FM221" s="10" cm="1">
        <f t="array" aca="1" ref="FM221" ca="1">(1-$B$18)*SUMPRODUCT(OFFSET($BO$15,0,0,$B$14,1), 1*(_xlfn._xlws.FILTER(OFFSET($O$15,0,$DN221,$B$8,1),OFFSET($M$15,0,0,$B$8,1))=FM$13), 1*(_xlfn._xlws.FILTER(OFFSET($O$15,0,$DO221,$B$8,1),OFFSET($M$15,0,0,$B$8,1))=FM$14))   /   SUM(OFFSET($BO$15,0,0,$B$14,1)) + $B$18/($B$19*$B$19*($DN221&lt;&gt;$DO221) + $B$19*($DN221=$DO221))</f>
        <v>3.7037037037037035E-4</v>
      </c>
      <c r="FN221" s="10" cm="1">
        <f t="array" aca="1" ref="FN221" ca="1">(1-$B$18)*SUMPRODUCT(OFFSET($BO$15,0,0,$B$14,1), 1*(_xlfn._xlws.FILTER(OFFSET($O$15,0,$DN221,$B$8,1),OFFSET($M$15,0,0,$B$8,1))=FN$13), 1*(_xlfn._xlws.FILTER(OFFSET($O$15,0,$DO221,$B$8,1),OFFSET($M$15,0,0,$B$8,1))=FN$14))   /   SUM(OFFSET($BO$15,0,0,$B$14,1)) + $B$18/($B$19*$B$19*($DN221&lt;&gt;$DO221) + $B$19*($DN221=$DO221))</f>
        <v>3.7037037037037035E-4</v>
      </c>
      <c r="FO221" s="10" cm="1">
        <f t="array" aca="1" ref="FO221" ca="1">(1-$B$18)*SUMPRODUCT(OFFSET($BO$15,0,0,$B$14,1), 1*(_xlfn._xlws.FILTER(OFFSET($O$15,0,$DN221,$B$8,1),OFFSET($M$15,0,0,$B$8,1))=FO$13), 1*(_xlfn._xlws.FILTER(OFFSET($O$15,0,$DO221,$B$8,1),OFFSET($M$15,0,0,$B$8,1))=FO$14))   /   SUM(OFFSET($BO$15,0,0,$B$14,1)) + $B$18/($B$19*$B$19*($DN221&lt;&gt;$DO221) + $B$19*($DN221=$DO221))</f>
        <v>3.7037037037037035E-4</v>
      </c>
      <c r="FP221" s="10" cm="1">
        <f t="array" aca="1" ref="FP221" ca="1">(1-$B$18)*SUMPRODUCT(OFFSET($BO$15,0,0,$B$14,1), 1*(_xlfn._xlws.FILTER(OFFSET($O$15,0,$DN221,$B$8,1),OFFSET($M$15,0,0,$B$8,1))=FP$13), 1*(_xlfn._xlws.FILTER(OFFSET($O$15,0,$DO221,$B$8,1),OFFSET($M$15,0,0,$B$8,1))=FP$14))   /   SUM(OFFSET($BO$15,0,0,$B$14,1)) + $B$18/($B$19*$B$19*($DN221&lt;&gt;$DO221) + $B$19*($DN221=$DO221))</f>
        <v>3.7037037037037035E-4</v>
      </c>
      <c r="FQ221" s="10" cm="1">
        <f t="array" aca="1" ref="FQ221" ca="1">(1-$B$18)*SUMPRODUCT(OFFSET($BO$15,0,0,$B$14,1), 1*(_xlfn._xlws.FILTER(OFFSET($O$15,0,$DN221,$B$8,1),OFFSET($M$15,0,0,$B$8,1))=FQ$13), 1*(_xlfn._xlws.FILTER(OFFSET($O$15,0,$DO221,$B$8,1),OFFSET($M$15,0,0,$B$8,1))=FQ$14))   /   SUM(OFFSET($BO$15,0,0,$B$14,1)) + $B$18/($B$19*$B$19*($DN221&lt;&gt;$DO221) + $B$19*($DN221=$DO221))</f>
        <v>3.7037037037037035E-4</v>
      </c>
      <c r="FR221" s="10" cm="1">
        <f t="array" aca="1" ref="FR221" ca="1">(1-$B$18)*SUMPRODUCT(OFFSET($BO$15,0,0,$B$14,1), 1*(_xlfn._xlws.FILTER(OFFSET($O$15,0,$DN221,$B$8,1),OFFSET($M$15,0,0,$B$8,1))=FR$13), 1*(_xlfn._xlws.FILTER(OFFSET($O$15,0,$DO221,$B$8,1),OFFSET($M$15,0,0,$B$8,1))=FR$14))   /   SUM(OFFSET($BO$15,0,0,$B$14,1)) + $B$18/($B$19*$B$19*($DN221&lt;&gt;$DO221) + $B$19*($DN221=$DO221))</f>
        <v>3.7037037037037035E-4</v>
      </c>
      <c r="FS221" s="10" cm="1">
        <f t="array" aca="1" ref="FS221" ca="1">(1-$B$18)*SUMPRODUCT(OFFSET($BO$15,0,0,$B$14,1), 1*(_xlfn._xlws.FILTER(OFFSET($O$15,0,$DN221,$B$8,1),OFFSET($M$15,0,0,$B$8,1))=FS$13), 1*(_xlfn._xlws.FILTER(OFFSET($O$15,0,$DO221,$B$8,1),OFFSET($M$15,0,0,$B$8,1))=FS$14))   /   SUM(OFFSET($BO$15,0,0,$B$14,1)) + $B$18/($B$19*$B$19*($DN221&lt;&gt;$DO221) + $B$19*($DN221=$DO221))</f>
        <v>3.7037037037037035E-4</v>
      </c>
      <c r="FT221" s="10" cm="1">
        <f t="array" aca="1" ref="FT221" ca="1">(1-$B$18)*SUMPRODUCT(OFFSET($BO$15,0,0,$B$14,1), 1*(_xlfn._xlws.FILTER(OFFSET($O$15,0,$DN221,$B$8,1),OFFSET($M$15,0,0,$B$8,1))=FT$13), 1*(_xlfn._xlws.FILTER(OFFSET($O$15,0,$DO221,$B$8,1),OFFSET($M$15,0,0,$B$8,1))=FT$14))   /   SUM(OFFSET($BO$15,0,0,$B$14,1)) + $B$18/($B$19*$B$19*($DN221&lt;&gt;$DO221) + $B$19*($DN221=$DO221))</f>
        <v>3.7037037037037035E-4</v>
      </c>
      <c r="FU221" s="10" cm="1">
        <f t="array" aca="1" ref="FU221" ca="1">(1-$B$18)*SUMPRODUCT(OFFSET($BO$15,0,0,$B$14,1), 1*(_xlfn._xlws.FILTER(OFFSET($O$15,0,$DN221,$B$8,1),OFFSET($M$15,0,0,$B$8,1))=FU$13), 1*(_xlfn._xlws.FILTER(OFFSET($O$15,0,$DO221,$B$8,1),OFFSET($M$15,0,0,$B$8,1))=FU$14))   /   SUM(OFFSET($BO$15,0,0,$B$14,1)) + $B$18/($B$19*$B$19*($DN221&lt;&gt;$DO221) + $B$19*($DN221=$DO221))</f>
        <v>3.7037037037037035E-4</v>
      </c>
      <c r="FV221" s="10" cm="1">
        <f t="array" aca="1" ref="FV221" ca="1">(1-$B$18)*SUMPRODUCT(OFFSET($BO$15,0,0,$B$14,1), 1*(_xlfn._xlws.FILTER(OFFSET($O$15,0,$DN221,$B$8,1),OFFSET($M$15,0,0,$B$8,1))=FV$13), 1*(_xlfn._xlws.FILTER(OFFSET($O$15,0,$DO221,$B$8,1),OFFSET($M$15,0,0,$B$8,1))=FV$14))   /   SUM(OFFSET($BO$15,0,0,$B$14,1)) + $B$18/($B$19*$B$19*($DN221&lt;&gt;$DO221) + $B$19*($DN221=$DO221))</f>
        <v>3.7037037037037035E-4</v>
      </c>
      <c r="FW221" s="10" cm="1">
        <f t="array" aca="1" ref="FW221" ca="1">(1-$B$18)*SUMPRODUCT(OFFSET($BO$15,0,0,$B$14,1), 1*(_xlfn._xlws.FILTER(OFFSET($O$15,0,$DN221,$B$8,1),OFFSET($M$15,0,0,$B$8,1))=FW$13), 1*(_xlfn._xlws.FILTER(OFFSET($O$15,0,$DO221,$B$8,1),OFFSET($M$15,0,0,$B$8,1))=FW$14))   /   SUM(OFFSET($BO$15,0,0,$B$14,1)) + $B$18/($B$19*$B$19*($DN221&lt;&gt;$DO221) + $B$19*($DN221=$DO221))</f>
        <v>3.7037037037037035E-4</v>
      </c>
      <c r="FX221" s="10" cm="1">
        <f t="array" aca="1" ref="FX221" ca="1">(1-$B$18)*SUMPRODUCT(OFFSET($BO$15,0,0,$B$14,1), 1*(_xlfn._xlws.FILTER(OFFSET($O$15,0,$DN221,$B$8,1),OFFSET($M$15,0,0,$B$8,1))=FX$13), 1*(_xlfn._xlws.FILTER(OFFSET($O$15,0,$DO221,$B$8,1),OFFSET($M$15,0,0,$B$8,1))=FX$14))   /   SUM(OFFSET($BO$15,0,0,$B$14,1)) + $B$18/($B$19*$B$19*($DN221&lt;&gt;$DO221) + $B$19*($DN221=$DO221))</f>
        <v>3.7037037037037035E-4</v>
      </c>
      <c r="FY221" s="10" cm="1">
        <f t="array" aca="1" ref="FY221" ca="1">(1-$B$18)*SUMPRODUCT(OFFSET($BO$15,0,0,$B$14,1), 1*(_xlfn._xlws.FILTER(OFFSET($O$15,0,$DN221,$B$8,1),OFFSET($M$15,0,0,$B$8,1))=FY$13), 1*(_xlfn._xlws.FILTER(OFFSET($O$15,0,$DO221,$B$8,1),OFFSET($M$15,0,0,$B$8,1))=FY$14))   /   SUM(OFFSET($BO$15,0,0,$B$14,1)) + $B$18/($B$19*$B$19*($DN221&lt;&gt;$DO221) + $B$19*($DN221=$DO221))</f>
        <v>3.7037037037037035E-4</v>
      </c>
      <c r="FZ221" s="10" cm="1">
        <f t="array" aca="1" ref="FZ221" ca="1">(1-$B$18)*SUMPRODUCT(OFFSET($BO$15,0,0,$B$14,1), 1*(_xlfn._xlws.FILTER(OFFSET($O$15,0,$DN221,$B$8,1),OFFSET($M$15,0,0,$B$8,1))=FZ$13), 1*(_xlfn._xlws.FILTER(OFFSET($O$15,0,$DO221,$B$8,1),OFFSET($M$15,0,0,$B$8,1))=FZ$14))   /   SUM(OFFSET($BO$15,0,0,$B$14,1)) + $B$18/($B$19*$B$19*($DN221&lt;&gt;$DO221) + $B$19*($DN221=$DO221))</f>
        <v>3.7037037037037035E-4</v>
      </c>
      <c r="GA221" s="10" cm="1">
        <f t="array" aca="1" ref="GA221" ca="1">(1-$B$18)*SUMPRODUCT(OFFSET($BO$15,0,0,$B$14,1), 1*(_xlfn._xlws.FILTER(OFFSET($O$15,0,$DN221,$B$8,1),OFFSET($M$15,0,0,$B$8,1))=GA$13), 1*(_xlfn._xlws.FILTER(OFFSET($O$15,0,$DO221,$B$8,1),OFFSET($M$15,0,0,$B$8,1))=GA$14))   /   SUM(OFFSET($BO$15,0,0,$B$14,1)) + $B$18/($B$19*$B$19*($DN221&lt;&gt;$DO221) + $B$19*($DN221=$DO221))</f>
        <v>3.7037037037037035E-4</v>
      </c>
    </row>
    <row r="222" spans="118:183" x14ac:dyDescent="0.2">
      <c r="DN222" cm="1">
        <f t="array" aca="1" ref="DN222" ca="1">INDEX(_xlfn.ANCHORARRAY($CP$15), 1 + INT((ROWS($DO$15:$DO222) - 1) / ROWS(_xlfn.ANCHORARRAY($CP$15))))</f>
        <v>11</v>
      </c>
      <c r="DO222" cm="1">
        <f t="array" aca="1" ref="DO222" ca="1">INDEX(_xlfn.ANCHORARRAY($CP$15),1+MOD(ROWS($DO$15:$DO222)-1,ROWS(_xlfn.ANCHORARRAY($CP$15))))</f>
        <v>20</v>
      </c>
      <c r="DP222" s="10" cm="1">
        <f t="array" aca="1" ref="DP222" ca="1">(1-$B$18)*SUMPRODUCT(OFFSET($BO$15,0,0,$B$14,1), 1*(_xlfn._xlws.FILTER(OFFSET($O$15,0,$DN222,$B$8,1),OFFSET($M$15,0,0,$B$8,1))=DP$13), 1*(_xlfn._xlws.FILTER(OFFSET($O$15,0,$DO222,$B$8,1),OFFSET($M$15,0,0,$B$8,1))=DP$14))   /   SUM(OFFSET($BO$15,0,0,$B$14,1)) + $B$18/($B$19*$B$19*($DN222&lt;&gt;$DO222) + $B$19*($DN222=$DO222))</f>
        <v>3.7037037037037035E-4</v>
      </c>
      <c r="DQ222" s="10" cm="1">
        <f t="array" aca="1" ref="DQ222" ca="1">(1-$B$18)*SUMPRODUCT(OFFSET($BO$15,0,0,$B$14,1), 1*(_xlfn._xlws.FILTER(OFFSET($O$15,0,$DN222,$B$8,1),OFFSET($M$15,0,0,$B$8,1))=DQ$13), 1*(_xlfn._xlws.FILTER(OFFSET($O$15,0,$DO222,$B$8,1),OFFSET($M$15,0,0,$B$8,1))=DQ$14))   /   SUM(OFFSET($BO$15,0,0,$B$14,1)) + $B$18/($B$19*$B$19*($DN222&lt;&gt;$DO222) + $B$19*($DN222=$DO222))</f>
        <v>3.7037037037037035E-4</v>
      </c>
      <c r="DR222" s="10" cm="1">
        <f t="array" aca="1" ref="DR222" ca="1">(1-$B$18)*SUMPRODUCT(OFFSET($BO$15,0,0,$B$14,1), 1*(_xlfn._xlws.FILTER(OFFSET($O$15,0,$DN222,$B$8,1),OFFSET($M$15,0,0,$B$8,1))=DR$13), 1*(_xlfn._xlws.FILTER(OFFSET($O$15,0,$DO222,$B$8,1),OFFSET($M$15,0,0,$B$8,1))=DR$14))   /   SUM(OFFSET($BO$15,0,0,$B$14,1)) + $B$18/($B$19*$B$19*($DN222&lt;&gt;$DO222) + $B$19*($DN222=$DO222))</f>
        <v>3.7037037037037035E-4</v>
      </c>
      <c r="DS222" s="10" cm="1">
        <f t="array" aca="1" ref="DS222" ca="1">(1-$B$18)*SUMPRODUCT(OFFSET($BO$15,0,0,$B$14,1), 1*(_xlfn._xlws.FILTER(OFFSET($O$15,0,$DN222,$B$8,1),OFFSET($M$15,0,0,$B$8,1))=DS$13), 1*(_xlfn._xlws.FILTER(OFFSET($O$15,0,$DO222,$B$8,1),OFFSET($M$15,0,0,$B$8,1))=DS$14))   /   SUM(OFFSET($BO$15,0,0,$B$14,1)) + $B$18/($B$19*$B$19*($DN222&lt;&gt;$DO222) + $B$19*($DN222=$DO222))</f>
        <v>3.7037037037037035E-4</v>
      </c>
      <c r="DT222" s="10" cm="1">
        <f t="array" aca="1" ref="DT222" ca="1">(1-$B$18)*SUMPRODUCT(OFFSET($BO$15,0,0,$B$14,1), 1*(_xlfn._xlws.FILTER(OFFSET($O$15,0,$DN222,$B$8,1),OFFSET($M$15,0,0,$B$8,1))=DT$13), 1*(_xlfn._xlws.FILTER(OFFSET($O$15,0,$DO222,$B$8,1),OFFSET($M$15,0,0,$B$8,1))=DT$14))   /   SUM(OFFSET($BO$15,0,0,$B$14,1)) + $B$18/($B$19*$B$19*($DN222&lt;&gt;$DO222) + $B$19*($DN222=$DO222))</f>
        <v>0.24287037037037024</v>
      </c>
      <c r="DU222" s="10" cm="1">
        <f t="array" aca="1" ref="DU222" ca="1">(1-$B$18)*SUMPRODUCT(OFFSET($BO$15,0,0,$B$14,1), 1*(_xlfn._xlws.FILTER(OFFSET($O$15,0,$DN222,$B$8,1),OFFSET($M$15,0,0,$B$8,1))=DU$13), 1*(_xlfn._xlws.FILTER(OFFSET($O$15,0,$DO222,$B$8,1),OFFSET($M$15,0,0,$B$8,1))=DU$14))   /   SUM(OFFSET($BO$15,0,0,$B$14,1)) + $B$18/($B$19*$B$19*($DN222&lt;&gt;$DO222) + $B$19*($DN222=$DO222))</f>
        <v>0.24287037037037026</v>
      </c>
      <c r="DV222" s="10" cm="1">
        <f t="array" aca="1" ref="DV222" ca="1">(1-$B$18)*SUMPRODUCT(OFFSET($BO$15,0,0,$B$14,1), 1*(_xlfn._xlws.FILTER(OFFSET($O$15,0,$DN222,$B$8,1),OFFSET($M$15,0,0,$B$8,1))=DV$13), 1*(_xlfn._xlws.FILTER(OFFSET($O$15,0,$DO222,$B$8,1),OFFSET($M$15,0,0,$B$8,1))=DV$14))   /   SUM(OFFSET($BO$15,0,0,$B$14,1)) + $B$18/($B$19*$B$19*($DN222&lt;&gt;$DO222) + $B$19*($DN222=$DO222))</f>
        <v>3.7037037037037035E-4</v>
      </c>
      <c r="DW222" s="10" cm="1">
        <f t="array" aca="1" ref="DW222" ca="1">(1-$B$18)*SUMPRODUCT(OFFSET($BO$15,0,0,$B$14,1), 1*(_xlfn._xlws.FILTER(OFFSET($O$15,0,$DN222,$B$8,1),OFFSET($M$15,0,0,$B$8,1))=DW$13), 1*(_xlfn._xlws.FILTER(OFFSET($O$15,0,$DO222,$B$8,1),OFFSET($M$15,0,0,$B$8,1))=DW$14))   /   SUM(OFFSET($BO$15,0,0,$B$14,1)) + $B$18/($B$19*$B$19*($DN222&lt;&gt;$DO222) + $B$19*($DN222=$DO222))</f>
        <v>3.7037037037037035E-4</v>
      </c>
      <c r="DX222" s="10" cm="1">
        <f t="array" aca="1" ref="DX222" ca="1">(1-$B$18)*SUMPRODUCT(OFFSET($BO$15,0,0,$B$14,1), 1*(_xlfn._xlws.FILTER(OFFSET($O$15,0,$DN222,$B$8,1),OFFSET($M$15,0,0,$B$8,1))=DX$13), 1*(_xlfn._xlws.FILTER(OFFSET($O$15,0,$DO222,$B$8,1),OFFSET($M$15,0,0,$B$8,1))=DX$14))   /   SUM(OFFSET($BO$15,0,0,$B$14,1)) + $B$18/($B$19*$B$19*($DN222&lt;&gt;$DO222) + $B$19*($DN222=$DO222))</f>
        <v>3.7037037037037035E-4</v>
      </c>
      <c r="DY222" s="10" cm="1">
        <f t="array" aca="1" ref="DY222" ca="1">(1-$B$18)*SUMPRODUCT(OFFSET($BO$15,0,0,$B$14,1), 1*(_xlfn._xlws.FILTER(OFFSET($O$15,0,$DN222,$B$8,1),OFFSET($M$15,0,0,$B$8,1))=DY$13), 1*(_xlfn._xlws.FILTER(OFFSET($O$15,0,$DO222,$B$8,1),OFFSET($M$15,0,0,$B$8,1))=DY$14))   /   SUM(OFFSET($BO$15,0,0,$B$14,1)) + $B$18/($B$19*$B$19*($DN222&lt;&gt;$DO222) + $B$19*($DN222=$DO222))</f>
        <v>3.7037037037037035E-4</v>
      </c>
      <c r="DZ222" s="10" cm="1">
        <f t="array" aca="1" ref="DZ222" ca="1">(1-$B$18)*SUMPRODUCT(OFFSET($BO$15,0,0,$B$14,1), 1*(_xlfn._xlws.FILTER(OFFSET($O$15,0,$DN222,$B$8,1),OFFSET($M$15,0,0,$B$8,1))=DZ$13), 1*(_xlfn._xlws.FILTER(OFFSET($O$15,0,$DO222,$B$8,1),OFFSET($M$15,0,0,$B$8,1))=DZ$14))   /   SUM(OFFSET($BO$15,0,0,$B$14,1)) + $B$18/($B$19*$B$19*($DN222&lt;&gt;$DO222) + $B$19*($DN222=$DO222))</f>
        <v>3.7037037037037035E-4</v>
      </c>
      <c r="EA222" s="10" cm="1">
        <f t="array" aca="1" ref="EA222" ca="1">(1-$B$18)*SUMPRODUCT(OFFSET($BO$15,0,0,$B$14,1), 1*(_xlfn._xlws.FILTER(OFFSET($O$15,0,$DN222,$B$8,1),OFFSET($M$15,0,0,$B$8,1))=EA$13), 1*(_xlfn._xlws.FILTER(OFFSET($O$15,0,$DO222,$B$8,1),OFFSET($M$15,0,0,$B$8,1))=EA$14))   /   SUM(OFFSET($BO$15,0,0,$B$14,1)) + $B$18/($B$19*$B$19*($DN222&lt;&gt;$DO222) + $B$19*($DN222=$DO222))</f>
        <v>3.7037037037037035E-4</v>
      </c>
      <c r="EB222" s="10" cm="1">
        <f t="array" aca="1" ref="EB222" ca="1">(1-$B$18)*SUMPRODUCT(OFFSET($BO$15,0,0,$B$14,1), 1*(_xlfn._xlws.FILTER(OFFSET($O$15,0,$DN222,$B$8,1),OFFSET($M$15,0,0,$B$8,1))=EB$13), 1*(_xlfn._xlws.FILTER(OFFSET($O$15,0,$DO222,$B$8,1),OFFSET($M$15,0,0,$B$8,1))=EB$14))   /   SUM(OFFSET($BO$15,0,0,$B$14,1)) + $B$18/($B$19*$B$19*($DN222&lt;&gt;$DO222) + $B$19*($DN222=$DO222))</f>
        <v>3.7037037037037035E-4</v>
      </c>
      <c r="EC222" s="10" cm="1">
        <f t="array" aca="1" ref="EC222" ca="1">(1-$B$18)*SUMPRODUCT(OFFSET($BO$15,0,0,$B$14,1), 1*(_xlfn._xlws.FILTER(OFFSET($O$15,0,$DN222,$B$8,1),OFFSET($M$15,0,0,$B$8,1))=EC$13), 1*(_xlfn._xlws.FILTER(OFFSET($O$15,0,$DO222,$B$8,1),OFFSET($M$15,0,0,$B$8,1))=EC$14))   /   SUM(OFFSET($BO$15,0,0,$B$14,1)) + $B$18/($B$19*$B$19*($DN222&lt;&gt;$DO222) + $B$19*($DN222=$DO222))</f>
        <v>3.7037037037037035E-4</v>
      </c>
      <c r="ED222" s="10" cm="1">
        <f t="array" aca="1" ref="ED222" ca="1">(1-$B$18)*SUMPRODUCT(OFFSET($BO$15,0,0,$B$14,1), 1*(_xlfn._xlws.FILTER(OFFSET($O$15,0,$DN222,$B$8,1),OFFSET($M$15,0,0,$B$8,1))=ED$13), 1*(_xlfn._xlws.FILTER(OFFSET($O$15,0,$DO222,$B$8,1),OFFSET($M$15,0,0,$B$8,1))=ED$14))   /   SUM(OFFSET($BO$15,0,0,$B$14,1)) + $B$18/($B$19*$B$19*($DN222&lt;&gt;$DO222) + $B$19*($DN222=$DO222))</f>
        <v>3.7037037037037035E-4</v>
      </c>
      <c r="EE222" s="10" cm="1">
        <f t="array" aca="1" ref="EE222" ca="1">(1-$B$18)*SUMPRODUCT(OFFSET($BO$15,0,0,$B$14,1), 1*(_xlfn._xlws.FILTER(OFFSET($O$15,0,$DN222,$B$8,1),OFFSET($M$15,0,0,$B$8,1))=EE$13), 1*(_xlfn._xlws.FILTER(OFFSET($O$15,0,$DO222,$B$8,1),OFFSET($M$15,0,0,$B$8,1))=EE$14))   /   SUM(OFFSET($BO$15,0,0,$B$14,1)) + $B$18/($B$19*$B$19*($DN222&lt;&gt;$DO222) + $B$19*($DN222=$DO222))</f>
        <v>3.7037037037037035E-4</v>
      </c>
      <c r="EF222" s="10" cm="1">
        <f t="array" aca="1" ref="EF222" ca="1">(1-$B$18)*SUMPRODUCT(OFFSET($BO$15,0,0,$B$14,1), 1*(_xlfn._xlws.FILTER(OFFSET($O$15,0,$DN222,$B$8,1),OFFSET($M$15,0,0,$B$8,1))=EF$13), 1*(_xlfn._xlws.FILTER(OFFSET($O$15,0,$DO222,$B$8,1),OFFSET($M$15,0,0,$B$8,1))=EF$14))   /   SUM(OFFSET($BO$15,0,0,$B$14,1)) + $B$18/($B$19*$B$19*($DN222&lt;&gt;$DO222) + $B$19*($DN222=$DO222))</f>
        <v>3.7037037037037035E-4</v>
      </c>
      <c r="EG222" s="10" cm="1">
        <f t="array" aca="1" ref="EG222" ca="1">(1-$B$18)*SUMPRODUCT(OFFSET($BO$15,0,0,$B$14,1), 1*(_xlfn._xlws.FILTER(OFFSET($O$15,0,$DN222,$B$8,1),OFFSET($M$15,0,0,$B$8,1))=EG$13), 1*(_xlfn._xlws.FILTER(OFFSET($O$15,0,$DO222,$B$8,1),OFFSET($M$15,0,0,$B$8,1))=EG$14))   /   SUM(OFFSET($BO$15,0,0,$B$14,1)) + $B$18/($B$19*$B$19*($DN222&lt;&gt;$DO222) + $B$19*($DN222=$DO222))</f>
        <v>3.7037037037037035E-4</v>
      </c>
      <c r="EH222" s="10" cm="1">
        <f t="array" aca="1" ref="EH222" ca="1">(1-$B$18)*SUMPRODUCT(OFFSET($BO$15,0,0,$B$14,1), 1*(_xlfn._xlws.FILTER(OFFSET($O$15,0,$DN222,$B$8,1),OFFSET($M$15,0,0,$B$8,1))=EH$13), 1*(_xlfn._xlws.FILTER(OFFSET($O$15,0,$DO222,$B$8,1),OFFSET($M$15,0,0,$B$8,1))=EH$14))   /   SUM(OFFSET($BO$15,0,0,$B$14,1)) + $B$18/($B$19*$B$19*($DN222&lt;&gt;$DO222) + $B$19*($DN222=$DO222))</f>
        <v>3.7037037037037035E-4</v>
      </c>
      <c r="EI222" s="10" cm="1">
        <f t="array" aca="1" ref="EI222" ca="1">(1-$B$18)*SUMPRODUCT(OFFSET($BO$15,0,0,$B$14,1), 1*(_xlfn._xlws.FILTER(OFFSET($O$15,0,$DN222,$B$8,1),OFFSET($M$15,0,0,$B$8,1))=EI$13), 1*(_xlfn._xlws.FILTER(OFFSET($O$15,0,$DO222,$B$8,1),OFFSET($M$15,0,0,$B$8,1))=EI$14))   /   SUM(OFFSET($BO$15,0,0,$B$14,1)) + $B$18/($B$19*$B$19*($DN222&lt;&gt;$DO222) + $B$19*($DN222=$DO222))</f>
        <v>3.7037037037037035E-4</v>
      </c>
      <c r="EJ222" s="10" cm="1">
        <f t="array" aca="1" ref="EJ222" ca="1">(1-$B$18)*SUMPRODUCT(OFFSET($BO$15,0,0,$B$14,1), 1*(_xlfn._xlws.FILTER(OFFSET($O$15,0,$DN222,$B$8,1),OFFSET($M$15,0,0,$B$8,1))=EJ$13), 1*(_xlfn._xlws.FILTER(OFFSET($O$15,0,$DO222,$B$8,1),OFFSET($M$15,0,0,$B$8,1))=EJ$14))   /   SUM(OFFSET($BO$15,0,0,$B$14,1)) + $B$18/($B$19*$B$19*($DN222&lt;&gt;$DO222) + $B$19*($DN222=$DO222))</f>
        <v>3.7037037037037035E-4</v>
      </c>
      <c r="EK222" s="10" cm="1">
        <f t="array" aca="1" ref="EK222" ca="1">(1-$B$18)*SUMPRODUCT(OFFSET($BO$15,0,0,$B$14,1), 1*(_xlfn._xlws.FILTER(OFFSET($O$15,0,$DN222,$B$8,1),OFFSET($M$15,0,0,$B$8,1))=EK$13), 1*(_xlfn._xlws.FILTER(OFFSET($O$15,0,$DO222,$B$8,1),OFFSET($M$15,0,0,$B$8,1))=EK$14))   /   SUM(OFFSET($BO$15,0,0,$B$14,1)) + $B$18/($B$19*$B$19*($DN222&lt;&gt;$DO222) + $B$19*($DN222=$DO222))</f>
        <v>3.7037037037037035E-4</v>
      </c>
      <c r="EL222" s="10" cm="1">
        <f t="array" aca="1" ref="EL222" ca="1">(1-$B$18)*SUMPRODUCT(OFFSET($BO$15,0,0,$B$14,1), 1*(_xlfn._xlws.FILTER(OFFSET($O$15,0,$DN222,$B$8,1),OFFSET($M$15,0,0,$B$8,1))=EL$13), 1*(_xlfn._xlws.FILTER(OFFSET($O$15,0,$DO222,$B$8,1),OFFSET($M$15,0,0,$B$8,1))=EL$14))   /   SUM(OFFSET($BO$15,0,0,$B$14,1)) + $B$18/($B$19*$B$19*($DN222&lt;&gt;$DO222) + $B$19*($DN222=$DO222))</f>
        <v>0.24287037037037026</v>
      </c>
      <c r="EM222" s="10" cm="1">
        <f t="array" aca="1" ref="EM222" ca="1">(1-$B$18)*SUMPRODUCT(OFFSET($BO$15,0,0,$B$14,1), 1*(_xlfn._xlws.FILTER(OFFSET($O$15,0,$DN222,$B$8,1),OFFSET($M$15,0,0,$B$8,1))=EM$13), 1*(_xlfn._xlws.FILTER(OFFSET($O$15,0,$DO222,$B$8,1),OFFSET($M$15,0,0,$B$8,1))=EM$14))   /   SUM(OFFSET($BO$15,0,0,$B$14,1)) + $B$18/($B$19*$B$19*($DN222&lt;&gt;$DO222) + $B$19*($DN222=$DO222))</f>
        <v>3.7037037037037035E-4</v>
      </c>
      <c r="EN222" s="10" cm="1">
        <f t="array" aca="1" ref="EN222" ca="1">(1-$B$18)*SUMPRODUCT(OFFSET($BO$15,0,0,$B$14,1), 1*(_xlfn._xlws.FILTER(OFFSET($O$15,0,$DN222,$B$8,1),OFFSET($M$15,0,0,$B$8,1))=EN$13), 1*(_xlfn._xlws.FILTER(OFFSET($O$15,0,$DO222,$B$8,1),OFFSET($M$15,0,0,$B$8,1))=EN$14))   /   SUM(OFFSET($BO$15,0,0,$B$14,1)) + $B$18/($B$19*$B$19*($DN222&lt;&gt;$DO222) + $B$19*($DN222=$DO222))</f>
        <v>3.7037037037037035E-4</v>
      </c>
      <c r="EO222" s="10" cm="1">
        <f t="array" aca="1" ref="EO222" ca="1">(1-$B$18)*SUMPRODUCT(OFFSET($BO$15,0,0,$B$14,1), 1*(_xlfn._xlws.FILTER(OFFSET($O$15,0,$DN222,$B$8,1),OFFSET($M$15,0,0,$B$8,1))=EO$13), 1*(_xlfn._xlws.FILTER(OFFSET($O$15,0,$DO222,$B$8,1),OFFSET($M$15,0,0,$B$8,1))=EO$14))   /   SUM(OFFSET($BO$15,0,0,$B$14,1)) + $B$18/($B$19*$B$19*($DN222&lt;&gt;$DO222) + $B$19*($DN222=$DO222))</f>
        <v>3.7037037037037035E-4</v>
      </c>
      <c r="EP222" s="10" cm="1">
        <f t="array" aca="1" ref="EP222" ca="1">(1-$B$18)*SUMPRODUCT(OFFSET($BO$15,0,0,$B$14,1), 1*(_xlfn._xlws.FILTER(OFFSET($O$15,0,$DN222,$B$8,1),OFFSET($M$15,0,0,$B$8,1))=EP$13), 1*(_xlfn._xlws.FILTER(OFFSET($O$15,0,$DO222,$B$8,1),OFFSET($M$15,0,0,$B$8,1))=EP$14))   /   SUM(OFFSET($BO$15,0,0,$B$14,1)) + $B$18/($B$19*$B$19*($DN222&lt;&gt;$DO222) + $B$19*($DN222=$DO222))</f>
        <v>3.7037037037037035E-4</v>
      </c>
      <c r="EQ222" s="10" cm="1">
        <f t="array" aca="1" ref="EQ222" ca="1">(1-$B$18)*SUMPRODUCT(OFFSET($BO$15,0,0,$B$14,1), 1*(_xlfn._xlws.FILTER(OFFSET($O$15,0,$DN222,$B$8,1),OFFSET($M$15,0,0,$B$8,1))=EQ$13), 1*(_xlfn._xlws.FILTER(OFFSET($O$15,0,$DO222,$B$8,1),OFFSET($M$15,0,0,$B$8,1))=EQ$14))   /   SUM(OFFSET($BO$15,0,0,$B$14,1)) + $B$18/($B$19*$B$19*($DN222&lt;&gt;$DO222) + $B$19*($DN222=$DO222))</f>
        <v>3.7037037037037035E-4</v>
      </c>
      <c r="ER222" s="10" cm="1">
        <f t="array" aca="1" ref="ER222" ca="1">(1-$B$18)*SUMPRODUCT(OFFSET($BO$15,0,0,$B$14,1), 1*(_xlfn._xlws.FILTER(OFFSET($O$15,0,$DN222,$B$8,1),OFFSET($M$15,0,0,$B$8,1))=ER$13), 1*(_xlfn._xlws.FILTER(OFFSET($O$15,0,$DO222,$B$8,1),OFFSET($M$15,0,0,$B$8,1))=ER$14))   /   SUM(OFFSET($BO$15,0,0,$B$14,1)) + $B$18/($B$19*$B$19*($DN222&lt;&gt;$DO222) + $B$19*($DN222=$DO222))</f>
        <v>3.7037037037037035E-4</v>
      </c>
      <c r="ES222" s="10" cm="1">
        <f t="array" aca="1" ref="ES222" ca="1">(1-$B$18)*SUMPRODUCT(OFFSET($BO$15,0,0,$B$14,1), 1*(_xlfn._xlws.FILTER(OFFSET($O$15,0,$DN222,$B$8,1),OFFSET($M$15,0,0,$B$8,1))=ES$13), 1*(_xlfn._xlws.FILTER(OFFSET($O$15,0,$DO222,$B$8,1),OFFSET($M$15,0,0,$B$8,1))=ES$14))   /   SUM(OFFSET($BO$15,0,0,$B$14,1)) + $B$18/($B$19*$B$19*($DN222&lt;&gt;$DO222) + $B$19*($DN222=$DO222))</f>
        <v>3.7037037037037035E-4</v>
      </c>
      <c r="ET222" s="10" cm="1">
        <f t="array" aca="1" ref="ET222" ca="1">(1-$B$18)*SUMPRODUCT(OFFSET($BO$15,0,0,$B$14,1), 1*(_xlfn._xlws.FILTER(OFFSET($O$15,0,$DN222,$B$8,1),OFFSET($M$15,0,0,$B$8,1))=ET$13), 1*(_xlfn._xlws.FILTER(OFFSET($O$15,0,$DO222,$B$8,1),OFFSET($M$15,0,0,$B$8,1))=ET$14))   /   SUM(OFFSET($BO$15,0,0,$B$14,1)) + $B$18/($B$19*$B$19*($DN222&lt;&gt;$DO222) + $B$19*($DN222=$DO222))</f>
        <v>0.24287037037037026</v>
      </c>
      <c r="EU222" s="10" cm="1">
        <f t="array" aca="1" ref="EU222" ca="1">(1-$B$18)*SUMPRODUCT(OFFSET($BO$15,0,0,$B$14,1), 1*(_xlfn._xlws.FILTER(OFFSET($O$15,0,$DN222,$B$8,1),OFFSET($M$15,0,0,$B$8,1))=EU$13), 1*(_xlfn._xlws.FILTER(OFFSET($O$15,0,$DO222,$B$8,1),OFFSET($M$15,0,0,$B$8,1))=EU$14))   /   SUM(OFFSET($BO$15,0,0,$B$14,1)) + $B$18/($B$19*$B$19*($DN222&lt;&gt;$DO222) + $B$19*($DN222=$DO222))</f>
        <v>3.7037037037037035E-4</v>
      </c>
      <c r="EV222" s="10" cm="1">
        <f t="array" aca="1" ref="EV222" ca="1">(1-$B$18)*SUMPRODUCT(OFFSET($BO$15,0,0,$B$14,1), 1*(_xlfn._xlws.FILTER(OFFSET($O$15,0,$DN222,$B$8,1),OFFSET($M$15,0,0,$B$8,1))=EV$13), 1*(_xlfn._xlws.FILTER(OFFSET($O$15,0,$DO222,$B$8,1),OFFSET($M$15,0,0,$B$8,1))=EV$14))   /   SUM(OFFSET($BO$15,0,0,$B$14,1)) + $B$18/($B$19*$B$19*($DN222&lt;&gt;$DO222) + $B$19*($DN222=$DO222))</f>
        <v>3.7037037037037035E-4</v>
      </c>
      <c r="EW222" s="10" cm="1">
        <f t="array" aca="1" ref="EW222" ca="1">(1-$B$18)*SUMPRODUCT(OFFSET($BO$15,0,0,$B$14,1), 1*(_xlfn._xlws.FILTER(OFFSET($O$15,0,$DN222,$B$8,1),OFFSET($M$15,0,0,$B$8,1))=EW$13), 1*(_xlfn._xlws.FILTER(OFFSET($O$15,0,$DO222,$B$8,1),OFFSET($M$15,0,0,$B$8,1))=EW$14))   /   SUM(OFFSET($BO$15,0,0,$B$14,1)) + $B$18/($B$19*$B$19*($DN222&lt;&gt;$DO222) + $B$19*($DN222=$DO222))</f>
        <v>3.7037037037037035E-4</v>
      </c>
      <c r="EX222" s="10" cm="1">
        <f t="array" aca="1" ref="EX222" ca="1">(1-$B$18)*SUMPRODUCT(OFFSET($BO$15,0,0,$B$14,1), 1*(_xlfn._xlws.FILTER(OFFSET($O$15,0,$DN222,$B$8,1),OFFSET($M$15,0,0,$B$8,1))=EX$13), 1*(_xlfn._xlws.FILTER(OFFSET($O$15,0,$DO222,$B$8,1),OFFSET($M$15,0,0,$B$8,1))=EX$14))   /   SUM(OFFSET($BO$15,0,0,$B$14,1)) + $B$18/($B$19*$B$19*($DN222&lt;&gt;$DO222) + $B$19*($DN222=$DO222))</f>
        <v>3.7037037037037035E-4</v>
      </c>
      <c r="EY222" s="10" cm="1">
        <f t="array" aca="1" ref="EY222" ca="1">(1-$B$18)*SUMPRODUCT(OFFSET($BO$15,0,0,$B$14,1), 1*(_xlfn._xlws.FILTER(OFFSET($O$15,0,$DN222,$B$8,1),OFFSET($M$15,0,0,$B$8,1))=EY$13), 1*(_xlfn._xlws.FILTER(OFFSET($O$15,0,$DO222,$B$8,1),OFFSET($M$15,0,0,$B$8,1))=EY$14))   /   SUM(OFFSET($BO$15,0,0,$B$14,1)) + $B$18/($B$19*$B$19*($DN222&lt;&gt;$DO222) + $B$19*($DN222=$DO222))</f>
        <v>3.7037037037037035E-4</v>
      </c>
      <c r="EZ222" s="10" cm="1">
        <f t="array" aca="1" ref="EZ222" ca="1">(1-$B$18)*SUMPRODUCT(OFFSET($BO$15,0,0,$B$14,1), 1*(_xlfn._xlws.FILTER(OFFSET($O$15,0,$DN222,$B$8,1),OFFSET($M$15,0,0,$B$8,1))=EZ$13), 1*(_xlfn._xlws.FILTER(OFFSET($O$15,0,$DO222,$B$8,1),OFFSET($M$15,0,0,$B$8,1))=EZ$14))   /   SUM(OFFSET($BO$15,0,0,$B$14,1)) + $B$18/($B$19*$B$19*($DN222&lt;&gt;$DO222) + $B$19*($DN222=$DO222))</f>
        <v>3.7037037037037035E-4</v>
      </c>
      <c r="FA222" s="10" cm="1">
        <f t="array" aca="1" ref="FA222" ca="1">(1-$B$18)*SUMPRODUCT(OFFSET($BO$15,0,0,$B$14,1), 1*(_xlfn._xlws.FILTER(OFFSET($O$15,0,$DN222,$B$8,1),OFFSET($M$15,0,0,$B$8,1))=FA$13), 1*(_xlfn._xlws.FILTER(OFFSET($O$15,0,$DO222,$B$8,1),OFFSET($M$15,0,0,$B$8,1))=FA$14))   /   SUM(OFFSET($BO$15,0,0,$B$14,1)) + $B$18/($B$19*$B$19*($DN222&lt;&gt;$DO222) + $B$19*($DN222=$DO222))</f>
        <v>3.7037037037037035E-4</v>
      </c>
      <c r="FB222" s="10" cm="1">
        <f t="array" aca="1" ref="FB222" ca="1">(1-$B$18)*SUMPRODUCT(OFFSET($BO$15,0,0,$B$14,1), 1*(_xlfn._xlws.FILTER(OFFSET($O$15,0,$DN222,$B$8,1),OFFSET($M$15,0,0,$B$8,1))=FB$13), 1*(_xlfn._xlws.FILTER(OFFSET($O$15,0,$DO222,$B$8,1),OFFSET($M$15,0,0,$B$8,1))=FB$14))   /   SUM(OFFSET($BO$15,0,0,$B$14,1)) + $B$18/($B$19*$B$19*($DN222&lt;&gt;$DO222) + $B$19*($DN222=$DO222))</f>
        <v>3.7037037037037035E-4</v>
      </c>
      <c r="FC222" s="10" cm="1">
        <f t="array" aca="1" ref="FC222" ca="1">(1-$B$18)*SUMPRODUCT(OFFSET($BO$15,0,0,$B$14,1), 1*(_xlfn._xlws.FILTER(OFFSET($O$15,0,$DN222,$B$8,1),OFFSET($M$15,0,0,$B$8,1))=FC$13), 1*(_xlfn._xlws.FILTER(OFFSET($O$15,0,$DO222,$B$8,1),OFFSET($M$15,0,0,$B$8,1))=FC$14))   /   SUM(OFFSET($BO$15,0,0,$B$14,1)) + $B$18/($B$19*$B$19*($DN222&lt;&gt;$DO222) + $B$19*($DN222=$DO222))</f>
        <v>3.7037037037037035E-4</v>
      </c>
      <c r="FD222" s="10" cm="1">
        <f t="array" aca="1" ref="FD222" ca="1">(1-$B$18)*SUMPRODUCT(OFFSET($BO$15,0,0,$B$14,1), 1*(_xlfn._xlws.FILTER(OFFSET($O$15,0,$DN222,$B$8,1),OFFSET($M$15,0,0,$B$8,1))=FD$13), 1*(_xlfn._xlws.FILTER(OFFSET($O$15,0,$DO222,$B$8,1),OFFSET($M$15,0,0,$B$8,1))=FD$14))   /   SUM(OFFSET($BO$15,0,0,$B$14,1)) + $B$18/($B$19*$B$19*($DN222&lt;&gt;$DO222) + $B$19*($DN222=$DO222))</f>
        <v>3.7037037037037035E-4</v>
      </c>
      <c r="FE222" s="10" cm="1">
        <f t="array" aca="1" ref="FE222" ca="1">(1-$B$18)*SUMPRODUCT(OFFSET($BO$15,0,0,$B$14,1), 1*(_xlfn._xlws.FILTER(OFFSET($O$15,0,$DN222,$B$8,1),OFFSET($M$15,0,0,$B$8,1))=FE$13), 1*(_xlfn._xlws.FILTER(OFFSET($O$15,0,$DO222,$B$8,1),OFFSET($M$15,0,0,$B$8,1))=FE$14))   /   SUM(OFFSET($BO$15,0,0,$B$14,1)) + $B$18/($B$19*$B$19*($DN222&lt;&gt;$DO222) + $B$19*($DN222=$DO222))</f>
        <v>3.7037037037037035E-4</v>
      </c>
      <c r="FF222" s="10" cm="1">
        <f t="array" aca="1" ref="FF222" ca="1">(1-$B$18)*SUMPRODUCT(OFFSET($BO$15,0,0,$B$14,1), 1*(_xlfn._xlws.FILTER(OFFSET($O$15,0,$DN222,$B$8,1),OFFSET($M$15,0,0,$B$8,1))=FF$13), 1*(_xlfn._xlws.FILTER(OFFSET($O$15,0,$DO222,$B$8,1),OFFSET($M$15,0,0,$B$8,1))=FF$14))   /   SUM(OFFSET($BO$15,0,0,$B$14,1)) + $B$18/($B$19*$B$19*($DN222&lt;&gt;$DO222) + $B$19*($DN222=$DO222))</f>
        <v>3.7037037037037035E-4</v>
      </c>
      <c r="FG222" s="10" cm="1">
        <f t="array" aca="1" ref="FG222" ca="1">(1-$B$18)*SUMPRODUCT(OFFSET($BO$15,0,0,$B$14,1), 1*(_xlfn._xlws.FILTER(OFFSET($O$15,0,$DN222,$B$8,1),OFFSET($M$15,0,0,$B$8,1))=FG$13), 1*(_xlfn._xlws.FILTER(OFFSET($O$15,0,$DO222,$B$8,1),OFFSET($M$15,0,0,$B$8,1))=FG$14))   /   SUM(OFFSET($BO$15,0,0,$B$14,1)) + $B$18/($B$19*$B$19*($DN222&lt;&gt;$DO222) + $B$19*($DN222=$DO222))</f>
        <v>3.7037037037037035E-4</v>
      </c>
      <c r="FH222" s="10" cm="1">
        <f t="array" aca="1" ref="FH222" ca="1">(1-$B$18)*SUMPRODUCT(OFFSET($BO$15,0,0,$B$14,1), 1*(_xlfn._xlws.FILTER(OFFSET($O$15,0,$DN222,$B$8,1),OFFSET($M$15,0,0,$B$8,1))=FH$13), 1*(_xlfn._xlws.FILTER(OFFSET($O$15,0,$DO222,$B$8,1),OFFSET($M$15,0,0,$B$8,1))=FH$14))   /   SUM(OFFSET($BO$15,0,0,$B$14,1)) + $B$18/($B$19*$B$19*($DN222&lt;&gt;$DO222) + $B$19*($DN222=$DO222))</f>
        <v>3.7037037037037035E-4</v>
      </c>
      <c r="FI222" s="10" cm="1">
        <f t="array" aca="1" ref="FI222" ca="1">(1-$B$18)*SUMPRODUCT(OFFSET($BO$15,0,0,$B$14,1), 1*(_xlfn._xlws.FILTER(OFFSET($O$15,0,$DN222,$B$8,1),OFFSET($M$15,0,0,$B$8,1))=FI$13), 1*(_xlfn._xlws.FILTER(OFFSET($O$15,0,$DO222,$B$8,1),OFFSET($M$15,0,0,$B$8,1))=FI$14))   /   SUM(OFFSET($BO$15,0,0,$B$14,1)) + $B$18/($B$19*$B$19*($DN222&lt;&gt;$DO222) + $B$19*($DN222=$DO222))</f>
        <v>3.7037037037037035E-4</v>
      </c>
      <c r="FJ222" s="10" cm="1">
        <f t="array" aca="1" ref="FJ222" ca="1">(1-$B$18)*SUMPRODUCT(OFFSET($BO$15,0,0,$B$14,1), 1*(_xlfn._xlws.FILTER(OFFSET($O$15,0,$DN222,$B$8,1),OFFSET($M$15,0,0,$B$8,1))=FJ$13), 1*(_xlfn._xlws.FILTER(OFFSET($O$15,0,$DO222,$B$8,1),OFFSET($M$15,0,0,$B$8,1))=FJ$14))   /   SUM(OFFSET($BO$15,0,0,$B$14,1)) + $B$18/($B$19*$B$19*($DN222&lt;&gt;$DO222) + $B$19*($DN222=$DO222))</f>
        <v>3.7037037037037035E-4</v>
      </c>
      <c r="FK222" s="10" cm="1">
        <f t="array" aca="1" ref="FK222" ca="1">(1-$B$18)*SUMPRODUCT(OFFSET($BO$15,0,0,$B$14,1), 1*(_xlfn._xlws.FILTER(OFFSET($O$15,0,$DN222,$B$8,1),OFFSET($M$15,0,0,$B$8,1))=FK$13), 1*(_xlfn._xlws.FILTER(OFFSET($O$15,0,$DO222,$B$8,1),OFFSET($M$15,0,0,$B$8,1))=FK$14))   /   SUM(OFFSET($BO$15,0,0,$B$14,1)) + $B$18/($B$19*$B$19*($DN222&lt;&gt;$DO222) + $B$19*($DN222=$DO222))</f>
        <v>3.7037037037037035E-4</v>
      </c>
      <c r="FL222" s="10" cm="1">
        <f t="array" aca="1" ref="FL222" ca="1">(1-$B$18)*SUMPRODUCT(OFFSET($BO$15,0,0,$B$14,1), 1*(_xlfn._xlws.FILTER(OFFSET($O$15,0,$DN222,$B$8,1),OFFSET($M$15,0,0,$B$8,1))=FL$13), 1*(_xlfn._xlws.FILTER(OFFSET($O$15,0,$DO222,$B$8,1),OFFSET($M$15,0,0,$B$8,1))=FL$14))   /   SUM(OFFSET($BO$15,0,0,$B$14,1)) + $B$18/($B$19*$B$19*($DN222&lt;&gt;$DO222) + $B$19*($DN222=$DO222))</f>
        <v>3.7037037037037035E-4</v>
      </c>
      <c r="FM222" s="10" cm="1">
        <f t="array" aca="1" ref="FM222" ca="1">(1-$B$18)*SUMPRODUCT(OFFSET($BO$15,0,0,$B$14,1), 1*(_xlfn._xlws.FILTER(OFFSET($O$15,0,$DN222,$B$8,1),OFFSET($M$15,0,0,$B$8,1))=FM$13), 1*(_xlfn._xlws.FILTER(OFFSET($O$15,0,$DO222,$B$8,1),OFFSET($M$15,0,0,$B$8,1))=FM$14))   /   SUM(OFFSET($BO$15,0,0,$B$14,1)) + $B$18/($B$19*$B$19*($DN222&lt;&gt;$DO222) + $B$19*($DN222=$DO222))</f>
        <v>3.7037037037037035E-4</v>
      </c>
      <c r="FN222" s="10" cm="1">
        <f t="array" aca="1" ref="FN222" ca="1">(1-$B$18)*SUMPRODUCT(OFFSET($BO$15,0,0,$B$14,1), 1*(_xlfn._xlws.FILTER(OFFSET($O$15,0,$DN222,$B$8,1),OFFSET($M$15,0,0,$B$8,1))=FN$13), 1*(_xlfn._xlws.FILTER(OFFSET($O$15,0,$DO222,$B$8,1),OFFSET($M$15,0,0,$B$8,1))=FN$14))   /   SUM(OFFSET($BO$15,0,0,$B$14,1)) + $B$18/($B$19*$B$19*($DN222&lt;&gt;$DO222) + $B$19*($DN222=$DO222))</f>
        <v>3.7037037037037035E-4</v>
      </c>
      <c r="FO222" s="10" cm="1">
        <f t="array" aca="1" ref="FO222" ca="1">(1-$B$18)*SUMPRODUCT(OFFSET($BO$15,0,0,$B$14,1), 1*(_xlfn._xlws.FILTER(OFFSET($O$15,0,$DN222,$B$8,1),OFFSET($M$15,0,0,$B$8,1))=FO$13), 1*(_xlfn._xlws.FILTER(OFFSET($O$15,0,$DO222,$B$8,1),OFFSET($M$15,0,0,$B$8,1))=FO$14))   /   SUM(OFFSET($BO$15,0,0,$B$14,1)) + $B$18/($B$19*$B$19*($DN222&lt;&gt;$DO222) + $B$19*($DN222=$DO222))</f>
        <v>3.7037037037037035E-4</v>
      </c>
      <c r="FP222" s="10" cm="1">
        <f t="array" aca="1" ref="FP222" ca="1">(1-$B$18)*SUMPRODUCT(OFFSET($BO$15,0,0,$B$14,1), 1*(_xlfn._xlws.FILTER(OFFSET($O$15,0,$DN222,$B$8,1),OFFSET($M$15,0,0,$B$8,1))=FP$13), 1*(_xlfn._xlws.FILTER(OFFSET($O$15,0,$DO222,$B$8,1),OFFSET($M$15,0,0,$B$8,1))=FP$14))   /   SUM(OFFSET($BO$15,0,0,$B$14,1)) + $B$18/($B$19*$B$19*($DN222&lt;&gt;$DO222) + $B$19*($DN222=$DO222))</f>
        <v>3.7037037037037035E-4</v>
      </c>
      <c r="FQ222" s="10" cm="1">
        <f t="array" aca="1" ref="FQ222" ca="1">(1-$B$18)*SUMPRODUCT(OFFSET($BO$15,0,0,$B$14,1), 1*(_xlfn._xlws.FILTER(OFFSET($O$15,0,$DN222,$B$8,1),OFFSET($M$15,0,0,$B$8,1))=FQ$13), 1*(_xlfn._xlws.FILTER(OFFSET($O$15,0,$DO222,$B$8,1),OFFSET($M$15,0,0,$B$8,1))=FQ$14))   /   SUM(OFFSET($BO$15,0,0,$B$14,1)) + $B$18/($B$19*$B$19*($DN222&lt;&gt;$DO222) + $B$19*($DN222=$DO222))</f>
        <v>3.7037037037037035E-4</v>
      </c>
      <c r="FR222" s="10" cm="1">
        <f t="array" aca="1" ref="FR222" ca="1">(1-$B$18)*SUMPRODUCT(OFFSET($BO$15,0,0,$B$14,1), 1*(_xlfn._xlws.FILTER(OFFSET($O$15,0,$DN222,$B$8,1),OFFSET($M$15,0,0,$B$8,1))=FR$13), 1*(_xlfn._xlws.FILTER(OFFSET($O$15,0,$DO222,$B$8,1),OFFSET($M$15,0,0,$B$8,1))=FR$14))   /   SUM(OFFSET($BO$15,0,0,$B$14,1)) + $B$18/($B$19*$B$19*($DN222&lt;&gt;$DO222) + $B$19*($DN222=$DO222))</f>
        <v>3.7037037037037035E-4</v>
      </c>
      <c r="FS222" s="10" cm="1">
        <f t="array" aca="1" ref="FS222" ca="1">(1-$B$18)*SUMPRODUCT(OFFSET($BO$15,0,0,$B$14,1), 1*(_xlfn._xlws.FILTER(OFFSET($O$15,0,$DN222,$B$8,1),OFFSET($M$15,0,0,$B$8,1))=FS$13), 1*(_xlfn._xlws.FILTER(OFFSET($O$15,0,$DO222,$B$8,1),OFFSET($M$15,0,0,$B$8,1))=FS$14))   /   SUM(OFFSET($BO$15,0,0,$B$14,1)) + $B$18/($B$19*$B$19*($DN222&lt;&gt;$DO222) + $B$19*($DN222=$DO222))</f>
        <v>3.7037037037037035E-4</v>
      </c>
      <c r="FT222" s="10" cm="1">
        <f t="array" aca="1" ref="FT222" ca="1">(1-$B$18)*SUMPRODUCT(OFFSET($BO$15,0,0,$B$14,1), 1*(_xlfn._xlws.FILTER(OFFSET($O$15,0,$DN222,$B$8,1),OFFSET($M$15,0,0,$B$8,1))=FT$13), 1*(_xlfn._xlws.FILTER(OFFSET($O$15,0,$DO222,$B$8,1),OFFSET($M$15,0,0,$B$8,1))=FT$14))   /   SUM(OFFSET($BO$15,0,0,$B$14,1)) + $B$18/($B$19*$B$19*($DN222&lt;&gt;$DO222) + $B$19*($DN222=$DO222))</f>
        <v>3.7037037037037035E-4</v>
      </c>
      <c r="FU222" s="10" cm="1">
        <f t="array" aca="1" ref="FU222" ca="1">(1-$B$18)*SUMPRODUCT(OFFSET($BO$15,0,0,$B$14,1), 1*(_xlfn._xlws.FILTER(OFFSET($O$15,0,$DN222,$B$8,1),OFFSET($M$15,0,0,$B$8,1))=FU$13), 1*(_xlfn._xlws.FILTER(OFFSET($O$15,0,$DO222,$B$8,1),OFFSET($M$15,0,0,$B$8,1))=FU$14))   /   SUM(OFFSET($BO$15,0,0,$B$14,1)) + $B$18/($B$19*$B$19*($DN222&lt;&gt;$DO222) + $B$19*($DN222=$DO222))</f>
        <v>3.7037037037037035E-4</v>
      </c>
      <c r="FV222" s="10" cm="1">
        <f t="array" aca="1" ref="FV222" ca="1">(1-$B$18)*SUMPRODUCT(OFFSET($BO$15,0,0,$B$14,1), 1*(_xlfn._xlws.FILTER(OFFSET($O$15,0,$DN222,$B$8,1),OFFSET($M$15,0,0,$B$8,1))=FV$13), 1*(_xlfn._xlws.FILTER(OFFSET($O$15,0,$DO222,$B$8,1),OFFSET($M$15,0,0,$B$8,1))=FV$14))   /   SUM(OFFSET($BO$15,0,0,$B$14,1)) + $B$18/($B$19*$B$19*($DN222&lt;&gt;$DO222) + $B$19*($DN222=$DO222))</f>
        <v>3.7037037037037035E-4</v>
      </c>
      <c r="FW222" s="10" cm="1">
        <f t="array" aca="1" ref="FW222" ca="1">(1-$B$18)*SUMPRODUCT(OFFSET($BO$15,0,0,$B$14,1), 1*(_xlfn._xlws.FILTER(OFFSET($O$15,0,$DN222,$B$8,1),OFFSET($M$15,0,0,$B$8,1))=FW$13), 1*(_xlfn._xlws.FILTER(OFFSET($O$15,0,$DO222,$B$8,1),OFFSET($M$15,0,0,$B$8,1))=FW$14))   /   SUM(OFFSET($BO$15,0,0,$B$14,1)) + $B$18/($B$19*$B$19*($DN222&lt;&gt;$DO222) + $B$19*($DN222=$DO222))</f>
        <v>3.7037037037037035E-4</v>
      </c>
      <c r="FX222" s="10" cm="1">
        <f t="array" aca="1" ref="FX222" ca="1">(1-$B$18)*SUMPRODUCT(OFFSET($BO$15,0,0,$B$14,1), 1*(_xlfn._xlws.FILTER(OFFSET($O$15,0,$DN222,$B$8,1),OFFSET($M$15,0,0,$B$8,1))=FX$13), 1*(_xlfn._xlws.FILTER(OFFSET($O$15,0,$DO222,$B$8,1),OFFSET($M$15,0,0,$B$8,1))=FX$14))   /   SUM(OFFSET($BO$15,0,0,$B$14,1)) + $B$18/($B$19*$B$19*($DN222&lt;&gt;$DO222) + $B$19*($DN222=$DO222))</f>
        <v>3.7037037037037035E-4</v>
      </c>
      <c r="FY222" s="10" cm="1">
        <f t="array" aca="1" ref="FY222" ca="1">(1-$B$18)*SUMPRODUCT(OFFSET($BO$15,0,0,$B$14,1), 1*(_xlfn._xlws.FILTER(OFFSET($O$15,0,$DN222,$B$8,1),OFFSET($M$15,0,0,$B$8,1))=FY$13), 1*(_xlfn._xlws.FILTER(OFFSET($O$15,0,$DO222,$B$8,1),OFFSET($M$15,0,0,$B$8,1))=FY$14))   /   SUM(OFFSET($BO$15,0,0,$B$14,1)) + $B$18/($B$19*$B$19*($DN222&lt;&gt;$DO222) + $B$19*($DN222=$DO222))</f>
        <v>3.7037037037037035E-4</v>
      </c>
      <c r="FZ222" s="10" cm="1">
        <f t="array" aca="1" ref="FZ222" ca="1">(1-$B$18)*SUMPRODUCT(OFFSET($BO$15,0,0,$B$14,1), 1*(_xlfn._xlws.FILTER(OFFSET($O$15,0,$DN222,$B$8,1),OFFSET($M$15,0,0,$B$8,1))=FZ$13), 1*(_xlfn._xlws.FILTER(OFFSET($O$15,0,$DO222,$B$8,1),OFFSET($M$15,0,0,$B$8,1))=FZ$14))   /   SUM(OFFSET($BO$15,0,0,$B$14,1)) + $B$18/($B$19*$B$19*($DN222&lt;&gt;$DO222) + $B$19*($DN222=$DO222))</f>
        <v>3.7037037037037035E-4</v>
      </c>
      <c r="GA222" s="10" cm="1">
        <f t="array" aca="1" ref="GA222" ca="1">(1-$B$18)*SUMPRODUCT(OFFSET($BO$15,0,0,$B$14,1), 1*(_xlfn._xlws.FILTER(OFFSET($O$15,0,$DN222,$B$8,1),OFFSET($M$15,0,0,$B$8,1))=GA$13), 1*(_xlfn._xlws.FILTER(OFFSET($O$15,0,$DO222,$B$8,1),OFFSET($M$15,0,0,$B$8,1))=GA$14))   /   SUM(OFFSET($BO$15,0,0,$B$14,1)) + $B$18/($B$19*$B$19*($DN222&lt;&gt;$DO222) + $B$19*($DN222=$DO222))</f>
        <v>3.7037037037037035E-4</v>
      </c>
    </row>
    <row r="223" spans="118:183" x14ac:dyDescent="0.2">
      <c r="DN223" cm="1">
        <f t="array" aca="1" ref="DN223" ca="1">INDEX(_xlfn.ANCHORARRAY($CP$15), 1 + INT((ROWS($DO$15:$DO223) - 1) / ROWS(_xlfn.ANCHORARRAY($CP$15))))</f>
        <v>11</v>
      </c>
      <c r="DO223" cm="1">
        <f t="array" aca="1" ref="DO223" ca="1">INDEX(_xlfn.ANCHORARRAY($CP$15),1+MOD(ROWS($DO$15:$DO223)-1,ROWS(_xlfn.ANCHORARRAY($CP$15))))</f>
        <v>21</v>
      </c>
      <c r="DP223" s="10" cm="1">
        <f t="array" aca="1" ref="DP223" ca="1">(1-$B$18)*SUMPRODUCT(OFFSET($BO$15,0,0,$B$14,1), 1*(_xlfn._xlws.FILTER(OFFSET($O$15,0,$DN223,$B$8,1),OFFSET($M$15,0,0,$B$8,1))=DP$13), 1*(_xlfn._xlws.FILTER(OFFSET($O$15,0,$DO223,$B$8,1),OFFSET($M$15,0,0,$B$8,1))=DP$14))   /   SUM(OFFSET($BO$15,0,0,$B$14,1)) + $B$18/($B$19*$B$19*($DN223&lt;&gt;$DO223) + $B$19*($DN223=$DO223))</f>
        <v>3.7037037037037035E-4</v>
      </c>
      <c r="DQ223" s="10" cm="1">
        <f t="array" aca="1" ref="DQ223" ca="1">(1-$B$18)*SUMPRODUCT(OFFSET($BO$15,0,0,$B$14,1), 1*(_xlfn._xlws.FILTER(OFFSET($O$15,0,$DN223,$B$8,1),OFFSET($M$15,0,0,$B$8,1))=DQ$13), 1*(_xlfn._xlws.FILTER(OFFSET($O$15,0,$DO223,$B$8,1),OFFSET($M$15,0,0,$B$8,1))=DQ$14))   /   SUM(OFFSET($BO$15,0,0,$B$14,1)) + $B$18/($B$19*$B$19*($DN223&lt;&gt;$DO223) + $B$19*($DN223=$DO223))</f>
        <v>3.7037037037037035E-4</v>
      </c>
      <c r="DR223" s="10" cm="1">
        <f t="array" aca="1" ref="DR223" ca="1">(1-$B$18)*SUMPRODUCT(OFFSET($BO$15,0,0,$B$14,1), 1*(_xlfn._xlws.FILTER(OFFSET($O$15,0,$DN223,$B$8,1),OFFSET($M$15,0,0,$B$8,1))=DR$13), 1*(_xlfn._xlws.FILTER(OFFSET($O$15,0,$DO223,$B$8,1),OFFSET($M$15,0,0,$B$8,1))=DR$14))   /   SUM(OFFSET($BO$15,0,0,$B$14,1)) + $B$18/($B$19*$B$19*($DN223&lt;&gt;$DO223) + $B$19*($DN223=$DO223))</f>
        <v>3.7037037037037035E-4</v>
      </c>
      <c r="DS223" s="10" cm="1">
        <f t="array" aca="1" ref="DS223" ca="1">(1-$B$18)*SUMPRODUCT(OFFSET($BO$15,0,0,$B$14,1), 1*(_xlfn._xlws.FILTER(OFFSET($O$15,0,$DN223,$B$8,1),OFFSET($M$15,0,0,$B$8,1))=DS$13), 1*(_xlfn._xlws.FILTER(OFFSET($O$15,0,$DO223,$B$8,1),OFFSET($M$15,0,0,$B$8,1))=DS$14))   /   SUM(OFFSET($BO$15,0,0,$B$14,1)) + $B$18/($B$19*$B$19*($DN223&lt;&gt;$DO223) + $B$19*($DN223=$DO223))</f>
        <v>3.7037037037037035E-4</v>
      </c>
      <c r="DT223" s="10" cm="1">
        <f t="array" aca="1" ref="DT223" ca="1">(1-$B$18)*SUMPRODUCT(OFFSET($BO$15,0,0,$B$14,1), 1*(_xlfn._xlws.FILTER(OFFSET($O$15,0,$DN223,$B$8,1),OFFSET($M$15,0,0,$B$8,1))=DT$13), 1*(_xlfn._xlws.FILTER(OFFSET($O$15,0,$DO223,$B$8,1),OFFSET($M$15,0,0,$B$8,1))=DT$14))   /   SUM(OFFSET($BO$15,0,0,$B$14,1)) + $B$18/($B$19*$B$19*($DN223&lt;&gt;$DO223) + $B$19*($DN223=$DO223))</f>
        <v>0.24287037037037024</v>
      </c>
      <c r="DU223" s="10" cm="1">
        <f t="array" aca="1" ref="DU223" ca="1">(1-$B$18)*SUMPRODUCT(OFFSET($BO$15,0,0,$B$14,1), 1*(_xlfn._xlws.FILTER(OFFSET($O$15,0,$DN223,$B$8,1),OFFSET($M$15,0,0,$B$8,1))=DU$13), 1*(_xlfn._xlws.FILTER(OFFSET($O$15,0,$DO223,$B$8,1),OFFSET($M$15,0,0,$B$8,1))=DU$14))   /   SUM(OFFSET($BO$15,0,0,$B$14,1)) + $B$18/($B$19*$B$19*($DN223&lt;&gt;$DO223) + $B$19*($DN223=$DO223))</f>
        <v>3.7037037037037035E-4</v>
      </c>
      <c r="DV223" s="10" cm="1">
        <f t="array" aca="1" ref="DV223" ca="1">(1-$B$18)*SUMPRODUCT(OFFSET($BO$15,0,0,$B$14,1), 1*(_xlfn._xlws.FILTER(OFFSET($O$15,0,$DN223,$B$8,1),OFFSET($M$15,0,0,$B$8,1))=DV$13), 1*(_xlfn._xlws.FILTER(OFFSET($O$15,0,$DO223,$B$8,1),OFFSET($M$15,0,0,$B$8,1))=DV$14))   /   SUM(OFFSET($BO$15,0,0,$B$14,1)) + $B$18/($B$19*$B$19*($DN223&lt;&gt;$DO223) + $B$19*($DN223=$DO223))</f>
        <v>0.24287037037037026</v>
      </c>
      <c r="DW223" s="10" cm="1">
        <f t="array" aca="1" ref="DW223" ca="1">(1-$B$18)*SUMPRODUCT(OFFSET($BO$15,0,0,$B$14,1), 1*(_xlfn._xlws.FILTER(OFFSET($O$15,0,$DN223,$B$8,1),OFFSET($M$15,0,0,$B$8,1))=DW$13), 1*(_xlfn._xlws.FILTER(OFFSET($O$15,0,$DO223,$B$8,1),OFFSET($M$15,0,0,$B$8,1))=DW$14))   /   SUM(OFFSET($BO$15,0,0,$B$14,1)) + $B$18/($B$19*$B$19*($DN223&lt;&gt;$DO223) + $B$19*($DN223=$DO223))</f>
        <v>3.7037037037037035E-4</v>
      </c>
      <c r="DX223" s="10" cm="1">
        <f t="array" aca="1" ref="DX223" ca="1">(1-$B$18)*SUMPRODUCT(OFFSET($BO$15,0,0,$B$14,1), 1*(_xlfn._xlws.FILTER(OFFSET($O$15,0,$DN223,$B$8,1),OFFSET($M$15,0,0,$B$8,1))=DX$13), 1*(_xlfn._xlws.FILTER(OFFSET($O$15,0,$DO223,$B$8,1),OFFSET($M$15,0,0,$B$8,1))=DX$14))   /   SUM(OFFSET($BO$15,0,0,$B$14,1)) + $B$18/($B$19*$B$19*($DN223&lt;&gt;$DO223) + $B$19*($DN223=$DO223))</f>
        <v>3.7037037037037035E-4</v>
      </c>
      <c r="DY223" s="10" cm="1">
        <f t="array" aca="1" ref="DY223" ca="1">(1-$B$18)*SUMPRODUCT(OFFSET($BO$15,0,0,$B$14,1), 1*(_xlfn._xlws.FILTER(OFFSET($O$15,0,$DN223,$B$8,1),OFFSET($M$15,0,0,$B$8,1))=DY$13), 1*(_xlfn._xlws.FILTER(OFFSET($O$15,0,$DO223,$B$8,1),OFFSET($M$15,0,0,$B$8,1))=DY$14))   /   SUM(OFFSET($BO$15,0,0,$B$14,1)) + $B$18/($B$19*$B$19*($DN223&lt;&gt;$DO223) + $B$19*($DN223=$DO223))</f>
        <v>3.7037037037037035E-4</v>
      </c>
      <c r="DZ223" s="10" cm="1">
        <f t="array" aca="1" ref="DZ223" ca="1">(1-$B$18)*SUMPRODUCT(OFFSET($BO$15,0,0,$B$14,1), 1*(_xlfn._xlws.FILTER(OFFSET($O$15,0,$DN223,$B$8,1),OFFSET($M$15,0,0,$B$8,1))=DZ$13), 1*(_xlfn._xlws.FILTER(OFFSET($O$15,0,$DO223,$B$8,1),OFFSET($M$15,0,0,$B$8,1))=DZ$14))   /   SUM(OFFSET($BO$15,0,0,$B$14,1)) + $B$18/($B$19*$B$19*($DN223&lt;&gt;$DO223) + $B$19*($DN223=$DO223))</f>
        <v>3.7037037037037035E-4</v>
      </c>
      <c r="EA223" s="10" cm="1">
        <f t="array" aca="1" ref="EA223" ca="1">(1-$B$18)*SUMPRODUCT(OFFSET($BO$15,0,0,$B$14,1), 1*(_xlfn._xlws.FILTER(OFFSET($O$15,0,$DN223,$B$8,1),OFFSET($M$15,0,0,$B$8,1))=EA$13), 1*(_xlfn._xlws.FILTER(OFFSET($O$15,0,$DO223,$B$8,1),OFFSET($M$15,0,0,$B$8,1))=EA$14))   /   SUM(OFFSET($BO$15,0,0,$B$14,1)) + $B$18/($B$19*$B$19*($DN223&lt;&gt;$DO223) + $B$19*($DN223=$DO223))</f>
        <v>3.7037037037037035E-4</v>
      </c>
      <c r="EB223" s="10" cm="1">
        <f t="array" aca="1" ref="EB223" ca="1">(1-$B$18)*SUMPRODUCT(OFFSET($BO$15,0,0,$B$14,1), 1*(_xlfn._xlws.FILTER(OFFSET($O$15,0,$DN223,$B$8,1),OFFSET($M$15,0,0,$B$8,1))=EB$13), 1*(_xlfn._xlws.FILTER(OFFSET($O$15,0,$DO223,$B$8,1),OFFSET($M$15,0,0,$B$8,1))=EB$14))   /   SUM(OFFSET($BO$15,0,0,$B$14,1)) + $B$18/($B$19*$B$19*($DN223&lt;&gt;$DO223) + $B$19*($DN223=$DO223))</f>
        <v>3.7037037037037035E-4</v>
      </c>
      <c r="EC223" s="10" cm="1">
        <f t="array" aca="1" ref="EC223" ca="1">(1-$B$18)*SUMPRODUCT(OFFSET($BO$15,0,0,$B$14,1), 1*(_xlfn._xlws.FILTER(OFFSET($O$15,0,$DN223,$B$8,1),OFFSET($M$15,0,0,$B$8,1))=EC$13), 1*(_xlfn._xlws.FILTER(OFFSET($O$15,0,$DO223,$B$8,1),OFFSET($M$15,0,0,$B$8,1))=EC$14))   /   SUM(OFFSET($BO$15,0,0,$B$14,1)) + $B$18/($B$19*$B$19*($DN223&lt;&gt;$DO223) + $B$19*($DN223=$DO223))</f>
        <v>3.7037037037037035E-4</v>
      </c>
      <c r="ED223" s="10" cm="1">
        <f t="array" aca="1" ref="ED223" ca="1">(1-$B$18)*SUMPRODUCT(OFFSET($BO$15,0,0,$B$14,1), 1*(_xlfn._xlws.FILTER(OFFSET($O$15,0,$DN223,$B$8,1),OFFSET($M$15,0,0,$B$8,1))=ED$13), 1*(_xlfn._xlws.FILTER(OFFSET($O$15,0,$DO223,$B$8,1),OFFSET($M$15,0,0,$B$8,1))=ED$14))   /   SUM(OFFSET($BO$15,0,0,$B$14,1)) + $B$18/($B$19*$B$19*($DN223&lt;&gt;$DO223) + $B$19*($DN223=$DO223))</f>
        <v>3.7037037037037035E-4</v>
      </c>
      <c r="EE223" s="10" cm="1">
        <f t="array" aca="1" ref="EE223" ca="1">(1-$B$18)*SUMPRODUCT(OFFSET($BO$15,0,0,$B$14,1), 1*(_xlfn._xlws.FILTER(OFFSET($O$15,0,$DN223,$B$8,1),OFFSET($M$15,0,0,$B$8,1))=EE$13), 1*(_xlfn._xlws.FILTER(OFFSET($O$15,0,$DO223,$B$8,1),OFFSET($M$15,0,0,$B$8,1))=EE$14))   /   SUM(OFFSET($BO$15,0,0,$B$14,1)) + $B$18/($B$19*$B$19*($DN223&lt;&gt;$DO223) + $B$19*($DN223=$DO223))</f>
        <v>3.7037037037037035E-4</v>
      </c>
      <c r="EF223" s="10" cm="1">
        <f t="array" aca="1" ref="EF223" ca="1">(1-$B$18)*SUMPRODUCT(OFFSET($BO$15,0,0,$B$14,1), 1*(_xlfn._xlws.FILTER(OFFSET($O$15,0,$DN223,$B$8,1),OFFSET($M$15,0,0,$B$8,1))=EF$13), 1*(_xlfn._xlws.FILTER(OFFSET($O$15,0,$DO223,$B$8,1),OFFSET($M$15,0,0,$B$8,1))=EF$14))   /   SUM(OFFSET($BO$15,0,0,$B$14,1)) + $B$18/($B$19*$B$19*($DN223&lt;&gt;$DO223) + $B$19*($DN223=$DO223))</f>
        <v>3.7037037037037035E-4</v>
      </c>
      <c r="EG223" s="10" cm="1">
        <f t="array" aca="1" ref="EG223" ca="1">(1-$B$18)*SUMPRODUCT(OFFSET($BO$15,0,0,$B$14,1), 1*(_xlfn._xlws.FILTER(OFFSET($O$15,0,$DN223,$B$8,1),OFFSET($M$15,0,0,$B$8,1))=EG$13), 1*(_xlfn._xlws.FILTER(OFFSET($O$15,0,$DO223,$B$8,1),OFFSET($M$15,0,0,$B$8,1))=EG$14))   /   SUM(OFFSET($BO$15,0,0,$B$14,1)) + $B$18/($B$19*$B$19*($DN223&lt;&gt;$DO223) + $B$19*($DN223=$DO223))</f>
        <v>3.7037037037037035E-4</v>
      </c>
      <c r="EH223" s="10" cm="1">
        <f t="array" aca="1" ref="EH223" ca="1">(1-$B$18)*SUMPRODUCT(OFFSET($BO$15,0,0,$B$14,1), 1*(_xlfn._xlws.FILTER(OFFSET($O$15,0,$DN223,$B$8,1),OFFSET($M$15,0,0,$B$8,1))=EH$13), 1*(_xlfn._xlws.FILTER(OFFSET($O$15,0,$DO223,$B$8,1),OFFSET($M$15,0,0,$B$8,1))=EH$14))   /   SUM(OFFSET($BO$15,0,0,$B$14,1)) + $B$18/($B$19*$B$19*($DN223&lt;&gt;$DO223) + $B$19*($DN223=$DO223))</f>
        <v>3.7037037037037035E-4</v>
      </c>
      <c r="EI223" s="10" cm="1">
        <f t="array" aca="1" ref="EI223" ca="1">(1-$B$18)*SUMPRODUCT(OFFSET($BO$15,0,0,$B$14,1), 1*(_xlfn._xlws.FILTER(OFFSET($O$15,0,$DN223,$B$8,1),OFFSET($M$15,0,0,$B$8,1))=EI$13), 1*(_xlfn._xlws.FILTER(OFFSET($O$15,0,$DO223,$B$8,1),OFFSET($M$15,0,0,$B$8,1))=EI$14))   /   SUM(OFFSET($BO$15,0,0,$B$14,1)) + $B$18/($B$19*$B$19*($DN223&lt;&gt;$DO223) + $B$19*($DN223=$DO223))</f>
        <v>3.7037037037037035E-4</v>
      </c>
      <c r="EJ223" s="10" cm="1">
        <f t="array" aca="1" ref="EJ223" ca="1">(1-$B$18)*SUMPRODUCT(OFFSET($BO$15,0,0,$B$14,1), 1*(_xlfn._xlws.FILTER(OFFSET($O$15,0,$DN223,$B$8,1),OFFSET($M$15,0,0,$B$8,1))=EJ$13), 1*(_xlfn._xlws.FILTER(OFFSET($O$15,0,$DO223,$B$8,1),OFFSET($M$15,0,0,$B$8,1))=EJ$14))   /   SUM(OFFSET($BO$15,0,0,$B$14,1)) + $B$18/($B$19*$B$19*($DN223&lt;&gt;$DO223) + $B$19*($DN223=$DO223))</f>
        <v>3.7037037037037035E-4</v>
      </c>
      <c r="EK223" s="10" cm="1">
        <f t="array" aca="1" ref="EK223" ca="1">(1-$B$18)*SUMPRODUCT(OFFSET($BO$15,0,0,$B$14,1), 1*(_xlfn._xlws.FILTER(OFFSET($O$15,0,$DN223,$B$8,1),OFFSET($M$15,0,0,$B$8,1))=EK$13), 1*(_xlfn._xlws.FILTER(OFFSET($O$15,0,$DO223,$B$8,1),OFFSET($M$15,0,0,$B$8,1))=EK$14))   /   SUM(OFFSET($BO$15,0,0,$B$14,1)) + $B$18/($B$19*$B$19*($DN223&lt;&gt;$DO223) + $B$19*($DN223=$DO223))</f>
        <v>0.24287037037037026</v>
      </c>
      <c r="EL223" s="10" cm="1">
        <f t="array" aca="1" ref="EL223" ca="1">(1-$B$18)*SUMPRODUCT(OFFSET($BO$15,0,0,$B$14,1), 1*(_xlfn._xlws.FILTER(OFFSET($O$15,0,$DN223,$B$8,1),OFFSET($M$15,0,0,$B$8,1))=EL$13), 1*(_xlfn._xlws.FILTER(OFFSET($O$15,0,$DO223,$B$8,1),OFFSET($M$15,0,0,$B$8,1))=EL$14))   /   SUM(OFFSET($BO$15,0,0,$B$14,1)) + $B$18/($B$19*$B$19*($DN223&lt;&gt;$DO223) + $B$19*($DN223=$DO223))</f>
        <v>3.7037037037037035E-4</v>
      </c>
      <c r="EM223" s="10" cm="1">
        <f t="array" aca="1" ref="EM223" ca="1">(1-$B$18)*SUMPRODUCT(OFFSET($BO$15,0,0,$B$14,1), 1*(_xlfn._xlws.FILTER(OFFSET($O$15,0,$DN223,$B$8,1),OFFSET($M$15,0,0,$B$8,1))=EM$13), 1*(_xlfn._xlws.FILTER(OFFSET($O$15,0,$DO223,$B$8,1),OFFSET($M$15,0,0,$B$8,1))=EM$14))   /   SUM(OFFSET($BO$15,0,0,$B$14,1)) + $B$18/($B$19*$B$19*($DN223&lt;&gt;$DO223) + $B$19*($DN223=$DO223))</f>
        <v>3.7037037037037035E-4</v>
      </c>
      <c r="EN223" s="10" cm="1">
        <f t="array" aca="1" ref="EN223" ca="1">(1-$B$18)*SUMPRODUCT(OFFSET($BO$15,0,0,$B$14,1), 1*(_xlfn._xlws.FILTER(OFFSET($O$15,0,$DN223,$B$8,1),OFFSET($M$15,0,0,$B$8,1))=EN$13), 1*(_xlfn._xlws.FILTER(OFFSET($O$15,0,$DO223,$B$8,1),OFFSET($M$15,0,0,$B$8,1))=EN$14))   /   SUM(OFFSET($BO$15,0,0,$B$14,1)) + $B$18/($B$19*$B$19*($DN223&lt;&gt;$DO223) + $B$19*($DN223=$DO223))</f>
        <v>3.7037037037037035E-4</v>
      </c>
      <c r="EO223" s="10" cm="1">
        <f t="array" aca="1" ref="EO223" ca="1">(1-$B$18)*SUMPRODUCT(OFFSET($BO$15,0,0,$B$14,1), 1*(_xlfn._xlws.FILTER(OFFSET($O$15,0,$DN223,$B$8,1),OFFSET($M$15,0,0,$B$8,1))=EO$13), 1*(_xlfn._xlws.FILTER(OFFSET($O$15,0,$DO223,$B$8,1),OFFSET($M$15,0,0,$B$8,1))=EO$14))   /   SUM(OFFSET($BO$15,0,0,$B$14,1)) + $B$18/($B$19*$B$19*($DN223&lt;&gt;$DO223) + $B$19*($DN223=$DO223))</f>
        <v>3.7037037037037035E-4</v>
      </c>
      <c r="EP223" s="10" cm="1">
        <f t="array" aca="1" ref="EP223" ca="1">(1-$B$18)*SUMPRODUCT(OFFSET($BO$15,0,0,$B$14,1), 1*(_xlfn._xlws.FILTER(OFFSET($O$15,0,$DN223,$B$8,1),OFFSET($M$15,0,0,$B$8,1))=EP$13), 1*(_xlfn._xlws.FILTER(OFFSET($O$15,0,$DO223,$B$8,1),OFFSET($M$15,0,0,$B$8,1))=EP$14))   /   SUM(OFFSET($BO$15,0,0,$B$14,1)) + $B$18/($B$19*$B$19*($DN223&lt;&gt;$DO223) + $B$19*($DN223=$DO223))</f>
        <v>3.7037037037037035E-4</v>
      </c>
      <c r="EQ223" s="10" cm="1">
        <f t="array" aca="1" ref="EQ223" ca="1">(1-$B$18)*SUMPRODUCT(OFFSET($BO$15,0,0,$B$14,1), 1*(_xlfn._xlws.FILTER(OFFSET($O$15,0,$DN223,$B$8,1),OFFSET($M$15,0,0,$B$8,1))=EQ$13), 1*(_xlfn._xlws.FILTER(OFFSET($O$15,0,$DO223,$B$8,1),OFFSET($M$15,0,0,$B$8,1))=EQ$14))   /   SUM(OFFSET($BO$15,0,0,$B$14,1)) + $B$18/($B$19*$B$19*($DN223&lt;&gt;$DO223) + $B$19*($DN223=$DO223))</f>
        <v>3.7037037037037035E-4</v>
      </c>
      <c r="ER223" s="10" cm="1">
        <f t="array" aca="1" ref="ER223" ca="1">(1-$B$18)*SUMPRODUCT(OFFSET($BO$15,0,0,$B$14,1), 1*(_xlfn._xlws.FILTER(OFFSET($O$15,0,$DN223,$B$8,1),OFFSET($M$15,0,0,$B$8,1))=ER$13), 1*(_xlfn._xlws.FILTER(OFFSET($O$15,0,$DO223,$B$8,1),OFFSET($M$15,0,0,$B$8,1))=ER$14))   /   SUM(OFFSET($BO$15,0,0,$B$14,1)) + $B$18/($B$19*$B$19*($DN223&lt;&gt;$DO223) + $B$19*($DN223=$DO223))</f>
        <v>3.7037037037037035E-4</v>
      </c>
      <c r="ES223" s="10" cm="1">
        <f t="array" aca="1" ref="ES223" ca="1">(1-$B$18)*SUMPRODUCT(OFFSET($BO$15,0,0,$B$14,1), 1*(_xlfn._xlws.FILTER(OFFSET($O$15,0,$DN223,$B$8,1),OFFSET($M$15,0,0,$B$8,1))=ES$13), 1*(_xlfn._xlws.FILTER(OFFSET($O$15,0,$DO223,$B$8,1),OFFSET($M$15,0,0,$B$8,1))=ES$14))   /   SUM(OFFSET($BO$15,0,0,$B$14,1)) + $B$18/($B$19*$B$19*($DN223&lt;&gt;$DO223) + $B$19*($DN223=$DO223))</f>
        <v>0.24287037037037026</v>
      </c>
      <c r="ET223" s="10" cm="1">
        <f t="array" aca="1" ref="ET223" ca="1">(1-$B$18)*SUMPRODUCT(OFFSET($BO$15,0,0,$B$14,1), 1*(_xlfn._xlws.FILTER(OFFSET($O$15,0,$DN223,$B$8,1),OFFSET($M$15,0,0,$B$8,1))=ET$13), 1*(_xlfn._xlws.FILTER(OFFSET($O$15,0,$DO223,$B$8,1),OFFSET($M$15,0,0,$B$8,1))=ET$14))   /   SUM(OFFSET($BO$15,0,0,$B$14,1)) + $B$18/($B$19*$B$19*($DN223&lt;&gt;$DO223) + $B$19*($DN223=$DO223))</f>
        <v>3.7037037037037035E-4</v>
      </c>
      <c r="EU223" s="10" cm="1">
        <f t="array" aca="1" ref="EU223" ca="1">(1-$B$18)*SUMPRODUCT(OFFSET($BO$15,0,0,$B$14,1), 1*(_xlfn._xlws.FILTER(OFFSET($O$15,0,$DN223,$B$8,1),OFFSET($M$15,0,0,$B$8,1))=EU$13), 1*(_xlfn._xlws.FILTER(OFFSET($O$15,0,$DO223,$B$8,1),OFFSET($M$15,0,0,$B$8,1))=EU$14))   /   SUM(OFFSET($BO$15,0,0,$B$14,1)) + $B$18/($B$19*$B$19*($DN223&lt;&gt;$DO223) + $B$19*($DN223=$DO223))</f>
        <v>3.7037037037037035E-4</v>
      </c>
      <c r="EV223" s="10" cm="1">
        <f t="array" aca="1" ref="EV223" ca="1">(1-$B$18)*SUMPRODUCT(OFFSET($BO$15,0,0,$B$14,1), 1*(_xlfn._xlws.FILTER(OFFSET($O$15,0,$DN223,$B$8,1),OFFSET($M$15,0,0,$B$8,1))=EV$13), 1*(_xlfn._xlws.FILTER(OFFSET($O$15,0,$DO223,$B$8,1),OFFSET($M$15,0,0,$B$8,1))=EV$14))   /   SUM(OFFSET($BO$15,0,0,$B$14,1)) + $B$18/($B$19*$B$19*($DN223&lt;&gt;$DO223) + $B$19*($DN223=$DO223))</f>
        <v>3.7037037037037035E-4</v>
      </c>
      <c r="EW223" s="10" cm="1">
        <f t="array" aca="1" ref="EW223" ca="1">(1-$B$18)*SUMPRODUCT(OFFSET($BO$15,0,0,$B$14,1), 1*(_xlfn._xlws.FILTER(OFFSET($O$15,0,$DN223,$B$8,1),OFFSET($M$15,0,0,$B$8,1))=EW$13), 1*(_xlfn._xlws.FILTER(OFFSET($O$15,0,$DO223,$B$8,1),OFFSET($M$15,0,0,$B$8,1))=EW$14))   /   SUM(OFFSET($BO$15,0,0,$B$14,1)) + $B$18/($B$19*$B$19*($DN223&lt;&gt;$DO223) + $B$19*($DN223=$DO223))</f>
        <v>3.7037037037037035E-4</v>
      </c>
      <c r="EX223" s="10" cm="1">
        <f t="array" aca="1" ref="EX223" ca="1">(1-$B$18)*SUMPRODUCT(OFFSET($BO$15,0,0,$B$14,1), 1*(_xlfn._xlws.FILTER(OFFSET($O$15,0,$DN223,$B$8,1),OFFSET($M$15,0,0,$B$8,1))=EX$13), 1*(_xlfn._xlws.FILTER(OFFSET($O$15,0,$DO223,$B$8,1),OFFSET($M$15,0,0,$B$8,1))=EX$14))   /   SUM(OFFSET($BO$15,0,0,$B$14,1)) + $B$18/($B$19*$B$19*($DN223&lt;&gt;$DO223) + $B$19*($DN223=$DO223))</f>
        <v>3.7037037037037035E-4</v>
      </c>
      <c r="EY223" s="10" cm="1">
        <f t="array" aca="1" ref="EY223" ca="1">(1-$B$18)*SUMPRODUCT(OFFSET($BO$15,0,0,$B$14,1), 1*(_xlfn._xlws.FILTER(OFFSET($O$15,0,$DN223,$B$8,1),OFFSET($M$15,0,0,$B$8,1))=EY$13), 1*(_xlfn._xlws.FILTER(OFFSET($O$15,0,$DO223,$B$8,1),OFFSET($M$15,0,0,$B$8,1))=EY$14))   /   SUM(OFFSET($BO$15,0,0,$B$14,1)) + $B$18/($B$19*$B$19*($DN223&lt;&gt;$DO223) + $B$19*($DN223=$DO223))</f>
        <v>3.7037037037037035E-4</v>
      </c>
      <c r="EZ223" s="10" cm="1">
        <f t="array" aca="1" ref="EZ223" ca="1">(1-$B$18)*SUMPRODUCT(OFFSET($BO$15,0,0,$B$14,1), 1*(_xlfn._xlws.FILTER(OFFSET($O$15,0,$DN223,$B$8,1),OFFSET($M$15,0,0,$B$8,1))=EZ$13), 1*(_xlfn._xlws.FILTER(OFFSET($O$15,0,$DO223,$B$8,1),OFFSET($M$15,0,0,$B$8,1))=EZ$14))   /   SUM(OFFSET($BO$15,0,0,$B$14,1)) + $B$18/($B$19*$B$19*($DN223&lt;&gt;$DO223) + $B$19*($DN223=$DO223))</f>
        <v>3.7037037037037035E-4</v>
      </c>
      <c r="FA223" s="10" cm="1">
        <f t="array" aca="1" ref="FA223" ca="1">(1-$B$18)*SUMPRODUCT(OFFSET($BO$15,0,0,$B$14,1), 1*(_xlfn._xlws.FILTER(OFFSET($O$15,0,$DN223,$B$8,1),OFFSET($M$15,0,0,$B$8,1))=FA$13), 1*(_xlfn._xlws.FILTER(OFFSET($O$15,0,$DO223,$B$8,1),OFFSET($M$15,0,0,$B$8,1))=FA$14))   /   SUM(OFFSET($BO$15,0,0,$B$14,1)) + $B$18/($B$19*$B$19*($DN223&lt;&gt;$DO223) + $B$19*($DN223=$DO223))</f>
        <v>3.7037037037037035E-4</v>
      </c>
      <c r="FB223" s="10" cm="1">
        <f t="array" aca="1" ref="FB223" ca="1">(1-$B$18)*SUMPRODUCT(OFFSET($BO$15,0,0,$B$14,1), 1*(_xlfn._xlws.FILTER(OFFSET($O$15,0,$DN223,$B$8,1),OFFSET($M$15,0,0,$B$8,1))=FB$13), 1*(_xlfn._xlws.FILTER(OFFSET($O$15,0,$DO223,$B$8,1),OFFSET($M$15,0,0,$B$8,1))=FB$14))   /   SUM(OFFSET($BO$15,0,0,$B$14,1)) + $B$18/($B$19*$B$19*($DN223&lt;&gt;$DO223) + $B$19*($DN223=$DO223))</f>
        <v>3.7037037037037035E-4</v>
      </c>
      <c r="FC223" s="10" cm="1">
        <f t="array" aca="1" ref="FC223" ca="1">(1-$B$18)*SUMPRODUCT(OFFSET($BO$15,0,0,$B$14,1), 1*(_xlfn._xlws.FILTER(OFFSET($O$15,0,$DN223,$B$8,1),OFFSET($M$15,0,0,$B$8,1))=FC$13), 1*(_xlfn._xlws.FILTER(OFFSET($O$15,0,$DO223,$B$8,1),OFFSET($M$15,0,0,$B$8,1))=FC$14))   /   SUM(OFFSET($BO$15,0,0,$B$14,1)) + $B$18/($B$19*$B$19*($DN223&lt;&gt;$DO223) + $B$19*($DN223=$DO223))</f>
        <v>3.7037037037037035E-4</v>
      </c>
      <c r="FD223" s="10" cm="1">
        <f t="array" aca="1" ref="FD223" ca="1">(1-$B$18)*SUMPRODUCT(OFFSET($BO$15,0,0,$B$14,1), 1*(_xlfn._xlws.FILTER(OFFSET($O$15,0,$DN223,$B$8,1),OFFSET($M$15,0,0,$B$8,1))=FD$13), 1*(_xlfn._xlws.FILTER(OFFSET($O$15,0,$DO223,$B$8,1),OFFSET($M$15,0,0,$B$8,1))=FD$14))   /   SUM(OFFSET($BO$15,0,0,$B$14,1)) + $B$18/($B$19*$B$19*($DN223&lt;&gt;$DO223) + $B$19*($DN223=$DO223))</f>
        <v>3.7037037037037035E-4</v>
      </c>
      <c r="FE223" s="10" cm="1">
        <f t="array" aca="1" ref="FE223" ca="1">(1-$B$18)*SUMPRODUCT(OFFSET($BO$15,0,0,$B$14,1), 1*(_xlfn._xlws.FILTER(OFFSET($O$15,0,$DN223,$B$8,1),OFFSET($M$15,0,0,$B$8,1))=FE$13), 1*(_xlfn._xlws.FILTER(OFFSET($O$15,0,$DO223,$B$8,1),OFFSET($M$15,0,0,$B$8,1))=FE$14))   /   SUM(OFFSET($BO$15,0,0,$B$14,1)) + $B$18/($B$19*$B$19*($DN223&lt;&gt;$DO223) + $B$19*($DN223=$DO223))</f>
        <v>3.7037037037037035E-4</v>
      </c>
      <c r="FF223" s="10" cm="1">
        <f t="array" aca="1" ref="FF223" ca="1">(1-$B$18)*SUMPRODUCT(OFFSET($BO$15,0,0,$B$14,1), 1*(_xlfn._xlws.FILTER(OFFSET($O$15,0,$DN223,$B$8,1),OFFSET($M$15,0,0,$B$8,1))=FF$13), 1*(_xlfn._xlws.FILTER(OFFSET($O$15,0,$DO223,$B$8,1),OFFSET($M$15,0,0,$B$8,1))=FF$14))   /   SUM(OFFSET($BO$15,0,0,$B$14,1)) + $B$18/($B$19*$B$19*($DN223&lt;&gt;$DO223) + $B$19*($DN223=$DO223))</f>
        <v>3.7037037037037035E-4</v>
      </c>
      <c r="FG223" s="10" cm="1">
        <f t="array" aca="1" ref="FG223" ca="1">(1-$B$18)*SUMPRODUCT(OFFSET($BO$15,0,0,$B$14,1), 1*(_xlfn._xlws.FILTER(OFFSET($O$15,0,$DN223,$B$8,1),OFFSET($M$15,0,0,$B$8,1))=FG$13), 1*(_xlfn._xlws.FILTER(OFFSET($O$15,0,$DO223,$B$8,1),OFFSET($M$15,0,0,$B$8,1))=FG$14))   /   SUM(OFFSET($BO$15,0,0,$B$14,1)) + $B$18/($B$19*$B$19*($DN223&lt;&gt;$DO223) + $B$19*($DN223=$DO223))</f>
        <v>3.7037037037037035E-4</v>
      </c>
      <c r="FH223" s="10" cm="1">
        <f t="array" aca="1" ref="FH223" ca="1">(1-$B$18)*SUMPRODUCT(OFFSET($BO$15,0,0,$B$14,1), 1*(_xlfn._xlws.FILTER(OFFSET($O$15,0,$DN223,$B$8,1),OFFSET($M$15,0,0,$B$8,1))=FH$13), 1*(_xlfn._xlws.FILTER(OFFSET($O$15,0,$DO223,$B$8,1),OFFSET($M$15,0,0,$B$8,1))=FH$14))   /   SUM(OFFSET($BO$15,0,0,$B$14,1)) + $B$18/($B$19*$B$19*($DN223&lt;&gt;$DO223) + $B$19*($DN223=$DO223))</f>
        <v>3.7037037037037035E-4</v>
      </c>
      <c r="FI223" s="10" cm="1">
        <f t="array" aca="1" ref="FI223" ca="1">(1-$B$18)*SUMPRODUCT(OFFSET($BO$15,0,0,$B$14,1), 1*(_xlfn._xlws.FILTER(OFFSET($O$15,0,$DN223,$B$8,1),OFFSET($M$15,0,0,$B$8,1))=FI$13), 1*(_xlfn._xlws.FILTER(OFFSET($O$15,0,$DO223,$B$8,1),OFFSET($M$15,0,0,$B$8,1))=FI$14))   /   SUM(OFFSET($BO$15,0,0,$B$14,1)) + $B$18/($B$19*$B$19*($DN223&lt;&gt;$DO223) + $B$19*($DN223=$DO223))</f>
        <v>3.7037037037037035E-4</v>
      </c>
      <c r="FJ223" s="10" cm="1">
        <f t="array" aca="1" ref="FJ223" ca="1">(1-$B$18)*SUMPRODUCT(OFFSET($BO$15,0,0,$B$14,1), 1*(_xlfn._xlws.FILTER(OFFSET($O$15,0,$DN223,$B$8,1),OFFSET($M$15,0,0,$B$8,1))=FJ$13), 1*(_xlfn._xlws.FILTER(OFFSET($O$15,0,$DO223,$B$8,1),OFFSET($M$15,0,0,$B$8,1))=FJ$14))   /   SUM(OFFSET($BO$15,0,0,$B$14,1)) + $B$18/($B$19*$B$19*($DN223&lt;&gt;$DO223) + $B$19*($DN223=$DO223))</f>
        <v>3.7037037037037035E-4</v>
      </c>
      <c r="FK223" s="10" cm="1">
        <f t="array" aca="1" ref="FK223" ca="1">(1-$B$18)*SUMPRODUCT(OFFSET($BO$15,0,0,$B$14,1), 1*(_xlfn._xlws.FILTER(OFFSET($O$15,0,$DN223,$B$8,1),OFFSET($M$15,0,0,$B$8,1))=FK$13), 1*(_xlfn._xlws.FILTER(OFFSET($O$15,0,$DO223,$B$8,1),OFFSET($M$15,0,0,$B$8,1))=FK$14))   /   SUM(OFFSET($BO$15,0,0,$B$14,1)) + $B$18/($B$19*$B$19*($DN223&lt;&gt;$DO223) + $B$19*($DN223=$DO223))</f>
        <v>3.7037037037037035E-4</v>
      </c>
      <c r="FL223" s="10" cm="1">
        <f t="array" aca="1" ref="FL223" ca="1">(1-$B$18)*SUMPRODUCT(OFFSET($BO$15,0,0,$B$14,1), 1*(_xlfn._xlws.FILTER(OFFSET($O$15,0,$DN223,$B$8,1),OFFSET($M$15,0,0,$B$8,1))=FL$13), 1*(_xlfn._xlws.FILTER(OFFSET($O$15,0,$DO223,$B$8,1),OFFSET($M$15,0,0,$B$8,1))=FL$14))   /   SUM(OFFSET($BO$15,0,0,$B$14,1)) + $B$18/($B$19*$B$19*($DN223&lt;&gt;$DO223) + $B$19*($DN223=$DO223))</f>
        <v>3.7037037037037035E-4</v>
      </c>
      <c r="FM223" s="10" cm="1">
        <f t="array" aca="1" ref="FM223" ca="1">(1-$B$18)*SUMPRODUCT(OFFSET($BO$15,0,0,$B$14,1), 1*(_xlfn._xlws.FILTER(OFFSET($O$15,0,$DN223,$B$8,1),OFFSET($M$15,0,0,$B$8,1))=FM$13), 1*(_xlfn._xlws.FILTER(OFFSET($O$15,0,$DO223,$B$8,1),OFFSET($M$15,0,0,$B$8,1))=FM$14))   /   SUM(OFFSET($BO$15,0,0,$B$14,1)) + $B$18/($B$19*$B$19*($DN223&lt;&gt;$DO223) + $B$19*($DN223=$DO223))</f>
        <v>3.7037037037037035E-4</v>
      </c>
      <c r="FN223" s="10" cm="1">
        <f t="array" aca="1" ref="FN223" ca="1">(1-$B$18)*SUMPRODUCT(OFFSET($BO$15,0,0,$B$14,1), 1*(_xlfn._xlws.FILTER(OFFSET($O$15,0,$DN223,$B$8,1),OFFSET($M$15,0,0,$B$8,1))=FN$13), 1*(_xlfn._xlws.FILTER(OFFSET($O$15,0,$DO223,$B$8,1),OFFSET($M$15,0,0,$B$8,1))=FN$14))   /   SUM(OFFSET($BO$15,0,0,$B$14,1)) + $B$18/($B$19*$B$19*($DN223&lt;&gt;$DO223) + $B$19*($DN223=$DO223))</f>
        <v>3.7037037037037035E-4</v>
      </c>
      <c r="FO223" s="10" cm="1">
        <f t="array" aca="1" ref="FO223" ca="1">(1-$B$18)*SUMPRODUCT(OFFSET($BO$15,0,0,$B$14,1), 1*(_xlfn._xlws.FILTER(OFFSET($O$15,0,$DN223,$B$8,1),OFFSET($M$15,0,0,$B$8,1))=FO$13), 1*(_xlfn._xlws.FILTER(OFFSET($O$15,0,$DO223,$B$8,1),OFFSET($M$15,0,0,$B$8,1))=FO$14))   /   SUM(OFFSET($BO$15,0,0,$B$14,1)) + $B$18/($B$19*$B$19*($DN223&lt;&gt;$DO223) + $B$19*($DN223=$DO223))</f>
        <v>3.7037037037037035E-4</v>
      </c>
      <c r="FP223" s="10" cm="1">
        <f t="array" aca="1" ref="FP223" ca="1">(1-$B$18)*SUMPRODUCT(OFFSET($BO$15,0,0,$B$14,1), 1*(_xlfn._xlws.FILTER(OFFSET($O$15,0,$DN223,$B$8,1),OFFSET($M$15,0,0,$B$8,1))=FP$13), 1*(_xlfn._xlws.FILTER(OFFSET($O$15,0,$DO223,$B$8,1),OFFSET($M$15,0,0,$B$8,1))=FP$14))   /   SUM(OFFSET($BO$15,0,0,$B$14,1)) + $B$18/($B$19*$B$19*($DN223&lt;&gt;$DO223) + $B$19*($DN223=$DO223))</f>
        <v>3.7037037037037035E-4</v>
      </c>
      <c r="FQ223" s="10" cm="1">
        <f t="array" aca="1" ref="FQ223" ca="1">(1-$B$18)*SUMPRODUCT(OFFSET($BO$15,0,0,$B$14,1), 1*(_xlfn._xlws.FILTER(OFFSET($O$15,0,$DN223,$B$8,1),OFFSET($M$15,0,0,$B$8,1))=FQ$13), 1*(_xlfn._xlws.FILTER(OFFSET($O$15,0,$DO223,$B$8,1),OFFSET($M$15,0,0,$B$8,1))=FQ$14))   /   SUM(OFFSET($BO$15,0,0,$B$14,1)) + $B$18/($B$19*$B$19*($DN223&lt;&gt;$DO223) + $B$19*($DN223=$DO223))</f>
        <v>3.7037037037037035E-4</v>
      </c>
      <c r="FR223" s="10" cm="1">
        <f t="array" aca="1" ref="FR223" ca="1">(1-$B$18)*SUMPRODUCT(OFFSET($BO$15,0,0,$B$14,1), 1*(_xlfn._xlws.FILTER(OFFSET($O$15,0,$DN223,$B$8,1),OFFSET($M$15,0,0,$B$8,1))=FR$13), 1*(_xlfn._xlws.FILTER(OFFSET($O$15,0,$DO223,$B$8,1),OFFSET($M$15,0,0,$B$8,1))=FR$14))   /   SUM(OFFSET($BO$15,0,0,$B$14,1)) + $B$18/($B$19*$B$19*($DN223&lt;&gt;$DO223) + $B$19*($DN223=$DO223))</f>
        <v>3.7037037037037035E-4</v>
      </c>
      <c r="FS223" s="10" cm="1">
        <f t="array" aca="1" ref="FS223" ca="1">(1-$B$18)*SUMPRODUCT(OFFSET($BO$15,0,0,$B$14,1), 1*(_xlfn._xlws.FILTER(OFFSET($O$15,0,$DN223,$B$8,1),OFFSET($M$15,0,0,$B$8,1))=FS$13), 1*(_xlfn._xlws.FILTER(OFFSET($O$15,0,$DO223,$B$8,1),OFFSET($M$15,0,0,$B$8,1))=FS$14))   /   SUM(OFFSET($BO$15,0,0,$B$14,1)) + $B$18/($B$19*$B$19*($DN223&lt;&gt;$DO223) + $B$19*($DN223=$DO223))</f>
        <v>3.7037037037037035E-4</v>
      </c>
      <c r="FT223" s="10" cm="1">
        <f t="array" aca="1" ref="FT223" ca="1">(1-$B$18)*SUMPRODUCT(OFFSET($BO$15,0,0,$B$14,1), 1*(_xlfn._xlws.FILTER(OFFSET($O$15,0,$DN223,$B$8,1),OFFSET($M$15,0,0,$B$8,1))=FT$13), 1*(_xlfn._xlws.FILTER(OFFSET($O$15,0,$DO223,$B$8,1),OFFSET($M$15,0,0,$B$8,1))=FT$14))   /   SUM(OFFSET($BO$15,0,0,$B$14,1)) + $B$18/($B$19*$B$19*($DN223&lt;&gt;$DO223) + $B$19*($DN223=$DO223))</f>
        <v>3.7037037037037035E-4</v>
      </c>
      <c r="FU223" s="10" cm="1">
        <f t="array" aca="1" ref="FU223" ca="1">(1-$B$18)*SUMPRODUCT(OFFSET($BO$15,0,0,$B$14,1), 1*(_xlfn._xlws.FILTER(OFFSET($O$15,0,$DN223,$B$8,1),OFFSET($M$15,0,0,$B$8,1))=FU$13), 1*(_xlfn._xlws.FILTER(OFFSET($O$15,0,$DO223,$B$8,1),OFFSET($M$15,0,0,$B$8,1))=FU$14))   /   SUM(OFFSET($BO$15,0,0,$B$14,1)) + $B$18/($B$19*$B$19*($DN223&lt;&gt;$DO223) + $B$19*($DN223=$DO223))</f>
        <v>3.7037037037037035E-4</v>
      </c>
      <c r="FV223" s="10" cm="1">
        <f t="array" aca="1" ref="FV223" ca="1">(1-$B$18)*SUMPRODUCT(OFFSET($BO$15,0,0,$B$14,1), 1*(_xlfn._xlws.FILTER(OFFSET($O$15,0,$DN223,$B$8,1),OFFSET($M$15,0,0,$B$8,1))=FV$13), 1*(_xlfn._xlws.FILTER(OFFSET($O$15,0,$DO223,$B$8,1),OFFSET($M$15,0,0,$B$8,1))=FV$14))   /   SUM(OFFSET($BO$15,0,0,$B$14,1)) + $B$18/($B$19*$B$19*($DN223&lt;&gt;$DO223) + $B$19*($DN223=$DO223))</f>
        <v>3.7037037037037035E-4</v>
      </c>
      <c r="FW223" s="10" cm="1">
        <f t="array" aca="1" ref="FW223" ca="1">(1-$B$18)*SUMPRODUCT(OFFSET($BO$15,0,0,$B$14,1), 1*(_xlfn._xlws.FILTER(OFFSET($O$15,0,$DN223,$B$8,1),OFFSET($M$15,0,0,$B$8,1))=FW$13), 1*(_xlfn._xlws.FILTER(OFFSET($O$15,0,$DO223,$B$8,1),OFFSET($M$15,0,0,$B$8,1))=FW$14))   /   SUM(OFFSET($BO$15,0,0,$B$14,1)) + $B$18/($B$19*$B$19*($DN223&lt;&gt;$DO223) + $B$19*($DN223=$DO223))</f>
        <v>3.7037037037037035E-4</v>
      </c>
      <c r="FX223" s="10" cm="1">
        <f t="array" aca="1" ref="FX223" ca="1">(1-$B$18)*SUMPRODUCT(OFFSET($BO$15,0,0,$B$14,1), 1*(_xlfn._xlws.FILTER(OFFSET($O$15,0,$DN223,$B$8,1),OFFSET($M$15,0,0,$B$8,1))=FX$13), 1*(_xlfn._xlws.FILTER(OFFSET($O$15,0,$DO223,$B$8,1),OFFSET($M$15,0,0,$B$8,1))=FX$14))   /   SUM(OFFSET($BO$15,0,0,$B$14,1)) + $B$18/($B$19*$B$19*($DN223&lt;&gt;$DO223) + $B$19*($DN223=$DO223))</f>
        <v>3.7037037037037035E-4</v>
      </c>
      <c r="FY223" s="10" cm="1">
        <f t="array" aca="1" ref="FY223" ca="1">(1-$B$18)*SUMPRODUCT(OFFSET($BO$15,0,0,$B$14,1), 1*(_xlfn._xlws.FILTER(OFFSET($O$15,0,$DN223,$B$8,1),OFFSET($M$15,0,0,$B$8,1))=FY$13), 1*(_xlfn._xlws.FILTER(OFFSET($O$15,0,$DO223,$B$8,1),OFFSET($M$15,0,0,$B$8,1))=FY$14))   /   SUM(OFFSET($BO$15,0,0,$B$14,1)) + $B$18/($B$19*$B$19*($DN223&lt;&gt;$DO223) + $B$19*($DN223=$DO223))</f>
        <v>3.7037037037037035E-4</v>
      </c>
      <c r="FZ223" s="10" cm="1">
        <f t="array" aca="1" ref="FZ223" ca="1">(1-$B$18)*SUMPRODUCT(OFFSET($BO$15,0,0,$B$14,1), 1*(_xlfn._xlws.FILTER(OFFSET($O$15,0,$DN223,$B$8,1),OFFSET($M$15,0,0,$B$8,1))=FZ$13), 1*(_xlfn._xlws.FILTER(OFFSET($O$15,0,$DO223,$B$8,1),OFFSET($M$15,0,0,$B$8,1))=FZ$14))   /   SUM(OFFSET($BO$15,0,0,$B$14,1)) + $B$18/($B$19*$B$19*($DN223&lt;&gt;$DO223) + $B$19*($DN223=$DO223))</f>
        <v>3.7037037037037035E-4</v>
      </c>
      <c r="GA223" s="10" cm="1">
        <f t="array" aca="1" ref="GA223" ca="1">(1-$B$18)*SUMPRODUCT(OFFSET($BO$15,0,0,$B$14,1), 1*(_xlfn._xlws.FILTER(OFFSET($O$15,0,$DN223,$B$8,1),OFFSET($M$15,0,0,$B$8,1))=GA$13), 1*(_xlfn._xlws.FILTER(OFFSET($O$15,0,$DO223,$B$8,1),OFFSET($M$15,0,0,$B$8,1))=GA$14))   /   SUM(OFFSET($BO$15,0,0,$B$14,1)) + $B$18/($B$19*$B$19*($DN223&lt;&gt;$DO223) + $B$19*($DN223=$DO223))</f>
        <v>3.7037037037037035E-4</v>
      </c>
    </row>
    <row r="224" spans="118:183" x14ac:dyDescent="0.2">
      <c r="DN224" cm="1">
        <f t="array" aca="1" ref="DN224" ca="1">INDEX(_xlfn.ANCHORARRAY($CP$15), 1 + INT((ROWS($DO$15:$DO224) - 1) / ROWS(_xlfn.ANCHORARRAY($CP$15))))</f>
        <v>12</v>
      </c>
      <c r="DO224" cm="1">
        <f t="array" aca="1" ref="DO224" ca="1">INDEX(_xlfn.ANCHORARRAY($CP$15),1+MOD(ROWS($DO$15:$DO224)-1,ROWS(_xlfn.ANCHORARRAY($CP$15))))</f>
        <v>0</v>
      </c>
      <c r="DP224" s="10" cm="1">
        <f t="array" aca="1" ref="DP224" ca="1">(1-$B$18)*SUMPRODUCT(OFFSET($BO$15,0,0,$B$14,1), 1*(_xlfn._xlws.FILTER(OFFSET($O$15,0,$DN224,$B$8,1),OFFSET($M$15,0,0,$B$8,1))=DP$13), 1*(_xlfn._xlws.FILTER(OFFSET($O$15,0,$DO224,$B$8,1),OFFSET($M$15,0,0,$B$8,1))=DP$14))   /   SUM(OFFSET($BO$15,0,0,$B$14,1)) + $B$18/($B$19*$B$19*($DN224&lt;&gt;$DO224) + $B$19*($DN224=$DO224))</f>
        <v>3.7037037037037035E-4</v>
      </c>
      <c r="DQ224" s="10" cm="1">
        <f t="array" aca="1" ref="DQ224" ca="1">(1-$B$18)*SUMPRODUCT(OFFSET($BO$15,0,0,$B$14,1), 1*(_xlfn._xlws.FILTER(OFFSET($O$15,0,$DN224,$B$8,1),OFFSET($M$15,0,0,$B$8,1))=DQ$13), 1*(_xlfn._xlws.FILTER(OFFSET($O$15,0,$DO224,$B$8,1),OFFSET($M$15,0,0,$B$8,1))=DQ$14))   /   SUM(OFFSET($BO$15,0,0,$B$14,1)) + $B$18/($B$19*$B$19*($DN224&lt;&gt;$DO224) + $B$19*($DN224=$DO224))</f>
        <v>3.7037037037037035E-4</v>
      </c>
      <c r="DR224" s="10" cm="1">
        <f t="array" aca="1" ref="DR224" ca="1">(1-$B$18)*SUMPRODUCT(OFFSET($BO$15,0,0,$B$14,1), 1*(_xlfn._xlws.FILTER(OFFSET($O$15,0,$DN224,$B$8,1),OFFSET($M$15,0,0,$B$8,1))=DR$13), 1*(_xlfn._xlws.FILTER(OFFSET($O$15,0,$DO224,$B$8,1),OFFSET($M$15,0,0,$B$8,1))=DR$14))   /   SUM(OFFSET($BO$15,0,0,$B$14,1)) + $B$18/($B$19*$B$19*($DN224&lt;&gt;$DO224) + $B$19*($DN224=$DO224))</f>
        <v>3.7037037037037035E-4</v>
      </c>
      <c r="DS224" s="10" cm="1">
        <f t="array" aca="1" ref="DS224" ca="1">(1-$B$18)*SUMPRODUCT(OFFSET($BO$15,0,0,$B$14,1), 1*(_xlfn._xlws.FILTER(OFFSET($O$15,0,$DN224,$B$8,1),OFFSET($M$15,0,0,$B$8,1))=DS$13), 1*(_xlfn._xlws.FILTER(OFFSET($O$15,0,$DO224,$B$8,1),OFFSET($M$15,0,0,$B$8,1))=DS$14))   /   SUM(OFFSET($BO$15,0,0,$B$14,1)) + $B$18/($B$19*$B$19*($DN224&lt;&gt;$DO224) + $B$19*($DN224=$DO224))</f>
        <v>3.7037037037037035E-4</v>
      </c>
      <c r="DT224" s="10" cm="1">
        <f t="array" aca="1" ref="DT224" ca="1">(1-$B$18)*SUMPRODUCT(OFFSET($BO$15,0,0,$B$14,1), 1*(_xlfn._xlws.FILTER(OFFSET($O$15,0,$DN224,$B$8,1),OFFSET($M$15,0,0,$B$8,1))=DT$13), 1*(_xlfn._xlws.FILTER(OFFSET($O$15,0,$DO224,$B$8,1),OFFSET($M$15,0,0,$B$8,1))=DT$14))   /   SUM(OFFSET($BO$15,0,0,$B$14,1)) + $B$18/($B$19*$B$19*($DN224&lt;&gt;$DO224) + $B$19*($DN224=$DO224))</f>
        <v>3.7037037037037035E-4</v>
      </c>
      <c r="DU224" s="10" cm="1">
        <f t="array" aca="1" ref="DU224" ca="1">(1-$B$18)*SUMPRODUCT(OFFSET($BO$15,0,0,$B$14,1), 1*(_xlfn._xlws.FILTER(OFFSET($O$15,0,$DN224,$B$8,1),OFFSET($M$15,0,0,$B$8,1))=DU$13), 1*(_xlfn._xlws.FILTER(OFFSET($O$15,0,$DO224,$B$8,1),OFFSET($M$15,0,0,$B$8,1))=DU$14))   /   SUM(OFFSET($BO$15,0,0,$B$14,1)) + $B$18/($B$19*$B$19*($DN224&lt;&gt;$DO224) + $B$19*($DN224=$DO224))</f>
        <v>3.7037037037037035E-4</v>
      </c>
      <c r="DV224" s="10" cm="1">
        <f t="array" aca="1" ref="DV224" ca="1">(1-$B$18)*SUMPRODUCT(OFFSET($BO$15,0,0,$B$14,1), 1*(_xlfn._xlws.FILTER(OFFSET($O$15,0,$DN224,$B$8,1),OFFSET($M$15,0,0,$B$8,1))=DV$13), 1*(_xlfn._xlws.FILTER(OFFSET($O$15,0,$DO224,$B$8,1),OFFSET($M$15,0,0,$B$8,1))=DV$14))   /   SUM(OFFSET($BO$15,0,0,$B$14,1)) + $B$18/($B$19*$B$19*($DN224&lt;&gt;$DO224) + $B$19*($DN224=$DO224))</f>
        <v>3.7037037037037035E-4</v>
      </c>
      <c r="DW224" s="10" cm="1">
        <f t="array" aca="1" ref="DW224" ca="1">(1-$B$18)*SUMPRODUCT(OFFSET($BO$15,0,0,$B$14,1), 1*(_xlfn._xlws.FILTER(OFFSET($O$15,0,$DN224,$B$8,1),OFFSET($M$15,0,0,$B$8,1))=DW$13), 1*(_xlfn._xlws.FILTER(OFFSET($O$15,0,$DO224,$B$8,1),OFFSET($M$15,0,0,$B$8,1))=DW$14))   /   SUM(OFFSET($BO$15,0,0,$B$14,1)) + $B$18/($B$19*$B$19*($DN224&lt;&gt;$DO224) + $B$19*($DN224=$DO224))</f>
        <v>3.7037037037037035E-4</v>
      </c>
      <c r="DX224" s="10" cm="1">
        <f t="array" aca="1" ref="DX224" ca="1">(1-$B$18)*SUMPRODUCT(OFFSET($BO$15,0,0,$B$14,1), 1*(_xlfn._xlws.FILTER(OFFSET($O$15,0,$DN224,$B$8,1),OFFSET($M$15,0,0,$B$8,1))=DX$13), 1*(_xlfn._xlws.FILTER(OFFSET($O$15,0,$DO224,$B$8,1),OFFSET($M$15,0,0,$B$8,1))=DX$14))   /   SUM(OFFSET($BO$15,0,0,$B$14,1)) + $B$18/($B$19*$B$19*($DN224&lt;&gt;$DO224) + $B$19*($DN224=$DO224))</f>
        <v>3.7037037037037035E-4</v>
      </c>
      <c r="DY224" s="10" cm="1">
        <f t="array" aca="1" ref="DY224" ca="1">(1-$B$18)*SUMPRODUCT(OFFSET($BO$15,0,0,$B$14,1), 1*(_xlfn._xlws.FILTER(OFFSET($O$15,0,$DN224,$B$8,1),OFFSET($M$15,0,0,$B$8,1))=DY$13), 1*(_xlfn._xlws.FILTER(OFFSET($O$15,0,$DO224,$B$8,1),OFFSET($M$15,0,0,$B$8,1))=DY$14))   /   SUM(OFFSET($BO$15,0,0,$B$14,1)) + $B$18/($B$19*$B$19*($DN224&lt;&gt;$DO224) + $B$19*($DN224=$DO224))</f>
        <v>3.7037037037037035E-4</v>
      </c>
      <c r="DZ224" s="10" cm="1">
        <f t="array" aca="1" ref="DZ224" ca="1">(1-$B$18)*SUMPRODUCT(OFFSET($BO$15,0,0,$B$14,1), 1*(_xlfn._xlws.FILTER(OFFSET($O$15,0,$DN224,$B$8,1),OFFSET($M$15,0,0,$B$8,1))=DZ$13), 1*(_xlfn._xlws.FILTER(OFFSET($O$15,0,$DO224,$B$8,1),OFFSET($M$15,0,0,$B$8,1))=DZ$14))   /   SUM(OFFSET($BO$15,0,0,$B$14,1)) + $B$18/($B$19*$B$19*($DN224&lt;&gt;$DO224) + $B$19*($DN224=$DO224))</f>
        <v>3.7037037037037035E-4</v>
      </c>
      <c r="EA224" s="10" cm="1">
        <f t="array" aca="1" ref="EA224" ca="1">(1-$B$18)*SUMPRODUCT(OFFSET($BO$15,0,0,$B$14,1), 1*(_xlfn._xlws.FILTER(OFFSET($O$15,0,$DN224,$B$8,1),OFFSET($M$15,0,0,$B$8,1))=EA$13), 1*(_xlfn._xlws.FILTER(OFFSET($O$15,0,$DO224,$B$8,1),OFFSET($M$15,0,0,$B$8,1))=EA$14))   /   SUM(OFFSET($BO$15,0,0,$B$14,1)) + $B$18/($B$19*$B$19*($DN224&lt;&gt;$DO224) + $B$19*($DN224=$DO224))</f>
        <v>3.7037037037037035E-4</v>
      </c>
      <c r="EB224" s="10" cm="1">
        <f t="array" aca="1" ref="EB224" ca="1">(1-$B$18)*SUMPRODUCT(OFFSET($BO$15,0,0,$B$14,1), 1*(_xlfn._xlws.FILTER(OFFSET($O$15,0,$DN224,$B$8,1),OFFSET($M$15,0,0,$B$8,1))=EB$13), 1*(_xlfn._xlws.FILTER(OFFSET($O$15,0,$DO224,$B$8,1),OFFSET($M$15,0,0,$B$8,1))=EB$14))   /   SUM(OFFSET($BO$15,0,0,$B$14,1)) + $B$18/($B$19*$B$19*($DN224&lt;&gt;$DO224) + $B$19*($DN224=$DO224))</f>
        <v>3.7037037037037035E-4</v>
      </c>
      <c r="EC224" s="10" cm="1">
        <f t="array" aca="1" ref="EC224" ca="1">(1-$B$18)*SUMPRODUCT(OFFSET($BO$15,0,0,$B$14,1), 1*(_xlfn._xlws.FILTER(OFFSET($O$15,0,$DN224,$B$8,1),OFFSET($M$15,0,0,$B$8,1))=EC$13), 1*(_xlfn._xlws.FILTER(OFFSET($O$15,0,$DO224,$B$8,1),OFFSET($M$15,0,0,$B$8,1))=EC$14))   /   SUM(OFFSET($BO$15,0,0,$B$14,1)) + $B$18/($B$19*$B$19*($DN224&lt;&gt;$DO224) + $B$19*($DN224=$DO224))</f>
        <v>3.7037037037037035E-4</v>
      </c>
      <c r="ED224" s="10" cm="1">
        <f t="array" aca="1" ref="ED224" ca="1">(1-$B$18)*SUMPRODUCT(OFFSET($BO$15,0,0,$B$14,1), 1*(_xlfn._xlws.FILTER(OFFSET($O$15,0,$DN224,$B$8,1),OFFSET($M$15,0,0,$B$8,1))=ED$13), 1*(_xlfn._xlws.FILTER(OFFSET($O$15,0,$DO224,$B$8,1),OFFSET($M$15,0,0,$B$8,1))=ED$14))   /   SUM(OFFSET($BO$15,0,0,$B$14,1)) + $B$18/($B$19*$B$19*($DN224&lt;&gt;$DO224) + $B$19*($DN224=$DO224))</f>
        <v>0.97037037037037033</v>
      </c>
      <c r="EE224" s="10" cm="1">
        <f t="array" aca="1" ref="EE224" ca="1">(1-$B$18)*SUMPRODUCT(OFFSET($BO$15,0,0,$B$14,1), 1*(_xlfn._xlws.FILTER(OFFSET($O$15,0,$DN224,$B$8,1),OFFSET($M$15,0,0,$B$8,1))=EE$13), 1*(_xlfn._xlws.FILTER(OFFSET($O$15,0,$DO224,$B$8,1),OFFSET($M$15,0,0,$B$8,1))=EE$14))   /   SUM(OFFSET($BO$15,0,0,$B$14,1)) + $B$18/($B$19*$B$19*($DN224&lt;&gt;$DO224) + $B$19*($DN224=$DO224))</f>
        <v>3.7037037037037035E-4</v>
      </c>
      <c r="EF224" s="10" cm="1">
        <f t="array" aca="1" ref="EF224" ca="1">(1-$B$18)*SUMPRODUCT(OFFSET($BO$15,0,0,$B$14,1), 1*(_xlfn._xlws.FILTER(OFFSET($O$15,0,$DN224,$B$8,1),OFFSET($M$15,0,0,$B$8,1))=EF$13), 1*(_xlfn._xlws.FILTER(OFFSET($O$15,0,$DO224,$B$8,1),OFFSET($M$15,0,0,$B$8,1))=EF$14))   /   SUM(OFFSET($BO$15,0,0,$B$14,1)) + $B$18/($B$19*$B$19*($DN224&lt;&gt;$DO224) + $B$19*($DN224=$DO224))</f>
        <v>3.7037037037037035E-4</v>
      </c>
      <c r="EG224" s="10" cm="1">
        <f t="array" aca="1" ref="EG224" ca="1">(1-$B$18)*SUMPRODUCT(OFFSET($BO$15,0,0,$B$14,1), 1*(_xlfn._xlws.FILTER(OFFSET($O$15,0,$DN224,$B$8,1),OFFSET($M$15,0,0,$B$8,1))=EG$13), 1*(_xlfn._xlws.FILTER(OFFSET($O$15,0,$DO224,$B$8,1),OFFSET($M$15,0,0,$B$8,1))=EG$14))   /   SUM(OFFSET($BO$15,0,0,$B$14,1)) + $B$18/($B$19*$B$19*($DN224&lt;&gt;$DO224) + $B$19*($DN224=$DO224))</f>
        <v>3.7037037037037035E-4</v>
      </c>
      <c r="EH224" s="10" cm="1">
        <f t="array" aca="1" ref="EH224" ca="1">(1-$B$18)*SUMPRODUCT(OFFSET($BO$15,0,0,$B$14,1), 1*(_xlfn._xlws.FILTER(OFFSET($O$15,0,$DN224,$B$8,1),OFFSET($M$15,0,0,$B$8,1))=EH$13), 1*(_xlfn._xlws.FILTER(OFFSET($O$15,0,$DO224,$B$8,1),OFFSET($M$15,0,0,$B$8,1))=EH$14))   /   SUM(OFFSET($BO$15,0,0,$B$14,1)) + $B$18/($B$19*$B$19*($DN224&lt;&gt;$DO224) + $B$19*($DN224=$DO224))</f>
        <v>3.7037037037037035E-4</v>
      </c>
      <c r="EI224" s="10" cm="1">
        <f t="array" aca="1" ref="EI224" ca="1">(1-$B$18)*SUMPRODUCT(OFFSET($BO$15,0,0,$B$14,1), 1*(_xlfn._xlws.FILTER(OFFSET($O$15,0,$DN224,$B$8,1),OFFSET($M$15,0,0,$B$8,1))=EI$13), 1*(_xlfn._xlws.FILTER(OFFSET($O$15,0,$DO224,$B$8,1),OFFSET($M$15,0,0,$B$8,1))=EI$14))   /   SUM(OFFSET($BO$15,0,0,$B$14,1)) + $B$18/($B$19*$B$19*($DN224&lt;&gt;$DO224) + $B$19*($DN224=$DO224))</f>
        <v>3.7037037037037035E-4</v>
      </c>
      <c r="EJ224" s="10" cm="1">
        <f t="array" aca="1" ref="EJ224" ca="1">(1-$B$18)*SUMPRODUCT(OFFSET($BO$15,0,0,$B$14,1), 1*(_xlfn._xlws.FILTER(OFFSET($O$15,0,$DN224,$B$8,1),OFFSET($M$15,0,0,$B$8,1))=EJ$13), 1*(_xlfn._xlws.FILTER(OFFSET($O$15,0,$DO224,$B$8,1),OFFSET($M$15,0,0,$B$8,1))=EJ$14))   /   SUM(OFFSET($BO$15,0,0,$B$14,1)) + $B$18/($B$19*$B$19*($DN224&lt;&gt;$DO224) + $B$19*($DN224=$DO224))</f>
        <v>3.7037037037037035E-4</v>
      </c>
      <c r="EK224" s="10" cm="1">
        <f t="array" aca="1" ref="EK224" ca="1">(1-$B$18)*SUMPRODUCT(OFFSET($BO$15,0,0,$B$14,1), 1*(_xlfn._xlws.FILTER(OFFSET($O$15,0,$DN224,$B$8,1),OFFSET($M$15,0,0,$B$8,1))=EK$13), 1*(_xlfn._xlws.FILTER(OFFSET($O$15,0,$DO224,$B$8,1),OFFSET($M$15,0,0,$B$8,1))=EK$14))   /   SUM(OFFSET($BO$15,0,0,$B$14,1)) + $B$18/($B$19*$B$19*($DN224&lt;&gt;$DO224) + $B$19*($DN224=$DO224))</f>
        <v>3.7037037037037035E-4</v>
      </c>
      <c r="EL224" s="10" cm="1">
        <f t="array" aca="1" ref="EL224" ca="1">(1-$B$18)*SUMPRODUCT(OFFSET($BO$15,0,0,$B$14,1), 1*(_xlfn._xlws.FILTER(OFFSET($O$15,0,$DN224,$B$8,1),OFFSET($M$15,0,0,$B$8,1))=EL$13), 1*(_xlfn._xlws.FILTER(OFFSET($O$15,0,$DO224,$B$8,1),OFFSET($M$15,0,0,$B$8,1))=EL$14))   /   SUM(OFFSET($BO$15,0,0,$B$14,1)) + $B$18/($B$19*$B$19*($DN224&lt;&gt;$DO224) + $B$19*($DN224=$DO224))</f>
        <v>3.7037037037037035E-4</v>
      </c>
      <c r="EM224" s="10" cm="1">
        <f t="array" aca="1" ref="EM224" ca="1">(1-$B$18)*SUMPRODUCT(OFFSET($BO$15,0,0,$B$14,1), 1*(_xlfn._xlws.FILTER(OFFSET($O$15,0,$DN224,$B$8,1),OFFSET($M$15,0,0,$B$8,1))=EM$13), 1*(_xlfn._xlws.FILTER(OFFSET($O$15,0,$DO224,$B$8,1),OFFSET($M$15,0,0,$B$8,1))=EM$14))   /   SUM(OFFSET($BO$15,0,0,$B$14,1)) + $B$18/($B$19*$B$19*($DN224&lt;&gt;$DO224) + $B$19*($DN224=$DO224))</f>
        <v>3.7037037037037035E-4</v>
      </c>
      <c r="EN224" s="10" cm="1">
        <f t="array" aca="1" ref="EN224" ca="1">(1-$B$18)*SUMPRODUCT(OFFSET($BO$15,0,0,$B$14,1), 1*(_xlfn._xlws.FILTER(OFFSET($O$15,0,$DN224,$B$8,1),OFFSET($M$15,0,0,$B$8,1))=EN$13), 1*(_xlfn._xlws.FILTER(OFFSET($O$15,0,$DO224,$B$8,1),OFFSET($M$15,0,0,$B$8,1))=EN$14))   /   SUM(OFFSET($BO$15,0,0,$B$14,1)) + $B$18/($B$19*$B$19*($DN224&lt;&gt;$DO224) + $B$19*($DN224=$DO224))</f>
        <v>3.7037037037037035E-4</v>
      </c>
      <c r="EO224" s="10" cm="1">
        <f t="array" aca="1" ref="EO224" ca="1">(1-$B$18)*SUMPRODUCT(OFFSET($BO$15,0,0,$B$14,1), 1*(_xlfn._xlws.FILTER(OFFSET($O$15,0,$DN224,$B$8,1),OFFSET($M$15,0,0,$B$8,1))=EO$13), 1*(_xlfn._xlws.FILTER(OFFSET($O$15,0,$DO224,$B$8,1),OFFSET($M$15,0,0,$B$8,1))=EO$14))   /   SUM(OFFSET($BO$15,0,0,$B$14,1)) + $B$18/($B$19*$B$19*($DN224&lt;&gt;$DO224) + $B$19*($DN224=$DO224))</f>
        <v>3.7037037037037035E-4</v>
      </c>
      <c r="EP224" s="10" cm="1">
        <f t="array" aca="1" ref="EP224" ca="1">(1-$B$18)*SUMPRODUCT(OFFSET($BO$15,0,0,$B$14,1), 1*(_xlfn._xlws.FILTER(OFFSET($O$15,0,$DN224,$B$8,1),OFFSET($M$15,0,0,$B$8,1))=EP$13), 1*(_xlfn._xlws.FILTER(OFFSET($O$15,0,$DO224,$B$8,1),OFFSET($M$15,0,0,$B$8,1))=EP$14))   /   SUM(OFFSET($BO$15,0,0,$B$14,1)) + $B$18/($B$19*$B$19*($DN224&lt;&gt;$DO224) + $B$19*($DN224=$DO224))</f>
        <v>3.7037037037037035E-4</v>
      </c>
      <c r="EQ224" s="10" cm="1">
        <f t="array" aca="1" ref="EQ224" ca="1">(1-$B$18)*SUMPRODUCT(OFFSET($BO$15,0,0,$B$14,1), 1*(_xlfn._xlws.FILTER(OFFSET($O$15,0,$DN224,$B$8,1),OFFSET($M$15,0,0,$B$8,1))=EQ$13), 1*(_xlfn._xlws.FILTER(OFFSET($O$15,0,$DO224,$B$8,1),OFFSET($M$15,0,0,$B$8,1))=EQ$14))   /   SUM(OFFSET($BO$15,0,0,$B$14,1)) + $B$18/($B$19*$B$19*($DN224&lt;&gt;$DO224) + $B$19*($DN224=$DO224))</f>
        <v>3.7037037037037035E-4</v>
      </c>
      <c r="ER224" s="10" cm="1">
        <f t="array" aca="1" ref="ER224" ca="1">(1-$B$18)*SUMPRODUCT(OFFSET($BO$15,0,0,$B$14,1), 1*(_xlfn._xlws.FILTER(OFFSET($O$15,0,$DN224,$B$8,1),OFFSET($M$15,0,0,$B$8,1))=ER$13), 1*(_xlfn._xlws.FILTER(OFFSET($O$15,0,$DO224,$B$8,1),OFFSET($M$15,0,0,$B$8,1))=ER$14))   /   SUM(OFFSET($BO$15,0,0,$B$14,1)) + $B$18/($B$19*$B$19*($DN224&lt;&gt;$DO224) + $B$19*($DN224=$DO224))</f>
        <v>3.7037037037037035E-4</v>
      </c>
      <c r="ES224" s="10" cm="1">
        <f t="array" aca="1" ref="ES224" ca="1">(1-$B$18)*SUMPRODUCT(OFFSET($BO$15,0,0,$B$14,1), 1*(_xlfn._xlws.FILTER(OFFSET($O$15,0,$DN224,$B$8,1),OFFSET($M$15,0,0,$B$8,1))=ES$13), 1*(_xlfn._xlws.FILTER(OFFSET($O$15,0,$DO224,$B$8,1),OFFSET($M$15,0,0,$B$8,1))=ES$14))   /   SUM(OFFSET($BO$15,0,0,$B$14,1)) + $B$18/($B$19*$B$19*($DN224&lt;&gt;$DO224) + $B$19*($DN224=$DO224))</f>
        <v>3.7037037037037035E-4</v>
      </c>
      <c r="ET224" s="10" cm="1">
        <f t="array" aca="1" ref="ET224" ca="1">(1-$B$18)*SUMPRODUCT(OFFSET($BO$15,0,0,$B$14,1), 1*(_xlfn._xlws.FILTER(OFFSET($O$15,0,$DN224,$B$8,1),OFFSET($M$15,0,0,$B$8,1))=ET$13), 1*(_xlfn._xlws.FILTER(OFFSET($O$15,0,$DO224,$B$8,1),OFFSET($M$15,0,0,$B$8,1))=ET$14))   /   SUM(OFFSET($BO$15,0,0,$B$14,1)) + $B$18/($B$19*$B$19*($DN224&lt;&gt;$DO224) + $B$19*($DN224=$DO224))</f>
        <v>3.7037037037037035E-4</v>
      </c>
      <c r="EU224" s="10" cm="1">
        <f t="array" aca="1" ref="EU224" ca="1">(1-$B$18)*SUMPRODUCT(OFFSET($BO$15,0,0,$B$14,1), 1*(_xlfn._xlws.FILTER(OFFSET($O$15,0,$DN224,$B$8,1),OFFSET($M$15,0,0,$B$8,1))=EU$13), 1*(_xlfn._xlws.FILTER(OFFSET($O$15,0,$DO224,$B$8,1),OFFSET($M$15,0,0,$B$8,1))=EU$14))   /   SUM(OFFSET($BO$15,0,0,$B$14,1)) + $B$18/($B$19*$B$19*($DN224&lt;&gt;$DO224) + $B$19*($DN224=$DO224))</f>
        <v>3.7037037037037035E-4</v>
      </c>
      <c r="EV224" s="10" cm="1">
        <f t="array" aca="1" ref="EV224" ca="1">(1-$B$18)*SUMPRODUCT(OFFSET($BO$15,0,0,$B$14,1), 1*(_xlfn._xlws.FILTER(OFFSET($O$15,0,$DN224,$B$8,1),OFFSET($M$15,0,0,$B$8,1))=EV$13), 1*(_xlfn._xlws.FILTER(OFFSET($O$15,0,$DO224,$B$8,1),OFFSET($M$15,0,0,$B$8,1))=EV$14))   /   SUM(OFFSET($BO$15,0,0,$B$14,1)) + $B$18/($B$19*$B$19*($DN224&lt;&gt;$DO224) + $B$19*($DN224=$DO224))</f>
        <v>3.7037037037037035E-4</v>
      </c>
      <c r="EW224" s="10" cm="1">
        <f t="array" aca="1" ref="EW224" ca="1">(1-$B$18)*SUMPRODUCT(OFFSET($BO$15,0,0,$B$14,1), 1*(_xlfn._xlws.FILTER(OFFSET($O$15,0,$DN224,$B$8,1),OFFSET($M$15,0,0,$B$8,1))=EW$13), 1*(_xlfn._xlws.FILTER(OFFSET($O$15,0,$DO224,$B$8,1),OFFSET($M$15,0,0,$B$8,1))=EW$14))   /   SUM(OFFSET($BO$15,0,0,$B$14,1)) + $B$18/($B$19*$B$19*($DN224&lt;&gt;$DO224) + $B$19*($DN224=$DO224))</f>
        <v>3.7037037037037035E-4</v>
      </c>
      <c r="EX224" s="10" cm="1">
        <f t="array" aca="1" ref="EX224" ca="1">(1-$B$18)*SUMPRODUCT(OFFSET($BO$15,0,0,$B$14,1), 1*(_xlfn._xlws.FILTER(OFFSET($O$15,0,$DN224,$B$8,1),OFFSET($M$15,0,0,$B$8,1))=EX$13), 1*(_xlfn._xlws.FILTER(OFFSET($O$15,0,$DO224,$B$8,1),OFFSET($M$15,0,0,$B$8,1))=EX$14))   /   SUM(OFFSET($BO$15,0,0,$B$14,1)) + $B$18/($B$19*$B$19*($DN224&lt;&gt;$DO224) + $B$19*($DN224=$DO224))</f>
        <v>3.7037037037037035E-4</v>
      </c>
      <c r="EY224" s="10" cm="1">
        <f t="array" aca="1" ref="EY224" ca="1">(1-$B$18)*SUMPRODUCT(OFFSET($BO$15,0,0,$B$14,1), 1*(_xlfn._xlws.FILTER(OFFSET($O$15,0,$DN224,$B$8,1),OFFSET($M$15,0,0,$B$8,1))=EY$13), 1*(_xlfn._xlws.FILTER(OFFSET($O$15,0,$DO224,$B$8,1),OFFSET($M$15,0,0,$B$8,1))=EY$14))   /   SUM(OFFSET($BO$15,0,0,$B$14,1)) + $B$18/($B$19*$B$19*($DN224&lt;&gt;$DO224) + $B$19*($DN224=$DO224))</f>
        <v>3.7037037037037035E-4</v>
      </c>
      <c r="EZ224" s="10" cm="1">
        <f t="array" aca="1" ref="EZ224" ca="1">(1-$B$18)*SUMPRODUCT(OFFSET($BO$15,0,0,$B$14,1), 1*(_xlfn._xlws.FILTER(OFFSET($O$15,0,$DN224,$B$8,1),OFFSET($M$15,0,0,$B$8,1))=EZ$13), 1*(_xlfn._xlws.FILTER(OFFSET($O$15,0,$DO224,$B$8,1),OFFSET($M$15,0,0,$B$8,1))=EZ$14))   /   SUM(OFFSET($BO$15,0,0,$B$14,1)) + $B$18/($B$19*$B$19*($DN224&lt;&gt;$DO224) + $B$19*($DN224=$DO224))</f>
        <v>3.7037037037037035E-4</v>
      </c>
      <c r="FA224" s="10" cm="1">
        <f t="array" aca="1" ref="FA224" ca="1">(1-$B$18)*SUMPRODUCT(OFFSET($BO$15,0,0,$B$14,1), 1*(_xlfn._xlws.FILTER(OFFSET($O$15,0,$DN224,$B$8,1),OFFSET($M$15,0,0,$B$8,1))=FA$13), 1*(_xlfn._xlws.FILTER(OFFSET($O$15,0,$DO224,$B$8,1),OFFSET($M$15,0,0,$B$8,1))=FA$14))   /   SUM(OFFSET($BO$15,0,0,$B$14,1)) + $B$18/($B$19*$B$19*($DN224&lt;&gt;$DO224) + $B$19*($DN224=$DO224))</f>
        <v>3.7037037037037035E-4</v>
      </c>
      <c r="FB224" s="10" cm="1">
        <f t="array" aca="1" ref="FB224" ca="1">(1-$B$18)*SUMPRODUCT(OFFSET($BO$15,0,0,$B$14,1), 1*(_xlfn._xlws.FILTER(OFFSET($O$15,0,$DN224,$B$8,1),OFFSET($M$15,0,0,$B$8,1))=FB$13), 1*(_xlfn._xlws.FILTER(OFFSET($O$15,0,$DO224,$B$8,1),OFFSET($M$15,0,0,$B$8,1))=FB$14))   /   SUM(OFFSET($BO$15,0,0,$B$14,1)) + $B$18/($B$19*$B$19*($DN224&lt;&gt;$DO224) + $B$19*($DN224=$DO224))</f>
        <v>3.7037037037037035E-4</v>
      </c>
      <c r="FC224" s="10" cm="1">
        <f t="array" aca="1" ref="FC224" ca="1">(1-$B$18)*SUMPRODUCT(OFFSET($BO$15,0,0,$B$14,1), 1*(_xlfn._xlws.FILTER(OFFSET($O$15,0,$DN224,$B$8,1),OFFSET($M$15,0,0,$B$8,1))=FC$13), 1*(_xlfn._xlws.FILTER(OFFSET($O$15,0,$DO224,$B$8,1),OFFSET($M$15,0,0,$B$8,1))=FC$14))   /   SUM(OFFSET($BO$15,0,0,$B$14,1)) + $B$18/($B$19*$B$19*($DN224&lt;&gt;$DO224) + $B$19*($DN224=$DO224))</f>
        <v>3.7037037037037035E-4</v>
      </c>
      <c r="FD224" s="10" cm="1">
        <f t="array" aca="1" ref="FD224" ca="1">(1-$B$18)*SUMPRODUCT(OFFSET($BO$15,0,0,$B$14,1), 1*(_xlfn._xlws.FILTER(OFFSET($O$15,0,$DN224,$B$8,1),OFFSET($M$15,0,0,$B$8,1))=FD$13), 1*(_xlfn._xlws.FILTER(OFFSET($O$15,0,$DO224,$B$8,1),OFFSET($M$15,0,0,$B$8,1))=FD$14))   /   SUM(OFFSET($BO$15,0,0,$B$14,1)) + $B$18/($B$19*$B$19*($DN224&lt;&gt;$DO224) + $B$19*($DN224=$DO224))</f>
        <v>3.7037037037037035E-4</v>
      </c>
      <c r="FE224" s="10" cm="1">
        <f t="array" aca="1" ref="FE224" ca="1">(1-$B$18)*SUMPRODUCT(OFFSET($BO$15,0,0,$B$14,1), 1*(_xlfn._xlws.FILTER(OFFSET($O$15,0,$DN224,$B$8,1),OFFSET($M$15,0,0,$B$8,1))=FE$13), 1*(_xlfn._xlws.FILTER(OFFSET($O$15,0,$DO224,$B$8,1),OFFSET($M$15,0,0,$B$8,1))=FE$14))   /   SUM(OFFSET($BO$15,0,0,$B$14,1)) + $B$18/($B$19*$B$19*($DN224&lt;&gt;$DO224) + $B$19*($DN224=$DO224))</f>
        <v>3.7037037037037035E-4</v>
      </c>
      <c r="FF224" s="10" cm="1">
        <f t="array" aca="1" ref="FF224" ca="1">(1-$B$18)*SUMPRODUCT(OFFSET($BO$15,0,0,$B$14,1), 1*(_xlfn._xlws.FILTER(OFFSET($O$15,0,$DN224,$B$8,1),OFFSET($M$15,0,0,$B$8,1))=FF$13), 1*(_xlfn._xlws.FILTER(OFFSET($O$15,0,$DO224,$B$8,1),OFFSET($M$15,0,0,$B$8,1))=FF$14))   /   SUM(OFFSET($BO$15,0,0,$B$14,1)) + $B$18/($B$19*$B$19*($DN224&lt;&gt;$DO224) + $B$19*($DN224=$DO224))</f>
        <v>3.7037037037037035E-4</v>
      </c>
      <c r="FG224" s="10" cm="1">
        <f t="array" aca="1" ref="FG224" ca="1">(1-$B$18)*SUMPRODUCT(OFFSET($BO$15,0,0,$B$14,1), 1*(_xlfn._xlws.FILTER(OFFSET($O$15,0,$DN224,$B$8,1),OFFSET($M$15,0,0,$B$8,1))=FG$13), 1*(_xlfn._xlws.FILTER(OFFSET($O$15,0,$DO224,$B$8,1),OFFSET($M$15,0,0,$B$8,1))=FG$14))   /   SUM(OFFSET($BO$15,0,0,$B$14,1)) + $B$18/($B$19*$B$19*($DN224&lt;&gt;$DO224) + $B$19*($DN224=$DO224))</f>
        <v>3.7037037037037035E-4</v>
      </c>
      <c r="FH224" s="10" cm="1">
        <f t="array" aca="1" ref="FH224" ca="1">(1-$B$18)*SUMPRODUCT(OFFSET($BO$15,0,0,$B$14,1), 1*(_xlfn._xlws.FILTER(OFFSET($O$15,0,$DN224,$B$8,1),OFFSET($M$15,0,0,$B$8,1))=FH$13), 1*(_xlfn._xlws.FILTER(OFFSET($O$15,0,$DO224,$B$8,1),OFFSET($M$15,0,0,$B$8,1))=FH$14))   /   SUM(OFFSET($BO$15,0,0,$B$14,1)) + $B$18/($B$19*$B$19*($DN224&lt;&gt;$DO224) + $B$19*($DN224=$DO224))</f>
        <v>3.7037037037037035E-4</v>
      </c>
      <c r="FI224" s="10" cm="1">
        <f t="array" aca="1" ref="FI224" ca="1">(1-$B$18)*SUMPRODUCT(OFFSET($BO$15,0,0,$B$14,1), 1*(_xlfn._xlws.FILTER(OFFSET($O$15,0,$DN224,$B$8,1),OFFSET($M$15,0,0,$B$8,1))=FI$13), 1*(_xlfn._xlws.FILTER(OFFSET($O$15,0,$DO224,$B$8,1),OFFSET($M$15,0,0,$B$8,1))=FI$14))   /   SUM(OFFSET($BO$15,0,0,$B$14,1)) + $B$18/($B$19*$B$19*($DN224&lt;&gt;$DO224) + $B$19*($DN224=$DO224))</f>
        <v>3.7037037037037035E-4</v>
      </c>
      <c r="FJ224" s="10" cm="1">
        <f t="array" aca="1" ref="FJ224" ca="1">(1-$B$18)*SUMPRODUCT(OFFSET($BO$15,0,0,$B$14,1), 1*(_xlfn._xlws.FILTER(OFFSET($O$15,0,$DN224,$B$8,1),OFFSET($M$15,0,0,$B$8,1))=FJ$13), 1*(_xlfn._xlws.FILTER(OFFSET($O$15,0,$DO224,$B$8,1),OFFSET($M$15,0,0,$B$8,1))=FJ$14))   /   SUM(OFFSET($BO$15,0,0,$B$14,1)) + $B$18/($B$19*$B$19*($DN224&lt;&gt;$DO224) + $B$19*($DN224=$DO224))</f>
        <v>3.7037037037037035E-4</v>
      </c>
      <c r="FK224" s="10" cm="1">
        <f t="array" aca="1" ref="FK224" ca="1">(1-$B$18)*SUMPRODUCT(OFFSET($BO$15,0,0,$B$14,1), 1*(_xlfn._xlws.FILTER(OFFSET($O$15,0,$DN224,$B$8,1),OFFSET($M$15,0,0,$B$8,1))=FK$13), 1*(_xlfn._xlws.FILTER(OFFSET($O$15,0,$DO224,$B$8,1),OFFSET($M$15,0,0,$B$8,1))=FK$14))   /   SUM(OFFSET($BO$15,0,0,$B$14,1)) + $B$18/($B$19*$B$19*($DN224&lt;&gt;$DO224) + $B$19*($DN224=$DO224))</f>
        <v>3.7037037037037035E-4</v>
      </c>
      <c r="FL224" s="10" cm="1">
        <f t="array" aca="1" ref="FL224" ca="1">(1-$B$18)*SUMPRODUCT(OFFSET($BO$15,0,0,$B$14,1), 1*(_xlfn._xlws.FILTER(OFFSET($O$15,0,$DN224,$B$8,1),OFFSET($M$15,0,0,$B$8,1))=FL$13), 1*(_xlfn._xlws.FILTER(OFFSET($O$15,0,$DO224,$B$8,1),OFFSET($M$15,0,0,$B$8,1))=FL$14))   /   SUM(OFFSET($BO$15,0,0,$B$14,1)) + $B$18/($B$19*$B$19*($DN224&lt;&gt;$DO224) + $B$19*($DN224=$DO224))</f>
        <v>3.7037037037037035E-4</v>
      </c>
      <c r="FM224" s="10" cm="1">
        <f t="array" aca="1" ref="FM224" ca="1">(1-$B$18)*SUMPRODUCT(OFFSET($BO$15,0,0,$B$14,1), 1*(_xlfn._xlws.FILTER(OFFSET($O$15,0,$DN224,$B$8,1),OFFSET($M$15,0,0,$B$8,1))=FM$13), 1*(_xlfn._xlws.FILTER(OFFSET($O$15,0,$DO224,$B$8,1),OFFSET($M$15,0,0,$B$8,1))=FM$14))   /   SUM(OFFSET($BO$15,0,0,$B$14,1)) + $B$18/($B$19*$B$19*($DN224&lt;&gt;$DO224) + $B$19*($DN224=$DO224))</f>
        <v>3.7037037037037035E-4</v>
      </c>
      <c r="FN224" s="10" cm="1">
        <f t="array" aca="1" ref="FN224" ca="1">(1-$B$18)*SUMPRODUCT(OFFSET($BO$15,0,0,$B$14,1), 1*(_xlfn._xlws.FILTER(OFFSET($O$15,0,$DN224,$B$8,1),OFFSET($M$15,0,0,$B$8,1))=FN$13), 1*(_xlfn._xlws.FILTER(OFFSET($O$15,0,$DO224,$B$8,1),OFFSET($M$15,0,0,$B$8,1))=FN$14))   /   SUM(OFFSET($BO$15,0,0,$B$14,1)) + $B$18/($B$19*$B$19*($DN224&lt;&gt;$DO224) + $B$19*($DN224=$DO224))</f>
        <v>3.7037037037037035E-4</v>
      </c>
      <c r="FO224" s="10" cm="1">
        <f t="array" aca="1" ref="FO224" ca="1">(1-$B$18)*SUMPRODUCT(OFFSET($BO$15,0,0,$B$14,1), 1*(_xlfn._xlws.FILTER(OFFSET($O$15,0,$DN224,$B$8,1),OFFSET($M$15,0,0,$B$8,1))=FO$13), 1*(_xlfn._xlws.FILTER(OFFSET($O$15,0,$DO224,$B$8,1),OFFSET($M$15,0,0,$B$8,1))=FO$14))   /   SUM(OFFSET($BO$15,0,0,$B$14,1)) + $B$18/($B$19*$B$19*($DN224&lt;&gt;$DO224) + $B$19*($DN224=$DO224))</f>
        <v>3.7037037037037035E-4</v>
      </c>
      <c r="FP224" s="10" cm="1">
        <f t="array" aca="1" ref="FP224" ca="1">(1-$B$18)*SUMPRODUCT(OFFSET($BO$15,0,0,$B$14,1), 1*(_xlfn._xlws.FILTER(OFFSET($O$15,0,$DN224,$B$8,1),OFFSET($M$15,0,0,$B$8,1))=FP$13), 1*(_xlfn._xlws.FILTER(OFFSET($O$15,0,$DO224,$B$8,1),OFFSET($M$15,0,0,$B$8,1))=FP$14))   /   SUM(OFFSET($BO$15,0,0,$B$14,1)) + $B$18/($B$19*$B$19*($DN224&lt;&gt;$DO224) + $B$19*($DN224=$DO224))</f>
        <v>3.7037037037037035E-4</v>
      </c>
      <c r="FQ224" s="10" cm="1">
        <f t="array" aca="1" ref="FQ224" ca="1">(1-$B$18)*SUMPRODUCT(OFFSET($BO$15,0,0,$B$14,1), 1*(_xlfn._xlws.FILTER(OFFSET($O$15,0,$DN224,$B$8,1),OFFSET($M$15,0,0,$B$8,1))=FQ$13), 1*(_xlfn._xlws.FILTER(OFFSET($O$15,0,$DO224,$B$8,1),OFFSET($M$15,0,0,$B$8,1))=FQ$14))   /   SUM(OFFSET($BO$15,0,0,$B$14,1)) + $B$18/($B$19*$B$19*($DN224&lt;&gt;$DO224) + $B$19*($DN224=$DO224))</f>
        <v>3.7037037037037035E-4</v>
      </c>
      <c r="FR224" s="10" cm="1">
        <f t="array" aca="1" ref="FR224" ca="1">(1-$B$18)*SUMPRODUCT(OFFSET($BO$15,0,0,$B$14,1), 1*(_xlfn._xlws.FILTER(OFFSET($O$15,0,$DN224,$B$8,1),OFFSET($M$15,0,0,$B$8,1))=FR$13), 1*(_xlfn._xlws.FILTER(OFFSET($O$15,0,$DO224,$B$8,1),OFFSET($M$15,0,0,$B$8,1))=FR$14))   /   SUM(OFFSET($BO$15,0,0,$B$14,1)) + $B$18/($B$19*$B$19*($DN224&lt;&gt;$DO224) + $B$19*($DN224=$DO224))</f>
        <v>3.7037037037037035E-4</v>
      </c>
      <c r="FS224" s="10" cm="1">
        <f t="array" aca="1" ref="FS224" ca="1">(1-$B$18)*SUMPRODUCT(OFFSET($BO$15,0,0,$B$14,1), 1*(_xlfn._xlws.FILTER(OFFSET($O$15,0,$DN224,$B$8,1),OFFSET($M$15,0,0,$B$8,1))=FS$13), 1*(_xlfn._xlws.FILTER(OFFSET($O$15,0,$DO224,$B$8,1),OFFSET($M$15,0,0,$B$8,1))=FS$14))   /   SUM(OFFSET($BO$15,0,0,$B$14,1)) + $B$18/($B$19*$B$19*($DN224&lt;&gt;$DO224) + $B$19*($DN224=$DO224))</f>
        <v>3.7037037037037035E-4</v>
      </c>
      <c r="FT224" s="10" cm="1">
        <f t="array" aca="1" ref="FT224" ca="1">(1-$B$18)*SUMPRODUCT(OFFSET($BO$15,0,0,$B$14,1), 1*(_xlfn._xlws.FILTER(OFFSET($O$15,0,$DN224,$B$8,1),OFFSET($M$15,0,0,$B$8,1))=FT$13), 1*(_xlfn._xlws.FILTER(OFFSET($O$15,0,$DO224,$B$8,1),OFFSET($M$15,0,0,$B$8,1))=FT$14))   /   SUM(OFFSET($BO$15,0,0,$B$14,1)) + $B$18/($B$19*$B$19*($DN224&lt;&gt;$DO224) + $B$19*($DN224=$DO224))</f>
        <v>3.7037037037037035E-4</v>
      </c>
      <c r="FU224" s="10" cm="1">
        <f t="array" aca="1" ref="FU224" ca="1">(1-$B$18)*SUMPRODUCT(OFFSET($BO$15,0,0,$B$14,1), 1*(_xlfn._xlws.FILTER(OFFSET($O$15,0,$DN224,$B$8,1),OFFSET($M$15,0,0,$B$8,1))=FU$13), 1*(_xlfn._xlws.FILTER(OFFSET($O$15,0,$DO224,$B$8,1),OFFSET($M$15,0,0,$B$8,1))=FU$14))   /   SUM(OFFSET($BO$15,0,0,$B$14,1)) + $B$18/($B$19*$B$19*($DN224&lt;&gt;$DO224) + $B$19*($DN224=$DO224))</f>
        <v>3.7037037037037035E-4</v>
      </c>
      <c r="FV224" s="10" cm="1">
        <f t="array" aca="1" ref="FV224" ca="1">(1-$B$18)*SUMPRODUCT(OFFSET($BO$15,0,0,$B$14,1), 1*(_xlfn._xlws.FILTER(OFFSET($O$15,0,$DN224,$B$8,1),OFFSET($M$15,0,0,$B$8,1))=FV$13), 1*(_xlfn._xlws.FILTER(OFFSET($O$15,0,$DO224,$B$8,1),OFFSET($M$15,0,0,$B$8,1))=FV$14))   /   SUM(OFFSET($BO$15,0,0,$B$14,1)) + $B$18/($B$19*$B$19*($DN224&lt;&gt;$DO224) + $B$19*($DN224=$DO224))</f>
        <v>3.7037037037037035E-4</v>
      </c>
      <c r="FW224" s="10" cm="1">
        <f t="array" aca="1" ref="FW224" ca="1">(1-$B$18)*SUMPRODUCT(OFFSET($BO$15,0,0,$B$14,1), 1*(_xlfn._xlws.FILTER(OFFSET($O$15,0,$DN224,$B$8,1),OFFSET($M$15,0,0,$B$8,1))=FW$13), 1*(_xlfn._xlws.FILTER(OFFSET($O$15,0,$DO224,$B$8,1),OFFSET($M$15,0,0,$B$8,1))=FW$14))   /   SUM(OFFSET($BO$15,0,0,$B$14,1)) + $B$18/($B$19*$B$19*($DN224&lt;&gt;$DO224) + $B$19*($DN224=$DO224))</f>
        <v>3.7037037037037035E-4</v>
      </c>
      <c r="FX224" s="10" cm="1">
        <f t="array" aca="1" ref="FX224" ca="1">(1-$B$18)*SUMPRODUCT(OFFSET($BO$15,0,0,$B$14,1), 1*(_xlfn._xlws.FILTER(OFFSET($O$15,0,$DN224,$B$8,1),OFFSET($M$15,0,0,$B$8,1))=FX$13), 1*(_xlfn._xlws.FILTER(OFFSET($O$15,0,$DO224,$B$8,1),OFFSET($M$15,0,0,$B$8,1))=FX$14))   /   SUM(OFFSET($BO$15,0,0,$B$14,1)) + $B$18/($B$19*$B$19*($DN224&lt;&gt;$DO224) + $B$19*($DN224=$DO224))</f>
        <v>3.7037037037037035E-4</v>
      </c>
      <c r="FY224" s="10" cm="1">
        <f t="array" aca="1" ref="FY224" ca="1">(1-$B$18)*SUMPRODUCT(OFFSET($BO$15,0,0,$B$14,1), 1*(_xlfn._xlws.FILTER(OFFSET($O$15,0,$DN224,$B$8,1),OFFSET($M$15,0,0,$B$8,1))=FY$13), 1*(_xlfn._xlws.FILTER(OFFSET($O$15,0,$DO224,$B$8,1),OFFSET($M$15,0,0,$B$8,1))=FY$14))   /   SUM(OFFSET($BO$15,0,0,$B$14,1)) + $B$18/($B$19*$B$19*($DN224&lt;&gt;$DO224) + $B$19*($DN224=$DO224))</f>
        <v>3.7037037037037035E-4</v>
      </c>
      <c r="FZ224" s="10" cm="1">
        <f t="array" aca="1" ref="FZ224" ca="1">(1-$B$18)*SUMPRODUCT(OFFSET($BO$15,0,0,$B$14,1), 1*(_xlfn._xlws.FILTER(OFFSET($O$15,0,$DN224,$B$8,1),OFFSET($M$15,0,0,$B$8,1))=FZ$13), 1*(_xlfn._xlws.FILTER(OFFSET($O$15,0,$DO224,$B$8,1),OFFSET($M$15,0,0,$B$8,1))=FZ$14))   /   SUM(OFFSET($BO$15,0,0,$B$14,1)) + $B$18/($B$19*$B$19*($DN224&lt;&gt;$DO224) + $B$19*($DN224=$DO224))</f>
        <v>3.7037037037037035E-4</v>
      </c>
      <c r="GA224" s="10" cm="1">
        <f t="array" aca="1" ref="GA224" ca="1">(1-$B$18)*SUMPRODUCT(OFFSET($BO$15,0,0,$B$14,1), 1*(_xlfn._xlws.FILTER(OFFSET($O$15,0,$DN224,$B$8,1),OFFSET($M$15,0,0,$B$8,1))=GA$13), 1*(_xlfn._xlws.FILTER(OFFSET($O$15,0,$DO224,$B$8,1),OFFSET($M$15,0,0,$B$8,1))=GA$14))   /   SUM(OFFSET($BO$15,0,0,$B$14,1)) + $B$18/($B$19*$B$19*($DN224&lt;&gt;$DO224) + $B$19*($DN224=$DO224))</f>
        <v>3.7037037037037035E-4</v>
      </c>
    </row>
    <row r="225" spans="118:183" x14ac:dyDescent="0.2">
      <c r="DN225" cm="1">
        <f t="array" aca="1" ref="DN225" ca="1">INDEX(_xlfn.ANCHORARRAY($CP$15), 1 + INT((ROWS($DO$15:$DO225) - 1) / ROWS(_xlfn.ANCHORARRAY($CP$15))))</f>
        <v>12</v>
      </c>
      <c r="DO225" cm="1">
        <f t="array" aca="1" ref="DO225" ca="1">INDEX(_xlfn.ANCHORARRAY($CP$15),1+MOD(ROWS($DO$15:$DO225)-1,ROWS(_xlfn.ANCHORARRAY($CP$15))))</f>
        <v>1</v>
      </c>
      <c r="DP225" s="10" cm="1">
        <f t="array" aca="1" ref="DP225" ca="1">(1-$B$18)*SUMPRODUCT(OFFSET($BO$15,0,0,$B$14,1), 1*(_xlfn._xlws.FILTER(OFFSET($O$15,0,$DN225,$B$8,1),OFFSET($M$15,0,0,$B$8,1))=DP$13), 1*(_xlfn._xlws.FILTER(OFFSET($O$15,0,$DO225,$B$8,1),OFFSET($M$15,0,0,$B$8,1))=DP$14))   /   SUM(OFFSET($BO$15,0,0,$B$14,1)) + $B$18/($B$19*$B$19*($DN225&lt;&gt;$DO225) + $B$19*($DN225=$DO225))</f>
        <v>3.7037037037037035E-4</v>
      </c>
      <c r="DQ225" s="10" cm="1">
        <f t="array" aca="1" ref="DQ225" ca="1">(1-$B$18)*SUMPRODUCT(OFFSET($BO$15,0,0,$B$14,1), 1*(_xlfn._xlws.FILTER(OFFSET($O$15,0,$DN225,$B$8,1),OFFSET($M$15,0,0,$B$8,1))=DQ$13), 1*(_xlfn._xlws.FILTER(OFFSET($O$15,0,$DO225,$B$8,1),OFFSET($M$15,0,0,$B$8,1))=DQ$14))   /   SUM(OFFSET($BO$15,0,0,$B$14,1)) + $B$18/($B$19*$B$19*($DN225&lt;&gt;$DO225) + $B$19*($DN225=$DO225))</f>
        <v>3.7037037037037035E-4</v>
      </c>
      <c r="DR225" s="10" cm="1">
        <f t="array" aca="1" ref="DR225" ca="1">(1-$B$18)*SUMPRODUCT(OFFSET($BO$15,0,0,$B$14,1), 1*(_xlfn._xlws.FILTER(OFFSET($O$15,0,$DN225,$B$8,1),OFFSET($M$15,0,0,$B$8,1))=DR$13), 1*(_xlfn._xlws.FILTER(OFFSET($O$15,0,$DO225,$B$8,1),OFFSET($M$15,0,0,$B$8,1))=DR$14))   /   SUM(OFFSET($BO$15,0,0,$B$14,1)) + $B$18/($B$19*$B$19*($DN225&lt;&gt;$DO225) + $B$19*($DN225=$DO225))</f>
        <v>3.7037037037037035E-4</v>
      </c>
      <c r="DS225" s="10" cm="1">
        <f t="array" aca="1" ref="DS225" ca="1">(1-$B$18)*SUMPRODUCT(OFFSET($BO$15,0,0,$B$14,1), 1*(_xlfn._xlws.FILTER(OFFSET($O$15,0,$DN225,$B$8,1),OFFSET($M$15,0,0,$B$8,1))=DS$13), 1*(_xlfn._xlws.FILTER(OFFSET($O$15,0,$DO225,$B$8,1),OFFSET($M$15,0,0,$B$8,1))=DS$14))   /   SUM(OFFSET($BO$15,0,0,$B$14,1)) + $B$18/($B$19*$B$19*($DN225&lt;&gt;$DO225) + $B$19*($DN225=$DO225))</f>
        <v>3.7037037037037035E-4</v>
      </c>
      <c r="DT225" s="10" cm="1">
        <f t="array" aca="1" ref="DT225" ca="1">(1-$B$18)*SUMPRODUCT(OFFSET($BO$15,0,0,$B$14,1), 1*(_xlfn._xlws.FILTER(OFFSET($O$15,0,$DN225,$B$8,1),OFFSET($M$15,0,0,$B$8,1))=DT$13), 1*(_xlfn._xlws.FILTER(OFFSET($O$15,0,$DO225,$B$8,1),OFFSET($M$15,0,0,$B$8,1))=DT$14))   /   SUM(OFFSET($BO$15,0,0,$B$14,1)) + $B$18/($B$19*$B$19*($DN225&lt;&gt;$DO225) + $B$19*($DN225=$DO225))</f>
        <v>3.7037037037037035E-4</v>
      </c>
      <c r="DU225" s="10" cm="1">
        <f t="array" aca="1" ref="DU225" ca="1">(1-$B$18)*SUMPRODUCT(OFFSET($BO$15,0,0,$B$14,1), 1*(_xlfn._xlws.FILTER(OFFSET($O$15,0,$DN225,$B$8,1),OFFSET($M$15,0,0,$B$8,1))=DU$13), 1*(_xlfn._xlws.FILTER(OFFSET($O$15,0,$DO225,$B$8,1),OFFSET($M$15,0,0,$B$8,1))=DU$14))   /   SUM(OFFSET($BO$15,0,0,$B$14,1)) + $B$18/($B$19*$B$19*($DN225&lt;&gt;$DO225) + $B$19*($DN225=$DO225))</f>
        <v>3.7037037037037035E-4</v>
      </c>
      <c r="DV225" s="10" cm="1">
        <f t="array" aca="1" ref="DV225" ca="1">(1-$B$18)*SUMPRODUCT(OFFSET($BO$15,0,0,$B$14,1), 1*(_xlfn._xlws.FILTER(OFFSET($O$15,0,$DN225,$B$8,1),OFFSET($M$15,0,0,$B$8,1))=DV$13), 1*(_xlfn._xlws.FILTER(OFFSET($O$15,0,$DO225,$B$8,1),OFFSET($M$15,0,0,$B$8,1))=DV$14))   /   SUM(OFFSET($BO$15,0,0,$B$14,1)) + $B$18/($B$19*$B$19*($DN225&lt;&gt;$DO225) + $B$19*($DN225=$DO225))</f>
        <v>3.7037037037037035E-4</v>
      </c>
      <c r="DW225" s="10" cm="1">
        <f t="array" aca="1" ref="DW225" ca="1">(1-$B$18)*SUMPRODUCT(OFFSET($BO$15,0,0,$B$14,1), 1*(_xlfn._xlws.FILTER(OFFSET($O$15,0,$DN225,$B$8,1),OFFSET($M$15,0,0,$B$8,1))=DW$13), 1*(_xlfn._xlws.FILTER(OFFSET($O$15,0,$DO225,$B$8,1),OFFSET($M$15,0,0,$B$8,1))=DW$14))   /   SUM(OFFSET($BO$15,0,0,$B$14,1)) + $B$18/($B$19*$B$19*($DN225&lt;&gt;$DO225) + $B$19*($DN225=$DO225))</f>
        <v>3.7037037037037035E-4</v>
      </c>
      <c r="DX225" s="10" cm="1">
        <f t="array" aca="1" ref="DX225" ca="1">(1-$B$18)*SUMPRODUCT(OFFSET($BO$15,0,0,$B$14,1), 1*(_xlfn._xlws.FILTER(OFFSET($O$15,0,$DN225,$B$8,1),OFFSET($M$15,0,0,$B$8,1))=DX$13), 1*(_xlfn._xlws.FILTER(OFFSET($O$15,0,$DO225,$B$8,1),OFFSET($M$15,0,0,$B$8,1))=DX$14))   /   SUM(OFFSET($BO$15,0,0,$B$14,1)) + $B$18/($B$19*$B$19*($DN225&lt;&gt;$DO225) + $B$19*($DN225=$DO225))</f>
        <v>3.7037037037037035E-4</v>
      </c>
      <c r="DY225" s="10" cm="1">
        <f t="array" aca="1" ref="DY225" ca="1">(1-$B$18)*SUMPRODUCT(OFFSET($BO$15,0,0,$B$14,1), 1*(_xlfn._xlws.FILTER(OFFSET($O$15,0,$DN225,$B$8,1),OFFSET($M$15,0,0,$B$8,1))=DY$13), 1*(_xlfn._xlws.FILTER(OFFSET($O$15,0,$DO225,$B$8,1),OFFSET($M$15,0,0,$B$8,1))=DY$14))   /   SUM(OFFSET($BO$15,0,0,$B$14,1)) + $B$18/($B$19*$B$19*($DN225&lt;&gt;$DO225) + $B$19*($DN225=$DO225))</f>
        <v>3.7037037037037035E-4</v>
      </c>
      <c r="DZ225" s="10" cm="1">
        <f t="array" aca="1" ref="DZ225" ca="1">(1-$B$18)*SUMPRODUCT(OFFSET($BO$15,0,0,$B$14,1), 1*(_xlfn._xlws.FILTER(OFFSET($O$15,0,$DN225,$B$8,1),OFFSET($M$15,0,0,$B$8,1))=DZ$13), 1*(_xlfn._xlws.FILTER(OFFSET($O$15,0,$DO225,$B$8,1),OFFSET($M$15,0,0,$B$8,1))=DZ$14))   /   SUM(OFFSET($BO$15,0,0,$B$14,1)) + $B$18/($B$19*$B$19*($DN225&lt;&gt;$DO225) + $B$19*($DN225=$DO225))</f>
        <v>3.7037037037037035E-4</v>
      </c>
      <c r="EA225" s="10" cm="1">
        <f t="array" aca="1" ref="EA225" ca="1">(1-$B$18)*SUMPRODUCT(OFFSET($BO$15,0,0,$B$14,1), 1*(_xlfn._xlws.FILTER(OFFSET($O$15,0,$DN225,$B$8,1),OFFSET($M$15,0,0,$B$8,1))=EA$13), 1*(_xlfn._xlws.FILTER(OFFSET($O$15,0,$DO225,$B$8,1),OFFSET($M$15,0,0,$B$8,1))=EA$14))   /   SUM(OFFSET($BO$15,0,0,$B$14,1)) + $B$18/($B$19*$B$19*($DN225&lt;&gt;$DO225) + $B$19*($DN225=$DO225))</f>
        <v>3.7037037037037035E-4</v>
      </c>
      <c r="EB225" s="10" cm="1">
        <f t="array" aca="1" ref="EB225" ca="1">(1-$B$18)*SUMPRODUCT(OFFSET($BO$15,0,0,$B$14,1), 1*(_xlfn._xlws.FILTER(OFFSET($O$15,0,$DN225,$B$8,1),OFFSET($M$15,0,0,$B$8,1))=EB$13), 1*(_xlfn._xlws.FILTER(OFFSET($O$15,0,$DO225,$B$8,1),OFFSET($M$15,0,0,$B$8,1))=EB$14))   /   SUM(OFFSET($BO$15,0,0,$B$14,1)) + $B$18/($B$19*$B$19*($DN225&lt;&gt;$DO225) + $B$19*($DN225=$DO225))</f>
        <v>3.7037037037037035E-4</v>
      </c>
      <c r="EC225" s="10" cm="1">
        <f t="array" aca="1" ref="EC225" ca="1">(1-$B$18)*SUMPRODUCT(OFFSET($BO$15,0,0,$B$14,1), 1*(_xlfn._xlws.FILTER(OFFSET($O$15,0,$DN225,$B$8,1),OFFSET($M$15,0,0,$B$8,1))=EC$13), 1*(_xlfn._xlws.FILTER(OFFSET($O$15,0,$DO225,$B$8,1),OFFSET($M$15,0,0,$B$8,1))=EC$14))   /   SUM(OFFSET($BO$15,0,0,$B$14,1)) + $B$18/($B$19*$B$19*($DN225&lt;&gt;$DO225) + $B$19*($DN225=$DO225))</f>
        <v>3.7037037037037035E-4</v>
      </c>
      <c r="ED225" s="10" cm="1">
        <f t="array" aca="1" ref="ED225" ca="1">(1-$B$18)*SUMPRODUCT(OFFSET($BO$15,0,0,$B$14,1), 1*(_xlfn._xlws.FILTER(OFFSET($O$15,0,$DN225,$B$8,1),OFFSET($M$15,0,0,$B$8,1))=ED$13), 1*(_xlfn._xlws.FILTER(OFFSET($O$15,0,$DO225,$B$8,1),OFFSET($M$15,0,0,$B$8,1))=ED$14))   /   SUM(OFFSET($BO$15,0,0,$B$14,1)) + $B$18/($B$19*$B$19*($DN225&lt;&gt;$DO225) + $B$19*($DN225=$DO225))</f>
        <v>0.97037037037037033</v>
      </c>
      <c r="EE225" s="10" cm="1">
        <f t="array" aca="1" ref="EE225" ca="1">(1-$B$18)*SUMPRODUCT(OFFSET($BO$15,0,0,$B$14,1), 1*(_xlfn._xlws.FILTER(OFFSET($O$15,0,$DN225,$B$8,1),OFFSET($M$15,0,0,$B$8,1))=EE$13), 1*(_xlfn._xlws.FILTER(OFFSET($O$15,0,$DO225,$B$8,1),OFFSET($M$15,0,0,$B$8,1))=EE$14))   /   SUM(OFFSET($BO$15,0,0,$B$14,1)) + $B$18/($B$19*$B$19*($DN225&lt;&gt;$DO225) + $B$19*($DN225=$DO225))</f>
        <v>3.7037037037037035E-4</v>
      </c>
      <c r="EF225" s="10" cm="1">
        <f t="array" aca="1" ref="EF225" ca="1">(1-$B$18)*SUMPRODUCT(OFFSET($BO$15,0,0,$B$14,1), 1*(_xlfn._xlws.FILTER(OFFSET($O$15,0,$DN225,$B$8,1),OFFSET($M$15,0,0,$B$8,1))=EF$13), 1*(_xlfn._xlws.FILTER(OFFSET($O$15,0,$DO225,$B$8,1),OFFSET($M$15,0,0,$B$8,1))=EF$14))   /   SUM(OFFSET($BO$15,0,0,$B$14,1)) + $B$18/($B$19*$B$19*($DN225&lt;&gt;$DO225) + $B$19*($DN225=$DO225))</f>
        <v>3.7037037037037035E-4</v>
      </c>
      <c r="EG225" s="10" cm="1">
        <f t="array" aca="1" ref="EG225" ca="1">(1-$B$18)*SUMPRODUCT(OFFSET($BO$15,0,0,$B$14,1), 1*(_xlfn._xlws.FILTER(OFFSET($O$15,0,$DN225,$B$8,1),OFFSET($M$15,0,0,$B$8,1))=EG$13), 1*(_xlfn._xlws.FILTER(OFFSET($O$15,0,$DO225,$B$8,1),OFFSET($M$15,0,0,$B$8,1))=EG$14))   /   SUM(OFFSET($BO$15,0,0,$B$14,1)) + $B$18/($B$19*$B$19*($DN225&lt;&gt;$DO225) + $B$19*($DN225=$DO225))</f>
        <v>3.7037037037037035E-4</v>
      </c>
      <c r="EH225" s="10" cm="1">
        <f t="array" aca="1" ref="EH225" ca="1">(1-$B$18)*SUMPRODUCT(OFFSET($BO$15,0,0,$B$14,1), 1*(_xlfn._xlws.FILTER(OFFSET($O$15,0,$DN225,$B$8,1),OFFSET($M$15,0,0,$B$8,1))=EH$13), 1*(_xlfn._xlws.FILTER(OFFSET($O$15,0,$DO225,$B$8,1),OFFSET($M$15,0,0,$B$8,1))=EH$14))   /   SUM(OFFSET($BO$15,0,0,$B$14,1)) + $B$18/($B$19*$B$19*($DN225&lt;&gt;$DO225) + $B$19*($DN225=$DO225))</f>
        <v>3.7037037037037035E-4</v>
      </c>
      <c r="EI225" s="10" cm="1">
        <f t="array" aca="1" ref="EI225" ca="1">(1-$B$18)*SUMPRODUCT(OFFSET($BO$15,0,0,$B$14,1), 1*(_xlfn._xlws.FILTER(OFFSET($O$15,0,$DN225,$B$8,1),OFFSET($M$15,0,0,$B$8,1))=EI$13), 1*(_xlfn._xlws.FILTER(OFFSET($O$15,0,$DO225,$B$8,1),OFFSET($M$15,0,0,$B$8,1))=EI$14))   /   SUM(OFFSET($BO$15,0,0,$B$14,1)) + $B$18/($B$19*$B$19*($DN225&lt;&gt;$DO225) + $B$19*($DN225=$DO225))</f>
        <v>3.7037037037037035E-4</v>
      </c>
      <c r="EJ225" s="10" cm="1">
        <f t="array" aca="1" ref="EJ225" ca="1">(1-$B$18)*SUMPRODUCT(OFFSET($BO$15,0,0,$B$14,1), 1*(_xlfn._xlws.FILTER(OFFSET($O$15,0,$DN225,$B$8,1),OFFSET($M$15,0,0,$B$8,1))=EJ$13), 1*(_xlfn._xlws.FILTER(OFFSET($O$15,0,$DO225,$B$8,1),OFFSET($M$15,0,0,$B$8,1))=EJ$14))   /   SUM(OFFSET($BO$15,0,0,$B$14,1)) + $B$18/($B$19*$B$19*($DN225&lt;&gt;$DO225) + $B$19*($DN225=$DO225))</f>
        <v>3.7037037037037035E-4</v>
      </c>
      <c r="EK225" s="10" cm="1">
        <f t="array" aca="1" ref="EK225" ca="1">(1-$B$18)*SUMPRODUCT(OFFSET($BO$15,0,0,$B$14,1), 1*(_xlfn._xlws.FILTER(OFFSET($O$15,0,$DN225,$B$8,1),OFFSET($M$15,0,0,$B$8,1))=EK$13), 1*(_xlfn._xlws.FILTER(OFFSET($O$15,0,$DO225,$B$8,1),OFFSET($M$15,0,0,$B$8,1))=EK$14))   /   SUM(OFFSET($BO$15,0,0,$B$14,1)) + $B$18/($B$19*$B$19*($DN225&lt;&gt;$DO225) + $B$19*($DN225=$DO225))</f>
        <v>3.7037037037037035E-4</v>
      </c>
      <c r="EL225" s="10" cm="1">
        <f t="array" aca="1" ref="EL225" ca="1">(1-$B$18)*SUMPRODUCT(OFFSET($BO$15,0,0,$B$14,1), 1*(_xlfn._xlws.FILTER(OFFSET($O$15,0,$DN225,$B$8,1),OFFSET($M$15,0,0,$B$8,1))=EL$13), 1*(_xlfn._xlws.FILTER(OFFSET($O$15,0,$DO225,$B$8,1),OFFSET($M$15,0,0,$B$8,1))=EL$14))   /   SUM(OFFSET($BO$15,0,0,$B$14,1)) + $B$18/($B$19*$B$19*($DN225&lt;&gt;$DO225) + $B$19*($DN225=$DO225))</f>
        <v>3.7037037037037035E-4</v>
      </c>
      <c r="EM225" s="10" cm="1">
        <f t="array" aca="1" ref="EM225" ca="1">(1-$B$18)*SUMPRODUCT(OFFSET($BO$15,0,0,$B$14,1), 1*(_xlfn._xlws.FILTER(OFFSET($O$15,0,$DN225,$B$8,1),OFFSET($M$15,0,0,$B$8,1))=EM$13), 1*(_xlfn._xlws.FILTER(OFFSET($O$15,0,$DO225,$B$8,1),OFFSET($M$15,0,0,$B$8,1))=EM$14))   /   SUM(OFFSET($BO$15,0,0,$B$14,1)) + $B$18/($B$19*$B$19*($DN225&lt;&gt;$DO225) + $B$19*($DN225=$DO225))</f>
        <v>3.7037037037037035E-4</v>
      </c>
      <c r="EN225" s="10" cm="1">
        <f t="array" aca="1" ref="EN225" ca="1">(1-$B$18)*SUMPRODUCT(OFFSET($BO$15,0,0,$B$14,1), 1*(_xlfn._xlws.FILTER(OFFSET($O$15,0,$DN225,$B$8,1),OFFSET($M$15,0,0,$B$8,1))=EN$13), 1*(_xlfn._xlws.FILTER(OFFSET($O$15,0,$DO225,$B$8,1),OFFSET($M$15,0,0,$B$8,1))=EN$14))   /   SUM(OFFSET($BO$15,0,0,$B$14,1)) + $B$18/($B$19*$B$19*($DN225&lt;&gt;$DO225) + $B$19*($DN225=$DO225))</f>
        <v>3.7037037037037035E-4</v>
      </c>
      <c r="EO225" s="10" cm="1">
        <f t="array" aca="1" ref="EO225" ca="1">(1-$B$18)*SUMPRODUCT(OFFSET($BO$15,0,0,$B$14,1), 1*(_xlfn._xlws.FILTER(OFFSET($O$15,0,$DN225,$B$8,1),OFFSET($M$15,0,0,$B$8,1))=EO$13), 1*(_xlfn._xlws.FILTER(OFFSET($O$15,0,$DO225,$B$8,1),OFFSET($M$15,0,0,$B$8,1))=EO$14))   /   SUM(OFFSET($BO$15,0,0,$B$14,1)) + $B$18/($B$19*$B$19*($DN225&lt;&gt;$DO225) + $B$19*($DN225=$DO225))</f>
        <v>3.7037037037037035E-4</v>
      </c>
      <c r="EP225" s="10" cm="1">
        <f t="array" aca="1" ref="EP225" ca="1">(1-$B$18)*SUMPRODUCT(OFFSET($BO$15,0,0,$B$14,1), 1*(_xlfn._xlws.FILTER(OFFSET($O$15,0,$DN225,$B$8,1),OFFSET($M$15,0,0,$B$8,1))=EP$13), 1*(_xlfn._xlws.FILTER(OFFSET($O$15,0,$DO225,$B$8,1),OFFSET($M$15,0,0,$B$8,1))=EP$14))   /   SUM(OFFSET($BO$15,0,0,$B$14,1)) + $B$18/($B$19*$B$19*($DN225&lt;&gt;$DO225) + $B$19*($DN225=$DO225))</f>
        <v>3.7037037037037035E-4</v>
      </c>
      <c r="EQ225" s="10" cm="1">
        <f t="array" aca="1" ref="EQ225" ca="1">(1-$B$18)*SUMPRODUCT(OFFSET($BO$15,0,0,$B$14,1), 1*(_xlfn._xlws.FILTER(OFFSET($O$15,0,$DN225,$B$8,1),OFFSET($M$15,0,0,$B$8,1))=EQ$13), 1*(_xlfn._xlws.FILTER(OFFSET($O$15,0,$DO225,$B$8,1),OFFSET($M$15,0,0,$B$8,1))=EQ$14))   /   SUM(OFFSET($BO$15,0,0,$B$14,1)) + $B$18/($B$19*$B$19*($DN225&lt;&gt;$DO225) + $B$19*($DN225=$DO225))</f>
        <v>3.7037037037037035E-4</v>
      </c>
      <c r="ER225" s="10" cm="1">
        <f t="array" aca="1" ref="ER225" ca="1">(1-$B$18)*SUMPRODUCT(OFFSET($BO$15,0,0,$B$14,1), 1*(_xlfn._xlws.FILTER(OFFSET($O$15,0,$DN225,$B$8,1),OFFSET($M$15,0,0,$B$8,1))=ER$13), 1*(_xlfn._xlws.FILTER(OFFSET($O$15,0,$DO225,$B$8,1),OFFSET($M$15,0,0,$B$8,1))=ER$14))   /   SUM(OFFSET($BO$15,0,0,$B$14,1)) + $B$18/($B$19*$B$19*($DN225&lt;&gt;$DO225) + $B$19*($DN225=$DO225))</f>
        <v>3.7037037037037035E-4</v>
      </c>
      <c r="ES225" s="10" cm="1">
        <f t="array" aca="1" ref="ES225" ca="1">(1-$B$18)*SUMPRODUCT(OFFSET($BO$15,0,0,$B$14,1), 1*(_xlfn._xlws.FILTER(OFFSET($O$15,0,$DN225,$B$8,1),OFFSET($M$15,0,0,$B$8,1))=ES$13), 1*(_xlfn._xlws.FILTER(OFFSET($O$15,0,$DO225,$B$8,1),OFFSET($M$15,0,0,$B$8,1))=ES$14))   /   SUM(OFFSET($BO$15,0,0,$B$14,1)) + $B$18/($B$19*$B$19*($DN225&lt;&gt;$DO225) + $B$19*($DN225=$DO225))</f>
        <v>3.7037037037037035E-4</v>
      </c>
      <c r="ET225" s="10" cm="1">
        <f t="array" aca="1" ref="ET225" ca="1">(1-$B$18)*SUMPRODUCT(OFFSET($BO$15,0,0,$B$14,1), 1*(_xlfn._xlws.FILTER(OFFSET($O$15,0,$DN225,$B$8,1),OFFSET($M$15,0,0,$B$8,1))=ET$13), 1*(_xlfn._xlws.FILTER(OFFSET($O$15,0,$DO225,$B$8,1),OFFSET($M$15,0,0,$B$8,1))=ET$14))   /   SUM(OFFSET($BO$15,0,0,$B$14,1)) + $B$18/($B$19*$B$19*($DN225&lt;&gt;$DO225) + $B$19*($DN225=$DO225))</f>
        <v>3.7037037037037035E-4</v>
      </c>
      <c r="EU225" s="10" cm="1">
        <f t="array" aca="1" ref="EU225" ca="1">(1-$B$18)*SUMPRODUCT(OFFSET($BO$15,0,0,$B$14,1), 1*(_xlfn._xlws.FILTER(OFFSET($O$15,0,$DN225,$B$8,1),OFFSET($M$15,0,0,$B$8,1))=EU$13), 1*(_xlfn._xlws.FILTER(OFFSET($O$15,0,$DO225,$B$8,1),OFFSET($M$15,0,0,$B$8,1))=EU$14))   /   SUM(OFFSET($BO$15,0,0,$B$14,1)) + $B$18/($B$19*$B$19*($DN225&lt;&gt;$DO225) + $B$19*($DN225=$DO225))</f>
        <v>3.7037037037037035E-4</v>
      </c>
      <c r="EV225" s="10" cm="1">
        <f t="array" aca="1" ref="EV225" ca="1">(1-$B$18)*SUMPRODUCT(OFFSET($BO$15,0,0,$B$14,1), 1*(_xlfn._xlws.FILTER(OFFSET($O$15,0,$DN225,$B$8,1),OFFSET($M$15,0,0,$B$8,1))=EV$13), 1*(_xlfn._xlws.FILTER(OFFSET($O$15,0,$DO225,$B$8,1),OFFSET($M$15,0,0,$B$8,1))=EV$14))   /   SUM(OFFSET($BO$15,0,0,$B$14,1)) + $B$18/($B$19*$B$19*($DN225&lt;&gt;$DO225) + $B$19*($DN225=$DO225))</f>
        <v>3.7037037037037035E-4</v>
      </c>
      <c r="EW225" s="10" cm="1">
        <f t="array" aca="1" ref="EW225" ca="1">(1-$B$18)*SUMPRODUCT(OFFSET($BO$15,0,0,$B$14,1), 1*(_xlfn._xlws.FILTER(OFFSET($O$15,0,$DN225,$B$8,1),OFFSET($M$15,0,0,$B$8,1))=EW$13), 1*(_xlfn._xlws.FILTER(OFFSET($O$15,0,$DO225,$B$8,1),OFFSET($M$15,0,0,$B$8,1))=EW$14))   /   SUM(OFFSET($BO$15,0,0,$B$14,1)) + $B$18/($B$19*$B$19*($DN225&lt;&gt;$DO225) + $B$19*($DN225=$DO225))</f>
        <v>3.7037037037037035E-4</v>
      </c>
      <c r="EX225" s="10" cm="1">
        <f t="array" aca="1" ref="EX225" ca="1">(1-$B$18)*SUMPRODUCT(OFFSET($BO$15,0,0,$B$14,1), 1*(_xlfn._xlws.FILTER(OFFSET($O$15,0,$DN225,$B$8,1),OFFSET($M$15,0,0,$B$8,1))=EX$13), 1*(_xlfn._xlws.FILTER(OFFSET($O$15,0,$DO225,$B$8,1),OFFSET($M$15,0,0,$B$8,1))=EX$14))   /   SUM(OFFSET($BO$15,0,0,$B$14,1)) + $B$18/($B$19*$B$19*($DN225&lt;&gt;$DO225) + $B$19*($DN225=$DO225))</f>
        <v>3.7037037037037035E-4</v>
      </c>
      <c r="EY225" s="10" cm="1">
        <f t="array" aca="1" ref="EY225" ca="1">(1-$B$18)*SUMPRODUCT(OFFSET($BO$15,0,0,$B$14,1), 1*(_xlfn._xlws.FILTER(OFFSET($O$15,0,$DN225,$B$8,1),OFFSET($M$15,0,0,$B$8,1))=EY$13), 1*(_xlfn._xlws.FILTER(OFFSET($O$15,0,$DO225,$B$8,1),OFFSET($M$15,0,0,$B$8,1))=EY$14))   /   SUM(OFFSET($BO$15,0,0,$B$14,1)) + $B$18/($B$19*$B$19*($DN225&lt;&gt;$DO225) + $B$19*($DN225=$DO225))</f>
        <v>3.7037037037037035E-4</v>
      </c>
      <c r="EZ225" s="10" cm="1">
        <f t="array" aca="1" ref="EZ225" ca="1">(1-$B$18)*SUMPRODUCT(OFFSET($BO$15,0,0,$B$14,1), 1*(_xlfn._xlws.FILTER(OFFSET($O$15,0,$DN225,$B$8,1),OFFSET($M$15,0,0,$B$8,1))=EZ$13), 1*(_xlfn._xlws.FILTER(OFFSET($O$15,0,$DO225,$B$8,1),OFFSET($M$15,0,0,$B$8,1))=EZ$14))   /   SUM(OFFSET($BO$15,0,0,$B$14,1)) + $B$18/($B$19*$B$19*($DN225&lt;&gt;$DO225) + $B$19*($DN225=$DO225))</f>
        <v>3.7037037037037035E-4</v>
      </c>
      <c r="FA225" s="10" cm="1">
        <f t="array" aca="1" ref="FA225" ca="1">(1-$B$18)*SUMPRODUCT(OFFSET($BO$15,0,0,$B$14,1), 1*(_xlfn._xlws.FILTER(OFFSET($O$15,0,$DN225,$B$8,1),OFFSET($M$15,0,0,$B$8,1))=FA$13), 1*(_xlfn._xlws.FILTER(OFFSET($O$15,0,$DO225,$B$8,1),OFFSET($M$15,0,0,$B$8,1))=FA$14))   /   SUM(OFFSET($BO$15,0,0,$B$14,1)) + $B$18/($B$19*$B$19*($DN225&lt;&gt;$DO225) + $B$19*($DN225=$DO225))</f>
        <v>3.7037037037037035E-4</v>
      </c>
      <c r="FB225" s="10" cm="1">
        <f t="array" aca="1" ref="FB225" ca="1">(1-$B$18)*SUMPRODUCT(OFFSET($BO$15,0,0,$B$14,1), 1*(_xlfn._xlws.FILTER(OFFSET($O$15,0,$DN225,$B$8,1),OFFSET($M$15,0,0,$B$8,1))=FB$13), 1*(_xlfn._xlws.FILTER(OFFSET($O$15,0,$DO225,$B$8,1),OFFSET($M$15,0,0,$B$8,1))=FB$14))   /   SUM(OFFSET($BO$15,0,0,$B$14,1)) + $B$18/($B$19*$B$19*($DN225&lt;&gt;$DO225) + $B$19*($DN225=$DO225))</f>
        <v>3.7037037037037035E-4</v>
      </c>
      <c r="FC225" s="10" cm="1">
        <f t="array" aca="1" ref="FC225" ca="1">(1-$B$18)*SUMPRODUCT(OFFSET($BO$15,0,0,$B$14,1), 1*(_xlfn._xlws.FILTER(OFFSET($O$15,0,$DN225,$B$8,1),OFFSET($M$15,0,0,$B$8,1))=FC$13), 1*(_xlfn._xlws.FILTER(OFFSET($O$15,0,$DO225,$B$8,1),OFFSET($M$15,0,0,$B$8,1))=FC$14))   /   SUM(OFFSET($BO$15,0,0,$B$14,1)) + $B$18/($B$19*$B$19*($DN225&lt;&gt;$DO225) + $B$19*($DN225=$DO225))</f>
        <v>3.7037037037037035E-4</v>
      </c>
      <c r="FD225" s="10" cm="1">
        <f t="array" aca="1" ref="FD225" ca="1">(1-$B$18)*SUMPRODUCT(OFFSET($BO$15,0,0,$B$14,1), 1*(_xlfn._xlws.FILTER(OFFSET($O$15,0,$DN225,$B$8,1),OFFSET($M$15,0,0,$B$8,1))=FD$13), 1*(_xlfn._xlws.FILTER(OFFSET($O$15,0,$DO225,$B$8,1),OFFSET($M$15,0,0,$B$8,1))=FD$14))   /   SUM(OFFSET($BO$15,0,0,$B$14,1)) + $B$18/($B$19*$B$19*($DN225&lt;&gt;$DO225) + $B$19*($DN225=$DO225))</f>
        <v>3.7037037037037035E-4</v>
      </c>
      <c r="FE225" s="10" cm="1">
        <f t="array" aca="1" ref="FE225" ca="1">(1-$B$18)*SUMPRODUCT(OFFSET($BO$15,0,0,$B$14,1), 1*(_xlfn._xlws.FILTER(OFFSET($O$15,0,$DN225,$B$8,1),OFFSET($M$15,0,0,$B$8,1))=FE$13), 1*(_xlfn._xlws.FILTER(OFFSET($O$15,0,$DO225,$B$8,1),OFFSET($M$15,0,0,$B$8,1))=FE$14))   /   SUM(OFFSET($BO$15,0,0,$B$14,1)) + $B$18/($B$19*$B$19*($DN225&lt;&gt;$DO225) + $B$19*($DN225=$DO225))</f>
        <v>3.7037037037037035E-4</v>
      </c>
      <c r="FF225" s="10" cm="1">
        <f t="array" aca="1" ref="FF225" ca="1">(1-$B$18)*SUMPRODUCT(OFFSET($BO$15,0,0,$B$14,1), 1*(_xlfn._xlws.FILTER(OFFSET($O$15,0,$DN225,$B$8,1),OFFSET($M$15,0,0,$B$8,1))=FF$13), 1*(_xlfn._xlws.FILTER(OFFSET($O$15,0,$DO225,$B$8,1),OFFSET($M$15,0,0,$B$8,1))=FF$14))   /   SUM(OFFSET($BO$15,0,0,$B$14,1)) + $B$18/($B$19*$B$19*($DN225&lt;&gt;$DO225) + $B$19*($DN225=$DO225))</f>
        <v>3.7037037037037035E-4</v>
      </c>
      <c r="FG225" s="10" cm="1">
        <f t="array" aca="1" ref="FG225" ca="1">(1-$B$18)*SUMPRODUCT(OFFSET($BO$15,0,0,$B$14,1), 1*(_xlfn._xlws.FILTER(OFFSET($O$15,0,$DN225,$B$8,1),OFFSET($M$15,0,0,$B$8,1))=FG$13), 1*(_xlfn._xlws.FILTER(OFFSET($O$15,0,$DO225,$B$8,1),OFFSET($M$15,0,0,$B$8,1))=FG$14))   /   SUM(OFFSET($BO$15,0,0,$B$14,1)) + $B$18/($B$19*$B$19*($DN225&lt;&gt;$DO225) + $B$19*($DN225=$DO225))</f>
        <v>3.7037037037037035E-4</v>
      </c>
      <c r="FH225" s="10" cm="1">
        <f t="array" aca="1" ref="FH225" ca="1">(1-$B$18)*SUMPRODUCT(OFFSET($BO$15,0,0,$B$14,1), 1*(_xlfn._xlws.FILTER(OFFSET($O$15,0,$DN225,$B$8,1),OFFSET($M$15,0,0,$B$8,1))=FH$13), 1*(_xlfn._xlws.FILTER(OFFSET($O$15,0,$DO225,$B$8,1),OFFSET($M$15,0,0,$B$8,1))=FH$14))   /   SUM(OFFSET($BO$15,0,0,$B$14,1)) + $B$18/($B$19*$B$19*($DN225&lt;&gt;$DO225) + $B$19*($DN225=$DO225))</f>
        <v>3.7037037037037035E-4</v>
      </c>
      <c r="FI225" s="10" cm="1">
        <f t="array" aca="1" ref="FI225" ca="1">(1-$B$18)*SUMPRODUCT(OFFSET($BO$15,0,0,$B$14,1), 1*(_xlfn._xlws.FILTER(OFFSET($O$15,0,$DN225,$B$8,1),OFFSET($M$15,0,0,$B$8,1))=FI$13), 1*(_xlfn._xlws.FILTER(OFFSET($O$15,0,$DO225,$B$8,1),OFFSET($M$15,0,0,$B$8,1))=FI$14))   /   SUM(OFFSET($BO$15,0,0,$B$14,1)) + $B$18/($B$19*$B$19*($DN225&lt;&gt;$DO225) + $B$19*($DN225=$DO225))</f>
        <v>3.7037037037037035E-4</v>
      </c>
      <c r="FJ225" s="10" cm="1">
        <f t="array" aca="1" ref="FJ225" ca="1">(1-$B$18)*SUMPRODUCT(OFFSET($BO$15,0,0,$B$14,1), 1*(_xlfn._xlws.FILTER(OFFSET($O$15,0,$DN225,$B$8,1),OFFSET($M$15,0,0,$B$8,1))=FJ$13), 1*(_xlfn._xlws.FILTER(OFFSET($O$15,0,$DO225,$B$8,1),OFFSET($M$15,0,0,$B$8,1))=FJ$14))   /   SUM(OFFSET($BO$15,0,0,$B$14,1)) + $B$18/($B$19*$B$19*($DN225&lt;&gt;$DO225) + $B$19*($DN225=$DO225))</f>
        <v>3.7037037037037035E-4</v>
      </c>
      <c r="FK225" s="10" cm="1">
        <f t="array" aca="1" ref="FK225" ca="1">(1-$B$18)*SUMPRODUCT(OFFSET($BO$15,0,0,$B$14,1), 1*(_xlfn._xlws.FILTER(OFFSET($O$15,0,$DN225,$B$8,1),OFFSET($M$15,0,0,$B$8,1))=FK$13), 1*(_xlfn._xlws.FILTER(OFFSET($O$15,0,$DO225,$B$8,1),OFFSET($M$15,0,0,$B$8,1))=FK$14))   /   SUM(OFFSET($BO$15,0,0,$B$14,1)) + $B$18/($B$19*$B$19*($DN225&lt;&gt;$DO225) + $B$19*($DN225=$DO225))</f>
        <v>3.7037037037037035E-4</v>
      </c>
      <c r="FL225" s="10" cm="1">
        <f t="array" aca="1" ref="FL225" ca="1">(1-$B$18)*SUMPRODUCT(OFFSET($BO$15,0,0,$B$14,1), 1*(_xlfn._xlws.FILTER(OFFSET($O$15,0,$DN225,$B$8,1),OFFSET($M$15,0,0,$B$8,1))=FL$13), 1*(_xlfn._xlws.FILTER(OFFSET($O$15,0,$DO225,$B$8,1),OFFSET($M$15,0,0,$B$8,1))=FL$14))   /   SUM(OFFSET($BO$15,0,0,$B$14,1)) + $B$18/($B$19*$B$19*($DN225&lt;&gt;$DO225) + $B$19*($DN225=$DO225))</f>
        <v>3.7037037037037035E-4</v>
      </c>
      <c r="FM225" s="10" cm="1">
        <f t="array" aca="1" ref="FM225" ca="1">(1-$B$18)*SUMPRODUCT(OFFSET($BO$15,0,0,$B$14,1), 1*(_xlfn._xlws.FILTER(OFFSET($O$15,0,$DN225,$B$8,1),OFFSET($M$15,0,0,$B$8,1))=FM$13), 1*(_xlfn._xlws.FILTER(OFFSET($O$15,0,$DO225,$B$8,1),OFFSET($M$15,0,0,$B$8,1))=FM$14))   /   SUM(OFFSET($BO$15,0,0,$B$14,1)) + $B$18/($B$19*$B$19*($DN225&lt;&gt;$DO225) + $B$19*($DN225=$DO225))</f>
        <v>3.7037037037037035E-4</v>
      </c>
      <c r="FN225" s="10" cm="1">
        <f t="array" aca="1" ref="FN225" ca="1">(1-$B$18)*SUMPRODUCT(OFFSET($BO$15,0,0,$B$14,1), 1*(_xlfn._xlws.FILTER(OFFSET($O$15,0,$DN225,$B$8,1),OFFSET($M$15,0,0,$B$8,1))=FN$13), 1*(_xlfn._xlws.FILTER(OFFSET($O$15,0,$DO225,$B$8,1),OFFSET($M$15,0,0,$B$8,1))=FN$14))   /   SUM(OFFSET($BO$15,0,0,$B$14,1)) + $B$18/($B$19*$B$19*($DN225&lt;&gt;$DO225) + $B$19*($DN225=$DO225))</f>
        <v>3.7037037037037035E-4</v>
      </c>
      <c r="FO225" s="10" cm="1">
        <f t="array" aca="1" ref="FO225" ca="1">(1-$B$18)*SUMPRODUCT(OFFSET($BO$15,0,0,$B$14,1), 1*(_xlfn._xlws.FILTER(OFFSET($O$15,0,$DN225,$B$8,1),OFFSET($M$15,0,0,$B$8,1))=FO$13), 1*(_xlfn._xlws.FILTER(OFFSET($O$15,0,$DO225,$B$8,1),OFFSET($M$15,0,0,$B$8,1))=FO$14))   /   SUM(OFFSET($BO$15,0,0,$B$14,1)) + $B$18/($B$19*$B$19*($DN225&lt;&gt;$DO225) + $B$19*($DN225=$DO225))</f>
        <v>3.7037037037037035E-4</v>
      </c>
      <c r="FP225" s="10" cm="1">
        <f t="array" aca="1" ref="FP225" ca="1">(1-$B$18)*SUMPRODUCT(OFFSET($BO$15,0,0,$B$14,1), 1*(_xlfn._xlws.FILTER(OFFSET($O$15,0,$DN225,$B$8,1),OFFSET($M$15,0,0,$B$8,1))=FP$13), 1*(_xlfn._xlws.FILTER(OFFSET($O$15,0,$DO225,$B$8,1),OFFSET($M$15,0,0,$B$8,1))=FP$14))   /   SUM(OFFSET($BO$15,0,0,$B$14,1)) + $B$18/($B$19*$B$19*($DN225&lt;&gt;$DO225) + $B$19*($DN225=$DO225))</f>
        <v>3.7037037037037035E-4</v>
      </c>
      <c r="FQ225" s="10" cm="1">
        <f t="array" aca="1" ref="FQ225" ca="1">(1-$B$18)*SUMPRODUCT(OFFSET($BO$15,0,0,$B$14,1), 1*(_xlfn._xlws.FILTER(OFFSET($O$15,0,$DN225,$B$8,1),OFFSET($M$15,0,0,$B$8,1))=FQ$13), 1*(_xlfn._xlws.FILTER(OFFSET($O$15,0,$DO225,$B$8,1),OFFSET($M$15,0,0,$B$8,1))=FQ$14))   /   SUM(OFFSET($BO$15,0,0,$B$14,1)) + $B$18/($B$19*$B$19*($DN225&lt;&gt;$DO225) + $B$19*($DN225=$DO225))</f>
        <v>3.7037037037037035E-4</v>
      </c>
      <c r="FR225" s="10" cm="1">
        <f t="array" aca="1" ref="FR225" ca="1">(1-$B$18)*SUMPRODUCT(OFFSET($BO$15,0,0,$B$14,1), 1*(_xlfn._xlws.FILTER(OFFSET($O$15,0,$DN225,$B$8,1),OFFSET($M$15,0,0,$B$8,1))=FR$13), 1*(_xlfn._xlws.FILTER(OFFSET($O$15,0,$DO225,$B$8,1),OFFSET($M$15,0,0,$B$8,1))=FR$14))   /   SUM(OFFSET($BO$15,0,0,$B$14,1)) + $B$18/($B$19*$B$19*($DN225&lt;&gt;$DO225) + $B$19*($DN225=$DO225))</f>
        <v>3.7037037037037035E-4</v>
      </c>
      <c r="FS225" s="10" cm="1">
        <f t="array" aca="1" ref="FS225" ca="1">(1-$B$18)*SUMPRODUCT(OFFSET($BO$15,0,0,$B$14,1), 1*(_xlfn._xlws.FILTER(OFFSET($O$15,0,$DN225,$B$8,1),OFFSET($M$15,0,0,$B$8,1))=FS$13), 1*(_xlfn._xlws.FILTER(OFFSET($O$15,0,$DO225,$B$8,1),OFFSET($M$15,0,0,$B$8,1))=FS$14))   /   SUM(OFFSET($BO$15,0,0,$B$14,1)) + $B$18/($B$19*$B$19*($DN225&lt;&gt;$DO225) + $B$19*($DN225=$DO225))</f>
        <v>3.7037037037037035E-4</v>
      </c>
      <c r="FT225" s="10" cm="1">
        <f t="array" aca="1" ref="FT225" ca="1">(1-$B$18)*SUMPRODUCT(OFFSET($BO$15,0,0,$B$14,1), 1*(_xlfn._xlws.FILTER(OFFSET($O$15,0,$DN225,$B$8,1),OFFSET($M$15,0,0,$B$8,1))=FT$13), 1*(_xlfn._xlws.FILTER(OFFSET($O$15,0,$DO225,$B$8,1),OFFSET($M$15,0,0,$B$8,1))=FT$14))   /   SUM(OFFSET($BO$15,0,0,$B$14,1)) + $B$18/($B$19*$B$19*($DN225&lt;&gt;$DO225) + $B$19*($DN225=$DO225))</f>
        <v>3.7037037037037035E-4</v>
      </c>
      <c r="FU225" s="10" cm="1">
        <f t="array" aca="1" ref="FU225" ca="1">(1-$B$18)*SUMPRODUCT(OFFSET($BO$15,0,0,$B$14,1), 1*(_xlfn._xlws.FILTER(OFFSET($O$15,0,$DN225,$B$8,1),OFFSET($M$15,0,0,$B$8,1))=FU$13), 1*(_xlfn._xlws.FILTER(OFFSET($O$15,0,$DO225,$B$8,1),OFFSET($M$15,0,0,$B$8,1))=FU$14))   /   SUM(OFFSET($BO$15,0,0,$B$14,1)) + $B$18/($B$19*$B$19*($DN225&lt;&gt;$DO225) + $B$19*($DN225=$DO225))</f>
        <v>3.7037037037037035E-4</v>
      </c>
      <c r="FV225" s="10" cm="1">
        <f t="array" aca="1" ref="FV225" ca="1">(1-$B$18)*SUMPRODUCT(OFFSET($BO$15,0,0,$B$14,1), 1*(_xlfn._xlws.FILTER(OFFSET($O$15,0,$DN225,$B$8,1),OFFSET($M$15,0,0,$B$8,1))=FV$13), 1*(_xlfn._xlws.FILTER(OFFSET($O$15,0,$DO225,$B$8,1),OFFSET($M$15,0,0,$B$8,1))=FV$14))   /   SUM(OFFSET($BO$15,0,0,$B$14,1)) + $B$18/($B$19*$B$19*($DN225&lt;&gt;$DO225) + $B$19*($DN225=$DO225))</f>
        <v>3.7037037037037035E-4</v>
      </c>
      <c r="FW225" s="10" cm="1">
        <f t="array" aca="1" ref="FW225" ca="1">(1-$B$18)*SUMPRODUCT(OFFSET($BO$15,0,0,$B$14,1), 1*(_xlfn._xlws.FILTER(OFFSET($O$15,0,$DN225,$B$8,1),OFFSET($M$15,0,0,$B$8,1))=FW$13), 1*(_xlfn._xlws.FILTER(OFFSET($O$15,0,$DO225,$B$8,1),OFFSET($M$15,0,0,$B$8,1))=FW$14))   /   SUM(OFFSET($BO$15,0,0,$B$14,1)) + $B$18/($B$19*$B$19*($DN225&lt;&gt;$DO225) + $B$19*($DN225=$DO225))</f>
        <v>3.7037037037037035E-4</v>
      </c>
      <c r="FX225" s="10" cm="1">
        <f t="array" aca="1" ref="FX225" ca="1">(1-$B$18)*SUMPRODUCT(OFFSET($BO$15,0,0,$B$14,1), 1*(_xlfn._xlws.FILTER(OFFSET($O$15,0,$DN225,$B$8,1),OFFSET($M$15,0,0,$B$8,1))=FX$13), 1*(_xlfn._xlws.FILTER(OFFSET($O$15,0,$DO225,$B$8,1),OFFSET($M$15,0,0,$B$8,1))=FX$14))   /   SUM(OFFSET($BO$15,0,0,$B$14,1)) + $B$18/($B$19*$B$19*($DN225&lt;&gt;$DO225) + $B$19*($DN225=$DO225))</f>
        <v>3.7037037037037035E-4</v>
      </c>
      <c r="FY225" s="10" cm="1">
        <f t="array" aca="1" ref="FY225" ca="1">(1-$B$18)*SUMPRODUCT(OFFSET($BO$15,0,0,$B$14,1), 1*(_xlfn._xlws.FILTER(OFFSET($O$15,0,$DN225,$B$8,1),OFFSET($M$15,0,0,$B$8,1))=FY$13), 1*(_xlfn._xlws.FILTER(OFFSET($O$15,0,$DO225,$B$8,1),OFFSET($M$15,0,0,$B$8,1))=FY$14))   /   SUM(OFFSET($BO$15,0,0,$B$14,1)) + $B$18/($B$19*$B$19*($DN225&lt;&gt;$DO225) + $B$19*($DN225=$DO225))</f>
        <v>3.7037037037037035E-4</v>
      </c>
      <c r="FZ225" s="10" cm="1">
        <f t="array" aca="1" ref="FZ225" ca="1">(1-$B$18)*SUMPRODUCT(OFFSET($BO$15,0,0,$B$14,1), 1*(_xlfn._xlws.FILTER(OFFSET($O$15,0,$DN225,$B$8,1),OFFSET($M$15,0,0,$B$8,1))=FZ$13), 1*(_xlfn._xlws.FILTER(OFFSET($O$15,0,$DO225,$B$8,1),OFFSET($M$15,0,0,$B$8,1))=FZ$14))   /   SUM(OFFSET($BO$15,0,0,$B$14,1)) + $B$18/($B$19*$B$19*($DN225&lt;&gt;$DO225) + $B$19*($DN225=$DO225))</f>
        <v>3.7037037037037035E-4</v>
      </c>
      <c r="GA225" s="10" cm="1">
        <f t="array" aca="1" ref="GA225" ca="1">(1-$B$18)*SUMPRODUCT(OFFSET($BO$15,0,0,$B$14,1), 1*(_xlfn._xlws.FILTER(OFFSET($O$15,0,$DN225,$B$8,1),OFFSET($M$15,0,0,$B$8,1))=GA$13), 1*(_xlfn._xlws.FILTER(OFFSET($O$15,0,$DO225,$B$8,1),OFFSET($M$15,0,0,$B$8,1))=GA$14))   /   SUM(OFFSET($BO$15,0,0,$B$14,1)) + $B$18/($B$19*$B$19*($DN225&lt;&gt;$DO225) + $B$19*($DN225=$DO225))</f>
        <v>3.7037037037037035E-4</v>
      </c>
    </row>
    <row r="226" spans="118:183" x14ac:dyDescent="0.2">
      <c r="DN226" cm="1">
        <f t="array" aca="1" ref="DN226" ca="1">INDEX(_xlfn.ANCHORARRAY($CP$15), 1 + INT((ROWS($DO$15:$DO226) - 1) / ROWS(_xlfn.ANCHORARRAY($CP$15))))</f>
        <v>12</v>
      </c>
      <c r="DO226" cm="1">
        <f t="array" aca="1" ref="DO226" ca="1">INDEX(_xlfn.ANCHORARRAY($CP$15),1+MOD(ROWS($DO$15:$DO226)-1,ROWS(_xlfn.ANCHORARRAY($CP$15))))</f>
        <v>2</v>
      </c>
      <c r="DP226" s="10" cm="1">
        <f t="array" aca="1" ref="DP226" ca="1">(1-$B$18)*SUMPRODUCT(OFFSET($BO$15,0,0,$B$14,1), 1*(_xlfn._xlws.FILTER(OFFSET($O$15,0,$DN226,$B$8,1),OFFSET($M$15,0,0,$B$8,1))=DP$13), 1*(_xlfn._xlws.FILTER(OFFSET($O$15,0,$DO226,$B$8,1),OFFSET($M$15,0,0,$B$8,1))=DP$14))   /   SUM(OFFSET($BO$15,0,0,$B$14,1)) + $B$18/($B$19*$B$19*($DN226&lt;&gt;$DO226) + $B$19*($DN226=$DO226))</f>
        <v>3.7037037037037035E-4</v>
      </c>
      <c r="DQ226" s="10" cm="1">
        <f t="array" aca="1" ref="DQ226" ca="1">(1-$B$18)*SUMPRODUCT(OFFSET($BO$15,0,0,$B$14,1), 1*(_xlfn._xlws.FILTER(OFFSET($O$15,0,$DN226,$B$8,1),OFFSET($M$15,0,0,$B$8,1))=DQ$13), 1*(_xlfn._xlws.FILTER(OFFSET($O$15,0,$DO226,$B$8,1),OFFSET($M$15,0,0,$B$8,1))=DQ$14))   /   SUM(OFFSET($BO$15,0,0,$B$14,1)) + $B$18/($B$19*$B$19*($DN226&lt;&gt;$DO226) + $B$19*($DN226=$DO226))</f>
        <v>3.7037037037037035E-4</v>
      </c>
      <c r="DR226" s="10" cm="1">
        <f t="array" aca="1" ref="DR226" ca="1">(1-$B$18)*SUMPRODUCT(OFFSET($BO$15,0,0,$B$14,1), 1*(_xlfn._xlws.FILTER(OFFSET($O$15,0,$DN226,$B$8,1),OFFSET($M$15,0,0,$B$8,1))=DR$13), 1*(_xlfn._xlws.FILTER(OFFSET($O$15,0,$DO226,$B$8,1),OFFSET($M$15,0,0,$B$8,1))=DR$14))   /   SUM(OFFSET($BO$15,0,0,$B$14,1)) + $B$18/($B$19*$B$19*($DN226&lt;&gt;$DO226) + $B$19*($DN226=$DO226))</f>
        <v>3.7037037037037035E-4</v>
      </c>
      <c r="DS226" s="10" cm="1">
        <f t="array" aca="1" ref="DS226" ca="1">(1-$B$18)*SUMPRODUCT(OFFSET($BO$15,0,0,$B$14,1), 1*(_xlfn._xlws.FILTER(OFFSET($O$15,0,$DN226,$B$8,1),OFFSET($M$15,0,0,$B$8,1))=DS$13), 1*(_xlfn._xlws.FILTER(OFFSET($O$15,0,$DO226,$B$8,1),OFFSET($M$15,0,0,$B$8,1))=DS$14))   /   SUM(OFFSET($BO$15,0,0,$B$14,1)) + $B$18/($B$19*$B$19*($DN226&lt;&gt;$DO226) + $B$19*($DN226=$DO226))</f>
        <v>3.7037037037037035E-4</v>
      </c>
      <c r="DT226" s="10" cm="1">
        <f t="array" aca="1" ref="DT226" ca="1">(1-$B$18)*SUMPRODUCT(OFFSET($BO$15,0,0,$B$14,1), 1*(_xlfn._xlws.FILTER(OFFSET($O$15,0,$DN226,$B$8,1),OFFSET($M$15,0,0,$B$8,1))=DT$13), 1*(_xlfn._xlws.FILTER(OFFSET($O$15,0,$DO226,$B$8,1),OFFSET($M$15,0,0,$B$8,1))=DT$14))   /   SUM(OFFSET($BO$15,0,0,$B$14,1)) + $B$18/($B$19*$B$19*($DN226&lt;&gt;$DO226) + $B$19*($DN226=$DO226))</f>
        <v>3.7037037037037035E-4</v>
      </c>
      <c r="DU226" s="10" cm="1">
        <f t="array" aca="1" ref="DU226" ca="1">(1-$B$18)*SUMPRODUCT(OFFSET($BO$15,0,0,$B$14,1), 1*(_xlfn._xlws.FILTER(OFFSET($O$15,0,$DN226,$B$8,1),OFFSET($M$15,0,0,$B$8,1))=DU$13), 1*(_xlfn._xlws.FILTER(OFFSET($O$15,0,$DO226,$B$8,1),OFFSET($M$15,0,0,$B$8,1))=DU$14))   /   SUM(OFFSET($BO$15,0,0,$B$14,1)) + $B$18/($B$19*$B$19*($DN226&lt;&gt;$DO226) + $B$19*($DN226=$DO226))</f>
        <v>3.7037037037037035E-4</v>
      </c>
      <c r="DV226" s="10" cm="1">
        <f t="array" aca="1" ref="DV226" ca="1">(1-$B$18)*SUMPRODUCT(OFFSET($BO$15,0,0,$B$14,1), 1*(_xlfn._xlws.FILTER(OFFSET($O$15,0,$DN226,$B$8,1),OFFSET($M$15,0,0,$B$8,1))=DV$13), 1*(_xlfn._xlws.FILTER(OFFSET($O$15,0,$DO226,$B$8,1),OFFSET($M$15,0,0,$B$8,1))=DV$14))   /   SUM(OFFSET($BO$15,0,0,$B$14,1)) + $B$18/($B$19*$B$19*($DN226&lt;&gt;$DO226) + $B$19*($DN226=$DO226))</f>
        <v>3.7037037037037035E-4</v>
      </c>
      <c r="DW226" s="10" cm="1">
        <f t="array" aca="1" ref="DW226" ca="1">(1-$B$18)*SUMPRODUCT(OFFSET($BO$15,0,0,$B$14,1), 1*(_xlfn._xlws.FILTER(OFFSET($O$15,0,$DN226,$B$8,1),OFFSET($M$15,0,0,$B$8,1))=DW$13), 1*(_xlfn._xlws.FILTER(OFFSET($O$15,0,$DO226,$B$8,1),OFFSET($M$15,0,0,$B$8,1))=DW$14))   /   SUM(OFFSET($BO$15,0,0,$B$14,1)) + $B$18/($B$19*$B$19*($DN226&lt;&gt;$DO226) + $B$19*($DN226=$DO226))</f>
        <v>3.7037037037037035E-4</v>
      </c>
      <c r="DX226" s="10" cm="1">
        <f t="array" aca="1" ref="DX226" ca="1">(1-$B$18)*SUMPRODUCT(OFFSET($BO$15,0,0,$B$14,1), 1*(_xlfn._xlws.FILTER(OFFSET($O$15,0,$DN226,$B$8,1),OFFSET($M$15,0,0,$B$8,1))=DX$13), 1*(_xlfn._xlws.FILTER(OFFSET($O$15,0,$DO226,$B$8,1),OFFSET($M$15,0,0,$B$8,1))=DX$14))   /   SUM(OFFSET($BO$15,0,0,$B$14,1)) + $B$18/($B$19*$B$19*($DN226&lt;&gt;$DO226) + $B$19*($DN226=$DO226))</f>
        <v>3.7037037037037035E-4</v>
      </c>
      <c r="DY226" s="10" cm="1">
        <f t="array" aca="1" ref="DY226" ca="1">(1-$B$18)*SUMPRODUCT(OFFSET($BO$15,0,0,$B$14,1), 1*(_xlfn._xlws.FILTER(OFFSET($O$15,0,$DN226,$B$8,1),OFFSET($M$15,0,0,$B$8,1))=DY$13), 1*(_xlfn._xlws.FILTER(OFFSET($O$15,0,$DO226,$B$8,1),OFFSET($M$15,0,0,$B$8,1))=DY$14))   /   SUM(OFFSET($BO$15,0,0,$B$14,1)) + $B$18/($B$19*$B$19*($DN226&lt;&gt;$DO226) + $B$19*($DN226=$DO226))</f>
        <v>3.7037037037037035E-4</v>
      </c>
      <c r="DZ226" s="10" cm="1">
        <f t="array" aca="1" ref="DZ226" ca="1">(1-$B$18)*SUMPRODUCT(OFFSET($BO$15,0,0,$B$14,1), 1*(_xlfn._xlws.FILTER(OFFSET($O$15,0,$DN226,$B$8,1),OFFSET($M$15,0,0,$B$8,1))=DZ$13), 1*(_xlfn._xlws.FILTER(OFFSET($O$15,0,$DO226,$B$8,1),OFFSET($M$15,0,0,$B$8,1))=DZ$14))   /   SUM(OFFSET($BO$15,0,0,$B$14,1)) + $B$18/($B$19*$B$19*($DN226&lt;&gt;$DO226) + $B$19*($DN226=$DO226))</f>
        <v>3.7037037037037035E-4</v>
      </c>
      <c r="EA226" s="10" cm="1">
        <f t="array" aca="1" ref="EA226" ca="1">(1-$B$18)*SUMPRODUCT(OFFSET($BO$15,0,0,$B$14,1), 1*(_xlfn._xlws.FILTER(OFFSET($O$15,0,$DN226,$B$8,1),OFFSET($M$15,0,0,$B$8,1))=EA$13), 1*(_xlfn._xlws.FILTER(OFFSET($O$15,0,$DO226,$B$8,1),OFFSET($M$15,0,0,$B$8,1))=EA$14))   /   SUM(OFFSET($BO$15,0,0,$B$14,1)) + $B$18/($B$19*$B$19*($DN226&lt;&gt;$DO226) + $B$19*($DN226=$DO226))</f>
        <v>3.7037037037037035E-4</v>
      </c>
      <c r="EB226" s="10" cm="1">
        <f t="array" aca="1" ref="EB226" ca="1">(1-$B$18)*SUMPRODUCT(OFFSET($BO$15,0,0,$B$14,1), 1*(_xlfn._xlws.FILTER(OFFSET($O$15,0,$DN226,$B$8,1),OFFSET($M$15,0,0,$B$8,1))=EB$13), 1*(_xlfn._xlws.FILTER(OFFSET($O$15,0,$DO226,$B$8,1),OFFSET($M$15,0,0,$B$8,1))=EB$14))   /   SUM(OFFSET($BO$15,0,0,$B$14,1)) + $B$18/($B$19*$B$19*($DN226&lt;&gt;$DO226) + $B$19*($DN226=$DO226))</f>
        <v>3.7037037037037035E-4</v>
      </c>
      <c r="EC226" s="10" cm="1">
        <f t="array" aca="1" ref="EC226" ca="1">(1-$B$18)*SUMPRODUCT(OFFSET($BO$15,0,0,$B$14,1), 1*(_xlfn._xlws.FILTER(OFFSET($O$15,0,$DN226,$B$8,1),OFFSET($M$15,0,0,$B$8,1))=EC$13), 1*(_xlfn._xlws.FILTER(OFFSET($O$15,0,$DO226,$B$8,1),OFFSET($M$15,0,0,$B$8,1))=EC$14))   /   SUM(OFFSET($BO$15,0,0,$B$14,1)) + $B$18/($B$19*$B$19*($DN226&lt;&gt;$DO226) + $B$19*($DN226=$DO226))</f>
        <v>3.7037037037037035E-4</v>
      </c>
      <c r="ED226" s="10" cm="1">
        <f t="array" aca="1" ref="ED226" ca="1">(1-$B$18)*SUMPRODUCT(OFFSET($BO$15,0,0,$B$14,1), 1*(_xlfn._xlws.FILTER(OFFSET($O$15,0,$DN226,$B$8,1),OFFSET($M$15,0,0,$B$8,1))=ED$13), 1*(_xlfn._xlws.FILTER(OFFSET($O$15,0,$DO226,$B$8,1),OFFSET($M$15,0,0,$B$8,1))=ED$14))   /   SUM(OFFSET($BO$15,0,0,$B$14,1)) + $B$18/($B$19*$B$19*($DN226&lt;&gt;$DO226) + $B$19*($DN226=$DO226))</f>
        <v>0.97037037037037033</v>
      </c>
      <c r="EE226" s="10" cm="1">
        <f t="array" aca="1" ref="EE226" ca="1">(1-$B$18)*SUMPRODUCT(OFFSET($BO$15,0,0,$B$14,1), 1*(_xlfn._xlws.FILTER(OFFSET($O$15,0,$DN226,$B$8,1),OFFSET($M$15,0,0,$B$8,1))=EE$13), 1*(_xlfn._xlws.FILTER(OFFSET($O$15,0,$DO226,$B$8,1),OFFSET($M$15,0,0,$B$8,1))=EE$14))   /   SUM(OFFSET($BO$15,0,0,$B$14,1)) + $B$18/($B$19*$B$19*($DN226&lt;&gt;$DO226) + $B$19*($DN226=$DO226))</f>
        <v>3.7037037037037035E-4</v>
      </c>
      <c r="EF226" s="10" cm="1">
        <f t="array" aca="1" ref="EF226" ca="1">(1-$B$18)*SUMPRODUCT(OFFSET($BO$15,0,0,$B$14,1), 1*(_xlfn._xlws.FILTER(OFFSET($O$15,0,$DN226,$B$8,1),OFFSET($M$15,0,0,$B$8,1))=EF$13), 1*(_xlfn._xlws.FILTER(OFFSET($O$15,0,$DO226,$B$8,1),OFFSET($M$15,0,0,$B$8,1))=EF$14))   /   SUM(OFFSET($BO$15,0,0,$B$14,1)) + $B$18/($B$19*$B$19*($DN226&lt;&gt;$DO226) + $B$19*($DN226=$DO226))</f>
        <v>3.7037037037037035E-4</v>
      </c>
      <c r="EG226" s="10" cm="1">
        <f t="array" aca="1" ref="EG226" ca="1">(1-$B$18)*SUMPRODUCT(OFFSET($BO$15,0,0,$B$14,1), 1*(_xlfn._xlws.FILTER(OFFSET($O$15,0,$DN226,$B$8,1),OFFSET($M$15,0,0,$B$8,1))=EG$13), 1*(_xlfn._xlws.FILTER(OFFSET($O$15,0,$DO226,$B$8,1),OFFSET($M$15,0,0,$B$8,1))=EG$14))   /   SUM(OFFSET($BO$15,0,0,$B$14,1)) + $B$18/($B$19*$B$19*($DN226&lt;&gt;$DO226) + $B$19*($DN226=$DO226))</f>
        <v>3.7037037037037035E-4</v>
      </c>
      <c r="EH226" s="10" cm="1">
        <f t="array" aca="1" ref="EH226" ca="1">(1-$B$18)*SUMPRODUCT(OFFSET($BO$15,0,0,$B$14,1), 1*(_xlfn._xlws.FILTER(OFFSET($O$15,0,$DN226,$B$8,1),OFFSET($M$15,0,0,$B$8,1))=EH$13), 1*(_xlfn._xlws.FILTER(OFFSET($O$15,0,$DO226,$B$8,1),OFFSET($M$15,0,0,$B$8,1))=EH$14))   /   SUM(OFFSET($BO$15,0,0,$B$14,1)) + $B$18/($B$19*$B$19*($DN226&lt;&gt;$DO226) + $B$19*($DN226=$DO226))</f>
        <v>3.7037037037037035E-4</v>
      </c>
      <c r="EI226" s="10" cm="1">
        <f t="array" aca="1" ref="EI226" ca="1">(1-$B$18)*SUMPRODUCT(OFFSET($BO$15,0,0,$B$14,1), 1*(_xlfn._xlws.FILTER(OFFSET($O$15,0,$DN226,$B$8,1),OFFSET($M$15,0,0,$B$8,1))=EI$13), 1*(_xlfn._xlws.FILTER(OFFSET($O$15,0,$DO226,$B$8,1),OFFSET($M$15,0,0,$B$8,1))=EI$14))   /   SUM(OFFSET($BO$15,0,0,$B$14,1)) + $B$18/($B$19*$B$19*($DN226&lt;&gt;$DO226) + $B$19*($DN226=$DO226))</f>
        <v>3.7037037037037035E-4</v>
      </c>
      <c r="EJ226" s="10" cm="1">
        <f t="array" aca="1" ref="EJ226" ca="1">(1-$B$18)*SUMPRODUCT(OFFSET($BO$15,0,0,$B$14,1), 1*(_xlfn._xlws.FILTER(OFFSET($O$15,0,$DN226,$B$8,1),OFFSET($M$15,0,0,$B$8,1))=EJ$13), 1*(_xlfn._xlws.FILTER(OFFSET($O$15,0,$DO226,$B$8,1),OFFSET($M$15,0,0,$B$8,1))=EJ$14))   /   SUM(OFFSET($BO$15,0,0,$B$14,1)) + $B$18/($B$19*$B$19*($DN226&lt;&gt;$DO226) + $B$19*($DN226=$DO226))</f>
        <v>3.7037037037037035E-4</v>
      </c>
      <c r="EK226" s="10" cm="1">
        <f t="array" aca="1" ref="EK226" ca="1">(1-$B$18)*SUMPRODUCT(OFFSET($BO$15,0,0,$B$14,1), 1*(_xlfn._xlws.FILTER(OFFSET($O$15,0,$DN226,$B$8,1),OFFSET($M$15,0,0,$B$8,1))=EK$13), 1*(_xlfn._xlws.FILTER(OFFSET($O$15,0,$DO226,$B$8,1),OFFSET($M$15,0,0,$B$8,1))=EK$14))   /   SUM(OFFSET($BO$15,0,0,$B$14,1)) + $B$18/($B$19*$B$19*($DN226&lt;&gt;$DO226) + $B$19*($DN226=$DO226))</f>
        <v>3.7037037037037035E-4</v>
      </c>
      <c r="EL226" s="10" cm="1">
        <f t="array" aca="1" ref="EL226" ca="1">(1-$B$18)*SUMPRODUCT(OFFSET($BO$15,0,0,$B$14,1), 1*(_xlfn._xlws.FILTER(OFFSET($O$15,0,$DN226,$B$8,1),OFFSET($M$15,0,0,$B$8,1))=EL$13), 1*(_xlfn._xlws.FILTER(OFFSET($O$15,0,$DO226,$B$8,1),OFFSET($M$15,0,0,$B$8,1))=EL$14))   /   SUM(OFFSET($BO$15,0,0,$B$14,1)) + $B$18/($B$19*$B$19*($DN226&lt;&gt;$DO226) + $B$19*($DN226=$DO226))</f>
        <v>3.7037037037037035E-4</v>
      </c>
      <c r="EM226" s="10" cm="1">
        <f t="array" aca="1" ref="EM226" ca="1">(1-$B$18)*SUMPRODUCT(OFFSET($BO$15,0,0,$B$14,1), 1*(_xlfn._xlws.FILTER(OFFSET($O$15,0,$DN226,$B$8,1),OFFSET($M$15,0,0,$B$8,1))=EM$13), 1*(_xlfn._xlws.FILTER(OFFSET($O$15,0,$DO226,$B$8,1),OFFSET($M$15,0,0,$B$8,1))=EM$14))   /   SUM(OFFSET($BO$15,0,0,$B$14,1)) + $B$18/($B$19*$B$19*($DN226&lt;&gt;$DO226) + $B$19*($DN226=$DO226))</f>
        <v>3.7037037037037035E-4</v>
      </c>
      <c r="EN226" s="10" cm="1">
        <f t="array" aca="1" ref="EN226" ca="1">(1-$B$18)*SUMPRODUCT(OFFSET($BO$15,0,0,$B$14,1), 1*(_xlfn._xlws.FILTER(OFFSET($O$15,0,$DN226,$B$8,1),OFFSET($M$15,0,0,$B$8,1))=EN$13), 1*(_xlfn._xlws.FILTER(OFFSET($O$15,0,$DO226,$B$8,1),OFFSET($M$15,0,0,$B$8,1))=EN$14))   /   SUM(OFFSET($BO$15,0,0,$B$14,1)) + $B$18/($B$19*$B$19*($DN226&lt;&gt;$DO226) + $B$19*($DN226=$DO226))</f>
        <v>3.7037037037037035E-4</v>
      </c>
      <c r="EO226" s="10" cm="1">
        <f t="array" aca="1" ref="EO226" ca="1">(1-$B$18)*SUMPRODUCT(OFFSET($BO$15,0,0,$B$14,1), 1*(_xlfn._xlws.FILTER(OFFSET($O$15,0,$DN226,$B$8,1),OFFSET($M$15,0,0,$B$8,1))=EO$13), 1*(_xlfn._xlws.FILTER(OFFSET($O$15,0,$DO226,$B$8,1),OFFSET($M$15,0,0,$B$8,1))=EO$14))   /   SUM(OFFSET($BO$15,0,0,$B$14,1)) + $B$18/($B$19*$B$19*($DN226&lt;&gt;$DO226) + $B$19*($DN226=$DO226))</f>
        <v>3.7037037037037035E-4</v>
      </c>
      <c r="EP226" s="10" cm="1">
        <f t="array" aca="1" ref="EP226" ca="1">(1-$B$18)*SUMPRODUCT(OFFSET($BO$15,0,0,$B$14,1), 1*(_xlfn._xlws.FILTER(OFFSET($O$15,0,$DN226,$B$8,1),OFFSET($M$15,0,0,$B$8,1))=EP$13), 1*(_xlfn._xlws.FILTER(OFFSET($O$15,0,$DO226,$B$8,1),OFFSET($M$15,0,0,$B$8,1))=EP$14))   /   SUM(OFFSET($BO$15,0,0,$B$14,1)) + $B$18/($B$19*$B$19*($DN226&lt;&gt;$DO226) + $B$19*($DN226=$DO226))</f>
        <v>3.7037037037037035E-4</v>
      </c>
      <c r="EQ226" s="10" cm="1">
        <f t="array" aca="1" ref="EQ226" ca="1">(1-$B$18)*SUMPRODUCT(OFFSET($BO$15,0,0,$B$14,1), 1*(_xlfn._xlws.FILTER(OFFSET($O$15,0,$DN226,$B$8,1),OFFSET($M$15,0,0,$B$8,1))=EQ$13), 1*(_xlfn._xlws.FILTER(OFFSET($O$15,0,$DO226,$B$8,1),OFFSET($M$15,0,0,$B$8,1))=EQ$14))   /   SUM(OFFSET($BO$15,0,0,$B$14,1)) + $B$18/($B$19*$B$19*($DN226&lt;&gt;$DO226) + $B$19*($DN226=$DO226))</f>
        <v>3.7037037037037035E-4</v>
      </c>
      <c r="ER226" s="10" cm="1">
        <f t="array" aca="1" ref="ER226" ca="1">(1-$B$18)*SUMPRODUCT(OFFSET($BO$15,0,0,$B$14,1), 1*(_xlfn._xlws.FILTER(OFFSET($O$15,0,$DN226,$B$8,1),OFFSET($M$15,0,0,$B$8,1))=ER$13), 1*(_xlfn._xlws.FILTER(OFFSET($O$15,0,$DO226,$B$8,1),OFFSET($M$15,0,0,$B$8,1))=ER$14))   /   SUM(OFFSET($BO$15,0,0,$B$14,1)) + $B$18/($B$19*$B$19*($DN226&lt;&gt;$DO226) + $B$19*($DN226=$DO226))</f>
        <v>3.7037037037037035E-4</v>
      </c>
      <c r="ES226" s="10" cm="1">
        <f t="array" aca="1" ref="ES226" ca="1">(1-$B$18)*SUMPRODUCT(OFFSET($BO$15,0,0,$B$14,1), 1*(_xlfn._xlws.FILTER(OFFSET($O$15,0,$DN226,$B$8,1),OFFSET($M$15,0,0,$B$8,1))=ES$13), 1*(_xlfn._xlws.FILTER(OFFSET($O$15,0,$DO226,$B$8,1),OFFSET($M$15,0,0,$B$8,1))=ES$14))   /   SUM(OFFSET($BO$15,0,0,$B$14,1)) + $B$18/($B$19*$B$19*($DN226&lt;&gt;$DO226) + $B$19*($DN226=$DO226))</f>
        <v>3.7037037037037035E-4</v>
      </c>
      <c r="ET226" s="10" cm="1">
        <f t="array" aca="1" ref="ET226" ca="1">(1-$B$18)*SUMPRODUCT(OFFSET($BO$15,0,0,$B$14,1), 1*(_xlfn._xlws.FILTER(OFFSET($O$15,0,$DN226,$B$8,1),OFFSET($M$15,0,0,$B$8,1))=ET$13), 1*(_xlfn._xlws.FILTER(OFFSET($O$15,0,$DO226,$B$8,1),OFFSET($M$15,0,0,$B$8,1))=ET$14))   /   SUM(OFFSET($BO$15,0,0,$B$14,1)) + $B$18/($B$19*$B$19*($DN226&lt;&gt;$DO226) + $B$19*($DN226=$DO226))</f>
        <v>3.7037037037037035E-4</v>
      </c>
      <c r="EU226" s="10" cm="1">
        <f t="array" aca="1" ref="EU226" ca="1">(1-$B$18)*SUMPRODUCT(OFFSET($BO$15,0,0,$B$14,1), 1*(_xlfn._xlws.FILTER(OFFSET($O$15,0,$DN226,$B$8,1),OFFSET($M$15,0,0,$B$8,1))=EU$13), 1*(_xlfn._xlws.FILTER(OFFSET($O$15,0,$DO226,$B$8,1),OFFSET($M$15,0,0,$B$8,1))=EU$14))   /   SUM(OFFSET($BO$15,0,0,$B$14,1)) + $B$18/($B$19*$B$19*($DN226&lt;&gt;$DO226) + $B$19*($DN226=$DO226))</f>
        <v>3.7037037037037035E-4</v>
      </c>
      <c r="EV226" s="10" cm="1">
        <f t="array" aca="1" ref="EV226" ca="1">(1-$B$18)*SUMPRODUCT(OFFSET($BO$15,0,0,$B$14,1), 1*(_xlfn._xlws.FILTER(OFFSET($O$15,0,$DN226,$B$8,1),OFFSET($M$15,0,0,$B$8,1))=EV$13), 1*(_xlfn._xlws.FILTER(OFFSET($O$15,0,$DO226,$B$8,1),OFFSET($M$15,0,0,$B$8,1))=EV$14))   /   SUM(OFFSET($BO$15,0,0,$B$14,1)) + $B$18/($B$19*$B$19*($DN226&lt;&gt;$DO226) + $B$19*($DN226=$DO226))</f>
        <v>3.7037037037037035E-4</v>
      </c>
      <c r="EW226" s="10" cm="1">
        <f t="array" aca="1" ref="EW226" ca="1">(1-$B$18)*SUMPRODUCT(OFFSET($BO$15,0,0,$B$14,1), 1*(_xlfn._xlws.FILTER(OFFSET($O$15,0,$DN226,$B$8,1),OFFSET($M$15,0,0,$B$8,1))=EW$13), 1*(_xlfn._xlws.FILTER(OFFSET($O$15,0,$DO226,$B$8,1),OFFSET($M$15,0,0,$B$8,1))=EW$14))   /   SUM(OFFSET($BO$15,0,0,$B$14,1)) + $B$18/($B$19*$B$19*($DN226&lt;&gt;$DO226) + $B$19*($DN226=$DO226))</f>
        <v>3.7037037037037035E-4</v>
      </c>
      <c r="EX226" s="10" cm="1">
        <f t="array" aca="1" ref="EX226" ca="1">(1-$B$18)*SUMPRODUCT(OFFSET($BO$15,0,0,$B$14,1), 1*(_xlfn._xlws.FILTER(OFFSET($O$15,0,$DN226,$B$8,1),OFFSET($M$15,0,0,$B$8,1))=EX$13), 1*(_xlfn._xlws.FILTER(OFFSET($O$15,0,$DO226,$B$8,1),OFFSET($M$15,0,0,$B$8,1))=EX$14))   /   SUM(OFFSET($BO$15,0,0,$B$14,1)) + $B$18/($B$19*$B$19*($DN226&lt;&gt;$DO226) + $B$19*($DN226=$DO226))</f>
        <v>3.7037037037037035E-4</v>
      </c>
      <c r="EY226" s="10" cm="1">
        <f t="array" aca="1" ref="EY226" ca="1">(1-$B$18)*SUMPRODUCT(OFFSET($BO$15,0,0,$B$14,1), 1*(_xlfn._xlws.FILTER(OFFSET($O$15,0,$DN226,$B$8,1),OFFSET($M$15,0,0,$B$8,1))=EY$13), 1*(_xlfn._xlws.FILTER(OFFSET($O$15,0,$DO226,$B$8,1),OFFSET($M$15,0,0,$B$8,1))=EY$14))   /   SUM(OFFSET($BO$15,0,0,$B$14,1)) + $B$18/($B$19*$B$19*($DN226&lt;&gt;$DO226) + $B$19*($DN226=$DO226))</f>
        <v>3.7037037037037035E-4</v>
      </c>
      <c r="EZ226" s="10" cm="1">
        <f t="array" aca="1" ref="EZ226" ca="1">(1-$B$18)*SUMPRODUCT(OFFSET($BO$15,0,0,$B$14,1), 1*(_xlfn._xlws.FILTER(OFFSET($O$15,0,$DN226,$B$8,1),OFFSET($M$15,0,0,$B$8,1))=EZ$13), 1*(_xlfn._xlws.FILTER(OFFSET($O$15,0,$DO226,$B$8,1),OFFSET($M$15,0,0,$B$8,1))=EZ$14))   /   SUM(OFFSET($BO$15,0,0,$B$14,1)) + $B$18/($B$19*$B$19*($DN226&lt;&gt;$DO226) + $B$19*($DN226=$DO226))</f>
        <v>3.7037037037037035E-4</v>
      </c>
      <c r="FA226" s="10" cm="1">
        <f t="array" aca="1" ref="FA226" ca="1">(1-$B$18)*SUMPRODUCT(OFFSET($BO$15,0,0,$B$14,1), 1*(_xlfn._xlws.FILTER(OFFSET($O$15,0,$DN226,$B$8,1),OFFSET($M$15,0,0,$B$8,1))=FA$13), 1*(_xlfn._xlws.FILTER(OFFSET($O$15,0,$DO226,$B$8,1),OFFSET($M$15,0,0,$B$8,1))=FA$14))   /   SUM(OFFSET($BO$15,0,0,$B$14,1)) + $B$18/($B$19*$B$19*($DN226&lt;&gt;$DO226) + $B$19*($DN226=$DO226))</f>
        <v>3.7037037037037035E-4</v>
      </c>
      <c r="FB226" s="10" cm="1">
        <f t="array" aca="1" ref="FB226" ca="1">(1-$B$18)*SUMPRODUCT(OFFSET($BO$15,0,0,$B$14,1), 1*(_xlfn._xlws.FILTER(OFFSET($O$15,0,$DN226,$B$8,1),OFFSET($M$15,0,0,$B$8,1))=FB$13), 1*(_xlfn._xlws.FILTER(OFFSET($O$15,0,$DO226,$B$8,1),OFFSET($M$15,0,0,$B$8,1))=FB$14))   /   SUM(OFFSET($BO$15,0,0,$B$14,1)) + $B$18/($B$19*$B$19*($DN226&lt;&gt;$DO226) + $B$19*($DN226=$DO226))</f>
        <v>3.7037037037037035E-4</v>
      </c>
      <c r="FC226" s="10" cm="1">
        <f t="array" aca="1" ref="FC226" ca="1">(1-$B$18)*SUMPRODUCT(OFFSET($BO$15,0,0,$B$14,1), 1*(_xlfn._xlws.FILTER(OFFSET($O$15,0,$DN226,$B$8,1),OFFSET($M$15,0,0,$B$8,1))=FC$13), 1*(_xlfn._xlws.FILTER(OFFSET($O$15,0,$DO226,$B$8,1),OFFSET($M$15,0,0,$B$8,1))=FC$14))   /   SUM(OFFSET($BO$15,0,0,$B$14,1)) + $B$18/($B$19*$B$19*($DN226&lt;&gt;$DO226) + $B$19*($DN226=$DO226))</f>
        <v>3.7037037037037035E-4</v>
      </c>
      <c r="FD226" s="10" cm="1">
        <f t="array" aca="1" ref="FD226" ca="1">(1-$B$18)*SUMPRODUCT(OFFSET($BO$15,0,0,$B$14,1), 1*(_xlfn._xlws.FILTER(OFFSET($O$15,0,$DN226,$B$8,1),OFFSET($M$15,0,0,$B$8,1))=FD$13), 1*(_xlfn._xlws.FILTER(OFFSET($O$15,0,$DO226,$B$8,1),OFFSET($M$15,0,0,$B$8,1))=FD$14))   /   SUM(OFFSET($BO$15,0,0,$B$14,1)) + $B$18/($B$19*$B$19*($DN226&lt;&gt;$DO226) + $B$19*($DN226=$DO226))</f>
        <v>3.7037037037037035E-4</v>
      </c>
      <c r="FE226" s="10" cm="1">
        <f t="array" aca="1" ref="FE226" ca="1">(1-$B$18)*SUMPRODUCT(OFFSET($BO$15,0,0,$B$14,1), 1*(_xlfn._xlws.FILTER(OFFSET($O$15,0,$DN226,$B$8,1),OFFSET($M$15,0,0,$B$8,1))=FE$13), 1*(_xlfn._xlws.FILTER(OFFSET($O$15,0,$DO226,$B$8,1),OFFSET($M$15,0,0,$B$8,1))=FE$14))   /   SUM(OFFSET($BO$15,0,0,$B$14,1)) + $B$18/($B$19*$B$19*($DN226&lt;&gt;$DO226) + $B$19*($DN226=$DO226))</f>
        <v>3.7037037037037035E-4</v>
      </c>
      <c r="FF226" s="10" cm="1">
        <f t="array" aca="1" ref="FF226" ca="1">(1-$B$18)*SUMPRODUCT(OFFSET($BO$15,0,0,$B$14,1), 1*(_xlfn._xlws.FILTER(OFFSET($O$15,0,$DN226,$B$8,1),OFFSET($M$15,0,0,$B$8,1))=FF$13), 1*(_xlfn._xlws.FILTER(OFFSET($O$15,0,$DO226,$B$8,1),OFFSET($M$15,0,0,$B$8,1))=FF$14))   /   SUM(OFFSET($BO$15,0,0,$B$14,1)) + $B$18/($B$19*$B$19*($DN226&lt;&gt;$DO226) + $B$19*($DN226=$DO226))</f>
        <v>3.7037037037037035E-4</v>
      </c>
      <c r="FG226" s="10" cm="1">
        <f t="array" aca="1" ref="FG226" ca="1">(1-$B$18)*SUMPRODUCT(OFFSET($BO$15,0,0,$B$14,1), 1*(_xlfn._xlws.FILTER(OFFSET($O$15,0,$DN226,$B$8,1),OFFSET($M$15,0,0,$B$8,1))=FG$13), 1*(_xlfn._xlws.FILTER(OFFSET($O$15,0,$DO226,$B$8,1),OFFSET($M$15,0,0,$B$8,1))=FG$14))   /   SUM(OFFSET($BO$15,0,0,$B$14,1)) + $B$18/($B$19*$B$19*($DN226&lt;&gt;$DO226) + $B$19*($DN226=$DO226))</f>
        <v>3.7037037037037035E-4</v>
      </c>
      <c r="FH226" s="10" cm="1">
        <f t="array" aca="1" ref="FH226" ca="1">(1-$B$18)*SUMPRODUCT(OFFSET($BO$15,0,0,$B$14,1), 1*(_xlfn._xlws.FILTER(OFFSET($O$15,0,$DN226,$B$8,1),OFFSET($M$15,0,0,$B$8,1))=FH$13), 1*(_xlfn._xlws.FILTER(OFFSET($O$15,0,$DO226,$B$8,1),OFFSET($M$15,0,0,$B$8,1))=FH$14))   /   SUM(OFFSET($BO$15,0,0,$B$14,1)) + $B$18/($B$19*$B$19*($DN226&lt;&gt;$DO226) + $B$19*($DN226=$DO226))</f>
        <v>3.7037037037037035E-4</v>
      </c>
      <c r="FI226" s="10" cm="1">
        <f t="array" aca="1" ref="FI226" ca="1">(1-$B$18)*SUMPRODUCT(OFFSET($BO$15,0,0,$B$14,1), 1*(_xlfn._xlws.FILTER(OFFSET($O$15,0,$DN226,$B$8,1),OFFSET($M$15,0,0,$B$8,1))=FI$13), 1*(_xlfn._xlws.FILTER(OFFSET($O$15,0,$DO226,$B$8,1),OFFSET($M$15,0,0,$B$8,1))=FI$14))   /   SUM(OFFSET($BO$15,0,0,$B$14,1)) + $B$18/($B$19*$B$19*($DN226&lt;&gt;$DO226) + $B$19*($DN226=$DO226))</f>
        <v>3.7037037037037035E-4</v>
      </c>
      <c r="FJ226" s="10" cm="1">
        <f t="array" aca="1" ref="FJ226" ca="1">(1-$B$18)*SUMPRODUCT(OFFSET($BO$15,0,0,$B$14,1), 1*(_xlfn._xlws.FILTER(OFFSET($O$15,0,$DN226,$B$8,1),OFFSET($M$15,0,0,$B$8,1))=FJ$13), 1*(_xlfn._xlws.FILTER(OFFSET($O$15,0,$DO226,$B$8,1),OFFSET($M$15,0,0,$B$8,1))=FJ$14))   /   SUM(OFFSET($BO$15,0,0,$B$14,1)) + $B$18/($B$19*$B$19*($DN226&lt;&gt;$DO226) + $B$19*($DN226=$DO226))</f>
        <v>3.7037037037037035E-4</v>
      </c>
      <c r="FK226" s="10" cm="1">
        <f t="array" aca="1" ref="FK226" ca="1">(1-$B$18)*SUMPRODUCT(OFFSET($BO$15,0,0,$B$14,1), 1*(_xlfn._xlws.FILTER(OFFSET($O$15,0,$DN226,$B$8,1),OFFSET($M$15,0,0,$B$8,1))=FK$13), 1*(_xlfn._xlws.FILTER(OFFSET($O$15,0,$DO226,$B$8,1),OFFSET($M$15,0,0,$B$8,1))=FK$14))   /   SUM(OFFSET($BO$15,0,0,$B$14,1)) + $B$18/($B$19*$B$19*($DN226&lt;&gt;$DO226) + $B$19*($DN226=$DO226))</f>
        <v>3.7037037037037035E-4</v>
      </c>
      <c r="FL226" s="10" cm="1">
        <f t="array" aca="1" ref="FL226" ca="1">(1-$B$18)*SUMPRODUCT(OFFSET($BO$15,0,0,$B$14,1), 1*(_xlfn._xlws.FILTER(OFFSET($O$15,0,$DN226,$B$8,1),OFFSET($M$15,0,0,$B$8,1))=FL$13), 1*(_xlfn._xlws.FILTER(OFFSET($O$15,0,$DO226,$B$8,1),OFFSET($M$15,0,0,$B$8,1))=FL$14))   /   SUM(OFFSET($BO$15,0,0,$B$14,1)) + $B$18/($B$19*$B$19*($DN226&lt;&gt;$DO226) + $B$19*($DN226=$DO226))</f>
        <v>3.7037037037037035E-4</v>
      </c>
      <c r="FM226" s="10" cm="1">
        <f t="array" aca="1" ref="FM226" ca="1">(1-$B$18)*SUMPRODUCT(OFFSET($BO$15,0,0,$B$14,1), 1*(_xlfn._xlws.FILTER(OFFSET($O$15,0,$DN226,$B$8,1),OFFSET($M$15,0,0,$B$8,1))=FM$13), 1*(_xlfn._xlws.FILTER(OFFSET($O$15,0,$DO226,$B$8,1),OFFSET($M$15,0,0,$B$8,1))=FM$14))   /   SUM(OFFSET($BO$15,0,0,$B$14,1)) + $B$18/($B$19*$B$19*($DN226&lt;&gt;$DO226) + $B$19*($DN226=$DO226))</f>
        <v>3.7037037037037035E-4</v>
      </c>
      <c r="FN226" s="10" cm="1">
        <f t="array" aca="1" ref="FN226" ca="1">(1-$B$18)*SUMPRODUCT(OFFSET($BO$15,0,0,$B$14,1), 1*(_xlfn._xlws.FILTER(OFFSET($O$15,0,$DN226,$B$8,1),OFFSET($M$15,0,0,$B$8,1))=FN$13), 1*(_xlfn._xlws.FILTER(OFFSET($O$15,0,$DO226,$B$8,1),OFFSET($M$15,0,0,$B$8,1))=FN$14))   /   SUM(OFFSET($BO$15,0,0,$B$14,1)) + $B$18/($B$19*$B$19*($DN226&lt;&gt;$DO226) + $B$19*($DN226=$DO226))</f>
        <v>3.7037037037037035E-4</v>
      </c>
      <c r="FO226" s="10" cm="1">
        <f t="array" aca="1" ref="FO226" ca="1">(1-$B$18)*SUMPRODUCT(OFFSET($BO$15,0,0,$B$14,1), 1*(_xlfn._xlws.FILTER(OFFSET($O$15,0,$DN226,$B$8,1),OFFSET($M$15,0,0,$B$8,1))=FO$13), 1*(_xlfn._xlws.FILTER(OFFSET($O$15,0,$DO226,$B$8,1),OFFSET($M$15,0,0,$B$8,1))=FO$14))   /   SUM(OFFSET($BO$15,0,0,$B$14,1)) + $B$18/($B$19*$B$19*($DN226&lt;&gt;$DO226) + $B$19*($DN226=$DO226))</f>
        <v>3.7037037037037035E-4</v>
      </c>
      <c r="FP226" s="10" cm="1">
        <f t="array" aca="1" ref="FP226" ca="1">(1-$B$18)*SUMPRODUCT(OFFSET($BO$15,0,0,$B$14,1), 1*(_xlfn._xlws.FILTER(OFFSET($O$15,0,$DN226,$B$8,1),OFFSET($M$15,0,0,$B$8,1))=FP$13), 1*(_xlfn._xlws.FILTER(OFFSET($O$15,0,$DO226,$B$8,1),OFFSET($M$15,0,0,$B$8,1))=FP$14))   /   SUM(OFFSET($BO$15,0,0,$B$14,1)) + $B$18/($B$19*$B$19*($DN226&lt;&gt;$DO226) + $B$19*($DN226=$DO226))</f>
        <v>3.7037037037037035E-4</v>
      </c>
      <c r="FQ226" s="10" cm="1">
        <f t="array" aca="1" ref="FQ226" ca="1">(1-$B$18)*SUMPRODUCT(OFFSET($BO$15,0,0,$B$14,1), 1*(_xlfn._xlws.FILTER(OFFSET($O$15,0,$DN226,$B$8,1),OFFSET($M$15,0,0,$B$8,1))=FQ$13), 1*(_xlfn._xlws.FILTER(OFFSET($O$15,0,$DO226,$B$8,1),OFFSET($M$15,0,0,$B$8,1))=FQ$14))   /   SUM(OFFSET($BO$15,0,0,$B$14,1)) + $B$18/($B$19*$B$19*($DN226&lt;&gt;$DO226) + $B$19*($DN226=$DO226))</f>
        <v>3.7037037037037035E-4</v>
      </c>
      <c r="FR226" s="10" cm="1">
        <f t="array" aca="1" ref="FR226" ca="1">(1-$B$18)*SUMPRODUCT(OFFSET($BO$15,0,0,$B$14,1), 1*(_xlfn._xlws.FILTER(OFFSET($O$15,0,$DN226,$B$8,1),OFFSET($M$15,0,0,$B$8,1))=FR$13), 1*(_xlfn._xlws.FILTER(OFFSET($O$15,0,$DO226,$B$8,1),OFFSET($M$15,0,0,$B$8,1))=FR$14))   /   SUM(OFFSET($BO$15,0,0,$B$14,1)) + $B$18/($B$19*$B$19*($DN226&lt;&gt;$DO226) + $B$19*($DN226=$DO226))</f>
        <v>3.7037037037037035E-4</v>
      </c>
      <c r="FS226" s="10" cm="1">
        <f t="array" aca="1" ref="FS226" ca="1">(1-$B$18)*SUMPRODUCT(OFFSET($BO$15,0,0,$B$14,1), 1*(_xlfn._xlws.FILTER(OFFSET($O$15,0,$DN226,$B$8,1),OFFSET($M$15,0,0,$B$8,1))=FS$13), 1*(_xlfn._xlws.FILTER(OFFSET($O$15,0,$DO226,$B$8,1),OFFSET($M$15,0,0,$B$8,1))=FS$14))   /   SUM(OFFSET($BO$15,0,0,$B$14,1)) + $B$18/($B$19*$B$19*($DN226&lt;&gt;$DO226) + $B$19*($DN226=$DO226))</f>
        <v>3.7037037037037035E-4</v>
      </c>
      <c r="FT226" s="10" cm="1">
        <f t="array" aca="1" ref="FT226" ca="1">(1-$B$18)*SUMPRODUCT(OFFSET($BO$15,0,0,$B$14,1), 1*(_xlfn._xlws.FILTER(OFFSET($O$15,0,$DN226,$B$8,1),OFFSET($M$15,0,0,$B$8,1))=FT$13), 1*(_xlfn._xlws.FILTER(OFFSET($O$15,0,$DO226,$B$8,1),OFFSET($M$15,0,0,$B$8,1))=FT$14))   /   SUM(OFFSET($BO$15,0,0,$B$14,1)) + $B$18/($B$19*$B$19*($DN226&lt;&gt;$DO226) + $B$19*($DN226=$DO226))</f>
        <v>3.7037037037037035E-4</v>
      </c>
      <c r="FU226" s="10" cm="1">
        <f t="array" aca="1" ref="FU226" ca="1">(1-$B$18)*SUMPRODUCT(OFFSET($BO$15,0,0,$B$14,1), 1*(_xlfn._xlws.FILTER(OFFSET($O$15,0,$DN226,$B$8,1),OFFSET($M$15,0,0,$B$8,1))=FU$13), 1*(_xlfn._xlws.FILTER(OFFSET($O$15,0,$DO226,$B$8,1),OFFSET($M$15,0,0,$B$8,1))=FU$14))   /   SUM(OFFSET($BO$15,0,0,$B$14,1)) + $B$18/($B$19*$B$19*($DN226&lt;&gt;$DO226) + $B$19*($DN226=$DO226))</f>
        <v>3.7037037037037035E-4</v>
      </c>
      <c r="FV226" s="10" cm="1">
        <f t="array" aca="1" ref="FV226" ca="1">(1-$B$18)*SUMPRODUCT(OFFSET($BO$15,0,0,$B$14,1), 1*(_xlfn._xlws.FILTER(OFFSET($O$15,0,$DN226,$B$8,1),OFFSET($M$15,0,0,$B$8,1))=FV$13), 1*(_xlfn._xlws.FILTER(OFFSET($O$15,0,$DO226,$B$8,1),OFFSET($M$15,0,0,$B$8,1))=FV$14))   /   SUM(OFFSET($BO$15,0,0,$B$14,1)) + $B$18/($B$19*$B$19*($DN226&lt;&gt;$DO226) + $B$19*($DN226=$DO226))</f>
        <v>3.7037037037037035E-4</v>
      </c>
      <c r="FW226" s="10" cm="1">
        <f t="array" aca="1" ref="FW226" ca="1">(1-$B$18)*SUMPRODUCT(OFFSET($BO$15,0,0,$B$14,1), 1*(_xlfn._xlws.FILTER(OFFSET($O$15,0,$DN226,$B$8,1),OFFSET($M$15,0,0,$B$8,1))=FW$13), 1*(_xlfn._xlws.FILTER(OFFSET($O$15,0,$DO226,$B$8,1),OFFSET($M$15,0,0,$B$8,1))=FW$14))   /   SUM(OFFSET($BO$15,0,0,$B$14,1)) + $B$18/($B$19*$B$19*($DN226&lt;&gt;$DO226) + $B$19*($DN226=$DO226))</f>
        <v>3.7037037037037035E-4</v>
      </c>
      <c r="FX226" s="10" cm="1">
        <f t="array" aca="1" ref="FX226" ca="1">(1-$B$18)*SUMPRODUCT(OFFSET($BO$15,0,0,$B$14,1), 1*(_xlfn._xlws.FILTER(OFFSET($O$15,0,$DN226,$B$8,1),OFFSET($M$15,0,0,$B$8,1))=FX$13), 1*(_xlfn._xlws.FILTER(OFFSET($O$15,0,$DO226,$B$8,1),OFFSET($M$15,0,0,$B$8,1))=FX$14))   /   SUM(OFFSET($BO$15,0,0,$B$14,1)) + $B$18/($B$19*$B$19*($DN226&lt;&gt;$DO226) + $B$19*($DN226=$DO226))</f>
        <v>3.7037037037037035E-4</v>
      </c>
      <c r="FY226" s="10" cm="1">
        <f t="array" aca="1" ref="FY226" ca="1">(1-$B$18)*SUMPRODUCT(OFFSET($BO$15,0,0,$B$14,1), 1*(_xlfn._xlws.FILTER(OFFSET($O$15,0,$DN226,$B$8,1),OFFSET($M$15,0,0,$B$8,1))=FY$13), 1*(_xlfn._xlws.FILTER(OFFSET($O$15,0,$DO226,$B$8,1),OFFSET($M$15,0,0,$B$8,1))=FY$14))   /   SUM(OFFSET($BO$15,0,0,$B$14,1)) + $B$18/($B$19*$B$19*($DN226&lt;&gt;$DO226) + $B$19*($DN226=$DO226))</f>
        <v>3.7037037037037035E-4</v>
      </c>
      <c r="FZ226" s="10" cm="1">
        <f t="array" aca="1" ref="FZ226" ca="1">(1-$B$18)*SUMPRODUCT(OFFSET($BO$15,0,0,$B$14,1), 1*(_xlfn._xlws.FILTER(OFFSET($O$15,0,$DN226,$B$8,1),OFFSET($M$15,0,0,$B$8,1))=FZ$13), 1*(_xlfn._xlws.FILTER(OFFSET($O$15,0,$DO226,$B$8,1),OFFSET($M$15,0,0,$B$8,1))=FZ$14))   /   SUM(OFFSET($BO$15,0,0,$B$14,1)) + $B$18/($B$19*$B$19*($DN226&lt;&gt;$DO226) + $B$19*($DN226=$DO226))</f>
        <v>3.7037037037037035E-4</v>
      </c>
      <c r="GA226" s="10" cm="1">
        <f t="array" aca="1" ref="GA226" ca="1">(1-$B$18)*SUMPRODUCT(OFFSET($BO$15,0,0,$B$14,1), 1*(_xlfn._xlws.FILTER(OFFSET($O$15,0,$DN226,$B$8,1),OFFSET($M$15,0,0,$B$8,1))=GA$13), 1*(_xlfn._xlws.FILTER(OFFSET($O$15,0,$DO226,$B$8,1),OFFSET($M$15,0,0,$B$8,1))=GA$14))   /   SUM(OFFSET($BO$15,0,0,$B$14,1)) + $B$18/($B$19*$B$19*($DN226&lt;&gt;$DO226) + $B$19*($DN226=$DO226))</f>
        <v>3.7037037037037035E-4</v>
      </c>
    </row>
    <row r="227" spans="118:183" x14ac:dyDescent="0.2">
      <c r="DN227" cm="1">
        <f t="array" aca="1" ref="DN227" ca="1">INDEX(_xlfn.ANCHORARRAY($CP$15), 1 + INT((ROWS($DO$15:$DO227) - 1) / ROWS(_xlfn.ANCHORARRAY($CP$15))))</f>
        <v>12</v>
      </c>
      <c r="DO227" cm="1">
        <f t="array" aca="1" ref="DO227" ca="1">INDEX(_xlfn.ANCHORARRAY($CP$15),1+MOD(ROWS($DO$15:$DO227)-1,ROWS(_xlfn.ANCHORARRAY($CP$15))))</f>
        <v>3</v>
      </c>
      <c r="DP227" s="10" cm="1">
        <f t="array" aca="1" ref="DP227" ca="1">(1-$B$18)*SUMPRODUCT(OFFSET($BO$15,0,0,$B$14,1), 1*(_xlfn._xlws.FILTER(OFFSET($O$15,0,$DN227,$B$8,1),OFFSET($M$15,0,0,$B$8,1))=DP$13), 1*(_xlfn._xlws.FILTER(OFFSET($O$15,0,$DO227,$B$8,1),OFFSET($M$15,0,0,$B$8,1))=DP$14))   /   SUM(OFFSET($BO$15,0,0,$B$14,1)) + $B$18/($B$19*$B$19*($DN227&lt;&gt;$DO227) + $B$19*($DN227=$DO227))</f>
        <v>3.7037037037037035E-4</v>
      </c>
      <c r="DQ227" s="10" cm="1">
        <f t="array" aca="1" ref="DQ227" ca="1">(1-$B$18)*SUMPRODUCT(OFFSET($BO$15,0,0,$B$14,1), 1*(_xlfn._xlws.FILTER(OFFSET($O$15,0,$DN227,$B$8,1),OFFSET($M$15,0,0,$B$8,1))=DQ$13), 1*(_xlfn._xlws.FILTER(OFFSET($O$15,0,$DO227,$B$8,1),OFFSET($M$15,0,0,$B$8,1))=DQ$14))   /   SUM(OFFSET($BO$15,0,0,$B$14,1)) + $B$18/($B$19*$B$19*($DN227&lt;&gt;$DO227) + $B$19*($DN227=$DO227))</f>
        <v>3.7037037037037035E-4</v>
      </c>
      <c r="DR227" s="10" cm="1">
        <f t="array" aca="1" ref="DR227" ca="1">(1-$B$18)*SUMPRODUCT(OFFSET($BO$15,0,0,$B$14,1), 1*(_xlfn._xlws.FILTER(OFFSET($O$15,0,$DN227,$B$8,1),OFFSET($M$15,0,0,$B$8,1))=DR$13), 1*(_xlfn._xlws.FILTER(OFFSET($O$15,0,$DO227,$B$8,1),OFFSET($M$15,0,0,$B$8,1))=DR$14))   /   SUM(OFFSET($BO$15,0,0,$B$14,1)) + $B$18/($B$19*$B$19*($DN227&lt;&gt;$DO227) + $B$19*($DN227=$DO227))</f>
        <v>3.7037037037037035E-4</v>
      </c>
      <c r="DS227" s="10" cm="1">
        <f t="array" aca="1" ref="DS227" ca="1">(1-$B$18)*SUMPRODUCT(OFFSET($BO$15,0,0,$B$14,1), 1*(_xlfn._xlws.FILTER(OFFSET($O$15,0,$DN227,$B$8,1),OFFSET($M$15,0,0,$B$8,1))=DS$13), 1*(_xlfn._xlws.FILTER(OFFSET($O$15,0,$DO227,$B$8,1),OFFSET($M$15,0,0,$B$8,1))=DS$14))   /   SUM(OFFSET($BO$15,0,0,$B$14,1)) + $B$18/($B$19*$B$19*($DN227&lt;&gt;$DO227) + $B$19*($DN227=$DO227))</f>
        <v>3.7037037037037035E-4</v>
      </c>
      <c r="DT227" s="10" cm="1">
        <f t="array" aca="1" ref="DT227" ca="1">(1-$B$18)*SUMPRODUCT(OFFSET($BO$15,0,0,$B$14,1), 1*(_xlfn._xlws.FILTER(OFFSET($O$15,0,$DN227,$B$8,1),OFFSET($M$15,0,0,$B$8,1))=DT$13), 1*(_xlfn._xlws.FILTER(OFFSET($O$15,0,$DO227,$B$8,1),OFFSET($M$15,0,0,$B$8,1))=DT$14))   /   SUM(OFFSET($BO$15,0,0,$B$14,1)) + $B$18/($B$19*$B$19*($DN227&lt;&gt;$DO227) + $B$19*($DN227=$DO227))</f>
        <v>3.7037037037037035E-4</v>
      </c>
      <c r="DU227" s="10" cm="1">
        <f t="array" aca="1" ref="DU227" ca="1">(1-$B$18)*SUMPRODUCT(OFFSET($BO$15,0,0,$B$14,1), 1*(_xlfn._xlws.FILTER(OFFSET($O$15,0,$DN227,$B$8,1),OFFSET($M$15,0,0,$B$8,1))=DU$13), 1*(_xlfn._xlws.FILTER(OFFSET($O$15,0,$DO227,$B$8,1),OFFSET($M$15,0,0,$B$8,1))=DU$14))   /   SUM(OFFSET($BO$15,0,0,$B$14,1)) + $B$18/($B$19*$B$19*($DN227&lt;&gt;$DO227) + $B$19*($DN227=$DO227))</f>
        <v>3.7037037037037035E-4</v>
      </c>
      <c r="DV227" s="10" cm="1">
        <f t="array" aca="1" ref="DV227" ca="1">(1-$B$18)*SUMPRODUCT(OFFSET($BO$15,0,0,$B$14,1), 1*(_xlfn._xlws.FILTER(OFFSET($O$15,0,$DN227,$B$8,1),OFFSET($M$15,0,0,$B$8,1))=DV$13), 1*(_xlfn._xlws.FILTER(OFFSET($O$15,0,$DO227,$B$8,1),OFFSET($M$15,0,0,$B$8,1))=DV$14))   /   SUM(OFFSET($BO$15,0,0,$B$14,1)) + $B$18/($B$19*$B$19*($DN227&lt;&gt;$DO227) + $B$19*($DN227=$DO227))</f>
        <v>3.7037037037037035E-4</v>
      </c>
      <c r="DW227" s="10" cm="1">
        <f t="array" aca="1" ref="DW227" ca="1">(1-$B$18)*SUMPRODUCT(OFFSET($BO$15,0,0,$B$14,1), 1*(_xlfn._xlws.FILTER(OFFSET($O$15,0,$DN227,$B$8,1),OFFSET($M$15,0,0,$B$8,1))=DW$13), 1*(_xlfn._xlws.FILTER(OFFSET($O$15,0,$DO227,$B$8,1),OFFSET($M$15,0,0,$B$8,1))=DW$14))   /   SUM(OFFSET($BO$15,0,0,$B$14,1)) + $B$18/($B$19*$B$19*($DN227&lt;&gt;$DO227) + $B$19*($DN227=$DO227))</f>
        <v>3.7037037037037035E-4</v>
      </c>
      <c r="DX227" s="10" cm="1">
        <f t="array" aca="1" ref="DX227" ca="1">(1-$B$18)*SUMPRODUCT(OFFSET($BO$15,0,0,$B$14,1), 1*(_xlfn._xlws.FILTER(OFFSET($O$15,0,$DN227,$B$8,1),OFFSET($M$15,0,0,$B$8,1))=DX$13), 1*(_xlfn._xlws.FILTER(OFFSET($O$15,0,$DO227,$B$8,1),OFFSET($M$15,0,0,$B$8,1))=DX$14))   /   SUM(OFFSET($BO$15,0,0,$B$14,1)) + $B$18/($B$19*$B$19*($DN227&lt;&gt;$DO227) + $B$19*($DN227=$DO227))</f>
        <v>3.7037037037037035E-4</v>
      </c>
      <c r="DY227" s="10" cm="1">
        <f t="array" aca="1" ref="DY227" ca="1">(1-$B$18)*SUMPRODUCT(OFFSET($BO$15,0,0,$B$14,1), 1*(_xlfn._xlws.FILTER(OFFSET($O$15,0,$DN227,$B$8,1),OFFSET($M$15,0,0,$B$8,1))=DY$13), 1*(_xlfn._xlws.FILTER(OFFSET($O$15,0,$DO227,$B$8,1),OFFSET($M$15,0,0,$B$8,1))=DY$14))   /   SUM(OFFSET($BO$15,0,0,$B$14,1)) + $B$18/($B$19*$B$19*($DN227&lt;&gt;$DO227) + $B$19*($DN227=$DO227))</f>
        <v>3.7037037037037035E-4</v>
      </c>
      <c r="DZ227" s="10" cm="1">
        <f t="array" aca="1" ref="DZ227" ca="1">(1-$B$18)*SUMPRODUCT(OFFSET($BO$15,0,0,$B$14,1), 1*(_xlfn._xlws.FILTER(OFFSET($O$15,0,$DN227,$B$8,1),OFFSET($M$15,0,0,$B$8,1))=DZ$13), 1*(_xlfn._xlws.FILTER(OFFSET($O$15,0,$DO227,$B$8,1),OFFSET($M$15,0,0,$B$8,1))=DZ$14))   /   SUM(OFFSET($BO$15,0,0,$B$14,1)) + $B$18/($B$19*$B$19*($DN227&lt;&gt;$DO227) + $B$19*($DN227=$DO227))</f>
        <v>3.7037037037037035E-4</v>
      </c>
      <c r="EA227" s="10" cm="1">
        <f t="array" aca="1" ref="EA227" ca="1">(1-$B$18)*SUMPRODUCT(OFFSET($BO$15,0,0,$B$14,1), 1*(_xlfn._xlws.FILTER(OFFSET($O$15,0,$DN227,$B$8,1),OFFSET($M$15,0,0,$B$8,1))=EA$13), 1*(_xlfn._xlws.FILTER(OFFSET($O$15,0,$DO227,$B$8,1),OFFSET($M$15,0,0,$B$8,1))=EA$14))   /   SUM(OFFSET($BO$15,0,0,$B$14,1)) + $B$18/($B$19*$B$19*($DN227&lt;&gt;$DO227) + $B$19*($DN227=$DO227))</f>
        <v>3.7037037037037035E-4</v>
      </c>
      <c r="EB227" s="10" cm="1">
        <f t="array" aca="1" ref="EB227" ca="1">(1-$B$18)*SUMPRODUCT(OFFSET($BO$15,0,0,$B$14,1), 1*(_xlfn._xlws.FILTER(OFFSET($O$15,0,$DN227,$B$8,1),OFFSET($M$15,0,0,$B$8,1))=EB$13), 1*(_xlfn._xlws.FILTER(OFFSET($O$15,0,$DO227,$B$8,1),OFFSET($M$15,0,0,$B$8,1))=EB$14))   /   SUM(OFFSET($BO$15,0,0,$B$14,1)) + $B$18/($B$19*$B$19*($DN227&lt;&gt;$DO227) + $B$19*($DN227=$DO227))</f>
        <v>3.7037037037037035E-4</v>
      </c>
      <c r="EC227" s="10" cm="1">
        <f t="array" aca="1" ref="EC227" ca="1">(1-$B$18)*SUMPRODUCT(OFFSET($BO$15,0,0,$B$14,1), 1*(_xlfn._xlws.FILTER(OFFSET($O$15,0,$DN227,$B$8,1),OFFSET($M$15,0,0,$B$8,1))=EC$13), 1*(_xlfn._xlws.FILTER(OFFSET($O$15,0,$DO227,$B$8,1),OFFSET($M$15,0,0,$B$8,1))=EC$14))   /   SUM(OFFSET($BO$15,0,0,$B$14,1)) + $B$18/($B$19*$B$19*($DN227&lt;&gt;$DO227) + $B$19*($DN227=$DO227))</f>
        <v>3.7037037037037035E-4</v>
      </c>
      <c r="ED227" s="10" cm="1">
        <f t="array" aca="1" ref="ED227" ca="1">(1-$B$18)*SUMPRODUCT(OFFSET($BO$15,0,0,$B$14,1), 1*(_xlfn._xlws.FILTER(OFFSET($O$15,0,$DN227,$B$8,1),OFFSET($M$15,0,0,$B$8,1))=ED$13), 1*(_xlfn._xlws.FILTER(OFFSET($O$15,0,$DO227,$B$8,1),OFFSET($M$15,0,0,$B$8,1))=ED$14))   /   SUM(OFFSET($BO$15,0,0,$B$14,1)) + $B$18/($B$19*$B$19*($DN227&lt;&gt;$DO227) + $B$19*($DN227=$DO227))</f>
        <v>0.97037037037037033</v>
      </c>
      <c r="EE227" s="10" cm="1">
        <f t="array" aca="1" ref="EE227" ca="1">(1-$B$18)*SUMPRODUCT(OFFSET($BO$15,0,0,$B$14,1), 1*(_xlfn._xlws.FILTER(OFFSET($O$15,0,$DN227,$B$8,1),OFFSET($M$15,0,0,$B$8,1))=EE$13), 1*(_xlfn._xlws.FILTER(OFFSET($O$15,0,$DO227,$B$8,1),OFFSET($M$15,0,0,$B$8,1))=EE$14))   /   SUM(OFFSET($BO$15,0,0,$B$14,1)) + $B$18/($B$19*$B$19*($DN227&lt;&gt;$DO227) + $B$19*($DN227=$DO227))</f>
        <v>3.7037037037037035E-4</v>
      </c>
      <c r="EF227" s="10" cm="1">
        <f t="array" aca="1" ref="EF227" ca="1">(1-$B$18)*SUMPRODUCT(OFFSET($BO$15,0,0,$B$14,1), 1*(_xlfn._xlws.FILTER(OFFSET($O$15,0,$DN227,$B$8,1),OFFSET($M$15,0,0,$B$8,1))=EF$13), 1*(_xlfn._xlws.FILTER(OFFSET($O$15,0,$DO227,$B$8,1),OFFSET($M$15,0,0,$B$8,1))=EF$14))   /   SUM(OFFSET($BO$15,0,0,$B$14,1)) + $B$18/($B$19*$B$19*($DN227&lt;&gt;$DO227) + $B$19*($DN227=$DO227))</f>
        <v>3.7037037037037035E-4</v>
      </c>
      <c r="EG227" s="10" cm="1">
        <f t="array" aca="1" ref="EG227" ca="1">(1-$B$18)*SUMPRODUCT(OFFSET($BO$15,0,0,$B$14,1), 1*(_xlfn._xlws.FILTER(OFFSET($O$15,0,$DN227,$B$8,1),OFFSET($M$15,0,0,$B$8,1))=EG$13), 1*(_xlfn._xlws.FILTER(OFFSET($O$15,0,$DO227,$B$8,1),OFFSET($M$15,0,0,$B$8,1))=EG$14))   /   SUM(OFFSET($BO$15,0,0,$B$14,1)) + $B$18/($B$19*$B$19*($DN227&lt;&gt;$DO227) + $B$19*($DN227=$DO227))</f>
        <v>3.7037037037037035E-4</v>
      </c>
      <c r="EH227" s="10" cm="1">
        <f t="array" aca="1" ref="EH227" ca="1">(1-$B$18)*SUMPRODUCT(OFFSET($BO$15,0,0,$B$14,1), 1*(_xlfn._xlws.FILTER(OFFSET($O$15,0,$DN227,$B$8,1),OFFSET($M$15,0,0,$B$8,1))=EH$13), 1*(_xlfn._xlws.FILTER(OFFSET($O$15,0,$DO227,$B$8,1),OFFSET($M$15,0,0,$B$8,1))=EH$14))   /   SUM(OFFSET($BO$15,0,0,$B$14,1)) + $B$18/($B$19*$B$19*($DN227&lt;&gt;$DO227) + $B$19*($DN227=$DO227))</f>
        <v>3.7037037037037035E-4</v>
      </c>
      <c r="EI227" s="10" cm="1">
        <f t="array" aca="1" ref="EI227" ca="1">(1-$B$18)*SUMPRODUCT(OFFSET($BO$15,0,0,$B$14,1), 1*(_xlfn._xlws.FILTER(OFFSET($O$15,0,$DN227,$B$8,1),OFFSET($M$15,0,0,$B$8,1))=EI$13), 1*(_xlfn._xlws.FILTER(OFFSET($O$15,0,$DO227,$B$8,1),OFFSET($M$15,0,0,$B$8,1))=EI$14))   /   SUM(OFFSET($BO$15,0,0,$B$14,1)) + $B$18/($B$19*$B$19*($DN227&lt;&gt;$DO227) + $B$19*($DN227=$DO227))</f>
        <v>3.7037037037037035E-4</v>
      </c>
      <c r="EJ227" s="10" cm="1">
        <f t="array" aca="1" ref="EJ227" ca="1">(1-$B$18)*SUMPRODUCT(OFFSET($BO$15,0,0,$B$14,1), 1*(_xlfn._xlws.FILTER(OFFSET($O$15,0,$DN227,$B$8,1),OFFSET($M$15,0,0,$B$8,1))=EJ$13), 1*(_xlfn._xlws.FILTER(OFFSET($O$15,0,$DO227,$B$8,1),OFFSET($M$15,0,0,$B$8,1))=EJ$14))   /   SUM(OFFSET($BO$15,0,0,$B$14,1)) + $B$18/($B$19*$B$19*($DN227&lt;&gt;$DO227) + $B$19*($DN227=$DO227))</f>
        <v>3.7037037037037035E-4</v>
      </c>
      <c r="EK227" s="10" cm="1">
        <f t="array" aca="1" ref="EK227" ca="1">(1-$B$18)*SUMPRODUCT(OFFSET($BO$15,0,0,$B$14,1), 1*(_xlfn._xlws.FILTER(OFFSET($O$15,0,$DN227,$B$8,1),OFFSET($M$15,0,0,$B$8,1))=EK$13), 1*(_xlfn._xlws.FILTER(OFFSET($O$15,0,$DO227,$B$8,1),OFFSET($M$15,0,0,$B$8,1))=EK$14))   /   SUM(OFFSET($BO$15,0,0,$B$14,1)) + $B$18/($B$19*$B$19*($DN227&lt;&gt;$DO227) + $B$19*($DN227=$DO227))</f>
        <v>3.7037037037037035E-4</v>
      </c>
      <c r="EL227" s="10" cm="1">
        <f t="array" aca="1" ref="EL227" ca="1">(1-$B$18)*SUMPRODUCT(OFFSET($BO$15,0,0,$B$14,1), 1*(_xlfn._xlws.FILTER(OFFSET($O$15,0,$DN227,$B$8,1),OFFSET($M$15,0,0,$B$8,1))=EL$13), 1*(_xlfn._xlws.FILTER(OFFSET($O$15,0,$DO227,$B$8,1),OFFSET($M$15,0,0,$B$8,1))=EL$14))   /   SUM(OFFSET($BO$15,0,0,$B$14,1)) + $B$18/($B$19*$B$19*($DN227&lt;&gt;$DO227) + $B$19*($DN227=$DO227))</f>
        <v>3.7037037037037035E-4</v>
      </c>
      <c r="EM227" s="10" cm="1">
        <f t="array" aca="1" ref="EM227" ca="1">(1-$B$18)*SUMPRODUCT(OFFSET($BO$15,0,0,$B$14,1), 1*(_xlfn._xlws.FILTER(OFFSET($O$15,0,$DN227,$B$8,1),OFFSET($M$15,0,0,$B$8,1))=EM$13), 1*(_xlfn._xlws.FILTER(OFFSET($O$15,0,$DO227,$B$8,1),OFFSET($M$15,0,0,$B$8,1))=EM$14))   /   SUM(OFFSET($BO$15,0,0,$B$14,1)) + $B$18/($B$19*$B$19*($DN227&lt;&gt;$DO227) + $B$19*($DN227=$DO227))</f>
        <v>3.7037037037037035E-4</v>
      </c>
      <c r="EN227" s="10" cm="1">
        <f t="array" aca="1" ref="EN227" ca="1">(1-$B$18)*SUMPRODUCT(OFFSET($BO$15,0,0,$B$14,1), 1*(_xlfn._xlws.FILTER(OFFSET($O$15,0,$DN227,$B$8,1),OFFSET($M$15,0,0,$B$8,1))=EN$13), 1*(_xlfn._xlws.FILTER(OFFSET($O$15,0,$DO227,$B$8,1),OFFSET($M$15,0,0,$B$8,1))=EN$14))   /   SUM(OFFSET($BO$15,0,0,$B$14,1)) + $B$18/($B$19*$B$19*($DN227&lt;&gt;$DO227) + $B$19*($DN227=$DO227))</f>
        <v>3.7037037037037035E-4</v>
      </c>
      <c r="EO227" s="10" cm="1">
        <f t="array" aca="1" ref="EO227" ca="1">(1-$B$18)*SUMPRODUCT(OFFSET($BO$15,0,0,$B$14,1), 1*(_xlfn._xlws.FILTER(OFFSET($O$15,0,$DN227,$B$8,1),OFFSET($M$15,0,0,$B$8,1))=EO$13), 1*(_xlfn._xlws.FILTER(OFFSET($O$15,0,$DO227,$B$8,1),OFFSET($M$15,0,0,$B$8,1))=EO$14))   /   SUM(OFFSET($BO$15,0,0,$B$14,1)) + $B$18/($B$19*$B$19*($DN227&lt;&gt;$DO227) + $B$19*($DN227=$DO227))</f>
        <v>3.7037037037037035E-4</v>
      </c>
      <c r="EP227" s="10" cm="1">
        <f t="array" aca="1" ref="EP227" ca="1">(1-$B$18)*SUMPRODUCT(OFFSET($BO$15,0,0,$B$14,1), 1*(_xlfn._xlws.FILTER(OFFSET($O$15,0,$DN227,$B$8,1),OFFSET($M$15,0,0,$B$8,1))=EP$13), 1*(_xlfn._xlws.FILTER(OFFSET($O$15,0,$DO227,$B$8,1),OFFSET($M$15,0,0,$B$8,1))=EP$14))   /   SUM(OFFSET($BO$15,0,0,$B$14,1)) + $B$18/($B$19*$B$19*($DN227&lt;&gt;$DO227) + $B$19*($DN227=$DO227))</f>
        <v>3.7037037037037035E-4</v>
      </c>
      <c r="EQ227" s="10" cm="1">
        <f t="array" aca="1" ref="EQ227" ca="1">(1-$B$18)*SUMPRODUCT(OFFSET($BO$15,0,0,$B$14,1), 1*(_xlfn._xlws.FILTER(OFFSET($O$15,0,$DN227,$B$8,1),OFFSET($M$15,0,0,$B$8,1))=EQ$13), 1*(_xlfn._xlws.FILTER(OFFSET($O$15,0,$DO227,$B$8,1),OFFSET($M$15,0,0,$B$8,1))=EQ$14))   /   SUM(OFFSET($BO$15,0,0,$B$14,1)) + $B$18/($B$19*$B$19*($DN227&lt;&gt;$DO227) + $B$19*($DN227=$DO227))</f>
        <v>3.7037037037037035E-4</v>
      </c>
      <c r="ER227" s="10" cm="1">
        <f t="array" aca="1" ref="ER227" ca="1">(1-$B$18)*SUMPRODUCT(OFFSET($BO$15,0,0,$B$14,1), 1*(_xlfn._xlws.FILTER(OFFSET($O$15,0,$DN227,$B$8,1),OFFSET($M$15,0,0,$B$8,1))=ER$13), 1*(_xlfn._xlws.FILTER(OFFSET($O$15,0,$DO227,$B$8,1),OFFSET($M$15,0,0,$B$8,1))=ER$14))   /   SUM(OFFSET($BO$15,0,0,$B$14,1)) + $B$18/($B$19*$B$19*($DN227&lt;&gt;$DO227) + $B$19*($DN227=$DO227))</f>
        <v>3.7037037037037035E-4</v>
      </c>
      <c r="ES227" s="10" cm="1">
        <f t="array" aca="1" ref="ES227" ca="1">(1-$B$18)*SUMPRODUCT(OFFSET($BO$15,0,0,$B$14,1), 1*(_xlfn._xlws.FILTER(OFFSET($O$15,0,$DN227,$B$8,1),OFFSET($M$15,0,0,$B$8,1))=ES$13), 1*(_xlfn._xlws.FILTER(OFFSET($O$15,0,$DO227,$B$8,1),OFFSET($M$15,0,0,$B$8,1))=ES$14))   /   SUM(OFFSET($BO$15,0,0,$B$14,1)) + $B$18/($B$19*$B$19*($DN227&lt;&gt;$DO227) + $B$19*($DN227=$DO227))</f>
        <v>3.7037037037037035E-4</v>
      </c>
      <c r="ET227" s="10" cm="1">
        <f t="array" aca="1" ref="ET227" ca="1">(1-$B$18)*SUMPRODUCT(OFFSET($BO$15,0,0,$B$14,1), 1*(_xlfn._xlws.FILTER(OFFSET($O$15,0,$DN227,$B$8,1),OFFSET($M$15,0,0,$B$8,1))=ET$13), 1*(_xlfn._xlws.FILTER(OFFSET($O$15,0,$DO227,$B$8,1),OFFSET($M$15,0,0,$B$8,1))=ET$14))   /   SUM(OFFSET($BO$15,0,0,$B$14,1)) + $B$18/($B$19*$B$19*($DN227&lt;&gt;$DO227) + $B$19*($DN227=$DO227))</f>
        <v>3.7037037037037035E-4</v>
      </c>
      <c r="EU227" s="10" cm="1">
        <f t="array" aca="1" ref="EU227" ca="1">(1-$B$18)*SUMPRODUCT(OFFSET($BO$15,0,0,$B$14,1), 1*(_xlfn._xlws.FILTER(OFFSET($O$15,0,$DN227,$B$8,1),OFFSET($M$15,0,0,$B$8,1))=EU$13), 1*(_xlfn._xlws.FILTER(OFFSET($O$15,0,$DO227,$B$8,1),OFFSET($M$15,0,0,$B$8,1))=EU$14))   /   SUM(OFFSET($BO$15,0,0,$B$14,1)) + $B$18/($B$19*$B$19*($DN227&lt;&gt;$DO227) + $B$19*($DN227=$DO227))</f>
        <v>3.7037037037037035E-4</v>
      </c>
      <c r="EV227" s="10" cm="1">
        <f t="array" aca="1" ref="EV227" ca="1">(1-$B$18)*SUMPRODUCT(OFFSET($BO$15,0,0,$B$14,1), 1*(_xlfn._xlws.FILTER(OFFSET($O$15,0,$DN227,$B$8,1),OFFSET($M$15,0,0,$B$8,1))=EV$13), 1*(_xlfn._xlws.FILTER(OFFSET($O$15,0,$DO227,$B$8,1),OFFSET($M$15,0,0,$B$8,1))=EV$14))   /   SUM(OFFSET($BO$15,0,0,$B$14,1)) + $B$18/($B$19*$B$19*($DN227&lt;&gt;$DO227) + $B$19*($DN227=$DO227))</f>
        <v>3.7037037037037035E-4</v>
      </c>
      <c r="EW227" s="10" cm="1">
        <f t="array" aca="1" ref="EW227" ca="1">(1-$B$18)*SUMPRODUCT(OFFSET($BO$15,0,0,$B$14,1), 1*(_xlfn._xlws.FILTER(OFFSET($O$15,0,$DN227,$B$8,1),OFFSET($M$15,0,0,$B$8,1))=EW$13), 1*(_xlfn._xlws.FILTER(OFFSET($O$15,0,$DO227,$B$8,1),OFFSET($M$15,0,0,$B$8,1))=EW$14))   /   SUM(OFFSET($BO$15,0,0,$B$14,1)) + $B$18/($B$19*$B$19*($DN227&lt;&gt;$DO227) + $B$19*($DN227=$DO227))</f>
        <v>3.7037037037037035E-4</v>
      </c>
      <c r="EX227" s="10" cm="1">
        <f t="array" aca="1" ref="EX227" ca="1">(1-$B$18)*SUMPRODUCT(OFFSET($BO$15,0,0,$B$14,1), 1*(_xlfn._xlws.FILTER(OFFSET($O$15,0,$DN227,$B$8,1),OFFSET($M$15,0,0,$B$8,1))=EX$13), 1*(_xlfn._xlws.FILTER(OFFSET($O$15,0,$DO227,$B$8,1),OFFSET($M$15,0,0,$B$8,1))=EX$14))   /   SUM(OFFSET($BO$15,0,0,$B$14,1)) + $B$18/($B$19*$B$19*($DN227&lt;&gt;$DO227) + $B$19*($DN227=$DO227))</f>
        <v>3.7037037037037035E-4</v>
      </c>
      <c r="EY227" s="10" cm="1">
        <f t="array" aca="1" ref="EY227" ca="1">(1-$B$18)*SUMPRODUCT(OFFSET($BO$15,0,0,$B$14,1), 1*(_xlfn._xlws.FILTER(OFFSET($O$15,0,$DN227,$B$8,1),OFFSET($M$15,0,0,$B$8,1))=EY$13), 1*(_xlfn._xlws.FILTER(OFFSET($O$15,0,$DO227,$B$8,1),OFFSET($M$15,0,0,$B$8,1))=EY$14))   /   SUM(OFFSET($BO$15,0,0,$B$14,1)) + $B$18/($B$19*$B$19*($DN227&lt;&gt;$DO227) + $B$19*($DN227=$DO227))</f>
        <v>3.7037037037037035E-4</v>
      </c>
      <c r="EZ227" s="10" cm="1">
        <f t="array" aca="1" ref="EZ227" ca="1">(1-$B$18)*SUMPRODUCT(OFFSET($BO$15,0,0,$B$14,1), 1*(_xlfn._xlws.FILTER(OFFSET($O$15,0,$DN227,$B$8,1),OFFSET($M$15,0,0,$B$8,1))=EZ$13), 1*(_xlfn._xlws.FILTER(OFFSET($O$15,0,$DO227,$B$8,1),OFFSET($M$15,0,0,$B$8,1))=EZ$14))   /   SUM(OFFSET($BO$15,0,0,$B$14,1)) + $B$18/($B$19*$B$19*($DN227&lt;&gt;$DO227) + $B$19*($DN227=$DO227))</f>
        <v>3.7037037037037035E-4</v>
      </c>
      <c r="FA227" s="10" cm="1">
        <f t="array" aca="1" ref="FA227" ca="1">(1-$B$18)*SUMPRODUCT(OFFSET($BO$15,0,0,$B$14,1), 1*(_xlfn._xlws.FILTER(OFFSET($O$15,0,$DN227,$B$8,1),OFFSET($M$15,0,0,$B$8,1))=FA$13), 1*(_xlfn._xlws.FILTER(OFFSET($O$15,0,$DO227,$B$8,1),OFFSET($M$15,0,0,$B$8,1))=FA$14))   /   SUM(OFFSET($BO$15,0,0,$B$14,1)) + $B$18/($B$19*$B$19*($DN227&lt;&gt;$DO227) + $B$19*($DN227=$DO227))</f>
        <v>3.7037037037037035E-4</v>
      </c>
      <c r="FB227" s="10" cm="1">
        <f t="array" aca="1" ref="FB227" ca="1">(1-$B$18)*SUMPRODUCT(OFFSET($BO$15,0,0,$B$14,1), 1*(_xlfn._xlws.FILTER(OFFSET($O$15,0,$DN227,$B$8,1),OFFSET($M$15,0,0,$B$8,1))=FB$13), 1*(_xlfn._xlws.FILTER(OFFSET($O$15,0,$DO227,$B$8,1),OFFSET($M$15,0,0,$B$8,1))=FB$14))   /   SUM(OFFSET($BO$15,0,0,$B$14,1)) + $B$18/($B$19*$B$19*($DN227&lt;&gt;$DO227) + $B$19*($DN227=$DO227))</f>
        <v>3.7037037037037035E-4</v>
      </c>
      <c r="FC227" s="10" cm="1">
        <f t="array" aca="1" ref="FC227" ca="1">(1-$B$18)*SUMPRODUCT(OFFSET($BO$15,0,0,$B$14,1), 1*(_xlfn._xlws.FILTER(OFFSET($O$15,0,$DN227,$B$8,1),OFFSET($M$15,0,0,$B$8,1))=FC$13), 1*(_xlfn._xlws.FILTER(OFFSET($O$15,0,$DO227,$B$8,1),OFFSET($M$15,0,0,$B$8,1))=FC$14))   /   SUM(OFFSET($BO$15,0,0,$B$14,1)) + $B$18/($B$19*$B$19*($DN227&lt;&gt;$DO227) + $B$19*($DN227=$DO227))</f>
        <v>3.7037037037037035E-4</v>
      </c>
      <c r="FD227" s="10" cm="1">
        <f t="array" aca="1" ref="FD227" ca="1">(1-$B$18)*SUMPRODUCT(OFFSET($BO$15,0,0,$B$14,1), 1*(_xlfn._xlws.FILTER(OFFSET($O$15,0,$DN227,$B$8,1),OFFSET($M$15,0,0,$B$8,1))=FD$13), 1*(_xlfn._xlws.FILTER(OFFSET($O$15,0,$DO227,$B$8,1),OFFSET($M$15,0,0,$B$8,1))=FD$14))   /   SUM(OFFSET($BO$15,0,0,$B$14,1)) + $B$18/($B$19*$B$19*($DN227&lt;&gt;$DO227) + $B$19*($DN227=$DO227))</f>
        <v>3.7037037037037035E-4</v>
      </c>
      <c r="FE227" s="10" cm="1">
        <f t="array" aca="1" ref="FE227" ca="1">(1-$B$18)*SUMPRODUCT(OFFSET($BO$15,0,0,$B$14,1), 1*(_xlfn._xlws.FILTER(OFFSET($O$15,0,$DN227,$B$8,1),OFFSET($M$15,0,0,$B$8,1))=FE$13), 1*(_xlfn._xlws.FILTER(OFFSET($O$15,0,$DO227,$B$8,1),OFFSET($M$15,0,0,$B$8,1))=FE$14))   /   SUM(OFFSET($BO$15,0,0,$B$14,1)) + $B$18/($B$19*$B$19*($DN227&lt;&gt;$DO227) + $B$19*($DN227=$DO227))</f>
        <v>3.7037037037037035E-4</v>
      </c>
      <c r="FF227" s="10" cm="1">
        <f t="array" aca="1" ref="FF227" ca="1">(1-$B$18)*SUMPRODUCT(OFFSET($BO$15,0,0,$B$14,1), 1*(_xlfn._xlws.FILTER(OFFSET($O$15,0,$DN227,$B$8,1),OFFSET($M$15,0,0,$B$8,1))=FF$13), 1*(_xlfn._xlws.FILTER(OFFSET($O$15,0,$DO227,$B$8,1),OFFSET($M$15,0,0,$B$8,1))=FF$14))   /   SUM(OFFSET($BO$15,0,0,$B$14,1)) + $B$18/($B$19*$B$19*($DN227&lt;&gt;$DO227) + $B$19*($DN227=$DO227))</f>
        <v>3.7037037037037035E-4</v>
      </c>
      <c r="FG227" s="10" cm="1">
        <f t="array" aca="1" ref="FG227" ca="1">(1-$B$18)*SUMPRODUCT(OFFSET($BO$15,0,0,$B$14,1), 1*(_xlfn._xlws.FILTER(OFFSET($O$15,0,$DN227,$B$8,1),OFFSET($M$15,0,0,$B$8,1))=FG$13), 1*(_xlfn._xlws.FILTER(OFFSET($O$15,0,$DO227,$B$8,1),OFFSET($M$15,0,0,$B$8,1))=FG$14))   /   SUM(OFFSET($BO$15,0,0,$B$14,1)) + $B$18/($B$19*$B$19*($DN227&lt;&gt;$DO227) + $B$19*($DN227=$DO227))</f>
        <v>3.7037037037037035E-4</v>
      </c>
      <c r="FH227" s="10" cm="1">
        <f t="array" aca="1" ref="FH227" ca="1">(1-$B$18)*SUMPRODUCT(OFFSET($BO$15,0,0,$B$14,1), 1*(_xlfn._xlws.FILTER(OFFSET($O$15,0,$DN227,$B$8,1),OFFSET($M$15,0,0,$B$8,1))=FH$13), 1*(_xlfn._xlws.FILTER(OFFSET($O$15,0,$DO227,$B$8,1),OFFSET($M$15,0,0,$B$8,1))=FH$14))   /   SUM(OFFSET($BO$15,0,0,$B$14,1)) + $B$18/($B$19*$B$19*($DN227&lt;&gt;$DO227) + $B$19*($DN227=$DO227))</f>
        <v>3.7037037037037035E-4</v>
      </c>
      <c r="FI227" s="10" cm="1">
        <f t="array" aca="1" ref="FI227" ca="1">(1-$B$18)*SUMPRODUCT(OFFSET($BO$15,0,0,$B$14,1), 1*(_xlfn._xlws.FILTER(OFFSET($O$15,0,$DN227,$B$8,1),OFFSET($M$15,0,0,$B$8,1))=FI$13), 1*(_xlfn._xlws.FILTER(OFFSET($O$15,0,$DO227,$B$8,1),OFFSET($M$15,0,0,$B$8,1))=FI$14))   /   SUM(OFFSET($BO$15,0,0,$B$14,1)) + $B$18/($B$19*$B$19*($DN227&lt;&gt;$DO227) + $B$19*($DN227=$DO227))</f>
        <v>3.7037037037037035E-4</v>
      </c>
      <c r="FJ227" s="10" cm="1">
        <f t="array" aca="1" ref="FJ227" ca="1">(1-$B$18)*SUMPRODUCT(OFFSET($BO$15,0,0,$B$14,1), 1*(_xlfn._xlws.FILTER(OFFSET($O$15,0,$DN227,$B$8,1),OFFSET($M$15,0,0,$B$8,1))=FJ$13), 1*(_xlfn._xlws.FILTER(OFFSET($O$15,0,$DO227,$B$8,1),OFFSET($M$15,0,0,$B$8,1))=FJ$14))   /   SUM(OFFSET($BO$15,0,0,$B$14,1)) + $B$18/($B$19*$B$19*($DN227&lt;&gt;$DO227) + $B$19*($DN227=$DO227))</f>
        <v>3.7037037037037035E-4</v>
      </c>
      <c r="FK227" s="10" cm="1">
        <f t="array" aca="1" ref="FK227" ca="1">(1-$B$18)*SUMPRODUCT(OFFSET($BO$15,0,0,$B$14,1), 1*(_xlfn._xlws.FILTER(OFFSET($O$15,0,$DN227,$B$8,1),OFFSET($M$15,0,0,$B$8,1))=FK$13), 1*(_xlfn._xlws.FILTER(OFFSET($O$15,0,$DO227,$B$8,1),OFFSET($M$15,0,0,$B$8,1))=FK$14))   /   SUM(OFFSET($BO$15,0,0,$B$14,1)) + $B$18/($B$19*$B$19*($DN227&lt;&gt;$DO227) + $B$19*($DN227=$DO227))</f>
        <v>3.7037037037037035E-4</v>
      </c>
      <c r="FL227" s="10" cm="1">
        <f t="array" aca="1" ref="FL227" ca="1">(1-$B$18)*SUMPRODUCT(OFFSET($BO$15,0,0,$B$14,1), 1*(_xlfn._xlws.FILTER(OFFSET($O$15,0,$DN227,$B$8,1),OFFSET($M$15,0,0,$B$8,1))=FL$13), 1*(_xlfn._xlws.FILTER(OFFSET($O$15,0,$DO227,$B$8,1),OFFSET($M$15,0,0,$B$8,1))=FL$14))   /   SUM(OFFSET($BO$15,0,0,$B$14,1)) + $B$18/($B$19*$B$19*($DN227&lt;&gt;$DO227) + $B$19*($DN227=$DO227))</f>
        <v>3.7037037037037035E-4</v>
      </c>
      <c r="FM227" s="10" cm="1">
        <f t="array" aca="1" ref="FM227" ca="1">(1-$B$18)*SUMPRODUCT(OFFSET($BO$15,0,0,$B$14,1), 1*(_xlfn._xlws.FILTER(OFFSET($O$15,0,$DN227,$B$8,1),OFFSET($M$15,0,0,$B$8,1))=FM$13), 1*(_xlfn._xlws.FILTER(OFFSET($O$15,0,$DO227,$B$8,1),OFFSET($M$15,0,0,$B$8,1))=FM$14))   /   SUM(OFFSET($BO$15,0,0,$B$14,1)) + $B$18/($B$19*$B$19*($DN227&lt;&gt;$DO227) + $B$19*($DN227=$DO227))</f>
        <v>3.7037037037037035E-4</v>
      </c>
      <c r="FN227" s="10" cm="1">
        <f t="array" aca="1" ref="FN227" ca="1">(1-$B$18)*SUMPRODUCT(OFFSET($BO$15,0,0,$B$14,1), 1*(_xlfn._xlws.FILTER(OFFSET($O$15,0,$DN227,$B$8,1),OFFSET($M$15,0,0,$B$8,1))=FN$13), 1*(_xlfn._xlws.FILTER(OFFSET($O$15,0,$DO227,$B$8,1),OFFSET($M$15,0,0,$B$8,1))=FN$14))   /   SUM(OFFSET($BO$15,0,0,$B$14,1)) + $B$18/($B$19*$B$19*($DN227&lt;&gt;$DO227) + $B$19*($DN227=$DO227))</f>
        <v>3.7037037037037035E-4</v>
      </c>
      <c r="FO227" s="10" cm="1">
        <f t="array" aca="1" ref="FO227" ca="1">(1-$B$18)*SUMPRODUCT(OFFSET($BO$15,0,0,$B$14,1), 1*(_xlfn._xlws.FILTER(OFFSET($O$15,0,$DN227,$B$8,1),OFFSET($M$15,0,0,$B$8,1))=FO$13), 1*(_xlfn._xlws.FILTER(OFFSET($O$15,0,$DO227,$B$8,1),OFFSET($M$15,0,0,$B$8,1))=FO$14))   /   SUM(OFFSET($BO$15,0,0,$B$14,1)) + $B$18/($B$19*$B$19*($DN227&lt;&gt;$DO227) + $B$19*($DN227=$DO227))</f>
        <v>3.7037037037037035E-4</v>
      </c>
      <c r="FP227" s="10" cm="1">
        <f t="array" aca="1" ref="FP227" ca="1">(1-$B$18)*SUMPRODUCT(OFFSET($BO$15,0,0,$B$14,1), 1*(_xlfn._xlws.FILTER(OFFSET($O$15,0,$DN227,$B$8,1),OFFSET($M$15,0,0,$B$8,1))=FP$13), 1*(_xlfn._xlws.FILTER(OFFSET($O$15,0,$DO227,$B$8,1),OFFSET($M$15,0,0,$B$8,1))=FP$14))   /   SUM(OFFSET($BO$15,0,0,$B$14,1)) + $B$18/($B$19*$B$19*($DN227&lt;&gt;$DO227) + $B$19*($DN227=$DO227))</f>
        <v>3.7037037037037035E-4</v>
      </c>
      <c r="FQ227" s="10" cm="1">
        <f t="array" aca="1" ref="FQ227" ca="1">(1-$B$18)*SUMPRODUCT(OFFSET($BO$15,0,0,$B$14,1), 1*(_xlfn._xlws.FILTER(OFFSET($O$15,0,$DN227,$B$8,1),OFFSET($M$15,0,0,$B$8,1))=FQ$13), 1*(_xlfn._xlws.FILTER(OFFSET($O$15,0,$DO227,$B$8,1),OFFSET($M$15,0,0,$B$8,1))=FQ$14))   /   SUM(OFFSET($BO$15,0,0,$B$14,1)) + $B$18/($B$19*$B$19*($DN227&lt;&gt;$DO227) + $B$19*($DN227=$DO227))</f>
        <v>3.7037037037037035E-4</v>
      </c>
      <c r="FR227" s="10" cm="1">
        <f t="array" aca="1" ref="FR227" ca="1">(1-$B$18)*SUMPRODUCT(OFFSET($BO$15,0,0,$B$14,1), 1*(_xlfn._xlws.FILTER(OFFSET($O$15,0,$DN227,$B$8,1),OFFSET($M$15,0,0,$B$8,1))=FR$13), 1*(_xlfn._xlws.FILTER(OFFSET($O$15,0,$DO227,$B$8,1),OFFSET($M$15,0,0,$B$8,1))=FR$14))   /   SUM(OFFSET($BO$15,0,0,$B$14,1)) + $B$18/($B$19*$B$19*($DN227&lt;&gt;$DO227) + $B$19*($DN227=$DO227))</f>
        <v>3.7037037037037035E-4</v>
      </c>
      <c r="FS227" s="10" cm="1">
        <f t="array" aca="1" ref="FS227" ca="1">(1-$B$18)*SUMPRODUCT(OFFSET($BO$15,0,0,$B$14,1), 1*(_xlfn._xlws.FILTER(OFFSET($O$15,0,$DN227,$B$8,1),OFFSET($M$15,0,0,$B$8,1))=FS$13), 1*(_xlfn._xlws.FILTER(OFFSET($O$15,0,$DO227,$B$8,1),OFFSET($M$15,0,0,$B$8,1))=FS$14))   /   SUM(OFFSET($BO$15,0,0,$B$14,1)) + $B$18/($B$19*$B$19*($DN227&lt;&gt;$DO227) + $B$19*($DN227=$DO227))</f>
        <v>3.7037037037037035E-4</v>
      </c>
      <c r="FT227" s="10" cm="1">
        <f t="array" aca="1" ref="FT227" ca="1">(1-$B$18)*SUMPRODUCT(OFFSET($BO$15,0,0,$B$14,1), 1*(_xlfn._xlws.FILTER(OFFSET($O$15,0,$DN227,$B$8,1),OFFSET($M$15,0,0,$B$8,1))=FT$13), 1*(_xlfn._xlws.FILTER(OFFSET($O$15,0,$DO227,$B$8,1),OFFSET($M$15,0,0,$B$8,1))=FT$14))   /   SUM(OFFSET($BO$15,0,0,$B$14,1)) + $B$18/($B$19*$B$19*($DN227&lt;&gt;$DO227) + $B$19*($DN227=$DO227))</f>
        <v>3.7037037037037035E-4</v>
      </c>
      <c r="FU227" s="10" cm="1">
        <f t="array" aca="1" ref="FU227" ca="1">(1-$B$18)*SUMPRODUCT(OFFSET($BO$15,0,0,$B$14,1), 1*(_xlfn._xlws.FILTER(OFFSET($O$15,0,$DN227,$B$8,1),OFFSET($M$15,0,0,$B$8,1))=FU$13), 1*(_xlfn._xlws.FILTER(OFFSET($O$15,0,$DO227,$B$8,1),OFFSET($M$15,0,0,$B$8,1))=FU$14))   /   SUM(OFFSET($BO$15,0,0,$B$14,1)) + $B$18/($B$19*$B$19*($DN227&lt;&gt;$DO227) + $B$19*($DN227=$DO227))</f>
        <v>3.7037037037037035E-4</v>
      </c>
      <c r="FV227" s="10" cm="1">
        <f t="array" aca="1" ref="FV227" ca="1">(1-$B$18)*SUMPRODUCT(OFFSET($BO$15,0,0,$B$14,1), 1*(_xlfn._xlws.FILTER(OFFSET($O$15,0,$DN227,$B$8,1),OFFSET($M$15,0,0,$B$8,1))=FV$13), 1*(_xlfn._xlws.FILTER(OFFSET($O$15,0,$DO227,$B$8,1),OFFSET($M$15,0,0,$B$8,1))=FV$14))   /   SUM(OFFSET($BO$15,0,0,$B$14,1)) + $B$18/($B$19*$B$19*($DN227&lt;&gt;$DO227) + $B$19*($DN227=$DO227))</f>
        <v>3.7037037037037035E-4</v>
      </c>
      <c r="FW227" s="10" cm="1">
        <f t="array" aca="1" ref="FW227" ca="1">(1-$B$18)*SUMPRODUCT(OFFSET($BO$15,0,0,$B$14,1), 1*(_xlfn._xlws.FILTER(OFFSET($O$15,0,$DN227,$B$8,1),OFFSET($M$15,0,0,$B$8,1))=FW$13), 1*(_xlfn._xlws.FILTER(OFFSET($O$15,0,$DO227,$B$8,1),OFFSET($M$15,0,0,$B$8,1))=FW$14))   /   SUM(OFFSET($BO$15,0,0,$B$14,1)) + $B$18/($B$19*$B$19*($DN227&lt;&gt;$DO227) + $B$19*($DN227=$DO227))</f>
        <v>3.7037037037037035E-4</v>
      </c>
      <c r="FX227" s="10" cm="1">
        <f t="array" aca="1" ref="FX227" ca="1">(1-$B$18)*SUMPRODUCT(OFFSET($BO$15,0,0,$B$14,1), 1*(_xlfn._xlws.FILTER(OFFSET($O$15,0,$DN227,$B$8,1),OFFSET($M$15,0,0,$B$8,1))=FX$13), 1*(_xlfn._xlws.FILTER(OFFSET($O$15,0,$DO227,$B$8,1),OFFSET($M$15,0,0,$B$8,1))=FX$14))   /   SUM(OFFSET($BO$15,0,0,$B$14,1)) + $B$18/($B$19*$B$19*($DN227&lt;&gt;$DO227) + $B$19*($DN227=$DO227))</f>
        <v>3.7037037037037035E-4</v>
      </c>
      <c r="FY227" s="10" cm="1">
        <f t="array" aca="1" ref="FY227" ca="1">(1-$B$18)*SUMPRODUCT(OFFSET($BO$15,0,0,$B$14,1), 1*(_xlfn._xlws.FILTER(OFFSET($O$15,0,$DN227,$B$8,1),OFFSET($M$15,0,0,$B$8,1))=FY$13), 1*(_xlfn._xlws.FILTER(OFFSET($O$15,0,$DO227,$B$8,1),OFFSET($M$15,0,0,$B$8,1))=FY$14))   /   SUM(OFFSET($BO$15,0,0,$B$14,1)) + $B$18/($B$19*$B$19*($DN227&lt;&gt;$DO227) + $B$19*($DN227=$DO227))</f>
        <v>3.7037037037037035E-4</v>
      </c>
      <c r="FZ227" s="10" cm="1">
        <f t="array" aca="1" ref="FZ227" ca="1">(1-$B$18)*SUMPRODUCT(OFFSET($BO$15,0,0,$B$14,1), 1*(_xlfn._xlws.FILTER(OFFSET($O$15,0,$DN227,$B$8,1),OFFSET($M$15,0,0,$B$8,1))=FZ$13), 1*(_xlfn._xlws.FILTER(OFFSET($O$15,0,$DO227,$B$8,1),OFFSET($M$15,0,0,$B$8,1))=FZ$14))   /   SUM(OFFSET($BO$15,0,0,$B$14,1)) + $B$18/($B$19*$B$19*($DN227&lt;&gt;$DO227) + $B$19*($DN227=$DO227))</f>
        <v>3.7037037037037035E-4</v>
      </c>
      <c r="GA227" s="10" cm="1">
        <f t="array" aca="1" ref="GA227" ca="1">(1-$B$18)*SUMPRODUCT(OFFSET($BO$15,0,0,$B$14,1), 1*(_xlfn._xlws.FILTER(OFFSET($O$15,0,$DN227,$B$8,1),OFFSET($M$15,0,0,$B$8,1))=GA$13), 1*(_xlfn._xlws.FILTER(OFFSET($O$15,0,$DO227,$B$8,1),OFFSET($M$15,0,0,$B$8,1))=GA$14))   /   SUM(OFFSET($BO$15,0,0,$B$14,1)) + $B$18/($B$19*$B$19*($DN227&lt;&gt;$DO227) + $B$19*($DN227=$DO227))</f>
        <v>3.7037037037037035E-4</v>
      </c>
    </row>
    <row r="228" spans="118:183" x14ac:dyDescent="0.2">
      <c r="DN228" cm="1">
        <f t="array" aca="1" ref="DN228" ca="1">INDEX(_xlfn.ANCHORARRAY($CP$15), 1 + INT((ROWS($DO$15:$DO228) - 1) / ROWS(_xlfn.ANCHORARRAY($CP$15))))</f>
        <v>12</v>
      </c>
      <c r="DO228" cm="1">
        <f t="array" aca="1" ref="DO228" ca="1">INDEX(_xlfn.ANCHORARRAY($CP$15),1+MOD(ROWS($DO$15:$DO228)-1,ROWS(_xlfn.ANCHORARRAY($CP$15))))</f>
        <v>4</v>
      </c>
      <c r="DP228" s="10" cm="1">
        <f t="array" aca="1" ref="DP228" ca="1">(1-$B$18)*SUMPRODUCT(OFFSET($BO$15,0,0,$B$14,1), 1*(_xlfn._xlws.FILTER(OFFSET($O$15,0,$DN228,$B$8,1),OFFSET($M$15,0,0,$B$8,1))=DP$13), 1*(_xlfn._xlws.FILTER(OFFSET($O$15,0,$DO228,$B$8,1),OFFSET($M$15,0,0,$B$8,1))=DP$14))   /   SUM(OFFSET($BO$15,0,0,$B$14,1)) + $B$18/($B$19*$B$19*($DN228&lt;&gt;$DO228) + $B$19*($DN228=$DO228))</f>
        <v>3.7037037037037035E-4</v>
      </c>
      <c r="DQ228" s="10" cm="1">
        <f t="array" aca="1" ref="DQ228" ca="1">(1-$B$18)*SUMPRODUCT(OFFSET($BO$15,0,0,$B$14,1), 1*(_xlfn._xlws.FILTER(OFFSET($O$15,0,$DN228,$B$8,1),OFFSET($M$15,0,0,$B$8,1))=DQ$13), 1*(_xlfn._xlws.FILTER(OFFSET($O$15,0,$DO228,$B$8,1),OFFSET($M$15,0,0,$B$8,1))=DQ$14))   /   SUM(OFFSET($BO$15,0,0,$B$14,1)) + $B$18/($B$19*$B$19*($DN228&lt;&gt;$DO228) + $B$19*($DN228=$DO228))</f>
        <v>3.7037037037037035E-4</v>
      </c>
      <c r="DR228" s="10" cm="1">
        <f t="array" aca="1" ref="DR228" ca="1">(1-$B$18)*SUMPRODUCT(OFFSET($BO$15,0,0,$B$14,1), 1*(_xlfn._xlws.FILTER(OFFSET($O$15,0,$DN228,$B$8,1),OFFSET($M$15,0,0,$B$8,1))=DR$13), 1*(_xlfn._xlws.FILTER(OFFSET($O$15,0,$DO228,$B$8,1),OFFSET($M$15,0,0,$B$8,1))=DR$14))   /   SUM(OFFSET($BO$15,0,0,$B$14,1)) + $B$18/($B$19*$B$19*($DN228&lt;&gt;$DO228) + $B$19*($DN228=$DO228))</f>
        <v>3.7037037037037035E-4</v>
      </c>
      <c r="DS228" s="10" cm="1">
        <f t="array" aca="1" ref="DS228" ca="1">(1-$B$18)*SUMPRODUCT(OFFSET($BO$15,0,0,$B$14,1), 1*(_xlfn._xlws.FILTER(OFFSET($O$15,0,$DN228,$B$8,1),OFFSET($M$15,0,0,$B$8,1))=DS$13), 1*(_xlfn._xlws.FILTER(OFFSET($O$15,0,$DO228,$B$8,1),OFFSET($M$15,0,0,$B$8,1))=DS$14))   /   SUM(OFFSET($BO$15,0,0,$B$14,1)) + $B$18/($B$19*$B$19*($DN228&lt;&gt;$DO228) + $B$19*($DN228=$DO228))</f>
        <v>3.7037037037037035E-4</v>
      </c>
      <c r="DT228" s="10" cm="1">
        <f t="array" aca="1" ref="DT228" ca="1">(1-$B$18)*SUMPRODUCT(OFFSET($BO$15,0,0,$B$14,1), 1*(_xlfn._xlws.FILTER(OFFSET($O$15,0,$DN228,$B$8,1),OFFSET($M$15,0,0,$B$8,1))=DT$13), 1*(_xlfn._xlws.FILTER(OFFSET($O$15,0,$DO228,$B$8,1),OFFSET($M$15,0,0,$B$8,1))=DT$14))   /   SUM(OFFSET($BO$15,0,0,$B$14,1)) + $B$18/($B$19*$B$19*($DN228&lt;&gt;$DO228) + $B$19*($DN228=$DO228))</f>
        <v>3.7037037037037035E-4</v>
      </c>
      <c r="DU228" s="10" cm="1">
        <f t="array" aca="1" ref="DU228" ca="1">(1-$B$18)*SUMPRODUCT(OFFSET($BO$15,0,0,$B$14,1), 1*(_xlfn._xlws.FILTER(OFFSET($O$15,0,$DN228,$B$8,1),OFFSET($M$15,0,0,$B$8,1))=DU$13), 1*(_xlfn._xlws.FILTER(OFFSET($O$15,0,$DO228,$B$8,1),OFFSET($M$15,0,0,$B$8,1))=DU$14))   /   SUM(OFFSET($BO$15,0,0,$B$14,1)) + $B$18/($B$19*$B$19*($DN228&lt;&gt;$DO228) + $B$19*($DN228=$DO228))</f>
        <v>3.7037037037037035E-4</v>
      </c>
      <c r="DV228" s="10" cm="1">
        <f t="array" aca="1" ref="DV228" ca="1">(1-$B$18)*SUMPRODUCT(OFFSET($BO$15,0,0,$B$14,1), 1*(_xlfn._xlws.FILTER(OFFSET($O$15,0,$DN228,$B$8,1),OFFSET($M$15,0,0,$B$8,1))=DV$13), 1*(_xlfn._xlws.FILTER(OFFSET($O$15,0,$DO228,$B$8,1),OFFSET($M$15,0,0,$B$8,1))=DV$14))   /   SUM(OFFSET($BO$15,0,0,$B$14,1)) + $B$18/($B$19*$B$19*($DN228&lt;&gt;$DO228) + $B$19*($DN228=$DO228))</f>
        <v>3.7037037037037035E-4</v>
      </c>
      <c r="DW228" s="10" cm="1">
        <f t="array" aca="1" ref="DW228" ca="1">(1-$B$18)*SUMPRODUCT(OFFSET($BO$15,0,0,$B$14,1), 1*(_xlfn._xlws.FILTER(OFFSET($O$15,0,$DN228,$B$8,1),OFFSET($M$15,0,0,$B$8,1))=DW$13), 1*(_xlfn._xlws.FILTER(OFFSET($O$15,0,$DO228,$B$8,1),OFFSET($M$15,0,0,$B$8,1))=DW$14))   /   SUM(OFFSET($BO$15,0,0,$B$14,1)) + $B$18/($B$19*$B$19*($DN228&lt;&gt;$DO228) + $B$19*($DN228=$DO228))</f>
        <v>3.7037037037037035E-4</v>
      </c>
      <c r="DX228" s="10" cm="1">
        <f t="array" aca="1" ref="DX228" ca="1">(1-$B$18)*SUMPRODUCT(OFFSET($BO$15,0,0,$B$14,1), 1*(_xlfn._xlws.FILTER(OFFSET($O$15,0,$DN228,$B$8,1),OFFSET($M$15,0,0,$B$8,1))=DX$13), 1*(_xlfn._xlws.FILTER(OFFSET($O$15,0,$DO228,$B$8,1),OFFSET($M$15,0,0,$B$8,1))=DX$14))   /   SUM(OFFSET($BO$15,0,0,$B$14,1)) + $B$18/($B$19*$B$19*($DN228&lt;&gt;$DO228) + $B$19*($DN228=$DO228))</f>
        <v>3.7037037037037035E-4</v>
      </c>
      <c r="DY228" s="10" cm="1">
        <f t="array" aca="1" ref="DY228" ca="1">(1-$B$18)*SUMPRODUCT(OFFSET($BO$15,0,0,$B$14,1), 1*(_xlfn._xlws.FILTER(OFFSET($O$15,0,$DN228,$B$8,1),OFFSET($M$15,0,0,$B$8,1))=DY$13), 1*(_xlfn._xlws.FILTER(OFFSET($O$15,0,$DO228,$B$8,1),OFFSET($M$15,0,0,$B$8,1))=DY$14))   /   SUM(OFFSET($BO$15,0,0,$B$14,1)) + $B$18/($B$19*$B$19*($DN228&lt;&gt;$DO228) + $B$19*($DN228=$DO228))</f>
        <v>3.7037037037037035E-4</v>
      </c>
      <c r="DZ228" s="10" cm="1">
        <f t="array" aca="1" ref="DZ228" ca="1">(1-$B$18)*SUMPRODUCT(OFFSET($BO$15,0,0,$B$14,1), 1*(_xlfn._xlws.FILTER(OFFSET($O$15,0,$DN228,$B$8,1),OFFSET($M$15,0,0,$B$8,1))=DZ$13), 1*(_xlfn._xlws.FILTER(OFFSET($O$15,0,$DO228,$B$8,1),OFFSET($M$15,0,0,$B$8,1))=DZ$14))   /   SUM(OFFSET($BO$15,0,0,$B$14,1)) + $B$18/($B$19*$B$19*($DN228&lt;&gt;$DO228) + $B$19*($DN228=$DO228))</f>
        <v>3.7037037037037035E-4</v>
      </c>
      <c r="EA228" s="10" cm="1">
        <f t="array" aca="1" ref="EA228" ca="1">(1-$B$18)*SUMPRODUCT(OFFSET($BO$15,0,0,$B$14,1), 1*(_xlfn._xlws.FILTER(OFFSET($O$15,0,$DN228,$B$8,1),OFFSET($M$15,0,0,$B$8,1))=EA$13), 1*(_xlfn._xlws.FILTER(OFFSET($O$15,0,$DO228,$B$8,1),OFFSET($M$15,0,0,$B$8,1))=EA$14))   /   SUM(OFFSET($BO$15,0,0,$B$14,1)) + $B$18/($B$19*$B$19*($DN228&lt;&gt;$DO228) + $B$19*($DN228=$DO228))</f>
        <v>3.7037037037037035E-4</v>
      </c>
      <c r="EB228" s="10" cm="1">
        <f t="array" aca="1" ref="EB228" ca="1">(1-$B$18)*SUMPRODUCT(OFFSET($BO$15,0,0,$B$14,1), 1*(_xlfn._xlws.FILTER(OFFSET($O$15,0,$DN228,$B$8,1),OFFSET($M$15,0,0,$B$8,1))=EB$13), 1*(_xlfn._xlws.FILTER(OFFSET($O$15,0,$DO228,$B$8,1),OFFSET($M$15,0,0,$B$8,1))=EB$14))   /   SUM(OFFSET($BO$15,0,0,$B$14,1)) + $B$18/($B$19*$B$19*($DN228&lt;&gt;$DO228) + $B$19*($DN228=$DO228))</f>
        <v>3.7037037037037035E-4</v>
      </c>
      <c r="EC228" s="10" cm="1">
        <f t="array" aca="1" ref="EC228" ca="1">(1-$B$18)*SUMPRODUCT(OFFSET($BO$15,0,0,$B$14,1), 1*(_xlfn._xlws.FILTER(OFFSET($O$15,0,$DN228,$B$8,1),OFFSET($M$15,0,0,$B$8,1))=EC$13), 1*(_xlfn._xlws.FILTER(OFFSET($O$15,0,$DO228,$B$8,1),OFFSET($M$15,0,0,$B$8,1))=EC$14))   /   SUM(OFFSET($BO$15,0,0,$B$14,1)) + $B$18/($B$19*$B$19*($DN228&lt;&gt;$DO228) + $B$19*($DN228=$DO228))</f>
        <v>3.7037037037037035E-4</v>
      </c>
      <c r="ED228" s="10" cm="1">
        <f t="array" aca="1" ref="ED228" ca="1">(1-$B$18)*SUMPRODUCT(OFFSET($BO$15,0,0,$B$14,1), 1*(_xlfn._xlws.FILTER(OFFSET($O$15,0,$DN228,$B$8,1),OFFSET($M$15,0,0,$B$8,1))=ED$13), 1*(_xlfn._xlws.FILTER(OFFSET($O$15,0,$DO228,$B$8,1),OFFSET($M$15,0,0,$B$8,1))=ED$14))   /   SUM(OFFSET($BO$15,0,0,$B$14,1)) + $B$18/($B$19*$B$19*($DN228&lt;&gt;$DO228) + $B$19*($DN228=$DO228))</f>
        <v>0.97037037037037033</v>
      </c>
      <c r="EE228" s="10" cm="1">
        <f t="array" aca="1" ref="EE228" ca="1">(1-$B$18)*SUMPRODUCT(OFFSET($BO$15,0,0,$B$14,1), 1*(_xlfn._xlws.FILTER(OFFSET($O$15,0,$DN228,$B$8,1),OFFSET($M$15,0,0,$B$8,1))=EE$13), 1*(_xlfn._xlws.FILTER(OFFSET($O$15,0,$DO228,$B$8,1),OFFSET($M$15,0,0,$B$8,1))=EE$14))   /   SUM(OFFSET($BO$15,0,0,$B$14,1)) + $B$18/($B$19*$B$19*($DN228&lt;&gt;$DO228) + $B$19*($DN228=$DO228))</f>
        <v>3.7037037037037035E-4</v>
      </c>
      <c r="EF228" s="10" cm="1">
        <f t="array" aca="1" ref="EF228" ca="1">(1-$B$18)*SUMPRODUCT(OFFSET($BO$15,0,0,$B$14,1), 1*(_xlfn._xlws.FILTER(OFFSET($O$15,0,$DN228,$B$8,1),OFFSET($M$15,0,0,$B$8,1))=EF$13), 1*(_xlfn._xlws.FILTER(OFFSET($O$15,0,$DO228,$B$8,1),OFFSET($M$15,0,0,$B$8,1))=EF$14))   /   SUM(OFFSET($BO$15,0,0,$B$14,1)) + $B$18/($B$19*$B$19*($DN228&lt;&gt;$DO228) + $B$19*($DN228=$DO228))</f>
        <v>3.7037037037037035E-4</v>
      </c>
      <c r="EG228" s="10" cm="1">
        <f t="array" aca="1" ref="EG228" ca="1">(1-$B$18)*SUMPRODUCT(OFFSET($BO$15,0,0,$B$14,1), 1*(_xlfn._xlws.FILTER(OFFSET($O$15,0,$DN228,$B$8,1),OFFSET($M$15,0,0,$B$8,1))=EG$13), 1*(_xlfn._xlws.FILTER(OFFSET($O$15,0,$DO228,$B$8,1),OFFSET($M$15,0,0,$B$8,1))=EG$14))   /   SUM(OFFSET($BO$15,0,0,$B$14,1)) + $B$18/($B$19*$B$19*($DN228&lt;&gt;$DO228) + $B$19*($DN228=$DO228))</f>
        <v>3.7037037037037035E-4</v>
      </c>
      <c r="EH228" s="10" cm="1">
        <f t="array" aca="1" ref="EH228" ca="1">(1-$B$18)*SUMPRODUCT(OFFSET($BO$15,0,0,$B$14,1), 1*(_xlfn._xlws.FILTER(OFFSET($O$15,0,$DN228,$B$8,1),OFFSET($M$15,0,0,$B$8,1))=EH$13), 1*(_xlfn._xlws.FILTER(OFFSET($O$15,0,$DO228,$B$8,1),OFFSET($M$15,0,0,$B$8,1))=EH$14))   /   SUM(OFFSET($BO$15,0,0,$B$14,1)) + $B$18/($B$19*$B$19*($DN228&lt;&gt;$DO228) + $B$19*($DN228=$DO228))</f>
        <v>3.7037037037037035E-4</v>
      </c>
      <c r="EI228" s="10" cm="1">
        <f t="array" aca="1" ref="EI228" ca="1">(1-$B$18)*SUMPRODUCT(OFFSET($BO$15,0,0,$B$14,1), 1*(_xlfn._xlws.FILTER(OFFSET($O$15,0,$DN228,$B$8,1),OFFSET($M$15,0,0,$B$8,1))=EI$13), 1*(_xlfn._xlws.FILTER(OFFSET($O$15,0,$DO228,$B$8,1),OFFSET($M$15,0,0,$B$8,1))=EI$14))   /   SUM(OFFSET($BO$15,0,0,$B$14,1)) + $B$18/($B$19*$B$19*($DN228&lt;&gt;$DO228) + $B$19*($DN228=$DO228))</f>
        <v>3.7037037037037035E-4</v>
      </c>
      <c r="EJ228" s="10" cm="1">
        <f t="array" aca="1" ref="EJ228" ca="1">(1-$B$18)*SUMPRODUCT(OFFSET($BO$15,0,0,$B$14,1), 1*(_xlfn._xlws.FILTER(OFFSET($O$15,0,$DN228,$B$8,1),OFFSET($M$15,0,0,$B$8,1))=EJ$13), 1*(_xlfn._xlws.FILTER(OFFSET($O$15,0,$DO228,$B$8,1),OFFSET($M$15,0,0,$B$8,1))=EJ$14))   /   SUM(OFFSET($BO$15,0,0,$B$14,1)) + $B$18/($B$19*$B$19*($DN228&lt;&gt;$DO228) + $B$19*($DN228=$DO228))</f>
        <v>3.7037037037037035E-4</v>
      </c>
      <c r="EK228" s="10" cm="1">
        <f t="array" aca="1" ref="EK228" ca="1">(1-$B$18)*SUMPRODUCT(OFFSET($BO$15,0,0,$B$14,1), 1*(_xlfn._xlws.FILTER(OFFSET($O$15,0,$DN228,$B$8,1),OFFSET($M$15,0,0,$B$8,1))=EK$13), 1*(_xlfn._xlws.FILTER(OFFSET($O$15,0,$DO228,$B$8,1),OFFSET($M$15,0,0,$B$8,1))=EK$14))   /   SUM(OFFSET($BO$15,0,0,$B$14,1)) + $B$18/($B$19*$B$19*($DN228&lt;&gt;$DO228) + $B$19*($DN228=$DO228))</f>
        <v>3.7037037037037035E-4</v>
      </c>
      <c r="EL228" s="10" cm="1">
        <f t="array" aca="1" ref="EL228" ca="1">(1-$B$18)*SUMPRODUCT(OFFSET($BO$15,0,0,$B$14,1), 1*(_xlfn._xlws.FILTER(OFFSET($O$15,0,$DN228,$B$8,1),OFFSET($M$15,0,0,$B$8,1))=EL$13), 1*(_xlfn._xlws.FILTER(OFFSET($O$15,0,$DO228,$B$8,1),OFFSET($M$15,0,0,$B$8,1))=EL$14))   /   SUM(OFFSET($BO$15,0,0,$B$14,1)) + $B$18/($B$19*$B$19*($DN228&lt;&gt;$DO228) + $B$19*($DN228=$DO228))</f>
        <v>3.7037037037037035E-4</v>
      </c>
      <c r="EM228" s="10" cm="1">
        <f t="array" aca="1" ref="EM228" ca="1">(1-$B$18)*SUMPRODUCT(OFFSET($BO$15,0,0,$B$14,1), 1*(_xlfn._xlws.FILTER(OFFSET($O$15,0,$DN228,$B$8,1),OFFSET($M$15,0,0,$B$8,1))=EM$13), 1*(_xlfn._xlws.FILTER(OFFSET($O$15,0,$DO228,$B$8,1),OFFSET($M$15,0,0,$B$8,1))=EM$14))   /   SUM(OFFSET($BO$15,0,0,$B$14,1)) + $B$18/($B$19*$B$19*($DN228&lt;&gt;$DO228) + $B$19*($DN228=$DO228))</f>
        <v>3.7037037037037035E-4</v>
      </c>
      <c r="EN228" s="10" cm="1">
        <f t="array" aca="1" ref="EN228" ca="1">(1-$B$18)*SUMPRODUCT(OFFSET($BO$15,0,0,$B$14,1), 1*(_xlfn._xlws.FILTER(OFFSET($O$15,0,$DN228,$B$8,1),OFFSET($M$15,0,0,$B$8,1))=EN$13), 1*(_xlfn._xlws.FILTER(OFFSET($O$15,0,$DO228,$B$8,1),OFFSET($M$15,0,0,$B$8,1))=EN$14))   /   SUM(OFFSET($BO$15,0,0,$B$14,1)) + $B$18/($B$19*$B$19*($DN228&lt;&gt;$DO228) + $B$19*($DN228=$DO228))</f>
        <v>3.7037037037037035E-4</v>
      </c>
      <c r="EO228" s="10" cm="1">
        <f t="array" aca="1" ref="EO228" ca="1">(1-$B$18)*SUMPRODUCT(OFFSET($BO$15,0,0,$B$14,1), 1*(_xlfn._xlws.FILTER(OFFSET($O$15,0,$DN228,$B$8,1),OFFSET($M$15,0,0,$B$8,1))=EO$13), 1*(_xlfn._xlws.FILTER(OFFSET($O$15,0,$DO228,$B$8,1),OFFSET($M$15,0,0,$B$8,1))=EO$14))   /   SUM(OFFSET($BO$15,0,0,$B$14,1)) + $B$18/($B$19*$B$19*($DN228&lt;&gt;$DO228) + $B$19*($DN228=$DO228))</f>
        <v>3.7037037037037035E-4</v>
      </c>
      <c r="EP228" s="10" cm="1">
        <f t="array" aca="1" ref="EP228" ca="1">(1-$B$18)*SUMPRODUCT(OFFSET($BO$15,0,0,$B$14,1), 1*(_xlfn._xlws.FILTER(OFFSET($O$15,0,$DN228,$B$8,1),OFFSET($M$15,0,0,$B$8,1))=EP$13), 1*(_xlfn._xlws.FILTER(OFFSET($O$15,0,$DO228,$B$8,1),OFFSET($M$15,0,0,$B$8,1))=EP$14))   /   SUM(OFFSET($BO$15,0,0,$B$14,1)) + $B$18/($B$19*$B$19*($DN228&lt;&gt;$DO228) + $B$19*($DN228=$DO228))</f>
        <v>3.7037037037037035E-4</v>
      </c>
      <c r="EQ228" s="10" cm="1">
        <f t="array" aca="1" ref="EQ228" ca="1">(1-$B$18)*SUMPRODUCT(OFFSET($BO$15,0,0,$B$14,1), 1*(_xlfn._xlws.FILTER(OFFSET($O$15,0,$DN228,$B$8,1),OFFSET($M$15,0,0,$B$8,1))=EQ$13), 1*(_xlfn._xlws.FILTER(OFFSET($O$15,0,$DO228,$B$8,1),OFFSET($M$15,0,0,$B$8,1))=EQ$14))   /   SUM(OFFSET($BO$15,0,0,$B$14,1)) + $B$18/($B$19*$B$19*($DN228&lt;&gt;$DO228) + $B$19*($DN228=$DO228))</f>
        <v>3.7037037037037035E-4</v>
      </c>
      <c r="ER228" s="10" cm="1">
        <f t="array" aca="1" ref="ER228" ca="1">(1-$B$18)*SUMPRODUCT(OFFSET($BO$15,0,0,$B$14,1), 1*(_xlfn._xlws.FILTER(OFFSET($O$15,0,$DN228,$B$8,1),OFFSET($M$15,0,0,$B$8,1))=ER$13), 1*(_xlfn._xlws.FILTER(OFFSET($O$15,0,$DO228,$B$8,1),OFFSET($M$15,0,0,$B$8,1))=ER$14))   /   SUM(OFFSET($BO$15,0,0,$B$14,1)) + $B$18/($B$19*$B$19*($DN228&lt;&gt;$DO228) + $B$19*($DN228=$DO228))</f>
        <v>3.7037037037037035E-4</v>
      </c>
      <c r="ES228" s="10" cm="1">
        <f t="array" aca="1" ref="ES228" ca="1">(1-$B$18)*SUMPRODUCT(OFFSET($BO$15,0,0,$B$14,1), 1*(_xlfn._xlws.FILTER(OFFSET($O$15,0,$DN228,$B$8,1),OFFSET($M$15,0,0,$B$8,1))=ES$13), 1*(_xlfn._xlws.FILTER(OFFSET($O$15,0,$DO228,$B$8,1),OFFSET($M$15,0,0,$B$8,1))=ES$14))   /   SUM(OFFSET($BO$15,0,0,$B$14,1)) + $B$18/($B$19*$B$19*($DN228&lt;&gt;$DO228) + $B$19*($DN228=$DO228))</f>
        <v>3.7037037037037035E-4</v>
      </c>
      <c r="ET228" s="10" cm="1">
        <f t="array" aca="1" ref="ET228" ca="1">(1-$B$18)*SUMPRODUCT(OFFSET($BO$15,0,0,$B$14,1), 1*(_xlfn._xlws.FILTER(OFFSET($O$15,0,$DN228,$B$8,1),OFFSET($M$15,0,0,$B$8,1))=ET$13), 1*(_xlfn._xlws.FILTER(OFFSET($O$15,0,$DO228,$B$8,1),OFFSET($M$15,0,0,$B$8,1))=ET$14))   /   SUM(OFFSET($BO$15,0,0,$B$14,1)) + $B$18/($B$19*$B$19*($DN228&lt;&gt;$DO228) + $B$19*($DN228=$DO228))</f>
        <v>3.7037037037037035E-4</v>
      </c>
      <c r="EU228" s="10" cm="1">
        <f t="array" aca="1" ref="EU228" ca="1">(1-$B$18)*SUMPRODUCT(OFFSET($BO$15,0,0,$B$14,1), 1*(_xlfn._xlws.FILTER(OFFSET($O$15,0,$DN228,$B$8,1),OFFSET($M$15,0,0,$B$8,1))=EU$13), 1*(_xlfn._xlws.FILTER(OFFSET($O$15,0,$DO228,$B$8,1),OFFSET($M$15,0,0,$B$8,1))=EU$14))   /   SUM(OFFSET($BO$15,0,0,$B$14,1)) + $B$18/($B$19*$B$19*($DN228&lt;&gt;$DO228) + $B$19*($DN228=$DO228))</f>
        <v>3.7037037037037035E-4</v>
      </c>
      <c r="EV228" s="10" cm="1">
        <f t="array" aca="1" ref="EV228" ca="1">(1-$B$18)*SUMPRODUCT(OFFSET($BO$15,0,0,$B$14,1), 1*(_xlfn._xlws.FILTER(OFFSET($O$15,0,$DN228,$B$8,1),OFFSET($M$15,0,0,$B$8,1))=EV$13), 1*(_xlfn._xlws.FILTER(OFFSET($O$15,0,$DO228,$B$8,1),OFFSET($M$15,0,0,$B$8,1))=EV$14))   /   SUM(OFFSET($BO$15,0,0,$B$14,1)) + $B$18/($B$19*$B$19*($DN228&lt;&gt;$DO228) + $B$19*($DN228=$DO228))</f>
        <v>3.7037037037037035E-4</v>
      </c>
      <c r="EW228" s="10" cm="1">
        <f t="array" aca="1" ref="EW228" ca="1">(1-$B$18)*SUMPRODUCT(OFFSET($BO$15,0,0,$B$14,1), 1*(_xlfn._xlws.FILTER(OFFSET($O$15,0,$DN228,$B$8,1),OFFSET($M$15,0,0,$B$8,1))=EW$13), 1*(_xlfn._xlws.FILTER(OFFSET($O$15,0,$DO228,$B$8,1),OFFSET($M$15,0,0,$B$8,1))=EW$14))   /   SUM(OFFSET($BO$15,0,0,$B$14,1)) + $B$18/($B$19*$B$19*($DN228&lt;&gt;$DO228) + $B$19*($DN228=$DO228))</f>
        <v>3.7037037037037035E-4</v>
      </c>
      <c r="EX228" s="10" cm="1">
        <f t="array" aca="1" ref="EX228" ca="1">(1-$B$18)*SUMPRODUCT(OFFSET($BO$15,0,0,$B$14,1), 1*(_xlfn._xlws.FILTER(OFFSET($O$15,0,$DN228,$B$8,1),OFFSET($M$15,0,0,$B$8,1))=EX$13), 1*(_xlfn._xlws.FILTER(OFFSET($O$15,0,$DO228,$B$8,1),OFFSET($M$15,0,0,$B$8,1))=EX$14))   /   SUM(OFFSET($BO$15,0,0,$B$14,1)) + $B$18/($B$19*$B$19*($DN228&lt;&gt;$DO228) + $B$19*($DN228=$DO228))</f>
        <v>3.7037037037037035E-4</v>
      </c>
      <c r="EY228" s="10" cm="1">
        <f t="array" aca="1" ref="EY228" ca="1">(1-$B$18)*SUMPRODUCT(OFFSET($BO$15,0,0,$B$14,1), 1*(_xlfn._xlws.FILTER(OFFSET($O$15,0,$DN228,$B$8,1),OFFSET($M$15,0,0,$B$8,1))=EY$13), 1*(_xlfn._xlws.FILTER(OFFSET($O$15,0,$DO228,$B$8,1),OFFSET($M$15,0,0,$B$8,1))=EY$14))   /   SUM(OFFSET($BO$15,0,0,$B$14,1)) + $B$18/($B$19*$B$19*($DN228&lt;&gt;$DO228) + $B$19*($DN228=$DO228))</f>
        <v>3.7037037037037035E-4</v>
      </c>
      <c r="EZ228" s="10" cm="1">
        <f t="array" aca="1" ref="EZ228" ca="1">(1-$B$18)*SUMPRODUCT(OFFSET($BO$15,0,0,$B$14,1), 1*(_xlfn._xlws.FILTER(OFFSET($O$15,0,$DN228,$B$8,1),OFFSET($M$15,0,0,$B$8,1))=EZ$13), 1*(_xlfn._xlws.FILTER(OFFSET($O$15,0,$DO228,$B$8,1),OFFSET($M$15,0,0,$B$8,1))=EZ$14))   /   SUM(OFFSET($BO$15,0,0,$B$14,1)) + $B$18/($B$19*$B$19*($DN228&lt;&gt;$DO228) + $B$19*($DN228=$DO228))</f>
        <v>3.7037037037037035E-4</v>
      </c>
      <c r="FA228" s="10" cm="1">
        <f t="array" aca="1" ref="FA228" ca="1">(1-$B$18)*SUMPRODUCT(OFFSET($BO$15,0,0,$B$14,1), 1*(_xlfn._xlws.FILTER(OFFSET($O$15,0,$DN228,$B$8,1),OFFSET($M$15,0,0,$B$8,1))=FA$13), 1*(_xlfn._xlws.FILTER(OFFSET($O$15,0,$DO228,$B$8,1),OFFSET($M$15,0,0,$B$8,1))=FA$14))   /   SUM(OFFSET($BO$15,0,0,$B$14,1)) + $B$18/($B$19*$B$19*($DN228&lt;&gt;$DO228) + $B$19*($DN228=$DO228))</f>
        <v>3.7037037037037035E-4</v>
      </c>
      <c r="FB228" s="10" cm="1">
        <f t="array" aca="1" ref="FB228" ca="1">(1-$B$18)*SUMPRODUCT(OFFSET($BO$15,0,0,$B$14,1), 1*(_xlfn._xlws.FILTER(OFFSET($O$15,0,$DN228,$B$8,1),OFFSET($M$15,0,0,$B$8,1))=FB$13), 1*(_xlfn._xlws.FILTER(OFFSET($O$15,0,$DO228,$B$8,1),OFFSET($M$15,0,0,$B$8,1))=FB$14))   /   SUM(OFFSET($BO$15,0,0,$B$14,1)) + $B$18/($B$19*$B$19*($DN228&lt;&gt;$DO228) + $B$19*($DN228=$DO228))</f>
        <v>3.7037037037037035E-4</v>
      </c>
      <c r="FC228" s="10" cm="1">
        <f t="array" aca="1" ref="FC228" ca="1">(1-$B$18)*SUMPRODUCT(OFFSET($BO$15,0,0,$B$14,1), 1*(_xlfn._xlws.FILTER(OFFSET($O$15,0,$DN228,$B$8,1),OFFSET($M$15,0,0,$B$8,1))=FC$13), 1*(_xlfn._xlws.FILTER(OFFSET($O$15,0,$DO228,$B$8,1),OFFSET($M$15,0,0,$B$8,1))=FC$14))   /   SUM(OFFSET($BO$15,0,0,$B$14,1)) + $B$18/($B$19*$B$19*($DN228&lt;&gt;$DO228) + $B$19*($DN228=$DO228))</f>
        <v>3.7037037037037035E-4</v>
      </c>
      <c r="FD228" s="10" cm="1">
        <f t="array" aca="1" ref="FD228" ca="1">(1-$B$18)*SUMPRODUCT(OFFSET($BO$15,0,0,$B$14,1), 1*(_xlfn._xlws.FILTER(OFFSET($O$15,0,$DN228,$B$8,1),OFFSET($M$15,0,0,$B$8,1))=FD$13), 1*(_xlfn._xlws.FILTER(OFFSET($O$15,0,$DO228,$B$8,1),OFFSET($M$15,0,0,$B$8,1))=FD$14))   /   SUM(OFFSET($BO$15,0,0,$B$14,1)) + $B$18/($B$19*$B$19*($DN228&lt;&gt;$DO228) + $B$19*($DN228=$DO228))</f>
        <v>3.7037037037037035E-4</v>
      </c>
      <c r="FE228" s="10" cm="1">
        <f t="array" aca="1" ref="FE228" ca="1">(1-$B$18)*SUMPRODUCT(OFFSET($BO$15,0,0,$B$14,1), 1*(_xlfn._xlws.FILTER(OFFSET($O$15,0,$DN228,$B$8,1),OFFSET($M$15,0,0,$B$8,1))=FE$13), 1*(_xlfn._xlws.FILTER(OFFSET($O$15,0,$DO228,$B$8,1),OFFSET($M$15,0,0,$B$8,1))=FE$14))   /   SUM(OFFSET($BO$15,0,0,$B$14,1)) + $B$18/($B$19*$B$19*($DN228&lt;&gt;$DO228) + $B$19*($DN228=$DO228))</f>
        <v>3.7037037037037035E-4</v>
      </c>
      <c r="FF228" s="10" cm="1">
        <f t="array" aca="1" ref="FF228" ca="1">(1-$B$18)*SUMPRODUCT(OFFSET($BO$15,0,0,$B$14,1), 1*(_xlfn._xlws.FILTER(OFFSET($O$15,0,$DN228,$B$8,1),OFFSET($M$15,0,0,$B$8,1))=FF$13), 1*(_xlfn._xlws.FILTER(OFFSET($O$15,0,$DO228,$B$8,1),OFFSET($M$15,0,0,$B$8,1))=FF$14))   /   SUM(OFFSET($BO$15,0,0,$B$14,1)) + $B$18/($B$19*$B$19*($DN228&lt;&gt;$DO228) + $B$19*($DN228=$DO228))</f>
        <v>3.7037037037037035E-4</v>
      </c>
      <c r="FG228" s="10" cm="1">
        <f t="array" aca="1" ref="FG228" ca="1">(1-$B$18)*SUMPRODUCT(OFFSET($BO$15,0,0,$B$14,1), 1*(_xlfn._xlws.FILTER(OFFSET($O$15,0,$DN228,$B$8,1),OFFSET($M$15,0,0,$B$8,1))=FG$13), 1*(_xlfn._xlws.FILTER(OFFSET($O$15,0,$DO228,$B$8,1),OFFSET($M$15,0,0,$B$8,1))=FG$14))   /   SUM(OFFSET($BO$15,0,0,$B$14,1)) + $B$18/($B$19*$B$19*($DN228&lt;&gt;$DO228) + $B$19*($DN228=$DO228))</f>
        <v>3.7037037037037035E-4</v>
      </c>
      <c r="FH228" s="10" cm="1">
        <f t="array" aca="1" ref="FH228" ca="1">(1-$B$18)*SUMPRODUCT(OFFSET($BO$15,0,0,$B$14,1), 1*(_xlfn._xlws.FILTER(OFFSET($O$15,0,$DN228,$B$8,1),OFFSET($M$15,0,0,$B$8,1))=FH$13), 1*(_xlfn._xlws.FILTER(OFFSET($O$15,0,$DO228,$B$8,1),OFFSET($M$15,0,0,$B$8,1))=FH$14))   /   SUM(OFFSET($BO$15,0,0,$B$14,1)) + $B$18/($B$19*$B$19*($DN228&lt;&gt;$DO228) + $B$19*($DN228=$DO228))</f>
        <v>3.7037037037037035E-4</v>
      </c>
      <c r="FI228" s="10" cm="1">
        <f t="array" aca="1" ref="FI228" ca="1">(1-$B$18)*SUMPRODUCT(OFFSET($BO$15,0,0,$B$14,1), 1*(_xlfn._xlws.FILTER(OFFSET($O$15,0,$DN228,$B$8,1),OFFSET($M$15,0,0,$B$8,1))=FI$13), 1*(_xlfn._xlws.FILTER(OFFSET($O$15,0,$DO228,$B$8,1),OFFSET($M$15,0,0,$B$8,1))=FI$14))   /   SUM(OFFSET($BO$15,0,0,$B$14,1)) + $B$18/($B$19*$B$19*($DN228&lt;&gt;$DO228) + $B$19*($DN228=$DO228))</f>
        <v>3.7037037037037035E-4</v>
      </c>
      <c r="FJ228" s="10" cm="1">
        <f t="array" aca="1" ref="FJ228" ca="1">(1-$B$18)*SUMPRODUCT(OFFSET($BO$15,0,0,$B$14,1), 1*(_xlfn._xlws.FILTER(OFFSET($O$15,0,$DN228,$B$8,1),OFFSET($M$15,0,0,$B$8,1))=FJ$13), 1*(_xlfn._xlws.FILTER(OFFSET($O$15,0,$DO228,$B$8,1),OFFSET($M$15,0,0,$B$8,1))=FJ$14))   /   SUM(OFFSET($BO$15,0,0,$B$14,1)) + $B$18/($B$19*$B$19*($DN228&lt;&gt;$DO228) + $B$19*($DN228=$DO228))</f>
        <v>3.7037037037037035E-4</v>
      </c>
      <c r="FK228" s="10" cm="1">
        <f t="array" aca="1" ref="FK228" ca="1">(1-$B$18)*SUMPRODUCT(OFFSET($BO$15,0,0,$B$14,1), 1*(_xlfn._xlws.FILTER(OFFSET($O$15,0,$DN228,$B$8,1),OFFSET($M$15,0,0,$B$8,1))=FK$13), 1*(_xlfn._xlws.FILTER(OFFSET($O$15,0,$DO228,$B$8,1),OFFSET($M$15,0,0,$B$8,1))=FK$14))   /   SUM(OFFSET($BO$15,0,0,$B$14,1)) + $B$18/($B$19*$B$19*($DN228&lt;&gt;$DO228) + $B$19*($DN228=$DO228))</f>
        <v>3.7037037037037035E-4</v>
      </c>
      <c r="FL228" s="10" cm="1">
        <f t="array" aca="1" ref="FL228" ca="1">(1-$B$18)*SUMPRODUCT(OFFSET($BO$15,0,0,$B$14,1), 1*(_xlfn._xlws.FILTER(OFFSET($O$15,0,$DN228,$B$8,1),OFFSET($M$15,0,0,$B$8,1))=FL$13), 1*(_xlfn._xlws.FILTER(OFFSET($O$15,0,$DO228,$B$8,1),OFFSET($M$15,0,0,$B$8,1))=FL$14))   /   SUM(OFFSET($BO$15,0,0,$B$14,1)) + $B$18/($B$19*$B$19*($DN228&lt;&gt;$DO228) + $B$19*($DN228=$DO228))</f>
        <v>3.7037037037037035E-4</v>
      </c>
      <c r="FM228" s="10" cm="1">
        <f t="array" aca="1" ref="FM228" ca="1">(1-$B$18)*SUMPRODUCT(OFFSET($BO$15,0,0,$B$14,1), 1*(_xlfn._xlws.FILTER(OFFSET($O$15,0,$DN228,$B$8,1),OFFSET($M$15,0,0,$B$8,1))=FM$13), 1*(_xlfn._xlws.FILTER(OFFSET($O$15,0,$DO228,$B$8,1),OFFSET($M$15,0,0,$B$8,1))=FM$14))   /   SUM(OFFSET($BO$15,0,0,$B$14,1)) + $B$18/($B$19*$B$19*($DN228&lt;&gt;$DO228) + $B$19*($DN228=$DO228))</f>
        <v>3.7037037037037035E-4</v>
      </c>
      <c r="FN228" s="10" cm="1">
        <f t="array" aca="1" ref="FN228" ca="1">(1-$B$18)*SUMPRODUCT(OFFSET($BO$15,0,0,$B$14,1), 1*(_xlfn._xlws.FILTER(OFFSET($O$15,0,$DN228,$B$8,1),OFFSET($M$15,0,0,$B$8,1))=FN$13), 1*(_xlfn._xlws.FILTER(OFFSET($O$15,0,$DO228,$B$8,1),OFFSET($M$15,0,0,$B$8,1))=FN$14))   /   SUM(OFFSET($BO$15,0,0,$B$14,1)) + $B$18/($B$19*$B$19*($DN228&lt;&gt;$DO228) + $B$19*($DN228=$DO228))</f>
        <v>3.7037037037037035E-4</v>
      </c>
      <c r="FO228" s="10" cm="1">
        <f t="array" aca="1" ref="FO228" ca="1">(1-$B$18)*SUMPRODUCT(OFFSET($BO$15,0,0,$B$14,1), 1*(_xlfn._xlws.FILTER(OFFSET($O$15,0,$DN228,$B$8,1),OFFSET($M$15,0,0,$B$8,1))=FO$13), 1*(_xlfn._xlws.FILTER(OFFSET($O$15,0,$DO228,$B$8,1),OFFSET($M$15,0,0,$B$8,1))=FO$14))   /   SUM(OFFSET($BO$15,0,0,$B$14,1)) + $B$18/($B$19*$B$19*($DN228&lt;&gt;$DO228) + $B$19*($DN228=$DO228))</f>
        <v>3.7037037037037035E-4</v>
      </c>
      <c r="FP228" s="10" cm="1">
        <f t="array" aca="1" ref="FP228" ca="1">(1-$B$18)*SUMPRODUCT(OFFSET($BO$15,0,0,$B$14,1), 1*(_xlfn._xlws.FILTER(OFFSET($O$15,0,$DN228,$B$8,1),OFFSET($M$15,0,0,$B$8,1))=FP$13), 1*(_xlfn._xlws.FILTER(OFFSET($O$15,0,$DO228,$B$8,1),OFFSET($M$15,0,0,$B$8,1))=FP$14))   /   SUM(OFFSET($BO$15,0,0,$B$14,1)) + $B$18/($B$19*$B$19*($DN228&lt;&gt;$DO228) + $B$19*($DN228=$DO228))</f>
        <v>3.7037037037037035E-4</v>
      </c>
      <c r="FQ228" s="10" cm="1">
        <f t="array" aca="1" ref="FQ228" ca="1">(1-$B$18)*SUMPRODUCT(OFFSET($BO$15,0,0,$B$14,1), 1*(_xlfn._xlws.FILTER(OFFSET($O$15,0,$DN228,$B$8,1),OFFSET($M$15,0,0,$B$8,1))=FQ$13), 1*(_xlfn._xlws.FILTER(OFFSET($O$15,0,$DO228,$B$8,1),OFFSET($M$15,0,0,$B$8,1))=FQ$14))   /   SUM(OFFSET($BO$15,0,0,$B$14,1)) + $B$18/($B$19*$B$19*($DN228&lt;&gt;$DO228) + $B$19*($DN228=$DO228))</f>
        <v>3.7037037037037035E-4</v>
      </c>
      <c r="FR228" s="10" cm="1">
        <f t="array" aca="1" ref="FR228" ca="1">(1-$B$18)*SUMPRODUCT(OFFSET($BO$15,0,0,$B$14,1), 1*(_xlfn._xlws.FILTER(OFFSET($O$15,0,$DN228,$B$8,1),OFFSET($M$15,0,0,$B$8,1))=FR$13), 1*(_xlfn._xlws.FILTER(OFFSET($O$15,0,$DO228,$B$8,1),OFFSET($M$15,0,0,$B$8,1))=FR$14))   /   SUM(OFFSET($BO$15,0,0,$B$14,1)) + $B$18/($B$19*$B$19*($DN228&lt;&gt;$DO228) + $B$19*($DN228=$DO228))</f>
        <v>3.7037037037037035E-4</v>
      </c>
      <c r="FS228" s="10" cm="1">
        <f t="array" aca="1" ref="FS228" ca="1">(1-$B$18)*SUMPRODUCT(OFFSET($BO$15,0,0,$B$14,1), 1*(_xlfn._xlws.FILTER(OFFSET($O$15,0,$DN228,$B$8,1),OFFSET($M$15,0,0,$B$8,1))=FS$13), 1*(_xlfn._xlws.FILTER(OFFSET($O$15,0,$DO228,$B$8,1),OFFSET($M$15,0,0,$B$8,1))=FS$14))   /   SUM(OFFSET($BO$15,0,0,$B$14,1)) + $B$18/($B$19*$B$19*($DN228&lt;&gt;$DO228) + $B$19*($DN228=$DO228))</f>
        <v>3.7037037037037035E-4</v>
      </c>
      <c r="FT228" s="10" cm="1">
        <f t="array" aca="1" ref="FT228" ca="1">(1-$B$18)*SUMPRODUCT(OFFSET($BO$15,0,0,$B$14,1), 1*(_xlfn._xlws.FILTER(OFFSET($O$15,0,$DN228,$B$8,1),OFFSET($M$15,0,0,$B$8,1))=FT$13), 1*(_xlfn._xlws.FILTER(OFFSET($O$15,0,$DO228,$B$8,1),OFFSET($M$15,0,0,$B$8,1))=FT$14))   /   SUM(OFFSET($BO$15,0,0,$B$14,1)) + $B$18/($B$19*$B$19*($DN228&lt;&gt;$DO228) + $B$19*($DN228=$DO228))</f>
        <v>3.7037037037037035E-4</v>
      </c>
      <c r="FU228" s="10" cm="1">
        <f t="array" aca="1" ref="FU228" ca="1">(1-$B$18)*SUMPRODUCT(OFFSET($BO$15,0,0,$B$14,1), 1*(_xlfn._xlws.FILTER(OFFSET($O$15,0,$DN228,$B$8,1),OFFSET($M$15,0,0,$B$8,1))=FU$13), 1*(_xlfn._xlws.FILTER(OFFSET($O$15,0,$DO228,$B$8,1),OFFSET($M$15,0,0,$B$8,1))=FU$14))   /   SUM(OFFSET($BO$15,0,0,$B$14,1)) + $B$18/($B$19*$B$19*($DN228&lt;&gt;$DO228) + $B$19*($DN228=$DO228))</f>
        <v>3.7037037037037035E-4</v>
      </c>
      <c r="FV228" s="10" cm="1">
        <f t="array" aca="1" ref="FV228" ca="1">(1-$B$18)*SUMPRODUCT(OFFSET($BO$15,0,0,$B$14,1), 1*(_xlfn._xlws.FILTER(OFFSET($O$15,0,$DN228,$B$8,1),OFFSET($M$15,0,0,$B$8,1))=FV$13), 1*(_xlfn._xlws.FILTER(OFFSET($O$15,0,$DO228,$B$8,1),OFFSET($M$15,0,0,$B$8,1))=FV$14))   /   SUM(OFFSET($BO$15,0,0,$B$14,1)) + $B$18/($B$19*$B$19*($DN228&lt;&gt;$DO228) + $B$19*($DN228=$DO228))</f>
        <v>3.7037037037037035E-4</v>
      </c>
      <c r="FW228" s="10" cm="1">
        <f t="array" aca="1" ref="FW228" ca="1">(1-$B$18)*SUMPRODUCT(OFFSET($BO$15,0,0,$B$14,1), 1*(_xlfn._xlws.FILTER(OFFSET($O$15,0,$DN228,$B$8,1),OFFSET($M$15,0,0,$B$8,1))=FW$13), 1*(_xlfn._xlws.FILTER(OFFSET($O$15,0,$DO228,$B$8,1),OFFSET($M$15,0,0,$B$8,1))=FW$14))   /   SUM(OFFSET($BO$15,0,0,$B$14,1)) + $B$18/($B$19*$B$19*($DN228&lt;&gt;$DO228) + $B$19*($DN228=$DO228))</f>
        <v>3.7037037037037035E-4</v>
      </c>
      <c r="FX228" s="10" cm="1">
        <f t="array" aca="1" ref="FX228" ca="1">(1-$B$18)*SUMPRODUCT(OFFSET($BO$15,0,0,$B$14,1), 1*(_xlfn._xlws.FILTER(OFFSET($O$15,0,$DN228,$B$8,1),OFFSET($M$15,0,0,$B$8,1))=FX$13), 1*(_xlfn._xlws.FILTER(OFFSET($O$15,0,$DO228,$B$8,1),OFFSET($M$15,0,0,$B$8,1))=FX$14))   /   SUM(OFFSET($BO$15,0,0,$B$14,1)) + $B$18/($B$19*$B$19*($DN228&lt;&gt;$DO228) + $B$19*($DN228=$DO228))</f>
        <v>3.7037037037037035E-4</v>
      </c>
      <c r="FY228" s="10" cm="1">
        <f t="array" aca="1" ref="FY228" ca="1">(1-$B$18)*SUMPRODUCT(OFFSET($BO$15,0,0,$B$14,1), 1*(_xlfn._xlws.FILTER(OFFSET($O$15,0,$DN228,$B$8,1),OFFSET($M$15,0,0,$B$8,1))=FY$13), 1*(_xlfn._xlws.FILTER(OFFSET($O$15,0,$DO228,$B$8,1),OFFSET($M$15,0,0,$B$8,1))=FY$14))   /   SUM(OFFSET($BO$15,0,0,$B$14,1)) + $B$18/($B$19*$B$19*($DN228&lt;&gt;$DO228) + $B$19*($DN228=$DO228))</f>
        <v>3.7037037037037035E-4</v>
      </c>
      <c r="FZ228" s="10" cm="1">
        <f t="array" aca="1" ref="FZ228" ca="1">(1-$B$18)*SUMPRODUCT(OFFSET($BO$15,0,0,$B$14,1), 1*(_xlfn._xlws.FILTER(OFFSET($O$15,0,$DN228,$B$8,1),OFFSET($M$15,0,0,$B$8,1))=FZ$13), 1*(_xlfn._xlws.FILTER(OFFSET($O$15,0,$DO228,$B$8,1),OFFSET($M$15,0,0,$B$8,1))=FZ$14))   /   SUM(OFFSET($BO$15,0,0,$B$14,1)) + $B$18/($B$19*$B$19*($DN228&lt;&gt;$DO228) + $B$19*($DN228=$DO228))</f>
        <v>3.7037037037037035E-4</v>
      </c>
      <c r="GA228" s="10" cm="1">
        <f t="array" aca="1" ref="GA228" ca="1">(1-$B$18)*SUMPRODUCT(OFFSET($BO$15,0,0,$B$14,1), 1*(_xlfn._xlws.FILTER(OFFSET($O$15,0,$DN228,$B$8,1),OFFSET($M$15,0,0,$B$8,1))=GA$13), 1*(_xlfn._xlws.FILTER(OFFSET($O$15,0,$DO228,$B$8,1),OFFSET($M$15,0,0,$B$8,1))=GA$14))   /   SUM(OFFSET($BO$15,0,0,$B$14,1)) + $B$18/($B$19*$B$19*($DN228&lt;&gt;$DO228) + $B$19*($DN228=$DO228))</f>
        <v>3.7037037037037035E-4</v>
      </c>
    </row>
    <row r="229" spans="118:183" x14ac:dyDescent="0.2">
      <c r="DN229" cm="1">
        <f t="array" aca="1" ref="DN229" ca="1">INDEX(_xlfn.ANCHORARRAY($CP$15), 1 + INT((ROWS($DO$15:$DO229) - 1) / ROWS(_xlfn.ANCHORARRAY($CP$15))))</f>
        <v>12</v>
      </c>
      <c r="DO229" cm="1">
        <f t="array" aca="1" ref="DO229" ca="1">INDEX(_xlfn.ANCHORARRAY($CP$15),1+MOD(ROWS($DO$15:$DO229)-1,ROWS(_xlfn.ANCHORARRAY($CP$15))))</f>
        <v>5</v>
      </c>
      <c r="DP229" s="10" cm="1">
        <f t="array" aca="1" ref="DP229" ca="1">(1-$B$18)*SUMPRODUCT(OFFSET($BO$15,0,0,$B$14,1), 1*(_xlfn._xlws.FILTER(OFFSET($O$15,0,$DN229,$B$8,1),OFFSET($M$15,0,0,$B$8,1))=DP$13), 1*(_xlfn._xlws.FILTER(OFFSET($O$15,0,$DO229,$B$8,1),OFFSET($M$15,0,0,$B$8,1))=DP$14))   /   SUM(OFFSET($BO$15,0,0,$B$14,1)) + $B$18/($B$19*$B$19*($DN229&lt;&gt;$DO229) + $B$19*($DN229=$DO229))</f>
        <v>3.7037037037037035E-4</v>
      </c>
      <c r="DQ229" s="10" cm="1">
        <f t="array" aca="1" ref="DQ229" ca="1">(1-$B$18)*SUMPRODUCT(OFFSET($BO$15,0,0,$B$14,1), 1*(_xlfn._xlws.FILTER(OFFSET($O$15,0,$DN229,$B$8,1),OFFSET($M$15,0,0,$B$8,1))=DQ$13), 1*(_xlfn._xlws.FILTER(OFFSET($O$15,0,$DO229,$B$8,1),OFFSET($M$15,0,0,$B$8,1))=DQ$14))   /   SUM(OFFSET($BO$15,0,0,$B$14,1)) + $B$18/($B$19*$B$19*($DN229&lt;&gt;$DO229) + $B$19*($DN229=$DO229))</f>
        <v>3.7037037037037035E-4</v>
      </c>
      <c r="DR229" s="10" cm="1">
        <f t="array" aca="1" ref="DR229" ca="1">(1-$B$18)*SUMPRODUCT(OFFSET($BO$15,0,0,$B$14,1), 1*(_xlfn._xlws.FILTER(OFFSET($O$15,0,$DN229,$B$8,1),OFFSET($M$15,0,0,$B$8,1))=DR$13), 1*(_xlfn._xlws.FILTER(OFFSET($O$15,0,$DO229,$B$8,1),OFFSET($M$15,0,0,$B$8,1))=DR$14))   /   SUM(OFFSET($BO$15,0,0,$B$14,1)) + $B$18/($B$19*$B$19*($DN229&lt;&gt;$DO229) + $B$19*($DN229=$DO229))</f>
        <v>3.7037037037037035E-4</v>
      </c>
      <c r="DS229" s="10" cm="1">
        <f t="array" aca="1" ref="DS229" ca="1">(1-$B$18)*SUMPRODUCT(OFFSET($BO$15,0,0,$B$14,1), 1*(_xlfn._xlws.FILTER(OFFSET($O$15,0,$DN229,$B$8,1),OFFSET($M$15,0,0,$B$8,1))=DS$13), 1*(_xlfn._xlws.FILTER(OFFSET($O$15,0,$DO229,$B$8,1),OFFSET($M$15,0,0,$B$8,1))=DS$14))   /   SUM(OFFSET($BO$15,0,0,$B$14,1)) + $B$18/($B$19*$B$19*($DN229&lt;&gt;$DO229) + $B$19*($DN229=$DO229))</f>
        <v>3.7037037037037035E-4</v>
      </c>
      <c r="DT229" s="10" cm="1">
        <f t="array" aca="1" ref="DT229" ca="1">(1-$B$18)*SUMPRODUCT(OFFSET($BO$15,0,0,$B$14,1), 1*(_xlfn._xlws.FILTER(OFFSET($O$15,0,$DN229,$B$8,1),OFFSET($M$15,0,0,$B$8,1))=DT$13), 1*(_xlfn._xlws.FILTER(OFFSET($O$15,0,$DO229,$B$8,1),OFFSET($M$15,0,0,$B$8,1))=DT$14))   /   SUM(OFFSET($BO$15,0,0,$B$14,1)) + $B$18/($B$19*$B$19*($DN229&lt;&gt;$DO229) + $B$19*($DN229=$DO229))</f>
        <v>3.7037037037037035E-4</v>
      </c>
      <c r="DU229" s="10" cm="1">
        <f t="array" aca="1" ref="DU229" ca="1">(1-$B$18)*SUMPRODUCT(OFFSET($BO$15,0,0,$B$14,1), 1*(_xlfn._xlws.FILTER(OFFSET($O$15,0,$DN229,$B$8,1),OFFSET($M$15,0,0,$B$8,1))=DU$13), 1*(_xlfn._xlws.FILTER(OFFSET($O$15,0,$DO229,$B$8,1),OFFSET($M$15,0,0,$B$8,1))=DU$14))   /   SUM(OFFSET($BO$15,0,0,$B$14,1)) + $B$18/($B$19*$B$19*($DN229&lt;&gt;$DO229) + $B$19*($DN229=$DO229))</f>
        <v>3.7037037037037035E-4</v>
      </c>
      <c r="DV229" s="10" cm="1">
        <f t="array" aca="1" ref="DV229" ca="1">(1-$B$18)*SUMPRODUCT(OFFSET($BO$15,0,0,$B$14,1), 1*(_xlfn._xlws.FILTER(OFFSET($O$15,0,$DN229,$B$8,1),OFFSET($M$15,0,0,$B$8,1))=DV$13), 1*(_xlfn._xlws.FILTER(OFFSET($O$15,0,$DO229,$B$8,1),OFFSET($M$15,0,0,$B$8,1))=DV$14))   /   SUM(OFFSET($BO$15,0,0,$B$14,1)) + $B$18/($B$19*$B$19*($DN229&lt;&gt;$DO229) + $B$19*($DN229=$DO229))</f>
        <v>3.7037037037037035E-4</v>
      </c>
      <c r="DW229" s="10" cm="1">
        <f t="array" aca="1" ref="DW229" ca="1">(1-$B$18)*SUMPRODUCT(OFFSET($BO$15,0,0,$B$14,1), 1*(_xlfn._xlws.FILTER(OFFSET($O$15,0,$DN229,$B$8,1),OFFSET($M$15,0,0,$B$8,1))=DW$13), 1*(_xlfn._xlws.FILTER(OFFSET($O$15,0,$DO229,$B$8,1),OFFSET($M$15,0,0,$B$8,1))=DW$14))   /   SUM(OFFSET($BO$15,0,0,$B$14,1)) + $B$18/($B$19*$B$19*($DN229&lt;&gt;$DO229) + $B$19*($DN229=$DO229))</f>
        <v>3.7037037037037035E-4</v>
      </c>
      <c r="DX229" s="10" cm="1">
        <f t="array" aca="1" ref="DX229" ca="1">(1-$B$18)*SUMPRODUCT(OFFSET($BO$15,0,0,$B$14,1), 1*(_xlfn._xlws.FILTER(OFFSET($O$15,0,$DN229,$B$8,1),OFFSET($M$15,0,0,$B$8,1))=DX$13), 1*(_xlfn._xlws.FILTER(OFFSET($O$15,0,$DO229,$B$8,1),OFFSET($M$15,0,0,$B$8,1))=DX$14))   /   SUM(OFFSET($BO$15,0,0,$B$14,1)) + $B$18/($B$19*$B$19*($DN229&lt;&gt;$DO229) + $B$19*($DN229=$DO229))</f>
        <v>3.7037037037037035E-4</v>
      </c>
      <c r="DY229" s="10" cm="1">
        <f t="array" aca="1" ref="DY229" ca="1">(1-$B$18)*SUMPRODUCT(OFFSET($BO$15,0,0,$B$14,1), 1*(_xlfn._xlws.FILTER(OFFSET($O$15,0,$DN229,$B$8,1),OFFSET($M$15,0,0,$B$8,1))=DY$13), 1*(_xlfn._xlws.FILTER(OFFSET($O$15,0,$DO229,$B$8,1),OFFSET($M$15,0,0,$B$8,1))=DY$14))   /   SUM(OFFSET($BO$15,0,0,$B$14,1)) + $B$18/($B$19*$B$19*($DN229&lt;&gt;$DO229) + $B$19*($DN229=$DO229))</f>
        <v>3.7037037037037035E-4</v>
      </c>
      <c r="DZ229" s="10" cm="1">
        <f t="array" aca="1" ref="DZ229" ca="1">(1-$B$18)*SUMPRODUCT(OFFSET($BO$15,0,0,$B$14,1), 1*(_xlfn._xlws.FILTER(OFFSET($O$15,0,$DN229,$B$8,1),OFFSET($M$15,0,0,$B$8,1))=DZ$13), 1*(_xlfn._xlws.FILTER(OFFSET($O$15,0,$DO229,$B$8,1),OFFSET($M$15,0,0,$B$8,1))=DZ$14))   /   SUM(OFFSET($BO$15,0,0,$B$14,1)) + $B$18/($B$19*$B$19*($DN229&lt;&gt;$DO229) + $B$19*($DN229=$DO229))</f>
        <v>3.7037037037037035E-4</v>
      </c>
      <c r="EA229" s="10" cm="1">
        <f t="array" aca="1" ref="EA229" ca="1">(1-$B$18)*SUMPRODUCT(OFFSET($BO$15,0,0,$B$14,1), 1*(_xlfn._xlws.FILTER(OFFSET($O$15,0,$DN229,$B$8,1),OFFSET($M$15,0,0,$B$8,1))=EA$13), 1*(_xlfn._xlws.FILTER(OFFSET($O$15,0,$DO229,$B$8,1),OFFSET($M$15,0,0,$B$8,1))=EA$14))   /   SUM(OFFSET($BO$15,0,0,$B$14,1)) + $B$18/($B$19*$B$19*($DN229&lt;&gt;$DO229) + $B$19*($DN229=$DO229))</f>
        <v>3.7037037037037035E-4</v>
      </c>
      <c r="EB229" s="10" cm="1">
        <f t="array" aca="1" ref="EB229" ca="1">(1-$B$18)*SUMPRODUCT(OFFSET($BO$15,0,0,$B$14,1), 1*(_xlfn._xlws.FILTER(OFFSET($O$15,0,$DN229,$B$8,1),OFFSET($M$15,0,0,$B$8,1))=EB$13), 1*(_xlfn._xlws.FILTER(OFFSET($O$15,0,$DO229,$B$8,1),OFFSET($M$15,0,0,$B$8,1))=EB$14))   /   SUM(OFFSET($BO$15,0,0,$B$14,1)) + $B$18/($B$19*$B$19*($DN229&lt;&gt;$DO229) + $B$19*($DN229=$DO229))</f>
        <v>3.7037037037037035E-4</v>
      </c>
      <c r="EC229" s="10" cm="1">
        <f t="array" aca="1" ref="EC229" ca="1">(1-$B$18)*SUMPRODUCT(OFFSET($BO$15,0,0,$B$14,1), 1*(_xlfn._xlws.FILTER(OFFSET($O$15,0,$DN229,$B$8,1),OFFSET($M$15,0,0,$B$8,1))=EC$13), 1*(_xlfn._xlws.FILTER(OFFSET($O$15,0,$DO229,$B$8,1),OFFSET($M$15,0,0,$B$8,1))=EC$14))   /   SUM(OFFSET($BO$15,0,0,$B$14,1)) + $B$18/($B$19*$B$19*($DN229&lt;&gt;$DO229) + $B$19*($DN229=$DO229))</f>
        <v>3.7037037037037035E-4</v>
      </c>
      <c r="ED229" s="10" cm="1">
        <f t="array" aca="1" ref="ED229" ca="1">(1-$B$18)*SUMPRODUCT(OFFSET($BO$15,0,0,$B$14,1), 1*(_xlfn._xlws.FILTER(OFFSET($O$15,0,$DN229,$B$8,1),OFFSET($M$15,0,0,$B$8,1))=ED$13), 1*(_xlfn._xlws.FILTER(OFFSET($O$15,0,$DO229,$B$8,1),OFFSET($M$15,0,0,$B$8,1))=ED$14))   /   SUM(OFFSET($BO$15,0,0,$B$14,1)) + $B$18/($B$19*$B$19*($DN229&lt;&gt;$DO229) + $B$19*($DN229=$DO229))</f>
        <v>0.97037037037037033</v>
      </c>
      <c r="EE229" s="10" cm="1">
        <f t="array" aca="1" ref="EE229" ca="1">(1-$B$18)*SUMPRODUCT(OFFSET($BO$15,0,0,$B$14,1), 1*(_xlfn._xlws.FILTER(OFFSET($O$15,0,$DN229,$B$8,1),OFFSET($M$15,0,0,$B$8,1))=EE$13), 1*(_xlfn._xlws.FILTER(OFFSET($O$15,0,$DO229,$B$8,1),OFFSET($M$15,0,0,$B$8,1))=EE$14))   /   SUM(OFFSET($BO$15,0,0,$B$14,1)) + $B$18/($B$19*$B$19*($DN229&lt;&gt;$DO229) + $B$19*($DN229=$DO229))</f>
        <v>3.7037037037037035E-4</v>
      </c>
      <c r="EF229" s="10" cm="1">
        <f t="array" aca="1" ref="EF229" ca="1">(1-$B$18)*SUMPRODUCT(OFFSET($BO$15,0,0,$B$14,1), 1*(_xlfn._xlws.FILTER(OFFSET($O$15,0,$DN229,$B$8,1),OFFSET($M$15,0,0,$B$8,1))=EF$13), 1*(_xlfn._xlws.FILTER(OFFSET($O$15,0,$DO229,$B$8,1),OFFSET($M$15,0,0,$B$8,1))=EF$14))   /   SUM(OFFSET($BO$15,0,0,$B$14,1)) + $B$18/($B$19*$B$19*($DN229&lt;&gt;$DO229) + $B$19*($DN229=$DO229))</f>
        <v>3.7037037037037035E-4</v>
      </c>
      <c r="EG229" s="10" cm="1">
        <f t="array" aca="1" ref="EG229" ca="1">(1-$B$18)*SUMPRODUCT(OFFSET($BO$15,0,0,$B$14,1), 1*(_xlfn._xlws.FILTER(OFFSET($O$15,0,$DN229,$B$8,1),OFFSET($M$15,0,0,$B$8,1))=EG$13), 1*(_xlfn._xlws.FILTER(OFFSET($O$15,0,$DO229,$B$8,1),OFFSET($M$15,0,0,$B$8,1))=EG$14))   /   SUM(OFFSET($BO$15,0,0,$B$14,1)) + $B$18/($B$19*$B$19*($DN229&lt;&gt;$DO229) + $B$19*($DN229=$DO229))</f>
        <v>3.7037037037037035E-4</v>
      </c>
      <c r="EH229" s="10" cm="1">
        <f t="array" aca="1" ref="EH229" ca="1">(1-$B$18)*SUMPRODUCT(OFFSET($BO$15,0,0,$B$14,1), 1*(_xlfn._xlws.FILTER(OFFSET($O$15,0,$DN229,$B$8,1),OFFSET($M$15,0,0,$B$8,1))=EH$13), 1*(_xlfn._xlws.FILTER(OFFSET($O$15,0,$DO229,$B$8,1),OFFSET($M$15,0,0,$B$8,1))=EH$14))   /   SUM(OFFSET($BO$15,0,0,$B$14,1)) + $B$18/($B$19*$B$19*($DN229&lt;&gt;$DO229) + $B$19*($DN229=$DO229))</f>
        <v>3.7037037037037035E-4</v>
      </c>
      <c r="EI229" s="10" cm="1">
        <f t="array" aca="1" ref="EI229" ca="1">(1-$B$18)*SUMPRODUCT(OFFSET($BO$15,0,0,$B$14,1), 1*(_xlfn._xlws.FILTER(OFFSET($O$15,0,$DN229,$B$8,1),OFFSET($M$15,0,0,$B$8,1))=EI$13), 1*(_xlfn._xlws.FILTER(OFFSET($O$15,0,$DO229,$B$8,1),OFFSET($M$15,0,0,$B$8,1))=EI$14))   /   SUM(OFFSET($BO$15,0,0,$B$14,1)) + $B$18/($B$19*$B$19*($DN229&lt;&gt;$DO229) + $B$19*($DN229=$DO229))</f>
        <v>3.7037037037037035E-4</v>
      </c>
      <c r="EJ229" s="10" cm="1">
        <f t="array" aca="1" ref="EJ229" ca="1">(1-$B$18)*SUMPRODUCT(OFFSET($BO$15,0,0,$B$14,1), 1*(_xlfn._xlws.FILTER(OFFSET($O$15,0,$DN229,$B$8,1),OFFSET($M$15,0,0,$B$8,1))=EJ$13), 1*(_xlfn._xlws.FILTER(OFFSET($O$15,0,$DO229,$B$8,1),OFFSET($M$15,0,0,$B$8,1))=EJ$14))   /   SUM(OFFSET($BO$15,0,0,$B$14,1)) + $B$18/($B$19*$B$19*($DN229&lt;&gt;$DO229) + $B$19*($DN229=$DO229))</f>
        <v>3.7037037037037035E-4</v>
      </c>
      <c r="EK229" s="10" cm="1">
        <f t="array" aca="1" ref="EK229" ca="1">(1-$B$18)*SUMPRODUCT(OFFSET($BO$15,0,0,$B$14,1), 1*(_xlfn._xlws.FILTER(OFFSET($O$15,0,$DN229,$B$8,1),OFFSET($M$15,0,0,$B$8,1))=EK$13), 1*(_xlfn._xlws.FILTER(OFFSET($O$15,0,$DO229,$B$8,1),OFFSET($M$15,0,0,$B$8,1))=EK$14))   /   SUM(OFFSET($BO$15,0,0,$B$14,1)) + $B$18/($B$19*$B$19*($DN229&lt;&gt;$DO229) + $B$19*($DN229=$DO229))</f>
        <v>3.7037037037037035E-4</v>
      </c>
      <c r="EL229" s="10" cm="1">
        <f t="array" aca="1" ref="EL229" ca="1">(1-$B$18)*SUMPRODUCT(OFFSET($BO$15,0,0,$B$14,1), 1*(_xlfn._xlws.FILTER(OFFSET($O$15,0,$DN229,$B$8,1),OFFSET($M$15,0,0,$B$8,1))=EL$13), 1*(_xlfn._xlws.FILTER(OFFSET($O$15,0,$DO229,$B$8,1),OFFSET($M$15,0,0,$B$8,1))=EL$14))   /   SUM(OFFSET($BO$15,0,0,$B$14,1)) + $B$18/($B$19*$B$19*($DN229&lt;&gt;$DO229) + $B$19*($DN229=$DO229))</f>
        <v>3.7037037037037035E-4</v>
      </c>
      <c r="EM229" s="10" cm="1">
        <f t="array" aca="1" ref="EM229" ca="1">(1-$B$18)*SUMPRODUCT(OFFSET($BO$15,0,0,$B$14,1), 1*(_xlfn._xlws.FILTER(OFFSET($O$15,0,$DN229,$B$8,1),OFFSET($M$15,0,0,$B$8,1))=EM$13), 1*(_xlfn._xlws.FILTER(OFFSET($O$15,0,$DO229,$B$8,1),OFFSET($M$15,0,0,$B$8,1))=EM$14))   /   SUM(OFFSET($BO$15,0,0,$B$14,1)) + $B$18/($B$19*$B$19*($DN229&lt;&gt;$DO229) + $B$19*($DN229=$DO229))</f>
        <v>3.7037037037037035E-4</v>
      </c>
      <c r="EN229" s="10" cm="1">
        <f t="array" aca="1" ref="EN229" ca="1">(1-$B$18)*SUMPRODUCT(OFFSET($BO$15,0,0,$B$14,1), 1*(_xlfn._xlws.FILTER(OFFSET($O$15,0,$DN229,$B$8,1),OFFSET($M$15,0,0,$B$8,1))=EN$13), 1*(_xlfn._xlws.FILTER(OFFSET($O$15,0,$DO229,$B$8,1),OFFSET($M$15,0,0,$B$8,1))=EN$14))   /   SUM(OFFSET($BO$15,0,0,$B$14,1)) + $B$18/($B$19*$B$19*($DN229&lt;&gt;$DO229) + $B$19*($DN229=$DO229))</f>
        <v>3.7037037037037035E-4</v>
      </c>
      <c r="EO229" s="10" cm="1">
        <f t="array" aca="1" ref="EO229" ca="1">(1-$B$18)*SUMPRODUCT(OFFSET($BO$15,0,0,$B$14,1), 1*(_xlfn._xlws.FILTER(OFFSET($O$15,0,$DN229,$B$8,1),OFFSET($M$15,0,0,$B$8,1))=EO$13), 1*(_xlfn._xlws.FILTER(OFFSET($O$15,0,$DO229,$B$8,1),OFFSET($M$15,0,0,$B$8,1))=EO$14))   /   SUM(OFFSET($BO$15,0,0,$B$14,1)) + $B$18/($B$19*$B$19*($DN229&lt;&gt;$DO229) + $B$19*($DN229=$DO229))</f>
        <v>3.7037037037037035E-4</v>
      </c>
      <c r="EP229" s="10" cm="1">
        <f t="array" aca="1" ref="EP229" ca="1">(1-$B$18)*SUMPRODUCT(OFFSET($BO$15,0,0,$B$14,1), 1*(_xlfn._xlws.FILTER(OFFSET($O$15,0,$DN229,$B$8,1),OFFSET($M$15,0,0,$B$8,1))=EP$13), 1*(_xlfn._xlws.FILTER(OFFSET($O$15,0,$DO229,$B$8,1),OFFSET($M$15,0,0,$B$8,1))=EP$14))   /   SUM(OFFSET($BO$15,0,0,$B$14,1)) + $B$18/($B$19*$B$19*($DN229&lt;&gt;$DO229) + $B$19*($DN229=$DO229))</f>
        <v>3.7037037037037035E-4</v>
      </c>
      <c r="EQ229" s="10" cm="1">
        <f t="array" aca="1" ref="EQ229" ca="1">(1-$B$18)*SUMPRODUCT(OFFSET($BO$15,0,0,$B$14,1), 1*(_xlfn._xlws.FILTER(OFFSET($O$15,0,$DN229,$B$8,1),OFFSET($M$15,0,0,$B$8,1))=EQ$13), 1*(_xlfn._xlws.FILTER(OFFSET($O$15,0,$DO229,$B$8,1),OFFSET($M$15,0,0,$B$8,1))=EQ$14))   /   SUM(OFFSET($BO$15,0,0,$B$14,1)) + $B$18/($B$19*$B$19*($DN229&lt;&gt;$DO229) + $B$19*($DN229=$DO229))</f>
        <v>3.7037037037037035E-4</v>
      </c>
      <c r="ER229" s="10" cm="1">
        <f t="array" aca="1" ref="ER229" ca="1">(1-$B$18)*SUMPRODUCT(OFFSET($BO$15,0,0,$B$14,1), 1*(_xlfn._xlws.FILTER(OFFSET($O$15,0,$DN229,$B$8,1),OFFSET($M$15,0,0,$B$8,1))=ER$13), 1*(_xlfn._xlws.FILTER(OFFSET($O$15,0,$DO229,$B$8,1),OFFSET($M$15,0,0,$B$8,1))=ER$14))   /   SUM(OFFSET($BO$15,0,0,$B$14,1)) + $B$18/($B$19*$B$19*($DN229&lt;&gt;$DO229) + $B$19*($DN229=$DO229))</f>
        <v>3.7037037037037035E-4</v>
      </c>
      <c r="ES229" s="10" cm="1">
        <f t="array" aca="1" ref="ES229" ca="1">(1-$B$18)*SUMPRODUCT(OFFSET($BO$15,0,0,$B$14,1), 1*(_xlfn._xlws.FILTER(OFFSET($O$15,0,$DN229,$B$8,1),OFFSET($M$15,0,0,$B$8,1))=ES$13), 1*(_xlfn._xlws.FILTER(OFFSET($O$15,0,$DO229,$B$8,1),OFFSET($M$15,0,0,$B$8,1))=ES$14))   /   SUM(OFFSET($BO$15,0,0,$B$14,1)) + $B$18/($B$19*$B$19*($DN229&lt;&gt;$DO229) + $B$19*($DN229=$DO229))</f>
        <v>3.7037037037037035E-4</v>
      </c>
      <c r="ET229" s="10" cm="1">
        <f t="array" aca="1" ref="ET229" ca="1">(1-$B$18)*SUMPRODUCT(OFFSET($BO$15,0,0,$B$14,1), 1*(_xlfn._xlws.FILTER(OFFSET($O$15,0,$DN229,$B$8,1),OFFSET($M$15,0,0,$B$8,1))=ET$13), 1*(_xlfn._xlws.FILTER(OFFSET($O$15,0,$DO229,$B$8,1),OFFSET($M$15,0,0,$B$8,1))=ET$14))   /   SUM(OFFSET($BO$15,0,0,$B$14,1)) + $B$18/($B$19*$B$19*($DN229&lt;&gt;$DO229) + $B$19*($DN229=$DO229))</f>
        <v>3.7037037037037035E-4</v>
      </c>
      <c r="EU229" s="10" cm="1">
        <f t="array" aca="1" ref="EU229" ca="1">(1-$B$18)*SUMPRODUCT(OFFSET($BO$15,0,0,$B$14,1), 1*(_xlfn._xlws.FILTER(OFFSET($O$15,0,$DN229,$B$8,1),OFFSET($M$15,0,0,$B$8,1))=EU$13), 1*(_xlfn._xlws.FILTER(OFFSET($O$15,0,$DO229,$B$8,1),OFFSET($M$15,0,0,$B$8,1))=EU$14))   /   SUM(OFFSET($BO$15,0,0,$B$14,1)) + $B$18/($B$19*$B$19*($DN229&lt;&gt;$DO229) + $B$19*($DN229=$DO229))</f>
        <v>3.7037037037037035E-4</v>
      </c>
      <c r="EV229" s="10" cm="1">
        <f t="array" aca="1" ref="EV229" ca="1">(1-$B$18)*SUMPRODUCT(OFFSET($BO$15,0,0,$B$14,1), 1*(_xlfn._xlws.FILTER(OFFSET($O$15,0,$DN229,$B$8,1),OFFSET($M$15,0,0,$B$8,1))=EV$13), 1*(_xlfn._xlws.FILTER(OFFSET($O$15,0,$DO229,$B$8,1),OFFSET($M$15,0,0,$B$8,1))=EV$14))   /   SUM(OFFSET($BO$15,0,0,$B$14,1)) + $B$18/($B$19*$B$19*($DN229&lt;&gt;$DO229) + $B$19*($DN229=$DO229))</f>
        <v>3.7037037037037035E-4</v>
      </c>
      <c r="EW229" s="10" cm="1">
        <f t="array" aca="1" ref="EW229" ca="1">(1-$B$18)*SUMPRODUCT(OFFSET($BO$15,0,0,$B$14,1), 1*(_xlfn._xlws.FILTER(OFFSET($O$15,0,$DN229,$B$8,1),OFFSET($M$15,0,0,$B$8,1))=EW$13), 1*(_xlfn._xlws.FILTER(OFFSET($O$15,0,$DO229,$B$8,1),OFFSET($M$15,0,0,$B$8,1))=EW$14))   /   SUM(OFFSET($BO$15,0,0,$B$14,1)) + $B$18/($B$19*$B$19*($DN229&lt;&gt;$DO229) + $B$19*($DN229=$DO229))</f>
        <v>3.7037037037037035E-4</v>
      </c>
      <c r="EX229" s="10" cm="1">
        <f t="array" aca="1" ref="EX229" ca="1">(1-$B$18)*SUMPRODUCT(OFFSET($BO$15,0,0,$B$14,1), 1*(_xlfn._xlws.FILTER(OFFSET($O$15,0,$DN229,$B$8,1),OFFSET($M$15,0,0,$B$8,1))=EX$13), 1*(_xlfn._xlws.FILTER(OFFSET($O$15,0,$DO229,$B$8,1),OFFSET($M$15,0,0,$B$8,1))=EX$14))   /   SUM(OFFSET($BO$15,0,0,$B$14,1)) + $B$18/($B$19*$B$19*($DN229&lt;&gt;$DO229) + $B$19*($DN229=$DO229))</f>
        <v>3.7037037037037035E-4</v>
      </c>
      <c r="EY229" s="10" cm="1">
        <f t="array" aca="1" ref="EY229" ca="1">(1-$B$18)*SUMPRODUCT(OFFSET($BO$15,0,0,$B$14,1), 1*(_xlfn._xlws.FILTER(OFFSET($O$15,0,$DN229,$B$8,1),OFFSET($M$15,0,0,$B$8,1))=EY$13), 1*(_xlfn._xlws.FILTER(OFFSET($O$15,0,$DO229,$B$8,1),OFFSET($M$15,0,0,$B$8,1))=EY$14))   /   SUM(OFFSET($BO$15,0,0,$B$14,1)) + $B$18/($B$19*$B$19*($DN229&lt;&gt;$DO229) + $B$19*($DN229=$DO229))</f>
        <v>3.7037037037037035E-4</v>
      </c>
      <c r="EZ229" s="10" cm="1">
        <f t="array" aca="1" ref="EZ229" ca="1">(1-$B$18)*SUMPRODUCT(OFFSET($BO$15,0,0,$B$14,1), 1*(_xlfn._xlws.FILTER(OFFSET($O$15,0,$DN229,$B$8,1),OFFSET($M$15,0,0,$B$8,1))=EZ$13), 1*(_xlfn._xlws.FILTER(OFFSET($O$15,0,$DO229,$B$8,1),OFFSET($M$15,0,0,$B$8,1))=EZ$14))   /   SUM(OFFSET($BO$15,0,0,$B$14,1)) + $B$18/($B$19*$B$19*($DN229&lt;&gt;$DO229) + $B$19*($DN229=$DO229))</f>
        <v>3.7037037037037035E-4</v>
      </c>
      <c r="FA229" s="10" cm="1">
        <f t="array" aca="1" ref="FA229" ca="1">(1-$B$18)*SUMPRODUCT(OFFSET($BO$15,0,0,$B$14,1), 1*(_xlfn._xlws.FILTER(OFFSET($O$15,0,$DN229,$B$8,1),OFFSET($M$15,0,0,$B$8,1))=FA$13), 1*(_xlfn._xlws.FILTER(OFFSET($O$15,0,$DO229,$B$8,1),OFFSET($M$15,0,0,$B$8,1))=FA$14))   /   SUM(OFFSET($BO$15,0,0,$B$14,1)) + $B$18/($B$19*$B$19*($DN229&lt;&gt;$DO229) + $B$19*($DN229=$DO229))</f>
        <v>3.7037037037037035E-4</v>
      </c>
      <c r="FB229" s="10" cm="1">
        <f t="array" aca="1" ref="FB229" ca="1">(1-$B$18)*SUMPRODUCT(OFFSET($BO$15,0,0,$B$14,1), 1*(_xlfn._xlws.FILTER(OFFSET($O$15,0,$DN229,$B$8,1),OFFSET($M$15,0,0,$B$8,1))=FB$13), 1*(_xlfn._xlws.FILTER(OFFSET($O$15,0,$DO229,$B$8,1),OFFSET($M$15,0,0,$B$8,1))=FB$14))   /   SUM(OFFSET($BO$15,0,0,$B$14,1)) + $B$18/($B$19*$B$19*($DN229&lt;&gt;$DO229) + $B$19*($DN229=$DO229))</f>
        <v>3.7037037037037035E-4</v>
      </c>
      <c r="FC229" s="10" cm="1">
        <f t="array" aca="1" ref="FC229" ca="1">(1-$B$18)*SUMPRODUCT(OFFSET($BO$15,0,0,$B$14,1), 1*(_xlfn._xlws.FILTER(OFFSET($O$15,0,$DN229,$B$8,1),OFFSET($M$15,0,0,$B$8,1))=FC$13), 1*(_xlfn._xlws.FILTER(OFFSET($O$15,0,$DO229,$B$8,1),OFFSET($M$15,0,0,$B$8,1))=FC$14))   /   SUM(OFFSET($BO$15,0,0,$B$14,1)) + $B$18/($B$19*$B$19*($DN229&lt;&gt;$DO229) + $B$19*($DN229=$DO229))</f>
        <v>3.7037037037037035E-4</v>
      </c>
      <c r="FD229" s="10" cm="1">
        <f t="array" aca="1" ref="FD229" ca="1">(1-$B$18)*SUMPRODUCT(OFFSET($BO$15,0,0,$B$14,1), 1*(_xlfn._xlws.FILTER(OFFSET($O$15,0,$DN229,$B$8,1),OFFSET($M$15,0,0,$B$8,1))=FD$13), 1*(_xlfn._xlws.FILTER(OFFSET($O$15,0,$DO229,$B$8,1),OFFSET($M$15,0,0,$B$8,1))=FD$14))   /   SUM(OFFSET($BO$15,0,0,$B$14,1)) + $B$18/($B$19*$B$19*($DN229&lt;&gt;$DO229) + $B$19*($DN229=$DO229))</f>
        <v>3.7037037037037035E-4</v>
      </c>
      <c r="FE229" s="10" cm="1">
        <f t="array" aca="1" ref="FE229" ca="1">(1-$B$18)*SUMPRODUCT(OFFSET($BO$15,0,0,$B$14,1), 1*(_xlfn._xlws.FILTER(OFFSET($O$15,0,$DN229,$B$8,1),OFFSET($M$15,0,0,$B$8,1))=FE$13), 1*(_xlfn._xlws.FILTER(OFFSET($O$15,0,$DO229,$B$8,1),OFFSET($M$15,0,0,$B$8,1))=FE$14))   /   SUM(OFFSET($BO$15,0,0,$B$14,1)) + $B$18/($B$19*$B$19*($DN229&lt;&gt;$DO229) + $B$19*($DN229=$DO229))</f>
        <v>3.7037037037037035E-4</v>
      </c>
      <c r="FF229" s="10" cm="1">
        <f t="array" aca="1" ref="FF229" ca="1">(1-$B$18)*SUMPRODUCT(OFFSET($BO$15,0,0,$B$14,1), 1*(_xlfn._xlws.FILTER(OFFSET($O$15,0,$DN229,$B$8,1),OFFSET($M$15,0,0,$B$8,1))=FF$13), 1*(_xlfn._xlws.FILTER(OFFSET($O$15,0,$DO229,$B$8,1),OFFSET($M$15,0,0,$B$8,1))=FF$14))   /   SUM(OFFSET($BO$15,0,0,$B$14,1)) + $B$18/($B$19*$B$19*($DN229&lt;&gt;$DO229) + $B$19*($DN229=$DO229))</f>
        <v>3.7037037037037035E-4</v>
      </c>
      <c r="FG229" s="10" cm="1">
        <f t="array" aca="1" ref="FG229" ca="1">(1-$B$18)*SUMPRODUCT(OFFSET($BO$15,0,0,$B$14,1), 1*(_xlfn._xlws.FILTER(OFFSET($O$15,0,$DN229,$B$8,1),OFFSET($M$15,0,0,$B$8,1))=FG$13), 1*(_xlfn._xlws.FILTER(OFFSET($O$15,0,$DO229,$B$8,1),OFFSET($M$15,0,0,$B$8,1))=FG$14))   /   SUM(OFFSET($BO$15,0,0,$B$14,1)) + $B$18/($B$19*$B$19*($DN229&lt;&gt;$DO229) + $B$19*($DN229=$DO229))</f>
        <v>3.7037037037037035E-4</v>
      </c>
      <c r="FH229" s="10" cm="1">
        <f t="array" aca="1" ref="FH229" ca="1">(1-$B$18)*SUMPRODUCT(OFFSET($BO$15,0,0,$B$14,1), 1*(_xlfn._xlws.FILTER(OFFSET($O$15,0,$DN229,$B$8,1),OFFSET($M$15,0,0,$B$8,1))=FH$13), 1*(_xlfn._xlws.FILTER(OFFSET($O$15,0,$DO229,$B$8,1),OFFSET($M$15,0,0,$B$8,1))=FH$14))   /   SUM(OFFSET($BO$15,0,0,$B$14,1)) + $B$18/($B$19*$B$19*($DN229&lt;&gt;$DO229) + $B$19*($DN229=$DO229))</f>
        <v>3.7037037037037035E-4</v>
      </c>
      <c r="FI229" s="10" cm="1">
        <f t="array" aca="1" ref="FI229" ca="1">(1-$B$18)*SUMPRODUCT(OFFSET($BO$15,0,0,$B$14,1), 1*(_xlfn._xlws.FILTER(OFFSET($O$15,0,$DN229,$B$8,1),OFFSET($M$15,0,0,$B$8,1))=FI$13), 1*(_xlfn._xlws.FILTER(OFFSET($O$15,0,$DO229,$B$8,1),OFFSET($M$15,0,0,$B$8,1))=FI$14))   /   SUM(OFFSET($BO$15,0,0,$B$14,1)) + $B$18/($B$19*$B$19*($DN229&lt;&gt;$DO229) + $B$19*($DN229=$DO229))</f>
        <v>3.7037037037037035E-4</v>
      </c>
      <c r="FJ229" s="10" cm="1">
        <f t="array" aca="1" ref="FJ229" ca="1">(1-$B$18)*SUMPRODUCT(OFFSET($BO$15,0,0,$B$14,1), 1*(_xlfn._xlws.FILTER(OFFSET($O$15,0,$DN229,$B$8,1),OFFSET($M$15,0,0,$B$8,1))=FJ$13), 1*(_xlfn._xlws.FILTER(OFFSET($O$15,0,$DO229,$B$8,1),OFFSET($M$15,0,0,$B$8,1))=FJ$14))   /   SUM(OFFSET($BO$15,0,0,$B$14,1)) + $B$18/($B$19*$B$19*($DN229&lt;&gt;$DO229) + $B$19*($DN229=$DO229))</f>
        <v>3.7037037037037035E-4</v>
      </c>
      <c r="FK229" s="10" cm="1">
        <f t="array" aca="1" ref="FK229" ca="1">(1-$B$18)*SUMPRODUCT(OFFSET($BO$15,0,0,$B$14,1), 1*(_xlfn._xlws.FILTER(OFFSET($O$15,0,$DN229,$B$8,1),OFFSET($M$15,0,0,$B$8,1))=FK$13), 1*(_xlfn._xlws.FILTER(OFFSET($O$15,0,$DO229,$B$8,1),OFFSET($M$15,0,0,$B$8,1))=FK$14))   /   SUM(OFFSET($BO$15,0,0,$B$14,1)) + $B$18/($B$19*$B$19*($DN229&lt;&gt;$DO229) + $B$19*($DN229=$DO229))</f>
        <v>3.7037037037037035E-4</v>
      </c>
      <c r="FL229" s="10" cm="1">
        <f t="array" aca="1" ref="FL229" ca="1">(1-$B$18)*SUMPRODUCT(OFFSET($BO$15,0,0,$B$14,1), 1*(_xlfn._xlws.FILTER(OFFSET($O$15,0,$DN229,$B$8,1),OFFSET($M$15,0,0,$B$8,1))=FL$13), 1*(_xlfn._xlws.FILTER(OFFSET($O$15,0,$DO229,$B$8,1),OFFSET($M$15,0,0,$B$8,1))=FL$14))   /   SUM(OFFSET($BO$15,0,0,$B$14,1)) + $B$18/($B$19*$B$19*($DN229&lt;&gt;$DO229) + $B$19*($DN229=$DO229))</f>
        <v>3.7037037037037035E-4</v>
      </c>
      <c r="FM229" s="10" cm="1">
        <f t="array" aca="1" ref="FM229" ca="1">(1-$B$18)*SUMPRODUCT(OFFSET($BO$15,0,0,$B$14,1), 1*(_xlfn._xlws.FILTER(OFFSET($O$15,0,$DN229,$B$8,1),OFFSET($M$15,0,0,$B$8,1))=FM$13), 1*(_xlfn._xlws.FILTER(OFFSET($O$15,0,$DO229,$B$8,1),OFFSET($M$15,0,0,$B$8,1))=FM$14))   /   SUM(OFFSET($BO$15,0,0,$B$14,1)) + $B$18/($B$19*$B$19*($DN229&lt;&gt;$DO229) + $B$19*($DN229=$DO229))</f>
        <v>3.7037037037037035E-4</v>
      </c>
      <c r="FN229" s="10" cm="1">
        <f t="array" aca="1" ref="FN229" ca="1">(1-$B$18)*SUMPRODUCT(OFFSET($BO$15,0,0,$B$14,1), 1*(_xlfn._xlws.FILTER(OFFSET($O$15,0,$DN229,$B$8,1),OFFSET($M$15,0,0,$B$8,1))=FN$13), 1*(_xlfn._xlws.FILTER(OFFSET($O$15,0,$DO229,$B$8,1),OFFSET($M$15,0,0,$B$8,1))=FN$14))   /   SUM(OFFSET($BO$15,0,0,$B$14,1)) + $B$18/($B$19*$B$19*($DN229&lt;&gt;$DO229) + $B$19*($DN229=$DO229))</f>
        <v>3.7037037037037035E-4</v>
      </c>
      <c r="FO229" s="10" cm="1">
        <f t="array" aca="1" ref="FO229" ca="1">(1-$B$18)*SUMPRODUCT(OFFSET($BO$15,0,0,$B$14,1), 1*(_xlfn._xlws.FILTER(OFFSET($O$15,0,$DN229,$B$8,1),OFFSET($M$15,0,0,$B$8,1))=FO$13), 1*(_xlfn._xlws.FILTER(OFFSET($O$15,0,$DO229,$B$8,1),OFFSET($M$15,0,0,$B$8,1))=FO$14))   /   SUM(OFFSET($BO$15,0,0,$B$14,1)) + $B$18/($B$19*$B$19*($DN229&lt;&gt;$DO229) + $B$19*($DN229=$DO229))</f>
        <v>3.7037037037037035E-4</v>
      </c>
      <c r="FP229" s="10" cm="1">
        <f t="array" aca="1" ref="FP229" ca="1">(1-$B$18)*SUMPRODUCT(OFFSET($BO$15,0,0,$B$14,1), 1*(_xlfn._xlws.FILTER(OFFSET($O$15,0,$DN229,$B$8,1),OFFSET($M$15,0,0,$B$8,1))=FP$13), 1*(_xlfn._xlws.FILTER(OFFSET($O$15,0,$DO229,$B$8,1),OFFSET($M$15,0,0,$B$8,1))=FP$14))   /   SUM(OFFSET($BO$15,0,0,$B$14,1)) + $B$18/($B$19*$B$19*($DN229&lt;&gt;$DO229) + $B$19*($DN229=$DO229))</f>
        <v>3.7037037037037035E-4</v>
      </c>
      <c r="FQ229" s="10" cm="1">
        <f t="array" aca="1" ref="FQ229" ca="1">(1-$B$18)*SUMPRODUCT(OFFSET($BO$15,0,0,$B$14,1), 1*(_xlfn._xlws.FILTER(OFFSET($O$15,0,$DN229,$B$8,1),OFFSET($M$15,0,0,$B$8,1))=FQ$13), 1*(_xlfn._xlws.FILTER(OFFSET($O$15,0,$DO229,$B$8,1),OFFSET($M$15,0,0,$B$8,1))=FQ$14))   /   SUM(OFFSET($BO$15,0,0,$B$14,1)) + $B$18/($B$19*$B$19*($DN229&lt;&gt;$DO229) + $B$19*($DN229=$DO229))</f>
        <v>3.7037037037037035E-4</v>
      </c>
      <c r="FR229" s="10" cm="1">
        <f t="array" aca="1" ref="FR229" ca="1">(1-$B$18)*SUMPRODUCT(OFFSET($BO$15,0,0,$B$14,1), 1*(_xlfn._xlws.FILTER(OFFSET($O$15,0,$DN229,$B$8,1),OFFSET($M$15,0,0,$B$8,1))=FR$13), 1*(_xlfn._xlws.FILTER(OFFSET($O$15,0,$DO229,$B$8,1),OFFSET($M$15,0,0,$B$8,1))=FR$14))   /   SUM(OFFSET($BO$15,0,0,$B$14,1)) + $B$18/($B$19*$B$19*($DN229&lt;&gt;$DO229) + $B$19*($DN229=$DO229))</f>
        <v>3.7037037037037035E-4</v>
      </c>
      <c r="FS229" s="10" cm="1">
        <f t="array" aca="1" ref="FS229" ca="1">(1-$B$18)*SUMPRODUCT(OFFSET($BO$15,0,0,$B$14,1), 1*(_xlfn._xlws.FILTER(OFFSET($O$15,0,$DN229,$B$8,1),OFFSET($M$15,0,0,$B$8,1))=FS$13), 1*(_xlfn._xlws.FILTER(OFFSET($O$15,0,$DO229,$B$8,1),OFFSET($M$15,0,0,$B$8,1))=FS$14))   /   SUM(OFFSET($BO$15,0,0,$B$14,1)) + $B$18/($B$19*$B$19*($DN229&lt;&gt;$DO229) + $B$19*($DN229=$DO229))</f>
        <v>3.7037037037037035E-4</v>
      </c>
      <c r="FT229" s="10" cm="1">
        <f t="array" aca="1" ref="FT229" ca="1">(1-$B$18)*SUMPRODUCT(OFFSET($BO$15,0,0,$B$14,1), 1*(_xlfn._xlws.FILTER(OFFSET($O$15,0,$DN229,$B$8,1),OFFSET($M$15,0,0,$B$8,1))=FT$13), 1*(_xlfn._xlws.FILTER(OFFSET($O$15,0,$DO229,$B$8,1),OFFSET($M$15,0,0,$B$8,1))=FT$14))   /   SUM(OFFSET($BO$15,0,0,$B$14,1)) + $B$18/($B$19*$B$19*($DN229&lt;&gt;$DO229) + $B$19*($DN229=$DO229))</f>
        <v>3.7037037037037035E-4</v>
      </c>
      <c r="FU229" s="10" cm="1">
        <f t="array" aca="1" ref="FU229" ca="1">(1-$B$18)*SUMPRODUCT(OFFSET($BO$15,0,0,$B$14,1), 1*(_xlfn._xlws.FILTER(OFFSET($O$15,0,$DN229,$B$8,1),OFFSET($M$15,0,0,$B$8,1))=FU$13), 1*(_xlfn._xlws.FILTER(OFFSET($O$15,0,$DO229,$B$8,1),OFFSET($M$15,0,0,$B$8,1))=FU$14))   /   SUM(OFFSET($BO$15,0,0,$B$14,1)) + $B$18/($B$19*$B$19*($DN229&lt;&gt;$DO229) + $B$19*($DN229=$DO229))</f>
        <v>3.7037037037037035E-4</v>
      </c>
      <c r="FV229" s="10" cm="1">
        <f t="array" aca="1" ref="FV229" ca="1">(1-$B$18)*SUMPRODUCT(OFFSET($BO$15,0,0,$B$14,1), 1*(_xlfn._xlws.FILTER(OFFSET($O$15,0,$DN229,$B$8,1),OFFSET($M$15,0,0,$B$8,1))=FV$13), 1*(_xlfn._xlws.FILTER(OFFSET($O$15,0,$DO229,$B$8,1),OFFSET($M$15,0,0,$B$8,1))=FV$14))   /   SUM(OFFSET($BO$15,0,0,$B$14,1)) + $B$18/($B$19*$B$19*($DN229&lt;&gt;$DO229) + $B$19*($DN229=$DO229))</f>
        <v>3.7037037037037035E-4</v>
      </c>
      <c r="FW229" s="10" cm="1">
        <f t="array" aca="1" ref="FW229" ca="1">(1-$B$18)*SUMPRODUCT(OFFSET($BO$15,0,0,$B$14,1), 1*(_xlfn._xlws.FILTER(OFFSET($O$15,0,$DN229,$B$8,1),OFFSET($M$15,0,0,$B$8,1))=FW$13), 1*(_xlfn._xlws.FILTER(OFFSET($O$15,0,$DO229,$B$8,1),OFFSET($M$15,0,0,$B$8,1))=FW$14))   /   SUM(OFFSET($BO$15,0,0,$B$14,1)) + $B$18/($B$19*$B$19*($DN229&lt;&gt;$DO229) + $B$19*($DN229=$DO229))</f>
        <v>3.7037037037037035E-4</v>
      </c>
      <c r="FX229" s="10" cm="1">
        <f t="array" aca="1" ref="FX229" ca="1">(1-$B$18)*SUMPRODUCT(OFFSET($BO$15,0,0,$B$14,1), 1*(_xlfn._xlws.FILTER(OFFSET($O$15,0,$DN229,$B$8,1),OFFSET($M$15,0,0,$B$8,1))=FX$13), 1*(_xlfn._xlws.FILTER(OFFSET($O$15,0,$DO229,$B$8,1),OFFSET($M$15,0,0,$B$8,1))=FX$14))   /   SUM(OFFSET($BO$15,0,0,$B$14,1)) + $B$18/($B$19*$B$19*($DN229&lt;&gt;$DO229) + $B$19*($DN229=$DO229))</f>
        <v>3.7037037037037035E-4</v>
      </c>
      <c r="FY229" s="10" cm="1">
        <f t="array" aca="1" ref="FY229" ca="1">(1-$B$18)*SUMPRODUCT(OFFSET($BO$15,0,0,$B$14,1), 1*(_xlfn._xlws.FILTER(OFFSET($O$15,0,$DN229,$B$8,1),OFFSET($M$15,0,0,$B$8,1))=FY$13), 1*(_xlfn._xlws.FILTER(OFFSET($O$15,0,$DO229,$B$8,1),OFFSET($M$15,0,0,$B$8,1))=FY$14))   /   SUM(OFFSET($BO$15,0,0,$B$14,1)) + $B$18/($B$19*$B$19*($DN229&lt;&gt;$DO229) + $B$19*($DN229=$DO229))</f>
        <v>3.7037037037037035E-4</v>
      </c>
      <c r="FZ229" s="10" cm="1">
        <f t="array" aca="1" ref="FZ229" ca="1">(1-$B$18)*SUMPRODUCT(OFFSET($BO$15,0,0,$B$14,1), 1*(_xlfn._xlws.FILTER(OFFSET($O$15,0,$DN229,$B$8,1),OFFSET($M$15,0,0,$B$8,1))=FZ$13), 1*(_xlfn._xlws.FILTER(OFFSET($O$15,0,$DO229,$B$8,1),OFFSET($M$15,0,0,$B$8,1))=FZ$14))   /   SUM(OFFSET($BO$15,0,0,$B$14,1)) + $B$18/($B$19*$B$19*($DN229&lt;&gt;$DO229) + $B$19*($DN229=$DO229))</f>
        <v>3.7037037037037035E-4</v>
      </c>
      <c r="GA229" s="10" cm="1">
        <f t="array" aca="1" ref="GA229" ca="1">(1-$B$18)*SUMPRODUCT(OFFSET($BO$15,0,0,$B$14,1), 1*(_xlfn._xlws.FILTER(OFFSET($O$15,0,$DN229,$B$8,1),OFFSET($M$15,0,0,$B$8,1))=GA$13), 1*(_xlfn._xlws.FILTER(OFFSET($O$15,0,$DO229,$B$8,1),OFFSET($M$15,0,0,$B$8,1))=GA$14))   /   SUM(OFFSET($BO$15,0,0,$B$14,1)) + $B$18/($B$19*$B$19*($DN229&lt;&gt;$DO229) + $B$19*($DN229=$DO229))</f>
        <v>3.7037037037037035E-4</v>
      </c>
    </row>
    <row r="230" spans="118:183" x14ac:dyDescent="0.2">
      <c r="DN230" cm="1">
        <f t="array" aca="1" ref="DN230" ca="1">INDEX(_xlfn.ANCHORARRAY($CP$15), 1 + INT((ROWS($DO$15:$DO230) - 1) / ROWS(_xlfn.ANCHORARRAY($CP$15))))</f>
        <v>12</v>
      </c>
      <c r="DO230" cm="1">
        <f t="array" aca="1" ref="DO230" ca="1">INDEX(_xlfn.ANCHORARRAY($CP$15),1+MOD(ROWS($DO$15:$DO230)-1,ROWS(_xlfn.ANCHORARRAY($CP$15))))</f>
        <v>6</v>
      </c>
      <c r="DP230" s="10" cm="1">
        <f t="array" aca="1" ref="DP230" ca="1">(1-$B$18)*SUMPRODUCT(OFFSET($BO$15,0,0,$B$14,1), 1*(_xlfn._xlws.FILTER(OFFSET($O$15,0,$DN230,$B$8,1),OFFSET($M$15,0,0,$B$8,1))=DP$13), 1*(_xlfn._xlws.FILTER(OFFSET($O$15,0,$DO230,$B$8,1),OFFSET($M$15,0,0,$B$8,1))=DP$14))   /   SUM(OFFSET($BO$15,0,0,$B$14,1)) + $B$18/($B$19*$B$19*($DN230&lt;&gt;$DO230) + $B$19*($DN230=$DO230))</f>
        <v>3.7037037037037035E-4</v>
      </c>
      <c r="DQ230" s="10" cm="1">
        <f t="array" aca="1" ref="DQ230" ca="1">(1-$B$18)*SUMPRODUCT(OFFSET($BO$15,0,0,$B$14,1), 1*(_xlfn._xlws.FILTER(OFFSET($O$15,0,$DN230,$B$8,1),OFFSET($M$15,0,0,$B$8,1))=DQ$13), 1*(_xlfn._xlws.FILTER(OFFSET($O$15,0,$DO230,$B$8,1),OFFSET($M$15,0,0,$B$8,1))=DQ$14))   /   SUM(OFFSET($BO$15,0,0,$B$14,1)) + $B$18/($B$19*$B$19*($DN230&lt;&gt;$DO230) + $B$19*($DN230=$DO230))</f>
        <v>3.7037037037037035E-4</v>
      </c>
      <c r="DR230" s="10" cm="1">
        <f t="array" aca="1" ref="DR230" ca="1">(1-$B$18)*SUMPRODUCT(OFFSET($BO$15,0,0,$B$14,1), 1*(_xlfn._xlws.FILTER(OFFSET($O$15,0,$DN230,$B$8,1),OFFSET($M$15,0,0,$B$8,1))=DR$13), 1*(_xlfn._xlws.FILTER(OFFSET($O$15,0,$DO230,$B$8,1),OFFSET($M$15,0,0,$B$8,1))=DR$14))   /   SUM(OFFSET($BO$15,0,0,$B$14,1)) + $B$18/($B$19*$B$19*($DN230&lt;&gt;$DO230) + $B$19*($DN230=$DO230))</f>
        <v>3.7037037037037035E-4</v>
      </c>
      <c r="DS230" s="10" cm="1">
        <f t="array" aca="1" ref="DS230" ca="1">(1-$B$18)*SUMPRODUCT(OFFSET($BO$15,0,0,$B$14,1), 1*(_xlfn._xlws.FILTER(OFFSET($O$15,0,$DN230,$B$8,1),OFFSET($M$15,0,0,$B$8,1))=DS$13), 1*(_xlfn._xlws.FILTER(OFFSET($O$15,0,$DO230,$B$8,1),OFFSET($M$15,0,0,$B$8,1))=DS$14))   /   SUM(OFFSET($BO$15,0,0,$B$14,1)) + $B$18/($B$19*$B$19*($DN230&lt;&gt;$DO230) + $B$19*($DN230=$DO230))</f>
        <v>3.7037037037037035E-4</v>
      </c>
      <c r="DT230" s="10" cm="1">
        <f t="array" aca="1" ref="DT230" ca="1">(1-$B$18)*SUMPRODUCT(OFFSET($BO$15,0,0,$B$14,1), 1*(_xlfn._xlws.FILTER(OFFSET($O$15,0,$DN230,$B$8,1),OFFSET($M$15,0,0,$B$8,1))=DT$13), 1*(_xlfn._xlws.FILTER(OFFSET($O$15,0,$DO230,$B$8,1),OFFSET($M$15,0,0,$B$8,1))=DT$14))   /   SUM(OFFSET($BO$15,0,0,$B$14,1)) + $B$18/($B$19*$B$19*($DN230&lt;&gt;$DO230) + $B$19*($DN230=$DO230))</f>
        <v>3.7037037037037035E-4</v>
      </c>
      <c r="DU230" s="10" cm="1">
        <f t="array" aca="1" ref="DU230" ca="1">(1-$B$18)*SUMPRODUCT(OFFSET($BO$15,0,0,$B$14,1), 1*(_xlfn._xlws.FILTER(OFFSET($O$15,0,$DN230,$B$8,1),OFFSET($M$15,0,0,$B$8,1))=DU$13), 1*(_xlfn._xlws.FILTER(OFFSET($O$15,0,$DO230,$B$8,1),OFFSET($M$15,0,0,$B$8,1))=DU$14))   /   SUM(OFFSET($BO$15,0,0,$B$14,1)) + $B$18/($B$19*$B$19*($DN230&lt;&gt;$DO230) + $B$19*($DN230=$DO230))</f>
        <v>3.7037037037037035E-4</v>
      </c>
      <c r="DV230" s="10" cm="1">
        <f t="array" aca="1" ref="DV230" ca="1">(1-$B$18)*SUMPRODUCT(OFFSET($BO$15,0,0,$B$14,1), 1*(_xlfn._xlws.FILTER(OFFSET($O$15,0,$DN230,$B$8,1),OFFSET($M$15,0,0,$B$8,1))=DV$13), 1*(_xlfn._xlws.FILTER(OFFSET($O$15,0,$DO230,$B$8,1),OFFSET($M$15,0,0,$B$8,1))=DV$14))   /   SUM(OFFSET($BO$15,0,0,$B$14,1)) + $B$18/($B$19*$B$19*($DN230&lt;&gt;$DO230) + $B$19*($DN230=$DO230))</f>
        <v>3.7037037037037035E-4</v>
      </c>
      <c r="DW230" s="10" cm="1">
        <f t="array" aca="1" ref="DW230" ca="1">(1-$B$18)*SUMPRODUCT(OFFSET($BO$15,0,0,$B$14,1), 1*(_xlfn._xlws.FILTER(OFFSET($O$15,0,$DN230,$B$8,1),OFFSET($M$15,0,0,$B$8,1))=DW$13), 1*(_xlfn._xlws.FILTER(OFFSET($O$15,0,$DO230,$B$8,1),OFFSET($M$15,0,0,$B$8,1))=DW$14))   /   SUM(OFFSET($BO$15,0,0,$B$14,1)) + $B$18/($B$19*$B$19*($DN230&lt;&gt;$DO230) + $B$19*($DN230=$DO230))</f>
        <v>3.7037037037037035E-4</v>
      </c>
      <c r="DX230" s="10" cm="1">
        <f t="array" aca="1" ref="DX230" ca="1">(1-$B$18)*SUMPRODUCT(OFFSET($BO$15,0,0,$B$14,1), 1*(_xlfn._xlws.FILTER(OFFSET($O$15,0,$DN230,$B$8,1),OFFSET($M$15,0,0,$B$8,1))=DX$13), 1*(_xlfn._xlws.FILTER(OFFSET($O$15,0,$DO230,$B$8,1),OFFSET($M$15,0,0,$B$8,1))=DX$14))   /   SUM(OFFSET($BO$15,0,0,$B$14,1)) + $B$18/($B$19*$B$19*($DN230&lt;&gt;$DO230) + $B$19*($DN230=$DO230))</f>
        <v>3.7037037037037035E-4</v>
      </c>
      <c r="DY230" s="10" cm="1">
        <f t="array" aca="1" ref="DY230" ca="1">(1-$B$18)*SUMPRODUCT(OFFSET($BO$15,0,0,$B$14,1), 1*(_xlfn._xlws.FILTER(OFFSET($O$15,0,$DN230,$B$8,1),OFFSET($M$15,0,0,$B$8,1))=DY$13), 1*(_xlfn._xlws.FILTER(OFFSET($O$15,0,$DO230,$B$8,1),OFFSET($M$15,0,0,$B$8,1))=DY$14))   /   SUM(OFFSET($BO$15,0,0,$B$14,1)) + $B$18/($B$19*$B$19*($DN230&lt;&gt;$DO230) + $B$19*($DN230=$DO230))</f>
        <v>3.7037037037037035E-4</v>
      </c>
      <c r="DZ230" s="10" cm="1">
        <f t="array" aca="1" ref="DZ230" ca="1">(1-$B$18)*SUMPRODUCT(OFFSET($BO$15,0,0,$B$14,1), 1*(_xlfn._xlws.FILTER(OFFSET($O$15,0,$DN230,$B$8,1),OFFSET($M$15,0,0,$B$8,1))=DZ$13), 1*(_xlfn._xlws.FILTER(OFFSET($O$15,0,$DO230,$B$8,1),OFFSET($M$15,0,0,$B$8,1))=DZ$14))   /   SUM(OFFSET($BO$15,0,0,$B$14,1)) + $B$18/($B$19*$B$19*($DN230&lt;&gt;$DO230) + $B$19*($DN230=$DO230))</f>
        <v>3.7037037037037035E-4</v>
      </c>
      <c r="EA230" s="10" cm="1">
        <f t="array" aca="1" ref="EA230" ca="1">(1-$B$18)*SUMPRODUCT(OFFSET($BO$15,0,0,$B$14,1), 1*(_xlfn._xlws.FILTER(OFFSET($O$15,0,$DN230,$B$8,1),OFFSET($M$15,0,0,$B$8,1))=EA$13), 1*(_xlfn._xlws.FILTER(OFFSET($O$15,0,$DO230,$B$8,1),OFFSET($M$15,0,0,$B$8,1))=EA$14))   /   SUM(OFFSET($BO$15,0,0,$B$14,1)) + $B$18/($B$19*$B$19*($DN230&lt;&gt;$DO230) + $B$19*($DN230=$DO230))</f>
        <v>3.7037037037037035E-4</v>
      </c>
      <c r="EB230" s="10" cm="1">
        <f t="array" aca="1" ref="EB230" ca="1">(1-$B$18)*SUMPRODUCT(OFFSET($BO$15,0,0,$B$14,1), 1*(_xlfn._xlws.FILTER(OFFSET($O$15,0,$DN230,$B$8,1),OFFSET($M$15,0,0,$B$8,1))=EB$13), 1*(_xlfn._xlws.FILTER(OFFSET($O$15,0,$DO230,$B$8,1),OFFSET($M$15,0,0,$B$8,1))=EB$14))   /   SUM(OFFSET($BO$15,0,0,$B$14,1)) + $B$18/($B$19*$B$19*($DN230&lt;&gt;$DO230) + $B$19*($DN230=$DO230))</f>
        <v>3.7037037037037035E-4</v>
      </c>
      <c r="EC230" s="10" cm="1">
        <f t="array" aca="1" ref="EC230" ca="1">(1-$B$18)*SUMPRODUCT(OFFSET($BO$15,0,0,$B$14,1), 1*(_xlfn._xlws.FILTER(OFFSET($O$15,0,$DN230,$B$8,1),OFFSET($M$15,0,0,$B$8,1))=EC$13), 1*(_xlfn._xlws.FILTER(OFFSET($O$15,0,$DO230,$B$8,1),OFFSET($M$15,0,0,$B$8,1))=EC$14))   /   SUM(OFFSET($BO$15,0,0,$B$14,1)) + $B$18/($B$19*$B$19*($DN230&lt;&gt;$DO230) + $B$19*($DN230=$DO230))</f>
        <v>3.7037037037037035E-4</v>
      </c>
      <c r="ED230" s="10" cm="1">
        <f t="array" aca="1" ref="ED230" ca="1">(1-$B$18)*SUMPRODUCT(OFFSET($BO$15,0,0,$B$14,1), 1*(_xlfn._xlws.FILTER(OFFSET($O$15,0,$DN230,$B$8,1),OFFSET($M$15,0,0,$B$8,1))=ED$13), 1*(_xlfn._xlws.FILTER(OFFSET($O$15,0,$DO230,$B$8,1),OFFSET($M$15,0,0,$B$8,1))=ED$14))   /   SUM(OFFSET($BO$15,0,0,$B$14,1)) + $B$18/($B$19*$B$19*($DN230&lt;&gt;$DO230) + $B$19*($DN230=$DO230))</f>
        <v>0.97037037037037033</v>
      </c>
      <c r="EE230" s="10" cm="1">
        <f t="array" aca="1" ref="EE230" ca="1">(1-$B$18)*SUMPRODUCT(OFFSET($BO$15,0,0,$B$14,1), 1*(_xlfn._xlws.FILTER(OFFSET($O$15,0,$DN230,$B$8,1),OFFSET($M$15,0,0,$B$8,1))=EE$13), 1*(_xlfn._xlws.FILTER(OFFSET($O$15,0,$DO230,$B$8,1),OFFSET($M$15,0,0,$B$8,1))=EE$14))   /   SUM(OFFSET($BO$15,0,0,$B$14,1)) + $B$18/($B$19*$B$19*($DN230&lt;&gt;$DO230) + $B$19*($DN230=$DO230))</f>
        <v>3.7037037037037035E-4</v>
      </c>
      <c r="EF230" s="10" cm="1">
        <f t="array" aca="1" ref="EF230" ca="1">(1-$B$18)*SUMPRODUCT(OFFSET($BO$15,0,0,$B$14,1), 1*(_xlfn._xlws.FILTER(OFFSET($O$15,0,$DN230,$B$8,1),OFFSET($M$15,0,0,$B$8,1))=EF$13), 1*(_xlfn._xlws.FILTER(OFFSET($O$15,0,$DO230,$B$8,1),OFFSET($M$15,0,0,$B$8,1))=EF$14))   /   SUM(OFFSET($BO$15,0,0,$B$14,1)) + $B$18/($B$19*$B$19*($DN230&lt;&gt;$DO230) + $B$19*($DN230=$DO230))</f>
        <v>3.7037037037037035E-4</v>
      </c>
      <c r="EG230" s="10" cm="1">
        <f t="array" aca="1" ref="EG230" ca="1">(1-$B$18)*SUMPRODUCT(OFFSET($BO$15,0,0,$B$14,1), 1*(_xlfn._xlws.FILTER(OFFSET($O$15,0,$DN230,$B$8,1),OFFSET($M$15,0,0,$B$8,1))=EG$13), 1*(_xlfn._xlws.FILTER(OFFSET($O$15,0,$DO230,$B$8,1),OFFSET($M$15,0,0,$B$8,1))=EG$14))   /   SUM(OFFSET($BO$15,0,0,$B$14,1)) + $B$18/($B$19*$B$19*($DN230&lt;&gt;$DO230) + $B$19*($DN230=$DO230))</f>
        <v>3.7037037037037035E-4</v>
      </c>
      <c r="EH230" s="10" cm="1">
        <f t="array" aca="1" ref="EH230" ca="1">(1-$B$18)*SUMPRODUCT(OFFSET($BO$15,0,0,$B$14,1), 1*(_xlfn._xlws.FILTER(OFFSET($O$15,0,$DN230,$B$8,1),OFFSET($M$15,0,0,$B$8,1))=EH$13), 1*(_xlfn._xlws.FILTER(OFFSET($O$15,0,$DO230,$B$8,1),OFFSET($M$15,0,0,$B$8,1))=EH$14))   /   SUM(OFFSET($BO$15,0,0,$B$14,1)) + $B$18/($B$19*$B$19*($DN230&lt;&gt;$DO230) + $B$19*($DN230=$DO230))</f>
        <v>3.7037037037037035E-4</v>
      </c>
      <c r="EI230" s="10" cm="1">
        <f t="array" aca="1" ref="EI230" ca="1">(1-$B$18)*SUMPRODUCT(OFFSET($BO$15,0,0,$B$14,1), 1*(_xlfn._xlws.FILTER(OFFSET($O$15,0,$DN230,$B$8,1),OFFSET($M$15,0,0,$B$8,1))=EI$13), 1*(_xlfn._xlws.FILTER(OFFSET($O$15,0,$DO230,$B$8,1),OFFSET($M$15,0,0,$B$8,1))=EI$14))   /   SUM(OFFSET($BO$15,0,0,$B$14,1)) + $B$18/($B$19*$B$19*($DN230&lt;&gt;$DO230) + $B$19*($DN230=$DO230))</f>
        <v>3.7037037037037035E-4</v>
      </c>
      <c r="EJ230" s="10" cm="1">
        <f t="array" aca="1" ref="EJ230" ca="1">(1-$B$18)*SUMPRODUCT(OFFSET($BO$15,0,0,$B$14,1), 1*(_xlfn._xlws.FILTER(OFFSET($O$15,0,$DN230,$B$8,1),OFFSET($M$15,0,0,$B$8,1))=EJ$13), 1*(_xlfn._xlws.FILTER(OFFSET($O$15,0,$DO230,$B$8,1),OFFSET($M$15,0,0,$B$8,1))=EJ$14))   /   SUM(OFFSET($BO$15,0,0,$B$14,1)) + $B$18/($B$19*$B$19*($DN230&lt;&gt;$DO230) + $B$19*($DN230=$DO230))</f>
        <v>3.7037037037037035E-4</v>
      </c>
      <c r="EK230" s="10" cm="1">
        <f t="array" aca="1" ref="EK230" ca="1">(1-$B$18)*SUMPRODUCT(OFFSET($BO$15,0,0,$B$14,1), 1*(_xlfn._xlws.FILTER(OFFSET($O$15,0,$DN230,$B$8,1),OFFSET($M$15,0,0,$B$8,1))=EK$13), 1*(_xlfn._xlws.FILTER(OFFSET($O$15,0,$DO230,$B$8,1),OFFSET($M$15,0,0,$B$8,1))=EK$14))   /   SUM(OFFSET($BO$15,0,0,$B$14,1)) + $B$18/($B$19*$B$19*($DN230&lt;&gt;$DO230) + $B$19*($DN230=$DO230))</f>
        <v>3.7037037037037035E-4</v>
      </c>
      <c r="EL230" s="10" cm="1">
        <f t="array" aca="1" ref="EL230" ca="1">(1-$B$18)*SUMPRODUCT(OFFSET($BO$15,0,0,$B$14,1), 1*(_xlfn._xlws.FILTER(OFFSET($O$15,0,$DN230,$B$8,1),OFFSET($M$15,0,0,$B$8,1))=EL$13), 1*(_xlfn._xlws.FILTER(OFFSET($O$15,0,$DO230,$B$8,1),OFFSET($M$15,0,0,$B$8,1))=EL$14))   /   SUM(OFFSET($BO$15,0,0,$B$14,1)) + $B$18/($B$19*$B$19*($DN230&lt;&gt;$DO230) + $B$19*($DN230=$DO230))</f>
        <v>3.7037037037037035E-4</v>
      </c>
      <c r="EM230" s="10" cm="1">
        <f t="array" aca="1" ref="EM230" ca="1">(1-$B$18)*SUMPRODUCT(OFFSET($BO$15,0,0,$B$14,1), 1*(_xlfn._xlws.FILTER(OFFSET($O$15,0,$DN230,$B$8,1),OFFSET($M$15,0,0,$B$8,1))=EM$13), 1*(_xlfn._xlws.FILTER(OFFSET($O$15,0,$DO230,$B$8,1),OFFSET($M$15,0,0,$B$8,1))=EM$14))   /   SUM(OFFSET($BO$15,0,0,$B$14,1)) + $B$18/($B$19*$B$19*($DN230&lt;&gt;$DO230) + $B$19*($DN230=$DO230))</f>
        <v>3.7037037037037035E-4</v>
      </c>
      <c r="EN230" s="10" cm="1">
        <f t="array" aca="1" ref="EN230" ca="1">(1-$B$18)*SUMPRODUCT(OFFSET($BO$15,0,0,$B$14,1), 1*(_xlfn._xlws.FILTER(OFFSET($O$15,0,$DN230,$B$8,1),OFFSET($M$15,0,0,$B$8,1))=EN$13), 1*(_xlfn._xlws.FILTER(OFFSET($O$15,0,$DO230,$B$8,1),OFFSET($M$15,0,0,$B$8,1))=EN$14))   /   SUM(OFFSET($BO$15,0,0,$B$14,1)) + $B$18/($B$19*$B$19*($DN230&lt;&gt;$DO230) + $B$19*($DN230=$DO230))</f>
        <v>3.7037037037037035E-4</v>
      </c>
      <c r="EO230" s="10" cm="1">
        <f t="array" aca="1" ref="EO230" ca="1">(1-$B$18)*SUMPRODUCT(OFFSET($BO$15,0,0,$B$14,1), 1*(_xlfn._xlws.FILTER(OFFSET($O$15,0,$DN230,$B$8,1),OFFSET($M$15,0,0,$B$8,1))=EO$13), 1*(_xlfn._xlws.FILTER(OFFSET($O$15,0,$DO230,$B$8,1),OFFSET($M$15,0,0,$B$8,1))=EO$14))   /   SUM(OFFSET($BO$15,0,0,$B$14,1)) + $B$18/($B$19*$B$19*($DN230&lt;&gt;$DO230) + $B$19*($DN230=$DO230))</f>
        <v>3.7037037037037035E-4</v>
      </c>
      <c r="EP230" s="10" cm="1">
        <f t="array" aca="1" ref="EP230" ca="1">(1-$B$18)*SUMPRODUCT(OFFSET($BO$15,0,0,$B$14,1), 1*(_xlfn._xlws.FILTER(OFFSET($O$15,0,$DN230,$B$8,1),OFFSET($M$15,0,0,$B$8,1))=EP$13), 1*(_xlfn._xlws.FILTER(OFFSET($O$15,0,$DO230,$B$8,1),OFFSET($M$15,0,0,$B$8,1))=EP$14))   /   SUM(OFFSET($BO$15,0,0,$B$14,1)) + $B$18/($B$19*$B$19*($DN230&lt;&gt;$DO230) + $B$19*($DN230=$DO230))</f>
        <v>3.7037037037037035E-4</v>
      </c>
      <c r="EQ230" s="10" cm="1">
        <f t="array" aca="1" ref="EQ230" ca="1">(1-$B$18)*SUMPRODUCT(OFFSET($BO$15,0,0,$B$14,1), 1*(_xlfn._xlws.FILTER(OFFSET($O$15,0,$DN230,$B$8,1),OFFSET($M$15,0,0,$B$8,1))=EQ$13), 1*(_xlfn._xlws.FILTER(OFFSET($O$15,0,$DO230,$B$8,1),OFFSET($M$15,0,0,$B$8,1))=EQ$14))   /   SUM(OFFSET($BO$15,0,0,$B$14,1)) + $B$18/($B$19*$B$19*($DN230&lt;&gt;$DO230) + $B$19*($DN230=$DO230))</f>
        <v>3.7037037037037035E-4</v>
      </c>
      <c r="ER230" s="10" cm="1">
        <f t="array" aca="1" ref="ER230" ca="1">(1-$B$18)*SUMPRODUCT(OFFSET($BO$15,0,0,$B$14,1), 1*(_xlfn._xlws.FILTER(OFFSET($O$15,0,$DN230,$B$8,1),OFFSET($M$15,0,0,$B$8,1))=ER$13), 1*(_xlfn._xlws.FILTER(OFFSET($O$15,0,$DO230,$B$8,1),OFFSET($M$15,0,0,$B$8,1))=ER$14))   /   SUM(OFFSET($BO$15,0,0,$B$14,1)) + $B$18/($B$19*$B$19*($DN230&lt;&gt;$DO230) + $B$19*($DN230=$DO230))</f>
        <v>3.7037037037037035E-4</v>
      </c>
      <c r="ES230" s="10" cm="1">
        <f t="array" aca="1" ref="ES230" ca="1">(1-$B$18)*SUMPRODUCT(OFFSET($BO$15,0,0,$B$14,1), 1*(_xlfn._xlws.FILTER(OFFSET($O$15,0,$DN230,$B$8,1),OFFSET($M$15,0,0,$B$8,1))=ES$13), 1*(_xlfn._xlws.FILTER(OFFSET($O$15,0,$DO230,$B$8,1),OFFSET($M$15,0,0,$B$8,1))=ES$14))   /   SUM(OFFSET($BO$15,0,0,$B$14,1)) + $B$18/($B$19*$B$19*($DN230&lt;&gt;$DO230) + $B$19*($DN230=$DO230))</f>
        <v>3.7037037037037035E-4</v>
      </c>
      <c r="ET230" s="10" cm="1">
        <f t="array" aca="1" ref="ET230" ca="1">(1-$B$18)*SUMPRODUCT(OFFSET($BO$15,0,0,$B$14,1), 1*(_xlfn._xlws.FILTER(OFFSET($O$15,0,$DN230,$B$8,1),OFFSET($M$15,0,0,$B$8,1))=ET$13), 1*(_xlfn._xlws.FILTER(OFFSET($O$15,0,$DO230,$B$8,1),OFFSET($M$15,0,0,$B$8,1))=ET$14))   /   SUM(OFFSET($BO$15,0,0,$B$14,1)) + $B$18/($B$19*$B$19*($DN230&lt;&gt;$DO230) + $B$19*($DN230=$DO230))</f>
        <v>3.7037037037037035E-4</v>
      </c>
      <c r="EU230" s="10" cm="1">
        <f t="array" aca="1" ref="EU230" ca="1">(1-$B$18)*SUMPRODUCT(OFFSET($BO$15,0,0,$B$14,1), 1*(_xlfn._xlws.FILTER(OFFSET($O$15,0,$DN230,$B$8,1),OFFSET($M$15,0,0,$B$8,1))=EU$13), 1*(_xlfn._xlws.FILTER(OFFSET($O$15,0,$DO230,$B$8,1),OFFSET($M$15,0,0,$B$8,1))=EU$14))   /   SUM(OFFSET($BO$15,0,0,$B$14,1)) + $B$18/($B$19*$B$19*($DN230&lt;&gt;$DO230) + $B$19*($DN230=$DO230))</f>
        <v>3.7037037037037035E-4</v>
      </c>
      <c r="EV230" s="10" cm="1">
        <f t="array" aca="1" ref="EV230" ca="1">(1-$B$18)*SUMPRODUCT(OFFSET($BO$15,0,0,$B$14,1), 1*(_xlfn._xlws.FILTER(OFFSET($O$15,0,$DN230,$B$8,1),OFFSET($M$15,0,0,$B$8,1))=EV$13), 1*(_xlfn._xlws.FILTER(OFFSET($O$15,0,$DO230,$B$8,1),OFFSET($M$15,0,0,$B$8,1))=EV$14))   /   SUM(OFFSET($BO$15,0,0,$B$14,1)) + $B$18/($B$19*$B$19*($DN230&lt;&gt;$DO230) + $B$19*($DN230=$DO230))</f>
        <v>3.7037037037037035E-4</v>
      </c>
      <c r="EW230" s="10" cm="1">
        <f t="array" aca="1" ref="EW230" ca="1">(1-$B$18)*SUMPRODUCT(OFFSET($BO$15,0,0,$B$14,1), 1*(_xlfn._xlws.FILTER(OFFSET($O$15,0,$DN230,$B$8,1),OFFSET($M$15,0,0,$B$8,1))=EW$13), 1*(_xlfn._xlws.FILTER(OFFSET($O$15,0,$DO230,$B$8,1),OFFSET($M$15,0,0,$B$8,1))=EW$14))   /   SUM(OFFSET($BO$15,0,0,$B$14,1)) + $B$18/($B$19*$B$19*($DN230&lt;&gt;$DO230) + $B$19*($DN230=$DO230))</f>
        <v>3.7037037037037035E-4</v>
      </c>
      <c r="EX230" s="10" cm="1">
        <f t="array" aca="1" ref="EX230" ca="1">(1-$B$18)*SUMPRODUCT(OFFSET($BO$15,0,0,$B$14,1), 1*(_xlfn._xlws.FILTER(OFFSET($O$15,0,$DN230,$B$8,1),OFFSET($M$15,0,0,$B$8,1))=EX$13), 1*(_xlfn._xlws.FILTER(OFFSET($O$15,0,$DO230,$B$8,1),OFFSET($M$15,0,0,$B$8,1))=EX$14))   /   SUM(OFFSET($BO$15,0,0,$B$14,1)) + $B$18/($B$19*$B$19*($DN230&lt;&gt;$DO230) + $B$19*($DN230=$DO230))</f>
        <v>3.7037037037037035E-4</v>
      </c>
      <c r="EY230" s="10" cm="1">
        <f t="array" aca="1" ref="EY230" ca="1">(1-$B$18)*SUMPRODUCT(OFFSET($BO$15,0,0,$B$14,1), 1*(_xlfn._xlws.FILTER(OFFSET($O$15,0,$DN230,$B$8,1),OFFSET($M$15,0,0,$B$8,1))=EY$13), 1*(_xlfn._xlws.FILTER(OFFSET($O$15,0,$DO230,$B$8,1),OFFSET($M$15,0,0,$B$8,1))=EY$14))   /   SUM(OFFSET($BO$15,0,0,$B$14,1)) + $B$18/($B$19*$B$19*($DN230&lt;&gt;$DO230) + $B$19*($DN230=$DO230))</f>
        <v>3.7037037037037035E-4</v>
      </c>
      <c r="EZ230" s="10" cm="1">
        <f t="array" aca="1" ref="EZ230" ca="1">(1-$B$18)*SUMPRODUCT(OFFSET($BO$15,0,0,$B$14,1), 1*(_xlfn._xlws.FILTER(OFFSET($O$15,0,$DN230,$B$8,1),OFFSET($M$15,0,0,$B$8,1))=EZ$13), 1*(_xlfn._xlws.FILTER(OFFSET($O$15,0,$DO230,$B$8,1),OFFSET($M$15,0,0,$B$8,1))=EZ$14))   /   SUM(OFFSET($BO$15,0,0,$B$14,1)) + $B$18/($B$19*$B$19*($DN230&lt;&gt;$DO230) + $B$19*($DN230=$DO230))</f>
        <v>3.7037037037037035E-4</v>
      </c>
      <c r="FA230" s="10" cm="1">
        <f t="array" aca="1" ref="FA230" ca="1">(1-$B$18)*SUMPRODUCT(OFFSET($BO$15,0,0,$B$14,1), 1*(_xlfn._xlws.FILTER(OFFSET($O$15,0,$DN230,$B$8,1),OFFSET($M$15,0,0,$B$8,1))=FA$13), 1*(_xlfn._xlws.FILTER(OFFSET($O$15,0,$DO230,$B$8,1),OFFSET($M$15,0,0,$B$8,1))=FA$14))   /   SUM(OFFSET($BO$15,0,0,$B$14,1)) + $B$18/($B$19*$B$19*($DN230&lt;&gt;$DO230) + $B$19*($DN230=$DO230))</f>
        <v>3.7037037037037035E-4</v>
      </c>
      <c r="FB230" s="10" cm="1">
        <f t="array" aca="1" ref="FB230" ca="1">(1-$B$18)*SUMPRODUCT(OFFSET($BO$15,0,0,$B$14,1), 1*(_xlfn._xlws.FILTER(OFFSET($O$15,0,$DN230,$B$8,1),OFFSET($M$15,0,0,$B$8,1))=FB$13), 1*(_xlfn._xlws.FILTER(OFFSET($O$15,0,$DO230,$B$8,1),OFFSET($M$15,0,0,$B$8,1))=FB$14))   /   SUM(OFFSET($BO$15,0,0,$B$14,1)) + $B$18/($B$19*$B$19*($DN230&lt;&gt;$DO230) + $B$19*($DN230=$DO230))</f>
        <v>3.7037037037037035E-4</v>
      </c>
      <c r="FC230" s="10" cm="1">
        <f t="array" aca="1" ref="FC230" ca="1">(1-$B$18)*SUMPRODUCT(OFFSET($BO$15,0,0,$B$14,1), 1*(_xlfn._xlws.FILTER(OFFSET($O$15,0,$DN230,$B$8,1),OFFSET($M$15,0,0,$B$8,1))=FC$13), 1*(_xlfn._xlws.FILTER(OFFSET($O$15,0,$DO230,$B$8,1),OFFSET($M$15,0,0,$B$8,1))=FC$14))   /   SUM(OFFSET($BO$15,0,0,$B$14,1)) + $B$18/($B$19*$B$19*($DN230&lt;&gt;$DO230) + $B$19*($DN230=$DO230))</f>
        <v>3.7037037037037035E-4</v>
      </c>
      <c r="FD230" s="10" cm="1">
        <f t="array" aca="1" ref="FD230" ca="1">(1-$B$18)*SUMPRODUCT(OFFSET($BO$15,0,0,$B$14,1), 1*(_xlfn._xlws.FILTER(OFFSET($O$15,0,$DN230,$B$8,1),OFFSET($M$15,0,0,$B$8,1))=FD$13), 1*(_xlfn._xlws.FILTER(OFFSET($O$15,0,$DO230,$B$8,1),OFFSET($M$15,0,0,$B$8,1))=FD$14))   /   SUM(OFFSET($BO$15,0,0,$B$14,1)) + $B$18/($B$19*$B$19*($DN230&lt;&gt;$DO230) + $B$19*($DN230=$DO230))</f>
        <v>3.7037037037037035E-4</v>
      </c>
      <c r="FE230" s="10" cm="1">
        <f t="array" aca="1" ref="FE230" ca="1">(1-$B$18)*SUMPRODUCT(OFFSET($BO$15,0,0,$B$14,1), 1*(_xlfn._xlws.FILTER(OFFSET($O$15,0,$DN230,$B$8,1),OFFSET($M$15,0,0,$B$8,1))=FE$13), 1*(_xlfn._xlws.FILTER(OFFSET($O$15,0,$DO230,$B$8,1),OFFSET($M$15,0,0,$B$8,1))=FE$14))   /   SUM(OFFSET($BO$15,0,0,$B$14,1)) + $B$18/($B$19*$B$19*($DN230&lt;&gt;$DO230) + $B$19*($DN230=$DO230))</f>
        <v>3.7037037037037035E-4</v>
      </c>
      <c r="FF230" s="10" cm="1">
        <f t="array" aca="1" ref="FF230" ca="1">(1-$B$18)*SUMPRODUCT(OFFSET($BO$15,0,0,$B$14,1), 1*(_xlfn._xlws.FILTER(OFFSET($O$15,0,$DN230,$B$8,1),OFFSET($M$15,0,0,$B$8,1))=FF$13), 1*(_xlfn._xlws.FILTER(OFFSET($O$15,0,$DO230,$B$8,1),OFFSET($M$15,0,0,$B$8,1))=FF$14))   /   SUM(OFFSET($BO$15,0,0,$B$14,1)) + $B$18/($B$19*$B$19*($DN230&lt;&gt;$DO230) + $B$19*($DN230=$DO230))</f>
        <v>3.7037037037037035E-4</v>
      </c>
      <c r="FG230" s="10" cm="1">
        <f t="array" aca="1" ref="FG230" ca="1">(1-$B$18)*SUMPRODUCT(OFFSET($BO$15,0,0,$B$14,1), 1*(_xlfn._xlws.FILTER(OFFSET($O$15,0,$DN230,$B$8,1),OFFSET($M$15,0,0,$B$8,1))=FG$13), 1*(_xlfn._xlws.FILTER(OFFSET($O$15,0,$DO230,$B$8,1),OFFSET($M$15,0,0,$B$8,1))=FG$14))   /   SUM(OFFSET($BO$15,0,0,$B$14,1)) + $B$18/($B$19*$B$19*($DN230&lt;&gt;$DO230) + $B$19*($DN230=$DO230))</f>
        <v>3.7037037037037035E-4</v>
      </c>
      <c r="FH230" s="10" cm="1">
        <f t="array" aca="1" ref="FH230" ca="1">(1-$B$18)*SUMPRODUCT(OFFSET($BO$15,0,0,$B$14,1), 1*(_xlfn._xlws.FILTER(OFFSET($O$15,0,$DN230,$B$8,1),OFFSET($M$15,0,0,$B$8,1))=FH$13), 1*(_xlfn._xlws.FILTER(OFFSET($O$15,0,$DO230,$B$8,1),OFFSET($M$15,0,0,$B$8,1))=FH$14))   /   SUM(OFFSET($BO$15,0,0,$B$14,1)) + $B$18/($B$19*$B$19*($DN230&lt;&gt;$DO230) + $B$19*($DN230=$DO230))</f>
        <v>3.7037037037037035E-4</v>
      </c>
      <c r="FI230" s="10" cm="1">
        <f t="array" aca="1" ref="FI230" ca="1">(1-$B$18)*SUMPRODUCT(OFFSET($BO$15,0,0,$B$14,1), 1*(_xlfn._xlws.FILTER(OFFSET($O$15,0,$DN230,$B$8,1),OFFSET($M$15,0,0,$B$8,1))=FI$13), 1*(_xlfn._xlws.FILTER(OFFSET($O$15,0,$DO230,$B$8,1),OFFSET($M$15,0,0,$B$8,1))=FI$14))   /   SUM(OFFSET($BO$15,0,0,$B$14,1)) + $B$18/($B$19*$B$19*($DN230&lt;&gt;$DO230) + $B$19*($DN230=$DO230))</f>
        <v>3.7037037037037035E-4</v>
      </c>
      <c r="FJ230" s="10" cm="1">
        <f t="array" aca="1" ref="FJ230" ca="1">(1-$B$18)*SUMPRODUCT(OFFSET($BO$15,0,0,$B$14,1), 1*(_xlfn._xlws.FILTER(OFFSET($O$15,0,$DN230,$B$8,1),OFFSET($M$15,0,0,$B$8,1))=FJ$13), 1*(_xlfn._xlws.FILTER(OFFSET($O$15,0,$DO230,$B$8,1),OFFSET($M$15,0,0,$B$8,1))=FJ$14))   /   SUM(OFFSET($BO$15,0,0,$B$14,1)) + $B$18/($B$19*$B$19*($DN230&lt;&gt;$DO230) + $B$19*($DN230=$DO230))</f>
        <v>3.7037037037037035E-4</v>
      </c>
      <c r="FK230" s="10" cm="1">
        <f t="array" aca="1" ref="FK230" ca="1">(1-$B$18)*SUMPRODUCT(OFFSET($BO$15,0,0,$B$14,1), 1*(_xlfn._xlws.FILTER(OFFSET($O$15,0,$DN230,$B$8,1),OFFSET($M$15,0,0,$B$8,1))=FK$13), 1*(_xlfn._xlws.FILTER(OFFSET($O$15,0,$DO230,$B$8,1),OFFSET($M$15,0,0,$B$8,1))=FK$14))   /   SUM(OFFSET($BO$15,0,0,$B$14,1)) + $B$18/($B$19*$B$19*($DN230&lt;&gt;$DO230) + $B$19*($DN230=$DO230))</f>
        <v>3.7037037037037035E-4</v>
      </c>
      <c r="FL230" s="10" cm="1">
        <f t="array" aca="1" ref="FL230" ca="1">(1-$B$18)*SUMPRODUCT(OFFSET($BO$15,0,0,$B$14,1), 1*(_xlfn._xlws.FILTER(OFFSET($O$15,0,$DN230,$B$8,1),OFFSET($M$15,0,0,$B$8,1))=FL$13), 1*(_xlfn._xlws.FILTER(OFFSET($O$15,0,$DO230,$B$8,1),OFFSET($M$15,0,0,$B$8,1))=FL$14))   /   SUM(OFFSET($BO$15,0,0,$B$14,1)) + $B$18/($B$19*$B$19*($DN230&lt;&gt;$DO230) + $B$19*($DN230=$DO230))</f>
        <v>3.7037037037037035E-4</v>
      </c>
      <c r="FM230" s="10" cm="1">
        <f t="array" aca="1" ref="FM230" ca="1">(1-$B$18)*SUMPRODUCT(OFFSET($BO$15,0,0,$B$14,1), 1*(_xlfn._xlws.FILTER(OFFSET($O$15,0,$DN230,$B$8,1),OFFSET($M$15,0,0,$B$8,1))=FM$13), 1*(_xlfn._xlws.FILTER(OFFSET($O$15,0,$DO230,$B$8,1),OFFSET($M$15,0,0,$B$8,1))=FM$14))   /   SUM(OFFSET($BO$15,0,0,$B$14,1)) + $B$18/($B$19*$B$19*($DN230&lt;&gt;$DO230) + $B$19*($DN230=$DO230))</f>
        <v>3.7037037037037035E-4</v>
      </c>
      <c r="FN230" s="10" cm="1">
        <f t="array" aca="1" ref="FN230" ca="1">(1-$B$18)*SUMPRODUCT(OFFSET($BO$15,0,0,$B$14,1), 1*(_xlfn._xlws.FILTER(OFFSET($O$15,0,$DN230,$B$8,1),OFFSET($M$15,0,0,$B$8,1))=FN$13), 1*(_xlfn._xlws.FILTER(OFFSET($O$15,0,$DO230,$B$8,1),OFFSET($M$15,0,0,$B$8,1))=FN$14))   /   SUM(OFFSET($BO$15,0,0,$B$14,1)) + $B$18/($B$19*$B$19*($DN230&lt;&gt;$DO230) + $B$19*($DN230=$DO230))</f>
        <v>3.7037037037037035E-4</v>
      </c>
      <c r="FO230" s="10" cm="1">
        <f t="array" aca="1" ref="FO230" ca="1">(1-$B$18)*SUMPRODUCT(OFFSET($BO$15,0,0,$B$14,1), 1*(_xlfn._xlws.FILTER(OFFSET($O$15,0,$DN230,$B$8,1),OFFSET($M$15,0,0,$B$8,1))=FO$13), 1*(_xlfn._xlws.FILTER(OFFSET($O$15,0,$DO230,$B$8,1),OFFSET($M$15,0,0,$B$8,1))=FO$14))   /   SUM(OFFSET($BO$15,0,0,$B$14,1)) + $B$18/($B$19*$B$19*($DN230&lt;&gt;$DO230) + $B$19*($DN230=$DO230))</f>
        <v>3.7037037037037035E-4</v>
      </c>
      <c r="FP230" s="10" cm="1">
        <f t="array" aca="1" ref="FP230" ca="1">(1-$B$18)*SUMPRODUCT(OFFSET($BO$15,0,0,$B$14,1), 1*(_xlfn._xlws.FILTER(OFFSET($O$15,0,$DN230,$B$8,1),OFFSET($M$15,0,0,$B$8,1))=FP$13), 1*(_xlfn._xlws.FILTER(OFFSET($O$15,0,$DO230,$B$8,1),OFFSET($M$15,0,0,$B$8,1))=FP$14))   /   SUM(OFFSET($BO$15,0,0,$B$14,1)) + $B$18/($B$19*$B$19*($DN230&lt;&gt;$DO230) + $B$19*($DN230=$DO230))</f>
        <v>3.7037037037037035E-4</v>
      </c>
      <c r="FQ230" s="10" cm="1">
        <f t="array" aca="1" ref="FQ230" ca="1">(1-$B$18)*SUMPRODUCT(OFFSET($BO$15,0,0,$B$14,1), 1*(_xlfn._xlws.FILTER(OFFSET($O$15,0,$DN230,$B$8,1),OFFSET($M$15,0,0,$B$8,1))=FQ$13), 1*(_xlfn._xlws.FILTER(OFFSET($O$15,0,$DO230,$B$8,1),OFFSET($M$15,0,0,$B$8,1))=FQ$14))   /   SUM(OFFSET($BO$15,0,0,$B$14,1)) + $B$18/($B$19*$B$19*($DN230&lt;&gt;$DO230) + $B$19*($DN230=$DO230))</f>
        <v>3.7037037037037035E-4</v>
      </c>
      <c r="FR230" s="10" cm="1">
        <f t="array" aca="1" ref="FR230" ca="1">(1-$B$18)*SUMPRODUCT(OFFSET($BO$15,0,0,$B$14,1), 1*(_xlfn._xlws.FILTER(OFFSET($O$15,0,$DN230,$B$8,1),OFFSET($M$15,0,0,$B$8,1))=FR$13), 1*(_xlfn._xlws.FILTER(OFFSET($O$15,0,$DO230,$B$8,1),OFFSET($M$15,0,0,$B$8,1))=FR$14))   /   SUM(OFFSET($BO$15,0,0,$B$14,1)) + $B$18/($B$19*$B$19*($DN230&lt;&gt;$DO230) + $B$19*($DN230=$DO230))</f>
        <v>3.7037037037037035E-4</v>
      </c>
      <c r="FS230" s="10" cm="1">
        <f t="array" aca="1" ref="FS230" ca="1">(1-$B$18)*SUMPRODUCT(OFFSET($BO$15,0,0,$B$14,1), 1*(_xlfn._xlws.FILTER(OFFSET($O$15,0,$DN230,$B$8,1),OFFSET($M$15,0,0,$B$8,1))=FS$13), 1*(_xlfn._xlws.FILTER(OFFSET($O$15,0,$DO230,$B$8,1),OFFSET($M$15,0,0,$B$8,1))=FS$14))   /   SUM(OFFSET($BO$15,0,0,$B$14,1)) + $B$18/($B$19*$B$19*($DN230&lt;&gt;$DO230) + $B$19*($DN230=$DO230))</f>
        <v>3.7037037037037035E-4</v>
      </c>
      <c r="FT230" s="10" cm="1">
        <f t="array" aca="1" ref="FT230" ca="1">(1-$B$18)*SUMPRODUCT(OFFSET($BO$15,0,0,$B$14,1), 1*(_xlfn._xlws.FILTER(OFFSET($O$15,0,$DN230,$B$8,1),OFFSET($M$15,0,0,$B$8,1))=FT$13), 1*(_xlfn._xlws.FILTER(OFFSET($O$15,0,$DO230,$B$8,1),OFFSET($M$15,0,0,$B$8,1))=FT$14))   /   SUM(OFFSET($BO$15,0,0,$B$14,1)) + $B$18/($B$19*$B$19*($DN230&lt;&gt;$DO230) + $B$19*($DN230=$DO230))</f>
        <v>3.7037037037037035E-4</v>
      </c>
      <c r="FU230" s="10" cm="1">
        <f t="array" aca="1" ref="FU230" ca="1">(1-$B$18)*SUMPRODUCT(OFFSET($BO$15,0,0,$B$14,1), 1*(_xlfn._xlws.FILTER(OFFSET($O$15,0,$DN230,$B$8,1),OFFSET($M$15,0,0,$B$8,1))=FU$13), 1*(_xlfn._xlws.FILTER(OFFSET($O$15,0,$DO230,$B$8,1),OFFSET($M$15,0,0,$B$8,1))=FU$14))   /   SUM(OFFSET($BO$15,0,0,$B$14,1)) + $B$18/($B$19*$B$19*($DN230&lt;&gt;$DO230) + $B$19*($DN230=$DO230))</f>
        <v>3.7037037037037035E-4</v>
      </c>
      <c r="FV230" s="10" cm="1">
        <f t="array" aca="1" ref="FV230" ca="1">(1-$B$18)*SUMPRODUCT(OFFSET($BO$15,0,0,$B$14,1), 1*(_xlfn._xlws.FILTER(OFFSET($O$15,0,$DN230,$B$8,1),OFFSET($M$15,0,0,$B$8,1))=FV$13), 1*(_xlfn._xlws.FILTER(OFFSET($O$15,0,$DO230,$B$8,1),OFFSET($M$15,0,0,$B$8,1))=FV$14))   /   SUM(OFFSET($BO$15,0,0,$B$14,1)) + $B$18/($B$19*$B$19*($DN230&lt;&gt;$DO230) + $B$19*($DN230=$DO230))</f>
        <v>3.7037037037037035E-4</v>
      </c>
      <c r="FW230" s="10" cm="1">
        <f t="array" aca="1" ref="FW230" ca="1">(1-$B$18)*SUMPRODUCT(OFFSET($BO$15,0,0,$B$14,1), 1*(_xlfn._xlws.FILTER(OFFSET($O$15,0,$DN230,$B$8,1),OFFSET($M$15,0,0,$B$8,1))=FW$13), 1*(_xlfn._xlws.FILTER(OFFSET($O$15,0,$DO230,$B$8,1),OFFSET($M$15,0,0,$B$8,1))=FW$14))   /   SUM(OFFSET($BO$15,0,0,$B$14,1)) + $B$18/($B$19*$B$19*($DN230&lt;&gt;$DO230) + $B$19*($DN230=$DO230))</f>
        <v>3.7037037037037035E-4</v>
      </c>
      <c r="FX230" s="10" cm="1">
        <f t="array" aca="1" ref="FX230" ca="1">(1-$B$18)*SUMPRODUCT(OFFSET($BO$15,0,0,$B$14,1), 1*(_xlfn._xlws.FILTER(OFFSET($O$15,0,$DN230,$B$8,1),OFFSET($M$15,0,0,$B$8,1))=FX$13), 1*(_xlfn._xlws.FILTER(OFFSET($O$15,0,$DO230,$B$8,1),OFFSET($M$15,0,0,$B$8,1))=FX$14))   /   SUM(OFFSET($BO$15,0,0,$B$14,1)) + $B$18/($B$19*$B$19*($DN230&lt;&gt;$DO230) + $B$19*($DN230=$DO230))</f>
        <v>3.7037037037037035E-4</v>
      </c>
      <c r="FY230" s="10" cm="1">
        <f t="array" aca="1" ref="FY230" ca="1">(1-$B$18)*SUMPRODUCT(OFFSET($BO$15,0,0,$B$14,1), 1*(_xlfn._xlws.FILTER(OFFSET($O$15,0,$DN230,$B$8,1),OFFSET($M$15,0,0,$B$8,1))=FY$13), 1*(_xlfn._xlws.FILTER(OFFSET($O$15,0,$DO230,$B$8,1),OFFSET($M$15,0,0,$B$8,1))=FY$14))   /   SUM(OFFSET($BO$15,0,0,$B$14,1)) + $B$18/($B$19*$B$19*($DN230&lt;&gt;$DO230) + $B$19*($DN230=$DO230))</f>
        <v>3.7037037037037035E-4</v>
      </c>
      <c r="FZ230" s="10" cm="1">
        <f t="array" aca="1" ref="FZ230" ca="1">(1-$B$18)*SUMPRODUCT(OFFSET($BO$15,0,0,$B$14,1), 1*(_xlfn._xlws.FILTER(OFFSET($O$15,0,$DN230,$B$8,1),OFFSET($M$15,0,0,$B$8,1))=FZ$13), 1*(_xlfn._xlws.FILTER(OFFSET($O$15,0,$DO230,$B$8,1),OFFSET($M$15,0,0,$B$8,1))=FZ$14))   /   SUM(OFFSET($BO$15,0,0,$B$14,1)) + $B$18/($B$19*$B$19*($DN230&lt;&gt;$DO230) + $B$19*($DN230=$DO230))</f>
        <v>3.7037037037037035E-4</v>
      </c>
      <c r="GA230" s="10" cm="1">
        <f t="array" aca="1" ref="GA230" ca="1">(1-$B$18)*SUMPRODUCT(OFFSET($BO$15,0,0,$B$14,1), 1*(_xlfn._xlws.FILTER(OFFSET($O$15,0,$DN230,$B$8,1),OFFSET($M$15,0,0,$B$8,1))=GA$13), 1*(_xlfn._xlws.FILTER(OFFSET($O$15,0,$DO230,$B$8,1),OFFSET($M$15,0,0,$B$8,1))=GA$14))   /   SUM(OFFSET($BO$15,0,0,$B$14,1)) + $B$18/($B$19*$B$19*($DN230&lt;&gt;$DO230) + $B$19*($DN230=$DO230))</f>
        <v>3.7037037037037035E-4</v>
      </c>
    </row>
    <row r="231" spans="118:183" x14ac:dyDescent="0.2">
      <c r="DN231" cm="1">
        <f t="array" aca="1" ref="DN231" ca="1">INDEX(_xlfn.ANCHORARRAY($CP$15), 1 + INT((ROWS($DO$15:$DO231) - 1) / ROWS(_xlfn.ANCHORARRAY($CP$15))))</f>
        <v>12</v>
      </c>
      <c r="DO231" cm="1">
        <f t="array" aca="1" ref="DO231" ca="1">INDEX(_xlfn.ANCHORARRAY($CP$15),1+MOD(ROWS($DO$15:$DO231)-1,ROWS(_xlfn.ANCHORARRAY($CP$15))))</f>
        <v>7</v>
      </c>
      <c r="DP231" s="10" cm="1">
        <f t="array" aca="1" ref="DP231" ca="1">(1-$B$18)*SUMPRODUCT(OFFSET($BO$15,0,0,$B$14,1), 1*(_xlfn._xlws.FILTER(OFFSET($O$15,0,$DN231,$B$8,1),OFFSET($M$15,0,0,$B$8,1))=DP$13), 1*(_xlfn._xlws.FILTER(OFFSET($O$15,0,$DO231,$B$8,1),OFFSET($M$15,0,0,$B$8,1))=DP$14))   /   SUM(OFFSET($BO$15,0,0,$B$14,1)) + $B$18/($B$19*$B$19*($DN231&lt;&gt;$DO231) + $B$19*($DN231=$DO231))</f>
        <v>3.7037037037037035E-4</v>
      </c>
      <c r="DQ231" s="10" cm="1">
        <f t="array" aca="1" ref="DQ231" ca="1">(1-$B$18)*SUMPRODUCT(OFFSET($BO$15,0,0,$B$14,1), 1*(_xlfn._xlws.FILTER(OFFSET($O$15,0,$DN231,$B$8,1),OFFSET($M$15,0,0,$B$8,1))=DQ$13), 1*(_xlfn._xlws.FILTER(OFFSET($O$15,0,$DO231,$B$8,1),OFFSET($M$15,0,0,$B$8,1))=DQ$14))   /   SUM(OFFSET($BO$15,0,0,$B$14,1)) + $B$18/($B$19*$B$19*($DN231&lt;&gt;$DO231) + $B$19*($DN231=$DO231))</f>
        <v>3.7037037037037035E-4</v>
      </c>
      <c r="DR231" s="10" cm="1">
        <f t="array" aca="1" ref="DR231" ca="1">(1-$B$18)*SUMPRODUCT(OFFSET($BO$15,0,0,$B$14,1), 1*(_xlfn._xlws.FILTER(OFFSET($O$15,0,$DN231,$B$8,1),OFFSET($M$15,0,0,$B$8,1))=DR$13), 1*(_xlfn._xlws.FILTER(OFFSET($O$15,0,$DO231,$B$8,1),OFFSET($M$15,0,0,$B$8,1))=DR$14))   /   SUM(OFFSET($BO$15,0,0,$B$14,1)) + $B$18/($B$19*$B$19*($DN231&lt;&gt;$DO231) + $B$19*($DN231=$DO231))</f>
        <v>3.7037037037037035E-4</v>
      </c>
      <c r="DS231" s="10" cm="1">
        <f t="array" aca="1" ref="DS231" ca="1">(1-$B$18)*SUMPRODUCT(OFFSET($BO$15,0,0,$B$14,1), 1*(_xlfn._xlws.FILTER(OFFSET($O$15,0,$DN231,$B$8,1),OFFSET($M$15,0,0,$B$8,1))=DS$13), 1*(_xlfn._xlws.FILTER(OFFSET($O$15,0,$DO231,$B$8,1),OFFSET($M$15,0,0,$B$8,1))=DS$14))   /   SUM(OFFSET($BO$15,0,0,$B$14,1)) + $B$18/($B$19*$B$19*($DN231&lt;&gt;$DO231) + $B$19*($DN231=$DO231))</f>
        <v>3.7037037037037035E-4</v>
      </c>
      <c r="DT231" s="10" cm="1">
        <f t="array" aca="1" ref="DT231" ca="1">(1-$B$18)*SUMPRODUCT(OFFSET($BO$15,0,0,$B$14,1), 1*(_xlfn._xlws.FILTER(OFFSET($O$15,0,$DN231,$B$8,1),OFFSET($M$15,0,0,$B$8,1))=DT$13), 1*(_xlfn._xlws.FILTER(OFFSET($O$15,0,$DO231,$B$8,1),OFFSET($M$15,0,0,$B$8,1))=DT$14))   /   SUM(OFFSET($BO$15,0,0,$B$14,1)) + $B$18/($B$19*$B$19*($DN231&lt;&gt;$DO231) + $B$19*($DN231=$DO231))</f>
        <v>3.7037037037037035E-4</v>
      </c>
      <c r="DU231" s="10" cm="1">
        <f t="array" aca="1" ref="DU231" ca="1">(1-$B$18)*SUMPRODUCT(OFFSET($BO$15,0,0,$B$14,1), 1*(_xlfn._xlws.FILTER(OFFSET($O$15,0,$DN231,$B$8,1),OFFSET($M$15,0,0,$B$8,1))=DU$13), 1*(_xlfn._xlws.FILTER(OFFSET($O$15,0,$DO231,$B$8,1),OFFSET($M$15,0,0,$B$8,1))=DU$14))   /   SUM(OFFSET($BO$15,0,0,$B$14,1)) + $B$18/($B$19*$B$19*($DN231&lt;&gt;$DO231) + $B$19*($DN231=$DO231))</f>
        <v>3.7037037037037035E-4</v>
      </c>
      <c r="DV231" s="10" cm="1">
        <f t="array" aca="1" ref="DV231" ca="1">(1-$B$18)*SUMPRODUCT(OFFSET($BO$15,0,0,$B$14,1), 1*(_xlfn._xlws.FILTER(OFFSET($O$15,0,$DN231,$B$8,1),OFFSET($M$15,0,0,$B$8,1))=DV$13), 1*(_xlfn._xlws.FILTER(OFFSET($O$15,0,$DO231,$B$8,1),OFFSET($M$15,0,0,$B$8,1))=DV$14))   /   SUM(OFFSET($BO$15,0,0,$B$14,1)) + $B$18/($B$19*$B$19*($DN231&lt;&gt;$DO231) + $B$19*($DN231=$DO231))</f>
        <v>3.7037037037037035E-4</v>
      </c>
      <c r="DW231" s="10" cm="1">
        <f t="array" aca="1" ref="DW231" ca="1">(1-$B$18)*SUMPRODUCT(OFFSET($BO$15,0,0,$B$14,1), 1*(_xlfn._xlws.FILTER(OFFSET($O$15,0,$DN231,$B$8,1),OFFSET($M$15,0,0,$B$8,1))=DW$13), 1*(_xlfn._xlws.FILTER(OFFSET($O$15,0,$DO231,$B$8,1),OFFSET($M$15,0,0,$B$8,1))=DW$14))   /   SUM(OFFSET($BO$15,0,0,$B$14,1)) + $B$18/($B$19*$B$19*($DN231&lt;&gt;$DO231) + $B$19*($DN231=$DO231))</f>
        <v>3.7037037037037035E-4</v>
      </c>
      <c r="DX231" s="10" cm="1">
        <f t="array" aca="1" ref="DX231" ca="1">(1-$B$18)*SUMPRODUCT(OFFSET($BO$15,0,0,$B$14,1), 1*(_xlfn._xlws.FILTER(OFFSET($O$15,0,$DN231,$B$8,1),OFFSET($M$15,0,0,$B$8,1))=DX$13), 1*(_xlfn._xlws.FILTER(OFFSET($O$15,0,$DO231,$B$8,1),OFFSET($M$15,0,0,$B$8,1))=DX$14))   /   SUM(OFFSET($BO$15,0,0,$B$14,1)) + $B$18/($B$19*$B$19*($DN231&lt;&gt;$DO231) + $B$19*($DN231=$DO231))</f>
        <v>3.7037037037037035E-4</v>
      </c>
      <c r="DY231" s="10" cm="1">
        <f t="array" aca="1" ref="DY231" ca="1">(1-$B$18)*SUMPRODUCT(OFFSET($BO$15,0,0,$B$14,1), 1*(_xlfn._xlws.FILTER(OFFSET($O$15,0,$DN231,$B$8,1),OFFSET($M$15,0,0,$B$8,1))=DY$13), 1*(_xlfn._xlws.FILTER(OFFSET($O$15,0,$DO231,$B$8,1),OFFSET($M$15,0,0,$B$8,1))=DY$14))   /   SUM(OFFSET($BO$15,0,0,$B$14,1)) + $B$18/($B$19*$B$19*($DN231&lt;&gt;$DO231) + $B$19*($DN231=$DO231))</f>
        <v>3.7037037037037035E-4</v>
      </c>
      <c r="DZ231" s="10" cm="1">
        <f t="array" aca="1" ref="DZ231" ca="1">(1-$B$18)*SUMPRODUCT(OFFSET($BO$15,0,0,$B$14,1), 1*(_xlfn._xlws.FILTER(OFFSET($O$15,0,$DN231,$B$8,1),OFFSET($M$15,0,0,$B$8,1))=DZ$13), 1*(_xlfn._xlws.FILTER(OFFSET($O$15,0,$DO231,$B$8,1),OFFSET($M$15,0,0,$B$8,1))=DZ$14))   /   SUM(OFFSET($BO$15,0,0,$B$14,1)) + $B$18/($B$19*$B$19*($DN231&lt;&gt;$DO231) + $B$19*($DN231=$DO231))</f>
        <v>3.7037037037037035E-4</v>
      </c>
      <c r="EA231" s="10" cm="1">
        <f t="array" aca="1" ref="EA231" ca="1">(1-$B$18)*SUMPRODUCT(OFFSET($BO$15,0,0,$B$14,1), 1*(_xlfn._xlws.FILTER(OFFSET($O$15,0,$DN231,$B$8,1),OFFSET($M$15,0,0,$B$8,1))=EA$13), 1*(_xlfn._xlws.FILTER(OFFSET($O$15,0,$DO231,$B$8,1),OFFSET($M$15,0,0,$B$8,1))=EA$14))   /   SUM(OFFSET($BO$15,0,0,$B$14,1)) + $B$18/($B$19*$B$19*($DN231&lt;&gt;$DO231) + $B$19*($DN231=$DO231))</f>
        <v>3.7037037037037035E-4</v>
      </c>
      <c r="EB231" s="10" cm="1">
        <f t="array" aca="1" ref="EB231" ca="1">(1-$B$18)*SUMPRODUCT(OFFSET($BO$15,0,0,$B$14,1), 1*(_xlfn._xlws.FILTER(OFFSET($O$15,0,$DN231,$B$8,1),OFFSET($M$15,0,0,$B$8,1))=EB$13), 1*(_xlfn._xlws.FILTER(OFFSET($O$15,0,$DO231,$B$8,1),OFFSET($M$15,0,0,$B$8,1))=EB$14))   /   SUM(OFFSET($BO$15,0,0,$B$14,1)) + $B$18/($B$19*$B$19*($DN231&lt;&gt;$DO231) + $B$19*($DN231=$DO231))</f>
        <v>3.7037037037037035E-4</v>
      </c>
      <c r="EC231" s="10" cm="1">
        <f t="array" aca="1" ref="EC231" ca="1">(1-$B$18)*SUMPRODUCT(OFFSET($BO$15,0,0,$B$14,1), 1*(_xlfn._xlws.FILTER(OFFSET($O$15,0,$DN231,$B$8,1),OFFSET($M$15,0,0,$B$8,1))=EC$13), 1*(_xlfn._xlws.FILTER(OFFSET($O$15,0,$DO231,$B$8,1),OFFSET($M$15,0,0,$B$8,1))=EC$14))   /   SUM(OFFSET($BO$15,0,0,$B$14,1)) + $B$18/($B$19*$B$19*($DN231&lt;&gt;$DO231) + $B$19*($DN231=$DO231))</f>
        <v>3.7037037037037035E-4</v>
      </c>
      <c r="ED231" s="10" cm="1">
        <f t="array" aca="1" ref="ED231" ca="1">(1-$B$18)*SUMPRODUCT(OFFSET($BO$15,0,0,$B$14,1), 1*(_xlfn._xlws.FILTER(OFFSET($O$15,0,$DN231,$B$8,1),OFFSET($M$15,0,0,$B$8,1))=ED$13), 1*(_xlfn._xlws.FILTER(OFFSET($O$15,0,$DO231,$B$8,1),OFFSET($M$15,0,0,$B$8,1))=ED$14))   /   SUM(OFFSET($BO$15,0,0,$B$14,1)) + $B$18/($B$19*$B$19*($DN231&lt;&gt;$DO231) + $B$19*($DN231=$DO231))</f>
        <v>0.97037037037037033</v>
      </c>
      <c r="EE231" s="10" cm="1">
        <f t="array" aca="1" ref="EE231" ca="1">(1-$B$18)*SUMPRODUCT(OFFSET($BO$15,0,0,$B$14,1), 1*(_xlfn._xlws.FILTER(OFFSET($O$15,0,$DN231,$B$8,1),OFFSET($M$15,0,0,$B$8,1))=EE$13), 1*(_xlfn._xlws.FILTER(OFFSET($O$15,0,$DO231,$B$8,1),OFFSET($M$15,0,0,$B$8,1))=EE$14))   /   SUM(OFFSET($BO$15,0,0,$B$14,1)) + $B$18/($B$19*$B$19*($DN231&lt;&gt;$DO231) + $B$19*($DN231=$DO231))</f>
        <v>3.7037037037037035E-4</v>
      </c>
      <c r="EF231" s="10" cm="1">
        <f t="array" aca="1" ref="EF231" ca="1">(1-$B$18)*SUMPRODUCT(OFFSET($BO$15,0,0,$B$14,1), 1*(_xlfn._xlws.FILTER(OFFSET($O$15,0,$DN231,$B$8,1),OFFSET($M$15,0,0,$B$8,1))=EF$13), 1*(_xlfn._xlws.FILTER(OFFSET($O$15,0,$DO231,$B$8,1),OFFSET($M$15,0,0,$B$8,1))=EF$14))   /   SUM(OFFSET($BO$15,0,0,$B$14,1)) + $B$18/($B$19*$B$19*($DN231&lt;&gt;$DO231) + $B$19*($DN231=$DO231))</f>
        <v>3.7037037037037035E-4</v>
      </c>
      <c r="EG231" s="10" cm="1">
        <f t="array" aca="1" ref="EG231" ca="1">(1-$B$18)*SUMPRODUCT(OFFSET($BO$15,0,0,$B$14,1), 1*(_xlfn._xlws.FILTER(OFFSET($O$15,0,$DN231,$B$8,1),OFFSET($M$15,0,0,$B$8,1))=EG$13), 1*(_xlfn._xlws.FILTER(OFFSET($O$15,0,$DO231,$B$8,1),OFFSET($M$15,0,0,$B$8,1))=EG$14))   /   SUM(OFFSET($BO$15,0,0,$B$14,1)) + $B$18/($B$19*$B$19*($DN231&lt;&gt;$DO231) + $B$19*($DN231=$DO231))</f>
        <v>3.7037037037037035E-4</v>
      </c>
      <c r="EH231" s="10" cm="1">
        <f t="array" aca="1" ref="EH231" ca="1">(1-$B$18)*SUMPRODUCT(OFFSET($BO$15,0,0,$B$14,1), 1*(_xlfn._xlws.FILTER(OFFSET($O$15,0,$DN231,$B$8,1),OFFSET($M$15,0,0,$B$8,1))=EH$13), 1*(_xlfn._xlws.FILTER(OFFSET($O$15,0,$DO231,$B$8,1),OFFSET($M$15,0,0,$B$8,1))=EH$14))   /   SUM(OFFSET($BO$15,0,0,$B$14,1)) + $B$18/($B$19*$B$19*($DN231&lt;&gt;$DO231) + $B$19*($DN231=$DO231))</f>
        <v>3.7037037037037035E-4</v>
      </c>
      <c r="EI231" s="10" cm="1">
        <f t="array" aca="1" ref="EI231" ca="1">(1-$B$18)*SUMPRODUCT(OFFSET($BO$15,0,0,$B$14,1), 1*(_xlfn._xlws.FILTER(OFFSET($O$15,0,$DN231,$B$8,1),OFFSET($M$15,0,0,$B$8,1))=EI$13), 1*(_xlfn._xlws.FILTER(OFFSET($O$15,0,$DO231,$B$8,1),OFFSET($M$15,0,0,$B$8,1))=EI$14))   /   SUM(OFFSET($BO$15,0,0,$B$14,1)) + $B$18/($B$19*$B$19*($DN231&lt;&gt;$DO231) + $B$19*($DN231=$DO231))</f>
        <v>3.7037037037037035E-4</v>
      </c>
      <c r="EJ231" s="10" cm="1">
        <f t="array" aca="1" ref="EJ231" ca="1">(1-$B$18)*SUMPRODUCT(OFFSET($BO$15,0,0,$B$14,1), 1*(_xlfn._xlws.FILTER(OFFSET($O$15,0,$DN231,$B$8,1),OFFSET($M$15,0,0,$B$8,1))=EJ$13), 1*(_xlfn._xlws.FILTER(OFFSET($O$15,0,$DO231,$B$8,1),OFFSET($M$15,0,0,$B$8,1))=EJ$14))   /   SUM(OFFSET($BO$15,0,0,$B$14,1)) + $B$18/($B$19*$B$19*($DN231&lt;&gt;$DO231) + $B$19*($DN231=$DO231))</f>
        <v>3.7037037037037035E-4</v>
      </c>
      <c r="EK231" s="10" cm="1">
        <f t="array" aca="1" ref="EK231" ca="1">(1-$B$18)*SUMPRODUCT(OFFSET($BO$15,0,0,$B$14,1), 1*(_xlfn._xlws.FILTER(OFFSET($O$15,0,$DN231,$B$8,1),OFFSET($M$15,0,0,$B$8,1))=EK$13), 1*(_xlfn._xlws.FILTER(OFFSET($O$15,0,$DO231,$B$8,1),OFFSET($M$15,0,0,$B$8,1))=EK$14))   /   SUM(OFFSET($BO$15,0,0,$B$14,1)) + $B$18/($B$19*$B$19*($DN231&lt;&gt;$DO231) + $B$19*($DN231=$DO231))</f>
        <v>3.7037037037037035E-4</v>
      </c>
      <c r="EL231" s="10" cm="1">
        <f t="array" aca="1" ref="EL231" ca="1">(1-$B$18)*SUMPRODUCT(OFFSET($BO$15,0,0,$B$14,1), 1*(_xlfn._xlws.FILTER(OFFSET($O$15,0,$DN231,$B$8,1),OFFSET($M$15,0,0,$B$8,1))=EL$13), 1*(_xlfn._xlws.FILTER(OFFSET($O$15,0,$DO231,$B$8,1),OFFSET($M$15,0,0,$B$8,1))=EL$14))   /   SUM(OFFSET($BO$15,0,0,$B$14,1)) + $B$18/($B$19*$B$19*($DN231&lt;&gt;$DO231) + $B$19*($DN231=$DO231))</f>
        <v>3.7037037037037035E-4</v>
      </c>
      <c r="EM231" s="10" cm="1">
        <f t="array" aca="1" ref="EM231" ca="1">(1-$B$18)*SUMPRODUCT(OFFSET($BO$15,0,0,$B$14,1), 1*(_xlfn._xlws.FILTER(OFFSET($O$15,0,$DN231,$B$8,1),OFFSET($M$15,0,0,$B$8,1))=EM$13), 1*(_xlfn._xlws.FILTER(OFFSET($O$15,0,$DO231,$B$8,1),OFFSET($M$15,0,0,$B$8,1))=EM$14))   /   SUM(OFFSET($BO$15,0,0,$B$14,1)) + $B$18/($B$19*$B$19*($DN231&lt;&gt;$DO231) + $B$19*($DN231=$DO231))</f>
        <v>3.7037037037037035E-4</v>
      </c>
      <c r="EN231" s="10" cm="1">
        <f t="array" aca="1" ref="EN231" ca="1">(1-$B$18)*SUMPRODUCT(OFFSET($BO$15,0,0,$B$14,1), 1*(_xlfn._xlws.FILTER(OFFSET($O$15,0,$DN231,$B$8,1),OFFSET($M$15,0,0,$B$8,1))=EN$13), 1*(_xlfn._xlws.FILTER(OFFSET($O$15,0,$DO231,$B$8,1),OFFSET($M$15,0,0,$B$8,1))=EN$14))   /   SUM(OFFSET($BO$15,0,0,$B$14,1)) + $B$18/($B$19*$B$19*($DN231&lt;&gt;$DO231) + $B$19*($DN231=$DO231))</f>
        <v>3.7037037037037035E-4</v>
      </c>
      <c r="EO231" s="10" cm="1">
        <f t="array" aca="1" ref="EO231" ca="1">(1-$B$18)*SUMPRODUCT(OFFSET($BO$15,0,0,$B$14,1), 1*(_xlfn._xlws.FILTER(OFFSET($O$15,0,$DN231,$B$8,1),OFFSET($M$15,0,0,$B$8,1))=EO$13), 1*(_xlfn._xlws.FILTER(OFFSET($O$15,0,$DO231,$B$8,1),OFFSET($M$15,0,0,$B$8,1))=EO$14))   /   SUM(OFFSET($BO$15,0,0,$B$14,1)) + $B$18/($B$19*$B$19*($DN231&lt;&gt;$DO231) + $B$19*($DN231=$DO231))</f>
        <v>3.7037037037037035E-4</v>
      </c>
      <c r="EP231" s="10" cm="1">
        <f t="array" aca="1" ref="EP231" ca="1">(1-$B$18)*SUMPRODUCT(OFFSET($BO$15,0,0,$B$14,1), 1*(_xlfn._xlws.FILTER(OFFSET($O$15,0,$DN231,$B$8,1),OFFSET($M$15,0,0,$B$8,1))=EP$13), 1*(_xlfn._xlws.FILTER(OFFSET($O$15,0,$DO231,$B$8,1),OFFSET($M$15,0,0,$B$8,1))=EP$14))   /   SUM(OFFSET($BO$15,0,0,$B$14,1)) + $B$18/($B$19*$B$19*($DN231&lt;&gt;$DO231) + $B$19*($DN231=$DO231))</f>
        <v>3.7037037037037035E-4</v>
      </c>
      <c r="EQ231" s="10" cm="1">
        <f t="array" aca="1" ref="EQ231" ca="1">(1-$B$18)*SUMPRODUCT(OFFSET($BO$15,0,0,$B$14,1), 1*(_xlfn._xlws.FILTER(OFFSET($O$15,0,$DN231,$B$8,1),OFFSET($M$15,0,0,$B$8,1))=EQ$13), 1*(_xlfn._xlws.FILTER(OFFSET($O$15,0,$DO231,$B$8,1),OFFSET($M$15,0,0,$B$8,1))=EQ$14))   /   SUM(OFFSET($BO$15,0,0,$B$14,1)) + $B$18/($B$19*$B$19*($DN231&lt;&gt;$DO231) + $B$19*($DN231=$DO231))</f>
        <v>3.7037037037037035E-4</v>
      </c>
      <c r="ER231" s="10" cm="1">
        <f t="array" aca="1" ref="ER231" ca="1">(1-$B$18)*SUMPRODUCT(OFFSET($BO$15,0,0,$B$14,1), 1*(_xlfn._xlws.FILTER(OFFSET($O$15,0,$DN231,$B$8,1),OFFSET($M$15,0,0,$B$8,1))=ER$13), 1*(_xlfn._xlws.FILTER(OFFSET($O$15,0,$DO231,$B$8,1),OFFSET($M$15,0,0,$B$8,1))=ER$14))   /   SUM(OFFSET($BO$15,0,0,$B$14,1)) + $B$18/($B$19*$B$19*($DN231&lt;&gt;$DO231) + $B$19*($DN231=$DO231))</f>
        <v>3.7037037037037035E-4</v>
      </c>
      <c r="ES231" s="10" cm="1">
        <f t="array" aca="1" ref="ES231" ca="1">(1-$B$18)*SUMPRODUCT(OFFSET($BO$15,0,0,$B$14,1), 1*(_xlfn._xlws.FILTER(OFFSET($O$15,0,$DN231,$B$8,1),OFFSET($M$15,0,0,$B$8,1))=ES$13), 1*(_xlfn._xlws.FILTER(OFFSET($O$15,0,$DO231,$B$8,1),OFFSET($M$15,0,0,$B$8,1))=ES$14))   /   SUM(OFFSET($BO$15,0,0,$B$14,1)) + $B$18/($B$19*$B$19*($DN231&lt;&gt;$DO231) + $B$19*($DN231=$DO231))</f>
        <v>3.7037037037037035E-4</v>
      </c>
      <c r="ET231" s="10" cm="1">
        <f t="array" aca="1" ref="ET231" ca="1">(1-$B$18)*SUMPRODUCT(OFFSET($BO$15,0,0,$B$14,1), 1*(_xlfn._xlws.FILTER(OFFSET($O$15,0,$DN231,$B$8,1),OFFSET($M$15,0,0,$B$8,1))=ET$13), 1*(_xlfn._xlws.FILTER(OFFSET($O$15,0,$DO231,$B$8,1),OFFSET($M$15,0,0,$B$8,1))=ET$14))   /   SUM(OFFSET($BO$15,0,0,$B$14,1)) + $B$18/($B$19*$B$19*($DN231&lt;&gt;$DO231) + $B$19*($DN231=$DO231))</f>
        <v>3.7037037037037035E-4</v>
      </c>
      <c r="EU231" s="10" cm="1">
        <f t="array" aca="1" ref="EU231" ca="1">(1-$B$18)*SUMPRODUCT(OFFSET($BO$15,0,0,$B$14,1), 1*(_xlfn._xlws.FILTER(OFFSET($O$15,0,$DN231,$B$8,1),OFFSET($M$15,0,0,$B$8,1))=EU$13), 1*(_xlfn._xlws.FILTER(OFFSET($O$15,0,$DO231,$B$8,1),OFFSET($M$15,0,0,$B$8,1))=EU$14))   /   SUM(OFFSET($BO$15,0,0,$B$14,1)) + $B$18/($B$19*$B$19*($DN231&lt;&gt;$DO231) + $B$19*($DN231=$DO231))</f>
        <v>3.7037037037037035E-4</v>
      </c>
      <c r="EV231" s="10" cm="1">
        <f t="array" aca="1" ref="EV231" ca="1">(1-$B$18)*SUMPRODUCT(OFFSET($BO$15,0,0,$B$14,1), 1*(_xlfn._xlws.FILTER(OFFSET($O$15,0,$DN231,$B$8,1),OFFSET($M$15,0,0,$B$8,1))=EV$13), 1*(_xlfn._xlws.FILTER(OFFSET($O$15,0,$DO231,$B$8,1),OFFSET($M$15,0,0,$B$8,1))=EV$14))   /   SUM(OFFSET($BO$15,0,0,$B$14,1)) + $B$18/($B$19*$B$19*($DN231&lt;&gt;$DO231) + $B$19*($DN231=$DO231))</f>
        <v>3.7037037037037035E-4</v>
      </c>
      <c r="EW231" s="10" cm="1">
        <f t="array" aca="1" ref="EW231" ca="1">(1-$B$18)*SUMPRODUCT(OFFSET($BO$15,0,0,$B$14,1), 1*(_xlfn._xlws.FILTER(OFFSET($O$15,0,$DN231,$B$8,1),OFFSET($M$15,0,0,$B$8,1))=EW$13), 1*(_xlfn._xlws.FILTER(OFFSET($O$15,0,$DO231,$B$8,1),OFFSET($M$15,0,0,$B$8,1))=EW$14))   /   SUM(OFFSET($BO$15,0,0,$B$14,1)) + $B$18/($B$19*$B$19*($DN231&lt;&gt;$DO231) + $B$19*($DN231=$DO231))</f>
        <v>3.7037037037037035E-4</v>
      </c>
      <c r="EX231" s="10" cm="1">
        <f t="array" aca="1" ref="EX231" ca="1">(1-$B$18)*SUMPRODUCT(OFFSET($BO$15,0,0,$B$14,1), 1*(_xlfn._xlws.FILTER(OFFSET($O$15,0,$DN231,$B$8,1),OFFSET($M$15,0,0,$B$8,1))=EX$13), 1*(_xlfn._xlws.FILTER(OFFSET($O$15,0,$DO231,$B$8,1),OFFSET($M$15,0,0,$B$8,1))=EX$14))   /   SUM(OFFSET($BO$15,0,0,$B$14,1)) + $B$18/($B$19*$B$19*($DN231&lt;&gt;$DO231) + $B$19*($DN231=$DO231))</f>
        <v>3.7037037037037035E-4</v>
      </c>
      <c r="EY231" s="10" cm="1">
        <f t="array" aca="1" ref="EY231" ca="1">(1-$B$18)*SUMPRODUCT(OFFSET($BO$15,0,0,$B$14,1), 1*(_xlfn._xlws.FILTER(OFFSET($O$15,0,$DN231,$B$8,1),OFFSET($M$15,0,0,$B$8,1))=EY$13), 1*(_xlfn._xlws.FILTER(OFFSET($O$15,0,$DO231,$B$8,1),OFFSET($M$15,0,0,$B$8,1))=EY$14))   /   SUM(OFFSET($BO$15,0,0,$B$14,1)) + $B$18/($B$19*$B$19*($DN231&lt;&gt;$DO231) + $B$19*($DN231=$DO231))</f>
        <v>3.7037037037037035E-4</v>
      </c>
      <c r="EZ231" s="10" cm="1">
        <f t="array" aca="1" ref="EZ231" ca="1">(1-$B$18)*SUMPRODUCT(OFFSET($BO$15,0,0,$B$14,1), 1*(_xlfn._xlws.FILTER(OFFSET($O$15,0,$DN231,$B$8,1),OFFSET($M$15,0,0,$B$8,1))=EZ$13), 1*(_xlfn._xlws.FILTER(OFFSET($O$15,0,$DO231,$B$8,1),OFFSET($M$15,0,0,$B$8,1))=EZ$14))   /   SUM(OFFSET($BO$15,0,0,$B$14,1)) + $B$18/($B$19*$B$19*($DN231&lt;&gt;$DO231) + $B$19*($DN231=$DO231))</f>
        <v>3.7037037037037035E-4</v>
      </c>
      <c r="FA231" s="10" cm="1">
        <f t="array" aca="1" ref="FA231" ca="1">(1-$B$18)*SUMPRODUCT(OFFSET($BO$15,0,0,$B$14,1), 1*(_xlfn._xlws.FILTER(OFFSET($O$15,0,$DN231,$B$8,1),OFFSET($M$15,0,0,$B$8,1))=FA$13), 1*(_xlfn._xlws.FILTER(OFFSET($O$15,0,$DO231,$B$8,1),OFFSET($M$15,0,0,$B$8,1))=FA$14))   /   SUM(OFFSET($BO$15,0,0,$B$14,1)) + $B$18/($B$19*$B$19*($DN231&lt;&gt;$DO231) + $B$19*($DN231=$DO231))</f>
        <v>3.7037037037037035E-4</v>
      </c>
      <c r="FB231" s="10" cm="1">
        <f t="array" aca="1" ref="FB231" ca="1">(1-$B$18)*SUMPRODUCT(OFFSET($BO$15,0,0,$B$14,1), 1*(_xlfn._xlws.FILTER(OFFSET($O$15,0,$DN231,$B$8,1),OFFSET($M$15,0,0,$B$8,1))=FB$13), 1*(_xlfn._xlws.FILTER(OFFSET($O$15,0,$DO231,$B$8,1),OFFSET($M$15,0,0,$B$8,1))=FB$14))   /   SUM(OFFSET($BO$15,0,0,$B$14,1)) + $B$18/($B$19*$B$19*($DN231&lt;&gt;$DO231) + $B$19*($DN231=$DO231))</f>
        <v>3.7037037037037035E-4</v>
      </c>
      <c r="FC231" s="10" cm="1">
        <f t="array" aca="1" ref="FC231" ca="1">(1-$B$18)*SUMPRODUCT(OFFSET($BO$15,0,0,$B$14,1), 1*(_xlfn._xlws.FILTER(OFFSET($O$15,0,$DN231,$B$8,1),OFFSET($M$15,0,0,$B$8,1))=FC$13), 1*(_xlfn._xlws.FILTER(OFFSET($O$15,0,$DO231,$B$8,1),OFFSET($M$15,0,0,$B$8,1))=FC$14))   /   SUM(OFFSET($BO$15,0,0,$B$14,1)) + $B$18/($B$19*$B$19*($DN231&lt;&gt;$DO231) + $B$19*($DN231=$DO231))</f>
        <v>3.7037037037037035E-4</v>
      </c>
      <c r="FD231" s="10" cm="1">
        <f t="array" aca="1" ref="FD231" ca="1">(1-$B$18)*SUMPRODUCT(OFFSET($BO$15,0,0,$B$14,1), 1*(_xlfn._xlws.FILTER(OFFSET($O$15,0,$DN231,$B$8,1),OFFSET($M$15,0,0,$B$8,1))=FD$13), 1*(_xlfn._xlws.FILTER(OFFSET($O$15,0,$DO231,$B$8,1),OFFSET($M$15,0,0,$B$8,1))=FD$14))   /   SUM(OFFSET($BO$15,0,0,$B$14,1)) + $B$18/($B$19*$B$19*($DN231&lt;&gt;$DO231) + $B$19*($DN231=$DO231))</f>
        <v>3.7037037037037035E-4</v>
      </c>
      <c r="FE231" s="10" cm="1">
        <f t="array" aca="1" ref="FE231" ca="1">(1-$B$18)*SUMPRODUCT(OFFSET($BO$15,0,0,$B$14,1), 1*(_xlfn._xlws.FILTER(OFFSET($O$15,0,$DN231,$B$8,1),OFFSET($M$15,0,0,$B$8,1))=FE$13), 1*(_xlfn._xlws.FILTER(OFFSET($O$15,0,$DO231,$B$8,1),OFFSET($M$15,0,0,$B$8,1))=FE$14))   /   SUM(OFFSET($BO$15,0,0,$B$14,1)) + $B$18/($B$19*$B$19*($DN231&lt;&gt;$DO231) + $B$19*($DN231=$DO231))</f>
        <v>3.7037037037037035E-4</v>
      </c>
      <c r="FF231" s="10" cm="1">
        <f t="array" aca="1" ref="FF231" ca="1">(1-$B$18)*SUMPRODUCT(OFFSET($BO$15,0,0,$B$14,1), 1*(_xlfn._xlws.FILTER(OFFSET($O$15,0,$DN231,$B$8,1),OFFSET($M$15,0,0,$B$8,1))=FF$13), 1*(_xlfn._xlws.FILTER(OFFSET($O$15,0,$DO231,$B$8,1),OFFSET($M$15,0,0,$B$8,1))=FF$14))   /   SUM(OFFSET($BO$15,0,0,$B$14,1)) + $B$18/($B$19*$B$19*($DN231&lt;&gt;$DO231) + $B$19*($DN231=$DO231))</f>
        <v>3.7037037037037035E-4</v>
      </c>
      <c r="FG231" s="10" cm="1">
        <f t="array" aca="1" ref="FG231" ca="1">(1-$B$18)*SUMPRODUCT(OFFSET($BO$15,0,0,$B$14,1), 1*(_xlfn._xlws.FILTER(OFFSET($O$15,0,$DN231,$B$8,1),OFFSET($M$15,0,0,$B$8,1))=FG$13), 1*(_xlfn._xlws.FILTER(OFFSET($O$15,0,$DO231,$B$8,1),OFFSET($M$15,0,0,$B$8,1))=FG$14))   /   SUM(OFFSET($BO$15,0,0,$B$14,1)) + $B$18/($B$19*$B$19*($DN231&lt;&gt;$DO231) + $B$19*($DN231=$DO231))</f>
        <v>3.7037037037037035E-4</v>
      </c>
      <c r="FH231" s="10" cm="1">
        <f t="array" aca="1" ref="FH231" ca="1">(1-$B$18)*SUMPRODUCT(OFFSET($BO$15,0,0,$B$14,1), 1*(_xlfn._xlws.FILTER(OFFSET($O$15,0,$DN231,$B$8,1),OFFSET($M$15,0,0,$B$8,1))=FH$13), 1*(_xlfn._xlws.FILTER(OFFSET($O$15,0,$DO231,$B$8,1),OFFSET($M$15,0,0,$B$8,1))=FH$14))   /   SUM(OFFSET($BO$15,0,0,$B$14,1)) + $B$18/($B$19*$B$19*($DN231&lt;&gt;$DO231) + $B$19*($DN231=$DO231))</f>
        <v>3.7037037037037035E-4</v>
      </c>
      <c r="FI231" s="10" cm="1">
        <f t="array" aca="1" ref="FI231" ca="1">(1-$B$18)*SUMPRODUCT(OFFSET($BO$15,0,0,$B$14,1), 1*(_xlfn._xlws.FILTER(OFFSET($O$15,0,$DN231,$B$8,1),OFFSET($M$15,0,0,$B$8,1))=FI$13), 1*(_xlfn._xlws.FILTER(OFFSET($O$15,0,$DO231,$B$8,1),OFFSET($M$15,0,0,$B$8,1))=FI$14))   /   SUM(OFFSET($BO$15,0,0,$B$14,1)) + $B$18/($B$19*$B$19*($DN231&lt;&gt;$DO231) + $B$19*($DN231=$DO231))</f>
        <v>3.7037037037037035E-4</v>
      </c>
      <c r="FJ231" s="10" cm="1">
        <f t="array" aca="1" ref="FJ231" ca="1">(1-$B$18)*SUMPRODUCT(OFFSET($BO$15,0,0,$B$14,1), 1*(_xlfn._xlws.FILTER(OFFSET($O$15,0,$DN231,$B$8,1),OFFSET($M$15,0,0,$B$8,1))=FJ$13), 1*(_xlfn._xlws.FILTER(OFFSET($O$15,0,$DO231,$B$8,1),OFFSET($M$15,0,0,$B$8,1))=FJ$14))   /   SUM(OFFSET($BO$15,0,0,$B$14,1)) + $B$18/($B$19*$B$19*($DN231&lt;&gt;$DO231) + $B$19*($DN231=$DO231))</f>
        <v>3.7037037037037035E-4</v>
      </c>
      <c r="FK231" s="10" cm="1">
        <f t="array" aca="1" ref="FK231" ca="1">(1-$B$18)*SUMPRODUCT(OFFSET($BO$15,0,0,$B$14,1), 1*(_xlfn._xlws.FILTER(OFFSET($O$15,0,$DN231,$B$8,1),OFFSET($M$15,0,0,$B$8,1))=FK$13), 1*(_xlfn._xlws.FILTER(OFFSET($O$15,0,$DO231,$B$8,1),OFFSET($M$15,0,0,$B$8,1))=FK$14))   /   SUM(OFFSET($BO$15,0,0,$B$14,1)) + $B$18/($B$19*$B$19*($DN231&lt;&gt;$DO231) + $B$19*($DN231=$DO231))</f>
        <v>3.7037037037037035E-4</v>
      </c>
      <c r="FL231" s="10" cm="1">
        <f t="array" aca="1" ref="FL231" ca="1">(1-$B$18)*SUMPRODUCT(OFFSET($BO$15,0,0,$B$14,1), 1*(_xlfn._xlws.FILTER(OFFSET($O$15,0,$DN231,$B$8,1),OFFSET($M$15,0,0,$B$8,1))=FL$13), 1*(_xlfn._xlws.FILTER(OFFSET($O$15,0,$DO231,$B$8,1),OFFSET($M$15,0,0,$B$8,1))=FL$14))   /   SUM(OFFSET($BO$15,0,0,$B$14,1)) + $B$18/($B$19*$B$19*($DN231&lt;&gt;$DO231) + $B$19*($DN231=$DO231))</f>
        <v>3.7037037037037035E-4</v>
      </c>
      <c r="FM231" s="10" cm="1">
        <f t="array" aca="1" ref="FM231" ca="1">(1-$B$18)*SUMPRODUCT(OFFSET($BO$15,0,0,$B$14,1), 1*(_xlfn._xlws.FILTER(OFFSET($O$15,0,$DN231,$B$8,1),OFFSET($M$15,0,0,$B$8,1))=FM$13), 1*(_xlfn._xlws.FILTER(OFFSET($O$15,0,$DO231,$B$8,1),OFFSET($M$15,0,0,$B$8,1))=FM$14))   /   SUM(OFFSET($BO$15,0,0,$B$14,1)) + $B$18/($B$19*$B$19*($DN231&lt;&gt;$DO231) + $B$19*($DN231=$DO231))</f>
        <v>3.7037037037037035E-4</v>
      </c>
      <c r="FN231" s="10" cm="1">
        <f t="array" aca="1" ref="FN231" ca="1">(1-$B$18)*SUMPRODUCT(OFFSET($BO$15,0,0,$B$14,1), 1*(_xlfn._xlws.FILTER(OFFSET($O$15,0,$DN231,$B$8,1),OFFSET($M$15,0,0,$B$8,1))=FN$13), 1*(_xlfn._xlws.FILTER(OFFSET($O$15,0,$DO231,$B$8,1),OFFSET($M$15,0,0,$B$8,1))=FN$14))   /   SUM(OFFSET($BO$15,0,0,$B$14,1)) + $B$18/($B$19*$B$19*($DN231&lt;&gt;$DO231) + $B$19*($DN231=$DO231))</f>
        <v>3.7037037037037035E-4</v>
      </c>
      <c r="FO231" s="10" cm="1">
        <f t="array" aca="1" ref="FO231" ca="1">(1-$B$18)*SUMPRODUCT(OFFSET($BO$15,0,0,$B$14,1), 1*(_xlfn._xlws.FILTER(OFFSET($O$15,0,$DN231,$B$8,1),OFFSET($M$15,0,0,$B$8,1))=FO$13), 1*(_xlfn._xlws.FILTER(OFFSET($O$15,0,$DO231,$B$8,1),OFFSET($M$15,0,0,$B$8,1))=FO$14))   /   SUM(OFFSET($BO$15,0,0,$B$14,1)) + $B$18/($B$19*$B$19*($DN231&lt;&gt;$DO231) + $B$19*($DN231=$DO231))</f>
        <v>3.7037037037037035E-4</v>
      </c>
      <c r="FP231" s="10" cm="1">
        <f t="array" aca="1" ref="FP231" ca="1">(1-$B$18)*SUMPRODUCT(OFFSET($BO$15,0,0,$B$14,1), 1*(_xlfn._xlws.FILTER(OFFSET($O$15,0,$DN231,$B$8,1),OFFSET($M$15,0,0,$B$8,1))=FP$13), 1*(_xlfn._xlws.FILTER(OFFSET($O$15,0,$DO231,$B$8,1),OFFSET($M$15,0,0,$B$8,1))=FP$14))   /   SUM(OFFSET($BO$15,0,0,$B$14,1)) + $B$18/($B$19*$B$19*($DN231&lt;&gt;$DO231) + $B$19*($DN231=$DO231))</f>
        <v>3.7037037037037035E-4</v>
      </c>
      <c r="FQ231" s="10" cm="1">
        <f t="array" aca="1" ref="FQ231" ca="1">(1-$B$18)*SUMPRODUCT(OFFSET($BO$15,0,0,$B$14,1), 1*(_xlfn._xlws.FILTER(OFFSET($O$15,0,$DN231,$B$8,1),OFFSET($M$15,0,0,$B$8,1))=FQ$13), 1*(_xlfn._xlws.FILTER(OFFSET($O$15,0,$DO231,$B$8,1),OFFSET($M$15,0,0,$B$8,1))=FQ$14))   /   SUM(OFFSET($BO$15,0,0,$B$14,1)) + $B$18/($B$19*$B$19*($DN231&lt;&gt;$DO231) + $B$19*($DN231=$DO231))</f>
        <v>3.7037037037037035E-4</v>
      </c>
      <c r="FR231" s="10" cm="1">
        <f t="array" aca="1" ref="FR231" ca="1">(1-$B$18)*SUMPRODUCT(OFFSET($BO$15,0,0,$B$14,1), 1*(_xlfn._xlws.FILTER(OFFSET($O$15,0,$DN231,$B$8,1),OFFSET($M$15,0,0,$B$8,1))=FR$13), 1*(_xlfn._xlws.FILTER(OFFSET($O$15,0,$DO231,$B$8,1),OFFSET($M$15,0,0,$B$8,1))=FR$14))   /   SUM(OFFSET($BO$15,0,0,$B$14,1)) + $B$18/($B$19*$B$19*($DN231&lt;&gt;$DO231) + $B$19*($DN231=$DO231))</f>
        <v>3.7037037037037035E-4</v>
      </c>
      <c r="FS231" s="10" cm="1">
        <f t="array" aca="1" ref="FS231" ca="1">(1-$B$18)*SUMPRODUCT(OFFSET($BO$15,0,0,$B$14,1), 1*(_xlfn._xlws.FILTER(OFFSET($O$15,0,$DN231,$B$8,1),OFFSET($M$15,0,0,$B$8,1))=FS$13), 1*(_xlfn._xlws.FILTER(OFFSET($O$15,0,$DO231,$B$8,1),OFFSET($M$15,0,0,$B$8,1))=FS$14))   /   SUM(OFFSET($BO$15,0,0,$B$14,1)) + $B$18/($B$19*$B$19*($DN231&lt;&gt;$DO231) + $B$19*($DN231=$DO231))</f>
        <v>3.7037037037037035E-4</v>
      </c>
      <c r="FT231" s="10" cm="1">
        <f t="array" aca="1" ref="FT231" ca="1">(1-$B$18)*SUMPRODUCT(OFFSET($BO$15,0,0,$B$14,1), 1*(_xlfn._xlws.FILTER(OFFSET($O$15,0,$DN231,$B$8,1),OFFSET($M$15,0,0,$B$8,1))=FT$13), 1*(_xlfn._xlws.FILTER(OFFSET($O$15,0,$DO231,$B$8,1),OFFSET($M$15,0,0,$B$8,1))=FT$14))   /   SUM(OFFSET($BO$15,0,0,$B$14,1)) + $B$18/($B$19*$B$19*($DN231&lt;&gt;$DO231) + $B$19*($DN231=$DO231))</f>
        <v>3.7037037037037035E-4</v>
      </c>
      <c r="FU231" s="10" cm="1">
        <f t="array" aca="1" ref="FU231" ca="1">(1-$B$18)*SUMPRODUCT(OFFSET($BO$15,0,0,$B$14,1), 1*(_xlfn._xlws.FILTER(OFFSET($O$15,0,$DN231,$B$8,1),OFFSET($M$15,0,0,$B$8,1))=FU$13), 1*(_xlfn._xlws.FILTER(OFFSET($O$15,0,$DO231,$B$8,1),OFFSET($M$15,0,0,$B$8,1))=FU$14))   /   SUM(OFFSET($BO$15,0,0,$B$14,1)) + $B$18/($B$19*$B$19*($DN231&lt;&gt;$DO231) + $B$19*($DN231=$DO231))</f>
        <v>3.7037037037037035E-4</v>
      </c>
      <c r="FV231" s="10" cm="1">
        <f t="array" aca="1" ref="FV231" ca="1">(1-$B$18)*SUMPRODUCT(OFFSET($BO$15,0,0,$B$14,1), 1*(_xlfn._xlws.FILTER(OFFSET($O$15,0,$DN231,$B$8,1),OFFSET($M$15,0,0,$B$8,1))=FV$13), 1*(_xlfn._xlws.FILTER(OFFSET($O$15,0,$DO231,$B$8,1),OFFSET($M$15,0,0,$B$8,1))=FV$14))   /   SUM(OFFSET($BO$15,0,0,$B$14,1)) + $B$18/($B$19*$B$19*($DN231&lt;&gt;$DO231) + $B$19*($DN231=$DO231))</f>
        <v>3.7037037037037035E-4</v>
      </c>
      <c r="FW231" s="10" cm="1">
        <f t="array" aca="1" ref="FW231" ca="1">(1-$B$18)*SUMPRODUCT(OFFSET($BO$15,0,0,$B$14,1), 1*(_xlfn._xlws.FILTER(OFFSET($O$15,0,$DN231,$B$8,1),OFFSET($M$15,0,0,$B$8,1))=FW$13), 1*(_xlfn._xlws.FILTER(OFFSET($O$15,0,$DO231,$B$8,1),OFFSET($M$15,0,0,$B$8,1))=FW$14))   /   SUM(OFFSET($BO$15,0,0,$B$14,1)) + $B$18/($B$19*$B$19*($DN231&lt;&gt;$DO231) + $B$19*($DN231=$DO231))</f>
        <v>3.7037037037037035E-4</v>
      </c>
      <c r="FX231" s="10" cm="1">
        <f t="array" aca="1" ref="FX231" ca="1">(1-$B$18)*SUMPRODUCT(OFFSET($BO$15,0,0,$B$14,1), 1*(_xlfn._xlws.FILTER(OFFSET($O$15,0,$DN231,$B$8,1),OFFSET($M$15,0,0,$B$8,1))=FX$13), 1*(_xlfn._xlws.FILTER(OFFSET($O$15,0,$DO231,$B$8,1),OFFSET($M$15,0,0,$B$8,1))=FX$14))   /   SUM(OFFSET($BO$15,0,0,$B$14,1)) + $B$18/($B$19*$B$19*($DN231&lt;&gt;$DO231) + $B$19*($DN231=$DO231))</f>
        <v>3.7037037037037035E-4</v>
      </c>
      <c r="FY231" s="10" cm="1">
        <f t="array" aca="1" ref="FY231" ca="1">(1-$B$18)*SUMPRODUCT(OFFSET($BO$15,0,0,$B$14,1), 1*(_xlfn._xlws.FILTER(OFFSET($O$15,0,$DN231,$B$8,1),OFFSET($M$15,0,0,$B$8,1))=FY$13), 1*(_xlfn._xlws.FILTER(OFFSET($O$15,0,$DO231,$B$8,1),OFFSET($M$15,0,0,$B$8,1))=FY$14))   /   SUM(OFFSET($BO$15,0,0,$B$14,1)) + $B$18/($B$19*$B$19*($DN231&lt;&gt;$DO231) + $B$19*($DN231=$DO231))</f>
        <v>3.7037037037037035E-4</v>
      </c>
      <c r="FZ231" s="10" cm="1">
        <f t="array" aca="1" ref="FZ231" ca="1">(1-$B$18)*SUMPRODUCT(OFFSET($BO$15,0,0,$B$14,1), 1*(_xlfn._xlws.FILTER(OFFSET($O$15,0,$DN231,$B$8,1),OFFSET($M$15,0,0,$B$8,1))=FZ$13), 1*(_xlfn._xlws.FILTER(OFFSET($O$15,0,$DO231,$B$8,1),OFFSET($M$15,0,0,$B$8,1))=FZ$14))   /   SUM(OFFSET($BO$15,0,0,$B$14,1)) + $B$18/($B$19*$B$19*($DN231&lt;&gt;$DO231) + $B$19*($DN231=$DO231))</f>
        <v>3.7037037037037035E-4</v>
      </c>
      <c r="GA231" s="10" cm="1">
        <f t="array" aca="1" ref="GA231" ca="1">(1-$B$18)*SUMPRODUCT(OFFSET($BO$15,0,0,$B$14,1), 1*(_xlfn._xlws.FILTER(OFFSET($O$15,0,$DN231,$B$8,1),OFFSET($M$15,0,0,$B$8,1))=GA$13), 1*(_xlfn._xlws.FILTER(OFFSET($O$15,0,$DO231,$B$8,1),OFFSET($M$15,0,0,$B$8,1))=GA$14))   /   SUM(OFFSET($BO$15,0,0,$B$14,1)) + $B$18/($B$19*$B$19*($DN231&lt;&gt;$DO231) + $B$19*($DN231=$DO231))</f>
        <v>3.7037037037037035E-4</v>
      </c>
    </row>
    <row r="232" spans="118:183" x14ac:dyDescent="0.2">
      <c r="DN232" cm="1">
        <f t="array" aca="1" ref="DN232" ca="1">INDEX(_xlfn.ANCHORARRAY($CP$15), 1 + INT((ROWS($DO$15:$DO232) - 1) / ROWS(_xlfn.ANCHORARRAY($CP$15))))</f>
        <v>12</v>
      </c>
      <c r="DO232" cm="1">
        <f t="array" aca="1" ref="DO232" ca="1">INDEX(_xlfn.ANCHORARRAY($CP$15),1+MOD(ROWS($DO$15:$DO232)-1,ROWS(_xlfn.ANCHORARRAY($CP$15))))</f>
        <v>8</v>
      </c>
      <c r="DP232" s="10" cm="1">
        <f t="array" aca="1" ref="DP232" ca="1">(1-$B$18)*SUMPRODUCT(OFFSET($BO$15,0,0,$B$14,1), 1*(_xlfn._xlws.FILTER(OFFSET($O$15,0,$DN232,$B$8,1),OFFSET($M$15,0,0,$B$8,1))=DP$13), 1*(_xlfn._xlws.FILTER(OFFSET($O$15,0,$DO232,$B$8,1),OFFSET($M$15,0,0,$B$8,1))=DP$14))   /   SUM(OFFSET($BO$15,0,0,$B$14,1)) + $B$18/($B$19*$B$19*($DN232&lt;&gt;$DO232) + $B$19*($DN232=$DO232))</f>
        <v>3.7037037037037035E-4</v>
      </c>
      <c r="DQ232" s="10" cm="1">
        <f t="array" aca="1" ref="DQ232" ca="1">(1-$B$18)*SUMPRODUCT(OFFSET($BO$15,0,0,$B$14,1), 1*(_xlfn._xlws.FILTER(OFFSET($O$15,0,$DN232,$B$8,1),OFFSET($M$15,0,0,$B$8,1))=DQ$13), 1*(_xlfn._xlws.FILTER(OFFSET($O$15,0,$DO232,$B$8,1),OFFSET($M$15,0,0,$B$8,1))=DQ$14))   /   SUM(OFFSET($BO$15,0,0,$B$14,1)) + $B$18/($B$19*$B$19*($DN232&lt;&gt;$DO232) + $B$19*($DN232=$DO232))</f>
        <v>3.7037037037037035E-4</v>
      </c>
      <c r="DR232" s="10" cm="1">
        <f t="array" aca="1" ref="DR232" ca="1">(1-$B$18)*SUMPRODUCT(OFFSET($BO$15,0,0,$B$14,1), 1*(_xlfn._xlws.FILTER(OFFSET($O$15,0,$DN232,$B$8,1),OFFSET($M$15,0,0,$B$8,1))=DR$13), 1*(_xlfn._xlws.FILTER(OFFSET($O$15,0,$DO232,$B$8,1),OFFSET($M$15,0,0,$B$8,1))=DR$14))   /   SUM(OFFSET($BO$15,0,0,$B$14,1)) + $B$18/($B$19*$B$19*($DN232&lt;&gt;$DO232) + $B$19*($DN232=$DO232))</f>
        <v>3.7037037037037035E-4</v>
      </c>
      <c r="DS232" s="10" cm="1">
        <f t="array" aca="1" ref="DS232" ca="1">(1-$B$18)*SUMPRODUCT(OFFSET($BO$15,0,0,$B$14,1), 1*(_xlfn._xlws.FILTER(OFFSET($O$15,0,$DN232,$B$8,1),OFFSET($M$15,0,0,$B$8,1))=DS$13), 1*(_xlfn._xlws.FILTER(OFFSET($O$15,0,$DO232,$B$8,1),OFFSET($M$15,0,0,$B$8,1))=DS$14))   /   SUM(OFFSET($BO$15,0,0,$B$14,1)) + $B$18/($B$19*$B$19*($DN232&lt;&gt;$DO232) + $B$19*($DN232=$DO232))</f>
        <v>3.7037037037037035E-4</v>
      </c>
      <c r="DT232" s="10" cm="1">
        <f t="array" aca="1" ref="DT232" ca="1">(1-$B$18)*SUMPRODUCT(OFFSET($BO$15,0,0,$B$14,1), 1*(_xlfn._xlws.FILTER(OFFSET($O$15,0,$DN232,$B$8,1),OFFSET($M$15,0,0,$B$8,1))=DT$13), 1*(_xlfn._xlws.FILTER(OFFSET($O$15,0,$DO232,$B$8,1),OFFSET($M$15,0,0,$B$8,1))=DT$14))   /   SUM(OFFSET($BO$15,0,0,$B$14,1)) + $B$18/($B$19*$B$19*($DN232&lt;&gt;$DO232) + $B$19*($DN232=$DO232))</f>
        <v>3.7037037037037035E-4</v>
      </c>
      <c r="DU232" s="10" cm="1">
        <f t="array" aca="1" ref="DU232" ca="1">(1-$B$18)*SUMPRODUCT(OFFSET($BO$15,0,0,$B$14,1), 1*(_xlfn._xlws.FILTER(OFFSET($O$15,0,$DN232,$B$8,1),OFFSET($M$15,0,0,$B$8,1))=DU$13), 1*(_xlfn._xlws.FILTER(OFFSET($O$15,0,$DO232,$B$8,1),OFFSET($M$15,0,0,$B$8,1))=DU$14))   /   SUM(OFFSET($BO$15,0,0,$B$14,1)) + $B$18/($B$19*$B$19*($DN232&lt;&gt;$DO232) + $B$19*($DN232=$DO232))</f>
        <v>3.7037037037037035E-4</v>
      </c>
      <c r="DV232" s="10" cm="1">
        <f t="array" aca="1" ref="DV232" ca="1">(1-$B$18)*SUMPRODUCT(OFFSET($BO$15,0,0,$B$14,1), 1*(_xlfn._xlws.FILTER(OFFSET($O$15,0,$DN232,$B$8,1),OFFSET($M$15,0,0,$B$8,1))=DV$13), 1*(_xlfn._xlws.FILTER(OFFSET($O$15,0,$DO232,$B$8,1),OFFSET($M$15,0,0,$B$8,1))=DV$14))   /   SUM(OFFSET($BO$15,0,0,$B$14,1)) + $B$18/($B$19*$B$19*($DN232&lt;&gt;$DO232) + $B$19*($DN232=$DO232))</f>
        <v>3.7037037037037035E-4</v>
      </c>
      <c r="DW232" s="10" cm="1">
        <f t="array" aca="1" ref="DW232" ca="1">(1-$B$18)*SUMPRODUCT(OFFSET($BO$15,0,0,$B$14,1), 1*(_xlfn._xlws.FILTER(OFFSET($O$15,0,$DN232,$B$8,1),OFFSET($M$15,0,0,$B$8,1))=DW$13), 1*(_xlfn._xlws.FILTER(OFFSET($O$15,0,$DO232,$B$8,1),OFFSET($M$15,0,0,$B$8,1))=DW$14))   /   SUM(OFFSET($BO$15,0,0,$B$14,1)) + $B$18/($B$19*$B$19*($DN232&lt;&gt;$DO232) + $B$19*($DN232=$DO232))</f>
        <v>3.7037037037037035E-4</v>
      </c>
      <c r="DX232" s="10" cm="1">
        <f t="array" aca="1" ref="DX232" ca="1">(1-$B$18)*SUMPRODUCT(OFFSET($BO$15,0,0,$B$14,1), 1*(_xlfn._xlws.FILTER(OFFSET($O$15,0,$DN232,$B$8,1),OFFSET($M$15,0,0,$B$8,1))=DX$13), 1*(_xlfn._xlws.FILTER(OFFSET($O$15,0,$DO232,$B$8,1),OFFSET($M$15,0,0,$B$8,1))=DX$14))   /   SUM(OFFSET($BO$15,0,0,$B$14,1)) + $B$18/($B$19*$B$19*($DN232&lt;&gt;$DO232) + $B$19*($DN232=$DO232))</f>
        <v>3.7037037037037035E-4</v>
      </c>
      <c r="DY232" s="10" cm="1">
        <f t="array" aca="1" ref="DY232" ca="1">(1-$B$18)*SUMPRODUCT(OFFSET($BO$15,0,0,$B$14,1), 1*(_xlfn._xlws.FILTER(OFFSET($O$15,0,$DN232,$B$8,1),OFFSET($M$15,0,0,$B$8,1))=DY$13), 1*(_xlfn._xlws.FILTER(OFFSET($O$15,0,$DO232,$B$8,1),OFFSET($M$15,0,0,$B$8,1))=DY$14))   /   SUM(OFFSET($BO$15,0,0,$B$14,1)) + $B$18/($B$19*$B$19*($DN232&lt;&gt;$DO232) + $B$19*($DN232=$DO232))</f>
        <v>3.7037037037037035E-4</v>
      </c>
      <c r="DZ232" s="10" cm="1">
        <f t="array" aca="1" ref="DZ232" ca="1">(1-$B$18)*SUMPRODUCT(OFFSET($BO$15,0,0,$B$14,1), 1*(_xlfn._xlws.FILTER(OFFSET($O$15,0,$DN232,$B$8,1),OFFSET($M$15,0,0,$B$8,1))=DZ$13), 1*(_xlfn._xlws.FILTER(OFFSET($O$15,0,$DO232,$B$8,1),OFFSET($M$15,0,0,$B$8,1))=DZ$14))   /   SUM(OFFSET($BO$15,0,0,$B$14,1)) + $B$18/($B$19*$B$19*($DN232&lt;&gt;$DO232) + $B$19*($DN232=$DO232))</f>
        <v>3.7037037037037035E-4</v>
      </c>
      <c r="EA232" s="10" cm="1">
        <f t="array" aca="1" ref="EA232" ca="1">(1-$B$18)*SUMPRODUCT(OFFSET($BO$15,0,0,$B$14,1), 1*(_xlfn._xlws.FILTER(OFFSET($O$15,0,$DN232,$B$8,1),OFFSET($M$15,0,0,$B$8,1))=EA$13), 1*(_xlfn._xlws.FILTER(OFFSET($O$15,0,$DO232,$B$8,1),OFFSET($M$15,0,0,$B$8,1))=EA$14))   /   SUM(OFFSET($BO$15,0,0,$B$14,1)) + $B$18/($B$19*$B$19*($DN232&lt;&gt;$DO232) + $B$19*($DN232=$DO232))</f>
        <v>3.7037037037037035E-4</v>
      </c>
      <c r="EB232" s="10" cm="1">
        <f t="array" aca="1" ref="EB232" ca="1">(1-$B$18)*SUMPRODUCT(OFFSET($BO$15,0,0,$B$14,1), 1*(_xlfn._xlws.FILTER(OFFSET($O$15,0,$DN232,$B$8,1),OFFSET($M$15,0,0,$B$8,1))=EB$13), 1*(_xlfn._xlws.FILTER(OFFSET($O$15,0,$DO232,$B$8,1),OFFSET($M$15,0,0,$B$8,1))=EB$14))   /   SUM(OFFSET($BO$15,0,0,$B$14,1)) + $B$18/($B$19*$B$19*($DN232&lt;&gt;$DO232) + $B$19*($DN232=$DO232))</f>
        <v>3.7037037037037035E-4</v>
      </c>
      <c r="EC232" s="10" cm="1">
        <f t="array" aca="1" ref="EC232" ca="1">(1-$B$18)*SUMPRODUCT(OFFSET($BO$15,0,0,$B$14,1), 1*(_xlfn._xlws.FILTER(OFFSET($O$15,0,$DN232,$B$8,1),OFFSET($M$15,0,0,$B$8,1))=EC$13), 1*(_xlfn._xlws.FILTER(OFFSET($O$15,0,$DO232,$B$8,1),OFFSET($M$15,0,0,$B$8,1))=EC$14))   /   SUM(OFFSET($BO$15,0,0,$B$14,1)) + $B$18/($B$19*$B$19*($DN232&lt;&gt;$DO232) + $B$19*($DN232=$DO232))</f>
        <v>3.7037037037037035E-4</v>
      </c>
      <c r="ED232" s="10" cm="1">
        <f t="array" aca="1" ref="ED232" ca="1">(1-$B$18)*SUMPRODUCT(OFFSET($BO$15,0,0,$B$14,1), 1*(_xlfn._xlws.FILTER(OFFSET($O$15,0,$DN232,$B$8,1),OFFSET($M$15,0,0,$B$8,1))=ED$13), 1*(_xlfn._xlws.FILTER(OFFSET($O$15,0,$DO232,$B$8,1),OFFSET($M$15,0,0,$B$8,1))=ED$14))   /   SUM(OFFSET($BO$15,0,0,$B$14,1)) + $B$18/($B$19*$B$19*($DN232&lt;&gt;$DO232) + $B$19*($DN232=$DO232))</f>
        <v>0.97037037037037033</v>
      </c>
      <c r="EE232" s="10" cm="1">
        <f t="array" aca="1" ref="EE232" ca="1">(1-$B$18)*SUMPRODUCT(OFFSET($BO$15,0,0,$B$14,1), 1*(_xlfn._xlws.FILTER(OFFSET($O$15,0,$DN232,$B$8,1),OFFSET($M$15,0,0,$B$8,1))=EE$13), 1*(_xlfn._xlws.FILTER(OFFSET($O$15,0,$DO232,$B$8,1),OFFSET($M$15,0,0,$B$8,1))=EE$14))   /   SUM(OFFSET($BO$15,0,0,$B$14,1)) + $B$18/($B$19*$B$19*($DN232&lt;&gt;$DO232) + $B$19*($DN232=$DO232))</f>
        <v>3.7037037037037035E-4</v>
      </c>
      <c r="EF232" s="10" cm="1">
        <f t="array" aca="1" ref="EF232" ca="1">(1-$B$18)*SUMPRODUCT(OFFSET($BO$15,0,0,$B$14,1), 1*(_xlfn._xlws.FILTER(OFFSET($O$15,0,$DN232,$B$8,1),OFFSET($M$15,0,0,$B$8,1))=EF$13), 1*(_xlfn._xlws.FILTER(OFFSET($O$15,0,$DO232,$B$8,1),OFFSET($M$15,0,0,$B$8,1))=EF$14))   /   SUM(OFFSET($BO$15,0,0,$B$14,1)) + $B$18/($B$19*$B$19*($DN232&lt;&gt;$DO232) + $B$19*($DN232=$DO232))</f>
        <v>3.7037037037037035E-4</v>
      </c>
      <c r="EG232" s="10" cm="1">
        <f t="array" aca="1" ref="EG232" ca="1">(1-$B$18)*SUMPRODUCT(OFFSET($BO$15,0,0,$B$14,1), 1*(_xlfn._xlws.FILTER(OFFSET($O$15,0,$DN232,$B$8,1),OFFSET($M$15,0,0,$B$8,1))=EG$13), 1*(_xlfn._xlws.FILTER(OFFSET($O$15,0,$DO232,$B$8,1),OFFSET($M$15,0,0,$B$8,1))=EG$14))   /   SUM(OFFSET($BO$15,0,0,$B$14,1)) + $B$18/($B$19*$B$19*($DN232&lt;&gt;$DO232) + $B$19*($DN232=$DO232))</f>
        <v>3.7037037037037035E-4</v>
      </c>
      <c r="EH232" s="10" cm="1">
        <f t="array" aca="1" ref="EH232" ca="1">(1-$B$18)*SUMPRODUCT(OFFSET($BO$15,0,0,$B$14,1), 1*(_xlfn._xlws.FILTER(OFFSET($O$15,0,$DN232,$B$8,1),OFFSET($M$15,0,0,$B$8,1))=EH$13), 1*(_xlfn._xlws.FILTER(OFFSET($O$15,0,$DO232,$B$8,1),OFFSET($M$15,0,0,$B$8,1))=EH$14))   /   SUM(OFFSET($BO$15,0,0,$B$14,1)) + $B$18/($B$19*$B$19*($DN232&lt;&gt;$DO232) + $B$19*($DN232=$DO232))</f>
        <v>3.7037037037037035E-4</v>
      </c>
      <c r="EI232" s="10" cm="1">
        <f t="array" aca="1" ref="EI232" ca="1">(1-$B$18)*SUMPRODUCT(OFFSET($BO$15,0,0,$B$14,1), 1*(_xlfn._xlws.FILTER(OFFSET($O$15,0,$DN232,$B$8,1),OFFSET($M$15,0,0,$B$8,1))=EI$13), 1*(_xlfn._xlws.FILTER(OFFSET($O$15,0,$DO232,$B$8,1),OFFSET($M$15,0,0,$B$8,1))=EI$14))   /   SUM(OFFSET($BO$15,0,0,$B$14,1)) + $B$18/($B$19*$B$19*($DN232&lt;&gt;$DO232) + $B$19*($DN232=$DO232))</f>
        <v>3.7037037037037035E-4</v>
      </c>
      <c r="EJ232" s="10" cm="1">
        <f t="array" aca="1" ref="EJ232" ca="1">(1-$B$18)*SUMPRODUCT(OFFSET($BO$15,0,0,$B$14,1), 1*(_xlfn._xlws.FILTER(OFFSET($O$15,0,$DN232,$B$8,1),OFFSET($M$15,0,0,$B$8,1))=EJ$13), 1*(_xlfn._xlws.FILTER(OFFSET($O$15,0,$DO232,$B$8,1),OFFSET($M$15,0,0,$B$8,1))=EJ$14))   /   SUM(OFFSET($BO$15,0,0,$B$14,1)) + $B$18/($B$19*$B$19*($DN232&lt;&gt;$DO232) + $B$19*($DN232=$DO232))</f>
        <v>3.7037037037037035E-4</v>
      </c>
      <c r="EK232" s="10" cm="1">
        <f t="array" aca="1" ref="EK232" ca="1">(1-$B$18)*SUMPRODUCT(OFFSET($BO$15,0,0,$B$14,1), 1*(_xlfn._xlws.FILTER(OFFSET($O$15,0,$DN232,$B$8,1),OFFSET($M$15,0,0,$B$8,1))=EK$13), 1*(_xlfn._xlws.FILTER(OFFSET($O$15,0,$DO232,$B$8,1),OFFSET($M$15,0,0,$B$8,1))=EK$14))   /   SUM(OFFSET($BO$15,0,0,$B$14,1)) + $B$18/($B$19*$B$19*($DN232&lt;&gt;$DO232) + $B$19*($DN232=$DO232))</f>
        <v>3.7037037037037035E-4</v>
      </c>
      <c r="EL232" s="10" cm="1">
        <f t="array" aca="1" ref="EL232" ca="1">(1-$B$18)*SUMPRODUCT(OFFSET($BO$15,0,0,$B$14,1), 1*(_xlfn._xlws.FILTER(OFFSET($O$15,0,$DN232,$B$8,1),OFFSET($M$15,0,0,$B$8,1))=EL$13), 1*(_xlfn._xlws.FILTER(OFFSET($O$15,0,$DO232,$B$8,1),OFFSET($M$15,0,0,$B$8,1))=EL$14))   /   SUM(OFFSET($BO$15,0,0,$B$14,1)) + $B$18/($B$19*$B$19*($DN232&lt;&gt;$DO232) + $B$19*($DN232=$DO232))</f>
        <v>3.7037037037037035E-4</v>
      </c>
      <c r="EM232" s="10" cm="1">
        <f t="array" aca="1" ref="EM232" ca="1">(1-$B$18)*SUMPRODUCT(OFFSET($BO$15,0,0,$B$14,1), 1*(_xlfn._xlws.FILTER(OFFSET($O$15,0,$DN232,$B$8,1),OFFSET($M$15,0,0,$B$8,1))=EM$13), 1*(_xlfn._xlws.FILTER(OFFSET($O$15,0,$DO232,$B$8,1),OFFSET($M$15,0,0,$B$8,1))=EM$14))   /   SUM(OFFSET($BO$15,0,0,$B$14,1)) + $B$18/($B$19*$B$19*($DN232&lt;&gt;$DO232) + $B$19*($DN232=$DO232))</f>
        <v>3.7037037037037035E-4</v>
      </c>
      <c r="EN232" s="10" cm="1">
        <f t="array" aca="1" ref="EN232" ca="1">(1-$B$18)*SUMPRODUCT(OFFSET($BO$15,0,0,$B$14,1), 1*(_xlfn._xlws.FILTER(OFFSET($O$15,0,$DN232,$B$8,1),OFFSET($M$15,0,0,$B$8,1))=EN$13), 1*(_xlfn._xlws.FILTER(OFFSET($O$15,0,$DO232,$B$8,1),OFFSET($M$15,0,0,$B$8,1))=EN$14))   /   SUM(OFFSET($BO$15,0,0,$B$14,1)) + $B$18/($B$19*$B$19*($DN232&lt;&gt;$DO232) + $B$19*($DN232=$DO232))</f>
        <v>3.7037037037037035E-4</v>
      </c>
      <c r="EO232" s="10" cm="1">
        <f t="array" aca="1" ref="EO232" ca="1">(1-$B$18)*SUMPRODUCT(OFFSET($BO$15,0,0,$B$14,1), 1*(_xlfn._xlws.FILTER(OFFSET($O$15,0,$DN232,$B$8,1),OFFSET($M$15,0,0,$B$8,1))=EO$13), 1*(_xlfn._xlws.FILTER(OFFSET($O$15,0,$DO232,$B$8,1),OFFSET($M$15,0,0,$B$8,1))=EO$14))   /   SUM(OFFSET($BO$15,0,0,$B$14,1)) + $B$18/($B$19*$B$19*($DN232&lt;&gt;$DO232) + $B$19*($DN232=$DO232))</f>
        <v>3.7037037037037035E-4</v>
      </c>
      <c r="EP232" s="10" cm="1">
        <f t="array" aca="1" ref="EP232" ca="1">(1-$B$18)*SUMPRODUCT(OFFSET($BO$15,0,0,$B$14,1), 1*(_xlfn._xlws.FILTER(OFFSET($O$15,0,$DN232,$B$8,1),OFFSET($M$15,0,0,$B$8,1))=EP$13), 1*(_xlfn._xlws.FILTER(OFFSET($O$15,0,$DO232,$B$8,1),OFFSET($M$15,0,0,$B$8,1))=EP$14))   /   SUM(OFFSET($BO$15,0,0,$B$14,1)) + $B$18/($B$19*$B$19*($DN232&lt;&gt;$DO232) + $B$19*($DN232=$DO232))</f>
        <v>3.7037037037037035E-4</v>
      </c>
      <c r="EQ232" s="10" cm="1">
        <f t="array" aca="1" ref="EQ232" ca="1">(1-$B$18)*SUMPRODUCT(OFFSET($BO$15,0,0,$B$14,1), 1*(_xlfn._xlws.FILTER(OFFSET($O$15,0,$DN232,$B$8,1),OFFSET($M$15,0,0,$B$8,1))=EQ$13), 1*(_xlfn._xlws.FILTER(OFFSET($O$15,0,$DO232,$B$8,1),OFFSET($M$15,0,0,$B$8,1))=EQ$14))   /   SUM(OFFSET($BO$15,0,0,$B$14,1)) + $B$18/($B$19*$B$19*($DN232&lt;&gt;$DO232) + $B$19*($DN232=$DO232))</f>
        <v>3.7037037037037035E-4</v>
      </c>
      <c r="ER232" s="10" cm="1">
        <f t="array" aca="1" ref="ER232" ca="1">(1-$B$18)*SUMPRODUCT(OFFSET($BO$15,0,0,$B$14,1), 1*(_xlfn._xlws.FILTER(OFFSET($O$15,0,$DN232,$B$8,1),OFFSET($M$15,0,0,$B$8,1))=ER$13), 1*(_xlfn._xlws.FILTER(OFFSET($O$15,0,$DO232,$B$8,1),OFFSET($M$15,0,0,$B$8,1))=ER$14))   /   SUM(OFFSET($BO$15,0,0,$B$14,1)) + $B$18/($B$19*$B$19*($DN232&lt;&gt;$DO232) + $B$19*($DN232=$DO232))</f>
        <v>3.7037037037037035E-4</v>
      </c>
      <c r="ES232" s="10" cm="1">
        <f t="array" aca="1" ref="ES232" ca="1">(1-$B$18)*SUMPRODUCT(OFFSET($BO$15,0,0,$B$14,1), 1*(_xlfn._xlws.FILTER(OFFSET($O$15,0,$DN232,$B$8,1),OFFSET($M$15,0,0,$B$8,1))=ES$13), 1*(_xlfn._xlws.FILTER(OFFSET($O$15,0,$DO232,$B$8,1),OFFSET($M$15,0,0,$B$8,1))=ES$14))   /   SUM(OFFSET($BO$15,0,0,$B$14,1)) + $B$18/($B$19*$B$19*($DN232&lt;&gt;$DO232) + $B$19*($DN232=$DO232))</f>
        <v>3.7037037037037035E-4</v>
      </c>
      <c r="ET232" s="10" cm="1">
        <f t="array" aca="1" ref="ET232" ca="1">(1-$B$18)*SUMPRODUCT(OFFSET($BO$15,0,0,$B$14,1), 1*(_xlfn._xlws.FILTER(OFFSET($O$15,0,$DN232,$B$8,1),OFFSET($M$15,0,0,$B$8,1))=ET$13), 1*(_xlfn._xlws.FILTER(OFFSET($O$15,0,$DO232,$B$8,1),OFFSET($M$15,0,0,$B$8,1))=ET$14))   /   SUM(OFFSET($BO$15,0,0,$B$14,1)) + $B$18/($B$19*$B$19*($DN232&lt;&gt;$DO232) + $B$19*($DN232=$DO232))</f>
        <v>3.7037037037037035E-4</v>
      </c>
      <c r="EU232" s="10" cm="1">
        <f t="array" aca="1" ref="EU232" ca="1">(1-$B$18)*SUMPRODUCT(OFFSET($BO$15,0,0,$B$14,1), 1*(_xlfn._xlws.FILTER(OFFSET($O$15,0,$DN232,$B$8,1),OFFSET($M$15,0,0,$B$8,1))=EU$13), 1*(_xlfn._xlws.FILTER(OFFSET($O$15,0,$DO232,$B$8,1),OFFSET($M$15,0,0,$B$8,1))=EU$14))   /   SUM(OFFSET($BO$15,0,0,$B$14,1)) + $B$18/($B$19*$B$19*($DN232&lt;&gt;$DO232) + $B$19*($DN232=$DO232))</f>
        <v>3.7037037037037035E-4</v>
      </c>
      <c r="EV232" s="10" cm="1">
        <f t="array" aca="1" ref="EV232" ca="1">(1-$B$18)*SUMPRODUCT(OFFSET($BO$15,0,0,$B$14,1), 1*(_xlfn._xlws.FILTER(OFFSET($O$15,0,$DN232,$B$8,1),OFFSET($M$15,0,0,$B$8,1))=EV$13), 1*(_xlfn._xlws.FILTER(OFFSET($O$15,0,$DO232,$B$8,1),OFFSET($M$15,0,0,$B$8,1))=EV$14))   /   SUM(OFFSET($BO$15,0,0,$B$14,1)) + $B$18/($B$19*$B$19*($DN232&lt;&gt;$DO232) + $B$19*($DN232=$DO232))</f>
        <v>3.7037037037037035E-4</v>
      </c>
      <c r="EW232" s="10" cm="1">
        <f t="array" aca="1" ref="EW232" ca="1">(1-$B$18)*SUMPRODUCT(OFFSET($BO$15,0,0,$B$14,1), 1*(_xlfn._xlws.FILTER(OFFSET($O$15,0,$DN232,$B$8,1),OFFSET($M$15,0,0,$B$8,1))=EW$13), 1*(_xlfn._xlws.FILTER(OFFSET($O$15,0,$DO232,$B$8,1),OFFSET($M$15,0,0,$B$8,1))=EW$14))   /   SUM(OFFSET($BO$15,0,0,$B$14,1)) + $B$18/($B$19*$B$19*($DN232&lt;&gt;$DO232) + $B$19*($DN232=$DO232))</f>
        <v>3.7037037037037035E-4</v>
      </c>
      <c r="EX232" s="10" cm="1">
        <f t="array" aca="1" ref="EX232" ca="1">(1-$B$18)*SUMPRODUCT(OFFSET($BO$15,0,0,$B$14,1), 1*(_xlfn._xlws.FILTER(OFFSET($O$15,0,$DN232,$B$8,1),OFFSET($M$15,0,0,$B$8,1))=EX$13), 1*(_xlfn._xlws.FILTER(OFFSET($O$15,0,$DO232,$B$8,1),OFFSET($M$15,0,0,$B$8,1))=EX$14))   /   SUM(OFFSET($BO$15,0,0,$B$14,1)) + $B$18/($B$19*$B$19*($DN232&lt;&gt;$DO232) + $B$19*($DN232=$DO232))</f>
        <v>3.7037037037037035E-4</v>
      </c>
      <c r="EY232" s="10" cm="1">
        <f t="array" aca="1" ref="EY232" ca="1">(1-$B$18)*SUMPRODUCT(OFFSET($BO$15,0,0,$B$14,1), 1*(_xlfn._xlws.FILTER(OFFSET($O$15,0,$DN232,$B$8,1),OFFSET($M$15,0,0,$B$8,1))=EY$13), 1*(_xlfn._xlws.FILTER(OFFSET($O$15,0,$DO232,$B$8,1),OFFSET($M$15,0,0,$B$8,1))=EY$14))   /   SUM(OFFSET($BO$15,0,0,$B$14,1)) + $B$18/($B$19*$B$19*($DN232&lt;&gt;$DO232) + $B$19*($DN232=$DO232))</f>
        <v>3.7037037037037035E-4</v>
      </c>
      <c r="EZ232" s="10" cm="1">
        <f t="array" aca="1" ref="EZ232" ca="1">(1-$B$18)*SUMPRODUCT(OFFSET($BO$15,0,0,$B$14,1), 1*(_xlfn._xlws.FILTER(OFFSET($O$15,0,$DN232,$B$8,1),OFFSET($M$15,0,0,$B$8,1))=EZ$13), 1*(_xlfn._xlws.FILTER(OFFSET($O$15,0,$DO232,$B$8,1),OFFSET($M$15,0,0,$B$8,1))=EZ$14))   /   SUM(OFFSET($BO$15,0,0,$B$14,1)) + $B$18/($B$19*$B$19*($DN232&lt;&gt;$DO232) + $B$19*($DN232=$DO232))</f>
        <v>3.7037037037037035E-4</v>
      </c>
      <c r="FA232" s="10" cm="1">
        <f t="array" aca="1" ref="FA232" ca="1">(1-$B$18)*SUMPRODUCT(OFFSET($BO$15,0,0,$B$14,1), 1*(_xlfn._xlws.FILTER(OFFSET($O$15,0,$DN232,$B$8,1),OFFSET($M$15,0,0,$B$8,1))=FA$13), 1*(_xlfn._xlws.FILTER(OFFSET($O$15,0,$DO232,$B$8,1),OFFSET($M$15,0,0,$B$8,1))=FA$14))   /   SUM(OFFSET($BO$15,0,0,$B$14,1)) + $B$18/($B$19*$B$19*($DN232&lt;&gt;$DO232) + $B$19*($DN232=$DO232))</f>
        <v>3.7037037037037035E-4</v>
      </c>
      <c r="FB232" s="10" cm="1">
        <f t="array" aca="1" ref="FB232" ca="1">(1-$B$18)*SUMPRODUCT(OFFSET($BO$15,0,0,$B$14,1), 1*(_xlfn._xlws.FILTER(OFFSET($O$15,0,$DN232,$B$8,1),OFFSET($M$15,0,0,$B$8,1))=FB$13), 1*(_xlfn._xlws.FILTER(OFFSET($O$15,0,$DO232,$B$8,1),OFFSET($M$15,0,0,$B$8,1))=FB$14))   /   SUM(OFFSET($BO$15,0,0,$B$14,1)) + $B$18/($B$19*$B$19*($DN232&lt;&gt;$DO232) + $B$19*($DN232=$DO232))</f>
        <v>3.7037037037037035E-4</v>
      </c>
      <c r="FC232" s="10" cm="1">
        <f t="array" aca="1" ref="FC232" ca="1">(1-$B$18)*SUMPRODUCT(OFFSET($BO$15,0,0,$B$14,1), 1*(_xlfn._xlws.FILTER(OFFSET($O$15,0,$DN232,$B$8,1),OFFSET($M$15,0,0,$B$8,1))=FC$13), 1*(_xlfn._xlws.FILTER(OFFSET($O$15,0,$DO232,$B$8,1),OFFSET($M$15,0,0,$B$8,1))=FC$14))   /   SUM(OFFSET($BO$15,0,0,$B$14,1)) + $B$18/($B$19*$B$19*($DN232&lt;&gt;$DO232) + $B$19*($DN232=$DO232))</f>
        <v>3.7037037037037035E-4</v>
      </c>
      <c r="FD232" s="10" cm="1">
        <f t="array" aca="1" ref="FD232" ca="1">(1-$B$18)*SUMPRODUCT(OFFSET($BO$15,0,0,$B$14,1), 1*(_xlfn._xlws.FILTER(OFFSET($O$15,0,$DN232,$B$8,1),OFFSET($M$15,0,0,$B$8,1))=FD$13), 1*(_xlfn._xlws.FILTER(OFFSET($O$15,0,$DO232,$B$8,1),OFFSET($M$15,0,0,$B$8,1))=FD$14))   /   SUM(OFFSET($BO$15,0,0,$B$14,1)) + $B$18/($B$19*$B$19*($DN232&lt;&gt;$DO232) + $B$19*($DN232=$DO232))</f>
        <v>3.7037037037037035E-4</v>
      </c>
      <c r="FE232" s="10" cm="1">
        <f t="array" aca="1" ref="FE232" ca="1">(1-$B$18)*SUMPRODUCT(OFFSET($BO$15,0,0,$B$14,1), 1*(_xlfn._xlws.FILTER(OFFSET($O$15,0,$DN232,$B$8,1),OFFSET($M$15,0,0,$B$8,1))=FE$13), 1*(_xlfn._xlws.FILTER(OFFSET($O$15,0,$DO232,$B$8,1),OFFSET($M$15,0,0,$B$8,1))=FE$14))   /   SUM(OFFSET($BO$15,0,0,$B$14,1)) + $B$18/($B$19*$B$19*($DN232&lt;&gt;$DO232) + $B$19*($DN232=$DO232))</f>
        <v>3.7037037037037035E-4</v>
      </c>
      <c r="FF232" s="10" cm="1">
        <f t="array" aca="1" ref="FF232" ca="1">(1-$B$18)*SUMPRODUCT(OFFSET($BO$15,0,0,$B$14,1), 1*(_xlfn._xlws.FILTER(OFFSET($O$15,0,$DN232,$B$8,1),OFFSET($M$15,0,0,$B$8,1))=FF$13), 1*(_xlfn._xlws.FILTER(OFFSET($O$15,0,$DO232,$B$8,1),OFFSET($M$15,0,0,$B$8,1))=FF$14))   /   SUM(OFFSET($BO$15,0,0,$B$14,1)) + $B$18/($B$19*$B$19*($DN232&lt;&gt;$DO232) + $B$19*($DN232=$DO232))</f>
        <v>3.7037037037037035E-4</v>
      </c>
      <c r="FG232" s="10" cm="1">
        <f t="array" aca="1" ref="FG232" ca="1">(1-$B$18)*SUMPRODUCT(OFFSET($BO$15,0,0,$B$14,1), 1*(_xlfn._xlws.FILTER(OFFSET($O$15,0,$DN232,$B$8,1),OFFSET($M$15,0,0,$B$8,1))=FG$13), 1*(_xlfn._xlws.FILTER(OFFSET($O$15,0,$DO232,$B$8,1),OFFSET($M$15,0,0,$B$8,1))=FG$14))   /   SUM(OFFSET($BO$15,0,0,$B$14,1)) + $B$18/($B$19*$B$19*($DN232&lt;&gt;$DO232) + $B$19*($DN232=$DO232))</f>
        <v>3.7037037037037035E-4</v>
      </c>
      <c r="FH232" s="10" cm="1">
        <f t="array" aca="1" ref="FH232" ca="1">(1-$B$18)*SUMPRODUCT(OFFSET($BO$15,0,0,$B$14,1), 1*(_xlfn._xlws.FILTER(OFFSET($O$15,0,$DN232,$B$8,1),OFFSET($M$15,0,0,$B$8,1))=FH$13), 1*(_xlfn._xlws.FILTER(OFFSET($O$15,0,$DO232,$B$8,1),OFFSET($M$15,0,0,$B$8,1))=FH$14))   /   SUM(OFFSET($BO$15,0,0,$B$14,1)) + $B$18/($B$19*$B$19*($DN232&lt;&gt;$DO232) + $B$19*($DN232=$DO232))</f>
        <v>3.7037037037037035E-4</v>
      </c>
      <c r="FI232" s="10" cm="1">
        <f t="array" aca="1" ref="FI232" ca="1">(1-$B$18)*SUMPRODUCT(OFFSET($BO$15,0,0,$B$14,1), 1*(_xlfn._xlws.FILTER(OFFSET($O$15,0,$DN232,$B$8,1),OFFSET($M$15,0,0,$B$8,1))=FI$13), 1*(_xlfn._xlws.FILTER(OFFSET($O$15,0,$DO232,$B$8,1),OFFSET($M$15,0,0,$B$8,1))=FI$14))   /   SUM(OFFSET($BO$15,0,0,$B$14,1)) + $B$18/($B$19*$B$19*($DN232&lt;&gt;$DO232) + $B$19*($DN232=$DO232))</f>
        <v>3.7037037037037035E-4</v>
      </c>
      <c r="FJ232" s="10" cm="1">
        <f t="array" aca="1" ref="FJ232" ca="1">(1-$B$18)*SUMPRODUCT(OFFSET($BO$15,0,0,$B$14,1), 1*(_xlfn._xlws.FILTER(OFFSET($O$15,0,$DN232,$B$8,1),OFFSET($M$15,0,0,$B$8,1))=FJ$13), 1*(_xlfn._xlws.FILTER(OFFSET($O$15,0,$DO232,$B$8,1),OFFSET($M$15,0,0,$B$8,1))=FJ$14))   /   SUM(OFFSET($BO$15,0,0,$B$14,1)) + $B$18/($B$19*$B$19*($DN232&lt;&gt;$DO232) + $B$19*($DN232=$DO232))</f>
        <v>3.7037037037037035E-4</v>
      </c>
      <c r="FK232" s="10" cm="1">
        <f t="array" aca="1" ref="FK232" ca="1">(1-$B$18)*SUMPRODUCT(OFFSET($BO$15,0,0,$B$14,1), 1*(_xlfn._xlws.FILTER(OFFSET($O$15,0,$DN232,$B$8,1),OFFSET($M$15,0,0,$B$8,1))=FK$13), 1*(_xlfn._xlws.FILTER(OFFSET($O$15,0,$DO232,$B$8,1),OFFSET($M$15,0,0,$B$8,1))=FK$14))   /   SUM(OFFSET($BO$15,0,0,$B$14,1)) + $B$18/($B$19*$B$19*($DN232&lt;&gt;$DO232) + $B$19*($DN232=$DO232))</f>
        <v>3.7037037037037035E-4</v>
      </c>
      <c r="FL232" s="10" cm="1">
        <f t="array" aca="1" ref="FL232" ca="1">(1-$B$18)*SUMPRODUCT(OFFSET($BO$15,0,0,$B$14,1), 1*(_xlfn._xlws.FILTER(OFFSET($O$15,0,$DN232,$B$8,1),OFFSET($M$15,0,0,$B$8,1))=FL$13), 1*(_xlfn._xlws.FILTER(OFFSET($O$15,0,$DO232,$B$8,1),OFFSET($M$15,0,0,$B$8,1))=FL$14))   /   SUM(OFFSET($BO$15,0,0,$B$14,1)) + $B$18/($B$19*$B$19*($DN232&lt;&gt;$DO232) + $B$19*($DN232=$DO232))</f>
        <v>3.7037037037037035E-4</v>
      </c>
      <c r="FM232" s="10" cm="1">
        <f t="array" aca="1" ref="FM232" ca="1">(1-$B$18)*SUMPRODUCT(OFFSET($BO$15,0,0,$B$14,1), 1*(_xlfn._xlws.FILTER(OFFSET($O$15,0,$DN232,$B$8,1),OFFSET($M$15,0,0,$B$8,1))=FM$13), 1*(_xlfn._xlws.FILTER(OFFSET($O$15,0,$DO232,$B$8,1),OFFSET($M$15,0,0,$B$8,1))=FM$14))   /   SUM(OFFSET($BO$15,0,0,$B$14,1)) + $B$18/($B$19*$B$19*($DN232&lt;&gt;$DO232) + $B$19*($DN232=$DO232))</f>
        <v>3.7037037037037035E-4</v>
      </c>
      <c r="FN232" s="10" cm="1">
        <f t="array" aca="1" ref="FN232" ca="1">(1-$B$18)*SUMPRODUCT(OFFSET($BO$15,0,0,$B$14,1), 1*(_xlfn._xlws.FILTER(OFFSET($O$15,0,$DN232,$B$8,1),OFFSET($M$15,0,0,$B$8,1))=FN$13), 1*(_xlfn._xlws.FILTER(OFFSET($O$15,0,$DO232,$B$8,1),OFFSET($M$15,0,0,$B$8,1))=FN$14))   /   SUM(OFFSET($BO$15,0,0,$B$14,1)) + $B$18/($B$19*$B$19*($DN232&lt;&gt;$DO232) + $B$19*($DN232=$DO232))</f>
        <v>3.7037037037037035E-4</v>
      </c>
      <c r="FO232" s="10" cm="1">
        <f t="array" aca="1" ref="FO232" ca="1">(1-$B$18)*SUMPRODUCT(OFFSET($BO$15,0,0,$B$14,1), 1*(_xlfn._xlws.FILTER(OFFSET($O$15,0,$DN232,$B$8,1),OFFSET($M$15,0,0,$B$8,1))=FO$13), 1*(_xlfn._xlws.FILTER(OFFSET($O$15,0,$DO232,$B$8,1),OFFSET($M$15,0,0,$B$8,1))=FO$14))   /   SUM(OFFSET($BO$15,0,0,$B$14,1)) + $B$18/($B$19*$B$19*($DN232&lt;&gt;$DO232) + $B$19*($DN232=$DO232))</f>
        <v>3.7037037037037035E-4</v>
      </c>
      <c r="FP232" s="10" cm="1">
        <f t="array" aca="1" ref="FP232" ca="1">(1-$B$18)*SUMPRODUCT(OFFSET($BO$15,0,0,$B$14,1), 1*(_xlfn._xlws.FILTER(OFFSET($O$15,0,$DN232,$B$8,1),OFFSET($M$15,0,0,$B$8,1))=FP$13), 1*(_xlfn._xlws.FILTER(OFFSET($O$15,0,$DO232,$B$8,1),OFFSET($M$15,0,0,$B$8,1))=FP$14))   /   SUM(OFFSET($BO$15,0,0,$B$14,1)) + $B$18/($B$19*$B$19*($DN232&lt;&gt;$DO232) + $B$19*($DN232=$DO232))</f>
        <v>3.7037037037037035E-4</v>
      </c>
      <c r="FQ232" s="10" cm="1">
        <f t="array" aca="1" ref="FQ232" ca="1">(1-$B$18)*SUMPRODUCT(OFFSET($BO$15,0,0,$B$14,1), 1*(_xlfn._xlws.FILTER(OFFSET($O$15,0,$DN232,$B$8,1),OFFSET($M$15,0,0,$B$8,1))=FQ$13), 1*(_xlfn._xlws.FILTER(OFFSET($O$15,0,$DO232,$B$8,1),OFFSET($M$15,0,0,$B$8,1))=FQ$14))   /   SUM(OFFSET($BO$15,0,0,$B$14,1)) + $B$18/($B$19*$B$19*($DN232&lt;&gt;$DO232) + $B$19*($DN232=$DO232))</f>
        <v>3.7037037037037035E-4</v>
      </c>
      <c r="FR232" s="10" cm="1">
        <f t="array" aca="1" ref="FR232" ca="1">(1-$B$18)*SUMPRODUCT(OFFSET($BO$15,0,0,$B$14,1), 1*(_xlfn._xlws.FILTER(OFFSET($O$15,0,$DN232,$B$8,1),OFFSET($M$15,0,0,$B$8,1))=FR$13), 1*(_xlfn._xlws.FILTER(OFFSET($O$15,0,$DO232,$B$8,1),OFFSET($M$15,0,0,$B$8,1))=FR$14))   /   SUM(OFFSET($BO$15,0,0,$B$14,1)) + $B$18/($B$19*$B$19*($DN232&lt;&gt;$DO232) + $B$19*($DN232=$DO232))</f>
        <v>3.7037037037037035E-4</v>
      </c>
      <c r="FS232" s="10" cm="1">
        <f t="array" aca="1" ref="FS232" ca="1">(1-$B$18)*SUMPRODUCT(OFFSET($BO$15,0,0,$B$14,1), 1*(_xlfn._xlws.FILTER(OFFSET($O$15,0,$DN232,$B$8,1),OFFSET($M$15,0,0,$B$8,1))=FS$13), 1*(_xlfn._xlws.FILTER(OFFSET($O$15,0,$DO232,$B$8,1),OFFSET($M$15,0,0,$B$8,1))=FS$14))   /   SUM(OFFSET($BO$15,0,0,$B$14,1)) + $B$18/($B$19*$B$19*($DN232&lt;&gt;$DO232) + $B$19*($DN232=$DO232))</f>
        <v>3.7037037037037035E-4</v>
      </c>
      <c r="FT232" s="10" cm="1">
        <f t="array" aca="1" ref="FT232" ca="1">(1-$B$18)*SUMPRODUCT(OFFSET($BO$15,0,0,$B$14,1), 1*(_xlfn._xlws.FILTER(OFFSET($O$15,0,$DN232,$B$8,1),OFFSET($M$15,0,0,$B$8,1))=FT$13), 1*(_xlfn._xlws.FILTER(OFFSET($O$15,0,$DO232,$B$8,1),OFFSET($M$15,0,0,$B$8,1))=FT$14))   /   SUM(OFFSET($BO$15,0,0,$B$14,1)) + $B$18/($B$19*$B$19*($DN232&lt;&gt;$DO232) + $B$19*($DN232=$DO232))</f>
        <v>3.7037037037037035E-4</v>
      </c>
      <c r="FU232" s="10" cm="1">
        <f t="array" aca="1" ref="FU232" ca="1">(1-$B$18)*SUMPRODUCT(OFFSET($BO$15,0,0,$B$14,1), 1*(_xlfn._xlws.FILTER(OFFSET($O$15,0,$DN232,$B$8,1),OFFSET($M$15,0,0,$B$8,1))=FU$13), 1*(_xlfn._xlws.FILTER(OFFSET($O$15,0,$DO232,$B$8,1),OFFSET($M$15,0,0,$B$8,1))=FU$14))   /   SUM(OFFSET($BO$15,0,0,$B$14,1)) + $B$18/($B$19*$B$19*($DN232&lt;&gt;$DO232) + $B$19*($DN232=$DO232))</f>
        <v>3.7037037037037035E-4</v>
      </c>
      <c r="FV232" s="10" cm="1">
        <f t="array" aca="1" ref="FV232" ca="1">(1-$B$18)*SUMPRODUCT(OFFSET($BO$15,0,0,$B$14,1), 1*(_xlfn._xlws.FILTER(OFFSET($O$15,0,$DN232,$B$8,1),OFFSET($M$15,0,0,$B$8,1))=FV$13), 1*(_xlfn._xlws.FILTER(OFFSET($O$15,0,$DO232,$B$8,1),OFFSET($M$15,0,0,$B$8,1))=FV$14))   /   SUM(OFFSET($BO$15,0,0,$B$14,1)) + $B$18/($B$19*$B$19*($DN232&lt;&gt;$DO232) + $B$19*($DN232=$DO232))</f>
        <v>3.7037037037037035E-4</v>
      </c>
      <c r="FW232" s="10" cm="1">
        <f t="array" aca="1" ref="FW232" ca="1">(1-$B$18)*SUMPRODUCT(OFFSET($BO$15,0,0,$B$14,1), 1*(_xlfn._xlws.FILTER(OFFSET($O$15,0,$DN232,$B$8,1),OFFSET($M$15,0,0,$B$8,1))=FW$13), 1*(_xlfn._xlws.FILTER(OFFSET($O$15,0,$DO232,$B$8,1),OFFSET($M$15,0,0,$B$8,1))=FW$14))   /   SUM(OFFSET($BO$15,0,0,$B$14,1)) + $B$18/($B$19*$B$19*($DN232&lt;&gt;$DO232) + $B$19*($DN232=$DO232))</f>
        <v>3.7037037037037035E-4</v>
      </c>
      <c r="FX232" s="10" cm="1">
        <f t="array" aca="1" ref="FX232" ca="1">(1-$B$18)*SUMPRODUCT(OFFSET($BO$15,0,0,$B$14,1), 1*(_xlfn._xlws.FILTER(OFFSET($O$15,0,$DN232,$B$8,1),OFFSET($M$15,0,0,$B$8,1))=FX$13), 1*(_xlfn._xlws.FILTER(OFFSET($O$15,0,$DO232,$B$8,1),OFFSET($M$15,0,0,$B$8,1))=FX$14))   /   SUM(OFFSET($BO$15,0,0,$B$14,1)) + $B$18/($B$19*$B$19*($DN232&lt;&gt;$DO232) + $B$19*($DN232=$DO232))</f>
        <v>3.7037037037037035E-4</v>
      </c>
      <c r="FY232" s="10" cm="1">
        <f t="array" aca="1" ref="FY232" ca="1">(1-$B$18)*SUMPRODUCT(OFFSET($BO$15,0,0,$B$14,1), 1*(_xlfn._xlws.FILTER(OFFSET($O$15,0,$DN232,$B$8,1),OFFSET($M$15,0,0,$B$8,1))=FY$13), 1*(_xlfn._xlws.FILTER(OFFSET($O$15,0,$DO232,$B$8,1),OFFSET($M$15,0,0,$B$8,1))=FY$14))   /   SUM(OFFSET($BO$15,0,0,$B$14,1)) + $B$18/($B$19*$B$19*($DN232&lt;&gt;$DO232) + $B$19*($DN232=$DO232))</f>
        <v>3.7037037037037035E-4</v>
      </c>
      <c r="FZ232" s="10" cm="1">
        <f t="array" aca="1" ref="FZ232" ca="1">(1-$B$18)*SUMPRODUCT(OFFSET($BO$15,0,0,$B$14,1), 1*(_xlfn._xlws.FILTER(OFFSET($O$15,0,$DN232,$B$8,1),OFFSET($M$15,0,0,$B$8,1))=FZ$13), 1*(_xlfn._xlws.FILTER(OFFSET($O$15,0,$DO232,$B$8,1),OFFSET($M$15,0,0,$B$8,1))=FZ$14))   /   SUM(OFFSET($BO$15,0,0,$B$14,1)) + $B$18/($B$19*$B$19*($DN232&lt;&gt;$DO232) + $B$19*($DN232=$DO232))</f>
        <v>3.7037037037037035E-4</v>
      </c>
      <c r="GA232" s="10" cm="1">
        <f t="array" aca="1" ref="GA232" ca="1">(1-$B$18)*SUMPRODUCT(OFFSET($BO$15,0,0,$B$14,1), 1*(_xlfn._xlws.FILTER(OFFSET($O$15,0,$DN232,$B$8,1),OFFSET($M$15,0,0,$B$8,1))=GA$13), 1*(_xlfn._xlws.FILTER(OFFSET($O$15,0,$DO232,$B$8,1),OFFSET($M$15,0,0,$B$8,1))=GA$14))   /   SUM(OFFSET($BO$15,0,0,$B$14,1)) + $B$18/($B$19*$B$19*($DN232&lt;&gt;$DO232) + $B$19*($DN232=$DO232))</f>
        <v>3.7037037037037035E-4</v>
      </c>
    </row>
    <row r="233" spans="118:183" x14ac:dyDescent="0.2">
      <c r="DN233" cm="1">
        <f t="array" aca="1" ref="DN233" ca="1">INDEX(_xlfn.ANCHORARRAY($CP$15), 1 + INT((ROWS($DO$15:$DO233) - 1) / ROWS(_xlfn.ANCHORARRAY($CP$15))))</f>
        <v>12</v>
      </c>
      <c r="DO233" cm="1">
        <f t="array" aca="1" ref="DO233" ca="1">INDEX(_xlfn.ANCHORARRAY($CP$15),1+MOD(ROWS($DO$15:$DO233)-1,ROWS(_xlfn.ANCHORARRAY($CP$15))))</f>
        <v>9</v>
      </c>
      <c r="DP233" s="10" cm="1">
        <f t="array" aca="1" ref="DP233" ca="1">(1-$B$18)*SUMPRODUCT(OFFSET($BO$15,0,0,$B$14,1), 1*(_xlfn._xlws.FILTER(OFFSET($O$15,0,$DN233,$B$8,1),OFFSET($M$15,0,0,$B$8,1))=DP$13), 1*(_xlfn._xlws.FILTER(OFFSET($O$15,0,$DO233,$B$8,1),OFFSET($M$15,0,0,$B$8,1))=DP$14))   /   SUM(OFFSET($BO$15,0,0,$B$14,1)) + $B$18/($B$19*$B$19*($DN233&lt;&gt;$DO233) + $B$19*($DN233=$DO233))</f>
        <v>3.7037037037037035E-4</v>
      </c>
      <c r="DQ233" s="10" cm="1">
        <f t="array" aca="1" ref="DQ233" ca="1">(1-$B$18)*SUMPRODUCT(OFFSET($BO$15,0,0,$B$14,1), 1*(_xlfn._xlws.FILTER(OFFSET($O$15,0,$DN233,$B$8,1),OFFSET($M$15,0,0,$B$8,1))=DQ$13), 1*(_xlfn._xlws.FILTER(OFFSET($O$15,0,$DO233,$B$8,1),OFFSET($M$15,0,0,$B$8,1))=DQ$14))   /   SUM(OFFSET($BO$15,0,0,$B$14,1)) + $B$18/($B$19*$B$19*($DN233&lt;&gt;$DO233) + $B$19*($DN233=$DO233))</f>
        <v>3.7037037037037035E-4</v>
      </c>
      <c r="DR233" s="10" cm="1">
        <f t="array" aca="1" ref="DR233" ca="1">(1-$B$18)*SUMPRODUCT(OFFSET($BO$15,0,0,$B$14,1), 1*(_xlfn._xlws.FILTER(OFFSET($O$15,0,$DN233,$B$8,1),OFFSET($M$15,0,0,$B$8,1))=DR$13), 1*(_xlfn._xlws.FILTER(OFFSET($O$15,0,$DO233,$B$8,1),OFFSET($M$15,0,0,$B$8,1))=DR$14))   /   SUM(OFFSET($BO$15,0,0,$B$14,1)) + $B$18/($B$19*$B$19*($DN233&lt;&gt;$DO233) + $B$19*($DN233=$DO233))</f>
        <v>3.7037037037037035E-4</v>
      </c>
      <c r="DS233" s="10" cm="1">
        <f t="array" aca="1" ref="DS233" ca="1">(1-$B$18)*SUMPRODUCT(OFFSET($BO$15,0,0,$B$14,1), 1*(_xlfn._xlws.FILTER(OFFSET($O$15,0,$DN233,$B$8,1),OFFSET($M$15,0,0,$B$8,1))=DS$13), 1*(_xlfn._xlws.FILTER(OFFSET($O$15,0,$DO233,$B$8,1),OFFSET($M$15,0,0,$B$8,1))=DS$14))   /   SUM(OFFSET($BO$15,0,0,$B$14,1)) + $B$18/($B$19*$B$19*($DN233&lt;&gt;$DO233) + $B$19*($DN233=$DO233))</f>
        <v>3.7037037037037035E-4</v>
      </c>
      <c r="DT233" s="10" cm="1">
        <f t="array" aca="1" ref="DT233" ca="1">(1-$B$18)*SUMPRODUCT(OFFSET($BO$15,0,0,$B$14,1), 1*(_xlfn._xlws.FILTER(OFFSET($O$15,0,$DN233,$B$8,1),OFFSET($M$15,0,0,$B$8,1))=DT$13), 1*(_xlfn._xlws.FILTER(OFFSET($O$15,0,$DO233,$B$8,1),OFFSET($M$15,0,0,$B$8,1))=DT$14))   /   SUM(OFFSET($BO$15,0,0,$B$14,1)) + $B$18/($B$19*$B$19*($DN233&lt;&gt;$DO233) + $B$19*($DN233=$DO233))</f>
        <v>3.7037037037037035E-4</v>
      </c>
      <c r="DU233" s="10" cm="1">
        <f t="array" aca="1" ref="DU233" ca="1">(1-$B$18)*SUMPRODUCT(OFFSET($BO$15,0,0,$B$14,1), 1*(_xlfn._xlws.FILTER(OFFSET($O$15,0,$DN233,$B$8,1),OFFSET($M$15,0,0,$B$8,1))=DU$13), 1*(_xlfn._xlws.FILTER(OFFSET($O$15,0,$DO233,$B$8,1),OFFSET($M$15,0,0,$B$8,1))=DU$14))   /   SUM(OFFSET($BO$15,0,0,$B$14,1)) + $B$18/($B$19*$B$19*($DN233&lt;&gt;$DO233) + $B$19*($DN233=$DO233))</f>
        <v>3.7037037037037035E-4</v>
      </c>
      <c r="DV233" s="10" cm="1">
        <f t="array" aca="1" ref="DV233" ca="1">(1-$B$18)*SUMPRODUCT(OFFSET($BO$15,0,0,$B$14,1), 1*(_xlfn._xlws.FILTER(OFFSET($O$15,0,$DN233,$B$8,1),OFFSET($M$15,0,0,$B$8,1))=DV$13), 1*(_xlfn._xlws.FILTER(OFFSET($O$15,0,$DO233,$B$8,1),OFFSET($M$15,0,0,$B$8,1))=DV$14))   /   SUM(OFFSET($BO$15,0,0,$B$14,1)) + $B$18/($B$19*$B$19*($DN233&lt;&gt;$DO233) + $B$19*($DN233=$DO233))</f>
        <v>3.7037037037037035E-4</v>
      </c>
      <c r="DW233" s="10" cm="1">
        <f t="array" aca="1" ref="DW233" ca="1">(1-$B$18)*SUMPRODUCT(OFFSET($BO$15,0,0,$B$14,1), 1*(_xlfn._xlws.FILTER(OFFSET($O$15,0,$DN233,$B$8,1),OFFSET($M$15,0,0,$B$8,1))=DW$13), 1*(_xlfn._xlws.FILTER(OFFSET($O$15,0,$DO233,$B$8,1),OFFSET($M$15,0,0,$B$8,1))=DW$14))   /   SUM(OFFSET($BO$15,0,0,$B$14,1)) + $B$18/($B$19*$B$19*($DN233&lt;&gt;$DO233) + $B$19*($DN233=$DO233))</f>
        <v>3.7037037037037035E-4</v>
      </c>
      <c r="DX233" s="10" cm="1">
        <f t="array" aca="1" ref="DX233" ca="1">(1-$B$18)*SUMPRODUCT(OFFSET($BO$15,0,0,$B$14,1), 1*(_xlfn._xlws.FILTER(OFFSET($O$15,0,$DN233,$B$8,1),OFFSET($M$15,0,0,$B$8,1))=DX$13), 1*(_xlfn._xlws.FILTER(OFFSET($O$15,0,$DO233,$B$8,1),OFFSET($M$15,0,0,$B$8,1))=DX$14))   /   SUM(OFFSET($BO$15,0,0,$B$14,1)) + $B$18/($B$19*$B$19*($DN233&lt;&gt;$DO233) + $B$19*($DN233=$DO233))</f>
        <v>3.7037037037037035E-4</v>
      </c>
      <c r="DY233" s="10" cm="1">
        <f t="array" aca="1" ref="DY233" ca="1">(1-$B$18)*SUMPRODUCT(OFFSET($BO$15,0,0,$B$14,1), 1*(_xlfn._xlws.FILTER(OFFSET($O$15,0,$DN233,$B$8,1),OFFSET($M$15,0,0,$B$8,1))=DY$13), 1*(_xlfn._xlws.FILTER(OFFSET($O$15,0,$DO233,$B$8,1),OFFSET($M$15,0,0,$B$8,1))=DY$14))   /   SUM(OFFSET($BO$15,0,0,$B$14,1)) + $B$18/($B$19*$B$19*($DN233&lt;&gt;$DO233) + $B$19*($DN233=$DO233))</f>
        <v>3.7037037037037035E-4</v>
      </c>
      <c r="DZ233" s="10" cm="1">
        <f t="array" aca="1" ref="DZ233" ca="1">(1-$B$18)*SUMPRODUCT(OFFSET($BO$15,0,0,$B$14,1), 1*(_xlfn._xlws.FILTER(OFFSET($O$15,0,$DN233,$B$8,1),OFFSET($M$15,0,0,$B$8,1))=DZ$13), 1*(_xlfn._xlws.FILTER(OFFSET($O$15,0,$DO233,$B$8,1),OFFSET($M$15,0,0,$B$8,1))=DZ$14))   /   SUM(OFFSET($BO$15,0,0,$B$14,1)) + $B$18/($B$19*$B$19*($DN233&lt;&gt;$DO233) + $B$19*($DN233=$DO233))</f>
        <v>3.7037037037037035E-4</v>
      </c>
      <c r="EA233" s="10" cm="1">
        <f t="array" aca="1" ref="EA233" ca="1">(1-$B$18)*SUMPRODUCT(OFFSET($BO$15,0,0,$B$14,1), 1*(_xlfn._xlws.FILTER(OFFSET($O$15,0,$DN233,$B$8,1),OFFSET($M$15,0,0,$B$8,1))=EA$13), 1*(_xlfn._xlws.FILTER(OFFSET($O$15,0,$DO233,$B$8,1),OFFSET($M$15,0,0,$B$8,1))=EA$14))   /   SUM(OFFSET($BO$15,0,0,$B$14,1)) + $B$18/($B$19*$B$19*($DN233&lt;&gt;$DO233) + $B$19*($DN233=$DO233))</f>
        <v>3.7037037037037035E-4</v>
      </c>
      <c r="EB233" s="10" cm="1">
        <f t="array" aca="1" ref="EB233" ca="1">(1-$B$18)*SUMPRODUCT(OFFSET($BO$15,0,0,$B$14,1), 1*(_xlfn._xlws.FILTER(OFFSET($O$15,0,$DN233,$B$8,1),OFFSET($M$15,0,0,$B$8,1))=EB$13), 1*(_xlfn._xlws.FILTER(OFFSET($O$15,0,$DO233,$B$8,1),OFFSET($M$15,0,0,$B$8,1))=EB$14))   /   SUM(OFFSET($BO$15,0,0,$B$14,1)) + $B$18/($B$19*$B$19*($DN233&lt;&gt;$DO233) + $B$19*($DN233=$DO233))</f>
        <v>3.7037037037037035E-4</v>
      </c>
      <c r="EC233" s="10" cm="1">
        <f t="array" aca="1" ref="EC233" ca="1">(1-$B$18)*SUMPRODUCT(OFFSET($BO$15,0,0,$B$14,1), 1*(_xlfn._xlws.FILTER(OFFSET($O$15,0,$DN233,$B$8,1),OFFSET($M$15,0,0,$B$8,1))=EC$13), 1*(_xlfn._xlws.FILTER(OFFSET($O$15,0,$DO233,$B$8,1),OFFSET($M$15,0,0,$B$8,1))=EC$14))   /   SUM(OFFSET($BO$15,0,0,$B$14,1)) + $B$18/($B$19*$B$19*($DN233&lt;&gt;$DO233) + $B$19*($DN233=$DO233))</f>
        <v>3.7037037037037035E-4</v>
      </c>
      <c r="ED233" s="10" cm="1">
        <f t="array" aca="1" ref="ED233" ca="1">(1-$B$18)*SUMPRODUCT(OFFSET($BO$15,0,0,$B$14,1), 1*(_xlfn._xlws.FILTER(OFFSET($O$15,0,$DN233,$B$8,1),OFFSET($M$15,0,0,$B$8,1))=ED$13), 1*(_xlfn._xlws.FILTER(OFFSET($O$15,0,$DO233,$B$8,1),OFFSET($M$15,0,0,$B$8,1))=ED$14))   /   SUM(OFFSET($BO$15,0,0,$B$14,1)) + $B$18/($B$19*$B$19*($DN233&lt;&gt;$DO233) + $B$19*($DN233=$DO233))</f>
        <v>0.97037037037037033</v>
      </c>
      <c r="EE233" s="10" cm="1">
        <f t="array" aca="1" ref="EE233" ca="1">(1-$B$18)*SUMPRODUCT(OFFSET($BO$15,0,0,$B$14,1), 1*(_xlfn._xlws.FILTER(OFFSET($O$15,0,$DN233,$B$8,1),OFFSET($M$15,0,0,$B$8,1))=EE$13), 1*(_xlfn._xlws.FILTER(OFFSET($O$15,0,$DO233,$B$8,1),OFFSET($M$15,0,0,$B$8,1))=EE$14))   /   SUM(OFFSET($BO$15,0,0,$B$14,1)) + $B$18/($B$19*$B$19*($DN233&lt;&gt;$DO233) + $B$19*($DN233=$DO233))</f>
        <v>3.7037037037037035E-4</v>
      </c>
      <c r="EF233" s="10" cm="1">
        <f t="array" aca="1" ref="EF233" ca="1">(1-$B$18)*SUMPRODUCT(OFFSET($BO$15,0,0,$B$14,1), 1*(_xlfn._xlws.FILTER(OFFSET($O$15,0,$DN233,$B$8,1),OFFSET($M$15,0,0,$B$8,1))=EF$13), 1*(_xlfn._xlws.FILTER(OFFSET($O$15,0,$DO233,$B$8,1),OFFSET($M$15,0,0,$B$8,1))=EF$14))   /   SUM(OFFSET($BO$15,0,0,$B$14,1)) + $B$18/($B$19*$B$19*($DN233&lt;&gt;$DO233) + $B$19*($DN233=$DO233))</f>
        <v>3.7037037037037035E-4</v>
      </c>
      <c r="EG233" s="10" cm="1">
        <f t="array" aca="1" ref="EG233" ca="1">(1-$B$18)*SUMPRODUCT(OFFSET($BO$15,0,0,$B$14,1), 1*(_xlfn._xlws.FILTER(OFFSET($O$15,0,$DN233,$B$8,1),OFFSET($M$15,0,0,$B$8,1))=EG$13), 1*(_xlfn._xlws.FILTER(OFFSET($O$15,0,$DO233,$B$8,1),OFFSET($M$15,0,0,$B$8,1))=EG$14))   /   SUM(OFFSET($BO$15,0,0,$B$14,1)) + $B$18/($B$19*$B$19*($DN233&lt;&gt;$DO233) + $B$19*($DN233=$DO233))</f>
        <v>3.7037037037037035E-4</v>
      </c>
      <c r="EH233" s="10" cm="1">
        <f t="array" aca="1" ref="EH233" ca="1">(1-$B$18)*SUMPRODUCT(OFFSET($BO$15,0,0,$B$14,1), 1*(_xlfn._xlws.FILTER(OFFSET($O$15,0,$DN233,$B$8,1),OFFSET($M$15,0,0,$B$8,1))=EH$13), 1*(_xlfn._xlws.FILTER(OFFSET($O$15,0,$DO233,$B$8,1),OFFSET($M$15,0,0,$B$8,1))=EH$14))   /   SUM(OFFSET($BO$15,0,0,$B$14,1)) + $B$18/($B$19*$B$19*($DN233&lt;&gt;$DO233) + $B$19*($DN233=$DO233))</f>
        <v>3.7037037037037035E-4</v>
      </c>
      <c r="EI233" s="10" cm="1">
        <f t="array" aca="1" ref="EI233" ca="1">(1-$B$18)*SUMPRODUCT(OFFSET($BO$15,0,0,$B$14,1), 1*(_xlfn._xlws.FILTER(OFFSET($O$15,0,$DN233,$B$8,1),OFFSET($M$15,0,0,$B$8,1))=EI$13), 1*(_xlfn._xlws.FILTER(OFFSET($O$15,0,$DO233,$B$8,1),OFFSET($M$15,0,0,$B$8,1))=EI$14))   /   SUM(OFFSET($BO$15,0,0,$B$14,1)) + $B$18/($B$19*$B$19*($DN233&lt;&gt;$DO233) + $B$19*($DN233=$DO233))</f>
        <v>3.7037037037037035E-4</v>
      </c>
      <c r="EJ233" s="10" cm="1">
        <f t="array" aca="1" ref="EJ233" ca="1">(1-$B$18)*SUMPRODUCT(OFFSET($BO$15,0,0,$B$14,1), 1*(_xlfn._xlws.FILTER(OFFSET($O$15,0,$DN233,$B$8,1),OFFSET($M$15,0,0,$B$8,1))=EJ$13), 1*(_xlfn._xlws.FILTER(OFFSET($O$15,0,$DO233,$B$8,1),OFFSET($M$15,0,0,$B$8,1))=EJ$14))   /   SUM(OFFSET($BO$15,0,0,$B$14,1)) + $B$18/($B$19*$B$19*($DN233&lt;&gt;$DO233) + $B$19*($DN233=$DO233))</f>
        <v>3.7037037037037035E-4</v>
      </c>
      <c r="EK233" s="10" cm="1">
        <f t="array" aca="1" ref="EK233" ca="1">(1-$B$18)*SUMPRODUCT(OFFSET($BO$15,0,0,$B$14,1), 1*(_xlfn._xlws.FILTER(OFFSET($O$15,0,$DN233,$B$8,1),OFFSET($M$15,0,0,$B$8,1))=EK$13), 1*(_xlfn._xlws.FILTER(OFFSET($O$15,0,$DO233,$B$8,1),OFFSET($M$15,0,0,$B$8,1))=EK$14))   /   SUM(OFFSET($BO$15,0,0,$B$14,1)) + $B$18/($B$19*$B$19*($DN233&lt;&gt;$DO233) + $B$19*($DN233=$DO233))</f>
        <v>3.7037037037037035E-4</v>
      </c>
      <c r="EL233" s="10" cm="1">
        <f t="array" aca="1" ref="EL233" ca="1">(1-$B$18)*SUMPRODUCT(OFFSET($BO$15,0,0,$B$14,1), 1*(_xlfn._xlws.FILTER(OFFSET($O$15,0,$DN233,$B$8,1),OFFSET($M$15,0,0,$B$8,1))=EL$13), 1*(_xlfn._xlws.FILTER(OFFSET($O$15,0,$DO233,$B$8,1),OFFSET($M$15,0,0,$B$8,1))=EL$14))   /   SUM(OFFSET($BO$15,0,0,$B$14,1)) + $B$18/($B$19*$B$19*($DN233&lt;&gt;$DO233) + $B$19*($DN233=$DO233))</f>
        <v>3.7037037037037035E-4</v>
      </c>
      <c r="EM233" s="10" cm="1">
        <f t="array" aca="1" ref="EM233" ca="1">(1-$B$18)*SUMPRODUCT(OFFSET($BO$15,0,0,$B$14,1), 1*(_xlfn._xlws.FILTER(OFFSET($O$15,0,$DN233,$B$8,1),OFFSET($M$15,0,0,$B$8,1))=EM$13), 1*(_xlfn._xlws.FILTER(OFFSET($O$15,0,$DO233,$B$8,1),OFFSET($M$15,0,0,$B$8,1))=EM$14))   /   SUM(OFFSET($BO$15,0,0,$B$14,1)) + $B$18/($B$19*$B$19*($DN233&lt;&gt;$DO233) + $B$19*($DN233=$DO233))</f>
        <v>3.7037037037037035E-4</v>
      </c>
      <c r="EN233" s="10" cm="1">
        <f t="array" aca="1" ref="EN233" ca="1">(1-$B$18)*SUMPRODUCT(OFFSET($BO$15,0,0,$B$14,1), 1*(_xlfn._xlws.FILTER(OFFSET($O$15,0,$DN233,$B$8,1),OFFSET($M$15,0,0,$B$8,1))=EN$13), 1*(_xlfn._xlws.FILTER(OFFSET($O$15,0,$DO233,$B$8,1),OFFSET($M$15,0,0,$B$8,1))=EN$14))   /   SUM(OFFSET($BO$15,0,0,$B$14,1)) + $B$18/($B$19*$B$19*($DN233&lt;&gt;$DO233) + $B$19*($DN233=$DO233))</f>
        <v>3.7037037037037035E-4</v>
      </c>
      <c r="EO233" s="10" cm="1">
        <f t="array" aca="1" ref="EO233" ca="1">(1-$B$18)*SUMPRODUCT(OFFSET($BO$15,0,0,$B$14,1), 1*(_xlfn._xlws.FILTER(OFFSET($O$15,0,$DN233,$B$8,1),OFFSET($M$15,0,0,$B$8,1))=EO$13), 1*(_xlfn._xlws.FILTER(OFFSET($O$15,0,$DO233,$B$8,1),OFFSET($M$15,0,0,$B$8,1))=EO$14))   /   SUM(OFFSET($BO$15,0,0,$B$14,1)) + $B$18/($B$19*$B$19*($DN233&lt;&gt;$DO233) + $B$19*($DN233=$DO233))</f>
        <v>3.7037037037037035E-4</v>
      </c>
      <c r="EP233" s="10" cm="1">
        <f t="array" aca="1" ref="EP233" ca="1">(1-$B$18)*SUMPRODUCT(OFFSET($BO$15,0,0,$B$14,1), 1*(_xlfn._xlws.FILTER(OFFSET($O$15,0,$DN233,$B$8,1),OFFSET($M$15,0,0,$B$8,1))=EP$13), 1*(_xlfn._xlws.FILTER(OFFSET($O$15,0,$DO233,$B$8,1),OFFSET($M$15,0,0,$B$8,1))=EP$14))   /   SUM(OFFSET($BO$15,0,0,$B$14,1)) + $B$18/($B$19*$B$19*($DN233&lt;&gt;$DO233) + $B$19*($DN233=$DO233))</f>
        <v>3.7037037037037035E-4</v>
      </c>
      <c r="EQ233" s="10" cm="1">
        <f t="array" aca="1" ref="EQ233" ca="1">(1-$B$18)*SUMPRODUCT(OFFSET($BO$15,0,0,$B$14,1), 1*(_xlfn._xlws.FILTER(OFFSET($O$15,0,$DN233,$B$8,1),OFFSET($M$15,0,0,$B$8,1))=EQ$13), 1*(_xlfn._xlws.FILTER(OFFSET($O$15,0,$DO233,$B$8,1),OFFSET($M$15,0,0,$B$8,1))=EQ$14))   /   SUM(OFFSET($BO$15,0,0,$B$14,1)) + $B$18/($B$19*$B$19*($DN233&lt;&gt;$DO233) + $B$19*($DN233=$DO233))</f>
        <v>3.7037037037037035E-4</v>
      </c>
      <c r="ER233" s="10" cm="1">
        <f t="array" aca="1" ref="ER233" ca="1">(1-$B$18)*SUMPRODUCT(OFFSET($BO$15,0,0,$B$14,1), 1*(_xlfn._xlws.FILTER(OFFSET($O$15,0,$DN233,$B$8,1),OFFSET($M$15,0,0,$B$8,1))=ER$13), 1*(_xlfn._xlws.FILTER(OFFSET($O$15,0,$DO233,$B$8,1),OFFSET($M$15,0,0,$B$8,1))=ER$14))   /   SUM(OFFSET($BO$15,0,0,$B$14,1)) + $B$18/($B$19*$B$19*($DN233&lt;&gt;$DO233) + $B$19*($DN233=$DO233))</f>
        <v>3.7037037037037035E-4</v>
      </c>
      <c r="ES233" s="10" cm="1">
        <f t="array" aca="1" ref="ES233" ca="1">(1-$B$18)*SUMPRODUCT(OFFSET($BO$15,0,0,$B$14,1), 1*(_xlfn._xlws.FILTER(OFFSET($O$15,0,$DN233,$B$8,1),OFFSET($M$15,0,0,$B$8,1))=ES$13), 1*(_xlfn._xlws.FILTER(OFFSET($O$15,0,$DO233,$B$8,1),OFFSET($M$15,0,0,$B$8,1))=ES$14))   /   SUM(OFFSET($BO$15,0,0,$B$14,1)) + $B$18/($B$19*$B$19*($DN233&lt;&gt;$DO233) + $B$19*($DN233=$DO233))</f>
        <v>3.7037037037037035E-4</v>
      </c>
      <c r="ET233" s="10" cm="1">
        <f t="array" aca="1" ref="ET233" ca="1">(1-$B$18)*SUMPRODUCT(OFFSET($BO$15,0,0,$B$14,1), 1*(_xlfn._xlws.FILTER(OFFSET($O$15,0,$DN233,$B$8,1),OFFSET($M$15,0,0,$B$8,1))=ET$13), 1*(_xlfn._xlws.FILTER(OFFSET($O$15,0,$DO233,$B$8,1),OFFSET($M$15,0,0,$B$8,1))=ET$14))   /   SUM(OFFSET($BO$15,0,0,$B$14,1)) + $B$18/($B$19*$B$19*($DN233&lt;&gt;$DO233) + $B$19*($DN233=$DO233))</f>
        <v>3.7037037037037035E-4</v>
      </c>
      <c r="EU233" s="10" cm="1">
        <f t="array" aca="1" ref="EU233" ca="1">(1-$B$18)*SUMPRODUCT(OFFSET($BO$15,0,0,$B$14,1), 1*(_xlfn._xlws.FILTER(OFFSET($O$15,0,$DN233,$B$8,1),OFFSET($M$15,0,0,$B$8,1))=EU$13), 1*(_xlfn._xlws.FILTER(OFFSET($O$15,0,$DO233,$B$8,1),OFFSET($M$15,0,0,$B$8,1))=EU$14))   /   SUM(OFFSET($BO$15,0,0,$B$14,1)) + $B$18/($B$19*$B$19*($DN233&lt;&gt;$DO233) + $B$19*($DN233=$DO233))</f>
        <v>3.7037037037037035E-4</v>
      </c>
      <c r="EV233" s="10" cm="1">
        <f t="array" aca="1" ref="EV233" ca="1">(1-$B$18)*SUMPRODUCT(OFFSET($BO$15,0,0,$B$14,1), 1*(_xlfn._xlws.FILTER(OFFSET($O$15,0,$DN233,$B$8,1),OFFSET($M$15,0,0,$B$8,1))=EV$13), 1*(_xlfn._xlws.FILTER(OFFSET($O$15,0,$DO233,$B$8,1),OFFSET($M$15,0,0,$B$8,1))=EV$14))   /   SUM(OFFSET($BO$15,0,0,$B$14,1)) + $B$18/($B$19*$B$19*($DN233&lt;&gt;$DO233) + $B$19*($DN233=$DO233))</f>
        <v>3.7037037037037035E-4</v>
      </c>
      <c r="EW233" s="10" cm="1">
        <f t="array" aca="1" ref="EW233" ca="1">(1-$B$18)*SUMPRODUCT(OFFSET($BO$15,0,0,$B$14,1), 1*(_xlfn._xlws.FILTER(OFFSET($O$15,0,$DN233,$B$8,1),OFFSET($M$15,0,0,$B$8,1))=EW$13), 1*(_xlfn._xlws.FILTER(OFFSET($O$15,0,$DO233,$B$8,1),OFFSET($M$15,0,0,$B$8,1))=EW$14))   /   SUM(OFFSET($BO$15,0,0,$B$14,1)) + $B$18/($B$19*$B$19*($DN233&lt;&gt;$DO233) + $B$19*($DN233=$DO233))</f>
        <v>3.7037037037037035E-4</v>
      </c>
      <c r="EX233" s="10" cm="1">
        <f t="array" aca="1" ref="EX233" ca="1">(1-$B$18)*SUMPRODUCT(OFFSET($BO$15,0,0,$B$14,1), 1*(_xlfn._xlws.FILTER(OFFSET($O$15,0,$DN233,$B$8,1),OFFSET($M$15,0,0,$B$8,1))=EX$13), 1*(_xlfn._xlws.FILTER(OFFSET($O$15,0,$DO233,$B$8,1),OFFSET($M$15,0,0,$B$8,1))=EX$14))   /   SUM(OFFSET($BO$15,0,0,$B$14,1)) + $B$18/($B$19*$B$19*($DN233&lt;&gt;$DO233) + $B$19*($DN233=$DO233))</f>
        <v>3.7037037037037035E-4</v>
      </c>
      <c r="EY233" s="10" cm="1">
        <f t="array" aca="1" ref="EY233" ca="1">(1-$B$18)*SUMPRODUCT(OFFSET($BO$15,0,0,$B$14,1), 1*(_xlfn._xlws.FILTER(OFFSET($O$15,0,$DN233,$B$8,1),OFFSET($M$15,0,0,$B$8,1))=EY$13), 1*(_xlfn._xlws.FILTER(OFFSET($O$15,0,$DO233,$B$8,1),OFFSET($M$15,0,0,$B$8,1))=EY$14))   /   SUM(OFFSET($BO$15,0,0,$B$14,1)) + $B$18/($B$19*$B$19*($DN233&lt;&gt;$DO233) + $B$19*($DN233=$DO233))</f>
        <v>3.7037037037037035E-4</v>
      </c>
      <c r="EZ233" s="10" cm="1">
        <f t="array" aca="1" ref="EZ233" ca="1">(1-$B$18)*SUMPRODUCT(OFFSET($BO$15,0,0,$B$14,1), 1*(_xlfn._xlws.FILTER(OFFSET($O$15,0,$DN233,$B$8,1),OFFSET($M$15,0,0,$B$8,1))=EZ$13), 1*(_xlfn._xlws.FILTER(OFFSET($O$15,0,$DO233,$B$8,1),OFFSET($M$15,0,0,$B$8,1))=EZ$14))   /   SUM(OFFSET($BO$15,0,0,$B$14,1)) + $B$18/($B$19*$B$19*($DN233&lt;&gt;$DO233) + $B$19*($DN233=$DO233))</f>
        <v>3.7037037037037035E-4</v>
      </c>
      <c r="FA233" s="10" cm="1">
        <f t="array" aca="1" ref="FA233" ca="1">(1-$B$18)*SUMPRODUCT(OFFSET($BO$15,0,0,$B$14,1), 1*(_xlfn._xlws.FILTER(OFFSET($O$15,0,$DN233,$B$8,1),OFFSET($M$15,0,0,$B$8,1))=FA$13), 1*(_xlfn._xlws.FILTER(OFFSET($O$15,0,$DO233,$B$8,1),OFFSET($M$15,0,0,$B$8,1))=FA$14))   /   SUM(OFFSET($BO$15,0,0,$B$14,1)) + $B$18/($B$19*$B$19*($DN233&lt;&gt;$DO233) + $B$19*($DN233=$DO233))</f>
        <v>3.7037037037037035E-4</v>
      </c>
      <c r="FB233" s="10" cm="1">
        <f t="array" aca="1" ref="FB233" ca="1">(1-$B$18)*SUMPRODUCT(OFFSET($BO$15,0,0,$B$14,1), 1*(_xlfn._xlws.FILTER(OFFSET($O$15,0,$DN233,$B$8,1),OFFSET($M$15,0,0,$B$8,1))=FB$13), 1*(_xlfn._xlws.FILTER(OFFSET($O$15,0,$DO233,$B$8,1),OFFSET($M$15,0,0,$B$8,1))=FB$14))   /   SUM(OFFSET($BO$15,0,0,$B$14,1)) + $B$18/($B$19*$B$19*($DN233&lt;&gt;$DO233) + $B$19*($DN233=$DO233))</f>
        <v>3.7037037037037035E-4</v>
      </c>
      <c r="FC233" s="10" cm="1">
        <f t="array" aca="1" ref="FC233" ca="1">(1-$B$18)*SUMPRODUCT(OFFSET($BO$15,0,0,$B$14,1), 1*(_xlfn._xlws.FILTER(OFFSET($O$15,0,$DN233,$B$8,1),OFFSET($M$15,0,0,$B$8,1))=FC$13), 1*(_xlfn._xlws.FILTER(OFFSET($O$15,0,$DO233,$B$8,1),OFFSET($M$15,0,0,$B$8,1))=FC$14))   /   SUM(OFFSET($BO$15,0,0,$B$14,1)) + $B$18/($B$19*$B$19*($DN233&lt;&gt;$DO233) + $B$19*($DN233=$DO233))</f>
        <v>3.7037037037037035E-4</v>
      </c>
      <c r="FD233" s="10" cm="1">
        <f t="array" aca="1" ref="FD233" ca="1">(1-$B$18)*SUMPRODUCT(OFFSET($BO$15,0,0,$B$14,1), 1*(_xlfn._xlws.FILTER(OFFSET($O$15,0,$DN233,$B$8,1),OFFSET($M$15,0,0,$B$8,1))=FD$13), 1*(_xlfn._xlws.FILTER(OFFSET($O$15,0,$DO233,$B$8,1),OFFSET($M$15,0,0,$B$8,1))=FD$14))   /   SUM(OFFSET($BO$15,0,0,$B$14,1)) + $B$18/($B$19*$B$19*($DN233&lt;&gt;$DO233) + $B$19*($DN233=$DO233))</f>
        <v>3.7037037037037035E-4</v>
      </c>
      <c r="FE233" s="10" cm="1">
        <f t="array" aca="1" ref="FE233" ca="1">(1-$B$18)*SUMPRODUCT(OFFSET($BO$15,0,0,$B$14,1), 1*(_xlfn._xlws.FILTER(OFFSET($O$15,0,$DN233,$B$8,1),OFFSET($M$15,0,0,$B$8,1))=FE$13), 1*(_xlfn._xlws.FILTER(OFFSET($O$15,0,$DO233,$B$8,1),OFFSET($M$15,0,0,$B$8,1))=FE$14))   /   SUM(OFFSET($BO$15,0,0,$B$14,1)) + $B$18/($B$19*$B$19*($DN233&lt;&gt;$DO233) + $B$19*($DN233=$DO233))</f>
        <v>3.7037037037037035E-4</v>
      </c>
      <c r="FF233" s="10" cm="1">
        <f t="array" aca="1" ref="FF233" ca="1">(1-$B$18)*SUMPRODUCT(OFFSET($BO$15,0,0,$B$14,1), 1*(_xlfn._xlws.FILTER(OFFSET($O$15,0,$DN233,$B$8,1),OFFSET($M$15,0,0,$B$8,1))=FF$13), 1*(_xlfn._xlws.FILTER(OFFSET($O$15,0,$DO233,$B$8,1),OFFSET($M$15,0,0,$B$8,1))=FF$14))   /   SUM(OFFSET($BO$15,0,0,$B$14,1)) + $B$18/($B$19*$B$19*($DN233&lt;&gt;$DO233) + $B$19*($DN233=$DO233))</f>
        <v>3.7037037037037035E-4</v>
      </c>
      <c r="FG233" s="10" cm="1">
        <f t="array" aca="1" ref="FG233" ca="1">(1-$B$18)*SUMPRODUCT(OFFSET($BO$15,0,0,$B$14,1), 1*(_xlfn._xlws.FILTER(OFFSET($O$15,0,$DN233,$B$8,1),OFFSET($M$15,0,0,$B$8,1))=FG$13), 1*(_xlfn._xlws.FILTER(OFFSET($O$15,0,$DO233,$B$8,1),OFFSET($M$15,0,0,$B$8,1))=FG$14))   /   SUM(OFFSET($BO$15,0,0,$B$14,1)) + $B$18/($B$19*$B$19*($DN233&lt;&gt;$DO233) + $B$19*($DN233=$DO233))</f>
        <v>3.7037037037037035E-4</v>
      </c>
      <c r="FH233" s="10" cm="1">
        <f t="array" aca="1" ref="FH233" ca="1">(1-$B$18)*SUMPRODUCT(OFFSET($BO$15,0,0,$B$14,1), 1*(_xlfn._xlws.FILTER(OFFSET($O$15,0,$DN233,$B$8,1),OFFSET($M$15,0,0,$B$8,1))=FH$13), 1*(_xlfn._xlws.FILTER(OFFSET($O$15,0,$DO233,$B$8,1),OFFSET($M$15,0,0,$B$8,1))=FH$14))   /   SUM(OFFSET($BO$15,0,0,$B$14,1)) + $B$18/($B$19*$B$19*($DN233&lt;&gt;$DO233) + $B$19*($DN233=$DO233))</f>
        <v>3.7037037037037035E-4</v>
      </c>
      <c r="FI233" s="10" cm="1">
        <f t="array" aca="1" ref="FI233" ca="1">(1-$B$18)*SUMPRODUCT(OFFSET($BO$15,0,0,$B$14,1), 1*(_xlfn._xlws.FILTER(OFFSET($O$15,0,$DN233,$B$8,1),OFFSET($M$15,0,0,$B$8,1))=FI$13), 1*(_xlfn._xlws.FILTER(OFFSET($O$15,0,$DO233,$B$8,1),OFFSET($M$15,0,0,$B$8,1))=FI$14))   /   SUM(OFFSET($BO$15,0,0,$B$14,1)) + $B$18/($B$19*$B$19*($DN233&lt;&gt;$DO233) + $B$19*($DN233=$DO233))</f>
        <v>3.7037037037037035E-4</v>
      </c>
      <c r="FJ233" s="10" cm="1">
        <f t="array" aca="1" ref="FJ233" ca="1">(1-$B$18)*SUMPRODUCT(OFFSET($BO$15,0,0,$B$14,1), 1*(_xlfn._xlws.FILTER(OFFSET($O$15,0,$DN233,$B$8,1),OFFSET($M$15,0,0,$B$8,1))=FJ$13), 1*(_xlfn._xlws.FILTER(OFFSET($O$15,0,$DO233,$B$8,1),OFFSET($M$15,0,0,$B$8,1))=FJ$14))   /   SUM(OFFSET($BO$15,0,0,$B$14,1)) + $B$18/($B$19*$B$19*($DN233&lt;&gt;$DO233) + $B$19*($DN233=$DO233))</f>
        <v>3.7037037037037035E-4</v>
      </c>
      <c r="FK233" s="10" cm="1">
        <f t="array" aca="1" ref="FK233" ca="1">(1-$B$18)*SUMPRODUCT(OFFSET($BO$15,0,0,$B$14,1), 1*(_xlfn._xlws.FILTER(OFFSET($O$15,0,$DN233,$B$8,1),OFFSET($M$15,0,0,$B$8,1))=FK$13), 1*(_xlfn._xlws.FILTER(OFFSET($O$15,0,$DO233,$B$8,1),OFFSET($M$15,0,0,$B$8,1))=FK$14))   /   SUM(OFFSET($BO$15,0,0,$B$14,1)) + $B$18/($B$19*$B$19*($DN233&lt;&gt;$DO233) + $B$19*($DN233=$DO233))</f>
        <v>3.7037037037037035E-4</v>
      </c>
      <c r="FL233" s="10" cm="1">
        <f t="array" aca="1" ref="FL233" ca="1">(1-$B$18)*SUMPRODUCT(OFFSET($BO$15,0,0,$B$14,1), 1*(_xlfn._xlws.FILTER(OFFSET($O$15,0,$DN233,$B$8,1),OFFSET($M$15,0,0,$B$8,1))=FL$13), 1*(_xlfn._xlws.FILTER(OFFSET($O$15,0,$DO233,$B$8,1),OFFSET($M$15,0,0,$B$8,1))=FL$14))   /   SUM(OFFSET($BO$15,0,0,$B$14,1)) + $B$18/($B$19*$B$19*($DN233&lt;&gt;$DO233) + $B$19*($DN233=$DO233))</f>
        <v>3.7037037037037035E-4</v>
      </c>
      <c r="FM233" s="10" cm="1">
        <f t="array" aca="1" ref="FM233" ca="1">(1-$B$18)*SUMPRODUCT(OFFSET($BO$15,0,0,$B$14,1), 1*(_xlfn._xlws.FILTER(OFFSET($O$15,0,$DN233,$B$8,1),OFFSET($M$15,0,0,$B$8,1))=FM$13), 1*(_xlfn._xlws.FILTER(OFFSET($O$15,0,$DO233,$B$8,1),OFFSET($M$15,0,0,$B$8,1))=FM$14))   /   SUM(OFFSET($BO$15,0,0,$B$14,1)) + $B$18/($B$19*$B$19*($DN233&lt;&gt;$DO233) + $B$19*($DN233=$DO233))</f>
        <v>3.7037037037037035E-4</v>
      </c>
      <c r="FN233" s="10" cm="1">
        <f t="array" aca="1" ref="FN233" ca="1">(1-$B$18)*SUMPRODUCT(OFFSET($BO$15,0,0,$B$14,1), 1*(_xlfn._xlws.FILTER(OFFSET($O$15,0,$DN233,$B$8,1),OFFSET($M$15,0,0,$B$8,1))=FN$13), 1*(_xlfn._xlws.FILTER(OFFSET($O$15,0,$DO233,$B$8,1),OFFSET($M$15,0,0,$B$8,1))=FN$14))   /   SUM(OFFSET($BO$15,0,0,$B$14,1)) + $B$18/($B$19*$B$19*($DN233&lt;&gt;$DO233) + $B$19*($DN233=$DO233))</f>
        <v>3.7037037037037035E-4</v>
      </c>
      <c r="FO233" s="10" cm="1">
        <f t="array" aca="1" ref="FO233" ca="1">(1-$B$18)*SUMPRODUCT(OFFSET($BO$15,0,0,$B$14,1), 1*(_xlfn._xlws.FILTER(OFFSET($O$15,0,$DN233,$B$8,1),OFFSET($M$15,0,0,$B$8,1))=FO$13), 1*(_xlfn._xlws.FILTER(OFFSET($O$15,0,$DO233,$B$8,1),OFFSET($M$15,0,0,$B$8,1))=FO$14))   /   SUM(OFFSET($BO$15,0,0,$B$14,1)) + $B$18/($B$19*$B$19*($DN233&lt;&gt;$DO233) + $B$19*($DN233=$DO233))</f>
        <v>3.7037037037037035E-4</v>
      </c>
      <c r="FP233" s="10" cm="1">
        <f t="array" aca="1" ref="FP233" ca="1">(1-$B$18)*SUMPRODUCT(OFFSET($BO$15,0,0,$B$14,1), 1*(_xlfn._xlws.FILTER(OFFSET($O$15,0,$DN233,$B$8,1),OFFSET($M$15,0,0,$B$8,1))=FP$13), 1*(_xlfn._xlws.FILTER(OFFSET($O$15,0,$DO233,$B$8,1),OFFSET($M$15,0,0,$B$8,1))=FP$14))   /   SUM(OFFSET($BO$15,0,0,$B$14,1)) + $B$18/($B$19*$B$19*($DN233&lt;&gt;$DO233) + $B$19*($DN233=$DO233))</f>
        <v>3.7037037037037035E-4</v>
      </c>
      <c r="FQ233" s="10" cm="1">
        <f t="array" aca="1" ref="FQ233" ca="1">(1-$B$18)*SUMPRODUCT(OFFSET($BO$15,0,0,$B$14,1), 1*(_xlfn._xlws.FILTER(OFFSET($O$15,0,$DN233,$B$8,1),OFFSET($M$15,0,0,$B$8,1))=FQ$13), 1*(_xlfn._xlws.FILTER(OFFSET($O$15,0,$DO233,$B$8,1),OFFSET($M$15,0,0,$B$8,1))=FQ$14))   /   SUM(OFFSET($BO$15,0,0,$B$14,1)) + $B$18/($B$19*$B$19*($DN233&lt;&gt;$DO233) + $B$19*($DN233=$DO233))</f>
        <v>3.7037037037037035E-4</v>
      </c>
      <c r="FR233" s="10" cm="1">
        <f t="array" aca="1" ref="FR233" ca="1">(1-$B$18)*SUMPRODUCT(OFFSET($BO$15,0,0,$B$14,1), 1*(_xlfn._xlws.FILTER(OFFSET($O$15,0,$DN233,$B$8,1),OFFSET($M$15,0,0,$B$8,1))=FR$13), 1*(_xlfn._xlws.FILTER(OFFSET($O$15,0,$DO233,$B$8,1),OFFSET($M$15,0,0,$B$8,1))=FR$14))   /   SUM(OFFSET($BO$15,0,0,$B$14,1)) + $B$18/($B$19*$B$19*($DN233&lt;&gt;$DO233) + $B$19*($DN233=$DO233))</f>
        <v>3.7037037037037035E-4</v>
      </c>
      <c r="FS233" s="10" cm="1">
        <f t="array" aca="1" ref="FS233" ca="1">(1-$B$18)*SUMPRODUCT(OFFSET($BO$15,0,0,$B$14,1), 1*(_xlfn._xlws.FILTER(OFFSET($O$15,0,$DN233,$B$8,1),OFFSET($M$15,0,0,$B$8,1))=FS$13), 1*(_xlfn._xlws.FILTER(OFFSET($O$15,0,$DO233,$B$8,1),OFFSET($M$15,0,0,$B$8,1))=FS$14))   /   SUM(OFFSET($BO$15,0,0,$B$14,1)) + $B$18/($B$19*$B$19*($DN233&lt;&gt;$DO233) + $B$19*($DN233=$DO233))</f>
        <v>3.7037037037037035E-4</v>
      </c>
      <c r="FT233" s="10" cm="1">
        <f t="array" aca="1" ref="FT233" ca="1">(1-$B$18)*SUMPRODUCT(OFFSET($BO$15,0,0,$B$14,1), 1*(_xlfn._xlws.FILTER(OFFSET($O$15,0,$DN233,$B$8,1),OFFSET($M$15,0,0,$B$8,1))=FT$13), 1*(_xlfn._xlws.FILTER(OFFSET($O$15,0,$DO233,$B$8,1),OFFSET($M$15,0,0,$B$8,1))=FT$14))   /   SUM(OFFSET($BO$15,0,0,$B$14,1)) + $B$18/($B$19*$B$19*($DN233&lt;&gt;$DO233) + $B$19*($DN233=$DO233))</f>
        <v>3.7037037037037035E-4</v>
      </c>
      <c r="FU233" s="10" cm="1">
        <f t="array" aca="1" ref="FU233" ca="1">(1-$B$18)*SUMPRODUCT(OFFSET($BO$15,0,0,$B$14,1), 1*(_xlfn._xlws.FILTER(OFFSET($O$15,0,$DN233,$B$8,1),OFFSET($M$15,0,0,$B$8,1))=FU$13), 1*(_xlfn._xlws.FILTER(OFFSET($O$15,0,$DO233,$B$8,1),OFFSET($M$15,0,0,$B$8,1))=FU$14))   /   SUM(OFFSET($BO$15,0,0,$B$14,1)) + $B$18/($B$19*$B$19*($DN233&lt;&gt;$DO233) + $B$19*($DN233=$DO233))</f>
        <v>3.7037037037037035E-4</v>
      </c>
      <c r="FV233" s="10" cm="1">
        <f t="array" aca="1" ref="FV233" ca="1">(1-$B$18)*SUMPRODUCT(OFFSET($BO$15,0,0,$B$14,1), 1*(_xlfn._xlws.FILTER(OFFSET($O$15,0,$DN233,$B$8,1),OFFSET($M$15,0,0,$B$8,1))=FV$13), 1*(_xlfn._xlws.FILTER(OFFSET($O$15,0,$DO233,$B$8,1),OFFSET($M$15,0,0,$B$8,1))=FV$14))   /   SUM(OFFSET($BO$15,0,0,$B$14,1)) + $B$18/($B$19*$B$19*($DN233&lt;&gt;$DO233) + $B$19*($DN233=$DO233))</f>
        <v>3.7037037037037035E-4</v>
      </c>
      <c r="FW233" s="10" cm="1">
        <f t="array" aca="1" ref="FW233" ca="1">(1-$B$18)*SUMPRODUCT(OFFSET($BO$15,0,0,$B$14,1), 1*(_xlfn._xlws.FILTER(OFFSET($O$15,0,$DN233,$B$8,1),OFFSET($M$15,0,0,$B$8,1))=FW$13), 1*(_xlfn._xlws.FILTER(OFFSET($O$15,0,$DO233,$B$8,1),OFFSET($M$15,0,0,$B$8,1))=FW$14))   /   SUM(OFFSET($BO$15,0,0,$B$14,1)) + $B$18/($B$19*$B$19*($DN233&lt;&gt;$DO233) + $B$19*($DN233=$DO233))</f>
        <v>3.7037037037037035E-4</v>
      </c>
      <c r="FX233" s="10" cm="1">
        <f t="array" aca="1" ref="FX233" ca="1">(1-$B$18)*SUMPRODUCT(OFFSET($BO$15,0,0,$B$14,1), 1*(_xlfn._xlws.FILTER(OFFSET($O$15,0,$DN233,$B$8,1),OFFSET($M$15,0,0,$B$8,1))=FX$13), 1*(_xlfn._xlws.FILTER(OFFSET($O$15,0,$DO233,$B$8,1),OFFSET($M$15,0,0,$B$8,1))=FX$14))   /   SUM(OFFSET($BO$15,0,0,$B$14,1)) + $B$18/($B$19*$B$19*($DN233&lt;&gt;$DO233) + $B$19*($DN233=$DO233))</f>
        <v>3.7037037037037035E-4</v>
      </c>
      <c r="FY233" s="10" cm="1">
        <f t="array" aca="1" ref="FY233" ca="1">(1-$B$18)*SUMPRODUCT(OFFSET($BO$15,0,0,$B$14,1), 1*(_xlfn._xlws.FILTER(OFFSET($O$15,0,$DN233,$B$8,1),OFFSET($M$15,0,0,$B$8,1))=FY$13), 1*(_xlfn._xlws.FILTER(OFFSET($O$15,0,$DO233,$B$8,1),OFFSET($M$15,0,0,$B$8,1))=FY$14))   /   SUM(OFFSET($BO$15,0,0,$B$14,1)) + $B$18/($B$19*$B$19*($DN233&lt;&gt;$DO233) + $B$19*($DN233=$DO233))</f>
        <v>3.7037037037037035E-4</v>
      </c>
      <c r="FZ233" s="10" cm="1">
        <f t="array" aca="1" ref="FZ233" ca="1">(1-$B$18)*SUMPRODUCT(OFFSET($BO$15,0,0,$B$14,1), 1*(_xlfn._xlws.FILTER(OFFSET($O$15,0,$DN233,$B$8,1),OFFSET($M$15,0,0,$B$8,1))=FZ$13), 1*(_xlfn._xlws.FILTER(OFFSET($O$15,0,$DO233,$B$8,1),OFFSET($M$15,0,0,$B$8,1))=FZ$14))   /   SUM(OFFSET($BO$15,0,0,$B$14,1)) + $B$18/($B$19*$B$19*($DN233&lt;&gt;$DO233) + $B$19*($DN233=$DO233))</f>
        <v>3.7037037037037035E-4</v>
      </c>
      <c r="GA233" s="10" cm="1">
        <f t="array" aca="1" ref="GA233" ca="1">(1-$B$18)*SUMPRODUCT(OFFSET($BO$15,0,0,$B$14,1), 1*(_xlfn._xlws.FILTER(OFFSET($O$15,0,$DN233,$B$8,1),OFFSET($M$15,0,0,$B$8,1))=GA$13), 1*(_xlfn._xlws.FILTER(OFFSET($O$15,0,$DO233,$B$8,1),OFFSET($M$15,0,0,$B$8,1))=GA$14))   /   SUM(OFFSET($BO$15,0,0,$B$14,1)) + $B$18/($B$19*$B$19*($DN233&lt;&gt;$DO233) + $B$19*($DN233=$DO233))</f>
        <v>3.7037037037037035E-4</v>
      </c>
    </row>
    <row r="234" spans="118:183" x14ac:dyDescent="0.2">
      <c r="DN234" cm="1">
        <f t="array" aca="1" ref="DN234" ca="1">INDEX(_xlfn.ANCHORARRAY($CP$15), 1 + INT((ROWS($DO$15:$DO234) - 1) / ROWS(_xlfn.ANCHORARRAY($CP$15))))</f>
        <v>12</v>
      </c>
      <c r="DO234" cm="1">
        <f t="array" aca="1" ref="DO234" ca="1">INDEX(_xlfn.ANCHORARRAY($CP$15),1+MOD(ROWS($DO$15:$DO234)-1,ROWS(_xlfn.ANCHORARRAY($CP$15))))</f>
        <v>11</v>
      </c>
      <c r="DP234" s="10" cm="1">
        <f t="array" aca="1" ref="DP234" ca="1">(1-$B$18)*SUMPRODUCT(OFFSET($BO$15,0,0,$B$14,1), 1*(_xlfn._xlws.FILTER(OFFSET($O$15,0,$DN234,$B$8,1),OFFSET($M$15,0,0,$B$8,1))=DP$13), 1*(_xlfn._xlws.FILTER(OFFSET($O$15,0,$DO234,$B$8,1),OFFSET($M$15,0,0,$B$8,1))=DP$14))   /   SUM(OFFSET($BO$15,0,0,$B$14,1)) + $B$18/($B$19*$B$19*($DN234&lt;&gt;$DO234) + $B$19*($DN234=$DO234))</f>
        <v>3.7037037037037035E-4</v>
      </c>
      <c r="DQ234" s="10" cm="1">
        <f t="array" aca="1" ref="DQ234" ca="1">(1-$B$18)*SUMPRODUCT(OFFSET($BO$15,0,0,$B$14,1), 1*(_xlfn._xlws.FILTER(OFFSET($O$15,0,$DN234,$B$8,1),OFFSET($M$15,0,0,$B$8,1))=DQ$13), 1*(_xlfn._xlws.FILTER(OFFSET($O$15,0,$DO234,$B$8,1),OFFSET($M$15,0,0,$B$8,1))=DQ$14))   /   SUM(OFFSET($BO$15,0,0,$B$14,1)) + $B$18/($B$19*$B$19*($DN234&lt;&gt;$DO234) + $B$19*($DN234=$DO234))</f>
        <v>3.7037037037037035E-4</v>
      </c>
      <c r="DR234" s="10" cm="1">
        <f t="array" aca="1" ref="DR234" ca="1">(1-$B$18)*SUMPRODUCT(OFFSET($BO$15,0,0,$B$14,1), 1*(_xlfn._xlws.FILTER(OFFSET($O$15,0,$DN234,$B$8,1),OFFSET($M$15,0,0,$B$8,1))=DR$13), 1*(_xlfn._xlws.FILTER(OFFSET($O$15,0,$DO234,$B$8,1),OFFSET($M$15,0,0,$B$8,1))=DR$14))   /   SUM(OFFSET($BO$15,0,0,$B$14,1)) + $B$18/($B$19*$B$19*($DN234&lt;&gt;$DO234) + $B$19*($DN234=$DO234))</f>
        <v>3.7037037037037035E-4</v>
      </c>
      <c r="DS234" s="10" cm="1">
        <f t="array" aca="1" ref="DS234" ca="1">(1-$B$18)*SUMPRODUCT(OFFSET($BO$15,0,0,$B$14,1), 1*(_xlfn._xlws.FILTER(OFFSET($O$15,0,$DN234,$B$8,1),OFFSET($M$15,0,0,$B$8,1))=DS$13), 1*(_xlfn._xlws.FILTER(OFFSET($O$15,0,$DO234,$B$8,1),OFFSET($M$15,0,0,$B$8,1))=DS$14))   /   SUM(OFFSET($BO$15,0,0,$B$14,1)) + $B$18/($B$19*$B$19*($DN234&lt;&gt;$DO234) + $B$19*($DN234=$DO234))</f>
        <v>3.7037037037037035E-4</v>
      </c>
      <c r="DT234" s="10" cm="1">
        <f t="array" aca="1" ref="DT234" ca="1">(1-$B$18)*SUMPRODUCT(OFFSET($BO$15,0,0,$B$14,1), 1*(_xlfn._xlws.FILTER(OFFSET($O$15,0,$DN234,$B$8,1),OFFSET($M$15,0,0,$B$8,1))=DT$13), 1*(_xlfn._xlws.FILTER(OFFSET($O$15,0,$DO234,$B$8,1),OFFSET($M$15,0,0,$B$8,1))=DT$14))   /   SUM(OFFSET($BO$15,0,0,$B$14,1)) + $B$18/($B$19*$B$19*($DN234&lt;&gt;$DO234) + $B$19*($DN234=$DO234))</f>
        <v>3.7037037037037035E-4</v>
      </c>
      <c r="DU234" s="10" cm="1">
        <f t="array" aca="1" ref="DU234" ca="1">(1-$B$18)*SUMPRODUCT(OFFSET($BO$15,0,0,$B$14,1), 1*(_xlfn._xlws.FILTER(OFFSET($O$15,0,$DN234,$B$8,1),OFFSET($M$15,0,0,$B$8,1))=DU$13), 1*(_xlfn._xlws.FILTER(OFFSET($O$15,0,$DO234,$B$8,1),OFFSET($M$15,0,0,$B$8,1))=DU$14))   /   SUM(OFFSET($BO$15,0,0,$B$14,1)) + $B$18/($B$19*$B$19*($DN234&lt;&gt;$DO234) + $B$19*($DN234=$DO234))</f>
        <v>3.7037037037037035E-4</v>
      </c>
      <c r="DV234" s="10" cm="1">
        <f t="array" aca="1" ref="DV234" ca="1">(1-$B$18)*SUMPRODUCT(OFFSET($BO$15,0,0,$B$14,1), 1*(_xlfn._xlws.FILTER(OFFSET($O$15,0,$DN234,$B$8,1),OFFSET($M$15,0,0,$B$8,1))=DV$13), 1*(_xlfn._xlws.FILTER(OFFSET($O$15,0,$DO234,$B$8,1),OFFSET($M$15,0,0,$B$8,1))=DV$14))   /   SUM(OFFSET($BO$15,0,0,$B$14,1)) + $B$18/($B$19*$B$19*($DN234&lt;&gt;$DO234) + $B$19*($DN234=$DO234))</f>
        <v>3.7037037037037035E-4</v>
      </c>
      <c r="DW234" s="10" cm="1">
        <f t="array" aca="1" ref="DW234" ca="1">(1-$B$18)*SUMPRODUCT(OFFSET($BO$15,0,0,$B$14,1), 1*(_xlfn._xlws.FILTER(OFFSET($O$15,0,$DN234,$B$8,1),OFFSET($M$15,0,0,$B$8,1))=DW$13), 1*(_xlfn._xlws.FILTER(OFFSET($O$15,0,$DO234,$B$8,1),OFFSET($M$15,0,0,$B$8,1))=DW$14))   /   SUM(OFFSET($BO$15,0,0,$B$14,1)) + $B$18/($B$19*$B$19*($DN234&lt;&gt;$DO234) + $B$19*($DN234=$DO234))</f>
        <v>3.7037037037037035E-4</v>
      </c>
      <c r="DX234" s="10" cm="1">
        <f t="array" aca="1" ref="DX234" ca="1">(1-$B$18)*SUMPRODUCT(OFFSET($BO$15,0,0,$B$14,1), 1*(_xlfn._xlws.FILTER(OFFSET($O$15,0,$DN234,$B$8,1),OFFSET($M$15,0,0,$B$8,1))=DX$13), 1*(_xlfn._xlws.FILTER(OFFSET($O$15,0,$DO234,$B$8,1),OFFSET($M$15,0,0,$B$8,1))=DX$14))   /   SUM(OFFSET($BO$15,0,0,$B$14,1)) + $B$18/($B$19*$B$19*($DN234&lt;&gt;$DO234) + $B$19*($DN234=$DO234))</f>
        <v>0.48537037037037034</v>
      </c>
      <c r="DY234" s="10" cm="1">
        <f t="array" aca="1" ref="DY234" ca="1">(1-$B$18)*SUMPRODUCT(OFFSET($BO$15,0,0,$B$14,1), 1*(_xlfn._xlws.FILTER(OFFSET($O$15,0,$DN234,$B$8,1),OFFSET($M$15,0,0,$B$8,1))=DY$13), 1*(_xlfn._xlws.FILTER(OFFSET($O$15,0,$DO234,$B$8,1),OFFSET($M$15,0,0,$B$8,1))=DY$14))   /   SUM(OFFSET($BO$15,0,0,$B$14,1)) + $B$18/($B$19*$B$19*($DN234&lt;&gt;$DO234) + $B$19*($DN234=$DO234))</f>
        <v>3.7037037037037035E-4</v>
      </c>
      <c r="DZ234" s="10" cm="1">
        <f t="array" aca="1" ref="DZ234" ca="1">(1-$B$18)*SUMPRODUCT(OFFSET($BO$15,0,0,$B$14,1), 1*(_xlfn._xlws.FILTER(OFFSET($O$15,0,$DN234,$B$8,1),OFFSET($M$15,0,0,$B$8,1))=DZ$13), 1*(_xlfn._xlws.FILTER(OFFSET($O$15,0,$DO234,$B$8,1),OFFSET($M$15,0,0,$B$8,1))=DZ$14))   /   SUM(OFFSET($BO$15,0,0,$B$14,1)) + $B$18/($B$19*$B$19*($DN234&lt;&gt;$DO234) + $B$19*($DN234=$DO234))</f>
        <v>0.24287037037037026</v>
      </c>
      <c r="EA234" s="10" cm="1">
        <f t="array" aca="1" ref="EA234" ca="1">(1-$B$18)*SUMPRODUCT(OFFSET($BO$15,0,0,$B$14,1), 1*(_xlfn._xlws.FILTER(OFFSET($O$15,0,$DN234,$B$8,1),OFFSET($M$15,0,0,$B$8,1))=EA$13), 1*(_xlfn._xlws.FILTER(OFFSET($O$15,0,$DO234,$B$8,1),OFFSET($M$15,0,0,$B$8,1))=EA$14))   /   SUM(OFFSET($BO$15,0,0,$B$14,1)) + $B$18/($B$19*$B$19*($DN234&lt;&gt;$DO234) + $B$19*($DN234=$DO234))</f>
        <v>0.24287037037037026</v>
      </c>
      <c r="EB234" s="10" cm="1">
        <f t="array" aca="1" ref="EB234" ca="1">(1-$B$18)*SUMPRODUCT(OFFSET($BO$15,0,0,$B$14,1), 1*(_xlfn._xlws.FILTER(OFFSET($O$15,0,$DN234,$B$8,1),OFFSET($M$15,0,0,$B$8,1))=EB$13), 1*(_xlfn._xlws.FILTER(OFFSET($O$15,0,$DO234,$B$8,1),OFFSET($M$15,0,0,$B$8,1))=EB$14))   /   SUM(OFFSET($BO$15,0,0,$B$14,1)) + $B$18/($B$19*$B$19*($DN234&lt;&gt;$DO234) + $B$19*($DN234=$DO234))</f>
        <v>3.7037037037037035E-4</v>
      </c>
      <c r="EC234" s="10" cm="1">
        <f t="array" aca="1" ref="EC234" ca="1">(1-$B$18)*SUMPRODUCT(OFFSET($BO$15,0,0,$B$14,1), 1*(_xlfn._xlws.FILTER(OFFSET($O$15,0,$DN234,$B$8,1),OFFSET($M$15,0,0,$B$8,1))=EC$13), 1*(_xlfn._xlws.FILTER(OFFSET($O$15,0,$DO234,$B$8,1),OFFSET($M$15,0,0,$B$8,1))=EC$14))   /   SUM(OFFSET($BO$15,0,0,$B$14,1)) + $B$18/($B$19*$B$19*($DN234&lt;&gt;$DO234) + $B$19*($DN234=$DO234))</f>
        <v>3.7037037037037035E-4</v>
      </c>
      <c r="ED234" s="10" cm="1">
        <f t="array" aca="1" ref="ED234" ca="1">(1-$B$18)*SUMPRODUCT(OFFSET($BO$15,0,0,$B$14,1), 1*(_xlfn._xlws.FILTER(OFFSET($O$15,0,$DN234,$B$8,1),OFFSET($M$15,0,0,$B$8,1))=ED$13), 1*(_xlfn._xlws.FILTER(OFFSET($O$15,0,$DO234,$B$8,1),OFFSET($M$15,0,0,$B$8,1))=ED$14))   /   SUM(OFFSET($BO$15,0,0,$B$14,1)) + $B$18/($B$19*$B$19*($DN234&lt;&gt;$DO234) + $B$19*($DN234=$DO234))</f>
        <v>3.7037037037037035E-4</v>
      </c>
      <c r="EE234" s="10" cm="1">
        <f t="array" aca="1" ref="EE234" ca="1">(1-$B$18)*SUMPRODUCT(OFFSET($BO$15,0,0,$B$14,1), 1*(_xlfn._xlws.FILTER(OFFSET($O$15,0,$DN234,$B$8,1),OFFSET($M$15,0,0,$B$8,1))=EE$13), 1*(_xlfn._xlws.FILTER(OFFSET($O$15,0,$DO234,$B$8,1),OFFSET($M$15,0,0,$B$8,1))=EE$14))   /   SUM(OFFSET($BO$15,0,0,$B$14,1)) + $B$18/($B$19*$B$19*($DN234&lt;&gt;$DO234) + $B$19*($DN234=$DO234))</f>
        <v>3.7037037037037035E-4</v>
      </c>
      <c r="EF234" s="10" cm="1">
        <f t="array" aca="1" ref="EF234" ca="1">(1-$B$18)*SUMPRODUCT(OFFSET($BO$15,0,0,$B$14,1), 1*(_xlfn._xlws.FILTER(OFFSET($O$15,0,$DN234,$B$8,1),OFFSET($M$15,0,0,$B$8,1))=EF$13), 1*(_xlfn._xlws.FILTER(OFFSET($O$15,0,$DO234,$B$8,1),OFFSET($M$15,0,0,$B$8,1))=EF$14))   /   SUM(OFFSET($BO$15,0,0,$B$14,1)) + $B$18/($B$19*$B$19*($DN234&lt;&gt;$DO234) + $B$19*($DN234=$DO234))</f>
        <v>3.7037037037037035E-4</v>
      </c>
      <c r="EG234" s="10" cm="1">
        <f t="array" aca="1" ref="EG234" ca="1">(1-$B$18)*SUMPRODUCT(OFFSET($BO$15,0,0,$B$14,1), 1*(_xlfn._xlws.FILTER(OFFSET($O$15,0,$DN234,$B$8,1),OFFSET($M$15,0,0,$B$8,1))=EG$13), 1*(_xlfn._xlws.FILTER(OFFSET($O$15,0,$DO234,$B$8,1),OFFSET($M$15,0,0,$B$8,1))=EG$14))   /   SUM(OFFSET($BO$15,0,0,$B$14,1)) + $B$18/($B$19*$B$19*($DN234&lt;&gt;$DO234) + $B$19*($DN234=$DO234))</f>
        <v>3.7037037037037035E-4</v>
      </c>
      <c r="EH234" s="10" cm="1">
        <f t="array" aca="1" ref="EH234" ca="1">(1-$B$18)*SUMPRODUCT(OFFSET($BO$15,0,0,$B$14,1), 1*(_xlfn._xlws.FILTER(OFFSET($O$15,0,$DN234,$B$8,1),OFFSET($M$15,0,0,$B$8,1))=EH$13), 1*(_xlfn._xlws.FILTER(OFFSET($O$15,0,$DO234,$B$8,1),OFFSET($M$15,0,0,$B$8,1))=EH$14))   /   SUM(OFFSET($BO$15,0,0,$B$14,1)) + $B$18/($B$19*$B$19*($DN234&lt;&gt;$DO234) + $B$19*($DN234=$DO234))</f>
        <v>3.7037037037037035E-4</v>
      </c>
      <c r="EI234" s="10" cm="1">
        <f t="array" aca="1" ref="EI234" ca="1">(1-$B$18)*SUMPRODUCT(OFFSET($BO$15,0,0,$B$14,1), 1*(_xlfn._xlws.FILTER(OFFSET($O$15,0,$DN234,$B$8,1),OFFSET($M$15,0,0,$B$8,1))=EI$13), 1*(_xlfn._xlws.FILTER(OFFSET($O$15,0,$DO234,$B$8,1),OFFSET($M$15,0,0,$B$8,1))=EI$14))   /   SUM(OFFSET($BO$15,0,0,$B$14,1)) + $B$18/($B$19*$B$19*($DN234&lt;&gt;$DO234) + $B$19*($DN234=$DO234))</f>
        <v>3.7037037037037035E-4</v>
      </c>
      <c r="EJ234" s="10" cm="1">
        <f t="array" aca="1" ref="EJ234" ca="1">(1-$B$18)*SUMPRODUCT(OFFSET($BO$15,0,0,$B$14,1), 1*(_xlfn._xlws.FILTER(OFFSET($O$15,0,$DN234,$B$8,1),OFFSET($M$15,0,0,$B$8,1))=EJ$13), 1*(_xlfn._xlws.FILTER(OFFSET($O$15,0,$DO234,$B$8,1),OFFSET($M$15,0,0,$B$8,1))=EJ$14))   /   SUM(OFFSET($BO$15,0,0,$B$14,1)) + $B$18/($B$19*$B$19*($DN234&lt;&gt;$DO234) + $B$19*($DN234=$DO234))</f>
        <v>3.7037037037037035E-4</v>
      </c>
      <c r="EK234" s="10" cm="1">
        <f t="array" aca="1" ref="EK234" ca="1">(1-$B$18)*SUMPRODUCT(OFFSET($BO$15,0,0,$B$14,1), 1*(_xlfn._xlws.FILTER(OFFSET($O$15,0,$DN234,$B$8,1),OFFSET($M$15,0,0,$B$8,1))=EK$13), 1*(_xlfn._xlws.FILTER(OFFSET($O$15,0,$DO234,$B$8,1),OFFSET($M$15,0,0,$B$8,1))=EK$14))   /   SUM(OFFSET($BO$15,0,0,$B$14,1)) + $B$18/($B$19*$B$19*($DN234&lt;&gt;$DO234) + $B$19*($DN234=$DO234))</f>
        <v>3.7037037037037035E-4</v>
      </c>
      <c r="EL234" s="10" cm="1">
        <f t="array" aca="1" ref="EL234" ca="1">(1-$B$18)*SUMPRODUCT(OFFSET($BO$15,0,0,$B$14,1), 1*(_xlfn._xlws.FILTER(OFFSET($O$15,0,$DN234,$B$8,1),OFFSET($M$15,0,0,$B$8,1))=EL$13), 1*(_xlfn._xlws.FILTER(OFFSET($O$15,0,$DO234,$B$8,1),OFFSET($M$15,0,0,$B$8,1))=EL$14))   /   SUM(OFFSET($BO$15,0,0,$B$14,1)) + $B$18/($B$19*$B$19*($DN234&lt;&gt;$DO234) + $B$19*($DN234=$DO234))</f>
        <v>3.7037037037037035E-4</v>
      </c>
      <c r="EM234" s="10" cm="1">
        <f t="array" aca="1" ref="EM234" ca="1">(1-$B$18)*SUMPRODUCT(OFFSET($BO$15,0,0,$B$14,1), 1*(_xlfn._xlws.FILTER(OFFSET($O$15,0,$DN234,$B$8,1),OFFSET($M$15,0,0,$B$8,1))=EM$13), 1*(_xlfn._xlws.FILTER(OFFSET($O$15,0,$DO234,$B$8,1),OFFSET($M$15,0,0,$B$8,1))=EM$14))   /   SUM(OFFSET($BO$15,0,0,$B$14,1)) + $B$18/($B$19*$B$19*($DN234&lt;&gt;$DO234) + $B$19*($DN234=$DO234))</f>
        <v>3.7037037037037035E-4</v>
      </c>
      <c r="EN234" s="10" cm="1">
        <f t="array" aca="1" ref="EN234" ca="1">(1-$B$18)*SUMPRODUCT(OFFSET($BO$15,0,0,$B$14,1), 1*(_xlfn._xlws.FILTER(OFFSET($O$15,0,$DN234,$B$8,1),OFFSET($M$15,0,0,$B$8,1))=EN$13), 1*(_xlfn._xlws.FILTER(OFFSET($O$15,0,$DO234,$B$8,1),OFFSET($M$15,0,0,$B$8,1))=EN$14))   /   SUM(OFFSET($BO$15,0,0,$B$14,1)) + $B$18/($B$19*$B$19*($DN234&lt;&gt;$DO234) + $B$19*($DN234=$DO234))</f>
        <v>3.7037037037037035E-4</v>
      </c>
      <c r="EO234" s="10" cm="1">
        <f t="array" aca="1" ref="EO234" ca="1">(1-$B$18)*SUMPRODUCT(OFFSET($BO$15,0,0,$B$14,1), 1*(_xlfn._xlws.FILTER(OFFSET($O$15,0,$DN234,$B$8,1),OFFSET($M$15,0,0,$B$8,1))=EO$13), 1*(_xlfn._xlws.FILTER(OFFSET($O$15,0,$DO234,$B$8,1),OFFSET($M$15,0,0,$B$8,1))=EO$14))   /   SUM(OFFSET($BO$15,0,0,$B$14,1)) + $B$18/($B$19*$B$19*($DN234&lt;&gt;$DO234) + $B$19*($DN234=$DO234))</f>
        <v>3.7037037037037035E-4</v>
      </c>
      <c r="EP234" s="10" cm="1">
        <f t="array" aca="1" ref="EP234" ca="1">(1-$B$18)*SUMPRODUCT(OFFSET($BO$15,0,0,$B$14,1), 1*(_xlfn._xlws.FILTER(OFFSET($O$15,0,$DN234,$B$8,1),OFFSET($M$15,0,0,$B$8,1))=EP$13), 1*(_xlfn._xlws.FILTER(OFFSET($O$15,0,$DO234,$B$8,1),OFFSET($M$15,0,0,$B$8,1))=EP$14))   /   SUM(OFFSET($BO$15,0,0,$B$14,1)) + $B$18/($B$19*$B$19*($DN234&lt;&gt;$DO234) + $B$19*($DN234=$DO234))</f>
        <v>3.7037037037037035E-4</v>
      </c>
      <c r="EQ234" s="10" cm="1">
        <f t="array" aca="1" ref="EQ234" ca="1">(1-$B$18)*SUMPRODUCT(OFFSET($BO$15,0,0,$B$14,1), 1*(_xlfn._xlws.FILTER(OFFSET($O$15,0,$DN234,$B$8,1),OFFSET($M$15,0,0,$B$8,1))=EQ$13), 1*(_xlfn._xlws.FILTER(OFFSET($O$15,0,$DO234,$B$8,1),OFFSET($M$15,0,0,$B$8,1))=EQ$14))   /   SUM(OFFSET($BO$15,0,0,$B$14,1)) + $B$18/($B$19*$B$19*($DN234&lt;&gt;$DO234) + $B$19*($DN234=$DO234))</f>
        <v>3.7037037037037035E-4</v>
      </c>
      <c r="ER234" s="10" cm="1">
        <f t="array" aca="1" ref="ER234" ca="1">(1-$B$18)*SUMPRODUCT(OFFSET($BO$15,0,0,$B$14,1), 1*(_xlfn._xlws.FILTER(OFFSET($O$15,0,$DN234,$B$8,1),OFFSET($M$15,0,0,$B$8,1))=ER$13), 1*(_xlfn._xlws.FILTER(OFFSET($O$15,0,$DO234,$B$8,1),OFFSET($M$15,0,0,$B$8,1))=ER$14))   /   SUM(OFFSET($BO$15,0,0,$B$14,1)) + $B$18/($B$19*$B$19*($DN234&lt;&gt;$DO234) + $B$19*($DN234=$DO234))</f>
        <v>3.7037037037037035E-4</v>
      </c>
      <c r="ES234" s="10" cm="1">
        <f t="array" aca="1" ref="ES234" ca="1">(1-$B$18)*SUMPRODUCT(OFFSET($BO$15,0,0,$B$14,1), 1*(_xlfn._xlws.FILTER(OFFSET($O$15,0,$DN234,$B$8,1),OFFSET($M$15,0,0,$B$8,1))=ES$13), 1*(_xlfn._xlws.FILTER(OFFSET($O$15,0,$DO234,$B$8,1),OFFSET($M$15,0,0,$B$8,1))=ES$14))   /   SUM(OFFSET($BO$15,0,0,$B$14,1)) + $B$18/($B$19*$B$19*($DN234&lt;&gt;$DO234) + $B$19*($DN234=$DO234))</f>
        <v>3.7037037037037035E-4</v>
      </c>
      <c r="ET234" s="10" cm="1">
        <f t="array" aca="1" ref="ET234" ca="1">(1-$B$18)*SUMPRODUCT(OFFSET($BO$15,0,0,$B$14,1), 1*(_xlfn._xlws.FILTER(OFFSET($O$15,0,$DN234,$B$8,1),OFFSET($M$15,0,0,$B$8,1))=ET$13), 1*(_xlfn._xlws.FILTER(OFFSET($O$15,0,$DO234,$B$8,1),OFFSET($M$15,0,0,$B$8,1))=ET$14))   /   SUM(OFFSET($BO$15,0,0,$B$14,1)) + $B$18/($B$19*$B$19*($DN234&lt;&gt;$DO234) + $B$19*($DN234=$DO234))</f>
        <v>3.7037037037037035E-4</v>
      </c>
      <c r="EU234" s="10" cm="1">
        <f t="array" aca="1" ref="EU234" ca="1">(1-$B$18)*SUMPRODUCT(OFFSET($BO$15,0,0,$B$14,1), 1*(_xlfn._xlws.FILTER(OFFSET($O$15,0,$DN234,$B$8,1),OFFSET($M$15,0,0,$B$8,1))=EU$13), 1*(_xlfn._xlws.FILTER(OFFSET($O$15,0,$DO234,$B$8,1),OFFSET($M$15,0,0,$B$8,1))=EU$14))   /   SUM(OFFSET($BO$15,0,0,$B$14,1)) + $B$18/($B$19*$B$19*($DN234&lt;&gt;$DO234) + $B$19*($DN234=$DO234))</f>
        <v>3.7037037037037035E-4</v>
      </c>
      <c r="EV234" s="10" cm="1">
        <f t="array" aca="1" ref="EV234" ca="1">(1-$B$18)*SUMPRODUCT(OFFSET($BO$15,0,0,$B$14,1), 1*(_xlfn._xlws.FILTER(OFFSET($O$15,0,$DN234,$B$8,1),OFFSET($M$15,0,0,$B$8,1))=EV$13), 1*(_xlfn._xlws.FILTER(OFFSET($O$15,0,$DO234,$B$8,1),OFFSET($M$15,0,0,$B$8,1))=EV$14))   /   SUM(OFFSET($BO$15,0,0,$B$14,1)) + $B$18/($B$19*$B$19*($DN234&lt;&gt;$DO234) + $B$19*($DN234=$DO234))</f>
        <v>3.7037037037037035E-4</v>
      </c>
      <c r="EW234" s="10" cm="1">
        <f t="array" aca="1" ref="EW234" ca="1">(1-$B$18)*SUMPRODUCT(OFFSET($BO$15,0,0,$B$14,1), 1*(_xlfn._xlws.FILTER(OFFSET($O$15,0,$DN234,$B$8,1),OFFSET($M$15,0,0,$B$8,1))=EW$13), 1*(_xlfn._xlws.FILTER(OFFSET($O$15,0,$DO234,$B$8,1),OFFSET($M$15,0,0,$B$8,1))=EW$14))   /   SUM(OFFSET($BO$15,0,0,$B$14,1)) + $B$18/($B$19*$B$19*($DN234&lt;&gt;$DO234) + $B$19*($DN234=$DO234))</f>
        <v>3.7037037037037035E-4</v>
      </c>
      <c r="EX234" s="10" cm="1">
        <f t="array" aca="1" ref="EX234" ca="1">(1-$B$18)*SUMPRODUCT(OFFSET($BO$15,0,0,$B$14,1), 1*(_xlfn._xlws.FILTER(OFFSET($O$15,0,$DN234,$B$8,1),OFFSET($M$15,0,0,$B$8,1))=EX$13), 1*(_xlfn._xlws.FILTER(OFFSET($O$15,0,$DO234,$B$8,1),OFFSET($M$15,0,0,$B$8,1))=EX$14))   /   SUM(OFFSET($BO$15,0,0,$B$14,1)) + $B$18/($B$19*$B$19*($DN234&lt;&gt;$DO234) + $B$19*($DN234=$DO234))</f>
        <v>3.7037037037037035E-4</v>
      </c>
      <c r="EY234" s="10" cm="1">
        <f t="array" aca="1" ref="EY234" ca="1">(1-$B$18)*SUMPRODUCT(OFFSET($BO$15,0,0,$B$14,1), 1*(_xlfn._xlws.FILTER(OFFSET($O$15,0,$DN234,$B$8,1),OFFSET($M$15,0,0,$B$8,1))=EY$13), 1*(_xlfn._xlws.FILTER(OFFSET($O$15,0,$DO234,$B$8,1),OFFSET($M$15,0,0,$B$8,1))=EY$14))   /   SUM(OFFSET($BO$15,0,0,$B$14,1)) + $B$18/($B$19*$B$19*($DN234&lt;&gt;$DO234) + $B$19*($DN234=$DO234))</f>
        <v>3.7037037037037035E-4</v>
      </c>
      <c r="EZ234" s="10" cm="1">
        <f t="array" aca="1" ref="EZ234" ca="1">(1-$B$18)*SUMPRODUCT(OFFSET($BO$15,0,0,$B$14,1), 1*(_xlfn._xlws.FILTER(OFFSET($O$15,0,$DN234,$B$8,1),OFFSET($M$15,0,0,$B$8,1))=EZ$13), 1*(_xlfn._xlws.FILTER(OFFSET($O$15,0,$DO234,$B$8,1),OFFSET($M$15,0,0,$B$8,1))=EZ$14))   /   SUM(OFFSET($BO$15,0,0,$B$14,1)) + $B$18/($B$19*$B$19*($DN234&lt;&gt;$DO234) + $B$19*($DN234=$DO234))</f>
        <v>3.7037037037037035E-4</v>
      </c>
      <c r="FA234" s="10" cm="1">
        <f t="array" aca="1" ref="FA234" ca="1">(1-$B$18)*SUMPRODUCT(OFFSET($BO$15,0,0,$B$14,1), 1*(_xlfn._xlws.FILTER(OFFSET($O$15,0,$DN234,$B$8,1),OFFSET($M$15,0,0,$B$8,1))=FA$13), 1*(_xlfn._xlws.FILTER(OFFSET($O$15,0,$DO234,$B$8,1),OFFSET($M$15,0,0,$B$8,1))=FA$14))   /   SUM(OFFSET($BO$15,0,0,$B$14,1)) + $B$18/($B$19*$B$19*($DN234&lt;&gt;$DO234) + $B$19*($DN234=$DO234))</f>
        <v>3.7037037037037035E-4</v>
      </c>
      <c r="FB234" s="10" cm="1">
        <f t="array" aca="1" ref="FB234" ca="1">(1-$B$18)*SUMPRODUCT(OFFSET($BO$15,0,0,$B$14,1), 1*(_xlfn._xlws.FILTER(OFFSET($O$15,0,$DN234,$B$8,1),OFFSET($M$15,0,0,$B$8,1))=FB$13), 1*(_xlfn._xlws.FILTER(OFFSET($O$15,0,$DO234,$B$8,1),OFFSET($M$15,0,0,$B$8,1))=FB$14))   /   SUM(OFFSET($BO$15,0,0,$B$14,1)) + $B$18/($B$19*$B$19*($DN234&lt;&gt;$DO234) + $B$19*($DN234=$DO234))</f>
        <v>3.7037037037037035E-4</v>
      </c>
      <c r="FC234" s="10" cm="1">
        <f t="array" aca="1" ref="FC234" ca="1">(1-$B$18)*SUMPRODUCT(OFFSET($BO$15,0,0,$B$14,1), 1*(_xlfn._xlws.FILTER(OFFSET($O$15,0,$DN234,$B$8,1),OFFSET($M$15,0,0,$B$8,1))=FC$13), 1*(_xlfn._xlws.FILTER(OFFSET($O$15,0,$DO234,$B$8,1),OFFSET($M$15,0,0,$B$8,1))=FC$14))   /   SUM(OFFSET($BO$15,0,0,$B$14,1)) + $B$18/($B$19*$B$19*($DN234&lt;&gt;$DO234) + $B$19*($DN234=$DO234))</f>
        <v>3.7037037037037035E-4</v>
      </c>
      <c r="FD234" s="10" cm="1">
        <f t="array" aca="1" ref="FD234" ca="1">(1-$B$18)*SUMPRODUCT(OFFSET($BO$15,0,0,$B$14,1), 1*(_xlfn._xlws.FILTER(OFFSET($O$15,0,$DN234,$B$8,1),OFFSET($M$15,0,0,$B$8,1))=FD$13), 1*(_xlfn._xlws.FILTER(OFFSET($O$15,0,$DO234,$B$8,1),OFFSET($M$15,0,0,$B$8,1))=FD$14))   /   SUM(OFFSET($BO$15,0,0,$B$14,1)) + $B$18/($B$19*$B$19*($DN234&lt;&gt;$DO234) + $B$19*($DN234=$DO234))</f>
        <v>3.7037037037037035E-4</v>
      </c>
      <c r="FE234" s="10" cm="1">
        <f t="array" aca="1" ref="FE234" ca="1">(1-$B$18)*SUMPRODUCT(OFFSET($BO$15,0,0,$B$14,1), 1*(_xlfn._xlws.FILTER(OFFSET($O$15,0,$DN234,$B$8,1),OFFSET($M$15,0,0,$B$8,1))=FE$13), 1*(_xlfn._xlws.FILTER(OFFSET($O$15,0,$DO234,$B$8,1),OFFSET($M$15,0,0,$B$8,1))=FE$14))   /   SUM(OFFSET($BO$15,0,0,$B$14,1)) + $B$18/($B$19*$B$19*($DN234&lt;&gt;$DO234) + $B$19*($DN234=$DO234))</f>
        <v>3.7037037037037035E-4</v>
      </c>
      <c r="FF234" s="10" cm="1">
        <f t="array" aca="1" ref="FF234" ca="1">(1-$B$18)*SUMPRODUCT(OFFSET($BO$15,0,0,$B$14,1), 1*(_xlfn._xlws.FILTER(OFFSET($O$15,0,$DN234,$B$8,1),OFFSET($M$15,0,0,$B$8,1))=FF$13), 1*(_xlfn._xlws.FILTER(OFFSET($O$15,0,$DO234,$B$8,1),OFFSET($M$15,0,0,$B$8,1))=FF$14))   /   SUM(OFFSET($BO$15,0,0,$B$14,1)) + $B$18/($B$19*$B$19*($DN234&lt;&gt;$DO234) + $B$19*($DN234=$DO234))</f>
        <v>3.7037037037037035E-4</v>
      </c>
      <c r="FG234" s="10" cm="1">
        <f t="array" aca="1" ref="FG234" ca="1">(1-$B$18)*SUMPRODUCT(OFFSET($BO$15,0,0,$B$14,1), 1*(_xlfn._xlws.FILTER(OFFSET($O$15,0,$DN234,$B$8,1),OFFSET($M$15,0,0,$B$8,1))=FG$13), 1*(_xlfn._xlws.FILTER(OFFSET($O$15,0,$DO234,$B$8,1),OFFSET($M$15,0,0,$B$8,1))=FG$14))   /   SUM(OFFSET($BO$15,0,0,$B$14,1)) + $B$18/($B$19*$B$19*($DN234&lt;&gt;$DO234) + $B$19*($DN234=$DO234))</f>
        <v>3.7037037037037035E-4</v>
      </c>
      <c r="FH234" s="10" cm="1">
        <f t="array" aca="1" ref="FH234" ca="1">(1-$B$18)*SUMPRODUCT(OFFSET($BO$15,0,0,$B$14,1), 1*(_xlfn._xlws.FILTER(OFFSET($O$15,0,$DN234,$B$8,1),OFFSET($M$15,0,0,$B$8,1))=FH$13), 1*(_xlfn._xlws.FILTER(OFFSET($O$15,0,$DO234,$B$8,1),OFFSET($M$15,0,0,$B$8,1))=FH$14))   /   SUM(OFFSET($BO$15,0,0,$B$14,1)) + $B$18/($B$19*$B$19*($DN234&lt;&gt;$DO234) + $B$19*($DN234=$DO234))</f>
        <v>3.7037037037037035E-4</v>
      </c>
      <c r="FI234" s="10" cm="1">
        <f t="array" aca="1" ref="FI234" ca="1">(1-$B$18)*SUMPRODUCT(OFFSET($BO$15,0,0,$B$14,1), 1*(_xlfn._xlws.FILTER(OFFSET($O$15,0,$DN234,$B$8,1),OFFSET($M$15,0,0,$B$8,1))=FI$13), 1*(_xlfn._xlws.FILTER(OFFSET($O$15,0,$DO234,$B$8,1),OFFSET($M$15,0,0,$B$8,1))=FI$14))   /   SUM(OFFSET($BO$15,0,0,$B$14,1)) + $B$18/($B$19*$B$19*($DN234&lt;&gt;$DO234) + $B$19*($DN234=$DO234))</f>
        <v>3.7037037037037035E-4</v>
      </c>
      <c r="FJ234" s="10" cm="1">
        <f t="array" aca="1" ref="FJ234" ca="1">(1-$B$18)*SUMPRODUCT(OFFSET($BO$15,0,0,$B$14,1), 1*(_xlfn._xlws.FILTER(OFFSET($O$15,0,$DN234,$B$8,1),OFFSET($M$15,0,0,$B$8,1))=FJ$13), 1*(_xlfn._xlws.FILTER(OFFSET($O$15,0,$DO234,$B$8,1),OFFSET($M$15,0,0,$B$8,1))=FJ$14))   /   SUM(OFFSET($BO$15,0,0,$B$14,1)) + $B$18/($B$19*$B$19*($DN234&lt;&gt;$DO234) + $B$19*($DN234=$DO234))</f>
        <v>3.7037037037037035E-4</v>
      </c>
      <c r="FK234" s="10" cm="1">
        <f t="array" aca="1" ref="FK234" ca="1">(1-$B$18)*SUMPRODUCT(OFFSET($BO$15,0,0,$B$14,1), 1*(_xlfn._xlws.FILTER(OFFSET($O$15,0,$DN234,$B$8,1),OFFSET($M$15,0,0,$B$8,1))=FK$13), 1*(_xlfn._xlws.FILTER(OFFSET($O$15,0,$DO234,$B$8,1),OFFSET($M$15,0,0,$B$8,1))=FK$14))   /   SUM(OFFSET($BO$15,0,0,$B$14,1)) + $B$18/($B$19*$B$19*($DN234&lt;&gt;$DO234) + $B$19*($DN234=$DO234))</f>
        <v>3.7037037037037035E-4</v>
      </c>
      <c r="FL234" s="10" cm="1">
        <f t="array" aca="1" ref="FL234" ca="1">(1-$B$18)*SUMPRODUCT(OFFSET($BO$15,0,0,$B$14,1), 1*(_xlfn._xlws.FILTER(OFFSET($O$15,0,$DN234,$B$8,1),OFFSET($M$15,0,0,$B$8,1))=FL$13), 1*(_xlfn._xlws.FILTER(OFFSET($O$15,0,$DO234,$B$8,1),OFFSET($M$15,0,0,$B$8,1))=FL$14))   /   SUM(OFFSET($BO$15,0,0,$B$14,1)) + $B$18/($B$19*$B$19*($DN234&lt;&gt;$DO234) + $B$19*($DN234=$DO234))</f>
        <v>3.7037037037037035E-4</v>
      </c>
      <c r="FM234" s="10" cm="1">
        <f t="array" aca="1" ref="FM234" ca="1">(1-$B$18)*SUMPRODUCT(OFFSET($BO$15,0,0,$B$14,1), 1*(_xlfn._xlws.FILTER(OFFSET($O$15,0,$DN234,$B$8,1),OFFSET($M$15,0,0,$B$8,1))=FM$13), 1*(_xlfn._xlws.FILTER(OFFSET($O$15,0,$DO234,$B$8,1),OFFSET($M$15,0,0,$B$8,1))=FM$14))   /   SUM(OFFSET($BO$15,0,0,$B$14,1)) + $B$18/($B$19*$B$19*($DN234&lt;&gt;$DO234) + $B$19*($DN234=$DO234))</f>
        <v>3.7037037037037035E-4</v>
      </c>
      <c r="FN234" s="10" cm="1">
        <f t="array" aca="1" ref="FN234" ca="1">(1-$B$18)*SUMPRODUCT(OFFSET($BO$15,0,0,$B$14,1), 1*(_xlfn._xlws.FILTER(OFFSET($O$15,0,$DN234,$B$8,1),OFFSET($M$15,0,0,$B$8,1))=FN$13), 1*(_xlfn._xlws.FILTER(OFFSET($O$15,0,$DO234,$B$8,1),OFFSET($M$15,0,0,$B$8,1))=FN$14))   /   SUM(OFFSET($BO$15,0,0,$B$14,1)) + $B$18/($B$19*$B$19*($DN234&lt;&gt;$DO234) + $B$19*($DN234=$DO234))</f>
        <v>3.7037037037037035E-4</v>
      </c>
      <c r="FO234" s="10" cm="1">
        <f t="array" aca="1" ref="FO234" ca="1">(1-$B$18)*SUMPRODUCT(OFFSET($BO$15,0,0,$B$14,1), 1*(_xlfn._xlws.FILTER(OFFSET($O$15,0,$DN234,$B$8,1),OFFSET($M$15,0,0,$B$8,1))=FO$13), 1*(_xlfn._xlws.FILTER(OFFSET($O$15,0,$DO234,$B$8,1),OFFSET($M$15,0,0,$B$8,1))=FO$14))   /   SUM(OFFSET($BO$15,0,0,$B$14,1)) + $B$18/($B$19*$B$19*($DN234&lt;&gt;$DO234) + $B$19*($DN234=$DO234))</f>
        <v>3.7037037037037035E-4</v>
      </c>
      <c r="FP234" s="10" cm="1">
        <f t="array" aca="1" ref="FP234" ca="1">(1-$B$18)*SUMPRODUCT(OFFSET($BO$15,0,0,$B$14,1), 1*(_xlfn._xlws.FILTER(OFFSET($O$15,0,$DN234,$B$8,1),OFFSET($M$15,0,0,$B$8,1))=FP$13), 1*(_xlfn._xlws.FILTER(OFFSET($O$15,0,$DO234,$B$8,1),OFFSET($M$15,0,0,$B$8,1))=FP$14))   /   SUM(OFFSET($BO$15,0,0,$B$14,1)) + $B$18/($B$19*$B$19*($DN234&lt;&gt;$DO234) + $B$19*($DN234=$DO234))</f>
        <v>3.7037037037037035E-4</v>
      </c>
      <c r="FQ234" s="10" cm="1">
        <f t="array" aca="1" ref="FQ234" ca="1">(1-$B$18)*SUMPRODUCT(OFFSET($BO$15,0,0,$B$14,1), 1*(_xlfn._xlws.FILTER(OFFSET($O$15,0,$DN234,$B$8,1),OFFSET($M$15,0,0,$B$8,1))=FQ$13), 1*(_xlfn._xlws.FILTER(OFFSET($O$15,0,$DO234,$B$8,1),OFFSET($M$15,0,0,$B$8,1))=FQ$14))   /   SUM(OFFSET($BO$15,0,0,$B$14,1)) + $B$18/($B$19*$B$19*($DN234&lt;&gt;$DO234) + $B$19*($DN234=$DO234))</f>
        <v>3.7037037037037035E-4</v>
      </c>
      <c r="FR234" s="10" cm="1">
        <f t="array" aca="1" ref="FR234" ca="1">(1-$B$18)*SUMPRODUCT(OFFSET($BO$15,0,0,$B$14,1), 1*(_xlfn._xlws.FILTER(OFFSET($O$15,0,$DN234,$B$8,1),OFFSET($M$15,0,0,$B$8,1))=FR$13), 1*(_xlfn._xlws.FILTER(OFFSET($O$15,0,$DO234,$B$8,1),OFFSET($M$15,0,0,$B$8,1))=FR$14))   /   SUM(OFFSET($BO$15,0,0,$B$14,1)) + $B$18/($B$19*$B$19*($DN234&lt;&gt;$DO234) + $B$19*($DN234=$DO234))</f>
        <v>3.7037037037037035E-4</v>
      </c>
      <c r="FS234" s="10" cm="1">
        <f t="array" aca="1" ref="FS234" ca="1">(1-$B$18)*SUMPRODUCT(OFFSET($BO$15,0,0,$B$14,1), 1*(_xlfn._xlws.FILTER(OFFSET($O$15,0,$DN234,$B$8,1),OFFSET($M$15,0,0,$B$8,1))=FS$13), 1*(_xlfn._xlws.FILTER(OFFSET($O$15,0,$DO234,$B$8,1),OFFSET($M$15,0,0,$B$8,1))=FS$14))   /   SUM(OFFSET($BO$15,0,0,$B$14,1)) + $B$18/($B$19*$B$19*($DN234&lt;&gt;$DO234) + $B$19*($DN234=$DO234))</f>
        <v>3.7037037037037035E-4</v>
      </c>
      <c r="FT234" s="10" cm="1">
        <f t="array" aca="1" ref="FT234" ca="1">(1-$B$18)*SUMPRODUCT(OFFSET($BO$15,0,0,$B$14,1), 1*(_xlfn._xlws.FILTER(OFFSET($O$15,0,$DN234,$B$8,1),OFFSET($M$15,0,0,$B$8,1))=FT$13), 1*(_xlfn._xlws.FILTER(OFFSET($O$15,0,$DO234,$B$8,1),OFFSET($M$15,0,0,$B$8,1))=FT$14))   /   SUM(OFFSET($BO$15,0,0,$B$14,1)) + $B$18/($B$19*$B$19*($DN234&lt;&gt;$DO234) + $B$19*($DN234=$DO234))</f>
        <v>3.7037037037037035E-4</v>
      </c>
      <c r="FU234" s="10" cm="1">
        <f t="array" aca="1" ref="FU234" ca="1">(1-$B$18)*SUMPRODUCT(OFFSET($BO$15,0,0,$B$14,1), 1*(_xlfn._xlws.FILTER(OFFSET($O$15,0,$DN234,$B$8,1),OFFSET($M$15,0,0,$B$8,1))=FU$13), 1*(_xlfn._xlws.FILTER(OFFSET($O$15,0,$DO234,$B$8,1),OFFSET($M$15,0,0,$B$8,1))=FU$14))   /   SUM(OFFSET($BO$15,0,0,$B$14,1)) + $B$18/($B$19*$B$19*($DN234&lt;&gt;$DO234) + $B$19*($DN234=$DO234))</f>
        <v>3.7037037037037035E-4</v>
      </c>
      <c r="FV234" s="10" cm="1">
        <f t="array" aca="1" ref="FV234" ca="1">(1-$B$18)*SUMPRODUCT(OFFSET($BO$15,0,0,$B$14,1), 1*(_xlfn._xlws.FILTER(OFFSET($O$15,0,$DN234,$B$8,1),OFFSET($M$15,0,0,$B$8,1))=FV$13), 1*(_xlfn._xlws.FILTER(OFFSET($O$15,0,$DO234,$B$8,1),OFFSET($M$15,0,0,$B$8,1))=FV$14))   /   SUM(OFFSET($BO$15,0,0,$B$14,1)) + $B$18/($B$19*$B$19*($DN234&lt;&gt;$DO234) + $B$19*($DN234=$DO234))</f>
        <v>3.7037037037037035E-4</v>
      </c>
      <c r="FW234" s="10" cm="1">
        <f t="array" aca="1" ref="FW234" ca="1">(1-$B$18)*SUMPRODUCT(OFFSET($BO$15,0,0,$B$14,1), 1*(_xlfn._xlws.FILTER(OFFSET($O$15,0,$DN234,$B$8,1),OFFSET($M$15,0,0,$B$8,1))=FW$13), 1*(_xlfn._xlws.FILTER(OFFSET($O$15,0,$DO234,$B$8,1),OFFSET($M$15,0,0,$B$8,1))=FW$14))   /   SUM(OFFSET($BO$15,0,0,$B$14,1)) + $B$18/($B$19*$B$19*($DN234&lt;&gt;$DO234) + $B$19*($DN234=$DO234))</f>
        <v>3.7037037037037035E-4</v>
      </c>
      <c r="FX234" s="10" cm="1">
        <f t="array" aca="1" ref="FX234" ca="1">(1-$B$18)*SUMPRODUCT(OFFSET($BO$15,0,0,$B$14,1), 1*(_xlfn._xlws.FILTER(OFFSET($O$15,0,$DN234,$B$8,1),OFFSET($M$15,0,0,$B$8,1))=FX$13), 1*(_xlfn._xlws.FILTER(OFFSET($O$15,0,$DO234,$B$8,1),OFFSET($M$15,0,0,$B$8,1))=FX$14))   /   SUM(OFFSET($BO$15,0,0,$B$14,1)) + $B$18/($B$19*$B$19*($DN234&lt;&gt;$DO234) + $B$19*($DN234=$DO234))</f>
        <v>3.7037037037037035E-4</v>
      </c>
      <c r="FY234" s="10" cm="1">
        <f t="array" aca="1" ref="FY234" ca="1">(1-$B$18)*SUMPRODUCT(OFFSET($BO$15,0,0,$B$14,1), 1*(_xlfn._xlws.FILTER(OFFSET($O$15,0,$DN234,$B$8,1),OFFSET($M$15,0,0,$B$8,1))=FY$13), 1*(_xlfn._xlws.FILTER(OFFSET($O$15,0,$DO234,$B$8,1),OFFSET($M$15,0,0,$B$8,1))=FY$14))   /   SUM(OFFSET($BO$15,0,0,$B$14,1)) + $B$18/($B$19*$B$19*($DN234&lt;&gt;$DO234) + $B$19*($DN234=$DO234))</f>
        <v>3.7037037037037035E-4</v>
      </c>
      <c r="FZ234" s="10" cm="1">
        <f t="array" aca="1" ref="FZ234" ca="1">(1-$B$18)*SUMPRODUCT(OFFSET($BO$15,0,0,$B$14,1), 1*(_xlfn._xlws.FILTER(OFFSET($O$15,0,$DN234,$B$8,1),OFFSET($M$15,0,0,$B$8,1))=FZ$13), 1*(_xlfn._xlws.FILTER(OFFSET($O$15,0,$DO234,$B$8,1),OFFSET($M$15,0,0,$B$8,1))=FZ$14))   /   SUM(OFFSET($BO$15,0,0,$B$14,1)) + $B$18/($B$19*$B$19*($DN234&lt;&gt;$DO234) + $B$19*($DN234=$DO234))</f>
        <v>3.7037037037037035E-4</v>
      </c>
      <c r="GA234" s="10" cm="1">
        <f t="array" aca="1" ref="GA234" ca="1">(1-$B$18)*SUMPRODUCT(OFFSET($BO$15,0,0,$B$14,1), 1*(_xlfn._xlws.FILTER(OFFSET($O$15,0,$DN234,$B$8,1),OFFSET($M$15,0,0,$B$8,1))=GA$13), 1*(_xlfn._xlws.FILTER(OFFSET($O$15,0,$DO234,$B$8,1),OFFSET($M$15,0,0,$B$8,1))=GA$14))   /   SUM(OFFSET($BO$15,0,0,$B$14,1)) + $B$18/($B$19*$B$19*($DN234&lt;&gt;$DO234) + $B$19*($DN234=$DO234))</f>
        <v>3.7037037037037035E-4</v>
      </c>
    </row>
    <row r="235" spans="118:183" x14ac:dyDescent="0.2">
      <c r="DN235" cm="1">
        <f t="array" aca="1" ref="DN235" ca="1">INDEX(_xlfn.ANCHORARRAY($CP$15), 1 + INT((ROWS($DO$15:$DO235) - 1) / ROWS(_xlfn.ANCHORARRAY($CP$15))))</f>
        <v>12</v>
      </c>
      <c r="DO235" cm="1">
        <f t="array" aca="1" ref="DO235" ca="1">INDEX(_xlfn.ANCHORARRAY($CP$15),1+MOD(ROWS($DO$15:$DO235)-1,ROWS(_xlfn.ANCHORARRAY($CP$15))))</f>
        <v>12</v>
      </c>
      <c r="DP235" s="10" cm="1">
        <f t="array" aca="1" ref="DP235" ca="1">(1-$B$18)*SUMPRODUCT(OFFSET($BO$15,0,0,$B$14,1), 1*(_xlfn._xlws.FILTER(OFFSET($O$15,0,$DN235,$B$8,1),OFFSET($M$15,0,0,$B$8,1))=DP$13), 1*(_xlfn._xlws.FILTER(OFFSET($O$15,0,$DO235,$B$8,1),OFFSET($M$15,0,0,$B$8,1))=DP$14))   /   SUM(OFFSET($BO$15,0,0,$B$14,1)) + $B$18/($B$19*$B$19*($DN235&lt;&gt;$DO235) + $B$19*($DN235=$DO235))</f>
        <v>3.3333333333333331E-3</v>
      </c>
      <c r="DQ235" s="10" cm="1">
        <f t="array" aca="1" ref="DQ235" ca="1">(1-$B$18)*SUMPRODUCT(OFFSET($BO$15,0,0,$B$14,1), 1*(_xlfn._xlws.FILTER(OFFSET($O$15,0,$DN235,$B$8,1),OFFSET($M$15,0,0,$B$8,1))=DQ$13), 1*(_xlfn._xlws.FILTER(OFFSET($O$15,0,$DO235,$B$8,1),OFFSET($M$15,0,0,$B$8,1))=DQ$14))   /   SUM(OFFSET($BO$15,0,0,$B$14,1)) + $B$18/($B$19*$B$19*($DN235&lt;&gt;$DO235) + $B$19*($DN235=$DO235))</f>
        <v>3.3333333333333331E-3</v>
      </c>
      <c r="DR235" s="10" cm="1">
        <f t="array" aca="1" ref="DR235" ca="1">(1-$B$18)*SUMPRODUCT(OFFSET($BO$15,0,0,$B$14,1), 1*(_xlfn._xlws.FILTER(OFFSET($O$15,0,$DN235,$B$8,1),OFFSET($M$15,0,0,$B$8,1))=DR$13), 1*(_xlfn._xlws.FILTER(OFFSET($O$15,0,$DO235,$B$8,1),OFFSET($M$15,0,0,$B$8,1))=DR$14))   /   SUM(OFFSET($BO$15,0,0,$B$14,1)) + $B$18/($B$19*$B$19*($DN235&lt;&gt;$DO235) + $B$19*($DN235=$DO235))</f>
        <v>3.3333333333333331E-3</v>
      </c>
      <c r="DS235" s="10" cm="1">
        <f t="array" aca="1" ref="DS235" ca="1">(1-$B$18)*SUMPRODUCT(OFFSET($BO$15,0,0,$B$14,1), 1*(_xlfn._xlws.FILTER(OFFSET($O$15,0,$DN235,$B$8,1),OFFSET($M$15,0,0,$B$8,1))=DS$13), 1*(_xlfn._xlws.FILTER(OFFSET($O$15,0,$DO235,$B$8,1),OFFSET($M$15,0,0,$B$8,1))=DS$14))   /   SUM(OFFSET($BO$15,0,0,$B$14,1)) + $B$18/($B$19*$B$19*($DN235&lt;&gt;$DO235) + $B$19*($DN235=$DO235))</f>
        <v>3.3333333333333331E-3</v>
      </c>
      <c r="DT235" s="10" cm="1">
        <f t="array" aca="1" ref="DT235" ca="1">(1-$B$18)*SUMPRODUCT(OFFSET($BO$15,0,0,$B$14,1), 1*(_xlfn._xlws.FILTER(OFFSET($O$15,0,$DN235,$B$8,1),OFFSET($M$15,0,0,$B$8,1))=DT$13), 1*(_xlfn._xlws.FILTER(OFFSET($O$15,0,$DO235,$B$8,1),OFFSET($M$15,0,0,$B$8,1))=DT$14))   /   SUM(OFFSET($BO$15,0,0,$B$14,1)) + $B$18/($B$19*$B$19*($DN235&lt;&gt;$DO235) + $B$19*($DN235=$DO235))</f>
        <v>3.3333333333333331E-3</v>
      </c>
      <c r="DU235" s="10" cm="1">
        <f t="array" aca="1" ref="DU235" ca="1">(1-$B$18)*SUMPRODUCT(OFFSET($BO$15,0,0,$B$14,1), 1*(_xlfn._xlws.FILTER(OFFSET($O$15,0,$DN235,$B$8,1),OFFSET($M$15,0,0,$B$8,1))=DU$13), 1*(_xlfn._xlws.FILTER(OFFSET($O$15,0,$DO235,$B$8,1),OFFSET($M$15,0,0,$B$8,1))=DU$14))   /   SUM(OFFSET($BO$15,0,0,$B$14,1)) + $B$18/($B$19*$B$19*($DN235&lt;&gt;$DO235) + $B$19*($DN235=$DO235))</f>
        <v>3.3333333333333331E-3</v>
      </c>
      <c r="DV235" s="10" cm="1">
        <f t="array" aca="1" ref="DV235" ca="1">(1-$B$18)*SUMPRODUCT(OFFSET($BO$15,0,0,$B$14,1), 1*(_xlfn._xlws.FILTER(OFFSET($O$15,0,$DN235,$B$8,1),OFFSET($M$15,0,0,$B$8,1))=DV$13), 1*(_xlfn._xlws.FILTER(OFFSET($O$15,0,$DO235,$B$8,1),OFFSET($M$15,0,0,$B$8,1))=DV$14))   /   SUM(OFFSET($BO$15,0,0,$B$14,1)) + $B$18/($B$19*$B$19*($DN235&lt;&gt;$DO235) + $B$19*($DN235=$DO235))</f>
        <v>3.3333333333333331E-3</v>
      </c>
      <c r="DW235" s="10" cm="1">
        <f t="array" aca="1" ref="DW235" ca="1">(1-$B$18)*SUMPRODUCT(OFFSET($BO$15,0,0,$B$14,1), 1*(_xlfn._xlws.FILTER(OFFSET($O$15,0,$DN235,$B$8,1),OFFSET($M$15,0,0,$B$8,1))=DW$13), 1*(_xlfn._xlws.FILTER(OFFSET($O$15,0,$DO235,$B$8,1),OFFSET($M$15,0,0,$B$8,1))=DW$14))   /   SUM(OFFSET($BO$15,0,0,$B$14,1)) + $B$18/($B$19*$B$19*($DN235&lt;&gt;$DO235) + $B$19*($DN235=$DO235))</f>
        <v>3.3333333333333331E-3</v>
      </c>
      <c r="DX235" s="10" cm="1">
        <f t="array" aca="1" ref="DX235" ca="1">(1-$B$18)*SUMPRODUCT(OFFSET($BO$15,0,0,$B$14,1), 1*(_xlfn._xlws.FILTER(OFFSET($O$15,0,$DN235,$B$8,1),OFFSET($M$15,0,0,$B$8,1))=DX$13), 1*(_xlfn._xlws.FILTER(OFFSET($O$15,0,$DO235,$B$8,1),OFFSET($M$15,0,0,$B$8,1))=DX$14))   /   SUM(OFFSET($BO$15,0,0,$B$14,1)) + $B$18/($B$19*$B$19*($DN235&lt;&gt;$DO235) + $B$19*($DN235=$DO235))</f>
        <v>3.3333333333333331E-3</v>
      </c>
      <c r="DY235" s="10" cm="1">
        <f t="array" aca="1" ref="DY235" ca="1">(1-$B$18)*SUMPRODUCT(OFFSET($BO$15,0,0,$B$14,1), 1*(_xlfn._xlws.FILTER(OFFSET($O$15,0,$DN235,$B$8,1),OFFSET($M$15,0,0,$B$8,1))=DY$13), 1*(_xlfn._xlws.FILTER(OFFSET($O$15,0,$DO235,$B$8,1),OFFSET($M$15,0,0,$B$8,1))=DY$14))   /   SUM(OFFSET($BO$15,0,0,$B$14,1)) + $B$18/($B$19*$B$19*($DN235&lt;&gt;$DO235) + $B$19*($DN235=$DO235))</f>
        <v>0.97333333333333327</v>
      </c>
      <c r="DZ235" s="10" cm="1">
        <f t="array" aca="1" ref="DZ235" ca="1">(1-$B$18)*SUMPRODUCT(OFFSET($BO$15,0,0,$B$14,1), 1*(_xlfn._xlws.FILTER(OFFSET($O$15,0,$DN235,$B$8,1),OFFSET($M$15,0,0,$B$8,1))=DZ$13), 1*(_xlfn._xlws.FILTER(OFFSET($O$15,0,$DO235,$B$8,1),OFFSET($M$15,0,0,$B$8,1))=DZ$14))   /   SUM(OFFSET($BO$15,0,0,$B$14,1)) + $B$18/($B$19*$B$19*($DN235&lt;&gt;$DO235) + $B$19*($DN235=$DO235))</f>
        <v>3.3333333333333331E-3</v>
      </c>
      <c r="EA235" s="10" cm="1">
        <f t="array" aca="1" ref="EA235" ca="1">(1-$B$18)*SUMPRODUCT(OFFSET($BO$15,0,0,$B$14,1), 1*(_xlfn._xlws.FILTER(OFFSET($O$15,0,$DN235,$B$8,1),OFFSET($M$15,0,0,$B$8,1))=EA$13), 1*(_xlfn._xlws.FILTER(OFFSET($O$15,0,$DO235,$B$8,1),OFFSET($M$15,0,0,$B$8,1))=EA$14))   /   SUM(OFFSET($BO$15,0,0,$B$14,1)) + $B$18/($B$19*$B$19*($DN235&lt;&gt;$DO235) + $B$19*($DN235=$DO235))</f>
        <v>3.3333333333333331E-3</v>
      </c>
      <c r="EB235" s="10" cm="1">
        <f t="array" aca="1" ref="EB235" ca="1">(1-$B$18)*SUMPRODUCT(OFFSET($BO$15,0,0,$B$14,1), 1*(_xlfn._xlws.FILTER(OFFSET($O$15,0,$DN235,$B$8,1),OFFSET($M$15,0,0,$B$8,1))=EB$13), 1*(_xlfn._xlws.FILTER(OFFSET($O$15,0,$DO235,$B$8,1),OFFSET($M$15,0,0,$B$8,1))=EB$14))   /   SUM(OFFSET($BO$15,0,0,$B$14,1)) + $B$18/($B$19*$B$19*($DN235&lt;&gt;$DO235) + $B$19*($DN235=$DO235))</f>
        <v>3.3333333333333331E-3</v>
      </c>
      <c r="EC235" s="10" cm="1">
        <f t="array" aca="1" ref="EC235" ca="1">(1-$B$18)*SUMPRODUCT(OFFSET($BO$15,0,0,$B$14,1), 1*(_xlfn._xlws.FILTER(OFFSET($O$15,0,$DN235,$B$8,1),OFFSET($M$15,0,0,$B$8,1))=EC$13), 1*(_xlfn._xlws.FILTER(OFFSET($O$15,0,$DO235,$B$8,1),OFFSET($M$15,0,0,$B$8,1))=EC$14))   /   SUM(OFFSET($BO$15,0,0,$B$14,1)) + $B$18/($B$19*$B$19*($DN235&lt;&gt;$DO235) + $B$19*($DN235=$DO235))</f>
        <v>3.3333333333333331E-3</v>
      </c>
      <c r="ED235" s="10" cm="1">
        <f t="array" aca="1" ref="ED235" ca="1">(1-$B$18)*SUMPRODUCT(OFFSET($BO$15,0,0,$B$14,1), 1*(_xlfn._xlws.FILTER(OFFSET($O$15,0,$DN235,$B$8,1),OFFSET($M$15,0,0,$B$8,1))=ED$13), 1*(_xlfn._xlws.FILTER(OFFSET($O$15,0,$DO235,$B$8,1),OFFSET($M$15,0,0,$B$8,1))=ED$14))   /   SUM(OFFSET($BO$15,0,0,$B$14,1)) + $B$18/($B$19*$B$19*($DN235&lt;&gt;$DO235) + $B$19*($DN235=$DO235))</f>
        <v>3.3333333333333331E-3</v>
      </c>
      <c r="EE235" s="10" cm="1">
        <f t="array" aca="1" ref="EE235" ca="1">(1-$B$18)*SUMPRODUCT(OFFSET($BO$15,0,0,$B$14,1), 1*(_xlfn._xlws.FILTER(OFFSET($O$15,0,$DN235,$B$8,1),OFFSET($M$15,0,0,$B$8,1))=EE$13), 1*(_xlfn._xlws.FILTER(OFFSET($O$15,0,$DO235,$B$8,1),OFFSET($M$15,0,0,$B$8,1))=EE$14))   /   SUM(OFFSET($BO$15,0,0,$B$14,1)) + $B$18/($B$19*$B$19*($DN235&lt;&gt;$DO235) + $B$19*($DN235=$DO235))</f>
        <v>3.3333333333333331E-3</v>
      </c>
      <c r="EF235" s="10" cm="1">
        <f t="array" aca="1" ref="EF235" ca="1">(1-$B$18)*SUMPRODUCT(OFFSET($BO$15,0,0,$B$14,1), 1*(_xlfn._xlws.FILTER(OFFSET($O$15,0,$DN235,$B$8,1),OFFSET($M$15,0,0,$B$8,1))=EF$13), 1*(_xlfn._xlws.FILTER(OFFSET($O$15,0,$DO235,$B$8,1),OFFSET($M$15,0,0,$B$8,1))=EF$14))   /   SUM(OFFSET($BO$15,0,0,$B$14,1)) + $B$18/($B$19*$B$19*($DN235&lt;&gt;$DO235) + $B$19*($DN235=$DO235))</f>
        <v>3.3333333333333331E-3</v>
      </c>
      <c r="EG235" s="10" cm="1">
        <f t="array" aca="1" ref="EG235" ca="1">(1-$B$18)*SUMPRODUCT(OFFSET($BO$15,0,0,$B$14,1), 1*(_xlfn._xlws.FILTER(OFFSET($O$15,0,$DN235,$B$8,1),OFFSET($M$15,0,0,$B$8,1))=EG$13), 1*(_xlfn._xlws.FILTER(OFFSET($O$15,0,$DO235,$B$8,1),OFFSET($M$15,0,0,$B$8,1))=EG$14))   /   SUM(OFFSET($BO$15,0,0,$B$14,1)) + $B$18/($B$19*$B$19*($DN235&lt;&gt;$DO235) + $B$19*($DN235=$DO235))</f>
        <v>3.3333333333333331E-3</v>
      </c>
      <c r="EH235" s="10" cm="1">
        <f t="array" aca="1" ref="EH235" ca="1">(1-$B$18)*SUMPRODUCT(OFFSET($BO$15,0,0,$B$14,1), 1*(_xlfn._xlws.FILTER(OFFSET($O$15,0,$DN235,$B$8,1),OFFSET($M$15,0,0,$B$8,1))=EH$13), 1*(_xlfn._xlws.FILTER(OFFSET($O$15,0,$DO235,$B$8,1),OFFSET($M$15,0,0,$B$8,1))=EH$14))   /   SUM(OFFSET($BO$15,0,0,$B$14,1)) + $B$18/($B$19*$B$19*($DN235&lt;&gt;$DO235) + $B$19*($DN235=$DO235))</f>
        <v>3.3333333333333331E-3</v>
      </c>
      <c r="EI235" s="10" cm="1">
        <f t="array" aca="1" ref="EI235" ca="1">(1-$B$18)*SUMPRODUCT(OFFSET($BO$15,0,0,$B$14,1), 1*(_xlfn._xlws.FILTER(OFFSET($O$15,0,$DN235,$B$8,1),OFFSET($M$15,0,0,$B$8,1))=EI$13), 1*(_xlfn._xlws.FILTER(OFFSET($O$15,0,$DO235,$B$8,1),OFFSET($M$15,0,0,$B$8,1))=EI$14))   /   SUM(OFFSET($BO$15,0,0,$B$14,1)) + $B$18/($B$19*$B$19*($DN235&lt;&gt;$DO235) + $B$19*($DN235=$DO235))</f>
        <v>3.3333333333333331E-3</v>
      </c>
      <c r="EJ235" s="10" cm="1">
        <f t="array" aca="1" ref="EJ235" ca="1">(1-$B$18)*SUMPRODUCT(OFFSET($BO$15,0,0,$B$14,1), 1*(_xlfn._xlws.FILTER(OFFSET($O$15,0,$DN235,$B$8,1),OFFSET($M$15,0,0,$B$8,1))=EJ$13), 1*(_xlfn._xlws.FILTER(OFFSET($O$15,0,$DO235,$B$8,1),OFFSET($M$15,0,0,$B$8,1))=EJ$14))   /   SUM(OFFSET($BO$15,0,0,$B$14,1)) + $B$18/($B$19*$B$19*($DN235&lt;&gt;$DO235) + $B$19*($DN235=$DO235))</f>
        <v>3.3333333333333331E-3</v>
      </c>
      <c r="EK235" s="10" cm="1">
        <f t="array" aca="1" ref="EK235" ca="1">(1-$B$18)*SUMPRODUCT(OFFSET($BO$15,0,0,$B$14,1), 1*(_xlfn._xlws.FILTER(OFFSET($O$15,0,$DN235,$B$8,1),OFFSET($M$15,0,0,$B$8,1))=EK$13), 1*(_xlfn._xlws.FILTER(OFFSET($O$15,0,$DO235,$B$8,1),OFFSET($M$15,0,0,$B$8,1))=EK$14))   /   SUM(OFFSET($BO$15,0,0,$B$14,1)) + $B$18/($B$19*$B$19*($DN235&lt;&gt;$DO235) + $B$19*($DN235=$DO235))</f>
        <v>3.3333333333333331E-3</v>
      </c>
      <c r="EL235" s="10" cm="1">
        <f t="array" aca="1" ref="EL235" ca="1">(1-$B$18)*SUMPRODUCT(OFFSET($BO$15,0,0,$B$14,1), 1*(_xlfn._xlws.FILTER(OFFSET($O$15,0,$DN235,$B$8,1),OFFSET($M$15,0,0,$B$8,1))=EL$13), 1*(_xlfn._xlws.FILTER(OFFSET($O$15,0,$DO235,$B$8,1),OFFSET($M$15,0,0,$B$8,1))=EL$14))   /   SUM(OFFSET($BO$15,0,0,$B$14,1)) + $B$18/($B$19*$B$19*($DN235&lt;&gt;$DO235) + $B$19*($DN235=$DO235))</f>
        <v>3.3333333333333331E-3</v>
      </c>
      <c r="EM235" s="10" cm="1">
        <f t="array" aca="1" ref="EM235" ca="1">(1-$B$18)*SUMPRODUCT(OFFSET($BO$15,0,0,$B$14,1), 1*(_xlfn._xlws.FILTER(OFFSET($O$15,0,$DN235,$B$8,1),OFFSET($M$15,0,0,$B$8,1))=EM$13), 1*(_xlfn._xlws.FILTER(OFFSET($O$15,0,$DO235,$B$8,1),OFFSET($M$15,0,0,$B$8,1))=EM$14))   /   SUM(OFFSET($BO$15,0,0,$B$14,1)) + $B$18/($B$19*$B$19*($DN235&lt;&gt;$DO235) + $B$19*($DN235=$DO235))</f>
        <v>3.3333333333333331E-3</v>
      </c>
      <c r="EN235" s="10" cm="1">
        <f t="array" aca="1" ref="EN235" ca="1">(1-$B$18)*SUMPRODUCT(OFFSET($BO$15,0,0,$B$14,1), 1*(_xlfn._xlws.FILTER(OFFSET($O$15,0,$DN235,$B$8,1),OFFSET($M$15,0,0,$B$8,1))=EN$13), 1*(_xlfn._xlws.FILTER(OFFSET($O$15,0,$DO235,$B$8,1),OFFSET($M$15,0,0,$B$8,1))=EN$14))   /   SUM(OFFSET($BO$15,0,0,$B$14,1)) + $B$18/($B$19*$B$19*($DN235&lt;&gt;$DO235) + $B$19*($DN235=$DO235))</f>
        <v>3.3333333333333331E-3</v>
      </c>
      <c r="EO235" s="10" cm="1">
        <f t="array" aca="1" ref="EO235" ca="1">(1-$B$18)*SUMPRODUCT(OFFSET($BO$15,0,0,$B$14,1), 1*(_xlfn._xlws.FILTER(OFFSET($O$15,0,$DN235,$B$8,1),OFFSET($M$15,0,0,$B$8,1))=EO$13), 1*(_xlfn._xlws.FILTER(OFFSET($O$15,0,$DO235,$B$8,1),OFFSET($M$15,0,0,$B$8,1))=EO$14))   /   SUM(OFFSET($BO$15,0,0,$B$14,1)) + $B$18/($B$19*$B$19*($DN235&lt;&gt;$DO235) + $B$19*($DN235=$DO235))</f>
        <v>3.3333333333333331E-3</v>
      </c>
      <c r="EP235" s="10" cm="1">
        <f t="array" aca="1" ref="EP235" ca="1">(1-$B$18)*SUMPRODUCT(OFFSET($BO$15,0,0,$B$14,1), 1*(_xlfn._xlws.FILTER(OFFSET($O$15,0,$DN235,$B$8,1),OFFSET($M$15,0,0,$B$8,1))=EP$13), 1*(_xlfn._xlws.FILTER(OFFSET($O$15,0,$DO235,$B$8,1),OFFSET($M$15,0,0,$B$8,1))=EP$14))   /   SUM(OFFSET($BO$15,0,0,$B$14,1)) + $B$18/($B$19*$B$19*($DN235&lt;&gt;$DO235) + $B$19*($DN235=$DO235))</f>
        <v>3.3333333333333331E-3</v>
      </c>
      <c r="EQ235" s="10" cm="1">
        <f t="array" aca="1" ref="EQ235" ca="1">(1-$B$18)*SUMPRODUCT(OFFSET($BO$15,0,0,$B$14,1), 1*(_xlfn._xlws.FILTER(OFFSET($O$15,0,$DN235,$B$8,1),OFFSET($M$15,0,0,$B$8,1))=EQ$13), 1*(_xlfn._xlws.FILTER(OFFSET($O$15,0,$DO235,$B$8,1),OFFSET($M$15,0,0,$B$8,1))=EQ$14))   /   SUM(OFFSET($BO$15,0,0,$B$14,1)) + $B$18/($B$19*$B$19*($DN235&lt;&gt;$DO235) + $B$19*($DN235=$DO235))</f>
        <v>3.3333333333333331E-3</v>
      </c>
      <c r="ER235" s="10" cm="1">
        <f t="array" aca="1" ref="ER235" ca="1">(1-$B$18)*SUMPRODUCT(OFFSET($BO$15,0,0,$B$14,1), 1*(_xlfn._xlws.FILTER(OFFSET($O$15,0,$DN235,$B$8,1),OFFSET($M$15,0,0,$B$8,1))=ER$13), 1*(_xlfn._xlws.FILTER(OFFSET($O$15,0,$DO235,$B$8,1),OFFSET($M$15,0,0,$B$8,1))=ER$14))   /   SUM(OFFSET($BO$15,0,0,$B$14,1)) + $B$18/($B$19*$B$19*($DN235&lt;&gt;$DO235) + $B$19*($DN235=$DO235))</f>
        <v>3.3333333333333331E-3</v>
      </c>
      <c r="ES235" s="10" cm="1">
        <f t="array" aca="1" ref="ES235" ca="1">(1-$B$18)*SUMPRODUCT(OFFSET($BO$15,0,0,$B$14,1), 1*(_xlfn._xlws.FILTER(OFFSET($O$15,0,$DN235,$B$8,1),OFFSET($M$15,0,0,$B$8,1))=ES$13), 1*(_xlfn._xlws.FILTER(OFFSET($O$15,0,$DO235,$B$8,1),OFFSET($M$15,0,0,$B$8,1))=ES$14))   /   SUM(OFFSET($BO$15,0,0,$B$14,1)) + $B$18/($B$19*$B$19*($DN235&lt;&gt;$DO235) + $B$19*($DN235=$DO235))</f>
        <v>3.3333333333333331E-3</v>
      </c>
      <c r="ET235" s="10" cm="1">
        <f t="array" aca="1" ref="ET235" ca="1">(1-$B$18)*SUMPRODUCT(OFFSET($BO$15,0,0,$B$14,1), 1*(_xlfn._xlws.FILTER(OFFSET($O$15,0,$DN235,$B$8,1),OFFSET($M$15,0,0,$B$8,1))=ET$13), 1*(_xlfn._xlws.FILTER(OFFSET($O$15,0,$DO235,$B$8,1),OFFSET($M$15,0,0,$B$8,1))=ET$14))   /   SUM(OFFSET($BO$15,0,0,$B$14,1)) + $B$18/($B$19*$B$19*($DN235&lt;&gt;$DO235) + $B$19*($DN235=$DO235))</f>
        <v>3.3333333333333331E-3</v>
      </c>
      <c r="EU235" s="10" cm="1">
        <f t="array" aca="1" ref="EU235" ca="1">(1-$B$18)*SUMPRODUCT(OFFSET($BO$15,0,0,$B$14,1), 1*(_xlfn._xlws.FILTER(OFFSET($O$15,0,$DN235,$B$8,1),OFFSET($M$15,0,0,$B$8,1))=EU$13), 1*(_xlfn._xlws.FILTER(OFFSET($O$15,0,$DO235,$B$8,1),OFFSET($M$15,0,0,$B$8,1))=EU$14))   /   SUM(OFFSET($BO$15,0,0,$B$14,1)) + $B$18/($B$19*$B$19*($DN235&lt;&gt;$DO235) + $B$19*($DN235=$DO235))</f>
        <v>3.3333333333333331E-3</v>
      </c>
      <c r="EV235" s="10" cm="1">
        <f t="array" aca="1" ref="EV235" ca="1">(1-$B$18)*SUMPRODUCT(OFFSET($BO$15,0,0,$B$14,1), 1*(_xlfn._xlws.FILTER(OFFSET($O$15,0,$DN235,$B$8,1),OFFSET($M$15,0,0,$B$8,1))=EV$13), 1*(_xlfn._xlws.FILTER(OFFSET($O$15,0,$DO235,$B$8,1),OFFSET($M$15,0,0,$B$8,1))=EV$14))   /   SUM(OFFSET($BO$15,0,0,$B$14,1)) + $B$18/($B$19*$B$19*($DN235&lt;&gt;$DO235) + $B$19*($DN235=$DO235))</f>
        <v>3.3333333333333331E-3</v>
      </c>
      <c r="EW235" s="10" cm="1">
        <f t="array" aca="1" ref="EW235" ca="1">(1-$B$18)*SUMPRODUCT(OFFSET($BO$15,0,0,$B$14,1), 1*(_xlfn._xlws.FILTER(OFFSET($O$15,0,$DN235,$B$8,1),OFFSET($M$15,0,0,$B$8,1))=EW$13), 1*(_xlfn._xlws.FILTER(OFFSET($O$15,0,$DO235,$B$8,1),OFFSET($M$15,0,0,$B$8,1))=EW$14))   /   SUM(OFFSET($BO$15,0,0,$B$14,1)) + $B$18/($B$19*$B$19*($DN235&lt;&gt;$DO235) + $B$19*($DN235=$DO235))</f>
        <v>3.3333333333333331E-3</v>
      </c>
      <c r="EX235" s="10" cm="1">
        <f t="array" aca="1" ref="EX235" ca="1">(1-$B$18)*SUMPRODUCT(OFFSET($BO$15,0,0,$B$14,1), 1*(_xlfn._xlws.FILTER(OFFSET($O$15,0,$DN235,$B$8,1),OFFSET($M$15,0,0,$B$8,1))=EX$13), 1*(_xlfn._xlws.FILTER(OFFSET($O$15,0,$DO235,$B$8,1),OFFSET($M$15,0,0,$B$8,1))=EX$14))   /   SUM(OFFSET($BO$15,0,0,$B$14,1)) + $B$18/($B$19*$B$19*($DN235&lt;&gt;$DO235) + $B$19*($DN235=$DO235))</f>
        <v>3.3333333333333331E-3</v>
      </c>
      <c r="EY235" s="10" cm="1">
        <f t="array" aca="1" ref="EY235" ca="1">(1-$B$18)*SUMPRODUCT(OFFSET($BO$15,0,0,$B$14,1), 1*(_xlfn._xlws.FILTER(OFFSET($O$15,0,$DN235,$B$8,1),OFFSET($M$15,0,0,$B$8,1))=EY$13), 1*(_xlfn._xlws.FILTER(OFFSET($O$15,0,$DO235,$B$8,1),OFFSET($M$15,0,0,$B$8,1))=EY$14))   /   SUM(OFFSET($BO$15,0,0,$B$14,1)) + $B$18/($B$19*$B$19*($DN235&lt;&gt;$DO235) + $B$19*($DN235=$DO235))</f>
        <v>3.3333333333333331E-3</v>
      </c>
      <c r="EZ235" s="10" cm="1">
        <f t="array" aca="1" ref="EZ235" ca="1">(1-$B$18)*SUMPRODUCT(OFFSET($BO$15,0,0,$B$14,1), 1*(_xlfn._xlws.FILTER(OFFSET($O$15,0,$DN235,$B$8,1),OFFSET($M$15,0,0,$B$8,1))=EZ$13), 1*(_xlfn._xlws.FILTER(OFFSET($O$15,0,$DO235,$B$8,1),OFFSET($M$15,0,0,$B$8,1))=EZ$14))   /   SUM(OFFSET($BO$15,0,0,$B$14,1)) + $B$18/($B$19*$B$19*($DN235&lt;&gt;$DO235) + $B$19*($DN235=$DO235))</f>
        <v>3.3333333333333331E-3</v>
      </c>
      <c r="FA235" s="10" cm="1">
        <f t="array" aca="1" ref="FA235" ca="1">(1-$B$18)*SUMPRODUCT(OFFSET($BO$15,0,0,$B$14,1), 1*(_xlfn._xlws.FILTER(OFFSET($O$15,0,$DN235,$B$8,1),OFFSET($M$15,0,0,$B$8,1))=FA$13), 1*(_xlfn._xlws.FILTER(OFFSET($O$15,0,$DO235,$B$8,1),OFFSET($M$15,0,0,$B$8,1))=FA$14))   /   SUM(OFFSET($BO$15,0,0,$B$14,1)) + $B$18/($B$19*$B$19*($DN235&lt;&gt;$DO235) + $B$19*($DN235=$DO235))</f>
        <v>3.3333333333333331E-3</v>
      </c>
      <c r="FB235" s="10" cm="1">
        <f t="array" aca="1" ref="FB235" ca="1">(1-$B$18)*SUMPRODUCT(OFFSET($BO$15,0,0,$B$14,1), 1*(_xlfn._xlws.FILTER(OFFSET($O$15,0,$DN235,$B$8,1),OFFSET($M$15,0,0,$B$8,1))=FB$13), 1*(_xlfn._xlws.FILTER(OFFSET($O$15,0,$DO235,$B$8,1),OFFSET($M$15,0,0,$B$8,1))=FB$14))   /   SUM(OFFSET($BO$15,0,0,$B$14,1)) + $B$18/($B$19*$B$19*($DN235&lt;&gt;$DO235) + $B$19*($DN235=$DO235))</f>
        <v>3.3333333333333331E-3</v>
      </c>
      <c r="FC235" s="10" cm="1">
        <f t="array" aca="1" ref="FC235" ca="1">(1-$B$18)*SUMPRODUCT(OFFSET($BO$15,0,0,$B$14,1), 1*(_xlfn._xlws.FILTER(OFFSET($O$15,0,$DN235,$B$8,1),OFFSET($M$15,0,0,$B$8,1))=FC$13), 1*(_xlfn._xlws.FILTER(OFFSET($O$15,0,$DO235,$B$8,1),OFFSET($M$15,0,0,$B$8,1))=FC$14))   /   SUM(OFFSET($BO$15,0,0,$B$14,1)) + $B$18/($B$19*$B$19*($DN235&lt;&gt;$DO235) + $B$19*($DN235=$DO235))</f>
        <v>3.3333333333333331E-3</v>
      </c>
      <c r="FD235" s="10" cm="1">
        <f t="array" aca="1" ref="FD235" ca="1">(1-$B$18)*SUMPRODUCT(OFFSET($BO$15,0,0,$B$14,1), 1*(_xlfn._xlws.FILTER(OFFSET($O$15,0,$DN235,$B$8,1),OFFSET($M$15,0,0,$B$8,1))=FD$13), 1*(_xlfn._xlws.FILTER(OFFSET($O$15,0,$DO235,$B$8,1),OFFSET($M$15,0,0,$B$8,1))=FD$14))   /   SUM(OFFSET($BO$15,0,0,$B$14,1)) + $B$18/($B$19*$B$19*($DN235&lt;&gt;$DO235) + $B$19*($DN235=$DO235))</f>
        <v>3.3333333333333331E-3</v>
      </c>
      <c r="FE235" s="10" cm="1">
        <f t="array" aca="1" ref="FE235" ca="1">(1-$B$18)*SUMPRODUCT(OFFSET($BO$15,0,0,$B$14,1), 1*(_xlfn._xlws.FILTER(OFFSET($O$15,0,$DN235,$B$8,1),OFFSET($M$15,0,0,$B$8,1))=FE$13), 1*(_xlfn._xlws.FILTER(OFFSET($O$15,0,$DO235,$B$8,1),OFFSET($M$15,0,0,$B$8,1))=FE$14))   /   SUM(OFFSET($BO$15,0,0,$B$14,1)) + $B$18/($B$19*$B$19*($DN235&lt;&gt;$DO235) + $B$19*($DN235=$DO235))</f>
        <v>3.3333333333333331E-3</v>
      </c>
      <c r="FF235" s="10" cm="1">
        <f t="array" aca="1" ref="FF235" ca="1">(1-$B$18)*SUMPRODUCT(OFFSET($BO$15,0,0,$B$14,1), 1*(_xlfn._xlws.FILTER(OFFSET($O$15,0,$DN235,$B$8,1),OFFSET($M$15,0,0,$B$8,1))=FF$13), 1*(_xlfn._xlws.FILTER(OFFSET($O$15,0,$DO235,$B$8,1),OFFSET($M$15,0,0,$B$8,1))=FF$14))   /   SUM(OFFSET($BO$15,0,0,$B$14,1)) + $B$18/($B$19*$B$19*($DN235&lt;&gt;$DO235) + $B$19*($DN235=$DO235))</f>
        <v>3.3333333333333331E-3</v>
      </c>
      <c r="FG235" s="10" cm="1">
        <f t="array" aca="1" ref="FG235" ca="1">(1-$B$18)*SUMPRODUCT(OFFSET($BO$15,0,0,$B$14,1), 1*(_xlfn._xlws.FILTER(OFFSET($O$15,0,$DN235,$B$8,1),OFFSET($M$15,0,0,$B$8,1))=FG$13), 1*(_xlfn._xlws.FILTER(OFFSET($O$15,0,$DO235,$B$8,1),OFFSET($M$15,0,0,$B$8,1))=FG$14))   /   SUM(OFFSET($BO$15,0,0,$B$14,1)) + $B$18/($B$19*$B$19*($DN235&lt;&gt;$DO235) + $B$19*($DN235=$DO235))</f>
        <v>3.3333333333333331E-3</v>
      </c>
      <c r="FH235" s="10" cm="1">
        <f t="array" aca="1" ref="FH235" ca="1">(1-$B$18)*SUMPRODUCT(OFFSET($BO$15,0,0,$B$14,1), 1*(_xlfn._xlws.FILTER(OFFSET($O$15,0,$DN235,$B$8,1),OFFSET($M$15,0,0,$B$8,1))=FH$13), 1*(_xlfn._xlws.FILTER(OFFSET($O$15,0,$DO235,$B$8,1),OFFSET($M$15,0,0,$B$8,1))=FH$14))   /   SUM(OFFSET($BO$15,0,0,$B$14,1)) + $B$18/($B$19*$B$19*($DN235&lt;&gt;$DO235) + $B$19*($DN235=$DO235))</f>
        <v>3.3333333333333331E-3</v>
      </c>
      <c r="FI235" s="10" cm="1">
        <f t="array" aca="1" ref="FI235" ca="1">(1-$B$18)*SUMPRODUCT(OFFSET($BO$15,0,0,$B$14,1), 1*(_xlfn._xlws.FILTER(OFFSET($O$15,0,$DN235,$B$8,1),OFFSET($M$15,0,0,$B$8,1))=FI$13), 1*(_xlfn._xlws.FILTER(OFFSET($O$15,0,$DO235,$B$8,1),OFFSET($M$15,0,0,$B$8,1))=FI$14))   /   SUM(OFFSET($BO$15,0,0,$B$14,1)) + $B$18/($B$19*$B$19*($DN235&lt;&gt;$DO235) + $B$19*($DN235=$DO235))</f>
        <v>3.3333333333333331E-3</v>
      </c>
      <c r="FJ235" s="10" cm="1">
        <f t="array" aca="1" ref="FJ235" ca="1">(1-$B$18)*SUMPRODUCT(OFFSET($BO$15,0,0,$B$14,1), 1*(_xlfn._xlws.FILTER(OFFSET($O$15,0,$DN235,$B$8,1),OFFSET($M$15,0,0,$B$8,1))=FJ$13), 1*(_xlfn._xlws.FILTER(OFFSET($O$15,0,$DO235,$B$8,1),OFFSET($M$15,0,0,$B$8,1))=FJ$14))   /   SUM(OFFSET($BO$15,0,0,$B$14,1)) + $B$18/($B$19*$B$19*($DN235&lt;&gt;$DO235) + $B$19*($DN235=$DO235))</f>
        <v>3.3333333333333331E-3</v>
      </c>
      <c r="FK235" s="10" cm="1">
        <f t="array" aca="1" ref="FK235" ca="1">(1-$B$18)*SUMPRODUCT(OFFSET($BO$15,0,0,$B$14,1), 1*(_xlfn._xlws.FILTER(OFFSET($O$15,0,$DN235,$B$8,1),OFFSET($M$15,0,0,$B$8,1))=FK$13), 1*(_xlfn._xlws.FILTER(OFFSET($O$15,0,$DO235,$B$8,1),OFFSET($M$15,0,0,$B$8,1))=FK$14))   /   SUM(OFFSET($BO$15,0,0,$B$14,1)) + $B$18/($B$19*$B$19*($DN235&lt;&gt;$DO235) + $B$19*($DN235=$DO235))</f>
        <v>3.3333333333333331E-3</v>
      </c>
      <c r="FL235" s="10" cm="1">
        <f t="array" aca="1" ref="FL235" ca="1">(1-$B$18)*SUMPRODUCT(OFFSET($BO$15,0,0,$B$14,1), 1*(_xlfn._xlws.FILTER(OFFSET($O$15,0,$DN235,$B$8,1),OFFSET($M$15,0,0,$B$8,1))=FL$13), 1*(_xlfn._xlws.FILTER(OFFSET($O$15,0,$DO235,$B$8,1),OFFSET($M$15,0,0,$B$8,1))=FL$14))   /   SUM(OFFSET($BO$15,0,0,$B$14,1)) + $B$18/($B$19*$B$19*($DN235&lt;&gt;$DO235) + $B$19*($DN235=$DO235))</f>
        <v>3.3333333333333331E-3</v>
      </c>
      <c r="FM235" s="10" cm="1">
        <f t="array" aca="1" ref="FM235" ca="1">(1-$B$18)*SUMPRODUCT(OFFSET($BO$15,0,0,$B$14,1), 1*(_xlfn._xlws.FILTER(OFFSET($O$15,0,$DN235,$B$8,1),OFFSET($M$15,0,0,$B$8,1))=FM$13), 1*(_xlfn._xlws.FILTER(OFFSET($O$15,0,$DO235,$B$8,1),OFFSET($M$15,0,0,$B$8,1))=FM$14))   /   SUM(OFFSET($BO$15,0,0,$B$14,1)) + $B$18/($B$19*$B$19*($DN235&lt;&gt;$DO235) + $B$19*($DN235=$DO235))</f>
        <v>3.3333333333333331E-3</v>
      </c>
      <c r="FN235" s="10" cm="1">
        <f t="array" aca="1" ref="FN235" ca="1">(1-$B$18)*SUMPRODUCT(OFFSET($BO$15,0,0,$B$14,1), 1*(_xlfn._xlws.FILTER(OFFSET($O$15,0,$DN235,$B$8,1),OFFSET($M$15,0,0,$B$8,1))=FN$13), 1*(_xlfn._xlws.FILTER(OFFSET($O$15,0,$DO235,$B$8,1),OFFSET($M$15,0,0,$B$8,1))=FN$14))   /   SUM(OFFSET($BO$15,0,0,$B$14,1)) + $B$18/($B$19*$B$19*($DN235&lt;&gt;$DO235) + $B$19*($DN235=$DO235))</f>
        <v>3.3333333333333331E-3</v>
      </c>
      <c r="FO235" s="10" cm="1">
        <f t="array" aca="1" ref="FO235" ca="1">(1-$B$18)*SUMPRODUCT(OFFSET($BO$15,0,0,$B$14,1), 1*(_xlfn._xlws.FILTER(OFFSET($O$15,0,$DN235,$B$8,1),OFFSET($M$15,0,0,$B$8,1))=FO$13), 1*(_xlfn._xlws.FILTER(OFFSET($O$15,0,$DO235,$B$8,1),OFFSET($M$15,0,0,$B$8,1))=FO$14))   /   SUM(OFFSET($BO$15,0,0,$B$14,1)) + $B$18/($B$19*$B$19*($DN235&lt;&gt;$DO235) + $B$19*($DN235=$DO235))</f>
        <v>3.3333333333333331E-3</v>
      </c>
      <c r="FP235" s="10" cm="1">
        <f t="array" aca="1" ref="FP235" ca="1">(1-$B$18)*SUMPRODUCT(OFFSET($BO$15,0,0,$B$14,1), 1*(_xlfn._xlws.FILTER(OFFSET($O$15,0,$DN235,$B$8,1),OFFSET($M$15,0,0,$B$8,1))=FP$13), 1*(_xlfn._xlws.FILTER(OFFSET($O$15,0,$DO235,$B$8,1),OFFSET($M$15,0,0,$B$8,1))=FP$14))   /   SUM(OFFSET($BO$15,0,0,$B$14,1)) + $B$18/($B$19*$B$19*($DN235&lt;&gt;$DO235) + $B$19*($DN235=$DO235))</f>
        <v>3.3333333333333331E-3</v>
      </c>
      <c r="FQ235" s="10" cm="1">
        <f t="array" aca="1" ref="FQ235" ca="1">(1-$B$18)*SUMPRODUCT(OFFSET($BO$15,0,0,$B$14,1), 1*(_xlfn._xlws.FILTER(OFFSET($O$15,0,$DN235,$B$8,1),OFFSET($M$15,0,0,$B$8,1))=FQ$13), 1*(_xlfn._xlws.FILTER(OFFSET($O$15,0,$DO235,$B$8,1),OFFSET($M$15,0,0,$B$8,1))=FQ$14))   /   SUM(OFFSET($BO$15,0,0,$B$14,1)) + $B$18/($B$19*$B$19*($DN235&lt;&gt;$DO235) + $B$19*($DN235=$DO235))</f>
        <v>3.3333333333333331E-3</v>
      </c>
      <c r="FR235" s="10" cm="1">
        <f t="array" aca="1" ref="FR235" ca="1">(1-$B$18)*SUMPRODUCT(OFFSET($BO$15,0,0,$B$14,1), 1*(_xlfn._xlws.FILTER(OFFSET($O$15,0,$DN235,$B$8,1),OFFSET($M$15,0,0,$B$8,1))=FR$13), 1*(_xlfn._xlws.FILTER(OFFSET($O$15,0,$DO235,$B$8,1),OFFSET($M$15,0,0,$B$8,1))=FR$14))   /   SUM(OFFSET($BO$15,0,0,$B$14,1)) + $B$18/($B$19*$B$19*($DN235&lt;&gt;$DO235) + $B$19*($DN235=$DO235))</f>
        <v>3.3333333333333331E-3</v>
      </c>
      <c r="FS235" s="10" cm="1">
        <f t="array" aca="1" ref="FS235" ca="1">(1-$B$18)*SUMPRODUCT(OFFSET($BO$15,0,0,$B$14,1), 1*(_xlfn._xlws.FILTER(OFFSET($O$15,0,$DN235,$B$8,1),OFFSET($M$15,0,0,$B$8,1))=FS$13), 1*(_xlfn._xlws.FILTER(OFFSET($O$15,0,$DO235,$B$8,1),OFFSET($M$15,0,0,$B$8,1))=FS$14))   /   SUM(OFFSET($BO$15,0,0,$B$14,1)) + $B$18/($B$19*$B$19*($DN235&lt;&gt;$DO235) + $B$19*($DN235=$DO235))</f>
        <v>3.3333333333333331E-3</v>
      </c>
      <c r="FT235" s="10" cm="1">
        <f t="array" aca="1" ref="FT235" ca="1">(1-$B$18)*SUMPRODUCT(OFFSET($BO$15,0,0,$B$14,1), 1*(_xlfn._xlws.FILTER(OFFSET($O$15,0,$DN235,$B$8,1),OFFSET($M$15,0,0,$B$8,1))=FT$13), 1*(_xlfn._xlws.FILTER(OFFSET($O$15,0,$DO235,$B$8,1),OFFSET($M$15,0,0,$B$8,1))=FT$14))   /   SUM(OFFSET($BO$15,0,0,$B$14,1)) + $B$18/($B$19*$B$19*($DN235&lt;&gt;$DO235) + $B$19*($DN235=$DO235))</f>
        <v>3.3333333333333331E-3</v>
      </c>
      <c r="FU235" s="10" cm="1">
        <f t="array" aca="1" ref="FU235" ca="1">(1-$B$18)*SUMPRODUCT(OFFSET($BO$15,0,0,$B$14,1), 1*(_xlfn._xlws.FILTER(OFFSET($O$15,0,$DN235,$B$8,1),OFFSET($M$15,0,0,$B$8,1))=FU$13), 1*(_xlfn._xlws.FILTER(OFFSET($O$15,0,$DO235,$B$8,1),OFFSET($M$15,0,0,$B$8,1))=FU$14))   /   SUM(OFFSET($BO$15,0,0,$B$14,1)) + $B$18/($B$19*$B$19*($DN235&lt;&gt;$DO235) + $B$19*($DN235=$DO235))</f>
        <v>3.3333333333333331E-3</v>
      </c>
      <c r="FV235" s="10" cm="1">
        <f t="array" aca="1" ref="FV235" ca="1">(1-$B$18)*SUMPRODUCT(OFFSET($BO$15,0,0,$B$14,1), 1*(_xlfn._xlws.FILTER(OFFSET($O$15,0,$DN235,$B$8,1),OFFSET($M$15,0,0,$B$8,1))=FV$13), 1*(_xlfn._xlws.FILTER(OFFSET($O$15,0,$DO235,$B$8,1),OFFSET($M$15,0,0,$B$8,1))=FV$14))   /   SUM(OFFSET($BO$15,0,0,$B$14,1)) + $B$18/($B$19*$B$19*($DN235&lt;&gt;$DO235) + $B$19*($DN235=$DO235))</f>
        <v>3.3333333333333331E-3</v>
      </c>
      <c r="FW235" s="10" cm="1">
        <f t="array" aca="1" ref="FW235" ca="1">(1-$B$18)*SUMPRODUCT(OFFSET($BO$15,0,0,$B$14,1), 1*(_xlfn._xlws.FILTER(OFFSET($O$15,0,$DN235,$B$8,1),OFFSET($M$15,0,0,$B$8,1))=FW$13), 1*(_xlfn._xlws.FILTER(OFFSET($O$15,0,$DO235,$B$8,1),OFFSET($M$15,0,0,$B$8,1))=FW$14))   /   SUM(OFFSET($BO$15,0,0,$B$14,1)) + $B$18/($B$19*$B$19*($DN235&lt;&gt;$DO235) + $B$19*($DN235=$DO235))</f>
        <v>3.3333333333333331E-3</v>
      </c>
      <c r="FX235" s="10" cm="1">
        <f t="array" aca="1" ref="FX235" ca="1">(1-$B$18)*SUMPRODUCT(OFFSET($BO$15,0,0,$B$14,1), 1*(_xlfn._xlws.FILTER(OFFSET($O$15,0,$DN235,$B$8,1),OFFSET($M$15,0,0,$B$8,1))=FX$13), 1*(_xlfn._xlws.FILTER(OFFSET($O$15,0,$DO235,$B$8,1),OFFSET($M$15,0,0,$B$8,1))=FX$14))   /   SUM(OFFSET($BO$15,0,0,$B$14,1)) + $B$18/($B$19*$B$19*($DN235&lt;&gt;$DO235) + $B$19*($DN235=$DO235))</f>
        <v>3.3333333333333331E-3</v>
      </c>
      <c r="FY235" s="10" cm="1">
        <f t="array" aca="1" ref="FY235" ca="1">(1-$B$18)*SUMPRODUCT(OFFSET($BO$15,0,0,$B$14,1), 1*(_xlfn._xlws.FILTER(OFFSET($O$15,0,$DN235,$B$8,1),OFFSET($M$15,0,0,$B$8,1))=FY$13), 1*(_xlfn._xlws.FILTER(OFFSET($O$15,0,$DO235,$B$8,1),OFFSET($M$15,0,0,$B$8,1))=FY$14))   /   SUM(OFFSET($BO$15,0,0,$B$14,1)) + $B$18/($B$19*$B$19*($DN235&lt;&gt;$DO235) + $B$19*($DN235=$DO235))</f>
        <v>3.3333333333333331E-3</v>
      </c>
      <c r="FZ235" s="10" cm="1">
        <f t="array" aca="1" ref="FZ235" ca="1">(1-$B$18)*SUMPRODUCT(OFFSET($BO$15,0,0,$B$14,1), 1*(_xlfn._xlws.FILTER(OFFSET($O$15,0,$DN235,$B$8,1),OFFSET($M$15,0,0,$B$8,1))=FZ$13), 1*(_xlfn._xlws.FILTER(OFFSET($O$15,0,$DO235,$B$8,1),OFFSET($M$15,0,0,$B$8,1))=FZ$14))   /   SUM(OFFSET($BO$15,0,0,$B$14,1)) + $B$18/($B$19*$B$19*($DN235&lt;&gt;$DO235) + $B$19*($DN235=$DO235))</f>
        <v>3.3333333333333331E-3</v>
      </c>
      <c r="GA235" s="10" cm="1">
        <f t="array" aca="1" ref="GA235" ca="1">(1-$B$18)*SUMPRODUCT(OFFSET($BO$15,0,0,$B$14,1), 1*(_xlfn._xlws.FILTER(OFFSET($O$15,0,$DN235,$B$8,1),OFFSET($M$15,0,0,$B$8,1))=GA$13), 1*(_xlfn._xlws.FILTER(OFFSET($O$15,0,$DO235,$B$8,1),OFFSET($M$15,0,0,$B$8,1))=GA$14))   /   SUM(OFFSET($BO$15,0,0,$B$14,1)) + $B$18/($B$19*$B$19*($DN235&lt;&gt;$DO235) + $B$19*($DN235=$DO235))</f>
        <v>3.3333333333333331E-3</v>
      </c>
    </row>
    <row r="236" spans="118:183" x14ac:dyDescent="0.2">
      <c r="DN236" cm="1">
        <f t="array" aca="1" ref="DN236" ca="1">INDEX(_xlfn.ANCHORARRAY($CP$15), 1 + INT((ROWS($DO$15:$DO236) - 1) / ROWS(_xlfn.ANCHORARRAY($CP$15))))</f>
        <v>12</v>
      </c>
      <c r="DO236" cm="1">
        <f t="array" aca="1" ref="DO236" ca="1">INDEX(_xlfn.ANCHORARRAY($CP$15),1+MOD(ROWS($DO$15:$DO236)-1,ROWS(_xlfn.ANCHORARRAY($CP$15))))</f>
        <v>13</v>
      </c>
      <c r="DP236" s="10" cm="1">
        <f t="array" aca="1" ref="DP236" ca="1">(1-$B$18)*SUMPRODUCT(OFFSET($BO$15,0,0,$B$14,1), 1*(_xlfn._xlws.FILTER(OFFSET($O$15,0,$DN236,$B$8,1),OFFSET($M$15,0,0,$B$8,1))=DP$13), 1*(_xlfn._xlws.FILTER(OFFSET($O$15,0,$DO236,$B$8,1),OFFSET($M$15,0,0,$B$8,1))=DP$14))   /   SUM(OFFSET($BO$15,0,0,$B$14,1)) + $B$18/($B$19*$B$19*($DN236&lt;&gt;$DO236) + $B$19*($DN236=$DO236))</f>
        <v>3.7037037037037035E-4</v>
      </c>
      <c r="DQ236" s="10" cm="1">
        <f t="array" aca="1" ref="DQ236" ca="1">(1-$B$18)*SUMPRODUCT(OFFSET($BO$15,0,0,$B$14,1), 1*(_xlfn._xlws.FILTER(OFFSET($O$15,0,$DN236,$B$8,1),OFFSET($M$15,0,0,$B$8,1))=DQ$13), 1*(_xlfn._xlws.FILTER(OFFSET($O$15,0,$DO236,$B$8,1),OFFSET($M$15,0,0,$B$8,1))=DQ$14))   /   SUM(OFFSET($BO$15,0,0,$B$14,1)) + $B$18/($B$19*$B$19*($DN236&lt;&gt;$DO236) + $B$19*($DN236=$DO236))</f>
        <v>3.7037037037037035E-4</v>
      </c>
      <c r="DR236" s="10" cm="1">
        <f t="array" aca="1" ref="DR236" ca="1">(1-$B$18)*SUMPRODUCT(OFFSET($BO$15,0,0,$B$14,1), 1*(_xlfn._xlws.FILTER(OFFSET($O$15,0,$DN236,$B$8,1),OFFSET($M$15,0,0,$B$8,1))=DR$13), 1*(_xlfn._xlws.FILTER(OFFSET($O$15,0,$DO236,$B$8,1),OFFSET($M$15,0,0,$B$8,1))=DR$14))   /   SUM(OFFSET($BO$15,0,0,$B$14,1)) + $B$18/($B$19*$B$19*($DN236&lt;&gt;$DO236) + $B$19*($DN236=$DO236))</f>
        <v>3.7037037037037035E-4</v>
      </c>
      <c r="DS236" s="10" cm="1">
        <f t="array" aca="1" ref="DS236" ca="1">(1-$B$18)*SUMPRODUCT(OFFSET($BO$15,0,0,$B$14,1), 1*(_xlfn._xlws.FILTER(OFFSET($O$15,0,$DN236,$B$8,1),OFFSET($M$15,0,0,$B$8,1))=DS$13), 1*(_xlfn._xlws.FILTER(OFFSET($O$15,0,$DO236,$B$8,1),OFFSET($M$15,0,0,$B$8,1))=DS$14))   /   SUM(OFFSET($BO$15,0,0,$B$14,1)) + $B$18/($B$19*$B$19*($DN236&lt;&gt;$DO236) + $B$19*($DN236=$DO236))</f>
        <v>3.7037037037037035E-4</v>
      </c>
      <c r="DT236" s="10" cm="1">
        <f t="array" aca="1" ref="DT236" ca="1">(1-$B$18)*SUMPRODUCT(OFFSET($BO$15,0,0,$B$14,1), 1*(_xlfn._xlws.FILTER(OFFSET($O$15,0,$DN236,$B$8,1),OFFSET($M$15,0,0,$B$8,1))=DT$13), 1*(_xlfn._xlws.FILTER(OFFSET($O$15,0,$DO236,$B$8,1),OFFSET($M$15,0,0,$B$8,1))=DT$14))   /   SUM(OFFSET($BO$15,0,0,$B$14,1)) + $B$18/($B$19*$B$19*($DN236&lt;&gt;$DO236) + $B$19*($DN236=$DO236))</f>
        <v>3.7037037037037035E-4</v>
      </c>
      <c r="DU236" s="10" cm="1">
        <f t="array" aca="1" ref="DU236" ca="1">(1-$B$18)*SUMPRODUCT(OFFSET($BO$15,0,0,$B$14,1), 1*(_xlfn._xlws.FILTER(OFFSET($O$15,0,$DN236,$B$8,1),OFFSET($M$15,0,0,$B$8,1))=DU$13), 1*(_xlfn._xlws.FILTER(OFFSET($O$15,0,$DO236,$B$8,1),OFFSET($M$15,0,0,$B$8,1))=DU$14))   /   SUM(OFFSET($BO$15,0,0,$B$14,1)) + $B$18/($B$19*$B$19*($DN236&lt;&gt;$DO236) + $B$19*($DN236=$DO236))</f>
        <v>3.7037037037037035E-4</v>
      </c>
      <c r="DV236" s="10" cm="1">
        <f t="array" aca="1" ref="DV236" ca="1">(1-$B$18)*SUMPRODUCT(OFFSET($BO$15,0,0,$B$14,1), 1*(_xlfn._xlws.FILTER(OFFSET($O$15,0,$DN236,$B$8,1),OFFSET($M$15,0,0,$B$8,1))=DV$13), 1*(_xlfn._xlws.FILTER(OFFSET($O$15,0,$DO236,$B$8,1),OFFSET($M$15,0,0,$B$8,1))=DV$14))   /   SUM(OFFSET($BO$15,0,0,$B$14,1)) + $B$18/($B$19*$B$19*($DN236&lt;&gt;$DO236) + $B$19*($DN236=$DO236))</f>
        <v>3.7037037037037035E-4</v>
      </c>
      <c r="DW236" s="10" cm="1">
        <f t="array" aca="1" ref="DW236" ca="1">(1-$B$18)*SUMPRODUCT(OFFSET($BO$15,0,0,$B$14,1), 1*(_xlfn._xlws.FILTER(OFFSET($O$15,0,$DN236,$B$8,1),OFFSET($M$15,0,0,$B$8,1))=DW$13), 1*(_xlfn._xlws.FILTER(OFFSET($O$15,0,$DO236,$B$8,1),OFFSET($M$15,0,0,$B$8,1))=DW$14))   /   SUM(OFFSET($BO$15,0,0,$B$14,1)) + $B$18/($B$19*$B$19*($DN236&lt;&gt;$DO236) + $B$19*($DN236=$DO236))</f>
        <v>3.7037037037037035E-4</v>
      </c>
      <c r="DX236" s="10" cm="1">
        <f t="array" aca="1" ref="DX236" ca="1">(1-$B$18)*SUMPRODUCT(OFFSET($BO$15,0,0,$B$14,1), 1*(_xlfn._xlws.FILTER(OFFSET($O$15,0,$DN236,$B$8,1),OFFSET($M$15,0,0,$B$8,1))=DX$13), 1*(_xlfn._xlws.FILTER(OFFSET($O$15,0,$DO236,$B$8,1),OFFSET($M$15,0,0,$B$8,1))=DX$14))   /   SUM(OFFSET($BO$15,0,0,$B$14,1)) + $B$18/($B$19*$B$19*($DN236&lt;&gt;$DO236) + $B$19*($DN236=$DO236))</f>
        <v>3.7037037037037035E-4</v>
      </c>
      <c r="DY236" s="10" cm="1">
        <f t="array" aca="1" ref="DY236" ca="1">(1-$B$18)*SUMPRODUCT(OFFSET($BO$15,0,0,$B$14,1), 1*(_xlfn._xlws.FILTER(OFFSET($O$15,0,$DN236,$B$8,1),OFFSET($M$15,0,0,$B$8,1))=DY$13), 1*(_xlfn._xlws.FILTER(OFFSET($O$15,0,$DO236,$B$8,1),OFFSET($M$15,0,0,$B$8,1))=DY$14))   /   SUM(OFFSET($BO$15,0,0,$B$14,1)) + $B$18/($B$19*$B$19*($DN236&lt;&gt;$DO236) + $B$19*($DN236=$DO236))</f>
        <v>0.97037037037037033</v>
      </c>
      <c r="DZ236" s="10" cm="1">
        <f t="array" aca="1" ref="DZ236" ca="1">(1-$B$18)*SUMPRODUCT(OFFSET($BO$15,0,0,$B$14,1), 1*(_xlfn._xlws.FILTER(OFFSET($O$15,0,$DN236,$B$8,1),OFFSET($M$15,0,0,$B$8,1))=DZ$13), 1*(_xlfn._xlws.FILTER(OFFSET($O$15,0,$DO236,$B$8,1),OFFSET($M$15,0,0,$B$8,1))=DZ$14))   /   SUM(OFFSET($BO$15,0,0,$B$14,1)) + $B$18/($B$19*$B$19*($DN236&lt;&gt;$DO236) + $B$19*($DN236=$DO236))</f>
        <v>3.7037037037037035E-4</v>
      </c>
      <c r="EA236" s="10" cm="1">
        <f t="array" aca="1" ref="EA236" ca="1">(1-$B$18)*SUMPRODUCT(OFFSET($BO$15,0,0,$B$14,1), 1*(_xlfn._xlws.FILTER(OFFSET($O$15,0,$DN236,$B$8,1),OFFSET($M$15,0,0,$B$8,1))=EA$13), 1*(_xlfn._xlws.FILTER(OFFSET($O$15,0,$DO236,$B$8,1),OFFSET($M$15,0,0,$B$8,1))=EA$14))   /   SUM(OFFSET($BO$15,0,0,$B$14,1)) + $B$18/($B$19*$B$19*($DN236&lt;&gt;$DO236) + $B$19*($DN236=$DO236))</f>
        <v>3.7037037037037035E-4</v>
      </c>
      <c r="EB236" s="10" cm="1">
        <f t="array" aca="1" ref="EB236" ca="1">(1-$B$18)*SUMPRODUCT(OFFSET($BO$15,0,0,$B$14,1), 1*(_xlfn._xlws.FILTER(OFFSET($O$15,0,$DN236,$B$8,1),OFFSET($M$15,0,0,$B$8,1))=EB$13), 1*(_xlfn._xlws.FILTER(OFFSET($O$15,0,$DO236,$B$8,1),OFFSET($M$15,0,0,$B$8,1))=EB$14))   /   SUM(OFFSET($BO$15,0,0,$B$14,1)) + $B$18/($B$19*$B$19*($DN236&lt;&gt;$DO236) + $B$19*($DN236=$DO236))</f>
        <v>3.7037037037037035E-4</v>
      </c>
      <c r="EC236" s="10" cm="1">
        <f t="array" aca="1" ref="EC236" ca="1">(1-$B$18)*SUMPRODUCT(OFFSET($BO$15,0,0,$B$14,1), 1*(_xlfn._xlws.FILTER(OFFSET($O$15,0,$DN236,$B$8,1),OFFSET($M$15,0,0,$B$8,1))=EC$13), 1*(_xlfn._xlws.FILTER(OFFSET($O$15,0,$DO236,$B$8,1),OFFSET($M$15,0,0,$B$8,1))=EC$14))   /   SUM(OFFSET($BO$15,0,0,$B$14,1)) + $B$18/($B$19*$B$19*($DN236&lt;&gt;$DO236) + $B$19*($DN236=$DO236))</f>
        <v>3.7037037037037035E-4</v>
      </c>
      <c r="ED236" s="10" cm="1">
        <f t="array" aca="1" ref="ED236" ca="1">(1-$B$18)*SUMPRODUCT(OFFSET($BO$15,0,0,$B$14,1), 1*(_xlfn._xlws.FILTER(OFFSET($O$15,0,$DN236,$B$8,1),OFFSET($M$15,0,0,$B$8,1))=ED$13), 1*(_xlfn._xlws.FILTER(OFFSET($O$15,0,$DO236,$B$8,1),OFFSET($M$15,0,0,$B$8,1))=ED$14))   /   SUM(OFFSET($BO$15,0,0,$B$14,1)) + $B$18/($B$19*$B$19*($DN236&lt;&gt;$DO236) + $B$19*($DN236=$DO236))</f>
        <v>3.7037037037037035E-4</v>
      </c>
      <c r="EE236" s="10" cm="1">
        <f t="array" aca="1" ref="EE236" ca="1">(1-$B$18)*SUMPRODUCT(OFFSET($BO$15,0,0,$B$14,1), 1*(_xlfn._xlws.FILTER(OFFSET($O$15,0,$DN236,$B$8,1),OFFSET($M$15,0,0,$B$8,1))=EE$13), 1*(_xlfn._xlws.FILTER(OFFSET($O$15,0,$DO236,$B$8,1),OFFSET($M$15,0,0,$B$8,1))=EE$14))   /   SUM(OFFSET($BO$15,0,0,$B$14,1)) + $B$18/($B$19*$B$19*($DN236&lt;&gt;$DO236) + $B$19*($DN236=$DO236))</f>
        <v>3.7037037037037035E-4</v>
      </c>
      <c r="EF236" s="10" cm="1">
        <f t="array" aca="1" ref="EF236" ca="1">(1-$B$18)*SUMPRODUCT(OFFSET($BO$15,0,0,$B$14,1), 1*(_xlfn._xlws.FILTER(OFFSET($O$15,0,$DN236,$B$8,1),OFFSET($M$15,0,0,$B$8,1))=EF$13), 1*(_xlfn._xlws.FILTER(OFFSET($O$15,0,$DO236,$B$8,1),OFFSET($M$15,0,0,$B$8,1))=EF$14))   /   SUM(OFFSET($BO$15,0,0,$B$14,1)) + $B$18/($B$19*$B$19*($DN236&lt;&gt;$DO236) + $B$19*($DN236=$DO236))</f>
        <v>3.7037037037037035E-4</v>
      </c>
      <c r="EG236" s="10" cm="1">
        <f t="array" aca="1" ref="EG236" ca="1">(1-$B$18)*SUMPRODUCT(OFFSET($BO$15,0,0,$B$14,1), 1*(_xlfn._xlws.FILTER(OFFSET($O$15,0,$DN236,$B$8,1),OFFSET($M$15,0,0,$B$8,1))=EG$13), 1*(_xlfn._xlws.FILTER(OFFSET($O$15,0,$DO236,$B$8,1),OFFSET($M$15,0,0,$B$8,1))=EG$14))   /   SUM(OFFSET($BO$15,0,0,$B$14,1)) + $B$18/($B$19*$B$19*($DN236&lt;&gt;$DO236) + $B$19*($DN236=$DO236))</f>
        <v>3.7037037037037035E-4</v>
      </c>
      <c r="EH236" s="10" cm="1">
        <f t="array" aca="1" ref="EH236" ca="1">(1-$B$18)*SUMPRODUCT(OFFSET($BO$15,0,0,$B$14,1), 1*(_xlfn._xlws.FILTER(OFFSET($O$15,0,$DN236,$B$8,1),OFFSET($M$15,0,0,$B$8,1))=EH$13), 1*(_xlfn._xlws.FILTER(OFFSET($O$15,0,$DO236,$B$8,1),OFFSET($M$15,0,0,$B$8,1))=EH$14))   /   SUM(OFFSET($BO$15,0,0,$B$14,1)) + $B$18/($B$19*$B$19*($DN236&lt;&gt;$DO236) + $B$19*($DN236=$DO236))</f>
        <v>3.7037037037037035E-4</v>
      </c>
      <c r="EI236" s="10" cm="1">
        <f t="array" aca="1" ref="EI236" ca="1">(1-$B$18)*SUMPRODUCT(OFFSET($BO$15,0,0,$B$14,1), 1*(_xlfn._xlws.FILTER(OFFSET($O$15,0,$DN236,$B$8,1),OFFSET($M$15,0,0,$B$8,1))=EI$13), 1*(_xlfn._xlws.FILTER(OFFSET($O$15,0,$DO236,$B$8,1),OFFSET($M$15,0,0,$B$8,1))=EI$14))   /   SUM(OFFSET($BO$15,0,0,$B$14,1)) + $B$18/($B$19*$B$19*($DN236&lt;&gt;$DO236) + $B$19*($DN236=$DO236))</f>
        <v>3.7037037037037035E-4</v>
      </c>
      <c r="EJ236" s="10" cm="1">
        <f t="array" aca="1" ref="EJ236" ca="1">(1-$B$18)*SUMPRODUCT(OFFSET($BO$15,0,0,$B$14,1), 1*(_xlfn._xlws.FILTER(OFFSET($O$15,0,$DN236,$B$8,1),OFFSET($M$15,0,0,$B$8,1))=EJ$13), 1*(_xlfn._xlws.FILTER(OFFSET($O$15,0,$DO236,$B$8,1),OFFSET($M$15,0,0,$B$8,1))=EJ$14))   /   SUM(OFFSET($BO$15,0,0,$B$14,1)) + $B$18/($B$19*$B$19*($DN236&lt;&gt;$DO236) + $B$19*($DN236=$DO236))</f>
        <v>3.7037037037037035E-4</v>
      </c>
      <c r="EK236" s="10" cm="1">
        <f t="array" aca="1" ref="EK236" ca="1">(1-$B$18)*SUMPRODUCT(OFFSET($BO$15,0,0,$B$14,1), 1*(_xlfn._xlws.FILTER(OFFSET($O$15,0,$DN236,$B$8,1),OFFSET($M$15,0,0,$B$8,1))=EK$13), 1*(_xlfn._xlws.FILTER(OFFSET($O$15,0,$DO236,$B$8,1),OFFSET($M$15,0,0,$B$8,1))=EK$14))   /   SUM(OFFSET($BO$15,0,0,$B$14,1)) + $B$18/($B$19*$B$19*($DN236&lt;&gt;$DO236) + $B$19*($DN236=$DO236))</f>
        <v>3.7037037037037035E-4</v>
      </c>
      <c r="EL236" s="10" cm="1">
        <f t="array" aca="1" ref="EL236" ca="1">(1-$B$18)*SUMPRODUCT(OFFSET($BO$15,0,0,$B$14,1), 1*(_xlfn._xlws.FILTER(OFFSET($O$15,0,$DN236,$B$8,1),OFFSET($M$15,0,0,$B$8,1))=EL$13), 1*(_xlfn._xlws.FILTER(OFFSET($O$15,0,$DO236,$B$8,1),OFFSET($M$15,0,0,$B$8,1))=EL$14))   /   SUM(OFFSET($BO$15,0,0,$B$14,1)) + $B$18/($B$19*$B$19*($DN236&lt;&gt;$DO236) + $B$19*($DN236=$DO236))</f>
        <v>3.7037037037037035E-4</v>
      </c>
      <c r="EM236" s="10" cm="1">
        <f t="array" aca="1" ref="EM236" ca="1">(1-$B$18)*SUMPRODUCT(OFFSET($BO$15,0,0,$B$14,1), 1*(_xlfn._xlws.FILTER(OFFSET($O$15,0,$DN236,$B$8,1),OFFSET($M$15,0,0,$B$8,1))=EM$13), 1*(_xlfn._xlws.FILTER(OFFSET($O$15,0,$DO236,$B$8,1),OFFSET($M$15,0,0,$B$8,1))=EM$14))   /   SUM(OFFSET($BO$15,0,0,$B$14,1)) + $B$18/($B$19*$B$19*($DN236&lt;&gt;$DO236) + $B$19*($DN236=$DO236))</f>
        <v>3.7037037037037035E-4</v>
      </c>
      <c r="EN236" s="10" cm="1">
        <f t="array" aca="1" ref="EN236" ca="1">(1-$B$18)*SUMPRODUCT(OFFSET($BO$15,0,0,$B$14,1), 1*(_xlfn._xlws.FILTER(OFFSET($O$15,0,$DN236,$B$8,1),OFFSET($M$15,0,0,$B$8,1))=EN$13), 1*(_xlfn._xlws.FILTER(OFFSET($O$15,0,$DO236,$B$8,1),OFFSET($M$15,0,0,$B$8,1))=EN$14))   /   SUM(OFFSET($BO$15,0,0,$B$14,1)) + $B$18/($B$19*$B$19*($DN236&lt;&gt;$DO236) + $B$19*($DN236=$DO236))</f>
        <v>3.7037037037037035E-4</v>
      </c>
      <c r="EO236" s="10" cm="1">
        <f t="array" aca="1" ref="EO236" ca="1">(1-$B$18)*SUMPRODUCT(OFFSET($BO$15,0,0,$B$14,1), 1*(_xlfn._xlws.FILTER(OFFSET($O$15,0,$DN236,$B$8,1),OFFSET($M$15,0,0,$B$8,1))=EO$13), 1*(_xlfn._xlws.FILTER(OFFSET($O$15,0,$DO236,$B$8,1),OFFSET($M$15,0,0,$B$8,1))=EO$14))   /   SUM(OFFSET($BO$15,0,0,$B$14,1)) + $B$18/($B$19*$B$19*($DN236&lt;&gt;$DO236) + $B$19*($DN236=$DO236))</f>
        <v>3.7037037037037035E-4</v>
      </c>
      <c r="EP236" s="10" cm="1">
        <f t="array" aca="1" ref="EP236" ca="1">(1-$B$18)*SUMPRODUCT(OFFSET($BO$15,0,0,$B$14,1), 1*(_xlfn._xlws.FILTER(OFFSET($O$15,0,$DN236,$B$8,1),OFFSET($M$15,0,0,$B$8,1))=EP$13), 1*(_xlfn._xlws.FILTER(OFFSET($O$15,0,$DO236,$B$8,1),OFFSET($M$15,0,0,$B$8,1))=EP$14))   /   SUM(OFFSET($BO$15,0,0,$B$14,1)) + $B$18/($B$19*$B$19*($DN236&lt;&gt;$DO236) + $B$19*($DN236=$DO236))</f>
        <v>3.7037037037037035E-4</v>
      </c>
      <c r="EQ236" s="10" cm="1">
        <f t="array" aca="1" ref="EQ236" ca="1">(1-$B$18)*SUMPRODUCT(OFFSET($BO$15,0,0,$B$14,1), 1*(_xlfn._xlws.FILTER(OFFSET($O$15,0,$DN236,$B$8,1),OFFSET($M$15,0,0,$B$8,1))=EQ$13), 1*(_xlfn._xlws.FILTER(OFFSET($O$15,0,$DO236,$B$8,1),OFFSET($M$15,0,0,$B$8,1))=EQ$14))   /   SUM(OFFSET($BO$15,0,0,$B$14,1)) + $B$18/($B$19*$B$19*($DN236&lt;&gt;$DO236) + $B$19*($DN236=$DO236))</f>
        <v>3.7037037037037035E-4</v>
      </c>
      <c r="ER236" s="10" cm="1">
        <f t="array" aca="1" ref="ER236" ca="1">(1-$B$18)*SUMPRODUCT(OFFSET($BO$15,0,0,$B$14,1), 1*(_xlfn._xlws.FILTER(OFFSET($O$15,0,$DN236,$B$8,1),OFFSET($M$15,0,0,$B$8,1))=ER$13), 1*(_xlfn._xlws.FILTER(OFFSET($O$15,0,$DO236,$B$8,1),OFFSET($M$15,0,0,$B$8,1))=ER$14))   /   SUM(OFFSET($BO$15,0,0,$B$14,1)) + $B$18/($B$19*$B$19*($DN236&lt;&gt;$DO236) + $B$19*($DN236=$DO236))</f>
        <v>3.7037037037037035E-4</v>
      </c>
      <c r="ES236" s="10" cm="1">
        <f t="array" aca="1" ref="ES236" ca="1">(1-$B$18)*SUMPRODUCT(OFFSET($BO$15,0,0,$B$14,1), 1*(_xlfn._xlws.FILTER(OFFSET($O$15,0,$DN236,$B$8,1),OFFSET($M$15,0,0,$B$8,1))=ES$13), 1*(_xlfn._xlws.FILTER(OFFSET($O$15,0,$DO236,$B$8,1),OFFSET($M$15,0,0,$B$8,1))=ES$14))   /   SUM(OFFSET($BO$15,0,0,$B$14,1)) + $B$18/($B$19*$B$19*($DN236&lt;&gt;$DO236) + $B$19*($DN236=$DO236))</f>
        <v>3.7037037037037035E-4</v>
      </c>
      <c r="ET236" s="10" cm="1">
        <f t="array" aca="1" ref="ET236" ca="1">(1-$B$18)*SUMPRODUCT(OFFSET($BO$15,0,0,$B$14,1), 1*(_xlfn._xlws.FILTER(OFFSET($O$15,0,$DN236,$B$8,1),OFFSET($M$15,0,0,$B$8,1))=ET$13), 1*(_xlfn._xlws.FILTER(OFFSET($O$15,0,$DO236,$B$8,1),OFFSET($M$15,0,0,$B$8,1))=ET$14))   /   SUM(OFFSET($BO$15,0,0,$B$14,1)) + $B$18/($B$19*$B$19*($DN236&lt;&gt;$DO236) + $B$19*($DN236=$DO236))</f>
        <v>3.7037037037037035E-4</v>
      </c>
      <c r="EU236" s="10" cm="1">
        <f t="array" aca="1" ref="EU236" ca="1">(1-$B$18)*SUMPRODUCT(OFFSET($BO$15,0,0,$B$14,1), 1*(_xlfn._xlws.FILTER(OFFSET($O$15,0,$DN236,$B$8,1),OFFSET($M$15,0,0,$B$8,1))=EU$13), 1*(_xlfn._xlws.FILTER(OFFSET($O$15,0,$DO236,$B$8,1),OFFSET($M$15,0,0,$B$8,1))=EU$14))   /   SUM(OFFSET($BO$15,0,0,$B$14,1)) + $B$18/($B$19*$B$19*($DN236&lt;&gt;$DO236) + $B$19*($DN236=$DO236))</f>
        <v>3.7037037037037035E-4</v>
      </c>
      <c r="EV236" s="10" cm="1">
        <f t="array" aca="1" ref="EV236" ca="1">(1-$B$18)*SUMPRODUCT(OFFSET($BO$15,0,0,$B$14,1), 1*(_xlfn._xlws.FILTER(OFFSET($O$15,0,$DN236,$B$8,1),OFFSET($M$15,0,0,$B$8,1))=EV$13), 1*(_xlfn._xlws.FILTER(OFFSET($O$15,0,$DO236,$B$8,1),OFFSET($M$15,0,0,$B$8,1))=EV$14))   /   SUM(OFFSET($BO$15,0,0,$B$14,1)) + $B$18/($B$19*$B$19*($DN236&lt;&gt;$DO236) + $B$19*($DN236=$DO236))</f>
        <v>3.7037037037037035E-4</v>
      </c>
      <c r="EW236" s="10" cm="1">
        <f t="array" aca="1" ref="EW236" ca="1">(1-$B$18)*SUMPRODUCT(OFFSET($BO$15,0,0,$B$14,1), 1*(_xlfn._xlws.FILTER(OFFSET($O$15,0,$DN236,$B$8,1),OFFSET($M$15,0,0,$B$8,1))=EW$13), 1*(_xlfn._xlws.FILTER(OFFSET($O$15,0,$DO236,$B$8,1),OFFSET($M$15,0,0,$B$8,1))=EW$14))   /   SUM(OFFSET($BO$15,0,0,$B$14,1)) + $B$18/($B$19*$B$19*($DN236&lt;&gt;$DO236) + $B$19*($DN236=$DO236))</f>
        <v>3.7037037037037035E-4</v>
      </c>
      <c r="EX236" s="10" cm="1">
        <f t="array" aca="1" ref="EX236" ca="1">(1-$B$18)*SUMPRODUCT(OFFSET($BO$15,0,0,$B$14,1), 1*(_xlfn._xlws.FILTER(OFFSET($O$15,0,$DN236,$B$8,1),OFFSET($M$15,0,0,$B$8,1))=EX$13), 1*(_xlfn._xlws.FILTER(OFFSET($O$15,0,$DO236,$B$8,1),OFFSET($M$15,0,0,$B$8,1))=EX$14))   /   SUM(OFFSET($BO$15,0,0,$B$14,1)) + $B$18/($B$19*$B$19*($DN236&lt;&gt;$DO236) + $B$19*($DN236=$DO236))</f>
        <v>3.7037037037037035E-4</v>
      </c>
      <c r="EY236" s="10" cm="1">
        <f t="array" aca="1" ref="EY236" ca="1">(1-$B$18)*SUMPRODUCT(OFFSET($BO$15,0,0,$B$14,1), 1*(_xlfn._xlws.FILTER(OFFSET($O$15,0,$DN236,$B$8,1),OFFSET($M$15,0,0,$B$8,1))=EY$13), 1*(_xlfn._xlws.FILTER(OFFSET($O$15,0,$DO236,$B$8,1),OFFSET($M$15,0,0,$B$8,1))=EY$14))   /   SUM(OFFSET($BO$15,0,0,$B$14,1)) + $B$18/($B$19*$B$19*($DN236&lt;&gt;$DO236) + $B$19*($DN236=$DO236))</f>
        <v>3.7037037037037035E-4</v>
      </c>
      <c r="EZ236" s="10" cm="1">
        <f t="array" aca="1" ref="EZ236" ca="1">(1-$B$18)*SUMPRODUCT(OFFSET($BO$15,0,0,$B$14,1), 1*(_xlfn._xlws.FILTER(OFFSET($O$15,0,$DN236,$B$8,1),OFFSET($M$15,0,0,$B$8,1))=EZ$13), 1*(_xlfn._xlws.FILTER(OFFSET($O$15,0,$DO236,$B$8,1),OFFSET($M$15,0,0,$B$8,1))=EZ$14))   /   SUM(OFFSET($BO$15,0,0,$B$14,1)) + $B$18/($B$19*$B$19*($DN236&lt;&gt;$DO236) + $B$19*($DN236=$DO236))</f>
        <v>3.7037037037037035E-4</v>
      </c>
      <c r="FA236" s="10" cm="1">
        <f t="array" aca="1" ref="FA236" ca="1">(1-$B$18)*SUMPRODUCT(OFFSET($BO$15,0,0,$B$14,1), 1*(_xlfn._xlws.FILTER(OFFSET($O$15,0,$DN236,$B$8,1),OFFSET($M$15,0,0,$B$8,1))=FA$13), 1*(_xlfn._xlws.FILTER(OFFSET($O$15,0,$DO236,$B$8,1),OFFSET($M$15,0,0,$B$8,1))=FA$14))   /   SUM(OFFSET($BO$15,0,0,$B$14,1)) + $B$18/($B$19*$B$19*($DN236&lt;&gt;$DO236) + $B$19*($DN236=$DO236))</f>
        <v>3.7037037037037035E-4</v>
      </c>
      <c r="FB236" s="10" cm="1">
        <f t="array" aca="1" ref="FB236" ca="1">(1-$B$18)*SUMPRODUCT(OFFSET($BO$15,0,0,$B$14,1), 1*(_xlfn._xlws.FILTER(OFFSET($O$15,0,$DN236,$B$8,1),OFFSET($M$15,0,0,$B$8,1))=FB$13), 1*(_xlfn._xlws.FILTER(OFFSET($O$15,0,$DO236,$B$8,1),OFFSET($M$15,0,0,$B$8,1))=FB$14))   /   SUM(OFFSET($BO$15,0,0,$B$14,1)) + $B$18/($B$19*$B$19*($DN236&lt;&gt;$DO236) + $B$19*($DN236=$DO236))</f>
        <v>3.7037037037037035E-4</v>
      </c>
      <c r="FC236" s="10" cm="1">
        <f t="array" aca="1" ref="FC236" ca="1">(1-$B$18)*SUMPRODUCT(OFFSET($BO$15,0,0,$B$14,1), 1*(_xlfn._xlws.FILTER(OFFSET($O$15,0,$DN236,$B$8,1),OFFSET($M$15,0,0,$B$8,1))=FC$13), 1*(_xlfn._xlws.FILTER(OFFSET($O$15,0,$DO236,$B$8,1),OFFSET($M$15,0,0,$B$8,1))=FC$14))   /   SUM(OFFSET($BO$15,0,0,$B$14,1)) + $B$18/($B$19*$B$19*($DN236&lt;&gt;$DO236) + $B$19*($DN236=$DO236))</f>
        <v>3.7037037037037035E-4</v>
      </c>
      <c r="FD236" s="10" cm="1">
        <f t="array" aca="1" ref="FD236" ca="1">(1-$B$18)*SUMPRODUCT(OFFSET($BO$15,0,0,$B$14,1), 1*(_xlfn._xlws.FILTER(OFFSET($O$15,0,$DN236,$B$8,1),OFFSET($M$15,0,0,$B$8,1))=FD$13), 1*(_xlfn._xlws.FILTER(OFFSET($O$15,0,$DO236,$B$8,1),OFFSET($M$15,0,0,$B$8,1))=FD$14))   /   SUM(OFFSET($BO$15,0,0,$B$14,1)) + $B$18/($B$19*$B$19*($DN236&lt;&gt;$DO236) + $B$19*($DN236=$DO236))</f>
        <v>3.7037037037037035E-4</v>
      </c>
      <c r="FE236" s="10" cm="1">
        <f t="array" aca="1" ref="FE236" ca="1">(1-$B$18)*SUMPRODUCT(OFFSET($BO$15,0,0,$B$14,1), 1*(_xlfn._xlws.FILTER(OFFSET($O$15,0,$DN236,$B$8,1),OFFSET($M$15,0,0,$B$8,1))=FE$13), 1*(_xlfn._xlws.FILTER(OFFSET($O$15,0,$DO236,$B$8,1),OFFSET($M$15,0,0,$B$8,1))=FE$14))   /   SUM(OFFSET($BO$15,0,0,$B$14,1)) + $B$18/($B$19*$B$19*($DN236&lt;&gt;$DO236) + $B$19*($DN236=$DO236))</f>
        <v>3.7037037037037035E-4</v>
      </c>
      <c r="FF236" s="10" cm="1">
        <f t="array" aca="1" ref="FF236" ca="1">(1-$B$18)*SUMPRODUCT(OFFSET($BO$15,0,0,$B$14,1), 1*(_xlfn._xlws.FILTER(OFFSET($O$15,0,$DN236,$B$8,1),OFFSET($M$15,0,0,$B$8,1))=FF$13), 1*(_xlfn._xlws.FILTER(OFFSET($O$15,0,$DO236,$B$8,1),OFFSET($M$15,0,0,$B$8,1))=FF$14))   /   SUM(OFFSET($BO$15,0,0,$B$14,1)) + $B$18/($B$19*$B$19*($DN236&lt;&gt;$DO236) + $B$19*($DN236=$DO236))</f>
        <v>3.7037037037037035E-4</v>
      </c>
      <c r="FG236" s="10" cm="1">
        <f t="array" aca="1" ref="FG236" ca="1">(1-$B$18)*SUMPRODUCT(OFFSET($BO$15,0,0,$B$14,1), 1*(_xlfn._xlws.FILTER(OFFSET($O$15,0,$DN236,$B$8,1),OFFSET($M$15,0,0,$B$8,1))=FG$13), 1*(_xlfn._xlws.FILTER(OFFSET($O$15,0,$DO236,$B$8,1),OFFSET($M$15,0,0,$B$8,1))=FG$14))   /   SUM(OFFSET($BO$15,0,0,$B$14,1)) + $B$18/($B$19*$B$19*($DN236&lt;&gt;$DO236) + $B$19*($DN236=$DO236))</f>
        <v>3.7037037037037035E-4</v>
      </c>
      <c r="FH236" s="10" cm="1">
        <f t="array" aca="1" ref="FH236" ca="1">(1-$B$18)*SUMPRODUCT(OFFSET($BO$15,0,0,$B$14,1), 1*(_xlfn._xlws.FILTER(OFFSET($O$15,0,$DN236,$B$8,1),OFFSET($M$15,0,0,$B$8,1))=FH$13), 1*(_xlfn._xlws.FILTER(OFFSET($O$15,0,$DO236,$B$8,1),OFFSET($M$15,0,0,$B$8,1))=FH$14))   /   SUM(OFFSET($BO$15,0,0,$B$14,1)) + $B$18/($B$19*$B$19*($DN236&lt;&gt;$DO236) + $B$19*($DN236=$DO236))</f>
        <v>3.7037037037037035E-4</v>
      </c>
      <c r="FI236" s="10" cm="1">
        <f t="array" aca="1" ref="FI236" ca="1">(1-$B$18)*SUMPRODUCT(OFFSET($BO$15,0,0,$B$14,1), 1*(_xlfn._xlws.FILTER(OFFSET($O$15,0,$DN236,$B$8,1),OFFSET($M$15,0,0,$B$8,1))=FI$13), 1*(_xlfn._xlws.FILTER(OFFSET($O$15,0,$DO236,$B$8,1),OFFSET($M$15,0,0,$B$8,1))=FI$14))   /   SUM(OFFSET($BO$15,0,0,$B$14,1)) + $B$18/($B$19*$B$19*($DN236&lt;&gt;$DO236) + $B$19*($DN236=$DO236))</f>
        <v>3.7037037037037035E-4</v>
      </c>
      <c r="FJ236" s="10" cm="1">
        <f t="array" aca="1" ref="FJ236" ca="1">(1-$B$18)*SUMPRODUCT(OFFSET($BO$15,0,0,$B$14,1), 1*(_xlfn._xlws.FILTER(OFFSET($O$15,0,$DN236,$B$8,1),OFFSET($M$15,0,0,$B$8,1))=FJ$13), 1*(_xlfn._xlws.FILTER(OFFSET($O$15,0,$DO236,$B$8,1),OFFSET($M$15,0,0,$B$8,1))=FJ$14))   /   SUM(OFFSET($BO$15,0,0,$B$14,1)) + $B$18/($B$19*$B$19*($DN236&lt;&gt;$DO236) + $B$19*($DN236=$DO236))</f>
        <v>3.7037037037037035E-4</v>
      </c>
      <c r="FK236" s="10" cm="1">
        <f t="array" aca="1" ref="FK236" ca="1">(1-$B$18)*SUMPRODUCT(OFFSET($BO$15,0,0,$B$14,1), 1*(_xlfn._xlws.FILTER(OFFSET($O$15,0,$DN236,$B$8,1),OFFSET($M$15,0,0,$B$8,1))=FK$13), 1*(_xlfn._xlws.FILTER(OFFSET($O$15,0,$DO236,$B$8,1),OFFSET($M$15,0,0,$B$8,1))=FK$14))   /   SUM(OFFSET($BO$15,0,0,$B$14,1)) + $B$18/($B$19*$B$19*($DN236&lt;&gt;$DO236) + $B$19*($DN236=$DO236))</f>
        <v>3.7037037037037035E-4</v>
      </c>
      <c r="FL236" s="10" cm="1">
        <f t="array" aca="1" ref="FL236" ca="1">(1-$B$18)*SUMPRODUCT(OFFSET($BO$15,0,0,$B$14,1), 1*(_xlfn._xlws.FILTER(OFFSET($O$15,0,$DN236,$B$8,1),OFFSET($M$15,0,0,$B$8,1))=FL$13), 1*(_xlfn._xlws.FILTER(OFFSET($O$15,0,$DO236,$B$8,1),OFFSET($M$15,0,0,$B$8,1))=FL$14))   /   SUM(OFFSET($BO$15,0,0,$B$14,1)) + $B$18/($B$19*$B$19*($DN236&lt;&gt;$DO236) + $B$19*($DN236=$DO236))</f>
        <v>3.7037037037037035E-4</v>
      </c>
      <c r="FM236" s="10" cm="1">
        <f t="array" aca="1" ref="FM236" ca="1">(1-$B$18)*SUMPRODUCT(OFFSET($BO$15,0,0,$B$14,1), 1*(_xlfn._xlws.FILTER(OFFSET($O$15,0,$DN236,$B$8,1),OFFSET($M$15,0,0,$B$8,1))=FM$13), 1*(_xlfn._xlws.FILTER(OFFSET($O$15,0,$DO236,$B$8,1),OFFSET($M$15,0,0,$B$8,1))=FM$14))   /   SUM(OFFSET($BO$15,0,0,$B$14,1)) + $B$18/($B$19*$B$19*($DN236&lt;&gt;$DO236) + $B$19*($DN236=$DO236))</f>
        <v>3.7037037037037035E-4</v>
      </c>
      <c r="FN236" s="10" cm="1">
        <f t="array" aca="1" ref="FN236" ca="1">(1-$B$18)*SUMPRODUCT(OFFSET($BO$15,0,0,$B$14,1), 1*(_xlfn._xlws.FILTER(OFFSET($O$15,0,$DN236,$B$8,1),OFFSET($M$15,0,0,$B$8,1))=FN$13), 1*(_xlfn._xlws.FILTER(OFFSET($O$15,0,$DO236,$B$8,1),OFFSET($M$15,0,0,$B$8,1))=FN$14))   /   SUM(OFFSET($BO$15,0,0,$B$14,1)) + $B$18/($B$19*$B$19*($DN236&lt;&gt;$DO236) + $B$19*($DN236=$DO236))</f>
        <v>3.7037037037037035E-4</v>
      </c>
      <c r="FO236" s="10" cm="1">
        <f t="array" aca="1" ref="FO236" ca="1">(1-$B$18)*SUMPRODUCT(OFFSET($BO$15,0,0,$B$14,1), 1*(_xlfn._xlws.FILTER(OFFSET($O$15,0,$DN236,$B$8,1),OFFSET($M$15,0,0,$B$8,1))=FO$13), 1*(_xlfn._xlws.FILTER(OFFSET($O$15,0,$DO236,$B$8,1),OFFSET($M$15,0,0,$B$8,1))=FO$14))   /   SUM(OFFSET($BO$15,0,0,$B$14,1)) + $B$18/($B$19*$B$19*($DN236&lt;&gt;$DO236) + $B$19*($DN236=$DO236))</f>
        <v>3.7037037037037035E-4</v>
      </c>
      <c r="FP236" s="10" cm="1">
        <f t="array" aca="1" ref="FP236" ca="1">(1-$B$18)*SUMPRODUCT(OFFSET($BO$15,0,0,$B$14,1), 1*(_xlfn._xlws.FILTER(OFFSET($O$15,0,$DN236,$B$8,1),OFFSET($M$15,0,0,$B$8,1))=FP$13), 1*(_xlfn._xlws.FILTER(OFFSET($O$15,0,$DO236,$B$8,1),OFFSET($M$15,0,0,$B$8,1))=FP$14))   /   SUM(OFFSET($BO$15,0,0,$B$14,1)) + $B$18/($B$19*$B$19*($DN236&lt;&gt;$DO236) + $B$19*($DN236=$DO236))</f>
        <v>3.7037037037037035E-4</v>
      </c>
      <c r="FQ236" s="10" cm="1">
        <f t="array" aca="1" ref="FQ236" ca="1">(1-$B$18)*SUMPRODUCT(OFFSET($BO$15,0,0,$B$14,1), 1*(_xlfn._xlws.FILTER(OFFSET($O$15,0,$DN236,$B$8,1),OFFSET($M$15,0,0,$B$8,1))=FQ$13), 1*(_xlfn._xlws.FILTER(OFFSET($O$15,0,$DO236,$B$8,1),OFFSET($M$15,0,0,$B$8,1))=FQ$14))   /   SUM(OFFSET($BO$15,0,0,$B$14,1)) + $B$18/($B$19*$B$19*($DN236&lt;&gt;$DO236) + $B$19*($DN236=$DO236))</f>
        <v>3.7037037037037035E-4</v>
      </c>
      <c r="FR236" s="10" cm="1">
        <f t="array" aca="1" ref="FR236" ca="1">(1-$B$18)*SUMPRODUCT(OFFSET($BO$15,0,0,$B$14,1), 1*(_xlfn._xlws.FILTER(OFFSET($O$15,0,$DN236,$B$8,1),OFFSET($M$15,0,0,$B$8,1))=FR$13), 1*(_xlfn._xlws.FILTER(OFFSET($O$15,0,$DO236,$B$8,1),OFFSET($M$15,0,0,$B$8,1))=FR$14))   /   SUM(OFFSET($BO$15,0,0,$B$14,1)) + $B$18/($B$19*$B$19*($DN236&lt;&gt;$DO236) + $B$19*($DN236=$DO236))</f>
        <v>3.7037037037037035E-4</v>
      </c>
      <c r="FS236" s="10" cm="1">
        <f t="array" aca="1" ref="FS236" ca="1">(1-$B$18)*SUMPRODUCT(OFFSET($BO$15,0,0,$B$14,1), 1*(_xlfn._xlws.FILTER(OFFSET($O$15,0,$DN236,$B$8,1),OFFSET($M$15,0,0,$B$8,1))=FS$13), 1*(_xlfn._xlws.FILTER(OFFSET($O$15,0,$DO236,$B$8,1),OFFSET($M$15,0,0,$B$8,1))=FS$14))   /   SUM(OFFSET($BO$15,0,0,$B$14,1)) + $B$18/($B$19*$B$19*($DN236&lt;&gt;$DO236) + $B$19*($DN236=$DO236))</f>
        <v>3.7037037037037035E-4</v>
      </c>
      <c r="FT236" s="10" cm="1">
        <f t="array" aca="1" ref="FT236" ca="1">(1-$B$18)*SUMPRODUCT(OFFSET($BO$15,0,0,$B$14,1), 1*(_xlfn._xlws.FILTER(OFFSET($O$15,0,$DN236,$B$8,1),OFFSET($M$15,0,0,$B$8,1))=FT$13), 1*(_xlfn._xlws.FILTER(OFFSET($O$15,0,$DO236,$B$8,1),OFFSET($M$15,0,0,$B$8,1))=FT$14))   /   SUM(OFFSET($BO$15,0,0,$B$14,1)) + $B$18/($B$19*$B$19*($DN236&lt;&gt;$DO236) + $B$19*($DN236=$DO236))</f>
        <v>3.7037037037037035E-4</v>
      </c>
      <c r="FU236" s="10" cm="1">
        <f t="array" aca="1" ref="FU236" ca="1">(1-$B$18)*SUMPRODUCT(OFFSET($BO$15,0,0,$B$14,1), 1*(_xlfn._xlws.FILTER(OFFSET($O$15,0,$DN236,$B$8,1),OFFSET($M$15,0,0,$B$8,1))=FU$13), 1*(_xlfn._xlws.FILTER(OFFSET($O$15,0,$DO236,$B$8,1),OFFSET($M$15,0,0,$B$8,1))=FU$14))   /   SUM(OFFSET($BO$15,0,0,$B$14,1)) + $B$18/($B$19*$B$19*($DN236&lt;&gt;$DO236) + $B$19*($DN236=$DO236))</f>
        <v>3.7037037037037035E-4</v>
      </c>
      <c r="FV236" s="10" cm="1">
        <f t="array" aca="1" ref="FV236" ca="1">(1-$B$18)*SUMPRODUCT(OFFSET($BO$15,0,0,$B$14,1), 1*(_xlfn._xlws.FILTER(OFFSET($O$15,0,$DN236,$B$8,1),OFFSET($M$15,0,0,$B$8,1))=FV$13), 1*(_xlfn._xlws.FILTER(OFFSET($O$15,0,$DO236,$B$8,1),OFFSET($M$15,0,0,$B$8,1))=FV$14))   /   SUM(OFFSET($BO$15,0,0,$B$14,1)) + $B$18/($B$19*$B$19*($DN236&lt;&gt;$DO236) + $B$19*($DN236=$DO236))</f>
        <v>3.7037037037037035E-4</v>
      </c>
      <c r="FW236" s="10" cm="1">
        <f t="array" aca="1" ref="FW236" ca="1">(1-$B$18)*SUMPRODUCT(OFFSET($BO$15,0,0,$B$14,1), 1*(_xlfn._xlws.FILTER(OFFSET($O$15,0,$DN236,$B$8,1),OFFSET($M$15,0,0,$B$8,1))=FW$13), 1*(_xlfn._xlws.FILTER(OFFSET($O$15,0,$DO236,$B$8,1),OFFSET($M$15,0,0,$B$8,1))=FW$14))   /   SUM(OFFSET($BO$15,0,0,$B$14,1)) + $B$18/($B$19*$B$19*($DN236&lt;&gt;$DO236) + $B$19*($DN236=$DO236))</f>
        <v>3.7037037037037035E-4</v>
      </c>
      <c r="FX236" s="10" cm="1">
        <f t="array" aca="1" ref="FX236" ca="1">(1-$B$18)*SUMPRODUCT(OFFSET($BO$15,0,0,$B$14,1), 1*(_xlfn._xlws.FILTER(OFFSET($O$15,0,$DN236,$B$8,1),OFFSET($M$15,0,0,$B$8,1))=FX$13), 1*(_xlfn._xlws.FILTER(OFFSET($O$15,0,$DO236,$B$8,1),OFFSET($M$15,0,0,$B$8,1))=FX$14))   /   SUM(OFFSET($BO$15,0,0,$B$14,1)) + $B$18/($B$19*$B$19*($DN236&lt;&gt;$DO236) + $B$19*($DN236=$DO236))</f>
        <v>3.7037037037037035E-4</v>
      </c>
      <c r="FY236" s="10" cm="1">
        <f t="array" aca="1" ref="FY236" ca="1">(1-$B$18)*SUMPRODUCT(OFFSET($BO$15,0,0,$B$14,1), 1*(_xlfn._xlws.FILTER(OFFSET($O$15,0,$DN236,$B$8,1),OFFSET($M$15,0,0,$B$8,1))=FY$13), 1*(_xlfn._xlws.FILTER(OFFSET($O$15,0,$DO236,$B$8,1),OFFSET($M$15,0,0,$B$8,1))=FY$14))   /   SUM(OFFSET($BO$15,0,0,$B$14,1)) + $B$18/($B$19*$B$19*($DN236&lt;&gt;$DO236) + $B$19*($DN236=$DO236))</f>
        <v>3.7037037037037035E-4</v>
      </c>
      <c r="FZ236" s="10" cm="1">
        <f t="array" aca="1" ref="FZ236" ca="1">(1-$B$18)*SUMPRODUCT(OFFSET($BO$15,0,0,$B$14,1), 1*(_xlfn._xlws.FILTER(OFFSET($O$15,0,$DN236,$B$8,1),OFFSET($M$15,0,0,$B$8,1))=FZ$13), 1*(_xlfn._xlws.FILTER(OFFSET($O$15,0,$DO236,$B$8,1),OFFSET($M$15,0,0,$B$8,1))=FZ$14))   /   SUM(OFFSET($BO$15,0,0,$B$14,1)) + $B$18/($B$19*$B$19*($DN236&lt;&gt;$DO236) + $B$19*($DN236=$DO236))</f>
        <v>3.7037037037037035E-4</v>
      </c>
      <c r="GA236" s="10" cm="1">
        <f t="array" aca="1" ref="GA236" ca="1">(1-$B$18)*SUMPRODUCT(OFFSET($BO$15,0,0,$B$14,1), 1*(_xlfn._xlws.FILTER(OFFSET($O$15,0,$DN236,$B$8,1),OFFSET($M$15,0,0,$B$8,1))=GA$13), 1*(_xlfn._xlws.FILTER(OFFSET($O$15,0,$DO236,$B$8,1),OFFSET($M$15,0,0,$B$8,1))=GA$14))   /   SUM(OFFSET($BO$15,0,0,$B$14,1)) + $B$18/($B$19*$B$19*($DN236&lt;&gt;$DO236) + $B$19*($DN236=$DO236))</f>
        <v>3.7037037037037035E-4</v>
      </c>
    </row>
    <row r="237" spans="118:183" x14ac:dyDescent="0.2">
      <c r="DN237" cm="1">
        <f t="array" aca="1" ref="DN237" ca="1">INDEX(_xlfn.ANCHORARRAY($CP$15), 1 + INT((ROWS($DO$15:$DO237) - 1) / ROWS(_xlfn.ANCHORARRAY($CP$15))))</f>
        <v>12</v>
      </c>
      <c r="DO237" cm="1">
        <f t="array" aca="1" ref="DO237" ca="1">INDEX(_xlfn.ANCHORARRAY($CP$15),1+MOD(ROWS($DO$15:$DO237)-1,ROWS(_xlfn.ANCHORARRAY($CP$15))))</f>
        <v>14</v>
      </c>
      <c r="DP237" s="10" cm="1">
        <f t="array" aca="1" ref="DP237" ca="1">(1-$B$18)*SUMPRODUCT(OFFSET($BO$15,0,0,$B$14,1), 1*(_xlfn._xlws.FILTER(OFFSET($O$15,0,$DN237,$B$8,1),OFFSET($M$15,0,0,$B$8,1))=DP$13), 1*(_xlfn._xlws.FILTER(OFFSET($O$15,0,$DO237,$B$8,1),OFFSET($M$15,0,0,$B$8,1))=DP$14))   /   SUM(OFFSET($BO$15,0,0,$B$14,1)) + $B$18/($B$19*$B$19*($DN237&lt;&gt;$DO237) + $B$19*($DN237=$DO237))</f>
        <v>3.7037037037037035E-4</v>
      </c>
      <c r="DQ237" s="10" cm="1">
        <f t="array" aca="1" ref="DQ237" ca="1">(1-$B$18)*SUMPRODUCT(OFFSET($BO$15,0,0,$B$14,1), 1*(_xlfn._xlws.FILTER(OFFSET($O$15,0,$DN237,$B$8,1),OFFSET($M$15,0,0,$B$8,1))=DQ$13), 1*(_xlfn._xlws.FILTER(OFFSET($O$15,0,$DO237,$B$8,1),OFFSET($M$15,0,0,$B$8,1))=DQ$14))   /   SUM(OFFSET($BO$15,0,0,$B$14,1)) + $B$18/($B$19*$B$19*($DN237&lt;&gt;$DO237) + $B$19*($DN237=$DO237))</f>
        <v>3.7037037037037035E-4</v>
      </c>
      <c r="DR237" s="10" cm="1">
        <f t="array" aca="1" ref="DR237" ca="1">(1-$B$18)*SUMPRODUCT(OFFSET($BO$15,0,0,$B$14,1), 1*(_xlfn._xlws.FILTER(OFFSET($O$15,0,$DN237,$B$8,1),OFFSET($M$15,0,0,$B$8,1))=DR$13), 1*(_xlfn._xlws.FILTER(OFFSET($O$15,0,$DO237,$B$8,1),OFFSET($M$15,0,0,$B$8,1))=DR$14))   /   SUM(OFFSET($BO$15,0,0,$B$14,1)) + $B$18/($B$19*$B$19*($DN237&lt;&gt;$DO237) + $B$19*($DN237=$DO237))</f>
        <v>3.7037037037037035E-4</v>
      </c>
      <c r="DS237" s="10" cm="1">
        <f t="array" aca="1" ref="DS237" ca="1">(1-$B$18)*SUMPRODUCT(OFFSET($BO$15,0,0,$B$14,1), 1*(_xlfn._xlws.FILTER(OFFSET($O$15,0,$DN237,$B$8,1),OFFSET($M$15,0,0,$B$8,1))=DS$13), 1*(_xlfn._xlws.FILTER(OFFSET($O$15,0,$DO237,$B$8,1),OFFSET($M$15,0,0,$B$8,1))=DS$14))   /   SUM(OFFSET($BO$15,0,0,$B$14,1)) + $B$18/($B$19*$B$19*($DN237&lt;&gt;$DO237) + $B$19*($DN237=$DO237))</f>
        <v>3.7037037037037035E-4</v>
      </c>
      <c r="DT237" s="10" cm="1">
        <f t="array" aca="1" ref="DT237" ca="1">(1-$B$18)*SUMPRODUCT(OFFSET($BO$15,0,0,$B$14,1), 1*(_xlfn._xlws.FILTER(OFFSET($O$15,0,$DN237,$B$8,1),OFFSET($M$15,0,0,$B$8,1))=DT$13), 1*(_xlfn._xlws.FILTER(OFFSET($O$15,0,$DO237,$B$8,1),OFFSET($M$15,0,0,$B$8,1))=DT$14))   /   SUM(OFFSET($BO$15,0,0,$B$14,1)) + $B$18/($B$19*$B$19*($DN237&lt;&gt;$DO237) + $B$19*($DN237=$DO237))</f>
        <v>3.7037037037037035E-4</v>
      </c>
      <c r="DU237" s="10" cm="1">
        <f t="array" aca="1" ref="DU237" ca="1">(1-$B$18)*SUMPRODUCT(OFFSET($BO$15,0,0,$B$14,1), 1*(_xlfn._xlws.FILTER(OFFSET($O$15,0,$DN237,$B$8,1),OFFSET($M$15,0,0,$B$8,1))=DU$13), 1*(_xlfn._xlws.FILTER(OFFSET($O$15,0,$DO237,$B$8,1),OFFSET($M$15,0,0,$B$8,1))=DU$14))   /   SUM(OFFSET($BO$15,0,0,$B$14,1)) + $B$18/($B$19*$B$19*($DN237&lt;&gt;$DO237) + $B$19*($DN237=$DO237))</f>
        <v>3.7037037037037035E-4</v>
      </c>
      <c r="DV237" s="10" cm="1">
        <f t="array" aca="1" ref="DV237" ca="1">(1-$B$18)*SUMPRODUCT(OFFSET($BO$15,0,0,$B$14,1), 1*(_xlfn._xlws.FILTER(OFFSET($O$15,0,$DN237,$B$8,1),OFFSET($M$15,0,0,$B$8,1))=DV$13), 1*(_xlfn._xlws.FILTER(OFFSET($O$15,0,$DO237,$B$8,1),OFFSET($M$15,0,0,$B$8,1))=DV$14))   /   SUM(OFFSET($BO$15,0,0,$B$14,1)) + $B$18/($B$19*$B$19*($DN237&lt;&gt;$DO237) + $B$19*($DN237=$DO237))</f>
        <v>3.7037037037037035E-4</v>
      </c>
      <c r="DW237" s="10" cm="1">
        <f t="array" aca="1" ref="DW237" ca="1">(1-$B$18)*SUMPRODUCT(OFFSET($BO$15,0,0,$B$14,1), 1*(_xlfn._xlws.FILTER(OFFSET($O$15,0,$DN237,$B$8,1),OFFSET($M$15,0,0,$B$8,1))=DW$13), 1*(_xlfn._xlws.FILTER(OFFSET($O$15,0,$DO237,$B$8,1),OFFSET($M$15,0,0,$B$8,1))=DW$14))   /   SUM(OFFSET($BO$15,0,0,$B$14,1)) + $B$18/($B$19*$B$19*($DN237&lt;&gt;$DO237) + $B$19*($DN237=$DO237))</f>
        <v>3.7037037037037035E-4</v>
      </c>
      <c r="DX237" s="10" cm="1">
        <f t="array" aca="1" ref="DX237" ca="1">(1-$B$18)*SUMPRODUCT(OFFSET($BO$15,0,0,$B$14,1), 1*(_xlfn._xlws.FILTER(OFFSET($O$15,0,$DN237,$B$8,1),OFFSET($M$15,0,0,$B$8,1))=DX$13), 1*(_xlfn._xlws.FILTER(OFFSET($O$15,0,$DO237,$B$8,1),OFFSET($M$15,0,0,$B$8,1))=DX$14))   /   SUM(OFFSET($BO$15,0,0,$B$14,1)) + $B$18/($B$19*$B$19*($DN237&lt;&gt;$DO237) + $B$19*($DN237=$DO237))</f>
        <v>3.7037037037037035E-4</v>
      </c>
      <c r="DY237" s="10" cm="1">
        <f t="array" aca="1" ref="DY237" ca="1">(1-$B$18)*SUMPRODUCT(OFFSET($BO$15,0,0,$B$14,1), 1*(_xlfn._xlws.FILTER(OFFSET($O$15,0,$DN237,$B$8,1),OFFSET($M$15,0,0,$B$8,1))=DY$13), 1*(_xlfn._xlws.FILTER(OFFSET($O$15,0,$DO237,$B$8,1),OFFSET($M$15,0,0,$B$8,1))=DY$14))   /   SUM(OFFSET($BO$15,0,0,$B$14,1)) + $B$18/($B$19*$B$19*($DN237&lt;&gt;$DO237) + $B$19*($DN237=$DO237))</f>
        <v>3.7037037037037035E-4</v>
      </c>
      <c r="DZ237" s="10" cm="1">
        <f t="array" aca="1" ref="DZ237" ca="1">(1-$B$18)*SUMPRODUCT(OFFSET($BO$15,0,0,$B$14,1), 1*(_xlfn._xlws.FILTER(OFFSET($O$15,0,$DN237,$B$8,1),OFFSET($M$15,0,0,$B$8,1))=DZ$13), 1*(_xlfn._xlws.FILTER(OFFSET($O$15,0,$DO237,$B$8,1),OFFSET($M$15,0,0,$B$8,1))=DZ$14))   /   SUM(OFFSET($BO$15,0,0,$B$14,1)) + $B$18/($B$19*$B$19*($DN237&lt;&gt;$DO237) + $B$19*($DN237=$DO237))</f>
        <v>0.97037037037037033</v>
      </c>
      <c r="EA237" s="10" cm="1">
        <f t="array" aca="1" ref="EA237" ca="1">(1-$B$18)*SUMPRODUCT(OFFSET($BO$15,0,0,$B$14,1), 1*(_xlfn._xlws.FILTER(OFFSET($O$15,0,$DN237,$B$8,1),OFFSET($M$15,0,0,$B$8,1))=EA$13), 1*(_xlfn._xlws.FILTER(OFFSET($O$15,0,$DO237,$B$8,1),OFFSET($M$15,0,0,$B$8,1))=EA$14))   /   SUM(OFFSET($BO$15,0,0,$B$14,1)) + $B$18/($B$19*$B$19*($DN237&lt;&gt;$DO237) + $B$19*($DN237=$DO237))</f>
        <v>3.7037037037037035E-4</v>
      </c>
      <c r="EB237" s="10" cm="1">
        <f t="array" aca="1" ref="EB237" ca="1">(1-$B$18)*SUMPRODUCT(OFFSET($BO$15,0,0,$B$14,1), 1*(_xlfn._xlws.FILTER(OFFSET($O$15,0,$DN237,$B$8,1),OFFSET($M$15,0,0,$B$8,1))=EB$13), 1*(_xlfn._xlws.FILTER(OFFSET($O$15,0,$DO237,$B$8,1),OFFSET($M$15,0,0,$B$8,1))=EB$14))   /   SUM(OFFSET($BO$15,0,0,$B$14,1)) + $B$18/($B$19*$B$19*($DN237&lt;&gt;$DO237) + $B$19*($DN237=$DO237))</f>
        <v>3.7037037037037035E-4</v>
      </c>
      <c r="EC237" s="10" cm="1">
        <f t="array" aca="1" ref="EC237" ca="1">(1-$B$18)*SUMPRODUCT(OFFSET($BO$15,0,0,$B$14,1), 1*(_xlfn._xlws.FILTER(OFFSET($O$15,0,$DN237,$B$8,1),OFFSET($M$15,0,0,$B$8,1))=EC$13), 1*(_xlfn._xlws.FILTER(OFFSET($O$15,0,$DO237,$B$8,1),OFFSET($M$15,0,0,$B$8,1))=EC$14))   /   SUM(OFFSET($BO$15,0,0,$B$14,1)) + $B$18/($B$19*$B$19*($DN237&lt;&gt;$DO237) + $B$19*($DN237=$DO237))</f>
        <v>3.7037037037037035E-4</v>
      </c>
      <c r="ED237" s="10" cm="1">
        <f t="array" aca="1" ref="ED237" ca="1">(1-$B$18)*SUMPRODUCT(OFFSET($BO$15,0,0,$B$14,1), 1*(_xlfn._xlws.FILTER(OFFSET($O$15,0,$DN237,$B$8,1),OFFSET($M$15,0,0,$B$8,1))=ED$13), 1*(_xlfn._xlws.FILTER(OFFSET($O$15,0,$DO237,$B$8,1),OFFSET($M$15,0,0,$B$8,1))=ED$14))   /   SUM(OFFSET($BO$15,0,0,$B$14,1)) + $B$18/($B$19*$B$19*($DN237&lt;&gt;$DO237) + $B$19*($DN237=$DO237))</f>
        <v>3.7037037037037035E-4</v>
      </c>
      <c r="EE237" s="10" cm="1">
        <f t="array" aca="1" ref="EE237" ca="1">(1-$B$18)*SUMPRODUCT(OFFSET($BO$15,0,0,$B$14,1), 1*(_xlfn._xlws.FILTER(OFFSET($O$15,0,$DN237,$B$8,1),OFFSET($M$15,0,0,$B$8,1))=EE$13), 1*(_xlfn._xlws.FILTER(OFFSET($O$15,0,$DO237,$B$8,1),OFFSET($M$15,0,0,$B$8,1))=EE$14))   /   SUM(OFFSET($BO$15,0,0,$B$14,1)) + $B$18/($B$19*$B$19*($DN237&lt;&gt;$DO237) + $B$19*($DN237=$DO237))</f>
        <v>3.7037037037037035E-4</v>
      </c>
      <c r="EF237" s="10" cm="1">
        <f t="array" aca="1" ref="EF237" ca="1">(1-$B$18)*SUMPRODUCT(OFFSET($BO$15,0,0,$B$14,1), 1*(_xlfn._xlws.FILTER(OFFSET($O$15,0,$DN237,$B$8,1),OFFSET($M$15,0,0,$B$8,1))=EF$13), 1*(_xlfn._xlws.FILTER(OFFSET($O$15,0,$DO237,$B$8,1),OFFSET($M$15,0,0,$B$8,1))=EF$14))   /   SUM(OFFSET($BO$15,0,0,$B$14,1)) + $B$18/($B$19*$B$19*($DN237&lt;&gt;$DO237) + $B$19*($DN237=$DO237))</f>
        <v>3.7037037037037035E-4</v>
      </c>
      <c r="EG237" s="10" cm="1">
        <f t="array" aca="1" ref="EG237" ca="1">(1-$B$18)*SUMPRODUCT(OFFSET($BO$15,0,0,$B$14,1), 1*(_xlfn._xlws.FILTER(OFFSET($O$15,0,$DN237,$B$8,1),OFFSET($M$15,0,0,$B$8,1))=EG$13), 1*(_xlfn._xlws.FILTER(OFFSET($O$15,0,$DO237,$B$8,1),OFFSET($M$15,0,0,$B$8,1))=EG$14))   /   SUM(OFFSET($BO$15,0,0,$B$14,1)) + $B$18/($B$19*$B$19*($DN237&lt;&gt;$DO237) + $B$19*($DN237=$DO237))</f>
        <v>3.7037037037037035E-4</v>
      </c>
      <c r="EH237" s="10" cm="1">
        <f t="array" aca="1" ref="EH237" ca="1">(1-$B$18)*SUMPRODUCT(OFFSET($BO$15,0,0,$B$14,1), 1*(_xlfn._xlws.FILTER(OFFSET($O$15,0,$DN237,$B$8,1),OFFSET($M$15,0,0,$B$8,1))=EH$13), 1*(_xlfn._xlws.FILTER(OFFSET($O$15,0,$DO237,$B$8,1),OFFSET($M$15,0,0,$B$8,1))=EH$14))   /   SUM(OFFSET($BO$15,0,0,$B$14,1)) + $B$18/($B$19*$B$19*($DN237&lt;&gt;$DO237) + $B$19*($DN237=$DO237))</f>
        <v>3.7037037037037035E-4</v>
      </c>
      <c r="EI237" s="10" cm="1">
        <f t="array" aca="1" ref="EI237" ca="1">(1-$B$18)*SUMPRODUCT(OFFSET($BO$15,0,0,$B$14,1), 1*(_xlfn._xlws.FILTER(OFFSET($O$15,0,$DN237,$B$8,1),OFFSET($M$15,0,0,$B$8,1))=EI$13), 1*(_xlfn._xlws.FILTER(OFFSET($O$15,0,$DO237,$B$8,1),OFFSET($M$15,0,0,$B$8,1))=EI$14))   /   SUM(OFFSET($BO$15,0,0,$B$14,1)) + $B$18/($B$19*$B$19*($DN237&lt;&gt;$DO237) + $B$19*($DN237=$DO237))</f>
        <v>3.7037037037037035E-4</v>
      </c>
      <c r="EJ237" s="10" cm="1">
        <f t="array" aca="1" ref="EJ237" ca="1">(1-$B$18)*SUMPRODUCT(OFFSET($BO$15,0,0,$B$14,1), 1*(_xlfn._xlws.FILTER(OFFSET($O$15,0,$DN237,$B$8,1),OFFSET($M$15,0,0,$B$8,1))=EJ$13), 1*(_xlfn._xlws.FILTER(OFFSET($O$15,0,$DO237,$B$8,1),OFFSET($M$15,0,0,$B$8,1))=EJ$14))   /   SUM(OFFSET($BO$15,0,0,$B$14,1)) + $B$18/($B$19*$B$19*($DN237&lt;&gt;$DO237) + $B$19*($DN237=$DO237))</f>
        <v>3.7037037037037035E-4</v>
      </c>
      <c r="EK237" s="10" cm="1">
        <f t="array" aca="1" ref="EK237" ca="1">(1-$B$18)*SUMPRODUCT(OFFSET($BO$15,0,0,$B$14,1), 1*(_xlfn._xlws.FILTER(OFFSET($O$15,0,$DN237,$B$8,1),OFFSET($M$15,0,0,$B$8,1))=EK$13), 1*(_xlfn._xlws.FILTER(OFFSET($O$15,0,$DO237,$B$8,1),OFFSET($M$15,0,0,$B$8,1))=EK$14))   /   SUM(OFFSET($BO$15,0,0,$B$14,1)) + $B$18/($B$19*$B$19*($DN237&lt;&gt;$DO237) + $B$19*($DN237=$DO237))</f>
        <v>3.7037037037037035E-4</v>
      </c>
      <c r="EL237" s="10" cm="1">
        <f t="array" aca="1" ref="EL237" ca="1">(1-$B$18)*SUMPRODUCT(OFFSET($BO$15,0,0,$B$14,1), 1*(_xlfn._xlws.FILTER(OFFSET($O$15,0,$DN237,$B$8,1),OFFSET($M$15,0,0,$B$8,1))=EL$13), 1*(_xlfn._xlws.FILTER(OFFSET($O$15,0,$DO237,$B$8,1),OFFSET($M$15,0,0,$B$8,1))=EL$14))   /   SUM(OFFSET($BO$15,0,0,$B$14,1)) + $B$18/($B$19*$B$19*($DN237&lt;&gt;$DO237) + $B$19*($DN237=$DO237))</f>
        <v>3.7037037037037035E-4</v>
      </c>
      <c r="EM237" s="10" cm="1">
        <f t="array" aca="1" ref="EM237" ca="1">(1-$B$18)*SUMPRODUCT(OFFSET($BO$15,0,0,$B$14,1), 1*(_xlfn._xlws.FILTER(OFFSET($O$15,0,$DN237,$B$8,1),OFFSET($M$15,0,0,$B$8,1))=EM$13), 1*(_xlfn._xlws.FILTER(OFFSET($O$15,0,$DO237,$B$8,1),OFFSET($M$15,0,0,$B$8,1))=EM$14))   /   SUM(OFFSET($BO$15,0,0,$B$14,1)) + $B$18/($B$19*$B$19*($DN237&lt;&gt;$DO237) + $B$19*($DN237=$DO237))</f>
        <v>3.7037037037037035E-4</v>
      </c>
      <c r="EN237" s="10" cm="1">
        <f t="array" aca="1" ref="EN237" ca="1">(1-$B$18)*SUMPRODUCT(OFFSET($BO$15,0,0,$B$14,1), 1*(_xlfn._xlws.FILTER(OFFSET($O$15,0,$DN237,$B$8,1),OFFSET($M$15,0,0,$B$8,1))=EN$13), 1*(_xlfn._xlws.FILTER(OFFSET($O$15,0,$DO237,$B$8,1),OFFSET($M$15,0,0,$B$8,1))=EN$14))   /   SUM(OFFSET($BO$15,0,0,$B$14,1)) + $B$18/($B$19*$B$19*($DN237&lt;&gt;$DO237) + $B$19*($DN237=$DO237))</f>
        <v>3.7037037037037035E-4</v>
      </c>
      <c r="EO237" s="10" cm="1">
        <f t="array" aca="1" ref="EO237" ca="1">(1-$B$18)*SUMPRODUCT(OFFSET($BO$15,0,0,$B$14,1), 1*(_xlfn._xlws.FILTER(OFFSET($O$15,0,$DN237,$B$8,1),OFFSET($M$15,0,0,$B$8,1))=EO$13), 1*(_xlfn._xlws.FILTER(OFFSET($O$15,0,$DO237,$B$8,1),OFFSET($M$15,0,0,$B$8,1))=EO$14))   /   SUM(OFFSET($BO$15,0,0,$B$14,1)) + $B$18/($B$19*$B$19*($DN237&lt;&gt;$DO237) + $B$19*($DN237=$DO237))</f>
        <v>3.7037037037037035E-4</v>
      </c>
      <c r="EP237" s="10" cm="1">
        <f t="array" aca="1" ref="EP237" ca="1">(1-$B$18)*SUMPRODUCT(OFFSET($BO$15,0,0,$B$14,1), 1*(_xlfn._xlws.FILTER(OFFSET($O$15,0,$DN237,$B$8,1),OFFSET($M$15,0,0,$B$8,1))=EP$13), 1*(_xlfn._xlws.FILTER(OFFSET($O$15,0,$DO237,$B$8,1),OFFSET($M$15,0,0,$B$8,1))=EP$14))   /   SUM(OFFSET($BO$15,0,0,$B$14,1)) + $B$18/($B$19*$B$19*($DN237&lt;&gt;$DO237) + $B$19*($DN237=$DO237))</f>
        <v>3.7037037037037035E-4</v>
      </c>
      <c r="EQ237" s="10" cm="1">
        <f t="array" aca="1" ref="EQ237" ca="1">(1-$B$18)*SUMPRODUCT(OFFSET($BO$15,0,0,$B$14,1), 1*(_xlfn._xlws.FILTER(OFFSET($O$15,0,$DN237,$B$8,1),OFFSET($M$15,0,0,$B$8,1))=EQ$13), 1*(_xlfn._xlws.FILTER(OFFSET($O$15,0,$DO237,$B$8,1),OFFSET($M$15,0,0,$B$8,1))=EQ$14))   /   SUM(OFFSET($BO$15,0,0,$B$14,1)) + $B$18/($B$19*$B$19*($DN237&lt;&gt;$DO237) + $B$19*($DN237=$DO237))</f>
        <v>3.7037037037037035E-4</v>
      </c>
      <c r="ER237" s="10" cm="1">
        <f t="array" aca="1" ref="ER237" ca="1">(1-$B$18)*SUMPRODUCT(OFFSET($BO$15,0,0,$B$14,1), 1*(_xlfn._xlws.FILTER(OFFSET($O$15,0,$DN237,$B$8,1),OFFSET($M$15,0,0,$B$8,1))=ER$13), 1*(_xlfn._xlws.FILTER(OFFSET($O$15,0,$DO237,$B$8,1),OFFSET($M$15,0,0,$B$8,1))=ER$14))   /   SUM(OFFSET($BO$15,0,0,$B$14,1)) + $B$18/($B$19*$B$19*($DN237&lt;&gt;$DO237) + $B$19*($DN237=$DO237))</f>
        <v>3.7037037037037035E-4</v>
      </c>
      <c r="ES237" s="10" cm="1">
        <f t="array" aca="1" ref="ES237" ca="1">(1-$B$18)*SUMPRODUCT(OFFSET($BO$15,0,0,$B$14,1), 1*(_xlfn._xlws.FILTER(OFFSET($O$15,0,$DN237,$B$8,1),OFFSET($M$15,0,0,$B$8,1))=ES$13), 1*(_xlfn._xlws.FILTER(OFFSET($O$15,0,$DO237,$B$8,1),OFFSET($M$15,0,0,$B$8,1))=ES$14))   /   SUM(OFFSET($BO$15,0,0,$B$14,1)) + $B$18/($B$19*$B$19*($DN237&lt;&gt;$DO237) + $B$19*($DN237=$DO237))</f>
        <v>3.7037037037037035E-4</v>
      </c>
      <c r="ET237" s="10" cm="1">
        <f t="array" aca="1" ref="ET237" ca="1">(1-$B$18)*SUMPRODUCT(OFFSET($BO$15,0,0,$B$14,1), 1*(_xlfn._xlws.FILTER(OFFSET($O$15,0,$DN237,$B$8,1),OFFSET($M$15,0,0,$B$8,1))=ET$13), 1*(_xlfn._xlws.FILTER(OFFSET($O$15,0,$DO237,$B$8,1),OFFSET($M$15,0,0,$B$8,1))=ET$14))   /   SUM(OFFSET($BO$15,0,0,$B$14,1)) + $B$18/($B$19*$B$19*($DN237&lt;&gt;$DO237) + $B$19*($DN237=$DO237))</f>
        <v>3.7037037037037035E-4</v>
      </c>
      <c r="EU237" s="10" cm="1">
        <f t="array" aca="1" ref="EU237" ca="1">(1-$B$18)*SUMPRODUCT(OFFSET($BO$15,0,0,$B$14,1), 1*(_xlfn._xlws.FILTER(OFFSET($O$15,0,$DN237,$B$8,1),OFFSET($M$15,0,0,$B$8,1))=EU$13), 1*(_xlfn._xlws.FILTER(OFFSET($O$15,0,$DO237,$B$8,1),OFFSET($M$15,0,0,$B$8,1))=EU$14))   /   SUM(OFFSET($BO$15,0,0,$B$14,1)) + $B$18/($B$19*$B$19*($DN237&lt;&gt;$DO237) + $B$19*($DN237=$DO237))</f>
        <v>3.7037037037037035E-4</v>
      </c>
      <c r="EV237" s="10" cm="1">
        <f t="array" aca="1" ref="EV237" ca="1">(1-$B$18)*SUMPRODUCT(OFFSET($BO$15,0,0,$B$14,1), 1*(_xlfn._xlws.FILTER(OFFSET($O$15,0,$DN237,$B$8,1),OFFSET($M$15,0,0,$B$8,1))=EV$13), 1*(_xlfn._xlws.FILTER(OFFSET($O$15,0,$DO237,$B$8,1),OFFSET($M$15,0,0,$B$8,1))=EV$14))   /   SUM(OFFSET($BO$15,0,0,$B$14,1)) + $B$18/($B$19*$B$19*($DN237&lt;&gt;$DO237) + $B$19*($DN237=$DO237))</f>
        <v>3.7037037037037035E-4</v>
      </c>
      <c r="EW237" s="10" cm="1">
        <f t="array" aca="1" ref="EW237" ca="1">(1-$B$18)*SUMPRODUCT(OFFSET($BO$15,0,0,$B$14,1), 1*(_xlfn._xlws.FILTER(OFFSET($O$15,0,$DN237,$B$8,1),OFFSET($M$15,0,0,$B$8,1))=EW$13), 1*(_xlfn._xlws.FILTER(OFFSET($O$15,0,$DO237,$B$8,1),OFFSET($M$15,0,0,$B$8,1))=EW$14))   /   SUM(OFFSET($BO$15,0,0,$B$14,1)) + $B$18/($B$19*$B$19*($DN237&lt;&gt;$DO237) + $B$19*($DN237=$DO237))</f>
        <v>3.7037037037037035E-4</v>
      </c>
      <c r="EX237" s="10" cm="1">
        <f t="array" aca="1" ref="EX237" ca="1">(1-$B$18)*SUMPRODUCT(OFFSET($BO$15,0,0,$B$14,1), 1*(_xlfn._xlws.FILTER(OFFSET($O$15,0,$DN237,$B$8,1),OFFSET($M$15,0,0,$B$8,1))=EX$13), 1*(_xlfn._xlws.FILTER(OFFSET($O$15,0,$DO237,$B$8,1),OFFSET($M$15,0,0,$B$8,1))=EX$14))   /   SUM(OFFSET($BO$15,0,0,$B$14,1)) + $B$18/($B$19*$B$19*($DN237&lt;&gt;$DO237) + $B$19*($DN237=$DO237))</f>
        <v>3.7037037037037035E-4</v>
      </c>
      <c r="EY237" s="10" cm="1">
        <f t="array" aca="1" ref="EY237" ca="1">(1-$B$18)*SUMPRODUCT(OFFSET($BO$15,0,0,$B$14,1), 1*(_xlfn._xlws.FILTER(OFFSET($O$15,0,$DN237,$B$8,1),OFFSET($M$15,0,0,$B$8,1))=EY$13), 1*(_xlfn._xlws.FILTER(OFFSET($O$15,0,$DO237,$B$8,1),OFFSET($M$15,0,0,$B$8,1))=EY$14))   /   SUM(OFFSET($BO$15,0,0,$B$14,1)) + $B$18/($B$19*$B$19*($DN237&lt;&gt;$DO237) + $B$19*($DN237=$DO237))</f>
        <v>3.7037037037037035E-4</v>
      </c>
      <c r="EZ237" s="10" cm="1">
        <f t="array" aca="1" ref="EZ237" ca="1">(1-$B$18)*SUMPRODUCT(OFFSET($BO$15,0,0,$B$14,1), 1*(_xlfn._xlws.FILTER(OFFSET($O$15,0,$DN237,$B$8,1),OFFSET($M$15,0,0,$B$8,1))=EZ$13), 1*(_xlfn._xlws.FILTER(OFFSET($O$15,0,$DO237,$B$8,1),OFFSET($M$15,0,0,$B$8,1))=EZ$14))   /   SUM(OFFSET($BO$15,0,0,$B$14,1)) + $B$18/($B$19*$B$19*($DN237&lt;&gt;$DO237) + $B$19*($DN237=$DO237))</f>
        <v>3.7037037037037035E-4</v>
      </c>
      <c r="FA237" s="10" cm="1">
        <f t="array" aca="1" ref="FA237" ca="1">(1-$B$18)*SUMPRODUCT(OFFSET($BO$15,0,0,$B$14,1), 1*(_xlfn._xlws.FILTER(OFFSET($O$15,0,$DN237,$B$8,1),OFFSET($M$15,0,0,$B$8,1))=FA$13), 1*(_xlfn._xlws.FILTER(OFFSET($O$15,0,$DO237,$B$8,1),OFFSET($M$15,0,0,$B$8,1))=FA$14))   /   SUM(OFFSET($BO$15,0,0,$B$14,1)) + $B$18/($B$19*$B$19*($DN237&lt;&gt;$DO237) + $B$19*($DN237=$DO237))</f>
        <v>3.7037037037037035E-4</v>
      </c>
      <c r="FB237" s="10" cm="1">
        <f t="array" aca="1" ref="FB237" ca="1">(1-$B$18)*SUMPRODUCT(OFFSET($BO$15,0,0,$B$14,1), 1*(_xlfn._xlws.FILTER(OFFSET($O$15,0,$DN237,$B$8,1),OFFSET($M$15,0,0,$B$8,1))=FB$13), 1*(_xlfn._xlws.FILTER(OFFSET($O$15,0,$DO237,$B$8,1),OFFSET($M$15,0,0,$B$8,1))=FB$14))   /   SUM(OFFSET($BO$15,0,0,$B$14,1)) + $B$18/($B$19*$B$19*($DN237&lt;&gt;$DO237) + $B$19*($DN237=$DO237))</f>
        <v>3.7037037037037035E-4</v>
      </c>
      <c r="FC237" s="10" cm="1">
        <f t="array" aca="1" ref="FC237" ca="1">(1-$B$18)*SUMPRODUCT(OFFSET($BO$15,0,0,$B$14,1), 1*(_xlfn._xlws.FILTER(OFFSET($O$15,0,$DN237,$B$8,1),OFFSET($M$15,0,0,$B$8,1))=FC$13), 1*(_xlfn._xlws.FILTER(OFFSET($O$15,0,$DO237,$B$8,1),OFFSET($M$15,0,0,$B$8,1))=FC$14))   /   SUM(OFFSET($BO$15,0,0,$B$14,1)) + $B$18/($B$19*$B$19*($DN237&lt;&gt;$DO237) + $B$19*($DN237=$DO237))</f>
        <v>3.7037037037037035E-4</v>
      </c>
      <c r="FD237" s="10" cm="1">
        <f t="array" aca="1" ref="FD237" ca="1">(1-$B$18)*SUMPRODUCT(OFFSET($BO$15,0,0,$B$14,1), 1*(_xlfn._xlws.FILTER(OFFSET($O$15,0,$DN237,$B$8,1),OFFSET($M$15,0,0,$B$8,1))=FD$13), 1*(_xlfn._xlws.FILTER(OFFSET($O$15,0,$DO237,$B$8,1),OFFSET($M$15,0,0,$B$8,1))=FD$14))   /   SUM(OFFSET($BO$15,0,0,$B$14,1)) + $B$18/($B$19*$B$19*($DN237&lt;&gt;$DO237) + $B$19*($DN237=$DO237))</f>
        <v>3.7037037037037035E-4</v>
      </c>
      <c r="FE237" s="10" cm="1">
        <f t="array" aca="1" ref="FE237" ca="1">(1-$B$18)*SUMPRODUCT(OFFSET($BO$15,0,0,$B$14,1), 1*(_xlfn._xlws.FILTER(OFFSET($O$15,0,$DN237,$B$8,1),OFFSET($M$15,0,0,$B$8,1))=FE$13), 1*(_xlfn._xlws.FILTER(OFFSET($O$15,0,$DO237,$B$8,1),OFFSET($M$15,0,0,$B$8,1))=FE$14))   /   SUM(OFFSET($BO$15,0,0,$B$14,1)) + $B$18/($B$19*$B$19*($DN237&lt;&gt;$DO237) + $B$19*($DN237=$DO237))</f>
        <v>3.7037037037037035E-4</v>
      </c>
      <c r="FF237" s="10" cm="1">
        <f t="array" aca="1" ref="FF237" ca="1">(1-$B$18)*SUMPRODUCT(OFFSET($BO$15,0,0,$B$14,1), 1*(_xlfn._xlws.FILTER(OFFSET($O$15,0,$DN237,$B$8,1),OFFSET($M$15,0,0,$B$8,1))=FF$13), 1*(_xlfn._xlws.FILTER(OFFSET($O$15,0,$DO237,$B$8,1),OFFSET($M$15,0,0,$B$8,1))=FF$14))   /   SUM(OFFSET($BO$15,0,0,$B$14,1)) + $B$18/($B$19*$B$19*($DN237&lt;&gt;$DO237) + $B$19*($DN237=$DO237))</f>
        <v>3.7037037037037035E-4</v>
      </c>
      <c r="FG237" s="10" cm="1">
        <f t="array" aca="1" ref="FG237" ca="1">(1-$B$18)*SUMPRODUCT(OFFSET($BO$15,0,0,$B$14,1), 1*(_xlfn._xlws.FILTER(OFFSET($O$15,0,$DN237,$B$8,1),OFFSET($M$15,0,0,$B$8,1))=FG$13), 1*(_xlfn._xlws.FILTER(OFFSET($O$15,0,$DO237,$B$8,1),OFFSET($M$15,0,0,$B$8,1))=FG$14))   /   SUM(OFFSET($BO$15,0,0,$B$14,1)) + $B$18/($B$19*$B$19*($DN237&lt;&gt;$DO237) + $B$19*($DN237=$DO237))</f>
        <v>3.7037037037037035E-4</v>
      </c>
      <c r="FH237" s="10" cm="1">
        <f t="array" aca="1" ref="FH237" ca="1">(1-$B$18)*SUMPRODUCT(OFFSET($BO$15,0,0,$B$14,1), 1*(_xlfn._xlws.FILTER(OFFSET($O$15,0,$DN237,$B$8,1),OFFSET($M$15,0,0,$B$8,1))=FH$13), 1*(_xlfn._xlws.FILTER(OFFSET($O$15,0,$DO237,$B$8,1),OFFSET($M$15,0,0,$B$8,1))=FH$14))   /   SUM(OFFSET($BO$15,0,0,$B$14,1)) + $B$18/($B$19*$B$19*($DN237&lt;&gt;$DO237) + $B$19*($DN237=$DO237))</f>
        <v>3.7037037037037035E-4</v>
      </c>
      <c r="FI237" s="10" cm="1">
        <f t="array" aca="1" ref="FI237" ca="1">(1-$B$18)*SUMPRODUCT(OFFSET($BO$15,0,0,$B$14,1), 1*(_xlfn._xlws.FILTER(OFFSET($O$15,0,$DN237,$B$8,1),OFFSET($M$15,0,0,$B$8,1))=FI$13), 1*(_xlfn._xlws.FILTER(OFFSET($O$15,0,$DO237,$B$8,1),OFFSET($M$15,0,0,$B$8,1))=FI$14))   /   SUM(OFFSET($BO$15,0,0,$B$14,1)) + $B$18/($B$19*$B$19*($DN237&lt;&gt;$DO237) + $B$19*($DN237=$DO237))</f>
        <v>3.7037037037037035E-4</v>
      </c>
      <c r="FJ237" s="10" cm="1">
        <f t="array" aca="1" ref="FJ237" ca="1">(1-$B$18)*SUMPRODUCT(OFFSET($BO$15,0,0,$B$14,1), 1*(_xlfn._xlws.FILTER(OFFSET($O$15,0,$DN237,$B$8,1),OFFSET($M$15,0,0,$B$8,1))=FJ$13), 1*(_xlfn._xlws.FILTER(OFFSET($O$15,0,$DO237,$B$8,1),OFFSET($M$15,0,0,$B$8,1))=FJ$14))   /   SUM(OFFSET($BO$15,0,0,$B$14,1)) + $B$18/($B$19*$B$19*($DN237&lt;&gt;$DO237) + $B$19*($DN237=$DO237))</f>
        <v>3.7037037037037035E-4</v>
      </c>
      <c r="FK237" s="10" cm="1">
        <f t="array" aca="1" ref="FK237" ca="1">(1-$B$18)*SUMPRODUCT(OFFSET($BO$15,0,0,$B$14,1), 1*(_xlfn._xlws.FILTER(OFFSET($O$15,0,$DN237,$B$8,1),OFFSET($M$15,0,0,$B$8,1))=FK$13), 1*(_xlfn._xlws.FILTER(OFFSET($O$15,0,$DO237,$B$8,1),OFFSET($M$15,0,0,$B$8,1))=FK$14))   /   SUM(OFFSET($BO$15,0,0,$B$14,1)) + $B$18/($B$19*$B$19*($DN237&lt;&gt;$DO237) + $B$19*($DN237=$DO237))</f>
        <v>3.7037037037037035E-4</v>
      </c>
      <c r="FL237" s="10" cm="1">
        <f t="array" aca="1" ref="FL237" ca="1">(1-$B$18)*SUMPRODUCT(OFFSET($BO$15,0,0,$B$14,1), 1*(_xlfn._xlws.FILTER(OFFSET($O$15,0,$DN237,$B$8,1),OFFSET($M$15,0,0,$B$8,1))=FL$13), 1*(_xlfn._xlws.FILTER(OFFSET($O$15,0,$DO237,$B$8,1),OFFSET($M$15,0,0,$B$8,1))=FL$14))   /   SUM(OFFSET($BO$15,0,0,$B$14,1)) + $B$18/($B$19*$B$19*($DN237&lt;&gt;$DO237) + $B$19*($DN237=$DO237))</f>
        <v>3.7037037037037035E-4</v>
      </c>
      <c r="FM237" s="10" cm="1">
        <f t="array" aca="1" ref="FM237" ca="1">(1-$B$18)*SUMPRODUCT(OFFSET($BO$15,0,0,$B$14,1), 1*(_xlfn._xlws.FILTER(OFFSET($O$15,0,$DN237,$B$8,1),OFFSET($M$15,0,0,$B$8,1))=FM$13), 1*(_xlfn._xlws.FILTER(OFFSET($O$15,0,$DO237,$B$8,1),OFFSET($M$15,0,0,$B$8,1))=FM$14))   /   SUM(OFFSET($BO$15,0,0,$B$14,1)) + $B$18/($B$19*$B$19*($DN237&lt;&gt;$DO237) + $B$19*($DN237=$DO237))</f>
        <v>3.7037037037037035E-4</v>
      </c>
      <c r="FN237" s="10" cm="1">
        <f t="array" aca="1" ref="FN237" ca="1">(1-$B$18)*SUMPRODUCT(OFFSET($BO$15,0,0,$B$14,1), 1*(_xlfn._xlws.FILTER(OFFSET($O$15,0,$DN237,$B$8,1),OFFSET($M$15,0,0,$B$8,1))=FN$13), 1*(_xlfn._xlws.FILTER(OFFSET($O$15,0,$DO237,$B$8,1),OFFSET($M$15,0,0,$B$8,1))=FN$14))   /   SUM(OFFSET($BO$15,0,0,$B$14,1)) + $B$18/($B$19*$B$19*($DN237&lt;&gt;$DO237) + $B$19*($DN237=$DO237))</f>
        <v>3.7037037037037035E-4</v>
      </c>
      <c r="FO237" s="10" cm="1">
        <f t="array" aca="1" ref="FO237" ca="1">(1-$B$18)*SUMPRODUCT(OFFSET($BO$15,0,0,$B$14,1), 1*(_xlfn._xlws.FILTER(OFFSET($O$15,0,$DN237,$B$8,1),OFFSET($M$15,0,0,$B$8,1))=FO$13), 1*(_xlfn._xlws.FILTER(OFFSET($O$15,0,$DO237,$B$8,1),OFFSET($M$15,0,0,$B$8,1))=FO$14))   /   SUM(OFFSET($BO$15,0,0,$B$14,1)) + $B$18/($B$19*$B$19*($DN237&lt;&gt;$DO237) + $B$19*($DN237=$DO237))</f>
        <v>3.7037037037037035E-4</v>
      </c>
      <c r="FP237" s="10" cm="1">
        <f t="array" aca="1" ref="FP237" ca="1">(1-$B$18)*SUMPRODUCT(OFFSET($BO$15,0,0,$B$14,1), 1*(_xlfn._xlws.FILTER(OFFSET($O$15,0,$DN237,$B$8,1),OFFSET($M$15,0,0,$B$8,1))=FP$13), 1*(_xlfn._xlws.FILTER(OFFSET($O$15,0,$DO237,$B$8,1),OFFSET($M$15,0,0,$B$8,1))=FP$14))   /   SUM(OFFSET($BO$15,0,0,$B$14,1)) + $B$18/($B$19*$B$19*($DN237&lt;&gt;$DO237) + $B$19*($DN237=$DO237))</f>
        <v>3.7037037037037035E-4</v>
      </c>
      <c r="FQ237" s="10" cm="1">
        <f t="array" aca="1" ref="FQ237" ca="1">(1-$B$18)*SUMPRODUCT(OFFSET($BO$15,0,0,$B$14,1), 1*(_xlfn._xlws.FILTER(OFFSET($O$15,0,$DN237,$B$8,1),OFFSET($M$15,0,0,$B$8,1))=FQ$13), 1*(_xlfn._xlws.FILTER(OFFSET($O$15,0,$DO237,$B$8,1),OFFSET($M$15,0,0,$B$8,1))=FQ$14))   /   SUM(OFFSET($BO$15,0,0,$B$14,1)) + $B$18/($B$19*$B$19*($DN237&lt;&gt;$DO237) + $B$19*($DN237=$DO237))</f>
        <v>3.7037037037037035E-4</v>
      </c>
      <c r="FR237" s="10" cm="1">
        <f t="array" aca="1" ref="FR237" ca="1">(1-$B$18)*SUMPRODUCT(OFFSET($BO$15,0,0,$B$14,1), 1*(_xlfn._xlws.FILTER(OFFSET($O$15,0,$DN237,$B$8,1),OFFSET($M$15,0,0,$B$8,1))=FR$13), 1*(_xlfn._xlws.FILTER(OFFSET($O$15,0,$DO237,$B$8,1),OFFSET($M$15,0,0,$B$8,1))=FR$14))   /   SUM(OFFSET($BO$15,0,0,$B$14,1)) + $B$18/($B$19*$B$19*($DN237&lt;&gt;$DO237) + $B$19*($DN237=$DO237))</f>
        <v>3.7037037037037035E-4</v>
      </c>
      <c r="FS237" s="10" cm="1">
        <f t="array" aca="1" ref="FS237" ca="1">(1-$B$18)*SUMPRODUCT(OFFSET($BO$15,0,0,$B$14,1), 1*(_xlfn._xlws.FILTER(OFFSET($O$15,0,$DN237,$B$8,1),OFFSET($M$15,0,0,$B$8,1))=FS$13), 1*(_xlfn._xlws.FILTER(OFFSET($O$15,0,$DO237,$B$8,1),OFFSET($M$15,0,0,$B$8,1))=FS$14))   /   SUM(OFFSET($BO$15,0,0,$B$14,1)) + $B$18/($B$19*$B$19*($DN237&lt;&gt;$DO237) + $B$19*($DN237=$DO237))</f>
        <v>3.7037037037037035E-4</v>
      </c>
      <c r="FT237" s="10" cm="1">
        <f t="array" aca="1" ref="FT237" ca="1">(1-$B$18)*SUMPRODUCT(OFFSET($BO$15,0,0,$B$14,1), 1*(_xlfn._xlws.FILTER(OFFSET($O$15,0,$DN237,$B$8,1),OFFSET($M$15,0,0,$B$8,1))=FT$13), 1*(_xlfn._xlws.FILTER(OFFSET($O$15,0,$DO237,$B$8,1),OFFSET($M$15,0,0,$B$8,1))=FT$14))   /   SUM(OFFSET($BO$15,0,0,$B$14,1)) + $B$18/($B$19*$B$19*($DN237&lt;&gt;$DO237) + $B$19*($DN237=$DO237))</f>
        <v>3.7037037037037035E-4</v>
      </c>
      <c r="FU237" s="10" cm="1">
        <f t="array" aca="1" ref="FU237" ca="1">(1-$B$18)*SUMPRODUCT(OFFSET($BO$15,0,0,$B$14,1), 1*(_xlfn._xlws.FILTER(OFFSET($O$15,0,$DN237,$B$8,1),OFFSET($M$15,0,0,$B$8,1))=FU$13), 1*(_xlfn._xlws.FILTER(OFFSET($O$15,0,$DO237,$B$8,1),OFFSET($M$15,0,0,$B$8,1))=FU$14))   /   SUM(OFFSET($BO$15,0,0,$B$14,1)) + $B$18/($B$19*$B$19*($DN237&lt;&gt;$DO237) + $B$19*($DN237=$DO237))</f>
        <v>3.7037037037037035E-4</v>
      </c>
      <c r="FV237" s="10" cm="1">
        <f t="array" aca="1" ref="FV237" ca="1">(1-$B$18)*SUMPRODUCT(OFFSET($BO$15,0,0,$B$14,1), 1*(_xlfn._xlws.FILTER(OFFSET($O$15,0,$DN237,$B$8,1),OFFSET($M$15,0,0,$B$8,1))=FV$13), 1*(_xlfn._xlws.FILTER(OFFSET($O$15,0,$DO237,$B$8,1),OFFSET($M$15,0,0,$B$8,1))=FV$14))   /   SUM(OFFSET($BO$15,0,0,$B$14,1)) + $B$18/($B$19*$B$19*($DN237&lt;&gt;$DO237) + $B$19*($DN237=$DO237))</f>
        <v>3.7037037037037035E-4</v>
      </c>
      <c r="FW237" s="10" cm="1">
        <f t="array" aca="1" ref="FW237" ca="1">(1-$B$18)*SUMPRODUCT(OFFSET($BO$15,0,0,$B$14,1), 1*(_xlfn._xlws.FILTER(OFFSET($O$15,0,$DN237,$B$8,1),OFFSET($M$15,0,0,$B$8,1))=FW$13), 1*(_xlfn._xlws.FILTER(OFFSET($O$15,0,$DO237,$B$8,1),OFFSET($M$15,0,0,$B$8,1))=FW$14))   /   SUM(OFFSET($BO$15,0,0,$B$14,1)) + $B$18/($B$19*$B$19*($DN237&lt;&gt;$DO237) + $B$19*($DN237=$DO237))</f>
        <v>3.7037037037037035E-4</v>
      </c>
      <c r="FX237" s="10" cm="1">
        <f t="array" aca="1" ref="FX237" ca="1">(1-$B$18)*SUMPRODUCT(OFFSET($BO$15,0,0,$B$14,1), 1*(_xlfn._xlws.FILTER(OFFSET($O$15,0,$DN237,$B$8,1),OFFSET($M$15,0,0,$B$8,1))=FX$13), 1*(_xlfn._xlws.FILTER(OFFSET($O$15,0,$DO237,$B$8,1),OFFSET($M$15,0,0,$B$8,1))=FX$14))   /   SUM(OFFSET($BO$15,0,0,$B$14,1)) + $B$18/($B$19*$B$19*($DN237&lt;&gt;$DO237) + $B$19*($DN237=$DO237))</f>
        <v>3.7037037037037035E-4</v>
      </c>
      <c r="FY237" s="10" cm="1">
        <f t="array" aca="1" ref="FY237" ca="1">(1-$B$18)*SUMPRODUCT(OFFSET($BO$15,0,0,$B$14,1), 1*(_xlfn._xlws.FILTER(OFFSET($O$15,0,$DN237,$B$8,1),OFFSET($M$15,0,0,$B$8,1))=FY$13), 1*(_xlfn._xlws.FILTER(OFFSET($O$15,0,$DO237,$B$8,1),OFFSET($M$15,0,0,$B$8,1))=FY$14))   /   SUM(OFFSET($BO$15,0,0,$B$14,1)) + $B$18/($B$19*$B$19*($DN237&lt;&gt;$DO237) + $B$19*($DN237=$DO237))</f>
        <v>3.7037037037037035E-4</v>
      </c>
      <c r="FZ237" s="10" cm="1">
        <f t="array" aca="1" ref="FZ237" ca="1">(1-$B$18)*SUMPRODUCT(OFFSET($BO$15,0,0,$B$14,1), 1*(_xlfn._xlws.FILTER(OFFSET($O$15,0,$DN237,$B$8,1),OFFSET($M$15,0,0,$B$8,1))=FZ$13), 1*(_xlfn._xlws.FILTER(OFFSET($O$15,0,$DO237,$B$8,1),OFFSET($M$15,0,0,$B$8,1))=FZ$14))   /   SUM(OFFSET($BO$15,0,0,$B$14,1)) + $B$18/($B$19*$B$19*($DN237&lt;&gt;$DO237) + $B$19*($DN237=$DO237))</f>
        <v>3.7037037037037035E-4</v>
      </c>
      <c r="GA237" s="10" cm="1">
        <f t="array" aca="1" ref="GA237" ca="1">(1-$B$18)*SUMPRODUCT(OFFSET($BO$15,0,0,$B$14,1), 1*(_xlfn._xlws.FILTER(OFFSET($O$15,0,$DN237,$B$8,1),OFFSET($M$15,0,0,$B$8,1))=GA$13), 1*(_xlfn._xlws.FILTER(OFFSET($O$15,0,$DO237,$B$8,1),OFFSET($M$15,0,0,$B$8,1))=GA$14))   /   SUM(OFFSET($BO$15,0,0,$B$14,1)) + $B$18/($B$19*$B$19*($DN237&lt;&gt;$DO237) + $B$19*($DN237=$DO237))</f>
        <v>3.7037037037037035E-4</v>
      </c>
    </row>
    <row r="238" spans="118:183" x14ac:dyDescent="0.2">
      <c r="DN238" cm="1">
        <f t="array" aca="1" ref="DN238" ca="1">INDEX(_xlfn.ANCHORARRAY($CP$15), 1 + INT((ROWS($DO$15:$DO238) - 1) / ROWS(_xlfn.ANCHORARRAY($CP$15))))</f>
        <v>12</v>
      </c>
      <c r="DO238" cm="1">
        <f t="array" aca="1" ref="DO238" ca="1">INDEX(_xlfn.ANCHORARRAY($CP$15),1+MOD(ROWS($DO$15:$DO238)-1,ROWS(_xlfn.ANCHORARRAY($CP$15))))</f>
        <v>15</v>
      </c>
      <c r="DP238" s="10" cm="1">
        <f t="array" aca="1" ref="DP238" ca="1">(1-$B$18)*SUMPRODUCT(OFFSET($BO$15,0,0,$B$14,1), 1*(_xlfn._xlws.FILTER(OFFSET($O$15,0,$DN238,$B$8,1),OFFSET($M$15,0,0,$B$8,1))=DP$13), 1*(_xlfn._xlws.FILTER(OFFSET($O$15,0,$DO238,$B$8,1),OFFSET($M$15,0,0,$B$8,1))=DP$14))   /   SUM(OFFSET($BO$15,0,0,$B$14,1)) + $B$18/($B$19*$B$19*($DN238&lt;&gt;$DO238) + $B$19*($DN238=$DO238))</f>
        <v>3.7037037037037035E-4</v>
      </c>
      <c r="DQ238" s="10" cm="1">
        <f t="array" aca="1" ref="DQ238" ca="1">(1-$B$18)*SUMPRODUCT(OFFSET($BO$15,0,0,$B$14,1), 1*(_xlfn._xlws.FILTER(OFFSET($O$15,0,$DN238,$B$8,1),OFFSET($M$15,0,0,$B$8,1))=DQ$13), 1*(_xlfn._xlws.FILTER(OFFSET($O$15,0,$DO238,$B$8,1),OFFSET($M$15,0,0,$B$8,1))=DQ$14))   /   SUM(OFFSET($BO$15,0,0,$B$14,1)) + $B$18/($B$19*$B$19*($DN238&lt;&gt;$DO238) + $B$19*($DN238=$DO238))</f>
        <v>3.7037037037037035E-4</v>
      </c>
      <c r="DR238" s="10" cm="1">
        <f t="array" aca="1" ref="DR238" ca="1">(1-$B$18)*SUMPRODUCT(OFFSET($BO$15,0,0,$B$14,1), 1*(_xlfn._xlws.FILTER(OFFSET($O$15,0,$DN238,$B$8,1),OFFSET($M$15,0,0,$B$8,1))=DR$13), 1*(_xlfn._xlws.FILTER(OFFSET($O$15,0,$DO238,$B$8,1),OFFSET($M$15,0,0,$B$8,1))=DR$14))   /   SUM(OFFSET($BO$15,0,0,$B$14,1)) + $B$18/($B$19*$B$19*($DN238&lt;&gt;$DO238) + $B$19*($DN238=$DO238))</f>
        <v>3.7037037037037035E-4</v>
      </c>
      <c r="DS238" s="10" cm="1">
        <f t="array" aca="1" ref="DS238" ca="1">(1-$B$18)*SUMPRODUCT(OFFSET($BO$15,0,0,$B$14,1), 1*(_xlfn._xlws.FILTER(OFFSET($O$15,0,$DN238,$B$8,1),OFFSET($M$15,0,0,$B$8,1))=DS$13), 1*(_xlfn._xlws.FILTER(OFFSET($O$15,0,$DO238,$B$8,1),OFFSET($M$15,0,0,$B$8,1))=DS$14))   /   SUM(OFFSET($BO$15,0,0,$B$14,1)) + $B$18/($B$19*$B$19*($DN238&lt;&gt;$DO238) + $B$19*($DN238=$DO238))</f>
        <v>3.7037037037037035E-4</v>
      </c>
      <c r="DT238" s="10" cm="1">
        <f t="array" aca="1" ref="DT238" ca="1">(1-$B$18)*SUMPRODUCT(OFFSET($BO$15,0,0,$B$14,1), 1*(_xlfn._xlws.FILTER(OFFSET($O$15,0,$DN238,$B$8,1),OFFSET($M$15,0,0,$B$8,1))=DT$13), 1*(_xlfn._xlws.FILTER(OFFSET($O$15,0,$DO238,$B$8,1),OFFSET($M$15,0,0,$B$8,1))=DT$14))   /   SUM(OFFSET($BO$15,0,0,$B$14,1)) + $B$18/($B$19*$B$19*($DN238&lt;&gt;$DO238) + $B$19*($DN238=$DO238))</f>
        <v>3.7037037037037035E-4</v>
      </c>
      <c r="DU238" s="10" cm="1">
        <f t="array" aca="1" ref="DU238" ca="1">(1-$B$18)*SUMPRODUCT(OFFSET($BO$15,0,0,$B$14,1), 1*(_xlfn._xlws.FILTER(OFFSET($O$15,0,$DN238,$B$8,1),OFFSET($M$15,0,0,$B$8,1))=DU$13), 1*(_xlfn._xlws.FILTER(OFFSET($O$15,0,$DO238,$B$8,1),OFFSET($M$15,0,0,$B$8,1))=DU$14))   /   SUM(OFFSET($BO$15,0,0,$B$14,1)) + $B$18/($B$19*$B$19*($DN238&lt;&gt;$DO238) + $B$19*($DN238=$DO238))</f>
        <v>3.7037037037037035E-4</v>
      </c>
      <c r="DV238" s="10" cm="1">
        <f t="array" aca="1" ref="DV238" ca="1">(1-$B$18)*SUMPRODUCT(OFFSET($BO$15,0,0,$B$14,1), 1*(_xlfn._xlws.FILTER(OFFSET($O$15,0,$DN238,$B$8,1),OFFSET($M$15,0,0,$B$8,1))=DV$13), 1*(_xlfn._xlws.FILTER(OFFSET($O$15,0,$DO238,$B$8,1),OFFSET($M$15,0,0,$B$8,1))=DV$14))   /   SUM(OFFSET($BO$15,0,0,$B$14,1)) + $B$18/($B$19*$B$19*($DN238&lt;&gt;$DO238) + $B$19*($DN238=$DO238))</f>
        <v>3.7037037037037035E-4</v>
      </c>
      <c r="DW238" s="10" cm="1">
        <f t="array" aca="1" ref="DW238" ca="1">(1-$B$18)*SUMPRODUCT(OFFSET($BO$15,0,0,$B$14,1), 1*(_xlfn._xlws.FILTER(OFFSET($O$15,0,$DN238,$B$8,1),OFFSET($M$15,0,0,$B$8,1))=DW$13), 1*(_xlfn._xlws.FILTER(OFFSET($O$15,0,$DO238,$B$8,1),OFFSET($M$15,0,0,$B$8,1))=DW$14))   /   SUM(OFFSET($BO$15,0,0,$B$14,1)) + $B$18/($B$19*$B$19*($DN238&lt;&gt;$DO238) + $B$19*($DN238=$DO238))</f>
        <v>3.7037037037037035E-4</v>
      </c>
      <c r="DX238" s="10" cm="1">
        <f t="array" aca="1" ref="DX238" ca="1">(1-$B$18)*SUMPRODUCT(OFFSET($BO$15,0,0,$B$14,1), 1*(_xlfn._xlws.FILTER(OFFSET($O$15,0,$DN238,$B$8,1),OFFSET($M$15,0,0,$B$8,1))=DX$13), 1*(_xlfn._xlws.FILTER(OFFSET($O$15,0,$DO238,$B$8,1),OFFSET($M$15,0,0,$B$8,1))=DX$14))   /   SUM(OFFSET($BO$15,0,0,$B$14,1)) + $B$18/($B$19*$B$19*($DN238&lt;&gt;$DO238) + $B$19*($DN238=$DO238))</f>
        <v>3.7037037037037035E-4</v>
      </c>
      <c r="DY238" s="10" cm="1">
        <f t="array" aca="1" ref="DY238" ca="1">(1-$B$18)*SUMPRODUCT(OFFSET($BO$15,0,0,$B$14,1), 1*(_xlfn._xlws.FILTER(OFFSET($O$15,0,$DN238,$B$8,1),OFFSET($M$15,0,0,$B$8,1))=DY$13), 1*(_xlfn._xlws.FILTER(OFFSET($O$15,0,$DO238,$B$8,1),OFFSET($M$15,0,0,$B$8,1))=DY$14))   /   SUM(OFFSET($BO$15,0,0,$B$14,1)) + $B$18/($B$19*$B$19*($DN238&lt;&gt;$DO238) + $B$19*($DN238=$DO238))</f>
        <v>3.7037037037037035E-4</v>
      </c>
      <c r="DZ238" s="10" cm="1">
        <f t="array" aca="1" ref="DZ238" ca="1">(1-$B$18)*SUMPRODUCT(OFFSET($BO$15,0,0,$B$14,1), 1*(_xlfn._xlws.FILTER(OFFSET($O$15,0,$DN238,$B$8,1),OFFSET($M$15,0,0,$B$8,1))=DZ$13), 1*(_xlfn._xlws.FILTER(OFFSET($O$15,0,$DO238,$B$8,1),OFFSET($M$15,0,0,$B$8,1))=DZ$14))   /   SUM(OFFSET($BO$15,0,0,$B$14,1)) + $B$18/($B$19*$B$19*($DN238&lt;&gt;$DO238) + $B$19*($DN238=$DO238))</f>
        <v>0.97037037037037033</v>
      </c>
      <c r="EA238" s="10" cm="1">
        <f t="array" aca="1" ref="EA238" ca="1">(1-$B$18)*SUMPRODUCT(OFFSET($BO$15,0,0,$B$14,1), 1*(_xlfn._xlws.FILTER(OFFSET($O$15,0,$DN238,$B$8,1),OFFSET($M$15,0,0,$B$8,1))=EA$13), 1*(_xlfn._xlws.FILTER(OFFSET($O$15,0,$DO238,$B$8,1),OFFSET($M$15,0,0,$B$8,1))=EA$14))   /   SUM(OFFSET($BO$15,0,0,$B$14,1)) + $B$18/($B$19*$B$19*($DN238&lt;&gt;$DO238) + $B$19*($DN238=$DO238))</f>
        <v>3.7037037037037035E-4</v>
      </c>
      <c r="EB238" s="10" cm="1">
        <f t="array" aca="1" ref="EB238" ca="1">(1-$B$18)*SUMPRODUCT(OFFSET($BO$15,0,0,$B$14,1), 1*(_xlfn._xlws.FILTER(OFFSET($O$15,0,$DN238,$B$8,1),OFFSET($M$15,0,0,$B$8,1))=EB$13), 1*(_xlfn._xlws.FILTER(OFFSET($O$15,0,$DO238,$B$8,1),OFFSET($M$15,0,0,$B$8,1))=EB$14))   /   SUM(OFFSET($BO$15,0,0,$B$14,1)) + $B$18/($B$19*$B$19*($DN238&lt;&gt;$DO238) + $B$19*($DN238=$DO238))</f>
        <v>3.7037037037037035E-4</v>
      </c>
      <c r="EC238" s="10" cm="1">
        <f t="array" aca="1" ref="EC238" ca="1">(1-$B$18)*SUMPRODUCT(OFFSET($BO$15,0,0,$B$14,1), 1*(_xlfn._xlws.FILTER(OFFSET($O$15,0,$DN238,$B$8,1),OFFSET($M$15,0,0,$B$8,1))=EC$13), 1*(_xlfn._xlws.FILTER(OFFSET($O$15,0,$DO238,$B$8,1),OFFSET($M$15,0,0,$B$8,1))=EC$14))   /   SUM(OFFSET($BO$15,0,0,$B$14,1)) + $B$18/($B$19*$B$19*($DN238&lt;&gt;$DO238) + $B$19*($DN238=$DO238))</f>
        <v>3.7037037037037035E-4</v>
      </c>
      <c r="ED238" s="10" cm="1">
        <f t="array" aca="1" ref="ED238" ca="1">(1-$B$18)*SUMPRODUCT(OFFSET($BO$15,0,0,$B$14,1), 1*(_xlfn._xlws.FILTER(OFFSET($O$15,0,$DN238,$B$8,1),OFFSET($M$15,0,0,$B$8,1))=ED$13), 1*(_xlfn._xlws.FILTER(OFFSET($O$15,0,$DO238,$B$8,1),OFFSET($M$15,0,0,$B$8,1))=ED$14))   /   SUM(OFFSET($BO$15,0,0,$B$14,1)) + $B$18/($B$19*$B$19*($DN238&lt;&gt;$DO238) + $B$19*($DN238=$DO238))</f>
        <v>3.7037037037037035E-4</v>
      </c>
      <c r="EE238" s="10" cm="1">
        <f t="array" aca="1" ref="EE238" ca="1">(1-$B$18)*SUMPRODUCT(OFFSET($BO$15,0,0,$B$14,1), 1*(_xlfn._xlws.FILTER(OFFSET($O$15,0,$DN238,$B$8,1),OFFSET($M$15,0,0,$B$8,1))=EE$13), 1*(_xlfn._xlws.FILTER(OFFSET($O$15,0,$DO238,$B$8,1),OFFSET($M$15,0,0,$B$8,1))=EE$14))   /   SUM(OFFSET($BO$15,0,0,$B$14,1)) + $B$18/($B$19*$B$19*($DN238&lt;&gt;$DO238) + $B$19*($DN238=$DO238))</f>
        <v>3.7037037037037035E-4</v>
      </c>
      <c r="EF238" s="10" cm="1">
        <f t="array" aca="1" ref="EF238" ca="1">(1-$B$18)*SUMPRODUCT(OFFSET($BO$15,0,0,$B$14,1), 1*(_xlfn._xlws.FILTER(OFFSET($O$15,0,$DN238,$B$8,1),OFFSET($M$15,0,0,$B$8,1))=EF$13), 1*(_xlfn._xlws.FILTER(OFFSET($O$15,0,$DO238,$B$8,1),OFFSET($M$15,0,0,$B$8,1))=EF$14))   /   SUM(OFFSET($BO$15,0,0,$B$14,1)) + $B$18/($B$19*$B$19*($DN238&lt;&gt;$DO238) + $B$19*($DN238=$DO238))</f>
        <v>3.7037037037037035E-4</v>
      </c>
      <c r="EG238" s="10" cm="1">
        <f t="array" aca="1" ref="EG238" ca="1">(1-$B$18)*SUMPRODUCT(OFFSET($BO$15,0,0,$B$14,1), 1*(_xlfn._xlws.FILTER(OFFSET($O$15,0,$DN238,$B$8,1),OFFSET($M$15,0,0,$B$8,1))=EG$13), 1*(_xlfn._xlws.FILTER(OFFSET($O$15,0,$DO238,$B$8,1),OFFSET($M$15,0,0,$B$8,1))=EG$14))   /   SUM(OFFSET($BO$15,0,0,$B$14,1)) + $B$18/($B$19*$B$19*($DN238&lt;&gt;$DO238) + $B$19*($DN238=$DO238))</f>
        <v>3.7037037037037035E-4</v>
      </c>
      <c r="EH238" s="10" cm="1">
        <f t="array" aca="1" ref="EH238" ca="1">(1-$B$18)*SUMPRODUCT(OFFSET($BO$15,0,0,$B$14,1), 1*(_xlfn._xlws.FILTER(OFFSET($O$15,0,$DN238,$B$8,1),OFFSET($M$15,0,0,$B$8,1))=EH$13), 1*(_xlfn._xlws.FILTER(OFFSET($O$15,0,$DO238,$B$8,1),OFFSET($M$15,0,0,$B$8,1))=EH$14))   /   SUM(OFFSET($BO$15,0,0,$B$14,1)) + $B$18/($B$19*$B$19*($DN238&lt;&gt;$DO238) + $B$19*($DN238=$DO238))</f>
        <v>3.7037037037037035E-4</v>
      </c>
      <c r="EI238" s="10" cm="1">
        <f t="array" aca="1" ref="EI238" ca="1">(1-$B$18)*SUMPRODUCT(OFFSET($BO$15,0,0,$B$14,1), 1*(_xlfn._xlws.FILTER(OFFSET($O$15,0,$DN238,$B$8,1),OFFSET($M$15,0,0,$B$8,1))=EI$13), 1*(_xlfn._xlws.FILTER(OFFSET($O$15,0,$DO238,$B$8,1),OFFSET($M$15,0,0,$B$8,1))=EI$14))   /   SUM(OFFSET($BO$15,0,0,$B$14,1)) + $B$18/($B$19*$B$19*($DN238&lt;&gt;$DO238) + $B$19*($DN238=$DO238))</f>
        <v>3.7037037037037035E-4</v>
      </c>
      <c r="EJ238" s="10" cm="1">
        <f t="array" aca="1" ref="EJ238" ca="1">(1-$B$18)*SUMPRODUCT(OFFSET($BO$15,0,0,$B$14,1), 1*(_xlfn._xlws.FILTER(OFFSET($O$15,0,$DN238,$B$8,1),OFFSET($M$15,0,0,$B$8,1))=EJ$13), 1*(_xlfn._xlws.FILTER(OFFSET($O$15,0,$DO238,$B$8,1),OFFSET($M$15,0,0,$B$8,1))=EJ$14))   /   SUM(OFFSET($BO$15,0,0,$B$14,1)) + $B$18/($B$19*$B$19*($DN238&lt;&gt;$DO238) + $B$19*($DN238=$DO238))</f>
        <v>3.7037037037037035E-4</v>
      </c>
      <c r="EK238" s="10" cm="1">
        <f t="array" aca="1" ref="EK238" ca="1">(1-$B$18)*SUMPRODUCT(OFFSET($BO$15,0,0,$B$14,1), 1*(_xlfn._xlws.FILTER(OFFSET($O$15,0,$DN238,$B$8,1),OFFSET($M$15,0,0,$B$8,1))=EK$13), 1*(_xlfn._xlws.FILTER(OFFSET($O$15,0,$DO238,$B$8,1),OFFSET($M$15,0,0,$B$8,1))=EK$14))   /   SUM(OFFSET($BO$15,0,0,$B$14,1)) + $B$18/($B$19*$B$19*($DN238&lt;&gt;$DO238) + $B$19*($DN238=$DO238))</f>
        <v>3.7037037037037035E-4</v>
      </c>
      <c r="EL238" s="10" cm="1">
        <f t="array" aca="1" ref="EL238" ca="1">(1-$B$18)*SUMPRODUCT(OFFSET($BO$15,0,0,$B$14,1), 1*(_xlfn._xlws.FILTER(OFFSET($O$15,0,$DN238,$B$8,1),OFFSET($M$15,0,0,$B$8,1))=EL$13), 1*(_xlfn._xlws.FILTER(OFFSET($O$15,0,$DO238,$B$8,1),OFFSET($M$15,0,0,$B$8,1))=EL$14))   /   SUM(OFFSET($BO$15,0,0,$B$14,1)) + $B$18/($B$19*$B$19*($DN238&lt;&gt;$DO238) + $B$19*($DN238=$DO238))</f>
        <v>3.7037037037037035E-4</v>
      </c>
      <c r="EM238" s="10" cm="1">
        <f t="array" aca="1" ref="EM238" ca="1">(1-$B$18)*SUMPRODUCT(OFFSET($BO$15,0,0,$B$14,1), 1*(_xlfn._xlws.FILTER(OFFSET($O$15,0,$DN238,$B$8,1),OFFSET($M$15,0,0,$B$8,1))=EM$13), 1*(_xlfn._xlws.FILTER(OFFSET($O$15,0,$DO238,$B$8,1),OFFSET($M$15,0,0,$B$8,1))=EM$14))   /   SUM(OFFSET($BO$15,0,0,$B$14,1)) + $B$18/($B$19*$B$19*($DN238&lt;&gt;$DO238) + $B$19*($DN238=$DO238))</f>
        <v>3.7037037037037035E-4</v>
      </c>
      <c r="EN238" s="10" cm="1">
        <f t="array" aca="1" ref="EN238" ca="1">(1-$B$18)*SUMPRODUCT(OFFSET($BO$15,0,0,$B$14,1), 1*(_xlfn._xlws.FILTER(OFFSET($O$15,0,$DN238,$B$8,1),OFFSET($M$15,0,0,$B$8,1))=EN$13), 1*(_xlfn._xlws.FILTER(OFFSET($O$15,0,$DO238,$B$8,1),OFFSET($M$15,0,0,$B$8,1))=EN$14))   /   SUM(OFFSET($BO$15,0,0,$B$14,1)) + $B$18/($B$19*$B$19*($DN238&lt;&gt;$DO238) + $B$19*($DN238=$DO238))</f>
        <v>3.7037037037037035E-4</v>
      </c>
      <c r="EO238" s="10" cm="1">
        <f t="array" aca="1" ref="EO238" ca="1">(1-$B$18)*SUMPRODUCT(OFFSET($BO$15,0,0,$B$14,1), 1*(_xlfn._xlws.FILTER(OFFSET($O$15,0,$DN238,$B$8,1),OFFSET($M$15,0,0,$B$8,1))=EO$13), 1*(_xlfn._xlws.FILTER(OFFSET($O$15,0,$DO238,$B$8,1),OFFSET($M$15,0,0,$B$8,1))=EO$14))   /   SUM(OFFSET($BO$15,0,0,$B$14,1)) + $B$18/($B$19*$B$19*($DN238&lt;&gt;$DO238) + $B$19*($DN238=$DO238))</f>
        <v>3.7037037037037035E-4</v>
      </c>
      <c r="EP238" s="10" cm="1">
        <f t="array" aca="1" ref="EP238" ca="1">(1-$B$18)*SUMPRODUCT(OFFSET($BO$15,0,0,$B$14,1), 1*(_xlfn._xlws.FILTER(OFFSET($O$15,0,$DN238,$B$8,1),OFFSET($M$15,0,0,$B$8,1))=EP$13), 1*(_xlfn._xlws.FILTER(OFFSET($O$15,0,$DO238,$B$8,1),OFFSET($M$15,0,0,$B$8,1))=EP$14))   /   SUM(OFFSET($BO$15,0,0,$B$14,1)) + $B$18/($B$19*$B$19*($DN238&lt;&gt;$DO238) + $B$19*($DN238=$DO238))</f>
        <v>3.7037037037037035E-4</v>
      </c>
      <c r="EQ238" s="10" cm="1">
        <f t="array" aca="1" ref="EQ238" ca="1">(1-$B$18)*SUMPRODUCT(OFFSET($BO$15,0,0,$B$14,1), 1*(_xlfn._xlws.FILTER(OFFSET($O$15,0,$DN238,$B$8,1),OFFSET($M$15,0,0,$B$8,1))=EQ$13), 1*(_xlfn._xlws.FILTER(OFFSET($O$15,0,$DO238,$B$8,1),OFFSET($M$15,0,0,$B$8,1))=EQ$14))   /   SUM(OFFSET($BO$15,0,0,$B$14,1)) + $B$18/($B$19*$B$19*($DN238&lt;&gt;$DO238) + $B$19*($DN238=$DO238))</f>
        <v>3.7037037037037035E-4</v>
      </c>
      <c r="ER238" s="10" cm="1">
        <f t="array" aca="1" ref="ER238" ca="1">(1-$B$18)*SUMPRODUCT(OFFSET($BO$15,0,0,$B$14,1), 1*(_xlfn._xlws.FILTER(OFFSET($O$15,0,$DN238,$B$8,1),OFFSET($M$15,0,0,$B$8,1))=ER$13), 1*(_xlfn._xlws.FILTER(OFFSET($O$15,0,$DO238,$B$8,1),OFFSET($M$15,0,0,$B$8,1))=ER$14))   /   SUM(OFFSET($BO$15,0,0,$B$14,1)) + $B$18/($B$19*$B$19*($DN238&lt;&gt;$DO238) + $B$19*($DN238=$DO238))</f>
        <v>3.7037037037037035E-4</v>
      </c>
      <c r="ES238" s="10" cm="1">
        <f t="array" aca="1" ref="ES238" ca="1">(1-$B$18)*SUMPRODUCT(OFFSET($BO$15,0,0,$B$14,1), 1*(_xlfn._xlws.FILTER(OFFSET($O$15,0,$DN238,$B$8,1),OFFSET($M$15,0,0,$B$8,1))=ES$13), 1*(_xlfn._xlws.FILTER(OFFSET($O$15,0,$DO238,$B$8,1),OFFSET($M$15,0,0,$B$8,1))=ES$14))   /   SUM(OFFSET($BO$15,0,0,$B$14,1)) + $B$18/($B$19*$B$19*($DN238&lt;&gt;$DO238) + $B$19*($DN238=$DO238))</f>
        <v>3.7037037037037035E-4</v>
      </c>
      <c r="ET238" s="10" cm="1">
        <f t="array" aca="1" ref="ET238" ca="1">(1-$B$18)*SUMPRODUCT(OFFSET($BO$15,0,0,$B$14,1), 1*(_xlfn._xlws.FILTER(OFFSET($O$15,0,$DN238,$B$8,1),OFFSET($M$15,0,0,$B$8,1))=ET$13), 1*(_xlfn._xlws.FILTER(OFFSET($O$15,0,$DO238,$B$8,1),OFFSET($M$15,0,0,$B$8,1))=ET$14))   /   SUM(OFFSET($BO$15,0,0,$B$14,1)) + $B$18/($B$19*$B$19*($DN238&lt;&gt;$DO238) + $B$19*($DN238=$DO238))</f>
        <v>3.7037037037037035E-4</v>
      </c>
      <c r="EU238" s="10" cm="1">
        <f t="array" aca="1" ref="EU238" ca="1">(1-$B$18)*SUMPRODUCT(OFFSET($BO$15,0,0,$B$14,1), 1*(_xlfn._xlws.FILTER(OFFSET($O$15,0,$DN238,$B$8,1),OFFSET($M$15,0,0,$B$8,1))=EU$13), 1*(_xlfn._xlws.FILTER(OFFSET($O$15,0,$DO238,$B$8,1),OFFSET($M$15,0,0,$B$8,1))=EU$14))   /   SUM(OFFSET($BO$15,0,0,$B$14,1)) + $B$18/($B$19*$B$19*($DN238&lt;&gt;$DO238) + $B$19*($DN238=$DO238))</f>
        <v>3.7037037037037035E-4</v>
      </c>
      <c r="EV238" s="10" cm="1">
        <f t="array" aca="1" ref="EV238" ca="1">(1-$B$18)*SUMPRODUCT(OFFSET($BO$15,0,0,$B$14,1), 1*(_xlfn._xlws.FILTER(OFFSET($O$15,0,$DN238,$B$8,1),OFFSET($M$15,0,0,$B$8,1))=EV$13), 1*(_xlfn._xlws.FILTER(OFFSET($O$15,0,$DO238,$B$8,1),OFFSET($M$15,0,0,$B$8,1))=EV$14))   /   SUM(OFFSET($BO$15,0,0,$B$14,1)) + $B$18/($B$19*$B$19*($DN238&lt;&gt;$DO238) + $B$19*($DN238=$DO238))</f>
        <v>3.7037037037037035E-4</v>
      </c>
      <c r="EW238" s="10" cm="1">
        <f t="array" aca="1" ref="EW238" ca="1">(1-$B$18)*SUMPRODUCT(OFFSET($BO$15,0,0,$B$14,1), 1*(_xlfn._xlws.FILTER(OFFSET($O$15,0,$DN238,$B$8,1),OFFSET($M$15,0,0,$B$8,1))=EW$13), 1*(_xlfn._xlws.FILTER(OFFSET($O$15,0,$DO238,$B$8,1),OFFSET($M$15,0,0,$B$8,1))=EW$14))   /   SUM(OFFSET($BO$15,0,0,$B$14,1)) + $B$18/($B$19*$B$19*($DN238&lt;&gt;$DO238) + $B$19*($DN238=$DO238))</f>
        <v>3.7037037037037035E-4</v>
      </c>
      <c r="EX238" s="10" cm="1">
        <f t="array" aca="1" ref="EX238" ca="1">(1-$B$18)*SUMPRODUCT(OFFSET($BO$15,0,0,$B$14,1), 1*(_xlfn._xlws.FILTER(OFFSET($O$15,0,$DN238,$B$8,1),OFFSET($M$15,0,0,$B$8,1))=EX$13), 1*(_xlfn._xlws.FILTER(OFFSET($O$15,0,$DO238,$B$8,1),OFFSET($M$15,0,0,$B$8,1))=EX$14))   /   SUM(OFFSET($BO$15,0,0,$B$14,1)) + $B$18/($B$19*$B$19*($DN238&lt;&gt;$DO238) + $B$19*($DN238=$DO238))</f>
        <v>3.7037037037037035E-4</v>
      </c>
      <c r="EY238" s="10" cm="1">
        <f t="array" aca="1" ref="EY238" ca="1">(1-$B$18)*SUMPRODUCT(OFFSET($BO$15,0,0,$B$14,1), 1*(_xlfn._xlws.FILTER(OFFSET($O$15,0,$DN238,$B$8,1),OFFSET($M$15,0,0,$B$8,1))=EY$13), 1*(_xlfn._xlws.FILTER(OFFSET($O$15,0,$DO238,$B$8,1),OFFSET($M$15,0,0,$B$8,1))=EY$14))   /   SUM(OFFSET($BO$15,0,0,$B$14,1)) + $B$18/($B$19*$B$19*($DN238&lt;&gt;$DO238) + $B$19*($DN238=$DO238))</f>
        <v>3.7037037037037035E-4</v>
      </c>
      <c r="EZ238" s="10" cm="1">
        <f t="array" aca="1" ref="EZ238" ca="1">(1-$B$18)*SUMPRODUCT(OFFSET($BO$15,0,0,$B$14,1), 1*(_xlfn._xlws.FILTER(OFFSET($O$15,0,$DN238,$B$8,1),OFFSET($M$15,0,0,$B$8,1))=EZ$13), 1*(_xlfn._xlws.FILTER(OFFSET($O$15,0,$DO238,$B$8,1),OFFSET($M$15,0,0,$B$8,1))=EZ$14))   /   SUM(OFFSET($BO$15,0,0,$B$14,1)) + $B$18/($B$19*$B$19*($DN238&lt;&gt;$DO238) + $B$19*($DN238=$DO238))</f>
        <v>3.7037037037037035E-4</v>
      </c>
      <c r="FA238" s="10" cm="1">
        <f t="array" aca="1" ref="FA238" ca="1">(1-$B$18)*SUMPRODUCT(OFFSET($BO$15,0,0,$B$14,1), 1*(_xlfn._xlws.FILTER(OFFSET($O$15,0,$DN238,$B$8,1),OFFSET($M$15,0,0,$B$8,1))=FA$13), 1*(_xlfn._xlws.FILTER(OFFSET($O$15,0,$DO238,$B$8,1),OFFSET($M$15,0,0,$B$8,1))=FA$14))   /   SUM(OFFSET($BO$15,0,0,$B$14,1)) + $B$18/($B$19*$B$19*($DN238&lt;&gt;$DO238) + $B$19*($DN238=$DO238))</f>
        <v>3.7037037037037035E-4</v>
      </c>
      <c r="FB238" s="10" cm="1">
        <f t="array" aca="1" ref="FB238" ca="1">(1-$B$18)*SUMPRODUCT(OFFSET($BO$15,0,0,$B$14,1), 1*(_xlfn._xlws.FILTER(OFFSET($O$15,0,$DN238,$B$8,1),OFFSET($M$15,0,0,$B$8,1))=FB$13), 1*(_xlfn._xlws.FILTER(OFFSET($O$15,0,$DO238,$B$8,1),OFFSET($M$15,0,0,$B$8,1))=FB$14))   /   SUM(OFFSET($BO$15,0,0,$B$14,1)) + $B$18/($B$19*$B$19*($DN238&lt;&gt;$DO238) + $B$19*($DN238=$DO238))</f>
        <v>3.7037037037037035E-4</v>
      </c>
      <c r="FC238" s="10" cm="1">
        <f t="array" aca="1" ref="FC238" ca="1">(1-$B$18)*SUMPRODUCT(OFFSET($BO$15,0,0,$B$14,1), 1*(_xlfn._xlws.FILTER(OFFSET($O$15,0,$DN238,$B$8,1),OFFSET($M$15,0,0,$B$8,1))=FC$13), 1*(_xlfn._xlws.FILTER(OFFSET($O$15,0,$DO238,$B$8,1),OFFSET($M$15,0,0,$B$8,1))=FC$14))   /   SUM(OFFSET($BO$15,0,0,$B$14,1)) + $B$18/($B$19*$B$19*($DN238&lt;&gt;$DO238) + $B$19*($DN238=$DO238))</f>
        <v>3.7037037037037035E-4</v>
      </c>
      <c r="FD238" s="10" cm="1">
        <f t="array" aca="1" ref="FD238" ca="1">(1-$B$18)*SUMPRODUCT(OFFSET($BO$15,0,0,$B$14,1), 1*(_xlfn._xlws.FILTER(OFFSET($O$15,0,$DN238,$B$8,1),OFFSET($M$15,0,0,$B$8,1))=FD$13), 1*(_xlfn._xlws.FILTER(OFFSET($O$15,0,$DO238,$B$8,1),OFFSET($M$15,0,0,$B$8,1))=FD$14))   /   SUM(OFFSET($BO$15,0,0,$B$14,1)) + $B$18/($B$19*$B$19*($DN238&lt;&gt;$DO238) + $B$19*($DN238=$DO238))</f>
        <v>3.7037037037037035E-4</v>
      </c>
      <c r="FE238" s="10" cm="1">
        <f t="array" aca="1" ref="FE238" ca="1">(1-$B$18)*SUMPRODUCT(OFFSET($BO$15,0,0,$B$14,1), 1*(_xlfn._xlws.FILTER(OFFSET($O$15,0,$DN238,$B$8,1),OFFSET($M$15,0,0,$B$8,1))=FE$13), 1*(_xlfn._xlws.FILTER(OFFSET($O$15,0,$DO238,$B$8,1),OFFSET($M$15,0,0,$B$8,1))=FE$14))   /   SUM(OFFSET($BO$15,0,0,$B$14,1)) + $B$18/($B$19*$B$19*($DN238&lt;&gt;$DO238) + $B$19*($DN238=$DO238))</f>
        <v>3.7037037037037035E-4</v>
      </c>
      <c r="FF238" s="10" cm="1">
        <f t="array" aca="1" ref="FF238" ca="1">(1-$B$18)*SUMPRODUCT(OFFSET($BO$15,0,0,$B$14,1), 1*(_xlfn._xlws.FILTER(OFFSET($O$15,0,$DN238,$B$8,1),OFFSET($M$15,0,0,$B$8,1))=FF$13), 1*(_xlfn._xlws.FILTER(OFFSET($O$15,0,$DO238,$B$8,1),OFFSET($M$15,0,0,$B$8,1))=FF$14))   /   SUM(OFFSET($BO$15,0,0,$B$14,1)) + $B$18/($B$19*$B$19*($DN238&lt;&gt;$DO238) + $B$19*($DN238=$DO238))</f>
        <v>3.7037037037037035E-4</v>
      </c>
      <c r="FG238" s="10" cm="1">
        <f t="array" aca="1" ref="FG238" ca="1">(1-$B$18)*SUMPRODUCT(OFFSET($BO$15,0,0,$B$14,1), 1*(_xlfn._xlws.FILTER(OFFSET($O$15,0,$DN238,$B$8,1),OFFSET($M$15,0,0,$B$8,1))=FG$13), 1*(_xlfn._xlws.FILTER(OFFSET($O$15,0,$DO238,$B$8,1),OFFSET($M$15,0,0,$B$8,1))=FG$14))   /   SUM(OFFSET($BO$15,0,0,$B$14,1)) + $B$18/($B$19*$B$19*($DN238&lt;&gt;$DO238) + $B$19*($DN238=$DO238))</f>
        <v>3.7037037037037035E-4</v>
      </c>
      <c r="FH238" s="10" cm="1">
        <f t="array" aca="1" ref="FH238" ca="1">(1-$B$18)*SUMPRODUCT(OFFSET($BO$15,0,0,$B$14,1), 1*(_xlfn._xlws.FILTER(OFFSET($O$15,0,$DN238,$B$8,1),OFFSET($M$15,0,0,$B$8,1))=FH$13), 1*(_xlfn._xlws.FILTER(OFFSET($O$15,0,$DO238,$B$8,1),OFFSET($M$15,0,0,$B$8,1))=FH$14))   /   SUM(OFFSET($BO$15,0,0,$B$14,1)) + $B$18/($B$19*$B$19*($DN238&lt;&gt;$DO238) + $B$19*($DN238=$DO238))</f>
        <v>3.7037037037037035E-4</v>
      </c>
      <c r="FI238" s="10" cm="1">
        <f t="array" aca="1" ref="FI238" ca="1">(1-$B$18)*SUMPRODUCT(OFFSET($BO$15,0,0,$B$14,1), 1*(_xlfn._xlws.FILTER(OFFSET($O$15,0,$DN238,$B$8,1),OFFSET($M$15,0,0,$B$8,1))=FI$13), 1*(_xlfn._xlws.FILTER(OFFSET($O$15,0,$DO238,$B$8,1),OFFSET($M$15,0,0,$B$8,1))=FI$14))   /   SUM(OFFSET($BO$15,0,0,$B$14,1)) + $B$18/($B$19*$B$19*($DN238&lt;&gt;$DO238) + $B$19*($DN238=$DO238))</f>
        <v>3.7037037037037035E-4</v>
      </c>
      <c r="FJ238" s="10" cm="1">
        <f t="array" aca="1" ref="FJ238" ca="1">(1-$B$18)*SUMPRODUCT(OFFSET($BO$15,0,0,$B$14,1), 1*(_xlfn._xlws.FILTER(OFFSET($O$15,0,$DN238,$B$8,1),OFFSET($M$15,0,0,$B$8,1))=FJ$13), 1*(_xlfn._xlws.FILTER(OFFSET($O$15,0,$DO238,$B$8,1),OFFSET($M$15,0,0,$B$8,1))=FJ$14))   /   SUM(OFFSET($BO$15,0,0,$B$14,1)) + $B$18/($B$19*$B$19*($DN238&lt;&gt;$DO238) + $B$19*($DN238=$DO238))</f>
        <v>3.7037037037037035E-4</v>
      </c>
      <c r="FK238" s="10" cm="1">
        <f t="array" aca="1" ref="FK238" ca="1">(1-$B$18)*SUMPRODUCT(OFFSET($BO$15,0,0,$B$14,1), 1*(_xlfn._xlws.FILTER(OFFSET($O$15,0,$DN238,$B$8,1),OFFSET($M$15,0,0,$B$8,1))=FK$13), 1*(_xlfn._xlws.FILTER(OFFSET($O$15,0,$DO238,$B$8,1),OFFSET($M$15,0,0,$B$8,1))=FK$14))   /   SUM(OFFSET($BO$15,0,0,$B$14,1)) + $B$18/($B$19*$B$19*($DN238&lt;&gt;$DO238) + $B$19*($DN238=$DO238))</f>
        <v>3.7037037037037035E-4</v>
      </c>
      <c r="FL238" s="10" cm="1">
        <f t="array" aca="1" ref="FL238" ca="1">(1-$B$18)*SUMPRODUCT(OFFSET($BO$15,0,0,$B$14,1), 1*(_xlfn._xlws.FILTER(OFFSET($O$15,0,$DN238,$B$8,1),OFFSET($M$15,0,0,$B$8,1))=FL$13), 1*(_xlfn._xlws.FILTER(OFFSET($O$15,0,$DO238,$B$8,1),OFFSET($M$15,0,0,$B$8,1))=FL$14))   /   SUM(OFFSET($BO$15,0,0,$B$14,1)) + $B$18/($B$19*$B$19*($DN238&lt;&gt;$DO238) + $B$19*($DN238=$DO238))</f>
        <v>3.7037037037037035E-4</v>
      </c>
      <c r="FM238" s="10" cm="1">
        <f t="array" aca="1" ref="FM238" ca="1">(1-$B$18)*SUMPRODUCT(OFFSET($BO$15,0,0,$B$14,1), 1*(_xlfn._xlws.FILTER(OFFSET($O$15,0,$DN238,$B$8,1),OFFSET($M$15,0,0,$B$8,1))=FM$13), 1*(_xlfn._xlws.FILTER(OFFSET($O$15,0,$DO238,$B$8,1),OFFSET($M$15,0,0,$B$8,1))=FM$14))   /   SUM(OFFSET($BO$15,0,0,$B$14,1)) + $B$18/($B$19*$B$19*($DN238&lt;&gt;$DO238) + $B$19*($DN238=$DO238))</f>
        <v>3.7037037037037035E-4</v>
      </c>
      <c r="FN238" s="10" cm="1">
        <f t="array" aca="1" ref="FN238" ca="1">(1-$B$18)*SUMPRODUCT(OFFSET($BO$15,0,0,$B$14,1), 1*(_xlfn._xlws.FILTER(OFFSET($O$15,0,$DN238,$B$8,1),OFFSET($M$15,0,0,$B$8,1))=FN$13), 1*(_xlfn._xlws.FILTER(OFFSET($O$15,0,$DO238,$B$8,1),OFFSET($M$15,0,0,$B$8,1))=FN$14))   /   SUM(OFFSET($BO$15,0,0,$B$14,1)) + $B$18/($B$19*$B$19*($DN238&lt;&gt;$DO238) + $B$19*($DN238=$DO238))</f>
        <v>3.7037037037037035E-4</v>
      </c>
      <c r="FO238" s="10" cm="1">
        <f t="array" aca="1" ref="FO238" ca="1">(1-$B$18)*SUMPRODUCT(OFFSET($BO$15,0,0,$B$14,1), 1*(_xlfn._xlws.FILTER(OFFSET($O$15,0,$DN238,$B$8,1),OFFSET($M$15,0,0,$B$8,1))=FO$13), 1*(_xlfn._xlws.FILTER(OFFSET($O$15,0,$DO238,$B$8,1),OFFSET($M$15,0,0,$B$8,1))=FO$14))   /   SUM(OFFSET($BO$15,0,0,$B$14,1)) + $B$18/($B$19*$B$19*($DN238&lt;&gt;$DO238) + $B$19*($DN238=$DO238))</f>
        <v>3.7037037037037035E-4</v>
      </c>
      <c r="FP238" s="10" cm="1">
        <f t="array" aca="1" ref="FP238" ca="1">(1-$B$18)*SUMPRODUCT(OFFSET($BO$15,0,0,$B$14,1), 1*(_xlfn._xlws.FILTER(OFFSET($O$15,0,$DN238,$B$8,1),OFFSET($M$15,0,0,$B$8,1))=FP$13), 1*(_xlfn._xlws.FILTER(OFFSET($O$15,0,$DO238,$B$8,1),OFFSET($M$15,0,0,$B$8,1))=FP$14))   /   SUM(OFFSET($BO$15,0,0,$B$14,1)) + $B$18/($B$19*$B$19*($DN238&lt;&gt;$DO238) + $B$19*($DN238=$DO238))</f>
        <v>3.7037037037037035E-4</v>
      </c>
      <c r="FQ238" s="10" cm="1">
        <f t="array" aca="1" ref="FQ238" ca="1">(1-$B$18)*SUMPRODUCT(OFFSET($BO$15,0,0,$B$14,1), 1*(_xlfn._xlws.FILTER(OFFSET($O$15,0,$DN238,$B$8,1),OFFSET($M$15,0,0,$B$8,1))=FQ$13), 1*(_xlfn._xlws.FILTER(OFFSET($O$15,0,$DO238,$B$8,1),OFFSET($M$15,0,0,$B$8,1))=FQ$14))   /   SUM(OFFSET($BO$15,0,0,$B$14,1)) + $B$18/($B$19*$B$19*($DN238&lt;&gt;$DO238) + $B$19*($DN238=$DO238))</f>
        <v>3.7037037037037035E-4</v>
      </c>
      <c r="FR238" s="10" cm="1">
        <f t="array" aca="1" ref="FR238" ca="1">(1-$B$18)*SUMPRODUCT(OFFSET($BO$15,0,0,$B$14,1), 1*(_xlfn._xlws.FILTER(OFFSET($O$15,0,$DN238,$B$8,1),OFFSET($M$15,0,0,$B$8,1))=FR$13), 1*(_xlfn._xlws.FILTER(OFFSET($O$15,0,$DO238,$B$8,1),OFFSET($M$15,0,0,$B$8,1))=FR$14))   /   SUM(OFFSET($BO$15,0,0,$B$14,1)) + $B$18/($B$19*$B$19*($DN238&lt;&gt;$DO238) + $B$19*($DN238=$DO238))</f>
        <v>3.7037037037037035E-4</v>
      </c>
      <c r="FS238" s="10" cm="1">
        <f t="array" aca="1" ref="FS238" ca="1">(1-$B$18)*SUMPRODUCT(OFFSET($BO$15,0,0,$B$14,1), 1*(_xlfn._xlws.FILTER(OFFSET($O$15,0,$DN238,$B$8,1),OFFSET($M$15,0,0,$B$8,1))=FS$13), 1*(_xlfn._xlws.FILTER(OFFSET($O$15,0,$DO238,$B$8,1),OFFSET($M$15,0,0,$B$8,1))=FS$14))   /   SUM(OFFSET($BO$15,0,0,$B$14,1)) + $B$18/($B$19*$B$19*($DN238&lt;&gt;$DO238) + $B$19*($DN238=$DO238))</f>
        <v>3.7037037037037035E-4</v>
      </c>
      <c r="FT238" s="10" cm="1">
        <f t="array" aca="1" ref="FT238" ca="1">(1-$B$18)*SUMPRODUCT(OFFSET($BO$15,0,0,$B$14,1), 1*(_xlfn._xlws.FILTER(OFFSET($O$15,0,$DN238,$B$8,1),OFFSET($M$15,0,0,$B$8,1))=FT$13), 1*(_xlfn._xlws.FILTER(OFFSET($O$15,0,$DO238,$B$8,1),OFFSET($M$15,0,0,$B$8,1))=FT$14))   /   SUM(OFFSET($BO$15,0,0,$B$14,1)) + $B$18/($B$19*$B$19*($DN238&lt;&gt;$DO238) + $B$19*($DN238=$DO238))</f>
        <v>3.7037037037037035E-4</v>
      </c>
      <c r="FU238" s="10" cm="1">
        <f t="array" aca="1" ref="FU238" ca="1">(1-$B$18)*SUMPRODUCT(OFFSET($BO$15,0,0,$B$14,1), 1*(_xlfn._xlws.FILTER(OFFSET($O$15,0,$DN238,$B$8,1),OFFSET($M$15,0,0,$B$8,1))=FU$13), 1*(_xlfn._xlws.FILTER(OFFSET($O$15,0,$DO238,$B$8,1),OFFSET($M$15,0,0,$B$8,1))=FU$14))   /   SUM(OFFSET($BO$15,0,0,$B$14,1)) + $B$18/($B$19*$B$19*($DN238&lt;&gt;$DO238) + $B$19*($DN238=$DO238))</f>
        <v>3.7037037037037035E-4</v>
      </c>
      <c r="FV238" s="10" cm="1">
        <f t="array" aca="1" ref="FV238" ca="1">(1-$B$18)*SUMPRODUCT(OFFSET($BO$15,0,0,$B$14,1), 1*(_xlfn._xlws.FILTER(OFFSET($O$15,0,$DN238,$B$8,1),OFFSET($M$15,0,0,$B$8,1))=FV$13), 1*(_xlfn._xlws.FILTER(OFFSET($O$15,0,$DO238,$B$8,1),OFFSET($M$15,0,0,$B$8,1))=FV$14))   /   SUM(OFFSET($BO$15,0,0,$B$14,1)) + $B$18/($B$19*$B$19*($DN238&lt;&gt;$DO238) + $B$19*($DN238=$DO238))</f>
        <v>3.7037037037037035E-4</v>
      </c>
      <c r="FW238" s="10" cm="1">
        <f t="array" aca="1" ref="FW238" ca="1">(1-$B$18)*SUMPRODUCT(OFFSET($BO$15,0,0,$B$14,1), 1*(_xlfn._xlws.FILTER(OFFSET($O$15,0,$DN238,$B$8,1),OFFSET($M$15,0,0,$B$8,1))=FW$13), 1*(_xlfn._xlws.FILTER(OFFSET($O$15,0,$DO238,$B$8,1),OFFSET($M$15,0,0,$B$8,1))=FW$14))   /   SUM(OFFSET($BO$15,0,0,$B$14,1)) + $B$18/($B$19*$B$19*($DN238&lt;&gt;$DO238) + $B$19*($DN238=$DO238))</f>
        <v>3.7037037037037035E-4</v>
      </c>
      <c r="FX238" s="10" cm="1">
        <f t="array" aca="1" ref="FX238" ca="1">(1-$B$18)*SUMPRODUCT(OFFSET($BO$15,0,0,$B$14,1), 1*(_xlfn._xlws.FILTER(OFFSET($O$15,0,$DN238,$B$8,1),OFFSET($M$15,0,0,$B$8,1))=FX$13), 1*(_xlfn._xlws.FILTER(OFFSET($O$15,0,$DO238,$B$8,1),OFFSET($M$15,0,0,$B$8,1))=FX$14))   /   SUM(OFFSET($BO$15,0,0,$B$14,1)) + $B$18/($B$19*$B$19*($DN238&lt;&gt;$DO238) + $B$19*($DN238=$DO238))</f>
        <v>3.7037037037037035E-4</v>
      </c>
      <c r="FY238" s="10" cm="1">
        <f t="array" aca="1" ref="FY238" ca="1">(1-$B$18)*SUMPRODUCT(OFFSET($BO$15,0,0,$B$14,1), 1*(_xlfn._xlws.FILTER(OFFSET($O$15,0,$DN238,$B$8,1),OFFSET($M$15,0,0,$B$8,1))=FY$13), 1*(_xlfn._xlws.FILTER(OFFSET($O$15,0,$DO238,$B$8,1),OFFSET($M$15,0,0,$B$8,1))=FY$14))   /   SUM(OFFSET($BO$15,0,0,$B$14,1)) + $B$18/($B$19*$B$19*($DN238&lt;&gt;$DO238) + $B$19*($DN238=$DO238))</f>
        <v>3.7037037037037035E-4</v>
      </c>
      <c r="FZ238" s="10" cm="1">
        <f t="array" aca="1" ref="FZ238" ca="1">(1-$B$18)*SUMPRODUCT(OFFSET($BO$15,0,0,$B$14,1), 1*(_xlfn._xlws.FILTER(OFFSET($O$15,0,$DN238,$B$8,1),OFFSET($M$15,0,0,$B$8,1))=FZ$13), 1*(_xlfn._xlws.FILTER(OFFSET($O$15,0,$DO238,$B$8,1),OFFSET($M$15,0,0,$B$8,1))=FZ$14))   /   SUM(OFFSET($BO$15,0,0,$B$14,1)) + $B$18/($B$19*$B$19*($DN238&lt;&gt;$DO238) + $B$19*($DN238=$DO238))</f>
        <v>3.7037037037037035E-4</v>
      </c>
      <c r="GA238" s="10" cm="1">
        <f t="array" aca="1" ref="GA238" ca="1">(1-$B$18)*SUMPRODUCT(OFFSET($BO$15,0,0,$B$14,1), 1*(_xlfn._xlws.FILTER(OFFSET($O$15,0,$DN238,$B$8,1),OFFSET($M$15,0,0,$B$8,1))=GA$13), 1*(_xlfn._xlws.FILTER(OFFSET($O$15,0,$DO238,$B$8,1),OFFSET($M$15,0,0,$B$8,1))=GA$14))   /   SUM(OFFSET($BO$15,0,0,$B$14,1)) + $B$18/($B$19*$B$19*($DN238&lt;&gt;$DO238) + $B$19*($DN238=$DO238))</f>
        <v>3.7037037037037035E-4</v>
      </c>
    </row>
    <row r="239" spans="118:183" x14ac:dyDescent="0.2">
      <c r="DN239" cm="1">
        <f t="array" aca="1" ref="DN239" ca="1">INDEX(_xlfn.ANCHORARRAY($CP$15), 1 + INT((ROWS($DO$15:$DO239) - 1) / ROWS(_xlfn.ANCHORARRAY($CP$15))))</f>
        <v>12</v>
      </c>
      <c r="DO239" cm="1">
        <f t="array" aca="1" ref="DO239" ca="1">INDEX(_xlfn.ANCHORARRAY($CP$15),1+MOD(ROWS($DO$15:$DO239)-1,ROWS(_xlfn.ANCHORARRAY($CP$15))))</f>
        <v>18</v>
      </c>
      <c r="DP239" s="10" cm="1">
        <f t="array" aca="1" ref="DP239" ca="1">(1-$B$18)*SUMPRODUCT(OFFSET($BO$15,0,0,$B$14,1), 1*(_xlfn._xlws.FILTER(OFFSET($O$15,0,$DN239,$B$8,1),OFFSET($M$15,0,0,$B$8,1))=DP$13), 1*(_xlfn._xlws.FILTER(OFFSET($O$15,0,$DO239,$B$8,1),OFFSET($M$15,0,0,$B$8,1))=DP$14))   /   SUM(OFFSET($BO$15,0,0,$B$14,1)) + $B$18/($B$19*$B$19*($DN239&lt;&gt;$DO239) + $B$19*($DN239=$DO239))</f>
        <v>3.7037037037037035E-4</v>
      </c>
      <c r="DQ239" s="10" cm="1">
        <f t="array" aca="1" ref="DQ239" ca="1">(1-$B$18)*SUMPRODUCT(OFFSET($BO$15,0,0,$B$14,1), 1*(_xlfn._xlws.FILTER(OFFSET($O$15,0,$DN239,$B$8,1),OFFSET($M$15,0,0,$B$8,1))=DQ$13), 1*(_xlfn._xlws.FILTER(OFFSET($O$15,0,$DO239,$B$8,1),OFFSET($M$15,0,0,$B$8,1))=DQ$14))   /   SUM(OFFSET($BO$15,0,0,$B$14,1)) + $B$18/($B$19*$B$19*($DN239&lt;&gt;$DO239) + $B$19*($DN239=$DO239))</f>
        <v>3.7037037037037035E-4</v>
      </c>
      <c r="DR239" s="10" cm="1">
        <f t="array" aca="1" ref="DR239" ca="1">(1-$B$18)*SUMPRODUCT(OFFSET($BO$15,0,0,$B$14,1), 1*(_xlfn._xlws.FILTER(OFFSET($O$15,0,$DN239,$B$8,1),OFFSET($M$15,0,0,$B$8,1))=DR$13), 1*(_xlfn._xlws.FILTER(OFFSET($O$15,0,$DO239,$B$8,1),OFFSET($M$15,0,0,$B$8,1))=DR$14))   /   SUM(OFFSET($BO$15,0,0,$B$14,1)) + $B$18/($B$19*$B$19*($DN239&lt;&gt;$DO239) + $B$19*($DN239=$DO239))</f>
        <v>3.7037037037037035E-4</v>
      </c>
      <c r="DS239" s="10" cm="1">
        <f t="array" aca="1" ref="DS239" ca="1">(1-$B$18)*SUMPRODUCT(OFFSET($BO$15,0,0,$B$14,1), 1*(_xlfn._xlws.FILTER(OFFSET($O$15,0,$DN239,$B$8,1),OFFSET($M$15,0,0,$B$8,1))=DS$13), 1*(_xlfn._xlws.FILTER(OFFSET($O$15,0,$DO239,$B$8,1),OFFSET($M$15,0,0,$B$8,1))=DS$14))   /   SUM(OFFSET($BO$15,0,0,$B$14,1)) + $B$18/($B$19*$B$19*($DN239&lt;&gt;$DO239) + $B$19*($DN239=$DO239))</f>
        <v>3.7037037037037035E-4</v>
      </c>
      <c r="DT239" s="10" cm="1">
        <f t="array" aca="1" ref="DT239" ca="1">(1-$B$18)*SUMPRODUCT(OFFSET($BO$15,0,0,$B$14,1), 1*(_xlfn._xlws.FILTER(OFFSET($O$15,0,$DN239,$B$8,1),OFFSET($M$15,0,0,$B$8,1))=DT$13), 1*(_xlfn._xlws.FILTER(OFFSET($O$15,0,$DO239,$B$8,1),OFFSET($M$15,0,0,$B$8,1))=DT$14))   /   SUM(OFFSET($BO$15,0,0,$B$14,1)) + $B$18/($B$19*$B$19*($DN239&lt;&gt;$DO239) + $B$19*($DN239=$DO239))</f>
        <v>3.7037037037037035E-4</v>
      </c>
      <c r="DU239" s="10" cm="1">
        <f t="array" aca="1" ref="DU239" ca="1">(1-$B$18)*SUMPRODUCT(OFFSET($BO$15,0,0,$B$14,1), 1*(_xlfn._xlws.FILTER(OFFSET($O$15,0,$DN239,$B$8,1),OFFSET($M$15,0,0,$B$8,1))=DU$13), 1*(_xlfn._xlws.FILTER(OFFSET($O$15,0,$DO239,$B$8,1),OFFSET($M$15,0,0,$B$8,1))=DU$14))   /   SUM(OFFSET($BO$15,0,0,$B$14,1)) + $B$18/($B$19*$B$19*($DN239&lt;&gt;$DO239) + $B$19*($DN239=$DO239))</f>
        <v>3.7037037037037035E-4</v>
      </c>
      <c r="DV239" s="10" cm="1">
        <f t="array" aca="1" ref="DV239" ca="1">(1-$B$18)*SUMPRODUCT(OFFSET($BO$15,0,0,$B$14,1), 1*(_xlfn._xlws.FILTER(OFFSET($O$15,0,$DN239,$B$8,1),OFFSET($M$15,0,0,$B$8,1))=DV$13), 1*(_xlfn._xlws.FILTER(OFFSET($O$15,0,$DO239,$B$8,1),OFFSET($M$15,0,0,$B$8,1))=DV$14))   /   SUM(OFFSET($BO$15,0,0,$B$14,1)) + $B$18/($B$19*$B$19*($DN239&lt;&gt;$DO239) + $B$19*($DN239=$DO239))</f>
        <v>3.7037037037037035E-4</v>
      </c>
      <c r="DW239" s="10" cm="1">
        <f t="array" aca="1" ref="DW239" ca="1">(1-$B$18)*SUMPRODUCT(OFFSET($BO$15,0,0,$B$14,1), 1*(_xlfn._xlws.FILTER(OFFSET($O$15,0,$DN239,$B$8,1),OFFSET($M$15,0,0,$B$8,1))=DW$13), 1*(_xlfn._xlws.FILTER(OFFSET($O$15,0,$DO239,$B$8,1),OFFSET($M$15,0,0,$B$8,1))=DW$14))   /   SUM(OFFSET($BO$15,0,0,$B$14,1)) + $B$18/($B$19*$B$19*($DN239&lt;&gt;$DO239) + $B$19*($DN239=$DO239))</f>
        <v>3.7037037037037035E-4</v>
      </c>
      <c r="DX239" s="10" cm="1">
        <f t="array" aca="1" ref="DX239" ca="1">(1-$B$18)*SUMPRODUCT(OFFSET($BO$15,0,0,$B$14,1), 1*(_xlfn._xlws.FILTER(OFFSET($O$15,0,$DN239,$B$8,1),OFFSET($M$15,0,0,$B$8,1))=DX$13), 1*(_xlfn._xlws.FILTER(OFFSET($O$15,0,$DO239,$B$8,1),OFFSET($M$15,0,0,$B$8,1))=DX$14))   /   SUM(OFFSET($BO$15,0,0,$B$14,1)) + $B$18/($B$19*$B$19*($DN239&lt;&gt;$DO239) + $B$19*($DN239=$DO239))</f>
        <v>3.7037037037037035E-4</v>
      </c>
      <c r="DY239" s="10" cm="1">
        <f t="array" aca="1" ref="DY239" ca="1">(1-$B$18)*SUMPRODUCT(OFFSET($BO$15,0,0,$B$14,1), 1*(_xlfn._xlws.FILTER(OFFSET($O$15,0,$DN239,$B$8,1),OFFSET($M$15,0,0,$B$8,1))=DY$13), 1*(_xlfn._xlws.FILTER(OFFSET($O$15,0,$DO239,$B$8,1),OFFSET($M$15,0,0,$B$8,1))=DY$14))   /   SUM(OFFSET($BO$15,0,0,$B$14,1)) + $B$18/($B$19*$B$19*($DN239&lt;&gt;$DO239) + $B$19*($DN239=$DO239))</f>
        <v>3.7037037037037035E-4</v>
      </c>
      <c r="DZ239" s="10" cm="1">
        <f t="array" aca="1" ref="DZ239" ca="1">(1-$B$18)*SUMPRODUCT(OFFSET($BO$15,0,0,$B$14,1), 1*(_xlfn._xlws.FILTER(OFFSET($O$15,0,$DN239,$B$8,1),OFFSET($M$15,0,0,$B$8,1))=DZ$13), 1*(_xlfn._xlws.FILTER(OFFSET($O$15,0,$DO239,$B$8,1),OFFSET($M$15,0,0,$B$8,1))=DZ$14))   /   SUM(OFFSET($BO$15,0,0,$B$14,1)) + $B$18/($B$19*$B$19*($DN239&lt;&gt;$DO239) + $B$19*($DN239=$DO239))</f>
        <v>3.7037037037037035E-4</v>
      </c>
      <c r="EA239" s="10" cm="1">
        <f t="array" aca="1" ref="EA239" ca="1">(1-$B$18)*SUMPRODUCT(OFFSET($BO$15,0,0,$B$14,1), 1*(_xlfn._xlws.FILTER(OFFSET($O$15,0,$DN239,$B$8,1),OFFSET($M$15,0,0,$B$8,1))=EA$13), 1*(_xlfn._xlws.FILTER(OFFSET($O$15,0,$DO239,$B$8,1),OFFSET($M$15,0,0,$B$8,1))=EA$14))   /   SUM(OFFSET($BO$15,0,0,$B$14,1)) + $B$18/($B$19*$B$19*($DN239&lt;&gt;$DO239) + $B$19*($DN239=$DO239))</f>
        <v>0.97037037037037033</v>
      </c>
      <c r="EB239" s="10" cm="1">
        <f t="array" aca="1" ref="EB239" ca="1">(1-$B$18)*SUMPRODUCT(OFFSET($BO$15,0,0,$B$14,1), 1*(_xlfn._xlws.FILTER(OFFSET($O$15,0,$DN239,$B$8,1),OFFSET($M$15,0,0,$B$8,1))=EB$13), 1*(_xlfn._xlws.FILTER(OFFSET($O$15,0,$DO239,$B$8,1),OFFSET($M$15,0,0,$B$8,1))=EB$14))   /   SUM(OFFSET($BO$15,0,0,$B$14,1)) + $B$18/($B$19*$B$19*($DN239&lt;&gt;$DO239) + $B$19*($DN239=$DO239))</f>
        <v>3.7037037037037035E-4</v>
      </c>
      <c r="EC239" s="10" cm="1">
        <f t="array" aca="1" ref="EC239" ca="1">(1-$B$18)*SUMPRODUCT(OFFSET($BO$15,0,0,$B$14,1), 1*(_xlfn._xlws.FILTER(OFFSET($O$15,0,$DN239,$B$8,1),OFFSET($M$15,0,0,$B$8,1))=EC$13), 1*(_xlfn._xlws.FILTER(OFFSET($O$15,0,$DO239,$B$8,1),OFFSET($M$15,0,0,$B$8,1))=EC$14))   /   SUM(OFFSET($BO$15,0,0,$B$14,1)) + $B$18/($B$19*$B$19*($DN239&lt;&gt;$DO239) + $B$19*($DN239=$DO239))</f>
        <v>3.7037037037037035E-4</v>
      </c>
      <c r="ED239" s="10" cm="1">
        <f t="array" aca="1" ref="ED239" ca="1">(1-$B$18)*SUMPRODUCT(OFFSET($BO$15,0,0,$B$14,1), 1*(_xlfn._xlws.FILTER(OFFSET($O$15,0,$DN239,$B$8,1),OFFSET($M$15,0,0,$B$8,1))=ED$13), 1*(_xlfn._xlws.FILTER(OFFSET($O$15,0,$DO239,$B$8,1),OFFSET($M$15,0,0,$B$8,1))=ED$14))   /   SUM(OFFSET($BO$15,0,0,$B$14,1)) + $B$18/($B$19*$B$19*($DN239&lt;&gt;$DO239) + $B$19*($DN239=$DO239))</f>
        <v>3.7037037037037035E-4</v>
      </c>
      <c r="EE239" s="10" cm="1">
        <f t="array" aca="1" ref="EE239" ca="1">(1-$B$18)*SUMPRODUCT(OFFSET($BO$15,0,0,$B$14,1), 1*(_xlfn._xlws.FILTER(OFFSET($O$15,0,$DN239,$B$8,1),OFFSET($M$15,0,0,$B$8,1))=EE$13), 1*(_xlfn._xlws.FILTER(OFFSET($O$15,0,$DO239,$B$8,1),OFFSET($M$15,0,0,$B$8,1))=EE$14))   /   SUM(OFFSET($BO$15,0,0,$B$14,1)) + $B$18/($B$19*$B$19*($DN239&lt;&gt;$DO239) + $B$19*($DN239=$DO239))</f>
        <v>3.7037037037037035E-4</v>
      </c>
      <c r="EF239" s="10" cm="1">
        <f t="array" aca="1" ref="EF239" ca="1">(1-$B$18)*SUMPRODUCT(OFFSET($BO$15,0,0,$B$14,1), 1*(_xlfn._xlws.FILTER(OFFSET($O$15,0,$DN239,$B$8,1),OFFSET($M$15,0,0,$B$8,1))=EF$13), 1*(_xlfn._xlws.FILTER(OFFSET($O$15,0,$DO239,$B$8,1),OFFSET($M$15,0,0,$B$8,1))=EF$14))   /   SUM(OFFSET($BO$15,0,0,$B$14,1)) + $B$18/($B$19*$B$19*($DN239&lt;&gt;$DO239) + $B$19*($DN239=$DO239))</f>
        <v>3.7037037037037035E-4</v>
      </c>
      <c r="EG239" s="10" cm="1">
        <f t="array" aca="1" ref="EG239" ca="1">(1-$B$18)*SUMPRODUCT(OFFSET($BO$15,0,0,$B$14,1), 1*(_xlfn._xlws.FILTER(OFFSET($O$15,0,$DN239,$B$8,1),OFFSET($M$15,0,0,$B$8,1))=EG$13), 1*(_xlfn._xlws.FILTER(OFFSET($O$15,0,$DO239,$B$8,1),OFFSET($M$15,0,0,$B$8,1))=EG$14))   /   SUM(OFFSET($BO$15,0,0,$B$14,1)) + $B$18/($B$19*$B$19*($DN239&lt;&gt;$DO239) + $B$19*($DN239=$DO239))</f>
        <v>3.7037037037037035E-4</v>
      </c>
      <c r="EH239" s="10" cm="1">
        <f t="array" aca="1" ref="EH239" ca="1">(1-$B$18)*SUMPRODUCT(OFFSET($BO$15,0,0,$B$14,1), 1*(_xlfn._xlws.FILTER(OFFSET($O$15,0,$DN239,$B$8,1),OFFSET($M$15,0,0,$B$8,1))=EH$13), 1*(_xlfn._xlws.FILTER(OFFSET($O$15,0,$DO239,$B$8,1),OFFSET($M$15,0,0,$B$8,1))=EH$14))   /   SUM(OFFSET($BO$15,0,0,$B$14,1)) + $B$18/($B$19*$B$19*($DN239&lt;&gt;$DO239) + $B$19*($DN239=$DO239))</f>
        <v>3.7037037037037035E-4</v>
      </c>
      <c r="EI239" s="10" cm="1">
        <f t="array" aca="1" ref="EI239" ca="1">(1-$B$18)*SUMPRODUCT(OFFSET($BO$15,0,0,$B$14,1), 1*(_xlfn._xlws.FILTER(OFFSET($O$15,0,$DN239,$B$8,1),OFFSET($M$15,0,0,$B$8,1))=EI$13), 1*(_xlfn._xlws.FILTER(OFFSET($O$15,0,$DO239,$B$8,1),OFFSET($M$15,0,0,$B$8,1))=EI$14))   /   SUM(OFFSET($BO$15,0,0,$B$14,1)) + $B$18/($B$19*$B$19*($DN239&lt;&gt;$DO239) + $B$19*($DN239=$DO239))</f>
        <v>3.7037037037037035E-4</v>
      </c>
      <c r="EJ239" s="10" cm="1">
        <f t="array" aca="1" ref="EJ239" ca="1">(1-$B$18)*SUMPRODUCT(OFFSET($BO$15,0,0,$B$14,1), 1*(_xlfn._xlws.FILTER(OFFSET($O$15,0,$DN239,$B$8,1),OFFSET($M$15,0,0,$B$8,1))=EJ$13), 1*(_xlfn._xlws.FILTER(OFFSET($O$15,0,$DO239,$B$8,1),OFFSET($M$15,0,0,$B$8,1))=EJ$14))   /   SUM(OFFSET($BO$15,0,0,$B$14,1)) + $B$18/($B$19*$B$19*($DN239&lt;&gt;$DO239) + $B$19*($DN239=$DO239))</f>
        <v>3.7037037037037035E-4</v>
      </c>
      <c r="EK239" s="10" cm="1">
        <f t="array" aca="1" ref="EK239" ca="1">(1-$B$18)*SUMPRODUCT(OFFSET($BO$15,0,0,$B$14,1), 1*(_xlfn._xlws.FILTER(OFFSET($O$15,0,$DN239,$B$8,1),OFFSET($M$15,0,0,$B$8,1))=EK$13), 1*(_xlfn._xlws.FILTER(OFFSET($O$15,0,$DO239,$B$8,1),OFFSET($M$15,0,0,$B$8,1))=EK$14))   /   SUM(OFFSET($BO$15,0,0,$B$14,1)) + $B$18/($B$19*$B$19*($DN239&lt;&gt;$DO239) + $B$19*($DN239=$DO239))</f>
        <v>3.7037037037037035E-4</v>
      </c>
      <c r="EL239" s="10" cm="1">
        <f t="array" aca="1" ref="EL239" ca="1">(1-$B$18)*SUMPRODUCT(OFFSET($BO$15,0,0,$B$14,1), 1*(_xlfn._xlws.FILTER(OFFSET($O$15,0,$DN239,$B$8,1),OFFSET($M$15,0,0,$B$8,1))=EL$13), 1*(_xlfn._xlws.FILTER(OFFSET($O$15,0,$DO239,$B$8,1),OFFSET($M$15,0,0,$B$8,1))=EL$14))   /   SUM(OFFSET($BO$15,0,0,$B$14,1)) + $B$18/($B$19*$B$19*($DN239&lt;&gt;$DO239) + $B$19*($DN239=$DO239))</f>
        <v>3.7037037037037035E-4</v>
      </c>
      <c r="EM239" s="10" cm="1">
        <f t="array" aca="1" ref="EM239" ca="1">(1-$B$18)*SUMPRODUCT(OFFSET($BO$15,0,0,$B$14,1), 1*(_xlfn._xlws.FILTER(OFFSET($O$15,0,$DN239,$B$8,1),OFFSET($M$15,0,0,$B$8,1))=EM$13), 1*(_xlfn._xlws.FILTER(OFFSET($O$15,0,$DO239,$B$8,1),OFFSET($M$15,0,0,$B$8,1))=EM$14))   /   SUM(OFFSET($BO$15,0,0,$B$14,1)) + $B$18/($B$19*$B$19*($DN239&lt;&gt;$DO239) + $B$19*($DN239=$DO239))</f>
        <v>3.7037037037037035E-4</v>
      </c>
      <c r="EN239" s="10" cm="1">
        <f t="array" aca="1" ref="EN239" ca="1">(1-$B$18)*SUMPRODUCT(OFFSET($BO$15,0,0,$B$14,1), 1*(_xlfn._xlws.FILTER(OFFSET($O$15,0,$DN239,$B$8,1),OFFSET($M$15,0,0,$B$8,1))=EN$13), 1*(_xlfn._xlws.FILTER(OFFSET($O$15,0,$DO239,$B$8,1),OFFSET($M$15,0,0,$B$8,1))=EN$14))   /   SUM(OFFSET($BO$15,0,0,$B$14,1)) + $B$18/($B$19*$B$19*($DN239&lt;&gt;$DO239) + $B$19*($DN239=$DO239))</f>
        <v>3.7037037037037035E-4</v>
      </c>
      <c r="EO239" s="10" cm="1">
        <f t="array" aca="1" ref="EO239" ca="1">(1-$B$18)*SUMPRODUCT(OFFSET($BO$15,0,0,$B$14,1), 1*(_xlfn._xlws.FILTER(OFFSET($O$15,0,$DN239,$B$8,1),OFFSET($M$15,0,0,$B$8,1))=EO$13), 1*(_xlfn._xlws.FILTER(OFFSET($O$15,0,$DO239,$B$8,1),OFFSET($M$15,0,0,$B$8,1))=EO$14))   /   SUM(OFFSET($BO$15,0,0,$B$14,1)) + $B$18/($B$19*$B$19*($DN239&lt;&gt;$DO239) + $B$19*($DN239=$DO239))</f>
        <v>3.7037037037037035E-4</v>
      </c>
      <c r="EP239" s="10" cm="1">
        <f t="array" aca="1" ref="EP239" ca="1">(1-$B$18)*SUMPRODUCT(OFFSET($BO$15,0,0,$B$14,1), 1*(_xlfn._xlws.FILTER(OFFSET($O$15,0,$DN239,$B$8,1),OFFSET($M$15,0,0,$B$8,1))=EP$13), 1*(_xlfn._xlws.FILTER(OFFSET($O$15,0,$DO239,$B$8,1),OFFSET($M$15,0,0,$B$8,1))=EP$14))   /   SUM(OFFSET($BO$15,0,0,$B$14,1)) + $B$18/($B$19*$B$19*($DN239&lt;&gt;$DO239) + $B$19*($DN239=$DO239))</f>
        <v>3.7037037037037035E-4</v>
      </c>
      <c r="EQ239" s="10" cm="1">
        <f t="array" aca="1" ref="EQ239" ca="1">(1-$B$18)*SUMPRODUCT(OFFSET($BO$15,0,0,$B$14,1), 1*(_xlfn._xlws.FILTER(OFFSET($O$15,0,$DN239,$B$8,1),OFFSET($M$15,0,0,$B$8,1))=EQ$13), 1*(_xlfn._xlws.FILTER(OFFSET($O$15,0,$DO239,$B$8,1),OFFSET($M$15,0,0,$B$8,1))=EQ$14))   /   SUM(OFFSET($BO$15,0,0,$B$14,1)) + $B$18/($B$19*$B$19*($DN239&lt;&gt;$DO239) + $B$19*($DN239=$DO239))</f>
        <v>3.7037037037037035E-4</v>
      </c>
      <c r="ER239" s="10" cm="1">
        <f t="array" aca="1" ref="ER239" ca="1">(1-$B$18)*SUMPRODUCT(OFFSET($BO$15,0,0,$B$14,1), 1*(_xlfn._xlws.FILTER(OFFSET($O$15,0,$DN239,$B$8,1),OFFSET($M$15,0,0,$B$8,1))=ER$13), 1*(_xlfn._xlws.FILTER(OFFSET($O$15,0,$DO239,$B$8,1),OFFSET($M$15,0,0,$B$8,1))=ER$14))   /   SUM(OFFSET($BO$15,0,0,$B$14,1)) + $B$18/($B$19*$B$19*($DN239&lt;&gt;$DO239) + $B$19*($DN239=$DO239))</f>
        <v>3.7037037037037035E-4</v>
      </c>
      <c r="ES239" s="10" cm="1">
        <f t="array" aca="1" ref="ES239" ca="1">(1-$B$18)*SUMPRODUCT(OFFSET($BO$15,0,0,$B$14,1), 1*(_xlfn._xlws.FILTER(OFFSET($O$15,0,$DN239,$B$8,1),OFFSET($M$15,0,0,$B$8,1))=ES$13), 1*(_xlfn._xlws.FILTER(OFFSET($O$15,0,$DO239,$B$8,1),OFFSET($M$15,0,0,$B$8,1))=ES$14))   /   SUM(OFFSET($BO$15,0,0,$B$14,1)) + $B$18/($B$19*$B$19*($DN239&lt;&gt;$DO239) + $B$19*($DN239=$DO239))</f>
        <v>3.7037037037037035E-4</v>
      </c>
      <c r="ET239" s="10" cm="1">
        <f t="array" aca="1" ref="ET239" ca="1">(1-$B$18)*SUMPRODUCT(OFFSET($BO$15,0,0,$B$14,1), 1*(_xlfn._xlws.FILTER(OFFSET($O$15,0,$DN239,$B$8,1),OFFSET($M$15,0,0,$B$8,1))=ET$13), 1*(_xlfn._xlws.FILTER(OFFSET($O$15,0,$DO239,$B$8,1),OFFSET($M$15,0,0,$B$8,1))=ET$14))   /   SUM(OFFSET($BO$15,0,0,$B$14,1)) + $B$18/($B$19*$B$19*($DN239&lt;&gt;$DO239) + $B$19*($DN239=$DO239))</f>
        <v>3.7037037037037035E-4</v>
      </c>
      <c r="EU239" s="10" cm="1">
        <f t="array" aca="1" ref="EU239" ca="1">(1-$B$18)*SUMPRODUCT(OFFSET($BO$15,0,0,$B$14,1), 1*(_xlfn._xlws.FILTER(OFFSET($O$15,0,$DN239,$B$8,1),OFFSET($M$15,0,0,$B$8,1))=EU$13), 1*(_xlfn._xlws.FILTER(OFFSET($O$15,0,$DO239,$B$8,1),OFFSET($M$15,0,0,$B$8,1))=EU$14))   /   SUM(OFFSET($BO$15,0,0,$B$14,1)) + $B$18/($B$19*$B$19*($DN239&lt;&gt;$DO239) + $B$19*($DN239=$DO239))</f>
        <v>3.7037037037037035E-4</v>
      </c>
      <c r="EV239" s="10" cm="1">
        <f t="array" aca="1" ref="EV239" ca="1">(1-$B$18)*SUMPRODUCT(OFFSET($BO$15,0,0,$B$14,1), 1*(_xlfn._xlws.FILTER(OFFSET($O$15,0,$DN239,$B$8,1),OFFSET($M$15,0,0,$B$8,1))=EV$13), 1*(_xlfn._xlws.FILTER(OFFSET($O$15,0,$DO239,$B$8,1),OFFSET($M$15,0,0,$B$8,1))=EV$14))   /   SUM(OFFSET($BO$15,0,0,$B$14,1)) + $B$18/($B$19*$B$19*($DN239&lt;&gt;$DO239) + $B$19*($DN239=$DO239))</f>
        <v>3.7037037037037035E-4</v>
      </c>
      <c r="EW239" s="10" cm="1">
        <f t="array" aca="1" ref="EW239" ca="1">(1-$B$18)*SUMPRODUCT(OFFSET($BO$15,0,0,$B$14,1), 1*(_xlfn._xlws.FILTER(OFFSET($O$15,0,$DN239,$B$8,1),OFFSET($M$15,0,0,$B$8,1))=EW$13), 1*(_xlfn._xlws.FILTER(OFFSET($O$15,0,$DO239,$B$8,1),OFFSET($M$15,0,0,$B$8,1))=EW$14))   /   SUM(OFFSET($BO$15,0,0,$B$14,1)) + $B$18/($B$19*$B$19*($DN239&lt;&gt;$DO239) + $B$19*($DN239=$DO239))</f>
        <v>3.7037037037037035E-4</v>
      </c>
      <c r="EX239" s="10" cm="1">
        <f t="array" aca="1" ref="EX239" ca="1">(1-$B$18)*SUMPRODUCT(OFFSET($BO$15,0,0,$B$14,1), 1*(_xlfn._xlws.FILTER(OFFSET($O$15,0,$DN239,$B$8,1),OFFSET($M$15,0,0,$B$8,1))=EX$13), 1*(_xlfn._xlws.FILTER(OFFSET($O$15,0,$DO239,$B$8,1),OFFSET($M$15,0,0,$B$8,1))=EX$14))   /   SUM(OFFSET($BO$15,0,0,$B$14,1)) + $B$18/($B$19*$B$19*($DN239&lt;&gt;$DO239) + $B$19*($DN239=$DO239))</f>
        <v>3.7037037037037035E-4</v>
      </c>
      <c r="EY239" s="10" cm="1">
        <f t="array" aca="1" ref="EY239" ca="1">(1-$B$18)*SUMPRODUCT(OFFSET($BO$15,0,0,$B$14,1), 1*(_xlfn._xlws.FILTER(OFFSET($O$15,0,$DN239,$B$8,1),OFFSET($M$15,0,0,$B$8,1))=EY$13), 1*(_xlfn._xlws.FILTER(OFFSET($O$15,0,$DO239,$B$8,1),OFFSET($M$15,0,0,$B$8,1))=EY$14))   /   SUM(OFFSET($BO$15,0,0,$B$14,1)) + $B$18/($B$19*$B$19*($DN239&lt;&gt;$DO239) + $B$19*($DN239=$DO239))</f>
        <v>3.7037037037037035E-4</v>
      </c>
      <c r="EZ239" s="10" cm="1">
        <f t="array" aca="1" ref="EZ239" ca="1">(1-$B$18)*SUMPRODUCT(OFFSET($BO$15,0,0,$B$14,1), 1*(_xlfn._xlws.FILTER(OFFSET($O$15,0,$DN239,$B$8,1),OFFSET($M$15,0,0,$B$8,1))=EZ$13), 1*(_xlfn._xlws.FILTER(OFFSET($O$15,0,$DO239,$B$8,1),OFFSET($M$15,0,0,$B$8,1))=EZ$14))   /   SUM(OFFSET($BO$15,0,0,$B$14,1)) + $B$18/($B$19*$B$19*($DN239&lt;&gt;$DO239) + $B$19*($DN239=$DO239))</f>
        <v>3.7037037037037035E-4</v>
      </c>
      <c r="FA239" s="10" cm="1">
        <f t="array" aca="1" ref="FA239" ca="1">(1-$B$18)*SUMPRODUCT(OFFSET($BO$15,0,0,$B$14,1), 1*(_xlfn._xlws.FILTER(OFFSET($O$15,0,$DN239,$B$8,1),OFFSET($M$15,0,0,$B$8,1))=FA$13), 1*(_xlfn._xlws.FILTER(OFFSET($O$15,0,$DO239,$B$8,1),OFFSET($M$15,0,0,$B$8,1))=FA$14))   /   SUM(OFFSET($BO$15,0,0,$B$14,1)) + $B$18/($B$19*$B$19*($DN239&lt;&gt;$DO239) + $B$19*($DN239=$DO239))</f>
        <v>3.7037037037037035E-4</v>
      </c>
      <c r="FB239" s="10" cm="1">
        <f t="array" aca="1" ref="FB239" ca="1">(1-$B$18)*SUMPRODUCT(OFFSET($BO$15,0,0,$B$14,1), 1*(_xlfn._xlws.FILTER(OFFSET($O$15,0,$DN239,$B$8,1),OFFSET($M$15,0,0,$B$8,1))=FB$13), 1*(_xlfn._xlws.FILTER(OFFSET($O$15,0,$DO239,$B$8,1),OFFSET($M$15,0,0,$B$8,1))=FB$14))   /   SUM(OFFSET($BO$15,0,0,$B$14,1)) + $B$18/($B$19*$B$19*($DN239&lt;&gt;$DO239) + $B$19*($DN239=$DO239))</f>
        <v>3.7037037037037035E-4</v>
      </c>
      <c r="FC239" s="10" cm="1">
        <f t="array" aca="1" ref="FC239" ca="1">(1-$B$18)*SUMPRODUCT(OFFSET($BO$15,0,0,$B$14,1), 1*(_xlfn._xlws.FILTER(OFFSET($O$15,0,$DN239,$B$8,1),OFFSET($M$15,0,0,$B$8,1))=FC$13), 1*(_xlfn._xlws.FILTER(OFFSET($O$15,0,$DO239,$B$8,1),OFFSET($M$15,0,0,$B$8,1))=FC$14))   /   SUM(OFFSET($BO$15,0,0,$B$14,1)) + $B$18/($B$19*$B$19*($DN239&lt;&gt;$DO239) + $B$19*($DN239=$DO239))</f>
        <v>3.7037037037037035E-4</v>
      </c>
      <c r="FD239" s="10" cm="1">
        <f t="array" aca="1" ref="FD239" ca="1">(1-$B$18)*SUMPRODUCT(OFFSET($BO$15,0,0,$B$14,1), 1*(_xlfn._xlws.FILTER(OFFSET($O$15,0,$DN239,$B$8,1),OFFSET($M$15,0,0,$B$8,1))=FD$13), 1*(_xlfn._xlws.FILTER(OFFSET($O$15,0,$DO239,$B$8,1),OFFSET($M$15,0,0,$B$8,1))=FD$14))   /   SUM(OFFSET($BO$15,0,0,$B$14,1)) + $B$18/($B$19*$B$19*($DN239&lt;&gt;$DO239) + $B$19*($DN239=$DO239))</f>
        <v>3.7037037037037035E-4</v>
      </c>
      <c r="FE239" s="10" cm="1">
        <f t="array" aca="1" ref="FE239" ca="1">(1-$B$18)*SUMPRODUCT(OFFSET($BO$15,0,0,$B$14,1), 1*(_xlfn._xlws.FILTER(OFFSET($O$15,0,$DN239,$B$8,1),OFFSET($M$15,0,0,$B$8,1))=FE$13), 1*(_xlfn._xlws.FILTER(OFFSET($O$15,0,$DO239,$B$8,1),OFFSET($M$15,0,0,$B$8,1))=FE$14))   /   SUM(OFFSET($BO$15,0,0,$B$14,1)) + $B$18/($B$19*$B$19*($DN239&lt;&gt;$DO239) + $B$19*($DN239=$DO239))</f>
        <v>3.7037037037037035E-4</v>
      </c>
      <c r="FF239" s="10" cm="1">
        <f t="array" aca="1" ref="FF239" ca="1">(1-$B$18)*SUMPRODUCT(OFFSET($BO$15,0,0,$B$14,1), 1*(_xlfn._xlws.FILTER(OFFSET($O$15,0,$DN239,$B$8,1),OFFSET($M$15,0,0,$B$8,1))=FF$13), 1*(_xlfn._xlws.FILTER(OFFSET($O$15,0,$DO239,$B$8,1),OFFSET($M$15,0,0,$B$8,1))=FF$14))   /   SUM(OFFSET($BO$15,0,0,$B$14,1)) + $B$18/($B$19*$B$19*($DN239&lt;&gt;$DO239) + $B$19*($DN239=$DO239))</f>
        <v>3.7037037037037035E-4</v>
      </c>
      <c r="FG239" s="10" cm="1">
        <f t="array" aca="1" ref="FG239" ca="1">(1-$B$18)*SUMPRODUCT(OFFSET($BO$15,0,0,$B$14,1), 1*(_xlfn._xlws.FILTER(OFFSET($O$15,0,$DN239,$B$8,1),OFFSET($M$15,0,0,$B$8,1))=FG$13), 1*(_xlfn._xlws.FILTER(OFFSET($O$15,0,$DO239,$B$8,1),OFFSET($M$15,0,0,$B$8,1))=FG$14))   /   SUM(OFFSET($BO$15,0,0,$B$14,1)) + $B$18/($B$19*$B$19*($DN239&lt;&gt;$DO239) + $B$19*($DN239=$DO239))</f>
        <v>3.7037037037037035E-4</v>
      </c>
      <c r="FH239" s="10" cm="1">
        <f t="array" aca="1" ref="FH239" ca="1">(1-$B$18)*SUMPRODUCT(OFFSET($BO$15,0,0,$B$14,1), 1*(_xlfn._xlws.FILTER(OFFSET($O$15,0,$DN239,$B$8,1),OFFSET($M$15,0,0,$B$8,1))=FH$13), 1*(_xlfn._xlws.FILTER(OFFSET($O$15,0,$DO239,$B$8,1),OFFSET($M$15,0,0,$B$8,1))=FH$14))   /   SUM(OFFSET($BO$15,0,0,$B$14,1)) + $B$18/($B$19*$B$19*($DN239&lt;&gt;$DO239) + $B$19*($DN239=$DO239))</f>
        <v>3.7037037037037035E-4</v>
      </c>
      <c r="FI239" s="10" cm="1">
        <f t="array" aca="1" ref="FI239" ca="1">(1-$B$18)*SUMPRODUCT(OFFSET($BO$15,0,0,$B$14,1), 1*(_xlfn._xlws.FILTER(OFFSET($O$15,0,$DN239,$B$8,1),OFFSET($M$15,0,0,$B$8,1))=FI$13), 1*(_xlfn._xlws.FILTER(OFFSET($O$15,0,$DO239,$B$8,1),OFFSET($M$15,0,0,$B$8,1))=FI$14))   /   SUM(OFFSET($BO$15,0,0,$B$14,1)) + $B$18/($B$19*$B$19*($DN239&lt;&gt;$DO239) + $B$19*($DN239=$DO239))</f>
        <v>3.7037037037037035E-4</v>
      </c>
      <c r="FJ239" s="10" cm="1">
        <f t="array" aca="1" ref="FJ239" ca="1">(1-$B$18)*SUMPRODUCT(OFFSET($BO$15,0,0,$B$14,1), 1*(_xlfn._xlws.FILTER(OFFSET($O$15,0,$DN239,$B$8,1),OFFSET($M$15,0,0,$B$8,1))=FJ$13), 1*(_xlfn._xlws.FILTER(OFFSET($O$15,0,$DO239,$B$8,1),OFFSET($M$15,0,0,$B$8,1))=FJ$14))   /   SUM(OFFSET($BO$15,0,0,$B$14,1)) + $B$18/($B$19*$B$19*($DN239&lt;&gt;$DO239) + $B$19*($DN239=$DO239))</f>
        <v>3.7037037037037035E-4</v>
      </c>
      <c r="FK239" s="10" cm="1">
        <f t="array" aca="1" ref="FK239" ca="1">(1-$B$18)*SUMPRODUCT(OFFSET($BO$15,0,0,$B$14,1), 1*(_xlfn._xlws.FILTER(OFFSET($O$15,0,$DN239,$B$8,1),OFFSET($M$15,0,0,$B$8,1))=FK$13), 1*(_xlfn._xlws.FILTER(OFFSET($O$15,0,$DO239,$B$8,1),OFFSET($M$15,0,0,$B$8,1))=FK$14))   /   SUM(OFFSET($BO$15,0,0,$B$14,1)) + $B$18/($B$19*$B$19*($DN239&lt;&gt;$DO239) + $B$19*($DN239=$DO239))</f>
        <v>3.7037037037037035E-4</v>
      </c>
      <c r="FL239" s="10" cm="1">
        <f t="array" aca="1" ref="FL239" ca="1">(1-$B$18)*SUMPRODUCT(OFFSET($BO$15,0,0,$B$14,1), 1*(_xlfn._xlws.FILTER(OFFSET($O$15,0,$DN239,$B$8,1),OFFSET($M$15,0,0,$B$8,1))=FL$13), 1*(_xlfn._xlws.FILTER(OFFSET($O$15,0,$DO239,$B$8,1),OFFSET($M$15,0,0,$B$8,1))=FL$14))   /   SUM(OFFSET($BO$15,0,0,$B$14,1)) + $B$18/($B$19*$B$19*($DN239&lt;&gt;$DO239) + $B$19*($DN239=$DO239))</f>
        <v>3.7037037037037035E-4</v>
      </c>
      <c r="FM239" s="10" cm="1">
        <f t="array" aca="1" ref="FM239" ca="1">(1-$B$18)*SUMPRODUCT(OFFSET($BO$15,0,0,$B$14,1), 1*(_xlfn._xlws.FILTER(OFFSET($O$15,0,$DN239,$B$8,1),OFFSET($M$15,0,0,$B$8,1))=FM$13), 1*(_xlfn._xlws.FILTER(OFFSET($O$15,0,$DO239,$B$8,1),OFFSET($M$15,0,0,$B$8,1))=FM$14))   /   SUM(OFFSET($BO$15,0,0,$B$14,1)) + $B$18/($B$19*$B$19*($DN239&lt;&gt;$DO239) + $B$19*($DN239=$DO239))</f>
        <v>3.7037037037037035E-4</v>
      </c>
      <c r="FN239" s="10" cm="1">
        <f t="array" aca="1" ref="FN239" ca="1">(1-$B$18)*SUMPRODUCT(OFFSET($BO$15,0,0,$B$14,1), 1*(_xlfn._xlws.FILTER(OFFSET($O$15,0,$DN239,$B$8,1),OFFSET($M$15,0,0,$B$8,1))=FN$13), 1*(_xlfn._xlws.FILTER(OFFSET($O$15,0,$DO239,$B$8,1),OFFSET($M$15,0,0,$B$8,1))=FN$14))   /   SUM(OFFSET($BO$15,0,0,$B$14,1)) + $B$18/($B$19*$B$19*($DN239&lt;&gt;$DO239) + $B$19*($DN239=$DO239))</f>
        <v>3.7037037037037035E-4</v>
      </c>
      <c r="FO239" s="10" cm="1">
        <f t="array" aca="1" ref="FO239" ca="1">(1-$B$18)*SUMPRODUCT(OFFSET($BO$15,0,0,$B$14,1), 1*(_xlfn._xlws.FILTER(OFFSET($O$15,0,$DN239,$B$8,1),OFFSET($M$15,0,0,$B$8,1))=FO$13), 1*(_xlfn._xlws.FILTER(OFFSET($O$15,0,$DO239,$B$8,1),OFFSET($M$15,0,0,$B$8,1))=FO$14))   /   SUM(OFFSET($BO$15,0,0,$B$14,1)) + $B$18/($B$19*$B$19*($DN239&lt;&gt;$DO239) + $B$19*($DN239=$DO239))</f>
        <v>3.7037037037037035E-4</v>
      </c>
      <c r="FP239" s="10" cm="1">
        <f t="array" aca="1" ref="FP239" ca="1">(1-$B$18)*SUMPRODUCT(OFFSET($BO$15,0,0,$B$14,1), 1*(_xlfn._xlws.FILTER(OFFSET($O$15,0,$DN239,$B$8,1),OFFSET($M$15,0,0,$B$8,1))=FP$13), 1*(_xlfn._xlws.FILTER(OFFSET($O$15,0,$DO239,$B$8,1),OFFSET($M$15,0,0,$B$8,1))=FP$14))   /   SUM(OFFSET($BO$15,0,0,$B$14,1)) + $B$18/($B$19*$B$19*($DN239&lt;&gt;$DO239) + $B$19*($DN239=$DO239))</f>
        <v>3.7037037037037035E-4</v>
      </c>
      <c r="FQ239" s="10" cm="1">
        <f t="array" aca="1" ref="FQ239" ca="1">(1-$B$18)*SUMPRODUCT(OFFSET($BO$15,0,0,$B$14,1), 1*(_xlfn._xlws.FILTER(OFFSET($O$15,0,$DN239,$B$8,1),OFFSET($M$15,0,0,$B$8,1))=FQ$13), 1*(_xlfn._xlws.FILTER(OFFSET($O$15,0,$DO239,$B$8,1),OFFSET($M$15,0,0,$B$8,1))=FQ$14))   /   SUM(OFFSET($BO$15,0,0,$B$14,1)) + $B$18/($B$19*$B$19*($DN239&lt;&gt;$DO239) + $B$19*($DN239=$DO239))</f>
        <v>3.7037037037037035E-4</v>
      </c>
      <c r="FR239" s="10" cm="1">
        <f t="array" aca="1" ref="FR239" ca="1">(1-$B$18)*SUMPRODUCT(OFFSET($BO$15,0,0,$B$14,1), 1*(_xlfn._xlws.FILTER(OFFSET($O$15,0,$DN239,$B$8,1),OFFSET($M$15,0,0,$B$8,1))=FR$13), 1*(_xlfn._xlws.FILTER(OFFSET($O$15,0,$DO239,$B$8,1),OFFSET($M$15,0,0,$B$8,1))=FR$14))   /   SUM(OFFSET($BO$15,0,0,$B$14,1)) + $B$18/($B$19*$B$19*($DN239&lt;&gt;$DO239) + $B$19*($DN239=$DO239))</f>
        <v>3.7037037037037035E-4</v>
      </c>
      <c r="FS239" s="10" cm="1">
        <f t="array" aca="1" ref="FS239" ca="1">(1-$B$18)*SUMPRODUCT(OFFSET($BO$15,0,0,$B$14,1), 1*(_xlfn._xlws.FILTER(OFFSET($O$15,0,$DN239,$B$8,1),OFFSET($M$15,0,0,$B$8,1))=FS$13), 1*(_xlfn._xlws.FILTER(OFFSET($O$15,0,$DO239,$B$8,1),OFFSET($M$15,0,0,$B$8,1))=FS$14))   /   SUM(OFFSET($BO$15,0,0,$B$14,1)) + $B$18/($B$19*$B$19*($DN239&lt;&gt;$DO239) + $B$19*($DN239=$DO239))</f>
        <v>3.7037037037037035E-4</v>
      </c>
      <c r="FT239" s="10" cm="1">
        <f t="array" aca="1" ref="FT239" ca="1">(1-$B$18)*SUMPRODUCT(OFFSET($BO$15,0,0,$B$14,1), 1*(_xlfn._xlws.FILTER(OFFSET($O$15,0,$DN239,$B$8,1),OFFSET($M$15,0,0,$B$8,1))=FT$13), 1*(_xlfn._xlws.FILTER(OFFSET($O$15,0,$DO239,$B$8,1),OFFSET($M$15,0,0,$B$8,1))=FT$14))   /   SUM(OFFSET($BO$15,0,0,$B$14,1)) + $B$18/($B$19*$B$19*($DN239&lt;&gt;$DO239) + $B$19*($DN239=$DO239))</f>
        <v>3.7037037037037035E-4</v>
      </c>
      <c r="FU239" s="10" cm="1">
        <f t="array" aca="1" ref="FU239" ca="1">(1-$B$18)*SUMPRODUCT(OFFSET($BO$15,0,0,$B$14,1), 1*(_xlfn._xlws.FILTER(OFFSET($O$15,0,$DN239,$B$8,1),OFFSET($M$15,0,0,$B$8,1))=FU$13), 1*(_xlfn._xlws.FILTER(OFFSET($O$15,0,$DO239,$B$8,1),OFFSET($M$15,0,0,$B$8,1))=FU$14))   /   SUM(OFFSET($BO$15,0,0,$B$14,1)) + $B$18/($B$19*$B$19*($DN239&lt;&gt;$DO239) + $B$19*($DN239=$DO239))</f>
        <v>3.7037037037037035E-4</v>
      </c>
      <c r="FV239" s="10" cm="1">
        <f t="array" aca="1" ref="FV239" ca="1">(1-$B$18)*SUMPRODUCT(OFFSET($BO$15,0,0,$B$14,1), 1*(_xlfn._xlws.FILTER(OFFSET($O$15,0,$DN239,$B$8,1),OFFSET($M$15,0,0,$B$8,1))=FV$13), 1*(_xlfn._xlws.FILTER(OFFSET($O$15,0,$DO239,$B$8,1),OFFSET($M$15,0,0,$B$8,1))=FV$14))   /   SUM(OFFSET($BO$15,0,0,$B$14,1)) + $B$18/($B$19*$B$19*($DN239&lt;&gt;$DO239) + $B$19*($DN239=$DO239))</f>
        <v>3.7037037037037035E-4</v>
      </c>
      <c r="FW239" s="10" cm="1">
        <f t="array" aca="1" ref="FW239" ca="1">(1-$B$18)*SUMPRODUCT(OFFSET($BO$15,0,0,$B$14,1), 1*(_xlfn._xlws.FILTER(OFFSET($O$15,0,$DN239,$B$8,1),OFFSET($M$15,0,0,$B$8,1))=FW$13), 1*(_xlfn._xlws.FILTER(OFFSET($O$15,0,$DO239,$B$8,1),OFFSET($M$15,0,0,$B$8,1))=FW$14))   /   SUM(OFFSET($BO$15,0,0,$B$14,1)) + $B$18/($B$19*$B$19*($DN239&lt;&gt;$DO239) + $B$19*($DN239=$DO239))</f>
        <v>3.7037037037037035E-4</v>
      </c>
      <c r="FX239" s="10" cm="1">
        <f t="array" aca="1" ref="FX239" ca="1">(1-$B$18)*SUMPRODUCT(OFFSET($BO$15,0,0,$B$14,1), 1*(_xlfn._xlws.FILTER(OFFSET($O$15,0,$DN239,$B$8,1),OFFSET($M$15,0,0,$B$8,1))=FX$13), 1*(_xlfn._xlws.FILTER(OFFSET($O$15,0,$DO239,$B$8,1),OFFSET($M$15,0,0,$B$8,1))=FX$14))   /   SUM(OFFSET($BO$15,0,0,$B$14,1)) + $B$18/($B$19*$B$19*($DN239&lt;&gt;$DO239) + $B$19*($DN239=$DO239))</f>
        <v>3.7037037037037035E-4</v>
      </c>
      <c r="FY239" s="10" cm="1">
        <f t="array" aca="1" ref="FY239" ca="1">(1-$B$18)*SUMPRODUCT(OFFSET($BO$15,0,0,$B$14,1), 1*(_xlfn._xlws.FILTER(OFFSET($O$15,0,$DN239,$B$8,1),OFFSET($M$15,0,0,$B$8,1))=FY$13), 1*(_xlfn._xlws.FILTER(OFFSET($O$15,0,$DO239,$B$8,1),OFFSET($M$15,0,0,$B$8,1))=FY$14))   /   SUM(OFFSET($BO$15,0,0,$B$14,1)) + $B$18/($B$19*$B$19*($DN239&lt;&gt;$DO239) + $B$19*($DN239=$DO239))</f>
        <v>3.7037037037037035E-4</v>
      </c>
      <c r="FZ239" s="10" cm="1">
        <f t="array" aca="1" ref="FZ239" ca="1">(1-$B$18)*SUMPRODUCT(OFFSET($BO$15,0,0,$B$14,1), 1*(_xlfn._xlws.FILTER(OFFSET($O$15,0,$DN239,$B$8,1),OFFSET($M$15,0,0,$B$8,1))=FZ$13), 1*(_xlfn._xlws.FILTER(OFFSET($O$15,0,$DO239,$B$8,1),OFFSET($M$15,0,0,$B$8,1))=FZ$14))   /   SUM(OFFSET($BO$15,0,0,$B$14,1)) + $B$18/($B$19*$B$19*($DN239&lt;&gt;$DO239) + $B$19*($DN239=$DO239))</f>
        <v>3.7037037037037035E-4</v>
      </c>
      <c r="GA239" s="10" cm="1">
        <f t="array" aca="1" ref="GA239" ca="1">(1-$B$18)*SUMPRODUCT(OFFSET($BO$15,0,0,$B$14,1), 1*(_xlfn._xlws.FILTER(OFFSET($O$15,0,$DN239,$B$8,1),OFFSET($M$15,0,0,$B$8,1))=GA$13), 1*(_xlfn._xlws.FILTER(OFFSET($O$15,0,$DO239,$B$8,1),OFFSET($M$15,0,0,$B$8,1))=GA$14))   /   SUM(OFFSET($BO$15,0,0,$B$14,1)) + $B$18/($B$19*$B$19*($DN239&lt;&gt;$DO239) + $B$19*($DN239=$DO239))</f>
        <v>3.7037037037037035E-4</v>
      </c>
    </row>
    <row r="240" spans="118:183" x14ac:dyDescent="0.2">
      <c r="DN240" cm="1">
        <f t="array" aca="1" ref="DN240" ca="1">INDEX(_xlfn.ANCHORARRAY($CP$15), 1 + INT((ROWS($DO$15:$DO240) - 1) / ROWS(_xlfn.ANCHORARRAY($CP$15))))</f>
        <v>12</v>
      </c>
      <c r="DO240" cm="1">
        <f t="array" aca="1" ref="DO240" ca="1">INDEX(_xlfn.ANCHORARRAY($CP$15),1+MOD(ROWS($DO$15:$DO240)-1,ROWS(_xlfn.ANCHORARRAY($CP$15))))</f>
        <v>19</v>
      </c>
      <c r="DP240" s="10" cm="1">
        <f t="array" aca="1" ref="DP240" ca="1">(1-$B$18)*SUMPRODUCT(OFFSET($BO$15,0,0,$B$14,1), 1*(_xlfn._xlws.FILTER(OFFSET($O$15,0,$DN240,$B$8,1),OFFSET($M$15,0,0,$B$8,1))=DP$13), 1*(_xlfn._xlws.FILTER(OFFSET($O$15,0,$DO240,$B$8,1),OFFSET($M$15,0,0,$B$8,1))=DP$14))   /   SUM(OFFSET($BO$15,0,0,$B$14,1)) + $B$18/($B$19*$B$19*($DN240&lt;&gt;$DO240) + $B$19*($DN240=$DO240))</f>
        <v>3.7037037037037035E-4</v>
      </c>
      <c r="DQ240" s="10" cm="1">
        <f t="array" aca="1" ref="DQ240" ca="1">(1-$B$18)*SUMPRODUCT(OFFSET($BO$15,0,0,$B$14,1), 1*(_xlfn._xlws.FILTER(OFFSET($O$15,0,$DN240,$B$8,1),OFFSET($M$15,0,0,$B$8,1))=DQ$13), 1*(_xlfn._xlws.FILTER(OFFSET($O$15,0,$DO240,$B$8,1),OFFSET($M$15,0,0,$B$8,1))=DQ$14))   /   SUM(OFFSET($BO$15,0,0,$B$14,1)) + $B$18/($B$19*$B$19*($DN240&lt;&gt;$DO240) + $B$19*($DN240=$DO240))</f>
        <v>3.7037037037037035E-4</v>
      </c>
      <c r="DR240" s="10" cm="1">
        <f t="array" aca="1" ref="DR240" ca="1">(1-$B$18)*SUMPRODUCT(OFFSET($BO$15,0,0,$B$14,1), 1*(_xlfn._xlws.FILTER(OFFSET($O$15,0,$DN240,$B$8,1),OFFSET($M$15,0,0,$B$8,1))=DR$13), 1*(_xlfn._xlws.FILTER(OFFSET($O$15,0,$DO240,$B$8,1),OFFSET($M$15,0,0,$B$8,1))=DR$14))   /   SUM(OFFSET($BO$15,0,0,$B$14,1)) + $B$18/($B$19*$B$19*($DN240&lt;&gt;$DO240) + $B$19*($DN240=$DO240))</f>
        <v>3.7037037037037035E-4</v>
      </c>
      <c r="DS240" s="10" cm="1">
        <f t="array" aca="1" ref="DS240" ca="1">(1-$B$18)*SUMPRODUCT(OFFSET($BO$15,0,0,$B$14,1), 1*(_xlfn._xlws.FILTER(OFFSET($O$15,0,$DN240,$B$8,1),OFFSET($M$15,0,0,$B$8,1))=DS$13), 1*(_xlfn._xlws.FILTER(OFFSET($O$15,0,$DO240,$B$8,1),OFFSET($M$15,0,0,$B$8,1))=DS$14))   /   SUM(OFFSET($BO$15,0,0,$B$14,1)) + $B$18/($B$19*$B$19*($DN240&lt;&gt;$DO240) + $B$19*($DN240=$DO240))</f>
        <v>3.7037037037037035E-4</v>
      </c>
      <c r="DT240" s="10" cm="1">
        <f t="array" aca="1" ref="DT240" ca="1">(1-$B$18)*SUMPRODUCT(OFFSET($BO$15,0,0,$B$14,1), 1*(_xlfn._xlws.FILTER(OFFSET($O$15,0,$DN240,$B$8,1),OFFSET($M$15,0,0,$B$8,1))=DT$13), 1*(_xlfn._xlws.FILTER(OFFSET($O$15,0,$DO240,$B$8,1),OFFSET($M$15,0,0,$B$8,1))=DT$14))   /   SUM(OFFSET($BO$15,0,0,$B$14,1)) + $B$18/($B$19*$B$19*($DN240&lt;&gt;$DO240) + $B$19*($DN240=$DO240))</f>
        <v>3.7037037037037035E-4</v>
      </c>
      <c r="DU240" s="10" cm="1">
        <f t="array" aca="1" ref="DU240" ca="1">(1-$B$18)*SUMPRODUCT(OFFSET($BO$15,0,0,$B$14,1), 1*(_xlfn._xlws.FILTER(OFFSET($O$15,0,$DN240,$B$8,1),OFFSET($M$15,0,0,$B$8,1))=DU$13), 1*(_xlfn._xlws.FILTER(OFFSET($O$15,0,$DO240,$B$8,1),OFFSET($M$15,0,0,$B$8,1))=DU$14))   /   SUM(OFFSET($BO$15,0,0,$B$14,1)) + $B$18/($B$19*$B$19*($DN240&lt;&gt;$DO240) + $B$19*($DN240=$DO240))</f>
        <v>3.7037037037037035E-4</v>
      </c>
      <c r="DV240" s="10" cm="1">
        <f t="array" aca="1" ref="DV240" ca="1">(1-$B$18)*SUMPRODUCT(OFFSET($BO$15,0,0,$B$14,1), 1*(_xlfn._xlws.FILTER(OFFSET($O$15,0,$DN240,$B$8,1),OFFSET($M$15,0,0,$B$8,1))=DV$13), 1*(_xlfn._xlws.FILTER(OFFSET($O$15,0,$DO240,$B$8,1),OFFSET($M$15,0,0,$B$8,1))=DV$14))   /   SUM(OFFSET($BO$15,0,0,$B$14,1)) + $B$18/($B$19*$B$19*($DN240&lt;&gt;$DO240) + $B$19*($DN240=$DO240))</f>
        <v>3.7037037037037035E-4</v>
      </c>
      <c r="DW240" s="10" cm="1">
        <f t="array" aca="1" ref="DW240" ca="1">(1-$B$18)*SUMPRODUCT(OFFSET($BO$15,0,0,$B$14,1), 1*(_xlfn._xlws.FILTER(OFFSET($O$15,0,$DN240,$B$8,1),OFFSET($M$15,0,0,$B$8,1))=DW$13), 1*(_xlfn._xlws.FILTER(OFFSET($O$15,0,$DO240,$B$8,1),OFFSET($M$15,0,0,$B$8,1))=DW$14))   /   SUM(OFFSET($BO$15,0,0,$B$14,1)) + $B$18/($B$19*$B$19*($DN240&lt;&gt;$DO240) + $B$19*($DN240=$DO240))</f>
        <v>3.7037037037037035E-4</v>
      </c>
      <c r="DX240" s="10" cm="1">
        <f t="array" aca="1" ref="DX240" ca="1">(1-$B$18)*SUMPRODUCT(OFFSET($BO$15,0,0,$B$14,1), 1*(_xlfn._xlws.FILTER(OFFSET($O$15,0,$DN240,$B$8,1),OFFSET($M$15,0,0,$B$8,1))=DX$13), 1*(_xlfn._xlws.FILTER(OFFSET($O$15,0,$DO240,$B$8,1),OFFSET($M$15,0,0,$B$8,1))=DX$14))   /   SUM(OFFSET($BO$15,0,0,$B$14,1)) + $B$18/($B$19*$B$19*($DN240&lt;&gt;$DO240) + $B$19*($DN240=$DO240))</f>
        <v>3.7037037037037035E-4</v>
      </c>
      <c r="DY240" s="10" cm="1">
        <f t="array" aca="1" ref="DY240" ca="1">(1-$B$18)*SUMPRODUCT(OFFSET($BO$15,0,0,$B$14,1), 1*(_xlfn._xlws.FILTER(OFFSET($O$15,0,$DN240,$B$8,1),OFFSET($M$15,0,0,$B$8,1))=DY$13), 1*(_xlfn._xlws.FILTER(OFFSET($O$15,0,$DO240,$B$8,1),OFFSET($M$15,0,0,$B$8,1))=DY$14))   /   SUM(OFFSET($BO$15,0,0,$B$14,1)) + $B$18/($B$19*$B$19*($DN240&lt;&gt;$DO240) + $B$19*($DN240=$DO240))</f>
        <v>3.7037037037037035E-4</v>
      </c>
      <c r="DZ240" s="10" cm="1">
        <f t="array" aca="1" ref="DZ240" ca="1">(1-$B$18)*SUMPRODUCT(OFFSET($BO$15,0,0,$B$14,1), 1*(_xlfn._xlws.FILTER(OFFSET($O$15,0,$DN240,$B$8,1),OFFSET($M$15,0,0,$B$8,1))=DZ$13), 1*(_xlfn._xlws.FILTER(OFFSET($O$15,0,$DO240,$B$8,1),OFFSET($M$15,0,0,$B$8,1))=DZ$14))   /   SUM(OFFSET($BO$15,0,0,$B$14,1)) + $B$18/($B$19*$B$19*($DN240&lt;&gt;$DO240) + $B$19*($DN240=$DO240))</f>
        <v>3.7037037037037035E-4</v>
      </c>
      <c r="EA240" s="10" cm="1">
        <f t="array" aca="1" ref="EA240" ca="1">(1-$B$18)*SUMPRODUCT(OFFSET($BO$15,0,0,$B$14,1), 1*(_xlfn._xlws.FILTER(OFFSET($O$15,0,$DN240,$B$8,1),OFFSET($M$15,0,0,$B$8,1))=EA$13), 1*(_xlfn._xlws.FILTER(OFFSET($O$15,0,$DO240,$B$8,1),OFFSET($M$15,0,0,$B$8,1))=EA$14))   /   SUM(OFFSET($BO$15,0,0,$B$14,1)) + $B$18/($B$19*$B$19*($DN240&lt;&gt;$DO240) + $B$19*($DN240=$DO240))</f>
        <v>0.97037037037037033</v>
      </c>
      <c r="EB240" s="10" cm="1">
        <f t="array" aca="1" ref="EB240" ca="1">(1-$B$18)*SUMPRODUCT(OFFSET($BO$15,0,0,$B$14,1), 1*(_xlfn._xlws.FILTER(OFFSET($O$15,0,$DN240,$B$8,1),OFFSET($M$15,0,0,$B$8,1))=EB$13), 1*(_xlfn._xlws.FILTER(OFFSET($O$15,0,$DO240,$B$8,1),OFFSET($M$15,0,0,$B$8,1))=EB$14))   /   SUM(OFFSET($BO$15,0,0,$B$14,1)) + $B$18/($B$19*$B$19*($DN240&lt;&gt;$DO240) + $B$19*($DN240=$DO240))</f>
        <v>3.7037037037037035E-4</v>
      </c>
      <c r="EC240" s="10" cm="1">
        <f t="array" aca="1" ref="EC240" ca="1">(1-$B$18)*SUMPRODUCT(OFFSET($BO$15,0,0,$B$14,1), 1*(_xlfn._xlws.FILTER(OFFSET($O$15,0,$DN240,$B$8,1),OFFSET($M$15,0,0,$B$8,1))=EC$13), 1*(_xlfn._xlws.FILTER(OFFSET($O$15,0,$DO240,$B$8,1),OFFSET($M$15,0,0,$B$8,1))=EC$14))   /   SUM(OFFSET($BO$15,0,0,$B$14,1)) + $B$18/($B$19*$B$19*($DN240&lt;&gt;$DO240) + $B$19*($DN240=$DO240))</f>
        <v>3.7037037037037035E-4</v>
      </c>
      <c r="ED240" s="10" cm="1">
        <f t="array" aca="1" ref="ED240" ca="1">(1-$B$18)*SUMPRODUCT(OFFSET($BO$15,0,0,$B$14,1), 1*(_xlfn._xlws.FILTER(OFFSET($O$15,0,$DN240,$B$8,1),OFFSET($M$15,0,0,$B$8,1))=ED$13), 1*(_xlfn._xlws.FILTER(OFFSET($O$15,0,$DO240,$B$8,1),OFFSET($M$15,0,0,$B$8,1))=ED$14))   /   SUM(OFFSET($BO$15,0,0,$B$14,1)) + $B$18/($B$19*$B$19*($DN240&lt;&gt;$DO240) + $B$19*($DN240=$DO240))</f>
        <v>3.7037037037037035E-4</v>
      </c>
      <c r="EE240" s="10" cm="1">
        <f t="array" aca="1" ref="EE240" ca="1">(1-$B$18)*SUMPRODUCT(OFFSET($BO$15,0,0,$B$14,1), 1*(_xlfn._xlws.FILTER(OFFSET($O$15,0,$DN240,$B$8,1),OFFSET($M$15,0,0,$B$8,1))=EE$13), 1*(_xlfn._xlws.FILTER(OFFSET($O$15,0,$DO240,$B$8,1),OFFSET($M$15,0,0,$B$8,1))=EE$14))   /   SUM(OFFSET($BO$15,0,0,$B$14,1)) + $B$18/($B$19*$B$19*($DN240&lt;&gt;$DO240) + $B$19*($DN240=$DO240))</f>
        <v>3.7037037037037035E-4</v>
      </c>
      <c r="EF240" s="10" cm="1">
        <f t="array" aca="1" ref="EF240" ca="1">(1-$B$18)*SUMPRODUCT(OFFSET($BO$15,0,0,$B$14,1), 1*(_xlfn._xlws.FILTER(OFFSET($O$15,0,$DN240,$B$8,1),OFFSET($M$15,0,0,$B$8,1))=EF$13), 1*(_xlfn._xlws.FILTER(OFFSET($O$15,0,$DO240,$B$8,1),OFFSET($M$15,0,0,$B$8,1))=EF$14))   /   SUM(OFFSET($BO$15,0,0,$B$14,1)) + $B$18/($B$19*$B$19*($DN240&lt;&gt;$DO240) + $B$19*($DN240=$DO240))</f>
        <v>3.7037037037037035E-4</v>
      </c>
      <c r="EG240" s="10" cm="1">
        <f t="array" aca="1" ref="EG240" ca="1">(1-$B$18)*SUMPRODUCT(OFFSET($BO$15,0,0,$B$14,1), 1*(_xlfn._xlws.FILTER(OFFSET($O$15,0,$DN240,$B$8,1),OFFSET($M$15,0,0,$B$8,1))=EG$13), 1*(_xlfn._xlws.FILTER(OFFSET($O$15,0,$DO240,$B$8,1),OFFSET($M$15,0,0,$B$8,1))=EG$14))   /   SUM(OFFSET($BO$15,0,0,$B$14,1)) + $B$18/($B$19*$B$19*($DN240&lt;&gt;$DO240) + $B$19*($DN240=$DO240))</f>
        <v>3.7037037037037035E-4</v>
      </c>
      <c r="EH240" s="10" cm="1">
        <f t="array" aca="1" ref="EH240" ca="1">(1-$B$18)*SUMPRODUCT(OFFSET($BO$15,0,0,$B$14,1), 1*(_xlfn._xlws.FILTER(OFFSET($O$15,0,$DN240,$B$8,1),OFFSET($M$15,0,0,$B$8,1))=EH$13), 1*(_xlfn._xlws.FILTER(OFFSET($O$15,0,$DO240,$B$8,1),OFFSET($M$15,0,0,$B$8,1))=EH$14))   /   SUM(OFFSET($BO$15,0,0,$B$14,1)) + $B$18/($B$19*$B$19*($DN240&lt;&gt;$DO240) + $B$19*($DN240=$DO240))</f>
        <v>3.7037037037037035E-4</v>
      </c>
      <c r="EI240" s="10" cm="1">
        <f t="array" aca="1" ref="EI240" ca="1">(1-$B$18)*SUMPRODUCT(OFFSET($BO$15,0,0,$B$14,1), 1*(_xlfn._xlws.FILTER(OFFSET($O$15,0,$DN240,$B$8,1),OFFSET($M$15,0,0,$B$8,1))=EI$13), 1*(_xlfn._xlws.FILTER(OFFSET($O$15,0,$DO240,$B$8,1),OFFSET($M$15,0,0,$B$8,1))=EI$14))   /   SUM(OFFSET($BO$15,0,0,$B$14,1)) + $B$18/($B$19*$B$19*($DN240&lt;&gt;$DO240) + $B$19*($DN240=$DO240))</f>
        <v>3.7037037037037035E-4</v>
      </c>
      <c r="EJ240" s="10" cm="1">
        <f t="array" aca="1" ref="EJ240" ca="1">(1-$B$18)*SUMPRODUCT(OFFSET($BO$15,0,0,$B$14,1), 1*(_xlfn._xlws.FILTER(OFFSET($O$15,0,$DN240,$B$8,1),OFFSET($M$15,0,0,$B$8,1))=EJ$13), 1*(_xlfn._xlws.FILTER(OFFSET($O$15,0,$DO240,$B$8,1),OFFSET($M$15,0,0,$B$8,1))=EJ$14))   /   SUM(OFFSET($BO$15,0,0,$B$14,1)) + $B$18/($B$19*$B$19*($DN240&lt;&gt;$DO240) + $B$19*($DN240=$DO240))</f>
        <v>3.7037037037037035E-4</v>
      </c>
      <c r="EK240" s="10" cm="1">
        <f t="array" aca="1" ref="EK240" ca="1">(1-$B$18)*SUMPRODUCT(OFFSET($BO$15,0,0,$B$14,1), 1*(_xlfn._xlws.FILTER(OFFSET($O$15,0,$DN240,$B$8,1),OFFSET($M$15,0,0,$B$8,1))=EK$13), 1*(_xlfn._xlws.FILTER(OFFSET($O$15,0,$DO240,$B$8,1),OFFSET($M$15,0,0,$B$8,1))=EK$14))   /   SUM(OFFSET($BO$15,0,0,$B$14,1)) + $B$18/($B$19*$B$19*($DN240&lt;&gt;$DO240) + $B$19*($DN240=$DO240))</f>
        <v>3.7037037037037035E-4</v>
      </c>
      <c r="EL240" s="10" cm="1">
        <f t="array" aca="1" ref="EL240" ca="1">(1-$B$18)*SUMPRODUCT(OFFSET($BO$15,0,0,$B$14,1), 1*(_xlfn._xlws.FILTER(OFFSET($O$15,0,$DN240,$B$8,1),OFFSET($M$15,0,0,$B$8,1))=EL$13), 1*(_xlfn._xlws.FILTER(OFFSET($O$15,0,$DO240,$B$8,1),OFFSET($M$15,0,0,$B$8,1))=EL$14))   /   SUM(OFFSET($BO$15,0,0,$B$14,1)) + $B$18/($B$19*$B$19*($DN240&lt;&gt;$DO240) + $B$19*($DN240=$DO240))</f>
        <v>3.7037037037037035E-4</v>
      </c>
      <c r="EM240" s="10" cm="1">
        <f t="array" aca="1" ref="EM240" ca="1">(1-$B$18)*SUMPRODUCT(OFFSET($BO$15,0,0,$B$14,1), 1*(_xlfn._xlws.FILTER(OFFSET($O$15,0,$DN240,$B$8,1),OFFSET($M$15,0,0,$B$8,1))=EM$13), 1*(_xlfn._xlws.FILTER(OFFSET($O$15,0,$DO240,$B$8,1),OFFSET($M$15,0,0,$B$8,1))=EM$14))   /   SUM(OFFSET($BO$15,0,0,$B$14,1)) + $B$18/($B$19*$B$19*($DN240&lt;&gt;$DO240) + $B$19*($DN240=$DO240))</f>
        <v>3.7037037037037035E-4</v>
      </c>
      <c r="EN240" s="10" cm="1">
        <f t="array" aca="1" ref="EN240" ca="1">(1-$B$18)*SUMPRODUCT(OFFSET($BO$15,0,0,$B$14,1), 1*(_xlfn._xlws.FILTER(OFFSET($O$15,0,$DN240,$B$8,1),OFFSET($M$15,0,0,$B$8,1))=EN$13), 1*(_xlfn._xlws.FILTER(OFFSET($O$15,0,$DO240,$B$8,1),OFFSET($M$15,0,0,$B$8,1))=EN$14))   /   SUM(OFFSET($BO$15,0,0,$B$14,1)) + $B$18/($B$19*$B$19*($DN240&lt;&gt;$DO240) + $B$19*($DN240=$DO240))</f>
        <v>3.7037037037037035E-4</v>
      </c>
      <c r="EO240" s="10" cm="1">
        <f t="array" aca="1" ref="EO240" ca="1">(1-$B$18)*SUMPRODUCT(OFFSET($BO$15,0,0,$B$14,1), 1*(_xlfn._xlws.FILTER(OFFSET($O$15,0,$DN240,$B$8,1),OFFSET($M$15,0,0,$B$8,1))=EO$13), 1*(_xlfn._xlws.FILTER(OFFSET($O$15,0,$DO240,$B$8,1),OFFSET($M$15,0,0,$B$8,1))=EO$14))   /   SUM(OFFSET($BO$15,0,0,$B$14,1)) + $B$18/($B$19*$B$19*($DN240&lt;&gt;$DO240) + $B$19*($DN240=$DO240))</f>
        <v>3.7037037037037035E-4</v>
      </c>
      <c r="EP240" s="10" cm="1">
        <f t="array" aca="1" ref="EP240" ca="1">(1-$B$18)*SUMPRODUCT(OFFSET($BO$15,0,0,$B$14,1), 1*(_xlfn._xlws.FILTER(OFFSET($O$15,0,$DN240,$B$8,1),OFFSET($M$15,0,0,$B$8,1))=EP$13), 1*(_xlfn._xlws.FILTER(OFFSET($O$15,0,$DO240,$B$8,1),OFFSET($M$15,0,0,$B$8,1))=EP$14))   /   SUM(OFFSET($BO$15,0,0,$B$14,1)) + $B$18/($B$19*$B$19*($DN240&lt;&gt;$DO240) + $B$19*($DN240=$DO240))</f>
        <v>3.7037037037037035E-4</v>
      </c>
      <c r="EQ240" s="10" cm="1">
        <f t="array" aca="1" ref="EQ240" ca="1">(1-$B$18)*SUMPRODUCT(OFFSET($BO$15,0,0,$B$14,1), 1*(_xlfn._xlws.FILTER(OFFSET($O$15,0,$DN240,$B$8,1),OFFSET($M$15,0,0,$B$8,1))=EQ$13), 1*(_xlfn._xlws.FILTER(OFFSET($O$15,0,$DO240,$B$8,1),OFFSET($M$15,0,0,$B$8,1))=EQ$14))   /   SUM(OFFSET($BO$15,0,0,$B$14,1)) + $B$18/($B$19*$B$19*($DN240&lt;&gt;$DO240) + $B$19*($DN240=$DO240))</f>
        <v>3.7037037037037035E-4</v>
      </c>
      <c r="ER240" s="10" cm="1">
        <f t="array" aca="1" ref="ER240" ca="1">(1-$B$18)*SUMPRODUCT(OFFSET($BO$15,0,0,$B$14,1), 1*(_xlfn._xlws.FILTER(OFFSET($O$15,0,$DN240,$B$8,1),OFFSET($M$15,0,0,$B$8,1))=ER$13), 1*(_xlfn._xlws.FILTER(OFFSET($O$15,0,$DO240,$B$8,1),OFFSET($M$15,0,0,$B$8,1))=ER$14))   /   SUM(OFFSET($BO$15,0,0,$B$14,1)) + $B$18/($B$19*$B$19*($DN240&lt;&gt;$DO240) + $B$19*($DN240=$DO240))</f>
        <v>3.7037037037037035E-4</v>
      </c>
      <c r="ES240" s="10" cm="1">
        <f t="array" aca="1" ref="ES240" ca="1">(1-$B$18)*SUMPRODUCT(OFFSET($BO$15,0,0,$B$14,1), 1*(_xlfn._xlws.FILTER(OFFSET($O$15,0,$DN240,$B$8,1),OFFSET($M$15,0,0,$B$8,1))=ES$13), 1*(_xlfn._xlws.FILTER(OFFSET($O$15,0,$DO240,$B$8,1),OFFSET($M$15,0,0,$B$8,1))=ES$14))   /   SUM(OFFSET($BO$15,0,0,$B$14,1)) + $B$18/($B$19*$B$19*($DN240&lt;&gt;$DO240) + $B$19*($DN240=$DO240))</f>
        <v>3.7037037037037035E-4</v>
      </c>
      <c r="ET240" s="10" cm="1">
        <f t="array" aca="1" ref="ET240" ca="1">(1-$B$18)*SUMPRODUCT(OFFSET($BO$15,0,0,$B$14,1), 1*(_xlfn._xlws.FILTER(OFFSET($O$15,0,$DN240,$B$8,1),OFFSET($M$15,0,0,$B$8,1))=ET$13), 1*(_xlfn._xlws.FILTER(OFFSET($O$15,0,$DO240,$B$8,1),OFFSET($M$15,0,0,$B$8,1))=ET$14))   /   SUM(OFFSET($BO$15,0,0,$B$14,1)) + $B$18/($B$19*$B$19*($DN240&lt;&gt;$DO240) + $B$19*($DN240=$DO240))</f>
        <v>3.7037037037037035E-4</v>
      </c>
      <c r="EU240" s="10" cm="1">
        <f t="array" aca="1" ref="EU240" ca="1">(1-$B$18)*SUMPRODUCT(OFFSET($BO$15,0,0,$B$14,1), 1*(_xlfn._xlws.FILTER(OFFSET($O$15,0,$DN240,$B$8,1),OFFSET($M$15,0,0,$B$8,1))=EU$13), 1*(_xlfn._xlws.FILTER(OFFSET($O$15,0,$DO240,$B$8,1),OFFSET($M$15,0,0,$B$8,1))=EU$14))   /   SUM(OFFSET($BO$15,0,0,$B$14,1)) + $B$18/($B$19*$B$19*($DN240&lt;&gt;$DO240) + $B$19*($DN240=$DO240))</f>
        <v>3.7037037037037035E-4</v>
      </c>
      <c r="EV240" s="10" cm="1">
        <f t="array" aca="1" ref="EV240" ca="1">(1-$B$18)*SUMPRODUCT(OFFSET($BO$15,0,0,$B$14,1), 1*(_xlfn._xlws.FILTER(OFFSET($O$15,0,$DN240,$B$8,1),OFFSET($M$15,0,0,$B$8,1))=EV$13), 1*(_xlfn._xlws.FILTER(OFFSET($O$15,0,$DO240,$B$8,1),OFFSET($M$15,0,0,$B$8,1))=EV$14))   /   SUM(OFFSET($BO$15,0,0,$B$14,1)) + $B$18/($B$19*$B$19*($DN240&lt;&gt;$DO240) + $B$19*($DN240=$DO240))</f>
        <v>3.7037037037037035E-4</v>
      </c>
      <c r="EW240" s="10" cm="1">
        <f t="array" aca="1" ref="EW240" ca="1">(1-$B$18)*SUMPRODUCT(OFFSET($BO$15,0,0,$B$14,1), 1*(_xlfn._xlws.FILTER(OFFSET($O$15,0,$DN240,$B$8,1),OFFSET($M$15,0,0,$B$8,1))=EW$13), 1*(_xlfn._xlws.FILTER(OFFSET($O$15,0,$DO240,$B$8,1),OFFSET($M$15,0,0,$B$8,1))=EW$14))   /   SUM(OFFSET($BO$15,0,0,$B$14,1)) + $B$18/($B$19*$B$19*($DN240&lt;&gt;$DO240) + $B$19*($DN240=$DO240))</f>
        <v>3.7037037037037035E-4</v>
      </c>
      <c r="EX240" s="10" cm="1">
        <f t="array" aca="1" ref="EX240" ca="1">(1-$B$18)*SUMPRODUCT(OFFSET($BO$15,0,0,$B$14,1), 1*(_xlfn._xlws.FILTER(OFFSET($O$15,0,$DN240,$B$8,1),OFFSET($M$15,0,0,$B$8,1))=EX$13), 1*(_xlfn._xlws.FILTER(OFFSET($O$15,0,$DO240,$B$8,1),OFFSET($M$15,0,0,$B$8,1))=EX$14))   /   SUM(OFFSET($BO$15,0,0,$B$14,1)) + $B$18/($B$19*$B$19*($DN240&lt;&gt;$DO240) + $B$19*($DN240=$DO240))</f>
        <v>3.7037037037037035E-4</v>
      </c>
      <c r="EY240" s="10" cm="1">
        <f t="array" aca="1" ref="EY240" ca="1">(1-$B$18)*SUMPRODUCT(OFFSET($BO$15,0,0,$B$14,1), 1*(_xlfn._xlws.FILTER(OFFSET($O$15,0,$DN240,$B$8,1),OFFSET($M$15,0,0,$B$8,1))=EY$13), 1*(_xlfn._xlws.FILTER(OFFSET($O$15,0,$DO240,$B$8,1),OFFSET($M$15,0,0,$B$8,1))=EY$14))   /   SUM(OFFSET($BO$15,0,0,$B$14,1)) + $B$18/($B$19*$B$19*($DN240&lt;&gt;$DO240) + $B$19*($DN240=$DO240))</f>
        <v>3.7037037037037035E-4</v>
      </c>
      <c r="EZ240" s="10" cm="1">
        <f t="array" aca="1" ref="EZ240" ca="1">(1-$B$18)*SUMPRODUCT(OFFSET($BO$15,0,0,$B$14,1), 1*(_xlfn._xlws.FILTER(OFFSET($O$15,0,$DN240,$B$8,1),OFFSET($M$15,0,0,$B$8,1))=EZ$13), 1*(_xlfn._xlws.FILTER(OFFSET($O$15,0,$DO240,$B$8,1),OFFSET($M$15,0,0,$B$8,1))=EZ$14))   /   SUM(OFFSET($BO$15,0,0,$B$14,1)) + $B$18/($B$19*$B$19*($DN240&lt;&gt;$DO240) + $B$19*($DN240=$DO240))</f>
        <v>3.7037037037037035E-4</v>
      </c>
      <c r="FA240" s="10" cm="1">
        <f t="array" aca="1" ref="FA240" ca="1">(1-$B$18)*SUMPRODUCT(OFFSET($BO$15,0,0,$B$14,1), 1*(_xlfn._xlws.FILTER(OFFSET($O$15,0,$DN240,$B$8,1),OFFSET($M$15,0,0,$B$8,1))=FA$13), 1*(_xlfn._xlws.FILTER(OFFSET($O$15,0,$DO240,$B$8,1),OFFSET($M$15,0,0,$B$8,1))=FA$14))   /   SUM(OFFSET($BO$15,0,0,$B$14,1)) + $B$18/($B$19*$B$19*($DN240&lt;&gt;$DO240) + $B$19*($DN240=$DO240))</f>
        <v>3.7037037037037035E-4</v>
      </c>
      <c r="FB240" s="10" cm="1">
        <f t="array" aca="1" ref="FB240" ca="1">(1-$B$18)*SUMPRODUCT(OFFSET($BO$15,0,0,$B$14,1), 1*(_xlfn._xlws.FILTER(OFFSET($O$15,0,$DN240,$B$8,1),OFFSET($M$15,0,0,$B$8,1))=FB$13), 1*(_xlfn._xlws.FILTER(OFFSET($O$15,0,$DO240,$B$8,1),OFFSET($M$15,0,0,$B$8,1))=FB$14))   /   SUM(OFFSET($BO$15,0,0,$B$14,1)) + $B$18/($B$19*$B$19*($DN240&lt;&gt;$DO240) + $B$19*($DN240=$DO240))</f>
        <v>3.7037037037037035E-4</v>
      </c>
      <c r="FC240" s="10" cm="1">
        <f t="array" aca="1" ref="FC240" ca="1">(1-$B$18)*SUMPRODUCT(OFFSET($BO$15,0,0,$B$14,1), 1*(_xlfn._xlws.FILTER(OFFSET($O$15,0,$DN240,$B$8,1),OFFSET($M$15,0,0,$B$8,1))=FC$13), 1*(_xlfn._xlws.FILTER(OFFSET($O$15,0,$DO240,$B$8,1),OFFSET($M$15,0,0,$B$8,1))=FC$14))   /   SUM(OFFSET($BO$15,0,0,$B$14,1)) + $B$18/($B$19*$B$19*($DN240&lt;&gt;$DO240) + $B$19*($DN240=$DO240))</f>
        <v>3.7037037037037035E-4</v>
      </c>
      <c r="FD240" s="10" cm="1">
        <f t="array" aca="1" ref="FD240" ca="1">(1-$B$18)*SUMPRODUCT(OFFSET($BO$15,0,0,$B$14,1), 1*(_xlfn._xlws.FILTER(OFFSET($O$15,0,$DN240,$B$8,1),OFFSET($M$15,0,0,$B$8,1))=FD$13), 1*(_xlfn._xlws.FILTER(OFFSET($O$15,0,$DO240,$B$8,1),OFFSET($M$15,0,0,$B$8,1))=FD$14))   /   SUM(OFFSET($BO$15,0,0,$B$14,1)) + $B$18/($B$19*$B$19*($DN240&lt;&gt;$DO240) + $B$19*($DN240=$DO240))</f>
        <v>3.7037037037037035E-4</v>
      </c>
      <c r="FE240" s="10" cm="1">
        <f t="array" aca="1" ref="FE240" ca="1">(1-$B$18)*SUMPRODUCT(OFFSET($BO$15,0,0,$B$14,1), 1*(_xlfn._xlws.FILTER(OFFSET($O$15,0,$DN240,$B$8,1),OFFSET($M$15,0,0,$B$8,1))=FE$13), 1*(_xlfn._xlws.FILTER(OFFSET($O$15,0,$DO240,$B$8,1),OFFSET($M$15,0,0,$B$8,1))=FE$14))   /   SUM(OFFSET($BO$15,0,0,$B$14,1)) + $B$18/($B$19*$B$19*($DN240&lt;&gt;$DO240) + $B$19*($DN240=$DO240))</f>
        <v>3.7037037037037035E-4</v>
      </c>
      <c r="FF240" s="10" cm="1">
        <f t="array" aca="1" ref="FF240" ca="1">(1-$B$18)*SUMPRODUCT(OFFSET($BO$15,0,0,$B$14,1), 1*(_xlfn._xlws.FILTER(OFFSET($O$15,0,$DN240,$B$8,1),OFFSET($M$15,0,0,$B$8,1))=FF$13), 1*(_xlfn._xlws.FILTER(OFFSET($O$15,0,$DO240,$B$8,1),OFFSET($M$15,0,0,$B$8,1))=FF$14))   /   SUM(OFFSET($BO$15,0,0,$B$14,1)) + $B$18/($B$19*$B$19*($DN240&lt;&gt;$DO240) + $B$19*($DN240=$DO240))</f>
        <v>3.7037037037037035E-4</v>
      </c>
      <c r="FG240" s="10" cm="1">
        <f t="array" aca="1" ref="FG240" ca="1">(1-$B$18)*SUMPRODUCT(OFFSET($BO$15,0,0,$B$14,1), 1*(_xlfn._xlws.FILTER(OFFSET($O$15,0,$DN240,$B$8,1),OFFSET($M$15,0,0,$B$8,1))=FG$13), 1*(_xlfn._xlws.FILTER(OFFSET($O$15,0,$DO240,$B$8,1),OFFSET($M$15,0,0,$B$8,1))=FG$14))   /   SUM(OFFSET($BO$15,0,0,$B$14,1)) + $B$18/($B$19*$B$19*($DN240&lt;&gt;$DO240) + $B$19*($DN240=$DO240))</f>
        <v>3.7037037037037035E-4</v>
      </c>
      <c r="FH240" s="10" cm="1">
        <f t="array" aca="1" ref="FH240" ca="1">(1-$B$18)*SUMPRODUCT(OFFSET($BO$15,0,0,$B$14,1), 1*(_xlfn._xlws.FILTER(OFFSET($O$15,0,$DN240,$B$8,1),OFFSET($M$15,0,0,$B$8,1))=FH$13), 1*(_xlfn._xlws.FILTER(OFFSET($O$15,0,$DO240,$B$8,1),OFFSET($M$15,0,0,$B$8,1))=FH$14))   /   SUM(OFFSET($BO$15,0,0,$B$14,1)) + $B$18/($B$19*$B$19*($DN240&lt;&gt;$DO240) + $B$19*($DN240=$DO240))</f>
        <v>3.7037037037037035E-4</v>
      </c>
      <c r="FI240" s="10" cm="1">
        <f t="array" aca="1" ref="FI240" ca="1">(1-$B$18)*SUMPRODUCT(OFFSET($BO$15,0,0,$B$14,1), 1*(_xlfn._xlws.FILTER(OFFSET($O$15,0,$DN240,$B$8,1),OFFSET($M$15,0,0,$B$8,1))=FI$13), 1*(_xlfn._xlws.FILTER(OFFSET($O$15,0,$DO240,$B$8,1),OFFSET($M$15,0,0,$B$8,1))=FI$14))   /   SUM(OFFSET($BO$15,0,0,$B$14,1)) + $B$18/($B$19*$B$19*($DN240&lt;&gt;$DO240) + $B$19*($DN240=$DO240))</f>
        <v>3.7037037037037035E-4</v>
      </c>
      <c r="FJ240" s="10" cm="1">
        <f t="array" aca="1" ref="FJ240" ca="1">(1-$B$18)*SUMPRODUCT(OFFSET($BO$15,0,0,$B$14,1), 1*(_xlfn._xlws.FILTER(OFFSET($O$15,0,$DN240,$B$8,1),OFFSET($M$15,0,0,$B$8,1))=FJ$13), 1*(_xlfn._xlws.FILTER(OFFSET($O$15,0,$DO240,$B$8,1),OFFSET($M$15,0,0,$B$8,1))=FJ$14))   /   SUM(OFFSET($BO$15,0,0,$B$14,1)) + $B$18/($B$19*$B$19*($DN240&lt;&gt;$DO240) + $B$19*($DN240=$DO240))</f>
        <v>3.7037037037037035E-4</v>
      </c>
      <c r="FK240" s="10" cm="1">
        <f t="array" aca="1" ref="FK240" ca="1">(1-$B$18)*SUMPRODUCT(OFFSET($BO$15,0,0,$B$14,1), 1*(_xlfn._xlws.FILTER(OFFSET($O$15,0,$DN240,$B$8,1),OFFSET($M$15,0,0,$B$8,1))=FK$13), 1*(_xlfn._xlws.FILTER(OFFSET($O$15,0,$DO240,$B$8,1),OFFSET($M$15,0,0,$B$8,1))=FK$14))   /   SUM(OFFSET($BO$15,0,0,$B$14,1)) + $B$18/($B$19*$B$19*($DN240&lt;&gt;$DO240) + $B$19*($DN240=$DO240))</f>
        <v>3.7037037037037035E-4</v>
      </c>
      <c r="FL240" s="10" cm="1">
        <f t="array" aca="1" ref="FL240" ca="1">(1-$B$18)*SUMPRODUCT(OFFSET($BO$15,0,0,$B$14,1), 1*(_xlfn._xlws.FILTER(OFFSET($O$15,0,$DN240,$B$8,1),OFFSET($M$15,0,0,$B$8,1))=FL$13), 1*(_xlfn._xlws.FILTER(OFFSET($O$15,0,$DO240,$B$8,1),OFFSET($M$15,0,0,$B$8,1))=FL$14))   /   SUM(OFFSET($BO$15,0,0,$B$14,1)) + $B$18/($B$19*$B$19*($DN240&lt;&gt;$DO240) + $B$19*($DN240=$DO240))</f>
        <v>3.7037037037037035E-4</v>
      </c>
      <c r="FM240" s="10" cm="1">
        <f t="array" aca="1" ref="FM240" ca="1">(1-$B$18)*SUMPRODUCT(OFFSET($BO$15,0,0,$B$14,1), 1*(_xlfn._xlws.FILTER(OFFSET($O$15,0,$DN240,$B$8,1),OFFSET($M$15,0,0,$B$8,1))=FM$13), 1*(_xlfn._xlws.FILTER(OFFSET($O$15,0,$DO240,$B$8,1),OFFSET($M$15,0,0,$B$8,1))=FM$14))   /   SUM(OFFSET($BO$15,0,0,$B$14,1)) + $B$18/($B$19*$B$19*($DN240&lt;&gt;$DO240) + $B$19*($DN240=$DO240))</f>
        <v>3.7037037037037035E-4</v>
      </c>
      <c r="FN240" s="10" cm="1">
        <f t="array" aca="1" ref="FN240" ca="1">(1-$B$18)*SUMPRODUCT(OFFSET($BO$15,0,0,$B$14,1), 1*(_xlfn._xlws.FILTER(OFFSET($O$15,0,$DN240,$B$8,1),OFFSET($M$15,0,0,$B$8,1))=FN$13), 1*(_xlfn._xlws.FILTER(OFFSET($O$15,0,$DO240,$B$8,1),OFFSET($M$15,0,0,$B$8,1))=FN$14))   /   SUM(OFFSET($BO$15,0,0,$B$14,1)) + $B$18/($B$19*$B$19*($DN240&lt;&gt;$DO240) + $B$19*($DN240=$DO240))</f>
        <v>3.7037037037037035E-4</v>
      </c>
      <c r="FO240" s="10" cm="1">
        <f t="array" aca="1" ref="FO240" ca="1">(1-$B$18)*SUMPRODUCT(OFFSET($BO$15,0,0,$B$14,1), 1*(_xlfn._xlws.FILTER(OFFSET($O$15,0,$DN240,$B$8,1),OFFSET($M$15,0,0,$B$8,1))=FO$13), 1*(_xlfn._xlws.FILTER(OFFSET($O$15,0,$DO240,$B$8,1),OFFSET($M$15,0,0,$B$8,1))=FO$14))   /   SUM(OFFSET($BO$15,0,0,$B$14,1)) + $B$18/($B$19*$B$19*($DN240&lt;&gt;$DO240) + $B$19*($DN240=$DO240))</f>
        <v>3.7037037037037035E-4</v>
      </c>
      <c r="FP240" s="10" cm="1">
        <f t="array" aca="1" ref="FP240" ca="1">(1-$B$18)*SUMPRODUCT(OFFSET($BO$15,0,0,$B$14,1), 1*(_xlfn._xlws.FILTER(OFFSET($O$15,0,$DN240,$B$8,1),OFFSET($M$15,0,0,$B$8,1))=FP$13), 1*(_xlfn._xlws.FILTER(OFFSET($O$15,0,$DO240,$B$8,1),OFFSET($M$15,0,0,$B$8,1))=FP$14))   /   SUM(OFFSET($BO$15,0,0,$B$14,1)) + $B$18/($B$19*$B$19*($DN240&lt;&gt;$DO240) + $B$19*($DN240=$DO240))</f>
        <v>3.7037037037037035E-4</v>
      </c>
      <c r="FQ240" s="10" cm="1">
        <f t="array" aca="1" ref="FQ240" ca="1">(1-$B$18)*SUMPRODUCT(OFFSET($BO$15,0,0,$B$14,1), 1*(_xlfn._xlws.FILTER(OFFSET($O$15,0,$DN240,$B$8,1),OFFSET($M$15,0,0,$B$8,1))=FQ$13), 1*(_xlfn._xlws.FILTER(OFFSET($O$15,0,$DO240,$B$8,1),OFFSET($M$15,0,0,$B$8,1))=FQ$14))   /   SUM(OFFSET($BO$15,0,0,$B$14,1)) + $B$18/($B$19*$B$19*($DN240&lt;&gt;$DO240) + $B$19*($DN240=$DO240))</f>
        <v>3.7037037037037035E-4</v>
      </c>
      <c r="FR240" s="10" cm="1">
        <f t="array" aca="1" ref="FR240" ca="1">(1-$B$18)*SUMPRODUCT(OFFSET($BO$15,0,0,$B$14,1), 1*(_xlfn._xlws.FILTER(OFFSET($O$15,0,$DN240,$B$8,1),OFFSET($M$15,0,0,$B$8,1))=FR$13), 1*(_xlfn._xlws.FILTER(OFFSET($O$15,0,$DO240,$B$8,1),OFFSET($M$15,0,0,$B$8,1))=FR$14))   /   SUM(OFFSET($BO$15,0,0,$B$14,1)) + $B$18/($B$19*$B$19*($DN240&lt;&gt;$DO240) + $B$19*($DN240=$DO240))</f>
        <v>3.7037037037037035E-4</v>
      </c>
      <c r="FS240" s="10" cm="1">
        <f t="array" aca="1" ref="FS240" ca="1">(1-$B$18)*SUMPRODUCT(OFFSET($BO$15,0,0,$B$14,1), 1*(_xlfn._xlws.FILTER(OFFSET($O$15,0,$DN240,$B$8,1),OFFSET($M$15,0,0,$B$8,1))=FS$13), 1*(_xlfn._xlws.FILTER(OFFSET($O$15,0,$DO240,$B$8,1),OFFSET($M$15,0,0,$B$8,1))=FS$14))   /   SUM(OFFSET($BO$15,0,0,$B$14,1)) + $B$18/($B$19*$B$19*($DN240&lt;&gt;$DO240) + $B$19*($DN240=$DO240))</f>
        <v>3.7037037037037035E-4</v>
      </c>
      <c r="FT240" s="10" cm="1">
        <f t="array" aca="1" ref="FT240" ca="1">(1-$B$18)*SUMPRODUCT(OFFSET($BO$15,0,0,$B$14,1), 1*(_xlfn._xlws.FILTER(OFFSET($O$15,0,$DN240,$B$8,1),OFFSET($M$15,0,0,$B$8,1))=FT$13), 1*(_xlfn._xlws.FILTER(OFFSET($O$15,0,$DO240,$B$8,1),OFFSET($M$15,0,0,$B$8,1))=FT$14))   /   SUM(OFFSET($BO$15,0,0,$B$14,1)) + $B$18/($B$19*$B$19*($DN240&lt;&gt;$DO240) + $B$19*($DN240=$DO240))</f>
        <v>3.7037037037037035E-4</v>
      </c>
      <c r="FU240" s="10" cm="1">
        <f t="array" aca="1" ref="FU240" ca="1">(1-$B$18)*SUMPRODUCT(OFFSET($BO$15,0,0,$B$14,1), 1*(_xlfn._xlws.FILTER(OFFSET($O$15,0,$DN240,$B$8,1),OFFSET($M$15,0,0,$B$8,1))=FU$13), 1*(_xlfn._xlws.FILTER(OFFSET($O$15,0,$DO240,$B$8,1),OFFSET($M$15,0,0,$B$8,1))=FU$14))   /   SUM(OFFSET($BO$15,0,0,$B$14,1)) + $B$18/($B$19*$B$19*($DN240&lt;&gt;$DO240) + $B$19*($DN240=$DO240))</f>
        <v>3.7037037037037035E-4</v>
      </c>
      <c r="FV240" s="10" cm="1">
        <f t="array" aca="1" ref="FV240" ca="1">(1-$B$18)*SUMPRODUCT(OFFSET($BO$15,0,0,$B$14,1), 1*(_xlfn._xlws.FILTER(OFFSET($O$15,0,$DN240,$B$8,1),OFFSET($M$15,0,0,$B$8,1))=FV$13), 1*(_xlfn._xlws.FILTER(OFFSET($O$15,0,$DO240,$B$8,1),OFFSET($M$15,0,0,$B$8,1))=FV$14))   /   SUM(OFFSET($BO$15,0,0,$B$14,1)) + $B$18/($B$19*$B$19*($DN240&lt;&gt;$DO240) + $B$19*($DN240=$DO240))</f>
        <v>3.7037037037037035E-4</v>
      </c>
      <c r="FW240" s="10" cm="1">
        <f t="array" aca="1" ref="FW240" ca="1">(1-$B$18)*SUMPRODUCT(OFFSET($BO$15,0,0,$B$14,1), 1*(_xlfn._xlws.FILTER(OFFSET($O$15,0,$DN240,$B$8,1),OFFSET($M$15,0,0,$B$8,1))=FW$13), 1*(_xlfn._xlws.FILTER(OFFSET($O$15,0,$DO240,$B$8,1),OFFSET($M$15,0,0,$B$8,1))=FW$14))   /   SUM(OFFSET($BO$15,0,0,$B$14,1)) + $B$18/($B$19*$B$19*($DN240&lt;&gt;$DO240) + $B$19*($DN240=$DO240))</f>
        <v>3.7037037037037035E-4</v>
      </c>
      <c r="FX240" s="10" cm="1">
        <f t="array" aca="1" ref="FX240" ca="1">(1-$B$18)*SUMPRODUCT(OFFSET($BO$15,0,0,$B$14,1), 1*(_xlfn._xlws.FILTER(OFFSET($O$15,0,$DN240,$B$8,1),OFFSET($M$15,0,0,$B$8,1))=FX$13), 1*(_xlfn._xlws.FILTER(OFFSET($O$15,0,$DO240,$B$8,1),OFFSET($M$15,0,0,$B$8,1))=FX$14))   /   SUM(OFFSET($BO$15,0,0,$B$14,1)) + $B$18/($B$19*$B$19*($DN240&lt;&gt;$DO240) + $B$19*($DN240=$DO240))</f>
        <v>3.7037037037037035E-4</v>
      </c>
      <c r="FY240" s="10" cm="1">
        <f t="array" aca="1" ref="FY240" ca="1">(1-$B$18)*SUMPRODUCT(OFFSET($BO$15,0,0,$B$14,1), 1*(_xlfn._xlws.FILTER(OFFSET($O$15,0,$DN240,$B$8,1),OFFSET($M$15,0,0,$B$8,1))=FY$13), 1*(_xlfn._xlws.FILTER(OFFSET($O$15,0,$DO240,$B$8,1),OFFSET($M$15,0,0,$B$8,1))=FY$14))   /   SUM(OFFSET($BO$15,0,0,$B$14,1)) + $B$18/($B$19*$B$19*($DN240&lt;&gt;$DO240) + $B$19*($DN240=$DO240))</f>
        <v>3.7037037037037035E-4</v>
      </c>
      <c r="FZ240" s="10" cm="1">
        <f t="array" aca="1" ref="FZ240" ca="1">(1-$B$18)*SUMPRODUCT(OFFSET($BO$15,0,0,$B$14,1), 1*(_xlfn._xlws.FILTER(OFFSET($O$15,0,$DN240,$B$8,1),OFFSET($M$15,0,0,$B$8,1))=FZ$13), 1*(_xlfn._xlws.FILTER(OFFSET($O$15,0,$DO240,$B$8,1),OFFSET($M$15,0,0,$B$8,1))=FZ$14))   /   SUM(OFFSET($BO$15,0,0,$B$14,1)) + $B$18/($B$19*$B$19*($DN240&lt;&gt;$DO240) + $B$19*($DN240=$DO240))</f>
        <v>3.7037037037037035E-4</v>
      </c>
      <c r="GA240" s="10" cm="1">
        <f t="array" aca="1" ref="GA240" ca="1">(1-$B$18)*SUMPRODUCT(OFFSET($BO$15,0,0,$B$14,1), 1*(_xlfn._xlws.FILTER(OFFSET($O$15,0,$DN240,$B$8,1),OFFSET($M$15,0,0,$B$8,1))=GA$13), 1*(_xlfn._xlws.FILTER(OFFSET($O$15,0,$DO240,$B$8,1),OFFSET($M$15,0,0,$B$8,1))=GA$14))   /   SUM(OFFSET($BO$15,0,0,$B$14,1)) + $B$18/($B$19*$B$19*($DN240&lt;&gt;$DO240) + $B$19*($DN240=$DO240))</f>
        <v>3.7037037037037035E-4</v>
      </c>
    </row>
    <row r="241" spans="118:183" x14ac:dyDescent="0.2">
      <c r="DN241" cm="1">
        <f t="array" aca="1" ref="DN241" ca="1">INDEX(_xlfn.ANCHORARRAY($CP$15), 1 + INT((ROWS($DO$15:$DO241) - 1) / ROWS(_xlfn.ANCHORARRAY($CP$15))))</f>
        <v>12</v>
      </c>
      <c r="DO241" cm="1">
        <f t="array" aca="1" ref="DO241" ca="1">INDEX(_xlfn.ANCHORARRAY($CP$15),1+MOD(ROWS($DO$15:$DO241)-1,ROWS(_xlfn.ANCHORARRAY($CP$15))))</f>
        <v>20</v>
      </c>
      <c r="DP241" s="10" cm="1">
        <f t="array" aca="1" ref="DP241" ca="1">(1-$B$18)*SUMPRODUCT(OFFSET($BO$15,0,0,$B$14,1), 1*(_xlfn._xlws.FILTER(OFFSET($O$15,0,$DN241,$B$8,1),OFFSET($M$15,0,0,$B$8,1))=DP$13), 1*(_xlfn._xlws.FILTER(OFFSET($O$15,0,$DO241,$B$8,1),OFFSET($M$15,0,0,$B$8,1))=DP$14))   /   SUM(OFFSET($BO$15,0,0,$B$14,1)) + $B$18/($B$19*$B$19*($DN241&lt;&gt;$DO241) + $B$19*($DN241=$DO241))</f>
        <v>3.7037037037037035E-4</v>
      </c>
      <c r="DQ241" s="10" cm="1">
        <f t="array" aca="1" ref="DQ241" ca="1">(1-$B$18)*SUMPRODUCT(OFFSET($BO$15,0,0,$B$14,1), 1*(_xlfn._xlws.FILTER(OFFSET($O$15,0,$DN241,$B$8,1),OFFSET($M$15,0,0,$B$8,1))=DQ$13), 1*(_xlfn._xlws.FILTER(OFFSET($O$15,0,$DO241,$B$8,1),OFFSET($M$15,0,0,$B$8,1))=DQ$14))   /   SUM(OFFSET($BO$15,0,0,$B$14,1)) + $B$18/($B$19*$B$19*($DN241&lt;&gt;$DO241) + $B$19*($DN241=$DO241))</f>
        <v>3.7037037037037035E-4</v>
      </c>
      <c r="DR241" s="10" cm="1">
        <f t="array" aca="1" ref="DR241" ca="1">(1-$B$18)*SUMPRODUCT(OFFSET($BO$15,0,0,$B$14,1), 1*(_xlfn._xlws.FILTER(OFFSET($O$15,0,$DN241,$B$8,1),OFFSET($M$15,0,0,$B$8,1))=DR$13), 1*(_xlfn._xlws.FILTER(OFFSET($O$15,0,$DO241,$B$8,1),OFFSET($M$15,0,0,$B$8,1))=DR$14))   /   SUM(OFFSET($BO$15,0,0,$B$14,1)) + $B$18/($B$19*$B$19*($DN241&lt;&gt;$DO241) + $B$19*($DN241=$DO241))</f>
        <v>3.7037037037037035E-4</v>
      </c>
      <c r="DS241" s="10" cm="1">
        <f t="array" aca="1" ref="DS241" ca="1">(1-$B$18)*SUMPRODUCT(OFFSET($BO$15,0,0,$B$14,1), 1*(_xlfn._xlws.FILTER(OFFSET($O$15,0,$DN241,$B$8,1),OFFSET($M$15,0,0,$B$8,1))=DS$13), 1*(_xlfn._xlws.FILTER(OFFSET($O$15,0,$DO241,$B$8,1),OFFSET($M$15,0,0,$B$8,1))=DS$14))   /   SUM(OFFSET($BO$15,0,0,$B$14,1)) + $B$18/($B$19*$B$19*($DN241&lt;&gt;$DO241) + $B$19*($DN241=$DO241))</f>
        <v>3.7037037037037035E-4</v>
      </c>
      <c r="DT241" s="10" cm="1">
        <f t="array" aca="1" ref="DT241" ca="1">(1-$B$18)*SUMPRODUCT(OFFSET($BO$15,0,0,$B$14,1), 1*(_xlfn._xlws.FILTER(OFFSET($O$15,0,$DN241,$B$8,1),OFFSET($M$15,0,0,$B$8,1))=DT$13), 1*(_xlfn._xlws.FILTER(OFFSET($O$15,0,$DO241,$B$8,1),OFFSET($M$15,0,0,$B$8,1))=DT$14))   /   SUM(OFFSET($BO$15,0,0,$B$14,1)) + $B$18/($B$19*$B$19*($DN241&lt;&gt;$DO241) + $B$19*($DN241=$DO241))</f>
        <v>3.7037037037037035E-4</v>
      </c>
      <c r="DU241" s="10" cm="1">
        <f t="array" aca="1" ref="DU241" ca="1">(1-$B$18)*SUMPRODUCT(OFFSET($BO$15,0,0,$B$14,1), 1*(_xlfn._xlws.FILTER(OFFSET($O$15,0,$DN241,$B$8,1),OFFSET($M$15,0,0,$B$8,1))=DU$13), 1*(_xlfn._xlws.FILTER(OFFSET($O$15,0,$DO241,$B$8,1),OFFSET($M$15,0,0,$B$8,1))=DU$14))   /   SUM(OFFSET($BO$15,0,0,$B$14,1)) + $B$18/($B$19*$B$19*($DN241&lt;&gt;$DO241) + $B$19*($DN241=$DO241))</f>
        <v>3.7037037037037035E-4</v>
      </c>
      <c r="DV241" s="10" cm="1">
        <f t="array" aca="1" ref="DV241" ca="1">(1-$B$18)*SUMPRODUCT(OFFSET($BO$15,0,0,$B$14,1), 1*(_xlfn._xlws.FILTER(OFFSET($O$15,0,$DN241,$B$8,1),OFFSET($M$15,0,0,$B$8,1))=DV$13), 1*(_xlfn._xlws.FILTER(OFFSET($O$15,0,$DO241,$B$8,1),OFFSET($M$15,0,0,$B$8,1))=DV$14))   /   SUM(OFFSET($BO$15,0,0,$B$14,1)) + $B$18/($B$19*$B$19*($DN241&lt;&gt;$DO241) + $B$19*($DN241=$DO241))</f>
        <v>3.7037037037037035E-4</v>
      </c>
      <c r="DW241" s="10" cm="1">
        <f t="array" aca="1" ref="DW241" ca="1">(1-$B$18)*SUMPRODUCT(OFFSET($BO$15,0,0,$B$14,1), 1*(_xlfn._xlws.FILTER(OFFSET($O$15,0,$DN241,$B$8,1),OFFSET($M$15,0,0,$B$8,1))=DW$13), 1*(_xlfn._xlws.FILTER(OFFSET($O$15,0,$DO241,$B$8,1),OFFSET($M$15,0,0,$B$8,1))=DW$14))   /   SUM(OFFSET($BO$15,0,0,$B$14,1)) + $B$18/($B$19*$B$19*($DN241&lt;&gt;$DO241) + $B$19*($DN241=$DO241))</f>
        <v>3.7037037037037035E-4</v>
      </c>
      <c r="DX241" s="10" cm="1">
        <f t="array" aca="1" ref="DX241" ca="1">(1-$B$18)*SUMPRODUCT(OFFSET($BO$15,0,0,$B$14,1), 1*(_xlfn._xlws.FILTER(OFFSET($O$15,0,$DN241,$B$8,1),OFFSET($M$15,0,0,$B$8,1))=DX$13), 1*(_xlfn._xlws.FILTER(OFFSET($O$15,0,$DO241,$B$8,1),OFFSET($M$15,0,0,$B$8,1))=DX$14))   /   SUM(OFFSET($BO$15,0,0,$B$14,1)) + $B$18/($B$19*$B$19*($DN241&lt;&gt;$DO241) + $B$19*($DN241=$DO241))</f>
        <v>3.7037037037037035E-4</v>
      </c>
      <c r="DY241" s="10" cm="1">
        <f t="array" aca="1" ref="DY241" ca="1">(1-$B$18)*SUMPRODUCT(OFFSET($BO$15,0,0,$B$14,1), 1*(_xlfn._xlws.FILTER(OFFSET($O$15,0,$DN241,$B$8,1),OFFSET($M$15,0,0,$B$8,1))=DY$13), 1*(_xlfn._xlws.FILTER(OFFSET($O$15,0,$DO241,$B$8,1),OFFSET($M$15,0,0,$B$8,1))=DY$14))   /   SUM(OFFSET($BO$15,0,0,$B$14,1)) + $B$18/($B$19*$B$19*($DN241&lt;&gt;$DO241) + $B$19*($DN241=$DO241))</f>
        <v>3.7037037037037035E-4</v>
      </c>
      <c r="DZ241" s="10" cm="1">
        <f t="array" aca="1" ref="DZ241" ca="1">(1-$B$18)*SUMPRODUCT(OFFSET($BO$15,0,0,$B$14,1), 1*(_xlfn._xlws.FILTER(OFFSET($O$15,0,$DN241,$B$8,1),OFFSET($M$15,0,0,$B$8,1))=DZ$13), 1*(_xlfn._xlws.FILTER(OFFSET($O$15,0,$DO241,$B$8,1),OFFSET($M$15,0,0,$B$8,1))=DZ$14))   /   SUM(OFFSET($BO$15,0,0,$B$14,1)) + $B$18/($B$19*$B$19*($DN241&lt;&gt;$DO241) + $B$19*($DN241=$DO241))</f>
        <v>3.7037037037037035E-4</v>
      </c>
      <c r="EA241" s="10" cm="1">
        <f t="array" aca="1" ref="EA241" ca="1">(1-$B$18)*SUMPRODUCT(OFFSET($BO$15,0,0,$B$14,1), 1*(_xlfn._xlws.FILTER(OFFSET($O$15,0,$DN241,$B$8,1),OFFSET($M$15,0,0,$B$8,1))=EA$13), 1*(_xlfn._xlws.FILTER(OFFSET($O$15,0,$DO241,$B$8,1),OFFSET($M$15,0,0,$B$8,1))=EA$14))   /   SUM(OFFSET($BO$15,0,0,$B$14,1)) + $B$18/($B$19*$B$19*($DN241&lt;&gt;$DO241) + $B$19*($DN241=$DO241))</f>
        <v>3.7037037037037035E-4</v>
      </c>
      <c r="EB241" s="10" cm="1">
        <f t="array" aca="1" ref="EB241" ca="1">(1-$B$18)*SUMPRODUCT(OFFSET($BO$15,0,0,$B$14,1), 1*(_xlfn._xlws.FILTER(OFFSET($O$15,0,$DN241,$B$8,1),OFFSET($M$15,0,0,$B$8,1))=EB$13), 1*(_xlfn._xlws.FILTER(OFFSET($O$15,0,$DO241,$B$8,1),OFFSET($M$15,0,0,$B$8,1))=EB$14))   /   SUM(OFFSET($BO$15,0,0,$B$14,1)) + $B$18/($B$19*$B$19*($DN241&lt;&gt;$DO241) + $B$19*($DN241=$DO241))</f>
        <v>0.24287037037037024</v>
      </c>
      <c r="EC241" s="10" cm="1">
        <f t="array" aca="1" ref="EC241" ca="1">(1-$B$18)*SUMPRODUCT(OFFSET($BO$15,0,0,$B$14,1), 1*(_xlfn._xlws.FILTER(OFFSET($O$15,0,$DN241,$B$8,1),OFFSET($M$15,0,0,$B$8,1))=EC$13), 1*(_xlfn._xlws.FILTER(OFFSET($O$15,0,$DO241,$B$8,1),OFFSET($M$15,0,0,$B$8,1))=EC$14))   /   SUM(OFFSET($BO$15,0,0,$B$14,1)) + $B$18/($B$19*$B$19*($DN241&lt;&gt;$DO241) + $B$19*($DN241=$DO241))</f>
        <v>0.24287037037037026</v>
      </c>
      <c r="ED241" s="10" cm="1">
        <f t="array" aca="1" ref="ED241" ca="1">(1-$B$18)*SUMPRODUCT(OFFSET($BO$15,0,0,$B$14,1), 1*(_xlfn._xlws.FILTER(OFFSET($O$15,0,$DN241,$B$8,1),OFFSET($M$15,0,0,$B$8,1))=ED$13), 1*(_xlfn._xlws.FILTER(OFFSET($O$15,0,$DO241,$B$8,1),OFFSET($M$15,0,0,$B$8,1))=ED$14))   /   SUM(OFFSET($BO$15,0,0,$B$14,1)) + $B$18/($B$19*$B$19*($DN241&lt;&gt;$DO241) + $B$19*($DN241=$DO241))</f>
        <v>0.48537037037037012</v>
      </c>
      <c r="EE241" s="10" cm="1">
        <f t="array" aca="1" ref="EE241" ca="1">(1-$B$18)*SUMPRODUCT(OFFSET($BO$15,0,0,$B$14,1), 1*(_xlfn._xlws.FILTER(OFFSET($O$15,0,$DN241,$B$8,1),OFFSET($M$15,0,0,$B$8,1))=EE$13), 1*(_xlfn._xlws.FILTER(OFFSET($O$15,0,$DO241,$B$8,1),OFFSET($M$15,0,0,$B$8,1))=EE$14))   /   SUM(OFFSET($BO$15,0,0,$B$14,1)) + $B$18/($B$19*$B$19*($DN241&lt;&gt;$DO241) + $B$19*($DN241=$DO241))</f>
        <v>3.7037037037037035E-4</v>
      </c>
      <c r="EF241" s="10" cm="1">
        <f t="array" aca="1" ref="EF241" ca="1">(1-$B$18)*SUMPRODUCT(OFFSET($BO$15,0,0,$B$14,1), 1*(_xlfn._xlws.FILTER(OFFSET($O$15,0,$DN241,$B$8,1),OFFSET($M$15,0,0,$B$8,1))=EF$13), 1*(_xlfn._xlws.FILTER(OFFSET($O$15,0,$DO241,$B$8,1),OFFSET($M$15,0,0,$B$8,1))=EF$14))   /   SUM(OFFSET($BO$15,0,0,$B$14,1)) + $B$18/($B$19*$B$19*($DN241&lt;&gt;$DO241) + $B$19*($DN241=$DO241))</f>
        <v>3.7037037037037035E-4</v>
      </c>
      <c r="EG241" s="10" cm="1">
        <f t="array" aca="1" ref="EG241" ca="1">(1-$B$18)*SUMPRODUCT(OFFSET($BO$15,0,0,$B$14,1), 1*(_xlfn._xlws.FILTER(OFFSET($O$15,0,$DN241,$B$8,1),OFFSET($M$15,0,0,$B$8,1))=EG$13), 1*(_xlfn._xlws.FILTER(OFFSET($O$15,0,$DO241,$B$8,1),OFFSET($M$15,0,0,$B$8,1))=EG$14))   /   SUM(OFFSET($BO$15,0,0,$B$14,1)) + $B$18/($B$19*$B$19*($DN241&lt;&gt;$DO241) + $B$19*($DN241=$DO241))</f>
        <v>3.7037037037037035E-4</v>
      </c>
      <c r="EH241" s="10" cm="1">
        <f t="array" aca="1" ref="EH241" ca="1">(1-$B$18)*SUMPRODUCT(OFFSET($BO$15,0,0,$B$14,1), 1*(_xlfn._xlws.FILTER(OFFSET($O$15,0,$DN241,$B$8,1),OFFSET($M$15,0,0,$B$8,1))=EH$13), 1*(_xlfn._xlws.FILTER(OFFSET($O$15,0,$DO241,$B$8,1),OFFSET($M$15,0,0,$B$8,1))=EH$14))   /   SUM(OFFSET($BO$15,0,0,$B$14,1)) + $B$18/($B$19*$B$19*($DN241&lt;&gt;$DO241) + $B$19*($DN241=$DO241))</f>
        <v>3.7037037037037035E-4</v>
      </c>
      <c r="EI241" s="10" cm="1">
        <f t="array" aca="1" ref="EI241" ca="1">(1-$B$18)*SUMPRODUCT(OFFSET($BO$15,0,0,$B$14,1), 1*(_xlfn._xlws.FILTER(OFFSET($O$15,0,$DN241,$B$8,1),OFFSET($M$15,0,0,$B$8,1))=EI$13), 1*(_xlfn._xlws.FILTER(OFFSET($O$15,0,$DO241,$B$8,1),OFFSET($M$15,0,0,$B$8,1))=EI$14))   /   SUM(OFFSET($BO$15,0,0,$B$14,1)) + $B$18/($B$19*$B$19*($DN241&lt;&gt;$DO241) + $B$19*($DN241=$DO241))</f>
        <v>3.7037037037037035E-4</v>
      </c>
      <c r="EJ241" s="10" cm="1">
        <f t="array" aca="1" ref="EJ241" ca="1">(1-$B$18)*SUMPRODUCT(OFFSET($BO$15,0,0,$B$14,1), 1*(_xlfn._xlws.FILTER(OFFSET($O$15,0,$DN241,$B$8,1),OFFSET($M$15,0,0,$B$8,1))=EJ$13), 1*(_xlfn._xlws.FILTER(OFFSET($O$15,0,$DO241,$B$8,1),OFFSET($M$15,0,0,$B$8,1))=EJ$14))   /   SUM(OFFSET($BO$15,0,0,$B$14,1)) + $B$18/($B$19*$B$19*($DN241&lt;&gt;$DO241) + $B$19*($DN241=$DO241))</f>
        <v>3.7037037037037035E-4</v>
      </c>
      <c r="EK241" s="10" cm="1">
        <f t="array" aca="1" ref="EK241" ca="1">(1-$B$18)*SUMPRODUCT(OFFSET($BO$15,0,0,$B$14,1), 1*(_xlfn._xlws.FILTER(OFFSET($O$15,0,$DN241,$B$8,1),OFFSET($M$15,0,0,$B$8,1))=EK$13), 1*(_xlfn._xlws.FILTER(OFFSET($O$15,0,$DO241,$B$8,1),OFFSET($M$15,0,0,$B$8,1))=EK$14))   /   SUM(OFFSET($BO$15,0,0,$B$14,1)) + $B$18/($B$19*$B$19*($DN241&lt;&gt;$DO241) + $B$19*($DN241=$DO241))</f>
        <v>3.7037037037037035E-4</v>
      </c>
      <c r="EL241" s="10" cm="1">
        <f t="array" aca="1" ref="EL241" ca="1">(1-$B$18)*SUMPRODUCT(OFFSET($BO$15,0,0,$B$14,1), 1*(_xlfn._xlws.FILTER(OFFSET($O$15,0,$DN241,$B$8,1),OFFSET($M$15,0,0,$B$8,1))=EL$13), 1*(_xlfn._xlws.FILTER(OFFSET($O$15,0,$DO241,$B$8,1),OFFSET($M$15,0,0,$B$8,1))=EL$14))   /   SUM(OFFSET($BO$15,0,0,$B$14,1)) + $B$18/($B$19*$B$19*($DN241&lt;&gt;$DO241) + $B$19*($DN241=$DO241))</f>
        <v>3.7037037037037035E-4</v>
      </c>
      <c r="EM241" s="10" cm="1">
        <f t="array" aca="1" ref="EM241" ca="1">(1-$B$18)*SUMPRODUCT(OFFSET($BO$15,0,0,$B$14,1), 1*(_xlfn._xlws.FILTER(OFFSET($O$15,0,$DN241,$B$8,1),OFFSET($M$15,0,0,$B$8,1))=EM$13), 1*(_xlfn._xlws.FILTER(OFFSET($O$15,0,$DO241,$B$8,1),OFFSET($M$15,0,0,$B$8,1))=EM$14))   /   SUM(OFFSET($BO$15,0,0,$B$14,1)) + $B$18/($B$19*$B$19*($DN241&lt;&gt;$DO241) + $B$19*($DN241=$DO241))</f>
        <v>3.7037037037037035E-4</v>
      </c>
      <c r="EN241" s="10" cm="1">
        <f t="array" aca="1" ref="EN241" ca="1">(1-$B$18)*SUMPRODUCT(OFFSET($BO$15,0,0,$B$14,1), 1*(_xlfn._xlws.FILTER(OFFSET($O$15,0,$DN241,$B$8,1),OFFSET($M$15,0,0,$B$8,1))=EN$13), 1*(_xlfn._xlws.FILTER(OFFSET($O$15,0,$DO241,$B$8,1),OFFSET($M$15,0,0,$B$8,1))=EN$14))   /   SUM(OFFSET($BO$15,0,0,$B$14,1)) + $B$18/($B$19*$B$19*($DN241&lt;&gt;$DO241) + $B$19*($DN241=$DO241))</f>
        <v>3.7037037037037035E-4</v>
      </c>
      <c r="EO241" s="10" cm="1">
        <f t="array" aca="1" ref="EO241" ca="1">(1-$B$18)*SUMPRODUCT(OFFSET($BO$15,0,0,$B$14,1), 1*(_xlfn._xlws.FILTER(OFFSET($O$15,0,$DN241,$B$8,1),OFFSET($M$15,0,0,$B$8,1))=EO$13), 1*(_xlfn._xlws.FILTER(OFFSET($O$15,0,$DO241,$B$8,1),OFFSET($M$15,0,0,$B$8,1))=EO$14))   /   SUM(OFFSET($BO$15,0,0,$B$14,1)) + $B$18/($B$19*$B$19*($DN241&lt;&gt;$DO241) + $B$19*($DN241=$DO241))</f>
        <v>3.7037037037037035E-4</v>
      </c>
      <c r="EP241" s="10" cm="1">
        <f t="array" aca="1" ref="EP241" ca="1">(1-$B$18)*SUMPRODUCT(OFFSET($BO$15,0,0,$B$14,1), 1*(_xlfn._xlws.FILTER(OFFSET($O$15,0,$DN241,$B$8,1),OFFSET($M$15,0,0,$B$8,1))=EP$13), 1*(_xlfn._xlws.FILTER(OFFSET($O$15,0,$DO241,$B$8,1),OFFSET($M$15,0,0,$B$8,1))=EP$14))   /   SUM(OFFSET($BO$15,0,0,$B$14,1)) + $B$18/($B$19*$B$19*($DN241&lt;&gt;$DO241) + $B$19*($DN241=$DO241))</f>
        <v>3.7037037037037035E-4</v>
      </c>
      <c r="EQ241" s="10" cm="1">
        <f t="array" aca="1" ref="EQ241" ca="1">(1-$B$18)*SUMPRODUCT(OFFSET($BO$15,0,0,$B$14,1), 1*(_xlfn._xlws.FILTER(OFFSET($O$15,0,$DN241,$B$8,1),OFFSET($M$15,0,0,$B$8,1))=EQ$13), 1*(_xlfn._xlws.FILTER(OFFSET($O$15,0,$DO241,$B$8,1),OFFSET($M$15,0,0,$B$8,1))=EQ$14))   /   SUM(OFFSET($BO$15,0,0,$B$14,1)) + $B$18/($B$19*$B$19*($DN241&lt;&gt;$DO241) + $B$19*($DN241=$DO241))</f>
        <v>3.7037037037037035E-4</v>
      </c>
      <c r="ER241" s="10" cm="1">
        <f t="array" aca="1" ref="ER241" ca="1">(1-$B$18)*SUMPRODUCT(OFFSET($BO$15,0,0,$B$14,1), 1*(_xlfn._xlws.FILTER(OFFSET($O$15,0,$DN241,$B$8,1),OFFSET($M$15,0,0,$B$8,1))=ER$13), 1*(_xlfn._xlws.FILTER(OFFSET($O$15,0,$DO241,$B$8,1),OFFSET($M$15,0,0,$B$8,1))=ER$14))   /   SUM(OFFSET($BO$15,0,0,$B$14,1)) + $B$18/($B$19*$B$19*($DN241&lt;&gt;$DO241) + $B$19*($DN241=$DO241))</f>
        <v>3.7037037037037035E-4</v>
      </c>
      <c r="ES241" s="10" cm="1">
        <f t="array" aca="1" ref="ES241" ca="1">(1-$B$18)*SUMPRODUCT(OFFSET($BO$15,0,0,$B$14,1), 1*(_xlfn._xlws.FILTER(OFFSET($O$15,0,$DN241,$B$8,1),OFFSET($M$15,0,0,$B$8,1))=ES$13), 1*(_xlfn._xlws.FILTER(OFFSET($O$15,0,$DO241,$B$8,1),OFFSET($M$15,0,0,$B$8,1))=ES$14))   /   SUM(OFFSET($BO$15,0,0,$B$14,1)) + $B$18/($B$19*$B$19*($DN241&lt;&gt;$DO241) + $B$19*($DN241=$DO241))</f>
        <v>3.7037037037037035E-4</v>
      </c>
      <c r="ET241" s="10" cm="1">
        <f t="array" aca="1" ref="ET241" ca="1">(1-$B$18)*SUMPRODUCT(OFFSET($BO$15,0,0,$B$14,1), 1*(_xlfn._xlws.FILTER(OFFSET($O$15,0,$DN241,$B$8,1),OFFSET($M$15,0,0,$B$8,1))=ET$13), 1*(_xlfn._xlws.FILTER(OFFSET($O$15,0,$DO241,$B$8,1),OFFSET($M$15,0,0,$B$8,1))=ET$14))   /   SUM(OFFSET($BO$15,0,0,$B$14,1)) + $B$18/($B$19*$B$19*($DN241&lt;&gt;$DO241) + $B$19*($DN241=$DO241))</f>
        <v>3.7037037037037035E-4</v>
      </c>
      <c r="EU241" s="10" cm="1">
        <f t="array" aca="1" ref="EU241" ca="1">(1-$B$18)*SUMPRODUCT(OFFSET($BO$15,0,0,$B$14,1), 1*(_xlfn._xlws.FILTER(OFFSET($O$15,0,$DN241,$B$8,1),OFFSET($M$15,0,0,$B$8,1))=EU$13), 1*(_xlfn._xlws.FILTER(OFFSET($O$15,0,$DO241,$B$8,1),OFFSET($M$15,0,0,$B$8,1))=EU$14))   /   SUM(OFFSET($BO$15,0,0,$B$14,1)) + $B$18/($B$19*$B$19*($DN241&lt;&gt;$DO241) + $B$19*($DN241=$DO241))</f>
        <v>3.7037037037037035E-4</v>
      </c>
      <c r="EV241" s="10" cm="1">
        <f t="array" aca="1" ref="EV241" ca="1">(1-$B$18)*SUMPRODUCT(OFFSET($BO$15,0,0,$B$14,1), 1*(_xlfn._xlws.FILTER(OFFSET($O$15,0,$DN241,$B$8,1),OFFSET($M$15,0,0,$B$8,1))=EV$13), 1*(_xlfn._xlws.FILTER(OFFSET($O$15,0,$DO241,$B$8,1),OFFSET($M$15,0,0,$B$8,1))=EV$14))   /   SUM(OFFSET($BO$15,0,0,$B$14,1)) + $B$18/($B$19*$B$19*($DN241&lt;&gt;$DO241) + $B$19*($DN241=$DO241))</f>
        <v>3.7037037037037035E-4</v>
      </c>
      <c r="EW241" s="10" cm="1">
        <f t="array" aca="1" ref="EW241" ca="1">(1-$B$18)*SUMPRODUCT(OFFSET($BO$15,0,0,$B$14,1), 1*(_xlfn._xlws.FILTER(OFFSET($O$15,0,$DN241,$B$8,1),OFFSET($M$15,0,0,$B$8,1))=EW$13), 1*(_xlfn._xlws.FILTER(OFFSET($O$15,0,$DO241,$B$8,1),OFFSET($M$15,0,0,$B$8,1))=EW$14))   /   SUM(OFFSET($BO$15,0,0,$B$14,1)) + $B$18/($B$19*$B$19*($DN241&lt;&gt;$DO241) + $B$19*($DN241=$DO241))</f>
        <v>3.7037037037037035E-4</v>
      </c>
      <c r="EX241" s="10" cm="1">
        <f t="array" aca="1" ref="EX241" ca="1">(1-$B$18)*SUMPRODUCT(OFFSET($BO$15,0,0,$B$14,1), 1*(_xlfn._xlws.FILTER(OFFSET($O$15,0,$DN241,$B$8,1),OFFSET($M$15,0,0,$B$8,1))=EX$13), 1*(_xlfn._xlws.FILTER(OFFSET($O$15,0,$DO241,$B$8,1),OFFSET($M$15,0,0,$B$8,1))=EX$14))   /   SUM(OFFSET($BO$15,0,0,$B$14,1)) + $B$18/($B$19*$B$19*($DN241&lt;&gt;$DO241) + $B$19*($DN241=$DO241))</f>
        <v>3.7037037037037035E-4</v>
      </c>
      <c r="EY241" s="10" cm="1">
        <f t="array" aca="1" ref="EY241" ca="1">(1-$B$18)*SUMPRODUCT(OFFSET($BO$15,0,0,$B$14,1), 1*(_xlfn._xlws.FILTER(OFFSET($O$15,0,$DN241,$B$8,1),OFFSET($M$15,0,0,$B$8,1))=EY$13), 1*(_xlfn._xlws.FILTER(OFFSET($O$15,0,$DO241,$B$8,1),OFFSET($M$15,0,0,$B$8,1))=EY$14))   /   SUM(OFFSET($BO$15,0,0,$B$14,1)) + $B$18/($B$19*$B$19*($DN241&lt;&gt;$DO241) + $B$19*($DN241=$DO241))</f>
        <v>3.7037037037037035E-4</v>
      </c>
      <c r="EZ241" s="10" cm="1">
        <f t="array" aca="1" ref="EZ241" ca="1">(1-$B$18)*SUMPRODUCT(OFFSET($BO$15,0,0,$B$14,1), 1*(_xlfn._xlws.FILTER(OFFSET($O$15,0,$DN241,$B$8,1),OFFSET($M$15,0,0,$B$8,1))=EZ$13), 1*(_xlfn._xlws.FILTER(OFFSET($O$15,0,$DO241,$B$8,1),OFFSET($M$15,0,0,$B$8,1))=EZ$14))   /   SUM(OFFSET($BO$15,0,0,$B$14,1)) + $B$18/($B$19*$B$19*($DN241&lt;&gt;$DO241) + $B$19*($DN241=$DO241))</f>
        <v>3.7037037037037035E-4</v>
      </c>
      <c r="FA241" s="10" cm="1">
        <f t="array" aca="1" ref="FA241" ca="1">(1-$B$18)*SUMPRODUCT(OFFSET($BO$15,0,0,$B$14,1), 1*(_xlfn._xlws.FILTER(OFFSET($O$15,0,$DN241,$B$8,1),OFFSET($M$15,0,0,$B$8,1))=FA$13), 1*(_xlfn._xlws.FILTER(OFFSET($O$15,0,$DO241,$B$8,1),OFFSET($M$15,0,0,$B$8,1))=FA$14))   /   SUM(OFFSET($BO$15,0,0,$B$14,1)) + $B$18/($B$19*$B$19*($DN241&lt;&gt;$DO241) + $B$19*($DN241=$DO241))</f>
        <v>3.7037037037037035E-4</v>
      </c>
      <c r="FB241" s="10" cm="1">
        <f t="array" aca="1" ref="FB241" ca="1">(1-$B$18)*SUMPRODUCT(OFFSET($BO$15,0,0,$B$14,1), 1*(_xlfn._xlws.FILTER(OFFSET($O$15,0,$DN241,$B$8,1),OFFSET($M$15,0,0,$B$8,1))=FB$13), 1*(_xlfn._xlws.FILTER(OFFSET($O$15,0,$DO241,$B$8,1),OFFSET($M$15,0,0,$B$8,1))=FB$14))   /   SUM(OFFSET($BO$15,0,0,$B$14,1)) + $B$18/($B$19*$B$19*($DN241&lt;&gt;$DO241) + $B$19*($DN241=$DO241))</f>
        <v>3.7037037037037035E-4</v>
      </c>
      <c r="FC241" s="10" cm="1">
        <f t="array" aca="1" ref="FC241" ca="1">(1-$B$18)*SUMPRODUCT(OFFSET($BO$15,0,0,$B$14,1), 1*(_xlfn._xlws.FILTER(OFFSET($O$15,0,$DN241,$B$8,1),OFFSET($M$15,0,0,$B$8,1))=FC$13), 1*(_xlfn._xlws.FILTER(OFFSET($O$15,0,$DO241,$B$8,1),OFFSET($M$15,0,0,$B$8,1))=FC$14))   /   SUM(OFFSET($BO$15,0,0,$B$14,1)) + $B$18/($B$19*$B$19*($DN241&lt;&gt;$DO241) + $B$19*($DN241=$DO241))</f>
        <v>3.7037037037037035E-4</v>
      </c>
      <c r="FD241" s="10" cm="1">
        <f t="array" aca="1" ref="FD241" ca="1">(1-$B$18)*SUMPRODUCT(OFFSET($BO$15,0,0,$B$14,1), 1*(_xlfn._xlws.FILTER(OFFSET($O$15,0,$DN241,$B$8,1),OFFSET($M$15,0,0,$B$8,1))=FD$13), 1*(_xlfn._xlws.FILTER(OFFSET($O$15,0,$DO241,$B$8,1),OFFSET($M$15,0,0,$B$8,1))=FD$14))   /   SUM(OFFSET($BO$15,0,0,$B$14,1)) + $B$18/($B$19*$B$19*($DN241&lt;&gt;$DO241) + $B$19*($DN241=$DO241))</f>
        <v>3.7037037037037035E-4</v>
      </c>
      <c r="FE241" s="10" cm="1">
        <f t="array" aca="1" ref="FE241" ca="1">(1-$B$18)*SUMPRODUCT(OFFSET($BO$15,0,0,$B$14,1), 1*(_xlfn._xlws.FILTER(OFFSET($O$15,0,$DN241,$B$8,1),OFFSET($M$15,0,0,$B$8,1))=FE$13), 1*(_xlfn._xlws.FILTER(OFFSET($O$15,0,$DO241,$B$8,1),OFFSET($M$15,0,0,$B$8,1))=FE$14))   /   SUM(OFFSET($BO$15,0,0,$B$14,1)) + $B$18/($B$19*$B$19*($DN241&lt;&gt;$DO241) + $B$19*($DN241=$DO241))</f>
        <v>3.7037037037037035E-4</v>
      </c>
      <c r="FF241" s="10" cm="1">
        <f t="array" aca="1" ref="FF241" ca="1">(1-$B$18)*SUMPRODUCT(OFFSET($BO$15,0,0,$B$14,1), 1*(_xlfn._xlws.FILTER(OFFSET($O$15,0,$DN241,$B$8,1),OFFSET($M$15,0,0,$B$8,1))=FF$13), 1*(_xlfn._xlws.FILTER(OFFSET($O$15,0,$DO241,$B$8,1),OFFSET($M$15,0,0,$B$8,1))=FF$14))   /   SUM(OFFSET($BO$15,0,0,$B$14,1)) + $B$18/($B$19*$B$19*($DN241&lt;&gt;$DO241) + $B$19*($DN241=$DO241))</f>
        <v>3.7037037037037035E-4</v>
      </c>
      <c r="FG241" s="10" cm="1">
        <f t="array" aca="1" ref="FG241" ca="1">(1-$B$18)*SUMPRODUCT(OFFSET($BO$15,0,0,$B$14,1), 1*(_xlfn._xlws.FILTER(OFFSET($O$15,0,$DN241,$B$8,1),OFFSET($M$15,0,0,$B$8,1))=FG$13), 1*(_xlfn._xlws.FILTER(OFFSET($O$15,0,$DO241,$B$8,1),OFFSET($M$15,0,0,$B$8,1))=FG$14))   /   SUM(OFFSET($BO$15,0,0,$B$14,1)) + $B$18/($B$19*$B$19*($DN241&lt;&gt;$DO241) + $B$19*($DN241=$DO241))</f>
        <v>3.7037037037037035E-4</v>
      </c>
      <c r="FH241" s="10" cm="1">
        <f t="array" aca="1" ref="FH241" ca="1">(1-$B$18)*SUMPRODUCT(OFFSET($BO$15,0,0,$B$14,1), 1*(_xlfn._xlws.FILTER(OFFSET($O$15,0,$DN241,$B$8,1),OFFSET($M$15,0,0,$B$8,1))=FH$13), 1*(_xlfn._xlws.FILTER(OFFSET($O$15,0,$DO241,$B$8,1),OFFSET($M$15,0,0,$B$8,1))=FH$14))   /   SUM(OFFSET($BO$15,0,0,$B$14,1)) + $B$18/($B$19*$B$19*($DN241&lt;&gt;$DO241) + $B$19*($DN241=$DO241))</f>
        <v>3.7037037037037035E-4</v>
      </c>
      <c r="FI241" s="10" cm="1">
        <f t="array" aca="1" ref="FI241" ca="1">(1-$B$18)*SUMPRODUCT(OFFSET($BO$15,0,0,$B$14,1), 1*(_xlfn._xlws.FILTER(OFFSET($O$15,0,$DN241,$B$8,1),OFFSET($M$15,0,0,$B$8,1))=FI$13), 1*(_xlfn._xlws.FILTER(OFFSET($O$15,0,$DO241,$B$8,1),OFFSET($M$15,0,0,$B$8,1))=FI$14))   /   SUM(OFFSET($BO$15,0,0,$B$14,1)) + $B$18/($B$19*$B$19*($DN241&lt;&gt;$DO241) + $B$19*($DN241=$DO241))</f>
        <v>3.7037037037037035E-4</v>
      </c>
      <c r="FJ241" s="10" cm="1">
        <f t="array" aca="1" ref="FJ241" ca="1">(1-$B$18)*SUMPRODUCT(OFFSET($BO$15,0,0,$B$14,1), 1*(_xlfn._xlws.FILTER(OFFSET($O$15,0,$DN241,$B$8,1),OFFSET($M$15,0,0,$B$8,1))=FJ$13), 1*(_xlfn._xlws.FILTER(OFFSET($O$15,0,$DO241,$B$8,1),OFFSET($M$15,0,0,$B$8,1))=FJ$14))   /   SUM(OFFSET($BO$15,0,0,$B$14,1)) + $B$18/($B$19*$B$19*($DN241&lt;&gt;$DO241) + $B$19*($DN241=$DO241))</f>
        <v>3.7037037037037035E-4</v>
      </c>
      <c r="FK241" s="10" cm="1">
        <f t="array" aca="1" ref="FK241" ca="1">(1-$B$18)*SUMPRODUCT(OFFSET($BO$15,0,0,$B$14,1), 1*(_xlfn._xlws.FILTER(OFFSET($O$15,0,$DN241,$B$8,1),OFFSET($M$15,0,0,$B$8,1))=FK$13), 1*(_xlfn._xlws.FILTER(OFFSET($O$15,0,$DO241,$B$8,1),OFFSET($M$15,0,0,$B$8,1))=FK$14))   /   SUM(OFFSET($BO$15,0,0,$B$14,1)) + $B$18/($B$19*$B$19*($DN241&lt;&gt;$DO241) + $B$19*($DN241=$DO241))</f>
        <v>3.7037037037037035E-4</v>
      </c>
      <c r="FL241" s="10" cm="1">
        <f t="array" aca="1" ref="FL241" ca="1">(1-$B$18)*SUMPRODUCT(OFFSET($BO$15,0,0,$B$14,1), 1*(_xlfn._xlws.FILTER(OFFSET($O$15,0,$DN241,$B$8,1),OFFSET($M$15,0,0,$B$8,1))=FL$13), 1*(_xlfn._xlws.FILTER(OFFSET($O$15,0,$DO241,$B$8,1),OFFSET($M$15,0,0,$B$8,1))=FL$14))   /   SUM(OFFSET($BO$15,0,0,$B$14,1)) + $B$18/($B$19*$B$19*($DN241&lt;&gt;$DO241) + $B$19*($DN241=$DO241))</f>
        <v>3.7037037037037035E-4</v>
      </c>
      <c r="FM241" s="10" cm="1">
        <f t="array" aca="1" ref="FM241" ca="1">(1-$B$18)*SUMPRODUCT(OFFSET($BO$15,0,0,$B$14,1), 1*(_xlfn._xlws.FILTER(OFFSET($O$15,0,$DN241,$B$8,1),OFFSET($M$15,0,0,$B$8,1))=FM$13), 1*(_xlfn._xlws.FILTER(OFFSET($O$15,0,$DO241,$B$8,1),OFFSET($M$15,0,0,$B$8,1))=FM$14))   /   SUM(OFFSET($BO$15,0,0,$B$14,1)) + $B$18/($B$19*$B$19*($DN241&lt;&gt;$DO241) + $B$19*($DN241=$DO241))</f>
        <v>3.7037037037037035E-4</v>
      </c>
      <c r="FN241" s="10" cm="1">
        <f t="array" aca="1" ref="FN241" ca="1">(1-$B$18)*SUMPRODUCT(OFFSET($BO$15,0,0,$B$14,1), 1*(_xlfn._xlws.FILTER(OFFSET($O$15,0,$DN241,$B$8,1),OFFSET($M$15,0,0,$B$8,1))=FN$13), 1*(_xlfn._xlws.FILTER(OFFSET($O$15,0,$DO241,$B$8,1),OFFSET($M$15,0,0,$B$8,1))=FN$14))   /   SUM(OFFSET($BO$15,0,0,$B$14,1)) + $B$18/($B$19*$B$19*($DN241&lt;&gt;$DO241) + $B$19*($DN241=$DO241))</f>
        <v>3.7037037037037035E-4</v>
      </c>
      <c r="FO241" s="10" cm="1">
        <f t="array" aca="1" ref="FO241" ca="1">(1-$B$18)*SUMPRODUCT(OFFSET($BO$15,0,0,$B$14,1), 1*(_xlfn._xlws.FILTER(OFFSET($O$15,0,$DN241,$B$8,1),OFFSET($M$15,0,0,$B$8,1))=FO$13), 1*(_xlfn._xlws.FILTER(OFFSET($O$15,0,$DO241,$B$8,1),OFFSET($M$15,0,0,$B$8,1))=FO$14))   /   SUM(OFFSET($BO$15,0,0,$B$14,1)) + $B$18/($B$19*$B$19*($DN241&lt;&gt;$DO241) + $B$19*($DN241=$DO241))</f>
        <v>3.7037037037037035E-4</v>
      </c>
      <c r="FP241" s="10" cm="1">
        <f t="array" aca="1" ref="FP241" ca="1">(1-$B$18)*SUMPRODUCT(OFFSET($BO$15,0,0,$B$14,1), 1*(_xlfn._xlws.FILTER(OFFSET($O$15,0,$DN241,$B$8,1),OFFSET($M$15,0,0,$B$8,1))=FP$13), 1*(_xlfn._xlws.FILTER(OFFSET($O$15,0,$DO241,$B$8,1),OFFSET($M$15,0,0,$B$8,1))=FP$14))   /   SUM(OFFSET($BO$15,0,0,$B$14,1)) + $B$18/($B$19*$B$19*($DN241&lt;&gt;$DO241) + $B$19*($DN241=$DO241))</f>
        <v>3.7037037037037035E-4</v>
      </c>
      <c r="FQ241" s="10" cm="1">
        <f t="array" aca="1" ref="FQ241" ca="1">(1-$B$18)*SUMPRODUCT(OFFSET($BO$15,0,0,$B$14,1), 1*(_xlfn._xlws.FILTER(OFFSET($O$15,0,$DN241,$B$8,1),OFFSET($M$15,0,0,$B$8,1))=FQ$13), 1*(_xlfn._xlws.FILTER(OFFSET($O$15,0,$DO241,$B$8,1),OFFSET($M$15,0,0,$B$8,1))=FQ$14))   /   SUM(OFFSET($BO$15,0,0,$B$14,1)) + $B$18/($B$19*$B$19*($DN241&lt;&gt;$DO241) + $B$19*($DN241=$DO241))</f>
        <v>3.7037037037037035E-4</v>
      </c>
      <c r="FR241" s="10" cm="1">
        <f t="array" aca="1" ref="FR241" ca="1">(1-$B$18)*SUMPRODUCT(OFFSET($BO$15,0,0,$B$14,1), 1*(_xlfn._xlws.FILTER(OFFSET($O$15,0,$DN241,$B$8,1),OFFSET($M$15,0,0,$B$8,1))=FR$13), 1*(_xlfn._xlws.FILTER(OFFSET($O$15,0,$DO241,$B$8,1),OFFSET($M$15,0,0,$B$8,1))=FR$14))   /   SUM(OFFSET($BO$15,0,0,$B$14,1)) + $B$18/($B$19*$B$19*($DN241&lt;&gt;$DO241) + $B$19*($DN241=$DO241))</f>
        <v>3.7037037037037035E-4</v>
      </c>
      <c r="FS241" s="10" cm="1">
        <f t="array" aca="1" ref="FS241" ca="1">(1-$B$18)*SUMPRODUCT(OFFSET($BO$15,0,0,$B$14,1), 1*(_xlfn._xlws.FILTER(OFFSET($O$15,0,$DN241,$B$8,1),OFFSET($M$15,0,0,$B$8,1))=FS$13), 1*(_xlfn._xlws.FILTER(OFFSET($O$15,0,$DO241,$B$8,1),OFFSET($M$15,0,0,$B$8,1))=FS$14))   /   SUM(OFFSET($BO$15,0,0,$B$14,1)) + $B$18/($B$19*$B$19*($DN241&lt;&gt;$DO241) + $B$19*($DN241=$DO241))</f>
        <v>3.7037037037037035E-4</v>
      </c>
      <c r="FT241" s="10" cm="1">
        <f t="array" aca="1" ref="FT241" ca="1">(1-$B$18)*SUMPRODUCT(OFFSET($BO$15,0,0,$B$14,1), 1*(_xlfn._xlws.FILTER(OFFSET($O$15,0,$DN241,$B$8,1),OFFSET($M$15,0,0,$B$8,1))=FT$13), 1*(_xlfn._xlws.FILTER(OFFSET($O$15,0,$DO241,$B$8,1),OFFSET($M$15,0,0,$B$8,1))=FT$14))   /   SUM(OFFSET($BO$15,0,0,$B$14,1)) + $B$18/($B$19*$B$19*($DN241&lt;&gt;$DO241) + $B$19*($DN241=$DO241))</f>
        <v>3.7037037037037035E-4</v>
      </c>
      <c r="FU241" s="10" cm="1">
        <f t="array" aca="1" ref="FU241" ca="1">(1-$B$18)*SUMPRODUCT(OFFSET($BO$15,0,0,$B$14,1), 1*(_xlfn._xlws.FILTER(OFFSET($O$15,0,$DN241,$B$8,1),OFFSET($M$15,0,0,$B$8,1))=FU$13), 1*(_xlfn._xlws.FILTER(OFFSET($O$15,0,$DO241,$B$8,1),OFFSET($M$15,0,0,$B$8,1))=FU$14))   /   SUM(OFFSET($BO$15,0,0,$B$14,1)) + $B$18/($B$19*$B$19*($DN241&lt;&gt;$DO241) + $B$19*($DN241=$DO241))</f>
        <v>3.7037037037037035E-4</v>
      </c>
      <c r="FV241" s="10" cm="1">
        <f t="array" aca="1" ref="FV241" ca="1">(1-$B$18)*SUMPRODUCT(OFFSET($BO$15,0,0,$B$14,1), 1*(_xlfn._xlws.FILTER(OFFSET($O$15,0,$DN241,$B$8,1),OFFSET($M$15,0,0,$B$8,1))=FV$13), 1*(_xlfn._xlws.FILTER(OFFSET($O$15,0,$DO241,$B$8,1),OFFSET($M$15,0,0,$B$8,1))=FV$14))   /   SUM(OFFSET($BO$15,0,0,$B$14,1)) + $B$18/($B$19*$B$19*($DN241&lt;&gt;$DO241) + $B$19*($DN241=$DO241))</f>
        <v>3.7037037037037035E-4</v>
      </c>
      <c r="FW241" s="10" cm="1">
        <f t="array" aca="1" ref="FW241" ca="1">(1-$B$18)*SUMPRODUCT(OFFSET($BO$15,0,0,$B$14,1), 1*(_xlfn._xlws.FILTER(OFFSET($O$15,0,$DN241,$B$8,1),OFFSET($M$15,0,0,$B$8,1))=FW$13), 1*(_xlfn._xlws.FILTER(OFFSET($O$15,0,$DO241,$B$8,1),OFFSET($M$15,0,0,$B$8,1))=FW$14))   /   SUM(OFFSET($BO$15,0,0,$B$14,1)) + $B$18/($B$19*$B$19*($DN241&lt;&gt;$DO241) + $B$19*($DN241=$DO241))</f>
        <v>3.7037037037037035E-4</v>
      </c>
      <c r="FX241" s="10" cm="1">
        <f t="array" aca="1" ref="FX241" ca="1">(1-$B$18)*SUMPRODUCT(OFFSET($BO$15,0,0,$B$14,1), 1*(_xlfn._xlws.FILTER(OFFSET($O$15,0,$DN241,$B$8,1),OFFSET($M$15,0,0,$B$8,1))=FX$13), 1*(_xlfn._xlws.FILTER(OFFSET($O$15,0,$DO241,$B$8,1),OFFSET($M$15,0,0,$B$8,1))=FX$14))   /   SUM(OFFSET($BO$15,0,0,$B$14,1)) + $B$18/($B$19*$B$19*($DN241&lt;&gt;$DO241) + $B$19*($DN241=$DO241))</f>
        <v>3.7037037037037035E-4</v>
      </c>
      <c r="FY241" s="10" cm="1">
        <f t="array" aca="1" ref="FY241" ca="1">(1-$B$18)*SUMPRODUCT(OFFSET($BO$15,0,0,$B$14,1), 1*(_xlfn._xlws.FILTER(OFFSET($O$15,0,$DN241,$B$8,1),OFFSET($M$15,0,0,$B$8,1))=FY$13), 1*(_xlfn._xlws.FILTER(OFFSET($O$15,0,$DO241,$B$8,1),OFFSET($M$15,0,0,$B$8,1))=FY$14))   /   SUM(OFFSET($BO$15,0,0,$B$14,1)) + $B$18/($B$19*$B$19*($DN241&lt;&gt;$DO241) + $B$19*($DN241=$DO241))</f>
        <v>3.7037037037037035E-4</v>
      </c>
      <c r="FZ241" s="10" cm="1">
        <f t="array" aca="1" ref="FZ241" ca="1">(1-$B$18)*SUMPRODUCT(OFFSET($BO$15,0,0,$B$14,1), 1*(_xlfn._xlws.FILTER(OFFSET($O$15,0,$DN241,$B$8,1),OFFSET($M$15,0,0,$B$8,1))=FZ$13), 1*(_xlfn._xlws.FILTER(OFFSET($O$15,0,$DO241,$B$8,1),OFFSET($M$15,0,0,$B$8,1))=FZ$14))   /   SUM(OFFSET($BO$15,0,0,$B$14,1)) + $B$18/($B$19*$B$19*($DN241&lt;&gt;$DO241) + $B$19*($DN241=$DO241))</f>
        <v>3.7037037037037035E-4</v>
      </c>
      <c r="GA241" s="10" cm="1">
        <f t="array" aca="1" ref="GA241" ca="1">(1-$B$18)*SUMPRODUCT(OFFSET($BO$15,0,0,$B$14,1), 1*(_xlfn._xlws.FILTER(OFFSET($O$15,0,$DN241,$B$8,1),OFFSET($M$15,0,0,$B$8,1))=GA$13), 1*(_xlfn._xlws.FILTER(OFFSET($O$15,0,$DO241,$B$8,1),OFFSET($M$15,0,0,$B$8,1))=GA$14))   /   SUM(OFFSET($BO$15,0,0,$B$14,1)) + $B$18/($B$19*$B$19*($DN241&lt;&gt;$DO241) + $B$19*($DN241=$DO241))</f>
        <v>3.7037037037037035E-4</v>
      </c>
    </row>
    <row r="242" spans="118:183" x14ac:dyDescent="0.2">
      <c r="DN242" cm="1">
        <f t="array" aca="1" ref="DN242" ca="1">INDEX(_xlfn.ANCHORARRAY($CP$15), 1 + INT((ROWS($DO$15:$DO242) - 1) / ROWS(_xlfn.ANCHORARRAY($CP$15))))</f>
        <v>12</v>
      </c>
      <c r="DO242" cm="1">
        <f t="array" aca="1" ref="DO242" ca="1">INDEX(_xlfn.ANCHORARRAY($CP$15),1+MOD(ROWS($DO$15:$DO242)-1,ROWS(_xlfn.ANCHORARRAY($CP$15))))</f>
        <v>21</v>
      </c>
      <c r="DP242" s="10" cm="1">
        <f t="array" aca="1" ref="DP242" ca="1">(1-$B$18)*SUMPRODUCT(OFFSET($BO$15,0,0,$B$14,1), 1*(_xlfn._xlws.FILTER(OFFSET($O$15,0,$DN242,$B$8,1),OFFSET($M$15,0,0,$B$8,1))=DP$13), 1*(_xlfn._xlws.FILTER(OFFSET($O$15,0,$DO242,$B$8,1),OFFSET($M$15,0,0,$B$8,1))=DP$14))   /   SUM(OFFSET($BO$15,0,0,$B$14,1)) + $B$18/($B$19*$B$19*($DN242&lt;&gt;$DO242) + $B$19*($DN242=$DO242))</f>
        <v>3.7037037037037035E-4</v>
      </c>
      <c r="DQ242" s="10" cm="1">
        <f t="array" aca="1" ref="DQ242" ca="1">(1-$B$18)*SUMPRODUCT(OFFSET($BO$15,0,0,$B$14,1), 1*(_xlfn._xlws.FILTER(OFFSET($O$15,0,$DN242,$B$8,1),OFFSET($M$15,0,0,$B$8,1))=DQ$13), 1*(_xlfn._xlws.FILTER(OFFSET($O$15,0,$DO242,$B$8,1),OFFSET($M$15,0,0,$B$8,1))=DQ$14))   /   SUM(OFFSET($BO$15,0,0,$B$14,1)) + $B$18/($B$19*$B$19*($DN242&lt;&gt;$DO242) + $B$19*($DN242=$DO242))</f>
        <v>3.7037037037037035E-4</v>
      </c>
      <c r="DR242" s="10" cm="1">
        <f t="array" aca="1" ref="DR242" ca="1">(1-$B$18)*SUMPRODUCT(OFFSET($BO$15,0,0,$B$14,1), 1*(_xlfn._xlws.FILTER(OFFSET($O$15,0,$DN242,$B$8,1),OFFSET($M$15,0,0,$B$8,1))=DR$13), 1*(_xlfn._xlws.FILTER(OFFSET($O$15,0,$DO242,$B$8,1),OFFSET($M$15,0,0,$B$8,1))=DR$14))   /   SUM(OFFSET($BO$15,0,0,$B$14,1)) + $B$18/($B$19*$B$19*($DN242&lt;&gt;$DO242) + $B$19*($DN242=$DO242))</f>
        <v>3.7037037037037035E-4</v>
      </c>
      <c r="DS242" s="10" cm="1">
        <f t="array" aca="1" ref="DS242" ca="1">(1-$B$18)*SUMPRODUCT(OFFSET($BO$15,0,0,$B$14,1), 1*(_xlfn._xlws.FILTER(OFFSET($O$15,0,$DN242,$B$8,1),OFFSET($M$15,0,0,$B$8,1))=DS$13), 1*(_xlfn._xlws.FILTER(OFFSET($O$15,0,$DO242,$B$8,1),OFFSET($M$15,0,0,$B$8,1))=DS$14))   /   SUM(OFFSET($BO$15,0,0,$B$14,1)) + $B$18/($B$19*$B$19*($DN242&lt;&gt;$DO242) + $B$19*($DN242=$DO242))</f>
        <v>3.7037037037037035E-4</v>
      </c>
      <c r="DT242" s="10" cm="1">
        <f t="array" aca="1" ref="DT242" ca="1">(1-$B$18)*SUMPRODUCT(OFFSET($BO$15,0,0,$B$14,1), 1*(_xlfn._xlws.FILTER(OFFSET($O$15,0,$DN242,$B$8,1),OFFSET($M$15,0,0,$B$8,1))=DT$13), 1*(_xlfn._xlws.FILTER(OFFSET($O$15,0,$DO242,$B$8,1),OFFSET($M$15,0,0,$B$8,1))=DT$14))   /   SUM(OFFSET($BO$15,0,0,$B$14,1)) + $B$18/($B$19*$B$19*($DN242&lt;&gt;$DO242) + $B$19*($DN242=$DO242))</f>
        <v>3.7037037037037035E-4</v>
      </c>
      <c r="DU242" s="10" cm="1">
        <f t="array" aca="1" ref="DU242" ca="1">(1-$B$18)*SUMPRODUCT(OFFSET($BO$15,0,0,$B$14,1), 1*(_xlfn._xlws.FILTER(OFFSET($O$15,0,$DN242,$B$8,1),OFFSET($M$15,0,0,$B$8,1))=DU$13), 1*(_xlfn._xlws.FILTER(OFFSET($O$15,0,$DO242,$B$8,1),OFFSET($M$15,0,0,$B$8,1))=DU$14))   /   SUM(OFFSET($BO$15,0,0,$B$14,1)) + $B$18/($B$19*$B$19*($DN242&lt;&gt;$DO242) + $B$19*($DN242=$DO242))</f>
        <v>3.7037037037037035E-4</v>
      </c>
      <c r="DV242" s="10" cm="1">
        <f t="array" aca="1" ref="DV242" ca="1">(1-$B$18)*SUMPRODUCT(OFFSET($BO$15,0,0,$B$14,1), 1*(_xlfn._xlws.FILTER(OFFSET($O$15,0,$DN242,$B$8,1),OFFSET($M$15,0,0,$B$8,1))=DV$13), 1*(_xlfn._xlws.FILTER(OFFSET($O$15,0,$DO242,$B$8,1),OFFSET($M$15,0,0,$B$8,1))=DV$14))   /   SUM(OFFSET($BO$15,0,0,$B$14,1)) + $B$18/($B$19*$B$19*($DN242&lt;&gt;$DO242) + $B$19*($DN242=$DO242))</f>
        <v>3.7037037037037035E-4</v>
      </c>
      <c r="DW242" s="10" cm="1">
        <f t="array" aca="1" ref="DW242" ca="1">(1-$B$18)*SUMPRODUCT(OFFSET($BO$15,0,0,$B$14,1), 1*(_xlfn._xlws.FILTER(OFFSET($O$15,0,$DN242,$B$8,1),OFFSET($M$15,0,0,$B$8,1))=DW$13), 1*(_xlfn._xlws.FILTER(OFFSET($O$15,0,$DO242,$B$8,1),OFFSET($M$15,0,0,$B$8,1))=DW$14))   /   SUM(OFFSET($BO$15,0,0,$B$14,1)) + $B$18/($B$19*$B$19*($DN242&lt;&gt;$DO242) + $B$19*($DN242=$DO242))</f>
        <v>3.7037037037037035E-4</v>
      </c>
      <c r="DX242" s="10" cm="1">
        <f t="array" aca="1" ref="DX242" ca="1">(1-$B$18)*SUMPRODUCT(OFFSET($BO$15,0,0,$B$14,1), 1*(_xlfn._xlws.FILTER(OFFSET($O$15,0,$DN242,$B$8,1),OFFSET($M$15,0,0,$B$8,1))=DX$13), 1*(_xlfn._xlws.FILTER(OFFSET($O$15,0,$DO242,$B$8,1),OFFSET($M$15,0,0,$B$8,1))=DX$14))   /   SUM(OFFSET($BO$15,0,0,$B$14,1)) + $B$18/($B$19*$B$19*($DN242&lt;&gt;$DO242) + $B$19*($DN242=$DO242))</f>
        <v>3.7037037037037035E-4</v>
      </c>
      <c r="DY242" s="10" cm="1">
        <f t="array" aca="1" ref="DY242" ca="1">(1-$B$18)*SUMPRODUCT(OFFSET($BO$15,0,0,$B$14,1), 1*(_xlfn._xlws.FILTER(OFFSET($O$15,0,$DN242,$B$8,1),OFFSET($M$15,0,0,$B$8,1))=DY$13), 1*(_xlfn._xlws.FILTER(OFFSET($O$15,0,$DO242,$B$8,1),OFFSET($M$15,0,0,$B$8,1))=DY$14))   /   SUM(OFFSET($BO$15,0,0,$B$14,1)) + $B$18/($B$19*$B$19*($DN242&lt;&gt;$DO242) + $B$19*($DN242=$DO242))</f>
        <v>3.7037037037037035E-4</v>
      </c>
      <c r="DZ242" s="10" cm="1">
        <f t="array" aca="1" ref="DZ242" ca="1">(1-$B$18)*SUMPRODUCT(OFFSET($BO$15,0,0,$B$14,1), 1*(_xlfn._xlws.FILTER(OFFSET($O$15,0,$DN242,$B$8,1),OFFSET($M$15,0,0,$B$8,1))=DZ$13), 1*(_xlfn._xlws.FILTER(OFFSET($O$15,0,$DO242,$B$8,1),OFFSET($M$15,0,0,$B$8,1))=DZ$14))   /   SUM(OFFSET($BO$15,0,0,$B$14,1)) + $B$18/($B$19*$B$19*($DN242&lt;&gt;$DO242) + $B$19*($DN242=$DO242))</f>
        <v>3.7037037037037035E-4</v>
      </c>
      <c r="EA242" s="10" cm="1">
        <f t="array" aca="1" ref="EA242" ca="1">(1-$B$18)*SUMPRODUCT(OFFSET($BO$15,0,0,$B$14,1), 1*(_xlfn._xlws.FILTER(OFFSET($O$15,0,$DN242,$B$8,1),OFFSET($M$15,0,0,$B$8,1))=EA$13), 1*(_xlfn._xlws.FILTER(OFFSET($O$15,0,$DO242,$B$8,1),OFFSET($M$15,0,0,$B$8,1))=EA$14))   /   SUM(OFFSET($BO$15,0,0,$B$14,1)) + $B$18/($B$19*$B$19*($DN242&lt;&gt;$DO242) + $B$19*($DN242=$DO242))</f>
        <v>3.7037037037037035E-4</v>
      </c>
      <c r="EB242" s="10" cm="1">
        <f t="array" aca="1" ref="EB242" ca="1">(1-$B$18)*SUMPRODUCT(OFFSET($BO$15,0,0,$B$14,1), 1*(_xlfn._xlws.FILTER(OFFSET($O$15,0,$DN242,$B$8,1),OFFSET($M$15,0,0,$B$8,1))=EB$13), 1*(_xlfn._xlws.FILTER(OFFSET($O$15,0,$DO242,$B$8,1),OFFSET($M$15,0,0,$B$8,1))=EB$14))   /   SUM(OFFSET($BO$15,0,0,$B$14,1)) + $B$18/($B$19*$B$19*($DN242&lt;&gt;$DO242) + $B$19*($DN242=$DO242))</f>
        <v>0.24287037037037024</v>
      </c>
      <c r="EC242" s="10" cm="1">
        <f t="array" aca="1" ref="EC242" ca="1">(1-$B$18)*SUMPRODUCT(OFFSET($BO$15,0,0,$B$14,1), 1*(_xlfn._xlws.FILTER(OFFSET($O$15,0,$DN242,$B$8,1),OFFSET($M$15,0,0,$B$8,1))=EC$13), 1*(_xlfn._xlws.FILTER(OFFSET($O$15,0,$DO242,$B$8,1),OFFSET($M$15,0,0,$B$8,1))=EC$14))   /   SUM(OFFSET($BO$15,0,0,$B$14,1)) + $B$18/($B$19*$B$19*($DN242&lt;&gt;$DO242) + $B$19*($DN242=$DO242))</f>
        <v>0.48537037037037012</v>
      </c>
      <c r="ED242" s="10" cm="1">
        <f t="array" aca="1" ref="ED242" ca="1">(1-$B$18)*SUMPRODUCT(OFFSET($BO$15,0,0,$B$14,1), 1*(_xlfn._xlws.FILTER(OFFSET($O$15,0,$DN242,$B$8,1),OFFSET($M$15,0,0,$B$8,1))=ED$13), 1*(_xlfn._xlws.FILTER(OFFSET($O$15,0,$DO242,$B$8,1),OFFSET($M$15,0,0,$B$8,1))=ED$14))   /   SUM(OFFSET($BO$15,0,0,$B$14,1)) + $B$18/($B$19*$B$19*($DN242&lt;&gt;$DO242) + $B$19*($DN242=$DO242))</f>
        <v>0.24287037037037026</v>
      </c>
      <c r="EE242" s="10" cm="1">
        <f t="array" aca="1" ref="EE242" ca="1">(1-$B$18)*SUMPRODUCT(OFFSET($BO$15,0,0,$B$14,1), 1*(_xlfn._xlws.FILTER(OFFSET($O$15,0,$DN242,$B$8,1),OFFSET($M$15,0,0,$B$8,1))=EE$13), 1*(_xlfn._xlws.FILTER(OFFSET($O$15,0,$DO242,$B$8,1),OFFSET($M$15,0,0,$B$8,1))=EE$14))   /   SUM(OFFSET($BO$15,0,0,$B$14,1)) + $B$18/($B$19*$B$19*($DN242&lt;&gt;$DO242) + $B$19*($DN242=$DO242))</f>
        <v>3.7037037037037035E-4</v>
      </c>
      <c r="EF242" s="10" cm="1">
        <f t="array" aca="1" ref="EF242" ca="1">(1-$B$18)*SUMPRODUCT(OFFSET($BO$15,0,0,$B$14,1), 1*(_xlfn._xlws.FILTER(OFFSET($O$15,0,$DN242,$B$8,1),OFFSET($M$15,0,0,$B$8,1))=EF$13), 1*(_xlfn._xlws.FILTER(OFFSET($O$15,0,$DO242,$B$8,1),OFFSET($M$15,0,0,$B$8,1))=EF$14))   /   SUM(OFFSET($BO$15,0,0,$B$14,1)) + $B$18/($B$19*$B$19*($DN242&lt;&gt;$DO242) + $B$19*($DN242=$DO242))</f>
        <v>3.7037037037037035E-4</v>
      </c>
      <c r="EG242" s="10" cm="1">
        <f t="array" aca="1" ref="EG242" ca="1">(1-$B$18)*SUMPRODUCT(OFFSET($BO$15,0,0,$B$14,1), 1*(_xlfn._xlws.FILTER(OFFSET($O$15,0,$DN242,$B$8,1),OFFSET($M$15,0,0,$B$8,1))=EG$13), 1*(_xlfn._xlws.FILTER(OFFSET($O$15,0,$DO242,$B$8,1),OFFSET($M$15,0,0,$B$8,1))=EG$14))   /   SUM(OFFSET($BO$15,0,0,$B$14,1)) + $B$18/($B$19*$B$19*($DN242&lt;&gt;$DO242) + $B$19*($DN242=$DO242))</f>
        <v>3.7037037037037035E-4</v>
      </c>
      <c r="EH242" s="10" cm="1">
        <f t="array" aca="1" ref="EH242" ca="1">(1-$B$18)*SUMPRODUCT(OFFSET($BO$15,0,0,$B$14,1), 1*(_xlfn._xlws.FILTER(OFFSET($O$15,0,$DN242,$B$8,1),OFFSET($M$15,0,0,$B$8,1))=EH$13), 1*(_xlfn._xlws.FILTER(OFFSET($O$15,0,$DO242,$B$8,1),OFFSET($M$15,0,0,$B$8,1))=EH$14))   /   SUM(OFFSET($BO$15,0,0,$B$14,1)) + $B$18/($B$19*$B$19*($DN242&lt;&gt;$DO242) + $B$19*($DN242=$DO242))</f>
        <v>3.7037037037037035E-4</v>
      </c>
      <c r="EI242" s="10" cm="1">
        <f t="array" aca="1" ref="EI242" ca="1">(1-$B$18)*SUMPRODUCT(OFFSET($BO$15,0,0,$B$14,1), 1*(_xlfn._xlws.FILTER(OFFSET($O$15,0,$DN242,$B$8,1),OFFSET($M$15,0,0,$B$8,1))=EI$13), 1*(_xlfn._xlws.FILTER(OFFSET($O$15,0,$DO242,$B$8,1),OFFSET($M$15,0,0,$B$8,1))=EI$14))   /   SUM(OFFSET($BO$15,0,0,$B$14,1)) + $B$18/($B$19*$B$19*($DN242&lt;&gt;$DO242) + $B$19*($DN242=$DO242))</f>
        <v>3.7037037037037035E-4</v>
      </c>
      <c r="EJ242" s="10" cm="1">
        <f t="array" aca="1" ref="EJ242" ca="1">(1-$B$18)*SUMPRODUCT(OFFSET($BO$15,0,0,$B$14,1), 1*(_xlfn._xlws.FILTER(OFFSET($O$15,0,$DN242,$B$8,1),OFFSET($M$15,0,0,$B$8,1))=EJ$13), 1*(_xlfn._xlws.FILTER(OFFSET($O$15,0,$DO242,$B$8,1),OFFSET($M$15,0,0,$B$8,1))=EJ$14))   /   SUM(OFFSET($BO$15,0,0,$B$14,1)) + $B$18/($B$19*$B$19*($DN242&lt;&gt;$DO242) + $B$19*($DN242=$DO242))</f>
        <v>3.7037037037037035E-4</v>
      </c>
      <c r="EK242" s="10" cm="1">
        <f t="array" aca="1" ref="EK242" ca="1">(1-$B$18)*SUMPRODUCT(OFFSET($BO$15,0,0,$B$14,1), 1*(_xlfn._xlws.FILTER(OFFSET($O$15,0,$DN242,$B$8,1),OFFSET($M$15,0,0,$B$8,1))=EK$13), 1*(_xlfn._xlws.FILTER(OFFSET($O$15,0,$DO242,$B$8,1),OFFSET($M$15,0,0,$B$8,1))=EK$14))   /   SUM(OFFSET($BO$15,0,0,$B$14,1)) + $B$18/($B$19*$B$19*($DN242&lt;&gt;$DO242) + $B$19*($DN242=$DO242))</f>
        <v>3.7037037037037035E-4</v>
      </c>
      <c r="EL242" s="10" cm="1">
        <f t="array" aca="1" ref="EL242" ca="1">(1-$B$18)*SUMPRODUCT(OFFSET($BO$15,0,0,$B$14,1), 1*(_xlfn._xlws.FILTER(OFFSET($O$15,0,$DN242,$B$8,1),OFFSET($M$15,0,0,$B$8,1))=EL$13), 1*(_xlfn._xlws.FILTER(OFFSET($O$15,0,$DO242,$B$8,1),OFFSET($M$15,0,0,$B$8,1))=EL$14))   /   SUM(OFFSET($BO$15,0,0,$B$14,1)) + $B$18/($B$19*$B$19*($DN242&lt;&gt;$DO242) + $B$19*($DN242=$DO242))</f>
        <v>3.7037037037037035E-4</v>
      </c>
      <c r="EM242" s="10" cm="1">
        <f t="array" aca="1" ref="EM242" ca="1">(1-$B$18)*SUMPRODUCT(OFFSET($BO$15,0,0,$B$14,1), 1*(_xlfn._xlws.FILTER(OFFSET($O$15,0,$DN242,$B$8,1),OFFSET($M$15,0,0,$B$8,1))=EM$13), 1*(_xlfn._xlws.FILTER(OFFSET($O$15,0,$DO242,$B$8,1),OFFSET($M$15,0,0,$B$8,1))=EM$14))   /   SUM(OFFSET($BO$15,0,0,$B$14,1)) + $B$18/($B$19*$B$19*($DN242&lt;&gt;$DO242) + $B$19*($DN242=$DO242))</f>
        <v>3.7037037037037035E-4</v>
      </c>
      <c r="EN242" s="10" cm="1">
        <f t="array" aca="1" ref="EN242" ca="1">(1-$B$18)*SUMPRODUCT(OFFSET($BO$15,0,0,$B$14,1), 1*(_xlfn._xlws.FILTER(OFFSET($O$15,0,$DN242,$B$8,1),OFFSET($M$15,0,0,$B$8,1))=EN$13), 1*(_xlfn._xlws.FILTER(OFFSET($O$15,0,$DO242,$B$8,1),OFFSET($M$15,0,0,$B$8,1))=EN$14))   /   SUM(OFFSET($BO$15,0,0,$B$14,1)) + $B$18/($B$19*$B$19*($DN242&lt;&gt;$DO242) + $B$19*($DN242=$DO242))</f>
        <v>3.7037037037037035E-4</v>
      </c>
      <c r="EO242" s="10" cm="1">
        <f t="array" aca="1" ref="EO242" ca="1">(1-$B$18)*SUMPRODUCT(OFFSET($BO$15,0,0,$B$14,1), 1*(_xlfn._xlws.FILTER(OFFSET($O$15,0,$DN242,$B$8,1),OFFSET($M$15,0,0,$B$8,1))=EO$13), 1*(_xlfn._xlws.FILTER(OFFSET($O$15,0,$DO242,$B$8,1),OFFSET($M$15,0,0,$B$8,1))=EO$14))   /   SUM(OFFSET($BO$15,0,0,$B$14,1)) + $B$18/($B$19*$B$19*($DN242&lt;&gt;$DO242) + $B$19*($DN242=$DO242))</f>
        <v>3.7037037037037035E-4</v>
      </c>
      <c r="EP242" s="10" cm="1">
        <f t="array" aca="1" ref="EP242" ca="1">(1-$B$18)*SUMPRODUCT(OFFSET($BO$15,0,0,$B$14,1), 1*(_xlfn._xlws.FILTER(OFFSET($O$15,0,$DN242,$B$8,1),OFFSET($M$15,0,0,$B$8,1))=EP$13), 1*(_xlfn._xlws.FILTER(OFFSET($O$15,0,$DO242,$B$8,1),OFFSET($M$15,0,0,$B$8,1))=EP$14))   /   SUM(OFFSET($BO$15,0,0,$B$14,1)) + $B$18/($B$19*$B$19*($DN242&lt;&gt;$DO242) + $B$19*($DN242=$DO242))</f>
        <v>3.7037037037037035E-4</v>
      </c>
      <c r="EQ242" s="10" cm="1">
        <f t="array" aca="1" ref="EQ242" ca="1">(1-$B$18)*SUMPRODUCT(OFFSET($BO$15,0,0,$B$14,1), 1*(_xlfn._xlws.FILTER(OFFSET($O$15,0,$DN242,$B$8,1),OFFSET($M$15,0,0,$B$8,1))=EQ$13), 1*(_xlfn._xlws.FILTER(OFFSET($O$15,0,$DO242,$B$8,1),OFFSET($M$15,0,0,$B$8,1))=EQ$14))   /   SUM(OFFSET($BO$15,0,0,$B$14,1)) + $B$18/($B$19*$B$19*($DN242&lt;&gt;$DO242) + $B$19*($DN242=$DO242))</f>
        <v>3.7037037037037035E-4</v>
      </c>
      <c r="ER242" s="10" cm="1">
        <f t="array" aca="1" ref="ER242" ca="1">(1-$B$18)*SUMPRODUCT(OFFSET($BO$15,0,0,$B$14,1), 1*(_xlfn._xlws.FILTER(OFFSET($O$15,0,$DN242,$B$8,1),OFFSET($M$15,0,0,$B$8,1))=ER$13), 1*(_xlfn._xlws.FILTER(OFFSET($O$15,0,$DO242,$B$8,1),OFFSET($M$15,0,0,$B$8,1))=ER$14))   /   SUM(OFFSET($BO$15,0,0,$B$14,1)) + $B$18/($B$19*$B$19*($DN242&lt;&gt;$DO242) + $B$19*($DN242=$DO242))</f>
        <v>3.7037037037037035E-4</v>
      </c>
      <c r="ES242" s="10" cm="1">
        <f t="array" aca="1" ref="ES242" ca="1">(1-$B$18)*SUMPRODUCT(OFFSET($BO$15,0,0,$B$14,1), 1*(_xlfn._xlws.FILTER(OFFSET($O$15,0,$DN242,$B$8,1),OFFSET($M$15,0,0,$B$8,1))=ES$13), 1*(_xlfn._xlws.FILTER(OFFSET($O$15,0,$DO242,$B$8,1),OFFSET($M$15,0,0,$B$8,1))=ES$14))   /   SUM(OFFSET($BO$15,0,0,$B$14,1)) + $B$18/($B$19*$B$19*($DN242&lt;&gt;$DO242) + $B$19*($DN242=$DO242))</f>
        <v>3.7037037037037035E-4</v>
      </c>
      <c r="ET242" s="10" cm="1">
        <f t="array" aca="1" ref="ET242" ca="1">(1-$B$18)*SUMPRODUCT(OFFSET($BO$15,0,0,$B$14,1), 1*(_xlfn._xlws.FILTER(OFFSET($O$15,0,$DN242,$B$8,1),OFFSET($M$15,0,0,$B$8,1))=ET$13), 1*(_xlfn._xlws.FILTER(OFFSET($O$15,0,$DO242,$B$8,1),OFFSET($M$15,0,0,$B$8,1))=ET$14))   /   SUM(OFFSET($BO$15,0,0,$B$14,1)) + $B$18/($B$19*$B$19*($DN242&lt;&gt;$DO242) + $B$19*($DN242=$DO242))</f>
        <v>3.7037037037037035E-4</v>
      </c>
      <c r="EU242" s="10" cm="1">
        <f t="array" aca="1" ref="EU242" ca="1">(1-$B$18)*SUMPRODUCT(OFFSET($BO$15,0,0,$B$14,1), 1*(_xlfn._xlws.FILTER(OFFSET($O$15,0,$DN242,$B$8,1),OFFSET($M$15,0,0,$B$8,1))=EU$13), 1*(_xlfn._xlws.FILTER(OFFSET($O$15,0,$DO242,$B$8,1),OFFSET($M$15,0,0,$B$8,1))=EU$14))   /   SUM(OFFSET($BO$15,0,0,$B$14,1)) + $B$18/($B$19*$B$19*($DN242&lt;&gt;$DO242) + $B$19*($DN242=$DO242))</f>
        <v>3.7037037037037035E-4</v>
      </c>
      <c r="EV242" s="10" cm="1">
        <f t="array" aca="1" ref="EV242" ca="1">(1-$B$18)*SUMPRODUCT(OFFSET($BO$15,0,0,$B$14,1), 1*(_xlfn._xlws.FILTER(OFFSET($O$15,0,$DN242,$B$8,1),OFFSET($M$15,0,0,$B$8,1))=EV$13), 1*(_xlfn._xlws.FILTER(OFFSET($O$15,0,$DO242,$B$8,1),OFFSET($M$15,0,0,$B$8,1))=EV$14))   /   SUM(OFFSET($BO$15,0,0,$B$14,1)) + $B$18/($B$19*$B$19*($DN242&lt;&gt;$DO242) + $B$19*($DN242=$DO242))</f>
        <v>3.7037037037037035E-4</v>
      </c>
      <c r="EW242" s="10" cm="1">
        <f t="array" aca="1" ref="EW242" ca="1">(1-$B$18)*SUMPRODUCT(OFFSET($BO$15,0,0,$B$14,1), 1*(_xlfn._xlws.FILTER(OFFSET($O$15,0,$DN242,$B$8,1),OFFSET($M$15,0,0,$B$8,1))=EW$13), 1*(_xlfn._xlws.FILTER(OFFSET($O$15,0,$DO242,$B$8,1),OFFSET($M$15,0,0,$B$8,1))=EW$14))   /   SUM(OFFSET($BO$15,0,0,$B$14,1)) + $B$18/($B$19*$B$19*($DN242&lt;&gt;$DO242) + $B$19*($DN242=$DO242))</f>
        <v>3.7037037037037035E-4</v>
      </c>
      <c r="EX242" s="10" cm="1">
        <f t="array" aca="1" ref="EX242" ca="1">(1-$B$18)*SUMPRODUCT(OFFSET($BO$15,0,0,$B$14,1), 1*(_xlfn._xlws.FILTER(OFFSET($O$15,0,$DN242,$B$8,1),OFFSET($M$15,0,0,$B$8,1))=EX$13), 1*(_xlfn._xlws.FILTER(OFFSET($O$15,0,$DO242,$B$8,1),OFFSET($M$15,0,0,$B$8,1))=EX$14))   /   SUM(OFFSET($BO$15,0,0,$B$14,1)) + $B$18/($B$19*$B$19*($DN242&lt;&gt;$DO242) + $B$19*($DN242=$DO242))</f>
        <v>3.7037037037037035E-4</v>
      </c>
      <c r="EY242" s="10" cm="1">
        <f t="array" aca="1" ref="EY242" ca="1">(1-$B$18)*SUMPRODUCT(OFFSET($BO$15,0,0,$B$14,1), 1*(_xlfn._xlws.FILTER(OFFSET($O$15,0,$DN242,$B$8,1),OFFSET($M$15,0,0,$B$8,1))=EY$13), 1*(_xlfn._xlws.FILTER(OFFSET($O$15,0,$DO242,$B$8,1),OFFSET($M$15,0,0,$B$8,1))=EY$14))   /   SUM(OFFSET($BO$15,0,0,$B$14,1)) + $B$18/($B$19*$B$19*($DN242&lt;&gt;$DO242) + $B$19*($DN242=$DO242))</f>
        <v>3.7037037037037035E-4</v>
      </c>
      <c r="EZ242" s="10" cm="1">
        <f t="array" aca="1" ref="EZ242" ca="1">(1-$B$18)*SUMPRODUCT(OFFSET($BO$15,0,0,$B$14,1), 1*(_xlfn._xlws.FILTER(OFFSET($O$15,0,$DN242,$B$8,1),OFFSET($M$15,0,0,$B$8,1))=EZ$13), 1*(_xlfn._xlws.FILTER(OFFSET($O$15,0,$DO242,$B$8,1),OFFSET($M$15,0,0,$B$8,1))=EZ$14))   /   SUM(OFFSET($BO$15,0,0,$B$14,1)) + $B$18/($B$19*$B$19*($DN242&lt;&gt;$DO242) + $B$19*($DN242=$DO242))</f>
        <v>3.7037037037037035E-4</v>
      </c>
      <c r="FA242" s="10" cm="1">
        <f t="array" aca="1" ref="FA242" ca="1">(1-$B$18)*SUMPRODUCT(OFFSET($BO$15,0,0,$B$14,1), 1*(_xlfn._xlws.FILTER(OFFSET($O$15,0,$DN242,$B$8,1),OFFSET($M$15,0,0,$B$8,1))=FA$13), 1*(_xlfn._xlws.FILTER(OFFSET($O$15,0,$DO242,$B$8,1),OFFSET($M$15,0,0,$B$8,1))=FA$14))   /   SUM(OFFSET($BO$15,0,0,$B$14,1)) + $B$18/($B$19*$B$19*($DN242&lt;&gt;$DO242) + $B$19*($DN242=$DO242))</f>
        <v>3.7037037037037035E-4</v>
      </c>
      <c r="FB242" s="10" cm="1">
        <f t="array" aca="1" ref="FB242" ca="1">(1-$B$18)*SUMPRODUCT(OFFSET($BO$15,0,0,$B$14,1), 1*(_xlfn._xlws.FILTER(OFFSET($O$15,0,$DN242,$B$8,1),OFFSET($M$15,0,0,$B$8,1))=FB$13), 1*(_xlfn._xlws.FILTER(OFFSET($O$15,0,$DO242,$B$8,1),OFFSET($M$15,0,0,$B$8,1))=FB$14))   /   SUM(OFFSET($BO$15,0,0,$B$14,1)) + $B$18/($B$19*$B$19*($DN242&lt;&gt;$DO242) + $B$19*($DN242=$DO242))</f>
        <v>3.7037037037037035E-4</v>
      </c>
      <c r="FC242" s="10" cm="1">
        <f t="array" aca="1" ref="FC242" ca="1">(1-$B$18)*SUMPRODUCT(OFFSET($BO$15,0,0,$B$14,1), 1*(_xlfn._xlws.FILTER(OFFSET($O$15,0,$DN242,$B$8,1),OFFSET($M$15,0,0,$B$8,1))=FC$13), 1*(_xlfn._xlws.FILTER(OFFSET($O$15,0,$DO242,$B$8,1),OFFSET($M$15,0,0,$B$8,1))=FC$14))   /   SUM(OFFSET($BO$15,0,0,$B$14,1)) + $B$18/($B$19*$B$19*($DN242&lt;&gt;$DO242) + $B$19*($DN242=$DO242))</f>
        <v>3.7037037037037035E-4</v>
      </c>
      <c r="FD242" s="10" cm="1">
        <f t="array" aca="1" ref="FD242" ca="1">(1-$B$18)*SUMPRODUCT(OFFSET($BO$15,0,0,$B$14,1), 1*(_xlfn._xlws.FILTER(OFFSET($O$15,0,$DN242,$B$8,1),OFFSET($M$15,0,0,$B$8,1))=FD$13), 1*(_xlfn._xlws.FILTER(OFFSET($O$15,0,$DO242,$B$8,1),OFFSET($M$15,0,0,$B$8,1))=FD$14))   /   SUM(OFFSET($BO$15,0,0,$B$14,1)) + $B$18/($B$19*$B$19*($DN242&lt;&gt;$DO242) + $B$19*($DN242=$DO242))</f>
        <v>3.7037037037037035E-4</v>
      </c>
      <c r="FE242" s="10" cm="1">
        <f t="array" aca="1" ref="FE242" ca="1">(1-$B$18)*SUMPRODUCT(OFFSET($BO$15,0,0,$B$14,1), 1*(_xlfn._xlws.FILTER(OFFSET($O$15,0,$DN242,$B$8,1),OFFSET($M$15,0,0,$B$8,1))=FE$13), 1*(_xlfn._xlws.FILTER(OFFSET($O$15,0,$DO242,$B$8,1),OFFSET($M$15,0,0,$B$8,1))=FE$14))   /   SUM(OFFSET($BO$15,0,0,$B$14,1)) + $B$18/($B$19*$B$19*($DN242&lt;&gt;$DO242) + $B$19*($DN242=$DO242))</f>
        <v>3.7037037037037035E-4</v>
      </c>
      <c r="FF242" s="10" cm="1">
        <f t="array" aca="1" ref="FF242" ca="1">(1-$B$18)*SUMPRODUCT(OFFSET($BO$15,0,0,$B$14,1), 1*(_xlfn._xlws.FILTER(OFFSET($O$15,0,$DN242,$B$8,1),OFFSET($M$15,0,0,$B$8,1))=FF$13), 1*(_xlfn._xlws.FILTER(OFFSET($O$15,0,$DO242,$B$8,1),OFFSET($M$15,0,0,$B$8,1))=FF$14))   /   SUM(OFFSET($BO$15,0,0,$B$14,1)) + $B$18/($B$19*$B$19*($DN242&lt;&gt;$DO242) + $B$19*($DN242=$DO242))</f>
        <v>3.7037037037037035E-4</v>
      </c>
      <c r="FG242" s="10" cm="1">
        <f t="array" aca="1" ref="FG242" ca="1">(1-$B$18)*SUMPRODUCT(OFFSET($BO$15,0,0,$B$14,1), 1*(_xlfn._xlws.FILTER(OFFSET($O$15,0,$DN242,$B$8,1),OFFSET($M$15,0,0,$B$8,1))=FG$13), 1*(_xlfn._xlws.FILTER(OFFSET($O$15,0,$DO242,$B$8,1),OFFSET($M$15,0,0,$B$8,1))=FG$14))   /   SUM(OFFSET($BO$15,0,0,$B$14,1)) + $B$18/($B$19*$B$19*($DN242&lt;&gt;$DO242) + $B$19*($DN242=$DO242))</f>
        <v>3.7037037037037035E-4</v>
      </c>
      <c r="FH242" s="10" cm="1">
        <f t="array" aca="1" ref="FH242" ca="1">(1-$B$18)*SUMPRODUCT(OFFSET($BO$15,0,0,$B$14,1), 1*(_xlfn._xlws.FILTER(OFFSET($O$15,0,$DN242,$B$8,1),OFFSET($M$15,0,0,$B$8,1))=FH$13), 1*(_xlfn._xlws.FILTER(OFFSET($O$15,0,$DO242,$B$8,1),OFFSET($M$15,0,0,$B$8,1))=FH$14))   /   SUM(OFFSET($BO$15,0,0,$B$14,1)) + $B$18/($B$19*$B$19*($DN242&lt;&gt;$DO242) + $B$19*($DN242=$DO242))</f>
        <v>3.7037037037037035E-4</v>
      </c>
      <c r="FI242" s="10" cm="1">
        <f t="array" aca="1" ref="FI242" ca="1">(1-$B$18)*SUMPRODUCT(OFFSET($BO$15,0,0,$B$14,1), 1*(_xlfn._xlws.FILTER(OFFSET($O$15,0,$DN242,$B$8,1),OFFSET($M$15,0,0,$B$8,1))=FI$13), 1*(_xlfn._xlws.FILTER(OFFSET($O$15,0,$DO242,$B$8,1),OFFSET($M$15,0,0,$B$8,1))=FI$14))   /   SUM(OFFSET($BO$15,0,0,$B$14,1)) + $B$18/($B$19*$B$19*($DN242&lt;&gt;$DO242) + $B$19*($DN242=$DO242))</f>
        <v>3.7037037037037035E-4</v>
      </c>
      <c r="FJ242" s="10" cm="1">
        <f t="array" aca="1" ref="FJ242" ca="1">(1-$B$18)*SUMPRODUCT(OFFSET($BO$15,0,0,$B$14,1), 1*(_xlfn._xlws.FILTER(OFFSET($O$15,0,$DN242,$B$8,1),OFFSET($M$15,0,0,$B$8,1))=FJ$13), 1*(_xlfn._xlws.FILTER(OFFSET($O$15,0,$DO242,$B$8,1),OFFSET($M$15,0,0,$B$8,1))=FJ$14))   /   SUM(OFFSET($BO$15,0,0,$B$14,1)) + $B$18/($B$19*$B$19*($DN242&lt;&gt;$DO242) + $B$19*($DN242=$DO242))</f>
        <v>3.7037037037037035E-4</v>
      </c>
      <c r="FK242" s="10" cm="1">
        <f t="array" aca="1" ref="FK242" ca="1">(1-$B$18)*SUMPRODUCT(OFFSET($BO$15,0,0,$B$14,1), 1*(_xlfn._xlws.FILTER(OFFSET($O$15,0,$DN242,$B$8,1),OFFSET($M$15,0,0,$B$8,1))=FK$13), 1*(_xlfn._xlws.FILTER(OFFSET($O$15,0,$DO242,$B$8,1),OFFSET($M$15,0,0,$B$8,1))=FK$14))   /   SUM(OFFSET($BO$15,0,0,$B$14,1)) + $B$18/($B$19*$B$19*($DN242&lt;&gt;$DO242) + $B$19*($DN242=$DO242))</f>
        <v>3.7037037037037035E-4</v>
      </c>
      <c r="FL242" s="10" cm="1">
        <f t="array" aca="1" ref="FL242" ca="1">(1-$B$18)*SUMPRODUCT(OFFSET($BO$15,0,0,$B$14,1), 1*(_xlfn._xlws.FILTER(OFFSET($O$15,0,$DN242,$B$8,1),OFFSET($M$15,0,0,$B$8,1))=FL$13), 1*(_xlfn._xlws.FILTER(OFFSET($O$15,0,$DO242,$B$8,1),OFFSET($M$15,0,0,$B$8,1))=FL$14))   /   SUM(OFFSET($BO$15,0,0,$B$14,1)) + $B$18/($B$19*$B$19*($DN242&lt;&gt;$DO242) + $B$19*($DN242=$DO242))</f>
        <v>3.7037037037037035E-4</v>
      </c>
      <c r="FM242" s="10" cm="1">
        <f t="array" aca="1" ref="FM242" ca="1">(1-$B$18)*SUMPRODUCT(OFFSET($BO$15,0,0,$B$14,1), 1*(_xlfn._xlws.FILTER(OFFSET($O$15,0,$DN242,$B$8,1),OFFSET($M$15,0,0,$B$8,1))=FM$13), 1*(_xlfn._xlws.FILTER(OFFSET($O$15,0,$DO242,$B$8,1),OFFSET($M$15,0,0,$B$8,1))=FM$14))   /   SUM(OFFSET($BO$15,0,0,$B$14,1)) + $B$18/($B$19*$B$19*($DN242&lt;&gt;$DO242) + $B$19*($DN242=$DO242))</f>
        <v>3.7037037037037035E-4</v>
      </c>
      <c r="FN242" s="10" cm="1">
        <f t="array" aca="1" ref="FN242" ca="1">(1-$B$18)*SUMPRODUCT(OFFSET($BO$15,0,0,$B$14,1), 1*(_xlfn._xlws.FILTER(OFFSET($O$15,0,$DN242,$B$8,1),OFFSET($M$15,0,0,$B$8,1))=FN$13), 1*(_xlfn._xlws.FILTER(OFFSET($O$15,0,$DO242,$B$8,1),OFFSET($M$15,0,0,$B$8,1))=FN$14))   /   SUM(OFFSET($BO$15,0,0,$B$14,1)) + $B$18/($B$19*$B$19*($DN242&lt;&gt;$DO242) + $B$19*($DN242=$DO242))</f>
        <v>3.7037037037037035E-4</v>
      </c>
      <c r="FO242" s="10" cm="1">
        <f t="array" aca="1" ref="FO242" ca="1">(1-$B$18)*SUMPRODUCT(OFFSET($BO$15,0,0,$B$14,1), 1*(_xlfn._xlws.FILTER(OFFSET($O$15,0,$DN242,$B$8,1),OFFSET($M$15,0,0,$B$8,1))=FO$13), 1*(_xlfn._xlws.FILTER(OFFSET($O$15,0,$DO242,$B$8,1),OFFSET($M$15,0,0,$B$8,1))=FO$14))   /   SUM(OFFSET($BO$15,0,0,$B$14,1)) + $B$18/($B$19*$B$19*($DN242&lt;&gt;$DO242) + $B$19*($DN242=$DO242))</f>
        <v>3.7037037037037035E-4</v>
      </c>
      <c r="FP242" s="10" cm="1">
        <f t="array" aca="1" ref="FP242" ca="1">(1-$B$18)*SUMPRODUCT(OFFSET($BO$15,0,0,$B$14,1), 1*(_xlfn._xlws.FILTER(OFFSET($O$15,0,$DN242,$B$8,1),OFFSET($M$15,0,0,$B$8,1))=FP$13), 1*(_xlfn._xlws.FILTER(OFFSET($O$15,0,$DO242,$B$8,1),OFFSET($M$15,0,0,$B$8,1))=FP$14))   /   SUM(OFFSET($BO$15,0,0,$B$14,1)) + $B$18/($B$19*$B$19*($DN242&lt;&gt;$DO242) + $B$19*($DN242=$DO242))</f>
        <v>3.7037037037037035E-4</v>
      </c>
      <c r="FQ242" s="10" cm="1">
        <f t="array" aca="1" ref="FQ242" ca="1">(1-$B$18)*SUMPRODUCT(OFFSET($BO$15,0,0,$B$14,1), 1*(_xlfn._xlws.FILTER(OFFSET($O$15,0,$DN242,$B$8,1),OFFSET($M$15,0,0,$B$8,1))=FQ$13), 1*(_xlfn._xlws.FILTER(OFFSET($O$15,0,$DO242,$B$8,1),OFFSET($M$15,0,0,$B$8,1))=FQ$14))   /   SUM(OFFSET($BO$15,0,0,$B$14,1)) + $B$18/($B$19*$B$19*($DN242&lt;&gt;$DO242) + $B$19*($DN242=$DO242))</f>
        <v>3.7037037037037035E-4</v>
      </c>
      <c r="FR242" s="10" cm="1">
        <f t="array" aca="1" ref="FR242" ca="1">(1-$B$18)*SUMPRODUCT(OFFSET($BO$15,0,0,$B$14,1), 1*(_xlfn._xlws.FILTER(OFFSET($O$15,0,$DN242,$B$8,1),OFFSET($M$15,0,0,$B$8,1))=FR$13), 1*(_xlfn._xlws.FILTER(OFFSET($O$15,0,$DO242,$B$8,1),OFFSET($M$15,0,0,$B$8,1))=FR$14))   /   SUM(OFFSET($BO$15,0,0,$B$14,1)) + $B$18/($B$19*$B$19*($DN242&lt;&gt;$DO242) + $B$19*($DN242=$DO242))</f>
        <v>3.7037037037037035E-4</v>
      </c>
      <c r="FS242" s="10" cm="1">
        <f t="array" aca="1" ref="FS242" ca="1">(1-$B$18)*SUMPRODUCT(OFFSET($BO$15,0,0,$B$14,1), 1*(_xlfn._xlws.FILTER(OFFSET($O$15,0,$DN242,$B$8,1),OFFSET($M$15,0,0,$B$8,1))=FS$13), 1*(_xlfn._xlws.FILTER(OFFSET($O$15,0,$DO242,$B$8,1),OFFSET($M$15,0,0,$B$8,1))=FS$14))   /   SUM(OFFSET($BO$15,0,0,$B$14,1)) + $B$18/($B$19*$B$19*($DN242&lt;&gt;$DO242) + $B$19*($DN242=$DO242))</f>
        <v>3.7037037037037035E-4</v>
      </c>
      <c r="FT242" s="10" cm="1">
        <f t="array" aca="1" ref="FT242" ca="1">(1-$B$18)*SUMPRODUCT(OFFSET($BO$15,0,0,$B$14,1), 1*(_xlfn._xlws.FILTER(OFFSET($O$15,0,$DN242,$B$8,1),OFFSET($M$15,0,0,$B$8,1))=FT$13), 1*(_xlfn._xlws.FILTER(OFFSET($O$15,0,$DO242,$B$8,1),OFFSET($M$15,0,0,$B$8,1))=FT$14))   /   SUM(OFFSET($BO$15,0,0,$B$14,1)) + $B$18/($B$19*$B$19*($DN242&lt;&gt;$DO242) + $B$19*($DN242=$DO242))</f>
        <v>3.7037037037037035E-4</v>
      </c>
      <c r="FU242" s="10" cm="1">
        <f t="array" aca="1" ref="FU242" ca="1">(1-$B$18)*SUMPRODUCT(OFFSET($BO$15,0,0,$B$14,1), 1*(_xlfn._xlws.FILTER(OFFSET($O$15,0,$DN242,$B$8,1),OFFSET($M$15,0,0,$B$8,1))=FU$13), 1*(_xlfn._xlws.FILTER(OFFSET($O$15,0,$DO242,$B$8,1),OFFSET($M$15,0,0,$B$8,1))=FU$14))   /   SUM(OFFSET($BO$15,0,0,$B$14,1)) + $B$18/($B$19*$B$19*($DN242&lt;&gt;$DO242) + $B$19*($DN242=$DO242))</f>
        <v>3.7037037037037035E-4</v>
      </c>
      <c r="FV242" s="10" cm="1">
        <f t="array" aca="1" ref="FV242" ca="1">(1-$B$18)*SUMPRODUCT(OFFSET($BO$15,0,0,$B$14,1), 1*(_xlfn._xlws.FILTER(OFFSET($O$15,0,$DN242,$B$8,1),OFFSET($M$15,0,0,$B$8,1))=FV$13), 1*(_xlfn._xlws.FILTER(OFFSET($O$15,0,$DO242,$B$8,1),OFFSET($M$15,0,0,$B$8,1))=FV$14))   /   SUM(OFFSET($BO$15,0,0,$B$14,1)) + $B$18/($B$19*$B$19*($DN242&lt;&gt;$DO242) + $B$19*($DN242=$DO242))</f>
        <v>3.7037037037037035E-4</v>
      </c>
      <c r="FW242" s="10" cm="1">
        <f t="array" aca="1" ref="FW242" ca="1">(1-$B$18)*SUMPRODUCT(OFFSET($BO$15,0,0,$B$14,1), 1*(_xlfn._xlws.FILTER(OFFSET($O$15,0,$DN242,$B$8,1),OFFSET($M$15,0,0,$B$8,1))=FW$13), 1*(_xlfn._xlws.FILTER(OFFSET($O$15,0,$DO242,$B$8,1),OFFSET($M$15,0,0,$B$8,1))=FW$14))   /   SUM(OFFSET($BO$15,0,0,$B$14,1)) + $B$18/($B$19*$B$19*($DN242&lt;&gt;$DO242) + $B$19*($DN242=$DO242))</f>
        <v>3.7037037037037035E-4</v>
      </c>
      <c r="FX242" s="10" cm="1">
        <f t="array" aca="1" ref="FX242" ca="1">(1-$B$18)*SUMPRODUCT(OFFSET($BO$15,0,0,$B$14,1), 1*(_xlfn._xlws.FILTER(OFFSET($O$15,0,$DN242,$B$8,1),OFFSET($M$15,0,0,$B$8,1))=FX$13), 1*(_xlfn._xlws.FILTER(OFFSET($O$15,0,$DO242,$B$8,1),OFFSET($M$15,0,0,$B$8,1))=FX$14))   /   SUM(OFFSET($BO$15,0,0,$B$14,1)) + $B$18/($B$19*$B$19*($DN242&lt;&gt;$DO242) + $B$19*($DN242=$DO242))</f>
        <v>3.7037037037037035E-4</v>
      </c>
      <c r="FY242" s="10" cm="1">
        <f t="array" aca="1" ref="FY242" ca="1">(1-$B$18)*SUMPRODUCT(OFFSET($BO$15,0,0,$B$14,1), 1*(_xlfn._xlws.FILTER(OFFSET($O$15,0,$DN242,$B$8,1),OFFSET($M$15,0,0,$B$8,1))=FY$13), 1*(_xlfn._xlws.FILTER(OFFSET($O$15,0,$DO242,$B$8,1),OFFSET($M$15,0,0,$B$8,1))=FY$14))   /   SUM(OFFSET($BO$15,0,0,$B$14,1)) + $B$18/($B$19*$B$19*($DN242&lt;&gt;$DO242) + $B$19*($DN242=$DO242))</f>
        <v>3.7037037037037035E-4</v>
      </c>
      <c r="FZ242" s="10" cm="1">
        <f t="array" aca="1" ref="FZ242" ca="1">(1-$B$18)*SUMPRODUCT(OFFSET($BO$15,0,0,$B$14,1), 1*(_xlfn._xlws.FILTER(OFFSET($O$15,0,$DN242,$B$8,1),OFFSET($M$15,0,0,$B$8,1))=FZ$13), 1*(_xlfn._xlws.FILTER(OFFSET($O$15,0,$DO242,$B$8,1),OFFSET($M$15,0,0,$B$8,1))=FZ$14))   /   SUM(OFFSET($BO$15,0,0,$B$14,1)) + $B$18/($B$19*$B$19*($DN242&lt;&gt;$DO242) + $B$19*($DN242=$DO242))</f>
        <v>3.7037037037037035E-4</v>
      </c>
      <c r="GA242" s="10" cm="1">
        <f t="array" aca="1" ref="GA242" ca="1">(1-$B$18)*SUMPRODUCT(OFFSET($BO$15,0,0,$B$14,1), 1*(_xlfn._xlws.FILTER(OFFSET($O$15,0,$DN242,$B$8,1),OFFSET($M$15,0,0,$B$8,1))=GA$13), 1*(_xlfn._xlws.FILTER(OFFSET($O$15,0,$DO242,$B$8,1),OFFSET($M$15,0,0,$B$8,1))=GA$14))   /   SUM(OFFSET($BO$15,0,0,$B$14,1)) + $B$18/($B$19*$B$19*($DN242&lt;&gt;$DO242) + $B$19*($DN242=$DO242))</f>
        <v>3.7037037037037035E-4</v>
      </c>
    </row>
    <row r="243" spans="118:183" x14ac:dyDescent="0.2">
      <c r="DN243" cm="1">
        <f t="array" aca="1" ref="DN243" ca="1">INDEX(_xlfn.ANCHORARRAY($CP$15), 1 + INT((ROWS($DO$15:$DO243) - 1) / ROWS(_xlfn.ANCHORARRAY($CP$15))))</f>
        <v>13</v>
      </c>
      <c r="DO243" cm="1">
        <f t="array" aca="1" ref="DO243" ca="1">INDEX(_xlfn.ANCHORARRAY($CP$15),1+MOD(ROWS($DO$15:$DO243)-1,ROWS(_xlfn.ANCHORARRAY($CP$15))))</f>
        <v>0</v>
      </c>
      <c r="DP243" s="10" cm="1">
        <f t="array" aca="1" ref="DP243" ca="1">(1-$B$18)*SUMPRODUCT(OFFSET($BO$15,0,0,$B$14,1), 1*(_xlfn._xlws.FILTER(OFFSET($O$15,0,$DN243,$B$8,1),OFFSET($M$15,0,0,$B$8,1))=DP$13), 1*(_xlfn._xlws.FILTER(OFFSET($O$15,0,$DO243,$B$8,1),OFFSET($M$15,0,0,$B$8,1))=DP$14))   /   SUM(OFFSET($BO$15,0,0,$B$14,1)) + $B$18/($B$19*$B$19*($DN243&lt;&gt;$DO243) + $B$19*($DN243=$DO243))</f>
        <v>3.7037037037037035E-4</v>
      </c>
      <c r="DQ243" s="10" cm="1">
        <f t="array" aca="1" ref="DQ243" ca="1">(1-$B$18)*SUMPRODUCT(OFFSET($BO$15,0,0,$B$14,1), 1*(_xlfn._xlws.FILTER(OFFSET($O$15,0,$DN243,$B$8,1),OFFSET($M$15,0,0,$B$8,1))=DQ$13), 1*(_xlfn._xlws.FILTER(OFFSET($O$15,0,$DO243,$B$8,1),OFFSET($M$15,0,0,$B$8,1))=DQ$14))   /   SUM(OFFSET($BO$15,0,0,$B$14,1)) + $B$18/($B$19*$B$19*($DN243&lt;&gt;$DO243) + $B$19*($DN243=$DO243))</f>
        <v>3.7037037037037035E-4</v>
      </c>
      <c r="DR243" s="10" cm="1">
        <f t="array" aca="1" ref="DR243" ca="1">(1-$B$18)*SUMPRODUCT(OFFSET($BO$15,0,0,$B$14,1), 1*(_xlfn._xlws.FILTER(OFFSET($O$15,0,$DN243,$B$8,1),OFFSET($M$15,0,0,$B$8,1))=DR$13), 1*(_xlfn._xlws.FILTER(OFFSET($O$15,0,$DO243,$B$8,1),OFFSET($M$15,0,0,$B$8,1))=DR$14))   /   SUM(OFFSET($BO$15,0,0,$B$14,1)) + $B$18/($B$19*$B$19*($DN243&lt;&gt;$DO243) + $B$19*($DN243=$DO243))</f>
        <v>3.7037037037037035E-4</v>
      </c>
      <c r="DS243" s="10" cm="1">
        <f t="array" aca="1" ref="DS243" ca="1">(1-$B$18)*SUMPRODUCT(OFFSET($BO$15,0,0,$B$14,1), 1*(_xlfn._xlws.FILTER(OFFSET($O$15,0,$DN243,$B$8,1),OFFSET($M$15,0,0,$B$8,1))=DS$13), 1*(_xlfn._xlws.FILTER(OFFSET($O$15,0,$DO243,$B$8,1),OFFSET($M$15,0,0,$B$8,1))=DS$14))   /   SUM(OFFSET($BO$15,0,0,$B$14,1)) + $B$18/($B$19*$B$19*($DN243&lt;&gt;$DO243) + $B$19*($DN243=$DO243))</f>
        <v>3.7037037037037035E-4</v>
      </c>
      <c r="DT243" s="10" cm="1">
        <f t="array" aca="1" ref="DT243" ca="1">(1-$B$18)*SUMPRODUCT(OFFSET($BO$15,0,0,$B$14,1), 1*(_xlfn._xlws.FILTER(OFFSET($O$15,0,$DN243,$B$8,1),OFFSET($M$15,0,0,$B$8,1))=DT$13), 1*(_xlfn._xlws.FILTER(OFFSET($O$15,0,$DO243,$B$8,1),OFFSET($M$15,0,0,$B$8,1))=DT$14))   /   SUM(OFFSET($BO$15,0,0,$B$14,1)) + $B$18/($B$19*$B$19*($DN243&lt;&gt;$DO243) + $B$19*($DN243=$DO243))</f>
        <v>3.7037037037037035E-4</v>
      </c>
      <c r="DU243" s="10" cm="1">
        <f t="array" aca="1" ref="DU243" ca="1">(1-$B$18)*SUMPRODUCT(OFFSET($BO$15,0,0,$B$14,1), 1*(_xlfn._xlws.FILTER(OFFSET($O$15,0,$DN243,$B$8,1),OFFSET($M$15,0,0,$B$8,1))=DU$13), 1*(_xlfn._xlws.FILTER(OFFSET($O$15,0,$DO243,$B$8,1),OFFSET($M$15,0,0,$B$8,1))=DU$14))   /   SUM(OFFSET($BO$15,0,0,$B$14,1)) + $B$18/($B$19*$B$19*($DN243&lt;&gt;$DO243) + $B$19*($DN243=$DO243))</f>
        <v>3.7037037037037035E-4</v>
      </c>
      <c r="DV243" s="10" cm="1">
        <f t="array" aca="1" ref="DV243" ca="1">(1-$B$18)*SUMPRODUCT(OFFSET($BO$15,0,0,$B$14,1), 1*(_xlfn._xlws.FILTER(OFFSET($O$15,0,$DN243,$B$8,1),OFFSET($M$15,0,0,$B$8,1))=DV$13), 1*(_xlfn._xlws.FILTER(OFFSET($O$15,0,$DO243,$B$8,1),OFFSET($M$15,0,0,$B$8,1))=DV$14))   /   SUM(OFFSET($BO$15,0,0,$B$14,1)) + $B$18/($B$19*$B$19*($DN243&lt;&gt;$DO243) + $B$19*($DN243=$DO243))</f>
        <v>3.7037037037037035E-4</v>
      </c>
      <c r="DW243" s="10" cm="1">
        <f t="array" aca="1" ref="DW243" ca="1">(1-$B$18)*SUMPRODUCT(OFFSET($BO$15,0,0,$B$14,1), 1*(_xlfn._xlws.FILTER(OFFSET($O$15,0,$DN243,$B$8,1),OFFSET($M$15,0,0,$B$8,1))=DW$13), 1*(_xlfn._xlws.FILTER(OFFSET($O$15,0,$DO243,$B$8,1),OFFSET($M$15,0,0,$B$8,1))=DW$14))   /   SUM(OFFSET($BO$15,0,0,$B$14,1)) + $B$18/($B$19*$B$19*($DN243&lt;&gt;$DO243) + $B$19*($DN243=$DO243))</f>
        <v>3.7037037037037035E-4</v>
      </c>
      <c r="DX243" s="10" cm="1">
        <f t="array" aca="1" ref="DX243" ca="1">(1-$B$18)*SUMPRODUCT(OFFSET($BO$15,0,0,$B$14,1), 1*(_xlfn._xlws.FILTER(OFFSET($O$15,0,$DN243,$B$8,1),OFFSET($M$15,0,0,$B$8,1))=DX$13), 1*(_xlfn._xlws.FILTER(OFFSET($O$15,0,$DO243,$B$8,1),OFFSET($M$15,0,0,$B$8,1))=DX$14))   /   SUM(OFFSET($BO$15,0,0,$B$14,1)) + $B$18/($B$19*$B$19*($DN243&lt;&gt;$DO243) + $B$19*($DN243=$DO243))</f>
        <v>3.7037037037037035E-4</v>
      </c>
      <c r="DY243" s="10" cm="1">
        <f t="array" aca="1" ref="DY243" ca="1">(1-$B$18)*SUMPRODUCT(OFFSET($BO$15,0,0,$B$14,1), 1*(_xlfn._xlws.FILTER(OFFSET($O$15,0,$DN243,$B$8,1),OFFSET($M$15,0,0,$B$8,1))=DY$13), 1*(_xlfn._xlws.FILTER(OFFSET($O$15,0,$DO243,$B$8,1),OFFSET($M$15,0,0,$B$8,1))=DY$14))   /   SUM(OFFSET($BO$15,0,0,$B$14,1)) + $B$18/($B$19*$B$19*($DN243&lt;&gt;$DO243) + $B$19*($DN243=$DO243))</f>
        <v>3.7037037037037035E-4</v>
      </c>
      <c r="DZ243" s="10" cm="1">
        <f t="array" aca="1" ref="DZ243" ca="1">(1-$B$18)*SUMPRODUCT(OFFSET($BO$15,0,0,$B$14,1), 1*(_xlfn._xlws.FILTER(OFFSET($O$15,0,$DN243,$B$8,1),OFFSET($M$15,0,0,$B$8,1))=DZ$13), 1*(_xlfn._xlws.FILTER(OFFSET($O$15,0,$DO243,$B$8,1),OFFSET($M$15,0,0,$B$8,1))=DZ$14))   /   SUM(OFFSET($BO$15,0,0,$B$14,1)) + $B$18/($B$19*$B$19*($DN243&lt;&gt;$DO243) + $B$19*($DN243=$DO243))</f>
        <v>3.7037037037037035E-4</v>
      </c>
      <c r="EA243" s="10" cm="1">
        <f t="array" aca="1" ref="EA243" ca="1">(1-$B$18)*SUMPRODUCT(OFFSET($BO$15,0,0,$B$14,1), 1*(_xlfn._xlws.FILTER(OFFSET($O$15,0,$DN243,$B$8,1),OFFSET($M$15,0,0,$B$8,1))=EA$13), 1*(_xlfn._xlws.FILTER(OFFSET($O$15,0,$DO243,$B$8,1),OFFSET($M$15,0,0,$B$8,1))=EA$14))   /   SUM(OFFSET($BO$15,0,0,$B$14,1)) + $B$18/($B$19*$B$19*($DN243&lt;&gt;$DO243) + $B$19*($DN243=$DO243))</f>
        <v>3.7037037037037035E-4</v>
      </c>
      <c r="EB243" s="10" cm="1">
        <f t="array" aca="1" ref="EB243" ca="1">(1-$B$18)*SUMPRODUCT(OFFSET($BO$15,0,0,$B$14,1), 1*(_xlfn._xlws.FILTER(OFFSET($O$15,0,$DN243,$B$8,1),OFFSET($M$15,0,0,$B$8,1))=EB$13), 1*(_xlfn._xlws.FILTER(OFFSET($O$15,0,$DO243,$B$8,1),OFFSET($M$15,0,0,$B$8,1))=EB$14))   /   SUM(OFFSET($BO$15,0,0,$B$14,1)) + $B$18/($B$19*$B$19*($DN243&lt;&gt;$DO243) + $B$19*($DN243=$DO243))</f>
        <v>3.7037037037037035E-4</v>
      </c>
      <c r="EC243" s="10" cm="1">
        <f t="array" aca="1" ref="EC243" ca="1">(1-$B$18)*SUMPRODUCT(OFFSET($BO$15,0,0,$B$14,1), 1*(_xlfn._xlws.FILTER(OFFSET($O$15,0,$DN243,$B$8,1),OFFSET($M$15,0,0,$B$8,1))=EC$13), 1*(_xlfn._xlws.FILTER(OFFSET($O$15,0,$DO243,$B$8,1),OFFSET($M$15,0,0,$B$8,1))=EC$14))   /   SUM(OFFSET($BO$15,0,0,$B$14,1)) + $B$18/($B$19*$B$19*($DN243&lt;&gt;$DO243) + $B$19*($DN243=$DO243))</f>
        <v>3.7037037037037035E-4</v>
      </c>
      <c r="ED243" s="10" cm="1">
        <f t="array" aca="1" ref="ED243" ca="1">(1-$B$18)*SUMPRODUCT(OFFSET($BO$15,0,0,$B$14,1), 1*(_xlfn._xlws.FILTER(OFFSET($O$15,0,$DN243,$B$8,1),OFFSET($M$15,0,0,$B$8,1))=ED$13), 1*(_xlfn._xlws.FILTER(OFFSET($O$15,0,$DO243,$B$8,1),OFFSET($M$15,0,0,$B$8,1))=ED$14))   /   SUM(OFFSET($BO$15,0,0,$B$14,1)) + $B$18/($B$19*$B$19*($DN243&lt;&gt;$DO243) + $B$19*($DN243=$DO243))</f>
        <v>0.97037037037037033</v>
      </c>
      <c r="EE243" s="10" cm="1">
        <f t="array" aca="1" ref="EE243" ca="1">(1-$B$18)*SUMPRODUCT(OFFSET($BO$15,0,0,$B$14,1), 1*(_xlfn._xlws.FILTER(OFFSET($O$15,0,$DN243,$B$8,1),OFFSET($M$15,0,0,$B$8,1))=EE$13), 1*(_xlfn._xlws.FILTER(OFFSET($O$15,0,$DO243,$B$8,1),OFFSET($M$15,0,0,$B$8,1))=EE$14))   /   SUM(OFFSET($BO$15,0,0,$B$14,1)) + $B$18/($B$19*$B$19*($DN243&lt;&gt;$DO243) + $B$19*($DN243=$DO243))</f>
        <v>3.7037037037037035E-4</v>
      </c>
      <c r="EF243" s="10" cm="1">
        <f t="array" aca="1" ref="EF243" ca="1">(1-$B$18)*SUMPRODUCT(OFFSET($BO$15,0,0,$B$14,1), 1*(_xlfn._xlws.FILTER(OFFSET($O$15,0,$DN243,$B$8,1),OFFSET($M$15,0,0,$B$8,1))=EF$13), 1*(_xlfn._xlws.FILTER(OFFSET($O$15,0,$DO243,$B$8,1),OFFSET($M$15,0,0,$B$8,1))=EF$14))   /   SUM(OFFSET($BO$15,0,0,$B$14,1)) + $B$18/($B$19*$B$19*($DN243&lt;&gt;$DO243) + $B$19*($DN243=$DO243))</f>
        <v>3.7037037037037035E-4</v>
      </c>
      <c r="EG243" s="10" cm="1">
        <f t="array" aca="1" ref="EG243" ca="1">(1-$B$18)*SUMPRODUCT(OFFSET($BO$15,0,0,$B$14,1), 1*(_xlfn._xlws.FILTER(OFFSET($O$15,0,$DN243,$B$8,1),OFFSET($M$15,0,0,$B$8,1))=EG$13), 1*(_xlfn._xlws.FILTER(OFFSET($O$15,0,$DO243,$B$8,1),OFFSET($M$15,0,0,$B$8,1))=EG$14))   /   SUM(OFFSET($BO$15,0,0,$B$14,1)) + $B$18/($B$19*$B$19*($DN243&lt;&gt;$DO243) + $B$19*($DN243=$DO243))</f>
        <v>3.7037037037037035E-4</v>
      </c>
      <c r="EH243" s="10" cm="1">
        <f t="array" aca="1" ref="EH243" ca="1">(1-$B$18)*SUMPRODUCT(OFFSET($BO$15,0,0,$B$14,1), 1*(_xlfn._xlws.FILTER(OFFSET($O$15,0,$DN243,$B$8,1),OFFSET($M$15,0,0,$B$8,1))=EH$13), 1*(_xlfn._xlws.FILTER(OFFSET($O$15,0,$DO243,$B$8,1),OFFSET($M$15,0,0,$B$8,1))=EH$14))   /   SUM(OFFSET($BO$15,0,0,$B$14,1)) + $B$18/($B$19*$B$19*($DN243&lt;&gt;$DO243) + $B$19*($DN243=$DO243))</f>
        <v>3.7037037037037035E-4</v>
      </c>
      <c r="EI243" s="10" cm="1">
        <f t="array" aca="1" ref="EI243" ca="1">(1-$B$18)*SUMPRODUCT(OFFSET($BO$15,0,0,$B$14,1), 1*(_xlfn._xlws.FILTER(OFFSET($O$15,0,$DN243,$B$8,1),OFFSET($M$15,0,0,$B$8,1))=EI$13), 1*(_xlfn._xlws.FILTER(OFFSET($O$15,0,$DO243,$B$8,1),OFFSET($M$15,0,0,$B$8,1))=EI$14))   /   SUM(OFFSET($BO$15,0,0,$B$14,1)) + $B$18/($B$19*$B$19*($DN243&lt;&gt;$DO243) + $B$19*($DN243=$DO243))</f>
        <v>3.7037037037037035E-4</v>
      </c>
      <c r="EJ243" s="10" cm="1">
        <f t="array" aca="1" ref="EJ243" ca="1">(1-$B$18)*SUMPRODUCT(OFFSET($BO$15,0,0,$B$14,1), 1*(_xlfn._xlws.FILTER(OFFSET($O$15,0,$DN243,$B$8,1),OFFSET($M$15,0,0,$B$8,1))=EJ$13), 1*(_xlfn._xlws.FILTER(OFFSET($O$15,0,$DO243,$B$8,1),OFFSET($M$15,0,0,$B$8,1))=EJ$14))   /   SUM(OFFSET($BO$15,0,0,$B$14,1)) + $B$18/($B$19*$B$19*($DN243&lt;&gt;$DO243) + $B$19*($DN243=$DO243))</f>
        <v>3.7037037037037035E-4</v>
      </c>
      <c r="EK243" s="10" cm="1">
        <f t="array" aca="1" ref="EK243" ca="1">(1-$B$18)*SUMPRODUCT(OFFSET($BO$15,0,0,$B$14,1), 1*(_xlfn._xlws.FILTER(OFFSET($O$15,0,$DN243,$B$8,1),OFFSET($M$15,0,0,$B$8,1))=EK$13), 1*(_xlfn._xlws.FILTER(OFFSET($O$15,0,$DO243,$B$8,1),OFFSET($M$15,0,0,$B$8,1))=EK$14))   /   SUM(OFFSET($BO$15,0,0,$B$14,1)) + $B$18/($B$19*$B$19*($DN243&lt;&gt;$DO243) + $B$19*($DN243=$DO243))</f>
        <v>3.7037037037037035E-4</v>
      </c>
      <c r="EL243" s="10" cm="1">
        <f t="array" aca="1" ref="EL243" ca="1">(1-$B$18)*SUMPRODUCT(OFFSET($BO$15,0,0,$B$14,1), 1*(_xlfn._xlws.FILTER(OFFSET($O$15,0,$DN243,$B$8,1),OFFSET($M$15,0,0,$B$8,1))=EL$13), 1*(_xlfn._xlws.FILTER(OFFSET($O$15,0,$DO243,$B$8,1),OFFSET($M$15,0,0,$B$8,1))=EL$14))   /   SUM(OFFSET($BO$15,0,0,$B$14,1)) + $B$18/($B$19*$B$19*($DN243&lt;&gt;$DO243) + $B$19*($DN243=$DO243))</f>
        <v>3.7037037037037035E-4</v>
      </c>
      <c r="EM243" s="10" cm="1">
        <f t="array" aca="1" ref="EM243" ca="1">(1-$B$18)*SUMPRODUCT(OFFSET($BO$15,0,0,$B$14,1), 1*(_xlfn._xlws.FILTER(OFFSET($O$15,0,$DN243,$B$8,1),OFFSET($M$15,0,0,$B$8,1))=EM$13), 1*(_xlfn._xlws.FILTER(OFFSET($O$15,0,$DO243,$B$8,1),OFFSET($M$15,0,0,$B$8,1))=EM$14))   /   SUM(OFFSET($BO$15,0,0,$B$14,1)) + $B$18/($B$19*$B$19*($DN243&lt;&gt;$DO243) + $B$19*($DN243=$DO243))</f>
        <v>3.7037037037037035E-4</v>
      </c>
      <c r="EN243" s="10" cm="1">
        <f t="array" aca="1" ref="EN243" ca="1">(1-$B$18)*SUMPRODUCT(OFFSET($BO$15,0,0,$B$14,1), 1*(_xlfn._xlws.FILTER(OFFSET($O$15,0,$DN243,$B$8,1),OFFSET($M$15,0,0,$B$8,1))=EN$13), 1*(_xlfn._xlws.FILTER(OFFSET($O$15,0,$DO243,$B$8,1),OFFSET($M$15,0,0,$B$8,1))=EN$14))   /   SUM(OFFSET($BO$15,0,0,$B$14,1)) + $B$18/($B$19*$B$19*($DN243&lt;&gt;$DO243) + $B$19*($DN243=$DO243))</f>
        <v>3.7037037037037035E-4</v>
      </c>
      <c r="EO243" s="10" cm="1">
        <f t="array" aca="1" ref="EO243" ca="1">(1-$B$18)*SUMPRODUCT(OFFSET($BO$15,0,0,$B$14,1), 1*(_xlfn._xlws.FILTER(OFFSET($O$15,0,$DN243,$B$8,1),OFFSET($M$15,0,0,$B$8,1))=EO$13), 1*(_xlfn._xlws.FILTER(OFFSET($O$15,0,$DO243,$B$8,1),OFFSET($M$15,0,0,$B$8,1))=EO$14))   /   SUM(OFFSET($BO$15,0,0,$B$14,1)) + $B$18/($B$19*$B$19*($DN243&lt;&gt;$DO243) + $B$19*($DN243=$DO243))</f>
        <v>3.7037037037037035E-4</v>
      </c>
      <c r="EP243" s="10" cm="1">
        <f t="array" aca="1" ref="EP243" ca="1">(1-$B$18)*SUMPRODUCT(OFFSET($BO$15,0,0,$B$14,1), 1*(_xlfn._xlws.FILTER(OFFSET($O$15,0,$DN243,$B$8,1),OFFSET($M$15,0,0,$B$8,1))=EP$13), 1*(_xlfn._xlws.FILTER(OFFSET($O$15,0,$DO243,$B$8,1),OFFSET($M$15,0,0,$B$8,1))=EP$14))   /   SUM(OFFSET($BO$15,0,0,$B$14,1)) + $B$18/($B$19*$B$19*($DN243&lt;&gt;$DO243) + $B$19*($DN243=$DO243))</f>
        <v>3.7037037037037035E-4</v>
      </c>
      <c r="EQ243" s="10" cm="1">
        <f t="array" aca="1" ref="EQ243" ca="1">(1-$B$18)*SUMPRODUCT(OFFSET($BO$15,0,0,$B$14,1), 1*(_xlfn._xlws.FILTER(OFFSET($O$15,0,$DN243,$B$8,1),OFFSET($M$15,0,0,$B$8,1))=EQ$13), 1*(_xlfn._xlws.FILTER(OFFSET($O$15,0,$DO243,$B$8,1),OFFSET($M$15,0,0,$B$8,1))=EQ$14))   /   SUM(OFFSET($BO$15,0,0,$B$14,1)) + $B$18/($B$19*$B$19*($DN243&lt;&gt;$DO243) + $B$19*($DN243=$DO243))</f>
        <v>3.7037037037037035E-4</v>
      </c>
      <c r="ER243" s="10" cm="1">
        <f t="array" aca="1" ref="ER243" ca="1">(1-$B$18)*SUMPRODUCT(OFFSET($BO$15,0,0,$B$14,1), 1*(_xlfn._xlws.FILTER(OFFSET($O$15,0,$DN243,$B$8,1),OFFSET($M$15,0,0,$B$8,1))=ER$13), 1*(_xlfn._xlws.FILTER(OFFSET($O$15,0,$DO243,$B$8,1),OFFSET($M$15,0,0,$B$8,1))=ER$14))   /   SUM(OFFSET($BO$15,0,0,$B$14,1)) + $B$18/($B$19*$B$19*($DN243&lt;&gt;$DO243) + $B$19*($DN243=$DO243))</f>
        <v>3.7037037037037035E-4</v>
      </c>
      <c r="ES243" s="10" cm="1">
        <f t="array" aca="1" ref="ES243" ca="1">(1-$B$18)*SUMPRODUCT(OFFSET($BO$15,0,0,$B$14,1), 1*(_xlfn._xlws.FILTER(OFFSET($O$15,0,$DN243,$B$8,1),OFFSET($M$15,0,0,$B$8,1))=ES$13), 1*(_xlfn._xlws.FILTER(OFFSET($O$15,0,$DO243,$B$8,1),OFFSET($M$15,0,0,$B$8,1))=ES$14))   /   SUM(OFFSET($BO$15,0,0,$B$14,1)) + $B$18/($B$19*$B$19*($DN243&lt;&gt;$DO243) + $B$19*($DN243=$DO243))</f>
        <v>3.7037037037037035E-4</v>
      </c>
      <c r="ET243" s="10" cm="1">
        <f t="array" aca="1" ref="ET243" ca="1">(1-$B$18)*SUMPRODUCT(OFFSET($BO$15,0,0,$B$14,1), 1*(_xlfn._xlws.FILTER(OFFSET($O$15,0,$DN243,$B$8,1),OFFSET($M$15,0,0,$B$8,1))=ET$13), 1*(_xlfn._xlws.FILTER(OFFSET($O$15,0,$DO243,$B$8,1),OFFSET($M$15,0,0,$B$8,1))=ET$14))   /   SUM(OFFSET($BO$15,0,0,$B$14,1)) + $B$18/($B$19*$B$19*($DN243&lt;&gt;$DO243) + $B$19*($DN243=$DO243))</f>
        <v>3.7037037037037035E-4</v>
      </c>
      <c r="EU243" s="10" cm="1">
        <f t="array" aca="1" ref="EU243" ca="1">(1-$B$18)*SUMPRODUCT(OFFSET($BO$15,0,0,$B$14,1), 1*(_xlfn._xlws.FILTER(OFFSET($O$15,0,$DN243,$B$8,1),OFFSET($M$15,0,0,$B$8,1))=EU$13), 1*(_xlfn._xlws.FILTER(OFFSET($O$15,0,$DO243,$B$8,1),OFFSET($M$15,0,0,$B$8,1))=EU$14))   /   SUM(OFFSET($BO$15,0,0,$B$14,1)) + $B$18/($B$19*$B$19*($DN243&lt;&gt;$DO243) + $B$19*($DN243=$DO243))</f>
        <v>3.7037037037037035E-4</v>
      </c>
      <c r="EV243" s="10" cm="1">
        <f t="array" aca="1" ref="EV243" ca="1">(1-$B$18)*SUMPRODUCT(OFFSET($BO$15,0,0,$B$14,1), 1*(_xlfn._xlws.FILTER(OFFSET($O$15,0,$DN243,$B$8,1),OFFSET($M$15,0,0,$B$8,1))=EV$13), 1*(_xlfn._xlws.FILTER(OFFSET($O$15,0,$DO243,$B$8,1),OFFSET($M$15,0,0,$B$8,1))=EV$14))   /   SUM(OFFSET($BO$15,0,0,$B$14,1)) + $B$18/($B$19*$B$19*($DN243&lt;&gt;$DO243) + $B$19*($DN243=$DO243))</f>
        <v>3.7037037037037035E-4</v>
      </c>
      <c r="EW243" s="10" cm="1">
        <f t="array" aca="1" ref="EW243" ca="1">(1-$B$18)*SUMPRODUCT(OFFSET($BO$15,0,0,$B$14,1), 1*(_xlfn._xlws.FILTER(OFFSET($O$15,0,$DN243,$B$8,1),OFFSET($M$15,0,0,$B$8,1))=EW$13), 1*(_xlfn._xlws.FILTER(OFFSET($O$15,0,$DO243,$B$8,1),OFFSET($M$15,0,0,$B$8,1))=EW$14))   /   SUM(OFFSET($BO$15,0,0,$B$14,1)) + $B$18/($B$19*$B$19*($DN243&lt;&gt;$DO243) + $B$19*($DN243=$DO243))</f>
        <v>3.7037037037037035E-4</v>
      </c>
      <c r="EX243" s="10" cm="1">
        <f t="array" aca="1" ref="EX243" ca="1">(1-$B$18)*SUMPRODUCT(OFFSET($BO$15,0,0,$B$14,1), 1*(_xlfn._xlws.FILTER(OFFSET($O$15,0,$DN243,$B$8,1),OFFSET($M$15,0,0,$B$8,1))=EX$13), 1*(_xlfn._xlws.FILTER(OFFSET($O$15,0,$DO243,$B$8,1),OFFSET($M$15,0,0,$B$8,1))=EX$14))   /   SUM(OFFSET($BO$15,0,0,$B$14,1)) + $B$18/($B$19*$B$19*($DN243&lt;&gt;$DO243) + $B$19*($DN243=$DO243))</f>
        <v>3.7037037037037035E-4</v>
      </c>
      <c r="EY243" s="10" cm="1">
        <f t="array" aca="1" ref="EY243" ca="1">(1-$B$18)*SUMPRODUCT(OFFSET($BO$15,0,0,$B$14,1), 1*(_xlfn._xlws.FILTER(OFFSET($O$15,0,$DN243,$B$8,1),OFFSET($M$15,0,0,$B$8,1))=EY$13), 1*(_xlfn._xlws.FILTER(OFFSET($O$15,0,$DO243,$B$8,1),OFFSET($M$15,0,0,$B$8,1))=EY$14))   /   SUM(OFFSET($BO$15,0,0,$B$14,1)) + $B$18/($B$19*$B$19*($DN243&lt;&gt;$DO243) + $B$19*($DN243=$DO243))</f>
        <v>3.7037037037037035E-4</v>
      </c>
      <c r="EZ243" s="10" cm="1">
        <f t="array" aca="1" ref="EZ243" ca="1">(1-$B$18)*SUMPRODUCT(OFFSET($BO$15,0,0,$B$14,1), 1*(_xlfn._xlws.FILTER(OFFSET($O$15,0,$DN243,$B$8,1),OFFSET($M$15,0,0,$B$8,1))=EZ$13), 1*(_xlfn._xlws.FILTER(OFFSET($O$15,0,$DO243,$B$8,1),OFFSET($M$15,0,0,$B$8,1))=EZ$14))   /   SUM(OFFSET($BO$15,0,0,$B$14,1)) + $B$18/($B$19*$B$19*($DN243&lt;&gt;$DO243) + $B$19*($DN243=$DO243))</f>
        <v>3.7037037037037035E-4</v>
      </c>
      <c r="FA243" s="10" cm="1">
        <f t="array" aca="1" ref="FA243" ca="1">(1-$B$18)*SUMPRODUCT(OFFSET($BO$15,0,0,$B$14,1), 1*(_xlfn._xlws.FILTER(OFFSET($O$15,0,$DN243,$B$8,1),OFFSET($M$15,0,0,$B$8,1))=FA$13), 1*(_xlfn._xlws.FILTER(OFFSET($O$15,0,$DO243,$B$8,1),OFFSET($M$15,0,0,$B$8,1))=FA$14))   /   SUM(OFFSET($BO$15,0,0,$B$14,1)) + $B$18/($B$19*$B$19*($DN243&lt;&gt;$DO243) + $B$19*($DN243=$DO243))</f>
        <v>3.7037037037037035E-4</v>
      </c>
      <c r="FB243" s="10" cm="1">
        <f t="array" aca="1" ref="FB243" ca="1">(1-$B$18)*SUMPRODUCT(OFFSET($BO$15,0,0,$B$14,1), 1*(_xlfn._xlws.FILTER(OFFSET($O$15,0,$DN243,$B$8,1),OFFSET($M$15,0,0,$B$8,1))=FB$13), 1*(_xlfn._xlws.FILTER(OFFSET($O$15,0,$DO243,$B$8,1),OFFSET($M$15,0,0,$B$8,1))=FB$14))   /   SUM(OFFSET($BO$15,0,0,$B$14,1)) + $B$18/($B$19*$B$19*($DN243&lt;&gt;$DO243) + $B$19*($DN243=$DO243))</f>
        <v>3.7037037037037035E-4</v>
      </c>
      <c r="FC243" s="10" cm="1">
        <f t="array" aca="1" ref="FC243" ca="1">(1-$B$18)*SUMPRODUCT(OFFSET($BO$15,0,0,$B$14,1), 1*(_xlfn._xlws.FILTER(OFFSET($O$15,0,$DN243,$B$8,1),OFFSET($M$15,0,0,$B$8,1))=FC$13), 1*(_xlfn._xlws.FILTER(OFFSET($O$15,0,$DO243,$B$8,1),OFFSET($M$15,0,0,$B$8,1))=FC$14))   /   SUM(OFFSET($BO$15,0,0,$B$14,1)) + $B$18/($B$19*$B$19*($DN243&lt;&gt;$DO243) + $B$19*($DN243=$DO243))</f>
        <v>3.7037037037037035E-4</v>
      </c>
      <c r="FD243" s="10" cm="1">
        <f t="array" aca="1" ref="FD243" ca="1">(1-$B$18)*SUMPRODUCT(OFFSET($BO$15,0,0,$B$14,1), 1*(_xlfn._xlws.FILTER(OFFSET($O$15,0,$DN243,$B$8,1),OFFSET($M$15,0,0,$B$8,1))=FD$13), 1*(_xlfn._xlws.FILTER(OFFSET($O$15,0,$DO243,$B$8,1),OFFSET($M$15,0,0,$B$8,1))=FD$14))   /   SUM(OFFSET($BO$15,0,0,$B$14,1)) + $B$18/($B$19*$B$19*($DN243&lt;&gt;$DO243) + $B$19*($DN243=$DO243))</f>
        <v>3.7037037037037035E-4</v>
      </c>
      <c r="FE243" s="10" cm="1">
        <f t="array" aca="1" ref="FE243" ca="1">(1-$B$18)*SUMPRODUCT(OFFSET($BO$15,0,0,$B$14,1), 1*(_xlfn._xlws.FILTER(OFFSET($O$15,0,$DN243,$B$8,1),OFFSET($M$15,0,0,$B$8,1))=FE$13), 1*(_xlfn._xlws.FILTER(OFFSET($O$15,0,$DO243,$B$8,1),OFFSET($M$15,0,0,$B$8,1))=FE$14))   /   SUM(OFFSET($BO$15,0,0,$B$14,1)) + $B$18/($B$19*$B$19*($DN243&lt;&gt;$DO243) + $B$19*($DN243=$DO243))</f>
        <v>3.7037037037037035E-4</v>
      </c>
      <c r="FF243" s="10" cm="1">
        <f t="array" aca="1" ref="FF243" ca="1">(1-$B$18)*SUMPRODUCT(OFFSET($BO$15,0,0,$B$14,1), 1*(_xlfn._xlws.FILTER(OFFSET($O$15,0,$DN243,$B$8,1),OFFSET($M$15,0,0,$B$8,1))=FF$13), 1*(_xlfn._xlws.FILTER(OFFSET($O$15,0,$DO243,$B$8,1),OFFSET($M$15,0,0,$B$8,1))=FF$14))   /   SUM(OFFSET($BO$15,0,0,$B$14,1)) + $B$18/($B$19*$B$19*($DN243&lt;&gt;$DO243) + $B$19*($DN243=$DO243))</f>
        <v>3.7037037037037035E-4</v>
      </c>
      <c r="FG243" s="10" cm="1">
        <f t="array" aca="1" ref="FG243" ca="1">(1-$B$18)*SUMPRODUCT(OFFSET($BO$15,0,0,$B$14,1), 1*(_xlfn._xlws.FILTER(OFFSET($O$15,0,$DN243,$B$8,1),OFFSET($M$15,0,0,$B$8,1))=FG$13), 1*(_xlfn._xlws.FILTER(OFFSET($O$15,0,$DO243,$B$8,1),OFFSET($M$15,0,0,$B$8,1))=FG$14))   /   SUM(OFFSET($BO$15,0,0,$B$14,1)) + $B$18/($B$19*$B$19*($DN243&lt;&gt;$DO243) + $B$19*($DN243=$DO243))</f>
        <v>3.7037037037037035E-4</v>
      </c>
      <c r="FH243" s="10" cm="1">
        <f t="array" aca="1" ref="FH243" ca="1">(1-$B$18)*SUMPRODUCT(OFFSET($BO$15,0,0,$B$14,1), 1*(_xlfn._xlws.FILTER(OFFSET($O$15,0,$DN243,$B$8,1),OFFSET($M$15,0,0,$B$8,1))=FH$13), 1*(_xlfn._xlws.FILTER(OFFSET($O$15,0,$DO243,$B$8,1),OFFSET($M$15,0,0,$B$8,1))=FH$14))   /   SUM(OFFSET($BO$15,0,0,$B$14,1)) + $B$18/($B$19*$B$19*($DN243&lt;&gt;$DO243) + $B$19*($DN243=$DO243))</f>
        <v>3.7037037037037035E-4</v>
      </c>
      <c r="FI243" s="10" cm="1">
        <f t="array" aca="1" ref="FI243" ca="1">(1-$B$18)*SUMPRODUCT(OFFSET($BO$15,0,0,$B$14,1), 1*(_xlfn._xlws.FILTER(OFFSET($O$15,0,$DN243,$B$8,1),OFFSET($M$15,0,0,$B$8,1))=FI$13), 1*(_xlfn._xlws.FILTER(OFFSET($O$15,0,$DO243,$B$8,1),OFFSET($M$15,0,0,$B$8,1))=FI$14))   /   SUM(OFFSET($BO$15,0,0,$B$14,1)) + $B$18/($B$19*$B$19*($DN243&lt;&gt;$DO243) + $B$19*($DN243=$DO243))</f>
        <v>3.7037037037037035E-4</v>
      </c>
      <c r="FJ243" s="10" cm="1">
        <f t="array" aca="1" ref="FJ243" ca="1">(1-$B$18)*SUMPRODUCT(OFFSET($BO$15,0,0,$B$14,1), 1*(_xlfn._xlws.FILTER(OFFSET($O$15,0,$DN243,$B$8,1),OFFSET($M$15,0,0,$B$8,1))=FJ$13), 1*(_xlfn._xlws.FILTER(OFFSET($O$15,0,$DO243,$B$8,1),OFFSET($M$15,0,0,$B$8,1))=FJ$14))   /   SUM(OFFSET($BO$15,0,0,$B$14,1)) + $B$18/($B$19*$B$19*($DN243&lt;&gt;$DO243) + $B$19*($DN243=$DO243))</f>
        <v>3.7037037037037035E-4</v>
      </c>
      <c r="FK243" s="10" cm="1">
        <f t="array" aca="1" ref="FK243" ca="1">(1-$B$18)*SUMPRODUCT(OFFSET($BO$15,0,0,$B$14,1), 1*(_xlfn._xlws.FILTER(OFFSET($O$15,0,$DN243,$B$8,1),OFFSET($M$15,0,0,$B$8,1))=FK$13), 1*(_xlfn._xlws.FILTER(OFFSET($O$15,0,$DO243,$B$8,1),OFFSET($M$15,0,0,$B$8,1))=FK$14))   /   SUM(OFFSET($BO$15,0,0,$B$14,1)) + $B$18/($B$19*$B$19*($DN243&lt;&gt;$DO243) + $B$19*($DN243=$DO243))</f>
        <v>3.7037037037037035E-4</v>
      </c>
      <c r="FL243" s="10" cm="1">
        <f t="array" aca="1" ref="FL243" ca="1">(1-$B$18)*SUMPRODUCT(OFFSET($BO$15,0,0,$B$14,1), 1*(_xlfn._xlws.FILTER(OFFSET($O$15,0,$DN243,$B$8,1),OFFSET($M$15,0,0,$B$8,1))=FL$13), 1*(_xlfn._xlws.FILTER(OFFSET($O$15,0,$DO243,$B$8,1),OFFSET($M$15,0,0,$B$8,1))=FL$14))   /   SUM(OFFSET($BO$15,0,0,$B$14,1)) + $B$18/($B$19*$B$19*($DN243&lt;&gt;$DO243) + $B$19*($DN243=$DO243))</f>
        <v>3.7037037037037035E-4</v>
      </c>
      <c r="FM243" s="10" cm="1">
        <f t="array" aca="1" ref="FM243" ca="1">(1-$B$18)*SUMPRODUCT(OFFSET($BO$15,0,0,$B$14,1), 1*(_xlfn._xlws.FILTER(OFFSET($O$15,0,$DN243,$B$8,1),OFFSET($M$15,0,0,$B$8,1))=FM$13), 1*(_xlfn._xlws.FILTER(OFFSET($O$15,0,$DO243,$B$8,1),OFFSET($M$15,0,0,$B$8,1))=FM$14))   /   SUM(OFFSET($BO$15,0,0,$B$14,1)) + $B$18/($B$19*$B$19*($DN243&lt;&gt;$DO243) + $B$19*($DN243=$DO243))</f>
        <v>3.7037037037037035E-4</v>
      </c>
      <c r="FN243" s="10" cm="1">
        <f t="array" aca="1" ref="FN243" ca="1">(1-$B$18)*SUMPRODUCT(OFFSET($BO$15,0,0,$B$14,1), 1*(_xlfn._xlws.FILTER(OFFSET($O$15,0,$DN243,$B$8,1),OFFSET($M$15,0,0,$B$8,1))=FN$13), 1*(_xlfn._xlws.FILTER(OFFSET($O$15,0,$DO243,$B$8,1),OFFSET($M$15,0,0,$B$8,1))=FN$14))   /   SUM(OFFSET($BO$15,0,0,$B$14,1)) + $B$18/($B$19*$B$19*($DN243&lt;&gt;$DO243) + $B$19*($DN243=$DO243))</f>
        <v>3.7037037037037035E-4</v>
      </c>
      <c r="FO243" s="10" cm="1">
        <f t="array" aca="1" ref="FO243" ca="1">(1-$B$18)*SUMPRODUCT(OFFSET($BO$15,0,0,$B$14,1), 1*(_xlfn._xlws.FILTER(OFFSET($O$15,0,$DN243,$B$8,1),OFFSET($M$15,0,0,$B$8,1))=FO$13), 1*(_xlfn._xlws.FILTER(OFFSET($O$15,0,$DO243,$B$8,1),OFFSET($M$15,0,0,$B$8,1))=FO$14))   /   SUM(OFFSET($BO$15,0,0,$B$14,1)) + $B$18/($B$19*$B$19*($DN243&lt;&gt;$DO243) + $B$19*($DN243=$DO243))</f>
        <v>3.7037037037037035E-4</v>
      </c>
      <c r="FP243" s="10" cm="1">
        <f t="array" aca="1" ref="FP243" ca="1">(1-$B$18)*SUMPRODUCT(OFFSET($BO$15,0,0,$B$14,1), 1*(_xlfn._xlws.FILTER(OFFSET($O$15,0,$DN243,$B$8,1),OFFSET($M$15,0,0,$B$8,1))=FP$13), 1*(_xlfn._xlws.FILTER(OFFSET($O$15,0,$DO243,$B$8,1),OFFSET($M$15,0,0,$B$8,1))=FP$14))   /   SUM(OFFSET($BO$15,0,0,$B$14,1)) + $B$18/($B$19*$B$19*($DN243&lt;&gt;$DO243) + $B$19*($DN243=$DO243))</f>
        <v>3.7037037037037035E-4</v>
      </c>
      <c r="FQ243" s="10" cm="1">
        <f t="array" aca="1" ref="FQ243" ca="1">(1-$B$18)*SUMPRODUCT(OFFSET($BO$15,0,0,$B$14,1), 1*(_xlfn._xlws.FILTER(OFFSET($O$15,0,$DN243,$B$8,1),OFFSET($M$15,0,0,$B$8,1))=FQ$13), 1*(_xlfn._xlws.FILTER(OFFSET($O$15,0,$DO243,$B$8,1),OFFSET($M$15,0,0,$B$8,1))=FQ$14))   /   SUM(OFFSET($BO$15,0,0,$B$14,1)) + $B$18/($B$19*$B$19*($DN243&lt;&gt;$DO243) + $B$19*($DN243=$DO243))</f>
        <v>3.7037037037037035E-4</v>
      </c>
      <c r="FR243" s="10" cm="1">
        <f t="array" aca="1" ref="FR243" ca="1">(1-$B$18)*SUMPRODUCT(OFFSET($BO$15,0,0,$B$14,1), 1*(_xlfn._xlws.FILTER(OFFSET($O$15,0,$DN243,$B$8,1),OFFSET($M$15,0,0,$B$8,1))=FR$13), 1*(_xlfn._xlws.FILTER(OFFSET($O$15,0,$DO243,$B$8,1),OFFSET($M$15,0,0,$B$8,1))=FR$14))   /   SUM(OFFSET($BO$15,0,0,$B$14,1)) + $B$18/($B$19*$B$19*($DN243&lt;&gt;$DO243) + $B$19*($DN243=$DO243))</f>
        <v>3.7037037037037035E-4</v>
      </c>
      <c r="FS243" s="10" cm="1">
        <f t="array" aca="1" ref="FS243" ca="1">(1-$B$18)*SUMPRODUCT(OFFSET($BO$15,0,0,$B$14,1), 1*(_xlfn._xlws.FILTER(OFFSET($O$15,0,$DN243,$B$8,1),OFFSET($M$15,0,0,$B$8,1))=FS$13), 1*(_xlfn._xlws.FILTER(OFFSET($O$15,0,$DO243,$B$8,1),OFFSET($M$15,0,0,$B$8,1))=FS$14))   /   SUM(OFFSET($BO$15,0,0,$B$14,1)) + $B$18/($B$19*$B$19*($DN243&lt;&gt;$DO243) + $B$19*($DN243=$DO243))</f>
        <v>3.7037037037037035E-4</v>
      </c>
      <c r="FT243" s="10" cm="1">
        <f t="array" aca="1" ref="FT243" ca="1">(1-$B$18)*SUMPRODUCT(OFFSET($BO$15,0,0,$B$14,1), 1*(_xlfn._xlws.FILTER(OFFSET($O$15,0,$DN243,$B$8,1),OFFSET($M$15,0,0,$B$8,1))=FT$13), 1*(_xlfn._xlws.FILTER(OFFSET($O$15,0,$DO243,$B$8,1),OFFSET($M$15,0,0,$B$8,1))=FT$14))   /   SUM(OFFSET($BO$15,0,0,$B$14,1)) + $B$18/($B$19*$B$19*($DN243&lt;&gt;$DO243) + $B$19*($DN243=$DO243))</f>
        <v>3.7037037037037035E-4</v>
      </c>
      <c r="FU243" s="10" cm="1">
        <f t="array" aca="1" ref="FU243" ca="1">(1-$B$18)*SUMPRODUCT(OFFSET($BO$15,0,0,$B$14,1), 1*(_xlfn._xlws.FILTER(OFFSET($O$15,0,$DN243,$B$8,1),OFFSET($M$15,0,0,$B$8,1))=FU$13), 1*(_xlfn._xlws.FILTER(OFFSET($O$15,0,$DO243,$B$8,1),OFFSET($M$15,0,0,$B$8,1))=FU$14))   /   SUM(OFFSET($BO$15,0,0,$B$14,1)) + $B$18/($B$19*$B$19*($DN243&lt;&gt;$DO243) + $B$19*($DN243=$DO243))</f>
        <v>3.7037037037037035E-4</v>
      </c>
      <c r="FV243" s="10" cm="1">
        <f t="array" aca="1" ref="FV243" ca="1">(1-$B$18)*SUMPRODUCT(OFFSET($BO$15,0,0,$B$14,1), 1*(_xlfn._xlws.FILTER(OFFSET($O$15,0,$DN243,$B$8,1),OFFSET($M$15,0,0,$B$8,1))=FV$13), 1*(_xlfn._xlws.FILTER(OFFSET($O$15,0,$DO243,$B$8,1),OFFSET($M$15,0,0,$B$8,1))=FV$14))   /   SUM(OFFSET($BO$15,0,0,$B$14,1)) + $B$18/($B$19*$B$19*($DN243&lt;&gt;$DO243) + $B$19*($DN243=$DO243))</f>
        <v>3.7037037037037035E-4</v>
      </c>
      <c r="FW243" s="10" cm="1">
        <f t="array" aca="1" ref="FW243" ca="1">(1-$B$18)*SUMPRODUCT(OFFSET($BO$15,0,0,$B$14,1), 1*(_xlfn._xlws.FILTER(OFFSET($O$15,0,$DN243,$B$8,1),OFFSET($M$15,0,0,$B$8,1))=FW$13), 1*(_xlfn._xlws.FILTER(OFFSET($O$15,0,$DO243,$B$8,1),OFFSET($M$15,0,0,$B$8,1))=FW$14))   /   SUM(OFFSET($BO$15,0,0,$B$14,1)) + $B$18/($B$19*$B$19*($DN243&lt;&gt;$DO243) + $B$19*($DN243=$DO243))</f>
        <v>3.7037037037037035E-4</v>
      </c>
      <c r="FX243" s="10" cm="1">
        <f t="array" aca="1" ref="FX243" ca="1">(1-$B$18)*SUMPRODUCT(OFFSET($BO$15,0,0,$B$14,1), 1*(_xlfn._xlws.FILTER(OFFSET($O$15,0,$DN243,$B$8,1),OFFSET($M$15,0,0,$B$8,1))=FX$13), 1*(_xlfn._xlws.FILTER(OFFSET($O$15,0,$DO243,$B$8,1),OFFSET($M$15,0,0,$B$8,1))=FX$14))   /   SUM(OFFSET($BO$15,0,0,$B$14,1)) + $B$18/($B$19*$B$19*($DN243&lt;&gt;$DO243) + $B$19*($DN243=$DO243))</f>
        <v>3.7037037037037035E-4</v>
      </c>
      <c r="FY243" s="10" cm="1">
        <f t="array" aca="1" ref="FY243" ca="1">(1-$B$18)*SUMPRODUCT(OFFSET($BO$15,0,0,$B$14,1), 1*(_xlfn._xlws.FILTER(OFFSET($O$15,0,$DN243,$B$8,1),OFFSET($M$15,0,0,$B$8,1))=FY$13), 1*(_xlfn._xlws.FILTER(OFFSET($O$15,0,$DO243,$B$8,1),OFFSET($M$15,0,0,$B$8,1))=FY$14))   /   SUM(OFFSET($BO$15,0,0,$B$14,1)) + $B$18/($B$19*$B$19*($DN243&lt;&gt;$DO243) + $B$19*($DN243=$DO243))</f>
        <v>3.7037037037037035E-4</v>
      </c>
      <c r="FZ243" s="10" cm="1">
        <f t="array" aca="1" ref="FZ243" ca="1">(1-$B$18)*SUMPRODUCT(OFFSET($BO$15,0,0,$B$14,1), 1*(_xlfn._xlws.FILTER(OFFSET($O$15,0,$DN243,$B$8,1),OFFSET($M$15,0,0,$B$8,1))=FZ$13), 1*(_xlfn._xlws.FILTER(OFFSET($O$15,0,$DO243,$B$8,1),OFFSET($M$15,0,0,$B$8,1))=FZ$14))   /   SUM(OFFSET($BO$15,0,0,$B$14,1)) + $B$18/($B$19*$B$19*($DN243&lt;&gt;$DO243) + $B$19*($DN243=$DO243))</f>
        <v>3.7037037037037035E-4</v>
      </c>
      <c r="GA243" s="10" cm="1">
        <f t="array" aca="1" ref="GA243" ca="1">(1-$B$18)*SUMPRODUCT(OFFSET($BO$15,0,0,$B$14,1), 1*(_xlfn._xlws.FILTER(OFFSET($O$15,0,$DN243,$B$8,1),OFFSET($M$15,0,0,$B$8,1))=GA$13), 1*(_xlfn._xlws.FILTER(OFFSET($O$15,0,$DO243,$B$8,1),OFFSET($M$15,0,0,$B$8,1))=GA$14))   /   SUM(OFFSET($BO$15,0,0,$B$14,1)) + $B$18/($B$19*$B$19*($DN243&lt;&gt;$DO243) + $B$19*($DN243=$DO243))</f>
        <v>3.7037037037037035E-4</v>
      </c>
    </row>
    <row r="244" spans="118:183" x14ac:dyDescent="0.2">
      <c r="DN244" cm="1">
        <f t="array" aca="1" ref="DN244" ca="1">INDEX(_xlfn.ANCHORARRAY($CP$15), 1 + INT((ROWS($DO$15:$DO244) - 1) / ROWS(_xlfn.ANCHORARRAY($CP$15))))</f>
        <v>13</v>
      </c>
      <c r="DO244" cm="1">
        <f t="array" aca="1" ref="DO244" ca="1">INDEX(_xlfn.ANCHORARRAY($CP$15),1+MOD(ROWS($DO$15:$DO244)-1,ROWS(_xlfn.ANCHORARRAY($CP$15))))</f>
        <v>1</v>
      </c>
      <c r="DP244" s="10" cm="1">
        <f t="array" aca="1" ref="DP244" ca="1">(1-$B$18)*SUMPRODUCT(OFFSET($BO$15,0,0,$B$14,1), 1*(_xlfn._xlws.FILTER(OFFSET($O$15,0,$DN244,$B$8,1),OFFSET($M$15,0,0,$B$8,1))=DP$13), 1*(_xlfn._xlws.FILTER(OFFSET($O$15,0,$DO244,$B$8,1),OFFSET($M$15,0,0,$B$8,1))=DP$14))   /   SUM(OFFSET($BO$15,0,0,$B$14,1)) + $B$18/($B$19*$B$19*($DN244&lt;&gt;$DO244) + $B$19*($DN244=$DO244))</f>
        <v>3.7037037037037035E-4</v>
      </c>
      <c r="DQ244" s="10" cm="1">
        <f t="array" aca="1" ref="DQ244" ca="1">(1-$B$18)*SUMPRODUCT(OFFSET($BO$15,0,0,$B$14,1), 1*(_xlfn._xlws.FILTER(OFFSET($O$15,0,$DN244,$B$8,1),OFFSET($M$15,0,0,$B$8,1))=DQ$13), 1*(_xlfn._xlws.FILTER(OFFSET($O$15,0,$DO244,$B$8,1),OFFSET($M$15,0,0,$B$8,1))=DQ$14))   /   SUM(OFFSET($BO$15,0,0,$B$14,1)) + $B$18/($B$19*$B$19*($DN244&lt;&gt;$DO244) + $B$19*($DN244=$DO244))</f>
        <v>3.7037037037037035E-4</v>
      </c>
      <c r="DR244" s="10" cm="1">
        <f t="array" aca="1" ref="DR244" ca="1">(1-$B$18)*SUMPRODUCT(OFFSET($BO$15,0,0,$B$14,1), 1*(_xlfn._xlws.FILTER(OFFSET($O$15,0,$DN244,$B$8,1),OFFSET($M$15,0,0,$B$8,1))=DR$13), 1*(_xlfn._xlws.FILTER(OFFSET($O$15,0,$DO244,$B$8,1),OFFSET($M$15,0,0,$B$8,1))=DR$14))   /   SUM(OFFSET($BO$15,0,0,$B$14,1)) + $B$18/($B$19*$B$19*($DN244&lt;&gt;$DO244) + $B$19*($DN244=$DO244))</f>
        <v>3.7037037037037035E-4</v>
      </c>
      <c r="DS244" s="10" cm="1">
        <f t="array" aca="1" ref="DS244" ca="1">(1-$B$18)*SUMPRODUCT(OFFSET($BO$15,0,0,$B$14,1), 1*(_xlfn._xlws.FILTER(OFFSET($O$15,0,$DN244,$B$8,1),OFFSET($M$15,0,0,$B$8,1))=DS$13), 1*(_xlfn._xlws.FILTER(OFFSET($O$15,0,$DO244,$B$8,1),OFFSET($M$15,0,0,$B$8,1))=DS$14))   /   SUM(OFFSET($BO$15,0,0,$B$14,1)) + $B$18/($B$19*$B$19*($DN244&lt;&gt;$DO244) + $B$19*($DN244=$DO244))</f>
        <v>3.7037037037037035E-4</v>
      </c>
      <c r="DT244" s="10" cm="1">
        <f t="array" aca="1" ref="DT244" ca="1">(1-$B$18)*SUMPRODUCT(OFFSET($BO$15,0,0,$B$14,1), 1*(_xlfn._xlws.FILTER(OFFSET($O$15,0,$DN244,$B$8,1),OFFSET($M$15,0,0,$B$8,1))=DT$13), 1*(_xlfn._xlws.FILTER(OFFSET($O$15,0,$DO244,$B$8,1),OFFSET($M$15,0,0,$B$8,1))=DT$14))   /   SUM(OFFSET($BO$15,0,0,$B$14,1)) + $B$18/($B$19*$B$19*($DN244&lt;&gt;$DO244) + $B$19*($DN244=$DO244))</f>
        <v>3.7037037037037035E-4</v>
      </c>
      <c r="DU244" s="10" cm="1">
        <f t="array" aca="1" ref="DU244" ca="1">(1-$B$18)*SUMPRODUCT(OFFSET($BO$15,0,0,$B$14,1), 1*(_xlfn._xlws.FILTER(OFFSET($O$15,0,$DN244,$B$8,1),OFFSET($M$15,0,0,$B$8,1))=DU$13), 1*(_xlfn._xlws.FILTER(OFFSET($O$15,0,$DO244,$B$8,1),OFFSET($M$15,0,0,$B$8,1))=DU$14))   /   SUM(OFFSET($BO$15,0,0,$B$14,1)) + $B$18/($B$19*$B$19*($DN244&lt;&gt;$DO244) + $B$19*($DN244=$DO244))</f>
        <v>3.7037037037037035E-4</v>
      </c>
      <c r="DV244" s="10" cm="1">
        <f t="array" aca="1" ref="DV244" ca="1">(1-$B$18)*SUMPRODUCT(OFFSET($BO$15,0,0,$B$14,1), 1*(_xlfn._xlws.FILTER(OFFSET($O$15,0,$DN244,$B$8,1),OFFSET($M$15,0,0,$B$8,1))=DV$13), 1*(_xlfn._xlws.FILTER(OFFSET($O$15,0,$DO244,$B$8,1),OFFSET($M$15,0,0,$B$8,1))=DV$14))   /   SUM(OFFSET($BO$15,0,0,$B$14,1)) + $B$18/($B$19*$B$19*($DN244&lt;&gt;$DO244) + $B$19*($DN244=$DO244))</f>
        <v>3.7037037037037035E-4</v>
      </c>
      <c r="DW244" s="10" cm="1">
        <f t="array" aca="1" ref="DW244" ca="1">(1-$B$18)*SUMPRODUCT(OFFSET($BO$15,0,0,$B$14,1), 1*(_xlfn._xlws.FILTER(OFFSET($O$15,0,$DN244,$B$8,1),OFFSET($M$15,0,0,$B$8,1))=DW$13), 1*(_xlfn._xlws.FILTER(OFFSET($O$15,0,$DO244,$B$8,1),OFFSET($M$15,0,0,$B$8,1))=DW$14))   /   SUM(OFFSET($BO$15,0,0,$B$14,1)) + $B$18/($B$19*$B$19*($DN244&lt;&gt;$DO244) + $B$19*($DN244=$DO244))</f>
        <v>3.7037037037037035E-4</v>
      </c>
      <c r="DX244" s="10" cm="1">
        <f t="array" aca="1" ref="DX244" ca="1">(1-$B$18)*SUMPRODUCT(OFFSET($BO$15,0,0,$B$14,1), 1*(_xlfn._xlws.FILTER(OFFSET($O$15,0,$DN244,$B$8,1),OFFSET($M$15,0,0,$B$8,1))=DX$13), 1*(_xlfn._xlws.FILTER(OFFSET($O$15,0,$DO244,$B$8,1),OFFSET($M$15,0,0,$B$8,1))=DX$14))   /   SUM(OFFSET($BO$15,0,0,$B$14,1)) + $B$18/($B$19*$B$19*($DN244&lt;&gt;$DO244) + $B$19*($DN244=$DO244))</f>
        <v>3.7037037037037035E-4</v>
      </c>
      <c r="DY244" s="10" cm="1">
        <f t="array" aca="1" ref="DY244" ca="1">(1-$B$18)*SUMPRODUCT(OFFSET($BO$15,0,0,$B$14,1), 1*(_xlfn._xlws.FILTER(OFFSET($O$15,0,$DN244,$B$8,1),OFFSET($M$15,0,0,$B$8,1))=DY$13), 1*(_xlfn._xlws.FILTER(OFFSET($O$15,0,$DO244,$B$8,1),OFFSET($M$15,0,0,$B$8,1))=DY$14))   /   SUM(OFFSET($BO$15,0,0,$B$14,1)) + $B$18/($B$19*$B$19*($DN244&lt;&gt;$DO244) + $B$19*($DN244=$DO244))</f>
        <v>3.7037037037037035E-4</v>
      </c>
      <c r="DZ244" s="10" cm="1">
        <f t="array" aca="1" ref="DZ244" ca="1">(1-$B$18)*SUMPRODUCT(OFFSET($BO$15,0,0,$B$14,1), 1*(_xlfn._xlws.FILTER(OFFSET($O$15,0,$DN244,$B$8,1),OFFSET($M$15,0,0,$B$8,1))=DZ$13), 1*(_xlfn._xlws.FILTER(OFFSET($O$15,0,$DO244,$B$8,1),OFFSET($M$15,0,0,$B$8,1))=DZ$14))   /   SUM(OFFSET($BO$15,0,0,$B$14,1)) + $B$18/($B$19*$B$19*($DN244&lt;&gt;$DO244) + $B$19*($DN244=$DO244))</f>
        <v>3.7037037037037035E-4</v>
      </c>
      <c r="EA244" s="10" cm="1">
        <f t="array" aca="1" ref="EA244" ca="1">(1-$B$18)*SUMPRODUCT(OFFSET($BO$15,0,0,$B$14,1), 1*(_xlfn._xlws.FILTER(OFFSET($O$15,0,$DN244,$B$8,1),OFFSET($M$15,0,0,$B$8,1))=EA$13), 1*(_xlfn._xlws.FILTER(OFFSET($O$15,0,$DO244,$B$8,1),OFFSET($M$15,0,0,$B$8,1))=EA$14))   /   SUM(OFFSET($BO$15,0,0,$B$14,1)) + $B$18/($B$19*$B$19*($DN244&lt;&gt;$DO244) + $B$19*($DN244=$DO244))</f>
        <v>3.7037037037037035E-4</v>
      </c>
      <c r="EB244" s="10" cm="1">
        <f t="array" aca="1" ref="EB244" ca="1">(1-$B$18)*SUMPRODUCT(OFFSET($BO$15,0,0,$B$14,1), 1*(_xlfn._xlws.FILTER(OFFSET($O$15,0,$DN244,$B$8,1),OFFSET($M$15,0,0,$B$8,1))=EB$13), 1*(_xlfn._xlws.FILTER(OFFSET($O$15,0,$DO244,$B$8,1),OFFSET($M$15,0,0,$B$8,1))=EB$14))   /   SUM(OFFSET($BO$15,0,0,$B$14,1)) + $B$18/($B$19*$B$19*($DN244&lt;&gt;$DO244) + $B$19*($DN244=$DO244))</f>
        <v>3.7037037037037035E-4</v>
      </c>
      <c r="EC244" s="10" cm="1">
        <f t="array" aca="1" ref="EC244" ca="1">(1-$B$18)*SUMPRODUCT(OFFSET($BO$15,0,0,$B$14,1), 1*(_xlfn._xlws.FILTER(OFFSET($O$15,0,$DN244,$B$8,1),OFFSET($M$15,0,0,$B$8,1))=EC$13), 1*(_xlfn._xlws.FILTER(OFFSET($O$15,0,$DO244,$B$8,1),OFFSET($M$15,0,0,$B$8,1))=EC$14))   /   SUM(OFFSET($BO$15,0,0,$B$14,1)) + $B$18/($B$19*$B$19*($DN244&lt;&gt;$DO244) + $B$19*($DN244=$DO244))</f>
        <v>3.7037037037037035E-4</v>
      </c>
      <c r="ED244" s="10" cm="1">
        <f t="array" aca="1" ref="ED244" ca="1">(1-$B$18)*SUMPRODUCT(OFFSET($BO$15,0,0,$B$14,1), 1*(_xlfn._xlws.FILTER(OFFSET($O$15,0,$DN244,$B$8,1),OFFSET($M$15,0,0,$B$8,1))=ED$13), 1*(_xlfn._xlws.FILTER(OFFSET($O$15,0,$DO244,$B$8,1),OFFSET($M$15,0,0,$B$8,1))=ED$14))   /   SUM(OFFSET($BO$15,0,0,$B$14,1)) + $B$18/($B$19*$B$19*($DN244&lt;&gt;$DO244) + $B$19*($DN244=$DO244))</f>
        <v>0.97037037037037033</v>
      </c>
      <c r="EE244" s="10" cm="1">
        <f t="array" aca="1" ref="EE244" ca="1">(1-$B$18)*SUMPRODUCT(OFFSET($BO$15,0,0,$B$14,1), 1*(_xlfn._xlws.FILTER(OFFSET($O$15,0,$DN244,$B$8,1),OFFSET($M$15,0,0,$B$8,1))=EE$13), 1*(_xlfn._xlws.FILTER(OFFSET($O$15,0,$DO244,$B$8,1),OFFSET($M$15,0,0,$B$8,1))=EE$14))   /   SUM(OFFSET($BO$15,0,0,$B$14,1)) + $B$18/($B$19*$B$19*($DN244&lt;&gt;$DO244) + $B$19*($DN244=$DO244))</f>
        <v>3.7037037037037035E-4</v>
      </c>
      <c r="EF244" s="10" cm="1">
        <f t="array" aca="1" ref="EF244" ca="1">(1-$B$18)*SUMPRODUCT(OFFSET($BO$15,0,0,$B$14,1), 1*(_xlfn._xlws.FILTER(OFFSET($O$15,0,$DN244,$B$8,1),OFFSET($M$15,0,0,$B$8,1))=EF$13), 1*(_xlfn._xlws.FILTER(OFFSET($O$15,0,$DO244,$B$8,1),OFFSET($M$15,0,0,$B$8,1))=EF$14))   /   SUM(OFFSET($BO$15,0,0,$B$14,1)) + $B$18/($B$19*$B$19*($DN244&lt;&gt;$DO244) + $B$19*($DN244=$DO244))</f>
        <v>3.7037037037037035E-4</v>
      </c>
      <c r="EG244" s="10" cm="1">
        <f t="array" aca="1" ref="EG244" ca="1">(1-$B$18)*SUMPRODUCT(OFFSET($BO$15,0,0,$B$14,1), 1*(_xlfn._xlws.FILTER(OFFSET($O$15,0,$DN244,$B$8,1),OFFSET($M$15,0,0,$B$8,1))=EG$13), 1*(_xlfn._xlws.FILTER(OFFSET($O$15,0,$DO244,$B$8,1),OFFSET($M$15,0,0,$B$8,1))=EG$14))   /   SUM(OFFSET($BO$15,0,0,$B$14,1)) + $B$18/($B$19*$B$19*($DN244&lt;&gt;$DO244) + $B$19*($DN244=$DO244))</f>
        <v>3.7037037037037035E-4</v>
      </c>
      <c r="EH244" s="10" cm="1">
        <f t="array" aca="1" ref="EH244" ca="1">(1-$B$18)*SUMPRODUCT(OFFSET($BO$15,0,0,$B$14,1), 1*(_xlfn._xlws.FILTER(OFFSET($O$15,0,$DN244,$B$8,1),OFFSET($M$15,0,0,$B$8,1))=EH$13), 1*(_xlfn._xlws.FILTER(OFFSET($O$15,0,$DO244,$B$8,1),OFFSET($M$15,0,0,$B$8,1))=EH$14))   /   SUM(OFFSET($BO$15,0,0,$B$14,1)) + $B$18/($B$19*$B$19*($DN244&lt;&gt;$DO244) + $B$19*($DN244=$DO244))</f>
        <v>3.7037037037037035E-4</v>
      </c>
      <c r="EI244" s="10" cm="1">
        <f t="array" aca="1" ref="EI244" ca="1">(1-$B$18)*SUMPRODUCT(OFFSET($BO$15,0,0,$B$14,1), 1*(_xlfn._xlws.FILTER(OFFSET($O$15,0,$DN244,$B$8,1),OFFSET($M$15,0,0,$B$8,1))=EI$13), 1*(_xlfn._xlws.FILTER(OFFSET($O$15,0,$DO244,$B$8,1),OFFSET($M$15,0,0,$B$8,1))=EI$14))   /   SUM(OFFSET($BO$15,0,0,$B$14,1)) + $B$18/($B$19*$B$19*($DN244&lt;&gt;$DO244) + $B$19*($DN244=$DO244))</f>
        <v>3.7037037037037035E-4</v>
      </c>
      <c r="EJ244" s="10" cm="1">
        <f t="array" aca="1" ref="EJ244" ca="1">(1-$B$18)*SUMPRODUCT(OFFSET($BO$15,0,0,$B$14,1), 1*(_xlfn._xlws.FILTER(OFFSET($O$15,0,$DN244,$B$8,1),OFFSET($M$15,0,0,$B$8,1))=EJ$13), 1*(_xlfn._xlws.FILTER(OFFSET($O$15,0,$DO244,$B$8,1),OFFSET($M$15,0,0,$B$8,1))=EJ$14))   /   SUM(OFFSET($BO$15,0,0,$B$14,1)) + $B$18/($B$19*$B$19*($DN244&lt;&gt;$DO244) + $B$19*($DN244=$DO244))</f>
        <v>3.7037037037037035E-4</v>
      </c>
      <c r="EK244" s="10" cm="1">
        <f t="array" aca="1" ref="EK244" ca="1">(1-$B$18)*SUMPRODUCT(OFFSET($BO$15,0,0,$B$14,1), 1*(_xlfn._xlws.FILTER(OFFSET($O$15,0,$DN244,$B$8,1),OFFSET($M$15,0,0,$B$8,1))=EK$13), 1*(_xlfn._xlws.FILTER(OFFSET($O$15,0,$DO244,$B$8,1),OFFSET($M$15,0,0,$B$8,1))=EK$14))   /   SUM(OFFSET($BO$15,0,0,$B$14,1)) + $B$18/($B$19*$B$19*($DN244&lt;&gt;$DO244) + $B$19*($DN244=$DO244))</f>
        <v>3.7037037037037035E-4</v>
      </c>
      <c r="EL244" s="10" cm="1">
        <f t="array" aca="1" ref="EL244" ca="1">(1-$B$18)*SUMPRODUCT(OFFSET($BO$15,0,0,$B$14,1), 1*(_xlfn._xlws.FILTER(OFFSET($O$15,0,$DN244,$B$8,1),OFFSET($M$15,0,0,$B$8,1))=EL$13), 1*(_xlfn._xlws.FILTER(OFFSET($O$15,0,$DO244,$B$8,1),OFFSET($M$15,0,0,$B$8,1))=EL$14))   /   SUM(OFFSET($BO$15,0,0,$B$14,1)) + $B$18/($B$19*$B$19*($DN244&lt;&gt;$DO244) + $B$19*($DN244=$DO244))</f>
        <v>3.7037037037037035E-4</v>
      </c>
      <c r="EM244" s="10" cm="1">
        <f t="array" aca="1" ref="EM244" ca="1">(1-$B$18)*SUMPRODUCT(OFFSET($BO$15,0,0,$B$14,1), 1*(_xlfn._xlws.FILTER(OFFSET($O$15,0,$DN244,$B$8,1),OFFSET($M$15,0,0,$B$8,1))=EM$13), 1*(_xlfn._xlws.FILTER(OFFSET($O$15,0,$DO244,$B$8,1),OFFSET($M$15,0,0,$B$8,1))=EM$14))   /   SUM(OFFSET($BO$15,0,0,$B$14,1)) + $B$18/($B$19*$B$19*($DN244&lt;&gt;$DO244) + $B$19*($DN244=$DO244))</f>
        <v>3.7037037037037035E-4</v>
      </c>
      <c r="EN244" s="10" cm="1">
        <f t="array" aca="1" ref="EN244" ca="1">(1-$B$18)*SUMPRODUCT(OFFSET($BO$15,0,0,$B$14,1), 1*(_xlfn._xlws.FILTER(OFFSET($O$15,0,$DN244,$B$8,1),OFFSET($M$15,0,0,$B$8,1))=EN$13), 1*(_xlfn._xlws.FILTER(OFFSET($O$15,0,$DO244,$B$8,1),OFFSET($M$15,0,0,$B$8,1))=EN$14))   /   SUM(OFFSET($BO$15,0,0,$B$14,1)) + $B$18/($B$19*$B$19*($DN244&lt;&gt;$DO244) + $B$19*($DN244=$DO244))</f>
        <v>3.7037037037037035E-4</v>
      </c>
      <c r="EO244" s="10" cm="1">
        <f t="array" aca="1" ref="EO244" ca="1">(1-$B$18)*SUMPRODUCT(OFFSET($BO$15,0,0,$B$14,1), 1*(_xlfn._xlws.FILTER(OFFSET($O$15,0,$DN244,$B$8,1),OFFSET($M$15,0,0,$B$8,1))=EO$13), 1*(_xlfn._xlws.FILTER(OFFSET($O$15,0,$DO244,$B$8,1),OFFSET($M$15,0,0,$B$8,1))=EO$14))   /   SUM(OFFSET($BO$15,0,0,$B$14,1)) + $B$18/($B$19*$B$19*($DN244&lt;&gt;$DO244) + $B$19*($DN244=$DO244))</f>
        <v>3.7037037037037035E-4</v>
      </c>
      <c r="EP244" s="10" cm="1">
        <f t="array" aca="1" ref="EP244" ca="1">(1-$B$18)*SUMPRODUCT(OFFSET($BO$15,0,0,$B$14,1), 1*(_xlfn._xlws.FILTER(OFFSET($O$15,0,$DN244,$B$8,1),OFFSET($M$15,0,0,$B$8,1))=EP$13), 1*(_xlfn._xlws.FILTER(OFFSET($O$15,0,$DO244,$B$8,1),OFFSET($M$15,0,0,$B$8,1))=EP$14))   /   SUM(OFFSET($BO$15,0,0,$B$14,1)) + $B$18/($B$19*$B$19*($DN244&lt;&gt;$DO244) + $B$19*($DN244=$DO244))</f>
        <v>3.7037037037037035E-4</v>
      </c>
      <c r="EQ244" s="10" cm="1">
        <f t="array" aca="1" ref="EQ244" ca="1">(1-$B$18)*SUMPRODUCT(OFFSET($BO$15,0,0,$B$14,1), 1*(_xlfn._xlws.FILTER(OFFSET($O$15,0,$DN244,$B$8,1),OFFSET($M$15,0,0,$B$8,1))=EQ$13), 1*(_xlfn._xlws.FILTER(OFFSET($O$15,0,$DO244,$B$8,1),OFFSET($M$15,0,0,$B$8,1))=EQ$14))   /   SUM(OFFSET($BO$15,0,0,$B$14,1)) + $B$18/($B$19*$B$19*($DN244&lt;&gt;$DO244) + $B$19*($DN244=$DO244))</f>
        <v>3.7037037037037035E-4</v>
      </c>
      <c r="ER244" s="10" cm="1">
        <f t="array" aca="1" ref="ER244" ca="1">(1-$B$18)*SUMPRODUCT(OFFSET($BO$15,0,0,$B$14,1), 1*(_xlfn._xlws.FILTER(OFFSET($O$15,0,$DN244,$B$8,1),OFFSET($M$15,0,0,$B$8,1))=ER$13), 1*(_xlfn._xlws.FILTER(OFFSET($O$15,0,$DO244,$B$8,1),OFFSET($M$15,0,0,$B$8,1))=ER$14))   /   SUM(OFFSET($BO$15,0,0,$B$14,1)) + $B$18/($B$19*$B$19*($DN244&lt;&gt;$DO244) + $B$19*($DN244=$DO244))</f>
        <v>3.7037037037037035E-4</v>
      </c>
      <c r="ES244" s="10" cm="1">
        <f t="array" aca="1" ref="ES244" ca="1">(1-$B$18)*SUMPRODUCT(OFFSET($BO$15,0,0,$B$14,1), 1*(_xlfn._xlws.FILTER(OFFSET($O$15,0,$DN244,$B$8,1),OFFSET($M$15,0,0,$B$8,1))=ES$13), 1*(_xlfn._xlws.FILTER(OFFSET($O$15,0,$DO244,$B$8,1),OFFSET($M$15,0,0,$B$8,1))=ES$14))   /   SUM(OFFSET($BO$15,0,0,$B$14,1)) + $B$18/($B$19*$B$19*($DN244&lt;&gt;$DO244) + $B$19*($DN244=$DO244))</f>
        <v>3.7037037037037035E-4</v>
      </c>
      <c r="ET244" s="10" cm="1">
        <f t="array" aca="1" ref="ET244" ca="1">(1-$B$18)*SUMPRODUCT(OFFSET($BO$15,0,0,$B$14,1), 1*(_xlfn._xlws.FILTER(OFFSET($O$15,0,$DN244,$B$8,1),OFFSET($M$15,0,0,$B$8,1))=ET$13), 1*(_xlfn._xlws.FILTER(OFFSET($O$15,0,$DO244,$B$8,1),OFFSET($M$15,0,0,$B$8,1))=ET$14))   /   SUM(OFFSET($BO$15,0,0,$B$14,1)) + $B$18/($B$19*$B$19*($DN244&lt;&gt;$DO244) + $B$19*($DN244=$DO244))</f>
        <v>3.7037037037037035E-4</v>
      </c>
      <c r="EU244" s="10" cm="1">
        <f t="array" aca="1" ref="EU244" ca="1">(1-$B$18)*SUMPRODUCT(OFFSET($BO$15,0,0,$B$14,1), 1*(_xlfn._xlws.FILTER(OFFSET($O$15,0,$DN244,$B$8,1),OFFSET($M$15,0,0,$B$8,1))=EU$13), 1*(_xlfn._xlws.FILTER(OFFSET($O$15,0,$DO244,$B$8,1),OFFSET($M$15,0,0,$B$8,1))=EU$14))   /   SUM(OFFSET($BO$15,0,0,$B$14,1)) + $B$18/($B$19*$B$19*($DN244&lt;&gt;$DO244) + $B$19*($DN244=$DO244))</f>
        <v>3.7037037037037035E-4</v>
      </c>
      <c r="EV244" s="10" cm="1">
        <f t="array" aca="1" ref="EV244" ca="1">(1-$B$18)*SUMPRODUCT(OFFSET($BO$15,0,0,$B$14,1), 1*(_xlfn._xlws.FILTER(OFFSET($O$15,0,$DN244,$B$8,1),OFFSET($M$15,0,0,$B$8,1))=EV$13), 1*(_xlfn._xlws.FILTER(OFFSET($O$15,0,$DO244,$B$8,1),OFFSET($M$15,0,0,$B$8,1))=EV$14))   /   SUM(OFFSET($BO$15,0,0,$B$14,1)) + $B$18/($B$19*$B$19*($DN244&lt;&gt;$DO244) + $B$19*($DN244=$DO244))</f>
        <v>3.7037037037037035E-4</v>
      </c>
      <c r="EW244" s="10" cm="1">
        <f t="array" aca="1" ref="EW244" ca="1">(1-$B$18)*SUMPRODUCT(OFFSET($BO$15,0,0,$B$14,1), 1*(_xlfn._xlws.FILTER(OFFSET($O$15,0,$DN244,$B$8,1),OFFSET($M$15,0,0,$B$8,1))=EW$13), 1*(_xlfn._xlws.FILTER(OFFSET($O$15,0,$DO244,$B$8,1),OFFSET($M$15,0,0,$B$8,1))=EW$14))   /   SUM(OFFSET($BO$15,0,0,$B$14,1)) + $B$18/($B$19*$B$19*($DN244&lt;&gt;$DO244) + $B$19*($DN244=$DO244))</f>
        <v>3.7037037037037035E-4</v>
      </c>
      <c r="EX244" s="10" cm="1">
        <f t="array" aca="1" ref="EX244" ca="1">(1-$B$18)*SUMPRODUCT(OFFSET($BO$15,0,0,$B$14,1), 1*(_xlfn._xlws.FILTER(OFFSET($O$15,0,$DN244,$B$8,1),OFFSET($M$15,0,0,$B$8,1))=EX$13), 1*(_xlfn._xlws.FILTER(OFFSET($O$15,0,$DO244,$B$8,1),OFFSET($M$15,0,0,$B$8,1))=EX$14))   /   SUM(OFFSET($BO$15,0,0,$B$14,1)) + $B$18/($B$19*$B$19*($DN244&lt;&gt;$DO244) + $B$19*($DN244=$DO244))</f>
        <v>3.7037037037037035E-4</v>
      </c>
      <c r="EY244" s="10" cm="1">
        <f t="array" aca="1" ref="EY244" ca="1">(1-$B$18)*SUMPRODUCT(OFFSET($BO$15,0,0,$B$14,1), 1*(_xlfn._xlws.FILTER(OFFSET($O$15,0,$DN244,$B$8,1),OFFSET($M$15,0,0,$B$8,1))=EY$13), 1*(_xlfn._xlws.FILTER(OFFSET($O$15,0,$DO244,$B$8,1),OFFSET($M$15,0,0,$B$8,1))=EY$14))   /   SUM(OFFSET($BO$15,0,0,$B$14,1)) + $B$18/($B$19*$B$19*($DN244&lt;&gt;$DO244) + $B$19*($DN244=$DO244))</f>
        <v>3.7037037037037035E-4</v>
      </c>
      <c r="EZ244" s="10" cm="1">
        <f t="array" aca="1" ref="EZ244" ca="1">(1-$B$18)*SUMPRODUCT(OFFSET($BO$15,0,0,$B$14,1), 1*(_xlfn._xlws.FILTER(OFFSET($O$15,0,$DN244,$B$8,1),OFFSET($M$15,0,0,$B$8,1))=EZ$13), 1*(_xlfn._xlws.FILTER(OFFSET($O$15,0,$DO244,$B$8,1),OFFSET($M$15,0,0,$B$8,1))=EZ$14))   /   SUM(OFFSET($BO$15,0,0,$B$14,1)) + $B$18/($B$19*$B$19*($DN244&lt;&gt;$DO244) + $B$19*($DN244=$DO244))</f>
        <v>3.7037037037037035E-4</v>
      </c>
      <c r="FA244" s="10" cm="1">
        <f t="array" aca="1" ref="FA244" ca="1">(1-$B$18)*SUMPRODUCT(OFFSET($BO$15,0,0,$B$14,1), 1*(_xlfn._xlws.FILTER(OFFSET($O$15,0,$DN244,$B$8,1),OFFSET($M$15,0,0,$B$8,1))=FA$13), 1*(_xlfn._xlws.FILTER(OFFSET($O$15,0,$DO244,$B$8,1),OFFSET($M$15,0,0,$B$8,1))=FA$14))   /   SUM(OFFSET($BO$15,0,0,$B$14,1)) + $B$18/($B$19*$B$19*($DN244&lt;&gt;$DO244) + $B$19*($DN244=$DO244))</f>
        <v>3.7037037037037035E-4</v>
      </c>
      <c r="FB244" s="10" cm="1">
        <f t="array" aca="1" ref="FB244" ca="1">(1-$B$18)*SUMPRODUCT(OFFSET($BO$15,0,0,$B$14,1), 1*(_xlfn._xlws.FILTER(OFFSET($O$15,0,$DN244,$B$8,1),OFFSET($M$15,0,0,$B$8,1))=FB$13), 1*(_xlfn._xlws.FILTER(OFFSET($O$15,0,$DO244,$B$8,1),OFFSET($M$15,0,0,$B$8,1))=FB$14))   /   SUM(OFFSET($BO$15,0,0,$B$14,1)) + $B$18/($B$19*$B$19*($DN244&lt;&gt;$DO244) + $B$19*($DN244=$DO244))</f>
        <v>3.7037037037037035E-4</v>
      </c>
      <c r="FC244" s="10" cm="1">
        <f t="array" aca="1" ref="FC244" ca="1">(1-$B$18)*SUMPRODUCT(OFFSET($BO$15,0,0,$B$14,1), 1*(_xlfn._xlws.FILTER(OFFSET($O$15,0,$DN244,$B$8,1),OFFSET($M$15,0,0,$B$8,1))=FC$13), 1*(_xlfn._xlws.FILTER(OFFSET($O$15,0,$DO244,$B$8,1),OFFSET($M$15,0,0,$B$8,1))=FC$14))   /   SUM(OFFSET($BO$15,0,0,$B$14,1)) + $B$18/($B$19*$B$19*($DN244&lt;&gt;$DO244) + $B$19*($DN244=$DO244))</f>
        <v>3.7037037037037035E-4</v>
      </c>
      <c r="FD244" s="10" cm="1">
        <f t="array" aca="1" ref="FD244" ca="1">(1-$B$18)*SUMPRODUCT(OFFSET($BO$15,0,0,$B$14,1), 1*(_xlfn._xlws.FILTER(OFFSET($O$15,0,$DN244,$B$8,1),OFFSET($M$15,0,0,$B$8,1))=FD$13), 1*(_xlfn._xlws.FILTER(OFFSET($O$15,0,$DO244,$B$8,1),OFFSET($M$15,0,0,$B$8,1))=FD$14))   /   SUM(OFFSET($BO$15,0,0,$B$14,1)) + $B$18/($B$19*$B$19*($DN244&lt;&gt;$DO244) + $B$19*($DN244=$DO244))</f>
        <v>3.7037037037037035E-4</v>
      </c>
      <c r="FE244" s="10" cm="1">
        <f t="array" aca="1" ref="FE244" ca="1">(1-$B$18)*SUMPRODUCT(OFFSET($BO$15,0,0,$B$14,1), 1*(_xlfn._xlws.FILTER(OFFSET($O$15,0,$DN244,$B$8,1),OFFSET($M$15,0,0,$B$8,1))=FE$13), 1*(_xlfn._xlws.FILTER(OFFSET($O$15,0,$DO244,$B$8,1),OFFSET($M$15,0,0,$B$8,1))=FE$14))   /   SUM(OFFSET($BO$15,0,0,$B$14,1)) + $B$18/($B$19*$B$19*($DN244&lt;&gt;$DO244) + $B$19*($DN244=$DO244))</f>
        <v>3.7037037037037035E-4</v>
      </c>
      <c r="FF244" s="10" cm="1">
        <f t="array" aca="1" ref="FF244" ca="1">(1-$B$18)*SUMPRODUCT(OFFSET($BO$15,0,0,$B$14,1), 1*(_xlfn._xlws.FILTER(OFFSET($O$15,0,$DN244,$B$8,1),OFFSET($M$15,0,0,$B$8,1))=FF$13), 1*(_xlfn._xlws.FILTER(OFFSET($O$15,0,$DO244,$B$8,1),OFFSET($M$15,0,0,$B$8,1))=FF$14))   /   SUM(OFFSET($BO$15,0,0,$B$14,1)) + $B$18/($B$19*$B$19*($DN244&lt;&gt;$DO244) + $B$19*($DN244=$DO244))</f>
        <v>3.7037037037037035E-4</v>
      </c>
      <c r="FG244" s="10" cm="1">
        <f t="array" aca="1" ref="FG244" ca="1">(1-$B$18)*SUMPRODUCT(OFFSET($BO$15,0,0,$B$14,1), 1*(_xlfn._xlws.FILTER(OFFSET($O$15,0,$DN244,$B$8,1),OFFSET($M$15,0,0,$B$8,1))=FG$13), 1*(_xlfn._xlws.FILTER(OFFSET($O$15,0,$DO244,$B$8,1),OFFSET($M$15,0,0,$B$8,1))=FG$14))   /   SUM(OFFSET($BO$15,0,0,$B$14,1)) + $B$18/($B$19*$B$19*($DN244&lt;&gt;$DO244) + $B$19*($DN244=$DO244))</f>
        <v>3.7037037037037035E-4</v>
      </c>
      <c r="FH244" s="10" cm="1">
        <f t="array" aca="1" ref="FH244" ca="1">(1-$B$18)*SUMPRODUCT(OFFSET($BO$15,0,0,$B$14,1), 1*(_xlfn._xlws.FILTER(OFFSET($O$15,0,$DN244,$B$8,1),OFFSET($M$15,0,0,$B$8,1))=FH$13), 1*(_xlfn._xlws.FILTER(OFFSET($O$15,0,$DO244,$B$8,1),OFFSET($M$15,0,0,$B$8,1))=FH$14))   /   SUM(OFFSET($BO$15,0,0,$B$14,1)) + $B$18/($B$19*$B$19*($DN244&lt;&gt;$DO244) + $B$19*($DN244=$DO244))</f>
        <v>3.7037037037037035E-4</v>
      </c>
      <c r="FI244" s="10" cm="1">
        <f t="array" aca="1" ref="FI244" ca="1">(1-$B$18)*SUMPRODUCT(OFFSET($BO$15,0,0,$B$14,1), 1*(_xlfn._xlws.FILTER(OFFSET($O$15,0,$DN244,$B$8,1),OFFSET($M$15,0,0,$B$8,1))=FI$13), 1*(_xlfn._xlws.FILTER(OFFSET($O$15,0,$DO244,$B$8,1),OFFSET($M$15,0,0,$B$8,1))=FI$14))   /   SUM(OFFSET($BO$15,0,0,$B$14,1)) + $B$18/($B$19*$B$19*($DN244&lt;&gt;$DO244) + $B$19*($DN244=$DO244))</f>
        <v>3.7037037037037035E-4</v>
      </c>
      <c r="FJ244" s="10" cm="1">
        <f t="array" aca="1" ref="FJ244" ca="1">(1-$B$18)*SUMPRODUCT(OFFSET($BO$15,0,0,$B$14,1), 1*(_xlfn._xlws.FILTER(OFFSET($O$15,0,$DN244,$B$8,1),OFFSET($M$15,0,0,$B$8,1))=FJ$13), 1*(_xlfn._xlws.FILTER(OFFSET($O$15,0,$DO244,$B$8,1),OFFSET($M$15,0,0,$B$8,1))=FJ$14))   /   SUM(OFFSET($BO$15,0,0,$B$14,1)) + $B$18/($B$19*$B$19*($DN244&lt;&gt;$DO244) + $B$19*($DN244=$DO244))</f>
        <v>3.7037037037037035E-4</v>
      </c>
      <c r="FK244" s="10" cm="1">
        <f t="array" aca="1" ref="FK244" ca="1">(1-$B$18)*SUMPRODUCT(OFFSET($BO$15,0,0,$B$14,1), 1*(_xlfn._xlws.FILTER(OFFSET($O$15,0,$DN244,$B$8,1),OFFSET($M$15,0,0,$B$8,1))=FK$13), 1*(_xlfn._xlws.FILTER(OFFSET($O$15,0,$DO244,$B$8,1),OFFSET($M$15,0,0,$B$8,1))=FK$14))   /   SUM(OFFSET($BO$15,0,0,$B$14,1)) + $B$18/($B$19*$B$19*($DN244&lt;&gt;$DO244) + $B$19*($DN244=$DO244))</f>
        <v>3.7037037037037035E-4</v>
      </c>
      <c r="FL244" s="10" cm="1">
        <f t="array" aca="1" ref="FL244" ca="1">(1-$B$18)*SUMPRODUCT(OFFSET($BO$15,0,0,$B$14,1), 1*(_xlfn._xlws.FILTER(OFFSET($O$15,0,$DN244,$B$8,1),OFFSET($M$15,0,0,$B$8,1))=FL$13), 1*(_xlfn._xlws.FILTER(OFFSET($O$15,0,$DO244,$B$8,1),OFFSET($M$15,0,0,$B$8,1))=FL$14))   /   SUM(OFFSET($BO$15,0,0,$B$14,1)) + $B$18/($B$19*$B$19*($DN244&lt;&gt;$DO244) + $B$19*($DN244=$DO244))</f>
        <v>3.7037037037037035E-4</v>
      </c>
      <c r="FM244" s="10" cm="1">
        <f t="array" aca="1" ref="FM244" ca="1">(1-$B$18)*SUMPRODUCT(OFFSET($BO$15,0,0,$B$14,1), 1*(_xlfn._xlws.FILTER(OFFSET($O$15,0,$DN244,$B$8,1),OFFSET($M$15,0,0,$B$8,1))=FM$13), 1*(_xlfn._xlws.FILTER(OFFSET($O$15,0,$DO244,$B$8,1),OFFSET($M$15,0,0,$B$8,1))=FM$14))   /   SUM(OFFSET($BO$15,0,0,$B$14,1)) + $B$18/($B$19*$B$19*($DN244&lt;&gt;$DO244) + $B$19*($DN244=$DO244))</f>
        <v>3.7037037037037035E-4</v>
      </c>
      <c r="FN244" s="10" cm="1">
        <f t="array" aca="1" ref="FN244" ca="1">(1-$B$18)*SUMPRODUCT(OFFSET($BO$15,0,0,$B$14,1), 1*(_xlfn._xlws.FILTER(OFFSET($O$15,0,$DN244,$B$8,1),OFFSET($M$15,0,0,$B$8,1))=FN$13), 1*(_xlfn._xlws.FILTER(OFFSET($O$15,0,$DO244,$B$8,1),OFFSET($M$15,0,0,$B$8,1))=FN$14))   /   SUM(OFFSET($BO$15,0,0,$B$14,1)) + $B$18/($B$19*$B$19*($DN244&lt;&gt;$DO244) + $B$19*($DN244=$DO244))</f>
        <v>3.7037037037037035E-4</v>
      </c>
      <c r="FO244" s="10" cm="1">
        <f t="array" aca="1" ref="FO244" ca="1">(1-$B$18)*SUMPRODUCT(OFFSET($BO$15,0,0,$B$14,1), 1*(_xlfn._xlws.FILTER(OFFSET($O$15,0,$DN244,$B$8,1),OFFSET($M$15,0,0,$B$8,1))=FO$13), 1*(_xlfn._xlws.FILTER(OFFSET($O$15,0,$DO244,$B$8,1),OFFSET($M$15,0,0,$B$8,1))=FO$14))   /   SUM(OFFSET($BO$15,0,0,$B$14,1)) + $B$18/($B$19*$B$19*($DN244&lt;&gt;$DO244) + $B$19*($DN244=$DO244))</f>
        <v>3.7037037037037035E-4</v>
      </c>
      <c r="FP244" s="10" cm="1">
        <f t="array" aca="1" ref="FP244" ca="1">(1-$B$18)*SUMPRODUCT(OFFSET($BO$15,0,0,$B$14,1), 1*(_xlfn._xlws.FILTER(OFFSET($O$15,0,$DN244,$B$8,1),OFFSET($M$15,0,0,$B$8,1))=FP$13), 1*(_xlfn._xlws.FILTER(OFFSET($O$15,0,$DO244,$B$8,1),OFFSET($M$15,0,0,$B$8,1))=FP$14))   /   SUM(OFFSET($BO$15,0,0,$B$14,1)) + $B$18/($B$19*$B$19*($DN244&lt;&gt;$DO244) + $B$19*($DN244=$DO244))</f>
        <v>3.7037037037037035E-4</v>
      </c>
      <c r="FQ244" s="10" cm="1">
        <f t="array" aca="1" ref="FQ244" ca="1">(1-$B$18)*SUMPRODUCT(OFFSET($BO$15,0,0,$B$14,1), 1*(_xlfn._xlws.FILTER(OFFSET($O$15,0,$DN244,$B$8,1),OFFSET($M$15,0,0,$B$8,1))=FQ$13), 1*(_xlfn._xlws.FILTER(OFFSET($O$15,0,$DO244,$B$8,1),OFFSET($M$15,0,0,$B$8,1))=FQ$14))   /   SUM(OFFSET($BO$15,0,0,$B$14,1)) + $B$18/($B$19*$B$19*($DN244&lt;&gt;$DO244) + $B$19*($DN244=$DO244))</f>
        <v>3.7037037037037035E-4</v>
      </c>
      <c r="FR244" s="10" cm="1">
        <f t="array" aca="1" ref="FR244" ca="1">(1-$B$18)*SUMPRODUCT(OFFSET($BO$15,0,0,$B$14,1), 1*(_xlfn._xlws.FILTER(OFFSET($O$15,0,$DN244,$B$8,1),OFFSET($M$15,0,0,$B$8,1))=FR$13), 1*(_xlfn._xlws.FILTER(OFFSET($O$15,0,$DO244,$B$8,1),OFFSET($M$15,0,0,$B$8,1))=FR$14))   /   SUM(OFFSET($BO$15,0,0,$B$14,1)) + $B$18/($B$19*$B$19*($DN244&lt;&gt;$DO244) + $B$19*($DN244=$DO244))</f>
        <v>3.7037037037037035E-4</v>
      </c>
      <c r="FS244" s="10" cm="1">
        <f t="array" aca="1" ref="FS244" ca="1">(1-$B$18)*SUMPRODUCT(OFFSET($BO$15,0,0,$B$14,1), 1*(_xlfn._xlws.FILTER(OFFSET($O$15,0,$DN244,$B$8,1),OFFSET($M$15,0,0,$B$8,1))=FS$13), 1*(_xlfn._xlws.FILTER(OFFSET($O$15,0,$DO244,$B$8,1),OFFSET($M$15,0,0,$B$8,1))=FS$14))   /   SUM(OFFSET($BO$15,0,0,$B$14,1)) + $B$18/($B$19*$B$19*($DN244&lt;&gt;$DO244) + $B$19*($DN244=$DO244))</f>
        <v>3.7037037037037035E-4</v>
      </c>
      <c r="FT244" s="10" cm="1">
        <f t="array" aca="1" ref="FT244" ca="1">(1-$B$18)*SUMPRODUCT(OFFSET($BO$15,0,0,$B$14,1), 1*(_xlfn._xlws.FILTER(OFFSET($O$15,0,$DN244,$B$8,1),OFFSET($M$15,0,0,$B$8,1))=FT$13), 1*(_xlfn._xlws.FILTER(OFFSET($O$15,0,$DO244,$B$8,1),OFFSET($M$15,0,0,$B$8,1))=FT$14))   /   SUM(OFFSET($BO$15,0,0,$B$14,1)) + $B$18/($B$19*$B$19*($DN244&lt;&gt;$DO244) + $B$19*($DN244=$DO244))</f>
        <v>3.7037037037037035E-4</v>
      </c>
      <c r="FU244" s="10" cm="1">
        <f t="array" aca="1" ref="FU244" ca="1">(1-$B$18)*SUMPRODUCT(OFFSET($BO$15,0,0,$B$14,1), 1*(_xlfn._xlws.FILTER(OFFSET($O$15,0,$DN244,$B$8,1),OFFSET($M$15,0,0,$B$8,1))=FU$13), 1*(_xlfn._xlws.FILTER(OFFSET($O$15,0,$DO244,$B$8,1),OFFSET($M$15,0,0,$B$8,1))=FU$14))   /   SUM(OFFSET($BO$15,0,0,$B$14,1)) + $B$18/($B$19*$B$19*($DN244&lt;&gt;$DO244) + $B$19*($DN244=$DO244))</f>
        <v>3.7037037037037035E-4</v>
      </c>
      <c r="FV244" s="10" cm="1">
        <f t="array" aca="1" ref="FV244" ca="1">(1-$B$18)*SUMPRODUCT(OFFSET($BO$15,0,0,$B$14,1), 1*(_xlfn._xlws.FILTER(OFFSET($O$15,0,$DN244,$B$8,1),OFFSET($M$15,0,0,$B$8,1))=FV$13), 1*(_xlfn._xlws.FILTER(OFFSET($O$15,0,$DO244,$B$8,1),OFFSET($M$15,0,0,$B$8,1))=FV$14))   /   SUM(OFFSET($BO$15,0,0,$B$14,1)) + $B$18/($B$19*$B$19*($DN244&lt;&gt;$DO244) + $B$19*($DN244=$DO244))</f>
        <v>3.7037037037037035E-4</v>
      </c>
      <c r="FW244" s="10" cm="1">
        <f t="array" aca="1" ref="FW244" ca="1">(1-$B$18)*SUMPRODUCT(OFFSET($BO$15,0,0,$B$14,1), 1*(_xlfn._xlws.FILTER(OFFSET($O$15,0,$DN244,$B$8,1),OFFSET($M$15,0,0,$B$8,1))=FW$13), 1*(_xlfn._xlws.FILTER(OFFSET($O$15,0,$DO244,$B$8,1),OFFSET($M$15,0,0,$B$8,1))=FW$14))   /   SUM(OFFSET($BO$15,0,0,$B$14,1)) + $B$18/($B$19*$B$19*($DN244&lt;&gt;$DO244) + $B$19*($DN244=$DO244))</f>
        <v>3.7037037037037035E-4</v>
      </c>
      <c r="FX244" s="10" cm="1">
        <f t="array" aca="1" ref="FX244" ca="1">(1-$B$18)*SUMPRODUCT(OFFSET($BO$15,0,0,$B$14,1), 1*(_xlfn._xlws.FILTER(OFFSET($O$15,0,$DN244,$B$8,1),OFFSET($M$15,0,0,$B$8,1))=FX$13), 1*(_xlfn._xlws.FILTER(OFFSET($O$15,0,$DO244,$B$8,1),OFFSET($M$15,0,0,$B$8,1))=FX$14))   /   SUM(OFFSET($BO$15,0,0,$B$14,1)) + $B$18/($B$19*$B$19*($DN244&lt;&gt;$DO244) + $B$19*($DN244=$DO244))</f>
        <v>3.7037037037037035E-4</v>
      </c>
      <c r="FY244" s="10" cm="1">
        <f t="array" aca="1" ref="FY244" ca="1">(1-$B$18)*SUMPRODUCT(OFFSET($BO$15,0,0,$B$14,1), 1*(_xlfn._xlws.FILTER(OFFSET($O$15,0,$DN244,$B$8,1),OFFSET($M$15,0,0,$B$8,1))=FY$13), 1*(_xlfn._xlws.FILTER(OFFSET($O$15,0,$DO244,$B$8,1),OFFSET($M$15,0,0,$B$8,1))=FY$14))   /   SUM(OFFSET($BO$15,0,0,$B$14,1)) + $B$18/($B$19*$B$19*($DN244&lt;&gt;$DO244) + $B$19*($DN244=$DO244))</f>
        <v>3.7037037037037035E-4</v>
      </c>
      <c r="FZ244" s="10" cm="1">
        <f t="array" aca="1" ref="FZ244" ca="1">(1-$B$18)*SUMPRODUCT(OFFSET($BO$15,0,0,$B$14,1), 1*(_xlfn._xlws.FILTER(OFFSET($O$15,0,$DN244,$B$8,1),OFFSET($M$15,0,0,$B$8,1))=FZ$13), 1*(_xlfn._xlws.FILTER(OFFSET($O$15,0,$DO244,$B$8,1),OFFSET($M$15,0,0,$B$8,1))=FZ$14))   /   SUM(OFFSET($BO$15,0,0,$B$14,1)) + $B$18/($B$19*$B$19*($DN244&lt;&gt;$DO244) + $B$19*($DN244=$DO244))</f>
        <v>3.7037037037037035E-4</v>
      </c>
      <c r="GA244" s="10" cm="1">
        <f t="array" aca="1" ref="GA244" ca="1">(1-$B$18)*SUMPRODUCT(OFFSET($BO$15,0,0,$B$14,1), 1*(_xlfn._xlws.FILTER(OFFSET($O$15,0,$DN244,$B$8,1),OFFSET($M$15,0,0,$B$8,1))=GA$13), 1*(_xlfn._xlws.FILTER(OFFSET($O$15,0,$DO244,$B$8,1),OFFSET($M$15,0,0,$B$8,1))=GA$14))   /   SUM(OFFSET($BO$15,0,0,$B$14,1)) + $B$18/($B$19*$B$19*($DN244&lt;&gt;$DO244) + $B$19*($DN244=$DO244))</f>
        <v>3.7037037037037035E-4</v>
      </c>
    </row>
    <row r="245" spans="118:183" x14ac:dyDescent="0.2">
      <c r="DN245" cm="1">
        <f t="array" aca="1" ref="DN245" ca="1">INDEX(_xlfn.ANCHORARRAY($CP$15), 1 + INT((ROWS($DO$15:$DO245) - 1) / ROWS(_xlfn.ANCHORARRAY($CP$15))))</f>
        <v>13</v>
      </c>
      <c r="DO245" cm="1">
        <f t="array" aca="1" ref="DO245" ca="1">INDEX(_xlfn.ANCHORARRAY($CP$15),1+MOD(ROWS($DO$15:$DO245)-1,ROWS(_xlfn.ANCHORARRAY($CP$15))))</f>
        <v>2</v>
      </c>
      <c r="DP245" s="10" cm="1">
        <f t="array" aca="1" ref="DP245" ca="1">(1-$B$18)*SUMPRODUCT(OFFSET($BO$15,0,0,$B$14,1), 1*(_xlfn._xlws.FILTER(OFFSET($O$15,0,$DN245,$B$8,1),OFFSET($M$15,0,0,$B$8,1))=DP$13), 1*(_xlfn._xlws.FILTER(OFFSET($O$15,0,$DO245,$B$8,1),OFFSET($M$15,0,0,$B$8,1))=DP$14))   /   SUM(OFFSET($BO$15,0,0,$B$14,1)) + $B$18/($B$19*$B$19*($DN245&lt;&gt;$DO245) + $B$19*($DN245=$DO245))</f>
        <v>3.7037037037037035E-4</v>
      </c>
      <c r="DQ245" s="10" cm="1">
        <f t="array" aca="1" ref="DQ245" ca="1">(1-$B$18)*SUMPRODUCT(OFFSET($BO$15,0,0,$B$14,1), 1*(_xlfn._xlws.FILTER(OFFSET($O$15,0,$DN245,$B$8,1),OFFSET($M$15,0,0,$B$8,1))=DQ$13), 1*(_xlfn._xlws.FILTER(OFFSET($O$15,0,$DO245,$B$8,1),OFFSET($M$15,0,0,$B$8,1))=DQ$14))   /   SUM(OFFSET($BO$15,0,0,$B$14,1)) + $B$18/($B$19*$B$19*($DN245&lt;&gt;$DO245) + $B$19*($DN245=$DO245))</f>
        <v>3.7037037037037035E-4</v>
      </c>
      <c r="DR245" s="10" cm="1">
        <f t="array" aca="1" ref="DR245" ca="1">(1-$B$18)*SUMPRODUCT(OFFSET($BO$15,0,0,$B$14,1), 1*(_xlfn._xlws.FILTER(OFFSET($O$15,0,$DN245,$B$8,1),OFFSET($M$15,0,0,$B$8,1))=DR$13), 1*(_xlfn._xlws.FILTER(OFFSET($O$15,0,$DO245,$B$8,1),OFFSET($M$15,0,0,$B$8,1))=DR$14))   /   SUM(OFFSET($BO$15,0,0,$B$14,1)) + $B$18/($B$19*$B$19*($DN245&lt;&gt;$DO245) + $B$19*($DN245=$DO245))</f>
        <v>3.7037037037037035E-4</v>
      </c>
      <c r="DS245" s="10" cm="1">
        <f t="array" aca="1" ref="DS245" ca="1">(1-$B$18)*SUMPRODUCT(OFFSET($BO$15,0,0,$B$14,1), 1*(_xlfn._xlws.FILTER(OFFSET($O$15,0,$DN245,$B$8,1),OFFSET($M$15,0,0,$B$8,1))=DS$13), 1*(_xlfn._xlws.FILTER(OFFSET($O$15,0,$DO245,$B$8,1),OFFSET($M$15,0,0,$B$8,1))=DS$14))   /   SUM(OFFSET($BO$15,0,0,$B$14,1)) + $B$18/($B$19*$B$19*($DN245&lt;&gt;$DO245) + $B$19*($DN245=$DO245))</f>
        <v>3.7037037037037035E-4</v>
      </c>
      <c r="DT245" s="10" cm="1">
        <f t="array" aca="1" ref="DT245" ca="1">(1-$B$18)*SUMPRODUCT(OFFSET($BO$15,0,0,$B$14,1), 1*(_xlfn._xlws.FILTER(OFFSET($O$15,0,$DN245,$B$8,1),OFFSET($M$15,0,0,$B$8,1))=DT$13), 1*(_xlfn._xlws.FILTER(OFFSET($O$15,0,$DO245,$B$8,1),OFFSET($M$15,0,0,$B$8,1))=DT$14))   /   SUM(OFFSET($BO$15,0,0,$B$14,1)) + $B$18/($B$19*$B$19*($DN245&lt;&gt;$DO245) + $B$19*($DN245=$DO245))</f>
        <v>3.7037037037037035E-4</v>
      </c>
      <c r="DU245" s="10" cm="1">
        <f t="array" aca="1" ref="DU245" ca="1">(1-$B$18)*SUMPRODUCT(OFFSET($BO$15,0,0,$B$14,1), 1*(_xlfn._xlws.FILTER(OFFSET($O$15,0,$DN245,$B$8,1),OFFSET($M$15,0,0,$B$8,1))=DU$13), 1*(_xlfn._xlws.FILTER(OFFSET($O$15,0,$DO245,$B$8,1),OFFSET($M$15,0,0,$B$8,1))=DU$14))   /   SUM(OFFSET($BO$15,0,0,$B$14,1)) + $B$18/($B$19*$B$19*($DN245&lt;&gt;$DO245) + $B$19*($DN245=$DO245))</f>
        <v>3.7037037037037035E-4</v>
      </c>
      <c r="DV245" s="10" cm="1">
        <f t="array" aca="1" ref="DV245" ca="1">(1-$B$18)*SUMPRODUCT(OFFSET($BO$15,0,0,$B$14,1), 1*(_xlfn._xlws.FILTER(OFFSET($O$15,0,$DN245,$B$8,1),OFFSET($M$15,0,0,$B$8,1))=DV$13), 1*(_xlfn._xlws.FILTER(OFFSET($O$15,0,$DO245,$B$8,1),OFFSET($M$15,0,0,$B$8,1))=DV$14))   /   SUM(OFFSET($BO$15,0,0,$B$14,1)) + $B$18/($B$19*$B$19*($DN245&lt;&gt;$DO245) + $B$19*($DN245=$DO245))</f>
        <v>3.7037037037037035E-4</v>
      </c>
      <c r="DW245" s="10" cm="1">
        <f t="array" aca="1" ref="DW245" ca="1">(1-$B$18)*SUMPRODUCT(OFFSET($BO$15,0,0,$B$14,1), 1*(_xlfn._xlws.FILTER(OFFSET($O$15,0,$DN245,$B$8,1),OFFSET($M$15,0,0,$B$8,1))=DW$13), 1*(_xlfn._xlws.FILTER(OFFSET($O$15,0,$DO245,$B$8,1),OFFSET($M$15,0,0,$B$8,1))=DW$14))   /   SUM(OFFSET($BO$15,0,0,$B$14,1)) + $B$18/($B$19*$B$19*($DN245&lt;&gt;$DO245) + $B$19*($DN245=$DO245))</f>
        <v>3.7037037037037035E-4</v>
      </c>
      <c r="DX245" s="10" cm="1">
        <f t="array" aca="1" ref="DX245" ca="1">(1-$B$18)*SUMPRODUCT(OFFSET($BO$15,0,0,$B$14,1), 1*(_xlfn._xlws.FILTER(OFFSET($O$15,0,$DN245,$B$8,1),OFFSET($M$15,0,0,$B$8,1))=DX$13), 1*(_xlfn._xlws.FILTER(OFFSET($O$15,0,$DO245,$B$8,1),OFFSET($M$15,0,0,$B$8,1))=DX$14))   /   SUM(OFFSET($BO$15,0,0,$B$14,1)) + $B$18/($B$19*$B$19*($DN245&lt;&gt;$DO245) + $B$19*($DN245=$DO245))</f>
        <v>3.7037037037037035E-4</v>
      </c>
      <c r="DY245" s="10" cm="1">
        <f t="array" aca="1" ref="DY245" ca="1">(1-$B$18)*SUMPRODUCT(OFFSET($BO$15,0,0,$B$14,1), 1*(_xlfn._xlws.FILTER(OFFSET($O$15,0,$DN245,$B$8,1),OFFSET($M$15,0,0,$B$8,1))=DY$13), 1*(_xlfn._xlws.FILTER(OFFSET($O$15,0,$DO245,$B$8,1),OFFSET($M$15,0,0,$B$8,1))=DY$14))   /   SUM(OFFSET($BO$15,0,0,$B$14,1)) + $B$18/($B$19*$B$19*($DN245&lt;&gt;$DO245) + $B$19*($DN245=$DO245))</f>
        <v>3.7037037037037035E-4</v>
      </c>
      <c r="DZ245" s="10" cm="1">
        <f t="array" aca="1" ref="DZ245" ca="1">(1-$B$18)*SUMPRODUCT(OFFSET($BO$15,0,0,$B$14,1), 1*(_xlfn._xlws.FILTER(OFFSET($O$15,0,$DN245,$B$8,1),OFFSET($M$15,0,0,$B$8,1))=DZ$13), 1*(_xlfn._xlws.FILTER(OFFSET($O$15,0,$DO245,$B$8,1),OFFSET($M$15,0,0,$B$8,1))=DZ$14))   /   SUM(OFFSET($BO$15,0,0,$B$14,1)) + $B$18/($B$19*$B$19*($DN245&lt;&gt;$DO245) + $B$19*($DN245=$DO245))</f>
        <v>3.7037037037037035E-4</v>
      </c>
      <c r="EA245" s="10" cm="1">
        <f t="array" aca="1" ref="EA245" ca="1">(1-$B$18)*SUMPRODUCT(OFFSET($BO$15,0,0,$B$14,1), 1*(_xlfn._xlws.FILTER(OFFSET($O$15,0,$DN245,$B$8,1),OFFSET($M$15,0,0,$B$8,1))=EA$13), 1*(_xlfn._xlws.FILTER(OFFSET($O$15,0,$DO245,$B$8,1),OFFSET($M$15,0,0,$B$8,1))=EA$14))   /   SUM(OFFSET($BO$15,0,0,$B$14,1)) + $B$18/($B$19*$B$19*($DN245&lt;&gt;$DO245) + $B$19*($DN245=$DO245))</f>
        <v>3.7037037037037035E-4</v>
      </c>
      <c r="EB245" s="10" cm="1">
        <f t="array" aca="1" ref="EB245" ca="1">(1-$B$18)*SUMPRODUCT(OFFSET($BO$15,0,0,$B$14,1), 1*(_xlfn._xlws.FILTER(OFFSET($O$15,0,$DN245,$B$8,1),OFFSET($M$15,0,0,$B$8,1))=EB$13), 1*(_xlfn._xlws.FILTER(OFFSET($O$15,0,$DO245,$B$8,1),OFFSET($M$15,0,0,$B$8,1))=EB$14))   /   SUM(OFFSET($BO$15,0,0,$B$14,1)) + $B$18/($B$19*$B$19*($DN245&lt;&gt;$DO245) + $B$19*($DN245=$DO245))</f>
        <v>3.7037037037037035E-4</v>
      </c>
      <c r="EC245" s="10" cm="1">
        <f t="array" aca="1" ref="EC245" ca="1">(1-$B$18)*SUMPRODUCT(OFFSET($BO$15,0,0,$B$14,1), 1*(_xlfn._xlws.FILTER(OFFSET($O$15,0,$DN245,$B$8,1),OFFSET($M$15,0,0,$B$8,1))=EC$13), 1*(_xlfn._xlws.FILTER(OFFSET($O$15,0,$DO245,$B$8,1),OFFSET($M$15,0,0,$B$8,1))=EC$14))   /   SUM(OFFSET($BO$15,0,0,$B$14,1)) + $B$18/($B$19*$B$19*($DN245&lt;&gt;$DO245) + $B$19*($DN245=$DO245))</f>
        <v>3.7037037037037035E-4</v>
      </c>
      <c r="ED245" s="10" cm="1">
        <f t="array" aca="1" ref="ED245" ca="1">(1-$B$18)*SUMPRODUCT(OFFSET($BO$15,0,0,$B$14,1), 1*(_xlfn._xlws.FILTER(OFFSET($O$15,0,$DN245,$B$8,1),OFFSET($M$15,0,0,$B$8,1))=ED$13), 1*(_xlfn._xlws.FILTER(OFFSET($O$15,0,$DO245,$B$8,1),OFFSET($M$15,0,0,$B$8,1))=ED$14))   /   SUM(OFFSET($BO$15,0,0,$B$14,1)) + $B$18/($B$19*$B$19*($DN245&lt;&gt;$DO245) + $B$19*($DN245=$DO245))</f>
        <v>0.97037037037037033</v>
      </c>
      <c r="EE245" s="10" cm="1">
        <f t="array" aca="1" ref="EE245" ca="1">(1-$B$18)*SUMPRODUCT(OFFSET($BO$15,0,0,$B$14,1), 1*(_xlfn._xlws.FILTER(OFFSET($O$15,0,$DN245,$B$8,1),OFFSET($M$15,0,0,$B$8,1))=EE$13), 1*(_xlfn._xlws.FILTER(OFFSET($O$15,0,$DO245,$B$8,1),OFFSET($M$15,0,0,$B$8,1))=EE$14))   /   SUM(OFFSET($BO$15,0,0,$B$14,1)) + $B$18/($B$19*$B$19*($DN245&lt;&gt;$DO245) + $B$19*($DN245=$DO245))</f>
        <v>3.7037037037037035E-4</v>
      </c>
      <c r="EF245" s="10" cm="1">
        <f t="array" aca="1" ref="EF245" ca="1">(1-$B$18)*SUMPRODUCT(OFFSET($BO$15,0,0,$B$14,1), 1*(_xlfn._xlws.FILTER(OFFSET($O$15,0,$DN245,$B$8,1),OFFSET($M$15,0,0,$B$8,1))=EF$13), 1*(_xlfn._xlws.FILTER(OFFSET($O$15,0,$DO245,$B$8,1),OFFSET($M$15,0,0,$B$8,1))=EF$14))   /   SUM(OFFSET($BO$15,0,0,$B$14,1)) + $B$18/($B$19*$B$19*($DN245&lt;&gt;$DO245) + $B$19*($DN245=$DO245))</f>
        <v>3.7037037037037035E-4</v>
      </c>
      <c r="EG245" s="10" cm="1">
        <f t="array" aca="1" ref="EG245" ca="1">(1-$B$18)*SUMPRODUCT(OFFSET($BO$15,0,0,$B$14,1), 1*(_xlfn._xlws.FILTER(OFFSET($O$15,0,$DN245,$B$8,1),OFFSET($M$15,0,0,$B$8,1))=EG$13), 1*(_xlfn._xlws.FILTER(OFFSET($O$15,0,$DO245,$B$8,1),OFFSET($M$15,0,0,$B$8,1))=EG$14))   /   SUM(OFFSET($BO$15,0,0,$B$14,1)) + $B$18/($B$19*$B$19*($DN245&lt;&gt;$DO245) + $B$19*($DN245=$DO245))</f>
        <v>3.7037037037037035E-4</v>
      </c>
      <c r="EH245" s="10" cm="1">
        <f t="array" aca="1" ref="EH245" ca="1">(1-$B$18)*SUMPRODUCT(OFFSET($BO$15,0,0,$B$14,1), 1*(_xlfn._xlws.FILTER(OFFSET($O$15,0,$DN245,$B$8,1),OFFSET($M$15,0,0,$B$8,1))=EH$13), 1*(_xlfn._xlws.FILTER(OFFSET($O$15,0,$DO245,$B$8,1),OFFSET($M$15,0,0,$B$8,1))=EH$14))   /   SUM(OFFSET($BO$15,0,0,$B$14,1)) + $B$18/($B$19*$B$19*($DN245&lt;&gt;$DO245) + $B$19*($DN245=$DO245))</f>
        <v>3.7037037037037035E-4</v>
      </c>
      <c r="EI245" s="10" cm="1">
        <f t="array" aca="1" ref="EI245" ca="1">(1-$B$18)*SUMPRODUCT(OFFSET($BO$15,0,0,$B$14,1), 1*(_xlfn._xlws.FILTER(OFFSET($O$15,0,$DN245,$B$8,1),OFFSET($M$15,0,0,$B$8,1))=EI$13), 1*(_xlfn._xlws.FILTER(OFFSET($O$15,0,$DO245,$B$8,1),OFFSET($M$15,0,0,$B$8,1))=EI$14))   /   SUM(OFFSET($BO$15,0,0,$B$14,1)) + $B$18/($B$19*$B$19*($DN245&lt;&gt;$DO245) + $B$19*($DN245=$DO245))</f>
        <v>3.7037037037037035E-4</v>
      </c>
      <c r="EJ245" s="10" cm="1">
        <f t="array" aca="1" ref="EJ245" ca="1">(1-$B$18)*SUMPRODUCT(OFFSET($BO$15,0,0,$B$14,1), 1*(_xlfn._xlws.FILTER(OFFSET($O$15,0,$DN245,$B$8,1),OFFSET($M$15,0,0,$B$8,1))=EJ$13), 1*(_xlfn._xlws.FILTER(OFFSET($O$15,0,$DO245,$B$8,1),OFFSET($M$15,0,0,$B$8,1))=EJ$14))   /   SUM(OFFSET($BO$15,0,0,$B$14,1)) + $B$18/($B$19*$B$19*($DN245&lt;&gt;$DO245) + $B$19*($DN245=$DO245))</f>
        <v>3.7037037037037035E-4</v>
      </c>
      <c r="EK245" s="10" cm="1">
        <f t="array" aca="1" ref="EK245" ca="1">(1-$B$18)*SUMPRODUCT(OFFSET($BO$15,0,0,$B$14,1), 1*(_xlfn._xlws.FILTER(OFFSET($O$15,0,$DN245,$B$8,1),OFFSET($M$15,0,0,$B$8,1))=EK$13), 1*(_xlfn._xlws.FILTER(OFFSET($O$15,0,$DO245,$B$8,1),OFFSET($M$15,0,0,$B$8,1))=EK$14))   /   SUM(OFFSET($BO$15,0,0,$B$14,1)) + $B$18/($B$19*$B$19*($DN245&lt;&gt;$DO245) + $B$19*($DN245=$DO245))</f>
        <v>3.7037037037037035E-4</v>
      </c>
      <c r="EL245" s="10" cm="1">
        <f t="array" aca="1" ref="EL245" ca="1">(1-$B$18)*SUMPRODUCT(OFFSET($BO$15,0,0,$B$14,1), 1*(_xlfn._xlws.FILTER(OFFSET($O$15,0,$DN245,$B$8,1),OFFSET($M$15,0,0,$B$8,1))=EL$13), 1*(_xlfn._xlws.FILTER(OFFSET($O$15,0,$DO245,$B$8,1),OFFSET($M$15,0,0,$B$8,1))=EL$14))   /   SUM(OFFSET($BO$15,0,0,$B$14,1)) + $B$18/($B$19*$B$19*($DN245&lt;&gt;$DO245) + $B$19*($DN245=$DO245))</f>
        <v>3.7037037037037035E-4</v>
      </c>
      <c r="EM245" s="10" cm="1">
        <f t="array" aca="1" ref="EM245" ca="1">(1-$B$18)*SUMPRODUCT(OFFSET($BO$15,0,0,$B$14,1), 1*(_xlfn._xlws.FILTER(OFFSET($O$15,0,$DN245,$B$8,1),OFFSET($M$15,0,0,$B$8,1))=EM$13), 1*(_xlfn._xlws.FILTER(OFFSET($O$15,0,$DO245,$B$8,1),OFFSET($M$15,0,0,$B$8,1))=EM$14))   /   SUM(OFFSET($BO$15,0,0,$B$14,1)) + $B$18/($B$19*$B$19*($DN245&lt;&gt;$DO245) + $B$19*($DN245=$DO245))</f>
        <v>3.7037037037037035E-4</v>
      </c>
      <c r="EN245" s="10" cm="1">
        <f t="array" aca="1" ref="EN245" ca="1">(1-$B$18)*SUMPRODUCT(OFFSET($BO$15,0,0,$B$14,1), 1*(_xlfn._xlws.FILTER(OFFSET($O$15,0,$DN245,$B$8,1),OFFSET($M$15,0,0,$B$8,1))=EN$13), 1*(_xlfn._xlws.FILTER(OFFSET($O$15,0,$DO245,$B$8,1),OFFSET($M$15,0,0,$B$8,1))=EN$14))   /   SUM(OFFSET($BO$15,0,0,$B$14,1)) + $B$18/($B$19*$B$19*($DN245&lt;&gt;$DO245) + $B$19*($DN245=$DO245))</f>
        <v>3.7037037037037035E-4</v>
      </c>
      <c r="EO245" s="10" cm="1">
        <f t="array" aca="1" ref="EO245" ca="1">(1-$B$18)*SUMPRODUCT(OFFSET($BO$15,0,0,$B$14,1), 1*(_xlfn._xlws.FILTER(OFFSET($O$15,0,$DN245,$B$8,1),OFFSET($M$15,0,0,$B$8,1))=EO$13), 1*(_xlfn._xlws.FILTER(OFFSET($O$15,0,$DO245,$B$8,1),OFFSET($M$15,0,0,$B$8,1))=EO$14))   /   SUM(OFFSET($BO$15,0,0,$B$14,1)) + $B$18/($B$19*$B$19*($DN245&lt;&gt;$DO245) + $B$19*($DN245=$DO245))</f>
        <v>3.7037037037037035E-4</v>
      </c>
      <c r="EP245" s="10" cm="1">
        <f t="array" aca="1" ref="EP245" ca="1">(1-$B$18)*SUMPRODUCT(OFFSET($BO$15,0,0,$B$14,1), 1*(_xlfn._xlws.FILTER(OFFSET($O$15,0,$DN245,$B$8,1),OFFSET($M$15,0,0,$B$8,1))=EP$13), 1*(_xlfn._xlws.FILTER(OFFSET($O$15,0,$DO245,$B$8,1),OFFSET($M$15,0,0,$B$8,1))=EP$14))   /   SUM(OFFSET($BO$15,0,0,$B$14,1)) + $B$18/($B$19*$B$19*($DN245&lt;&gt;$DO245) + $B$19*($DN245=$DO245))</f>
        <v>3.7037037037037035E-4</v>
      </c>
      <c r="EQ245" s="10" cm="1">
        <f t="array" aca="1" ref="EQ245" ca="1">(1-$B$18)*SUMPRODUCT(OFFSET($BO$15,0,0,$B$14,1), 1*(_xlfn._xlws.FILTER(OFFSET($O$15,0,$DN245,$B$8,1),OFFSET($M$15,0,0,$B$8,1))=EQ$13), 1*(_xlfn._xlws.FILTER(OFFSET($O$15,0,$DO245,$B$8,1),OFFSET($M$15,0,0,$B$8,1))=EQ$14))   /   SUM(OFFSET($BO$15,0,0,$B$14,1)) + $B$18/($B$19*$B$19*($DN245&lt;&gt;$DO245) + $B$19*($DN245=$DO245))</f>
        <v>3.7037037037037035E-4</v>
      </c>
      <c r="ER245" s="10" cm="1">
        <f t="array" aca="1" ref="ER245" ca="1">(1-$B$18)*SUMPRODUCT(OFFSET($BO$15,0,0,$B$14,1), 1*(_xlfn._xlws.FILTER(OFFSET($O$15,0,$DN245,$B$8,1),OFFSET($M$15,0,0,$B$8,1))=ER$13), 1*(_xlfn._xlws.FILTER(OFFSET($O$15,0,$DO245,$B$8,1),OFFSET($M$15,0,0,$B$8,1))=ER$14))   /   SUM(OFFSET($BO$15,0,0,$B$14,1)) + $B$18/($B$19*$B$19*($DN245&lt;&gt;$DO245) + $B$19*($DN245=$DO245))</f>
        <v>3.7037037037037035E-4</v>
      </c>
      <c r="ES245" s="10" cm="1">
        <f t="array" aca="1" ref="ES245" ca="1">(1-$B$18)*SUMPRODUCT(OFFSET($BO$15,0,0,$B$14,1), 1*(_xlfn._xlws.FILTER(OFFSET($O$15,0,$DN245,$B$8,1),OFFSET($M$15,0,0,$B$8,1))=ES$13), 1*(_xlfn._xlws.FILTER(OFFSET($O$15,0,$DO245,$B$8,1),OFFSET($M$15,0,0,$B$8,1))=ES$14))   /   SUM(OFFSET($BO$15,0,0,$B$14,1)) + $B$18/($B$19*$B$19*($DN245&lt;&gt;$DO245) + $B$19*($DN245=$DO245))</f>
        <v>3.7037037037037035E-4</v>
      </c>
      <c r="ET245" s="10" cm="1">
        <f t="array" aca="1" ref="ET245" ca="1">(1-$B$18)*SUMPRODUCT(OFFSET($BO$15,0,0,$B$14,1), 1*(_xlfn._xlws.FILTER(OFFSET($O$15,0,$DN245,$B$8,1),OFFSET($M$15,0,0,$B$8,1))=ET$13), 1*(_xlfn._xlws.FILTER(OFFSET($O$15,0,$DO245,$B$8,1),OFFSET($M$15,0,0,$B$8,1))=ET$14))   /   SUM(OFFSET($BO$15,0,0,$B$14,1)) + $B$18/($B$19*$B$19*($DN245&lt;&gt;$DO245) + $B$19*($DN245=$DO245))</f>
        <v>3.7037037037037035E-4</v>
      </c>
      <c r="EU245" s="10" cm="1">
        <f t="array" aca="1" ref="EU245" ca="1">(1-$B$18)*SUMPRODUCT(OFFSET($BO$15,0,0,$B$14,1), 1*(_xlfn._xlws.FILTER(OFFSET($O$15,0,$DN245,$B$8,1),OFFSET($M$15,0,0,$B$8,1))=EU$13), 1*(_xlfn._xlws.FILTER(OFFSET($O$15,0,$DO245,$B$8,1),OFFSET($M$15,0,0,$B$8,1))=EU$14))   /   SUM(OFFSET($BO$15,0,0,$B$14,1)) + $B$18/($B$19*$B$19*($DN245&lt;&gt;$DO245) + $B$19*($DN245=$DO245))</f>
        <v>3.7037037037037035E-4</v>
      </c>
      <c r="EV245" s="10" cm="1">
        <f t="array" aca="1" ref="EV245" ca="1">(1-$B$18)*SUMPRODUCT(OFFSET($BO$15,0,0,$B$14,1), 1*(_xlfn._xlws.FILTER(OFFSET($O$15,0,$DN245,$B$8,1),OFFSET($M$15,0,0,$B$8,1))=EV$13), 1*(_xlfn._xlws.FILTER(OFFSET($O$15,0,$DO245,$B$8,1),OFFSET($M$15,0,0,$B$8,1))=EV$14))   /   SUM(OFFSET($BO$15,0,0,$B$14,1)) + $B$18/($B$19*$B$19*($DN245&lt;&gt;$DO245) + $B$19*($DN245=$DO245))</f>
        <v>3.7037037037037035E-4</v>
      </c>
      <c r="EW245" s="10" cm="1">
        <f t="array" aca="1" ref="EW245" ca="1">(1-$B$18)*SUMPRODUCT(OFFSET($BO$15,0,0,$B$14,1), 1*(_xlfn._xlws.FILTER(OFFSET($O$15,0,$DN245,$B$8,1),OFFSET($M$15,0,0,$B$8,1))=EW$13), 1*(_xlfn._xlws.FILTER(OFFSET($O$15,0,$DO245,$B$8,1),OFFSET($M$15,0,0,$B$8,1))=EW$14))   /   SUM(OFFSET($BO$15,0,0,$B$14,1)) + $B$18/($B$19*$B$19*($DN245&lt;&gt;$DO245) + $B$19*($DN245=$DO245))</f>
        <v>3.7037037037037035E-4</v>
      </c>
      <c r="EX245" s="10" cm="1">
        <f t="array" aca="1" ref="EX245" ca="1">(1-$B$18)*SUMPRODUCT(OFFSET($BO$15,0,0,$B$14,1), 1*(_xlfn._xlws.FILTER(OFFSET($O$15,0,$DN245,$B$8,1),OFFSET($M$15,0,0,$B$8,1))=EX$13), 1*(_xlfn._xlws.FILTER(OFFSET($O$15,0,$DO245,$B$8,1),OFFSET($M$15,0,0,$B$8,1))=EX$14))   /   SUM(OFFSET($BO$15,0,0,$B$14,1)) + $B$18/($B$19*$B$19*($DN245&lt;&gt;$DO245) + $B$19*($DN245=$DO245))</f>
        <v>3.7037037037037035E-4</v>
      </c>
      <c r="EY245" s="10" cm="1">
        <f t="array" aca="1" ref="EY245" ca="1">(1-$B$18)*SUMPRODUCT(OFFSET($BO$15,0,0,$B$14,1), 1*(_xlfn._xlws.FILTER(OFFSET($O$15,0,$DN245,$B$8,1),OFFSET($M$15,0,0,$B$8,1))=EY$13), 1*(_xlfn._xlws.FILTER(OFFSET($O$15,0,$DO245,$B$8,1),OFFSET($M$15,0,0,$B$8,1))=EY$14))   /   SUM(OFFSET($BO$15,0,0,$B$14,1)) + $B$18/($B$19*$B$19*($DN245&lt;&gt;$DO245) + $B$19*($DN245=$DO245))</f>
        <v>3.7037037037037035E-4</v>
      </c>
      <c r="EZ245" s="10" cm="1">
        <f t="array" aca="1" ref="EZ245" ca="1">(1-$B$18)*SUMPRODUCT(OFFSET($BO$15,0,0,$B$14,1), 1*(_xlfn._xlws.FILTER(OFFSET($O$15,0,$DN245,$B$8,1),OFFSET($M$15,0,0,$B$8,1))=EZ$13), 1*(_xlfn._xlws.FILTER(OFFSET($O$15,0,$DO245,$B$8,1),OFFSET($M$15,0,0,$B$8,1))=EZ$14))   /   SUM(OFFSET($BO$15,0,0,$B$14,1)) + $B$18/($B$19*$B$19*($DN245&lt;&gt;$DO245) + $B$19*($DN245=$DO245))</f>
        <v>3.7037037037037035E-4</v>
      </c>
      <c r="FA245" s="10" cm="1">
        <f t="array" aca="1" ref="FA245" ca="1">(1-$B$18)*SUMPRODUCT(OFFSET($BO$15,0,0,$B$14,1), 1*(_xlfn._xlws.FILTER(OFFSET($O$15,0,$DN245,$B$8,1),OFFSET($M$15,0,0,$B$8,1))=FA$13), 1*(_xlfn._xlws.FILTER(OFFSET($O$15,0,$DO245,$B$8,1),OFFSET($M$15,0,0,$B$8,1))=FA$14))   /   SUM(OFFSET($BO$15,0,0,$B$14,1)) + $B$18/($B$19*$B$19*($DN245&lt;&gt;$DO245) + $B$19*($DN245=$DO245))</f>
        <v>3.7037037037037035E-4</v>
      </c>
      <c r="FB245" s="10" cm="1">
        <f t="array" aca="1" ref="FB245" ca="1">(1-$B$18)*SUMPRODUCT(OFFSET($BO$15,0,0,$B$14,1), 1*(_xlfn._xlws.FILTER(OFFSET($O$15,0,$DN245,$B$8,1),OFFSET($M$15,0,0,$B$8,1))=FB$13), 1*(_xlfn._xlws.FILTER(OFFSET($O$15,0,$DO245,$B$8,1),OFFSET($M$15,0,0,$B$8,1))=FB$14))   /   SUM(OFFSET($BO$15,0,0,$B$14,1)) + $B$18/($B$19*$B$19*($DN245&lt;&gt;$DO245) + $B$19*($DN245=$DO245))</f>
        <v>3.7037037037037035E-4</v>
      </c>
      <c r="FC245" s="10" cm="1">
        <f t="array" aca="1" ref="FC245" ca="1">(1-$B$18)*SUMPRODUCT(OFFSET($BO$15,0,0,$B$14,1), 1*(_xlfn._xlws.FILTER(OFFSET($O$15,0,$DN245,$B$8,1),OFFSET($M$15,0,0,$B$8,1))=FC$13), 1*(_xlfn._xlws.FILTER(OFFSET($O$15,0,$DO245,$B$8,1),OFFSET($M$15,0,0,$B$8,1))=FC$14))   /   SUM(OFFSET($BO$15,0,0,$B$14,1)) + $B$18/($B$19*$B$19*($DN245&lt;&gt;$DO245) + $B$19*($DN245=$DO245))</f>
        <v>3.7037037037037035E-4</v>
      </c>
      <c r="FD245" s="10" cm="1">
        <f t="array" aca="1" ref="FD245" ca="1">(1-$B$18)*SUMPRODUCT(OFFSET($BO$15,0,0,$B$14,1), 1*(_xlfn._xlws.FILTER(OFFSET($O$15,0,$DN245,$B$8,1),OFFSET($M$15,0,0,$B$8,1))=FD$13), 1*(_xlfn._xlws.FILTER(OFFSET($O$15,0,$DO245,$B$8,1),OFFSET($M$15,0,0,$B$8,1))=FD$14))   /   SUM(OFFSET($BO$15,0,0,$B$14,1)) + $B$18/($B$19*$B$19*($DN245&lt;&gt;$DO245) + $B$19*($DN245=$DO245))</f>
        <v>3.7037037037037035E-4</v>
      </c>
      <c r="FE245" s="10" cm="1">
        <f t="array" aca="1" ref="FE245" ca="1">(1-$B$18)*SUMPRODUCT(OFFSET($BO$15,0,0,$B$14,1), 1*(_xlfn._xlws.FILTER(OFFSET($O$15,0,$DN245,$B$8,1),OFFSET($M$15,0,0,$B$8,1))=FE$13), 1*(_xlfn._xlws.FILTER(OFFSET($O$15,0,$DO245,$B$8,1),OFFSET($M$15,0,0,$B$8,1))=FE$14))   /   SUM(OFFSET($BO$15,0,0,$B$14,1)) + $B$18/($B$19*$B$19*($DN245&lt;&gt;$DO245) + $B$19*($DN245=$DO245))</f>
        <v>3.7037037037037035E-4</v>
      </c>
      <c r="FF245" s="10" cm="1">
        <f t="array" aca="1" ref="FF245" ca="1">(1-$B$18)*SUMPRODUCT(OFFSET($BO$15,0,0,$B$14,1), 1*(_xlfn._xlws.FILTER(OFFSET($O$15,0,$DN245,$B$8,1),OFFSET($M$15,0,0,$B$8,1))=FF$13), 1*(_xlfn._xlws.FILTER(OFFSET($O$15,0,$DO245,$B$8,1),OFFSET($M$15,0,0,$B$8,1))=FF$14))   /   SUM(OFFSET($BO$15,0,0,$B$14,1)) + $B$18/($B$19*$B$19*($DN245&lt;&gt;$DO245) + $B$19*($DN245=$DO245))</f>
        <v>3.7037037037037035E-4</v>
      </c>
      <c r="FG245" s="10" cm="1">
        <f t="array" aca="1" ref="FG245" ca="1">(1-$B$18)*SUMPRODUCT(OFFSET($BO$15,0,0,$B$14,1), 1*(_xlfn._xlws.FILTER(OFFSET($O$15,0,$DN245,$B$8,1),OFFSET($M$15,0,0,$B$8,1))=FG$13), 1*(_xlfn._xlws.FILTER(OFFSET($O$15,0,$DO245,$B$8,1),OFFSET($M$15,0,0,$B$8,1))=FG$14))   /   SUM(OFFSET($BO$15,0,0,$B$14,1)) + $B$18/($B$19*$B$19*($DN245&lt;&gt;$DO245) + $B$19*($DN245=$DO245))</f>
        <v>3.7037037037037035E-4</v>
      </c>
      <c r="FH245" s="10" cm="1">
        <f t="array" aca="1" ref="FH245" ca="1">(1-$B$18)*SUMPRODUCT(OFFSET($BO$15,0,0,$B$14,1), 1*(_xlfn._xlws.FILTER(OFFSET($O$15,0,$DN245,$B$8,1),OFFSET($M$15,0,0,$B$8,1))=FH$13), 1*(_xlfn._xlws.FILTER(OFFSET($O$15,0,$DO245,$B$8,1),OFFSET($M$15,0,0,$B$8,1))=FH$14))   /   SUM(OFFSET($BO$15,0,0,$B$14,1)) + $B$18/($B$19*$B$19*($DN245&lt;&gt;$DO245) + $B$19*($DN245=$DO245))</f>
        <v>3.7037037037037035E-4</v>
      </c>
      <c r="FI245" s="10" cm="1">
        <f t="array" aca="1" ref="FI245" ca="1">(1-$B$18)*SUMPRODUCT(OFFSET($BO$15,0,0,$B$14,1), 1*(_xlfn._xlws.FILTER(OFFSET($O$15,0,$DN245,$B$8,1),OFFSET($M$15,0,0,$B$8,1))=FI$13), 1*(_xlfn._xlws.FILTER(OFFSET($O$15,0,$DO245,$B$8,1),OFFSET($M$15,0,0,$B$8,1))=FI$14))   /   SUM(OFFSET($BO$15,0,0,$B$14,1)) + $B$18/($B$19*$B$19*($DN245&lt;&gt;$DO245) + $B$19*($DN245=$DO245))</f>
        <v>3.7037037037037035E-4</v>
      </c>
      <c r="FJ245" s="10" cm="1">
        <f t="array" aca="1" ref="FJ245" ca="1">(1-$B$18)*SUMPRODUCT(OFFSET($BO$15,0,0,$B$14,1), 1*(_xlfn._xlws.FILTER(OFFSET($O$15,0,$DN245,$B$8,1),OFFSET($M$15,0,0,$B$8,1))=FJ$13), 1*(_xlfn._xlws.FILTER(OFFSET($O$15,0,$DO245,$B$8,1),OFFSET($M$15,0,0,$B$8,1))=FJ$14))   /   SUM(OFFSET($BO$15,0,0,$B$14,1)) + $B$18/($B$19*$B$19*($DN245&lt;&gt;$DO245) + $B$19*($DN245=$DO245))</f>
        <v>3.7037037037037035E-4</v>
      </c>
      <c r="FK245" s="10" cm="1">
        <f t="array" aca="1" ref="FK245" ca="1">(1-$B$18)*SUMPRODUCT(OFFSET($BO$15,0,0,$B$14,1), 1*(_xlfn._xlws.FILTER(OFFSET($O$15,0,$DN245,$B$8,1),OFFSET($M$15,0,0,$B$8,1))=FK$13), 1*(_xlfn._xlws.FILTER(OFFSET($O$15,0,$DO245,$B$8,1),OFFSET($M$15,0,0,$B$8,1))=FK$14))   /   SUM(OFFSET($BO$15,0,0,$B$14,1)) + $B$18/($B$19*$B$19*($DN245&lt;&gt;$DO245) + $B$19*($DN245=$DO245))</f>
        <v>3.7037037037037035E-4</v>
      </c>
      <c r="FL245" s="10" cm="1">
        <f t="array" aca="1" ref="FL245" ca="1">(1-$B$18)*SUMPRODUCT(OFFSET($BO$15,0,0,$B$14,1), 1*(_xlfn._xlws.FILTER(OFFSET($O$15,0,$DN245,$B$8,1),OFFSET($M$15,0,0,$B$8,1))=FL$13), 1*(_xlfn._xlws.FILTER(OFFSET($O$15,0,$DO245,$B$8,1),OFFSET($M$15,0,0,$B$8,1))=FL$14))   /   SUM(OFFSET($BO$15,0,0,$B$14,1)) + $B$18/($B$19*$B$19*($DN245&lt;&gt;$DO245) + $B$19*($DN245=$DO245))</f>
        <v>3.7037037037037035E-4</v>
      </c>
      <c r="FM245" s="10" cm="1">
        <f t="array" aca="1" ref="FM245" ca="1">(1-$B$18)*SUMPRODUCT(OFFSET($BO$15,0,0,$B$14,1), 1*(_xlfn._xlws.FILTER(OFFSET($O$15,0,$DN245,$B$8,1),OFFSET($M$15,0,0,$B$8,1))=FM$13), 1*(_xlfn._xlws.FILTER(OFFSET($O$15,0,$DO245,$B$8,1),OFFSET($M$15,0,0,$B$8,1))=FM$14))   /   SUM(OFFSET($BO$15,0,0,$B$14,1)) + $B$18/($B$19*$B$19*($DN245&lt;&gt;$DO245) + $B$19*($DN245=$DO245))</f>
        <v>3.7037037037037035E-4</v>
      </c>
      <c r="FN245" s="10" cm="1">
        <f t="array" aca="1" ref="FN245" ca="1">(1-$B$18)*SUMPRODUCT(OFFSET($BO$15,0,0,$B$14,1), 1*(_xlfn._xlws.FILTER(OFFSET($O$15,0,$DN245,$B$8,1),OFFSET($M$15,0,0,$B$8,1))=FN$13), 1*(_xlfn._xlws.FILTER(OFFSET($O$15,0,$DO245,$B$8,1),OFFSET($M$15,0,0,$B$8,1))=FN$14))   /   SUM(OFFSET($BO$15,0,0,$B$14,1)) + $B$18/($B$19*$B$19*($DN245&lt;&gt;$DO245) + $B$19*($DN245=$DO245))</f>
        <v>3.7037037037037035E-4</v>
      </c>
      <c r="FO245" s="10" cm="1">
        <f t="array" aca="1" ref="FO245" ca="1">(1-$B$18)*SUMPRODUCT(OFFSET($BO$15,0,0,$B$14,1), 1*(_xlfn._xlws.FILTER(OFFSET($O$15,0,$DN245,$B$8,1),OFFSET($M$15,0,0,$B$8,1))=FO$13), 1*(_xlfn._xlws.FILTER(OFFSET($O$15,0,$DO245,$B$8,1),OFFSET($M$15,0,0,$B$8,1))=FO$14))   /   SUM(OFFSET($BO$15,0,0,$B$14,1)) + $B$18/($B$19*$B$19*($DN245&lt;&gt;$DO245) + $B$19*($DN245=$DO245))</f>
        <v>3.7037037037037035E-4</v>
      </c>
      <c r="FP245" s="10" cm="1">
        <f t="array" aca="1" ref="FP245" ca="1">(1-$B$18)*SUMPRODUCT(OFFSET($BO$15,0,0,$B$14,1), 1*(_xlfn._xlws.FILTER(OFFSET($O$15,0,$DN245,$B$8,1),OFFSET($M$15,0,0,$B$8,1))=FP$13), 1*(_xlfn._xlws.FILTER(OFFSET($O$15,0,$DO245,$B$8,1),OFFSET($M$15,0,0,$B$8,1))=FP$14))   /   SUM(OFFSET($BO$15,0,0,$B$14,1)) + $B$18/($B$19*$B$19*($DN245&lt;&gt;$DO245) + $B$19*($DN245=$DO245))</f>
        <v>3.7037037037037035E-4</v>
      </c>
      <c r="FQ245" s="10" cm="1">
        <f t="array" aca="1" ref="FQ245" ca="1">(1-$B$18)*SUMPRODUCT(OFFSET($BO$15,0,0,$B$14,1), 1*(_xlfn._xlws.FILTER(OFFSET($O$15,0,$DN245,$B$8,1),OFFSET($M$15,0,0,$B$8,1))=FQ$13), 1*(_xlfn._xlws.FILTER(OFFSET($O$15,0,$DO245,$B$8,1),OFFSET($M$15,0,0,$B$8,1))=FQ$14))   /   SUM(OFFSET($BO$15,0,0,$B$14,1)) + $B$18/($B$19*$B$19*($DN245&lt;&gt;$DO245) + $B$19*($DN245=$DO245))</f>
        <v>3.7037037037037035E-4</v>
      </c>
      <c r="FR245" s="10" cm="1">
        <f t="array" aca="1" ref="FR245" ca="1">(1-$B$18)*SUMPRODUCT(OFFSET($BO$15,0,0,$B$14,1), 1*(_xlfn._xlws.FILTER(OFFSET($O$15,0,$DN245,$B$8,1),OFFSET($M$15,0,0,$B$8,1))=FR$13), 1*(_xlfn._xlws.FILTER(OFFSET($O$15,0,$DO245,$B$8,1),OFFSET($M$15,0,0,$B$8,1))=FR$14))   /   SUM(OFFSET($BO$15,0,0,$B$14,1)) + $B$18/($B$19*$B$19*($DN245&lt;&gt;$DO245) + $B$19*($DN245=$DO245))</f>
        <v>3.7037037037037035E-4</v>
      </c>
      <c r="FS245" s="10" cm="1">
        <f t="array" aca="1" ref="FS245" ca="1">(1-$B$18)*SUMPRODUCT(OFFSET($BO$15,0,0,$B$14,1), 1*(_xlfn._xlws.FILTER(OFFSET($O$15,0,$DN245,$B$8,1),OFFSET($M$15,0,0,$B$8,1))=FS$13), 1*(_xlfn._xlws.FILTER(OFFSET($O$15,0,$DO245,$B$8,1),OFFSET($M$15,0,0,$B$8,1))=FS$14))   /   SUM(OFFSET($BO$15,0,0,$B$14,1)) + $B$18/($B$19*$B$19*($DN245&lt;&gt;$DO245) + $B$19*($DN245=$DO245))</f>
        <v>3.7037037037037035E-4</v>
      </c>
      <c r="FT245" s="10" cm="1">
        <f t="array" aca="1" ref="FT245" ca="1">(1-$B$18)*SUMPRODUCT(OFFSET($BO$15,0,0,$B$14,1), 1*(_xlfn._xlws.FILTER(OFFSET($O$15,0,$DN245,$B$8,1),OFFSET($M$15,0,0,$B$8,1))=FT$13), 1*(_xlfn._xlws.FILTER(OFFSET($O$15,0,$DO245,$B$8,1),OFFSET($M$15,0,0,$B$8,1))=FT$14))   /   SUM(OFFSET($BO$15,0,0,$B$14,1)) + $B$18/($B$19*$B$19*($DN245&lt;&gt;$DO245) + $B$19*($DN245=$DO245))</f>
        <v>3.7037037037037035E-4</v>
      </c>
      <c r="FU245" s="10" cm="1">
        <f t="array" aca="1" ref="FU245" ca="1">(1-$B$18)*SUMPRODUCT(OFFSET($BO$15,0,0,$B$14,1), 1*(_xlfn._xlws.FILTER(OFFSET($O$15,0,$DN245,$B$8,1),OFFSET($M$15,0,0,$B$8,1))=FU$13), 1*(_xlfn._xlws.FILTER(OFFSET($O$15,0,$DO245,$B$8,1),OFFSET($M$15,0,0,$B$8,1))=FU$14))   /   SUM(OFFSET($BO$15,0,0,$B$14,1)) + $B$18/($B$19*$B$19*($DN245&lt;&gt;$DO245) + $B$19*($DN245=$DO245))</f>
        <v>3.7037037037037035E-4</v>
      </c>
      <c r="FV245" s="10" cm="1">
        <f t="array" aca="1" ref="FV245" ca="1">(1-$B$18)*SUMPRODUCT(OFFSET($BO$15,0,0,$B$14,1), 1*(_xlfn._xlws.FILTER(OFFSET($O$15,0,$DN245,$B$8,1),OFFSET($M$15,0,0,$B$8,1))=FV$13), 1*(_xlfn._xlws.FILTER(OFFSET($O$15,0,$DO245,$B$8,1),OFFSET($M$15,0,0,$B$8,1))=FV$14))   /   SUM(OFFSET($BO$15,0,0,$B$14,1)) + $B$18/($B$19*$B$19*($DN245&lt;&gt;$DO245) + $B$19*($DN245=$DO245))</f>
        <v>3.7037037037037035E-4</v>
      </c>
      <c r="FW245" s="10" cm="1">
        <f t="array" aca="1" ref="FW245" ca="1">(1-$B$18)*SUMPRODUCT(OFFSET($BO$15,0,0,$B$14,1), 1*(_xlfn._xlws.FILTER(OFFSET($O$15,0,$DN245,$B$8,1),OFFSET($M$15,0,0,$B$8,1))=FW$13), 1*(_xlfn._xlws.FILTER(OFFSET($O$15,0,$DO245,$B$8,1),OFFSET($M$15,0,0,$B$8,1))=FW$14))   /   SUM(OFFSET($BO$15,0,0,$B$14,1)) + $B$18/($B$19*$B$19*($DN245&lt;&gt;$DO245) + $B$19*($DN245=$DO245))</f>
        <v>3.7037037037037035E-4</v>
      </c>
      <c r="FX245" s="10" cm="1">
        <f t="array" aca="1" ref="FX245" ca="1">(1-$B$18)*SUMPRODUCT(OFFSET($BO$15,0,0,$B$14,1), 1*(_xlfn._xlws.FILTER(OFFSET($O$15,0,$DN245,$B$8,1),OFFSET($M$15,0,0,$B$8,1))=FX$13), 1*(_xlfn._xlws.FILTER(OFFSET($O$15,0,$DO245,$B$8,1),OFFSET($M$15,0,0,$B$8,1))=FX$14))   /   SUM(OFFSET($BO$15,0,0,$B$14,1)) + $B$18/($B$19*$B$19*($DN245&lt;&gt;$DO245) + $B$19*($DN245=$DO245))</f>
        <v>3.7037037037037035E-4</v>
      </c>
      <c r="FY245" s="10" cm="1">
        <f t="array" aca="1" ref="FY245" ca="1">(1-$B$18)*SUMPRODUCT(OFFSET($BO$15,0,0,$B$14,1), 1*(_xlfn._xlws.FILTER(OFFSET($O$15,0,$DN245,$B$8,1),OFFSET($M$15,0,0,$B$8,1))=FY$13), 1*(_xlfn._xlws.FILTER(OFFSET($O$15,0,$DO245,$B$8,1),OFFSET($M$15,0,0,$B$8,1))=FY$14))   /   SUM(OFFSET($BO$15,0,0,$B$14,1)) + $B$18/($B$19*$B$19*($DN245&lt;&gt;$DO245) + $B$19*($DN245=$DO245))</f>
        <v>3.7037037037037035E-4</v>
      </c>
      <c r="FZ245" s="10" cm="1">
        <f t="array" aca="1" ref="FZ245" ca="1">(1-$B$18)*SUMPRODUCT(OFFSET($BO$15,0,0,$B$14,1), 1*(_xlfn._xlws.FILTER(OFFSET($O$15,0,$DN245,$B$8,1),OFFSET($M$15,0,0,$B$8,1))=FZ$13), 1*(_xlfn._xlws.FILTER(OFFSET($O$15,0,$DO245,$B$8,1),OFFSET($M$15,0,0,$B$8,1))=FZ$14))   /   SUM(OFFSET($BO$15,0,0,$B$14,1)) + $B$18/($B$19*$B$19*($DN245&lt;&gt;$DO245) + $B$19*($DN245=$DO245))</f>
        <v>3.7037037037037035E-4</v>
      </c>
      <c r="GA245" s="10" cm="1">
        <f t="array" aca="1" ref="GA245" ca="1">(1-$B$18)*SUMPRODUCT(OFFSET($BO$15,0,0,$B$14,1), 1*(_xlfn._xlws.FILTER(OFFSET($O$15,0,$DN245,$B$8,1),OFFSET($M$15,0,0,$B$8,1))=GA$13), 1*(_xlfn._xlws.FILTER(OFFSET($O$15,0,$DO245,$B$8,1),OFFSET($M$15,0,0,$B$8,1))=GA$14))   /   SUM(OFFSET($BO$15,0,0,$B$14,1)) + $B$18/($B$19*$B$19*($DN245&lt;&gt;$DO245) + $B$19*($DN245=$DO245))</f>
        <v>3.7037037037037035E-4</v>
      </c>
    </row>
    <row r="246" spans="118:183" x14ac:dyDescent="0.2">
      <c r="DN246" cm="1">
        <f t="array" aca="1" ref="DN246" ca="1">INDEX(_xlfn.ANCHORARRAY($CP$15), 1 + INT((ROWS($DO$15:$DO246) - 1) / ROWS(_xlfn.ANCHORARRAY($CP$15))))</f>
        <v>13</v>
      </c>
      <c r="DO246" cm="1">
        <f t="array" aca="1" ref="DO246" ca="1">INDEX(_xlfn.ANCHORARRAY($CP$15),1+MOD(ROWS($DO$15:$DO246)-1,ROWS(_xlfn.ANCHORARRAY($CP$15))))</f>
        <v>3</v>
      </c>
      <c r="DP246" s="10" cm="1">
        <f t="array" aca="1" ref="DP246" ca="1">(1-$B$18)*SUMPRODUCT(OFFSET($BO$15,0,0,$B$14,1), 1*(_xlfn._xlws.FILTER(OFFSET($O$15,0,$DN246,$B$8,1),OFFSET($M$15,0,0,$B$8,1))=DP$13), 1*(_xlfn._xlws.FILTER(OFFSET($O$15,0,$DO246,$B$8,1),OFFSET($M$15,0,0,$B$8,1))=DP$14))   /   SUM(OFFSET($BO$15,0,0,$B$14,1)) + $B$18/($B$19*$B$19*($DN246&lt;&gt;$DO246) + $B$19*($DN246=$DO246))</f>
        <v>3.7037037037037035E-4</v>
      </c>
      <c r="DQ246" s="10" cm="1">
        <f t="array" aca="1" ref="DQ246" ca="1">(1-$B$18)*SUMPRODUCT(OFFSET($BO$15,0,0,$B$14,1), 1*(_xlfn._xlws.FILTER(OFFSET($O$15,0,$DN246,$B$8,1),OFFSET($M$15,0,0,$B$8,1))=DQ$13), 1*(_xlfn._xlws.FILTER(OFFSET($O$15,0,$DO246,$B$8,1),OFFSET($M$15,0,0,$B$8,1))=DQ$14))   /   SUM(OFFSET($BO$15,0,0,$B$14,1)) + $B$18/($B$19*$B$19*($DN246&lt;&gt;$DO246) + $B$19*($DN246=$DO246))</f>
        <v>3.7037037037037035E-4</v>
      </c>
      <c r="DR246" s="10" cm="1">
        <f t="array" aca="1" ref="DR246" ca="1">(1-$B$18)*SUMPRODUCT(OFFSET($BO$15,0,0,$B$14,1), 1*(_xlfn._xlws.FILTER(OFFSET($O$15,0,$DN246,$B$8,1),OFFSET($M$15,0,0,$B$8,1))=DR$13), 1*(_xlfn._xlws.FILTER(OFFSET($O$15,0,$DO246,$B$8,1),OFFSET($M$15,0,0,$B$8,1))=DR$14))   /   SUM(OFFSET($BO$15,0,0,$B$14,1)) + $B$18/($B$19*$B$19*($DN246&lt;&gt;$DO246) + $B$19*($DN246=$DO246))</f>
        <v>3.7037037037037035E-4</v>
      </c>
      <c r="DS246" s="10" cm="1">
        <f t="array" aca="1" ref="DS246" ca="1">(1-$B$18)*SUMPRODUCT(OFFSET($BO$15,0,0,$B$14,1), 1*(_xlfn._xlws.FILTER(OFFSET($O$15,0,$DN246,$B$8,1),OFFSET($M$15,0,0,$B$8,1))=DS$13), 1*(_xlfn._xlws.FILTER(OFFSET($O$15,0,$DO246,$B$8,1),OFFSET($M$15,0,0,$B$8,1))=DS$14))   /   SUM(OFFSET($BO$15,0,0,$B$14,1)) + $B$18/($B$19*$B$19*($DN246&lt;&gt;$DO246) + $B$19*($DN246=$DO246))</f>
        <v>3.7037037037037035E-4</v>
      </c>
      <c r="DT246" s="10" cm="1">
        <f t="array" aca="1" ref="DT246" ca="1">(1-$B$18)*SUMPRODUCT(OFFSET($BO$15,0,0,$B$14,1), 1*(_xlfn._xlws.FILTER(OFFSET($O$15,0,$DN246,$B$8,1),OFFSET($M$15,0,0,$B$8,1))=DT$13), 1*(_xlfn._xlws.FILTER(OFFSET($O$15,0,$DO246,$B$8,1),OFFSET($M$15,0,0,$B$8,1))=DT$14))   /   SUM(OFFSET($BO$15,0,0,$B$14,1)) + $B$18/($B$19*$B$19*($DN246&lt;&gt;$DO246) + $B$19*($DN246=$DO246))</f>
        <v>3.7037037037037035E-4</v>
      </c>
      <c r="DU246" s="10" cm="1">
        <f t="array" aca="1" ref="DU246" ca="1">(1-$B$18)*SUMPRODUCT(OFFSET($BO$15,0,0,$B$14,1), 1*(_xlfn._xlws.FILTER(OFFSET($O$15,0,$DN246,$B$8,1),OFFSET($M$15,0,0,$B$8,1))=DU$13), 1*(_xlfn._xlws.FILTER(OFFSET($O$15,0,$DO246,$B$8,1),OFFSET($M$15,0,0,$B$8,1))=DU$14))   /   SUM(OFFSET($BO$15,0,0,$B$14,1)) + $B$18/($B$19*$B$19*($DN246&lt;&gt;$DO246) + $B$19*($DN246=$DO246))</f>
        <v>3.7037037037037035E-4</v>
      </c>
      <c r="DV246" s="10" cm="1">
        <f t="array" aca="1" ref="DV246" ca="1">(1-$B$18)*SUMPRODUCT(OFFSET($BO$15,0,0,$B$14,1), 1*(_xlfn._xlws.FILTER(OFFSET($O$15,0,$DN246,$B$8,1),OFFSET($M$15,0,0,$B$8,1))=DV$13), 1*(_xlfn._xlws.FILTER(OFFSET($O$15,0,$DO246,$B$8,1),OFFSET($M$15,0,0,$B$8,1))=DV$14))   /   SUM(OFFSET($BO$15,0,0,$B$14,1)) + $B$18/($B$19*$B$19*($DN246&lt;&gt;$DO246) + $B$19*($DN246=$DO246))</f>
        <v>3.7037037037037035E-4</v>
      </c>
      <c r="DW246" s="10" cm="1">
        <f t="array" aca="1" ref="DW246" ca="1">(1-$B$18)*SUMPRODUCT(OFFSET($BO$15,0,0,$B$14,1), 1*(_xlfn._xlws.FILTER(OFFSET($O$15,0,$DN246,$B$8,1),OFFSET($M$15,0,0,$B$8,1))=DW$13), 1*(_xlfn._xlws.FILTER(OFFSET($O$15,0,$DO246,$B$8,1),OFFSET($M$15,0,0,$B$8,1))=DW$14))   /   SUM(OFFSET($BO$15,0,0,$B$14,1)) + $B$18/($B$19*$B$19*($DN246&lt;&gt;$DO246) + $B$19*($DN246=$DO246))</f>
        <v>3.7037037037037035E-4</v>
      </c>
      <c r="DX246" s="10" cm="1">
        <f t="array" aca="1" ref="DX246" ca="1">(1-$B$18)*SUMPRODUCT(OFFSET($BO$15,0,0,$B$14,1), 1*(_xlfn._xlws.FILTER(OFFSET($O$15,0,$DN246,$B$8,1),OFFSET($M$15,0,0,$B$8,1))=DX$13), 1*(_xlfn._xlws.FILTER(OFFSET($O$15,0,$DO246,$B$8,1),OFFSET($M$15,0,0,$B$8,1))=DX$14))   /   SUM(OFFSET($BO$15,0,0,$B$14,1)) + $B$18/($B$19*$B$19*($DN246&lt;&gt;$DO246) + $B$19*($DN246=$DO246))</f>
        <v>3.7037037037037035E-4</v>
      </c>
      <c r="DY246" s="10" cm="1">
        <f t="array" aca="1" ref="DY246" ca="1">(1-$B$18)*SUMPRODUCT(OFFSET($BO$15,0,0,$B$14,1), 1*(_xlfn._xlws.FILTER(OFFSET($O$15,0,$DN246,$B$8,1),OFFSET($M$15,0,0,$B$8,1))=DY$13), 1*(_xlfn._xlws.FILTER(OFFSET($O$15,0,$DO246,$B$8,1),OFFSET($M$15,0,0,$B$8,1))=DY$14))   /   SUM(OFFSET($BO$15,0,0,$B$14,1)) + $B$18/($B$19*$B$19*($DN246&lt;&gt;$DO246) + $B$19*($DN246=$DO246))</f>
        <v>3.7037037037037035E-4</v>
      </c>
      <c r="DZ246" s="10" cm="1">
        <f t="array" aca="1" ref="DZ246" ca="1">(1-$B$18)*SUMPRODUCT(OFFSET($BO$15,0,0,$B$14,1), 1*(_xlfn._xlws.FILTER(OFFSET($O$15,0,$DN246,$B$8,1),OFFSET($M$15,0,0,$B$8,1))=DZ$13), 1*(_xlfn._xlws.FILTER(OFFSET($O$15,0,$DO246,$B$8,1),OFFSET($M$15,0,0,$B$8,1))=DZ$14))   /   SUM(OFFSET($BO$15,0,0,$B$14,1)) + $B$18/($B$19*$B$19*($DN246&lt;&gt;$DO246) + $B$19*($DN246=$DO246))</f>
        <v>3.7037037037037035E-4</v>
      </c>
      <c r="EA246" s="10" cm="1">
        <f t="array" aca="1" ref="EA246" ca="1">(1-$B$18)*SUMPRODUCT(OFFSET($BO$15,0,0,$B$14,1), 1*(_xlfn._xlws.FILTER(OFFSET($O$15,0,$DN246,$B$8,1),OFFSET($M$15,0,0,$B$8,1))=EA$13), 1*(_xlfn._xlws.FILTER(OFFSET($O$15,0,$DO246,$B$8,1),OFFSET($M$15,0,0,$B$8,1))=EA$14))   /   SUM(OFFSET($BO$15,0,0,$B$14,1)) + $B$18/($B$19*$B$19*($DN246&lt;&gt;$DO246) + $B$19*($DN246=$DO246))</f>
        <v>3.7037037037037035E-4</v>
      </c>
      <c r="EB246" s="10" cm="1">
        <f t="array" aca="1" ref="EB246" ca="1">(1-$B$18)*SUMPRODUCT(OFFSET($BO$15,0,0,$B$14,1), 1*(_xlfn._xlws.FILTER(OFFSET($O$15,0,$DN246,$B$8,1),OFFSET($M$15,0,0,$B$8,1))=EB$13), 1*(_xlfn._xlws.FILTER(OFFSET($O$15,0,$DO246,$B$8,1),OFFSET($M$15,0,0,$B$8,1))=EB$14))   /   SUM(OFFSET($BO$15,0,0,$B$14,1)) + $B$18/($B$19*$B$19*($DN246&lt;&gt;$DO246) + $B$19*($DN246=$DO246))</f>
        <v>3.7037037037037035E-4</v>
      </c>
      <c r="EC246" s="10" cm="1">
        <f t="array" aca="1" ref="EC246" ca="1">(1-$B$18)*SUMPRODUCT(OFFSET($BO$15,0,0,$B$14,1), 1*(_xlfn._xlws.FILTER(OFFSET($O$15,0,$DN246,$B$8,1),OFFSET($M$15,0,0,$B$8,1))=EC$13), 1*(_xlfn._xlws.FILTER(OFFSET($O$15,0,$DO246,$B$8,1),OFFSET($M$15,0,0,$B$8,1))=EC$14))   /   SUM(OFFSET($BO$15,0,0,$B$14,1)) + $B$18/($B$19*$B$19*($DN246&lt;&gt;$DO246) + $B$19*($DN246=$DO246))</f>
        <v>3.7037037037037035E-4</v>
      </c>
      <c r="ED246" s="10" cm="1">
        <f t="array" aca="1" ref="ED246" ca="1">(1-$B$18)*SUMPRODUCT(OFFSET($BO$15,0,0,$B$14,1), 1*(_xlfn._xlws.FILTER(OFFSET($O$15,0,$DN246,$B$8,1),OFFSET($M$15,0,0,$B$8,1))=ED$13), 1*(_xlfn._xlws.FILTER(OFFSET($O$15,0,$DO246,$B$8,1),OFFSET($M$15,0,0,$B$8,1))=ED$14))   /   SUM(OFFSET($BO$15,0,0,$B$14,1)) + $B$18/($B$19*$B$19*($DN246&lt;&gt;$DO246) + $B$19*($DN246=$DO246))</f>
        <v>0.97037037037037033</v>
      </c>
      <c r="EE246" s="10" cm="1">
        <f t="array" aca="1" ref="EE246" ca="1">(1-$B$18)*SUMPRODUCT(OFFSET($BO$15,0,0,$B$14,1), 1*(_xlfn._xlws.FILTER(OFFSET($O$15,0,$DN246,$B$8,1),OFFSET($M$15,0,0,$B$8,1))=EE$13), 1*(_xlfn._xlws.FILTER(OFFSET($O$15,0,$DO246,$B$8,1),OFFSET($M$15,0,0,$B$8,1))=EE$14))   /   SUM(OFFSET($BO$15,0,0,$B$14,1)) + $B$18/($B$19*$B$19*($DN246&lt;&gt;$DO246) + $B$19*($DN246=$DO246))</f>
        <v>3.7037037037037035E-4</v>
      </c>
      <c r="EF246" s="10" cm="1">
        <f t="array" aca="1" ref="EF246" ca="1">(1-$B$18)*SUMPRODUCT(OFFSET($BO$15,0,0,$B$14,1), 1*(_xlfn._xlws.FILTER(OFFSET($O$15,0,$DN246,$B$8,1),OFFSET($M$15,0,0,$B$8,1))=EF$13), 1*(_xlfn._xlws.FILTER(OFFSET($O$15,0,$DO246,$B$8,1),OFFSET($M$15,0,0,$B$8,1))=EF$14))   /   SUM(OFFSET($BO$15,0,0,$B$14,1)) + $B$18/($B$19*$B$19*($DN246&lt;&gt;$DO246) + $B$19*($DN246=$DO246))</f>
        <v>3.7037037037037035E-4</v>
      </c>
      <c r="EG246" s="10" cm="1">
        <f t="array" aca="1" ref="EG246" ca="1">(1-$B$18)*SUMPRODUCT(OFFSET($BO$15,0,0,$B$14,1), 1*(_xlfn._xlws.FILTER(OFFSET($O$15,0,$DN246,$B$8,1),OFFSET($M$15,0,0,$B$8,1))=EG$13), 1*(_xlfn._xlws.FILTER(OFFSET($O$15,0,$DO246,$B$8,1),OFFSET($M$15,0,0,$B$8,1))=EG$14))   /   SUM(OFFSET($BO$15,0,0,$B$14,1)) + $B$18/($B$19*$B$19*($DN246&lt;&gt;$DO246) + $B$19*($DN246=$DO246))</f>
        <v>3.7037037037037035E-4</v>
      </c>
      <c r="EH246" s="10" cm="1">
        <f t="array" aca="1" ref="EH246" ca="1">(1-$B$18)*SUMPRODUCT(OFFSET($BO$15,0,0,$B$14,1), 1*(_xlfn._xlws.FILTER(OFFSET($O$15,0,$DN246,$B$8,1),OFFSET($M$15,0,0,$B$8,1))=EH$13), 1*(_xlfn._xlws.FILTER(OFFSET($O$15,0,$DO246,$B$8,1),OFFSET($M$15,0,0,$B$8,1))=EH$14))   /   SUM(OFFSET($BO$15,0,0,$B$14,1)) + $B$18/($B$19*$B$19*($DN246&lt;&gt;$DO246) + $B$19*($DN246=$DO246))</f>
        <v>3.7037037037037035E-4</v>
      </c>
      <c r="EI246" s="10" cm="1">
        <f t="array" aca="1" ref="EI246" ca="1">(1-$B$18)*SUMPRODUCT(OFFSET($BO$15,0,0,$B$14,1), 1*(_xlfn._xlws.FILTER(OFFSET($O$15,0,$DN246,$B$8,1),OFFSET($M$15,0,0,$B$8,1))=EI$13), 1*(_xlfn._xlws.FILTER(OFFSET($O$15,0,$DO246,$B$8,1),OFFSET($M$15,0,0,$B$8,1))=EI$14))   /   SUM(OFFSET($BO$15,0,0,$B$14,1)) + $B$18/($B$19*$B$19*($DN246&lt;&gt;$DO246) + $B$19*($DN246=$DO246))</f>
        <v>3.7037037037037035E-4</v>
      </c>
      <c r="EJ246" s="10" cm="1">
        <f t="array" aca="1" ref="EJ246" ca="1">(1-$B$18)*SUMPRODUCT(OFFSET($BO$15,0,0,$B$14,1), 1*(_xlfn._xlws.FILTER(OFFSET($O$15,0,$DN246,$B$8,1),OFFSET($M$15,0,0,$B$8,1))=EJ$13), 1*(_xlfn._xlws.FILTER(OFFSET($O$15,0,$DO246,$B$8,1),OFFSET($M$15,0,0,$B$8,1))=EJ$14))   /   SUM(OFFSET($BO$15,0,0,$B$14,1)) + $B$18/($B$19*$B$19*($DN246&lt;&gt;$DO246) + $B$19*($DN246=$DO246))</f>
        <v>3.7037037037037035E-4</v>
      </c>
      <c r="EK246" s="10" cm="1">
        <f t="array" aca="1" ref="EK246" ca="1">(1-$B$18)*SUMPRODUCT(OFFSET($BO$15,0,0,$B$14,1), 1*(_xlfn._xlws.FILTER(OFFSET($O$15,0,$DN246,$B$8,1),OFFSET($M$15,0,0,$B$8,1))=EK$13), 1*(_xlfn._xlws.FILTER(OFFSET($O$15,0,$DO246,$B$8,1),OFFSET($M$15,0,0,$B$8,1))=EK$14))   /   SUM(OFFSET($BO$15,0,0,$B$14,1)) + $B$18/($B$19*$B$19*($DN246&lt;&gt;$DO246) + $B$19*($DN246=$DO246))</f>
        <v>3.7037037037037035E-4</v>
      </c>
      <c r="EL246" s="10" cm="1">
        <f t="array" aca="1" ref="EL246" ca="1">(1-$B$18)*SUMPRODUCT(OFFSET($BO$15,0,0,$B$14,1), 1*(_xlfn._xlws.FILTER(OFFSET($O$15,0,$DN246,$B$8,1),OFFSET($M$15,0,0,$B$8,1))=EL$13), 1*(_xlfn._xlws.FILTER(OFFSET($O$15,0,$DO246,$B$8,1),OFFSET($M$15,0,0,$B$8,1))=EL$14))   /   SUM(OFFSET($BO$15,0,0,$B$14,1)) + $B$18/($B$19*$B$19*($DN246&lt;&gt;$DO246) + $B$19*($DN246=$DO246))</f>
        <v>3.7037037037037035E-4</v>
      </c>
      <c r="EM246" s="10" cm="1">
        <f t="array" aca="1" ref="EM246" ca="1">(1-$B$18)*SUMPRODUCT(OFFSET($BO$15,0,0,$B$14,1), 1*(_xlfn._xlws.FILTER(OFFSET($O$15,0,$DN246,$B$8,1),OFFSET($M$15,0,0,$B$8,1))=EM$13), 1*(_xlfn._xlws.FILTER(OFFSET($O$15,0,$DO246,$B$8,1),OFFSET($M$15,0,0,$B$8,1))=EM$14))   /   SUM(OFFSET($BO$15,0,0,$B$14,1)) + $B$18/($B$19*$B$19*($DN246&lt;&gt;$DO246) + $B$19*($DN246=$DO246))</f>
        <v>3.7037037037037035E-4</v>
      </c>
      <c r="EN246" s="10" cm="1">
        <f t="array" aca="1" ref="EN246" ca="1">(1-$B$18)*SUMPRODUCT(OFFSET($BO$15,0,0,$B$14,1), 1*(_xlfn._xlws.FILTER(OFFSET($O$15,0,$DN246,$B$8,1),OFFSET($M$15,0,0,$B$8,1))=EN$13), 1*(_xlfn._xlws.FILTER(OFFSET($O$15,0,$DO246,$B$8,1),OFFSET($M$15,0,0,$B$8,1))=EN$14))   /   SUM(OFFSET($BO$15,0,0,$B$14,1)) + $B$18/($B$19*$B$19*($DN246&lt;&gt;$DO246) + $B$19*($DN246=$DO246))</f>
        <v>3.7037037037037035E-4</v>
      </c>
      <c r="EO246" s="10" cm="1">
        <f t="array" aca="1" ref="EO246" ca="1">(1-$B$18)*SUMPRODUCT(OFFSET($BO$15,0,0,$B$14,1), 1*(_xlfn._xlws.FILTER(OFFSET($O$15,0,$DN246,$B$8,1),OFFSET($M$15,0,0,$B$8,1))=EO$13), 1*(_xlfn._xlws.FILTER(OFFSET($O$15,0,$DO246,$B$8,1),OFFSET($M$15,0,0,$B$8,1))=EO$14))   /   SUM(OFFSET($BO$15,0,0,$B$14,1)) + $B$18/($B$19*$B$19*($DN246&lt;&gt;$DO246) + $B$19*($DN246=$DO246))</f>
        <v>3.7037037037037035E-4</v>
      </c>
      <c r="EP246" s="10" cm="1">
        <f t="array" aca="1" ref="EP246" ca="1">(1-$B$18)*SUMPRODUCT(OFFSET($BO$15,0,0,$B$14,1), 1*(_xlfn._xlws.FILTER(OFFSET($O$15,0,$DN246,$B$8,1),OFFSET($M$15,0,0,$B$8,1))=EP$13), 1*(_xlfn._xlws.FILTER(OFFSET($O$15,0,$DO246,$B$8,1),OFFSET($M$15,0,0,$B$8,1))=EP$14))   /   SUM(OFFSET($BO$15,0,0,$B$14,1)) + $B$18/($B$19*$B$19*($DN246&lt;&gt;$DO246) + $B$19*($DN246=$DO246))</f>
        <v>3.7037037037037035E-4</v>
      </c>
      <c r="EQ246" s="10" cm="1">
        <f t="array" aca="1" ref="EQ246" ca="1">(1-$B$18)*SUMPRODUCT(OFFSET($BO$15,0,0,$B$14,1), 1*(_xlfn._xlws.FILTER(OFFSET($O$15,0,$DN246,$B$8,1),OFFSET($M$15,0,0,$B$8,1))=EQ$13), 1*(_xlfn._xlws.FILTER(OFFSET($O$15,0,$DO246,$B$8,1),OFFSET($M$15,0,0,$B$8,1))=EQ$14))   /   SUM(OFFSET($BO$15,0,0,$B$14,1)) + $B$18/($B$19*$B$19*($DN246&lt;&gt;$DO246) + $B$19*($DN246=$DO246))</f>
        <v>3.7037037037037035E-4</v>
      </c>
      <c r="ER246" s="10" cm="1">
        <f t="array" aca="1" ref="ER246" ca="1">(1-$B$18)*SUMPRODUCT(OFFSET($BO$15,0,0,$B$14,1), 1*(_xlfn._xlws.FILTER(OFFSET($O$15,0,$DN246,$B$8,1),OFFSET($M$15,0,0,$B$8,1))=ER$13), 1*(_xlfn._xlws.FILTER(OFFSET($O$15,0,$DO246,$B$8,1),OFFSET($M$15,0,0,$B$8,1))=ER$14))   /   SUM(OFFSET($BO$15,0,0,$B$14,1)) + $B$18/($B$19*$B$19*($DN246&lt;&gt;$DO246) + $B$19*($DN246=$DO246))</f>
        <v>3.7037037037037035E-4</v>
      </c>
      <c r="ES246" s="10" cm="1">
        <f t="array" aca="1" ref="ES246" ca="1">(1-$B$18)*SUMPRODUCT(OFFSET($BO$15,0,0,$B$14,1), 1*(_xlfn._xlws.FILTER(OFFSET($O$15,0,$DN246,$B$8,1),OFFSET($M$15,0,0,$B$8,1))=ES$13), 1*(_xlfn._xlws.FILTER(OFFSET($O$15,0,$DO246,$B$8,1),OFFSET($M$15,0,0,$B$8,1))=ES$14))   /   SUM(OFFSET($BO$15,0,0,$B$14,1)) + $B$18/($B$19*$B$19*($DN246&lt;&gt;$DO246) + $B$19*($DN246=$DO246))</f>
        <v>3.7037037037037035E-4</v>
      </c>
      <c r="ET246" s="10" cm="1">
        <f t="array" aca="1" ref="ET246" ca="1">(1-$B$18)*SUMPRODUCT(OFFSET($BO$15,0,0,$B$14,1), 1*(_xlfn._xlws.FILTER(OFFSET($O$15,0,$DN246,$B$8,1),OFFSET($M$15,0,0,$B$8,1))=ET$13), 1*(_xlfn._xlws.FILTER(OFFSET($O$15,0,$DO246,$B$8,1),OFFSET($M$15,0,0,$B$8,1))=ET$14))   /   SUM(OFFSET($BO$15,0,0,$B$14,1)) + $B$18/($B$19*$B$19*($DN246&lt;&gt;$DO246) + $B$19*($DN246=$DO246))</f>
        <v>3.7037037037037035E-4</v>
      </c>
      <c r="EU246" s="10" cm="1">
        <f t="array" aca="1" ref="EU246" ca="1">(1-$B$18)*SUMPRODUCT(OFFSET($BO$15,0,0,$B$14,1), 1*(_xlfn._xlws.FILTER(OFFSET($O$15,0,$DN246,$B$8,1),OFFSET($M$15,0,0,$B$8,1))=EU$13), 1*(_xlfn._xlws.FILTER(OFFSET($O$15,0,$DO246,$B$8,1),OFFSET($M$15,0,0,$B$8,1))=EU$14))   /   SUM(OFFSET($BO$15,0,0,$B$14,1)) + $B$18/($B$19*$B$19*($DN246&lt;&gt;$DO246) + $B$19*($DN246=$DO246))</f>
        <v>3.7037037037037035E-4</v>
      </c>
      <c r="EV246" s="10" cm="1">
        <f t="array" aca="1" ref="EV246" ca="1">(1-$B$18)*SUMPRODUCT(OFFSET($BO$15,0,0,$B$14,1), 1*(_xlfn._xlws.FILTER(OFFSET($O$15,0,$DN246,$B$8,1),OFFSET($M$15,0,0,$B$8,1))=EV$13), 1*(_xlfn._xlws.FILTER(OFFSET($O$15,0,$DO246,$B$8,1),OFFSET($M$15,0,0,$B$8,1))=EV$14))   /   SUM(OFFSET($BO$15,0,0,$B$14,1)) + $B$18/($B$19*$B$19*($DN246&lt;&gt;$DO246) + $B$19*($DN246=$DO246))</f>
        <v>3.7037037037037035E-4</v>
      </c>
      <c r="EW246" s="10" cm="1">
        <f t="array" aca="1" ref="EW246" ca="1">(1-$B$18)*SUMPRODUCT(OFFSET($BO$15,0,0,$B$14,1), 1*(_xlfn._xlws.FILTER(OFFSET($O$15,0,$DN246,$B$8,1),OFFSET($M$15,0,0,$B$8,1))=EW$13), 1*(_xlfn._xlws.FILTER(OFFSET($O$15,0,$DO246,$B$8,1),OFFSET($M$15,0,0,$B$8,1))=EW$14))   /   SUM(OFFSET($BO$15,0,0,$B$14,1)) + $B$18/($B$19*$B$19*($DN246&lt;&gt;$DO246) + $B$19*($DN246=$DO246))</f>
        <v>3.7037037037037035E-4</v>
      </c>
      <c r="EX246" s="10" cm="1">
        <f t="array" aca="1" ref="EX246" ca="1">(1-$B$18)*SUMPRODUCT(OFFSET($BO$15,0,0,$B$14,1), 1*(_xlfn._xlws.FILTER(OFFSET($O$15,0,$DN246,$B$8,1),OFFSET($M$15,0,0,$B$8,1))=EX$13), 1*(_xlfn._xlws.FILTER(OFFSET($O$15,0,$DO246,$B$8,1),OFFSET($M$15,0,0,$B$8,1))=EX$14))   /   SUM(OFFSET($BO$15,0,0,$B$14,1)) + $B$18/($B$19*$B$19*($DN246&lt;&gt;$DO246) + $B$19*($DN246=$DO246))</f>
        <v>3.7037037037037035E-4</v>
      </c>
      <c r="EY246" s="10" cm="1">
        <f t="array" aca="1" ref="EY246" ca="1">(1-$B$18)*SUMPRODUCT(OFFSET($BO$15,0,0,$B$14,1), 1*(_xlfn._xlws.FILTER(OFFSET($O$15,0,$DN246,$B$8,1),OFFSET($M$15,0,0,$B$8,1))=EY$13), 1*(_xlfn._xlws.FILTER(OFFSET($O$15,0,$DO246,$B$8,1),OFFSET($M$15,0,0,$B$8,1))=EY$14))   /   SUM(OFFSET($BO$15,0,0,$B$14,1)) + $B$18/($B$19*$B$19*($DN246&lt;&gt;$DO246) + $B$19*($DN246=$DO246))</f>
        <v>3.7037037037037035E-4</v>
      </c>
      <c r="EZ246" s="10" cm="1">
        <f t="array" aca="1" ref="EZ246" ca="1">(1-$B$18)*SUMPRODUCT(OFFSET($BO$15,0,0,$B$14,1), 1*(_xlfn._xlws.FILTER(OFFSET($O$15,0,$DN246,$B$8,1),OFFSET($M$15,0,0,$B$8,1))=EZ$13), 1*(_xlfn._xlws.FILTER(OFFSET($O$15,0,$DO246,$B$8,1),OFFSET($M$15,0,0,$B$8,1))=EZ$14))   /   SUM(OFFSET($BO$15,0,0,$B$14,1)) + $B$18/($B$19*$B$19*($DN246&lt;&gt;$DO246) + $B$19*($DN246=$DO246))</f>
        <v>3.7037037037037035E-4</v>
      </c>
      <c r="FA246" s="10" cm="1">
        <f t="array" aca="1" ref="FA246" ca="1">(1-$B$18)*SUMPRODUCT(OFFSET($BO$15,0,0,$B$14,1), 1*(_xlfn._xlws.FILTER(OFFSET($O$15,0,$DN246,$B$8,1),OFFSET($M$15,0,0,$B$8,1))=FA$13), 1*(_xlfn._xlws.FILTER(OFFSET($O$15,0,$DO246,$B$8,1),OFFSET($M$15,0,0,$B$8,1))=FA$14))   /   SUM(OFFSET($BO$15,0,0,$B$14,1)) + $B$18/($B$19*$B$19*($DN246&lt;&gt;$DO246) + $B$19*($DN246=$DO246))</f>
        <v>3.7037037037037035E-4</v>
      </c>
      <c r="FB246" s="10" cm="1">
        <f t="array" aca="1" ref="FB246" ca="1">(1-$B$18)*SUMPRODUCT(OFFSET($BO$15,0,0,$B$14,1), 1*(_xlfn._xlws.FILTER(OFFSET($O$15,0,$DN246,$B$8,1),OFFSET($M$15,0,0,$B$8,1))=FB$13), 1*(_xlfn._xlws.FILTER(OFFSET($O$15,0,$DO246,$B$8,1),OFFSET($M$15,0,0,$B$8,1))=FB$14))   /   SUM(OFFSET($BO$15,0,0,$B$14,1)) + $B$18/($B$19*$B$19*($DN246&lt;&gt;$DO246) + $B$19*($DN246=$DO246))</f>
        <v>3.7037037037037035E-4</v>
      </c>
      <c r="FC246" s="10" cm="1">
        <f t="array" aca="1" ref="FC246" ca="1">(1-$B$18)*SUMPRODUCT(OFFSET($BO$15,0,0,$B$14,1), 1*(_xlfn._xlws.FILTER(OFFSET($O$15,0,$DN246,$B$8,1),OFFSET($M$15,0,0,$B$8,1))=FC$13), 1*(_xlfn._xlws.FILTER(OFFSET($O$15,0,$DO246,$B$8,1),OFFSET($M$15,0,0,$B$8,1))=FC$14))   /   SUM(OFFSET($BO$15,0,0,$B$14,1)) + $B$18/($B$19*$B$19*($DN246&lt;&gt;$DO246) + $B$19*($DN246=$DO246))</f>
        <v>3.7037037037037035E-4</v>
      </c>
      <c r="FD246" s="10" cm="1">
        <f t="array" aca="1" ref="FD246" ca="1">(1-$B$18)*SUMPRODUCT(OFFSET($BO$15,0,0,$B$14,1), 1*(_xlfn._xlws.FILTER(OFFSET($O$15,0,$DN246,$B$8,1),OFFSET($M$15,0,0,$B$8,1))=FD$13), 1*(_xlfn._xlws.FILTER(OFFSET($O$15,0,$DO246,$B$8,1),OFFSET($M$15,0,0,$B$8,1))=FD$14))   /   SUM(OFFSET($BO$15,0,0,$B$14,1)) + $B$18/($B$19*$B$19*($DN246&lt;&gt;$DO246) + $B$19*($DN246=$DO246))</f>
        <v>3.7037037037037035E-4</v>
      </c>
      <c r="FE246" s="10" cm="1">
        <f t="array" aca="1" ref="FE246" ca="1">(1-$B$18)*SUMPRODUCT(OFFSET($BO$15,0,0,$B$14,1), 1*(_xlfn._xlws.FILTER(OFFSET($O$15,0,$DN246,$B$8,1),OFFSET($M$15,0,0,$B$8,1))=FE$13), 1*(_xlfn._xlws.FILTER(OFFSET($O$15,0,$DO246,$B$8,1),OFFSET($M$15,0,0,$B$8,1))=FE$14))   /   SUM(OFFSET($BO$15,0,0,$B$14,1)) + $B$18/($B$19*$B$19*($DN246&lt;&gt;$DO246) + $B$19*($DN246=$DO246))</f>
        <v>3.7037037037037035E-4</v>
      </c>
      <c r="FF246" s="10" cm="1">
        <f t="array" aca="1" ref="FF246" ca="1">(1-$B$18)*SUMPRODUCT(OFFSET($BO$15,0,0,$B$14,1), 1*(_xlfn._xlws.FILTER(OFFSET($O$15,0,$DN246,$B$8,1),OFFSET($M$15,0,0,$B$8,1))=FF$13), 1*(_xlfn._xlws.FILTER(OFFSET($O$15,0,$DO246,$B$8,1),OFFSET($M$15,0,0,$B$8,1))=FF$14))   /   SUM(OFFSET($BO$15,0,0,$B$14,1)) + $B$18/($B$19*$B$19*($DN246&lt;&gt;$DO246) + $B$19*($DN246=$DO246))</f>
        <v>3.7037037037037035E-4</v>
      </c>
      <c r="FG246" s="10" cm="1">
        <f t="array" aca="1" ref="FG246" ca="1">(1-$B$18)*SUMPRODUCT(OFFSET($BO$15,0,0,$B$14,1), 1*(_xlfn._xlws.FILTER(OFFSET($O$15,0,$DN246,$B$8,1),OFFSET($M$15,0,0,$B$8,1))=FG$13), 1*(_xlfn._xlws.FILTER(OFFSET($O$15,0,$DO246,$B$8,1),OFFSET($M$15,0,0,$B$8,1))=FG$14))   /   SUM(OFFSET($BO$15,0,0,$B$14,1)) + $B$18/($B$19*$B$19*($DN246&lt;&gt;$DO246) + $B$19*($DN246=$DO246))</f>
        <v>3.7037037037037035E-4</v>
      </c>
      <c r="FH246" s="10" cm="1">
        <f t="array" aca="1" ref="FH246" ca="1">(1-$B$18)*SUMPRODUCT(OFFSET($BO$15,0,0,$B$14,1), 1*(_xlfn._xlws.FILTER(OFFSET($O$15,0,$DN246,$B$8,1),OFFSET($M$15,0,0,$B$8,1))=FH$13), 1*(_xlfn._xlws.FILTER(OFFSET($O$15,0,$DO246,$B$8,1),OFFSET($M$15,0,0,$B$8,1))=FH$14))   /   SUM(OFFSET($BO$15,0,0,$B$14,1)) + $B$18/($B$19*$B$19*($DN246&lt;&gt;$DO246) + $B$19*($DN246=$DO246))</f>
        <v>3.7037037037037035E-4</v>
      </c>
      <c r="FI246" s="10" cm="1">
        <f t="array" aca="1" ref="FI246" ca="1">(1-$B$18)*SUMPRODUCT(OFFSET($BO$15,0,0,$B$14,1), 1*(_xlfn._xlws.FILTER(OFFSET($O$15,0,$DN246,$B$8,1),OFFSET($M$15,0,0,$B$8,1))=FI$13), 1*(_xlfn._xlws.FILTER(OFFSET($O$15,0,$DO246,$B$8,1),OFFSET($M$15,0,0,$B$8,1))=FI$14))   /   SUM(OFFSET($BO$15,0,0,$B$14,1)) + $B$18/($B$19*$B$19*($DN246&lt;&gt;$DO246) + $B$19*($DN246=$DO246))</f>
        <v>3.7037037037037035E-4</v>
      </c>
      <c r="FJ246" s="10" cm="1">
        <f t="array" aca="1" ref="FJ246" ca="1">(1-$B$18)*SUMPRODUCT(OFFSET($BO$15,0,0,$B$14,1), 1*(_xlfn._xlws.FILTER(OFFSET($O$15,0,$DN246,$B$8,1),OFFSET($M$15,0,0,$B$8,1))=FJ$13), 1*(_xlfn._xlws.FILTER(OFFSET($O$15,0,$DO246,$B$8,1),OFFSET($M$15,0,0,$B$8,1))=FJ$14))   /   SUM(OFFSET($BO$15,0,0,$B$14,1)) + $B$18/($B$19*$B$19*($DN246&lt;&gt;$DO246) + $B$19*($DN246=$DO246))</f>
        <v>3.7037037037037035E-4</v>
      </c>
      <c r="FK246" s="10" cm="1">
        <f t="array" aca="1" ref="FK246" ca="1">(1-$B$18)*SUMPRODUCT(OFFSET($BO$15,0,0,$B$14,1), 1*(_xlfn._xlws.FILTER(OFFSET($O$15,0,$DN246,$B$8,1),OFFSET($M$15,0,0,$B$8,1))=FK$13), 1*(_xlfn._xlws.FILTER(OFFSET($O$15,0,$DO246,$B$8,1),OFFSET($M$15,0,0,$B$8,1))=FK$14))   /   SUM(OFFSET($BO$15,0,0,$B$14,1)) + $B$18/($B$19*$B$19*($DN246&lt;&gt;$DO246) + $B$19*($DN246=$DO246))</f>
        <v>3.7037037037037035E-4</v>
      </c>
      <c r="FL246" s="10" cm="1">
        <f t="array" aca="1" ref="FL246" ca="1">(1-$B$18)*SUMPRODUCT(OFFSET($BO$15,0,0,$B$14,1), 1*(_xlfn._xlws.FILTER(OFFSET($O$15,0,$DN246,$B$8,1),OFFSET($M$15,0,0,$B$8,1))=FL$13), 1*(_xlfn._xlws.FILTER(OFFSET($O$15,0,$DO246,$B$8,1),OFFSET($M$15,0,0,$B$8,1))=FL$14))   /   SUM(OFFSET($BO$15,0,0,$B$14,1)) + $B$18/($B$19*$B$19*($DN246&lt;&gt;$DO246) + $B$19*($DN246=$DO246))</f>
        <v>3.7037037037037035E-4</v>
      </c>
      <c r="FM246" s="10" cm="1">
        <f t="array" aca="1" ref="FM246" ca="1">(1-$B$18)*SUMPRODUCT(OFFSET($BO$15,0,0,$B$14,1), 1*(_xlfn._xlws.FILTER(OFFSET($O$15,0,$DN246,$B$8,1),OFFSET($M$15,0,0,$B$8,1))=FM$13), 1*(_xlfn._xlws.FILTER(OFFSET($O$15,0,$DO246,$B$8,1),OFFSET($M$15,0,0,$B$8,1))=FM$14))   /   SUM(OFFSET($BO$15,0,0,$B$14,1)) + $B$18/($B$19*$B$19*($DN246&lt;&gt;$DO246) + $B$19*($DN246=$DO246))</f>
        <v>3.7037037037037035E-4</v>
      </c>
      <c r="FN246" s="10" cm="1">
        <f t="array" aca="1" ref="FN246" ca="1">(1-$B$18)*SUMPRODUCT(OFFSET($BO$15,0,0,$B$14,1), 1*(_xlfn._xlws.FILTER(OFFSET($O$15,0,$DN246,$B$8,1),OFFSET($M$15,0,0,$B$8,1))=FN$13), 1*(_xlfn._xlws.FILTER(OFFSET($O$15,0,$DO246,$B$8,1),OFFSET($M$15,0,0,$B$8,1))=FN$14))   /   SUM(OFFSET($BO$15,0,0,$B$14,1)) + $B$18/($B$19*$B$19*($DN246&lt;&gt;$DO246) + $B$19*($DN246=$DO246))</f>
        <v>3.7037037037037035E-4</v>
      </c>
      <c r="FO246" s="10" cm="1">
        <f t="array" aca="1" ref="FO246" ca="1">(1-$B$18)*SUMPRODUCT(OFFSET($BO$15,0,0,$B$14,1), 1*(_xlfn._xlws.FILTER(OFFSET($O$15,0,$DN246,$B$8,1),OFFSET($M$15,0,0,$B$8,1))=FO$13), 1*(_xlfn._xlws.FILTER(OFFSET($O$15,0,$DO246,$B$8,1),OFFSET($M$15,0,0,$B$8,1))=FO$14))   /   SUM(OFFSET($BO$15,0,0,$B$14,1)) + $B$18/($B$19*$B$19*($DN246&lt;&gt;$DO246) + $B$19*($DN246=$DO246))</f>
        <v>3.7037037037037035E-4</v>
      </c>
      <c r="FP246" s="10" cm="1">
        <f t="array" aca="1" ref="FP246" ca="1">(1-$B$18)*SUMPRODUCT(OFFSET($BO$15,0,0,$B$14,1), 1*(_xlfn._xlws.FILTER(OFFSET($O$15,0,$DN246,$B$8,1),OFFSET($M$15,0,0,$B$8,1))=FP$13), 1*(_xlfn._xlws.FILTER(OFFSET($O$15,0,$DO246,$B$8,1),OFFSET($M$15,0,0,$B$8,1))=FP$14))   /   SUM(OFFSET($BO$15,0,0,$B$14,1)) + $B$18/($B$19*$B$19*($DN246&lt;&gt;$DO246) + $B$19*($DN246=$DO246))</f>
        <v>3.7037037037037035E-4</v>
      </c>
      <c r="FQ246" s="10" cm="1">
        <f t="array" aca="1" ref="FQ246" ca="1">(1-$B$18)*SUMPRODUCT(OFFSET($BO$15,0,0,$B$14,1), 1*(_xlfn._xlws.FILTER(OFFSET($O$15,0,$DN246,$B$8,1),OFFSET($M$15,0,0,$B$8,1))=FQ$13), 1*(_xlfn._xlws.FILTER(OFFSET($O$15,0,$DO246,$B$8,1),OFFSET($M$15,0,0,$B$8,1))=FQ$14))   /   SUM(OFFSET($BO$15,0,0,$B$14,1)) + $B$18/($B$19*$B$19*($DN246&lt;&gt;$DO246) + $B$19*($DN246=$DO246))</f>
        <v>3.7037037037037035E-4</v>
      </c>
      <c r="FR246" s="10" cm="1">
        <f t="array" aca="1" ref="FR246" ca="1">(1-$B$18)*SUMPRODUCT(OFFSET($BO$15,0,0,$B$14,1), 1*(_xlfn._xlws.FILTER(OFFSET($O$15,0,$DN246,$B$8,1),OFFSET($M$15,0,0,$B$8,1))=FR$13), 1*(_xlfn._xlws.FILTER(OFFSET($O$15,0,$DO246,$B$8,1),OFFSET($M$15,0,0,$B$8,1))=FR$14))   /   SUM(OFFSET($BO$15,0,0,$B$14,1)) + $B$18/($B$19*$B$19*($DN246&lt;&gt;$DO246) + $B$19*($DN246=$DO246))</f>
        <v>3.7037037037037035E-4</v>
      </c>
      <c r="FS246" s="10" cm="1">
        <f t="array" aca="1" ref="FS246" ca="1">(1-$B$18)*SUMPRODUCT(OFFSET($BO$15,0,0,$B$14,1), 1*(_xlfn._xlws.FILTER(OFFSET($O$15,0,$DN246,$B$8,1),OFFSET($M$15,0,0,$B$8,1))=FS$13), 1*(_xlfn._xlws.FILTER(OFFSET($O$15,0,$DO246,$B$8,1),OFFSET($M$15,0,0,$B$8,1))=FS$14))   /   SUM(OFFSET($BO$15,0,0,$B$14,1)) + $B$18/($B$19*$B$19*($DN246&lt;&gt;$DO246) + $B$19*($DN246=$DO246))</f>
        <v>3.7037037037037035E-4</v>
      </c>
      <c r="FT246" s="10" cm="1">
        <f t="array" aca="1" ref="FT246" ca="1">(1-$B$18)*SUMPRODUCT(OFFSET($BO$15,0,0,$B$14,1), 1*(_xlfn._xlws.FILTER(OFFSET($O$15,0,$DN246,$B$8,1),OFFSET($M$15,0,0,$B$8,1))=FT$13), 1*(_xlfn._xlws.FILTER(OFFSET($O$15,0,$DO246,$B$8,1),OFFSET($M$15,0,0,$B$8,1))=FT$14))   /   SUM(OFFSET($BO$15,0,0,$B$14,1)) + $B$18/($B$19*$B$19*($DN246&lt;&gt;$DO246) + $B$19*($DN246=$DO246))</f>
        <v>3.7037037037037035E-4</v>
      </c>
      <c r="FU246" s="10" cm="1">
        <f t="array" aca="1" ref="FU246" ca="1">(1-$B$18)*SUMPRODUCT(OFFSET($BO$15,0,0,$B$14,1), 1*(_xlfn._xlws.FILTER(OFFSET($O$15,0,$DN246,$B$8,1),OFFSET($M$15,0,0,$B$8,1))=FU$13), 1*(_xlfn._xlws.FILTER(OFFSET($O$15,0,$DO246,$B$8,1),OFFSET($M$15,0,0,$B$8,1))=FU$14))   /   SUM(OFFSET($BO$15,0,0,$B$14,1)) + $B$18/($B$19*$B$19*($DN246&lt;&gt;$DO246) + $B$19*($DN246=$DO246))</f>
        <v>3.7037037037037035E-4</v>
      </c>
      <c r="FV246" s="10" cm="1">
        <f t="array" aca="1" ref="FV246" ca="1">(1-$B$18)*SUMPRODUCT(OFFSET($BO$15,0,0,$B$14,1), 1*(_xlfn._xlws.FILTER(OFFSET($O$15,0,$DN246,$B$8,1),OFFSET($M$15,0,0,$B$8,1))=FV$13), 1*(_xlfn._xlws.FILTER(OFFSET($O$15,0,$DO246,$B$8,1),OFFSET($M$15,0,0,$B$8,1))=FV$14))   /   SUM(OFFSET($BO$15,0,0,$B$14,1)) + $B$18/($B$19*$B$19*($DN246&lt;&gt;$DO246) + $B$19*($DN246=$DO246))</f>
        <v>3.7037037037037035E-4</v>
      </c>
      <c r="FW246" s="10" cm="1">
        <f t="array" aca="1" ref="FW246" ca="1">(1-$B$18)*SUMPRODUCT(OFFSET($BO$15,0,0,$B$14,1), 1*(_xlfn._xlws.FILTER(OFFSET($O$15,0,$DN246,$B$8,1),OFFSET($M$15,0,0,$B$8,1))=FW$13), 1*(_xlfn._xlws.FILTER(OFFSET($O$15,0,$DO246,$B$8,1),OFFSET($M$15,0,0,$B$8,1))=FW$14))   /   SUM(OFFSET($BO$15,0,0,$B$14,1)) + $B$18/($B$19*$B$19*($DN246&lt;&gt;$DO246) + $B$19*($DN246=$DO246))</f>
        <v>3.7037037037037035E-4</v>
      </c>
      <c r="FX246" s="10" cm="1">
        <f t="array" aca="1" ref="FX246" ca="1">(1-$B$18)*SUMPRODUCT(OFFSET($BO$15,0,0,$B$14,1), 1*(_xlfn._xlws.FILTER(OFFSET($O$15,0,$DN246,$B$8,1),OFFSET($M$15,0,0,$B$8,1))=FX$13), 1*(_xlfn._xlws.FILTER(OFFSET($O$15,0,$DO246,$B$8,1),OFFSET($M$15,0,0,$B$8,1))=FX$14))   /   SUM(OFFSET($BO$15,0,0,$B$14,1)) + $B$18/($B$19*$B$19*($DN246&lt;&gt;$DO246) + $B$19*($DN246=$DO246))</f>
        <v>3.7037037037037035E-4</v>
      </c>
      <c r="FY246" s="10" cm="1">
        <f t="array" aca="1" ref="FY246" ca="1">(1-$B$18)*SUMPRODUCT(OFFSET($BO$15,0,0,$B$14,1), 1*(_xlfn._xlws.FILTER(OFFSET($O$15,0,$DN246,$B$8,1),OFFSET($M$15,0,0,$B$8,1))=FY$13), 1*(_xlfn._xlws.FILTER(OFFSET($O$15,0,$DO246,$B$8,1),OFFSET($M$15,0,0,$B$8,1))=FY$14))   /   SUM(OFFSET($BO$15,0,0,$B$14,1)) + $B$18/($B$19*$B$19*($DN246&lt;&gt;$DO246) + $B$19*($DN246=$DO246))</f>
        <v>3.7037037037037035E-4</v>
      </c>
      <c r="FZ246" s="10" cm="1">
        <f t="array" aca="1" ref="FZ246" ca="1">(1-$B$18)*SUMPRODUCT(OFFSET($BO$15,0,0,$B$14,1), 1*(_xlfn._xlws.FILTER(OFFSET($O$15,0,$DN246,$B$8,1),OFFSET($M$15,0,0,$B$8,1))=FZ$13), 1*(_xlfn._xlws.FILTER(OFFSET($O$15,0,$DO246,$B$8,1),OFFSET($M$15,0,0,$B$8,1))=FZ$14))   /   SUM(OFFSET($BO$15,0,0,$B$14,1)) + $B$18/($B$19*$B$19*($DN246&lt;&gt;$DO246) + $B$19*($DN246=$DO246))</f>
        <v>3.7037037037037035E-4</v>
      </c>
      <c r="GA246" s="10" cm="1">
        <f t="array" aca="1" ref="GA246" ca="1">(1-$B$18)*SUMPRODUCT(OFFSET($BO$15,0,0,$B$14,1), 1*(_xlfn._xlws.FILTER(OFFSET($O$15,0,$DN246,$B$8,1),OFFSET($M$15,0,0,$B$8,1))=GA$13), 1*(_xlfn._xlws.FILTER(OFFSET($O$15,0,$DO246,$B$8,1),OFFSET($M$15,0,0,$B$8,1))=GA$14))   /   SUM(OFFSET($BO$15,0,0,$B$14,1)) + $B$18/($B$19*$B$19*($DN246&lt;&gt;$DO246) + $B$19*($DN246=$DO246))</f>
        <v>3.7037037037037035E-4</v>
      </c>
    </row>
    <row r="247" spans="118:183" x14ac:dyDescent="0.2">
      <c r="DN247" cm="1">
        <f t="array" aca="1" ref="DN247" ca="1">INDEX(_xlfn.ANCHORARRAY($CP$15), 1 + INT((ROWS($DO$15:$DO247) - 1) / ROWS(_xlfn.ANCHORARRAY($CP$15))))</f>
        <v>13</v>
      </c>
      <c r="DO247" cm="1">
        <f t="array" aca="1" ref="DO247" ca="1">INDEX(_xlfn.ANCHORARRAY($CP$15),1+MOD(ROWS($DO$15:$DO247)-1,ROWS(_xlfn.ANCHORARRAY($CP$15))))</f>
        <v>4</v>
      </c>
      <c r="DP247" s="10" cm="1">
        <f t="array" aca="1" ref="DP247" ca="1">(1-$B$18)*SUMPRODUCT(OFFSET($BO$15,0,0,$B$14,1), 1*(_xlfn._xlws.FILTER(OFFSET($O$15,0,$DN247,$B$8,1),OFFSET($M$15,0,0,$B$8,1))=DP$13), 1*(_xlfn._xlws.FILTER(OFFSET($O$15,0,$DO247,$B$8,1),OFFSET($M$15,0,0,$B$8,1))=DP$14))   /   SUM(OFFSET($BO$15,0,0,$B$14,1)) + $B$18/($B$19*$B$19*($DN247&lt;&gt;$DO247) + $B$19*($DN247=$DO247))</f>
        <v>3.7037037037037035E-4</v>
      </c>
      <c r="DQ247" s="10" cm="1">
        <f t="array" aca="1" ref="DQ247" ca="1">(1-$B$18)*SUMPRODUCT(OFFSET($BO$15,0,0,$B$14,1), 1*(_xlfn._xlws.FILTER(OFFSET($O$15,0,$DN247,$B$8,1),OFFSET($M$15,0,0,$B$8,1))=DQ$13), 1*(_xlfn._xlws.FILTER(OFFSET($O$15,0,$DO247,$B$8,1),OFFSET($M$15,0,0,$B$8,1))=DQ$14))   /   SUM(OFFSET($BO$15,0,0,$B$14,1)) + $B$18/($B$19*$B$19*($DN247&lt;&gt;$DO247) + $B$19*($DN247=$DO247))</f>
        <v>3.7037037037037035E-4</v>
      </c>
      <c r="DR247" s="10" cm="1">
        <f t="array" aca="1" ref="DR247" ca="1">(1-$B$18)*SUMPRODUCT(OFFSET($BO$15,0,0,$B$14,1), 1*(_xlfn._xlws.FILTER(OFFSET($O$15,0,$DN247,$B$8,1),OFFSET($M$15,0,0,$B$8,1))=DR$13), 1*(_xlfn._xlws.FILTER(OFFSET($O$15,0,$DO247,$B$8,1),OFFSET($M$15,0,0,$B$8,1))=DR$14))   /   SUM(OFFSET($BO$15,0,0,$B$14,1)) + $B$18/($B$19*$B$19*($DN247&lt;&gt;$DO247) + $B$19*($DN247=$DO247))</f>
        <v>3.7037037037037035E-4</v>
      </c>
      <c r="DS247" s="10" cm="1">
        <f t="array" aca="1" ref="DS247" ca="1">(1-$B$18)*SUMPRODUCT(OFFSET($BO$15,0,0,$B$14,1), 1*(_xlfn._xlws.FILTER(OFFSET($O$15,0,$DN247,$B$8,1),OFFSET($M$15,0,0,$B$8,1))=DS$13), 1*(_xlfn._xlws.FILTER(OFFSET($O$15,0,$DO247,$B$8,1),OFFSET($M$15,0,0,$B$8,1))=DS$14))   /   SUM(OFFSET($BO$15,0,0,$B$14,1)) + $B$18/($B$19*$B$19*($DN247&lt;&gt;$DO247) + $B$19*($DN247=$DO247))</f>
        <v>3.7037037037037035E-4</v>
      </c>
      <c r="DT247" s="10" cm="1">
        <f t="array" aca="1" ref="DT247" ca="1">(1-$B$18)*SUMPRODUCT(OFFSET($BO$15,0,0,$B$14,1), 1*(_xlfn._xlws.FILTER(OFFSET($O$15,0,$DN247,$B$8,1),OFFSET($M$15,0,0,$B$8,1))=DT$13), 1*(_xlfn._xlws.FILTER(OFFSET($O$15,0,$DO247,$B$8,1),OFFSET($M$15,0,0,$B$8,1))=DT$14))   /   SUM(OFFSET($BO$15,0,0,$B$14,1)) + $B$18/($B$19*$B$19*($DN247&lt;&gt;$DO247) + $B$19*($DN247=$DO247))</f>
        <v>3.7037037037037035E-4</v>
      </c>
      <c r="DU247" s="10" cm="1">
        <f t="array" aca="1" ref="DU247" ca="1">(1-$B$18)*SUMPRODUCT(OFFSET($BO$15,0,0,$B$14,1), 1*(_xlfn._xlws.FILTER(OFFSET($O$15,0,$DN247,$B$8,1),OFFSET($M$15,0,0,$B$8,1))=DU$13), 1*(_xlfn._xlws.FILTER(OFFSET($O$15,0,$DO247,$B$8,1),OFFSET($M$15,0,0,$B$8,1))=DU$14))   /   SUM(OFFSET($BO$15,0,0,$B$14,1)) + $B$18/($B$19*$B$19*($DN247&lt;&gt;$DO247) + $B$19*($DN247=$DO247))</f>
        <v>3.7037037037037035E-4</v>
      </c>
      <c r="DV247" s="10" cm="1">
        <f t="array" aca="1" ref="DV247" ca="1">(1-$B$18)*SUMPRODUCT(OFFSET($BO$15,0,0,$B$14,1), 1*(_xlfn._xlws.FILTER(OFFSET($O$15,0,$DN247,$B$8,1),OFFSET($M$15,0,0,$B$8,1))=DV$13), 1*(_xlfn._xlws.FILTER(OFFSET($O$15,0,$DO247,$B$8,1),OFFSET($M$15,0,0,$B$8,1))=DV$14))   /   SUM(OFFSET($BO$15,0,0,$B$14,1)) + $B$18/($B$19*$B$19*($DN247&lt;&gt;$DO247) + $B$19*($DN247=$DO247))</f>
        <v>3.7037037037037035E-4</v>
      </c>
      <c r="DW247" s="10" cm="1">
        <f t="array" aca="1" ref="DW247" ca="1">(1-$B$18)*SUMPRODUCT(OFFSET($BO$15,0,0,$B$14,1), 1*(_xlfn._xlws.FILTER(OFFSET($O$15,0,$DN247,$B$8,1),OFFSET($M$15,0,0,$B$8,1))=DW$13), 1*(_xlfn._xlws.FILTER(OFFSET($O$15,0,$DO247,$B$8,1),OFFSET($M$15,0,0,$B$8,1))=DW$14))   /   SUM(OFFSET($BO$15,0,0,$B$14,1)) + $B$18/($B$19*$B$19*($DN247&lt;&gt;$DO247) + $B$19*($DN247=$DO247))</f>
        <v>3.7037037037037035E-4</v>
      </c>
      <c r="DX247" s="10" cm="1">
        <f t="array" aca="1" ref="DX247" ca="1">(1-$B$18)*SUMPRODUCT(OFFSET($BO$15,0,0,$B$14,1), 1*(_xlfn._xlws.FILTER(OFFSET($O$15,0,$DN247,$B$8,1),OFFSET($M$15,0,0,$B$8,1))=DX$13), 1*(_xlfn._xlws.FILTER(OFFSET($O$15,0,$DO247,$B$8,1),OFFSET($M$15,0,0,$B$8,1))=DX$14))   /   SUM(OFFSET($BO$15,0,0,$B$14,1)) + $B$18/($B$19*$B$19*($DN247&lt;&gt;$DO247) + $B$19*($DN247=$DO247))</f>
        <v>3.7037037037037035E-4</v>
      </c>
      <c r="DY247" s="10" cm="1">
        <f t="array" aca="1" ref="DY247" ca="1">(1-$B$18)*SUMPRODUCT(OFFSET($BO$15,0,0,$B$14,1), 1*(_xlfn._xlws.FILTER(OFFSET($O$15,0,$DN247,$B$8,1),OFFSET($M$15,0,0,$B$8,1))=DY$13), 1*(_xlfn._xlws.FILTER(OFFSET($O$15,0,$DO247,$B$8,1),OFFSET($M$15,0,0,$B$8,1))=DY$14))   /   SUM(OFFSET($BO$15,0,0,$B$14,1)) + $B$18/($B$19*$B$19*($DN247&lt;&gt;$DO247) + $B$19*($DN247=$DO247))</f>
        <v>3.7037037037037035E-4</v>
      </c>
      <c r="DZ247" s="10" cm="1">
        <f t="array" aca="1" ref="DZ247" ca="1">(1-$B$18)*SUMPRODUCT(OFFSET($BO$15,0,0,$B$14,1), 1*(_xlfn._xlws.FILTER(OFFSET($O$15,0,$DN247,$B$8,1),OFFSET($M$15,0,0,$B$8,1))=DZ$13), 1*(_xlfn._xlws.FILTER(OFFSET($O$15,0,$DO247,$B$8,1),OFFSET($M$15,0,0,$B$8,1))=DZ$14))   /   SUM(OFFSET($BO$15,0,0,$B$14,1)) + $B$18/($B$19*$B$19*($DN247&lt;&gt;$DO247) + $B$19*($DN247=$DO247))</f>
        <v>3.7037037037037035E-4</v>
      </c>
      <c r="EA247" s="10" cm="1">
        <f t="array" aca="1" ref="EA247" ca="1">(1-$B$18)*SUMPRODUCT(OFFSET($BO$15,0,0,$B$14,1), 1*(_xlfn._xlws.FILTER(OFFSET($O$15,0,$DN247,$B$8,1),OFFSET($M$15,0,0,$B$8,1))=EA$13), 1*(_xlfn._xlws.FILTER(OFFSET($O$15,0,$DO247,$B$8,1),OFFSET($M$15,0,0,$B$8,1))=EA$14))   /   SUM(OFFSET($BO$15,0,0,$B$14,1)) + $B$18/($B$19*$B$19*($DN247&lt;&gt;$DO247) + $B$19*($DN247=$DO247))</f>
        <v>3.7037037037037035E-4</v>
      </c>
      <c r="EB247" s="10" cm="1">
        <f t="array" aca="1" ref="EB247" ca="1">(1-$B$18)*SUMPRODUCT(OFFSET($BO$15,0,0,$B$14,1), 1*(_xlfn._xlws.FILTER(OFFSET($O$15,0,$DN247,$B$8,1),OFFSET($M$15,0,0,$B$8,1))=EB$13), 1*(_xlfn._xlws.FILTER(OFFSET($O$15,0,$DO247,$B$8,1),OFFSET($M$15,0,0,$B$8,1))=EB$14))   /   SUM(OFFSET($BO$15,0,0,$B$14,1)) + $B$18/($B$19*$B$19*($DN247&lt;&gt;$DO247) + $B$19*($DN247=$DO247))</f>
        <v>3.7037037037037035E-4</v>
      </c>
      <c r="EC247" s="10" cm="1">
        <f t="array" aca="1" ref="EC247" ca="1">(1-$B$18)*SUMPRODUCT(OFFSET($BO$15,0,0,$B$14,1), 1*(_xlfn._xlws.FILTER(OFFSET($O$15,0,$DN247,$B$8,1),OFFSET($M$15,0,0,$B$8,1))=EC$13), 1*(_xlfn._xlws.FILTER(OFFSET($O$15,0,$DO247,$B$8,1),OFFSET($M$15,0,0,$B$8,1))=EC$14))   /   SUM(OFFSET($BO$15,0,0,$B$14,1)) + $B$18/($B$19*$B$19*($DN247&lt;&gt;$DO247) + $B$19*($DN247=$DO247))</f>
        <v>3.7037037037037035E-4</v>
      </c>
      <c r="ED247" s="10" cm="1">
        <f t="array" aca="1" ref="ED247" ca="1">(1-$B$18)*SUMPRODUCT(OFFSET($BO$15,0,0,$B$14,1), 1*(_xlfn._xlws.FILTER(OFFSET($O$15,0,$DN247,$B$8,1),OFFSET($M$15,0,0,$B$8,1))=ED$13), 1*(_xlfn._xlws.FILTER(OFFSET($O$15,0,$DO247,$B$8,1),OFFSET($M$15,0,0,$B$8,1))=ED$14))   /   SUM(OFFSET($BO$15,0,0,$B$14,1)) + $B$18/($B$19*$B$19*($DN247&lt;&gt;$DO247) + $B$19*($DN247=$DO247))</f>
        <v>0.97037037037037033</v>
      </c>
      <c r="EE247" s="10" cm="1">
        <f t="array" aca="1" ref="EE247" ca="1">(1-$B$18)*SUMPRODUCT(OFFSET($BO$15,0,0,$B$14,1), 1*(_xlfn._xlws.FILTER(OFFSET($O$15,0,$DN247,$B$8,1),OFFSET($M$15,0,0,$B$8,1))=EE$13), 1*(_xlfn._xlws.FILTER(OFFSET($O$15,0,$DO247,$B$8,1),OFFSET($M$15,0,0,$B$8,1))=EE$14))   /   SUM(OFFSET($BO$15,0,0,$B$14,1)) + $B$18/($B$19*$B$19*($DN247&lt;&gt;$DO247) + $B$19*($DN247=$DO247))</f>
        <v>3.7037037037037035E-4</v>
      </c>
      <c r="EF247" s="10" cm="1">
        <f t="array" aca="1" ref="EF247" ca="1">(1-$B$18)*SUMPRODUCT(OFFSET($BO$15,0,0,$B$14,1), 1*(_xlfn._xlws.FILTER(OFFSET($O$15,0,$DN247,$B$8,1),OFFSET($M$15,0,0,$B$8,1))=EF$13), 1*(_xlfn._xlws.FILTER(OFFSET($O$15,0,$DO247,$B$8,1),OFFSET($M$15,0,0,$B$8,1))=EF$14))   /   SUM(OFFSET($BO$15,0,0,$B$14,1)) + $B$18/($B$19*$B$19*($DN247&lt;&gt;$DO247) + $B$19*($DN247=$DO247))</f>
        <v>3.7037037037037035E-4</v>
      </c>
      <c r="EG247" s="10" cm="1">
        <f t="array" aca="1" ref="EG247" ca="1">(1-$B$18)*SUMPRODUCT(OFFSET($BO$15,0,0,$B$14,1), 1*(_xlfn._xlws.FILTER(OFFSET($O$15,0,$DN247,$B$8,1),OFFSET($M$15,0,0,$B$8,1))=EG$13), 1*(_xlfn._xlws.FILTER(OFFSET($O$15,0,$DO247,$B$8,1),OFFSET($M$15,0,0,$B$8,1))=EG$14))   /   SUM(OFFSET($BO$15,0,0,$B$14,1)) + $B$18/($B$19*$B$19*($DN247&lt;&gt;$DO247) + $B$19*($DN247=$DO247))</f>
        <v>3.7037037037037035E-4</v>
      </c>
      <c r="EH247" s="10" cm="1">
        <f t="array" aca="1" ref="EH247" ca="1">(1-$B$18)*SUMPRODUCT(OFFSET($BO$15,0,0,$B$14,1), 1*(_xlfn._xlws.FILTER(OFFSET($O$15,0,$DN247,$B$8,1),OFFSET($M$15,0,0,$B$8,1))=EH$13), 1*(_xlfn._xlws.FILTER(OFFSET($O$15,0,$DO247,$B$8,1),OFFSET($M$15,0,0,$B$8,1))=EH$14))   /   SUM(OFFSET($BO$15,0,0,$B$14,1)) + $B$18/($B$19*$B$19*($DN247&lt;&gt;$DO247) + $B$19*($DN247=$DO247))</f>
        <v>3.7037037037037035E-4</v>
      </c>
      <c r="EI247" s="10" cm="1">
        <f t="array" aca="1" ref="EI247" ca="1">(1-$B$18)*SUMPRODUCT(OFFSET($BO$15,0,0,$B$14,1), 1*(_xlfn._xlws.FILTER(OFFSET($O$15,0,$DN247,$B$8,1),OFFSET($M$15,0,0,$B$8,1))=EI$13), 1*(_xlfn._xlws.FILTER(OFFSET($O$15,0,$DO247,$B$8,1),OFFSET($M$15,0,0,$B$8,1))=EI$14))   /   SUM(OFFSET($BO$15,0,0,$B$14,1)) + $B$18/($B$19*$B$19*($DN247&lt;&gt;$DO247) + $B$19*($DN247=$DO247))</f>
        <v>3.7037037037037035E-4</v>
      </c>
      <c r="EJ247" s="10" cm="1">
        <f t="array" aca="1" ref="EJ247" ca="1">(1-$B$18)*SUMPRODUCT(OFFSET($BO$15,0,0,$B$14,1), 1*(_xlfn._xlws.FILTER(OFFSET($O$15,0,$DN247,$B$8,1),OFFSET($M$15,0,0,$B$8,1))=EJ$13), 1*(_xlfn._xlws.FILTER(OFFSET($O$15,0,$DO247,$B$8,1),OFFSET($M$15,0,0,$B$8,1))=EJ$14))   /   SUM(OFFSET($BO$15,0,0,$B$14,1)) + $B$18/($B$19*$B$19*($DN247&lt;&gt;$DO247) + $B$19*($DN247=$DO247))</f>
        <v>3.7037037037037035E-4</v>
      </c>
      <c r="EK247" s="10" cm="1">
        <f t="array" aca="1" ref="EK247" ca="1">(1-$B$18)*SUMPRODUCT(OFFSET($BO$15,0,0,$B$14,1), 1*(_xlfn._xlws.FILTER(OFFSET($O$15,0,$DN247,$B$8,1),OFFSET($M$15,0,0,$B$8,1))=EK$13), 1*(_xlfn._xlws.FILTER(OFFSET($O$15,0,$DO247,$B$8,1),OFFSET($M$15,0,0,$B$8,1))=EK$14))   /   SUM(OFFSET($BO$15,0,0,$B$14,1)) + $B$18/($B$19*$B$19*($DN247&lt;&gt;$DO247) + $B$19*($DN247=$DO247))</f>
        <v>3.7037037037037035E-4</v>
      </c>
      <c r="EL247" s="10" cm="1">
        <f t="array" aca="1" ref="EL247" ca="1">(1-$B$18)*SUMPRODUCT(OFFSET($BO$15,0,0,$B$14,1), 1*(_xlfn._xlws.FILTER(OFFSET($O$15,0,$DN247,$B$8,1),OFFSET($M$15,0,0,$B$8,1))=EL$13), 1*(_xlfn._xlws.FILTER(OFFSET($O$15,0,$DO247,$B$8,1),OFFSET($M$15,0,0,$B$8,1))=EL$14))   /   SUM(OFFSET($BO$15,0,0,$B$14,1)) + $B$18/($B$19*$B$19*($DN247&lt;&gt;$DO247) + $B$19*($DN247=$DO247))</f>
        <v>3.7037037037037035E-4</v>
      </c>
      <c r="EM247" s="10" cm="1">
        <f t="array" aca="1" ref="EM247" ca="1">(1-$B$18)*SUMPRODUCT(OFFSET($BO$15,0,0,$B$14,1), 1*(_xlfn._xlws.FILTER(OFFSET($O$15,0,$DN247,$B$8,1),OFFSET($M$15,0,0,$B$8,1))=EM$13), 1*(_xlfn._xlws.FILTER(OFFSET($O$15,0,$DO247,$B$8,1),OFFSET($M$15,0,0,$B$8,1))=EM$14))   /   SUM(OFFSET($BO$15,0,0,$B$14,1)) + $B$18/($B$19*$B$19*($DN247&lt;&gt;$DO247) + $B$19*($DN247=$DO247))</f>
        <v>3.7037037037037035E-4</v>
      </c>
      <c r="EN247" s="10" cm="1">
        <f t="array" aca="1" ref="EN247" ca="1">(1-$B$18)*SUMPRODUCT(OFFSET($BO$15,0,0,$B$14,1), 1*(_xlfn._xlws.FILTER(OFFSET($O$15,0,$DN247,$B$8,1),OFFSET($M$15,0,0,$B$8,1))=EN$13), 1*(_xlfn._xlws.FILTER(OFFSET($O$15,0,$DO247,$B$8,1),OFFSET($M$15,0,0,$B$8,1))=EN$14))   /   SUM(OFFSET($BO$15,0,0,$B$14,1)) + $B$18/($B$19*$B$19*($DN247&lt;&gt;$DO247) + $B$19*($DN247=$DO247))</f>
        <v>3.7037037037037035E-4</v>
      </c>
      <c r="EO247" s="10" cm="1">
        <f t="array" aca="1" ref="EO247" ca="1">(1-$B$18)*SUMPRODUCT(OFFSET($BO$15,0,0,$B$14,1), 1*(_xlfn._xlws.FILTER(OFFSET($O$15,0,$DN247,$B$8,1),OFFSET($M$15,0,0,$B$8,1))=EO$13), 1*(_xlfn._xlws.FILTER(OFFSET($O$15,0,$DO247,$B$8,1),OFFSET($M$15,0,0,$B$8,1))=EO$14))   /   SUM(OFFSET($BO$15,0,0,$B$14,1)) + $B$18/($B$19*$B$19*($DN247&lt;&gt;$DO247) + $B$19*($DN247=$DO247))</f>
        <v>3.7037037037037035E-4</v>
      </c>
      <c r="EP247" s="10" cm="1">
        <f t="array" aca="1" ref="EP247" ca="1">(1-$B$18)*SUMPRODUCT(OFFSET($BO$15,0,0,$B$14,1), 1*(_xlfn._xlws.FILTER(OFFSET($O$15,0,$DN247,$B$8,1),OFFSET($M$15,0,0,$B$8,1))=EP$13), 1*(_xlfn._xlws.FILTER(OFFSET($O$15,0,$DO247,$B$8,1),OFFSET($M$15,0,0,$B$8,1))=EP$14))   /   SUM(OFFSET($BO$15,0,0,$B$14,1)) + $B$18/($B$19*$B$19*($DN247&lt;&gt;$DO247) + $B$19*($DN247=$DO247))</f>
        <v>3.7037037037037035E-4</v>
      </c>
      <c r="EQ247" s="10" cm="1">
        <f t="array" aca="1" ref="EQ247" ca="1">(1-$B$18)*SUMPRODUCT(OFFSET($BO$15,0,0,$B$14,1), 1*(_xlfn._xlws.FILTER(OFFSET($O$15,0,$DN247,$B$8,1),OFFSET($M$15,0,0,$B$8,1))=EQ$13), 1*(_xlfn._xlws.FILTER(OFFSET($O$15,0,$DO247,$B$8,1),OFFSET($M$15,0,0,$B$8,1))=EQ$14))   /   SUM(OFFSET($BO$15,0,0,$B$14,1)) + $B$18/($B$19*$B$19*($DN247&lt;&gt;$DO247) + $B$19*($DN247=$DO247))</f>
        <v>3.7037037037037035E-4</v>
      </c>
      <c r="ER247" s="10" cm="1">
        <f t="array" aca="1" ref="ER247" ca="1">(1-$B$18)*SUMPRODUCT(OFFSET($BO$15,0,0,$B$14,1), 1*(_xlfn._xlws.FILTER(OFFSET($O$15,0,$DN247,$B$8,1),OFFSET($M$15,0,0,$B$8,1))=ER$13), 1*(_xlfn._xlws.FILTER(OFFSET($O$15,0,$DO247,$B$8,1),OFFSET($M$15,0,0,$B$8,1))=ER$14))   /   SUM(OFFSET($BO$15,0,0,$B$14,1)) + $B$18/($B$19*$B$19*($DN247&lt;&gt;$DO247) + $B$19*($DN247=$DO247))</f>
        <v>3.7037037037037035E-4</v>
      </c>
      <c r="ES247" s="10" cm="1">
        <f t="array" aca="1" ref="ES247" ca="1">(1-$B$18)*SUMPRODUCT(OFFSET($BO$15,0,0,$B$14,1), 1*(_xlfn._xlws.FILTER(OFFSET($O$15,0,$DN247,$B$8,1),OFFSET($M$15,0,0,$B$8,1))=ES$13), 1*(_xlfn._xlws.FILTER(OFFSET($O$15,0,$DO247,$B$8,1),OFFSET($M$15,0,0,$B$8,1))=ES$14))   /   SUM(OFFSET($BO$15,0,0,$B$14,1)) + $B$18/($B$19*$B$19*($DN247&lt;&gt;$DO247) + $B$19*($DN247=$DO247))</f>
        <v>3.7037037037037035E-4</v>
      </c>
      <c r="ET247" s="10" cm="1">
        <f t="array" aca="1" ref="ET247" ca="1">(1-$B$18)*SUMPRODUCT(OFFSET($BO$15,0,0,$B$14,1), 1*(_xlfn._xlws.FILTER(OFFSET($O$15,0,$DN247,$B$8,1),OFFSET($M$15,0,0,$B$8,1))=ET$13), 1*(_xlfn._xlws.FILTER(OFFSET($O$15,0,$DO247,$B$8,1),OFFSET($M$15,0,0,$B$8,1))=ET$14))   /   SUM(OFFSET($BO$15,0,0,$B$14,1)) + $B$18/($B$19*$B$19*($DN247&lt;&gt;$DO247) + $B$19*($DN247=$DO247))</f>
        <v>3.7037037037037035E-4</v>
      </c>
      <c r="EU247" s="10" cm="1">
        <f t="array" aca="1" ref="EU247" ca="1">(1-$B$18)*SUMPRODUCT(OFFSET($BO$15,0,0,$B$14,1), 1*(_xlfn._xlws.FILTER(OFFSET($O$15,0,$DN247,$B$8,1),OFFSET($M$15,0,0,$B$8,1))=EU$13), 1*(_xlfn._xlws.FILTER(OFFSET($O$15,0,$DO247,$B$8,1),OFFSET($M$15,0,0,$B$8,1))=EU$14))   /   SUM(OFFSET($BO$15,0,0,$B$14,1)) + $B$18/($B$19*$B$19*($DN247&lt;&gt;$DO247) + $B$19*($DN247=$DO247))</f>
        <v>3.7037037037037035E-4</v>
      </c>
      <c r="EV247" s="10" cm="1">
        <f t="array" aca="1" ref="EV247" ca="1">(1-$B$18)*SUMPRODUCT(OFFSET($BO$15,0,0,$B$14,1), 1*(_xlfn._xlws.FILTER(OFFSET($O$15,0,$DN247,$B$8,1),OFFSET($M$15,0,0,$B$8,1))=EV$13), 1*(_xlfn._xlws.FILTER(OFFSET($O$15,0,$DO247,$B$8,1),OFFSET($M$15,0,0,$B$8,1))=EV$14))   /   SUM(OFFSET($BO$15,0,0,$B$14,1)) + $B$18/($B$19*$B$19*($DN247&lt;&gt;$DO247) + $B$19*($DN247=$DO247))</f>
        <v>3.7037037037037035E-4</v>
      </c>
      <c r="EW247" s="10" cm="1">
        <f t="array" aca="1" ref="EW247" ca="1">(1-$B$18)*SUMPRODUCT(OFFSET($BO$15,0,0,$B$14,1), 1*(_xlfn._xlws.FILTER(OFFSET($O$15,0,$DN247,$B$8,1),OFFSET($M$15,0,0,$B$8,1))=EW$13), 1*(_xlfn._xlws.FILTER(OFFSET($O$15,0,$DO247,$B$8,1),OFFSET($M$15,0,0,$B$8,1))=EW$14))   /   SUM(OFFSET($BO$15,0,0,$B$14,1)) + $B$18/($B$19*$B$19*($DN247&lt;&gt;$DO247) + $B$19*($DN247=$DO247))</f>
        <v>3.7037037037037035E-4</v>
      </c>
      <c r="EX247" s="10" cm="1">
        <f t="array" aca="1" ref="EX247" ca="1">(1-$B$18)*SUMPRODUCT(OFFSET($BO$15,0,0,$B$14,1), 1*(_xlfn._xlws.FILTER(OFFSET($O$15,0,$DN247,$B$8,1),OFFSET($M$15,0,0,$B$8,1))=EX$13), 1*(_xlfn._xlws.FILTER(OFFSET($O$15,0,$DO247,$B$8,1),OFFSET($M$15,0,0,$B$8,1))=EX$14))   /   SUM(OFFSET($BO$15,0,0,$B$14,1)) + $B$18/($B$19*$B$19*($DN247&lt;&gt;$DO247) + $B$19*($DN247=$DO247))</f>
        <v>3.7037037037037035E-4</v>
      </c>
      <c r="EY247" s="10" cm="1">
        <f t="array" aca="1" ref="EY247" ca="1">(1-$B$18)*SUMPRODUCT(OFFSET($BO$15,0,0,$B$14,1), 1*(_xlfn._xlws.FILTER(OFFSET($O$15,0,$DN247,$B$8,1),OFFSET($M$15,0,0,$B$8,1))=EY$13), 1*(_xlfn._xlws.FILTER(OFFSET($O$15,0,$DO247,$B$8,1),OFFSET($M$15,0,0,$B$8,1))=EY$14))   /   SUM(OFFSET($BO$15,0,0,$B$14,1)) + $B$18/($B$19*$B$19*($DN247&lt;&gt;$DO247) + $B$19*($DN247=$DO247))</f>
        <v>3.7037037037037035E-4</v>
      </c>
      <c r="EZ247" s="10" cm="1">
        <f t="array" aca="1" ref="EZ247" ca="1">(1-$B$18)*SUMPRODUCT(OFFSET($BO$15,0,0,$B$14,1), 1*(_xlfn._xlws.FILTER(OFFSET($O$15,0,$DN247,$B$8,1),OFFSET($M$15,0,0,$B$8,1))=EZ$13), 1*(_xlfn._xlws.FILTER(OFFSET($O$15,0,$DO247,$B$8,1),OFFSET($M$15,0,0,$B$8,1))=EZ$14))   /   SUM(OFFSET($BO$15,0,0,$B$14,1)) + $B$18/($B$19*$B$19*($DN247&lt;&gt;$DO247) + $B$19*($DN247=$DO247))</f>
        <v>3.7037037037037035E-4</v>
      </c>
      <c r="FA247" s="10" cm="1">
        <f t="array" aca="1" ref="FA247" ca="1">(1-$B$18)*SUMPRODUCT(OFFSET($BO$15,0,0,$B$14,1), 1*(_xlfn._xlws.FILTER(OFFSET($O$15,0,$DN247,$B$8,1),OFFSET($M$15,0,0,$B$8,1))=FA$13), 1*(_xlfn._xlws.FILTER(OFFSET($O$15,0,$DO247,$B$8,1),OFFSET($M$15,0,0,$B$8,1))=FA$14))   /   SUM(OFFSET($BO$15,0,0,$B$14,1)) + $B$18/($B$19*$B$19*($DN247&lt;&gt;$DO247) + $B$19*($DN247=$DO247))</f>
        <v>3.7037037037037035E-4</v>
      </c>
      <c r="FB247" s="10" cm="1">
        <f t="array" aca="1" ref="FB247" ca="1">(1-$B$18)*SUMPRODUCT(OFFSET($BO$15,0,0,$B$14,1), 1*(_xlfn._xlws.FILTER(OFFSET($O$15,0,$DN247,$B$8,1),OFFSET($M$15,0,0,$B$8,1))=FB$13), 1*(_xlfn._xlws.FILTER(OFFSET($O$15,0,$DO247,$B$8,1),OFFSET($M$15,0,0,$B$8,1))=FB$14))   /   SUM(OFFSET($BO$15,0,0,$B$14,1)) + $B$18/($B$19*$B$19*($DN247&lt;&gt;$DO247) + $B$19*($DN247=$DO247))</f>
        <v>3.7037037037037035E-4</v>
      </c>
      <c r="FC247" s="10" cm="1">
        <f t="array" aca="1" ref="FC247" ca="1">(1-$B$18)*SUMPRODUCT(OFFSET($BO$15,0,0,$B$14,1), 1*(_xlfn._xlws.FILTER(OFFSET($O$15,0,$DN247,$B$8,1),OFFSET($M$15,0,0,$B$8,1))=FC$13), 1*(_xlfn._xlws.FILTER(OFFSET($O$15,0,$DO247,$B$8,1),OFFSET($M$15,0,0,$B$8,1))=FC$14))   /   SUM(OFFSET($BO$15,0,0,$B$14,1)) + $B$18/($B$19*$B$19*($DN247&lt;&gt;$DO247) + $B$19*($DN247=$DO247))</f>
        <v>3.7037037037037035E-4</v>
      </c>
      <c r="FD247" s="10" cm="1">
        <f t="array" aca="1" ref="FD247" ca="1">(1-$B$18)*SUMPRODUCT(OFFSET($BO$15,0,0,$B$14,1), 1*(_xlfn._xlws.FILTER(OFFSET($O$15,0,$DN247,$B$8,1),OFFSET($M$15,0,0,$B$8,1))=FD$13), 1*(_xlfn._xlws.FILTER(OFFSET($O$15,0,$DO247,$B$8,1),OFFSET($M$15,0,0,$B$8,1))=FD$14))   /   SUM(OFFSET($BO$15,0,0,$B$14,1)) + $B$18/($B$19*$B$19*($DN247&lt;&gt;$DO247) + $B$19*($DN247=$DO247))</f>
        <v>3.7037037037037035E-4</v>
      </c>
      <c r="FE247" s="10" cm="1">
        <f t="array" aca="1" ref="FE247" ca="1">(1-$B$18)*SUMPRODUCT(OFFSET($BO$15,0,0,$B$14,1), 1*(_xlfn._xlws.FILTER(OFFSET($O$15,0,$DN247,$B$8,1),OFFSET($M$15,0,0,$B$8,1))=FE$13), 1*(_xlfn._xlws.FILTER(OFFSET($O$15,0,$DO247,$B$8,1),OFFSET($M$15,0,0,$B$8,1))=FE$14))   /   SUM(OFFSET($BO$15,0,0,$B$14,1)) + $B$18/($B$19*$B$19*($DN247&lt;&gt;$DO247) + $B$19*($DN247=$DO247))</f>
        <v>3.7037037037037035E-4</v>
      </c>
      <c r="FF247" s="10" cm="1">
        <f t="array" aca="1" ref="FF247" ca="1">(1-$B$18)*SUMPRODUCT(OFFSET($BO$15,0,0,$B$14,1), 1*(_xlfn._xlws.FILTER(OFFSET($O$15,0,$DN247,$B$8,1),OFFSET($M$15,0,0,$B$8,1))=FF$13), 1*(_xlfn._xlws.FILTER(OFFSET($O$15,0,$DO247,$B$8,1),OFFSET($M$15,0,0,$B$8,1))=FF$14))   /   SUM(OFFSET($BO$15,0,0,$B$14,1)) + $B$18/($B$19*$B$19*($DN247&lt;&gt;$DO247) + $B$19*($DN247=$DO247))</f>
        <v>3.7037037037037035E-4</v>
      </c>
      <c r="FG247" s="10" cm="1">
        <f t="array" aca="1" ref="FG247" ca="1">(1-$B$18)*SUMPRODUCT(OFFSET($BO$15,0,0,$B$14,1), 1*(_xlfn._xlws.FILTER(OFFSET($O$15,0,$DN247,$B$8,1),OFFSET($M$15,0,0,$B$8,1))=FG$13), 1*(_xlfn._xlws.FILTER(OFFSET($O$15,0,$DO247,$B$8,1),OFFSET($M$15,0,0,$B$8,1))=FG$14))   /   SUM(OFFSET($BO$15,0,0,$B$14,1)) + $B$18/($B$19*$B$19*($DN247&lt;&gt;$DO247) + $B$19*($DN247=$DO247))</f>
        <v>3.7037037037037035E-4</v>
      </c>
      <c r="FH247" s="10" cm="1">
        <f t="array" aca="1" ref="FH247" ca="1">(1-$B$18)*SUMPRODUCT(OFFSET($BO$15,0,0,$B$14,1), 1*(_xlfn._xlws.FILTER(OFFSET($O$15,0,$DN247,$B$8,1),OFFSET($M$15,0,0,$B$8,1))=FH$13), 1*(_xlfn._xlws.FILTER(OFFSET($O$15,0,$DO247,$B$8,1),OFFSET($M$15,0,0,$B$8,1))=FH$14))   /   SUM(OFFSET($BO$15,0,0,$B$14,1)) + $B$18/($B$19*$B$19*($DN247&lt;&gt;$DO247) + $B$19*($DN247=$DO247))</f>
        <v>3.7037037037037035E-4</v>
      </c>
      <c r="FI247" s="10" cm="1">
        <f t="array" aca="1" ref="FI247" ca="1">(1-$B$18)*SUMPRODUCT(OFFSET($BO$15,0,0,$B$14,1), 1*(_xlfn._xlws.FILTER(OFFSET($O$15,0,$DN247,$B$8,1),OFFSET($M$15,0,0,$B$8,1))=FI$13), 1*(_xlfn._xlws.FILTER(OFFSET($O$15,0,$DO247,$B$8,1),OFFSET($M$15,0,0,$B$8,1))=FI$14))   /   SUM(OFFSET($BO$15,0,0,$B$14,1)) + $B$18/($B$19*$B$19*($DN247&lt;&gt;$DO247) + $B$19*($DN247=$DO247))</f>
        <v>3.7037037037037035E-4</v>
      </c>
      <c r="FJ247" s="10" cm="1">
        <f t="array" aca="1" ref="FJ247" ca="1">(1-$B$18)*SUMPRODUCT(OFFSET($BO$15,0,0,$B$14,1), 1*(_xlfn._xlws.FILTER(OFFSET($O$15,0,$DN247,$B$8,1),OFFSET($M$15,0,0,$B$8,1))=FJ$13), 1*(_xlfn._xlws.FILTER(OFFSET($O$15,0,$DO247,$B$8,1),OFFSET($M$15,0,0,$B$8,1))=FJ$14))   /   SUM(OFFSET($BO$15,0,0,$B$14,1)) + $B$18/($B$19*$B$19*($DN247&lt;&gt;$DO247) + $B$19*($DN247=$DO247))</f>
        <v>3.7037037037037035E-4</v>
      </c>
      <c r="FK247" s="10" cm="1">
        <f t="array" aca="1" ref="FK247" ca="1">(1-$B$18)*SUMPRODUCT(OFFSET($BO$15,0,0,$B$14,1), 1*(_xlfn._xlws.FILTER(OFFSET($O$15,0,$DN247,$B$8,1),OFFSET($M$15,0,0,$B$8,1))=FK$13), 1*(_xlfn._xlws.FILTER(OFFSET($O$15,0,$DO247,$B$8,1),OFFSET($M$15,0,0,$B$8,1))=FK$14))   /   SUM(OFFSET($BO$15,0,0,$B$14,1)) + $B$18/($B$19*$B$19*($DN247&lt;&gt;$DO247) + $B$19*($DN247=$DO247))</f>
        <v>3.7037037037037035E-4</v>
      </c>
      <c r="FL247" s="10" cm="1">
        <f t="array" aca="1" ref="FL247" ca="1">(1-$B$18)*SUMPRODUCT(OFFSET($BO$15,0,0,$B$14,1), 1*(_xlfn._xlws.FILTER(OFFSET($O$15,0,$DN247,$B$8,1),OFFSET($M$15,0,0,$B$8,1))=FL$13), 1*(_xlfn._xlws.FILTER(OFFSET($O$15,0,$DO247,$B$8,1),OFFSET($M$15,0,0,$B$8,1))=FL$14))   /   SUM(OFFSET($BO$15,0,0,$B$14,1)) + $B$18/($B$19*$B$19*($DN247&lt;&gt;$DO247) + $B$19*($DN247=$DO247))</f>
        <v>3.7037037037037035E-4</v>
      </c>
      <c r="FM247" s="10" cm="1">
        <f t="array" aca="1" ref="FM247" ca="1">(1-$B$18)*SUMPRODUCT(OFFSET($BO$15,0,0,$B$14,1), 1*(_xlfn._xlws.FILTER(OFFSET($O$15,0,$DN247,$B$8,1),OFFSET($M$15,0,0,$B$8,1))=FM$13), 1*(_xlfn._xlws.FILTER(OFFSET($O$15,0,$DO247,$B$8,1),OFFSET($M$15,0,0,$B$8,1))=FM$14))   /   SUM(OFFSET($BO$15,0,0,$B$14,1)) + $B$18/($B$19*$B$19*($DN247&lt;&gt;$DO247) + $B$19*($DN247=$DO247))</f>
        <v>3.7037037037037035E-4</v>
      </c>
      <c r="FN247" s="10" cm="1">
        <f t="array" aca="1" ref="FN247" ca="1">(1-$B$18)*SUMPRODUCT(OFFSET($BO$15,0,0,$B$14,1), 1*(_xlfn._xlws.FILTER(OFFSET($O$15,0,$DN247,$B$8,1),OFFSET($M$15,0,0,$B$8,1))=FN$13), 1*(_xlfn._xlws.FILTER(OFFSET($O$15,0,$DO247,$B$8,1),OFFSET($M$15,0,0,$B$8,1))=FN$14))   /   SUM(OFFSET($BO$15,0,0,$B$14,1)) + $B$18/($B$19*$B$19*($DN247&lt;&gt;$DO247) + $B$19*($DN247=$DO247))</f>
        <v>3.7037037037037035E-4</v>
      </c>
      <c r="FO247" s="10" cm="1">
        <f t="array" aca="1" ref="FO247" ca="1">(1-$B$18)*SUMPRODUCT(OFFSET($BO$15,0,0,$B$14,1), 1*(_xlfn._xlws.FILTER(OFFSET($O$15,0,$DN247,$B$8,1),OFFSET($M$15,0,0,$B$8,1))=FO$13), 1*(_xlfn._xlws.FILTER(OFFSET($O$15,0,$DO247,$B$8,1),OFFSET($M$15,0,0,$B$8,1))=FO$14))   /   SUM(OFFSET($BO$15,0,0,$B$14,1)) + $B$18/($B$19*$B$19*($DN247&lt;&gt;$DO247) + $B$19*($DN247=$DO247))</f>
        <v>3.7037037037037035E-4</v>
      </c>
      <c r="FP247" s="10" cm="1">
        <f t="array" aca="1" ref="FP247" ca="1">(1-$B$18)*SUMPRODUCT(OFFSET($BO$15,0,0,$B$14,1), 1*(_xlfn._xlws.FILTER(OFFSET($O$15,0,$DN247,$B$8,1),OFFSET($M$15,0,0,$B$8,1))=FP$13), 1*(_xlfn._xlws.FILTER(OFFSET($O$15,0,$DO247,$B$8,1),OFFSET($M$15,0,0,$B$8,1))=FP$14))   /   SUM(OFFSET($BO$15,0,0,$B$14,1)) + $B$18/($B$19*$B$19*($DN247&lt;&gt;$DO247) + $B$19*($DN247=$DO247))</f>
        <v>3.7037037037037035E-4</v>
      </c>
      <c r="FQ247" s="10" cm="1">
        <f t="array" aca="1" ref="FQ247" ca="1">(1-$B$18)*SUMPRODUCT(OFFSET($BO$15,0,0,$B$14,1), 1*(_xlfn._xlws.FILTER(OFFSET($O$15,0,$DN247,$B$8,1),OFFSET($M$15,0,0,$B$8,1))=FQ$13), 1*(_xlfn._xlws.FILTER(OFFSET($O$15,0,$DO247,$B$8,1),OFFSET($M$15,0,0,$B$8,1))=FQ$14))   /   SUM(OFFSET($BO$15,0,0,$B$14,1)) + $B$18/($B$19*$B$19*($DN247&lt;&gt;$DO247) + $B$19*($DN247=$DO247))</f>
        <v>3.7037037037037035E-4</v>
      </c>
      <c r="FR247" s="10" cm="1">
        <f t="array" aca="1" ref="FR247" ca="1">(1-$B$18)*SUMPRODUCT(OFFSET($BO$15,0,0,$B$14,1), 1*(_xlfn._xlws.FILTER(OFFSET($O$15,0,$DN247,$B$8,1),OFFSET($M$15,0,0,$B$8,1))=FR$13), 1*(_xlfn._xlws.FILTER(OFFSET($O$15,0,$DO247,$B$8,1),OFFSET($M$15,0,0,$B$8,1))=FR$14))   /   SUM(OFFSET($BO$15,0,0,$B$14,1)) + $B$18/($B$19*$B$19*($DN247&lt;&gt;$DO247) + $B$19*($DN247=$DO247))</f>
        <v>3.7037037037037035E-4</v>
      </c>
      <c r="FS247" s="10" cm="1">
        <f t="array" aca="1" ref="FS247" ca="1">(1-$B$18)*SUMPRODUCT(OFFSET($BO$15,0,0,$B$14,1), 1*(_xlfn._xlws.FILTER(OFFSET($O$15,0,$DN247,$B$8,1),OFFSET($M$15,0,0,$B$8,1))=FS$13), 1*(_xlfn._xlws.FILTER(OFFSET($O$15,0,$DO247,$B$8,1),OFFSET($M$15,0,0,$B$8,1))=FS$14))   /   SUM(OFFSET($BO$15,0,0,$B$14,1)) + $B$18/($B$19*$B$19*($DN247&lt;&gt;$DO247) + $B$19*($DN247=$DO247))</f>
        <v>3.7037037037037035E-4</v>
      </c>
      <c r="FT247" s="10" cm="1">
        <f t="array" aca="1" ref="FT247" ca="1">(1-$B$18)*SUMPRODUCT(OFFSET($BO$15,0,0,$B$14,1), 1*(_xlfn._xlws.FILTER(OFFSET($O$15,0,$DN247,$B$8,1),OFFSET($M$15,0,0,$B$8,1))=FT$13), 1*(_xlfn._xlws.FILTER(OFFSET($O$15,0,$DO247,$B$8,1),OFFSET($M$15,0,0,$B$8,1))=FT$14))   /   SUM(OFFSET($BO$15,0,0,$B$14,1)) + $B$18/($B$19*$B$19*($DN247&lt;&gt;$DO247) + $B$19*($DN247=$DO247))</f>
        <v>3.7037037037037035E-4</v>
      </c>
      <c r="FU247" s="10" cm="1">
        <f t="array" aca="1" ref="FU247" ca="1">(1-$B$18)*SUMPRODUCT(OFFSET($BO$15,0,0,$B$14,1), 1*(_xlfn._xlws.FILTER(OFFSET($O$15,0,$DN247,$B$8,1),OFFSET($M$15,0,0,$B$8,1))=FU$13), 1*(_xlfn._xlws.FILTER(OFFSET($O$15,0,$DO247,$B$8,1),OFFSET($M$15,0,0,$B$8,1))=FU$14))   /   SUM(OFFSET($BO$15,0,0,$B$14,1)) + $B$18/($B$19*$B$19*($DN247&lt;&gt;$DO247) + $B$19*($DN247=$DO247))</f>
        <v>3.7037037037037035E-4</v>
      </c>
      <c r="FV247" s="10" cm="1">
        <f t="array" aca="1" ref="FV247" ca="1">(1-$B$18)*SUMPRODUCT(OFFSET($BO$15,0,0,$B$14,1), 1*(_xlfn._xlws.FILTER(OFFSET($O$15,0,$DN247,$B$8,1),OFFSET($M$15,0,0,$B$8,1))=FV$13), 1*(_xlfn._xlws.FILTER(OFFSET($O$15,0,$DO247,$B$8,1),OFFSET($M$15,0,0,$B$8,1))=FV$14))   /   SUM(OFFSET($BO$15,0,0,$B$14,1)) + $B$18/($B$19*$B$19*($DN247&lt;&gt;$DO247) + $B$19*($DN247=$DO247))</f>
        <v>3.7037037037037035E-4</v>
      </c>
      <c r="FW247" s="10" cm="1">
        <f t="array" aca="1" ref="FW247" ca="1">(1-$B$18)*SUMPRODUCT(OFFSET($BO$15,0,0,$B$14,1), 1*(_xlfn._xlws.FILTER(OFFSET($O$15,0,$DN247,$B$8,1),OFFSET($M$15,0,0,$B$8,1))=FW$13), 1*(_xlfn._xlws.FILTER(OFFSET($O$15,0,$DO247,$B$8,1),OFFSET($M$15,0,0,$B$8,1))=FW$14))   /   SUM(OFFSET($BO$15,0,0,$B$14,1)) + $B$18/($B$19*$B$19*($DN247&lt;&gt;$DO247) + $B$19*($DN247=$DO247))</f>
        <v>3.7037037037037035E-4</v>
      </c>
      <c r="FX247" s="10" cm="1">
        <f t="array" aca="1" ref="FX247" ca="1">(1-$B$18)*SUMPRODUCT(OFFSET($BO$15,0,0,$B$14,1), 1*(_xlfn._xlws.FILTER(OFFSET($O$15,0,$DN247,$B$8,1),OFFSET($M$15,0,0,$B$8,1))=FX$13), 1*(_xlfn._xlws.FILTER(OFFSET($O$15,0,$DO247,$B$8,1),OFFSET($M$15,0,0,$B$8,1))=FX$14))   /   SUM(OFFSET($BO$15,0,0,$B$14,1)) + $B$18/($B$19*$B$19*($DN247&lt;&gt;$DO247) + $B$19*($DN247=$DO247))</f>
        <v>3.7037037037037035E-4</v>
      </c>
      <c r="FY247" s="10" cm="1">
        <f t="array" aca="1" ref="FY247" ca="1">(1-$B$18)*SUMPRODUCT(OFFSET($BO$15,0,0,$B$14,1), 1*(_xlfn._xlws.FILTER(OFFSET($O$15,0,$DN247,$B$8,1),OFFSET($M$15,0,0,$B$8,1))=FY$13), 1*(_xlfn._xlws.FILTER(OFFSET($O$15,0,$DO247,$B$8,1),OFFSET($M$15,0,0,$B$8,1))=FY$14))   /   SUM(OFFSET($BO$15,0,0,$B$14,1)) + $B$18/($B$19*$B$19*($DN247&lt;&gt;$DO247) + $B$19*($DN247=$DO247))</f>
        <v>3.7037037037037035E-4</v>
      </c>
      <c r="FZ247" s="10" cm="1">
        <f t="array" aca="1" ref="FZ247" ca="1">(1-$B$18)*SUMPRODUCT(OFFSET($BO$15,0,0,$B$14,1), 1*(_xlfn._xlws.FILTER(OFFSET($O$15,0,$DN247,$B$8,1),OFFSET($M$15,0,0,$B$8,1))=FZ$13), 1*(_xlfn._xlws.FILTER(OFFSET($O$15,0,$DO247,$B$8,1),OFFSET($M$15,0,0,$B$8,1))=FZ$14))   /   SUM(OFFSET($BO$15,0,0,$B$14,1)) + $B$18/($B$19*$B$19*($DN247&lt;&gt;$DO247) + $B$19*($DN247=$DO247))</f>
        <v>3.7037037037037035E-4</v>
      </c>
      <c r="GA247" s="10" cm="1">
        <f t="array" aca="1" ref="GA247" ca="1">(1-$B$18)*SUMPRODUCT(OFFSET($BO$15,0,0,$B$14,1), 1*(_xlfn._xlws.FILTER(OFFSET($O$15,0,$DN247,$B$8,1),OFFSET($M$15,0,0,$B$8,1))=GA$13), 1*(_xlfn._xlws.FILTER(OFFSET($O$15,0,$DO247,$B$8,1),OFFSET($M$15,0,0,$B$8,1))=GA$14))   /   SUM(OFFSET($BO$15,0,0,$B$14,1)) + $B$18/($B$19*$B$19*($DN247&lt;&gt;$DO247) + $B$19*($DN247=$DO247))</f>
        <v>3.7037037037037035E-4</v>
      </c>
    </row>
    <row r="248" spans="118:183" x14ac:dyDescent="0.2">
      <c r="DN248" cm="1">
        <f t="array" aca="1" ref="DN248" ca="1">INDEX(_xlfn.ANCHORARRAY($CP$15), 1 + INT((ROWS($DO$15:$DO248) - 1) / ROWS(_xlfn.ANCHORARRAY($CP$15))))</f>
        <v>13</v>
      </c>
      <c r="DO248" cm="1">
        <f t="array" aca="1" ref="DO248" ca="1">INDEX(_xlfn.ANCHORARRAY($CP$15),1+MOD(ROWS($DO$15:$DO248)-1,ROWS(_xlfn.ANCHORARRAY($CP$15))))</f>
        <v>5</v>
      </c>
      <c r="DP248" s="10" cm="1">
        <f t="array" aca="1" ref="DP248" ca="1">(1-$B$18)*SUMPRODUCT(OFFSET($BO$15,0,0,$B$14,1), 1*(_xlfn._xlws.FILTER(OFFSET($O$15,0,$DN248,$B$8,1),OFFSET($M$15,0,0,$B$8,1))=DP$13), 1*(_xlfn._xlws.FILTER(OFFSET($O$15,0,$DO248,$B$8,1),OFFSET($M$15,0,0,$B$8,1))=DP$14))   /   SUM(OFFSET($BO$15,0,0,$B$14,1)) + $B$18/($B$19*$B$19*($DN248&lt;&gt;$DO248) + $B$19*($DN248=$DO248))</f>
        <v>3.7037037037037035E-4</v>
      </c>
      <c r="DQ248" s="10" cm="1">
        <f t="array" aca="1" ref="DQ248" ca="1">(1-$B$18)*SUMPRODUCT(OFFSET($BO$15,0,0,$B$14,1), 1*(_xlfn._xlws.FILTER(OFFSET($O$15,0,$DN248,$B$8,1),OFFSET($M$15,0,0,$B$8,1))=DQ$13), 1*(_xlfn._xlws.FILTER(OFFSET($O$15,0,$DO248,$B$8,1),OFFSET($M$15,0,0,$B$8,1))=DQ$14))   /   SUM(OFFSET($BO$15,0,0,$B$14,1)) + $B$18/($B$19*$B$19*($DN248&lt;&gt;$DO248) + $B$19*($DN248=$DO248))</f>
        <v>3.7037037037037035E-4</v>
      </c>
      <c r="DR248" s="10" cm="1">
        <f t="array" aca="1" ref="DR248" ca="1">(1-$B$18)*SUMPRODUCT(OFFSET($BO$15,0,0,$B$14,1), 1*(_xlfn._xlws.FILTER(OFFSET($O$15,0,$DN248,$B$8,1),OFFSET($M$15,0,0,$B$8,1))=DR$13), 1*(_xlfn._xlws.FILTER(OFFSET($O$15,0,$DO248,$B$8,1),OFFSET($M$15,0,0,$B$8,1))=DR$14))   /   SUM(OFFSET($BO$15,0,0,$B$14,1)) + $B$18/($B$19*$B$19*($DN248&lt;&gt;$DO248) + $B$19*($DN248=$DO248))</f>
        <v>3.7037037037037035E-4</v>
      </c>
      <c r="DS248" s="10" cm="1">
        <f t="array" aca="1" ref="DS248" ca="1">(1-$B$18)*SUMPRODUCT(OFFSET($BO$15,0,0,$B$14,1), 1*(_xlfn._xlws.FILTER(OFFSET($O$15,0,$DN248,$B$8,1),OFFSET($M$15,0,0,$B$8,1))=DS$13), 1*(_xlfn._xlws.FILTER(OFFSET($O$15,0,$DO248,$B$8,1),OFFSET($M$15,0,0,$B$8,1))=DS$14))   /   SUM(OFFSET($BO$15,0,0,$B$14,1)) + $B$18/($B$19*$B$19*($DN248&lt;&gt;$DO248) + $B$19*($DN248=$DO248))</f>
        <v>3.7037037037037035E-4</v>
      </c>
      <c r="DT248" s="10" cm="1">
        <f t="array" aca="1" ref="DT248" ca="1">(1-$B$18)*SUMPRODUCT(OFFSET($BO$15,0,0,$B$14,1), 1*(_xlfn._xlws.FILTER(OFFSET($O$15,0,$DN248,$B$8,1),OFFSET($M$15,0,0,$B$8,1))=DT$13), 1*(_xlfn._xlws.FILTER(OFFSET($O$15,0,$DO248,$B$8,1),OFFSET($M$15,0,0,$B$8,1))=DT$14))   /   SUM(OFFSET($BO$15,0,0,$B$14,1)) + $B$18/($B$19*$B$19*($DN248&lt;&gt;$DO248) + $B$19*($DN248=$DO248))</f>
        <v>3.7037037037037035E-4</v>
      </c>
      <c r="DU248" s="10" cm="1">
        <f t="array" aca="1" ref="DU248" ca="1">(1-$B$18)*SUMPRODUCT(OFFSET($BO$15,0,0,$B$14,1), 1*(_xlfn._xlws.FILTER(OFFSET($O$15,0,$DN248,$B$8,1),OFFSET($M$15,0,0,$B$8,1))=DU$13), 1*(_xlfn._xlws.FILTER(OFFSET($O$15,0,$DO248,$B$8,1),OFFSET($M$15,0,0,$B$8,1))=DU$14))   /   SUM(OFFSET($BO$15,0,0,$B$14,1)) + $B$18/($B$19*$B$19*($DN248&lt;&gt;$DO248) + $B$19*($DN248=$DO248))</f>
        <v>3.7037037037037035E-4</v>
      </c>
      <c r="DV248" s="10" cm="1">
        <f t="array" aca="1" ref="DV248" ca="1">(1-$B$18)*SUMPRODUCT(OFFSET($BO$15,0,0,$B$14,1), 1*(_xlfn._xlws.FILTER(OFFSET($O$15,0,$DN248,$B$8,1),OFFSET($M$15,0,0,$B$8,1))=DV$13), 1*(_xlfn._xlws.FILTER(OFFSET($O$15,0,$DO248,$B$8,1),OFFSET($M$15,0,0,$B$8,1))=DV$14))   /   SUM(OFFSET($BO$15,0,0,$B$14,1)) + $B$18/($B$19*$B$19*($DN248&lt;&gt;$DO248) + $B$19*($DN248=$DO248))</f>
        <v>3.7037037037037035E-4</v>
      </c>
      <c r="DW248" s="10" cm="1">
        <f t="array" aca="1" ref="DW248" ca="1">(1-$B$18)*SUMPRODUCT(OFFSET($BO$15,0,0,$B$14,1), 1*(_xlfn._xlws.FILTER(OFFSET($O$15,0,$DN248,$B$8,1),OFFSET($M$15,0,0,$B$8,1))=DW$13), 1*(_xlfn._xlws.FILTER(OFFSET($O$15,0,$DO248,$B$8,1),OFFSET($M$15,0,0,$B$8,1))=DW$14))   /   SUM(OFFSET($BO$15,0,0,$B$14,1)) + $B$18/($B$19*$B$19*($DN248&lt;&gt;$DO248) + $B$19*($DN248=$DO248))</f>
        <v>3.7037037037037035E-4</v>
      </c>
      <c r="DX248" s="10" cm="1">
        <f t="array" aca="1" ref="DX248" ca="1">(1-$B$18)*SUMPRODUCT(OFFSET($BO$15,0,0,$B$14,1), 1*(_xlfn._xlws.FILTER(OFFSET($O$15,0,$DN248,$B$8,1),OFFSET($M$15,0,0,$B$8,1))=DX$13), 1*(_xlfn._xlws.FILTER(OFFSET($O$15,0,$DO248,$B$8,1),OFFSET($M$15,0,0,$B$8,1))=DX$14))   /   SUM(OFFSET($BO$15,0,0,$B$14,1)) + $B$18/($B$19*$B$19*($DN248&lt;&gt;$DO248) + $B$19*($DN248=$DO248))</f>
        <v>3.7037037037037035E-4</v>
      </c>
      <c r="DY248" s="10" cm="1">
        <f t="array" aca="1" ref="DY248" ca="1">(1-$B$18)*SUMPRODUCT(OFFSET($BO$15,0,0,$B$14,1), 1*(_xlfn._xlws.FILTER(OFFSET($O$15,0,$DN248,$B$8,1),OFFSET($M$15,0,0,$B$8,1))=DY$13), 1*(_xlfn._xlws.FILTER(OFFSET($O$15,0,$DO248,$B$8,1),OFFSET($M$15,0,0,$B$8,1))=DY$14))   /   SUM(OFFSET($BO$15,0,0,$B$14,1)) + $B$18/($B$19*$B$19*($DN248&lt;&gt;$DO248) + $B$19*($DN248=$DO248))</f>
        <v>3.7037037037037035E-4</v>
      </c>
      <c r="DZ248" s="10" cm="1">
        <f t="array" aca="1" ref="DZ248" ca="1">(1-$B$18)*SUMPRODUCT(OFFSET($BO$15,0,0,$B$14,1), 1*(_xlfn._xlws.FILTER(OFFSET($O$15,0,$DN248,$B$8,1),OFFSET($M$15,0,0,$B$8,1))=DZ$13), 1*(_xlfn._xlws.FILTER(OFFSET($O$15,0,$DO248,$B$8,1),OFFSET($M$15,0,0,$B$8,1))=DZ$14))   /   SUM(OFFSET($BO$15,0,0,$B$14,1)) + $B$18/($B$19*$B$19*($DN248&lt;&gt;$DO248) + $B$19*($DN248=$DO248))</f>
        <v>3.7037037037037035E-4</v>
      </c>
      <c r="EA248" s="10" cm="1">
        <f t="array" aca="1" ref="EA248" ca="1">(1-$B$18)*SUMPRODUCT(OFFSET($BO$15,0,0,$B$14,1), 1*(_xlfn._xlws.FILTER(OFFSET($O$15,0,$DN248,$B$8,1),OFFSET($M$15,0,0,$B$8,1))=EA$13), 1*(_xlfn._xlws.FILTER(OFFSET($O$15,0,$DO248,$B$8,1),OFFSET($M$15,0,0,$B$8,1))=EA$14))   /   SUM(OFFSET($BO$15,0,0,$B$14,1)) + $B$18/($B$19*$B$19*($DN248&lt;&gt;$DO248) + $B$19*($DN248=$DO248))</f>
        <v>3.7037037037037035E-4</v>
      </c>
      <c r="EB248" s="10" cm="1">
        <f t="array" aca="1" ref="EB248" ca="1">(1-$B$18)*SUMPRODUCT(OFFSET($BO$15,0,0,$B$14,1), 1*(_xlfn._xlws.FILTER(OFFSET($O$15,0,$DN248,$B$8,1),OFFSET($M$15,0,0,$B$8,1))=EB$13), 1*(_xlfn._xlws.FILTER(OFFSET($O$15,0,$DO248,$B$8,1),OFFSET($M$15,0,0,$B$8,1))=EB$14))   /   SUM(OFFSET($BO$15,0,0,$B$14,1)) + $B$18/($B$19*$B$19*($DN248&lt;&gt;$DO248) + $B$19*($DN248=$DO248))</f>
        <v>3.7037037037037035E-4</v>
      </c>
      <c r="EC248" s="10" cm="1">
        <f t="array" aca="1" ref="EC248" ca="1">(1-$B$18)*SUMPRODUCT(OFFSET($BO$15,0,0,$B$14,1), 1*(_xlfn._xlws.FILTER(OFFSET($O$15,0,$DN248,$B$8,1),OFFSET($M$15,0,0,$B$8,1))=EC$13), 1*(_xlfn._xlws.FILTER(OFFSET($O$15,0,$DO248,$B$8,1),OFFSET($M$15,0,0,$B$8,1))=EC$14))   /   SUM(OFFSET($BO$15,0,0,$B$14,1)) + $B$18/($B$19*$B$19*($DN248&lt;&gt;$DO248) + $B$19*($DN248=$DO248))</f>
        <v>3.7037037037037035E-4</v>
      </c>
      <c r="ED248" s="10" cm="1">
        <f t="array" aca="1" ref="ED248" ca="1">(1-$B$18)*SUMPRODUCT(OFFSET($BO$15,0,0,$B$14,1), 1*(_xlfn._xlws.FILTER(OFFSET($O$15,0,$DN248,$B$8,1),OFFSET($M$15,0,0,$B$8,1))=ED$13), 1*(_xlfn._xlws.FILTER(OFFSET($O$15,0,$DO248,$B$8,1),OFFSET($M$15,0,0,$B$8,1))=ED$14))   /   SUM(OFFSET($BO$15,0,0,$B$14,1)) + $B$18/($B$19*$B$19*($DN248&lt;&gt;$DO248) + $B$19*($DN248=$DO248))</f>
        <v>0.97037037037037033</v>
      </c>
      <c r="EE248" s="10" cm="1">
        <f t="array" aca="1" ref="EE248" ca="1">(1-$B$18)*SUMPRODUCT(OFFSET($BO$15,0,0,$B$14,1), 1*(_xlfn._xlws.FILTER(OFFSET($O$15,0,$DN248,$B$8,1),OFFSET($M$15,0,0,$B$8,1))=EE$13), 1*(_xlfn._xlws.FILTER(OFFSET($O$15,0,$DO248,$B$8,1),OFFSET($M$15,0,0,$B$8,1))=EE$14))   /   SUM(OFFSET($BO$15,0,0,$B$14,1)) + $B$18/($B$19*$B$19*($DN248&lt;&gt;$DO248) + $B$19*($DN248=$DO248))</f>
        <v>3.7037037037037035E-4</v>
      </c>
      <c r="EF248" s="10" cm="1">
        <f t="array" aca="1" ref="EF248" ca="1">(1-$B$18)*SUMPRODUCT(OFFSET($BO$15,0,0,$B$14,1), 1*(_xlfn._xlws.FILTER(OFFSET($O$15,0,$DN248,$B$8,1),OFFSET($M$15,0,0,$B$8,1))=EF$13), 1*(_xlfn._xlws.FILTER(OFFSET($O$15,0,$DO248,$B$8,1),OFFSET($M$15,0,0,$B$8,1))=EF$14))   /   SUM(OFFSET($BO$15,0,0,$B$14,1)) + $B$18/($B$19*$B$19*($DN248&lt;&gt;$DO248) + $B$19*($DN248=$DO248))</f>
        <v>3.7037037037037035E-4</v>
      </c>
      <c r="EG248" s="10" cm="1">
        <f t="array" aca="1" ref="EG248" ca="1">(1-$B$18)*SUMPRODUCT(OFFSET($BO$15,0,0,$B$14,1), 1*(_xlfn._xlws.FILTER(OFFSET($O$15,0,$DN248,$B$8,1),OFFSET($M$15,0,0,$B$8,1))=EG$13), 1*(_xlfn._xlws.FILTER(OFFSET($O$15,0,$DO248,$B$8,1),OFFSET($M$15,0,0,$B$8,1))=EG$14))   /   SUM(OFFSET($BO$15,0,0,$B$14,1)) + $B$18/($B$19*$B$19*($DN248&lt;&gt;$DO248) + $B$19*($DN248=$DO248))</f>
        <v>3.7037037037037035E-4</v>
      </c>
      <c r="EH248" s="10" cm="1">
        <f t="array" aca="1" ref="EH248" ca="1">(1-$B$18)*SUMPRODUCT(OFFSET($BO$15,0,0,$B$14,1), 1*(_xlfn._xlws.FILTER(OFFSET($O$15,0,$DN248,$B$8,1),OFFSET($M$15,0,0,$B$8,1))=EH$13), 1*(_xlfn._xlws.FILTER(OFFSET($O$15,0,$DO248,$B$8,1),OFFSET($M$15,0,0,$B$8,1))=EH$14))   /   SUM(OFFSET($BO$15,0,0,$B$14,1)) + $B$18/($B$19*$B$19*($DN248&lt;&gt;$DO248) + $B$19*($DN248=$DO248))</f>
        <v>3.7037037037037035E-4</v>
      </c>
      <c r="EI248" s="10" cm="1">
        <f t="array" aca="1" ref="EI248" ca="1">(1-$B$18)*SUMPRODUCT(OFFSET($BO$15,0,0,$B$14,1), 1*(_xlfn._xlws.FILTER(OFFSET($O$15,0,$DN248,$B$8,1),OFFSET($M$15,0,0,$B$8,1))=EI$13), 1*(_xlfn._xlws.FILTER(OFFSET($O$15,0,$DO248,$B$8,1),OFFSET($M$15,0,0,$B$8,1))=EI$14))   /   SUM(OFFSET($BO$15,0,0,$B$14,1)) + $B$18/($B$19*$B$19*($DN248&lt;&gt;$DO248) + $B$19*($DN248=$DO248))</f>
        <v>3.7037037037037035E-4</v>
      </c>
      <c r="EJ248" s="10" cm="1">
        <f t="array" aca="1" ref="EJ248" ca="1">(1-$B$18)*SUMPRODUCT(OFFSET($BO$15,0,0,$B$14,1), 1*(_xlfn._xlws.FILTER(OFFSET($O$15,0,$DN248,$B$8,1),OFFSET($M$15,0,0,$B$8,1))=EJ$13), 1*(_xlfn._xlws.FILTER(OFFSET($O$15,0,$DO248,$B$8,1),OFFSET($M$15,0,0,$B$8,1))=EJ$14))   /   SUM(OFFSET($BO$15,0,0,$B$14,1)) + $B$18/($B$19*$B$19*($DN248&lt;&gt;$DO248) + $B$19*($DN248=$DO248))</f>
        <v>3.7037037037037035E-4</v>
      </c>
      <c r="EK248" s="10" cm="1">
        <f t="array" aca="1" ref="EK248" ca="1">(1-$B$18)*SUMPRODUCT(OFFSET($BO$15,0,0,$B$14,1), 1*(_xlfn._xlws.FILTER(OFFSET($O$15,0,$DN248,$B$8,1),OFFSET($M$15,0,0,$B$8,1))=EK$13), 1*(_xlfn._xlws.FILTER(OFFSET($O$15,0,$DO248,$B$8,1),OFFSET($M$15,0,0,$B$8,1))=EK$14))   /   SUM(OFFSET($BO$15,0,0,$B$14,1)) + $B$18/($B$19*$B$19*($DN248&lt;&gt;$DO248) + $B$19*($DN248=$DO248))</f>
        <v>3.7037037037037035E-4</v>
      </c>
      <c r="EL248" s="10" cm="1">
        <f t="array" aca="1" ref="EL248" ca="1">(1-$B$18)*SUMPRODUCT(OFFSET($BO$15,0,0,$B$14,1), 1*(_xlfn._xlws.FILTER(OFFSET($O$15,0,$DN248,$B$8,1),OFFSET($M$15,0,0,$B$8,1))=EL$13), 1*(_xlfn._xlws.FILTER(OFFSET($O$15,0,$DO248,$B$8,1),OFFSET($M$15,0,0,$B$8,1))=EL$14))   /   SUM(OFFSET($BO$15,0,0,$B$14,1)) + $B$18/($B$19*$B$19*($DN248&lt;&gt;$DO248) + $B$19*($DN248=$DO248))</f>
        <v>3.7037037037037035E-4</v>
      </c>
      <c r="EM248" s="10" cm="1">
        <f t="array" aca="1" ref="EM248" ca="1">(1-$B$18)*SUMPRODUCT(OFFSET($BO$15,0,0,$B$14,1), 1*(_xlfn._xlws.FILTER(OFFSET($O$15,0,$DN248,$B$8,1),OFFSET($M$15,0,0,$B$8,1))=EM$13), 1*(_xlfn._xlws.FILTER(OFFSET($O$15,0,$DO248,$B$8,1),OFFSET($M$15,0,0,$B$8,1))=EM$14))   /   SUM(OFFSET($BO$15,0,0,$B$14,1)) + $B$18/($B$19*$B$19*($DN248&lt;&gt;$DO248) + $B$19*($DN248=$DO248))</f>
        <v>3.7037037037037035E-4</v>
      </c>
      <c r="EN248" s="10" cm="1">
        <f t="array" aca="1" ref="EN248" ca="1">(1-$B$18)*SUMPRODUCT(OFFSET($BO$15,0,0,$B$14,1), 1*(_xlfn._xlws.FILTER(OFFSET($O$15,0,$DN248,$B$8,1),OFFSET($M$15,0,0,$B$8,1))=EN$13), 1*(_xlfn._xlws.FILTER(OFFSET($O$15,0,$DO248,$B$8,1),OFFSET($M$15,0,0,$B$8,1))=EN$14))   /   SUM(OFFSET($BO$15,0,0,$B$14,1)) + $B$18/($B$19*$B$19*($DN248&lt;&gt;$DO248) + $B$19*($DN248=$DO248))</f>
        <v>3.7037037037037035E-4</v>
      </c>
      <c r="EO248" s="10" cm="1">
        <f t="array" aca="1" ref="EO248" ca="1">(1-$B$18)*SUMPRODUCT(OFFSET($BO$15,0,0,$B$14,1), 1*(_xlfn._xlws.FILTER(OFFSET($O$15,0,$DN248,$B$8,1),OFFSET($M$15,0,0,$B$8,1))=EO$13), 1*(_xlfn._xlws.FILTER(OFFSET($O$15,0,$DO248,$B$8,1),OFFSET($M$15,0,0,$B$8,1))=EO$14))   /   SUM(OFFSET($BO$15,0,0,$B$14,1)) + $B$18/($B$19*$B$19*($DN248&lt;&gt;$DO248) + $B$19*($DN248=$DO248))</f>
        <v>3.7037037037037035E-4</v>
      </c>
      <c r="EP248" s="10" cm="1">
        <f t="array" aca="1" ref="EP248" ca="1">(1-$B$18)*SUMPRODUCT(OFFSET($BO$15,0,0,$B$14,1), 1*(_xlfn._xlws.FILTER(OFFSET($O$15,0,$DN248,$B$8,1),OFFSET($M$15,0,0,$B$8,1))=EP$13), 1*(_xlfn._xlws.FILTER(OFFSET($O$15,0,$DO248,$B$8,1),OFFSET($M$15,0,0,$B$8,1))=EP$14))   /   SUM(OFFSET($BO$15,0,0,$B$14,1)) + $B$18/($B$19*$B$19*($DN248&lt;&gt;$DO248) + $B$19*($DN248=$DO248))</f>
        <v>3.7037037037037035E-4</v>
      </c>
      <c r="EQ248" s="10" cm="1">
        <f t="array" aca="1" ref="EQ248" ca="1">(1-$B$18)*SUMPRODUCT(OFFSET($BO$15,0,0,$B$14,1), 1*(_xlfn._xlws.FILTER(OFFSET($O$15,0,$DN248,$B$8,1),OFFSET($M$15,0,0,$B$8,1))=EQ$13), 1*(_xlfn._xlws.FILTER(OFFSET($O$15,0,$DO248,$B$8,1),OFFSET($M$15,0,0,$B$8,1))=EQ$14))   /   SUM(OFFSET($BO$15,0,0,$B$14,1)) + $B$18/($B$19*$B$19*($DN248&lt;&gt;$DO248) + $B$19*($DN248=$DO248))</f>
        <v>3.7037037037037035E-4</v>
      </c>
      <c r="ER248" s="10" cm="1">
        <f t="array" aca="1" ref="ER248" ca="1">(1-$B$18)*SUMPRODUCT(OFFSET($BO$15,0,0,$B$14,1), 1*(_xlfn._xlws.FILTER(OFFSET($O$15,0,$DN248,$B$8,1),OFFSET($M$15,0,0,$B$8,1))=ER$13), 1*(_xlfn._xlws.FILTER(OFFSET($O$15,0,$DO248,$B$8,1),OFFSET($M$15,0,0,$B$8,1))=ER$14))   /   SUM(OFFSET($BO$15,0,0,$B$14,1)) + $B$18/($B$19*$B$19*($DN248&lt;&gt;$DO248) + $B$19*($DN248=$DO248))</f>
        <v>3.7037037037037035E-4</v>
      </c>
      <c r="ES248" s="10" cm="1">
        <f t="array" aca="1" ref="ES248" ca="1">(1-$B$18)*SUMPRODUCT(OFFSET($BO$15,0,0,$B$14,1), 1*(_xlfn._xlws.FILTER(OFFSET($O$15,0,$DN248,$B$8,1),OFFSET($M$15,0,0,$B$8,1))=ES$13), 1*(_xlfn._xlws.FILTER(OFFSET($O$15,0,$DO248,$B$8,1),OFFSET($M$15,0,0,$B$8,1))=ES$14))   /   SUM(OFFSET($BO$15,0,0,$B$14,1)) + $B$18/($B$19*$B$19*($DN248&lt;&gt;$DO248) + $B$19*($DN248=$DO248))</f>
        <v>3.7037037037037035E-4</v>
      </c>
      <c r="ET248" s="10" cm="1">
        <f t="array" aca="1" ref="ET248" ca="1">(1-$B$18)*SUMPRODUCT(OFFSET($BO$15,0,0,$B$14,1), 1*(_xlfn._xlws.FILTER(OFFSET($O$15,0,$DN248,$B$8,1),OFFSET($M$15,0,0,$B$8,1))=ET$13), 1*(_xlfn._xlws.FILTER(OFFSET($O$15,0,$DO248,$B$8,1),OFFSET($M$15,0,0,$B$8,1))=ET$14))   /   SUM(OFFSET($BO$15,0,0,$B$14,1)) + $B$18/($B$19*$B$19*($DN248&lt;&gt;$DO248) + $B$19*($DN248=$DO248))</f>
        <v>3.7037037037037035E-4</v>
      </c>
      <c r="EU248" s="10" cm="1">
        <f t="array" aca="1" ref="EU248" ca="1">(1-$B$18)*SUMPRODUCT(OFFSET($BO$15,0,0,$B$14,1), 1*(_xlfn._xlws.FILTER(OFFSET($O$15,0,$DN248,$B$8,1),OFFSET($M$15,0,0,$B$8,1))=EU$13), 1*(_xlfn._xlws.FILTER(OFFSET($O$15,0,$DO248,$B$8,1),OFFSET($M$15,0,0,$B$8,1))=EU$14))   /   SUM(OFFSET($BO$15,0,0,$B$14,1)) + $B$18/($B$19*$B$19*($DN248&lt;&gt;$DO248) + $B$19*($DN248=$DO248))</f>
        <v>3.7037037037037035E-4</v>
      </c>
      <c r="EV248" s="10" cm="1">
        <f t="array" aca="1" ref="EV248" ca="1">(1-$B$18)*SUMPRODUCT(OFFSET($BO$15,0,0,$B$14,1), 1*(_xlfn._xlws.FILTER(OFFSET($O$15,0,$DN248,$B$8,1),OFFSET($M$15,0,0,$B$8,1))=EV$13), 1*(_xlfn._xlws.FILTER(OFFSET($O$15,0,$DO248,$B$8,1),OFFSET($M$15,0,0,$B$8,1))=EV$14))   /   SUM(OFFSET($BO$15,0,0,$B$14,1)) + $B$18/($B$19*$B$19*($DN248&lt;&gt;$DO248) + $B$19*($DN248=$DO248))</f>
        <v>3.7037037037037035E-4</v>
      </c>
      <c r="EW248" s="10" cm="1">
        <f t="array" aca="1" ref="EW248" ca="1">(1-$B$18)*SUMPRODUCT(OFFSET($BO$15,0,0,$B$14,1), 1*(_xlfn._xlws.FILTER(OFFSET($O$15,0,$DN248,$B$8,1),OFFSET($M$15,0,0,$B$8,1))=EW$13), 1*(_xlfn._xlws.FILTER(OFFSET($O$15,0,$DO248,$B$8,1),OFFSET($M$15,0,0,$B$8,1))=EW$14))   /   SUM(OFFSET($BO$15,0,0,$B$14,1)) + $B$18/($B$19*$B$19*($DN248&lt;&gt;$DO248) + $B$19*($DN248=$DO248))</f>
        <v>3.7037037037037035E-4</v>
      </c>
      <c r="EX248" s="10" cm="1">
        <f t="array" aca="1" ref="EX248" ca="1">(1-$B$18)*SUMPRODUCT(OFFSET($BO$15,0,0,$B$14,1), 1*(_xlfn._xlws.FILTER(OFFSET($O$15,0,$DN248,$B$8,1),OFFSET($M$15,0,0,$B$8,1))=EX$13), 1*(_xlfn._xlws.FILTER(OFFSET($O$15,0,$DO248,$B$8,1),OFFSET($M$15,0,0,$B$8,1))=EX$14))   /   SUM(OFFSET($BO$15,0,0,$B$14,1)) + $B$18/($B$19*$B$19*($DN248&lt;&gt;$DO248) + $B$19*($DN248=$DO248))</f>
        <v>3.7037037037037035E-4</v>
      </c>
      <c r="EY248" s="10" cm="1">
        <f t="array" aca="1" ref="EY248" ca="1">(1-$B$18)*SUMPRODUCT(OFFSET($BO$15,0,0,$B$14,1), 1*(_xlfn._xlws.FILTER(OFFSET($O$15,0,$DN248,$B$8,1),OFFSET($M$15,0,0,$B$8,1))=EY$13), 1*(_xlfn._xlws.FILTER(OFFSET($O$15,0,$DO248,$B$8,1),OFFSET($M$15,0,0,$B$8,1))=EY$14))   /   SUM(OFFSET($BO$15,0,0,$B$14,1)) + $B$18/($B$19*$B$19*($DN248&lt;&gt;$DO248) + $B$19*($DN248=$DO248))</f>
        <v>3.7037037037037035E-4</v>
      </c>
      <c r="EZ248" s="10" cm="1">
        <f t="array" aca="1" ref="EZ248" ca="1">(1-$B$18)*SUMPRODUCT(OFFSET($BO$15,0,0,$B$14,1), 1*(_xlfn._xlws.FILTER(OFFSET($O$15,0,$DN248,$B$8,1),OFFSET($M$15,0,0,$B$8,1))=EZ$13), 1*(_xlfn._xlws.FILTER(OFFSET($O$15,0,$DO248,$B$8,1),OFFSET($M$15,0,0,$B$8,1))=EZ$14))   /   SUM(OFFSET($BO$15,0,0,$B$14,1)) + $B$18/($B$19*$B$19*($DN248&lt;&gt;$DO248) + $B$19*($DN248=$DO248))</f>
        <v>3.7037037037037035E-4</v>
      </c>
      <c r="FA248" s="10" cm="1">
        <f t="array" aca="1" ref="FA248" ca="1">(1-$B$18)*SUMPRODUCT(OFFSET($BO$15,0,0,$B$14,1), 1*(_xlfn._xlws.FILTER(OFFSET($O$15,0,$DN248,$B$8,1),OFFSET($M$15,0,0,$B$8,1))=FA$13), 1*(_xlfn._xlws.FILTER(OFFSET($O$15,0,$DO248,$B$8,1),OFFSET($M$15,0,0,$B$8,1))=FA$14))   /   SUM(OFFSET($BO$15,0,0,$B$14,1)) + $B$18/($B$19*$B$19*($DN248&lt;&gt;$DO248) + $B$19*($DN248=$DO248))</f>
        <v>3.7037037037037035E-4</v>
      </c>
      <c r="FB248" s="10" cm="1">
        <f t="array" aca="1" ref="FB248" ca="1">(1-$B$18)*SUMPRODUCT(OFFSET($BO$15,0,0,$B$14,1), 1*(_xlfn._xlws.FILTER(OFFSET($O$15,0,$DN248,$B$8,1),OFFSET($M$15,0,0,$B$8,1))=FB$13), 1*(_xlfn._xlws.FILTER(OFFSET($O$15,0,$DO248,$B$8,1),OFFSET($M$15,0,0,$B$8,1))=FB$14))   /   SUM(OFFSET($BO$15,0,0,$B$14,1)) + $B$18/($B$19*$B$19*($DN248&lt;&gt;$DO248) + $B$19*($DN248=$DO248))</f>
        <v>3.7037037037037035E-4</v>
      </c>
      <c r="FC248" s="10" cm="1">
        <f t="array" aca="1" ref="FC248" ca="1">(1-$B$18)*SUMPRODUCT(OFFSET($BO$15,0,0,$B$14,1), 1*(_xlfn._xlws.FILTER(OFFSET($O$15,0,$DN248,$B$8,1),OFFSET($M$15,0,0,$B$8,1))=FC$13), 1*(_xlfn._xlws.FILTER(OFFSET($O$15,0,$DO248,$B$8,1),OFFSET($M$15,0,0,$B$8,1))=FC$14))   /   SUM(OFFSET($BO$15,0,0,$B$14,1)) + $B$18/($B$19*$B$19*($DN248&lt;&gt;$DO248) + $B$19*($DN248=$DO248))</f>
        <v>3.7037037037037035E-4</v>
      </c>
      <c r="FD248" s="10" cm="1">
        <f t="array" aca="1" ref="FD248" ca="1">(1-$B$18)*SUMPRODUCT(OFFSET($BO$15,0,0,$B$14,1), 1*(_xlfn._xlws.FILTER(OFFSET($O$15,0,$DN248,$B$8,1),OFFSET($M$15,0,0,$B$8,1))=FD$13), 1*(_xlfn._xlws.FILTER(OFFSET($O$15,0,$DO248,$B$8,1),OFFSET($M$15,0,0,$B$8,1))=FD$14))   /   SUM(OFFSET($BO$15,0,0,$B$14,1)) + $B$18/($B$19*$B$19*($DN248&lt;&gt;$DO248) + $B$19*($DN248=$DO248))</f>
        <v>3.7037037037037035E-4</v>
      </c>
      <c r="FE248" s="10" cm="1">
        <f t="array" aca="1" ref="FE248" ca="1">(1-$B$18)*SUMPRODUCT(OFFSET($BO$15,0,0,$B$14,1), 1*(_xlfn._xlws.FILTER(OFFSET($O$15,0,$DN248,$B$8,1),OFFSET($M$15,0,0,$B$8,1))=FE$13), 1*(_xlfn._xlws.FILTER(OFFSET($O$15,0,$DO248,$B$8,1),OFFSET($M$15,0,0,$B$8,1))=FE$14))   /   SUM(OFFSET($BO$15,0,0,$B$14,1)) + $B$18/($B$19*$B$19*($DN248&lt;&gt;$DO248) + $B$19*($DN248=$DO248))</f>
        <v>3.7037037037037035E-4</v>
      </c>
      <c r="FF248" s="10" cm="1">
        <f t="array" aca="1" ref="FF248" ca="1">(1-$B$18)*SUMPRODUCT(OFFSET($BO$15,0,0,$B$14,1), 1*(_xlfn._xlws.FILTER(OFFSET($O$15,0,$DN248,$B$8,1),OFFSET($M$15,0,0,$B$8,1))=FF$13), 1*(_xlfn._xlws.FILTER(OFFSET($O$15,0,$DO248,$B$8,1),OFFSET($M$15,0,0,$B$8,1))=FF$14))   /   SUM(OFFSET($BO$15,0,0,$B$14,1)) + $B$18/($B$19*$B$19*($DN248&lt;&gt;$DO248) + $B$19*($DN248=$DO248))</f>
        <v>3.7037037037037035E-4</v>
      </c>
      <c r="FG248" s="10" cm="1">
        <f t="array" aca="1" ref="FG248" ca="1">(1-$B$18)*SUMPRODUCT(OFFSET($BO$15,0,0,$B$14,1), 1*(_xlfn._xlws.FILTER(OFFSET($O$15,0,$DN248,$B$8,1),OFFSET($M$15,0,0,$B$8,1))=FG$13), 1*(_xlfn._xlws.FILTER(OFFSET($O$15,0,$DO248,$B$8,1),OFFSET($M$15,0,0,$B$8,1))=FG$14))   /   SUM(OFFSET($BO$15,0,0,$B$14,1)) + $B$18/($B$19*$B$19*($DN248&lt;&gt;$DO248) + $B$19*($DN248=$DO248))</f>
        <v>3.7037037037037035E-4</v>
      </c>
      <c r="FH248" s="10" cm="1">
        <f t="array" aca="1" ref="FH248" ca="1">(1-$B$18)*SUMPRODUCT(OFFSET($BO$15,0,0,$B$14,1), 1*(_xlfn._xlws.FILTER(OFFSET($O$15,0,$DN248,$B$8,1),OFFSET($M$15,0,0,$B$8,1))=FH$13), 1*(_xlfn._xlws.FILTER(OFFSET($O$15,0,$DO248,$B$8,1),OFFSET($M$15,0,0,$B$8,1))=FH$14))   /   SUM(OFFSET($BO$15,0,0,$B$14,1)) + $B$18/($B$19*$B$19*($DN248&lt;&gt;$DO248) + $B$19*($DN248=$DO248))</f>
        <v>3.7037037037037035E-4</v>
      </c>
      <c r="FI248" s="10" cm="1">
        <f t="array" aca="1" ref="FI248" ca="1">(1-$B$18)*SUMPRODUCT(OFFSET($BO$15,0,0,$B$14,1), 1*(_xlfn._xlws.FILTER(OFFSET($O$15,0,$DN248,$B$8,1),OFFSET($M$15,0,0,$B$8,1))=FI$13), 1*(_xlfn._xlws.FILTER(OFFSET($O$15,0,$DO248,$B$8,1),OFFSET($M$15,0,0,$B$8,1))=FI$14))   /   SUM(OFFSET($BO$15,0,0,$B$14,1)) + $B$18/($B$19*$B$19*($DN248&lt;&gt;$DO248) + $B$19*($DN248=$DO248))</f>
        <v>3.7037037037037035E-4</v>
      </c>
      <c r="FJ248" s="10" cm="1">
        <f t="array" aca="1" ref="FJ248" ca="1">(1-$B$18)*SUMPRODUCT(OFFSET($BO$15,0,0,$B$14,1), 1*(_xlfn._xlws.FILTER(OFFSET($O$15,0,$DN248,$B$8,1),OFFSET($M$15,0,0,$B$8,1))=FJ$13), 1*(_xlfn._xlws.FILTER(OFFSET($O$15,0,$DO248,$B$8,1),OFFSET($M$15,0,0,$B$8,1))=FJ$14))   /   SUM(OFFSET($BO$15,0,0,$B$14,1)) + $B$18/($B$19*$B$19*($DN248&lt;&gt;$DO248) + $B$19*($DN248=$DO248))</f>
        <v>3.7037037037037035E-4</v>
      </c>
      <c r="FK248" s="10" cm="1">
        <f t="array" aca="1" ref="FK248" ca="1">(1-$B$18)*SUMPRODUCT(OFFSET($BO$15,0,0,$B$14,1), 1*(_xlfn._xlws.FILTER(OFFSET($O$15,0,$DN248,$B$8,1),OFFSET($M$15,0,0,$B$8,1))=FK$13), 1*(_xlfn._xlws.FILTER(OFFSET($O$15,0,$DO248,$B$8,1),OFFSET($M$15,0,0,$B$8,1))=FK$14))   /   SUM(OFFSET($BO$15,0,0,$B$14,1)) + $B$18/($B$19*$B$19*($DN248&lt;&gt;$DO248) + $B$19*($DN248=$DO248))</f>
        <v>3.7037037037037035E-4</v>
      </c>
      <c r="FL248" s="10" cm="1">
        <f t="array" aca="1" ref="FL248" ca="1">(1-$B$18)*SUMPRODUCT(OFFSET($BO$15,0,0,$B$14,1), 1*(_xlfn._xlws.FILTER(OFFSET($O$15,0,$DN248,$B$8,1),OFFSET($M$15,0,0,$B$8,1))=FL$13), 1*(_xlfn._xlws.FILTER(OFFSET($O$15,0,$DO248,$B$8,1),OFFSET($M$15,0,0,$B$8,1))=FL$14))   /   SUM(OFFSET($BO$15,0,0,$B$14,1)) + $B$18/($B$19*$B$19*($DN248&lt;&gt;$DO248) + $B$19*($DN248=$DO248))</f>
        <v>3.7037037037037035E-4</v>
      </c>
      <c r="FM248" s="10" cm="1">
        <f t="array" aca="1" ref="FM248" ca="1">(1-$B$18)*SUMPRODUCT(OFFSET($BO$15,0,0,$B$14,1), 1*(_xlfn._xlws.FILTER(OFFSET($O$15,0,$DN248,$B$8,1),OFFSET($M$15,0,0,$B$8,1))=FM$13), 1*(_xlfn._xlws.FILTER(OFFSET($O$15,0,$DO248,$B$8,1),OFFSET($M$15,0,0,$B$8,1))=FM$14))   /   SUM(OFFSET($BO$15,0,0,$B$14,1)) + $B$18/($B$19*$B$19*($DN248&lt;&gt;$DO248) + $B$19*($DN248=$DO248))</f>
        <v>3.7037037037037035E-4</v>
      </c>
      <c r="FN248" s="10" cm="1">
        <f t="array" aca="1" ref="FN248" ca="1">(1-$B$18)*SUMPRODUCT(OFFSET($BO$15,0,0,$B$14,1), 1*(_xlfn._xlws.FILTER(OFFSET($O$15,0,$DN248,$B$8,1),OFFSET($M$15,0,0,$B$8,1))=FN$13), 1*(_xlfn._xlws.FILTER(OFFSET($O$15,0,$DO248,$B$8,1),OFFSET($M$15,0,0,$B$8,1))=FN$14))   /   SUM(OFFSET($BO$15,0,0,$B$14,1)) + $B$18/($B$19*$B$19*($DN248&lt;&gt;$DO248) + $B$19*($DN248=$DO248))</f>
        <v>3.7037037037037035E-4</v>
      </c>
      <c r="FO248" s="10" cm="1">
        <f t="array" aca="1" ref="FO248" ca="1">(1-$B$18)*SUMPRODUCT(OFFSET($BO$15,0,0,$B$14,1), 1*(_xlfn._xlws.FILTER(OFFSET($O$15,0,$DN248,$B$8,1),OFFSET($M$15,0,0,$B$8,1))=FO$13), 1*(_xlfn._xlws.FILTER(OFFSET($O$15,0,$DO248,$B$8,1),OFFSET($M$15,0,0,$B$8,1))=FO$14))   /   SUM(OFFSET($BO$15,0,0,$B$14,1)) + $B$18/($B$19*$B$19*($DN248&lt;&gt;$DO248) + $B$19*($DN248=$DO248))</f>
        <v>3.7037037037037035E-4</v>
      </c>
      <c r="FP248" s="10" cm="1">
        <f t="array" aca="1" ref="FP248" ca="1">(1-$B$18)*SUMPRODUCT(OFFSET($BO$15,0,0,$B$14,1), 1*(_xlfn._xlws.FILTER(OFFSET($O$15,0,$DN248,$B$8,1),OFFSET($M$15,0,0,$B$8,1))=FP$13), 1*(_xlfn._xlws.FILTER(OFFSET($O$15,0,$DO248,$B$8,1),OFFSET($M$15,0,0,$B$8,1))=FP$14))   /   SUM(OFFSET($BO$15,0,0,$B$14,1)) + $B$18/($B$19*$B$19*($DN248&lt;&gt;$DO248) + $B$19*($DN248=$DO248))</f>
        <v>3.7037037037037035E-4</v>
      </c>
      <c r="FQ248" s="10" cm="1">
        <f t="array" aca="1" ref="FQ248" ca="1">(1-$B$18)*SUMPRODUCT(OFFSET($BO$15,0,0,$B$14,1), 1*(_xlfn._xlws.FILTER(OFFSET($O$15,0,$DN248,$B$8,1),OFFSET($M$15,0,0,$B$8,1))=FQ$13), 1*(_xlfn._xlws.FILTER(OFFSET($O$15,0,$DO248,$B$8,1),OFFSET($M$15,0,0,$B$8,1))=FQ$14))   /   SUM(OFFSET($BO$15,0,0,$B$14,1)) + $B$18/($B$19*$B$19*($DN248&lt;&gt;$DO248) + $B$19*($DN248=$DO248))</f>
        <v>3.7037037037037035E-4</v>
      </c>
      <c r="FR248" s="10" cm="1">
        <f t="array" aca="1" ref="FR248" ca="1">(1-$B$18)*SUMPRODUCT(OFFSET($BO$15,0,0,$B$14,1), 1*(_xlfn._xlws.FILTER(OFFSET($O$15,0,$DN248,$B$8,1),OFFSET($M$15,0,0,$B$8,1))=FR$13), 1*(_xlfn._xlws.FILTER(OFFSET($O$15,0,$DO248,$B$8,1),OFFSET($M$15,0,0,$B$8,1))=FR$14))   /   SUM(OFFSET($BO$15,0,0,$B$14,1)) + $B$18/($B$19*$B$19*($DN248&lt;&gt;$DO248) + $B$19*($DN248=$DO248))</f>
        <v>3.7037037037037035E-4</v>
      </c>
      <c r="FS248" s="10" cm="1">
        <f t="array" aca="1" ref="FS248" ca="1">(1-$B$18)*SUMPRODUCT(OFFSET($BO$15,0,0,$B$14,1), 1*(_xlfn._xlws.FILTER(OFFSET($O$15,0,$DN248,$B$8,1),OFFSET($M$15,0,0,$B$8,1))=FS$13), 1*(_xlfn._xlws.FILTER(OFFSET($O$15,0,$DO248,$B$8,1),OFFSET($M$15,0,0,$B$8,1))=FS$14))   /   SUM(OFFSET($BO$15,0,0,$B$14,1)) + $B$18/($B$19*$B$19*($DN248&lt;&gt;$DO248) + $B$19*($DN248=$DO248))</f>
        <v>3.7037037037037035E-4</v>
      </c>
      <c r="FT248" s="10" cm="1">
        <f t="array" aca="1" ref="FT248" ca="1">(1-$B$18)*SUMPRODUCT(OFFSET($BO$15,0,0,$B$14,1), 1*(_xlfn._xlws.FILTER(OFFSET($O$15,0,$DN248,$B$8,1),OFFSET($M$15,0,0,$B$8,1))=FT$13), 1*(_xlfn._xlws.FILTER(OFFSET($O$15,0,$DO248,$B$8,1),OFFSET($M$15,0,0,$B$8,1))=FT$14))   /   SUM(OFFSET($BO$15,0,0,$B$14,1)) + $B$18/($B$19*$B$19*($DN248&lt;&gt;$DO248) + $B$19*($DN248=$DO248))</f>
        <v>3.7037037037037035E-4</v>
      </c>
      <c r="FU248" s="10" cm="1">
        <f t="array" aca="1" ref="FU248" ca="1">(1-$B$18)*SUMPRODUCT(OFFSET($BO$15,0,0,$B$14,1), 1*(_xlfn._xlws.FILTER(OFFSET($O$15,0,$DN248,$B$8,1),OFFSET($M$15,0,0,$B$8,1))=FU$13), 1*(_xlfn._xlws.FILTER(OFFSET($O$15,0,$DO248,$B$8,1),OFFSET($M$15,0,0,$B$8,1))=FU$14))   /   SUM(OFFSET($BO$15,0,0,$B$14,1)) + $B$18/($B$19*$B$19*($DN248&lt;&gt;$DO248) + $B$19*($DN248=$DO248))</f>
        <v>3.7037037037037035E-4</v>
      </c>
      <c r="FV248" s="10" cm="1">
        <f t="array" aca="1" ref="FV248" ca="1">(1-$B$18)*SUMPRODUCT(OFFSET($BO$15,0,0,$B$14,1), 1*(_xlfn._xlws.FILTER(OFFSET($O$15,0,$DN248,$B$8,1),OFFSET($M$15,0,0,$B$8,1))=FV$13), 1*(_xlfn._xlws.FILTER(OFFSET($O$15,0,$DO248,$B$8,1),OFFSET($M$15,0,0,$B$8,1))=FV$14))   /   SUM(OFFSET($BO$15,0,0,$B$14,1)) + $B$18/($B$19*$B$19*($DN248&lt;&gt;$DO248) + $B$19*($DN248=$DO248))</f>
        <v>3.7037037037037035E-4</v>
      </c>
      <c r="FW248" s="10" cm="1">
        <f t="array" aca="1" ref="FW248" ca="1">(1-$B$18)*SUMPRODUCT(OFFSET($BO$15,0,0,$B$14,1), 1*(_xlfn._xlws.FILTER(OFFSET($O$15,0,$DN248,$B$8,1),OFFSET($M$15,0,0,$B$8,1))=FW$13), 1*(_xlfn._xlws.FILTER(OFFSET($O$15,0,$DO248,$B$8,1),OFFSET($M$15,0,0,$B$8,1))=FW$14))   /   SUM(OFFSET($BO$15,0,0,$B$14,1)) + $B$18/($B$19*$B$19*($DN248&lt;&gt;$DO248) + $B$19*($DN248=$DO248))</f>
        <v>3.7037037037037035E-4</v>
      </c>
      <c r="FX248" s="10" cm="1">
        <f t="array" aca="1" ref="FX248" ca="1">(1-$B$18)*SUMPRODUCT(OFFSET($BO$15,0,0,$B$14,1), 1*(_xlfn._xlws.FILTER(OFFSET($O$15,0,$DN248,$B$8,1),OFFSET($M$15,0,0,$B$8,1))=FX$13), 1*(_xlfn._xlws.FILTER(OFFSET($O$15,0,$DO248,$B$8,1),OFFSET($M$15,0,0,$B$8,1))=FX$14))   /   SUM(OFFSET($BO$15,0,0,$B$14,1)) + $B$18/($B$19*$B$19*($DN248&lt;&gt;$DO248) + $B$19*($DN248=$DO248))</f>
        <v>3.7037037037037035E-4</v>
      </c>
      <c r="FY248" s="10" cm="1">
        <f t="array" aca="1" ref="FY248" ca="1">(1-$B$18)*SUMPRODUCT(OFFSET($BO$15,0,0,$B$14,1), 1*(_xlfn._xlws.FILTER(OFFSET($O$15,0,$DN248,$B$8,1),OFFSET($M$15,0,0,$B$8,1))=FY$13), 1*(_xlfn._xlws.FILTER(OFFSET($O$15,0,$DO248,$B$8,1),OFFSET($M$15,0,0,$B$8,1))=FY$14))   /   SUM(OFFSET($BO$15,0,0,$B$14,1)) + $B$18/($B$19*$B$19*($DN248&lt;&gt;$DO248) + $B$19*($DN248=$DO248))</f>
        <v>3.7037037037037035E-4</v>
      </c>
      <c r="FZ248" s="10" cm="1">
        <f t="array" aca="1" ref="FZ248" ca="1">(1-$B$18)*SUMPRODUCT(OFFSET($BO$15,0,0,$B$14,1), 1*(_xlfn._xlws.FILTER(OFFSET($O$15,0,$DN248,$B$8,1),OFFSET($M$15,0,0,$B$8,1))=FZ$13), 1*(_xlfn._xlws.FILTER(OFFSET($O$15,0,$DO248,$B$8,1),OFFSET($M$15,0,0,$B$8,1))=FZ$14))   /   SUM(OFFSET($BO$15,0,0,$B$14,1)) + $B$18/($B$19*$B$19*($DN248&lt;&gt;$DO248) + $B$19*($DN248=$DO248))</f>
        <v>3.7037037037037035E-4</v>
      </c>
      <c r="GA248" s="10" cm="1">
        <f t="array" aca="1" ref="GA248" ca="1">(1-$B$18)*SUMPRODUCT(OFFSET($BO$15,0,0,$B$14,1), 1*(_xlfn._xlws.FILTER(OFFSET($O$15,0,$DN248,$B$8,1),OFFSET($M$15,0,0,$B$8,1))=GA$13), 1*(_xlfn._xlws.FILTER(OFFSET($O$15,0,$DO248,$B$8,1),OFFSET($M$15,0,0,$B$8,1))=GA$14))   /   SUM(OFFSET($BO$15,0,0,$B$14,1)) + $B$18/($B$19*$B$19*($DN248&lt;&gt;$DO248) + $B$19*($DN248=$DO248))</f>
        <v>3.7037037037037035E-4</v>
      </c>
    </row>
    <row r="249" spans="118:183" x14ac:dyDescent="0.2">
      <c r="DN249" cm="1">
        <f t="array" aca="1" ref="DN249" ca="1">INDEX(_xlfn.ANCHORARRAY($CP$15), 1 + INT((ROWS($DO$15:$DO249) - 1) / ROWS(_xlfn.ANCHORARRAY($CP$15))))</f>
        <v>13</v>
      </c>
      <c r="DO249" cm="1">
        <f t="array" aca="1" ref="DO249" ca="1">INDEX(_xlfn.ANCHORARRAY($CP$15),1+MOD(ROWS($DO$15:$DO249)-1,ROWS(_xlfn.ANCHORARRAY($CP$15))))</f>
        <v>6</v>
      </c>
      <c r="DP249" s="10" cm="1">
        <f t="array" aca="1" ref="DP249" ca="1">(1-$B$18)*SUMPRODUCT(OFFSET($BO$15,0,0,$B$14,1), 1*(_xlfn._xlws.FILTER(OFFSET($O$15,0,$DN249,$B$8,1),OFFSET($M$15,0,0,$B$8,1))=DP$13), 1*(_xlfn._xlws.FILTER(OFFSET($O$15,0,$DO249,$B$8,1),OFFSET($M$15,0,0,$B$8,1))=DP$14))   /   SUM(OFFSET($BO$15,0,0,$B$14,1)) + $B$18/($B$19*$B$19*($DN249&lt;&gt;$DO249) + $B$19*($DN249=$DO249))</f>
        <v>3.7037037037037035E-4</v>
      </c>
      <c r="DQ249" s="10" cm="1">
        <f t="array" aca="1" ref="DQ249" ca="1">(1-$B$18)*SUMPRODUCT(OFFSET($BO$15,0,0,$B$14,1), 1*(_xlfn._xlws.FILTER(OFFSET($O$15,0,$DN249,$B$8,1),OFFSET($M$15,0,0,$B$8,1))=DQ$13), 1*(_xlfn._xlws.FILTER(OFFSET($O$15,0,$DO249,$B$8,1),OFFSET($M$15,0,0,$B$8,1))=DQ$14))   /   SUM(OFFSET($BO$15,0,0,$B$14,1)) + $B$18/($B$19*$B$19*($DN249&lt;&gt;$DO249) + $B$19*($DN249=$DO249))</f>
        <v>3.7037037037037035E-4</v>
      </c>
      <c r="DR249" s="10" cm="1">
        <f t="array" aca="1" ref="DR249" ca="1">(1-$B$18)*SUMPRODUCT(OFFSET($BO$15,0,0,$B$14,1), 1*(_xlfn._xlws.FILTER(OFFSET($O$15,0,$DN249,$B$8,1),OFFSET($M$15,0,0,$B$8,1))=DR$13), 1*(_xlfn._xlws.FILTER(OFFSET($O$15,0,$DO249,$B$8,1),OFFSET($M$15,0,0,$B$8,1))=DR$14))   /   SUM(OFFSET($BO$15,0,0,$B$14,1)) + $B$18/($B$19*$B$19*($DN249&lt;&gt;$DO249) + $B$19*($DN249=$DO249))</f>
        <v>3.7037037037037035E-4</v>
      </c>
      <c r="DS249" s="10" cm="1">
        <f t="array" aca="1" ref="DS249" ca="1">(1-$B$18)*SUMPRODUCT(OFFSET($BO$15,0,0,$B$14,1), 1*(_xlfn._xlws.FILTER(OFFSET($O$15,0,$DN249,$B$8,1),OFFSET($M$15,0,0,$B$8,1))=DS$13), 1*(_xlfn._xlws.FILTER(OFFSET($O$15,0,$DO249,$B$8,1),OFFSET($M$15,0,0,$B$8,1))=DS$14))   /   SUM(OFFSET($BO$15,0,0,$B$14,1)) + $B$18/($B$19*$B$19*($DN249&lt;&gt;$DO249) + $B$19*($DN249=$DO249))</f>
        <v>3.7037037037037035E-4</v>
      </c>
      <c r="DT249" s="10" cm="1">
        <f t="array" aca="1" ref="DT249" ca="1">(1-$B$18)*SUMPRODUCT(OFFSET($BO$15,0,0,$B$14,1), 1*(_xlfn._xlws.FILTER(OFFSET($O$15,0,$DN249,$B$8,1),OFFSET($M$15,0,0,$B$8,1))=DT$13), 1*(_xlfn._xlws.FILTER(OFFSET($O$15,0,$DO249,$B$8,1),OFFSET($M$15,0,0,$B$8,1))=DT$14))   /   SUM(OFFSET($BO$15,0,0,$B$14,1)) + $B$18/($B$19*$B$19*($DN249&lt;&gt;$DO249) + $B$19*($DN249=$DO249))</f>
        <v>3.7037037037037035E-4</v>
      </c>
      <c r="DU249" s="10" cm="1">
        <f t="array" aca="1" ref="DU249" ca="1">(1-$B$18)*SUMPRODUCT(OFFSET($BO$15,0,0,$B$14,1), 1*(_xlfn._xlws.FILTER(OFFSET($O$15,0,$DN249,$B$8,1),OFFSET($M$15,0,0,$B$8,1))=DU$13), 1*(_xlfn._xlws.FILTER(OFFSET($O$15,0,$DO249,$B$8,1),OFFSET($M$15,0,0,$B$8,1))=DU$14))   /   SUM(OFFSET($BO$15,0,0,$B$14,1)) + $B$18/($B$19*$B$19*($DN249&lt;&gt;$DO249) + $B$19*($DN249=$DO249))</f>
        <v>3.7037037037037035E-4</v>
      </c>
      <c r="DV249" s="10" cm="1">
        <f t="array" aca="1" ref="DV249" ca="1">(1-$B$18)*SUMPRODUCT(OFFSET($BO$15,0,0,$B$14,1), 1*(_xlfn._xlws.FILTER(OFFSET($O$15,0,$DN249,$B$8,1),OFFSET($M$15,0,0,$B$8,1))=DV$13), 1*(_xlfn._xlws.FILTER(OFFSET($O$15,0,$DO249,$B$8,1),OFFSET($M$15,0,0,$B$8,1))=DV$14))   /   SUM(OFFSET($BO$15,0,0,$B$14,1)) + $B$18/($B$19*$B$19*($DN249&lt;&gt;$DO249) + $B$19*($DN249=$DO249))</f>
        <v>3.7037037037037035E-4</v>
      </c>
      <c r="DW249" s="10" cm="1">
        <f t="array" aca="1" ref="DW249" ca="1">(1-$B$18)*SUMPRODUCT(OFFSET($BO$15,0,0,$B$14,1), 1*(_xlfn._xlws.FILTER(OFFSET($O$15,0,$DN249,$B$8,1),OFFSET($M$15,0,0,$B$8,1))=DW$13), 1*(_xlfn._xlws.FILTER(OFFSET($O$15,0,$DO249,$B$8,1),OFFSET($M$15,0,0,$B$8,1))=DW$14))   /   SUM(OFFSET($BO$15,0,0,$B$14,1)) + $B$18/($B$19*$B$19*($DN249&lt;&gt;$DO249) + $B$19*($DN249=$DO249))</f>
        <v>3.7037037037037035E-4</v>
      </c>
      <c r="DX249" s="10" cm="1">
        <f t="array" aca="1" ref="DX249" ca="1">(1-$B$18)*SUMPRODUCT(OFFSET($BO$15,0,0,$B$14,1), 1*(_xlfn._xlws.FILTER(OFFSET($O$15,0,$DN249,$B$8,1),OFFSET($M$15,0,0,$B$8,1))=DX$13), 1*(_xlfn._xlws.FILTER(OFFSET($O$15,0,$DO249,$B$8,1),OFFSET($M$15,0,0,$B$8,1))=DX$14))   /   SUM(OFFSET($BO$15,0,0,$B$14,1)) + $B$18/($B$19*$B$19*($DN249&lt;&gt;$DO249) + $B$19*($DN249=$DO249))</f>
        <v>3.7037037037037035E-4</v>
      </c>
      <c r="DY249" s="10" cm="1">
        <f t="array" aca="1" ref="DY249" ca="1">(1-$B$18)*SUMPRODUCT(OFFSET($BO$15,0,0,$B$14,1), 1*(_xlfn._xlws.FILTER(OFFSET($O$15,0,$DN249,$B$8,1),OFFSET($M$15,0,0,$B$8,1))=DY$13), 1*(_xlfn._xlws.FILTER(OFFSET($O$15,0,$DO249,$B$8,1),OFFSET($M$15,0,0,$B$8,1))=DY$14))   /   SUM(OFFSET($BO$15,0,0,$B$14,1)) + $B$18/($B$19*$B$19*($DN249&lt;&gt;$DO249) + $B$19*($DN249=$DO249))</f>
        <v>3.7037037037037035E-4</v>
      </c>
      <c r="DZ249" s="10" cm="1">
        <f t="array" aca="1" ref="DZ249" ca="1">(1-$B$18)*SUMPRODUCT(OFFSET($BO$15,0,0,$B$14,1), 1*(_xlfn._xlws.FILTER(OFFSET($O$15,0,$DN249,$B$8,1),OFFSET($M$15,0,0,$B$8,1))=DZ$13), 1*(_xlfn._xlws.FILTER(OFFSET($O$15,0,$DO249,$B$8,1),OFFSET($M$15,0,0,$B$8,1))=DZ$14))   /   SUM(OFFSET($BO$15,0,0,$B$14,1)) + $B$18/($B$19*$B$19*($DN249&lt;&gt;$DO249) + $B$19*($DN249=$DO249))</f>
        <v>3.7037037037037035E-4</v>
      </c>
      <c r="EA249" s="10" cm="1">
        <f t="array" aca="1" ref="EA249" ca="1">(1-$B$18)*SUMPRODUCT(OFFSET($BO$15,0,0,$B$14,1), 1*(_xlfn._xlws.FILTER(OFFSET($O$15,0,$DN249,$B$8,1),OFFSET($M$15,0,0,$B$8,1))=EA$13), 1*(_xlfn._xlws.FILTER(OFFSET($O$15,0,$DO249,$B$8,1),OFFSET($M$15,0,0,$B$8,1))=EA$14))   /   SUM(OFFSET($BO$15,0,0,$B$14,1)) + $B$18/($B$19*$B$19*($DN249&lt;&gt;$DO249) + $B$19*($DN249=$DO249))</f>
        <v>3.7037037037037035E-4</v>
      </c>
      <c r="EB249" s="10" cm="1">
        <f t="array" aca="1" ref="EB249" ca="1">(1-$B$18)*SUMPRODUCT(OFFSET($BO$15,0,0,$B$14,1), 1*(_xlfn._xlws.FILTER(OFFSET($O$15,0,$DN249,$B$8,1),OFFSET($M$15,0,0,$B$8,1))=EB$13), 1*(_xlfn._xlws.FILTER(OFFSET($O$15,0,$DO249,$B$8,1),OFFSET($M$15,0,0,$B$8,1))=EB$14))   /   SUM(OFFSET($BO$15,0,0,$B$14,1)) + $B$18/($B$19*$B$19*($DN249&lt;&gt;$DO249) + $B$19*($DN249=$DO249))</f>
        <v>3.7037037037037035E-4</v>
      </c>
      <c r="EC249" s="10" cm="1">
        <f t="array" aca="1" ref="EC249" ca="1">(1-$B$18)*SUMPRODUCT(OFFSET($BO$15,0,0,$B$14,1), 1*(_xlfn._xlws.FILTER(OFFSET($O$15,0,$DN249,$B$8,1),OFFSET($M$15,0,0,$B$8,1))=EC$13), 1*(_xlfn._xlws.FILTER(OFFSET($O$15,0,$DO249,$B$8,1),OFFSET($M$15,0,0,$B$8,1))=EC$14))   /   SUM(OFFSET($BO$15,0,0,$B$14,1)) + $B$18/($B$19*$B$19*($DN249&lt;&gt;$DO249) + $B$19*($DN249=$DO249))</f>
        <v>3.7037037037037035E-4</v>
      </c>
      <c r="ED249" s="10" cm="1">
        <f t="array" aca="1" ref="ED249" ca="1">(1-$B$18)*SUMPRODUCT(OFFSET($BO$15,0,0,$B$14,1), 1*(_xlfn._xlws.FILTER(OFFSET($O$15,0,$DN249,$B$8,1),OFFSET($M$15,0,0,$B$8,1))=ED$13), 1*(_xlfn._xlws.FILTER(OFFSET($O$15,0,$DO249,$B$8,1),OFFSET($M$15,0,0,$B$8,1))=ED$14))   /   SUM(OFFSET($BO$15,0,0,$B$14,1)) + $B$18/($B$19*$B$19*($DN249&lt;&gt;$DO249) + $B$19*($DN249=$DO249))</f>
        <v>0.97037037037037033</v>
      </c>
      <c r="EE249" s="10" cm="1">
        <f t="array" aca="1" ref="EE249" ca="1">(1-$B$18)*SUMPRODUCT(OFFSET($BO$15,0,0,$B$14,1), 1*(_xlfn._xlws.FILTER(OFFSET($O$15,0,$DN249,$B$8,1),OFFSET($M$15,0,0,$B$8,1))=EE$13), 1*(_xlfn._xlws.FILTER(OFFSET($O$15,0,$DO249,$B$8,1),OFFSET($M$15,0,0,$B$8,1))=EE$14))   /   SUM(OFFSET($BO$15,0,0,$B$14,1)) + $B$18/($B$19*$B$19*($DN249&lt;&gt;$DO249) + $B$19*($DN249=$DO249))</f>
        <v>3.7037037037037035E-4</v>
      </c>
      <c r="EF249" s="10" cm="1">
        <f t="array" aca="1" ref="EF249" ca="1">(1-$B$18)*SUMPRODUCT(OFFSET($BO$15,0,0,$B$14,1), 1*(_xlfn._xlws.FILTER(OFFSET($O$15,0,$DN249,$B$8,1),OFFSET($M$15,0,0,$B$8,1))=EF$13), 1*(_xlfn._xlws.FILTER(OFFSET($O$15,0,$DO249,$B$8,1),OFFSET($M$15,0,0,$B$8,1))=EF$14))   /   SUM(OFFSET($BO$15,0,0,$B$14,1)) + $B$18/($B$19*$B$19*($DN249&lt;&gt;$DO249) + $B$19*($DN249=$DO249))</f>
        <v>3.7037037037037035E-4</v>
      </c>
      <c r="EG249" s="10" cm="1">
        <f t="array" aca="1" ref="EG249" ca="1">(1-$B$18)*SUMPRODUCT(OFFSET($BO$15,0,0,$B$14,1), 1*(_xlfn._xlws.FILTER(OFFSET($O$15,0,$DN249,$B$8,1),OFFSET($M$15,0,0,$B$8,1))=EG$13), 1*(_xlfn._xlws.FILTER(OFFSET($O$15,0,$DO249,$B$8,1),OFFSET($M$15,0,0,$B$8,1))=EG$14))   /   SUM(OFFSET($BO$15,0,0,$B$14,1)) + $B$18/($B$19*$B$19*($DN249&lt;&gt;$DO249) + $B$19*($DN249=$DO249))</f>
        <v>3.7037037037037035E-4</v>
      </c>
      <c r="EH249" s="10" cm="1">
        <f t="array" aca="1" ref="EH249" ca="1">(1-$B$18)*SUMPRODUCT(OFFSET($BO$15,0,0,$B$14,1), 1*(_xlfn._xlws.FILTER(OFFSET($O$15,0,$DN249,$B$8,1),OFFSET($M$15,0,0,$B$8,1))=EH$13), 1*(_xlfn._xlws.FILTER(OFFSET($O$15,0,$DO249,$B$8,1),OFFSET($M$15,0,0,$B$8,1))=EH$14))   /   SUM(OFFSET($BO$15,0,0,$B$14,1)) + $B$18/($B$19*$B$19*($DN249&lt;&gt;$DO249) + $B$19*($DN249=$DO249))</f>
        <v>3.7037037037037035E-4</v>
      </c>
      <c r="EI249" s="10" cm="1">
        <f t="array" aca="1" ref="EI249" ca="1">(1-$B$18)*SUMPRODUCT(OFFSET($BO$15,0,0,$B$14,1), 1*(_xlfn._xlws.FILTER(OFFSET($O$15,0,$DN249,$B$8,1),OFFSET($M$15,0,0,$B$8,1))=EI$13), 1*(_xlfn._xlws.FILTER(OFFSET($O$15,0,$DO249,$B$8,1),OFFSET($M$15,0,0,$B$8,1))=EI$14))   /   SUM(OFFSET($BO$15,0,0,$B$14,1)) + $B$18/($B$19*$B$19*($DN249&lt;&gt;$DO249) + $B$19*($DN249=$DO249))</f>
        <v>3.7037037037037035E-4</v>
      </c>
      <c r="EJ249" s="10" cm="1">
        <f t="array" aca="1" ref="EJ249" ca="1">(1-$B$18)*SUMPRODUCT(OFFSET($BO$15,0,0,$B$14,1), 1*(_xlfn._xlws.FILTER(OFFSET($O$15,0,$DN249,$B$8,1),OFFSET($M$15,0,0,$B$8,1))=EJ$13), 1*(_xlfn._xlws.FILTER(OFFSET($O$15,0,$DO249,$B$8,1),OFFSET($M$15,0,0,$B$8,1))=EJ$14))   /   SUM(OFFSET($BO$15,0,0,$B$14,1)) + $B$18/($B$19*$B$19*($DN249&lt;&gt;$DO249) + $B$19*($DN249=$DO249))</f>
        <v>3.7037037037037035E-4</v>
      </c>
      <c r="EK249" s="10" cm="1">
        <f t="array" aca="1" ref="EK249" ca="1">(1-$B$18)*SUMPRODUCT(OFFSET($BO$15,0,0,$B$14,1), 1*(_xlfn._xlws.FILTER(OFFSET($O$15,0,$DN249,$B$8,1),OFFSET($M$15,0,0,$B$8,1))=EK$13), 1*(_xlfn._xlws.FILTER(OFFSET($O$15,0,$DO249,$B$8,1),OFFSET($M$15,0,0,$B$8,1))=EK$14))   /   SUM(OFFSET($BO$15,0,0,$B$14,1)) + $B$18/($B$19*$B$19*($DN249&lt;&gt;$DO249) + $B$19*($DN249=$DO249))</f>
        <v>3.7037037037037035E-4</v>
      </c>
      <c r="EL249" s="10" cm="1">
        <f t="array" aca="1" ref="EL249" ca="1">(1-$B$18)*SUMPRODUCT(OFFSET($BO$15,0,0,$B$14,1), 1*(_xlfn._xlws.FILTER(OFFSET($O$15,0,$DN249,$B$8,1),OFFSET($M$15,0,0,$B$8,1))=EL$13), 1*(_xlfn._xlws.FILTER(OFFSET($O$15,0,$DO249,$B$8,1),OFFSET($M$15,0,0,$B$8,1))=EL$14))   /   SUM(OFFSET($BO$15,0,0,$B$14,1)) + $B$18/($B$19*$B$19*($DN249&lt;&gt;$DO249) + $B$19*($DN249=$DO249))</f>
        <v>3.7037037037037035E-4</v>
      </c>
      <c r="EM249" s="10" cm="1">
        <f t="array" aca="1" ref="EM249" ca="1">(1-$B$18)*SUMPRODUCT(OFFSET($BO$15,0,0,$B$14,1), 1*(_xlfn._xlws.FILTER(OFFSET($O$15,0,$DN249,$B$8,1),OFFSET($M$15,0,0,$B$8,1))=EM$13), 1*(_xlfn._xlws.FILTER(OFFSET($O$15,0,$DO249,$B$8,1),OFFSET($M$15,0,0,$B$8,1))=EM$14))   /   SUM(OFFSET($BO$15,0,0,$B$14,1)) + $B$18/($B$19*$B$19*($DN249&lt;&gt;$DO249) + $B$19*($DN249=$DO249))</f>
        <v>3.7037037037037035E-4</v>
      </c>
      <c r="EN249" s="10" cm="1">
        <f t="array" aca="1" ref="EN249" ca="1">(1-$B$18)*SUMPRODUCT(OFFSET($BO$15,0,0,$B$14,1), 1*(_xlfn._xlws.FILTER(OFFSET($O$15,0,$DN249,$B$8,1),OFFSET($M$15,0,0,$B$8,1))=EN$13), 1*(_xlfn._xlws.FILTER(OFFSET($O$15,0,$DO249,$B$8,1),OFFSET($M$15,0,0,$B$8,1))=EN$14))   /   SUM(OFFSET($BO$15,0,0,$B$14,1)) + $B$18/($B$19*$B$19*($DN249&lt;&gt;$DO249) + $B$19*($DN249=$DO249))</f>
        <v>3.7037037037037035E-4</v>
      </c>
      <c r="EO249" s="10" cm="1">
        <f t="array" aca="1" ref="EO249" ca="1">(1-$B$18)*SUMPRODUCT(OFFSET($BO$15,0,0,$B$14,1), 1*(_xlfn._xlws.FILTER(OFFSET($O$15,0,$DN249,$B$8,1),OFFSET($M$15,0,0,$B$8,1))=EO$13), 1*(_xlfn._xlws.FILTER(OFFSET($O$15,0,$DO249,$B$8,1),OFFSET($M$15,0,0,$B$8,1))=EO$14))   /   SUM(OFFSET($BO$15,0,0,$B$14,1)) + $B$18/($B$19*$B$19*($DN249&lt;&gt;$DO249) + $B$19*($DN249=$DO249))</f>
        <v>3.7037037037037035E-4</v>
      </c>
      <c r="EP249" s="10" cm="1">
        <f t="array" aca="1" ref="EP249" ca="1">(1-$B$18)*SUMPRODUCT(OFFSET($BO$15,0,0,$B$14,1), 1*(_xlfn._xlws.FILTER(OFFSET($O$15,0,$DN249,$B$8,1),OFFSET($M$15,0,0,$B$8,1))=EP$13), 1*(_xlfn._xlws.FILTER(OFFSET($O$15,0,$DO249,$B$8,1),OFFSET($M$15,0,0,$B$8,1))=EP$14))   /   SUM(OFFSET($BO$15,0,0,$B$14,1)) + $B$18/($B$19*$B$19*($DN249&lt;&gt;$DO249) + $B$19*($DN249=$DO249))</f>
        <v>3.7037037037037035E-4</v>
      </c>
      <c r="EQ249" s="10" cm="1">
        <f t="array" aca="1" ref="EQ249" ca="1">(1-$B$18)*SUMPRODUCT(OFFSET($BO$15,0,0,$B$14,1), 1*(_xlfn._xlws.FILTER(OFFSET($O$15,0,$DN249,$B$8,1),OFFSET($M$15,0,0,$B$8,1))=EQ$13), 1*(_xlfn._xlws.FILTER(OFFSET($O$15,0,$DO249,$B$8,1),OFFSET($M$15,0,0,$B$8,1))=EQ$14))   /   SUM(OFFSET($BO$15,0,0,$B$14,1)) + $B$18/($B$19*$B$19*($DN249&lt;&gt;$DO249) + $B$19*($DN249=$DO249))</f>
        <v>3.7037037037037035E-4</v>
      </c>
      <c r="ER249" s="10" cm="1">
        <f t="array" aca="1" ref="ER249" ca="1">(1-$B$18)*SUMPRODUCT(OFFSET($BO$15,0,0,$B$14,1), 1*(_xlfn._xlws.FILTER(OFFSET($O$15,0,$DN249,$B$8,1),OFFSET($M$15,0,0,$B$8,1))=ER$13), 1*(_xlfn._xlws.FILTER(OFFSET($O$15,0,$DO249,$B$8,1),OFFSET($M$15,0,0,$B$8,1))=ER$14))   /   SUM(OFFSET($BO$15,0,0,$B$14,1)) + $B$18/($B$19*$B$19*($DN249&lt;&gt;$DO249) + $B$19*($DN249=$DO249))</f>
        <v>3.7037037037037035E-4</v>
      </c>
      <c r="ES249" s="10" cm="1">
        <f t="array" aca="1" ref="ES249" ca="1">(1-$B$18)*SUMPRODUCT(OFFSET($BO$15,0,0,$B$14,1), 1*(_xlfn._xlws.FILTER(OFFSET($O$15,0,$DN249,$B$8,1),OFFSET($M$15,0,0,$B$8,1))=ES$13), 1*(_xlfn._xlws.FILTER(OFFSET($O$15,0,$DO249,$B$8,1),OFFSET($M$15,0,0,$B$8,1))=ES$14))   /   SUM(OFFSET($BO$15,0,0,$B$14,1)) + $B$18/($B$19*$B$19*($DN249&lt;&gt;$DO249) + $B$19*($DN249=$DO249))</f>
        <v>3.7037037037037035E-4</v>
      </c>
      <c r="ET249" s="10" cm="1">
        <f t="array" aca="1" ref="ET249" ca="1">(1-$B$18)*SUMPRODUCT(OFFSET($BO$15,0,0,$B$14,1), 1*(_xlfn._xlws.FILTER(OFFSET($O$15,0,$DN249,$B$8,1),OFFSET($M$15,0,0,$B$8,1))=ET$13), 1*(_xlfn._xlws.FILTER(OFFSET($O$15,0,$DO249,$B$8,1),OFFSET($M$15,0,0,$B$8,1))=ET$14))   /   SUM(OFFSET($BO$15,0,0,$B$14,1)) + $B$18/($B$19*$B$19*($DN249&lt;&gt;$DO249) + $B$19*($DN249=$DO249))</f>
        <v>3.7037037037037035E-4</v>
      </c>
      <c r="EU249" s="10" cm="1">
        <f t="array" aca="1" ref="EU249" ca="1">(1-$B$18)*SUMPRODUCT(OFFSET($BO$15,0,0,$B$14,1), 1*(_xlfn._xlws.FILTER(OFFSET($O$15,0,$DN249,$B$8,1),OFFSET($M$15,0,0,$B$8,1))=EU$13), 1*(_xlfn._xlws.FILTER(OFFSET($O$15,0,$DO249,$B$8,1),OFFSET($M$15,0,0,$B$8,1))=EU$14))   /   SUM(OFFSET($BO$15,0,0,$B$14,1)) + $B$18/($B$19*$B$19*($DN249&lt;&gt;$DO249) + $B$19*($DN249=$DO249))</f>
        <v>3.7037037037037035E-4</v>
      </c>
      <c r="EV249" s="10" cm="1">
        <f t="array" aca="1" ref="EV249" ca="1">(1-$B$18)*SUMPRODUCT(OFFSET($BO$15,0,0,$B$14,1), 1*(_xlfn._xlws.FILTER(OFFSET($O$15,0,$DN249,$B$8,1),OFFSET($M$15,0,0,$B$8,1))=EV$13), 1*(_xlfn._xlws.FILTER(OFFSET($O$15,0,$DO249,$B$8,1),OFFSET($M$15,0,0,$B$8,1))=EV$14))   /   SUM(OFFSET($BO$15,0,0,$B$14,1)) + $B$18/($B$19*$B$19*($DN249&lt;&gt;$DO249) + $B$19*($DN249=$DO249))</f>
        <v>3.7037037037037035E-4</v>
      </c>
      <c r="EW249" s="10" cm="1">
        <f t="array" aca="1" ref="EW249" ca="1">(1-$B$18)*SUMPRODUCT(OFFSET($BO$15,0,0,$B$14,1), 1*(_xlfn._xlws.FILTER(OFFSET($O$15,0,$DN249,$B$8,1),OFFSET($M$15,0,0,$B$8,1))=EW$13), 1*(_xlfn._xlws.FILTER(OFFSET($O$15,0,$DO249,$B$8,1),OFFSET($M$15,0,0,$B$8,1))=EW$14))   /   SUM(OFFSET($BO$15,0,0,$B$14,1)) + $B$18/($B$19*$B$19*($DN249&lt;&gt;$DO249) + $B$19*($DN249=$DO249))</f>
        <v>3.7037037037037035E-4</v>
      </c>
      <c r="EX249" s="10" cm="1">
        <f t="array" aca="1" ref="EX249" ca="1">(1-$B$18)*SUMPRODUCT(OFFSET($BO$15,0,0,$B$14,1), 1*(_xlfn._xlws.FILTER(OFFSET($O$15,0,$DN249,$B$8,1),OFFSET($M$15,0,0,$B$8,1))=EX$13), 1*(_xlfn._xlws.FILTER(OFFSET($O$15,0,$DO249,$B$8,1),OFFSET($M$15,0,0,$B$8,1))=EX$14))   /   SUM(OFFSET($BO$15,0,0,$B$14,1)) + $B$18/($B$19*$B$19*($DN249&lt;&gt;$DO249) + $B$19*($DN249=$DO249))</f>
        <v>3.7037037037037035E-4</v>
      </c>
      <c r="EY249" s="10" cm="1">
        <f t="array" aca="1" ref="EY249" ca="1">(1-$B$18)*SUMPRODUCT(OFFSET($BO$15,0,0,$B$14,1), 1*(_xlfn._xlws.FILTER(OFFSET($O$15,0,$DN249,$B$8,1),OFFSET($M$15,0,0,$B$8,1))=EY$13), 1*(_xlfn._xlws.FILTER(OFFSET($O$15,0,$DO249,$B$8,1),OFFSET($M$15,0,0,$B$8,1))=EY$14))   /   SUM(OFFSET($BO$15,0,0,$B$14,1)) + $B$18/($B$19*$B$19*($DN249&lt;&gt;$DO249) + $B$19*($DN249=$DO249))</f>
        <v>3.7037037037037035E-4</v>
      </c>
      <c r="EZ249" s="10" cm="1">
        <f t="array" aca="1" ref="EZ249" ca="1">(1-$B$18)*SUMPRODUCT(OFFSET($BO$15,0,0,$B$14,1), 1*(_xlfn._xlws.FILTER(OFFSET($O$15,0,$DN249,$B$8,1),OFFSET($M$15,0,0,$B$8,1))=EZ$13), 1*(_xlfn._xlws.FILTER(OFFSET($O$15,0,$DO249,$B$8,1),OFFSET($M$15,0,0,$B$8,1))=EZ$14))   /   SUM(OFFSET($BO$15,0,0,$B$14,1)) + $B$18/($B$19*$B$19*($DN249&lt;&gt;$DO249) + $B$19*($DN249=$DO249))</f>
        <v>3.7037037037037035E-4</v>
      </c>
      <c r="FA249" s="10" cm="1">
        <f t="array" aca="1" ref="FA249" ca="1">(1-$B$18)*SUMPRODUCT(OFFSET($BO$15,0,0,$B$14,1), 1*(_xlfn._xlws.FILTER(OFFSET($O$15,0,$DN249,$B$8,1),OFFSET($M$15,0,0,$B$8,1))=FA$13), 1*(_xlfn._xlws.FILTER(OFFSET($O$15,0,$DO249,$B$8,1),OFFSET($M$15,0,0,$B$8,1))=FA$14))   /   SUM(OFFSET($BO$15,0,0,$B$14,1)) + $B$18/($B$19*$B$19*($DN249&lt;&gt;$DO249) + $B$19*($DN249=$DO249))</f>
        <v>3.7037037037037035E-4</v>
      </c>
      <c r="FB249" s="10" cm="1">
        <f t="array" aca="1" ref="FB249" ca="1">(1-$B$18)*SUMPRODUCT(OFFSET($BO$15,0,0,$B$14,1), 1*(_xlfn._xlws.FILTER(OFFSET($O$15,0,$DN249,$B$8,1),OFFSET($M$15,0,0,$B$8,1))=FB$13), 1*(_xlfn._xlws.FILTER(OFFSET($O$15,0,$DO249,$B$8,1),OFFSET($M$15,0,0,$B$8,1))=FB$14))   /   SUM(OFFSET($BO$15,0,0,$B$14,1)) + $B$18/($B$19*$B$19*($DN249&lt;&gt;$DO249) + $B$19*($DN249=$DO249))</f>
        <v>3.7037037037037035E-4</v>
      </c>
      <c r="FC249" s="10" cm="1">
        <f t="array" aca="1" ref="FC249" ca="1">(1-$B$18)*SUMPRODUCT(OFFSET($BO$15,0,0,$B$14,1), 1*(_xlfn._xlws.FILTER(OFFSET($O$15,0,$DN249,$B$8,1),OFFSET($M$15,0,0,$B$8,1))=FC$13), 1*(_xlfn._xlws.FILTER(OFFSET($O$15,0,$DO249,$B$8,1),OFFSET($M$15,0,0,$B$8,1))=FC$14))   /   SUM(OFFSET($BO$15,0,0,$B$14,1)) + $B$18/($B$19*$B$19*($DN249&lt;&gt;$DO249) + $B$19*($DN249=$DO249))</f>
        <v>3.7037037037037035E-4</v>
      </c>
      <c r="FD249" s="10" cm="1">
        <f t="array" aca="1" ref="FD249" ca="1">(1-$B$18)*SUMPRODUCT(OFFSET($BO$15,0,0,$B$14,1), 1*(_xlfn._xlws.FILTER(OFFSET($O$15,0,$DN249,$B$8,1),OFFSET($M$15,0,0,$B$8,1))=FD$13), 1*(_xlfn._xlws.FILTER(OFFSET($O$15,0,$DO249,$B$8,1),OFFSET($M$15,0,0,$B$8,1))=FD$14))   /   SUM(OFFSET($BO$15,0,0,$B$14,1)) + $B$18/($B$19*$B$19*($DN249&lt;&gt;$DO249) + $B$19*($DN249=$DO249))</f>
        <v>3.7037037037037035E-4</v>
      </c>
      <c r="FE249" s="10" cm="1">
        <f t="array" aca="1" ref="FE249" ca="1">(1-$B$18)*SUMPRODUCT(OFFSET($BO$15,0,0,$B$14,1), 1*(_xlfn._xlws.FILTER(OFFSET($O$15,0,$DN249,$B$8,1),OFFSET($M$15,0,0,$B$8,1))=FE$13), 1*(_xlfn._xlws.FILTER(OFFSET($O$15,0,$DO249,$B$8,1),OFFSET($M$15,0,0,$B$8,1))=FE$14))   /   SUM(OFFSET($BO$15,0,0,$B$14,1)) + $B$18/($B$19*$B$19*($DN249&lt;&gt;$DO249) + $B$19*($DN249=$DO249))</f>
        <v>3.7037037037037035E-4</v>
      </c>
      <c r="FF249" s="10" cm="1">
        <f t="array" aca="1" ref="FF249" ca="1">(1-$B$18)*SUMPRODUCT(OFFSET($BO$15,0,0,$B$14,1), 1*(_xlfn._xlws.FILTER(OFFSET($O$15,0,$DN249,$B$8,1),OFFSET($M$15,0,0,$B$8,1))=FF$13), 1*(_xlfn._xlws.FILTER(OFFSET($O$15,0,$DO249,$B$8,1),OFFSET($M$15,0,0,$B$8,1))=FF$14))   /   SUM(OFFSET($BO$15,0,0,$B$14,1)) + $B$18/($B$19*$B$19*($DN249&lt;&gt;$DO249) + $B$19*($DN249=$DO249))</f>
        <v>3.7037037037037035E-4</v>
      </c>
      <c r="FG249" s="10" cm="1">
        <f t="array" aca="1" ref="FG249" ca="1">(1-$B$18)*SUMPRODUCT(OFFSET($BO$15,0,0,$B$14,1), 1*(_xlfn._xlws.FILTER(OFFSET($O$15,0,$DN249,$B$8,1),OFFSET($M$15,0,0,$B$8,1))=FG$13), 1*(_xlfn._xlws.FILTER(OFFSET($O$15,0,$DO249,$B$8,1),OFFSET($M$15,0,0,$B$8,1))=FG$14))   /   SUM(OFFSET($BO$15,0,0,$B$14,1)) + $B$18/($B$19*$B$19*($DN249&lt;&gt;$DO249) + $B$19*($DN249=$DO249))</f>
        <v>3.7037037037037035E-4</v>
      </c>
      <c r="FH249" s="10" cm="1">
        <f t="array" aca="1" ref="FH249" ca="1">(1-$B$18)*SUMPRODUCT(OFFSET($BO$15,0,0,$B$14,1), 1*(_xlfn._xlws.FILTER(OFFSET($O$15,0,$DN249,$B$8,1),OFFSET($M$15,0,0,$B$8,1))=FH$13), 1*(_xlfn._xlws.FILTER(OFFSET($O$15,0,$DO249,$B$8,1),OFFSET($M$15,0,0,$B$8,1))=FH$14))   /   SUM(OFFSET($BO$15,0,0,$B$14,1)) + $B$18/($B$19*$B$19*($DN249&lt;&gt;$DO249) + $B$19*($DN249=$DO249))</f>
        <v>3.7037037037037035E-4</v>
      </c>
      <c r="FI249" s="10" cm="1">
        <f t="array" aca="1" ref="FI249" ca="1">(1-$B$18)*SUMPRODUCT(OFFSET($BO$15,0,0,$B$14,1), 1*(_xlfn._xlws.FILTER(OFFSET($O$15,0,$DN249,$B$8,1),OFFSET($M$15,0,0,$B$8,1))=FI$13), 1*(_xlfn._xlws.FILTER(OFFSET($O$15,0,$DO249,$B$8,1),OFFSET($M$15,0,0,$B$8,1))=FI$14))   /   SUM(OFFSET($BO$15,0,0,$B$14,1)) + $B$18/($B$19*$B$19*($DN249&lt;&gt;$DO249) + $B$19*($DN249=$DO249))</f>
        <v>3.7037037037037035E-4</v>
      </c>
      <c r="FJ249" s="10" cm="1">
        <f t="array" aca="1" ref="FJ249" ca="1">(1-$B$18)*SUMPRODUCT(OFFSET($BO$15,0,0,$B$14,1), 1*(_xlfn._xlws.FILTER(OFFSET($O$15,0,$DN249,$B$8,1),OFFSET($M$15,0,0,$B$8,1))=FJ$13), 1*(_xlfn._xlws.FILTER(OFFSET($O$15,0,$DO249,$B$8,1),OFFSET($M$15,0,0,$B$8,1))=FJ$14))   /   SUM(OFFSET($BO$15,0,0,$B$14,1)) + $B$18/($B$19*$B$19*($DN249&lt;&gt;$DO249) + $B$19*($DN249=$DO249))</f>
        <v>3.7037037037037035E-4</v>
      </c>
      <c r="FK249" s="10" cm="1">
        <f t="array" aca="1" ref="FK249" ca="1">(1-$B$18)*SUMPRODUCT(OFFSET($BO$15,0,0,$B$14,1), 1*(_xlfn._xlws.FILTER(OFFSET($O$15,0,$DN249,$B$8,1),OFFSET($M$15,0,0,$B$8,1))=FK$13), 1*(_xlfn._xlws.FILTER(OFFSET($O$15,0,$DO249,$B$8,1),OFFSET($M$15,0,0,$B$8,1))=FK$14))   /   SUM(OFFSET($BO$15,0,0,$B$14,1)) + $B$18/($B$19*$B$19*($DN249&lt;&gt;$DO249) + $B$19*($DN249=$DO249))</f>
        <v>3.7037037037037035E-4</v>
      </c>
      <c r="FL249" s="10" cm="1">
        <f t="array" aca="1" ref="FL249" ca="1">(1-$B$18)*SUMPRODUCT(OFFSET($BO$15,0,0,$B$14,1), 1*(_xlfn._xlws.FILTER(OFFSET($O$15,0,$DN249,$B$8,1),OFFSET($M$15,0,0,$B$8,1))=FL$13), 1*(_xlfn._xlws.FILTER(OFFSET($O$15,0,$DO249,$B$8,1),OFFSET($M$15,0,0,$B$8,1))=FL$14))   /   SUM(OFFSET($BO$15,0,0,$B$14,1)) + $B$18/($B$19*$B$19*($DN249&lt;&gt;$DO249) + $B$19*($DN249=$DO249))</f>
        <v>3.7037037037037035E-4</v>
      </c>
      <c r="FM249" s="10" cm="1">
        <f t="array" aca="1" ref="FM249" ca="1">(1-$B$18)*SUMPRODUCT(OFFSET($BO$15,0,0,$B$14,1), 1*(_xlfn._xlws.FILTER(OFFSET($O$15,0,$DN249,$B$8,1),OFFSET($M$15,0,0,$B$8,1))=FM$13), 1*(_xlfn._xlws.FILTER(OFFSET($O$15,0,$DO249,$B$8,1),OFFSET($M$15,0,0,$B$8,1))=FM$14))   /   SUM(OFFSET($BO$15,0,0,$B$14,1)) + $B$18/($B$19*$B$19*($DN249&lt;&gt;$DO249) + $B$19*($DN249=$DO249))</f>
        <v>3.7037037037037035E-4</v>
      </c>
      <c r="FN249" s="10" cm="1">
        <f t="array" aca="1" ref="FN249" ca="1">(1-$B$18)*SUMPRODUCT(OFFSET($BO$15,0,0,$B$14,1), 1*(_xlfn._xlws.FILTER(OFFSET($O$15,0,$DN249,$B$8,1),OFFSET($M$15,0,0,$B$8,1))=FN$13), 1*(_xlfn._xlws.FILTER(OFFSET($O$15,0,$DO249,$B$8,1),OFFSET($M$15,0,0,$B$8,1))=FN$14))   /   SUM(OFFSET($BO$15,0,0,$B$14,1)) + $B$18/($B$19*$B$19*($DN249&lt;&gt;$DO249) + $B$19*($DN249=$DO249))</f>
        <v>3.7037037037037035E-4</v>
      </c>
      <c r="FO249" s="10" cm="1">
        <f t="array" aca="1" ref="FO249" ca="1">(1-$B$18)*SUMPRODUCT(OFFSET($BO$15,0,0,$B$14,1), 1*(_xlfn._xlws.FILTER(OFFSET($O$15,0,$DN249,$B$8,1),OFFSET($M$15,0,0,$B$8,1))=FO$13), 1*(_xlfn._xlws.FILTER(OFFSET($O$15,0,$DO249,$B$8,1),OFFSET($M$15,0,0,$B$8,1))=FO$14))   /   SUM(OFFSET($BO$15,0,0,$B$14,1)) + $B$18/($B$19*$B$19*($DN249&lt;&gt;$DO249) + $B$19*($DN249=$DO249))</f>
        <v>3.7037037037037035E-4</v>
      </c>
      <c r="FP249" s="10" cm="1">
        <f t="array" aca="1" ref="FP249" ca="1">(1-$B$18)*SUMPRODUCT(OFFSET($BO$15,0,0,$B$14,1), 1*(_xlfn._xlws.FILTER(OFFSET($O$15,0,$DN249,$B$8,1),OFFSET($M$15,0,0,$B$8,1))=FP$13), 1*(_xlfn._xlws.FILTER(OFFSET($O$15,0,$DO249,$B$8,1),OFFSET($M$15,0,0,$B$8,1))=FP$14))   /   SUM(OFFSET($BO$15,0,0,$B$14,1)) + $B$18/($B$19*$B$19*($DN249&lt;&gt;$DO249) + $B$19*($DN249=$DO249))</f>
        <v>3.7037037037037035E-4</v>
      </c>
      <c r="FQ249" s="10" cm="1">
        <f t="array" aca="1" ref="FQ249" ca="1">(1-$B$18)*SUMPRODUCT(OFFSET($BO$15,0,0,$B$14,1), 1*(_xlfn._xlws.FILTER(OFFSET($O$15,0,$DN249,$B$8,1),OFFSET($M$15,0,0,$B$8,1))=FQ$13), 1*(_xlfn._xlws.FILTER(OFFSET($O$15,0,$DO249,$B$8,1),OFFSET($M$15,0,0,$B$8,1))=FQ$14))   /   SUM(OFFSET($BO$15,0,0,$B$14,1)) + $B$18/($B$19*$B$19*($DN249&lt;&gt;$DO249) + $B$19*($DN249=$DO249))</f>
        <v>3.7037037037037035E-4</v>
      </c>
      <c r="FR249" s="10" cm="1">
        <f t="array" aca="1" ref="FR249" ca="1">(1-$B$18)*SUMPRODUCT(OFFSET($BO$15,0,0,$B$14,1), 1*(_xlfn._xlws.FILTER(OFFSET($O$15,0,$DN249,$B$8,1),OFFSET($M$15,0,0,$B$8,1))=FR$13), 1*(_xlfn._xlws.FILTER(OFFSET($O$15,0,$DO249,$B$8,1),OFFSET($M$15,0,0,$B$8,1))=FR$14))   /   SUM(OFFSET($BO$15,0,0,$B$14,1)) + $B$18/($B$19*$B$19*($DN249&lt;&gt;$DO249) + $B$19*($DN249=$DO249))</f>
        <v>3.7037037037037035E-4</v>
      </c>
      <c r="FS249" s="10" cm="1">
        <f t="array" aca="1" ref="FS249" ca="1">(1-$B$18)*SUMPRODUCT(OFFSET($BO$15,0,0,$B$14,1), 1*(_xlfn._xlws.FILTER(OFFSET($O$15,0,$DN249,$B$8,1),OFFSET($M$15,0,0,$B$8,1))=FS$13), 1*(_xlfn._xlws.FILTER(OFFSET($O$15,0,$DO249,$B$8,1),OFFSET($M$15,0,0,$B$8,1))=FS$14))   /   SUM(OFFSET($BO$15,0,0,$B$14,1)) + $B$18/($B$19*$B$19*($DN249&lt;&gt;$DO249) + $B$19*($DN249=$DO249))</f>
        <v>3.7037037037037035E-4</v>
      </c>
      <c r="FT249" s="10" cm="1">
        <f t="array" aca="1" ref="FT249" ca="1">(1-$B$18)*SUMPRODUCT(OFFSET($BO$15,0,0,$B$14,1), 1*(_xlfn._xlws.FILTER(OFFSET($O$15,0,$DN249,$B$8,1),OFFSET($M$15,0,0,$B$8,1))=FT$13), 1*(_xlfn._xlws.FILTER(OFFSET($O$15,0,$DO249,$B$8,1),OFFSET($M$15,0,0,$B$8,1))=FT$14))   /   SUM(OFFSET($BO$15,0,0,$B$14,1)) + $B$18/($B$19*$B$19*($DN249&lt;&gt;$DO249) + $B$19*($DN249=$DO249))</f>
        <v>3.7037037037037035E-4</v>
      </c>
      <c r="FU249" s="10" cm="1">
        <f t="array" aca="1" ref="FU249" ca="1">(1-$B$18)*SUMPRODUCT(OFFSET($BO$15,0,0,$B$14,1), 1*(_xlfn._xlws.FILTER(OFFSET($O$15,0,$DN249,$B$8,1),OFFSET($M$15,0,0,$B$8,1))=FU$13), 1*(_xlfn._xlws.FILTER(OFFSET($O$15,0,$DO249,$B$8,1),OFFSET($M$15,0,0,$B$8,1))=FU$14))   /   SUM(OFFSET($BO$15,0,0,$B$14,1)) + $B$18/($B$19*$B$19*($DN249&lt;&gt;$DO249) + $B$19*($DN249=$DO249))</f>
        <v>3.7037037037037035E-4</v>
      </c>
      <c r="FV249" s="10" cm="1">
        <f t="array" aca="1" ref="FV249" ca="1">(1-$B$18)*SUMPRODUCT(OFFSET($BO$15,0,0,$B$14,1), 1*(_xlfn._xlws.FILTER(OFFSET($O$15,0,$DN249,$B$8,1),OFFSET($M$15,0,0,$B$8,1))=FV$13), 1*(_xlfn._xlws.FILTER(OFFSET($O$15,0,$DO249,$B$8,1),OFFSET($M$15,0,0,$B$8,1))=FV$14))   /   SUM(OFFSET($BO$15,0,0,$B$14,1)) + $B$18/($B$19*$B$19*($DN249&lt;&gt;$DO249) + $B$19*($DN249=$DO249))</f>
        <v>3.7037037037037035E-4</v>
      </c>
      <c r="FW249" s="10" cm="1">
        <f t="array" aca="1" ref="FW249" ca="1">(1-$B$18)*SUMPRODUCT(OFFSET($BO$15,0,0,$B$14,1), 1*(_xlfn._xlws.FILTER(OFFSET($O$15,0,$DN249,$B$8,1),OFFSET($M$15,0,0,$B$8,1))=FW$13), 1*(_xlfn._xlws.FILTER(OFFSET($O$15,0,$DO249,$B$8,1),OFFSET($M$15,0,0,$B$8,1))=FW$14))   /   SUM(OFFSET($BO$15,0,0,$B$14,1)) + $B$18/($B$19*$B$19*($DN249&lt;&gt;$DO249) + $B$19*($DN249=$DO249))</f>
        <v>3.7037037037037035E-4</v>
      </c>
      <c r="FX249" s="10" cm="1">
        <f t="array" aca="1" ref="FX249" ca="1">(1-$B$18)*SUMPRODUCT(OFFSET($BO$15,0,0,$B$14,1), 1*(_xlfn._xlws.FILTER(OFFSET($O$15,0,$DN249,$B$8,1),OFFSET($M$15,0,0,$B$8,1))=FX$13), 1*(_xlfn._xlws.FILTER(OFFSET($O$15,0,$DO249,$B$8,1),OFFSET($M$15,0,0,$B$8,1))=FX$14))   /   SUM(OFFSET($BO$15,0,0,$B$14,1)) + $B$18/($B$19*$B$19*($DN249&lt;&gt;$DO249) + $B$19*($DN249=$DO249))</f>
        <v>3.7037037037037035E-4</v>
      </c>
      <c r="FY249" s="10" cm="1">
        <f t="array" aca="1" ref="FY249" ca="1">(1-$B$18)*SUMPRODUCT(OFFSET($BO$15,0,0,$B$14,1), 1*(_xlfn._xlws.FILTER(OFFSET($O$15,0,$DN249,$B$8,1),OFFSET($M$15,0,0,$B$8,1))=FY$13), 1*(_xlfn._xlws.FILTER(OFFSET($O$15,0,$DO249,$B$8,1),OFFSET($M$15,0,0,$B$8,1))=FY$14))   /   SUM(OFFSET($BO$15,0,0,$B$14,1)) + $B$18/($B$19*$B$19*($DN249&lt;&gt;$DO249) + $B$19*($DN249=$DO249))</f>
        <v>3.7037037037037035E-4</v>
      </c>
      <c r="FZ249" s="10" cm="1">
        <f t="array" aca="1" ref="FZ249" ca="1">(1-$B$18)*SUMPRODUCT(OFFSET($BO$15,0,0,$B$14,1), 1*(_xlfn._xlws.FILTER(OFFSET($O$15,0,$DN249,$B$8,1),OFFSET($M$15,0,0,$B$8,1))=FZ$13), 1*(_xlfn._xlws.FILTER(OFFSET($O$15,0,$DO249,$B$8,1),OFFSET($M$15,0,0,$B$8,1))=FZ$14))   /   SUM(OFFSET($BO$15,0,0,$B$14,1)) + $B$18/($B$19*$B$19*($DN249&lt;&gt;$DO249) + $B$19*($DN249=$DO249))</f>
        <v>3.7037037037037035E-4</v>
      </c>
      <c r="GA249" s="10" cm="1">
        <f t="array" aca="1" ref="GA249" ca="1">(1-$B$18)*SUMPRODUCT(OFFSET($BO$15,0,0,$B$14,1), 1*(_xlfn._xlws.FILTER(OFFSET($O$15,0,$DN249,$B$8,1),OFFSET($M$15,0,0,$B$8,1))=GA$13), 1*(_xlfn._xlws.FILTER(OFFSET($O$15,0,$DO249,$B$8,1),OFFSET($M$15,0,0,$B$8,1))=GA$14))   /   SUM(OFFSET($BO$15,0,0,$B$14,1)) + $B$18/($B$19*$B$19*($DN249&lt;&gt;$DO249) + $B$19*($DN249=$DO249))</f>
        <v>3.7037037037037035E-4</v>
      </c>
    </row>
    <row r="250" spans="118:183" x14ac:dyDescent="0.2">
      <c r="DN250" cm="1">
        <f t="array" aca="1" ref="DN250" ca="1">INDEX(_xlfn.ANCHORARRAY($CP$15), 1 + INT((ROWS($DO$15:$DO250) - 1) / ROWS(_xlfn.ANCHORARRAY($CP$15))))</f>
        <v>13</v>
      </c>
      <c r="DO250" cm="1">
        <f t="array" aca="1" ref="DO250" ca="1">INDEX(_xlfn.ANCHORARRAY($CP$15),1+MOD(ROWS($DO$15:$DO250)-1,ROWS(_xlfn.ANCHORARRAY($CP$15))))</f>
        <v>7</v>
      </c>
      <c r="DP250" s="10" cm="1">
        <f t="array" aca="1" ref="DP250" ca="1">(1-$B$18)*SUMPRODUCT(OFFSET($BO$15,0,0,$B$14,1), 1*(_xlfn._xlws.FILTER(OFFSET($O$15,0,$DN250,$B$8,1),OFFSET($M$15,0,0,$B$8,1))=DP$13), 1*(_xlfn._xlws.FILTER(OFFSET($O$15,0,$DO250,$B$8,1),OFFSET($M$15,0,0,$B$8,1))=DP$14))   /   SUM(OFFSET($BO$15,0,0,$B$14,1)) + $B$18/($B$19*$B$19*($DN250&lt;&gt;$DO250) + $B$19*($DN250=$DO250))</f>
        <v>3.7037037037037035E-4</v>
      </c>
      <c r="DQ250" s="10" cm="1">
        <f t="array" aca="1" ref="DQ250" ca="1">(1-$B$18)*SUMPRODUCT(OFFSET($BO$15,0,0,$B$14,1), 1*(_xlfn._xlws.FILTER(OFFSET($O$15,0,$DN250,$B$8,1),OFFSET($M$15,0,0,$B$8,1))=DQ$13), 1*(_xlfn._xlws.FILTER(OFFSET($O$15,0,$DO250,$B$8,1),OFFSET($M$15,0,0,$B$8,1))=DQ$14))   /   SUM(OFFSET($BO$15,0,0,$B$14,1)) + $B$18/($B$19*$B$19*($DN250&lt;&gt;$DO250) + $B$19*($DN250=$DO250))</f>
        <v>3.7037037037037035E-4</v>
      </c>
      <c r="DR250" s="10" cm="1">
        <f t="array" aca="1" ref="DR250" ca="1">(1-$B$18)*SUMPRODUCT(OFFSET($BO$15,0,0,$B$14,1), 1*(_xlfn._xlws.FILTER(OFFSET($O$15,0,$DN250,$B$8,1),OFFSET($M$15,0,0,$B$8,1))=DR$13), 1*(_xlfn._xlws.FILTER(OFFSET($O$15,0,$DO250,$B$8,1),OFFSET($M$15,0,0,$B$8,1))=DR$14))   /   SUM(OFFSET($BO$15,0,0,$B$14,1)) + $B$18/($B$19*$B$19*($DN250&lt;&gt;$DO250) + $B$19*($DN250=$DO250))</f>
        <v>3.7037037037037035E-4</v>
      </c>
      <c r="DS250" s="10" cm="1">
        <f t="array" aca="1" ref="DS250" ca="1">(1-$B$18)*SUMPRODUCT(OFFSET($BO$15,0,0,$B$14,1), 1*(_xlfn._xlws.FILTER(OFFSET($O$15,0,$DN250,$B$8,1),OFFSET($M$15,0,0,$B$8,1))=DS$13), 1*(_xlfn._xlws.FILTER(OFFSET($O$15,0,$DO250,$B$8,1),OFFSET($M$15,0,0,$B$8,1))=DS$14))   /   SUM(OFFSET($BO$15,0,0,$B$14,1)) + $B$18/($B$19*$B$19*($DN250&lt;&gt;$DO250) + $B$19*($DN250=$DO250))</f>
        <v>3.7037037037037035E-4</v>
      </c>
      <c r="DT250" s="10" cm="1">
        <f t="array" aca="1" ref="DT250" ca="1">(1-$B$18)*SUMPRODUCT(OFFSET($BO$15,0,0,$B$14,1), 1*(_xlfn._xlws.FILTER(OFFSET($O$15,0,$DN250,$B$8,1),OFFSET($M$15,0,0,$B$8,1))=DT$13), 1*(_xlfn._xlws.FILTER(OFFSET($O$15,0,$DO250,$B$8,1),OFFSET($M$15,0,0,$B$8,1))=DT$14))   /   SUM(OFFSET($BO$15,0,0,$B$14,1)) + $B$18/($B$19*$B$19*($DN250&lt;&gt;$DO250) + $B$19*($DN250=$DO250))</f>
        <v>3.7037037037037035E-4</v>
      </c>
      <c r="DU250" s="10" cm="1">
        <f t="array" aca="1" ref="DU250" ca="1">(1-$B$18)*SUMPRODUCT(OFFSET($BO$15,0,0,$B$14,1), 1*(_xlfn._xlws.FILTER(OFFSET($O$15,0,$DN250,$B$8,1),OFFSET($M$15,0,0,$B$8,1))=DU$13), 1*(_xlfn._xlws.FILTER(OFFSET($O$15,0,$DO250,$B$8,1),OFFSET($M$15,0,0,$B$8,1))=DU$14))   /   SUM(OFFSET($BO$15,0,0,$B$14,1)) + $B$18/($B$19*$B$19*($DN250&lt;&gt;$DO250) + $B$19*($DN250=$DO250))</f>
        <v>3.7037037037037035E-4</v>
      </c>
      <c r="DV250" s="10" cm="1">
        <f t="array" aca="1" ref="DV250" ca="1">(1-$B$18)*SUMPRODUCT(OFFSET($BO$15,0,0,$B$14,1), 1*(_xlfn._xlws.FILTER(OFFSET($O$15,0,$DN250,$B$8,1),OFFSET($M$15,0,0,$B$8,1))=DV$13), 1*(_xlfn._xlws.FILTER(OFFSET($O$15,0,$DO250,$B$8,1),OFFSET($M$15,0,0,$B$8,1))=DV$14))   /   SUM(OFFSET($BO$15,0,0,$B$14,1)) + $B$18/($B$19*$B$19*($DN250&lt;&gt;$DO250) + $B$19*($DN250=$DO250))</f>
        <v>3.7037037037037035E-4</v>
      </c>
      <c r="DW250" s="10" cm="1">
        <f t="array" aca="1" ref="DW250" ca="1">(1-$B$18)*SUMPRODUCT(OFFSET($BO$15,0,0,$B$14,1), 1*(_xlfn._xlws.FILTER(OFFSET($O$15,0,$DN250,$B$8,1),OFFSET($M$15,0,0,$B$8,1))=DW$13), 1*(_xlfn._xlws.FILTER(OFFSET($O$15,0,$DO250,$B$8,1),OFFSET($M$15,0,0,$B$8,1))=DW$14))   /   SUM(OFFSET($BO$15,0,0,$B$14,1)) + $B$18/($B$19*$B$19*($DN250&lt;&gt;$DO250) + $B$19*($DN250=$DO250))</f>
        <v>3.7037037037037035E-4</v>
      </c>
      <c r="DX250" s="10" cm="1">
        <f t="array" aca="1" ref="DX250" ca="1">(1-$B$18)*SUMPRODUCT(OFFSET($BO$15,0,0,$B$14,1), 1*(_xlfn._xlws.FILTER(OFFSET($O$15,0,$DN250,$B$8,1),OFFSET($M$15,0,0,$B$8,1))=DX$13), 1*(_xlfn._xlws.FILTER(OFFSET($O$15,0,$DO250,$B$8,1),OFFSET($M$15,0,0,$B$8,1))=DX$14))   /   SUM(OFFSET($BO$15,0,0,$B$14,1)) + $B$18/($B$19*$B$19*($DN250&lt;&gt;$DO250) + $B$19*($DN250=$DO250))</f>
        <v>3.7037037037037035E-4</v>
      </c>
      <c r="DY250" s="10" cm="1">
        <f t="array" aca="1" ref="DY250" ca="1">(1-$B$18)*SUMPRODUCT(OFFSET($BO$15,0,0,$B$14,1), 1*(_xlfn._xlws.FILTER(OFFSET($O$15,0,$DN250,$B$8,1),OFFSET($M$15,0,0,$B$8,1))=DY$13), 1*(_xlfn._xlws.FILTER(OFFSET($O$15,0,$DO250,$B$8,1),OFFSET($M$15,0,0,$B$8,1))=DY$14))   /   SUM(OFFSET($BO$15,0,0,$B$14,1)) + $B$18/($B$19*$B$19*($DN250&lt;&gt;$DO250) + $B$19*($DN250=$DO250))</f>
        <v>3.7037037037037035E-4</v>
      </c>
      <c r="DZ250" s="10" cm="1">
        <f t="array" aca="1" ref="DZ250" ca="1">(1-$B$18)*SUMPRODUCT(OFFSET($BO$15,0,0,$B$14,1), 1*(_xlfn._xlws.FILTER(OFFSET($O$15,0,$DN250,$B$8,1),OFFSET($M$15,0,0,$B$8,1))=DZ$13), 1*(_xlfn._xlws.FILTER(OFFSET($O$15,0,$DO250,$B$8,1),OFFSET($M$15,0,0,$B$8,1))=DZ$14))   /   SUM(OFFSET($BO$15,0,0,$B$14,1)) + $B$18/($B$19*$B$19*($DN250&lt;&gt;$DO250) + $B$19*($DN250=$DO250))</f>
        <v>3.7037037037037035E-4</v>
      </c>
      <c r="EA250" s="10" cm="1">
        <f t="array" aca="1" ref="EA250" ca="1">(1-$B$18)*SUMPRODUCT(OFFSET($BO$15,0,0,$B$14,1), 1*(_xlfn._xlws.FILTER(OFFSET($O$15,0,$DN250,$B$8,1),OFFSET($M$15,0,0,$B$8,1))=EA$13), 1*(_xlfn._xlws.FILTER(OFFSET($O$15,0,$DO250,$B$8,1),OFFSET($M$15,0,0,$B$8,1))=EA$14))   /   SUM(OFFSET($BO$15,0,0,$B$14,1)) + $B$18/($B$19*$B$19*($DN250&lt;&gt;$DO250) + $B$19*($DN250=$DO250))</f>
        <v>3.7037037037037035E-4</v>
      </c>
      <c r="EB250" s="10" cm="1">
        <f t="array" aca="1" ref="EB250" ca="1">(1-$B$18)*SUMPRODUCT(OFFSET($BO$15,0,0,$B$14,1), 1*(_xlfn._xlws.FILTER(OFFSET($O$15,0,$DN250,$B$8,1),OFFSET($M$15,0,0,$B$8,1))=EB$13), 1*(_xlfn._xlws.FILTER(OFFSET($O$15,0,$DO250,$B$8,1),OFFSET($M$15,0,0,$B$8,1))=EB$14))   /   SUM(OFFSET($BO$15,0,0,$B$14,1)) + $B$18/($B$19*$B$19*($DN250&lt;&gt;$DO250) + $B$19*($DN250=$DO250))</f>
        <v>3.7037037037037035E-4</v>
      </c>
      <c r="EC250" s="10" cm="1">
        <f t="array" aca="1" ref="EC250" ca="1">(1-$B$18)*SUMPRODUCT(OFFSET($BO$15,0,0,$B$14,1), 1*(_xlfn._xlws.FILTER(OFFSET($O$15,0,$DN250,$B$8,1),OFFSET($M$15,0,0,$B$8,1))=EC$13), 1*(_xlfn._xlws.FILTER(OFFSET($O$15,0,$DO250,$B$8,1),OFFSET($M$15,0,0,$B$8,1))=EC$14))   /   SUM(OFFSET($BO$15,0,0,$B$14,1)) + $B$18/($B$19*$B$19*($DN250&lt;&gt;$DO250) + $B$19*($DN250=$DO250))</f>
        <v>3.7037037037037035E-4</v>
      </c>
      <c r="ED250" s="10" cm="1">
        <f t="array" aca="1" ref="ED250" ca="1">(1-$B$18)*SUMPRODUCT(OFFSET($BO$15,0,0,$B$14,1), 1*(_xlfn._xlws.FILTER(OFFSET($O$15,0,$DN250,$B$8,1),OFFSET($M$15,0,0,$B$8,1))=ED$13), 1*(_xlfn._xlws.FILTER(OFFSET($O$15,0,$DO250,$B$8,1),OFFSET($M$15,0,0,$B$8,1))=ED$14))   /   SUM(OFFSET($BO$15,0,0,$B$14,1)) + $B$18/($B$19*$B$19*($DN250&lt;&gt;$DO250) + $B$19*($DN250=$DO250))</f>
        <v>0.97037037037037033</v>
      </c>
      <c r="EE250" s="10" cm="1">
        <f t="array" aca="1" ref="EE250" ca="1">(1-$B$18)*SUMPRODUCT(OFFSET($BO$15,0,0,$B$14,1), 1*(_xlfn._xlws.FILTER(OFFSET($O$15,0,$DN250,$B$8,1),OFFSET($M$15,0,0,$B$8,1))=EE$13), 1*(_xlfn._xlws.FILTER(OFFSET($O$15,0,$DO250,$B$8,1),OFFSET($M$15,0,0,$B$8,1))=EE$14))   /   SUM(OFFSET($BO$15,0,0,$B$14,1)) + $B$18/($B$19*$B$19*($DN250&lt;&gt;$DO250) + $B$19*($DN250=$DO250))</f>
        <v>3.7037037037037035E-4</v>
      </c>
      <c r="EF250" s="10" cm="1">
        <f t="array" aca="1" ref="EF250" ca="1">(1-$B$18)*SUMPRODUCT(OFFSET($BO$15,0,0,$B$14,1), 1*(_xlfn._xlws.FILTER(OFFSET($O$15,0,$DN250,$B$8,1),OFFSET($M$15,0,0,$B$8,1))=EF$13), 1*(_xlfn._xlws.FILTER(OFFSET($O$15,0,$DO250,$B$8,1),OFFSET($M$15,0,0,$B$8,1))=EF$14))   /   SUM(OFFSET($BO$15,0,0,$B$14,1)) + $B$18/($B$19*$B$19*($DN250&lt;&gt;$DO250) + $B$19*($DN250=$DO250))</f>
        <v>3.7037037037037035E-4</v>
      </c>
      <c r="EG250" s="10" cm="1">
        <f t="array" aca="1" ref="EG250" ca="1">(1-$B$18)*SUMPRODUCT(OFFSET($BO$15,0,0,$B$14,1), 1*(_xlfn._xlws.FILTER(OFFSET($O$15,0,$DN250,$B$8,1),OFFSET($M$15,0,0,$B$8,1))=EG$13), 1*(_xlfn._xlws.FILTER(OFFSET($O$15,0,$DO250,$B$8,1),OFFSET($M$15,0,0,$B$8,1))=EG$14))   /   SUM(OFFSET($BO$15,0,0,$B$14,1)) + $B$18/($B$19*$B$19*($DN250&lt;&gt;$DO250) + $B$19*($DN250=$DO250))</f>
        <v>3.7037037037037035E-4</v>
      </c>
      <c r="EH250" s="10" cm="1">
        <f t="array" aca="1" ref="EH250" ca="1">(1-$B$18)*SUMPRODUCT(OFFSET($BO$15,0,0,$B$14,1), 1*(_xlfn._xlws.FILTER(OFFSET($O$15,0,$DN250,$B$8,1),OFFSET($M$15,0,0,$B$8,1))=EH$13), 1*(_xlfn._xlws.FILTER(OFFSET($O$15,0,$DO250,$B$8,1),OFFSET($M$15,0,0,$B$8,1))=EH$14))   /   SUM(OFFSET($BO$15,0,0,$B$14,1)) + $B$18/($B$19*$B$19*($DN250&lt;&gt;$DO250) + $B$19*($DN250=$DO250))</f>
        <v>3.7037037037037035E-4</v>
      </c>
      <c r="EI250" s="10" cm="1">
        <f t="array" aca="1" ref="EI250" ca="1">(1-$B$18)*SUMPRODUCT(OFFSET($BO$15,0,0,$B$14,1), 1*(_xlfn._xlws.FILTER(OFFSET($O$15,0,$DN250,$B$8,1),OFFSET($M$15,0,0,$B$8,1))=EI$13), 1*(_xlfn._xlws.FILTER(OFFSET($O$15,0,$DO250,$B$8,1),OFFSET($M$15,0,0,$B$8,1))=EI$14))   /   SUM(OFFSET($BO$15,0,0,$B$14,1)) + $B$18/($B$19*$B$19*($DN250&lt;&gt;$DO250) + $B$19*($DN250=$DO250))</f>
        <v>3.7037037037037035E-4</v>
      </c>
      <c r="EJ250" s="10" cm="1">
        <f t="array" aca="1" ref="EJ250" ca="1">(1-$B$18)*SUMPRODUCT(OFFSET($BO$15,0,0,$B$14,1), 1*(_xlfn._xlws.FILTER(OFFSET($O$15,0,$DN250,$B$8,1),OFFSET($M$15,0,0,$B$8,1))=EJ$13), 1*(_xlfn._xlws.FILTER(OFFSET($O$15,0,$DO250,$B$8,1),OFFSET($M$15,0,0,$B$8,1))=EJ$14))   /   SUM(OFFSET($BO$15,0,0,$B$14,1)) + $B$18/($B$19*$B$19*($DN250&lt;&gt;$DO250) + $B$19*($DN250=$DO250))</f>
        <v>3.7037037037037035E-4</v>
      </c>
      <c r="EK250" s="10" cm="1">
        <f t="array" aca="1" ref="EK250" ca="1">(1-$B$18)*SUMPRODUCT(OFFSET($BO$15,0,0,$B$14,1), 1*(_xlfn._xlws.FILTER(OFFSET($O$15,0,$DN250,$B$8,1),OFFSET($M$15,0,0,$B$8,1))=EK$13), 1*(_xlfn._xlws.FILTER(OFFSET($O$15,0,$DO250,$B$8,1),OFFSET($M$15,0,0,$B$8,1))=EK$14))   /   SUM(OFFSET($BO$15,0,0,$B$14,1)) + $B$18/($B$19*$B$19*($DN250&lt;&gt;$DO250) + $B$19*($DN250=$DO250))</f>
        <v>3.7037037037037035E-4</v>
      </c>
      <c r="EL250" s="10" cm="1">
        <f t="array" aca="1" ref="EL250" ca="1">(1-$B$18)*SUMPRODUCT(OFFSET($BO$15,0,0,$B$14,1), 1*(_xlfn._xlws.FILTER(OFFSET($O$15,0,$DN250,$B$8,1),OFFSET($M$15,0,0,$B$8,1))=EL$13), 1*(_xlfn._xlws.FILTER(OFFSET($O$15,0,$DO250,$B$8,1),OFFSET($M$15,0,0,$B$8,1))=EL$14))   /   SUM(OFFSET($BO$15,0,0,$B$14,1)) + $B$18/($B$19*$B$19*($DN250&lt;&gt;$DO250) + $B$19*($DN250=$DO250))</f>
        <v>3.7037037037037035E-4</v>
      </c>
      <c r="EM250" s="10" cm="1">
        <f t="array" aca="1" ref="EM250" ca="1">(1-$B$18)*SUMPRODUCT(OFFSET($BO$15,0,0,$B$14,1), 1*(_xlfn._xlws.FILTER(OFFSET($O$15,0,$DN250,$B$8,1),OFFSET($M$15,0,0,$B$8,1))=EM$13), 1*(_xlfn._xlws.FILTER(OFFSET($O$15,0,$DO250,$B$8,1),OFFSET($M$15,0,0,$B$8,1))=EM$14))   /   SUM(OFFSET($BO$15,0,0,$B$14,1)) + $B$18/($B$19*$B$19*($DN250&lt;&gt;$DO250) + $B$19*($DN250=$DO250))</f>
        <v>3.7037037037037035E-4</v>
      </c>
      <c r="EN250" s="10" cm="1">
        <f t="array" aca="1" ref="EN250" ca="1">(1-$B$18)*SUMPRODUCT(OFFSET($BO$15,0,0,$B$14,1), 1*(_xlfn._xlws.FILTER(OFFSET($O$15,0,$DN250,$B$8,1),OFFSET($M$15,0,0,$B$8,1))=EN$13), 1*(_xlfn._xlws.FILTER(OFFSET($O$15,0,$DO250,$B$8,1),OFFSET($M$15,0,0,$B$8,1))=EN$14))   /   SUM(OFFSET($BO$15,0,0,$B$14,1)) + $B$18/($B$19*$B$19*($DN250&lt;&gt;$DO250) + $B$19*($DN250=$DO250))</f>
        <v>3.7037037037037035E-4</v>
      </c>
      <c r="EO250" s="10" cm="1">
        <f t="array" aca="1" ref="EO250" ca="1">(1-$B$18)*SUMPRODUCT(OFFSET($BO$15,0,0,$B$14,1), 1*(_xlfn._xlws.FILTER(OFFSET($O$15,0,$DN250,$B$8,1),OFFSET($M$15,0,0,$B$8,1))=EO$13), 1*(_xlfn._xlws.FILTER(OFFSET($O$15,0,$DO250,$B$8,1),OFFSET($M$15,0,0,$B$8,1))=EO$14))   /   SUM(OFFSET($BO$15,0,0,$B$14,1)) + $B$18/($B$19*$B$19*($DN250&lt;&gt;$DO250) + $B$19*($DN250=$DO250))</f>
        <v>3.7037037037037035E-4</v>
      </c>
      <c r="EP250" s="10" cm="1">
        <f t="array" aca="1" ref="EP250" ca="1">(1-$B$18)*SUMPRODUCT(OFFSET($BO$15,0,0,$B$14,1), 1*(_xlfn._xlws.FILTER(OFFSET($O$15,0,$DN250,$B$8,1),OFFSET($M$15,0,0,$B$8,1))=EP$13), 1*(_xlfn._xlws.FILTER(OFFSET($O$15,0,$DO250,$B$8,1),OFFSET($M$15,0,0,$B$8,1))=EP$14))   /   SUM(OFFSET($BO$15,0,0,$B$14,1)) + $B$18/($B$19*$B$19*($DN250&lt;&gt;$DO250) + $B$19*($DN250=$DO250))</f>
        <v>3.7037037037037035E-4</v>
      </c>
      <c r="EQ250" s="10" cm="1">
        <f t="array" aca="1" ref="EQ250" ca="1">(1-$B$18)*SUMPRODUCT(OFFSET($BO$15,0,0,$B$14,1), 1*(_xlfn._xlws.FILTER(OFFSET($O$15,0,$DN250,$B$8,1),OFFSET($M$15,0,0,$B$8,1))=EQ$13), 1*(_xlfn._xlws.FILTER(OFFSET($O$15,0,$DO250,$B$8,1),OFFSET($M$15,0,0,$B$8,1))=EQ$14))   /   SUM(OFFSET($BO$15,0,0,$B$14,1)) + $B$18/($B$19*$B$19*($DN250&lt;&gt;$DO250) + $B$19*($DN250=$DO250))</f>
        <v>3.7037037037037035E-4</v>
      </c>
      <c r="ER250" s="10" cm="1">
        <f t="array" aca="1" ref="ER250" ca="1">(1-$B$18)*SUMPRODUCT(OFFSET($BO$15,0,0,$B$14,1), 1*(_xlfn._xlws.FILTER(OFFSET($O$15,0,$DN250,$B$8,1),OFFSET($M$15,0,0,$B$8,1))=ER$13), 1*(_xlfn._xlws.FILTER(OFFSET($O$15,0,$DO250,$B$8,1),OFFSET($M$15,0,0,$B$8,1))=ER$14))   /   SUM(OFFSET($BO$15,0,0,$B$14,1)) + $B$18/($B$19*$B$19*($DN250&lt;&gt;$DO250) + $B$19*($DN250=$DO250))</f>
        <v>3.7037037037037035E-4</v>
      </c>
      <c r="ES250" s="10" cm="1">
        <f t="array" aca="1" ref="ES250" ca="1">(1-$B$18)*SUMPRODUCT(OFFSET($BO$15,0,0,$B$14,1), 1*(_xlfn._xlws.FILTER(OFFSET($O$15,0,$DN250,$B$8,1),OFFSET($M$15,0,0,$B$8,1))=ES$13), 1*(_xlfn._xlws.FILTER(OFFSET($O$15,0,$DO250,$B$8,1),OFFSET($M$15,0,0,$B$8,1))=ES$14))   /   SUM(OFFSET($BO$15,0,0,$B$14,1)) + $B$18/($B$19*$B$19*($DN250&lt;&gt;$DO250) + $B$19*($DN250=$DO250))</f>
        <v>3.7037037037037035E-4</v>
      </c>
      <c r="ET250" s="10" cm="1">
        <f t="array" aca="1" ref="ET250" ca="1">(1-$B$18)*SUMPRODUCT(OFFSET($BO$15,0,0,$B$14,1), 1*(_xlfn._xlws.FILTER(OFFSET($O$15,0,$DN250,$B$8,1),OFFSET($M$15,0,0,$B$8,1))=ET$13), 1*(_xlfn._xlws.FILTER(OFFSET($O$15,0,$DO250,$B$8,1),OFFSET($M$15,0,0,$B$8,1))=ET$14))   /   SUM(OFFSET($BO$15,0,0,$B$14,1)) + $B$18/($B$19*$B$19*($DN250&lt;&gt;$DO250) + $B$19*($DN250=$DO250))</f>
        <v>3.7037037037037035E-4</v>
      </c>
      <c r="EU250" s="10" cm="1">
        <f t="array" aca="1" ref="EU250" ca="1">(1-$B$18)*SUMPRODUCT(OFFSET($BO$15,0,0,$B$14,1), 1*(_xlfn._xlws.FILTER(OFFSET($O$15,0,$DN250,$B$8,1),OFFSET($M$15,0,0,$B$8,1))=EU$13), 1*(_xlfn._xlws.FILTER(OFFSET($O$15,0,$DO250,$B$8,1),OFFSET($M$15,0,0,$B$8,1))=EU$14))   /   SUM(OFFSET($BO$15,0,0,$B$14,1)) + $B$18/($B$19*$B$19*($DN250&lt;&gt;$DO250) + $B$19*($DN250=$DO250))</f>
        <v>3.7037037037037035E-4</v>
      </c>
      <c r="EV250" s="10" cm="1">
        <f t="array" aca="1" ref="EV250" ca="1">(1-$B$18)*SUMPRODUCT(OFFSET($BO$15,0,0,$B$14,1), 1*(_xlfn._xlws.FILTER(OFFSET($O$15,0,$DN250,$B$8,1),OFFSET($M$15,0,0,$B$8,1))=EV$13), 1*(_xlfn._xlws.FILTER(OFFSET($O$15,0,$DO250,$B$8,1),OFFSET($M$15,0,0,$B$8,1))=EV$14))   /   SUM(OFFSET($BO$15,0,0,$B$14,1)) + $B$18/($B$19*$B$19*($DN250&lt;&gt;$DO250) + $B$19*($DN250=$DO250))</f>
        <v>3.7037037037037035E-4</v>
      </c>
      <c r="EW250" s="10" cm="1">
        <f t="array" aca="1" ref="EW250" ca="1">(1-$B$18)*SUMPRODUCT(OFFSET($BO$15,0,0,$B$14,1), 1*(_xlfn._xlws.FILTER(OFFSET($O$15,0,$DN250,$B$8,1),OFFSET($M$15,0,0,$B$8,1))=EW$13), 1*(_xlfn._xlws.FILTER(OFFSET($O$15,0,$DO250,$B$8,1),OFFSET($M$15,0,0,$B$8,1))=EW$14))   /   SUM(OFFSET($BO$15,0,0,$B$14,1)) + $B$18/($B$19*$B$19*($DN250&lt;&gt;$DO250) + $B$19*($DN250=$DO250))</f>
        <v>3.7037037037037035E-4</v>
      </c>
      <c r="EX250" s="10" cm="1">
        <f t="array" aca="1" ref="EX250" ca="1">(1-$B$18)*SUMPRODUCT(OFFSET($BO$15,0,0,$B$14,1), 1*(_xlfn._xlws.FILTER(OFFSET($O$15,0,$DN250,$B$8,1),OFFSET($M$15,0,0,$B$8,1))=EX$13), 1*(_xlfn._xlws.FILTER(OFFSET($O$15,0,$DO250,$B$8,1),OFFSET($M$15,0,0,$B$8,1))=EX$14))   /   SUM(OFFSET($BO$15,0,0,$B$14,1)) + $B$18/($B$19*$B$19*($DN250&lt;&gt;$DO250) + $B$19*($DN250=$DO250))</f>
        <v>3.7037037037037035E-4</v>
      </c>
      <c r="EY250" s="10" cm="1">
        <f t="array" aca="1" ref="EY250" ca="1">(1-$B$18)*SUMPRODUCT(OFFSET($BO$15,0,0,$B$14,1), 1*(_xlfn._xlws.FILTER(OFFSET($O$15,0,$DN250,$B$8,1),OFFSET($M$15,0,0,$B$8,1))=EY$13), 1*(_xlfn._xlws.FILTER(OFFSET($O$15,0,$DO250,$B$8,1),OFFSET($M$15,0,0,$B$8,1))=EY$14))   /   SUM(OFFSET($BO$15,0,0,$B$14,1)) + $B$18/($B$19*$B$19*($DN250&lt;&gt;$DO250) + $B$19*($DN250=$DO250))</f>
        <v>3.7037037037037035E-4</v>
      </c>
      <c r="EZ250" s="10" cm="1">
        <f t="array" aca="1" ref="EZ250" ca="1">(1-$B$18)*SUMPRODUCT(OFFSET($BO$15,0,0,$B$14,1), 1*(_xlfn._xlws.FILTER(OFFSET($O$15,0,$DN250,$B$8,1),OFFSET($M$15,0,0,$B$8,1))=EZ$13), 1*(_xlfn._xlws.FILTER(OFFSET($O$15,0,$DO250,$B$8,1),OFFSET($M$15,0,0,$B$8,1))=EZ$14))   /   SUM(OFFSET($BO$15,0,0,$B$14,1)) + $B$18/($B$19*$B$19*($DN250&lt;&gt;$DO250) + $B$19*($DN250=$DO250))</f>
        <v>3.7037037037037035E-4</v>
      </c>
      <c r="FA250" s="10" cm="1">
        <f t="array" aca="1" ref="FA250" ca="1">(1-$B$18)*SUMPRODUCT(OFFSET($BO$15,0,0,$B$14,1), 1*(_xlfn._xlws.FILTER(OFFSET($O$15,0,$DN250,$B$8,1),OFFSET($M$15,0,0,$B$8,1))=FA$13), 1*(_xlfn._xlws.FILTER(OFFSET($O$15,0,$DO250,$B$8,1),OFFSET($M$15,0,0,$B$8,1))=FA$14))   /   SUM(OFFSET($BO$15,0,0,$B$14,1)) + $B$18/($B$19*$B$19*($DN250&lt;&gt;$DO250) + $B$19*($DN250=$DO250))</f>
        <v>3.7037037037037035E-4</v>
      </c>
      <c r="FB250" s="10" cm="1">
        <f t="array" aca="1" ref="FB250" ca="1">(1-$B$18)*SUMPRODUCT(OFFSET($BO$15,0,0,$B$14,1), 1*(_xlfn._xlws.FILTER(OFFSET($O$15,0,$DN250,$B$8,1),OFFSET($M$15,0,0,$B$8,1))=FB$13), 1*(_xlfn._xlws.FILTER(OFFSET($O$15,0,$DO250,$B$8,1),OFFSET($M$15,0,0,$B$8,1))=FB$14))   /   SUM(OFFSET($BO$15,0,0,$B$14,1)) + $B$18/($B$19*$B$19*($DN250&lt;&gt;$DO250) + $B$19*($DN250=$DO250))</f>
        <v>3.7037037037037035E-4</v>
      </c>
      <c r="FC250" s="10" cm="1">
        <f t="array" aca="1" ref="FC250" ca="1">(1-$B$18)*SUMPRODUCT(OFFSET($BO$15,0,0,$B$14,1), 1*(_xlfn._xlws.FILTER(OFFSET($O$15,0,$DN250,$B$8,1),OFFSET($M$15,0,0,$B$8,1))=FC$13), 1*(_xlfn._xlws.FILTER(OFFSET($O$15,0,$DO250,$B$8,1),OFFSET($M$15,0,0,$B$8,1))=FC$14))   /   SUM(OFFSET($BO$15,0,0,$B$14,1)) + $B$18/($B$19*$B$19*($DN250&lt;&gt;$DO250) + $B$19*($DN250=$DO250))</f>
        <v>3.7037037037037035E-4</v>
      </c>
      <c r="FD250" s="10" cm="1">
        <f t="array" aca="1" ref="FD250" ca="1">(1-$B$18)*SUMPRODUCT(OFFSET($BO$15,0,0,$B$14,1), 1*(_xlfn._xlws.FILTER(OFFSET($O$15,0,$DN250,$B$8,1),OFFSET($M$15,0,0,$B$8,1))=FD$13), 1*(_xlfn._xlws.FILTER(OFFSET($O$15,0,$DO250,$B$8,1),OFFSET($M$15,0,0,$B$8,1))=FD$14))   /   SUM(OFFSET($BO$15,0,0,$B$14,1)) + $B$18/($B$19*$B$19*($DN250&lt;&gt;$DO250) + $B$19*($DN250=$DO250))</f>
        <v>3.7037037037037035E-4</v>
      </c>
      <c r="FE250" s="10" cm="1">
        <f t="array" aca="1" ref="FE250" ca="1">(1-$B$18)*SUMPRODUCT(OFFSET($BO$15,0,0,$B$14,1), 1*(_xlfn._xlws.FILTER(OFFSET($O$15,0,$DN250,$B$8,1),OFFSET($M$15,0,0,$B$8,1))=FE$13), 1*(_xlfn._xlws.FILTER(OFFSET($O$15,0,$DO250,$B$8,1),OFFSET($M$15,0,0,$B$8,1))=FE$14))   /   SUM(OFFSET($BO$15,0,0,$B$14,1)) + $B$18/($B$19*$B$19*($DN250&lt;&gt;$DO250) + $B$19*($DN250=$DO250))</f>
        <v>3.7037037037037035E-4</v>
      </c>
      <c r="FF250" s="10" cm="1">
        <f t="array" aca="1" ref="FF250" ca="1">(1-$B$18)*SUMPRODUCT(OFFSET($BO$15,0,0,$B$14,1), 1*(_xlfn._xlws.FILTER(OFFSET($O$15,0,$DN250,$B$8,1),OFFSET($M$15,0,0,$B$8,1))=FF$13), 1*(_xlfn._xlws.FILTER(OFFSET($O$15,0,$DO250,$B$8,1),OFFSET($M$15,0,0,$B$8,1))=FF$14))   /   SUM(OFFSET($BO$15,0,0,$B$14,1)) + $B$18/($B$19*$B$19*($DN250&lt;&gt;$DO250) + $B$19*($DN250=$DO250))</f>
        <v>3.7037037037037035E-4</v>
      </c>
      <c r="FG250" s="10" cm="1">
        <f t="array" aca="1" ref="FG250" ca="1">(1-$B$18)*SUMPRODUCT(OFFSET($BO$15,0,0,$B$14,1), 1*(_xlfn._xlws.FILTER(OFFSET($O$15,0,$DN250,$B$8,1),OFFSET($M$15,0,0,$B$8,1))=FG$13), 1*(_xlfn._xlws.FILTER(OFFSET($O$15,0,$DO250,$B$8,1),OFFSET($M$15,0,0,$B$8,1))=FG$14))   /   SUM(OFFSET($BO$15,0,0,$B$14,1)) + $B$18/($B$19*$B$19*($DN250&lt;&gt;$DO250) + $B$19*($DN250=$DO250))</f>
        <v>3.7037037037037035E-4</v>
      </c>
      <c r="FH250" s="10" cm="1">
        <f t="array" aca="1" ref="FH250" ca="1">(1-$B$18)*SUMPRODUCT(OFFSET($BO$15,0,0,$B$14,1), 1*(_xlfn._xlws.FILTER(OFFSET($O$15,0,$DN250,$B$8,1),OFFSET($M$15,0,0,$B$8,1))=FH$13), 1*(_xlfn._xlws.FILTER(OFFSET($O$15,0,$DO250,$B$8,1),OFFSET($M$15,0,0,$B$8,1))=FH$14))   /   SUM(OFFSET($BO$15,0,0,$B$14,1)) + $B$18/($B$19*$B$19*($DN250&lt;&gt;$DO250) + $B$19*($DN250=$DO250))</f>
        <v>3.7037037037037035E-4</v>
      </c>
      <c r="FI250" s="10" cm="1">
        <f t="array" aca="1" ref="FI250" ca="1">(1-$B$18)*SUMPRODUCT(OFFSET($BO$15,0,0,$B$14,1), 1*(_xlfn._xlws.FILTER(OFFSET($O$15,0,$DN250,$B$8,1),OFFSET($M$15,0,0,$B$8,1))=FI$13), 1*(_xlfn._xlws.FILTER(OFFSET($O$15,0,$DO250,$B$8,1),OFFSET($M$15,0,0,$B$8,1))=FI$14))   /   SUM(OFFSET($BO$15,0,0,$B$14,1)) + $B$18/($B$19*$B$19*($DN250&lt;&gt;$DO250) + $B$19*($DN250=$DO250))</f>
        <v>3.7037037037037035E-4</v>
      </c>
      <c r="FJ250" s="10" cm="1">
        <f t="array" aca="1" ref="FJ250" ca="1">(1-$B$18)*SUMPRODUCT(OFFSET($BO$15,0,0,$B$14,1), 1*(_xlfn._xlws.FILTER(OFFSET($O$15,0,$DN250,$B$8,1),OFFSET($M$15,0,0,$B$8,1))=FJ$13), 1*(_xlfn._xlws.FILTER(OFFSET($O$15,0,$DO250,$B$8,1),OFFSET($M$15,0,0,$B$8,1))=FJ$14))   /   SUM(OFFSET($BO$15,0,0,$B$14,1)) + $B$18/($B$19*$B$19*($DN250&lt;&gt;$DO250) + $B$19*($DN250=$DO250))</f>
        <v>3.7037037037037035E-4</v>
      </c>
      <c r="FK250" s="10" cm="1">
        <f t="array" aca="1" ref="FK250" ca="1">(1-$B$18)*SUMPRODUCT(OFFSET($BO$15,0,0,$B$14,1), 1*(_xlfn._xlws.FILTER(OFFSET($O$15,0,$DN250,$B$8,1),OFFSET($M$15,0,0,$B$8,1))=FK$13), 1*(_xlfn._xlws.FILTER(OFFSET($O$15,0,$DO250,$B$8,1),OFFSET($M$15,0,0,$B$8,1))=FK$14))   /   SUM(OFFSET($BO$15,0,0,$B$14,1)) + $B$18/($B$19*$B$19*($DN250&lt;&gt;$DO250) + $B$19*($DN250=$DO250))</f>
        <v>3.7037037037037035E-4</v>
      </c>
      <c r="FL250" s="10" cm="1">
        <f t="array" aca="1" ref="FL250" ca="1">(1-$B$18)*SUMPRODUCT(OFFSET($BO$15,0,0,$B$14,1), 1*(_xlfn._xlws.FILTER(OFFSET($O$15,0,$DN250,$B$8,1),OFFSET($M$15,0,0,$B$8,1))=FL$13), 1*(_xlfn._xlws.FILTER(OFFSET($O$15,0,$DO250,$B$8,1),OFFSET($M$15,0,0,$B$8,1))=FL$14))   /   SUM(OFFSET($BO$15,0,0,$B$14,1)) + $B$18/($B$19*$B$19*($DN250&lt;&gt;$DO250) + $B$19*($DN250=$DO250))</f>
        <v>3.7037037037037035E-4</v>
      </c>
      <c r="FM250" s="10" cm="1">
        <f t="array" aca="1" ref="FM250" ca="1">(1-$B$18)*SUMPRODUCT(OFFSET($BO$15,0,0,$B$14,1), 1*(_xlfn._xlws.FILTER(OFFSET($O$15,0,$DN250,$B$8,1),OFFSET($M$15,0,0,$B$8,1))=FM$13), 1*(_xlfn._xlws.FILTER(OFFSET($O$15,0,$DO250,$B$8,1),OFFSET($M$15,0,0,$B$8,1))=FM$14))   /   SUM(OFFSET($BO$15,0,0,$B$14,1)) + $B$18/($B$19*$B$19*($DN250&lt;&gt;$DO250) + $B$19*($DN250=$DO250))</f>
        <v>3.7037037037037035E-4</v>
      </c>
      <c r="FN250" s="10" cm="1">
        <f t="array" aca="1" ref="FN250" ca="1">(1-$B$18)*SUMPRODUCT(OFFSET($BO$15,0,0,$B$14,1), 1*(_xlfn._xlws.FILTER(OFFSET($O$15,0,$DN250,$B$8,1),OFFSET($M$15,0,0,$B$8,1))=FN$13), 1*(_xlfn._xlws.FILTER(OFFSET($O$15,0,$DO250,$B$8,1),OFFSET($M$15,0,0,$B$8,1))=FN$14))   /   SUM(OFFSET($BO$15,0,0,$B$14,1)) + $B$18/($B$19*$B$19*($DN250&lt;&gt;$DO250) + $B$19*($DN250=$DO250))</f>
        <v>3.7037037037037035E-4</v>
      </c>
      <c r="FO250" s="10" cm="1">
        <f t="array" aca="1" ref="FO250" ca="1">(1-$B$18)*SUMPRODUCT(OFFSET($BO$15,0,0,$B$14,1), 1*(_xlfn._xlws.FILTER(OFFSET($O$15,0,$DN250,$B$8,1),OFFSET($M$15,0,0,$B$8,1))=FO$13), 1*(_xlfn._xlws.FILTER(OFFSET($O$15,0,$DO250,$B$8,1),OFFSET($M$15,0,0,$B$8,1))=FO$14))   /   SUM(OFFSET($BO$15,0,0,$B$14,1)) + $B$18/($B$19*$B$19*($DN250&lt;&gt;$DO250) + $B$19*($DN250=$DO250))</f>
        <v>3.7037037037037035E-4</v>
      </c>
      <c r="FP250" s="10" cm="1">
        <f t="array" aca="1" ref="FP250" ca="1">(1-$B$18)*SUMPRODUCT(OFFSET($BO$15,0,0,$B$14,1), 1*(_xlfn._xlws.FILTER(OFFSET($O$15,0,$DN250,$B$8,1),OFFSET($M$15,0,0,$B$8,1))=FP$13), 1*(_xlfn._xlws.FILTER(OFFSET($O$15,0,$DO250,$B$8,1),OFFSET($M$15,0,0,$B$8,1))=FP$14))   /   SUM(OFFSET($BO$15,0,0,$B$14,1)) + $B$18/($B$19*$B$19*($DN250&lt;&gt;$DO250) + $B$19*($DN250=$DO250))</f>
        <v>3.7037037037037035E-4</v>
      </c>
      <c r="FQ250" s="10" cm="1">
        <f t="array" aca="1" ref="FQ250" ca="1">(1-$B$18)*SUMPRODUCT(OFFSET($BO$15,0,0,$B$14,1), 1*(_xlfn._xlws.FILTER(OFFSET($O$15,0,$DN250,$B$8,1),OFFSET($M$15,0,0,$B$8,1))=FQ$13), 1*(_xlfn._xlws.FILTER(OFFSET($O$15,0,$DO250,$B$8,1),OFFSET($M$15,0,0,$B$8,1))=FQ$14))   /   SUM(OFFSET($BO$15,0,0,$B$14,1)) + $B$18/($B$19*$B$19*($DN250&lt;&gt;$DO250) + $B$19*($DN250=$DO250))</f>
        <v>3.7037037037037035E-4</v>
      </c>
      <c r="FR250" s="10" cm="1">
        <f t="array" aca="1" ref="FR250" ca="1">(1-$B$18)*SUMPRODUCT(OFFSET($BO$15,0,0,$B$14,1), 1*(_xlfn._xlws.FILTER(OFFSET($O$15,0,$DN250,$B$8,1),OFFSET($M$15,0,0,$B$8,1))=FR$13), 1*(_xlfn._xlws.FILTER(OFFSET($O$15,0,$DO250,$B$8,1),OFFSET($M$15,0,0,$B$8,1))=FR$14))   /   SUM(OFFSET($BO$15,0,0,$B$14,1)) + $B$18/($B$19*$B$19*($DN250&lt;&gt;$DO250) + $B$19*($DN250=$DO250))</f>
        <v>3.7037037037037035E-4</v>
      </c>
      <c r="FS250" s="10" cm="1">
        <f t="array" aca="1" ref="FS250" ca="1">(1-$B$18)*SUMPRODUCT(OFFSET($BO$15,0,0,$B$14,1), 1*(_xlfn._xlws.FILTER(OFFSET($O$15,0,$DN250,$B$8,1),OFFSET($M$15,0,0,$B$8,1))=FS$13), 1*(_xlfn._xlws.FILTER(OFFSET($O$15,0,$DO250,$B$8,1),OFFSET($M$15,0,0,$B$8,1))=FS$14))   /   SUM(OFFSET($BO$15,0,0,$B$14,1)) + $B$18/($B$19*$B$19*($DN250&lt;&gt;$DO250) + $B$19*($DN250=$DO250))</f>
        <v>3.7037037037037035E-4</v>
      </c>
      <c r="FT250" s="10" cm="1">
        <f t="array" aca="1" ref="FT250" ca="1">(1-$B$18)*SUMPRODUCT(OFFSET($BO$15,0,0,$B$14,1), 1*(_xlfn._xlws.FILTER(OFFSET($O$15,0,$DN250,$B$8,1),OFFSET($M$15,0,0,$B$8,1))=FT$13), 1*(_xlfn._xlws.FILTER(OFFSET($O$15,0,$DO250,$B$8,1),OFFSET($M$15,0,0,$B$8,1))=FT$14))   /   SUM(OFFSET($BO$15,0,0,$B$14,1)) + $B$18/($B$19*$B$19*($DN250&lt;&gt;$DO250) + $B$19*($DN250=$DO250))</f>
        <v>3.7037037037037035E-4</v>
      </c>
      <c r="FU250" s="10" cm="1">
        <f t="array" aca="1" ref="FU250" ca="1">(1-$B$18)*SUMPRODUCT(OFFSET($BO$15,0,0,$B$14,1), 1*(_xlfn._xlws.FILTER(OFFSET($O$15,0,$DN250,$B$8,1),OFFSET($M$15,0,0,$B$8,1))=FU$13), 1*(_xlfn._xlws.FILTER(OFFSET($O$15,0,$DO250,$B$8,1),OFFSET($M$15,0,0,$B$8,1))=FU$14))   /   SUM(OFFSET($BO$15,0,0,$B$14,1)) + $B$18/($B$19*$B$19*($DN250&lt;&gt;$DO250) + $B$19*($DN250=$DO250))</f>
        <v>3.7037037037037035E-4</v>
      </c>
      <c r="FV250" s="10" cm="1">
        <f t="array" aca="1" ref="FV250" ca="1">(1-$B$18)*SUMPRODUCT(OFFSET($BO$15,0,0,$B$14,1), 1*(_xlfn._xlws.FILTER(OFFSET($O$15,0,$DN250,$B$8,1),OFFSET($M$15,0,0,$B$8,1))=FV$13), 1*(_xlfn._xlws.FILTER(OFFSET($O$15,0,$DO250,$B$8,1),OFFSET($M$15,0,0,$B$8,1))=FV$14))   /   SUM(OFFSET($BO$15,0,0,$B$14,1)) + $B$18/($B$19*$B$19*($DN250&lt;&gt;$DO250) + $B$19*($DN250=$DO250))</f>
        <v>3.7037037037037035E-4</v>
      </c>
      <c r="FW250" s="10" cm="1">
        <f t="array" aca="1" ref="FW250" ca="1">(1-$B$18)*SUMPRODUCT(OFFSET($BO$15,0,0,$B$14,1), 1*(_xlfn._xlws.FILTER(OFFSET($O$15,0,$DN250,$B$8,1),OFFSET($M$15,0,0,$B$8,1))=FW$13), 1*(_xlfn._xlws.FILTER(OFFSET($O$15,0,$DO250,$B$8,1),OFFSET($M$15,0,0,$B$8,1))=FW$14))   /   SUM(OFFSET($BO$15,0,0,$B$14,1)) + $B$18/($B$19*$B$19*($DN250&lt;&gt;$DO250) + $B$19*($DN250=$DO250))</f>
        <v>3.7037037037037035E-4</v>
      </c>
      <c r="FX250" s="10" cm="1">
        <f t="array" aca="1" ref="FX250" ca="1">(1-$B$18)*SUMPRODUCT(OFFSET($BO$15,0,0,$B$14,1), 1*(_xlfn._xlws.FILTER(OFFSET($O$15,0,$DN250,$B$8,1),OFFSET($M$15,0,0,$B$8,1))=FX$13), 1*(_xlfn._xlws.FILTER(OFFSET($O$15,0,$DO250,$B$8,1),OFFSET($M$15,0,0,$B$8,1))=FX$14))   /   SUM(OFFSET($BO$15,0,0,$B$14,1)) + $B$18/($B$19*$B$19*($DN250&lt;&gt;$DO250) + $B$19*($DN250=$DO250))</f>
        <v>3.7037037037037035E-4</v>
      </c>
      <c r="FY250" s="10" cm="1">
        <f t="array" aca="1" ref="FY250" ca="1">(1-$B$18)*SUMPRODUCT(OFFSET($BO$15,0,0,$B$14,1), 1*(_xlfn._xlws.FILTER(OFFSET($O$15,0,$DN250,$B$8,1),OFFSET($M$15,0,0,$B$8,1))=FY$13), 1*(_xlfn._xlws.FILTER(OFFSET($O$15,0,$DO250,$B$8,1),OFFSET($M$15,0,0,$B$8,1))=FY$14))   /   SUM(OFFSET($BO$15,0,0,$B$14,1)) + $B$18/($B$19*$B$19*($DN250&lt;&gt;$DO250) + $B$19*($DN250=$DO250))</f>
        <v>3.7037037037037035E-4</v>
      </c>
      <c r="FZ250" s="10" cm="1">
        <f t="array" aca="1" ref="FZ250" ca="1">(1-$B$18)*SUMPRODUCT(OFFSET($BO$15,0,0,$B$14,1), 1*(_xlfn._xlws.FILTER(OFFSET($O$15,0,$DN250,$B$8,1),OFFSET($M$15,0,0,$B$8,1))=FZ$13), 1*(_xlfn._xlws.FILTER(OFFSET($O$15,0,$DO250,$B$8,1),OFFSET($M$15,0,0,$B$8,1))=FZ$14))   /   SUM(OFFSET($BO$15,0,0,$B$14,1)) + $B$18/($B$19*$B$19*($DN250&lt;&gt;$DO250) + $B$19*($DN250=$DO250))</f>
        <v>3.7037037037037035E-4</v>
      </c>
      <c r="GA250" s="10" cm="1">
        <f t="array" aca="1" ref="GA250" ca="1">(1-$B$18)*SUMPRODUCT(OFFSET($BO$15,0,0,$B$14,1), 1*(_xlfn._xlws.FILTER(OFFSET($O$15,0,$DN250,$B$8,1),OFFSET($M$15,0,0,$B$8,1))=GA$13), 1*(_xlfn._xlws.FILTER(OFFSET($O$15,0,$DO250,$B$8,1),OFFSET($M$15,0,0,$B$8,1))=GA$14))   /   SUM(OFFSET($BO$15,0,0,$B$14,1)) + $B$18/($B$19*$B$19*($DN250&lt;&gt;$DO250) + $B$19*($DN250=$DO250))</f>
        <v>3.7037037037037035E-4</v>
      </c>
    </row>
    <row r="251" spans="118:183" x14ac:dyDescent="0.2">
      <c r="DN251" cm="1">
        <f t="array" aca="1" ref="DN251" ca="1">INDEX(_xlfn.ANCHORARRAY($CP$15), 1 + INT((ROWS($DO$15:$DO251) - 1) / ROWS(_xlfn.ANCHORARRAY($CP$15))))</f>
        <v>13</v>
      </c>
      <c r="DO251" cm="1">
        <f t="array" aca="1" ref="DO251" ca="1">INDEX(_xlfn.ANCHORARRAY($CP$15),1+MOD(ROWS($DO$15:$DO251)-1,ROWS(_xlfn.ANCHORARRAY($CP$15))))</f>
        <v>8</v>
      </c>
      <c r="DP251" s="10" cm="1">
        <f t="array" aca="1" ref="DP251" ca="1">(1-$B$18)*SUMPRODUCT(OFFSET($BO$15,0,0,$B$14,1), 1*(_xlfn._xlws.FILTER(OFFSET($O$15,0,$DN251,$B$8,1),OFFSET($M$15,0,0,$B$8,1))=DP$13), 1*(_xlfn._xlws.FILTER(OFFSET($O$15,0,$DO251,$B$8,1),OFFSET($M$15,0,0,$B$8,1))=DP$14))   /   SUM(OFFSET($BO$15,0,0,$B$14,1)) + $B$18/($B$19*$B$19*($DN251&lt;&gt;$DO251) + $B$19*($DN251=$DO251))</f>
        <v>3.7037037037037035E-4</v>
      </c>
      <c r="DQ251" s="10" cm="1">
        <f t="array" aca="1" ref="DQ251" ca="1">(1-$B$18)*SUMPRODUCT(OFFSET($BO$15,0,0,$B$14,1), 1*(_xlfn._xlws.FILTER(OFFSET($O$15,0,$DN251,$B$8,1),OFFSET($M$15,0,0,$B$8,1))=DQ$13), 1*(_xlfn._xlws.FILTER(OFFSET($O$15,0,$DO251,$B$8,1),OFFSET($M$15,0,0,$B$8,1))=DQ$14))   /   SUM(OFFSET($BO$15,0,0,$B$14,1)) + $B$18/($B$19*$B$19*($DN251&lt;&gt;$DO251) + $B$19*($DN251=$DO251))</f>
        <v>3.7037037037037035E-4</v>
      </c>
      <c r="DR251" s="10" cm="1">
        <f t="array" aca="1" ref="DR251" ca="1">(1-$B$18)*SUMPRODUCT(OFFSET($BO$15,0,0,$B$14,1), 1*(_xlfn._xlws.FILTER(OFFSET($O$15,0,$DN251,$B$8,1),OFFSET($M$15,0,0,$B$8,1))=DR$13), 1*(_xlfn._xlws.FILTER(OFFSET($O$15,0,$DO251,$B$8,1),OFFSET($M$15,0,0,$B$8,1))=DR$14))   /   SUM(OFFSET($BO$15,0,0,$B$14,1)) + $B$18/($B$19*$B$19*($DN251&lt;&gt;$DO251) + $B$19*($DN251=$DO251))</f>
        <v>3.7037037037037035E-4</v>
      </c>
      <c r="DS251" s="10" cm="1">
        <f t="array" aca="1" ref="DS251" ca="1">(1-$B$18)*SUMPRODUCT(OFFSET($BO$15,0,0,$B$14,1), 1*(_xlfn._xlws.FILTER(OFFSET($O$15,0,$DN251,$B$8,1),OFFSET($M$15,0,0,$B$8,1))=DS$13), 1*(_xlfn._xlws.FILTER(OFFSET($O$15,0,$DO251,$B$8,1),OFFSET($M$15,0,0,$B$8,1))=DS$14))   /   SUM(OFFSET($BO$15,0,0,$B$14,1)) + $B$18/($B$19*$B$19*($DN251&lt;&gt;$DO251) + $B$19*($DN251=$DO251))</f>
        <v>3.7037037037037035E-4</v>
      </c>
      <c r="DT251" s="10" cm="1">
        <f t="array" aca="1" ref="DT251" ca="1">(1-$B$18)*SUMPRODUCT(OFFSET($BO$15,0,0,$B$14,1), 1*(_xlfn._xlws.FILTER(OFFSET($O$15,0,$DN251,$B$8,1),OFFSET($M$15,0,0,$B$8,1))=DT$13), 1*(_xlfn._xlws.FILTER(OFFSET($O$15,0,$DO251,$B$8,1),OFFSET($M$15,0,0,$B$8,1))=DT$14))   /   SUM(OFFSET($BO$15,0,0,$B$14,1)) + $B$18/($B$19*$B$19*($DN251&lt;&gt;$DO251) + $B$19*($DN251=$DO251))</f>
        <v>3.7037037037037035E-4</v>
      </c>
      <c r="DU251" s="10" cm="1">
        <f t="array" aca="1" ref="DU251" ca="1">(1-$B$18)*SUMPRODUCT(OFFSET($BO$15,0,0,$B$14,1), 1*(_xlfn._xlws.FILTER(OFFSET($O$15,0,$DN251,$B$8,1),OFFSET($M$15,0,0,$B$8,1))=DU$13), 1*(_xlfn._xlws.FILTER(OFFSET($O$15,0,$DO251,$B$8,1),OFFSET($M$15,0,0,$B$8,1))=DU$14))   /   SUM(OFFSET($BO$15,0,0,$B$14,1)) + $B$18/($B$19*$B$19*($DN251&lt;&gt;$DO251) + $B$19*($DN251=$DO251))</f>
        <v>3.7037037037037035E-4</v>
      </c>
      <c r="DV251" s="10" cm="1">
        <f t="array" aca="1" ref="DV251" ca="1">(1-$B$18)*SUMPRODUCT(OFFSET($BO$15,0,0,$B$14,1), 1*(_xlfn._xlws.FILTER(OFFSET($O$15,0,$DN251,$B$8,1),OFFSET($M$15,0,0,$B$8,1))=DV$13), 1*(_xlfn._xlws.FILTER(OFFSET($O$15,0,$DO251,$B$8,1),OFFSET($M$15,0,0,$B$8,1))=DV$14))   /   SUM(OFFSET($BO$15,0,0,$B$14,1)) + $B$18/($B$19*$B$19*($DN251&lt;&gt;$DO251) + $B$19*($DN251=$DO251))</f>
        <v>3.7037037037037035E-4</v>
      </c>
      <c r="DW251" s="10" cm="1">
        <f t="array" aca="1" ref="DW251" ca="1">(1-$B$18)*SUMPRODUCT(OFFSET($BO$15,0,0,$B$14,1), 1*(_xlfn._xlws.FILTER(OFFSET($O$15,0,$DN251,$B$8,1),OFFSET($M$15,0,0,$B$8,1))=DW$13), 1*(_xlfn._xlws.FILTER(OFFSET($O$15,0,$DO251,$B$8,1),OFFSET($M$15,0,0,$B$8,1))=DW$14))   /   SUM(OFFSET($BO$15,0,0,$B$14,1)) + $B$18/($B$19*$B$19*($DN251&lt;&gt;$DO251) + $B$19*($DN251=$DO251))</f>
        <v>3.7037037037037035E-4</v>
      </c>
      <c r="DX251" s="10" cm="1">
        <f t="array" aca="1" ref="DX251" ca="1">(1-$B$18)*SUMPRODUCT(OFFSET($BO$15,0,0,$B$14,1), 1*(_xlfn._xlws.FILTER(OFFSET($O$15,0,$DN251,$B$8,1),OFFSET($M$15,0,0,$B$8,1))=DX$13), 1*(_xlfn._xlws.FILTER(OFFSET($O$15,0,$DO251,$B$8,1),OFFSET($M$15,0,0,$B$8,1))=DX$14))   /   SUM(OFFSET($BO$15,0,0,$B$14,1)) + $B$18/($B$19*$B$19*($DN251&lt;&gt;$DO251) + $B$19*($DN251=$DO251))</f>
        <v>3.7037037037037035E-4</v>
      </c>
      <c r="DY251" s="10" cm="1">
        <f t="array" aca="1" ref="DY251" ca="1">(1-$B$18)*SUMPRODUCT(OFFSET($BO$15,0,0,$B$14,1), 1*(_xlfn._xlws.FILTER(OFFSET($O$15,0,$DN251,$B$8,1),OFFSET($M$15,0,0,$B$8,1))=DY$13), 1*(_xlfn._xlws.FILTER(OFFSET($O$15,0,$DO251,$B$8,1),OFFSET($M$15,0,0,$B$8,1))=DY$14))   /   SUM(OFFSET($BO$15,0,0,$B$14,1)) + $B$18/($B$19*$B$19*($DN251&lt;&gt;$DO251) + $B$19*($DN251=$DO251))</f>
        <v>3.7037037037037035E-4</v>
      </c>
      <c r="DZ251" s="10" cm="1">
        <f t="array" aca="1" ref="DZ251" ca="1">(1-$B$18)*SUMPRODUCT(OFFSET($BO$15,0,0,$B$14,1), 1*(_xlfn._xlws.FILTER(OFFSET($O$15,0,$DN251,$B$8,1),OFFSET($M$15,0,0,$B$8,1))=DZ$13), 1*(_xlfn._xlws.FILTER(OFFSET($O$15,0,$DO251,$B$8,1),OFFSET($M$15,0,0,$B$8,1))=DZ$14))   /   SUM(OFFSET($BO$15,0,0,$B$14,1)) + $B$18/($B$19*$B$19*($DN251&lt;&gt;$DO251) + $B$19*($DN251=$DO251))</f>
        <v>3.7037037037037035E-4</v>
      </c>
      <c r="EA251" s="10" cm="1">
        <f t="array" aca="1" ref="EA251" ca="1">(1-$B$18)*SUMPRODUCT(OFFSET($BO$15,0,0,$B$14,1), 1*(_xlfn._xlws.FILTER(OFFSET($O$15,0,$DN251,$B$8,1),OFFSET($M$15,0,0,$B$8,1))=EA$13), 1*(_xlfn._xlws.FILTER(OFFSET($O$15,0,$DO251,$B$8,1),OFFSET($M$15,0,0,$B$8,1))=EA$14))   /   SUM(OFFSET($BO$15,0,0,$B$14,1)) + $B$18/($B$19*$B$19*($DN251&lt;&gt;$DO251) + $B$19*($DN251=$DO251))</f>
        <v>3.7037037037037035E-4</v>
      </c>
      <c r="EB251" s="10" cm="1">
        <f t="array" aca="1" ref="EB251" ca="1">(1-$B$18)*SUMPRODUCT(OFFSET($BO$15,0,0,$B$14,1), 1*(_xlfn._xlws.FILTER(OFFSET($O$15,0,$DN251,$B$8,1),OFFSET($M$15,0,0,$B$8,1))=EB$13), 1*(_xlfn._xlws.FILTER(OFFSET($O$15,0,$DO251,$B$8,1),OFFSET($M$15,0,0,$B$8,1))=EB$14))   /   SUM(OFFSET($BO$15,0,0,$B$14,1)) + $B$18/($B$19*$B$19*($DN251&lt;&gt;$DO251) + $B$19*($DN251=$DO251))</f>
        <v>3.7037037037037035E-4</v>
      </c>
      <c r="EC251" s="10" cm="1">
        <f t="array" aca="1" ref="EC251" ca="1">(1-$B$18)*SUMPRODUCT(OFFSET($BO$15,0,0,$B$14,1), 1*(_xlfn._xlws.FILTER(OFFSET($O$15,0,$DN251,$B$8,1),OFFSET($M$15,0,0,$B$8,1))=EC$13), 1*(_xlfn._xlws.FILTER(OFFSET($O$15,0,$DO251,$B$8,1),OFFSET($M$15,0,0,$B$8,1))=EC$14))   /   SUM(OFFSET($BO$15,0,0,$B$14,1)) + $B$18/($B$19*$B$19*($DN251&lt;&gt;$DO251) + $B$19*($DN251=$DO251))</f>
        <v>3.7037037037037035E-4</v>
      </c>
      <c r="ED251" s="10" cm="1">
        <f t="array" aca="1" ref="ED251" ca="1">(1-$B$18)*SUMPRODUCT(OFFSET($BO$15,0,0,$B$14,1), 1*(_xlfn._xlws.FILTER(OFFSET($O$15,0,$DN251,$B$8,1),OFFSET($M$15,0,0,$B$8,1))=ED$13), 1*(_xlfn._xlws.FILTER(OFFSET($O$15,0,$DO251,$B$8,1),OFFSET($M$15,0,0,$B$8,1))=ED$14))   /   SUM(OFFSET($BO$15,0,0,$B$14,1)) + $B$18/($B$19*$B$19*($DN251&lt;&gt;$DO251) + $B$19*($DN251=$DO251))</f>
        <v>0.97037037037037033</v>
      </c>
      <c r="EE251" s="10" cm="1">
        <f t="array" aca="1" ref="EE251" ca="1">(1-$B$18)*SUMPRODUCT(OFFSET($BO$15,0,0,$B$14,1), 1*(_xlfn._xlws.FILTER(OFFSET($O$15,0,$DN251,$B$8,1),OFFSET($M$15,0,0,$B$8,1))=EE$13), 1*(_xlfn._xlws.FILTER(OFFSET($O$15,0,$DO251,$B$8,1),OFFSET($M$15,0,0,$B$8,1))=EE$14))   /   SUM(OFFSET($BO$15,0,0,$B$14,1)) + $B$18/($B$19*$B$19*($DN251&lt;&gt;$DO251) + $B$19*($DN251=$DO251))</f>
        <v>3.7037037037037035E-4</v>
      </c>
      <c r="EF251" s="10" cm="1">
        <f t="array" aca="1" ref="EF251" ca="1">(1-$B$18)*SUMPRODUCT(OFFSET($BO$15,0,0,$B$14,1), 1*(_xlfn._xlws.FILTER(OFFSET($O$15,0,$DN251,$B$8,1),OFFSET($M$15,0,0,$B$8,1))=EF$13), 1*(_xlfn._xlws.FILTER(OFFSET($O$15,0,$DO251,$B$8,1),OFFSET($M$15,0,0,$B$8,1))=EF$14))   /   SUM(OFFSET($BO$15,0,0,$B$14,1)) + $B$18/($B$19*$B$19*($DN251&lt;&gt;$DO251) + $B$19*($DN251=$DO251))</f>
        <v>3.7037037037037035E-4</v>
      </c>
      <c r="EG251" s="10" cm="1">
        <f t="array" aca="1" ref="EG251" ca="1">(1-$B$18)*SUMPRODUCT(OFFSET($BO$15,0,0,$B$14,1), 1*(_xlfn._xlws.FILTER(OFFSET($O$15,0,$DN251,$B$8,1),OFFSET($M$15,0,0,$B$8,1))=EG$13), 1*(_xlfn._xlws.FILTER(OFFSET($O$15,0,$DO251,$B$8,1),OFFSET($M$15,0,0,$B$8,1))=EG$14))   /   SUM(OFFSET($BO$15,0,0,$B$14,1)) + $B$18/($B$19*$B$19*($DN251&lt;&gt;$DO251) + $B$19*($DN251=$DO251))</f>
        <v>3.7037037037037035E-4</v>
      </c>
      <c r="EH251" s="10" cm="1">
        <f t="array" aca="1" ref="EH251" ca="1">(1-$B$18)*SUMPRODUCT(OFFSET($BO$15,0,0,$B$14,1), 1*(_xlfn._xlws.FILTER(OFFSET($O$15,0,$DN251,$B$8,1),OFFSET($M$15,0,0,$B$8,1))=EH$13), 1*(_xlfn._xlws.FILTER(OFFSET($O$15,0,$DO251,$B$8,1),OFFSET($M$15,0,0,$B$8,1))=EH$14))   /   SUM(OFFSET($BO$15,0,0,$B$14,1)) + $B$18/($B$19*$B$19*($DN251&lt;&gt;$DO251) + $B$19*($DN251=$DO251))</f>
        <v>3.7037037037037035E-4</v>
      </c>
      <c r="EI251" s="10" cm="1">
        <f t="array" aca="1" ref="EI251" ca="1">(1-$B$18)*SUMPRODUCT(OFFSET($BO$15,0,0,$B$14,1), 1*(_xlfn._xlws.FILTER(OFFSET($O$15,0,$DN251,$B$8,1),OFFSET($M$15,0,0,$B$8,1))=EI$13), 1*(_xlfn._xlws.FILTER(OFFSET($O$15,0,$DO251,$B$8,1),OFFSET($M$15,0,0,$B$8,1))=EI$14))   /   SUM(OFFSET($BO$15,0,0,$B$14,1)) + $B$18/($B$19*$B$19*($DN251&lt;&gt;$DO251) + $B$19*($DN251=$DO251))</f>
        <v>3.7037037037037035E-4</v>
      </c>
      <c r="EJ251" s="10" cm="1">
        <f t="array" aca="1" ref="EJ251" ca="1">(1-$B$18)*SUMPRODUCT(OFFSET($BO$15,0,0,$B$14,1), 1*(_xlfn._xlws.FILTER(OFFSET($O$15,0,$DN251,$B$8,1),OFFSET($M$15,0,0,$B$8,1))=EJ$13), 1*(_xlfn._xlws.FILTER(OFFSET($O$15,0,$DO251,$B$8,1),OFFSET($M$15,0,0,$B$8,1))=EJ$14))   /   SUM(OFFSET($BO$15,0,0,$B$14,1)) + $B$18/($B$19*$B$19*($DN251&lt;&gt;$DO251) + $B$19*($DN251=$DO251))</f>
        <v>3.7037037037037035E-4</v>
      </c>
      <c r="EK251" s="10" cm="1">
        <f t="array" aca="1" ref="EK251" ca="1">(1-$B$18)*SUMPRODUCT(OFFSET($BO$15,0,0,$B$14,1), 1*(_xlfn._xlws.FILTER(OFFSET($O$15,0,$DN251,$B$8,1),OFFSET($M$15,0,0,$B$8,1))=EK$13), 1*(_xlfn._xlws.FILTER(OFFSET($O$15,0,$DO251,$B$8,1),OFFSET($M$15,0,0,$B$8,1))=EK$14))   /   SUM(OFFSET($BO$15,0,0,$B$14,1)) + $B$18/($B$19*$B$19*($DN251&lt;&gt;$DO251) + $B$19*($DN251=$DO251))</f>
        <v>3.7037037037037035E-4</v>
      </c>
      <c r="EL251" s="10" cm="1">
        <f t="array" aca="1" ref="EL251" ca="1">(1-$B$18)*SUMPRODUCT(OFFSET($BO$15,0,0,$B$14,1), 1*(_xlfn._xlws.FILTER(OFFSET($O$15,0,$DN251,$B$8,1),OFFSET($M$15,0,0,$B$8,1))=EL$13), 1*(_xlfn._xlws.FILTER(OFFSET($O$15,0,$DO251,$B$8,1),OFFSET($M$15,0,0,$B$8,1))=EL$14))   /   SUM(OFFSET($BO$15,0,0,$B$14,1)) + $B$18/($B$19*$B$19*($DN251&lt;&gt;$DO251) + $B$19*($DN251=$DO251))</f>
        <v>3.7037037037037035E-4</v>
      </c>
      <c r="EM251" s="10" cm="1">
        <f t="array" aca="1" ref="EM251" ca="1">(1-$B$18)*SUMPRODUCT(OFFSET($BO$15,0,0,$B$14,1), 1*(_xlfn._xlws.FILTER(OFFSET($O$15,0,$DN251,$B$8,1),OFFSET($M$15,0,0,$B$8,1))=EM$13), 1*(_xlfn._xlws.FILTER(OFFSET($O$15,0,$DO251,$B$8,1),OFFSET($M$15,0,0,$B$8,1))=EM$14))   /   SUM(OFFSET($BO$15,0,0,$B$14,1)) + $B$18/($B$19*$B$19*($DN251&lt;&gt;$DO251) + $B$19*($DN251=$DO251))</f>
        <v>3.7037037037037035E-4</v>
      </c>
      <c r="EN251" s="10" cm="1">
        <f t="array" aca="1" ref="EN251" ca="1">(1-$B$18)*SUMPRODUCT(OFFSET($BO$15,0,0,$B$14,1), 1*(_xlfn._xlws.FILTER(OFFSET($O$15,0,$DN251,$B$8,1),OFFSET($M$15,0,0,$B$8,1))=EN$13), 1*(_xlfn._xlws.FILTER(OFFSET($O$15,0,$DO251,$B$8,1),OFFSET($M$15,0,0,$B$8,1))=EN$14))   /   SUM(OFFSET($BO$15,0,0,$B$14,1)) + $B$18/($B$19*$B$19*($DN251&lt;&gt;$DO251) + $B$19*($DN251=$DO251))</f>
        <v>3.7037037037037035E-4</v>
      </c>
      <c r="EO251" s="10" cm="1">
        <f t="array" aca="1" ref="EO251" ca="1">(1-$B$18)*SUMPRODUCT(OFFSET($BO$15,0,0,$B$14,1), 1*(_xlfn._xlws.FILTER(OFFSET($O$15,0,$DN251,$B$8,1),OFFSET($M$15,0,0,$B$8,1))=EO$13), 1*(_xlfn._xlws.FILTER(OFFSET($O$15,0,$DO251,$B$8,1),OFFSET($M$15,0,0,$B$8,1))=EO$14))   /   SUM(OFFSET($BO$15,0,0,$B$14,1)) + $B$18/($B$19*$B$19*($DN251&lt;&gt;$DO251) + $B$19*($DN251=$DO251))</f>
        <v>3.7037037037037035E-4</v>
      </c>
      <c r="EP251" s="10" cm="1">
        <f t="array" aca="1" ref="EP251" ca="1">(1-$B$18)*SUMPRODUCT(OFFSET($BO$15,0,0,$B$14,1), 1*(_xlfn._xlws.FILTER(OFFSET($O$15,0,$DN251,$B$8,1),OFFSET($M$15,0,0,$B$8,1))=EP$13), 1*(_xlfn._xlws.FILTER(OFFSET($O$15,0,$DO251,$B$8,1),OFFSET($M$15,0,0,$B$8,1))=EP$14))   /   SUM(OFFSET($BO$15,0,0,$B$14,1)) + $B$18/($B$19*$B$19*($DN251&lt;&gt;$DO251) + $B$19*($DN251=$DO251))</f>
        <v>3.7037037037037035E-4</v>
      </c>
      <c r="EQ251" s="10" cm="1">
        <f t="array" aca="1" ref="EQ251" ca="1">(1-$B$18)*SUMPRODUCT(OFFSET($BO$15,0,0,$B$14,1), 1*(_xlfn._xlws.FILTER(OFFSET($O$15,0,$DN251,$B$8,1),OFFSET($M$15,0,0,$B$8,1))=EQ$13), 1*(_xlfn._xlws.FILTER(OFFSET($O$15,0,$DO251,$B$8,1),OFFSET($M$15,0,0,$B$8,1))=EQ$14))   /   SUM(OFFSET($BO$15,0,0,$B$14,1)) + $B$18/($B$19*$B$19*($DN251&lt;&gt;$DO251) + $B$19*($DN251=$DO251))</f>
        <v>3.7037037037037035E-4</v>
      </c>
      <c r="ER251" s="10" cm="1">
        <f t="array" aca="1" ref="ER251" ca="1">(1-$B$18)*SUMPRODUCT(OFFSET($BO$15,0,0,$B$14,1), 1*(_xlfn._xlws.FILTER(OFFSET($O$15,0,$DN251,$B$8,1),OFFSET($M$15,0,0,$B$8,1))=ER$13), 1*(_xlfn._xlws.FILTER(OFFSET($O$15,0,$DO251,$B$8,1),OFFSET($M$15,0,0,$B$8,1))=ER$14))   /   SUM(OFFSET($BO$15,0,0,$B$14,1)) + $B$18/($B$19*$B$19*($DN251&lt;&gt;$DO251) + $B$19*($DN251=$DO251))</f>
        <v>3.7037037037037035E-4</v>
      </c>
      <c r="ES251" s="10" cm="1">
        <f t="array" aca="1" ref="ES251" ca="1">(1-$B$18)*SUMPRODUCT(OFFSET($BO$15,0,0,$B$14,1), 1*(_xlfn._xlws.FILTER(OFFSET($O$15,0,$DN251,$B$8,1),OFFSET($M$15,0,0,$B$8,1))=ES$13), 1*(_xlfn._xlws.FILTER(OFFSET($O$15,0,$DO251,$B$8,1),OFFSET($M$15,0,0,$B$8,1))=ES$14))   /   SUM(OFFSET($BO$15,0,0,$B$14,1)) + $B$18/($B$19*$B$19*($DN251&lt;&gt;$DO251) + $B$19*($DN251=$DO251))</f>
        <v>3.7037037037037035E-4</v>
      </c>
      <c r="ET251" s="10" cm="1">
        <f t="array" aca="1" ref="ET251" ca="1">(1-$B$18)*SUMPRODUCT(OFFSET($BO$15,0,0,$B$14,1), 1*(_xlfn._xlws.FILTER(OFFSET($O$15,0,$DN251,$B$8,1),OFFSET($M$15,0,0,$B$8,1))=ET$13), 1*(_xlfn._xlws.FILTER(OFFSET($O$15,0,$DO251,$B$8,1),OFFSET($M$15,0,0,$B$8,1))=ET$14))   /   SUM(OFFSET($BO$15,0,0,$B$14,1)) + $B$18/($B$19*$B$19*($DN251&lt;&gt;$DO251) + $B$19*($DN251=$DO251))</f>
        <v>3.7037037037037035E-4</v>
      </c>
      <c r="EU251" s="10" cm="1">
        <f t="array" aca="1" ref="EU251" ca="1">(1-$B$18)*SUMPRODUCT(OFFSET($BO$15,0,0,$B$14,1), 1*(_xlfn._xlws.FILTER(OFFSET($O$15,0,$DN251,$B$8,1),OFFSET($M$15,0,0,$B$8,1))=EU$13), 1*(_xlfn._xlws.FILTER(OFFSET($O$15,0,$DO251,$B$8,1),OFFSET($M$15,0,0,$B$8,1))=EU$14))   /   SUM(OFFSET($BO$15,0,0,$B$14,1)) + $B$18/($B$19*$B$19*($DN251&lt;&gt;$DO251) + $B$19*($DN251=$DO251))</f>
        <v>3.7037037037037035E-4</v>
      </c>
      <c r="EV251" s="10" cm="1">
        <f t="array" aca="1" ref="EV251" ca="1">(1-$B$18)*SUMPRODUCT(OFFSET($BO$15,0,0,$B$14,1), 1*(_xlfn._xlws.FILTER(OFFSET($O$15,0,$DN251,$B$8,1),OFFSET($M$15,0,0,$B$8,1))=EV$13), 1*(_xlfn._xlws.FILTER(OFFSET($O$15,0,$DO251,$B$8,1),OFFSET($M$15,0,0,$B$8,1))=EV$14))   /   SUM(OFFSET($BO$15,0,0,$B$14,1)) + $B$18/($B$19*$B$19*($DN251&lt;&gt;$DO251) + $B$19*($DN251=$DO251))</f>
        <v>3.7037037037037035E-4</v>
      </c>
      <c r="EW251" s="10" cm="1">
        <f t="array" aca="1" ref="EW251" ca="1">(1-$B$18)*SUMPRODUCT(OFFSET($BO$15,0,0,$B$14,1), 1*(_xlfn._xlws.FILTER(OFFSET($O$15,0,$DN251,$B$8,1),OFFSET($M$15,0,0,$B$8,1))=EW$13), 1*(_xlfn._xlws.FILTER(OFFSET($O$15,0,$DO251,$B$8,1),OFFSET($M$15,0,0,$B$8,1))=EW$14))   /   SUM(OFFSET($BO$15,0,0,$B$14,1)) + $B$18/($B$19*$B$19*($DN251&lt;&gt;$DO251) + $B$19*($DN251=$DO251))</f>
        <v>3.7037037037037035E-4</v>
      </c>
      <c r="EX251" s="10" cm="1">
        <f t="array" aca="1" ref="EX251" ca="1">(1-$B$18)*SUMPRODUCT(OFFSET($BO$15,0,0,$B$14,1), 1*(_xlfn._xlws.FILTER(OFFSET($O$15,0,$DN251,$B$8,1),OFFSET($M$15,0,0,$B$8,1))=EX$13), 1*(_xlfn._xlws.FILTER(OFFSET($O$15,0,$DO251,$B$8,1),OFFSET($M$15,0,0,$B$8,1))=EX$14))   /   SUM(OFFSET($BO$15,0,0,$B$14,1)) + $B$18/($B$19*$B$19*($DN251&lt;&gt;$DO251) + $B$19*($DN251=$DO251))</f>
        <v>3.7037037037037035E-4</v>
      </c>
      <c r="EY251" s="10" cm="1">
        <f t="array" aca="1" ref="EY251" ca="1">(1-$B$18)*SUMPRODUCT(OFFSET($BO$15,0,0,$B$14,1), 1*(_xlfn._xlws.FILTER(OFFSET($O$15,0,$DN251,$B$8,1),OFFSET($M$15,0,0,$B$8,1))=EY$13), 1*(_xlfn._xlws.FILTER(OFFSET($O$15,0,$DO251,$B$8,1),OFFSET($M$15,0,0,$B$8,1))=EY$14))   /   SUM(OFFSET($BO$15,0,0,$B$14,1)) + $B$18/($B$19*$B$19*($DN251&lt;&gt;$DO251) + $B$19*($DN251=$DO251))</f>
        <v>3.7037037037037035E-4</v>
      </c>
      <c r="EZ251" s="10" cm="1">
        <f t="array" aca="1" ref="EZ251" ca="1">(1-$B$18)*SUMPRODUCT(OFFSET($BO$15,0,0,$B$14,1), 1*(_xlfn._xlws.FILTER(OFFSET($O$15,0,$DN251,$B$8,1),OFFSET($M$15,0,0,$B$8,1))=EZ$13), 1*(_xlfn._xlws.FILTER(OFFSET($O$15,0,$DO251,$B$8,1),OFFSET($M$15,0,0,$B$8,1))=EZ$14))   /   SUM(OFFSET($BO$15,0,0,$B$14,1)) + $B$18/($B$19*$B$19*($DN251&lt;&gt;$DO251) + $B$19*($DN251=$DO251))</f>
        <v>3.7037037037037035E-4</v>
      </c>
      <c r="FA251" s="10" cm="1">
        <f t="array" aca="1" ref="FA251" ca="1">(1-$B$18)*SUMPRODUCT(OFFSET($BO$15,0,0,$B$14,1), 1*(_xlfn._xlws.FILTER(OFFSET($O$15,0,$DN251,$B$8,1),OFFSET($M$15,0,0,$B$8,1))=FA$13), 1*(_xlfn._xlws.FILTER(OFFSET($O$15,0,$DO251,$B$8,1),OFFSET($M$15,0,0,$B$8,1))=FA$14))   /   SUM(OFFSET($BO$15,0,0,$B$14,1)) + $B$18/($B$19*$B$19*($DN251&lt;&gt;$DO251) + $B$19*($DN251=$DO251))</f>
        <v>3.7037037037037035E-4</v>
      </c>
      <c r="FB251" s="10" cm="1">
        <f t="array" aca="1" ref="FB251" ca="1">(1-$B$18)*SUMPRODUCT(OFFSET($BO$15,0,0,$B$14,1), 1*(_xlfn._xlws.FILTER(OFFSET($O$15,0,$DN251,$B$8,1),OFFSET($M$15,0,0,$B$8,1))=FB$13), 1*(_xlfn._xlws.FILTER(OFFSET($O$15,0,$DO251,$B$8,1),OFFSET($M$15,0,0,$B$8,1))=FB$14))   /   SUM(OFFSET($BO$15,0,0,$B$14,1)) + $B$18/($B$19*$B$19*($DN251&lt;&gt;$DO251) + $B$19*($DN251=$DO251))</f>
        <v>3.7037037037037035E-4</v>
      </c>
      <c r="FC251" s="10" cm="1">
        <f t="array" aca="1" ref="FC251" ca="1">(1-$B$18)*SUMPRODUCT(OFFSET($BO$15,0,0,$B$14,1), 1*(_xlfn._xlws.FILTER(OFFSET($O$15,0,$DN251,$B$8,1),OFFSET($M$15,0,0,$B$8,1))=FC$13), 1*(_xlfn._xlws.FILTER(OFFSET($O$15,0,$DO251,$B$8,1),OFFSET($M$15,0,0,$B$8,1))=FC$14))   /   SUM(OFFSET($BO$15,0,0,$B$14,1)) + $B$18/($B$19*$B$19*($DN251&lt;&gt;$DO251) + $B$19*($DN251=$DO251))</f>
        <v>3.7037037037037035E-4</v>
      </c>
      <c r="FD251" s="10" cm="1">
        <f t="array" aca="1" ref="FD251" ca="1">(1-$B$18)*SUMPRODUCT(OFFSET($BO$15,0,0,$B$14,1), 1*(_xlfn._xlws.FILTER(OFFSET($O$15,0,$DN251,$B$8,1),OFFSET($M$15,0,0,$B$8,1))=FD$13), 1*(_xlfn._xlws.FILTER(OFFSET($O$15,0,$DO251,$B$8,1),OFFSET($M$15,0,0,$B$8,1))=FD$14))   /   SUM(OFFSET($BO$15,0,0,$B$14,1)) + $B$18/($B$19*$B$19*($DN251&lt;&gt;$DO251) + $B$19*($DN251=$DO251))</f>
        <v>3.7037037037037035E-4</v>
      </c>
      <c r="FE251" s="10" cm="1">
        <f t="array" aca="1" ref="FE251" ca="1">(1-$B$18)*SUMPRODUCT(OFFSET($BO$15,0,0,$B$14,1), 1*(_xlfn._xlws.FILTER(OFFSET($O$15,0,$DN251,$B$8,1),OFFSET($M$15,0,0,$B$8,1))=FE$13), 1*(_xlfn._xlws.FILTER(OFFSET($O$15,0,$DO251,$B$8,1),OFFSET($M$15,0,0,$B$8,1))=FE$14))   /   SUM(OFFSET($BO$15,0,0,$B$14,1)) + $B$18/($B$19*$B$19*($DN251&lt;&gt;$DO251) + $B$19*($DN251=$DO251))</f>
        <v>3.7037037037037035E-4</v>
      </c>
      <c r="FF251" s="10" cm="1">
        <f t="array" aca="1" ref="FF251" ca="1">(1-$B$18)*SUMPRODUCT(OFFSET($BO$15,0,0,$B$14,1), 1*(_xlfn._xlws.FILTER(OFFSET($O$15,0,$DN251,$B$8,1),OFFSET($M$15,0,0,$B$8,1))=FF$13), 1*(_xlfn._xlws.FILTER(OFFSET($O$15,0,$DO251,$B$8,1),OFFSET($M$15,0,0,$B$8,1))=FF$14))   /   SUM(OFFSET($BO$15,0,0,$B$14,1)) + $B$18/($B$19*$B$19*($DN251&lt;&gt;$DO251) + $B$19*($DN251=$DO251))</f>
        <v>3.7037037037037035E-4</v>
      </c>
      <c r="FG251" s="10" cm="1">
        <f t="array" aca="1" ref="FG251" ca="1">(1-$B$18)*SUMPRODUCT(OFFSET($BO$15,0,0,$B$14,1), 1*(_xlfn._xlws.FILTER(OFFSET($O$15,0,$DN251,$B$8,1),OFFSET($M$15,0,0,$B$8,1))=FG$13), 1*(_xlfn._xlws.FILTER(OFFSET($O$15,0,$DO251,$B$8,1),OFFSET($M$15,0,0,$B$8,1))=FG$14))   /   SUM(OFFSET($BO$15,0,0,$B$14,1)) + $B$18/($B$19*$B$19*($DN251&lt;&gt;$DO251) + $B$19*($DN251=$DO251))</f>
        <v>3.7037037037037035E-4</v>
      </c>
      <c r="FH251" s="10" cm="1">
        <f t="array" aca="1" ref="FH251" ca="1">(1-$B$18)*SUMPRODUCT(OFFSET($BO$15,0,0,$B$14,1), 1*(_xlfn._xlws.FILTER(OFFSET($O$15,0,$DN251,$B$8,1),OFFSET($M$15,0,0,$B$8,1))=FH$13), 1*(_xlfn._xlws.FILTER(OFFSET($O$15,0,$DO251,$B$8,1),OFFSET($M$15,0,0,$B$8,1))=FH$14))   /   SUM(OFFSET($BO$15,0,0,$B$14,1)) + $B$18/($B$19*$B$19*($DN251&lt;&gt;$DO251) + $B$19*($DN251=$DO251))</f>
        <v>3.7037037037037035E-4</v>
      </c>
      <c r="FI251" s="10" cm="1">
        <f t="array" aca="1" ref="FI251" ca="1">(1-$B$18)*SUMPRODUCT(OFFSET($BO$15,0,0,$B$14,1), 1*(_xlfn._xlws.FILTER(OFFSET($O$15,0,$DN251,$B$8,1),OFFSET($M$15,0,0,$B$8,1))=FI$13), 1*(_xlfn._xlws.FILTER(OFFSET($O$15,0,$DO251,$B$8,1),OFFSET($M$15,0,0,$B$8,1))=FI$14))   /   SUM(OFFSET($BO$15,0,0,$B$14,1)) + $B$18/($B$19*$B$19*($DN251&lt;&gt;$DO251) + $B$19*($DN251=$DO251))</f>
        <v>3.7037037037037035E-4</v>
      </c>
      <c r="FJ251" s="10" cm="1">
        <f t="array" aca="1" ref="FJ251" ca="1">(1-$B$18)*SUMPRODUCT(OFFSET($BO$15,0,0,$B$14,1), 1*(_xlfn._xlws.FILTER(OFFSET($O$15,0,$DN251,$B$8,1),OFFSET($M$15,0,0,$B$8,1))=FJ$13), 1*(_xlfn._xlws.FILTER(OFFSET($O$15,0,$DO251,$B$8,1),OFFSET($M$15,0,0,$B$8,1))=FJ$14))   /   SUM(OFFSET($BO$15,0,0,$B$14,1)) + $B$18/($B$19*$B$19*($DN251&lt;&gt;$DO251) + $B$19*($DN251=$DO251))</f>
        <v>3.7037037037037035E-4</v>
      </c>
      <c r="FK251" s="10" cm="1">
        <f t="array" aca="1" ref="FK251" ca="1">(1-$B$18)*SUMPRODUCT(OFFSET($BO$15,0,0,$B$14,1), 1*(_xlfn._xlws.FILTER(OFFSET($O$15,0,$DN251,$B$8,1),OFFSET($M$15,0,0,$B$8,1))=FK$13), 1*(_xlfn._xlws.FILTER(OFFSET($O$15,0,$DO251,$B$8,1),OFFSET($M$15,0,0,$B$8,1))=FK$14))   /   SUM(OFFSET($BO$15,0,0,$B$14,1)) + $B$18/($B$19*$B$19*($DN251&lt;&gt;$DO251) + $B$19*($DN251=$DO251))</f>
        <v>3.7037037037037035E-4</v>
      </c>
      <c r="FL251" s="10" cm="1">
        <f t="array" aca="1" ref="FL251" ca="1">(1-$B$18)*SUMPRODUCT(OFFSET($BO$15,0,0,$B$14,1), 1*(_xlfn._xlws.FILTER(OFFSET($O$15,0,$DN251,$B$8,1),OFFSET($M$15,0,0,$B$8,1))=FL$13), 1*(_xlfn._xlws.FILTER(OFFSET($O$15,0,$DO251,$B$8,1),OFFSET($M$15,0,0,$B$8,1))=FL$14))   /   SUM(OFFSET($BO$15,0,0,$B$14,1)) + $B$18/($B$19*$B$19*($DN251&lt;&gt;$DO251) + $B$19*($DN251=$DO251))</f>
        <v>3.7037037037037035E-4</v>
      </c>
      <c r="FM251" s="10" cm="1">
        <f t="array" aca="1" ref="FM251" ca="1">(1-$B$18)*SUMPRODUCT(OFFSET($BO$15,0,0,$B$14,1), 1*(_xlfn._xlws.FILTER(OFFSET($O$15,0,$DN251,$B$8,1),OFFSET($M$15,0,0,$B$8,1))=FM$13), 1*(_xlfn._xlws.FILTER(OFFSET($O$15,0,$DO251,$B$8,1),OFFSET($M$15,0,0,$B$8,1))=FM$14))   /   SUM(OFFSET($BO$15,0,0,$B$14,1)) + $B$18/($B$19*$B$19*($DN251&lt;&gt;$DO251) + $B$19*($DN251=$DO251))</f>
        <v>3.7037037037037035E-4</v>
      </c>
      <c r="FN251" s="10" cm="1">
        <f t="array" aca="1" ref="FN251" ca="1">(1-$B$18)*SUMPRODUCT(OFFSET($BO$15,0,0,$B$14,1), 1*(_xlfn._xlws.FILTER(OFFSET($O$15,0,$DN251,$B$8,1),OFFSET($M$15,0,0,$B$8,1))=FN$13), 1*(_xlfn._xlws.FILTER(OFFSET($O$15,0,$DO251,$B$8,1),OFFSET($M$15,0,0,$B$8,1))=FN$14))   /   SUM(OFFSET($BO$15,0,0,$B$14,1)) + $B$18/($B$19*$B$19*($DN251&lt;&gt;$DO251) + $B$19*($DN251=$DO251))</f>
        <v>3.7037037037037035E-4</v>
      </c>
      <c r="FO251" s="10" cm="1">
        <f t="array" aca="1" ref="FO251" ca="1">(1-$B$18)*SUMPRODUCT(OFFSET($BO$15,0,0,$B$14,1), 1*(_xlfn._xlws.FILTER(OFFSET($O$15,0,$DN251,$B$8,1),OFFSET($M$15,0,0,$B$8,1))=FO$13), 1*(_xlfn._xlws.FILTER(OFFSET($O$15,0,$DO251,$B$8,1),OFFSET($M$15,0,0,$B$8,1))=FO$14))   /   SUM(OFFSET($BO$15,0,0,$B$14,1)) + $B$18/($B$19*$B$19*($DN251&lt;&gt;$DO251) + $B$19*($DN251=$DO251))</f>
        <v>3.7037037037037035E-4</v>
      </c>
      <c r="FP251" s="10" cm="1">
        <f t="array" aca="1" ref="FP251" ca="1">(1-$B$18)*SUMPRODUCT(OFFSET($BO$15,0,0,$B$14,1), 1*(_xlfn._xlws.FILTER(OFFSET($O$15,0,$DN251,$B$8,1),OFFSET($M$15,0,0,$B$8,1))=FP$13), 1*(_xlfn._xlws.FILTER(OFFSET($O$15,0,$DO251,$B$8,1),OFFSET($M$15,0,0,$B$8,1))=FP$14))   /   SUM(OFFSET($BO$15,0,0,$B$14,1)) + $B$18/($B$19*$B$19*($DN251&lt;&gt;$DO251) + $B$19*($DN251=$DO251))</f>
        <v>3.7037037037037035E-4</v>
      </c>
      <c r="FQ251" s="10" cm="1">
        <f t="array" aca="1" ref="FQ251" ca="1">(1-$B$18)*SUMPRODUCT(OFFSET($BO$15,0,0,$B$14,1), 1*(_xlfn._xlws.FILTER(OFFSET($O$15,0,$DN251,$B$8,1),OFFSET($M$15,0,0,$B$8,1))=FQ$13), 1*(_xlfn._xlws.FILTER(OFFSET($O$15,0,$DO251,$B$8,1),OFFSET($M$15,0,0,$B$8,1))=FQ$14))   /   SUM(OFFSET($BO$15,0,0,$B$14,1)) + $B$18/($B$19*$B$19*($DN251&lt;&gt;$DO251) + $B$19*($DN251=$DO251))</f>
        <v>3.7037037037037035E-4</v>
      </c>
      <c r="FR251" s="10" cm="1">
        <f t="array" aca="1" ref="FR251" ca="1">(1-$B$18)*SUMPRODUCT(OFFSET($BO$15,0,0,$B$14,1), 1*(_xlfn._xlws.FILTER(OFFSET($O$15,0,$DN251,$B$8,1),OFFSET($M$15,0,0,$B$8,1))=FR$13), 1*(_xlfn._xlws.FILTER(OFFSET($O$15,0,$DO251,$B$8,1),OFFSET($M$15,0,0,$B$8,1))=FR$14))   /   SUM(OFFSET($BO$15,0,0,$B$14,1)) + $B$18/($B$19*$B$19*($DN251&lt;&gt;$DO251) + $B$19*($DN251=$DO251))</f>
        <v>3.7037037037037035E-4</v>
      </c>
      <c r="FS251" s="10" cm="1">
        <f t="array" aca="1" ref="FS251" ca="1">(1-$B$18)*SUMPRODUCT(OFFSET($BO$15,0,0,$B$14,1), 1*(_xlfn._xlws.FILTER(OFFSET($O$15,0,$DN251,$B$8,1),OFFSET($M$15,0,0,$B$8,1))=FS$13), 1*(_xlfn._xlws.FILTER(OFFSET($O$15,0,$DO251,$B$8,1),OFFSET($M$15,0,0,$B$8,1))=FS$14))   /   SUM(OFFSET($BO$15,0,0,$B$14,1)) + $B$18/($B$19*$B$19*($DN251&lt;&gt;$DO251) + $B$19*($DN251=$DO251))</f>
        <v>3.7037037037037035E-4</v>
      </c>
      <c r="FT251" s="10" cm="1">
        <f t="array" aca="1" ref="FT251" ca="1">(1-$B$18)*SUMPRODUCT(OFFSET($BO$15,0,0,$B$14,1), 1*(_xlfn._xlws.FILTER(OFFSET($O$15,0,$DN251,$B$8,1),OFFSET($M$15,0,0,$B$8,1))=FT$13), 1*(_xlfn._xlws.FILTER(OFFSET($O$15,0,$DO251,$B$8,1),OFFSET($M$15,0,0,$B$8,1))=FT$14))   /   SUM(OFFSET($BO$15,0,0,$B$14,1)) + $B$18/($B$19*$B$19*($DN251&lt;&gt;$DO251) + $B$19*($DN251=$DO251))</f>
        <v>3.7037037037037035E-4</v>
      </c>
      <c r="FU251" s="10" cm="1">
        <f t="array" aca="1" ref="FU251" ca="1">(1-$B$18)*SUMPRODUCT(OFFSET($BO$15,0,0,$B$14,1), 1*(_xlfn._xlws.FILTER(OFFSET($O$15,0,$DN251,$B$8,1),OFFSET($M$15,0,0,$B$8,1))=FU$13), 1*(_xlfn._xlws.FILTER(OFFSET($O$15,0,$DO251,$B$8,1),OFFSET($M$15,0,0,$B$8,1))=FU$14))   /   SUM(OFFSET($BO$15,0,0,$B$14,1)) + $B$18/($B$19*$B$19*($DN251&lt;&gt;$DO251) + $B$19*($DN251=$DO251))</f>
        <v>3.7037037037037035E-4</v>
      </c>
      <c r="FV251" s="10" cm="1">
        <f t="array" aca="1" ref="FV251" ca="1">(1-$B$18)*SUMPRODUCT(OFFSET($BO$15,0,0,$B$14,1), 1*(_xlfn._xlws.FILTER(OFFSET($O$15,0,$DN251,$B$8,1),OFFSET($M$15,0,0,$B$8,1))=FV$13), 1*(_xlfn._xlws.FILTER(OFFSET($O$15,0,$DO251,$B$8,1),OFFSET($M$15,0,0,$B$8,1))=FV$14))   /   SUM(OFFSET($BO$15,0,0,$B$14,1)) + $B$18/($B$19*$B$19*($DN251&lt;&gt;$DO251) + $B$19*($DN251=$DO251))</f>
        <v>3.7037037037037035E-4</v>
      </c>
      <c r="FW251" s="10" cm="1">
        <f t="array" aca="1" ref="FW251" ca="1">(1-$B$18)*SUMPRODUCT(OFFSET($BO$15,0,0,$B$14,1), 1*(_xlfn._xlws.FILTER(OFFSET($O$15,0,$DN251,$B$8,1),OFFSET($M$15,0,0,$B$8,1))=FW$13), 1*(_xlfn._xlws.FILTER(OFFSET($O$15,0,$DO251,$B$8,1),OFFSET($M$15,0,0,$B$8,1))=FW$14))   /   SUM(OFFSET($BO$15,0,0,$B$14,1)) + $B$18/($B$19*$B$19*($DN251&lt;&gt;$DO251) + $B$19*($DN251=$DO251))</f>
        <v>3.7037037037037035E-4</v>
      </c>
      <c r="FX251" s="10" cm="1">
        <f t="array" aca="1" ref="FX251" ca="1">(1-$B$18)*SUMPRODUCT(OFFSET($BO$15,0,0,$B$14,1), 1*(_xlfn._xlws.FILTER(OFFSET($O$15,0,$DN251,$B$8,1),OFFSET($M$15,0,0,$B$8,1))=FX$13), 1*(_xlfn._xlws.FILTER(OFFSET($O$15,0,$DO251,$B$8,1),OFFSET($M$15,0,0,$B$8,1))=FX$14))   /   SUM(OFFSET($BO$15,0,0,$B$14,1)) + $B$18/($B$19*$B$19*($DN251&lt;&gt;$DO251) + $B$19*($DN251=$DO251))</f>
        <v>3.7037037037037035E-4</v>
      </c>
      <c r="FY251" s="10" cm="1">
        <f t="array" aca="1" ref="FY251" ca="1">(1-$B$18)*SUMPRODUCT(OFFSET($BO$15,0,0,$B$14,1), 1*(_xlfn._xlws.FILTER(OFFSET($O$15,0,$DN251,$B$8,1),OFFSET($M$15,0,0,$B$8,1))=FY$13), 1*(_xlfn._xlws.FILTER(OFFSET($O$15,0,$DO251,$B$8,1),OFFSET($M$15,0,0,$B$8,1))=FY$14))   /   SUM(OFFSET($BO$15,0,0,$B$14,1)) + $B$18/($B$19*$B$19*($DN251&lt;&gt;$DO251) + $B$19*($DN251=$DO251))</f>
        <v>3.7037037037037035E-4</v>
      </c>
      <c r="FZ251" s="10" cm="1">
        <f t="array" aca="1" ref="FZ251" ca="1">(1-$B$18)*SUMPRODUCT(OFFSET($BO$15,0,0,$B$14,1), 1*(_xlfn._xlws.FILTER(OFFSET($O$15,0,$DN251,$B$8,1),OFFSET($M$15,0,0,$B$8,1))=FZ$13), 1*(_xlfn._xlws.FILTER(OFFSET($O$15,0,$DO251,$B$8,1),OFFSET($M$15,0,0,$B$8,1))=FZ$14))   /   SUM(OFFSET($BO$15,0,0,$B$14,1)) + $B$18/($B$19*$B$19*($DN251&lt;&gt;$DO251) + $B$19*($DN251=$DO251))</f>
        <v>3.7037037037037035E-4</v>
      </c>
      <c r="GA251" s="10" cm="1">
        <f t="array" aca="1" ref="GA251" ca="1">(1-$B$18)*SUMPRODUCT(OFFSET($BO$15,0,0,$B$14,1), 1*(_xlfn._xlws.FILTER(OFFSET($O$15,0,$DN251,$B$8,1),OFFSET($M$15,0,0,$B$8,1))=GA$13), 1*(_xlfn._xlws.FILTER(OFFSET($O$15,0,$DO251,$B$8,1),OFFSET($M$15,0,0,$B$8,1))=GA$14))   /   SUM(OFFSET($BO$15,0,0,$B$14,1)) + $B$18/($B$19*$B$19*($DN251&lt;&gt;$DO251) + $B$19*($DN251=$DO251))</f>
        <v>3.7037037037037035E-4</v>
      </c>
    </row>
    <row r="252" spans="118:183" x14ac:dyDescent="0.2">
      <c r="DN252" cm="1">
        <f t="array" aca="1" ref="DN252" ca="1">INDEX(_xlfn.ANCHORARRAY($CP$15), 1 + INT((ROWS($DO$15:$DO252) - 1) / ROWS(_xlfn.ANCHORARRAY($CP$15))))</f>
        <v>13</v>
      </c>
      <c r="DO252" cm="1">
        <f t="array" aca="1" ref="DO252" ca="1">INDEX(_xlfn.ANCHORARRAY($CP$15),1+MOD(ROWS($DO$15:$DO252)-1,ROWS(_xlfn.ANCHORARRAY($CP$15))))</f>
        <v>9</v>
      </c>
      <c r="DP252" s="10" cm="1">
        <f t="array" aca="1" ref="DP252" ca="1">(1-$B$18)*SUMPRODUCT(OFFSET($BO$15,0,0,$B$14,1), 1*(_xlfn._xlws.FILTER(OFFSET($O$15,0,$DN252,$B$8,1),OFFSET($M$15,0,0,$B$8,1))=DP$13), 1*(_xlfn._xlws.FILTER(OFFSET($O$15,0,$DO252,$B$8,1),OFFSET($M$15,0,0,$B$8,1))=DP$14))   /   SUM(OFFSET($BO$15,0,0,$B$14,1)) + $B$18/($B$19*$B$19*($DN252&lt;&gt;$DO252) + $B$19*($DN252=$DO252))</f>
        <v>3.7037037037037035E-4</v>
      </c>
      <c r="DQ252" s="10" cm="1">
        <f t="array" aca="1" ref="DQ252" ca="1">(1-$B$18)*SUMPRODUCT(OFFSET($BO$15,0,0,$B$14,1), 1*(_xlfn._xlws.FILTER(OFFSET($O$15,0,$DN252,$B$8,1),OFFSET($M$15,0,0,$B$8,1))=DQ$13), 1*(_xlfn._xlws.FILTER(OFFSET($O$15,0,$DO252,$B$8,1),OFFSET($M$15,0,0,$B$8,1))=DQ$14))   /   SUM(OFFSET($BO$15,0,0,$B$14,1)) + $B$18/($B$19*$B$19*($DN252&lt;&gt;$DO252) + $B$19*($DN252=$DO252))</f>
        <v>3.7037037037037035E-4</v>
      </c>
      <c r="DR252" s="10" cm="1">
        <f t="array" aca="1" ref="DR252" ca="1">(1-$B$18)*SUMPRODUCT(OFFSET($BO$15,0,0,$B$14,1), 1*(_xlfn._xlws.FILTER(OFFSET($O$15,0,$DN252,$B$8,1),OFFSET($M$15,0,0,$B$8,1))=DR$13), 1*(_xlfn._xlws.FILTER(OFFSET($O$15,0,$DO252,$B$8,1),OFFSET($M$15,0,0,$B$8,1))=DR$14))   /   SUM(OFFSET($BO$15,0,0,$B$14,1)) + $B$18/($B$19*$B$19*($DN252&lt;&gt;$DO252) + $B$19*($DN252=$DO252))</f>
        <v>3.7037037037037035E-4</v>
      </c>
      <c r="DS252" s="10" cm="1">
        <f t="array" aca="1" ref="DS252" ca="1">(1-$B$18)*SUMPRODUCT(OFFSET($BO$15,0,0,$B$14,1), 1*(_xlfn._xlws.FILTER(OFFSET($O$15,0,$DN252,$B$8,1),OFFSET($M$15,0,0,$B$8,1))=DS$13), 1*(_xlfn._xlws.FILTER(OFFSET($O$15,0,$DO252,$B$8,1),OFFSET($M$15,0,0,$B$8,1))=DS$14))   /   SUM(OFFSET($BO$15,0,0,$B$14,1)) + $B$18/($B$19*$B$19*($DN252&lt;&gt;$DO252) + $B$19*($DN252=$DO252))</f>
        <v>3.7037037037037035E-4</v>
      </c>
      <c r="DT252" s="10" cm="1">
        <f t="array" aca="1" ref="DT252" ca="1">(1-$B$18)*SUMPRODUCT(OFFSET($BO$15,0,0,$B$14,1), 1*(_xlfn._xlws.FILTER(OFFSET($O$15,0,$DN252,$B$8,1),OFFSET($M$15,0,0,$B$8,1))=DT$13), 1*(_xlfn._xlws.FILTER(OFFSET($O$15,0,$DO252,$B$8,1),OFFSET($M$15,0,0,$B$8,1))=DT$14))   /   SUM(OFFSET($BO$15,0,0,$B$14,1)) + $B$18/($B$19*$B$19*($DN252&lt;&gt;$DO252) + $B$19*($DN252=$DO252))</f>
        <v>3.7037037037037035E-4</v>
      </c>
      <c r="DU252" s="10" cm="1">
        <f t="array" aca="1" ref="DU252" ca="1">(1-$B$18)*SUMPRODUCT(OFFSET($BO$15,0,0,$B$14,1), 1*(_xlfn._xlws.FILTER(OFFSET($O$15,0,$DN252,$B$8,1),OFFSET($M$15,0,0,$B$8,1))=DU$13), 1*(_xlfn._xlws.FILTER(OFFSET($O$15,0,$DO252,$B$8,1),OFFSET($M$15,0,0,$B$8,1))=DU$14))   /   SUM(OFFSET($BO$15,0,0,$B$14,1)) + $B$18/($B$19*$B$19*($DN252&lt;&gt;$DO252) + $B$19*($DN252=$DO252))</f>
        <v>3.7037037037037035E-4</v>
      </c>
      <c r="DV252" s="10" cm="1">
        <f t="array" aca="1" ref="DV252" ca="1">(1-$B$18)*SUMPRODUCT(OFFSET($BO$15,0,0,$B$14,1), 1*(_xlfn._xlws.FILTER(OFFSET($O$15,0,$DN252,$B$8,1),OFFSET($M$15,0,0,$B$8,1))=DV$13), 1*(_xlfn._xlws.FILTER(OFFSET($O$15,0,$DO252,$B$8,1),OFFSET($M$15,0,0,$B$8,1))=DV$14))   /   SUM(OFFSET($BO$15,0,0,$B$14,1)) + $B$18/($B$19*$B$19*($DN252&lt;&gt;$DO252) + $B$19*($DN252=$DO252))</f>
        <v>3.7037037037037035E-4</v>
      </c>
      <c r="DW252" s="10" cm="1">
        <f t="array" aca="1" ref="DW252" ca="1">(1-$B$18)*SUMPRODUCT(OFFSET($BO$15,0,0,$B$14,1), 1*(_xlfn._xlws.FILTER(OFFSET($O$15,0,$DN252,$B$8,1),OFFSET($M$15,0,0,$B$8,1))=DW$13), 1*(_xlfn._xlws.FILTER(OFFSET($O$15,0,$DO252,$B$8,1),OFFSET($M$15,0,0,$B$8,1))=DW$14))   /   SUM(OFFSET($BO$15,0,0,$B$14,1)) + $B$18/($B$19*$B$19*($DN252&lt;&gt;$DO252) + $B$19*($DN252=$DO252))</f>
        <v>3.7037037037037035E-4</v>
      </c>
      <c r="DX252" s="10" cm="1">
        <f t="array" aca="1" ref="DX252" ca="1">(1-$B$18)*SUMPRODUCT(OFFSET($BO$15,0,0,$B$14,1), 1*(_xlfn._xlws.FILTER(OFFSET($O$15,0,$DN252,$B$8,1),OFFSET($M$15,0,0,$B$8,1))=DX$13), 1*(_xlfn._xlws.FILTER(OFFSET($O$15,0,$DO252,$B$8,1),OFFSET($M$15,0,0,$B$8,1))=DX$14))   /   SUM(OFFSET($BO$15,0,0,$B$14,1)) + $B$18/($B$19*$B$19*($DN252&lt;&gt;$DO252) + $B$19*($DN252=$DO252))</f>
        <v>3.7037037037037035E-4</v>
      </c>
      <c r="DY252" s="10" cm="1">
        <f t="array" aca="1" ref="DY252" ca="1">(1-$B$18)*SUMPRODUCT(OFFSET($BO$15,0,0,$B$14,1), 1*(_xlfn._xlws.FILTER(OFFSET($O$15,0,$DN252,$B$8,1),OFFSET($M$15,0,0,$B$8,1))=DY$13), 1*(_xlfn._xlws.FILTER(OFFSET($O$15,0,$DO252,$B$8,1),OFFSET($M$15,0,0,$B$8,1))=DY$14))   /   SUM(OFFSET($BO$15,0,0,$B$14,1)) + $B$18/($B$19*$B$19*($DN252&lt;&gt;$DO252) + $B$19*($DN252=$DO252))</f>
        <v>3.7037037037037035E-4</v>
      </c>
      <c r="DZ252" s="10" cm="1">
        <f t="array" aca="1" ref="DZ252" ca="1">(1-$B$18)*SUMPRODUCT(OFFSET($BO$15,0,0,$B$14,1), 1*(_xlfn._xlws.FILTER(OFFSET($O$15,0,$DN252,$B$8,1),OFFSET($M$15,0,0,$B$8,1))=DZ$13), 1*(_xlfn._xlws.FILTER(OFFSET($O$15,0,$DO252,$B$8,1),OFFSET($M$15,0,0,$B$8,1))=DZ$14))   /   SUM(OFFSET($BO$15,0,0,$B$14,1)) + $B$18/($B$19*$B$19*($DN252&lt;&gt;$DO252) + $B$19*($DN252=$DO252))</f>
        <v>3.7037037037037035E-4</v>
      </c>
      <c r="EA252" s="10" cm="1">
        <f t="array" aca="1" ref="EA252" ca="1">(1-$B$18)*SUMPRODUCT(OFFSET($BO$15,0,0,$B$14,1), 1*(_xlfn._xlws.FILTER(OFFSET($O$15,0,$DN252,$B$8,1),OFFSET($M$15,0,0,$B$8,1))=EA$13), 1*(_xlfn._xlws.FILTER(OFFSET($O$15,0,$DO252,$B$8,1),OFFSET($M$15,0,0,$B$8,1))=EA$14))   /   SUM(OFFSET($BO$15,0,0,$B$14,1)) + $B$18/($B$19*$B$19*($DN252&lt;&gt;$DO252) + $B$19*($DN252=$DO252))</f>
        <v>3.7037037037037035E-4</v>
      </c>
      <c r="EB252" s="10" cm="1">
        <f t="array" aca="1" ref="EB252" ca="1">(1-$B$18)*SUMPRODUCT(OFFSET($BO$15,0,0,$B$14,1), 1*(_xlfn._xlws.FILTER(OFFSET($O$15,0,$DN252,$B$8,1),OFFSET($M$15,0,0,$B$8,1))=EB$13), 1*(_xlfn._xlws.FILTER(OFFSET($O$15,0,$DO252,$B$8,1),OFFSET($M$15,0,0,$B$8,1))=EB$14))   /   SUM(OFFSET($BO$15,0,0,$B$14,1)) + $B$18/($B$19*$B$19*($DN252&lt;&gt;$DO252) + $B$19*($DN252=$DO252))</f>
        <v>3.7037037037037035E-4</v>
      </c>
      <c r="EC252" s="10" cm="1">
        <f t="array" aca="1" ref="EC252" ca="1">(1-$B$18)*SUMPRODUCT(OFFSET($BO$15,0,0,$B$14,1), 1*(_xlfn._xlws.FILTER(OFFSET($O$15,0,$DN252,$B$8,1),OFFSET($M$15,0,0,$B$8,1))=EC$13), 1*(_xlfn._xlws.FILTER(OFFSET($O$15,0,$DO252,$B$8,1),OFFSET($M$15,0,0,$B$8,1))=EC$14))   /   SUM(OFFSET($BO$15,0,0,$B$14,1)) + $B$18/($B$19*$B$19*($DN252&lt;&gt;$DO252) + $B$19*($DN252=$DO252))</f>
        <v>3.7037037037037035E-4</v>
      </c>
      <c r="ED252" s="10" cm="1">
        <f t="array" aca="1" ref="ED252" ca="1">(1-$B$18)*SUMPRODUCT(OFFSET($BO$15,0,0,$B$14,1), 1*(_xlfn._xlws.FILTER(OFFSET($O$15,0,$DN252,$B$8,1),OFFSET($M$15,0,0,$B$8,1))=ED$13), 1*(_xlfn._xlws.FILTER(OFFSET($O$15,0,$DO252,$B$8,1),OFFSET($M$15,0,0,$B$8,1))=ED$14))   /   SUM(OFFSET($BO$15,0,0,$B$14,1)) + $B$18/($B$19*$B$19*($DN252&lt;&gt;$DO252) + $B$19*($DN252=$DO252))</f>
        <v>0.97037037037037033</v>
      </c>
      <c r="EE252" s="10" cm="1">
        <f t="array" aca="1" ref="EE252" ca="1">(1-$B$18)*SUMPRODUCT(OFFSET($BO$15,0,0,$B$14,1), 1*(_xlfn._xlws.FILTER(OFFSET($O$15,0,$DN252,$B$8,1),OFFSET($M$15,0,0,$B$8,1))=EE$13), 1*(_xlfn._xlws.FILTER(OFFSET($O$15,0,$DO252,$B$8,1),OFFSET($M$15,0,0,$B$8,1))=EE$14))   /   SUM(OFFSET($BO$15,0,0,$B$14,1)) + $B$18/($B$19*$B$19*($DN252&lt;&gt;$DO252) + $B$19*($DN252=$DO252))</f>
        <v>3.7037037037037035E-4</v>
      </c>
      <c r="EF252" s="10" cm="1">
        <f t="array" aca="1" ref="EF252" ca="1">(1-$B$18)*SUMPRODUCT(OFFSET($BO$15,0,0,$B$14,1), 1*(_xlfn._xlws.FILTER(OFFSET($O$15,0,$DN252,$B$8,1),OFFSET($M$15,0,0,$B$8,1))=EF$13), 1*(_xlfn._xlws.FILTER(OFFSET($O$15,0,$DO252,$B$8,1),OFFSET($M$15,0,0,$B$8,1))=EF$14))   /   SUM(OFFSET($BO$15,0,0,$B$14,1)) + $B$18/($B$19*$B$19*($DN252&lt;&gt;$DO252) + $B$19*($DN252=$DO252))</f>
        <v>3.7037037037037035E-4</v>
      </c>
      <c r="EG252" s="10" cm="1">
        <f t="array" aca="1" ref="EG252" ca="1">(1-$B$18)*SUMPRODUCT(OFFSET($BO$15,0,0,$B$14,1), 1*(_xlfn._xlws.FILTER(OFFSET($O$15,0,$DN252,$B$8,1),OFFSET($M$15,0,0,$B$8,1))=EG$13), 1*(_xlfn._xlws.FILTER(OFFSET($O$15,0,$DO252,$B$8,1),OFFSET($M$15,0,0,$B$8,1))=EG$14))   /   SUM(OFFSET($BO$15,0,0,$B$14,1)) + $B$18/($B$19*$B$19*($DN252&lt;&gt;$DO252) + $B$19*($DN252=$DO252))</f>
        <v>3.7037037037037035E-4</v>
      </c>
      <c r="EH252" s="10" cm="1">
        <f t="array" aca="1" ref="EH252" ca="1">(1-$B$18)*SUMPRODUCT(OFFSET($BO$15,0,0,$B$14,1), 1*(_xlfn._xlws.FILTER(OFFSET($O$15,0,$DN252,$B$8,1),OFFSET($M$15,0,0,$B$8,1))=EH$13), 1*(_xlfn._xlws.FILTER(OFFSET($O$15,0,$DO252,$B$8,1),OFFSET($M$15,0,0,$B$8,1))=EH$14))   /   SUM(OFFSET($BO$15,0,0,$B$14,1)) + $B$18/($B$19*$B$19*($DN252&lt;&gt;$DO252) + $B$19*($DN252=$DO252))</f>
        <v>3.7037037037037035E-4</v>
      </c>
      <c r="EI252" s="10" cm="1">
        <f t="array" aca="1" ref="EI252" ca="1">(1-$B$18)*SUMPRODUCT(OFFSET($BO$15,0,0,$B$14,1), 1*(_xlfn._xlws.FILTER(OFFSET($O$15,0,$DN252,$B$8,1),OFFSET($M$15,0,0,$B$8,1))=EI$13), 1*(_xlfn._xlws.FILTER(OFFSET($O$15,0,$DO252,$B$8,1),OFFSET($M$15,0,0,$B$8,1))=EI$14))   /   SUM(OFFSET($BO$15,0,0,$B$14,1)) + $B$18/($B$19*$B$19*($DN252&lt;&gt;$DO252) + $B$19*($DN252=$DO252))</f>
        <v>3.7037037037037035E-4</v>
      </c>
      <c r="EJ252" s="10" cm="1">
        <f t="array" aca="1" ref="EJ252" ca="1">(1-$B$18)*SUMPRODUCT(OFFSET($BO$15,0,0,$B$14,1), 1*(_xlfn._xlws.FILTER(OFFSET($O$15,0,$DN252,$B$8,1),OFFSET($M$15,0,0,$B$8,1))=EJ$13), 1*(_xlfn._xlws.FILTER(OFFSET($O$15,0,$DO252,$B$8,1),OFFSET($M$15,0,0,$B$8,1))=EJ$14))   /   SUM(OFFSET($BO$15,0,0,$B$14,1)) + $B$18/($B$19*$B$19*($DN252&lt;&gt;$DO252) + $B$19*($DN252=$DO252))</f>
        <v>3.7037037037037035E-4</v>
      </c>
      <c r="EK252" s="10" cm="1">
        <f t="array" aca="1" ref="EK252" ca="1">(1-$B$18)*SUMPRODUCT(OFFSET($BO$15,0,0,$B$14,1), 1*(_xlfn._xlws.FILTER(OFFSET($O$15,0,$DN252,$B$8,1),OFFSET($M$15,0,0,$B$8,1))=EK$13), 1*(_xlfn._xlws.FILTER(OFFSET($O$15,0,$DO252,$B$8,1),OFFSET($M$15,0,0,$B$8,1))=EK$14))   /   SUM(OFFSET($BO$15,0,0,$B$14,1)) + $B$18/($B$19*$B$19*($DN252&lt;&gt;$DO252) + $B$19*($DN252=$DO252))</f>
        <v>3.7037037037037035E-4</v>
      </c>
      <c r="EL252" s="10" cm="1">
        <f t="array" aca="1" ref="EL252" ca="1">(1-$B$18)*SUMPRODUCT(OFFSET($BO$15,0,0,$B$14,1), 1*(_xlfn._xlws.FILTER(OFFSET($O$15,0,$DN252,$B$8,1),OFFSET($M$15,0,0,$B$8,1))=EL$13), 1*(_xlfn._xlws.FILTER(OFFSET($O$15,0,$DO252,$B$8,1),OFFSET($M$15,0,0,$B$8,1))=EL$14))   /   SUM(OFFSET($BO$15,0,0,$B$14,1)) + $B$18/($B$19*$B$19*($DN252&lt;&gt;$DO252) + $B$19*($DN252=$DO252))</f>
        <v>3.7037037037037035E-4</v>
      </c>
      <c r="EM252" s="10" cm="1">
        <f t="array" aca="1" ref="EM252" ca="1">(1-$B$18)*SUMPRODUCT(OFFSET($BO$15,0,0,$B$14,1), 1*(_xlfn._xlws.FILTER(OFFSET($O$15,0,$DN252,$B$8,1),OFFSET($M$15,0,0,$B$8,1))=EM$13), 1*(_xlfn._xlws.FILTER(OFFSET($O$15,0,$DO252,$B$8,1),OFFSET($M$15,0,0,$B$8,1))=EM$14))   /   SUM(OFFSET($BO$15,0,0,$B$14,1)) + $B$18/($B$19*$B$19*($DN252&lt;&gt;$DO252) + $B$19*($DN252=$DO252))</f>
        <v>3.7037037037037035E-4</v>
      </c>
      <c r="EN252" s="10" cm="1">
        <f t="array" aca="1" ref="EN252" ca="1">(1-$B$18)*SUMPRODUCT(OFFSET($BO$15,0,0,$B$14,1), 1*(_xlfn._xlws.FILTER(OFFSET($O$15,0,$DN252,$B$8,1),OFFSET($M$15,0,0,$B$8,1))=EN$13), 1*(_xlfn._xlws.FILTER(OFFSET($O$15,0,$DO252,$B$8,1),OFFSET($M$15,0,0,$B$8,1))=EN$14))   /   SUM(OFFSET($BO$15,0,0,$B$14,1)) + $B$18/($B$19*$B$19*($DN252&lt;&gt;$DO252) + $B$19*($DN252=$DO252))</f>
        <v>3.7037037037037035E-4</v>
      </c>
      <c r="EO252" s="10" cm="1">
        <f t="array" aca="1" ref="EO252" ca="1">(1-$B$18)*SUMPRODUCT(OFFSET($BO$15,0,0,$B$14,1), 1*(_xlfn._xlws.FILTER(OFFSET($O$15,0,$DN252,$B$8,1),OFFSET($M$15,0,0,$B$8,1))=EO$13), 1*(_xlfn._xlws.FILTER(OFFSET($O$15,0,$DO252,$B$8,1),OFFSET($M$15,0,0,$B$8,1))=EO$14))   /   SUM(OFFSET($BO$15,0,0,$B$14,1)) + $B$18/($B$19*$B$19*($DN252&lt;&gt;$DO252) + $B$19*($DN252=$DO252))</f>
        <v>3.7037037037037035E-4</v>
      </c>
      <c r="EP252" s="10" cm="1">
        <f t="array" aca="1" ref="EP252" ca="1">(1-$B$18)*SUMPRODUCT(OFFSET($BO$15,0,0,$B$14,1), 1*(_xlfn._xlws.FILTER(OFFSET($O$15,0,$DN252,$B$8,1),OFFSET($M$15,0,0,$B$8,1))=EP$13), 1*(_xlfn._xlws.FILTER(OFFSET($O$15,0,$DO252,$B$8,1),OFFSET($M$15,0,0,$B$8,1))=EP$14))   /   SUM(OFFSET($BO$15,0,0,$B$14,1)) + $B$18/($B$19*$B$19*($DN252&lt;&gt;$DO252) + $B$19*($DN252=$DO252))</f>
        <v>3.7037037037037035E-4</v>
      </c>
      <c r="EQ252" s="10" cm="1">
        <f t="array" aca="1" ref="EQ252" ca="1">(1-$B$18)*SUMPRODUCT(OFFSET($BO$15,0,0,$B$14,1), 1*(_xlfn._xlws.FILTER(OFFSET($O$15,0,$DN252,$B$8,1),OFFSET($M$15,0,0,$B$8,1))=EQ$13), 1*(_xlfn._xlws.FILTER(OFFSET($O$15,0,$DO252,$B$8,1),OFFSET($M$15,0,0,$B$8,1))=EQ$14))   /   SUM(OFFSET($BO$15,0,0,$B$14,1)) + $B$18/($B$19*$B$19*($DN252&lt;&gt;$DO252) + $B$19*($DN252=$DO252))</f>
        <v>3.7037037037037035E-4</v>
      </c>
      <c r="ER252" s="10" cm="1">
        <f t="array" aca="1" ref="ER252" ca="1">(1-$B$18)*SUMPRODUCT(OFFSET($BO$15,0,0,$B$14,1), 1*(_xlfn._xlws.FILTER(OFFSET($O$15,0,$DN252,$B$8,1),OFFSET($M$15,0,0,$B$8,1))=ER$13), 1*(_xlfn._xlws.FILTER(OFFSET($O$15,0,$DO252,$B$8,1),OFFSET($M$15,0,0,$B$8,1))=ER$14))   /   SUM(OFFSET($BO$15,0,0,$B$14,1)) + $B$18/($B$19*$B$19*($DN252&lt;&gt;$DO252) + $B$19*($DN252=$DO252))</f>
        <v>3.7037037037037035E-4</v>
      </c>
      <c r="ES252" s="10" cm="1">
        <f t="array" aca="1" ref="ES252" ca="1">(1-$B$18)*SUMPRODUCT(OFFSET($BO$15,0,0,$B$14,1), 1*(_xlfn._xlws.FILTER(OFFSET($O$15,0,$DN252,$B$8,1),OFFSET($M$15,0,0,$B$8,1))=ES$13), 1*(_xlfn._xlws.FILTER(OFFSET($O$15,0,$DO252,$B$8,1),OFFSET($M$15,0,0,$B$8,1))=ES$14))   /   SUM(OFFSET($BO$15,0,0,$B$14,1)) + $B$18/($B$19*$B$19*($DN252&lt;&gt;$DO252) + $B$19*($DN252=$DO252))</f>
        <v>3.7037037037037035E-4</v>
      </c>
      <c r="ET252" s="10" cm="1">
        <f t="array" aca="1" ref="ET252" ca="1">(1-$B$18)*SUMPRODUCT(OFFSET($BO$15,0,0,$B$14,1), 1*(_xlfn._xlws.FILTER(OFFSET($O$15,0,$DN252,$B$8,1),OFFSET($M$15,0,0,$B$8,1))=ET$13), 1*(_xlfn._xlws.FILTER(OFFSET($O$15,0,$DO252,$B$8,1),OFFSET($M$15,0,0,$B$8,1))=ET$14))   /   SUM(OFFSET($BO$15,0,0,$B$14,1)) + $B$18/($B$19*$B$19*($DN252&lt;&gt;$DO252) + $B$19*($DN252=$DO252))</f>
        <v>3.7037037037037035E-4</v>
      </c>
      <c r="EU252" s="10" cm="1">
        <f t="array" aca="1" ref="EU252" ca="1">(1-$B$18)*SUMPRODUCT(OFFSET($BO$15,0,0,$B$14,1), 1*(_xlfn._xlws.FILTER(OFFSET($O$15,0,$DN252,$B$8,1),OFFSET($M$15,0,0,$B$8,1))=EU$13), 1*(_xlfn._xlws.FILTER(OFFSET($O$15,0,$DO252,$B$8,1),OFFSET($M$15,0,0,$B$8,1))=EU$14))   /   SUM(OFFSET($BO$15,0,0,$B$14,1)) + $B$18/($B$19*$B$19*($DN252&lt;&gt;$DO252) + $B$19*($DN252=$DO252))</f>
        <v>3.7037037037037035E-4</v>
      </c>
      <c r="EV252" s="10" cm="1">
        <f t="array" aca="1" ref="EV252" ca="1">(1-$B$18)*SUMPRODUCT(OFFSET($BO$15,0,0,$B$14,1), 1*(_xlfn._xlws.FILTER(OFFSET($O$15,0,$DN252,$B$8,1),OFFSET($M$15,0,0,$B$8,1))=EV$13), 1*(_xlfn._xlws.FILTER(OFFSET($O$15,0,$DO252,$B$8,1),OFFSET($M$15,0,0,$B$8,1))=EV$14))   /   SUM(OFFSET($BO$15,0,0,$B$14,1)) + $B$18/($B$19*$B$19*($DN252&lt;&gt;$DO252) + $B$19*($DN252=$DO252))</f>
        <v>3.7037037037037035E-4</v>
      </c>
      <c r="EW252" s="10" cm="1">
        <f t="array" aca="1" ref="EW252" ca="1">(1-$B$18)*SUMPRODUCT(OFFSET($BO$15,0,0,$B$14,1), 1*(_xlfn._xlws.FILTER(OFFSET($O$15,0,$DN252,$B$8,1),OFFSET($M$15,0,0,$B$8,1))=EW$13), 1*(_xlfn._xlws.FILTER(OFFSET($O$15,0,$DO252,$B$8,1),OFFSET($M$15,0,0,$B$8,1))=EW$14))   /   SUM(OFFSET($BO$15,0,0,$B$14,1)) + $B$18/($B$19*$B$19*($DN252&lt;&gt;$DO252) + $B$19*($DN252=$DO252))</f>
        <v>3.7037037037037035E-4</v>
      </c>
      <c r="EX252" s="10" cm="1">
        <f t="array" aca="1" ref="EX252" ca="1">(1-$B$18)*SUMPRODUCT(OFFSET($BO$15,0,0,$B$14,1), 1*(_xlfn._xlws.FILTER(OFFSET($O$15,0,$DN252,$B$8,1),OFFSET($M$15,0,0,$B$8,1))=EX$13), 1*(_xlfn._xlws.FILTER(OFFSET($O$15,0,$DO252,$B$8,1),OFFSET($M$15,0,0,$B$8,1))=EX$14))   /   SUM(OFFSET($BO$15,0,0,$B$14,1)) + $B$18/($B$19*$B$19*($DN252&lt;&gt;$DO252) + $B$19*($DN252=$DO252))</f>
        <v>3.7037037037037035E-4</v>
      </c>
      <c r="EY252" s="10" cm="1">
        <f t="array" aca="1" ref="EY252" ca="1">(1-$B$18)*SUMPRODUCT(OFFSET($BO$15,0,0,$B$14,1), 1*(_xlfn._xlws.FILTER(OFFSET($O$15,0,$DN252,$B$8,1),OFFSET($M$15,0,0,$B$8,1))=EY$13), 1*(_xlfn._xlws.FILTER(OFFSET($O$15,0,$DO252,$B$8,1),OFFSET($M$15,0,0,$B$8,1))=EY$14))   /   SUM(OFFSET($BO$15,0,0,$B$14,1)) + $B$18/($B$19*$B$19*($DN252&lt;&gt;$DO252) + $B$19*($DN252=$DO252))</f>
        <v>3.7037037037037035E-4</v>
      </c>
      <c r="EZ252" s="10" cm="1">
        <f t="array" aca="1" ref="EZ252" ca="1">(1-$B$18)*SUMPRODUCT(OFFSET($BO$15,0,0,$B$14,1), 1*(_xlfn._xlws.FILTER(OFFSET($O$15,0,$DN252,$B$8,1),OFFSET($M$15,0,0,$B$8,1))=EZ$13), 1*(_xlfn._xlws.FILTER(OFFSET($O$15,0,$DO252,$B$8,1),OFFSET($M$15,0,0,$B$8,1))=EZ$14))   /   SUM(OFFSET($BO$15,0,0,$B$14,1)) + $B$18/($B$19*$B$19*($DN252&lt;&gt;$DO252) + $B$19*($DN252=$DO252))</f>
        <v>3.7037037037037035E-4</v>
      </c>
      <c r="FA252" s="10" cm="1">
        <f t="array" aca="1" ref="FA252" ca="1">(1-$B$18)*SUMPRODUCT(OFFSET($BO$15,0,0,$B$14,1), 1*(_xlfn._xlws.FILTER(OFFSET($O$15,0,$DN252,$B$8,1),OFFSET($M$15,0,0,$B$8,1))=FA$13), 1*(_xlfn._xlws.FILTER(OFFSET($O$15,0,$DO252,$B$8,1),OFFSET($M$15,0,0,$B$8,1))=FA$14))   /   SUM(OFFSET($BO$15,0,0,$B$14,1)) + $B$18/($B$19*$B$19*($DN252&lt;&gt;$DO252) + $B$19*($DN252=$DO252))</f>
        <v>3.7037037037037035E-4</v>
      </c>
      <c r="FB252" s="10" cm="1">
        <f t="array" aca="1" ref="FB252" ca="1">(1-$B$18)*SUMPRODUCT(OFFSET($BO$15,0,0,$B$14,1), 1*(_xlfn._xlws.FILTER(OFFSET($O$15,0,$DN252,$B$8,1),OFFSET($M$15,0,0,$B$8,1))=FB$13), 1*(_xlfn._xlws.FILTER(OFFSET($O$15,0,$DO252,$B$8,1),OFFSET($M$15,0,0,$B$8,1))=FB$14))   /   SUM(OFFSET($BO$15,0,0,$B$14,1)) + $B$18/($B$19*$B$19*($DN252&lt;&gt;$DO252) + $B$19*($DN252=$DO252))</f>
        <v>3.7037037037037035E-4</v>
      </c>
      <c r="FC252" s="10" cm="1">
        <f t="array" aca="1" ref="FC252" ca="1">(1-$B$18)*SUMPRODUCT(OFFSET($BO$15,0,0,$B$14,1), 1*(_xlfn._xlws.FILTER(OFFSET($O$15,0,$DN252,$B$8,1),OFFSET($M$15,0,0,$B$8,1))=FC$13), 1*(_xlfn._xlws.FILTER(OFFSET($O$15,0,$DO252,$B$8,1),OFFSET($M$15,0,0,$B$8,1))=FC$14))   /   SUM(OFFSET($BO$15,0,0,$B$14,1)) + $B$18/($B$19*$B$19*($DN252&lt;&gt;$DO252) + $B$19*($DN252=$DO252))</f>
        <v>3.7037037037037035E-4</v>
      </c>
      <c r="FD252" s="10" cm="1">
        <f t="array" aca="1" ref="FD252" ca="1">(1-$B$18)*SUMPRODUCT(OFFSET($BO$15,0,0,$B$14,1), 1*(_xlfn._xlws.FILTER(OFFSET($O$15,0,$DN252,$B$8,1),OFFSET($M$15,0,0,$B$8,1))=FD$13), 1*(_xlfn._xlws.FILTER(OFFSET($O$15,0,$DO252,$B$8,1),OFFSET($M$15,0,0,$B$8,1))=FD$14))   /   SUM(OFFSET($BO$15,0,0,$B$14,1)) + $B$18/($B$19*$B$19*($DN252&lt;&gt;$DO252) + $B$19*($DN252=$DO252))</f>
        <v>3.7037037037037035E-4</v>
      </c>
      <c r="FE252" s="10" cm="1">
        <f t="array" aca="1" ref="FE252" ca="1">(1-$B$18)*SUMPRODUCT(OFFSET($BO$15,0,0,$B$14,1), 1*(_xlfn._xlws.FILTER(OFFSET($O$15,0,$DN252,$B$8,1),OFFSET($M$15,0,0,$B$8,1))=FE$13), 1*(_xlfn._xlws.FILTER(OFFSET($O$15,0,$DO252,$B$8,1),OFFSET($M$15,0,0,$B$8,1))=FE$14))   /   SUM(OFFSET($BO$15,0,0,$B$14,1)) + $B$18/($B$19*$B$19*($DN252&lt;&gt;$DO252) + $B$19*($DN252=$DO252))</f>
        <v>3.7037037037037035E-4</v>
      </c>
      <c r="FF252" s="10" cm="1">
        <f t="array" aca="1" ref="FF252" ca="1">(1-$B$18)*SUMPRODUCT(OFFSET($BO$15,0,0,$B$14,1), 1*(_xlfn._xlws.FILTER(OFFSET($O$15,0,$DN252,$B$8,1),OFFSET($M$15,0,0,$B$8,1))=FF$13), 1*(_xlfn._xlws.FILTER(OFFSET($O$15,0,$DO252,$B$8,1),OFFSET($M$15,0,0,$B$8,1))=FF$14))   /   SUM(OFFSET($BO$15,0,0,$B$14,1)) + $B$18/($B$19*$B$19*($DN252&lt;&gt;$DO252) + $B$19*($DN252=$DO252))</f>
        <v>3.7037037037037035E-4</v>
      </c>
      <c r="FG252" s="10" cm="1">
        <f t="array" aca="1" ref="FG252" ca="1">(1-$B$18)*SUMPRODUCT(OFFSET($BO$15,0,0,$B$14,1), 1*(_xlfn._xlws.FILTER(OFFSET($O$15,0,$DN252,$B$8,1),OFFSET($M$15,0,0,$B$8,1))=FG$13), 1*(_xlfn._xlws.FILTER(OFFSET($O$15,0,$DO252,$B$8,1),OFFSET($M$15,0,0,$B$8,1))=FG$14))   /   SUM(OFFSET($BO$15,0,0,$B$14,1)) + $B$18/($B$19*$B$19*($DN252&lt;&gt;$DO252) + $B$19*($DN252=$DO252))</f>
        <v>3.7037037037037035E-4</v>
      </c>
      <c r="FH252" s="10" cm="1">
        <f t="array" aca="1" ref="FH252" ca="1">(1-$B$18)*SUMPRODUCT(OFFSET($BO$15,0,0,$B$14,1), 1*(_xlfn._xlws.FILTER(OFFSET($O$15,0,$DN252,$B$8,1),OFFSET($M$15,0,0,$B$8,1))=FH$13), 1*(_xlfn._xlws.FILTER(OFFSET($O$15,0,$DO252,$B$8,1),OFFSET($M$15,0,0,$B$8,1))=FH$14))   /   SUM(OFFSET($BO$15,0,0,$B$14,1)) + $B$18/($B$19*$B$19*($DN252&lt;&gt;$DO252) + $B$19*($DN252=$DO252))</f>
        <v>3.7037037037037035E-4</v>
      </c>
      <c r="FI252" s="10" cm="1">
        <f t="array" aca="1" ref="FI252" ca="1">(1-$B$18)*SUMPRODUCT(OFFSET($BO$15,0,0,$B$14,1), 1*(_xlfn._xlws.FILTER(OFFSET($O$15,0,$DN252,$B$8,1),OFFSET($M$15,0,0,$B$8,1))=FI$13), 1*(_xlfn._xlws.FILTER(OFFSET($O$15,0,$DO252,$B$8,1),OFFSET($M$15,0,0,$B$8,1))=FI$14))   /   SUM(OFFSET($BO$15,0,0,$B$14,1)) + $B$18/($B$19*$B$19*($DN252&lt;&gt;$DO252) + $B$19*($DN252=$DO252))</f>
        <v>3.7037037037037035E-4</v>
      </c>
      <c r="FJ252" s="10" cm="1">
        <f t="array" aca="1" ref="FJ252" ca="1">(1-$B$18)*SUMPRODUCT(OFFSET($BO$15,0,0,$B$14,1), 1*(_xlfn._xlws.FILTER(OFFSET($O$15,0,$DN252,$B$8,1),OFFSET($M$15,0,0,$B$8,1))=FJ$13), 1*(_xlfn._xlws.FILTER(OFFSET($O$15,0,$DO252,$B$8,1),OFFSET($M$15,0,0,$B$8,1))=FJ$14))   /   SUM(OFFSET($BO$15,0,0,$B$14,1)) + $B$18/($B$19*$B$19*($DN252&lt;&gt;$DO252) + $B$19*($DN252=$DO252))</f>
        <v>3.7037037037037035E-4</v>
      </c>
      <c r="FK252" s="10" cm="1">
        <f t="array" aca="1" ref="FK252" ca="1">(1-$B$18)*SUMPRODUCT(OFFSET($BO$15,0,0,$B$14,1), 1*(_xlfn._xlws.FILTER(OFFSET($O$15,0,$DN252,$B$8,1),OFFSET($M$15,0,0,$B$8,1))=FK$13), 1*(_xlfn._xlws.FILTER(OFFSET($O$15,0,$DO252,$B$8,1),OFFSET($M$15,0,0,$B$8,1))=FK$14))   /   SUM(OFFSET($BO$15,0,0,$B$14,1)) + $B$18/($B$19*$B$19*($DN252&lt;&gt;$DO252) + $B$19*($DN252=$DO252))</f>
        <v>3.7037037037037035E-4</v>
      </c>
      <c r="FL252" s="10" cm="1">
        <f t="array" aca="1" ref="FL252" ca="1">(1-$B$18)*SUMPRODUCT(OFFSET($BO$15,0,0,$B$14,1), 1*(_xlfn._xlws.FILTER(OFFSET($O$15,0,$DN252,$B$8,1),OFFSET($M$15,0,0,$B$8,1))=FL$13), 1*(_xlfn._xlws.FILTER(OFFSET($O$15,0,$DO252,$B$8,1),OFFSET($M$15,0,0,$B$8,1))=FL$14))   /   SUM(OFFSET($BO$15,0,0,$B$14,1)) + $B$18/($B$19*$B$19*($DN252&lt;&gt;$DO252) + $B$19*($DN252=$DO252))</f>
        <v>3.7037037037037035E-4</v>
      </c>
      <c r="FM252" s="10" cm="1">
        <f t="array" aca="1" ref="FM252" ca="1">(1-$B$18)*SUMPRODUCT(OFFSET($BO$15,0,0,$B$14,1), 1*(_xlfn._xlws.FILTER(OFFSET($O$15,0,$DN252,$B$8,1),OFFSET($M$15,0,0,$B$8,1))=FM$13), 1*(_xlfn._xlws.FILTER(OFFSET($O$15,0,$DO252,$B$8,1),OFFSET($M$15,0,0,$B$8,1))=FM$14))   /   SUM(OFFSET($BO$15,0,0,$B$14,1)) + $B$18/($B$19*$B$19*($DN252&lt;&gt;$DO252) + $B$19*($DN252=$DO252))</f>
        <v>3.7037037037037035E-4</v>
      </c>
      <c r="FN252" s="10" cm="1">
        <f t="array" aca="1" ref="FN252" ca="1">(1-$B$18)*SUMPRODUCT(OFFSET($BO$15,0,0,$B$14,1), 1*(_xlfn._xlws.FILTER(OFFSET($O$15,0,$DN252,$B$8,1),OFFSET($M$15,0,0,$B$8,1))=FN$13), 1*(_xlfn._xlws.FILTER(OFFSET($O$15,0,$DO252,$B$8,1),OFFSET($M$15,0,0,$B$8,1))=FN$14))   /   SUM(OFFSET($BO$15,0,0,$B$14,1)) + $B$18/($B$19*$B$19*($DN252&lt;&gt;$DO252) + $B$19*($DN252=$DO252))</f>
        <v>3.7037037037037035E-4</v>
      </c>
      <c r="FO252" s="10" cm="1">
        <f t="array" aca="1" ref="FO252" ca="1">(1-$B$18)*SUMPRODUCT(OFFSET($BO$15,0,0,$B$14,1), 1*(_xlfn._xlws.FILTER(OFFSET($O$15,0,$DN252,$B$8,1),OFFSET($M$15,0,0,$B$8,1))=FO$13), 1*(_xlfn._xlws.FILTER(OFFSET($O$15,0,$DO252,$B$8,1),OFFSET($M$15,0,0,$B$8,1))=FO$14))   /   SUM(OFFSET($BO$15,0,0,$B$14,1)) + $B$18/($B$19*$B$19*($DN252&lt;&gt;$DO252) + $B$19*($DN252=$DO252))</f>
        <v>3.7037037037037035E-4</v>
      </c>
      <c r="FP252" s="10" cm="1">
        <f t="array" aca="1" ref="FP252" ca="1">(1-$B$18)*SUMPRODUCT(OFFSET($BO$15,0,0,$B$14,1), 1*(_xlfn._xlws.FILTER(OFFSET($O$15,0,$DN252,$B$8,1),OFFSET($M$15,0,0,$B$8,1))=FP$13), 1*(_xlfn._xlws.FILTER(OFFSET($O$15,0,$DO252,$B$8,1),OFFSET($M$15,0,0,$B$8,1))=FP$14))   /   SUM(OFFSET($BO$15,0,0,$B$14,1)) + $B$18/($B$19*$B$19*($DN252&lt;&gt;$DO252) + $B$19*($DN252=$DO252))</f>
        <v>3.7037037037037035E-4</v>
      </c>
      <c r="FQ252" s="10" cm="1">
        <f t="array" aca="1" ref="FQ252" ca="1">(1-$B$18)*SUMPRODUCT(OFFSET($BO$15,0,0,$B$14,1), 1*(_xlfn._xlws.FILTER(OFFSET($O$15,0,$DN252,$B$8,1),OFFSET($M$15,0,0,$B$8,1))=FQ$13), 1*(_xlfn._xlws.FILTER(OFFSET($O$15,0,$DO252,$B$8,1),OFFSET($M$15,0,0,$B$8,1))=FQ$14))   /   SUM(OFFSET($BO$15,0,0,$B$14,1)) + $B$18/($B$19*$B$19*($DN252&lt;&gt;$DO252) + $B$19*($DN252=$DO252))</f>
        <v>3.7037037037037035E-4</v>
      </c>
      <c r="FR252" s="10" cm="1">
        <f t="array" aca="1" ref="FR252" ca="1">(1-$B$18)*SUMPRODUCT(OFFSET($BO$15,0,0,$B$14,1), 1*(_xlfn._xlws.FILTER(OFFSET($O$15,0,$DN252,$B$8,1),OFFSET($M$15,0,0,$B$8,1))=FR$13), 1*(_xlfn._xlws.FILTER(OFFSET($O$15,0,$DO252,$B$8,1),OFFSET($M$15,0,0,$B$8,1))=FR$14))   /   SUM(OFFSET($BO$15,0,0,$B$14,1)) + $B$18/($B$19*$B$19*($DN252&lt;&gt;$DO252) + $B$19*($DN252=$DO252))</f>
        <v>3.7037037037037035E-4</v>
      </c>
      <c r="FS252" s="10" cm="1">
        <f t="array" aca="1" ref="FS252" ca="1">(1-$B$18)*SUMPRODUCT(OFFSET($BO$15,0,0,$B$14,1), 1*(_xlfn._xlws.FILTER(OFFSET($O$15,0,$DN252,$B$8,1),OFFSET($M$15,0,0,$B$8,1))=FS$13), 1*(_xlfn._xlws.FILTER(OFFSET($O$15,0,$DO252,$B$8,1),OFFSET($M$15,0,0,$B$8,1))=FS$14))   /   SUM(OFFSET($BO$15,0,0,$B$14,1)) + $B$18/($B$19*$B$19*($DN252&lt;&gt;$DO252) + $B$19*($DN252=$DO252))</f>
        <v>3.7037037037037035E-4</v>
      </c>
      <c r="FT252" s="10" cm="1">
        <f t="array" aca="1" ref="FT252" ca="1">(1-$B$18)*SUMPRODUCT(OFFSET($BO$15,0,0,$B$14,1), 1*(_xlfn._xlws.FILTER(OFFSET($O$15,0,$DN252,$B$8,1),OFFSET($M$15,0,0,$B$8,1))=FT$13), 1*(_xlfn._xlws.FILTER(OFFSET($O$15,0,$DO252,$B$8,1),OFFSET($M$15,0,0,$B$8,1))=FT$14))   /   SUM(OFFSET($BO$15,0,0,$B$14,1)) + $B$18/($B$19*$B$19*($DN252&lt;&gt;$DO252) + $B$19*($DN252=$DO252))</f>
        <v>3.7037037037037035E-4</v>
      </c>
      <c r="FU252" s="10" cm="1">
        <f t="array" aca="1" ref="FU252" ca="1">(1-$B$18)*SUMPRODUCT(OFFSET($BO$15,0,0,$B$14,1), 1*(_xlfn._xlws.FILTER(OFFSET($O$15,0,$DN252,$B$8,1),OFFSET($M$15,0,0,$B$8,1))=FU$13), 1*(_xlfn._xlws.FILTER(OFFSET($O$15,0,$DO252,$B$8,1),OFFSET($M$15,0,0,$B$8,1))=FU$14))   /   SUM(OFFSET($BO$15,0,0,$B$14,1)) + $B$18/($B$19*$B$19*($DN252&lt;&gt;$DO252) + $B$19*($DN252=$DO252))</f>
        <v>3.7037037037037035E-4</v>
      </c>
      <c r="FV252" s="10" cm="1">
        <f t="array" aca="1" ref="FV252" ca="1">(1-$B$18)*SUMPRODUCT(OFFSET($BO$15,0,0,$B$14,1), 1*(_xlfn._xlws.FILTER(OFFSET($O$15,0,$DN252,$B$8,1),OFFSET($M$15,0,0,$B$8,1))=FV$13), 1*(_xlfn._xlws.FILTER(OFFSET($O$15,0,$DO252,$B$8,1),OFFSET($M$15,0,0,$B$8,1))=FV$14))   /   SUM(OFFSET($BO$15,0,0,$B$14,1)) + $B$18/($B$19*$B$19*($DN252&lt;&gt;$DO252) + $B$19*($DN252=$DO252))</f>
        <v>3.7037037037037035E-4</v>
      </c>
      <c r="FW252" s="10" cm="1">
        <f t="array" aca="1" ref="FW252" ca="1">(1-$B$18)*SUMPRODUCT(OFFSET($BO$15,0,0,$B$14,1), 1*(_xlfn._xlws.FILTER(OFFSET($O$15,0,$DN252,$B$8,1),OFFSET($M$15,0,0,$B$8,1))=FW$13), 1*(_xlfn._xlws.FILTER(OFFSET($O$15,0,$DO252,$B$8,1),OFFSET($M$15,0,0,$B$8,1))=FW$14))   /   SUM(OFFSET($BO$15,0,0,$B$14,1)) + $B$18/($B$19*$B$19*($DN252&lt;&gt;$DO252) + $B$19*($DN252=$DO252))</f>
        <v>3.7037037037037035E-4</v>
      </c>
      <c r="FX252" s="10" cm="1">
        <f t="array" aca="1" ref="FX252" ca="1">(1-$B$18)*SUMPRODUCT(OFFSET($BO$15,0,0,$B$14,1), 1*(_xlfn._xlws.FILTER(OFFSET($O$15,0,$DN252,$B$8,1),OFFSET($M$15,0,0,$B$8,1))=FX$13), 1*(_xlfn._xlws.FILTER(OFFSET($O$15,0,$DO252,$B$8,1),OFFSET($M$15,0,0,$B$8,1))=FX$14))   /   SUM(OFFSET($BO$15,0,0,$B$14,1)) + $B$18/($B$19*$B$19*($DN252&lt;&gt;$DO252) + $B$19*($DN252=$DO252))</f>
        <v>3.7037037037037035E-4</v>
      </c>
      <c r="FY252" s="10" cm="1">
        <f t="array" aca="1" ref="FY252" ca="1">(1-$B$18)*SUMPRODUCT(OFFSET($BO$15,0,0,$B$14,1), 1*(_xlfn._xlws.FILTER(OFFSET($O$15,0,$DN252,$B$8,1),OFFSET($M$15,0,0,$B$8,1))=FY$13), 1*(_xlfn._xlws.FILTER(OFFSET($O$15,0,$DO252,$B$8,1),OFFSET($M$15,0,0,$B$8,1))=FY$14))   /   SUM(OFFSET($BO$15,0,0,$B$14,1)) + $B$18/($B$19*$B$19*($DN252&lt;&gt;$DO252) + $B$19*($DN252=$DO252))</f>
        <v>3.7037037037037035E-4</v>
      </c>
      <c r="FZ252" s="10" cm="1">
        <f t="array" aca="1" ref="FZ252" ca="1">(1-$B$18)*SUMPRODUCT(OFFSET($BO$15,0,0,$B$14,1), 1*(_xlfn._xlws.FILTER(OFFSET($O$15,0,$DN252,$B$8,1),OFFSET($M$15,0,0,$B$8,1))=FZ$13), 1*(_xlfn._xlws.FILTER(OFFSET($O$15,0,$DO252,$B$8,1),OFFSET($M$15,0,0,$B$8,1))=FZ$14))   /   SUM(OFFSET($BO$15,0,0,$B$14,1)) + $B$18/($B$19*$B$19*($DN252&lt;&gt;$DO252) + $B$19*($DN252=$DO252))</f>
        <v>3.7037037037037035E-4</v>
      </c>
      <c r="GA252" s="10" cm="1">
        <f t="array" aca="1" ref="GA252" ca="1">(1-$B$18)*SUMPRODUCT(OFFSET($BO$15,0,0,$B$14,1), 1*(_xlfn._xlws.FILTER(OFFSET($O$15,0,$DN252,$B$8,1),OFFSET($M$15,0,0,$B$8,1))=GA$13), 1*(_xlfn._xlws.FILTER(OFFSET($O$15,0,$DO252,$B$8,1),OFFSET($M$15,0,0,$B$8,1))=GA$14))   /   SUM(OFFSET($BO$15,0,0,$B$14,1)) + $B$18/($B$19*$B$19*($DN252&lt;&gt;$DO252) + $B$19*($DN252=$DO252))</f>
        <v>3.7037037037037035E-4</v>
      </c>
    </row>
    <row r="253" spans="118:183" x14ac:dyDescent="0.2">
      <c r="DN253" cm="1">
        <f t="array" aca="1" ref="DN253" ca="1">INDEX(_xlfn.ANCHORARRAY($CP$15), 1 + INT((ROWS($DO$15:$DO253) - 1) / ROWS(_xlfn.ANCHORARRAY($CP$15))))</f>
        <v>13</v>
      </c>
      <c r="DO253" cm="1">
        <f t="array" aca="1" ref="DO253" ca="1">INDEX(_xlfn.ANCHORARRAY($CP$15),1+MOD(ROWS($DO$15:$DO253)-1,ROWS(_xlfn.ANCHORARRAY($CP$15))))</f>
        <v>11</v>
      </c>
      <c r="DP253" s="10" cm="1">
        <f t="array" aca="1" ref="DP253" ca="1">(1-$B$18)*SUMPRODUCT(OFFSET($BO$15,0,0,$B$14,1), 1*(_xlfn._xlws.FILTER(OFFSET($O$15,0,$DN253,$B$8,1),OFFSET($M$15,0,0,$B$8,1))=DP$13), 1*(_xlfn._xlws.FILTER(OFFSET($O$15,0,$DO253,$B$8,1),OFFSET($M$15,0,0,$B$8,1))=DP$14))   /   SUM(OFFSET($BO$15,0,0,$B$14,1)) + $B$18/($B$19*$B$19*($DN253&lt;&gt;$DO253) + $B$19*($DN253=$DO253))</f>
        <v>3.7037037037037035E-4</v>
      </c>
      <c r="DQ253" s="10" cm="1">
        <f t="array" aca="1" ref="DQ253" ca="1">(1-$B$18)*SUMPRODUCT(OFFSET($BO$15,0,0,$B$14,1), 1*(_xlfn._xlws.FILTER(OFFSET($O$15,0,$DN253,$B$8,1),OFFSET($M$15,0,0,$B$8,1))=DQ$13), 1*(_xlfn._xlws.FILTER(OFFSET($O$15,0,$DO253,$B$8,1),OFFSET($M$15,0,0,$B$8,1))=DQ$14))   /   SUM(OFFSET($BO$15,0,0,$B$14,1)) + $B$18/($B$19*$B$19*($DN253&lt;&gt;$DO253) + $B$19*($DN253=$DO253))</f>
        <v>3.7037037037037035E-4</v>
      </c>
      <c r="DR253" s="10" cm="1">
        <f t="array" aca="1" ref="DR253" ca="1">(1-$B$18)*SUMPRODUCT(OFFSET($BO$15,0,0,$B$14,1), 1*(_xlfn._xlws.FILTER(OFFSET($O$15,0,$DN253,$B$8,1),OFFSET($M$15,0,0,$B$8,1))=DR$13), 1*(_xlfn._xlws.FILTER(OFFSET($O$15,0,$DO253,$B$8,1),OFFSET($M$15,0,0,$B$8,1))=DR$14))   /   SUM(OFFSET($BO$15,0,0,$B$14,1)) + $B$18/($B$19*$B$19*($DN253&lt;&gt;$DO253) + $B$19*($DN253=$DO253))</f>
        <v>3.7037037037037035E-4</v>
      </c>
      <c r="DS253" s="10" cm="1">
        <f t="array" aca="1" ref="DS253" ca="1">(1-$B$18)*SUMPRODUCT(OFFSET($BO$15,0,0,$B$14,1), 1*(_xlfn._xlws.FILTER(OFFSET($O$15,0,$DN253,$B$8,1),OFFSET($M$15,0,0,$B$8,1))=DS$13), 1*(_xlfn._xlws.FILTER(OFFSET($O$15,0,$DO253,$B$8,1),OFFSET($M$15,0,0,$B$8,1))=DS$14))   /   SUM(OFFSET($BO$15,0,0,$B$14,1)) + $B$18/($B$19*$B$19*($DN253&lt;&gt;$DO253) + $B$19*($DN253=$DO253))</f>
        <v>3.7037037037037035E-4</v>
      </c>
      <c r="DT253" s="10" cm="1">
        <f t="array" aca="1" ref="DT253" ca="1">(1-$B$18)*SUMPRODUCT(OFFSET($BO$15,0,0,$B$14,1), 1*(_xlfn._xlws.FILTER(OFFSET($O$15,0,$DN253,$B$8,1),OFFSET($M$15,0,0,$B$8,1))=DT$13), 1*(_xlfn._xlws.FILTER(OFFSET($O$15,0,$DO253,$B$8,1),OFFSET($M$15,0,0,$B$8,1))=DT$14))   /   SUM(OFFSET($BO$15,0,0,$B$14,1)) + $B$18/($B$19*$B$19*($DN253&lt;&gt;$DO253) + $B$19*($DN253=$DO253))</f>
        <v>3.7037037037037035E-4</v>
      </c>
      <c r="DU253" s="10" cm="1">
        <f t="array" aca="1" ref="DU253" ca="1">(1-$B$18)*SUMPRODUCT(OFFSET($BO$15,0,0,$B$14,1), 1*(_xlfn._xlws.FILTER(OFFSET($O$15,0,$DN253,$B$8,1),OFFSET($M$15,0,0,$B$8,1))=DU$13), 1*(_xlfn._xlws.FILTER(OFFSET($O$15,0,$DO253,$B$8,1),OFFSET($M$15,0,0,$B$8,1))=DU$14))   /   SUM(OFFSET($BO$15,0,0,$B$14,1)) + $B$18/($B$19*$B$19*($DN253&lt;&gt;$DO253) + $B$19*($DN253=$DO253))</f>
        <v>3.7037037037037035E-4</v>
      </c>
      <c r="DV253" s="10" cm="1">
        <f t="array" aca="1" ref="DV253" ca="1">(1-$B$18)*SUMPRODUCT(OFFSET($BO$15,0,0,$B$14,1), 1*(_xlfn._xlws.FILTER(OFFSET($O$15,0,$DN253,$B$8,1),OFFSET($M$15,0,0,$B$8,1))=DV$13), 1*(_xlfn._xlws.FILTER(OFFSET($O$15,0,$DO253,$B$8,1),OFFSET($M$15,0,0,$B$8,1))=DV$14))   /   SUM(OFFSET($BO$15,0,0,$B$14,1)) + $B$18/($B$19*$B$19*($DN253&lt;&gt;$DO253) + $B$19*($DN253=$DO253))</f>
        <v>3.7037037037037035E-4</v>
      </c>
      <c r="DW253" s="10" cm="1">
        <f t="array" aca="1" ref="DW253" ca="1">(1-$B$18)*SUMPRODUCT(OFFSET($BO$15,0,0,$B$14,1), 1*(_xlfn._xlws.FILTER(OFFSET($O$15,0,$DN253,$B$8,1),OFFSET($M$15,0,0,$B$8,1))=DW$13), 1*(_xlfn._xlws.FILTER(OFFSET($O$15,0,$DO253,$B$8,1),OFFSET($M$15,0,0,$B$8,1))=DW$14))   /   SUM(OFFSET($BO$15,0,0,$B$14,1)) + $B$18/($B$19*$B$19*($DN253&lt;&gt;$DO253) + $B$19*($DN253=$DO253))</f>
        <v>3.7037037037037035E-4</v>
      </c>
      <c r="DX253" s="10" cm="1">
        <f t="array" aca="1" ref="DX253" ca="1">(1-$B$18)*SUMPRODUCT(OFFSET($BO$15,0,0,$B$14,1), 1*(_xlfn._xlws.FILTER(OFFSET($O$15,0,$DN253,$B$8,1),OFFSET($M$15,0,0,$B$8,1))=DX$13), 1*(_xlfn._xlws.FILTER(OFFSET($O$15,0,$DO253,$B$8,1),OFFSET($M$15,0,0,$B$8,1))=DX$14))   /   SUM(OFFSET($BO$15,0,0,$B$14,1)) + $B$18/($B$19*$B$19*($DN253&lt;&gt;$DO253) + $B$19*($DN253=$DO253))</f>
        <v>0.48537037037037034</v>
      </c>
      <c r="DY253" s="10" cm="1">
        <f t="array" aca="1" ref="DY253" ca="1">(1-$B$18)*SUMPRODUCT(OFFSET($BO$15,0,0,$B$14,1), 1*(_xlfn._xlws.FILTER(OFFSET($O$15,0,$DN253,$B$8,1),OFFSET($M$15,0,0,$B$8,1))=DY$13), 1*(_xlfn._xlws.FILTER(OFFSET($O$15,0,$DO253,$B$8,1),OFFSET($M$15,0,0,$B$8,1))=DY$14))   /   SUM(OFFSET($BO$15,0,0,$B$14,1)) + $B$18/($B$19*$B$19*($DN253&lt;&gt;$DO253) + $B$19*($DN253=$DO253))</f>
        <v>3.7037037037037035E-4</v>
      </c>
      <c r="DZ253" s="10" cm="1">
        <f t="array" aca="1" ref="DZ253" ca="1">(1-$B$18)*SUMPRODUCT(OFFSET($BO$15,0,0,$B$14,1), 1*(_xlfn._xlws.FILTER(OFFSET($O$15,0,$DN253,$B$8,1),OFFSET($M$15,0,0,$B$8,1))=DZ$13), 1*(_xlfn._xlws.FILTER(OFFSET($O$15,0,$DO253,$B$8,1),OFFSET($M$15,0,0,$B$8,1))=DZ$14))   /   SUM(OFFSET($BO$15,0,0,$B$14,1)) + $B$18/($B$19*$B$19*($DN253&lt;&gt;$DO253) + $B$19*($DN253=$DO253))</f>
        <v>0.24287037037037026</v>
      </c>
      <c r="EA253" s="10" cm="1">
        <f t="array" aca="1" ref="EA253" ca="1">(1-$B$18)*SUMPRODUCT(OFFSET($BO$15,0,0,$B$14,1), 1*(_xlfn._xlws.FILTER(OFFSET($O$15,0,$DN253,$B$8,1),OFFSET($M$15,0,0,$B$8,1))=EA$13), 1*(_xlfn._xlws.FILTER(OFFSET($O$15,0,$DO253,$B$8,1),OFFSET($M$15,0,0,$B$8,1))=EA$14))   /   SUM(OFFSET($BO$15,0,0,$B$14,1)) + $B$18/($B$19*$B$19*($DN253&lt;&gt;$DO253) + $B$19*($DN253=$DO253))</f>
        <v>0.24287037037037026</v>
      </c>
      <c r="EB253" s="10" cm="1">
        <f t="array" aca="1" ref="EB253" ca="1">(1-$B$18)*SUMPRODUCT(OFFSET($BO$15,0,0,$B$14,1), 1*(_xlfn._xlws.FILTER(OFFSET($O$15,0,$DN253,$B$8,1),OFFSET($M$15,0,0,$B$8,1))=EB$13), 1*(_xlfn._xlws.FILTER(OFFSET($O$15,0,$DO253,$B$8,1),OFFSET($M$15,0,0,$B$8,1))=EB$14))   /   SUM(OFFSET($BO$15,0,0,$B$14,1)) + $B$18/($B$19*$B$19*($DN253&lt;&gt;$DO253) + $B$19*($DN253=$DO253))</f>
        <v>3.7037037037037035E-4</v>
      </c>
      <c r="EC253" s="10" cm="1">
        <f t="array" aca="1" ref="EC253" ca="1">(1-$B$18)*SUMPRODUCT(OFFSET($BO$15,0,0,$B$14,1), 1*(_xlfn._xlws.FILTER(OFFSET($O$15,0,$DN253,$B$8,1),OFFSET($M$15,0,0,$B$8,1))=EC$13), 1*(_xlfn._xlws.FILTER(OFFSET($O$15,0,$DO253,$B$8,1),OFFSET($M$15,0,0,$B$8,1))=EC$14))   /   SUM(OFFSET($BO$15,0,0,$B$14,1)) + $B$18/($B$19*$B$19*($DN253&lt;&gt;$DO253) + $B$19*($DN253=$DO253))</f>
        <v>3.7037037037037035E-4</v>
      </c>
      <c r="ED253" s="10" cm="1">
        <f t="array" aca="1" ref="ED253" ca="1">(1-$B$18)*SUMPRODUCT(OFFSET($BO$15,0,0,$B$14,1), 1*(_xlfn._xlws.FILTER(OFFSET($O$15,0,$DN253,$B$8,1),OFFSET($M$15,0,0,$B$8,1))=ED$13), 1*(_xlfn._xlws.FILTER(OFFSET($O$15,0,$DO253,$B$8,1),OFFSET($M$15,0,0,$B$8,1))=ED$14))   /   SUM(OFFSET($BO$15,0,0,$B$14,1)) + $B$18/($B$19*$B$19*($DN253&lt;&gt;$DO253) + $B$19*($DN253=$DO253))</f>
        <v>3.7037037037037035E-4</v>
      </c>
      <c r="EE253" s="10" cm="1">
        <f t="array" aca="1" ref="EE253" ca="1">(1-$B$18)*SUMPRODUCT(OFFSET($BO$15,0,0,$B$14,1), 1*(_xlfn._xlws.FILTER(OFFSET($O$15,0,$DN253,$B$8,1),OFFSET($M$15,0,0,$B$8,1))=EE$13), 1*(_xlfn._xlws.FILTER(OFFSET($O$15,0,$DO253,$B$8,1),OFFSET($M$15,0,0,$B$8,1))=EE$14))   /   SUM(OFFSET($BO$15,0,0,$B$14,1)) + $B$18/($B$19*$B$19*($DN253&lt;&gt;$DO253) + $B$19*($DN253=$DO253))</f>
        <v>3.7037037037037035E-4</v>
      </c>
      <c r="EF253" s="10" cm="1">
        <f t="array" aca="1" ref="EF253" ca="1">(1-$B$18)*SUMPRODUCT(OFFSET($BO$15,0,0,$B$14,1), 1*(_xlfn._xlws.FILTER(OFFSET($O$15,0,$DN253,$B$8,1),OFFSET($M$15,0,0,$B$8,1))=EF$13), 1*(_xlfn._xlws.FILTER(OFFSET($O$15,0,$DO253,$B$8,1),OFFSET($M$15,0,0,$B$8,1))=EF$14))   /   SUM(OFFSET($BO$15,0,0,$B$14,1)) + $B$18/($B$19*$B$19*($DN253&lt;&gt;$DO253) + $B$19*($DN253=$DO253))</f>
        <v>3.7037037037037035E-4</v>
      </c>
      <c r="EG253" s="10" cm="1">
        <f t="array" aca="1" ref="EG253" ca="1">(1-$B$18)*SUMPRODUCT(OFFSET($BO$15,0,0,$B$14,1), 1*(_xlfn._xlws.FILTER(OFFSET($O$15,0,$DN253,$B$8,1),OFFSET($M$15,0,0,$B$8,1))=EG$13), 1*(_xlfn._xlws.FILTER(OFFSET($O$15,0,$DO253,$B$8,1),OFFSET($M$15,0,0,$B$8,1))=EG$14))   /   SUM(OFFSET($BO$15,0,0,$B$14,1)) + $B$18/($B$19*$B$19*($DN253&lt;&gt;$DO253) + $B$19*($DN253=$DO253))</f>
        <v>3.7037037037037035E-4</v>
      </c>
      <c r="EH253" s="10" cm="1">
        <f t="array" aca="1" ref="EH253" ca="1">(1-$B$18)*SUMPRODUCT(OFFSET($BO$15,0,0,$B$14,1), 1*(_xlfn._xlws.FILTER(OFFSET($O$15,0,$DN253,$B$8,1),OFFSET($M$15,0,0,$B$8,1))=EH$13), 1*(_xlfn._xlws.FILTER(OFFSET($O$15,0,$DO253,$B$8,1),OFFSET($M$15,0,0,$B$8,1))=EH$14))   /   SUM(OFFSET($BO$15,0,0,$B$14,1)) + $B$18/($B$19*$B$19*($DN253&lt;&gt;$DO253) + $B$19*($DN253=$DO253))</f>
        <v>3.7037037037037035E-4</v>
      </c>
      <c r="EI253" s="10" cm="1">
        <f t="array" aca="1" ref="EI253" ca="1">(1-$B$18)*SUMPRODUCT(OFFSET($BO$15,0,0,$B$14,1), 1*(_xlfn._xlws.FILTER(OFFSET($O$15,0,$DN253,$B$8,1),OFFSET($M$15,0,0,$B$8,1))=EI$13), 1*(_xlfn._xlws.FILTER(OFFSET($O$15,0,$DO253,$B$8,1),OFFSET($M$15,0,0,$B$8,1))=EI$14))   /   SUM(OFFSET($BO$15,0,0,$B$14,1)) + $B$18/($B$19*$B$19*($DN253&lt;&gt;$DO253) + $B$19*($DN253=$DO253))</f>
        <v>3.7037037037037035E-4</v>
      </c>
      <c r="EJ253" s="10" cm="1">
        <f t="array" aca="1" ref="EJ253" ca="1">(1-$B$18)*SUMPRODUCT(OFFSET($BO$15,0,0,$B$14,1), 1*(_xlfn._xlws.FILTER(OFFSET($O$15,0,$DN253,$B$8,1),OFFSET($M$15,0,0,$B$8,1))=EJ$13), 1*(_xlfn._xlws.FILTER(OFFSET($O$15,0,$DO253,$B$8,1),OFFSET($M$15,0,0,$B$8,1))=EJ$14))   /   SUM(OFFSET($BO$15,0,0,$B$14,1)) + $B$18/($B$19*$B$19*($DN253&lt;&gt;$DO253) + $B$19*($DN253=$DO253))</f>
        <v>3.7037037037037035E-4</v>
      </c>
      <c r="EK253" s="10" cm="1">
        <f t="array" aca="1" ref="EK253" ca="1">(1-$B$18)*SUMPRODUCT(OFFSET($BO$15,0,0,$B$14,1), 1*(_xlfn._xlws.FILTER(OFFSET($O$15,0,$DN253,$B$8,1),OFFSET($M$15,0,0,$B$8,1))=EK$13), 1*(_xlfn._xlws.FILTER(OFFSET($O$15,0,$DO253,$B$8,1),OFFSET($M$15,0,0,$B$8,1))=EK$14))   /   SUM(OFFSET($BO$15,0,0,$B$14,1)) + $B$18/($B$19*$B$19*($DN253&lt;&gt;$DO253) + $B$19*($DN253=$DO253))</f>
        <v>3.7037037037037035E-4</v>
      </c>
      <c r="EL253" s="10" cm="1">
        <f t="array" aca="1" ref="EL253" ca="1">(1-$B$18)*SUMPRODUCT(OFFSET($BO$15,0,0,$B$14,1), 1*(_xlfn._xlws.FILTER(OFFSET($O$15,0,$DN253,$B$8,1),OFFSET($M$15,0,0,$B$8,1))=EL$13), 1*(_xlfn._xlws.FILTER(OFFSET($O$15,0,$DO253,$B$8,1),OFFSET($M$15,0,0,$B$8,1))=EL$14))   /   SUM(OFFSET($BO$15,0,0,$B$14,1)) + $B$18/($B$19*$B$19*($DN253&lt;&gt;$DO253) + $B$19*($DN253=$DO253))</f>
        <v>3.7037037037037035E-4</v>
      </c>
      <c r="EM253" s="10" cm="1">
        <f t="array" aca="1" ref="EM253" ca="1">(1-$B$18)*SUMPRODUCT(OFFSET($BO$15,0,0,$B$14,1), 1*(_xlfn._xlws.FILTER(OFFSET($O$15,0,$DN253,$B$8,1),OFFSET($M$15,0,0,$B$8,1))=EM$13), 1*(_xlfn._xlws.FILTER(OFFSET($O$15,0,$DO253,$B$8,1),OFFSET($M$15,0,0,$B$8,1))=EM$14))   /   SUM(OFFSET($BO$15,0,0,$B$14,1)) + $B$18/($B$19*$B$19*($DN253&lt;&gt;$DO253) + $B$19*($DN253=$DO253))</f>
        <v>3.7037037037037035E-4</v>
      </c>
      <c r="EN253" s="10" cm="1">
        <f t="array" aca="1" ref="EN253" ca="1">(1-$B$18)*SUMPRODUCT(OFFSET($BO$15,0,0,$B$14,1), 1*(_xlfn._xlws.FILTER(OFFSET($O$15,0,$DN253,$B$8,1),OFFSET($M$15,0,0,$B$8,1))=EN$13), 1*(_xlfn._xlws.FILTER(OFFSET($O$15,0,$DO253,$B$8,1),OFFSET($M$15,0,0,$B$8,1))=EN$14))   /   SUM(OFFSET($BO$15,0,0,$B$14,1)) + $B$18/($B$19*$B$19*($DN253&lt;&gt;$DO253) + $B$19*($DN253=$DO253))</f>
        <v>3.7037037037037035E-4</v>
      </c>
      <c r="EO253" s="10" cm="1">
        <f t="array" aca="1" ref="EO253" ca="1">(1-$B$18)*SUMPRODUCT(OFFSET($BO$15,0,0,$B$14,1), 1*(_xlfn._xlws.FILTER(OFFSET($O$15,0,$DN253,$B$8,1),OFFSET($M$15,0,0,$B$8,1))=EO$13), 1*(_xlfn._xlws.FILTER(OFFSET($O$15,0,$DO253,$B$8,1),OFFSET($M$15,0,0,$B$8,1))=EO$14))   /   SUM(OFFSET($BO$15,0,0,$B$14,1)) + $B$18/($B$19*$B$19*($DN253&lt;&gt;$DO253) + $B$19*($DN253=$DO253))</f>
        <v>3.7037037037037035E-4</v>
      </c>
      <c r="EP253" s="10" cm="1">
        <f t="array" aca="1" ref="EP253" ca="1">(1-$B$18)*SUMPRODUCT(OFFSET($BO$15,0,0,$B$14,1), 1*(_xlfn._xlws.FILTER(OFFSET($O$15,0,$DN253,$B$8,1),OFFSET($M$15,0,0,$B$8,1))=EP$13), 1*(_xlfn._xlws.FILTER(OFFSET($O$15,0,$DO253,$B$8,1),OFFSET($M$15,0,0,$B$8,1))=EP$14))   /   SUM(OFFSET($BO$15,0,0,$B$14,1)) + $B$18/($B$19*$B$19*($DN253&lt;&gt;$DO253) + $B$19*($DN253=$DO253))</f>
        <v>3.7037037037037035E-4</v>
      </c>
      <c r="EQ253" s="10" cm="1">
        <f t="array" aca="1" ref="EQ253" ca="1">(1-$B$18)*SUMPRODUCT(OFFSET($BO$15,0,0,$B$14,1), 1*(_xlfn._xlws.FILTER(OFFSET($O$15,0,$DN253,$B$8,1),OFFSET($M$15,0,0,$B$8,1))=EQ$13), 1*(_xlfn._xlws.FILTER(OFFSET($O$15,0,$DO253,$B$8,1),OFFSET($M$15,0,0,$B$8,1))=EQ$14))   /   SUM(OFFSET($BO$15,0,0,$B$14,1)) + $B$18/($B$19*$B$19*($DN253&lt;&gt;$DO253) + $B$19*($DN253=$DO253))</f>
        <v>3.7037037037037035E-4</v>
      </c>
      <c r="ER253" s="10" cm="1">
        <f t="array" aca="1" ref="ER253" ca="1">(1-$B$18)*SUMPRODUCT(OFFSET($BO$15,0,0,$B$14,1), 1*(_xlfn._xlws.FILTER(OFFSET($O$15,0,$DN253,$B$8,1),OFFSET($M$15,0,0,$B$8,1))=ER$13), 1*(_xlfn._xlws.FILTER(OFFSET($O$15,0,$DO253,$B$8,1),OFFSET($M$15,0,0,$B$8,1))=ER$14))   /   SUM(OFFSET($BO$15,0,0,$B$14,1)) + $B$18/($B$19*$B$19*($DN253&lt;&gt;$DO253) + $B$19*($DN253=$DO253))</f>
        <v>3.7037037037037035E-4</v>
      </c>
      <c r="ES253" s="10" cm="1">
        <f t="array" aca="1" ref="ES253" ca="1">(1-$B$18)*SUMPRODUCT(OFFSET($BO$15,0,0,$B$14,1), 1*(_xlfn._xlws.FILTER(OFFSET($O$15,0,$DN253,$B$8,1),OFFSET($M$15,0,0,$B$8,1))=ES$13), 1*(_xlfn._xlws.FILTER(OFFSET($O$15,0,$DO253,$B$8,1),OFFSET($M$15,0,0,$B$8,1))=ES$14))   /   SUM(OFFSET($BO$15,0,0,$B$14,1)) + $B$18/($B$19*$B$19*($DN253&lt;&gt;$DO253) + $B$19*($DN253=$DO253))</f>
        <v>3.7037037037037035E-4</v>
      </c>
      <c r="ET253" s="10" cm="1">
        <f t="array" aca="1" ref="ET253" ca="1">(1-$B$18)*SUMPRODUCT(OFFSET($BO$15,0,0,$B$14,1), 1*(_xlfn._xlws.FILTER(OFFSET($O$15,0,$DN253,$B$8,1),OFFSET($M$15,0,0,$B$8,1))=ET$13), 1*(_xlfn._xlws.FILTER(OFFSET($O$15,0,$DO253,$B$8,1),OFFSET($M$15,0,0,$B$8,1))=ET$14))   /   SUM(OFFSET($BO$15,0,0,$B$14,1)) + $B$18/($B$19*$B$19*($DN253&lt;&gt;$DO253) + $B$19*($DN253=$DO253))</f>
        <v>3.7037037037037035E-4</v>
      </c>
      <c r="EU253" s="10" cm="1">
        <f t="array" aca="1" ref="EU253" ca="1">(1-$B$18)*SUMPRODUCT(OFFSET($BO$15,0,0,$B$14,1), 1*(_xlfn._xlws.FILTER(OFFSET($O$15,0,$DN253,$B$8,1),OFFSET($M$15,0,0,$B$8,1))=EU$13), 1*(_xlfn._xlws.FILTER(OFFSET($O$15,0,$DO253,$B$8,1),OFFSET($M$15,0,0,$B$8,1))=EU$14))   /   SUM(OFFSET($BO$15,0,0,$B$14,1)) + $B$18/($B$19*$B$19*($DN253&lt;&gt;$DO253) + $B$19*($DN253=$DO253))</f>
        <v>3.7037037037037035E-4</v>
      </c>
      <c r="EV253" s="10" cm="1">
        <f t="array" aca="1" ref="EV253" ca="1">(1-$B$18)*SUMPRODUCT(OFFSET($BO$15,0,0,$B$14,1), 1*(_xlfn._xlws.FILTER(OFFSET($O$15,0,$DN253,$B$8,1),OFFSET($M$15,0,0,$B$8,1))=EV$13), 1*(_xlfn._xlws.FILTER(OFFSET($O$15,0,$DO253,$B$8,1),OFFSET($M$15,0,0,$B$8,1))=EV$14))   /   SUM(OFFSET($BO$15,0,0,$B$14,1)) + $B$18/($B$19*$B$19*($DN253&lt;&gt;$DO253) + $B$19*($DN253=$DO253))</f>
        <v>3.7037037037037035E-4</v>
      </c>
      <c r="EW253" s="10" cm="1">
        <f t="array" aca="1" ref="EW253" ca="1">(1-$B$18)*SUMPRODUCT(OFFSET($BO$15,0,0,$B$14,1), 1*(_xlfn._xlws.FILTER(OFFSET($O$15,0,$DN253,$B$8,1),OFFSET($M$15,0,0,$B$8,1))=EW$13), 1*(_xlfn._xlws.FILTER(OFFSET($O$15,0,$DO253,$B$8,1),OFFSET($M$15,0,0,$B$8,1))=EW$14))   /   SUM(OFFSET($BO$15,0,0,$B$14,1)) + $B$18/($B$19*$B$19*($DN253&lt;&gt;$DO253) + $B$19*($DN253=$DO253))</f>
        <v>3.7037037037037035E-4</v>
      </c>
      <c r="EX253" s="10" cm="1">
        <f t="array" aca="1" ref="EX253" ca="1">(1-$B$18)*SUMPRODUCT(OFFSET($BO$15,0,0,$B$14,1), 1*(_xlfn._xlws.FILTER(OFFSET($O$15,0,$DN253,$B$8,1),OFFSET($M$15,0,0,$B$8,1))=EX$13), 1*(_xlfn._xlws.FILTER(OFFSET($O$15,0,$DO253,$B$8,1),OFFSET($M$15,0,0,$B$8,1))=EX$14))   /   SUM(OFFSET($BO$15,0,0,$B$14,1)) + $B$18/($B$19*$B$19*($DN253&lt;&gt;$DO253) + $B$19*($DN253=$DO253))</f>
        <v>3.7037037037037035E-4</v>
      </c>
      <c r="EY253" s="10" cm="1">
        <f t="array" aca="1" ref="EY253" ca="1">(1-$B$18)*SUMPRODUCT(OFFSET($BO$15,0,0,$B$14,1), 1*(_xlfn._xlws.FILTER(OFFSET($O$15,0,$DN253,$B$8,1),OFFSET($M$15,0,0,$B$8,1))=EY$13), 1*(_xlfn._xlws.FILTER(OFFSET($O$15,0,$DO253,$B$8,1),OFFSET($M$15,0,0,$B$8,1))=EY$14))   /   SUM(OFFSET($BO$15,0,0,$B$14,1)) + $B$18/($B$19*$B$19*($DN253&lt;&gt;$DO253) + $B$19*($DN253=$DO253))</f>
        <v>3.7037037037037035E-4</v>
      </c>
      <c r="EZ253" s="10" cm="1">
        <f t="array" aca="1" ref="EZ253" ca="1">(1-$B$18)*SUMPRODUCT(OFFSET($BO$15,0,0,$B$14,1), 1*(_xlfn._xlws.FILTER(OFFSET($O$15,0,$DN253,$B$8,1),OFFSET($M$15,0,0,$B$8,1))=EZ$13), 1*(_xlfn._xlws.FILTER(OFFSET($O$15,0,$DO253,$B$8,1),OFFSET($M$15,0,0,$B$8,1))=EZ$14))   /   SUM(OFFSET($BO$15,0,0,$B$14,1)) + $B$18/($B$19*$B$19*($DN253&lt;&gt;$DO253) + $B$19*($DN253=$DO253))</f>
        <v>3.7037037037037035E-4</v>
      </c>
      <c r="FA253" s="10" cm="1">
        <f t="array" aca="1" ref="FA253" ca="1">(1-$B$18)*SUMPRODUCT(OFFSET($BO$15,0,0,$B$14,1), 1*(_xlfn._xlws.FILTER(OFFSET($O$15,0,$DN253,$B$8,1),OFFSET($M$15,0,0,$B$8,1))=FA$13), 1*(_xlfn._xlws.FILTER(OFFSET($O$15,0,$DO253,$B$8,1),OFFSET($M$15,0,0,$B$8,1))=FA$14))   /   SUM(OFFSET($BO$15,0,0,$B$14,1)) + $B$18/($B$19*$B$19*($DN253&lt;&gt;$DO253) + $B$19*($DN253=$DO253))</f>
        <v>3.7037037037037035E-4</v>
      </c>
      <c r="FB253" s="10" cm="1">
        <f t="array" aca="1" ref="FB253" ca="1">(1-$B$18)*SUMPRODUCT(OFFSET($BO$15,0,0,$B$14,1), 1*(_xlfn._xlws.FILTER(OFFSET($O$15,0,$DN253,$B$8,1),OFFSET($M$15,0,0,$B$8,1))=FB$13), 1*(_xlfn._xlws.FILTER(OFFSET($O$15,0,$DO253,$B$8,1),OFFSET($M$15,0,0,$B$8,1))=FB$14))   /   SUM(OFFSET($BO$15,0,0,$B$14,1)) + $B$18/($B$19*$B$19*($DN253&lt;&gt;$DO253) + $B$19*($DN253=$DO253))</f>
        <v>3.7037037037037035E-4</v>
      </c>
      <c r="FC253" s="10" cm="1">
        <f t="array" aca="1" ref="FC253" ca="1">(1-$B$18)*SUMPRODUCT(OFFSET($BO$15,0,0,$B$14,1), 1*(_xlfn._xlws.FILTER(OFFSET($O$15,0,$DN253,$B$8,1),OFFSET($M$15,0,0,$B$8,1))=FC$13), 1*(_xlfn._xlws.FILTER(OFFSET($O$15,0,$DO253,$B$8,1),OFFSET($M$15,0,0,$B$8,1))=FC$14))   /   SUM(OFFSET($BO$15,0,0,$B$14,1)) + $B$18/($B$19*$B$19*($DN253&lt;&gt;$DO253) + $B$19*($DN253=$DO253))</f>
        <v>3.7037037037037035E-4</v>
      </c>
      <c r="FD253" s="10" cm="1">
        <f t="array" aca="1" ref="FD253" ca="1">(1-$B$18)*SUMPRODUCT(OFFSET($BO$15,0,0,$B$14,1), 1*(_xlfn._xlws.FILTER(OFFSET($O$15,0,$DN253,$B$8,1),OFFSET($M$15,0,0,$B$8,1))=FD$13), 1*(_xlfn._xlws.FILTER(OFFSET($O$15,0,$DO253,$B$8,1),OFFSET($M$15,0,0,$B$8,1))=FD$14))   /   SUM(OFFSET($BO$15,0,0,$B$14,1)) + $B$18/($B$19*$B$19*($DN253&lt;&gt;$DO253) + $B$19*($DN253=$DO253))</f>
        <v>3.7037037037037035E-4</v>
      </c>
      <c r="FE253" s="10" cm="1">
        <f t="array" aca="1" ref="FE253" ca="1">(1-$B$18)*SUMPRODUCT(OFFSET($BO$15,0,0,$B$14,1), 1*(_xlfn._xlws.FILTER(OFFSET($O$15,0,$DN253,$B$8,1),OFFSET($M$15,0,0,$B$8,1))=FE$13), 1*(_xlfn._xlws.FILTER(OFFSET($O$15,0,$DO253,$B$8,1),OFFSET($M$15,0,0,$B$8,1))=FE$14))   /   SUM(OFFSET($BO$15,0,0,$B$14,1)) + $B$18/($B$19*$B$19*($DN253&lt;&gt;$DO253) + $B$19*($DN253=$DO253))</f>
        <v>3.7037037037037035E-4</v>
      </c>
      <c r="FF253" s="10" cm="1">
        <f t="array" aca="1" ref="FF253" ca="1">(1-$B$18)*SUMPRODUCT(OFFSET($BO$15,0,0,$B$14,1), 1*(_xlfn._xlws.FILTER(OFFSET($O$15,0,$DN253,$B$8,1),OFFSET($M$15,0,0,$B$8,1))=FF$13), 1*(_xlfn._xlws.FILTER(OFFSET($O$15,0,$DO253,$B$8,1),OFFSET($M$15,0,0,$B$8,1))=FF$14))   /   SUM(OFFSET($BO$15,0,0,$B$14,1)) + $B$18/($B$19*$B$19*($DN253&lt;&gt;$DO253) + $B$19*($DN253=$DO253))</f>
        <v>3.7037037037037035E-4</v>
      </c>
      <c r="FG253" s="10" cm="1">
        <f t="array" aca="1" ref="FG253" ca="1">(1-$B$18)*SUMPRODUCT(OFFSET($BO$15,0,0,$B$14,1), 1*(_xlfn._xlws.FILTER(OFFSET($O$15,0,$DN253,$B$8,1),OFFSET($M$15,0,0,$B$8,1))=FG$13), 1*(_xlfn._xlws.FILTER(OFFSET($O$15,0,$DO253,$B$8,1),OFFSET($M$15,0,0,$B$8,1))=FG$14))   /   SUM(OFFSET($BO$15,0,0,$B$14,1)) + $B$18/($B$19*$B$19*($DN253&lt;&gt;$DO253) + $B$19*($DN253=$DO253))</f>
        <v>3.7037037037037035E-4</v>
      </c>
      <c r="FH253" s="10" cm="1">
        <f t="array" aca="1" ref="FH253" ca="1">(1-$B$18)*SUMPRODUCT(OFFSET($BO$15,0,0,$B$14,1), 1*(_xlfn._xlws.FILTER(OFFSET($O$15,0,$DN253,$B$8,1),OFFSET($M$15,0,0,$B$8,1))=FH$13), 1*(_xlfn._xlws.FILTER(OFFSET($O$15,0,$DO253,$B$8,1),OFFSET($M$15,0,0,$B$8,1))=FH$14))   /   SUM(OFFSET($BO$15,0,0,$B$14,1)) + $B$18/($B$19*$B$19*($DN253&lt;&gt;$DO253) + $B$19*($DN253=$DO253))</f>
        <v>3.7037037037037035E-4</v>
      </c>
      <c r="FI253" s="10" cm="1">
        <f t="array" aca="1" ref="FI253" ca="1">(1-$B$18)*SUMPRODUCT(OFFSET($BO$15,0,0,$B$14,1), 1*(_xlfn._xlws.FILTER(OFFSET($O$15,0,$DN253,$B$8,1),OFFSET($M$15,0,0,$B$8,1))=FI$13), 1*(_xlfn._xlws.FILTER(OFFSET($O$15,0,$DO253,$B$8,1),OFFSET($M$15,0,0,$B$8,1))=FI$14))   /   SUM(OFFSET($BO$15,0,0,$B$14,1)) + $B$18/($B$19*$B$19*($DN253&lt;&gt;$DO253) + $B$19*($DN253=$DO253))</f>
        <v>3.7037037037037035E-4</v>
      </c>
      <c r="FJ253" s="10" cm="1">
        <f t="array" aca="1" ref="FJ253" ca="1">(1-$B$18)*SUMPRODUCT(OFFSET($BO$15,0,0,$B$14,1), 1*(_xlfn._xlws.FILTER(OFFSET($O$15,0,$DN253,$B$8,1),OFFSET($M$15,0,0,$B$8,1))=FJ$13), 1*(_xlfn._xlws.FILTER(OFFSET($O$15,0,$DO253,$B$8,1),OFFSET($M$15,0,0,$B$8,1))=FJ$14))   /   SUM(OFFSET($BO$15,0,0,$B$14,1)) + $B$18/($B$19*$B$19*($DN253&lt;&gt;$DO253) + $B$19*($DN253=$DO253))</f>
        <v>3.7037037037037035E-4</v>
      </c>
      <c r="FK253" s="10" cm="1">
        <f t="array" aca="1" ref="FK253" ca="1">(1-$B$18)*SUMPRODUCT(OFFSET($BO$15,0,0,$B$14,1), 1*(_xlfn._xlws.FILTER(OFFSET($O$15,0,$DN253,$B$8,1),OFFSET($M$15,0,0,$B$8,1))=FK$13), 1*(_xlfn._xlws.FILTER(OFFSET($O$15,0,$DO253,$B$8,1),OFFSET($M$15,0,0,$B$8,1))=FK$14))   /   SUM(OFFSET($BO$15,0,0,$B$14,1)) + $B$18/($B$19*$B$19*($DN253&lt;&gt;$DO253) + $B$19*($DN253=$DO253))</f>
        <v>3.7037037037037035E-4</v>
      </c>
      <c r="FL253" s="10" cm="1">
        <f t="array" aca="1" ref="FL253" ca="1">(1-$B$18)*SUMPRODUCT(OFFSET($BO$15,0,0,$B$14,1), 1*(_xlfn._xlws.FILTER(OFFSET($O$15,0,$DN253,$B$8,1),OFFSET($M$15,0,0,$B$8,1))=FL$13), 1*(_xlfn._xlws.FILTER(OFFSET($O$15,0,$DO253,$B$8,1),OFFSET($M$15,0,0,$B$8,1))=FL$14))   /   SUM(OFFSET($BO$15,0,0,$B$14,1)) + $B$18/($B$19*$B$19*($DN253&lt;&gt;$DO253) + $B$19*($DN253=$DO253))</f>
        <v>3.7037037037037035E-4</v>
      </c>
      <c r="FM253" s="10" cm="1">
        <f t="array" aca="1" ref="FM253" ca="1">(1-$B$18)*SUMPRODUCT(OFFSET($BO$15,0,0,$B$14,1), 1*(_xlfn._xlws.FILTER(OFFSET($O$15,0,$DN253,$B$8,1),OFFSET($M$15,0,0,$B$8,1))=FM$13), 1*(_xlfn._xlws.FILTER(OFFSET($O$15,0,$DO253,$B$8,1),OFFSET($M$15,0,0,$B$8,1))=FM$14))   /   SUM(OFFSET($BO$15,0,0,$B$14,1)) + $B$18/($B$19*$B$19*($DN253&lt;&gt;$DO253) + $B$19*($DN253=$DO253))</f>
        <v>3.7037037037037035E-4</v>
      </c>
      <c r="FN253" s="10" cm="1">
        <f t="array" aca="1" ref="FN253" ca="1">(1-$B$18)*SUMPRODUCT(OFFSET($BO$15,0,0,$B$14,1), 1*(_xlfn._xlws.FILTER(OFFSET($O$15,0,$DN253,$B$8,1),OFFSET($M$15,0,0,$B$8,1))=FN$13), 1*(_xlfn._xlws.FILTER(OFFSET($O$15,0,$DO253,$B$8,1),OFFSET($M$15,0,0,$B$8,1))=FN$14))   /   SUM(OFFSET($BO$15,0,0,$B$14,1)) + $B$18/($B$19*$B$19*($DN253&lt;&gt;$DO253) + $B$19*($DN253=$DO253))</f>
        <v>3.7037037037037035E-4</v>
      </c>
      <c r="FO253" s="10" cm="1">
        <f t="array" aca="1" ref="FO253" ca="1">(1-$B$18)*SUMPRODUCT(OFFSET($BO$15,0,0,$B$14,1), 1*(_xlfn._xlws.FILTER(OFFSET($O$15,0,$DN253,$B$8,1),OFFSET($M$15,0,0,$B$8,1))=FO$13), 1*(_xlfn._xlws.FILTER(OFFSET($O$15,0,$DO253,$B$8,1),OFFSET($M$15,0,0,$B$8,1))=FO$14))   /   SUM(OFFSET($BO$15,0,0,$B$14,1)) + $B$18/($B$19*$B$19*($DN253&lt;&gt;$DO253) + $B$19*($DN253=$DO253))</f>
        <v>3.7037037037037035E-4</v>
      </c>
      <c r="FP253" s="10" cm="1">
        <f t="array" aca="1" ref="FP253" ca="1">(1-$B$18)*SUMPRODUCT(OFFSET($BO$15,0,0,$B$14,1), 1*(_xlfn._xlws.FILTER(OFFSET($O$15,0,$DN253,$B$8,1),OFFSET($M$15,0,0,$B$8,1))=FP$13), 1*(_xlfn._xlws.FILTER(OFFSET($O$15,0,$DO253,$B$8,1),OFFSET($M$15,0,0,$B$8,1))=FP$14))   /   SUM(OFFSET($BO$15,0,0,$B$14,1)) + $B$18/($B$19*$B$19*($DN253&lt;&gt;$DO253) + $B$19*($DN253=$DO253))</f>
        <v>3.7037037037037035E-4</v>
      </c>
      <c r="FQ253" s="10" cm="1">
        <f t="array" aca="1" ref="FQ253" ca="1">(1-$B$18)*SUMPRODUCT(OFFSET($BO$15,0,0,$B$14,1), 1*(_xlfn._xlws.FILTER(OFFSET($O$15,0,$DN253,$B$8,1),OFFSET($M$15,0,0,$B$8,1))=FQ$13), 1*(_xlfn._xlws.FILTER(OFFSET($O$15,0,$DO253,$B$8,1),OFFSET($M$15,0,0,$B$8,1))=FQ$14))   /   SUM(OFFSET($BO$15,0,0,$B$14,1)) + $B$18/($B$19*$B$19*($DN253&lt;&gt;$DO253) + $B$19*($DN253=$DO253))</f>
        <v>3.7037037037037035E-4</v>
      </c>
      <c r="FR253" s="10" cm="1">
        <f t="array" aca="1" ref="FR253" ca="1">(1-$B$18)*SUMPRODUCT(OFFSET($BO$15,0,0,$B$14,1), 1*(_xlfn._xlws.FILTER(OFFSET($O$15,0,$DN253,$B$8,1),OFFSET($M$15,0,0,$B$8,1))=FR$13), 1*(_xlfn._xlws.FILTER(OFFSET($O$15,0,$DO253,$B$8,1),OFFSET($M$15,0,0,$B$8,1))=FR$14))   /   SUM(OFFSET($BO$15,0,0,$B$14,1)) + $B$18/($B$19*$B$19*($DN253&lt;&gt;$DO253) + $B$19*($DN253=$DO253))</f>
        <v>3.7037037037037035E-4</v>
      </c>
      <c r="FS253" s="10" cm="1">
        <f t="array" aca="1" ref="FS253" ca="1">(1-$B$18)*SUMPRODUCT(OFFSET($BO$15,0,0,$B$14,1), 1*(_xlfn._xlws.FILTER(OFFSET($O$15,0,$DN253,$B$8,1),OFFSET($M$15,0,0,$B$8,1))=FS$13), 1*(_xlfn._xlws.FILTER(OFFSET($O$15,0,$DO253,$B$8,1),OFFSET($M$15,0,0,$B$8,1))=FS$14))   /   SUM(OFFSET($BO$15,0,0,$B$14,1)) + $B$18/($B$19*$B$19*($DN253&lt;&gt;$DO253) + $B$19*($DN253=$DO253))</f>
        <v>3.7037037037037035E-4</v>
      </c>
      <c r="FT253" s="10" cm="1">
        <f t="array" aca="1" ref="FT253" ca="1">(1-$B$18)*SUMPRODUCT(OFFSET($BO$15,0,0,$B$14,1), 1*(_xlfn._xlws.FILTER(OFFSET($O$15,0,$DN253,$B$8,1),OFFSET($M$15,0,0,$B$8,1))=FT$13), 1*(_xlfn._xlws.FILTER(OFFSET($O$15,0,$DO253,$B$8,1),OFFSET($M$15,0,0,$B$8,1))=FT$14))   /   SUM(OFFSET($BO$15,0,0,$B$14,1)) + $B$18/($B$19*$B$19*($DN253&lt;&gt;$DO253) + $B$19*($DN253=$DO253))</f>
        <v>3.7037037037037035E-4</v>
      </c>
      <c r="FU253" s="10" cm="1">
        <f t="array" aca="1" ref="FU253" ca="1">(1-$B$18)*SUMPRODUCT(OFFSET($BO$15,0,0,$B$14,1), 1*(_xlfn._xlws.FILTER(OFFSET($O$15,0,$DN253,$B$8,1),OFFSET($M$15,0,0,$B$8,1))=FU$13), 1*(_xlfn._xlws.FILTER(OFFSET($O$15,0,$DO253,$B$8,1),OFFSET($M$15,0,0,$B$8,1))=FU$14))   /   SUM(OFFSET($BO$15,0,0,$B$14,1)) + $B$18/($B$19*$B$19*($DN253&lt;&gt;$DO253) + $B$19*($DN253=$DO253))</f>
        <v>3.7037037037037035E-4</v>
      </c>
      <c r="FV253" s="10" cm="1">
        <f t="array" aca="1" ref="FV253" ca="1">(1-$B$18)*SUMPRODUCT(OFFSET($BO$15,0,0,$B$14,1), 1*(_xlfn._xlws.FILTER(OFFSET($O$15,0,$DN253,$B$8,1),OFFSET($M$15,0,0,$B$8,1))=FV$13), 1*(_xlfn._xlws.FILTER(OFFSET($O$15,0,$DO253,$B$8,1),OFFSET($M$15,0,0,$B$8,1))=FV$14))   /   SUM(OFFSET($BO$15,0,0,$B$14,1)) + $B$18/($B$19*$B$19*($DN253&lt;&gt;$DO253) + $B$19*($DN253=$DO253))</f>
        <v>3.7037037037037035E-4</v>
      </c>
      <c r="FW253" s="10" cm="1">
        <f t="array" aca="1" ref="FW253" ca="1">(1-$B$18)*SUMPRODUCT(OFFSET($BO$15,0,0,$B$14,1), 1*(_xlfn._xlws.FILTER(OFFSET($O$15,0,$DN253,$B$8,1),OFFSET($M$15,0,0,$B$8,1))=FW$13), 1*(_xlfn._xlws.FILTER(OFFSET($O$15,0,$DO253,$B$8,1),OFFSET($M$15,0,0,$B$8,1))=FW$14))   /   SUM(OFFSET($BO$15,0,0,$B$14,1)) + $B$18/($B$19*$B$19*($DN253&lt;&gt;$DO253) + $B$19*($DN253=$DO253))</f>
        <v>3.7037037037037035E-4</v>
      </c>
      <c r="FX253" s="10" cm="1">
        <f t="array" aca="1" ref="FX253" ca="1">(1-$B$18)*SUMPRODUCT(OFFSET($BO$15,0,0,$B$14,1), 1*(_xlfn._xlws.FILTER(OFFSET($O$15,0,$DN253,$B$8,1),OFFSET($M$15,0,0,$B$8,1))=FX$13), 1*(_xlfn._xlws.FILTER(OFFSET($O$15,0,$DO253,$B$8,1),OFFSET($M$15,0,0,$B$8,1))=FX$14))   /   SUM(OFFSET($BO$15,0,0,$B$14,1)) + $B$18/($B$19*$B$19*($DN253&lt;&gt;$DO253) + $B$19*($DN253=$DO253))</f>
        <v>3.7037037037037035E-4</v>
      </c>
      <c r="FY253" s="10" cm="1">
        <f t="array" aca="1" ref="FY253" ca="1">(1-$B$18)*SUMPRODUCT(OFFSET($BO$15,0,0,$B$14,1), 1*(_xlfn._xlws.FILTER(OFFSET($O$15,0,$DN253,$B$8,1),OFFSET($M$15,0,0,$B$8,1))=FY$13), 1*(_xlfn._xlws.FILTER(OFFSET($O$15,0,$DO253,$B$8,1),OFFSET($M$15,0,0,$B$8,1))=FY$14))   /   SUM(OFFSET($BO$15,0,0,$B$14,1)) + $B$18/($B$19*$B$19*($DN253&lt;&gt;$DO253) + $B$19*($DN253=$DO253))</f>
        <v>3.7037037037037035E-4</v>
      </c>
      <c r="FZ253" s="10" cm="1">
        <f t="array" aca="1" ref="FZ253" ca="1">(1-$B$18)*SUMPRODUCT(OFFSET($BO$15,0,0,$B$14,1), 1*(_xlfn._xlws.FILTER(OFFSET($O$15,0,$DN253,$B$8,1),OFFSET($M$15,0,0,$B$8,1))=FZ$13), 1*(_xlfn._xlws.FILTER(OFFSET($O$15,0,$DO253,$B$8,1),OFFSET($M$15,0,0,$B$8,1))=FZ$14))   /   SUM(OFFSET($BO$15,0,0,$B$14,1)) + $B$18/($B$19*$B$19*($DN253&lt;&gt;$DO253) + $B$19*($DN253=$DO253))</f>
        <v>3.7037037037037035E-4</v>
      </c>
      <c r="GA253" s="10" cm="1">
        <f t="array" aca="1" ref="GA253" ca="1">(1-$B$18)*SUMPRODUCT(OFFSET($BO$15,0,0,$B$14,1), 1*(_xlfn._xlws.FILTER(OFFSET($O$15,0,$DN253,$B$8,1),OFFSET($M$15,0,0,$B$8,1))=GA$13), 1*(_xlfn._xlws.FILTER(OFFSET($O$15,0,$DO253,$B$8,1),OFFSET($M$15,0,0,$B$8,1))=GA$14))   /   SUM(OFFSET($BO$15,0,0,$B$14,1)) + $B$18/($B$19*$B$19*($DN253&lt;&gt;$DO253) + $B$19*($DN253=$DO253))</f>
        <v>3.7037037037037035E-4</v>
      </c>
    </row>
    <row r="254" spans="118:183" x14ac:dyDescent="0.2">
      <c r="DN254" cm="1">
        <f t="array" aca="1" ref="DN254" ca="1">INDEX(_xlfn.ANCHORARRAY($CP$15), 1 + INT((ROWS($DO$15:$DO254) - 1) / ROWS(_xlfn.ANCHORARRAY($CP$15))))</f>
        <v>13</v>
      </c>
      <c r="DO254" cm="1">
        <f t="array" aca="1" ref="DO254" ca="1">INDEX(_xlfn.ANCHORARRAY($CP$15),1+MOD(ROWS($DO$15:$DO254)-1,ROWS(_xlfn.ANCHORARRAY($CP$15))))</f>
        <v>12</v>
      </c>
      <c r="DP254" s="10" cm="1">
        <f t="array" aca="1" ref="DP254" ca="1">(1-$B$18)*SUMPRODUCT(OFFSET($BO$15,0,0,$B$14,1), 1*(_xlfn._xlws.FILTER(OFFSET($O$15,0,$DN254,$B$8,1),OFFSET($M$15,0,0,$B$8,1))=DP$13), 1*(_xlfn._xlws.FILTER(OFFSET($O$15,0,$DO254,$B$8,1),OFFSET($M$15,0,0,$B$8,1))=DP$14))   /   SUM(OFFSET($BO$15,0,0,$B$14,1)) + $B$18/($B$19*$B$19*($DN254&lt;&gt;$DO254) + $B$19*($DN254=$DO254))</f>
        <v>3.7037037037037035E-4</v>
      </c>
      <c r="DQ254" s="10" cm="1">
        <f t="array" aca="1" ref="DQ254" ca="1">(1-$B$18)*SUMPRODUCT(OFFSET($BO$15,0,0,$B$14,1), 1*(_xlfn._xlws.FILTER(OFFSET($O$15,0,$DN254,$B$8,1),OFFSET($M$15,0,0,$B$8,1))=DQ$13), 1*(_xlfn._xlws.FILTER(OFFSET($O$15,0,$DO254,$B$8,1),OFFSET($M$15,0,0,$B$8,1))=DQ$14))   /   SUM(OFFSET($BO$15,0,0,$B$14,1)) + $B$18/($B$19*$B$19*($DN254&lt;&gt;$DO254) + $B$19*($DN254=$DO254))</f>
        <v>3.7037037037037035E-4</v>
      </c>
      <c r="DR254" s="10" cm="1">
        <f t="array" aca="1" ref="DR254" ca="1">(1-$B$18)*SUMPRODUCT(OFFSET($BO$15,0,0,$B$14,1), 1*(_xlfn._xlws.FILTER(OFFSET($O$15,0,$DN254,$B$8,1),OFFSET($M$15,0,0,$B$8,1))=DR$13), 1*(_xlfn._xlws.FILTER(OFFSET($O$15,0,$DO254,$B$8,1),OFFSET($M$15,0,0,$B$8,1))=DR$14))   /   SUM(OFFSET($BO$15,0,0,$B$14,1)) + $B$18/($B$19*$B$19*($DN254&lt;&gt;$DO254) + $B$19*($DN254=$DO254))</f>
        <v>3.7037037037037035E-4</v>
      </c>
      <c r="DS254" s="10" cm="1">
        <f t="array" aca="1" ref="DS254" ca="1">(1-$B$18)*SUMPRODUCT(OFFSET($BO$15,0,0,$B$14,1), 1*(_xlfn._xlws.FILTER(OFFSET($O$15,0,$DN254,$B$8,1),OFFSET($M$15,0,0,$B$8,1))=DS$13), 1*(_xlfn._xlws.FILTER(OFFSET($O$15,0,$DO254,$B$8,1),OFFSET($M$15,0,0,$B$8,1))=DS$14))   /   SUM(OFFSET($BO$15,0,0,$B$14,1)) + $B$18/($B$19*$B$19*($DN254&lt;&gt;$DO254) + $B$19*($DN254=$DO254))</f>
        <v>3.7037037037037035E-4</v>
      </c>
      <c r="DT254" s="10" cm="1">
        <f t="array" aca="1" ref="DT254" ca="1">(1-$B$18)*SUMPRODUCT(OFFSET($BO$15,0,0,$B$14,1), 1*(_xlfn._xlws.FILTER(OFFSET($O$15,0,$DN254,$B$8,1),OFFSET($M$15,0,0,$B$8,1))=DT$13), 1*(_xlfn._xlws.FILTER(OFFSET($O$15,0,$DO254,$B$8,1),OFFSET($M$15,0,0,$B$8,1))=DT$14))   /   SUM(OFFSET($BO$15,0,0,$B$14,1)) + $B$18/($B$19*$B$19*($DN254&lt;&gt;$DO254) + $B$19*($DN254=$DO254))</f>
        <v>3.7037037037037035E-4</v>
      </c>
      <c r="DU254" s="10" cm="1">
        <f t="array" aca="1" ref="DU254" ca="1">(1-$B$18)*SUMPRODUCT(OFFSET($BO$15,0,0,$B$14,1), 1*(_xlfn._xlws.FILTER(OFFSET($O$15,0,$DN254,$B$8,1),OFFSET($M$15,0,0,$B$8,1))=DU$13), 1*(_xlfn._xlws.FILTER(OFFSET($O$15,0,$DO254,$B$8,1),OFFSET($M$15,0,0,$B$8,1))=DU$14))   /   SUM(OFFSET($BO$15,0,0,$B$14,1)) + $B$18/($B$19*$B$19*($DN254&lt;&gt;$DO254) + $B$19*($DN254=$DO254))</f>
        <v>3.7037037037037035E-4</v>
      </c>
      <c r="DV254" s="10" cm="1">
        <f t="array" aca="1" ref="DV254" ca="1">(1-$B$18)*SUMPRODUCT(OFFSET($BO$15,0,0,$B$14,1), 1*(_xlfn._xlws.FILTER(OFFSET($O$15,0,$DN254,$B$8,1),OFFSET($M$15,0,0,$B$8,1))=DV$13), 1*(_xlfn._xlws.FILTER(OFFSET($O$15,0,$DO254,$B$8,1),OFFSET($M$15,0,0,$B$8,1))=DV$14))   /   SUM(OFFSET($BO$15,0,0,$B$14,1)) + $B$18/($B$19*$B$19*($DN254&lt;&gt;$DO254) + $B$19*($DN254=$DO254))</f>
        <v>3.7037037037037035E-4</v>
      </c>
      <c r="DW254" s="10" cm="1">
        <f t="array" aca="1" ref="DW254" ca="1">(1-$B$18)*SUMPRODUCT(OFFSET($BO$15,0,0,$B$14,1), 1*(_xlfn._xlws.FILTER(OFFSET($O$15,0,$DN254,$B$8,1),OFFSET($M$15,0,0,$B$8,1))=DW$13), 1*(_xlfn._xlws.FILTER(OFFSET($O$15,0,$DO254,$B$8,1),OFFSET($M$15,0,0,$B$8,1))=DW$14))   /   SUM(OFFSET($BO$15,0,0,$B$14,1)) + $B$18/($B$19*$B$19*($DN254&lt;&gt;$DO254) + $B$19*($DN254=$DO254))</f>
        <v>3.7037037037037035E-4</v>
      </c>
      <c r="DX254" s="10" cm="1">
        <f t="array" aca="1" ref="DX254" ca="1">(1-$B$18)*SUMPRODUCT(OFFSET($BO$15,0,0,$B$14,1), 1*(_xlfn._xlws.FILTER(OFFSET($O$15,0,$DN254,$B$8,1),OFFSET($M$15,0,0,$B$8,1))=DX$13), 1*(_xlfn._xlws.FILTER(OFFSET($O$15,0,$DO254,$B$8,1),OFFSET($M$15,0,0,$B$8,1))=DX$14))   /   SUM(OFFSET($BO$15,0,0,$B$14,1)) + $B$18/($B$19*$B$19*($DN254&lt;&gt;$DO254) + $B$19*($DN254=$DO254))</f>
        <v>3.7037037037037035E-4</v>
      </c>
      <c r="DY254" s="10" cm="1">
        <f t="array" aca="1" ref="DY254" ca="1">(1-$B$18)*SUMPRODUCT(OFFSET($BO$15,0,0,$B$14,1), 1*(_xlfn._xlws.FILTER(OFFSET($O$15,0,$DN254,$B$8,1),OFFSET($M$15,0,0,$B$8,1))=DY$13), 1*(_xlfn._xlws.FILTER(OFFSET($O$15,0,$DO254,$B$8,1),OFFSET($M$15,0,0,$B$8,1))=DY$14))   /   SUM(OFFSET($BO$15,0,0,$B$14,1)) + $B$18/($B$19*$B$19*($DN254&lt;&gt;$DO254) + $B$19*($DN254=$DO254))</f>
        <v>0.97037037037037033</v>
      </c>
      <c r="DZ254" s="10" cm="1">
        <f t="array" aca="1" ref="DZ254" ca="1">(1-$B$18)*SUMPRODUCT(OFFSET($BO$15,0,0,$B$14,1), 1*(_xlfn._xlws.FILTER(OFFSET($O$15,0,$DN254,$B$8,1),OFFSET($M$15,0,0,$B$8,1))=DZ$13), 1*(_xlfn._xlws.FILTER(OFFSET($O$15,0,$DO254,$B$8,1),OFFSET($M$15,0,0,$B$8,1))=DZ$14))   /   SUM(OFFSET($BO$15,0,0,$B$14,1)) + $B$18/($B$19*$B$19*($DN254&lt;&gt;$DO254) + $B$19*($DN254=$DO254))</f>
        <v>3.7037037037037035E-4</v>
      </c>
      <c r="EA254" s="10" cm="1">
        <f t="array" aca="1" ref="EA254" ca="1">(1-$B$18)*SUMPRODUCT(OFFSET($BO$15,0,0,$B$14,1), 1*(_xlfn._xlws.FILTER(OFFSET($O$15,0,$DN254,$B$8,1),OFFSET($M$15,0,0,$B$8,1))=EA$13), 1*(_xlfn._xlws.FILTER(OFFSET($O$15,0,$DO254,$B$8,1),OFFSET($M$15,0,0,$B$8,1))=EA$14))   /   SUM(OFFSET($BO$15,0,0,$B$14,1)) + $B$18/($B$19*$B$19*($DN254&lt;&gt;$DO254) + $B$19*($DN254=$DO254))</f>
        <v>3.7037037037037035E-4</v>
      </c>
      <c r="EB254" s="10" cm="1">
        <f t="array" aca="1" ref="EB254" ca="1">(1-$B$18)*SUMPRODUCT(OFFSET($BO$15,0,0,$B$14,1), 1*(_xlfn._xlws.FILTER(OFFSET($O$15,0,$DN254,$B$8,1),OFFSET($M$15,0,0,$B$8,1))=EB$13), 1*(_xlfn._xlws.FILTER(OFFSET($O$15,0,$DO254,$B$8,1),OFFSET($M$15,0,0,$B$8,1))=EB$14))   /   SUM(OFFSET($BO$15,0,0,$B$14,1)) + $B$18/($B$19*$B$19*($DN254&lt;&gt;$DO254) + $B$19*($DN254=$DO254))</f>
        <v>3.7037037037037035E-4</v>
      </c>
      <c r="EC254" s="10" cm="1">
        <f t="array" aca="1" ref="EC254" ca="1">(1-$B$18)*SUMPRODUCT(OFFSET($BO$15,0,0,$B$14,1), 1*(_xlfn._xlws.FILTER(OFFSET($O$15,0,$DN254,$B$8,1),OFFSET($M$15,0,0,$B$8,1))=EC$13), 1*(_xlfn._xlws.FILTER(OFFSET($O$15,0,$DO254,$B$8,1),OFFSET($M$15,0,0,$B$8,1))=EC$14))   /   SUM(OFFSET($BO$15,0,0,$B$14,1)) + $B$18/($B$19*$B$19*($DN254&lt;&gt;$DO254) + $B$19*($DN254=$DO254))</f>
        <v>3.7037037037037035E-4</v>
      </c>
      <c r="ED254" s="10" cm="1">
        <f t="array" aca="1" ref="ED254" ca="1">(1-$B$18)*SUMPRODUCT(OFFSET($BO$15,0,0,$B$14,1), 1*(_xlfn._xlws.FILTER(OFFSET($O$15,0,$DN254,$B$8,1),OFFSET($M$15,0,0,$B$8,1))=ED$13), 1*(_xlfn._xlws.FILTER(OFFSET($O$15,0,$DO254,$B$8,1),OFFSET($M$15,0,0,$B$8,1))=ED$14))   /   SUM(OFFSET($BO$15,0,0,$B$14,1)) + $B$18/($B$19*$B$19*($DN254&lt;&gt;$DO254) + $B$19*($DN254=$DO254))</f>
        <v>3.7037037037037035E-4</v>
      </c>
      <c r="EE254" s="10" cm="1">
        <f t="array" aca="1" ref="EE254" ca="1">(1-$B$18)*SUMPRODUCT(OFFSET($BO$15,0,0,$B$14,1), 1*(_xlfn._xlws.FILTER(OFFSET($O$15,0,$DN254,$B$8,1),OFFSET($M$15,0,0,$B$8,1))=EE$13), 1*(_xlfn._xlws.FILTER(OFFSET($O$15,0,$DO254,$B$8,1),OFFSET($M$15,0,0,$B$8,1))=EE$14))   /   SUM(OFFSET($BO$15,0,0,$B$14,1)) + $B$18/($B$19*$B$19*($DN254&lt;&gt;$DO254) + $B$19*($DN254=$DO254))</f>
        <v>3.7037037037037035E-4</v>
      </c>
      <c r="EF254" s="10" cm="1">
        <f t="array" aca="1" ref="EF254" ca="1">(1-$B$18)*SUMPRODUCT(OFFSET($BO$15,0,0,$B$14,1), 1*(_xlfn._xlws.FILTER(OFFSET($O$15,0,$DN254,$B$8,1),OFFSET($M$15,0,0,$B$8,1))=EF$13), 1*(_xlfn._xlws.FILTER(OFFSET($O$15,0,$DO254,$B$8,1),OFFSET($M$15,0,0,$B$8,1))=EF$14))   /   SUM(OFFSET($BO$15,0,0,$B$14,1)) + $B$18/($B$19*$B$19*($DN254&lt;&gt;$DO254) + $B$19*($DN254=$DO254))</f>
        <v>3.7037037037037035E-4</v>
      </c>
      <c r="EG254" s="10" cm="1">
        <f t="array" aca="1" ref="EG254" ca="1">(1-$B$18)*SUMPRODUCT(OFFSET($BO$15,0,0,$B$14,1), 1*(_xlfn._xlws.FILTER(OFFSET($O$15,0,$DN254,$B$8,1),OFFSET($M$15,0,0,$B$8,1))=EG$13), 1*(_xlfn._xlws.FILTER(OFFSET($O$15,0,$DO254,$B$8,1),OFFSET($M$15,0,0,$B$8,1))=EG$14))   /   SUM(OFFSET($BO$15,0,0,$B$14,1)) + $B$18/($B$19*$B$19*($DN254&lt;&gt;$DO254) + $B$19*($DN254=$DO254))</f>
        <v>3.7037037037037035E-4</v>
      </c>
      <c r="EH254" s="10" cm="1">
        <f t="array" aca="1" ref="EH254" ca="1">(1-$B$18)*SUMPRODUCT(OFFSET($BO$15,0,0,$B$14,1), 1*(_xlfn._xlws.FILTER(OFFSET($O$15,0,$DN254,$B$8,1),OFFSET($M$15,0,0,$B$8,1))=EH$13), 1*(_xlfn._xlws.FILTER(OFFSET($O$15,0,$DO254,$B$8,1),OFFSET($M$15,0,0,$B$8,1))=EH$14))   /   SUM(OFFSET($BO$15,0,0,$B$14,1)) + $B$18/($B$19*$B$19*($DN254&lt;&gt;$DO254) + $B$19*($DN254=$DO254))</f>
        <v>3.7037037037037035E-4</v>
      </c>
      <c r="EI254" s="10" cm="1">
        <f t="array" aca="1" ref="EI254" ca="1">(1-$B$18)*SUMPRODUCT(OFFSET($BO$15,0,0,$B$14,1), 1*(_xlfn._xlws.FILTER(OFFSET($O$15,0,$DN254,$B$8,1),OFFSET($M$15,0,0,$B$8,1))=EI$13), 1*(_xlfn._xlws.FILTER(OFFSET($O$15,0,$DO254,$B$8,1),OFFSET($M$15,0,0,$B$8,1))=EI$14))   /   SUM(OFFSET($BO$15,0,0,$B$14,1)) + $B$18/($B$19*$B$19*($DN254&lt;&gt;$DO254) + $B$19*($DN254=$DO254))</f>
        <v>3.7037037037037035E-4</v>
      </c>
      <c r="EJ254" s="10" cm="1">
        <f t="array" aca="1" ref="EJ254" ca="1">(1-$B$18)*SUMPRODUCT(OFFSET($BO$15,0,0,$B$14,1), 1*(_xlfn._xlws.FILTER(OFFSET($O$15,0,$DN254,$B$8,1),OFFSET($M$15,0,0,$B$8,1))=EJ$13), 1*(_xlfn._xlws.FILTER(OFFSET($O$15,0,$DO254,$B$8,1),OFFSET($M$15,0,0,$B$8,1))=EJ$14))   /   SUM(OFFSET($BO$15,0,0,$B$14,1)) + $B$18/($B$19*$B$19*($DN254&lt;&gt;$DO254) + $B$19*($DN254=$DO254))</f>
        <v>3.7037037037037035E-4</v>
      </c>
      <c r="EK254" s="10" cm="1">
        <f t="array" aca="1" ref="EK254" ca="1">(1-$B$18)*SUMPRODUCT(OFFSET($BO$15,0,0,$B$14,1), 1*(_xlfn._xlws.FILTER(OFFSET($O$15,0,$DN254,$B$8,1),OFFSET($M$15,0,0,$B$8,1))=EK$13), 1*(_xlfn._xlws.FILTER(OFFSET($O$15,0,$DO254,$B$8,1),OFFSET($M$15,0,0,$B$8,1))=EK$14))   /   SUM(OFFSET($BO$15,0,0,$B$14,1)) + $B$18/($B$19*$B$19*($DN254&lt;&gt;$DO254) + $B$19*($DN254=$DO254))</f>
        <v>3.7037037037037035E-4</v>
      </c>
      <c r="EL254" s="10" cm="1">
        <f t="array" aca="1" ref="EL254" ca="1">(1-$B$18)*SUMPRODUCT(OFFSET($BO$15,0,0,$B$14,1), 1*(_xlfn._xlws.FILTER(OFFSET($O$15,0,$DN254,$B$8,1),OFFSET($M$15,0,0,$B$8,1))=EL$13), 1*(_xlfn._xlws.FILTER(OFFSET($O$15,0,$DO254,$B$8,1),OFFSET($M$15,0,0,$B$8,1))=EL$14))   /   SUM(OFFSET($BO$15,0,0,$B$14,1)) + $B$18/($B$19*$B$19*($DN254&lt;&gt;$DO254) + $B$19*($DN254=$DO254))</f>
        <v>3.7037037037037035E-4</v>
      </c>
      <c r="EM254" s="10" cm="1">
        <f t="array" aca="1" ref="EM254" ca="1">(1-$B$18)*SUMPRODUCT(OFFSET($BO$15,0,0,$B$14,1), 1*(_xlfn._xlws.FILTER(OFFSET($O$15,0,$DN254,$B$8,1),OFFSET($M$15,0,0,$B$8,1))=EM$13), 1*(_xlfn._xlws.FILTER(OFFSET($O$15,0,$DO254,$B$8,1),OFFSET($M$15,0,0,$B$8,1))=EM$14))   /   SUM(OFFSET($BO$15,0,0,$B$14,1)) + $B$18/($B$19*$B$19*($DN254&lt;&gt;$DO254) + $B$19*($DN254=$DO254))</f>
        <v>3.7037037037037035E-4</v>
      </c>
      <c r="EN254" s="10" cm="1">
        <f t="array" aca="1" ref="EN254" ca="1">(1-$B$18)*SUMPRODUCT(OFFSET($BO$15,0,0,$B$14,1), 1*(_xlfn._xlws.FILTER(OFFSET($O$15,0,$DN254,$B$8,1),OFFSET($M$15,0,0,$B$8,1))=EN$13), 1*(_xlfn._xlws.FILTER(OFFSET($O$15,0,$DO254,$B$8,1),OFFSET($M$15,0,0,$B$8,1))=EN$14))   /   SUM(OFFSET($BO$15,0,0,$B$14,1)) + $B$18/($B$19*$B$19*($DN254&lt;&gt;$DO254) + $B$19*($DN254=$DO254))</f>
        <v>3.7037037037037035E-4</v>
      </c>
      <c r="EO254" s="10" cm="1">
        <f t="array" aca="1" ref="EO254" ca="1">(1-$B$18)*SUMPRODUCT(OFFSET($BO$15,0,0,$B$14,1), 1*(_xlfn._xlws.FILTER(OFFSET($O$15,0,$DN254,$B$8,1),OFFSET($M$15,0,0,$B$8,1))=EO$13), 1*(_xlfn._xlws.FILTER(OFFSET($O$15,0,$DO254,$B$8,1),OFFSET($M$15,0,0,$B$8,1))=EO$14))   /   SUM(OFFSET($BO$15,0,0,$B$14,1)) + $B$18/($B$19*$B$19*($DN254&lt;&gt;$DO254) + $B$19*($DN254=$DO254))</f>
        <v>3.7037037037037035E-4</v>
      </c>
      <c r="EP254" s="10" cm="1">
        <f t="array" aca="1" ref="EP254" ca="1">(1-$B$18)*SUMPRODUCT(OFFSET($BO$15,0,0,$B$14,1), 1*(_xlfn._xlws.FILTER(OFFSET($O$15,0,$DN254,$B$8,1),OFFSET($M$15,0,0,$B$8,1))=EP$13), 1*(_xlfn._xlws.FILTER(OFFSET($O$15,0,$DO254,$B$8,1),OFFSET($M$15,0,0,$B$8,1))=EP$14))   /   SUM(OFFSET($BO$15,0,0,$B$14,1)) + $B$18/($B$19*$B$19*($DN254&lt;&gt;$DO254) + $B$19*($DN254=$DO254))</f>
        <v>3.7037037037037035E-4</v>
      </c>
      <c r="EQ254" s="10" cm="1">
        <f t="array" aca="1" ref="EQ254" ca="1">(1-$B$18)*SUMPRODUCT(OFFSET($BO$15,0,0,$B$14,1), 1*(_xlfn._xlws.FILTER(OFFSET($O$15,0,$DN254,$B$8,1),OFFSET($M$15,0,0,$B$8,1))=EQ$13), 1*(_xlfn._xlws.FILTER(OFFSET($O$15,0,$DO254,$B$8,1),OFFSET($M$15,0,0,$B$8,1))=EQ$14))   /   SUM(OFFSET($BO$15,0,0,$B$14,1)) + $B$18/($B$19*$B$19*($DN254&lt;&gt;$DO254) + $B$19*($DN254=$DO254))</f>
        <v>3.7037037037037035E-4</v>
      </c>
      <c r="ER254" s="10" cm="1">
        <f t="array" aca="1" ref="ER254" ca="1">(1-$B$18)*SUMPRODUCT(OFFSET($BO$15,0,0,$B$14,1), 1*(_xlfn._xlws.FILTER(OFFSET($O$15,0,$DN254,$B$8,1),OFFSET($M$15,0,0,$B$8,1))=ER$13), 1*(_xlfn._xlws.FILTER(OFFSET($O$15,0,$DO254,$B$8,1),OFFSET($M$15,0,0,$B$8,1))=ER$14))   /   SUM(OFFSET($BO$15,0,0,$B$14,1)) + $B$18/($B$19*$B$19*($DN254&lt;&gt;$DO254) + $B$19*($DN254=$DO254))</f>
        <v>3.7037037037037035E-4</v>
      </c>
      <c r="ES254" s="10" cm="1">
        <f t="array" aca="1" ref="ES254" ca="1">(1-$B$18)*SUMPRODUCT(OFFSET($BO$15,0,0,$B$14,1), 1*(_xlfn._xlws.FILTER(OFFSET($O$15,0,$DN254,$B$8,1),OFFSET($M$15,0,0,$B$8,1))=ES$13), 1*(_xlfn._xlws.FILTER(OFFSET($O$15,0,$DO254,$B$8,1),OFFSET($M$15,0,0,$B$8,1))=ES$14))   /   SUM(OFFSET($BO$15,0,0,$B$14,1)) + $B$18/($B$19*$B$19*($DN254&lt;&gt;$DO254) + $B$19*($DN254=$DO254))</f>
        <v>3.7037037037037035E-4</v>
      </c>
      <c r="ET254" s="10" cm="1">
        <f t="array" aca="1" ref="ET254" ca="1">(1-$B$18)*SUMPRODUCT(OFFSET($BO$15,0,0,$B$14,1), 1*(_xlfn._xlws.FILTER(OFFSET($O$15,0,$DN254,$B$8,1),OFFSET($M$15,0,0,$B$8,1))=ET$13), 1*(_xlfn._xlws.FILTER(OFFSET($O$15,0,$DO254,$B$8,1),OFFSET($M$15,0,0,$B$8,1))=ET$14))   /   SUM(OFFSET($BO$15,0,0,$B$14,1)) + $B$18/($B$19*$B$19*($DN254&lt;&gt;$DO254) + $B$19*($DN254=$DO254))</f>
        <v>3.7037037037037035E-4</v>
      </c>
      <c r="EU254" s="10" cm="1">
        <f t="array" aca="1" ref="EU254" ca="1">(1-$B$18)*SUMPRODUCT(OFFSET($BO$15,0,0,$B$14,1), 1*(_xlfn._xlws.FILTER(OFFSET($O$15,0,$DN254,$B$8,1),OFFSET($M$15,0,0,$B$8,1))=EU$13), 1*(_xlfn._xlws.FILTER(OFFSET($O$15,0,$DO254,$B$8,1),OFFSET($M$15,0,0,$B$8,1))=EU$14))   /   SUM(OFFSET($BO$15,0,0,$B$14,1)) + $B$18/($B$19*$B$19*($DN254&lt;&gt;$DO254) + $B$19*($DN254=$DO254))</f>
        <v>3.7037037037037035E-4</v>
      </c>
      <c r="EV254" s="10" cm="1">
        <f t="array" aca="1" ref="EV254" ca="1">(1-$B$18)*SUMPRODUCT(OFFSET($BO$15,0,0,$B$14,1), 1*(_xlfn._xlws.FILTER(OFFSET($O$15,0,$DN254,$B$8,1),OFFSET($M$15,0,0,$B$8,1))=EV$13), 1*(_xlfn._xlws.FILTER(OFFSET($O$15,0,$DO254,$B$8,1),OFFSET($M$15,0,0,$B$8,1))=EV$14))   /   SUM(OFFSET($BO$15,0,0,$B$14,1)) + $B$18/($B$19*$B$19*($DN254&lt;&gt;$DO254) + $B$19*($DN254=$DO254))</f>
        <v>3.7037037037037035E-4</v>
      </c>
      <c r="EW254" s="10" cm="1">
        <f t="array" aca="1" ref="EW254" ca="1">(1-$B$18)*SUMPRODUCT(OFFSET($BO$15,0,0,$B$14,1), 1*(_xlfn._xlws.FILTER(OFFSET($O$15,0,$DN254,$B$8,1),OFFSET($M$15,0,0,$B$8,1))=EW$13), 1*(_xlfn._xlws.FILTER(OFFSET($O$15,0,$DO254,$B$8,1),OFFSET($M$15,0,0,$B$8,1))=EW$14))   /   SUM(OFFSET($BO$15,0,0,$B$14,1)) + $B$18/($B$19*$B$19*($DN254&lt;&gt;$DO254) + $B$19*($DN254=$DO254))</f>
        <v>3.7037037037037035E-4</v>
      </c>
      <c r="EX254" s="10" cm="1">
        <f t="array" aca="1" ref="EX254" ca="1">(1-$B$18)*SUMPRODUCT(OFFSET($BO$15,0,0,$B$14,1), 1*(_xlfn._xlws.FILTER(OFFSET($O$15,0,$DN254,$B$8,1),OFFSET($M$15,0,0,$B$8,1))=EX$13), 1*(_xlfn._xlws.FILTER(OFFSET($O$15,0,$DO254,$B$8,1),OFFSET($M$15,0,0,$B$8,1))=EX$14))   /   SUM(OFFSET($BO$15,0,0,$B$14,1)) + $B$18/($B$19*$B$19*($DN254&lt;&gt;$DO254) + $B$19*($DN254=$DO254))</f>
        <v>3.7037037037037035E-4</v>
      </c>
      <c r="EY254" s="10" cm="1">
        <f t="array" aca="1" ref="EY254" ca="1">(1-$B$18)*SUMPRODUCT(OFFSET($BO$15,0,0,$B$14,1), 1*(_xlfn._xlws.FILTER(OFFSET($O$15,0,$DN254,$B$8,1),OFFSET($M$15,0,0,$B$8,1))=EY$13), 1*(_xlfn._xlws.FILTER(OFFSET($O$15,0,$DO254,$B$8,1),OFFSET($M$15,0,0,$B$8,1))=EY$14))   /   SUM(OFFSET($BO$15,0,0,$B$14,1)) + $B$18/($B$19*$B$19*($DN254&lt;&gt;$DO254) + $B$19*($DN254=$DO254))</f>
        <v>3.7037037037037035E-4</v>
      </c>
      <c r="EZ254" s="10" cm="1">
        <f t="array" aca="1" ref="EZ254" ca="1">(1-$B$18)*SUMPRODUCT(OFFSET($BO$15,0,0,$B$14,1), 1*(_xlfn._xlws.FILTER(OFFSET($O$15,0,$DN254,$B$8,1),OFFSET($M$15,0,0,$B$8,1))=EZ$13), 1*(_xlfn._xlws.FILTER(OFFSET($O$15,0,$DO254,$B$8,1),OFFSET($M$15,0,0,$B$8,1))=EZ$14))   /   SUM(OFFSET($BO$15,0,0,$B$14,1)) + $B$18/($B$19*$B$19*($DN254&lt;&gt;$DO254) + $B$19*($DN254=$DO254))</f>
        <v>3.7037037037037035E-4</v>
      </c>
      <c r="FA254" s="10" cm="1">
        <f t="array" aca="1" ref="FA254" ca="1">(1-$B$18)*SUMPRODUCT(OFFSET($BO$15,0,0,$B$14,1), 1*(_xlfn._xlws.FILTER(OFFSET($O$15,0,$DN254,$B$8,1),OFFSET($M$15,0,0,$B$8,1))=FA$13), 1*(_xlfn._xlws.FILTER(OFFSET($O$15,0,$DO254,$B$8,1),OFFSET($M$15,0,0,$B$8,1))=FA$14))   /   SUM(OFFSET($BO$15,0,0,$B$14,1)) + $B$18/($B$19*$B$19*($DN254&lt;&gt;$DO254) + $B$19*($DN254=$DO254))</f>
        <v>3.7037037037037035E-4</v>
      </c>
      <c r="FB254" s="10" cm="1">
        <f t="array" aca="1" ref="FB254" ca="1">(1-$B$18)*SUMPRODUCT(OFFSET($BO$15,0,0,$B$14,1), 1*(_xlfn._xlws.FILTER(OFFSET($O$15,0,$DN254,$B$8,1),OFFSET($M$15,0,0,$B$8,1))=FB$13), 1*(_xlfn._xlws.FILTER(OFFSET($O$15,0,$DO254,$B$8,1),OFFSET($M$15,0,0,$B$8,1))=FB$14))   /   SUM(OFFSET($BO$15,0,0,$B$14,1)) + $B$18/($B$19*$B$19*($DN254&lt;&gt;$DO254) + $B$19*($DN254=$DO254))</f>
        <v>3.7037037037037035E-4</v>
      </c>
      <c r="FC254" s="10" cm="1">
        <f t="array" aca="1" ref="FC254" ca="1">(1-$B$18)*SUMPRODUCT(OFFSET($BO$15,0,0,$B$14,1), 1*(_xlfn._xlws.FILTER(OFFSET($O$15,0,$DN254,$B$8,1),OFFSET($M$15,0,0,$B$8,1))=FC$13), 1*(_xlfn._xlws.FILTER(OFFSET($O$15,0,$DO254,$B$8,1),OFFSET($M$15,0,0,$B$8,1))=FC$14))   /   SUM(OFFSET($BO$15,0,0,$B$14,1)) + $B$18/($B$19*$B$19*($DN254&lt;&gt;$DO254) + $B$19*($DN254=$DO254))</f>
        <v>3.7037037037037035E-4</v>
      </c>
      <c r="FD254" s="10" cm="1">
        <f t="array" aca="1" ref="FD254" ca="1">(1-$B$18)*SUMPRODUCT(OFFSET($BO$15,0,0,$B$14,1), 1*(_xlfn._xlws.FILTER(OFFSET($O$15,0,$DN254,$B$8,1),OFFSET($M$15,0,0,$B$8,1))=FD$13), 1*(_xlfn._xlws.FILTER(OFFSET($O$15,0,$DO254,$B$8,1),OFFSET($M$15,0,0,$B$8,1))=FD$14))   /   SUM(OFFSET($BO$15,0,0,$B$14,1)) + $B$18/($B$19*$B$19*($DN254&lt;&gt;$DO254) + $B$19*($DN254=$DO254))</f>
        <v>3.7037037037037035E-4</v>
      </c>
      <c r="FE254" s="10" cm="1">
        <f t="array" aca="1" ref="FE254" ca="1">(1-$B$18)*SUMPRODUCT(OFFSET($BO$15,0,0,$B$14,1), 1*(_xlfn._xlws.FILTER(OFFSET($O$15,0,$DN254,$B$8,1),OFFSET($M$15,0,0,$B$8,1))=FE$13), 1*(_xlfn._xlws.FILTER(OFFSET($O$15,0,$DO254,$B$8,1),OFFSET($M$15,0,0,$B$8,1))=FE$14))   /   SUM(OFFSET($BO$15,0,0,$B$14,1)) + $B$18/($B$19*$B$19*($DN254&lt;&gt;$DO254) + $B$19*($DN254=$DO254))</f>
        <v>3.7037037037037035E-4</v>
      </c>
      <c r="FF254" s="10" cm="1">
        <f t="array" aca="1" ref="FF254" ca="1">(1-$B$18)*SUMPRODUCT(OFFSET($BO$15,0,0,$B$14,1), 1*(_xlfn._xlws.FILTER(OFFSET($O$15,0,$DN254,$B$8,1),OFFSET($M$15,0,0,$B$8,1))=FF$13), 1*(_xlfn._xlws.FILTER(OFFSET($O$15,0,$DO254,$B$8,1),OFFSET($M$15,0,0,$B$8,1))=FF$14))   /   SUM(OFFSET($BO$15,0,0,$B$14,1)) + $B$18/($B$19*$B$19*($DN254&lt;&gt;$DO254) + $B$19*($DN254=$DO254))</f>
        <v>3.7037037037037035E-4</v>
      </c>
      <c r="FG254" s="10" cm="1">
        <f t="array" aca="1" ref="FG254" ca="1">(1-$B$18)*SUMPRODUCT(OFFSET($BO$15,0,0,$B$14,1), 1*(_xlfn._xlws.FILTER(OFFSET($O$15,0,$DN254,$B$8,1),OFFSET($M$15,0,0,$B$8,1))=FG$13), 1*(_xlfn._xlws.FILTER(OFFSET($O$15,0,$DO254,$B$8,1),OFFSET($M$15,0,0,$B$8,1))=FG$14))   /   SUM(OFFSET($BO$15,0,0,$B$14,1)) + $B$18/($B$19*$B$19*($DN254&lt;&gt;$DO254) + $B$19*($DN254=$DO254))</f>
        <v>3.7037037037037035E-4</v>
      </c>
      <c r="FH254" s="10" cm="1">
        <f t="array" aca="1" ref="FH254" ca="1">(1-$B$18)*SUMPRODUCT(OFFSET($BO$15,0,0,$B$14,1), 1*(_xlfn._xlws.FILTER(OFFSET($O$15,0,$DN254,$B$8,1),OFFSET($M$15,0,0,$B$8,1))=FH$13), 1*(_xlfn._xlws.FILTER(OFFSET($O$15,0,$DO254,$B$8,1),OFFSET($M$15,0,0,$B$8,1))=FH$14))   /   SUM(OFFSET($BO$15,0,0,$B$14,1)) + $B$18/($B$19*$B$19*($DN254&lt;&gt;$DO254) + $B$19*($DN254=$DO254))</f>
        <v>3.7037037037037035E-4</v>
      </c>
      <c r="FI254" s="10" cm="1">
        <f t="array" aca="1" ref="FI254" ca="1">(1-$B$18)*SUMPRODUCT(OFFSET($BO$15,0,0,$B$14,1), 1*(_xlfn._xlws.FILTER(OFFSET($O$15,0,$DN254,$B$8,1),OFFSET($M$15,0,0,$B$8,1))=FI$13), 1*(_xlfn._xlws.FILTER(OFFSET($O$15,0,$DO254,$B$8,1),OFFSET($M$15,0,0,$B$8,1))=FI$14))   /   SUM(OFFSET($BO$15,0,0,$B$14,1)) + $B$18/($B$19*$B$19*($DN254&lt;&gt;$DO254) + $B$19*($DN254=$DO254))</f>
        <v>3.7037037037037035E-4</v>
      </c>
      <c r="FJ254" s="10" cm="1">
        <f t="array" aca="1" ref="FJ254" ca="1">(1-$B$18)*SUMPRODUCT(OFFSET($BO$15,0,0,$B$14,1), 1*(_xlfn._xlws.FILTER(OFFSET($O$15,0,$DN254,$B$8,1),OFFSET($M$15,0,0,$B$8,1))=FJ$13), 1*(_xlfn._xlws.FILTER(OFFSET($O$15,0,$DO254,$B$8,1),OFFSET($M$15,0,0,$B$8,1))=FJ$14))   /   SUM(OFFSET($BO$15,0,0,$B$14,1)) + $B$18/($B$19*$B$19*($DN254&lt;&gt;$DO254) + $B$19*($DN254=$DO254))</f>
        <v>3.7037037037037035E-4</v>
      </c>
      <c r="FK254" s="10" cm="1">
        <f t="array" aca="1" ref="FK254" ca="1">(1-$B$18)*SUMPRODUCT(OFFSET($BO$15,0,0,$B$14,1), 1*(_xlfn._xlws.FILTER(OFFSET($O$15,0,$DN254,$B$8,1),OFFSET($M$15,0,0,$B$8,1))=FK$13), 1*(_xlfn._xlws.FILTER(OFFSET($O$15,0,$DO254,$B$8,1),OFFSET($M$15,0,0,$B$8,1))=FK$14))   /   SUM(OFFSET($BO$15,0,0,$B$14,1)) + $B$18/($B$19*$B$19*($DN254&lt;&gt;$DO254) + $B$19*($DN254=$DO254))</f>
        <v>3.7037037037037035E-4</v>
      </c>
      <c r="FL254" s="10" cm="1">
        <f t="array" aca="1" ref="FL254" ca="1">(1-$B$18)*SUMPRODUCT(OFFSET($BO$15,0,0,$B$14,1), 1*(_xlfn._xlws.FILTER(OFFSET($O$15,0,$DN254,$B$8,1),OFFSET($M$15,0,0,$B$8,1))=FL$13), 1*(_xlfn._xlws.FILTER(OFFSET($O$15,0,$DO254,$B$8,1),OFFSET($M$15,0,0,$B$8,1))=FL$14))   /   SUM(OFFSET($BO$15,0,0,$B$14,1)) + $B$18/($B$19*$B$19*($DN254&lt;&gt;$DO254) + $B$19*($DN254=$DO254))</f>
        <v>3.7037037037037035E-4</v>
      </c>
      <c r="FM254" s="10" cm="1">
        <f t="array" aca="1" ref="FM254" ca="1">(1-$B$18)*SUMPRODUCT(OFFSET($BO$15,0,0,$B$14,1), 1*(_xlfn._xlws.FILTER(OFFSET($O$15,0,$DN254,$B$8,1),OFFSET($M$15,0,0,$B$8,1))=FM$13), 1*(_xlfn._xlws.FILTER(OFFSET($O$15,0,$DO254,$B$8,1),OFFSET($M$15,0,0,$B$8,1))=FM$14))   /   SUM(OFFSET($BO$15,0,0,$B$14,1)) + $B$18/($B$19*$B$19*($DN254&lt;&gt;$DO254) + $B$19*($DN254=$DO254))</f>
        <v>3.7037037037037035E-4</v>
      </c>
      <c r="FN254" s="10" cm="1">
        <f t="array" aca="1" ref="FN254" ca="1">(1-$B$18)*SUMPRODUCT(OFFSET($BO$15,0,0,$B$14,1), 1*(_xlfn._xlws.FILTER(OFFSET($O$15,0,$DN254,$B$8,1),OFFSET($M$15,0,0,$B$8,1))=FN$13), 1*(_xlfn._xlws.FILTER(OFFSET($O$15,0,$DO254,$B$8,1),OFFSET($M$15,0,0,$B$8,1))=FN$14))   /   SUM(OFFSET($BO$15,0,0,$B$14,1)) + $B$18/($B$19*$B$19*($DN254&lt;&gt;$DO254) + $B$19*($DN254=$DO254))</f>
        <v>3.7037037037037035E-4</v>
      </c>
      <c r="FO254" s="10" cm="1">
        <f t="array" aca="1" ref="FO254" ca="1">(1-$B$18)*SUMPRODUCT(OFFSET($BO$15,0,0,$B$14,1), 1*(_xlfn._xlws.FILTER(OFFSET($O$15,0,$DN254,$B$8,1),OFFSET($M$15,0,0,$B$8,1))=FO$13), 1*(_xlfn._xlws.FILTER(OFFSET($O$15,0,$DO254,$B$8,1),OFFSET($M$15,0,0,$B$8,1))=FO$14))   /   SUM(OFFSET($BO$15,0,0,$B$14,1)) + $B$18/($B$19*$B$19*($DN254&lt;&gt;$DO254) + $B$19*($DN254=$DO254))</f>
        <v>3.7037037037037035E-4</v>
      </c>
      <c r="FP254" s="10" cm="1">
        <f t="array" aca="1" ref="FP254" ca="1">(1-$B$18)*SUMPRODUCT(OFFSET($BO$15,0,0,$B$14,1), 1*(_xlfn._xlws.FILTER(OFFSET($O$15,0,$DN254,$B$8,1),OFFSET($M$15,0,0,$B$8,1))=FP$13), 1*(_xlfn._xlws.FILTER(OFFSET($O$15,0,$DO254,$B$8,1),OFFSET($M$15,0,0,$B$8,1))=FP$14))   /   SUM(OFFSET($BO$15,0,0,$B$14,1)) + $B$18/($B$19*$B$19*($DN254&lt;&gt;$DO254) + $B$19*($DN254=$DO254))</f>
        <v>3.7037037037037035E-4</v>
      </c>
      <c r="FQ254" s="10" cm="1">
        <f t="array" aca="1" ref="FQ254" ca="1">(1-$B$18)*SUMPRODUCT(OFFSET($BO$15,0,0,$B$14,1), 1*(_xlfn._xlws.FILTER(OFFSET($O$15,0,$DN254,$B$8,1),OFFSET($M$15,0,0,$B$8,1))=FQ$13), 1*(_xlfn._xlws.FILTER(OFFSET($O$15,0,$DO254,$B$8,1),OFFSET($M$15,0,0,$B$8,1))=FQ$14))   /   SUM(OFFSET($BO$15,0,0,$B$14,1)) + $B$18/($B$19*$B$19*($DN254&lt;&gt;$DO254) + $B$19*($DN254=$DO254))</f>
        <v>3.7037037037037035E-4</v>
      </c>
      <c r="FR254" s="10" cm="1">
        <f t="array" aca="1" ref="FR254" ca="1">(1-$B$18)*SUMPRODUCT(OFFSET($BO$15,0,0,$B$14,1), 1*(_xlfn._xlws.FILTER(OFFSET($O$15,0,$DN254,$B$8,1),OFFSET($M$15,0,0,$B$8,1))=FR$13), 1*(_xlfn._xlws.FILTER(OFFSET($O$15,0,$DO254,$B$8,1),OFFSET($M$15,0,0,$B$8,1))=FR$14))   /   SUM(OFFSET($BO$15,0,0,$B$14,1)) + $B$18/($B$19*$B$19*($DN254&lt;&gt;$DO254) + $B$19*($DN254=$DO254))</f>
        <v>3.7037037037037035E-4</v>
      </c>
      <c r="FS254" s="10" cm="1">
        <f t="array" aca="1" ref="FS254" ca="1">(1-$B$18)*SUMPRODUCT(OFFSET($BO$15,0,0,$B$14,1), 1*(_xlfn._xlws.FILTER(OFFSET($O$15,0,$DN254,$B$8,1),OFFSET($M$15,0,0,$B$8,1))=FS$13), 1*(_xlfn._xlws.FILTER(OFFSET($O$15,0,$DO254,$B$8,1),OFFSET($M$15,0,0,$B$8,1))=FS$14))   /   SUM(OFFSET($BO$15,0,0,$B$14,1)) + $B$18/($B$19*$B$19*($DN254&lt;&gt;$DO254) + $B$19*($DN254=$DO254))</f>
        <v>3.7037037037037035E-4</v>
      </c>
      <c r="FT254" s="10" cm="1">
        <f t="array" aca="1" ref="FT254" ca="1">(1-$B$18)*SUMPRODUCT(OFFSET($BO$15,0,0,$B$14,1), 1*(_xlfn._xlws.FILTER(OFFSET($O$15,0,$DN254,$B$8,1),OFFSET($M$15,0,0,$B$8,1))=FT$13), 1*(_xlfn._xlws.FILTER(OFFSET($O$15,0,$DO254,$B$8,1),OFFSET($M$15,0,0,$B$8,1))=FT$14))   /   SUM(OFFSET($BO$15,0,0,$B$14,1)) + $B$18/($B$19*$B$19*($DN254&lt;&gt;$DO254) + $B$19*($DN254=$DO254))</f>
        <v>3.7037037037037035E-4</v>
      </c>
      <c r="FU254" s="10" cm="1">
        <f t="array" aca="1" ref="FU254" ca="1">(1-$B$18)*SUMPRODUCT(OFFSET($BO$15,0,0,$B$14,1), 1*(_xlfn._xlws.FILTER(OFFSET($O$15,0,$DN254,$B$8,1),OFFSET($M$15,0,0,$B$8,1))=FU$13), 1*(_xlfn._xlws.FILTER(OFFSET($O$15,0,$DO254,$B$8,1),OFFSET($M$15,0,0,$B$8,1))=FU$14))   /   SUM(OFFSET($BO$15,0,0,$B$14,1)) + $B$18/($B$19*$B$19*($DN254&lt;&gt;$DO254) + $B$19*($DN254=$DO254))</f>
        <v>3.7037037037037035E-4</v>
      </c>
      <c r="FV254" s="10" cm="1">
        <f t="array" aca="1" ref="FV254" ca="1">(1-$B$18)*SUMPRODUCT(OFFSET($BO$15,0,0,$B$14,1), 1*(_xlfn._xlws.FILTER(OFFSET($O$15,0,$DN254,$B$8,1),OFFSET($M$15,0,0,$B$8,1))=FV$13), 1*(_xlfn._xlws.FILTER(OFFSET($O$15,0,$DO254,$B$8,1),OFFSET($M$15,0,0,$B$8,1))=FV$14))   /   SUM(OFFSET($BO$15,0,0,$B$14,1)) + $B$18/($B$19*$B$19*($DN254&lt;&gt;$DO254) + $B$19*($DN254=$DO254))</f>
        <v>3.7037037037037035E-4</v>
      </c>
      <c r="FW254" s="10" cm="1">
        <f t="array" aca="1" ref="FW254" ca="1">(1-$B$18)*SUMPRODUCT(OFFSET($BO$15,0,0,$B$14,1), 1*(_xlfn._xlws.FILTER(OFFSET($O$15,0,$DN254,$B$8,1),OFFSET($M$15,0,0,$B$8,1))=FW$13), 1*(_xlfn._xlws.FILTER(OFFSET($O$15,0,$DO254,$B$8,1),OFFSET($M$15,0,0,$B$8,1))=FW$14))   /   SUM(OFFSET($BO$15,0,0,$B$14,1)) + $B$18/($B$19*$B$19*($DN254&lt;&gt;$DO254) + $B$19*($DN254=$DO254))</f>
        <v>3.7037037037037035E-4</v>
      </c>
      <c r="FX254" s="10" cm="1">
        <f t="array" aca="1" ref="FX254" ca="1">(1-$B$18)*SUMPRODUCT(OFFSET($BO$15,0,0,$B$14,1), 1*(_xlfn._xlws.FILTER(OFFSET($O$15,0,$DN254,$B$8,1),OFFSET($M$15,0,0,$B$8,1))=FX$13), 1*(_xlfn._xlws.FILTER(OFFSET($O$15,0,$DO254,$B$8,1),OFFSET($M$15,0,0,$B$8,1))=FX$14))   /   SUM(OFFSET($BO$15,0,0,$B$14,1)) + $B$18/($B$19*$B$19*($DN254&lt;&gt;$DO254) + $B$19*($DN254=$DO254))</f>
        <v>3.7037037037037035E-4</v>
      </c>
      <c r="FY254" s="10" cm="1">
        <f t="array" aca="1" ref="FY254" ca="1">(1-$B$18)*SUMPRODUCT(OFFSET($BO$15,0,0,$B$14,1), 1*(_xlfn._xlws.FILTER(OFFSET($O$15,0,$DN254,$B$8,1),OFFSET($M$15,0,0,$B$8,1))=FY$13), 1*(_xlfn._xlws.FILTER(OFFSET($O$15,0,$DO254,$B$8,1),OFFSET($M$15,0,0,$B$8,1))=FY$14))   /   SUM(OFFSET($BO$15,0,0,$B$14,1)) + $B$18/($B$19*$B$19*($DN254&lt;&gt;$DO254) + $B$19*($DN254=$DO254))</f>
        <v>3.7037037037037035E-4</v>
      </c>
      <c r="FZ254" s="10" cm="1">
        <f t="array" aca="1" ref="FZ254" ca="1">(1-$B$18)*SUMPRODUCT(OFFSET($BO$15,0,0,$B$14,1), 1*(_xlfn._xlws.FILTER(OFFSET($O$15,0,$DN254,$B$8,1),OFFSET($M$15,0,0,$B$8,1))=FZ$13), 1*(_xlfn._xlws.FILTER(OFFSET($O$15,0,$DO254,$B$8,1),OFFSET($M$15,0,0,$B$8,1))=FZ$14))   /   SUM(OFFSET($BO$15,0,0,$B$14,1)) + $B$18/($B$19*$B$19*($DN254&lt;&gt;$DO254) + $B$19*($DN254=$DO254))</f>
        <v>3.7037037037037035E-4</v>
      </c>
      <c r="GA254" s="10" cm="1">
        <f t="array" aca="1" ref="GA254" ca="1">(1-$B$18)*SUMPRODUCT(OFFSET($BO$15,0,0,$B$14,1), 1*(_xlfn._xlws.FILTER(OFFSET($O$15,0,$DN254,$B$8,1),OFFSET($M$15,0,0,$B$8,1))=GA$13), 1*(_xlfn._xlws.FILTER(OFFSET($O$15,0,$DO254,$B$8,1),OFFSET($M$15,0,0,$B$8,1))=GA$14))   /   SUM(OFFSET($BO$15,0,0,$B$14,1)) + $B$18/($B$19*$B$19*($DN254&lt;&gt;$DO254) + $B$19*($DN254=$DO254))</f>
        <v>3.7037037037037035E-4</v>
      </c>
    </row>
    <row r="255" spans="118:183" x14ac:dyDescent="0.2">
      <c r="DN255" cm="1">
        <f t="array" aca="1" ref="DN255" ca="1">INDEX(_xlfn.ANCHORARRAY($CP$15), 1 + INT((ROWS($DO$15:$DO255) - 1) / ROWS(_xlfn.ANCHORARRAY($CP$15))))</f>
        <v>13</v>
      </c>
      <c r="DO255" cm="1">
        <f t="array" aca="1" ref="DO255" ca="1">INDEX(_xlfn.ANCHORARRAY($CP$15),1+MOD(ROWS($DO$15:$DO255)-1,ROWS(_xlfn.ANCHORARRAY($CP$15))))</f>
        <v>13</v>
      </c>
      <c r="DP255" s="10" cm="1">
        <f t="array" aca="1" ref="DP255" ca="1">(1-$B$18)*SUMPRODUCT(OFFSET($BO$15,0,0,$B$14,1), 1*(_xlfn._xlws.FILTER(OFFSET($O$15,0,$DN255,$B$8,1),OFFSET($M$15,0,0,$B$8,1))=DP$13), 1*(_xlfn._xlws.FILTER(OFFSET($O$15,0,$DO255,$B$8,1),OFFSET($M$15,0,0,$B$8,1))=DP$14))   /   SUM(OFFSET($BO$15,0,0,$B$14,1)) + $B$18/($B$19*$B$19*($DN255&lt;&gt;$DO255) + $B$19*($DN255=$DO255))</f>
        <v>3.3333333333333331E-3</v>
      </c>
      <c r="DQ255" s="10" cm="1">
        <f t="array" aca="1" ref="DQ255" ca="1">(1-$B$18)*SUMPRODUCT(OFFSET($BO$15,0,0,$B$14,1), 1*(_xlfn._xlws.FILTER(OFFSET($O$15,0,$DN255,$B$8,1),OFFSET($M$15,0,0,$B$8,1))=DQ$13), 1*(_xlfn._xlws.FILTER(OFFSET($O$15,0,$DO255,$B$8,1),OFFSET($M$15,0,0,$B$8,1))=DQ$14))   /   SUM(OFFSET($BO$15,0,0,$B$14,1)) + $B$18/($B$19*$B$19*($DN255&lt;&gt;$DO255) + $B$19*($DN255=$DO255))</f>
        <v>3.3333333333333331E-3</v>
      </c>
      <c r="DR255" s="10" cm="1">
        <f t="array" aca="1" ref="DR255" ca="1">(1-$B$18)*SUMPRODUCT(OFFSET($BO$15,0,0,$B$14,1), 1*(_xlfn._xlws.FILTER(OFFSET($O$15,0,$DN255,$B$8,1),OFFSET($M$15,0,0,$B$8,1))=DR$13), 1*(_xlfn._xlws.FILTER(OFFSET($O$15,0,$DO255,$B$8,1),OFFSET($M$15,0,0,$B$8,1))=DR$14))   /   SUM(OFFSET($BO$15,0,0,$B$14,1)) + $B$18/($B$19*$B$19*($DN255&lt;&gt;$DO255) + $B$19*($DN255=$DO255))</f>
        <v>3.3333333333333331E-3</v>
      </c>
      <c r="DS255" s="10" cm="1">
        <f t="array" aca="1" ref="DS255" ca="1">(1-$B$18)*SUMPRODUCT(OFFSET($BO$15,0,0,$B$14,1), 1*(_xlfn._xlws.FILTER(OFFSET($O$15,0,$DN255,$B$8,1),OFFSET($M$15,0,0,$B$8,1))=DS$13), 1*(_xlfn._xlws.FILTER(OFFSET($O$15,0,$DO255,$B$8,1),OFFSET($M$15,0,0,$B$8,1))=DS$14))   /   SUM(OFFSET($BO$15,0,0,$B$14,1)) + $B$18/($B$19*$B$19*($DN255&lt;&gt;$DO255) + $B$19*($DN255=$DO255))</f>
        <v>3.3333333333333331E-3</v>
      </c>
      <c r="DT255" s="10" cm="1">
        <f t="array" aca="1" ref="DT255" ca="1">(1-$B$18)*SUMPRODUCT(OFFSET($BO$15,0,0,$B$14,1), 1*(_xlfn._xlws.FILTER(OFFSET($O$15,0,$DN255,$B$8,1),OFFSET($M$15,0,0,$B$8,1))=DT$13), 1*(_xlfn._xlws.FILTER(OFFSET($O$15,0,$DO255,$B$8,1),OFFSET($M$15,0,0,$B$8,1))=DT$14))   /   SUM(OFFSET($BO$15,0,0,$B$14,1)) + $B$18/($B$19*$B$19*($DN255&lt;&gt;$DO255) + $B$19*($DN255=$DO255))</f>
        <v>3.3333333333333331E-3</v>
      </c>
      <c r="DU255" s="10" cm="1">
        <f t="array" aca="1" ref="DU255" ca="1">(1-$B$18)*SUMPRODUCT(OFFSET($BO$15,0,0,$B$14,1), 1*(_xlfn._xlws.FILTER(OFFSET($O$15,0,$DN255,$B$8,1),OFFSET($M$15,0,0,$B$8,1))=DU$13), 1*(_xlfn._xlws.FILTER(OFFSET($O$15,0,$DO255,$B$8,1),OFFSET($M$15,0,0,$B$8,1))=DU$14))   /   SUM(OFFSET($BO$15,0,0,$B$14,1)) + $B$18/($B$19*$B$19*($DN255&lt;&gt;$DO255) + $B$19*($DN255=$DO255))</f>
        <v>3.3333333333333331E-3</v>
      </c>
      <c r="DV255" s="10" cm="1">
        <f t="array" aca="1" ref="DV255" ca="1">(1-$B$18)*SUMPRODUCT(OFFSET($BO$15,0,0,$B$14,1), 1*(_xlfn._xlws.FILTER(OFFSET($O$15,0,$DN255,$B$8,1),OFFSET($M$15,0,0,$B$8,1))=DV$13), 1*(_xlfn._xlws.FILTER(OFFSET($O$15,0,$DO255,$B$8,1),OFFSET($M$15,0,0,$B$8,1))=DV$14))   /   SUM(OFFSET($BO$15,0,0,$B$14,1)) + $B$18/($B$19*$B$19*($DN255&lt;&gt;$DO255) + $B$19*($DN255=$DO255))</f>
        <v>3.3333333333333331E-3</v>
      </c>
      <c r="DW255" s="10" cm="1">
        <f t="array" aca="1" ref="DW255" ca="1">(1-$B$18)*SUMPRODUCT(OFFSET($BO$15,0,0,$B$14,1), 1*(_xlfn._xlws.FILTER(OFFSET($O$15,0,$DN255,$B$8,1),OFFSET($M$15,0,0,$B$8,1))=DW$13), 1*(_xlfn._xlws.FILTER(OFFSET($O$15,0,$DO255,$B$8,1),OFFSET($M$15,0,0,$B$8,1))=DW$14))   /   SUM(OFFSET($BO$15,0,0,$B$14,1)) + $B$18/($B$19*$B$19*($DN255&lt;&gt;$DO255) + $B$19*($DN255=$DO255))</f>
        <v>3.3333333333333331E-3</v>
      </c>
      <c r="DX255" s="10" cm="1">
        <f t="array" aca="1" ref="DX255" ca="1">(1-$B$18)*SUMPRODUCT(OFFSET($BO$15,0,0,$B$14,1), 1*(_xlfn._xlws.FILTER(OFFSET($O$15,0,$DN255,$B$8,1),OFFSET($M$15,0,0,$B$8,1))=DX$13), 1*(_xlfn._xlws.FILTER(OFFSET($O$15,0,$DO255,$B$8,1),OFFSET($M$15,0,0,$B$8,1))=DX$14))   /   SUM(OFFSET($BO$15,0,0,$B$14,1)) + $B$18/($B$19*$B$19*($DN255&lt;&gt;$DO255) + $B$19*($DN255=$DO255))</f>
        <v>3.3333333333333331E-3</v>
      </c>
      <c r="DY255" s="10" cm="1">
        <f t="array" aca="1" ref="DY255" ca="1">(1-$B$18)*SUMPRODUCT(OFFSET($BO$15,0,0,$B$14,1), 1*(_xlfn._xlws.FILTER(OFFSET($O$15,0,$DN255,$B$8,1),OFFSET($M$15,0,0,$B$8,1))=DY$13), 1*(_xlfn._xlws.FILTER(OFFSET($O$15,0,$DO255,$B$8,1),OFFSET($M$15,0,0,$B$8,1))=DY$14))   /   SUM(OFFSET($BO$15,0,0,$B$14,1)) + $B$18/($B$19*$B$19*($DN255&lt;&gt;$DO255) + $B$19*($DN255=$DO255))</f>
        <v>0.97333333333333327</v>
      </c>
      <c r="DZ255" s="10" cm="1">
        <f t="array" aca="1" ref="DZ255" ca="1">(1-$B$18)*SUMPRODUCT(OFFSET($BO$15,0,0,$B$14,1), 1*(_xlfn._xlws.FILTER(OFFSET($O$15,0,$DN255,$B$8,1),OFFSET($M$15,0,0,$B$8,1))=DZ$13), 1*(_xlfn._xlws.FILTER(OFFSET($O$15,0,$DO255,$B$8,1),OFFSET($M$15,0,0,$B$8,1))=DZ$14))   /   SUM(OFFSET($BO$15,0,0,$B$14,1)) + $B$18/($B$19*$B$19*($DN255&lt;&gt;$DO255) + $B$19*($DN255=$DO255))</f>
        <v>3.3333333333333331E-3</v>
      </c>
      <c r="EA255" s="10" cm="1">
        <f t="array" aca="1" ref="EA255" ca="1">(1-$B$18)*SUMPRODUCT(OFFSET($BO$15,0,0,$B$14,1), 1*(_xlfn._xlws.FILTER(OFFSET($O$15,0,$DN255,$B$8,1),OFFSET($M$15,0,0,$B$8,1))=EA$13), 1*(_xlfn._xlws.FILTER(OFFSET($O$15,0,$DO255,$B$8,1),OFFSET($M$15,0,0,$B$8,1))=EA$14))   /   SUM(OFFSET($BO$15,0,0,$B$14,1)) + $B$18/($B$19*$B$19*($DN255&lt;&gt;$DO255) + $B$19*($DN255=$DO255))</f>
        <v>3.3333333333333331E-3</v>
      </c>
      <c r="EB255" s="10" cm="1">
        <f t="array" aca="1" ref="EB255" ca="1">(1-$B$18)*SUMPRODUCT(OFFSET($BO$15,0,0,$B$14,1), 1*(_xlfn._xlws.FILTER(OFFSET($O$15,0,$DN255,$B$8,1),OFFSET($M$15,0,0,$B$8,1))=EB$13), 1*(_xlfn._xlws.FILTER(OFFSET($O$15,0,$DO255,$B$8,1),OFFSET($M$15,0,0,$B$8,1))=EB$14))   /   SUM(OFFSET($BO$15,0,0,$B$14,1)) + $B$18/($B$19*$B$19*($DN255&lt;&gt;$DO255) + $B$19*($DN255=$DO255))</f>
        <v>3.3333333333333331E-3</v>
      </c>
      <c r="EC255" s="10" cm="1">
        <f t="array" aca="1" ref="EC255" ca="1">(1-$B$18)*SUMPRODUCT(OFFSET($BO$15,0,0,$B$14,1), 1*(_xlfn._xlws.FILTER(OFFSET($O$15,0,$DN255,$B$8,1),OFFSET($M$15,0,0,$B$8,1))=EC$13), 1*(_xlfn._xlws.FILTER(OFFSET($O$15,0,$DO255,$B$8,1),OFFSET($M$15,0,0,$B$8,1))=EC$14))   /   SUM(OFFSET($BO$15,0,0,$B$14,1)) + $B$18/($B$19*$B$19*($DN255&lt;&gt;$DO255) + $B$19*($DN255=$DO255))</f>
        <v>3.3333333333333331E-3</v>
      </c>
      <c r="ED255" s="10" cm="1">
        <f t="array" aca="1" ref="ED255" ca="1">(1-$B$18)*SUMPRODUCT(OFFSET($BO$15,0,0,$B$14,1), 1*(_xlfn._xlws.FILTER(OFFSET($O$15,0,$DN255,$B$8,1),OFFSET($M$15,0,0,$B$8,1))=ED$13), 1*(_xlfn._xlws.FILTER(OFFSET($O$15,0,$DO255,$B$8,1),OFFSET($M$15,0,0,$B$8,1))=ED$14))   /   SUM(OFFSET($BO$15,0,0,$B$14,1)) + $B$18/($B$19*$B$19*($DN255&lt;&gt;$DO255) + $B$19*($DN255=$DO255))</f>
        <v>3.3333333333333331E-3</v>
      </c>
      <c r="EE255" s="10" cm="1">
        <f t="array" aca="1" ref="EE255" ca="1">(1-$B$18)*SUMPRODUCT(OFFSET($BO$15,0,0,$B$14,1), 1*(_xlfn._xlws.FILTER(OFFSET($O$15,0,$DN255,$B$8,1),OFFSET($M$15,0,0,$B$8,1))=EE$13), 1*(_xlfn._xlws.FILTER(OFFSET($O$15,0,$DO255,$B$8,1),OFFSET($M$15,0,0,$B$8,1))=EE$14))   /   SUM(OFFSET($BO$15,0,0,$B$14,1)) + $B$18/($B$19*$B$19*($DN255&lt;&gt;$DO255) + $B$19*($DN255=$DO255))</f>
        <v>3.3333333333333331E-3</v>
      </c>
      <c r="EF255" s="10" cm="1">
        <f t="array" aca="1" ref="EF255" ca="1">(1-$B$18)*SUMPRODUCT(OFFSET($BO$15,0,0,$B$14,1), 1*(_xlfn._xlws.FILTER(OFFSET($O$15,0,$DN255,$B$8,1),OFFSET($M$15,0,0,$B$8,1))=EF$13), 1*(_xlfn._xlws.FILTER(OFFSET($O$15,0,$DO255,$B$8,1),OFFSET($M$15,0,0,$B$8,1))=EF$14))   /   SUM(OFFSET($BO$15,0,0,$B$14,1)) + $B$18/($B$19*$B$19*($DN255&lt;&gt;$DO255) + $B$19*($DN255=$DO255))</f>
        <v>3.3333333333333331E-3</v>
      </c>
      <c r="EG255" s="10" cm="1">
        <f t="array" aca="1" ref="EG255" ca="1">(1-$B$18)*SUMPRODUCT(OFFSET($BO$15,0,0,$B$14,1), 1*(_xlfn._xlws.FILTER(OFFSET($O$15,0,$DN255,$B$8,1),OFFSET($M$15,0,0,$B$8,1))=EG$13), 1*(_xlfn._xlws.FILTER(OFFSET($O$15,0,$DO255,$B$8,1),OFFSET($M$15,0,0,$B$8,1))=EG$14))   /   SUM(OFFSET($BO$15,0,0,$B$14,1)) + $B$18/($B$19*$B$19*($DN255&lt;&gt;$DO255) + $B$19*($DN255=$DO255))</f>
        <v>3.3333333333333331E-3</v>
      </c>
      <c r="EH255" s="10" cm="1">
        <f t="array" aca="1" ref="EH255" ca="1">(1-$B$18)*SUMPRODUCT(OFFSET($BO$15,0,0,$B$14,1), 1*(_xlfn._xlws.FILTER(OFFSET($O$15,0,$DN255,$B$8,1),OFFSET($M$15,0,0,$B$8,1))=EH$13), 1*(_xlfn._xlws.FILTER(OFFSET($O$15,0,$DO255,$B$8,1),OFFSET($M$15,0,0,$B$8,1))=EH$14))   /   SUM(OFFSET($BO$15,0,0,$B$14,1)) + $B$18/($B$19*$B$19*($DN255&lt;&gt;$DO255) + $B$19*($DN255=$DO255))</f>
        <v>3.3333333333333331E-3</v>
      </c>
      <c r="EI255" s="10" cm="1">
        <f t="array" aca="1" ref="EI255" ca="1">(1-$B$18)*SUMPRODUCT(OFFSET($BO$15,0,0,$B$14,1), 1*(_xlfn._xlws.FILTER(OFFSET($O$15,0,$DN255,$B$8,1),OFFSET($M$15,0,0,$B$8,1))=EI$13), 1*(_xlfn._xlws.FILTER(OFFSET($O$15,0,$DO255,$B$8,1),OFFSET($M$15,0,0,$B$8,1))=EI$14))   /   SUM(OFFSET($BO$15,0,0,$B$14,1)) + $B$18/($B$19*$B$19*($DN255&lt;&gt;$DO255) + $B$19*($DN255=$DO255))</f>
        <v>3.3333333333333331E-3</v>
      </c>
      <c r="EJ255" s="10" cm="1">
        <f t="array" aca="1" ref="EJ255" ca="1">(1-$B$18)*SUMPRODUCT(OFFSET($BO$15,0,0,$B$14,1), 1*(_xlfn._xlws.FILTER(OFFSET($O$15,0,$DN255,$B$8,1),OFFSET($M$15,0,0,$B$8,1))=EJ$13), 1*(_xlfn._xlws.FILTER(OFFSET($O$15,0,$DO255,$B$8,1),OFFSET($M$15,0,0,$B$8,1))=EJ$14))   /   SUM(OFFSET($BO$15,0,0,$B$14,1)) + $B$18/($B$19*$B$19*($DN255&lt;&gt;$DO255) + $B$19*($DN255=$DO255))</f>
        <v>3.3333333333333331E-3</v>
      </c>
      <c r="EK255" s="10" cm="1">
        <f t="array" aca="1" ref="EK255" ca="1">(1-$B$18)*SUMPRODUCT(OFFSET($BO$15,0,0,$B$14,1), 1*(_xlfn._xlws.FILTER(OFFSET($O$15,0,$DN255,$B$8,1),OFFSET($M$15,0,0,$B$8,1))=EK$13), 1*(_xlfn._xlws.FILTER(OFFSET($O$15,0,$DO255,$B$8,1),OFFSET($M$15,0,0,$B$8,1))=EK$14))   /   SUM(OFFSET($BO$15,0,0,$B$14,1)) + $B$18/($B$19*$B$19*($DN255&lt;&gt;$DO255) + $B$19*($DN255=$DO255))</f>
        <v>3.3333333333333331E-3</v>
      </c>
      <c r="EL255" s="10" cm="1">
        <f t="array" aca="1" ref="EL255" ca="1">(1-$B$18)*SUMPRODUCT(OFFSET($BO$15,0,0,$B$14,1), 1*(_xlfn._xlws.FILTER(OFFSET($O$15,0,$DN255,$B$8,1),OFFSET($M$15,0,0,$B$8,1))=EL$13), 1*(_xlfn._xlws.FILTER(OFFSET($O$15,0,$DO255,$B$8,1),OFFSET($M$15,0,0,$B$8,1))=EL$14))   /   SUM(OFFSET($BO$15,0,0,$B$14,1)) + $B$18/($B$19*$B$19*($DN255&lt;&gt;$DO255) + $B$19*($DN255=$DO255))</f>
        <v>3.3333333333333331E-3</v>
      </c>
      <c r="EM255" s="10" cm="1">
        <f t="array" aca="1" ref="EM255" ca="1">(1-$B$18)*SUMPRODUCT(OFFSET($BO$15,0,0,$B$14,1), 1*(_xlfn._xlws.FILTER(OFFSET($O$15,0,$DN255,$B$8,1),OFFSET($M$15,0,0,$B$8,1))=EM$13), 1*(_xlfn._xlws.FILTER(OFFSET($O$15,0,$DO255,$B$8,1),OFFSET($M$15,0,0,$B$8,1))=EM$14))   /   SUM(OFFSET($BO$15,0,0,$B$14,1)) + $B$18/($B$19*$B$19*($DN255&lt;&gt;$DO255) + $B$19*($DN255=$DO255))</f>
        <v>3.3333333333333331E-3</v>
      </c>
      <c r="EN255" s="10" cm="1">
        <f t="array" aca="1" ref="EN255" ca="1">(1-$B$18)*SUMPRODUCT(OFFSET($BO$15,0,0,$B$14,1), 1*(_xlfn._xlws.FILTER(OFFSET($O$15,0,$DN255,$B$8,1),OFFSET($M$15,0,0,$B$8,1))=EN$13), 1*(_xlfn._xlws.FILTER(OFFSET($O$15,0,$DO255,$B$8,1),OFFSET($M$15,0,0,$B$8,1))=EN$14))   /   SUM(OFFSET($BO$15,0,0,$B$14,1)) + $B$18/($B$19*$B$19*($DN255&lt;&gt;$DO255) + $B$19*($DN255=$DO255))</f>
        <v>3.3333333333333331E-3</v>
      </c>
      <c r="EO255" s="10" cm="1">
        <f t="array" aca="1" ref="EO255" ca="1">(1-$B$18)*SUMPRODUCT(OFFSET($BO$15,0,0,$B$14,1), 1*(_xlfn._xlws.FILTER(OFFSET($O$15,0,$DN255,$B$8,1),OFFSET($M$15,0,0,$B$8,1))=EO$13), 1*(_xlfn._xlws.FILTER(OFFSET($O$15,0,$DO255,$B$8,1),OFFSET($M$15,0,0,$B$8,1))=EO$14))   /   SUM(OFFSET($BO$15,0,0,$B$14,1)) + $B$18/($B$19*$B$19*($DN255&lt;&gt;$DO255) + $B$19*($DN255=$DO255))</f>
        <v>3.3333333333333331E-3</v>
      </c>
      <c r="EP255" s="10" cm="1">
        <f t="array" aca="1" ref="EP255" ca="1">(1-$B$18)*SUMPRODUCT(OFFSET($BO$15,0,0,$B$14,1), 1*(_xlfn._xlws.FILTER(OFFSET($O$15,0,$DN255,$B$8,1),OFFSET($M$15,0,0,$B$8,1))=EP$13), 1*(_xlfn._xlws.FILTER(OFFSET($O$15,0,$DO255,$B$8,1),OFFSET($M$15,0,0,$B$8,1))=EP$14))   /   SUM(OFFSET($BO$15,0,0,$B$14,1)) + $B$18/($B$19*$B$19*($DN255&lt;&gt;$DO255) + $B$19*($DN255=$DO255))</f>
        <v>3.3333333333333331E-3</v>
      </c>
      <c r="EQ255" s="10" cm="1">
        <f t="array" aca="1" ref="EQ255" ca="1">(1-$B$18)*SUMPRODUCT(OFFSET($BO$15,0,0,$B$14,1), 1*(_xlfn._xlws.FILTER(OFFSET($O$15,0,$DN255,$B$8,1),OFFSET($M$15,0,0,$B$8,1))=EQ$13), 1*(_xlfn._xlws.FILTER(OFFSET($O$15,0,$DO255,$B$8,1),OFFSET($M$15,0,0,$B$8,1))=EQ$14))   /   SUM(OFFSET($BO$15,0,0,$B$14,1)) + $B$18/($B$19*$B$19*($DN255&lt;&gt;$DO255) + $B$19*($DN255=$DO255))</f>
        <v>3.3333333333333331E-3</v>
      </c>
      <c r="ER255" s="10" cm="1">
        <f t="array" aca="1" ref="ER255" ca="1">(1-$B$18)*SUMPRODUCT(OFFSET($BO$15,0,0,$B$14,1), 1*(_xlfn._xlws.FILTER(OFFSET($O$15,0,$DN255,$B$8,1),OFFSET($M$15,0,0,$B$8,1))=ER$13), 1*(_xlfn._xlws.FILTER(OFFSET($O$15,0,$DO255,$B$8,1),OFFSET($M$15,0,0,$B$8,1))=ER$14))   /   SUM(OFFSET($BO$15,0,0,$B$14,1)) + $B$18/($B$19*$B$19*($DN255&lt;&gt;$DO255) + $B$19*($DN255=$DO255))</f>
        <v>3.3333333333333331E-3</v>
      </c>
      <c r="ES255" s="10" cm="1">
        <f t="array" aca="1" ref="ES255" ca="1">(1-$B$18)*SUMPRODUCT(OFFSET($BO$15,0,0,$B$14,1), 1*(_xlfn._xlws.FILTER(OFFSET($O$15,0,$DN255,$B$8,1),OFFSET($M$15,0,0,$B$8,1))=ES$13), 1*(_xlfn._xlws.FILTER(OFFSET($O$15,0,$DO255,$B$8,1),OFFSET($M$15,0,0,$B$8,1))=ES$14))   /   SUM(OFFSET($BO$15,0,0,$B$14,1)) + $B$18/($B$19*$B$19*($DN255&lt;&gt;$DO255) + $B$19*($DN255=$DO255))</f>
        <v>3.3333333333333331E-3</v>
      </c>
      <c r="ET255" s="10" cm="1">
        <f t="array" aca="1" ref="ET255" ca="1">(1-$B$18)*SUMPRODUCT(OFFSET($BO$15,0,0,$B$14,1), 1*(_xlfn._xlws.FILTER(OFFSET($O$15,0,$DN255,$B$8,1),OFFSET($M$15,0,0,$B$8,1))=ET$13), 1*(_xlfn._xlws.FILTER(OFFSET($O$15,0,$DO255,$B$8,1),OFFSET($M$15,0,0,$B$8,1))=ET$14))   /   SUM(OFFSET($BO$15,0,0,$B$14,1)) + $B$18/($B$19*$B$19*($DN255&lt;&gt;$DO255) + $B$19*($DN255=$DO255))</f>
        <v>3.3333333333333331E-3</v>
      </c>
      <c r="EU255" s="10" cm="1">
        <f t="array" aca="1" ref="EU255" ca="1">(1-$B$18)*SUMPRODUCT(OFFSET($BO$15,0,0,$B$14,1), 1*(_xlfn._xlws.FILTER(OFFSET($O$15,0,$DN255,$B$8,1),OFFSET($M$15,0,0,$B$8,1))=EU$13), 1*(_xlfn._xlws.FILTER(OFFSET($O$15,0,$DO255,$B$8,1),OFFSET($M$15,0,0,$B$8,1))=EU$14))   /   SUM(OFFSET($BO$15,0,0,$B$14,1)) + $B$18/($B$19*$B$19*($DN255&lt;&gt;$DO255) + $B$19*($DN255=$DO255))</f>
        <v>3.3333333333333331E-3</v>
      </c>
      <c r="EV255" s="10" cm="1">
        <f t="array" aca="1" ref="EV255" ca="1">(1-$B$18)*SUMPRODUCT(OFFSET($BO$15,0,0,$B$14,1), 1*(_xlfn._xlws.FILTER(OFFSET($O$15,0,$DN255,$B$8,1),OFFSET($M$15,0,0,$B$8,1))=EV$13), 1*(_xlfn._xlws.FILTER(OFFSET($O$15,0,$DO255,$B$8,1),OFFSET($M$15,0,0,$B$8,1))=EV$14))   /   SUM(OFFSET($BO$15,0,0,$B$14,1)) + $B$18/($B$19*$B$19*($DN255&lt;&gt;$DO255) + $B$19*($DN255=$DO255))</f>
        <v>3.3333333333333331E-3</v>
      </c>
      <c r="EW255" s="10" cm="1">
        <f t="array" aca="1" ref="EW255" ca="1">(1-$B$18)*SUMPRODUCT(OFFSET($BO$15,0,0,$B$14,1), 1*(_xlfn._xlws.FILTER(OFFSET($O$15,0,$DN255,$B$8,1),OFFSET($M$15,0,0,$B$8,1))=EW$13), 1*(_xlfn._xlws.FILTER(OFFSET($O$15,0,$DO255,$B$8,1),OFFSET($M$15,0,0,$B$8,1))=EW$14))   /   SUM(OFFSET($BO$15,0,0,$B$14,1)) + $B$18/($B$19*$B$19*($DN255&lt;&gt;$DO255) + $B$19*($DN255=$DO255))</f>
        <v>3.3333333333333331E-3</v>
      </c>
      <c r="EX255" s="10" cm="1">
        <f t="array" aca="1" ref="EX255" ca="1">(1-$B$18)*SUMPRODUCT(OFFSET($BO$15,0,0,$B$14,1), 1*(_xlfn._xlws.FILTER(OFFSET($O$15,0,$DN255,$B$8,1),OFFSET($M$15,0,0,$B$8,1))=EX$13), 1*(_xlfn._xlws.FILTER(OFFSET($O$15,0,$DO255,$B$8,1),OFFSET($M$15,0,0,$B$8,1))=EX$14))   /   SUM(OFFSET($BO$15,0,0,$B$14,1)) + $B$18/($B$19*$B$19*($DN255&lt;&gt;$DO255) + $B$19*($DN255=$DO255))</f>
        <v>3.3333333333333331E-3</v>
      </c>
      <c r="EY255" s="10" cm="1">
        <f t="array" aca="1" ref="EY255" ca="1">(1-$B$18)*SUMPRODUCT(OFFSET($BO$15,0,0,$B$14,1), 1*(_xlfn._xlws.FILTER(OFFSET($O$15,0,$DN255,$B$8,1),OFFSET($M$15,0,0,$B$8,1))=EY$13), 1*(_xlfn._xlws.FILTER(OFFSET($O$15,0,$DO255,$B$8,1),OFFSET($M$15,0,0,$B$8,1))=EY$14))   /   SUM(OFFSET($BO$15,0,0,$B$14,1)) + $B$18/($B$19*$B$19*($DN255&lt;&gt;$DO255) + $B$19*($DN255=$DO255))</f>
        <v>3.3333333333333331E-3</v>
      </c>
      <c r="EZ255" s="10" cm="1">
        <f t="array" aca="1" ref="EZ255" ca="1">(1-$B$18)*SUMPRODUCT(OFFSET($BO$15,0,0,$B$14,1), 1*(_xlfn._xlws.FILTER(OFFSET($O$15,0,$DN255,$B$8,1),OFFSET($M$15,0,0,$B$8,1))=EZ$13), 1*(_xlfn._xlws.FILTER(OFFSET($O$15,0,$DO255,$B$8,1),OFFSET($M$15,0,0,$B$8,1))=EZ$14))   /   SUM(OFFSET($BO$15,0,0,$B$14,1)) + $B$18/($B$19*$B$19*($DN255&lt;&gt;$DO255) + $B$19*($DN255=$DO255))</f>
        <v>3.3333333333333331E-3</v>
      </c>
      <c r="FA255" s="10" cm="1">
        <f t="array" aca="1" ref="FA255" ca="1">(1-$B$18)*SUMPRODUCT(OFFSET($BO$15,0,0,$B$14,1), 1*(_xlfn._xlws.FILTER(OFFSET($O$15,0,$DN255,$B$8,1),OFFSET($M$15,0,0,$B$8,1))=FA$13), 1*(_xlfn._xlws.FILTER(OFFSET($O$15,0,$DO255,$B$8,1),OFFSET($M$15,0,0,$B$8,1))=FA$14))   /   SUM(OFFSET($BO$15,0,0,$B$14,1)) + $B$18/($B$19*$B$19*($DN255&lt;&gt;$DO255) + $B$19*($DN255=$DO255))</f>
        <v>3.3333333333333331E-3</v>
      </c>
      <c r="FB255" s="10" cm="1">
        <f t="array" aca="1" ref="FB255" ca="1">(1-$B$18)*SUMPRODUCT(OFFSET($BO$15,0,0,$B$14,1), 1*(_xlfn._xlws.FILTER(OFFSET($O$15,0,$DN255,$B$8,1),OFFSET($M$15,0,0,$B$8,1))=FB$13), 1*(_xlfn._xlws.FILTER(OFFSET($O$15,0,$DO255,$B$8,1),OFFSET($M$15,0,0,$B$8,1))=FB$14))   /   SUM(OFFSET($BO$15,0,0,$B$14,1)) + $B$18/($B$19*$B$19*($DN255&lt;&gt;$DO255) + $B$19*($DN255=$DO255))</f>
        <v>3.3333333333333331E-3</v>
      </c>
      <c r="FC255" s="10" cm="1">
        <f t="array" aca="1" ref="FC255" ca="1">(1-$B$18)*SUMPRODUCT(OFFSET($BO$15,0,0,$B$14,1), 1*(_xlfn._xlws.FILTER(OFFSET($O$15,0,$DN255,$B$8,1),OFFSET($M$15,0,0,$B$8,1))=FC$13), 1*(_xlfn._xlws.FILTER(OFFSET($O$15,0,$DO255,$B$8,1),OFFSET($M$15,0,0,$B$8,1))=FC$14))   /   SUM(OFFSET($BO$15,0,0,$B$14,1)) + $B$18/($B$19*$B$19*($DN255&lt;&gt;$DO255) + $B$19*($DN255=$DO255))</f>
        <v>3.3333333333333331E-3</v>
      </c>
      <c r="FD255" s="10" cm="1">
        <f t="array" aca="1" ref="FD255" ca="1">(1-$B$18)*SUMPRODUCT(OFFSET($BO$15,0,0,$B$14,1), 1*(_xlfn._xlws.FILTER(OFFSET($O$15,0,$DN255,$B$8,1),OFFSET($M$15,0,0,$B$8,1))=FD$13), 1*(_xlfn._xlws.FILTER(OFFSET($O$15,0,$DO255,$B$8,1),OFFSET($M$15,0,0,$B$8,1))=FD$14))   /   SUM(OFFSET($BO$15,0,0,$B$14,1)) + $B$18/($B$19*$B$19*($DN255&lt;&gt;$DO255) + $B$19*($DN255=$DO255))</f>
        <v>3.3333333333333331E-3</v>
      </c>
      <c r="FE255" s="10" cm="1">
        <f t="array" aca="1" ref="FE255" ca="1">(1-$B$18)*SUMPRODUCT(OFFSET($BO$15,0,0,$B$14,1), 1*(_xlfn._xlws.FILTER(OFFSET($O$15,0,$DN255,$B$8,1),OFFSET($M$15,0,0,$B$8,1))=FE$13), 1*(_xlfn._xlws.FILTER(OFFSET($O$15,0,$DO255,$B$8,1),OFFSET($M$15,0,0,$B$8,1))=FE$14))   /   SUM(OFFSET($BO$15,0,0,$B$14,1)) + $B$18/($B$19*$B$19*($DN255&lt;&gt;$DO255) + $B$19*($DN255=$DO255))</f>
        <v>3.3333333333333331E-3</v>
      </c>
      <c r="FF255" s="10" cm="1">
        <f t="array" aca="1" ref="FF255" ca="1">(1-$B$18)*SUMPRODUCT(OFFSET($BO$15,0,0,$B$14,1), 1*(_xlfn._xlws.FILTER(OFFSET($O$15,0,$DN255,$B$8,1),OFFSET($M$15,0,0,$B$8,1))=FF$13), 1*(_xlfn._xlws.FILTER(OFFSET($O$15,0,$DO255,$B$8,1),OFFSET($M$15,0,0,$B$8,1))=FF$14))   /   SUM(OFFSET($BO$15,0,0,$B$14,1)) + $B$18/($B$19*$B$19*($DN255&lt;&gt;$DO255) + $B$19*($DN255=$DO255))</f>
        <v>3.3333333333333331E-3</v>
      </c>
      <c r="FG255" s="10" cm="1">
        <f t="array" aca="1" ref="FG255" ca="1">(1-$B$18)*SUMPRODUCT(OFFSET($BO$15,0,0,$B$14,1), 1*(_xlfn._xlws.FILTER(OFFSET($O$15,0,$DN255,$B$8,1),OFFSET($M$15,0,0,$B$8,1))=FG$13), 1*(_xlfn._xlws.FILTER(OFFSET($O$15,0,$DO255,$B$8,1),OFFSET($M$15,0,0,$B$8,1))=FG$14))   /   SUM(OFFSET($BO$15,0,0,$B$14,1)) + $B$18/($B$19*$B$19*($DN255&lt;&gt;$DO255) + $B$19*($DN255=$DO255))</f>
        <v>3.3333333333333331E-3</v>
      </c>
      <c r="FH255" s="10" cm="1">
        <f t="array" aca="1" ref="FH255" ca="1">(1-$B$18)*SUMPRODUCT(OFFSET($BO$15,0,0,$B$14,1), 1*(_xlfn._xlws.FILTER(OFFSET($O$15,0,$DN255,$B$8,1),OFFSET($M$15,0,0,$B$8,1))=FH$13), 1*(_xlfn._xlws.FILTER(OFFSET($O$15,0,$DO255,$B$8,1),OFFSET($M$15,0,0,$B$8,1))=FH$14))   /   SUM(OFFSET($BO$15,0,0,$B$14,1)) + $B$18/($B$19*$B$19*($DN255&lt;&gt;$DO255) + $B$19*($DN255=$DO255))</f>
        <v>3.3333333333333331E-3</v>
      </c>
      <c r="FI255" s="10" cm="1">
        <f t="array" aca="1" ref="FI255" ca="1">(1-$B$18)*SUMPRODUCT(OFFSET($BO$15,0,0,$B$14,1), 1*(_xlfn._xlws.FILTER(OFFSET($O$15,0,$DN255,$B$8,1),OFFSET($M$15,0,0,$B$8,1))=FI$13), 1*(_xlfn._xlws.FILTER(OFFSET($O$15,0,$DO255,$B$8,1),OFFSET($M$15,0,0,$B$8,1))=FI$14))   /   SUM(OFFSET($BO$15,0,0,$B$14,1)) + $B$18/($B$19*$B$19*($DN255&lt;&gt;$DO255) + $B$19*($DN255=$DO255))</f>
        <v>3.3333333333333331E-3</v>
      </c>
      <c r="FJ255" s="10" cm="1">
        <f t="array" aca="1" ref="FJ255" ca="1">(1-$B$18)*SUMPRODUCT(OFFSET($BO$15,0,0,$B$14,1), 1*(_xlfn._xlws.FILTER(OFFSET($O$15,0,$DN255,$B$8,1),OFFSET($M$15,0,0,$B$8,1))=FJ$13), 1*(_xlfn._xlws.FILTER(OFFSET($O$15,0,$DO255,$B$8,1),OFFSET($M$15,0,0,$B$8,1))=FJ$14))   /   SUM(OFFSET($BO$15,0,0,$B$14,1)) + $B$18/($B$19*$B$19*($DN255&lt;&gt;$DO255) + $B$19*($DN255=$DO255))</f>
        <v>3.3333333333333331E-3</v>
      </c>
      <c r="FK255" s="10" cm="1">
        <f t="array" aca="1" ref="FK255" ca="1">(1-$B$18)*SUMPRODUCT(OFFSET($BO$15,0,0,$B$14,1), 1*(_xlfn._xlws.FILTER(OFFSET($O$15,0,$DN255,$B$8,1),OFFSET($M$15,0,0,$B$8,1))=FK$13), 1*(_xlfn._xlws.FILTER(OFFSET($O$15,0,$DO255,$B$8,1),OFFSET($M$15,0,0,$B$8,1))=FK$14))   /   SUM(OFFSET($BO$15,0,0,$B$14,1)) + $B$18/($B$19*$B$19*($DN255&lt;&gt;$DO255) + $B$19*($DN255=$DO255))</f>
        <v>3.3333333333333331E-3</v>
      </c>
      <c r="FL255" s="10" cm="1">
        <f t="array" aca="1" ref="FL255" ca="1">(1-$B$18)*SUMPRODUCT(OFFSET($BO$15,0,0,$B$14,1), 1*(_xlfn._xlws.FILTER(OFFSET($O$15,0,$DN255,$B$8,1),OFFSET($M$15,0,0,$B$8,1))=FL$13), 1*(_xlfn._xlws.FILTER(OFFSET($O$15,0,$DO255,$B$8,1),OFFSET($M$15,0,0,$B$8,1))=FL$14))   /   SUM(OFFSET($BO$15,0,0,$B$14,1)) + $B$18/($B$19*$B$19*($DN255&lt;&gt;$DO255) + $B$19*($DN255=$DO255))</f>
        <v>3.3333333333333331E-3</v>
      </c>
      <c r="FM255" s="10" cm="1">
        <f t="array" aca="1" ref="FM255" ca="1">(1-$B$18)*SUMPRODUCT(OFFSET($BO$15,0,0,$B$14,1), 1*(_xlfn._xlws.FILTER(OFFSET($O$15,0,$DN255,$B$8,1),OFFSET($M$15,0,0,$B$8,1))=FM$13), 1*(_xlfn._xlws.FILTER(OFFSET($O$15,0,$DO255,$B$8,1),OFFSET($M$15,0,0,$B$8,1))=FM$14))   /   SUM(OFFSET($BO$15,0,0,$B$14,1)) + $B$18/($B$19*$B$19*($DN255&lt;&gt;$DO255) + $B$19*($DN255=$DO255))</f>
        <v>3.3333333333333331E-3</v>
      </c>
      <c r="FN255" s="10" cm="1">
        <f t="array" aca="1" ref="FN255" ca="1">(1-$B$18)*SUMPRODUCT(OFFSET($BO$15,0,0,$B$14,1), 1*(_xlfn._xlws.FILTER(OFFSET($O$15,0,$DN255,$B$8,1),OFFSET($M$15,0,0,$B$8,1))=FN$13), 1*(_xlfn._xlws.FILTER(OFFSET($O$15,0,$DO255,$B$8,1),OFFSET($M$15,0,0,$B$8,1))=FN$14))   /   SUM(OFFSET($BO$15,0,0,$B$14,1)) + $B$18/($B$19*$B$19*($DN255&lt;&gt;$DO255) + $B$19*($DN255=$DO255))</f>
        <v>3.3333333333333331E-3</v>
      </c>
      <c r="FO255" s="10" cm="1">
        <f t="array" aca="1" ref="FO255" ca="1">(1-$B$18)*SUMPRODUCT(OFFSET($BO$15,0,0,$B$14,1), 1*(_xlfn._xlws.FILTER(OFFSET($O$15,0,$DN255,$B$8,1),OFFSET($M$15,0,0,$B$8,1))=FO$13), 1*(_xlfn._xlws.FILTER(OFFSET($O$15,0,$DO255,$B$8,1),OFFSET($M$15,0,0,$B$8,1))=FO$14))   /   SUM(OFFSET($BO$15,0,0,$B$14,1)) + $B$18/($B$19*$B$19*($DN255&lt;&gt;$DO255) + $B$19*($DN255=$DO255))</f>
        <v>3.3333333333333331E-3</v>
      </c>
      <c r="FP255" s="10" cm="1">
        <f t="array" aca="1" ref="FP255" ca="1">(1-$B$18)*SUMPRODUCT(OFFSET($BO$15,0,0,$B$14,1), 1*(_xlfn._xlws.FILTER(OFFSET($O$15,0,$DN255,$B$8,1),OFFSET($M$15,0,0,$B$8,1))=FP$13), 1*(_xlfn._xlws.FILTER(OFFSET($O$15,0,$DO255,$B$8,1),OFFSET($M$15,0,0,$B$8,1))=FP$14))   /   SUM(OFFSET($BO$15,0,0,$B$14,1)) + $B$18/($B$19*$B$19*($DN255&lt;&gt;$DO255) + $B$19*($DN255=$DO255))</f>
        <v>3.3333333333333331E-3</v>
      </c>
      <c r="FQ255" s="10" cm="1">
        <f t="array" aca="1" ref="FQ255" ca="1">(1-$B$18)*SUMPRODUCT(OFFSET($BO$15,0,0,$B$14,1), 1*(_xlfn._xlws.FILTER(OFFSET($O$15,0,$DN255,$B$8,1),OFFSET($M$15,0,0,$B$8,1))=FQ$13), 1*(_xlfn._xlws.FILTER(OFFSET($O$15,0,$DO255,$B$8,1),OFFSET($M$15,0,0,$B$8,1))=FQ$14))   /   SUM(OFFSET($BO$15,0,0,$B$14,1)) + $B$18/($B$19*$B$19*($DN255&lt;&gt;$DO255) + $B$19*($DN255=$DO255))</f>
        <v>3.3333333333333331E-3</v>
      </c>
      <c r="FR255" s="10" cm="1">
        <f t="array" aca="1" ref="FR255" ca="1">(1-$B$18)*SUMPRODUCT(OFFSET($BO$15,0,0,$B$14,1), 1*(_xlfn._xlws.FILTER(OFFSET($O$15,0,$DN255,$B$8,1),OFFSET($M$15,0,0,$B$8,1))=FR$13), 1*(_xlfn._xlws.FILTER(OFFSET($O$15,0,$DO255,$B$8,1),OFFSET($M$15,0,0,$B$8,1))=FR$14))   /   SUM(OFFSET($BO$15,0,0,$B$14,1)) + $B$18/($B$19*$B$19*($DN255&lt;&gt;$DO255) + $B$19*($DN255=$DO255))</f>
        <v>3.3333333333333331E-3</v>
      </c>
      <c r="FS255" s="10" cm="1">
        <f t="array" aca="1" ref="FS255" ca="1">(1-$B$18)*SUMPRODUCT(OFFSET($BO$15,0,0,$B$14,1), 1*(_xlfn._xlws.FILTER(OFFSET($O$15,0,$DN255,$B$8,1),OFFSET($M$15,0,0,$B$8,1))=FS$13), 1*(_xlfn._xlws.FILTER(OFFSET($O$15,0,$DO255,$B$8,1),OFFSET($M$15,0,0,$B$8,1))=FS$14))   /   SUM(OFFSET($BO$15,0,0,$B$14,1)) + $B$18/($B$19*$B$19*($DN255&lt;&gt;$DO255) + $B$19*($DN255=$DO255))</f>
        <v>3.3333333333333331E-3</v>
      </c>
      <c r="FT255" s="10" cm="1">
        <f t="array" aca="1" ref="FT255" ca="1">(1-$B$18)*SUMPRODUCT(OFFSET($BO$15,0,0,$B$14,1), 1*(_xlfn._xlws.FILTER(OFFSET($O$15,0,$DN255,$B$8,1),OFFSET($M$15,0,0,$B$8,1))=FT$13), 1*(_xlfn._xlws.FILTER(OFFSET($O$15,0,$DO255,$B$8,1),OFFSET($M$15,0,0,$B$8,1))=FT$14))   /   SUM(OFFSET($BO$15,0,0,$B$14,1)) + $B$18/($B$19*$B$19*($DN255&lt;&gt;$DO255) + $B$19*($DN255=$DO255))</f>
        <v>3.3333333333333331E-3</v>
      </c>
      <c r="FU255" s="10" cm="1">
        <f t="array" aca="1" ref="FU255" ca="1">(1-$B$18)*SUMPRODUCT(OFFSET($BO$15,0,0,$B$14,1), 1*(_xlfn._xlws.FILTER(OFFSET($O$15,0,$DN255,$B$8,1),OFFSET($M$15,0,0,$B$8,1))=FU$13), 1*(_xlfn._xlws.FILTER(OFFSET($O$15,0,$DO255,$B$8,1),OFFSET($M$15,0,0,$B$8,1))=FU$14))   /   SUM(OFFSET($BO$15,0,0,$B$14,1)) + $B$18/($B$19*$B$19*($DN255&lt;&gt;$DO255) + $B$19*($DN255=$DO255))</f>
        <v>3.3333333333333331E-3</v>
      </c>
      <c r="FV255" s="10" cm="1">
        <f t="array" aca="1" ref="FV255" ca="1">(1-$B$18)*SUMPRODUCT(OFFSET($BO$15,0,0,$B$14,1), 1*(_xlfn._xlws.FILTER(OFFSET($O$15,0,$DN255,$B$8,1),OFFSET($M$15,0,0,$B$8,1))=FV$13), 1*(_xlfn._xlws.FILTER(OFFSET($O$15,0,$DO255,$B$8,1),OFFSET($M$15,0,0,$B$8,1))=FV$14))   /   SUM(OFFSET($BO$15,0,0,$B$14,1)) + $B$18/($B$19*$B$19*($DN255&lt;&gt;$DO255) + $B$19*($DN255=$DO255))</f>
        <v>3.3333333333333331E-3</v>
      </c>
      <c r="FW255" s="10" cm="1">
        <f t="array" aca="1" ref="FW255" ca="1">(1-$B$18)*SUMPRODUCT(OFFSET($BO$15,0,0,$B$14,1), 1*(_xlfn._xlws.FILTER(OFFSET($O$15,0,$DN255,$B$8,1),OFFSET($M$15,0,0,$B$8,1))=FW$13), 1*(_xlfn._xlws.FILTER(OFFSET($O$15,0,$DO255,$B$8,1),OFFSET($M$15,0,0,$B$8,1))=FW$14))   /   SUM(OFFSET($BO$15,0,0,$B$14,1)) + $B$18/($B$19*$B$19*($DN255&lt;&gt;$DO255) + $B$19*($DN255=$DO255))</f>
        <v>3.3333333333333331E-3</v>
      </c>
      <c r="FX255" s="10" cm="1">
        <f t="array" aca="1" ref="FX255" ca="1">(1-$B$18)*SUMPRODUCT(OFFSET($BO$15,0,0,$B$14,1), 1*(_xlfn._xlws.FILTER(OFFSET($O$15,0,$DN255,$B$8,1),OFFSET($M$15,0,0,$B$8,1))=FX$13), 1*(_xlfn._xlws.FILTER(OFFSET($O$15,0,$DO255,$B$8,1),OFFSET($M$15,0,0,$B$8,1))=FX$14))   /   SUM(OFFSET($BO$15,0,0,$B$14,1)) + $B$18/($B$19*$B$19*($DN255&lt;&gt;$DO255) + $B$19*($DN255=$DO255))</f>
        <v>3.3333333333333331E-3</v>
      </c>
      <c r="FY255" s="10" cm="1">
        <f t="array" aca="1" ref="FY255" ca="1">(1-$B$18)*SUMPRODUCT(OFFSET($BO$15,0,0,$B$14,1), 1*(_xlfn._xlws.FILTER(OFFSET($O$15,0,$DN255,$B$8,1),OFFSET($M$15,0,0,$B$8,1))=FY$13), 1*(_xlfn._xlws.FILTER(OFFSET($O$15,0,$DO255,$B$8,1),OFFSET($M$15,0,0,$B$8,1))=FY$14))   /   SUM(OFFSET($BO$15,0,0,$B$14,1)) + $B$18/($B$19*$B$19*($DN255&lt;&gt;$DO255) + $B$19*($DN255=$DO255))</f>
        <v>3.3333333333333331E-3</v>
      </c>
      <c r="FZ255" s="10" cm="1">
        <f t="array" aca="1" ref="FZ255" ca="1">(1-$B$18)*SUMPRODUCT(OFFSET($BO$15,0,0,$B$14,1), 1*(_xlfn._xlws.FILTER(OFFSET($O$15,0,$DN255,$B$8,1),OFFSET($M$15,0,0,$B$8,1))=FZ$13), 1*(_xlfn._xlws.FILTER(OFFSET($O$15,0,$DO255,$B$8,1),OFFSET($M$15,0,0,$B$8,1))=FZ$14))   /   SUM(OFFSET($BO$15,0,0,$B$14,1)) + $B$18/($B$19*$B$19*($DN255&lt;&gt;$DO255) + $B$19*($DN255=$DO255))</f>
        <v>3.3333333333333331E-3</v>
      </c>
      <c r="GA255" s="10" cm="1">
        <f t="array" aca="1" ref="GA255" ca="1">(1-$B$18)*SUMPRODUCT(OFFSET($BO$15,0,0,$B$14,1), 1*(_xlfn._xlws.FILTER(OFFSET($O$15,0,$DN255,$B$8,1),OFFSET($M$15,0,0,$B$8,1))=GA$13), 1*(_xlfn._xlws.FILTER(OFFSET($O$15,0,$DO255,$B$8,1),OFFSET($M$15,0,0,$B$8,1))=GA$14))   /   SUM(OFFSET($BO$15,0,0,$B$14,1)) + $B$18/($B$19*$B$19*($DN255&lt;&gt;$DO255) + $B$19*($DN255=$DO255))</f>
        <v>3.3333333333333331E-3</v>
      </c>
    </row>
    <row r="256" spans="118:183" x14ac:dyDescent="0.2">
      <c r="DN256" cm="1">
        <f t="array" aca="1" ref="DN256" ca="1">INDEX(_xlfn.ANCHORARRAY($CP$15), 1 + INT((ROWS($DO$15:$DO256) - 1) / ROWS(_xlfn.ANCHORARRAY($CP$15))))</f>
        <v>13</v>
      </c>
      <c r="DO256" cm="1">
        <f t="array" aca="1" ref="DO256" ca="1">INDEX(_xlfn.ANCHORARRAY($CP$15),1+MOD(ROWS($DO$15:$DO256)-1,ROWS(_xlfn.ANCHORARRAY($CP$15))))</f>
        <v>14</v>
      </c>
      <c r="DP256" s="10" cm="1">
        <f t="array" aca="1" ref="DP256" ca="1">(1-$B$18)*SUMPRODUCT(OFFSET($BO$15,0,0,$B$14,1), 1*(_xlfn._xlws.FILTER(OFFSET($O$15,0,$DN256,$B$8,1),OFFSET($M$15,0,0,$B$8,1))=DP$13), 1*(_xlfn._xlws.FILTER(OFFSET($O$15,0,$DO256,$B$8,1),OFFSET($M$15,0,0,$B$8,1))=DP$14))   /   SUM(OFFSET($BO$15,0,0,$B$14,1)) + $B$18/($B$19*$B$19*($DN256&lt;&gt;$DO256) + $B$19*($DN256=$DO256))</f>
        <v>3.7037037037037035E-4</v>
      </c>
      <c r="DQ256" s="10" cm="1">
        <f t="array" aca="1" ref="DQ256" ca="1">(1-$B$18)*SUMPRODUCT(OFFSET($BO$15,0,0,$B$14,1), 1*(_xlfn._xlws.FILTER(OFFSET($O$15,0,$DN256,$B$8,1),OFFSET($M$15,0,0,$B$8,1))=DQ$13), 1*(_xlfn._xlws.FILTER(OFFSET($O$15,0,$DO256,$B$8,1),OFFSET($M$15,0,0,$B$8,1))=DQ$14))   /   SUM(OFFSET($BO$15,0,0,$B$14,1)) + $B$18/($B$19*$B$19*($DN256&lt;&gt;$DO256) + $B$19*($DN256=$DO256))</f>
        <v>3.7037037037037035E-4</v>
      </c>
      <c r="DR256" s="10" cm="1">
        <f t="array" aca="1" ref="DR256" ca="1">(1-$B$18)*SUMPRODUCT(OFFSET($BO$15,0,0,$B$14,1), 1*(_xlfn._xlws.FILTER(OFFSET($O$15,0,$DN256,$B$8,1),OFFSET($M$15,0,0,$B$8,1))=DR$13), 1*(_xlfn._xlws.FILTER(OFFSET($O$15,0,$DO256,$B$8,1),OFFSET($M$15,0,0,$B$8,1))=DR$14))   /   SUM(OFFSET($BO$15,0,0,$B$14,1)) + $B$18/($B$19*$B$19*($DN256&lt;&gt;$DO256) + $B$19*($DN256=$DO256))</f>
        <v>3.7037037037037035E-4</v>
      </c>
      <c r="DS256" s="10" cm="1">
        <f t="array" aca="1" ref="DS256" ca="1">(1-$B$18)*SUMPRODUCT(OFFSET($BO$15,0,0,$B$14,1), 1*(_xlfn._xlws.FILTER(OFFSET($O$15,0,$DN256,$B$8,1),OFFSET($M$15,0,0,$B$8,1))=DS$13), 1*(_xlfn._xlws.FILTER(OFFSET($O$15,0,$DO256,$B$8,1),OFFSET($M$15,0,0,$B$8,1))=DS$14))   /   SUM(OFFSET($BO$15,0,0,$B$14,1)) + $B$18/($B$19*$B$19*($DN256&lt;&gt;$DO256) + $B$19*($DN256=$DO256))</f>
        <v>3.7037037037037035E-4</v>
      </c>
      <c r="DT256" s="10" cm="1">
        <f t="array" aca="1" ref="DT256" ca="1">(1-$B$18)*SUMPRODUCT(OFFSET($BO$15,0,0,$B$14,1), 1*(_xlfn._xlws.FILTER(OFFSET($O$15,0,$DN256,$B$8,1),OFFSET($M$15,0,0,$B$8,1))=DT$13), 1*(_xlfn._xlws.FILTER(OFFSET($O$15,0,$DO256,$B$8,1),OFFSET($M$15,0,0,$B$8,1))=DT$14))   /   SUM(OFFSET($BO$15,0,0,$B$14,1)) + $B$18/($B$19*$B$19*($DN256&lt;&gt;$DO256) + $B$19*($DN256=$DO256))</f>
        <v>3.7037037037037035E-4</v>
      </c>
      <c r="DU256" s="10" cm="1">
        <f t="array" aca="1" ref="DU256" ca="1">(1-$B$18)*SUMPRODUCT(OFFSET($BO$15,0,0,$B$14,1), 1*(_xlfn._xlws.FILTER(OFFSET($O$15,0,$DN256,$B$8,1),OFFSET($M$15,0,0,$B$8,1))=DU$13), 1*(_xlfn._xlws.FILTER(OFFSET($O$15,0,$DO256,$B$8,1),OFFSET($M$15,0,0,$B$8,1))=DU$14))   /   SUM(OFFSET($BO$15,0,0,$B$14,1)) + $B$18/($B$19*$B$19*($DN256&lt;&gt;$DO256) + $B$19*($DN256=$DO256))</f>
        <v>3.7037037037037035E-4</v>
      </c>
      <c r="DV256" s="10" cm="1">
        <f t="array" aca="1" ref="DV256" ca="1">(1-$B$18)*SUMPRODUCT(OFFSET($BO$15,0,0,$B$14,1), 1*(_xlfn._xlws.FILTER(OFFSET($O$15,0,$DN256,$B$8,1),OFFSET($M$15,0,0,$B$8,1))=DV$13), 1*(_xlfn._xlws.FILTER(OFFSET($O$15,0,$DO256,$B$8,1),OFFSET($M$15,0,0,$B$8,1))=DV$14))   /   SUM(OFFSET($BO$15,0,0,$B$14,1)) + $B$18/($B$19*$B$19*($DN256&lt;&gt;$DO256) + $B$19*($DN256=$DO256))</f>
        <v>3.7037037037037035E-4</v>
      </c>
      <c r="DW256" s="10" cm="1">
        <f t="array" aca="1" ref="DW256" ca="1">(1-$B$18)*SUMPRODUCT(OFFSET($BO$15,0,0,$B$14,1), 1*(_xlfn._xlws.FILTER(OFFSET($O$15,0,$DN256,$B$8,1),OFFSET($M$15,0,0,$B$8,1))=DW$13), 1*(_xlfn._xlws.FILTER(OFFSET($O$15,0,$DO256,$B$8,1),OFFSET($M$15,0,0,$B$8,1))=DW$14))   /   SUM(OFFSET($BO$15,0,0,$B$14,1)) + $B$18/($B$19*$B$19*($DN256&lt;&gt;$DO256) + $B$19*($DN256=$DO256))</f>
        <v>3.7037037037037035E-4</v>
      </c>
      <c r="DX256" s="10" cm="1">
        <f t="array" aca="1" ref="DX256" ca="1">(1-$B$18)*SUMPRODUCT(OFFSET($BO$15,0,0,$B$14,1), 1*(_xlfn._xlws.FILTER(OFFSET($O$15,0,$DN256,$B$8,1),OFFSET($M$15,0,0,$B$8,1))=DX$13), 1*(_xlfn._xlws.FILTER(OFFSET($O$15,0,$DO256,$B$8,1),OFFSET($M$15,0,0,$B$8,1))=DX$14))   /   SUM(OFFSET($BO$15,0,0,$B$14,1)) + $B$18/($B$19*$B$19*($DN256&lt;&gt;$DO256) + $B$19*($DN256=$DO256))</f>
        <v>3.7037037037037035E-4</v>
      </c>
      <c r="DY256" s="10" cm="1">
        <f t="array" aca="1" ref="DY256" ca="1">(1-$B$18)*SUMPRODUCT(OFFSET($BO$15,0,0,$B$14,1), 1*(_xlfn._xlws.FILTER(OFFSET($O$15,0,$DN256,$B$8,1),OFFSET($M$15,0,0,$B$8,1))=DY$13), 1*(_xlfn._xlws.FILTER(OFFSET($O$15,0,$DO256,$B$8,1),OFFSET($M$15,0,0,$B$8,1))=DY$14))   /   SUM(OFFSET($BO$15,0,0,$B$14,1)) + $B$18/($B$19*$B$19*($DN256&lt;&gt;$DO256) + $B$19*($DN256=$DO256))</f>
        <v>3.7037037037037035E-4</v>
      </c>
      <c r="DZ256" s="10" cm="1">
        <f t="array" aca="1" ref="DZ256" ca="1">(1-$B$18)*SUMPRODUCT(OFFSET($BO$15,0,0,$B$14,1), 1*(_xlfn._xlws.FILTER(OFFSET($O$15,0,$DN256,$B$8,1),OFFSET($M$15,0,0,$B$8,1))=DZ$13), 1*(_xlfn._xlws.FILTER(OFFSET($O$15,0,$DO256,$B$8,1),OFFSET($M$15,0,0,$B$8,1))=DZ$14))   /   SUM(OFFSET($BO$15,0,0,$B$14,1)) + $B$18/($B$19*$B$19*($DN256&lt;&gt;$DO256) + $B$19*($DN256=$DO256))</f>
        <v>0.97037037037037033</v>
      </c>
      <c r="EA256" s="10" cm="1">
        <f t="array" aca="1" ref="EA256" ca="1">(1-$B$18)*SUMPRODUCT(OFFSET($BO$15,0,0,$B$14,1), 1*(_xlfn._xlws.FILTER(OFFSET($O$15,0,$DN256,$B$8,1),OFFSET($M$15,0,0,$B$8,1))=EA$13), 1*(_xlfn._xlws.FILTER(OFFSET($O$15,0,$DO256,$B$8,1),OFFSET($M$15,0,0,$B$8,1))=EA$14))   /   SUM(OFFSET($BO$15,0,0,$B$14,1)) + $B$18/($B$19*$B$19*($DN256&lt;&gt;$DO256) + $B$19*($DN256=$DO256))</f>
        <v>3.7037037037037035E-4</v>
      </c>
      <c r="EB256" s="10" cm="1">
        <f t="array" aca="1" ref="EB256" ca="1">(1-$B$18)*SUMPRODUCT(OFFSET($BO$15,0,0,$B$14,1), 1*(_xlfn._xlws.FILTER(OFFSET($O$15,0,$DN256,$B$8,1),OFFSET($M$15,0,0,$B$8,1))=EB$13), 1*(_xlfn._xlws.FILTER(OFFSET($O$15,0,$DO256,$B$8,1),OFFSET($M$15,0,0,$B$8,1))=EB$14))   /   SUM(OFFSET($BO$15,0,0,$B$14,1)) + $B$18/($B$19*$B$19*($DN256&lt;&gt;$DO256) + $B$19*($DN256=$DO256))</f>
        <v>3.7037037037037035E-4</v>
      </c>
      <c r="EC256" s="10" cm="1">
        <f t="array" aca="1" ref="EC256" ca="1">(1-$B$18)*SUMPRODUCT(OFFSET($BO$15,0,0,$B$14,1), 1*(_xlfn._xlws.FILTER(OFFSET($O$15,0,$DN256,$B$8,1),OFFSET($M$15,0,0,$B$8,1))=EC$13), 1*(_xlfn._xlws.FILTER(OFFSET($O$15,0,$DO256,$B$8,1),OFFSET($M$15,0,0,$B$8,1))=EC$14))   /   SUM(OFFSET($BO$15,0,0,$B$14,1)) + $B$18/($B$19*$B$19*($DN256&lt;&gt;$DO256) + $B$19*($DN256=$DO256))</f>
        <v>3.7037037037037035E-4</v>
      </c>
      <c r="ED256" s="10" cm="1">
        <f t="array" aca="1" ref="ED256" ca="1">(1-$B$18)*SUMPRODUCT(OFFSET($BO$15,0,0,$B$14,1), 1*(_xlfn._xlws.FILTER(OFFSET($O$15,0,$DN256,$B$8,1),OFFSET($M$15,0,0,$B$8,1))=ED$13), 1*(_xlfn._xlws.FILTER(OFFSET($O$15,0,$DO256,$B$8,1),OFFSET($M$15,0,0,$B$8,1))=ED$14))   /   SUM(OFFSET($BO$15,0,0,$B$14,1)) + $B$18/($B$19*$B$19*($DN256&lt;&gt;$DO256) + $B$19*($DN256=$DO256))</f>
        <v>3.7037037037037035E-4</v>
      </c>
      <c r="EE256" s="10" cm="1">
        <f t="array" aca="1" ref="EE256" ca="1">(1-$B$18)*SUMPRODUCT(OFFSET($BO$15,0,0,$B$14,1), 1*(_xlfn._xlws.FILTER(OFFSET($O$15,0,$DN256,$B$8,1),OFFSET($M$15,0,0,$B$8,1))=EE$13), 1*(_xlfn._xlws.FILTER(OFFSET($O$15,0,$DO256,$B$8,1),OFFSET($M$15,0,0,$B$8,1))=EE$14))   /   SUM(OFFSET($BO$15,0,0,$B$14,1)) + $B$18/($B$19*$B$19*($DN256&lt;&gt;$DO256) + $B$19*($DN256=$DO256))</f>
        <v>3.7037037037037035E-4</v>
      </c>
      <c r="EF256" s="10" cm="1">
        <f t="array" aca="1" ref="EF256" ca="1">(1-$B$18)*SUMPRODUCT(OFFSET($BO$15,0,0,$B$14,1), 1*(_xlfn._xlws.FILTER(OFFSET($O$15,0,$DN256,$B$8,1),OFFSET($M$15,0,0,$B$8,1))=EF$13), 1*(_xlfn._xlws.FILTER(OFFSET($O$15,0,$DO256,$B$8,1),OFFSET($M$15,0,0,$B$8,1))=EF$14))   /   SUM(OFFSET($BO$15,0,0,$B$14,1)) + $B$18/($B$19*$B$19*($DN256&lt;&gt;$DO256) + $B$19*($DN256=$DO256))</f>
        <v>3.7037037037037035E-4</v>
      </c>
      <c r="EG256" s="10" cm="1">
        <f t="array" aca="1" ref="EG256" ca="1">(1-$B$18)*SUMPRODUCT(OFFSET($BO$15,0,0,$B$14,1), 1*(_xlfn._xlws.FILTER(OFFSET($O$15,0,$DN256,$B$8,1),OFFSET($M$15,0,0,$B$8,1))=EG$13), 1*(_xlfn._xlws.FILTER(OFFSET($O$15,0,$DO256,$B$8,1),OFFSET($M$15,0,0,$B$8,1))=EG$14))   /   SUM(OFFSET($BO$15,0,0,$B$14,1)) + $B$18/($B$19*$B$19*($DN256&lt;&gt;$DO256) + $B$19*($DN256=$DO256))</f>
        <v>3.7037037037037035E-4</v>
      </c>
      <c r="EH256" s="10" cm="1">
        <f t="array" aca="1" ref="EH256" ca="1">(1-$B$18)*SUMPRODUCT(OFFSET($BO$15,0,0,$B$14,1), 1*(_xlfn._xlws.FILTER(OFFSET($O$15,0,$DN256,$B$8,1),OFFSET($M$15,0,0,$B$8,1))=EH$13), 1*(_xlfn._xlws.FILTER(OFFSET($O$15,0,$DO256,$B$8,1),OFFSET($M$15,0,0,$B$8,1))=EH$14))   /   SUM(OFFSET($BO$15,0,0,$B$14,1)) + $B$18/($B$19*$B$19*($DN256&lt;&gt;$DO256) + $B$19*($DN256=$DO256))</f>
        <v>3.7037037037037035E-4</v>
      </c>
      <c r="EI256" s="10" cm="1">
        <f t="array" aca="1" ref="EI256" ca="1">(1-$B$18)*SUMPRODUCT(OFFSET($BO$15,0,0,$B$14,1), 1*(_xlfn._xlws.FILTER(OFFSET($O$15,0,$DN256,$B$8,1),OFFSET($M$15,0,0,$B$8,1))=EI$13), 1*(_xlfn._xlws.FILTER(OFFSET($O$15,0,$DO256,$B$8,1),OFFSET($M$15,0,0,$B$8,1))=EI$14))   /   SUM(OFFSET($BO$15,0,0,$B$14,1)) + $B$18/($B$19*$B$19*($DN256&lt;&gt;$DO256) + $B$19*($DN256=$DO256))</f>
        <v>3.7037037037037035E-4</v>
      </c>
      <c r="EJ256" s="10" cm="1">
        <f t="array" aca="1" ref="EJ256" ca="1">(1-$B$18)*SUMPRODUCT(OFFSET($BO$15,0,0,$B$14,1), 1*(_xlfn._xlws.FILTER(OFFSET($O$15,0,$DN256,$B$8,1),OFFSET($M$15,0,0,$B$8,1))=EJ$13), 1*(_xlfn._xlws.FILTER(OFFSET($O$15,0,$DO256,$B$8,1),OFFSET($M$15,0,0,$B$8,1))=EJ$14))   /   SUM(OFFSET($BO$15,0,0,$B$14,1)) + $B$18/($B$19*$B$19*($DN256&lt;&gt;$DO256) + $B$19*($DN256=$DO256))</f>
        <v>3.7037037037037035E-4</v>
      </c>
      <c r="EK256" s="10" cm="1">
        <f t="array" aca="1" ref="EK256" ca="1">(1-$B$18)*SUMPRODUCT(OFFSET($BO$15,0,0,$B$14,1), 1*(_xlfn._xlws.FILTER(OFFSET($O$15,0,$DN256,$B$8,1),OFFSET($M$15,0,0,$B$8,1))=EK$13), 1*(_xlfn._xlws.FILTER(OFFSET($O$15,0,$DO256,$B$8,1),OFFSET($M$15,0,0,$B$8,1))=EK$14))   /   SUM(OFFSET($BO$15,0,0,$B$14,1)) + $B$18/($B$19*$B$19*($DN256&lt;&gt;$DO256) + $B$19*($DN256=$DO256))</f>
        <v>3.7037037037037035E-4</v>
      </c>
      <c r="EL256" s="10" cm="1">
        <f t="array" aca="1" ref="EL256" ca="1">(1-$B$18)*SUMPRODUCT(OFFSET($BO$15,0,0,$B$14,1), 1*(_xlfn._xlws.FILTER(OFFSET($O$15,0,$DN256,$B$8,1),OFFSET($M$15,0,0,$B$8,1))=EL$13), 1*(_xlfn._xlws.FILTER(OFFSET($O$15,0,$DO256,$B$8,1),OFFSET($M$15,0,0,$B$8,1))=EL$14))   /   SUM(OFFSET($BO$15,0,0,$B$14,1)) + $B$18/($B$19*$B$19*($DN256&lt;&gt;$DO256) + $B$19*($DN256=$DO256))</f>
        <v>3.7037037037037035E-4</v>
      </c>
      <c r="EM256" s="10" cm="1">
        <f t="array" aca="1" ref="EM256" ca="1">(1-$B$18)*SUMPRODUCT(OFFSET($BO$15,0,0,$B$14,1), 1*(_xlfn._xlws.FILTER(OFFSET($O$15,0,$DN256,$B$8,1),OFFSET($M$15,0,0,$B$8,1))=EM$13), 1*(_xlfn._xlws.FILTER(OFFSET($O$15,0,$DO256,$B$8,1),OFFSET($M$15,0,0,$B$8,1))=EM$14))   /   SUM(OFFSET($BO$15,0,0,$B$14,1)) + $B$18/($B$19*$B$19*($DN256&lt;&gt;$DO256) + $B$19*($DN256=$DO256))</f>
        <v>3.7037037037037035E-4</v>
      </c>
      <c r="EN256" s="10" cm="1">
        <f t="array" aca="1" ref="EN256" ca="1">(1-$B$18)*SUMPRODUCT(OFFSET($BO$15,0,0,$B$14,1), 1*(_xlfn._xlws.FILTER(OFFSET($O$15,0,$DN256,$B$8,1),OFFSET($M$15,0,0,$B$8,1))=EN$13), 1*(_xlfn._xlws.FILTER(OFFSET($O$15,0,$DO256,$B$8,1),OFFSET($M$15,0,0,$B$8,1))=EN$14))   /   SUM(OFFSET($BO$15,0,0,$B$14,1)) + $B$18/($B$19*$B$19*($DN256&lt;&gt;$DO256) + $B$19*($DN256=$DO256))</f>
        <v>3.7037037037037035E-4</v>
      </c>
      <c r="EO256" s="10" cm="1">
        <f t="array" aca="1" ref="EO256" ca="1">(1-$B$18)*SUMPRODUCT(OFFSET($BO$15,0,0,$B$14,1), 1*(_xlfn._xlws.FILTER(OFFSET($O$15,0,$DN256,$B$8,1),OFFSET($M$15,0,0,$B$8,1))=EO$13), 1*(_xlfn._xlws.FILTER(OFFSET($O$15,0,$DO256,$B$8,1),OFFSET($M$15,0,0,$B$8,1))=EO$14))   /   SUM(OFFSET($BO$15,0,0,$B$14,1)) + $B$18/($B$19*$B$19*($DN256&lt;&gt;$DO256) + $B$19*($DN256=$DO256))</f>
        <v>3.7037037037037035E-4</v>
      </c>
      <c r="EP256" s="10" cm="1">
        <f t="array" aca="1" ref="EP256" ca="1">(1-$B$18)*SUMPRODUCT(OFFSET($BO$15,0,0,$B$14,1), 1*(_xlfn._xlws.FILTER(OFFSET($O$15,0,$DN256,$B$8,1),OFFSET($M$15,0,0,$B$8,1))=EP$13), 1*(_xlfn._xlws.FILTER(OFFSET($O$15,0,$DO256,$B$8,1),OFFSET($M$15,0,0,$B$8,1))=EP$14))   /   SUM(OFFSET($BO$15,0,0,$B$14,1)) + $B$18/($B$19*$B$19*($DN256&lt;&gt;$DO256) + $B$19*($DN256=$DO256))</f>
        <v>3.7037037037037035E-4</v>
      </c>
      <c r="EQ256" s="10" cm="1">
        <f t="array" aca="1" ref="EQ256" ca="1">(1-$B$18)*SUMPRODUCT(OFFSET($BO$15,0,0,$B$14,1), 1*(_xlfn._xlws.FILTER(OFFSET($O$15,0,$DN256,$B$8,1),OFFSET($M$15,0,0,$B$8,1))=EQ$13), 1*(_xlfn._xlws.FILTER(OFFSET($O$15,0,$DO256,$B$8,1),OFFSET($M$15,0,0,$B$8,1))=EQ$14))   /   SUM(OFFSET($BO$15,0,0,$B$14,1)) + $B$18/($B$19*$B$19*($DN256&lt;&gt;$DO256) + $B$19*($DN256=$DO256))</f>
        <v>3.7037037037037035E-4</v>
      </c>
      <c r="ER256" s="10" cm="1">
        <f t="array" aca="1" ref="ER256" ca="1">(1-$B$18)*SUMPRODUCT(OFFSET($BO$15,0,0,$B$14,1), 1*(_xlfn._xlws.FILTER(OFFSET($O$15,0,$DN256,$B$8,1),OFFSET($M$15,0,0,$B$8,1))=ER$13), 1*(_xlfn._xlws.FILTER(OFFSET($O$15,0,$DO256,$B$8,1),OFFSET($M$15,0,0,$B$8,1))=ER$14))   /   SUM(OFFSET($BO$15,0,0,$B$14,1)) + $B$18/($B$19*$B$19*($DN256&lt;&gt;$DO256) + $B$19*($DN256=$DO256))</f>
        <v>3.7037037037037035E-4</v>
      </c>
      <c r="ES256" s="10" cm="1">
        <f t="array" aca="1" ref="ES256" ca="1">(1-$B$18)*SUMPRODUCT(OFFSET($BO$15,0,0,$B$14,1), 1*(_xlfn._xlws.FILTER(OFFSET($O$15,0,$DN256,$B$8,1),OFFSET($M$15,0,0,$B$8,1))=ES$13), 1*(_xlfn._xlws.FILTER(OFFSET($O$15,0,$DO256,$B$8,1),OFFSET($M$15,0,0,$B$8,1))=ES$14))   /   SUM(OFFSET($BO$15,0,0,$B$14,1)) + $B$18/($B$19*$B$19*($DN256&lt;&gt;$DO256) + $B$19*($DN256=$DO256))</f>
        <v>3.7037037037037035E-4</v>
      </c>
      <c r="ET256" s="10" cm="1">
        <f t="array" aca="1" ref="ET256" ca="1">(1-$B$18)*SUMPRODUCT(OFFSET($BO$15,0,0,$B$14,1), 1*(_xlfn._xlws.FILTER(OFFSET($O$15,0,$DN256,$B$8,1),OFFSET($M$15,0,0,$B$8,1))=ET$13), 1*(_xlfn._xlws.FILTER(OFFSET($O$15,0,$DO256,$B$8,1),OFFSET($M$15,0,0,$B$8,1))=ET$14))   /   SUM(OFFSET($BO$15,0,0,$B$14,1)) + $B$18/($B$19*$B$19*($DN256&lt;&gt;$DO256) + $B$19*($DN256=$DO256))</f>
        <v>3.7037037037037035E-4</v>
      </c>
      <c r="EU256" s="10" cm="1">
        <f t="array" aca="1" ref="EU256" ca="1">(1-$B$18)*SUMPRODUCT(OFFSET($BO$15,0,0,$B$14,1), 1*(_xlfn._xlws.FILTER(OFFSET($O$15,0,$DN256,$B$8,1),OFFSET($M$15,0,0,$B$8,1))=EU$13), 1*(_xlfn._xlws.FILTER(OFFSET($O$15,0,$DO256,$B$8,1),OFFSET($M$15,0,0,$B$8,1))=EU$14))   /   SUM(OFFSET($BO$15,0,0,$B$14,1)) + $B$18/($B$19*$B$19*($DN256&lt;&gt;$DO256) + $B$19*($DN256=$DO256))</f>
        <v>3.7037037037037035E-4</v>
      </c>
      <c r="EV256" s="10" cm="1">
        <f t="array" aca="1" ref="EV256" ca="1">(1-$B$18)*SUMPRODUCT(OFFSET($BO$15,0,0,$B$14,1), 1*(_xlfn._xlws.FILTER(OFFSET($O$15,0,$DN256,$B$8,1),OFFSET($M$15,0,0,$B$8,1))=EV$13), 1*(_xlfn._xlws.FILTER(OFFSET($O$15,0,$DO256,$B$8,1),OFFSET($M$15,0,0,$B$8,1))=EV$14))   /   SUM(OFFSET($BO$15,0,0,$B$14,1)) + $B$18/($B$19*$B$19*($DN256&lt;&gt;$DO256) + $B$19*($DN256=$DO256))</f>
        <v>3.7037037037037035E-4</v>
      </c>
      <c r="EW256" s="10" cm="1">
        <f t="array" aca="1" ref="EW256" ca="1">(1-$B$18)*SUMPRODUCT(OFFSET($BO$15,0,0,$B$14,1), 1*(_xlfn._xlws.FILTER(OFFSET($O$15,0,$DN256,$B$8,1),OFFSET($M$15,0,0,$B$8,1))=EW$13), 1*(_xlfn._xlws.FILTER(OFFSET($O$15,0,$DO256,$B$8,1),OFFSET($M$15,0,0,$B$8,1))=EW$14))   /   SUM(OFFSET($BO$15,0,0,$B$14,1)) + $B$18/($B$19*$B$19*($DN256&lt;&gt;$DO256) + $B$19*($DN256=$DO256))</f>
        <v>3.7037037037037035E-4</v>
      </c>
      <c r="EX256" s="10" cm="1">
        <f t="array" aca="1" ref="EX256" ca="1">(1-$B$18)*SUMPRODUCT(OFFSET($BO$15,0,0,$B$14,1), 1*(_xlfn._xlws.FILTER(OFFSET($O$15,0,$DN256,$B$8,1),OFFSET($M$15,0,0,$B$8,1))=EX$13), 1*(_xlfn._xlws.FILTER(OFFSET($O$15,0,$DO256,$B$8,1),OFFSET($M$15,0,0,$B$8,1))=EX$14))   /   SUM(OFFSET($BO$15,0,0,$B$14,1)) + $B$18/($B$19*$B$19*($DN256&lt;&gt;$DO256) + $B$19*($DN256=$DO256))</f>
        <v>3.7037037037037035E-4</v>
      </c>
      <c r="EY256" s="10" cm="1">
        <f t="array" aca="1" ref="EY256" ca="1">(1-$B$18)*SUMPRODUCT(OFFSET($BO$15,0,0,$B$14,1), 1*(_xlfn._xlws.FILTER(OFFSET($O$15,0,$DN256,$B$8,1),OFFSET($M$15,0,0,$B$8,1))=EY$13), 1*(_xlfn._xlws.FILTER(OFFSET($O$15,0,$DO256,$B$8,1),OFFSET($M$15,0,0,$B$8,1))=EY$14))   /   SUM(OFFSET($BO$15,0,0,$B$14,1)) + $B$18/($B$19*$B$19*($DN256&lt;&gt;$DO256) + $B$19*($DN256=$DO256))</f>
        <v>3.7037037037037035E-4</v>
      </c>
      <c r="EZ256" s="10" cm="1">
        <f t="array" aca="1" ref="EZ256" ca="1">(1-$B$18)*SUMPRODUCT(OFFSET($BO$15,0,0,$B$14,1), 1*(_xlfn._xlws.FILTER(OFFSET($O$15,0,$DN256,$B$8,1),OFFSET($M$15,0,0,$B$8,1))=EZ$13), 1*(_xlfn._xlws.FILTER(OFFSET($O$15,0,$DO256,$B$8,1),OFFSET($M$15,0,0,$B$8,1))=EZ$14))   /   SUM(OFFSET($BO$15,0,0,$B$14,1)) + $B$18/($B$19*$B$19*($DN256&lt;&gt;$DO256) + $B$19*($DN256=$DO256))</f>
        <v>3.7037037037037035E-4</v>
      </c>
      <c r="FA256" s="10" cm="1">
        <f t="array" aca="1" ref="FA256" ca="1">(1-$B$18)*SUMPRODUCT(OFFSET($BO$15,0,0,$B$14,1), 1*(_xlfn._xlws.FILTER(OFFSET($O$15,0,$DN256,$B$8,1),OFFSET($M$15,0,0,$B$8,1))=FA$13), 1*(_xlfn._xlws.FILTER(OFFSET($O$15,0,$DO256,$B$8,1),OFFSET($M$15,0,0,$B$8,1))=FA$14))   /   SUM(OFFSET($BO$15,0,0,$B$14,1)) + $B$18/($B$19*$B$19*($DN256&lt;&gt;$DO256) + $B$19*($DN256=$DO256))</f>
        <v>3.7037037037037035E-4</v>
      </c>
      <c r="FB256" s="10" cm="1">
        <f t="array" aca="1" ref="FB256" ca="1">(1-$B$18)*SUMPRODUCT(OFFSET($BO$15,0,0,$B$14,1), 1*(_xlfn._xlws.FILTER(OFFSET($O$15,0,$DN256,$B$8,1),OFFSET($M$15,0,0,$B$8,1))=FB$13), 1*(_xlfn._xlws.FILTER(OFFSET($O$15,0,$DO256,$B$8,1),OFFSET($M$15,0,0,$B$8,1))=FB$14))   /   SUM(OFFSET($BO$15,0,0,$B$14,1)) + $B$18/($B$19*$B$19*($DN256&lt;&gt;$DO256) + $B$19*($DN256=$DO256))</f>
        <v>3.7037037037037035E-4</v>
      </c>
      <c r="FC256" s="10" cm="1">
        <f t="array" aca="1" ref="FC256" ca="1">(1-$B$18)*SUMPRODUCT(OFFSET($BO$15,0,0,$B$14,1), 1*(_xlfn._xlws.FILTER(OFFSET($O$15,0,$DN256,$B$8,1),OFFSET($M$15,0,0,$B$8,1))=FC$13), 1*(_xlfn._xlws.FILTER(OFFSET($O$15,0,$DO256,$B$8,1),OFFSET($M$15,0,0,$B$8,1))=FC$14))   /   SUM(OFFSET($BO$15,0,0,$B$14,1)) + $B$18/($B$19*$B$19*($DN256&lt;&gt;$DO256) + $B$19*($DN256=$DO256))</f>
        <v>3.7037037037037035E-4</v>
      </c>
      <c r="FD256" s="10" cm="1">
        <f t="array" aca="1" ref="FD256" ca="1">(1-$B$18)*SUMPRODUCT(OFFSET($BO$15,0,0,$B$14,1), 1*(_xlfn._xlws.FILTER(OFFSET($O$15,0,$DN256,$B$8,1),OFFSET($M$15,0,0,$B$8,1))=FD$13), 1*(_xlfn._xlws.FILTER(OFFSET($O$15,0,$DO256,$B$8,1),OFFSET($M$15,0,0,$B$8,1))=FD$14))   /   SUM(OFFSET($BO$15,0,0,$B$14,1)) + $B$18/($B$19*$B$19*($DN256&lt;&gt;$DO256) + $B$19*($DN256=$DO256))</f>
        <v>3.7037037037037035E-4</v>
      </c>
      <c r="FE256" s="10" cm="1">
        <f t="array" aca="1" ref="FE256" ca="1">(1-$B$18)*SUMPRODUCT(OFFSET($BO$15,0,0,$B$14,1), 1*(_xlfn._xlws.FILTER(OFFSET($O$15,0,$DN256,$B$8,1),OFFSET($M$15,0,0,$B$8,1))=FE$13), 1*(_xlfn._xlws.FILTER(OFFSET($O$15,0,$DO256,$B$8,1),OFFSET($M$15,0,0,$B$8,1))=FE$14))   /   SUM(OFFSET($BO$15,0,0,$B$14,1)) + $B$18/($B$19*$B$19*($DN256&lt;&gt;$DO256) + $B$19*($DN256=$DO256))</f>
        <v>3.7037037037037035E-4</v>
      </c>
      <c r="FF256" s="10" cm="1">
        <f t="array" aca="1" ref="FF256" ca="1">(1-$B$18)*SUMPRODUCT(OFFSET($BO$15,0,0,$B$14,1), 1*(_xlfn._xlws.FILTER(OFFSET($O$15,0,$DN256,$B$8,1),OFFSET($M$15,0,0,$B$8,1))=FF$13), 1*(_xlfn._xlws.FILTER(OFFSET($O$15,0,$DO256,$B$8,1),OFFSET($M$15,0,0,$B$8,1))=FF$14))   /   SUM(OFFSET($BO$15,0,0,$B$14,1)) + $B$18/($B$19*$B$19*($DN256&lt;&gt;$DO256) + $B$19*($DN256=$DO256))</f>
        <v>3.7037037037037035E-4</v>
      </c>
      <c r="FG256" s="10" cm="1">
        <f t="array" aca="1" ref="FG256" ca="1">(1-$B$18)*SUMPRODUCT(OFFSET($BO$15,0,0,$B$14,1), 1*(_xlfn._xlws.FILTER(OFFSET($O$15,0,$DN256,$B$8,1),OFFSET($M$15,0,0,$B$8,1))=FG$13), 1*(_xlfn._xlws.FILTER(OFFSET($O$15,0,$DO256,$B$8,1),OFFSET($M$15,0,0,$B$8,1))=FG$14))   /   SUM(OFFSET($BO$15,0,0,$B$14,1)) + $B$18/($B$19*$B$19*($DN256&lt;&gt;$DO256) + $B$19*($DN256=$DO256))</f>
        <v>3.7037037037037035E-4</v>
      </c>
      <c r="FH256" s="10" cm="1">
        <f t="array" aca="1" ref="FH256" ca="1">(1-$B$18)*SUMPRODUCT(OFFSET($BO$15,0,0,$B$14,1), 1*(_xlfn._xlws.FILTER(OFFSET($O$15,0,$DN256,$B$8,1),OFFSET($M$15,0,0,$B$8,1))=FH$13), 1*(_xlfn._xlws.FILTER(OFFSET($O$15,0,$DO256,$B$8,1),OFFSET($M$15,0,0,$B$8,1))=FH$14))   /   SUM(OFFSET($BO$15,0,0,$B$14,1)) + $B$18/($B$19*$B$19*($DN256&lt;&gt;$DO256) + $B$19*($DN256=$DO256))</f>
        <v>3.7037037037037035E-4</v>
      </c>
      <c r="FI256" s="10" cm="1">
        <f t="array" aca="1" ref="FI256" ca="1">(1-$B$18)*SUMPRODUCT(OFFSET($BO$15,0,0,$B$14,1), 1*(_xlfn._xlws.FILTER(OFFSET($O$15,0,$DN256,$B$8,1),OFFSET($M$15,0,0,$B$8,1))=FI$13), 1*(_xlfn._xlws.FILTER(OFFSET($O$15,0,$DO256,$B$8,1),OFFSET($M$15,0,0,$B$8,1))=FI$14))   /   SUM(OFFSET($BO$15,0,0,$B$14,1)) + $B$18/($B$19*$B$19*($DN256&lt;&gt;$DO256) + $B$19*($DN256=$DO256))</f>
        <v>3.7037037037037035E-4</v>
      </c>
      <c r="FJ256" s="10" cm="1">
        <f t="array" aca="1" ref="FJ256" ca="1">(1-$B$18)*SUMPRODUCT(OFFSET($BO$15,0,0,$B$14,1), 1*(_xlfn._xlws.FILTER(OFFSET($O$15,0,$DN256,$B$8,1),OFFSET($M$15,0,0,$B$8,1))=FJ$13), 1*(_xlfn._xlws.FILTER(OFFSET($O$15,0,$DO256,$B$8,1),OFFSET($M$15,0,0,$B$8,1))=FJ$14))   /   SUM(OFFSET($BO$15,0,0,$B$14,1)) + $B$18/($B$19*$B$19*($DN256&lt;&gt;$DO256) + $B$19*($DN256=$DO256))</f>
        <v>3.7037037037037035E-4</v>
      </c>
      <c r="FK256" s="10" cm="1">
        <f t="array" aca="1" ref="FK256" ca="1">(1-$B$18)*SUMPRODUCT(OFFSET($BO$15,0,0,$B$14,1), 1*(_xlfn._xlws.FILTER(OFFSET($O$15,0,$DN256,$B$8,1),OFFSET($M$15,0,0,$B$8,1))=FK$13), 1*(_xlfn._xlws.FILTER(OFFSET($O$15,0,$DO256,$B$8,1),OFFSET($M$15,0,0,$B$8,1))=FK$14))   /   SUM(OFFSET($BO$15,0,0,$B$14,1)) + $B$18/($B$19*$B$19*($DN256&lt;&gt;$DO256) + $B$19*($DN256=$DO256))</f>
        <v>3.7037037037037035E-4</v>
      </c>
      <c r="FL256" s="10" cm="1">
        <f t="array" aca="1" ref="FL256" ca="1">(1-$B$18)*SUMPRODUCT(OFFSET($BO$15,0,0,$B$14,1), 1*(_xlfn._xlws.FILTER(OFFSET($O$15,0,$DN256,$B$8,1),OFFSET($M$15,0,0,$B$8,1))=FL$13), 1*(_xlfn._xlws.FILTER(OFFSET($O$15,0,$DO256,$B$8,1),OFFSET($M$15,0,0,$B$8,1))=FL$14))   /   SUM(OFFSET($BO$15,0,0,$B$14,1)) + $B$18/($B$19*$B$19*($DN256&lt;&gt;$DO256) + $B$19*($DN256=$DO256))</f>
        <v>3.7037037037037035E-4</v>
      </c>
      <c r="FM256" s="10" cm="1">
        <f t="array" aca="1" ref="FM256" ca="1">(1-$B$18)*SUMPRODUCT(OFFSET($BO$15,0,0,$B$14,1), 1*(_xlfn._xlws.FILTER(OFFSET($O$15,0,$DN256,$B$8,1),OFFSET($M$15,0,0,$B$8,1))=FM$13), 1*(_xlfn._xlws.FILTER(OFFSET($O$15,0,$DO256,$B$8,1),OFFSET($M$15,0,0,$B$8,1))=FM$14))   /   SUM(OFFSET($BO$15,0,0,$B$14,1)) + $B$18/($B$19*$B$19*($DN256&lt;&gt;$DO256) + $B$19*($DN256=$DO256))</f>
        <v>3.7037037037037035E-4</v>
      </c>
      <c r="FN256" s="10" cm="1">
        <f t="array" aca="1" ref="FN256" ca="1">(1-$B$18)*SUMPRODUCT(OFFSET($BO$15,0,0,$B$14,1), 1*(_xlfn._xlws.FILTER(OFFSET($O$15,0,$DN256,$B$8,1),OFFSET($M$15,0,0,$B$8,1))=FN$13), 1*(_xlfn._xlws.FILTER(OFFSET($O$15,0,$DO256,$B$8,1),OFFSET($M$15,0,0,$B$8,1))=FN$14))   /   SUM(OFFSET($BO$15,0,0,$B$14,1)) + $B$18/($B$19*$B$19*($DN256&lt;&gt;$DO256) + $B$19*($DN256=$DO256))</f>
        <v>3.7037037037037035E-4</v>
      </c>
      <c r="FO256" s="10" cm="1">
        <f t="array" aca="1" ref="FO256" ca="1">(1-$B$18)*SUMPRODUCT(OFFSET($BO$15,0,0,$B$14,1), 1*(_xlfn._xlws.FILTER(OFFSET($O$15,0,$DN256,$B$8,1),OFFSET($M$15,0,0,$B$8,1))=FO$13), 1*(_xlfn._xlws.FILTER(OFFSET($O$15,0,$DO256,$B$8,1),OFFSET($M$15,0,0,$B$8,1))=FO$14))   /   SUM(OFFSET($BO$15,0,0,$B$14,1)) + $B$18/($B$19*$B$19*($DN256&lt;&gt;$DO256) + $B$19*($DN256=$DO256))</f>
        <v>3.7037037037037035E-4</v>
      </c>
      <c r="FP256" s="10" cm="1">
        <f t="array" aca="1" ref="FP256" ca="1">(1-$B$18)*SUMPRODUCT(OFFSET($BO$15,0,0,$B$14,1), 1*(_xlfn._xlws.FILTER(OFFSET($O$15,0,$DN256,$B$8,1),OFFSET($M$15,0,0,$B$8,1))=FP$13), 1*(_xlfn._xlws.FILTER(OFFSET($O$15,0,$DO256,$B$8,1),OFFSET($M$15,0,0,$B$8,1))=FP$14))   /   SUM(OFFSET($BO$15,0,0,$B$14,1)) + $B$18/($B$19*$B$19*($DN256&lt;&gt;$DO256) + $B$19*($DN256=$DO256))</f>
        <v>3.7037037037037035E-4</v>
      </c>
      <c r="FQ256" s="10" cm="1">
        <f t="array" aca="1" ref="FQ256" ca="1">(1-$B$18)*SUMPRODUCT(OFFSET($BO$15,0,0,$B$14,1), 1*(_xlfn._xlws.FILTER(OFFSET($O$15,0,$DN256,$B$8,1),OFFSET($M$15,0,0,$B$8,1))=FQ$13), 1*(_xlfn._xlws.FILTER(OFFSET($O$15,0,$DO256,$B$8,1),OFFSET($M$15,0,0,$B$8,1))=FQ$14))   /   SUM(OFFSET($BO$15,0,0,$B$14,1)) + $B$18/($B$19*$B$19*($DN256&lt;&gt;$DO256) + $B$19*($DN256=$DO256))</f>
        <v>3.7037037037037035E-4</v>
      </c>
      <c r="FR256" s="10" cm="1">
        <f t="array" aca="1" ref="FR256" ca="1">(1-$B$18)*SUMPRODUCT(OFFSET($BO$15,0,0,$B$14,1), 1*(_xlfn._xlws.FILTER(OFFSET($O$15,0,$DN256,$B$8,1),OFFSET($M$15,0,0,$B$8,1))=FR$13), 1*(_xlfn._xlws.FILTER(OFFSET($O$15,0,$DO256,$B$8,1),OFFSET($M$15,0,0,$B$8,1))=FR$14))   /   SUM(OFFSET($BO$15,0,0,$B$14,1)) + $B$18/($B$19*$B$19*($DN256&lt;&gt;$DO256) + $B$19*($DN256=$DO256))</f>
        <v>3.7037037037037035E-4</v>
      </c>
      <c r="FS256" s="10" cm="1">
        <f t="array" aca="1" ref="FS256" ca="1">(1-$B$18)*SUMPRODUCT(OFFSET($BO$15,0,0,$B$14,1), 1*(_xlfn._xlws.FILTER(OFFSET($O$15,0,$DN256,$B$8,1),OFFSET($M$15,0,0,$B$8,1))=FS$13), 1*(_xlfn._xlws.FILTER(OFFSET($O$15,0,$DO256,$B$8,1),OFFSET($M$15,0,0,$B$8,1))=FS$14))   /   SUM(OFFSET($BO$15,0,0,$B$14,1)) + $B$18/($B$19*$B$19*($DN256&lt;&gt;$DO256) + $B$19*($DN256=$DO256))</f>
        <v>3.7037037037037035E-4</v>
      </c>
      <c r="FT256" s="10" cm="1">
        <f t="array" aca="1" ref="FT256" ca="1">(1-$B$18)*SUMPRODUCT(OFFSET($BO$15,0,0,$B$14,1), 1*(_xlfn._xlws.FILTER(OFFSET($O$15,0,$DN256,$B$8,1),OFFSET($M$15,0,0,$B$8,1))=FT$13), 1*(_xlfn._xlws.FILTER(OFFSET($O$15,0,$DO256,$B$8,1),OFFSET($M$15,0,0,$B$8,1))=FT$14))   /   SUM(OFFSET($BO$15,0,0,$B$14,1)) + $B$18/($B$19*$B$19*($DN256&lt;&gt;$DO256) + $B$19*($DN256=$DO256))</f>
        <v>3.7037037037037035E-4</v>
      </c>
      <c r="FU256" s="10" cm="1">
        <f t="array" aca="1" ref="FU256" ca="1">(1-$B$18)*SUMPRODUCT(OFFSET($BO$15,0,0,$B$14,1), 1*(_xlfn._xlws.FILTER(OFFSET($O$15,0,$DN256,$B$8,1),OFFSET($M$15,0,0,$B$8,1))=FU$13), 1*(_xlfn._xlws.FILTER(OFFSET($O$15,0,$DO256,$B$8,1),OFFSET($M$15,0,0,$B$8,1))=FU$14))   /   SUM(OFFSET($BO$15,0,0,$B$14,1)) + $B$18/($B$19*$B$19*($DN256&lt;&gt;$DO256) + $B$19*($DN256=$DO256))</f>
        <v>3.7037037037037035E-4</v>
      </c>
      <c r="FV256" s="10" cm="1">
        <f t="array" aca="1" ref="FV256" ca="1">(1-$B$18)*SUMPRODUCT(OFFSET($BO$15,0,0,$B$14,1), 1*(_xlfn._xlws.FILTER(OFFSET($O$15,0,$DN256,$B$8,1),OFFSET($M$15,0,0,$B$8,1))=FV$13), 1*(_xlfn._xlws.FILTER(OFFSET($O$15,0,$DO256,$B$8,1),OFFSET($M$15,0,0,$B$8,1))=FV$14))   /   SUM(OFFSET($BO$15,0,0,$B$14,1)) + $B$18/($B$19*$B$19*($DN256&lt;&gt;$DO256) + $B$19*($DN256=$DO256))</f>
        <v>3.7037037037037035E-4</v>
      </c>
      <c r="FW256" s="10" cm="1">
        <f t="array" aca="1" ref="FW256" ca="1">(1-$B$18)*SUMPRODUCT(OFFSET($BO$15,0,0,$B$14,1), 1*(_xlfn._xlws.FILTER(OFFSET($O$15,0,$DN256,$B$8,1),OFFSET($M$15,0,0,$B$8,1))=FW$13), 1*(_xlfn._xlws.FILTER(OFFSET($O$15,0,$DO256,$B$8,1),OFFSET($M$15,0,0,$B$8,1))=FW$14))   /   SUM(OFFSET($BO$15,0,0,$B$14,1)) + $B$18/($B$19*$B$19*($DN256&lt;&gt;$DO256) + $B$19*($DN256=$DO256))</f>
        <v>3.7037037037037035E-4</v>
      </c>
      <c r="FX256" s="10" cm="1">
        <f t="array" aca="1" ref="FX256" ca="1">(1-$B$18)*SUMPRODUCT(OFFSET($BO$15,0,0,$B$14,1), 1*(_xlfn._xlws.FILTER(OFFSET($O$15,0,$DN256,$B$8,1),OFFSET($M$15,0,0,$B$8,1))=FX$13), 1*(_xlfn._xlws.FILTER(OFFSET($O$15,0,$DO256,$B$8,1),OFFSET($M$15,0,0,$B$8,1))=FX$14))   /   SUM(OFFSET($BO$15,0,0,$B$14,1)) + $B$18/($B$19*$B$19*($DN256&lt;&gt;$DO256) + $B$19*($DN256=$DO256))</f>
        <v>3.7037037037037035E-4</v>
      </c>
      <c r="FY256" s="10" cm="1">
        <f t="array" aca="1" ref="FY256" ca="1">(1-$B$18)*SUMPRODUCT(OFFSET($BO$15,0,0,$B$14,1), 1*(_xlfn._xlws.FILTER(OFFSET($O$15,0,$DN256,$B$8,1),OFFSET($M$15,0,0,$B$8,1))=FY$13), 1*(_xlfn._xlws.FILTER(OFFSET($O$15,0,$DO256,$B$8,1),OFFSET($M$15,0,0,$B$8,1))=FY$14))   /   SUM(OFFSET($BO$15,0,0,$B$14,1)) + $B$18/($B$19*$B$19*($DN256&lt;&gt;$DO256) + $B$19*($DN256=$DO256))</f>
        <v>3.7037037037037035E-4</v>
      </c>
      <c r="FZ256" s="10" cm="1">
        <f t="array" aca="1" ref="FZ256" ca="1">(1-$B$18)*SUMPRODUCT(OFFSET($BO$15,0,0,$B$14,1), 1*(_xlfn._xlws.FILTER(OFFSET($O$15,0,$DN256,$B$8,1),OFFSET($M$15,0,0,$B$8,1))=FZ$13), 1*(_xlfn._xlws.FILTER(OFFSET($O$15,0,$DO256,$B$8,1),OFFSET($M$15,0,0,$B$8,1))=FZ$14))   /   SUM(OFFSET($BO$15,0,0,$B$14,1)) + $B$18/($B$19*$B$19*($DN256&lt;&gt;$DO256) + $B$19*($DN256=$DO256))</f>
        <v>3.7037037037037035E-4</v>
      </c>
      <c r="GA256" s="10" cm="1">
        <f t="array" aca="1" ref="GA256" ca="1">(1-$B$18)*SUMPRODUCT(OFFSET($BO$15,0,0,$B$14,1), 1*(_xlfn._xlws.FILTER(OFFSET($O$15,0,$DN256,$B$8,1),OFFSET($M$15,0,0,$B$8,1))=GA$13), 1*(_xlfn._xlws.FILTER(OFFSET($O$15,0,$DO256,$B$8,1),OFFSET($M$15,0,0,$B$8,1))=GA$14))   /   SUM(OFFSET($BO$15,0,0,$B$14,1)) + $B$18/($B$19*$B$19*($DN256&lt;&gt;$DO256) + $B$19*($DN256=$DO256))</f>
        <v>3.7037037037037035E-4</v>
      </c>
    </row>
    <row r="257" spans="118:183" x14ac:dyDescent="0.2">
      <c r="DN257" cm="1">
        <f t="array" aca="1" ref="DN257" ca="1">INDEX(_xlfn.ANCHORARRAY($CP$15), 1 + INT((ROWS($DO$15:$DO257) - 1) / ROWS(_xlfn.ANCHORARRAY($CP$15))))</f>
        <v>13</v>
      </c>
      <c r="DO257" cm="1">
        <f t="array" aca="1" ref="DO257" ca="1">INDEX(_xlfn.ANCHORARRAY($CP$15),1+MOD(ROWS($DO$15:$DO257)-1,ROWS(_xlfn.ANCHORARRAY($CP$15))))</f>
        <v>15</v>
      </c>
      <c r="DP257" s="10" cm="1">
        <f t="array" aca="1" ref="DP257" ca="1">(1-$B$18)*SUMPRODUCT(OFFSET($BO$15,0,0,$B$14,1), 1*(_xlfn._xlws.FILTER(OFFSET($O$15,0,$DN257,$B$8,1),OFFSET($M$15,0,0,$B$8,1))=DP$13), 1*(_xlfn._xlws.FILTER(OFFSET($O$15,0,$DO257,$B$8,1),OFFSET($M$15,0,0,$B$8,1))=DP$14))   /   SUM(OFFSET($BO$15,0,0,$B$14,1)) + $B$18/($B$19*$B$19*($DN257&lt;&gt;$DO257) + $B$19*($DN257=$DO257))</f>
        <v>3.7037037037037035E-4</v>
      </c>
      <c r="DQ257" s="10" cm="1">
        <f t="array" aca="1" ref="DQ257" ca="1">(1-$B$18)*SUMPRODUCT(OFFSET($BO$15,0,0,$B$14,1), 1*(_xlfn._xlws.FILTER(OFFSET($O$15,0,$DN257,$B$8,1),OFFSET($M$15,0,0,$B$8,1))=DQ$13), 1*(_xlfn._xlws.FILTER(OFFSET($O$15,0,$DO257,$B$8,1),OFFSET($M$15,0,0,$B$8,1))=DQ$14))   /   SUM(OFFSET($BO$15,0,0,$B$14,1)) + $B$18/($B$19*$B$19*($DN257&lt;&gt;$DO257) + $B$19*($DN257=$DO257))</f>
        <v>3.7037037037037035E-4</v>
      </c>
      <c r="DR257" s="10" cm="1">
        <f t="array" aca="1" ref="DR257" ca="1">(1-$B$18)*SUMPRODUCT(OFFSET($BO$15,0,0,$B$14,1), 1*(_xlfn._xlws.FILTER(OFFSET($O$15,0,$DN257,$B$8,1),OFFSET($M$15,0,0,$B$8,1))=DR$13), 1*(_xlfn._xlws.FILTER(OFFSET($O$15,0,$DO257,$B$8,1),OFFSET($M$15,0,0,$B$8,1))=DR$14))   /   SUM(OFFSET($BO$15,0,0,$B$14,1)) + $B$18/($B$19*$B$19*($DN257&lt;&gt;$DO257) + $B$19*($DN257=$DO257))</f>
        <v>3.7037037037037035E-4</v>
      </c>
      <c r="DS257" s="10" cm="1">
        <f t="array" aca="1" ref="DS257" ca="1">(1-$B$18)*SUMPRODUCT(OFFSET($BO$15,0,0,$B$14,1), 1*(_xlfn._xlws.FILTER(OFFSET($O$15,0,$DN257,$B$8,1),OFFSET($M$15,0,0,$B$8,1))=DS$13), 1*(_xlfn._xlws.FILTER(OFFSET($O$15,0,$DO257,$B$8,1),OFFSET($M$15,0,0,$B$8,1))=DS$14))   /   SUM(OFFSET($BO$15,0,0,$B$14,1)) + $B$18/($B$19*$B$19*($DN257&lt;&gt;$DO257) + $B$19*($DN257=$DO257))</f>
        <v>3.7037037037037035E-4</v>
      </c>
      <c r="DT257" s="10" cm="1">
        <f t="array" aca="1" ref="DT257" ca="1">(1-$B$18)*SUMPRODUCT(OFFSET($BO$15,0,0,$B$14,1), 1*(_xlfn._xlws.FILTER(OFFSET($O$15,0,$DN257,$B$8,1),OFFSET($M$15,0,0,$B$8,1))=DT$13), 1*(_xlfn._xlws.FILTER(OFFSET($O$15,0,$DO257,$B$8,1),OFFSET($M$15,0,0,$B$8,1))=DT$14))   /   SUM(OFFSET($BO$15,0,0,$B$14,1)) + $B$18/($B$19*$B$19*($DN257&lt;&gt;$DO257) + $B$19*($DN257=$DO257))</f>
        <v>3.7037037037037035E-4</v>
      </c>
      <c r="DU257" s="10" cm="1">
        <f t="array" aca="1" ref="DU257" ca="1">(1-$B$18)*SUMPRODUCT(OFFSET($BO$15,0,0,$B$14,1), 1*(_xlfn._xlws.FILTER(OFFSET($O$15,0,$DN257,$B$8,1),OFFSET($M$15,0,0,$B$8,1))=DU$13), 1*(_xlfn._xlws.FILTER(OFFSET($O$15,0,$DO257,$B$8,1),OFFSET($M$15,0,0,$B$8,1))=DU$14))   /   SUM(OFFSET($BO$15,0,0,$B$14,1)) + $B$18/($B$19*$B$19*($DN257&lt;&gt;$DO257) + $B$19*($DN257=$DO257))</f>
        <v>3.7037037037037035E-4</v>
      </c>
      <c r="DV257" s="10" cm="1">
        <f t="array" aca="1" ref="DV257" ca="1">(1-$B$18)*SUMPRODUCT(OFFSET($BO$15,0,0,$B$14,1), 1*(_xlfn._xlws.FILTER(OFFSET($O$15,0,$DN257,$B$8,1),OFFSET($M$15,0,0,$B$8,1))=DV$13), 1*(_xlfn._xlws.FILTER(OFFSET($O$15,0,$DO257,$B$8,1),OFFSET($M$15,0,0,$B$8,1))=DV$14))   /   SUM(OFFSET($BO$15,0,0,$B$14,1)) + $B$18/($B$19*$B$19*($DN257&lt;&gt;$DO257) + $B$19*($DN257=$DO257))</f>
        <v>3.7037037037037035E-4</v>
      </c>
      <c r="DW257" s="10" cm="1">
        <f t="array" aca="1" ref="DW257" ca="1">(1-$B$18)*SUMPRODUCT(OFFSET($BO$15,0,0,$B$14,1), 1*(_xlfn._xlws.FILTER(OFFSET($O$15,0,$DN257,$B$8,1),OFFSET($M$15,0,0,$B$8,1))=DW$13), 1*(_xlfn._xlws.FILTER(OFFSET($O$15,0,$DO257,$B$8,1),OFFSET($M$15,0,0,$B$8,1))=DW$14))   /   SUM(OFFSET($BO$15,0,0,$B$14,1)) + $B$18/($B$19*$B$19*($DN257&lt;&gt;$DO257) + $B$19*($DN257=$DO257))</f>
        <v>3.7037037037037035E-4</v>
      </c>
      <c r="DX257" s="10" cm="1">
        <f t="array" aca="1" ref="DX257" ca="1">(1-$B$18)*SUMPRODUCT(OFFSET($BO$15,0,0,$B$14,1), 1*(_xlfn._xlws.FILTER(OFFSET($O$15,0,$DN257,$B$8,1),OFFSET($M$15,0,0,$B$8,1))=DX$13), 1*(_xlfn._xlws.FILTER(OFFSET($O$15,0,$DO257,$B$8,1),OFFSET($M$15,0,0,$B$8,1))=DX$14))   /   SUM(OFFSET($BO$15,0,0,$B$14,1)) + $B$18/($B$19*$B$19*($DN257&lt;&gt;$DO257) + $B$19*($DN257=$DO257))</f>
        <v>3.7037037037037035E-4</v>
      </c>
      <c r="DY257" s="10" cm="1">
        <f t="array" aca="1" ref="DY257" ca="1">(1-$B$18)*SUMPRODUCT(OFFSET($BO$15,0,0,$B$14,1), 1*(_xlfn._xlws.FILTER(OFFSET($O$15,0,$DN257,$B$8,1),OFFSET($M$15,0,0,$B$8,1))=DY$13), 1*(_xlfn._xlws.FILTER(OFFSET($O$15,0,$DO257,$B$8,1),OFFSET($M$15,0,0,$B$8,1))=DY$14))   /   SUM(OFFSET($BO$15,0,0,$B$14,1)) + $B$18/($B$19*$B$19*($DN257&lt;&gt;$DO257) + $B$19*($DN257=$DO257))</f>
        <v>3.7037037037037035E-4</v>
      </c>
      <c r="DZ257" s="10" cm="1">
        <f t="array" aca="1" ref="DZ257" ca="1">(1-$B$18)*SUMPRODUCT(OFFSET($BO$15,0,0,$B$14,1), 1*(_xlfn._xlws.FILTER(OFFSET($O$15,0,$DN257,$B$8,1),OFFSET($M$15,0,0,$B$8,1))=DZ$13), 1*(_xlfn._xlws.FILTER(OFFSET($O$15,0,$DO257,$B$8,1),OFFSET($M$15,0,0,$B$8,1))=DZ$14))   /   SUM(OFFSET($BO$15,0,0,$B$14,1)) + $B$18/($B$19*$B$19*($DN257&lt;&gt;$DO257) + $B$19*($DN257=$DO257))</f>
        <v>0.97037037037037033</v>
      </c>
      <c r="EA257" s="10" cm="1">
        <f t="array" aca="1" ref="EA257" ca="1">(1-$B$18)*SUMPRODUCT(OFFSET($BO$15,0,0,$B$14,1), 1*(_xlfn._xlws.FILTER(OFFSET($O$15,0,$DN257,$B$8,1),OFFSET($M$15,0,0,$B$8,1))=EA$13), 1*(_xlfn._xlws.FILTER(OFFSET($O$15,0,$DO257,$B$8,1),OFFSET($M$15,0,0,$B$8,1))=EA$14))   /   SUM(OFFSET($BO$15,0,0,$B$14,1)) + $B$18/($B$19*$B$19*($DN257&lt;&gt;$DO257) + $B$19*($DN257=$DO257))</f>
        <v>3.7037037037037035E-4</v>
      </c>
      <c r="EB257" s="10" cm="1">
        <f t="array" aca="1" ref="EB257" ca="1">(1-$B$18)*SUMPRODUCT(OFFSET($BO$15,0,0,$B$14,1), 1*(_xlfn._xlws.FILTER(OFFSET($O$15,0,$DN257,$B$8,1),OFFSET($M$15,0,0,$B$8,1))=EB$13), 1*(_xlfn._xlws.FILTER(OFFSET($O$15,0,$DO257,$B$8,1),OFFSET($M$15,0,0,$B$8,1))=EB$14))   /   SUM(OFFSET($BO$15,0,0,$B$14,1)) + $B$18/($B$19*$B$19*($DN257&lt;&gt;$DO257) + $B$19*($DN257=$DO257))</f>
        <v>3.7037037037037035E-4</v>
      </c>
      <c r="EC257" s="10" cm="1">
        <f t="array" aca="1" ref="EC257" ca="1">(1-$B$18)*SUMPRODUCT(OFFSET($BO$15,0,0,$B$14,1), 1*(_xlfn._xlws.FILTER(OFFSET($O$15,0,$DN257,$B$8,1),OFFSET($M$15,0,0,$B$8,1))=EC$13), 1*(_xlfn._xlws.FILTER(OFFSET($O$15,0,$DO257,$B$8,1),OFFSET($M$15,0,0,$B$8,1))=EC$14))   /   SUM(OFFSET($BO$15,0,0,$B$14,1)) + $B$18/($B$19*$B$19*($DN257&lt;&gt;$DO257) + $B$19*($DN257=$DO257))</f>
        <v>3.7037037037037035E-4</v>
      </c>
      <c r="ED257" s="10" cm="1">
        <f t="array" aca="1" ref="ED257" ca="1">(1-$B$18)*SUMPRODUCT(OFFSET($BO$15,0,0,$B$14,1), 1*(_xlfn._xlws.FILTER(OFFSET($O$15,0,$DN257,$B$8,1),OFFSET($M$15,0,0,$B$8,1))=ED$13), 1*(_xlfn._xlws.FILTER(OFFSET($O$15,0,$DO257,$B$8,1),OFFSET($M$15,0,0,$B$8,1))=ED$14))   /   SUM(OFFSET($BO$15,0,0,$B$14,1)) + $B$18/($B$19*$B$19*($DN257&lt;&gt;$DO257) + $B$19*($DN257=$DO257))</f>
        <v>3.7037037037037035E-4</v>
      </c>
      <c r="EE257" s="10" cm="1">
        <f t="array" aca="1" ref="EE257" ca="1">(1-$B$18)*SUMPRODUCT(OFFSET($BO$15,0,0,$B$14,1), 1*(_xlfn._xlws.FILTER(OFFSET($O$15,0,$DN257,$B$8,1),OFFSET($M$15,0,0,$B$8,1))=EE$13), 1*(_xlfn._xlws.FILTER(OFFSET($O$15,0,$DO257,$B$8,1),OFFSET($M$15,0,0,$B$8,1))=EE$14))   /   SUM(OFFSET($BO$15,0,0,$B$14,1)) + $B$18/($B$19*$B$19*($DN257&lt;&gt;$DO257) + $B$19*($DN257=$DO257))</f>
        <v>3.7037037037037035E-4</v>
      </c>
      <c r="EF257" s="10" cm="1">
        <f t="array" aca="1" ref="EF257" ca="1">(1-$B$18)*SUMPRODUCT(OFFSET($BO$15,0,0,$B$14,1), 1*(_xlfn._xlws.FILTER(OFFSET($O$15,0,$DN257,$B$8,1),OFFSET($M$15,0,0,$B$8,1))=EF$13), 1*(_xlfn._xlws.FILTER(OFFSET($O$15,0,$DO257,$B$8,1),OFFSET($M$15,0,0,$B$8,1))=EF$14))   /   SUM(OFFSET($BO$15,0,0,$B$14,1)) + $B$18/($B$19*$B$19*($DN257&lt;&gt;$DO257) + $B$19*($DN257=$DO257))</f>
        <v>3.7037037037037035E-4</v>
      </c>
      <c r="EG257" s="10" cm="1">
        <f t="array" aca="1" ref="EG257" ca="1">(1-$B$18)*SUMPRODUCT(OFFSET($BO$15,0,0,$B$14,1), 1*(_xlfn._xlws.FILTER(OFFSET($O$15,0,$DN257,$B$8,1),OFFSET($M$15,0,0,$B$8,1))=EG$13), 1*(_xlfn._xlws.FILTER(OFFSET($O$15,0,$DO257,$B$8,1),OFFSET($M$15,0,0,$B$8,1))=EG$14))   /   SUM(OFFSET($BO$15,0,0,$B$14,1)) + $B$18/($B$19*$B$19*($DN257&lt;&gt;$DO257) + $B$19*($DN257=$DO257))</f>
        <v>3.7037037037037035E-4</v>
      </c>
      <c r="EH257" s="10" cm="1">
        <f t="array" aca="1" ref="EH257" ca="1">(1-$B$18)*SUMPRODUCT(OFFSET($BO$15,0,0,$B$14,1), 1*(_xlfn._xlws.FILTER(OFFSET($O$15,0,$DN257,$B$8,1),OFFSET($M$15,0,0,$B$8,1))=EH$13), 1*(_xlfn._xlws.FILTER(OFFSET($O$15,0,$DO257,$B$8,1),OFFSET($M$15,0,0,$B$8,1))=EH$14))   /   SUM(OFFSET($BO$15,0,0,$B$14,1)) + $B$18/($B$19*$B$19*($DN257&lt;&gt;$DO257) + $B$19*($DN257=$DO257))</f>
        <v>3.7037037037037035E-4</v>
      </c>
      <c r="EI257" s="10" cm="1">
        <f t="array" aca="1" ref="EI257" ca="1">(1-$B$18)*SUMPRODUCT(OFFSET($BO$15,0,0,$B$14,1), 1*(_xlfn._xlws.FILTER(OFFSET($O$15,0,$DN257,$B$8,1),OFFSET($M$15,0,0,$B$8,1))=EI$13), 1*(_xlfn._xlws.FILTER(OFFSET($O$15,0,$DO257,$B$8,1),OFFSET($M$15,0,0,$B$8,1))=EI$14))   /   SUM(OFFSET($BO$15,0,0,$B$14,1)) + $B$18/($B$19*$B$19*($DN257&lt;&gt;$DO257) + $B$19*($DN257=$DO257))</f>
        <v>3.7037037037037035E-4</v>
      </c>
      <c r="EJ257" s="10" cm="1">
        <f t="array" aca="1" ref="EJ257" ca="1">(1-$B$18)*SUMPRODUCT(OFFSET($BO$15,0,0,$B$14,1), 1*(_xlfn._xlws.FILTER(OFFSET($O$15,0,$DN257,$B$8,1),OFFSET($M$15,0,0,$B$8,1))=EJ$13), 1*(_xlfn._xlws.FILTER(OFFSET($O$15,0,$DO257,$B$8,1),OFFSET($M$15,0,0,$B$8,1))=EJ$14))   /   SUM(OFFSET($BO$15,0,0,$B$14,1)) + $B$18/($B$19*$B$19*($DN257&lt;&gt;$DO257) + $B$19*($DN257=$DO257))</f>
        <v>3.7037037037037035E-4</v>
      </c>
      <c r="EK257" s="10" cm="1">
        <f t="array" aca="1" ref="EK257" ca="1">(1-$B$18)*SUMPRODUCT(OFFSET($BO$15,0,0,$B$14,1), 1*(_xlfn._xlws.FILTER(OFFSET($O$15,0,$DN257,$B$8,1),OFFSET($M$15,0,0,$B$8,1))=EK$13), 1*(_xlfn._xlws.FILTER(OFFSET($O$15,0,$DO257,$B$8,1),OFFSET($M$15,0,0,$B$8,1))=EK$14))   /   SUM(OFFSET($BO$15,0,0,$B$14,1)) + $B$18/($B$19*$B$19*($DN257&lt;&gt;$DO257) + $B$19*($DN257=$DO257))</f>
        <v>3.7037037037037035E-4</v>
      </c>
      <c r="EL257" s="10" cm="1">
        <f t="array" aca="1" ref="EL257" ca="1">(1-$B$18)*SUMPRODUCT(OFFSET($BO$15,0,0,$B$14,1), 1*(_xlfn._xlws.FILTER(OFFSET($O$15,0,$DN257,$B$8,1),OFFSET($M$15,0,0,$B$8,1))=EL$13), 1*(_xlfn._xlws.FILTER(OFFSET($O$15,0,$DO257,$B$8,1),OFFSET($M$15,0,0,$B$8,1))=EL$14))   /   SUM(OFFSET($BO$15,0,0,$B$14,1)) + $B$18/($B$19*$B$19*($DN257&lt;&gt;$DO257) + $B$19*($DN257=$DO257))</f>
        <v>3.7037037037037035E-4</v>
      </c>
      <c r="EM257" s="10" cm="1">
        <f t="array" aca="1" ref="EM257" ca="1">(1-$B$18)*SUMPRODUCT(OFFSET($BO$15,0,0,$B$14,1), 1*(_xlfn._xlws.FILTER(OFFSET($O$15,0,$DN257,$B$8,1),OFFSET($M$15,0,0,$B$8,1))=EM$13), 1*(_xlfn._xlws.FILTER(OFFSET($O$15,0,$DO257,$B$8,1),OFFSET($M$15,0,0,$B$8,1))=EM$14))   /   SUM(OFFSET($BO$15,0,0,$B$14,1)) + $B$18/($B$19*$B$19*($DN257&lt;&gt;$DO257) + $B$19*($DN257=$DO257))</f>
        <v>3.7037037037037035E-4</v>
      </c>
      <c r="EN257" s="10" cm="1">
        <f t="array" aca="1" ref="EN257" ca="1">(1-$B$18)*SUMPRODUCT(OFFSET($BO$15,0,0,$B$14,1), 1*(_xlfn._xlws.FILTER(OFFSET($O$15,0,$DN257,$B$8,1),OFFSET($M$15,0,0,$B$8,1))=EN$13), 1*(_xlfn._xlws.FILTER(OFFSET($O$15,0,$DO257,$B$8,1),OFFSET($M$15,0,0,$B$8,1))=EN$14))   /   SUM(OFFSET($BO$15,0,0,$B$14,1)) + $B$18/($B$19*$B$19*($DN257&lt;&gt;$DO257) + $B$19*($DN257=$DO257))</f>
        <v>3.7037037037037035E-4</v>
      </c>
      <c r="EO257" s="10" cm="1">
        <f t="array" aca="1" ref="EO257" ca="1">(1-$B$18)*SUMPRODUCT(OFFSET($BO$15,0,0,$B$14,1), 1*(_xlfn._xlws.FILTER(OFFSET($O$15,0,$DN257,$B$8,1),OFFSET($M$15,0,0,$B$8,1))=EO$13), 1*(_xlfn._xlws.FILTER(OFFSET($O$15,0,$DO257,$B$8,1),OFFSET($M$15,0,0,$B$8,1))=EO$14))   /   SUM(OFFSET($BO$15,0,0,$B$14,1)) + $B$18/($B$19*$B$19*($DN257&lt;&gt;$DO257) + $B$19*($DN257=$DO257))</f>
        <v>3.7037037037037035E-4</v>
      </c>
      <c r="EP257" s="10" cm="1">
        <f t="array" aca="1" ref="EP257" ca="1">(1-$B$18)*SUMPRODUCT(OFFSET($BO$15,0,0,$B$14,1), 1*(_xlfn._xlws.FILTER(OFFSET($O$15,0,$DN257,$B$8,1),OFFSET($M$15,0,0,$B$8,1))=EP$13), 1*(_xlfn._xlws.FILTER(OFFSET($O$15,0,$DO257,$B$8,1),OFFSET($M$15,0,0,$B$8,1))=EP$14))   /   SUM(OFFSET($BO$15,0,0,$B$14,1)) + $B$18/($B$19*$B$19*($DN257&lt;&gt;$DO257) + $B$19*($DN257=$DO257))</f>
        <v>3.7037037037037035E-4</v>
      </c>
      <c r="EQ257" s="10" cm="1">
        <f t="array" aca="1" ref="EQ257" ca="1">(1-$B$18)*SUMPRODUCT(OFFSET($BO$15,0,0,$B$14,1), 1*(_xlfn._xlws.FILTER(OFFSET($O$15,0,$DN257,$B$8,1),OFFSET($M$15,0,0,$B$8,1))=EQ$13), 1*(_xlfn._xlws.FILTER(OFFSET($O$15,0,$DO257,$B$8,1),OFFSET($M$15,0,0,$B$8,1))=EQ$14))   /   SUM(OFFSET($BO$15,0,0,$B$14,1)) + $B$18/($B$19*$B$19*($DN257&lt;&gt;$DO257) + $B$19*($DN257=$DO257))</f>
        <v>3.7037037037037035E-4</v>
      </c>
      <c r="ER257" s="10" cm="1">
        <f t="array" aca="1" ref="ER257" ca="1">(1-$B$18)*SUMPRODUCT(OFFSET($BO$15,0,0,$B$14,1), 1*(_xlfn._xlws.FILTER(OFFSET($O$15,0,$DN257,$B$8,1),OFFSET($M$15,0,0,$B$8,1))=ER$13), 1*(_xlfn._xlws.FILTER(OFFSET($O$15,0,$DO257,$B$8,1),OFFSET($M$15,0,0,$B$8,1))=ER$14))   /   SUM(OFFSET($BO$15,0,0,$B$14,1)) + $B$18/($B$19*$B$19*($DN257&lt;&gt;$DO257) + $B$19*($DN257=$DO257))</f>
        <v>3.7037037037037035E-4</v>
      </c>
      <c r="ES257" s="10" cm="1">
        <f t="array" aca="1" ref="ES257" ca="1">(1-$B$18)*SUMPRODUCT(OFFSET($BO$15,0,0,$B$14,1), 1*(_xlfn._xlws.FILTER(OFFSET($O$15,0,$DN257,$B$8,1),OFFSET($M$15,0,0,$B$8,1))=ES$13), 1*(_xlfn._xlws.FILTER(OFFSET($O$15,0,$DO257,$B$8,1),OFFSET($M$15,0,0,$B$8,1))=ES$14))   /   SUM(OFFSET($BO$15,0,0,$B$14,1)) + $B$18/($B$19*$B$19*($DN257&lt;&gt;$DO257) + $B$19*($DN257=$DO257))</f>
        <v>3.7037037037037035E-4</v>
      </c>
      <c r="ET257" s="10" cm="1">
        <f t="array" aca="1" ref="ET257" ca="1">(1-$B$18)*SUMPRODUCT(OFFSET($BO$15,0,0,$B$14,1), 1*(_xlfn._xlws.FILTER(OFFSET($O$15,0,$DN257,$B$8,1),OFFSET($M$15,0,0,$B$8,1))=ET$13), 1*(_xlfn._xlws.FILTER(OFFSET($O$15,0,$DO257,$B$8,1),OFFSET($M$15,0,0,$B$8,1))=ET$14))   /   SUM(OFFSET($BO$15,0,0,$B$14,1)) + $B$18/($B$19*$B$19*($DN257&lt;&gt;$DO257) + $B$19*($DN257=$DO257))</f>
        <v>3.7037037037037035E-4</v>
      </c>
      <c r="EU257" s="10" cm="1">
        <f t="array" aca="1" ref="EU257" ca="1">(1-$B$18)*SUMPRODUCT(OFFSET($BO$15,0,0,$B$14,1), 1*(_xlfn._xlws.FILTER(OFFSET($O$15,0,$DN257,$B$8,1),OFFSET($M$15,0,0,$B$8,1))=EU$13), 1*(_xlfn._xlws.FILTER(OFFSET($O$15,0,$DO257,$B$8,1),OFFSET($M$15,0,0,$B$8,1))=EU$14))   /   SUM(OFFSET($BO$15,0,0,$B$14,1)) + $B$18/($B$19*$B$19*($DN257&lt;&gt;$DO257) + $B$19*($DN257=$DO257))</f>
        <v>3.7037037037037035E-4</v>
      </c>
      <c r="EV257" s="10" cm="1">
        <f t="array" aca="1" ref="EV257" ca="1">(1-$B$18)*SUMPRODUCT(OFFSET($BO$15,0,0,$B$14,1), 1*(_xlfn._xlws.FILTER(OFFSET($O$15,0,$DN257,$B$8,1),OFFSET($M$15,0,0,$B$8,1))=EV$13), 1*(_xlfn._xlws.FILTER(OFFSET($O$15,0,$DO257,$B$8,1),OFFSET($M$15,0,0,$B$8,1))=EV$14))   /   SUM(OFFSET($BO$15,0,0,$B$14,1)) + $B$18/($B$19*$B$19*($DN257&lt;&gt;$DO257) + $B$19*($DN257=$DO257))</f>
        <v>3.7037037037037035E-4</v>
      </c>
      <c r="EW257" s="10" cm="1">
        <f t="array" aca="1" ref="EW257" ca="1">(1-$B$18)*SUMPRODUCT(OFFSET($BO$15,0,0,$B$14,1), 1*(_xlfn._xlws.FILTER(OFFSET($O$15,0,$DN257,$B$8,1),OFFSET($M$15,0,0,$B$8,1))=EW$13), 1*(_xlfn._xlws.FILTER(OFFSET($O$15,0,$DO257,$B$8,1),OFFSET($M$15,0,0,$B$8,1))=EW$14))   /   SUM(OFFSET($BO$15,0,0,$B$14,1)) + $B$18/($B$19*$B$19*($DN257&lt;&gt;$DO257) + $B$19*($DN257=$DO257))</f>
        <v>3.7037037037037035E-4</v>
      </c>
      <c r="EX257" s="10" cm="1">
        <f t="array" aca="1" ref="EX257" ca="1">(1-$B$18)*SUMPRODUCT(OFFSET($BO$15,0,0,$B$14,1), 1*(_xlfn._xlws.FILTER(OFFSET($O$15,0,$DN257,$B$8,1),OFFSET($M$15,0,0,$B$8,1))=EX$13), 1*(_xlfn._xlws.FILTER(OFFSET($O$15,0,$DO257,$B$8,1),OFFSET($M$15,0,0,$B$8,1))=EX$14))   /   SUM(OFFSET($BO$15,0,0,$B$14,1)) + $B$18/($B$19*$B$19*($DN257&lt;&gt;$DO257) + $B$19*($DN257=$DO257))</f>
        <v>3.7037037037037035E-4</v>
      </c>
      <c r="EY257" s="10" cm="1">
        <f t="array" aca="1" ref="EY257" ca="1">(1-$B$18)*SUMPRODUCT(OFFSET($BO$15,0,0,$B$14,1), 1*(_xlfn._xlws.FILTER(OFFSET($O$15,0,$DN257,$B$8,1),OFFSET($M$15,0,0,$B$8,1))=EY$13), 1*(_xlfn._xlws.FILTER(OFFSET($O$15,0,$DO257,$B$8,1),OFFSET($M$15,0,0,$B$8,1))=EY$14))   /   SUM(OFFSET($BO$15,0,0,$B$14,1)) + $B$18/($B$19*$B$19*($DN257&lt;&gt;$DO257) + $B$19*($DN257=$DO257))</f>
        <v>3.7037037037037035E-4</v>
      </c>
      <c r="EZ257" s="10" cm="1">
        <f t="array" aca="1" ref="EZ257" ca="1">(1-$B$18)*SUMPRODUCT(OFFSET($BO$15,0,0,$B$14,1), 1*(_xlfn._xlws.FILTER(OFFSET($O$15,0,$DN257,$B$8,1),OFFSET($M$15,0,0,$B$8,1))=EZ$13), 1*(_xlfn._xlws.FILTER(OFFSET($O$15,0,$DO257,$B$8,1),OFFSET($M$15,0,0,$B$8,1))=EZ$14))   /   SUM(OFFSET($BO$15,0,0,$B$14,1)) + $B$18/($B$19*$B$19*($DN257&lt;&gt;$DO257) + $B$19*($DN257=$DO257))</f>
        <v>3.7037037037037035E-4</v>
      </c>
      <c r="FA257" s="10" cm="1">
        <f t="array" aca="1" ref="FA257" ca="1">(1-$B$18)*SUMPRODUCT(OFFSET($BO$15,0,0,$B$14,1), 1*(_xlfn._xlws.FILTER(OFFSET($O$15,0,$DN257,$B$8,1),OFFSET($M$15,0,0,$B$8,1))=FA$13), 1*(_xlfn._xlws.FILTER(OFFSET($O$15,0,$DO257,$B$8,1),OFFSET($M$15,0,0,$B$8,1))=FA$14))   /   SUM(OFFSET($BO$15,0,0,$B$14,1)) + $B$18/($B$19*$B$19*($DN257&lt;&gt;$DO257) + $B$19*($DN257=$DO257))</f>
        <v>3.7037037037037035E-4</v>
      </c>
      <c r="FB257" s="10" cm="1">
        <f t="array" aca="1" ref="FB257" ca="1">(1-$B$18)*SUMPRODUCT(OFFSET($BO$15,0,0,$B$14,1), 1*(_xlfn._xlws.FILTER(OFFSET($O$15,0,$DN257,$B$8,1),OFFSET($M$15,0,0,$B$8,1))=FB$13), 1*(_xlfn._xlws.FILTER(OFFSET($O$15,0,$DO257,$B$8,1),OFFSET($M$15,0,0,$B$8,1))=FB$14))   /   SUM(OFFSET($BO$15,0,0,$B$14,1)) + $B$18/($B$19*$B$19*($DN257&lt;&gt;$DO257) + $B$19*($DN257=$DO257))</f>
        <v>3.7037037037037035E-4</v>
      </c>
      <c r="FC257" s="10" cm="1">
        <f t="array" aca="1" ref="FC257" ca="1">(1-$B$18)*SUMPRODUCT(OFFSET($BO$15,0,0,$B$14,1), 1*(_xlfn._xlws.FILTER(OFFSET($O$15,0,$DN257,$B$8,1),OFFSET($M$15,0,0,$B$8,1))=FC$13), 1*(_xlfn._xlws.FILTER(OFFSET($O$15,0,$DO257,$B$8,1),OFFSET($M$15,0,0,$B$8,1))=FC$14))   /   SUM(OFFSET($BO$15,0,0,$B$14,1)) + $B$18/($B$19*$B$19*($DN257&lt;&gt;$DO257) + $B$19*($DN257=$DO257))</f>
        <v>3.7037037037037035E-4</v>
      </c>
      <c r="FD257" s="10" cm="1">
        <f t="array" aca="1" ref="FD257" ca="1">(1-$B$18)*SUMPRODUCT(OFFSET($BO$15,0,0,$B$14,1), 1*(_xlfn._xlws.FILTER(OFFSET($O$15,0,$DN257,$B$8,1),OFFSET($M$15,0,0,$B$8,1))=FD$13), 1*(_xlfn._xlws.FILTER(OFFSET($O$15,0,$DO257,$B$8,1),OFFSET($M$15,0,0,$B$8,1))=FD$14))   /   SUM(OFFSET($BO$15,0,0,$B$14,1)) + $B$18/($B$19*$B$19*($DN257&lt;&gt;$DO257) + $B$19*($DN257=$DO257))</f>
        <v>3.7037037037037035E-4</v>
      </c>
      <c r="FE257" s="10" cm="1">
        <f t="array" aca="1" ref="FE257" ca="1">(1-$B$18)*SUMPRODUCT(OFFSET($BO$15,0,0,$B$14,1), 1*(_xlfn._xlws.FILTER(OFFSET($O$15,0,$DN257,$B$8,1),OFFSET($M$15,0,0,$B$8,1))=FE$13), 1*(_xlfn._xlws.FILTER(OFFSET($O$15,0,$DO257,$B$8,1),OFFSET($M$15,0,0,$B$8,1))=FE$14))   /   SUM(OFFSET($BO$15,0,0,$B$14,1)) + $B$18/($B$19*$B$19*($DN257&lt;&gt;$DO257) + $B$19*($DN257=$DO257))</f>
        <v>3.7037037037037035E-4</v>
      </c>
      <c r="FF257" s="10" cm="1">
        <f t="array" aca="1" ref="FF257" ca="1">(1-$B$18)*SUMPRODUCT(OFFSET($BO$15,0,0,$B$14,1), 1*(_xlfn._xlws.FILTER(OFFSET($O$15,0,$DN257,$B$8,1),OFFSET($M$15,0,0,$B$8,1))=FF$13), 1*(_xlfn._xlws.FILTER(OFFSET($O$15,0,$DO257,$B$8,1),OFFSET($M$15,0,0,$B$8,1))=FF$14))   /   SUM(OFFSET($BO$15,0,0,$B$14,1)) + $B$18/($B$19*$B$19*($DN257&lt;&gt;$DO257) + $B$19*($DN257=$DO257))</f>
        <v>3.7037037037037035E-4</v>
      </c>
      <c r="FG257" s="10" cm="1">
        <f t="array" aca="1" ref="FG257" ca="1">(1-$B$18)*SUMPRODUCT(OFFSET($BO$15,0,0,$B$14,1), 1*(_xlfn._xlws.FILTER(OFFSET($O$15,0,$DN257,$B$8,1),OFFSET($M$15,0,0,$B$8,1))=FG$13), 1*(_xlfn._xlws.FILTER(OFFSET($O$15,0,$DO257,$B$8,1),OFFSET($M$15,0,0,$B$8,1))=FG$14))   /   SUM(OFFSET($BO$15,0,0,$B$14,1)) + $B$18/($B$19*$B$19*($DN257&lt;&gt;$DO257) + $B$19*($DN257=$DO257))</f>
        <v>3.7037037037037035E-4</v>
      </c>
      <c r="FH257" s="10" cm="1">
        <f t="array" aca="1" ref="FH257" ca="1">(1-$B$18)*SUMPRODUCT(OFFSET($BO$15,0,0,$B$14,1), 1*(_xlfn._xlws.FILTER(OFFSET($O$15,0,$DN257,$B$8,1),OFFSET($M$15,0,0,$B$8,1))=FH$13), 1*(_xlfn._xlws.FILTER(OFFSET($O$15,0,$DO257,$B$8,1),OFFSET($M$15,0,0,$B$8,1))=FH$14))   /   SUM(OFFSET($BO$15,0,0,$B$14,1)) + $B$18/($B$19*$B$19*($DN257&lt;&gt;$DO257) + $B$19*($DN257=$DO257))</f>
        <v>3.7037037037037035E-4</v>
      </c>
      <c r="FI257" s="10" cm="1">
        <f t="array" aca="1" ref="FI257" ca="1">(1-$B$18)*SUMPRODUCT(OFFSET($BO$15,0,0,$B$14,1), 1*(_xlfn._xlws.FILTER(OFFSET($O$15,0,$DN257,$B$8,1),OFFSET($M$15,0,0,$B$8,1))=FI$13), 1*(_xlfn._xlws.FILTER(OFFSET($O$15,0,$DO257,$B$8,1),OFFSET($M$15,0,0,$B$8,1))=FI$14))   /   SUM(OFFSET($BO$15,0,0,$B$14,1)) + $B$18/($B$19*$B$19*($DN257&lt;&gt;$DO257) + $B$19*($DN257=$DO257))</f>
        <v>3.7037037037037035E-4</v>
      </c>
      <c r="FJ257" s="10" cm="1">
        <f t="array" aca="1" ref="FJ257" ca="1">(1-$B$18)*SUMPRODUCT(OFFSET($BO$15,0,0,$B$14,1), 1*(_xlfn._xlws.FILTER(OFFSET($O$15,0,$DN257,$B$8,1),OFFSET($M$15,0,0,$B$8,1))=FJ$13), 1*(_xlfn._xlws.FILTER(OFFSET($O$15,0,$DO257,$B$8,1),OFFSET($M$15,0,0,$B$8,1))=FJ$14))   /   SUM(OFFSET($BO$15,0,0,$B$14,1)) + $B$18/($B$19*$B$19*($DN257&lt;&gt;$DO257) + $B$19*($DN257=$DO257))</f>
        <v>3.7037037037037035E-4</v>
      </c>
      <c r="FK257" s="10" cm="1">
        <f t="array" aca="1" ref="FK257" ca="1">(1-$B$18)*SUMPRODUCT(OFFSET($BO$15,0,0,$B$14,1), 1*(_xlfn._xlws.FILTER(OFFSET($O$15,0,$DN257,$B$8,1),OFFSET($M$15,0,0,$B$8,1))=FK$13), 1*(_xlfn._xlws.FILTER(OFFSET($O$15,0,$DO257,$B$8,1),OFFSET($M$15,0,0,$B$8,1))=FK$14))   /   SUM(OFFSET($BO$15,0,0,$B$14,1)) + $B$18/($B$19*$B$19*($DN257&lt;&gt;$DO257) + $B$19*($DN257=$DO257))</f>
        <v>3.7037037037037035E-4</v>
      </c>
      <c r="FL257" s="10" cm="1">
        <f t="array" aca="1" ref="FL257" ca="1">(1-$B$18)*SUMPRODUCT(OFFSET($BO$15,0,0,$B$14,1), 1*(_xlfn._xlws.FILTER(OFFSET($O$15,0,$DN257,$B$8,1),OFFSET($M$15,0,0,$B$8,1))=FL$13), 1*(_xlfn._xlws.FILTER(OFFSET($O$15,0,$DO257,$B$8,1),OFFSET($M$15,0,0,$B$8,1))=FL$14))   /   SUM(OFFSET($BO$15,0,0,$B$14,1)) + $B$18/($B$19*$B$19*($DN257&lt;&gt;$DO257) + $B$19*($DN257=$DO257))</f>
        <v>3.7037037037037035E-4</v>
      </c>
      <c r="FM257" s="10" cm="1">
        <f t="array" aca="1" ref="FM257" ca="1">(1-$B$18)*SUMPRODUCT(OFFSET($BO$15,0,0,$B$14,1), 1*(_xlfn._xlws.FILTER(OFFSET($O$15,0,$DN257,$B$8,1),OFFSET($M$15,0,0,$B$8,1))=FM$13), 1*(_xlfn._xlws.FILTER(OFFSET($O$15,0,$DO257,$B$8,1),OFFSET($M$15,0,0,$B$8,1))=FM$14))   /   SUM(OFFSET($BO$15,0,0,$B$14,1)) + $B$18/($B$19*$B$19*($DN257&lt;&gt;$DO257) + $B$19*($DN257=$DO257))</f>
        <v>3.7037037037037035E-4</v>
      </c>
      <c r="FN257" s="10" cm="1">
        <f t="array" aca="1" ref="FN257" ca="1">(1-$B$18)*SUMPRODUCT(OFFSET($BO$15,0,0,$B$14,1), 1*(_xlfn._xlws.FILTER(OFFSET($O$15,0,$DN257,$B$8,1),OFFSET($M$15,0,0,$B$8,1))=FN$13), 1*(_xlfn._xlws.FILTER(OFFSET($O$15,0,$DO257,$B$8,1),OFFSET($M$15,0,0,$B$8,1))=FN$14))   /   SUM(OFFSET($BO$15,0,0,$B$14,1)) + $B$18/($B$19*$B$19*($DN257&lt;&gt;$DO257) + $B$19*($DN257=$DO257))</f>
        <v>3.7037037037037035E-4</v>
      </c>
      <c r="FO257" s="10" cm="1">
        <f t="array" aca="1" ref="FO257" ca="1">(1-$B$18)*SUMPRODUCT(OFFSET($BO$15,0,0,$B$14,1), 1*(_xlfn._xlws.FILTER(OFFSET($O$15,0,$DN257,$B$8,1),OFFSET($M$15,0,0,$B$8,1))=FO$13), 1*(_xlfn._xlws.FILTER(OFFSET($O$15,0,$DO257,$B$8,1),OFFSET($M$15,0,0,$B$8,1))=FO$14))   /   SUM(OFFSET($BO$15,0,0,$B$14,1)) + $B$18/($B$19*$B$19*($DN257&lt;&gt;$DO257) + $B$19*($DN257=$DO257))</f>
        <v>3.7037037037037035E-4</v>
      </c>
      <c r="FP257" s="10" cm="1">
        <f t="array" aca="1" ref="FP257" ca="1">(1-$B$18)*SUMPRODUCT(OFFSET($BO$15,0,0,$B$14,1), 1*(_xlfn._xlws.FILTER(OFFSET($O$15,0,$DN257,$B$8,1),OFFSET($M$15,0,0,$B$8,1))=FP$13), 1*(_xlfn._xlws.FILTER(OFFSET($O$15,0,$DO257,$B$8,1),OFFSET($M$15,0,0,$B$8,1))=FP$14))   /   SUM(OFFSET($BO$15,0,0,$B$14,1)) + $B$18/($B$19*$B$19*($DN257&lt;&gt;$DO257) + $B$19*($DN257=$DO257))</f>
        <v>3.7037037037037035E-4</v>
      </c>
      <c r="FQ257" s="10" cm="1">
        <f t="array" aca="1" ref="FQ257" ca="1">(1-$B$18)*SUMPRODUCT(OFFSET($BO$15,0,0,$B$14,1), 1*(_xlfn._xlws.FILTER(OFFSET($O$15,0,$DN257,$B$8,1),OFFSET($M$15,0,0,$B$8,1))=FQ$13), 1*(_xlfn._xlws.FILTER(OFFSET($O$15,0,$DO257,$B$8,1),OFFSET($M$15,0,0,$B$8,1))=FQ$14))   /   SUM(OFFSET($BO$15,0,0,$B$14,1)) + $B$18/($B$19*$B$19*($DN257&lt;&gt;$DO257) + $B$19*($DN257=$DO257))</f>
        <v>3.7037037037037035E-4</v>
      </c>
      <c r="FR257" s="10" cm="1">
        <f t="array" aca="1" ref="FR257" ca="1">(1-$B$18)*SUMPRODUCT(OFFSET($BO$15,0,0,$B$14,1), 1*(_xlfn._xlws.FILTER(OFFSET($O$15,0,$DN257,$B$8,1),OFFSET($M$15,0,0,$B$8,1))=FR$13), 1*(_xlfn._xlws.FILTER(OFFSET($O$15,0,$DO257,$B$8,1),OFFSET($M$15,0,0,$B$8,1))=FR$14))   /   SUM(OFFSET($BO$15,0,0,$B$14,1)) + $B$18/($B$19*$B$19*($DN257&lt;&gt;$DO257) + $B$19*($DN257=$DO257))</f>
        <v>3.7037037037037035E-4</v>
      </c>
      <c r="FS257" s="10" cm="1">
        <f t="array" aca="1" ref="FS257" ca="1">(1-$B$18)*SUMPRODUCT(OFFSET($BO$15,0,0,$B$14,1), 1*(_xlfn._xlws.FILTER(OFFSET($O$15,0,$DN257,$B$8,1),OFFSET($M$15,0,0,$B$8,1))=FS$13), 1*(_xlfn._xlws.FILTER(OFFSET($O$15,0,$DO257,$B$8,1),OFFSET($M$15,0,0,$B$8,1))=FS$14))   /   SUM(OFFSET($BO$15,0,0,$B$14,1)) + $B$18/($B$19*$B$19*($DN257&lt;&gt;$DO257) + $B$19*($DN257=$DO257))</f>
        <v>3.7037037037037035E-4</v>
      </c>
      <c r="FT257" s="10" cm="1">
        <f t="array" aca="1" ref="FT257" ca="1">(1-$B$18)*SUMPRODUCT(OFFSET($BO$15,0,0,$B$14,1), 1*(_xlfn._xlws.FILTER(OFFSET($O$15,0,$DN257,$B$8,1),OFFSET($M$15,0,0,$B$8,1))=FT$13), 1*(_xlfn._xlws.FILTER(OFFSET($O$15,0,$DO257,$B$8,1),OFFSET($M$15,0,0,$B$8,1))=FT$14))   /   SUM(OFFSET($BO$15,0,0,$B$14,1)) + $B$18/($B$19*$B$19*($DN257&lt;&gt;$DO257) + $B$19*($DN257=$DO257))</f>
        <v>3.7037037037037035E-4</v>
      </c>
      <c r="FU257" s="10" cm="1">
        <f t="array" aca="1" ref="FU257" ca="1">(1-$B$18)*SUMPRODUCT(OFFSET($BO$15,0,0,$B$14,1), 1*(_xlfn._xlws.FILTER(OFFSET($O$15,0,$DN257,$B$8,1),OFFSET($M$15,0,0,$B$8,1))=FU$13), 1*(_xlfn._xlws.FILTER(OFFSET($O$15,0,$DO257,$B$8,1),OFFSET($M$15,0,0,$B$8,1))=FU$14))   /   SUM(OFFSET($BO$15,0,0,$B$14,1)) + $B$18/($B$19*$B$19*($DN257&lt;&gt;$DO257) + $B$19*($DN257=$DO257))</f>
        <v>3.7037037037037035E-4</v>
      </c>
      <c r="FV257" s="10" cm="1">
        <f t="array" aca="1" ref="FV257" ca="1">(1-$B$18)*SUMPRODUCT(OFFSET($BO$15,0,0,$B$14,1), 1*(_xlfn._xlws.FILTER(OFFSET($O$15,0,$DN257,$B$8,1),OFFSET($M$15,0,0,$B$8,1))=FV$13), 1*(_xlfn._xlws.FILTER(OFFSET($O$15,0,$DO257,$B$8,1),OFFSET($M$15,0,0,$B$8,1))=FV$14))   /   SUM(OFFSET($BO$15,0,0,$B$14,1)) + $B$18/($B$19*$B$19*($DN257&lt;&gt;$DO257) + $B$19*($DN257=$DO257))</f>
        <v>3.7037037037037035E-4</v>
      </c>
      <c r="FW257" s="10" cm="1">
        <f t="array" aca="1" ref="FW257" ca="1">(1-$B$18)*SUMPRODUCT(OFFSET($BO$15,0,0,$B$14,1), 1*(_xlfn._xlws.FILTER(OFFSET($O$15,0,$DN257,$B$8,1),OFFSET($M$15,0,0,$B$8,1))=FW$13), 1*(_xlfn._xlws.FILTER(OFFSET($O$15,0,$DO257,$B$8,1),OFFSET($M$15,0,0,$B$8,1))=FW$14))   /   SUM(OFFSET($BO$15,0,0,$B$14,1)) + $B$18/($B$19*$B$19*($DN257&lt;&gt;$DO257) + $B$19*($DN257=$DO257))</f>
        <v>3.7037037037037035E-4</v>
      </c>
      <c r="FX257" s="10" cm="1">
        <f t="array" aca="1" ref="FX257" ca="1">(1-$B$18)*SUMPRODUCT(OFFSET($BO$15,0,0,$B$14,1), 1*(_xlfn._xlws.FILTER(OFFSET($O$15,0,$DN257,$B$8,1),OFFSET($M$15,0,0,$B$8,1))=FX$13), 1*(_xlfn._xlws.FILTER(OFFSET($O$15,0,$DO257,$B$8,1),OFFSET($M$15,0,0,$B$8,1))=FX$14))   /   SUM(OFFSET($BO$15,0,0,$B$14,1)) + $B$18/($B$19*$B$19*($DN257&lt;&gt;$DO257) + $B$19*($DN257=$DO257))</f>
        <v>3.7037037037037035E-4</v>
      </c>
      <c r="FY257" s="10" cm="1">
        <f t="array" aca="1" ref="FY257" ca="1">(1-$B$18)*SUMPRODUCT(OFFSET($BO$15,0,0,$B$14,1), 1*(_xlfn._xlws.FILTER(OFFSET($O$15,0,$DN257,$B$8,1),OFFSET($M$15,0,0,$B$8,1))=FY$13), 1*(_xlfn._xlws.FILTER(OFFSET($O$15,0,$DO257,$B$8,1),OFFSET($M$15,0,0,$B$8,1))=FY$14))   /   SUM(OFFSET($BO$15,0,0,$B$14,1)) + $B$18/($B$19*$B$19*($DN257&lt;&gt;$DO257) + $B$19*($DN257=$DO257))</f>
        <v>3.7037037037037035E-4</v>
      </c>
      <c r="FZ257" s="10" cm="1">
        <f t="array" aca="1" ref="FZ257" ca="1">(1-$B$18)*SUMPRODUCT(OFFSET($BO$15,0,0,$B$14,1), 1*(_xlfn._xlws.FILTER(OFFSET($O$15,0,$DN257,$B$8,1),OFFSET($M$15,0,0,$B$8,1))=FZ$13), 1*(_xlfn._xlws.FILTER(OFFSET($O$15,0,$DO257,$B$8,1),OFFSET($M$15,0,0,$B$8,1))=FZ$14))   /   SUM(OFFSET($BO$15,0,0,$B$14,1)) + $B$18/($B$19*$B$19*($DN257&lt;&gt;$DO257) + $B$19*($DN257=$DO257))</f>
        <v>3.7037037037037035E-4</v>
      </c>
      <c r="GA257" s="10" cm="1">
        <f t="array" aca="1" ref="GA257" ca="1">(1-$B$18)*SUMPRODUCT(OFFSET($BO$15,0,0,$B$14,1), 1*(_xlfn._xlws.FILTER(OFFSET($O$15,0,$DN257,$B$8,1),OFFSET($M$15,0,0,$B$8,1))=GA$13), 1*(_xlfn._xlws.FILTER(OFFSET($O$15,0,$DO257,$B$8,1),OFFSET($M$15,0,0,$B$8,1))=GA$14))   /   SUM(OFFSET($BO$15,0,0,$B$14,1)) + $B$18/($B$19*$B$19*($DN257&lt;&gt;$DO257) + $B$19*($DN257=$DO257))</f>
        <v>3.7037037037037035E-4</v>
      </c>
    </row>
    <row r="258" spans="118:183" x14ac:dyDescent="0.2">
      <c r="DN258" cm="1">
        <f t="array" aca="1" ref="DN258" ca="1">INDEX(_xlfn.ANCHORARRAY($CP$15), 1 + INT((ROWS($DO$15:$DO258) - 1) / ROWS(_xlfn.ANCHORARRAY($CP$15))))</f>
        <v>13</v>
      </c>
      <c r="DO258" cm="1">
        <f t="array" aca="1" ref="DO258" ca="1">INDEX(_xlfn.ANCHORARRAY($CP$15),1+MOD(ROWS($DO$15:$DO258)-1,ROWS(_xlfn.ANCHORARRAY($CP$15))))</f>
        <v>18</v>
      </c>
      <c r="DP258" s="10" cm="1">
        <f t="array" aca="1" ref="DP258" ca="1">(1-$B$18)*SUMPRODUCT(OFFSET($BO$15,0,0,$B$14,1), 1*(_xlfn._xlws.FILTER(OFFSET($O$15,0,$DN258,$B$8,1),OFFSET($M$15,0,0,$B$8,1))=DP$13), 1*(_xlfn._xlws.FILTER(OFFSET($O$15,0,$DO258,$B$8,1),OFFSET($M$15,0,0,$B$8,1))=DP$14))   /   SUM(OFFSET($BO$15,0,0,$B$14,1)) + $B$18/($B$19*$B$19*($DN258&lt;&gt;$DO258) + $B$19*($DN258=$DO258))</f>
        <v>3.7037037037037035E-4</v>
      </c>
      <c r="DQ258" s="10" cm="1">
        <f t="array" aca="1" ref="DQ258" ca="1">(1-$B$18)*SUMPRODUCT(OFFSET($BO$15,0,0,$B$14,1), 1*(_xlfn._xlws.FILTER(OFFSET($O$15,0,$DN258,$B$8,1),OFFSET($M$15,0,0,$B$8,1))=DQ$13), 1*(_xlfn._xlws.FILTER(OFFSET($O$15,0,$DO258,$B$8,1),OFFSET($M$15,0,0,$B$8,1))=DQ$14))   /   SUM(OFFSET($BO$15,0,0,$B$14,1)) + $B$18/($B$19*$B$19*($DN258&lt;&gt;$DO258) + $B$19*($DN258=$DO258))</f>
        <v>3.7037037037037035E-4</v>
      </c>
      <c r="DR258" s="10" cm="1">
        <f t="array" aca="1" ref="DR258" ca="1">(1-$B$18)*SUMPRODUCT(OFFSET($BO$15,0,0,$B$14,1), 1*(_xlfn._xlws.FILTER(OFFSET($O$15,0,$DN258,$B$8,1),OFFSET($M$15,0,0,$B$8,1))=DR$13), 1*(_xlfn._xlws.FILTER(OFFSET($O$15,0,$DO258,$B$8,1),OFFSET($M$15,0,0,$B$8,1))=DR$14))   /   SUM(OFFSET($BO$15,0,0,$B$14,1)) + $B$18/($B$19*$B$19*($DN258&lt;&gt;$DO258) + $B$19*($DN258=$DO258))</f>
        <v>3.7037037037037035E-4</v>
      </c>
      <c r="DS258" s="10" cm="1">
        <f t="array" aca="1" ref="DS258" ca="1">(1-$B$18)*SUMPRODUCT(OFFSET($BO$15,0,0,$B$14,1), 1*(_xlfn._xlws.FILTER(OFFSET($O$15,0,$DN258,$B$8,1),OFFSET($M$15,0,0,$B$8,1))=DS$13), 1*(_xlfn._xlws.FILTER(OFFSET($O$15,0,$DO258,$B$8,1),OFFSET($M$15,0,0,$B$8,1))=DS$14))   /   SUM(OFFSET($BO$15,0,0,$B$14,1)) + $B$18/($B$19*$B$19*($DN258&lt;&gt;$DO258) + $B$19*($DN258=$DO258))</f>
        <v>3.7037037037037035E-4</v>
      </c>
      <c r="DT258" s="10" cm="1">
        <f t="array" aca="1" ref="DT258" ca="1">(1-$B$18)*SUMPRODUCT(OFFSET($BO$15,0,0,$B$14,1), 1*(_xlfn._xlws.FILTER(OFFSET($O$15,0,$DN258,$B$8,1),OFFSET($M$15,0,0,$B$8,1))=DT$13), 1*(_xlfn._xlws.FILTER(OFFSET($O$15,0,$DO258,$B$8,1),OFFSET($M$15,0,0,$B$8,1))=DT$14))   /   SUM(OFFSET($BO$15,0,0,$B$14,1)) + $B$18/($B$19*$B$19*($DN258&lt;&gt;$DO258) + $B$19*($DN258=$DO258))</f>
        <v>3.7037037037037035E-4</v>
      </c>
      <c r="DU258" s="10" cm="1">
        <f t="array" aca="1" ref="DU258" ca="1">(1-$B$18)*SUMPRODUCT(OFFSET($BO$15,0,0,$B$14,1), 1*(_xlfn._xlws.FILTER(OFFSET($O$15,0,$DN258,$B$8,1),OFFSET($M$15,0,0,$B$8,1))=DU$13), 1*(_xlfn._xlws.FILTER(OFFSET($O$15,0,$DO258,$B$8,1),OFFSET($M$15,0,0,$B$8,1))=DU$14))   /   SUM(OFFSET($BO$15,0,0,$B$14,1)) + $B$18/($B$19*$B$19*($DN258&lt;&gt;$DO258) + $B$19*($DN258=$DO258))</f>
        <v>3.7037037037037035E-4</v>
      </c>
      <c r="DV258" s="10" cm="1">
        <f t="array" aca="1" ref="DV258" ca="1">(1-$B$18)*SUMPRODUCT(OFFSET($BO$15,0,0,$B$14,1), 1*(_xlfn._xlws.FILTER(OFFSET($O$15,0,$DN258,$B$8,1),OFFSET($M$15,0,0,$B$8,1))=DV$13), 1*(_xlfn._xlws.FILTER(OFFSET($O$15,0,$DO258,$B$8,1),OFFSET($M$15,0,0,$B$8,1))=DV$14))   /   SUM(OFFSET($BO$15,0,0,$B$14,1)) + $B$18/($B$19*$B$19*($DN258&lt;&gt;$DO258) + $B$19*($DN258=$DO258))</f>
        <v>3.7037037037037035E-4</v>
      </c>
      <c r="DW258" s="10" cm="1">
        <f t="array" aca="1" ref="DW258" ca="1">(1-$B$18)*SUMPRODUCT(OFFSET($BO$15,0,0,$B$14,1), 1*(_xlfn._xlws.FILTER(OFFSET($O$15,0,$DN258,$B$8,1),OFFSET($M$15,0,0,$B$8,1))=DW$13), 1*(_xlfn._xlws.FILTER(OFFSET($O$15,0,$DO258,$B$8,1),OFFSET($M$15,0,0,$B$8,1))=DW$14))   /   SUM(OFFSET($BO$15,0,0,$B$14,1)) + $B$18/($B$19*$B$19*($DN258&lt;&gt;$DO258) + $B$19*($DN258=$DO258))</f>
        <v>3.7037037037037035E-4</v>
      </c>
      <c r="DX258" s="10" cm="1">
        <f t="array" aca="1" ref="DX258" ca="1">(1-$B$18)*SUMPRODUCT(OFFSET($BO$15,0,0,$B$14,1), 1*(_xlfn._xlws.FILTER(OFFSET($O$15,0,$DN258,$B$8,1),OFFSET($M$15,0,0,$B$8,1))=DX$13), 1*(_xlfn._xlws.FILTER(OFFSET($O$15,0,$DO258,$B$8,1),OFFSET($M$15,0,0,$B$8,1))=DX$14))   /   SUM(OFFSET($BO$15,0,0,$B$14,1)) + $B$18/($B$19*$B$19*($DN258&lt;&gt;$DO258) + $B$19*($DN258=$DO258))</f>
        <v>3.7037037037037035E-4</v>
      </c>
      <c r="DY258" s="10" cm="1">
        <f t="array" aca="1" ref="DY258" ca="1">(1-$B$18)*SUMPRODUCT(OFFSET($BO$15,0,0,$B$14,1), 1*(_xlfn._xlws.FILTER(OFFSET($O$15,0,$DN258,$B$8,1),OFFSET($M$15,0,0,$B$8,1))=DY$13), 1*(_xlfn._xlws.FILTER(OFFSET($O$15,0,$DO258,$B$8,1),OFFSET($M$15,0,0,$B$8,1))=DY$14))   /   SUM(OFFSET($BO$15,0,0,$B$14,1)) + $B$18/($B$19*$B$19*($DN258&lt;&gt;$DO258) + $B$19*($DN258=$DO258))</f>
        <v>3.7037037037037035E-4</v>
      </c>
      <c r="DZ258" s="10" cm="1">
        <f t="array" aca="1" ref="DZ258" ca="1">(1-$B$18)*SUMPRODUCT(OFFSET($BO$15,0,0,$B$14,1), 1*(_xlfn._xlws.FILTER(OFFSET($O$15,0,$DN258,$B$8,1),OFFSET($M$15,0,0,$B$8,1))=DZ$13), 1*(_xlfn._xlws.FILTER(OFFSET($O$15,0,$DO258,$B$8,1),OFFSET($M$15,0,0,$B$8,1))=DZ$14))   /   SUM(OFFSET($BO$15,0,0,$B$14,1)) + $B$18/($B$19*$B$19*($DN258&lt;&gt;$DO258) + $B$19*($DN258=$DO258))</f>
        <v>3.7037037037037035E-4</v>
      </c>
      <c r="EA258" s="10" cm="1">
        <f t="array" aca="1" ref="EA258" ca="1">(1-$B$18)*SUMPRODUCT(OFFSET($BO$15,0,0,$B$14,1), 1*(_xlfn._xlws.FILTER(OFFSET($O$15,0,$DN258,$B$8,1),OFFSET($M$15,0,0,$B$8,1))=EA$13), 1*(_xlfn._xlws.FILTER(OFFSET($O$15,0,$DO258,$B$8,1),OFFSET($M$15,0,0,$B$8,1))=EA$14))   /   SUM(OFFSET($BO$15,0,0,$B$14,1)) + $B$18/($B$19*$B$19*($DN258&lt;&gt;$DO258) + $B$19*($DN258=$DO258))</f>
        <v>0.97037037037037033</v>
      </c>
      <c r="EB258" s="10" cm="1">
        <f t="array" aca="1" ref="EB258" ca="1">(1-$B$18)*SUMPRODUCT(OFFSET($BO$15,0,0,$B$14,1), 1*(_xlfn._xlws.FILTER(OFFSET($O$15,0,$DN258,$B$8,1),OFFSET($M$15,0,0,$B$8,1))=EB$13), 1*(_xlfn._xlws.FILTER(OFFSET($O$15,0,$DO258,$B$8,1),OFFSET($M$15,0,0,$B$8,1))=EB$14))   /   SUM(OFFSET($BO$15,0,0,$B$14,1)) + $B$18/($B$19*$B$19*($DN258&lt;&gt;$DO258) + $B$19*($DN258=$DO258))</f>
        <v>3.7037037037037035E-4</v>
      </c>
      <c r="EC258" s="10" cm="1">
        <f t="array" aca="1" ref="EC258" ca="1">(1-$B$18)*SUMPRODUCT(OFFSET($BO$15,0,0,$B$14,1), 1*(_xlfn._xlws.FILTER(OFFSET($O$15,0,$DN258,$B$8,1),OFFSET($M$15,0,0,$B$8,1))=EC$13), 1*(_xlfn._xlws.FILTER(OFFSET($O$15,0,$DO258,$B$8,1),OFFSET($M$15,0,0,$B$8,1))=EC$14))   /   SUM(OFFSET($BO$15,0,0,$B$14,1)) + $B$18/($B$19*$B$19*($DN258&lt;&gt;$DO258) + $B$19*($DN258=$DO258))</f>
        <v>3.7037037037037035E-4</v>
      </c>
      <c r="ED258" s="10" cm="1">
        <f t="array" aca="1" ref="ED258" ca="1">(1-$B$18)*SUMPRODUCT(OFFSET($BO$15,0,0,$B$14,1), 1*(_xlfn._xlws.FILTER(OFFSET($O$15,0,$DN258,$B$8,1),OFFSET($M$15,0,0,$B$8,1))=ED$13), 1*(_xlfn._xlws.FILTER(OFFSET($O$15,0,$DO258,$B$8,1),OFFSET($M$15,0,0,$B$8,1))=ED$14))   /   SUM(OFFSET($BO$15,0,0,$B$14,1)) + $B$18/($B$19*$B$19*($DN258&lt;&gt;$DO258) + $B$19*($DN258=$DO258))</f>
        <v>3.7037037037037035E-4</v>
      </c>
      <c r="EE258" s="10" cm="1">
        <f t="array" aca="1" ref="EE258" ca="1">(1-$B$18)*SUMPRODUCT(OFFSET($BO$15,0,0,$B$14,1), 1*(_xlfn._xlws.FILTER(OFFSET($O$15,0,$DN258,$B$8,1),OFFSET($M$15,0,0,$B$8,1))=EE$13), 1*(_xlfn._xlws.FILTER(OFFSET($O$15,0,$DO258,$B$8,1),OFFSET($M$15,0,0,$B$8,1))=EE$14))   /   SUM(OFFSET($BO$15,0,0,$B$14,1)) + $B$18/($B$19*$B$19*($DN258&lt;&gt;$DO258) + $B$19*($DN258=$DO258))</f>
        <v>3.7037037037037035E-4</v>
      </c>
      <c r="EF258" s="10" cm="1">
        <f t="array" aca="1" ref="EF258" ca="1">(1-$B$18)*SUMPRODUCT(OFFSET($BO$15,0,0,$B$14,1), 1*(_xlfn._xlws.FILTER(OFFSET($O$15,0,$DN258,$B$8,1),OFFSET($M$15,0,0,$B$8,1))=EF$13), 1*(_xlfn._xlws.FILTER(OFFSET($O$15,0,$DO258,$B$8,1),OFFSET($M$15,0,0,$B$8,1))=EF$14))   /   SUM(OFFSET($BO$15,0,0,$B$14,1)) + $B$18/($B$19*$B$19*($DN258&lt;&gt;$DO258) + $B$19*($DN258=$DO258))</f>
        <v>3.7037037037037035E-4</v>
      </c>
      <c r="EG258" s="10" cm="1">
        <f t="array" aca="1" ref="EG258" ca="1">(1-$B$18)*SUMPRODUCT(OFFSET($BO$15,0,0,$B$14,1), 1*(_xlfn._xlws.FILTER(OFFSET($O$15,0,$DN258,$B$8,1),OFFSET($M$15,0,0,$B$8,1))=EG$13), 1*(_xlfn._xlws.FILTER(OFFSET($O$15,0,$DO258,$B$8,1),OFFSET($M$15,0,0,$B$8,1))=EG$14))   /   SUM(OFFSET($BO$15,0,0,$B$14,1)) + $B$18/($B$19*$B$19*($DN258&lt;&gt;$DO258) + $B$19*($DN258=$DO258))</f>
        <v>3.7037037037037035E-4</v>
      </c>
      <c r="EH258" s="10" cm="1">
        <f t="array" aca="1" ref="EH258" ca="1">(1-$B$18)*SUMPRODUCT(OFFSET($BO$15,0,0,$B$14,1), 1*(_xlfn._xlws.FILTER(OFFSET($O$15,0,$DN258,$B$8,1),OFFSET($M$15,0,0,$B$8,1))=EH$13), 1*(_xlfn._xlws.FILTER(OFFSET($O$15,0,$DO258,$B$8,1),OFFSET($M$15,0,0,$B$8,1))=EH$14))   /   SUM(OFFSET($BO$15,0,0,$B$14,1)) + $B$18/($B$19*$B$19*($DN258&lt;&gt;$DO258) + $B$19*($DN258=$DO258))</f>
        <v>3.7037037037037035E-4</v>
      </c>
      <c r="EI258" s="10" cm="1">
        <f t="array" aca="1" ref="EI258" ca="1">(1-$B$18)*SUMPRODUCT(OFFSET($BO$15,0,0,$B$14,1), 1*(_xlfn._xlws.FILTER(OFFSET($O$15,0,$DN258,$B$8,1),OFFSET($M$15,0,0,$B$8,1))=EI$13), 1*(_xlfn._xlws.FILTER(OFFSET($O$15,0,$DO258,$B$8,1),OFFSET($M$15,0,0,$B$8,1))=EI$14))   /   SUM(OFFSET($BO$15,0,0,$B$14,1)) + $B$18/($B$19*$B$19*($DN258&lt;&gt;$DO258) + $B$19*($DN258=$DO258))</f>
        <v>3.7037037037037035E-4</v>
      </c>
      <c r="EJ258" s="10" cm="1">
        <f t="array" aca="1" ref="EJ258" ca="1">(1-$B$18)*SUMPRODUCT(OFFSET($BO$15,0,0,$B$14,1), 1*(_xlfn._xlws.FILTER(OFFSET($O$15,0,$DN258,$B$8,1),OFFSET($M$15,0,0,$B$8,1))=EJ$13), 1*(_xlfn._xlws.FILTER(OFFSET($O$15,0,$DO258,$B$8,1),OFFSET($M$15,0,0,$B$8,1))=EJ$14))   /   SUM(OFFSET($BO$15,0,0,$B$14,1)) + $B$18/($B$19*$B$19*($DN258&lt;&gt;$DO258) + $B$19*($DN258=$DO258))</f>
        <v>3.7037037037037035E-4</v>
      </c>
      <c r="EK258" s="10" cm="1">
        <f t="array" aca="1" ref="EK258" ca="1">(1-$B$18)*SUMPRODUCT(OFFSET($BO$15,0,0,$B$14,1), 1*(_xlfn._xlws.FILTER(OFFSET($O$15,0,$DN258,$B$8,1),OFFSET($M$15,0,0,$B$8,1))=EK$13), 1*(_xlfn._xlws.FILTER(OFFSET($O$15,0,$DO258,$B$8,1),OFFSET($M$15,0,0,$B$8,1))=EK$14))   /   SUM(OFFSET($BO$15,0,0,$B$14,1)) + $B$18/($B$19*$B$19*($DN258&lt;&gt;$DO258) + $B$19*($DN258=$DO258))</f>
        <v>3.7037037037037035E-4</v>
      </c>
      <c r="EL258" s="10" cm="1">
        <f t="array" aca="1" ref="EL258" ca="1">(1-$B$18)*SUMPRODUCT(OFFSET($BO$15,0,0,$B$14,1), 1*(_xlfn._xlws.FILTER(OFFSET($O$15,0,$DN258,$B$8,1),OFFSET($M$15,0,0,$B$8,1))=EL$13), 1*(_xlfn._xlws.FILTER(OFFSET($O$15,0,$DO258,$B$8,1),OFFSET($M$15,0,0,$B$8,1))=EL$14))   /   SUM(OFFSET($BO$15,0,0,$B$14,1)) + $B$18/($B$19*$B$19*($DN258&lt;&gt;$DO258) + $B$19*($DN258=$DO258))</f>
        <v>3.7037037037037035E-4</v>
      </c>
      <c r="EM258" s="10" cm="1">
        <f t="array" aca="1" ref="EM258" ca="1">(1-$B$18)*SUMPRODUCT(OFFSET($BO$15,0,0,$B$14,1), 1*(_xlfn._xlws.FILTER(OFFSET($O$15,0,$DN258,$B$8,1),OFFSET($M$15,0,0,$B$8,1))=EM$13), 1*(_xlfn._xlws.FILTER(OFFSET($O$15,0,$DO258,$B$8,1),OFFSET($M$15,0,0,$B$8,1))=EM$14))   /   SUM(OFFSET($BO$15,0,0,$B$14,1)) + $B$18/($B$19*$B$19*($DN258&lt;&gt;$DO258) + $B$19*($DN258=$DO258))</f>
        <v>3.7037037037037035E-4</v>
      </c>
      <c r="EN258" s="10" cm="1">
        <f t="array" aca="1" ref="EN258" ca="1">(1-$B$18)*SUMPRODUCT(OFFSET($BO$15,0,0,$B$14,1), 1*(_xlfn._xlws.FILTER(OFFSET($O$15,0,$DN258,$B$8,1),OFFSET($M$15,0,0,$B$8,1))=EN$13), 1*(_xlfn._xlws.FILTER(OFFSET($O$15,0,$DO258,$B$8,1),OFFSET($M$15,0,0,$B$8,1))=EN$14))   /   SUM(OFFSET($BO$15,0,0,$B$14,1)) + $B$18/($B$19*$B$19*($DN258&lt;&gt;$DO258) + $B$19*($DN258=$DO258))</f>
        <v>3.7037037037037035E-4</v>
      </c>
      <c r="EO258" s="10" cm="1">
        <f t="array" aca="1" ref="EO258" ca="1">(1-$B$18)*SUMPRODUCT(OFFSET($BO$15,0,0,$B$14,1), 1*(_xlfn._xlws.FILTER(OFFSET($O$15,0,$DN258,$B$8,1),OFFSET($M$15,0,0,$B$8,1))=EO$13), 1*(_xlfn._xlws.FILTER(OFFSET($O$15,0,$DO258,$B$8,1),OFFSET($M$15,0,0,$B$8,1))=EO$14))   /   SUM(OFFSET($BO$15,0,0,$B$14,1)) + $B$18/($B$19*$B$19*($DN258&lt;&gt;$DO258) + $B$19*($DN258=$DO258))</f>
        <v>3.7037037037037035E-4</v>
      </c>
      <c r="EP258" s="10" cm="1">
        <f t="array" aca="1" ref="EP258" ca="1">(1-$B$18)*SUMPRODUCT(OFFSET($BO$15,0,0,$B$14,1), 1*(_xlfn._xlws.FILTER(OFFSET($O$15,0,$DN258,$B$8,1),OFFSET($M$15,0,0,$B$8,1))=EP$13), 1*(_xlfn._xlws.FILTER(OFFSET($O$15,0,$DO258,$B$8,1),OFFSET($M$15,0,0,$B$8,1))=EP$14))   /   SUM(OFFSET($BO$15,0,0,$B$14,1)) + $B$18/($B$19*$B$19*($DN258&lt;&gt;$DO258) + $B$19*($DN258=$DO258))</f>
        <v>3.7037037037037035E-4</v>
      </c>
      <c r="EQ258" s="10" cm="1">
        <f t="array" aca="1" ref="EQ258" ca="1">(1-$B$18)*SUMPRODUCT(OFFSET($BO$15,0,0,$B$14,1), 1*(_xlfn._xlws.FILTER(OFFSET($O$15,0,$DN258,$B$8,1),OFFSET($M$15,0,0,$B$8,1))=EQ$13), 1*(_xlfn._xlws.FILTER(OFFSET($O$15,0,$DO258,$B$8,1),OFFSET($M$15,0,0,$B$8,1))=EQ$14))   /   SUM(OFFSET($BO$15,0,0,$B$14,1)) + $B$18/($B$19*$B$19*($DN258&lt;&gt;$DO258) + $B$19*($DN258=$DO258))</f>
        <v>3.7037037037037035E-4</v>
      </c>
      <c r="ER258" s="10" cm="1">
        <f t="array" aca="1" ref="ER258" ca="1">(1-$B$18)*SUMPRODUCT(OFFSET($BO$15,0,0,$B$14,1), 1*(_xlfn._xlws.FILTER(OFFSET($O$15,0,$DN258,$B$8,1),OFFSET($M$15,0,0,$B$8,1))=ER$13), 1*(_xlfn._xlws.FILTER(OFFSET($O$15,0,$DO258,$B$8,1),OFFSET($M$15,0,0,$B$8,1))=ER$14))   /   SUM(OFFSET($BO$15,0,0,$B$14,1)) + $B$18/($B$19*$B$19*($DN258&lt;&gt;$DO258) + $B$19*($DN258=$DO258))</f>
        <v>3.7037037037037035E-4</v>
      </c>
      <c r="ES258" s="10" cm="1">
        <f t="array" aca="1" ref="ES258" ca="1">(1-$B$18)*SUMPRODUCT(OFFSET($BO$15,0,0,$B$14,1), 1*(_xlfn._xlws.FILTER(OFFSET($O$15,0,$DN258,$B$8,1),OFFSET($M$15,0,0,$B$8,1))=ES$13), 1*(_xlfn._xlws.FILTER(OFFSET($O$15,0,$DO258,$B$8,1),OFFSET($M$15,0,0,$B$8,1))=ES$14))   /   SUM(OFFSET($BO$15,0,0,$B$14,1)) + $B$18/($B$19*$B$19*($DN258&lt;&gt;$DO258) + $B$19*($DN258=$DO258))</f>
        <v>3.7037037037037035E-4</v>
      </c>
      <c r="ET258" s="10" cm="1">
        <f t="array" aca="1" ref="ET258" ca="1">(1-$B$18)*SUMPRODUCT(OFFSET($BO$15,0,0,$B$14,1), 1*(_xlfn._xlws.FILTER(OFFSET($O$15,0,$DN258,$B$8,1),OFFSET($M$15,0,0,$B$8,1))=ET$13), 1*(_xlfn._xlws.FILTER(OFFSET($O$15,0,$DO258,$B$8,1),OFFSET($M$15,0,0,$B$8,1))=ET$14))   /   SUM(OFFSET($BO$15,0,0,$B$14,1)) + $B$18/($B$19*$B$19*($DN258&lt;&gt;$DO258) + $B$19*($DN258=$DO258))</f>
        <v>3.7037037037037035E-4</v>
      </c>
      <c r="EU258" s="10" cm="1">
        <f t="array" aca="1" ref="EU258" ca="1">(1-$B$18)*SUMPRODUCT(OFFSET($BO$15,0,0,$B$14,1), 1*(_xlfn._xlws.FILTER(OFFSET($O$15,0,$DN258,$B$8,1),OFFSET($M$15,0,0,$B$8,1))=EU$13), 1*(_xlfn._xlws.FILTER(OFFSET($O$15,0,$DO258,$B$8,1),OFFSET($M$15,0,0,$B$8,1))=EU$14))   /   SUM(OFFSET($BO$15,0,0,$B$14,1)) + $B$18/($B$19*$B$19*($DN258&lt;&gt;$DO258) + $B$19*($DN258=$DO258))</f>
        <v>3.7037037037037035E-4</v>
      </c>
      <c r="EV258" s="10" cm="1">
        <f t="array" aca="1" ref="EV258" ca="1">(1-$B$18)*SUMPRODUCT(OFFSET($BO$15,0,0,$B$14,1), 1*(_xlfn._xlws.FILTER(OFFSET($O$15,0,$DN258,$B$8,1),OFFSET($M$15,0,0,$B$8,1))=EV$13), 1*(_xlfn._xlws.FILTER(OFFSET($O$15,0,$DO258,$B$8,1),OFFSET($M$15,0,0,$B$8,1))=EV$14))   /   SUM(OFFSET($BO$15,0,0,$B$14,1)) + $B$18/($B$19*$B$19*($DN258&lt;&gt;$DO258) + $B$19*($DN258=$DO258))</f>
        <v>3.7037037037037035E-4</v>
      </c>
      <c r="EW258" s="10" cm="1">
        <f t="array" aca="1" ref="EW258" ca="1">(1-$B$18)*SUMPRODUCT(OFFSET($BO$15,0,0,$B$14,1), 1*(_xlfn._xlws.FILTER(OFFSET($O$15,0,$DN258,$B$8,1),OFFSET($M$15,0,0,$B$8,1))=EW$13), 1*(_xlfn._xlws.FILTER(OFFSET($O$15,0,$DO258,$B$8,1),OFFSET($M$15,0,0,$B$8,1))=EW$14))   /   SUM(OFFSET($BO$15,0,0,$B$14,1)) + $B$18/($B$19*$B$19*($DN258&lt;&gt;$DO258) + $B$19*($DN258=$DO258))</f>
        <v>3.7037037037037035E-4</v>
      </c>
      <c r="EX258" s="10" cm="1">
        <f t="array" aca="1" ref="EX258" ca="1">(1-$B$18)*SUMPRODUCT(OFFSET($BO$15,0,0,$B$14,1), 1*(_xlfn._xlws.FILTER(OFFSET($O$15,0,$DN258,$B$8,1),OFFSET($M$15,0,0,$B$8,1))=EX$13), 1*(_xlfn._xlws.FILTER(OFFSET($O$15,0,$DO258,$B$8,1),OFFSET($M$15,0,0,$B$8,1))=EX$14))   /   SUM(OFFSET($BO$15,0,0,$B$14,1)) + $B$18/($B$19*$B$19*($DN258&lt;&gt;$DO258) + $B$19*($DN258=$DO258))</f>
        <v>3.7037037037037035E-4</v>
      </c>
      <c r="EY258" s="10" cm="1">
        <f t="array" aca="1" ref="EY258" ca="1">(1-$B$18)*SUMPRODUCT(OFFSET($BO$15,0,0,$B$14,1), 1*(_xlfn._xlws.FILTER(OFFSET($O$15,0,$DN258,$B$8,1),OFFSET($M$15,0,0,$B$8,1))=EY$13), 1*(_xlfn._xlws.FILTER(OFFSET($O$15,0,$DO258,$B$8,1),OFFSET($M$15,0,0,$B$8,1))=EY$14))   /   SUM(OFFSET($BO$15,0,0,$B$14,1)) + $B$18/($B$19*$B$19*($DN258&lt;&gt;$DO258) + $B$19*($DN258=$DO258))</f>
        <v>3.7037037037037035E-4</v>
      </c>
      <c r="EZ258" s="10" cm="1">
        <f t="array" aca="1" ref="EZ258" ca="1">(1-$B$18)*SUMPRODUCT(OFFSET($BO$15,0,0,$B$14,1), 1*(_xlfn._xlws.FILTER(OFFSET($O$15,0,$DN258,$B$8,1),OFFSET($M$15,0,0,$B$8,1))=EZ$13), 1*(_xlfn._xlws.FILTER(OFFSET($O$15,0,$DO258,$B$8,1),OFFSET($M$15,0,0,$B$8,1))=EZ$14))   /   SUM(OFFSET($BO$15,0,0,$B$14,1)) + $B$18/($B$19*$B$19*($DN258&lt;&gt;$DO258) + $B$19*($DN258=$DO258))</f>
        <v>3.7037037037037035E-4</v>
      </c>
      <c r="FA258" s="10" cm="1">
        <f t="array" aca="1" ref="FA258" ca="1">(1-$B$18)*SUMPRODUCT(OFFSET($BO$15,0,0,$B$14,1), 1*(_xlfn._xlws.FILTER(OFFSET($O$15,0,$DN258,$B$8,1),OFFSET($M$15,0,0,$B$8,1))=FA$13), 1*(_xlfn._xlws.FILTER(OFFSET($O$15,0,$DO258,$B$8,1),OFFSET($M$15,0,0,$B$8,1))=FA$14))   /   SUM(OFFSET($BO$15,0,0,$B$14,1)) + $B$18/($B$19*$B$19*($DN258&lt;&gt;$DO258) + $B$19*($DN258=$DO258))</f>
        <v>3.7037037037037035E-4</v>
      </c>
      <c r="FB258" s="10" cm="1">
        <f t="array" aca="1" ref="FB258" ca="1">(1-$B$18)*SUMPRODUCT(OFFSET($BO$15,0,0,$B$14,1), 1*(_xlfn._xlws.FILTER(OFFSET($O$15,0,$DN258,$B$8,1),OFFSET($M$15,0,0,$B$8,1))=FB$13), 1*(_xlfn._xlws.FILTER(OFFSET($O$15,0,$DO258,$B$8,1),OFFSET($M$15,0,0,$B$8,1))=FB$14))   /   SUM(OFFSET($BO$15,0,0,$B$14,1)) + $B$18/($B$19*$B$19*($DN258&lt;&gt;$DO258) + $B$19*($DN258=$DO258))</f>
        <v>3.7037037037037035E-4</v>
      </c>
      <c r="FC258" s="10" cm="1">
        <f t="array" aca="1" ref="FC258" ca="1">(1-$B$18)*SUMPRODUCT(OFFSET($BO$15,0,0,$B$14,1), 1*(_xlfn._xlws.FILTER(OFFSET($O$15,0,$DN258,$B$8,1),OFFSET($M$15,0,0,$B$8,1))=FC$13), 1*(_xlfn._xlws.FILTER(OFFSET($O$15,0,$DO258,$B$8,1),OFFSET($M$15,0,0,$B$8,1))=FC$14))   /   SUM(OFFSET($BO$15,0,0,$B$14,1)) + $B$18/($B$19*$B$19*($DN258&lt;&gt;$DO258) + $B$19*($DN258=$DO258))</f>
        <v>3.7037037037037035E-4</v>
      </c>
      <c r="FD258" s="10" cm="1">
        <f t="array" aca="1" ref="FD258" ca="1">(1-$B$18)*SUMPRODUCT(OFFSET($BO$15,0,0,$B$14,1), 1*(_xlfn._xlws.FILTER(OFFSET($O$15,0,$DN258,$B$8,1),OFFSET($M$15,0,0,$B$8,1))=FD$13), 1*(_xlfn._xlws.FILTER(OFFSET($O$15,0,$DO258,$B$8,1),OFFSET($M$15,0,0,$B$8,1))=FD$14))   /   SUM(OFFSET($BO$15,0,0,$B$14,1)) + $B$18/($B$19*$B$19*($DN258&lt;&gt;$DO258) + $B$19*($DN258=$DO258))</f>
        <v>3.7037037037037035E-4</v>
      </c>
      <c r="FE258" s="10" cm="1">
        <f t="array" aca="1" ref="FE258" ca="1">(1-$B$18)*SUMPRODUCT(OFFSET($BO$15,0,0,$B$14,1), 1*(_xlfn._xlws.FILTER(OFFSET($O$15,0,$DN258,$B$8,1),OFFSET($M$15,0,0,$B$8,1))=FE$13), 1*(_xlfn._xlws.FILTER(OFFSET($O$15,0,$DO258,$B$8,1),OFFSET($M$15,0,0,$B$8,1))=FE$14))   /   SUM(OFFSET($BO$15,0,0,$B$14,1)) + $B$18/($B$19*$B$19*($DN258&lt;&gt;$DO258) + $B$19*($DN258=$DO258))</f>
        <v>3.7037037037037035E-4</v>
      </c>
      <c r="FF258" s="10" cm="1">
        <f t="array" aca="1" ref="FF258" ca="1">(1-$B$18)*SUMPRODUCT(OFFSET($BO$15,0,0,$B$14,1), 1*(_xlfn._xlws.FILTER(OFFSET($O$15,0,$DN258,$B$8,1),OFFSET($M$15,0,0,$B$8,1))=FF$13), 1*(_xlfn._xlws.FILTER(OFFSET($O$15,0,$DO258,$B$8,1),OFFSET($M$15,0,0,$B$8,1))=FF$14))   /   SUM(OFFSET($BO$15,0,0,$B$14,1)) + $B$18/($B$19*$B$19*($DN258&lt;&gt;$DO258) + $B$19*($DN258=$DO258))</f>
        <v>3.7037037037037035E-4</v>
      </c>
      <c r="FG258" s="10" cm="1">
        <f t="array" aca="1" ref="FG258" ca="1">(1-$B$18)*SUMPRODUCT(OFFSET($BO$15,0,0,$B$14,1), 1*(_xlfn._xlws.FILTER(OFFSET($O$15,0,$DN258,$B$8,1),OFFSET($M$15,0,0,$B$8,1))=FG$13), 1*(_xlfn._xlws.FILTER(OFFSET($O$15,0,$DO258,$B$8,1),OFFSET($M$15,0,0,$B$8,1))=FG$14))   /   SUM(OFFSET($BO$15,0,0,$B$14,1)) + $B$18/($B$19*$B$19*($DN258&lt;&gt;$DO258) + $B$19*($DN258=$DO258))</f>
        <v>3.7037037037037035E-4</v>
      </c>
      <c r="FH258" s="10" cm="1">
        <f t="array" aca="1" ref="FH258" ca="1">(1-$B$18)*SUMPRODUCT(OFFSET($BO$15,0,0,$B$14,1), 1*(_xlfn._xlws.FILTER(OFFSET($O$15,0,$DN258,$B$8,1),OFFSET($M$15,0,0,$B$8,1))=FH$13), 1*(_xlfn._xlws.FILTER(OFFSET($O$15,0,$DO258,$B$8,1),OFFSET($M$15,0,0,$B$8,1))=FH$14))   /   SUM(OFFSET($BO$15,0,0,$B$14,1)) + $B$18/($B$19*$B$19*($DN258&lt;&gt;$DO258) + $B$19*($DN258=$DO258))</f>
        <v>3.7037037037037035E-4</v>
      </c>
      <c r="FI258" s="10" cm="1">
        <f t="array" aca="1" ref="FI258" ca="1">(1-$B$18)*SUMPRODUCT(OFFSET($BO$15,0,0,$B$14,1), 1*(_xlfn._xlws.FILTER(OFFSET($O$15,0,$DN258,$B$8,1),OFFSET($M$15,0,0,$B$8,1))=FI$13), 1*(_xlfn._xlws.FILTER(OFFSET($O$15,0,$DO258,$B$8,1),OFFSET($M$15,0,0,$B$8,1))=FI$14))   /   SUM(OFFSET($BO$15,0,0,$B$14,1)) + $B$18/($B$19*$B$19*($DN258&lt;&gt;$DO258) + $B$19*($DN258=$DO258))</f>
        <v>3.7037037037037035E-4</v>
      </c>
      <c r="FJ258" s="10" cm="1">
        <f t="array" aca="1" ref="FJ258" ca="1">(1-$B$18)*SUMPRODUCT(OFFSET($BO$15,0,0,$B$14,1), 1*(_xlfn._xlws.FILTER(OFFSET($O$15,0,$DN258,$B$8,1),OFFSET($M$15,0,0,$B$8,1))=FJ$13), 1*(_xlfn._xlws.FILTER(OFFSET($O$15,0,$DO258,$B$8,1),OFFSET($M$15,0,0,$B$8,1))=FJ$14))   /   SUM(OFFSET($BO$15,0,0,$B$14,1)) + $B$18/($B$19*$B$19*($DN258&lt;&gt;$DO258) + $B$19*($DN258=$DO258))</f>
        <v>3.7037037037037035E-4</v>
      </c>
      <c r="FK258" s="10" cm="1">
        <f t="array" aca="1" ref="FK258" ca="1">(1-$B$18)*SUMPRODUCT(OFFSET($BO$15,0,0,$B$14,1), 1*(_xlfn._xlws.FILTER(OFFSET($O$15,0,$DN258,$B$8,1),OFFSET($M$15,0,0,$B$8,1))=FK$13), 1*(_xlfn._xlws.FILTER(OFFSET($O$15,0,$DO258,$B$8,1),OFFSET($M$15,0,0,$B$8,1))=FK$14))   /   SUM(OFFSET($BO$15,0,0,$B$14,1)) + $B$18/($B$19*$B$19*($DN258&lt;&gt;$DO258) + $B$19*($DN258=$DO258))</f>
        <v>3.7037037037037035E-4</v>
      </c>
      <c r="FL258" s="10" cm="1">
        <f t="array" aca="1" ref="FL258" ca="1">(1-$B$18)*SUMPRODUCT(OFFSET($BO$15,0,0,$B$14,1), 1*(_xlfn._xlws.FILTER(OFFSET($O$15,0,$DN258,$B$8,1),OFFSET($M$15,0,0,$B$8,1))=FL$13), 1*(_xlfn._xlws.FILTER(OFFSET($O$15,0,$DO258,$B$8,1),OFFSET($M$15,0,0,$B$8,1))=FL$14))   /   SUM(OFFSET($BO$15,0,0,$B$14,1)) + $B$18/($B$19*$B$19*($DN258&lt;&gt;$DO258) + $B$19*($DN258=$DO258))</f>
        <v>3.7037037037037035E-4</v>
      </c>
      <c r="FM258" s="10" cm="1">
        <f t="array" aca="1" ref="FM258" ca="1">(1-$B$18)*SUMPRODUCT(OFFSET($BO$15,0,0,$B$14,1), 1*(_xlfn._xlws.FILTER(OFFSET($O$15,0,$DN258,$B$8,1),OFFSET($M$15,0,0,$B$8,1))=FM$13), 1*(_xlfn._xlws.FILTER(OFFSET($O$15,0,$DO258,$B$8,1),OFFSET($M$15,0,0,$B$8,1))=FM$14))   /   SUM(OFFSET($BO$15,0,0,$B$14,1)) + $B$18/($B$19*$B$19*($DN258&lt;&gt;$DO258) + $B$19*($DN258=$DO258))</f>
        <v>3.7037037037037035E-4</v>
      </c>
      <c r="FN258" s="10" cm="1">
        <f t="array" aca="1" ref="FN258" ca="1">(1-$B$18)*SUMPRODUCT(OFFSET($BO$15,0,0,$B$14,1), 1*(_xlfn._xlws.FILTER(OFFSET($O$15,0,$DN258,$B$8,1),OFFSET($M$15,0,0,$B$8,1))=FN$13), 1*(_xlfn._xlws.FILTER(OFFSET($O$15,0,$DO258,$B$8,1),OFFSET($M$15,0,0,$B$8,1))=FN$14))   /   SUM(OFFSET($BO$15,0,0,$B$14,1)) + $B$18/($B$19*$B$19*($DN258&lt;&gt;$DO258) + $B$19*($DN258=$DO258))</f>
        <v>3.7037037037037035E-4</v>
      </c>
      <c r="FO258" s="10" cm="1">
        <f t="array" aca="1" ref="FO258" ca="1">(1-$B$18)*SUMPRODUCT(OFFSET($BO$15,0,0,$B$14,1), 1*(_xlfn._xlws.FILTER(OFFSET($O$15,0,$DN258,$B$8,1),OFFSET($M$15,0,0,$B$8,1))=FO$13), 1*(_xlfn._xlws.FILTER(OFFSET($O$15,0,$DO258,$B$8,1),OFFSET($M$15,0,0,$B$8,1))=FO$14))   /   SUM(OFFSET($BO$15,0,0,$B$14,1)) + $B$18/($B$19*$B$19*($DN258&lt;&gt;$DO258) + $B$19*($DN258=$DO258))</f>
        <v>3.7037037037037035E-4</v>
      </c>
      <c r="FP258" s="10" cm="1">
        <f t="array" aca="1" ref="FP258" ca="1">(1-$B$18)*SUMPRODUCT(OFFSET($BO$15,0,0,$B$14,1), 1*(_xlfn._xlws.FILTER(OFFSET($O$15,0,$DN258,$B$8,1),OFFSET($M$15,0,0,$B$8,1))=FP$13), 1*(_xlfn._xlws.FILTER(OFFSET($O$15,0,$DO258,$B$8,1),OFFSET($M$15,0,0,$B$8,1))=FP$14))   /   SUM(OFFSET($BO$15,0,0,$B$14,1)) + $B$18/($B$19*$B$19*($DN258&lt;&gt;$DO258) + $B$19*($DN258=$DO258))</f>
        <v>3.7037037037037035E-4</v>
      </c>
      <c r="FQ258" s="10" cm="1">
        <f t="array" aca="1" ref="FQ258" ca="1">(1-$B$18)*SUMPRODUCT(OFFSET($BO$15,0,0,$B$14,1), 1*(_xlfn._xlws.FILTER(OFFSET($O$15,0,$DN258,$B$8,1),OFFSET($M$15,0,0,$B$8,1))=FQ$13), 1*(_xlfn._xlws.FILTER(OFFSET($O$15,0,$DO258,$B$8,1),OFFSET($M$15,0,0,$B$8,1))=FQ$14))   /   SUM(OFFSET($BO$15,0,0,$B$14,1)) + $B$18/($B$19*$B$19*($DN258&lt;&gt;$DO258) + $B$19*($DN258=$DO258))</f>
        <v>3.7037037037037035E-4</v>
      </c>
      <c r="FR258" s="10" cm="1">
        <f t="array" aca="1" ref="FR258" ca="1">(1-$B$18)*SUMPRODUCT(OFFSET($BO$15,0,0,$B$14,1), 1*(_xlfn._xlws.FILTER(OFFSET($O$15,0,$DN258,$B$8,1),OFFSET($M$15,0,0,$B$8,1))=FR$13), 1*(_xlfn._xlws.FILTER(OFFSET($O$15,0,$DO258,$B$8,1),OFFSET($M$15,0,0,$B$8,1))=FR$14))   /   SUM(OFFSET($BO$15,0,0,$B$14,1)) + $B$18/($B$19*$B$19*($DN258&lt;&gt;$DO258) + $B$19*($DN258=$DO258))</f>
        <v>3.7037037037037035E-4</v>
      </c>
      <c r="FS258" s="10" cm="1">
        <f t="array" aca="1" ref="FS258" ca="1">(1-$B$18)*SUMPRODUCT(OFFSET($BO$15,0,0,$B$14,1), 1*(_xlfn._xlws.FILTER(OFFSET($O$15,0,$DN258,$B$8,1),OFFSET($M$15,0,0,$B$8,1))=FS$13), 1*(_xlfn._xlws.FILTER(OFFSET($O$15,0,$DO258,$B$8,1),OFFSET($M$15,0,0,$B$8,1))=FS$14))   /   SUM(OFFSET($BO$15,0,0,$B$14,1)) + $B$18/($B$19*$B$19*($DN258&lt;&gt;$DO258) + $B$19*($DN258=$DO258))</f>
        <v>3.7037037037037035E-4</v>
      </c>
      <c r="FT258" s="10" cm="1">
        <f t="array" aca="1" ref="FT258" ca="1">(1-$B$18)*SUMPRODUCT(OFFSET($BO$15,0,0,$B$14,1), 1*(_xlfn._xlws.FILTER(OFFSET($O$15,0,$DN258,$B$8,1),OFFSET($M$15,0,0,$B$8,1))=FT$13), 1*(_xlfn._xlws.FILTER(OFFSET($O$15,0,$DO258,$B$8,1),OFFSET($M$15,0,0,$B$8,1))=FT$14))   /   SUM(OFFSET($BO$15,0,0,$B$14,1)) + $B$18/($B$19*$B$19*($DN258&lt;&gt;$DO258) + $B$19*($DN258=$DO258))</f>
        <v>3.7037037037037035E-4</v>
      </c>
      <c r="FU258" s="10" cm="1">
        <f t="array" aca="1" ref="FU258" ca="1">(1-$B$18)*SUMPRODUCT(OFFSET($BO$15,0,0,$B$14,1), 1*(_xlfn._xlws.FILTER(OFFSET($O$15,0,$DN258,$B$8,1),OFFSET($M$15,0,0,$B$8,1))=FU$13), 1*(_xlfn._xlws.FILTER(OFFSET($O$15,0,$DO258,$B$8,1),OFFSET($M$15,0,0,$B$8,1))=FU$14))   /   SUM(OFFSET($BO$15,0,0,$B$14,1)) + $B$18/($B$19*$B$19*($DN258&lt;&gt;$DO258) + $B$19*($DN258=$DO258))</f>
        <v>3.7037037037037035E-4</v>
      </c>
      <c r="FV258" s="10" cm="1">
        <f t="array" aca="1" ref="FV258" ca="1">(1-$B$18)*SUMPRODUCT(OFFSET($BO$15,0,0,$B$14,1), 1*(_xlfn._xlws.FILTER(OFFSET($O$15,0,$DN258,$B$8,1),OFFSET($M$15,0,0,$B$8,1))=FV$13), 1*(_xlfn._xlws.FILTER(OFFSET($O$15,0,$DO258,$B$8,1),OFFSET($M$15,0,0,$B$8,1))=FV$14))   /   SUM(OFFSET($BO$15,0,0,$B$14,1)) + $B$18/($B$19*$B$19*($DN258&lt;&gt;$DO258) + $B$19*($DN258=$DO258))</f>
        <v>3.7037037037037035E-4</v>
      </c>
      <c r="FW258" s="10" cm="1">
        <f t="array" aca="1" ref="FW258" ca="1">(1-$B$18)*SUMPRODUCT(OFFSET($BO$15,0,0,$B$14,1), 1*(_xlfn._xlws.FILTER(OFFSET($O$15,0,$DN258,$B$8,1),OFFSET($M$15,0,0,$B$8,1))=FW$13), 1*(_xlfn._xlws.FILTER(OFFSET($O$15,0,$DO258,$B$8,1),OFFSET($M$15,0,0,$B$8,1))=FW$14))   /   SUM(OFFSET($BO$15,0,0,$B$14,1)) + $B$18/($B$19*$B$19*($DN258&lt;&gt;$DO258) + $B$19*($DN258=$DO258))</f>
        <v>3.7037037037037035E-4</v>
      </c>
      <c r="FX258" s="10" cm="1">
        <f t="array" aca="1" ref="FX258" ca="1">(1-$B$18)*SUMPRODUCT(OFFSET($BO$15,0,0,$B$14,1), 1*(_xlfn._xlws.FILTER(OFFSET($O$15,0,$DN258,$B$8,1),OFFSET($M$15,0,0,$B$8,1))=FX$13), 1*(_xlfn._xlws.FILTER(OFFSET($O$15,0,$DO258,$B$8,1),OFFSET($M$15,0,0,$B$8,1))=FX$14))   /   SUM(OFFSET($BO$15,0,0,$B$14,1)) + $B$18/($B$19*$B$19*($DN258&lt;&gt;$DO258) + $B$19*($DN258=$DO258))</f>
        <v>3.7037037037037035E-4</v>
      </c>
      <c r="FY258" s="10" cm="1">
        <f t="array" aca="1" ref="FY258" ca="1">(1-$B$18)*SUMPRODUCT(OFFSET($BO$15,0,0,$B$14,1), 1*(_xlfn._xlws.FILTER(OFFSET($O$15,0,$DN258,$B$8,1),OFFSET($M$15,0,0,$B$8,1))=FY$13), 1*(_xlfn._xlws.FILTER(OFFSET($O$15,0,$DO258,$B$8,1),OFFSET($M$15,0,0,$B$8,1))=FY$14))   /   SUM(OFFSET($BO$15,0,0,$B$14,1)) + $B$18/($B$19*$B$19*($DN258&lt;&gt;$DO258) + $B$19*($DN258=$DO258))</f>
        <v>3.7037037037037035E-4</v>
      </c>
      <c r="FZ258" s="10" cm="1">
        <f t="array" aca="1" ref="FZ258" ca="1">(1-$B$18)*SUMPRODUCT(OFFSET($BO$15,0,0,$B$14,1), 1*(_xlfn._xlws.FILTER(OFFSET($O$15,0,$DN258,$B$8,1),OFFSET($M$15,0,0,$B$8,1))=FZ$13), 1*(_xlfn._xlws.FILTER(OFFSET($O$15,0,$DO258,$B$8,1),OFFSET($M$15,0,0,$B$8,1))=FZ$14))   /   SUM(OFFSET($BO$15,0,0,$B$14,1)) + $B$18/($B$19*$B$19*($DN258&lt;&gt;$DO258) + $B$19*($DN258=$DO258))</f>
        <v>3.7037037037037035E-4</v>
      </c>
      <c r="GA258" s="10" cm="1">
        <f t="array" aca="1" ref="GA258" ca="1">(1-$B$18)*SUMPRODUCT(OFFSET($BO$15,0,0,$B$14,1), 1*(_xlfn._xlws.FILTER(OFFSET($O$15,0,$DN258,$B$8,1),OFFSET($M$15,0,0,$B$8,1))=GA$13), 1*(_xlfn._xlws.FILTER(OFFSET($O$15,0,$DO258,$B$8,1),OFFSET($M$15,0,0,$B$8,1))=GA$14))   /   SUM(OFFSET($BO$15,0,0,$B$14,1)) + $B$18/($B$19*$B$19*($DN258&lt;&gt;$DO258) + $B$19*($DN258=$DO258))</f>
        <v>3.7037037037037035E-4</v>
      </c>
    </row>
    <row r="259" spans="118:183" x14ac:dyDescent="0.2">
      <c r="DN259" cm="1">
        <f t="array" aca="1" ref="DN259" ca="1">INDEX(_xlfn.ANCHORARRAY($CP$15), 1 + INT((ROWS($DO$15:$DO259) - 1) / ROWS(_xlfn.ANCHORARRAY($CP$15))))</f>
        <v>13</v>
      </c>
      <c r="DO259" cm="1">
        <f t="array" aca="1" ref="DO259" ca="1">INDEX(_xlfn.ANCHORARRAY($CP$15),1+MOD(ROWS($DO$15:$DO259)-1,ROWS(_xlfn.ANCHORARRAY($CP$15))))</f>
        <v>19</v>
      </c>
      <c r="DP259" s="10" cm="1">
        <f t="array" aca="1" ref="DP259" ca="1">(1-$B$18)*SUMPRODUCT(OFFSET($BO$15,0,0,$B$14,1), 1*(_xlfn._xlws.FILTER(OFFSET($O$15,0,$DN259,$B$8,1),OFFSET($M$15,0,0,$B$8,1))=DP$13), 1*(_xlfn._xlws.FILTER(OFFSET($O$15,0,$DO259,$B$8,1),OFFSET($M$15,0,0,$B$8,1))=DP$14))   /   SUM(OFFSET($BO$15,0,0,$B$14,1)) + $B$18/($B$19*$B$19*($DN259&lt;&gt;$DO259) + $B$19*($DN259=$DO259))</f>
        <v>3.7037037037037035E-4</v>
      </c>
      <c r="DQ259" s="10" cm="1">
        <f t="array" aca="1" ref="DQ259" ca="1">(1-$B$18)*SUMPRODUCT(OFFSET($BO$15,0,0,$B$14,1), 1*(_xlfn._xlws.FILTER(OFFSET($O$15,0,$DN259,$B$8,1),OFFSET($M$15,0,0,$B$8,1))=DQ$13), 1*(_xlfn._xlws.FILTER(OFFSET($O$15,0,$DO259,$B$8,1),OFFSET($M$15,0,0,$B$8,1))=DQ$14))   /   SUM(OFFSET($BO$15,0,0,$B$14,1)) + $B$18/($B$19*$B$19*($DN259&lt;&gt;$DO259) + $B$19*($DN259=$DO259))</f>
        <v>3.7037037037037035E-4</v>
      </c>
      <c r="DR259" s="10" cm="1">
        <f t="array" aca="1" ref="DR259" ca="1">(1-$B$18)*SUMPRODUCT(OFFSET($BO$15,0,0,$B$14,1), 1*(_xlfn._xlws.FILTER(OFFSET($O$15,0,$DN259,$B$8,1),OFFSET($M$15,0,0,$B$8,1))=DR$13), 1*(_xlfn._xlws.FILTER(OFFSET($O$15,0,$DO259,$B$8,1),OFFSET($M$15,0,0,$B$8,1))=DR$14))   /   SUM(OFFSET($BO$15,0,0,$B$14,1)) + $B$18/($B$19*$B$19*($DN259&lt;&gt;$DO259) + $B$19*($DN259=$DO259))</f>
        <v>3.7037037037037035E-4</v>
      </c>
      <c r="DS259" s="10" cm="1">
        <f t="array" aca="1" ref="DS259" ca="1">(1-$B$18)*SUMPRODUCT(OFFSET($BO$15,0,0,$B$14,1), 1*(_xlfn._xlws.FILTER(OFFSET($O$15,0,$DN259,$B$8,1),OFFSET($M$15,0,0,$B$8,1))=DS$13), 1*(_xlfn._xlws.FILTER(OFFSET($O$15,0,$DO259,$B$8,1),OFFSET($M$15,0,0,$B$8,1))=DS$14))   /   SUM(OFFSET($BO$15,0,0,$B$14,1)) + $B$18/($B$19*$B$19*($DN259&lt;&gt;$DO259) + $B$19*($DN259=$DO259))</f>
        <v>3.7037037037037035E-4</v>
      </c>
      <c r="DT259" s="10" cm="1">
        <f t="array" aca="1" ref="DT259" ca="1">(1-$B$18)*SUMPRODUCT(OFFSET($BO$15,0,0,$B$14,1), 1*(_xlfn._xlws.FILTER(OFFSET($O$15,0,$DN259,$B$8,1),OFFSET($M$15,0,0,$B$8,1))=DT$13), 1*(_xlfn._xlws.FILTER(OFFSET($O$15,0,$DO259,$B$8,1),OFFSET($M$15,0,0,$B$8,1))=DT$14))   /   SUM(OFFSET($BO$15,0,0,$B$14,1)) + $B$18/($B$19*$B$19*($DN259&lt;&gt;$DO259) + $B$19*($DN259=$DO259))</f>
        <v>3.7037037037037035E-4</v>
      </c>
      <c r="DU259" s="10" cm="1">
        <f t="array" aca="1" ref="DU259" ca="1">(1-$B$18)*SUMPRODUCT(OFFSET($BO$15,0,0,$B$14,1), 1*(_xlfn._xlws.FILTER(OFFSET($O$15,0,$DN259,$B$8,1),OFFSET($M$15,0,0,$B$8,1))=DU$13), 1*(_xlfn._xlws.FILTER(OFFSET($O$15,0,$DO259,$B$8,1),OFFSET($M$15,0,0,$B$8,1))=DU$14))   /   SUM(OFFSET($BO$15,0,0,$B$14,1)) + $B$18/($B$19*$B$19*($DN259&lt;&gt;$DO259) + $B$19*($DN259=$DO259))</f>
        <v>3.7037037037037035E-4</v>
      </c>
      <c r="DV259" s="10" cm="1">
        <f t="array" aca="1" ref="DV259" ca="1">(1-$B$18)*SUMPRODUCT(OFFSET($BO$15,0,0,$B$14,1), 1*(_xlfn._xlws.FILTER(OFFSET($O$15,0,$DN259,$B$8,1),OFFSET($M$15,0,0,$B$8,1))=DV$13), 1*(_xlfn._xlws.FILTER(OFFSET($O$15,0,$DO259,$B$8,1),OFFSET($M$15,0,0,$B$8,1))=DV$14))   /   SUM(OFFSET($BO$15,0,0,$B$14,1)) + $B$18/($B$19*$B$19*($DN259&lt;&gt;$DO259) + $B$19*($DN259=$DO259))</f>
        <v>3.7037037037037035E-4</v>
      </c>
      <c r="DW259" s="10" cm="1">
        <f t="array" aca="1" ref="DW259" ca="1">(1-$B$18)*SUMPRODUCT(OFFSET($BO$15,0,0,$B$14,1), 1*(_xlfn._xlws.FILTER(OFFSET($O$15,0,$DN259,$B$8,1),OFFSET($M$15,0,0,$B$8,1))=DW$13), 1*(_xlfn._xlws.FILTER(OFFSET($O$15,0,$DO259,$B$8,1),OFFSET($M$15,0,0,$B$8,1))=DW$14))   /   SUM(OFFSET($BO$15,0,0,$B$14,1)) + $B$18/($B$19*$B$19*($DN259&lt;&gt;$DO259) + $B$19*($DN259=$DO259))</f>
        <v>3.7037037037037035E-4</v>
      </c>
      <c r="DX259" s="10" cm="1">
        <f t="array" aca="1" ref="DX259" ca="1">(1-$B$18)*SUMPRODUCT(OFFSET($BO$15,0,0,$B$14,1), 1*(_xlfn._xlws.FILTER(OFFSET($O$15,0,$DN259,$B$8,1),OFFSET($M$15,0,0,$B$8,1))=DX$13), 1*(_xlfn._xlws.FILTER(OFFSET($O$15,0,$DO259,$B$8,1),OFFSET($M$15,0,0,$B$8,1))=DX$14))   /   SUM(OFFSET($BO$15,0,0,$B$14,1)) + $B$18/($B$19*$B$19*($DN259&lt;&gt;$DO259) + $B$19*($DN259=$DO259))</f>
        <v>3.7037037037037035E-4</v>
      </c>
      <c r="DY259" s="10" cm="1">
        <f t="array" aca="1" ref="DY259" ca="1">(1-$B$18)*SUMPRODUCT(OFFSET($BO$15,0,0,$B$14,1), 1*(_xlfn._xlws.FILTER(OFFSET($O$15,0,$DN259,$B$8,1),OFFSET($M$15,0,0,$B$8,1))=DY$13), 1*(_xlfn._xlws.FILTER(OFFSET($O$15,0,$DO259,$B$8,1),OFFSET($M$15,0,0,$B$8,1))=DY$14))   /   SUM(OFFSET($BO$15,0,0,$B$14,1)) + $B$18/($B$19*$B$19*($DN259&lt;&gt;$DO259) + $B$19*($DN259=$DO259))</f>
        <v>3.7037037037037035E-4</v>
      </c>
      <c r="DZ259" s="10" cm="1">
        <f t="array" aca="1" ref="DZ259" ca="1">(1-$B$18)*SUMPRODUCT(OFFSET($BO$15,0,0,$B$14,1), 1*(_xlfn._xlws.FILTER(OFFSET($O$15,0,$DN259,$B$8,1),OFFSET($M$15,0,0,$B$8,1))=DZ$13), 1*(_xlfn._xlws.FILTER(OFFSET($O$15,0,$DO259,$B$8,1),OFFSET($M$15,0,0,$B$8,1))=DZ$14))   /   SUM(OFFSET($BO$15,0,0,$B$14,1)) + $B$18/($B$19*$B$19*($DN259&lt;&gt;$DO259) + $B$19*($DN259=$DO259))</f>
        <v>3.7037037037037035E-4</v>
      </c>
      <c r="EA259" s="10" cm="1">
        <f t="array" aca="1" ref="EA259" ca="1">(1-$B$18)*SUMPRODUCT(OFFSET($BO$15,0,0,$B$14,1), 1*(_xlfn._xlws.FILTER(OFFSET($O$15,0,$DN259,$B$8,1),OFFSET($M$15,0,0,$B$8,1))=EA$13), 1*(_xlfn._xlws.FILTER(OFFSET($O$15,0,$DO259,$B$8,1),OFFSET($M$15,0,0,$B$8,1))=EA$14))   /   SUM(OFFSET($BO$15,0,0,$B$14,1)) + $B$18/($B$19*$B$19*($DN259&lt;&gt;$DO259) + $B$19*($DN259=$DO259))</f>
        <v>0.97037037037037033</v>
      </c>
      <c r="EB259" s="10" cm="1">
        <f t="array" aca="1" ref="EB259" ca="1">(1-$B$18)*SUMPRODUCT(OFFSET($BO$15,0,0,$B$14,1), 1*(_xlfn._xlws.FILTER(OFFSET($O$15,0,$DN259,$B$8,1),OFFSET($M$15,0,0,$B$8,1))=EB$13), 1*(_xlfn._xlws.FILTER(OFFSET($O$15,0,$DO259,$B$8,1),OFFSET($M$15,0,0,$B$8,1))=EB$14))   /   SUM(OFFSET($BO$15,0,0,$B$14,1)) + $B$18/($B$19*$B$19*($DN259&lt;&gt;$DO259) + $B$19*($DN259=$DO259))</f>
        <v>3.7037037037037035E-4</v>
      </c>
      <c r="EC259" s="10" cm="1">
        <f t="array" aca="1" ref="EC259" ca="1">(1-$B$18)*SUMPRODUCT(OFFSET($BO$15,0,0,$B$14,1), 1*(_xlfn._xlws.FILTER(OFFSET($O$15,0,$DN259,$B$8,1),OFFSET($M$15,0,0,$B$8,1))=EC$13), 1*(_xlfn._xlws.FILTER(OFFSET($O$15,0,$DO259,$B$8,1),OFFSET($M$15,0,0,$B$8,1))=EC$14))   /   SUM(OFFSET($BO$15,0,0,$B$14,1)) + $B$18/($B$19*$B$19*($DN259&lt;&gt;$DO259) + $B$19*($DN259=$DO259))</f>
        <v>3.7037037037037035E-4</v>
      </c>
      <c r="ED259" s="10" cm="1">
        <f t="array" aca="1" ref="ED259" ca="1">(1-$B$18)*SUMPRODUCT(OFFSET($BO$15,0,0,$B$14,1), 1*(_xlfn._xlws.FILTER(OFFSET($O$15,0,$DN259,$B$8,1),OFFSET($M$15,0,0,$B$8,1))=ED$13), 1*(_xlfn._xlws.FILTER(OFFSET($O$15,0,$DO259,$B$8,1),OFFSET($M$15,0,0,$B$8,1))=ED$14))   /   SUM(OFFSET($BO$15,0,0,$B$14,1)) + $B$18/($B$19*$B$19*($DN259&lt;&gt;$DO259) + $B$19*($DN259=$DO259))</f>
        <v>3.7037037037037035E-4</v>
      </c>
      <c r="EE259" s="10" cm="1">
        <f t="array" aca="1" ref="EE259" ca="1">(1-$B$18)*SUMPRODUCT(OFFSET($BO$15,0,0,$B$14,1), 1*(_xlfn._xlws.FILTER(OFFSET($O$15,0,$DN259,$B$8,1),OFFSET($M$15,0,0,$B$8,1))=EE$13), 1*(_xlfn._xlws.FILTER(OFFSET($O$15,0,$DO259,$B$8,1),OFFSET($M$15,0,0,$B$8,1))=EE$14))   /   SUM(OFFSET($BO$15,0,0,$B$14,1)) + $B$18/($B$19*$B$19*($DN259&lt;&gt;$DO259) + $B$19*($DN259=$DO259))</f>
        <v>3.7037037037037035E-4</v>
      </c>
      <c r="EF259" s="10" cm="1">
        <f t="array" aca="1" ref="EF259" ca="1">(1-$B$18)*SUMPRODUCT(OFFSET($BO$15,0,0,$B$14,1), 1*(_xlfn._xlws.FILTER(OFFSET($O$15,0,$DN259,$B$8,1),OFFSET($M$15,0,0,$B$8,1))=EF$13), 1*(_xlfn._xlws.FILTER(OFFSET($O$15,0,$DO259,$B$8,1),OFFSET($M$15,0,0,$B$8,1))=EF$14))   /   SUM(OFFSET($BO$15,0,0,$B$14,1)) + $B$18/($B$19*$B$19*($DN259&lt;&gt;$DO259) + $B$19*($DN259=$DO259))</f>
        <v>3.7037037037037035E-4</v>
      </c>
      <c r="EG259" s="10" cm="1">
        <f t="array" aca="1" ref="EG259" ca="1">(1-$B$18)*SUMPRODUCT(OFFSET($BO$15,0,0,$B$14,1), 1*(_xlfn._xlws.FILTER(OFFSET($O$15,0,$DN259,$B$8,1),OFFSET($M$15,0,0,$B$8,1))=EG$13), 1*(_xlfn._xlws.FILTER(OFFSET($O$15,0,$DO259,$B$8,1),OFFSET($M$15,0,0,$B$8,1))=EG$14))   /   SUM(OFFSET($BO$15,0,0,$B$14,1)) + $B$18/($B$19*$B$19*($DN259&lt;&gt;$DO259) + $B$19*($DN259=$DO259))</f>
        <v>3.7037037037037035E-4</v>
      </c>
      <c r="EH259" s="10" cm="1">
        <f t="array" aca="1" ref="EH259" ca="1">(1-$B$18)*SUMPRODUCT(OFFSET($BO$15,0,0,$B$14,1), 1*(_xlfn._xlws.FILTER(OFFSET($O$15,0,$DN259,$B$8,1),OFFSET($M$15,0,0,$B$8,1))=EH$13), 1*(_xlfn._xlws.FILTER(OFFSET($O$15,0,$DO259,$B$8,1),OFFSET($M$15,0,0,$B$8,1))=EH$14))   /   SUM(OFFSET($BO$15,0,0,$B$14,1)) + $B$18/($B$19*$B$19*($DN259&lt;&gt;$DO259) + $B$19*($DN259=$DO259))</f>
        <v>3.7037037037037035E-4</v>
      </c>
      <c r="EI259" s="10" cm="1">
        <f t="array" aca="1" ref="EI259" ca="1">(1-$B$18)*SUMPRODUCT(OFFSET($BO$15,0,0,$B$14,1), 1*(_xlfn._xlws.FILTER(OFFSET($O$15,0,$DN259,$B$8,1),OFFSET($M$15,0,0,$B$8,1))=EI$13), 1*(_xlfn._xlws.FILTER(OFFSET($O$15,0,$DO259,$B$8,1),OFFSET($M$15,0,0,$B$8,1))=EI$14))   /   SUM(OFFSET($BO$15,0,0,$B$14,1)) + $B$18/($B$19*$B$19*($DN259&lt;&gt;$DO259) + $B$19*($DN259=$DO259))</f>
        <v>3.7037037037037035E-4</v>
      </c>
      <c r="EJ259" s="10" cm="1">
        <f t="array" aca="1" ref="EJ259" ca="1">(1-$B$18)*SUMPRODUCT(OFFSET($BO$15,0,0,$B$14,1), 1*(_xlfn._xlws.FILTER(OFFSET($O$15,0,$DN259,$B$8,1),OFFSET($M$15,0,0,$B$8,1))=EJ$13), 1*(_xlfn._xlws.FILTER(OFFSET($O$15,0,$DO259,$B$8,1),OFFSET($M$15,0,0,$B$8,1))=EJ$14))   /   SUM(OFFSET($BO$15,0,0,$B$14,1)) + $B$18/($B$19*$B$19*($DN259&lt;&gt;$DO259) + $B$19*($DN259=$DO259))</f>
        <v>3.7037037037037035E-4</v>
      </c>
      <c r="EK259" s="10" cm="1">
        <f t="array" aca="1" ref="EK259" ca="1">(1-$B$18)*SUMPRODUCT(OFFSET($BO$15,0,0,$B$14,1), 1*(_xlfn._xlws.FILTER(OFFSET($O$15,0,$DN259,$B$8,1),OFFSET($M$15,0,0,$B$8,1))=EK$13), 1*(_xlfn._xlws.FILTER(OFFSET($O$15,0,$DO259,$B$8,1),OFFSET($M$15,0,0,$B$8,1))=EK$14))   /   SUM(OFFSET($BO$15,0,0,$B$14,1)) + $B$18/($B$19*$B$19*($DN259&lt;&gt;$DO259) + $B$19*($DN259=$DO259))</f>
        <v>3.7037037037037035E-4</v>
      </c>
      <c r="EL259" s="10" cm="1">
        <f t="array" aca="1" ref="EL259" ca="1">(1-$B$18)*SUMPRODUCT(OFFSET($BO$15,0,0,$B$14,1), 1*(_xlfn._xlws.FILTER(OFFSET($O$15,0,$DN259,$B$8,1),OFFSET($M$15,0,0,$B$8,1))=EL$13), 1*(_xlfn._xlws.FILTER(OFFSET($O$15,0,$DO259,$B$8,1),OFFSET($M$15,0,0,$B$8,1))=EL$14))   /   SUM(OFFSET($BO$15,0,0,$B$14,1)) + $B$18/($B$19*$B$19*($DN259&lt;&gt;$DO259) + $B$19*($DN259=$DO259))</f>
        <v>3.7037037037037035E-4</v>
      </c>
      <c r="EM259" s="10" cm="1">
        <f t="array" aca="1" ref="EM259" ca="1">(1-$B$18)*SUMPRODUCT(OFFSET($BO$15,0,0,$B$14,1), 1*(_xlfn._xlws.FILTER(OFFSET($O$15,0,$DN259,$B$8,1),OFFSET($M$15,0,0,$B$8,1))=EM$13), 1*(_xlfn._xlws.FILTER(OFFSET($O$15,0,$DO259,$B$8,1),OFFSET($M$15,0,0,$B$8,1))=EM$14))   /   SUM(OFFSET($BO$15,0,0,$B$14,1)) + $B$18/($B$19*$B$19*($DN259&lt;&gt;$DO259) + $B$19*($DN259=$DO259))</f>
        <v>3.7037037037037035E-4</v>
      </c>
      <c r="EN259" s="10" cm="1">
        <f t="array" aca="1" ref="EN259" ca="1">(1-$B$18)*SUMPRODUCT(OFFSET($BO$15,0,0,$B$14,1), 1*(_xlfn._xlws.FILTER(OFFSET($O$15,0,$DN259,$B$8,1),OFFSET($M$15,0,0,$B$8,1))=EN$13), 1*(_xlfn._xlws.FILTER(OFFSET($O$15,0,$DO259,$B$8,1),OFFSET($M$15,0,0,$B$8,1))=EN$14))   /   SUM(OFFSET($BO$15,0,0,$B$14,1)) + $B$18/($B$19*$B$19*($DN259&lt;&gt;$DO259) + $B$19*($DN259=$DO259))</f>
        <v>3.7037037037037035E-4</v>
      </c>
      <c r="EO259" s="10" cm="1">
        <f t="array" aca="1" ref="EO259" ca="1">(1-$B$18)*SUMPRODUCT(OFFSET($BO$15,0,0,$B$14,1), 1*(_xlfn._xlws.FILTER(OFFSET($O$15,0,$DN259,$B$8,1),OFFSET($M$15,0,0,$B$8,1))=EO$13), 1*(_xlfn._xlws.FILTER(OFFSET($O$15,0,$DO259,$B$8,1),OFFSET($M$15,0,0,$B$8,1))=EO$14))   /   SUM(OFFSET($BO$15,0,0,$B$14,1)) + $B$18/($B$19*$B$19*($DN259&lt;&gt;$DO259) + $B$19*($DN259=$DO259))</f>
        <v>3.7037037037037035E-4</v>
      </c>
      <c r="EP259" s="10" cm="1">
        <f t="array" aca="1" ref="EP259" ca="1">(1-$B$18)*SUMPRODUCT(OFFSET($BO$15,0,0,$B$14,1), 1*(_xlfn._xlws.FILTER(OFFSET($O$15,0,$DN259,$B$8,1),OFFSET($M$15,0,0,$B$8,1))=EP$13), 1*(_xlfn._xlws.FILTER(OFFSET($O$15,0,$DO259,$B$8,1),OFFSET($M$15,0,0,$B$8,1))=EP$14))   /   SUM(OFFSET($BO$15,0,0,$B$14,1)) + $B$18/($B$19*$B$19*($DN259&lt;&gt;$DO259) + $B$19*($DN259=$DO259))</f>
        <v>3.7037037037037035E-4</v>
      </c>
      <c r="EQ259" s="10" cm="1">
        <f t="array" aca="1" ref="EQ259" ca="1">(1-$B$18)*SUMPRODUCT(OFFSET($BO$15,0,0,$B$14,1), 1*(_xlfn._xlws.FILTER(OFFSET($O$15,0,$DN259,$B$8,1),OFFSET($M$15,0,0,$B$8,1))=EQ$13), 1*(_xlfn._xlws.FILTER(OFFSET($O$15,0,$DO259,$B$8,1),OFFSET($M$15,0,0,$B$8,1))=EQ$14))   /   SUM(OFFSET($BO$15,0,0,$B$14,1)) + $B$18/($B$19*$B$19*($DN259&lt;&gt;$DO259) + $B$19*($DN259=$DO259))</f>
        <v>3.7037037037037035E-4</v>
      </c>
      <c r="ER259" s="10" cm="1">
        <f t="array" aca="1" ref="ER259" ca="1">(1-$B$18)*SUMPRODUCT(OFFSET($BO$15,0,0,$B$14,1), 1*(_xlfn._xlws.FILTER(OFFSET($O$15,0,$DN259,$B$8,1),OFFSET($M$15,0,0,$B$8,1))=ER$13), 1*(_xlfn._xlws.FILTER(OFFSET($O$15,0,$DO259,$B$8,1),OFFSET($M$15,0,0,$B$8,1))=ER$14))   /   SUM(OFFSET($BO$15,0,0,$B$14,1)) + $B$18/($B$19*$B$19*($DN259&lt;&gt;$DO259) + $B$19*($DN259=$DO259))</f>
        <v>3.7037037037037035E-4</v>
      </c>
      <c r="ES259" s="10" cm="1">
        <f t="array" aca="1" ref="ES259" ca="1">(1-$B$18)*SUMPRODUCT(OFFSET($BO$15,0,0,$B$14,1), 1*(_xlfn._xlws.FILTER(OFFSET($O$15,0,$DN259,$B$8,1),OFFSET($M$15,0,0,$B$8,1))=ES$13), 1*(_xlfn._xlws.FILTER(OFFSET($O$15,0,$DO259,$B$8,1),OFFSET($M$15,0,0,$B$8,1))=ES$14))   /   SUM(OFFSET($BO$15,0,0,$B$14,1)) + $B$18/($B$19*$B$19*($DN259&lt;&gt;$DO259) + $B$19*($DN259=$DO259))</f>
        <v>3.7037037037037035E-4</v>
      </c>
      <c r="ET259" s="10" cm="1">
        <f t="array" aca="1" ref="ET259" ca="1">(1-$B$18)*SUMPRODUCT(OFFSET($BO$15,0,0,$B$14,1), 1*(_xlfn._xlws.FILTER(OFFSET($O$15,0,$DN259,$B$8,1),OFFSET($M$15,0,0,$B$8,1))=ET$13), 1*(_xlfn._xlws.FILTER(OFFSET($O$15,0,$DO259,$B$8,1),OFFSET($M$15,0,0,$B$8,1))=ET$14))   /   SUM(OFFSET($BO$15,0,0,$B$14,1)) + $B$18/($B$19*$B$19*($DN259&lt;&gt;$DO259) + $B$19*($DN259=$DO259))</f>
        <v>3.7037037037037035E-4</v>
      </c>
      <c r="EU259" s="10" cm="1">
        <f t="array" aca="1" ref="EU259" ca="1">(1-$B$18)*SUMPRODUCT(OFFSET($BO$15,0,0,$B$14,1), 1*(_xlfn._xlws.FILTER(OFFSET($O$15,0,$DN259,$B$8,1),OFFSET($M$15,0,0,$B$8,1))=EU$13), 1*(_xlfn._xlws.FILTER(OFFSET($O$15,0,$DO259,$B$8,1),OFFSET($M$15,0,0,$B$8,1))=EU$14))   /   SUM(OFFSET($BO$15,0,0,$B$14,1)) + $B$18/($B$19*$B$19*($DN259&lt;&gt;$DO259) + $B$19*($DN259=$DO259))</f>
        <v>3.7037037037037035E-4</v>
      </c>
      <c r="EV259" s="10" cm="1">
        <f t="array" aca="1" ref="EV259" ca="1">(1-$B$18)*SUMPRODUCT(OFFSET($BO$15,0,0,$B$14,1), 1*(_xlfn._xlws.FILTER(OFFSET($O$15,0,$DN259,$B$8,1),OFFSET($M$15,0,0,$B$8,1))=EV$13), 1*(_xlfn._xlws.FILTER(OFFSET($O$15,0,$DO259,$B$8,1),OFFSET($M$15,0,0,$B$8,1))=EV$14))   /   SUM(OFFSET($BO$15,0,0,$B$14,1)) + $B$18/($B$19*$B$19*($DN259&lt;&gt;$DO259) + $B$19*($DN259=$DO259))</f>
        <v>3.7037037037037035E-4</v>
      </c>
      <c r="EW259" s="10" cm="1">
        <f t="array" aca="1" ref="EW259" ca="1">(1-$B$18)*SUMPRODUCT(OFFSET($BO$15,0,0,$B$14,1), 1*(_xlfn._xlws.FILTER(OFFSET($O$15,0,$DN259,$B$8,1),OFFSET($M$15,0,0,$B$8,1))=EW$13), 1*(_xlfn._xlws.FILTER(OFFSET($O$15,0,$DO259,$B$8,1),OFFSET($M$15,0,0,$B$8,1))=EW$14))   /   SUM(OFFSET($BO$15,0,0,$B$14,1)) + $B$18/($B$19*$B$19*($DN259&lt;&gt;$DO259) + $B$19*($DN259=$DO259))</f>
        <v>3.7037037037037035E-4</v>
      </c>
      <c r="EX259" s="10" cm="1">
        <f t="array" aca="1" ref="EX259" ca="1">(1-$B$18)*SUMPRODUCT(OFFSET($BO$15,0,0,$B$14,1), 1*(_xlfn._xlws.FILTER(OFFSET($O$15,0,$DN259,$B$8,1),OFFSET($M$15,0,0,$B$8,1))=EX$13), 1*(_xlfn._xlws.FILTER(OFFSET($O$15,0,$DO259,$B$8,1),OFFSET($M$15,0,0,$B$8,1))=EX$14))   /   SUM(OFFSET($BO$15,0,0,$B$14,1)) + $B$18/($B$19*$B$19*($DN259&lt;&gt;$DO259) + $B$19*($DN259=$DO259))</f>
        <v>3.7037037037037035E-4</v>
      </c>
      <c r="EY259" s="10" cm="1">
        <f t="array" aca="1" ref="EY259" ca="1">(1-$B$18)*SUMPRODUCT(OFFSET($BO$15,0,0,$B$14,1), 1*(_xlfn._xlws.FILTER(OFFSET($O$15,0,$DN259,$B$8,1),OFFSET($M$15,0,0,$B$8,1))=EY$13), 1*(_xlfn._xlws.FILTER(OFFSET($O$15,0,$DO259,$B$8,1),OFFSET($M$15,0,0,$B$8,1))=EY$14))   /   SUM(OFFSET($BO$15,0,0,$B$14,1)) + $B$18/($B$19*$B$19*($DN259&lt;&gt;$DO259) + $B$19*($DN259=$DO259))</f>
        <v>3.7037037037037035E-4</v>
      </c>
      <c r="EZ259" s="10" cm="1">
        <f t="array" aca="1" ref="EZ259" ca="1">(1-$B$18)*SUMPRODUCT(OFFSET($BO$15,0,0,$B$14,1), 1*(_xlfn._xlws.FILTER(OFFSET($O$15,0,$DN259,$B$8,1),OFFSET($M$15,0,0,$B$8,1))=EZ$13), 1*(_xlfn._xlws.FILTER(OFFSET($O$15,0,$DO259,$B$8,1),OFFSET($M$15,0,0,$B$8,1))=EZ$14))   /   SUM(OFFSET($BO$15,0,0,$B$14,1)) + $B$18/($B$19*$B$19*($DN259&lt;&gt;$DO259) + $B$19*($DN259=$DO259))</f>
        <v>3.7037037037037035E-4</v>
      </c>
      <c r="FA259" s="10" cm="1">
        <f t="array" aca="1" ref="FA259" ca="1">(1-$B$18)*SUMPRODUCT(OFFSET($BO$15,0,0,$B$14,1), 1*(_xlfn._xlws.FILTER(OFFSET($O$15,0,$DN259,$B$8,1),OFFSET($M$15,0,0,$B$8,1))=FA$13), 1*(_xlfn._xlws.FILTER(OFFSET($O$15,0,$DO259,$B$8,1),OFFSET($M$15,0,0,$B$8,1))=FA$14))   /   SUM(OFFSET($BO$15,0,0,$B$14,1)) + $B$18/($B$19*$B$19*($DN259&lt;&gt;$DO259) + $B$19*($DN259=$DO259))</f>
        <v>3.7037037037037035E-4</v>
      </c>
      <c r="FB259" s="10" cm="1">
        <f t="array" aca="1" ref="FB259" ca="1">(1-$B$18)*SUMPRODUCT(OFFSET($BO$15,0,0,$B$14,1), 1*(_xlfn._xlws.FILTER(OFFSET($O$15,0,$DN259,$B$8,1),OFFSET($M$15,0,0,$B$8,1))=FB$13), 1*(_xlfn._xlws.FILTER(OFFSET($O$15,0,$DO259,$B$8,1),OFFSET($M$15,0,0,$B$8,1))=FB$14))   /   SUM(OFFSET($BO$15,0,0,$B$14,1)) + $B$18/($B$19*$B$19*($DN259&lt;&gt;$DO259) + $B$19*($DN259=$DO259))</f>
        <v>3.7037037037037035E-4</v>
      </c>
      <c r="FC259" s="10" cm="1">
        <f t="array" aca="1" ref="FC259" ca="1">(1-$B$18)*SUMPRODUCT(OFFSET($BO$15,0,0,$B$14,1), 1*(_xlfn._xlws.FILTER(OFFSET($O$15,0,$DN259,$B$8,1),OFFSET($M$15,0,0,$B$8,1))=FC$13), 1*(_xlfn._xlws.FILTER(OFFSET($O$15,0,$DO259,$B$8,1),OFFSET($M$15,0,0,$B$8,1))=FC$14))   /   SUM(OFFSET($BO$15,0,0,$B$14,1)) + $B$18/($B$19*$B$19*($DN259&lt;&gt;$DO259) + $B$19*($DN259=$DO259))</f>
        <v>3.7037037037037035E-4</v>
      </c>
      <c r="FD259" s="10" cm="1">
        <f t="array" aca="1" ref="FD259" ca="1">(1-$B$18)*SUMPRODUCT(OFFSET($BO$15,0,0,$B$14,1), 1*(_xlfn._xlws.FILTER(OFFSET($O$15,0,$DN259,$B$8,1),OFFSET($M$15,0,0,$B$8,1))=FD$13), 1*(_xlfn._xlws.FILTER(OFFSET($O$15,0,$DO259,$B$8,1),OFFSET($M$15,0,0,$B$8,1))=FD$14))   /   SUM(OFFSET($BO$15,0,0,$B$14,1)) + $B$18/($B$19*$B$19*($DN259&lt;&gt;$DO259) + $B$19*($DN259=$DO259))</f>
        <v>3.7037037037037035E-4</v>
      </c>
      <c r="FE259" s="10" cm="1">
        <f t="array" aca="1" ref="FE259" ca="1">(1-$B$18)*SUMPRODUCT(OFFSET($BO$15,0,0,$B$14,1), 1*(_xlfn._xlws.FILTER(OFFSET($O$15,0,$DN259,$B$8,1),OFFSET($M$15,0,0,$B$8,1))=FE$13), 1*(_xlfn._xlws.FILTER(OFFSET($O$15,0,$DO259,$B$8,1),OFFSET($M$15,0,0,$B$8,1))=FE$14))   /   SUM(OFFSET($BO$15,0,0,$B$14,1)) + $B$18/($B$19*$B$19*($DN259&lt;&gt;$DO259) + $B$19*($DN259=$DO259))</f>
        <v>3.7037037037037035E-4</v>
      </c>
      <c r="FF259" s="10" cm="1">
        <f t="array" aca="1" ref="FF259" ca="1">(1-$B$18)*SUMPRODUCT(OFFSET($BO$15,0,0,$B$14,1), 1*(_xlfn._xlws.FILTER(OFFSET($O$15,0,$DN259,$B$8,1),OFFSET($M$15,0,0,$B$8,1))=FF$13), 1*(_xlfn._xlws.FILTER(OFFSET($O$15,0,$DO259,$B$8,1),OFFSET($M$15,0,0,$B$8,1))=FF$14))   /   SUM(OFFSET($BO$15,0,0,$B$14,1)) + $B$18/($B$19*$B$19*($DN259&lt;&gt;$DO259) + $B$19*($DN259=$DO259))</f>
        <v>3.7037037037037035E-4</v>
      </c>
      <c r="FG259" s="10" cm="1">
        <f t="array" aca="1" ref="FG259" ca="1">(1-$B$18)*SUMPRODUCT(OFFSET($BO$15,0,0,$B$14,1), 1*(_xlfn._xlws.FILTER(OFFSET($O$15,0,$DN259,$B$8,1),OFFSET($M$15,0,0,$B$8,1))=FG$13), 1*(_xlfn._xlws.FILTER(OFFSET($O$15,0,$DO259,$B$8,1),OFFSET($M$15,0,0,$B$8,1))=FG$14))   /   SUM(OFFSET($BO$15,0,0,$B$14,1)) + $B$18/($B$19*$B$19*($DN259&lt;&gt;$DO259) + $B$19*($DN259=$DO259))</f>
        <v>3.7037037037037035E-4</v>
      </c>
      <c r="FH259" s="10" cm="1">
        <f t="array" aca="1" ref="FH259" ca="1">(1-$B$18)*SUMPRODUCT(OFFSET($BO$15,0,0,$B$14,1), 1*(_xlfn._xlws.FILTER(OFFSET($O$15,0,$DN259,$B$8,1),OFFSET($M$15,0,0,$B$8,1))=FH$13), 1*(_xlfn._xlws.FILTER(OFFSET($O$15,0,$DO259,$B$8,1),OFFSET($M$15,0,0,$B$8,1))=FH$14))   /   SUM(OFFSET($BO$15,0,0,$B$14,1)) + $B$18/($B$19*$B$19*($DN259&lt;&gt;$DO259) + $B$19*($DN259=$DO259))</f>
        <v>3.7037037037037035E-4</v>
      </c>
      <c r="FI259" s="10" cm="1">
        <f t="array" aca="1" ref="FI259" ca="1">(1-$B$18)*SUMPRODUCT(OFFSET($BO$15,0,0,$B$14,1), 1*(_xlfn._xlws.FILTER(OFFSET($O$15,0,$DN259,$B$8,1),OFFSET($M$15,0,0,$B$8,1))=FI$13), 1*(_xlfn._xlws.FILTER(OFFSET($O$15,0,$DO259,$B$8,1),OFFSET($M$15,0,0,$B$8,1))=FI$14))   /   SUM(OFFSET($BO$15,0,0,$B$14,1)) + $B$18/($B$19*$B$19*($DN259&lt;&gt;$DO259) + $B$19*($DN259=$DO259))</f>
        <v>3.7037037037037035E-4</v>
      </c>
      <c r="FJ259" s="10" cm="1">
        <f t="array" aca="1" ref="FJ259" ca="1">(1-$B$18)*SUMPRODUCT(OFFSET($BO$15,0,0,$B$14,1), 1*(_xlfn._xlws.FILTER(OFFSET($O$15,0,$DN259,$B$8,1),OFFSET($M$15,0,0,$B$8,1))=FJ$13), 1*(_xlfn._xlws.FILTER(OFFSET($O$15,0,$DO259,$B$8,1),OFFSET($M$15,0,0,$B$8,1))=FJ$14))   /   SUM(OFFSET($BO$15,0,0,$B$14,1)) + $B$18/($B$19*$B$19*($DN259&lt;&gt;$DO259) + $B$19*($DN259=$DO259))</f>
        <v>3.7037037037037035E-4</v>
      </c>
      <c r="FK259" s="10" cm="1">
        <f t="array" aca="1" ref="FK259" ca="1">(1-$B$18)*SUMPRODUCT(OFFSET($BO$15,0,0,$B$14,1), 1*(_xlfn._xlws.FILTER(OFFSET($O$15,0,$DN259,$B$8,1),OFFSET($M$15,0,0,$B$8,1))=FK$13), 1*(_xlfn._xlws.FILTER(OFFSET($O$15,0,$DO259,$B$8,1),OFFSET($M$15,0,0,$B$8,1))=FK$14))   /   SUM(OFFSET($BO$15,0,0,$B$14,1)) + $B$18/($B$19*$B$19*($DN259&lt;&gt;$DO259) + $B$19*($DN259=$DO259))</f>
        <v>3.7037037037037035E-4</v>
      </c>
      <c r="FL259" s="10" cm="1">
        <f t="array" aca="1" ref="FL259" ca="1">(1-$B$18)*SUMPRODUCT(OFFSET($BO$15,0,0,$B$14,1), 1*(_xlfn._xlws.FILTER(OFFSET($O$15,0,$DN259,$B$8,1),OFFSET($M$15,0,0,$B$8,1))=FL$13), 1*(_xlfn._xlws.FILTER(OFFSET($O$15,0,$DO259,$B$8,1),OFFSET($M$15,0,0,$B$8,1))=FL$14))   /   SUM(OFFSET($BO$15,0,0,$B$14,1)) + $B$18/($B$19*$B$19*($DN259&lt;&gt;$DO259) + $B$19*($DN259=$DO259))</f>
        <v>3.7037037037037035E-4</v>
      </c>
      <c r="FM259" s="10" cm="1">
        <f t="array" aca="1" ref="FM259" ca="1">(1-$B$18)*SUMPRODUCT(OFFSET($BO$15,0,0,$B$14,1), 1*(_xlfn._xlws.FILTER(OFFSET($O$15,0,$DN259,$B$8,1),OFFSET($M$15,0,0,$B$8,1))=FM$13), 1*(_xlfn._xlws.FILTER(OFFSET($O$15,0,$DO259,$B$8,1),OFFSET($M$15,0,0,$B$8,1))=FM$14))   /   SUM(OFFSET($BO$15,0,0,$B$14,1)) + $B$18/($B$19*$B$19*($DN259&lt;&gt;$DO259) + $B$19*($DN259=$DO259))</f>
        <v>3.7037037037037035E-4</v>
      </c>
      <c r="FN259" s="10" cm="1">
        <f t="array" aca="1" ref="FN259" ca="1">(1-$B$18)*SUMPRODUCT(OFFSET($BO$15,0,0,$B$14,1), 1*(_xlfn._xlws.FILTER(OFFSET($O$15,0,$DN259,$B$8,1),OFFSET($M$15,0,0,$B$8,1))=FN$13), 1*(_xlfn._xlws.FILTER(OFFSET($O$15,0,$DO259,$B$8,1),OFFSET($M$15,0,0,$B$8,1))=FN$14))   /   SUM(OFFSET($BO$15,0,0,$B$14,1)) + $B$18/($B$19*$B$19*($DN259&lt;&gt;$DO259) + $B$19*($DN259=$DO259))</f>
        <v>3.7037037037037035E-4</v>
      </c>
      <c r="FO259" s="10" cm="1">
        <f t="array" aca="1" ref="FO259" ca="1">(1-$B$18)*SUMPRODUCT(OFFSET($BO$15,0,0,$B$14,1), 1*(_xlfn._xlws.FILTER(OFFSET($O$15,0,$DN259,$B$8,1),OFFSET($M$15,0,0,$B$8,1))=FO$13), 1*(_xlfn._xlws.FILTER(OFFSET($O$15,0,$DO259,$B$8,1),OFFSET($M$15,0,0,$B$8,1))=FO$14))   /   SUM(OFFSET($BO$15,0,0,$B$14,1)) + $B$18/($B$19*$B$19*($DN259&lt;&gt;$DO259) + $B$19*($DN259=$DO259))</f>
        <v>3.7037037037037035E-4</v>
      </c>
      <c r="FP259" s="10" cm="1">
        <f t="array" aca="1" ref="FP259" ca="1">(1-$B$18)*SUMPRODUCT(OFFSET($BO$15,0,0,$B$14,1), 1*(_xlfn._xlws.FILTER(OFFSET($O$15,0,$DN259,$B$8,1),OFFSET($M$15,0,0,$B$8,1))=FP$13), 1*(_xlfn._xlws.FILTER(OFFSET($O$15,0,$DO259,$B$8,1),OFFSET($M$15,0,0,$B$8,1))=FP$14))   /   SUM(OFFSET($BO$15,0,0,$B$14,1)) + $B$18/($B$19*$B$19*($DN259&lt;&gt;$DO259) + $B$19*($DN259=$DO259))</f>
        <v>3.7037037037037035E-4</v>
      </c>
      <c r="FQ259" s="10" cm="1">
        <f t="array" aca="1" ref="FQ259" ca="1">(1-$B$18)*SUMPRODUCT(OFFSET($BO$15,0,0,$B$14,1), 1*(_xlfn._xlws.FILTER(OFFSET($O$15,0,$DN259,$B$8,1),OFFSET($M$15,0,0,$B$8,1))=FQ$13), 1*(_xlfn._xlws.FILTER(OFFSET($O$15,0,$DO259,$B$8,1),OFFSET($M$15,0,0,$B$8,1))=FQ$14))   /   SUM(OFFSET($BO$15,0,0,$B$14,1)) + $B$18/($B$19*$B$19*($DN259&lt;&gt;$DO259) + $B$19*($DN259=$DO259))</f>
        <v>3.7037037037037035E-4</v>
      </c>
      <c r="FR259" s="10" cm="1">
        <f t="array" aca="1" ref="FR259" ca="1">(1-$B$18)*SUMPRODUCT(OFFSET($BO$15,0,0,$B$14,1), 1*(_xlfn._xlws.FILTER(OFFSET($O$15,0,$DN259,$B$8,1),OFFSET($M$15,0,0,$B$8,1))=FR$13), 1*(_xlfn._xlws.FILTER(OFFSET($O$15,0,$DO259,$B$8,1),OFFSET($M$15,0,0,$B$8,1))=FR$14))   /   SUM(OFFSET($BO$15,0,0,$B$14,1)) + $B$18/($B$19*$B$19*($DN259&lt;&gt;$DO259) + $B$19*($DN259=$DO259))</f>
        <v>3.7037037037037035E-4</v>
      </c>
      <c r="FS259" s="10" cm="1">
        <f t="array" aca="1" ref="FS259" ca="1">(1-$B$18)*SUMPRODUCT(OFFSET($BO$15,0,0,$B$14,1), 1*(_xlfn._xlws.FILTER(OFFSET($O$15,0,$DN259,$B$8,1),OFFSET($M$15,0,0,$B$8,1))=FS$13), 1*(_xlfn._xlws.FILTER(OFFSET($O$15,0,$DO259,$B$8,1),OFFSET($M$15,0,0,$B$8,1))=FS$14))   /   SUM(OFFSET($BO$15,0,0,$B$14,1)) + $B$18/($B$19*$B$19*($DN259&lt;&gt;$DO259) + $B$19*($DN259=$DO259))</f>
        <v>3.7037037037037035E-4</v>
      </c>
      <c r="FT259" s="10" cm="1">
        <f t="array" aca="1" ref="FT259" ca="1">(1-$B$18)*SUMPRODUCT(OFFSET($BO$15,0,0,$B$14,1), 1*(_xlfn._xlws.FILTER(OFFSET($O$15,0,$DN259,$B$8,1),OFFSET($M$15,0,0,$B$8,1))=FT$13), 1*(_xlfn._xlws.FILTER(OFFSET($O$15,0,$DO259,$B$8,1),OFFSET($M$15,0,0,$B$8,1))=FT$14))   /   SUM(OFFSET($BO$15,0,0,$B$14,1)) + $B$18/($B$19*$B$19*($DN259&lt;&gt;$DO259) + $B$19*($DN259=$DO259))</f>
        <v>3.7037037037037035E-4</v>
      </c>
      <c r="FU259" s="10" cm="1">
        <f t="array" aca="1" ref="FU259" ca="1">(1-$B$18)*SUMPRODUCT(OFFSET($BO$15,0,0,$B$14,1), 1*(_xlfn._xlws.FILTER(OFFSET($O$15,0,$DN259,$B$8,1),OFFSET($M$15,0,0,$B$8,1))=FU$13), 1*(_xlfn._xlws.FILTER(OFFSET($O$15,0,$DO259,$B$8,1),OFFSET($M$15,0,0,$B$8,1))=FU$14))   /   SUM(OFFSET($BO$15,0,0,$B$14,1)) + $B$18/($B$19*$B$19*($DN259&lt;&gt;$DO259) + $B$19*($DN259=$DO259))</f>
        <v>3.7037037037037035E-4</v>
      </c>
      <c r="FV259" s="10" cm="1">
        <f t="array" aca="1" ref="FV259" ca="1">(1-$B$18)*SUMPRODUCT(OFFSET($BO$15,0,0,$B$14,1), 1*(_xlfn._xlws.FILTER(OFFSET($O$15,0,$DN259,$B$8,1),OFFSET($M$15,0,0,$B$8,1))=FV$13), 1*(_xlfn._xlws.FILTER(OFFSET($O$15,0,$DO259,$B$8,1),OFFSET($M$15,0,0,$B$8,1))=FV$14))   /   SUM(OFFSET($BO$15,0,0,$B$14,1)) + $B$18/($B$19*$B$19*($DN259&lt;&gt;$DO259) + $B$19*($DN259=$DO259))</f>
        <v>3.7037037037037035E-4</v>
      </c>
      <c r="FW259" s="10" cm="1">
        <f t="array" aca="1" ref="FW259" ca="1">(1-$B$18)*SUMPRODUCT(OFFSET($BO$15,0,0,$B$14,1), 1*(_xlfn._xlws.FILTER(OFFSET($O$15,0,$DN259,$B$8,1),OFFSET($M$15,0,0,$B$8,1))=FW$13), 1*(_xlfn._xlws.FILTER(OFFSET($O$15,0,$DO259,$B$8,1),OFFSET($M$15,0,0,$B$8,1))=FW$14))   /   SUM(OFFSET($BO$15,0,0,$B$14,1)) + $B$18/($B$19*$B$19*($DN259&lt;&gt;$DO259) + $B$19*($DN259=$DO259))</f>
        <v>3.7037037037037035E-4</v>
      </c>
      <c r="FX259" s="10" cm="1">
        <f t="array" aca="1" ref="FX259" ca="1">(1-$B$18)*SUMPRODUCT(OFFSET($BO$15,0,0,$B$14,1), 1*(_xlfn._xlws.FILTER(OFFSET($O$15,0,$DN259,$B$8,1),OFFSET($M$15,0,0,$B$8,1))=FX$13), 1*(_xlfn._xlws.FILTER(OFFSET($O$15,0,$DO259,$B$8,1),OFFSET($M$15,0,0,$B$8,1))=FX$14))   /   SUM(OFFSET($BO$15,0,0,$B$14,1)) + $B$18/($B$19*$B$19*($DN259&lt;&gt;$DO259) + $B$19*($DN259=$DO259))</f>
        <v>3.7037037037037035E-4</v>
      </c>
      <c r="FY259" s="10" cm="1">
        <f t="array" aca="1" ref="FY259" ca="1">(1-$B$18)*SUMPRODUCT(OFFSET($BO$15,0,0,$B$14,1), 1*(_xlfn._xlws.FILTER(OFFSET($O$15,0,$DN259,$B$8,1),OFFSET($M$15,0,0,$B$8,1))=FY$13), 1*(_xlfn._xlws.FILTER(OFFSET($O$15,0,$DO259,$B$8,1),OFFSET($M$15,0,0,$B$8,1))=FY$14))   /   SUM(OFFSET($BO$15,0,0,$B$14,1)) + $B$18/($B$19*$B$19*($DN259&lt;&gt;$DO259) + $B$19*($DN259=$DO259))</f>
        <v>3.7037037037037035E-4</v>
      </c>
      <c r="FZ259" s="10" cm="1">
        <f t="array" aca="1" ref="FZ259" ca="1">(1-$B$18)*SUMPRODUCT(OFFSET($BO$15,0,0,$B$14,1), 1*(_xlfn._xlws.FILTER(OFFSET($O$15,0,$DN259,$B$8,1),OFFSET($M$15,0,0,$B$8,1))=FZ$13), 1*(_xlfn._xlws.FILTER(OFFSET($O$15,0,$DO259,$B$8,1),OFFSET($M$15,0,0,$B$8,1))=FZ$14))   /   SUM(OFFSET($BO$15,0,0,$B$14,1)) + $B$18/($B$19*$B$19*($DN259&lt;&gt;$DO259) + $B$19*($DN259=$DO259))</f>
        <v>3.7037037037037035E-4</v>
      </c>
      <c r="GA259" s="10" cm="1">
        <f t="array" aca="1" ref="GA259" ca="1">(1-$B$18)*SUMPRODUCT(OFFSET($BO$15,0,0,$B$14,1), 1*(_xlfn._xlws.FILTER(OFFSET($O$15,0,$DN259,$B$8,1),OFFSET($M$15,0,0,$B$8,1))=GA$13), 1*(_xlfn._xlws.FILTER(OFFSET($O$15,0,$DO259,$B$8,1),OFFSET($M$15,0,0,$B$8,1))=GA$14))   /   SUM(OFFSET($BO$15,0,0,$B$14,1)) + $B$18/($B$19*$B$19*($DN259&lt;&gt;$DO259) + $B$19*($DN259=$DO259))</f>
        <v>3.7037037037037035E-4</v>
      </c>
    </row>
    <row r="260" spans="118:183" x14ac:dyDescent="0.2">
      <c r="DN260" cm="1">
        <f t="array" aca="1" ref="DN260" ca="1">INDEX(_xlfn.ANCHORARRAY($CP$15), 1 + INT((ROWS($DO$15:$DO260) - 1) / ROWS(_xlfn.ANCHORARRAY($CP$15))))</f>
        <v>13</v>
      </c>
      <c r="DO260" cm="1">
        <f t="array" aca="1" ref="DO260" ca="1">INDEX(_xlfn.ANCHORARRAY($CP$15),1+MOD(ROWS($DO$15:$DO260)-1,ROWS(_xlfn.ANCHORARRAY($CP$15))))</f>
        <v>20</v>
      </c>
      <c r="DP260" s="10" cm="1">
        <f t="array" aca="1" ref="DP260" ca="1">(1-$B$18)*SUMPRODUCT(OFFSET($BO$15,0,0,$B$14,1), 1*(_xlfn._xlws.FILTER(OFFSET($O$15,0,$DN260,$B$8,1),OFFSET($M$15,0,0,$B$8,1))=DP$13), 1*(_xlfn._xlws.FILTER(OFFSET($O$15,0,$DO260,$B$8,1),OFFSET($M$15,0,0,$B$8,1))=DP$14))   /   SUM(OFFSET($BO$15,0,0,$B$14,1)) + $B$18/($B$19*$B$19*($DN260&lt;&gt;$DO260) + $B$19*($DN260=$DO260))</f>
        <v>3.7037037037037035E-4</v>
      </c>
      <c r="DQ260" s="10" cm="1">
        <f t="array" aca="1" ref="DQ260" ca="1">(1-$B$18)*SUMPRODUCT(OFFSET($BO$15,0,0,$B$14,1), 1*(_xlfn._xlws.FILTER(OFFSET($O$15,0,$DN260,$B$8,1),OFFSET($M$15,0,0,$B$8,1))=DQ$13), 1*(_xlfn._xlws.FILTER(OFFSET($O$15,0,$DO260,$B$8,1),OFFSET($M$15,0,0,$B$8,1))=DQ$14))   /   SUM(OFFSET($BO$15,0,0,$B$14,1)) + $B$18/($B$19*$B$19*($DN260&lt;&gt;$DO260) + $B$19*($DN260=$DO260))</f>
        <v>3.7037037037037035E-4</v>
      </c>
      <c r="DR260" s="10" cm="1">
        <f t="array" aca="1" ref="DR260" ca="1">(1-$B$18)*SUMPRODUCT(OFFSET($BO$15,0,0,$B$14,1), 1*(_xlfn._xlws.FILTER(OFFSET($O$15,0,$DN260,$B$8,1),OFFSET($M$15,0,0,$B$8,1))=DR$13), 1*(_xlfn._xlws.FILTER(OFFSET($O$15,0,$DO260,$B$8,1),OFFSET($M$15,0,0,$B$8,1))=DR$14))   /   SUM(OFFSET($BO$15,0,0,$B$14,1)) + $B$18/($B$19*$B$19*($DN260&lt;&gt;$DO260) + $B$19*($DN260=$DO260))</f>
        <v>3.7037037037037035E-4</v>
      </c>
      <c r="DS260" s="10" cm="1">
        <f t="array" aca="1" ref="DS260" ca="1">(1-$B$18)*SUMPRODUCT(OFFSET($BO$15,0,0,$B$14,1), 1*(_xlfn._xlws.FILTER(OFFSET($O$15,0,$DN260,$B$8,1),OFFSET($M$15,0,0,$B$8,1))=DS$13), 1*(_xlfn._xlws.FILTER(OFFSET($O$15,0,$DO260,$B$8,1),OFFSET($M$15,0,0,$B$8,1))=DS$14))   /   SUM(OFFSET($BO$15,0,0,$B$14,1)) + $B$18/($B$19*$B$19*($DN260&lt;&gt;$DO260) + $B$19*($DN260=$DO260))</f>
        <v>3.7037037037037035E-4</v>
      </c>
      <c r="DT260" s="10" cm="1">
        <f t="array" aca="1" ref="DT260" ca="1">(1-$B$18)*SUMPRODUCT(OFFSET($BO$15,0,0,$B$14,1), 1*(_xlfn._xlws.FILTER(OFFSET($O$15,0,$DN260,$B$8,1),OFFSET($M$15,0,0,$B$8,1))=DT$13), 1*(_xlfn._xlws.FILTER(OFFSET($O$15,0,$DO260,$B$8,1),OFFSET($M$15,0,0,$B$8,1))=DT$14))   /   SUM(OFFSET($BO$15,0,0,$B$14,1)) + $B$18/($B$19*$B$19*($DN260&lt;&gt;$DO260) + $B$19*($DN260=$DO260))</f>
        <v>3.7037037037037035E-4</v>
      </c>
      <c r="DU260" s="10" cm="1">
        <f t="array" aca="1" ref="DU260" ca="1">(1-$B$18)*SUMPRODUCT(OFFSET($BO$15,0,0,$B$14,1), 1*(_xlfn._xlws.FILTER(OFFSET($O$15,0,$DN260,$B$8,1),OFFSET($M$15,0,0,$B$8,1))=DU$13), 1*(_xlfn._xlws.FILTER(OFFSET($O$15,0,$DO260,$B$8,1),OFFSET($M$15,0,0,$B$8,1))=DU$14))   /   SUM(OFFSET($BO$15,0,0,$B$14,1)) + $B$18/($B$19*$B$19*($DN260&lt;&gt;$DO260) + $B$19*($DN260=$DO260))</f>
        <v>3.7037037037037035E-4</v>
      </c>
      <c r="DV260" s="10" cm="1">
        <f t="array" aca="1" ref="DV260" ca="1">(1-$B$18)*SUMPRODUCT(OFFSET($BO$15,0,0,$B$14,1), 1*(_xlfn._xlws.FILTER(OFFSET($O$15,0,$DN260,$B$8,1),OFFSET($M$15,0,0,$B$8,1))=DV$13), 1*(_xlfn._xlws.FILTER(OFFSET($O$15,0,$DO260,$B$8,1),OFFSET($M$15,0,0,$B$8,1))=DV$14))   /   SUM(OFFSET($BO$15,0,0,$B$14,1)) + $B$18/($B$19*$B$19*($DN260&lt;&gt;$DO260) + $B$19*($DN260=$DO260))</f>
        <v>3.7037037037037035E-4</v>
      </c>
      <c r="DW260" s="10" cm="1">
        <f t="array" aca="1" ref="DW260" ca="1">(1-$B$18)*SUMPRODUCT(OFFSET($BO$15,0,0,$B$14,1), 1*(_xlfn._xlws.FILTER(OFFSET($O$15,0,$DN260,$B$8,1),OFFSET($M$15,0,0,$B$8,1))=DW$13), 1*(_xlfn._xlws.FILTER(OFFSET($O$15,0,$DO260,$B$8,1),OFFSET($M$15,0,0,$B$8,1))=DW$14))   /   SUM(OFFSET($BO$15,0,0,$B$14,1)) + $B$18/($B$19*$B$19*($DN260&lt;&gt;$DO260) + $B$19*($DN260=$DO260))</f>
        <v>3.7037037037037035E-4</v>
      </c>
      <c r="DX260" s="10" cm="1">
        <f t="array" aca="1" ref="DX260" ca="1">(1-$B$18)*SUMPRODUCT(OFFSET($BO$15,0,0,$B$14,1), 1*(_xlfn._xlws.FILTER(OFFSET($O$15,0,$DN260,$B$8,1),OFFSET($M$15,0,0,$B$8,1))=DX$13), 1*(_xlfn._xlws.FILTER(OFFSET($O$15,0,$DO260,$B$8,1),OFFSET($M$15,0,0,$B$8,1))=DX$14))   /   SUM(OFFSET($BO$15,0,0,$B$14,1)) + $B$18/($B$19*$B$19*($DN260&lt;&gt;$DO260) + $B$19*($DN260=$DO260))</f>
        <v>3.7037037037037035E-4</v>
      </c>
      <c r="DY260" s="10" cm="1">
        <f t="array" aca="1" ref="DY260" ca="1">(1-$B$18)*SUMPRODUCT(OFFSET($BO$15,0,0,$B$14,1), 1*(_xlfn._xlws.FILTER(OFFSET($O$15,0,$DN260,$B$8,1),OFFSET($M$15,0,0,$B$8,1))=DY$13), 1*(_xlfn._xlws.FILTER(OFFSET($O$15,0,$DO260,$B$8,1),OFFSET($M$15,0,0,$B$8,1))=DY$14))   /   SUM(OFFSET($BO$15,0,0,$B$14,1)) + $B$18/($B$19*$B$19*($DN260&lt;&gt;$DO260) + $B$19*($DN260=$DO260))</f>
        <v>3.7037037037037035E-4</v>
      </c>
      <c r="DZ260" s="10" cm="1">
        <f t="array" aca="1" ref="DZ260" ca="1">(1-$B$18)*SUMPRODUCT(OFFSET($BO$15,0,0,$B$14,1), 1*(_xlfn._xlws.FILTER(OFFSET($O$15,0,$DN260,$B$8,1),OFFSET($M$15,0,0,$B$8,1))=DZ$13), 1*(_xlfn._xlws.FILTER(OFFSET($O$15,0,$DO260,$B$8,1),OFFSET($M$15,0,0,$B$8,1))=DZ$14))   /   SUM(OFFSET($BO$15,0,0,$B$14,1)) + $B$18/($B$19*$B$19*($DN260&lt;&gt;$DO260) + $B$19*($DN260=$DO260))</f>
        <v>3.7037037037037035E-4</v>
      </c>
      <c r="EA260" s="10" cm="1">
        <f t="array" aca="1" ref="EA260" ca="1">(1-$B$18)*SUMPRODUCT(OFFSET($BO$15,0,0,$B$14,1), 1*(_xlfn._xlws.FILTER(OFFSET($O$15,0,$DN260,$B$8,1),OFFSET($M$15,0,0,$B$8,1))=EA$13), 1*(_xlfn._xlws.FILTER(OFFSET($O$15,0,$DO260,$B$8,1),OFFSET($M$15,0,0,$B$8,1))=EA$14))   /   SUM(OFFSET($BO$15,0,0,$B$14,1)) + $B$18/($B$19*$B$19*($DN260&lt;&gt;$DO260) + $B$19*($DN260=$DO260))</f>
        <v>3.7037037037037035E-4</v>
      </c>
      <c r="EB260" s="10" cm="1">
        <f t="array" aca="1" ref="EB260" ca="1">(1-$B$18)*SUMPRODUCT(OFFSET($BO$15,0,0,$B$14,1), 1*(_xlfn._xlws.FILTER(OFFSET($O$15,0,$DN260,$B$8,1),OFFSET($M$15,0,0,$B$8,1))=EB$13), 1*(_xlfn._xlws.FILTER(OFFSET($O$15,0,$DO260,$B$8,1),OFFSET($M$15,0,0,$B$8,1))=EB$14))   /   SUM(OFFSET($BO$15,0,0,$B$14,1)) + $B$18/($B$19*$B$19*($DN260&lt;&gt;$DO260) + $B$19*($DN260=$DO260))</f>
        <v>0.24287037037037024</v>
      </c>
      <c r="EC260" s="10" cm="1">
        <f t="array" aca="1" ref="EC260" ca="1">(1-$B$18)*SUMPRODUCT(OFFSET($BO$15,0,0,$B$14,1), 1*(_xlfn._xlws.FILTER(OFFSET($O$15,0,$DN260,$B$8,1),OFFSET($M$15,0,0,$B$8,1))=EC$13), 1*(_xlfn._xlws.FILTER(OFFSET($O$15,0,$DO260,$B$8,1),OFFSET($M$15,0,0,$B$8,1))=EC$14))   /   SUM(OFFSET($BO$15,0,0,$B$14,1)) + $B$18/($B$19*$B$19*($DN260&lt;&gt;$DO260) + $B$19*($DN260=$DO260))</f>
        <v>0.24287037037037026</v>
      </c>
      <c r="ED260" s="10" cm="1">
        <f t="array" aca="1" ref="ED260" ca="1">(1-$B$18)*SUMPRODUCT(OFFSET($BO$15,0,0,$B$14,1), 1*(_xlfn._xlws.FILTER(OFFSET($O$15,0,$DN260,$B$8,1),OFFSET($M$15,0,0,$B$8,1))=ED$13), 1*(_xlfn._xlws.FILTER(OFFSET($O$15,0,$DO260,$B$8,1),OFFSET($M$15,0,0,$B$8,1))=ED$14))   /   SUM(OFFSET($BO$15,0,0,$B$14,1)) + $B$18/($B$19*$B$19*($DN260&lt;&gt;$DO260) + $B$19*($DN260=$DO260))</f>
        <v>0.48537037037037012</v>
      </c>
      <c r="EE260" s="10" cm="1">
        <f t="array" aca="1" ref="EE260" ca="1">(1-$B$18)*SUMPRODUCT(OFFSET($BO$15,0,0,$B$14,1), 1*(_xlfn._xlws.FILTER(OFFSET($O$15,0,$DN260,$B$8,1),OFFSET($M$15,0,0,$B$8,1))=EE$13), 1*(_xlfn._xlws.FILTER(OFFSET($O$15,0,$DO260,$B$8,1),OFFSET($M$15,0,0,$B$8,1))=EE$14))   /   SUM(OFFSET($BO$15,0,0,$B$14,1)) + $B$18/($B$19*$B$19*($DN260&lt;&gt;$DO260) + $B$19*($DN260=$DO260))</f>
        <v>3.7037037037037035E-4</v>
      </c>
      <c r="EF260" s="10" cm="1">
        <f t="array" aca="1" ref="EF260" ca="1">(1-$B$18)*SUMPRODUCT(OFFSET($BO$15,0,0,$B$14,1), 1*(_xlfn._xlws.FILTER(OFFSET($O$15,0,$DN260,$B$8,1),OFFSET($M$15,0,0,$B$8,1))=EF$13), 1*(_xlfn._xlws.FILTER(OFFSET($O$15,0,$DO260,$B$8,1),OFFSET($M$15,0,0,$B$8,1))=EF$14))   /   SUM(OFFSET($BO$15,0,0,$B$14,1)) + $B$18/($B$19*$B$19*($DN260&lt;&gt;$DO260) + $B$19*($DN260=$DO260))</f>
        <v>3.7037037037037035E-4</v>
      </c>
      <c r="EG260" s="10" cm="1">
        <f t="array" aca="1" ref="EG260" ca="1">(1-$B$18)*SUMPRODUCT(OFFSET($BO$15,0,0,$B$14,1), 1*(_xlfn._xlws.FILTER(OFFSET($O$15,0,$DN260,$B$8,1),OFFSET($M$15,0,0,$B$8,1))=EG$13), 1*(_xlfn._xlws.FILTER(OFFSET($O$15,0,$DO260,$B$8,1),OFFSET($M$15,0,0,$B$8,1))=EG$14))   /   SUM(OFFSET($BO$15,0,0,$B$14,1)) + $B$18/($B$19*$B$19*($DN260&lt;&gt;$DO260) + $B$19*($DN260=$DO260))</f>
        <v>3.7037037037037035E-4</v>
      </c>
      <c r="EH260" s="10" cm="1">
        <f t="array" aca="1" ref="EH260" ca="1">(1-$B$18)*SUMPRODUCT(OFFSET($BO$15,0,0,$B$14,1), 1*(_xlfn._xlws.FILTER(OFFSET($O$15,0,$DN260,$B$8,1),OFFSET($M$15,0,0,$B$8,1))=EH$13), 1*(_xlfn._xlws.FILTER(OFFSET($O$15,0,$DO260,$B$8,1),OFFSET($M$15,0,0,$B$8,1))=EH$14))   /   SUM(OFFSET($BO$15,0,0,$B$14,1)) + $B$18/($B$19*$B$19*($DN260&lt;&gt;$DO260) + $B$19*($DN260=$DO260))</f>
        <v>3.7037037037037035E-4</v>
      </c>
      <c r="EI260" s="10" cm="1">
        <f t="array" aca="1" ref="EI260" ca="1">(1-$B$18)*SUMPRODUCT(OFFSET($BO$15,0,0,$B$14,1), 1*(_xlfn._xlws.FILTER(OFFSET($O$15,0,$DN260,$B$8,1),OFFSET($M$15,0,0,$B$8,1))=EI$13), 1*(_xlfn._xlws.FILTER(OFFSET($O$15,0,$DO260,$B$8,1),OFFSET($M$15,0,0,$B$8,1))=EI$14))   /   SUM(OFFSET($BO$15,0,0,$B$14,1)) + $B$18/($B$19*$B$19*($DN260&lt;&gt;$DO260) + $B$19*($DN260=$DO260))</f>
        <v>3.7037037037037035E-4</v>
      </c>
      <c r="EJ260" s="10" cm="1">
        <f t="array" aca="1" ref="EJ260" ca="1">(1-$B$18)*SUMPRODUCT(OFFSET($BO$15,0,0,$B$14,1), 1*(_xlfn._xlws.FILTER(OFFSET($O$15,0,$DN260,$B$8,1),OFFSET($M$15,0,0,$B$8,1))=EJ$13), 1*(_xlfn._xlws.FILTER(OFFSET($O$15,0,$DO260,$B$8,1),OFFSET($M$15,0,0,$B$8,1))=EJ$14))   /   SUM(OFFSET($BO$15,0,0,$B$14,1)) + $B$18/($B$19*$B$19*($DN260&lt;&gt;$DO260) + $B$19*($DN260=$DO260))</f>
        <v>3.7037037037037035E-4</v>
      </c>
      <c r="EK260" s="10" cm="1">
        <f t="array" aca="1" ref="EK260" ca="1">(1-$B$18)*SUMPRODUCT(OFFSET($BO$15,0,0,$B$14,1), 1*(_xlfn._xlws.FILTER(OFFSET($O$15,0,$DN260,$B$8,1),OFFSET($M$15,0,0,$B$8,1))=EK$13), 1*(_xlfn._xlws.FILTER(OFFSET($O$15,0,$DO260,$B$8,1),OFFSET($M$15,0,0,$B$8,1))=EK$14))   /   SUM(OFFSET($BO$15,0,0,$B$14,1)) + $B$18/($B$19*$B$19*($DN260&lt;&gt;$DO260) + $B$19*($DN260=$DO260))</f>
        <v>3.7037037037037035E-4</v>
      </c>
      <c r="EL260" s="10" cm="1">
        <f t="array" aca="1" ref="EL260" ca="1">(1-$B$18)*SUMPRODUCT(OFFSET($BO$15,0,0,$B$14,1), 1*(_xlfn._xlws.FILTER(OFFSET($O$15,0,$DN260,$B$8,1),OFFSET($M$15,0,0,$B$8,1))=EL$13), 1*(_xlfn._xlws.FILTER(OFFSET($O$15,0,$DO260,$B$8,1),OFFSET($M$15,0,0,$B$8,1))=EL$14))   /   SUM(OFFSET($BO$15,0,0,$B$14,1)) + $B$18/($B$19*$B$19*($DN260&lt;&gt;$DO260) + $B$19*($DN260=$DO260))</f>
        <v>3.7037037037037035E-4</v>
      </c>
      <c r="EM260" s="10" cm="1">
        <f t="array" aca="1" ref="EM260" ca="1">(1-$B$18)*SUMPRODUCT(OFFSET($BO$15,0,0,$B$14,1), 1*(_xlfn._xlws.FILTER(OFFSET($O$15,0,$DN260,$B$8,1),OFFSET($M$15,0,0,$B$8,1))=EM$13), 1*(_xlfn._xlws.FILTER(OFFSET($O$15,0,$DO260,$B$8,1),OFFSET($M$15,0,0,$B$8,1))=EM$14))   /   SUM(OFFSET($BO$15,0,0,$B$14,1)) + $B$18/($B$19*$B$19*($DN260&lt;&gt;$DO260) + $B$19*($DN260=$DO260))</f>
        <v>3.7037037037037035E-4</v>
      </c>
      <c r="EN260" s="10" cm="1">
        <f t="array" aca="1" ref="EN260" ca="1">(1-$B$18)*SUMPRODUCT(OFFSET($BO$15,0,0,$B$14,1), 1*(_xlfn._xlws.FILTER(OFFSET($O$15,0,$DN260,$B$8,1),OFFSET($M$15,0,0,$B$8,1))=EN$13), 1*(_xlfn._xlws.FILTER(OFFSET($O$15,0,$DO260,$B$8,1),OFFSET($M$15,0,0,$B$8,1))=EN$14))   /   SUM(OFFSET($BO$15,0,0,$B$14,1)) + $B$18/($B$19*$B$19*($DN260&lt;&gt;$DO260) + $B$19*($DN260=$DO260))</f>
        <v>3.7037037037037035E-4</v>
      </c>
      <c r="EO260" s="10" cm="1">
        <f t="array" aca="1" ref="EO260" ca="1">(1-$B$18)*SUMPRODUCT(OFFSET($BO$15,0,0,$B$14,1), 1*(_xlfn._xlws.FILTER(OFFSET($O$15,0,$DN260,$B$8,1),OFFSET($M$15,0,0,$B$8,1))=EO$13), 1*(_xlfn._xlws.FILTER(OFFSET($O$15,0,$DO260,$B$8,1),OFFSET($M$15,0,0,$B$8,1))=EO$14))   /   SUM(OFFSET($BO$15,0,0,$B$14,1)) + $B$18/($B$19*$B$19*($DN260&lt;&gt;$DO260) + $B$19*($DN260=$DO260))</f>
        <v>3.7037037037037035E-4</v>
      </c>
      <c r="EP260" s="10" cm="1">
        <f t="array" aca="1" ref="EP260" ca="1">(1-$B$18)*SUMPRODUCT(OFFSET($BO$15,0,0,$B$14,1), 1*(_xlfn._xlws.FILTER(OFFSET($O$15,0,$DN260,$B$8,1),OFFSET($M$15,0,0,$B$8,1))=EP$13), 1*(_xlfn._xlws.FILTER(OFFSET($O$15,0,$DO260,$B$8,1),OFFSET($M$15,0,0,$B$8,1))=EP$14))   /   SUM(OFFSET($BO$15,0,0,$B$14,1)) + $B$18/($B$19*$B$19*($DN260&lt;&gt;$DO260) + $B$19*($DN260=$DO260))</f>
        <v>3.7037037037037035E-4</v>
      </c>
      <c r="EQ260" s="10" cm="1">
        <f t="array" aca="1" ref="EQ260" ca="1">(1-$B$18)*SUMPRODUCT(OFFSET($BO$15,0,0,$B$14,1), 1*(_xlfn._xlws.FILTER(OFFSET($O$15,0,$DN260,$B$8,1),OFFSET($M$15,0,0,$B$8,1))=EQ$13), 1*(_xlfn._xlws.FILTER(OFFSET($O$15,0,$DO260,$B$8,1),OFFSET($M$15,0,0,$B$8,1))=EQ$14))   /   SUM(OFFSET($BO$15,0,0,$B$14,1)) + $B$18/($B$19*$B$19*($DN260&lt;&gt;$DO260) + $B$19*($DN260=$DO260))</f>
        <v>3.7037037037037035E-4</v>
      </c>
      <c r="ER260" s="10" cm="1">
        <f t="array" aca="1" ref="ER260" ca="1">(1-$B$18)*SUMPRODUCT(OFFSET($BO$15,0,0,$B$14,1), 1*(_xlfn._xlws.FILTER(OFFSET($O$15,0,$DN260,$B$8,1),OFFSET($M$15,0,0,$B$8,1))=ER$13), 1*(_xlfn._xlws.FILTER(OFFSET($O$15,0,$DO260,$B$8,1),OFFSET($M$15,0,0,$B$8,1))=ER$14))   /   SUM(OFFSET($BO$15,0,0,$B$14,1)) + $B$18/($B$19*$B$19*($DN260&lt;&gt;$DO260) + $B$19*($DN260=$DO260))</f>
        <v>3.7037037037037035E-4</v>
      </c>
      <c r="ES260" s="10" cm="1">
        <f t="array" aca="1" ref="ES260" ca="1">(1-$B$18)*SUMPRODUCT(OFFSET($BO$15,0,0,$B$14,1), 1*(_xlfn._xlws.FILTER(OFFSET($O$15,0,$DN260,$B$8,1),OFFSET($M$15,0,0,$B$8,1))=ES$13), 1*(_xlfn._xlws.FILTER(OFFSET($O$15,0,$DO260,$B$8,1),OFFSET($M$15,0,0,$B$8,1))=ES$14))   /   SUM(OFFSET($BO$15,0,0,$B$14,1)) + $B$18/($B$19*$B$19*($DN260&lt;&gt;$DO260) + $B$19*($DN260=$DO260))</f>
        <v>3.7037037037037035E-4</v>
      </c>
      <c r="ET260" s="10" cm="1">
        <f t="array" aca="1" ref="ET260" ca="1">(1-$B$18)*SUMPRODUCT(OFFSET($BO$15,0,0,$B$14,1), 1*(_xlfn._xlws.FILTER(OFFSET($O$15,0,$DN260,$B$8,1),OFFSET($M$15,0,0,$B$8,1))=ET$13), 1*(_xlfn._xlws.FILTER(OFFSET($O$15,0,$DO260,$B$8,1),OFFSET($M$15,0,0,$B$8,1))=ET$14))   /   SUM(OFFSET($BO$15,0,0,$B$14,1)) + $B$18/($B$19*$B$19*($DN260&lt;&gt;$DO260) + $B$19*($DN260=$DO260))</f>
        <v>3.7037037037037035E-4</v>
      </c>
      <c r="EU260" s="10" cm="1">
        <f t="array" aca="1" ref="EU260" ca="1">(1-$B$18)*SUMPRODUCT(OFFSET($BO$15,0,0,$B$14,1), 1*(_xlfn._xlws.FILTER(OFFSET($O$15,0,$DN260,$B$8,1),OFFSET($M$15,0,0,$B$8,1))=EU$13), 1*(_xlfn._xlws.FILTER(OFFSET($O$15,0,$DO260,$B$8,1),OFFSET($M$15,0,0,$B$8,1))=EU$14))   /   SUM(OFFSET($BO$15,0,0,$B$14,1)) + $B$18/($B$19*$B$19*($DN260&lt;&gt;$DO260) + $B$19*($DN260=$DO260))</f>
        <v>3.7037037037037035E-4</v>
      </c>
      <c r="EV260" s="10" cm="1">
        <f t="array" aca="1" ref="EV260" ca="1">(1-$B$18)*SUMPRODUCT(OFFSET($BO$15,0,0,$B$14,1), 1*(_xlfn._xlws.FILTER(OFFSET($O$15,0,$DN260,$B$8,1),OFFSET($M$15,0,0,$B$8,1))=EV$13), 1*(_xlfn._xlws.FILTER(OFFSET($O$15,0,$DO260,$B$8,1),OFFSET($M$15,0,0,$B$8,1))=EV$14))   /   SUM(OFFSET($BO$15,0,0,$B$14,1)) + $B$18/($B$19*$B$19*($DN260&lt;&gt;$DO260) + $B$19*($DN260=$DO260))</f>
        <v>3.7037037037037035E-4</v>
      </c>
      <c r="EW260" s="10" cm="1">
        <f t="array" aca="1" ref="EW260" ca="1">(1-$B$18)*SUMPRODUCT(OFFSET($BO$15,0,0,$B$14,1), 1*(_xlfn._xlws.FILTER(OFFSET($O$15,0,$DN260,$B$8,1),OFFSET($M$15,0,0,$B$8,1))=EW$13), 1*(_xlfn._xlws.FILTER(OFFSET($O$15,0,$DO260,$B$8,1),OFFSET($M$15,0,0,$B$8,1))=EW$14))   /   SUM(OFFSET($BO$15,0,0,$B$14,1)) + $B$18/($B$19*$B$19*($DN260&lt;&gt;$DO260) + $B$19*($DN260=$DO260))</f>
        <v>3.7037037037037035E-4</v>
      </c>
      <c r="EX260" s="10" cm="1">
        <f t="array" aca="1" ref="EX260" ca="1">(1-$B$18)*SUMPRODUCT(OFFSET($BO$15,0,0,$B$14,1), 1*(_xlfn._xlws.FILTER(OFFSET($O$15,0,$DN260,$B$8,1),OFFSET($M$15,0,0,$B$8,1))=EX$13), 1*(_xlfn._xlws.FILTER(OFFSET($O$15,0,$DO260,$B$8,1),OFFSET($M$15,0,0,$B$8,1))=EX$14))   /   SUM(OFFSET($BO$15,0,0,$B$14,1)) + $B$18/($B$19*$B$19*($DN260&lt;&gt;$DO260) + $B$19*($DN260=$DO260))</f>
        <v>3.7037037037037035E-4</v>
      </c>
      <c r="EY260" s="10" cm="1">
        <f t="array" aca="1" ref="EY260" ca="1">(1-$B$18)*SUMPRODUCT(OFFSET($BO$15,0,0,$B$14,1), 1*(_xlfn._xlws.FILTER(OFFSET($O$15,0,$DN260,$B$8,1),OFFSET($M$15,0,0,$B$8,1))=EY$13), 1*(_xlfn._xlws.FILTER(OFFSET($O$15,0,$DO260,$B$8,1),OFFSET($M$15,0,0,$B$8,1))=EY$14))   /   SUM(OFFSET($BO$15,0,0,$B$14,1)) + $B$18/($B$19*$B$19*($DN260&lt;&gt;$DO260) + $B$19*($DN260=$DO260))</f>
        <v>3.7037037037037035E-4</v>
      </c>
      <c r="EZ260" s="10" cm="1">
        <f t="array" aca="1" ref="EZ260" ca="1">(1-$B$18)*SUMPRODUCT(OFFSET($BO$15,0,0,$B$14,1), 1*(_xlfn._xlws.FILTER(OFFSET($O$15,0,$DN260,$B$8,1),OFFSET($M$15,0,0,$B$8,1))=EZ$13), 1*(_xlfn._xlws.FILTER(OFFSET($O$15,0,$DO260,$B$8,1),OFFSET($M$15,0,0,$B$8,1))=EZ$14))   /   SUM(OFFSET($BO$15,0,0,$B$14,1)) + $B$18/($B$19*$B$19*($DN260&lt;&gt;$DO260) + $B$19*($DN260=$DO260))</f>
        <v>3.7037037037037035E-4</v>
      </c>
      <c r="FA260" s="10" cm="1">
        <f t="array" aca="1" ref="FA260" ca="1">(1-$B$18)*SUMPRODUCT(OFFSET($BO$15,0,0,$B$14,1), 1*(_xlfn._xlws.FILTER(OFFSET($O$15,0,$DN260,$B$8,1),OFFSET($M$15,0,0,$B$8,1))=FA$13), 1*(_xlfn._xlws.FILTER(OFFSET($O$15,0,$DO260,$B$8,1),OFFSET($M$15,0,0,$B$8,1))=FA$14))   /   SUM(OFFSET($BO$15,0,0,$B$14,1)) + $B$18/($B$19*$B$19*($DN260&lt;&gt;$DO260) + $B$19*($DN260=$DO260))</f>
        <v>3.7037037037037035E-4</v>
      </c>
      <c r="FB260" s="10" cm="1">
        <f t="array" aca="1" ref="FB260" ca="1">(1-$B$18)*SUMPRODUCT(OFFSET($BO$15,0,0,$B$14,1), 1*(_xlfn._xlws.FILTER(OFFSET($O$15,0,$DN260,$B$8,1),OFFSET($M$15,0,0,$B$8,1))=FB$13), 1*(_xlfn._xlws.FILTER(OFFSET($O$15,0,$DO260,$B$8,1),OFFSET($M$15,0,0,$B$8,1))=FB$14))   /   SUM(OFFSET($BO$15,0,0,$B$14,1)) + $B$18/($B$19*$B$19*($DN260&lt;&gt;$DO260) + $B$19*($DN260=$DO260))</f>
        <v>3.7037037037037035E-4</v>
      </c>
      <c r="FC260" s="10" cm="1">
        <f t="array" aca="1" ref="FC260" ca="1">(1-$B$18)*SUMPRODUCT(OFFSET($BO$15,0,0,$B$14,1), 1*(_xlfn._xlws.FILTER(OFFSET($O$15,0,$DN260,$B$8,1),OFFSET($M$15,0,0,$B$8,1))=FC$13), 1*(_xlfn._xlws.FILTER(OFFSET($O$15,0,$DO260,$B$8,1),OFFSET($M$15,0,0,$B$8,1))=FC$14))   /   SUM(OFFSET($BO$15,0,0,$B$14,1)) + $B$18/($B$19*$B$19*($DN260&lt;&gt;$DO260) + $B$19*($DN260=$DO260))</f>
        <v>3.7037037037037035E-4</v>
      </c>
      <c r="FD260" s="10" cm="1">
        <f t="array" aca="1" ref="FD260" ca="1">(1-$B$18)*SUMPRODUCT(OFFSET($BO$15,0,0,$B$14,1), 1*(_xlfn._xlws.FILTER(OFFSET($O$15,0,$DN260,$B$8,1),OFFSET($M$15,0,0,$B$8,1))=FD$13), 1*(_xlfn._xlws.FILTER(OFFSET($O$15,0,$DO260,$B$8,1),OFFSET($M$15,0,0,$B$8,1))=FD$14))   /   SUM(OFFSET($BO$15,0,0,$B$14,1)) + $B$18/($B$19*$B$19*($DN260&lt;&gt;$DO260) + $B$19*($DN260=$DO260))</f>
        <v>3.7037037037037035E-4</v>
      </c>
      <c r="FE260" s="10" cm="1">
        <f t="array" aca="1" ref="FE260" ca="1">(1-$B$18)*SUMPRODUCT(OFFSET($BO$15,0,0,$B$14,1), 1*(_xlfn._xlws.FILTER(OFFSET($O$15,0,$DN260,$B$8,1),OFFSET($M$15,0,0,$B$8,1))=FE$13), 1*(_xlfn._xlws.FILTER(OFFSET($O$15,0,$DO260,$B$8,1),OFFSET($M$15,0,0,$B$8,1))=FE$14))   /   SUM(OFFSET($BO$15,0,0,$B$14,1)) + $B$18/($B$19*$B$19*($DN260&lt;&gt;$DO260) + $B$19*($DN260=$DO260))</f>
        <v>3.7037037037037035E-4</v>
      </c>
      <c r="FF260" s="10" cm="1">
        <f t="array" aca="1" ref="FF260" ca="1">(1-$B$18)*SUMPRODUCT(OFFSET($BO$15,0,0,$B$14,1), 1*(_xlfn._xlws.FILTER(OFFSET($O$15,0,$DN260,$B$8,1),OFFSET($M$15,0,0,$B$8,1))=FF$13), 1*(_xlfn._xlws.FILTER(OFFSET($O$15,0,$DO260,$B$8,1),OFFSET($M$15,0,0,$B$8,1))=FF$14))   /   SUM(OFFSET($BO$15,0,0,$B$14,1)) + $B$18/($B$19*$B$19*($DN260&lt;&gt;$DO260) + $B$19*($DN260=$DO260))</f>
        <v>3.7037037037037035E-4</v>
      </c>
      <c r="FG260" s="10" cm="1">
        <f t="array" aca="1" ref="FG260" ca="1">(1-$B$18)*SUMPRODUCT(OFFSET($BO$15,0,0,$B$14,1), 1*(_xlfn._xlws.FILTER(OFFSET($O$15,0,$DN260,$B$8,1),OFFSET($M$15,0,0,$B$8,1))=FG$13), 1*(_xlfn._xlws.FILTER(OFFSET($O$15,0,$DO260,$B$8,1),OFFSET($M$15,0,0,$B$8,1))=FG$14))   /   SUM(OFFSET($BO$15,0,0,$B$14,1)) + $B$18/($B$19*$B$19*($DN260&lt;&gt;$DO260) + $B$19*($DN260=$DO260))</f>
        <v>3.7037037037037035E-4</v>
      </c>
      <c r="FH260" s="10" cm="1">
        <f t="array" aca="1" ref="FH260" ca="1">(1-$B$18)*SUMPRODUCT(OFFSET($BO$15,0,0,$B$14,1), 1*(_xlfn._xlws.FILTER(OFFSET($O$15,0,$DN260,$B$8,1),OFFSET($M$15,0,0,$B$8,1))=FH$13), 1*(_xlfn._xlws.FILTER(OFFSET($O$15,0,$DO260,$B$8,1),OFFSET($M$15,0,0,$B$8,1))=FH$14))   /   SUM(OFFSET($BO$15,0,0,$B$14,1)) + $B$18/($B$19*$B$19*($DN260&lt;&gt;$DO260) + $B$19*($DN260=$DO260))</f>
        <v>3.7037037037037035E-4</v>
      </c>
      <c r="FI260" s="10" cm="1">
        <f t="array" aca="1" ref="FI260" ca="1">(1-$B$18)*SUMPRODUCT(OFFSET($BO$15,0,0,$B$14,1), 1*(_xlfn._xlws.FILTER(OFFSET($O$15,0,$DN260,$B$8,1),OFFSET($M$15,0,0,$B$8,1))=FI$13), 1*(_xlfn._xlws.FILTER(OFFSET($O$15,0,$DO260,$B$8,1),OFFSET($M$15,0,0,$B$8,1))=FI$14))   /   SUM(OFFSET($BO$15,0,0,$B$14,1)) + $B$18/($B$19*$B$19*($DN260&lt;&gt;$DO260) + $B$19*($DN260=$DO260))</f>
        <v>3.7037037037037035E-4</v>
      </c>
      <c r="FJ260" s="10" cm="1">
        <f t="array" aca="1" ref="FJ260" ca="1">(1-$B$18)*SUMPRODUCT(OFFSET($BO$15,0,0,$B$14,1), 1*(_xlfn._xlws.FILTER(OFFSET($O$15,0,$DN260,$B$8,1),OFFSET($M$15,0,0,$B$8,1))=FJ$13), 1*(_xlfn._xlws.FILTER(OFFSET($O$15,0,$DO260,$B$8,1),OFFSET($M$15,0,0,$B$8,1))=FJ$14))   /   SUM(OFFSET($BO$15,0,0,$B$14,1)) + $B$18/($B$19*$B$19*($DN260&lt;&gt;$DO260) + $B$19*($DN260=$DO260))</f>
        <v>3.7037037037037035E-4</v>
      </c>
      <c r="FK260" s="10" cm="1">
        <f t="array" aca="1" ref="FK260" ca="1">(1-$B$18)*SUMPRODUCT(OFFSET($BO$15,0,0,$B$14,1), 1*(_xlfn._xlws.FILTER(OFFSET($O$15,0,$DN260,$B$8,1),OFFSET($M$15,0,0,$B$8,1))=FK$13), 1*(_xlfn._xlws.FILTER(OFFSET($O$15,0,$DO260,$B$8,1),OFFSET($M$15,0,0,$B$8,1))=FK$14))   /   SUM(OFFSET($BO$15,0,0,$B$14,1)) + $B$18/($B$19*$B$19*($DN260&lt;&gt;$DO260) + $B$19*($DN260=$DO260))</f>
        <v>3.7037037037037035E-4</v>
      </c>
      <c r="FL260" s="10" cm="1">
        <f t="array" aca="1" ref="FL260" ca="1">(1-$B$18)*SUMPRODUCT(OFFSET($BO$15,0,0,$B$14,1), 1*(_xlfn._xlws.FILTER(OFFSET($O$15,0,$DN260,$B$8,1),OFFSET($M$15,0,0,$B$8,1))=FL$13), 1*(_xlfn._xlws.FILTER(OFFSET($O$15,0,$DO260,$B$8,1),OFFSET($M$15,0,0,$B$8,1))=FL$14))   /   SUM(OFFSET($BO$15,0,0,$B$14,1)) + $B$18/($B$19*$B$19*($DN260&lt;&gt;$DO260) + $B$19*($DN260=$DO260))</f>
        <v>3.7037037037037035E-4</v>
      </c>
      <c r="FM260" s="10" cm="1">
        <f t="array" aca="1" ref="FM260" ca="1">(1-$B$18)*SUMPRODUCT(OFFSET($BO$15,0,0,$B$14,1), 1*(_xlfn._xlws.FILTER(OFFSET($O$15,0,$DN260,$B$8,1),OFFSET($M$15,0,0,$B$8,1))=FM$13), 1*(_xlfn._xlws.FILTER(OFFSET($O$15,0,$DO260,$B$8,1),OFFSET($M$15,0,0,$B$8,1))=FM$14))   /   SUM(OFFSET($BO$15,0,0,$B$14,1)) + $B$18/($B$19*$B$19*($DN260&lt;&gt;$DO260) + $B$19*($DN260=$DO260))</f>
        <v>3.7037037037037035E-4</v>
      </c>
      <c r="FN260" s="10" cm="1">
        <f t="array" aca="1" ref="FN260" ca="1">(1-$B$18)*SUMPRODUCT(OFFSET($BO$15,0,0,$B$14,1), 1*(_xlfn._xlws.FILTER(OFFSET($O$15,0,$DN260,$B$8,1),OFFSET($M$15,0,0,$B$8,1))=FN$13), 1*(_xlfn._xlws.FILTER(OFFSET($O$15,0,$DO260,$B$8,1),OFFSET($M$15,0,0,$B$8,1))=FN$14))   /   SUM(OFFSET($BO$15,0,0,$B$14,1)) + $B$18/($B$19*$B$19*($DN260&lt;&gt;$DO260) + $B$19*($DN260=$DO260))</f>
        <v>3.7037037037037035E-4</v>
      </c>
      <c r="FO260" s="10" cm="1">
        <f t="array" aca="1" ref="FO260" ca="1">(1-$B$18)*SUMPRODUCT(OFFSET($BO$15,0,0,$B$14,1), 1*(_xlfn._xlws.FILTER(OFFSET($O$15,0,$DN260,$B$8,1),OFFSET($M$15,0,0,$B$8,1))=FO$13), 1*(_xlfn._xlws.FILTER(OFFSET($O$15,0,$DO260,$B$8,1),OFFSET($M$15,0,0,$B$8,1))=FO$14))   /   SUM(OFFSET($BO$15,0,0,$B$14,1)) + $B$18/($B$19*$B$19*($DN260&lt;&gt;$DO260) + $B$19*($DN260=$DO260))</f>
        <v>3.7037037037037035E-4</v>
      </c>
      <c r="FP260" s="10" cm="1">
        <f t="array" aca="1" ref="FP260" ca="1">(1-$B$18)*SUMPRODUCT(OFFSET($BO$15,0,0,$B$14,1), 1*(_xlfn._xlws.FILTER(OFFSET($O$15,0,$DN260,$B$8,1),OFFSET($M$15,0,0,$B$8,1))=FP$13), 1*(_xlfn._xlws.FILTER(OFFSET($O$15,0,$DO260,$B$8,1),OFFSET($M$15,0,0,$B$8,1))=FP$14))   /   SUM(OFFSET($BO$15,0,0,$B$14,1)) + $B$18/($B$19*$B$19*($DN260&lt;&gt;$DO260) + $B$19*($DN260=$DO260))</f>
        <v>3.7037037037037035E-4</v>
      </c>
      <c r="FQ260" s="10" cm="1">
        <f t="array" aca="1" ref="FQ260" ca="1">(1-$B$18)*SUMPRODUCT(OFFSET($BO$15,0,0,$B$14,1), 1*(_xlfn._xlws.FILTER(OFFSET($O$15,0,$DN260,$B$8,1),OFFSET($M$15,0,0,$B$8,1))=FQ$13), 1*(_xlfn._xlws.FILTER(OFFSET($O$15,0,$DO260,$B$8,1),OFFSET($M$15,0,0,$B$8,1))=FQ$14))   /   SUM(OFFSET($BO$15,0,0,$B$14,1)) + $B$18/($B$19*$B$19*($DN260&lt;&gt;$DO260) + $B$19*($DN260=$DO260))</f>
        <v>3.7037037037037035E-4</v>
      </c>
      <c r="FR260" s="10" cm="1">
        <f t="array" aca="1" ref="FR260" ca="1">(1-$B$18)*SUMPRODUCT(OFFSET($BO$15,0,0,$B$14,1), 1*(_xlfn._xlws.FILTER(OFFSET($O$15,0,$DN260,$B$8,1),OFFSET($M$15,0,0,$B$8,1))=FR$13), 1*(_xlfn._xlws.FILTER(OFFSET($O$15,0,$DO260,$B$8,1),OFFSET($M$15,0,0,$B$8,1))=FR$14))   /   SUM(OFFSET($BO$15,0,0,$B$14,1)) + $B$18/($B$19*$B$19*($DN260&lt;&gt;$DO260) + $B$19*($DN260=$DO260))</f>
        <v>3.7037037037037035E-4</v>
      </c>
      <c r="FS260" s="10" cm="1">
        <f t="array" aca="1" ref="FS260" ca="1">(1-$B$18)*SUMPRODUCT(OFFSET($BO$15,0,0,$B$14,1), 1*(_xlfn._xlws.FILTER(OFFSET($O$15,0,$DN260,$B$8,1),OFFSET($M$15,0,0,$B$8,1))=FS$13), 1*(_xlfn._xlws.FILTER(OFFSET($O$15,0,$DO260,$B$8,1),OFFSET($M$15,0,0,$B$8,1))=FS$14))   /   SUM(OFFSET($BO$15,0,0,$B$14,1)) + $B$18/($B$19*$B$19*($DN260&lt;&gt;$DO260) + $B$19*($DN260=$DO260))</f>
        <v>3.7037037037037035E-4</v>
      </c>
      <c r="FT260" s="10" cm="1">
        <f t="array" aca="1" ref="FT260" ca="1">(1-$B$18)*SUMPRODUCT(OFFSET($BO$15,0,0,$B$14,1), 1*(_xlfn._xlws.FILTER(OFFSET($O$15,0,$DN260,$B$8,1),OFFSET($M$15,0,0,$B$8,1))=FT$13), 1*(_xlfn._xlws.FILTER(OFFSET($O$15,0,$DO260,$B$8,1),OFFSET($M$15,0,0,$B$8,1))=FT$14))   /   SUM(OFFSET($BO$15,0,0,$B$14,1)) + $B$18/($B$19*$B$19*($DN260&lt;&gt;$DO260) + $B$19*($DN260=$DO260))</f>
        <v>3.7037037037037035E-4</v>
      </c>
      <c r="FU260" s="10" cm="1">
        <f t="array" aca="1" ref="FU260" ca="1">(1-$B$18)*SUMPRODUCT(OFFSET($BO$15,0,0,$B$14,1), 1*(_xlfn._xlws.FILTER(OFFSET($O$15,0,$DN260,$B$8,1),OFFSET($M$15,0,0,$B$8,1))=FU$13), 1*(_xlfn._xlws.FILTER(OFFSET($O$15,0,$DO260,$B$8,1),OFFSET($M$15,0,0,$B$8,1))=FU$14))   /   SUM(OFFSET($BO$15,0,0,$B$14,1)) + $B$18/($B$19*$B$19*($DN260&lt;&gt;$DO260) + $B$19*($DN260=$DO260))</f>
        <v>3.7037037037037035E-4</v>
      </c>
      <c r="FV260" s="10" cm="1">
        <f t="array" aca="1" ref="FV260" ca="1">(1-$B$18)*SUMPRODUCT(OFFSET($BO$15,0,0,$B$14,1), 1*(_xlfn._xlws.FILTER(OFFSET($O$15,0,$DN260,$B$8,1),OFFSET($M$15,0,0,$B$8,1))=FV$13), 1*(_xlfn._xlws.FILTER(OFFSET($O$15,0,$DO260,$B$8,1),OFFSET($M$15,0,0,$B$8,1))=FV$14))   /   SUM(OFFSET($BO$15,0,0,$B$14,1)) + $B$18/($B$19*$B$19*($DN260&lt;&gt;$DO260) + $B$19*($DN260=$DO260))</f>
        <v>3.7037037037037035E-4</v>
      </c>
      <c r="FW260" s="10" cm="1">
        <f t="array" aca="1" ref="FW260" ca="1">(1-$B$18)*SUMPRODUCT(OFFSET($BO$15,0,0,$B$14,1), 1*(_xlfn._xlws.FILTER(OFFSET($O$15,0,$DN260,$B$8,1),OFFSET($M$15,0,0,$B$8,1))=FW$13), 1*(_xlfn._xlws.FILTER(OFFSET($O$15,0,$DO260,$B$8,1),OFFSET($M$15,0,0,$B$8,1))=FW$14))   /   SUM(OFFSET($BO$15,0,0,$B$14,1)) + $B$18/($B$19*$B$19*($DN260&lt;&gt;$DO260) + $B$19*($DN260=$DO260))</f>
        <v>3.7037037037037035E-4</v>
      </c>
      <c r="FX260" s="10" cm="1">
        <f t="array" aca="1" ref="FX260" ca="1">(1-$B$18)*SUMPRODUCT(OFFSET($BO$15,0,0,$B$14,1), 1*(_xlfn._xlws.FILTER(OFFSET($O$15,0,$DN260,$B$8,1),OFFSET($M$15,0,0,$B$8,1))=FX$13), 1*(_xlfn._xlws.FILTER(OFFSET($O$15,0,$DO260,$B$8,1),OFFSET($M$15,0,0,$B$8,1))=FX$14))   /   SUM(OFFSET($BO$15,0,0,$B$14,1)) + $B$18/($B$19*$B$19*($DN260&lt;&gt;$DO260) + $B$19*($DN260=$DO260))</f>
        <v>3.7037037037037035E-4</v>
      </c>
      <c r="FY260" s="10" cm="1">
        <f t="array" aca="1" ref="FY260" ca="1">(1-$B$18)*SUMPRODUCT(OFFSET($BO$15,0,0,$B$14,1), 1*(_xlfn._xlws.FILTER(OFFSET($O$15,0,$DN260,$B$8,1),OFFSET($M$15,0,0,$B$8,1))=FY$13), 1*(_xlfn._xlws.FILTER(OFFSET($O$15,0,$DO260,$B$8,1),OFFSET($M$15,0,0,$B$8,1))=FY$14))   /   SUM(OFFSET($BO$15,0,0,$B$14,1)) + $B$18/($B$19*$B$19*($DN260&lt;&gt;$DO260) + $B$19*($DN260=$DO260))</f>
        <v>3.7037037037037035E-4</v>
      </c>
      <c r="FZ260" s="10" cm="1">
        <f t="array" aca="1" ref="FZ260" ca="1">(1-$B$18)*SUMPRODUCT(OFFSET($BO$15,0,0,$B$14,1), 1*(_xlfn._xlws.FILTER(OFFSET($O$15,0,$DN260,$B$8,1),OFFSET($M$15,0,0,$B$8,1))=FZ$13), 1*(_xlfn._xlws.FILTER(OFFSET($O$15,0,$DO260,$B$8,1),OFFSET($M$15,0,0,$B$8,1))=FZ$14))   /   SUM(OFFSET($BO$15,0,0,$B$14,1)) + $B$18/($B$19*$B$19*($DN260&lt;&gt;$DO260) + $B$19*($DN260=$DO260))</f>
        <v>3.7037037037037035E-4</v>
      </c>
      <c r="GA260" s="10" cm="1">
        <f t="array" aca="1" ref="GA260" ca="1">(1-$B$18)*SUMPRODUCT(OFFSET($BO$15,0,0,$B$14,1), 1*(_xlfn._xlws.FILTER(OFFSET($O$15,0,$DN260,$B$8,1),OFFSET($M$15,0,0,$B$8,1))=GA$13), 1*(_xlfn._xlws.FILTER(OFFSET($O$15,0,$DO260,$B$8,1),OFFSET($M$15,0,0,$B$8,1))=GA$14))   /   SUM(OFFSET($BO$15,0,0,$B$14,1)) + $B$18/($B$19*$B$19*($DN260&lt;&gt;$DO260) + $B$19*($DN260=$DO260))</f>
        <v>3.7037037037037035E-4</v>
      </c>
    </row>
    <row r="261" spans="118:183" x14ac:dyDescent="0.2">
      <c r="DN261" cm="1">
        <f t="array" aca="1" ref="DN261" ca="1">INDEX(_xlfn.ANCHORARRAY($CP$15), 1 + INT((ROWS($DO$15:$DO261) - 1) / ROWS(_xlfn.ANCHORARRAY($CP$15))))</f>
        <v>13</v>
      </c>
      <c r="DO261" cm="1">
        <f t="array" aca="1" ref="DO261" ca="1">INDEX(_xlfn.ANCHORARRAY($CP$15),1+MOD(ROWS($DO$15:$DO261)-1,ROWS(_xlfn.ANCHORARRAY($CP$15))))</f>
        <v>21</v>
      </c>
      <c r="DP261" s="10" cm="1">
        <f t="array" aca="1" ref="DP261" ca="1">(1-$B$18)*SUMPRODUCT(OFFSET($BO$15,0,0,$B$14,1), 1*(_xlfn._xlws.FILTER(OFFSET($O$15,0,$DN261,$B$8,1),OFFSET($M$15,0,0,$B$8,1))=DP$13), 1*(_xlfn._xlws.FILTER(OFFSET($O$15,0,$DO261,$B$8,1),OFFSET($M$15,0,0,$B$8,1))=DP$14))   /   SUM(OFFSET($BO$15,0,0,$B$14,1)) + $B$18/($B$19*$B$19*($DN261&lt;&gt;$DO261) + $B$19*($DN261=$DO261))</f>
        <v>3.7037037037037035E-4</v>
      </c>
      <c r="DQ261" s="10" cm="1">
        <f t="array" aca="1" ref="DQ261" ca="1">(1-$B$18)*SUMPRODUCT(OFFSET($BO$15,0,0,$B$14,1), 1*(_xlfn._xlws.FILTER(OFFSET($O$15,0,$DN261,$B$8,1),OFFSET($M$15,0,0,$B$8,1))=DQ$13), 1*(_xlfn._xlws.FILTER(OFFSET($O$15,0,$DO261,$B$8,1),OFFSET($M$15,0,0,$B$8,1))=DQ$14))   /   SUM(OFFSET($BO$15,0,0,$B$14,1)) + $B$18/($B$19*$B$19*($DN261&lt;&gt;$DO261) + $B$19*($DN261=$DO261))</f>
        <v>3.7037037037037035E-4</v>
      </c>
      <c r="DR261" s="10" cm="1">
        <f t="array" aca="1" ref="DR261" ca="1">(1-$B$18)*SUMPRODUCT(OFFSET($BO$15,0,0,$B$14,1), 1*(_xlfn._xlws.FILTER(OFFSET($O$15,0,$DN261,$B$8,1),OFFSET($M$15,0,0,$B$8,1))=DR$13), 1*(_xlfn._xlws.FILTER(OFFSET($O$15,0,$DO261,$B$8,1),OFFSET($M$15,0,0,$B$8,1))=DR$14))   /   SUM(OFFSET($BO$15,0,0,$B$14,1)) + $B$18/($B$19*$B$19*($DN261&lt;&gt;$DO261) + $B$19*($DN261=$DO261))</f>
        <v>3.7037037037037035E-4</v>
      </c>
      <c r="DS261" s="10" cm="1">
        <f t="array" aca="1" ref="DS261" ca="1">(1-$B$18)*SUMPRODUCT(OFFSET($BO$15,0,0,$B$14,1), 1*(_xlfn._xlws.FILTER(OFFSET($O$15,0,$DN261,$B$8,1),OFFSET($M$15,0,0,$B$8,1))=DS$13), 1*(_xlfn._xlws.FILTER(OFFSET($O$15,0,$DO261,$B$8,1),OFFSET($M$15,0,0,$B$8,1))=DS$14))   /   SUM(OFFSET($BO$15,0,0,$B$14,1)) + $B$18/($B$19*$B$19*($DN261&lt;&gt;$DO261) + $B$19*($DN261=$DO261))</f>
        <v>3.7037037037037035E-4</v>
      </c>
      <c r="DT261" s="10" cm="1">
        <f t="array" aca="1" ref="DT261" ca="1">(1-$B$18)*SUMPRODUCT(OFFSET($BO$15,0,0,$B$14,1), 1*(_xlfn._xlws.FILTER(OFFSET($O$15,0,$DN261,$B$8,1),OFFSET($M$15,0,0,$B$8,1))=DT$13), 1*(_xlfn._xlws.FILTER(OFFSET($O$15,0,$DO261,$B$8,1),OFFSET($M$15,0,0,$B$8,1))=DT$14))   /   SUM(OFFSET($BO$15,0,0,$B$14,1)) + $B$18/($B$19*$B$19*($DN261&lt;&gt;$DO261) + $B$19*($DN261=$DO261))</f>
        <v>3.7037037037037035E-4</v>
      </c>
      <c r="DU261" s="10" cm="1">
        <f t="array" aca="1" ref="DU261" ca="1">(1-$B$18)*SUMPRODUCT(OFFSET($BO$15,0,0,$B$14,1), 1*(_xlfn._xlws.FILTER(OFFSET($O$15,0,$DN261,$B$8,1),OFFSET($M$15,0,0,$B$8,1))=DU$13), 1*(_xlfn._xlws.FILTER(OFFSET($O$15,0,$DO261,$B$8,1),OFFSET($M$15,0,0,$B$8,1))=DU$14))   /   SUM(OFFSET($BO$15,0,0,$B$14,1)) + $B$18/($B$19*$B$19*($DN261&lt;&gt;$DO261) + $B$19*($DN261=$DO261))</f>
        <v>3.7037037037037035E-4</v>
      </c>
      <c r="DV261" s="10" cm="1">
        <f t="array" aca="1" ref="DV261" ca="1">(1-$B$18)*SUMPRODUCT(OFFSET($BO$15,0,0,$B$14,1), 1*(_xlfn._xlws.FILTER(OFFSET($O$15,0,$DN261,$B$8,1),OFFSET($M$15,0,0,$B$8,1))=DV$13), 1*(_xlfn._xlws.FILTER(OFFSET($O$15,0,$DO261,$B$8,1),OFFSET($M$15,0,0,$B$8,1))=DV$14))   /   SUM(OFFSET($BO$15,0,0,$B$14,1)) + $B$18/($B$19*$B$19*($DN261&lt;&gt;$DO261) + $B$19*($DN261=$DO261))</f>
        <v>3.7037037037037035E-4</v>
      </c>
      <c r="DW261" s="10" cm="1">
        <f t="array" aca="1" ref="DW261" ca="1">(1-$B$18)*SUMPRODUCT(OFFSET($BO$15,0,0,$B$14,1), 1*(_xlfn._xlws.FILTER(OFFSET($O$15,0,$DN261,$B$8,1),OFFSET($M$15,0,0,$B$8,1))=DW$13), 1*(_xlfn._xlws.FILTER(OFFSET($O$15,0,$DO261,$B$8,1),OFFSET($M$15,0,0,$B$8,1))=DW$14))   /   SUM(OFFSET($BO$15,0,0,$B$14,1)) + $B$18/($B$19*$B$19*($DN261&lt;&gt;$DO261) + $B$19*($DN261=$DO261))</f>
        <v>3.7037037037037035E-4</v>
      </c>
      <c r="DX261" s="10" cm="1">
        <f t="array" aca="1" ref="DX261" ca="1">(1-$B$18)*SUMPRODUCT(OFFSET($BO$15,0,0,$B$14,1), 1*(_xlfn._xlws.FILTER(OFFSET($O$15,0,$DN261,$B$8,1),OFFSET($M$15,0,0,$B$8,1))=DX$13), 1*(_xlfn._xlws.FILTER(OFFSET($O$15,0,$DO261,$B$8,1),OFFSET($M$15,0,0,$B$8,1))=DX$14))   /   SUM(OFFSET($BO$15,0,0,$B$14,1)) + $B$18/($B$19*$B$19*($DN261&lt;&gt;$DO261) + $B$19*($DN261=$DO261))</f>
        <v>3.7037037037037035E-4</v>
      </c>
      <c r="DY261" s="10" cm="1">
        <f t="array" aca="1" ref="DY261" ca="1">(1-$B$18)*SUMPRODUCT(OFFSET($BO$15,0,0,$B$14,1), 1*(_xlfn._xlws.FILTER(OFFSET($O$15,0,$DN261,$B$8,1),OFFSET($M$15,0,0,$B$8,1))=DY$13), 1*(_xlfn._xlws.FILTER(OFFSET($O$15,0,$DO261,$B$8,1),OFFSET($M$15,0,0,$B$8,1))=DY$14))   /   SUM(OFFSET($BO$15,0,0,$B$14,1)) + $B$18/($B$19*$B$19*($DN261&lt;&gt;$DO261) + $B$19*($DN261=$DO261))</f>
        <v>3.7037037037037035E-4</v>
      </c>
      <c r="DZ261" s="10" cm="1">
        <f t="array" aca="1" ref="DZ261" ca="1">(1-$B$18)*SUMPRODUCT(OFFSET($BO$15,0,0,$B$14,1), 1*(_xlfn._xlws.FILTER(OFFSET($O$15,0,$DN261,$B$8,1),OFFSET($M$15,0,0,$B$8,1))=DZ$13), 1*(_xlfn._xlws.FILTER(OFFSET($O$15,0,$DO261,$B$8,1),OFFSET($M$15,0,0,$B$8,1))=DZ$14))   /   SUM(OFFSET($BO$15,0,0,$B$14,1)) + $B$18/($B$19*$B$19*($DN261&lt;&gt;$DO261) + $B$19*($DN261=$DO261))</f>
        <v>3.7037037037037035E-4</v>
      </c>
      <c r="EA261" s="10" cm="1">
        <f t="array" aca="1" ref="EA261" ca="1">(1-$B$18)*SUMPRODUCT(OFFSET($BO$15,0,0,$B$14,1), 1*(_xlfn._xlws.FILTER(OFFSET($O$15,0,$DN261,$B$8,1),OFFSET($M$15,0,0,$B$8,1))=EA$13), 1*(_xlfn._xlws.FILTER(OFFSET($O$15,0,$DO261,$B$8,1),OFFSET($M$15,0,0,$B$8,1))=EA$14))   /   SUM(OFFSET($BO$15,0,0,$B$14,1)) + $B$18/($B$19*$B$19*($DN261&lt;&gt;$DO261) + $B$19*($DN261=$DO261))</f>
        <v>3.7037037037037035E-4</v>
      </c>
      <c r="EB261" s="10" cm="1">
        <f t="array" aca="1" ref="EB261" ca="1">(1-$B$18)*SUMPRODUCT(OFFSET($BO$15,0,0,$B$14,1), 1*(_xlfn._xlws.FILTER(OFFSET($O$15,0,$DN261,$B$8,1),OFFSET($M$15,0,0,$B$8,1))=EB$13), 1*(_xlfn._xlws.FILTER(OFFSET($O$15,0,$DO261,$B$8,1),OFFSET($M$15,0,0,$B$8,1))=EB$14))   /   SUM(OFFSET($BO$15,0,0,$B$14,1)) + $B$18/($B$19*$B$19*($DN261&lt;&gt;$DO261) + $B$19*($DN261=$DO261))</f>
        <v>0.24287037037037024</v>
      </c>
      <c r="EC261" s="10" cm="1">
        <f t="array" aca="1" ref="EC261" ca="1">(1-$B$18)*SUMPRODUCT(OFFSET($BO$15,0,0,$B$14,1), 1*(_xlfn._xlws.FILTER(OFFSET($O$15,0,$DN261,$B$8,1),OFFSET($M$15,0,0,$B$8,1))=EC$13), 1*(_xlfn._xlws.FILTER(OFFSET($O$15,0,$DO261,$B$8,1),OFFSET($M$15,0,0,$B$8,1))=EC$14))   /   SUM(OFFSET($BO$15,0,0,$B$14,1)) + $B$18/($B$19*$B$19*($DN261&lt;&gt;$DO261) + $B$19*($DN261=$DO261))</f>
        <v>0.48537037037037012</v>
      </c>
      <c r="ED261" s="10" cm="1">
        <f t="array" aca="1" ref="ED261" ca="1">(1-$B$18)*SUMPRODUCT(OFFSET($BO$15,0,0,$B$14,1), 1*(_xlfn._xlws.FILTER(OFFSET($O$15,0,$DN261,$B$8,1),OFFSET($M$15,0,0,$B$8,1))=ED$13), 1*(_xlfn._xlws.FILTER(OFFSET($O$15,0,$DO261,$B$8,1),OFFSET($M$15,0,0,$B$8,1))=ED$14))   /   SUM(OFFSET($BO$15,0,0,$B$14,1)) + $B$18/($B$19*$B$19*($DN261&lt;&gt;$DO261) + $B$19*($DN261=$DO261))</f>
        <v>0.24287037037037026</v>
      </c>
      <c r="EE261" s="10" cm="1">
        <f t="array" aca="1" ref="EE261" ca="1">(1-$B$18)*SUMPRODUCT(OFFSET($BO$15,0,0,$B$14,1), 1*(_xlfn._xlws.FILTER(OFFSET($O$15,0,$DN261,$B$8,1),OFFSET($M$15,0,0,$B$8,1))=EE$13), 1*(_xlfn._xlws.FILTER(OFFSET($O$15,0,$DO261,$B$8,1),OFFSET($M$15,0,0,$B$8,1))=EE$14))   /   SUM(OFFSET($BO$15,0,0,$B$14,1)) + $B$18/($B$19*$B$19*($DN261&lt;&gt;$DO261) + $B$19*($DN261=$DO261))</f>
        <v>3.7037037037037035E-4</v>
      </c>
      <c r="EF261" s="10" cm="1">
        <f t="array" aca="1" ref="EF261" ca="1">(1-$B$18)*SUMPRODUCT(OFFSET($BO$15,0,0,$B$14,1), 1*(_xlfn._xlws.FILTER(OFFSET($O$15,0,$DN261,$B$8,1),OFFSET($M$15,0,0,$B$8,1))=EF$13), 1*(_xlfn._xlws.FILTER(OFFSET($O$15,0,$DO261,$B$8,1),OFFSET($M$15,0,0,$B$8,1))=EF$14))   /   SUM(OFFSET($BO$15,0,0,$B$14,1)) + $B$18/($B$19*$B$19*($DN261&lt;&gt;$DO261) + $B$19*($DN261=$DO261))</f>
        <v>3.7037037037037035E-4</v>
      </c>
      <c r="EG261" s="10" cm="1">
        <f t="array" aca="1" ref="EG261" ca="1">(1-$B$18)*SUMPRODUCT(OFFSET($BO$15,0,0,$B$14,1), 1*(_xlfn._xlws.FILTER(OFFSET($O$15,0,$DN261,$B$8,1),OFFSET($M$15,0,0,$B$8,1))=EG$13), 1*(_xlfn._xlws.FILTER(OFFSET($O$15,0,$DO261,$B$8,1),OFFSET($M$15,0,0,$B$8,1))=EG$14))   /   SUM(OFFSET($BO$15,0,0,$B$14,1)) + $B$18/($B$19*$B$19*($DN261&lt;&gt;$DO261) + $B$19*($DN261=$DO261))</f>
        <v>3.7037037037037035E-4</v>
      </c>
      <c r="EH261" s="10" cm="1">
        <f t="array" aca="1" ref="EH261" ca="1">(1-$B$18)*SUMPRODUCT(OFFSET($BO$15,0,0,$B$14,1), 1*(_xlfn._xlws.FILTER(OFFSET($O$15,0,$DN261,$B$8,1),OFFSET($M$15,0,0,$B$8,1))=EH$13), 1*(_xlfn._xlws.FILTER(OFFSET($O$15,0,$DO261,$B$8,1),OFFSET($M$15,0,0,$B$8,1))=EH$14))   /   SUM(OFFSET($BO$15,0,0,$B$14,1)) + $B$18/($B$19*$B$19*($DN261&lt;&gt;$DO261) + $B$19*($DN261=$DO261))</f>
        <v>3.7037037037037035E-4</v>
      </c>
      <c r="EI261" s="10" cm="1">
        <f t="array" aca="1" ref="EI261" ca="1">(1-$B$18)*SUMPRODUCT(OFFSET($BO$15,0,0,$B$14,1), 1*(_xlfn._xlws.FILTER(OFFSET($O$15,0,$DN261,$B$8,1),OFFSET($M$15,0,0,$B$8,1))=EI$13), 1*(_xlfn._xlws.FILTER(OFFSET($O$15,0,$DO261,$B$8,1),OFFSET($M$15,0,0,$B$8,1))=EI$14))   /   SUM(OFFSET($BO$15,0,0,$B$14,1)) + $B$18/($B$19*$B$19*($DN261&lt;&gt;$DO261) + $B$19*($DN261=$DO261))</f>
        <v>3.7037037037037035E-4</v>
      </c>
      <c r="EJ261" s="10" cm="1">
        <f t="array" aca="1" ref="EJ261" ca="1">(1-$B$18)*SUMPRODUCT(OFFSET($BO$15,0,0,$B$14,1), 1*(_xlfn._xlws.FILTER(OFFSET($O$15,0,$DN261,$B$8,1),OFFSET($M$15,0,0,$B$8,1))=EJ$13), 1*(_xlfn._xlws.FILTER(OFFSET($O$15,0,$DO261,$B$8,1),OFFSET($M$15,0,0,$B$8,1))=EJ$14))   /   SUM(OFFSET($BO$15,0,0,$B$14,1)) + $B$18/($B$19*$B$19*($DN261&lt;&gt;$DO261) + $B$19*($DN261=$DO261))</f>
        <v>3.7037037037037035E-4</v>
      </c>
      <c r="EK261" s="10" cm="1">
        <f t="array" aca="1" ref="EK261" ca="1">(1-$B$18)*SUMPRODUCT(OFFSET($BO$15,0,0,$B$14,1), 1*(_xlfn._xlws.FILTER(OFFSET($O$15,0,$DN261,$B$8,1),OFFSET($M$15,0,0,$B$8,1))=EK$13), 1*(_xlfn._xlws.FILTER(OFFSET($O$15,0,$DO261,$B$8,1),OFFSET($M$15,0,0,$B$8,1))=EK$14))   /   SUM(OFFSET($BO$15,0,0,$B$14,1)) + $B$18/($B$19*$B$19*($DN261&lt;&gt;$DO261) + $B$19*($DN261=$DO261))</f>
        <v>3.7037037037037035E-4</v>
      </c>
      <c r="EL261" s="10" cm="1">
        <f t="array" aca="1" ref="EL261" ca="1">(1-$B$18)*SUMPRODUCT(OFFSET($BO$15,0,0,$B$14,1), 1*(_xlfn._xlws.FILTER(OFFSET($O$15,0,$DN261,$B$8,1),OFFSET($M$15,0,0,$B$8,1))=EL$13), 1*(_xlfn._xlws.FILTER(OFFSET($O$15,0,$DO261,$B$8,1),OFFSET($M$15,0,0,$B$8,1))=EL$14))   /   SUM(OFFSET($BO$15,0,0,$B$14,1)) + $B$18/($B$19*$B$19*($DN261&lt;&gt;$DO261) + $B$19*($DN261=$DO261))</f>
        <v>3.7037037037037035E-4</v>
      </c>
      <c r="EM261" s="10" cm="1">
        <f t="array" aca="1" ref="EM261" ca="1">(1-$B$18)*SUMPRODUCT(OFFSET($BO$15,0,0,$B$14,1), 1*(_xlfn._xlws.FILTER(OFFSET($O$15,0,$DN261,$B$8,1),OFFSET($M$15,0,0,$B$8,1))=EM$13), 1*(_xlfn._xlws.FILTER(OFFSET($O$15,0,$DO261,$B$8,1),OFFSET($M$15,0,0,$B$8,1))=EM$14))   /   SUM(OFFSET($BO$15,0,0,$B$14,1)) + $B$18/($B$19*$B$19*($DN261&lt;&gt;$DO261) + $B$19*($DN261=$DO261))</f>
        <v>3.7037037037037035E-4</v>
      </c>
      <c r="EN261" s="10" cm="1">
        <f t="array" aca="1" ref="EN261" ca="1">(1-$B$18)*SUMPRODUCT(OFFSET($BO$15,0,0,$B$14,1), 1*(_xlfn._xlws.FILTER(OFFSET($O$15,0,$DN261,$B$8,1),OFFSET($M$15,0,0,$B$8,1))=EN$13), 1*(_xlfn._xlws.FILTER(OFFSET($O$15,0,$DO261,$B$8,1),OFFSET($M$15,0,0,$B$8,1))=EN$14))   /   SUM(OFFSET($BO$15,0,0,$B$14,1)) + $B$18/($B$19*$B$19*($DN261&lt;&gt;$DO261) + $B$19*($DN261=$DO261))</f>
        <v>3.7037037037037035E-4</v>
      </c>
      <c r="EO261" s="10" cm="1">
        <f t="array" aca="1" ref="EO261" ca="1">(1-$B$18)*SUMPRODUCT(OFFSET($BO$15,0,0,$B$14,1), 1*(_xlfn._xlws.FILTER(OFFSET($O$15,0,$DN261,$B$8,1),OFFSET($M$15,0,0,$B$8,1))=EO$13), 1*(_xlfn._xlws.FILTER(OFFSET($O$15,0,$DO261,$B$8,1),OFFSET($M$15,0,0,$B$8,1))=EO$14))   /   SUM(OFFSET($BO$15,0,0,$B$14,1)) + $B$18/($B$19*$B$19*($DN261&lt;&gt;$DO261) + $B$19*($DN261=$DO261))</f>
        <v>3.7037037037037035E-4</v>
      </c>
      <c r="EP261" s="10" cm="1">
        <f t="array" aca="1" ref="EP261" ca="1">(1-$B$18)*SUMPRODUCT(OFFSET($BO$15,0,0,$B$14,1), 1*(_xlfn._xlws.FILTER(OFFSET($O$15,0,$DN261,$B$8,1),OFFSET($M$15,0,0,$B$8,1))=EP$13), 1*(_xlfn._xlws.FILTER(OFFSET($O$15,0,$DO261,$B$8,1),OFFSET($M$15,0,0,$B$8,1))=EP$14))   /   SUM(OFFSET($BO$15,0,0,$B$14,1)) + $B$18/($B$19*$B$19*($DN261&lt;&gt;$DO261) + $B$19*($DN261=$DO261))</f>
        <v>3.7037037037037035E-4</v>
      </c>
      <c r="EQ261" s="10" cm="1">
        <f t="array" aca="1" ref="EQ261" ca="1">(1-$B$18)*SUMPRODUCT(OFFSET($BO$15,0,0,$B$14,1), 1*(_xlfn._xlws.FILTER(OFFSET($O$15,0,$DN261,$B$8,1),OFFSET($M$15,0,0,$B$8,1))=EQ$13), 1*(_xlfn._xlws.FILTER(OFFSET($O$15,0,$DO261,$B$8,1),OFFSET($M$15,0,0,$B$8,1))=EQ$14))   /   SUM(OFFSET($BO$15,0,0,$B$14,1)) + $B$18/($B$19*$B$19*($DN261&lt;&gt;$DO261) + $B$19*($DN261=$DO261))</f>
        <v>3.7037037037037035E-4</v>
      </c>
      <c r="ER261" s="10" cm="1">
        <f t="array" aca="1" ref="ER261" ca="1">(1-$B$18)*SUMPRODUCT(OFFSET($BO$15,0,0,$B$14,1), 1*(_xlfn._xlws.FILTER(OFFSET($O$15,0,$DN261,$B$8,1),OFFSET($M$15,0,0,$B$8,1))=ER$13), 1*(_xlfn._xlws.FILTER(OFFSET($O$15,0,$DO261,$B$8,1),OFFSET($M$15,0,0,$B$8,1))=ER$14))   /   SUM(OFFSET($BO$15,0,0,$B$14,1)) + $B$18/($B$19*$B$19*($DN261&lt;&gt;$DO261) + $B$19*($DN261=$DO261))</f>
        <v>3.7037037037037035E-4</v>
      </c>
      <c r="ES261" s="10" cm="1">
        <f t="array" aca="1" ref="ES261" ca="1">(1-$B$18)*SUMPRODUCT(OFFSET($BO$15,0,0,$B$14,1), 1*(_xlfn._xlws.FILTER(OFFSET($O$15,0,$DN261,$B$8,1),OFFSET($M$15,0,0,$B$8,1))=ES$13), 1*(_xlfn._xlws.FILTER(OFFSET($O$15,0,$DO261,$B$8,1),OFFSET($M$15,0,0,$B$8,1))=ES$14))   /   SUM(OFFSET($BO$15,0,0,$B$14,1)) + $B$18/($B$19*$B$19*($DN261&lt;&gt;$DO261) + $B$19*($DN261=$DO261))</f>
        <v>3.7037037037037035E-4</v>
      </c>
      <c r="ET261" s="10" cm="1">
        <f t="array" aca="1" ref="ET261" ca="1">(1-$B$18)*SUMPRODUCT(OFFSET($BO$15,0,0,$B$14,1), 1*(_xlfn._xlws.FILTER(OFFSET($O$15,0,$DN261,$B$8,1),OFFSET($M$15,0,0,$B$8,1))=ET$13), 1*(_xlfn._xlws.FILTER(OFFSET($O$15,0,$DO261,$B$8,1),OFFSET($M$15,0,0,$B$8,1))=ET$14))   /   SUM(OFFSET($BO$15,0,0,$B$14,1)) + $B$18/($B$19*$B$19*($DN261&lt;&gt;$DO261) + $B$19*($DN261=$DO261))</f>
        <v>3.7037037037037035E-4</v>
      </c>
      <c r="EU261" s="10" cm="1">
        <f t="array" aca="1" ref="EU261" ca="1">(1-$B$18)*SUMPRODUCT(OFFSET($BO$15,0,0,$B$14,1), 1*(_xlfn._xlws.FILTER(OFFSET($O$15,0,$DN261,$B$8,1),OFFSET($M$15,0,0,$B$8,1))=EU$13), 1*(_xlfn._xlws.FILTER(OFFSET($O$15,0,$DO261,$B$8,1),OFFSET($M$15,0,0,$B$8,1))=EU$14))   /   SUM(OFFSET($BO$15,0,0,$B$14,1)) + $B$18/($B$19*$B$19*($DN261&lt;&gt;$DO261) + $B$19*($DN261=$DO261))</f>
        <v>3.7037037037037035E-4</v>
      </c>
      <c r="EV261" s="10" cm="1">
        <f t="array" aca="1" ref="EV261" ca="1">(1-$B$18)*SUMPRODUCT(OFFSET($BO$15,0,0,$B$14,1), 1*(_xlfn._xlws.FILTER(OFFSET($O$15,0,$DN261,$B$8,1),OFFSET($M$15,0,0,$B$8,1))=EV$13), 1*(_xlfn._xlws.FILTER(OFFSET($O$15,0,$DO261,$B$8,1),OFFSET($M$15,0,0,$B$8,1))=EV$14))   /   SUM(OFFSET($BO$15,0,0,$B$14,1)) + $B$18/($B$19*$B$19*($DN261&lt;&gt;$DO261) + $B$19*($DN261=$DO261))</f>
        <v>3.7037037037037035E-4</v>
      </c>
      <c r="EW261" s="10" cm="1">
        <f t="array" aca="1" ref="EW261" ca="1">(1-$B$18)*SUMPRODUCT(OFFSET($BO$15,0,0,$B$14,1), 1*(_xlfn._xlws.FILTER(OFFSET($O$15,0,$DN261,$B$8,1),OFFSET($M$15,0,0,$B$8,1))=EW$13), 1*(_xlfn._xlws.FILTER(OFFSET($O$15,0,$DO261,$B$8,1),OFFSET($M$15,0,0,$B$8,1))=EW$14))   /   SUM(OFFSET($BO$15,0,0,$B$14,1)) + $B$18/($B$19*$B$19*($DN261&lt;&gt;$DO261) + $B$19*($DN261=$DO261))</f>
        <v>3.7037037037037035E-4</v>
      </c>
      <c r="EX261" s="10" cm="1">
        <f t="array" aca="1" ref="EX261" ca="1">(1-$B$18)*SUMPRODUCT(OFFSET($BO$15,0,0,$B$14,1), 1*(_xlfn._xlws.FILTER(OFFSET($O$15,0,$DN261,$B$8,1),OFFSET($M$15,0,0,$B$8,1))=EX$13), 1*(_xlfn._xlws.FILTER(OFFSET($O$15,0,$DO261,$B$8,1),OFFSET($M$15,0,0,$B$8,1))=EX$14))   /   SUM(OFFSET($BO$15,0,0,$B$14,1)) + $B$18/($B$19*$B$19*($DN261&lt;&gt;$DO261) + $B$19*($DN261=$DO261))</f>
        <v>3.7037037037037035E-4</v>
      </c>
      <c r="EY261" s="10" cm="1">
        <f t="array" aca="1" ref="EY261" ca="1">(1-$B$18)*SUMPRODUCT(OFFSET($BO$15,0,0,$B$14,1), 1*(_xlfn._xlws.FILTER(OFFSET($O$15,0,$DN261,$B$8,1),OFFSET($M$15,0,0,$B$8,1))=EY$13), 1*(_xlfn._xlws.FILTER(OFFSET($O$15,0,$DO261,$B$8,1),OFFSET($M$15,0,0,$B$8,1))=EY$14))   /   SUM(OFFSET($BO$15,0,0,$B$14,1)) + $B$18/($B$19*$B$19*($DN261&lt;&gt;$DO261) + $B$19*($DN261=$DO261))</f>
        <v>3.7037037037037035E-4</v>
      </c>
      <c r="EZ261" s="10" cm="1">
        <f t="array" aca="1" ref="EZ261" ca="1">(1-$B$18)*SUMPRODUCT(OFFSET($BO$15,0,0,$B$14,1), 1*(_xlfn._xlws.FILTER(OFFSET($O$15,0,$DN261,$B$8,1),OFFSET($M$15,0,0,$B$8,1))=EZ$13), 1*(_xlfn._xlws.FILTER(OFFSET($O$15,0,$DO261,$B$8,1),OFFSET($M$15,0,0,$B$8,1))=EZ$14))   /   SUM(OFFSET($BO$15,0,0,$B$14,1)) + $B$18/($B$19*$B$19*($DN261&lt;&gt;$DO261) + $B$19*($DN261=$DO261))</f>
        <v>3.7037037037037035E-4</v>
      </c>
      <c r="FA261" s="10" cm="1">
        <f t="array" aca="1" ref="FA261" ca="1">(1-$B$18)*SUMPRODUCT(OFFSET($BO$15,0,0,$B$14,1), 1*(_xlfn._xlws.FILTER(OFFSET($O$15,0,$DN261,$B$8,1),OFFSET($M$15,0,0,$B$8,1))=FA$13), 1*(_xlfn._xlws.FILTER(OFFSET($O$15,0,$DO261,$B$8,1),OFFSET($M$15,0,0,$B$8,1))=FA$14))   /   SUM(OFFSET($BO$15,0,0,$B$14,1)) + $B$18/($B$19*$B$19*($DN261&lt;&gt;$DO261) + $B$19*($DN261=$DO261))</f>
        <v>3.7037037037037035E-4</v>
      </c>
      <c r="FB261" s="10" cm="1">
        <f t="array" aca="1" ref="FB261" ca="1">(1-$B$18)*SUMPRODUCT(OFFSET($BO$15,0,0,$B$14,1), 1*(_xlfn._xlws.FILTER(OFFSET($O$15,0,$DN261,$B$8,1),OFFSET($M$15,0,0,$B$8,1))=FB$13), 1*(_xlfn._xlws.FILTER(OFFSET($O$15,0,$DO261,$B$8,1),OFFSET($M$15,0,0,$B$8,1))=FB$14))   /   SUM(OFFSET($BO$15,0,0,$B$14,1)) + $B$18/($B$19*$B$19*($DN261&lt;&gt;$DO261) + $B$19*($DN261=$DO261))</f>
        <v>3.7037037037037035E-4</v>
      </c>
      <c r="FC261" s="10" cm="1">
        <f t="array" aca="1" ref="FC261" ca="1">(1-$B$18)*SUMPRODUCT(OFFSET($BO$15,0,0,$B$14,1), 1*(_xlfn._xlws.FILTER(OFFSET($O$15,0,$DN261,$B$8,1),OFFSET($M$15,0,0,$B$8,1))=FC$13), 1*(_xlfn._xlws.FILTER(OFFSET($O$15,0,$DO261,$B$8,1),OFFSET($M$15,0,0,$B$8,1))=FC$14))   /   SUM(OFFSET($BO$15,0,0,$B$14,1)) + $B$18/($B$19*$B$19*($DN261&lt;&gt;$DO261) + $B$19*($DN261=$DO261))</f>
        <v>3.7037037037037035E-4</v>
      </c>
      <c r="FD261" s="10" cm="1">
        <f t="array" aca="1" ref="FD261" ca="1">(1-$B$18)*SUMPRODUCT(OFFSET($BO$15,0,0,$B$14,1), 1*(_xlfn._xlws.FILTER(OFFSET($O$15,0,$DN261,$B$8,1),OFFSET($M$15,0,0,$B$8,1))=FD$13), 1*(_xlfn._xlws.FILTER(OFFSET($O$15,0,$DO261,$B$8,1),OFFSET($M$15,0,0,$B$8,1))=FD$14))   /   SUM(OFFSET($BO$15,0,0,$B$14,1)) + $B$18/($B$19*$B$19*($DN261&lt;&gt;$DO261) + $B$19*($DN261=$DO261))</f>
        <v>3.7037037037037035E-4</v>
      </c>
      <c r="FE261" s="10" cm="1">
        <f t="array" aca="1" ref="FE261" ca="1">(1-$B$18)*SUMPRODUCT(OFFSET($BO$15,0,0,$B$14,1), 1*(_xlfn._xlws.FILTER(OFFSET($O$15,0,$DN261,$B$8,1),OFFSET($M$15,0,0,$B$8,1))=FE$13), 1*(_xlfn._xlws.FILTER(OFFSET($O$15,0,$DO261,$B$8,1),OFFSET($M$15,0,0,$B$8,1))=FE$14))   /   SUM(OFFSET($BO$15,0,0,$B$14,1)) + $B$18/($B$19*$B$19*($DN261&lt;&gt;$DO261) + $B$19*($DN261=$DO261))</f>
        <v>3.7037037037037035E-4</v>
      </c>
      <c r="FF261" s="10" cm="1">
        <f t="array" aca="1" ref="FF261" ca="1">(1-$B$18)*SUMPRODUCT(OFFSET($BO$15,0,0,$B$14,1), 1*(_xlfn._xlws.FILTER(OFFSET($O$15,0,$DN261,$B$8,1),OFFSET($M$15,0,0,$B$8,1))=FF$13), 1*(_xlfn._xlws.FILTER(OFFSET($O$15,0,$DO261,$B$8,1),OFFSET($M$15,0,0,$B$8,1))=FF$14))   /   SUM(OFFSET($BO$15,0,0,$B$14,1)) + $B$18/($B$19*$B$19*($DN261&lt;&gt;$DO261) + $B$19*($DN261=$DO261))</f>
        <v>3.7037037037037035E-4</v>
      </c>
      <c r="FG261" s="10" cm="1">
        <f t="array" aca="1" ref="FG261" ca="1">(1-$B$18)*SUMPRODUCT(OFFSET($BO$15,0,0,$B$14,1), 1*(_xlfn._xlws.FILTER(OFFSET($O$15,0,$DN261,$B$8,1),OFFSET($M$15,0,0,$B$8,1))=FG$13), 1*(_xlfn._xlws.FILTER(OFFSET($O$15,0,$DO261,$B$8,1),OFFSET($M$15,0,0,$B$8,1))=FG$14))   /   SUM(OFFSET($BO$15,0,0,$B$14,1)) + $B$18/($B$19*$B$19*($DN261&lt;&gt;$DO261) + $B$19*($DN261=$DO261))</f>
        <v>3.7037037037037035E-4</v>
      </c>
      <c r="FH261" s="10" cm="1">
        <f t="array" aca="1" ref="FH261" ca="1">(1-$B$18)*SUMPRODUCT(OFFSET($BO$15,0,0,$B$14,1), 1*(_xlfn._xlws.FILTER(OFFSET($O$15,0,$DN261,$B$8,1),OFFSET($M$15,0,0,$B$8,1))=FH$13), 1*(_xlfn._xlws.FILTER(OFFSET($O$15,0,$DO261,$B$8,1),OFFSET($M$15,0,0,$B$8,1))=FH$14))   /   SUM(OFFSET($BO$15,0,0,$B$14,1)) + $B$18/($B$19*$B$19*($DN261&lt;&gt;$DO261) + $B$19*($DN261=$DO261))</f>
        <v>3.7037037037037035E-4</v>
      </c>
      <c r="FI261" s="10" cm="1">
        <f t="array" aca="1" ref="FI261" ca="1">(1-$B$18)*SUMPRODUCT(OFFSET($BO$15,0,0,$B$14,1), 1*(_xlfn._xlws.FILTER(OFFSET($O$15,0,$DN261,$B$8,1),OFFSET($M$15,0,0,$B$8,1))=FI$13), 1*(_xlfn._xlws.FILTER(OFFSET($O$15,0,$DO261,$B$8,1),OFFSET($M$15,0,0,$B$8,1))=FI$14))   /   SUM(OFFSET($BO$15,0,0,$B$14,1)) + $B$18/($B$19*$B$19*($DN261&lt;&gt;$DO261) + $B$19*($DN261=$DO261))</f>
        <v>3.7037037037037035E-4</v>
      </c>
      <c r="FJ261" s="10" cm="1">
        <f t="array" aca="1" ref="FJ261" ca="1">(1-$B$18)*SUMPRODUCT(OFFSET($BO$15,0,0,$B$14,1), 1*(_xlfn._xlws.FILTER(OFFSET($O$15,0,$DN261,$B$8,1),OFFSET($M$15,0,0,$B$8,1))=FJ$13), 1*(_xlfn._xlws.FILTER(OFFSET($O$15,0,$DO261,$B$8,1),OFFSET($M$15,0,0,$B$8,1))=FJ$14))   /   SUM(OFFSET($BO$15,0,0,$B$14,1)) + $B$18/($B$19*$B$19*($DN261&lt;&gt;$DO261) + $B$19*($DN261=$DO261))</f>
        <v>3.7037037037037035E-4</v>
      </c>
      <c r="FK261" s="10" cm="1">
        <f t="array" aca="1" ref="FK261" ca="1">(1-$B$18)*SUMPRODUCT(OFFSET($BO$15,0,0,$B$14,1), 1*(_xlfn._xlws.FILTER(OFFSET($O$15,0,$DN261,$B$8,1),OFFSET($M$15,0,0,$B$8,1))=FK$13), 1*(_xlfn._xlws.FILTER(OFFSET($O$15,0,$DO261,$B$8,1),OFFSET($M$15,0,0,$B$8,1))=FK$14))   /   SUM(OFFSET($BO$15,0,0,$B$14,1)) + $B$18/($B$19*$B$19*($DN261&lt;&gt;$DO261) + $B$19*($DN261=$DO261))</f>
        <v>3.7037037037037035E-4</v>
      </c>
      <c r="FL261" s="10" cm="1">
        <f t="array" aca="1" ref="FL261" ca="1">(1-$B$18)*SUMPRODUCT(OFFSET($BO$15,0,0,$B$14,1), 1*(_xlfn._xlws.FILTER(OFFSET($O$15,0,$DN261,$B$8,1),OFFSET($M$15,0,0,$B$8,1))=FL$13), 1*(_xlfn._xlws.FILTER(OFFSET($O$15,0,$DO261,$B$8,1),OFFSET($M$15,0,0,$B$8,1))=FL$14))   /   SUM(OFFSET($BO$15,0,0,$B$14,1)) + $B$18/($B$19*$B$19*($DN261&lt;&gt;$DO261) + $B$19*($DN261=$DO261))</f>
        <v>3.7037037037037035E-4</v>
      </c>
      <c r="FM261" s="10" cm="1">
        <f t="array" aca="1" ref="FM261" ca="1">(1-$B$18)*SUMPRODUCT(OFFSET($BO$15,0,0,$B$14,1), 1*(_xlfn._xlws.FILTER(OFFSET($O$15,0,$DN261,$B$8,1),OFFSET($M$15,0,0,$B$8,1))=FM$13), 1*(_xlfn._xlws.FILTER(OFFSET($O$15,0,$DO261,$B$8,1),OFFSET($M$15,0,0,$B$8,1))=FM$14))   /   SUM(OFFSET($BO$15,0,0,$B$14,1)) + $B$18/($B$19*$B$19*($DN261&lt;&gt;$DO261) + $B$19*($DN261=$DO261))</f>
        <v>3.7037037037037035E-4</v>
      </c>
      <c r="FN261" s="10" cm="1">
        <f t="array" aca="1" ref="FN261" ca="1">(1-$B$18)*SUMPRODUCT(OFFSET($BO$15,0,0,$B$14,1), 1*(_xlfn._xlws.FILTER(OFFSET($O$15,0,$DN261,$B$8,1),OFFSET($M$15,0,0,$B$8,1))=FN$13), 1*(_xlfn._xlws.FILTER(OFFSET($O$15,0,$DO261,$B$8,1),OFFSET($M$15,0,0,$B$8,1))=FN$14))   /   SUM(OFFSET($BO$15,0,0,$B$14,1)) + $B$18/($B$19*$B$19*($DN261&lt;&gt;$DO261) + $B$19*($DN261=$DO261))</f>
        <v>3.7037037037037035E-4</v>
      </c>
      <c r="FO261" s="10" cm="1">
        <f t="array" aca="1" ref="FO261" ca="1">(1-$B$18)*SUMPRODUCT(OFFSET($BO$15,0,0,$B$14,1), 1*(_xlfn._xlws.FILTER(OFFSET($O$15,0,$DN261,$B$8,1),OFFSET($M$15,0,0,$B$8,1))=FO$13), 1*(_xlfn._xlws.FILTER(OFFSET($O$15,0,$DO261,$B$8,1),OFFSET($M$15,0,0,$B$8,1))=FO$14))   /   SUM(OFFSET($BO$15,0,0,$B$14,1)) + $B$18/($B$19*$B$19*($DN261&lt;&gt;$DO261) + $B$19*($DN261=$DO261))</f>
        <v>3.7037037037037035E-4</v>
      </c>
      <c r="FP261" s="10" cm="1">
        <f t="array" aca="1" ref="FP261" ca="1">(1-$B$18)*SUMPRODUCT(OFFSET($BO$15,0,0,$B$14,1), 1*(_xlfn._xlws.FILTER(OFFSET($O$15,0,$DN261,$B$8,1),OFFSET($M$15,0,0,$B$8,1))=FP$13), 1*(_xlfn._xlws.FILTER(OFFSET($O$15,0,$DO261,$B$8,1),OFFSET($M$15,0,0,$B$8,1))=FP$14))   /   SUM(OFFSET($BO$15,0,0,$B$14,1)) + $B$18/($B$19*$B$19*($DN261&lt;&gt;$DO261) + $B$19*($DN261=$DO261))</f>
        <v>3.7037037037037035E-4</v>
      </c>
      <c r="FQ261" s="10" cm="1">
        <f t="array" aca="1" ref="FQ261" ca="1">(1-$B$18)*SUMPRODUCT(OFFSET($BO$15,0,0,$B$14,1), 1*(_xlfn._xlws.FILTER(OFFSET($O$15,0,$DN261,$B$8,1),OFFSET($M$15,0,0,$B$8,1))=FQ$13), 1*(_xlfn._xlws.FILTER(OFFSET($O$15,0,$DO261,$B$8,1),OFFSET($M$15,0,0,$B$8,1))=FQ$14))   /   SUM(OFFSET($BO$15,0,0,$B$14,1)) + $B$18/($B$19*$B$19*($DN261&lt;&gt;$DO261) + $B$19*($DN261=$DO261))</f>
        <v>3.7037037037037035E-4</v>
      </c>
      <c r="FR261" s="10" cm="1">
        <f t="array" aca="1" ref="FR261" ca="1">(1-$B$18)*SUMPRODUCT(OFFSET($BO$15,0,0,$B$14,1), 1*(_xlfn._xlws.FILTER(OFFSET($O$15,0,$DN261,$B$8,1),OFFSET($M$15,0,0,$B$8,1))=FR$13), 1*(_xlfn._xlws.FILTER(OFFSET($O$15,0,$DO261,$B$8,1),OFFSET($M$15,0,0,$B$8,1))=FR$14))   /   SUM(OFFSET($BO$15,0,0,$B$14,1)) + $B$18/($B$19*$B$19*($DN261&lt;&gt;$DO261) + $B$19*($DN261=$DO261))</f>
        <v>3.7037037037037035E-4</v>
      </c>
      <c r="FS261" s="10" cm="1">
        <f t="array" aca="1" ref="FS261" ca="1">(1-$B$18)*SUMPRODUCT(OFFSET($BO$15,0,0,$B$14,1), 1*(_xlfn._xlws.FILTER(OFFSET($O$15,0,$DN261,$B$8,1),OFFSET($M$15,0,0,$B$8,1))=FS$13), 1*(_xlfn._xlws.FILTER(OFFSET($O$15,0,$DO261,$B$8,1),OFFSET($M$15,0,0,$B$8,1))=FS$14))   /   SUM(OFFSET($BO$15,0,0,$B$14,1)) + $B$18/($B$19*$B$19*($DN261&lt;&gt;$DO261) + $B$19*($DN261=$DO261))</f>
        <v>3.7037037037037035E-4</v>
      </c>
      <c r="FT261" s="10" cm="1">
        <f t="array" aca="1" ref="FT261" ca="1">(1-$B$18)*SUMPRODUCT(OFFSET($BO$15,0,0,$B$14,1), 1*(_xlfn._xlws.FILTER(OFFSET($O$15,0,$DN261,$B$8,1),OFFSET($M$15,0,0,$B$8,1))=FT$13), 1*(_xlfn._xlws.FILTER(OFFSET($O$15,0,$DO261,$B$8,1),OFFSET($M$15,0,0,$B$8,1))=FT$14))   /   SUM(OFFSET($BO$15,0,0,$B$14,1)) + $B$18/($B$19*$B$19*($DN261&lt;&gt;$DO261) + $B$19*($DN261=$DO261))</f>
        <v>3.7037037037037035E-4</v>
      </c>
      <c r="FU261" s="10" cm="1">
        <f t="array" aca="1" ref="FU261" ca="1">(1-$B$18)*SUMPRODUCT(OFFSET($BO$15,0,0,$B$14,1), 1*(_xlfn._xlws.FILTER(OFFSET($O$15,0,$DN261,$B$8,1),OFFSET($M$15,0,0,$B$8,1))=FU$13), 1*(_xlfn._xlws.FILTER(OFFSET($O$15,0,$DO261,$B$8,1),OFFSET($M$15,0,0,$B$8,1))=FU$14))   /   SUM(OFFSET($BO$15,0,0,$B$14,1)) + $B$18/($B$19*$B$19*($DN261&lt;&gt;$DO261) + $B$19*($DN261=$DO261))</f>
        <v>3.7037037037037035E-4</v>
      </c>
      <c r="FV261" s="10" cm="1">
        <f t="array" aca="1" ref="FV261" ca="1">(1-$B$18)*SUMPRODUCT(OFFSET($BO$15,0,0,$B$14,1), 1*(_xlfn._xlws.FILTER(OFFSET($O$15,0,$DN261,$B$8,1),OFFSET($M$15,0,0,$B$8,1))=FV$13), 1*(_xlfn._xlws.FILTER(OFFSET($O$15,0,$DO261,$B$8,1),OFFSET($M$15,0,0,$B$8,1))=FV$14))   /   SUM(OFFSET($BO$15,0,0,$B$14,1)) + $B$18/($B$19*$B$19*($DN261&lt;&gt;$DO261) + $B$19*($DN261=$DO261))</f>
        <v>3.7037037037037035E-4</v>
      </c>
      <c r="FW261" s="10" cm="1">
        <f t="array" aca="1" ref="FW261" ca="1">(1-$B$18)*SUMPRODUCT(OFFSET($BO$15,0,0,$B$14,1), 1*(_xlfn._xlws.FILTER(OFFSET($O$15,0,$DN261,$B$8,1),OFFSET($M$15,0,0,$B$8,1))=FW$13), 1*(_xlfn._xlws.FILTER(OFFSET($O$15,0,$DO261,$B$8,1),OFFSET($M$15,0,0,$B$8,1))=FW$14))   /   SUM(OFFSET($BO$15,0,0,$B$14,1)) + $B$18/($B$19*$B$19*($DN261&lt;&gt;$DO261) + $B$19*($DN261=$DO261))</f>
        <v>3.7037037037037035E-4</v>
      </c>
      <c r="FX261" s="10" cm="1">
        <f t="array" aca="1" ref="FX261" ca="1">(1-$B$18)*SUMPRODUCT(OFFSET($BO$15,0,0,$B$14,1), 1*(_xlfn._xlws.FILTER(OFFSET($O$15,0,$DN261,$B$8,1),OFFSET($M$15,0,0,$B$8,1))=FX$13), 1*(_xlfn._xlws.FILTER(OFFSET($O$15,0,$DO261,$B$8,1),OFFSET($M$15,0,0,$B$8,1))=FX$14))   /   SUM(OFFSET($BO$15,0,0,$B$14,1)) + $B$18/($B$19*$B$19*($DN261&lt;&gt;$DO261) + $B$19*($DN261=$DO261))</f>
        <v>3.7037037037037035E-4</v>
      </c>
      <c r="FY261" s="10" cm="1">
        <f t="array" aca="1" ref="FY261" ca="1">(1-$B$18)*SUMPRODUCT(OFFSET($BO$15,0,0,$B$14,1), 1*(_xlfn._xlws.FILTER(OFFSET($O$15,0,$DN261,$B$8,1),OFFSET($M$15,0,0,$B$8,1))=FY$13), 1*(_xlfn._xlws.FILTER(OFFSET($O$15,0,$DO261,$B$8,1),OFFSET($M$15,0,0,$B$8,1))=FY$14))   /   SUM(OFFSET($BO$15,0,0,$B$14,1)) + $B$18/($B$19*$B$19*($DN261&lt;&gt;$DO261) + $B$19*($DN261=$DO261))</f>
        <v>3.7037037037037035E-4</v>
      </c>
      <c r="FZ261" s="10" cm="1">
        <f t="array" aca="1" ref="FZ261" ca="1">(1-$B$18)*SUMPRODUCT(OFFSET($BO$15,0,0,$B$14,1), 1*(_xlfn._xlws.FILTER(OFFSET($O$15,0,$DN261,$B$8,1),OFFSET($M$15,0,0,$B$8,1))=FZ$13), 1*(_xlfn._xlws.FILTER(OFFSET($O$15,0,$DO261,$B$8,1),OFFSET($M$15,0,0,$B$8,1))=FZ$14))   /   SUM(OFFSET($BO$15,0,0,$B$14,1)) + $B$18/($B$19*$B$19*($DN261&lt;&gt;$DO261) + $B$19*($DN261=$DO261))</f>
        <v>3.7037037037037035E-4</v>
      </c>
      <c r="GA261" s="10" cm="1">
        <f t="array" aca="1" ref="GA261" ca="1">(1-$B$18)*SUMPRODUCT(OFFSET($BO$15,0,0,$B$14,1), 1*(_xlfn._xlws.FILTER(OFFSET($O$15,0,$DN261,$B$8,1),OFFSET($M$15,0,0,$B$8,1))=GA$13), 1*(_xlfn._xlws.FILTER(OFFSET($O$15,0,$DO261,$B$8,1),OFFSET($M$15,0,0,$B$8,1))=GA$14))   /   SUM(OFFSET($BO$15,0,0,$B$14,1)) + $B$18/($B$19*$B$19*($DN261&lt;&gt;$DO261) + $B$19*($DN261=$DO261))</f>
        <v>3.7037037037037035E-4</v>
      </c>
    </row>
    <row r="262" spans="118:183" x14ac:dyDescent="0.2">
      <c r="DN262" cm="1">
        <f t="array" aca="1" ref="DN262" ca="1">INDEX(_xlfn.ANCHORARRAY($CP$15), 1 + INT((ROWS($DO$15:$DO262) - 1) / ROWS(_xlfn.ANCHORARRAY($CP$15))))</f>
        <v>14</v>
      </c>
      <c r="DO262" cm="1">
        <f t="array" aca="1" ref="DO262" ca="1">INDEX(_xlfn.ANCHORARRAY($CP$15),1+MOD(ROWS($DO$15:$DO262)-1,ROWS(_xlfn.ANCHORARRAY($CP$15))))</f>
        <v>0</v>
      </c>
      <c r="DP262" s="10" cm="1">
        <f t="array" aca="1" ref="DP262" ca="1">(1-$B$18)*SUMPRODUCT(OFFSET($BO$15,0,0,$B$14,1), 1*(_xlfn._xlws.FILTER(OFFSET($O$15,0,$DN262,$B$8,1),OFFSET($M$15,0,0,$B$8,1))=DP$13), 1*(_xlfn._xlws.FILTER(OFFSET($O$15,0,$DO262,$B$8,1),OFFSET($M$15,0,0,$B$8,1))=DP$14))   /   SUM(OFFSET($BO$15,0,0,$B$14,1)) + $B$18/($B$19*$B$19*($DN262&lt;&gt;$DO262) + $B$19*($DN262=$DO262))</f>
        <v>3.7037037037037035E-4</v>
      </c>
      <c r="DQ262" s="10" cm="1">
        <f t="array" aca="1" ref="DQ262" ca="1">(1-$B$18)*SUMPRODUCT(OFFSET($BO$15,0,0,$B$14,1), 1*(_xlfn._xlws.FILTER(OFFSET($O$15,0,$DN262,$B$8,1),OFFSET($M$15,0,0,$B$8,1))=DQ$13), 1*(_xlfn._xlws.FILTER(OFFSET($O$15,0,$DO262,$B$8,1),OFFSET($M$15,0,0,$B$8,1))=DQ$14))   /   SUM(OFFSET($BO$15,0,0,$B$14,1)) + $B$18/($B$19*$B$19*($DN262&lt;&gt;$DO262) + $B$19*($DN262=$DO262))</f>
        <v>3.7037037037037035E-4</v>
      </c>
      <c r="DR262" s="10" cm="1">
        <f t="array" aca="1" ref="DR262" ca="1">(1-$B$18)*SUMPRODUCT(OFFSET($BO$15,0,0,$B$14,1), 1*(_xlfn._xlws.FILTER(OFFSET($O$15,0,$DN262,$B$8,1),OFFSET($M$15,0,0,$B$8,1))=DR$13), 1*(_xlfn._xlws.FILTER(OFFSET($O$15,0,$DO262,$B$8,1),OFFSET($M$15,0,0,$B$8,1))=DR$14))   /   SUM(OFFSET($BO$15,0,0,$B$14,1)) + $B$18/($B$19*$B$19*($DN262&lt;&gt;$DO262) + $B$19*($DN262=$DO262))</f>
        <v>3.7037037037037035E-4</v>
      </c>
      <c r="DS262" s="10" cm="1">
        <f t="array" aca="1" ref="DS262" ca="1">(1-$B$18)*SUMPRODUCT(OFFSET($BO$15,0,0,$B$14,1), 1*(_xlfn._xlws.FILTER(OFFSET($O$15,0,$DN262,$B$8,1),OFFSET($M$15,0,0,$B$8,1))=DS$13), 1*(_xlfn._xlws.FILTER(OFFSET($O$15,0,$DO262,$B$8,1),OFFSET($M$15,0,0,$B$8,1))=DS$14))   /   SUM(OFFSET($BO$15,0,0,$B$14,1)) + $B$18/($B$19*$B$19*($DN262&lt;&gt;$DO262) + $B$19*($DN262=$DO262))</f>
        <v>3.7037037037037035E-4</v>
      </c>
      <c r="DT262" s="10" cm="1">
        <f t="array" aca="1" ref="DT262" ca="1">(1-$B$18)*SUMPRODUCT(OFFSET($BO$15,0,0,$B$14,1), 1*(_xlfn._xlws.FILTER(OFFSET($O$15,0,$DN262,$B$8,1),OFFSET($M$15,0,0,$B$8,1))=DT$13), 1*(_xlfn._xlws.FILTER(OFFSET($O$15,0,$DO262,$B$8,1),OFFSET($M$15,0,0,$B$8,1))=DT$14))   /   SUM(OFFSET($BO$15,0,0,$B$14,1)) + $B$18/($B$19*$B$19*($DN262&lt;&gt;$DO262) + $B$19*($DN262=$DO262))</f>
        <v>3.7037037037037035E-4</v>
      </c>
      <c r="DU262" s="10" cm="1">
        <f t="array" aca="1" ref="DU262" ca="1">(1-$B$18)*SUMPRODUCT(OFFSET($BO$15,0,0,$B$14,1), 1*(_xlfn._xlws.FILTER(OFFSET($O$15,0,$DN262,$B$8,1),OFFSET($M$15,0,0,$B$8,1))=DU$13), 1*(_xlfn._xlws.FILTER(OFFSET($O$15,0,$DO262,$B$8,1),OFFSET($M$15,0,0,$B$8,1))=DU$14))   /   SUM(OFFSET($BO$15,0,0,$B$14,1)) + $B$18/($B$19*$B$19*($DN262&lt;&gt;$DO262) + $B$19*($DN262=$DO262))</f>
        <v>3.7037037037037035E-4</v>
      </c>
      <c r="DV262" s="10" cm="1">
        <f t="array" aca="1" ref="DV262" ca="1">(1-$B$18)*SUMPRODUCT(OFFSET($BO$15,0,0,$B$14,1), 1*(_xlfn._xlws.FILTER(OFFSET($O$15,0,$DN262,$B$8,1),OFFSET($M$15,0,0,$B$8,1))=DV$13), 1*(_xlfn._xlws.FILTER(OFFSET($O$15,0,$DO262,$B$8,1),OFFSET($M$15,0,0,$B$8,1))=DV$14))   /   SUM(OFFSET($BO$15,0,0,$B$14,1)) + $B$18/($B$19*$B$19*($DN262&lt;&gt;$DO262) + $B$19*($DN262=$DO262))</f>
        <v>3.7037037037037035E-4</v>
      </c>
      <c r="DW262" s="10" cm="1">
        <f t="array" aca="1" ref="DW262" ca="1">(1-$B$18)*SUMPRODUCT(OFFSET($BO$15,0,0,$B$14,1), 1*(_xlfn._xlws.FILTER(OFFSET($O$15,0,$DN262,$B$8,1),OFFSET($M$15,0,0,$B$8,1))=DW$13), 1*(_xlfn._xlws.FILTER(OFFSET($O$15,0,$DO262,$B$8,1),OFFSET($M$15,0,0,$B$8,1))=DW$14))   /   SUM(OFFSET($BO$15,0,0,$B$14,1)) + $B$18/($B$19*$B$19*($DN262&lt;&gt;$DO262) + $B$19*($DN262=$DO262))</f>
        <v>3.7037037037037035E-4</v>
      </c>
      <c r="DX262" s="10" cm="1">
        <f t="array" aca="1" ref="DX262" ca="1">(1-$B$18)*SUMPRODUCT(OFFSET($BO$15,0,0,$B$14,1), 1*(_xlfn._xlws.FILTER(OFFSET($O$15,0,$DN262,$B$8,1),OFFSET($M$15,0,0,$B$8,1))=DX$13), 1*(_xlfn._xlws.FILTER(OFFSET($O$15,0,$DO262,$B$8,1),OFFSET($M$15,0,0,$B$8,1))=DX$14))   /   SUM(OFFSET($BO$15,0,0,$B$14,1)) + $B$18/($B$19*$B$19*($DN262&lt;&gt;$DO262) + $B$19*($DN262=$DO262))</f>
        <v>3.7037037037037035E-4</v>
      </c>
      <c r="DY262" s="10" cm="1">
        <f t="array" aca="1" ref="DY262" ca="1">(1-$B$18)*SUMPRODUCT(OFFSET($BO$15,0,0,$B$14,1), 1*(_xlfn._xlws.FILTER(OFFSET($O$15,0,$DN262,$B$8,1),OFFSET($M$15,0,0,$B$8,1))=DY$13), 1*(_xlfn._xlws.FILTER(OFFSET($O$15,0,$DO262,$B$8,1),OFFSET($M$15,0,0,$B$8,1))=DY$14))   /   SUM(OFFSET($BO$15,0,0,$B$14,1)) + $B$18/($B$19*$B$19*($DN262&lt;&gt;$DO262) + $B$19*($DN262=$DO262))</f>
        <v>3.7037037037037035E-4</v>
      </c>
      <c r="DZ262" s="10" cm="1">
        <f t="array" aca="1" ref="DZ262" ca="1">(1-$B$18)*SUMPRODUCT(OFFSET($BO$15,0,0,$B$14,1), 1*(_xlfn._xlws.FILTER(OFFSET($O$15,0,$DN262,$B$8,1),OFFSET($M$15,0,0,$B$8,1))=DZ$13), 1*(_xlfn._xlws.FILTER(OFFSET($O$15,0,$DO262,$B$8,1),OFFSET($M$15,0,0,$B$8,1))=DZ$14))   /   SUM(OFFSET($BO$15,0,0,$B$14,1)) + $B$18/($B$19*$B$19*($DN262&lt;&gt;$DO262) + $B$19*($DN262=$DO262))</f>
        <v>3.7037037037037035E-4</v>
      </c>
      <c r="EA262" s="10" cm="1">
        <f t="array" aca="1" ref="EA262" ca="1">(1-$B$18)*SUMPRODUCT(OFFSET($BO$15,0,0,$B$14,1), 1*(_xlfn._xlws.FILTER(OFFSET($O$15,0,$DN262,$B$8,1),OFFSET($M$15,0,0,$B$8,1))=EA$13), 1*(_xlfn._xlws.FILTER(OFFSET($O$15,0,$DO262,$B$8,1),OFFSET($M$15,0,0,$B$8,1))=EA$14))   /   SUM(OFFSET($BO$15,0,0,$B$14,1)) + $B$18/($B$19*$B$19*($DN262&lt;&gt;$DO262) + $B$19*($DN262=$DO262))</f>
        <v>3.7037037037037035E-4</v>
      </c>
      <c r="EB262" s="10" cm="1">
        <f t="array" aca="1" ref="EB262" ca="1">(1-$B$18)*SUMPRODUCT(OFFSET($BO$15,0,0,$B$14,1), 1*(_xlfn._xlws.FILTER(OFFSET($O$15,0,$DN262,$B$8,1),OFFSET($M$15,0,0,$B$8,1))=EB$13), 1*(_xlfn._xlws.FILTER(OFFSET($O$15,0,$DO262,$B$8,1),OFFSET($M$15,0,0,$B$8,1))=EB$14))   /   SUM(OFFSET($BO$15,0,0,$B$14,1)) + $B$18/($B$19*$B$19*($DN262&lt;&gt;$DO262) + $B$19*($DN262=$DO262))</f>
        <v>3.7037037037037035E-4</v>
      </c>
      <c r="EC262" s="10" cm="1">
        <f t="array" aca="1" ref="EC262" ca="1">(1-$B$18)*SUMPRODUCT(OFFSET($BO$15,0,0,$B$14,1), 1*(_xlfn._xlws.FILTER(OFFSET($O$15,0,$DN262,$B$8,1),OFFSET($M$15,0,0,$B$8,1))=EC$13), 1*(_xlfn._xlws.FILTER(OFFSET($O$15,0,$DO262,$B$8,1),OFFSET($M$15,0,0,$B$8,1))=EC$14))   /   SUM(OFFSET($BO$15,0,0,$B$14,1)) + $B$18/($B$19*$B$19*($DN262&lt;&gt;$DO262) + $B$19*($DN262=$DO262))</f>
        <v>3.7037037037037035E-4</v>
      </c>
      <c r="ED262" s="10" cm="1">
        <f t="array" aca="1" ref="ED262" ca="1">(1-$B$18)*SUMPRODUCT(OFFSET($BO$15,0,0,$B$14,1), 1*(_xlfn._xlws.FILTER(OFFSET($O$15,0,$DN262,$B$8,1),OFFSET($M$15,0,0,$B$8,1))=ED$13), 1*(_xlfn._xlws.FILTER(OFFSET($O$15,0,$DO262,$B$8,1),OFFSET($M$15,0,0,$B$8,1))=ED$14))   /   SUM(OFFSET($BO$15,0,0,$B$14,1)) + $B$18/($B$19*$B$19*($DN262&lt;&gt;$DO262) + $B$19*($DN262=$DO262))</f>
        <v>3.7037037037037035E-4</v>
      </c>
      <c r="EE262" s="10" cm="1">
        <f t="array" aca="1" ref="EE262" ca="1">(1-$B$18)*SUMPRODUCT(OFFSET($BO$15,0,0,$B$14,1), 1*(_xlfn._xlws.FILTER(OFFSET($O$15,0,$DN262,$B$8,1),OFFSET($M$15,0,0,$B$8,1))=EE$13), 1*(_xlfn._xlws.FILTER(OFFSET($O$15,0,$DO262,$B$8,1),OFFSET($M$15,0,0,$B$8,1))=EE$14))   /   SUM(OFFSET($BO$15,0,0,$B$14,1)) + $B$18/($B$19*$B$19*($DN262&lt;&gt;$DO262) + $B$19*($DN262=$DO262))</f>
        <v>3.7037037037037035E-4</v>
      </c>
      <c r="EF262" s="10" cm="1">
        <f t="array" aca="1" ref="EF262" ca="1">(1-$B$18)*SUMPRODUCT(OFFSET($BO$15,0,0,$B$14,1), 1*(_xlfn._xlws.FILTER(OFFSET($O$15,0,$DN262,$B$8,1),OFFSET($M$15,0,0,$B$8,1))=EF$13), 1*(_xlfn._xlws.FILTER(OFFSET($O$15,0,$DO262,$B$8,1),OFFSET($M$15,0,0,$B$8,1))=EF$14))   /   SUM(OFFSET($BO$15,0,0,$B$14,1)) + $B$18/($B$19*$B$19*($DN262&lt;&gt;$DO262) + $B$19*($DN262=$DO262))</f>
        <v>3.7037037037037035E-4</v>
      </c>
      <c r="EG262" s="10" cm="1">
        <f t="array" aca="1" ref="EG262" ca="1">(1-$B$18)*SUMPRODUCT(OFFSET($BO$15,0,0,$B$14,1), 1*(_xlfn._xlws.FILTER(OFFSET($O$15,0,$DN262,$B$8,1),OFFSET($M$15,0,0,$B$8,1))=EG$13), 1*(_xlfn._xlws.FILTER(OFFSET($O$15,0,$DO262,$B$8,1),OFFSET($M$15,0,0,$B$8,1))=EG$14))   /   SUM(OFFSET($BO$15,0,0,$B$14,1)) + $B$18/($B$19*$B$19*($DN262&lt;&gt;$DO262) + $B$19*($DN262=$DO262))</f>
        <v>3.7037037037037035E-4</v>
      </c>
      <c r="EH262" s="10" cm="1">
        <f t="array" aca="1" ref="EH262" ca="1">(1-$B$18)*SUMPRODUCT(OFFSET($BO$15,0,0,$B$14,1), 1*(_xlfn._xlws.FILTER(OFFSET($O$15,0,$DN262,$B$8,1),OFFSET($M$15,0,0,$B$8,1))=EH$13), 1*(_xlfn._xlws.FILTER(OFFSET($O$15,0,$DO262,$B$8,1),OFFSET($M$15,0,0,$B$8,1))=EH$14))   /   SUM(OFFSET($BO$15,0,0,$B$14,1)) + $B$18/($B$19*$B$19*($DN262&lt;&gt;$DO262) + $B$19*($DN262=$DO262))</f>
        <v>3.7037037037037035E-4</v>
      </c>
      <c r="EI262" s="10" cm="1">
        <f t="array" aca="1" ref="EI262" ca="1">(1-$B$18)*SUMPRODUCT(OFFSET($BO$15,0,0,$B$14,1), 1*(_xlfn._xlws.FILTER(OFFSET($O$15,0,$DN262,$B$8,1),OFFSET($M$15,0,0,$B$8,1))=EI$13), 1*(_xlfn._xlws.FILTER(OFFSET($O$15,0,$DO262,$B$8,1),OFFSET($M$15,0,0,$B$8,1))=EI$14))   /   SUM(OFFSET($BO$15,0,0,$B$14,1)) + $B$18/($B$19*$B$19*($DN262&lt;&gt;$DO262) + $B$19*($DN262=$DO262))</f>
        <v>3.7037037037037035E-4</v>
      </c>
      <c r="EJ262" s="10" cm="1">
        <f t="array" aca="1" ref="EJ262" ca="1">(1-$B$18)*SUMPRODUCT(OFFSET($BO$15,0,0,$B$14,1), 1*(_xlfn._xlws.FILTER(OFFSET($O$15,0,$DN262,$B$8,1),OFFSET($M$15,0,0,$B$8,1))=EJ$13), 1*(_xlfn._xlws.FILTER(OFFSET($O$15,0,$DO262,$B$8,1),OFFSET($M$15,0,0,$B$8,1))=EJ$14))   /   SUM(OFFSET($BO$15,0,0,$B$14,1)) + $B$18/($B$19*$B$19*($DN262&lt;&gt;$DO262) + $B$19*($DN262=$DO262))</f>
        <v>3.7037037037037035E-4</v>
      </c>
      <c r="EK262" s="10" cm="1">
        <f t="array" aca="1" ref="EK262" ca="1">(1-$B$18)*SUMPRODUCT(OFFSET($BO$15,0,0,$B$14,1), 1*(_xlfn._xlws.FILTER(OFFSET($O$15,0,$DN262,$B$8,1),OFFSET($M$15,0,0,$B$8,1))=EK$13), 1*(_xlfn._xlws.FILTER(OFFSET($O$15,0,$DO262,$B$8,1),OFFSET($M$15,0,0,$B$8,1))=EK$14))   /   SUM(OFFSET($BO$15,0,0,$B$14,1)) + $B$18/($B$19*$B$19*($DN262&lt;&gt;$DO262) + $B$19*($DN262=$DO262))</f>
        <v>3.7037037037037035E-4</v>
      </c>
      <c r="EL262" s="10" cm="1">
        <f t="array" aca="1" ref="EL262" ca="1">(1-$B$18)*SUMPRODUCT(OFFSET($BO$15,0,0,$B$14,1), 1*(_xlfn._xlws.FILTER(OFFSET($O$15,0,$DN262,$B$8,1),OFFSET($M$15,0,0,$B$8,1))=EL$13), 1*(_xlfn._xlws.FILTER(OFFSET($O$15,0,$DO262,$B$8,1),OFFSET($M$15,0,0,$B$8,1))=EL$14))   /   SUM(OFFSET($BO$15,0,0,$B$14,1)) + $B$18/($B$19*$B$19*($DN262&lt;&gt;$DO262) + $B$19*($DN262=$DO262))</f>
        <v>0.97037037037037033</v>
      </c>
      <c r="EM262" s="10" cm="1">
        <f t="array" aca="1" ref="EM262" ca="1">(1-$B$18)*SUMPRODUCT(OFFSET($BO$15,0,0,$B$14,1), 1*(_xlfn._xlws.FILTER(OFFSET($O$15,0,$DN262,$B$8,1),OFFSET($M$15,0,0,$B$8,1))=EM$13), 1*(_xlfn._xlws.FILTER(OFFSET($O$15,0,$DO262,$B$8,1),OFFSET($M$15,0,0,$B$8,1))=EM$14))   /   SUM(OFFSET($BO$15,0,0,$B$14,1)) + $B$18/($B$19*$B$19*($DN262&lt;&gt;$DO262) + $B$19*($DN262=$DO262))</f>
        <v>3.7037037037037035E-4</v>
      </c>
      <c r="EN262" s="10" cm="1">
        <f t="array" aca="1" ref="EN262" ca="1">(1-$B$18)*SUMPRODUCT(OFFSET($BO$15,0,0,$B$14,1), 1*(_xlfn._xlws.FILTER(OFFSET($O$15,0,$DN262,$B$8,1),OFFSET($M$15,0,0,$B$8,1))=EN$13), 1*(_xlfn._xlws.FILTER(OFFSET($O$15,0,$DO262,$B$8,1),OFFSET($M$15,0,0,$B$8,1))=EN$14))   /   SUM(OFFSET($BO$15,0,0,$B$14,1)) + $B$18/($B$19*$B$19*($DN262&lt;&gt;$DO262) + $B$19*($DN262=$DO262))</f>
        <v>3.7037037037037035E-4</v>
      </c>
      <c r="EO262" s="10" cm="1">
        <f t="array" aca="1" ref="EO262" ca="1">(1-$B$18)*SUMPRODUCT(OFFSET($BO$15,0,0,$B$14,1), 1*(_xlfn._xlws.FILTER(OFFSET($O$15,0,$DN262,$B$8,1),OFFSET($M$15,0,0,$B$8,1))=EO$13), 1*(_xlfn._xlws.FILTER(OFFSET($O$15,0,$DO262,$B$8,1),OFFSET($M$15,0,0,$B$8,1))=EO$14))   /   SUM(OFFSET($BO$15,0,0,$B$14,1)) + $B$18/($B$19*$B$19*($DN262&lt;&gt;$DO262) + $B$19*($DN262=$DO262))</f>
        <v>3.7037037037037035E-4</v>
      </c>
      <c r="EP262" s="10" cm="1">
        <f t="array" aca="1" ref="EP262" ca="1">(1-$B$18)*SUMPRODUCT(OFFSET($BO$15,0,0,$B$14,1), 1*(_xlfn._xlws.FILTER(OFFSET($O$15,0,$DN262,$B$8,1),OFFSET($M$15,0,0,$B$8,1))=EP$13), 1*(_xlfn._xlws.FILTER(OFFSET($O$15,0,$DO262,$B$8,1),OFFSET($M$15,0,0,$B$8,1))=EP$14))   /   SUM(OFFSET($BO$15,0,0,$B$14,1)) + $B$18/($B$19*$B$19*($DN262&lt;&gt;$DO262) + $B$19*($DN262=$DO262))</f>
        <v>3.7037037037037035E-4</v>
      </c>
      <c r="EQ262" s="10" cm="1">
        <f t="array" aca="1" ref="EQ262" ca="1">(1-$B$18)*SUMPRODUCT(OFFSET($BO$15,0,0,$B$14,1), 1*(_xlfn._xlws.FILTER(OFFSET($O$15,0,$DN262,$B$8,1),OFFSET($M$15,0,0,$B$8,1))=EQ$13), 1*(_xlfn._xlws.FILTER(OFFSET($O$15,0,$DO262,$B$8,1),OFFSET($M$15,0,0,$B$8,1))=EQ$14))   /   SUM(OFFSET($BO$15,0,0,$B$14,1)) + $B$18/($B$19*$B$19*($DN262&lt;&gt;$DO262) + $B$19*($DN262=$DO262))</f>
        <v>3.7037037037037035E-4</v>
      </c>
      <c r="ER262" s="10" cm="1">
        <f t="array" aca="1" ref="ER262" ca="1">(1-$B$18)*SUMPRODUCT(OFFSET($BO$15,0,0,$B$14,1), 1*(_xlfn._xlws.FILTER(OFFSET($O$15,0,$DN262,$B$8,1),OFFSET($M$15,0,0,$B$8,1))=ER$13), 1*(_xlfn._xlws.FILTER(OFFSET($O$15,0,$DO262,$B$8,1),OFFSET($M$15,0,0,$B$8,1))=ER$14))   /   SUM(OFFSET($BO$15,0,0,$B$14,1)) + $B$18/($B$19*$B$19*($DN262&lt;&gt;$DO262) + $B$19*($DN262=$DO262))</f>
        <v>3.7037037037037035E-4</v>
      </c>
      <c r="ES262" s="10" cm="1">
        <f t="array" aca="1" ref="ES262" ca="1">(1-$B$18)*SUMPRODUCT(OFFSET($BO$15,0,0,$B$14,1), 1*(_xlfn._xlws.FILTER(OFFSET($O$15,0,$DN262,$B$8,1),OFFSET($M$15,0,0,$B$8,1))=ES$13), 1*(_xlfn._xlws.FILTER(OFFSET($O$15,0,$DO262,$B$8,1),OFFSET($M$15,0,0,$B$8,1))=ES$14))   /   SUM(OFFSET($BO$15,0,0,$B$14,1)) + $B$18/($B$19*$B$19*($DN262&lt;&gt;$DO262) + $B$19*($DN262=$DO262))</f>
        <v>3.7037037037037035E-4</v>
      </c>
      <c r="ET262" s="10" cm="1">
        <f t="array" aca="1" ref="ET262" ca="1">(1-$B$18)*SUMPRODUCT(OFFSET($BO$15,0,0,$B$14,1), 1*(_xlfn._xlws.FILTER(OFFSET($O$15,0,$DN262,$B$8,1),OFFSET($M$15,0,0,$B$8,1))=ET$13), 1*(_xlfn._xlws.FILTER(OFFSET($O$15,0,$DO262,$B$8,1),OFFSET($M$15,0,0,$B$8,1))=ET$14))   /   SUM(OFFSET($BO$15,0,0,$B$14,1)) + $B$18/($B$19*$B$19*($DN262&lt;&gt;$DO262) + $B$19*($DN262=$DO262))</f>
        <v>3.7037037037037035E-4</v>
      </c>
      <c r="EU262" s="10" cm="1">
        <f t="array" aca="1" ref="EU262" ca="1">(1-$B$18)*SUMPRODUCT(OFFSET($BO$15,0,0,$B$14,1), 1*(_xlfn._xlws.FILTER(OFFSET($O$15,0,$DN262,$B$8,1),OFFSET($M$15,0,0,$B$8,1))=EU$13), 1*(_xlfn._xlws.FILTER(OFFSET($O$15,0,$DO262,$B$8,1),OFFSET($M$15,0,0,$B$8,1))=EU$14))   /   SUM(OFFSET($BO$15,0,0,$B$14,1)) + $B$18/($B$19*$B$19*($DN262&lt;&gt;$DO262) + $B$19*($DN262=$DO262))</f>
        <v>3.7037037037037035E-4</v>
      </c>
      <c r="EV262" s="10" cm="1">
        <f t="array" aca="1" ref="EV262" ca="1">(1-$B$18)*SUMPRODUCT(OFFSET($BO$15,0,0,$B$14,1), 1*(_xlfn._xlws.FILTER(OFFSET($O$15,0,$DN262,$B$8,1),OFFSET($M$15,0,0,$B$8,1))=EV$13), 1*(_xlfn._xlws.FILTER(OFFSET($O$15,0,$DO262,$B$8,1),OFFSET($M$15,0,0,$B$8,1))=EV$14))   /   SUM(OFFSET($BO$15,0,0,$B$14,1)) + $B$18/($B$19*$B$19*($DN262&lt;&gt;$DO262) + $B$19*($DN262=$DO262))</f>
        <v>3.7037037037037035E-4</v>
      </c>
      <c r="EW262" s="10" cm="1">
        <f t="array" aca="1" ref="EW262" ca="1">(1-$B$18)*SUMPRODUCT(OFFSET($BO$15,0,0,$B$14,1), 1*(_xlfn._xlws.FILTER(OFFSET($O$15,0,$DN262,$B$8,1),OFFSET($M$15,0,0,$B$8,1))=EW$13), 1*(_xlfn._xlws.FILTER(OFFSET($O$15,0,$DO262,$B$8,1),OFFSET($M$15,0,0,$B$8,1))=EW$14))   /   SUM(OFFSET($BO$15,0,0,$B$14,1)) + $B$18/($B$19*$B$19*($DN262&lt;&gt;$DO262) + $B$19*($DN262=$DO262))</f>
        <v>3.7037037037037035E-4</v>
      </c>
      <c r="EX262" s="10" cm="1">
        <f t="array" aca="1" ref="EX262" ca="1">(1-$B$18)*SUMPRODUCT(OFFSET($BO$15,0,0,$B$14,1), 1*(_xlfn._xlws.FILTER(OFFSET($O$15,0,$DN262,$B$8,1),OFFSET($M$15,0,0,$B$8,1))=EX$13), 1*(_xlfn._xlws.FILTER(OFFSET($O$15,0,$DO262,$B$8,1),OFFSET($M$15,0,0,$B$8,1))=EX$14))   /   SUM(OFFSET($BO$15,0,0,$B$14,1)) + $B$18/($B$19*$B$19*($DN262&lt;&gt;$DO262) + $B$19*($DN262=$DO262))</f>
        <v>3.7037037037037035E-4</v>
      </c>
      <c r="EY262" s="10" cm="1">
        <f t="array" aca="1" ref="EY262" ca="1">(1-$B$18)*SUMPRODUCT(OFFSET($BO$15,0,0,$B$14,1), 1*(_xlfn._xlws.FILTER(OFFSET($O$15,0,$DN262,$B$8,1),OFFSET($M$15,0,0,$B$8,1))=EY$13), 1*(_xlfn._xlws.FILTER(OFFSET($O$15,0,$DO262,$B$8,1),OFFSET($M$15,0,0,$B$8,1))=EY$14))   /   SUM(OFFSET($BO$15,0,0,$B$14,1)) + $B$18/($B$19*$B$19*($DN262&lt;&gt;$DO262) + $B$19*($DN262=$DO262))</f>
        <v>3.7037037037037035E-4</v>
      </c>
      <c r="EZ262" s="10" cm="1">
        <f t="array" aca="1" ref="EZ262" ca="1">(1-$B$18)*SUMPRODUCT(OFFSET($BO$15,0,0,$B$14,1), 1*(_xlfn._xlws.FILTER(OFFSET($O$15,0,$DN262,$B$8,1),OFFSET($M$15,0,0,$B$8,1))=EZ$13), 1*(_xlfn._xlws.FILTER(OFFSET($O$15,0,$DO262,$B$8,1),OFFSET($M$15,0,0,$B$8,1))=EZ$14))   /   SUM(OFFSET($BO$15,0,0,$B$14,1)) + $B$18/($B$19*$B$19*($DN262&lt;&gt;$DO262) + $B$19*($DN262=$DO262))</f>
        <v>3.7037037037037035E-4</v>
      </c>
      <c r="FA262" s="10" cm="1">
        <f t="array" aca="1" ref="FA262" ca="1">(1-$B$18)*SUMPRODUCT(OFFSET($BO$15,0,0,$B$14,1), 1*(_xlfn._xlws.FILTER(OFFSET($O$15,0,$DN262,$B$8,1),OFFSET($M$15,0,0,$B$8,1))=FA$13), 1*(_xlfn._xlws.FILTER(OFFSET($O$15,0,$DO262,$B$8,1),OFFSET($M$15,0,0,$B$8,1))=FA$14))   /   SUM(OFFSET($BO$15,0,0,$B$14,1)) + $B$18/($B$19*$B$19*($DN262&lt;&gt;$DO262) + $B$19*($DN262=$DO262))</f>
        <v>3.7037037037037035E-4</v>
      </c>
      <c r="FB262" s="10" cm="1">
        <f t="array" aca="1" ref="FB262" ca="1">(1-$B$18)*SUMPRODUCT(OFFSET($BO$15,0,0,$B$14,1), 1*(_xlfn._xlws.FILTER(OFFSET($O$15,0,$DN262,$B$8,1),OFFSET($M$15,0,0,$B$8,1))=FB$13), 1*(_xlfn._xlws.FILTER(OFFSET($O$15,0,$DO262,$B$8,1),OFFSET($M$15,0,0,$B$8,1))=FB$14))   /   SUM(OFFSET($BO$15,0,0,$B$14,1)) + $B$18/($B$19*$B$19*($DN262&lt;&gt;$DO262) + $B$19*($DN262=$DO262))</f>
        <v>3.7037037037037035E-4</v>
      </c>
      <c r="FC262" s="10" cm="1">
        <f t="array" aca="1" ref="FC262" ca="1">(1-$B$18)*SUMPRODUCT(OFFSET($BO$15,0,0,$B$14,1), 1*(_xlfn._xlws.FILTER(OFFSET($O$15,0,$DN262,$B$8,1),OFFSET($M$15,0,0,$B$8,1))=FC$13), 1*(_xlfn._xlws.FILTER(OFFSET($O$15,0,$DO262,$B$8,1),OFFSET($M$15,0,0,$B$8,1))=FC$14))   /   SUM(OFFSET($BO$15,0,0,$B$14,1)) + $B$18/($B$19*$B$19*($DN262&lt;&gt;$DO262) + $B$19*($DN262=$DO262))</f>
        <v>3.7037037037037035E-4</v>
      </c>
      <c r="FD262" s="10" cm="1">
        <f t="array" aca="1" ref="FD262" ca="1">(1-$B$18)*SUMPRODUCT(OFFSET($BO$15,0,0,$B$14,1), 1*(_xlfn._xlws.FILTER(OFFSET($O$15,0,$DN262,$B$8,1),OFFSET($M$15,0,0,$B$8,1))=FD$13), 1*(_xlfn._xlws.FILTER(OFFSET($O$15,0,$DO262,$B$8,1),OFFSET($M$15,0,0,$B$8,1))=FD$14))   /   SUM(OFFSET($BO$15,0,0,$B$14,1)) + $B$18/($B$19*$B$19*($DN262&lt;&gt;$DO262) + $B$19*($DN262=$DO262))</f>
        <v>3.7037037037037035E-4</v>
      </c>
      <c r="FE262" s="10" cm="1">
        <f t="array" aca="1" ref="FE262" ca="1">(1-$B$18)*SUMPRODUCT(OFFSET($BO$15,0,0,$B$14,1), 1*(_xlfn._xlws.FILTER(OFFSET($O$15,0,$DN262,$B$8,1),OFFSET($M$15,0,0,$B$8,1))=FE$13), 1*(_xlfn._xlws.FILTER(OFFSET($O$15,0,$DO262,$B$8,1),OFFSET($M$15,0,0,$B$8,1))=FE$14))   /   SUM(OFFSET($BO$15,0,0,$B$14,1)) + $B$18/($B$19*$B$19*($DN262&lt;&gt;$DO262) + $B$19*($DN262=$DO262))</f>
        <v>3.7037037037037035E-4</v>
      </c>
      <c r="FF262" s="10" cm="1">
        <f t="array" aca="1" ref="FF262" ca="1">(1-$B$18)*SUMPRODUCT(OFFSET($BO$15,0,0,$B$14,1), 1*(_xlfn._xlws.FILTER(OFFSET($O$15,0,$DN262,$B$8,1),OFFSET($M$15,0,0,$B$8,1))=FF$13), 1*(_xlfn._xlws.FILTER(OFFSET($O$15,0,$DO262,$B$8,1),OFFSET($M$15,0,0,$B$8,1))=FF$14))   /   SUM(OFFSET($BO$15,0,0,$B$14,1)) + $B$18/($B$19*$B$19*($DN262&lt;&gt;$DO262) + $B$19*($DN262=$DO262))</f>
        <v>3.7037037037037035E-4</v>
      </c>
      <c r="FG262" s="10" cm="1">
        <f t="array" aca="1" ref="FG262" ca="1">(1-$B$18)*SUMPRODUCT(OFFSET($BO$15,0,0,$B$14,1), 1*(_xlfn._xlws.FILTER(OFFSET($O$15,0,$DN262,$B$8,1),OFFSET($M$15,0,0,$B$8,1))=FG$13), 1*(_xlfn._xlws.FILTER(OFFSET($O$15,0,$DO262,$B$8,1),OFFSET($M$15,0,0,$B$8,1))=FG$14))   /   SUM(OFFSET($BO$15,0,0,$B$14,1)) + $B$18/($B$19*$B$19*($DN262&lt;&gt;$DO262) + $B$19*($DN262=$DO262))</f>
        <v>3.7037037037037035E-4</v>
      </c>
      <c r="FH262" s="10" cm="1">
        <f t="array" aca="1" ref="FH262" ca="1">(1-$B$18)*SUMPRODUCT(OFFSET($BO$15,0,0,$B$14,1), 1*(_xlfn._xlws.FILTER(OFFSET($O$15,0,$DN262,$B$8,1),OFFSET($M$15,0,0,$B$8,1))=FH$13), 1*(_xlfn._xlws.FILTER(OFFSET($O$15,0,$DO262,$B$8,1),OFFSET($M$15,0,0,$B$8,1))=FH$14))   /   SUM(OFFSET($BO$15,0,0,$B$14,1)) + $B$18/($B$19*$B$19*($DN262&lt;&gt;$DO262) + $B$19*($DN262=$DO262))</f>
        <v>3.7037037037037035E-4</v>
      </c>
      <c r="FI262" s="10" cm="1">
        <f t="array" aca="1" ref="FI262" ca="1">(1-$B$18)*SUMPRODUCT(OFFSET($BO$15,0,0,$B$14,1), 1*(_xlfn._xlws.FILTER(OFFSET($O$15,0,$DN262,$B$8,1),OFFSET($M$15,0,0,$B$8,1))=FI$13), 1*(_xlfn._xlws.FILTER(OFFSET($O$15,0,$DO262,$B$8,1),OFFSET($M$15,0,0,$B$8,1))=FI$14))   /   SUM(OFFSET($BO$15,0,0,$B$14,1)) + $B$18/($B$19*$B$19*($DN262&lt;&gt;$DO262) + $B$19*($DN262=$DO262))</f>
        <v>3.7037037037037035E-4</v>
      </c>
      <c r="FJ262" s="10" cm="1">
        <f t="array" aca="1" ref="FJ262" ca="1">(1-$B$18)*SUMPRODUCT(OFFSET($BO$15,0,0,$B$14,1), 1*(_xlfn._xlws.FILTER(OFFSET($O$15,0,$DN262,$B$8,1),OFFSET($M$15,0,0,$B$8,1))=FJ$13), 1*(_xlfn._xlws.FILTER(OFFSET($O$15,0,$DO262,$B$8,1),OFFSET($M$15,0,0,$B$8,1))=FJ$14))   /   SUM(OFFSET($BO$15,0,0,$B$14,1)) + $B$18/($B$19*$B$19*($DN262&lt;&gt;$DO262) + $B$19*($DN262=$DO262))</f>
        <v>3.7037037037037035E-4</v>
      </c>
      <c r="FK262" s="10" cm="1">
        <f t="array" aca="1" ref="FK262" ca="1">(1-$B$18)*SUMPRODUCT(OFFSET($BO$15,0,0,$B$14,1), 1*(_xlfn._xlws.FILTER(OFFSET($O$15,0,$DN262,$B$8,1),OFFSET($M$15,0,0,$B$8,1))=FK$13), 1*(_xlfn._xlws.FILTER(OFFSET($O$15,0,$DO262,$B$8,1),OFFSET($M$15,0,0,$B$8,1))=FK$14))   /   SUM(OFFSET($BO$15,0,0,$B$14,1)) + $B$18/($B$19*$B$19*($DN262&lt;&gt;$DO262) + $B$19*($DN262=$DO262))</f>
        <v>3.7037037037037035E-4</v>
      </c>
      <c r="FL262" s="10" cm="1">
        <f t="array" aca="1" ref="FL262" ca="1">(1-$B$18)*SUMPRODUCT(OFFSET($BO$15,0,0,$B$14,1), 1*(_xlfn._xlws.FILTER(OFFSET($O$15,0,$DN262,$B$8,1),OFFSET($M$15,0,0,$B$8,1))=FL$13), 1*(_xlfn._xlws.FILTER(OFFSET($O$15,0,$DO262,$B$8,1),OFFSET($M$15,0,0,$B$8,1))=FL$14))   /   SUM(OFFSET($BO$15,0,0,$B$14,1)) + $B$18/($B$19*$B$19*($DN262&lt;&gt;$DO262) + $B$19*($DN262=$DO262))</f>
        <v>3.7037037037037035E-4</v>
      </c>
      <c r="FM262" s="10" cm="1">
        <f t="array" aca="1" ref="FM262" ca="1">(1-$B$18)*SUMPRODUCT(OFFSET($BO$15,0,0,$B$14,1), 1*(_xlfn._xlws.FILTER(OFFSET($O$15,0,$DN262,$B$8,1),OFFSET($M$15,0,0,$B$8,1))=FM$13), 1*(_xlfn._xlws.FILTER(OFFSET($O$15,0,$DO262,$B$8,1),OFFSET($M$15,0,0,$B$8,1))=FM$14))   /   SUM(OFFSET($BO$15,0,0,$B$14,1)) + $B$18/($B$19*$B$19*($DN262&lt;&gt;$DO262) + $B$19*($DN262=$DO262))</f>
        <v>3.7037037037037035E-4</v>
      </c>
      <c r="FN262" s="10" cm="1">
        <f t="array" aca="1" ref="FN262" ca="1">(1-$B$18)*SUMPRODUCT(OFFSET($BO$15,0,0,$B$14,1), 1*(_xlfn._xlws.FILTER(OFFSET($O$15,0,$DN262,$B$8,1),OFFSET($M$15,0,0,$B$8,1))=FN$13), 1*(_xlfn._xlws.FILTER(OFFSET($O$15,0,$DO262,$B$8,1),OFFSET($M$15,0,0,$B$8,1))=FN$14))   /   SUM(OFFSET($BO$15,0,0,$B$14,1)) + $B$18/($B$19*$B$19*($DN262&lt;&gt;$DO262) + $B$19*($DN262=$DO262))</f>
        <v>3.7037037037037035E-4</v>
      </c>
      <c r="FO262" s="10" cm="1">
        <f t="array" aca="1" ref="FO262" ca="1">(1-$B$18)*SUMPRODUCT(OFFSET($BO$15,0,0,$B$14,1), 1*(_xlfn._xlws.FILTER(OFFSET($O$15,0,$DN262,$B$8,1),OFFSET($M$15,0,0,$B$8,1))=FO$13), 1*(_xlfn._xlws.FILTER(OFFSET($O$15,0,$DO262,$B$8,1),OFFSET($M$15,0,0,$B$8,1))=FO$14))   /   SUM(OFFSET($BO$15,0,0,$B$14,1)) + $B$18/($B$19*$B$19*($DN262&lt;&gt;$DO262) + $B$19*($DN262=$DO262))</f>
        <v>3.7037037037037035E-4</v>
      </c>
      <c r="FP262" s="10" cm="1">
        <f t="array" aca="1" ref="FP262" ca="1">(1-$B$18)*SUMPRODUCT(OFFSET($BO$15,0,0,$B$14,1), 1*(_xlfn._xlws.FILTER(OFFSET($O$15,0,$DN262,$B$8,1),OFFSET($M$15,0,0,$B$8,1))=FP$13), 1*(_xlfn._xlws.FILTER(OFFSET($O$15,0,$DO262,$B$8,1),OFFSET($M$15,0,0,$B$8,1))=FP$14))   /   SUM(OFFSET($BO$15,0,0,$B$14,1)) + $B$18/($B$19*$B$19*($DN262&lt;&gt;$DO262) + $B$19*($DN262=$DO262))</f>
        <v>3.7037037037037035E-4</v>
      </c>
      <c r="FQ262" s="10" cm="1">
        <f t="array" aca="1" ref="FQ262" ca="1">(1-$B$18)*SUMPRODUCT(OFFSET($BO$15,0,0,$B$14,1), 1*(_xlfn._xlws.FILTER(OFFSET($O$15,0,$DN262,$B$8,1),OFFSET($M$15,0,0,$B$8,1))=FQ$13), 1*(_xlfn._xlws.FILTER(OFFSET($O$15,0,$DO262,$B$8,1),OFFSET($M$15,0,0,$B$8,1))=FQ$14))   /   SUM(OFFSET($BO$15,0,0,$B$14,1)) + $B$18/($B$19*$B$19*($DN262&lt;&gt;$DO262) + $B$19*($DN262=$DO262))</f>
        <v>3.7037037037037035E-4</v>
      </c>
      <c r="FR262" s="10" cm="1">
        <f t="array" aca="1" ref="FR262" ca="1">(1-$B$18)*SUMPRODUCT(OFFSET($BO$15,0,0,$B$14,1), 1*(_xlfn._xlws.FILTER(OFFSET($O$15,0,$DN262,$B$8,1),OFFSET($M$15,0,0,$B$8,1))=FR$13), 1*(_xlfn._xlws.FILTER(OFFSET($O$15,0,$DO262,$B$8,1),OFFSET($M$15,0,0,$B$8,1))=FR$14))   /   SUM(OFFSET($BO$15,0,0,$B$14,1)) + $B$18/($B$19*$B$19*($DN262&lt;&gt;$DO262) + $B$19*($DN262=$DO262))</f>
        <v>3.7037037037037035E-4</v>
      </c>
      <c r="FS262" s="10" cm="1">
        <f t="array" aca="1" ref="FS262" ca="1">(1-$B$18)*SUMPRODUCT(OFFSET($BO$15,0,0,$B$14,1), 1*(_xlfn._xlws.FILTER(OFFSET($O$15,0,$DN262,$B$8,1),OFFSET($M$15,0,0,$B$8,1))=FS$13), 1*(_xlfn._xlws.FILTER(OFFSET($O$15,0,$DO262,$B$8,1),OFFSET($M$15,0,0,$B$8,1))=FS$14))   /   SUM(OFFSET($BO$15,0,0,$B$14,1)) + $B$18/($B$19*$B$19*($DN262&lt;&gt;$DO262) + $B$19*($DN262=$DO262))</f>
        <v>3.7037037037037035E-4</v>
      </c>
      <c r="FT262" s="10" cm="1">
        <f t="array" aca="1" ref="FT262" ca="1">(1-$B$18)*SUMPRODUCT(OFFSET($BO$15,0,0,$B$14,1), 1*(_xlfn._xlws.FILTER(OFFSET($O$15,0,$DN262,$B$8,1),OFFSET($M$15,0,0,$B$8,1))=FT$13), 1*(_xlfn._xlws.FILTER(OFFSET($O$15,0,$DO262,$B$8,1),OFFSET($M$15,0,0,$B$8,1))=FT$14))   /   SUM(OFFSET($BO$15,0,0,$B$14,1)) + $B$18/($B$19*$B$19*($DN262&lt;&gt;$DO262) + $B$19*($DN262=$DO262))</f>
        <v>3.7037037037037035E-4</v>
      </c>
      <c r="FU262" s="10" cm="1">
        <f t="array" aca="1" ref="FU262" ca="1">(1-$B$18)*SUMPRODUCT(OFFSET($BO$15,0,0,$B$14,1), 1*(_xlfn._xlws.FILTER(OFFSET($O$15,0,$DN262,$B$8,1),OFFSET($M$15,0,0,$B$8,1))=FU$13), 1*(_xlfn._xlws.FILTER(OFFSET($O$15,0,$DO262,$B$8,1),OFFSET($M$15,0,0,$B$8,1))=FU$14))   /   SUM(OFFSET($BO$15,0,0,$B$14,1)) + $B$18/($B$19*$B$19*($DN262&lt;&gt;$DO262) + $B$19*($DN262=$DO262))</f>
        <v>3.7037037037037035E-4</v>
      </c>
      <c r="FV262" s="10" cm="1">
        <f t="array" aca="1" ref="FV262" ca="1">(1-$B$18)*SUMPRODUCT(OFFSET($BO$15,0,0,$B$14,1), 1*(_xlfn._xlws.FILTER(OFFSET($O$15,0,$DN262,$B$8,1),OFFSET($M$15,0,0,$B$8,1))=FV$13), 1*(_xlfn._xlws.FILTER(OFFSET($O$15,0,$DO262,$B$8,1),OFFSET($M$15,0,0,$B$8,1))=FV$14))   /   SUM(OFFSET($BO$15,0,0,$B$14,1)) + $B$18/($B$19*$B$19*($DN262&lt;&gt;$DO262) + $B$19*($DN262=$DO262))</f>
        <v>3.7037037037037035E-4</v>
      </c>
      <c r="FW262" s="10" cm="1">
        <f t="array" aca="1" ref="FW262" ca="1">(1-$B$18)*SUMPRODUCT(OFFSET($BO$15,0,0,$B$14,1), 1*(_xlfn._xlws.FILTER(OFFSET($O$15,0,$DN262,$B$8,1),OFFSET($M$15,0,0,$B$8,1))=FW$13), 1*(_xlfn._xlws.FILTER(OFFSET($O$15,0,$DO262,$B$8,1),OFFSET($M$15,0,0,$B$8,1))=FW$14))   /   SUM(OFFSET($BO$15,0,0,$B$14,1)) + $B$18/($B$19*$B$19*($DN262&lt;&gt;$DO262) + $B$19*($DN262=$DO262))</f>
        <v>3.7037037037037035E-4</v>
      </c>
      <c r="FX262" s="10" cm="1">
        <f t="array" aca="1" ref="FX262" ca="1">(1-$B$18)*SUMPRODUCT(OFFSET($BO$15,0,0,$B$14,1), 1*(_xlfn._xlws.FILTER(OFFSET($O$15,0,$DN262,$B$8,1),OFFSET($M$15,0,0,$B$8,1))=FX$13), 1*(_xlfn._xlws.FILTER(OFFSET($O$15,0,$DO262,$B$8,1),OFFSET($M$15,0,0,$B$8,1))=FX$14))   /   SUM(OFFSET($BO$15,0,0,$B$14,1)) + $B$18/($B$19*$B$19*($DN262&lt;&gt;$DO262) + $B$19*($DN262=$DO262))</f>
        <v>3.7037037037037035E-4</v>
      </c>
      <c r="FY262" s="10" cm="1">
        <f t="array" aca="1" ref="FY262" ca="1">(1-$B$18)*SUMPRODUCT(OFFSET($BO$15,0,0,$B$14,1), 1*(_xlfn._xlws.FILTER(OFFSET($O$15,0,$DN262,$B$8,1),OFFSET($M$15,0,0,$B$8,1))=FY$13), 1*(_xlfn._xlws.FILTER(OFFSET($O$15,0,$DO262,$B$8,1),OFFSET($M$15,0,0,$B$8,1))=FY$14))   /   SUM(OFFSET($BO$15,0,0,$B$14,1)) + $B$18/($B$19*$B$19*($DN262&lt;&gt;$DO262) + $B$19*($DN262=$DO262))</f>
        <v>3.7037037037037035E-4</v>
      </c>
      <c r="FZ262" s="10" cm="1">
        <f t="array" aca="1" ref="FZ262" ca="1">(1-$B$18)*SUMPRODUCT(OFFSET($BO$15,0,0,$B$14,1), 1*(_xlfn._xlws.FILTER(OFFSET($O$15,0,$DN262,$B$8,1),OFFSET($M$15,0,0,$B$8,1))=FZ$13), 1*(_xlfn._xlws.FILTER(OFFSET($O$15,0,$DO262,$B$8,1),OFFSET($M$15,0,0,$B$8,1))=FZ$14))   /   SUM(OFFSET($BO$15,0,0,$B$14,1)) + $B$18/($B$19*$B$19*($DN262&lt;&gt;$DO262) + $B$19*($DN262=$DO262))</f>
        <v>3.7037037037037035E-4</v>
      </c>
      <c r="GA262" s="10" cm="1">
        <f t="array" aca="1" ref="GA262" ca="1">(1-$B$18)*SUMPRODUCT(OFFSET($BO$15,0,0,$B$14,1), 1*(_xlfn._xlws.FILTER(OFFSET($O$15,0,$DN262,$B$8,1),OFFSET($M$15,0,0,$B$8,1))=GA$13), 1*(_xlfn._xlws.FILTER(OFFSET($O$15,0,$DO262,$B$8,1),OFFSET($M$15,0,0,$B$8,1))=GA$14))   /   SUM(OFFSET($BO$15,0,0,$B$14,1)) + $B$18/($B$19*$B$19*($DN262&lt;&gt;$DO262) + $B$19*($DN262=$DO262))</f>
        <v>3.7037037037037035E-4</v>
      </c>
    </row>
    <row r="263" spans="118:183" x14ac:dyDescent="0.2">
      <c r="DN263" cm="1">
        <f t="array" aca="1" ref="DN263" ca="1">INDEX(_xlfn.ANCHORARRAY($CP$15), 1 + INT((ROWS($DO$15:$DO263) - 1) / ROWS(_xlfn.ANCHORARRAY($CP$15))))</f>
        <v>14</v>
      </c>
      <c r="DO263" cm="1">
        <f t="array" aca="1" ref="DO263" ca="1">INDEX(_xlfn.ANCHORARRAY($CP$15),1+MOD(ROWS($DO$15:$DO263)-1,ROWS(_xlfn.ANCHORARRAY($CP$15))))</f>
        <v>1</v>
      </c>
      <c r="DP263" s="10" cm="1">
        <f t="array" aca="1" ref="DP263" ca="1">(1-$B$18)*SUMPRODUCT(OFFSET($BO$15,0,0,$B$14,1), 1*(_xlfn._xlws.FILTER(OFFSET($O$15,0,$DN263,$B$8,1),OFFSET($M$15,0,0,$B$8,1))=DP$13), 1*(_xlfn._xlws.FILTER(OFFSET($O$15,0,$DO263,$B$8,1),OFFSET($M$15,0,0,$B$8,1))=DP$14))   /   SUM(OFFSET($BO$15,0,0,$B$14,1)) + $B$18/($B$19*$B$19*($DN263&lt;&gt;$DO263) + $B$19*($DN263=$DO263))</f>
        <v>3.7037037037037035E-4</v>
      </c>
      <c r="DQ263" s="10" cm="1">
        <f t="array" aca="1" ref="DQ263" ca="1">(1-$B$18)*SUMPRODUCT(OFFSET($BO$15,0,0,$B$14,1), 1*(_xlfn._xlws.FILTER(OFFSET($O$15,0,$DN263,$B$8,1),OFFSET($M$15,0,0,$B$8,1))=DQ$13), 1*(_xlfn._xlws.FILTER(OFFSET($O$15,0,$DO263,$B$8,1),OFFSET($M$15,0,0,$B$8,1))=DQ$14))   /   SUM(OFFSET($BO$15,0,0,$B$14,1)) + $B$18/($B$19*$B$19*($DN263&lt;&gt;$DO263) + $B$19*($DN263=$DO263))</f>
        <v>3.7037037037037035E-4</v>
      </c>
      <c r="DR263" s="10" cm="1">
        <f t="array" aca="1" ref="DR263" ca="1">(1-$B$18)*SUMPRODUCT(OFFSET($BO$15,0,0,$B$14,1), 1*(_xlfn._xlws.FILTER(OFFSET($O$15,0,$DN263,$B$8,1),OFFSET($M$15,0,0,$B$8,1))=DR$13), 1*(_xlfn._xlws.FILTER(OFFSET($O$15,0,$DO263,$B$8,1),OFFSET($M$15,0,0,$B$8,1))=DR$14))   /   SUM(OFFSET($BO$15,0,0,$B$14,1)) + $B$18/($B$19*$B$19*($DN263&lt;&gt;$DO263) + $B$19*($DN263=$DO263))</f>
        <v>3.7037037037037035E-4</v>
      </c>
      <c r="DS263" s="10" cm="1">
        <f t="array" aca="1" ref="DS263" ca="1">(1-$B$18)*SUMPRODUCT(OFFSET($BO$15,0,0,$B$14,1), 1*(_xlfn._xlws.FILTER(OFFSET($O$15,0,$DN263,$B$8,1),OFFSET($M$15,0,0,$B$8,1))=DS$13), 1*(_xlfn._xlws.FILTER(OFFSET($O$15,0,$DO263,$B$8,1),OFFSET($M$15,0,0,$B$8,1))=DS$14))   /   SUM(OFFSET($BO$15,0,0,$B$14,1)) + $B$18/($B$19*$B$19*($DN263&lt;&gt;$DO263) + $B$19*($DN263=$DO263))</f>
        <v>3.7037037037037035E-4</v>
      </c>
      <c r="DT263" s="10" cm="1">
        <f t="array" aca="1" ref="DT263" ca="1">(1-$B$18)*SUMPRODUCT(OFFSET($BO$15,0,0,$B$14,1), 1*(_xlfn._xlws.FILTER(OFFSET($O$15,0,$DN263,$B$8,1),OFFSET($M$15,0,0,$B$8,1))=DT$13), 1*(_xlfn._xlws.FILTER(OFFSET($O$15,0,$DO263,$B$8,1),OFFSET($M$15,0,0,$B$8,1))=DT$14))   /   SUM(OFFSET($BO$15,0,0,$B$14,1)) + $B$18/($B$19*$B$19*($DN263&lt;&gt;$DO263) + $B$19*($DN263=$DO263))</f>
        <v>3.7037037037037035E-4</v>
      </c>
      <c r="DU263" s="10" cm="1">
        <f t="array" aca="1" ref="DU263" ca="1">(1-$B$18)*SUMPRODUCT(OFFSET($BO$15,0,0,$B$14,1), 1*(_xlfn._xlws.FILTER(OFFSET($O$15,0,$DN263,$B$8,1),OFFSET($M$15,0,0,$B$8,1))=DU$13), 1*(_xlfn._xlws.FILTER(OFFSET($O$15,0,$DO263,$B$8,1),OFFSET($M$15,0,0,$B$8,1))=DU$14))   /   SUM(OFFSET($BO$15,0,0,$B$14,1)) + $B$18/($B$19*$B$19*($DN263&lt;&gt;$DO263) + $B$19*($DN263=$DO263))</f>
        <v>3.7037037037037035E-4</v>
      </c>
      <c r="DV263" s="10" cm="1">
        <f t="array" aca="1" ref="DV263" ca="1">(1-$B$18)*SUMPRODUCT(OFFSET($BO$15,0,0,$B$14,1), 1*(_xlfn._xlws.FILTER(OFFSET($O$15,0,$DN263,$B$8,1),OFFSET($M$15,0,0,$B$8,1))=DV$13), 1*(_xlfn._xlws.FILTER(OFFSET($O$15,0,$DO263,$B$8,1),OFFSET($M$15,0,0,$B$8,1))=DV$14))   /   SUM(OFFSET($BO$15,0,0,$B$14,1)) + $B$18/($B$19*$B$19*($DN263&lt;&gt;$DO263) + $B$19*($DN263=$DO263))</f>
        <v>3.7037037037037035E-4</v>
      </c>
      <c r="DW263" s="10" cm="1">
        <f t="array" aca="1" ref="DW263" ca="1">(1-$B$18)*SUMPRODUCT(OFFSET($BO$15,0,0,$B$14,1), 1*(_xlfn._xlws.FILTER(OFFSET($O$15,0,$DN263,$B$8,1),OFFSET($M$15,0,0,$B$8,1))=DW$13), 1*(_xlfn._xlws.FILTER(OFFSET($O$15,0,$DO263,$B$8,1),OFFSET($M$15,0,0,$B$8,1))=DW$14))   /   SUM(OFFSET($BO$15,0,0,$B$14,1)) + $B$18/($B$19*$B$19*($DN263&lt;&gt;$DO263) + $B$19*($DN263=$DO263))</f>
        <v>3.7037037037037035E-4</v>
      </c>
      <c r="DX263" s="10" cm="1">
        <f t="array" aca="1" ref="DX263" ca="1">(1-$B$18)*SUMPRODUCT(OFFSET($BO$15,0,0,$B$14,1), 1*(_xlfn._xlws.FILTER(OFFSET($O$15,0,$DN263,$B$8,1),OFFSET($M$15,0,0,$B$8,1))=DX$13), 1*(_xlfn._xlws.FILTER(OFFSET($O$15,0,$DO263,$B$8,1),OFFSET($M$15,0,0,$B$8,1))=DX$14))   /   SUM(OFFSET($BO$15,0,0,$B$14,1)) + $B$18/($B$19*$B$19*($DN263&lt;&gt;$DO263) + $B$19*($DN263=$DO263))</f>
        <v>3.7037037037037035E-4</v>
      </c>
      <c r="DY263" s="10" cm="1">
        <f t="array" aca="1" ref="DY263" ca="1">(1-$B$18)*SUMPRODUCT(OFFSET($BO$15,0,0,$B$14,1), 1*(_xlfn._xlws.FILTER(OFFSET($O$15,0,$DN263,$B$8,1),OFFSET($M$15,0,0,$B$8,1))=DY$13), 1*(_xlfn._xlws.FILTER(OFFSET($O$15,0,$DO263,$B$8,1),OFFSET($M$15,0,0,$B$8,1))=DY$14))   /   SUM(OFFSET($BO$15,0,0,$B$14,1)) + $B$18/($B$19*$B$19*($DN263&lt;&gt;$DO263) + $B$19*($DN263=$DO263))</f>
        <v>3.7037037037037035E-4</v>
      </c>
      <c r="DZ263" s="10" cm="1">
        <f t="array" aca="1" ref="DZ263" ca="1">(1-$B$18)*SUMPRODUCT(OFFSET($BO$15,0,0,$B$14,1), 1*(_xlfn._xlws.FILTER(OFFSET($O$15,0,$DN263,$B$8,1),OFFSET($M$15,0,0,$B$8,1))=DZ$13), 1*(_xlfn._xlws.FILTER(OFFSET($O$15,0,$DO263,$B$8,1),OFFSET($M$15,0,0,$B$8,1))=DZ$14))   /   SUM(OFFSET($BO$15,0,0,$B$14,1)) + $B$18/($B$19*$B$19*($DN263&lt;&gt;$DO263) + $B$19*($DN263=$DO263))</f>
        <v>3.7037037037037035E-4</v>
      </c>
      <c r="EA263" s="10" cm="1">
        <f t="array" aca="1" ref="EA263" ca="1">(1-$B$18)*SUMPRODUCT(OFFSET($BO$15,0,0,$B$14,1), 1*(_xlfn._xlws.FILTER(OFFSET($O$15,0,$DN263,$B$8,1),OFFSET($M$15,0,0,$B$8,1))=EA$13), 1*(_xlfn._xlws.FILTER(OFFSET($O$15,0,$DO263,$B$8,1),OFFSET($M$15,0,0,$B$8,1))=EA$14))   /   SUM(OFFSET($BO$15,0,0,$B$14,1)) + $B$18/($B$19*$B$19*($DN263&lt;&gt;$DO263) + $B$19*($DN263=$DO263))</f>
        <v>3.7037037037037035E-4</v>
      </c>
      <c r="EB263" s="10" cm="1">
        <f t="array" aca="1" ref="EB263" ca="1">(1-$B$18)*SUMPRODUCT(OFFSET($BO$15,0,0,$B$14,1), 1*(_xlfn._xlws.FILTER(OFFSET($O$15,0,$DN263,$B$8,1),OFFSET($M$15,0,0,$B$8,1))=EB$13), 1*(_xlfn._xlws.FILTER(OFFSET($O$15,0,$DO263,$B$8,1),OFFSET($M$15,0,0,$B$8,1))=EB$14))   /   SUM(OFFSET($BO$15,0,0,$B$14,1)) + $B$18/($B$19*$B$19*($DN263&lt;&gt;$DO263) + $B$19*($DN263=$DO263))</f>
        <v>3.7037037037037035E-4</v>
      </c>
      <c r="EC263" s="10" cm="1">
        <f t="array" aca="1" ref="EC263" ca="1">(1-$B$18)*SUMPRODUCT(OFFSET($BO$15,0,0,$B$14,1), 1*(_xlfn._xlws.FILTER(OFFSET($O$15,0,$DN263,$B$8,1),OFFSET($M$15,0,0,$B$8,1))=EC$13), 1*(_xlfn._xlws.FILTER(OFFSET($O$15,0,$DO263,$B$8,1),OFFSET($M$15,0,0,$B$8,1))=EC$14))   /   SUM(OFFSET($BO$15,0,0,$B$14,1)) + $B$18/($B$19*$B$19*($DN263&lt;&gt;$DO263) + $B$19*($DN263=$DO263))</f>
        <v>3.7037037037037035E-4</v>
      </c>
      <c r="ED263" s="10" cm="1">
        <f t="array" aca="1" ref="ED263" ca="1">(1-$B$18)*SUMPRODUCT(OFFSET($BO$15,0,0,$B$14,1), 1*(_xlfn._xlws.FILTER(OFFSET($O$15,0,$DN263,$B$8,1),OFFSET($M$15,0,0,$B$8,1))=ED$13), 1*(_xlfn._xlws.FILTER(OFFSET($O$15,0,$DO263,$B$8,1),OFFSET($M$15,0,0,$B$8,1))=ED$14))   /   SUM(OFFSET($BO$15,0,0,$B$14,1)) + $B$18/($B$19*$B$19*($DN263&lt;&gt;$DO263) + $B$19*($DN263=$DO263))</f>
        <v>3.7037037037037035E-4</v>
      </c>
      <c r="EE263" s="10" cm="1">
        <f t="array" aca="1" ref="EE263" ca="1">(1-$B$18)*SUMPRODUCT(OFFSET($BO$15,0,0,$B$14,1), 1*(_xlfn._xlws.FILTER(OFFSET($O$15,0,$DN263,$B$8,1),OFFSET($M$15,0,0,$B$8,1))=EE$13), 1*(_xlfn._xlws.FILTER(OFFSET($O$15,0,$DO263,$B$8,1),OFFSET($M$15,0,0,$B$8,1))=EE$14))   /   SUM(OFFSET($BO$15,0,0,$B$14,1)) + $B$18/($B$19*$B$19*($DN263&lt;&gt;$DO263) + $B$19*($DN263=$DO263))</f>
        <v>3.7037037037037035E-4</v>
      </c>
      <c r="EF263" s="10" cm="1">
        <f t="array" aca="1" ref="EF263" ca="1">(1-$B$18)*SUMPRODUCT(OFFSET($BO$15,0,0,$B$14,1), 1*(_xlfn._xlws.FILTER(OFFSET($O$15,0,$DN263,$B$8,1),OFFSET($M$15,0,0,$B$8,1))=EF$13), 1*(_xlfn._xlws.FILTER(OFFSET($O$15,0,$DO263,$B$8,1),OFFSET($M$15,0,0,$B$8,1))=EF$14))   /   SUM(OFFSET($BO$15,0,0,$B$14,1)) + $B$18/($B$19*$B$19*($DN263&lt;&gt;$DO263) + $B$19*($DN263=$DO263))</f>
        <v>3.7037037037037035E-4</v>
      </c>
      <c r="EG263" s="10" cm="1">
        <f t="array" aca="1" ref="EG263" ca="1">(1-$B$18)*SUMPRODUCT(OFFSET($BO$15,0,0,$B$14,1), 1*(_xlfn._xlws.FILTER(OFFSET($O$15,0,$DN263,$B$8,1),OFFSET($M$15,0,0,$B$8,1))=EG$13), 1*(_xlfn._xlws.FILTER(OFFSET($O$15,0,$DO263,$B$8,1),OFFSET($M$15,0,0,$B$8,1))=EG$14))   /   SUM(OFFSET($BO$15,0,0,$B$14,1)) + $B$18/($B$19*$B$19*($DN263&lt;&gt;$DO263) + $B$19*($DN263=$DO263))</f>
        <v>3.7037037037037035E-4</v>
      </c>
      <c r="EH263" s="10" cm="1">
        <f t="array" aca="1" ref="EH263" ca="1">(1-$B$18)*SUMPRODUCT(OFFSET($BO$15,0,0,$B$14,1), 1*(_xlfn._xlws.FILTER(OFFSET($O$15,0,$DN263,$B$8,1),OFFSET($M$15,0,0,$B$8,1))=EH$13), 1*(_xlfn._xlws.FILTER(OFFSET($O$15,0,$DO263,$B$8,1),OFFSET($M$15,0,0,$B$8,1))=EH$14))   /   SUM(OFFSET($BO$15,0,0,$B$14,1)) + $B$18/($B$19*$B$19*($DN263&lt;&gt;$DO263) + $B$19*($DN263=$DO263))</f>
        <v>3.7037037037037035E-4</v>
      </c>
      <c r="EI263" s="10" cm="1">
        <f t="array" aca="1" ref="EI263" ca="1">(1-$B$18)*SUMPRODUCT(OFFSET($BO$15,0,0,$B$14,1), 1*(_xlfn._xlws.FILTER(OFFSET($O$15,0,$DN263,$B$8,1),OFFSET($M$15,0,0,$B$8,1))=EI$13), 1*(_xlfn._xlws.FILTER(OFFSET($O$15,0,$DO263,$B$8,1),OFFSET($M$15,0,0,$B$8,1))=EI$14))   /   SUM(OFFSET($BO$15,0,0,$B$14,1)) + $B$18/($B$19*$B$19*($DN263&lt;&gt;$DO263) + $B$19*($DN263=$DO263))</f>
        <v>3.7037037037037035E-4</v>
      </c>
      <c r="EJ263" s="10" cm="1">
        <f t="array" aca="1" ref="EJ263" ca="1">(1-$B$18)*SUMPRODUCT(OFFSET($BO$15,0,0,$B$14,1), 1*(_xlfn._xlws.FILTER(OFFSET($O$15,0,$DN263,$B$8,1),OFFSET($M$15,0,0,$B$8,1))=EJ$13), 1*(_xlfn._xlws.FILTER(OFFSET($O$15,0,$DO263,$B$8,1),OFFSET($M$15,0,0,$B$8,1))=EJ$14))   /   SUM(OFFSET($BO$15,0,0,$B$14,1)) + $B$18/($B$19*$B$19*($DN263&lt;&gt;$DO263) + $B$19*($DN263=$DO263))</f>
        <v>3.7037037037037035E-4</v>
      </c>
      <c r="EK263" s="10" cm="1">
        <f t="array" aca="1" ref="EK263" ca="1">(1-$B$18)*SUMPRODUCT(OFFSET($BO$15,0,0,$B$14,1), 1*(_xlfn._xlws.FILTER(OFFSET($O$15,0,$DN263,$B$8,1),OFFSET($M$15,0,0,$B$8,1))=EK$13), 1*(_xlfn._xlws.FILTER(OFFSET($O$15,0,$DO263,$B$8,1),OFFSET($M$15,0,0,$B$8,1))=EK$14))   /   SUM(OFFSET($BO$15,0,0,$B$14,1)) + $B$18/($B$19*$B$19*($DN263&lt;&gt;$DO263) + $B$19*($DN263=$DO263))</f>
        <v>3.7037037037037035E-4</v>
      </c>
      <c r="EL263" s="10" cm="1">
        <f t="array" aca="1" ref="EL263" ca="1">(1-$B$18)*SUMPRODUCT(OFFSET($BO$15,0,0,$B$14,1), 1*(_xlfn._xlws.FILTER(OFFSET($O$15,0,$DN263,$B$8,1),OFFSET($M$15,0,0,$B$8,1))=EL$13), 1*(_xlfn._xlws.FILTER(OFFSET($O$15,0,$DO263,$B$8,1),OFFSET($M$15,0,0,$B$8,1))=EL$14))   /   SUM(OFFSET($BO$15,0,0,$B$14,1)) + $B$18/($B$19*$B$19*($DN263&lt;&gt;$DO263) + $B$19*($DN263=$DO263))</f>
        <v>0.97037037037037033</v>
      </c>
      <c r="EM263" s="10" cm="1">
        <f t="array" aca="1" ref="EM263" ca="1">(1-$B$18)*SUMPRODUCT(OFFSET($BO$15,0,0,$B$14,1), 1*(_xlfn._xlws.FILTER(OFFSET($O$15,0,$DN263,$B$8,1),OFFSET($M$15,0,0,$B$8,1))=EM$13), 1*(_xlfn._xlws.FILTER(OFFSET($O$15,0,$DO263,$B$8,1),OFFSET($M$15,0,0,$B$8,1))=EM$14))   /   SUM(OFFSET($BO$15,0,0,$B$14,1)) + $B$18/($B$19*$B$19*($DN263&lt;&gt;$DO263) + $B$19*($DN263=$DO263))</f>
        <v>3.7037037037037035E-4</v>
      </c>
      <c r="EN263" s="10" cm="1">
        <f t="array" aca="1" ref="EN263" ca="1">(1-$B$18)*SUMPRODUCT(OFFSET($BO$15,0,0,$B$14,1), 1*(_xlfn._xlws.FILTER(OFFSET($O$15,0,$DN263,$B$8,1),OFFSET($M$15,0,0,$B$8,1))=EN$13), 1*(_xlfn._xlws.FILTER(OFFSET($O$15,0,$DO263,$B$8,1),OFFSET($M$15,0,0,$B$8,1))=EN$14))   /   SUM(OFFSET($BO$15,0,0,$B$14,1)) + $B$18/($B$19*$B$19*($DN263&lt;&gt;$DO263) + $B$19*($DN263=$DO263))</f>
        <v>3.7037037037037035E-4</v>
      </c>
      <c r="EO263" s="10" cm="1">
        <f t="array" aca="1" ref="EO263" ca="1">(1-$B$18)*SUMPRODUCT(OFFSET($BO$15,0,0,$B$14,1), 1*(_xlfn._xlws.FILTER(OFFSET($O$15,0,$DN263,$B$8,1),OFFSET($M$15,0,0,$B$8,1))=EO$13), 1*(_xlfn._xlws.FILTER(OFFSET($O$15,0,$DO263,$B$8,1),OFFSET($M$15,0,0,$B$8,1))=EO$14))   /   SUM(OFFSET($BO$15,0,0,$B$14,1)) + $B$18/($B$19*$B$19*($DN263&lt;&gt;$DO263) + $B$19*($DN263=$DO263))</f>
        <v>3.7037037037037035E-4</v>
      </c>
      <c r="EP263" s="10" cm="1">
        <f t="array" aca="1" ref="EP263" ca="1">(1-$B$18)*SUMPRODUCT(OFFSET($BO$15,0,0,$B$14,1), 1*(_xlfn._xlws.FILTER(OFFSET($O$15,0,$DN263,$B$8,1),OFFSET($M$15,0,0,$B$8,1))=EP$13), 1*(_xlfn._xlws.FILTER(OFFSET($O$15,0,$DO263,$B$8,1),OFFSET($M$15,0,0,$B$8,1))=EP$14))   /   SUM(OFFSET($BO$15,0,0,$B$14,1)) + $B$18/($B$19*$B$19*($DN263&lt;&gt;$DO263) + $B$19*($DN263=$DO263))</f>
        <v>3.7037037037037035E-4</v>
      </c>
      <c r="EQ263" s="10" cm="1">
        <f t="array" aca="1" ref="EQ263" ca="1">(1-$B$18)*SUMPRODUCT(OFFSET($BO$15,0,0,$B$14,1), 1*(_xlfn._xlws.FILTER(OFFSET($O$15,0,$DN263,$B$8,1),OFFSET($M$15,0,0,$B$8,1))=EQ$13), 1*(_xlfn._xlws.FILTER(OFFSET($O$15,0,$DO263,$B$8,1),OFFSET($M$15,0,0,$B$8,1))=EQ$14))   /   SUM(OFFSET($BO$15,0,0,$B$14,1)) + $B$18/($B$19*$B$19*($DN263&lt;&gt;$DO263) + $B$19*($DN263=$DO263))</f>
        <v>3.7037037037037035E-4</v>
      </c>
      <c r="ER263" s="10" cm="1">
        <f t="array" aca="1" ref="ER263" ca="1">(1-$B$18)*SUMPRODUCT(OFFSET($BO$15,0,0,$B$14,1), 1*(_xlfn._xlws.FILTER(OFFSET($O$15,0,$DN263,$B$8,1),OFFSET($M$15,0,0,$B$8,1))=ER$13), 1*(_xlfn._xlws.FILTER(OFFSET($O$15,0,$DO263,$B$8,1),OFFSET($M$15,0,0,$B$8,1))=ER$14))   /   SUM(OFFSET($BO$15,0,0,$B$14,1)) + $B$18/($B$19*$B$19*($DN263&lt;&gt;$DO263) + $B$19*($DN263=$DO263))</f>
        <v>3.7037037037037035E-4</v>
      </c>
      <c r="ES263" s="10" cm="1">
        <f t="array" aca="1" ref="ES263" ca="1">(1-$B$18)*SUMPRODUCT(OFFSET($BO$15,0,0,$B$14,1), 1*(_xlfn._xlws.FILTER(OFFSET($O$15,0,$DN263,$B$8,1),OFFSET($M$15,0,0,$B$8,1))=ES$13), 1*(_xlfn._xlws.FILTER(OFFSET($O$15,0,$DO263,$B$8,1),OFFSET($M$15,0,0,$B$8,1))=ES$14))   /   SUM(OFFSET($BO$15,0,0,$B$14,1)) + $B$18/($B$19*$B$19*($DN263&lt;&gt;$DO263) + $B$19*($DN263=$DO263))</f>
        <v>3.7037037037037035E-4</v>
      </c>
      <c r="ET263" s="10" cm="1">
        <f t="array" aca="1" ref="ET263" ca="1">(1-$B$18)*SUMPRODUCT(OFFSET($BO$15,0,0,$B$14,1), 1*(_xlfn._xlws.FILTER(OFFSET($O$15,0,$DN263,$B$8,1),OFFSET($M$15,0,0,$B$8,1))=ET$13), 1*(_xlfn._xlws.FILTER(OFFSET($O$15,0,$DO263,$B$8,1),OFFSET($M$15,0,0,$B$8,1))=ET$14))   /   SUM(OFFSET($BO$15,0,0,$B$14,1)) + $B$18/($B$19*$B$19*($DN263&lt;&gt;$DO263) + $B$19*($DN263=$DO263))</f>
        <v>3.7037037037037035E-4</v>
      </c>
      <c r="EU263" s="10" cm="1">
        <f t="array" aca="1" ref="EU263" ca="1">(1-$B$18)*SUMPRODUCT(OFFSET($BO$15,0,0,$B$14,1), 1*(_xlfn._xlws.FILTER(OFFSET($O$15,0,$DN263,$B$8,1),OFFSET($M$15,0,0,$B$8,1))=EU$13), 1*(_xlfn._xlws.FILTER(OFFSET($O$15,0,$DO263,$B$8,1),OFFSET($M$15,0,0,$B$8,1))=EU$14))   /   SUM(OFFSET($BO$15,0,0,$B$14,1)) + $B$18/($B$19*$B$19*($DN263&lt;&gt;$DO263) + $B$19*($DN263=$DO263))</f>
        <v>3.7037037037037035E-4</v>
      </c>
      <c r="EV263" s="10" cm="1">
        <f t="array" aca="1" ref="EV263" ca="1">(1-$B$18)*SUMPRODUCT(OFFSET($BO$15,0,0,$B$14,1), 1*(_xlfn._xlws.FILTER(OFFSET($O$15,0,$DN263,$B$8,1),OFFSET($M$15,0,0,$B$8,1))=EV$13), 1*(_xlfn._xlws.FILTER(OFFSET($O$15,0,$DO263,$B$8,1),OFFSET($M$15,0,0,$B$8,1))=EV$14))   /   SUM(OFFSET($BO$15,0,0,$B$14,1)) + $B$18/($B$19*$B$19*($DN263&lt;&gt;$DO263) + $B$19*($DN263=$DO263))</f>
        <v>3.7037037037037035E-4</v>
      </c>
      <c r="EW263" s="10" cm="1">
        <f t="array" aca="1" ref="EW263" ca="1">(1-$B$18)*SUMPRODUCT(OFFSET($BO$15,0,0,$B$14,1), 1*(_xlfn._xlws.FILTER(OFFSET($O$15,0,$DN263,$B$8,1),OFFSET($M$15,0,0,$B$8,1))=EW$13), 1*(_xlfn._xlws.FILTER(OFFSET($O$15,0,$DO263,$B$8,1),OFFSET($M$15,0,0,$B$8,1))=EW$14))   /   SUM(OFFSET($BO$15,0,0,$B$14,1)) + $B$18/($B$19*$B$19*($DN263&lt;&gt;$DO263) + $B$19*($DN263=$DO263))</f>
        <v>3.7037037037037035E-4</v>
      </c>
      <c r="EX263" s="10" cm="1">
        <f t="array" aca="1" ref="EX263" ca="1">(1-$B$18)*SUMPRODUCT(OFFSET($BO$15,0,0,$B$14,1), 1*(_xlfn._xlws.FILTER(OFFSET($O$15,0,$DN263,$B$8,1),OFFSET($M$15,0,0,$B$8,1))=EX$13), 1*(_xlfn._xlws.FILTER(OFFSET($O$15,0,$DO263,$B$8,1),OFFSET($M$15,0,0,$B$8,1))=EX$14))   /   SUM(OFFSET($BO$15,0,0,$B$14,1)) + $B$18/($B$19*$B$19*($DN263&lt;&gt;$DO263) + $B$19*($DN263=$DO263))</f>
        <v>3.7037037037037035E-4</v>
      </c>
      <c r="EY263" s="10" cm="1">
        <f t="array" aca="1" ref="EY263" ca="1">(1-$B$18)*SUMPRODUCT(OFFSET($BO$15,0,0,$B$14,1), 1*(_xlfn._xlws.FILTER(OFFSET($O$15,0,$DN263,$B$8,1),OFFSET($M$15,0,0,$B$8,1))=EY$13), 1*(_xlfn._xlws.FILTER(OFFSET($O$15,0,$DO263,$B$8,1),OFFSET($M$15,0,0,$B$8,1))=EY$14))   /   SUM(OFFSET($BO$15,0,0,$B$14,1)) + $B$18/($B$19*$B$19*($DN263&lt;&gt;$DO263) + $B$19*($DN263=$DO263))</f>
        <v>3.7037037037037035E-4</v>
      </c>
      <c r="EZ263" s="10" cm="1">
        <f t="array" aca="1" ref="EZ263" ca="1">(1-$B$18)*SUMPRODUCT(OFFSET($BO$15,0,0,$B$14,1), 1*(_xlfn._xlws.FILTER(OFFSET($O$15,0,$DN263,$B$8,1),OFFSET($M$15,0,0,$B$8,1))=EZ$13), 1*(_xlfn._xlws.FILTER(OFFSET($O$15,0,$DO263,$B$8,1),OFFSET($M$15,0,0,$B$8,1))=EZ$14))   /   SUM(OFFSET($BO$15,0,0,$B$14,1)) + $B$18/($B$19*$B$19*($DN263&lt;&gt;$DO263) + $B$19*($DN263=$DO263))</f>
        <v>3.7037037037037035E-4</v>
      </c>
      <c r="FA263" s="10" cm="1">
        <f t="array" aca="1" ref="FA263" ca="1">(1-$B$18)*SUMPRODUCT(OFFSET($BO$15,0,0,$B$14,1), 1*(_xlfn._xlws.FILTER(OFFSET($O$15,0,$DN263,$B$8,1),OFFSET($M$15,0,0,$B$8,1))=FA$13), 1*(_xlfn._xlws.FILTER(OFFSET($O$15,0,$DO263,$B$8,1),OFFSET($M$15,0,0,$B$8,1))=FA$14))   /   SUM(OFFSET($BO$15,0,0,$B$14,1)) + $B$18/($B$19*$B$19*($DN263&lt;&gt;$DO263) + $B$19*($DN263=$DO263))</f>
        <v>3.7037037037037035E-4</v>
      </c>
      <c r="FB263" s="10" cm="1">
        <f t="array" aca="1" ref="FB263" ca="1">(1-$B$18)*SUMPRODUCT(OFFSET($BO$15,0,0,$B$14,1), 1*(_xlfn._xlws.FILTER(OFFSET($O$15,0,$DN263,$B$8,1),OFFSET($M$15,0,0,$B$8,1))=FB$13), 1*(_xlfn._xlws.FILTER(OFFSET($O$15,0,$DO263,$B$8,1),OFFSET($M$15,0,0,$B$8,1))=FB$14))   /   SUM(OFFSET($BO$15,0,0,$B$14,1)) + $B$18/($B$19*$B$19*($DN263&lt;&gt;$DO263) + $B$19*($DN263=$DO263))</f>
        <v>3.7037037037037035E-4</v>
      </c>
      <c r="FC263" s="10" cm="1">
        <f t="array" aca="1" ref="FC263" ca="1">(1-$B$18)*SUMPRODUCT(OFFSET($BO$15,0,0,$B$14,1), 1*(_xlfn._xlws.FILTER(OFFSET($O$15,0,$DN263,$B$8,1),OFFSET($M$15,0,0,$B$8,1))=FC$13), 1*(_xlfn._xlws.FILTER(OFFSET($O$15,0,$DO263,$B$8,1),OFFSET($M$15,0,0,$B$8,1))=FC$14))   /   SUM(OFFSET($BO$15,0,0,$B$14,1)) + $B$18/($B$19*$B$19*($DN263&lt;&gt;$DO263) + $B$19*($DN263=$DO263))</f>
        <v>3.7037037037037035E-4</v>
      </c>
      <c r="FD263" s="10" cm="1">
        <f t="array" aca="1" ref="FD263" ca="1">(1-$B$18)*SUMPRODUCT(OFFSET($BO$15,0,0,$B$14,1), 1*(_xlfn._xlws.FILTER(OFFSET($O$15,0,$DN263,$B$8,1),OFFSET($M$15,0,0,$B$8,1))=FD$13), 1*(_xlfn._xlws.FILTER(OFFSET($O$15,0,$DO263,$B$8,1),OFFSET($M$15,0,0,$B$8,1))=FD$14))   /   SUM(OFFSET($BO$15,0,0,$B$14,1)) + $B$18/($B$19*$B$19*($DN263&lt;&gt;$DO263) + $B$19*($DN263=$DO263))</f>
        <v>3.7037037037037035E-4</v>
      </c>
      <c r="FE263" s="10" cm="1">
        <f t="array" aca="1" ref="FE263" ca="1">(1-$B$18)*SUMPRODUCT(OFFSET($BO$15,0,0,$B$14,1), 1*(_xlfn._xlws.FILTER(OFFSET($O$15,0,$DN263,$B$8,1),OFFSET($M$15,0,0,$B$8,1))=FE$13), 1*(_xlfn._xlws.FILTER(OFFSET($O$15,0,$DO263,$B$8,1),OFFSET($M$15,0,0,$B$8,1))=FE$14))   /   SUM(OFFSET($BO$15,0,0,$B$14,1)) + $B$18/($B$19*$B$19*($DN263&lt;&gt;$DO263) + $B$19*($DN263=$DO263))</f>
        <v>3.7037037037037035E-4</v>
      </c>
      <c r="FF263" s="10" cm="1">
        <f t="array" aca="1" ref="FF263" ca="1">(1-$B$18)*SUMPRODUCT(OFFSET($BO$15,0,0,$B$14,1), 1*(_xlfn._xlws.FILTER(OFFSET($O$15,0,$DN263,$B$8,1),OFFSET($M$15,0,0,$B$8,1))=FF$13), 1*(_xlfn._xlws.FILTER(OFFSET($O$15,0,$DO263,$B$8,1),OFFSET($M$15,0,0,$B$8,1))=FF$14))   /   SUM(OFFSET($BO$15,0,0,$B$14,1)) + $B$18/($B$19*$B$19*($DN263&lt;&gt;$DO263) + $B$19*($DN263=$DO263))</f>
        <v>3.7037037037037035E-4</v>
      </c>
      <c r="FG263" s="10" cm="1">
        <f t="array" aca="1" ref="FG263" ca="1">(1-$B$18)*SUMPRODUCT(OFFSET($BO$15,0,0,$B$14,1), 1*(_xlfn._xlws.FILTER(OFFSET($O$15,0,$DN263,$B$8,1),OFFSET($M$15,0,0,$B$8,1))=FG$13), 1*(_xlfn._xlws.FILTER(OFFSET($O$15,0,$DO263,$B$8,1),OFFSET($M$15,0,0,$B$8,1))=FG$14))   /   SUM(OFFSET($BO$15,0,0,$B$14,1)) + $B$18/($B$19*$B$19*($DN263&lt;&gt;$DO263) + $B$19*($DN263=$DO263))</f>
        <v>3.7037037037037035E-4</v>
      </c>
      <c r="FH263" s="10" cm="1">
        <f t="array" aca="1" ref="FH263" ca="1">(1-$B$18)*SUMPRODUCT(OFFSET($BO$15,0,0,$B$14,1), 1*(_xlfn._xlws.FILTER(OFFSET($O$15,0,$DN263,$B$8,1),OFFSET($M$15,0,0,$B$8,1))=FH$13), 1*(_xlfn._xlws.FILTER(OFFSET($O$15,0,$DO263,$B$8,1),OFFSET($M$15,0,0,$B$8,1))=FH$14))   /   SUM(OFFSET($BO$15,0,0,$B$14,1)) + $B$18/($B$19*$B$19*($DN263&lt;&gt;$DO263) + $B$19*($DN263=$DO263))</f>
        <v>3.7037037037037035E-4</v>
      </c>
      <c r="FI263" s="10" cm="1">
        <f t="array" aca="1" ref="FI263" ca="1">(1-$B$18)*SUMPRODUCT(OFFSET($BO$15,0,0,$B$14,1), 1*(_xlfn._xlws.FILTER(OFFSET($O$15,0,$DN263,$B$8,1),OFFSET($M$15,0,0,$B$8,1))=FI$13), 1*(_xlfn._xlws.FILTER(OFFSET($O$15,0,$DO263,$B$8,1),OFFSET($M$15,0,0,$B$8,1))=FI$14))   /   SUM(OFFSET($BO$15,0,0,$B$14,1)) + $B$18/($B$19*$B$19*($DN263&lt;&gt;$DO263) + $B$19*($DN263=$DO263))</f>
        <v>3.7037037037037035E-4</v>
      </c>
      <c r="FJ263" s="10" cm="1">
        <f t="array" aca="1" ref="FJ263" ca="1">(1-$B$18)*SUMPRODUCT(OFFSET($BO$15,0,0,$B$14,1), 1*(_xlfn._xlws.FILTER(OFFSET($O$15,0,$DN263,$B$8,1),OFFSET($M$15,0,0,$B$8,1))=FJ$13), 1*(_xlfn._xlws.FILTER(OFFSET($O$15,0,$DO263,$B$8,1),OFFSET($M$15,0,0,$B$8,1))=FJ$14))   /   SUM(OFFSET($BO$15,0,0,$B$14,1)) + $B$18/($B$19*$B$19*($DN263&lt;&gt;$DO263) + $B$19*($DN263=$DO263))</f>
        <v>3.7037037037037035E-4</v>
      </c>
      <c r="FK263" s="10" cm="1">
        <f t="array" aca="1" ref="FK263" ca="1">(1-$B$18)*SUMPRODUCT(OFFSET($BO$15,0,0,$B$14,1), 1*(_xlfn._xlws.FILTER(OFFSET($O$15,0,$DN263,$B$8,1),OFFSET($M$15,0,0,$B$8,1))=FK$13), 1*(_xlfn._xlws.FILTER(OFFSET($O$15,0,$DO263,$B$8,1),OFFSET($M$15,0,0,$B$8,1))=FK$14))   /   SUM(OFFSET($BO$15,0,0,$B$14,1)) + $B$18/($B$19*$B$19*($DN263&lt;&gt;$DO263) + $B$19*($DN263=$DO263))</f>
        <v>3.7037037037037035E-4</v>
      </c>
      <c r="FL263" s="10" cm="1">
        <f t="array" aca="1" ref="FL263" ca="1">(1-$B$18)*SUMPRODUCT(OFFSET($BO$15,0,0,$B$14,1), 1*(_xlfn._xlws.FILTER(OFFSET($O$15,0,$DN263,$B$8,1),OFFSET($M$15,0,0,$B$8,1))=FL$13), 1*(_xlfn._xlws.FILTER(OFFSET($O$15,0,$DO263,$B$8,1),OFFSET($M$15,0,0,$B$8,1))=FL$14))   /   SUM(OFFSET($BO$15,0,0,$B$14,1)) + $B$18/($B$19*$B$19*($DN263&lt;&gt;$DO263) + $B$19*($DN263=$DO263))</f>
        <v>3.7037037037037035E-4</v>
      </c>
      <c r="FM263" s="10" cm="1">
        <f t="array" aca="1" ref="FM263" ca="1">(1-$B$18)*SUMPRODUCT(OFFSET($BO$15,0,0,$B$14,1), 1*(_xlfn._xlws.FILTER(OFFSET($O$15,0,$DN263,$B$8,1),OFFSET($M$15,0,0,$B$8,1))=FM$13), 1*(_xlfn._xlws.FILTER(OFFSET($O$15,0,$DO263,$B$8,1),OFFSET($M$15,0,0,$B$8,1))=FM$14))   /   SUM(OFFSET($BO$15,0,0,$B$14,1)) + $B$18/($B$19*$B$19*($DN263&lt;&gt;$DO263) + $B$19*($DN263=$DO263))</f>
        <v>3.7037037037037035E-4</v>
      </c>
      <c r="FN263" s="10" cm="1">
        <f t="array" aca="1" ref="FN263" ca="1">(1-$B$18)*SUMPRODUCT(OFFSET($BO$15,0,0,$B$14,1), 1*(_xlfn._xlws.FILTER(OFFSET($O$15,0,$DN263,$B$8,1),OFFSET($M$15,0,0,$B$8,1))=FN$13), 1*(_xlfn._xlws.FILTER(OFFSET($O$15,0,$DO263,$B$8,1),OFFSET($M$15,0,0,$B$8,1))=FN$14))   /   SUM(OFFSET($BO$15,0,0,$B$14,1)) + $B$18/($B$19*$B$19*($DN263&lt;&gt;$DO263) + $B$19*($DN263=$DO263))</f>
        <v>3.7037037037037035E-4</v>
      </c>
      <c r="FO263" s="10" cm="1">
        <f t="array" aca="1" ref="FO263" ca="1">(1-$B$18)*SUMPRODUCT(OFFSET($BO$15,0,0,$B$14,1), 1*(_xlfn._xlws.FILTER(OFFSET($O$15,0,$DN263,$B$8,1),OFFSET($M$15,0,0,$B$8,1))=FO$13), 1*(_xlfn._xlws.FILTER(OFFSET($O$15,0,$DO263,$B$8,1),OFFSET($M$15,0,0,$B$8,1))=FO$14))   /   SUM(OFFSET($BO$15,0,0,$B$14,1)) + $B$18/($B$19*$B$19*($DN263&lt;&gt;$DO263) + $B$19*($DN263=$DO263))</f>
        <v>3.7037037037037035E-4</v>
      </c>
      <c r="FP263" s="10" cm="1">
        <f t="array" aca="1" ref="FP263" ca="1">(1-$B$18)*SUMPRODUCT(OFFSET($BO$15,0,0,$B$14,1), 1*(_xlfn._xlws.FILTER(OFFSET($O$15,0,$DN263,$B$8,1),OFFSET($M$15,0,0,$B$8,1))=FP$13), 1*(_xlfn._xlws.FILTER(OFFSET($O$15,0,$DO263,$B$8,1),OFFSET($M$15,0,0,$B$8,1))=FP$14))   /   SUM(OFFSET($BO$15,0,0,$B$14,1)) + $B$18/($B$19*$B$19*($DN263&lt;&gt;$DO263) + $B$19*($DN263=$DO263))</f>
        <v>3.7037037037037035E-4</v>
      </c>
      <c r="FQ263" s="10" cm="1">
        <f t="array" aca="1" ref="FQ263" ca="1">(1-$B$18)*SUMPRODUCT(OFFSET($BO$15,0,0,$B$14,1), 1*(_xlfn._xlws.FILTER(OFFSET($O$15,0,$DN263,$B$8,1),OFFSET($M$15,0,0,$B$8,1))=FQ$13), 1*(_xlfn._xlws.FILTER(OFFSET($O$15,0,$DO263,$B$8,1),OFFSET($M$15,0,0,$B$8,1))=FQ$14))   /   SUM(OFFSET($BO$15,0,0,$B$14,1)) + $B$18/($B$19*$B$19*($DN263&lt;&gt;$DO263) + $B$19*($DN263=$DO263))</f>
        <v>3.7037037037037035E-4</v>
      </c>
      <c r="FR263" s="10" cm="1">
        <f t="array" aca="1" ref="FR263" ca="1">(1-$B$18)*SUMPRODUCT(OFFSET($BO$15,0,0,$B$14,1), 1*(_xlfn._xlws.FILTER(OFFSET($O$15,0,$DN263,$B$8,1),OFFSET($M$15,0,0,$B$8,1))=FR$13), 1*(_xlfn._xlws.FILTER(OFFSET($O$15,0,$DO263,$B$8,1),OFFSET($M$15,0,0,$B$8,1))=FR$14))   /   SUM(OFFSET($BO$15,0,0,$B$14,1)) + $B$18/($B$19*$B$19*($DN263&lt;&gt;$DO263) + $B$19*($DN263=$DO263))</f>
        <v>3.7037037037037035E-4</v>
      </c>
      <c r="FS263" s="10" cm="1">
        <f t="array" aca="1" ref="FS263" ca="1">(1-$B$18)*SUMPRODUCT(OFFSET($BO$15,0,0,$B$14,1), 1*(_xlfn._xlws.FILTER(OFFSET($O$15,0,$DN263,$B$8,1),OFFSET($M$15,0,0,$B$8,1))=FS$13), 1*(_xlfn._xlws.FILTER(OFFSET($O$15,0,$DO263,$B$8,1),OFFSET($M$15,0,0,$B$8,1))=FS$14))   /   SUM(OFFSET($BO$15,0,0,$B$14,1)) + $B$18/($B$19*$B$19*($DN263&lt;&gt;$DO263) + $B$19*($DN263=$DO263))</f>
        <v>3.7037037037037035E-4</v>
      </c>
      <c r="FT263" s="10" cm="1">
        <f t="array" aca="1" ref="FT263" ca="1">(1-$B$18)*SUMPRODUCT(OFFSET($BO$15,0,0,$B$14,1), 1*(_xlfn._xlws.FILTER(OFFSET($O$15,0,$DN263,$B$8,1),OFFSET($M$15,0,0,$B$8,1))=FT$13), 1*(_xlfn._xlws.FILTER(OFFSET($O$15,0,$DO263,$B$8,1),OFFSET($M$15,0,0,$B$8,1))=FT$14))   /   SUM(OFFSET($BO$15,0,0,$B$14,1)) + $B$18/($B$19*$B$19*($DN263&lt;&gt;$DO263) + $B$19*($DN263=$DO263))</f>
        <v>3.7037037037037035E-4</v>
      </c>
      <c r="FU263" s="10" cm="1">
        <f t="array" aca="1" ref="FU263" ca="1">(1-$B$18)*SUMPRODUCT(OFFSET($BO$15,0,0,$B$14,1), 1*(_xlfn._xlws.FILTER(OFFSET($O$15,0,$DN263,$B$8,1),OFFSET($M$15,0,0,$B$8,1))=FU$13), 1*(_xlfn._xlws.FILTER(OFFSET($O$15,0,$DO263,$B$8,1),OFFSET($M$15,0,0,$B$8,1))=FU$14))   /   SUM(OFFSET($BO$15,0,0,$B$14,1)) + $B$18/($B$19*$B$19*($DN263&lt;&gt;$DO263) + $B$19*($DN263=$DO263))</f>
        <v>3.7037037037037035E-4</v>
      </c>
      <c r="FV263" s="10" cm="1">
        <f t="array" aca="1" ref="FV263" ca="1">(1-$B$18)*SUMPRODUCT(OFFSET($BO$15,0,0,$B$14,1), 1*(_xlfn._xlws.FILTER(OFFSET($O$15,0,$DN263,$B$8,1),OFFSET($M$15,0,0,$B$8,1))=FV$13), 1*(_xlfn._xlws.FILTER(OFFSET($O$15,0,$DO263,$B$8,1),OFFSET($M$15,0,0,$B$8,1))=FV$14))   /   SUM(OFFSET($BO$15,0,0,$B$14,1)) + $B$18/($B$19*$B$19*($DN263&lt;&gt;$DO263) + $B$19*($DN263=$DO263))</f>
        <v>3.7037037037037035E-4</v>
      </c>
      <c r="FW263" s="10" cm="1">
        <f t="array" aca="1" ref="FW263" ca="1">(1-$B$18)*SUMPRODUCT(OFFSET($BO$15,0,0,$B$14,1), 1*(_xlfn._xlws.FILTER(OFFSET($O$15,0,$DN263,$B$8,1),OFFSET($M$15,0,0,$B$8,1))=FW$13), 1*(_xlfn._xlws.FILTER(OFFSET($O$15,0,$DO263,$B$8,1),OFFSET($M$15,0,0,$B$8,1))=FW$14))   /   SUM(OFFSET($BO$15,0,0,$B$14,1)) + $B$18/($B$19*$B$19*($DN263&lt;&gt;$DO263) + $B$19*($DN263=$DO263))</f>
        <v>3.7037037037037035E-4</v>
      </c>
      <c r="FX263" s="10" cm="1">
        <f t="array" aca="1" ref="FX263" ca="1">(1-$B$18)*SUMPRODUCT(OFFSET($BO$15,0,0,$B$14,1), 1*(_xlfn._xlws.FILTER(OFFSET($O$15,0,$DN263,$B$8,1),OFFSET($M$15,0,0,$B$8,1))=FX$13), 1*(_xlfn._xlws.FILTER(OFFSET($O$15,0,$DO263,$B$8,1),OFFSET($M$15,0,0,$B$8,1))=FX$14))   /   SUM(OFFSET($BO$15,0,0,$B$14,1)) + $B$18/($B$19*$B$19*($DN263&lt;&gt;$DO263) + $B$19*($DN263=$DO263))</f>
        <v>3.7037037037037035E-4</v>
      </c>
      <c r="FY263" s="10" cm="1">
        <f t="array" aca="1" ref="FY263" ca="1">(1-$B$18)*SUMPRODUCT(OFFSET($BO$15,0,0,$B$14,1), 1*(_xlfn._xlws.FILTER(OFFSET($O$15,0,$DN263,$B$8,1),OFFSET($M$15,0,0,$B$8,1))=FY$13), 1*(_xlfn._xlws.FILTER(OFFSET($O$15,0,$DO263,$B$8,1),OFFSET($M$15,0,0,$B$8,1))=FY$14))   /   SUM(OFFSET($BO$15,0,0,$B$14,1)) + $B$18/($B$19*$B$19*($DN263&lt;&gt;$DO263) + $B$19*($DN263=$DO263))</f>
        <v>3.7037037037037035E-4</v>
      </c>
      <c r="FZ263" s="10" cm="1">
        <f t="array" aca="1" ref="FZ263" ca="1">(1-$B$18)*SUMPRODUCT(OFFSET($BO$15,0,0,$B$14,1), 1*(_xlfn._xlws.FILTER(OFFSET($O$15,0,$DN263,$B$8,1),OFFSET($M$15,0,0,$B$8,1))=FZ$13), 1*(_xlfn._xlws.FILTER(OFFSET($O$15,0,$DO263,$B$8,1),OFFSET($M$15,0,0,$B$8,1))=FZ$14))   /   SUM(OFFSET($BO$15,0,0,$B$14,1)) + $B$18/($B$19*$B$19*($DN263&lt;&gt;$DO263) + $B$19*($DN263=$DO263))</f>
        <v>3.7037037037037035E-4</v>
      </c>
      <c r="GA263" s="10" cm="1">
        <f t="array" aca="1" ref="GA263" ca="1">(1-$B$18)*SUMPRODUCT(OFFSET($BO$15,0,0,$B$14,1), 1*(_xlfn._xlws.FILTER(OFFSET($O$15,0,$DN263,$B$8,1),OFFSET($M$15,0,0,$B$8,1))=GA$13), 1*(_xlfn._xlws.FILTER(OFFSET($O$15,0,$DO263,$B$8,1),OFFSET($M$15,0,0,$B$8,1))=GA$14))   /   SUM(OFFSET($BO$15,0,0,$B$14,1)) + $B$18/($B$19*$B$19*($DN263&lt;&gt;$DO263) + $B$19*($DN263=$DO263))</f>
        <v>3.7037037037037035E-4</v>
      </c>
    </row>
    <row r="264" spans="118:183" x14ac:dyDescent="0.2">
      <c r="DN264" cm="1">
        <f t="array" aca="1" ref="DN264" ca="1">INDEX(_xlfn.ANCHORARRAY($CP$15), 1 + INT((ROWS($DO$15:$DO264) - 1) / ROWS(_xlfn.ANCHORARRAY($CP$15))))</f>
        <v>14</v>
      </c>
      <c r="DO264" cm="1">
        <f t="array" aca="1" ref="DO264" ca="1">INDEX(_xlfn.ANCHORARRAY($CP$15),1+MOD(ROWS($DO$15:$DO264)-1,ROWS(_xlfn.ANCHORARRAY($CP$15))))</f>
        <v>2</v>
      </c>
      <c r="DP264" s="10" cm="1">
        <f t="array" aca="1" ref="DP264" ca="1">(1-$B$18)*SUMPRODUCT(OFFSET($BO$15,0,0,$B$14,1), 1*(_xlfn._xlws.FILTER(OFFSET($O$15,0,$DN264,$B$8,1),OFFSET($M$15,0,0,$B$8,1))=DP$13), 1*(_xlfn._xlws.FILTER(OFFSET($O$15,0,$DO264,$B$8,1),OFFSET($M$15,0,0,$B$8,1))=DP$14))   /   SUM(OFFSET($BO$15,0,0,$B$14,1)) + $B$18/($B$19*$B$19*($DN264&lt;&gt;$DO264) + $B$19*($DN264=$DO264))</f>
        <v>3.7037037037037035E-4</v>
      </c>
      <c r="DQ264" s="10" cm="1">
        <f t="array" aca="1" ref="DQ264" ca="1">(1-$B$18)*SUMPRODUCT(OFFSET($BO$15,0,0,$B$14,1), 1*(_xlfn._xlws.FILTER(OFFSET($O$15,0,$DN264,$B$8,1),OFFSET($M$15,0,0,$B$8,1))=DQ$13), 1*(_xlfn._xlws.FILTER(OFFSET($O$15,0,$DO264,$B$8,1),OFFSET($M$15,0,0,$B$8,1))=DQ$14))   /   SUM(OFFSET($BO$15,0,0,$B$14,1)) + $B$18/($B$19*$B$19*($DN264&lt;&gt;$DO264) + $B$19*($DN264=$DO264))</f>
        <v>3.7037037037037035E-4</v>
      </c>
      <c r="DR264" s="10" cm="1">
        <f t="array" aca="1" ref="DR264" ca="1">(1-$B$18)*SUMPRODUCT(OFFSET($BO$15,0,0,$B$14,1), 1*(_xlfn._xlws.FILTER(OFFSET($O$15,0,$DN264,$B$8,1),OFFSET($M$15,0,0,$B$8,1))=DR$13), 1*(_xlfn._xlws.FILTER(OFFSET($O$15,0,$DO264,$B$8,1),OFFSET($M$15,0,0,$B$8,1))=DR$14))   /   SUM(OFFSET($BO$15,0,0,$B$14,1)) + $B$18/($B$19*$B$19*($DN264&lt;&gt;$DO264) + $B$19*($DN264=$DO264))</f>
        <v>3.7037037037037035E-4</v>
      </c>
      <c r="DS264" s="10" cm="1">
        <f t="array" aca="1" ref="DS264" ca="1">(1-$B$18)*SUMPRODUCT(OFFSET($BO$15,0,0,$B$14,1), 1*(_xlfn._xlws.FILTER(OFFSET($O$15,0,$DN264,$B$8,1),OFFSET($M$15,0,0,$B$8,1))=DS$13), 1*(_xlfn._xlws.FILTER(OFFSET($O$15,0,$DO264,$B$8,1),OFFSET($M$15,0,0,$B$8,1))=DS$14))   /   SUM(OFFSET($BO$15,0,0,$B$14,1)) + $B$18/($B$19*$B$19*($DN264&lt;&gt;$DO264) + $B$19*($DN264=$DO264))</f>
        <v>3.7037037037037035E-4</v>
      </c>
      <c r="DT264" s="10" cm="1">
        <f t="array" aca="1" ref="DT264" ca="1">(1-$B$18)*SUMPRODUCT(OFFSET($BO$15,0,0,$B$14,1), 1*(_xlfn._xlws.FILTER(OFFSET($O$15,0,$DN264,$B$8,1),OFFSET($M$15,0,0,$B$8,1))=DT$13), 1*(_xlfn._xlws.FILTER(OFFSET($O$15,0,$DO264,$B$8,1),OFFSET($M$15,0,0,$B$8,1))=DT$14))   /   SUM(OFFSET($BO$15,0,0,$B$14,1)) + $B$18/($B$19*$B$19*($DN264&lt;&gt;$DO264) + $B$19*($DN264=$DO264))</f>
        <v>3.7037037037037035E-4</v>
      </c>
      <c r="DU264" s="10" cm="1">
        <f t="array" aca="1" ref="DU264" ca="1">(1-$B$18)*SUMPRODUCT(OFFSET($BO$15,0,0,$B$14,1), 1*(_xlfn._xlws.FILTER(OFFSET($O$15,0,$DN264,$B$8,1),OFFSET($M$15,0,0,$B$8,1))=DU$13), 1*(_xlfn._xlws.FILTER(OFFSET($O$15,0,$DO264,$B$8,1),OFFSET($M$15,0,0,$B$8,1))=DU$14))   /   SUM(OFFSET($BO$15,0,0,$B$14,1)) + $B$18/($B$19*$B$19*($DN264&lt;&gt;$DO264) + $B$19*($DN264=$DO264))</f>
        <v>3.7037037037037035E-4</v>
      </c>
      <c r="DV264" s="10" cm="1">
        <f t="array" aca="1" ref="DV264" ca="1">(1-$B$18)*SUMPRODUCT(OFFSET($BO$15,0,0,$B$14,1), 1*(_xlfn._xlws.FILTER(OFFSET($O$15,0,$DN264,$B$8,1),OFFSET($M$15,0,0,$B$8,1))=DV$13), 1*(_xlfn._xlws.FILTER(OFFSET($O$15,0,$DO264,$B$8,1),OFFSET($M$15,0,0,$B$8,1))=DV$14))   /   SUM(OFFSET($BO$15,0,0,$B$14,1)) + $B$18/($B$19*$B$19*($DN264&lt;&gt;$DO264) + $B$19*($DN264=$DO264))</f>
        <v>3.7037037037037035E-4</v>
      </c>
      <c r="DW264" s="10" cm="1">
        <f t="array" aca="1" ref="DW264" ca="1">(1-$B$18)*SUMPRODUCT(OFFSET($BO$15,0,0,$B$14,1), 1*(_xlfn._xlws.FILTER(OFFSET($O$15,0,$DN264,$B$8,1),OFFSET($M$15,0,0,$B$8,1))=DW$13), 1*(_xlfn._xlws.FILTER(OFFSET($O$15,0,$DO264,$B$8,1),OFFSET($M$15,0,0,$B$8,1))=DW$14))   /   SUM(OFFSET($BO$15,0,0,$B$14,1)) + $B$18/($B$19*$B$19*($DN264&lt;&gt;$DO264) + $B$19*($DN264=$DO264))</f>
        <v>3.7037037037037035E-4</v>
      </c>
      <c r="DX264" s="10" cm="1">
        <f t="array" aca="1" ref="DX264" ca="1">(1-$B$18)*SUMPRODUCT(OFFSET($BO$15,0,0,$B$14,1), 1*(_xlfn._xlws.FILTER(OFFSET($O$15,0,$DN264,$B$8,1),OFFSET($M$15,0,0,$B$8,1))=DX$13), 1*(_xlfn._xlws.FILTER(OFFSET($O$15,0,$DO264,$B$8,1),OFFSET($M$15,0,0,$B$8,1))=DX$14))   /   SUM(OFFSET($BO$15,0,0,$B$14,1)) + $B$18/($B$19*$B$19*($DN264&lt;&gt;$DO264) + $B$19*($DN264=$DO264))</f>
        <v>3.7037037037037035E-4</v>
      </c>
      <c r="DY264" s="10" cm="1">
        <f t="array" aca="1" ref="DY264" ca="1">(1-$B$18)*SUMPRODUCT(OFFSET($BO$15,0,0,$B$14,1), 1*(_xlfn._xlws.FILTER(OFFSET($O$15,0,$DN264,$B$8,1),OFFSET($M$15,0,0,$B$8,1))=DY$13), 1*(_xlfn._xlws.FILTER(OFFSET($O$15,0,$DO264,$B$8,1),OFFSET($M$15,0,0,$B$8,1))=DY$14))   /   SUM(OFFSET($BO$15,0,0,$B$14,1)) + $B$18/($B$19*$B$19*($DN264&lt;&gt;$DO264) + $B$19*($DN264=$DO264))</f>
        <v>3.7037037037037035E-4</v>
      </c>
      <c r="DZ264" s="10" cm="1">
        <f t="array" aca="1" ref="DZ264" ca="1">(1-$B$18)*SUMPRODUCT(OFFSET($BO$15,0,0,$B$14,1), 1*(_xlfn._xlws.FILTER(OFFSET($O$15,0,$DN264,$B$8,1),OFFSET($M$15,0,0,$B$8,1))=DZ$13), 1*(_xlfn._xlws.FILTER(OFFSET($O$15,0,$DO264,$B$8,1),OFFSET($M$15,0,0,$B$8,1))=DZ$14))   /   SUM(OFFSET($BO$15,0,0,$B$14,1)) + $B$18/($B$19*$B$19*($DN264&lt;&gt;$DO264) + $B$19*($DN264=$DO264))</f>
        <v>3.7037037037037035E-4</v>
      </c>
      <c r="EA264" s="10" cm="1">
        <f t="array" aca="1" ref="EA264" ca="1">(1-$B$18)*SUMPRODUCT(OFFSET($BO$15,0,0,$B$14,1), 1*(_xlfn._xlws.FILTER(OFFSET($O$15,0,$DN264,$B$8,1),OFFSET($M$15,0,0,$B$8,1))=EA$13), 1*(_xlfn._xlws.FILTER(OFFSET($O$15,0,$DO264,$B$8,1),OFFSET($M$15,0,0,$B$8,1))=EA$14))   /   SUM(OFFSET($BO$15,0,0,$B$14,1)) + $B$18/($B$19*$B$19*($DN264&lt;&gt;$DO264) + $B$19*($DN264=$DO264))</f>
        <v>3.7037037037037035E-4</v>
      </c>
      <c r="EB264" s="10" cm="1">
        <f t="array" aca="1" ref="EB264" ca="1">(1-$B$18)*SUMPRODUCT(OFFSET($BO$15,0,0,$B$14,1), 1*(_xlfn._xlws.FILTER(OFFSET($O$15,0,$DN264,$B$8,1),OFFSET($M$15,0,0,$B$8,1))=EB$13), 1*(_xlfn._xlws.FILTER(OFFSET($O$15,0,$DO264,$B$8,1),OFFSET($M$15,0,0,$B$8,1))=EB$14))   /   SUM(OFFSET($BO$15,0,0,$B$14,1)) + $B$18/($B$19*$B$19*($DN264&lt;&gt;$DO264) + $B$19*($DN264=$DO264))</f>
        <v>3.7037037037037035E-4</v>
      </c>
      <c r="EC264" s="10" cm="1">
        <f t="array" aca="1" ref="EC264" ca="1">(1-$B$18)*SUMPRODUCT(OFFSET($BO$15,0,0,$B$14,1), 1*(_xlfn._xlws.FILTER(OFFSET($O$15,0,$DN264,$B$8,1),OFFSET($M$15,0,0,$B$8,1))=EC$13), 1*(_xlfn._xlws.FILTER(OFFSET($O$15,0,$DO264,$B$8,1),OFFSET($M$15,0,0,$B$8,1))=EC$14))   /   SUM(OFFSET($BO$15,0,0,$B$14,1)) + $B$18/($B$19*$B$19*($DN264&lt;&gt;$DO264) + $B$19*($DN264=$DO264))</f>
        <v>3.7037037037037035E-4</v>
      </c>
      <c r="ED264" s="10" cm="1">
        <f t="array" aca="1" ref="ED264" ca="1">(1-$B$18)*SUMPRODUCT(OFFSET($BO$15,0,0,$B$14,1), 1*(_xlfn._xlws.FILTER(OFFSET($O$15,0,$DN264,$B$8,1),OFFSET($M$15,0,0,$B$8,1))=ED$13), 1*(_xlfn._xlws.FILTER(OFFSET($O$15,0,$DO264,$B$8,1),OFFSET($M$15,0,0,$B$8,1))=ED$14))   /   SUM(OFFSET($BO$15,0,0,$B$14,1)) + $B$18/($B$19*$B$19*($DN264&lt;&gt;$DO264) + $B$19*($DN264=$DO264))</f>
        <v>3.7037037037037035E-4</v>
      </c>
      <c r="EE264" s="10" cm="1">
        <f t="array" aca="1" ref="EE264" ca="1">(1-$B$18)*SUMPRODUCT(OFFSET($BO$15,0,0,$B$14,1), 1*(_xlfn._xlws.FILTER(OFFSET($O$15,0,$DN264,$B$8,1),OFFSET($M$15,0,0,$B$8,1))=EE$13), 1*(_xlfn._xlws.FILTER(OFFSET($O$15,0,$DO264,$B$8,1),OFFSET($M$15,0,0,$B$8,1))=EE$14))   /   SUM(OFFSET($BO$15,0,0,$B$14,1)) + $B$18/($B$19*$B$19*($DN264&lt;&gt;$DO264) + $B$19*($DN264=$DO264))</f>
        <v>3.7037037037037035E-4</v>
      </c>
      <c r="EF264" s="10" cm="1">
        <f t="array" aca="1" ref="EF264" ca="1">(1-$B$18)*SUMPRODUCT(OFFSET($BO$15,0,0,$B$14,1), 1*(_xlfn._xlws.FILTER(OFFSET($O$15,0,$DN264,$B$8,1),OFFSET($M$15,0,0,$B$8,1))=EF$13), 1*(_xlfn._xlws.FILTER(OFFSET($O$15,0,$DO264,$B$8,1),OFFSET($M$15,0,0,$B$8,1))=EF$14))   /   SUM(OFFSET($BO$15,0,0,$B$14,1)) + $B$18/($B$19*$B$19*($DN264&lt;&gt;$DO264) + $B$19*($DN264=$DO264))</f>
        <v>3.7037037037037035E-4</v>
      </c>
      <c r="EG264" s="10" cm="1">
        <f t="array" aca="1" ref="EG264" ca="1">(1-$B$18)*SUMPRODUCT(OFFSET($BO$15,0,0,$B$14,1), 1*(_xlfn._xlws.FILTER(OFFSET($O$15,0,$DN264,$B$8,1),OFFSET($M$15,0,0,$B$8,1))=EG$13), 1*(_xlfn._xlws.FILTER(OFFSET($O$15,0,$DO264,$B$8,1),OFFSET($M$15,0,0,$B$8,1))=EG$14))   /   SUM(OFFSET($BO$15,0,0,$B$14,1)) + $B$18/($B$19*$B$19*($DN264&lt;&gt;$DO264) + $B$19*($DN264=$DO264))</f>
        <v>3.7037037037037035E-4</v>
      </c>
      <c r="EH264" s="10" cm="1">
        <f t="array" aca="1" ref="EH264" ca="1">(1-$B$18)*SUMPRODUCT(OFFSET($BO$15,0,0,$B$14,1), 1*(_xlfn._xlws.FILTER(OFFSET($O$15,0,$DN264,$B$8,1),OFFSET($M$15,0,0,$B$8,1))=EH$13), 1*(_xlfn._xlws.FILTER(OFFSET($O$15,0,$DO264,$B$8,1),OFFSET($M$15,0,0,$B$8,1))=EH$14))   /   SUM(OFFSET($BO$15,0,0,$B$14,1)) + $B$18/($B$19*$B$19*($DN264&lt;&gt;$DO264) + $B$19*($DN264=$DO264))</f>
        <v>3.7037037037037035E-4</v>
      </c>
      <c r="EI264" s="10" cm="1">
        <f t="array" aca="1" ref="EI264" ca="1">(1-$B$18)*SUMPRODUCT(OFFSET($BO$15,0,0,$B$14,1), 1*(_xlfn._xlws.FILTER(OFFSET($O$15,0,$DN264,$B$8,1),OFFSET($M$15,0,0,$B$8,1))=EI$13), 1*(_xlfn._xlws.FILTER(OFFSET($O$15,0,$DO264,$B$8,1),OFFSET($M$15,0,0,$B$8,1))=EI$14))   /   SUM(OFFSET($BO$15,0,0,$B$14,1)) + $B$18/($B$19*$B$19*($DN264&lt;&gt;$DO264) + $B$19*($DN264=$DO264))</f>
        <v>3.7037037037037035E-4</v>
      </c>
      <c r="EJ264" s="10" cm="1">
        <f t="array" aca="1" ref="EJ264" ca="1">(1-$B$18)*SUMPRODUCT(OFFSET($BO$15,0,0,$B$14,1), 1*(_xlfn._xlws.FILTER(OFFSET($O$15,0,$DN264,$B$8,1),OFFSET($M$15,0,0,$B$8,1))=EJ$13), 1*(_xlfn._xlws.FILTER(OFFSET($O$15,0,$DO264,$B$8,1),OFFSET($M$15,0,0,$B$8,1))=EJ$14))   /   SUM(OFFSET($BO$15,0,0,$B$14,1)) + $B$18/($B$19*$B$19*($DN264&lt;&gt;$DO264) + $B$19*($DN264=$DO264))</f>
        <v>3.7037037037037035E-4</v>
      </c>
      <c r="EK264" s="10" cm="1">
        <f t="array" aca="1" ref="EK264" ca="1">(1-$B$18)*SUMPRODUCT(OFFSET($BO$15,0,0,$B$14,1), 1*(_xlfn._xlws.FILTER(OFFSET($O$15,0,$DN264,$B$8,1),OFFSET($M$15,0,0,$B$8,1))=EK$13), 1*(_xlfn._xlws.FILTER(OFFSET($O$15,0,$DO264,$B$8,1),OFFSET($M$15,0,0,$B$8,1))=EK$14))   /   SUM(OFFSET($BO$15,0,0,$B$14,1)) + $B$18/($B$19*$B$19*($DN264&lt;&gt;$DO264) + $B$19*($DN264=$DO264))</f>
        <v>3.7037037037037035E-4</v>
      </c>
      <c r="EL264" s="10" cm="1">
        <f t="array" aca="1" ref="EL264" ca="1">(1-$B$18)*SUMPRODUCT(OFFSET($BO$15,0,0,$B$14,1), 1*(_xlfn._xlws.FILTER(OFFSET($O$15,0,$DN264,$B$8,1),OFFSET($M$15,0,0,$B$8,1))=EL$13), 1*(_xlfn._xlws.FILTER(OFFSET($O$15,0,$DO264,$B$8,1),OFFSET($M$15,0,0,$B$8,1))=EL$14))   /   SUM(OFFSET($BO$15,0,0,$B$14,1)) + $B$18/($B$19*$B$19*($DN264&lt;&gt;$DO264) + $B$19*($DN264=$DO264))</f>
        <v>0.97037037037037033</v>
      </c>
      <c r="EM264" s="10" cm="1">
        <f t="array" aca="1" ref="EM264" ca="1">(1-$B$18)*SUMPRODUCT(OFFSET($BO$15,0,0,$B$14,1), 1*(_xlfn._xlws.FILTER(OFFSET($O$15,0,$DN264,$B$8,1),OFFSET($M$15,0,0,$B$8,1))=EM$13), 1*(_xlfn._xlws.FILTER(OFFSET($O$15,0,$DO264,$B$8,1),OFFSET($M$15,0,0,$B$8,1))=EM$14))   /   SUM(OFFSET($BO$15,0,0,$B$14,1)) + $B$18/($B$19*$B$19*($DN264&lt;&gt;$DO264) + $B$19*($DN264=$DO264))</f>
        <v>3.7037037037037035E-4</v>
      </c>
      <c r="EN264" s="10" cm="1">
        <f t="array" aca="1" ref="EN264" ca="1">(1-$B$18)*SUMPRODUCT(OFFSET($BO$15,0,0,$B$14,1), 1*(_xlfn._xlws.FILTER(OFFSET($O$15,0,$DN264,$B$8,1),OFFSET($M$15,0,0,$B$8,1))=EN$13), 1*(_xlfn._xlws.FILTER(OFFSET($O$15,0,$DO264,$B$8,1),OFFSET($M$15,0,0,$B$8,1))=EN$14))   /   SUM(OFFSET($BO$15,0,0,$B$14,1)) + $B$18/($B$19*$B$19*($DN264&lt;&gt;$DO264) + $B$19*($DN264=$DO264))</f>
        <v>3.7037037037037035E-4</v>
      </c>
      <c r="EO264" s="10" cm="1">
        <f t="array" aca="1" ref="EO264" ca="1">(1-$B$18)*SUMPRODUCT(OFFSET($BO$15,0,0,$B$14,1), 1*(_xlfn._xlws.FILTER(OFFSET($O$15,0,$DN264,$B$8,1),OFFSET($M$15,0,0,$B$8,1))=EO$13), 1*(_xlfn._xlws.FILTER(OFFSET($O$15,0,$DO264,$B$8,1),OFFSET($M$15,0,0,$B$8,1))=EO$14))   /   SUM(OFFSET($BO$15,0,0,$B$14,1)) + $B$18/($B$19*$B$19*($DN264&lt;&gt;$DO264) + $B$19*($DN264=$DO264))</f>
        <v>3.7037037037037035E-4</v>
      </c>
      <c r="EP264" s="10" cm="1">
        <f t="array" aca="1" ref="EP264" ca="1">(1-$B$18)*SUMPRODUCT(OFFSET($BO$15,0,0,$B$14,1), 1*(_xlfn._xlws.FILTER(OFFSET($O$15,0,$DN264,$B$8,1),OFFSET($M$15,0,0,$B$8,1))=EP$13), 1*(_xlfn._xlws.FILTER(OFFSET($O$15,0,$DO264,$B$8,1),OFFSET($M$15,0,0,$B$8,1))=EP$14))   /   SUM(OFFSET($BO$15,0,0,$B$14,1)) + $B$18/($B$19*$B$19*($DN264&lt;&gt;$DO264) + $B$19*($DN264=$DO264))</f>
        <v>3.7037037037037035E-4</v>
      </c>
      <c r="EQ264" s="10" cm="1">
        <f t="array" aca="1" ref="EQ264" ca="1">(1-$B$18)*SUMPRODUCT(OFFSET($BO$15,0,0,$B$14,1), 1*(_xlfn._xlws.FILTER(OFFSET($O$15,0,$DN264,$B$8,1),OFFSET($M$15,0,0,$B$8,1))=EQ$13), 1*(_xlfn._xlws.FILTER(OFFSET($O$15,0,$DO264,$B$8,1),OFFSET($M$15,0,0,$B$8,1))=EQ$14))   /   SUM(OFFSET($BO$15,0,0,$B$14,1)) + $B$18/($B$19*$B$19*($DN264&lt;&gt;$DO264) + $B$19*($DN264=$DO264))</f>
        <v>3.7037037037037035E-4</v>
      </c>
      <c r="ER264" s="10" cm="1">
        <f t="array" aca="1" ref="ER264" ca="1">(1-$B$18)*SUMPRODUCT(OFFSET($BO$15,0,0,$B$14,1), 1*(_xlfn._xlws.FILTER(OFFSET($O$15,0,$DN264,$B$8,1),OFFSET($M$15,0,0,$B$8,1))=ER$13), 1*(_xlfn._xlws.FILTER(OFFSET($O$15,0,$DO264,$B$8,1),OFFSET($M$15,0,0,$B$8,1))=ER$14))   /   SUM(OFFSET($BO$15,0,0,$B$14,1)) + $B$18/($B$19*$B$19*($DN264&lt;&gt;$DO264) + $B$19*($DN264=$DO264))</f>
        <v>3.7037037037037035E-4</v>
      </c>
      <c r="ES264" s="10" cm="1">
        <f t="array" aca="1" ref="ES264" ca="1">(1-$B$18)*SUMPRODUCT(OFFSET($BO$15,0,0,$B$14,1), 1*(_xlfn._xlws.FILTER(OFFSET($O$15,0,$DN264,$B$8,1),OFFSET($M$15,0,0,$B$8,1))=ES$13), 1*(_xlfn._xlws.FILTER(OFFSET($O$15,0,$DO264,$B$8,1),OFFSET($M$15,0,0,$B$8,1))=ES$14))   /   SUM(OFFSET($BO$15,0,0,$B$14,1)) + $B$18/($B$19*$B$19*($DN264&lt;&gt;$DO264) + $B$19*($DN264=$DO264))</f>
        <v>3.7037037037037035E-4</v>
      </c>
      <c r="ET264" s="10" cm="1">
        <f t="array" aca="1" ref="ET264" ca="1">(1-$B$18)*SUMPRODUCT(OFFSET($BO$15,0,0,$B$14,1), 1*(_xlfn._xlws.FILTER(OFFSET($O$15,0,$DN264,$B$8,1),OFFSET($M$15,0,0,$B$8,1))=ET$13), 1*(_xlfn._xlws.FILTER(OFFSET($O$15,0,$DO264,$B$8,1),OFFSET($M$15,0,0,$B$8,1))=ET$14))   /   SUM(OFFSET($BO$15,0,0,$B$14,1)) + $B$18/($B$19*$B$19*($DN264&lt;&gt;$DO264) + $B$19*($DN264=$DO264))</f>
        <v>3.7037037037037035E-4</v>
      </c>
      <c r="EU264" s="10" cm="1">
        <f t="array" aca="1" ref="EU264" ca="1">(1-$B$18)*SUMPRODUCT(OFFSET($BO$15,0,0,$B$14,1), 1*(_xlfn._xlws.FILTER(OFFSET($O$15,0,$DN264,$B$8,1),OFFSET($M$15,0,0,$B$8,1))=EU$13), 1*(_xlfn._xlws.FILTER(OFFSET($O$15,0,$DO264,$B$8,1),OFFSET($M$15,0,0,$B$8,1))=EU$14))   /   SUM(OFFSET($BO$15,0,0,$B$14,1)) + $B$18/($B$19*$B$19*($DN264&lt;&gt;$DO264) + $B$19*($DN264=$DO264))</f>
        <v>3.7037037037037035E-4</v>
      </c>
      <c r="EV264" s="10" cm="1">
        <f t="array" aca="1" ref="EV264" ca="1">(1-$B$18)*SUMPRODUCT(OFFSET($BO$15,0,0,$B$14,1), 1*(_xlfn._xlws.FILTER(OFFSET($O$15,0,$DN264,$B$8,1),OFFSET($M$15,0,0,$B$8,1))=EV$13), 1*(_xlfn._xlws.FILTER(OFFSET($O$15,0,$DO264,$B$8,1),OFFSET($M$15,0,0,$B$8,1))=EV$14))   /   SUM(OFFSET($BO$15,0,0,$B$14,1)) + $B$18/($B$19*$B$19*($DN264&lt;&gt;$DO264) + $B$19*($DN264=$DO264))</f>
        <v>3.7037037037037035E-4</v>
      </c>
      <c r="EW264" s="10" cm="1">
        <f t="array" aca="1" ref="EW264" ca="1">(1-$B$18)*SUMPRODUCT(OFFSET($BO$15,0,0,$B$14,1), 1*(_xlfn._xlws.FILTER(OFFSET($O$15,0,$DN264,$B$8,1),OFFSET($M$15,0,0,$B$8,1))=EW$13), 1*(_xlfn._xlws.FILTER(OFFSET($O$15,0,$DO264,$B$8,1),OFFSET($M$15,0,0,$B$8,1))=EW$14))   /   SUM(OFFSET($BO$15,0,0,$B$14,1)) + $B$18/($B$19*$B$19*($DN264&lt;&gt;$DO264) + $B$19*($DN264=$DO264))</f>
        <v>3.7037037037037035E-4</v>
      </c>
      <c r="EX264" s="10" cm="1">
        <f t="array" aca="1" ref="EX264" ca="1">(1-$B$18)*SUMPRODUCT(OFFSET($BO$15,0,0,$B$14,1), 1*(_xlfn._xlws.FILTER(OFFSET($O$15,0,$DN264,$B$8,1),OFFSET($M$15,0,0,$B$8,1))=EX$13), 1*(_xlfn._xlws.FILTER(OFFSET($O$15,0,$DO264,$B$8,1),OFFSET($M$15,0,0,$B$8,1))=EX$14))   /   SUM(OFFSET($BO$15,0,0,$B$14,1)) + $B$18/($B$19*$B$19*($DN264&lt;&gt;$DO264) + $B$19*($DN264=$DO264))</f>
        <v>3.7037037037037035E-4</v>
      </c>
      <c r="EY264" s="10" cm="1">
        <f t="array" aca="1" ref="EY264" ca="1">(1-$B$18)*SUMPRODUCT(OFFSET($BO$15,0,0,$B$14,1), 1*(_xlfn._xlws.FILTER(OFFSET($O$15,0,$DN264,$B$8,1),OFFSET($M$15,0,0,$B$8,1))=EY$13), 1*(_xlfn._xlws.FILTER(OFFSET($O$15,0,$DO264,$B$8,1),OFFSET($M$15,0,0,$B$8,1))=EY$14))   /   SUM(OFFSET($BO$15,0,0,$B$14,1)) + $B$18/($B$19*$B$19*($DN264&lt;&gt;$DO264) + $B$19*($DN264=$DO264))</f>
        <v>3.7037037037037035E-4</v>
      </c>
      <c r="EZ264" s="10" cm="1">
        <f t="array" aca="1" ref="EZ264" ca="1">(1-$B$18)*SUMPRODUCT(OFFSET($BO$15,0,0,$B$14,1), 1*(_xlfn._xlws.FILTER(OFFSET($O$15,0,$DN264,$B$8,1),OFFSET($M$15,0,0,$B$8,1))=EZ$13), 1*(_xlfn._xlws.FILTER(OFFSET($O$15,0,$DO264,$B$8,1),OFFSET($M$15,0,0,$B$8,1))=EZ$14))   /   SUM(OFFSET($BO$15,0,0,$B$14,1)) + $B$18/($B$19*$B$19*($DN264&lt;&gt;$DO264) + $B$19*($DN264=$DO264))</f>
        <v>3.7037037037037035E-4</v>
      </c>
      <c r="FA264" s="10" cm="1">
        <f t="array" aca="1" ref="FA264" ca="1">(1-$B$18)*SUMPRODUCT(OFFSET($BO$15,0,0,$B$14,1), 1*(_xlfn._xlws.FILTER(OFFSET($O$15,0,$DN264,$B$8,1),OFFSET($M$15,0,0,$B$8,1))=FA$13), 1*(_xlfn._xlws.FILTER(OFFSET($O$15,0,$DO264,$B$8,1),OFFSET($M$15,0,0,$B$8,1))=FA$14))   /   SUM(OFFSET($BO$15,0,0,$B$14,1)) + $B$18/($B$19*$B$19*($DN264&lt;&gt;$DO264) + $B$19*($DN264=$DO264))</f>
        <v>3.7037037037037035E-4</v>
      </c>
      <c r="FB264" s="10" cm="1">
        <f t="array" aca="1" ref="FB264" ca="1">(1-$B$18)*SUMPRODUCT(OFFSET($BO$15,0,0,$B$14,1), 1*(_xlfn._xlws.FILTER(OFFSET($O$15,0,$DN264,$B$8,1),OFFSET($M$15,0,0,$B$8,1))=FB$13), 1*(_xlfn._xlws.FILTER(OFFSET($O$15,0,$DO264,$B$8,1),OFFSET($M$15,0,0,$B$8,1))=FB$14))   /   SUM(OFFSET($BO$15,0,0,$B$14,1)) + $B$18/($B$19*$B$19*($DN264&lt;&gt;$DO264) + $B$19*($DN264=$DO264))</f>
        <v>3.7037037037037035E-4</v>
      </c>
      <c r="FC264" s="10" cm="1">
        <f t="array" aca="1" ref="FC264" ca="1">(1-$B$18)*SUMPRODUCT(OFFSET($BO$15,0,0,$B$14,1), 1*(_xlfn._xlws.FILTER(OFFSET($O$15,0,$DN264,$B$8,1),OFFSET($M$15,0,0,$B$8,1))=FC$13), 1*(_xlfn._xlws.FILTER(OFFSET($O$15,0,$DO264,$B$8,1),OFFSET($M$15,0,0,$B$8,1))=FC$14))   /   SUM(OFFSET($BO$15,0,0,$B$14,1)) + $B$18/($B$19*$B$19*($DN264&lt;&gt;$DO264) + $B$19*($DN264=$DO264))</f>
        <v>3.7037037037037035E-4</v>
      </c>
      <c r="FD264" s="10" cm="1">
        <f t="array" aca="1" ref="FD264" ca="1">(1-$B$18)*SUMPRODUCT(OFFSET($BO$15,0,0,$B$14,1), 1*(_xlfn._xlws.FILTER(OFFSET($O$15,0,$DN264,$B$8,1),OFFSET($M$15,0,0,$B$8,1))=FD$13), 1*(_xlfn._xlws.FILTER(OFFSET($O$15,0,$DO264,$B$8,1),OFFSET($M$15,0,0,$B$8,1))=FD$14))   /   SUM(OFFSET($BO$15,0,0,$B$14,1)) + $B$18/($B$19*$B$19*($DN264&lt;&gt;$DO264) + $B$19*($DN264=$DO264))</f>
        <v>3.7037037037037035E-4</v>
      </c>
      <c r="FE264" s="10" cm="1">
        <f t="array" aca="1" ref="FE264" ca="1">(1-$B$18)*SUMPRODUCT(OFFSET($BO$15,0,0,$B$14,1), 1*(_xlfn._xlws.FILTER(OFFSET($O$15,0,$DN264,$B$8,1),OFFSET($M$15,0,0,$B$8,1))=FE$13), 1*(_xlfn._xlws.FILTER(OFFSET($O$15,0,$DO264,$B$8,1),OFFSET($M$15,0,0,$B$8,1))=FE$14))   /   SUM(OFFSET($BO$15,0,0,$B$14,1)) + $B$18/($B$19*$B$19*($DN264&lt;&gt;$DO264) + $B$19*($DN264=$DO264))</f>
        <v>3.7037037037037035E-4</v>
      </c>
      <c r="FF264" s="10" cm="1">
        <f t="array" aca="1" ref="FF264" ca="1">(1-$B$18)*SUMPRODUCT(OFFSET($BO$15,0,0,$B$14,1), 1*(_xlfn._xlws.FILTER(OFFSET($O$15,0,$DN264,$B$8,1),OFFSET($M$15,0,0,$B$8,1))=FF$13), 1*(_xlfn._xlws.FILTER(OFFSET($O$15,0,$DO264,$B$8,1),OFFSET($M$15,0,0,$B$8,1))=FF$14))   /   SUM(OFFSET($BO$15,0,0,$B$14,1)) + $B$18/($B$19*$B$19*($DN264&lt;&gt;$DO264) + $B$19*($DN264=$DO264))</f>
        <v>3.7037037037037035E-4</v>
      </c>
      <c r="FG264" s="10" cm="1">
        <f t="array" aca="1" ref="FG264" ca="1">(1-$B$18)*SUMPRODUCT(OFFSET($BO$15,0,0,$B$14,1), 1*(_xlfn._xlws.FILTER(OFFSET($O$15,0,$DN264,$B$8,1),OFFSET($M$15,0,0,$B$8,1))=FG$13), 1*(_xlfn._xlws.FILTER(OFFSET($O$15,0,$DO264,$B$8,1),OFFSET($M$15,0,0,$B$8,1))=FG$14))   /   SUM(OFFSET($BO$15,0,0,$B$14,1)) + $B$18/($B$19*$B$19*($DN264&lt;&gt;$DO264) + $B$19*($DN264=$DO264))</f>
        <v>3.7037037037037035E-4</v>
      </c>
      <c r="FH264" s="10" cm="1">
        <f t="array" aca="1" ref="FH264" ca="1">(1-$B$18)*SUMPRODUCT(OFFSET($BO$15,0,0,$B$14,1), 1*(_xlfn._xlws.FILTER(OFFSET($O$15,0,$DN264,$B$8,1),OFFSET($M$15,0,0,$B$8,1))=FH$13), 1*(_xlfn._xlws.FILTER(OFFSET($O$15,0,$DO264,$B$8,1),OFFSET($M$15,0,0,$B$8,1))=FH$14))   /   SUM(OFFSET($BO$15,0,0,$B$14,1)) + $B$18/($B$19*$B$19*($DN264&lt;&gt;$DO264) + $B$19*($DN264=$DO264))</f>
        <v>3.7037037037037035E-4</v>
      </c>
      <c r="FI264" s="10" cm="1">
        <f t="array" aca="1" ref="FI264" ca="1">(1-$B$18)*SUMPRODUCT(OFFSET($BO$15,0,0,$B$14,1), 1*(_xlfn._xlws.FILTER(OFFSET($O$15,0,$DN264,$B$8,1),OFFSET($M$15,0,0,$B$8,1))=FI$13), 1*(_xlfn._xlws.FILTER(OFFSET($O$15,0,$DO264,$B$8,1),OFFSET($M$15,0,0,$B$8,1))=FI$14))   /   SUM(OFFSET($BO$15,0,0,$B$14,1)) + $B$18/($B$19*$B$19*($DN264&lt;&gt;$DO264) + $B$19*($DN264=$DO264))</f>
        <v>3.7037037037037035E-4</v>
      </c>
      <c r="FJ264" s="10" cm="1">
        <f t="array" aca="1" ref="FJ264" ca="1">(1-$B$18)*SUMPRODUCT(OFFSET($BO$15,0,0,$B$14,1), 1*(_xlfn._xlws.FILTER(OFFSET($O$15,0,$DN264,$B$8,1),OFFSET($M$15,0,0,$B$8,1))=FJ$13), 1*(_xlfn._xlws.FILTER(OFFSET($O$15,0,$DO264,$B$8,1),OFFSET($M$15,0,0,$B$8,1))=FJ$14))   /   SUM(OFFSET($BO$15,0,0,$B$14,1)) + $B$18/($B$19*$B$19*($DN264&lt;&gt;$DO264) + $B$19*($DN264=$DO264))</f>
        <v>3.7037037037037035E-4</v>
      </c>
      <c r="FK264" s="10" cm="1">
        <f t="array" aca="1" ref="FK264" ca="1">(1-$B$18)*SUMPRODUCT(OFFSET($BO$15,0,0,$B$14,1), 1*(_xlfn._xlws.FILTER(OFFSET($O$15,0,$DN264,$B$8,1),OFFSET($M$15,0,0,$B$8,1))=FK$13), 1*(_xlfn._xlws.FILTER(OFFSET($O$15,0,$DO264,$B$8,1),OFFSET($M$15,0,0,$B$8,1))=FK$14))   /   SUM(OFFSET($BO$15,0,0,$B$14,1)) + $B$18/($B$19*$B$19*($DN264&lt;&gt;$DO264) + $B$19*($DN264=$DO264))</f>
        <v>3.7037037037037035E-4</v>
      </c>
      <c r="FL264" s="10" cm="1">
        <f t="array" aca="1" ref="FL264" ca="1">(1-$B$18)*SUMPRODUCT(OFFSET($BO$15,0,0,$B$14,1), 1*(_xlfn._xlws.FILTER(OFFSET($O$15,0,$DN264,$B$8,1),OFFSET($M$15,0,0,$B$8,1))=FL$13), 1*(_xlfn._xlws.FILTER(OFFSET($O$15,0,$DO264,$B$8,1),OFFSET($M$15,0,0,$B$8,1))=FL$14))   /   SUM(OFFSET($BO$15,0,0,$B$14,1)) + $B$18/($B$19*$B$19*($DN264&lt;&gt;$DO264) + $B$19*($DN264=$DO264))</f>
        <v>3.7037037037037035E-4</v>
      </c>
      <c r="FM264" s="10" cm="1">
        <f t="array" aca="1" ref="FM264" ca="1">(1-$B$18)*SUMPRODUCT(OFFSET($BO$15,0,0,$B$14,1), 1*(_xlfn._xlws.FILTER(OFFSET($O$15,0,$DN264,$B$8,1),OFFSET($M$15,0,0,$B$8,1))=FM$13), 1*(_xlfn._xlws.FILTER(OFFSET($O$15,0,$DO264,$B$8,1),OFFSET($M$15,0,0,$B$8,1))=FM$14))   /   SUM(OFFSET($BO$15,0,0,$B$14,1)) + $B$18/($B$19*$B$19*($DN264&lt;&gt;$DO264) + $B$19*($DN264=$DO264))</f>
        <v>3.7037037037037035E-4</v>
      </c>
      <c r="FN264" s="10" cm="1">
        <f t="array" aca="1" ref="FN264" ca="1">(1-$B$18)*SUMPRODUCT(OFFSET($BO$15,0,0,$B$14,1), 1*(_xlfn._xlws.FILTER(OFFSET($O$15,0,$DN264,$B$8,1),OFFSET($M$15,0,0,$B$8,1))=FN$13), 1*(_xlfn._xlws.FILTER(OFFSET($O$15,0,$DO264,$B$8,1),OFFSET($M$15,0,0,$B$8,1))=FN$14))   /   SUM(OFFSET($BO$15,0,0,$B$14,1)) + $B$18/($B$19*$B$19*($DN264&lt;&gt;$DO264) + $B$19*($DN264=$DO264))</f>
        <v>3.7037037037037035E-4</v>
      </c>
      <c r="FO264" s="10" cm="1">
        <f t="array" aca="1" ref="FO264" ca="1">(1-$B$18)*SUMPRODUCT(OFFSET($BO$15,0,0,$B$14,1), 1*(_xlfn._xlws.FILTER(OFFSET($O$15,0,$DN264,$B$8,1),OFFSET($M$15,0,0,$B$8,1))=FO$13), 1*(_xlfn._xlws.FILTER(OFFSET($O$15,0,$DO264,$B$8,1),OFFSET($M$15,0,0,$B$8,1))=FO$14))   /   SUM(OFFSET($BO$15,0,0,$B$14,1)) + $B$18/($B$19*$B$19*($DN264&lt;&gt;$DO264) + $B$19*($DN264=$DO264))</f>
        <v>3.7037037037037035E-4</v>
      </c>
      <c r="FP264" s="10" cm="1">
        <f t="array" aca="1" ref="FP264" ca="1">(1-$B$18)*SUMPRODUCT(OFFSET($BO$15,0,0,$B$14,1), 1*(_xlfn._xlws.FILTER(OFFSET($O$15,0,$DN264,$B$8,1),OFFSET($M$15,0,0,$B$8,1))=FP$13), 1*(_xlfn._xlws.FILTER(OFFSET($O$15,0,$DO264,$B$8,1),OFFSET($M$15,0,0,$B$8,1))=FP$14))   /   SUM(OFFSET($BO$15,0,0,$B$14,1)) + $B$18/($B$19*$B$19*($DN264&lt;&gt;$DO264) + $B$19*($DN264=$DO264))</f>
        <v>3.7037037037037035E-4</v>
      </c>
      <c r="FQ264" s="10" cm="1">
        <f t="array" aca="1" ref="FQ264" ca="1">(1-$B$18)*SUMPRODUCT(OFFSET($BO$15,0,0,$B$14,1), 1*(_xlfn._xlws.FILTER(OFFSET($O$15,0,$DN264,$B$8,1),OFFSET($M$15,0,0,$B$8,1))=FQ$13), 1*(_xlfn._xlws.FILTER(OFFSET($O$15,0,$DO264,$B$8,1),OFFSET($M$15,0,0,$B$8,1))=FQ$14))   /   SUM(OFFSET($BO$15,0,0,$B$14,1)) + $B$18/($B$19*$B$19*($DN264&lt;&gt;$DO264) + $B$19*($DN264=$DO264))</f>
        <v>3.7037037037037035E-4</v>
      </c>
      <c r="FR264" s="10" cm="1">
        <f t="array" aca="1" ref="FR264" ca="1">(1-$B$18)*SUMPRODUCT(OFFSET($BO$15,0,0,$B$14,1), 1*(_xlfn._xlws.FILTER(OFFSET($O$15,0,$DN264,$B$8,1),OFFSET($M$15,0,0,$B$8,1))=FR$13), 1*(_xlfn._xlws.FILTER(OFFSET($O$15,0,$DO264,$B$8,1),OFFSET($M$15,0,0,$B$8,1))=FR$14))   /   SUM(OFFSET($BO$15,0,0,$B$14,1)) + $B$18/($B$19*$B$19*($DN264&lt;&gt;$DO264) + $B$19*($DN264=$DO264))</f>
        <v>3.7037037037037035E-4</v>
      </c>
      <c r="FS264" s="10" cm="1">
        <f t="array" aca="1" ref="FS264" ca="1">(1-$B$18)*SUMPRODUCT(OFFSET($BO$15,0,0,$B$14,1), 1*(_xlfn._xlws.FILTER(OFFSET($O$15,0,$DN264,$B$8,1),OFFSET($M$15,0,0,$B$8,1))=FS$13), 1*(_xlfn._xlws.FILTER(OFFSET($O$15,0,$DO264,$B$8,1),OFFSET($M$15,0,0,$B$8,1))=FS$14))   /   SUM(OFFSET($BO$15,0,0,$B$14,1)) + $B$18/($B$19*$B$19*($DN264&lt;&gt;$DO264) + $B$19*($DN264=$DO264))</f>
        <v>3.7037037037037035E-4</v>
      </c>
      <c r="FT264" s="10" cm="1">
        <f t="array" aca="1" ref="FT264" ca="1">(1-$B$18)*SUMPRODUCT(OFFSET($BO$15,0,0,$B$14,1), 1*(_xlfn._xlws.FILTER(OFFSET($O$15,0,$DN264,$B$8,1),OFFSET($M$15,0,0,$B$8,1))=FT$13), 1*(_xlfn._xlws.FILTER(OFFSET($O$15,0,$DO264,$B$8,1),OFFSET($M$15,0,0,$B$8,1))=FT$14))   /   SUM(OFFSET($BO$15,0,0,$B$14,1)) + $B$18/($B$19*$B$19*($DN264&lt;&gt;$DO264) + $B$19*($DN264=$DO264))</f>
        <v>3.7037037037037035E-4</v>
      </c>
      <c r="FU264" s="10" cm="1">
        <f t="array" aca="1" ref="FU264" ca="1">(1-$B$18)*SUMPRODUCT(OFFSET($BO$15,0,0,$B$14,1), 1*(_xlfn._xlws.FILTER(OFFSET($O$15,0,$DN264,$B$8,1),OFFSET($M$15,0,0,$B$8,1))=FU$13), 1*(_xlfn._xlws.FILTER(OFFSET($O$15,0,$DO264,$B$8,1),OFFSET($M$15,0,0,$B$8,1))=FU$14))   /   SUM(OFFSET($BO$15,0,0,$B$14,1)) + $B$18/($B$19*$B$19*($DN264&lt;&gt;$DO264) + $B$19*($DN264=$DO264))</f>
        <v>3.7037037037037035E-4</v>
      </c>
      <c r="FV264" s="10" cm="1">
        <f t="array" aca="1" ref="FV264" ca="1">(1-$B$18)*SUMPRODUCT(OFFSET($BO$15,0,0,$B$14,1), 1*(_xlfn._xlws.FILTER(OFFSET($O$15,0,$DN264,$B$8,1),OFFSET($M$15,0,0,$B$8,1))=FV$13), 1*(_xlfn._xlws.FILTER(OFFSET($O$15,0,$DO264,$B$8,1),OFFSET($M$15,0,0,$B$8,1))=FV$14))   /   SUM(OFFSET($BO$15,0,0,$B$14,1)) + $B$18/($B$19*$B$19*($DN264&lt;&gt;$DO264) + $B$19*($DN264=$DO264))</f>
        <v>3.7037037037037035E-4</v>
      </c>
      <c r="FW264" s="10" cm="1">
        <f t="array" aca="1" ref="FW264" ca="1">(1-$B$18)*SUMPRODUCT(OFFSET($BO$15,0,0,$B$14,1), 1*(_xlfn._xlws.FILTER(OFFSET($O$15,0,$DN264,$B$8,1),OFFSET($M$15,0,0,$B$8,1))=FW$13), 1*(_xlfn._xlws.FILTER(OFFSET($O$15,0,$DO264,$B$8,1),OFFSET($M$15,0,0,$B$8,1))=FW$14))   /   SUM(OFFSET($BO$15,0,0,$B$14,1)) + $B$18/($B$19*$B$19*($DN264&lt;&gt;$DO264) + $B$19*($DN264=$DO264))</f>
        <v>3.7037037037037035E-4</v>
      </c>
      <c r="FX264" s="10" cm="1">
        <f t="array" aca="1" ref="FX264" ca="1">(1-$B$18)*SUMPRODUCT(OFFSET($BO$15,0,0,$B$14,1), 1*(_xlfn._xlws.FILTER(OFFSET($O$15,0,$DN264,$B$8,1),OFFSET($M$15,0,0,$B$8,1))=FX$13), 1*(_xlfn._xlws.FILTER(OFFSET($O$15,0,$DO264,$B$8,1),OFFSET($M$15,0,0,$B$8,1))=FX$14))   /   SUM(OFFSET($BO$15,0,0,$B$14,1)) + $B$18/($B$19*$B$19*($DN264&lt;&gt;$DO264) + $B$19*($DN264=$DO264))</f>
        <v>3.7037037037037035E-4</v>
      </c>
      <c r="FY264" s="10" cm="1">
        <f t="array" aca="1" ref="FY264" ca="1">(1-$B$18)*SUMPRODUCT(OFFSET($BO$15,0,0,$B$14,1), 1*(_xlfn._xlws.FILTER(OFFSET($O$15,0,$DN264,$B$8,1),OFFSET($M$15,0,0,$B$8,1))=FY$13), 1*(_xlfn._xlws.FILTER(OFFSET($O$15,0,$DO264,$B$8,1),OFFSET($M$15,0,0,$B$8,1))=FY$14))   /   SUM(OFFSET($BO$15,0,0,$B$14,1)) + $B$18/($B$19*$B$19*($DN264&lt;&gt;$DO264) + $B$19*($DN264=$DO264))</f>
        <v>3.7037037037037035E-4</v>
      </c>
      <c r="FZ264" s="10" cm="1">
        <f t="array" aca="1" ref="FZ264" ca="1">(1-$B$18)*SUMPRODUCT(OFFSET($BO$15,0,0,$B$14,1), 1*(_xlfn._xlws.FILTER(OFFSET($O$15,0,$DN264,$B$8,1),OFFSET($M$15,0,0,$B$8,1))=FZ$13), 1*(_xlfn._xlws.FILTER(OFFSET($O$15,0,$DO264,$B$8,1),OFFSET($M$15,0,0,$B$8,1))=FZ$14))   /   SUM(OFFSET($BO$15,0,0,$B$14,1)) + $B$18/($B$19*$B$19*($DN264&lt;&gt;$DO264) + $B$19*($DN264=$DO264))</f>
        <v>3.7037037037037035E-4</v>
      </c>
      <c r="GA264" s="10" cm="1">
        <f t="array" aca="1" ref="GA264" ca="1">(1-$B$18)*SUMPRODUCT(OFFSET($BO$15,0,0,$B$14,1), 1*(_xlfn._xlws.FILTER(OFFSET($O$15,0,$DN264,$B$8,1),OFFSET($M$15,0,0,$B$8,1))=GA$13), 1*(_xlfn._xlws.FILTER(OFFSET($O$15,0,$DO264,$B$8,1),OFFSET($M$15,0,0,$B$8,1))=GA$14))   /   SUM(OFFSET($BO$15,0,0,$B$14,1)) + $B$18/($B$19*$B$19*($DN264&lt;&gt;$DO264) + $B$19*($DN264=$DO264))</f>
        <v>3.7037037037037035E-4</v>
      </c>
    </row>
    <row r="265" spans="118:183" x14ac:dyDescent="0.2">
      <c r="DN265" cm="1">
        <f t="array" aca="1" ref="DN265" ca="1">INDEX(_xlfn.ANCHORARRAY($CP$15), 1 + INT((ROWS($DO$15:$DO265) - 1) / ROWS(_xlfn.ANCHORARRAY($CP$15))))</f>
        <v>14</v>
      </c>
      <c r="DO265" cm="1">
        <f t="array" aca="1" ref="DO265" ca="1">INDEX(_xlfn.ANCHORARRAY($CP$15),1+MOD(ROWS($DO$15:$DO265)-1,ROWS(_xlfn.ANCHORARRAY($CP$15))))</f>
        <v>3</v>
      </c>
      <c r="DP265" s="10" cm="1">
        <f t="array" aca="1" ref="DP265" ca="1">(1-$B$18)*SUMPRODUCT(OFFSET($BO$15,0,0,$B$14,1), 1*(_xlfn._xlws.FILTER(OFFSET($O$15,0,$DN265,$B$8,1),OFFSET($M$15,0,0,$B$8,1))=DP$13), 1*(_xlfn._xlws.FILTER(OFFSET($O$15,0,$DO265,$B$8,1),OFFSET($M$15,0,0,$B$8,1))=DP$14))   /   SUM(OFFSET($BO$15,0,0,$B$14,1)) + $B$18/($B$19*$B$19*($DN265&lt;&gt;$DO265) + $B$19*($DN265=$DO265))</f>
        <v>3.7037037037037035E-4</v>
      </c>
      <c r="DQ265" s="10" cm="1">
        <f t="array" aca="1" ref="DQ265" ca="1">(1-$B$18)*SUMPRODUCT(OFFSET($BO$15,0,0,$B$14,1), 1*(_xlfn._xlws.FILTER(OFFSET($O$15,0,$DN265,$B$8,1),OFFSET($M$15,0,0,$B$8,1))=DQ$13), 1*(_xlfn._xlws.FILTER(OFFSET($O$15,0,$DO265,$B$8,1),OFFSET($M$15,0,0,$B$8,1))=DQ$14))   /   SUM(OFFSET($BO$15,0,0,$B$14,1)) + $B$18/($B$19*$B$19*($DN265&lt;&gt;$DO265) + $B$19*($DN265=$DO265))</f>
        <v>3.7037037037037035E-4</v>
      </c>
      <c r="DR265" s="10" cm="1">
        <f t="array" aca="1" ref="DR265" ca="1">(1-$B$18)*SUMPRODUCT(OFFSET($BO$15,0,0,$B$14,1), 1*(_xlfn._xlws.FILTER(OFFSET($O$15,0,$DN265,$B$8,1),OFFSET($M$15,0,0,$B$8,1))=DR$13), 1*(_xlfn._xlws.FILTER(OFFSET($O$15,0,$DO265,$B$8,1),OFFSET($M$15,0,0,$B$8,1))=DR$14))   /   SUM(OFFSET($BO$15,0,0,$B$14,1)) + $B$18/($B$19*$B$19*($DN265&lt;&gt;$DO265) + $B$19*($DN265=$DO265))</f>
        <v>3.7037037037037035E-4</v>
      </c>
      <c r="DS265" s="10" cm="1">
        <f t="array" aca="1" ref="DS265" ca="1">(1-$B$18)*SUMPRODUCT(OFFSET($BO$15,0,0,$B$14,1), 1*(_xlfn._xlws.FILTER(OFFSET($O$15,0,$DN265,$B$8,1),OFFSET($M$15,0,0,$B$8,1))=DS$13), 1*(_xlfn._xlws.FILTER(OFFSET($O$15,0,$DO265,$B$8,1),OFFSET($M$15,0,0,$B$8,1))=DS$14))   /   SUM(OFFSET($BO$15,0,0,$B$14,1)) + $B$18/($B$19*$B$19*($DN265&lt;&gt;$DO265) + $B$19*($DN265=$DO265))</f>
        <v>3.7037037037037035E-4</v>
      </c>
      <c r="DT265" s="10" cm="1">
        <f t="array" aca="1" ref="DT265" ca="1">(1-$B$18)*SUMPRODUCT(OFFSET($BO$15,0,0,$B$14,1), 1*(_xlfn._xlws.FILTER(OFFSET($O$15,0,$DN265,$B$8,1),OFFSET($M$15,0,0,$B$8,1))=DT$13), 1*(_xlfn._xlws.FILTER(OFFSET($O$15,0,$DO265,$B$8,1),OFFSET($M$15,0,0,$B$8,1))=DT$14))   /   SUM(OFFSET($BO$15,0,0,$B$14,1)) + $B$18/($B$19*$B$19*($DN265&lt;&gt;$DO265) + $B$19*($DN265=$DO265))</f>
        <v>3.7037037037037035E-4</v>
      </c>
      <c r="DU265" s="10" cm="1">
        <f t="array" aca="1" ref="DU265" ca="1">(1-$B$18)*SUMPRODUCT(OFFSET($BO$15,0,0,$B$14,1), 1*(_xlfn._xlws.FILTER(OFFSET($O$15,0,$DN265,$B$8,1),OFFSET($M$15,0,0,$B$8,1))=DU$13), 1*(_xlfn._xlws.FILTER(OFFSET($O$15,0,$DO265,$B$8,1),OFFSET($M$15,0,0,$B$8,1))=DU$14))   /   SUM(OFFSET($BO$15,0,0,$B$14,1)) + $B$18/($B$19*$B$19*($DN265&lt;&gt;$DO265) + $B$19*($DN265=$DO265))</f>
        <v>3.7037037037037035E-4</v>
      </c>
      <c r="DV265" s="10" cm="1">
        <f t="array" aca="1" ref="DV265" ca="1">(1-$B$18)*SUMPRODUCT(OFFSET($BO$15,0,0,$B$14,1), 1*(_xlfn._xlws.FILTER(OFFSET($O$15,0,$DN265,$B$8,1),OFFSET($M$15,0,0,$B$8,1))=DV$13), 1*(_xlfn._xlws.FILTER(OFFSET($O$15,0,$DO265,$B$8,1),OFFSET($M$15,0,0,$B$8,1))=DV$14))   /   SUM(OFFSET($BO$15,0,0,$B$14,1)) + $B$18/($B$19*$B$19*($DN265&lt;&gt;$DO265) + $B$19*($DN265=$DO265))</f>
        <v>3.7037037037037035E-4</v>
      </c>
      <c r="DW265" s="10" cm="1">
        <f t="array" aca="1" ref="DW265" ca="1">(1-$B$18)*SUMPRODUCT(OFFSET($BO$15,0,0,$B$14,1), 1*(_xlfn._xlws.FILTER(OFFSET($O$15,0,$DN265,$B$8,1),OFFSET($M$15,0,0,$B$8,1))=DW$13), 1*(_xlfn._xlws.FILTER(OFFSET($O$15,0,$DO265,$B$8,1),OFFSET($M$15,0,0,$B$8,1))=DW$14))   /   SUM(OFFSET($BO$15,0,0,$B$14,1)) + $B$18/($B$19*$B$19*($DN265&lt;&gt;$DO265) + $B$19*($DN265=$DO265))</f>
        <v>3.7037037037037035E-4</v>
      </c>
      <c r="DX265" s="10" cm="1">
        <f t="array" aca="1" ref="DX265" ca="1">(1-$B$18)*SUMPRODUCT(OFFSET($BO$15,0,0,$B$14,1), 1*(_xlfn._xlws.FILTER(OFFSET($O$15,0,$DN265,$B$8,1),OFFSET($M$15,0,0,$B$8,1))=DX$13), 1*(_xlfn._xlws.FILTER(OFFSET($O$15,0,$DO265,$B$8,1),OFFSET($M$15,0,0,$B$8,1))=DX$14))   /   SUM(OFFSET($BO$15,0,0,$B$14,1)) + $B$18/($B$19*$B$19*($DN265&lt;&gt;$DO265) + $B$19*($DN265=$DO265))</f>
        <v>3.7037037037037035E-4</v>
      </c>
      <c r="DY265" s="10" cm="1">
        <f t="array" aca="1" ref="DY265" ca="1">(1-$B$18)*SUMPRODUCT(OFFSET($BO$15,0,0,$B$14,1), 1*(_xlfn._xlws.FILTER(OFFSET($O$15,0,$DN265,$B$8,1),OFFSET($M$15,0,0,$B$8,1))=DY$13), 1*(_xlfn._xlws.FILTER(OFFSET($O$15,0,$DO265,$B$8,1),OFFSET($M$15,0,0,$B$8,1))=DY$14))   /   SUM(OFFSET($BO$15,0,0,$B$14,1)) + $B$18/($B$19*$B$19*($DN265&lt;&gt;$DO265) + $B$19*($DN265=$DO265))</f>
        <v>3.7037037037037035E-4</v>
      </c>
      <c r="DZ265" s="10" cm="1">
        <f t="array" aca="1" ref="DZ265" ca="1">(1-$B$18)*SUMPRODUCT(OFFSET($BO$15,0,0,$B$14,1), 1*(_xlfn._xlws.FILTER(OFFSET($O$15,0,$DN265,$B$8,1),OFFSET($M$15,0,0,$B$8,1))=DZ$13), 1*(_xlfn._xlws.FILTER(OFFSET($O$15,0,$DO265,$B$8,1),OFFSET($M$15,0,0,$B$8,1))=DZ$14))   /   SUM(OFFSET($BO$15,0,0,$B$14,1)) + $B$18/($B$19*$B$19*($DN265&lt;&gt;$DO265) + $B$19*($DN265=$DO265))</f>
        <v>3.7037037037037035E-4</v>
      </c>
      <c r="EA265" s="10" cm="1">
        <f t="array" aca="1" ref="EA265" ca="1">(1-$B$18)*SUMPRODUCT(OFFSET($BO$15,0,0,$B$14,1), 1*(_xlfn._xlws.FILTER(OFFSET($O$15,0,$DN265,$B$8,1),OFFSET($M$15,0,0,$B$8,1))=EA$13), 1*(_xlfn._xlws.FILTER(OFFSET($O$15,0,$DO265,$B$8,1),OFFSET($M$15,0,0,$B$8,1))=EA$14))   /   SUM(OFFSET($BO$15,0,0,$B$14,1)) + $B$18/($B$19*$B$19*($DN265&lt;&gt;$DO265) + $B$19*($DN265=$DO265))</f>
        <v>3.7037037037037035E-4</v>
      </c>
      <c r="EB265" s="10" cm="1">
        <f t="array" aca="1" ref="EB265" ca="1">(1-$B$18)*SUMPRODUCT(OFFSET($BO$15,0,0,$B$14,1), 1*(_xlfn._xlws.FILTER(OFFSET($O$15,0,$DN265,$B$8,1),OFFSET($M$15,0,0,$B$8,1))=EB$13), 1*(_xlfn._xlws.FILTER(OFFSET($O$15,0,$DO265,$B$8,1),OFFSET($M$15,0,0,$B$8,1))=EB$14))   /   SUM(OFFSET($BO$15,0,0,$B$14,1)) + $B$18/($B$19*$B$19*($DN265&lt;&gt;$DO265) + $B$19*($DN265=$DO265))</f>
        <v>3.7037037037037035E-4</v>
      </c>
      <c r="EC265" s="10" cm="1">
        <f t="array" aca="1" ref="EC265" ca="1">(1-$B$18)*SUMPRODUCT(OFFSET($BO$15,0,0,$B$14,1), 1*(_xlfn._xlws.FILTER(OFFSET($O$15,0,$DN265,$B$8,1),OFFSET($M$15,0,0,$B$8,1))=EC$13), 1*(_xlfn._xlws.FILTER(OFFSET($O$15,0,$DO265,$B$8,1),OFFSET($M$15,0,0,$B$8,1))=EC$14))   /   SUM(OFFSET($BO$15,0,0,$B$14,1)) + $B$18/($B$19*$B$19*($DN265&lt;&gt;$DO265) + $B$19*($DN265=$DO265))</f>
        <v>3.7037037037037035E-4</v>
      </c>
      <c r="ED265" s="10" cm="1">
        <f t="array" aca="1" ref="ED265" ca="1">(1-$B$18)*SUMPRODUCT(OFFSET($BO$15,0,0,$B$14,1), 1*(_xlfn._xlws.FILTER(OFFSET($O$15,0,$DN265,$B$8,1),OFFSET($M$15,0,0,$B$8,1))=ED$13), 1*(_xlfn._xlws.FILTER(OFFSET($O$15,0,$DO265,$B$8,1),OFFSET($M$15,0,0,$B$8,1))=ED$14))   /   SUM(OFFSET($BO$15,0,0,$B$14,1)) + $B$18/($B$19*$B$19*($DN265&lt;&gt;$DO265) + $B$19*($DN265=$DO265))</f>
        <v>3.7037037037037035E-4</v>
      </c>
      <c r="EE265" s="10" cm="1">
        <f t="array" aca="1" ref="EE265" ca="1">(1-$B$18)*SUMPRODUCT(OFFSET($BO$15,0,0,$B$14,1), 1*(_xlfn._xlws.FILTER(OFFSET($O$15,0,$DN265,$B$8,1),OFFSET($M$15,0,0,$B$8,1))=EE$13), 1*(_xlfn._xlws.FILTER(OFFSET($O$15,0,$DO265,$B$8,1),OFFSET($M$15,0,0,$B$8,1))=EE$14))   /   SUM(OFFSET($BO$15,0,0,$B$14,1)) + $B$18/($B$19*$B$19*($DN265&lt;&gt;$DO265) + $B$19*($DN265=$DO265))</f>
        <v>3.7037037037037035E-4</v>
      </c>
      <c r="EF265" s="10" cm="1">
        <f t="array" aca="1" ref="EF265" ca="1">(1-$B$18)*SUMPRODUCT(OFFSET($BO$15,0,0,$B$14,1), 1*(_xlfn._xlws.FILTER(OFFSET($O$15,0,$DN265,$B$8,1),OFFSET($M$15,0,0,$B$8,1))=EF$13), 1*(_xlfn._xlws.FILTER(OFFSET($O$15,0,$DO265,$B$8,1),OFFSET($M$15,0,0,$B$8,1))=EF$14))   /   SUM(OFFSET($BO$15,0,0,$B$14,1)) + $B$18/($B$19*$B$19*($DN265&lt;&gt;$DO265) + $B$19*($DN265=$DO265))</f>
        <v>3.7037037037037035E-4</v>
      </c>
      <c r="EG265" s="10" cm="1">
        <f t="array" aca="1" ref="EG265" ca="1">(1-$B$18)*SUMPRODUCT(OFFSET($BO$15,0,0,$B$14,1), 1*(_xlfn._xlws.FILTER(OFFSET($O$15,0,$DN265,$B$8,1),OFFSET($M$15,0,0,$B$8,1))=EG$13), 1*(_xlfn._xlws.FILTER(OFFSET($O$15,0,$DO265,$B$8,1),OFFSET($M$15,0,0,$B$8,1))=EG$14))   /   SUM(OFFSET($BO$15,0,0,$B$14,1)) + $B$18/($B$19*$B$19*($DN265&lt;&gt;$DO265) + $B$19*($DN265=$DO265))</f>
        <v>3.7037037037037035E-4</v>
      </c>
      <c r="EH265" s="10" cm="1">
        <f t="array" aca="1" ref="EH265" ca="1">(1-$B$18)*SUMPRODUCT(OFFSET($BO$15,0,0,$B$14,1), 1*(_xlfn._xlws.FILTER(OFFSET($O$15,0,$DN265,$B$8,1),OFFSET($M$15,0,0,$B$8,1))=EH$13), 1*(_xlfn._xlws.FILTER(OFFSET($O$15,0,$DO265,$B$8,1),OFFSET($M$15,0,0,$B$8,1))=EH$14))   /   SUM(OFFSET($BO$15,0,0,$B$14,1)) + $B$18/($B$19*$B$19*($DN265&lt;&gt;$DO265) + $B$19*($DN265=$DO265))</f>
        <v>3.7037037037037035E-4</v>
      </c>
      <c r="EI265" s="10" cm="1">
        <f t="array" aca="1" ref="EI265" ca="1">(1-$B$18)*SUMPRODUCT(OFFSET($BO$15,0,0,$B$14,1), 1*(_xlfn._xlws.FILTER(OFFSET($O$15,0,$DN265,$B$8,1),OFFSET($M$15,0,0,$B$8,1))=EI$13), 1*(_xlfn._xlws.FILTER(OFFSET($O$15,0,$DO265,$B$8,1),OFFSET($M$15,0,0,$B$8,1))=EI$14))   /   SUM(OFFSET($BO$15,0,0,$B$14,1)) + $B$18/($B$19*$B$19*($DN265&lt;&gt;$DO265) + $B$19*($DN265=$DO265))</f>
        <v>3.7037037037037035E-4</v>
      </c>
      <c r="EJ265" s="10" cm="1">
        <f t="array" aca="1" ref="EJ265" ca="1">(1-$B$18)*SUMPRODUCT(OFFSET($BO$15,0,0,$B$14,1), 1*(_xlfn._xlws.FILTER(OFFSET($O$15,0,$DN265,$B$8,1),OFFSET($M$15,0,0,$B$8,1))=EJ$13), 1*(_xlfn._xlws.FILTER(OFFSET($O$15,0,$DO265,$B$8,1),OFFSET($M$15,0,0,$B$8,1))=EJ$14))   /   SUM(OFFSET($BO$15,0,0,$B$14,1)) + $B$18/($B$19*$B$19*($DN265&lt;&gt;$DO265) + $B$19*($DN265=$DO265))</f>
        <v>3.7037037037037035E-4</v>
      </c>
      <c r="EK265" s="10" cm="1">
        <f t="array" aca="1" ref="EK265" ca="1">(1-$B$18)*SUMPRODUCT(OFFSET($BO$15,0,0,$B$14,1), 1*(_xlfn._xlws.FILTER(OFFSET($O$15,0,$DN265,$B$8,1),OFFSET($M$15,0,0,$B$8,1))=EK$13), 1*(_xlfn._xlws.FILTER(OFFSET($O$15,0,$DO265,$B$8,1),OFFSET($M$15,0,0,$B$8,1))=EK$14))   /   SUM(OFFSET($BO$15,0,0,$B$14,1)) + $B$18/($B$19*$B$19*($DN265&lt;&gt;$DO265) + $B$19*($DN265=$DO265))</f>
        <v>3.7037037037037035E-4</v>
      </c>
      <c r="EL265" s="10" cm="1">
        <f t="array" aca="1" ref="EL265" ca="1">(1-$B$18)*SUMPRODUCT(OFFSET($BO$15,0,0,$B$14,1), 1*(_xlfn._xlws.FILTER(OFFSET($O$15,0,$DN265,$B$8,1),OFFSET($M$15,0,0,$B$8,1))=EL$13), 1*(_xlfn._xlws.FILTER(OFFSET($O$15,0,$DO265,$B$8,1),OFFSET($M$15,0,0,$B$8,1))=EL$14))   /   SUM(OFFSET($BO$15,0,0,$B$14,1)) + $B$18/($B$19*$B$19*($DN265&lt;&gt;$DO265) + $B$19*($DN265=$DO265))</f>
        <v>0.97037037037037033</v>
      </c>
      <c r="EM265" s="10" cm="1">
        <f t="array" aca="1" ref="EM265" ca="1">(1-$B$18)*SUMPRODUCT(OFFSET($BO$15,0,0,$B$14,1), 1*(_xlfn._xlws.FILTER(OFFSET($O$15,0,$DN265,$B$8,1),OFFSET($M$15,0,0,$B$8,1))=EM$13), 1*(_xlfn._xlws.FILTER(OFFSET($O$15,0,$DO265,$B$8,1),OFFSET($M$15,0,0,$B$8,1))=EM$14))   /   SUM(OFFSET($BO$15,0,0,$B$14,1)) + $B$18/($B$19*$B$19*($DN265&lt;&gt;$DO265) + $B$19*($DN265=$DO265))</f>
        <v>3.7037037037037035E-4</v>
      </c>
      <c r="EN265" s="10" cm="1">
        <f t="array" aca="1" ref="EN265" ca="1">(1-$B$18)*SUMPRODUCT(OFFSET($BO$15,0,0,$B$14,1), 1*(_xlfn._xlws.FILTER(OFFSET($O$15,0,$DN265,$B$8,1),OFFSET($M$15,0,0,$B$8,1))=EN$13), 1*(_xlfn._xlws.FILTER(OFFSET($O$15,0,$DO265,$B$8,1),OFFSET($M$15,0,0,$B$8,1))=EN$14))   /   SUM(OFFSET($BO$15,0,0,$B$14,1)) + $B$18/($B$19*$B$19*($DN265&lt;&gt;$DO265) + $B$19*($DN265=$DO265))</f>
        <v>3.7037037037037035E-4</v>
      </c>
      <c r="EO265" s="10" cm="1">
        <f t="array" aca="1" ref="EO265" ca="1">(1-$B$18)*SUMPRODUCT(OFFSET($BO$15,0,0,$B$14,1), 1*(_xlfn._xlws.FILTER(OFFSET($O$15,0,$DN265,$B$8,1),OFFSET($M$15,0,0,$B$8,1))=EO$13), 1*(_xlfn._xlws.FILTER(OFFSET($O$15,0,$DO265,$B$8,1),OFFSET($M$15,0,0,$B$8,1))=EO$14))   /   SUM(OFFSET($BO$15,0,0,$B$14,1)) + $B$18/($B$19*$B$19*($DN265&lt;&gt;$DO265) + $B$19*($DN265=$DO265))</f>
        <v>3.7037037037037035E-4</v>
      </c>
      <c r="EP265" s="10" cm="1">
        <f t="array" aca="1" ref="EP265" ca="1">(1-$B$18)*SUMPRODUCT(OFFSET($BO$15,0,0,$B$14,1), 1*(_xlfn._xlws.FILTER(OFFSET($O$15,0,$DN265,$B$8,1),OFFSET($M$15,0,0,$B$8,1))=EP$13), 1*(_xlfn._xlws.FILTER(OFFSET($O$15,0,$DO265,$B$8,1),OFFSET($M$15,0,0,$B$8,1))=EP$14))   /   SUM(OFFSET($BO$15,0,0,$B$14,1)) + $B$18/($B$19*$B$19*($DN265&lt;&gt;$DO265) + $B$19*($DN265=$DO265))</f>
        <v>3.7037037037037035E-4</v>
      </c>
      <c r="EQ265" s="10" cm="1">
        <f t="array" aca="1" ref="EQ265" ca="1">(1-$B$18)*SUMPRODUCT(OFFSET($BO$15,0,0,$B$14,1), 1*(_xlfn._xlws.FILTER(OFFSET($O$15,0,$DN265,$B$8,1),OFFSET($M$15,0,0,$B$8,1))=EQ$13), 1*(_xlfn._xlws.FILTER(OFFSET($O$15,0,$DO265,$B$8,1),OFFSET($M$15,0,0,$B$8,1))=EQ$14))   /   SUM(OFFSET($BO$15,0,0,$B$14,1)) + $B$18/($B$19*$B$19*($DN265&lt;&gt;$DO265) + $B$19*($DN265=$DO265))</f>
        <v>3.7037037037037035E-4</v>
      </c>
      <c r="ER265" s="10" cm="1">
        <f t="array" aca="1" ref="ER265" ca="1">(1-$B$18)*SUMPRODUCT(OFFSET($BO$15,0,0,$B$14,1), 1*(_xlfn._xlws.FILTER(OFFSET($O$15,0,$DN265,$B$8,1),OFFSET($M$15,0,0,$B$8,1))=ER$13), 1*(_xlfn._xlws.FILTER(OFFSET($O$15,0,$DO265,$B$8,1),OFFSET($M$15,0,0,$B$8,1))=ER$14))   /   SUM(OFFSET($BO$15,0,0,$B$14,1)) + $B$18/($B$19*$B$19*($DN265&lt;&gt;$DO265) + $B$19*($DN265=$DO265))</f>
        <v>3.7037037037037035E-4</v>
      </c>
      <c r="ES265" s="10" cm="1">
        <f t="array" aca="1" ref="ES265" ca="1">(1-$B$18)*SUMPRODUCT(OFFSET($BO$15,0,0,$B$14,1), 1*(_xlfn._xlws.FILTER(OFFSET($O$15,0,$DN265,$B$8,1),OFFSET($M$15,0,0,$B$8,1))=ES$13), 1*(_xlfn._xlws.FILTER(OFFSET($O$15,0,$DO265,$B$8,1),OFFSET($M$15,0,0,$B$8,1))=ES$14))   /   SUM(OFFSET($BO$15,0,0,$B$14,1)) + $B$18/($B$19*$B$19*($DN265&lt;&gt;$DO265) + $B$19*($DN265=$DO265))</f>
        <v>3.7037037037037035E-4</v>
      </c>
      <c r="ET265" s="10" cm="1">
        <f t="array" aca="1" ref="ET265" ca="1">(1-$B$18)*SUMPRODUCT(OFFSET($BO$15,0,0,$B$14,1), 1*(_xlfn._xlws.FILTER(OFFSET($O$15,0,$DN265,$B$8,1),OFFSET($M$15,0,0,$B$8,1))=ET$13), 1*(_xlfn._xlws.FILTER(OFFSET($O$15,0,$DO265,$B$8,1),OFFSET($M$15,0,0,$B$8,1))=ET$14))   /   SUM(OFFSET($BO$15,0,0,$B$14,1)) + $B$18/($B$19*$B$19*($DN265&lt;&gt;$DO265) + $B$19*($DN265=$DO265))</f>
        <v>3.7037037037037035E-4</v>
      </c>
      <c r="EU265" s="10" cm="1">
        <f t="array" aca="1" ref="EU265" ca="1">(1-$B$18)*SUMPRODUCT(OFFSET($BO$15,0,0,$B$14,1), 1*(_xlfn._xlws.FILTER(OFFSET($O$15,0,$DN265,$B$8,1),OFFSET($M$15,0,0,$B$8,1))=EU$13), 1*(_xlfn._xlws.FILTER(OFFSET($O$15,0,$DO265,$B$8,1),OFFSET($M$15,0,0,$B$8,1))=EU$14))   /   SUM(OFFSET($BO$15,0,0,$B$14,1)) + $B$18/($B$19*$B$19*($DN265&lt;&gt;$DO265) + $B$19*($DN265=$DO265))</f>
        <v>3.7037037037037035E-4</v>
      </c>
      <c r="EV265" s="10" cm="1">
        <f t="array" aca="1" ref="EV265" ca="1">(1-$B$18)*SUMPRODUCT(OFFSET($BO$15,0,0,$B$14,1), 1*(_xlfn._xlws.FILTER(OFFSET($O$15,0,$DN265,$B$8,1),OFFSET($M$15,0,0,$B$8,1))=EV$13), 1*(_xlfn._xlws.FILTER(OFFSET($O$15,0,$DO265,$B$8,1),OFFSET($M$15,0,0,$B$8,1))=EV$14))   /   SUM(OFFSET($BO$15,0,0,$B$14,1)) + $B$18/($B$19*$B$19*($DN265&lt;&gt;$DO265) + $B$19*($DN265=$DO265))</f>
        <v>3.7037037037037035E-4</v>
      </c>
      <c r="EW265" s="10" cm="1">
        <f t="array" aca="1" ref="EW265" ca="1">(1-$B$18)*SUMPRODUCT(OFFSET($BO$15,0,0,$B$14,1), 1*(_xlfn._xlws.FILTER(OFFSET($O$15,0,$DN265,$B$8,1),OFFSET($M$15,0,0,$B$8,1))=EW$13), 1*(_xlfn._xlws.FILTER(OFFSET($O$15,0,$DO265,$B$8,1),OFFSET($M$15,0,0,$B$8,1))=EW$14))   /   SUM(OFFSET($BO$15,0,0,$B$14,1)) + $B$18/($B$19*$B$19*($DN265&lt;&gt;$DO265) + $B$19*($DN265=$DO265))</f>
        <v>3.7037037037037035E-4</v>
      </c>
      <c r="EX265" s="10" cm="1">
        <f t="array" aca="1" ref="EX265" ca="1">(1-$B$18)*SUMPRODUCT(OFFSET($BO$15,0,0,$B$14,1), 1*(_xlfn._xlws.FILTER(OFFSET($O$15,0,$DN265,$B$8,1),OFFSET($M$15,0,0,$B$8,1))=EX$13), 1*(_xlfn._xlws.FILTER(OFFSET($O$15,0,$DO265,$B$8,1),OFFSET($M$15,0,0,$B$8,1))=EX$14))   /   SUM(OFFSET($BO$15,0,0,$B$14,1)) + $B$18/($B$19*$B$19*($DN265&lt;&gt;$DO265) + $B$19*($DN265=$DO265))</f>
        <v>3.7037037037037035E-4</v>
      </c>
      <c r="EY265" s="10" cm="1">
        <f t="array" aca="1" ref="EY265" ca="1">(1-$B$18)*SUMPRODUCT(OFFSET($BO$15,0,0,$B$14,1), 1*(_xlfn._xlws.FILTER(OFFSET($O$15,0,$DN265,$B$8,1),OFFSET($M$15,0,0,$B$8,1))=EY$13), 1*(_xlfn._xlws.FILTER(OFFSET($O$15,0,$DO265,$B$8,1),OFFSET($M$15,0,0,$B$8,1))=EY$14))   /   SUM(OFFSET($BO$15,0,0,$B$14,1)) + $B$18/($B$19*$B$19*($DN265&lt;&gt;$DO265) + $B$19*($DN265=$DO265))</f>
        <v>3.7037037037037035E-4</v>
      </c>
      <c r="EZ265" s="10" cm="1">
        <f t="array" aca="1" ref="EZ265" ca="1">(1-$B$18)*SUMPRODUCT(OFFSET($BO$15,0,0,$B$14,1), 1*(_xlfn._xlws.FILTER(OFFSET($O$15,0,$DN265,$B$8,1),OFFSET($M$15,0,0,$B$8,1))=EZ$13), 1*(_xlfn._xlws.FILTER(OFFSET($O$15,0,$DO265,$B$8,1),OFFSET($M$15,0,0,$B$8,1))=EZ$14))   /   SUM(OFFSET($BO$15,0,0,$B$14,1)) + $B$18/($B$19*$B$19*($DN265&lt;&gt;$DO265) + $B$19*($DN265=$DO265))</f>
        <v>3.7037037037037035E-4</v>
      </c>
      <c r="FA265" s="10" cm="1">
        <f t="array" aca="1" ref="FA265" ca="1">(1-$B$18)*SUMPRODUCT(OFFSET($BO$15,0,0,$B$14,1), 1*(_xlfn._xlws.FILTER(OFFSET($O$15,0,$DN265,$B$8,1),OFFSET($M$15,0,0,$B$8,1))=FA$13), 1*(_xlfn._xlws.FILTER(OFFSET($O$15,0,$DO265,$B$8,1),OFFSET($M$15,0,0,$B$8,1))=FA$14))   /   SUM(OFFSET($BO$15,0,0,$B$14,1)) + $B$18/($B$19*$B$19*($DN265&lt;&gt;$DO265) + $B$19*($DN265=$DO265))</f>
        <v>3.7037037037037035E-4</v>
      </c>
      <c r="FB265" s="10" cm="1">
        <f t="array" aca="1" ref="FB265" ca="1">(1-$B$18)*SUMPRODUCT(OFFSET($BO$15,0,0,$B$14,1), 1*(_xlfn._xlws.FILTER(OFFSET($O$15,0,$DN265,$B$8,1),OFFSET($M$15,0,0,$B$8,1))=FB$13), 1*(_xlfn._xlws.FILTER(OFFSET($O$15,0,$DO265,$B$8,1),OFFSET($M$15,0,0,$B$8,1))=FB$14))   /   SUM(OFFSET($BO$15,0,0,$B$14,1)) + $B$18/($B$19*$B$19*($DN265&lt;&gt;$DO265) + $B$19*($DN265=$DO265))</f>
        <v>3.7037037037037035E-4</v>
      </c>
      <c r="FC265" s="10" cm="1">
        <f t="array" aca="1" ref="FC265" ca="1">(1-$B$18)*SUMPRODUCT(OFFSET($BO$15,0,0,$B$14,1), 1*(_xlfn._xlws.FILTER(OFFSET($O$15,0,$DN265,$B$8,1),OFFSET($M$15,0,0,$B$8,1))=FC$13), 1*(_xlfn._xlws.FILTER(OFFSET($O$15,0,$DO265,$B$8,1),OFFSET($M$15,0,0,$B$8,1))=FC$14))   /   SUM(OFFSET($BO$15,0,0,$B$14,1)) + $B$18/($B$19*$B$19*($DN265&lt;&gt;$DO265) + $B$19*($DN265=$DO265))</f>
        <v>3.7037037037037035E-4</v>
      </c>
      <c r="FD265" s="10" cm="1">
        <f t="array" aca="1" ref="FD265" ca="1">(1-$B$18)*SUMPRODUCT(OFFSET($BO$15,0,0,$B$14,1), 1*(_xlfn._xlws.FILTER(OFFSET($O$15,0,$DN265,$B$8,1),OFFSET($M$15,0,0,$B$8,1))=FD$13), 1*(_xlfn._xlws.FILTER(OFFSET($O$15,0,$DO265,$B$8,1),OFFSET($M$15,0,0,$B$8,1))=FD$14))   /   SUM(OFFSET($BO$15,0,0,$B$14,1)) + $B$18/($B$19*$B$19*($DN265&lt;&gt;$DO265) + $B$19*($DN265=$DO265))</f>
        <v>3.7037037037037035E-4</v>
      </c>
      <c r="FE265" s="10" cm="1">
        <f t="array" aca="1" ref="FE265" ca="1">(1-$B$18)*SUMPRODUCT(OFFSET($BO$15,0,0,$B$14,1), 1*(_xlfn._xlws.FILTER(OFFSET($O$15,0,$DN265,$B$8,1),OFFSET($M$15,0,0,$B$8,1))=FE$13), 1*(_xlfn._xlws.FILTER(OFFSET($O$15,0,$DO265,$B$8,1),OFFSET($M$15,0,0,$B$8,1))=FE$14))   /   SUM(OFFSET($BO$15,0,0,$B$14,1)) + $B$18/($B$19*$B$19*($DN265&lt;&gt;$DO265) + $B$19*($DN265=$DO265))</f>
        <v>3.7037037037037035E-4</v>
      </c>
      <c r="FF265" s="10" cm="1">
        <f t="array" aca="1" ref="FF265" ca="1">(1-$B$18)*SUMPRODUCT(OFFSET($BO$15,0,0,$B$14,1), 1*(_xlfn._xlws.FILTER(OFFSET($O$15,0,$DN265,$B$8,1),OFFSET($M$15,0,0,$B$8,1))=FF$13), 1*(_xlfn._xlws.FILTER(OFFSET($O$15,0,$DO265,$B$8,1),OFFSET($M$15,0,0,$B$8,1))=FF$14))   /   SUM(OFFSET($BO$15,0,0,$B$14,1)) + $B$18/($B$19*$B$19*($DN265&lt;&gt;$DO265) + $B$19*($DN265=$DO265))</f>
        <v>3.7037037037037035E-4</v>
      </c>
      <c r="FG265" s="10" cm="1">
        <f t="array" aca="1" ref="FG265" ca="1">(1-$B$18)*SUMPRODUCT(OFFSET($BO$15,0,0,$B$14,1), 1*(_xlfn._xlws.FILTER(OFFSET($O$15,0,$DN265,$B$8,1),OFFSET($M$15,0,0,$B$8,1))=FG$13), 1*(_xlfn._xlws.FILTER(OFFSET($O$15,0,$DO265,$B$8,1),OFFSET($M$15,0,0,$B$8,1))=FG$14))   /   SUM(OFFSET($BO$15,0,0,$B$14,1)) + $B$18/($B$19*$B$19*($DN265&lt;&gt;$DO265) + $B$19*($DN265=$DO265))</f>
        <v>3.7037037037037035E-4</v>
      </c>
      <c r="FH265" s="10" cm="1">
        <f t="array" aca="1" ref="FH265" ca="1">(1-$B$18)*SUMPRODUCT(OFFSET($BO$15,0,0,$B$14,1), 1*(_xlfn._xlws.FILTER(OFFSET($O$15,0,$DN265,$B$8,1),OFFSET($M$15,0,0,$B$8,1))=FH$13), 1*(_xlfn._xlws.FILTER(OFFSET($O$15,0,$DO265,$B$8,1),OFFSET($M$15,0,0,$B$8,1))=FH$14))   /   SUM(OFFSET($BO$15,0,0,$B$14,1)) + $B$18/($B$19*$B$19*($DN265&lt;&gt;$DO265) + $B$19*($DN265=$DO265))</f>
        <v>3.7037037037037035E-4</v>
      </c>
      <c r="FI265" s="10" cm="1">
        <f t="array" aca="1" ref="FI265" ca="1">(1-$B$18)*SUMPRODUCT(OFFSET($BO$15,0,0,$B$14,1), 1*(_xlfn._xlws.FILTER(OFFSET($O$15,0,$DN265,$B$8,1),OFFSET($M$15,0,0,$B$8,1))=FI$13), 1*(_xlfn._xlws.FILTER(OFFSET($O$15,0,$DO265,$B$8,1),OFFSET($M$15,0,0,$B$8,1))=FI$14))   /   SUM(OFFSET($BO$15,0,0,$B$14,1)) + $B$18/($B$19*$B$19*($DN265&lt;&gt;$DO265) + $B$19*($DN265=$DO265))</f>
        <v>3.7037037037037035E-4</v>
      </c>
      <c r="FJ265" s="10" cm="1">
        <f t="array" aca="1" ref="FJ265" ca="1">(1-$B$18)*SUMPRODUCT(OFFSET($BO$15,0,0,$B$14,1), 1*(_xlfn._xlws.FILTER(OFFSET($O$15,0,$DN265,$B$8,1),OFFSET($M$15,0,0,$B$8,1))=FJ$13), 1*(_xlfn._xlws.FILTER(OFFSET($O$15,0,$DO265,$B$8,1),OFFSET($M$15,0,0,$B$8,1))=FJ$14))   /   SUM(OFFSET($BO$15,0,0,$B$14,1)) + $B$18/($B$19*$B$19*($DN265&lt;&gt;$DO265) + $B$19*($DN265=$DO265))</f>
        <v>3.7037037037037035E-4</v>
      </c>
      <c r="FK265" s="10" cm="1">
        <f t="array" aca="1" ref="FK265" ca="1">(1-$B$18)*SUMPRODUCT(OFFSET($BO$15,0,0,$B$14,1), 1*(_xlfn._xlws.FILTER(OFFSET($O$15,0,$DN265,$B$8,1),OFFSET($M$15,0,0,$B$8,1))=FK$13), 1*(_xlfn._xlws.FILTER(OFFSET($O$15,0,$DO265,$B$8,1),OFFSET($M$15,0,0,$B$8,1))=FK$14))   /   SUM(OFFSET($BO$15,0,0,$B$14,1)) + $B$18/($B$19*$B$19*($DN265&lt;&gt;$DO265) + $B$19*($DN265=$DO265))</f>
        <v>3.7037037037037035E-4</v>
      </c>
      <c r="FL265" s="10" cm="1">
        <f t="array" aca="1" ref="FL265" ca="1">(1-$B$18)*SUMPRODUCT(OFFSET($BO$15,0,0,$B$14,1), 1*(_xlfn._xlws.FILTER(OFFSET($O$15,0,$DN265,$B$8,1),OFFSET($M$15,0,0,$B$8,1))=FL$13), 1*(_xlfn._xlws.FILTER(OFFSET($O$15,0,$DO265,$B$8,1),OFFSET($M$15,0,0,$B$8,1))=FL$14))   /   SUM(OFFSET($BO$15,0,0,$B$14,1)) + $B$18/($B$19*$B$19*($DN265&lt;&gt;$DO265) + $B$19*($DN265=$DO265))</f>
        <v>3.7037037037037035E-4</v>
      </c>
      <c r="FM265" s="10" cm="1">
        <f t="array" aca="1" ref="FM265" ca="1">(1-$B$18)*SUMPRODUCT(OFFSET($BO$15,0,0,$B$14,1), 1*(_xlfn._xlws.FILTER(OFFSET($O$15,0,$DN265,$B$8,1),OFFSET($M$15,0,0,$B$8,1))=FM$13), 1*(_xlfn._xlws.FILTER(OFFSET($O$15,0,$DO265,$B$8,1),OFFSET($M$15,0,0,$B$8,1))=FM$14))   /   SUM(OFFSET($BO$15,0,0,$B$14,1)) + $B$18/($B$19*$B$19*($DN265&lt;&gt;$DO265) + $B$19*($DN265=$DO265))</f>
        <v>3.7037037037037035E-4</v>
      </c>
      <c r="FN265" s="10" cm="1">
        <f t="array" aca="1" ref="FN265" ca="1">(1-$B$18)*SUMPRODUCT(OFFSET($BO$15,0,0,$B$14,1), 1*(_xlfn._xlws.FILTER(OFFSET($O$15,0,$DN265,$B$8,1),OFFSET($M$15,0,0,$B$8,1))=FN$13), 1*(_xlfn._xlws.FILTER(OFFSET($O$15,0,$DO265,$B$8,1),OFFSET($M$15,0,0,$B$8,1))=FN$14))   /   SUM(OFFSET($BO$15,0,0,$B$14,1)) + $B$18/($B$19*$B$19*($DN265&lt;&gt;$DO265) + $B$19*($DN265=$DO265))</f>
        <v>3.7037037037037035E-4</v>
      </c>
      <c r="FO265" s="10" cm="1">
        <f t="array" aca="1" ref="FO265" ca="1">(1-$B$18)*SUMPRODUCT(OFFSET($BO$15,0,0,$B$14,1), 1*(_xlfn._xlws.FILTER(OFFSET($O$15,0,$DN265,$B$8,1),OFFSET($M$15,0,0,$B$8,1))=FO$13), 1*(_xlfn._xlws.FILTER(OFFSET($O$15,0,$DO265,$B$8,1),OFFSET($M$15,0,0,$B$8,1))=FO$14))   /   SUM(OFFSET($BO$15,0,0,$B$14,1)) + $B$18/($B$19*$B$19*($DN265&lt;&gt;$DO265) + $B$19*($DN265=$DO265))</f>
        <v>3.7037037037037035E-4</v>
      </c>
      <c r="FP265" s="10" cm="1">
        <f t="array" aca="1" ref="FP265" ca="1">(1-$B$18)*SUMPRODUCT(OFFSET($BO$15,0,0,$B$14,1), 1*(_xlfn._xlws.FILTER(OFFSET($O$15,0,$DN265,$B$8,1),OFFSET($M$15,0,0,$B$8,1))=FP$13), 1*(_xlfn._xlws.FILTER(OFFSET($O$15,0,$DO265,$B$8,1),OFFSET($M$15,0,0,$B$8,1))=FP$14))   /   SUM(OFFSET($BO$15,0,0,$B$14,1)) + $B$18/($B$19*$B$19*($DN265&lt;&gt;$DO265) + $B$19*($DN265=$DO265))</f>
        <v>3.7037037037037035E-4</v>
      </c>
      <c r="FQ265" s="10" cm="1">
        <f t="array" aca="1" ref="FQ265" ca="1">(1-$B$18)*SUMPRODUCT(OFFSET($BO$15,0,0,$B$14,1), 1*(_xlfn._xlws.FILTER(OFFSET($O$15,0,$DN265,$B$8,1),OFFSET($M$15,0,0,$B$8,1))=FQ$13), 1*(_xlfn._xlws.FILTER(OFFSET($O$15,0,$DO265,$B$8,1),OFFSET($M$15,0,0,$B$8,1))=FQ$14))   /   SUM(OFFSET($BO$15,0,0,$B$14,1)) + $B$18/($B$19*$B$19*($DN265&lt;&gt;$DO265) + $B$19*($DN265=$DO265))</f>
        <v>3.7037037037037035E-4</v>
      </c>
      <c r="FR265" s="10" cm="1">
        <f t="array" aca="1" ref="FR265" ca="1">(1-$B$18)*SUMPRODUCT(OFFSET($BO$15,0,0,$B$14,1), 1*(_xlfn._xlws.FILTER(OFFSET($O$15,0,$DN265,$B$8,1),OFFSET($M$15,0,0,$B$8,1))=FR$13), 1*(_xlfn._xlws.FILTER(OFFSET($O$15,0,$DO265,$B$8,1),OFFSET($M$15,0,0,$B$8,1))=FR$14))   /   SUM(OFFSET($BO$15,0,0,$B$14,1)) + $B$18/($B$19*$B$19*($DN265&lt;&gt;$DO265) + $B$19*($DN265=$DO265))</f>
        <v>3.7037037037037035E-4</v>
      </c>
      <c r="FS265" s="10" cm="1">
        <f t="array" aca="1" ref="FS265" ca="1">(1-$B$18)*SUMPRODUCT(OFFSET($BO$15,0,0,$B$14,1), 1*(_xlfn._xlws.FILTER(OFFSET($O$15,0,$DN265,$B$8,1),OFFSET($M$15,0,0,$B$8,1))=FS$13), 1*(_xlfn._xlws.FILTER(OFFSET($O$15,0,$DO265,$B$8,1),OFFSET($M$15,0,0,$B$8,1))=FS$14))   /   SUM(OFFSET($BO$15,0,0,$B$14,1)) + $B$18/($B$19*$B$19*($DN265&lt;&gt;$DO265) + $B$19*($DN265=$DO265))</f>
        <v>3.7037037037037035E-4</v>
      </c>
      <c r="FT265" s="10" cm="1">
        <f t="array" aca="1" ref="FT265" ca="1">(1-$B$18)*SUMPRODUCT(OFFSET($BO$15,0,0,$B$14,1), 1*(_xlfn._xlws.FILTER(OFFSET($O$15,0,$DN265,$B$8,1),OFFSET($M$15,0,0,$B$8,1))=FT$13), 1*(_xlfn._xlws.FILTER(OFFSET($O$15,0,$DO265,$B$8,1),OFFSET($M$15,0,0,$B$8,1))=FT$14))   /   SUM(OFFSET($BO$15,0,0,$B$14,1)) + $B$18/($B$19*$B$19*($DN265&lt;&gt;$DO265) + $B$19*($DN265=$DO265))</f>
        <v>3.7037037037037035E-4</v>
      </c>
      <c r="FU265" s="10" cm="1">
        <f t="array" aca="1" ref="FU265" ca="1">(1-$B$18)*SUMPRODUCT(OFFSET($BO$15,0,0,$B$14,1), 1*(_xlfn._xlws.FILTER(OFFSET($O$15,0,$DN265,$B$8,1),OFFSET($M$15,0,0,$B$8,1))=FU$13), 1*(_xlfn._xlws.FILTER(OFFSET($O$15,0,$DO265,$B$8,1),OFFSET($M$15,0,0,$B$8,1))=FU$14))   /   SUM(OFFSET($BO$15,0,0,$B$14,1)) + $B$18/($B$19*$B$19*($DN265&lt;&gt;$DO265) + $B$19*($DN265=$DO265))</f>
        <v>3.7037037037037035E-4</v>
      </c>
      <c r="FV265" s="10" cm="1">
        <f t="array" aca="1" ref="FV265" ca="1">(1-$B$18)*SUMPRODUCT(OFFSET($BO$15,0,0,$B$14,1), 1*(_xlfn._xlws.FILTER(OFFSET($O$15,0,$DN265,$B$8,1),OFFSET($M$15,0,0,$B$8,1))=FV$13), 1*(_xlfn._xlws.FILTER(OFFSET($O$15,0,$DO265,$B$8,1),OFFSET($M$15,0,0,$B$8,1))=FV$14))   /   SUM(OFFSET($BO$15,0,0,$B$14,1)) + $B$18/($B$19*$B$19*($DN265&lt;&gt;$DO265) + $B$19*($DN265=$DO265))</f>
        <v>3.7037037037037035E-4</v>
      </c>
      <c r="FW265" s="10" cm="1">
        <f t="array" aca="1" ref="FW265" ca="1">(1-$B$18)*SUMPRODUCT(OFFSET($BO$15,0,0,$B$14,1), 1*(_xlfn._xlws.FILTER(OFFSET($O$15,0,$DN265,$B$8,1),OFFSET($M$15,0,0,$B$8,1))=FW$13), 1*(_xlfn._xlws.FILTER(OFFSET($O$15,0,$DO265,$B$8,1),OFFSET($M$15,0,0,$B$8,1))=FW$14))   /   SUM(OFFSET($BO$15,0,0,$B$14,1)) + $B$18/($B$19*$B$19*($DN265&lt;&gt;$DO265) + $B$19*($DN265=$DO265))</f>
        <v>3.7037037037037035E-4</v>
      </c>
      <c r="FX265" s="10" cm="1">
        <f t="array" aca="1" ref="FX265" ca="1">(1-$B$18)*SUMPRODUCT(OFFSET($BO$15,0,0,$B$14,1), 1*(_xlfn._xlws.FILTER(OFFSET($O$15,0,$DN265,$B$8,1),OFFSET($M$15,0,0,$B$8,1))=FX$13), 1*(_xlfn._xlws.FILTER(OFFSET($O$15,0,$DO265,$B$8,1),OFFSET($M$15,0,0,$B$8,1))=FX$14))   /   SUM(OFFSET($BO$15,0,0,$B$14,1)) + $B$18/($B$19*$B$19*($DN265&lt;&gt;$DO265) + $B$19*($DN265=$DO265))</f>
        <v>3.7037037037037035E-4</v>
      </c>
      <c r="FY265" s="10" cm="1">
        <f t="array" aca="1" ref="FY265" ca="1">(1-$B$18)*SUMPRODUCT(OFFSET($BO$15,0,0,$B$14,1), 1*(_xlfn._xlws.FILTER(OFFSET($O$15,0,$DN265,$B$8,1),OFFSET($M$15,0,0,$B$8,1))=FY$13), 1*(_xlfn._xlws.FILTER(OFFSET($O$15,0,$DO265,$B$8,1),OFFSET($M$15,0,0,$B$8,1))=FY$14))   /   SUM(OFFSET($BO$15,0,0,$B$14,1)) + $B$18/($B$19*$B$19*($DN265&lt;&gt;$DO265) + $B$19*($DN265=$DO265))</f>
        <v>3.7037037037037035E-4</v>
      </c>
      <c r="FZ265" s="10" cm="1">
        <f t="array" aca="1" ref="FZ265" ca="1">(1-$B$18)*SUMPRODUCT(OFFSET($BO$15,0,0,$B$14,1), 1*(_xlfn._xlws.FILTER(OFFSET($O$15,0,$DN265,$B$8,1),OFFSET($M$15,0,0,$B$8,1))=FZ$13), 1*(_xlfn._xlws.FILTER(OFFSET($O$15,0,$DO265,$B$8,1),OFFSET($M$15,0,0,$B$8,1))=FZ$14))   /   SUM(OFFSET($BO$15,0,0,$B$14,1)) + $B$18/($B$19*$B$19*($DN265&lt;&gt;$DO265) + $B$19*($DN265=$DO265))</f>
        <v>3.7037037037037035E-4</v>
      </c>
      <c r="GA265" s="10" cm="1">
        <f t="array" aca="1" ref="GA265" ca="1">(1-$B$18)*SUMPRODUCT(OFFSET($BO$15,0,0,$B$14,1), 1*(_xlfn._xlws.FILTER(OFFSET($O$15,0,$DN265,$B$8,1),OFFSET($M$15,0,0,$B$8,1))=GA$13), 1*(_xlfn._xlws.FILTER(OFFSET($O$15,0,$DO265,$B$8,1),OFFSET($M$15,0,0,$B$8,1))=GA$14))   /   SUM(OFFSET($BO$15,0,0,$B$14,1)) + $B$18/($B$19*$B$19*($DN265&lt;&gt;$DO265) + $B$19*($DN265=$DO265))</f>
        <v>3.7037037037037035E-4</v>
      </c>
    </row>
    <row r="266" spans="118:183" x14ac:dyDescent="0.2">
      <c r="DN266" cm="1">
        <f t="array" aca="1" ref="DN266" ca="1">INDEX(_xlfn.ANCHORARRAY($CP$15), 1 + INT((ROWS($DO$15:$DO266) - 1) / ROWS(_xlfn.ANCHORARRAY($CP$15))))</f>
        <v>14</v>
      </c>
      <c r="DO266" cm="1">
        <f t="array" aca="1" ref="DO266" ca="1">INDEX(_xlfn.ANCHORARRAY($CP$15),1+MOD(ROWS($DO$15:$DO266)-1,ROWS(_xlfn.ANCHORARRAY($CP$15))))</f>
        <v>4</v>
      </c>
      <c r="DP266" s="10" cm="1">
        <f t="array" aca="1" ref="DP266" ca="1">(1-$B$18)*SUMPRODUCT(OFFSET($BO$15,0,0,$B$14,1), 1*(_xlfn._xlws.FILTER(OFFSET($O$15,0,$DN266,$B$8,1),OFFSET($M$15,0,0,$B$8,1))=DP$13), 1*(_xlfn._xlws.FILTER(OFFSET($O$15,0,$DO266,$B$8,1),OFFSET($M$15,0,0,$B$8,1))=DP$14))   /   SUM(OFFSET($BO$15,0,0,$B$14,1)) + $B$18/($B$19*$B$19*($DN266&lt;&gt;$DO266) + $B$19*($DN266=$DO266))</f>
        <v>3.7037037037037035E-4</v>
      </c>
      <c r="DQ266" s="10" cm="1">
        <f t="array" aca="1" ref="DQ266" ca="1">(1-$B$18)*SUMPRODUCT(OFFSET($BO$15,0,0,$B$14,1), 1*(_xlfn._xlws.FILTER(OFFSET($O$15,0,$DN266,$B$8,1),OFFSET($M$15,0,0,$B$8,1))=DQ$13), 1*(_xlfn._xlws.FILTER(OFFSET($O$15,0,$DO266,$B$8,1),OFFSET($M$15,0,0,$B$8,1))=DQ$14))   /   SUM(OFFSET($BO$15,0,0,$B$14,1)) + $B$18/($B$19*$B$19*($DN266&lt;&gt;$DO266) + $B$19*($DN266=$DO266))</f>
        <v>3.7037037037037035E-4</v>
      </c>
      <c r="DR266" s="10" cm="1">
        <f t="array" aca="1" ref="DR266" ca="1">(1-$B$18)*SUMPRODUCT(OFFSET($BO$15,0,0,$B$14,1), 1*(_xlfn._xlws.FILTER(OFFSET($O$15,0,$DN266,$B$8,1),OFFSET($M$15,0,0,$B$8,1))=DR$13), 1*(_xlfn._xlws.FILTER(OFFSET($O$15,0,$DO266,$B$8,1),OFFSET($M$15,0,0,$B$8,1))=DR$14))   /   SUM(OFFSET($BO$15,0,0,$B$14,1)) + $B$18/($B$19*$B$19*($DN266&lt;&gt;$DO266) + $B$19*($DN266=$DO266))</f>
        <v>3.7037037037037035E-4</v>
      </c>
      <c r="DS266" s="10" cm="1">
        <f t="array" aca="1" ref="DS266" ca="1">(1-$B$18)*SUMPRODUCT(OFFSET($BO$15,0,0,$B$14,1), 1*(_xlfn._xlws.FILTER(OFFSET($O$15,0,$DN266,$B$8,1),OFFSET($M$15,0,0,$B$8,1))=DS$13), 1*(_xlfn._xlws.FILTER(OFFSET($O$15,0,$DO266,$B$8,1),OFFSET($M$15,0,0,$B$8,1))=DS$14))   /   SUM(OFFSET($BO$15,0,0,$B$14,1)) + $B$18/($B$19*$B$19*($DN266&lt;&gt;$DO266) + $B$19*($DN266=$DO266))</f>
        <v>3.7037037037037035E-4</v>
      </c>
      <c r="DT266" s="10" cm="1">
        <f t="array" aca="1" ref="DT266" ca="1">(1-$B$18)*SUMPRODUCT(OFFSET($BO$15,0,0,$B$14,1), 1*(_xlfn._xlws.FILTER(OFFSET($O$15,0,$DN266,$B$8,1),OFFSET($M$15,0,0,$B$8,1))=DT$13), 1*(_xlfn._xlws.FILTER(OFFSET($O$15,0,$DO266,$B$8,1),OFFSET($M$15,0,0,$B$8,1))=DT$14))   /   SUM(OFFSET($BO$15,0,0,$B$14,1)) + $B$18/($B$19*$B$19*($DN266&lt;&gt;$DO266) + $B$19*($DN266=$DO266))</f>
        <v>3.7037037037037035E-4</v>
      </c>
      <c r="DU266" s="10" cm="1">
        <f t="array" aca="1" ref="DU266" ca="1">(1-$B$18)*SUMPRODUCT(OFFSET($BO$15,0,0,$B$14,1), 1*(_xlfn._xlws.FILTER(OFFSET($O$15,0,$DN266,$B$8,1),OFFSET($M$15,0,0,$B$8,1))=DU$13), 1*(_xlfn._xlws.FILTER(OFFSET($O$15,0,$DO266,$B$8,1),OFFSET($M$15,0,0,$B$8,1))=DU$14))   /   SUM(OFFSET($BO$15,0,0,$B$14,1)) + $B$18/($B$19*$B$19*($DN266&lt;&gt;$DO266) + $B$19*($DN266=$DO266))</f>
        <v>3.7037037037037035E-4</v>
      </c>
      <c r="DV266" s="10" cm="1">
        <f t="array" aca="1" ref="DV266" ca="1">(1-$B$18)*SUMPRODUCT(OFFSET($BO$15,0,0,$B$14,1), 1*(_xlfn._xlws.FILTER(OFFSET($O$15,0,$DN266,$B$8,1),OFFSET($M$15,0,0,$B$8,1))=DV$13), 1*(_xlfn._xlws.FILTER(OFFSET($O$15,0,$DO266,$B$8,1),OFFSET($M$15,0,0,$B$8,1))=DV$14))   /   SUM(OFFSET($BO$15,0,0,$B$14,1)) + $B$18/($B$19*$B$19*($DN266&lt;&gt;$DO266) + $B$19*($DN266=$DO266))</f>
        <v>3.7037037037037035E-4</v>
      </c>
      <c r="DW266" s="10" cm="1">
        <f t="array" aca="1" ref="DW266" ca="1">(1-$B$18)*SUMPRODUCT(OFFSET($BO$15,0,0,$B$14,1), 1*(_xlfn._xlws.FILTER(OFFSET($O$15,0,$DN266,$B$8,1),OFFSET($M$15,0,0,$B$8,1))=DW$13), 1*(_xlfn._xlws.FILTER(OFFSET($O$15,0,$DO266,$B$8,1),OFFSET($M$15,0,0,$B$8,1))=DW$14))   /   SUM(OFFSET($BO$15,0,0,$B$14,1)) + $B$18/($B$19*$B$19*($DN266&lt;&gt;$DO266) + $B$19*($DN266=$DO266))</f>
        <v>3.7037037037037035E-4</v>
      </c>
      <c r="DX266" s="10" cm="1">
        <f t="array" aca="1" ref="DX266" ca="1">(1-$B$18)*SUMPRODUCT(OFFSET($BO$15,0,0,$B$14,1), 1*(_xlfn._xlws.FILTER(OFFSET($O$15,0,$DN266,$B$8,1),OFFSET($M$15,0,0,$B$8,1))=DX$13), 1*(_xlfn._xlws.FILTER(OFFSET($O$15,0,$DO266,$B$8,1),OFFSET($M$15,0,0,$B$8,1))=DX$14))   /   SUM(OFFSET($BO$15,0,0,$B$14,1)) + $B$18/($B$19*$B$19*($DN266&lt;&gt;$DO266) + $B$19*($DN266=$DO266))</f>
        <v>3.7037037037037035E-4</v>
      </c>
      <c r="DY266" s="10" cm="1">
        <f t="array" aca="1" ref="DY266" ca="1">(1-$B$18)*SUMPRODUCT(OFFSET($BO$15,0,0,$B$14,1), 1*(_xlfn._xlws.FILTER(OFFSET($O$15,0,$DN266,$B$8,1),OFFSET($M$15,0,0,$B$8,1))=DY$13), 1*(_xlfn._xlws.FILTER(OFFSET($O$15,0,$DO266,$B$8,1),OFFSET($M$15,0,0,$B$8,1))=DY$14))   /   SUM(OFFSET($BO$15,0,0,$B$14,1)) + $B$18/($B$19*$B$19*($DN266&lt;&gt;$DO266) + $B$19*($DN266=$DO266))</f>
        <v>3.7037037037037035E-4</v>
      </c>
      <c r="DZ266" s="10" cm="1">
        <f t="array" aca="1" ref="DZ266" ca="1">(1-$B$18)*SUMPRODUCT(OFFSET($BO$15,0,0,$B$14,1), 1*(_xlfn._xlws.FILTER(OFFSET($O$15,0,$DN266,$B$8,1),OFFSET($M$15,0,0,$B$8,1))=DZ$13), 1*(_xlfn._xlws.FILTER(OFFSET($O$15,0,$DO266,$B$8,1),OFFSET($M$15,0,0,$B$8,1))=DZ$14))   /   SUM(OFFSET($BO$15,0,0,$B$14,1)) + $B$18/($B$19*$B$19*($DN266&lt;&gt;$DO266) + $B$19*($DN266=$DO266))</f>
        <v>3.7037037037037035E-4</v>
      </c>
      <c r="EA266" s="10" cm="1">
        <f t="array" aca="1" ref="EA266" ca="1">(1-$B$18)*SUMPRODUCT(OFFSET($BO$15,0,0,$B$14,1), 1*(_xlfn._xlws.FILTER(OFFSET($O$15,0,$DN266,$B$8,1),OFFSET($M$15,0,0,$B$8,1))=EA$13), 1*(_xlfn._xlws.FILTER(OFFSET($O$15,0,$DO266,$B$8,1),OFFSET($M$15,0,0,$B$8,1))=EA$14))   /   SUM(OFFSET($BO$15,0,0,$B$14,1)) + $B$18/($B$19*$B$19*($DN266&lt;&gt;$DO266) + $B$19*($DN266=$DO266))</f>
        <v>3.7037037037037035E-4</v>
      </c>
      <c r="EB266" s="10" cm="1">
        <f t="array" aca="1" ref="EB266" ca="1">(1-$B$18)*SUMPRODUCT(OFFSET($BO$15,0,0,$B$14,1), 1*(_xlfn._xlws.FILTER(OFFSET($O$15,0,$DN266,$B$8,1),OFFSET($M$15,0,0,$B$8,1))=EB$13), 1*(_xlfn._xlws.FILTER(OFFSET($O$15,0,$DO266,$B$8,1),OFFSET($M$15,0,0,$B$8,1))=EB$14))   /   SUM(OFFSET($BO$15,0,0,$B$14,1)) + $B$18/($B$19*$B$19*($DN266&lt;&gt;$DO266) + $B$19*($DN266=$DO266))</f>
        <v>3.7037037037037035E-4</v>
      </c>
      <c r="EC266" s="10" cm="1">
        <f t="array" aca="1" ref="EC266" ca="1">(1-$B$18)*SUMPRODUCT(OFFSET($BO$15,0,0,$B$14,1), 1*(_xlfn._xlws.FILTER(OFFSET($O$15,0,$DN266,$B$8,1),OFFSET($M$15,0,0,$B$8,1))=EC$13), 1*(_xlfn._xlws.FILTER(OFFSET($O$15,0,$DO266,$B$8,1),OFFSET($M$15,0,0,$B$8,1))=EC$14))   /   SUM(OFFSET($BO$15,0,0,$B$14,1)) + $B$18/($B$19*$B$19*($DN266&lt;&gt;$DO266) + $B$19*($DN266=$DO266))</f>
        <v>3.7037037037037035E-4</v>
      </c>
      <c r="ED266" s="10" cm="1">
        <f t="array" aca="1" ref="ED266" ca="1">(1-$B$18)*SUMPRODUCT(OFFSET($BO$15,0,0,$B$14,1), 1*(_xlfn._xlws.FILTER(OFFSET($O$15,0,$DN266,$B$8,1),OFFSET($M$15,0,0,$B$8,1))=ED$13), 1*(_xlfn._xlws.FILTER(OFFSET($O$15,0,$DO266,$B$8,1),OFFSET($M$15,0,0,$B$8,1))=ED$14))   /   SUM(OFFSET($BO$15,0,0,$B$14,1)) + $B$18/($B$19*$B$19*($DN266&lt;&gt;$DO266) + $B$19*($DN266=$DO266))</f>
        <v>3.7037037037037035E-4</v>
      </c>
      <c r="EE266" s="10" cm="1">
        <f t="array" aca="1" ref="EE266" ca="1">(1-$B$18)*SUMPRODUCT(OFFSET($BO$15,0,0,$B$14,1), 1*(_xlfn._xlws.FILTER(OFFSET($O$15,0,$DN266,$B$8,1),OFFSET($M$15,0,0,$B$8,1))=EE$13), 1*(_xlfn._xlws.FILTER(OFFSET($O$15,0,$DO266,$B$8,1),OFFSET($M$15,0,0,$B$8,1))=EE$14))   /   SUM(OFFSET($BO$15,0,0,$B$14,1)) + $B$18/($B$19*$B$19*($DN266&lt;&gt;$DO266) + $B$19*($DN266=$DO266))</f>
        <v>3.7037037037037035E-4</v>
      </c>
      <c r="EF266" s="10" cm="1">
        <f t="array" aca="1" ref="EF266" ca="1">(1-$B$18)*SUMPRODUCT(OFFSET($BO$15,0,0,$B$14,1), 1*(_xlfn._xlws.FILTER(OFFSET($O$15,0,$DN266,$B$8,1),OFFSET($M$15,0,0,$B$8,1))=EF$13), 1*(_xlfn._xlws.FILTER(OFFSET($O$15,0,$DO266,$B$8,1),OFFSET($M$15,0,0,$B$8,1))=EF$14))   /   SUM(OFFSET($BO$15,0,0,$B$14,1)) + $B$18/($B$19*$B$19*($DN266&lt;&gt;$DO266) + $B$19*($DN266=$DO266))</f>
        <v>3.7037037037037035E-4</v>
      </c>
      <c r="EG266" s="10" cm="1">
        <f t="array" aca="1" ref="EG266" ca="1">(1-$B$18)*SUMPRODUCT(OFFSET($BO$15,0,0,$B$14,1), 1*(_xlfn._xlws.FILTER(OFFSET($O$15,0,$DN266,$B$8,1),OFFSET($M$15,0,0,$B$8,1))=EG$13), 1*(_xlfn._xlws.FILTER(OFFSET($O$15,0,$DO266,$B$8,1),OFFSET($M$15,0,0,$B$8,1))=EG$14))   /   SUM(OFFSET($BO$15,0,0,$B$14,1)) + $B$18/($B$19*$B$19*($DN266&lt;&gt;$DO266) + $B$19*($DN266=$DO266))</f>
        <v>3.7037037037037035E-4</v>
      </c>
      <c r="EH266" s="10" cm="1">
        <f t="array" aca="1" ref="EH266" ca="1">(1-$B$18)*SUMPRODUCT(OFFSET($BO$15,0,0,$B$14,1), 1*(_xlfn._xlws.FILTER(OFFSET($O$15,0,$DN266,$B$8,1),OFFSET($M$15,0,0,$B$8,1))=EH$13), 1*(_xlfn._xlws.FILTER(OFFSET($O$15,0,$DO266,$B$8,1),OFFSET($M$15,0,0,$B$8,1))=EH$14))   /   SUM(OFFSET($BO$15,0,0,$B$14,1)) + $B$18/($B$19*$B$19*($DN266&lt;&gt;$DO266) + $B$19*($DN266=$DO266))</f>
        <v>3.7037037037037035E-4</v>
      </c>
      <c r="EI266" s="10" cm="1">
        <f t="array" aca="1" ref="EI266" ca="1">(1-$B$18)*SUMPRODUCT(OFFSET($BO$15,0,0,$B$14,1), 1*(_xlfn._xlws.FILTER(OFFSET($O$15,0,$DN266,$B$8,1),OFFSET($M$15,0,0,$B$8,1))=EI$13), 1*(_xlfn._xlws.FILTER(OFFSET($O$15,0,$DO266,$B$8,1),OFFSET($M$15,0,0,$B$8,1))=EI$14))   /   SUM(OFFSET($BO$15,0,0,$B$14,1)) + $B$18/($B$19*$B$19*($DN266&lt;&gt;$DO266) + $B$19*($DN266=$DO266))</f>
        <v>3.7037037037037035E-4</v>
      </c>
      <c r="EJ266" s="10" cm="1">
        <f t="array" aca="1" ref="EJ266" ca="1">(1-$B$18)*SUMPRODUCT(OFFSET($BO$15,0,0,$B$14,1), 1*(_xlfn._xlws.FILTER(OFFSET($O$15,0,$DN266,$B$8,1),OFFSET($M$15,0,0,$B$8,1))=EJ$13), 1*(_xlfn._xlws.FILTER(OFFSET($O$15,0,$DO266,$B$8,1),OFFSET($M$15,0,0,$B$8,1))=EJ$14))   /   SUM(OFFSET($BO$15,0,0,$B$14,1)) + $B$18/($B$19*$B$19*($DN266&lt;&gt;$DO266) + $B$19*($DN266=$DO266))</f>
        <v>3.7037037037037035E-4</v>
      </c>
      <c r="EK266" s="10" cm="1">
        <f t="array" aca="1" ref="EK266" ca="1">(1-$B$18)*SUMPRODUCT(OFFSET($BO$15,0,0,$B$14,1), 1*(_xlfn._xlws.FILTER(OFFSET($O$15,0,$DN266,$B$8,1),OFFSET($M$15,0,0,$B$8,1))=EK$13), 1*(_xlfn._xlws.FILTER(OFFSET($O$15,0,$DO266,$B$8,1),OFFSET($M$15,0,0,$B$8,1))=EK$14))   /   SUM(OFFSET($BO$15,0,0,$B$14,1)) + $B$18/($B$19*$B$19*($DN266&lt;&gt;$DO266) + $B$19*($DN266=$DO266))</f>
        <v>3.7037037037037035E-4</v>
      </c>
      <c r="EL266" s="10" cm="1">
        <f t="array" aca="1" ref="EL266" ca="1">(1-$B$18)*SUMPRODUCT(OFFSET($BO$15,0,0,$B$14,1), 1*(_xlfn._xlws.FILTER(OFFSET($O$15,0,$DN266,$B$8,1),OFFSET($M$15,0,0,$B$8,1))=EL$13), 1*(_xlfn._xlws.FILTER(OFFSET($O$15,0,$DO266,$B$8,1),OFFSET($M$15,0,0,$B$8,1))=EL$14))   /   SUM(OFFSET($BO$15,0,0,$B$14,1)) + $B$18/($B$19*$B$19*($DN266&lt;&gt;$DO266) + $B$19*($DN266=$DO266))</f>
        <v>0.97037037037037033</v>
      </c>
      <c r="EM266" s="10" cm="1">
        <f t="array" aca="1" ref="EM266" ca="1">(1-$B$18)*SUMPRODUCT(OFFSET($BO$15,0,0,$B$14,1), 1*(_xlfn._xlws.FILTER(OFFSET($O$15,0,$DN266,$B$8,1),OFFSET($M$15,0,0,$B$8,1))=EM$13), 1*(_xlfn._xlws.FILTER(OFFSET($O$15,0,$DO266,$B$8,1),OFFSET($M$15,0,0,$B$8,1))=EM$14))   /   SUM(OFFSET($BO$15,0,0,$B$14,1)) + $B$18/($B$19*$B$19*($DN266&lt;&gt;$DO266) + $B$19*($DN266=$DO266))</f>
        <v>3.7037037037037035E-4</v>
      </c>
      <c r="EN266" s="10" cm="1">
        <f t="array" aca="1" ref="EN266" ca="1">(1-$B$18)*SUMPRODUCT(OFFSET($BO$15,0,0,$B$14,1), 1*(_xlfn._xlws.FILTER(OFFSET($O$15,0,$DN266,$B$8,1),OFFSET($M$15,0,0,$B$8,1))=EN$13), 1*(_xlfn._xlws.FILTER(OFFSET($O$15,0,$DO266,$B$8,1),OFFSET($M$15,0,0,$B$8,1))=EN$14))   /   SUM(OFFSET($BO$15,0,0,$B$14,1)) + $B$18/($B$19*$B$19*($DN266&lt;&gt;$DO266) + $B$19*($DN266=$DO266))</f>
        <v>3.7037037037037035E-4</v>
      </c>
      <c r="EO266" s="10" cm="1">
        <f t="array" aca="1" ref="EO266" ca="1">(1-$B$18)*SUMPRODUCT(OFFSET($BO$15,0,0,$B$14,1), 1*(_xlfn._xlws.FILTER(OFFSET($O$15,0,$DN266,$B$8,1),OFFSET($M$15,0,0,$B$8,1))=EO$13), 1*(_xlfn._xlws.FILTER(OFFSET($O$15,0,$DO266,$B$8,1),OFFSET($M$15,0,0,$B$8,1))=EO$14))   /   SUM(OFFSET($BO$15,0,0,$B$14,1)) + $B$18/($B$19*$B$19*($DN266&lt;&gt;$DO266) + $B$19*($DN266=$DO266))</f>
        <v>3.7037037037037035E-4</v>
      </c>
      <c r="EP266" s="10" cm="1">
        <f t="array" aca="1" ref="EP266" ca="1">(1-$B$18)*SUMPRODUCT(OFFSET($BO$15,0,0,$B$14,1), 1*(_xlfn._xlws.FILTER(OFFSET($O$15,0,$DN266,$B$8,1),OFFSET($M$15,0,0,$B$8,1))=EP$13), 1*(_xlfn._xlws.FILTER(OFFSET($O$15,0,$DO266,$B$8,1),OFFSET($M$15,0,0,$B$8,1))=EP$14))   /   SUM(OFFSET($BO$15,0,0,$B$14,1)) + $B$18/($B$19*$B$19*($DN266&lt;&gt;$DO266) + $B$19*($DN266=$DO266))</f>
        <v>3.7037037037037035E-4</v>
      </c>
      <c r="EQ266" s="10" cm="1">
        <f t="array" aca="1" ref="EQ266" ca="1">(1-$B$18)*SUMPRODUCT(OFFSET($BO$15,0,0,$B$14,1), 1*(_xlfn._xlws.FILTER(OFFSET($O$15,0,$DN266,$B$8,1),OFFSET($M$15,0,0,$B$8,1))=EQ$13), 1*(_xlfn._xlws.FILTER(OFFSET($O$15,0,$DO266,$B$8,1),OFFSET($M$15,0,0,$B$8,1))=EQ$14))   /   SUM(OFFSET($BO$15,0,0,$B$14,1)) + $B$18/($B$19*$B$19*($DN266&lt;&gt;$DO266) + $B$19*($DN266=$DO266))</f>
        <v>3.7037037037037035E-4</v>
      </c>
      <c r="ER266" s="10" cm="1">
        <f t="array" aca="1" ref="ER266" ca="1">(1-$B$18)*SUMPRODUCT(OFFSET($BO$15,0,0,$B$14,1), 1*(_xlfn._xlws.FILTER(OFFSET($O$15,0,$DN266,$B$8,1),OFFSET($M$15,0,0,$B$8,1))=ER$13), 1*(_xlfn._xlws.FILTER(OFFSET($O$15,0,$DO266,$B$8,1),OFFSET($M$15,0,0,$B$8,1))=ER$14))   /   SUM(OFFSET($BO$15,0,0,$B$14,1)) + $B$18/($B$19*$B$19*($DN266&lt;&gt;$DO266) + $B$19*($DN266=$DO266))</f>
        <v>3.7037037037037035E-4</v>
      </c>
      <c r="ES266" s="10" cm="1">
        <f t="array" aca="1" ref="ES266" ca="1">(1-$B$18)*SUMPRODUCT(OFFSET($BO$15,0,0,$B$14,1), 1*(_xlfn._xlws.FILTER(OFFSET($O$15,0,$DN266,$B$8,1),OFFSET($M$15,0,0,$B$8,1))=ES$13), 1*(_xlfn._xlws.FILTER(OFFSET($O$15,0,$DO266,$B$8,1),OFFSET($M$15,0,0,$B$8,1))=ES$14))   /   SUM(OFFSET($BO$15,0,0,$B$14,1)) + $B$18/($B$19*$B$19*($DN266&lt;&gt;$DO266) + $B$19*($DN266=$DO266))</f>
        <v>3.7037037037037035E-4</v>
      </c>
      <c r="ET266" s="10" cm="1">
        <f t="array" aca="1" ref="ET266" ca="1">(1-$B$18)*SUMPRODUCT(OFFSET($BO$15,0,0,$B$14,1), 1*(_xlfn._xlws.FILTER(OFFSET($O$15,0,$DN266,$B$8,1),OFFSET($M$15,0,0,$B$8,1))=ET$13), 1*(_xlfn._xlws.FILTER(OFFSET($O$15,0,$DO266,$B$8,1),OFFSET($M$15,0,0,$B$8,1))=ET$14))   /   SUM(OFFSET($BO$15,0,0,$B$14,1)) + $B$18/($B$19*$B$19*($DN266&lt;&gt;$DO266) + $B$19*($DN266=$DO266))</f>
        <v>3.7037037037037035E-4</v>
      </c>
      <c r="EU266" s="10" cm="1">
        <f t="array" aca="1" ref="EU266" ca="1">(1-$B$18)*SUMPRODUCT(OFFSET($BO$15,0,0,$B$14,1), 1*(_xlfn._xlws.FILTER(OFFSET($O$15,0,$DN266,$B$8,1),OFFSET($M$15,0,0,$B$8,1))=EU$13), 1*(_xlfn._xlws.FILTER(OFFSET($O$15,0,$DO266,$B$8,1),OFFSET($M$15,0,0,$B$8,1))=EU$14))   /   SUM(OFFSET($BO$15,0,0,$B$14,1)) + $B$18/($B$19*$B$19*($DN266&lt;&gt;$DO266) + $B$19*($DN266=$DO266))</f>
        <v>3.7037037037037035E-4</v>
      </c>
      <c r="EV266" s="10" cm="1">
        <f t="array" aca="1" ref="EV266" ca="1">(1-$B$18)*SUMPRODUCT(OFFSET($BO$15,0,0,$B$14,1), 1*(_xlfn._xlws.FILTER(OFFSET($O$15,0,$DN266,$B$8,1),OFFSET($M$15,0,0,$B$8,1))=EV$13), 1*(_xlfn._xlws.FILTER(OFFSET($O$15,0,$DO266,$B$8,1),OFFSET($M$15,0,0,$B$8,1))=EV$14))   /   SUM(OFFSET($BO$15,0,0,$B$14,1)) + $B$18/($B$19*$B$19*($DN266&lt;&gt;$DO266) + $B$19*($DN266=$DO266))</f>
        <v>3.7037037037037035E-4</v>
      </c>
      <c r="EW266" s="10" cm="1">
        <f t="array" aca="1" ref="EW266" ca="1">(1-$B$18)*SUMPRODUCT(OFFSET($BO$15,0,0,$B$14,1), 1*(_xlfn._xlws.FILTER(OFFSET($O$15,0,$DN266,$B$8,1),OFFSET($M$15,0,0,$B$8,1))=EW$13), 1*(_xlfn._xlws.FILTER(OFFSET($O$15,0,$DO266,$B$8,1),OFFSET($M$15,0,0,$B$8,1))=EW$14))   /   SUM(OFFSET($BO$15,0,0,$B$14,1)) + $B$18/($B$19*$B$19*($DN266&lt;&gt;$DO266) + $B$19*($DN266=$DO266))</f>
        <v>3.7037037037037035E-4</v>
      </c>
      <c r="EX266" s="10" cm="1">
        <f t="array" aca="1" ref="EX266" ca="1">(1-$B$18)*SUMPRODUCT(OFFSET($BO$15,0,0,$B$14,1), 1*(_xlfn._xlws.FILTER(OFFSET($O$15,0,$DN266,$B$8,1),OFFSET($M$15,0,0,$B$8,1))=EX$13), 1*(_xlfn._xlws.FILTER(OFFSET($O$15,0,$DO266,$B$8,1),OFFSET($M$15,0,0,$B$8,1))=EX$14))   /   SUM(OFFSET($BO$15,0,0,$B$14,1)) + $B$18/($B$19*$B$19*($DN266&lt;&gt;$DO266) + $B$19*($DN266=$DO266))</f>
        <v>3.7037037037037035E-4</v>
      </c>
      <c r="EY266" s="10" cm="1">
        <f t="array" aca="1" ref="EY266" ca="1">(1-$B$18)*SUMPRODUCT(OFFSET($BO$15,0,0,$B$14,1), 1*(_xlfn._xlws.FILTER(OFFSET($O$15,0,$DN266,$B$8,1),OFFSET($M$15,0,0,$B$8,1))=EY$13), 1*(_xlfn._xlws.FILTER(OFFSET($O$15,0,$DO266,$B$8,1),OFFSET($M$15,0,0,$B$8,1))=EY$14))   /   SUM(OFFSET($BO$15,0,0,$B$14,1)) + $B$18/($B$19*$B$19*($DN266&lt;&gt;$DO266) + $B$19*($DN266=$DO266))</f>
        <v>3.7037037037037035E-4</v>
      </c>
      <c r="EZ266" s="10" cm="1">
        <f t="array" aca="1" ref="EZ266" ca="1">(1-$B$18)*SUMPRODUCT(OFFSET($BO$15,0,0,$B$14,1), 1*(_xlfn._xlws.FILTER(OFFSET($O$15,0,$DN266,$B$8,1),OFFSET($M$15,0,0,$B$8,1))=EZ$13), 1*(_xlfn._xlws.FILTER(OFFSET($O$15,0,$DO266,$B$8,1),OFFSET($M$15,0,0,$B$8,1))=EZ$14))   /   SUM(OFFSET($BO$15,0,0,$B$14,1)) + $B$18/($B$19*$B$19*($DN266&lt;&gt;$DO266) + $B$19*($DN266=$DO266))</f>
        <v>3.7037037037037035E-4</v>
      </c>
      <c r="FA266" s="10" cm="1">
        <f t="array" aca="1" ref="FA266" ca="1">(1-$B$18)*SUMPRODUCT(OFFSET($BO$15,0,0,$B$14,1), 1*(_xlfn._xlws.FILTER(OFFSET($O$15,0,$DN266,$B$8,1),OFFSET($M$15,0,0,$B$8,1))=FA$13), 1*(_xlfn._xlws.FILTER(OFFSET($O$15,0,$DO266,$B$8,1),OFFSET($M$15,0,0,$B$8,1))=FA$14))   /   SUM(OFFSET($BO$15,0,0,$B$14,1)) + $B$18/($B$19*$B$19*($DN266&lt;&gt;$DO266) + $B$19*($DN266=$DO266))</f>
        <v>3.7037037037037035E-4</v>
      </c>
      <c r="FB266" s="10" cm="1">
        <f t="array" aca="1" ref="FB266" ca="1">(1-$B$18)*SUMPRODUCT(OFFSET($BO$15,0,0,$B$14,1), 1*(_xlfn._xlws.FILTER(OFFSET($O$15,0,$DN266,$B$8,1),OFFSET($M$15,0,0,$B$8,1))=FB$13), 1*(_xlfn._xlws.FILTER(OFFSET($O$15,0,$DO266,$B$8,1),OFFSET($M$15,0,0,$B$8,1))=FB$14))   /   SUM(OFFSET($BO$15,0,0,$B$14,1)) + $B$18/($B$19*$B$19*($DN266&lt;&gt;$DO266) + $B$19*($DN266=$DO266))</f>
        <v>3.7037037037037035E-4</v>
      </c>
      <c r="FC266" s="10" cm="1">
        <f t="array" aca="1" ref="FC266" ca="1">(1-$B$18)*SUMPRODUCT(OFFSET($BO$15,0,0,$B$14,1), 1*(_xlfn._xlws.FILTER(OFFSET($O$15,0,$DN266,$B$8,1),OFFSET($M$15,0,0,$B$8,1))=FC$13), 1*(_xlfn._xlws.FILTER(OFFSET($O$15,0,$DO266,$B$8,1),OFFSET($M$15,0,0,$B$8,1))=FC$14))   /   SUM(OFFSET($BO$15,0,0,$B$14,1)) + $B$18/($B$19*$B$19*($DN266&lt;&gt;$DO266) + $B$19*($DN266=$DO266))</f>
        <v>3.7037037037037035E-4</v>
      </c>
      <c r="FD266" s="10" cm="1">
        <f t="array" aca="1" ref="FD266" ca="1">(1-$B$18)*SUMPRODUCT(OFFSET($BO$15,0,0,$B$14,1), 1*(_xlfn._xlws.FILTER(OFFSET($O$15,0,$DN266,$B$8,1),OFFSET($M$15,0,0,$B$8,1))=FD$13), 1*(_xlfn._xlws.FILTER(OFFSET($O$15,0,$DO266,$B$8,1),OFFSET($M$15,0,0,$B$8,1))=FD$14))   /   SUM(OFFSET($BO$15,0,0,$B$14,1)) + $B$18/($B$19*$B$19*($DN266&lt;&gt;$DO266) + $B$19*($DN266=$DO266))</f>
        <v>3.7037037037037035E-4</v>
      </c>
      <c r="FE266" s="10" cm="1">
        <f t="array" aca="1" ref="FE266" ca="1">(1-$B$18)*SUMPRODUCT(OFFSET($BO$15,0,0,$B$14,1), 1*(_xlfn._xlws.FILTER(OFFSET($O$15,0,$DN266,$B$8,1),OFFSET($M$15,0,0,$B$8,1))=FE$13), 1*(_xlfn._xlws.FILTER(OFFSET($O$15,0,$DO266,$B$8,1),OFFSET($M$15,0,0,$B$8,1))=FE$14))   /   SUM(OFFSET($BO$15,0,0,$B$14,1)) + $B$18/($B$19*$B$19*($DN266&lt;&gt;$DO266) + $B$19*($DN266=$DO266))</f>
        <v>3.7037037037037035E-4</v>
      </c>
      <c r="FF266" s="10" cm="1">
        <f t="array" aca="1" ref="FF266" ca="1">(1-$B$18)*SUMPRODUCT(OFFSET($BO$15,0,0,$B$14,1), 1*(_xlfn._xlws.FILTER(OFFSET($O$15,0,$DN266,$B$8,1),OFFSET($M$15,0,0,$B$8,1))=FF$13), 1*(_xlfn._xlws.FILTER(OFFSET($O$15,0,$DO266,$B$8,1),OFFSET($M$15,0,0,$B$8,1))=FF$14))   /   SUM(OFFSET($BO$15,0,0,$B$14,1)) + $B$18/($B$19*$B$19*($DN266&lt;&gt;$DO266) + $B$19*($DN266=$DO266))</f>
        <v>3.7037037037037035E-4</v>
      </c>
      <c r="FG266" s="10" cm="1">
        <f t="array" aca="1" ref="FG266" ca="1">(1-$B$18)*SUMPRODUCT(OFFSET($BO$15,0,0,$B$14,1), 1*(_xlfn._xlws.FILTER(OFFSET($O$15,0,$DN266,$B$8,1),OFFSET($M$15,0,0,$B$8,1))=FG$13), 1*(_xlfn._xlws.FILTER(OFFSET($O$15,0,$DO266,$B$8,1),OFFSET($M$15,0,0,$B$8,1))=FG$14))   /   SUM(OFFSET($BO$15,0,0,$B$14,1)) + $B$18/($B$19*$B$19*($DN266&lt;&gt;$DO266) + $B$19*($DN266=$DO266))</f>
        <v>3.7037037037037035E-4</v>
      </c>
      <c r="FH266" s="10" cm="1">
        <f t="array" aca="1" ref="FH266" ca="1">(1-$B$18)*SUMPRODUCT(OFFSET($BO$15,0,0,$B$14,1), 1*(_xlfn._xlws.FILTER(OFFSET($O$15,0,$DN266,$B$8,1),OFFSET($M$15,0,0,$B$8,1))=FH$13), 1*(_xlfn._xlws.FILTER(OFFSET($O$15,0,$DO266,$B$8,1),OFFSET($M$15,0,0,$B$8,1))=FH$14))   /   SUM(OFFSET($BO$15,0,0,$B$14,1)) + $B$18/($B$19*$B$19*($DN266&lt;&gt;$DO266) + $B$19*($DN266=$DO266))</f>
        <v>3.7037037037037035E-4</v>
      </c>
      <c r="FI266" s="10" cm="1">
        <f t="array" aca="1" ref="FI266" ca="1">(1-$B$18)*SUMPRODUCT(OFFSET($BO$15,0,0,$B$14,1), 1*(_xlfn._xlws.FILTER(OFFSET($O$15,0,$DN266,$B$8,1),OFFSET($M$15,0,0,$B$8,1))=FI$13), 1*(_xlfn._xlws.FILTER(OFFSET($O$15,0,$DO266,$B$8,1),OFFSET($M$15,0,0,$B$8,1))=FI$14))   /   SUM(OFFSET($BO$15,0,0,$B$14,1)) + $B$18/($B$19*$B$19*($DN266&lt;&gt;$DO266) + $B$19*($DN266=$DO266))</f>
        <v>3.7037037037037035E-4</v>
      </c>
      <c r="FJ266" s="10" cm="1">
        <f t="array" aca="1" ref="FJ266" ca="1">(1-$B$18)*SUMPRODUCT(OFFSET($BO$15,0,0,$B$14,1), 1*(_xlfn._xlws.FILTER(OFFSET($O$15,0,$DN266,$B$8,1),OFFSET($M$15,0,0,$B$8,1))=FJ$13), 1*(_xlfn._xlws.FILTER(OFFSET($O$15,0,$DO266,$B$8,1),OFFSET($M$15,0,0,$B$8,1))=FJ$14))   /   SUM(OFFSET($BO$15,0,0,$B$14,1)) + $B$18/($B$19*$B$19*($DN266&lt;&gt;$DO266) + $B$19*($DN266=$DO266))</f>
        <v>3.7037037037037035E-4</v>
      </c>
      <c r="FK266" s="10" cm="1">
        <f t="array" aca="1" ref="FK266" ca="1">(1-$B$18)*SUMPRODUCT(OFFSET($BO$15,0,0,$B$14,1), 1*(_xlfn._xlws.FILTER(OFFSET($O$15,0,$DN266,$B$8,1),OFFSET($M$15,0,0,$B$8,1))=FK$13), 1*(_xlfn._xlws.FILTER(OFFSET($O$15,0,$DO266,$B$8,1),OFFSET($M$15,0,0,$B$8,1))=FK$14))   /   SUM(OFFSET($BO$15,0,0,$B$14,1)) + $B$18/($B$19*$B$19*($DN266&lt;&gt;$DO266) + $B$19*($DN266=$DO266))</f>
        <v>3.7037037037037035E-4</v>
      </c>
      <c r="FL266" s="10" cm="1">
        <f t="array" aca="1" ref="FL266" ca="1">(1-$B$18)*SUMPRODUCT(OFFSET($BO$15,0,0,$B$14,1), 1*(_xlfn._xlws.FILTER(OFFSET($O$15,0,$DN266,$B$8,1),OFFSET($M$15,0,0,$B$8,1))=FL$13), 1*(_xlfn._xlws.FILTER(OFFSET($O$15,0,$DO266,$B$8,1),OFFSET($M$15,0,0,$B$8,1))=FL$14))   /   SUM(OFFSET($BO$15,0,0,$B$14,1)) + $B$18/($B$19*$B$19*($DN266&lt;&gt;$DO266) + $B$19*($DN266=$DO266))</f>
        <v>3.7037037037037035E-4</v>
      </c>
      <c r="FM266" s="10" cm="1">
        <f t="array" aca="1" ref="FM266" ca="1">(1-$B$18)*SUMPRODUCT(OFFSET($BO$15,0,0,$B$14,1), 1*(_xlfn._xlws.FILTER(OFFSET($O$15,0,$DN266,$B$8,1),OFFSET($M$15,0,0,$B$8,1))=FM$13), 1*(_xlfn._xlws.FILTER(OFFSET($O$15,0,$DO266,$B$8,1),OFFSET($M$15,0,0,$B$8,1))=FM$14))   /   SUM(OFFSET($BO$15,0,0,$B$14,1)) + $B$18/($B$19*$B$19*($DN266&lt;&gt;$DO266) + $B$19*($DN266=$DO266))</f>
        <v>3.7037037037037035E-4</v>
      </c>
      <c r="FN266" s="10" cm="1">
        <f t="array" aca="1" ref="FN266" ca="1">(1-$B$18)*SUMPRODUCT(OFFSET($BO$15,0,0,$B$14,1), 1*(_xlfn._xlws.FILTER(OFFSET($O$15,0,$DN266,$B$8,1),OFFSET($M$15,0,0,$B$8,1))=FN$13), 1*(_xlfn._xlws.FILTER(OFFSET($O$15,0,$DO266,$B$8,1),OFFSET($M$15,0,0,$B$8,1))=FN$14))   /   SUM(OFFSET($BO$15,0,0,$B$14,1)) + $B$18/($B$19*$B$19*($DN266&lt;&gt;$DO266) + $B$19*($DN266=$DO266))</f>
        <v>3.7037037037037035E-4</v>
      </c>
      <c r="FO266" s="10" cm="1">
        <f t="array" aca="1" ref="FO266" ca="1">(1-$B$18)*SUMPRODUCT(OFFSET($BO$15,0,0,$B$14,1), 1*(_xlfn._xlws.FILTER(OFFSET($O$15,0,$DN266,$B$8,1),OFFSET($M$15,0,0,$B$8,1))=FO$13), 1*(_xlfn._xlws.FILTER(OFFSET($O$15,0,$DO266,$B$8,1),OFFSET($M$15,0,0,$B$8,1))=FO$14))   /   SUM(OFFSET($BO$15,0,0,$B$14,1)) + $B$18/($B$19*$B$19*($DN266&lt;&gt;$DO266) + $B$19*($DN266=$DO266))</f>
        <v>3.7037037037037035E-4</v>
      </c>
      <c r="FP266" s="10" cm="1">
        <f t="array" aca="1" ref="FP266" ca="1">(1-$B$18)*SUMPRODUCT(OFFSET($BO$15,0,0,$B$14,1), 1*(_xlfn._xlws.FILTER(OFFSET($O$15,0,$DN266,$B$8,1),OFFSET($M$15,0,0,$B$8,1))=FP$13), 1*(_xlfn._xlws.FILTER(OFFSET($O$15,0,$DO266,$B$8,1),OFFSET($M$15,0,0,$B$8,1))=FP$14))   /   SUM(OFFSET($BO$15,0,0,$B$14,1)) + $B$18/($B$19*$B$19*($DN266&lt;&gt;$DO266) + $B$19*($DN266=$DO266))</f>
        <v>3.7037037037037035E-4</v>
      </c>
      <c r="FQ266" s="10" cm="1">
        <f t="array" aca="1" ref="FQ266" ca="1">(1-$B$18)*SUMPRODUCT(OFFSET($BO$15,0,0,$B$14,1), 1*(_xlfn._xlws.FILTER(OFFSET($O$15,0,$DN266,$B$8,1),OFFSET($M$15,0,0,$B$8,1))=FQ$13), 1*(_xlfn._xlws.FILTER(OFFSET($O$15,0,$DO266,$B$8,1),OFFSET($M$15,0,0,$B$8,1))=FQ$14))   /   SUM(OFFSET($BO$15,0,0,$B$14,1)) + $B$18/($B$19*$B$19*($DN266&lt;&gt;$DO266) + $B$19*($DN266=$DO266))</f>
        <v>3.7037037037037035E-4</v>
      </c>
      <c r="FR266" s="10" cm="1">
        <f t="array" aca="1" ref="FR266" ca="1">(1-$B$18)*SUMPRODUCT(OFFSET($BO$15,0,0,$B$14,1), 1*(_xlfn._xlws.FILTER(OFFSET($O$15,0,$DN266,$B$8,1),OFFSET($M$15,0,0,$B$8,1))=FR$13), 1*(_xlfn._xlws.FILTER(OFFSET($O$15,0,$DO266,$B$8,1),OFFSET($M$15,0,0,$B$8,1))=FR$14))   /   SUM(OFFSET($BO$15,0,0,$B$14,1)) + $B$18/($B$19*$B$19*($DN266&lt;&gt;$DO266) + $B$19*($DN266=$DO266))</f>
        <v>3.7037037037037035E-4</v>
      </c>
      <c r="FS266" s="10" cm="1">
        <f t="array" aca="1" ref="FS266" ca="1">(1-$B$18)*SUMPRODUCT(OFFSET($BO$15,0,0,$B$14,1), 1*(_xlfn._xlws.FILTER(OFFSET($O$15,0,$DN266,$B$8,1),OFFSET($M$15,0,0,$B$8,1))=FS$13), 1*(_xlfn._xlws.FILTER(OFFSET($O$15,0,$DO266,$B$8,1),OFFSET($M$15,0,0,$B$8,1))=FS$14))   /   SUM(OFFSET($BO$15,0,0,$B$14,1)) + $B$18/($B$19*$B$19*($DN266&lt;&gt;$DO266) + $B$19*($DN266=$DO266))</f>
        <v>3.7037037037037035E-4</v>
      </c>
      <c r="FT266" s="10" cm="1">
        <f t="array" aca="1" ref="FT266" ca="1">(1-$B$18)*SUMPRODUCT(OFFSET($BO$15,0,0,$B$14,1), 1*(_xlfn._xlws.FILTER(OFFSET($O$15,0,$DN266,$B$8,1),OFFSET($M$15,0,0,$B$8,1))=FT$13), 1*(_xlfn._xlws.FILTER(OFFSET($O$15,0,$DO266,$B$8,1),OFFSET($M$15,0,0,$B$8,1))=FT$14))   /   SUM(OFFSET($BO$15,0,0,$B$14,1)) + $B$18/($B$19*$B$19*($DN266&lt;&gt;$DO266) + $B$19*($DN266=$DO266))</f>
        <v>3.7037037037037035E-4</v>
      </c>
      <c r="FU266" s="10" cm="1">
        <f t="array" aca="1" ref="FU266" ca="1">(1-$B$18)*SUMPRODUCT(OFFSET($BO$15,0,0,$B$14,1), 1*(_xlfn._xlws.FILTER(OFFSET($O$15,0,$DN266,$B$8,1),OFFSET($M$15,0,0,$B$8,1))=FU$13), 1*(_xlfn._xlws.FILTER(OFFSET($O$15,0,$DO266,$B$8,1),OFFSET($M$15,0,0,$B$8,1))=FU$14))   /   SUM(OFFSET($BO$15,0,0,$B$14,1)) + $B$18/($B$19*$B$19*($DN266&lt;&gt;$DO266) + $B$19*($DN266=$DO266))</f>
        <v>3.7037037037037035E-4</v>
      </c>
      <c r="FV266" s="10" cm="1">
        <f t="array" aca="1" ref="FV266" ca="1">(1-$B$18)*SUMPRODUCT(OFFSET($BO$15,0,0,$B$14,1), 1*(_xlfn._xlws.FILTER(OFFSET($O$15,0,$DN266,$B$8,1),OFFSET($M$15,0,0,$B$8,1))=FV$13), 1*(_xlfn._xlws.FILTER(OFFSET($O$15,0,$DO266,$B$8,1),OFFSET($M$15,0,0,$B$8,1))=FV$14))   /   SUM(OFFSET($BO$15,0,0,$B$14,1)) + $B$18/($B$19*$B$19*($DN266&lt;&gt;$DO266) + $B$19*($DN266=$DO266))</f>
        <v>3.7037037037037035E-4</v>
      </c>
      <c r="FW266" s="10" cm="1">
        <f t="array" aca="1" ref="FW266" ca="1">(1-$B$18)*SUMPRODUCT(OFFSET($BO$15,0,0,$B$14,1), 1*(_xlfn._xlws.FILTER(OFFSET($O$15,0,$DN266,$B$8,1),OFFSET($M$15,0,0,$B$8,1))=FW$13), 1*(_xlfn._xlws.FILTER(OFFSET($O$15,0,$DO266,$B$8,1),OFFSET($M$15,0,0,$B$8,1))=FW$14))   /   SUM(OFFSET($BO$15,0,0,$B$14,1)) + $B$18/($B$19*$B$19*($DN266&lt;&gt;$DO266) + $B$19*($DN266=$DO266))</f>
        <v>3.7037037037037035E-4</v>
      </c>
      <c r="FX266" s="10" cm="1">
        <f t="array" aca="1" ref="FX266" ca="1">(1-$B$18)*SUMPRODUCT(OFFSET($BO$15,0,0,$B$14,1), 1*(_xlfn._xlws.FILTER(OFFSET($O$15,0,$DN266,$B$8,1),OFFSET($M$15,0,0,$B$8,1))=FX$13), 1*(_xlfn._xlws.FILTER(OFFSET($O$15,0,$DO266,$B$8,1),OFFSET($M$15,0,0,$B$8,1))=FX$14))   /   SUM(OFFSET($BO$15,0,0,$B$14,1)) + $B$18/($B$19*$B$19*($DN266&lt;&gt;$DO266) + $B$19*($DN266=$DO266))</f>
        <v>3.7037037037037035E-4</v>
      </c>
      <c r="FY266" s="10" cm="1">
        <f t="array" aca="1" ref="FY266" ca="1">(1-$B$18)*SUMPRODUCT(OFFSET($BO$15,0,0,$B$14,1), 1*(_xlfn._xlws.FILTER(OFFSET($O$15,0,$DN266,$B$8,1),OFFSET($M$15,0,0,$B$8,1))=FY$13), 1*(_xlfn._xlws.FILTER(OFFSET($O$15,0,$DO266,$B$8,1),OFFSET($M$15,0,0,$B$8,1))=FY$14))   /   SUM(OFFSET($BO$15,0,0,$B$14,1)) + $B$18/($B$19*$B$19*($DN266&lt;&gt;$DO266) + $B$19*($DN266=$DO266))</f>
        <v>3.7037037037037035E-4</v>
      </c>
      <c r="FZ266" s="10" cm="1">
        <f t="array" aca="1" ref="FZ266" ca="1">(1-$B$18)*SUMPRODUCT(OFFSET($BO$15,0,0,$B$14,1), 1*(_xlfn._xlws.FILTER(OFFSET($O$15,0,$DN266,$B$8,1),OFFSET($M$15,0,0,$B$8,1))=FZ$13), 1*(_xlfn._xlws.FILTER(OFFSET($O$15,0,$DO266,$B$8,1),OFFSET($M$15,0,0,$B$8,1))=FZ$14))   /   SUM(OFFSET($BO$15,0,0,$B$14,1)) + $B$18/($B$19*$B$19*($DN266&lt;&gt;$DO266) + $B$19*($DN266=$DO266))</f>
        <v>3.7037037037037035E-4</v>
      </c>
      <c r="GA266" s="10" cm="1">
        <f t="array" aca="1" ref="GA266" ca="1">(1-$B$18)*SUMPRODUCT(OFFSET($BO$15,0,0,$B$14,1), 1*(_xlfn._xlws.FILTER(OFFSET($O$15,0,$DN266,$B$8,1),OFFSET($M$15,0,0,$B$8,1))=GA$13), 1*(_xlfn._xlws.FILTER(OFFSET($O$15,0,$DO266,$B$8,1),OFFSET($M$15,0,0,$B$8,1))=GA$14))   /   SUM(OFFSET($BO$15,0,0,$B$14,1)) + $B$18/($B$19*$B$19*($DN266&lt;&gt;$DO266) + $B$19*($DN266=$DO266))</f>
        <v>3.7037037037037035E-4</v>
      </c>
    </row>
    <row r="267" spans="118:183" x14ac:dyDescent="0.2">
      <c r="DN267" cm="1">
        <f t="array" aca="1" ref="DN267" ca="1">INDEX(_xlfn.ANCHORARRAY($CP$15), 1 + INT((ROWS($DO$15:$DO267) - 1) / ROWS(_xlfn.ANCHORARRAY($CP$15))))</f>
        <v>14</v>
      </c>
      <c r="DO267" cm="1">
        <f t="array" aca="1" ref="DO267" ca="1">INDEX(_xlfn.ANCHORARRAY($CP$15),1+MOD(ROWS($DO$15:$DO267)-1,ROWS(_xlfn.ANCHORARRAY($CP$15))))</f>
        <v>5</v>
      </c>
      <c r="DP267" s="10" cm="1">
        <f t="array" aca="1" ref="DP267" ca="1">(1-$B$18)*SUMPRODUCT(OFFSET($BO$15,0,0,$B$14,1), 1*(_xlfn._xlws.FILTER(OFFSET($O$15,0,$DN267,$B$8,1),OFFSET($M$15,0,0,$B$8,1))=DP$13), 1*(_xlfn._xlws.FILTER(OFFSET($O$15,0,$DO267,$B$8,1),OFFSET($M$15,0,0,$B$8,1))=DP$14))   /   SUM(OFFSET($BO$15,0,0,$B$14,1)) + $B$18/($B$19*$B$19*($DN267&lt;&gt;$DO267) + $B$19*($DN267=$DO267))</f>
        <v>3.7037037037037035E-4</v>
      </c>
      <c r="DQ267" s="10" cm="1">
        <f t="array" aca="1" ref="DQ267" ca="1">(1-$B$18)*SUMPRODUCT(OFFSET($BO$15,0,0,$B$14,1), 1*(_xlfn._xlws.FILTER(OFFSET($O$15,0,$DN267,$B$8,1),OFFSET($M$15,0,0,$B$8,1))=DQ$13), 1*(_xlfn._xlws.FILTER(OFFSET($O$15,0,$DO267,$B$8,1),OFFSET($M$15,0,0,$B$8,1))=DQ$14))   /   SUM(OFFSET($BO$15,0,0,$B$14,1)) + $B$18/($B$19*$B$19*($DN267&lt;&gt;$DO267) + $B$19*($DN267=$DO267))</f>
        <v>3.7037037037037035E-4</v>
      </c>
      <c r="DR267" s="10" cm="1">
        <f t="array" aca="1" ref="DR267" ca="1">(1-$B$18)*SUMPRODUCT(OFFSET($BO$15,0,0,$B$14,1), 1*(_xlfn._xlws.FILTER(OFFSET($O$15,0,$DN267,$B$8,1),OFFSET($M$15,0,0,$B$8,1))=DR$13), 1*(_xlfn._xlws.FILTER(OFFSET($O$15,0,$DO267,$B$8,1),OFFSET($M$15,0,0,$B$8,1))=DR$14))   /   SUM(OFFSET($BO$15,0,0,$B$14,1)) + $B$18/($B$19*$B$19*($DN267&lt;&gt;$DO267) + $B$19*($DN267=$DO267))</f>
        <v>3.7037037037037035E-4</v>
      </c>
      <c r="DS267" s="10" cm="1">
        <f t="array" aca="1" ref="DS267" ca="1">(1-$B$18)*SUMPRODUCT(OFFSET($BO$15,0,0,$B$14,1), 1*(_xlfn._xlws.FILTER(OFFSET($O$15,0,$DN267,$B$8,1),OFFSET($M$15,0,0,$B$8,1))=DS$13), 1*(_xlfn._xlws.FILTER(OFFSET($O$15,0,$DO267,$B$8,1),OFFSET($M$15,0,0,$B$8,1))=DS$14))   /   SUM(OFFSET($BO$15,0,0,$B$14,1)) + $B$18/($B$19*$B$19*($DN267&lt;&gt;$DO267) + $B$19*($DN267=$DO267))</f>
        <v>3.7037037037037035E-4</v>
      </c>
      <c r="DT267" s="10" cm="1">
        <f t="array" aca="1" ref="DT267" ca="1">(1-$B$18)*SUMPRODUCT(OFFSET($BO$15,0,0,$B$14,1), 1*(_xlfn._xlws.FILTER(OFFSET($O$15,0,$DN267,$B$8,1),OFFSET($M$15,0,0,$B$8,1))=DT$13), 1*(_xlfn._xlws.FILTER(OFFSET($O$15,0,$DO267,$B$8,1),OFFSET($M$15,0,0,$B$8,1))=DT$14))   /   SUM(OFFSET($BO$15,0,0,$B$14,1)) + $B$18/($B$19*$B$19*($DN267&lt;&gt;$DO267) + $B$19*($DN267=$DO267))</f>
        <v>3.7037037037037035E-4</v>
      </c>
      <c r="DU267" s="10" cm="1">
        <f t="array" aca="1" ref="DU267" ca="1">(1-$B$18)*SUMPRODUCT(OFFSET($BO$15,0,0,$B$14,1), 1*(_xlfn._xlws.FILTER(OFFSET($O$15,0,$DN267,$B$8,1),OFFSET($M$15,0,0,$B$8,1))=DU$13), 1*(_xlfn._xlws.FILTER(OFFSET($O$15,0,$DO267,$B$8,1),OFFSET($M$15,0,0,$B$8,1))=DU$14))   /   SUM(OFFSET($BO$15,0,0,$B$14,1)) + $B$18/($B$19*$B$19*($DN267&lt;&gt;$DO267) + $B$19*($DN267=$DO267))</f>
        <v>3.7037037037037035E-4</v>
      </c>
      <c r="DV267" s="10" cm="1">
        <f t="array" aca="1" ref="DV267" ca="1">(1-$B$18)*SUMPRODUCT(OFFSET($BO$15,0,0,$B$14,1), 1*(_xlfn._xlws.FILTER(OFFSET($O$15,0,$DN267,$B$8,1),OFFSET($M$15,0,0,$B$8,1))=DV$13), 1*(_xlfn._xlws.FILTER(OFFSET($O$15,0,$DO267,$B$8,1),OFFSET($M$15,0,0,$B$8,1))=DV$14))   /   SUM(OFFSET($BO$15,0,0,$B$14,1)) + $B$18/($B$19*$B$19*($DN267&lt;&gt;$DO267) + $B$19*($DN267=$DO267))</f>
        <v>3.7037037037037035E-4</v>
      </c>
      <c r="DW267" s="10" cm="1">
        <f t="array" aca="1" ref="DW267" ca="1">(1-$B$18)*SUMPRODUCT(OFFSET($BO$15,0,0,$B$14,1), 1*(_xlfn._xlws.FILTER(OFFSET($O$15,0,$DN267,$B$8,1),OFFSET($M$15,0,0,$B$8,1))=DW$13), 1*(_xlfn._xlws.FILTER(OFFSET($O$15,0,$DO267,$B$8,1),OFFSET($M$15,0,0,$B$8,1))=DW$14))   /   SUM(OFFSET($BO$15,0,0,$B$14,1)) + $B$18/($B$19*$B$19*($DN267&lt;&gt;$DO267) + $B$19*($DN267=$DO267))</f>
        <v>3.7037037037037035E-4</v>
      </c>
      <c r="DX267" s="10" cm="1">
        <f t="array" aca="1" ref="DX267" ca="1">(1-$B$18)*SUMPRODUCT(OFFSET($BO$15,0,0,$B$14,1), 1*(_xlfn._xlws.FILTER(OFFSET($O$15,0,$DN267,$B$8,1),OFFSET($M$15,0,0,$B$8,1))=DX$13), 1*(_xlfn._xlws.FILTER(OFFSET($O$15,0,$DO267,$B$8,1),OFFSET($M$15,0,0,$B$8,1))=DX$14))   /   SUM(OFFSET($BO$15,0,0,$B$14,1)) + $B$18/($B$19*$B$19*($DN267&lt;&gt;$DO267) + $B$19*($DN267=$DO267))</f>
        <v>3.7037037037037035E-4</v>
      </c>
      <c r="DY267" s="10" cm="1">
        <f t="array" aca="1" ref="DY267" ca="1">(1-$B$18)*SUMPRODUCT(OFFSET($BO$15,0,0,$B$14,1), 1*(_xlfn._xlws.FILTER(OFFSET($O$15,0,$DN267,$B$8,1),OFFSET($M$15,0,0,$B$8,1))=DY$13), 1*(_xlfn._xlws.FILTER(OFFSET($O$15,0,$DO267,$B$8,1),OFFSET($M$15,0,0,$B$8,1))=DY$14))   /   SUM(OFFSET($BO$15,0,0,$B$14,1)) + $B$18/($B$19*$B$19*($DN267&lt;&gt;$DO267) + $B$19*($DN267=$DO267))</f>
        <v>3.7037037037037035E-4</v>
      </c>
      <c r="DZ267" s="10" cm="1">
        <f t="array" aca="1" ref="DZ267" ca="1">(1-$B$18)*SUMPRODUCT(OFFSET($BO$15,0,0,$B$14,1), 1*(_xlfn._xlws.FILTER(OFFSET($O$15,0,$DN267,$B$8,1),OFFSET($M$15,0,0,$B$8,1))=DZ$13), 1*(_xlfn._xlws.FILTER(OFFSET($O$15,0,$DO267,$B$8,1),OFFSET($M$15,0,0,$B$8,1))=DZ$14))   /   SUM(OFFSET($BO$15,0,0,$B$14,1)) + $B$18/($B$19*$B$19*($DN267&lt;&gt;$DO267) + $B$19*($DN267=$DO267))</f>
        <v>3.7037037037037035E-4</v>
      </c>
      <c r="EA267" s="10" cm="1">
        <f t="array" aca="1" ref="EA267" ca="1">(1-$B$18)*SUMPRODUCT(OFFSET($BO$15,0,0,$B$14,1), 1*(_xlfn._xlws.FILTER(OFFSET($O$15,0,$DN267,$B$8,1),OFFSET($M$15,0,0,$B$8,1))=EA$13), 1*(_xlfn._xlws.FILTER(OFFSET($O$15,0,$DO267,$B$8,1),OFFSET($M$15,0,0,$B$8,1))=EA$14))   /   SUM(OFFSET($BO$15,0,0,$B$14,1)) + $B$18/($B$19*$B$19*($DN267&lt;&gt;$DO267) + $B$19*($DN267=$DO267))</f>
        <v>3.7037037037037035E-4</v>
      </c>
      <c r="EB267" s="10" cm="1">
        <f t="array" aca="1" ref="EB267" ca="1">(1-$B$18)*SUMPRODUCT(OFFSET($BO$15,0,0,$B$14,1), 1*(_xlfn._xlws.FILTER(OFFSET($O$15,0,$DN267,$B$8,1),OFFSET($M$15,0,0,$B$8,1))=EB$13), 1*(_xlfn._xlws.FILTER(OFFSET($O$15,0,$DO267,$B$8,1),OFFSET($M$15,0,0,$B$8,1))=EB$14))   /   SUM(OFFSET($BO$15,0,0,$B$14,1)) + $B$18/($B$19*$B$19*($DN267&lt;&gt;$DO267) + $B$19*($DN267=$DO267))</f>
        <v>3.7037037037037035E-4</v>
      </c>
      <c r="EC267" s="10" cm="1">
        <f t="array" aca="1" ref="EC267" ca="1">(1-$B$18)*SUMPRODUCT(OFFSET($BO$15,0,0,$B$14,1), 1*(_xlfn._xlws.FILTER(OFFSET($O$15,0,$DN267,$B$8,1),OFFSET($M$15,0,0,$B$8,1))=EC$13), 1*(_xlfn._xlws.FILTER(OFFSET($O$15,0,$DO267,$B$8,1),OFFSET($M$15,0,0,$B$8,1))=EC$14))   /   SUM(OFFSET($BO$15,0,0,$B$14,1)) + $B$18/($B$19*$B$19*($DN267&lt;&gt;$DO267) + $B$19*($DN267=$DO267))</f>
        <v>3.7037037037037035E-4</v>
      </c>
      <c r="ED267" s="10" cm="1">
        <f t="array" aca="1" ref="ED267" ca="1">(1-$B$18)*SUMPRODUCT(OFFSET($BO$15,0,0,$B$14,1), 1*(_xlfn._xlws.FILTER(OFFSET($O$15,0,$DN267,$B$8,1),OFFSET($M$15,0,0,$B$8,1))=ED$13), 1*(_xlfn._xlws.FILTER(OFFSET($O$15,0,$DO267,$B$8,1),OFFSET($M$15,0,0,$B$8,1))=ED$14))   /   SUM(OFFSET($BO$15,0,0,$B$14,1)) + $B$18/($B$19*$B$19*($DN267&lt;&gt;$DO267) + $B$19*($DN267=$DO267))</f>
        <v>3.7037037037037035E-4</v>
      </c>
      <c r="EE267" s="10" cm="1">
        <f t="array" aca="1" ref="EE267" ca="1">(1-$B$18)*SUMPRODUCT(OFFSET($BO$15,0,0,$B$14,1), 1*(_xlfn._xlws.FILTER(OFFSET($O$15,0,$DN267,$B$8,1),OFFSET($M$15,0,0,$B$8,1))=EE$13), 1*(_xlfn._xlws.FILTER(OFFSET($O$15,0,$DO267,$B$8,1),OFFSET($M$15,0,0,$B$8,1))=EE$14))   /   SUM(OFFSET($BO$15,0,0,$B$14,1)) + $B$18/($B$19*$B$19*($DN267&lt;&gt;$DO267) + $B$19*($DN267=$DO267))</f>
        <v>3.7037037037037035E-4</v>
      </c>
      <c r="EF267" s="10" cm="1">
        <f t="array" aca="1" ref="EF267" ca="1">(1-$B$18)*SUMPRODUCT(OFFSET($BO$15,0,0,$B$14,1), 1*(_xlfn._xlws.FILTER(OFFSET($O$15,0,$DN267,$B$8,1),OFFSET($M$15,0,0,$B$8,1))=EF$13), 1*(_xlfn._xlws.FILTER(OFFSET($O$15,0,$DO267,$B$8,1),OFFSET($M$15,0,0,$B$8,1))=EF$14))   /   SUM(OFFSET($BO$15,0,0,$B$14,1)) + $B$18/($B$19*$B$19*($DN267&lt;&gt;$DO267) + $B$19*($DN267=$DO267))</f>
        <v>3.7037037037037035E-4</v>
      </c>
      <c r="EG267" s="10" cm="1">
        <f t="array" aca="1" ref="EG267" ca="1">(1-$B$18)*SUMPRODUCT(OFFSET($BO$15,0,0,$B$14,1), 1*(_xlfn._xlws.FILTER(OFFSET($O$15,0,$DN267,$B$8,1),OFFSET($M$15,0,0,$B$8,1))=EG$13), 1*(_xlfn._xlws.FILTER(OFFSET($O$15,0,$DO267,$B$8,1),OFFSET($M$15,0,0,$B$8,1))=EG$14))   /   SUM(OFFSET($BO$15,0,0,$B$14,1)) + $B$18/($B$19*$B$19*($DN267&lt;&gt;$DO267) + $B$19*($DN267=$DO267))</f>
        <v>3.7037037037037035E-4</v>
      </c>
      <c r="EH267" s="10" cm="1">
        <f t="array" aca="1" ref="EH267" ca="1">(1-$B$18)*SUMPRODUCT(OFFSET($BO$15,0,0,$B$14,1), 1*(_xlfn._xlws.FILTER(OFFSET($O$15,0,$DN267,$B$8,1),OFFSET($M$15,0,0,$B$8,1))=EH$13), 1*(_xlfn._xlws.FILTER(OFFSET($O$15,0,$DO267,$B$8,1),OFFSET($M$15,0,0,$B$8,1))=EH$14))   /   SUM(OFFSET($BO$15,0,0,$B$14,1)) + $B$18/($B$19*$B$19*($DN267&lt;&gt;$DO267) + $B$19*($DN267=$DO267))</f>
        <v>3.7037037037037035E-4</v>
      </c>
      <c r="EI267" s="10" cm="1">
        <f t="array" aca="1" ref="EI267" ca="1">(1-$B$18)*SUMPRODUCT(OFFSET($BO$15,0,0,$B$14,1), 1*(_xlfn._xlws.FILTER(OFFSET($O$15,0,$DN267,$B$8,1),OFFSET($M$15,0,0,$B$8,1))=EI$13), 1*(_xlfn._xlws.FILTER(OFFSET($O$15,0,$DO267,$B$8,1),OFFSET($M$15,0,0,$B$8,1))=EI$14))   /   SUM(OFFSET($BO$15,0,0,$B$14,1)) + $B$18/($B$19*$B$19*($DN267&lt;&gt;$DO267) + $B$19*($DN267=$DO267))</f>
        <v>3.7037037037037035E-4</v>
      </c>
      <c r="EJ267" s="10" cm="1">
        <f t="array" aca="1" ref="EJ267" ca="1">(1-$B$18)*SUMPRODUCT(OFFSET($BO$15,0,0,$B$14,1), 1*(_xlfn._xlws.FILTER(OFFSET($O$15,0,$DN267,$B$8,1),OFFSET($M$15,0,0,$B$8,1))=EJ$13), 1*(_xlfn._xlws.FILTER(OFFSET($O$15,0,$DO267,$B$8,1),OFFSET($M$15,0,0,$B$8,1))=EJ$14))   /   SUM(OFFSET($BO$15,0,0,$B$14,1)) + $B$18/($B$19*$B$19*($DN267&lt;&gt;$DO267) + $B$19*($DN267=$DO267))</f>
        <v>3.7037037037037035E-4</v>
      </c>
      <c r="EK267" s="10" cm="1">
        <f t="array" aca="1" ref="EK267" ca="1">(1-$B$18)*SUMPRODUCT(OFFSET($BO$15,0,0,$B$14,1), 1*(_xlfn._xlws.FILTER(OFFSET($O$15,0,$DN267,$B$8,1),OFFSET($M$15,0,0,$B$8,1))=EK$13), 1*(_xlfn._xlws.FILTER(OFFSET($O$15,0,$DO267,$B$8,1),OFFSET($M$15,0,0,$B$8,1))=EK$14))   /   SUM(OFFSET($BO$15,0,0,$B$14,1)) + $B$18/($B$19*$B$19*($DN267&lt;&gt;$DO267) + $B$19*($DN267=$DO267))</f>
        <v>3.7037037037037035E-4</v>
      </c>
      <c r="EL267" s="10" cm="1">
        <f t="array" aca="1" ref="EL267" ca="1">(1-$B$18)*SUMPRODUCT(OFFSET($BO$15,0,0,$B$14,1), 1*(_xlfn._xlws.FILTER(OFFSET($O$15,0,$DN267,$B$8,1),OFFSET($M$15,0,0,$B$8,1))=EL$13), 1*(_xlfn._xlws.FILTER(OFFSET($O$15,0,$DO267,$B$8,1),OFFSET($M$15,0,0,$B$8,1))=EL$14))   /   SUM(OFFSET($BO$15,0,0,$B$14,1)) + $B$18/($B$19*$B$19*($DN267&lt;&gt;$DO267) + $B$19*($DN267=$DO267))</f>
        <v>0.97037037037037033</v>
      </c>
      <c r="EM267" s="10" cm="1">
        <f t="array" aca="1" ref="EM267" ca="1">(1-$B$18)*SUMPRODUCT(OFFSET($BO$15,0,0,$B$14,1), 1*(_xlfn._xlws.FILTER(OFFSET($O$15,0,$DN267,$B$8,1),OFFSET($M$15,0,0,$B$8,1))=EM$13), 1*(_xlfn._xlws.FILTER(OFFSET($O$15,0,$DO267,$B$8,1),OFFSET($M$15,0,0,$B$8,1))=EM$14))   /   SUM(OFFSET($BO$15,0,0,$B$14,1)) + $B$18/($B$19*$B$19*($DN267&lt;&gt;$DO267) + $B$19*($DN267=$DO267))</f>
        <v>3.7037037037037035E-4</v>
      </c>
      <c r="EN267" s="10" cm="1">
        <f t="array" aca="1" ref="EN267" ca="1">(1-$B$18)*SUMPRODUCT(OFFSET($BO$15,0,0,$B$14,1), 1*(_xlfn._xlws.FILTER(OFFSET($O$15,0,$DN267,$B$8,1),OFFSET($M$15,0,0,$B$8,1))=EN$13), 1*(_xlfn._xlws.FILTER(OFFSET($O$15,0,$DO267,$B$8,1),OFFSET($M$15,0,0,$B$8,1))=EN$14))   /   SUM(OFFSET($BO$15,0,0,$B$14,1)) + $B$18/($B$19*$B$19*($DN267&lt;&gt;$DO267) + $B$19*($DN267=$DO267))</f>
        <v>3.7037037037037035E-4</v>
      </c>
      <c r="EO267" s="10" cm="1">
        <f t="array" aca="1" ref="EO267" ca="1">(1-$B$18)*SUMPRODUCT(OFFSET($BO$15,0,0,$B$14,1), 1*(_xlfn._xlws.FILTER(OFFSET($O$15,0,$DN267,$B$8,1),OFFSET($M$15,0,0,$B$8,1))=EO$13), 1*(_xlfn._xlws.FILTER(OFFSET($O$15,0,$DO267,$B$8,1),OFFSET($M$15,0,0,$B$8,1))=EO$14))   /   SUM(OFFSET($BO$15,0,0,$B$14,1)) + $B$18/($B$19*$B$19*($DN267&lt;&gt;$DO267) + $B$19*($DN267=$DO267))</f>
        <v>3.7037037037037035E-4</v>
      </c>
      <c r="EP267" s="10" cm="1">
        <f t="array" aca="1" ref="EP267" ca="1">(1-$B$18)*SUMPRODUCT(OFFSET($BO$15,0,0,$B$14,1), 1*(_xlfn._xlws.FILTER(OFFSET($O$15,0,$DN267,$B$8,1),OFFSET($M$15,0,0,$B$8,1))=EP$13), 1*(_xlfn._xlws.FILTER(OFFSET($O$15,0,$DO267,$B$8,1),OFFSET($M$15,0,0,$B$8,1))=EP$14))   /   SUM(OFFSET($BO$15,0,0,$B$14,1)) + $B$18/($B$19*$B$19*($DN267&lt;&gt;$DO267) + $B$19*($DN267=$DO267))</f>
        <v>3.7037037037037035E-4</v>
      </c>
      <c r="EQ267" s="10" cm="1">
        <f t="array" aca="1" ref="EQ267" ca="1">(1-$B$18)*SUMPRODUCT(OFFSET($BO$15,0,0,$B$14,1), 1*(_xlfn._xlws.FILTER(OFFSET($O$15,0,$DN267,$B$8,1),OFFSET($M$15,0,0,$B$8,1))=EQ$13), 1*(_xlfn._xlws.FILTER(OFFSET($O$15,0,$DO267,$B$8,1),OFFSET($M$15,0,0,$B$8,1))=EQ$14))   /   SUM(OFFSET($BO$15,0,0,$B$14,1)) + $B$18/($B$19*$B$19*($DN267&lt;&gt;$DO267) + $B$19*($DN267=$DO267))</f>
        <v>3.7037037037037035E-4</v>
      </c>
      <c r="ER267" s="10" cm="1">
        <f t="array" aca="1" ref="ER267" ca="1">(1-$B$18)*SUMPRODUCT(OFFSET($BO$15,0,0,$B$14,1), 1*(_xlfn._xlws.FILTER(OFFSET($O$15,0,$DN267,$B$8,1),OFFSET($M$15,0,0,$B$8,1))=ER$13), 1*(_xlfn._xlws.FILTER(OFFSET($O$15,0,$DO267,$B$8,1),OFFSET($M$15,0,0,$B$8,1))=ER$14))   /   SUM(OFFSET($BO$15,0,0,$B$14,1)) + $B$18/($B$19*$B$19*($DN267&lt;&gt;$DO267) + $B$19*($DN267=$DO267))</f>
        <v>3.7037037037037035E-4</v>
      </c>
      <c r="ES267" s="10" cm="1">
        <f t="array" aca="1" ref="ES267" ca="1">(1-$B$18)*SUMPRODUCT(OFFSET($BO$15,0,0,$B$14,1), 1*(_xlfn._xlws.FILTER(OFFSET($O$15,0,$DN267,$B$8,1),OFFSET($M$15,0,0,$B$8,1))=ES$13), 1*(_xlfn._xlws.FILTER(OFFSET($O$15,0,$DO267,$B$8,1),OFFSET($M$15,0,0,$B$8,1))=ES$14))   /   SUM(OFFSET($BO$15,0,0,$B$14,1)) + $B$18/($B$19*$B$19*($DN267&lt;&gt;$DO267) + $B$19*($DN267=$DO267))</f>
        <v>3.7037037037037035E-4</v>
      </c>
      <c r="ET267" s="10" cm="1">
        <f t="array" aca="1" ref="ET267" ca="1">(1-$B$18)*SUMPRODUCT(OFFSET($BO$15,0,0,$B$14,1), 1*(_xlfn._xlws.FILTER(OFFSET($O$15,0,$DN267,$B$8,1),OFFSET($M$15,0,0,$B$8,1))=ET$13), 1*(_xlfn._xlws.FILTER(OFFSET($O$15,0,$DO267,$B$8,1),OFFSET($M$15,0,0,$B$8,1))=ET$14))   /   SUM(OFFSET($BO$15,0,0,$B$14,1)) + $B$18/($B$19*$B$19*($DN267&lt;&gt;$DO267) + $B$19*($DN267=$DO267))</f>
        <v>3.7037037037037035E-4</v>
      </c>
      <c r="EU267" s="10" cm="1">
        <f t="array" aca="1" ref="EU267" ca="1">(1-$B$18)*SUMPRODUCT(OFFSET($BO$15,0,0,$B$14,1), 1*(_xlfn._xlws.FILTER(OFFSET($O$15,0,$DN267,$B$8,1),OFFSET($M$15,0,0,$B$8,1))=EU$13), 1*(_xlfn._xlws.FILTER(OFFSET($O$15,0,$DO267,$B$8,1),OFFSET($M$15,0,0,$B$8,1))=EU$14))   /   SUM(OFFSET($BO$15,0,0,$B$14,1)) + $B$18/($B$19*$B$19*($DN267&lt;&gt;$DO267) + $B$19*($DN267=$DO267))</f>
        <v>3.7037037037037035E-4</v>
      </c>
      <c r="EV267" s="10" cm="1">
        <f t="array" aca="1" ref="EV267" ca="1">(1-$B$18)*SUMPRODUCT(OFFSET($BO$15,0,0,$B$14,1), 1*(_xlfn._xlws.FILTER(OFFSET($O$15,0,$DN267,$B$8,1),OFFSET($M$15,0,0,$B$8,1))=EV$13), 1*(_xlfn._xlws.FILTER(OFFSET($O$15,0,$DO267,$B$8,1),OFFSET($M$15,0,0,$B$8,1))=EV$14))   /   SUM(OFFSET($BO$15,0,0,$B$14,1)) + $B$18/($B$19*$B$19*($DN267&lt;&gt;$DO267) + $B$19*($DN267=$DO267))</f>
        <v>3.7037037037037035E-4</v>
      </c>
      <c r="EW267" s="10" cm="1">
        <f t="array" aca="1" ref="EW267" ca="1">(1-$B$18)*SUMPRODUCT(OFFSET($BO$15,0,0,$B$14,1), 1*(_xlfn._xlws.FILTER(OFFSET($O$15,0,$DN267,$B$8,1),OFFSET($M$15,0,0,$B$8,1))=EW$13), 1*(_xlfn._xlws.FILTER(OFFSET($O$15,0,$DO267,$B$8,1),OFFSET($M$15,0,0,$B$8,1))=EW$14))   /   SUM(OFFSET($BO$15,0,0,$B$14,1)) + $B$18/($B$19*$B$19*($DN267&lt;&gt;$DO267) + $B$19*($DN267=$DO267))</f>
        <v>3.7037037037037035E-4</v>
      </c>
      <c r="EX267" s="10" cm="1">
        <f t="array" aca="1" ref="EX267" ca="1">(1-$B$18)*SUMPRODUCT(OFFSET($BO$15,0,0,$B$14,1), 1*(_xlfn._xlws.FILTER(OFFSET($O$15,0,$DN267,$B$8,1),OFFSET($M$15,0,0,$B$8,1))=EX$13), 1*(_xlfn._xlws.FILTER(OFFSET($O$15,0,$DO267,$B$8,1),OFFSET($M$15,0,0,$B$8,1))=EX$14))   /   SUM(OFFSET($BO$15,0,0,$B$14,1)) + $B$18/($B$19*$B$19*($DN267&lt;&gt;$DO267) + $B$19*($DN267=$DO267))</f>
        <v>3.7037037037037035E-4</v>
      </c>
      <c r="EY267" s="10" cm="1">
        <f t="array" aca="1" ref="EY267" ca="1">(1-$B$18)*SUMPRODUCT(OFFSET($BO$15,0,0,$B$14,1), 1*(_xlfn._xlws.FILTER(OFFSET($O$15,0,$DN267,$B$8,1),OFFSET($M$15,0,0,$B$8,1))=EY$13), 1*(_xlfn._xlws.FILTER(OFFSET($O$15,0,$DO267,$B$8,1),OFFSET($M$15,0,0,$B$8,1))=EY$14))   /   SUM(OFFSET($BO$15,0,0,$B$14,1)) + $B$18/($B$19*$B$19*($DN267&lt;&gt;$DO267) + $B$19*($DN267=$DO267))</f>
        <v>3.7037037037037035E-4</v>
      </c>
      <c r="EZ267" s="10" cm="1">
        <f t="array" aca="1" ref="EZ267" ca="1">(1-$B$18)*SUMPRODUCT(OFFSET($BO$15,0,0,$B$14,1), 1*(_xlfn._xlws.FILTER(OFFSET($O$15,0,$DN267,$B$8,1),OFFSET($M$15,0,0,$B$8,1))=EZ$13), 1*(_xlfn._xlws.FILTER(OFFSET($O$15,0,$DO267,$B$8,1),OFFSET($M$15,0,0,$B$8,1))=EZ$14))   /   SUM(OFFSET($BO$15,0,0,$B$14,1)) + $B$18/($B$19*$B$19*($DN267&lt;&gt;$DO267) + $B$19*($DN267=$DO267))</f>
        <v>3.7037037037037035E-4</v>
      </c>
      <c r="FA267" s="10" cm="1">
        <f t="array" aca="1" ref="FA267" ca="1">(1-$B$18)*SUMPRODUCT(OFFSET($BO$15,0,0,$B$14,1), 1*(_xlfn._xlws.FILTER(OFFSET($O$15,0,$DN267,$B$8,1),OFFSET($M$15,0,0,$B$8,1))=FA$13), 1*(_xlfn._xlws.FILTER(OFFSET($O$15,0,$DO267,$B$8,1),OFFSET($M$15,0,0,$B$8,1))=FA$14))   /   SUM(OFFSET($BO$15,0,0,$B$14,1)) + $B$18/($B$19*$B$19*($DN267&lt;&gt;$DO267) + $B$19*($DN267=$DO267))</f>
        <v>3.7037037037037035E-4</v>
      </c>
      <c r="FB267" s="10" cm="1">
        <f t="array" aca="1" ref="FB267" ca="1">(1-$B$18)*SUMPRODUCT(OFFSET($BO$15,0,0,$B$14,1), 1*(_xlfn._xlws.FILTER(OFFSET($O$15,0,$DN267,$B$8,1),OFFSET($M$15,0,0,$B$8,1))=FB$13), 1*(_xlfn._xlws.FILTER(OFFSET($O$15,0,$DO267,$B$8,1),OFFSET($M$15,0,0,$B$8,1))=FB$14))   /   SUM(OFFSET($BO$15,0,0,$B$14,1)) + $B$18/($B$19*$B$19*($DN267&lt;&gt;$DO267) + $B$19*($DN267=$DO267))</f>
        <v>3.7037037037037035E-4</v>
      </c>
      <c r="FC267" s="10" cm="1">
        <f t="array" aca="1" ref="FC267" ca="1">(1-$B$18)*SUMPRODUCT(OFFSET($BO$15,0,0,$B$14,1), 1*(_xlfn._xlws.FILTER(OFFSET($O$15,0,$DN267,$B$8,1),OFFSET($M$15,0,0,$B$8,1))=FC$13), 1*(_xlfn._xlws.FILTER(OFFSET($O$15,0,$DO267,$B$8,1),OFFSET($M$15,0,0,$B$8,1))=FC$14))   /   SUM(OFFSET($BO$15,0,0,$B$14,1)) + $B$18/($B$19*$B$19*($DN267&lt;&gt;$DO267) + $B$19*($DN267=$DO267))</f>
        <v>3.7037037037037035E-4</v>
      </c>
      <c r="FD267" s="10" cm="1">
        <f t="array" aca="1" ref="FD267" ca="1">(1-$B$18)*SUMPRODUCT(OFFSET($BO$15,0,0,$B$14,1), 1*(_xlfn._xlws.FILTER(OFFSET($O$15,0,$DN267,$B$8,1),OFFSET($M$15,0,0,$B$8,1))=FD$13), 1*(_xlfn._xlws.FILTER(OFFSET($O$15,0,$DO267,$B$8,1),OFFSET($M$15,0,0,$B$8,1))=FD$14))   /   SUM(OFFSET($BO$15,0,0,$B$14,1)) + $B$18/($B$19*$B$19*($DN267&lt;&gt;$DO267) + $B$19*($DN267=$DO267))</f>
        <v>3.7037037037037035E-4</v>
      </c>
      <c r="FE267" s="10" cm="1">
        <f t="array" aca="1" ref="FE267" ca="1">(1-$B$18)*SUMPRODUCT(OFFSET($BO$15,0,0,$B$14,1), 1*(_xlfn._xlws.FILTER(OFFSET($O$15,0,$DN267,$B$8,1),OFFSET($M$15,0,0,$B$8,1))=FE$13), 1*(_xlfn._xlws.FILTER(OFFSET($O$15,0,$DO267,$B$8,1),OFFSET($M$15,0,0,$B$8,1))=FE$14))   /   SUM(OFFSET($BO$15,0,0,$B$14,1)) + $B$18/($B$19*$B$19*($DN267&lt;&gt;$DO267) + $B$19*($DN267=$DO267))</f>
        <v>3.7037037037037035E-4</v>
      </c>
      <c r="FF267" s="10" cm="1">
        <f t="array" aca="1" ref="FF267" ca="1">(1-$B$18)*SUMPRODUCT(OFFSET($BO$15,0,0,$B$14,1), 1*(_xlfn._xlws.FILTER(OFFSET($O$15,0,$DN267,$B$8,1),OFFSET($M$15,0,0,$B$8,1))=FF$13), 1*(_xlfn._xlws.FILTER(OFFSET($O$15,0,$DO267,$B$8,1),OFFSET($M$15,0,0,$B$8,1))=FF$14))   /   SUM(OFFSET($BO$15,0,0,$B$14,1)) + $B$18/($B$19*$B$19*($DN267&lt;&gt;$DO267) + $B$19*($DN267=$DO267))</f>
        <v>3.7037037037037035E-4</v>
      </c>
      <c r="FG267" s="10" cm="1">
        <f t="array" aca="1" ref="FG267" ca="1">(1-$B$18)*SUMPRODUCT(OFFSET($BO$15,0,0,$B$14,1), 1*(_xlfn._xlws.FILTER(OFFSET($O$15,0,$DN267,$B$8,1),OFFSET($M$15,0,0,$B$8,1))=FG$13), 1*(_xlfn._xlws.FILTER(OFFSET($O$15,0,$DO267,$B$8,1),OFFSET($M$15,0,0,$B$8,1))=FG$14))   /   SUM(OFFSET($BO$15,0,0,$B$14,1)) + $B$18/($B$19*$B$19*($DN267&lt;&gt;$DO267) + $B$19*($DN267=$DO267))</f>
        <v>3.7037037037037035E-4</v>
      </c>
      <c r="FH267" s="10" cm="1">
        <f t="array" aca="1" ref="FH267" ca="1">(1-$B$18)*SUMPRODUCT(OFFSET($BO$15,0,0,$B$14,1), 1*(_xlfn._xlws.FILTER(OFFSET($O$15,0,$DN267,$B$8,1),OFFSET($M$15,0,0,$B$8,1))=FH$13), 1*(_xlfn._xlws.FILTER(OFFSET($O$15,0,$DO267,$B$8,1),OFFSET($M$15,0,0,$B$8,1))=FH$14))   /   SUM(OFFSET($BO$15,0,0,$B$14,1)) + $B$18/($B$19*$B$19*($DN267&lt;&gt;$DO267) + $B$19*($DN267=$DO267))</f>
        <v>3.7037037037037035E-4</v>
      </c>
      <c r="FI267" s="10" cm="1">
        <f t="array" aca="1" ref="FI267" ca="1">(1-$B$18)*SUMPRODUCT(OFFSET($BO$15,0,0,$B$14,1), 1*(_xlfn._xlws.FILTER(OFFSET($O$15,0,$DN267,$B$8,1),OFFSET($M$15,0,0,$B$8,1))=FI$13), 1*(_xlfn._xlws.FILTER(OFFSET($O$15,0,$DO267,$B$8,1),OFFSET($M$15,0,0,$B$8,1))=FI$14))   /   SUM(OFFSET($BO$15,0,0,$B$14,1)) + $B$18/($B$19*$B$19*($DN267&lt;&gt;$DO267) + $B$19*($DN267=$DO267))</f>
        <v>3.7037037037037035E-4</v>
      </c>
      <c r="FJ267" s="10" cm="1">
        <f t="array" aca="1" ref="FJ267" ca="1">(1-$B$18)*SUMPRODUCT(OFFSET($BO$15,0,0,$B$14,1), 1*(_xlfn._xlws.FILTER(OFFSET($O$15,0,$DN267,$B$8,1),OFFSET($M$15,0,0,$B$8,1))=FJ$13), 1*(_xlfn._xlws.FILTER(OFFSET($O$15,0,$DO267,$B$8,1),OFFSET($M$15,0,0,$B$8,1))=FJ$14))   /   SUM(OFFSET($BO$15,0,0,$B$14,1)) + $B$18/($B$19*$B$19*($DN267&lt;&gt;$DO267) + $B$19*($DN267=$DO267))</f>
        <v>3.7037037037037035E-4</v>
      </c>
      <c r="FK267" s="10" cm="1">
        <f t="array" aca="1" ref="FK267" ca="1">(1-$B$18)*SUMPRODUCT(OFFSET($BO$15,0,0,$B$14,1), 1*(_xlfn._xlws.FILTER(OFFSET($O$15,0,$DN267,$B$8,1),OFFSET($M$15,0,0,$B$8,1))=FK$13), 1*(_xlfn._xlws.FILTER(OFFSET($O$15,0,$DO267,$B$8,1),OFFSET($M$15,0,0,$B$8,1))=FK$14))   /   SUM(OFFSET($BO$15,0,0,$B$14,1)) + $B$18/($B$19*$B$19*($DN267&lt;&gt;$DO267) + $B$19*($DN267=$DO267))</f>
        <v>3.7037037037037035E-4</v>
      </c>
      <c r="FL267" s="10" cm="1">
        <f t="array" aca="1" ref="FL267" ca="1">(1-$B$18)*SUMPRODUCT(OFFSET($BO$15,0,0,$B$14,1), 1*(_xlfn._xlws.FILTER(OFFSET($O$15,0,$DN267,$B$8,1),OFFSET($M$15,0,0,$B$8,1))=FL$13), 1*(_xlfn._xlws.FILTER(OFFSET($O$15,0,$DO267,$B$8,1),OFFSET($M$15,0,0,$B$8,1))=FL$14))   /   SUM(OFFSET($BO$15,0,0,$B$14,1)) + $B$18/($B$19*$B$19*($DN267&lt;&gt;$DO267) + $B$19*($DN267=$DO267))</f>
        <v>3.7037037037037035E-4</v>
      </c>
      <c r="FM267" s="10" cm="1">
        <f t="array" aca="1" ref="FM267" ca="1">(1-$B$18)*SUMPRODUCT(OFFSET($BO$15,0,0,$B$14,1), 1*(_xlfn._xlws.FILTER(OFFSET($O$15,0,$DN267,$B$8,1),OFFSET($M$15,0,0,$B$8,1))=FM$13), 1*(_xlfn._xlws.FILTER(OFFSET($O$15,0,$DO267,$B$8,1),OFFSET($M$15,0,0,$B$8,1))=FM$14))   /   SUM(OFFSET($BO$15,0,0,$B$14,1)) + $B$18/($B$19*$B$19*($DN267&lt;&gt;$DO267) + $B$19*($DN267=$DO267))</f>
        <v>3.7037037037037035E-4</v>
      </c>
      <c r="FN267" s="10" cm="1">
        <f t="array" aca="1" ref="FN267" ca="1">(1-$B$18)*SUMPRODUCT(OFFSET($BO$15,0,0,$B$14,1), 1*(_xlfn._xlws.FILTER(OFFSET($O$15,0,$DN267,$B$8,1),OFFSET($M$15,0,0,$B$8,1))=FN$13), 1*(_xlfn._xlws.FILTER(OFFSET($O$15,0,$DO267,$B$8,1),OFFSET($M$15,0,0,$B$8,1))=FN$14))   /   SUM(OFFSET($BO$15,0,0,$B$14,1)) + $B$18/($B$19*$B$19*($DN267&lt;&gt;$DO267) + $B$19*($DN267=$DO267))</f>
        <v>3.7037037037037035E-4</v>
      </c>
      <c r="FO267" s="10" cm="1">
        <f t="array" aca="1" ref="FO267" ca="1">(1-$B$18)*SUMPRODUCT(OFFSET($BO$15,0,0,$B$14,1), 1*(_xlfn._xlws.FILTER(OFFSET($O$15,0,$DN267,$B$8,1),OFFSET($M$15,0,0,$B$8,1))=FO$13), 1*(_xlfn._xlws.FILTER(OFFSET($O$15,0,$DO267,$B$8,1),OFFSET($M$15,0,0,$B$8,1))=FO$14))   /   SUM(OFFSET($BO$15,0,0,$B$14,1)) + $B$18/($B$19*$B$19*($DN267&lt;&gt;$DO267) + $B$19*($DN267=$DO267))</f>
        <v>3.7037037037037035E-4</v>
      </c>
      <c r="FP267" s="10" cm="1">
        <f t="array" aca="1" ref="FP267" ca="1">(1-$B$18)*SUMPRODUCT(OFFSET($BO$15,0,0,$B$14,1), 1*(_xlfn._xlws.FILTER(OFFSET($O$15,0,$DN267,$B$8,1),OFFSET($M$15,0,0,$B$8,1))=FP$13), 1*(_xlfn._xlws.FILTER(OFFSET($O$15,0,$DO267,$B$8,1),OFFSET($M$15,0,0,$B$8,1))=FP$14))   /   SUM(OFFSET($BO$15,0,0,$B$14,1)) + $B$18/($B$19*$B$19*($DN267&lt;&gt;$DO267) + $B$19*($DN267=$DO267))</f>
        <v>3.7037037037037035E-4</v>
      </c>
      <c r="FQ267" s="10" cm="1">
        <f t="array" aca="1" ref="FQ267" ca="1">(1-$B$18)*SUMPRODUCT(OFFSET($BO$15,0,0,$B$14,1), 1*(_xlfn._xlws.FILTER(OFFSET($O$15,0,$DN267,$B$8,1),OFFSET($M$15,0,0,$B$8,1))=FQ$13), 1*(_xlfn._xlws.FILTER(OFFSET($O$15,0,$DO267,$B$8,1),OFFSET($M$15,0,0,$B$8,1))=FQ$14))   /   SUM(OFFSET($BO$15,0,0,$B$14,1)) + $B$18/($B$19*$B$19*($DN267&lt;&gt;$DO267) + $B$19*($DN267=$DO267))</f>
        <v>3.7037037037037035E-4</v>
      </c>
      <c r="FR267" s="10" cm="1">
        <f t="array" aca="1" ref="FR267" ca="1">(1-$B$18)*SUMPRODUCT(OFFSET($BO$15,0,0,$B$14,1), 1*(_xlfn._xlws.FILTER(OFFSET($O$15,0,$DN267,$B$8,1),OFFSET($M$15,0,0,$B$8,1))=FR$13), 1*(_xlfn._xlws.FILTER(OFFSET($O$15,0,$DO267,$B$8,1),OFFSET($M$15,0,0,$B$8,1))=FR$14))   /   SUM(OFFSET($BO$15,0,0,$B$14,1)) + $B$18/($B$19*$B$19*($DN267&lt;&gt;$DO267) + $B$19*($DN267=$DO267))</f>
        <v>3.7037037037037035E-4</v>
      </c>
      <c r="FS267" s="10" cm="1">
        <f t="array" aca="1" ref="FS267" ca="1">(1-$B$18)*SUMPRODUCT(OFFSET($BO$15,0,0,$B$14,1), 1*(_xlfn._xlws.FILTER(OFFSET($O$15,0,$DN267,$B$8,1),OFFSET($M$15,0,0,$B$8,1))=FS$13), 1*(_xlfn._xlws.FILTER(OFFSET($O$15,0,$DO267,$B$8,1),OFFSET($M$15,0,0,$B$8,1))=FS$14))   /   SUM(OFFSET($BO$15,0,0,$B$14,1)) + $B$18/($B$19*$B$19*($DN267&lt;&gt;$DO267) + $B$19*($DN267=$DO267))</f>
        <v>3.7037037037037035E-4</v>
      </c>
      <c r="FT267" s="10" cm="1">
        <f t="array" aca="1" ref="FT267" ca="1">(1-$B$18)*SUMPRODUCT(OFFSET($BO$15,0,0,$B$14,1), 1*(_xlfn._xlws.FILTER(OFFSET($O$15,0,$DN267,$B$8,1),OFFSET($M$15,0,0,$B$8,1))=FT$13), 1*(_xlfn._xlws.FILTER(OFFSET($O$15,0,$DO267,$B$8,1),OFFSET($M$15,0,0,$B$8,1))=FT$14))   /   SUM(OFFSET($BO$15,0,0,$B$14,1)) + $B$18/($B$19*$B$19*($DN267&lt;&gt;$DO267) + $B$19*($DN267=$DO267))</f>
        <v>3.7037037037037035E-4</v>
      </c>
      <c r="FU267" s="10" cm="1">
        <f t="array" aca="1" ref="FU267" ca="1">(1-$B$18)*SUMPRODUCT(OFFSET($BO$15,0,0,$B$14,1), 1*(_xlfn._xlws.FILTER(OFFSET($O$15,0,$DN267,$B$8,1),OFFSET($M$15,0,0,$B$8,1))=FU$13), 1*(_xlfn._xlws.FILTER(OFFSET($O$15,0,$DO267,$B$8,1),OFFSET($M$15,0,0,$B$8,1))=FU$14))   /   SUM(OFFSET($BO$15,0,0,$B$14,1)) + $B$18/($B$19*$B$19*($DN267&lt;&gt;$DO267) + $B$19*($DN267=$DO267))</f>
        <v>3.7037037037037035E-4</v>
      </c>
      <c r="FV267" s="10" cm="1">
        <f t="array" aca="1" ref="FV267" ca="1">(1-$B$18)*SUMPRODUCT(OFFSET($BO$15,0,0,$B$14,1), 1*(_xlfn._xlws.FILTER(OFFSET($O$15,0,$DN267,$B$8,1),OFFSET($M$15,0,0,$B$8,1))=FV$13), 1*(_xlfn._xlws.FILTER(OFFSET($O$15,0,$DO267,$B$8,1),OFFSET($M$15,0,0,$B$8,1))=FV$14))   /   SUM(OFFSET($BO$15,0,0,$B$14,1)) + $B$18/($B$19*$B$19*($DN267&lt;&gt;$DO267) + $B$19*($DN267=$DO267))</f>
        <v>3.7037037037037035E-4</v>
      </c>
      <c r="FW267" s="10" cm="1">
        <f t="array" aca="1" ref="FW267" ca="1">(1-$B$18)*SUMPRODUCT(OFFSET($BO$15,0,0,$B$14,1), 1*(_xlfn._xlws.FILTER(OFFSET($O$15,0,$DN267,$B$8,1),OFFSET($M$15,0,0,$B$8,1))=FW$13), 1*(_xlfn._xlws.FILTER(OFFSET($O$15,0,$DO267,$B$8,1),OFFSET($M$15,0,0,$B$8,1))=FW$14))   /   SUM(OFFSET($BO$15,0,0,$B$14,1)) + $B$18/($B$19*$B$19*($DN267&lt;&gt;$DO267) + $B$19*($DN267=$DO267))</f>
        <v>3.7037037037037035E-4</v>
      </c>
      <c r="FX267" s="10" cm="1">
        <f t="array" aca="1" ref="FX267" ca="1">(1-$B$18)*SUMPRODUCT(OFFSET($BO$15,0,0,$B$14,1), 1*(_xlfn._xlws.FILTER(OFFSET($O$15,0,$DN267,$B$8,1),OFFSET($M$15,0,0,$B$8,1))=FX$13), 1*(_xlfn._xlws.FILTER(OFFSET($O$15,0,$DO267,$B$8,1),OFFSET($M$15,0,0,$B$8,1))=FX$14))   /   SUM(OFFSET($BO$15,0,0,$B$14,1)) + $B$18/($B$19*$B$19*($DN267&lt;&gt;$DO267) + $B$19*($DN267=$DO267))</f>
        <v>3.7037037037037035E-4</v>
      </c>
      <c r="FY267" s="10" cm="1">
        <f t="array" aca="1" ref="FY267" ca="1">(1-$B$18)*SUMPRODUCT(OFFSET($BO$15,0,0,$B$14,1), 1*(_xlfn._xlws.FILTER(OFFSET($O$15,0,$DN267,$B$8,1),OFFSET($M$15,0,0,$B$8,1))=FY$13), 1*(_xlfn._xlws.FILTER(OFFSET($O$15,0,$DO267,$B$8,1),OFFSET($M$15,0,0,$B$8,1))=FY$14))   /   SUM(OFFSET($BO$15,0,0,$B$14,1)) + $B$18/($B$19*$B$19*($DN267&lt;&gt;$DO267) + $B$19*($DN267=$DO267))</f>
        <v>3.7037037037037035E-4</v>
      </c>
      <c r="FZ267" s="10" cm="1">
        <f t="array" aca="1" ref="FZ267" ca="1">(1-$B$18)*SUMPRODUCT(OFFSET($BO$15,0,0,$B$14,1), 1*(_xlfn._xlws.FILTER(OFFSET($O$15,0,$DN267,$B$8,1),OFFSET($M$15,0,0,$B$8,1))=FZ$13), 1*(_xlfn._xlws.FILTER(OFFSET($O$15,0,$DO267,$B$8,1),OFFSET($M$15,0,0,$B$8,1))=FZ$14))   /   SUM(OFFSET($BO$15,0,0,$B$14,1)) + $B$18/($B$19*$B$19*($DN267&lt;&gt;$DO267) + $B$19*($DN267=$DO267))</f>
        <v>3.7037037037037035E-4</v>
      </c>
      <c r="GA267" s="10" cm="1">
        <f t="array" aca="1" ref="GA267" ca="1">(1-$B$18)*SUMPRODUCT(OFFSET($BO$15,0,0,$B$14,1), 1*(_xlfn._xlws.FILTER(OFFSET($O$15,0,$DN267,$B$8,1),OFFSET($M$15,0,0,$B$8,1))=GA$13), 1*(_xlfn._xlws.FILTER(OFFSET($O$15,0,$DO267,$B$8,1),OFFSET($M$15,0,0,$B$8,1))=GA$14))   /   SUM(OFFSET($BO$15,0,0,$B$14,1)) + $B$18/($B$19*$B$19*($DN267&lt;&gt;$DO267) + $B$19*($DN267=$DO267))</f>
        <v>3.7037037037037035E-4</v>
      </c>
    </row>
    <row r="268" spans="118:183" x14ac:dyDescent="0.2">
      <c r="DN268" cm="1">
        <f t="array" aca="1" ref="DN268" ca="1">INDEX(_xlfn.ANCHORARRAY($CP$15), 1 + INT((ROWS($DO$15:$DO268) - 1) / ROWS(_xlfn.ANCHORARRAY($CP$15))))</f>
        <v>14</v>
      </c>
      <c r="DO268" cm="1">
        <f t="array" aca="1" ref="DO268" ca="1">INDEX(_xlfn.ANCHORARRAY($CP$15),1+MOD(ROWS($DO$15:$DO268)-1,ROWS(_xlfn.ANCHORARRAY($CP$15))))</f>
        <v>6</v>
      </c>
      <c r="DP268" s="10" cm="1">
        <f t="array" aca="1" ref="DP268" ca="1">(1-$B$18)*SUMPRODUCT(OFFSET($BO$15,0,0,$B$14,1), 1*(_xlfn._xlws.FILTER(OFFSET($O$15,0,$DN268,$B$8,1),OFFSET($M$15,0,0,$B$8,1))=DP$13), 1*(_xlfn._xlws.FILTER(OFFSET($O$15,0,$DO268,$B$8,1),OFFSET($M$15,0,0,$B$8,1))=DP$14))   /   SUM(OFFSET($BO$15,0,0,$B$14,1)) + $B$18/($B$19*$B$19*($DN268&lt;&gt;$DO268) + $B$19*($DN268=$DO268))</f>
        <v>3.7037037037037035E-4</v>
      </c>
      <c r="DQ268" s="10" cm="1">
        <f t="array" aca="1" ref="DQ268" ca="1">(1-$B$18)*SUMPRODUCT(OFFSET($BO$15,0,0,$B$14,1), 1*(_xlfn._xlws.FILTER(OFFSET($O$15,0,$DN268,$B$8,1),OFFSET($M$15,0,0,$B$8,1))=DQ$13), 1*(_xlfn._xlws.FILTER(OFFSET($O$15,0,$DO268,$B$8,1),OFFSET($M$15,0,0,$B$8,1))=DQ$14))   /   SUM(OFFSET($BO$15,0,0,$B$14,1)) + $B$18/($B$19*$B$19*($DN268&lt;&gt;$DO268) + $B$19*($DN268=$DO268))</f>
        <v>3.7037037037037035E-4</v>
      </c>
      <c r="DR268" s="10" cm="1">
        <f t="array" aca="1" ref="DR268" ca="1">(1-$B$18)*SUMPRODUCT(OFFSET($BO$15,0,0,$B$14,1), 1*(_xlfn._xlws.FILTER(OFFSET($O$15,0,$DN268,$B$8,1),OFFSET($M$15,0,0,$B$8,1))=DR$13), 1*(_xlfn._xlws.FILTER(OFFSET($O$15,0,$DO268,$B$8,1),OFFSET($M$15,0,0,$B$8,1))=DR$14))   /   SUM(OFFSET($BO$15,0,0,$B$14,1)) + $B$18/($B$19*$B$19*($DN268&lt;&gt;$DO268) + $B$19*($DN268=$DO268))</f>
        <v>3.7037037037037035E-4</v>
      </c>
      <c r="DS268" s="10" cm="1">
        <f t="array" aca="1" ref="DS268" ca="1">(1-$B$18)*SUMPRODUCT(OFFSET($BO$15,0,0,$B$14,1), 1*(_xlfn._xlws.FILTER(OFFSET($O$15,0,$DN268,$B$8,1),OFFSET($M$15,0,0,$B$8,1))=DS$13), 1*(_xlfn._xlws.FILTER(OFFSET($O$15,0,$DO268,$B$8,1),OFFSET($M$15,0,0,$B$8,1))=DS$14))   /   SUM(OFFSET($BO$15,0,0,$B$14,1)) + $B$18/($B$19*$B$19*($DN268&lt;&gt;$DO268) + $B$19*($DN268=$DO268))</f>
        <v>3.7037037037037035E-4</v>
      </c>
      <c r="DT268" s="10" cm="1">
        <f t="array" aca="1" ref="DT268" ca="1">(1-$B$18)*SUMPRODUCT(OFFSET($BO$15,0,0,$B$14,1), 1*(_xlfn._xlws.FILTER(OFFSET($O$15,0,$DN268,$B$8,1),OFFSET($M$15,0,0,$B$8,1))=DT$13), 1*(_xlfn._xlws.FILTER(OFFSET($O$15,0,$DO268,$B$8,1),OFFSET($M$15,0,0,$B$8,1))=DT$14))   /   SUM(OFFSET($BO$15,0,0,$B$14,1)) + $B$18/($B$19*$B$19*($DN268&lt;&gt;$DO268) + $B$19*($DN268=$DO268))</f>
        <v>3.7037037037037035E-4</v>
      </c>
      <c r="DU268" s="10" cm="1">
        <f t="array" aca="1" ref="DU268" ca="1">(1-$B$18)*SUMPRODUCT(OFFSET($BO$15,0,0,$B$14,1), 1*(_xlfn._xlws.FILTER(OFFSET($O$15,0,$DN268,$B$8,1),OFFSET($M$15,0,0,$B$8,1))=DU$13), 1*(_xlfn._xlws.FILTER(OFFSET($O$15,0,$DO268,$B$8,1),OFFSET($M$15,0,0,$B$8,1))=DU$14))   /   SUM(OFFSET($BO$15,0,0,$B$14,1)) + $B$18/($B$19*$B$19*($DN268&lt;&gt;$DO268) + $B$19*($DN268=$DO268))</f>
        <v>3.7037037037037035E-4</v>
      </c>
      <c r="DV268" s="10" cm="1">
        <f t="array" aca="1" ref="DV268" ca="1">(1-$B$18)*SUMPRODUCT(OFFSET($BO$15,0,0,$B$14,1), 1*(_xlfn._xlws.FILTER(OFFSET($O$15,0,$DN268,$B$8,1),OFFSET($M$15,0,0,$B$8,1))=DV$13), 1*(_xlfn._xlws.FILTER(OFFSET($O$15,0,$DO268,$B$8,1),OFFSET($M$15,0,0,$B$8,1))=DV$14))   /   SUM(OFFSET($BO$15,0,0,$B$14,1)) + $B$18/($B$19*$B$19*($DN268&lt;&gt;$DO268) + $B$19*($DN268=$DO268))</f>
        <v>3.7037037037037035E-4</v>
      </c>
      <c r="DW268" s="10" cm="1">
        <f t="array" aca="1" ref="DW268" ca="1">(1-$B$18)*SUMPRODUCT(OFFSET($BO$15,0,0,$B$14,1), 1*(_xlfn._xlws.FILTER(OFFSET($O$15,0,$DN268,$B$8,1),OFFSET($M$15,0,0,$B$8,1))=DW$13), 1*(_xlfn._xlws.FILTER(OFFSET($O$15,0,$DO268,$B$8,1),OFFSET($M$15,0,0,$B$8,1))=DW$14))   /   SUM(OFFSET($BO$15,0,0,$B$14,1)) + $B$18/($B$19*$B$19*($DN268&lt;&gt;$DO268) + $B$19*($DN268=$DO268))</f>
        <v>3.7037037037037035E-4</v>
      </c>
      <c r="DX268" s="10" cm="1">
        <f t="array" aca="1" ref="DX268" ca="1">(1-$B$18)*SUMPRODUCT(OFFSET($BO$15,0,0,$B$14,1), 1*(_xlfn._xlws.FILTER(OFFSET($O$15,0,$DN268,$B$8,1),OFFSET($M$15,0,0,$B$8,1))=DX$13), 1*(_xlfn._xlws.FILTER(OFFSET($O$15,0,$DO268,$B$8,1),OFFSET($M$15,0,0,$B$8,1))=DX$14))   /   SUM(OFFSET($BO$15,0,0,$B$14,1)) + $B$18/($B$19*$B$19*($DN268&lt;&gt;$DO268) + $B$19*($DN268=$DO268))</f>
        <v>3.7037037037037035E-4</v>
      </c>
      <c r="DY268" s="10" cm="1">
        <f t="array" aca="1" ref="DY268" ca="1">(1-$B$18)*SUMPRODUCT(OFFSET($BO$15,0,0,$B$14,1), 1*(_xlfn._xlws.FILTER(OFFSET($O$15,0,$DN268,$B$8,1),OFFSET($M$15,0,0,$B$8,1))=DY$13), 1*(_xlfn._xlws.FILTER(OFFSET($O$15,0,$DO268,$B$8,1),OFFSET($M$15,0,0,$B$8,1))=DY$14))   /   SUM(OFFSET($BO$15,0,0,$B$14,1)) + $B$18/($B$19*$B$19*($DN268&lt;&gt;$DO268) + $B$19*($DN268=$DO268))</f>
        <v>3.7037037037037035E-4</v>
      </c>
      <c r="DZ268" s="10" cm="1">
        <f t="array" aca="1" ref="DZ268" ca="1">(1-$B$18)*SUMPRODUCT(OFFSET($BO$15,0,0,$B$14,1), 1*(_xlfn._xlws.FILTER(OFFSET($O$15,0,$DN268,$B$8,1),OFFSET($M$15,0,0,$B$8,1))=DZ$13), 1*(_xlfn._xlws.FILTER(OFFSET($O$15,0,$DO268,$B$8,1),OFFSET($M$15,0,0,$B$8,1))=DZ$14))   /   SUM(OFFSET($BO$15,0,0,$B$14,1)) + $B$18/($B$19*$B$19*($DN268&lt;&gt;$DO268) + $B$19*($DN268=$DO268))</f>
        <v>3.7037037037037035E-4</v>
      </c>
      <c r="EA268" s="10" cm="1">
        <f t="array" aca="1" ref="EA268" ca="1">(1-$B$18)*SUMPRODUCT(OFFSET($BO$15,0,0,$B$14,1), 1*(_xlfn._xlws.FILTER(OFFSET($O$15,0,$DN268,$B$8,1),OFFSET($M$15,0,0,$B$8,1))=EA$13), 1*(_xlfn._xlws.FILTER(OFFSET($O$15,0,$DO268,$B$8,1),OFFSET($M$15,0,0,$B$8,1))=EA$14))   /   SUM(OFFSET($BO$15,0,0,$B$14,1)) + $B$18/($B$19*$B$19*($DN268&lt;&gt;$DO268) + $B$19*($DN268=$DO268))</f>
        <v>3.7037037037037035E-4</v>
      </c>
      <c r="EB268" s="10" cm="1">
        <f t="array" aca="1" ref="EB268" ca="1">(1-$B$18)*SUMPRODUCT(OFFSET($BO$15,0,0,$B$14,1), 1*(_xlfn._xlws.FILTER(OFFSET($O$15,0,$DN268,$B$8,1),OFFSET($M$15,0,0,$B$8,1))=EB$13), 1*(_xlfn._xlws.FILTER(OFFSET($O$15,0,$DO268,$B$8,1),OFFSET($M$15,0,0,$B$8,1))=EB$14))   /   SUM(OFFSET($BO$15,0,0,$B$14,1)) + $B$18/($B$19*$B$19*($DN268&lt;&gt;$DO268) + $B$19*($DN268=$DO268))</f>
        <v>3.7037037037037035E-4</v>
      </c>
      <c r="EC268" s="10" cm="1">
        <f t="array" aca="1" ref="EC268" ca="1">(1-$B$18)*SUMPRODUCT(OFFSET($BO$15,0,0,$B$14,1), 1*(_xlfn._xlws.FILTER(OFFSET($O$15,0,$DN268,$B$8,1),OFFSET($M$15,0,0,$B$8,1))=EC$13), 1*(_xlfn._xlws.FILTER(OFFSET($O$15,0,$DO268,$B$8,1),OFFSET($M$15,0,0,$B$8,1))=EC$14))   /   SUM(OFFSET($BO$15,0,0,$B$14,1)) + $B$18/($B$19*$B$19*($DN268&lt;&gt;$DO268) + $B$19*($DN268=$DO268))</f>
        <v>3.7037037037037035E-4</v>
      </c>
      <c r="ED268" s="10" cm="1">
        <f t="array" aca="1" ref="ED268" ca="1">(1-$B$18)*SUMPRODUCT(OFFSET($BO$15,0,0,$B$14,1), 1*(_xlfn._xlws.FILTER(OFFSET($O$15,0,$DN268,$B$8,1),OFFSET($M$15,0,0,$B$8,1))=ED$13), 1*(_xlfn._xlws.FILTER(OFFSET($O$15,0,$DO268,$B$8,1),OFFSET($M$15,0,0,$B$8,1))=ED$14))   /   SUM(OFFSET($BO$15,0,0,$B$14,1)) + $B$18/($B$19*$B$19*($DN268&lt;&gt;$DO268) + $B$19*($DN268=$DO268))</f>
        <v>3.7037037037037035E-4</v>
      </c>
      <c r="EE268" s="10" cm="1">
        <f t="array" aca="1" ref="EE268" ca="1">(1-$B$18)*SUMPRODUCT(OFFSET($BO$15,0,0,$B$14,1), 1*(_xlfn._xlws.FILTER(OFFSET($O$15,0,$DN268,$B$8,1),OFFSET($M$15,0,0,$B$8,1))=EE$13), 1*(_xlfn._xlws.FILTER(OFFSET($O$15,0,$DO268,$B$8,1),OFFSET($M$15,0,0,$B$8,1))=EE$14))   /   SUM(OFFSET($BO$15,0,0,$B$14,1)) + $B$18/($B$19*$B$19*($DN268&lt;&gt;$DO268) + $B$19*($DN268=$DO268))</f>
        <v>3.7037037037037035E-4</v>
      </c>
      <c r="EF268" s="10" cm="1">
        <f t="array" aca="1" ref="EF268" ca="1">(1-$B$18)*SUMPRODUCT(OFFSET($BO$15,0,0,$B$14,1), 1*(_xlfn._xlws.FILTER(OFFSET($O$15,0,$DN268,$B$8,1),OFFSET($M$15,0,0,$B$8,1))=EF$13), 1*(_xlfn._xlws.FILTER(OFFSET($O$15,0,$DO268,$B$8,1),OFFSET($M$15,0,0,$B$8,1))=EF$14))   /   SUM(OFFSET($BO$15,0,0,$B$14,1)) + $B$18/($B$19*$B$19*($DN268&lt;&gt;$DO268) + $B$19*($DN268=$DO268))</f>
        <v>3.7037037037037035E-4</v>
      </c>
      <c r="EG268" s="10" cm="1">
        <f t="array" aca="1" ref="EG268" ca="1">(1-$B$18)*SUMPRODUCT(OFFSET($BO$15,0,0,$B$14,1), 1*(_xlfn._xlws.FILTER(OFFSET($O$15,0,$DN268,$B$8,1),OFFSET($M$15,0,0,$B$8,1))=EG$13), 1*(_xlfn._xlws.FILTER(OFFSET($O$15,0,$DO268,$B$8,1),OFFSET($M$15,0,0,$B$8,1))=EG$14))   /   SUM(OFFSET($BO$15,0,0,$B$14,1)) + $B$18/($B$19*$B$19*($DN268&lt;&gt;$DO268) + $B$19*($DN268=$DO268))</f>
        <v>3.7037037037037035E-4</v>
      </c>
      <c r="EH268" s="10" cm="1">
        <f t="array" aca="1" ref="EH268" ca="1">(1-$B$18)*SUMPRODUCT(OFFSET($BO$15,0,0,$B$14,1), 1*(_xlfn._xlws.FILTER(OFFSET($O$15,0,$DN268,$B$8,1),OFFSET($M$15,0,0,$B$8,1))=EH$13), 1*(_xlfn._xlws.FILTER(OFFSET($O$15,0,$DO268,$B$8,1),OFFSET($M$15,0,0,$B$8,1))=EH$14))   /   SUM(OFFSET($BO$15,0,0,$B$14,1)) + $B$18/($B$19*$B$19*($DN268&lt;&gt;$DO268) + $B$19*($DN268=$DO268))</f>
        <v>3.7037037037037035E-4</v>
      </c>
      <c r="EI268" s="10" cm="1">
        <f t="array" aca="1" ref="EI268" ca="1">(1-$B$18)*SUMPRODUCT(OFFSET($BO$15,0,0,$B$14,1), 1*(_xlfn._xlws.FILTER(OFFSET($O$15,0,$DN268,$B$8,1),OFFSET($M$15,0,0,$B$8,1))=EI$13), 1*(_xlfn._xlws.FILTER(OFFSET($O$15,0,$DO268,$B$8,1),OFFSET($M$15,0,0,$B$8,1))=EI$14))   /   SUM(OFFSET($BO$15,0,0,$B$14,1)) + $B$18/($B$19*$B$19*($DN268&lt;&gt;$DO268) + $B$19*($DN268=$DO268))</f>
        <v>3.7037037037037035E-4</v>
      </c>
      <c r="EJ268" s="10" cm="1">
        <f t="array" aca="1" ref="EJ268" ca="1">(1-$B$18)*SUMPRODUCT(OFFSET($BO$15,0,0,$B$14,1), 1*(_xlfn._xlws.FILTER(OFFSET($O$15,0,$DN268,$B$8,1),OFFSET($M$15,0,0,$B$8,1))=EJ$13), 1*(_xlfn._xlws.FILTER(OFFSET($O$15,0,$DO268,$B$8,1),OFFSET($M$15,0,0,$B$8,1))=EJ$14))   /   SUM(OFFSET($BO$15,0,0,$B$14,1)) + $B$18/($B$19*$B$19*($DN268&lt;&gt;$DO268) + $B$19*($DN268=$DO268))</f>
        <v>3.7037037037037035E-4</v>
      </c>
      <c r="EK268" s="10" cm="1">
        <f t="array" aca="1" ref="EK268" ca="1">(1-$B$18)*SUMPRODUCT(OFFSET($BO$15,0,0,$B$14,1), 1*(_xlfn._xlws.FILTER(OFFSET($O$15,0,$DN268,$B$8,1),OFFSET($M$15,0,0,$B$8,1))=EK$13), 1*(_xlfn._xlws.FILTER(OFFSET($O$15,0,$DO268,$B$8,1),OFFSET($M$15,0,0,$B$8,1))=EK$14))   /   SUM(OFFSET($BO$15,0,0,$B$14,1)) + $B$18/($B$19*$B$19*($DN268&lt;&gt;$DO268) + $B$19*($DN268=$DO268))</f>
        <v>3.7037037037037035E-4</v>
      </c>
      <c r="EL268" s="10" cm="1">
        <f t="array" aca="1" ref="EL268" ca="1">(1-$B$18)*SUMPRODUCT(OFFSET($BO$15,0,0,$B$14,1), 1*(_xlfn._xlws.FILTER(OFFSET($O$15,0,$DN268,$B$8,1),OFFSET($M$15,0,0,$B$8,1))=EL$13), 1*(_xlfn._xlws.FILTER(OFFSET($O$15,0,$DO268,$B$8,1),OFFSET($M$15,0,0,$B$8,1))=EL$14))   /   SUM(OFFSET($BO$15,0,0,$B$14,1)) + $B$18/($B$19*$B$19*($DN268&lt;&gt;$DO268) + $B$19*($DN268=$DO268))</f>
        <v>0.97037037037037033</v>
      </c>
      <c r="EM268" s="10" cm="1">
        <f t="array" aca="1" ref="EM268" ca="1">(1-$B$18)*SUMPRODUCT(OFFSET($BO$15,0,0,$B$14,1), 1*(_xlfn._xlws.FILTER(OFFSET($O$15,0,$DN268,$B$8,1),OFFSET($M$15,0,0,$B$8,1))=EM$13), 1*(_xlfn._xlws.FILTER(OFFSET($O$15,0,$DO268,$B$8,1),OFFSET($M$15,0,0,$B$8,1))=EM$14))   /   SUM(OFFSET($BO$15,0,0,$B$14,1)) + $B$18/($B$19*$B$19*($DN268&lt;&gt;$DO268) + $B$19*($DN268=$DO268))</f>
        <v>3.7037037037037035E-4</v>
      </c>
      <c r="EN268" s="10" cm="1">
        <f t="array" aca="1" ref="EN268" ca="1">(1-$B$18)*SUMPRODUCT(OFFSET($BO$15,0,0,$B$14,1), 1*(_xlfn._xlws.FILTER(OFFSET($O$15,0,$DN268,$B$8,1),OFFSET($M$15,0,0,$B$8,1))=EN$13), 1*(_xlfn._xlws.FILTER(OFFSET($O$15,0,$DO268,$B$8,1),OFFSET($M$15,0,0,$B$8,1))=EN$14))   /   SUM(OFFSET($BO$15,0,0,$B$14,1)) + $B$18/($B$19*$B$19*($DN268&lt;&gt;$DO268) + $B$19*($DN268=$DO268))</f>
        <v>3.7037037037037035E-4</v>
      </c>
      <c r="EO268" s="10" cm="1">
        <f t="array" aca="1" ref="EO268" ca="1">(1-$B$18)*SUMPRODUCT(OFFSET($BO$15,0,0,$B$14,1), 1*(_xlfn._xlws.FILTER(OFFSET($O$15,0,$DN268,$B$8,1),OFFSET($M$15,0,0,$B$8,1))=EO$13), 1*(_xlfn._xlws.FILTER(OFFSET($O$15,0,$DO268,$B$8,1),OFFSET($M$15,0,0,$B$8,1))=EO$14))   /   SUM(OFFSET($BO$15,0,0,$B$14,1)) + $B$18/($B$19*$B$19*($DN268&lt;&gt;$DO268) + $B$19*($DN268=$DO268))</f>
        <v>3.7037037037037035E-4</v>
      </c>
      <c r="EP268" s="10" cm="1">
        <f t="array" aca="1" ref="EP268" ca="1">(1-$B$18)*SUMPRODUCT(OFFSET($BO$15,0,0,$B$14,1), 1*(_xlfn._xlws.FILTER(OFFSET($O$15,0,$DN268,$B$8,1),OFFSET($M$15,0,0,$B$8,1))=EP$13), 1*(_xlfn._xlws.FILTER(OFFSET($O$15,0,$DO268,$B$8,1),OFFSET($M$15,0,0,$B$8,1))=EP$14))   /   SUM(OFFSET($BO$15,0,0,$B$14,1)) + $B$18/($B$19*$B$19*($DN268&lt;&gt;$DO268) + $B$19*($DN268=$DO268))</f>
        <v>3.7037037037037035E-4</v>
      </c>
      <c r="EQ268" s="10" cm="1">
        <f t="array" aca="1" ref="EQ268" ca="1">(1-$B$18)*SUMPRODUCT(OFFSET($BO$15,0,0,$B$14,1), 1*(_xlfn._xlws.FILTER(OFFSET($O$15,0,$DN268,$B$8,1),OFFSET($M$15,0,0,$B$8,1))=EQ$13), 1*(_xlfn._xlws.FILTER(OFFSET($O$15,0,$DO268,$B$8,1),OFFSET($M$15,0,0,$B$8,1))=EQ$14))   /   SUM(OFFSET($BO$15,0,0,$B$14,1)) + $B$18/($B$19*$B$19*($DN268&lt;&gt;$DO268) + $B$19*($DN268=$DO268))</f>
        <v>3.7037037037037035E-4</v>
      </c>
      <c r="ER268" s="10" cm="1">
        <f t="array" aca="1" ref="ER268" ca="1">(1-$B$18)*SUMPRODUCT(OFFSET($BO$15,0,0,$B$14,1), 1*(_xlfn._xlws.FILTER(OFFSET($O$15,0,$DN268,$B$8,1),OFFSET($M$15,0,0,$B$8,1))=ER$13), 1*(_xlfn._xlws.FILTER(OFFSET($O$15,0,$DO268,$B$8,1),OFFSET($M$15,0,0,$B$8,1))=ER$14))   /   SUM(OFFSET($BO$15,0,0,$B$14,1)) + $B$18/($B$19*$B$19*($DN268&lt;&gt;$DO268) + $B$19*($DN268=$DO268))</f>
        <v>3.7037037037037035E-4</v>
      </c>
      <c r="ES268" s="10" cm="1">
        <f t="array" aca="1" ref="ES268" ca="1">(1-$B$18)*SUMPRODUCT(OFFSET($BO$15,0,0,$B$14,1), 1*(_xlfn._xlws.FILTER(OFFSET($O$15,0,$DN268,$B$8,1),OFFSET($M$15,0,0,$B$8,1))=ES$13), 1*(_xlfn._xlws.FILTER(OFFSET($O$15,0,$DO268,$B$8,1),OFFSET($M$15,0,0,$B$8,1))=ES$14))   /   SUM(OFFSET($BO$15,0,0,$B$14,1)) + $B$18/($B$19*$B$19*($DN268&lt;&gt;$DO268) + $B$19*($DN268=$DO268))</f>
        <v>3.7037037037037035E-4</v>
      </c>
      <c r="ET268" s="10" cm="1">
        <f t="array" aca="1" ref="ET268" ca="1">(1-$B$18)*SUMPRODUCT(OFFSET($BO$15,0,0,$B$14,1), 1*(_xlfn._xlws.FILTER(OFFSET($O$15,0,$DN268,$B$8,1),OFFSET($M$15,0,0,$B$8,1))=ET$13), 1*(_xlfn._xlws.FILTER(OFFSET($O$15,0,$DO268,$B$8,1),OFFSET($M$15,0,0,$B$8,1))=ET$14))   /   SUM(OFFSET($BO$15,0,0,$B$14,1)) + $B$18/($B$19*$B$19*($DN268&lt;&gt;$DO268) + $B$19*($DN268=$DO268))</f>
        <v>3.7037037037037035E-4</v>
      </c>
      <c r="EU268" s="10" cm="1">
        <f t="array" aca="1" ref="EU268" ca="1">(1-$B$18)*SUMPRODUCT(OFFSET($BO$15,0,0,$B$14,1), 1*(_xlfn._xlws.FILTER(OFFSET($O$15,0,$DN268,$B$8,1),OFFSET($M$15,0,0,$B$8,1))=EU$13), 1*(_xlfn._xlws.FILTER(OFFSET($O$15,0,$DO268,$B$8,1),OFFSET($M$15,0,0,$B$8,1))=EU$14))   /   SUM(OFFSET($BO$15,0,0,$B$14,1)) + $B$18/($B$19*$B$19*($DN268&lt;&gt;$DO268) + $B$19*($DN268=$DO268))</f>
        <v>3.7037037037037035E-4</v>
      </c>
      <c r="EV268" s="10" cm="1">
        <f t="array" aca="1" ref="EV268" ca="1">(1-$B$18)*SUMPRODUCT(OFFSET($BO$15,0,0,$B$14,1), 1*(_xlfn._xlws.FILTER(OFFSET($O$15,0,$DN268,$B$8,1),OFFSET($M$15,0,0,$B$8,1))=EV$13), 1*(_xlfn._xlws.FILTER(OFFSET($O$15,0,$DO268,$B$8,1),OFFSET($M$15,0,0,$B$8,1))=EV$14))   /   SUM(OFFSET($BO$15,0,0,$B$14,1)) + $B$18/($B$19*$B$19*($DN268&lt;&gt;$DO268) + $B$19*($DN268=$DO268))</f>
        <v>3.7037037037037035E-4</v>
      </c>
      <c r="EW268" s="10" cm="1">
        <f t="array" aca="1" ref="EW268" ca="1">(1-$B$18)*SUMPRODUCT(OFFSET($BO$15,0,0,$B$14,1), 1*(_xlfn._xlws.FILTER(OFFSET($O$15,0,$DN268,$B$8,1),OFFSET($M$15,0,0,$B$8,1))=EW$13), 1*(_xlfn._xlws.FILTER(OFFSET($O$15,0,$DO268,$B$8,1),OFFSET($M$15,0,0,$B$8,1))=EW$14))   /   SUM(OFFSET($BO$15,0,0,$B$14,1)) + $B$18/($B$19*$B$19*($DN268&lt;&gt;$DO268) + $B$19*($DN268=$DO268))</f>
        <v>3.7037037037037035E-4</v>
      </c>
      <c r="EX268" s="10" cm="1">
        <f t="array" aca="1" ref="EX268" ca="1">(1-$B$18)*SUMPRODUCT(OFFSET($BO$15,0,0,$B$14,1), 1*(_xlfn._xlws.FILTER(OFFSET($O$15,0,$DN268,$B$8,1),OFFSET($M$15,0,0,$B$8,1))=EX$13), 1*(_xlfn._xlws.FILTER(OFFSET($O$15,0,$DO268,$B$8,1),OFFSET($M$15,0,0,$B$8,1))=EX$14))   /   SUM(OFFSET($BO$15,0,0,$B$14,1)) + $B$18/($B$19*$B$19*($DN268&lt;&gt;$DO268) + $B$19*($DN268=$DO268))</f>
        <v>3.7037037037037035E-4</v>
      </c>
      <c r="EY268" s="10" cm="1">
        <f t="array" aca="1" ref="EY268" ca="1">(1-$B$18)*SUMPRODUCT(OFFSET($BO$15,0,0,$B$14,1), 1*(_xlfn._xlws.FILTER(OFFSET($O$15,0,$DN268,$B$8,1),OFFSET($M$15,0,0,$B$8,1))=EY$13), 1*(_xlfn._xlws.FILTER(OFFSET($O$15,0,$DO268,$B$8,1),OFFSET($M$15,0,0,$B$8,1))=EY$14))   /   SUM(OFFSET($BO$15,0,0,$B$14,1)) + $B$18/($B$19*$B$19*($DN268&lt;&gt;$DO268) + $B$19*($DN268=$DO268))</f>
        <v>3.7037037037037035E-4</v>
      </c>
      <c r="EZ268" s="10" cm="1">
        <f t="array" aca="1" ref="EZ268" ca="1">(1-$B$18)*SUMPRODUCT(OFFSET($BO$15,0,0,$B$14,1), 1*(_xlfn._xlws.FILTER(OFFSET($O$15,0,$DN268,$B$8,1),OFFSET($M$15,0,0,$B$8,1))=EZ$13), 1*(_xlfn._xlws.FILTER(OFFSET($O$15,0,$DO268,$B$8,1),OFFSET($M$15,0,0,$B$8,1))=EZ$14))   /   SUM(OFFSET($BO$15,0,0,$B$14,1)) + $B$18/($B$19*$B$19*($DN268&lt;&gt;$DO268) + $B$19*($DN268=$DO268))</f>
        <v>3.7037037037037035E-4</v>
      </c>
      <c r="FA268" s="10" cm="1">
        <f t="array" aca="1" ref="FA268" ca="1">(1-$B$18)*SUMPRODUCT(OFFSET($BO$15,0,0,$B$14,1), 1*(_xlfn._xlws.FILTER(OFFSET($O$15,0,$DN268,$B$8,1),OFFSET($M$15,0,0,$B$8,1))=FA$13), 1*(_xlfn._xlws.FILTER(OFFSET($O$15,0,$DO268,$B$8,1),OFFSET($M$15,0,0,$B$8,1))=FA$14))   /   SUM(OFFSET($BO$15,0,0,$B$14,1)) + $B$18/($B$19*$B$19*($DN268&lt;&gt;$DO268) + $B$19*($DN268=$DO268))</f>
        <v>3.7037037037037035E-4</v>
      </c>
      <c r="FB268" s="10" cm="1">
        <f t="array" aca="1" ref="FB268" ca="1">(1-$B$18)*SUMPRODUCT(OFFSET($BO$15,0,0,$B$14,1), 1*(_xlfn._xlws.FILTER(OFFSET($O$15,0,$DN268,$B$8,1),OFFSET($M$15,0,0,$B$8,1))=FB$13), 1*(_xlfn._xlws.FILTER(OFFSET($O$15,0,$DO268,$B$8,1),OFFSET($M$15,0,0,$B$8,1))=FB$14))   /   SUM(OFFSET($BO$15,0,0,$B$14,1)) + $B$18/($B$19*$B$19*($DN268&lt;&gt;$DO268) + $B$19*($DN268=$DO268))</f>
        <v>3.7037037037037035E-4</v>
      </c>
      <c r="FC268" s="10" cm="1">
        <f t="array" aca="1" ref="FC268" ca="1">(1-$B$18)*SUMPRODUCT(OFFSET($BO$15,0,0,$B$14,1), 1*(_xlfn._xlws.FILTER(OFFSET($O$15,0,$DN268,$B$8,1),OFFSET($M$15,0,0,$B$8,1))=FC$13), 1*(_xlfn._xlws.FILTER(OFFSET($O$15,0,$DO268,$B$8,1),OFFSET($M$15,0,0,$B$8,1))=FC$14))   /   SUM(OFFSET($BO$15,0,0,$B$14,1)) + $B$18/($B$19*$B$19*($DN268&lt;&gt;$DO268) + $B$19*($DN268=$DO268))</f>
        <v>3.7037037037037035E-4</v>
      </c>
      <c r="FD268" s="10" cm="1">
        <f t="array" aca="1" ref="FD268" ca="1">(1-$B$18)*SUMPRODUCT(OFFSET($BO$15,0,0,$B$14,1), 1*(_xlfn._xlws.FILTER(OFFSET($O$15,0,$DN268,$B$8,1),OFFSET($M$15,0,0,$B$8,1))=FD$13), 1*(_xlfn._xlws.FILTER(OFFSET($O$15,0,$DO268,$B$8,1),OFFSET($M$15,0,0,$B$8,1))=FD$14))   /   SUM(OFFSET($BO$15,0,0,$B$14,1)) + $B$18/($B$19*$B$19*($DN268&lt;&gt;$DO268) + $B$19*($DN268=$DO268))</f>
        <v>3.7037037037037035E-4</v>
      </c>
      <c r="FE268" s="10" cm="1">
        <f t="array" aca="1" ref="FE268" ca="1">(1-$B$18)*SUMPRODUCT(OFFSET($BO$15,0,0,$B$14,1), 1*(_xlfn._xlws.FILTER(OFFSET($O$15,0,$DN268,$B$8,1),OFFSET($M$15,0,0,$B$8,1))=FE$13), 1*(_xlfn._xlws.FILTER(OFFSET($O$15,0,$DO268,$B$8,1),OFFSET($M$15,0,0,$B$8,1))=FE$14))   /   SUM(OFFSET($BO$15,0,0,$B$14,1)) + $B$18/($B$19*$B$19*($DN268&lt;&gt;$DO268) + $B$19*($DN268=$DO268))</f>
        <v>3.7037037037037035E-4</v>
      </c>
      <c r="FF268" s="10" cm="1">
        <f t="array" aca="1" ref="FF268" ca="1">(1-$B$18)*SUMPRODUCT(OFFSET($BO$15,0,0,$B$14,1), 1*(_xlfn._xlws.FILTER(OFFSET($O$15,0,$DN268,$B$8,1),OFFSET($M$15,0,0,$B$8,1))=FF$13), 1*(_xlfn._xlws.FILTER(OFFSET($O$15,0,$DO268,$B$8,1),OFFSET($M$15,0,0,$B$8,1))=FF$14))   /   SUM(OFFSET($BO$15,0,0,$B$14,1)) + $B$18/($B$19*$B$19*($DN268&lt;&gt;$DO268) + $B$19*($DN268=$DO268))</f>
        <v>3.7037037037037035E-4</v>
      </c>
      <c r="FG268" s="10" cm="1">
        <f t="array" aca="1" ref="FG268" ca="1">(1-$B$18)*SUMPRODUCT(OFFSET($BO$15,0,0,$B$14,1), 1*(_xlfn._xlws.FILTER(OFFSET($O$15,0,$DN268,$B$8,1),OFFSET($M$15,0,0,$B$8,1))=FG$13), 1*(_xlfn._xlws.FILTER(OFFSET($O$15,0,$DO268,$B$8,1),OFFSET($M$15,0,0,$B$8,1))=FG$14))   /   SUM(OFFSET($BO$15,0,0,$B$14,1)) + $B$18/($B$19*$B$19*($DN268&lt;&gt;$DO268) + $B$19*($DN268=$DO268))</f>
        <v>3.7037037037037035E-4</v>
      </c>
      <c r="FH268" s="10" cm="1">
        <f t="array" aca="1" ref="FH268" ca="1">(1-$B$18)*SUMPRODUCT(OFFSET($BO$15,0,0,$B$14,1), 1*(_xlfn._xlws.FILTER(OFFSET($O$15,0,$DN268,$B$8,1),OFFSET($M$15,0,0,$B$8,1))=FH$13), 1*(_xlfn._xlws.FILTER(OFFSET($O$15,0,$DO268,$B$8,1),OFFSET($M$15,0,0,$B$8,1))=FH$14))   /   SUM(OFFSET($BO$15,0,0,$B$14,1)) + $B$18/($B$19*$B$19*($DN268&lt;&gt;$DO268) + $B$19*($DN268=$DO268))</f>
        <v>3.7037037037037035E-4</v>
      </c>
      <c r="FI268" s="10" cm="1">
        <f t="array" aca="1" ref="FI268" ca="1">(1-$B$18)*SUMPRODUCT(OFFSET($BO$15,0,0,$B$14,1), 1*(_xlfn._xlws.FILTER(OFFSET($O$15,0,$DN268,$B$8,1),OFFSET($M$15,0,0,$B$8,1))=FI$13), 1*(_xlfn._xlws.FILTER(OFFSET($O$15,0,$DO268,$B$8,1),OFFSET($M$15,0,0,$B$8,1))=FI$14))   /   SUM(OFFSET($BO$15,0,0,$B$14,1)) + $B$18/($B$19*$B$19*($DN268&lt;&gt;$DO268) + $B$19*($DN268=$DO268))</f>
        <v>3.7037037037037035E-4</v>
      </c>
      <c r="FJ268" s="10" cm="1">
        <f t="array" aca="1" ref="FJ268" ca="1">(1-$B$18)*SUMPRODUCT(OFFSET($BO$15,0,0,$B$14,1), 1*(_xlfn._xlws.FILTER(OFFSET($O$15,0,$DN268,$B$8,1),OFFSET($M$15,0,0,$B$8,1))=FJ$13), 1*(_xlfn._xlws.FILTER(OFFSET($O$15,0,$DO268,$B$8,1),OFFSET($M$15,0,0,$B$8,1))=FJ$14))   /   SUM(OFFSET($BO$15,0,0,$B$14,1)) + $B$18/($B$19*$B$19*($DN268&lt;&gt;$DO268) + $B$19*($DN268=$DO268))</f>
        <v>3.7037037037037035E-4</v>
      </c>
      <c r="FK268" s="10" cm="1">
        <f t="array" aca="1" ref="FK268" ca="1">(1-$B$18)*SUMPRODUCT(OFFSET($BO$15,0,0,$B$14,1), 1*(_xlfn._xlws.FILTER(OFFSET($O$15,0,$DN268,$B$8,1),OFFSET($M$15,0,0,$B$8,1))=FK$13), 1*(_xlfn._xlws.FILTER(OFFSET($O$15,0,$DO268,$B$8,1),OFFSET($M$15,0,0,$B$8,1))=FK$14))   /   SUM(OFFSET($BO$15,0,0,$B$14,1)) + $B$18/($B$19*$B$19*($DN268&lt;&gt;$DO268) + $B$19*($DN268=$DO268))</f>
        <v>3.7037037037037035E-4</v>
      </c>
      <c r="FL268" s="10" cm="1">
        <f t="array" aca="1" ref="FL268" ca="1">(1-$B$18)*SUMPRODUCT(OFFSET($BO$15,0,0,$B$14,1), 1*(_xlfn._xlws.FILTER(OFFSET($O$15,0,$DN268,$B$8,1),OFFSET($M$15,0,0,$B$8,1))=FL$13), 1*(_xlfn._xlws.FILTER(OFFSET($O$15,0,$DO268,$B$8,1),OFFSET($M$15,0,0,$B$8,1))=FL$14))   /   SUM(OFFSET($BO$15,0,0,$B$14,1)) + $B$18/($B$19*$B$19*($DN268&lt;&gt;$DO268) + $B$19*($DN268=$DO268))</f>
        <v>3.7037037037037035E-4</v>
      </c>
      <c r="FM268" s="10" cm="1">
        <f t="array" aca="1" ref="FM268" ca="1">(1-$B$18)*SUMPRODUCT(OFFSET($BO$15,0,0,$B$14,1), 1*(_xlfn._xlws.FILTER(OFFSET($O$15,0,$DN268,$B$8,1),OFFSET($M$15,0,0,$B$8,1))=FM$13), 1*(_xlfn._xlws.FILTER(OFFSET($O$15,0,$DO268,$B$8,1),OFFSET($M$15,0,0,$B$8,1))=FM$14))   /   SUM(OFFSET($BO$15,0,0,$B$14,1)) + $B$18/($B$19*$B$19*($DN268&lt;&gt;$DO268) + $B$19*($DN268=$DO268))</f>
        <v>3.7037037037037035E-4</v>
      </c>
      <c r="FN268" s="10" cm="1">
        <f t="array" aca="1" ref="FN268" ca="1">(1-$B$18)*SUMPRODUCT(OFFSET($BO$15,0,0,$B$14,1), 1*(_xlfn._xlws.FILTER(OFFSET($O$15,0,$DN268,$B$8,1),OFFSET($M$15,0,0,$B$8,1))=FN$13), 1*(_xlfn._xlws.FILTER(OFFSET($O$15,0,$DO268,$B$8,1),OFFSET($M$15,0,0,$B$8,1))=FN$14))   /   SUM(OFFSET($BO$15,0,0,$B$14,1)) + $B$18/($B$19*$B$19*($DN268&lt;&gt;$DO268) + $B$19*($DN268=$DO268))</f>
        <v>3.7037037037037035E-4</v>
      </c>
      <c r="FO268" s="10" cm="1">
        <f t="array" aca="1" ref="FO268" ca="1">(1-$B$18)*SUMPRODUCT(OFFSET($BO$15,0,0,$B$14,1), 1*(_xlfn._xlws.FILTER(OFFSET($O$15,0,$DN268,$B$8,1),OFFSET($M$15,0,0,$B$8,1))=FO$13), 1*(_xlfn._xlws.FILTER(OFFSET($O$15,0,$DO268,$B$8,1),OFFSET($M$15,0,0,$B$8,1))=FO$14))   /   SUM(OFFSET($BO$15,0,0,$B$14,1)) + $B$18/($B$19*$B$19*($DN268&lt;&gt;$DO268) + $B$19*($DN268=$DO268))</f>
        <v>3.7037037037037035E-4</v>
      </c>
      <c r="FP268" s="10" cm="1">
        <f t="array" aca="1" ref="FP268" ca="1">(1-$B$18)*SUMPRODUCT(OFFSET($BO$15,0,0,$B$14,1), 1*(_xlfn._xlws.FILTER(OFFSET($O$15,0,$DN268,$B$8,1),OFFSET($M$15,0,0,$B$8,1))=FP$13), 1*(_xlfn._xlws.FILTER(OFFSET($O$15,0,$DO268,$B$8,1),OFFSET($M$15,0,0,$B$8,1))=FP$14))   /   SUM(OFFSET($BO$15,0,0,$B$14,1)) + $B$18/($B$19*$B$19*($DN268&lt;&gt;$DO268) + $B$19*($DN268=$DO268))</f>
        <v>3.7037037037037035E-4</v>
      </c>
      <c r="FQ268" s="10" cm="1">
        <f t="array" aca="1" ref="FQ268" ca="1">(1-$B$18)*SUMPRODUCT(OFFSET($BO$15,0,0,$B$14,1), 1*(_xlfn._xlws.FILTER(OFFSET($O$15,0,$DN268,$B$8,1),OFFSET($M$15,0,0,$B$8,1))=FQ$13), 1*(_xlfn._xlws.FILTER(OFFSET($O$15,0,$DO268,$B$8,1),OFFSET($M$15,0,0,$B$8,1))=FQ$14))   /   SUM(OFFSET($BO$15,0,0,$B$14,1)) + $B$18/($B$19*$B$19*($DN268&lt;&gt;$DO268) + $B$19*($DN268=$DO268))</f>
        <v>3.7037037037037035E-4</v>
      </c>
      <c r="FR268" s="10" cm="1">
        <f t="array" aca="1" ref="FR268" ca="1">(1-$B$18)*SUMPRODUCT(OFFSET($BO$15,0,0,$B$14,1), 1*(_xlfn._xlws.FILTER(OFFSET($O$15,0,$DN268,$B$8,1),OFFSET($M$15,0,0,$B$8,1))=FR$13), 1*(_xlfn._xlws.FILTER(OFFSET($O$15,0,$DO268,$B$8,1),OFFSET($M$15,0,0,$B$8,1))=FR$14))   /   SUM(OFFSET($BO$15,0,0,$B$14,1)) + $B$18/($B$19*$B$19*($DN268&lt;&gt;$DO268) + $B$19*($DN268=$DO268))</f>
        <v>3.7037037037037035E-4</v>
      </c>
      <c r="FS268" s="10" cm="1">
        <f t="array" aca="1" ref="FS268" ca="1">(1-$B$18)*SUMPRODUCT(OFFSET($BO$15,0,0,$B$14,1), 1*(_xlfn._xlws.FILTER(OFFSET($O$15,0,$DN268,$B$8,1),OFFSET($M$15,0,0,$B$8,1))=FS$13), 1*(_xlfn._xlws.FILTER(OFFSET($O$15,0,$DO268,$B$8,1),OFFSET($M$15,0,0,$B$8,1))=FS$14))   /   SUM(OFFSET($BO$15,0,0,$B$14,1)) + $B$18/($B$19*$B$19*($DN268&lt;&gt;$DO268) + $B$19*($DN268=$DO268))</f>
        <v>3.7037037037037035E-4</v>
      </c>
      <c r="FT268" s="10" cm="1">
        <f t="array" aca="1" ref="FT268" ca="1">(1-$B$18)*SUMPRODUCT(OFFSET($BO$15,0,0,$B$14,1), 1*(_xlfn._xlws.FILTER(OFFSET($O$15,0,$DN268,$B$8,1),OFFSET($M$15,0,0,$B$8,1))=FT$13), 1*(_xlfn._xlws.FILTER(OFFSET($O$15,0,$DO268,$B$8,1),OFFSET($M$15,0,0,$B$8,1))=FT$14))   /   SUM(OFFSET($BO$15,0,0,$B$14,1)) + $B$18/($B$19*$B$19*($DN268&lt;&gt;$DO268) + $B$19*($DN268=$DO268))</f>
        <v>3.7037037037037035E-4</v>
      </c>
      <c r="FU268" s="10" cm="1">
        <f t="array" aca="1" ref="FU268" ca="1">(1-$B$18)*SUMPRODUCT(OFFSET($BO$15,0,0,$B$14,1), 1*(_xlfn._xlws.FILTER(OFFSET($O$15,0,$DN268,$B$8,1),OFFSET($M$15,0,0,$B$8,1))=FU$13), 1*(_xlfn._xlws.FILTER(OFFSET($O$15,0,$DO268,$B$8,1),OFFSET($M$15,0,0,$B$8,1))=FU$14))   /   SUM(OFFSET($BO$15,0,0,$B$14,1)) + $B$18/($B$19*$B$19*($DN268&lt;&gt;$DO268) + $B$19*($DN268=$DO268))</f>
        <v>3.7037037037037035E-4</v>
      </c>
      <c r="FV268" s="10" cm="1">
        <f t="array" aca="1" ref="FV268" ca="1">(1-$B$18)*SUMPRODUCT(OFFSET($BO$15,0,0,$B$14,1), 1*(_xlfn._xlws.FILTER(OFFSET($O$15,0,$DN268,$B$8,1),OFFSET($M$15,0,0,$B$8,1))=FV$13), 1*(_xlfn._xlws.FILTER(OFFSET($O$15,0,$DO268,$B$8,1),OFFSET($M$15,0,0,$B$8,1))=FV$14))   /   SUM(OFFSET($BO$15,0,0,$B$14,1)) + $B$18/($B$19*$B$19*($DN268&lt;&gt;$DO268) + $B$19*($DN268=$DO268))</f>
        <v>3.7037037037037035E-4</v>
      </c>
      <c r="FW268" s="10" cm="1">
        <f t="array" aca="1" ref="FW268" ca="1">(1-$B$18)*SUMPRODUCT(OFFSET($BO$15,0,0,$B$14,1), 1*(_xlfn._xlws.FILTER(OFFSET($O$15,0,$DN268,$B$8,1),OFFSET($M$15,0,0,$B$8,1))=FW$13), 1*(_xlfn._xlws.FILTER(OFFSET($O$15,0,$DO268,$B$8,1),OFFSET($M$15,0,0,$B$8,1))=FW$14))   /   SUM(OFFSET($BO$15,0,0,$B$14,1)) + $B$18/($B$19*$B$19*($DN268&lt;&gt;$DO268) + $B$19*($DN268=$DO268))</f>
        <v>3.7037037037037035E-4</v>
      </c>
      <c r="FX268" s="10" cm="1">
        <f t="array" aca="1" ref="FX268" ca="1">(1-$B$18)*SUMPRODUCT(OFFSET($BO$15,0,0,$B$14,1), 1*(_xlfn._xlws.FILTER(OFFSET($O$15,0,$DN268,$B$8,1),OFFSET($M$15,0,0,$B$8,1))=FX$13), 1*(_xlfn._xlws.FILTER(OFFSET($O$15,0,$DO268,$B$8,1),OFFSET($M$15,0,0,$B$8,1))=FX$14))   /   SUM(OFFSET($BO$15,0,0,$B$14,1)) + $B$18/($B$19*$B$19*($DN268&lt;&gt;$DO268) + $B$19*($DN268=$DO268))</f>
        <v>3.7037037037037035E-4</v>
      </c>
      <c r="FY268" s="10" cm="1">
        <f t="array" aca="1" ref="FY268" ca="1">(1-$B$18)*SUMPRODUCT(OFFSET($BO$15,0,0,$B$14,1), 1*(_xlfn._xlws.FILTER(OFFSET($O$15,0,$DN268,$B$8,1),OFFSET($M$15,0,0,$B$8,1))=FY$13), 1*(_xlfn._xlws.FILTER(OFFSET($O$15,0,$DO268,$B$8,1),OFFSET($M$15,0,0,$B$8,1))=FY$14))   /   SUM(OFFSET($BO$15,0,0,$B$14,1)) + $B$18/($B$19*$B$19*($DN268&lt;&gt;$DO268) + $B$19*($DN268=$DO268))</f>
        <v>3.7037037037037035E-4</v>
      </c>
      <c r="FZ268" s="10" cm="1">
        <f t="array" aca="1" ref="FZ268" ca="1">(1-$B$18)*SUMPRODUCT(OFFSET($BO$15,0,0,$B$14,1), 1*(_xlfn._xlws.FILTER(OFFSET($O$15,0,$DN268,$B$8,1),OFFSET($M$15,0,0,$B$8,1))=FZ$13), 1*(_xlfn._xlws.FILTER(OFFSET($O$15,0,$DO268,$B$8,1),OFFSET($M$15,0,0,$B$8,1))=FZ$14))   /   SUM(OFFSET($BO$15,0,0,$B$14,1)) + $B$18/($B$19*$B$19*($DN268&lt;&gt;$DO268) + $B$19*($DN268=$DO268))</f>
        <v>3.7037037037037035E-4</v>
      </c>
      <c r="GA268" s="10" cm="1">
        <f t="array" aca="1" ref="GA268" ca="1">(1-$B$18)*SUMPRODUCT(OFFSET($BO$15,0,0,$B$14,1), 1*(_xlfn._xlws.FILTER(OFFSET($O$15,0,$DN268,$B$8,1),OFFSET($M$15,0,0,$B$8,1))=GA$13), 1*(_xlfn._xlws.FILTER(OFFSET($O$15,0,$DO268,$B$8,1),OFFSET($M$15,0,0,$B$8,1))=GA$14))   /   SUM(OFFSET($BO$15,0,0,$B$14,1)) + $B$18/($B$19*$B$19*($DN268&lt;&gt;$DO268) + $B$19*($DN268=$DO268))</f>
        <v>3.7037037037037035E-4</v>
      </c>
    </row>
    <row r="269" spans="118:183" x14ac:dyDescent="0.2">
      <c r="DN269" cm="1">
        <f t="array" aca="1" ref="DN269" ca="1">INDEX(_xlfn.ANCHORARRAY($CP$15), 1 + INT((ROWS($DO$15:$DO269) - 1) / ROWS(_xlfn.ANCHORARRAY($CP$15))))</f>
        <v>14</v>
      </c>
      <c r="DO269" cm="1">
        <f t="array" aca="1" ref="DO269" ca="1">INDEX(_xlfn.ANCHORARRAY($CP$15),1+MOD(ROWS($DO$15:$DO269)-1,ROWS(_xlfn.ANCHORARRAY($CP$15))))</f>
        <v>7</v>
      </c>
      <c r="DP269" s="10" cm="1">
        <f t="array" aca="1" ref="DP269" ca="1">(1-$B$18)*SUMPRODUCT(OFFSET($BO$15,0,0,$B$14,1), 1*(_xlfn._xlws.FILTER(OFFSET($O$15,0,$DN269,$B$8,1),OFFSET($M$15,0,0,$B$8,1))=DP$13), 1*(_xlfn._xlws.FILTER(OFFSET($O$15,0,$DO269,$B$8,1),OFFSET($M$15,0,0,$B$8,1))=DP$14))   /   SUM(OFFSET($BO$15,0,0,$B$14,1)) + $B$18/($B$19*$B$19*($DN269&lt;&gt;$DO269) + $B$19*($DN269=$DO269))</f>
        <v>3.7037037037037035E-4</v>
      </c>
      <c r="DQ269" s="10" cm="1">
        <f t="array" aca="1" ref="DQ269" ca="1">(1-$B$18)*SUMPRODUCT(OFFSET($BO$15,0,0,$B$14,1), 1*(_xlfn._xlws.FILTER(OFFSET($O$15,0,$DN269,$B$8,1),OFFSET($M$15,0,0,$B$8,1))=DQ$13), 1*(_xlfn._xlws.FILTER(OFFSET($O$15,0,$DO269,$B$8,1),OFFSET($M$15,0,0,$B$8,1))=DQ$14))   /   SUM(OFFSET($BO$15,0,0,$B$14,1)) + $B$18/($B$19*$B$19*($DN269&lt;&gt;$DO269) + $B$19*($DN269=$DO269))</f>
        <v>3.7037037037037035E-4</v>
      </c>
      <c r="DR269" s="10" cm="1">
        <f t="array" aca="1" ref="DR269" ca="1">(1-$B$18)*SUMPRODUCT(OFFSET($BO$15,0,0,$B$14,1), 1*(_xlfn._xlws.FILTER(OFFSET($O$15,0,$DN269,$B$8,1),OFFSET($M$15,0,0,$B$8,1))=DR$13), 1*(_xlfn._xlws.FILTER(OFFSET($O$15,0,$DO269,$B$8,1),OFFSET($M$15,0,0,$B$8,1))=DR$14))   /   SUM(OFFSET($BO$15,0,0,$B$14,1)) + $B$18/($B$19*$B$19*($DN269&lt;&gt;$DO269) + $B$19*($DN269=$DO269))</f>
        <v>3.7037037037037035E-4</v>
      </c>
      <c r="DS269" s="10" cm="1">
        <f t="array" aca="1" ref="DS269" ca="1">(1-$B$18)*SUMPRODUCT(OFFSET($BO$15,0,0,$B$14,1), 1*(_xlfn._xlws.FILTER(OFFSET($O$15,0,$DN269,$B$8,1),OFFSET($M$15,0,0,$B$8,1))=DS$13), 1*(_xlfn._xlws.FILTER(OFFSET($O$15,0,$DO269,$B$8,1),OFFSET($M$15,0,0,$B$8,1))=DS$14))   /   SUM(OFFSET($BO$15,0,0,$B$14,1)) + $B$18/($B$19*$B$19*($DN269&lt;&gt;$DO269) + $B$19*($DN269=$DO269))</f>
        <v>3.7037037037037035E-4</v>
      </c>
      <c r="DT269" s="10" cm="1">
        <f t="array" aca="1" ref="DT269" ca="1">(1-$B$18)*SUMPRODUCT(OFFSET($BO$15,0,0,$B$14,1), 1*(_xlfn._xlws.FILTER(OFFSET($O$15,0,$DN269,$B$8,1),OFFSET($M$15,0,0,$B$8,1))=DT$13), 1*(_xlfn._xlws.FILTER(OFFSET($O$15,0,$DO269,$B$8,1),OFFSET($M$15,0,0,$B$8,1))=DT$14))   /   SUM(OFFSET($BO$15,0,0,$B$14,1)) + $B$18/($B$19*$B$19*($DN269&lt;&gt;$DO269) + $B$19*($DN269=$DO269))</f>
        <v>3.7037037037037035E-4</v>
      </c>
      <c r="DU269" s="10" cm="1">
        <f t="array" aca="1" ref="DU269" ca="1">(1-$B$18)*SUMPRODUCT(OFFSET($BO$15,0,0,$B$14,1), 1*(_xlfn._xlws.FILTER(OFFSET($O$15,0,$DN269,$B$8,1),OFFSET($M$15,0,0,$B$8,1))=DU$13), 1*(_xlfn._xlws.FILTER(OFFSET($O$15,0,$DO269,$B$8,1),OFFSET($M$15,0,0,$B$8,1))=DU$14))   /   SUM(OFFSET($BO$15,0,0,$B$14,1)) + $B$18/($B$19*$B$19*($DN269&lt;&gt;$DO269) + $B$19*($DN269=$DO269))</f>
        <v>3.7037037037037035E-4</v>
      </c>
      <c r="DV269" s="10" cm="1">
        <f t="array" aca="1" ref="DV269" ca="1">(1-$B$18)*SUMPRODUCT(OFFSET($BO$15,0,0,$B$14,1), 1*(_xlfn._xlws.FILTER(OFFSET($O$15,0,$DN269,$B$8,1),OFFSET($M$15,0,0,$B$8,1))=DV$13), 1*(_xlfn._xlws.FILTER(OFFSET($O$15,0,$DO269,$B$8,1),OFFSET($M$15,0,0,$B$8,1))=DV$14))   /   SUM(OFFSET($BO$15,0,0,$B$14,1)) + $B$18/($B$19*$B$19*($DN269&lt;&gt;$DO269) + $B$19*($DN269=$DO269))</f>
        <v>3.7037037037037035E-4</v>
      </c>
      <c r="DW269" s="10" cm="1">
        <f t="array" aca="1" ref="DW269" ca="1">(1-$B$18)*SUMPRODUCT(OFFSET($BO$15,0,0,$B$14,1), 1*(_xlfn._xlws.FILTER(OFFSET($O$15,0,$DN269,$B$8,1),OFFSET($M$15,0,0,$B$8,1))=DW$13), 1*(_xlfn._xlws.FILTER(OFFSET($O$15,0,$DO269,$B$8,1),OFFSET($M$15,0,0,$B$8,1))=DW$14))   /   SUM(OFFSET($BO$15,0,0,$B$14,1)) + $B$18/($B$19*$B$19*($DN269&lt;&gt;$DO269) + $B$19*($DN269=$DO269))</f>
        <v>3.7037037037037035E-4</v>
      </c>
      <c r="DX269" s="10" cm="1">
        <f t="array" aca="1" ref="DX269" ca="1">(1-$B$18)*SUMPRODUCT(OFFSET($BO$15,0,0,$B$14,1), 1*(_xlfn._xlws.FILTER(OFFSET($O$15,0,$DN269,$B$8,1),OFFSET($M$15,0,0,$B$8,1))=DX$13), 1*(_xlfn._xlws.FILTER(OFFSET($O$15,0,$DO269,$B$8,1),OFFSET($M$15,0,0,$B$8,1))=DX$14))   /   SUM(OFFSET($BO$15,0,0,$B$14,1)) + $B$18/($B$19*$B$19*($DN269&lt;&gt;$DO269) + $B$19*($DN269=$DO269))</f>
        <v>3.7037037037037035E-4</v>
      </c>
      <c r="DY269" s="10" cm="1">
        <f t="array" aca="1" ref="DY269" ca="1">(1-$B$18)*SUMPRODUCT(OFFSET($BO$15,0,0,$B$14,1), 1*(_xlfn._xlws.FILTER(OFFSET($O$15,0,$DN269,$B$8,1),OFFSET($M$15,0,0,$B$8,1))=DY$13), 1*(_xlfn._xlws.FILTER(OFFSET($O$15,0,$DO269,$B$8,1),OFFSET($M$15,0,0,$B$8,1))=DY$14))   /   SUM(OFFSET($BO$15,0,0,$B$14,1)) + $B$18/($B$19*$B$19*($DN269&lt;&gt;$DO269) + $B$19*($DN269=$DO269))</f>
        <v>3.7037037037037035E-4</v>
      </c>
      <c r="DZ269" s="10" cm="1">
        <f t="array" aca="1" ref="DZ269" ca="1">(1-$B$18)*SUMPRODUCT(OFFSET($BO$15,0,0,$B$14,1), 1*(_xlfn._xlws.FILTER(OFFSET($O$15,0,$DN269,$B$8,1),OFFSET($M$15,0,0,$B$8,1))=DZ$13), 1*(_xlfn._xlws.FILTER(OFFSET($O$15,0,$DO269,$B$8,1),OFFSET($M$15,0,0,$B$8,1))=DZ$14))   /   SUM(OFFSET($BO$15,0,0,$B$14,1)) + $B$18/($B$19*$B$19*($DN269&lt;&gt;$DO269) + $B$19*($DN269=$DO269))</f>
        <v>3.7037037037037035E-4</v>
      </c>
      <c r="EA269" s="10" cm="1">
        <f t="array" aca="1" ref="EA269" ca="1">(1-$B$18)*SUMPRODUCT(OFFSET($BO$15,0,0,$B$14,1), 1*(_xlfn._xlws.FILTER(OFFSET($O$15,0,$DN269,$B$8,1),OFFSET($M$15,0,0,$B$8,1))=EA$13), 1*(_xlfn._xlws.FILTER(OFFSET($O$15,0,$DO269,$B$8,1),OFFSET($M$15,0,0,$B$8,1))=EA$14))   /   SUM(OFFSET($BO$15,0,0,$B$14,1)) + $B$18/($B$19*$B$19*($DN269&lt;&gt;$DO269) + $B$19*($DN269=$DO269))</f>
        <v>3.7037037037037035E-4</v>
      </c>
      <c r="EB269" s="10" cm="1">
        <f t="array" aca="1" ref="EB269" ca="1">(1-$B$18)*SUMPRODUCT(OFFSET($BO$15,0,0,$B$14,1), 1*(_xlfn._xlws.FILTER(OFFSET($O$15,0,$DN269,$B$8,1),OFFSET($M$15,0,0,$B$8,1))=EB$13), 1*(_xlfn._xlws.FILTER(OFFSET($O$15,0,$DO269,$B$8,1),OFFSET($M$15,0,0,$B$8,1))=EB$14))   /   SUM(OFFSET($BO$15,0,0,$B$14,1)) + $B$18/($B$19*$B$19*($DN269&lt;&gt;$DO269) + $B$19*($DN269=$DO269))</f>
        <v>3.7037037037037035E-4</v>
      </c>
      <c r="EC269" s="10" cm="1">
        <f t="array" aca="1" ref="EC269" ca="1">(1-$B$18)*SUMPRODUCT(OFFSET($BO$15,0,0,$B$14,1), 1*(_xlfn._xlws.FILTER(OFFSET($O$15,0,$DN269,$B$8,1),OFFSET($M$15,0,0,$B$8,1))=EC$13), 1*(_xlfn._xlws.FILTER(OFFSET($O$15,0,$DO269,$B$8,1),OFFSET($M$15,0,0,$B$8,1))=EC$14))   /   SUM(OFFSET($BO$15,0,0,$B$14,1)) + $B$18/($B$19*$B$19*($DN269&lt;&gt;$DO269) + $B$19*($DN269=$DO269))</f>
        <v>3.7037037037037035E-4</v>
      </c>
      <c r="ED269" s="10" cm="1">
        <f t="array" aca="1" ref="ED269" ca="1">(1-$B$18)*SUMPRODUCT(OFFSET($BO$15,0,0,$B$14,1), 1*(_xlfn._xlws.FILTER(OFFSET($O$15,0,$DN269,$B$8,1),OFFSET($M$15,0,0,$B$8,1))=ED$13), 1*(_xlfn._xlws.FILTER(OFFSET($O$15,0,$DO269,$B$8,1),OFFSET($M$15,0,0,$B$8,1))=ED$14))   /   SUM(OFFSET($BO$15,0,0,$B$14,1)) + $B$18/($B$19*$B$19*($DN269&lt;&gt;$DO269) + $B$19*($DN269=$DO269))</f>
        <v>3.7037037037037035E-4</v>
      </c>
      <c r="EE269" s="10" cm="1">
        <f t="array" aca="1" ref="EE269" ca="1">(1-$B$18)*SUMPRODUCT(OFFSET($BO$15,0,0,$B$14,1), 1*(_xlfn._xlws.FILTER(OFFSET($O$15,0,$DN269,$B$8,1),OFFSET($M$15,0,0,$B$8,1))=EE$13), 1*(_xlfn._xlws.FILTER(OFFSET($O$15,0,$DO269,$B$8,1),OFFSET($M$15,0,0,$B$8,1))=EE$14))   /   SUM(OFFSET($BO$15,0,0,$B$14,1)) + $B$18/($B$19*$B$19*($DN269&lt;&gt;$DO269) + $B$19*($DN269=$DO269))</f>
        <v>3.7037037037037035E-4</v>
      </c>
      <c r="EF269" s="10" cm="1">
        <f t="array" aca="1" ref="EF269" ca="1">(1-$B$18)*SUMPRODUCT(OFFSET($BO$15,0,0,$B$14,1), 1*(_xlfn._xlws.FILTER(OFFSET($O$15,0,$DN269,$B$8,1),OFFSET($M$15,0,0,$B$8,1))=EF$13), 1*(_xlfn._xlws.FILTER(OFFSET($O$15,0,$DO269,$B$8,1),OFFSET($M$15,0,0,$B$8,1))=EF$14))   /   SUM(OFFSET($BO$15,0,0,$B$14,1)) + $B$18/($B$19*$B$19*($DN269&lt;&gt;$DO269) + $B$19*($DN269=$DO269))</f>
        <v>3.7037037037037035E-4</v>
      </c>
      <c r="EG269" s="10" cm="1">
        <f t="array" aca="1" ref="EG269" ca="1">(1-$B$18)*SUMPRODUCT(OFFSET($BO$15,0,0,$B$14,1), 1*(_xlfn._xlws.FILTER(OFFSET($O$15,0,$DN269,$B$8,1),OFFSET($M$15,0,0,$B$8,1))=EG$13), 1*(_xlfn._xlws.FILTER(OFFSET($O$15,0,$DO269,$B$8,1),OFFSET($M$15,0,0,$B$8,1))=EG$14))   /   SUM(OFFSET($BO$15,0,0,$B$14,1)) + $B$18/($B$19*$B$19*($DN269&lt;&gt;$DO269) + $B$19*($DN269=$DO269))</f>
        <v>3.7037037037037035E-4</v>
      </c>
      <c r="EH269" s="10" cm="1">
        <f t="array" aca="1" ref="EH269" ca="1">(1-$B$18)*SUMPRODUCT(OFFSET($BO$15,0,0,$B$14,1), 1*(_xlfn._xlws.FILTER(OFFSET($O$15,0,$DN269,$B$8,1),OFFSET($M$15,0,0,$B$8,1))=EH$13), 1*(_xlfn._xlws.FILTER(OFFSET($O$15,0,$DO269,$B$8,1),OFFSET($M$15,0,0,$B$8,1))=EH$14))   /   SUM(OFFSET($BO$15,0,0,$B$14,1)) + $B$18/($B$19*$B$19*($DN269&lt;&gt;$DO269) + $B$19*($DN269=$DO269))</f>
        <v>3.7037037037037035E-4</v>
      </c>
      <c r="EI269" s="10" cm="1">
        <f t="array" aca="1" ref="EI269" ca="1">(1-$B$18)*SUMPRODUCT(OFFSET($BO$15,0,0,$B$14,1), 1*(_xlfn._xlws.FILTER(OFFSET($O$15,0,$DN269,$B$8,1),OFFSET($M$15,0,0,$B$8,1))=EI$13), 1*(_xlfn._xlws.FILTER(OFFSET($O$15,0,$DO269,$B$8,1),OFFSET($M$15,0,0,$B$8,1))=EI$14))   /   SUM(OFFSET($BO$15,0,0,$B$14,1)) + $B$18/($B$19*$B$19*($DN269&lt;&gt;$DO269) + $B$19*($DN269=$DO269))</f>
        <v>3.7037037037037035E-4</v>
      </c>
      <c r="EJ269" s="10" cm="1">
        <f t="array" aca="1" ref="EJ269" ca="1">(1-$B$18)*SUMPRODUCT(OFFSET($BO$15,0,0,$B$14,1), 1*(_xlfn._xlws.FILTER(OFFSET($O$15,0,$DN269,$B$8,1),OFFSET($M$15,0,0,$B$8,1))=EJ$13), 1*(_xlfn._xlws.FILTER(OFFSET($O$15,0,$DO269,$B$8,1),OFFSET($M$15,0,0,$B$8,1))=EJ$14))   /   SUM(OFFSET($BO$15,0,0,$B$14,1)) + $B$18/($B$19*$B$19*($DN269&lt;&gt;$DO269) + $B$19*($DN269=$DO269))</f>
        <v>3.7037037037037035E-4</v>
      </c>
      <c r="EK269" s="10" cm="1">
        <f t="array" aca="1" ref="EK269" ca="1">(1-$B$18)*SUMPRODUCT(OFFSET($BO$15,0,0,$B$14,1), 1*(_xlfn._xlws.FILTER(OFFSET($O$15,0,$DN269,$B$8,1),OFFSET($M$15,0,0,$B$8,1))=EK$13), 1*(_xlfn._xlws.FILTER(OFFSET($O$15,0,$DO269,$B$8,1),OFFSET($M$15,0,0,$B$8,1))=EK$14))   /   SUM(OFFSET($BO$15,0,0,$B$14,1)) + $B$18/($B$19*$B$19*($DN269&lt;&gt;$DO269) + $B$19*($DN269=$DO269))</f>
        <v>3.7037037037037035E-4</v>
      </c>
      <c r="EL269" s="10" cm="1">
        <f t="array" aca="1" ref="EL269" ca="1">(1-$B$18)*SUMPRODUCT(OFFSET($BO$15,0,0,$B$14,1), 1*(_xlfn._xlws.FILTER(OFFSET($O$15,0,$DN269,$B$8,1),OFFSET($M$15,0,0,$B$8,1))=EL$13), 1*(_xlfn._xlws.FILTER(OFFSET($O$15,0,$DO269,$B$8,1),OFFSET($M$15,0,0,$B$8,1))=EL$14))   /   SUM(OFFSET($BO$15,0,0,$B$14,1)) + $B$18/($B$19*$B$19*($DN269&lt;&gt;$DO269) + $B$19*($DN269=$DO269))</f>
        <v>0.97037037037037033</v>
      </c>
      <c r="EM269" s="10" cm="1">
        <f t="array" aca="1" ref="EM269" ca="1">(1-$B$18)*SUMPRODUCT(OFFSET($BO$15,0,0,$B$14,1), 1*(_xlfn._xlws.FILTER(OFFSET($O$15,0,$DN269,$B$8,1),OFFSET($M$15,0,0,$B$8,1))=EM$13), 1*(_xlfn._xlws.FILTER(OFFSET($O$15,0,$DO269,$B$8,1),OFFSET($M$15,0,0,$B$8,1))=EM$14))   /   SUM(OFFSET($BO$15,0,0,$B$14,1)) + $B$18/($B$19*$B$19*($DN269&lt;&gt;$DO269) + $B$19*($DN269=$DO269))</f>
        <v>3.7037037037037035E-4</v>
      </c>
      <c r="EN269" s="10" cm="1">
        <f t="array" aca="1" ref="EN269" ca="1">(1-$B$18)*SUMPRODUCT(OFFSET($BO$15,0,0,$B$14,1), 1*(_xlfn._xlws.FILTER(OFFSET($O$15,0,$DN269,$B$8,1),OFFSET($M$15,0,0,$B$8,1))=EN$13), 1*(_xlfn._xlws.FILTER(OFFSET($O$15,0,$DO269,$B$8,1),OFFSET($M$15,0,0,$B$8,1))=EN$14))   /   SUM(OFFSET($BO$15,0,0,$B$14,1)) + $B$18/($B$19*$B$19*($DN269&lt;&gt;$DO269) + $B$19*($DN269=$DO269))</f>
        <v>3.7037037037037035E-4</v>
      </c>
      <c r="EO269" s="10" cm="1">
        <f t="array" aca="1" ref="EO269" ca="1">(1-$B$18)*SUMPRODUCT(OFFSET($BO$15,0,0,$B$14,1), 1*(_xlfn._xlws.FILTER(OFFSET($O$15,0,$DN269,$B$8,1),OFFSET($M$15,0,0,$B$8,1))=EO$13), 1*(_xlfn._xlws.FILTER(OFFSET($O$15,0,$DO269,$B$8,1),OFFSET($M$15,0,0,$B$8,1))=EO$14))   /   SUM(OFFSET($BO$15,0,0,$B$14,1)) + $B$18/($B$19*$B$19*($DN269&lt;&gt;$DO269) + $B$19*($DN269=$DO269))</f>
        <v>3.7037037037037035E-4</v>
      </c>
      <c r="EP269" s="10" cm="1">
        <f t="array" aca="1" ref="EP269" ca="1">(1-$B$18)*SUMPRODUCT(OFFSET($BO$15,0,0,$B$14,1), 1*(_xlfn._xlws.FILTER(OFFSET($O$15,0,$DN269,$B$8,1),OFFSET($M$15,0,0,$B$8,1))=EP$13), 1*(_xlfn._xlws.FILTER(OFFSET($O$15,0,$DO269,$B$8,1),OFFSET($M$15,0,0,$B$8,1))=EP$14))   /   SUM(OFFSET($BO$15,0,0,$B$14,1)) + $B$18/($B$19*$B$19*($DN269&lt;&gt;$DO269) + $B$19*($DN269=$DO269))</f>
        <v>3.7037037037037035E-4</v>
      </c>
      <c r="EQ269" s="10" cm="1">
        <f t="array" aca="1" ref="EQ269" ca="1">(1-$B$18)*SUMPRODUCT(OFFSET($BO$15,0,0,$B$14,1), 1*(_xlfn._xlws.FILTER(OFFSET($O$15,0,$DN269,$B$8,1),OFFSET($M$15,0,0,$B$8,1))=EQ$13), 1*(_xlfn._xlws.FILTER(OFFSET($O$15,0,$DO269,$B$8,1),OFFSET($M$15,0,0,$B$8,1))=EQ$14))   /   SUM(OFFSET($BO$15,0,0,$B$14,1)) + $B$18/($B$19*$B$19*($DN269&lt;&gt;$DO269) + $B$19*($DN269=$DO269))</f>
        <v>3.7037037037037035E-4</v>
      </c>
      <c r="ER269" s="10" cm="1">
        <f t="array" aca="1" ref="ER269" ca="1">(1-$B$18)*SUMPRODUCT(OFFSET($BO$15,0,0,$B$14,1), 1*(_xlfn._xlws.FILTER(OFFSET($O$15,0,$DN269,$B$8,1),OFFSET($M$15,0,0,$B$8,1))=ER$13), 1*(_xlfn._xlws.FILTER(OFFSET($O$15,0,$DO269,$B$8,1),OFFSET($M$15,0,0,$B$8,1))=ER$14))   /   SUM(OFFSET($BO$15,0,0,$B$14,1)) + $B$18/($B$19*$B$19*($DN269&lt;&gt;$DO269) + $B$19*($DN269=$DO269))</f>
        <v>3.7037037037037035E-4</v>
      </c>
      <c r="ES269" s="10" cm="1">
        <f t="array" aca="1" ref="ES269" ca="1">(1-$B$18)*SUMPRODUCT(OFFSET($BO$15,0,0,$B$14,1), 1*(_xlfn._xlws.FILTER(OFFSET($O$15,0,$DN269,$B$8,1),OFFSET($M$15,0,0,$B$8,1))=ES$13), 1*(_xlfn._xlws.FILTER(OFFSET($O$15,0,$DO269,$B$8,1),OFFSET($M$15,0,0,$B$8,1))=ES$14))   /   SUM(OFFSET($BO$15,0,0,$B$14,1)) + $B$18/($B$19*$B$19*($DN269&lt;&gt;$DO269) + $B$19*($DN269=$DO269))</f>
        <v>3.7037037037037035E-4</v>
      </c>
      <c r="ET269" s="10" cm="1">
        <f t="array" aca="1" ref="ET269" ca="1">(1-$B$18)*SUMPRODUCT(OFFSET($BO$15,0,0,$B$14,1), 1*(_xlfn._xlws.FILTER(OFFSET($O$15,0,$DN269,$B$8,1),OFFSET($M$15,0,0,$B$8,1))=ET$13), 1*(_xlfn._xlws.FILTER(OFFSET($O$15,0,$DO269,$B$8,1),OFFSET($M$15,0,0,$B$8,1))=ET$14))   /   SUM(OFFSET($BO$15,0,0,$B$14,1)) + $B$18/($B$19*$B$19*($DN269&lt;&gt;$DO269) + $B$19*($DN269=$DO269))</f>
        <v>3.7037037037037035E-4</v>
      </c>
      <c r="EU269" s="10" cm="1">
        <f t="array" aca="1" ref="EU269" ca="1">(1-$B$18)*SUMPRODUCT(OFFSET($BO$15,0,0,$B$14,1), 1*(_xlfn._xlws.FILTER(OFFSET($O$15,0,$DN269,$B$8,1),OFFSET($M$15,0,0,$B$8,1))=EU$13), 1*(_xlfn._xlws.FILTER(OFFSET($O$15,0,$DO269,$B$8,1),OFFSET($M$15,0,0,$B$8,1))=EU$14))   /   SUM(OFFSET($BO$15,0,0,$B$14,1)) + $B$18/($B$19*$B$19*($DN269&lt;&gt;$DO269) + $B$19*($DN269=$DO269))</f>
        <v>3.7037037037037035E-4</v>
      </c>
      <c r="EV269" s="10" cm="1">
        <f t="array" aca="1" ref="EV269" ca="1">(1-$B$18)*SUMPRODUCT(OFFSET($BO$15,0,0,$B$14,1), 1*(_xlfn._xlws.FILTER(OFFSET($O$15,0,$DN269,$B$8,1),OFFSET($M$15,0,0,$B$8,1))=EV$13), 1*(_xlfn._xlws.FILTER(OFFSET($O$15,0,$DO269,$B$8,1),OFFSET($M$15,0,0,$B$8,1))=EV$14))   /   SUM(OFFSET($BO$15,0,0,$B$14,1)) + $B$18/($B$19*$B$19*($DN269&lt;&gt;$DO269) + $B$19*($DN269=$DO269))</f>
        <v>3.7037037037037035E-4</v>
      </c>
      <c r="EW269" s="10" cm="1">
        <f t="array" aca="1" ref="EW269" ca="1">(1-$B$18)*SUMPRODUCT(OFFSET($BO$15,0,0,$B$14,1), 1*(_xlfn._xlws.FILTER(OFFSET($O$15,0,$DN269,$B$8,1),OFFSET($M$15,0,0,$B$8,1))=EW$13), 1*(_xlfn._xlws.FILTER(OFFSET($O$15,0,$DO269,$B$8,1),OFFSET($M$15,0,0,$B$8,1))=EW$14))   /   SUM(OFFSET($BO$15,0,0,$B$14,1)) + $B$18/($B$19*$B$19*($DN269&lt;&gt;$DO269) + $B$19*($DN269=$DO269))</f>
        <v>3.7037037037037035E-4</v>
      </c>
      <c r="EX269" s="10" cm="1">
        <f t="array" aca="1" ref="EX269" ca="1">(1-$B$18)*SUMPRODUCT(OFFSET($BO$15,0,0,$B$14,1), 1*(_xlfn._xlws.FILTER(OFFSET($O$15,0,$DN269,$B$8,1),OFFSET($M$15,0,0,$B$8,1))=EX$13), 1*(_xlfn._xlws.FILTER(OFFSET($O$15,0,$DO269,$B$8,1),OFFSET($M$15,0,0,$B$8,1))=EX$14))   /   SUM(OFFSET($BO$15,0,0,$B$14,1)) + $B$18/($B$19*$B$19*($DN269&lt;&gt;$DO269) + $B$19*($DN269=$DO269))</f>
        <v>3.7037037037037035E-4</v>
      </c>
      <c r="EY269" s="10" cm="1">
        <f t="array" aca="1" ref="EY269" ca="1">(1-$B$18)*SUMPRODUCT(OFFSET($BO$15,0,0,$B$14,1), 1*(_xlfn._xlws.FILTER(OFFSET($O$15,0,$DN269,$B$8,1),OFFSET($M$15,0,0,$B$8,1))=EY$13), 1*(_xlfn._xlws.FILTER(OFFSET($O$15,0,$DO269,$B$8,1),OFFSET($M$15,0,0,$B$8,1))=EY$14))   /   SUM(OFFSET($BO$15,0,0,$B$14,1)) + $B$18/($B$19*$B$19*($DN269&lt;&gt;$DO269) + $B$19*($DN269=$DO269))</f>
        <v>3.7037037037037035E-4</v>
      </c>
      <c r="EZ269" s="10" cm="1">
        <f t="array" aca="1" ref="EZ269" ca="1">(1-$B$18)*SUMPRODUCT(OFFSET($BO$15,0,0,$B$14,1), 1*(_xlfn._xlws.FILTER(OFFSET($O$15,0,$DN269,$B$8,1),OFFSET($M$15,0,0,$B$8,1))=EZ$13), 1*(_xlfn._xlws.FILTER(OFFSET($O$15,0,$DO269,$B$8,1),OFFSET($M$15,0,0,$B$8,1))=EZ$14))   /   SUM(OFFSET($BO$15,0,0,$B$14,1)) + $B$18/($B$19*$B$19*($DN269&lt;&gt;$DO269) + $B$19*($DN269=$DO269))</f>
        <v>3.7037037037037035E-4</v>
      </c>
      <c r="FA269" s="10" cm="1">
        <f t="array" aca="1" ref="FA269" ca="1">(1-$B$18)*SUMPRODUCT(OFFSET($BO$15,0,0,$B$14,1), 1*(_xlfn._xlws.FILTER(OFFSET($O$15,0,$DN269,$B$8,1),OFFSET($M$15,0,0,$B$8,1))=FA$13), 1*(_xlfn._xlws.FILTER(OFFSET($O$15,0,$DO269,$B$8,1),OFFSET($M$15,0,0,$B$8,1))=FA$14))   /   SUM(OFFSET($BO$15,0,0,$B$14,1)) + $B$18/($B$19*$B$19*($DN269&lt;&gt;$DO269) + $B$19*($DN269=$DO269))</f>
        <v>3.7037037037037035E-4</v>
      </c>
      <c r="FB269" s="10" cm="1">
        <f t="array" aca="1" ref="FB269" ca="1">(1-$B$18)*SUMPRODUCT(OFFSET($BO$15,0,0,$B$14,1), 1*(_xlfn._xlws.FILTER(OFFSET($O$15,0,$DN269,$B$8,1),OFFSET($M$15,0,0,$B$8,1))=FB$13), 1*(_xlfn._xlws.FILTER(OFFSET($O$15,0,$DO269,$B$8,1),OFFSET($M$15,0,0,$B$8,1))=FB$14))   /   SUM(OFFSET($BO$15,0,0,$B$14,1)) + $B$18/($B$19*$B$19*($DN269&lt;&gt;$DO269) + $B$19*($DN269=$DO269))</f>
        <v>3.7037037037037035E-4</v>
      </c>
      <c r="FC269" s="10" cm="1">
        <f t="array" aca="1" ref="FC269" ca="1">(1-$B$18)*SUMPRODUCT(OFFSET($BO$15,0,0,$B$14,1), 1*(_xlfn._xlws.FILTER(OFFSET($O$15,0,$DN269,$B$8,1),OFFSET($M$15,0,0,$B$8,1))=FC$13), 1*(_xlfn._xlws.FILTER(OFFSET($O$15,0,$DO269,$B$8,1),OFFSET($M$15,0,0,$B$8,1))=FC$14))   /   SUM(OFFSET($BO$15,0,0,$B$14,1)) + $B$18/($B$19*$B$19*($DN269&lt;&gt;$DO269) + $B$19*($DN269=$DO269))</f>
        <v>3.7037037037037035E-4</v>
      </c>
      <c r="FD269" s="10" cm="1">
        <f t="array" aca="1" ref="FD269" ca="1">(1-$B$18)*SUMPRODUCT(OFFSET($BO$15,0,0,$B$14,1), 1*(_xlfn._xlws.FILTER(OFFSET($O$15,0,$DN269,$B$8,1),OFFSET($M$15,0,0,$B$8,1))=FD$13), 1*(_xlfn._xlws.FILTER(OFFSET($O$15,0,$DO269,$B$8,1),OFFSET($M$15,0,0,$B$8,1))=FD$14))   /   SUM(OFFSET($BO$15,0,0,$B$14,1)) + $B$18/($B$19*$B$19*($DN269&lt;&gt;$DO269) + $B$19*($DN269=$DO269))</f>
        <v>3.7037037037037035E-4</v>
      </c>
      <c r="FE269" s="10" cm="1">
        <f t="array" aca="1" ref="FE269" ca="1">(1-$B$18)*SUMPRODUCT(OFFSET($BO$15,0,0,$B$14,1), 1*(_xlfn._xlws.FILTER(OFFSET($O$15,0,$DN269,$B$8,1),OFFSET($M$15,0,0,$B$8,1))=FE$13), 1*(_xlfn._xlws.FILTER(OFFSET($O$15,0,$DO269,$B$8,1),OFFSET($M$15,0,0,$B$8,1))=FE$14))   /   SUM(OFFSET($BO$15,0,0,$B$14,1)) + $B$18/($B$19*$B$19*($DN269&lt;&gt;$DO269) + $B$19*($DN269=$DO269))</f>
        <v>3.7037037037037035E-4</v>
      </c>
      <c r="FF269" s="10" cm="1">
        <f t="array" aca="1" ref="FF269" ca="1">(1-$B$18)*SUMPRODUCT(OFFSET($BO$15,0,0,$B$14,1), 1*(_xlfn._xlws.FILTER(OFFSET($O$15,0,$DN269,$B$8,1),OFFSET($M$15,0,0,$B$8,1))=FF$13), 1*(_xlfn._xlws.FILTER(OFFSET($O$15,0,$DO269,$B$8,1),OFFSET($M$15,0,0,$B$8,1))=FF$14))   /   SUM(OFFSET($BO$15,0,0,$B$14,1)) + $B$18/($B$19*$B$19*($DN269&lt;&gt;$DO269) + $B$19*($DN269=$DO269))</f>
        <v>3.7037037037037035E-4</v>
      </c>
      <c r="FG269" s="10" cm="1">
        <f t="array" aca="1" ref="FG269" ca="1">(1-$B$18)*SUMPRODUCT(OFFSET($BO$15,0,0,$B$14,1), 1*(_xlfn._xlws.FILTER(OFFSET($O$15,0,$DN269,$B$8,1),OFFSET($M$15,0,0,$B$8,1))=FG$13), 1*(_xlfn._xlws.FILTER(OFFSET($O$15,0,$DO269,$B$8,1),OFFSET($M$15,0,0,$B$8,1))=FG$14))   /   SUM(OFFSET($BO$15,0,0,$B$14,1)) + $B$18/($B$19*$B$19*($DN269&lt;&gt;$DO269) + $B$19*($DN269=$DO269))</f>
        <v>3.7037037037037035E-4</v>
      </c>
      <c r="FH269" s="10" cm="1">
        <f t="array" aca="1" ref="FH269" ca="1">(1-$B$18)*SUMPRODUCT(OFFSET($BO$15,0,0,$B$14,1), 1*(_xlfn._xlws.FILTER(OFFSET($O$15,0,$DN269,$B$8,1),OFFSET($M$15,0,0,$B$8,1))=FH$13), 1*(_xlfn._xlws.FILTER(OFFSET($O$15,0,$DO269,$B$8,1),OFFSET($M$15,0,0,$B$8,1))=FH$14))   /   SUM(OFFSET($BO$15,0,0,$B$14,1)) + $B$18/($B$19*$B$19*($DN269&lt;&gt;$DO269) + $B$19*($DN269=$DO269))</f>
        <v>3.7037037037037035E-4</v>
      </c>
      <c r="FI269" s="10" cm="1">
        <f t="array" aca="1" ref="FI269" ca="1">(1-$B$18)*SUMPRODUCT(OFFSET($BO$15,0,0,$B$14,1), 1*(_xlfn._xlws.FILTER(OFFSET($O$15,0,$DN269,$B$8,1),OFFSET($M$15,0,0,$B$8,1))=FI$13), 1*(_xlfn._xlws.FILTER(OFFSET($O$15,0,$DO269,$B$8,1),OFFSET($M$15,0,0,$B$8,1))=FI$14))   /   SUM(OFFSET($BO$15,0,0,$B$14,1)) + $B$18/($B$19*$B$19*($DN269&lt;&gt;$DO269) + $B$19*($DN269=$DO269))</f>
        <v>3.7037037037037035E-4</v>
      </c>
      <c r="FJ269" s="10" cm="1">
        <f t="array" aca="1" ref="FJ269" ca="1">(1-$B$18)*SUMPRODUCT(OFFSET($BO$15,0,0,$B$14,1), 1*(_xlfn._xlws.FILTER(OFFSET($O$15,0,$DN269,$B$8,1),OFFSET($M$15,0,0,$B$8,1))=FJ$13), 1*(_xlfn._xlws.FILTER(OFFSET($O$15,0,$DO269,$B$8,1),OFFSET($M$15,0,0,$B$8,1))=FJ$14))   /   SUM(OFFSET($BO$15,0,0,$B$14,1)) + $B$18/($B$19*$B$19*($DN269&lt;&gt;$DO269) + $B$19*($DN269=$DO269))</f>
        <v>3.7037037037037035E-4</v>
      </c>
      <c r="FK269" s="10" cm="1">
        <f t="array" aca="1" ref="FK269" ca="1">(1-$B$18)*SUMPRODUCT(OFFSET($BO$15,0,0,$B$14,1), 1*(_xlfn._xlws.FILTER(OFFSET($O$15,0,$DN269,$B$8,1),OFFSET($M$15,0,0,$B$8,1))=FK$13), 1*(_xlfn._xlws.FILTER(OFFSET($O$15,0,$DO269,$B$8,1),OFFSET($M$15,0,0,$B$8,1))=FK$14))   /   SUM(OFFSET($BO$15,0,0,$B$14,1)) + $B$18/($B$19*$B$19*($DN269&lt;&gt;$DO269) + $B$19*($DN269=$DO269))</f>
        <v>3.7037037037037035E-4</v>
      </c>
      <c r="FL269" s="10" cm="1">
        <f t="array" aca="1" ref="FL269" ca="1">(1-$B$18)*SUMPRODUCT(OFFSET($BO$15,0,0,$B$14,1), 1*(_xlfn._xlws.FILTER(OFFSET($O$15,0,$DN269,$B$8,1),OFFSET($M$15,0,0,$B$8,1))=FL$13), 1*(_xlfn._xlws.FILTER(OFFSET($O$15,0,$DO269,$B$8,1),OFFSET($M$15,0,0,$B$8,1))=FL$14))   /   SUM(OFFSET($BO$15,0,0,$B$14,1)) + $B$18/($B$19*$B$19*($DN269&lt;&gt;$DO269) + $B$19*($DN269=$DO269))</f>
        <v>3.7037037037037035E-4</v>
      </c>
      <c r="FM269" s="10" cm="1">
        <f t="array" aca="1" ref="FM269" ca="1">(1-$B$18)*SUMPRODUCT(OFFSET($BO$15,0,0,$B$14,1), 1*(_xlfn._xlws.FILTER(OFFSET($O$15,0,$DN269,$B$8,1),OFFSET($M$15,0,0,$B$8,1))=FM$13), 1*(_xlfn._xlws.FILTER(OFFSET($O$15,0,$DO269,$B$8,1),OFFSET($M$15,0,0,$B$8,1))=FM$14))   /   SUM(OFFSET($BO$15,0,0,$B$14,1)) + $B$18/($B$19*$B$19*($DN269&lt;&gt;$DO269) + $B$19*($DN269=$DO269))</f>
        <v>3.7037037037037035E-4</v>
      </c>
      <c r="FN269" s="10" cm="1">
        <f t="array" aca="1" ref="FN269" ca="1">(1-$B$18)*SUMPRODUCT(OFFSET($BO$15,0,0,$B$14,1), 1*(_xlfn._xlws.FILTER(OFFSET($O$15,0,$DN269,$B$8,1),OFFSET($M$15,0,0,$B$8,1))=FN$13), 1*(_xlfn._xlws.FILTER(OFFSET($O$15,0,$DO269,$B$8,1),OFFSET($M$15,0,0,$B$8,1))=FN$14))   /   SUM(OFFSET($BO$15,0,0,$B$14,1)) + $B$18/($B$19*$B$19*($DN269&lt;&gt;$DO269) + $B$19*($DN269=$DO269))</f>
        <v>3.7037037037037035E-4</v>
      </c>
      <c r="FO269" s="10" cm="1">
        <f t="array" aca="1" ref="FO269" ca="1">(1-$B$18)*SUMPRODUCT(OFFSET($BO$15,0,0,$B$14,1), 1*(_xlfn._xlws.FILTER(OFFSET($O$15,0,$DN269,$B$8,1),OFFSET($M$15,0,0,$B$8,1))=FO$13), 1*(_xlfn._xlws.FILTER(OFFSET($O$15,0,$DO269,$B$8,1),OFFSET($M$15,0,0,$B$8,1))=FO$14))   /   SUM(OFFSET($BO$15,0,0,$B$14,1)) + $B$18/($B$19*$B$19*($DN269&lt;&gt;$DO269) + $B$19*($DN269=$DO269))</f>
        <v>3.7037037037037035E-4</v>
      </c>
      <c r="FP269" s="10" cm="1">
        <f t="array" aca="1" ref="FP269" ca="1">(1-$B$18)*SUMPRODUCT(OFFSET($BO$15,0,0,$B$14,1), 1*(_xlfn._xlws.FILTER(OFFSET($O$15,0,$DN269,$B$8,1),OFFSET($M$15,0,0,$B$8,1))=FP$13), 1*(_xlfn._xlws.FILTER(OFFSET($O$15,0,$DO269,$B$8,1),OFFSET($M$15,0,0,$B$8,1))=FP$14))   /   SUM(OFFSET($BO$15,0,0,$B$14,1)) + $B$18/($B$19*$B$19*($DN269&lt;&gt;$DO269) + $B$19*($DN269=$DO269))</f>
        <v>3.7037037037037035E-4</v>
      </c>
      <c r="FQ269" s="10" cm="1">
        <f t="array" aca="1" ref="FQ269" ca="1">(1-$B$18)*SUMPRODUCT(OFFSET($BO$15,0,0,$B$14,1), 1*(_xlfn._xlws.FILTER(OFFSET($O$15,0,$DN269,$B$8,1),OFFSET($M$15,0,0,$B$8,1))=FQ$13), 1*(_xlfn._xlws.FILTER(OFFSET($O$15,0,$DO269,$B$8,1),OFFSET($M$15,0,0,$B$8,1))=FQ$14))   /   SUM(OFFSET($BO$15,0,0,$B$14,1)) + $B$18/($B$19*$B$19*($DN269&lt;&gt;$DO269) + $B$19*($DN269=$DO269))</f>
        <v>3.7037037037037035E-4</v>
      </c>
      <c r="FR269" s="10" cm="1">
        <f t="array" aca="1" ref="FR269" ca="1">(1-$B$18)*SUMPRODUCT(OFFSET($BO$15,0,0,$B$14,1), 1*(_xlfn._xlws.FILTER(OFFSET($O$15,0,$DN269,$B$8,1),OFFSET($M$15,0,0,$B$8,1))=FR$13), 1*(_xlfn._xlws.FILTER(OFFSET($O$15,0,$DO269,$B$8,1),OFFSET($M$15,0,0,$B$8,1))=FR$14))   /   SUM(OFFSET($BO$15,0,0,$B$14,1)) + $B$18/($B$19*$B$19*($DN269&lt;&gt;$DO269) + $B$19*($DN269=$DO269))</f>
        <v>3.7037037037037035E-4</v>
      </c>
      <c r="FS269" s="10" cm="1">
        <f t="array" aca="1" ref="FS269" ca="1">(1-$B$18)*SUMPRODUCT(OFFSET($BO$15,0,0,$B$14,1), 1*(_xlfn._xlws.FILTER(OFFSET($O$15,0,$DN269,$B$8,1),OFFSET($M$15,0,0,$B$8,1))=FS$13), 1*(_xlfn._xlws.FILTER(OFFSET($O$15,0,$DO269,$B$8,1),OFFSET($M$15,0,0,$B$8,1))=FS$14))   /   SUM(OFFSET($BO$15,0,0,$B$14,1)) + $B$18/($B$19*$B$19*($DN269&lt;&gt;$DO269) + $B$19*($DN269=$DO269))</f>
        <v>3.7037037037037035E-4</v>
      </c>
      <c r="FT269" s="10" cm="1">
        <f t="array" aca="1" ref="FT269" ca="1">(1-$B$18)*SUMPRODUCT(OFFSET($BO$15,0,0,$B$14,1), 1*(_xlfn._xlws.FILTER(OFFSET($O$15,0,$DN269,$B$8,1),OFFSET($M$15,0,0,$B$8,1))=FT$13), 1*(_xlfn._xlws.FILTER(OFFSET($O$15,0,$DO269,$B$8,1),OFFSET($M$15,0,0,$B$8,1))=FT$14))   /   SUM(OFFSET($BO$15,0,0,$B$14,1)) + $B$18/($B$19*$B$19*($DN269&lt;&gt;$DO269) + $B$19*($DN269=$DO269))</f>
        <v>3.7037037037037035E-4</v>
      </c>
      <c r="FU269" s="10" cm="1">
        <f t="array" aca="1" ref="FU269" ca="1">(1-$B$18)*SUMPRODUCT(OFFSET($BO$15,0,0,$B$14,1), 1*(_xlfn._xlws.FILTER(OFFSET($O$15,0,$DN269,$B$8,1),OFFSET($M$15,0,0,$B$8,1))=FU$13), 1*(_xlfn._xlws.FILTER(OFFSET($O$15,0,$DO269,$B$8,1),OFFSET($M$15,0,0,$B$8,1))=FU$14))   /   SUM(OFFSET($BO$15,0,0,$B$14,1)) + $B$18/($B$19*$B$19*($DN269&lt;&gt;$DO269) + $B$19*($DN269=$DO269))</f>
        <v>3.7037037037037035E-4</v>
      </c>
      <c r="FV269" s="10" cm="1">
        <f t="array" aca="1" ref="FV269" ca="1">(1-$B$18)*SUMPRODUCT(OFFSET($BO$15,0,0,$B$14,1), 1*(_xlfn._xlws.FILTER(OFFSET($O$15,0,$DN269,$B$8,1),OFFSET($M$15,0,0,$B$8,1))=FV$13), 1*(_xlfn._xlws.FILTER(OFFSET($O$15,0,$DO269,$B$8,1),OFFSET($M$15,0,0,$B$8,1))=FV$14))   /   SUM(OFFSET($BO$15,0,0,$B$14,1)) + $B$18/($B$19*$B$19*($DN269&lt;&gt;$DO269) + $B$19*($DN269=$DO269))</f>
        <v>3.7037037037037035E-4</v>
      </c>
      <c r="FW269" s="10" cm="1">
        <f t="array" aca="1" ref="FW269" ca="1">(1-$B$18)*SUMPRODUCT(OFFSET($BO$15,0,0,$B$14,1), 1*(_xlfn._xlws.FILTER(OFFSET($O$15,0,$DN269,$B$8,1),OFFSET($M$15,0,0,$B$8,1))=FW$13), 1*(_xlfn._xlws.FILTER(OFFSET($O$15,0,$DO269,$B$8,1),OFFSET($M$15,0,0,$B$8,1))=FW$14))   /   SUM(OFFSET($BO$15,0,0,$B$14,1)) + $B$18/($B$19*$B$19*($DN269&lt;&gt;$DO269) + $B$19*($DN269=$DO269))</f>
        <v>3.7037037037037035E-4</v>
      </c>
      <c r="FX269" s="10" cm="1">
        <f t="array" aca="1" ref="FX269" ca="1">(1-$B$18)*SUMPRODUCT(OFFSET($BO$15,0,0,$B$14,1), 1*(_xlfn._xlws.FILTER(OFFSET($O$15,0,$DN269,$B$8,1),OFFSET($M$15,0,0,$B$8,1))=FX$13), 1*(_xlfn._xlws.FILTER(OFFSET($O$15,0,$DO269,$B$8,1),OFFSET($M$15,0,0,$B$8,1))=FX$14))   /   SUM(OFFSET($BO$15,0,0,$B$14,1)) + $B$18/($B$19*$B$19*($DN269&lt;&gt;$DO269) + $B$19*($DN269=$DO269))</f>
        <v>3.7037037037037035E-4</v>
      </c>
      <c r="FY269" s="10" cm="1">
        <f t="array" aca="1" ref="FY269" ca="1">(1-$B$18)*SUMPRODUCT(OFFSET($BO$15,0,0,$B$14,1), 1*(_xlfn._xlws.FILTER(OFFSET($O$15,0,$DN269,$B$8,1),OFFSET($M$15,0,0,$B$8,1))=FY$13), 1*(_xlfn._xlws.FILTER(OFFSET($O$15,0,$DO269,$B$8,1),OFFSET($M$15,0,0,$B$8,1))=FY$14))   /   SUM(OFFSET($BO$15,0,0,$B$14,1)) + $B$18/($B$19*$B$19*($DN269&lt;&gt;$DO269) + $B$19*($DN269=$DO269))</f>
        <v>3.7037037037037035E-4</v>
      </c>
      <c r="FZ269" s="10" cm="1">
        <f t="array" aca="1" ref="FZ269" ca="1">(1-$B$18)*SUMPRODUCT(OFFSET($BO$15,0,0,$B$14,1), 1*(_xlfn._xlws.FILTER(OFFSET($O$15,0,$DN269,$B$8,1),OFFSET($M$15,0,0,$B$8,1))=FZ$13), 1*(_xlfn._xlws.FILTER(OFFSET($O$15,0,$DO269,$B$8,1),OFFSET($M$15,0,0,$B$8,1))=FZ$14))   /   SUM(OFFSET($BO$15,0,0,$B$14,1)) + $B$18/($B$19*$B$19*($DN269&lt;&gt;$DO269) + $B$19*($DN269=$DO269))</f>
        <v>3.7037037037037035E-4</v>
      </c>
      <c r="GA269" s="10" cm="1">
        <f t="array" aca="1" ref="GA269" ca="1">(1-$B$18)*SUMPRODUCT(OFFSET($BO$15,0,0,$B$14,1), 1*(_xlfn._xlws.FILTER(OFFSET($O$15,0,$DN269,$B$8,1),OFFSET($M$15,0,0,$B$8,1))=GA$13), 1*(_xlfn._xlws.FILTER(OFFSET($O$15,0,$DO269,$B$8,1),OFFSET($M$15,0,0,$B$8,1))=GA$14))   /   SUM(OFFSET($BO$15,0,0,$B$14,1)) + $B$18/($B$19*$B$19*($DN269&lt;&gt;$DO269) + $B$19*($DN269=$DO269))</f>
        <v>3.7037037037037035E-4</v>
      </c>
    </row>
    <row r="270" spans="118:183" x14ac:dyDescent="0.2">
      <c r="DN270" cm="1">
        <f t="array" aca="1" ref="DN270" ca="1">INDEX(_xlfn.ANCHORARRAY($CP$15), 1 + INT((ROWS($DO$15:$DO270) - 1) / ROWS(_xlfn.ANCHORARRAY($CP$15))))</f>
        <v>14</v>
      </c>
      <c r="DO270" cm="1">
        <f t="array" aca="1" ref="DO270" ca="1">INDEX(_xlfn.ANCHORARRAY($CP$15),1+MOD(ROWS($DO$15:$DO270)-1,ROWS(_xlfn.ANCHORARRAY($CP$15))))</f>
        <v>8</v>
      </c>
      <c r="DP270" s="10" cm="1">
        <f t="array" aca="1" ref="DP270" ca="1">(1-$B$18)*SUMPRODUCT(OFFSET($BO$15,0,0,$B$14,1), 1*(_xlfn._xlws.FILTER(OFFSET($O$15,0,$DN270,$B$8,1),OFFSET($M$15,0,0,$B$8,1))=DP$13), 1*(_xlfn._xlws.FILTER(OFFSET($O$15,0,$DO270,$B$8,1),OFFSET($M$15,0,0,$B$8,1))=DP$14))   /   SUM(OFFSET($BO$15,0,0,$B$14,1)) + $B$18/($B$19*$B$19*($DN270&lt;&gt;$DO270) + $B$19*($DN270=$DO270))</f>
        <v>3.7037037037037035E-4</v>
      </c>
      <c r="DQ270" s="10" cm="1">
        <f t="array" aca="1" ref="DQ270" ca="1">(1-$B$18)*SUMPRODUCT(OFFSET($BO$15,0,0,$B$14,1), 1*(_xlfn._xlws.FILTER(OFFSET($O$15,0,$DN270,$B$8,1),OFFSET($M$15,0,0,$B$8,1))=DQ$13), 1*(_xlfn._xlws.FILTER(OFFSET($O$15,0,$DO270,$B$8,1),OFFSET($M$15,0,0,$B$8,1))=DQ$14))   /   SUM(OFFSET($BO$15,0,0,$B$14,1)) + $B$18/($B$19*$B$19*($DN270&lt;&gt;$DO270) + $B$19*($DN270=$DO270))</f>
        <v>3.7037037037037035E-4</v>
      </c>
      <c r="DR270" s="10" cm="1">
        <f t="array" aca="1" ref="DR270" ca="1">(1-$B$18)*SUMPRODUCT(OFFSET($BO$15,0,0,$B$14,1), 1*(_xlfn._xlws.FILTER(OFFSET($O$15,0,$DN270,$B$8,1),OFFSET($M$15,0,0,$B$8,1))=DR$13), 1*(_xlfn._xlws.FILTER(OFFSET($O$15,0,$DO270,$B$8,1),OFFSET($M$15,0,0,$B$8,1))=DR$14))   /   SUM(OFFSET($BO$15,0,0,$B$14,1)) + $B$18/($B$19*$B$19*($DN270&lt;&gt;$DO270) + $B$19*($DN270=$DO270))</f>
        <v>3.7037037037037035E-4</v>
      </c>
      <c r="DS270" s="10" cm="1">
        <f t="array" aca="1" ref="DS270" ca="1">(1-$B$18)*SUMPRODUCT(OFFSET($BO$15,0,0,$B$14,1), 1*(_xlfn._xlws.FILTER(OFFSET($O$15,0,$DN270,$B$8,1),OFFSET($M$15,0,0,$B$8,1))=DS$13), 1*(_xlfn._xlws.FILTER(OFFSET($O$15,0,$DO270,$B$8,1),OFFSET($M$15,0,0,$B$8,1))=DS$14))   /   SUM(OFFSET($BO$15,0,0,$B$14,1)) + $B$18/($B$19*$B$19*($DN270&lt;&gt;$DO270) + $B$19*($DN270=$DO270))</f>
        <v>3.7037037037037035E-4</v>
      </c>
      <c r="DT270" s="10" cm="1">
        <f t="array" aca="1" ref="DT270" ca="1">(1-$B$18)*SUMPRODUCT(OFFSET($BO$15,0,0,$B$14,1), 1*(_xlfn._xlws.FILTER(OFFSET($O$15,0,$DN270,$B$8,1),OFFSET($M$15,0,0,$B$8,1))=DT$13), 1*(_xlfn._xlws.FILTER(OFFSET($O$15,0,$DO270,$B$8,1),OFFSET($M$15,0,0,$B$8,1))=DT$14))   /   SUM(OFFSET($BO$15,0,0,$B$14,1)) + $B$18/($B$19*$B$19*($DN270&lt;&gt;$DO270) + $B$19*($DN270=$DO270))</f>
        <v>3.7037037037037035E-4</v>
      </c>
      <c r="DU270" s="10" cm="1">
        <f t="array" aca="1" ref="DU270" ca="1">(1-$B$18)*SUMPRODUCT(OFFSET($BO$15,0,0,$B$14,1), 1*(_xlfn._xlws.FILTER(OFFSET($O$15,0,$DN270,$B$8,1),OFFSET($M$15,0,0,$B$8,1))=DU$13), 1*(_xlfn._xlws.FILTER(OFFSET($O$15,0,$DO270,$B$8,1),OFFSET($M$15,0,0,$B$8,1))=DU$14))   /   SUM(OFFSET($BO$15,0,0,$B$14,1)) + $B$18/($B$19*$B$19*($DN270&lt;&gt;$DO270) + $B$19*($DN270=$DO270))</f>
        <v>3.7037037037037035E-4</v>
      </c>
      <c r="DV270" s="10" cm="1">
        <f t="array" aca="1" ref="DV270" ca="1">(1-$B$18)*SUMPRODUCT(OFFSET($BO$15,0,0,$B$14,1), 1*(_xlfn._xlws.FILTER(OFFSET($O$15,0,$DN270,$B$8,1),OFFSET($M$15,0,0,$B$8,1))=DV$13), 1*(_xlfn._xlws.FILTER(OFFSET($O$15,0,$DO270,$B$8,1),OFFSET($M$15,0,0,$B$8,1))=DV$14))   /   SUM(OFFSET($BO$15,0,0,$B$14,1)) + $B$18/($B$19*$B$19*($DN270&lt;&gt;$DO270) + $B$19*($DN270=$DO270))</f>
        <v>3.7037037037037035E-4</v>
      </c>
      <c r="DW270" s="10" cm="1">
        <f t="array" aca="1" ref="DW270" ca="1">(1-$B$18)*SUMPRODUCT(OFFSET($BO$15,0,0,$B$14,1), 1*(_xlfn._xlws.FILTER(OFFSET($O$15,0,$DN270,$B$8,1),OFFSET($M$15,0,0,$B$8,1))=DW$13), 1*(_xlfn._xlws.FILTER(OFFSET($O$15,0,$DO270,$B$8,1),OFFSET($M$15,0,0,$B$8,1))=DW$14))   /   SUM(OFFSET($BO$15,0,0,$B$14,1)) + $B$18/($B$19*$B$19*($DN270&lt;&gt;$DO270) + $B$19*($DN270=$DO270))</f>
        <v>3.7037037037037035E-4</v>
      </c>
      <c r="DX270" s="10" cm="1">
        <f t="array" aca="1" ref="DX270" ca="1">(1-$B$18)*SUMPRODUCT(OFFSET($BO$15,0,0,$B$14,1), 1*(_xlfn._xlws.FILTER(OFFSET($O$15,0,$DN270,$B$8,1),OFFSET($M$15,0,0,$B$8,1))=DX$13), 1*(_xlfn._xlws.FILTER(OFFSET($O$15,0,$DO270,$B$8,1),OFFSET($M$15,0,0,$B$8,1))=DX$14))   /   SUM(OFFSET($BO$15,0,0,$B$14,1)) + $B$18/($B$19*$B$19*($DN270&lt;&gt;$DO270) + $B$19*($DN270=$DO270))</f>
        <v>3.7037037037037035E-4</v>
      </c>
      <c r="DY270" s="10" cm="1">
        <f t="array" aca="1" ref="DY270" ca="1">(1-$B$18)*SUMPRODUCT(OFFSET($BO$15,0,0,$B$14,1), 1*(_xlfn._xlws.FILTER(OFFSET($O$15,0,$DN270,$B$8,1),OFFSET($M$15,0,0,$B$8,1))=DY$13), 1*(_xlfn._xlws.FILTER(OFFSET($O$15,0,$DO270,$B$8,1),OFFSET($M$15,0,0,$B$8,1))=DY$14))   /   SUM(OFFSET($BO$15,0,0,$B$14,1)) + $B$18/($B$19*$B$19*($DN270&lt;&gt;$DO270) + $B$19*($DN270=$DO270))</f>
        <v>3.7037037037037035E-4</v>
      </c>
      <c r="DZ270" s="10" cm="1">
        <f t="array" aca="1" ref="DZ270" ca="1">(1-$B$18)*SUMPRODUCT(OFFSET($BO$15,0,0,$B$14,1), 1*(_xlfn._xlws.FILTER(OFFSET($O$15,0,$DN270,$B$8,1),OFFSET($M$15,0,0,$B$8,1))=DZ$13), 1*(_xlfn._xlws.FILTER(OFFSET($O$15,0,$DO270,$B$8,1),OFFSET($M$15,0,0,$B$8,1))=DZ$14))   /   SUM(OFFSET($BO$15,0,0,$B$14,1)) + $B$18/($B$19*$B$19*($DN270&lt;&gt;$DO270) + $B$19*($DN270=$DO270))</f>
        <v>3.7037037037037035E-4</v>
      </c>
      <c r="EA270" s="10" cm="1">
        <f t="array" aca="1" ref="EA270" ca="1">(1-$B$18)*SUMPRODUCT(OFFSET($BO$15,0,0,$B$14,1), 1*(_xlfn._xlws.FILTER(OFFSET($O$15,0,$DN270,$B$8,1),OFFSET($M$15,0,0,$B$8,1))=EA$13), 1*(_xlfn._xlws.FILTER(OFFSET($O$15,0,$DO270,$B$8,1),OFFSET($M$15,0,0,$B$8,1))=EA$14))   /   SUM(OFFSET($BO$15,0,0,$B$14,1)) + $B$18/($B$19*$B$19*($DN270&lt;&gt;$DO270) + $B$19*($DN270=$DO270))</f>
        <v>3.7037037037037035E-4</v>
      </c>
      <c r="EB270" s="10" cm="1">
        <f t="array" aca="1" ref="EB270" ca="1">(1-$B$18)*SUMPRODUCT(OFFSET($BO$15,0,0,$B$14,1), 1*(_xlfn._xlws.FILTER(OFFSET($O$15,0,$DN270,$B$8,1),OFFSET($M$15,0,0,$B$8,1))=EB$13), 1*(_xlfn._xlws.FILTER(OFFSET($O$15,0,$DO270,$B$8,1),OFFSET($M$15,0,0,$B$8,1))=EB$14))   /   SUM(OFFSET($BO$15,0,0,$B$14,1)) + $B$18/($B$19*$B$19*($DN270&lt;&gt;$DO270) + $B$19*($DN270=$DO270))</f>
        <v>3.7037037037037035E-4</v>
      </c>
      <c r="EC270" s="10" cm="1">
        <f t="array" aca="1" ref="EC270" ca="1">(1-$B$18)*SUMPRODUCT(OFFSET($BO$15,0,0,$B$14,1), 1*(_xlfn._xlws.FILTER(OFFSET($O$15,0,$DN270,$B$8,1),OFFSET($M$15,0,0,$B$8,1))=EC$13), 1*(_xlfn._xlws.FILTER(OFFSET($O$15,0,$DO270,$B$8,1),OFFSET($M$15,0,0,$B$8,1))=EC$14))   /   SUM(OFFSET($BO$15,0,0,$B$14,1)) + $B$18/($B$19*$B$19*($DN270&lt;&gt;$DO270) + $B$19*($DN270=$DO270))</f>
        <v>3.7037037037037035E-4</v>
      </c>
      <c r="ED270" s="10" cm="1">
        <f t="array" aca="1" ref="ED270" ca="1">(1-$B$18)*SUMPRODUCT(OFFSET($BO$15,0,0,$B$14,1), 1*(_xlfn._xlws.FILTER(OFFSET($O$15,0,$DN270,$B$8,1),OFFSET($M$15,0,0,$B$8,1))=ED$13), 1*(_xlfn._xlws.FILTER(OFFSET($O$15,0,$DO270,$B$8,1),OFFSET($M$15,0,0,$B$8,1))=ED$14))   /   SUM(OFFSET($BO$15,0,0,$B$14,1)) + $B$18/($B$19*$B$19*($DN270&lt;&gt;$DO270) + $B$19*($DN270=$DO270))</f>
        <v>3.7037037037037035E-4</v>
      </c>
      <c r="EE270" s="10" cm="1">
        <f t="array" aca="1" ref="EE270" ca="1">(1-$B$18)*SUMPRODUCT(OFFSET($BO$15,0,0,$B$14,1), 1*(_xlfn._xlws.FILTER(OFFSET($O$15,0,$DN270,$B$8,1),OFFSET($M$15,0,0,$B$8,1))=EE$13), 1*(_xlfn._xlws.FILTER(OFFSET($O$15,0,$DO270,$B$8,1),OFFSET($M$15,0,0,$B$8,1))=EE$14))   /   SUM(OFFSET($BO$15,0,0,$B$14,1)) + $B$18/($B$19*$B$19*($DN270&lt;&gt;$DO270) + $B$19*($DN270=$DO270))</f>
        <v>3.7037037037037035E-4</v>
      </c>
      <c r="EF270" s="10" cm="1">
        <f t="array" aca="1" ref="EF270" ca="1">(1-$B$18)*SUMPRODUCT(OFFSET($BO$15,0,0,$B$14,1), 1*(_xlfn._xlws.FILTER(OFFSET($O$15,0,$DN270,$B$8,1),OFFSET($M$15,0,0,$B$8,1))=EF$13), 1*(_xlfn._xlws.FILTER(OFFSET($O$15,0,$DO270,$B$8,1),OFFSET($M$15,0,0,$B$8,1))=EF$14))   /   SUM(OFFSET($BO$15,0,0,$B$14,1)) + $B$18/($B$19*$B$19*($DN270&lt;&gt;$DO270) + $B$19*($DN270=$DO270))</f>
        <v>3.7037037037037035E-4</v>
      </c>
      <c r="EG270" s="10" cm="1">
        <f t="array" aca="1" ref="EG270" ca="1">(1-$B$18)*SUMPRODUCT(OFFSET($BO$15,0,0,$B$14,1), 1*(_xlfn._xlws.FILTER(OFFSET($O$15,0,$DN270,$B$8,1),OFFSET($M$15,0,0,$B$8,1))=EG$13), 1*(_xlfn._xlws.FILTER(OFFSET($O$15,0,$DO270,$B$8,1),OFFSET($M$15,0,0,$B$8,1))=EG$14))   /   SUM(OFFSET($BO$15,0,0,$B$14,1)) + $B$18/($B$19*$B$19*($DN270&lt;&gt;$DO270) + $B$19*($DN270=$DO270))</f>
        <v>3.7037037037037035E-4</v>
      </c>
      <c r="EH270" s="10" cm="1">
        <f t="array" aca="1" ref="EH270" ca="1">(1-$B$18)*SUMPRODUCT(OFFSET($BO$15,0,0,$B$14,1), 1*(_xlfn._xlws.FILTER(OFFSET($O$15,0,$DN270,$B$8,1),OFFSET($M$15,0,0,$B$8,1))=EH$13), 1*(_xlfn._xlws.FILTER(OFFSET($O$15,0,$DO270,$B$8,1),OFFSET($M$15,0,0,$B$8,1))=EH$14))   /   SUM(OFFSET($BO$15,0,0,$B$14,1)) + $B$18/($B$19*$B$19*($DN270&lt;&gt;$DO270) + $B$19*($DN270=$DO270))</f>
        <v>3.7037037037037035E-4</v>
      </c>
      <c r="EI270" s="10" cm="1">
        <f t="array" aca="1" ref="EI270" ca="1">(1-$B$18)*SUMPRODUCT(OFFSET($BO$15,0,0,$B$14,1), 1*(_xlfn._xlws.FILTER(OFFSET($O$15,0,$DN270,$B$8,1),OFFSET($M$15,0,0,$B$8,1))=EI$13), 1*(_xlfn._xlws.FILTER(OFFSET($O$15,0,$DO270,$B$8,1),OFFSET($M$15,0,0,$B$8,1))=EI$14))   /   SUM(OFFSET($BO$15,0,0,$B$14,1)) + $B$18/($B$19*$B$19*($DN270&lt;&gt;$DO270) + $B$19*($DN270=$DO270))</f>
        <v>3.7037037037037035E-4</v>
      </c>
      <c r="EJ270" s="10" cm="1">
        <f t="array" aca="1" ref="EJ270" ca="1">(1-$B$18)*SUMPRODUCT(OFFSET($BO$15,0,0,$B$14,1), 1*(_xlfn._xlws.FILTER(OFFSET($O$15,0,$DN270,$B$8,1),OFFSET($M$15,0,0,$B$8,1))=EJ$13), 1*(_xlfn._xlws.FILTER(OFFSET($O$15,0,$DO270,$B$8,1),OFFSET($M$15,0,0,$B$8,1))=EJ$14))   /   SUM(OFFSET($BO$15,0,0,$B$14,1)) + $B$18/($B$19*$B$19*($DN270&lt;&gt;$DO270) + $B$19*($DN270=$DO270))</f>
        <v>3.7037037037037035E-4</v>
      </c>
      <c r="EK270" s="10" cm="1">
        <f t="array" aca="1" ref="EK270" ca="1">(1-$B$18)*SUMPRODUCT(OFFSET($BO$15,0,0,$B$14,1), 1*(_xlfn._xlws.FILTER(OFFSET($O$15,0,$DN270,$B$8,1),OFFSET($M$15,0,0,$B$8,1))=EK$13), 1*(_xlfn._xlws.FILTER(OFFSET($O$15,0,$DO270,$B$8,1),OFFSET($M$15,0,0,$B$8,1))=EK$14))   /   SUM(OFFSET($BO$15,0,0,$B$14,1)) + $B$18/($B$19*$B$19*($DN270&lt;&gt;$DO270) + $B$19*($DN270=$DO270))</f>
        <v>3.7037037037037035E-4</v>
      </c>
      <c r="EL270" s="10" cm="1">
        <f t="array" aca="1" ref="EL270" ca="1">(1-$B$18)*SUMPRODUCT(OFFSET($BO$15,0,0,$B$14,1), 1*(_xlfn._xlws.FILTER(OFFSET($O$15,0,$DN270,$B$8,1),OFFSET($M$15,0,0,$B$8,1))=EL$13), 1*(_xlfn._xlws.FILTER(OFFSET($O$15,0,$DO270,$B$8,1),OFFSET($M$15,0,0,$B$8,1))=EL$14))   /   SUM(OFFSET($BO$15,0,0,$B$14,1)) + $B$18/($B$19*$B$19*($DN270&lt;&gt;$DO270) + $B$19*($DN270=$DO270))</f>
        <v>0.97037037037037033</v>
      </c>
      <c r="EM270" s="10" cm="1">
        <f t="array" aca="1" ref="EM270" ca="1">(1-$B$18)*SUMPRODUCT(OFFSET($BO$15,0,0,$B$14,1), 1*(_xlfn._xlws.FILTER(OFFSET($O$15,0,$DN270,$B$8,1),OFFSET($M$15,0,0,$B$8,1))=EM$13), 1*(_xlfn._xlws.FILTER(OFFSET($O$15,0,$DO270,$B$8,1),OFFSET($M$15,0,0,$B$8,1))=EM$14))   /   SUM(OFFSET($BO$15,0,0,$B$14,1)) + $B$18/($B$19*$B$19*($DN270&lt;&gt;$DO270) + $B$19*($DN270=$DO270))</f>
        <v>3.7037037037037035E-4</v>
      </c>
      <c r="EN270" s="10" cm="1">
        <f t="array" aca="1" ref="EN270" ca="1">(1-$B$18)*SUMPRODUCT(OFFSET($BO$15,0,0,$B$14,1), 1*(_xlfn._xlws.FILTER(OFFSET($O$15,0,$DN270,$B$8,1),OFFSET($M$15,0,0,$B$8,1))=EN$13), 1*(_xlfn._xlws.FILTER(OFFSET($O$15,0,$DO270,$B$8,1),OFFSET($M$15,0,0,$B$8,1))=EN$14))   /   SUM(OFFSET($BO$15,0,0,$B$14,1)) + $B$18/($B$19*$B$19*($DN270&lt;&gt;$DO270) + $B$19*($DN270=$DO270))</f>
        <v>3.7037037037037035E-4</v>
      </c>
      <c r="EO270" s="10" cm="1">
        <f t="array" aca="1" ref="EO270" ca="1">(1-$B$18)*SUMPRODUCT(OFFSET($BO$15,0,0,$B$14,1), 1*(_xlfn._xlws.FILTER(OFFSET($O$15,0,$DN270,$B$8,1),OFFSET($M$15,0,0,$B$8,1))=EO$13), 1*(_xlfn._xlws.FILTER(OFFSET($O$15,0,$DO270,$B$8,1),OFFSET($M$15,0,0,$B$8,1))=EO$14))   /   SUM(OFFSET($BO$15,0,0,$B$14,1)) + $B$18/($B$19*$B$19*($DN270&lt;&gt;$DO270) + $B$19*($DN270=$DO270))</f>
        <v>3.7037037037037035E-4</v>
      </c>
      <c r="EP270" s="10" cm="1">
        <f t="array" aca="1" ref="EP270" ca="1">(1-$B$18)*SUMPRODUCT(OFFSET($BO$15,0,0,$B$14,1), 1*(_xlfn._xlws.FILTER(OFFSET($O$15,0,$DN270,$B$8,1),OFFSET($M$15,0,0,$B$8,1))=EP$13), 1*(_xlfn._xlws.FILTER(OFFSET($O$15,0,$DO270,$B$8,1),OFFSET($M$15,0,0,$B$8,1))=EP$14))   /   SUM(OFFSET($BO$15,0,0,$B$14,1)) + $B$18/($B$19*$B$19*($DN270&lt;&gt;$DO270) + $B$19*($DN270=$DO270))</f>
        <v>3.7037037037037035E-4</v>
      </c>
      <c r="EQ270" s="10" cm="1">
        <f t="array" aca="1" ref="EQ270" ca="1">(1-$B$18)*SUMPRODUCT(OFFSET($BO$15,0,0,$B$14,1), 1*(_xlfn._xlws.FILTER(OFFSET($O$15,0,$DN270,$B$8,1),OFFSET($M$15,0,0,$B$8,1))=EQ$13), 1*(_xlfn._xlws.FILTER(OFFSET($O$15,0,$DO270,$B$8,1),OFFSET($M$15,0,0,$B$8,1))=EQ$14))   /   SUM(OFFSET($BO$15,0,0,$B$14,1)) + $B$18/($B$19*$B$19*($DN270&lt;&gt;$DO270) + $B$19*($DN270=$DO270))</f>
        <v>3.7037037037037035E-4</v>
      </c>
      <c r="ER270" s="10" cm="1">
        <f t="array" aca="1" ref="ER270" ca="1">(1-$B$18)*SUMPRODUCT(OFFSET($BO$15,0,0,$B$14,1), 1*(_xlfn._xlws.FILTER(OFFSET($O$15,0,$DN270,$B$8,1),OFFSET($M$15,0,0,$B$8,1))=ER$13), 1*(_xlfn._xlws.FILTER(OFFSET($O$15,0,$DO270,$B$8,1),OFFSET($M$15,0,0,$B$8,1))=ER$14))   /   SUM(OFFSET($BO$15,0,0,$B$14,1)) + $B$18/($B$19*$B$19*($DN270&lt;&gt;$DO270) + $B$19*($DN270=$DO270))</f>
        <v>3.7037037037037035E-4</v>
      </c>
      <c r="ES270" s="10" cm="1">
        <f t="array" aca="1" ref="ES270" ca="1">(1-$B$18)*SUMPRODUCT(OFFSET($BO$15,0,0,$B$14,1), 1*(_xlfn._xlws.FILTER(OFFSET($O$15,0,$DN270,$B$8,1),OFFSET($M$15,0,0,$B$8,1))=ES$13), 1*(_xlfn._xlws.FILTER(OFFSET($O$15,0,$DO270,$B$8,1),OFFSET($M$15,0,0,$B$8,1))=ES$14))   /   SUM(OFFSET($BO$15,0,0,$B$14,1)) + $B$18/($B$19*$B$19*($DN270&lt;&gt;$DO270) + $B$19*($DN270=$DO270))</f>
        <v>3.7037037037037035E-4</v>
      </c>
      <c r="ET270" s="10" cm="1">
        <f t="array" aca="1" ref="ET270" ca="1">(1-$B$18)*SUMPRODUCT(OFFSET($BO$15,0,0,$B$14,1), 1*(_xlfn._xlws.FILTER(OFFSET($O$15,0,$DN270,$B$8,1),OFFSET($M$15,0,0,$B$8,1))=ET$13), 1*(_xlfn._xlws.FILTER(OFFSET($O$15,0,$DO270,$B$8,1),OFFSET($M$15,0,0,$B$8,1))=ET$14))   /   SUM(OFFSET($BO$15,0,0,$B$14,1)) + $B$18/($B$19*$B$19*($DN270&lt;&gt;$DO270) + $B$19*($DN270=$DO270))</f>
        <v>3.7037037037037035E-4</v>
      </c>
      <c r="EU270" s="10" cm="1">
        <f t="array" aca="1" ref="EU270" ca="1">(1-$B$18)*SUMPRODUCT(OFFSET($BO$15,0,0,$B$14,1), 1*(_xlfn._xlws.FILTER(OFFSET($O$15,0,$DN270,$B$8,1),OFFSET($M$15,0,0,$B$8,1))=EU$13), 1*(_xlfn._xlws.FILTER(OFFSET($O$15,0,$DO270,$B$8,1),OFFSET($M$15,0,0,$B$8,1))=EU$14))   /   SUM(OFFSET($BO$15,0,0,$B$14,1)) + $B$18/($B$19*$B$19*($DN270&lt;&gt;$DO270) + $B$19*($DN270=$DO270))</f>
        <v>3.7037037037037035E-4</v>
      </c>
      <c r="EV270" s="10" cm="1">
        <f t="array" aca="1" ref="EV270" ca="1">(1-$B$18)*SUMPRODUCT(OFFSET($BO$15,0,0,$B$14,1), 1*(_xlfn._xlws.FILTER(OFFSET($O$15,0,$DN270,$B$8,1),OFFSET($M$15,0,0,$B$8,1))=EV$13), 1*(_xlfn._xlws.FILTER(OFFSET($O$15,0,$DO270,$B$8,1),OFFSET($M$15,0,0,$B$8,1))=EV$14))   /   SUM(OFFSET($BO$15,0,0,$B$14,1)) + $B$18/($B$19*$B$19*($DN270&lt;&gt;$DO270) + $B$19*($DN270=$DO270))</f>
        <v>3.7037037037037035E-4</v>
      </c>
      <c r="EW270" s="10" cm="1">
        <f t="array" aca="1" ref="EW270" ca="1">(1-$B$18)*SUMPRODUCT(OFFSET($BO$15,0,0,$B$14,1), 1*(_xlfn._xlws.FILTER(OFFSET($O$15,0,$DN270,$B$8,1),OFFSET($M$15,0,0,$B$8,1))=EW$13), 1*(_xlfn._xlws.FILTER(OFFSET($O$15,0,$DO270,$B$8,1),OFFSET($M$15,0,0,$B$8,1))=EW$14))   /   SUM(OFFSET($BO$15,0,0,$B$14,1)) + $B$18/($B$19*$B$19*($DN270&lt;&gt;$DO270) + $B$19*($DN270=$DO270))</f>
        <v>3.7037037037037035E-4</v>
      </c>
      <c r="EX270" s="10" cm="1">
        <f t="array" aca="1" ref="EX270" ca="1">(1-$B$18)*SUMPRODUCT(OFFSET($BO$15,0,0,$B$14,1), 1*(_xlfn._xlws.FILTER(OFFSET($O$15,0,$DN270,$B$8,1),OFFSET($M$15,0,0,$B$8,1))=EX$13), 1*(_xlfn._xlws.FILTER(OFFSET($O$15,0,$DO270,$B$8,1),OFFSET($M$15,0,0,$B$8,1))=EX$14))   /   SUM(OFFSET($BO$15,0,0,$B$14,1)) + $B$18/($B$19*$B$19*($DN270&lt;&gt;$DO270) + $B$19*($DN270=$DO270))</f>
        <v>3.7037037037037035E-4</v>
      </c>
      <c r="EY270" s="10" cm="1">
        <f t="array" aca="1" ref="EY270" ca="1">(1-$B$18)*SUMPRODUCT(OFFSET($BO$15,0,0,$B$14,1), 1*(_xlfn._xlws.FILTER(OFFSET($O$15,0,$DN270,$B$8,1),OFFSET($M$15,0,0,$B$8,1))=EY$13), 1*(_xlfn._xlws.FILTER(OFFSET($O$15,0,$DO270,$B$8,1),OFFSET($M$15,0,0,$B$8,1))=EY$14))   /   SUM(OFFSET($BO$15,0,0,$B$14,1)) + $B$18/($B$19*$B$19*($DN270&lt;&gt;$DO270) + $B$19*($DN270=$DO270))</f>
        <v>3.7037037037037035E-4</v>
      </c>
      <c r="EZ270" s="10" cm="1">
        <f t="array" aca="1" ref="EZ270" ca="1">(1-$B$18)*SUMPRODUCT(OFFSET($BO$15,0,0,$B$14,1), 1*(_xlfn._xlws.FILTER(OFFSET($O$15,0,$DN270,$B$8,1),OFFSET($M$15,0,0,$B$8,1))=EZ$13), 1*(_xlfn._xlws.FILTER(OFFSET($O$15,0,$DO270,$B$8,1),OFFSET($M$15,0,0,$B$8,1))=EZ$14))   /   SUM(OFFSET($BO$15,0,0,$B$14,1)) + $B$18/($B$19*$B$19*($DN270&lt;&gt;$DO270) + $B$19*($DN270=$DO270))</f>
        <v>3.7037037037037035E-4</v>
      </c>
      <c r="FA270" s="10" cm="1">
        <f t="array" aca="1" ref="FA270" ca="1">(1-$B$18)*SUMPRODUCT(OFFSET($BO$15,0,0,$B$14,1), 1*(_xlfn._xlws.FILTER(OFFSET($O$15,0,$DN270,$B$8,1),OFFSET($M$15,0,0,$B$8,1))=FA$13), 1*(_xlfn._xlws.FILTER(OFFSET($O$15,0,$DO270,$B$8,1),OFFSET($M$15,0,0,$B$8,1))=FA$14))   /   SUM(OFFSET($BO$15,0,0,$B$14,1)) + $B$18/($B$19*$B$19*($DN270&lt;&gt;$DO270) + $B$19*($DN270=$DO270))</f>
        <v>3.7037037037037035E-4</v>
      </c>
      <c r="FB270" s="10" cm="1">
        <f t="array" aca="1" ref="FB270" ca="1">(1-$B$18)*SUMPRODUCT(OFFSET($BO$15,0,0,$B$14,1), 1*(_xlfn._xlws.FILTER(OFFSET($O$15,0,$DN270,$B$8,1),OFFSET($M$15,0,0,$B$8,1))=FB$13), 1*(_xlfn._xlws.FILTER(OFFSET($O$15,0,$DO270,$B$8,1),OFFSET($M$15,0,0,$B$8,1))=FB$14))   /   SUM(OFFSET($BO$15,0,0,$B$14,1)) + $B$18/($B$19*$B$19*($DN270&lt;&gt;$DO270) + $B$19*($DN270=$DO270))</f>
        <v>3.7037037037037035E-4</v>
      </c>
      <c r="FC270" s="10" cm="1">
        <f t="array" aca="1" ref="FC270" ca="1">(1-$B$18)*SUMPRODUCT(OFFSET($BO$15,0,0,$B$14,1), 1*(_xlfn._xlws.FILTER(OFFSET($O$15,0,$DN270,$B$8,1),OFFSET($M$15,0,0,$B$8,1))=FC$13), 1*(_xlfn._xlws.FILTER(OFFSET($O$15,0,$DO270,$B$8,1),OFFSET($M$15,0,0,$B$8,1))=FC$14))   /   SUM(OFFSET($BO$15,0,0,$B$14,1)) + $B$18/($B$19*$B$19*($DN270&lt;&gt;$DO270) + $B$19*($DN270=$DO270))</f>
        <v>3.7037037037037035E-4</v>
      </c>
      <c r="FD270" s="10" cm="1">
        <f t="array" aca="1" ref="FD270" ca="1">(1-$B$18)*SUMPRODUCT(OFFSET($BO$15,0,0,$B$14,1), 1*(_xlfn._xlws.FILTER(OFFSET($O$15,0,$DN270,$B$8,1),OFFSET($M$15,0,0,$B$8,1))=FD$13), 1*(_xlfn._xlws.FILTER(OFFSET($O$15,0,$DO270,$B$8,1),OFFSET($M$15,0,0,$B$8,1))=FD$14))   /   SUM(OFFSET($BO$15,0,0,$B$14,1)) + $B$18/($B$19*$B$19*($DN270&lt;&gt;$DO270) + $B$19*($DN270=$DO270))</f>
        <v>3.7037037037037035E-4</v>
      </c>
      <c r="FE270" s="10" cm="1">
        <f t="array" aca="1" ref="FE270" ca="1">(1-$B$18)*SUMPRODUCT(OFFSET($BO$15,0,0,$B$14,1), 1*(_xlfn._xlws.FILTER(OFFSET($O$15,0,$DN270,$B$8,1),OFFSET($M$15,0,0,$B$8,1))=FE$13), 1*(_xlfn._xlws.FILTER(OFFSET($O$15,0,$DO270,$B$8,1),OFFSET($M$15,0,0,$B$8,1))=FE$14))   /   SUM(OFFSET($BO$15,0,0,$B$14,1)) + $B$18/($B$19*$B$19*($DN270&lt;&gt;$DO270) + $B$19*($DN270=$DO270))</f>
        <v>3.7037037037037035E-4</v>
      </c>
      <c r="FF270" s="10" cm="1">
        <f t="array" aca="1" ref="FF270" ca="1">(1-$B$18)*SUMPRODUCT(OFFSET($BO$15,0,0,$B$14,1), 1*(_xlfn._xlws.FILTER(OFFSET($O$15,0,$DN270,$B$8,1),OFFSET($M$15,0,0,$B$8,1))=FF$13), 1*(_xlfn._xlws.FILTER(OFFSET($O$15,0,$DO270,$B$8,1),OFFSET($M$15,0,0,$B$8,1))=FF$14))   /   SUM(OFFSET($BO$15,0,0,$B$14,1)) + $B$18/($B$19*$B$19*($DN270&lt;&gt;$DO270) + $B$19*($DN270=$DO270))</f>
        <v>3.7037037037037035E-4</v>
      </c>
      <c r="FG270" s="10" cm="1">
        <f t="array" aca="1" ref="FG270" ca="1">(1-$B$18)*SUMPRODUCT(OFFSET($BO$15,0,0,$B$14,1), 1*(_xlfn._xlws.FILTER(OFFSET($O$15,0,$DN270,$B$8,1),OFFSET($M$15,0,0,$B$8,1))=FG$13), 1*(_xlfn._xlws.FILTER(OFFSET($O$15,0,$DO270,$B$8,1),OFFSET($M$15,0,0,$B$8,1))=FG$14))   /   SUM(OFFSET($BO$15,0,0,$B$14,1)) + $B$18/($B$19*$B$19*($DN270&lt;&gt;$DO270) + $B$19*($DN270=$DO270))</f>
        <v>3.7037037037037035E-4</v>
      </c>
      <c r="FH270" s="10" cm="1">
        <f t="array" aca="1" ref="FH270" ca="1">(1-$B$18)*SUMPRODUCT(OFFSET($BO$15,0,0,$B$14,1), 1*(_xlfn._xlws.FILTER(OFFSET($O$15,0,$DN270,$B$8,1),OFFSET($M$15,0,0,$B$8,1))=FH$13), 1*(_xlfn._xlws.FILTER(OFFSET($O$15,0,$DO270,$B$8,1),OFFSET($M$15,0,0,$B$8,1))=FH$14))   /   SUM(OFFSET($BO$15,0,0,$B$14,1)) + $B$18/($B$19*$B$19*($DN270&lt;&gt;$DO270) + $B$19*($DN270=$DO270))</f>
        <v>3.7037037037037035E-4</v>
      </c>
      <c r="FI270" s="10" cm="1">
        <f t="array" aca="1" ref="FI270" ca="1">(1-$B$18)*SUMPRODUCT(OFFSET($BO$15,0,0,$B$14,1), 1*(_xlfn._xlws.FILTER(OFFSET($O$15,0,$DN270,$B$8,1),OFFSET($M$15,0,0,$B$8,1))=FI$13), 1*(_xlfn._xlws.FILTER(OFFSET($O$15,0,$DO270,$B$8,1),OFFSET($M$15,0,0,$B$8,1))=FI$14))   /   SUM(OFFSET($BO$15,0,0,$B$14,1)) + $B$18/($B$19*$B$19*($DN270&lt;&gt;$DO270) + $B$19*($DN270=$DO270))</f>
        <v>3.7037037037037035E-4</v>
      </c>
      <c r="FJ270" s="10" cm="1">
        <f t="array" aca="1" ref="FJ270" ca="1">(1-$B$18)*SUMPRODUCT(OFFSET($BO$15,0,0,$B$14,1), 1*(_xlfn._xlws.FILTER(OFFSET($O$15,0,$DN270,$B$8,1),OFFSET($M$15,0,0,$B$8,1))=FJ$13), 1*(_xlfn._xlws.FILTER(OFFSET($O$15,0,$DO270,$B$8,1),OFFSET($M$15,0,0,$B$8,1))=FJ$14))   /   SUM(OFFSET($BO$15,0,0,$B$14,1)) + $B$18/($B$19*$B$19*($DN270&lt;&gt;$DO270) + $B$19*($DN270=$DO270))</f>
        <v>3.7037037037037035E-4</v>
      </c>
      <c r="FK270" s="10" cm="1">
        <f t="array" aca="1" ref="FK270" ca="1">(1-$B$18)*SUMPRODUCT(OFFSET($BO$15,0,0,$B$14,1), 1*(_xlfn._xlws.FILTER(OFFSET($O$15,0,$DN270,$B$8,1),OFFSET($M$15,0,0,$B$8,1))=FK$13), 1*(_xlfn._xlws.FILTER(OFFSET($O$15,0,$DO270,$B$8,1),OFFSET($M$15,0,0,$B$8,1))=FK$14))   /   SUM(OFFSET($BO$15,0,0,$B$14,1)) + $B$18/($B$19*$B$19*($DN270&lt;&gt;$DO270) + $B$19*($DN270=$DO270))</f>
        <v>3.7037037037037035E-4</v>
      </c>
      <c r="FL270" s="10" cm="1">
        <f t="array" aca="1" ref="FL270" ca="1">(1-$B$18)*SUMPRODUCT(OFFSET($BO$15,0,0,$B$14,1), 1*(_xlfn._xlws.FILTER(OFFSET($O$15,0,$DN270,$B$8,1),OFFSET($M$15,0,0,$B$8,1))=FL$13), 1*(_xlfn._xlws.FILTER(OFFSET($O$15,0,$DO270,$B$8,1),OFFSET($M$15,0,0,$B$8,1))=FL$14))   /   SUM(OFFSET($BO$15,0,0,$B$14,1)) + $B$18/($B$19*$B$19*($DN270&lt;&gt;$DO270) + $B$19*($DN270=$DO270))</f>
        <v>3.7037037037037035E-4</v>
      </c>
      <c r="FM270" s="10" cm="1">
        <f t="array" aca="1" ref="FM270" ca="1">(1-$B$18)*SUMPRODUCT(OFFSET($BO$15,0,0,$B$14,1), 1*(_xlfn._xlws.FILTER(OFFSET($O$15,0,$DN270,$B$8,1),OFFSET($M$15,0,0,$B$8,1))=FM$13), 1*(_xlfn._xlws.FILTER(OFFSET($O$15,0,$DO270,$B$8,1),OFFSET($M$15,0,0,$B$8,1))=FM$14))   /   SUM(OFFSET($BO$15,0,0,$B$14,1)) + $B$18/($B$19*$B$19*($DN270&lt;&gt;$DO270) + $B$19*($DN270=$DO270))</f>
        <v>3.7037037037037035E-4</v>
      </c>
      <c r="FN270" s="10" cm="1">
        <f t="array" aca="1" ref="FN270" ca="1">(1-$B$18)*SUMPRODUCT(OFFSET($BO$15,0,0,$B$14,1), 1*(_xlfn._xlws.FILTER(OFFSET($O$15,0,$DN270,$B$8,1),OFFSET($M$15,0,0,$B$8,1))=FN$13), 1*(_xlfn._xlws.FILTER(OFFSET($O$15,0,$DO270,$B$8,1),OFFSET($M$15,0,0,$B$8,1))=FN$14))   /   SUM(OFFSET($BO$15,0,0,$B$14,1)) + $B$18/($B$19*$B$19*($DN270&lt;&gt;$DO270) + $B$19*($DN270=$DO270))</f>
        <v>3.7037037037037035E-4</v>
      </c>
      <c r="FO270" s="10" cm="1">
        <f t="array" aca="1" ref="FO270" ca="1">(1-$B$18)*SUMPRODUCT(OFFSET($BO$15,0,0,$B$14,1), 1*(_xlfn._xlws.FILTER(OFFSET($O$15,0,$DN270,$B$8,1),OFFSET($M$15,0,0,$B$8,1))=FO$13), 1*(_xlfn._xlws.FILTER(OFFSET($O$15,0,$DO270,$B$8,1),OFFSET($M$15,0,0,$B$8,1))=FO$14))   /   SUM(OFFSET($BO$15,0,0,$B$14,1)) + $B$18/($B$19*$B$19*($DN270&lt;&gt;$DO270) + $B$19*($DN270=$DO270))</f>
        <v>3.7037037037037035E-4</v>
      </c>
      <c r="FP270" s="10" cm="1">
        <f t="array" aca="1" ref="FP270" ca="1">(1-$B$18)*SUMPRODUCT(OFFSET($BO$15,0,0,$B$14,1), 1*(_xlfn._xlws.FILTER(OFFSET($O$15,0,$DN270,$B$8,1),OFFSET($M$15,0,0,$B$8,1))=FP$13), 1*(_xlfn._xlws.FILTER(OFFSET($O$15,0,$DO270,$B$8,1),OFFSET($M$15,0,0,$B$8,1))=FP$14))   /   SUM(OFFSET($BO$15,0,0,$B$14,1)) + $B$18/($B$19*$B$19*($DN270&lt;&gt;$DO270) + $B$19*($DN270=$DO270))</f>
        <v>3.7037037037037035E-4</v>
      </c>
      <c r="FQ270" s="10" cm="1">
        <f t="array" aca="1" ref="FQ270" ca="1">(1-$B$18)*SUMPRODUCT(OFFSET($BO$15,0,0,$B$14,1), 1*(_xlfn._xlws.FILTER(OFFSET($O$15,0,$DN270,$B$8,1),OFFSET($M$15,0,0,$B$8,1))=FQ$13), 1*(_xlfn._xlws.FILTER(OFFSET($O$15,0,$DO270,$B$8,1),OFFSET($M$15,0,0,$B$8,1))=FQ$14))   /   SUM(OFFSET($BO$15,0,0,$B$14,1)) + $B$18/($B$19*$B$19*($DN270&lt;&gt;$DO270) + $B$19*($DN270=$DO270))</f>
        <v>3.7037037037037035E-4</v>
      </c>
      <c r="FR270" s="10" cm="1">
        <f t="array" aca="1" ref="FR270" ca="1">(1-$B$18)*SUMPRODUCT(OFFSET($BO$15,0,0,$B$14,1), 1*(_xlfn._xlws.FILTER(OFFSET($O$15,0,$DN270,$B$8,1),OFFSET($M$15,0,0,$B$8,1))=FR$13), 1*(_xlfn._xlws.FILTER(OFFSET($O$15,0,$DO270,$B$8,1),OFFSET($M$15,0,0,$B$8,1))=FR$14))   /   SUM(OFFSET($BO$15,0,0,$B$14,1)) + $B$18/($B$19*$B$19*($DN270&lt;&gt;$DO270) + $B$19*($DN270=$DO270))</f>
        <v>3.7037037037037035E-4</v>
      </c>
      <c r="FS270" s="10" cm="1">
        <f t="array" aca="1" ref="FS270" ca="1">(1-$B$18)*SUMPRODUCT(OFFSET($BO$15,0,0,$B$14,1), 1*(_xlfn._xlws.FILTER(OFFSET($O$15,0,$DN270,$B$8,1),OFFSET($M$15,0,0,$B$8,1))=FS$13), 1*(_xlfn._xlws.FILTER(OFFSET($O$15,0,$DO270,$B$8,1),OFFSET($M$15,0,0,$B$8,1))=FS$14))   /   SUM(OFFSET($BO$15,0,0,$B$14,1)) + $B$18/($B$19*$B$19*($DN270&lt;&gt;$DO270) + $B$19*($DN270=$DO270))</f>
        <v>3.7037037037037035E-4</v>
      </c>
      <c r="FT270" s="10" cm="1">
        <f t="array" aca="1" ref="FT270" ca="1">(1-$B$18)*SUMPRODUCT(OFFSET($BO$15,0,0,$B$14,1), 1*(_xlfn._xlws.FILTER(OFFSET($O$15,0,$DN270,$B$8,1),OFFSET($M$15,0,0,$B$8,1))=FT$13), 1*(_xlfn._xlws.FILTER(OFFSET($O$15,0,$DO270,$B$8,1),OFFSET($M$15,0,0,$B$8,1))=FT$14))   /   SUM(OFFSET($BO$15,0,0,$B$14,1)) + $B$18/($B$19*$B$19*($DN270&lt;&gt;$DO270) + $B$19*($DN270=$DO270))</f>
        <v>3.7037037037037035E-4</v>
      </c>
      <c r="FU270" s="10" cm="1">
        <f t="array" aca="1" ref="FU270" ca="1">(1-$B$18)*SUMPRODUCT(OFFSET($BO$15,0,0,$B$14,1), 1*(_xlfn._xlws.FILTER(OFFSET($O$15,0,$DN270,$B$8,1),OFFSET($M$15,0,0,$B$8,1))=FU$13), 1*(_xlfn._xlws.FILTER(OFFSET($O$15,0,$DO270,$B$8,1),OFFSET($M$15,0,0,$B$8,1))=FU$14))   /   SUM(OFFSET($BO$15,0,0,$B$14,1)) + $B$18/($B$19*$B$19*($DN270&lt;&gt;$DO270) + $B$19*($DN270=$DO270))</f>
        <v>3.7037037037037035E-4</v>
      </c>
      <c r="FV270" s="10" cm="1">
        <f t="array" aca="1" ref="FV270" ca="1">(1-$B$18)*SUMPRODUCT(OFFSET($BO$15,0,0,$B$14,1), 1*(_xlfn._xlws.FILTER(OFFSET($O$15,0,$DN270,$B$8,1),OFFSET($M$15,0,0,$B$8,1))=FV$13), 1*(_xlfn._xlws.FILTER(OFFSET($O$15,0,$DO270,$B$8,1),OFFSET($M$15,0,0,$B$8,1))=FV$14))   /   SUM(OFFSET($BO$15,0,0,$B$14,1)) + $B$18/($B$19*$B$19*($DN270&lt;&gt;$DO270) + $B$19*($DN270=$DO270))</f>
        <v>3.7037037037037035E-4</v>
      </c>
      <c r="FW270" s="10" cm="1">
        <f t="array" aca="1" ref="FW270" ca="1">(1-$B$18)*SUMPRODUCT(OFFSET($BO$15,0,0,$B$14,1), 1*(_xlfn._xlws.FILTER(OFFSET($O$15,0,$DN270,$B$8,1),OFFSET($M$15,0,0,$B$8,1))=FW$13), 1*(_xlfn._xlws.FILTER(OFFSET($O$15,0,$DO270,$B$8,1),OFFSET($M$15,0,0,$B$8,1))=FW$14))   /   SUM(OFFSET($BO$15,0,0,$B$14,1)) + $B$18/($B$19*$B$19*($DN270&lt;&gt;$DO270) + $B$19*($DN270=$DO270))</f>
        <v>3.7037037037037035E-4</v>
      </c>
      <c r="FX270" s="10" cm="1">
        <f t="array" aca="1" ref="FX270" ca="1">(1-$B$18)*SUMPRODUCT(OFFSET($BO$15,0,0,$B$14,1), 1*(_xlfn._xlws.FILTER(OFFSET($O$15,0,$DN270,$B$8,1),OFFSET($M$15,0,0,$B$8,1))=FX$13), 1*(_xlfn._xlws.FILTER(OFFSET($O$15,0,$DO270,$B$8,1),OFFSET($M$15,0,0,$B$8,1))=FX$14))   /   SUM(OFFSET($BO$15,0,0,$B$14,1)) + $B$18/($B$19*$B$19*($DN270&lt;&gt;$DO270) + $B$19*($DN270=$DO270))</f>
        <v>3.7037037037037035E-4</v>
      </c>
      <c r="FY270" s="10" cm="1">
        <f t="array" aca="1" ref="FY270" ca="1">(1-$B$18)*SUMPRODUCT(OFFSET($BO$15,0,0,$B$14,1), 1*(_xlfn._xlws.FILTER(OFFSET($O$15,0,$DN270,$B$8,1),OFFSET($M$15,0,0,$B$8,1))=FY$13), 1*(_xlfn._xlws.FILTER(OFFSET($O$15,0,$DO270,$B$8,1),OFFSET($M$15,0,0,$B$8,1))=FY$14))   /   SUM(OFFSET($BO$15,0,0,$B$14,1)) + $B$18/($B$19*$B$19*($DN270&lt;&gt;$DO270) + $B$19*($DN270=$DO270))</f>
        <v>3.7037037037037035E-4</v>
      </c>
      <c r="FZ270" s="10" cm="1">
        <f t="array" aca="1" ref="FZ270" ca="1">(1-$B$18)*SUMPRODUCT(OFFSET($BO$15,0,0,$B$14,1), 1*(_xlfn._xlws.FILTER(OFFSET($O$15,0,$DN270,$B$8,1),OFFSET($M$15,0,0,$B$8,1))=FZ$13), 1*(_xlfn._xlws.FILTER(OFFSET($O$15,0,$DO270,$B$8,1),OFFSET($M$15,0,0,$B$8,1))=FZ$14))   /   SUM(OFFSET($BO$15,0,0,$B$14,1)) + $B$18/($B$19*$B$19*($DN270&lt;&gt;$DO270) + $B$19*($DN270=$DO270))</f>
        <v>3.7037037037037035E-4</v>
      </c>
      <c r="GA270" s="10" cm="1">
        <f t="array" aca="1" ref="GA270" ca="1">(1-$B$18)*SUMPRODUCT(OFFSET($BO$15,0,0,$B$14,1), 1*(_xlfn._xlws.FILTER(OFFSET($O$15,0,$DN270,$B$8,1),OFFSET($M$15,0,0,$B$8,1))=GA$13), 1*(_xlfn._xlws.FILTER(OFFSET($O$15,0,$DO270,$B$8,1),OFFSET($M$15,0,0,$B$8,1))=GA$14))   /   SUM(OFFSET($BO$15,0,0,$B$14,1)) + $B$18/($B$19*$B$19*($DN270&lt;&gt;$DO270) + $B$19*($DN270=$DO270))</f>
        <v>3.7037037037037035E-4</v>
      </c>
    </row>
    <row r="271" spans="118:183" x14ac:dyDescent="0.2">
      <c r="DN271" cm="1">
        <f t="array" aca="1" ref="DN271" ca="1">INDEX(_xlfn.ANCHORARRAY($CP$15), 1 + INT((ROWS($DO$15:$DO271) - 1) / ROWS(_xlfn.ANCHORARRAY($CP$15))))</f>
        <v>14</v>
      </c>
      <c r="DO271" cm="1">
        <f t="array" aca="1" ref="DO271" ca="1">INDEX(_xlfn.ANCHORARRAY($CP$15),1+MOD(ROWS($DO$15:$DO271)-1,ROWS(_xlfn.ANCHORARRAY($CP$15))))</f>
        <v>9</v>
      </c>
      <c r="DP271" s="10" cm="1">
        <f t="array" aca="1" ref="DP271" ca="1">(1-$B$18)*SUMPRODUCT(OFFSET($BO$15,0,0,$B$14,1), 1*(_xlfn._xlws.FILTER(OFFSET($O$15,0,$DN271,$B$8,1),OFFSET($M$15,0,0,$B$8,1))=DP$13), 1*(_xlfn._xlws.FILTER(OFFSET($O$15,0,$DO271,$B$8,1),OFFSET($M$15,0,0,$B$8,1))=DP$14))   /   SUM(OFFSET($BO$15,0,0,$B$14,1)) + $B$18/($B$19*$B$19*($DN271&lt;&gt;$DO271) + $B$19*($DN271=$DO271))</f>
        <v>3.7037037037037035E-4</v>
      </c>
      <c r="DQ271" s="10" cm="1">
        <f t="array" aca="1" ref="DQ271" ca="1">(1-$B$18)*SUMPRODUCT(OFFSET($BO$15,0,0,$B$14,1), 1*(_xlfn._xlws.FILTER(OFFSET($O$15,0,$DN271,$B$8,1),OFFSET($M$15,0,0,$B$8,1))=DQ$13), 1*(_xlfn._xlws.FILTER(OFFSET($O$15,0,$DO271,$B$8,1),OFFSET($M$15,0,0,$B$8,1))=DQ$14))   /   SUM(OFFSET($BO$15,0,0,$B$14,1)) + $B$18/($B$19*$B$19*($DN271&lt;&gt;$DO271) + $B$19*($DN271=$DO271))</f>
        <v>3.7037037037037035E-4</v>
      </c>
      <c r="DR271" s="10" cm="1">
        <f t="array" aca="1" ref="DR271" ca="1">(1-$B$18)*SUMPRODUCT(OFFSET($BO$15,0,0,$B$14,1), 1*(_xlfn._xlws.FILTER(OFFSET($O$15,0,$DN271,$B$8,1),OFFSET($M$15,0,0,$B$8,1))=DR$13), 1*(_xlfn._xlws.FILTER(OFFSET($O$15,0,$DO271,$B$8,1),OFFSET($M$15,0,0,$B$8,1))=DR$14))   /   SUM(OFFSET($BO$15,0,0,$B$14,1)) + $B$18/($B$19*$B$19*($DN271&lt;&gt;$DO271) + $B$19*($DN271=$DO271))</f>
        <v>3.7037037037037035E-4</v>
      </c>
      <c r="DS271" s="10" cm="1">
        <f t="array" aca="1" ref="DS271" ca="1">(1-$B$18)*SUMPRODUCT(OFFSET($BO$15,0,0,$B$14,1), 1*(_xlfn._xlws.FILTER(OFFSET($O$15,0,$DN271,$B$8,1),OFFSET($M$15,0,0,$B$8,1))=DS$13), 1*(_xlfn._xlws.FILTER(OFFSET($O$15,0,$DO271,$B$8,1),OFFSET($M$15,0,0,$B$8,1))=DS$14))   /   SUM(OFFSET($BO$15,0,0,$B$14,1)) + $B$18/($B$19*$B$19*($DN271&lt;&gt;$DO271) + $B$19*($DN271=$DO271))</f>
        <v>3.7037037037037035E-4</v>
      </c>
      <c r="DT271" s="10" cm="1">
        <f t="array" aca="1" ref="DT271" ca="1">(1-$B$18)*SUMPRODUCT(OFFSET($BO$15,0,0,$B$14,1), 1*(_xlfn._xlws.FILTER(OFFSET($O$15,0,$DN271,$B$8,1),OFFSET($M$15,0,0,$B$8,1))=DT$13), 1*(_xlfn._xlws.FILTER(OFFSET($O$15,0,$DO271,$B$8,1),OFFSET($M$15,0,0,$B$8,1))=DT$14))   /   SUM(OFFSET($BO$15,0,0,$B$14,1)) + $B$18/($B$19*$B$19*($DN271&lt;&gt;$DO271) + $B$19*($DN271=$DO271))</f>
        <v>3.7037037037037035E-4</v>
      </c>
      <c r="DU271" s="10" cm="1">
        <f t="array" aca="1" ref="DU271" ca="1">(1-$B$18)*SUMPRODUCT(OFFSET($BO$15,0,0,$B$14,1), 1*(_xlfn._xlws.FILTER(OFFSET($O$15,0,$DN271,$B$8,1),OFFSET($M$15,0,0,$B$8,1))=DU$13), 1*(_xlfn._xlws.FILTER(OFFSET($O$15,0,$DO271,$B$8,1),OFFSET($M$15,0,0,$B$8,1))=DU$14))   /   SUM(OFFSET($BO$15,0,0,$B$14,1)) + $B$18/($B$19*$B$19*($DN271&lt;&gt;$DO271) + $B$19*($DN271=$DO271))</f>
        <v>3.7037037037037035E-4</v>
      </c>
      <c r="DV271" s="10" cm="1">
        <f t="array" aca="1" ref="DV271" ca="1">(1-$B$18)*SUMPRODUCT(OFFSET($BO$15,0,0,$B$14,1), 1*(_xlfn._xlws.FILTER(OFFSET($O$15,0,$DN271,$B$8,1),OFFSET($M$15,0,0,$B$8,1))=DV$13), 1*(_xlfn._xlws.FILTER(OFFSET($O$15,0,$DO271,$B$8,1),OFFSET($M$15,0,0,$B$8,1))=DV$14))   /   SUM(OFFSET($BO$15,0,0,$B$14,1)) + $B$18/($B$19*$B$19*($DN271&lt;&gt;$DO271) + $B$19*($DN271=$DO271))</f>
        <v>3.7037037037037035E-4</v>
      </c>
      <c r="DW271" s="10" cm="1">
        <f t="array" aca="1" ref="DW271" ca="1">(1-$B$18)*SUMPRODUCT(OFFSET($BO$15,0,0,$B$14,1), 1*(_xlfn._xlws.FILTER(OFFSET($O$15,0,$DN271,$B$8,1),OFFSET($M$15,0,0,$B$8,1))=DW$13), 1*(_xlfn._xlws.FILTER(OFFSET($O$15,0,$DO271,$B$8,1),OFFSET($M$15,0,0,$B$8,1))=DW$14))   /   SUM(OFFSET($BO$15,0,0,$B$14,1)) + $B$18/($B$19*$B$19*($DN271&lt;&gt;$DO271) + $B$19*($DN271=$DO271))</f>
        <v>3.7037037037037035E-4</v>
      </c>
      <c r="DX271" s="10" cm="1">
        <f t="array" aca="1" ref="DX271" ca="1">(1-$B$18)*SUMPRODUCT(OFFSET($BO$15,0,0,$B$14,1), 1*(_xlfn._xlws.FILTER(OFFSET($O$15,0,$DN271,$B$8,1),OFFSET($M$15,0,0,$B$8,1))=DX$13), 1*(_xlfn._xlws.FILTER(OFFSET($O$15,0,$DO271,$B$8,1),OFFSET($M$15,0,0,$B$8,1))=DX$14))   /   SUM(OFFSET($BO$15,0,0,$B$14,1)) + $B$18/($B$19*$B$19*($DN271&lt;&gt;$DO271) + $B$19*($DN271=$DO271))</f>
        <v>3.7037037037037035E-4</v>
      </c>
      <c r="DY271" s="10" cm="1">
        <f t="array" aca="1" ref="DY271" ca="1">(1-$B$18)*SUMPRODUCT(OFFSET($BO$15,0,0,$B$14,1), 1*(_xlfn._xlws.FILTER(OFFSET($O$15,0,$DN271,$B$8,1),OFFSET($M$15,0,0,$B$8,1))=DY$13), 1*(_xlfn._xlws.FILTER(OFFSET($O$15,0,$DO271,$B$8,1),OFFSET($M$15,0,0,$B$8,1))=DY$14))   /   SUM(OFFSET($BO$15,0,0,$B$14,1)) + $B$18/($B$19*$B$19*($DN271&lt;&gt;$DO271) + $B$19*($DN271=$DO271))</f>
        <v>3.7037037037037035E-4</v>
      </c>
      <c r="DZ271" s="10" cm="1">
        <f t="array" aca="1" ref="DZ271" ca="1">(1-$B$18)*SUMPRODUCT(OFFSET($BO$15,0,0,$B$14,1), 1*(_xlfn._xlws.FILTER(OFFSET($O$15,0,$DN271,$B$8,1),OFFSET($M$15,0,0,$B$8,1))=DZ$13), 1*(_xlfn._xlws.FILTER(OFFSET($O$15,0,$DO271,$B$8,1),OFFSET($M$15,0,0,$B$8,1))=DZ$14))   /   SUM(OFFSET($BO$15,0,0,$B$14,1)) + $B$18/($B$19*$B$19*($DN271&lt;&gt;$DO271) + $B$19*($DN271=$DO271))</f>
        <v>3.7037037037037035E-4</v>
      </c>
      <c r="EA271" s="10" cm="1">
        <f t="array" aca="1" ref="EA271" ca="1">(1-$B$18)*SUMPRODUCT(OFFSET($BO$15,0,0,$B$14,1), 1*(_xlfn._xlws.FILTER(OFFSET($O$15,0,$DN271,$B$8,1),OFFSET($M$15,0,0,$B$8,1))=EA$13), 1*(_xlfn._xlws.FILTER(OFFSET($O$15,0,$DO271,$B$8,1),OFFSET($M$15,0,0,$B$8,1))=EA$14))   /   SUM(OFFSET($BO$15,0,0,$B$14,1)) + $B$18/($B$19*$B$19*($DN271&lt;&gt;$DO271) + $B$19*($DN271=$DO271))</f>
        <v>3.7037037037037035E-4</v>
      </c>
      <c r="EB271" s="10" cm="1">
        <f t="array" aca="1" ref="EB271" ca="1">(1-$B$18)*SUMPRODUCT(OFFSET($BO$15,0,0,$B$14,1), 1*(_xlfn._xlws.FILTER(OFFSET($O$15,0,$DN271,$B$8,1),OFFSET($M$15,0,0,$B$8,1))=EB$13), 1*(_xlfn._xlws.FILTER(OFFSET($O$15,0,$DO271,$B$8,1),OFFSET($M$15,0,0,$B$8,1))=EB$14))   /   SUM(OFFSET($BO$15,0,0,$B$14,1)) + $B$18/($B$19*$B$19*($DN271&lt;&gt;$DO271) + $B$19*($DN271=$DO271))</f>
        <v>3.7037037037037035E-4</v>
      </c>
      <c r="EC271" s="10" cm="1">
        <f t="array" aca="1" ref="EC271" ca="1">(1-$B$18)*SUMPRODUCT(OFFSET($BO$15,0,0,$B$14,1), 1*(_xlfn._xlws.FILTER(OFFSET($O$15,0,$DN271,$B$8,1),OFFSET($M$15,0,0,$B$8,1))=EC$13), 1*(_xlfn._xlws.FILTER(OFFSET($O$15,0,$DO271,$B$8,1),OFFSET($M$15,0,0,$B$8,1))=EC$14))   /   SUM(OFFSET($BO$15,0,0,$B$14,1)) + $B$18/($B$19*$B$19*($DN271&lt;&gt;$DO271) + $B$19*($DN271=$DO271))</f>
        <v>3.7037037037037035E-4</v>
      </c>
      <c r="ED271" s="10" cm="1">
        <f t="array" aca="1" ref="ED271" ca="1">(1-$B$18)*SUMPRODUCT(OFFSET($BO$15,0,0,$B$14,1), 1*(_xlfn._xlws.FILTER(OFFSET($O$15,0,$DN271,$B$8,1),OFFSET($M$15,0,0,$B$8,1))=ED$13), 1*(_xlfn._xlws.FILTER(OFFSET($O$15,0,$DO271,$B$8,1),OFFSET($M$15,0,0,$B$8,1))=ED$14))   /   SUM(OFFSET($BO$15,0,0,$B$14,1)) + $B$18/($B$19*$B$19*($DN271&lt;&gt;$DO271) + $B$19*($DN271=$DO271))</f>
        <v>3.7037037037037035E-4</v>
      </c>
      <c r="EE271" s="10" cm="1">
        <f t="array" aca="1" ref="EE271" ca="1">(1-$B$18)*SUMPRODUCT(OFFSET($BO$15,0,0,$B$14,1), 1*(_xlfn._xlws.FILTER(OFFSET($O$15,0,$DN271,$B$8,1),OFFSET($M$15,0,0,$B$8,1))=EE$13), 1*(_xlfn._xlws.FILTER(OFFSET($O$15,0,$DO271,$B$8,1),OFFSET($M$15,0,0,$B$8,1))=EE$14))   /   SUM(OFFSET($BO$15,0,0,$B$14,1)) + $B$18/($B$19*$B$19*($DN271&lt;&gt;$DO271) + $B$19*($DN271=$DO271))</f>
        <v>3.7037037037037035E-4</v>
      </c>
      <c r="EF271" s="10" cm="1">
        <f t="array" aca="1" ref="EF271" ca="1">(1-$B$18)*SUMPRODUCT(OFFSET($BO$15,0,0,$B$14,1), 1*(_xlfn._xlws.FILTER(OFFSET($O$15,0,$DN271,$B$8,1),OFFSET($M$15,0,0,$B$8,1))=EF$13), 1*(_xlfn._xlws.FILTER(OFFSET($O$15,0,$DO271,$B$8,1),OFFSET($M$15,0,0,$B$8,1))=EF$14))   /   SUM(OFFSET($BO$15,0,0,$B$14,1)) + $B$18/($B$19*$B$19*($DN271&lt;&gt;$DO271) + $B$19*($DN271=$DO271))</f>
        <v>3.7037037037037035E-4</v>
      </c>
      <c r="EG271" s="10" cm="1">
        <f t="array" aca="1" ref="EG271" ca="1">(1-$B$18)*SUMPRODUCT(OFFSET($BO$15,0,0,$B$14,1), 1*(_xlfn._xlws.FILTER(OFFSET($O$15,0,$DN271,$B$8,1),OFFSET($M$15,0,0,$B$8,1))=EG$13), 1*(_xlfn._xlws.FILTER(OFFSET($O$15,0,$DO271,$B$8,1),OFFSET($M$15,0,0,$B$8,1))=EG$14))   /   SUM(OFFSET($BO$15,0,0,$B$14,1)) + $B$18/($B$19*$B$19*($DN271&lt;&gt;$DO271) + $B$19*($DN271=$DO271))</f>
        <v>3.7037037037037035E-4</v>
      </c>
      <c r="EH271" s="10" cm="1">
        <f t="array" aca="1" ref="EH271" ca="1">(1-$B$18)*SUMPRODUCT(OFFSET($BO$15,0,0,$B$14,1), 1*(_xlfn._xlws.FILTER(OFFSET($O$15,0,$DN271,$B$8,1),OFFSET($M$15,0,0,$B$8,1))=EH$13), 1*(_xlfn._xlws.FILTER(OFFSET($O$15,0,$DO271,$B$8,1),OFFSET($M$15,0,0,$B$8,1))=EH$14))   /   SUM(OFFSET($BO$15,0,0,$B$14,1)) + $B$18/($B$19*$B$19*($DN271&lt;&gt;$DO271) + $B$19*($DN271=$DO271))</f>
        <v>3.7037037037037035E-4</v>
      </c>
      <c r="EI271" s="10" cm="1">
        <f t="array" aca="1" ref="EI271" ca="1">(1-$B$18)*SUMPRODUCT(OFFSET($BO$15,0,0,$B$14,1), 1*(_xlfn._xlws.FILTER(OFFSET($O$15,0,$DN271,$B$8,1),OFFSET($M$15,0,0,$B$8,1))=EI$13), 1*(_xlfn._xlws.FILTER(OFFSET($O$15,0,$DO271,$B$8,1),OFFSET($M$15,0,0,$B$8,1))=EI$14))   /   SUM(OFFSET($BO$15,0,0,$B$14,1)) + $B$18/($B$19*$B$19*($DN271&lt;&gt;$DO271) + $B$19*($DN271=$DO271))</f>
        <v>3.7037037037037035E-4</v>
      </c>
      <c r="EJ271" s="10" cm="1">
        <f t="array" aca="1" ref="EJ271" ca="1">(1-$B$18)*SUMPRODUCT(OFFSET($BO$15,0,0,$B$14,1), 1*(_xlfn._xlws.FILTER(OFFSET($O$15,0,$DN271,$B$8,1),OFFSET($M$15,0,0,$B$8,1))=EJ$13), 1*(_xlfn._xlws.FILTER(OFFSET($O$15,0,$DO271,$B$8,1),OFFSET($M$15,0,0,$B$8,1))=EJ$14))   /   SUM(OFFSET($BO$15,0,0,$B$14,1)) + $B$18/($B$19*$B$19*($DN271&lt;&gt;$DO271) + $B$19*($DN271=$DO271))</f>
        <v>3.7037037037037035E-4</v>
      </c>
      <c r="EK271" s="10" cm="1">
        <f t="array" aca="1" ref="EK271" ca="1">(1-$B$18)*SUMPRODUCT(OFFSET($BO$15,0,0,$B$14,1), 1*(_xlfn._xlws.FILTER(OFFSET($O$15,0,$DN271,$B$8,1),OFFSET($M$15,0,0,$B$8,1))=EK$13), 1*(_xlfn._xlws.FILTER(OFFSET($O$15,0,$DO271,$B$8,1),OFFSET($M$15,0,0,$B$8,1))=EK$14))   /   SUM(OFFSET($BO$15,0,0,$B$14,1)) + $B$18/($B$19*$B$19*($DN271&lt;&gt;$DO271) + $B$19*($DN271=$DO271))</f>
        <v>3.7037037037037035E-4</v>
      </c>
      <c r="EL271" s="10" cm="1">
        <f t="array" aca="1" ref="EL271" ca="1">(1-$B$18)*SUMPRODUCT(OFFSET($BO$15,0,0,$B$14,1), 1*(_xlfn._xlws.FILTER(OFFSET($O$15,0,$DN271,$B$8,1),OFFSET($M$15,0,0,$B$8,1))=EL$13), 1*(_xlfn._xlws.FILTER(OFFSET($O$15,0,$DO271,$B$8,1),OFFSET($M$15,0,0,$B$8,1))=EL$14))   /   SUM(OFFSET($BO$15,0,0,$B$14,1)) + $B$18/($B$19*$B$19*($DN271&lt;&gt;$DO271) + $B$19*($DN271=$DO271))</f>
        <v>0.97037037037037033</v>
      </c>
      <c r="EM271" s="10" cm="1">
        <f t="array" aca="1" ref="EM271" ca="1">(1-$B$18)*SUMPRODUCT(OFFSET($BO$15,0,0,$B$14,1), 1*(_xlfn._xlws.FILTER(OFFSET($O$15,0,$DN271,$B$8,1),OFFSET($M$15,0,0,$B$8,1))=EM$13), 1*(_xlfn._xlws.FILTER(OFFSET($O$15,0,$DO271,$B$8,1),OFFSET($M$15,0,0,$B$8,1))=EM$14))   /   SUM(OFFSET($BO$15,0,0,$B$14,1)) + $B$18/($B$19*$B$19*($DN271&lt;&gt;$DO271) + $B$19*($DN271=$DO271))</f>
        <v>3.7037037037037035E-4</v>
      </c>
      <c r="EN271" s="10" cm="1">
        <f t="array" aca="1" ref="EN271" ca="1">(1-$B$18)*SUMPRODUCT(OFFSET($BO$15,0,0,$B$14,1), 1*(_xlfn._xlws.FILTER(OFFSET($O$15,0,$DN271,$B$8,1),OFFSET($M$15,0,0,$B$8,1))=EN$13), 1*(_xlfn._xlws.FILTER(OFFSET($O$15,0,$DO271,$B$8,1),OFFSET($M$15,0,0,$B$8,1))=EN$14))   /   SUM(OFFSET($BO$15,0,0,$B$14,1)) + $B$18/($B$19*$B$19*($DN271&lt;&gt;$DO271) + $B$19*($DN271=$DO271))</f>
        <v>3.7037037037037035E-4</v>
      </c>
      <c r="EO271" s="10" cm="1">
        <f t="array" aca="1" ref="EO271" ca="1">(1-$B$18)*SUMPRODUCT(OFFSET($BO$15,0,0,$B$14,1), 1*(_xlfn._xlws.FILTER(OFFSET($O$15,0,$DN271,$B$8,1),OFFSET($M$15,0,0,$B$8,1))=EO$13), 1*(_xlfn._xlws.FILTER(OFFSET($O$15,0,$DO271,$B$8,1),OFFSET($M$15,0,0,$B$8,1))=EO$14))   /   SUM(OFFSET($BO$15,0,0,$B$14,1)) + $B$18/($B$19*$B$19*($DN271&lt;&gt;$DO271) + $B$19*($DN271=$DO271))</f>
        <v>3.7037037037037035E-4</v>
      </c>
      <c r="EP271" s="10" cm="1">
        <f t="array" aca="1" ref="EP271" ca="1">(1-$B$18)*SUMPRODUCT(OFFSET($BO$15,0,0,$B$14,1), 1*(_xlfn._xlws.FILTER(OFFSET($O$15,0,$DN271,$B$8,1),OFFSET($M$15,0,0,$B$8,1))=EP$13), 1*(_xlfn._xlws.FILTER(OFFSET($O$15,0,$DO271,$B$8,1),OFFSET($M$15,0,0,$B$8,1))=EP$14))   /   SUM(OFFSET($BO$15,0,0,$B$14,1)) + $B$18/($B$19*$B$19*($DN271&lt;&gt;$DO271) + $B$19*($DN271=$DO271))</f>
        <v>3.7037037037037035E-4</v>
      </c>
      <c r="EQ271" s="10" cm="1">
        <f t="array" aca="1" ref="EQ271" ca="1">(1-$B$18)*SUMPRODUCT(OFFSET($BO$15,0,0,$B$14,1), 1*(_xlfn._xlws.FILTER(OFFSET($O$15,0,$DN271,$B$8,1),OFFSET($M$15,0,0,$B$8,1))=EQ$13), 1*(_xlfn._xlws.FILTER(OFFSET($O$15,0,$DO271,$B$8,1),OFFSET($M$15,0,0,$B$8,1))=EQ$14))   /   SUM(OFFSET($BO$15,0,0,$B$14,1)) + $B$18/($B$19*$B$19*($DN271&lt;&gt;$DO271) + $B$19*($DN271=$DO271))</f>
        <v>3.7037037037037035E-4</v>
      </c>
      <c r="ER271" s="10" cm="1">
        <f t="array" aca="1" ref="ER271" ca="1">(1-$B$18)*SUMPRODUCT(OFFSET($BO$15,0,0,$B$14,1), 1*(_xlfn._xlws.FILTER(OFFSET($O$15,0,$DN271,$B$8,1),OFFSET($M$15,0,0,$B$8,1))=ER$13), 1*(_xlfn._xlws.FILTER(OFFSET($O$15,0,$DO271,$B$8,1),OFFSET($M$15,0,0,$B$8,1))=ER$14))   /   SUM(OFFSET($BO$15,0,0,$B$14,1)) + $B$18/($B$19*$B$19*($DN271&lt;&gt;$DO271) + $B$19*($DN271=$DO271))</f>
        <v>3.7037037037037035E-4</v>
      </c>
      <c r="ES271" s="10" cm="1">
        <f t="array" aca="1" ref="ES271" ca="1">(1-$B$18)*SUMPRODUCT(OFFSET($BO$15,0,0,$B$14,1), 1*(_xlfn._xlws.FILTER(OFFSET($O$15,0,$DN271,$B$8,1),OFFSET($M$15,0,0,$B$8,1))=ES$13), 1*(_xlfn._xlws.FILTER(OFFSET($O$15,0,$DO271,$B$8,1),OFFSET($M$15,0,0,$B$8,1))=ES$14))   /   SUM(OFFSET($BO$15,0,0,$B$14,1)) + $B$18/($B$19*$B$19*($DN271&lt;&gt;$DO271) + $B$19*($DN271=$DO271))</f>
        <v>3.7037037037037035E-4</v>
      </c>
      <c r="ET271" s="10" cm="1">
        <f t="array" aca="1" ref="ET271" ca="1">(1-$B$18)*SUMPRODUCT(OFFSET($BO$15,0,0,$B$14,1), 1*(_xlfn._xlws.FILTER(OFFSET($O$15,0,$DN271,$B$8,1),OFFSET($M$15,0,0,$B$8,1))=ET$13), 1*(_xlfn._xlws.FILTER(OFFSET($O$15,0,$DO271,$B$8,1),OFFSET($M$15,0,0,$B$8,1))=ET$14))   /   SUM(OFFSET($BO$15,0,0,$B$14,1)) + $B$18/($B$19*$B$19*($DN271&lt;&gt;$DO271) + $B$19*($DN271=$DO271))</f>
        <v>3.7037037037037035E-4</v>
      </c>
      <c r="EU271" s="10" cm="1">
        <f t="array" aca="1" ref="EU271" ca="1">(1-$B$18)*SUMPRODUCT(OFFSET($BO$15,0,0,$B$14,1), 1*(_xlfn._xlws.FILTER(OFFSET($O$15,0,$DN271,$B$8,1),OFFSET($M$15,0,0,$B$8,1))=EU$13), 1*(_xlfn._xlws.FILTER(OFFSET($O$15,0,$DO271,$B$8,1),OFFSET($M$15,0,0,$B$8,1))=EU$14))   /   SUM(OFFSET($BO$15,0,0,$B$14,1)) + $B$18/($B$19*$B$19*($DN271&lt;&gt;$DO271) + $B$19*($DN271=$DO271))</f>
        <v>3.7037037037037035E-4</v>
      </c>
      <c r="EV271" s="10" cm="1">
        <f t="array" aca="1" ref="EV271" ca="1">(1-$B$18)*SUMPRODUCT(OFFSET($BO$15,0,0,$B$14,1), 1*(_xlfn._xlws.FILTER(OFFSET($O$15,0,$DN271,$B$8,1),OFFSET($M$15,0,0,$B$8,1))=EV$13), 1*(_xlfn._xlws.FILTER(OFFSET($O$15,0,$DO271,$B$8,1),OFFSET($M$15,0,0,$B$8,1))=EV$14))   /   SUM(OFFSET($BO$15,0,0,$B$14,1)) + $B$18/($B$19*$B$19*($DN271&lt;&gt;$DO271) + $B$19*($DN271=$DO271))</f>
        <v>3.7037037037037035E-4</v>
      </c>
      <c r="EW271" s="10" cm="1">
        <f t="array" aca="1" ref="EW271" ca="1">(1-$B$18)*SUMPRODUCT(OFFSET($BO$15,0,0,$B$14,1), 1*(_xlfn._xlws.FILTER(OFFSET($O$15,0,$DN271,$B$8,1),OFFSET($M$15,0,0,$B$8,1))=EW$13), 1*(_xlfn._xlws.FILTER(OFFSET($O$15,0,$DO271,$B$8,1),OFFSET($M$15,0,0,$B$8,1))=EW$14))   /   SUM(OFFSET($BO$15,0,0,$B$14,1)) + $B$18/($B$19*$B$19*($DN271&lt;&gt;$DO271) + $B$19*($DN271=$DO271))</f>
        <v>3.7037037037037035E-4</v>
      </c>
      <c r="EX271" s="10" cm="1">
        <f t="array" aca="1" ref="EX271" ca="1">(1-$B$18)*SUMPRODUCT(OFFSET($BO$15,0,0,$B$14,1), 1*(_xlfn._xlws.FILTER(OFFSET($O$15,0,$DN271,$B$8,1),OFFSET($M$15,0,0,$B$8,1))=EX$13), 1*(_xlfn._xlws.FILTER(OFFSET($O$15,0,$DO271,$B$8,1),OFFSET($M$15,0,0,$B$8,1))=EX$14))   /   SUM(OFFSET($BO$15,0,0,$B$14,1)) + $B$18/($B$19*$B$19*($DN271&lt;&gt;$DO271) + $B$19*($DN271=$DO271))</f>
        <v>3.7037037037037035E-4</v>
      </c>
      <c r="EY271" s="10" cm="1">
        <f t="array" aca="1" ref="EY271" ca="1">(1-$B$18)*SUMPRODUCT(OFFSET($BO$15,0,0,$B$14,1), 1*(_xlfn._xlws.FILTER(OFFSET($O$15,0,$DN271,$B$8,1),OFFSET($M$15,0,0,$B$8,1))=EY$13), 1*(_xlfn._xlws.FILTER(OFFSET($O$15,0,$DO271,$B$8,1),OFFSET($M$15,0,0,$B$8,1))=EY$14))   /   SUM(OFFSET($BO$15,0,0,$B$14,1)) + $B$18/($B$19*$B$19*($DN271&lt;&gt;$DO271) + $B$19*($DN271=$DO271))</f>
        <v>3.7037037037037035E-4</v>
      </c>
      <c r="EZ271" s="10" cm="1">
        <f t="array" aca="1" ref="EZ271" ca="1">(1-$B$18)*SUMPRODUCT(OFFSET($BO$15,0,0,$B$14,1), 1*(_xlfn._xlws.FILTER(OFFSET($O$15,0,$DN271,$B$8,1),OFFSET($M$15,0,0,$B$8,1))=EZ$13), 1*(_xlfn._xlws.FILTER(OFFSET($O$15,0,$DO271,$B$8,1),OFFSET($M$15,0,0,$B$8,1))=EZ$14))   /   SUM(OFFSET($BO$15,0,0,$B$14,1)) + $B$18/($B$19*$B$19*($DN271&lt;&gt;$DO271) + $B$19*($DN271=$DO271))</f>
        <v>3.7037037037037035E-4</v>
      </c>
      <c r="FA271" s="10" cm="1">
        <f t="array" aca="1" ref="FA271" ca="1">(1-$B$18)*SUMPRODUCT(OFFSET($BO$15,0,0,$B$14,1), 1*(_xlfn._xlws.FILTER(OFFSET($O$15,0,$DN271,$B$8,1),OFFSET($M$15,0,0,$B$8,1))=FA$13), 1*(_xlfn._xlws.FILTER(OFFSET($O$15,0,$DO271,$B$8,1),OFFSET($M$15,0,0,$B$8,1))=FA$14))   /   SUM(OFFSET($BO$15,0,0,$B$14,1)) + $B$18/($B$19*$B$19*($DN271&lt;&gt;$DO271) + $B$19*($DN271=$DO271))</f>
        <v>3.7037037037037035E-4</v>
      </c>
      <c r="FB271" s="10" cm="1">
        <f t="array" aca="1" ref="FB271" ca="1">(1-$B$18)*SUMPRODUCT(OFFSET($BO$15,0,0,$B$14,1), 1*(_xlfn._xlws.FILTER(OFFSET($O$15,0,$DN271,$B$8,1),OFFSET($M$15,0,0,$B$8,1))=FB$13), 1*(_xlfn._xlws.FILTER(OFFSET($O$15,0,$DO271,$B$8,1),OFFSET($M$15,0,0,$B$8,1))=FB$14))   /   SUM(OFFSET($BO$15,0,0,$B$14,1)) + $B$18/($B$19*$B$19*($DN271&lt;&gt;$DO271) + $B$19*($DN271=$DO271))</f>
        <v>3.7037037037037035E-4</v>
      </c>
      <c r="FC271" s="10" cm="1">
        <f t="array" aca="1" ref="FC271" ca="1">(1-$B$18)*SUMPRODUCT(OFFSET($BO$15,0,0,$B$14,1), 1*(_xlfn._xlws.FILTER(OFFSET($O$15,0,$DN271,$B$8,1),OFFSET($M$15,0,0,$B$8,1))=FC$13), 1*(_xlfn._xlws.FILTER(OFFSET($O$15,0,$DO271,$B$8,1),OFFSET($M$15,0,0,$B$8,1))=FC$14))   /   SUM(OFFSET($BO$15,0,0,$B$14,1)) + $B$18/($B$19*$B$19*($DN271&lt;&gt;$DO271) + $B$19*($DN271=$DO271))</f>
        <v>3.7037037037037035E-4</v>
      </c>
      <c r="FD271" s="10" cm="1">
        <f t="array" aca="1" ref="FD271" ca="1">(1-$B$18)*SUMPRODUCT(OFFSET($BO$15,0,0,$B$14,1), 1*(_xlfn._xlws.FILTER(OFFSET($O$15,0,$DN271,$B$8,1),OFFSET($M$15,0,0,$B$8,1))=FD$13), 1*(_xlfn._xlws.FILTER(OFFSET($O$15,0,$DO271,$B$8,1),OFFSET($M$15,0,0,$B$8,1))=FD$14))   /   SUM(OFFSET($BO$15,0,0,$B$14,1)) + $B$18/($B$19*$B$19*($DN271&lt;&gt;$DO271) + $B$19*($DN271=$DO271))</f>
        <v>3.7037037037037035E-4</v>
      </c>
      <c r="FE271" s="10" cm="1">
        <f t="array" aca="1" ref="FE271" ca="1">(1-$B$18)*SUMPRODUCT(OFFSET($BO$15,0,0,$B$14,1), 1*(_xlfn._xlws.FILTER(OFFSET($O$15,0,$DN271,$B$8,1),OFFSET($M$15,0,0,$B$8,1))=FE$13), 1*(_xlfn._xlws.FILTER(OFFSET($O$15,0,$DO271,$B$8,1),OFFSET($M$15,0,0,$B$8,1))=FE$14))   /   SUM(OFFSET($BO$15,0,0,$B$14,1)) + $B$18/($B$19*$B$19*($DN271&lt;&gt;$DO271) + $B$19*($DN271=$DO271))</f>
        <v>3.7037037037037035E-4</v>
      </c>
      <c r="FF271" s="10" cm="1">
        <f t="array" aca="1" ref="FF271" ca="1">(1-$B$18)*SUMPRODUCT(OFFSET($BO$15,0,0,$B$14,1), 1*(_xlfn._xlws.FILTER(OFFSET($O$15,0,$DN271,$B$8,1),OFFSET($M$15,0,0,$B$8,1))=FF$13), 1*(_xlfn._xlws.FILTER(OFFSET($O$15,0,$DO271,$B$8,1),OFFSET($M$15,0,0,$B$8,1))=FF$14))   /   SUM(OFFSET($BO$15,0,0,$B$14,1)) + $B$18/($B$19*$B$19*($DN271&lt;&gt;$DO271) + $B$19*($DN271=$DO271))</f>
        <v>3.7037037037037035E-4</v>
      </c>
      <c r="FG271" s="10" cm="1">
        <f t="array" aca="1" ref="FG271" ca="1">(1-$B$18)*SUMPRODUCT(OFFSET($BO$15,0,0,$B$14,1), 1*(_xlfn._xlws.FILTER(OFFSET($O$15,0,$DN271,$B$8,1),OFFSET($M$15,0,0,$B$8,1))=FG$13), 1*(_xlfn._xlws.FILTER(OFFSET($O$15,0,$DO271,$B$8,1),OFFSET($M$15,0,0,$B$8,1))=FG$14))   /   SUM(OFFSET($BO$15,0,0,$B$14,1)) + $B$18/($B$19*$B$19*($DN271&lt;&gt;$DO271) + $B$19*($DN271=$DO271))</f>
        <v>3.7037037037037035E-4</v>
      </c>
      <c r="FH271" s="10" cm="1">
        <f t="array" aca="1" ref="FH271" ca="1">(1-$B$18)*SUMPRODUCT(OFFSET($BO$15,0,0,$B$14,1), 1*(_xlfn._xlws.FILTER(OFFSET($O$15,0,$DN271,$B$8,1),OFFSET($M$15,0,0,$B$8,1))=FH$13), 1*(_xlfn._xlws.FILTER(OFFSET($O$15,0,$DO271,$B$8,1),OFFSET($M$15,0,0,$B$8,1))=FH$14))   /   SUM(OFFSET($BO$15,0,0,$B$14,1)) + $B$18/($B$19*$B$19*($DN271&lt;&gt;$DO271) + $B$19*($DN271=$DO271))</f>
        <v>3.7037037037037035E-4</v>
      </c>
      <c r="FI271" s="10" cm="1">
        <f t="array" aca="1" ref="FI271" ca="1">(1-$B$18)*SUMPRODUCT(OFFSET($BO$15,0,0,$B$14,1), 1*(_xlfn._xlws.FILTER(OFFSET($O$15,0,$DN271,$B$8,1),OFFSET($M$15,0,0,$B$8,1))=FI$13), 1*(_xlfn._xlws.FILTER(OFFSET($O$15,0,$DO271,$B$8,1),OFFSET($M$15,0,0,$B$8,1))=FI$14))   /   SUM(OFFSET($BO$15,0,0,$B$14,1)) + $B$18/($B$19*$B$19*($DN271&lt;&gt;$DO271) + $B$19*($DN271=$DO271))</f>
        <v>3.7037037037037035E-4</v>
      </c>
      <c r="FJ271" s="10" cm="1">
        <f t="array" aca="1" ref="FJ271" ca="1">(1-$B$18)*SUMPRODUCT(OFFSET($BO$15,0,0,$B$14,1), 1*(_xlfn._xlws.FILTER(OFFSET($O$15,0,$DN271,$B$8,1),OFFSET($M$15,0,0,$B$8,1))=FJ$13), 1*(_xlfn._xlws.FILTER(OFFSET($O$15,0,$DO271,$B$8,1),OFFSET($M$15,0,0,$B$8,1))=FJ$14))   /   SUM(OFFSET($BO$15,0,0,$B$14,1)) + $B$18/($B$19*$B$19*($DN271&lt;&gt;$DO271) + $B$19*($DN271=$DO271))</f>
        <v>3.7037037037037035E-4</v>
      </c>
      <c r="FK271" s="10" cm="1">
        <f t="array" aca="1" ref="FK271" ca="1">(1-$B$18)*SUMPRODUCT(OFFSET($BO$15,0,0,$B$14,1), 1*(_xlfn._xlws.FILTER(OFFSET($O$15,0,$DN271,$B$8,1),OFFSET($M$15,0,0,$B$8,1))=FK$13), 1*(_xlfn._xlws.FILTER(OFFSET($O$15,0,$DO271,$B$8,1),OFFSET($M$15,0,0,$B$8,1))=FK$14))   /   SUM(OFFSET($BO$15,0,0,$B$14,1)) + $B$18/($B$19*$B$19*($DN271&lt;&gt;$DO271) + $B$19*($DN271=$DO271))</f>
        <v>3.7037037037037035E-4</v>
      </c>
      <c r="FL271" s="10" cm="1">
        <f t="array" aca="1" ref="FL271" ca="1">(1-$B$18)*SUMPRODUCT(OFFSET($BO$15,0,0,$B$14,1), 1*(_xlfn._xlws.FILTER(OFFSET($O$15,0,$DN271,$B$8,1),OFFSET($M$15,0,0,$B$8,1))=FL$13), 1*(_xlfn._xlws.FILTER(OFFSET($O$15,0,$DO271,$B$8,1),OFFSET($M$15,0,0,$B$8,1))=FL$14))   /   SUM(OFFSET($BO$15,0,0,$B$14,1)) + $B$18/($B$19*$B$19*($DN271&lt;&gt;$DO271) + $B$19*($DN271=$DO271))</f>
        <v>3.7037037037037035E-4</v>
      </c>
      <c r="FM271" s="10" cm="1">
        <f t="array" aca="1" ref="FM271" ca="1">(1-$B$18)*SUMPRODUCT(OFFSET($BO$15,0,0,$B$14,1), 1*(_xlfn._xlws.FILTER(OFFSET($O$15,0,$DN271,$B$8,1),OFFSET($M$15,0,0,$B$8,1))=FM$13), 1*(_xlfn._xlws.FILTER(OFFSET($O$15,0,$DO271,$B$8,1),OFFSET($M$15,0,0,$B$8,1))=FM$14))   /   SUM(OFFSET($BO$15,0,0,$B$14,1)) + $B$18/($B$19*$B$19*($DN271&lt;&gt;$DO271) + $B$19*($DN271=$DO271))</f>
        <v>3.7037037037037035E-4</v>
      </c>
      <c r="FN271" s="10" cm="1">
        <f t="array" aca="1" ref="FN271" ca="1">(1-$B$18)*SUMPRODUCT(OFFSET($BO$15,0,0,$B$14,1), 1*(_xlfn._xlws.FILTER(OFFSET($O$15,0,$DN271,$B$8,1),OFFSET($M$15,0,0,$B$8,1))=FN$13), 1*(_xlfn._xlws.FILTER(OFFSET($O$15,0,$DO271,$B$8,1),OFFSET($M$15,0,0,$B$8,1))=FN$14))   /   SUM(OFFSET($BO$15,0,0,$B$14,1)) + $B$18/($B$19*$B$19*($DN271&lt;&gt;$DO271) + $B$19*($DN271=$DO271))</f>
        <v>3.7037037037037035E-4</v>
      </c>
      <c r="FO271" s="10" cm="1">
        <f t="array" aca="1" ref="FO271" ca="1">(1-$B$18)*SUMPRODUCT(OFFSET($BO$15,0,0,$B$14,1), 1*(_xlfn._xlws.FILTER(OFFSET($O$15,0,$DN271,$B$8,1),OFFSET($M$15,0,0,$B$8,1))=FO$13), 1*(_xlfn._xlws.FILTER(OFFSET($O$15,0,$DO271,$B$8,1),OFFSET($M$15,0,0,$B$8,1))=FO$14))   /   SUM(OFFSET($BO$15,0,0,$B$14,1)) + $B$18/($B$19*$B$19*($DN271&lt;&gt;$DO271) + $B$19*($DN271=$DO271))</f>
        <v>3.7037037037037035E-4</v>
      </c>
      <c r="FP271" s="10" cm="1">
        <f t="array" aca="1" ref="FP271" ca="1">(1-$B$18)*SUMPRODUCT(OFFSET($BO$15,0,0,$B$14,1), 1*(_xlfn._xlws.FILTER(OFFSET($O$15,0,$DN271,$B$8,1),OFFSET($M$15,0,0,$B$8,1))=FP$13), 1*(_xlfn._xlws.FILTER(OFFSET($O$15,0,$DO271,$B$8,1),OFFSET($M$15,0,0,$B$8,1))=FP$14))   /   SUM(OFFSET($BO$15,0,0,$B$14,1)) + $B$18/($B$19*$B$19*($DN271&lt;&gt;$DO271) + $B$19*($DN271=$DO271))</f>
        <v>3.7037037037037035E-4</v>
      </c>
      <c r="FQ271" s="10" cm="1">
        <f t="array" aca="1" ref="FQ271" ca="1">(1-$B$18)*SUMPRODUCT(OFFSET($BO$15,0,0,$B$14,1), 1*(_xlfn._xlws.FILTER(OFFSET($O$15,0,$DN271,$B$8,1),OFFSET($M$15,0,0,$B$8,1))=FQ$13), 1*(_xlfn._xlws.FILTER(OFFSET($O$15,0,$DO271,$B$8,1),OFFSET($M$15,0,0,$B$8,1))=FQ$14))   /   SUM(OFFSET($BO$15,0,0,$B$14,1)) + $B$18/($B$19*$B$19*($DN271&lt;&gt;$DO271) + $B$19*($DN271=$DO271))</f>
        <v>3.7037037037037035E-4</v>
      </c>
      <c r="FR271" s="10" cm="1">
        <f t="array" aca="1" ref="FR271" ca="1">(1-$B$18)*SUMPRODUCT(OFFSET($BO$15,0,0,$B$14,1), 1*(_xlfn._xlws.FILTER(OFFSET($O$15,0,$DN271,$B$8,1),OFFSET($M$15,0,0,$B$8,1))=FR$13), 1*(_xlfn._xlws.FILTER(OFFSET($O$15,0,$DO271,$B$8,1),OFFSET($M$15,0,0,$B$8,1))=FR$14))   /   SUM(OFFSET($BO$15,0,0,$B$14,1)) + $B$18/($B$19*$B$19*($DN271&lt;&gt;$DO271) + $B$19*($DN271=$DO271))</f>
        <v>3.7037037037037035E-4</v>
      </c>
      <c r="FS271" s="10" cm="1">
        <f t="array" aca="1" ref="FS271" ca="1">(1-$B$18)*SUMPRODUCT(OFFSET($BO$15,0,0,$B$14,1), 1*(_xlfn._xlws.FILTER(OFFSET($O$15,0,$DN271,$B$8,1),OFFSET($M$15,0,0,$B$8,1))=FS$13), 1*(_xlfn._xlws.FILTER(OFFSET($O$15,0,$DO271,$B$8,1),OFFSET($M$15,0,0,$B$8,1))=FS$14))   /   SUM(OFFSET($BO$15,0,0,$B$14,1)) + $B$18/($B$19*$B$19*($DN271&lt;&gt;$DO271) + $B$19*($DN271=$DO271))</f>
        <v>3.7037037037037035E-4</v>
      </c>
      <c r="FT271" s="10" cm="1">
        <f t="array" aca="1" ref="FT271" ca="1">(1-$B$18)*SUMPRODUCT(OFFSET($BO$15,0,0,$B$14,1), 1*(_xlfn._xlws.FILTER(OFFSET($O$15,0,$DN271,$B$8,1),OFFSET($M$15,0,0,$B$8,1))=FT$13), 1*(_xlfn._xlws.FILTER(OFFSET($O$15,0,$DO271,$B$8,1),OFFSET($M$15,0,0,$B$8,1))=FT$14))   /   SUM(OFFSET($BO$15,0,0,$B$14,1)) + $B$18/($B$19*$B$19*($DN271&lt;&gt;$DO271) + $B$19*($DN271=$DO271))</f>
        <v>3.7037037037037035E-4</v>
      </c>
      <c r="FU271" s="10" cm="1">
        <f t="array" aca="1" ref="FU271" ca="1">(1-$B$18)*SUMPRODUCT(OFFSET($BO$15,0,0,$B$14,1), 1*(_xlfn._xlws.FILTER(OFFSET($O$15,0,$DN271,$B$8,1),OFFSET($M$15,0,0,$B$8,1))=FU$13), 1*(_xlfn._xlws.FILTER(OFFSET($O$15,0,$DO271,$B$8,1),OFFSET($M$15,0,0,$B$8,1))=FU$14))   /   SUM(OFFSET($BO$15,0,0,$B$14,1)) + $B$18/($B$19*$B$19*($DN271&lt;&gt;$DO271) + $B$19*($DN271=$DO271))</f>
        <v>3.7037037037037035E-4</v>
      </c>
      <c r="FV271" s="10" cm="1">
        <f t="array" aca="1" ref="FV271" ca="1">(1-$B$18)*SUMPRODUCT(OFFSET($BO$15,0,0,$B$14,1), 1*(_xlfn._xlws.FILTER(OFFSET($O$15,0,$DN271,$B$8,1),OFFSET($M$15,0,0,$B$8,1))=FV$13), 1*(_xlfn._xlws.FILTER(OFFSET($O$15,0,$DO271,$B$8,1),OFFSET($M$15,0,0,$B$8,1))=FV$14))   /   SUM(OFFSET($BO$15,0,0,$B$14,1)) + $B$18/($B$19*$B$19*($DN271&lt;&gt;$DO271) + $B$19*($DN271=$DO271))</f>
        <v>3.7037037037037035E-4</v>
      </c>
      <c r="FW271" s="10" cm="1">
        <f t="array" aca="1" ref="FW271" ca="1">(1-$B$18)*SUMPRODUCT(OFFSET($BO$15,0,0,$B$14,1), 1*(_xlfn._xlws.FILTER(OFFSET($O$15,0,$DN271,$B$8,1),OFFSET($M$15,0,0,$B$8,1))=FW$13), 1*(_xlfn._xlws.FILTER(OFFSET($O$15,0,$DO271,$B$8,1),OFFSET($M$15,0,0,$B$8,1))=FW$14))   /   SUM(OFFSET($BO$15,0,0,$B$14,1)) + $B$18/($B$19*$B$19*($DN271&lt;&gt;$DO271) + $B$19*($DN271=$DO271))</f>
        <v>3.7037037037037035E-4</v>
      </c>
      <c r="FX271" s="10" cm="1">
        <f t="array" aca="1" ref="FX271" ca="1">(1-$B$18)*SUMPRODUCT(OFFSET($BO$15,0,0,$B$14,1), 1*(_xlfn._xlws.FILTER(OFFSET($O$15,0,$DN271,$B$8,1),OFFSET($M$15,0,0,$B$8,1))=FX$13), 1*(_xlfn._xlws.FILTER(OFFSET($O$15,0,$DO271,$B$8,1),OFFSET($M$15,0,0,$B$8,1))=FX$14))   /   SUM(OFFSET($BO$15,0,0,$B$14,1)) + $B$18/($B$19*$B$19*($DN271&lt;&gt;$DO271) + $B$19*($DN271=$DO271))</f>
        <v>3.7037037037037035E-4</v>
      </c>
      <c r="FY271" s="10" cm="1">
        <f t="array" aca="1" ref="FY271" ca="1">(1-$B$18)*SUMPRODUCT(OFFSET($BO$15,0,0,$B$14,1), 1*(_xlfn._xlws.FILTER(OFFSET($O$15,0,$DN271,$B$8,1),OFFSET($M$15,0,0,$B$8,1))=FY$13), 1*(_xlfn._xlws.FILTER(OFFSET($O$15,0,$DO271,$B$8,1),OFFSET($M$15,0,0,$B$8,1))=FY$14))   /   SUM(OFFSET($BO$15,0,0,$B$14,1)) + $B$18/($B$19*$B$19*($DN271&lt;&gt;$DO271) + $B$19*($DN271=$DO271))</f>
        <v>3.7037037037037035E-4</v>
      </c>
      <c r="FZ271" s="10" cm="1">
        <f t="array" aca="1" ref="FZ271" ca="1">(1-$B$18)*SUMPRODUCT(OFFSET($BO$15,0,0,$B$14,1), 1*(_xlfn._xlws.FILTER(OFFSET($O$15,0,$DN271,$B$8,1),OFFSET($M$15,0,0,$B$8,1))=FZ$13), 1*(_xlfn._xlws.FILTER(OFFSET($O$15,0,$DO271,$B$8,1),OFFSET($M$15,0,0,$B$8,1))=FZ$14))   /   SUM(OFFSET($BO$15,0,0,$B$14,1)) + $B$18/($B$19*$B$19*($DN271&lt;&gt;$DO271) + $B$19*($DN271=$DO271))</f>
        <v>3.7037037037037035E-4</v>
      </c>
      <c r="GA271" s="10" cm="1">
        <f t="array" aca="1" ref="GA271" ca="1">(1-$B$18)*SUMPRODUCT(OFFSET($BO$15,0,0,$B$14,1), 1*(_xlfn._xlws.FILTER(OFFSET($O$15,0,$DN271,$B$8,1),OFFSET($M$15,0,0,$B$8,1))=GA$13), 1*(_xlfn._xlws.FILTER(OFFSET($O$15,0,$DO271,$B$8,1),OFFSET($M$15,0,0,$B$8,1))=GA$14))   /   SUM(OFFSET($BO$15,0,0,$B$14,1)) + $B$18/($B$19*$B$19*($DN271&lt;&gt;$DO271) + $B$19*($DN271=$DO271))</f>
        <v>3.7037037037037035E-4</v>
      </c>
    </row>
    <row r="272" spans="118:183" x14ac:dyDescent="0.2">
      <c r="DN272" cm="1">
        <f t="array" aca="1" ref="DN272" ca="1">INDEX(_xlfn.ANCHORARRAY($CP$15), 1 + INT((ROWS($DO$15:$DO272) - 1) / ROWS(_xlfn.ANCHORARRAY($CP$15))))</f>
        <v>14</v>
      </c>
      <c r="DO272" cm="1">
        <f t="array" aca="1" ref="DO272" ca="1">INDEX(_xlfn.ANCHORARRAY($CP$15),1+MOD(ROWS($DO$15:$DO272)-1,ROWS(_xlfn.ANCHORARRAY($CP$15))))</f>
        <v>11</v>
      </c>
      <c r="DP272" s="10" cm="1">
        <f t="array" aca="1" ref="DP272" ca="1">(1-$B$18)*SUMPRODUCT(OFFSET($BO$15,0,0,$B$14,1), 1*(_xlfn._xlws.FILTER(OFFSET($O$15,0,$DN272,$B$8,1),OFFSET($M$15,0,0,$B$8,1))=DP$13), 1*(_xlfn._xlws.FILTER(OFFSET($O$15,0,$DO272,$B$8,1),OFFSET($M$15,0,0,$B$8,1))=DP$14))   /   SUM(OFFSET($BO$15,0,0,$B$14,1)) + $B$18/($B$19*$B$19*($DN272&lt;&gt;$DO272) + $B$19*($DN272=$DO272))</f>
        <v>3.7037037037037035E-4</v>
      </c>
      <c r="DQ272" s="10" cm="1">
        <f t="array" aca="1" ref="DQ272" ca="1">(1-$B$18)*SUMPRODUCT(OFFSET($BO$15,0,0,$B$14,1), 1*(_xlfn._xlws.FILTER(OFFSET($O$15,0,$DN272,$B$8,1),OFFSET($M$15,0,0,$B$8,1))=DQ$13), 1*(_xlfn._xlws.FILTER(OFFSET($O$15,0,$DO272,$B$8,1),OFFSET($M$15,0,0,$B$8,1))=DQ$14))   /   SUM(OFFSET($BO$15,0,0,$B$14,1)) + $B$18/($B$19*$B$19*($DN272&lt;&gt;$DO272) + $B$19*($DN272=$DO272))</f>
        <v>3.7037037037037035E-4</v>
      </c>
      <c r="DR272" s="10" cm="1">
        <f t="array" aca="1" ref="DR272" ca="1">(1-$B$18)*SUMPRODUCT(OFFSET($BO$15,0,0,$B$14,1), 1*(_xlfn._xlws.FILTER(OFFSET($O$15,0,$DN272,$B$8,1),OFFSET($M$15,0,0,$B$8,1))=DR$13), 1*(_xlfn._xlws.FILTER(OFFSET($O$15,0,$DO272,$B$8,1),OFFSET($M$15,0,0,$B$8,1))=DR$14))   /   SUM(OFFSET($BO$15,0,0,$B$14,1)) + $B$18/($B$19*$B$19*($DN272&lt;&gt;$DO272) + $B$19*($DN272=$DO272))</f>
        <v>3.7037037037037035E-4</v>
      </c>
      <c r="DS272" s="10" cm="1">
        <f t="array" aca="1" ref="DS272" ca="1">(1-$B$18)*SUMPRODUCT(OFFSET($BO$15,0,0,$B$14,1), 1*(_xlfn._xlws.FILTER(OFFSET($O$15,0,$DN272,$B$8,1),OFFSET($M$15,0,0,$B$8,1))=DS$13), 1*(_xlfn._xlws.FILTER(OFFSET($O$15,0,$DO272,$B$8,1),OFFSET($M$15,0,0,$B$8,1))=DS$14))   /   SUM(OFFSET($BO$15,0,0,$B$14,1)) + $B$18/($B$19*$B$19*($DN272&lt;&gt;$DO272) + $B$19*($DN272=$DO272))</f>
        <v>3.7037037037037035E-4</v>
      </c>
      <c r="DT272" s="10" cm="1">
        <f t="array" aca="1" ref="DT272" ca="1">(1-$B$18)*SUMPRODUCT(OFFSET($BO$15,0,0,$B$14,1), 1*(_xlfn._xlws.FILTER(OFFSET($O$15,0,$DN272,$B$8,1),OFFSET($M$15,0,0,$B$8,1))=DT$13), 1*(_xlfn._xlws.FILTER(OFFSET($O$15,0,$DO272,$B$8,1),OFFSET($M$15,0,0,$B$8,1))=DT$14))   /   SUM(OFFSET($BO$15,0,0,$B$14,1)) + $B$18/($B$19*$B$19*($DN272&lt;&gt;$DO272) + $B$19*($DN272=$DO272))</f>
        <v>3.7037037037037035E-4</v>
      </c>
      <c r="DU272" s="10" cm="1">
        <f t="array" aca="1" ref="DU272" ca="1">(1-$B$18)*SUMPRODUCT(OFFSET($BO$15,0,0,$B$14,1), 1*(_xlfn._xlws.FILTER(OFFSET($O$15,0,$DN272,$B$8,1),OFFSET($M$15,0,0,$B$8,1))=DU$13), 1*(_xlfn._xlws.FILTER(OFFSET($O$15,0,$DO272,$B$8,1),OFFSET($M$15,0,0,$B$8,1))=DU$14))   /   SUM(OFFSET($BO$15,0,0,$B$14,1)) + $B$18/($B$19*$B$19*($DN272&lt;&gt;$DO272) + $B$19*($DN272=$DO272))</f>
        <v>3.7037037037037035E-4</v>
      </c>
      <c r="DV272" s="10" cm="1">
        <f t="array" aca="1" ref="DV272" ca="1">(1-$B$18)*SUMPRODUCT(OFFSET($BO$15,0,0,$B$14,1), 1*(_xlfn._xlws.FILTER(OFFSET($O$15,0,$DN272,$B$8,1),OFFSET($M$15,0,0,$B$8,1))=DV$13), 1*(_xlfn._xlws.FILTER(OFFSET($O$15,0,$DO272,$B$8,1),OFFSET($M$15,0,0,$B$8,1))=DV$14))   /   SUM(OFFSET($BO$15,0,0,$B$14,1)) + $B$18/($B$19*$B$19*($DN272&lt;&gt;$DO272) + $B$19*($DN272=$DO272))</f>
        <v>3.7037037037037035E-4</v>
      </c>
      <c r="DW272" s="10" cm="1">
        <f t="array" aca="1" ref="DW272" ca="1">(1-$B$18)*SUMPRODUCT(OFFSET($BO$15,0,0,$B$14,1), 1*(_xlfn._xlws.FILTER(OFFSET($O$15,0,$DN272,$B$8,1),OFFSET($M$15,0,0,$B$8,1))=DW$13), 1*(_xlfn._xlws.FILTER(OFFSET($O$15,0,$DO272,$B$8,1),OFFSET($M$15,0,0,$B$8,1))=DW$14))   /   SUM(OFFSET($BO$15,0,0,$B$14,1)) + $B$18/($B$19*$B$19*($DN272&lt;&gt;$DO272) + $B$19*($DN272=$DO272))</f>
        <v>3.7037037037037035E-4</v>
      </c>
      <c r="DX272" s="10" cm="1">
        <f t="array" aca="1" ref="DX272" ca="1">(1-$B$18)*SUMPRODUCT(OFFSET($BO$15,0,0,$B$14,1), 1*(_xlfn._xlws.FILTER(OFFSET($O$15,0,$DN272,$B$8,1),OFFSET($M$15,0,0,$B$8,1))=DX$13), 1*(_xlfn._xlws.FILTER(OFFSET($O$15,0,$DO272,$B$8,1),OFFSET($M$15,0,0,$B$8,1))=DX$14))   /   SUM(OFFSET($BO$15,0,0,$B$14,1)) + $B$18/($B$19*$B$19*($DN272&lt;&gt;$DO272) + $B$19*($DN272=$DO272))</f>
        <v>3.7037037037037035E-4</v>
      </c>
      <c r="DY272" s="10" cm="1">
        <f t="array" aca="1" ref="DY272" ca="1">(1-$B$18)*SUMPRODUCT(OFFSET($BO$15,0,0,$B$14,1), 1*(_xlfn._xlws.FILTER(OFFSET($O$15,0,$DN272,$B$8,1),OFFSET($M$15,0,0,$B$8,1))=DY$13), 1*(_xlfn._xlws.FILTER(OFFSET($O$15,0,$DO272,$B$8,1),OFFSET($M$15,0,0,$B$8,1))=DY$14))   /   SUM(OFFSET($BO$15,0,0,$B$14,1)) + $B$18/($B$19*$B$19*($DN272&lt;&gt;$DO272) + $B$19*($DN272=$DO272))</f>
        <v>3.7037037037037035E-4</v>
      </c>
      <c r="DZ272" s="10" cm="1">
        <f t="array" aca="1" ref="DZ272" ca="1">(1-$B$18)*SUMPRODUCT(OFFSET($BO$15,0,0,$B$14,1), 1*(_xlfn._xlws.FILTER(OFFSET($O$15,0,$DN272,$B$8,1),OFFSET($M$15,0,0,$B$8,1))=DZ$13), 1*(_xlfn._xlws.FILTER(OFFSET($O$15,0,$DO272,$B$8,1),OFFSET($M$15,0,0,$B$8,1))=DZ$14))   /   SUM(OFFSET($BO$15,0,0,$B$14,1)) + $B$18/($B$19*$B$19*($DN272&lt;&gt;$DO272) + $B$19*($DN272=$DO272))</f>
        <v>3.7037037037037035E-4</v>
      </c>
      <c r="EA272" s="10" cm="1">
        <f t="array" aca="1" ref="EA272" ca="1">(1-$B$18)*SUMPRODUCT(OFFSET($BO$15,0,0,$B$14,1), 1*(_xlfn._xlws.FILTER(OFFSET($O$15,0,$DN272,$B$8,1),OFFSET($M$15,0,0,$B$8,1))=EA$13), 1*(_xlfn._xlws.FILTER(OFFSET($O$15,0,$DO272,$B$8,1),OFFSET($M$15,0,0,$B$8,1))=EA$14))   /   SUM(OFFSET($BO$15,0,0,$B$14,1)) + $B$18/($B$19*$B$19*($DN272&lt;&gt;$DO272) + $B$19*($DN272=$DO272))</f>
        <v>3.7037037037037035E-4</v>
      </c>
      <c r="EB272" s="10" cm="1">
        <f t="array" aca="1" ref="EB272" ca="1">(1-$B$18)*SUMPRODUCT(OFFSET($BO$15,0,0,$B$14,1), 1*(_xlfn._xlws.FILTER(OFFSET($O$15,0,$DN272,$B$8,1),OFFSET($M$15,0,0,$B$8,1))=EB$13), 1*(_xlfn._xlws.FILTER(OFFSET($O$15,0,$DO272,$B$8,1),OFFSET($M$15,0,0,$B$8,1))=EB$14))   /   SUM(OFFSET($BO$15,0,0,$B$14,1)) + $B$18/($B$19*$B$19*($DN272&lt;&gt;$DO272) + $B$19*($DN272=$DO272))</f>
        <v>3.7037037037037035E-4</v>
      </c>
      <c r="EC272" s="10" cm="1">
        <f t="array" aca="1" ref="EC272" ca="1">(1-$B$18)*SUMPRODUCT(OFFSET($BO$15,0,0,$B$14,1), 1*(_xlfn._xlws.FILTER(OFFSET($O$15,0,$DN272,$B$8,1),OFFSET($M$15,0,0,$B$8,1))=EC$13), 1*(_xlfn._xlws.FILTER(OFFSET($O$15,0,$DO272,$B$8,1),OFFSET($M$15,0,0,$B$8,1))=EC$14))   /   SUM(OFFSET($BO$15,0,0,$B$14,1)) + $B$18/($B$19*$B$19*($DN272&lt;&gt;$DO272) + $B$19*($DN272=$DO272))</f>
        <v>3.7037037037037035E-4</v>
      </c>
      <c r="ED272" s="10" cm="1">
        <f t="array" aca="1" ref="ED272" ca="1">(1-$B$18)*SUMPRODUCT(OFFSET($BO$15,0,0,$B$14,1), 1*(_xlfn._xlws.FILTER(OFFSET($O$15,0,$DN272,$B$8,1),OFFSET($M$15,0,0,$B$8,1))=ED$13), 1*(_xlfn._xlws.FILTER(OFFSET($O$15,0,$DO272,$B$8,1),OFFSET($M$15,0,0,$B$8,1))=ED$14))   /   SUM(OFFSET($BO$15,0,0,$B$14,1)) + $B$18/($B$19*$B$19*($DN272&lt;&gt;$DO272) + $B$19*($DN272=$DO272))</f>
        <v>3.7037037037037035E-4</v>
      </c>
      <c r="EE272" s="10" cm="1">
        <f t="array" aca="1" ref="EE272" ca="1">(1-$B$18)*SUMPRODUCT(OFFSET($BO$15,0,0,$B$14,1), 1*(_xlfn._xlws.FILTER(OFFSET($O$15,0,$DN272,$B$8,1),OFFSET($M$15,0,0,$B$8,1))=EE$13), 1*(_xlfn._xlws.FILTER(OFFSET($O$15,0,$DO272,$B$8,1),OFFSET($M$15,0,0,$B$8,1))=EE$14))   /   SUM(OFFSET($BO$15,0,0,$B$14,1)) + $B$18/($B$19*$B$19*($DN272&lt;&gt;$DO272) + $B$19*($DN272=$DO272))</f>
        <v>3.7037037037037035E-4</v>
      </c>
      <c r="EF272" s="10" cm="1">
        <f t="array" aca="1" ref="EF272" ca="1">(1-$B$18)*SUMPRODUCT(OFFSET($BO$15,0,0,$B$14,1), 1*(_xlfn._xlws.FILTER(OFFSET($O$15,0,$DN272,$B$8,1),OFFSET($M$15,0,0,$B$8,1))=EF$13), 1*(_xlfn._xlws.FILTER(OFFSET($O$15,0,$DO272,$B$8,1),OFFSET($M$15,0,0,$B$8,1))=EF$14))   /   SUM(OFFSET($BO$15,0,0,$B$14,1)) + $B$18/($B$19*$B$19*($DN272&lt;&gt;$DO272) + $B$19*($DN272=$DO272))</f>
        <v>0.48537037037037034</v>
      </c>
      <c r="EG272" s="10" cm="1">
        <f t="array" aca="1" ref="EG272" ca="1">(1-$B$18)*SUMPRODUCT(OFFSET($BO$15,0,0,$B$14,1), 1*(_xlfn._xlws.FILTER(OFFSET($O$15,0,$DN272,$B$8,1),OFFSET($M$15,0,0,$B$8,1))=EG$13), 1*(_xlfn._xlws.FILTER(OFFSET($O$15,0,$DO272,$B$8,1),OFFSET($M$15,0,0,$B$8,1))=EG$14))   /   SUM(OFFSET($BO$15,0,0,$B$14,1)) + $B$18/($B$19*$B$19*($DN272&lt;&gt;$DO272) + $B$19*($DN272=$DO272))</f>
        <v>3.7037037037037035E-4</v>
      </c>
      <c r="EH272" s="10" cm="1">
        <f t="array" aca="1" ref="EH272" ca="1">(1-$B$18)*SUMPRODUCT(OFFSET($BO$15,0,0,$B$14,1), 1*(_xlfn._xlws.FILTER(OFFSET($O$15,0,$DN272,$B$8,1),OFFSET($M$15,0,0,$B$8,1))=EH$13), 1*(_xlfn._xlws.FILTER(OFFSET($O$15,0,$DO272,$B$8,1),OFFSET($M$15,0,0,$B$8,1))=EH$14))   /   SUM(OFFSET($BO$15,0,0,$B$14,1)) + $B$18/($B$19*$B$19*($DN272&lt;&gt;$DO272) + $B$19*($DN272=$DO272))</f>
        <v>0.24287037037037026</v>
      </c>
      <c r="EI272" s="10" cm="1">
        <f t="array" aca="1" ref="EI272" ca="1">(1-$B$18)*SUMPRODUCT(OFFSET($BO$15,0,0,$B$14,1), 1*(_xlfn._xlws.FILTER(OFFSET($O$15,0,$DN272,$B$8,1),OFFSET($M$15,0,0,$B$8,1))=EI$13), 1*(_xlfn._xlws.FILTER(OFFSET($O$15,0,$DO272,$B$8,1),OFFSET($M$15,0,0,$B$8,1))=EI$14))   /   SUM(OFFSET($BO$15,0,0,$B$14,1)) + $B$18/($B$19*$B$19*($DN272&lt;&gt;$DO272) + $B$19*($DN272=$DO272))</f>
        <v>0.24287037037037026</v>
      </c>
      <c r="EJ272" s="10" cm="1">
        <f t="array" aca="1" ref="EJ272" ca="1">(1-$B$18)*SUMPRODUCT(OFFSET($BO$15,0,0,$B$14,1), 1*(_xlfn._xlws.FILTER(OFFSET($O$15,0,$DN272,$B$8,1),OFFSET($M$15,0,0,$B$8,1))=EJ$13), 1*(_xlfn._xlws.FILTER(OFFSET($O$15,0,$DO272,$B$8,1),OFFSET($M$15,0,0,$B$8,1))=EJ$14))   /   SUM(OFFSET($BO$15,0,0,$B$14,1)) + $B$18/($B$19*$B$19*($DN272&lt;&gt;$DO272) + $B$19*($DN272=$DO272))</f>
        <v>3.7037037037037035E-4</v>
      </c>
      <c r="EK272" s="10" cm="1">
        <f t="array" aca="1" ref="EK272" ca="1">(1-$B$18)*SUMPRODUCT(OFFSET($BO$15,0,0,$B$14,1), 1*(_xlfn._xlws.FILTER(OFFSET($O$15,0,$DN272,$B$8,1),OFFSET($M$15,0,0,$B$8,1))=EK$13), 1*(_xlfn._xlws.FILTER(OFFSET($O$15,0,$DO272,$B$8,1),OFFSET($M$15,0,0,$B$8,1))=EK$14))   /   SUM(OFFSET($BO$15,0,0,$B$14,1)) + $B$18/($B$19*$B$19*($DN272&lt;&gt;$DO272) + $B$19*($DN272=$DO272))</f>
        <v>3.7037037037037035E-4</v>
      </c>
      <c r="EL272" s="10" cm="1">
        <f t="array" aca="1" ref="EL272" ca="1">(1-$B$18)*SUMPRODUCT(OFFSET($BO$15,0,0,$B$14,1), 1*(_xlfn._xlws.FILTER(OFFSET($O$15,0,$DN272,$B$8,1),OFFSET($M$15,0,0,$B$8,1))=EL$13), 1*(_xlfn._xlws.FILTER(OFFSET($O$15,0,$DO272,$B$8,1),OFFSET($M$15,0,0,$B$8,1))=EL$14))   /   SUM(OFFSET($BO$15,0,0,$B$14,1)) + $B$18/($B$19*$B$19*($DN272&lt;&gt;$DO272) + $B$19*($DN272=$DO272))</f>
        <v>3.7037037037037035E-4</v>
      </c>
      <c r="EM272" s="10" cm="1">
        <f t="array" aca="1" ref="EM272" ca="1">(1-$B$18)*SUMPRODUCT(OFFSET($BO$15,0,0,$B$14,1), 1*(_xlfn._xlws.FILTER(OFFSET($O$15,0,$DN272,$B$8,1),OFFSET($M$15,0,0,$B$8,1))=EM$13), 1*(_xlfn._xlws.FILTER(OFFSET($O$15,0,$DO272,$B$8,1),OFFSET($M$15,0,0,$B$8,1))=EM$14))   /   SUM(OFFSET($BO$15,0,0,$B$14,1)) + $B$18/($B$19*$B$19*($DN272&lt;&gt;$DO272) + $B$19*($DN272=$DO272))</f>
        <v>3.7037037037037035E-4</v>
      </c>
      <c r="EN272" s="10" cm="1">
        <f t="array" aca="1" ref="EN272" ca="1">(1-$B$18)*SUMPRODUCT(OFFSET($BO$15,0,0,$B$14,1), 1*(_xlfn._xlws.FILTER(OFFSET($O$15,0,$DN272,$B$8,1),OFFSET($M$15,0,0,$B$8,1))=EN$13), 1*(_xlfn._xlws.FILTER(OFFSET($O$15,0,$DO272,$B$8,1),OFFSET($M$15,0,0,$B$8,1))=EN$14))   /   SUM(OFFSET($BO$15,0,0,$B$14,1)) + $B$18/($B$19*$B$19*($DN272&lt;&gt;$DO272) + $B$19*($DN272=$DO272))</f>
        <v>3.7037037037037035E-4</v>
      </c>
      <c r="EO272" s="10" cm="1">
        <f t="array" aca="1" ref="EO272" ca="1">(1-$B$18)*SUMPRODUCT(OFFSET($BO$15,0,0,$B$14,1), 1*(_xlfn._xlws.FILTER(OFFSET($O$15,0,$DN272,$B$8,1),OFFSET($M$15,0,0,$B$8,1))=EO$13), 1*(_xlfn._xlws.FILTER(OFFSET($O$15,0,$DO272,$B$8,1),OFFSET($M$15,0,0,$B$8,1))=EO$14))   /   SUM(OFFSET($BO$15,0,0,$B$14,1)) + $B$18/($B$19*$B$19*($DN272&lt;&gt;$DO272) + $B$19*($DN272=$DO272))</f>
        <v>3.7037037037037035E-4</v>
      </c>
      <c r="EP272" s="10" cm="1">
        <f t="array" aca="1" ref="EP272" ca="1">(1-$B$18)*SUMPRODUCT(OFFSET($BO$15,0,0,$B$14,1), 1*(_xlfn._xlws.FILTER(OFFSET($O$15,0,$DN272,$B$8,1),OFFSET($M$15,0,0,$B$8,1))=EP$13), 1*(_xlfn._xlws.FILTER(OFFSET($O$15,0,$DO272,$B$8,1),OFFSET($M$15,0,0,$B$8,1))=EP$14))   /   SUM(OFFSET($BO$15,0,0,$B$14,1)) + $B$18/($B$19*$B$19*($DN272&lt;&gt;$DO272) + $B$19*($DN272=$DO272))</f>
        <v>3.7037037037037035E-4</v>
      </c>
      <c r="EQ272" s="10" cm="1">
        <f t="array" aca="1" ref="EQ272" ca="1">(1-$B$18)*SUMPRODUCT(OFFSET($BO$15,0,0,$B$14,1), 1*(_xlfn._xlws.FILTER(OFFSET($O$15,0,$DN272,$B$8,1),OFFSET($M$15,0,0,$B$8,1))=EQ$13), 1*(_xlfn._xlws.FILTER(OFFSET($O$15,0,$DO272,$B$8,1),OFFSET($M$15,0,0,$B$8,1))=EQ$14))   /   SUM(OFFSET($BO$15,0,0,$B$14,1)) + $B$18/($B$19*$B$19*($DN272&lt;&gt;$DO272) + $B$19*($DN272=$DO272))</f>
        <v>3.7037037037037035E-4</v>
      </c>
      <c r="ER272" s="10" cm="1">
        <f t="array" aca="1" ref="ER272" ca="1">(1-$B$18)*SUMPRODUCT(OFFSET($BO$15,0,0,$B$14,1), 1*(_xlfn._xlws.FILTER(OFFSET($O$15,0,$DN272,$B$8,1),OFFSET($M$15,0,0,$B$8,1))=ER$13), 1*(_xlfn._xlws.FILTER(OFFSET($O$15,0,$DO272,$B$8,1),OFFSET($M$15,0,0,$B$8,1))=ER$14))   /   SUM(OFFSET($BO$15,0,0,$B$14,1)) + $B$18/($B$19*$B$19*($DN272&lt;&gt;$DO272) + $B$19*($DN272=$DO272))</f>
        <v>3.7037037037037035E-4</v>
      </c>
      <c r="ES272" s="10" cm="1">
        <f t="array" aca="1" ref="ES272" ca="1">(1-$B$18)*SUMPRODUCT(OFFSET($BO$15,0,0,$B$14,1), 1*(_xlfn._xlws.FILTER(OFFSET($O$15,0,$DN272,$B$8,1),OFFSET($M$15,0,0,$B$8,1))=ES$13), 1*(_xlfn._xlws.FILTER(OFFSET($O$15,0,$DO272,$B$8,1),OFFSET($M$15,0,0,$B$8,1))=ES$14))   /   SUM(OFFSET($BO$15,0,0,$B$14,1)) + $B$18/($B$19*$B$19*($DN272&lt;&gt;$DO272) + $B$19*($DN272=$DO272))</f>
        <v>3.7037037037037035E-4</v>
      </c>
      <c r="ET272" s="10" cm="1">
        <f t="array" aca="1" ref="ET272" ca="1">(1-$B$18)*SUMPRODUCT(OFFSET($BO$15,0,0,$B$14,1), 1*(_xlfn._xlws.FILTER(OFFSET($O$15,0,$DN272,$B$8,1),OFFSET($M$15,0,0,$B$8,1))=ET$13), 1*(_xlfn._xlws.FILTER(OFFSET($O$15,0,$DO272,$B$8,1),OFFSET($M$15,0,0,$B$8,1))=ET$14))   /   SUM(OFFSET($BO$15,0,0,$B$14,1)) + $B$18/($B$19*$B$19*($DN272&lt;&gt;$DO272) + $B$19*($DN272=$DO272))</f>
        <v>3.7037037037037035E-4</v>
      </c>
      <c r="EU272" s="10" cm="1">
        <f t="array" aca="1" ref="EU272" ca="1">(1-$B$18)*SUMPRODUCT(OFFSET($BO$15,0,0,$B$14,1), 1*(_xlfn._xlws.FILTER(OFFSET($O$15,0,$DN272,$B$8,1),OFFSET($M$15,0,0,$B$8,1))=EU$13), 1*(_xlfn._xlws.FILTER(OFFSET($O$15,0,$DO272,$B$8,1),OFFSET($M$15,0,0,$B$8,1))=EU$14))   /   SUM(OFFSET($BO$15,0,0,$B$14,1)) + $B$18/($B$19*$B$19*($DN272&lt;&gt;$DO272) + $B$19*($DN272=$DO272))</f>
        <v>3.7037037037037035E-4</v>
      </c>
      <c r="EV272" s="10" cm="1">
        <f t="array" aca="1" ref="EV272" ca="1">(1-$B$18)*SUMPRODUCT(OFFSET($BO$15,0,0,$B$14,1), 1*(_xlfn._xlws.FILTER(OFFSET($O$15,0,$DN272,$B$8,1),OFFSET($M$15,0,0,$B$8,1))=EV$13), 1*(_xlfn._xlws.FILTER(OFFSET($O$15,0,$DO272,$B$8,1),OFFSET($M$15,0,0,$B$8,1))=EV$14))   /   SUM(OFFSET($BO$15,0,0,$B$14,1)) + $B$18/($B$19*$B$19*($DN272&lt;&gt;$DO272) + $B$19*($DN272=$DO272))</f>
        <v>3.7037037037037035E-4</v>
      </c>
      <c r="EW272" s="10" cm="1">
        <f t="array" aca="1" ref="EW272" ca="1">(1-$B$18)*SUMPRODUCT(OFFSET($BO$15,0,0,$B$14,1), 1*(_xlfn._xlws.FILTER(OFFSET($O$15,0,$DN272,$B$8,1),OFFSET($M$15,0,0,$B$8,1))=EW$13), 1*(_xlfn._xlws.FILTER(OFFSET($O$15,0,$DO272,$B$8,1),OFFSET($M$15,0,0,$B$8,1))=EW$14))   /   SUM(OFFSET($BO$15,0,0,$B$14,1)) + $B$18/($B$19*$B$19*($DN272&lt;&gt;$DO272) + $B$19*($DN272=$DO272))</f>
        <v>3.7037037037037035E-4</v>
      </c>
      <c r="EX272" s="10" cm="1">
        <f t="array" aca="1" ref="EX272" ca="1">(1-$B$18)*SUMPRODUCT(OFFSET($BO$15,0,0,$B$14,1), 1*(_xlfn._xlws.FILTER(OFFSET($O$15,0,$DN272,$B$8,1),OFFSET($M$15,0,0,$B$8,1))=EX$13), 1*(_xlfn._xlws.FILTER(OFFSET($O$15,0,$DO272,$B$8,1),OFFSET($M$15,0,0,$B$8,1))=EX$14))   /   SUM(OFFSET($BO$15,0,0,$B$14,1)) + $B$18/($B$19*$B$19*($DN272&lt;&gt;$DO272) + $B$19*($DN272=$DO272))</f>
        <v>3.7037037037037035E-4</v>
      </c>
      <c r="EY272" s="10" cm="1">
        <f t="array" aca="1" ref="EY272" ca="1">(1-$B$18)*SUMPRODUCT(OFFSET($BO$15,0,0,$B$14,1), 1*(_xlfn._xlws.FILTER(OFFSET($O$15,0,$DN272,$B$8,1),OFFSET($M$15,0,0,$B$8,1))=EY$13), 1*(_xlfn._xlws.FILTER(OFFSET($O$15,0,$DO272,$B$8,1),OFFSET($M$15,0,0,$B$8,1))=EY$14))   /   SUM(OFFSET($BO$15,0,0,$B$14,1)) + $B$18/($B$19*$B$19*($DN272&lt;&gt;$DO272) + $B$19*($DN272=$DO272))</f>
        <v>3.7037037037037035E-4</v>
      </c>
      <c r="EZ272" s="10" cm="1">
        <f t="array" aca="1" ref="EZ272" ca="1">(1-$B$18)*SUMPRODUCT(OFFSET($BO$15,0,0,$B$14,1), 1*(_xlfn._xlws.FILTER(OFFSET($O$15,0,$DN272,$B$8,1),OFFSET($M$15,0,0,$B$8,1))=EZ$13), 1*(_xlfn._xlws.FILTER(OFFSET($O$15,0,$DO272,$B$8,1),OFFSET($M$15,0,0,$B$8,1))=EZ$14))   /   SUM(OFFSET($BO$15,0,0,$B$14,1)) + $B$18/($B$19*$B$19*($DN272&lt;&gt;$DO272) + $B$19*($DN272=$DO272))</f>
        <v>3.7037037037037035E-4</v>
      </c>
      <c r="FA272" s="10" cm="1">
        <f t="array" aca="1" ref="FA272" ca="1">(1-$B$18)*SUMPRODUCT(OFFSET($BO$15,0,0,$B$14,1), 1*(_xlfn._xlws.FILTER(OFFSET($O$15,0,$DN272,$B$8,1),OFFSET($M$15,0,0,$B$8,1))=FA$13), 1*(_xlfn._xlws.FILTER(OFFSET($O$15,0,$DO272,$B$8,1),OFFSET($M$15,0,0,$B$8,1))=FA$14))   /   SUM(OFFSET($BO$15,0,0,$B$14,1)) + $B$18/($B$19*$B$19*($DN272&lt;&gt;$DO272) + $B$19*($DN272=$DO272))</f>
        <v>3.7037037037037035E-4</v>
      </c>
      <c r="FB272" s="10" cm="1">
        <f t="array" aca="1" ref="FB272" ca="1">(1-$B$18)*SUMPRODUCT(OFFSET($BO$15,0,0,$B$14,1), 1*(_xlfn._xlws.FILTER(OFFSET($O$15,0,$DN272,$B$8,1),OFFSET($M$15,0,0,$B$8,1))=FB$13), 1*(_xlfn._xlws.FILTER(OFFSET($O$15,0,$DO272,$B$8,1),OFFSET($M$15,0,0,$B$8,1))=FB$14))   /   SUM(OFFSET($BO$15,0,0,$B$14,1)) + $B$18/($B$19*$B$19*($DN272&lt;&gt;$DO272) + $B$19*($DN272=$DO272))</f>
        <v>3.7037037037037035E-4</v>
      </c>
      <c r="FC272" s="10" cm="1">
        <f t="array" aca="1" ref="FC272" ca="1">(1-$B$18)*SUMPRODUCT(OFFSET($BO$15,0,0,$B$14,1), 1*(_xlfn._xlws.FILTER(OFFSET($O$15,0,$DN272,$B$8,1),OFFSET($M$15,0,0,$B$8,1))=FC$13), 1*(_xlfn._xlws.FILTER(OFFSET($O$15,0,$DO272,$B$8,1),OFFSET($M$15,0,0,$B$8,1))=FC$14))   /   SUM(OFFSET($BO$15,0,0,$B$14,1)) + $B$18/($B$19*$B$19*($DN272&lt;&gt;$DO272) + $B$19*($DN272=$DO272))</f>
        <v>3.7037037037037035E-4</v>
      </c>
      <c r="FD272" s="10" cm="1">
        <f t="array" aca="1" ref="FD272" ca="1">(1-$B$18)*SUMPRODUCT(OFFSET($BO$15,0,0,$B$14,1), 1*(_xlfn._xlws.FILTER(OFFSET($O$15,0,$DN272,$B$8,1),OFFSET($M$15,0,0,$B$8,1))=FD$13), 1*(_xlfn._xlws.FILTER(OFFSET($O$15,0,$DO272,$B$8,1),OFFSET($M$15,0,0,$B$8,1))=FD$14))   /   SUM(OFFSET($BO$15,0,0,$B$14,1)) + $B$18/($B$19*$B$19*($DN272&lt;&gt;$DO272) + $B$19*($DN272=$DO272))</f>
        <v>3.7037037037037035E-4</v>
      </c>
      <c r="FE272" s="10" cm="1">
        <f t="array" aca="1" ref="FE272" ca="1">(1-$B$18)*SUMPRODUCT(OFFSET($BO$15,0,0,$B$14,1), 1*(_xlfn._xlws.FILTER(OFFSET($O$15,0,$DN272,$B$8,1),OFFSET($M$15,0,0,$B$8,1))=FE$13), 1*(_xlfn._xlws.FILTER(OFFSET($O$15,0,$DO272,$B$8,1),OFFSET($M$15,0,0,$B$8,1))=FE$14))   /   SUM(OFFSET($BO$15,0,0,$B$14,1)) + $B$18/($B$19*$B$19*($DN272&lt;&gt;$DO272) + $B$19*($DN272=$DO272))</f>
        <v>3.7037037037037035E-4</v>
      </c>
      <c r="FF272" s="10" cm="1">
        <f t="array" aca="1" ref="FF272" ca="1">(1-$B$18)*SUMPRODUCT(OFFSET($BO$15,0,0,$B$14,1), 1*(_xlfn._xlws.FILTER(OFFSET($O$15,0,$DN272,$B$8,1),OFFSET($M$15,0,0,$B$8,1))=FF$13), 1*(_xlfn._xlws.FILTER(OFFSET($O$15,0,$DO272,$B$8,1),OFFSET($M$15,0,0,$B$8,1))=FF$14))   /   SUM(OFFSET($BO$15,0,0,$B$14,1)) + $B$18/($B$19*$B$19*($DN272&lt;&gt;$DO272) + $B$19*($DN272=$DO272))</f>
        <v>3.7037037037037035E-4</v>
      </c>
      <c r="FG272" s="10" cm="1">
        <f t="array" aca="1" ref="FG272" ca="1">(1-$B$18)*SUMPRODUCT(OFFSET($BO$15,0,0,$B$14,1), 1*(_xlfn._xlws.FILTER(OFFSET($O$15,0,$DN272,$B$8,1),OFFSET($M$15,0,0,$B$8,1))=FG$13), 1*(_xlfn._xlws.FILTER(OFFSET($O$15,0,$DO272,$B$8,1),OFFSET($M$15,0,0,$B$8,1))=FG$14))   /   SUM(OFFSET($BO$15,0,0,$B$14,1)) + $B$18/($B$19*$B$19*($DN272&lt;&gt;$DO272) + $B$19*($DN272=$DO272))</f>
        <v>3.7037037037037035E-4</v>
      </c>
      <c r="FH272" s="10" cm="1">
        <f t="array" aca="1" ref="FH272" ca="1">(1-$B$18)*SUMPRODUCT(OFFSET($BO$15,0,0,$B$14,1), 1*(_xlfn._xlws.FILTER(OFFSET($O$15,0,$DN272,$B$8,1),OFFSET($M$15,0,0,$B$8,1))=FH$13), 1*(_xlfn._xlws.FILTER(OFFSET($O$15,0,$DO272,$B$8,1),OFFSET($M$15,0,0,$B$8,1))=FH$14))   /   SUM(OFFSET($BO$15,0,0,$B$14,1)) + $B$18/($B$19*$B$19*($DN272&lt;&gt;$DO272) + $B$19*($DN272=$DO272))</f>
        <v>3.7037037037037035E-4</v>
      </c>
      <c r="FI272" s="10" cm="1">
        <f t="array" aca="1" ref="FI272" ca="1">(1-$B$18)*SUMPRODUCT(OFFSET($BO$15,0,0,$B$14,1), 1*(_xlfn._xlws.FILTER(OFFSET($O$15,0,$DN272,$B$8,1),OFFSET($M$15,0,0,$B$8,1))=FI$13), 1*(_xlfn._xlws.FILTER(OFFSET($O$15,0,$DO272,$B$8,1),OFFSET($M$15,0,0,$B$8,1))=FI$14))   /   SUM(OFFSET($BO$15,0,0,$B$14,1)) + $B$18/($B$19*$B$19*($DN272&lt;&gt;$DO272) + $B$19*($DN272=$DO272))</f>
        <v>3.7037037037037035E-4</v>
      </c>
      <c r="FJ272" s="10" cm="1">
        <f t="array" aca="1" ref="FJ272" ca="1">(1-$B$18)*SUMPRODUCT(OFFSET($BO$15,0,0,$B$14,1), 1*(_xlfn._xlws.FILTER(OFFSET($O$15,0,$DN272,$B$8,1),OFFSET($M$15,0,0,$B$8,1))=FJ$13), 1*(_xlfn._xlws.FILTER(OFFSET($O$15,0,$DO272,$B$8,1),OFFSET($M$15,0,0,$B$8,1))=FJ$14))   /   SUM(OFFSET($BO$15,0,0,$B$14,1)) + $B$18/($B$19*$B$19*($DN272&lt;&gt;$DO272) + $B$19*($DN272=$DO272))</f>
        <v>3.7037037037037035E-4</v>
      </c>
      <c r="FK272" s="10" cm="1">
        <f t="array" aca="1" ref="FK272" ca="1">(1-$B$18)*SUMPRODUCT(OFFSET($BO$15,0,0,$B$14,1), 1*(_xlfn._xlws.FILTER(OFFSET($O$15,0,$DN272,$B$8,1),OFFSET($M$15,0,0,$B$8,1))=FK$13), 1*(_xlfn._xlws.FILTER(OFFSET($O$15,0,$DO272,$B$8,1),OFFSET($M$15,0,0,$B$8,1))=FK$14))   /   SUM(OFFSET($BO$15,0,0,$B$14,1)) + $B$18/($B$19*$B$19*($DN272&lt;&gt;$DO272) + $B$19*($DN272=$DO272))</f>
        <v>3.7037037037037035E-4</v>
      </c>
      <c r="FL272" s="10" cm="1">
        <f t="array" aca="1" ref="FL272" ca="1">(1-$B$18)*SUMPRODUCT(OFFSET($BO$15,0,0,$B$14,1), 1*(_xlfn._xlws.FILTER(OFFSET($O$15,0,$DN272,$B$8,1),OFFSET($M$15,0,0,$B$8,1))=FL$13), 1*(_xlfn._xlws.FILTER(OFFSET($O$15,0,$DO272,$B$8,1),OFFSET($M$15,0,0,$B$8,1))=FL$14))   /   SUM(OFFSET($BO$15,0,0,$B$14,1)) + $B$18/($B$19*$B$19*($DN272&lt;&gt;$DO272) + $B$19*($DN272=$DO272))</f>
        <v>3.7037037037037035E-4</v>
      </c>
      <c r="FM272" s="10" cm="1">
        <f t="array" aca="1" ref="FM272" ca="1">(1-$B$18)*SUMPRODUCT(OFFSET($BO$15,0,0,$B$14,1), 1*(_xlfn._xlws.FILTER(OFFSET($O$15,0,$DN272,$B$8,1),OFFSET($M$15,0,0,$B$8,1))=FM$13), 1*(_xlfn._xlws.FILTER(OFFSET($O$15,0,$DO272,$B$8,1),OFFSET($M$15,0,0,$B$8,1))=FM$14))   /   SUM(OFFSET($BO$15,0,0,$B$14,1)) + $B$18/($B$19*$B$19*($DN272&lt;&gt;$DO272) + $B$19*($DN272=$DO272))</f>
        <v>3.7037037037037035E-4</v>
      </c>
      <c r="FN272" s="10" cm="1">
        <f t="array" aca="1" ref="FN272" ca="1">(1-$B$18)*SUMPRODUCT(OFFSET($BO$15,0,0,$B$14,1), 1*(_xlfn._xlws.FILTER(OFFSET($O$15,0,$DN272,$B$8,1),OFFSET($M$15,0,0,$B$8,1))=FN$13), 1*(_xlfn._xlws.FILTER(OFFSET($O$15,0,$DO272,$B$8,1),OFFSET($M$15,0,0,$B$8,1))=FN$14))   /   SUM(OFFSET($BO$15,0,0,$B$14,1)) + $B$18/($B$19*$B$19*($DN272&lt;&gt;$DO272) + $B$19*($DN272=$DO272))</f>
        <v>3.7037037037037035E-4</v>
      </c>
      <c r="FO272" s="10" cm="1">
        <f t="array" aca="1" ref="FO272" ca="1">(1-$B$18)*SUMPRODUCT(OFFSET($BO$15,0,0,$B$14,1), 1*(_xlfn._xlws.FILTER(OFFSET($O$15,0,$DN272,$B$8,1),OFFSET($M$15,0,0,$B$8,1))=FO$13), 1*(_xlfn._xlws.FILTER(OFFSET($O$15,0,$DO272,$B$8,1),OFFSET($M$15,0,0,$B$8,1))=FO$14))   /   SUM(OFFSET($BO$15,0,0,$B$14,1)) + $B$18/($B$19*$B$19*($DN272&lt;&gt;$DO272) + $B$19*($DN272=$DO272))</f>
        <v>3.7037037037037035E-4</v>
      </c>
      <c r="FP272" s="10" cm="1">
        <f t="array" aca="1" ref="FP272" ca="1">(1-$B$18)*SUMPRODUCT(OFFSET($BO$15,0,0,$B$14,1), 1*(_xlfn._xlws.FILTER(OFFSET($O$15,0,$DN272,$B$8,1),OFFSET($M$15,0,0,$B$8,1))=FP$13), 1*(_xlfn._xlws.FILTER(OFFSET($O$15,0,$DO272,$B$8,1),OFFSET($M$15,0,0,$B$8,1))=FP$14))   /   SUM(OFFSET($BO$15,0,0,$B$14,1)) + $B$18/($B$19*$B$19*($DN272&lt;&gt;$DO272) + $B$19*($DN272=$DO272))</f>
        <v>3.7037037037037035E-4</v>
      </c>
      <c r="FQ272" s="10" cm="1">
        <f t="array" aca="1" ref="FQ272" ca="1">(1-$B$18)*SUMPRODUCT(OFFSET($BO$15,0,0,$B$14,1), 1*(_xlfn._xlws.FILTER(OFFSET($O$15,0,$DN272,$B$8,1),OFFSET($M$15,0,0,$B$8,1))=FQ$13), 1*(_xlfn._xlws.FILTER(OFFSET($O$15,0,$DO272,$B$8,1),OFFSET($M$15,0,0,$B$8,1))=FQ$14))   /   SUM(OFFSET($BO$15,0,0,$B$14,1)) + $B$18/($B$19*$B$19*($DN272&lt;&gt;$DO272) + $B$19*($DN272=$DO272))</f>
        <v>3.7037037037037035E-4</v>
      </c>
      <c r="FR272" s="10" cm="1">
        <f t="array" aca="1" ref="FR272" ca="1">(1-$B$18)*SUMPRODUCT(OFFSET($BO$15,0,0,$B$14,1), 1*(_xlfn._xlws.FILTER(OFFSET($O$15,0,$DN272,$B$8,1),OFFSET($M$15,0,0,$B$8,1))=FR$13), 1*(_xlfn._xlws.FILTER(OFFSET($O$15,0,$DO272,$B$8,1),OFFSET($M$15,0,0,$B$8,1))=FR$14))   /   SUM(OFFSET($BO$15,0,0,$B$14,1)) + $B$18/($B$19*$B$19*($DN272&lt;&gt;$DO272) + $B$19*($DN272=$DO272))</f>
        <v>3.7037037037037035E-4</v>
      </c>
      <c r="FS272" s="10" cm="1">
        <f t="array" aca="1" ref="FS272" ca="1">(1-$B$18)*SUMPRODUCT(OFFSET($BO$15,0,0,$B$14,1), 1*(_xlfn._xlws.FILTER(OFFSET($O$15,0,$DN272,$B$8,1),OFFSET($M$15,0,0,$B$8,1))=FS$13), 1*(_xlfn._xlws.FILTER(OFFSET($O$15,0,$DO272,$B$8,1),OFFSET($M$15,0,0,$B$8,1))=FS$14))   /   SUM(OFFSET($BO$15,0,0,$B$14,1)) + $B$18/($B$19*$B$19*($DN272&lt;&gt;$DO272) + $B$19*($DN272=$DO272))</f>
        <v>3.7037037037037035E-4</v>
      </c>
      <c r="FT272" s="10" cm="1">
        <f t="array" aca="1" ref="FT272" ca="1">(1-$B$18)*SUMPRODUCT(OFFSET($BO$15,0,0,$B$14,1), 1*(_xlfn._xlws.FILTER(OFFSET($O$15,0,$DN272,$B$8,1),OFFSET($M$15,0,0,$B$8,1))=FT$13), 1*(_xlfn._xlws.FILTER(OFFSET($O$15,0,$DO272,$B$8,1),OFFSET($M$15,0,0,$B$8,1))=FT$14))   /   SUM(OFFSET($BO$15,0,0,$B$14,1)) + $B$18/($B$19*$B$19*($DN272&lt;&gt;$DO272) + $B$19*($DN272=$DO272))</f>
        <v>3.7037037037037035E-4</v>
      </c>
      <c r="FU272" s="10" cm="1">
        <f t="array" aca="1" ref="FU272" ca="1">(1-$B$18)*SUMPRODUCT(OFFSET($BO$15,0,0,$B$14,1), 1*(_xlfn._xlws.FILTER(OFFSET($O$15,0,$DN272,$B$8,1),OFFSET($M$15,0,0,$B$8,1))=FU$13), 1*(_xlfn._xlws.FILTER(OFFSET($O$15,0,$DO272,$B$8,1),OFFSET($M$15,0,0,$B$8,1))=FU$14))   /   SUM(OFFSET($BO$15,0,0,$B$14,1)) + $B$18/($B$19*$B$19*($DN272&lt;&gt;$DO272) + $B$19*($DN272=$DO272))</f>
        <v>3.7037037037037035E-4</v>
      </c>
      <c r="FV272" s="10" cm="1">
        <f t="array" aca="1" ref="FV272" ca="1">(1-$B$18)*SUMPRODUCT(OFFSET($BO$15,0,0,$B$14,1), 1*(_xlfn._xlws.FILTER(OFFSET($O$15,0,$DN272,$B$8,1),OFFSET($M$15,0,0,$B$8,1))=FV$13), 1*(_xlfn._xlws.FILTER(OFFSET($O$15,0,$DO272,$B$8,1),OFFSET($M$15,0,0,$B$8,1))=FV$14))   /   SUM(OFFSET($BO$15,0,0,$B$14,1)) + $B$18/($B$19*$B$19*($DN272&lt;&gt;$DO272) + $B$19*($DN272=$DO272))</f>
        <v>3.7037037037037035E-4</v>
      </c>
      <c r="FW272" s="10" cm="1">
        <f t="array" aca="1" ref="FW272" ca="1">(1-$B$18)*SUMPRODUCT(OFFSET($BO$15,0,0,$B$14,1), 1*(_xlfn._xlws.FILTER(OFFSET($O$15,0,$DN272,$B$8,1),OFFSET($M$15,0,0,$B$8,1))=FW$13), 1*(_xlfn._xlws.FILTER(OFFSET($O$15,0,$DO272,$B$8,1),OFFSET($M$15,0,0,$B$8,1))=FW$14))   /   SUM(OFFSET($BO$15,0,0,$B$14,1)) + $B$18/($B$19*$B$19*($DN272&lt;&gt;$DO272) + $B$19*($DN272=$DO272))</f>
        <v>3.7037037037037035E-4</v>
      </c>
      <c r="FX272" s="10" cm="1">
        <f t="array" aca="1" ref="FX272" ca="1">(1-$B$18)*SUMPRODUCT(OFFSET($BO$15,0,0,$B$14,1), 1*(_xlfn._xlws.FILTER(OFFSET($O$15,0,$DN272,$B$8,1),OFFSET($M$15,0,0,$B$8,1))=FX$13), 1*(_xlfn._xlws.FILTER(OFFSET($O$15,0,$DO272,$B$8,1),OFFSET($M$15,0,0,$B$8,1))=FX$14))   /   SUM(OFFSET($BO$15,0,0,$B$14,1)) + $B$18/($B$19*$B$19*($DN272&lt;&gt;$DO272) + $B$19*($DN272=$DO272))</f>
        <v>3.7037037037037035E-4</v>
      </c>
      <c r="FY272" s="10" cm="1">
        <f t="array" aca="1" ref="FY272" ca="1">(1-$B$18)*SUMPRODUCT(OFFSET($BO$15,0,0,$B$14,1), 1*(_xlfn._xlws.FILTER(OFFSET($O$15,0,$DN272,$B$8,1),OFFSET($M$15,0,0,$B$8,1))=FY$13), 1*(_xlfn._xlws.FILTER(OFFSET($O$15,0,$DO272,$B$8,1),OFFSET($M$15,0,0,$B$8,1))=FY$14))   /   SUM(OFFSET($BO$15,0,0,$B$14,1)) + $B$18/($B$19*$B$19*($DN272&lt;&gt;$DO272) + $B$19*($DN272=$DO272))</f>
        <v>3.7037037037037035E-4</v>
      </c>
      <c r="FZ272" s="10" cm="1">
        <f t="array" aca="1" ref="FZ272" ca="1">(1-$B$18)*SUMPRODUCT(OFFSET($BO$15,0,0,$B$14,1), 1*(_xlfn._xlws.FILTER(OFFSET($O$15,0,$DN272,$B$8,1),OFFSET($M$15,0,0,$B$8,1))=FZ$13), 1*(_xlfn._xlws.FILTER(OFFSET($O$15,0,$DO272,$B$8,1),OFFSET($M$15,0,0,$B$8,1))=FZ$14))   /   SUM(OFFSET($BO$15,0,0,$B$14,1)) + $B$18/($B$19*$B$19*($DN272&lt;&gt;$DO272) + $B$19*($DN272=$DO272))</f>
        <v>3.7037037037037035E-4</v>
      </c>
      <c r="GA272" s="10" cm="1">
        <f t="array" aca="1" ref="GA272" ca="1">(1-$B$18)*SUMPRODUCT(OFFSET($BO$15,0,0,$B$14,1), 1*(_xlfn._xlws.FILTER(OFFSET($O$15,0,$DN272,$B$8,1),OFFSET($M$15,0,0,$B$8,1))=GA$13), 1*(_xlfn._xlws.FILTER(OFFSET($O$15,0,$DO272,$B$8,1),OFFSET($M$15,0,0,$B$8,1))=GA$14))   /   SUM(OFFSET($BO$15,0,0,$B$14,1)) + $B$18/($B$19*$B$19*($DN272&lt;&gt;$DO272) + $B$19*($DN272=$DO272))</f>
        <v>3.7037037037037035E-4</v>
      </c>
    </row>
    <row r="273" spans="118:183" x14ac:dyDescent="0.2">
      <c r="DN273" cm="1">
        <f t="array" aca="1" ref="DN273" ca="1">INDEX(_xlfn.ANCHORARRAY($CP$15), 1 + INT((ROWS($DO$15:$DO273) - 1) / ROWS(_xlfn.ANCHORARRAY($CP$15))))</f>
        <v>14</v>
      </c>
      <c r="DO273" cm="1">
        <f t="array" aca="1" ref="DO273" ca="1">INDEX(_xlfn.ANCHORARRAY($CP$15),1+MOD(ROWS($DO$15:$DO273)-1,ROWS(_xlfn.ANCHORARRAY($CP$15))))</f>
        <v>12</v>
      </c>
      <c r="DP273" s="10" cm="1">
        <f t="array" aca="1" ref="DP273" ca="1">(1-$B$18)*SUMPRODUCT(OFFSET($BO$15,0,0,$B$14,1), 1*(_xlfn._xlws.FILTER(OFFSET($O$15,0,$DN273,$B$8,1),OFFSET($M$15,0,0,$B$8,1))=DP$13), 1*(_xlfn._xlws.FILTER(OFFSET($O$15,0,$DO273,$B$8,1),OFFSET($M$15,0,0,$B$8,1))=DP$14))   /   SUM(OFFSET($BO$15,0,0,$B$14,1)) + $B$18/($B$19*$B$19*($DN273&lt;&gt;$DO273) + $B$19*($DN273=$DO273))</f>
        <v>3.7037037037037035E-4</v>
      </c>
      <c r="DQ273" s="10" cm="1">
        <f t="array" aca="1" ref="DQ273" ca="1">(1-$B$18)*SUMPRODUCT(OFFSET($BO$15,0,0,$B$14,1), 1*(_xlfn._xlws.FILTER(OFFSET($O$15,0,$DN273,$B$8,1),OFFSET($M$15,0,0,$B$8,1))=DQ$13), 1*(_xlfn._xlws.FILTER(OFFSET($O$15,0,$DO273,$B$8,1),OFFSET($M$15,0,0,$B$8,1))=DQ$14))   /   SUM(OFFSET($BO$15,0,0,$B$14,1)) + $B$18/($B$19*$B$19*($DN273&lt;&gt;$DO273) + $B$19*($DN273=$DO273))</f>
        <v>3.7037037037037035E-4</v>
      </c>
      <c r="DR273" s="10" cm="1">
        <f t="array" aca="1" ref="DR273" ca="1">(1-$B$18)*SUMPRODUCT(OFFSET($BO$15,0,0,$B$14,1), 1*(_xlfn._xlws.FILTER(OFFSET($O$15,0,$DN273,$B$8,1),OFFSET($M$15,0,0,$B$8,1))=DR$13), 1*(_xlfn._xlws.FILTER(OFFSET($O$15,0,$DO273,$B$8,1),OFFSET($M$15,0,0,$B$8,1))=DR$14))   /   SUM(OFFSET($BO$15,0,0,$B$14,1)) + $B$18/($B$19*$B$19*($DN273&lt;&gt;$DO273) + $B$19*($DN273=$DO273))</f>
        <v>3.7037037037037035E-4</v>
      </c>
      <c r="DS273" s="10" cm="1">
        <f t="array" aca="1" ref="DS273" ca="1">(1-$B$18)*SUMPRODUCT(OFFSET($BO$15,0,0,$B$14,1), 1*(_xlfn._xlws.FILTER(OFFSET($O$15,0,$DN273,$B$8,1),OFFSET($M$15,0,0,$B$8,1))=DS$13), 1*(_xlfn._xlws.FILTER(OFFSET($O$15,0,$DO273,$B$8,1),OFFSET($M$15,0,0,$B$8,1))=DS$14))   /   SUM(OFFSET($BO$15,0,0,$B$14,1)) + $B$18/($B$19*$B$19*($DN273&lt;&gt;$DO273) + $B$19*($DN273=$DO273))</f>
        <v>3.7037037037037035E-4</v>
      </c>
      <c r="DT273" s="10" cm="1">
        <f t="array" aca="1" ref="DT273" ca="1">(1-$B$18)*SUMPRODUCT(OFFSET($BO$15,0,0,$B$14,1), 1*(_xlfn._xlws.FILTER(OFFSET($O$15,0,$DN273,$B$8,1),OFFSET($M$15,0,0,$B$8,1))=DT$13), 1*(_xlfn._xlws.FILTER(OFFSET($O$15,0,$DO273,$B$8,1),OFFSET($M$15,0,0,$B$8,1))=DT$14))   /   SUM(OFFSET($BO$15,0,0,$B$14,1)) + $B$18/($B$19*$B$19*($DN273&lt;&gt;$DO273) + $B$19*($DN273=$DO273))</f>
        <v>3.7037037037037035E-4</v>
      </c>
      <c r="DU273" s="10" cm="1">
        <f t="array" aca="1" ref="DU273" ca="1">(1-$B$18)*SUMPRODUCT(OFFSET($BO$15,0,0,$B$14,1), 1*(_xlfn._xlws.FILTER(OFFSET($O$15,0,$DN273,$B$8,1),OFFSET($M$15,0,0,$B$8,1))=DU$13), 1*(_xlfn._xlws.FILTER(OFFSET($O$15,0,$DO273,$B$8,1),OFFSET($M$15,0,0,$B$8,1))=DU$14))   /   SUM(OFFSET($BO$15,0,0,$B$14,1)) + $B$18/($B$19*$B$19*($DN273&lt;&gt;$DO273) + $B$19*($DN273=$DO273))</f>
        <v>3.7037037037037035E-4</v>
      </c>
      <c r="DV273" s="10" cm="1">
        <f t="array" aca="1" ref="DV273" ca="1">(1-$B$18)*SUMPRODUCT(OFFSET($BO$15,0,0,$B$14,1), 1*(_xlfn._xlws.FILTER(OFFSET($O$15,0,$DN273,$B$8,1),OFFSET($M$15,0,0,$B$8,1))=DV$13), 1*(_xlfn._xlws.FILTER(OFFSET($O$15,0,$DO273,$B$8,1),OFFSET($M$15,0,0,$B$8,1))=DV$14))   /   SUM(OFFSET($BO$15,0,0,$B$14,1)) + $B$18/($B$19*$B$19*($DN273&lt;&gt;$DO273) + $B$19*($DN273=$DO273))</f>
        <v>3.7037037037037035E-4</v>
      </c>
      <c r="DW273" s="10" cm="1">
        <f t="array" aca="1" ref="DW273" ca="1">(1-$B$18)*SUMPRODUCT(OFFSET($BO$15,0,0,$B$14,1), 1*(_xlfn._xlws.FILTER(OFFSET($O$15,0,$DN273,$B$8,1),OFFSET($M$15,0,0,$B$8,1))=DW$13), 1*(_xlfn._xlws.FILTER(OFFSET($O$15,0,$DO273,$B$8,1),OFFSET($M$15,0,0,$B$8,1))=DW$14))   /   SUM(OFFSET($BO$15,0,0,$B$14,1)) + $B$18/($B$19*$B$19*($DN273&lt;&gt;$DO273) + $B$19*($DN273=$DO273))</f>
        <v>3.7037037037037035E-4</v>
      </c>
      <c r="DX273" s="10" cm="1">
        <f t="array" aca="1" ref="DX273" ca="1">(1-$B$18)*SUMPRODUCT(OFFSET($BO$15,0,0,$B$14,1), 1*(_xlfn._xlws.FILTER(OFFSET($O$15,0,$DN273,$B$8,1),OFFSET($M$15,0,0,$B$8,1))=DX$13), 1*(_xlfn._xlws.FILTER(OFFSET($O$15,0,$DO273,$B$8,1),OFFSET($M$15,0,0,$B$8,1))=DX$14))   /   SUM(OFFSET($BO$15,0,0,$B$14,1)) + $B$18/($B$19*$B$19*($DN273&lt;&gt;$DO273) + $B$19*($DN273=$DO273))</f>
        <v>3.7037037037037035E-4</v>
      </c>
      <c r="DY273" s="10" cm="1">
        <f t="array" aca="1" ref="DY273" ca="1">(1-$B$18)*SUMPRODUCT(OFFSET($BO$15,0,0,$B$14,1), 1*(_xlfn._xlws.FILTER(OFFSET($O$15,0,$DN273,$B$8,1),OFFSET($M$15,0,0,$B$8,1))=DY$13), 1*(_xlfn._xlws.FILTER(OFFSET($O$15,0,$DO273,$B$8,1),OFFSET($M$15,0,0,$B$8,1))=DY$14))   /   SUM(OFFSET($BO$15,0,0,$B$14,1)) + $B$18/($B$19*$B$19*($DN273&lt;&gt;$DO273) + $B$19*($DN273=$DO273))</f>
        <v>3.7037037037037035E-4</v>
      </c>
      <c r="DZ273" s="10" cm="1">
        <f t="array" aca="1" ref="DZ273" ca="1">(1-$B$18)*SUMPRODUCT(OFFSET($BO$15,0,0,$B$14,1), 1*(_xlfn._xlws.FILTER(OFFSET($O$15,0,$DN273,$B$8,1),OFFSET($M$15,0,0,$B$8,1))=DZ$13), 1*(_xlfn._xlws.FILTER(OFFSET($O$15,0,$DO273,$B$8,1),OFFSET($M$15,0,0,$B$8,1))=DZ$14))   /   SUM(OFFSET($BO$15,0,0,$B$14,1)) + $B$18/($B$19*$B$19*($DN273&lt;&gt;$DO273) + $B$19*($DN273=$DO273))</f>
        <v>3.7037037037037035E-4</v>
      </c>
      <c r="EA273" s="10" cm="1">
        <f t="array" aca="1" ref="EA273" ca="1">(1-$B$18)*SUMPRODUCT(OFFSET($BO$15,0,0,$B$14,1), 1*(_xlfn._xlws.FILTER(OFFSET($O$15,0,$DN273,$B$8,1),OFFSET($M$15,0,0,$B$8,1))=EA$13), 1*(_xlfn._xlws.FILTER(OFFSET($O$15,0,$DO273,$B$8,1),OFFSET($M$15,0,0,$B$8,1))=EA$14))   /   SUM(OFFSET($BO$15,0,0,$B$14,1)) + $B$18/($B$19*$B$19*($DN273&lt;&gt;$DO273) + $B$19*($DN273=$DO273))</f>
        <v>3.7037037037037035E-4</v>
      </c>
      <c r="EB273" s="10" cm="1">
        <f t="array" aca="1" ref="EB273" ca="1">(1-$B$18)*SUMPRODUCT(OFFSET($BO$15,0,0,$B$14,1), 1*(_xlfn._xlws.FILTER(OFFSET($O$15,0,$DN273,$B$8,1),OFFSET($M$15,0,0,$B$8,1))=EB$13), 1*(_xlfn._xlws.FILTER(OFFSET($O$15,0,$DO273,$B$8,1),OFFSET($M$15,0,0,$B$8,1))=EB$14))   /   SUM(OFFSET($BO$15,0,0,$B$14,1)) + $B$18/($B$19*$B$19*($DN273&lt;&gt;$DO273) + $B$19*($DN273=$DO273))</f>
        <v>3.7037037037037035E-4</v>
      </c>
      <c r="EC273" s="10" cm="1">
        <f t="array" aca="1" ref="EC273" ca="1">(1-$B$18)*SUMPRODUCT(OFFSET($BO$15,0,0,$B$14,1), 1*(_xlfn._xlws.FILTER(OFFSET($O$15,0,$DN273,$B$8,1),OFFSET($M$15,0,0,$B$8,1))=EC$13), 1*(_xlfn._xlws.FILTER(OFFSET($O$15,0,$DO273,$B$8,1),OFFSET($M$15,0,0,$B$8,1))=EC$14))   /   SUM(OFFSET($BO$15,0,0,$B$14,1)) + $B$18/($B$19*$B$19*($DN273&lt;&gt;$DO273) + $B$19*($DN273=$DO273))</f>
        <v>3.7037037037037035E-4</v>
      </c>
      <c r="ED273" s="10" cm="1">
        <f t="array" aca="1" ref="ED273" ca="1">(1-$B$18)*SUMPRODUCT(OFFSET($BO$15,0,0,$B$14,1), 1*(_xlfn._xlws.FILTER(OFFSET($O$15,0,$DN273,$B$8,1),OFFSET($M$15,0,0,$B$8,1))=ED$13), 1*(_xlfn._xlws.FILTER(OFFSET($O$15,0,$DO273,$B$8,1),OFFSET($M$15,0,0,$B$8,1))=ED$14))   /   SUM(OFFSET($BO$15,0,0,$B$14,1)) + $B$18/($B$19*$B$19*($DN273&lt;&gt;$DO273) + $B$19*($DN273=$DO273))</f>
        <v>3.7037037037037035E-4</v>
      </c>
      <c r="EE273" s="10" cm="1">
        <f t="array" aca="1" ref="EE273" ca="1">(1-$B$18)*SUMPRODUCT(OFFSET($BO$15,0,0,$B$14,1), 1*(_xlfn._xlws.FILTER(OFFSET($O$15,0,$DN273,$B$8,1),OFFSET($M$15,0,0,$B$8,1))=EE$13), 1*(_xlfn._xlws.FILTER(OFFSET($O$15,0,$DO273,$B$8,1),OFFSET($M$15,0,0,$B$8,1))=EE$14))   /   SUM(OFFSET($BO$15,0,0,$B$14,1)) + $B$18/($B$19*$B$19*($DN273&lt;&gt;$DO273) + $B$19*($DN273=$DO273))</f>
        <v>3.7037037037037035E-4</v>
      </c>
      <c r="EF273" s="10" cm="1">
        <f t="array" aca="1" ref="EF273" ca="1">(1-$B$18)*SUMPRODUCT(OFFSET($BO$15,0,0,$B$14,1), 1*(_xlfn._xlws.FILTER(OFFSET($O$15,0,$DN273,$B$8,1),OFFSET($M$15,0,0,$B$8,1))=EF$13), 1*(_xlfn._xlws.FILTER(OFFSET($O$15,0,$DO273,$B$8,1),OFFSET($M$15,0,0,$B$8,1))=EF$14))   /   SUM(OFFSET($BO$15,0,0,$B$14,1)) + $B$18/($B$19*$B$19*($DN273&lt;&gt;$DO273) + $B$19*($DN273=$DO273))</f>
        <v>3.7037037037037035E-4</v>
      </c>
      <c r="EG273" s="10" cm="1">
        <f t="array" aca="1" ref="EG273" ca="1">(1-$B$18)*SUMPRODUCT(OFFSET($BO$15,0,0,$B$14,1), 1*(_xlfn._xlws.FILTER(OFFSET($O$15,0,$DN273,$B$8,1),OFFSET($M$15,0,0,$B$8,1))=EG$13), 1*(_xlfn._xlws.FILTER(OFFSET($O$15,0,$DO273,$B$8,1),OFFSET($M$15,0,0,$B$8,1))=EG$14))   /   SUM(OFFSET($BO$15,0,0,$B$14,1)) + $B$18/($B$19*$B$19*($DN273&lt;&gt;$DO273) + $B$19*($DN273=$DO273))</f>
        <v>0.97037037037037033</v>
      </c>
      <c r="EH273" s="10" cm="1">
        <f t="array" aca="1" ref="EH273" ca="1">(1-$B$18)*SUMPRODUCT(OFFSET($BO$15,0,0,$B$14,1), 1*(_xlfn._xlws.FILTER(OFFSET($O$15,0,$DN273,$B$8,1),OFFSET($M$15,0,0,$B$8,1))=EH$13), 1*(_xlfn._xlws.FILTER(OFFSET($O$15,0,$DO273,$B$8,1),OFFSET($M$15,0,0,$B$8,1))=EH$14))   /   SUM(OFFSET($BO$15,0,0,$B$14,1)) + $B$18/($B$19*$B$19*($DN273&lt;&gt;$DO273) + $B$19*($DN273=$DO273))</f>
        <v>3.7037037037037035E-4</v>
      </c>
      <c r="EI273" s="10" cm="1">
        <f t="array" aca="1" ref="EI273" ca="1">(1-$B$18)*SUMPRODUCT(OFFSET($BO$15,0,0,$B$14,1), 1*(_xlfn._xlws.FILTER(OFFSET($O$15,0,$DN273,$B$8,1),OFFSET($M$15,0,0,$B$8,1))=EI$13), 1*(_xlfn._xlws.FILTER(OFFSET($O$15,0,$DO273,$B$8,1),OFFSET($M$15,0,0,$B$8,1))=EI$14))   /   SUM(OFFSET($BO$15,0,0,$B$14,1)) + $B$18/($B$19*$B$19*($DN273&lt;&gt;$DO273) + $B$19*($DN273=$DO273))</f>
        <v>3.7037037037037035E-4</v>
      </c>
      <c r="EJ273" s="10" cm="1">
        <f t="array" aca="1" ref="EJ273" ca="1">(1-$B$18)*SUMPRODUCT(OFFSET($BO$15,0,0,$B$14,1), 1*(_xlfn._xlws.FILTER(OFFSET($O$15,0,$DN273,$B$8,1),OFFSET($M$15,0,0,$B$8,1))=EJ$13), 1*(_xlfn._xlws.FILTER(OFFSET($O$15,0,$DO273,$B$8,1),OFFSET($M$15,0,0,$B$8,1))=EJ$14))   /   SUM(OFFSET($BO$15,0,0,$B$14,1)) + $B$18/($B$19*$B$19*($DN273&lt;&gt;$DO273) + $B$19*($DN273=$DO273))</f>
        <v>3.7037037037037035E-4</v>
      </c>
      <c r="EK273" s="10" cm="1">
        <f t="array" aca="1" ref="EK273" ca="1">(1-$B$18)*SUMPRODUCT(OFFSET($BO$15,0,0,$B$14,1), 1*(_xlfn._xlws.FILTER(OFFSET($O$15,0,$DN273,$B$8,1),OFFSET($M$15,0,0,$B$8,1))=EK$13), 1*(_xlfn._xlws.FILTER(OFFSET($O$15,0,$DO273,$B$8,1),OFFSET($M$15,0,0,$B$8,1))=EK$14))   /   SUM(OFFSET($BO$15,0,0,$B$14,1)) + $B$18/($B$19*$B$19*($DN273&lt;&gt;$DO273) + $B$19*($DN273=$DO273))</f>
        <v>3.7037037037037035E-4</v>
      </c>
      <c r="EL273" s="10" cm="1">
        <f t="array" aca="1" ref="EL273" ca="1">(1-$B$18)*SUMPRODUCT(OFFSET($BO$15,0,0,$B$14,1), 1*(_xlfn._xlws.FILTER(OFFSET($O$15,0,$DN273,$B$8,1),OFFSET($M$15,0,0,$B$8,1))=EL$13), 1*(_xlfn._xlws.FILTER(OFFSET($O$15,0,$DO273,$B$8,1),OFFSET($M$15,0,0,$B$8,1))=EL$14))   /   SUM(OFFSET($BO$15,0,0,$B$14,1)) + $B$18/($B$19*$B$19*($DN273&lt;&gt;$DO273) + $B$19*($DN273=$DO273))</f>
        <v>3.7037037037037035E-4</v>
      </c>
      <c r="EM273" s="10" cm="1">
        <f t="array" aca="1" ref="EM273" ca="1">(1-$B$18)*SUMPRODUCT(OFFSET($BO$15,0,0,$B$14,1), 1*(_xlfn._xlws.FILTER(OFFSET($O$15,0,$DN273,$B$8,1),OFFSET($M$15,0,0,$B$8,1))=EM$13), 1*(_xlfn._xlws.FILTER(OFFSET($O$15,0,$DO273,$B$8,1),OFFSET($M$15,0,0,$B$8,1))=EM$14))   /   SUM(OFFSET($BO$15,0,0,$B$14,1)) + $B$18/($B$19*$B$19*($DN273&lt;&gt;$DO273) + $B$19*($DN273=$DO273))</f>
        <v>3.7037037037037035E-4</v>
      </c>
      <c r="EN273" s="10" cm="1">
        <f t="array" aca="1" ref="EN273" ca="1">(1-$B$18)*SUMPRODUCT(OFFSET($BO$15,0,0,$B$14,1), 1*(_xlfn._xlws.FILTER(OFFSET($O$15,0,$DN273,$B$8,1),OFFSET($M$15,0,0,$B$8,1))=EN$13), 1*(_xlfn._xlws.FILTER(OFFSET($O$15,0,$DO273,$B$8,1),OFFSET($M$15,0,0,$B$8,1))=EN$14))   /   SUM(OFFSET($BO$15,0,0,$B$14,1)) + $B$18/($B$19*$B$19*($DN273&lt;&gt;$DO273) + $B$19*($DN273=$DO273))</f>
        <v>3.7037037037037035E-4</v>
      </c>
      <c r="EO273" s="10" cm="1">
        <f t="array" aca="1" ref="EO273" ca="1">(1-$B$18)*SUMPRODUCT(OFFSET($BO$15,0,0,$B$14,1), 1*(_xlfn._xlws.FILTER(OFFSET($O$15,0,$DN273,$B$8,1),OFFSET($M$15,0,0,$B$8,1))=EO$13), 1*(_xlfn._xlws.FILTER(OFFSET($O$15,0,$DO273,$B$8,1),OFFSET($M$15,0,0,$B$8,1))=EO$14))   /   SUM(OFFSET($BO$15,0,0,$B$14,1)) + $B$18/($B$19*$B$19*($DN273&lt;&gt;$DO273) + $B$19*($DN273=$DO273))</f>
        <v>3.7037037037037035E-4</v>
      </c>
      <c r="EP273" s="10" cm="1">
        <f t="array" aca="1" ref="EP273" ca="1">(1-$B$18)*SUMPRODUCT(OFFSET($BO$15,0,0,$B$14,1), 1*(_xlfn._xlws.FILTER(OFFSET($O$15,0,$DN273,$B$8,1),OFFSET($M$15,0,0,$B$8,1))=EP$13), 1*(_xlfn._xlws.FILTER(OFFSET($O$15,0,$DO273,$B$8,1),OFFSET($M$15,0,0,$B$8,1))=EP$14))   /   SUM(OFFSET($BO$15,0,0,$B$14,1)) + $B$18/($B$19*$B$19*($DN273&lt;&gt;$DO273) + $B$19*($DN273=$DO273))</f>
        <v>3.7037037037037035E-4</v>
      </c>
      <c r="EQ273" s="10" cm="1">
        <f t="array" aca="1" ref="EQ273" ca="1">(1-$B$18)*SUMPRODUCT(OFFSET($BO$15,0,0,$B$14,1), 1*(_xlfn._xlws.FILTER(OFFSET($O$15,0,$DN273,$B$8,1),OFFSET($M$15,0,0,$B$8,1))=EQ$13), 1*(_xlfn._xlws.FILTER(OFFSET($O$15,0,$DO273,$B$8,1),OFFSET($M$15,0,0,$B$8,1))=EQ$14))   /   SUM(OFFSET($BO$15,0,0,$B$14,1)) + $B$18/($B$19*$B$19*($DN273&lt;&gt;$DO273) + $B$19*($DN273=$DO273))</f>
        <v>3.7037037037037035E-4</v>
      </c>
      <c r="ER273" s="10" cm="1">
        <f t="array" aca="1" ref="ER273" ca="1">(1-$B$18)*SUMPRODUCT(OFFSET($BO$15,0,0,$B$14,1), 1*(_xlfn._xlws.FILTER(OFFSET($O$15,0,$DN273,$B$8,1),OFFSET($M$15,0,0,$B$8,1))=ER$13), 1*(_xlfn._xlws.FILTER(OFFSET($O$15,0,$DO273,$B$8,1),OFFSET($M$15,0,0,$B$8,1))=ER$14))   /   SUM(OFFSET($BO$15,0,0,$B$14,1)) + $B$18/($B$19*$B$19*($DN273&lt;&gt;$DO273) + $B$19*($DN273=$DO273))</f>
        <v>3.7037037037037035E-4</v>
      </c>
      <c r="ES273" s="10" cm="1">
        <f t="array" aca="1" ref="ES273" ca="1">(1-$B$18)*SUMPRODUCT(OFFSET($BO$15,0,0,$B$14,1), 1*(_xlfn._xlws.FILTER(OFFSET($O$15,0,$DN273,$B$8,1),OFFSET($M$15,0,0,$B$8,1))=ES$13), 1*(_xlfn._xlws.FILTER(OFFSET($O$15,0,$DO273,$B$8,1),OFFSET($M$15,0,0,$B$8,1))=ES$14))   /   SUM(OFFSET($BO$15,0,0,$B$14,1)) + $B$18/($B$19*$B$19*($DN273&lt;&gt;$DO273) + $B$19*($DN273=$DO273))</f>
        <v>3.7037037037037035E-4</v>
      </c>
      <c r="ET273" s="10" cm="1">
        <f t="array" aca="1" ref="ET273" ca="1">(1-$B$18)*SUMPRODUCT(OFFSET($BO$15,0,0,$B$14,1), 1*(_xlfn._xlws.FILTER(OFFSET($O$15,0,$DN273,$B$8,1),OFFSET($M$15,0,0,$B$8,1))=ET$13), 1*(_xlfn._xlws.FILTER(OFFSET($O$15,0,$DO273,$B$8,1),OFFSET($M$15,0,0,$B$8,1))=ET$14))   /   SUM(OFFSET($BO$15,0,0,$B$14,1)) + $B$18/($B$19*$B$19*($DN273&lt;&gt;$DO273) + $B$19*($DN273=$DO273))</f>
        <v>3.7037037037037035E-4</v>
      </c>
      <c r="EU273" s="10" cm="1">
        <f t="array" aca="1" ref="EU273" ca="1">(1-$B$18)*SUMPRODUCT(OFFSET($BO$15,0,0,$B$14,1), 1*(_xlfn._xlws.FILTER(OFFSET($O$15,0,$DN273,$B$8,1),OFFSET($M$15,0,0,$B$8,1))=EU$13), 1*(_xlfn._xlws.FILTER(OFFSET($O$15,0,$DO273,$B$8,1),OFFSET($M$15,0,0,$B$8,1))=EU$14))   /   SUM(OFFSET($BO$15,0,0,$B$14,1)) + $B$18/($B$19*$B$19*($DN273&lt;&gt;$DO273) + $B$19*($DN273=$DO273))</f>
        <v>3.7037037037037035E-4</v>
      </c>
      <c r="EV273" s="10" cm="1">
        <f t="array" aca="1" ref="EV273" ca="1">(1-$B$18)*SUMPRODUCT(OFFSET($BO$15,0,0,$B$14,1), 1*(_xlfn._xlws.FILTER(OFFSET($O$15,0,$DN273,$B$8,1),OFFSET($M$15,0,0,$B$8,1))=EV$13), 1*(_xlfn._xlws.FILTER(OFFSET($O$15,0,$DO273,$B$8,1),OFFSET($M$15,0,0,$B$8,1))=EV$14))   /   SUM(OFFSET($BO$15,0,0,$B$14,1)) + $B$18/($B$19*$B$19*($DN273&lt;&gt;$DO273) + $B$19*($DN273=$DO273))</f>
        <v>3.7037037037037035E-4</v>
      </c>
      <c r="EW273" s="10" cm="1">
        <f t="array" aca="1" ref="EW273" ca="1">(1-$B$18)*SUMPRODUCT(OFFSET($BO$15,0,0,$B$14,1), 1*(_xlfn._xlws.FILTER(OFFSET($O$15,0,$DN273,$B$8,1),OFFSET($M$15,0,0,$B$8,1))=EW$13), 1*(_xlfn._xlws.FILTER(OFFSET($O$15,0,$DO273,$B$8,1),OFFSET($M$15,0,0,$B$8,1))=EW$14))   /   SUM(OFFSET($BO$15,0,0,$B$14,1)) + $B$18/($B$19*$B$19*($DN273&lt;&gt;$DO273) + $B$19*($DN273=$DO273))</f>
        <v>3.7037037037037035E-4</v>
      </c>
      <c r="EX273" s="10" cm="1">
        <f t="array" aca="1" ref="EX273" ca="1">(1-$B$18)*SUMPRODUCT(OFFSET($BO$15,0,0,$B$14,1), 1*(_xlfn._xlws.FILTER(OFFSET($O$15,0,$DN273,$B$8,1),OFFSET($M$15,0,0,$B$8,1))=EX$13), 1*(_xlfn._xlws.FILTER(OFFSET($O$15,0,$DO273,$B$8,1),OFFSET($M$15,0,0,$B$8,1))=EX$14))   /   SUM(OFFSET($BO$15,0,0,$B$14,1)) + $B$18/($B$19*$B$19*($DN273&lt;&gt;$DO273) + $B$19*($DN273=$DO273))</f>
        <v>3.7037037037037035E-4</v>
      </c>
      <c r="EY273" s="10" cm="1">
        <f t="array" aca="1" ref="EY273" ca="1">(1-$B$18)*SUMPRODUCT(OFFSET($BO$15,0,0,$B$14,1), 1*(_xlfn._xlws.FILTER(OFFSET($O$15,0,$DN273,$B$8,1),OFFSET($M$15,0,0,$B$8,1))=EY$13), 1*(_xlfn._xlws.FILTER(OFFSET($O$15,0,$DO273,$B$8,1),OFFSET($M$15,0,0,$B$8,1))=EY$14))   /   SUM(OFFSET($BO$15,0,0,$B$14,1)) + $B$18/($B$19*$B$19*($DN273&lt;&gt;$DO273) + $B$19*($DN273=$DO273))</f>
        <v>3.7037037037037035E-4</v>
      </c>
      <c r="EZ273" s="10" cm="1">
        <f t="array" aca="1" ref="EZ273" ca="1">(1-$B$18)*SUMPRODUCT(OFFSET($BO$15,0,0,$B$14,1), 1*(_xlfn._xlws.FILTER(OFFSET($O$15,0,$DN273,$B$8,1),OFFSET($M$15,0,0,$B$8,1))=EZ$13), 1*(_xlfn._xlws.FILTER(OFFSET($O$15,0,$DO273,$B$8,1),OFFSET($M$15,0,0,$B$8,1))=EZ$14))   /   SUM(OFFSET($BO$15,0,0,$B$14,1)) + $B$18/($B$19*$B$19*($DN273&lt;&gt;$DO273) + $B$19*($DN273=$DO273))</f>
        <v>3.7037037037037035E-4</v>
      </c>
      <c r="FA273" s="10" cm="1">
        <f t="array" aca="1" ref="FA273" ca="1">(1-$B$18)*SUMPRODUCT(OFFSET($BO$15,0,0,$B$14,1), 1*(_xlfn._xlws.FILTER(OFFSET($O$15,0,$DN273,$B$8,1),OFFSET($M$15,0,0,$B$8,1))=FA$13), 1*(_xlfn._xlws.FILTER(OFFSET($O$15,0,$DO273,$B$8,1),OFFSET($M$15,0,0,$B$8,1))=FA$14))   /   SUM(OFFSET($BO$15,0,0,$B$14,1)) + $B$18/($B$19*$B$19*($DN273&lt;&gt;$DO273) + $B$19*($DN273=$DO273))</f>
        <v>3.7037037037037035E-4</v>
      </c>
      <c r="FB273" s="10" cm="1">
        <f t="array" aca="1" ref="FB273" ca="1">(1-$B$18)*SUMPRODUCT(OFFSET($BO$15,0,0,$B$14,1), 1*(_xlfn._xlws.FILTER(OFFSET($O$15,0,$DN273,$B$8,1),OFFSET($M$15,0,0,$B$8,1))=FB$13), 1*(_xlfn._xlws.FILTER(OFFSET($O$15,0,$DO273,$B$8,1),OFFSET($M$15,0,0,$B$8,1))=FB$14))   /   SUM(OFFSET($BO$15,0,0,$B$14,1)) + $B$18/($B$19*$B$19*($DN273&lt;&gt;$DO273) + $B$19*($DN273=$DO273))</f>
        <v>3.7037037037037035E-4</v>
      </c>
      <c r="FC273" s="10" cm="1">
        <f t="array" aca="1" ref="FC273" ca="1">(1-$B$18)*SUMPRODUCT(OFFSET($BO$15,0,0,$B$14,1), 1*(_xlfn._xlws.FILTER(OFFSET($O$15,0,$DN273,$B$8,1),OFFSET($M$15,0,0,$B$8,1))=FC$13), 1*(_xlfn._xlws.FILTER(OFFSET($O$15,0,$DO273,$B$8,1),OFFSET($M$15,0,0,$B$8,1))=FC$14))   /   SUM(OFFSET($BO$15,0,0,$B$14,1)) + $B$18/($B$19*$B$19*($DN273&lt;&gt;$DO273) + $B$19*($DN273=$DO273))</f>
        <v>3.7037037037037035E-4</v>
      </c>
      <c r="FD273" s="10" cm="1">
        <f t="array" aca="1" ref="FD273" ca="1">(1-$B$18)*SUMPRODUCT(OFFSET($BO$15,0,0,$B$14,1), 1*(_xlfn._xlws.FILTER(OFFSET($O$15,0,$DN273,$B$8,1),OFFSET($M$15,0,0,$B$8,1))=FD$13), 1*(_xlfn._xlws.FILTER(OFFSET($O$15,0,$DO273,$B$8,1),OFFSET($M$15,0,0,$B$8,1))=FD$14))   /   SUM(OFFSET($BO$15,0,0,$B$14,1)) + $B$18/($B$19*$B$19*($DN273&lt;&gt;$DO273) + $B$19*($DN273=$DO273))</f>
        <v>3.7037037037037035E-4</v>
      </c>
      <c r="FE273" s="10" cm="1">
        <f t="array" aca="1" ref="FE273" ca="1">(1-$B$18)*SUMPRODUCT(OFFSET($BO$15,0,0,$B$14,1), 1*(_xlfn._xlws.FILTER(OFFSET($O$15,0,$DN273,$B$8,1),OFFSET($M$15,0,0,$B$8,1))=FE$13), 1*(_xlfn._xlws.FILTER(OFFSET($O$15,0,$DO273,$B$8,1),OFFSET($M$15,0,0,$B$8,1))=FE$14))   /   SUM(OFFSET($BO$15,0,0,$B$14,1)) + $B$18/($B$19*$B$19*($DN273&lt;&gt;$DO273) + $B$19*($DN273=$DO273))</f>
        <v>3.7037037037037035E-4</v>
      </c>
      <c r="FF273" s="10" cm="1">
        <f t="array" aca="1" ref="FF273" ca="1">(1-$B$18)*SUMPRODUCT(OFFSET($BO$15,0,0,$B$14,1), 1*(_xlfn._xlws.FILTER(OFFSET($O$15,0,$DN273,$B$8,1),OFFSET($M$15,0,0,$B$8,1))=FF$13), 1*(_xlfn._xlws.FILTER(OFFSET($O$15,0,$DO273,$B$8,1),OFFSET($M$15,0,0,$B$8,1))=FF$14))   /   SUM(OFFSET($BO$15,0,0,$B$14,1)) + $B$18/($B$19*$B$19*($DN273&lt;&gt;$DO273) + $B$19*($DN273=$DO273))</f>
        <v>3.7037037037037035E-4</v>
      </c>
      <c r="FG273" s="10" cm="1">
        <f t="array" aca="1" ref="FG273" ca="1">(1-$B$18)*SUMPRODUCT(OFFSET($BO$15,0,0,$B$14,1), 1*(_xlfn._xlws.FILTER(OFFSET($O$15,0,$DN273,$B$8,1),OFFSET($M$15,0,0,$B$8,1))=FG$13), 1*(_xlfn._xlws.FILTER(OFFSET($O$15,0,$DO273,$B$8,1),OFFSET($M$15,0,0,$B$8,1))=FG$14))   /   SUM(OFFSET($BO$15,0,0,$B$14,1)) + $B$18/($B$19*$B$19*($DN273&lt;&gt;$DO273) + $B$19*($DN273=$DO273))</f>
        <v>3.7037037037037035E-4</v>
      </c>
      <c r="FH273" s="10" cm="1">
        <f t="array" aca="1" ref="FH273" ca="1">(1-$B$18)*SUMPRODUCT(OFFSET($BO$15,0,0,$B$14,1), 1*(_xlfn._xlws.FILTER(OFFSET($O$15,0,$DN273,$B$8,1),OFFSET($M$15,0,0,$B$8,1))=FH$13), 1*(_xlfn._xlws.FILTER(OFFSET($O$15,0,$DO273,$B$8,1),OFFSET($M$15,0,0,$B$8,1))=FH$14))   /   SUM(OFFSET($BO$15,0,0,$B$14,1)) + $B$18/($B$19*$B$19*($DN273&lt;&gt;$DO273) + $B$19*($DN273=$DO273))</f>
        <v>3.7037037037037035E-4</v>
      </c>
      <c r="FI273" s="10" cm="1">
        <f t="array" aca="1" ref="FI273" ca="1">(1-$B$18)*SUMPRODUCT(OFFSET($BO$15,0,0,$B$14,1), 1*(_xlfn._xlws.FILTER(OFFSET($O$15,0,$DN273,$B$8,1),OFFSET($M$15,0,0,$B$8,1))=FI$13), 1*(_xlfn._xlws.FILTER(OFFSET($O$15,0,$DO273,$B$8,1),OFFSET($M$15,0,0,$B$8,1))=FI$14))   /   SUM(OFFSET($BO$15,0,0,$B$14,1)) + $B$18/($B$19*$B$19*($DN273&lt;&gt;$DO273) + $B$19*($DN273=$DO273))</f>
        <v>3.7037037037037035E-4</v>
      </c>
      <c r="FJ273" s="10" cm="1">
        <f t="array" aca="1" ref="FJ273" ca="1">(1-$B$18)*SUMPRODUCT(OFFSET($BO$15,0,0,$B$14,1), 1*(_xlfn._xlws.FILTER(OFFSET($O$15,0,$DN273,$B$8,1),OFFSET($M$15,0,0,$B$8,1))=FJ$13), 1*(_xlfn._xlws.FILTER(OFFSET($O$15,0,$DO273,$B$8,1),OFFSET($M$15,0,0,$B$8,1))=FJ$14))   /   SUM(OFFSET($BO$15,0,0,$B$14,1)) + $B$18/($B$19*$B$19*($DN273&lt;&gt;$DO273) + $B$19*($DN273=$DO273))</f>
        <v>3.7037037037037035E-4</v>
      </c>
      <c r="FK273" s="10" cm="1">
        <f t="array" aca="1" ref="FK273" ca="1">(1-$B$18)*SUMPRODUCT(OFFSET($BO$15,0,0,$B$14,1), 1*(_xlfn._xlws.FILTER(OFFSET($O$15,0,$DN273,$B$8,1),OFFSET($M$15,0,0,$B$8,1))=FK$13), 1*(_xlfn._xlws.FILTER(OFFSET($O$15,0,$DO273,$B$8,1),OFFSET($M$15,0,0,$B$8,1))=FK$14))   /   SUM(OFFSET($BO$15,0,0,$B$14,1)) + $B$18/($B$19*$B$19*($DN273&lt;&gt;$DO273) + $B$19*($DN273=$DO273))</f>
        <v>3.7037037037037035E-4</v>
      </c>
      <c r="FL273" s="10" cm="1">
        <f t="array" aca="1" ref="FL273" ca="1">(1-$B$18)*SUMPRODUCT(OFFSET($BO$15,0,0,$B$14,1), 1*(_xlfn._xlws.FILTER(OFFSET($O$15,0,$DN273,$B$8,1),OFFSET($M$15,0,0,$B$8,1))=FL$13), 1*(_xlfn._xlws.FILTER(OFFSET($O$15,0,$DO273,$B$8,1),OFFSET($M$15,0,0,$B$8,1))=FL$14))   /   SUM(OFFSET($BO$15,0,0,$B$14,1)) + $B$18/($B$19*$B$19*($DN273&lt;&gt;$DO273) + $B$19*($DN273=$DO273))</f>
        <v>3.7037037037037035E-4</v>
      </c>
      <c r="FM273" s="10" cm="1">
        <f t="array" aca="1" ref="FM273" ca="1">(1-$B$18)*SUMPRODUCT(OFFSET($BO$15,0,0,$B$14,1), 1*(_xlfn._xlws.FILTER(OFFSET($O$15,0,$DN273,$B$8,1),OFFSET($M$15,0,0,$B$8,1))=FM$13), 1*(_xlfn._xlws.FILTER(OFFSET($O$15,0,$DO273,$B$8,1),OFFSET($M$15,0,0,$B$8,1))=FM$14))   /   SUM(OFFSET($BO$15,0,0,$B$14,1)) + $B$18/($B$19*$B$19*($DN273&lt;&gt;$DO273) + $B$19*($DN273=$DO273))</f>
        <v>3.7037037037037035E-4</v>
      </c>
      <c r="FN273" s="10" cm="1">
        <f t="array" aca="1" ref="FN273" ca="1">(1-$B$18)*SUMPRODUCT(OFFSET($BO$15,0,0,$B$14,1), 1*(_xlfn._xlws.FILTER(OFFSET($O$15,0,$DN273,$B$8,1),OFFSET($M$15,0,0,$B$8,1))=FN$13), 1*(_xlfn._xlws.FILTER(OFFSET($O$15,0,$DO273,$B$8,1),OFFSET($M$15,0,0,$B$8,1))=FN$14))   /   SUM(OFFSET($BO$15,0,0,$B$14,1)) + $B$18/($B$19*$B$19*($DN273&lt;&gt;$DO273) + $B$19*($DN273=$DO273))</f>
        <v>3.7037037037037035E-4</v>
      </c>
      <c r="FO273" s="10" cm="1">
        <f t="array" aca="1" ref="FO273" ca="1">(1-$B$18)*SUMPRODUCT(OFFSET($BO$15,0,0,$B$14,1), 1*(_xlfn._xlws.FILTER(OFFSET($O$15,0,$DN273,$B$8,1),OFFSET($M$15,0,0,$B$8,1))=FO$13), 1*(_xlfn._xlws.FILTER(OFFSET($O$15,0,$DO273,$B$8,1),OFFSET($M$15,0,0,$B$8,1))=FO$14))   /   SUM(OFFSET($BO$15,0,0,$B$14,1)) + $B$18/($B$19*$B$19*($DN273&lt;&gt;$DO273) + $B$19*($DN273=$DO273))</f>
        <v>3.7037037037037035E-4</v>
      </c>
      <c r="FP273" s="10" cm="1">
        <f t="array" aca="1" ref="FP273" ca="1">(1-$B$18)*SUMPRODUCT(OFFSET($BO$15,0,0,$B$14,1), 1*(_xlfn._xlws.FILTER(OFFSET($O$15,0,$DN273,$B$8,1),OFFSET($M$15,0,0,$B$8,1))=FP$13), 1*(_xlfn._xlws.FILTER(OFFSET($O$15,0,$DO273,$B$8,1),OFFSET($M$15,0,0,$B$8,1))=FP$14))   /   SUM(OFFSET($BO$15,0,0,$B$14,1)) + $B$18/($B$19*$B$19*($DN273&lt;&gt;$DO273) + $B$19*($DN273=$DO273))</f>
        <v>3.7037037037037035E-4</v>
      </c>
      <c r="FQ273" s="10" cm="1">
        <f t="array" aca="1" ref="FQ273" ca="1">(1-$B$18)*SUMPRODUCT(OFFSET($BO$15,0,0,$B$14,1), 1*(_xlfn._xlws.FILTER(OFFSET($O$15,0,$DN273,$B$8,1),OFFSET($M$15,0,0,$B$8,1))=FQ$13), 1*(_xlfn._xlws.FILTER(OFFSET($O$15,0,$DO273,$B$8,1),OFFSET($M$15,0,0,$B$8,1))=FQ$14))   /   SUM(OFFSET($BO$15,0,0,$B$14,1)) + $B$18/($B$19*$B$19*($DN273&lt;&gt;$DO273) + $B$19*($DN273=$DO273))</f>
        <v>3.7037037037037035E-4</v>
      </c>
      <c r="FR273" s="10" cm="1">
        <f t="array" aca="1" ref="FR273" ca="1">(1-$B$18)*SUMPRODUCT(OFFSET($BO$15,0,0,$B$14,1), 1*(_xlfn._xlws.FILTER(OFFSET($O$15,0,$DN273,$B$8,1),OFFSET($M$15,0,0,$B$8,1))=FR$13), 1*(_xlfn._xlws.FILTER(OFFSET($O$15,0,$DO273,$B$8,1),OFFSET($M$15,0,0,$B$8,1))=FR$14))   /   SUM(OFFSET($BO$15,0,0,$B$14,1)) + $B$18/($B$19*$B$19*($DN273&lt;&gt;$DO273) + $B$19*($DN273=$DO273))</f>
        <v>3.7037037037037035E-4</v>
      </c>
      <c r="FS273" s="10" cm="1">
        <f t="array" aca="1" ref="FS273" ca="1">(1-$B$18)*SUMPRODUCT(OFFSET($BO$15,0,0,$B$14,1), 1*(_xlfn._xlws.FILTER(OFFSET($O$15,0,$DN273,$B$8,1),OFFSET($M$15,0,0,$B$8,1))=FS$13), 1*(_xlfn._xlws.FILTER(OFFSET($O$15,0,$DO273,$B$8,1),OFFSET($M$15,0,0,$B$8,1))=FS$14))   /   SUM(OFFSET($BO$15,0,0,$B$14,1)) + $B$18/($B$19*$B$19*($DN273&lt;&gt;$DO273) + $B$19*($DN273=$DO273))</f>
        <v>3.7037037037037035E-4</v>
      </c>
      <c r="FT273" s="10" cm="1">
        <f t="array" aca="1" ref="FT273" ca="1">(1-$B$18)*SUMPRODUCT(OFFSET($BO$15,0,0,$B$14,1), 1*(_xlfn._xlws.FILTER(OFFSET($O$15,0,$DN273,$B$8,1),OFFSET($M$15,0,0,$B$8,1))=FT$13), 1*(_xlfn._xlws.FILTER(OFFSET($O$15,0,$DO273,$B$8,1),OFFSET($M$15,0,0,$B$8,1))=FT$14))   /   SUM(OFFSET($BO$15,0,0,$B$14,1)) + $B$18/($B$19*$B$19*($DN273&lt;&gt;$DO273) + $B$19*($DN273=$DO273))</f>
        <v>3.7037037037037035E-4</v>
      </c>
      <c r="FU273" s="10" cm="1">
        <f t="array" aca="1" ref="FU273" ca="1">(1-$B$18)*SUMPRODUCT(OFFSET($BO$15,0,0,$B$14,1), 1*(_xlfn._xlws.FILTER(OFFSET($O$15,0,$DN273,$B$8,1),OFFSET($M$15,0,0,$B$8,1))=FU$13), 1*(_xlfn._xlws.FILTER(OFFSET($O$15,0,$DO273,$B$8,1),OFFSET($M$15,0,0,$B$8,1))=FU$14))   /   SUM(OFFSET($BO$15,0,0,$B$14,1)) + $B$18/($B$19*$B$19*($DN273&lt;&gt;$DO273) + $B$19*($DN273=$DO273))</f>
        <v>3.7037037037037035E-4</v>
      </c>
      <c r="FV273" s="10" cm="1">
        <f t="array" aca="1" ref="FV273" ca="1">(1-$B$18)*SUMPRODUCT(OFFSET($BO$15,0,0,$B$14,1), 1*(_xlfn._xlws.FILTER(OFFSET($O$15,0,$DN273,$B$8,1),OFFSET($M$15,0,0,$B$8,1))=FV$13), 1*(_xlfn._xlws.FILTER(OFFSET($O$15,0,$DO273,$B$8,1),OFFSET($M$15,0,0,$B$8,1))=FV$14))   /   SUM(OFFSET($BO$15,0,0,$B$14,1)) + $B$18/($B$19*$B$19*($DN273&lt;&gt;$DO273) + $B$19*($DN273=$DO273))</f>
        <v>3.7037037037037035E-4</v>
      </c>
      <c r="FW273" s="10" cm="1">
        <f t="array" aca="1" ref="FW273" ca="1">(1-$B$18)*SUMPRODUCT(OFFSET($BO$15,0,0,$B$14,1), 1*(_xlfn._xlws.FILTER(OFFSET($O$15,0,$DN273,$B$8,1),OFFSET($M$15,0,0,$B$8,1))=FW$13), 1*(_xlfn._xlws.FILTER(OFFSET($O$15,0,$DO273,$B$8,1),OFFSET($M$15,0,0,$B$8,1))=FW$14))   /   SUM(OFFSET($BO$15,0,0,$B$14,1)) + $B$18/($B$19*$B$19*($DN273&lt;&gt;$DO273) + $B$19*($DN273=$DO273))</f>
        <v>3.7037037037037035E-4</v>
      </c>
      <c r="FX273" s="10" cm="1">
        <f t="array" aca="1" ref="FX273" ca="1">(1-$B$18)*SUMPRODUCT(OFFSET($BO$15,0,0,$B$14,1), 1*(_xlfn._xlws.FILTER(OFFSET($O$15,0,$DN273,$B$8,1),OFFSET($M$15,0,0,$B$8,1))=FX$13), 1*(_xlfn._xlws.FILTER(OFFSET($O$15,0,$DO273,$B$8,1),OFFSET($M$15,0,0,$B$8,1))=FX$14))   /   SUM(OFFSET($BO$15,0,0,$B$14,1)) + $B$18/($B$19*$B$19*($DN273&lt;&gt;$DO273) + $B$19*($DN273=$DO273))</f>
        <v>3.7037037037037035E-4</v>
      </c>
      <c r="FY273" s="10" cm="1">
        <f t="array" aca="1" ref="FY273" ca="1">(1-$B$18)*SUMPRODUCT(OFFSET($BO$15,0,0,$B$14,1), 1*(_xlfn._xlws.FILTER(OFFSET($O$15,0,$DN273,$B$8,1),OFFSET($M$15,0,0,$B$8,1))=FY$13), 1*(_xlfn._xlws.FILTER(OFFSET($O$15,0,$DO273,$B$8,1),OFFSET($M$15,0,0,$B$8,1))=FY$14))   /   SUM(OFFSET($BO$15,0,0,$B$14,1)) + $B$18/($B$19*$B$19*($DN273&lt;&gt;$DO273) + $B$19*($DN273=$DO273))</f>
        <v>3.7037037037037035E-4</v>
      </c>
      <c r="FZ273" s="10" cm="1">
        <f t="array" aca="1" ref="FZ273" ca="1">(1-$B$18)*SUMPRODUCT(OFFSET($BO$15,0,0,$B$14,1), 1*(_xlfn._xlws.FILTER(OFFSET($O$15,0,$DN273,$B$8,1),OFFSET($M$15,0,0,$B$8,1))=FZ$13), 1*(_xlfn._xlws.FILTER(OFFSET($O$15,0,$DO273,$B$8,1),OFFSET($M$15,0,0,$B$8,1))=FZ$14))   /   SUM(OFFSET($BO$15,0,0,$B$14,1)) + $B$18/($B$19*$B$19*($DN273&lt;&gt;$DO273) + $B$19*($DN273=$DO273))</f>
        <v>3.7037037037037035E-4</v>
      </c>
      <c r="GA273" s="10" cm="1">
        <f t="array" aca="1" ref="GA273" ca="1">(1-$B$18)*SUMPRODUCT(OFFSET($BO$15,0,0,$B$14,1), 1*(_xlfn._xlws.FILTER(OFFSET($O$15,0,$DN273,$B$8,1),OFFSET($M$15,0,0,$B$8,1))=GA$13), 1*(_xlfn._xlws.FILTER(OFFSET($O$15,0,$DO273,$B$8,1),OFFSET($M$15,0,0,$B$8,1))=GA$14))   /   SUM(OFFSET($BO$15,0,0,$B$14,1)) + $B$18/($B$19*$B$19*($DN273&lt;&gt;$DO273) + $B$19*($DN273=$DO273))</f>
        <v>3.7037037037037035E-4</v>
      </c>
    </row>
    <row r="274" spans="118:183" x14ac:dyDescent="0.2">
      <c r="DN274" cm="1">
        <f t="array" aca="1" ref="DN274" ca="1">INDEX(_xlfn.ANCHORARRAY($CP$15), 1 + INT((ROWS($DO$15:$DO274) - 1) / ROWS(_xlfn.ANCHORARRAY($CP$15))))</f>
        <v>14</v>
      </c>
      <c r="DO274" cm="1">
        <f t="array" aca="1" ref="DO274" ca="1">INDEX(_xlfn.ANCHORARRAY($CP$15),1+MOD(ROWS($DO$15:$DO274)-1,ROWS(_xlfn.ANCHORARRAY($CP$15))))</f>
        <v>13</v>
      </c>
      <c r="DP274" s="10" cm="1">
        <f t="array" aca="1" ref="DP274" ca="1">(1-$B$18)*SUMPRODUCT(OFFSET($BO$15,0,0,$B$14,1), 1*(_xlfn._xlws.FILTER(OFFSET($O$15,0,$DN274,$B$8,1),OFFSET($M$15,0,0,$B$8,1))=DP$13), 1*(_xlfn._xlws.FILTER(OFFSET($O$15,0,$DO274,$B$8,1),OFFSET($M$15,0,0,$B$8,1))=DP$14))   /   SUM(OFFSET($BO$15,0,0,$B$14,1)) + $B$18/($B$19*$B$19*($DN274&lt;&gt;$DO274) + $B$19*($DN274=$DO274))</f>
        <v>3.7037037037037035E-4</v>
      </c>
      <c r="DQ274" s="10" cm="1">
        <f t="array" aca="1" ref="DQ274" ca="1">(1-$B$18)*SUMPRODUCT(OFFSET($BO$15,0,0,$B$14,1), 1*(_xlfn._xlws.FILTER(OFFSET($O$15,0,$DN274,$B$8,1),OFFSET($M$15,0,0,$B$8,1))=DQ$13), 1*(_xlfn._xlws.FILTER(OFFSET($O$15,0,$DO274,$B$8,1),OFFSET($M$15,0,0,$B$8,1))=DQ$14))   /   SUM(OFFSET($BO$15,0,0,$B$14,1)) + $B$18/($B$19*$B$19*($DN274&lt;&gt;$DO274) + $B$19*($DN274=$DO274))</f>
        <v>3.7037037037037035E-4</v>
      </c>
      <c r="DR274" s="10" cm="1">
        <f t="array" aca="1" ref="DR274" ca="1">(1-$B$18)*SUMPRODUCT(OFFSET($BO$15,0,0,$B$14,1), 1*(_xlfn._xlws.FILTER(OFFSET($O$15,0,$DN274,$B$8,1),OFFSET($M$15,0,0,$B$8,1))=DR$13), 1*(_xlfn._xlws.FILTER(OFFSET($O$15,0,$DO274,$B$8,1),OFFSET($M$15,0,0,$B$8,1))=DR$14))   /   SUM(OFFSET($BO$15,0,0,$B$14,1)) + $B$18/($B$19*$B$19*($DN274&lt;&gt;$DO274) + $B$19*($DN274=$DO274))</f>
        <v>3.7037037037037035E-4</v>
      </c>
      <c r="DS274" s="10" cm="1">
        <f t="array" aca="1" ref="DS274" ca="1">(1-$B$18)*SUMPRODUCT(OFFSET($BO$15,0,0,$B$14,1), 1*(_xlfn._xlws.FILTER(OFFSET($O$15,0,$DN274,$B$8,1),OFFSET($M$15,0,0,$B$8,1))=DS$13), 1*(_xlfn._xlws.FILTER(OFFSET($O$15,0,$DO274,$B$8,1),OFFSET($M$15,0,0,$B$8,1))=DS$14))   /   SUM(OFFSET($BO$15,0,0,$B$14,1)) + $B$18/($B$19*$B$19*($DN274&lt;&gt;$DO274) + $B$19*($DN274=$DO274))</f>
        <v>3.7037037037037035E-4</v>
      </c>
      <c r="DT274" s="10" cm="1">
        <f t="array" aca="1" ref="DT274" ca="1">(1-$B$18)*SUMPRODUCT(OFFSET($BO$15,0,0,$B$14,1), 1*(_xlfn._xlws.FILTER(OFFSET($O$15,0,$DN274,$B$8,1),OFFSET($M$15,0,0,$B$8,1))=DT$13), 1*(_xlfn._xlws.FILTER(OFFSET($O$15,0,$DO274,$B$8,1),OFFSET($M$15,0,0,$B$8,1))=DT$14))   /   SUM(OFFSET($BO$15,0,0,$B$14,1)) + $B$18/($B$19*$B$19*($DN274&lt;&gt;$DO274) + $B$19*($DN274=$DO274))</f>
        <v>3.7037037037037035E-4</v>
      </c>
      <c r="DU274" s="10" cm="1">
        <f t="array" aca="1" ref="DU274" ca="1">(1-$B$18)*SUMPRODUCT(OFFSET($BO$15,0,0,$B$14,1), 1*(_xlfn._xlws.FILTER(OFFSET($O$15,0,$DN274,$B$8,1),OFFSET($M$15,0,0,$B$8,1))=DU$13), 1*(_xlfn._xlws.FILTER(OFFSET($O$15,0,$DO274,$B$8,1),OFFSET($M$15,0,0,$B$8,1))=DU$14))   /   SUM(OFFSET($BO$15,0,0,$B$14,1)) + $B$18/($B$19*$B$19*($DN274&lt;&gt;$DO274) + $B$19*($DN274=$DO274))</f>
        <v>3.7037037037037035E-4</v>
      </c>
      <c r="DV274" s="10" cm="1">
        <f t="array" aca="1" ref="DV274" ca="1">(1-$B$18)*SUMPRODUCT(OFFSET($BO$15,0,0,$B$14,1), 1*(_xlfn._xlws.FILTER(OFFSET($O$15,0,$DN274,$B$8,1),OFFSET($M$15,0,0,$B$8,1))=DV$13), 1*(_xlfn._xlws.FILTER(OFFSET($O$15,0,$DO274,$B$8,1),OFFSET($M$15,0,0,$B$8,1))=DV$14))   /   SUM(OFFSET($BO$15,0,0,$B$14,1)) + $B$18/($B$19*$B$19*($DN274&lt;&gt;$DO274) + $B$19*($DN274=$DO274))</f>
        <v>3.7037037037037035E-4</v>
      </c>
      <c r="DW274" s="10" cm="1">
        <f t="array" aca="1" ref="DW274" ca="1">(1-$B$18)*SUMPRODUCT(OFFSET($BO$15,0,0,$B$14,1), 1*(_xlfn._xlws.FILTER(OFFSET($O$15,0,$DN274,$B$8,1),OFFSET($M$15,0,0,$B$8,1))=DW$13), 1*(_xlfn._xlws.FILTER(OFFSET($O$15,0,$DO274,$B$8,1),OFFSET($M$15,0,0,$B$8,1))=DW$14))   /   SUM(OFFSET($BO$15,0,0,$B$14,1)) + $B$18/($B$19*$B$19*($DN274&lt;&gt;$DO274) + $B$19*($DN274=$DO274))</f>
        <v>3.7037037037037035E-4</v>
      </c>
      <c r="DX274" s="10" cm="1">
        <f t="array" aca="1" ref="DX274" ca="1">(1-$B$18)*SUMPRODUCT(OFFSET($BO$15,0,0,$B$14,1), 1*(_xlfn._xlws.FILTER(OFFSET($O$15,0,$DN274,$B$8,1),OFFSET($M$15,0,0,$B$8,1))=DX$13), 1*(_xlfn._xlws.FILTER(OFFSET($O$15,0,$DO274,$B$8,1),OFFSET($M$15,0,0,$B$8,1))=DX$14))   /   SUM(OFFSET($BO$15,0,0,$B$14,1)) + $B$18/($B$19*$B$19*($DN274&lt;&gt;$DO274) + $B$19*($DN274=$DO274))</f>
        <v>3.7037037037037035E-4</v>
      </c>
      <c r="DY274" s="10" cm="1">
        <f t="array" aca="1" ref="DY274" ca="1">(1-$B$18)*SUMPRODUCT(OFFSET($BO$15,0,0,$B$14,1), 1*(_xlfn._xlws.FILTER(OFFSET($O$15,0,$DN274,$B$8,1),OFFSET($M$15,0,0,$B$8,1))=DY$13), 1*(_xlfn._xlws.FILTER(OFFSET($O$15,0,$DO274,$B$8,1),OFFSET($M$15,0,0,$B$8,1))=DY$14))   /   SUM(OFFSET($BO$15,0,0,$B$14,1)) + $B$18/($B$19*$B$19*($DN274&lt;&gt;$DO274) + $B$19*($DN274=$DO274))</f>
        <v>3.7037037037037035E-4</v>
      </c>
      <c r="DZ274" s="10" cm="1">
        <f t="array" aca="1" ref="DZ274" ca="1">(1-$B$18)*SUMPRODUCT(OFFSET($BO$15,0,0,$B$14,1), 1*(_xlfn._xlws.FILTER(OFFSET($O$15,0,$DN274,$B$8,1),OFFSET($M$15,0,0,$B$8,1))=DZ$13), 1*(_xlfn._xlws.FILTER(OFFSET($O$15,0,$DO274,$B$8,1),OFFSET($M$15,0,0,$B$8,1))=DZ$14))   /   SUM(OFFSET($BO$15,0,0,$B$14,1)) + $B$18/($B$19*$B$19*($DN274&lt;&gt;$DO274) + $B$19*($DN274=$DO274))</f>
        <v>3.7037037037037035E-4</v>
      </c>
      <c r="EA274" s="10" cm="1">
        <f t="array" aca="1" ref="EA274" ca="1">(1-$B$18)*SUMPRODUCT(OFFSET($BO$15,0,0,$B$14,1), 1*(_xlfn._xlws.FILTER(OFFSET($O$15,0,$DN274,$B$8,1),OFFSET($M$15,0,0,$B$8,1))=EA$13), 1*(_xlfn._xlws.FILTER(OFFSET($O$15,0,$DO274,$B$8,1),OFFSET($M$15,0,0,$B$8,1))=EA$14))   /   SUM(OFFSET($BO$15,0,0,$B$14,1)) + $B$18/($B$19*$B$19*($DN274&lt;&gt;$DO274) + $B$19*($DN274=$DO274))</f>
        <v>3.7037037037037035E-4</v>
      </c>
      <c r="EB274" s="10" cm="1">
        <f t="array" aca="1" ref="EB274" ca="1">(1-$B$18)*SUMPRODUCT(OFFSET($BO$15,0,0,$B$14,1), 1*(_xlfn._xlws.FILTER(OFFSET($O$15,0,$DN274,$B$8,1),OFFSET($M$15,0,0,$B$8,1))=EB$13), 1*(_xlfn._xlws.FILTER(OFFSET($O$15,0,$DO274,$B$8,1),OFFSET($M$15,0,0,$B$8,1))=EB$14))   /   SUM(OFFSET($BO$15,0,0,$B$14,1)) + $B$18/($B$19*$B$19*($DN274&lt;&gt;$DO274) + $B$19*($DN274=$DO274))</f>
        <v>3.7037037037037035E-4</v>
      </c>
      <c r="EC274" s="10" cm="1">
        <f t="array" aca="1" ref="EC274" ca="1">(1-$B$18)*SUMPRODUCT(OFFSET($BO$15,0,0,$B$14,1), 1*(_xlfn._xlws.FILTER(OFFSET($O$15,0,$DN274,$B$8,1),OFFSET($M$15,0,0,$B$8,1))=EC$13), 1*(_xlfn._xlws.FILTER(OFFSET($O$15,0,$DO274,$B$8,1),OFFSET($M$15,0,0,$B$8,1))=EC$14))   /   SUM(OFFSET($BO$15,0,0,$B$14,1)) + $B$18/($B$19*$B$19*($DN274&lt;&gt;$DO274) + $B$19*($DN274=$DO274))</f>
        <v>3.7037037037037035E-4</v>
      </c>
      <c r="ED274" s="10" cm="1">
        <f t="array" aca="1" ref="ED274" ca="1">(1-$B$18)*SUMPRODUCT(OFFSET($BO$15,0,0,$B$14,1), 1*(_xlfn._xlws.FILTER(OFFSET($O$15,0,$DN274,$B$8,1),OFFSET($M$15,0,0,$B$8,1))=ED$13), 1*(_xlfn._xlws.FILTER(OFFSET($O$15,0,$DO274,$B$8,1),OFFSET($M$15,0,0,$B$8,1))=ED$14))   /   SUM(OFFSET($BO$15,0,0,$B$14,1)) + $B$18/($B$19*$B$19*($DN274&lt;&gt;$DO274) + $B$19*($DN274=$DO274))</f>
        <v>3.7037037037037035E-4</v>
      </c>
      <c r="EE274" s="10" cm="1">
        <f t="array" aca="1" ref="EE274" ca="1">(1-$B$18)*SUMPRODUCT(OFFSET($BO$15,0,0,$B$14,1), 1*(_xlfn._xlws.FILTER(OFFSET($O$15,0,$DN274,$B$8,1),OFFSET($M$15,0,0,$B$8,1))=EE$13), 1*(_xlfn._xlws.FILTER(OFFSET($O$15,0,$DO274,$B$8,1),OFFSET($M$15,0,0,$B$8,1))=EE$14))   /   SUM(OFFSET($BO$15,0,0,$B$14,1)) + $B$18/($B$19*$B$19*($DN274&lt;&gt;$DO274) + $B$19*($DN274=$DO274))</f>
        <v>3.7037037037037035E-4</v>
      </c>
      <c r="EF274" s="10" cm="1">
        <f t="array" aca="1" ref="EF274" ca="1">(1-$B$18)*SUMPRODUCT(OFFSET($BO$15,0,0,$B$14,1), 1*(_xlfn._xlws.FILTER(OFFSET($O$15,0,$DN274,$B$8,1),OFFSET($M$15,0,0,$B$8,1))=EF$13), 1*(_xlfn._xlws.FILTER(OFFSET($O$15,0,$DO274,$B$8,1),OFFSET($M$15,0,0,$B$8,1))=EF$14))   /   SUM(OFFSET($BO$15,0,0,$B$14,1)) + $B$18/($B$19*$B$19*($DN274&lt;&gt;$DO274) + $B$19*($DN274=$DO274))</f>
        <v>3.7037037037037035E-4</v>
      </c>
      <c r="EG274" s="10" cm="1">
        <f t="array" aca="1" ref="EG274" ca="1">(1-$B$18)*SUMPRODUCT(OFFSET($BO$15,0,0,$B$14,1), 1*(_xlfn._xlws.FILTER(OFFSET($O$15,0,$DN274,$B$8,1),OFFSET($M$15,0,0,$B$8,1))=EG$13), 1*(_xlfn._xlws.FILTER(OFFSET($O$15,0,$DO274,$B$8,1),OFFSET($M$15,0,0,$B$8,1))=EG$14))   /   SUM(OFFSET($BO$15,0,0,$B$14,1)) + $B$18/($B$19*$B$19*($DN274&lt;&gt;$DO274) + $B$19*($DN274=$DO274))</f>
        <v>0.97037037037037033</v>
      </c>
      <c r="EH274" s="10" cm="1">
        <f t="array" aca="1" ref="EH274" ca="1">(1-$B$18)*SUMPRODUCT(OFFSET($BO$15,0,0,$B$14,1), 1*(_xlfn._xlws.FILTER(OFFSET($O$15,0,$DN274,$B$8,1),OFFSET($M$15,0,0,$B$8,1))=EH$13), 1*(_xlfn._xlws.FILTER(OFFSET($O$15,0,$DO274,$B$8,1),OFFSET($M$15,0,0,$B$8,1))=EH$14))   /   SUM(OFFSET($BO$15,0,0,$B$14,1)) + $B$18/($B$19*$B$19*($DN274&lt;&gt;$DO274) + $B$19*($DN274=$DO274))</f>
        <v>3.7037037037037035E-4</v>
      </c>
      <c r="EI274" s="10" cm="1">
        <f t="array" aca="1" ref="EI274" ca="1">(1-$B$18)*SUMPRODUCT(OFFSET($BO$15,0,0,$B$14,1), 1*(_xlfn._xlws.FILTER(OFFSET($O$15,0,$DN274,$B$8,1),OFFSET($M$15,0,0,$B$8,1))=EI$13), 1*(_xlfn._xlws.FILTER(OFFSET($O$15,0,$DO274,$B$8,1),OFFSET($M$15,0,0,$B$8,1))=EI$14))   /   SUM(OFFSET($BO$15,0,0,$B$14,1)) + $B$18/($B$19*$B$19*($DN274&lt;&gt;$DO274) + $B$19*($DN274=$DO274))</f>
        <v>3.7037037037037035E-4</v>
      </c>
      <c r="EJ274" s="10" cm="1">
        <f t="array" aca="1" ref="EJ274" ca="1">(1-$B$18)*SUMPRODUCT(OFFSET($BO$15,0,0,$B$14,1), 1*(_xlfn._xlws.FILTER(OFFSET($O$15,0,$DN274,$B$8,1),OFFSET($M$15,0,0,$B$8,1))=EJ$13), 1*(_xlfn._xlws.FILTER(OFFSET($O$15,0,$DO274,$B$8,1),OFFSET($M$15,0,0,$B$8,1))=EJ$14))   /   SUM(OFFSET($BO$15,0,0,$B$14,1)) + $B$18/($B$19*$B$19*($DN274&lt;&gt;$DO274) + $B$19*($DN274=$DO274))</f>
        <v>3.7037037037037035E-4</v>
      </c>
      <c r="EK274" s="10" cm="1">
        <f t="array" aca="1" ref="EK274" ca="1">(1-$B$18)*SUMPRODUCT(OFFSET($BO$15,0,0,$B$14,1), 1*(_xlfn._xlws.FILTER(OFFSET($O$15,0,$DN274,$B$8,1),OFFSET($M$15,0,0,$B$8,1))=EK$13), 1*(_xlfn._xlws.FILTER(OFFSET($O$15,0,$DO274,$B$8,1),OFFSET($M$15,0,0,$B$8,1))=EK$14))   /   SUM(OFFSET($BO$15,0,0,$B$14,1)) + $B$18/($B$19*$B$19*($DN274&lt;&gt;$DO274) + $B$19*($DN274=$DO274))</f>
        <v>3.7037037037037035E-4</v>
      </c>
      <c r="EL274" s="10" cm="1">
        <f t="array" aca="1" ref="EL274" ca="1">(1-$B$18)*SUMPRODUCT(OFFSET($BO$15,0,0,$B$14,1), 1*(_xlfn._xlws.FILTER(OFFSET($O$15,0,$DN274,$B$8,1),OFFSET($M$15,0,0,$B$8,1))=EL$13), 1*(_xlfn._xlws.FILTER(OFFSET($O$15,0,$DO274,$B$8,1),OFFSET($M$15,0,0,$B$8,1))=EL$14))   /   SUM(OFFSET($BO$15,0,0,$B$14,1)) + $B$18/($B$19*$B$19*($DN274&lt;&gt;$DO274) + $B$19*($DN274=$DO274))</f>
        <v>3.7037037037037035E-4</v>
      </c>
      <c r="EM274" s="10" cm="1">
        <f t="array" aca="1" ref="EM274" ca="1">(1-$B$18)*SUMPRODUCT(OFFSET($BO$15,0,0,$B$14,1), 1*(_xlfn._xlws.FILTER(OFFSET($O$15,0,$DN274,$B$8,1),OFFSET($M$15,0,0,$B$8,1))=EM$13), 1*(_xlfn._xlws.FILTER(OFFSET($O$15,0,$DO274,$B$8,1),OFFSET($M$15,0,0,$B$8,1))=EM$14))   /   SUM(OFFSET($BO$15,0,0,$B$14,1)) + $B$18/($B$19*$B$19*($DN274&lt;&gt;$DO274) + $B$19*($DN274=$DO274))</f>
        <v>3.7037037037037035E-4</v>
      </c>
      <c r="EN274" s="10" cm="1">
        <f t="array" aca="1" ref="EN274" ca="1">(1-$B$18)*SUMPRODUCT(OFFSET($BO$15,0,0,$B$14,1), 1*(_xlfn._xlws.FILTER(OFFSET($O$15,0,$DN274,$B$8,1),OFFSET($M$15,0,0,$B$8,1))=EN$13), 1*(_xlfn._xlws.FILTER(OFFSET($O$15,0,$DO274,$B$8,1),OFFSET($M$15,0,0,$B$8,1))=EN$14))   /   SUM(OFFSET($BO$15,0,0,$B$14,1)) + $B$18/($B$19*$B$19*($DN274&lt;&gt;$DO274) + $B$19*($DN274=$DO274))</f>
        <v>3.7037037037037035E-4</v>
      </c>
      <c r="EO274" s="10" cm="1">
        <f t="array" aca="1" ref="EO274" ca="1">(1-$B$18)*SUMPRODUCT(OFFSET($BO$15,0,0,$B$14,1), 1*(_xlfn._xlws.FILTER(OFFSET($O$15,0,$DN274,$B$8,1),OFFSET($M$15,0,0,$B$8,1))=EO$13), 1*(_xlfn._xlws.FILTER(OFFSET($O$15,0,$DO274,$B$8,1),OFFSET($M$15,0,0,$B$8,1))=EO$14))   /   SUM(OFFSET($BO$15,0,0,$B$14,1)) + $B$18/($B$19*$B$19*($DN274&lt;&gt;$DO274) + $B$19*($DN274=$DO274))</f>
        <v>3.7037037037037035E-4</v>
      </c>
      <c r="EP274" s="10" cm="1">
        <f t="array" aca="1" ref="EP274" ca="1">(1-$B$18)*SUMPRODUCT(OFFSET($BO$15,0,0,$B$14,1), 1*(_xlfn._xlws.FILTER(OFFSET($O$15,0,$DN274,$B$8,1),OFFSET($M$15,0,0,$B$8,1))=EP$13), 1*(_xlfn._xlws.FILTER(OFFSET($O$15,0,$DO274,$B$8,1),OFFSET($M$15,0,0,$B$8,1))=EP$14))   /   SUM(OFFSET($BO$15,0,0,$B$14,1)) + $B$18/($B$19*$B$19*($DN274&lt;&gt;$DO274) + $B$19*($DN274=$DO274))</f>
        <v>3.7037037037037035E-4</v>
      </c>
      <c r="EQ274" s="10" cm="1">
        <f t="array" aca="1" ref="EQ274" ca="1">(1-$B$18)*SUMPRODUCT(OFFSET($BO$15,0,0,$B$14,1), 1*(_xlfn._xlws.FILTER(OFFSET($O$15,0,$DN274,$B$8,1),OFFSET($M$15,0,0,$B$8,1))=EQ$13), 1*(_xlfn._xlws.FILTER(OFFSET($O$15,0,$DO274,$B$8,1),OFFSET($M$15,0,0,$B$8,1))=EQ$14))   /   SUM(OFFSET($BO$15,0,0,$B$14,1)) + $B$18/($B$19*$B$19*($DN274&lt;&gt;$DO274) + $B$19*($DN274=$DO274))</f>
        <v>3.7037037037037035E-4</v>
      </c>
      <c r="ER274" s="10" cm="1">
        <f t="array" aca="1" ref="ER274" ca="1">(1-$B$18)*SUMPRODUCT(OFFSET($BO$15,0,0,$B$14,1), 1*(_xlfn._xlws.FILTER(OFFSET($O$15,0,$DN274,$B$8,1),OFFSET($M$15,0,0,$B$8,1))=ER$13), 1*(_xlfn._xlws.FILTER(OFFSET($O$15,0,$DO274,$B$8,1),OFFSET($M$15,0,0,$B$8,1))=ER$14))   /   SUM(OFFSET($BO$15,0,0,$B$14,1)) + $B$18/($B$19*$B$19*($DN274&lt;&gt;$DO274) + $B$19*($DN274=$DO274))</f>
        <v>3.7037037037037035E-4</v>
      </c>
      <c r="ES274" s="10" cm="1">
        <f t="array" aca="1" ref="ES274" ca="1">(1-$B$18)*SUMPRODUCT(OFFSET($BO$15,0,0,$B$14,1), 1*(_xlfn._xlws.FILTER(OFFSET($O$15,0,$DN274,$B$8,1),OFFSET($M$15,0,0,$B$8,1))=ES$13), 1*(_xlfn._xlws.FILTER(OFFSET($O$15,0,$DO274,$B$8,1),OFFSET($M$15,0,0,$B$8,1))=ES$14))   /   SUM(OFFSET($BO$15,0,0,$B$14,1)) + $B$18/($B$19*$B$19*($DN274&lt;&gt;$DO274) + $B$19*($DN274=$DO274))</f>
        <v>3.7037037037037035E-4</v>
      </c>
      <c r="ET274" s="10" cm="1">
        <f t="array" aca="1" ref="ET274" ca="1">(1-$B$18)*SUMPRODUCT(OFFSET($BO$15,0,0,$B$14,1), 1*(_xlfn._xlws.FILTER(OFFSET($O$15,0,$DN274,$B$8,1),OFFSET($M$15,0,0,$B$8,1))=ET$13), 1*(_xlfn._xlws.FILTER(OFFSET($O$15,0,$DO274,$B$8,1),OFFSET($M$15,0,0,$B$8,1))=ET$14))   /   SUM(OFFSET($BO$15,0,0,$B$14,1)) + $B$18/($B$19*$B$19*($DN274&lt;&gt;$DO274) + $B$19*($DN274=$DO274))</f>
        <v>3.7037037037037035E-4</v>
      </c>
      <c r="EU274" s="10" cm="1">
        <f t="array" aca="1" ref="EU274" ca="1">(1-$B$18)*SUMPRODUCT(OFFSET($BO$15,0,0,$B$14,1), 1*(_xlfn._xlws.FILTER(OFFSET($O$15,0,$DN274,$B$8,1),OFFSET($M$15,0,0,$B$8,1))=EU$13), 1*(_xlfn._xlws.FILTER(OFFSET($O$15,0,$DO274,$B$8,1),OFFSET($M$15,0,0,$B$8,1))=EU$14))   /   SUM(OFFSET($BO$15,0,0,$B$14,1)) + $B$18/($B$19*$B$19*($DN274&lt;&gt;$DO274) + $B$19*($DN274=$DO274))</f>
        <v>3.7037037037037035E-4</v>
      </c>
      <c r="EV274" s="10" cm="1">
        <f t="array" aca="1" ref="EV274" ca="1">(1-$B$18)*SUMPRODUCT(OFFSET($BO$15,0,0,$B$14,1), 1*(_xlfn._xlws.FILTER(OFFSET($O$15,0,$DN274,$B$8,1),OFFSET($M$15,0,0,$B$8,1))=EV$13), 1*(_xlfn._xlws.FILTER(OFFSET($O$15,0,$DO274,$B$8,1),OFFSET($M$15,0,0,$B$8,1))=EV$14))   /   SUM(OFFSET($BO$15,0,0,$B$14,1)) + $B$18/($B$19*$B$19*($DN274&lt;&gt;$DO274) + $B$19*($DN274=$DO274))</f>
        <v>3.7037037037037035E-4</v>
      </c>
      <c r="EW274" s="10" cm="1">
        <f t="array" aca="1" ref="EW274" ca="1">(1-$B$18)*SUMPRODUCT(OFFSET($BO$15,0,0,$B$14,1), 1*(_xlfn._xlws.FILTER(OFFSET($O$15,0,$DN274,$B$8,1),OFFSET($M$15,0,0,$B$8,1))=EW$13), 1*(_xlfn._xlws.FILTER(OFFSET($O$15,0,$DO274,$B$8,1),OFFSET($M$15,0,0,$B$8,1))=EW$14))   /   SUM(OFFSET($BO$15,0,0,$B$14,1)) + $B$18/($B$19*$B$19*($DN274&lt;&gt;$DO274) + $B$19*($DN274=$DO274))</f>
        <v>3.7037037037037035E-4</v>
      </c>
      <c r="EX274" s="10" cm="1">
        <f t="array" aca="1" ref="EX274" ca="1">(1-$B$18)*SUMPRODUCT(OFFSET($BO$15,0,0,$B$14,1), 1*(_xlfn._xlws.FILTER(OFFSET($O$15,0,$DN274,$B$8,1),OFFSET($M$15,0,0,$B$8,1))=EX$13), 1*(_xlfn._xlws.FILTER(OFFSET($O$15,0,$DO274,$B$8,1),OFFSET($M$15,0,0,$B$8,1))=EX$14))   /   SUM(OFFSET($BO$15,0,0,$B$14,1)) + $B$18/($B$19*$B$19*($DN274&lt;&gt;$DO274) + $B$19*($DN274=$DO274))</f>
        <v>3.7037037037037035E-4</v>
      </c>
      <c r="EY274" s="10" cm="1">
        <f t="array" aca="1" ref="EY274" ca="1">(1-$B$18)*SUMPRODUCT(OFFSET($BO$15,0,0,$B$14,1), 1*(_xlfn._xlws.FILTER(OFFSET($O$15,0,$DN274,$B$8,1),OFFSET($M$15,0,0,$B$8,1))=EY$13), 1*(_xlfn._xlws.FILTER(OFFSET($O$15,0,$DO274,$B$8,1),OFFSET($M$15,0,0,$B$8,1))=EY$14))   /   SUM(OFFSET($BO$15,0,0,$B$14,1)) + $B$18/($B$19*$B$19*($DN274&lt;&gt;$DO274) + $B$19*($DN274=$DO274))</f>
        <v>3.7037037037037035E-4</v>
      </c>
      <c r="EZ274" s="10" cm="1">
        <f t="array" aca="1" ref="EZ274" ca="1">(1-$B$18)*SUMPRODUCT(OFFSET($BO$15,0,0,$B$14,1), 1*(_xlfn._xlws.FILTER(OFFSET($O$15,0,$DN274,$B$8,1),OFFSET($M$15,0,0,$B$8,1))=EZ$13), 1*(_xlfn._xlws.FILTER(OFFSET($O$15,0,$DO274,$B$8,1),OFFSET($M$15,0,0,$B$8,1))=EZ$14))   /   SUM(OFFSET($BO$15,0,0,$B$14,1)) + $B$18/($B$19*$B$19*($DN274&lt;&gt;$DO274) + $B$19*($DN274=$DO274))</f>
        <v>3.7037037037037035E-4</v>
      </c>
      <c r="FA274" s="10" cm="1">
        <f t="array" aca="1" ref="FA274" ca="1">(1-$B$18)*SUMPRODUCT(OFFSET($BO$15,0,0,$B$14,1), 1*(_xlfn._xlws.FILTER(OFFSET($O$15,0,$DN274,$B$8,1),OFFSET($M$15,0,0,$B$8,1))=FA$13), 1*(_xlfn._xlws.FILTER(OFFSET($O$15,0,$DO274,$B$8,1),OFFSET($M$15,0,0,$B$8,1))=FA$14))   /   SUM(OFFSET($BO$15,0,0,$B$14,1)) + $B$18/($B$19*$B$19*($DN274&lt;&gt;$DO274) + $B$19*($DN274=$DO274))</f>
        <v>3.7037037037037035E-4</v>
      </c>
      <c r="FB274" s="10" cm="1">
        <f t="array" aca="1" ref="FB274" ca="1">(1-$B$18)*SUMPRODUCT(OFFSET($BO$15,0,0,$B$14,1), 1*(_xlfn._xlws.FILTER(OFFSET($O$15,0,$DN274,$B$8,1),OFFSET($M$15,0,0,$B$8,1))=FB$13), 1*(_xlfn._xlws.FILTER(OFFSET($O$15,0,$DO274,$B$8,1),OFFSET($M$15,0,0,$B$8,1))=FB$14))   /   SUM(OFFSET($BO$15,0,0,$B$14,1)) + $B$18/($B$19*$B$19*($DN274&lt;&gt;$DO274) + $B$19*($DN274=$DO274))</f>
        <v>3.7037037037037035E-4</v>
      </c>
      <c r="FC274" s="10" cm="1">
        <f t="array" aca="1" ref="FC274" ca="1">(1-$B$18)*SUMPRODUCT(OFFSET($BO$15,0,0,$B$14,1), 1*(_xlfn._xlws.FILTER(OFFSET($O$15,0,$DN274,$B$8,1),OFFSET($M$15,0,0,$B$8,1))=FC$13), 1*(_xlfn._xlws.FILTER(OFFSET($O$15,0,$DO274,$B$8,1),OFFSET($M$15,0,0,$B$8,1))=FC$14))   /   SUM(OFFSET($BO$15,0,0,$B$14,1)) + $B$18/($B$19*$B$19*($DN274&lt;&gt;$DO274) + $B$19*($DN274=$DO274))</f>
        <v>3.7037037037037035E-4</v>
      </c>
      <c r="FD274" s="10" cm="1">
        <f t="array" aca="1" ref="FD274" ca="1">(1-$B$18)*SUMPRODUCT(OFFSET($BO$15,0,0,$B$14,1), 1*(_xlfn._xlws.FILTER(OFFSET($O$15,0,$DN274,$B$8,1),OFFSET($M$15,0,0,$B$8,1))=FD$13), 1*(_xlfn._xlws.FILTER(OFFSET($O$15,0,$DO274,$B$8,1),OFFSET($M$15,0,0,$B$8,1))=FD$14))   /   SUM(OFFSET($BO$15,0,0,$B$14,1)) + $B$18/($B$19*$B$19*($DN274&lt;&gt;$DO274) + $B$19*($DN274=$DO274))</f>
        <v>3.7037037037037035E-4</v>
      </c>
      <c r="FE274" s="10" cm="1">
        <f t="array" aca="1" ref="FE274" ca="1">(1-$B$18)*SUMPRODUCT(OFFSET($BO$15,0,0,$B$14,1), 1*(_xlfn._xlws.FILTER(OFFSET($O$15,0,$DN274,$B$8,1),OFFSET($M$15,0,0,$B$8,1))=FE$13), 1*(_xlfn._xlws.FILTER(OFFSET($O$15,0,$DO274,$B$8,1),OFFSET($M$15,0,0,$B$8,1))=FE$14))   /   SUM(OFFSET($BO$15,0,0,$B$14,1)) + $B$18/($B$19*$B$19*($DN274&lt;&gt;$DO274) + $B$19*($DN274=$DO274))</f>
        <v>3.7037037037037035E-4</v>
      </c>
      <c r="FF274" s="10" cm="1">
        <f t="array" aca="1" ref="FF274" ca="1">(1-$B$18)*SUMPRODUCT(OFFSET($BO$15,0,0,$B$14,1), 1*(_xlfn._xlws.FILTER(OFFSET($O$15,0,$DN274,$B$8,1),OFFSET($M$15,0,0,$B$8,1))=FF$13), 1*(_xlfn._xlws.FILTER(OFFSET($O$15,0,$DO274,$B$8,1),OFFSET($M$15,0,0,$B$8,1))=FF$14))   /   SUM(OFFSET($BO$15,0,0,$B$14,1)) + $B$18/($B$19*$B$19*($DN274&lt;&gt;$DO274) + $B$19*($DN274=$DO274))</f>
        <v>3.7037037037037035E-4</v>
      </c>
      <c r="FG274" s="10" cm="1">
        <f t="array" aca="1" ref="FG274" ca="1">(1-$B$18)*SUMPRODUCT(OFFSET($BO$15,0,0,$B$14,1), 1*(_xlfn._xlws.FILTER(OFFSET($O$15,0,$DN274,$B$8,1),OFFSET($M$15,0,0,$B$8,1))=FG$13), 1*(_xlfn._xlws.FILTER(OFFSET($O$15,0,$DO274,$B$8,1),OFFSET($M$15,0,0,$B$8,1))=FG$14))   /   SUM(OFFSET($BO$15,0,0,$B$14,1)) + $B$18/($B$19*$B$19*($DN274&lt;&gt;$DO274) + $B$19*($DN274=$DO274))</f>
        <v>3.7037037037037035E-4</v>
      </c>
      <c r="FH274" s="10" cm="1">
        <f t="array" aca="1" ref="FH274" ca="1">(1-$B$18)*SUMPRODUCT(OFFSET($BO$15,0,0,$B$14,1), 1*(_xlfn._xlws.FILTER(OFFSET($O$15,0,$DN274,$B$8,1),OFFSET($M$15,0,0,$B$8,1))=FH$13), 1*(_xlfn._xlws.FILTER(OFFSET($O$15,0,$DO274,$B$8,1),OFFSET($M$15,0,0,$B$8,1))=FH$14))   /   SUM(OFFSET($BO$15,0,0,$B$14,1)) + $B$18/($B$19*$B$19*($DN274&lt;&gt;$DO274) + $B$19*($DN274=$DO274))</f>
        <v>3.7037037037037035E-4</v>
      </c>
      <c r="FI274" s="10" cm="1">
        <f t="array" aca="1" ref="FI274" ca="1">(1-$B$18)*SUMPRODUCT(OFFSET($BO$15,0,0,$B$14,1), 1*(_xlfn._xlws.FILTER(OFFSET($O$15,0,$DN274,$B$8,1),OFFSET($M$15,0,0,$B$8,1))=FI$13), 1*(_xlfn._xlws.FILTER(OFFSET($O$15,0,$DO274,$B$8,1),OFFSET($M$15,0,0,$B$8,1))=FI$14))   /   SUM(OFFSET($BO$15,0,0,$B$14,1)) + $B$18/($B$19*$B$19*($DN274&lt;&gt;$DO274) + $B$19*($DN274=$DO274))</f>
        <v>3.7037037037037035E-4</v>
      </c>
      <c r="FJ274" s="10" cm="1">
        <f t="array" aca="1" ref="FJ274" ca="1">(1-$B$18)*SUMPRODUCT(OFFSET($BO$15,0,0,$B$14,1), 1*(_xlfn._xlws.FILTER(OFFSET($O$15,0,$DN274,$B$8,1),OFFSET($M$15,0,0,$B$8,1))=FJ$13), 1*(_xlfn._xlws.FILTER(OFFSET($O$15,0,$DO274,$B$8,1),OFFSET($M$15,0,0,$B$8,1))=FJ$14))   /   SUM(OFFSET($BO$15,0,0,$B$14,1)) + $B$18/($B$19*$B$19*($DN274&lt;&gt;$DO274) + $B$19*($DN274=$DO274))</f>
        <v>3.7037037037037035E-4</v>
      </c>
      <c r="FK274" s="10" cm="1">
        <f t="array" aca="1" ref="FK274" ca="1">(1-$B$18)*SUMPRODUCT(OFFSET($BO$15,0,0,$B$14,1), 1*(_xlfn._xlws.FILTER(OFFSET($O$15,0,$DN274,$B$8,1),OFFSET($M$15,0,0,$B$8,1))=FK$13), 1*(_xlfn._xlws.FILTER(OFFSET($O$15,0,$DO274,$B$8,1),OFFSET($M$15,0,0,$B$8,1))=FK$14))   /   SUM(OFFSET($BO$15,0,0,$B$14,1)) + $B$18/($B$19*$B$19*($DN274&lt;&gt;$DO274) + $B$19*($DN274=$DO274))</f>
        <v>3.7037037037037035E-4</v>
      </c>
      <c r="FL274" s="10" cm="1">
        <f t="array" aca="1" ref="FL274" ca="1">(1-$B$18)*SUMPRODUCT(OFFSET($BO$15,0,0,$B$14,1), 1*(_xlfn._xlws.FILTER(OFFSET($O$15,0,$DN274,$B$8,1),OFFSET($M$15,0,0,$B$8,1))=FL$13), 1*(_xlfn._xlws.FILTER(OFFSET($O$15,0,$DO274,$B$8,1),OFFSET($M$15,0,0,$B$8,1))=FL$14))   /   SUM(OFFSET($BO$15,0,0,$B$14,1)) + $B$18/($B$19*$B$19*($DN274&lt;&gt;$DO274) + $B$19*($DN274=$DO274))</f>
        <v>3.7037037037037035E-4</v>
      </c>
      <c r="FM274" s="10" cm="1">
        <f t="array" aca="1" ref="FM274" ca="1">(1-$B$18)*SUMPRODUCT(OFFSET($BO$15,0,0,$B$14,1), 1*(_xlfn._xlws.FILTER(OFFSET($O$15,0,$DN274,$B$8,1),OFFSET($M$15,0,0,$B$8,1))=FM$13), 1*(_xlfn._xlws.FILTER(OFFSET($O$15,0,$DO274,$B$8,1),OFFSET($M$15,0,0,$B$8,1))=FM$14))   /   SUM(OFFSET($BO$15,0,0,$B$14,1)) + $B$18/($B$19*$B$19*($DN274&lt;&gt;$DO274) + $B$19*($DN274=$DO274))</f>
        <v>3.7037037037037035E-4</v>
      </c>
      <c r="FN274" s="10" cm="1">
        <f t="array" aca="1" ref="FN274" ca="1">(1-$B$18)*SUMPRODUCT(OFFSET($BO$15,0,0,$B$14,1), 1*(_xlfn._xlws.FILTER(OFFSET($O$15,0,$DN274,$B$8,1),OFFSET($M$15,0,0,$B$8,1))=FN$13), 1*(_xlfn._xlws.FILTER(OFFSET($O$15,0,$DO274,$B$8,1),OFFSET($M$15,0,0,$B$8,1))=FN$14))   /   SUM(OFFSET($BO$15,0,0,$B$14,1)) + $B$18/($B$19*$B$19*($DN274&lt;&gt;$DO274) + $B$19*($DN274=$DO274))</f>
        <v>3.7037037037037035E-4</v>
      </c>
      <c r="FO274" s="10" cm="1">
        <f t="array" aca="1" ref="FO274" ca="1">(1-$B$18)*SUMPRODUCT(OFFSET($BO$15,0,0,$B$14,1), 1*(_xlfn._xlws.FILTER(OFFSET($O$15,0,$DN274,$B$8,1),OFFSET($M$15,0,0,$B$8,1))=FO$13), 1*(_xlfn._xlws.FILTER(OFFSET($O$15,0,$DO274,$B$8,1),OFFSET($M$15,0,0,$B$8,1))=FO$14))   /   SUM(OFFSET($BO$15,0,0,$B$14,1)) + $B$18/($B$19*$B$19*($DN274&lt;&gt;$DO274) + $B$19*($DN274=$DO274))</f>
        <v>3.7037037037037035E-4</v>
      </c>
      <c r="FP274" s="10" cm="1">
        <f t="array" aca="1" ref="FP274" ca="1">(1-$B$18)*SUMPRODUCT(OFFSET($BO$15,0,0,$B$14,1), 1*(_xlfn._xlws.FILTER(OFFSET($O$15,0,$DN274,$B$8,1),OFFSET($M$15,0,0,$B$8,1))=FP$13), 1*(_xlfn._xlws.FILTER(OFFSET($O$15,0,$DO274,$B$8,1),OFFSET($M$15,0,0,$B$8,1))=FP$14))   /   SUM(OFFSET($BO$15,0,0,$B$14,1)) + $B$18/($B$19*$B$19*($DN274&lt;&gt;$DO274) + $B$19*($DN274=$DO274))</f>
        <v>3.7037037037037035E-4</v>
      </c>
      <c r="FQ274" s="10" cm="1">
        <f t="array" aca="1" ref="FQ274" ca="1">(1-$B$18)*SUMPRODUCT(OFFSET($BO$15,0,0,$B$14,1), 1*(_xlfn._xlws.FILTER(OFFSET($O$15,0,$DN274,$B$8,1),OFFSET($M$15,0,0,$B$8,1))=FQ$13), 1*(_xlfn._xlws.FILTER(OFFSET($O$15,0,$DO274,$B$8,1),OFFSET($M$15,0,0,$B$8,1))=FQ$14))   /   SUM(OFFSET($BO$15,0,0,$B$14,1)) + $B$18/($B$19*$B$19*($DN274&lt;&gt;$DO274) + $B$19*($DN274=$DO274))</f>
        <v>3.7037037037037035E-4</v>
      </c>
      <c r="FR274" s="10" cm="1">
        <f t="array" aca="1" ref="FR274" ca="1">(1-$B$18)*SUMPRODUCT(OFFSET($BO$15,0,0,$B$14,1), 1*(_xlfn._xlws.FILTER(OFFSET($O$15,0,$DN274,$B$8,1),OFFSET($M$15,0,0,$B$8,1))=FR$13), 1*(_xlfn._xlws.FILTER(OFFSET($O$15,0,$DO274,$B$8,1),OFFSET($M$15,0,0,$B$8,1))=FR$14))   /   SUM(OFFSET($BO$15,0,0,$B$14,1)) + $B$18/($B$19*$B$19*($DN274&lt;&gt;$DO274) + $B$19*($DN274=$DO274))</f>
        <v>3.7037037037037035E-4</v>
      </c>
      <c r="FS274" s="10" cm="1">
        <f t="array" aca="1" ref="FS274" ca="1">(1-$B$18)*SUMPRODUCT(OFFSET($BO$15,0,0,$B$14,1), 1*(_xlfn._xlws.FILTER(OFFSET($O$15,0,$DN274,$B$8,1),OFFSET($M$15,0,0,$B$8,1))=FS$13), 1*(_xlfn._xlws.FILTER(OFFSET($O$15,0,$DO274,$B$8,1),OFFSET($M$15,0,0,$B$8,1))=FS$14))   /   SUM(OFFSET($BO$15,0,0,$B$14,1)) + $B$18/($B$19*$B$19*($DN274&lt;&gt;$DO274) + $B$19*($DN274=$DO274))</f>
        <v>3.7037037037037035E-4</v>
      </c>
      <c r="FT274" s="10" cm="1">
        <f t="array" aca="1" ref="FT274" ca="1">(1-$B$18)*SUMPRODUCT(OFFSET($BO$15,0,0,$B$14,1), 1*(_xlfn._xlws.FILTER(OFFSET($O$15,0,$DN274,$B$8,1),OFFSET($M$15,0,0,$B$8,1))=FT$13), 1*(_xlfn._xlws.FILTER(OFFSET($O$15,0,$DO274,$B$8,1),OFFSET($M$15,0,0,$B$8,1))=FT$14))   /   SUM(OFFSET($BO$15,0,0,$B$14,1)) + $B$18/($B$19*$B$19*($DN274&lt;&gt;$DO274) + $B$19*($DN274=$DO274))</f>
        <v>3.7037037037037035E-4</v>
      </c>
      <c r="FU274" s="10" cm="1">
        <f t="array" aca="1" ref="FU274" ca="1">(1-$B$18)*SUMPRODUCT(OFFSET($BO$15,0,0,$B$14,1), 1*(_xlfn._xlws.FILTER(OFFSET($O$15,0,$DN274,$B$8,1),OFFSET($M$15,0,0,$B$8,1))=FU$13), 1*(_xlfn._xlws.FILTER(OFFSET($O$15,0,$DO274,$B$8,1),OFFSET($M$15,0,0,$B$8,1))=FU$14))   /   SUM(OFFSET($BO$15,0,0,$B$14,1)) + $B$18/($B$19*$B$19*($DN274&lt;&gt;$DO274) + $B$19*($DN274=$DO274))</f>
        <v>3.7037037037037035E-4</v>
      </c>
      <c r="FV274" s="10" cm="1">
        <f t="array" aca="1" ref="FV274" ca="1">(1-$B$18)*SUMPRODUCT(OFFSET($BO$15,0,0,$B$14,1), 1*(_xlfn._xlws.FILTER(OFFSET($O$15,0,$DN274,$B$8,1),OFFSET($M$15,0,0,$B$8,1))=FV$13), 1*(_xlfn._xlws.FILTER(OFFSET($O$15,0,$DO274,$B$8,1),OFFSET($M$15,0,0,$B$8,1))=FV$14))   /   SUM(OFFSET($BO$15,0,0,$B$14,1)) + $B$18/($B$19*$B$19*($DN274&lt;&gt;$DO274) + $B$19*($DN274=$DO274))</f>
        <v>3.7037037037037035E-4</v>
      </c>
      <c r="FW274" s="10" cm="1">
        <f t="array" aca="1" ref="FW274" ca="1">(1-$B$18)*SUMPRODUCT(OFFSET($BO$15,0,0,$B$14,1), 1*(_xlfn._xlws.FILTER(OFFSET($O$15,0,$DN274,$B$8,1),OFFSET($M$15,0,0,$B$8,1))=FW$13), 1*(_xlfn._xlws.FILTER(OFFSET($O$15,0,$DO274,$B$8,1),OFFSET($M$15,0,0,$B$8,1))=FW$14))   /   SUM(OFFSET($BO$15,0,0,$B$14,1)) + $B$18/($B$19*$B$19*($DN274&lt;&gt;$DO274) + $B$19*($DN274=$DO274))</f>
        <v>3.7037037037037035E-4</v>
      </c>
      <c r="FX274" s="10" cm="1">
        <f t="array" aca="1" ref="FX274" ca="1">(1-$B$18)*SUMPRODUCT(OFFSET($BO$15,0,0,$B$14,1), 1*(_xlfn._xlws.FILTER(OFFSET($O$15,0,$DN274,$B$8,1),OFFSET($M$15,0,0,$B$8,1))=FX$13), 1*(_xlfn._xlws.FILTER(OFFSET($O$15,0,$DO274,$B$8,1),OFFSET($M$15,0,0,$B$8,1))=FX$14))   /   SUM(OFFSET($BO$15,0,0,$B$14,1)) + $B$18/($B$19*$B$19*($DN274&lt;&gt;$DO274) + $B$19*($DN274=$DO274))</f>
        <v>3.7037037037037035E-4</v>
      </c>
      <c r="FY274" s="10" cm="1">
        <f t="array" aca="1" ref="FY274" ca="1">(1-$B$18)*SUMPRODUCT(OFFSET($BO$15,0,0,$B$14,1), 1*(_xlfn._xlws.FILTER(OFFSET($O$15,0,$DN274,$B$8,1),OFFSET($M$15,0,0,$B$8,1))=FY$13), 1*(_xlfn._xlws.FILTER(OFFSET($O$15,0,$DO274,$B$8,1),OFFSET($M$15,0,0,$B$8,1))=FY$14))   /   SUM(OFFSET($BO$15,0,0,$B$14,1)) + $B$18/($B$19*$B$19*($DN274&lt;&gt;$DO274) + $B$19*($DN274=$DO274))</f>
        <v>3.7037037037037035E-4</v>
      </c>
      <c r="FZ274" s="10" cm="1">
        <f t="array" aca="1" ref="FZ274" ca="1">(1-$B$18)*SUMPRODUCT(OFFSET($BO$15,0,0,$B$14,1), 1*(_xlfn._xlws.FILTER(OFFSET($O$15,0,$DN274,$B$8,1),OFFSET($M$15,0,0,$B$8,1))=FZ$13), 1*(_xlfn._xlws.FILTER(OFFSET($O$15,0,$DO274,$B$8,1),OFFSET($M$15,0,0,$B$8,1))=FZ$14))   /   SUM(OFFSET($BO$15,0,0,$B$14,1)) + $B$18/($B$19*$B$19*($DN274&lt;&gt;$DO274) + $B$19*($DN274=$DO274))</f>
        <v>3.7037037037037035E-4</v>
      </c>
      <c r="GA274" s="10" cm="1">
        <f t="array" aca="1" ref="GA274" ca="1">(1-$B$18)*SUMPRODUCT(OFFSET($BO$15,0,0,$B$14,1), 1*(_xlfn._xlws.FILTER(OFFSET($O$15,0,$DN274,$B$8,1),OFFSET($M$15,0,0,$B$8,1))=GA$13), 1*(_xlfn._xlws.FILTER(OFFSET($O$15,0,$DO274,$B$8,1),OFFSET($M$15,0,0,$B$8,1))=GA$14))   /   SUM(OFFSET($BO$15,0,0,$B$14,1)) + $B$18/($B$19*$B$19*($DN274&lt;&gt;$DO274) + $B$19*($DN274=$DO274))</f>
        <v>3.7037037037037035E-4</v>
      </c>
    </row>
    <row r="275" spans="118:183" x14ac:dyDescent="0.2">
      <c r="DN275" cm="1">
        <f t="array" aca="1" ref="DN275" ca="1">INDEX(_xlfn.ANCHORARRAY($CP$15), 1 + INT((ROWS($DO$15:$DO275) - 1) / ROWS(_xlfn.ANCHORARRAY($CP$15))))</f>
        <v>14</v>
      </c>
      <c r="DO275" cm="1">
        <f t="array" aca="1" ref="DO275" ca="1">INDEX(_xlfn.ANCHORARRAY($CP$15),1+MOD(ROWS($DO$15:$DO275)-1,ROWS(_xlfn.ANCHORARRAY($CP$15))))</f>
        <v>14</v>
      </c>
      <c r="DP275" s="10" cm="1">
        <f t="array" aca="1" ref="DP275" ca="1">(1-$B$18)*SUMPRODUCT(OFFSET($BO$15,0,0,$B$14,1), 1*(_xlfn._xlws.FILTER(OFFSET($O$15,0,$DN275,$B$8,1),OFFSET($M$15,0,0,$B$8,1))=DP$13), 1*(_xlfn._xlws.FILTER(OFFSET($O$15,0,$DO275,$B$8,1),OFFSET($M$15,0,0,$B$8,1))=DP$14))   /   SUM(OFFSET($BO$15,0,0,$B$14,1)) + $B$18/($B$19*$B$19*($DN275&lt;&gt;$DO275) + $B$19*($DN275=$DO275))</f>
        <v>3.3333333333333331E-3</v>
      </c>
      <c r="DQ275" s="10" cm="1">
        <f t="array" aca="1" ref="DQ275" ca="1">(1-$B$18)*SUMPRODUCT(OFFSET($BO$15,0,0,$B$14,1), 1*(_xlfn._xlws.FILTER(OFFSET($O$15,0,$DN275,$B$8,1),OFFSET($M$15,0,0,$B$8,1))=DQ$13), 1*(_xlfn._xlws.FILTER(OFFSET($O$15,0,$DO275,$B$8,1),OFFSET($M$15,0,0,$B$8,1))=DQ$14))   /   SUM(OFFSET($BO$15,0,0,$B$14,1)) + $B$18/($B$19*$B$19*($DN275&lt;&gt;$DO275) + $B$19*($DN275=$DO275))</f>
        <v>3.3333333333333331E-3</v>
      </c>
      <c r="DR275" s="10" cm="1">
        <f t="array" aca="1" ref="DR275" ca="1">(1-$B$18)*SUMPRODUCT(OFFSET($BO$15,0,0,$B$14,1), 1*(_xlfn._xlws.FILTER(OFFSET($O$15,0,$DN275,$B$8,1),OFFSET($M$15,0,0,$B$8,1))=DR$13), 1*(_xlfn._xlws.FILTER(OFFSET($O$15,0,$DO275,$B$8,1),OFFSET($M$15,0,0,$B$8,1))=DR$14))   /   SUM(OFFSET($BO$15,0,0,$B$14,1)) + $B$18/($B$19*$B$19*($DN275&lt;&gt;$DO275) + $B$19*($DN275=$DO275))</f>
        <v>3.3333333333333331E-3</v>
      </c>
      <c r="DS275" s="10" cm="1">
        <f t="array" aca="1" ref="DS275" ca="1">(1-$B$18)*SUMPRODUCT(OFFSET($BO$15,0,0,$B$14,1), 1*(_xlfn._xlws.FILTER(OFFSET($O$15,0,$DN275,$B$8,1),OFFSET($M$15,0,0,$B$8,1))=DS$13), 1*(_xlfn._xlws.FILTER(OFFSET($O$15,0,$DO275,$B$8,1),OFFSET($M$15,0,0,$B$8,1))=DS$14))   /   SUM(OFFSET($BO$15,0,0,$B$14,1)) + $B$18/($B$19*$B$19*($DN275&lt;&gt;$DO275) + $B$19*($DN275=$DO275))</f>
        <v>3.3333333333333331E-3</v>
      </c>
      <c r="DT275" s="10" cm="1">
        <f t="array" aca="1" ref="DT275" ca="1">(1-$B$18)*SUMPRODUCT(OFFSET($BO$15,0,0,$B$14,1), 1*(_xlfn._xlws.FILTER(OFFSET($O$15,0,$DN275,$B$8,1),OFFSET($M$15,0,0,$B$8,1))=DT$13), 1*(_xlfn._xlws.FILTER(OFFSET($O$15,0,$DO275,$B$8,1),OFFSET($M$15,0,0,$B$8,1))=DT$14))   /   SUM(OFFSET($BO$15,0,0,$B$14,1)) + $B$18/($B$19*$B$19*($DN275&lt;&gt;$DO275) + $B$19*($DN275=$DO275))</f>
        <v>3.3333333333333331E-3</v>
      </c>
      <c r="DU275" s="10" cm="1">
        <f t="array" aca="1" ref="DU275" ca="1">(1-$B$18)*SUMPRODUCT(OFFSET($BO$15,0,0,$B$14,1), 1*(_xlfn._xlws.FILTER(OFFSET($O$15,0,$DN275,$B$8,1),OFFSET($M$15,0,0,$B$8,1))=DU$13), 1*(_xlfn._xlws.FILTER(OFFSET($O$15,0,$DO275,$B$8,1),OFFSET($M$15,0,0,$B$8,1))=DU$14))   /   SUM(OFFSET($BO$15,0,0,$B$14,1)) + $B$18/($B$19*$B$19*($DN275&lt;&gt;$DO275) + $B$19*($DN275=$DO275))</f>
        <v>3.3333333333333331E-3</v>
      </c>
      <c r="DV275" s="10" cm="1">
        <f t="array" aca="1" ref="DV275" ca="1">(1-$B$18)*SUMPRODUCT(OFFSET($BO$15,0,0,$B$14,1), 1*(_xlfn._xlws.FILTER(OFFSET($O$15,0,$DN275,$B$8,1),OFFSET($M$15,0,0,$B$8,1))=DV$13), 1*(_xlfn._xlws.FILTER(OFFSET($O$15,0,$DO275,$B$8,1),OFFSET($M$15,0,0,$B$8,1))=DV$14))   /   SUM(OFFSET($BO$15,0,0,$B$14,1)) + $B$18/($B$19*$B$19*($DN275&lt;&gt;$DO275) + $B$19*($DN275=$DO275))</f>
        <v>3.3333333333333331E-3</v>
      </c>
      <c r="DW275" s="10" cm="1">
        <f t="array" aca="1" ref="DW275" ca="1">(1-$B$18)*SUMPRODUCT(OFFSET($BO$15,0,0,$B$14,1), 1*(_xlfn._xlws.FILTER(OFFSET($O$15,0,$DN275,$B$8,1),OFFSET($M$15,0,0,$B$8,1))=DW$13), 1*(_xlfn._xlws.FILTER(OFFSET($O$15,0,$DO275,$B$8,1),OFFSET($M$15,0,0,$B$8,1))=DW$14))   /   SUM(OFFSET($BO$15,0,0,$B$14,1)) + $B$18/($B$19*$B$19*($DN275&lt;&gt;$DO275) + $B$19*($DN275=$DO275))</f>
        <v>3.3333333333333331E-3</v>
      </c>
      <c r="DX275" s="10" cm="1">
        <f t="array" aca="1" ref="DX275" ca="1">(1-$B$18)*SUMPRODUCT(OFFSET($BO$15,0,0,$B$14,1), 1*(_xlfn._xlws.FILTER(OFFSET($O$15,0,$DN275,$B$8,1),OFFSET($M$15,0,0,$B$8,1))=DX$13), 1*(_xlfn._xlws.FILTER(OFFSET($O$15,0,$DO275,$B$8,1),OFFSET($M$15,0,0,$B$8,1))=DX$14))   /   SUM(OFFSET($BO$15,0,0,$B$14,1)) + $B$18/($B$19*$B$19*($DN275&lt;&gt;$DO275) + $B$19*($DN275=$DO275))</f>
        <v>3.3333333333333331E-3</v>
      </c>
      <c r="DY275" s="10" cm="1">
        <f t="array" aca="1" ref="DY275" ca="1">(1-$B$18)*SUMPRODUCT(OFFSET($BO$15,0,0,$B$14,1), 1*(_xlfn._xlws.FILTER(OFFSET($O$15,0,$DN275,$B$8,1),OFFSET($M$15,0,0,$B$8,1))=DY$13), 1*(_xlfn._xlws.FILTER(OFFSET($O$15,0,$DO275,$B$8,1),OFFSET($M$15,0,0,$B$8,1))=DY$14))   /   SUM(OFFSET($BO$15,0,0,$B$14,1)) + $B$18/($B$19*$B$19*($DN275&lt;&gt;$DO275) + $B$19*($DN275=$DO275))</f>
        <v>3.3333333333333331E-3</v>
      </c>
      <c r="DZ275" s="10" cm="1">
        <f t="array" aca="1" ref="DZ275" ca="1">(1-$B$18)*SUMPRODUCT(OFFSET($BO$15,0,0,$B$14,1), 1*(_xlfn._xlws.FILTER(OFFSET($O$15,0,$DN275,$B$8,1),OFFSET($M$15,0,0,$B$8,1))=DZ$13), 1*(_xlfn._xlws.FILTER(OFFSET($O$15,0,$DO275,$B$8,1),OFFSET($M$15,0,0,$B$8,1))=DZ$14))   /   SUM(OFFSET($BO$15,0,0,$B$14,1)) + $B$18/($B$19*$B$19*($DN275&lt;&gt;$DO275) + $B$19*($DN275=$DO275))</f>
        <v>3.3333333333333331E-3</v>
      </c>
      <c r="EA275" s="10" cm="1">
        <f t="array" aca="1" ref="EA275" ca="1">(1-$B$18)*SUMPRODUCT(OFFSET($BO$15,0,0,$B$14,1), 1*(_xlfn._xlws.FILTER(OFFSET($O$15,0,$DN275,$B$8,1),OFFSET($M$15,0,0,$B$8,1))=EA$13), 1*(_xlfn._xlws.FILTER(OFFSET($O$15,0,$DO275,$B$8,1),OFFSET($M$15,0,0,$B$8,1))=EA$14))   /   SUM(OFFSET($BO$15,0,0,$B$14,1)) + $B$18/($B$19*$B$19*($DN275&lt;&gt;$DO275) + $B$19*($DN275=$DO275))</f>
        <v>3.3333333333333331E-3</v>
      </c>
      <c r="EB275" s="10" cm="1">
        <f t="array" aca="1" ref="EB275" ca="1">(1-$B$18)*SUMPRODUCT(OFFSET($BO$15,0,0,$B$14,1), 1*(_xlfn._xlws.FILTER(OFFSET($O$15,0,$DN275,$B$8,1),OFFSET($M$15,0,0,$B$8,1))=EB$13), 1*(_xlfn._xlws.FILTER(OFFSET($O$15,0,$DO275,$B$8,1),OFFSET($M$15,0,0,$B$8,1))=EB$14))   /   SUM(OFFSET($BO$15,0,0,$B$14,1)) + $B$18/($B$19*$B$19*($DN275&lt;&gt;$DO275) + $B$19*($DN275=$DO275))</f>
        <v>3.3333333333333331E-3</v>
      </c>
      <c r="EC275" s="10" cm="1">
        <f t="array" aca="1" ref="EC275" ca="1">(1-$B$18)*SUMPRODUCT(OFFSET($BO$15,0,0,$B$14,1), 1*(_xlfn._xlws.FILTER(OFFSET($O$15,0,$DN275,$B$8,1),OFFSET($M$15,0,0,$B$8,1))=EC$13), 1*(_xlfn._xlws.FILTER(OFFSET($O$15,0,$DO275,$B$8,1),OFFSET($M$15,0,0,$B$8,1))=EC$14))   /   SUM(OFFSET($BO$15,0,0,$B$14,1)) + $B$18/($B$19*$B$19*($DN275&lt;&gt;$DO275) + $B$19*($DN275=$DO275))</f>
        <v>3.3333333333333331E-3</v>
      </c>
      <c r="ED275" s="10" cm="1">
        <f t="array" aca="1" ref="ED275" ca="1">(1-$B$18)*SUMPRODUCT(OFFSET($BO$15,0,0,$B$14,1), 1*(_xlfn._xlws.FILTER(OFFSET($O$15,0,$DN275,$B$8,1),OFFSET($M$15,0,0,$B$8,1))=ED$13), 1*(_xlfn._xlws.FILTER(OFFSET($O$15,0,$DO275,$B$8,1),OFFSET($M$15,0,0,$B$8,1))=ED$14))   /   SUM(OFFSET($BO$15,0,0,$B$14,1)) + $B$18/($B$19*$B$19*($DN275&lt;&gt;$DO275) + $B$19*($DN275=$DO275))</f>
        <v>3.3333333333333331E-3</v>
      </c>
      <c r="EE275" s="10" cm="1">
        <f t="array" aca="1" ref="EE275" ca="1">(1-$B$18)*SUMPRODUCT(OFFSET($BO$15,0,0,$B$14,1), 1*(_xlfn._xlws.FILTER(OFFSET($O$15,0,$DN275,$B$8,1),OFFSET($M$15,0,0,$B$8,1))=EE$13), 1*(_xlfn._xlws.FILTER(OFFSET($O$15,0,$DO275,$B$8,1),OFFSET($M$15,0,0,$B$8,1))=EE$14))   /   SUM(OFFSET($BO$15,0,0,$B$14,1)) + $B$18/($B$19*$B$19*($DN275&lt;&gt;$DO275) + $B$19*($DN275=$DO275))</f>
        <v>3.3333333333333331E-3</v>
      </c>
      <c r="EF275" s="10" cm="1">
        <f t="array" aca="1" ref="EF275" ca="1">(1-$B$18)*SUMPRODUCT(OFFSET($BO$15,0,0,$B$14,1), 1*(_xlfn._xlws.FILTER(OFFSET($O$15,0,$DN275,$B$8,1),OFFSET($M$15,0,0,$B$8,1))=EF$13), 1*(_xlfn._xlws.FILTER(OFFSET($O$15,0,$DO275,$B$8,1),OFFSET($M$15,0,0,$B$8,1))=EF$14))   /   SUM(OFFSET($BO$15,0,0,$B$14,1)) + $B$18/($B$19*$B$19*($DN275&lt;&gt;$DO275) + $B$19*($DN275=$DO275))</f>
        <v>3.3333333333333331E-3</v>
      </c>
      <c r="EG275" s="10" cm="1">
        <f t="array" aca="1" ref="EG275" ca="1">(1-$B$18)*SUMPRODUCT(OFFSET($BO$15,0,0,$B$14,1), 1*(_xlfn._xlws.FILTER(OFFSET($O$15,0,$DN275,$B$8,1),OFFSET($M$15,0,0,$B$8,1))=EG$13), 1*(_xlfn._xlws.FILTER(OFFSET($O$15,0,$DO275,$B$8,1),OFFSET($M$15,0,0,$B$8,1))=EG$14))   /   SUM(OFFSET($BO$15,0,0,$B$14,1)) + $B$18/($B$19*$B$19*($DN275&lt;&gt;$DO275) + $B$19*($DN275=$DO275))</f>
        <v>3.3333333333333331E-3</v>
      </c>
      <c r="EH275" s="10" cm="1">
        <f t="array" aca="1" ref="EH275" ca="1">(1-$B$18)*SUMPRODUCT(OFFSET($BO$15,0,0,$B$14,1), 1*(_xlfn._xlws.FILTER(OFFSET($O$15,0,$DN275,$B$8,1),OFFSET($M$15,0,0,$B$8,1))=EH$13), 1*(_xlfn._xlws.FILTER(OFFSET($O$15,0,$DO275,$B$8,1),OFFSET($M$15,0,0,$B$8,1))=EH$14))   /   SUM(OFFSET($BO$15,0,0,$B$14,1)) + $B$18/($B$19*$B$19*($DN275&lt;&gt;$DO275) + $B$19*($DN275=$DO275))</f>
        <v>0.97333333333333327</v>
      </c>
      <c r="EI275" s="10" cm="1">
        <f t="array" aca="1" ref="EI275" ca="1">(1-$B$18)*SUMPRODUCT(OFFSET($BO$15,0,0,$B$14,1), 1*(_xlfn._xlws.FILTER(OFFSET($O$15,0,$DN275,$B$8,1),OFFSET($M$15,0,0,$B$8,1))=EI$13), 1*(_xlfn._xlws.FILTER(OFFSET($O$15,0,$DO275,$B$8,1),OFFSET($M$15,0,0,$B$8,1))=EI$14))   /   SUM(OFFSET($BO$15,0,0,$B$14,1)) + $B$18/($B$19*$B$19*($DN275&lt;&gt;$DO275) + $B$19*($DN275=$DO275))</f>
        <v>3.3333333333333331E-3</v>
      </c>
      <c r="EJ275" s="10" cm="1">
        <f t="array" aca="1" ref="EJ275" ca="1">(1-$B$18)*SUMPRODUCT(OFFSET($BO$15,0,0,$B$14,1), 1*(_xlfn._xlws.FILTER(OFFSET($O$15,0,$DN275,$B$8,1),OFFSET($M$15,0,0,$B$8,1))=EJ$13), 1*(_xlfn._xlws.FILTER(OFFSET($O$15,0,$DO275,$B$8,1),OFFSET($M$15,0,0,$B$8,1))=EJ$14))   /   SUM(OFFSET($BO$15,0,0,$B$14,1)) + $B$18/($B$19*$B$19*($DN275&lt;&gt;$DO275) + $B$19*($DN275=$DO275))</f>
        <v>3.3333333333333331E-3</v>
      </c>
      <c r="EK275" s="10" cm="1">
        <f t="array" aca="1" ref="EK275" ca="1">(1-$B$18)*SUMPRODUCT(OFFSET($BO$15,0,0,$B$14,1), 1*(_xlfn._xlws.FILTER(OFFSET($O$15,0,$DN275,$B$8,1),OFFSET($M$15,0,0,$B$8,1))=EK$13), 1*(_xlfn._xlws.FILTER(OFFSET($O$15,0,$DO275,$B$8,1),OFFSET($M$15,0,0,$B$8,1))=EK$14))   /   SUM(OFFSET($BO$15,0,0,$B$14,1)) + $B$18/($B$19*$B$19*($DN275&lt;&gt;$DO275) + $B$19*($DN275=$DO275))</f>
        <v>3.3333333333333331E-3</v>
      </c>
      <c r="EL275" s="10" cm="1">
        <f t="array" aca="1" ref="EL275" ca="1">(1-$B$18)*SUMPRODUCT(OFFSET($BO$15,0,0,$B$14,1), 1*(_xlfn._xlws.FILTER(OFFSET($O$15,0,$DN275,$B$8,1),OFFSET($M$15,0,0,$B$8,1))=EL$13), 1*(_xlfn._xlws.FILTER(OFFSET($O$15,0,$DO275,$B$8,1),OFFSET($M$15,0,0,$B$8,1))=EL$14))   /   SUM(OFFSET($BO$15,0,0,$B$14,1)) + $B$18/($B$19*$B$19*($DN275&lt;&gt;$DO275) + $B$19*($DN275=$DO275))</f>
        <v>3.3333333333333331E-3</v>
      </c>
      <c r="EM275" s="10" cm="1">
        <f t="array" aca="1" ref="EM275" ca="1">(1-$B$18)*SUMPRODUCT(OFFSET($BO$15,0,0,$B$14,1), 1*(_xlfn._xlws.FILTER(OFFSET($O$15,0,$DN275,$B$8,1),OFFSET($M$15,0,0,$B$8,1))=EM$13), 1*(_xlfn._xlws.FILTER(OFFSET($O$15,0,$DO275,$B$8,1),OFFSET($M$15,0,0,$B$8,1))=EM$14))   /   SUM(OFFSET($BO$15,0,0,$B$14,1)) + $B$18/($B$19*$B$19*($DN275&lt;&gt;$DO275) + $B$19*($DN275=$DO275))</f>
        <v>3.3333333333333331E-3</v>
      </c>
      <c r="EN275" s="10" cm="1">
        <f t="array" aca="1" ref="EN275" ca="1">(1-$B$18)*SUMPRODUCT(OFFSET($BO$15,0,0,$B$14,1), 1*(_xlfn._xlws.FILTER(OFFSET($O$15,0,$DN275,$B$8,1),OFFSET($M$15,0,0,$B$8,1))=EN$13), 1*(_xlfn._xlws.FILTER(OFFSET($O$15,0,$DO275,$B$8,1),OFFSET($M$15,0,0,$B$8,1))=EN$14))   /   SUM(OFFSET($BO$15,0,0,$B$14,1)) + $B$18/($B$19*$B$19*($DN275&lt;&gt;$DO275) + $B$19*($DN275=$DO275))</f>
        <v>3.3333333333333331E-3</v>
      </c>
      <c r="EO275" s="10" cm="1">
        <f t="array" aca="1" ref="EO275" ca="1">(1-$B$18)*SUMPRODUCT(OFFSET($BO$15,0,0,$B$14,1), 1*(_xlfn._xlws.FILTER(OFFSET($O$15,0,$DN275,$B$8,1),OFFSET($M$15,0,0,$B$8,1))=EO$13), 1*(_xlfn._xlws.FILTER(OFFSET($O$15,0,$DO275,$B$8,1),OFFSET($M$15,0,0,$B$8,1))=EO$14))   /   SUM(OFFSET($BO$15,0,0,$B$14,1)) + $B$18/($B$19*$B$19*($DN275&lt;&gt;$DO275) + $B$19*($DN275=$DO275))</f>
        <v>3.3333333333333331E-3</v>
      </c>
      <c r="EP275" s="10" cm="1">
        <f t="array" aca="1" ref="EP275" ca="1">(1-$B$18)*SUMPRODUCT(OFFSET($BO$15,0,0,$B$14,1), 1*(_xlfn._xlws.FILTER(OFFSET($O$15,0,$DN275,$B$8,1),OFFSET($M$15,0,0,$B$8,1))=EP$13), 1*(_xlfn._xlws.FILTER(OFFSET($O$15,0,$DO275,$B$8,1),OFFSET($M$15,0,0,$B$8,1))=EP$14))   /   SUM(OFFSET($BO$15,0,0,$B$14,1)) + $B$18/($B$19*$B$19*($DN275&lt;&gt;$DO275) + $B$19*($DN275=$DO275))</f>
        <v>3.3333333333333331E-3</v>
      </c>
      <c r="EQ275" s="10" cm="1">
        <f t="array" aca="1" ref="EQ275" ca="1">(1-$B$18)*SUMPRODUCT(OFFSET($BO$15,0,0,$B$14,1), 1*(_xlfn._xlws.FILTER(OFFSET($O$15,0,$DN275,$B$8,1),OFFSET($M$15,0,0,$B$8,1))=EQ$13), 1*(_xlfn._xlws.FILTER(OFFSET($O$15,0,$DO275,$B$8,1),OFFSET($M$15,0,0,$B$8,1))=EQ$14))   /   SUM(OFFSET($BO$15,0,0,$B$14,1)) + $B$18/($B$19*$B$19*($DN275&lt;&gt;$DO275) + $B$19*($DN275=$DO275))</f>
        <v>3.3333333333333331E-3</v>
      </c>
      <c r="ER275" s="10" cm="1">
        <f t="array" aca="1" ref="ER275" ca="1">(1-$B$18)*SUMPRODUCT(OFFSET($BO$15,0,0,$B$14,1), 1*(_xlfn._xlws.FILTER(OFFSET($O$15,0,$DN275,$B$8,1),OFFSET($M$15,0,0,$B$8,1))=ER$13), 1*(_xlfn._xlws.FILTER(OFFSET($O$15,0,$DO275,$B$8,1),OFFSET($M$15,0,0,$B$8,1))=ER$14))   /   SUM(OFFSET($BO$15,0,0,$B$14,1)) + $B$18/($B$19*$B$19*($DN275&lt;&gt;$DO275) + $B$19*($DN275=$DO275))</f>
        <v>3.3333333333333331E-3</v>
      </c>
      <c r="ES275" s="10" cm="1">
        <f t="array" aca="1" ref="ES275" ca="1">(1-$B$18)*SUMPRODUCT(OFFSET($BO$15,0,0,$B$14,1), 1*(_xlfn._xlws.FILTER(OFFSET($O$15,0,$DN275,$B$8,1),OFFSET($M$15,0,0,$B$8,1))=ES$13), 1*(_xlfn._xlws.FILTER(OFFSET($O$15,0,$DO275,$B$8,1),OFFSET($M$15,0,0,$B$8,1))=ES$14))   /   SUM(OFFSET($BO$15,0,0,$B$14,1)) + $B$18/($B$19*$B$19*($DN275&lt;&gt;$DO275) + $B$19*($DN275=$DO275))</f>
        <v>3.3333333333333331E-3</v>
      </c>
      <c r="ET275" s="10" cm="1">
        <f t="array" aca="1" ref="ET275" ca="1">(1-$B$18)*SUMPRODUCT(OFFSET($BO$15,0,0,$B$14,1), 1*(_xlfn._xlws.FILTER(OFFSET($O$15,0,$DN275,$B$8,1),OFFSET($M$15,0,0,$B$8,1))=ET$13), 1*(_xlfn._xlws.FILTER(OFFSET($O$15,0,$DO275,$B$8,1),OFFSET($M$15,0,0,$B$8,1))=ET$14))   /   SUM(OFFSET($BO$15,0,0,$B$14,1)) + $B$18/($B$19*$B$19*($DN275&lt;&gt;$DO275) + $B$19*($DN275=$DO275))</f>
        <v>3.3333333333333331E-3</v>
      </c>
      <c r="EU275" s="10" cm="1">
        <f t="array" aca="1" ref="EU275" ca="1">(1-$B$18)*SUMPRODUCT(OFFSET($BO$15,0,0,$B$14,1), 1*(_xlfn._xlws.FILTER(OFFSET($O$15,0,$DN275,$B$8,1),OFFSET($M$15,0,0,$B$8,1))=EU$13), 1*(_xlfn._xlws.FILTER(OFFSET($O$15,0,$DO275,$B$8,1),OFFSET($M$15,0,0,$B$8,1))=EU$14))   /   SUM(OFFSET($BO$15,0,0,$B$14,1)) + $B$18/($B$19*$B$19*($DN275&lt;&gt;$DO275) + $B$19*($DN275=$DO275))</f>
        <v>3.3333333333333331E-3</v>
      </c>
      <c r="EV275" s="10" cm="1">
        <f t="array" aca="1" ref="EV275" ca="1">(1-$B$18)*SUMPRODUCT(OFFSET($BO$15,0,0,$B$14,1), 1*(_xlfn._xlws.FILTER(OFFSET($O$15,0,$DN275,$B$8,1),OFFSET($M$15,0,0,$B$8,1))=EV$13), 1*(_xlfn._xlws.FILTER(OFFSET($O$15,0,$DO275,$B$8,1),OFFSET($M$15,0,0,$B$8,1))=EV$14))   /   SUM(OFFSET($BO$15,0,0,$B$14,1)) + $B$18/($B$19*$B$19*($DN275&lt;&gt;$DO275) + $B$19*($DN275=$DO275))</f>
        <v>3.3333333333333331E-3</v>
      </c>
      <c r="EW275" s="10" cm="1">
        <f t="array" aca="1" ref="EW275" ca="1">(1-$B$18)*SUMPRODUCT(OFFSET($BO$15,0,0,$B$14,1), 1*(_xlfn._xlws.FILTER(OFFSET($O$15,0,$DN275,$B$8,1),OFFSET($M$15,0,0,$B$8,1))=EW$13), 1*(_xlfn._xlws.FILTER(OFFSET($O$15,0,$DO275,$B$8,1),OFFSET($M$15,0,0,$B$8,1))=EW$14))   /   SUM(OFFSET($BO$15,0,0,$B$14,1)) + $B$18/($B$19*$B$19*($DN275&lt;&gt;$DO275) + $B$19*($DN275=$DO275))</f>
        <v>3.3333333333333331E-3</v>
      </c>
      <c r="EX275" s="10" cm="1">
        <f t="array" aca="1" ref="EX275" ca="1">(1-$B$18)*SUMPRODUCT(OFFSET($BO$15,0,0,$B$14,1), 1*(_xlfn._xlws.FILTER(OFFSET($O$15,0,$DN275,$B$8,1),OFFSET($M$15,0,0,$B$8,1))=EX$13), 1*(_xlfn._xlws.FILTER(OFFSET($O$15,0,$DO275,$B$8,1),OFFSET($M$15,0,0,$B$8,1))=EX$14))   /   SUM(OFFSET($BO$15,0,0,$B$14,1)) + $B$18/($B$19*$B$19*($DN275&lt;&gt;$DO275) + $B$19*($DN275=$DO275))</f>
        <v>3.3333333333333331E-3</v>
      </c>
      <c r="EY275" s="10" cm="1">
        <f t="array" aca="1" ref="EY275" ca="1">(1-$B$18)*SUMPRODUCT(OFFSET($BO$15,0,0,$B$14,1), 1*(_xlfn._xlws.FILTER(OFFSET($O$15,0,$DN275,$B$8,1),OFFSET($M$15,0,0,$B$8,1))=EY$13), 1*(_xlfn._xlws.FILTER(OFFSET($O$15,0,$DO275,$B$8,1),OFFSET($M$15,0,0,$B$8,1))=EY$14))   /   SUM(OFFSET($BO$15,0,0,$B$14,1)) + $B$18/($B$19*$B$19*($DN275&lt;&gt;$DO275) + $B$19*($DN275=$DO275))</f>
        <v>3.3333333333333331E-3</v>
      </c>
      <c r="EZ275" s="10" cm="1">
        <f t="array" aca="1" ref="EZ275" ca="1">(1-$B$18)*SUMPRODUCT(OFFSET($BO$15,0,0,$B$14,1), 1*(_xlfn._xlws.FILTER(OFFSET($O$15,0,$DN275,$B$8,1),OFFSET($M$15,0,0,$B$8,1))=EZ$13), 1*(_xlfn._xlws.FILTER(OFFSET($O$15,0,$DO275,$B$8,1),OFFSET($M$15,0,0,$B$8,1))=EZ$14))   /   SUM(OFFSET($BO$15,0,0,$B$14,1)) + $B$18/($B$19*$B$19*($DN275&lt;&gt;$DO275) + $B$19*($DN275=$DO275))</f>
        <v>3.3333333333333331E-3</v>
      </c>
      <c r="FA275" s="10" cm="1">
        <f t="array" aca="1" ref="FA275" ca="1">(1-$B$18)*SUMPRODUCT(OFFSET($BO$15,0,0,$B$14,1), 1*(_xlfn._xlws.FILTER(OFFSET($O$15,0,$DN275,$B$8,1),OFFSET($M$15,0,0,$B$8,1))=FA$13), 1*(_xlfn._xlws.FILTER(OFFSET($O$15,0,$DO275,$B$8,1),OFFSET($M$15,0,0,$B$8,1))=FA$14))   /   SUM(OFFSET($BO$15,0,0,$B$14,1)) + $B$18/($B$19*$B$19*($DN275&lt;&gt;$DO275) + $B$19*($DN275=$DO275))</f>
        <v>3.3333333333333331E-3</v>
      </c>
      <c r="FB275" s="10" cm="1">
        <f t="array" aca="1" ref="FB275" ca="1">(1-$B$18)*SUMPRODUCT(OFFSET($BO$15,0,0,$B$14,1), 1*(_xlfn._xlws.FILTER(OFFSET($O$15,0,$DN275,$B$8,1),OFFSET($M$15,0,0,$B$8,1))=FB$13), 1*(_xlfn._xlws.FILTER(OFFSET($O$15,0,$DO275,$B$8,1),OFFSET($M$15,0,0,$B$8,1))=FB$14))   /   SUM(OFFSET($BO$15,0,0,$B$14,1)) + $B$18/($B$19*$B$19*($DN275&lt;&gt;$DO275) + $B$19*($DN275=$DO275))</f>
        <v>3.3333333333333331E-3</v>
      </c>
      <c r="FC275" s="10" cm="1">
        <f t="array" aca="1" ref="FC275" ca="1">(1-$B$18)*SUMPRODUCT(OFFSET($BO$15,0,0,$B$14,1), 1*(_xlfn._xlws.FILTER(OFFSET($O$15,0,$DN275,$B$8,1),OFFSET($M$15,0,0,$B$8,1))=FC$13), 1*(_xlfn._xlws.FILTER(OFFSET($O$15,0,$DO275,$B$8,1),OFFSET($M$15,0,0,$B$8,1))=FC$14))   /   SUM(OFFSET($BO$15,0,0,$B$14,1)) + $B$18/($B$19*$B$19*($DN275&lt;&gt;$DO275) + $B$19*($DN275=$DO275))</f>
        <v>3.3333333333333331E-3</v>
      </c>
      <c r="FD275" s="10" cm="1">
        <f t="array" aca="1" ref="FD275" ca="1">(1-$B$18)*SUMPRODUCT(OFFSET($BO$15,0,0,$B$14,1), 1*(_xlfn._xlws.FILTER(OFFSET($O$15,0,$DN275,$B$8,1),OFFSET($M$15,0,0,$B$8,1))=FD$13), 1*(_xlfn._xlws.FILTER(OFFSET($O$15,0,$DO275,$B$8,1),OFFSET($M$15,0,0,$B$8,1))=FD$14))   /   SUM(OFFSET($BO$15,0,0,$B$14,1)) + $B$18/($B$19*$B$19*($DN275&lt;&gt;$DO275) + $B$19*($DN275=$DO275))</f>
        <v>3.3333333333333331E-3</v>
      </c>
      <c r="FE275" s="10" cm="1">
        <f t="array" aca="1" ref="FE275" ca="1">(1-$B$18)*SUMPRODUCT(OFFSET($BO$15,0,0,$B$14,1), 1*(_xlfn._xlws.FILTER(OFFSET($O$15,0,$DN275,$B$8,1),OFFSET($M$15,0,0,$B$8,1))=FE$13), 1*(_xlfn._xlws.FILTER(OFFSET($O$15,0,$DO275,$B$8,1),OFFSET($M$15,0,0,$B$8,1))=FE$14))   /   SUM(OFFSET($BO$15,0,0,$B$14,1)) + $B$18/($B$19*$B$19*($DN275&lt;&gt;$DO275) + $B$19*($DN275=$DO275))</f>
        <v>3.3333333333333331E-3</v>
      </c>
      <c r="FF275" s="10" cm="1">
        <f t="array" aca="1" ref="FF275" ca="1">(1-$B$18)*SUMPRODUCT(OFFSET($BO$15,0,0,$B$14,1), 1*(_xlfn._xlws.FILTER(OFFSET($O$15,0,$DN275,$B$8,1),OFFSET($M$15,0,0,$B$8,1))=FF$13), 1*(_xlfn._xlws.FILTER(OFFSET($O$15,0,$DO275,$B$8,1),OFFSET($M$15,0,0,$B$8,1))=FF$14))   /   SUM(OFFSET($BO$15,0,0,$B$14,1)) + $B$18/($B$19*$B$19*($DN275&lt;&gt;$DO275) + $B$19*($DN275=$DO275))</f>
        <v>3.3333333333333331E-3</v>
      </c>
      <c r="FG275" s="10" cm="1">
        <f t="array" aca="1" ref="FG275" ca="1">(1-$B$18)*SUMPRODUCT(OFFSET($BO$15,0,0,$B$14,1), 1*(_xlfn._xlws.FILTER(OFFSET($O$15,0,$DN275,$B$8,1),OFFSET($M$15,0,0,$B$8,1))=FG$13), 1*(_xlfn._xlws.FILTER(OFFSET($O$15,0,$DO275,$B$8,1),OFFSET($M$15,0,0,$B$8,1))=FG$14))   /   SUM(OFFSET($BO$15,0,0,$B$14,1)) + $B$18/($B$19*$B$19*($DN275&lt;&gt;$DO275) + $B$19*($DN275=$DO275))</f>
        <v>3.3333333333333331E-3</v>
      </c>
      <c r="FH275" s="10" cm="1">
        <f t="array" aca="1" ref="FH275" ca="1">(1-$B$18)*SUMPRODUCT(OFFSET($BO$15,0,0,$B$14,1), 1*(_xlfn._xlws.FILTER(OFFSET($O$15,0,$DN275,$B$8,1),OFFSET($M$15,0,0,$B$8,1))=FH$13), 1*(_xlfn._xlws.FILTER(OFFSET($O$15,0,$DO275,$B$8,1),OFFSET($M$15,0,0,$B$8,1))=FH$14))   /   SUM(OFFSET($BO$15,0,0,$B$14,1)) + $B$18/($B$19*$B$19*($DN275&lt;&gt;$DO275) + $B$19*($DN275=$DO275))</f>
        <v>3.3333333333333331E-3</v>
      </c>
      <c r="FI275" s="10" cm="1">
        <f t="array" aca="1" ref="FI275" ca="1">(1-$B$18)*SUMPRODUCT(OFFSET($BO$15,0,0,$B$14,1), 1*(_xlfn._xlws.FILTER(OFFSET($O$15,0,$DN275,$B$8,1),OFFSET($M$15,0,0,$B$8,1))=FI$13), 1*(_xlfn._xlws.FILTER(OFFSET($O$15,0,$DO275,$B$8,1),OFFSET($M$15,0,0,$B$8,1))=FI$14))   /   SUM(OFFSET($BO$15,0,0,$B$14,1)) + $B$18/($B$19*$B$19*($DN275&lt;&gt;$DO275) + $B$19*($DN275=$DO275))</f>
        <v>3.3333333333333331E-3</v>
      </c>
      <c r="FJ275" s="10" cm="1">
        <f t="array" aca="1" ref="FJ275" ca="1">(1-$B$18)*SUMPRODUCT(OFFSET($BO$15,0,0,$B$14,1), 1*(_xlfn._xlws.FILTER(OFFSET($O$15,0,$DN275,$B$8,1),OFFSET($M$15,0,0,$B$8,1))=FJ$13), 1*(_xlfn._xlws.FILTER(OFFSET($O$15,0,$DO275,$B$8,1),OFFSET($M$15,0,0,$B$8,1))=FJ$14))   /   SUM(OFFSET($BO$15,0,0,$B$14,1)) + $B$18/($B$19*$B$19*($DN275&lt;&gt;$DO275) + $B$19*($DN275=$DO275))</f>
        <v>3.3333333333333331E-3</v>
      </c>
      <c r="FK275" s="10" cm="1">
        <f t="array" aca="1" ref="FK275" ca="1">(1-$B$18)*SUMPRODUCT(OFFSET($BO$15,0,0,$B$14,1), 1*(_xlfn._xlws.FILTER(OFFSET($O$15,0,$DN275,$B$8,1),OFFSET($M$15,0,0,$B$8,1))=FK$13), 1*(_xlfn._xlws.FILTER(OFFSET($O$15,0,$DO275,$B$8,1),OFFSET($M$15,0,0,$B$8,1))=FK$14))   /   SUM(OFFSET($BO$15,0,0,$B$14,1)) + $B$18/($B$19*$B$19*($DN275&lt;&gt;$DO275) + $B$19*($DN275=$DO275))</f>
        <v>3.3333333333333331E-3</v>
      </c>
      <c r="FL275" s="10" cm="1">
        <f t="array" aca="1" ref="FL275" ca="1">(1-$B$18)*SUMPRODUCT(OFFSET($BO$15,0,0,$B$14,1), 1*(_xlfn._xlws.FILTER(OFFSET($O$15,0,$DN275,$B$8,1),OFFSET($M$15,0,0,$B$8,1))=FL$13), 1*(_xlfn._xlws.FILTER(OFFSET($O$15,0,$DO275,$B$8,1),OFFSET($M$15,0,0,$B$8,1))=FL$14))   /   SUM(OFFSET($BO$15,0,0,$B$14,1)) + $B$18/($B$19*$B$19*($DN275&lt;&gt;$DO275) + $B$19*($DN275=$DO275))</f>
        <v>3.3333333333333331E-3</v>
      </c>
      <c r="FM275" s="10" cm="1">
        <f t="array" aca="1" ref="FM275" ca="1">(1-$B$18)*SUMPRODUCT(OFFSET($BO$15,0,0,$B$14,1), 1*(_xlfn._xlws.FILTER(OFFSET($O$15,0,$DN275,$B$8,1),OFFSET($M$15,0,0,$B$8,1))=FM$13), 1*(_xlfn._xlws.FILTER(OFFSET($O$15,0,$DO275,$B$8,1),OFFSET($M$15,0,0,$B$8,1))=FM$14))   /   SUM(OFFSET($BO$15,0,0,$B$14,1)) + $B$18/($B$19*$B$19*($DN275&lt;&gt;$DO275) + $B$19*($DN275=$DO275))</f>
        <v>3.3333333333333331E-3</v>
      </c>
      <c r="FN275" s="10" cm="1">
        <f t="array" aca="1" ref="FN275" ca="1">(1-$B$18)*SUMPRODUCT(OFFSET($BO$15,0,0,$B$14,1), 1*(_xlfn._xlws.FILTER(OFFSET($O$15,0,$DN275,$B$8,1),OFFSET($M$15,0,0,$B$8,1))=FN$13), 1*(_xlfn._xlws.FILTER(OFFSET($O$15,0,$DO275,$B$8,1),OFFSET($M$15,0,0,$B$8,1))=FN$14))   /   SUM(OFFSET($BO$15,0,0,$B$14,1)) + $B$18/($B$19*$B$19*($DN275&lt;&gt;$DO275) + $B$19*($DN275=$DO275))</f>
        <v>3.3333333333333331E-3</v>
      </c>
      <c r="FO275" s="10" cm="1">
        <f t="array" aca="1" ref="FO275" ca="1">(1-$B$18)*SUMPRODUCT(OFFSET($BO$15,0,0,$B$14,1), 1*(_xlfn._xlws.FILTER(OFFSET($O$15,0,$DN275,$B$8,1),OFFSET($M$15,0,0,$B$8,1))=FO$13), 1*(_xlfn._xlws.FILTER(OFFSET($O$15,0,$DO275,$B$8,1),OFFSET($M$15,0,0,$B$8,1))=FO$14))   /   SUM(OFFSET($BO$15,0,0,$B$14,1)) + $B$18/($B$19*$B$19*($DN275&lt;&gt;$DO275) + $B$19*($DN275=$DO275))</f>
        <v>3.3333333333333331E-3</v>
      </c>
      <c r="FP275" s="10" cm="1">
        <f t="array" aca="1" ref="FP275" ca="1">(1-$B$18)*SUMPRODUCT(OFFSET($BO$15,0,0,$B$14,1), 1*(_xlfn._xlws.FILTER(OFFSET($O$15,0,$DN275,$B$8,1),OFFSET($M$15,0,0,$B$8,1))=FP$13), 1*(_xlfn._xlws.FILTER(OFFSET($O$15,0,$DO275,$B$8,1),OFFSET($M$15,0,0,$B$8,1))=FP$14))   /   SUM(OFFSET($BO$15,0,0,$B$14,1)) + $B$18/($B$19*$B$19*($DN275&lt;&gt;$DO275) + $B$19*($DN275=$DO275))</f>
        <v>3.3333333333333331E-3</v>
      </c>
      <c r="FQ275" s="10" cm="1">
        <f t="array" aca="1" ref="FQ275" ca="1">(1-$B$18)*SUMPRODUCT(OFFSET($BO$15,0,0,$B$14,1), 1*(_xlfn._xlws.FILTER(OFFSET($O$15,0,$DN275,$B$8,1),OFFSET($M$15,0,0,$B$8,1))=FQ$13), 1*(_xlfn._xlws.FILTER(OFFSET($O$15,0,$DO275,$B$8,1),OFFSET($M$15,0,0,$B$8,1))=FQ$14))   /   SUM(OFFSET($BO$15,0,0,$B$14,1)) + $B$18/($B$19*$B$19*($DN275&lt;&gt;$DO275) + $B$19*($DN275=$DO275))</f>
        <v>3.3333333333333331E-3</v>
      </c>
      <c r="FR275" s="10" cm="1">
        <f t="array" aca="1" ref="FR275" ca="1">(1-$B$18)*SUMPRODUCT(OFFSET($BO$15,0,0,$B$14,1), 1*(_xlfn._xlws.FILTER(OFFSET($O$15,0,$DN275,$B$8,1),OFFSET($M$15,0,0,$B$8,1))=FR$13), 1*(_xlfn._xlws.FILTER(OFFSET($O$15,0,$DO275,$B$8,1),OFFSET($M$15,0,0,$B$8,1))=FR$14))   /   SUM(OFFSET($BO$15,0,0,$B$14,1)) + $B$18/($B$19*$B$19*($DN275&lt;&gt;$DO275) + $B$19*($DN275=$DO275))</f>
        <v>3.3333333333333331E-3</v>
      </c>
      <c r="FS275" s="10" cm="1">
        <f t="array" aca="1" ref="FS275" ca="1">(1-$B$18)*SUMPRODUCT(OFFSET($BO$15,0,0,$B$14,1), 1*(_xlfn._xlws.FILTER(OFFSET($O$15,0,$DN275,$B$8,1),OFFSET($M$15,0,0,$B$8,1))=FS$13), 1*(_xlfn._xlws.FILTER(OFFSET($O$15,0,$DO275,$B$8,1),OFFSET($M$15,0,0,$B$8,1))=FS$14))   /   SUM(OFFSET($BO$15,0,0,$B$14,1)) + $B$18/($B$19*$B$19*($DN275&lt;&gt;$DO275) + $B$19*($DN275=$DO275))</f>
        <v>3.3333333333333331E-3</v>
      </c>
      <c r="FT275" s="10" cm="1">
        <f t="array" aca="1" ref="FT275" ca="1">(1-$B$18)*SUMPRODUCT(OFFSET($BO$15,0,0,$B$14,1), 1*(_xlfn._xlws.FILTER(OFFSET($O$15,0,$DN275,$B$8,1),OFFSET($M$15,0,0,$B$8,1))=FT$13), 1*(_xlfn._xlws.FILTER(OFFSET($O$15,0,$DO275,$B$8,1),OFFSET($M$15,0,0,$B$8,1))=FT$14))   /   SUM(OFFSET($BO$15,0,0,$B$14,1)) + $B$18/($B$19*$B$19*($DN275&lt;&gt;$DO275) + $B$19*($DN275=$DO275))</f>
        <v>3.3333333333333331E-3</v>
      </c>
      <c r="FU275" s="10" cm="1">
        <f t="array" aca="1" ref="FU275" ca="1">(1-$B$18)*SUMPRODUCT(OFFSET($BO$15,0,0,$B$14,1), 1*(_xlfn._xlws.FILTER(OFFSET($O$15,0,$DN275,$B$8,1),OFFSET($M$15,0,0,$B$8,1))=FU$13), 1*(_xlfn._xlws.FILTER(OFFSET($O$15,0,$DO275,$B$8,1),OFFSET($M$15,0,0,$B$8,1))=FU$14))   /   SUM(OFFSET($BO$15,0,0,$B$14,1)) + $B$18/($B$19*$B$19*($DN275&lt;&gt;$DO275) + $B$19*($DN275=$DO275))</f>
        <v>3.3333333333333331E-3</v>
      </c>
      <c r="FV275" s="10" cm="1">
        <f t="array" aca="1" ref="FV275" ca="1">(1-$B$18)*SUMPRODUCT(OFFSET($BO$15,0,0,$B$14,1), 1*(_xlfn._xlws.FILTER(OFFSET($O$15,0,$DN275,$B$8,1),OFFSET($M$15,0,0,$B$8,1))=FV$13), 1*(_xlfn._xlws.FILTER(OFFSET($O$15,0,$DO275,$B$8,1),OFFSET($M$15,0,0,$B$8,1))=FV$14))   /   SUM(OFFSET($BO$15,0,0,$B$14,1)) + $B$18/($B$19*$B$19*($DN275&lt;&gt;$DO275) + $B$19*($DN275=$DO275))</f>
        <v>3.3333333333333331E-3</v>
      </c>
      <c r="FW275" s="10" cm="1">
        <f t="array" aca="1" ref="FW275" ca="1">(1-$B$18)*SUMPRODUCT(OFFSET($BO$15,0,0,$B$14,1), 1*(_xlfn._xlws.FILTER(OFFSET($O$15,0,$DN275,$B$8,1),OFFSET($M$15,0,0,$B$8,1))=FW$13), 1*(_xlfn._xlws.FILTER(OFFSET($O$15,0,$DO275,$B$8,1),OFFSET($M$15,0,0,$B$8,1))=FW$14))   /   SUM(OFFSET($BO$15,0,0,$B$14,1)) + $B$18/($B$19*$B$19*($DN275&lt;&gt;$DO275) + $B$19*($DN275=$DO275))</f>
        <v>3.3333333333333331E-3</v>
      </c>
      <c r="FX275" s="10" cm="1">
        <f t="array" aca="1" ref="FX275" ca="1">(1-$B$18)*SUMPRODUCT(OFFSET($BO$15,0,0,$B$14,1), 1*(_xlfn._xlws.FILTER(OFFSET($O$15,0,$DN275,$B$8,1),OFFSET($M$15,0,0,$B$8,1))=FX$13), 1*(_xlfn._xlws.FILTER(OFFSET($O$15,0,$DO275,$B$8,1),OFFSET($M$15,0,0,$B$8,1))=FX$14))   /   SUM(OFFSET($BO$15,0,0,$B$14,1)) + $B$18/($B$19*$B$19*($DN275&lt;&gt;$DO275) + $B$19*($DN275=$DO275))</f>
        <v>3.3333333333333331E-3</v>
      </c>
      <c r="FY275" s="10" cm="1">
        <f t="array" aca="1" ref="FY275" ca="1">(1-$B$18)*SUMPRODUCT(OFFSET($BO$15,0,0,$B$14,1), 1*(_xlfn._xlws.FILTER(OFFSET($O$15,0,$DN275,$B$8,1),OFFSET($M$15,0,0,$B$8,1))=FY$13), 1*(_xlfn._xlws.FILTER(OFFSET($O$15,0,$DO275,$B$8,1),OFFSET($M$15,0,0,$B$8,1))=FY$14))   /   SUM(OFFSET($BO$15,0,0,$B$14,1)) + $B$18/($B$19*$B$19*($DN275&lt;&gt;$DO275) + $B$19*($DN275=$DO275))</f>
        <v>3.3333333333333331E-3</v>
      </c>
      <c r="FZ275" s="10" cm="1">
        <f t="array" aca="1" ref="FZ275" ca="1">(1-$B$18)*SUMPRODUCT(OFFSET($BO$15,0,0,$B$14,1), 1*(_xlfn._xlws.FILTER(OFFSET($O$15,0,$DN275,$B$8,1),OFFSET($M$15,0,0,$B$8,1))=FZ$13), 1*(_xlfn._xlws.FILTER(OFFSET($O$15,0,$DO275,$B$8,1),OFFSET($M$15,0,0,$B$8,1))=FZ$14))   /   SUM(OFFSET($BO$15,0,0,$B$14,1)) + $B$18/($B$19*$B$19*($DN275&lt;&gt;$DO275) + $B$19*($DN275=$DO275))</f>
        <v>3.3333333333333331E-3</v>
      </c>
      <c r="GA275" s="10" cm="1">
        <f t="array" aca="1" ref="GA275" ca="1">(1-$B$18)*SUMPRODUCT(OFFSET($BO$15,0,0,$B$14,1), 1*(_xlfn._xlws.FILTER(OFFSET($O$15,0,$DN275,$B$8,1),OFFSET($M$15,0,0,$B$8,1))=GA$13), 1*(_xlfn._xlws.FILTER(OFFSET($O$15,0,$DO275,$B$8,1),OFFSET($M$15,0,0,$B$8,1))=GA$14))   /   SUM(OFFSET($BO$15,0,0,$B$14,1)) + $B$18/($B$19*$B$19*($DN275&lt;&gt;$DO275) + $B$19*($DN275=$DO275))</f>
        <v>3.3333333333333331E-3</v>
      </c>
    </row>
    <row r="276" spans="118:183" x14ac:dyDescent="0.2">
      <c r="DN276" cm="1">
        <f t="array" aca="1" ref="DN276" ca="1">INDEX(_xlfn.ANCHORARRAY($CP$15), 1 + INT((ROWS($DO$15:$DO276) - 1) / ROWS(_xlfn.ANCHORARRAY($CP$15))))</f>
        <v>14</v>
      </c>
      <c r="DO276" cm="1">
        <f t="array" aca="1" ref="DO276" ca="1">INDEX(_xlfn.ANCHORARRAY($CP$15),1+MOD(ROWS($DO$15:$DO276)-1,ROWS(_xlfn.ANCHORARRAY($CP$15))))</f>
        <v>15</v>
      </c>
      <c r="DP276" s="10" cm="1">
        <f t="array" aca="1" ref="DP276" ca="1">(1-$B$18)*SUMPRODUCT(OFFSET($BO$15,0,0,$B$14,1), 1*(_xlfn._xlws.FILTER(OFFSET($O$15,0,$DN276,$B$8,1),OFFSET($M$15,0,0,$B$8,1))=DP$13), 1*(_xlfn._xlws.FILTER(OFFSET($O$15,0,$DO276,$B$8,1),OFFSET($M$15,0,0,$B$8,1))=DP$14))   /   SUM(OFFSET($BO$15,0,0,$B$14,1)) + $B$18/($B$19*$B$19*($DN276&lt;&gt;$DO276) + $B$19*($DN276=$DO276))</f>
        <v>3.7037037037037035E-4</v>
      </c>
      <c r="DQ276" s="10" cm="1">
        <f t="array" aca="1" ref="DQ276" ca="1">(1-$B$18)*SUMPRODUCT(OFFSET($BO$15,0,0,$B$14,1), 1*(_xlfn._xlws.FILTER(OFFSET($O$15,0,$DN276,$B$8,1),OFFSET($M$15,0,0,$B$8,1))=DQ$13), 1*(_xlfn._xlws.FILTER(OFFSET($O$15,0,$DO276,$B$8,1),OFFSET($M$15,0,0,$B$8,1))=DQ$14))   /   SUM(OFFSET($BO$15,0,0,$B$14,1)) + $B$18/($B$19*$B$19*($DN276&lt;&gt;$DO276) + $B$19*($DN276=$DO276))</f>
        <v>3.7037037037037035E-4</v>
      </c>
      <c r="DR276" s="10" cm="1">
        <f t="array" aca="1" ref="DR276" ca="1">(1-$B$18)*SUMPRODUCT(OFFSET($BO$15,0,0,$B$14,1), 1*(_xlfn._xlws.FILTER(OFFSET($O$15,0,$DN276,$B$8,1),OFFSET($M$15,0,0,$B$8,1))=DR$13), 1*(_xlfn._xlws.FILTER(OFFSET($O$15,0,$DO276,$B$8,1),OFFSET($M$15,0,0,$B$8,1))=DR$14))   /   SUM(OFFSET($BO$15,0,0,$B$14,1)) + $B$18/($B$19*$B$19*($DN276&lt;&gt;$DO276) + $B$19*($DN276=$DO276))</f>
        <v>3.7037037037037035E-4</v>
      </c>
      <c r="DS276" s="10" cm="1">
        <f t="array" aca="1" ref="DS276" ca="1">(1-$B$18)*SUMPRODUCT(OFFSET($BO$15,0,0,$B$14,1), 1*(_xlfn._xlws.FILTER(OFFSET($O$15,0,$DN276,$B$8,1),OFFSET($M$15,0,0,$B$8,1))=DS$13), 1*(_xlfn._xlws.FILTER(OFFSET($O$15,0,$DO276,$B$8,1),OFFSET($M$15,0,0,$B$8,1))=DS$14))   /   SUM(OFFSET($BO$15,0,0,$B$14,1)) + $B$18/($B$19*$B$19*($DN276&lt;&gt;$DO276) + $B$19*($DN276=$DO276))</f>
        <v>3.7037037037037035E-4</v>
      </c>
      <c r="DT276" s="10" cm="1">
        <f t="array" aca="1" ref="DT276" ca="1">(1-$B$18)*SUMPRODUCT(OFFSET($BO$15,0,0,$B$14,1), 1*(_xlfn._xlws.FILTER(OFFSET($O$15,0,$DN276,$B$8,1),OFFSET($M$15,0,0,$B$8,1))=DT$13), 1*(_xlfn._xlws.FILTER(OFFSET($O$15,0,$DO276,$B$8,1),OFFSET($M$15,0,0,$B$8,1))=DT$14))   /   SUM(OFFSET($BO$15,0,0,$B$14,1)) + $B$18/($B$19*$B$19*($DN276&lt;&gt;$DO276) + $B$19*($DN276=$DO276))</f>
        <v>3.7037037037037035E-4</v>
      </c>
      <c r="DU276" s="10" cm="1">
        <f t="array" aca="1" ref="DU276" ca="1">(1-$B$18)*SUMPRODUCT(OFFSET($BO$15,0,0,$B$14,1), 1*(_xlfn._xlws.FILTER(OFFSET($O$15,0,$DN276,$B$8,1),OFFSET($M$15,0,0,$B$8,1))=DU$13), 1*(_xlfn._xlws.FILTER(OFFSET($O$15,0,$DO276,$B$8,1),OFFSET($M$15,0,0,$B$8,1))=DU$14))   /   SUM(OFFSET($BO$15,0,0,$B$14,1)) + $B$18/($B$19*$B$19*($DN276&lt;&gt;$DO276) + $B$19*($DN276=$DO276))</f>
        <v>3.7037037037037035E-4</v>
      </c>
      <c r="DV276" s="10" cm="1">
        <f t="array" aca="1" ref="DV276" ca="1">(1-$B$18)*SUMPRODUCT(OFFSET($BO$15,0,0,$B$14,1), 1*(_xlfn._xlws.FILTER(OFFSET($O$15,0,$DN276,$B$8,1),OFFSET($M$15,0,0,$B$8,1))=DV$13), 1*(_xlfn._xlws.FILTER(OFFSET($O$15,0,$DO276,$B$8,1),OFFSET($M$15,0,0,$B$8,1))=DV$14))   /   SUM(OFFSET($BO$15,0,0,$B$14,1)) + $B$18/($B$19*$B$19*($DN276&lt;&gt;$DO276) + $B$19*($DN276=$DO276))</f>
        <v>3.7037037037037035E-4</v>
      </c>
      <c r="DW276" s="10" cm="1">
        <f t="array" aca="1" ref="DW276" ca="1">(1-$B$18)*SUMPRODUCT(OFFSET($BO$15,0,0,$B$14,1), 1*(_xlfn._xlws.FILTER(OFFSET($O$15,0,$DN276,$B$8,1),OFFSET($M$15,0,0,$B$8,1))=DW$13), 1*(_xlfn._xlws.FILTER(OFFSET($O$15,0,$DO276,$B$8,1),OFFSET($M$15,0,0,$B$8,1))=DW$14))   /   SUM(OFFSET($BO$15,0,0,$B$14,1)) + $B$18/($B$19*$B$19*($DN276&lt;&gt;$DO276) + $B$19*($DN276=$DO276))</f>
        <v>3.7037037037037035E-4</v>
      </c>
      <c r="DX276" s="10" cm="1">
        <f t="array" aca="1" ref="DX276" ca="1">(1-$B$18)*SUMPRODUCT(OFFSET($BO$15,0,0,$B$14,1), 1*(_xlfn._xlws.FILTER(OFFSET($O$15,0,$DN276,$B$8,1),OFFSET($M$15,0,0,$B$8,1))=DX$13), 1*(_xlfn._xlws.FILTER(OFFSET($O$15,0,$DO276,$B$8,1),OFFSET($M$15,0,0,$B$8,1))=DX$14))   /   SUM(OFFSET($BO$15,0,0,$B$14,1)) + $B$18/($B$19*$B$19*($DN276&lt;&gt;$DO276) + $B$19*($DN276=$DO276))</f>
        <v>3.7037037037037035E-4</v>
      </c>
      <c r="DY276" s="10" cm="1">
        <f t="array" aca="1" ref="DY276" ca="1">(1-$B$18)*SUMPRODUCT(OFFSET($BO$15,0,0,$B$14,1), 1*(_xlfn._xlws.FILTER(OFFSET($O$15,0,$DN276,$B$8,1),OFFSET($M$15,0,0,$B$8,1))=DY$13), 1*(_xlfn._xlws.FILTER(OFFSET($O$15,0,$DO276,$B$8,1),OFFSET($M$15,0,0,$B$8,1))=DY$14))   /   SUM(OFFSET($BO$15,0,0,$B$14,1)) + $B$18/($B$19*$B$19*($DN276&lt;&gt;$DO276) + $B$19*($DN276=$DO276))</f>
        <v>3.7037037037037035E-4</v>
      </c>
      <c r="DZ276" s="10" cm="1">
        <f t="array" aca="1" ref="DZ276" ca="1">(1-$B$18)*SUMPRODUCT(OFFSET($BO$15,0,0,$B$14,1), 1*(_xlfn._xlws.FILTER(OFFSET($O$15,0,$DN276,$B$8,1),OFFSET($M$15,0,0,$B$8,1))=DZ$13), 1*(_xlfn._xlws.FILTER(OFFSET($O$15,0,$DO276,$B$8,1),OFFSET($M$15,0,0,$B$8,1))=DZ$14))   /   SUM(OFFSET($BO$15,0,0,$B$14,1)) + $B$18/($B$19*$B$19*($DN276&lt;&gt;$DO276) + $B$19*($DN276=$DO276))</f>
        <v>3.7037037037037035E-4</v>
      </c>
      <c r="EA276" s="10" cm="1">
        <f t="array" aca="1" ref="EA276" ca="1">(1-$B$18)*SUMPRODUCT(OFFSET($BO$15,0,0,$B$14,1), 1*(_xlfn._xlws.FILTER(OFFSET($O$15,0,$DN276,$B$8,1),OFFSET($M$15,0,0,$B$8,1))=EA$13), 1*(_xlfn._xlws.FILTER(OFFSET($O$15,0,$DO276,$B$8,1),OFFSET($M$15,0,0,$B$8,1))=EA$14))   /   SUM(OFFSET($BO$15,0,0,$B$14,1)) + $B$18/($B$19*$B$19*($DN276&lt;&gt;$DO276) + $B$19*($DN276=$DO276))</f>
        <v>3.7037037037037035E-4</v>
      </c>
      <c r="EB276" s="10" cm="1">
        <f t="array" aca="1" ref="EB276" ca="1">(1-$B$18)*SUMPRODUCT(OFFSET($BO$15,0,0,$B$14,1), 1*(_xlfn._xlws.FILTER(OFFSET($O$15,0,$DN276,$B$8,1),OFFSET($M$15,0,0,$B$8,1))=EB$13), 1*(_xlfn._xlws.FILTER(OFFSET($O$15,0,$DO276,$B$8,1),OFFSET($M$15,0,0,$B$8,1))=EB$14))   /   SUM(OFFSET($BO$15,0,0,$B$14,1)) + $B$18/($B$19*$B$19*($DN276&lt;&gt;$DO276) + $B$19*($DN276=$DO276))</f>
        <v>3.7037037037037035E-4</v>
      </c>
      <c r="EC276" s="10" cm="1">
        <f t="array" aca="1" ref="EC276" ca="1">(1-$B$18)*SUMPRODUCT(OFFSET($BO$15,0,0,$B$14,1), 1*(_xlfn._xlws.FILTER(OFFSET($O$15,0,$DN276,$B$8,1),OFFSET($M$15,0,0,$B$8,1))=EC$13), 1*(_xlfn._xlws.FILTER(OFFSET($O$15,0,$DO276,$B$8,1),OFFSET($M$15,0,0,$B$8,1))=EC$14))   /   SUM(OFFSET($BO$15,0,0,$B$14,1)) + $B$18/($B$19*$B$19*($DN276&lt;&gt;$DO276) + $B$19*($DN276=$DO276))</f>
        <v>3.7037037037037035E-4</v>
      </c>
      <c r="ED276" s="10" cm="1">
        <f t="array" aca="1" ref="ED276" ca="1">(1-$B$18)*SUMPRODUCT(OFFSET($BO$15,0,0,$B$14,1), 1*(_xlfn._xlws.FILTER(OFFSET($O$15,0,$DN276,$B$8,1),OFFSET($M$15,0,0,$B$8,1))=ED$13), 1*(_xlfn._xlws.FILTER(OFFSET($O$15,0,$DO276,$B$8,1),OFFSET($M$15,0,0,$B$8,1))=ED$14))   /   SUM(OFFSET($BO$15,0,0,$B$14,1)) + $B$18/($B$19*$B$19*($DN276&lt;&gt;$DO276) + $B$19*($DN276=$DO276))</f>
        <v>3.7037037037037035E-4</v>
      </c>
      <c r="EE276" s="10" cm="1">
        <f t="array" aca="1" ref="EE276" ca="1">(1-$B$18)*SUMPRODUCT(OFFSET($BO$15,0,0,$B$14,1), 1*(_xlfn._xlws.FILTER(OFFSET($O$15,0,$DN276,$B$8,1),OFFSET($M$15,0,0,$B$8,1))=EE$13), 1*(_xlfn._xlws.FILTER(OFFSET($O$15,0,$DO276,$B$8,1),OFFSET($M$15,0,0,$B$8,1))=EE$14))   /   SUM(OFFSET($BO$15,0,0,$B$14,1)) + $B$18/($B$19*$B$19*($DN276&lt;&gt;$DO276) + $B$19*($DN276=$DO276))</f>
        <v>3.7037037037037035E-4</v>
      </c>
      <c r="EF276" s="10" cm="1">
        <f t="array" aca="1" ref="EF276" ca="1">(1-$B$18)*SUMPRODUCT(OFFSET($BO$15,0,0,$B$14,1), 1*(_xlfn._xlws.FILTER(OFFSET($O$15,0,$DN276,$B$8,1),OFFSET($M$15,0,0,$B$8,1))=EF$13), 1*(_xlfn._xlws.FILTER(OFFSET($O$15,0,$DO276,$B$8,1),OFFSET($M$15,0,0,$B$8,1))=EF$14))   /   SUM(OFFSET($BO$15,0,0,$B$14,1)) + $B$18/($B$19*$B$19*($DN276&lt;&gt;$DO276) + $B$19*($DN276=$DO276))</f>
        <v>3.7037037037037035E-4</v>
      </c>
      <c r="EG276" s="10" cm="1">
        <f t="array" aca="1" ref="EG276" ca="1">(1-$B$18)*SUMPRODUCT(OFFSET($BO$15,0,0,$B$14,1), 1*(_xlfn._xlws.FILTER(OFFSET($O$15,0,$DN276,$B$8,1),OFFSET($M$15,0,0,$B$8,1))=EG$13), 1*(_xlfn._xlws.FILTER(OFFSET($O$15,0,$DO276,$B$8,1),OFFSET($M$15,0,0,$B$8,1))=EG$14))   /   SUM(OFFSET($BO$15,0,0,$B$14,1)) + $B$18/($B$19*$B$19*($DN276&lt;&gt;$DO276) + $B$19*($DN276=$DO276))</f>
        <v>3.7037037037037035E-4</v>
      </c>
      <c r="EH276" s="10" cm="1">
        <f t="array" aca="1" ref="EH276" ca="1">(1-$B$18)*SUMPRODUCT(OFFSET($BO$15,0,0,$B$14,1), 1*(_xlfn._xlws.FILTER(OFFSET($O$15,0,$DN276,$B$8,1),OFFSET($M$15,0,0,$B$8,1))=EH$13), 1*(_xlfn._xlws.FILTER(OFFSET($O$15,0,$DO276,$B$8,1),OFFSET($M$15,0,0,$B$8,1))=EH$14))   /   SUM(OFFSET($BO$15,0,0,$B$14,1)) + $B$18/($B$19*$B$19*($DN276&lt;&gt;$DO276) + $B$19*($DN276=$DO276))</f>
        <v>0.97037037037037033</v>
      </c>
      <c r="EI276" s="10" cm="1">
        <f t="array" aca="1" ref="EI276" ca="1">(1-$B$18)*SUMPRODUCT(OFFSET($BO$15,0,0,$B$14,1), 1*(_xlfn._xlws.FILTER(OFFSET($O$15,0,$DN276,$B$8,1),OFFSET($M$15,0,0,$B$8,1))=EI$13), 1*(_xlfn._xlws.FILTER(OFFSET($O$15,0,$DO276,$B$8,1),OFFSET($M$15,0,0,$B$8,1))=EI$14))   /   SUM(OFFSET($BO$15,0,0,$B$14,1)) + $B$18/($B$19*$B$19*($DN276&lt;&gt;$DO276) + $B$19*($DN276=$DO276))</f>
        <v>3.7037037037037035E-4</v>
      </c>
      <c r="EJ276" s="10" cm="1">
        <f t="array" aca="1" ref="EJ276" ca="1">(1-$B$18)*SUMPRODUCT(OFFSET($BO$15,0,0,$B$14,1), 1*(_xlfn._xlws.FILTER(OFFSET($O$15,0,$DN276,$B$8,1),OFFSET($M$15,0,0,$B$8,1))=EJ$13), 1*(_xlfn._xlws.FILTER(OFFSET($O$15,0,$DO276,$B$8,1),OFFSET($M$15,0,0,$B$8,1))=EJ$14))   /   SUM(OFFSET($BO$15,0,0,$B$14,1)) + $B$18/($B$19*$B$19*($DN276&lt;&gt;$DO276) + $B$19*($DN276=$DO276))</f>
        <v>3.7037037037037035E-4</v>
      </c>
      <c r="EK276" s="10" cm="1">
        <f t="array" aca="1" ref="EK276" ca="1">(1-$B$18)*SUMPRODUCT(OFFSET($BO$15,0,0,$B$14,1), 1*(_xlfn._xlws.FILTER(OFFSET($O$15,0,$DN276,$B$8,1),OFFSET($M$15,0,0,$B$8,1))=EK$13), 1*(_xlfn._xlws.FILTER(OFFSET($O$15,0,$DO276,$B$8,1),OFFSET($M$15,0,0,$B$8,1))=EK$14))   /   SUM(OFFSET($BO$15,0,0,$B$14,1)) + $B$18/($B$19*$B$19*($DN276&lt;&gt;$DO276) + $B$19*($DN276=$DO276))</f>
        <v>3.7037037037037035E-4</v>
      </c>
      <c r="EL276" s="10" cm="1">
        <f t="array" aca="1" ref="EL276" ca="1">(1-$B$18)*SUMPRODUCT(OFFSET($BO$15,0,0,$B$14,1), 1*(_xlfn._xlws.FILTER(OFFSET($O$15,0,$DN276,$B$8,1),OFFSET($M$15,0,0,$B$8,1))=EL$13), 1*(_xlfn._xlws.FILTER(OFFSET($O$15,0,$DO276,$B$8,1),OFFSET($M$15,0,0,$B$8,1))=EL$14))   /   SUM(OFFSET($BO$15,0,0,$B$14,1)) + $B$18/($B$19*$B$19*($DN276&lt;&gt;$DO276) + $B$19*($DN276=$DO276))</f>
        <v>3.7037037037037035E-4</v>
      </c>
      <c r="EM276" s="10" cm="1">
        <f t="array" aca="1" ref="EM276" ca="1">(1-$B$18)*SUMPRODUCT(OFFSET($BO$15,0,0,$B$14,1), 1*(_xlfn._xlws.FILTER(OFFSET($O$15,0,$DN276,$B$8,1),OFFSET($M$15,0,0,$B$8,1))=EM$13), 1*(_xlfn._xlws.FILTER(OFFSET($O$15,0,$DO276,$B$8,1),OFFSET($M$15,0,0,$B$8,1))=EM$14))   /   SUM(OFFSET($BO$15,0,0,$B$14,1)) + $B$18/($B$19*$B$19*($DN276&lt;&gt;$DO276) + $B$19*($DN276=$DO276))</f>
        <v>3.7037037037037035E-4</v>
      </c>
      <c r="EN276" s="10" cm="1">
        <f t="array" aca="1" ref="EN276" ca="1">(1-$B$18)*SUMPRODUCT(OFFSET($BO$15,0,0,$B$14,1), 1*(_xlfn._xlws.FILTER(OFFSET($O$15,0,$DN276,$B$8,1),OFFSET($M$15,0,0,$B$8,1))=EN$13), 1*(_xlfn._xlws.FILTER(OFFSET($O$15,0,$DO276,$B$8,1),OFFSET($M$15,0,0,$B$8,1))=EN$14))   /   SUM(OFFSET($BO$15,0,0,$B$14,1)) + $B$18/($B$19*$B$19*($DN276&lt;&gt;$DO276) + $B$19*($DN276=$DO276))</f>
        <v>3.7037037037037035E-4</v>
      </c>
      <c r="EO276" s="10" cm="1">
        <f t="array" aca="1" ref="EO276" ca="1">(1-$B$18)*SUMPRODUCT(OFFSET($BO$15,0,0,$B$14,1), 1*(_xlfn._xlws.FILTER(OFFSET($O$15,0,$DN276,$B$8,1),OFFSET($M$15,0,0,$B$8,1))=EO$13), 1*(_xlfn._xlws.FILTER(OFFSET($O$15,0,$DO276,$B$8,1),OFFSET($M$15,0,0,$B$8,1))=EO$14))   /   SUM(OFFSET($BO$15,0,0,$B$14,1)) + $B$18/($B$19*$B$19*($DN276&lt;&gt;$DO276) + $B$19*($DN276=$DO276))</f>
        <v>3.7037037037037035E-4</v>
      </c>
      <c r="EP276" s="10" cm="1">
        <f t="array" aca="1" ref="EP276" ca="1">(1-$B$18)*SUMPRODUCT(OFFSET($BO$15,0,0,$B$14,1), 1*(_xlfn._xlws.FILTER(OFFSET($O$15,0,$DN276,$B$8,1),OFFSET($M$15,0,0,$B$8,1))=EP$13), 1*(_xlfn._xlws.FILTER(OFFSET($O$15,0,$DO276,$B$8,1),OFFSET($M$15,0,0,$B$8,1))=EP$14))   /   SUM(OFFSET($BO$15,0,0,$B$14,1)) + $B$18/($B$19*$B$19*($DN276&lt;&gt;$DO276) + $B$19*($DN276=$DO276))</f>
        <v>3.7037037037037035E-4</v>
      </c>
      <c r="EQ276" s="10" cm="1">
        <f t="array" aca="1" ref="EQ276" ca="1">(1-$B$18)*SUMPRODUCT(OFFSET($BO$15,0,0,$B$14,1), 1*(_xlfn._xlws.FILTER(OFFSET($O$15,0,$DN276,$B$8,1),OFFSET($M$15,0,0,$B$8,1))=EQ$13), 1*(_xlfn._xlws.FILTER(OFFSET($O$15,0,$DO276,$B$8,1),OFFSET($M$15,0,0,$B$8,1))=EQ$14))   /   SUM(OFFSET($BO$15,0,0,$B$14,1)) + $B$18/($B$19*$B$19*($DN276&lt;&gt;$DO276) + $B$19*($DN276=$DO276))</f>
        <v>3.7037037037037035E-4</v>
      </c>
      <c r="ER276" s="10" cm="1">
        <f t="array" aca="1" ref="ER276" ca="1">(1-$B$18)*SUMPRODUCT(OFFSET($BO$15,0,0,$B$14,1), 1*(_xlfn._xlws.FILTER(OFFSET($O$15,0,$DN276,$B$8,1),OFFSET($M$15,0,0,$B$8,1))=ER$13), 1*(_xlfn._xlws.FILTER(OFFSET($O$15,0,$DO276,$B$8,1),OFFSET($M$15,0,0,$B$8,1))=ER$14))   /   SUM(OFFSET($BO$15,0,0,$B$14,1)) + $B$18/($B$19*$B$19*($DN276&lt;&gt;$DO276) + $B$19*($DN276=$DO276))</f>
        <v>3.7037037037037035E-4</v>
      </c>
      <c r="ES276" s="10" cm="1">
        <f t="array" aca="1" ref="ES276" ca="1">(1-$B$18)*SUMPRODUCT(OFFSET($BO$15,0,0,$B$14,1), 1*(_xlfn._xlws.FILTER(OFFSET($O$15,0,$DN276,$B$8,1),OFFSET($M$15,0,0,$B$8,1))=ES$13), 1*(_xlfn._xlws.FILTER(OFFSET($O$15,0,$DO276,$B$8,1),OFFSET($M$15,0,0,$B$8,1))=ES$14))   /   SUM(OFFSET($BO$15,0,0,$B$14,1)) + $B$18/($B$19*$B$19*($DN276&lt;&gt;$DO276) + $B$19*($DN276=$DO276))</f>
        <v>3.7037037037037035E-4</v>
      </c>
      <c r="ET276" s="10" cm="1">
        <f t="array" aca="1" ref="ET276" ca="1">(1-$B$18)*SUMPRODUCT(OFFSET($BO$15,0,0,$B$14,1), 1*(_xlfn._xlws.FILTER(OFFSET($O$15,0,$DN276,$B$8,1),OFFSET($M$15,0,0,$B$8,1))=ET$13), 1*(_xlfn._xlws.FILTER(OFFSET($O$15,0,$DO276,$B$8,1),OFFSET($M$15,0,0,$B$8,1))=ET$14))   /   SUM(OFFSET($BO$15,0,0,$B$14,1)) + $B$18/($B$19*$B$19*($DN276&lt;&gt;$DO276) + $B$19*($DN276=$DO276))</f>
        <v>3.7037037037037035E-4</v>
      </c>
      <c r="EU276" s="10" cm="1">
        <f t="array" aca="1" ref="EU276" ca="1">(1-$B$18)*SUMPRODUCT(OFFSET($BO$15,0,0,$B$14,1), 1*(_xlfn._xlws.FILTER(OFFSET($O$15,0,$DN276,$B$8,1),OFFSET($M$15,0,0,$B$8,1))=EU$13), 1*(_xlfn._xlws.FILTER(OFFSET($O$15,0,$DO276,$B$8,1),OFFSET($M$15,0,0,$B$8,1))=EU$14))   /   SUM(OFFSET($BO$15,0,0,$B$14,1)) + $B$18/($B$19*$B$19*($DN276&lt;&gt;$DO276) + $B$19*($DN276=$DO276))</f>
        <v>3.7037037037037035E-4</v>
      </c>
      <c r="EV276" s="10" cm="1">
        <f t="array" aca="1" ref="EV276" ca="1">(1-$B$18)*SUMPRODUCT(OFFSET($BO$15,0,0,$B$14,1), 1*(_xlfn._xlws.FILTER(OFFSET($O$15,0,$DN276,$B$8,1),OFFSET($M$15,0,0,$B$8,1))=EV$13), 1*(_xlfn._xlws.FILTER(OFFSET($O$15,0,$DO276,$B$8,1),OFFSET($M$15,0,0,$B$8,1))=EV$14))   /   SUM(OFFSET($BO$15,0,0,$B$14,1)) + $B$18/($B$19*$B$19*($DN276&lt;&gt;$DO276) + $B$19*($DN276=$DO276))</f>
        <v>3.7037037037037035E-4</v>
      </c>
      <c r="EW276" s="10" cm="1">
        <f t="array" aca="1" ref="EW276" ca="1">(1-$B$18)*SUMPRODUCT(OFFSET($BO$15,0,0,$B$14,1), 1*(_xlfn._xlws.FILTER(OFFSET($O$15,0,$DN276,$B$8,1),OFFSET($M$15,0,0,$B$8,1))=EW$13), 1*(_xlfn._xlws.FILTER(OFFSET($O$15,0,$DO276,$B$8,1),OFFSET($M$15,0,0,$B$8,1))=EW$14))   /   SUM(OFFSET($BO$15,0,0,$B$14,1)) + $B$18/($B$19*$B$19*($DN276&lt;&gt;$DO276) + $B$19*($DN276=$DO276))</f>
        <v>3.7037037037037035E-4</v>
      </c>
      <c r="EX276" s="10" cm="1">
        <f t="array" aca="1" ref="EX276" ca="1">(1-$B$18)*SUMPRODUCT(OFFSET($BO$15,0,0,$B$14,1), 1*(_xlfn._xlws.FILTER(OFFSET($O$15,0,$DN276,$B$8,1),OFFSET($M$15,0,0,$B$8,1))=EX$13), 1*(_xlfn._xlws.FILTER(OFFSET($O$15,0,$DO276,$B$8,1),OFFSET($M$15,0,0,$B$8,1))=EX$14))   /   SUM(OFFSET($BO$15,0,0,$B$14,1)) + $B$18/($B$19*$B$19*($DN276&lt;&gt;$DO276) + $B$19*($DN276=$DO276))</f>
        <v>3.7037037037037035E-4</v>
      </c>
      <c r="EY276" s="10" cm="1">
        <f t="array" aca="1" ref="EY276" ca="1">(1-$B$18)*SUMPRODUCT(OFFSET($BO$15,0,0,$B$14,1), 1*(_xlfn._xlws.FILTER(OFFSET($O$15,0,$DN276,$B$8,1),OFFSET($M$15,0,0,$B$8,1))=EY$13), 1*(_xlfn._xlws.FILTER(OFFSET($O$15,0,$DO276,$B$8,1),OFFSET($M$15,0,0,$B$8,1))=EY$14))   /   SUM(OFFSET($BO$15,0,0,$B$14,1)) + $B$18/($B$19*$B$19*($DN276&lt;&gt;$DO276) + $B$19*($DN276=$DO276))</f>
        <v>3.7037037037037035E-4</v>
      </c>
      <c r="EZ276" s="10" cm="1">
        <f t="array" aca="1" ref="EZ276" ca="1">(1-$B$18)*SUMPRODUCT(OFFSET($BO$15,0,0,$B$14,1), 1*(_xlfn._xlws.FILTER(OFFSET($O$15,0,$DN276,$B$8,1),OFFSET($M$15,0,0,$B$8,1))=EZ$13), 1*(_xlfn._xlws.FILTER(OFFSET($O$15,0,$DO276,$B$8,1),OFFSET($M$15,0,0,$B$8,1))=EZ$14))   /   SUM(OFFSET($BO$15,0,0,$B$14,1)) + $B$18/($B$19*$B$19*($DN276&lt;&gt;$DO276) + $B$19*($DN276=$DO276))</f>
        <v>3.7037037037037035E-4</v>
      </c>
      <c r="FA276" s="10" cm="1">
        <f t="array" aca="1" ref="FA276" ca="1">(1-$B$18)*SUMPRODUCT(OFFSET($BO$15,0,0,$B$14,1), 1*(_xlfn._xlws.FILTER(OFFSET($O$15,0,$DN276,$B$8,1),OFFSET($M$15,0,0,$B$8,1))=FA$13), 1*(_xlfn._xlws.FILTER(OFFSET($O$15,0,$DO276,$B$8,1),OFFSET($M$15,0,0,$B$8,1))=FA$14))   /   SUM(OFFSET($BO$15,0,0,$B$14,1)) + $B$18/($B$19*$B$19*($DN276&lt;&gt;$DO276) + $B$19*($DN276=$DO276))</f>
        <v>3.7037037037037035E-4</v>
      </c>
      <c r="FB276" s="10" cm="1">
        <f t="array" aca="1" ref="FB276" ca="1">(1-$B$18)*SUMPRODUCT(OFFSET($BO$15,0,0,$B$14,1), 1*(_xlfn._xlws.FILTER(OFFSET($O$15,0,$DN276,$B$8,1),OFFSET($M$15,0,0,$B$8,1))=FB$13), 1*(_xlfn._xlws.FILTER(OFFSET($O$15,0,$DO276,$B$8,1),OFFSET($M$15,0,0,$B$8,1))=FB$14))   /   SUM(OFFSET($BO$15,0,0,$B$14,1)) + $B$18/($B$19*$B$19*($DN276&lt;&gt;$DO276) + $B$19*($DN276=$DO276))</f>
        <v>3.7037037037037035E-4</v>
      </c>
      <c r="FC276" s="10" cm="1">
        <f t="array" aca="1" ref="FC276" ca="1">(1-$B$18)*SUMPRODUCT(OFFSET($BO$15,0,0,$B$14,1), 1*(_xlfn._xlws.FILTER(OFFSET($O$15,0,$DN276,$B$8,1),OFFSET($M$15,0,0,$B$8,1))=FC$13), 1*(_xlfn._xlws.FILTER(OFFSET($O$15,0,$DO276,$B$8,1),OFFSET($M$15,0,0,$B$8,1))=FC$14))   /   SUM(OFFSET($BO$15,0,0,$B$14,1)) + $B$18/($B$19*$B$19*($DN276&lt;&gt;$DO276) + $B$19*($DN276=$DO276))</f>
        <v>3.7037037037037035E-4</v>
      </c>
      <c r="FD276" s="10" cm="1">
        <f t="array" aca="1" ref="FD276" ca="1">(1-$B$18)*SUMPRODUCT(OFFSET($BO$15,0,0,$B$14,1), 1*(_xlfn._xlws.FILTER(OFFSET($O$15,0,$DN276,$B$8,1),OFFSET($M$15,0,0,$B$8,1))=FD$13), 1*(_xlfn._xlws.FILTER(OFFSET($O$15,0,$DO276,$B$8,1),OFFSET($M$15,0,0,$B$8,1))=FD$14))   /   SUM(OFFSET($BO$15,0,0,$B$14,1)) + $B$18/($B$19*$B$19*($DN276&lt;&gt;$DO276) + $B$19*($DN276=$DO276))</f>
        <v>3.7037037037037035E-4</v>
      </c>
      <c r="FE276" s="10" cm="1">
        <f t="array" aca="1" ref="FE276" ca="1">(1-$B$18)*SUMPRODUCT(OFFSET($BO$15,0,0,$B$14,1), 1*(_xlfn._xlws.FILTER(OFFSET($O$15,0,$DN276,$B$8,1),OFFSET($M$15,0,0,$B$8,1))=FE$13), 1*(_xlfn._xlws.FILTER(OFFSET($O$15,0,$DO276,$B$8,1),OFFSET($M$15,0,0,$B$8,1))=FE$14))   /   SUM(OFFSET($BO$15,0,0,$B$14,1)) + $B$18/($B$19*$B$19*($DN276&lt;&gt;$DO276) + $B$19*($DN276=$DO276))</f>
        <v>3.7037037037037035E-4</v>
      </c>
      <c r="FF276" s="10" cm="1">
        <f t="array" aca="1" ref="FF276" ca="1">(1-$B$18)*SUMPRODUCT(OFFSET($BO$15,0,0,$B$14,1), 1*(_xlfn._xlws.FILTER(OFFSET($O$15,0,$DN276,$B$8,1),OFFSET($M$15,0,0,$B$8,1))=FF$13), 1*(_xlfn._xlws.FILTER(OFFSET($O$15,0,$DO276,$B$8,1),OFFSET($M$15,0,0,$B$8,1))=FF$14))   /   SUM(OFFSET($BO$15,0,0,$B$14,1)) + $B$18/($B$19*$B$19*($DN276&lt;&gt;$DO276) + $B$19*($DN276=$DO276))</f>
        <v>3.7037037037037035E-4</v>
      </c>
      <c r="FG276" s="10" cm="1">
        <f t="array" aca="1" ref="FG276" ca="1">(1-$B$18)*SUMPRODUCT(OFFSET($BO$15,0,0,$B$14,1), 1*(_xlfn._xlws.FILTER(OFFSET($O$15,0,$DN276,$B$8,1),OFFSET($M$15,0,0,$B$8,1))=FG$13), 1*(_xlfn._xlws.FILTER(OFFSET($O$15,0,$DO276,$B$8,1),OFFSET($M$15,0,0,$B$8,1))=FG$14))   /   SUM(OFFSET($BO$15,0,0,$B$14,1)) + $B$18/($B$19*$B$19*($DN276&lt;&gt;$DO276) + $B$19*($DN276=$DO276))</f>
        <v>3.7037037037037035E-4</v>
      </c>
      <c r="FH276" s="10" cm="1">
        <f t="array" aca="1" ref="FH276" ca="1">(1-$B$18)*SUMPRODUCT(OFFSET($BO$15,0,0,$B$14,1), 1*(_xlfn._xlws.FILTER(OFFSET($O$15,0,$DN276,$B$8,1),OFFSET($M$15,0,0,$B$8,1))=FH$13), 1*(_xlfn._xlws.FILTER(OFFSET($O$15,0,$DO276,$B$8,1),OFFSET($M$15,0,0,$B$8,1))=FH$14))   /   SUM(OFFSET($BO$15,0,0,$B$14,1)) + $B$18/($B$19*$B$19*($DN276&lt;&gt;$DO276) + $B$19*($DN276=$DO276))</f>
        <v>3.7037037037037035E-4</v>
      </c>
      <c r="FI276" s="10" cm="1">
        <f t="array" aca="1" ref="FI276" ca="1">(1-$B$18)*SUMPRODUCT(OFFSET($BO$15,0,0,$B$14,1), 1*(_xlfn._xlws.FILTER(OFFSET($O$15,0,$DN276,$B$8,1),OFFSET($M$15,0,0,$B$8,1))=FI$13), 1*(_xlfn._xlws.FILTER(OFFSET($O$15,0,$DO276,$B$8,1),OFFSET($M$15,0,0,$B$8,1))=FI$14))   /   SUM(OFFSET($BO$15,0,0,$B$14,1)) + $B$18/($B$19*$B$19*($DN276&lt;&gt;$DO276) + $B$19*($DN276=$DO276))</f>
        <v>3.7037037037037035E-4</v>
      </c>
      <c r="FJ276" s="10" cm="1">
        <f t="array" aca="1" ref="FJ276" ca="1">(1-$B$18)*SUMPRODUCT(OFFSET($BO$15,0,0,$B$14,1), 1*(_xlfn._xlws.FILTER(OFFSET($O$15,0,$DN276,$B$8,1),OFFSET($M$15,0,0,$B$8,1))=FJ$13), 1*(_xlfn._xlws.FILTER(OFFSET($O$15,0,$DO276,$B$8,1),OFFSET($M$15,0,0,$B$8,1))=FJ$14))   /   SUM(OFFSET($BO$15,0,0,$B$14,1)) + $B$18/($B$19*$B$19*($DN276&lt;&gt;$DO276) + $B$19*($DN276=$DO276))</f>
        <v>3.7037037037037035E-4</v>
      </c>
      <c r="FK276" s="10" cm="1">
        <f t="array" aca="1" ref="FK276" ca="1">(1-$B$18)*SUMPRODUCT(OFFSET($BO$15,0,0,$B$14,1), 1*(_xlfn._xlws.FILTER(OFFSET($O$15,0,$DN276,$B$8,1),OFFSET($M$15,0,0,$B$8,1))=FK$13), 1*(_xlfn._xlws.FILTER(OFFSET($O$15,0,$DO276,$B$8,1),OFFSET($M$15,0,0,$B$8,1))=FK$14))   /   SUM(OFFSET($BO$15,0,0,$B$14,1)) + $B$18/($B$19*$B$19*($DN276&lt;&gt;$DO276) + $B$19*($DN276=$DO276))</f>
        <v>3.7037037037037035E-4</v>
      </c>
      <c r="FL276" s="10" cm="1">
        <f t="array" aca="1" ref="FL276" ca="1">(1-$B$18)*SUMPRODUCT(OFFSET($BO$15,0,0,$B$14,1), 1*(_xlfn._xlws.FILTER(OFFSET($O$15,0,$DN276,$B$8,1),OFFSET($M$15,0,0,$B$8,1))=FL$13), 1*(_xlfn._xlws.FILTER(OFFSET($O$15,0,$DO276,$B$8,1),OFFSET($M$15,0,0,$B$8,1))=FL$14))   /   SUM(OFFSET($BO$15,0,0,$B$14,1)) + $B$18/($B$19*$B$19*($DN276&lt;&gt;$DO276) + $B$19*($DN276=$DO276))</f>
        <v>3.7037037037037035E-4</v>
      </c>
      <c r="FM276" s="10" cm="1">
        <f t="array" aca="1" ref="FM276" ca="1">(1-$B$18)*SUMPRODUCT(OFFSET($BO$15,0,0,$B$14,1), 1*(_xlfn._xlws.FILTER(OFFSET($O$15,0,$DN276,$B$8,1),OFFSET($M$15,0,0,$B$8,1))=FM$13), 1*(_xlfn._xlws.FILTER(OFFSET($O$15,0,$DO276,$B$8,1),OFFSET($M$15,0,0,$B$8,1))=FM$14))   /   SUM(OFFSET($BO$15,0,0,$B$14,1)) + $B$18/($B$19*$B$19*($DN276&lt;&gt;$DO276) + $B$19*($DN276=$DO276))</f>
        <v>3.7037037037037035E-4</v>
      </c>
      <c r="FN276" s="10" cm="1">
        <f t="array" aca="1" ref="FN276" ca="1">(1-$B$18)*SUMPRODUCT(OFFSET($BO$15,0,0,$B$14,1), 1*(_xlfn._xlws.FILTER(OFFSET($O$15,0,$DN276,$B$8,1),OFFSET($M$15,0,0,$B$8,1))=FN$13), 1*(_xlfn._xlws.FILTER(OFFSET($O$15,0,$DO276,$B$8,1),OFFSET($M$15,0,0,$B$8,1))=FN$14))   /   SUM(OFFSET($BO$15,0,0,$B$14,1)) + $B$18/($B$19*$B$19*($DN276&lt;&gt;$DO276) + $B$19*($DN276=$DO276))</f>
        <v>3.7037037037037035E-4</v>
      </c>
      <c r="FO276" s="10" cm="1">
        <f t="array" aca="1" ref="FO276" ca="1">(1-$B$18)*SUMPRODUCT(OFFSET($BO$15,0,0,$B$14,1), 1*(_xlfn._xlws.FILTER(OFFSET($O$15,0,$DN276,$B$8,1),OFFSET($M$15,0,0,$B$8,1))=FO$13), 1*(_xlfn._xlws.FILTER(OFFSET($O$15,0,$DO276,$B$8,1),OFFSET($M$15,0,0,$B$8,1))=FO$14))   /   SUM(OFFSET($BO$15,0,0,$B$14,1)) + $B$18/($B$19*$B$19*($DN276&lt;&gt;$DO276) + $B$19*($DN276=$DO276))</f>
        <v>3.7037037037037035E-4</v>
      </c>
      <c r="FP276" s="10" cm="1">
        <f t="array" aca="1" ref="FP276" ca="1">(1-$B$18)*SUMPRODUCT(OFFSET($BO$15,0,0,$B$14,1), 1*(_xlfn._xlws.FILTER(OFFSET($O$15,0,$DN276,$B$8,1),OFFSET($M$15,0,0,$B$8,1))=FP$13), 1*(_xlfn._xlws.FILTER(OFFSET($O$15,0,$DO276,$B$8,1),OFFSET($M$15,0,0,$B$8,1))=FP$14))   /   SUM(OFFSET($BO$15,0,0,$B$14,1)) + $B$18/($B$19*$B$19*($DN276&lt;&gt;$DO276) + $B$19*($DN276=$DO276))</f>
        <v>3.7037037037037035E-4</v>
      </c>
      <c r="FQ276" s="10" cm="1">
        <f t="array" aca="1" ref="FQ276" ca="1">(1-$B$18)*SUMPRODUCT(OFFSET($BO$15,0,0,$B$14,1), 1*(_xlfn._xlws.FILTER(OFFSET($O$15,0,$DN276,$B$8,1),OFFSET($M$15,0,0,$B$8,1))=FQ$13), 1*(_xlfn._xlws.FILTER(OFFSET($O$15,0,$DO276,$B$8,1),OFFSET($M$15,0,0,$B$8,1))=FQ$14))   /   SUM(OFFSET($BO$15,0,0,$B$14,1)) + $B$18/($B$19*$B$19*($DN276&lt;&gt;$DO276) + $B$19*($DN276=$DO276))</f>
        <v>3.7037037037037035E-4</v>
      </c>
      <c r="FR276" s="10" cm="1">
        <f t="array" aca="1" ref="FR276" ca="1">(1-$B$18)*SUMPRODUCT(OFFSET($BO$15,0,0,$B$14,1), 1*(_xlfn._xlws.FILTER(OFFSET($O$15,0,$DN276,$B$8,1),OFFSET($M$15,0,0,$B$8,1))=FR$13), 1*(_xlfn._xlws.FILTER(OFFSET($O$15,0,$DO276,$B$8,1),OFFSET($M$15,0,0,$B$8,1))=FR$14))   /   SUM(OFFSET($BO$15,0,0,$B$14,1)) + $B$18/($B$19*$B$19*($DN276&lt;&gt;$DO276) + $B$19*($DN276=$DO276))</f>
        <v>3.7037037037037035E-4</v>
      </c>
      <c r="FS276" s="10" cm="1">
        <f t="array" aca="1" ref="FS276" ca="1">(1-$B$18)*SUMPRODUCT(OFFSET($BO$15,0,0,$B$14,1), 1*(_xlfn._xlws.FILTER(OFFSET($O$15,0,$DN276,$B$8,1),OFFSET($M$15,0,0,$B$8,1))=FS$13), 1*(_xlfn._xlws.FILTER(OFFSET($O$15,0,$DO276,$B$8,1),OFFSET($M$15,0,0,$B$8,1))=FS$14))   /   SUM(OFFSET($BO$15,0,0,$B$14,1)) + $B$18/($B$19*$B$19*($DN276&lt;&gt;$DO276) + $B$19*($DN276=$DO276))</f>
        <v>3.7037037037037035E-4</v>
      </c>
      <c r="FT276" s="10" cm="1">
        <f t="array" aca="1" ref="FT276" ca="1">(1-$B$18)*SUMPRODUCT(OFFSET($BO$15,0,0,$B$14,1), 1*(_xlfn._xlws.FILTER(OFFSET($O$15,0,$DN276,$B$8,1),OFFSET($M$15,0,0,$B$8,1))=FT$13), 1*(_xlfn._xlws.FILTER(OFFSET($O$15,0,$DO276,$B$8,1),OFFSET($M$15,0,0,$B$8,1))=FT$14))   /   SUM(OFFSET($BO$15,0,0,$B$14,1)) + $B$18/($B$19*$B$19*($DN276&lt;&gt;$DO276) + $B$19*($DN276=$DO276))</f>
        <v>3.7037037037037035E-4</v>
      </c>
      <c r="FU276" s="10" cm="1">
        <f t="array" aca="1" ref="FU276" ca="1">(1-$B$18)*SUMPRODUCT(OFFSET($BO$15,0,0,$B$14,1), 1*(_xlfn._xlws.FILTER(OFFSET($O$15,0,$DN276,$B$8,1),OFFSET($M$15,0,0,$B$8,1))=FU$13), 1*(_xlfn._xlws.FILTER(OFFSET($O$15,0,$DO276,$B$8,1),OFFSET($M$15,0,0,$B$8,1))=FU$14))   /   SUM(OFFSET($BO$15,0,0,$B$14,1)) + $B$18/($B$19*$B$19*($DN276&lt;&gt;$DO276) + $B$19*($DN276=$DO276))</f>
        <v>3.7037037037037035E-4</v>
      </c>
      <c r="FV276" s="10" cm="1">
        <f t="array" aca="1" ref="FV276" ca="1">(1-$B$18)*SUMPRODUCT(OFFSET($BO$15,0,0,$B$14,1), 1*(_xlfn._xlws.FILTER(OFFSET($O$15,0,$DN276,$B$8,1),OFFSET($M$15,0,0,$B$8,1))=FV$13), 1*(_xlfn._xlws.FILTER(OFFSET($O$15,0,$DO276,$B$8,1),OFFSET($M$15,0,0,$B$8,1))=FV$14))   /   SUM(OFFSET($BO$15,0,0,$B$14,1)) + $B$18/($B$19*$B$19*($DN276&lt;&gt;$DO276) + $B$19*($DN276=$DO276))</f>
        <v>3.7037037037037035E-4</v>
      </c>
      <c r="FW276" s="10" cm="1">
        <f t="array" aca="1" ref="FW276" ca="1">(1-$B$18)*SUMPRODUCT(OFFSET($BO$15,0,0,$B$14,1), 1*(_xlfn._xlws.FILTER(OFFSET($O$15,0,$DN276,$B$8,1),OFFSET($M$15,0,0,$B$8,1))=FW$13), 1*(_xlfn._xlws.FILTER(OFFSET($O$15,0,$DO276,$B$8,1),OFFSET($M$15,0,0,$B$8,1))=FW$14))   /   SUM(OFFSET($BO$15,0,0,$B$14,1)) + $B$18/($B$19*$B$19*($DN276&lt;&gt;$DO276) + $B$19*($DN276=$DO276))</f>
        <v>3.7037037037037035E-4</v>
      </c>
      <c r="FX276" s="10" cm="1">
        <f t="array" aca="1" ref="FX276" ca="1">(1-$B$18)*SUMPRODUCT(OFFSET($BO$15,0,0,$B$14,1), 1*(_xlfn._xlws.FILTER(OFFSET($O$15,0,$DN276,$B$8,1),OFFSET($M$15,0,0,$B$8,1))=FX$13), 1*(_xlfn._xlws.FILTER(OFFSET($O$15,0,$DO276,$B$8,1),OFFSET($M$15,0,0,$B$8,1))=FX$14))   /   SUM(OFFSET($BO$15,0,0,$B$14,1)) + $B$18/($B$19*$B$19*($DN276&lt;&gt;$DO276) + $B$19*($DN276=$DO276))</f>
        <v>3.7037037037037035E-4</v>
      </c>
      <c r="FY276" s="10" cm="1">
        <f t="array" aca="1" ref="FY276" ca="1">(1-$B$18)*SUMPRODUCT(OFFSET($BO$15,0,0,$B$14,1), 1*(_xlfn._xlws.FILTER(OFFSET($O$15,0,$DN276,$B$8,1),OFFSET($M$15,0,0,$B$8,1))=FY$13), 1*(_xlfn._xlws.FILTER(OFFSET($O$15,0,$DO276,$B$8,1),OFFSET($M$15,0,0,$B$8,1))=FY$14))   /   SUM(OFFSET($BO$15,0,0,$B$14,1)) + $B$18/($B$19*$B$19*($DN276&lt;&gt;$DO276) + $B$19*($DN276=$DO276))</f>
        <v>3.7037037037037035E-4</v>
      </c>
      <c r="FZ276" s="10" cm="1">
        <f t="array" aca="1" ref="FZ276" ca="1">(1-$B$18)*SUMPRODUCT(OFFSET($BO$15,0,0,$B$14,1), 1*(_xlfn._xlws.FILTER(OFFSET($O$15,0,$DN276,$B$8,1),OFFSET($M$15,0,0,$B$8,1))=FZ$13), 1*(_xlfn._xlws.FILTER(OFFSET($O$15,0,$DO276,$B$8,1),OFFSET($M$15,0,0,$B$8,1))=FZ$14))   /   SUM(OFFSET($BO$15,0,0,$B$14,1)) + $B$18/($B$19*$B$19*($DN276&lt;&gt;$DO276) + $B$19*($DN276=$DO276))</f>
        <v>3.7037037037037035E-4</v>
      </c>
      <c r="GA276" s="10" cm="1">
        <f t="array" aca="1" ref="GA276" ca="1">(1-$B$18)*SUMPRODUCT(OFFSET($BO$15,0,0,$B$14,1), 1*(_xlfn._xlws.FILTER(OFFSET($O$15,0,$DN276,$B$8,1),OFFSET($M$15,0,0,$B$8,1))=GA$13), 1*(_xlfn._xlws.FILTER(OFFSET($O$15,0,$DO276,$B$8,1),OFFSET($M$15,0,0,$B$8,1))=GA$14))   /   SUM(OFFSET($BO$15,0,0,$B$14,1)) + $B$18/($B$19*$B$19*($DN276&lt;&gt;$DO276) + $B$19*($DN276=$DO276))</f>
        <v>3.7037037037037035E-4</v>
      </c>
    </row>
    <row r="277" spans="118:183" x14ac:dyDescent="0.2">
      <c r="DN277" cm="1">
        <f t="array" aca="1" ref="DN277" ca="1">INDEX(_xlfn.ANCHORARRAY($CP$15), 1 + INT((ROWS($DO$15:$DO277) - 1) / ROWS(_xlfn.ANCHORARRAY($CP$15))))</f>
        <v>14</v>
      </c>
      <c r="DO277" cm="1">
        <f t="array" aca="1" ref="DO277" ca="1">INDEX(_xlfn.ANCHORARRAY($CP$15),1+MOD(ROWS($DO$15:$DO277)-1,ROWS(_xlfn.ANCHORARRAY($CP$15))))</f>
        <v>18</v>
      </c>
      <c r="DP277" s="10" cm="1">
        <f t="array" aca="1" ref="DP277" ca="1">(1-$B$18)*SUMPRODUCT(OFFSET($BO$15,0,0,$B$14,1), 1*(_xlfn._xlws.FILTER(OFFSET($O$15,0,$DN277,$B$8,1),OFFSET($M$15,0,0,$B$8,1))=DP$13), 1*(_xlfn._xlws.FILTER(OFFSET($O$15,0,$DO277,$B$8,1),OFFSET($M$15,0,0,$B$8,1))=DP$14))   /   SUM(OFFSET($BO$15,0,0,$B$14,1)) + $B$18/($B$19*$B$19*($DN277&lt;&gt;$DO277) + $B$19*($DN277=$DO277))</f>
        <v>3.7037037037037035E-4</v>
      </c>
      <c r="DQ277" s="10" cm="1">
        <f t="array" aca="1" ref="DQ277" ca="1">(1-$B$18)*SUMPRODUCT(OFFSET($BO$15,0,0,$B$14,1), 1*(_xlfn._xlws.FILTER(OFFSET($O$15,0,$DN277,$B$8,1),OFFSET($M$15,0,0,$B$8,1))=DQ$13), 1*(_xlfn._xlws.FILTER(OFFSET($O$15,0,$DO277,$B$8,1),OFFSET($M$15,0,0,$B$8,1))=DQ$14))   /   SUM(OFFSET($BO$15,0,0,$B$14,1)) + $B$18/($B$19*$B$19*($DN277&lt;&gt;$DO277) + $B$19*($DN277=$DO277))</f>
        <v>3.7037037037037035E-4</v>
      </c>
      <c r="DR277" s="10" cm="1">
        <f t="array" aca="1" ref="DR277" ca="1">(1-$B$18)*SUMPRODUCT(OFFSET($BO$15,0,0,$B$14,1), 1*(_xlfn._xlws.FILTER(OFFSET($O$15,0,$DN277,$B$8,1),OFFSET($M$15,0,0,$B$8,1))=DR$13), 1*(_xlfn._xlws.FILTER(OFFSET($O$15,0,$DO277,$B$8,1),OFFSET($M$15,0,0,$B$8,1))=DR$14))   /   SUM(OFFSET($BO$15,0,0,$B$14,1)) + $B$18/($B$19*$B$19*($DN277&lt;&gt;$DO277) + $B$19*($DN277=$DO277))</f>
        <v>3.7037037037037035E-4</v>
      </c>
      <c r="DS277" s="10" cm="1">
        <f t="array" aca="1" ref="DS277" ca="1">(1-$B$18)*SUMPRODUCT(OFFSET($BO$15,0,0,$B$14,1), 1*(_xlfn._xlws.FILTER(OFFSET($O$15,0,$DN277,$B$8,1),OFFSET($M$15,0,0,$B$8,1))=DS$13), 1*(_xlfn._xlws.FILTER(OFFSET($O$15,0,$DO277,$B$8,1),OFFSET($M$15,0,0,$B$8,1))=DS$14))   /   SUM(OFFSET($BO$15,0,0,$B$14,1)) + $B$18/($B$19*$B$19*($DN277&lt;&gt;$DO277) + $B$19*($DN277=$DO277))</f>
        <v>3.7037037037037035E-4</v>
      </c>
      <c r="DT277" s="10" cm="1">
        <f t="array" aca="1" ref="DT277" ca="1">(1-$B$18)*SUMPRODUCT(OFFSET($BO$15,0,0,$B$14,1), 1*(_xlfn._xlws.FILTER(OFFSET($O$15,0,$DN277,$B$8,1),OFFSET($M$15,0,0,$B$8,1))=DT$13), 1*(_xlfn._xlws.FILTER(OFFSET($O$15,0,$DO277,$B$8,1),OFFSET($M$15,0,0,$B$8,1))=DT$14))   /   SUM(OFFSET($BO$15,0,0,$B$14,1)) + $B$18/($B$19*$B$19*($DN277&lt;&gt;$DO277) + $B$19*($DN277=$DO277))</f>
        <v>3.7037037037037035E-4</v>
      </c>
      <c r="DU277" s="10" cm="1">
        <f t="array" aca="1" ref="DU277" ca="1">(1-$B$18)*SUMPRODUCT(OFFSET($BO$15,0,0,$B$14,1), 1*(_xlfn._xlws.FILTER(OFFSET($O$15,0,$DN277,$B$8,1),OFFSET($M$15,0,0,$B$8,1))=DU$13), 1*(_xlfn._xlws.FILTER(OFFSET($O$15,0,$DO277,$B$8,1),OFFSET($M$15,0,0,$B$8,1))=DU$14))   /   SUM(OFFSET($BO$15,0,0,$B$14,1)) + $B$18/($B$19*$B$19*($DN277&lt;&gt;$DO277) + $B$19*($DN277=$DO277))</f>
        <v>3.7037037037037035E-4</v>
      </c>
      <c r="DV277" s="10" cm="1">
        <f t="array" aca="1" ref="DV277" ca="1">(1-$B$18)*SUMPRODUCT(OFFSET($BO$15,0,0,$B$14,1), 1*(_xlfn._xlws.FILTER(OFFSET($O$15,0,$DN277,$B$8,1),OFFSET($M$15,0,0,$B$8,1))=DV$13), 1*(_xlfn._xlws.FILTER(OFFSET($O$15,0,$DO277,$B$8,1),OFFSET($M$15,0,0,$B$8,1))=DV$14))   /   SUM(OFFSET($BO$15,0,0,$B$14,1)) + $B$18/($B$19*$B$19*($DN277&lt;&gt;$DO277) + $B$19*($DN277=$DO277))</f>
        <v>3.7037037037037035E-4</v>
      </c>
      <c r="DW277" s="10" cm="1">
        <f t="array" aca="1" ref="DW277" ca="1">(1-$B$18)*SUMPRODUCT(OFFSET($BO$15,0,0,$B$14,1), 1*(_xlfn._xlws.FILTER(OFFSET($O$15,0,$DN277,$B$8,1),OFFSET($M$15,0,0,$B$8,1))=DW$13), 1*(_xlfn._xlws.FILTER(OFFSET($O$15,0,$DO277,$B$8,1),OFFSET($M$15,0,0,$B$8,1))=DW$14))   /   SUM(OFFSET($BO$15,0,0,$B$14,1)) + $B$18/($B$19*$B$19*($DN277&lt;&gt;$DO277) + $B$19*($DN277=$DO277))</f>
        <v>3.7037037037037035E-4</v>
      </c>
      <c r="DX277" s="10" cm="1">
        <f t="array" aca="1" ref="DX277" ca="1">(1-$B$18)*SUMPRODUCT(OFFSET($BO$15,0,0,$B$14,1), 1*(_xlfn._xlws.FILTER(OFFSET($O$15,0,$DN277,$B$8,1),OFFSET($M$15,0,0,$B$8,1))=DX$13), 1*(_xlfn._xlws.FILTER(OFFSET($O$15,0,$DO277,$B$8,1),OFFSET($M$15,0,0,$B$8,1))=DX$14))   /   SUM(OFFSET($BO$15,0,0,$B$14,1)) + $B$18/($B$19*$B$19*($DN277&lt;&gt;$DO277) + $B$19*($DN277=$DO277))</f>
        <v>3.7037037037037035E-4</v>
      </c>
      <c r="DY277" s="10" cm="1">
        <f t="array" aca="1" ref="DY277" ca="1">(1-$B$18)*SUMPRODUCT(OFFSET($BO$15,0,0,$B$14,1), 1*(_xlfn._xlws.FILTER(OFFSET($O$15,0,$DN277,$B$8,1),OFFSET($M$15,0,0,$B$8,1))=DY$13), 1*(_xlfn._xlws.FILTER(OFFSET($O$15,0,$DO277,$B$8,1),OFFSET($M$15,0,0,$B$8,1))=DY$14))   /   SUM(OFFSET($BO$15,0,0,$B$14,1)) + $B$18/($B$19*$B$19*($DN277&lt;&gt;$DO277) + $B$19*($DN277=$DO277))</f>
        <v>3.7037037037037035E-4</v>
      </c>
      <c r="DZ277" s="10" cm="1">
        <f t="array" aca="1" ref="DZ277" ca="1">(1-$B$18)*SUMPRODUCT(OFFSET($BO$15,0,0,$B$14,1), 1*(_xlfn._xlws.FILTER(OFFSET($O$15,0,$DN277,$B$8,1),OFFSET($M$15,0,0,$B$8,1))=DZ$13), 1*(_xlfn._xlws.FILTER(OFFSET($O$15,0,$DO277,$B$8,1),OFFSET($M$15,0,0,$B$8,1))=DZ$14))   /   SUM(OFFSET($BO$15,0,0,$B$14,1)) + $B$18/($B$19*$B$19*($DN277&lt;&gt;$DO277) + $B$19*($DN277=$DO277))</f>
        <v>3.7037037037037035E-4</v>
      </c>
      <c r="EA277" s="10" cm="1">
        <f t="array" aca="1" ref="EA277" ca="1">(1-$B$18)*SUMPRODUCT(OFFSET($BO$15,0,0,$B$14,1), 1*(_xlfn._xlws.FILTER(OFFSET($O$15,0,$DN277,$B$8,1),OFFSET($M$15,0,0,$B$8,1))=EA$13), 1*(_xlfn._xlws.FILTER(OFFSET($O$15,0,$DO277,$B$8,1),OFFSET($M$15,0,0,$B$8,1))=EA$14))   /   SUM(OFFSET($BO$15,0,0,$B$14,1)) + $B$18/($B$19*$B$19*($DN277&lt;&gt;$DO277) + $B$19*($DN277=$DO277))</f>
        <v>3.7037037037037035E-4</v>
      </c>
      <c r="EB277" s="10" cm="1">
        <f t="array" aca="1" ref="EB277" ca="1">(1-$B$18)*SUMPRODUCT(OFFSET($BO$15,0,0,$B$14,1), 1*(_xlfn._xlws.FILTER(OFFSET($O$15,0,$DN277,$B$8,1),OFFSET($M$15,0,0,$B$8,1))=EB$13), 1*(_xlfn._xlws.FILTER(OFFSET($O$15,0,$DO277,$B$8,1),OFFSET($M$15,0,0,$B$8,1))=EB$14))   /   SUM(OFFSET($BO$15,0,0,$B$14,1)) + $B$18/($B$19*$B$19*($DN277&lt;&gt;$DO277) + $B$19*($DN277=$DO277))</f>
        <v>3.7037037037037035E-4</v>
      </c>
      <c r="EC277" s="10" cm="1">
        <f t="array" aca="1" ref="EC277" ca="1">(1-$B$18)*SUMPRODUCT(OFFSET($BO$15,0,0,$B$14,1), 1*(_xlfn._xlws.FILTER(OFFSET($O$15,0,$DN277,$B$8,1),OFFSET($M$15,0,0,$B$8,1))=EC$13), 1*(_xlfn._xlws.FILTER(OFFSET($O$15,0,$DO277,$B$8,1),OFFSET($M$15,0,0,$B$8,1))=EC$14))   /   SUM(OFFSET($BO$15,0,0,$B$14,1)) + $B$18/($B$19*$B$19*($DN277&lt;&gt;$DO277) + $B$19*($DN277=$DO277))</f>
        <v>3.7037037037037035E-4</v>
      </c>
      <c r="ED277" s="10" cm="1">
        <f t="array" aca="1" ref="ED277" ca="1">(1-$B$18)*SUMPRODUCT(OFFSET($BO$15,0,0,$B$14,1), 1*(_xlfn._xlws.FILTER(OFFSET($O$15,0,$DN277,$B$8,1),OFFSET($M$15,0,0,$B$8,1))=ED$13), 1*(_xlfn._xlws.FILTER(OFFSET($O$15,0,$DO277,$B$8,1),OFFSET($M$15,0,0,$B$8,1))=ED$14))   /   SUM(OFFSET($BO$15,0,0,$B$14,1)) + $B$18/($B$19*$B$19*($DN277&lt;&gt;$DO277) + $B$19*($DN277=$DO277))</f>
        <v>3.7037037037037035E-4</v>
      </c>
      <c r="EE277" s="10" cm="1">
        <f t="array" aca="1" ref="EE277" ca="1">(1-$B$18)*SUMPRODUCT(OFFSET($BO$15,0,0,$B$14,1), 1*(_xlfn._xlws.FILTER(OFFSET($O$15,0,$DN277,$B$8,1),OFFSET($M$15,0,0,$B$8,1))=EE$13), 1*(_xlfn._xlws.FILTER(OFFSET($O$15,0,$DO277,$B$8,1),OFFSET($M$15,0,0,$B$8,1))=EE$14))   /   SUM(OFFSET($BO$15,0,0,$B$14,1)) + $B$18/($B$19*$B$19*($DN277&lt;&gt;$DO277) + $B$19*($DN277=$DO277))</f>
        <v>3.7037037037037035E-4</v>
      </c>
      <c r="EF277" s="10" cm="1">
        <f t="array" aca="1" ref="EF277" ca="1">(1-$B$18)*SUMPRODUCT(OFFSET($BO$15,0,0,$B$14,1), 1*(_xlfn._xlws.FILTER(OFFSET($O$15,0,$DN277,$B$8,1),OFFSET($M$15,0,0,$B$8,1))=EF$13), 1*(_xlfn._xlws.FILTER(OFFSET($O$15,0,$DO277,$B$8,1),OFFSET($M$15,0,0,$B$8,1))=EF$14))   /   SUM(OFFSET($BO$15,0,0,$B$14,1)) + $B$18/($B$19*$B$19*($DN277&lt;&gt;$DO277) + $B$19*($DN277=$DO277))</f>
        <v>3.7037037037037035E-4</v>
      </c>
      <c r="EG277" s="10" cm="1">
        <f t="array" aca="1" ref="EG277" ca="1">(1-$B$18)*SUMPRODUCT(OFFSET($BO$15,0,0,$B$14,1), 1*(_xlfn._xlws.FILTER(OFFSET($O$15,0,$DN277,$B$8,1),OFFSET($M$15,0,0,$B$8,1))=EG$13), 1*(_xlfn._xlws.FILTER(OFFSET($O$15,0,$DO277,$B$8,1),OFFSET($M$15,0,0,$B$8,1))=EG$14))   /   SUM(OFFSET($BO$15,0,0,$B$14,1)) + $B$18/($B$19*$B$19*($DN277&lt;&gt;$DO277) + $B$19*($DN277=$DO277))</f>
        <v>3.7037037037037035E-4</v>
      </c>
      <c r="EH277" s="10" cm="1">
        <f t="array" aca="1" ref="EH277" ca="1">(1-$B$18)*SUMPRODUCT(OFFSET($BO$15,0,0,$B$14,1), 1*(_xlfn._xlws.FILTER(OFFSET($O$15,0,$DN277,$B$8,1),OFFSET($M$15,0,0,$B$8,1))=EH$13), 1*(_xlfn._xlws.FILTER(OFFSET($O$15,0,$DO277,$B$8,1),OFFSET($M$15,0,0,$B$8,1))=EH$14))   /   SUM(OFFSET($BO$15,0,0,$B$14,1)) + $B$18/($B$19*$B$19*($DN277&lt;&gt;$DO277) + $B$19*($DN277=$DO277))</f>
        <v>3.7037037037037035E-4</v>
      </c>
      <c r="EI277" s="10" cm="1">
        <f t="array" aca="1" ref="EI277" ca="1">(1-$B$18)*SUMPRODUCT(OFFSET($BO$15,0,0,$B$14,1), 1*(_xlfn._xlws.FILTER(OFFSET($O$15,0,$DN277,$B$8,1),OFFSET($M$15,0,0,$B$8,1))=EI$13), 1*(_xlfn._xlws.FILTER(OFFSET($O$15,0,$DO277,$B$8,1),OFFSET($M$15,0,0,$B$8,1))=EI$14))   /   SUM(OFFSET($BO$15,0,0,$B$14,1)) + $B$18/($B$19*$B$19*($DN277&lt;&gt;$DO277) + $B$19*($DN277=$DO277))</f>
        <v>0.97037037037037033</v>
      </c>
      <c r="EJ277" s="10" cm="1">
        <f t="array" aca="1" ref="EJ277" ca="1">(1-$B$18)*SUMPRODUCT(OFFSET($BO$15,0,0,$B$14,1), 1*(_xlfn._xlws.FILTER(OFFSET($O$15,0,$DN277,$B$8,1),OFFSET($M$15,0,0,$B$8,1))=EJ$13), 1*(_xlfn._xlws.FILTER(OFFSET($O$15,0,$DO277,$B$8,1),OFFSET($M$15,0,0,$B$8,1))=EJ$14))   /   SUM(OFFSET($BO$15,0,0,$B$14,1)) + $B$18/($B$19*$B$19*($DN277&lt;&gt;$DO277) + $B$19*($DN277=$DO277))</f>
        <v>3.7037037037037035E-4</v>
      </c>
      <c r="EK277" s="10" cm="1">
        <f t="array" aca="1" ref="EK277" ca="1">(1-$B$18)*SUMPRODUCT(OFFSET($BO$15,0,0,$B$14,1), 1*(_xlfn._xlws.FILTER(OFFSET($O$15,0,$DN277,$B$8,1),OFFSET($M$15,0,0,$B$8,1))=EK$13), 1*(_xlfn._xlws.FILTER(OFFSET($O$15,0,$DO277,$B$8,1),OFFSET($M$15,0,0,$B$8,1))=EK$14))   /   SUM(OFFSET($BO$15,0,0,$B$14,1)) + $B$18/($B$19*$B$19*($DN277&lt;&gt;$DO277) + $B$19*($DN277=$DO277))</f>
        <v>3.7037037037037035E-4</v>
      </c>
      <c r="EL277" s="10" cm="1">
        <f t="array" aca="1" ref="EL277" ca="1">(1-$B$18)*SUMPRODUCT(OFFSET($BO$15,0,0,$B$14,1), 1*(_xlfn._xlws.FILTER(OFFSET($O$15,0,$DN277,$B$8,1),OFFSET($M$15,0,0,$B$8,1))=EL$13), 1*(_xlfn._xlws.FILTER(OFFSET($O$15,0,$DO277,$B$8,1),OFFSET($M$15,0,0,$B$8,1))=EL$14))   /   SUM(OFFSET($BO$15,0,0,$B$14,1)) + $B$18/($B$19*$B$19*($DN277&lt;&gt;$DO277) + $B$19*($DN277=$DO277))</f>
        <v>3.7037037037037035E-4</v>
      </c>
      <c r="EM277" s="10" cm="1">
        <f t="array" aca="1" ref="EM277" ca="1">(1-$B$18)*SUMPRODUCT(OFFSET($BO$15,0,0,$B$14,1), 1*(_xlfn._xlws.FILTER(OFFSET($O$15,0,$DN277,$B$8,1),OFFSET($M$15,0,0,$B$8,1))=EM$13), 1*(_xlfn._xlws.FILTER(OFFSET($O$15,0,$DO277,$B$8,1),OFFSET($M$15,0,0,$B$8,1))=EM$14))   /   SUM(OFFSET($BO$15,0,0,$B$14,1)) + $B$18/($B$19*$B$19*($DN277&lt;&gt;$DO277) + $B$19*($DN277=$DO277))</f>
        <v>3.7037037037037035E-4</v>
      </c>
      <c r="EN277" s="10" cm="1">
        <f t="array" aca="1" ref="EN277" ca="1">(1-$B$18)*SUMPRODUCT(OFFSET($BO$15,0,0,$B$14,1), 1*(_xlfn._xlws.FILTER(OFFSET($O$15,0,$DN277,$B$8,1),OFFSET($M$15,0,0,$B$8,1))=EN$13), 1*(_xlfn._xlws.FILTER(OFFSET($O$15,0,$DO277,$B$8,1),OFFSET($M$15,0,0,$B$8,1))=EN$14))   /   SUM(OFFSET($BO$15,0,0,$B$14,1)) + $B$18/($B$19*$B$19*($DN277&lt;&gt;$DO277) + $B$19*($DN277=$DO277))</f>
        <v>3.7037037037037035E-4</v>
      </c>
      <c r="EO277" s="10" cm="1">
        <f t="array" aca="1" ref="EO277" ca="1">(1-$B$18)*SUMPRODUCT(OFFSET($BO$15,0,0,$B$14,1), 1*(_xlfn._xlws.FILTER(OFFSET($O$15,0,$DN277,$B$8,1),OFFSET($M$15,0,0,$B$8,1))=EO$13), 1*(_xlfn._xlws.FILTER(OFFSET($O$15,0,$DO277,$B$8,1),OFFSET($M$15,0,0,$B$8,1))=EO$14))   /   SUM(OFFSET($BO$15,0,0,$B$14,1)) + $B$18/($B$19*$B$19*($DN277&lt;&gt;$DO277) + $B$19*($DN277=$DO277))</f>
        <v>3.7037037037037035E-4</v>
      </c>
      <c r="EP277" s="10" cm="1">
        <f t="array" aca="1" ref="EP277" ca="1">(1-$B$18)*SUMPRODUCT(OFFSET($BO$15,0,0,$B$14,1), 1*(_xlfn._xlws.FILTER(OFFSET($O$15,0,$DN277,$B$8,1),OFFSET($M$15,0,0,$B$8,1))=EP$13), 1*(_xlfn._xlws.FILTER(OFFSET($O$15,0,$DO277,$B$8,1),OFFSET($M$15,0,0,$B$8,1))=EP$14))   /   SUM(OFFSET($BO$15,0,0,$B$14,1)) + $B$18/($B$19*$B$19*($DN277&lt;&gt;$DO277) + $B$19*($DN277=$DO277))</f>
        <v>3.7037037037037035E-4</v>
      </c>
      <c r="EQ277" s="10" cm="1">
        <f t="array" aca="1" ref="EQ277" ca="1">(1-$B$18)*SUMPRODUCT(OFFSET($BO$15,0,0,$B$14,1), 1*(_xlfn._xlws.FILTER(OFFSET($O$15,0,$DN277,$B$8,1),OFFSET($M$15,0,0,$B$8,1))=EQ$13), 1*(_xlfn._xlws.FILTER(OFFSET($O$15,0,$DO277,$B$8,1),OFFSET($M$15,0,0,$B$8,1))=EQ$14))   /   SUM(OFFSET($BO$15,0,0,$B$14,1)) + $B$18/($B$19*$B$19*($DN277&lt;&gt;$DO277) + $B$19*($DN277=$DO277))</f>
        <v>3.7037037037037035E-4</v>
      </c>
      <c r="ER277" s="10" cm="1">
        <f t="array" aca="1" ref="ER277" ca="1">(1-$B$18)*SUMPRODUCT(OFFSET($BO$15,0,0,$B$14,1), 1*(_xlfn._xlws.FILTER(OFFSET($O$15,0,$DN277,$B$8,1),OFFSET($M$15,0,0,$B$8,1))=ER$13), 1*(_xlfn._xlws.FILTER(OFFSET($O$15,0,$DO277,$B$8,1),OFFSET($M$15,0,0,$B$8,1))=ER$14))   /   SUM(OFFSET($BO$15,0,0,$B$14,1)) + $B$18/($B$19*$B$19*($DN277&lt;&gt;$DO277) + $B$19*($DN277=$DO277))</f>
        <v>3.7037037037037035E-4</v>
      </c>
      <c r="ES277" s="10" cm="1">
        <f t="array" aca="1" ref="ES277" ca="1">(1-$B$18)*SUMPRODUCT(OFFSET($BO$15,0,0,$B$14,1), 1*(_xlfn._xlws.FILTER(OFFSET($O$15,0,$DN277,$B$8,1),OFFSET($M$15,0,0,$B$8,1))=ES$13), 1*(_xlfn._xlws.FILTER(OFFSET($O$15,0,$DO277,$B$8,1),OFFSET($M$15,0,0,$B$8,1))=ES$14))   /   SUM(OFFSET($BO$15,0,0,$B$14,1)) + $B$18/($B$19*$B$19*($DN277&lt;&gt;$DO277) + $B$19*($DN277=$DO277))</f>
        <v>3.7037037037037035E-4</v>
      </c>
      <c r="ET277" s="10" cm="1">
        <f t="array" aca="1" ref="ET277" ca="1">(1-$B$18)*SUMPRODUCT(OFFSET($BO$15,0,0,$B$14,1), 1*(_xlfn._xlws.FILTER(OFFSET($O$15,0,$DN277,$B$8,1),OFFSET($M$15,0,0,$B$8,1))=ET$13), 1*(_xlfn._xlws.FILTER(OFFSET($O$15,0,$DO277,$B$8,1),OFFSET($M$15,0,0,$B$8,1))=ET$14))   /   SUM(OFFSET($BO$15,0,0,$B$14,1)) + $B$18/($B$19*$B$19*($DN277&lt;&gt;$DO277) + $B$19*($DN277=$DO277))</f>
        <v>3.7037037037037035E-4</v>
      </c>
      <c r="EU277" s="10" cm="1">
        <f t="array" aca="1" ref="EU277" ca="1">(1-$B$18)*SUMPRODUCT(OFFSET($BO$15,0,0,$B$14,1), 1*(_xlfn._xlws.FILTER(OFFSET($O$15,0,$DN277,$B$8,1),OFFSET($M$15,0,0,$B$8,1))=EU$13), 1*(_xlfn._xlws.FILTER(OFFSET($O$15,0,$DO277,$B$8,1),OFFSET($M$15,0,0,$B$8,1))=EU$14))   /   SUM(OFFSET($BO$15,0,0,$B$14,1)) + $B$18/($B$19*$B$19*($DN277&lt;&gt;$DO277) + $B$19*($DN277=$DO277))</f>
        <v>3.7037037037037035E-4</v>
      </c>
      <c r="EV277" s="10" cm="1">
        <f t="array" aca="1" ref="EV277" ca="1">(1-$B$18)*SUMPRODUCT(OFFSET($BO$15,0,0,$B$14,1), 1*(_xlfn._xlws.FILTER(OFFSET($O$15,0,$DN277,$B$8,1),OFFSET($M$15,0,0,$B$8,1))=EV$13), 1*(_xlfn._xlws.FILTER(OFFSET($O$15,0,$DO277,$B$8,1),OFFSET($M$15,0,0,$B$8,1))=EV$14))   /   SUM(OFFSET($BO$15,0,0,$B$14,1)) + $B$18/($B$19*$B$19*($DN277&lt;&gt;$DO277) + $B$19*($DN277=$DO277))</f>
        <v>3.7037037037037035E-4</v>
      </c>
      <c r="EW277" s="10" cm="1">
        <f t="array" aca="1" ref="EW277" ca="1">(1-$B$18)*SUMPRODUCT(OFFSET($BO$15,0,0,$B$14,1), 1*(_xlfn._xlws.FILTER(OFFSET($O$15,0,$DN277,$B$8,1),OFFSET($M$15,0,0,$B$8,1))=EW$13), 1*(_xlfn._xlws.FILTER(OFFSET($O$15,0,$DO277,$B$8,1),OFFSET($M$15,0,0,$B$8,1))=EW$14))   /   SUM(OFFSET($BO$15,0,0,$B$14,1)) + $B$18/($B$19*$B$19*($DN277&lt;&gt;$DO277) + $B$19*($DN277=$DO277))</f>
        <v>3.7037037037037035E-4</v>
      </c>
      <c r="EX277" s="10" cm="1">
        <f t="array" aca="1" ref="EX277" ca="1">(1-$B$18)*SUMPRODUCT(OFFSET($BO$15,0,0,$B$14,1), 1*(_xlfn._xlws.FILTER(OFFSET($O$15,0,$DN277,$B$8,1),OFFSET($M$15,0,0,$B$8,1))=EX$13), 1*(_xlfn._xlws.FILTER(OFFSET($O$15,0,$DO277,$B$8,1),OFFSET($M$15,0,0,$B$8,1))=EX$14))   /   SUM(OFFSET($BO$15,0,0,$B$14,1)) + $B$18/($B$19*$B$19*($DN277&lt;&gt;$DO277) + $B$19*($DN277=$DO277))</f>
        <v>3.7037037037037035E-4</v>
      </c>
      <c r="EY277" s="10" cm="1">
        <f t="array" aca="1" ref="EY277" ca="1">(1-$B$18)*SUMPRODUCT(OFFSET($BO$15,0,0,$B$14,1), 1*(_xlfn._xlws.FILTER(OFFSET($O$15,0,$DN277,$B$8,1),OFFSET($M$15,0,0,$B$8,1))=EY$13), 1*(_xlfn._xlws.FILTER(OFFSET($O$15,0,$DO277,$B$8,1),OFFSET($M$15,0,0,$B$8,1))=EY$14))   /   SUM(OFFSET($BO$15,0,0,$B$14,1)) + $B$18/($B$19*$B$19*($DN277&lt;&gt;$DO277) + $B$19*($DN277=$DO277))</f>
        <v>3.7037037037037035E-4</v>
      </c>
      <c r="EZ277" s="10" cm="1">
        <f t="array" aca="1" ref="EZ277" ca="1">(1-$B$18)*SUMPRODUCT(OFFSET($BO$15,0,0,$B$14,1), 1*(_xlfn._xlws.FILTER(OFFSET($O$15,0,$DN277,$B$8,1),OFFSET($M$15,0,0,$B$8,1))=EZ$13), 1*(_xlfn._xlws.FILTER(OFFSET($O$15,0,$DO277,$B$8,1),OFFSET($M$15,0,0,$B$8,1))=EZ$14))   /   SUM(OFFSET($BO$15,0,0,$B$14,1)) + $B$18/($B$19*$B$19*($DN277&lt;&gt;$DO277) + $B$19*($DN277=$DO277))</f>
        <v>3.7037037037037035E-4</v>
      </c>
      <c r="FA277" s="10" cm="1">
        <f t="array" aca="1" ref="FA277" ca="1">(1-$B$18)*SUMPRODUCT(OFFSET($BO$15,0,0,$B$14,1), 1*(_xlfn._xlws.FILTER(OFFSET($O$15,0,$DN277,$B$8,1),OFFSET($M$15,0,0,$B$8,1))=FA$13), 1*(_xlfn._xlws.FILTER(OFFSET($O$15,0,$DO277,$B$8,1),OFFSET($M$15,0,0,$B$8,1))=FA$14))   /   SUM(OFFSET($BO$15,0,0,$B$14,1)) + $B$18/($B$19*$B$19*($DN277&lt;&gt;$DO277) + $B$19*($DN277=$DO277))</f>
        <v>3.7037037037037035E-4</v>
      </c>
      <c r="FB277" s="10" cm="1">
        <f t="array" aca="1" ref="FB277" ca="1">(1-$B$18)*SUMPRODUCT(OFFSET($BO$15,0,0,$B$14,1), 1*(_xlfn._xlws.FILTER(OFFSET($O$15,0,$DN277,$B$8,1),OFFSET($M$15,0,0,$B$8,1))=FB$13), 1*(_xlfn._xlws.FILTER(OFFSET($O$15,0,$DO277,$B$8,1),OFFSET($M$15,0,0,$B$8,1))=FB$14))   /   SUM(OFFSET($BO$15,0,0,$B$14,1)) + $B$18/($B$19*$B$19*($DN277&lt;&gt;$DO277) + $B$19*($DN277=$DO277))</f>
        <v>3.7037037037037035E-4</v>
      </c>
      <c r="FC277" s="10" cm="1">
        <f t="array" aca="1" ref="FC277" ca="1">(1-$B$18)*SUMPRODUCT(OFFSET($BO$15,0,0,$B$14,1), 1*(_xlfn._xlws.FILTER(OFFSET($O$15,0,$DN277,$B$8,1),OFFSET($M$15,0,0,$B$8,1))=FC$13), 1*(_xlfn._xlws.FILTER(OFFSET($O$15,0,$DO277,$B$8,1),OFFSET($M$15,0,0,$B$8,1))=FC$14))   /   SUM(OFFSET($BO$15,0,0,$B$14,1)) + $B$18/($B$19*$B$19*($DN277&lt;&gt;$DO277) + $B$19*($DN277=$DO277))</f>
        <v>3.7037037037037035E-4</v>
      </c>
      <c r="FD277" s="10" cm="1">
        <f t="array" aca="1" ref="FD277" ca="1">(1-$B$18)*SUMPRODUCT(OFFSET($BO$15,0,0,$B$14,1), 1*(_xlfn._xlws.FILTER(OFFSET($O$15,0,$DN277,$B$8,1),OFFSET($M$15,0,0,$B$8,1))=FD$13), 1*(_xlfn._xlws.FILTER(OFFSET($O$15,0,$DO277,$B$8,1),OFFSET($M$15,0,0,$B$8,1))=FD$14))   /   SUM(OFFSET($BO$15,0,0,$B$14,1)) + $B$18/($B$19*$B$19*($DN277&lt;&gt;$DO277) + $B$19*($DN277=$DO277))</f>
        <v>3.7037037037037035E-4</v>
      </c>
      <c r="FE277" s="10" cm="1">
        <f t="array" aca="1" ref="FE277" ca="1">(1-$B$18)*SUMPRODUCT(OFFSET($BO$15,0,0,$B$14,1), 1*(_xlfn._xlws.FILTER(OFFSET($O$15,0,$DN277,$B$8,1),OFFSET($M$15,0,0,$B$8,1))=FE$13), 1*(_xlfn._xlws.FILTER(OFFSET($O$15,0,$DO277,$B$8,1),OFFSET($M$15,0,0,$B$8,1))=FE$14))   /   SUM(OFFSET($BO$15,0,0,$B$14,1)) + $B$18/($B$19*$B$19*($DN277&lt;&gt;$DO277) + $B$19*($DN277=$DO277))</f>
        <v>3.7037037037037035E-4</v>
      </c>
      <c r="FF277" s="10" cm="1">
        <f t="array" aca="1" ref="FF277" ca="1">(1-$B$18)*SUMPRODUCT(OFFSET($BO$15,0,0,$B$14,1), 1*(_xlfn._xlws.FILTER(OFFSET($O$15,0,$DN277,$B$8,1),OFFSET($M$15,0,0,$B$8,1))=FF$13), 1*(_xlfn._xlws.FILTER(OFFSET($O$15,0,$DO277,$B$8,1),OFFSET($M$15,0,0,$B$8,1))=FF$14))   /   SUM(OFFSET($BO$15,0,0,$B$14,1)) + $B$18/($B$19*$B$19*($DN277&lt;&gt;$DO277) + $B$19*($DN277=$DO277))</f>
        <v>3.7037037037037035E-4</v>
      </c>
      <c r="FG277" s="10" cm="1">
        <f t="array" aca="1" ref="FG277" ca="1">(1-$B$18)*SUMPRODUCT(OFFSET($BO$15,0,0,$B$14,1), 1*(_xlfn._xlws.FILTER(OFFSET($O$15,0,$DN277,$B$8,1),OFFSET($M$15,0,0,$B$8,1))=FG$13), 1*(_xlfn._xlws.FILTER(OFFSET($O$15,0,$DO277,$B$8,1),OFFSET($M$15,0,0,$B$8,1))=FG$14))   /   SUM(OFFSET($BO$15,0,0,$B$14,1)) + $B$18/($B$19*$B$19*($DN277&lt;&gt;$DO277) + $B$19*($DN277=$DO277))</f>
        <v>3.7037037037037035E-4</v>
      </c>
      <c r="FH277" s="10" cm="1">
        <f t="array" aca="1" ref="FH277" ca="1">(1-$B$18)*SUMPRODUCT(OFFSET($BO$15,0,0,$B$14,1), 1*(_xlfn._xlws.FILTER(OFFSET($O$15,0,$DN277,$B$8,1),OFFSET($M$15,0,0,$B$8,1))=FH$13), 1*(_xlfn._xlws.FILTER(OFFSET($O$15,0,$DO277,$B$8,1),OFFSET($M$15,0,0,$B$8,1))=FH$14))   /   SUM(OFFSET($BO$15,0,0,$B$14,1)) + $B$18/($B$19*$B$19*($DN277&lt;&gt;$DO277) + $B$19*($DN277=$DO277))</f>
        <v>3.7037037037037035E-4</v>
      </c>
      <c r="FI277" s="10" cm="1">
        <f t="array" aca="1" ref="FI277" ca="1">(1-$B$18)*SUMPRODUCT(OFFSET($BO$15,0,0,$B$14,1), 1*(_xlfn._xlws.FILTER(OFFSET($O$15,0,$DN277,$B$8,1),OFFSET($M$15,0,0,$B$8,1))=FI$13), 1*(_xlfn._xlws.FILTER(OFFSET($O$15,0,$DO277,$B$8,1),OFFSET($M$15,0,0,$B$8,1))=FI$14))   /   SUM(OFFSET($BO$15,0,0,$B$14,1)) + $B$18/($B$19*$B$19*($DN277&lt;&gt;$DO277) + $B$19*($DN277=$DO277))</f>
        <v>3.7037037037037035E-4</v>
      </c>
      <c r="FJ277" s="10" cm="1">
        <f t="array" aca="1" ref="FJ277" ca="1">(1-$B$18)*SUMPRODUCT(OFFSET($BO$15,0,0,$B$14,1), 1*(_xlfn._xlws.FILTER(OFFSET($O$15,0,$DN277,$B$8,1),OFFSET($M$15,0,0,$B$8,1))=FJ$13), 1*(_xlfn._xlws.FILTER(OFFSET($O$15,0,$DO277,$B$8,1),OFFSET($M$15,0,0,$B$8,1))=FJ$14))   /   SUM(OFFSET($BO$15,0,0,$B$14,1)) + $B$18/($B$19*$B$19*($DN277&lt;&gt;$DO277) + $B$19*($DN277=$DO277))</f>
        <v>3.7037037037037035E-4</v>
      </c>
      <c r="FK277" s="10" cm="1">
        <f t="array" aca="1" ref="FK277" ca="1">(1-$B$18)*SUMPRODUCT(OFFSET($BO$15,0,0,$B$14,1), 1*(_xlfn._xlws.FILTER(OFFSET($O$15,0,$DN277,$B$8,1),OFFSET($M$15,0,0,$B$8,1))=FK$13), 1*(_xlfn._xlws.FILTER(OFFSET($O$15,0,$DO277,$B$8,1),OFFSET($M$15,0,0,$B$8,1))=FK$14))   /   SUM(OFFSET($BO$15,0,0,$B$14,1)) + $B$18/($B$19*$B$19*($DN277&lt;&gt;$DO277) + $B$19*($DN277=$DO277))</f>
        <v>3.7037037037037035E-4</v>
      </c>
      <c r="FL277" s="10" cm="1">
        <f t="array" aca="1" ref="FL277" ca="1">(1-$B$18)*SUMPRODUCT(OFFSET($BO$15,0,0,$B$14,1), 1*(_xlfn._xlws.FILTER(OFFSET($O$15,0,$DN277,$B$8,1),OFFSET($M$15,0,0,$B$8,1))=FL$13), 1*(_xlfn._xlws.FILTER(OFFSET($O$15,0,$DO277,$B$8,1),OFFSET($M$15,0,0,$B$8,1))=FL$14))   /   SUM(OFFSET($BO$15,0,0,$B$14,1)) + $B$18/($B$19*$B$19*($DN277&lt;&gt;$DO277) + $B$19*($DN277=$DO277))</f>
        <v>3.7037037037037035E-4</v>
      </c>
      <c r="FM277" s="10" cm="1">
        <f t="array" aca="1" ref="FM277" ca="1">(1-$B$18)*SUMPRODUCT(OFFSET($BO$15,0,0,$B$14,1), 1*(_xlfn._xlws.FILTER(OFFSET($O$15,0,$DN277,$B$8,1),OFFSET($M$15,0,0,$B$8,1))=FM$13), 1*(_xlfn._xlws.FILTER(OFFSET($O$15,0,$DO277,$B$8,1),OFFSET($M$15,0,0,$B$8,1))=FM$14))   /   SUM(OFFSET($BO$15,0,0,$B$14,1)) + $B$18/($B$19*$B$19*($DN277&lt;&gt;$DO277) + $B$19*($DN277=$DO277))</f>
        <v>3.7037037037037035E-4</v>
      </c>
      <c r="FN277" s="10" cm="1">
        <f t="array" aca="1" ref="FN277" ca="1">(1-$B$18)*SUMPRODUCT(OFFSET($BO$15,0,0,$B$14,1), 1*(_xlfn._xlws.FILTER(OFFSET($O$15,0,$DN277,$B$8,1),OFFSET($M$15,0,0,$B$8,1))=FN$13), 1*(_xlfn._xlws.FILTER(OFFSET($O$15,0,$DO277,$B$8,1),OFFSET($M$15,0,0,$B$8,1))=FN$14))   /   SUM(OFFSET($BO$15,0,0,$B$14,1)) + $B$18/($B$19*$B$19*($DN277&lt;&gt;$DO277) + $B$19*($DN277=$DO277))</f>
        <v>3.7037037037037035E-4</v>
      </c>
      <c r="FO277" s="10" cm="1">
        <f t="array" aca="1" ref="FO277" ca="1">(1-$B$18)*SUMPRODUCT(OFFSET($BO$15,0,0,$B$14,1), 1*(_xlfn._xlws.FILTER(OFFSET($O$15,0,$DN277,$B$8,1),OFFSET($M$15,0,0,$B$8,1))=FO$13), 1*(_xlfn._xlws.FILTER(OFFSET($O$15,0,$DO277,$B$8,1),OFFSET($M$15,0,0,$B$8,1))=FO$14))   /   SUM(OFFSET($BO$15,0,0,$B$14,1)) + $B$18/($B$19*$B$19*($DN277&lt;&gt;$DO277) + $B$19*($DN277=$DO277))</f>
        <v>3.7037037037037035E-4</v>
      </c>
      <c r="FP277" s="10" cm="1">
        <f t="array" aca="1" ref="FP277" ca="1">(1-$B$18)*SUMPRODUCT(OFFSET($BO$15,0,0,$B$14,1), 1*(_xlfn._xlws.FILTER(OFFSET($O$15,0,$DN277,$B$8,1),OFFSET($M$15,0,0,$B$8,1))=FP$13), 1*(_xlfn._xlws.FILTER(OFFSET($O$15,0,$DO277,$B$8,1),OFFSET($M$15,0,0,$B$8,1))=FP$14))   /   SUM(OFFSET($BO$15,0,0,$B$14,1)) + $B$18/($B$19*$B$19*($DN277&lt;&gt;$DO277) + $B$19*($DN277=$DO277))</f>
        <v>3.7037037037037035E-4</v>
      </c>
      <c r="FQ277" s="10" cm="1">
        <f t="array" aca="1" ref="FQ277" ca="1">(1-$B$18)*SUMPRODUCT(OFFSET($BO$15,0,0,$B$14,1), 1*(_xlfn._xlws.FILTER(OFFSET($O$15,0,$DN277,$B$8,1),OFFSET($M$15,0,0,$B$8,1))=FQ$13), 1*(_xlfn._xlws.FILTER(OFFSET($O$15,0,$DO277,$B$8,1),OFFSET($M$15,0,0,$B$8,1))=FQ$14))   /   SUM(OFFSET($BO$15,0,0,$B$14,1)) + $B$18/($B$19*$B$19*($DN277&lt;&gt;$DO277) + $B$19*($DN277=$DO277))</f>
        <v>3.7037037037037035E-4</v>
      </c>
      <c r="FR277" s="10" cm="1">
        <f t="array" aca="1" ref="FR277" ca="1">(1-$B$18)*SUMPRODUCT(OFFSET($BO$15,0,0,$B$14,1), 1*(_xlfn._xlws.FILTER(OFFSET($O$15,0,$DN277,$B$8,1),OFFSET($M$15,0,0,$B$8,1))=FR$13), 1*(_xlfn._xlws.FILTER(OFFSET($O$15,0,$DO277,$B$8,1),OFFSET($M$15,0,0,$B$8,1))=FR$14))   /   SUM(OFFSET($BO$15,0,0,$B$14,1)) + $B$18/($B$19*$B$19*($DN277&lt;&gt;$DO277) + $B$19*($DN277=$DO277))</f>
        <v>3.7037037037037035E-4</v>
      </c>
      <c r="FS277" s="10" cm="1">
        <f t="array" aca="1" ref="FS277" ca="1">(1-$B$18)*SUMPRODUCT(OFFSET($BO$15,0,0,$B$14,1), 1*(_xlfn._xlws.FILTER(OFFSET($O$15,0,$DN277,$B$8,1),OFFSET($M$15,0,0,$B$8,1))=FS$13), 1*(_xlfn._xlws.FILTER(OFFSET($O$15,0,$DO277,$B$8,1),OFFSET($M$15,0,0,$B$8,1))=FS$14))   /   SUM(OFFSET($BO$15,0,0,$B$14,1)) + $B$18/($B$19*$B$19*($DN277&lt;&gt;$DO277) + $B$19*($DN277=$DO277))</f>
        <v>3.7037037037037035E-4</v>
      </c>
      <c r="FT277" s="10" cm="1">
        <f t="array" aca="1" ref="FT277" ca="1">(1-$B$18)*SUMPRODUCT(OFFSET($BO$15,0,0,$B$14,1), 1*(_xlfn._xlws.FILTER(OFFSET($O$15,0,$DN277,$B$8,1),OFFSET($M$15,0,0,$B$8,1))=FT$13), 1*(_xlfn._xlws.FILTER(OFFSET($O$15,0,$DO277,$B$8,1),OFFSET($M$15,0,0,$B$8,1))=FT$14))   /   SUM(OFFSET($BO$15,0,0,$B$14,1)) + $B$18/($B$19*$B$19*($DN277&lt;&gt;$DO277) + $B$19*($DN277=$DO277))</f>
        <v>3.7037037037037035E-4</v>
      </c>
      <c r="FU277" s="10" cm="1">
        <f t="array" aca="1" ref="FU277" ca="1">(1-$B$18)*SUMPRODUCT(OFFSET($BO$15,0,0,$B$14,1), 1*(_xlfn._xlws.FILTER(OFFSET($O$15,0,$DN277,$B$8,1),OFFSET($M$15,0,0,$B$8,1))=FU$13), 1*(_xlfn._xlws.FILTER(OFFSET($O$15,0,$DO277,$B$8,1),OFFSET($M$15,0,0,$B$8,1))=FU$14))   /   SUM(OFFSET($BO$15,0,0,$B$14,1)) + $B$18/($B$19*$B$19*($DN277&lt;&gt;$DO277) + $B$19*($DN277=$DO277))</f>
        <v>3.7037037037037035E-4</v>
      </c>
      <c r="FV277" s="10" cm="1">
        <f t="array" aca="1" ref="FV277" ca="1">(1-$B$18)*SUMPRODUCT(OFFSET($BO$15,0,0,$B$14,1), 1*(_xlfn._xlws.FILTER(OFFSET($O$15,0,$DN277,$B$8,1),OFFSET($M$15,0,0,$B$8,1))=FV$13), 1*(_xlfn._xlws.FILTER(OFFSET($O$15,0,$DO277,$B$8,1),OFFSET($M$15,0,0,$B$8,1))=FV$14))   /   SUM(OFFSET($BO$15,0,0,$B$14,1)) + $B$18/($B$19*$B$19*($DN277&lt;&gt;$DO277) + $B$19*($DN277=$DO277))</f>
        <v>3.7037037037037035E-4</v>
      </c>
      <c r="FW277" s="10" cm="1">
        <f t="array" aca="1" ref="FW277" ca="1">(1-$B$18)*SUMPRODUCT(OFFSET($BO$15,0,0,$B$14,1), 1*(_xlfn._xlws.FILTER(OFFSET($O$15,0,$DN277,$B$8,1),OFFSET($M$15,0,0,$B$8,1))=FW$13), 1*(_xlfn._xlws.FILTER(OFFSET($O$15,0,$DO277,$B$8,1),OFFSET($M$15,0,0,$B$8,1))=FW$14))   /   SUM(OFFSET($BO$15,0,0,$B$14,1)) + $B$18/($B$19*$B$19*($DN277&lt;&gt;$DO277) + $B$19*($DN277=$DO277))</f>
        <v>3.7037037037037035E-4</v>
      </c>
      <c r="FX277" s="10" cm="1">
        <f t="array" aca="1" ref="FX277" ca="1">(1-$B$18)*SUMPRODUCT(OFFSET($BO$15,0,0,$B$14,1), 1*(_xlfn._xlws.FILTER(OFFSET($O$15,0,$DN277,$B$8,1),OFFSET($M$15,0,0,$B$8,1))=FX$13), 1*(_xlfn._xlws.FILTER(OFFSET($O$15,0,$DO277,$B$8,1),OFFSET($M$15,0,0,$B$8,1))=FX$14))   /   SUM(OFFSET($BO$15,0,0,$B$14,1)) + $B$18/($B$19*$B$19*($DN277&lt;&gt;$DO277) + $B$19*($DN277=$DO277))</f>
        <v>3.7037037037037035E-4</v>
      </c>
      <c r="FY277" s="10" cm="1">
        <f t="array" aca="1" ref="FY277" ca="1">(1-$B$18)*SUMPRODUCT(OFFSET($BO$15,0,0,$B$14,1), 1*(_xlfn._xlws.FILTER(OFFSET($O$15,0,$DN277,$B$8,1),OFFSET($M$15,0,0,$B$8,1))=FY$13), 1*(_xlfn._xlws.FILTER(OFFSET($O$15,0,$DO277,$B$8,1),OFFSET($M$15,0,0,$B$8,1))=FY$14))   /   SUM(OFFSET($BO$15,0,0,$B$14,1)) + $B$18/($B$19*$B$19*($DN277&lt;&gt;$DO277) + $B$19*($DN277=$DO277))</f>
        <v>3.7037037037037035E-4</v>
      </c>
      <c r="FZ277" s="10" cm="1">
        <f t="array" aca="1" ref="FZ277" ca="1">(1-$B$18)*SUMPRODUCT(OFFSET($BO$15,0,0,$B$14,1), 1*(_xlfn._xlws.FILTER(OFFSET($O$15,0,$DN277,$B$8,1),OFFSET($M$15,0,0,$B$8,1))=FZ$13), 1*(_xlfn._xlws.FILTER(OFFSET($O$15,0,$DO277,$B$8,1),OFFSET($M$15,0,0,$B$8,1))=FZ$14))   /   SUM(OFFSET($BO$15,0,0,$B$14,1)) + $B$18/($B$19*$B$19*($DN277&lt;&gt;$DO277) + $B$19*($DN277=$DO277))</f>
        <v>3.7037037037037035E-4</v>
      </c>
      <c r="GA277" s="10" cm="1">
        <f t="array" aca="1" ref="GA277" ca="1">(1-$B$18)*SUMPRODUCT(OFFSET($BO$15,0,0,$B$14,1), 1*(_xlfn._xlws.FILTER(OFFSET($O$15,0,$DN277,$B$8,1),OFFSET($M$15,0,0,$B$8,1))=GA$13), 1*(_xlfn._xlws.FILTER(OFFSET($O$15,0,$DO277,$B$8,1),OFFSET($M$15,0,0,$B$8,1))=GA$14))   /   SUM(OFFSET($BO$15,0,0,$B$14,1)) + $B$18/($B$19*$B$19*($DN277&lt;&gt;$DO277) + $B$19*($DN277=$DO277))</f>
        <v>3.7037037037037035E-4</v>
      </c>
    </row>
    <row r="278" spans="118:183" x14ac:dyDescent="0.2">
      <c r="DN278" cm="1">
        <f t="array" aca="1" ref="DN278" ca="1">INDEX(_xlfn.ANCHORARRAY($CP$15), 1 + INT((ROWS($DO$15:$DO278) - 1) / ROWS(_xlfn.ANCHORARRAY($CP$15))))</f>
        <v>14</v>
      </c>
      <c r="DO278" cm="1">
        <f t="array" aca="1" ref="DO278" ca="1">INDEX(_xlfn.ANCHORARRAY($CP$15),1+MOD(ROWS($DO$15:$DO278)-1,ROWS(_xlfn.ANCHORARRAY($CP$15))))</f>
        <v>19</v>
      </c>
      <c r="DP278" s="10" cm="1">
        <f t="array" aca="1" ref="DP278" ca="1">(1-$B$18)*SUMPRODUCT(OFFSET($BO$15,0,0,$B$14,1), 1*(_xlfn._xlws.FILTER(OFFSET($O$15,0,$DN278,$B$8,1),OFFSET($M$15,0,0,$B$8,1))=DP$13), 1*(_xlfn._xlws.FILTER(OFFSET($O$15,0,$DO278,$B$8,1),OFFSET($M$15,0,0,$B$8,1))=DP$14))   /   SUM(OFFSET($BO$15,0,0,$B$14,1)) + $B$18/($B$19*$B$19*($DN278&lt;&gt;$DO278) + $B$19*($DN278=$DO278))</f>
        <v>3.7037037037037035E-4</v>
      </c>
      <c r="DQ278" s="10" cm="1">
        <f t="array" aca="1" ref="DQ278" ca="1">(1-$B$18)*SUMPRODUCT(OFFSET($BO$15,0,0,$B$14,1), 1*(_xlfn._xlws.FILTER(OFFSET($O$15,0,$DN278,$B$8,1),OFFSET($M$15,0,0,$B$8,1))=DQ$13), 1*(_xlfn._xlws.FILTER(OFFSET($O$15,0,$DO278,$B$8,1),OFFSET($M$15,0,0,$B$8,1))=DQ$14))   /   SUM(OFFSET($BO$15,0,0,$B$14,1)) + $B$18/($B$19*$B$19*($DN278&lt;&gt;$DO278) + $B$19*($DN278=$DO278))</f>
        <v>3.7037037037037035E-4</v>
      </c>
      <c r="DR278" s="10" cm="1">
        <f t="array" aca="1" ref="DR278" ca="1">(1-$B$18)*SUMPRODUCT(OFFSET($BO$15,0,0,$B$14,1), 1*(_xlfn._xlws.FILTER(OFFSET($O$15,0,$DN278,$B$8,1),OFFSET($M$15,0,0,$B$8,1))=DR$13), 1*(_xlfn._xlws.FILTER(OFFSET($O$15,0,$DO278,$B$8,1),OFFSET($M$15,0,0,$B$8,1))=DR$14))   /   SUM(OFFSET($BO$15,0,0,$B$14,1)) + $B$18/($B$19*$B$19*($DN278&lt;&gt;$DO278) + $B$19*($DN278=$DO278))</f>
        <v>3.7037037037037035E-4</v>
      </c>
      <c r="DS278" s="10" cm="1">
        <f t="array" aca="1" ref="DS278" ca="1">(1-$B$18)*SUMPRODUCT(OFFSET($BO$15,0,0,$B$14,1), 1*(_xlfn._xlws.FILTER(OFFSET($O$15,0,$DN278,$B$8,1),OFFSET($M$15,0,0,$B$8,1))=DS$13), 1*(_xlfn._xlws.FILTER(OFFSET($O$15,0,$DO278,$B$8,1),OFFSET($M$15,0,0,$B$8,1))=DS$14))   /   SUM(OFFSET($BO$15,0,0,$B$14,1)) + $B$18/($B$19*$B$19*($DN278&lt;&gt;$DO278) + $B$19*($DN278=$DO278))</f>
        <v>3.7037037037037035E-4</v>
      </c>
      <c r="DT278" s="10" cm="1">
        <f t="array" aca="1" ref="DT278" ca="1">(1-$B$18)*SUMPRODUCT(OFFSET($BO$15,0,0,$B$14,1), 1*(_xlfn._xlws.FILTER(OFFSET($O$15,0,$DN278,$B$8,1),OFFSET($M$15,0,0,$B$8,1))=DT$13), 1*(_xlfn._xlws.FILTER(OFFSET($O$15,0,$DO278,$B$8,1),OFFSET($M$15,0,0,$B$8,1))=DT$14))   /   SUM(OFFSET($BO$15,0,0,$B$14,1)) + $B$18/($B$19*$B$19*($DN278&lt;&gt;$DO278) + $B$19*($DN278=$DO278))</f>
        <v>3.7037037037037035E-4</v>
      </c>
      <c r="DU278" s="10" cm="1">
        <f t="array" aca="1" ref="DU278" ca="1">(1-$B$18)*SUMPRODUCT(OFFSET($BO$15,0,0,$B$14,1), 1*(_xlfn._xlws.FILTER(OFFSET($O$15,0,$DN278,$B$8,1),OFFSET($M$15,0,0,$B$8,1))=DU$13), 1*(_xlfn._xlws.FILTER(OFFSET($O$15,0,$DO278,$B$8,1),OFFSET($M$15,0,0,$B$8,1))=DU$14))   /   SUM(OFFSET($BO$15,0,0,$B$14,1)) + $B$18/($B$19*$B$19*($DN278&lt;&gt;$DO278) + $B$19*($DN278=$DO278))</f>
        <v>3.7037037037037035E-4</v>
      </c>
      <c r="DV278" s="10" cm="1">
        <f t="array" aca="1" ref="DV278" ca="1">(1-$B$18)*SUMPRODUCT(OFFSET($BO$15,0,0,$B$14,1), 1*(_xlfn._xlws.FILTER(OFFSET($O$15,0,$DN278,$B$8,1),OFFSET($M$15,0,0,$B$8,1))=DV$13), 1*(_xlfn._xlws.FILTER(OFFSET($O$15,0,$DO278,$B$8,1),OFFSET($M$15,0,0,$B$8,1))=DV$14))   /   SUM(OFFSET($BO$15,0,0,$B$14,1)) + $B$18/($B$19*$B$19*($DN278&lt;&gt;$DO278) + $B$19*($DN278=$DO278))</f>
        <v>3.7037037037037035E-4</v>
      </c>
      <c r="DW278" s="10" cm="1">
        <f t="array" aca="1" ref="DW278" ca="1">(1-$B$18)*SUMPRODUCT(OFFSET($BO$15,0,0,$B$14,1), 1*(_xlfn._xlws.FILTER(OFFSET($O$15,0,$DN278,$B$8,1),OFFSET($M$15,0,0,$B$8,1))=DW$13), 1*(_xlfn._xlws.FILTER(OFFSET($O$15,0,$DO278,$B$8,1),OFFSET($M$15,0,0,$B$8,1))=DW$14))   /   SUM(OFFSET($BO$15,0,0,$B$14,1)) + $B$18/($B$19*$B$19*($DN278&lt;&gt;$DO278) + $B$19*($DN278=$DO278))</f>
        <v>3.7037037037037035E-4</v>
      </c>
      <c r="DX278" s="10" cm="1">
        <f t="array" aca="1" ref="DX278" ca="1">(1-$B$18)*SUMPRODUCT(OFFSET($BO$15,0,0,$B$14,1), 1*(_xlfn._xlws.FILTER(OFFSET($O$15,0,$DN278,$B$8,1),OFFSET($M$15,0,0,$B$8,1))=DX$13), 1*(_xlfn._xlws.FILTER(OFFSET($O$15,0,$DO278,$B$8,1),OFFSET($M$15,0,0,$B$8,1))=DX$14))   /   SUM(OFFSET($BO$15,0,0,$B$14,1)) + $B$18/($B$19*$B$19*($DN278&lt;&gt;$DO278) + $B$19*($DN278=$DO278))</f>
        <v>3.7037037037037035E-4</v>
      </c>
      <c r="DY278" s="10" cm="1">
        <f t="array" aca="1" ref="DY278" ca="1">(1-$B$18)*SUMPRODUCT(OFFSET($BO$15,0,0,$B$14,1), 1*(_xlfn._xlws.FILTER(OFFSET($O$15,0,$DN278,$B$8,1),OFFSET($M$15,0,0,$B$8,1))=DY$13), 1*(_xlfn._xlws.FILTER(OFFSET($O$15,0,$DO278,$B$8,1),OFFSET($M$15,0,0,$B$8,1))=DY$14))   /   SUM(OFFSET($BO$15,0,0,$B$14,1)) + $B$18/($B$19*$B$19*($DN278&lt;&gt;$DO278) + $B$19*($DN278=$DO278))</f>
        <v>3.7037037037037035E-4</v>
      </c>
      <c r="DZ278" s="10" cm="1">
        <f t="array" aca="1" ref="DZ278" ca="1">(1-$B$18)*SUMPRODUCT(OFFSET($BO$15,0,0,$B$14,1), 1*(_xlfn._xlws.FILTER(OFFSET($O$15,0,$DN278,$B$8,1),OFFSET($M$15,0,0,$B$8,1))=DZ$13), 1*(_xlfn._xlws.FILTER(OFFSET($O$15,0,$DO278,$B$8,1),OFFSET($M$15,0,0,$B$8,1))=DZ$14))   /   SUM(OFFSET($BO$15,0,0,$B$14,1)) + $B$18/($B$19*$B$19*($DN278&lt;&gt;$DO278) + $B$19*($DN278=$DO278))</f>
        <v>3.7037037037037035E-4</v>
      </c>
      <c r="EA278" s="10" cm="1">
        <f t="array" aca="1" ref="EA278" ca="1">(1-$B$18)*SUMPRODUCT(OFFSET($BO$15,0,0,$B$14,1), 1*(_xlfn._xlws.FILTER(OFFSET($O$15,0,$DN278,$B$8,1),OFFSET($M$15,0,0,$B$8,1))=EA$13), 1*(_xlfn._xlws.FILTER(OFFSET($O$15,0,$DO278,$B$8,1),OFFSET($M$15,0,0,$B$8,1))=EA$14))   /   SUM(OFFSET($BO$15,0,0,$B$14,1)) + $B$18/($B$19*$B$19*($DN278&lt;&gt;$DO278) + $B$19*($DN278=$DO278))</f>
        <v>3.7037037037037035E-4</v>
      </c>
      <c r="EB278" s="10" cm="1">
        <f t="array" aca="1" ref="EB278" ca="1">(1-$B$18)*SUMPRODUCT(OFFSET($BO$15,0,0,$B$14,1), 1*(_xlfn._xlws.FILTER(OFFSET($O$15,0,$DN278,$B$8,1),OFFSET($M$15,0,0,$B$8,1))=EB$13), 1*(_xlfn._xlws.FILTER(OFFSET($O$15,0,$DO278,$B$8,1),OFFSET($M$15,0,0,$B$8,1))=EB$14))   /   SUM(OFFSET($BO$15,0,0,$B$14,1)) + $B$18/($B$19*$B$19*($DN278&lt;&gt;$DO278) + $B$19*($DN278=$DO278))</f>
        <v>3.7037037037037035E-4</v>
      </c>
      <c r="EC278" s="10" cm="1">
        <f t="array" aca="1" ref="EC278" ca="1">(1-$B$18)*SUMPRODUCT(OFFSET($BO$15,0,0,$B$14,1), 1*(_xlfn._xlws.FILTER(OFFSET($O$15,0,$DN278,$B$8,1),OFFSET($M$15,0,0,$B$8,1))=EC$13), 1*(_xlfn._xlws.FILTER(OFFSET($O$15,0,$DO278,$B$8,1),OFFSET($M$15,0,0,$B$8,1))=EC$14))   /   SUM(OFFSET($BO$15,0,0,$B$14,1)) + $B$18/($B$19*$B$19*($DN278&lt;&gt;$DO278) + $B$19*($DN278=$DO278))</f>
        <v>3.7037037037037035E-4</v>
      </c>
      <c r="ED278" s="10" cm="1">
        <f t="array" aca="1" ref="ED278" ca="1">(1-$B$18)*SUMPRODUCT(OFFSET($BO$15,0,0,$B$14,1), 1*(_xlfn._xlws.FILTER(OFFSET($O$15,0,$DN278,$B$8,1),OFFSET($M$15,0,0,$B$8,1))=ED$13), 1*(_xlfn._xlws.FILTER(OFFSET($O$15,0,$DO278,$B$8,1),OFFSET($M$15,0,0,$B$8,1))=ED$14))   /   SUM(OFFSET($BO$15,0,0,$B$14,1)) + $B$18/($B$19*$B$19*($DN278&lt;&gt;$DO278) + $B$19*($DN278=$DO278))</f>
        <v>3.7037037037037035E-4</v>
      </c>
      <c r="EE278" s="10" cm="1">
        <f t="array" aca="1" ref="EE278" ca="1">(1-$B$18)*SUMPRODUCT(OFFSET($BO$15,0,0,$B$14,1), 1*(_xlfn._xlws.FILTER(OFFSET($O$15,0,$DN278,$B$8,1),OFFSET($M$15,0,0,$B$8,1))=EE$13), 1*(_xlfn._xlws.FILTER(OFFSET($O$15,0,$DO278,$B$8,1),OFFSET($M$15,0,0,$B$8,1))=EE$14))   /   SUM(OFFSET($BO$15,0,0,$B$14,1)) + $B$18/($B$19*$B$19*($DN278&lt;&gt;$DO278) + $B$19*($DN278=$DO278))</f>
        <v>3.7037037037037035E-4</v>
      </c>
      <c r="EF278" s="10" cm="1">
        <f t="array" aca="1" ref="EF278" ca="1">(1-$B$18)*SUMPRODUCT(OFFSET($BO$15,0,0,$B$14,1), 1*(_xlfn._xlws.FILTER(OFFSET($O$15,0,$DN278,$B$8,1),OFFSET($M$15,0,0,$B$8,1))=EF$13), 1*(_xlfn._xlws.FILTER(OFFSET($O$15,0,$DO278,$B$8,1),OFFSET($M$15,0,0,$B$8,1))=EF$14))   /   SUM(OFFSET($BO$15,0,0,$B$14,1)) + $B$18/($B$19*$B$19*($DN278&lt;&gt;$DO278) + $B$19*($DN278=$DO278))</f>
        <v>3.7037037037037035E-4</v>
      </c>
      <c r="EG278" s="10" cm="1">
        <f t="array" aca="1" ref="EG278" ca="1">(1-$B$18)*SUMPRODUCT(OFFSET($BO$15,0,0,$B$14,1), 1*(_xlfn._xlws.FILTER(OFFSET($O$15,0,$DN278,$B$8,1),OFFSET($M$15,0,0,$B$8,1))=EG$13), 1*(_xlfn._xlws.FILTER(OFFSET($O$15,0,$DO278,$B$8,1),OFFSET($M$15,0,0,$B$8,1))=EG$14))   /   SUM(OFFSET($BO$15,0,0,$B$14,1)) + $B$18/($B$19*$B$19*($DN278&lt;&gt;$DO278) + $B$19*($DN278=$DO278))</f>
        <v>3.7037037037037035E-4</v>
      </c>
      <c r="EH278" s="10" cm="1">
        <f t="array" aca="1" ref="EH278" ca="1">(1-$B$18)*SUMPRODUCT(OFFSET($BO$15,0,0,$B$14,1), 1*(_xlfn._xlws.FILTER(OFFSET($O$15,0,$DN278,$B$8,1),OFFSET($M$15,0,0,$B$8,1))=EH$13), 1*(_xlfn._xlws.FILTER(OFFSET($O$15,0,$DO278,$B$8,1),OFFSET($M$15,0,0,$B$8,1))=EH$14))   /   SUM(OFFSET($BO$15,0,0,$B$14,1)) + $B$18/($B$19*$B$19*($DN278&lt;&gt;$DO278) + $B$19*($DN278=$DO278))</f>
        <v>3.7037037037037035E-4</v>
      </c>
      <c r="EI278" s="10" cm="1">
        <f t="array" aca="1" ref="EI278" ca="1">(1-$B$18)*SUMPRODUCT(OFFSET($BO$15,0,0,$B$14,1), 1*(_xlfn._xlws.FILTER(OFFSET($O$15,0,$DN278,$B$8,1),OFFSET($M$15,0,0,$B$8,1))=EI$13), 1*(_xlfn._xlws.FILTER(OFFSET($O$15,0,$DO278,$B$8,1),OFFSET($M$15,0,0,$B$8,1))=EI$14))   /   SUM(OFFSET($BO$15,0,0,$B$14,1)) + $B$18/($B$19*$B$19*($DN278&lt;&gt;$DO278) + $B$19*($DN278=$DO278))</f>
        <v>0.97037037037037033</v>
      </c>
      <c r="EJ278" s="10" cm="1">
        <f t="array" aca="1" ref="EJ278" ca="1">(1-$B$18)*SUMPRODUCT(OFFSET($BO$15,0,0,$B$14,1), 1*(_xlfn._xlws.FILTER(OFFSET($O$15,0,$DN278,$B$8,1),OFFSET($M$15,0,0,$B$8,1))=EJ$13), 1*(_xlfn._xlws.FILTER(OFFSET($O$15,0,$DO278,$B$8,1),OFFSET($M$15,0,0,$B$8,1))=EJ$14))   /   SUM(OFFSET($BO$15,0,0,$B$14,1)) + $B$18/($B$19*$B$19*($DN278&lt;&gt;$DO278) + $B$19*($DN278=$DO278))</f>
        <v>3.7037037037037035E-4</v>
      </c>
      <c r="EK278" s="10" cm="1">
        <f t="array" aca="1" ref="EK278" ca="1">(1-$B$18)*SUMPRODUCT(OFFSET($BO$15,0,0,$B$14,1), 1*(_xlfn._xlws.FILTER(OFFSET($O$15,0,$DN278,$B$8,1),OFFSET($M$15,0,0,$B$8,1))=EK$13), 1*(_xlfn._xlws.FILTER(OFFSET($O$15,0,$DO278,$B$8,1),OFFSET($M$15,0,0,$B$8,1))=EK$14))   /   SUM(OFFSET($BO$15,0,0,$B$14,1)) + $B$18/($B$19*$B$19*($DN278&lt;&gt;$DO278) + $B$19*($DN278=$DO278))</f>
        <v>3.7037037037037035E-4</v>
      </c>
      <c r="EL278" s="10" cm="1">
        <f t="array" aca="1" ref="EL278" ca="1">(1-$B$18)*SUMPRODUCT(OFFSET($BO$15,0,0,$B$14,1), 1*(_xlfn._xlws.FILTER(OFFSET($O$15,0,$DN278,$B$8,1),OFFSET($M$15,0,0,$B$8,1))=EL$13), 1*(_xlfn._xlws.FILTER(OFFSET($O$15,0,$DO278,$B$8,1),OFFSET($M$15,0,0,$B$8,1))=EL$14))   /   SUM(OFFSET($BO$15,0,0,$B$14,1)) + $B$18/($B$19*$B$19*($DN278&lt;&gt;$DO278) + $B$19*($DN278=$DO278))</f>
        <v>3.7037037037037035E-4</v>
      </c>
      <c r="EM278" s="10" cm="1">
        <f t="array" aca="1" ref="EM278" ca="1">(1-$B$18)*SUMPRODUCT(OFFSET($BO$15,0,0,$B$14,1), 1*(_xlfn._xlws.FILTER(OFFSET($O$15,0,$DN278,$B$8,1),OFFSET($M$15,0,0,$B$8,1))=EM$13), 1*(_xlfn._xlws.FILTER(OFFSET($O$15,0,$DO278,$B$8,1),OFFSET($M$15,0,0,$B$8,1))=EM$14))   /   SUM(OFFSET($BO$15,0,0,$B$14,1)) + $B$18/($B$19*$B$19*($DN278&lt;&gt;$DO278) + $B$19*($DN278=$DO278))</f>
        <v>3.7037037037037035E-4</v>
      </c>
      <c r="EN278" s="10" cm="1">
        <f t="array" aca="1" ref="EN278" ca="1">(1-$B$18)*SUMPRODUCT(OFFSET($BO$15,0,0,$B$14,1), 1*(_xlfn._xlws.FILTER(OFFSET($O$15,0,$DN278,$B$8,1),OFFSET($M$15,0,0,$B$8,1))=EN$13), 1*(_xlfn._xlws.FILTER(OFFSET($O$15,0,$DO278,$B$8,1),OFFSET($M$15,0,0,$B$8,1))=EN$14))   /   SUM(OFFSET($BO$15,0,0,$B$14,1)) + $B$18/($B$19*$B$19*($DN278&lt;&gt;$DO278) + $B$19*($DN278=$DO278))</f>
        <v>3.7037037037037035E-4</v>
      </c>
      <c r="EO278" s="10" cm="1">
        <f t="array" aca="1" ref="EO278" ca="1">(1-$B$18)*SUMPRODUCT(OFFSET($BO$15,0,0,$B$14,1), 1*(_xlfn._xlws.FILTER(OFFSET($O$15,0,$DN278,$B$8,1),OFFSET($M$15,0,0,$B$8,1))=EO$13), 1*(_xlfn._xlws.FILTER(OFFSET($O$15,0,$DO278,$B$8,1),OFFSET($M$15,0,0,$B$8,1))=EO$14))   /   SUM(OFFSET($BO$15,0,0,$B$14,1)) + $B$18/($B$19*$B$19*($DN278&lt;&gt;$DO278) + $B$19*($DN278=$DO278))</f>
        <v>3.7037037037037035E-4</v>
      </c>
      <c r="EP278" s="10" cm="1">
        <f t="array" aca="1" ref="EP278" ca="1">(1-$B$18)*SUMPRODUCT(OFFSET($BO$15,0,0,$B$14,1), 1*(_xlfn._xlws.FILTER(OFFSET($O$15,0,$DN278,$B$8,1),OFFSET($M$15,0,0,$B$8,1))=EP$13), 1*(_xlfn._xlws.FILTER(OFFSET($O$15,0,$DO278,$B$8,1),OFFSET($M$15,0,0,$B$8,1))=EP$14))   /   SUM(OFFSET($BO$15,0,0,$B$14,1)) + $B$18/($B$19*$B$19*($DN278&lt;&gt;$DO278) + $B$19*($DN278=$DO278))</f>
        <v>3.7037037037037035E-4</v>
      </c>
      <c r="EQ278" s="10" cm="1">
        <f t="array" aca="1" ref="EQ278" ca="1">(1-$B$18)*SUMPRODUCT(OFFSET($BO$15,0,0,$B$14,1), 1*(_xlfn._xlws.FILTER(OFFSET($O$15,0,$DN278,$B$8,1),OFFSET($M$15,0,0,$B$8,1))=EQ$13), 1*(_xlfn._xlws.FILTER(OFFSET($O$15,0,$DO278,$B$8,1),OFFSET($M$15,0,0,$B$8,1))=EQ$14))   /   SUM(OFFSET($BO$15,0,0,$B$14,1)) + $B$18/($B$19*$B$19*($DN278&lt;&gt;$DO278) + $B$19*($DN278=$DO278))</f>
        <v>3.7037037037037035E-4</v>
      </c>
      <c r="ER278" s="10" cm="1">
        <f t="array" aca="1" ref="ER278" ca="1">(1-$B$18)*SUMPRODUCT(OFFSET($BO$15,0,0,$B$14,1), 1*(_xlfn._xlws.FILTER(OFFSET($O$15,0,$DN278,$B$8,1),OFFSET($M$15,0,0,$B$8,1))=ER$13), 1*(_xlfn._xlws.FILTER(OFFSET($O$15,0,$DO278,$B$8,1),OFFSET($M$15,0,0,$B$8,1))=ER$14))   /   SUM(OFFSET($BO$15,0,0,$B$14,1)) + $B$18/($B$19*$B$19*($DN278&lt;&gt;$DO278) + $B$19*($DN278=$DO278))</f>
        <v>3.7037037037037035E-4</v>
      </c>
      <c r="ES278" s="10" cm="1">
        <f t="array" aca="1" ref="ES278" ca="1">(1-$B$18)*SUMPRODUCT(OFFSET($BO$15,0,0,$B$14,1), 1*(_xlfn._xlws.FILTER(OFFSET($O$15,0,$DN278,$B$8,1),OFFSET($M$15,0,0,$B$8,1))=ES$13), 1*(_xlfn._xlws.FILTER(OFFSET($O$15,0,$DO278,$B$8,1),OFFSET($M$15,0,0,$B$8,1))=ES$14))   /   SUM(OFFSET($BO$15,0,0,$B$14,1)) + $B$18/($B$19*$B$19*($DN278&lt;&gt;$DO278) + $B$19*($DN278=$DO278))</f>
        <v>3.7037037037037035E-4</v>
      </c>
      <c r="ET278" s="10" cm="1">
        <f t="array" aca="1" ref="ET278" ca="1">(1-$B$18)*SUMPRODUCT(OFFSET($BO$15,0,0,$B$14,1), 1*(_xlfn._xlws.FILTER(OFFSET($O$15,0,$DN278,$B$8,1),OFFSET($M$15,0,0,$B$8,1))=ET$13), 1*(_xlfn._xlws.FILTER(OFFSET($O$15,0,$DO278,$B$8,1),OFFSET($M$15,0,0,$B$8,1))=ET$14))   /   SUM(OFFSET($BO$15,0,0,$B$14,1)) + $B$18/($B$19*$B$19*($DN278&lt;&gt;$DO278) + $B$19*($DN278=$DO278))</f>
        <v>3.7037037037037035E-4</v>
      </c>
      <c r="EU278" s="10" cm="1">
        <f t="array" aca="1" ref="EU278" ca="1">(1-$B$18)*SUMPRODUCT(OFFSET($BO$15,0,0,$B$14,1), 1*(_xlfn._xlws.FILTER(OFFSET($O$15,0,$DN278,$B$8,1),OFFSET($M$15,0,0,$B$8,1))=EU$13), 1*(_xlfn._xlws.FILTER(OFFSET($O$15,0,$DO278,$B$8,1),OFFSET($M$15,0,0,$B$8,1))=EU$14))   /   SUM(OFFSET($BO$15,0,0,$B$14,1)) + $B$18/($B$19*$B$19*($DN278&lt;&gt;$DO278) + $B$19*($DN278=$DO278))</f>
        <v>3.7037037037037035E-4</v>
      </c>
      <c r="EV278" s="10" cm="1">
        <f t="array" aca="1" ref="EV278" ca="1">(1-$B$18)*SUMPRODUCT(OFFSET($BO$15,0,0,$B$14,1), 1*(_xlfn._xlws.FILTER(OFFSET($O$15,0,$DN278,$B$8,1),OFFSET($M$15,0,0,$B$8,1))=EV$13), 1*(_xlfn._xlws.FILTER(OFFSET($O$15,0,$DO278,$B$8,1),OFFSET($M$15,0,0,$B$8,1))=EV$14))   /   SUM(OFFSET($BO$15,0,0,$B$14,1)) + $B$18/($B$19*$B$19*($DN278&lt;&gt;$DO278) + $B$19*($DN278=$DO278))</f>
        <v>3.7037037037037035E-4</v>
      </c>
      <c r="EW278" s="10" cm="1">
        <f t="array" aca="1" ref="EW278" ca="1">(1-$B$18)*SUMPRODUCT(OFFSET($BO$15,0,0,$B$14,1), 1*(_xlfn._xlws.FILTER(OFFSET($O$15,0,$DN278,$B$8,1),OFFSET($M$15,0,0,$B$8,1))=EW$13), 1*(_xlfn._xlws.FILTER(OFFSET($O$15,0,$DO278,$B$8,1),OFFSET($M$15,0,0,$B$8,1))=EW$14))   /   SUM(OFFSET($BO$15,0,0,$B$14,1)) + $B$18/($B$19*$B$19*($DN278&lt;&gt;$DO278) + $B$19*($DN278=$DO278))</f>
        <v>3.7037037037037035E-4</v>
      </c>
      <c r="EX278" s="10" cm="1">
        <f t="array" aca="1" ref="EX278" ca="1">(1-$B$18)*SUMPRODUCT(OFFSET($BO$15,0,0,$B$14,1), 1*(_xlfn._xlws.FILTER(OFFSET($O$15,0,$DN278,$B$8,1),OFFSET($M$15,0,0,$B$8,1))=EX$13), 1*(_xlfn._xlws.FILTER(OFFSET($O$15,0,$DO278,$B$8,1),OFFSET($M$15,0,0,$B$8,1))=EX$14))   /   SUM(OFFSET($BO$15,0,0,$B$14,1)) + $B$18/($B$19*$B$19*($DN278&lt;&gt;$DO278) + $B$19*($DN278=$DO278))</f>
        <v>3.7037037037037035E-4</v>
      </c>
      <c r="EY278" s="10" cm="1">
        <f t="array" aca="1" ref="EY278" ca="1">(1-$B$18)*SUMPRODUCT(OFFSET($BO$15,0,0,$B$14,1), 1*(_xlfn._xlws.FILTER(OFFSET($O$15,0,$DN278,$B$8,1),OFFSET($M$15,0,0,$B$8,1))=EY$13), 1*(_xlfn._xlws.FILTER(OFFSET($O$15,0,$DO278,$B$8,1),OFFSET($M$15,0,0,$B$8,1))=EY$14))   /   SUM(OFFSET($BO$15,0,0,$B$14,1)) + $B$18/($B$19*$B$19*($DN278&lt;&gt;$DO278) + $B$19*($DN278=$DO278))</f>
        <v>3.7037037037037035E-4</v>
      </c>
      <c r="EZ278" s="10" cm="1">
        <f t="array" aca="1" ref="EZ278" ca="1">(1-$B$18)*SUMPRODUCT(OFFSET($BO$15,0,0,$B$14,1), 1*(_xlfn._xlws.FILTER(OFFSET($O$15,0,$DN278,$B$8,1),OFFSET($M$15,0,0,$B$8,1))=EZ$13), 1*(_xlfn._xlws.FILTER(OFFSET($O$15,0,$DO278,$B$8,1),OFFSET($M$15,0,0,$B$8,1))=EZ$14))   /   SUM(OFFSET($BO$15,0,0,$B$14,1)) + $B$18/($B$19*$B$19*($DN278&lt;&gt;$DO278) + $B$19*($DN278=$DO278))</f>
        <v>3.7037037037037035E-4</v>
      </c>
      <c r="FA278" s="10" cm="1">
        <f t="array" aca="1" ref="FA278" ca="1">(1-$B$18)*SUMPRODUCT(OFFSET($BO$15,0,0,$B$14,1), 1*(_xlfn._xlws.FILTER(OFFSET($O$15,0,$DN278,$B$8,1),OFFSET($M$15,0,0,$B$8,1))=FA$13), 1*(_xlfn._xlws.FILTER(OFFSET($O$15,0,$DO278,$B$8,1),OFFSET($M$15,0,0,$B$8,1))=FA$14))   /   SUM(OFFSET($BO$15,0,0,$B$14,1)) + $B$18/($B$19*$B$19*($DN278&lt;&gt;$DO278) + $B$19*($DN278=$DO278))</f>
        <v>3.7037037037037035E-4</v>
      </c>
      <c r="FB278" s="10" cm="1">
        <f t="array" aca="1" ref="FB278" ca="1">(1-$B$18)*SUMPRODUCT(OFFSET($BO$15,0,0,$B$14,1), 1*(_xlfn._xlws.FILTER(OFFSET($O$15,0,$DN278,$B$8,1),OFFSET($M$15,0,0,$B$8,1))=FB$13), 1*(_xlfn._xlws.FILTER(OFFSET($O$15,0,$DO278,$B$8,1),OFFSET($M$15,0,0,$B$8,1))=FB$14))   /   SUM(OFFSET($BO$15,0,0,$B$14,1)) + $B$18/($B$19*$B$19*($DN278&lt;&gt;$DO278) + $B$19*($DN278=$DO278))</f>
        <v>3.7037037037037035E-4</v>
      </c>
      <c r="FC278" s="10" cm="1">
        <f t="array" aca="1" ref="FC278" ca="1">(1-$B$18)*SUMPRODUCT(OFFSET($BO$15,0,0,$B$14,1), 1*(_xlfn._xlws.FILTER(OFFSET($O$15,0,$DN278,$B$8,1),OFFSET($M$15,0,0,$B$8,1))=FC$13), 1*(_xlfn._xlws.FILTER(OFFSET($O$15,0,$DO278,$B$8,1),OFFSET($M$15,0,0,$B$8,1))=FC$14))   /   SUM(OFFSET($BO$15,0,0,$B$14,1)) + $B$18/($B$19*$B$19*($DN278&lt;&gt;$DO278) + $B$19*($DN278=$DO278))</f>
        <v>3.7037037037037035E-4</v>
      </c>
      <c r="FD278" s="10" cm="1">
        <f t="array" aca="1" ref="FD278" ca="1">(1-$B$18)*SUMPRODUCT(OFFSET($BO$15,0,0,$B$14,1), 1*(_xlfn._xlws.FILTER(OFFSET($O$15,0,$DN278,$B$8,1),OFFSET($M$15,0,0,$B$8,1))=FD$13), 1*(_xlfn._xlws.FILTER(OFFSET($O$15,0,$DO278,$B$8,1),OFFSET($M$15,0,0,$B$8,1))=FD$14))   /   SUM(OFFSET($BO$15,0,0,$B$14,1)) + $B$18/($B$19*$B$19*($DN278&lt;&gt;$DO278) + $B$19*($DN278=$DO278))</f>
        <v>3.7037037037037035E-4</v>
      </c>
      <c r="FE278" s="10" cm="1">
        <f t="array" aca="1" ref="FE278" ca="1">(1-$B$18)*SUMPRODUCT(OFFSET($BO$15,0,0,$B$14,1), 1*(_xlfn._xlws.FILTER(OFFSET($O$15,0,$DN278,$B$8,1),OFFSET($M$15,0,0,$B$8,1))=FE$13), 1*(_xlfn._xlws.FILTER(OFFSET($O$15,0,$DO278,$B$8,1),OFFSET($M$15,0,0,$B$8,1))=FE$14))   /   SUM(OFFSET($BO$15,0,0,$B$14,1)) + $B$18/($B$19*$B$19*($DN278&lt;&gt;$DO278) + $B$19*($DN278=$DO278))</f>
        <v>3.7037037037037035E-4</v>
      </c>
      <c r="FF278" s="10" cm="1">
        <f t="array" aca="1" ref="FF278" ca="1">(1-$B$18)*SUMPRODUCT(OFFSET($BO$15,0,0,$B$14,1), 1*(_xlfn._xlws.FILTER(OFFSET($O$15,0,$DN278,$B$8,1),OFFSET($M$15,0,0,$B$8,1))=FF$13), 1*(_xlfn._xlws.FILTER(OFFSET($O$15,0,$DO278,$B$8,1),OFFSET($M$15,0,0,$B$8,1))=FF$14))   /   SUM(OFFSET($BO$15,0,0,$B$14,1)) + $B$18/($B$19*$B$19*($DN278&lt;&gt;$DO278) + $B$19*($DN278=$DO278))</f>
        <v>3.7037037037037035E-4</v>
      </c>
      <c r="FG278" s="10" cm="1">
        <f t="array" aca="1" ref="FG278" ca="1">(1-$B$18)*SUMPRODUCT(OFFSET($BO$15,0,0,$B$14,1), 1*(_xlfn._xlws.FILTER(OFFSET($O$15,0,$DN278,$B$8,1),OFFSET($M$15,0,0,$B$8,1))=FG$13), 1*(_xlfn._xlws.FILTER(OFFSET($O$15,0,$DO278,$B$8,1),OFFSET($M$15,0,0,$B$8,1))=FG$14))   /   SUM(OFFSET($BO$15,0,0,$B$14,1)) + $B$18/($B$19*$B$19*($DN278&lt;&gt;$DO278) + $B$19*($DN278=$DO278))</f>
        <v>3.7037037037037035E-4</v>
      </c>
      <c r="FH278" s="10" cm="1">
        <f t="array" aca="1" ref="FH278" ca="1">(1-$B$18)*SUMPRODUCT(OFFSET($BO$15,0,0,$B$14,1), 1*(_xlfn._xlws.FILTER(OFFSET($O$15,0,$DN278,$B$8,1),OFFSET($M$15,0,0,$B$8,1))=FH$13), 1*(_xlfn._xlws.FILTER(OFFSET($O$15,0,$DO278,$B$8,1),OFFSET($M$15,0,0,$B$8,1))=FH$14))   /   SUM(OFFSET($BO$15,0,0,$B$14,1)) + $B$18/($B$19*$B$19*($DN278&lt;&gt;$DO278) + $B$19*($DN278=$DO278))</f>
        <v>3.7037037037037035E-4</v>
      </c>
      <c r="FI278" s="10" cm="1">
        <f t="array" aca="1" ref="FI278" ca="1">(1-$B$18)*SUMPRODUCT(OFFSET($BO$15,0,0,$B$14,1), 1*(_xlfn._xlws.FILTER(OFFSET($O$15,0,$DN278,$B$8,1),OFFSET($M$15,0,0,$B$8,1))=FI$13), 1*(_xlfn._xlws.FILTER(OFFSET($O$15,0,$DO278,$B$8,1),OFFSET($M$15,0,0,$B$8,1))=FI$14))   /   SUM(OFFSET($BO$15,0,0,$B$14,1)) + $B$18/($B$19*$B$19*($DN278&lt;&gt;$DO278) + $B$19*($DN278=$DO278))</f>
        <v>3.7037037037037035E-4</v>
      </c>
      <c r="FJ278" s="10" cm="1">
        <f t="array" aca="1" ref="FJ278" ca="1">(1-$B$18)*SUMPRODUCT(OFFSET($BO$15,0,0,$B$14,1), 1*(_xlfn._xlws.FILTER(OFFSET($O$15,0,$DN278,$B$8,1),OFFSET($M$15,0,0,$B$8,1))=FJ$13), 1*(_xlfn._xlws.FILTER(OFFSET($O$15,0,$DO278,$B$8,1),OFFSET($M$15,0,0,$B$8,1))=FJ$14))   /   SUM(OFFSET($BO$15,0,0,$B$14,1)) + $B$18/($B$19*$B$19*($DN278&lt;&gt;$DO278) + $B$19*($DN278=$DO278))</f>
        <v>3.7037037037037035E-4</v>
      </c>
      <c r="FK278" s="10" cm="1">
        <f t="array" aca="1" ref="FK278" ca="1">(1-$B$18)*SUMPRODUCT(OFFSET($BO$15,0,0,$B$14,1), 1*(_xlfn._xlws.FILTER(OFFSET($O$15,0,$DN278,$B$8,1),OFFSET($M$15,0,0,$B$8,1))=FK$13), 1*(_xlfn._xlws.FILTER(OFFSET($O$15,0,$DO278,$B$8,1),OFFSET($M$15,0,0,$B$8,1))=FK$14))   /   SUM(OFFSET($BO$15,0,0,$B$14,1)) + $B$18/($B$19*$B$19*($DN278&lt;&gt;$DO278) + $B$19*($DN278=$DO278))</f>
        <v>3.7037037037037035E-4</v>
      </c>
      <c r="FL278" s="10" cm="1">
        <f t="array" aca="1" ref="FL278" ca="1">(1-$B$18)*SUMPRODUCT(OFFSET($BO$15,0,0,$B$14,1), 1*(_xlfn._xlws.FILTER(OFFSET($O$15,0,$DN278,$B$8,1),OFFSET($M$15,0,0,$B$8,1))=FL$13), 1*(_xlfn._xlws.FILTER(OFFSET($O$15,0,$DO278,$B$8,1),OFFSET($M$15,0,0,$B$8,1))=FL$14))   /   SUM(OFFSET($BO$15,0,0,$B$14,1)) + $B$18/($B$19*$B$19*($DN278&lt;&gt;$DO278) + $B$19*($DN278=$DO278))</f>
        <v>3.7037037037037035E-4</v>
      </c>
      <c r="FM278" s="10" cm="1">
        <f t="array" aca="1" ref="FM278" ca="1">(1-$B$18)*SUMPRODUCT(OFFSET($BO$15,0,0,$B$14,1), 1*(_xlfn._xlws.FILTER(OFFSET($O$15,0,$DN278,$B$8,1),OFFSET($M$15,0,0,$B$8,1))=FM$13), 1*(_xlfn._xlws.FILTER(OFFSET($O$15,0,$DO278,$B$8,1),OFFSET($M$15,0,0,$B$8,1))=FM$14))   /   SUM(OFFSET($BO$15,0,0,$B$14,1)) + $B$18/($B$19*$B$19*($DN278&lt;&gt;$DO278) + $B$19*($DN278=$DO278))</f>
        <v>3.7037037037037035E-4</v>
      </c>
      <c r="FN278" s="10" cm="1">
        <f t="array" aca="1" ref="FN278" ca="1">(1-$B$18)*SUMPRODUCT(OFFSET($BO$15,0,0,$B$14,1), 1*(_xlfn._xlws.FILTER(OFFSET($O$15,0,$DN278,$B$8,1),OFFSET($M$15,0,0,$B$8,1))=FN$13), 1*(_xlfn._xlws.FILTER(OFFSET($O$15,0,$DO278,$B$8,1),OFFSET($M$15,0,0,$B$8,1))=FN$14))   /   SUM(OFFSET($BO$15,0,0,$B$14,1)) + $B$18/($B$19*$B$19*($DN278&lt;&gt;$DO278) + $B$19*($DN278=$DO278))</f>
        <v>3.7037037037037035E-4</v>
      </c>
      <c r="FO278" s="10" cm="1">
        <f t="array" aca="1" ref="FO278" ca="1">(1-$B$18)*SUMPRODUCT(OFFSET($BO$15,0,0,$B$14,1), 1*(_xlfn._xlws.FILTER(OFFSET($O$15,0,$DN278,$B$8,1),OFFSET($M$15,0,0,$B$8,1))=FO$13), 1*(_xlfn._xlws.FILTER(OFFSET($O$15,0,$DO278,$B$8,1),OFFSET($M$15,0,0,$B$8,1))=FO$14))   /   SUM(OFFSET($BO$15,0,0,$B$14,1)) + $B$18/($B$19*$B$19*($DN278&lt;&gt;$DO278) + $B$19*($DN278=$DO278))</f>
        <v>3.7037037037037035E-4</v>
      </c>
      <c r="FP278" s="10" cm="1">
        <f t="array" aca="1" ref="FP278" ca="1">(1-$B$18)*SUMPRODUCT(OFFSET($BO$15,0,0,$B$14,1), 1*(_xlfn._xlws.FILTER(OFFSET($O$15,0,$DN278,$B$8,1),OFFSET($M$15,0,0,$B$8,1))=FP$13), 1*(_xlfn._xlws.FILTER(OFFSET($O$15,0,$DO278,$B$8,1),OFFSET($M$15,0,0,$B$8,1))=FP$14))   /   SUM(OFFSET($BO$15,0,0,$B$14,1)) + $B$18/($B$19*$B$19*($DN278&lt;&gt;$DO278) + $B$19*($DN278=$DO278))</f>
        <v>3.7037037037037035E-4</v>
      </c>
      <c r="FQ278" s="10" cm="1">
        <f t="array" aca="1" ref="FQ278" ca="1">(1-$B$18)*SUMPRODUCT(OFFSET($BO$15,0,0,$B$14,1), 1*(_xlfn._xlws.FILTER(OFFSET($O$15,0,$DN278,$B$8,1),OFFSET($M$15,0,0,$B$8,1))=FQ$13), 1*(_xlfn._xlws.FILTER(OFFSET($O$15,0,$DO278,$B$8,1),OFFSET($M$15,0,0,$B$8,1))=FQ$14))   /   SUM(OFFSET($BO$15,0,0,$B$14,1)) + $B$18/($B$19*$B$19*($DN278&lt;&gt;$DO278) + $B$19*($DN278=$DO278))</f>
        <v>3.7037037037037035E-4</v>
      </c>
      <c r="FR278" s="10" cm="1">
        <f t="array" aca="1" ref="FR278" ca="1">(1-$B$18)*SUMPRODUCT(OFFSET($BO$15,0,0,$B$14,1), 1*(_xlfn._xlws.FILTER(OFFSET($O$15,0,$DN278,$B$8,1),OFFSET($M$15,0,0,$B$8,1))=FR$13), 1*(_xlfn._xlws.FILTER(OFFSET($O$15,0,$DO278,$B$8,1),OFFSET($M$15,0,0,$B$8,1))=FR$14))   /   SUM(OFFSET($BO$15,0,0,$B$14,1)) + $B$18/($B$19*$B$19*($DN278&lt;&gt;$DO278) + $B$19*($DN278=$DO278))</f>
        <v>3.7037037037037035E-4</v>
      </c>
      <c r="FS278" s="10" cm="1">
        <f t="array" aca="1" ref="FS278" ca="1">(1-$B$18)*SUMPRODUCT(OFFSET($BO$15,0,0,$B$14,1), 1*(_xlfn._xlws.FILTER(OFFSET($O$15,0,$DN278,$B$8,1),OFFSET($M$15,0,0,$B$8,1))=FS$13), 1*(_xlfn._xlws.FILTER(OFFSET($O$15,0,$DO278,$B$8,1),OFFSET($M$15,0,0,$B$8,1))=FS$14))   /   SUM(OFFSET($BO$15,0,0,$B$14,1)) + $B$18/($B$19*$B$19*($DN278&lt;&gt;$DO278) + $B$19*($DN278=$DO278))</f>
        <v>3.7037037037037035E-4</v>
      </c>
      <c r="FT278" s="10" cm="1">
        <f t="array" aca="1" ref="FT278" ca="1">(1-$B$18)*SUMPRODUCT(OFFSET($BO$15,0,0,$B$14,1), 1*(_xlfn._xlws.FILTER(OFFSET($O$15,0,$DN278,$B$8,1),OFFSET($M$15,0,0,$B$8,1))=FT$13), 1*(_xlfn._xlws.FILTER(OFFSET($O$15,0,$DO278,$B$8,1),OFFSET($M$15,0,0,$B$8,1))=FT$14))   /   SUM(OFFSET($BO$15,0,0,$B$14,1)) + $B$18/($B$19*$B$19*($DN278&lt;&gt;$DO278) + $B$19*($DN278=$DO278))</f>
        <v>3.7037037037037035E-4</v>
      </c>
      <c r="FU278" s="10" cm="1">
        <f t="array" aca="1" ref="FU278" ca="1">(1-$B$18)*SUMPRODUCT(OFFSET($BO$15,0,0,$B$14,1), 1*(_xlfn._xlws.FILTER(OFFSET($O$15,0,$DN278,$B$8,1),OFFSET($M$15,0,0,$B$8,1))=FU$13), 1*(_xlfn._xlws.FILTER(OFFSET($O$15,0,$DO278,$B$8,1),OFFSET($M$15,0,0,$B$8,1))=FU$14))   /   SUM(OFFSET($BO$15,0,0,$B$14,1)) + $B$18/($B$19*$B$19*($DN278&lt;&gt;$DO278) + $B$19*($DN278=$DO278))</f>
        <v>3.7037037037037035E-4</v>
      </c>
      <c r="FV278" s="10" cm="1">
        <f t="array" aca="1" ref="FV278" ca="1">(1-$B$18)*SUMPRODUCT(OFFSET($BO$15,0,0,$B$14,1), 1*(_xlfn._xlws.FILTER(OFFSET($O$15,0,$DN278,$B$8,1),OFFSET($M$15,0,0,$B$8,1))=FV$13), 1*(_xlfn._xlws.FILTER(OFFSET($O$15,0,$DO278,$B$8,1),OFFSET($M$15,0,0,$B$8,1))=FV$14))   /   SUM(OFFSET($BO$15,0,0,$B$14,1)) + $B$18/($B$19*$B$19*($DN278&lt;&gt;$DO278) + $B$19*($DN278=$DO278))</f>
        <v>3.7037037037037035E-4</v>
      </c>
      <c r="FW278" s="10" cm="1">
        <f t="array" aca="1" ref="FW278" ca="1">(1-$B$18)*SUMPRODUCT(OFFSET($BO$15,0,0,$B$14,1), 1*(_xlfn._xlws.FILTER(OFFSET($O$15,0,$DN278,$B$8,1),OFFSET($M$15,0,0,$B$8,1))=FW$13), 1*(_xlfn._xlws.FILTER(OFFSET($O$15,0,$DO278,$B$8,1),OFFSET($M$15,0,0,$B$8,1))=FW$14))   /   SUM(OFFSET($BO$15,0,0,$B$14,1)) + $B$18/($B$19*$B$19*($DN278&lt;&gt;$DO278) + $B$19*($DN278=$DO278))</f>
        <v>3.7037037037037035E-4</v>
      </c>
      <c r="FX278" s="10" cm="1">
        <f t="array" aca="1" ref="FX278" ca="1">(1-$B$18)*SUMPRODUCT(OFFSET($BO$15,0,0,$B$14,1), 1*(_xlfn._xlws.FILTER(OFFSET($O$15,0,$DN278,$B$8,1),OFFSET($M$15,0,0,$B$8,1))=FX$13), 1*(_xlfn._xlws.FILTER(OFFSET($O$15,0,$DO278,$B$8,1),OFFSET($M$15,0,0,$B$8,1))=FX$14))   /   SUM(OFFSET($BO$15,0,0,$B$14,1)) + $B$18/($B$19*$B$19*($DN278&lt;&gt;$DO278) + $B$19*($DN278=$DO278))</f>
        <v>3.7037037037037035E-4</v>
      </c>
      <c r="FY278" s="10" cm="1">
        <f t="array" aca="1" ref="FY278" ca="1">(1-$B$18)*SUMPRODUCT(OFFSET($BO$15,0,0,$B$14,1), 1*(_xlfn._xlws.FILTER(OFFSET($O$15,0,$DN278,$B$8,1),OFFSET($M$15,0,0,$B$8,1))=FY$13), 1*(_xlfn._xlws.FILTER(OFFSET($O$15,0,$DO278,$B$8,1),OFFSET($M$15,0,0,$B$8,1))=FY$14))   /   SUM(OFFSET($BO$15,0,0,$B$14,1)) + $B$18/($B$19*$B$19*($DN278&lt;&gt;$DO278) + $B$19*($DN278=$DO278))</f>
        <v>3.7037037037037035E-4</v>
      </c>
      <c r="FZ278" s="10" cm="1">
        <f t="array" aca="1" ref="FZ278" ca="1">(1-$B$18)*SUMPRODUCT(OFFSET($BO$15,0,0,$B$14,1), 1*(_xlfn._xlws.FILTER(OFFSET($O$15,0,$DN278,$B$8,1),OFFSET($M$15,0,0,$B$8,1))=FZ$13), 1*(_xlfn._xlws.FILTER(OFFSET($O$15,0,$DO278,$B$8,1),OFFSET($M$15,0,0,$B$8,1))=FZ$14))   /   SUM(OFFSET($BO$15,0,0,$B$14,1)) + $B$18/($B$19*$B$19*($DN278&lt;&gt;$DO278) + $B$19*($DN278=$DO278))</f>
        <v>3.7037037037037035E-4</v>
      </c>
      <c r="GA278" s="10" cm="1">
        <f t="array" aca="1" ref="GA278" ca="1">(1-$B$18)*SUMPRODUCT(OFFSET($BO$15,0,0,$B$14,1), 1*(_xlfn._xlws.FILTER(OFFSET($O$15,0,$DN278,$B$8,1),OFFSET($M$15,0,0,$B$8,1))=GA$13), 1*(_xlfn._xlws.FILTER(OFFSET($O$15,0,$DO278,$B$8,1),OFFSET($M$15,0,0,$B$8,1))=GA$14))   /   SUM(OFFSET($BO$15,0,0,$B$14,1)) + $B$18/($B$19*$B$19*($DN278&lt;&gt;$DO278) + $B$19*($DN278=$DO278))</f>
        <v>3.7037037037037035E-4</v>
      </c>
    </row>
    <row r="279" spans="118:183" x14ac:dyDescent="0.2">
      <c r="DN279" cm="1">
        <f t="array" aca="1" ref="DN279" ca="1">INDEX(_xlfn.ANCHORARRAY($CP$15), 1 + INT((ROWS($DO$15:$DO279) - 1) / ROWS(_xlfn.ANCHORARRAY($CP$15))))</f>
        <v>14</v>
      </c>
      <c r="DO279" cm="1">
        <f t="array" aca="1" ref="DO279" ca="1">INDEX(_xlfn.ANCHORARRAY($CP$15),1+MOD(ROWS($DO$15:$DO279)-1,ROWS(_xlfn.ANCHORARRAY($CP$15))))</f>
        <v>20</v>
      </c>
      <c r="DP279" s="10" cm="1">
        <f t="array" aca="1" ref="DP279" ca="1">(1-$B$18)*SUMPRODUCT(OFFSET($BO$15,0,0,$B$14,1), 1*(_xlfn._xlws.FILTER(OFFSET($O$15,0,$DN279,$B$8,1),OFFSET($M$15,0,0,$B$8,1))=DP$13), 1*(_xlfn._xlws.FILTER(OFFSET($O$15,0,$DO279,$B$8,1),OFFSET($M$15,0,0,$B$8,1))=DP$14))   /   SUM(OFFSET($BO$15,0,0,$B$14,1)) + $B$18/($B$19*$B$19*($DN279&lt;&gt;$DO279) + $B$19*($DN279=$DO279))</f>
        <v>3.7037037037037035E-4</v>
      </c>
      <c r="DQ279" s="10" cm="1">
        <f t="array" aca="1" ref="DQ279" ca="1">(1-$B$18)*SUMPRODUCT(OFFSET($BO$15,0,0,$B$14,1), 1*(_xlfn._xlws.FILTER(OFFSET($O$15,0,$DN279,$B$8,1),OFFSET($M$15,0,0,$B$8,1))=DQ$13), 1*(_xlfn._xlws.FILTER(OFFSET($O$15,0,$DO279,$B$8,1),OFFSET($M$15,0,0,$B$8,1))=DQ$14))   /   SUM(OFFSET($BO$15,0,0,$B$14,1)) + $B$18/($B$19*$B$19*($DN279&lt;&gt;$DO279) + $B$19*($DN279=$DO279))</f>
        <v>3.7037037037037035E-4</v>
      </c>
      <c r="DR279" s="10" cm="1">
        <f t="array" aca="1" ref="DR279" ca="1">(1-$B$18)*SUMPRODUCT(OFFSET($BO$15,0,0,$B$14,1), 1*(_xlfn._xlws.FILTER(OFFSET($O$15,0,$DN279,$B$8,1),OFFSET($M$15,0,0,$B$8,1))=DR$13), 1*(_xlfn._xlws.FILTER(OFFSET($O$15,0,$DO279,$B$8,1),OFFSET($M$15,0,0,$B$8,1))=DR$14))   /   SUM(OFFSET($BO$15,0,0,$B$14,1)) + $B$18/($B$19*$B$19*($DN279&lt;&gt;$DO279) + $B$19*($DN279=$DO279))</f>
        <v>3.7037037037037035E-4</v>
      </c>
      <c r="DS279" s="10" cm="1">
        <f t="array" aca="1" ref="DS279" ca="1">(1-$B$18)*SUMPRODUCT(OFFSET($BO$15,0,0,$B$14,1), 1*(_xlfn._xlws.FILTER(OFFSET($O$15,0,$DN279,$B$8,1),OFFSET($M$15,0,0,$B$8,1))=DS$13), 1*(_xlfn._xlws.FILTER(OFFSET($O$15,0,$DO279,$B$8,1),OFFSET($M$15,0,0,$B$8,1))=DS$14))   /   SUM(OFFSET($BO$15,0,0,$B$14,1)) + $B$18/($B$19*$B$19*($DN279&lt;&gt;$DO279) + $B$19*($DN279=$DO279))</f>
        <v>3.7037037037037035E-4</v>
      </c>
      <c r="DT279" s="10" cm="1">
        <f t="array" aca="1" ref="DT279" ca="1">(1-$B$18)*SUMPRODUCT(OFFSET($BO$15,0,0,$B$14,1), 1*(_xlfn._xlws.FILTER(OFFSET($O$15,0,$DN279,$B$8,1),OFFSET($M$15,0,0,$B$8,1))=DT$13), 1*(_xlfn._xlws.FILTER(OFFSET($O$15,0,$DO279,$B$8,1),OFFSET($M$15,0,0,$B$8,1))=DT$14))   /   SUM(OFFSET($BO$15,0,0,$B$14,1)) + $B$18/($B$19*$B$19*($DN279&lt;&gt;$DO279) + $B$19*($DN279=$DO279))</f>
        <v>3.7037037037037035E-4</v>
      </c>
      <c r="DU279" s="10" cm="1">
        <f t="array" aca="1" ref="DU279" ca="1">(1-$B$18)*SUMPRODUCT(OFFSET($BO$15,0,0,$B$14,1), 1*(_xlfn._xlws.FILTER(OFFSET($O$15,0,$DN279,$B$8,1),OFFSET($M$15,0,0,$B$8,1))=DU$13), 1*(_xlfn._xlws.FILTER(OFFSET($O$15,0,$DO279,$B$8,1),OFFSET($M$15,0,0,$B$8,1))=DU$14))   /   SUM(OFFSET($BO$15,0,0,$B$14,1)) + $B$18/($B$19*$B$19*($DN279&lt;&gt;$DO279) + $B$19*($DN279=$DO279))</f>
        <v>3.7037037037037035E-4</v>
      </c>
      <c r="DV279" s="10" cm="1">
        <f t="array" aca="1" ref="DV279" ca="1">(1-$B$18)*SUMPRODUCT(OFFSET($BO$15,0,0,$B$14,1), 1*(_xlfn._xlws.FILTER(OFFSET($O$15,0,$DN279,$B$8,1),OFFSET($M$15,0,0,$B$8,1))=DV$13), 1*(_xlfn._xlws.FILTER(OFFSET($O$15,0,$DO279,$B$8,1),OFFSET($M$15,0,0,$B$8,1))=DV$14))   /   SUM(OFFSET($BO$15,0,0,$B$14,1)) + $B$18/($B$19*$B$19*($DN279&lt;&gt;$DO279) + $B$19*($DN279=$DO279))</f>
        <v>3.7037037037037035E-4</v>
      </c>
      <c r="DW279" s="10" cm="1">
        <f t="array" aca="1" ref="DW279" ca="1">(1-$B$18)*SUMPRODUCT(OFFSET($BO$15,0,0,$B$14,1), 1*(_xlfn._xlws.FILTER(OFFSET($O$15,0,$DN279,$B$8,1),OFFSET($M$15,0,0,$B$8,1))=DW$13), 1*(_xlfn._xlws.FILTER(OFFSET($O$15,0,$DO279,$B$8,1),OFFSET($M$15,0,0,$B$8,1))=DW$14))   /   SUM(OFFSET($BO$15,0,0,$B$14,1)) + $B$18/($B$19*$B$19*($DN279&lt;&gt;$DO279) + $B$19*($DN279=$DO279))</f>
        <v>3.7037037037037035E-4</v>
      </c>
      <c r="DX279" s="10" cm="1">
        <f t="array" aca="1" ref="DX279" ca="1">(1-$B$18)*SUMPRODUCT(OFFSET($BO$15,0,0,$B$14,1), 1*(_xlfn._xlws.FILTER(OFFSET($O$15,0,$DN279,$B$8,1),OFFSET($M$15,0,0,$B$8,1))=DX$13), 1*(_xlfn._xlws.FILTER(OFFSET($O$15,0,$DO279,$B$8,1),OFFSET($M$15,0,0,$B$8,1))=DX$14))   /   SUM(OFFSET($BO$15,0,0,$B$14,1)) + $B$18/($B$19*$B$19*($DN279&lt;&gt;$DO279) + $B$19*($DN279=$DO279))</f>
        <v>3.7037037037037035E-4</v>
      </c>
      <c r="DY279" s="10" cm="1">
        <f t="array" aca="1" ref="DY279" ca="1">(1-$B$18)*SUMPRODUCT(OFFSET($BO$15,0,0,$B$14,1), 1*(_xlfn._xlws.FILTER(OFFSET($O$15,0,$DN279,$B$8,1),OFFSET($M$15,0,0,$B$8,1))=DY$13), 1*(_xlfn._xlws.FILTER(OFFSET($O$15,0,$DO279,$B$8,1),OFFSET($M$15,0,0,$B$8,1))=DY$14))   /   SUM(OFFSET($BO$15,0,0,$B$14,1)) + $B$18/($B$19*$B$19*($DN279&lt;&gt;$DO279) + $B$19*($DN279=$DO279))</f>
        <v>3.7037037037037035E-4</v>
      </c>
      <c r="DZ279" s="10" cm="1">
        <f t="array" aca="1" ref="DZ279" ca="1">(1-$B$18)*SUMPRODUCT(OFFSET($BO$15,0,0,$B$14,1), 1*(_xlfn._xlws.FILTER(OFFSET($O$15,0,$DN279,$B$8,1),OFFSET($M$15,0,0,$B$8,1))=DZ$13), 1*(_xlfn._xlws.FILTER(OFFSET($O$15,0,$DO279,$B$8,1),OFFSET($M$15,0,0,$B$8,1))=DZ$14))   /   SUM(OFFSET($BO$15,0,0,$B$14,1)) + $B$18/($B$19*$B$19*($DN279&lt;&gt;$DO279) + $B$19*($DN279=$DO279))</f>
        <v>3.7037037037037035E-4</v>
      </c>
      <c r="EA279" s="10" cm="1">
        <f t="array" aca="1" ref="EA279" ca="1">(1-$B$18)*SUMPRODUCT(OFFSET($BO$15,0,0,$B$14,1), 1*(_xlfn._xlws.FILTER(OFFSET($O$15,0,$DN279,$B$8,1),OFFSET($M$15,0,0,$B$8,1))=EA$13), 1*(_xlfn._xlws.FILTER(OFFSET($O$15,0,$DO279,$B$8,1),OFFSET($M$15,0,0,$B$8,1))=EA$14))   /   SUM(OFFSET($BO$15,0,0,$B$14,1)) + $B$18/($B$19*$B$19*($DN279&lt;&gt;$DO279) + $B$19*($DN279=$DO279))</f>
        <v>3.7037037037037035E-4</v>
      </c>
      <c r="EB279" s="10" cm="1">
        <f t="array" aca="1" ref="EB279" ca="1">(1-$B$18)*SUMPRODUCT(OFFSET($BO$15,0,0,$B$14,1), 1*(_xlfn._xlws.FILTER(OFFSET($O$15,0,$DN279,$B$8,1),OFFSET($M$15,0,0,$B$8,1))=EB$13), 1*(_xlfn._xlws.FILTER(OFFSET($O$15,0,$DO279,$B$8,1),OFFSET($M$15,0,0,$B$8,1))=EB$14))   /   SUM(OFFSET($BO$15,0,0,$B$14,1)) + $B$18/($B$19*$B$19*($DN279&lt;&gt;$DO279) + $B$19*($DN279=$DO279))</f>
        <v>3.7037037037037035E-4</v>
      </c>
      <c r="EC279" s="10" cm="1">
        <f t="array" aca="1" ref="EC279" ca="1">(1-$B$18)*SUMPRODUCT(OFFSET($BO$15,0,0,$B$14,1), 1*(_xlfn._xlws.FILTER(OFFSET($O$15,0,$DN279,$B$8,1),OFFSET($M$15,0,0,$B$8,1))=EC$13), 1*(_xlfn._xlws.FILTER(OFFSET($O$15,0,$DO279,$B$8,1),OFFSET($M$15,0,0,$B$8,1))=EC$14))   /   SUM(OFFSET($BO$15,0,0,$B$14,1)) + $B$18/($B$19*$B$19*($DN279&lt;&gt;$DO279) + $B$19*($DN279=$DO279))</f>
        <v>3.7037037037037035E-4</v>
      </c>
      <c r="ED279" s="10" cm="1">
        <f t="array" aca="1" ref="ED279" ca="1">(1-$B$18)*SUMPRODUCT(OFFSET($BO$15,0,0,$B$14,1), 1*(_xlfn._xlws.FILTER(OFFSET($O$15,0,$DN279,$B$8,1),OFFSET($M$15,0,0,$B$8,1))=ED$13), 1*(_xlfn._xlws.FILTER(OFFSET($O$15,0,$DO279,$B$8,1),OFFSET($M$15,0,0,$B$8,1))=ED$14))   /   SUM(OFFSET($BO$15,0,0,$B$14,1)) + $B$18/($B$19*$B$19*($DN279&lt;&gt;$DO279) + $B$19*($DN279=$DO279))</f>
        <v>3.7037037037037035E-4</v>
      </c>
      <c r="EE279" s="10" cm="1">
        <f t="array" aca="1" ref="EE279" ca="1">(1-$B$18)*SUMPRODUCT(OFFSET($BO$15,0,0,$B$14,1), 1*(_xlfn._xlws.FILTER(OFFSET($O$15,0,$DN279,$B$8,1),OFFSET($M$15,0,0,$B$8,1))=EE$13), 1*(_xlfn._xlws.FILTER(OFFSET($O$15,0,$DO279,$B$8,1),OFFSET($M$15,0,0,$B$8,1))=EE$14))   /   SUM(OFFSET($BO$15,0,0,$B$14,1)) + $B$18/($B$19*$B$19*($DN279&lt;&gt;$DO279) + $B$19*($DN279=$DO279))</f>
        <v>3.7037037037037035E-4</v>
      </c>
      <c r="EF279" s="10" cm="1">
        <f t="array" aca="1" ref="EF279" ca="1">(1-$B$18)*SUMPRODUCT(OFFSET($BO$15,0,0,$B$14,1), 1*(_xlfn._xlws.FILTER(OFFSET($O$15,0,$DN279,$B$8,1),OFFSET($M$15,0,0,$B$8,1))=EF$13), 1*(_xlfn._xlws.FILTER(OFFSET($O$15,0,$DO279,$B$8,1),OFFSET($M$15,0,0,$B$8,1))=EF$14))   /   SUM(OFFSET($BO$15,0,0,$B$14,1)) + $B$18/($B$19*$B$19*($DN279&lt;&gt;$DO279) + $B$19*($DN279=$DO279))</f>
        <v>3.7037037037037035E-4</v>
      </c>
      <c r="EG279" s="10" cm="1">
        <f t="array" aca="1" ref="EG279" ca="1">(1-$B$18)*SUMPRODUCT(OFFSET($BO$15,0,0,$B$14,1), 1*(_xlfn._xlws.FILTER(OFFSET($O$15,0,$DN279,$B$8,1),OFFSET($M$15,0,0,$B$8,1))=EG$13), 1*(_xlfn._xlws.FILTER(OFFSET($O$15,0,$DO279,$B$8,1),OFFSET($M$15,0,0,$B$8,1))=EG$14))   /   SUM(OFFSET($BO$15,0,0,$B$14,1)) + $B$18/($B$19*$B$19*($DN279&lt;&gt;$DO279) + $B$19*($DN279=$DO279))</f>
        <v>3.7037037037037035E-4</v>
      </c>
      <c r="EH279" s="10" cm="1">
        <f t="array" aca="1" ref="EH279" ca="1">(1-$B$18)*SUMPRODUCT(OFFSET($BO$15,0,0,$B$14,1), 1*(_xlfn._xlws.FILTER(OFFSET($O$15,0,$DN279,$B$8,1),OFFSET($M$15,0,0,$B$8,1))=EH$13), 1*(_xlfn._xlws.FILTER(OFFSET($O$15,0,$DO279,$B$8,1),OFFSET($M$15,0,0,$B$8,1))=EH$14))   /   SUM(OFFSET($BO$15,0,0,$B$14,1)) + $B$18/($B$19*$B$19*($DN279&lt;&gt;$DO279) + $B$19*($DN279=$DO279))</f>
        <v>3.7037037037037035E-4</v>
      </c>
      <c r="EI279" s="10" cm="1">
        <f t="array" aca="1" ref="EI279" ca="1">(1-$B$18)*SUMPRODUCT(OFFSET($BO$15,0,0,$B$14,1), 1*(_xlfn._xlws.FILTER(OFFSET($O$15,0,$DN279,$B$8,1),OFFSET($M$15,0,0,$B$8,1))=EI$13), 1*(_xlfn._xlws.FILTER(OFFSET($O$15,0,$DO279,$B$8,1),OFFSET($M$15,0,0,$B$8,1))=EI$14))   /   SUM(OFFSET($BO$15,0,0,$B$14,1)) + $B$18/($B$19*$B$19*($DN279&lt;&gt;$DO279) + $B$19*($DN279=$DO279))</f>
        <v>3.7037037037037035E-4</v>
      </c>
      <c r="EJ279" s="10" cm="1">
        <f t="array" aca="1" ref="EJ279" ca="1">(1-$B$18)*SUMPRODUCT(OFFSET($BO$15,0,0,$B$14,1), 1*(_xlfn._xlws.FILTER(OFFSET($O$15,0,$DN279,$B$8,1),OFFSET($M$15,0,0,$B$8,1))=EJ$13), 1*(_xlfn._xlws.FILTER(OFFSET($O$15,0,$DO279,$B$8,1),OFFSET($M$15,0,0,$B$8,1))=EJ$14))   /   SUM(OFFSET($BO$15,0,0,$B$14,1)) + $B$18/($B$19*$B$19*($DN279&lt;&gt;$DO279) + $B$19*($DN279=$DO279))</f>
        <v>0.24287037037037024</v>
      </c>
      <c r="EK279" s="10" cm="1">
        <f t="array" aca="1" ref="EK279" ca="1">(1-$B$18)*SUMPRODUCT(OFFSET($BO$15,0,0,$B$14,1), 1*(_xlfn._xlws.FILTER(OFFSET($O$15,0,$DN279,$B$8,1),OFFSET($M$15,0,0,$B$8,1))=EK$13), 1*(_xlfn._xlws.FILTER(OFFSET($O$15,0,$DO279,$B$8,1),OFFSET($M$15,0,0,$B$8,1))=EK$14))   /   SUM(OFFSET($BO$15,0,0,$B$14,1)) + $B$18/($B$19*$B$19*($DN279&lt;&gt;$DO279) + $B$19*($DN279=$DO279))</f>
        <v>0.24287037037037026</v>
      </c>
      <c r="EL279" s="10" cm="1">
        <f t="array" aca="1" ref="EL279" ca="1">(1-$B$18)*SUMPRODUCT(OFFSET($BO$15,0,0,$B$14,1), 1*(_xlfn._xlws.FILTER(OFFSET($O$15,0,$DN279,$B$8,1),OFFSET($M$15,0,0,$B$8,1))=EL$13), 1*(_xlfn._xlws.FILTER(OFFSET($O$15,0,$DO279,$B$8,1),OFFSET($M$15,0,0,$B$8,1))=EL$14))   /   SUM(OFFSET($BO$15,0,0,$B$14,1)) + $B$18/($B$19*$B$19*($DN279&lt;&gt;$DO279) + $B$19*($DN279=$DO279))</f>
        <v>0.48537037037037012</v>
      </c>
      <c r="EM279" s="10" cm="1">
        <f t="array" aca="1" ref="EM279" ca="1">(1-$B$18)*SUMPRODUCT(OFFSET($BO$15,0,0,$B$14,1), 1*(_xlfn._xlws.FILTER(OFFSET($O$15,0,$DN279,$B$8,1),OFFSET($M$15,0,0,$B$8,1))=EM$13), 1*(_xlfn._xlws.FILTER(OFFSET($O$15,0,$DO279,$B$8,1),OFFSET($M$15,0,0,$B$8,1))=EM$14))   /   SUM(OFFSET($BO$15,0,0,$B$14,1)) + $B$18/($B$19*$B$19*($DN279&lt;&gt;$DO279) + $B$19*($DN279=$DO279))</f>
        <v>3.7037037037037035E-4</v>
      </c>
      <c r="EN279" s="10" cm="1">
        <f t="array" aca="1" ref="EN279" ca="1">(1-$B$18)*SUMPRODUCT(OFFSET($BO$15,0,0,$B$14,1), 1*(_xlfn._xlws.FILTER(OFFSET($O$15,0,$DN279,$B$8,1),OFFSET($M$15,0,0,$B$8,1))=EN$13), 1*(_xlfn._xlws.FILTER(OFFSET($O$15,0,$DO279,$B$8,1),OFFSET($M$15,0,0,$B$8,1))=EN$14))   /   SUM(OFFSET($BO$15,0,0,$B$14,1)) + $B$18/($B$19*$B$19*($DN279&lt;&gt;$DO279) + $B$19*($DN279=$DO279))</f>
        <v>3.7037037037037035E-4</v>
      </c>
      <c r="EO279" s="10" cm="1">
        <f t="array" aca="1" ref="EO279" ca="1">(1-$B$18)*SUMPRODUCT(OFFSET($BO$15,0,0,$B$14,1), 1*(_xlfn._xlws.FILTER(OFFSET($O$15,0,$DN279,$B$8,1),OFFSET($M$15,0,0,$B$8,1))=EO$13), 1*(_xlfn._xlws.FILTER(OFFSET($O$15,0,$DO279,$B$8,1),OFFSET($M$15,0,0,$B$8,1))=EO$14))   /   SUM(OFFSET($BO$15,0,0,$B$14,1)) + $B$18/($B$19*$B$19*($DN279&lt;&gt;$DO279) + $B$19*($DN279=$DO279))</f>
        <v>3.7037037037037035E-4</v>
      </c>
      <c r="EP279" s="10" cm="1">
        <f t="array" aca="1" ref="EP279" ca="1">(1-$B$18)*SUMPRODUCT(OFFSET($BO$15,0,0,$B$14,1), 1*(_xlfn._xlws.FILTER(OFFSET($O$15,0,$DN279,$B$8,1),OFFSET($M$15,0,0,$B$8,1))=EP$13), 1*(_xlfn._xlws.FILTER(OFFSET($O$15,0,$DO279,$B$8,1),OFFSET($M$15,0,0,$B$8,1))=EP$14))   /   SUM(OFFSET($BO$15,0,0,$B$14,1)) + $B$18/($B$19*$B$19*($DN279&lt;&gt;$DO279) + $B$19*($DN279=$DO279))</f>
        <v>3.7037037037037035E-4</v>
      </c>
      <c r="EQ279" s="10" cm="1">
        <f t="array" aca="1" ref="EQ279" ca="1">(1-$B$18)*SUMPRODUCT(OFFSET($BO$15,0,0,$B$14,1), 1*(_xlfn._xlws.FILTER(OFFSET($O$15,0,$DN279,$B$8,1),OFFSET($M$15,0,0,$B$8,1))=EQ$13), 1*(_xlfn._xlws.FILTER(OFFSET($O$15,0,$DO279,$B$8,1),OFFSET($M$15,0,0,$B$8,1))=EQ$14))   /   SUM(OFFSET($BO$15,0,0,$B$14,1)) + $B$18/($B$19*$B$19*($DN279&lt;&gt;$DO279) + $B$19*($DN279=$DO279))</f>
        <v>3.7037037037037035E-4</v>
      </c>
      <c r="ER279" s="10" cm="1">
        <f t="array" aca="1" ref="ER279" ca="1">(1-$B$18)*SUMPRODUCT(OFFSET($BO$15,0,0,$B$14,1), 1*(_xlfn._xlws.FILTER(OFFSET($O$15,0,$DN279,$B$8,1),OFFSET($M$15,0,0,$B$8,1))=ER$13), 1*(_xlfn._xlws.FILTER(OFFSET($O$15,0,$DO279,$B$8,1),OFFSET($M$15,0,0,$B$8,1))=ER$14))   /   SUM(OFFSET($BO$15,0,0,$B$14,1)) + $B$18/($B$19*$B$19*($DN279&lt;&gt;$DO279) + $B$19*($DN279=$DO279))</f>
        <v>3.7037037037037035E-4</v>
      </c>
      <c r="ES279" s="10" cm="1">
        <f t="array" aca="1" ref="ES279" ca="1">(1-$B$18)*SUMPRODUCT(OFFSET($BO$15,0,0,$B$14,1), 1*(_xlfn._xlws.FILTER(OFFSET($O$15,0,$DN279,$B$8,1),OFFSET($M$15,0,0,$B$8,1))=ES$13), 1*(_xlfn._xlws.FILTER(OFFSET($O$15,0,$DO279,$B$8,1),OFFSET($M$15,0,0,$B$8,1))=ES$14))   /   SUM(OFFSET($BO$15,0,0,$B$14,1)) + $B$18/($B$19*$B$19*($DN279&lt;&gt;$DO279) + $B$19*($DN279=$DO279))</f>
        <v>3.7037037037037035E-4</v>
      </c>
      <c r="ET279" s="10" cm="1">
        <f t="array" aca="1" ref="ET279" ca="1">(1-$B$18)*SUMPRODUCT(OFFSET($BO$15,0,0,$B$14,1), 1*(_xlfn._xlws.FILTER(OFFSET($O$15,0,$DN279,$B$8,1),OFFSET($M$15,0,0,$B$8,1))=ET$13), 1*(_xlfn._xlws.FILTER(OFFSET($O$15,0,$DO279,$B$8,1),OFFSET($M$15,0,0,$B$8,1))=ET$14))   /   SUM(OFFSET($BO$15,0,0,$B$14,1)) + $B$18/($B$19*$B$19*($DN279&lt;&gt;$DO279) + $B$19*($DN279=$DO279))</f>
        <v>3.7037037037037035E-4</v>
      </c>
      <c r="EU279" s="10" cm="1">
        <f t="array" aca="1" ref="EU279" ca="1">(1-$B$18)*SUMPRODUCT(OFFSET($BO$15,0,0,$B$14,1), 1*(_xlfn._xlws.FILTER(OFFSET($O$15,0,$DN279,$B$8,1),OFFSET($M$15,0,0,$B$8,1))=EU$13), 1*(_xlfn._xlws.FILTER(OFFSET($O$15,0,$DO279,$B$8,1),OFFSET($M$15,0,0,$B$8,1))=EU$14))   /   SUM(OFFSET($BO$15,0,0,$B$14,1)) + $B$18/($B$19*$B$19*($DN279&lt;&gt;$DO279) + $B$19*($DN279=$DO279))</f>
        <v>3.7037037037037035E-4</v>
      </c>
      <c r="EV279" s="10" cm="1">
        <f t="array" aca="1" ref="EV279" ca="1">(1-$B$18)*SUMPRODUCT(OFFSET($BO$15,0,0,$B$14,1), 1*(_xlfn._xlws.FILTER(OFFSET($O$15,0,$DN279,$B$8,1),OFFSET($M$15,0,0,$B$8,1))=EV$13), 1*(_xlfn._xlws.FILTER(OFFSET($O$15,0,$DO279,$B$8,1),OFFSET($M$15,0,0,$B$8,1))=EV$14))   /   SUM(OFFSET($BO$15,0,0,$B$14,1)) + $B$18/($B$19*$B$19*($DN279&lt;&gt;$DO279) + $B$19*($DN279=$DO279))</f>
        <v>3.7037037037037035E-4</v>
      </c>
      <c r="EW279" s="10" cm="1">
        <f t="array" aca="1" ref="EW279" ca="1">(1-$B$18)*SUMPRODUCT(OFFSET($BO$15,0,0,$B$14,1), 1*(_xlfn._xlws.FILTER(OFFSET($O$15,0,$DN279,$B$8,1),OFFSET($M$15,0,0,$B$8,1))=EW$13), 1*(_xlfn._xlws.FILTER(OFFSET($O$15,0,$DO279,$B$8,1),OFFSET($M$15,0,0,$B$8,1))=EW$14))   /   SUM(OFFSET($BO$15,0,0,$B$14,1)) + $B$18/($B$19*$B$19*($DN279&lt;&gt;$DO279) + $B$19*($DN279=$DO279))</f>
        <v>3.7037037037037035E-4</v>
      </c>
      <c r="EX279" s="10" cm="1">
        <f t="array" aca="1" ref="EX279" ca="1">(1-$B$18)*SUMPRODUCT(OFFSET($BO$15,0,0,$B$14,1), 1*(_xlfn._xlws.FILTER(OFFSET($O$15,0,$DN279,$B$8,1),OFFSET($M$15,0,0,$B$8,1))=EX$13), 1*(_xlfn._xlws.FILTER(OFFSET($O$15,0,$DO279,$B$8,1),OFFSET($M$15,0,0,$B$8,1))=EX$14))   /   SUM(OFFSET($BO$15,0,0,$B$14,1)) + $B$18/($B$19*$B$19*($DN279&lt;&gt;$DO279) + $B$19*($DN279=$DO279))</f>
        <v>3.7037037037037035E-4</v>
      </c>
      <c r="EY279" s="10" cm="1">
        <f t="array" aca="1" ref="EY279" ca="1">(1-$B$18)*SUMPRODUCT(OFFSET($BO$15,0,0,$B$14,1), 1*(_xlfn._xlws.FILTER(OFFSET($O$15,0,$DN279,$B$8,1),OFFSET($M$15,0,0,$B$8,1))=EY$13), 1*(_xlfn._xlws.FILTER(OFFSET($O$15,0,$DO279,$B$8,1),OFFSET($M$15,0,0,$B$8,1))=EY$14))   /   SUM(OFFSET($BO$15,0,0,$B$14,1)) + $B$18/($B$19*$B$19*($DN279&lt;&gt;$DO279) + $B$19*($DN279=$DO279))</f>
        <v>3.7037037037037035E-4</v>
      </c>
      <c r="EZ279" s="10" cm="1">
        <f t="array" aca="1" ref="EZ279" ca="1">(1-$B$18)*SUMPRODUCT(OFFSET($BO$15,0,0,$B$14,1), 1*(_xlfn._xlws.FILTER(OFFSET($O$15,0,$DN279,$B$8,1),OFFSET($M$15,0,0,$B$8,1))=EZ$13), 1*(_xlfn._xlws.FILTER(OFFSET($O$15,0,$DO279,$B$8,1),OFFSET($M$15,0,0,$B$8,1))=EZ$14))   /   SUM(OFFSET($BO$15,0,0,$B$14,1)) + $B$18/($B$19*$B$19*($DN279&lt;&gt;$DO279) + $B$19*($DN279=$DO279))</f>
        <v>3.7037037037037035E-4</v>
      </c>
      <c r="FA279" s="10" cm="1">
        <f t="array" aca="1" ref="FA279" ca="1">(1-$B$18)*SUMPRODUCT(OFFSET($BO$15,0,0,$B$14,1), 1*(_xlfn._xlws.FILTER(OFFSET($O$15,0,$DN279,$B$8,1),OFFSET($M$15,0,0,$B$8,1))=FA$13), 1*(_xlfn._xlws.FILTER(OFFSET($O$15,0,$DO279,$B$8,1),OFFSET($M$15,0,0,$B$8,1))=FA$14))   /   SUM(OFFSET($BO$15,0,0,$B$14,1)) + $B$18/($B$19*$B$19*($DN279&lt;&gt;$DO279) + $B$19*($DN279=$DO279))</f>
        <v>3.7037037037037035E-4</v>
      </c>
      <c r="FB279" s="10" cm="1">
        <f t="array" aca="1" ref="FB279" ca="1">(1-$B$18)*SUMPRODUCT(OFFSET($BO$15,0,0,$B$14,1), 1*(_xlfn._xlws.FILTER(OFFSET($O$15,0,$DN279,$B$8,1),OFFSET($M$15,0,0,$B$8,1))=FB$13), 1*(_xlfn._xlws.FILTER(OFFSET($O$15,0,$DO279,$B$8,1),OFFSET($M$15,0,0,$B$8,1))=FB$14))   /   SUM(OFFSET($BO$15,0,0,$B$14,1)) + $B$18/($B$19*$B$19*($DN279&lt;&gt;$DO279) + $B$19*($DN279=$DO279))</f>
        <v>3.7037037037037035E-4</v>
      </c>
      <c r="FC279" s="10" cm="1">
        <f t="array" aca="1" ref="FC279" ca="1">(1-$B$18)*SUMPRODUCT(OFFSET($BO$15,0,0,$B$14,1), 1*(_xlfn._xlws.FILTER(OFFSET($O$15,0,$DN279,$B$8,1),OFFSET($M$15,0,0,$B$8,1))=FC$13), 1*(_xlfn._xlws.FILTER(OFFSET($O$15,0,$DO279,$B$8,1),OFFSET($M$15,0,0,$B$8,1))=FC$14))   /   SUM(OFFSET($BO$15,0,0,$B$14,1)) + $B$18/($B$19*$B$19*($DN279&lt;&gt;$DO279) + $B$19*($DN279=$DO279))</f>
        <v>3.7037037037037035E-4</v>
      </c>
      <c r="FD279" s="10" cm="1">
        <f t="array" aca="1" ref="FD279" ca="1">(1-$B$18)*SUMPRODUCT(OFFSET($BO$15,0,0,$B$14,1), 1*(_xlfn._xlws.FILTER(OFFSET($O$15,0,$DN279,$B$8,1),OFFSET($M$15,0,0,$B$8,1))=FD$13), 1*(_xlfn._xlws.FILTER(OFFSET($O$15,0,$DO279,$B$8,1),OFFSET($M$15,0,0,$B$8,1))=FD$14))   /   SUM(OFFSET($BO$15,0,0,$B$14,1)) + $B$18/($B$19*$B$19*($DN279&lt;&gt;$DO279) + $B$19*($DN279=$DO279))</f>
        <v>3.7037037037037035E-4</v>
      </c>
      <c r="FE279" s="10" cm="1">
        <f t="array" aca="1" ref="FE279" ca="1">(1-$B$18)*SUMPRODUCT(OFFSET($BO$15,0,0,$B$14,1), 1*(_xlfn._xlws.FILTER(OFFSET($O$15,0,$DN279,$B$8,1),OFFSET($M$15,0,0,$B$8,1))=FE$13), 1*(_xlfn._xlws.FILTER(OFFSET($O$15,0,$DO279,$B$8,1),OFFSET($M$15,0,0,$B$8,1))=FE$14))   /   SUM(OFFSET($BO$15,0,0,$B$14,1)) + $B$18/($B$19*$B$19*($DN279&lt;&gt;$DO279) + $B$19*($DN279=$DO279))</f>
        <v>3.7037037037037035E-4</v>
      </c>
      <c r="FF279" s="10" cm="1">
        <f t="array" aca="1" ref="FF279" ca="1">(1-$B$18)*SUMPRODUCT(OFFSET($BO$15,0,0,$B$14,1), 1*(_xlfn._xlws.FILTER(OFFSET($O$15,0,$DN279,$B$8,1),OFFSET($M$15,0,0,$B$8,1))=FF$13), 1*(_xlfn._xlws.FILTER(OFFSET($O$15,0,$DO279,$B$8,1),OFFSET($M$15,0,0,$B$8,1))=FF$14))   /   SUM(OFFSET($BO$15,0,0,$B$14,1)) + $B$18/($B$19*$B$19*($DN279&lt;&gt;$DO279) + $B$19*($DN279=$DO279))</f>
        <v>3.7037037037037035E-4</v>
      </c>
      <c r="FG279" s="10" cm="1">
        <f t="array" aca="1" ref="FG279" ca="1">(1-$B$18)*SUMPRODUCT(OFFSET($BO$15,0,0,$B$14,1), 1*(_xlfn._xlws.FILTER(OFFSET($O$15,0,$DN279,$B$8,1),OFFSET($M$15,0,0,$B$8,1))=FG$13), 1*(_xlfn._xlws.FILTER(OFFSET($O$15,0,$DO279,$B$8,1),OFFSET($M$15,0,0,$B$8,1))=FG$14))   /   SUM(OFFSET($BO$15,0,0,$B$14,1)) + $B$18/($B$19*$B$19*($DN279&lt;&gt;$DO279) + $B$19*($DN279=$DO279))</f>
        <v>3.7037037037037035E-4</v>
      </c>
      <c r="FH279" s="10" cm="1">
        <f t="array" aca="1" ref="FH279" ca="1">(1-$B$18)*SUMPRODUCT(OFFSET($BO$15,0,0,$B$14,1), 1*(_xlfn._xlws.FILTER(OFFSET($O$15,0,$DN279,$B$8,1),OFFSET($M$15,0,0,$B$8,1))=FH$13), 1*(_xlfn._xlws.FILTER(OFFSET($O$15,0,$DO279,$B$8,1),OFFSET($M$15,0,0,$B$8,1))=FH$14))   /   SUM(OFFSET($BO$15,0,0,$B$14,1)) + $B$18/($B$19*$B$19*($DN279&lt;&gt;$DO279) + $B$19*($DN279=$DO279))</f>
        <v>3.7037037037037035E-4</v>
      </c>
      <c r="FI279" s="10" cm="1">
        <f t="array" aca="1" ref="FI279" ca="1">(1-$B$18)*SUMPRODUCT(OFFSET($BO$15,0,0,$B$14,1), 1*(_xlfn._xlws.FILTER(OFFSET($O$15,0,$DN279,$B$8,1),OFFSET($M$15,0,0,$B$8,1))=FI$13), 1*(_xlfn._xlws.FILTER(OFFSET($O$15,0,$DO279,$B$8,1),OFFSET($M$15,0,0,$B$8,1))=FI$14))   /   SUM(OFFSET($BO$15,0,0,$B$14,1)) + $B$18/($B$19*$B$19*($DN279&lt;&gt;$DO279) + $B$19*($DN279=$DO279))</f>
        <v>3.7037037037037035E-4</v>
      </c>
      <c r="FJ279" s="10" cm="1">
        <f t="array" aca="1" ref="FJ279" ca="1">(1-$B$18)*SUMPRODUCT(OFFSET($BO$15,0,0,$B$14,1), 1*(_xlfn._xlws.FILTER(OFFSET($O$15,0,$DN279,$B$8,1),OFFSET($M$15,0,0,$B$8,1))=FJ$13), 1*(_xlfn._xlws.FILTER(OFFSET($O$15,0,$DO279,$B$8,1),OFFSET($M$15,0,0,$B$8,1))=FJ$14))   /   SUM(OFFSET($BO$15,0,0,$B$14,1)) + $B$18/($B$19*$B$19*($DN279&lt;&gt;$DO279) + $B$19*($DN279=$DO279))</f>
        <v>3.7037037037037035E-4</v>
      </c>
      <c r="FK279" s="10" cm="1">
        <f t="array" aca="1" ref="FK279" ca="1">(1-$B$18)*SUMPRODUCT(OFFSET($BO$15,0,0,$B$14,1), 1*(_xlfn._xlws.FILTER(OFFSET($O$15,0,$DN279,$B$8,1),OFFSET($M$15,0,0,$B$8,1))=FK$13), 1*(_xlfn._xlws.FILTER(OFFSET($O$15,0,$DO279,$B$8,1),OFFSET($M$15,0,0,$B$8,1))=FK$14))   /   SUM(OFFSET($BO$15,0,0,$B$14,1)) + $B$18/($B$19*$B$19*($DN279&lt;&gt;$DO279) + $B$19*($DN279=$DO279))</f>
        <v>3.7037037037037035E-4</v>
      </c>
      <c r="FL279" s="10" cm="1">
        <f t="array" aca="1" ref="FL279" ca="1">(1-$B$18)*SUMPRODUCT(OFFSET($BO$15,0,0,$B$14,1), 1*(_xlfn._xlws.FILTER(OFFSET($O$15,0,$DN279,$B$8,1),OFFSET($M$15,0,0,$B$8,1))=FL$13), 1*(_xlfn._xlws.FILTER(OFFSET($O$15,0,$DO279,$B$8,1),OFFSET($M$15,0,0,$B$8,1))=FL$14))   /   SUM(OFFSET($BO$15,0,0,$B$14,1)) + $B$18/($B$19*$B$19*($DN279&lt;&gt;$DO279) + $B$19*($DN279=$DO279))</f>
        <v>3.7037037037037035E-4</v>
      </c>
      <c r="FM279" s="10" cm="1">
        <f t="array" aca="1" ref="FM279" ca="1">(1-$B$18)*SUMPRODUCT(OFFSET($BO$15,0,0,$B$14,1), 1*(_xlfn._xlws.FILTER(OFFSET($O$15,0,$DN279,$B$8,1),OFFSET($M$15,0,0,$B$8,1))=FM$13), 1*(_xlfn._xlws.FILTER(OFFSET($O$15,0,$DO279,$B$8,1),OFFSET($M$15,0,0,$B$8,1))=FM$14))   /   SUM(OFFSET($BO$15,0,0,$B$14,1)) + $B$18/($B$19*$B$19*($DN279&lt;&gt;$DO279) + $B$19*($DN279=$DO279))</f>
        <v>3.7037037037037035E-4</v>
      </c>
      <c r="FN279" s="10" cm="1">
        <f t="array" aca="1" ref="FN279" ca="1">(1-$B$18)*SUMPRODUCT(OFFSET($BO$15,0,0,$B$14,1), 1*(_xlfn._xlws.FILTER(OFFSET($O$15,0,$DN279,$B$8,1),OFFSET($M$15,0,0,$B$8,1))=FN$13), 1*(_xlfn._xlws.FILTER(OFFSET($O$15,0,$DO279,$B$8,1),OFFSET($M$15,0,0,$B$8,1))=FN$14))   /   SUM(OFFSET($BO$15,0,0,$B$14,1)) + $B$18/($B$19*$B$19*($DN279&lt;&gt;$DO279) + $B$19*($DN279=$DO279))</f>
        <v>3.7037037037037035E-4</v>
      </c>
      <c r="FO279" s="10" cm="1">
        <f t="array" aca="1" ref="FO279" ca="1">(1-$B$18)*SUMPRODUCT(OFFSET($BO$15,0,0,$B$14,1), 1*(_xlfn._xlws.FILTER(OFFSET($O$15,0,$DN279,$B$8,1),OFFSET($M$15,0,0,$B$8,1))=FO$13), 1*(_xlfn._xlws.FILTER(OFFSET($O$15,0,$DO279,$B$8,1),OFFSET($M$15,0,0,$B$8,1))=FO$14))   /   SUM(OFFSET($BO$15,0,0,$B$14,1)) + $B$18/($B$19*$B$19*($DN279&lt;&gt;$DO279) + $B$19*($DN279=$DO279))</f>
        <v>3.7037037037037035E-4</v>
      </c>
      <c r="FP279" s="10" cm="1">
        <f t="array" aca="1" ref="FP279" ca="1">(1-$B$18)*SUMPRODUCT(OFFSET($BO$15,0,0,$B$14,1), 1*(_xlfn._xlws.FILTER(OFFSET($O$15,0,$DN279,$B$8,1),OFFSET($M$15,0,0,$B$8,1))=FP$13), 1*(_xlfn._xlws.FILTER(OFFSET($O$15,0,$DO279,$B$8,1),OFFSET($M$15,0,0,$B$8,1))=FP$14))   /   SUM(OFFSET($BO$15,0,0,$B$14,1)) + $B$18/($B$19*$B$19*($DN279&lt;&gt;$DO279) + $B$19*($DN279=$DO279))</f>
        <v>3.7037037037037035E-4</v>
      </c>
      <c r="FQ279" s="10" cm="1">
        <f t="array" aca="1" ref="FQ279" ca="1">(1-$B$18)*SUMPRODUCT(OFFSET($BO$15,0,0,$B$14,1), 1*(_xlfn._xlws.FILTER(OFFSET($O$15,0,$DN279,$B$8,1),OFFSET($M$15,0,0,$B$8,1))=FQ$13), 1*(_xlfn._xlws.FILTER(OFFSET($O$15,0,$DO279,$B$8,1),OFFSET($M$15,0,0,$B$8,1))=FQ$14))   /   SUM(OFFSET($BO$15,0,0,$B$14,1)) + $B$18/($B$19*$B$19*($DN279&lt;&gt;$DO279) + $B$19*($DN279=$DO279))</f>
        <v>3.7037037037037035E-4</v>
      </c>
      <c r="FR279" s="10" cm="1">
        <f t="array" aca="1" ref="FR279" ca="1">(1-$B$18)*SUMPRODUCT(OFFSET($BO$15,0,0,$B$14,1), 1*(_xlfn._xlws.FILTER(OFFSET($O$15,0,$DN279,$B$8,1),OFFSET($M$15,0,0,$B$8,1))=FR$13), 1*(_xlfn._xlws.FILTER(OFFSET($O$15,0,$DO279,$B$8,1),OFFSET($M$15,0,0,$B$8,1))=FR$14))   /   SUM(OFFSET($BO$15,0,0,$B$14,1)) + $B$18/($B$19*$B$19*($DN279&lt;&gt;$DO279) + $B$19*($DN279=$DO279))</f>
        <v>3.7037037037037035E-4</v>
      </c>
      <c r="FS279" s="10" cm="1">
        <f t="array" aca="1" ref="FS279" ca="1">(1-$B$18)*SUMPRODUCT(OFFSET($BO$15,0,0,$B$14,1), 1*(_xlfn._xlws.FILTER(OFFSET($O$15,0,$DN279,$B$8,1),OFFSET($M$15,0,0,$B$8,1))=FS$13), 1*(_xlfn._xlws.FILTER(OFFSET($O$15,0,$DO279,$B$8,1),OFFSET($M$15,0,0,$B$8,1))=FS$14))   /   SUM(OFFSET($BO$15,0,0,$B$14,1)) + $B$18/($B$19*$B$19*($DN279&lt;&gt;$DO279) + $B$19*($DN279=$DO279))</f>
        <v>3.7037037037037035E-4</v>
      </c>
      <c r="FT279" s="10" cm="1">
        <f t="array" aca="1" ref="FT279" ca="1">(1-$B$18)*SUMPRODUCT(OFFSET($BO$15,0,0,$B$14,1), 1*(_xlfn._xlws.FILTER(OFFSET($O$15,0,$DN279,$B$8,1),OFFSET($M$15,0,0,$B$8,1))=FT$13), 1*(_xlfn._xlws.FILTER(OFFSET($O$15,0,$DO279,$B$8,1),OFFSET($M$15,0,0,$B$8,1))=FT$14))   /   SUM(OFFSET($BO$15,0,0,$B$14,1)) + $B$18/($B$19*$B$19*($DN279&lt;&gt;$DO279) + $B$19*($DN279=$DO279))</f>
        <v>3.7037037037037035E-4</v>
      </c>
      <c r="FU279" s="10" cm="1">
        <f t="array" aca="1" ref="FU279" ca="1">(1-$B$18)*SUMPRODUCT(OFFSET($BO$15,0,0,$B$14,1), 1*(_xlfn._xlws.FILTER(OFFSET($O$15,0,$DN279,$B$8,1),OFFSET($M$15,0,0,$B$8,1))=FU$13), 1*(_xlfn._xlws.FILTER(OFFSET($O$15,0,$DO279,$B$8,1),OFFSET($M$15,0,0,$B$8,1))=FU$14))   /   SUM(OFFSET($BO$15,0,0,$B$14,1)) + $B$18/($B$19*$B$19*($DN279&lt;&gt;$DO279) + $B$19*($DN279=$DO279))</f>
        <v>3.7037037037037035E-4</v>
      </c>
      <c r="FV279" s="10" cm="1">
        <f t="array" aca="1" ref="FV279" ca="1">(1-$B$18)*SUMPRODUCT(OFFSET($BO$15,0,0,$B$14,1), 1*(_xlfn._xlws.FILTER(OFFSET($O$15,0,$DN279,$B$8,1),OFFSET($M$15,0,0,$B$8,1))=FV$13), 1*(_xlfn._xlws.FILTER(OFFSET($O$15,0,$DO279,$B$8,1),OFFSET($M$15,0,0,$B$8,1))=FV$14))   /   SUM(OFFSET($BO$15,0,0,$B$14,1)) + $B$18/($B$19*$B$19*($DN279&lt;&gt;$DO279) + $B$19*($DN279=$DO279))</f>
        <v>3.7037037037037035E-4</v>
      </c>
      <c r="FW279" s="10" cm="1">
        <f t="array" aca="1" ref="FW279" ca="1">(1-$B$18)*SUMPRODUCT(OFFSET($BO$15,0,0,$B$14,1), 1*(_xlfn._xlws.FILTER(OFFSET($O$15,0,$DN279,$B$8,1),OFFSET($M$15,0,0,$B$8,1))=FW$13), 1*(_xlfn._xlws.FILTER(OFFSET($O$15,0,$DO279,$B$8,1),OFFSET($M$15,0,0,$B$8,1))=FW$14))   /   SUM(OFFSET($BO$15,0,0,$B$14,1)) + $B$18/($B$19*$B$19*($DN279&lt;&gt;$DO279) + $B$19*($DN279=$DO279))</f>
        <v>3.7037037037037035E-4</v>
      </c>
      <c r="FX279" s="10" cm="1">
        <f t="array" aca="1" ref="FX279" ca="1">(1-$B$18)*SUMPRODUCT(OFFSET($BO$15,0,0,$B$14,1), 1*(_xlfn._xlws.FILTER(OFFSET($O$15,0,$DN279,$B$8,1),OFFSET($M$15,0,0,$B$8,1))=FX$13), 1*(_xlfn._xlws.FILTER(OFFSET($O$15,0,$DO279,$B$8,1),OFFSET($M$15,0,0,$B$8,1))=FX$14))   /   SUM(OFFSET($BO$15,0,0,$B$14,1)) + $B$18/($B$19*$B$19*($DN279&lt;&gt;$DO279) + $B$19*($DN279=$DO279))</f>
        <v>3.7037037037037035E-4</v>
      </c>
      <c r="FY279" s="10" cm="1">
        <f t="array" aca="1" ref="FY279" ca="1">(1-$B$18)*SUMPRODUCT(OFFSET($BO$15,0,0,$B$14,1), 1*(_xlfn._xlws.FILTER(OFFSET($O$15,0,$DN279,$B$8,1),OFFSET($M$15,0,0,$B$8,1))=FY$13), 1*(_xlfn._xlws.FILTER(OFFSET($O$15,0,$DO279,$B$8,1),OFFSET($M$15,0,0,$B$8,1))=FY$14))   /   SUM(OFFSET($BO$15,0,0,$B$14,1)) + $B$18/($B$19*$B$19*($DN279&lt;&gt;$DO279) + $B$19*($DN279=$DO279))</f>
        <v>3.7037037037037035E-4</v>
      </c>
      <c r="FZ279" s="10" cm="1">
        <f t="array" aca="1" ref="FZ279" ca="1">(1-$B$18)*SUMPRODUCT(OFFSET($BO$15,0,0,$B$14,1), 1*(_xlfn._xlws.FILTER(OFFSET($O$15,0,$DN279,$B$8,1),OFFSET($M$15,0,0,$B$8,1))=FZ$13), 1*(_xlfn._xlws.FILTER(OFFSET($O$15,0,$DO279,$B$8,1),OFFSET($M$15,0,0,$B$8,1))=FZ$14))   /   SUM(OFFSET($BO$15,0,0,$B$14,1)) + $B$18/($B$19*$B$19*($DN279&lt;&gt;$DO279) + $B$19*($DN279=$DO279))</f>
        <v>3.7037037037037035E-4</v>
      </c>
      <c r="GA279" s="10" cm="1">
        <f t="array" aca="1" ref="GA279" ca="1">(1-$B$18)*SUMPRODUCT(OFFSET($BO$15,0,0,$B$14,1), 1*(_xlfn._xlws.FILTER(OFFSET($O$15,0,$DN279,$B$8,1),OFFSET($M$15,0,0,$B$8,1))=GA$13), 1*(_xlfn._xlws.FILTER(OFFSET($O$15,0,$DO279,$B$8,1),OFFSET($M$15,0,0,$B$8,1))=GA$14))   /   SUM(OFFSET($BO$15,0,0,$B$14,1)) + $B$18/($B$19*$B$19*($DN279&lt;&gt;$DO279) + $B$19*($DN279=$DO279))</f>
        <v>3.7037037037037035E-4</v>
      </c>
    </row>
    <row r="280" spans="118:183" x14ac:dyDescent="0.2">
      <c r="DN280" cm="1">
        <f t="array" aca="1" ref="DN280" ca="1">INDEX(_xlfn.ANCHORARRAY($CP$15), 1 + INT((ROWS($DO$15:$DO280) - 1) / ROWS(_xlfn.ANCHORARRAY($CP$15))))</f>
        <v>14</v>
      </c>
      <c r="DO280" cm="1">
        <f t="array" aca="1" ref="DO280" ca="1">INDEX(_xlfn.ANCHORARRAY($CP$15),1+MOD(ROWS($DO$15:$DO280)-1,ROWS(_xlfn.ANCHORARRAY($CP$15))))</f>
        <v>21</v>
      </c>
      <c r="DP280" s="10" cm="1">
        <f t="array" aca="1" ref="DP280" ca="1">(1-$B$18)*SUMPRODUCT(OFFSET($BO$15,0,0,$B$14,1), 1*(_xlfn._xlws.FILTER(OFFSET($O$15,0,$DN280,$B$8,1),OFFSET($M$15,0,0,$B$8,1))=DP$13), 1*(_xlfn._xlws.FILTER(OFFSET($O$15,0,$DO280,$B$8,1),OFFSET($M$15,0,0,$B$8,1))=DP$14))   /   SUM(OFFSET($BO$15,0,0,$B$14,1)) + $B$18/($B$19*$B$19*($DN280&lt;&gt;$DO280) + $B$19*($DN280=$DO280))</f>
        <v>3.7037037037037035E-4</v>
      </c>
      <c r="DQ280" s="10" cm="1">
        <f t="array" aca="1" ref="DQ280" ca="1">(1-$B$18)*SUMPRODUCT(OFFSET($BO$15,0,0,$B$14,1), 1*(_xlfn._xlws.FILTER(OFFSET($O$15,0,$DN280,$B$8,1),OFFSET($M$15,0,0,$B$8,1))=DQ$13), 1*(_xlfn._xlws.FILTER(OFFSET($O$15,0,$DO280,$B$8,1),OFFSET($M$15,0,0,$B$8,1))=DQ$14))   /   SUM(OFFSET($BO$15,0,0,$B$14,1)) + $B$18/($B$19*$B$19*($DN280&lt;&gt;$DO280) + $B$19*($DN280=$DO280))</f>
        <v>3.7037037037037035E-4</v>
      </c>
      <c r="DR280" s="10" cm="1">
        <f t="array" aca="1" ref="DR280" ca="1">(1-$B$18)*SUMPRODUCT(OFFSET($BO$15,0,0,$B$14,1), 1*(_xlfn._xlws.FILTER(OFFSET($O$15,0,$DN280,$B$8,1),OFFSET($M$15,0,0,$B$8,1))=DR$13), 1*(_xlfn._xlws.FILTER(OFFSET($O$15,0,$DO280,$B$8,1),OFFSET($M$15,0,0,$B$8,1))=DR$14))   /   SUM(OFFSET($BO$15,0,0,$B$14,1)) + $B$18/($B$19*$B$19*($DN280&lt;&gt;$DO280) + $B$19*($DN280=$DO280))</f>
        <v>3.7037037037037035E-4</v>
      </c>
      <c r="DS280" s="10" cm="1">
        <f t="array" aca="1" ref="DS280" ca="1">(1-$B$18)*SUMPRODUCT(OFFSET($BO$15,0,0,$B$14,1), 1*(_xlfn._xlws.FILTER(OFFSET($O$15,0,$DN280,$B$8,1),OFFSET($M$15,0,0,$B$8,1))=DS$13), 1*(_xlfn._xlws.FILTER(OFFSET($O$15,0,$DO280,$B$8,1),OFFSET($M$15,0,0,$B$8,1))=DS$14))   /   SUM(OFFSET($BO$15,0,0,$B$14,1)) + $B$18/($B$19*$B$19*($DN280&lt;&gt;$DO280) + $B$19*($DN280=$DO280))</f>
        <v>3.7037037037037035E-4</v>
      </c>
      <c r="DT280" s="10" cm="1">
        <f t="array" aca="1" ref="DT280" ca="1">(1-$B$18)*SUMPRODUCT(OFFSET($BO$15,0,0,$B$14,1), 1*(_xlfn._xlws.FILTER(OFFSET($O$15,0,$DN280,$B$8,1),OFFSET($M$15,0,0,$B$8,1))=DT$13), 1*(_xlfn._xlws.FILTER(OFFSET($O$15,0,$DO280,$B$8,1),OFFSET($M$15,0,0,$B$8,1))=DT$14))   /   SUM(OFFSET($BO$15,0,0,$B$14,1)) + $B$18/($B$19*$B$19*($DN280&lt;&gt;$DO280) + $B$19*($DN280=$DO280))</f>
        <v>3.7037037037037035E-4</v>
      </c>
      <c r="DU280" s="10" cm="1">
        <f t="array" aca="1" ref="DU280" ca="1">(1-$B$18)*SUMPRODUCT(OFFSET($BO$15,0,0,$B$14,1), 1*(_xlfn._xlws.FILTER(OFFSET($O$15,0,$DN280,$B$8,1),OFFSET($M$15,0,0,$B$8,1))=DU$13), 1*(_xlfn._xlws.FILTER(OFFSET($O$15,0,$DO280,$B$8,1),OFFSET($M$15,0,0,$B$8,1))=DU$14))   /   SUM(OFFSET($BO$15,0,0,$B$14,1)) + $B$18/($B$19*$B$19*($DN280&lt;&gt;$DO280) + $B$19*($DN280=$DO280))</f>
        <v>3.7037037037037035E-4</v>
      </c>
      <c r="DV280" s="10" cm="1">
        <f t="array" aca="1" ref="DV280" ca="1">(1-$B$18)*SUMPRODUCT(OFFSET($BO$15,0,0,$B$14,1), 1*(_xlfn._xlws.FILTER(OFFSET($O$15,0,$DN280,$B$8,1),OFFSET($M$15,0,0,$B$8,1))=DV$13), 1*(_xlfn._xlws.FILTER(OFFSET($O$15,0,$DO280,$B$8,1),OFFSET($M$15,0,0,$B$8,1))=DV$14))   /   SUM(OFFSET($BO$15,0,0,$B$14,1)) + $B$18/($B$19*$B$19*($DN280&lt;&gt;$DO280) + $B$19*($DN280=$DO280))</f>
        <v>3.7037037037037035E-4</v>
      </c>
      <c r="DW280" s="10" cm="1">
        <f t="array" aca="1" ref="DW280" ca="1">(1-$B$18)*SUMPRODUCT(OFFSET($BO$15,0,0,$B$14,1), 1*(_xlfn._xlws.FILTER(OFFSET($O$15,0,$DN280,$B$8,1),OFFSET($M$15,0,0,$B$8,1))=DW$13), 1*(_xlfn._xlws.FILTER(OFFSET($O$15,0,$DO280,$B$8,1),OFFSET($M$15,0,0,$B$8,1))=DW$14))   /   SUM(OFFSET($BO$15,0,0,$B$14,1)) + $B$18/($B$19*$B$19*($DN280&lt;&gt;$DO280) + $B$19*($DN280=$DO280))</f>
        <v>3.7037037037037035E-4</v>
      </c>
      <c r="DX280" s="10" cm="1">
        <f t="array" aca="1" ref="DX280" ca="1">(1-$B$18)*SUMPRODUCT(OFFSET($BO$15,0,0,$B$14,1), 1*(_xlfn._xlws.FILTER(OFFSET($O$15,0,$DN280,$B$8,1),OFFSET($M$15,0,0,$B$8,1))=DX$13), 1*(_xlfn._xlws.FILTER(OFFSET($O$15,0,$DO280,$B$8,1),OFFSET($M$15,0,0,$B$8,1))=DX$14))   /   SUM(OFFSET($BO$15,0,0,$B$14,1)) + $B$18/($B$19*$B$19*($DN280&lt;&gt;$DO280) + $B$19*($DN280=$DO280))</f>
        <v>3.7037037037037035E-4</v>
      </c>
      <c r="DY280" s="10" cm="1">
        <f t="array" aca="1" ref="DY280" ca="1">(1-$B$18)*SUMPRODUCT(OFFSET($BO$15,0,0,$B$14,1), 1*(_xlfn._xlws.FILTER(OFFSET($O$15,0,$DN280,$B$8,1),OFFSET($M$15,0,0,$B$8,1))=DY$13), 1*(_xlfn._xlws.FILTER(OFFSET($O$15,0,$DO280,$B$8,1),OFFSET($M$15,0,0,$B$8,1))=DY$14))   /   SUM(OFFSET($BO$15,0,0,$B$14,1)) + $B$18/($B$19*$B$19*($DN280&lt;&gt;$DO280) + $B$19*($DN280=$DO280))</f>
        <v>3.7037037037037035E-4</v>
      </c>
      <c r="DZ280" s="10" cm="1">
        <f t="array" aca="1" ref="DZ280" ca="1">(1-$B$18)*SUMPRODUCT(OFFSET($BO$15,0,0,$B$14,1), 1*(_xlfn._xlws.FILTER(OFFSET($O$15,0,$DN280,$B$8,1),OFFSET($M$15,0,0,$B$8,1))=DZ$13), 1*(_xlfn._xlws.FILTER(OFFSET($O$15,0,$DO280,$B$8,1),OFFSET($M$15,0,0,$B$8,1))=DZ$14))   /   SUM(OFFSET($BO$15,0,0,$B$14,1)) + $B$18/($B$19*$B$19*($DN280&lt;&gt;$DO280) + $B$19*($DN280=$DO280))</f>
        <v>3.7037037037037035E-4</v>
      </c>
      <c r="EA280" s="10" cm="1">
        <f t="array" aca="1" ref="EA280" ca="1">(1-$B$18)*SUMPRODUCT(OFFSET($BO$15,0,0,$B$14,1), 1*(_xlfn._xlws.FILTER(OFFSET($O$15,0,$DN280,$B$8,1),OFFSET($M$15,0,0,$B$8,1))=EA$13), 1*(_xlfn._xlws.FILTER(OFFSET($O$15,0,$DO280,$B$8,1),OFFSET($M$15,0,0,$B$8,1))=EA$14))   /   SUM(OFFSET($BO$15,0,0,$B$14,1)) + $B$18/($B$19*$B$19*($DN280&lt;&gt;$DO280) + $B$19*($DN280=$DO280))</f>
        <v>3.7037037037037035E-4</v>
      </c>
      <c r="EB280" s="10" cm="1">
        <f t="array" aca="1" ref="EB280" ca="1">(1-$B$18)*SUMPRODUCT(OFFSET($BO$15,0,0,$B$14,1), 1*(_xlfn._xlws.FILTER(OFFSET($O$15,0,$DN280,$B$8,1),OFFSET($M$15,0,0,$B$8,1))=EB$13), 1*(_xlfn._xlws.FILTER(OFFSET($O$15,0,$DO280,$B$8,1),OFFSET($M$15,0,0,$B$8,1))=EB$14))   /   SUM(OFFSET($BO$15,0,0,$B$14,1)) + $B$18/($B$19*$B$19*($DN280&lt;&gt;$DO280) + $B$19*($DN280=$DO280))</f>
        <v>3.7037037037037035E-4</v>
      </c>
      <c r="EC280" s="10" cm="1">
        <f t="array" aca="1" ref="EC280" ca="1">(1-$B$18)*SUMPRODUCT(OFFSET($BO$15,0,0,$B$14,1), 1*(_xlfn._xlws.FILTER(OFFSET($O$15,0,$DN280,$B$8,1),OFFSET($M$15,0,0,$B$8,1))=EC$13), 1*(_xlfn._xlws.FILTER(OFFSET($O$15,0,$DO280,$B$8,1),OFFSET($M$15,0,0,$B$8,1))=EC$14))   /   SUM(OFFSET($BO$15,0,0,$B$14,1)) + $B$18/($B$19*$B$19*($DN280&lt;&gt;$DO280) + $B$19*($DN280=$DO280))</f>
        <v>3.7037037037037035E-4</v>
      </c>
      <c r="ED280" s="10" cm="1">
        <f t="array" aca="1" ref="ED280" ca="1">(1-$B$18)*SUMPRODUCT(OFFSET($BO$15,0,0,$B$14,1), 1*(_xlfn._xlws.FILTER(OFFSET($O$15,0,$DN280,$B$8,1),OFFSET($M$15,0,0,$B$8,1))=ED$13), 1*(_xlfn._xlws.FILTER(OFFSET($O$15,0,$DO280,$B$8,1),OFFSET($M$15,0,0,$B$8,1))=ED$14))   /   SUM(OFFSET($BO$15,0,0,$B$14,1)) + $B$18/($B$19*$B$19*($DN280&lt;&gt;$DO280) + $B$19*($DN280=$DO280))</f>
        <v>3.7037037037037035E-4</v>
      </c>
      <c r="EE280" s="10" cm="1">
        <f t="array" aca="1" ref="EE280" ca="1">(1-$B$18)*SUMPRODUCT(OFFSET($BO$15,0,0,$B$14,1), 1*(_xlfn._xlws.FILTER(OFFSET($O$15,0,$DN280,$B$8,1),OFFSET($M$15,0,0,$B$8,1))=EE$13), 1*(_xlfn._xlws.FILTER(OFFSET($O$15,0,$DO280,$B$8,1),OFFSET($M$15,0,0,$B$8,1))=EE$14))   /   SUM(OFFSET($BO$15,0,0,$B$14,1)) + $B$18/($B$19*$B$19*($DN280&lt;&gt;$DO280) + $B$19*($DN280=$DO280))</f>
        <v>3.7037037037037035E-4</v>
      </c>
      <c r="EF280" s="10" cm="1">
        <f t="array" aca="1" ref="EF280" ca="1">(1-$B$18)*SUMPRODUCT(OFFSET($BO$15,0,0,$B$14,1), 1*(_xlfn._xlws.FILTER(OFFSET($O$15,0,$DN280,$B$8,1),OFFSET($M$15,0,0,$B$8,1))=EF$13), 1*(_xlfn._xlws.FILTER(OFFSET($O$15,0,$DO280,$B$8,1),OFFSET($M$15,0,0,$B$8,1))=EF$14))   /   SUM(OFFSET($BO$15,0,0,$B$14,1)) + $B$18/($B$19*$B$19*($DN280&lt;&gt;$DO280) + $B$19*($DN280=$DO280))</f>
        <v>3.7037037037037035E-4</v>
      </c>
      <c r="EG280" s="10" cm="1">
        <f t="array" aca="1" ref="EG280" ca="1">(1-$B$18)*SUMPRODUCT(OFFSET($BO$15,0,0,$B$14,1), 1*(_xlfn._xlws.FILTER(OFFSET($O$15,0,$DN280,$B$8,1),OFFSET($M$15,0,0,$B$8,1))=EG$13), 1*(_xlfn._xlws.FILTER(OFFSET($O$15,0,$DO280,$B$8,1),OFFSET($M$15,0,0,$B$8,1))=EG$14))   /   SUM(OFFSET($BO$15,0,0,$B$14,1)) + $B$18/($B$19*$B$19*($DN280&lt;&gt;$DO280) + $B$19*($DN280=$DO280))</f>
        <v>3.7037037037037035E-4</v>
      </c>
      <c r="EH280" s="10" cm="1">
        <f t="array" aca="1" ref="EH280" ca="1">(1-$B$18)*SUMPRODUCT(OFFSET($BO$15,0,0,$B$14,1), 1*(_xlfn._xlws.FILTER(OFFSET($O$15,0,$DN280,$B$8,1),OFFSET($M$15,0,0,$B$8,1))=EH$13), 1*(_xlfn._xlws.FILTER(OFFSET($O$15,0,$DO280,$B$8,1),OFFSET($M$15,0,0,$B$8,1))=EH$14))   /   SUM(OFFSET($BO$15,0,0,$B$14,1)) + $B$18/($B$19*$B$19*($DN280&lt;&gt;$DO280) + $B$19*($DN280=$DO280))</f>
        <v>3.7037037037037035E-4</v>
      </c>
      <c r="EI280" s="10" cm="1">
        <f t="array" aca="1" ref="EI280" ca="1">(1-$B$18)*SUMPRODUCT(OFFSET($BO$15,0,0,$B$14,1), 1*(_xlfn._xlws.FILTER(OFFSET($O$15,0,$DN280,$B$8,1),OFFSET($M$15,0,0,$B$8,1))=EI$13), 1*(_xlfn._xlws.FILTER(OFFSET($O$15,0,$DO280,$B$8,1),OFFSET($M$15,0,0,$B$8,1))=EI$14))   /   SUM(OFFSET($BO$15,0,0,$B$14,1)) + $B$18/($B$19*$B$19*($DN280&lt;&gt;$DO280) + $B$19*($DN280=$DO280))</f>
        <v>3.7037037037037035E-4</v>
      </c>
      <c r="EJ280" s="10" cm="1">
        <f t="array" aca="1" ref="EJ280" ca="1">(1-$B$18)*SUMPRODUCT(OFFSET($BO$15,0,0,$B$14,1), 1*(_xlfn._xlws.FILTER(OFFSET($O$15,0,$DN280,$B$8,1),OFFSET($M$15,0,0,$B$8,1))=EJ$13), 1*(_xlfn._xlws.FILTER(OFFSET($O$15,0,$DO280,$B$8,1),OFFSET($M$15,0,0,$B$8,1))=EJ$14))   /   SUM(OFFSET($BO$15,0,0,$B$14,1)) + $B$18/($B$19*$B$19*($DN280&lt;&gt;$DO280) + $B$19*($DN280=$DO280))</f>
        <v>0.24287037037037024</v>
      </c>
      <c r="EK280" s="10" cm="1">
        <f t="array" aca="1" ref="EK280" ca="1">(1-$B$18)*SUMPRODUCT(OFFSET($BO$15,0,0,$B$14,1), 1*(_xlfn._xlws.FILTER(OFFSET($O$15,0,$DN280,$B$8,1),OFFSET($M$15,0,0,$B$8,1))=EK$13), 1*(_xlfn._xlws.FILTER(OFFSET($O$15,0,$DO280,$B$8,1),OFFSET($M$15,0,0,$B$8,1))=EK$14))   /   SUM(OFFSET($BO$15,0,0,$B$14,1)) + $B$18/($B$19*$B$19*($DN280&lt;&gt;$DO280) + $B$19*($DN280=$DO280))</f>
        <v>0.48537037037037012</v>
      </c>
      <c r="EL280" s="10" cm="1">
        <f t="array" aca="1" ref="EL280" ca="1">(1-$B$18)*SUMPRODUCT(OFFSET($BO$15,0,0,$B$14,1), 1*(_xlfn._xlws.FILTER(OFFSET($O$15,0,$DN280,$B$8,1),OFFSET($M$15,0,0,$B$8,1))=EL$13), 1*(_xlfn._xlws.FILTER(OFFSET($O$15,0,$DO280,$B$8,1),OFFSET($M$15,0,0,$B$8,1))=EL$14))   /   SUM(OFFSET($BO$15,0,0,$B$14,1)) + $B$18/($B$19*$B$19*($DN280&lt;&gt;$DO280) + $B$19*($DN280=$DO280))</f>
        <v>0.24287037037037026</v>
      </c>
      <c r="EM280" s="10" cm="1">
        <f t="array" aca="1" ref="EM280" ca="1">(1-$B$18)*SUMPRODUCT(OFFSET($BO$15,0,0,$B$14,1), 1*(_xlfn._xlws.FILTER(OFFSET($O$15,0,$DN280,$B$8,1),OFFSET($M$15,0,0,$B$8,1))=EM$13), 1*(_xlfn._xlws.FILTER(OFFSET($O$15,0,$DO280,$B$8,1),OFFSET($M$15,0,0,$B$8,1))=EM$14))   /   SUM(OFFSET($BO$15,0,0,$B$14,1)) + $B$18/($B$19*$B$19*($DN280&lt;&gt;$DO280) + $B$19*($DN280=$DO280))</f>
        <v>3.7037037037037035E-4</v>
      </c>
      <c r="EN280" s="10" cm="1">
        <f t="array" aca="1" ref="EN280" ca="1">(1-$B$18)*SUMPRODUCT(OFFSET($BO$15,0,0,$B$14,1), 1*(_xlfn._xlws.FILTER(OFFSET($O$15,0,$DN280,$B$8,1),OFFSET($M$15,0,0,$B$8,1))=EN$13), 1*(_xlfn._xlws.FILTER(OFFSET($O$15,0,$DO280,$B$8,1),OFFSET($M$15,0,0,$B$8,1))=EN$14))   /   SUM(OFFSET($BO$15,0,0,$B$14,1)) + $B$18/($B$19*$B$19*($DN280&lt;&gt;$DO280) + $B$19*($DN280=$DO280))</f>
        <v>3.7037037037037035E-4</v>
      </c>
      <c r="EO280" s="10" cm="1">
        <f t="array" aca="1" ref="EO280" ca="1">(1-$B$18)*SUMPRODUCT(OFFSET($BO$15,0,0,$B$14,1), 1*(_xlfn._xlws.FILTER(OFFSET($O$15,0,$DN280,$B$8,1),OFFSET($M$15,0,0,$B$8,1))=EO$13), 1*(_xlfn._xlws.FILTER(OFFSET($O$15,0,$DO280,$B$8,1),OFFSET($M$15,0,0,$B$8,1))=EO$14))   /   SUM(OFFSET($BO$15,0,0,$B$14,1)) + $B$18/($B$19*$B$19*($DN280&lt;&gt;$DO280) + $B$19*($DN280=$DO280))</f>
        <v>3.7037037037037035E-4</v>
      </c>
      <c r="EP280" s="10" cm="1">
        <f t="array" aca="1" ref="EP280" ca="1">(1-$B$18)*SUMPRODUCT(OFFSET($BO$15,0,0,$B$14,1), 1*(_xlfn._xlws.FILTER(OFFSET($O$15,0,$DN280,$B$8,1),OFFSET($M$15,0,0,$B$8,1))=EP$13), 1*(_xlfn._xlws.FILTER(OFFSET($O$15,0,$DO280,$B$8,1),OFFSET($M$15,0,0,$B$8,1))=EP$14))   /   SUM(OFFSET($BO$15,0,0,$B$14,1)) + $B$18/($B$19*$B$19*($DN280&lt;&gt;$DO280) + $B$19*($DN280=$DO280))</f>
        <v>3.7037037037037035E-4</v>
      </c>
      <c r="EQ280" s="10" cm="1">
        <f t="array" aca="1" ref="EQ280" ca="1">(1-$B$18)*SUMPRODUCT(OFFSET($BO$15,0,0,$B$14,1), 1*(_xlfn._xlws.FILTER(OFFSET($O$15,0,$DN280,$B$8,1),OFFSET($M$15,0,0,$B$8,1))=EQ$13), 1*(_xlfn._xlws.FILTER(OFFSET($O$15,0,$DO280,$B$8,1),OFFSET($M$15,0,0,$B$8,1))=EQ$14))   /   SUM(OFFSET($BO$15,0,0,$B$14,1)) + $B$18/($B$19*$B$19*($DN280&lt;&gt;$DO280) + $B$19*($DN280=$DO280))</f>
        <v>3.7037037037037035E-4</v>
      </c>
      <c r="ER280" s="10" cm="1">
        <f t="array" aca="1" ref="ER280" ca="1">(1-$B$18)*SUMPRODUCT(OFFSET($BO$15,0,0,$B$14,1), 1*(_xlfn._xlws.FILTER(OFFSET($O$15,0,$DN280,$B$8,1),OFFSET($M$15,0,0,$B$8,1))=ER$13), 1*(_xlfn._xlws.FILTER(OFFSET($O$15,0,$DO280,$B$8,1),OFFSET($M$15,0,0,$B$8,1))=ER$14))   /   SUM(OFFSET($BO$15,0,0,$B$14,1)) + $B$18/($B$19*$B$19*($DN280&lt;&gt;$DO280) + $B$19*($DN280=$DO280))</f>
        <v>3.7037037037037035E-4</v>
      </c>
      <c r="ES280" s="10" cm="1">
        <f t="array" aca="1" ref="ES280" ca="1">(1-$B$18)*SUMPRODUCT(OFFSET($BO$15,0,0,$B$14,1), 1*(_xlfn._xlws.FILTER(OFFSET($O$15,0,$DN280,$B$8,1),OFFSET($M$15,0,0,$B$8,1))=ES$13), 1*(_xlfn._xlws.FILTER(OFFSET($O$15,0,$DO280,$B$8,1),OFFSET($M$15,0,0,$B$8,1))=ES$14))   /   SUM(OFFSET($BO$15,0,0,$B$14,1)) + $B$18/($B$19*$B$19*($DN280&lt;&gt;$DO280) + $B$19*($DN280=$DO280))</f>
        <v>3.7037037037037035E-4</v>
      </c>
      <c r="ET280" s="10" cm="1">
        <f t="array" aca="1" ref="ET280" ca="1">(1-$B$18)*SUMPRODUCT(OFFSET($BO$15,0,0,$B$14,1), 1*(_xlfn._xlws.FILTER(OFFSET($O$15,0,$DN280,$B$8,1),OFFSET($M$15,0,0,$B$8,1))=ET$13), 1*(_xlfn._xlws.FILTER(OFFSET($O$15,0,$DO280,$B$8,1),OFFSET($M$15,0,0,$B$8,1))=ET$14))   /   SUM(OFFSET($BO$15,0,0,$B$14,1)) + $B$18/($B$19*$B$19*($DN280&lt;&gt;$DO280) + $B$19*($DN280=$DO280))</f>
        <v>3.7037037037037035E-4</v>
      </c>
      <c r="EU280" s="10" cm="1">
        <f t="array" aca="1" ref="EU280" ca="1">(1-$B$18)*SUMPRODUCT(OFFSET($BO$15,0,0,$B$14,1), 1*(_xlfn._xlws.FILTER(OFFSET($O$15,0,$DN280,$B$8,1),OFFSET($M$15,0,0,$B$8,1))=EU$13), 1*(_xlfn._xlws.FILTER(OFFSET($O$15,0,$DO280,$B$8,1),OFFSET($M$15,0,0,$B$8,1))=EU$14))   /   SUM(OFFSET($BO$15,0,0,$B$14,1)) + $B$18/($B$19*$B$19*($DN280&lt;&gt;$DO280) + $B$19*($DN280=$DO280))</f>
        <v>3.7037037037037035E-4</v>
      </c>
      <c r="EV280" s="10" cm="1">
        <f t="array" aca="1" ref="EV280" ca="1">(1-$B$18)*SUMPRODUCT(OFFSET($BO$15,0,0,$B$14,1), 1*(_xlfn._xlws.FILTER(OFFSET($O$15,0,$DN280,$B$8,1),OFFSET($M$15,0,0,$B$8,1))=EV$13), 1*(_xlfn._xlws.FILTER(OFFSET($O$15,0,$DO280,$B$8,1),OFFSET($M$15,0,0,$B$8,1))=EV$14))   /   SUM(OFFSET($BO$15,0,0,$B$14,1)) + $B$18/($B$19*$B$19*($DN280&lt;&gt;$DO280) + $B$19*($DN280=$DO280))</f>
        <v>3.7037037037037035E-4</v>
      </c>
      <c r="EW280" s="10" cm="1">
        <f t="array" aca="1" ref="EW280" ca="1">(1-$B$18)*SUMPRODUCT(OFFSET($BO$15,0,0,$B$14,1), 1*(_xlfn._xlws.FILTER(OFFSET($O$15,0,$DN280,$B$8,1),OFFSET($M$15,0,0,$B$8,1))=EW$13), 1*(_xlfn._xlws.FILTER(OFFSET($O$15,0,$DO280,$B$8,1),OFFSET($M$15,0,0,$B$8,1))=EW$14))   /   SUM(OFFSET($BO$15,0,0,$B$14,1)) + $B$18/($B$19*$B$19*($DN280&lt;&gt;$DO280) + $B$19*($DN280=$DO280))</f>
        <v>3.7037037037037035E-4</v>
      </c>
      <c r="EX280" s="10" cm="1">
        <f t="array" aca="1" ref="EX280" ca="1">(1-$B$18)*SUMPRODUCT(OFFSET($BO$15,0,0,$B$14,1), 1*(_xlfn._xlws.FILTER(OFFSET($O$15,0,$DN280,$B$8,1),OFFSET($M$15,0,0,$B$8,1))=EX$13), 1*(_xlfn._xlws.FILTER(OFFSET($O$15,0,$DO280,$B$8,1),OFFSET($M$15,0,0,$B$8,1))=EX$14))   /   SUM(OFFSET($BO$15,0,0,$B$14,1)) + $B$18/($B$19*$B$19*($DN280&lt;&gt;$DO280) + $B$19*($DN280=$DO280))</f>
        <v>3.7037037037037035E-4</v>
      </c>
      <c r="EY280" s="10" cm="1">
        <f t="array" aca="1" ref="EY280" ca="1">(1-$B$18)*SUMPRODUCT(OFFSET($BO$15,0,0,$B$14,1), 1*(_xlfn._xlws.FILTER(OFFSET($O$15,0,$DN280,$B$8,1),OFFSET($M$15,0,0,$B$8,1))=EY$13), 1*(_xlfn._xlws.FILTER(OFFSET($O$15,0,$DO280,$B$8,1),OFFSET($M$15,0,0,$B$8,1))=EY$14))   /   SUM(OFFSET($BO$15,0,0,$B$14,1)) + $B$18/($B$19*$B$19*($DN280&lt;&gt;$DO280) + $B$19*($DN280=$DO280))</f>
        <v>3.7037037037037035E-4</v>
      </c>
      <c r="EZ280" s="10" cm="1">
        <f t="array" aca="1" ref="EZ280" ca="1">(1-$B$18)*SUMPRODUCT(OFFSET($BO$15,0,0,$B$14,1), 1*(_xlfn._xlws.FILTER(OFFSET($O$15,0,$DN280,$B$8,1),OFFSET($M$15,0,0,$B$8,1))=EZ$13), 1*(_xlfn._xlws.FILTER(OFFSET($O$15,0,$DO280,$B$8,1),OFFSET($M$15,0,0,$B$8,1))=EZ$14))   /   SUM(OFFSET($BO$15,0,0,$B$14,1)) + $B$18/($B$19*$B$19*($DN280&lt;&gt;$DO280) + $B$19*($DN280=$DO280))</f>
        <v>3.7037037037037035E-4</v>
      </c>
      <c r="FA280" s="10" cm="1">
        <f t="array" aca="1" ref="FA280" ca="1">(1-$B$18)*SUMPRODUCT(OFFSET($BO$15,0,0,$B$14,1), 1*(_xlfn._xlws.FILTER(OFFSET($O$15,0,$DN280,$B$8,1),OFFSET($M$15,0,0,$B$8,1))=FA$13), 1*(_xlfn._xlws.FILTER(OFFSET($O$15,0,$DO280,$B$8,1),OFFSET($M$15,0,0,$B$8,1))=FA$14))   /   SUM(OFFSET($BO$15,0,0,$B$14,1)) + $B$18/($B$19*$B$19*($DN280&lt;&gt;$DO280) + $B$19*($DN280=$DO280))</f>
        <v>3.7037037037037035E-4</v>
      </c>
      <c r="FB280" s="10" cm="1">
        <f t="array" aca="1" ref="FB280" ca="1">(1-$B$18)*SUMPRODUCT(OFFSET($BO$15,0,0,$B$14,1), 1*(_xlfn._xlws.FILTER(OFFSET($O$15,0,$DN280,$B$8,1),OFFSET($M$15,0,0,$B$8,1))=FB$13), 1*(_xlfn._xlws.FILTER(OFFSET($O$15,0,$DO280,$B$8,1),OFFSET($M$15,0,0,$B$8,1))=FB$14))   /   SUM(OFFSET($BO$15,0,0,$B$14,1)) + $B$18/($B$19*$B$19*($DN280&lt;&gt;$DO280) + $B$19*($DN280=$DO280))</f>
        <v>3.7037037037037035E-4</v>
      </c>
      <c r="FC280" s="10" cm="1">
        <f t="array" aca="1" ref="FC280" ca="1">(1-$B$18)*SUMPRODUCT(OFFSET($BO$15,0,0,$B$14,1), 1*(_xlfn._xlws.FILTER(OFFSET($O$15,0,$DN280,$B$8,1),OFFSET($M$15,0,0,$B$8,1))=FC$13), 1*(_xlfn._xlws.FILTER(OFFSET($O$15,0,$DO280,$B$8,1),OFFSET($M$15,0,0,$B$8,1))=FC$14))   /   SUM(OFFSET($BO$15,0,0,$B$14,1)) + $B$18/($B$19*$B$19*($DN280&lt;&gt;$DO280) + $B$19*($DN280=$DO280))</f>
        <v>3.7037037037037035E-4</v>
      </c>
      <c r="FD280" s="10" cm="1">
        <f t="array" aca="1" ref="FD280" ca="1">(1-$B$18)*SUMPRODUCT(OFFSET($BO$15,0,0,$B$14,1), 1*(_xlfn._xlws.FILTER(OFFSET($O$15,0,$DN280,$B$8,1),OFFSET($M$15,0,0,$B$8,1))=FD$13), 1*(_xlfn._xlws.FILTER(OFFSET($O$15,0,$DO280,$B$8,1),OFFSET($M$15,0,0,$B$8,1))=FD$14))   /   SUM(OFFSET($BO$15,0,0,$B$14,1)) + $B$18/($B$19*$B$19*($DN280&lt;&gt;$DO280) + $B$19*($DN280=$DO280))</f>
        <v>3.7037037037037035E-4</v>
      </c>
      <c r="FE280" s="10" cm="1">
        <f t="array" aca="1" ref="FE280" ca="1">(1-$B$18)*SUMPRODUCT(OFFSET($BO$15,0,0,$B$14,1), 1*(_xlfn._xlws.FILTER(OFFSET($O$15,0,$DN280,$B$8,1),OFFSET($M$15,0,0,$B$8,1))=FE$13), 1*(_xlfn._xlws.FILTER(OFFSET($O$15,0,$DO280,$B$8,1),OFFSET($M$15,0,0,$B$8,1))=FE$14))   /   SUM(OFFSET($BO$15,0,0,$B$14,1)) + $B$18/($B$19*$B$19*($DN280&lt;&gt;$DO280) + $B$19*($DN280=$DO280))</f>
        <v>3.7037037037037035E-4</v>
      </c>
      <c r="FF280" s="10" cm="1">
        <f t="array" aca="1" ref="FF280" ca="1">(1-$B$18)*SUMPRODUCT(OFFSET($BO$15,0,0,$B$14,1), 1*(_xlfn._xlws.FILTER(OFFSET($O$15,0,$DN280,$B$8,1),OFFSET($M$15,0,0,$B$8,1))=FF$13), 1*(_xlfn._xlws.FILTER(OFFSET($O$15,0,$DO280,$B$8,1),OFFSET($M$15,0,0,$B$8,1))=FF$14))   /   SUM(OFFSET($BO$15,0,0,$B$14,1)) + $B$18/($B$19*$B$19*($DN280&lt;&gt;$DO280) + $B$19*($DN280=$DO280))</f>
        <v>3.7037037037037035E-4</v>
      </c>
      <c r="FG280" s="10" cm="1">
        <f t="array" aca="1" ref="FG280" ca="1">(1-$B$18)*SUMPRODUCT(OFFSET($BO$15,0,0,$B$14,1), 1*(_xlfn._xlws.FILTER(OFFSET($O$15,0,$DN280,$B$8,1),OFFSET($M$15,0,0,$B$8,1))=FG$13), 1*(_xlfn._xlws.FILTER(OFFSET($O$15,0,$DO280,$B$8,1),OFFSET($M$15,0,0,$B$8,1))=FG$14))   /   SUM(OFFSET($BO$15,0,0,$B$14,1)) + $B$18/($B$19*$B$19*($DN280&lt;&gt;$DO280) + $B$19*($DN280=$DO280))</f>
        <v>3.7037037037037035E-4</v>
      </c>
      <c r="FH280" s="10" cm="1">
        <f t="array" aca="1" ref="FH280" ca="1">(1-$B$18)*SUMPRODUCT(OFFSET($BO$15,0,0,$B$14,1), 1*(_xlfn._xlws.FILTER(OFFSET($O$15,0,$DN280,$B$8,1),OFFSET($M$15,0,0,$B$8,1))=FH$13), 1*(_xlfn._xlws.FILTER(OFFSET($O$15,0,$DO280,$B$8,1),OFFSET($M$15,0,0,$B$8,1))=FH$14))   /   SUM(OFFSET($BO$15,0,0,$B$14,1)) + $B$18/($B$19*$B$19*($DN280&lt;&gt;$DO280) + $B$19*($DN280=$DO280))</f>
        <v>3.7037037037037035E-4</v>
      </c>
      <c r="FI280" s="10" cm="1">
        <f t="array" aca="1" ref="FI280" ca="1">(1-$B$18)*SUMPRODUCT(OFFSET($BO$15,0,0,$B$14,1), 1*(_xlfn._xlws.FILTER(OFFSET($O$15,0,$DN280,$B$8,1),OFFSET($M$15,0,0,$B$8,1))=FI$13), 1*(_xlfn._xlws.FILTER(OFFSET($O$15,0,$DO280,$B$8,1),OFFSET($M$15,0,0,$B$8,1))=FI$14))   /   SUM(OFFSET($BO$15,0,0,$B$14,1)) + $B$18/($B$19*$B$19*($DN280&lt;&gt;$DO280) + $B$19*($DN280=$DO280))</f>
        <v>3.7037037037037035E-4</v>
      </c>
      <c r="FJ280" s="10" cm="1">
        <f t="array" aca="1" ref="FJ280" ca="1">(1-$B$18)*SUMPRODUCT(OFFSET($BO$15,0,0,$B$14,1), 1*(_xlfn._xlws.FILTER(OFFSET($O$15,0,$DN280,$B$8,1),OFFSET($M$15,0,0,$B$8,1))=FJ$13), 1*(_xlfn._xlws.FILTER(OFFSET($O$15,0,$DO280,$B$8,1),OFFSET($M$15,0,0,$B$8,1))=FJ$14))   /   SUM(OFFSET($BO$15,0,0,$B$14,1)) + $B$18/($B$19*$B$19*($DN280&lt;&gt;$DO280) + $B$19*($DN280=$DO280))</f>
        <v>3.7037037037037035E-4</v>
      </c>
      <c r="FK280" s="10" cm="1">
        <f t="array" aca="1" ref="FK280" ca="1">(1-$B$18)*SUMPRODUCT(OFFSET($BO$15,0,0,$B$14,1), 1*(_xlfn._xlws.FILTER(OFFSET($O$15,0,$DN280,$B$8,1),OFFSET($M$15,0,0,$B$8,1))=FK$13), 1*(_xlfn._xlws.FILTER(OFFSET($O$15,0,$DO280,$B$8,1),OFFSET($M$15,0,0,$B$8,1))=FK$14))   /   SUM(OFFSET($BO$15,0,0,$B$14,1)) + $B$18/($B$19*$B$19*($DN280&lt;&gt;$DO280) + $B$19*($DN280=$DO280))</f>
        <v>3.7037037037037035E-4</v>
      </c>
      <c r="FL280" s="10" cm="1">
        <f t="array" aca="1" ref="FL280" ca="1">(1-$B$18)*SUMPRODUCT(OFFSET($BO$15,0,0,$B$14,1), 1*(_xlfn._xlws.FILTER(OFFSET($O$15,0,$DN280,$B$8,1),OFFSET($M$15,0,0,$B$8,1))=FL$13), 1*(_xlfn._xlws.FILTER(OFFSET($O$15,0,$DO280,$B$8,1),OFFSET($M$15,0,0,$B$8,1))=FL$14))   /   SUM(OFFSET($BO$15,0,0,$B$14,1)) + $B$18/($B$19*$B$19*($DN280&lt;&gt;$DO280) + $B$19*($DN280=$DO280))</f>
        <v>3.7037037037037035E-4</v>
      </c>
      <c r="FM280" s="10" cm="1">
        <f t="array" aca="1" ref="FM280" ca="1">(1-$B$18)*SUMPRODUCT(OFFSET($BO$15,0,0,$B$14,1), 1*(_xlfn._xlws.FILTER(OFFSET($O$15,0,$DN280,$B$8,1),OFFSET($M$15,0,0,$B$8,1))=FM$13), 1*(_xlfn._xlws.FILTER(OFFSET($O$15,0,$DO280,$B$8,1),OFFSET($M$15,0,0,$B$8,1))=FM$14))   /   SUM(OFFSET($BO$15,0,0,$B$14,1)) + $B$18/($B$19*$B$19*($DN280&lt;&gt;$DO280) + $B$19*($DN280=$DO280))</f>
        <v>3.7037037037037035E-4</v>
      </c>
      <c r="FN280" s="10" cm="1">
        <f t="array" aca="1" ref="FN280" ca="1">(1-$B$18)*SUMPRODUCT(OFFSET($BO$15,0,0,$B$14,1), 1*(_xlfn._xlws.FILTER(OFFSET($O$15,0,$DN280,$B$8,1),OFFSET($M$15,0,0,$B$8,1))=FN$13), 1*(_xlfn._xlws.FILTER(OFFSET($O$15,0,$DO280,$B$8,1),OFFSET($M$15,0,0,$B$8,1))=FN$14))   /   SUM(OFFSET($BO$15,0,0,$B$14,1)) + $B$18/($B$19*$B$19*($DN280&lt;&gt;$DO280) + $B$19*($DN280=$DO280))</f>
        <v>3.7037037037037035E-4</v>
      </c>
      <c r="FO280" s="10" cm="1">
        <f t="array" aca="1" ref="FO280" ca="1">(1-$B$18)*SUMPRODUCT(OFFSET($BO$15,0,0,$B$14,1), 1*(_xlfn._xlws.FILTER(OFFSET($O$15,0,$DN280,$B$8,1),OFFSET($M$15,0,0,$B$8,1))=FO$13), 1*(_xlfn._xlws.FILTER(OFFSET($O$15,0,$DO280,$B$8,1),OFFSET($M$15,0,0,$B$8,1))=FO$14))   /   SUM(OFFSET($BO$15,0,0,$B$14,1)) + $B$18/($B$19*$B$19*($DN280&lt;&gt;$DO280) + $B$19*($DN280=$DO280))</f>
        <v>3.7037037037037035E-4</v>
      </c>
      <c r="FP280" s="10" cm="1">
        <f t="array" aca="1" ref="FP280" ca="1">(1-$B$18)*SUMPRODUCT(OFFSET($BO$15,0,0,$B$14,1), 1*(_xlfn._xlws.FILTER(OFFSET($O$15,0,$DN280,$B$8,1),OFFSET($M$15,0,0,$B$8,1))=FP$13), 1*(_xlfn._xlws.FILTER(OFFSET($O$15,0,$DO280,$B$8,1),OFFSET($M$15,0,0,$B$8,1))=FP$14))   /   SUM(OFFSET($BO$15,0,0,$B$14,1)) + $B$18/($B$19*$B$19*($DN280&lt;&gt;$DO280) + $B$19*($DN280=$DO280))</f>
        <v>3.7037037037037035E-4</v>
      </c>
      <c r="FQ280" s="10" cm="1">
        <f t="array" aca="1" ref="FQ280" ca="1">(1-$B$18)*SUMPRODUCT(OFFSET($BO$15,0,0,$B$14,1), 1*(_xlfn._xlws.FILTER(OFFSET($O$15,0,$DN280,$B$8,1),OFFSET($M$15,0,0,$B$8,1))=FQ$13), 1*(_xlfn._xlws.FILTER(OFFSET($O$15,0,$DO280,$B$8,1),OFFSET($M$15,0,0,$B$8,1))=FQ$14))   /   SUM(OFFSET($BO$15,0,0,$B$14,1)) + $B$18/($B$19*$B$19*($DN280&lt;&gt;$DO280) + $B$19*($DN280=$DO280))</f>
        <v>3.7037037037037035E-4</v>
      </c>
      <c r="FR280" s="10" cm="1">
        <f t="array" aca="1" ref="FR280" ca="1">(1-$B$18)*SUMPRODUCT(OFFSET($BO$15,0,0,$B$14,1), 1*(_xlfn._xlws.FILTER(OFFSET($O$15,0,$DN280,$B$8,1),OFFSET($M$15,0,0,$B$8,1))=FR$13), 1*(_xlfn._xlws.FILTER(OFFSET($O$15,0,$DO280,$B$8,1),OFFSET($M$15,0,0,$B$8,1))=FR$14))   /   SUM(OFFSET($BO$15,0,0,$B$14,1)) + $B$18/($B$19*$B$19*($DN280&lt;&gt;$DO280) + $B$19*($DN280=$DO280))</f>
        <v>3.7037037037037035E-4</v>
      </c>
      <c r="FS280" s="10" cm="1">
        <f t="array" aca="1" ref="FS280" ca="1">(1-$B$18)*SUMPRODUCT(OFFSET($BO$15,0,0,$B$14,1), 1*(_xlfn._xlws.FILTER(OFFSET($O$15,0,$DN280,$B$8,1),OFFSET($M$15,0,0,$B$8,1))=FS$13), 1*(_xlfn._xlws.FILTER(OFFSET($O$15,0,$DO280,$B$8,1),OFFSET($M$15,0,0,$B$8,1))=FS$14))   /   SUM(OFFSET($BO$15,0,0,$B$14,1)) + $B$18/($B$19*$B$19*($DN280&lt;&gt;$DO280) + $B$19*($DN280=$DO280))</f>
        <v>3.7037037037037035E-4</v>
      </c>
      <c r="FT280" s="10" cm="1">
        <f t="array" aca="1" ref="FT280" ca="1">(1-$B$18)*SUMPRODUCT(OFFSET($BO$15,0,0,$B$14,1), 1*(_xlfn._xlws.FILTER(OFFSET($O$15,0,$DN280,$B$8,1),OFFSET($M$15,0,0,$B$8,1))=FT$13), 1*(_xlfn._xlws.FILTER(OFFSET($O$15,0,$DO280,$B$8,1),OFFSET($M$15,0,0,$B$8,1))=FT$14))   /   SUM(OFFSET($BO$15,0,0,$B$14,1)) + $B$18/($B$19*$B$19*($DN280&lt;&gt;$DO280) + $B$19*($DN280=$DO280))</f>
        <v>3.7037037037037035E-4</v>
      </c>
      <c r="FU280" s="10" cm="1">
        <f t="array" aca="1" ref="FU280" ca="1">(1-$B$18)*SUMPRODUCT(OFFSET($BO$15,0,0,$B$14,1), 1*(_xlfn._xlws.FILTER(OFFSET($O$15,0,$DN280,$B$8,1),OFFSET($M$15,0,0,$B$8,1))=FU$13), 1*(_xlfn._xlws.FILTER(OFFSET($O$15,0,$DO280,$B$8,1),OFFSET($M$15,0,0,$B$8,1))=FU$14))   /   SUM(OFFSET($BO$15,0,0,$B$14,1)) + $B$18/($B$19*$B$19*($DN280&lt;&gt;$DO280) + $B$19*($DN280=$DO280))</f>
        <v>3.7037037037037035E-4</v>
      </c>
      <c r="FV280" s="10" cm="1">
        <f t="array" aca="1" ref="FV280" ca="1">(1-$B$18)*SUMPRODUCT(OFFSET($BO$15,0,0,$B$14,1), 1*(_xlfn._xlws.FILTER(OFFSET($O$15,0,$DN280,$B$8,1),OFFSET($M$15,0,0,$B$8,1))=FV$13), 1*(_xlfn._xlws.FILTER(OFFSET($O$15,0,$DO280,$B$8,1),OFFSET($M$15,0,0,$B$8,1))=FV$14))   /   SUM(OFFSET($BO$15,0,0,$B$14,1)) + $B$18/($B$19*$B$19*($DN280&lt;&gt;$DO280) + $B$19*($DN280=$DO280))</f>
        <v>3.7037037037037035E-4</v>
      </c>
      <c r="FW280" s="10" cm="1">
        <f t="array" aca="1" ref="FW280" ca="1">(1-$B$18)*SUMPRODUCT(OFFSET($BO$15,0,0,$B$14,1), 1*(_xlfn._xlws.FILTER(OFFSET($O$15,0,$DN280,$B$8,1),OFFSET($M$15,0,0,$B$8,1))=FW$13), 1*(_xlfn._xlws.FILTER(OFFSET($O$15,0,$DO280,$B$8,1),OFFSET($M$15,0,0,$B$8,1))=FW$14))   /   SUM(OFFSET($BO$15,0,0,$B$14,1)) + $B$18/($B$19*$B$19*($DN280&lt;&gt;$DO280) + $B$19*($DN280=$DO280))</f>
        <v>3.7037037037037035E-4</v>
      </c>
      <c r="FX280" s="10" cm="1">
        <f t="array" aca="1" ref="FX280" ca="1">(1-$B$18)*SUMPRODUCT(OFFSET($BO$15,0,0,$B$14,1), 1*(_xlfn._xlws.FILTER(OFFSET($O$15,0,$DN280,$B$8,1),OFFSET($M$15,0,0,$B$8,1))=FX$13), 1*(_xlfn._xlws.FILTER(OFFSET($O$15,0,$DO280,$B$8,1),OFFSET($M$15,0,0,$B$8,1))=FX$14))   /   SUM(OFFSET($BO$15,0,0,$B$14,1)) + $B$18/($B$19*$B$19*($DN280&lt;&gt;$DO280) + $B$19*($DN280=$DO280))</f>
        <v>3.7037037037037035E-4</v>
      </c>
      <c r="FY280" s="10" cm="1">
        <f t="array" aca="1" ref="FY280" ca="1">(1-$B$18)*SUMPRODUCT(OFFSET($BO$15,0,0,$B$14,1), 1*(_xlfn._xlws.FILTER(OFFSET($O$15,0,$DN280,$B$8,1),OFFSET($M$15,0,0,$B$8,1))=FY$13), 1*(_xlfn._xlws.FILTER(OFFSET($O$15,0,$DO280,$B$8,1),OFFSET($M$15,0,0,$B$8,1))=FY$14))   /   SUM(OFFSET($BO$15,0,0,$B$14,1)) + $B$18/($B$19*$B$19*($DN280&lt;&gt;$DO280) + $B$19*($DN280=$DO280))</f>
        <v>3.7037037037037035E-4</v>
      </c>
      <c r="FZ280" s="10" cm="1">
        <f t="array" aca="1" ref="FZ280" ca="1">(1-$B$18)*SUMPRODUCT(OFFSET($BO$15,0,0,$B$14,1), 1*(_xlfn._xlws.FILTER(OFFSET($O$15,0,$DN280,$B$8,1),OFFSET($M$15,0,0,$B$8,1))=FZ$13), 1*(_xlfn._xlws.FILTER(OFFSET($O$15,0,$DO280,$B$8,1),OFFSET($M$15,0,0,$B$8,1))=FZ$14))   /   SUM(OFFSET($BO$15,0,0,$B$14,1)) + $B$18/($B$19*$B$19*($DN280&lt;&gt;$DO280) + $B$19*($DN280=$DO280))</f>
        <v>3.7037037037037035E-4</v>
      </c>
      <c r="GA280" s="10" cm="1">
        <f t="array" aca="1" ref="GA280" ca="1">(1-$B$18)*SUMPRODUCT(OFFSET($BO$15,0,0,$B$14,1), 1*(_xlfn._xlws.FILTER(OFFSET($O$15,0,$DN280,$B$8,1),OFFSET($M$15,0,0,$B$8,1))=GA$13), 1*(_xlfn._xlws.FILTER(OFFSET($O$15,0,$DO280,$B$8,1),OFFSET($M$15,0,0,$B$8,1))=GA$14))   /   SUM(OFFSET($BO$15,0,0,$B$14,1)) + $B$18/($B$19*$B$19*($DN280&lt;&gt;$DO280) + $B$19*($DN280=$DO280))</f>
        <v>3.7037037037037035E-4</v>
      </c>
    </row>
    <row r="281" spans="118:183" x14ac:dyDescent="0.2">
      <c r="DN281" cm="1">
        <f t="array" aca="1" ref="DN281" ca="1">INDEX(_xlfn.ANCHORARRAY($CP$15), 1 + INT((ROWS($DO$15:$DO281) - 1) / ROWS(_xlfn.ANCHORARRAY($CP$15))))</f>
        <v>15</v>
      </c>
      <c r="DO281" cm="1">
        <f t="array" aca="1" ref="DO281" ca="1">INDEX(_xlfn.ANCHORARRAY($CP$15),1+MOD(ROWS($DO$15:$DO281)-1,ROWS(_xlfn.ANCHORARRAY($CP$15))))</f>
        <v>0</v>
      </c>
      <c r="DP281" s="10" cm="1">
        <f t="array" aca="1" ref="DP281" ca="1">(1-$B$18)*SUMPRODUCT(OFFSET($BO$15,0,0,$B$14,1), 1*(_xlfn._xlws.FILTER(OFFSET($O$15,0,$DN281,$B$8,1),OFFSET($M$15,0,0,$B$8,1))=DP$13), 1*(_xlfn._xlws.FILTER(OFFSET($O$15,0,$DO281,$B$8,1),OFFSET($M$15,0,0,$B$8,1))=DP$14))   /   SUM(OFFSET($BO$15,0,0,$B$14,1)) + $B$18/($B$19*$B$19*($DN281&lt;&gt;$DO281) + $B$19*($DN281=$DO281))</f>
        <v>3.7037037037037035E-4</v>
      </c>
      <c r="DQ281" s="10" cm="1">
        <f t="array" aca="1" ref="DQ281" ca="1">(1-$B$18)*SUMPRODUCT(OFFSET($BO$15,0,0,$B$14,1), 1*(_xlfn._xlws.FILTER(OFFSET($O$15,0,$DN281,$B$8,1),OFFSET($M$15,0,0,$B$8,1))=DQ$13), 1*(_xlfn._xlws.FILTER(OFFSET($O$15,0,$DO281,$B$8,1),OFFSET($M$15,0,0,$B$8,1))=DQ$14))   /   SUM(OFFSET($BO$15,0,0,$B$14,1)) + $B$18/($B$19*$B$19*($DN281&lt;&gt;$DO281) + $B$19*($DN281=$DO281))</f>
        <v>3.7037037037037035E-4</v>
      </c>
      <c r="DR281" s="10" cm="1">
        <f t="array" aca="1" ref="DR281" ca="1">(1-$B$18)*SUMPRODUCT(OFFSET($BO$15,0,0,$B$14,1), 1*(_xlfn._xlws.FILTER(OFFSET($O$15,0,$DN281,$B$8,1),OFFSET($M$15,0,0,$B$8,1))=DR$13), 1*(_xlfn._xlws.FILTER(OFFSET($O$15,0,$DO281,$B$8,1),OFFSET($M$15,0,0,$B$8,1))=DR$14))   /   SUM(OFFSET($BO$15,0,0,$B$14,1)) + $B$18/($B$19*$B$19*($DN281&lt;&gt;$DO281) + $B$19*($DN281=$DO281))</f>
        <v>3.7037037037037035E-4</v>
      </c>
      <c r="DS281" s="10" cm="1">
        <f t="array" aca="1" ref="DS281" ca="1">(1-$B$18)*SUMPRODUCT(OFFSET($BO$15,0,0,$B$14,1), 1*(_xlfn._xlws.FILTER(OFFSET($O$15,0,$DN281,$B$8,1),OFFSET($M$15,0,0,$B$8,1))=DS$13), 1*(_xlfn._xlws.FILTER(OFFSET($O$15,0,$DO281,$B$8,1),OFFSET($M$15,0,0,$B$8,1))=DS$14))   /   SUM(OFFSET($BO$15,0,0,$B$14,1)) + $B$18/($B$19*$B$19*($DN281&lt;&gt;$DO281) + $B$19*($DN281=$DO281))</f>
        <v>3.7037037037037035E-4</v>
      </c>
      <c r="DT281" s="10" cm="1">
        <f t="array" aca="1" ref="DT281" ca="1">(1-$B$18)*SUMPRODUCT(OFFSET($BO$15,0,0,$B$14,1), 1*(_xlfn._xlws.FILTER(OFFSET($O$15,0,$DN281,$B$8,1),OFFSET($M$15,0,0,$B$8,1))=DT$13), 1*(_xlfn._xlws.FILTER(OFFSET($O$15,0,$DO281,$B$8,1),OFFSET($M$15,0,0,$B$8,1))=DT$14))   /   SUM(OFFSET($BO$15,0,0,$B$14,1)) + $B$18/($B$19*$B$19*($DN281&lt;&gt;$DO281) + $B$19*($DN281=$DO281))</f>
        <v>3.7037037037037035E-4</v>
      </c>
      <c r="DU281" s="10" cm="1">
        <f t="array" aca="1" ref="DU281" ca="1">(1-$B$18)*SUMPRODUCT(OFFSET($BO$15,0,0,$B$14,1), 1*(_xlfn._xlws.FILTER(OFFSET($O$15,0,$DN281,$B$8,1),OFFSET($M$15,0,0,$B$8,1))=DU$13), 1*(_xlfn._xlws.FILTER(OFFSET($O$15,0,$DO281,$B$8,1),OFFSET($M$15,0,0,$B$8,1))=DU$14))   /   SUM(OFFSET($BO$15,0,0,$B$14,1)) + $B$18/($B$19*$B$19*($DN281&lt;&gt;$DO281) + $B$19*($DN281=$DO281))</f>
        <v>3.7037037037037035E-4</v>
      </c>
      <c r="DV281" s="10" cm="1">
        <f t="array" aca="1" ref="DV281" ca="1">(1-$B$18)*SUMPRODUCT(OFFSET($BO$15,0,0,$B$14,1), 1*(_xlfn._xlws.FILTER(OFFSET($O$15,0,$DN281,$B$8,1),OFFSET($M$15,0,0,$B$8,1))=DV$13), 1*(_xlfn._xlws.FILTER(OFFSET($O$15,0,$DO281,$B$8,1),OFFSET($M$15,0,0,$B$8,1))=DV$14))   /   SUM(OFFSET($BO$15,0,0,$B$14,1)) + $B$18/($B$19*$B$19*($DN281&lt;&gt;$DO281) + $B$19*($DN281=$DO281))</f>
        <v>3.7037037037037035E-4</v>
      </c>
      <c r="DW281" s="10" cm="1">
        <f t="array" aca="1" ref="DW281" ca="1">(1-$B$18)*SUMPRODUCT(OFFSET($BO$15,0,0,$B$14,1), 1*(_xlfn._xlws.FILTER(OFFSET($O$15,0,$DN281,$B$8,1),OFFSET($M$15,0,0,$B$8,1))=DW$13), 1*(_xlfn._xlws.FILTER(OFFSET($O$15,0,$DO281,$B$8,1),OFFSET($M$15,0,0,$B$8,1))=DW$14))   /   SUM(OFFSET($BO$15,0,0,$B$14,1)) + $B$18/($B$19*$B$19*($DN281&lt;&gt;$DO281) + $B$19*($DN281=$DO281))</f>
        <v>3.7037037037037035E-4</v>
      </c>
      <c r="DX281" s="10" cm="1">
        <f t="array" aca="1" ref="DX281" ca="1">(1-$B$18)*SUMPRODUCT(OFFSET($BO$15,0,0,$B$14,1), 1*(_xlfn._xlws.FILTER(OFFSET($O$15,0,$DN281,$B$8,1),OFFSET($M$15,0,0,$B$8,1))=DX$13), 1*(_xlfn._xlws.FILTER(OFFSET($O$15,0,$DO281,$B$8,1),OFFSET($M$15,0,0,$B$8,1))=DX$14))   /   SUM(OFFSET($BO$15,0,0,$B$14,1)) + $B$18/($B$19*$B$19*($DN281&lt;&gt;$DO281) + $B$19*($DN281=$DO281))</f>
        <v>3.7037037037037035E-4</v>
      </c>
      <c r="DY281" s="10" cm="1">
        <f t="array" aca="1" ref="DY281" ca="1">(1-$B$18)*SUMPRODUCT(OFFSET($BO$15,0,0,$B$14,1), 1*(_xlfn._xlws.FILTER(OFFSET($O$15,0,$DN281,$B$8,1),OFFSET($M$15,0,0,$B$8,1))=DY$13), 1*(_xlfn._xlws.FILTER(OFFSET($O$15,0,$DO281,$B$8,1),OFFSET($M$15,0,0,$B$8,1))=DY$14))   /   SUM(OFFSET($BO$15,0,0,$B$14,1)) + $B$18/($B$19*$B$19*($DN281&lt;&gt;$DO281) + $B$19*($DN281=$DO281))</f>
        <v>3.7037037037037035E-4</v>
      </c>
      <c r="DZ281" s="10" cm="1">
        <f t="array" aca="1" ref="DZ281" ca="1">(1-$B$18)*SUMPRODUCT(OFFSET($BO$15,0,0,$B$14,1), 1*(_xlfn._xlws.FILTER(OFFSET($O$15,0,$DN281,$B$8,1),OFFSET($M$15,0,0,$B$8,1))=DZ$13), 1*(_xlfn._xlws.FILTER(OFFSET($O$15,0,$DO281,$B$8,1),OFFSET($M$15,0,0,$B$8,1))=DZ$14))   /   SUM(OFFSET($BO$15,0,0,$B$14,1)) + $B$18/($B$19*$B$19*($DN281&lt;&gt;$DO281) + $B$19*($DN281=$DO281))</f>
        <v>3.7037037037037035E-4</v>
      </c>
      <c r="EA281" s="10" cm="1">
        <f t="array" aca="1" ref="EA281" ca="1">(1-$B$18)*SUMPRODUCT(OFFSET($BO$15,0,0,$B$14,1), 1*(_xlfn._xlws.FILTER(OFFSET($O$15,0,$DN281,$B$8,1),OFFSET($M$15,0,0,$B$8,1))=EA$13), 1*(_xlfn._xlws.FILTER(OFFSET($O$15,0,$DO281,$B$8,1),OFFSET($M$15,0,0,$B$8,1))=EA$14))   /   SUM(OFFSET($BO$15,0,0,$B$14,1)) + $B$18/($B$19*$B$19*($DN281&lt;&gt;$DO281) + $B$19*($DN281=$DO281))</f>
        <v>3.7037037037037035E-4</v>
      </c>
      <c r="EB281" s="10" cm="1">
        <f t="array" aca="1" ref="EB281" ca="1">(1-$B$18)*SUMPRODUCT(OFFSET($BO$15,0,0,$B$14,1), 1*(_xlfn._xlws.FILTER(OFFSET($O$15,0,$DN281,$B$8,1),OFFSET($M$15,0,0,$B$8,1))=EB$13), 1*(_xlfn._xlws.FILTER(OFFSET($O$15,0,$DO281,$B$8,1),OFFSET($M$15,0,0,$B$8,1))=EB$14))   /   SUM(OFFSET($BO$15,0,0,$B$14,1)) + $B$18/($B$19*$B$19*($DN281&lt;&gt;$DO281) + $B$19*($DN281=$DO281))</f>
        <v>3.7037037037037035E-4</v>
      </c>
      <c r="EC281" s="10" cm="1">
        <f t="array" aca="1" ref="EC281" ca="1">(1-$B$18)*SUMPRODUCT(OFFSET($BO$15,0,0,$B$14,1), 1*(_xlfn._xlws.FILTER(OFFSET($O$15,0,$DN281,$B$8,1),OFFSET($M$15,0,0,$B$8,1))=EC$13), 1*(_xlfn._xlws.FILTER(OFFSET($O$15,0,$DO281,$B$8,1),OFFSET($M$15,0,0,$B$8,1))=EC$14))   /   SUM(OFFSET($BO$15,0,0,$B$14,1)) + $B$18/($B$19*$B$19*($DN281&lt;&gt;$DO281) + $B$19*($DN281=$DO281))</f>
        <v>3.7037037037037035E-4</v>
      </c>
      <c r="ED281" s="10" cm="1">
        <f t="array" aca="1" ref="ED281" ca="1">(1-$B$18)*SUMPRODUCT(OFFSET($BO$15,0,0,$B$14,1), 1*(_xlfn._xlws.FILTER(OFFSET($O$15,0,$DN281,$B$8,1),OFFSET($M$15,0,0,$B$8,1))=ED$13), 1*(_xlfn._xlws.FILTER(OFFSET($O$15,0,$DO281,$B$8,1),OFFSET($M$15,0,0,$B$8,1))=ED$14))   /   SUM(OFFSET($BO$15,0,0,$B$14,1)) + $B$18/($B$19*$B$19*($DN281&lt;&gt;$DO281) + $B$19*($DN281=$DO281))</f>
        <v>3.7037037037037035E-4</v>
      </c>
      <c r="EE281" s="10" cm="1">
        <f t="array" aca="1" ref="EE281" ca="1">(1-$B$18)*SUMPRODUCT(OFFSET($BO$15,0,0,$B$14,1), 1*(_xlfn._xlws.FILTER(OFFSET($O$15,0,$DN281,$B$8,1),OFFSET($M$15,0,0,$B$8,1))=EE$13), 1*(_xlfn._xlws.FILTER(OFFSET($O$15,0,$DO281,$B$8,1),OFFSET($M$15,0,0,$B$8,1))=EE$14))   /   SUM(OFFSET($BO$15,0,0,$B$14,1)) + $B$18/($B$19*$B$19*($DN281&lt;&gt;$DO281) + $B$19*($DN281=$DO281))</f>
        <v>3.7037037037037035E-4</v>
      </c>
      <c r="EF281" s="10" cm="1">
        <f t="array" aca="1" ref="EF281" ca="1">(1-$B$18)*SUMPRODUCT(OFFSET($BO$15,0,0,$B$14,1), 1*(_xlfn._xlws.FILTER(OFFSET($O$15,0,$DN281,$B$8,1),OFFSET($M$15,0,0,$B$8,1))=EF$13), 1*(_xlfn._xlws.FILTER(OFFSET($O$15,0,$DO281,$B$8,1),OFFSET($M$15,0,0,$B$8,1))=EF$14))   /   SUM(OFFSET($BO$15,0,0,$B$14,1)) + $B$18/($B$19*$B$19*($DN281&lt;&gt;$DO281) + $B$19*($DN281=$DO281))</f>
        <v>3.7037037037037035E-4</v>
      </c>
      <c r="EG281" s="10" cm="1">
        <f t="array" aca="1" ref="EG281" ca="1">(1-$B$18)*SUMPRODUCT(OFFSET($BO$15,0,0,$B$14,1), 1*(_xlfn._xlws.FILTER(OFFSET($O$15,0,$DN281,$B$8,1),OFFSET($M$15,0,0,$B$8,1))=EG$13), 1*(_xlfn._xlws.FILTER(OFFSET($O$15,0,$DO281,$B$8,1),OFFSET($M$15,0,0,$B$8,1))=EG$14))   /   SUM(OFFSET($BO$15,0,0,$B$14,1)) + $B$18/($B$19*$B$19*($DN281&lt;&gt;$DO281) + $B$19*($DN281=$DO281))</f>
        <v>3.7037037037037035E-4</v>
      </c>
      <c r="EH281" s="10" cm="1">
        <f t="array" aca="1" ref="EH281" ca="1">(1-$B$18)*SUMPRODUCT(OFFSET($BO$15,0,0,$B$14,1), 1*(_xlfn._xlws.FILTER(OFFSET($O$15,0,$DN281,$B$8,1),OFFSET($M$15,0,0,$B$8,1))=EH$13), 1*(_xlfn._xlws.FILTER(OFFSET($O$15,0,$DO281,$B$8,1),OFFSET($M$15,0,0,$B$8,1))=EH$14))   /   SUM(OFFSET($BO$15,0,0,$B$14,1)) + $B$18/($B$19*$B$19*($DN281&lt;&gt;$DO281) + $B$19*($DN281=$DO281))</f>
        <v>3.7037037037037035E-4</v>
      </c>
      <c r="EI281" s="10" cm="1">
        <f t="array" aca="1" ref="EI281" ca="1">(1-$B$18)*SUMPRODUCT(OFFSET($BO$15,0,0,$B$14,1), 1*(_xlfn._xlws.FILTER(OFFSET($O$15,0,$DN281,$B$8,1),OFFSET($M$15,0,0,$B$8,1))=EI$13), 1*(_xlfn._xlws.FILTER(OFFSET($O$15,0,$DO281,$B$8,1),OFFSET($M$15,0,0,$B$8,1))=EI$14))   /   SUM(OFFSET($BO$15,0,0,$B$14,1)) + $B$18/($B$19*$B$19*($DN281&lt;&gt;$DO281) + $B$19*($DN281=$DO281))</f>
        <v>3.7037037037037035E-4</v>
      </c>
      <c r="EJ281" s="10" cm="1">
        <f t="array" aca="1" ref="EJ281" ca="1">(1-$B$18)*SUMPRODUCT(OFFSET($BO$15,0,0,$B$14,1), 1*(_xlfn._xlws.FILTER(OFFSET($O$15,0,$DN281,$B$8,1),OFFSET($M$15,0,0,$B$8,1))=EJ$13), 1*(_xlfn._xlws.FILTER(OFFSET($O$15,0,$DO281,$B$8,1),OFFSET($M$15,0,0,$B$8,1))=EJ$14))   /   SUM(OFFSET($BO$15,0,0,$B$14,1)) + $B$18/($B$19*$B$19*($DN281&lt;&gt;$DO281) + $B$19*($DN281=$DO281))</f>
        <v>3.7037037037037035E-4</v>
      </c>
      <c r="EK281" s="10" cm="1">
        <f t="array" aca="1" ref="EK281" ca="1">(1-$B$18)*SUMPRODUCT(OFFSET($BO$15,0,0,$B$14,1), 1*(_xlfn._xlws.FILTER(OFFSET($O$15,0,$DN281,$B$8,1),OFFSET($M$15,0,0,$B$8,1))=EK$13), 1*(_xlfn._xlws.FILTER(OFFSET($O$15,0,$DO281,$B$8,1),OFFSET($M$15,0,0,$B$8,1))=EK$14))   /   SUM(OFFSET($BO$15,0,0,$B$14,1)) + $B$18/($B$19*$B$19*($DN281&lt;&gt;$DO281) + $B$19*($DN281=$DO281))</f>
        <v>3.7037037037037035E-4</v>
      </c>
      <c r="EL281" s="10" cm="1">
        <f t="array" aca="1" ref="EL281" ca="1">(1-$B$18)*SUMPRODUCT(OFFSET($BO$15,0,0,$B$14,1), 1*(_xlfn._xlws.FILTER(OFFSET($O$15,0,$DN281,$B$8,1),OFFSET($M$15,0,0,$B$8,1))=EL$13), 1*(_xlfn._xlws.FILTER(OFFSET($O$15,0,$DO281,$B$8,1),OFFSET($M$15,0,0,$B$8,1))=EL$14))   /   SUM(OFFSET($BO$15,0,0,$B$14,1)) + $B$18/($B$19*$B$19*($DN281&lt;&gt;$DO281) + $B$19*($DN281=$DO281))</f>
        <v>0.97037037037037033</v>
      </c>
      <c r="EM281" s="10" cm="1">
        <f t="array" aca="1" ref="EM281" ca="1">(1-$B$18)*SUMPRODUCT(OFFSET($BO$15,0,0,$B$14,1), 1*(_xlfn._xlws.FILTER(OFFSET($O$15,0,$DN281,$B$8,1),OFFSET($M$15,0,0,$B$8,1))=EM$13), 1*(_xlfn._xlws.FILTER(OFFSET($O$15,0,$DO281,$B$8,1),OFFSET($M$15,0,0,$B$8,1))=EM$14))   /   SUM(OFFSET($BO$15,0,0,$B$14,1)) + $B$18/($B$19*$B$19*($DN281&lt;&gt;$DO281) + $B$19*($DN281=$DO281))</f>
        <v>3.7037037037037035E-4</v>
      </c>
      <c r="EN281" s="10" cm="1">
        <f t="array" aca="1" ref="EN281" ca="1">(1-$B$18)*SUMPRODUCT(OFFSET($BO$15,0,0,$B$14,1), 1*(_xlfn._xlws.FILTER(OFFSET($O$15,0,$DN281,$B$8,1),OFFSET($M$15,0,0,$B$8,1))=EN$13), 1*(_xlfn._xlws.FILTER(OFFSET($O$15,0,$DO281,$B$8,1),OFFSET($M$15,0,0,$B$8,1))=EN$14))   /   SUM(OFFSET($BO$15,0,0,$B$14,1)) + $B$18/($B$19*$B$19*($DN281&lt;&gt;$DO281) + $B$19*($DN281=$DO281))</f>
        <v>3.7037037037037035E-4</v>
      </c>
      <c r="EO281" s="10" cm="1">
        <f t="array" aca="1" ref="EO281" ca="1">(1-$B$18)*SUMPRODUCT(OFFSET($BO$15,0,0,$B$14,1), 1*(_xlfn._xlws.FILTER(OFFSET($O$15,0,$DN281,$B$8,1),OFFSET($M$15,0,0,$B$8,1))=EO$13), 1*(_xlfn._xlws.FILTER(OFFSET($O$15,0,$DO281,$B$8,1),OFFSET($M$15,0,0,$B$8,1))=EO$14))   /   SUM(OFFSET($BO$15,0,0,$B$14,1)) + $B$18/($B$19*$B$19*($DN281&lt;&gt;$DO281) + $B$19*($DN281=$DO281))</f>
        <v>3.7037037037037035E-4</v>
      </c>
      <c r="EP281" s="10" cm="1">
        <f t="array" aca="1" ref="EP281" ca="1">(1-$B$18)*SUMPRODUCT(OFFSET($BO$15,0,0,$B$14,1), 1*(_xlfn._xlws.FILTER(OFFSET($O$15,0,$DN281,$B$8,1),OFFSET($M$15,0,0,$B$8,1))=EP$13), 1*(_xlfn._xlws.FILTER(OFFSET($O$15,0,$DO281,$B$8,1),OFFSET($M$15,0,0,$B$8,1))=EP$14))   /   SUM(OFFSET($BO$15,0,0,$B$14,1)) + $B$18/($B$19*$B$19*($DN281&lt;&gt;$DO281) + $B$19*($DN281=$DO281))</f>
        <v>3.7037037037037035E-4</v>
      </c>
      <c r="EQ281" s="10" cm="1">
        <f t="array" aca="1" ref="EQ281" ca="1">(1-$B$18)*SUMPRODUCT(OFFSET($BO$15,0,0,$B$14,1), 1*(_xlfn._xlws.FILTER(OFFSET($O$15,0,$DN281,$B$8,1),OFFSET($M$15,0,0,$B$8,1))=EQ$13), 1*(_xlfn._xlws.FILTER(OFFSET($O$15,0,$DO281,$B$8,1),OFFSET($M$15,0,0,$B$8,1))=EQ$14))   /   SUM(OFFSET($BO$15,0,0,$B$14,1)) + $B$18/($B$19*$B$19*($DN281&lt;&gt;$DO281) + $B$19*($DN281=$DO281))</f>
        <v>3.7037037037037035E-4</v>
      </c>
      <c r="ER281" s="10" cm="1">
        <f t="array" aca="1" ref="ER281" ca="1">(1-$B$18)*SUMPRODUCT(OFFSET($BO$15,0,0,$B$14,1), 1*(_xlfn._xlws.FILTER(OFFSET($O$15,0,$DN281,$B$8,1),OFFSET($M$15,0,0,$B$8,1))=ER$13), 1*(_xlfn._xlws.FILTER(OFFSET($O$15,0,$DO281,$B$8,1),OFFSET($M$15,0,0,$B$8,1))=ER$14))   /   SUM(OFFSET($BO$15,0,0,$B$14,1)) + $B$18/($B$19*$B$19*($DN281&lt;&gt;$DO281) + $B$19*($DN281=$DO281))</f>
        <v>3.7037037037037035E-4</v>
      </c>
      <c r="ES281" s="10" cm="1">
        <f t="array" aca="1" ref="ES281" ca="1">(1-$B$18)*SUMPRODUCT(OFFSET($BO$15,0,0,$B$14,1), 1*(_xlfn._xlws.FILTER(OFFSET($O$15,0,$DN281,$B$8,1),OFFSET($M$15,0,0,$B$8,1))=ES$13), 1*(_xlfn._xlws.FILTER(OFFSET($O$15,0,$DO281,$B$8,1),OFFSET($M$15,0,0,$B$8,1))=ES$14))   /   SUM(OFFSET($BO$15,0,0,$B$14,1)) + $B$18/($B$19*$B$19*($DN281&lt;&gt;$DO281) + $B$19*($DN281=$DO281))</f>
        <v>3.7037037037037035E-4</v>
      </c>
      <c r="ET281" s="10" cm="1">
        <f t="array" aca="1" ref="ET281" ca="1">(1-$B$18)*SUMPRODUCT(OFFSET($BO$15,0,0,$B$14,1), 1*(_xlfn._xlws.FILTER(OFFSET($O$15,0,$DN281,$B$8,1),OFFSET($M$15,0,0,$B$8,1))=ET$13), 1*(_xlfn._xlws.FILTER(OFFSET($O$15,0,$DO281,$B$8,1),OFFSET($M$15,0,0,$B$8,1))=ET$14))   /   SUM(OFFSET($BO$15,0,0,$B$14,1)) + $B$18/($B$19*$B$19*($DN281&lt;&gt;$DO281) + $B$19*($DN281=$DO281))</f>
        <v>3.7037037037037035E-4</v>
      </c>
      <c r="EU281" s="10" cm="1">
        <f t="array" aca="1" ref="EU281" ca="1">(1-$B$18)*SUMPRODUCT(OFFSET($BO$15,0,0,$B$14,1), 1*(_xlfn._xlws.FILTER(OFFSET($O$15,0,$DN281,$B$8,1),OFFSET($M$15,0,0,$B$8,1))=EU$13), 1*(_xlfn._xlws.FILTER(OFFSET($O$15,0,$DO281,$B$8,1),OFFSET($M$15,0,0,$B$8,1))=EU$14))   /   SUM(OFFSET($BO$15,0,0,$B$14,1)) + $B$18/($B$19*$B$19*($DN281&lt;&gt;$DO281) + $B$19*($DN281=$DO281))</f>
        <v>3.7037037037037035E-4</v>
      </c>
      <c r="EV281" s="10" cm="1">
        <f t="array" aca="1" ref="EV281" ca="1">(1-$B$18)*SUMPRODUCT(OFFSET($BO$15,0,0,$B$14,1), 1*(_xlfn._xlws.FILTER(OFFSET($O$15,0,$DN281,$B$8,1),OFFSET($M$15,0,0,$B$8,1))=EV$13), 1*(_xlfn._xlws.FILTER(OFFSET($O$15,0,$DO281,$B$8,1),OFFSET($M$15,0,0,$B$8,1))=EV$14))   /   SUM(OFFSET($BO$15,0,0,$B$14,1)) + $B$18/($B$19*$B$19*($DN281&lt;&gt;$DO281) + $B$19*($DN281=$DO281))</f>
        <v>3.7037037037037035E-4</v>
      </c>
      <c r="EW281" s="10" cm="1">
        <f t="array" aca="1" ref="EW281" ca="1">(1-$B$18)*SUMPRODUCT(OFFSET($BO$15,0,0,$B$14,1), 1*(_xlfn._xlws.FILTER(OFFSET($O$15,0,$DN281,$B$8,1),OFFSET($M$15,0,0,$B$8,1))=EW$13), 1*(_xlfn._xlws.FILTER(OFFSET($O$15,0,$DO281,$B$8,1),OFFSET($M$15,0,0,$B$8,1))=EW$14))   /   SUM(OFFSET($BO$15,0,0,$B$14,1)) + $B$18/($B$19*$B$19*($DN281&lt;&gt;$DO281) + $B$19*($DN281=$DO281))</f>
        <v>3.7037037037037035E-4</v>
      </c>
      <c r="EX281" s="10" cm="1">
        <f t="array" aca="1" ref="EX281" ca="1">(1-$B$18)*SUMPRODUCT(OFFSET($BO$15,0,0,$B$14,1), 1*(_xlfn._xlws.FILTER(OFFSET($O$15,0,$DN281,$B$8,1),OFFSET($M$15,0,0,$B$8,1))=EX$13), 1*(_xlfn._xlws.FILTER(OFFSET($O$15,0,$DO281,$B$8,1),OFFSET($M$15,0,0,$B$8,1))=EX$14))   /   SUM(OFFSET($BO$15,0,0,$B$14,1)) + $B$18/($B$19*$B$19*($DN281&lt;&gt;$DO281) + $B$19*($DN281=$DO281))</f>
        <v>3.7037037037037035E-4</v>
      </c>
      <c r="EY281" s="10" cm="1">
        <f t="array" aca="1" ref="EY281" ca="1">(1-$B$18)*SUMPRODUCT(OFFSET($BO$15,0,0,$B$14,1), 1*(_xlfn._xlws.FILTER(OFFSET($O$15,0,$DN281,$B$8,1),OFFSET($M$15,0,0,$B$8,1))=EY$13), 1*(_xlfn._xlws.FILTER(OFFSET($O$15,0,$DO281,$B$8,1),OFFSET($M$15,0,0,$B$8,1))=EY$14))   /   SUM(OFFSET($BO$15,0,0,$B$14,1)) + $B$18/($B$19*$B$19*($DN281&lt;&gt;$DO281) + $B$19*($DN281=$DO281))</f>
        <v>3.7037037037037035E-4</v>
      </c>
      <c r="EZ281" s="10" cm="1">
        <f t="array" aca="1" ref="EZ281" ca="1">(1-$B$18)*SUMPRODUCT(OFFSET($BO$15,0,0,$B$14,1), 1*(_xlfn._xlws.FILTER(OFFSET($O$15,0,$DN281,$B$8,1),OFFSET($M$15,0,0,$B$8,1))=EZ$13), 1*(_xlfn._xlws.FILTER(OFFSET($O$15,0,$DO281,$B$8,1),OFFSET($M$15,0,0,$B$8,1))=EZ$14))   /   SUM(OFFSET($BO$15,0,0,$B$14,1)) + $B$18/($B$19*$B$19*($DN281&lt;&gt;$DO281) + $B$19*($DN281=$DO281))</f>
        <v>3.7037037037037035E-4</v>
      </c>
      <c r="FA281" s="10" cm="1">
        <f t="array" aca="1" ref="FA281" ca="1">(1-$B$18)*SUMPRODUCT(OFFSET($BO$15,0,0,$B$14,1), 1*(_xlfn._xlws.FILTER(OFFSET($O$15,0,$DN281,$B$8,1),OFFSET($M$15,0,0,$B$8,1))=FA$13), 1*(_xlfn._xlws.FILTER(OFFSET($O$15,0,$DO281,$B$8,1),OFFSET($M$15,0,0,$B$8,1))=FA$14))   /   SUM(OFFSET($BO$15,0,0,$B$14,1)) + $B$18/($B$19*$B$19*($DN281&lt;&gt;$DO281) + $B$19*($DN281=$DO281))</f>
        <v>3.7037037037037035E-4</v>
      </c>
      <c r="FB281" s="10" cm="1">
        <f t="array" aca="1" ref="FB281" ca="1">(1-$B$18)*SUMPRODUCT(OFFSET($BO$15,0,0,$B$14,1), 1*(_xlfn._xlws.FILTER(OFFSET($O$15,0,$DN281,$B$8,1),OFFSET($M$15,0,0,$B$8,1))=FB$13), 1*(_xlfn._xlws.FILTER(OFFSET($O$15,0,$DO281,$B$8,1),OFFSET($M$15,0,0,$B$8,1))=FB$14))   /   SUM(OFFSET($BO$15,0,0,$B$14,1)) + $B$18/($B$19*$B$19*($DN281&lt;&gt;$DO281) + $B$19*($DN281=$DO281))</f>
        <v>3.7037037037037035E-4</v>
      </c>
      <c r="FC281" s="10" cm="1">
        <f t="array" aca="1" ref="FC281" ca="1">(1-$B$18)*SUMPRODUCT(OFFSET($BO$15,0,0,$B$14,1), 1*(_xlfn._xlws.FILTER(OFFSET($O$15,0,$DN281,$B$8,1),OFFSET($M$15,0,0,$B$8,1))=FC$13), 1*(_xlfn._xlws.FILTER(OFFSET($O$15,0,$DO281,$B$8,1),OFFSET($M$15,0,0,$B$8,1))=FC$14))   /   SUM(OFFSET($BO$15,0,0,$B$14,1)) + $B$18/($B$19*$B$19*($DN281&lt;&gt;$DO281) + $B$19*($DN281=$DO281))</f>
        <v>3.7037037037037035E-4</v>
      </c>
      <c r="FD281" s="10" cm="1">
        <f t="array" aca="1" ref="FD281" ca="1">(1-$B$18)*SUMPRODUCT(OFFSET($BO$15,0,0,$B$14,1), 1*(_xlfn._xlws.FILTER(OFFSET($O$15,0,$DN281,$B$8,1),OFFSET($M$15,0,0,$B$8,1))=FD$13), 1*(_xlfn._xlws.FILTER(OFFSET($O$15,0,$DO281,$B$8,1),OFFSET($M$15,0,0,$B$8,1))=FD$14))   /   SUM(OFFSET($BO$15,0,0,$B$14,1)) + $B$18/($B$19*$B$19*($DN281&lt;&gt;$DO281) + $B$19*($DN281=$DO281))</f>
        <v>3.7037037037037035E-4</v>
      </c>
      <c r="FE281" s="10" cm="1">
        <f t="array" aca="1" ref="FE281" ca="1">(1-$B$18)*SUMPRODUCT(OFFSET($BO$15,0,0,$B$14,1), 1*(_xlfn._xlws.FILTER(OFFSET($O$15,0,$DN281,$B$8,1),OFFSET($M$15,0,0,$B$8,1))=FE$13), 1*(_xlfn._xlws.FILTER(OFFSET($O$15,0,$DO281,$B$8,1),OFFSET($M$15,0,0,$B$8,1))=FE$14))   /   SUM(OFFSET($BO$15,0,0,$B$14,1)) + $B$18/($B$19*$B$19*($DN281&lt;&gt;$DO281) + $B$19*($DN281=$DO281))</f>
        <v>3.7037037037037035E-4</v>
      </c>
      <c r="FF281" s="10" cm="1">
        <f t="array" aca="1" ref="FF281" ca="1">(1-$B$18)*SUMPRODUCT(OFFSET($BO$15,0,0,$B$14,1), 1*(_xlfn._xlws.FILTER(OFFSET($O$15,0,$DN281,$B$8,1),OFFSET($M$15,0,0,$B$8,1))=FF$13), 1*(_xlfn._xlws.FILTER(OFFSET($O$15,0,$DO281,$B$8,1),OFFSET($M$15,0,0,$B$8,1))=FF$14))   /   SUM(OFFSET($BO$15,0,0,$B$14,1)) + $B$18/($B$19*$B$19*($DN281&lt;&gt;$DO281) + $B$19*($DN281=$DO281))</f>
        <v>3.7037037037037035E-4</v>
      </c>
      <c r="FG281" s="10" cm="1">
        <f t="array" aca="1" ref="FG281" ca="1">(1-$B$18)*SUMPRODUCT(OFFSET($BO$15,0,0,$B$14,1), 1*(_xlfn._xlws.FILTER(OFFSET($O$15,0,$DN281,$B$8,1),OFFSET($M$15,0,0,$B$8,1))=FG$13), 1*(_xlfn._xlws.FILTER(OFFSET($O$15,0,$DO281,$B$8,1),OFFSET($M$15,0,0,$B$8,1))=FG$14))   /   SUM(OFFSET($BO$15,0,0,$B$14,1)) + $B$18/($B$19*$B$19*($DN281&lt;&gt;$DO281) + $B$19*($DN281=$DO281))</f>
        <v>3.7037037037037035E-4</v>
      </c>
      <c r="FH281" s="10" cm="1">
        <f t="array" aca="1" ref="FH281" ca="1">(1-$B$18)*SUMPRODUCT(OFFSET($BO$15,0,0,$B$14,1), 1*(_xlfn._xlws.FILTER(OFFSET($O$15,0,$DN281,$B$8,1),OFFSET($M$15,0,0,$B$8,1))=FH$13), 1*(_xlfn._xlws.FILTER(OFFSET($O$15,0,$DO281,$B$8,1),OFFSET($M$15,0,0,$B$8,1))=FH$14))   /   SUM(OFFSET($BO$15,0,0,$B$14,1)) + $B$18/($B$19*$B$19*($DN281&lt;&gt;$DO281) + $B$19*($DN281=$DO281))</f>
        <v>3.7037037037037035E-4</v>
      </c>
      <c r="FI281" s="10" cm="1">
        <f t="array" aca="1" ref="FI281" ca="1">(1-$B$18)*SUMPRODUCT(OFFSET($BO$15,0,0,$B$14,1), 1*(_xlfn._xlws.FILTER(OFFSET($O$15,0,$DN281,$B$8,1),OFFSET($M$15,0,0,$B$8,1))=FI$13), 1*(_xlfn._xlws.FILTER(OFFSET($O$15,0,$DO281,$B$8,1),OFFSET($M$15,0,0,$B$8,1))=FI$14))   /   SUM(OFFSET($BO$15,0,0,$B$14,1)) + $B$18/($B$19*$B$19*($DN281&lt;&gt;$DO281) + $B$19*($DN281=$DO281))</f>
        <v>3.7037037037037035E-4</v>
      </c>
      <c r="FJ281" s="10" cm="1">
        <f t="array" aca="1" ref="FJ281" ca="1">(1-$B$18)*SUMPRODUCT(OFFSET($BO$15,0,0,$B$14,1), 1*(_xlfn._xlws.FILTER(OFFSET($O$15,0,$DN281,$B$8,1),OFFSET($M$15,0,0,$B$8,1))=FJ$13), 1*(_xlfn._xlws.FILTER(OFFSET($O$15,0,$DO281,$B$8,1),OFFSET($M$15,0,0,$B$8,1))=FJ$14))   /   SUM(OFFSET($BO$15,0,0,$B$14,1)) + $B$18/($B$19*$B$19*($DN281&lt;&gt;$DO281) + $B$19*($DN281=$DO281))</f>
        <v>3.7037037037037035E-4</v>
      </c>
      <c r="FK281" s="10" cm="1">
        <f t="array" aca="1" ref="FK281" ca="1">(1-$B$18)*SUMPRODUCT(OFFSET($BO$15,0,0,$B$14,1), 1*(_xlfn._xlws.FILTER(OFFSET($O$15,0,$DN281,$B$8,1),OFFSET($M$15,0,0,$B$8,1))=FK$13), 1*(_xlfn._xlws.FILTER(OFFSET($O$15,0,$DO281,$B$8,1),OFFSET($M$15,0,0,$B$8,1))=FK$14))   /   SUM(OFFSET($BO$15,0,0,$B$14,1)) + $B$18/($B$19*$B$19*($DN281&lt;&gt;$DO281) + $B$19*($DN281=$DO281))</f>
        <v>3.7037037037037035E-4</v>
      </c>
      <c r="FL281" s="10" cm="1">
        <f t="array" aca="1" ref="FL281" ca="1">(1-$B$18)*SUMPRODUCT(OFFSET($BO$15,0,0,$B$14,1), 1*(_xlfn._xlws.FILTER(OFFSET($O$15,0,$DN281,$B$8,1),OFFSET($M$15,0,0,$B$8,1))=FL$13), 1*(_xlfn._xlws.FILTER(OFFSET($O$15,0,$DO281,$B$8,1),OFFSET($M$15,0,0,$B$8,1))=FL$14))   /   SUM(OFFSET($BO$15,0,0,$B$14,1)) + $B$18/($B$19*$B$19*($DN281&lt;&gt;$DO281) + $B$19*($DN281=$DO281))</f>
        <v>3.7037037037037035E-4</v>
      </c>
      <c r="FM281" s="10" cm="1">
        <f t="array" aca="1" ref="FM281" ca="1">(1-$B$18)*SUMPRODUCT(OFFSET($BO$15,0,0,$B$14,1), 1*(_xlfn._xlws.FILTER(OFFSET($O$15,0,$DN281,$B$8,1),OFFSET($M$15,0,0,$B$8,1))=FM$13), 1*(_xlfn._xlws.FILTER(OFFSET($O$15,0,$DO281,$B$8,1),OFFSET($M$15,0,0,$B$8,1))=FM$14))   /   SUM(OFFSET($BO$15,0,0,$B$14,1)) + $B$18/($B$19*$B$19*($DN281&lt;&gt;$DO281) + $B$19*($DN281=$DO281))</f>
        <v>3.7037037037037035E-4</v>
      </c>
      <c r="FN281" s="10" cm="1">
        <f t="array" aca="1" ref="FN281" ca="1">(1-$B$18)*SUMPRODUCT(OFFSET($BO$15,0,0,$B$14,1), 1*(_xlfn._xlws.FILTER(OFFSET($O$15,0,$DN281,$B$8,1),OFFSET($M$15,0,0,$B$8,1))=FN$13), 1*(_xlfn._xlws.FILTER(OFFSET($O$15,0,$DO281,$B$8,1),OFFSET($M$15,0,0,$B$8,1))=FN$14))   /   SUM(OFFSET($BO$15,0,0,$B$14,1)) + $B$18/($B$19*$B$19*($DN281&lt;&gt;$DO281) + $B$19*($DN281=$DO281))</f>
        <v>3.7037037037037035E-4</v>
      </c>
      <c r="FO281" s="10" cm="1">
        <f t="array" aca="1" ref="FO281" ca="1">(1-$B$18)*SUMPRODUCT(OFFSET($BO$15,0,0,$B$14,1), 1*(_xlfn._xlws.FILTER(OFFSET($O$15,0,$DN281,$B$8,1),OFFSET($M$15,0,0,$B$8,1))=FO$13), 1*(_xlfn._xlws.FILTER(OFFSET($O$15,0,$DO281,$B$8,1),OFFSET($M$15,0,0,$B$8,1))=FO$14))   /   SUM(OFFSET($BO$15,0,0,$B$14,1)) + $B$18/($B$19*$B$19*($DN281&lt;&gt;$DO281) + $B$19*($DN281=$DO281))</f>
        <v>3.7037037037037035E-4</v>
      </c>
      <c r="FP281" s="10" cm="1">
        <f t="array" aca="1" ref="FP281" ca="1">(1-$B$18)*SUMPRODUCT(OFFSET($BO$15,0,0,$B$14,1), 1*(_xlfn._xlws.FILTER(OFFSET($O$15,0,$DN281,$B$8,1),OFFSET($M$15,0,0,$B$8,1))=FP$13), 1*(_xlfn._xlws.FILTER(OFFSET($O$15,0,$DO281,$B$8,1),OFFSET($M$15,0,0,$B$8,1))=FP$14))   /   SUM(OFFSET($BO$15,0,0,$B$14,1)) + $B$18/($B$19*$B$19*($DN281&lt;&gt;$DO281) + $B$19*($DN281=$DO281))</f>
        <v>3.7037037037037035E-4</v>
      </c>
      <c r="FQ281" s="10" cm="1">
        <f t="array" aca="1" ref="FQ281" ca="1">(1-$B$18)*SUMPRODUCT(OFFSET($BO$15,0,0,$B$14,1), 1*(_xlfn._xlws.FILTER(OFFSET($O$15,0,$DN281,$B$8,1),OFFSET($M$15,0,0,$B$8,1))=FQ$13), 1*(_xlfn._xlws.FILTER(OFFSET($O$15,0,$DO281,$B$8,1),OFFSET($M$15,0,0,$B$8,1))=FQ$14))   /   SUM(OFFSET($BO$15,0,0,$B$14,1)) + $B$18/($B$19*$B$19*($DN281&lt;&gt;$DO281) + $B$19*($DN281=$DO281))</f>
        <v>3.7037037037037035E-4</v>
      </c>
      <c r="FR281" s="10" cm="1">
        <f t="array" aca="1" ref="FR281" ca="1">(1-$B$18)*SUMPRODUCT(OFFSET($BO$15,0,0,$B$14,1), 1*(_xlfn._xlws.FILTER(OFFSET($O$15,0,$DN281,$B$8,1),OFFSET($M$15,0,0,$B$8,1))=FR$13), 1*(_xlfn._xlws.FILTER(OFFSET($O$15,0,$DO281,$B$8,1),OFFSET($M$15,0,0,$B$8,1))=FR$14))   /   SUM(OFFSET($BO$15,0,0,$B$14,1)) + $B$18/($B$19*$B$19*($DN281&lt;&gt;$DO281) + $B$19*($DN281=$DO281))</f>
        <v>3.7037037037037035E-4</v>
      </c>
      <c r="FS281" s="10" cm="1">
        <f t="array" aca="1" ref="FS281" ca="1">(1-$B$18)*SUMPRODUCT(OFFSET($BO$15,0,0,$B$14,1), 1*(_xlfn._xlws.FILTER(OFFSET($O$15,0,$DN281,$B$8,1),OFFSET($M$15,0,0,$B$8,1))=FS$13), 1*(_xlfn._xlws.FILTER(OFFSET($O$15,0,$DO281,$B$8,1),OFFSET($M$15,0,0,$B$8,1))=FS$14))   /   SUM(OFFSET($BO$15,0,0,$B$14,1)) + $B$18/($B$19*$B$19*($DN281&lt;&gt;$DO281) + $B$19*($DN281=$DO281))</f>
        <v>3.7037037037037035E-4</v>
      </c>
      <c r="FT281" s="10" cm="1">
        <f t="array" aca="1" ref="FT281" ca="1">(1-$B$18)*SUMPRODUCT(OFFSET($BO$15,0,0,$B$14,1), 1*(_xlfn._xlws.FILTER(OFFSET($O$15,0,$DN281,$B$8,1),OFFSET($M$15,0,0,$B$8,1))=FT$13), 1*(_xlfn._xlws.FILTER(OFFSET($O$15,0,$DO281,$B$8,1),OFFSET($M$15,0,0,$B$8,1))=FT$14))   /   SUM(OFFSET($BO$15,0,0,$B$14,1)) + $B$18/($B$19*$B$19*($DN281&lt;&gt;$DO281) + $B$19*($DN281=$DO281))</f>
        <v>3.7037037037037035E-4</v>
      </c>
      <c r="FU281" s="10" cm="1">
        <f t="array" aca="1" ref="FU281" ca="1">(1-$B$18)*SUMPRODUCT(OFFSET($BO$15,0,0,$B$14,1), 1*(_xlfn._xlws.FILTER(OFFSET($O$15,0,$DN281,$B$8,1),OFFSET($M$15,0,0,$B$8,1))=FU$13), 1*(_xlfn._xlws.FILTER(OFFSET($O$15,0,$DO281,$B$8,1),OFFSET($M$15,0,0,$B$8,1))=FU$14))   /   SUM(OFFSET($BO$15,0,0,$B$14,1)) + $B$18/($B$19*$B$19*($DN281&lt;&gt;$DO281) + $B$19*($DN281=$DO281))</f>
        <v>3.7037037037037035E-4</v>
      </c>
      <c r="FV281" s="10" cm="1">
        <f t="array" aca="1" ref="FV281" ca="1">(1-$B$18)*SUMPRODUCT(OFFSET($BO$15,0,0,$B$14,1), 1*(_xlfn._xlws.FILTER(OFFSET($O$15,0,$DN281,$B$8,1),OFFSET($M$15,0,0,$B$8,1))=FV$13), 1*(_xlfn._xlws.FILTER(OFFSET($O$15,0,$DO281,$B$8,1),OFFSET($M$15,0,0,$B$8,1))=FV$14))   /   SUM(OFFSET($BO$15,0,0,$B$14,1)) + $B$18/($B$19*$B$19*($DN281&lt;&gt;$DO281) + $B$19*($DN281=$DO281))</f>
        <v>3.7037037037037035E-4</v>
      </c>
      <c r="FW281" s="10" cm="1">
        <f t="array" aca="1" ref="FW281" ca="1">(1-$B$18)*SUMPRODUCT(OFFSET($BO$15,0,0,$B$14,1), 1*(_xlfn._xlws.FILTER(OFFSET($O$15,0,$DN281,$B$8,1),OFFSET($M$15,0,0,$B$8,1))=FW$13), 1*(_xlfn._xlws.FILTER(OFFSET($O$15,0,$DO281,$B$8,1),OFFSET($M$15,0,0,$B$8,1))=FW$14))   /   SUM(OFFSET($BO$15,0,0,$B$14,1)) + $B$18/($B$19*$B$19*($DN281&lt;&gt;$DO281) + $B$19*($DN281=$DO281))</f>
        <v>3.7037037037037035E-4</v>
      </c>
      <c r="FX281" s="10" cm="1">
        <f t="array" aca="1" ref="FX281" ca="1">(1-$B$18)*SUMPRODUCT(OFFSET($BO$15,0,0,$B$14,1), 1*(_xlfn._xlws.FILTER(OFFSET($O$15,0,$DN281,$B$8,1),OFFSET($M$15,0,0,$B$8,1))=FX$13), 1*(_xlfn._xlws.FILTER(OFFSET($O$15,0,$DO281,$B$8,1),OFFSET($M$15,0,0,$B$8,1))=FX$14))   /   SUM(OFFSET($BO$15,0,0,$B$14,1)) + $B$18/($B$19*$B$19*($DN281&lt;&gt;$DO281) + $B$19*($DN281=$DO281))</f>
        <v>3.7037037037037035E-4</v>
      </c>
      <c r="FY281" s="10" cm="1">
        <f t="array" aca="1" ref="FY281" ca="1">(1-$B$18)*SUMPRODUCT(OFFSET($BO$15,0,0,$B$14,1), 1*(_xlfn._xlws.FILTER(OFFSET($O$15,0,$DN281,$B$8,1),OFFSET($M$15,0,0,$B$8,1))=FY$13), 1*(_xlfn._xlws.FILTER(OFFSET($O$15,0,$DO281,$B$8,1),OFFSET($M$15,0,0,$B$8,1))=FY$14))   /   SUM(OFFSET($BO$15,0,0,$B$14,1)) + $B$18/($B$19*$B$19*($DN281&lt;&gt;$DO281) + $B$19*($DN281=$DO281))</f>
        <v>3.7037037037037035E-4</v>
      </c>
      <c r="FZ281" s="10" cm="1">
        <f t="array" aca="1" ref="FZ281" ca="1">(1-$B$18)*SUMPRODUCT(OFFSET($BO$15,0,0,$B$14,1), 1*(_xlfn._xlws.FILTER(OFFSET($O$15,0,$DN281,$B$8,1),OFFSET($M$15,0,0,$B$8,1))=FZ$13), 1*(_xlfn._xlws.FILTER(OFFSET($O$15,0,$DO281,$B$8,1),OFFSET($M$15,0,0,$B$8,1))=FZ$14))   /   SUM(OFFSET($BO$15,0,0,$B$14,1)) + $B$18/($B$19*$B$19*($DN281&lt;&gt;$DO281) + $B$19*($DN281=$DO281))</f>
        <v>3.7037037037037035E-4</v>
      </c>
      <c r="GA281" s="10" cm="1">
        <f t="array" aca="1" ref="GA281" ca="1">(1-$B$18)*SUMPRODUCT(OFFSET($BO$15,0,0,$B$14,1), 1*(_xlfn._xlws.FILTER(OFFSET($O$15,0,$DN281,$B$8,1),OFFSET($M$15,0,0,$B$8,1))=GA$13), 1*(_xlfn._xlws.FILTER(OFFSET($O$15,0,$DO281,$B$8,1),OFFSET($M$15,0,0,$B$8,1))=GA$14))   /   SUM(OFFSET($BO$15,0,0,$B$14,1)) + $B$18/($B$19*$B$19*($DN281&lt;&gt;$DO281) + $B$19*($DN281=$DO281))</f>
        <v>3.7037037037037035E-4</v>
      </c>
    </row>
    <row r="282" spans="118:183" x14ac:dyDescent="0.2">
      <c r="DN282" cm="1">
        <f t="array" aca="1" ref="DN282" ca="1">INDEX(_xlfn.ANCHORARRAY($CP$15), 1 + INT((ROWS($DO$15:$DO282) - 1) / ROWS(_xlfn.ANCHORARRAY($CP$15))))</f>
        <v>15</v>
      </c>
      <c r="DO282" cm="1">
        <f t="array" aca="1" ref="DO282" ca="1">INDEX(_xlfn.ANCHORARRAY($CP$15),1+MOD(ROWS($DO$15:$DO282)-1,ROWS(_xlfn.ANCHORARRAY($CP$15))))</f>
        <v>1</v>
      </c>
      <c r="DP282" s="10" cm="1">
        <f t="array" aca="1" ref="DP282" ca="1">(1-$B$18)*SUMPRODUCT(OFFSET($BO$15,0,0,$B$14,1), 1*(_xlfn._xlws.FILTER(OFFSET($O$15,0,$DN282,$B$8,1),OFFSET($M$15,0,0,$B$8,1))=DP$13), 1*(_xlfn._xlws.FILTER(OFFSET($O$15,0,$DO282,$B$8,1),OFFSET($M$15,0,0,$B$8,1))=DP$14))   /   SUM(OFFSET($BO$15,0,0,$B$14,1)) + $B$18/($B$19*$B$19*($DN282&lt;&gt;$DO282) + $B$19*($DN282=$DO282))</f>
        <v>3.7037037037037035E-4</v>
      </c>
      <c r="DQ282" s="10" cm="1">
        <f t="array" aca="1" ref="DQ282" ca="1">(1-$B$18)*SUMPRODUCT(OFFSET($BO$15,0,0,$B$14,1), 1*(_xlfn._xlws.FILTER(OFFSET($O$15,0,$DN282,$B$8,1),OFFSET($M$15,0,0,$B$8,1))=DQ$13), 1*(_xlfn._xlws.FILTER(OFFSET($O$15,0,$DO282,$B$8,1),OFFSET($M$15,0,0,$B$8,1))=DQ$14))   /   SUM(OFFSET($BO$15,0,0,$B$14,1)) + $B$18/($B$19*$B$19*($DN282&lt;&gt;$DO282) + $B$19*($DN282=$DO282))</f>
        <v>3.7037037037037035E-4</v>
      </c>
      <c r="DR282" s="10" cm="1">
        <f t="array" aca="1" ref="DR282" ca="1">(1-$B$18)*SUMPRODUCT(OFFSET($BO$15,0,0,$B$14,1), 1*(_xlfn._xlws.FILTER(OFFSET($O$15,0,$DN282,$B$8,1),OFFSET($M$15,0,0,$B$8,1))=DR$13), 1*(_xlfn._xlws.FILTER(OFFSET($O$15,0,$DO282,$B$8,1),OFFSET($M$15,0,0,$B$8,1))=DR$14))   /   SUM(OFFSET($BO$15,0,0,$B$14,1)) + $B$18/($B$19*$B$19*($DN282&lt;&gt;$DO282) + $B$19*($DN282=$DO282))</f>
        <v>3.7037037037037035E-4</v>
      </c>
      <c r="DS282" s="10" cm="1">
        <f t="array" aca="1" ref="DS282" ca="1">(1-$B$18)*SUMPRODUCT(OFFSET($BO$15,0,0,$B$14,1), 1*(_xlfn._xlws.FILTER(OFFSET($O$15,0,$DN282,$B$8,1),OFFSET($M$15,0,0,$B$8,1))=DS$13), 1*(_xlfn._xlws.FILTER(OFFSET($O$15,0,$DO282,$B$8,1),OFFSET($M$15,0,0,$B$8,1))=DS$14))   /   SUM(OFFSET($BO$15,0,0,$B$14,1)) + $B$18/($B$19*$B$19*($DN282&lt;&gt;$DO282) + $B$19*($DN282=$DO282))</f>
        <v>3.7037037037037035E-4</v>
      </c>
      <c r="DT282" s="10" cm="1">
        <f t="array" aca="1" ref="DT282" ca="1">(1-$B$18)*SUMPRODUCT(OFFSET($BO$15,0,0,$B$14,1), 1*(_xlfn._xlws.FILTER(OFFSET($O$15,0,$DN282,$B$8,1),OFFSET($M$15,0,0,$B$8,1))=DT$13), 1*(_xlfn._xlws.FILTER(OFFSET($O$15,0,$DO282,$B$8,1),OFFSET($M$15,0,0,$B$8,1))=DT$14))   /   SUM(OFFSET($BO$15,0,0,$B$14,1)) + $B$18/($B$19*$B$19*($DN282&lt;&gt;$DO282) + $B$19*($DN282=$DO282))</f>
        <v>3.7037037037037035E-4</v>
      </c>
      <c r="DU282" s="10" cm="1">
        <f t="array" aca="1" ref="DU282" ca="1">(1-$B$18)*SUMPRODUCT(OFFSET($BO$15,0,0,$B$14,1), 1*(_xlfn._xlws.FILTER(OFFSET($O$15,0,$DN282,$B$8,1),OFFSET($M$15,0,0,$B$8,1))=DU$13), 1*(_xlfn._xlws.FILTER(OFFSET($O$15,0,$DO282,$B$8,1),OFFSET($M$15,0,0,$B$8,1))=DU$14))   /   SUM(OFFSET($BO$15,0,0,$B$14,1)) + $B$18/($B$19*$B$19*($DN282&lt;&gt;$DO282) + $B$19*($DN282=$DO282))</f>
        <v>3.7037037037037035E-4</v>
      </c>
      <c r="DV282" s="10" cm="1">
        <f t="array" aca="1" ref="DV282" ca="1">(1-$B$18)*SUMPRODUCT(OFFSET($BO$15,0,0,$B$14,1), 1*(_xlfn._xlws.FILTER(OFFSET($O$15,0,$DN282,$B$8,1),OFFSET($M$15,0,0,$B$8,1))=DV$13), 1*(_xlfn._xlws.FILTER(OFFSET($O$15,0,$DO282,$B$8,1),OFFSET($M$15,0,0,$B$8,1))=DV$14))   /   SUM(OFFSET($BO$15,0,0,$B$14,1)) + $B$18/($B$19*$B$19*($DN282&lt;&gt;$DO282) + $B$19*($DN282=$DO282))</f>
        <v>3.7037037037037035E-4</v>
      </c>
      <c r="DW282" s="10" cm="1">
        <f t="array" aca="1" ref="DW282" ca="1">(1-$B$18)*SUMPRODUCT(OFFSET($BO$15,0,0,$B$14,1), 1*(_xlfn._xlws.FILTER(OFFSET($O$15,0,$DN282,$B$8,1),OFFSET($M$15,0,0,$B$8,1))=DW$13), 1*(_xlfn._xlws.FILTER(OFFSET($O$15,0,$DO282,$B$8,1),OFFSET($M$15,0,0,$B$8,1))=DW$14))   /   SUM(OFFSET($BO$15,0,0,$B$14,1)) + $B$18/($B$19*$B$19*($DN282&lt;&gt;$DO282) + $B$19*($DN282=$DO282))</f>
        <v>3.7037037037037035E-4</v>
      </c>
      <c r="DX282" s="10" cm="1">
        <f t="array" aca="1" ref="DX282" ca="1">(1-$B$18)*SUMPRODUCT(OFFSET($BO$15,0,0,$B$14,1), 1*(_xlfn._xlws.FILTER(OFFSET($O$15,0,$DN282,$B$8,1),OFFSET($M$15,0,0,$B$8,1))=DX$13), 1*(_xlfn._xlws.FILTER(OFFSET($O$15,0,$DO282,$B$8,1),OFFSET($M$15,0,0,$B$8,1))=DX$14))   /   SUM(OFFSET($BO$15,0,0,$B$14,1)) + $B$18/($B$19*$B$19*($DN282&lt;&gt;$DO282) + $B$19*($DN282=$DO282))</f>
        <v>3.7037037037037035E-4</v>
      </c>
      <c r="DY282" s="10" cm="1">
        <f t="array" aca="1" ref="DY282" ca="1">(1-$B$18)*SUMPRODUCT(OFFSET($BO$15,0,0,$B$14,1), 1*(_xlfn._xlws.FILTER(OFFSET($O$15,0,$DN282,$B$8,1),OFFSET($M$15,0,0,$B$8,1))=DY$13), 1*(_xlfn._xlws.FILTER(OFFSET($O$15,0,$DO282,$B$8,1),OFFSET($M$15,0,0,$B$8,1))=DY$14))   /   SUM(OFFSET($BO$15,0,0,$B$14,1)) + $B$18/($B$19*$B$19*($DN282&lt;&gt;$DO282) + $B$19*($DN282=$DO282))</f>
        <v>3.7037037037037035E-4</v>
      </c>
      <c r="DZ282" s="10" cm="1">
        <f t="array" aca="1" ref="DZ282" ca="1">(1-$B$18)*SUMPRODUCT(OFFSET($BO$15,0,0,$B$14,1), 1*(_xlfn._xlws.FILTER(OFFSET($O$15,0,$DN282,$B$8,1),OFFSET($M$15,0,0,$B$8,1))=DZ$13), 1*(_xlfn._xlws.FILTER(OFFSET($O$15,0,$DO282,$B$8,1),OFFSET($M$15,0,0,$B$8,1))=DZ$14))   /   SUM(OFFSET($BO$15,0,0,$B$14,1)) + $B$18/($B$19*$B$19*($DN282&lt;&gt;$DO282) + $B$19*($DN282=$DO282))</f>
        <v>3.7037037037037035E-4</v>
      </c>
      <c r="EA282" s="10" cm="1">
        <f t="array" aca="1" ref="EA282" ca="1">(1-$B$18)*SUMPRODUCT(OFFSET($BO$15,0,0,$B$14,1), 1*(_xlfn._xlws.FILTER(OFFSET($O$15,0,$DN282,$B$8,1),OFFSET($M$15,0,0,$B$8,1))=EA$13), 1*(_xlfn._xlws.FILTER(OFFSET($O$15,0,$DO282,$B$8,1),OFFSET($M$15,0,0,$B$8,1))=EA$14))   /   SUM(OFFSET($BO$15,0,0,$B$14,1)) + $B$18/($B$19*$B$19*($DN282&lt;&gt;$DO282) + $B$19*($DN282=$DO282))</f>
        <v>3.7037037037037035E-4</v>
      </c>
      <c r="EB282" s="10" cm="1">
        <f t="array" aca="1" ref="EB282" ca="1">(1-$B$18)*SUMPRODUCT(OFFSET($BO$15,0,0,$B$14,1), 1*(_xlfn._xlws.FILTER(OFFSET($O$15,0,$DN282,$B$8,1),OFFSET($M$15,0,0,$B$8,1))=EB$13), 1*(_xlfn._xlws.FILTER(OFFSET($O$15,0,$DO282,$B$8,1),OFFSET($M$15,0,0,$B$8,1))=EB$14))   /   SUM(OFFSET($BO$15,0,0,$B$14,1)) + $B$18/($B$19*$B$19*($DN282&lt;&gt;$DO282) + $B$19*($DN282=$DO282))</f>
        <v>3.7037037037037035E-4</v>
      </c>
      <c r="EC282" s="10" cm="1">
        <f t="array" aca="1" ref="EC282" ca="1">(1-$B$18)*SUMPRODUCT(OFFSET($BO$15,0,0,$B$14,1), 1*(_xlfn._xlws.FILTER(OFFSET($O$15,0,$DN282,$B$8,1),OFFSET($M$15,0,0,$B$8,1))=EC$13), 1*(_xlfn._xlws.FILTER(OFFSET($O$15,0,$DO282,$B$8,1),OFFSET($M$15,0,0,$B$8,1))=EC$14))   /   SUM(OFFSET($BO$15,0,0,$B$14,1)) + $B$18/($B$19*$B$19*($DN282&lt;&gt;$DO282) + $B$19*($DN282=$DO282))</f>
        <v>3.7037037037037035E-4</v>
      </c>
      <c r="ED282" s="10" cm="1">
        <f t="array" aca="1" ref="ED282" ca="1">(1-$B$18)*SUMPRODUCT(OFFSET($BO$15,0,0,$B$14,1), 1*(_xlfn._xlws.FILTER(OFFSET($O$15,0,$DN282,$B$8,1),OFFSET($M$15,0,0,$B$8,1))=ED$13), 1*(_xlfn._xlws.FILTER(OFFSET($O$15,0,$DO282,$B$8,1),OFFSET($M$15,0,0,$B$8,1))=ED$14))   /   SUM(OFFSET($BO$15,0,0,$B$14,1)) + $B$18/($B$19*$B$19*($DN282&lt;&gt;$DO282) + $B$19*($DN282=$DO282))</f>
        <v>3.7037037037037035E-4</v>
      </c>
      <c r="EE282" s="10" cm="1">
        <f t="array" aca="1" ref="EE282" ca="1">(1-$B$18)*SUMPRODUCT(OFFSET($BO$15,0,0,$B$14,1), 1*(_xlfn._xlws.FILTER(OFFSET($O$15,0,$DN282,$B$8,1),OFFSET($M$15,0,0,$B$8,1))=EE$13), 1*(_xlfn._xlws.FILTER(OFFSET($O$15,0,$DO282,$B$8,1),OFFSET($M$15,0,0,$B$8,1))=EE$14))   /   SUM(OFFSET($BO$15,0,0,$B$14,1)) + $B$18/($B$19*$B$19*($DN282&lt;&gt;$DO282) + $B$19*($DN282=$DO282))</f>
        <v>3.7037037037037035E-4</v>
      </c>
      <c r="EF282" s="10" cm="1">
        <f t="array" aca="1" ref="EF282" ca="1">(1-$B$18)*SUMPRODUCT(OFFSET($BO$15,0,0,$B$14,1), 1*(_xlfn._xlws.FILTER(OFFSET($O$15,0,$DN282,$B$8,1),OFFSET($M$15,0,0,$B$8,1))=EF$13), 1*(_xlfn._xlws.FILTER(OFFSET($O$15,0,$DO282,$B$8,1),OFFSET($M$15,0,0,$B$8,1))=EF$14))   /   SUM(OFFSET($BO$15,0,0,$B$14,1)) + $B$18/($B$19*$B$19*($DN282&lt;&gt;$DO282) + $B$19*($DN282=$DO282))</f>
        <v>3.7037037037037035E-4</v>
      </c>
      <c r="EG282" s="10" cm="1">
        <f t="array" aca="1" ref="EG282" ca="1">(1-$B$18)*SUMPRODUCT(OFFSET($BO$15,0,0,$B$14,1), 1*(_xlfn._xlws.FILTER(OFFSET($O$15,0,$DN282,$B$8,1),OFFSET($M$15,0,0,$B$8,1))=EG$13), 1*(_xlfn._xlws.FILTER(OFFSET($O$15,0,$DO282,$B$8,1),OFFSET($M$15,0,0,$B$8,1))=EG$14))   /   SUM(OFFSET($BO$15,0,0,$B$14,1)) + $B$18/($B$19*$B$19*($DN282&lt;&gt;$DO282) + $B$19*($DN282=$DO282))</f>
        <v>3.7037037037037035E-4</v>
      </c>
      <c r="EH282" s="10" cm="1">
        <f t="array" aca="1" ref="EH282" ca="1">(1-$B$18)*SUMPRODUCT(OFFSET($BO$15,0,0,$B$14,1), 1*(_xlfn._xlws.FILTER(OFFSET($O$15,0,$DN282,$B$8,1),OFFSET($M$15,0,0,$B$8,1))=EH$13), 1*(_xlfn._xlws.FILTER(OFFSET($O$15,0,$DO282,$B$8,1),OFFSET($M$15,0,0,$B$8,1))=EH$14))   /   SUM(OFFSET($BO$15,0,0,$B$14,1)) + $B$18/($B$19*$B$19*($DN282&lt;&gt;$DO282) + $B$19*($DN282=$DO282))</f>
        <v>3.7037037037037035E-4</v>
      </c>
      <c r="EI282" s="10" cm="1">
        <f t="array" aca="1" ref="EI282" ca="1">(1-$B$18)*SUMPRODUCT(OFFSET($BO$15,0,0,$B$14,1), 1*(_xlfn._xlws.FILTER(OFFSET($O$15,0,$DN282,$B$8,1),OFFSET($M$15,0,0,$B$8,1))=EI$13), 1*(_xlfn._xlws.FILTER(OFFSET($O$15,0,$DO282,$B$8,1),OFFSET($M$15,0,0,$B$8,1))=EI$14))   /   SUM(OFFSET($BO$15,0,0,$B$14,1)) + $B$18/($B$19*$B$19*($DN282&lt;&gt;$DO282) + $B$19*($DN282=$DO282))</f>
        <v>3.7037037037037035E-4</v>
      </c>
      <c r="EJ282" s="10" cm="1">
        <f t="array" aca="1" ref="EJ282" ca="1">(1-$B$18)*SUMPRODUCT(OFFSET($BO$15,0,0,$B$14,1), 1*(_xlfn._xlws.FILTER(OFFSET($O$15,0,$DN282,$B$8,1),OFFSET($M$15,0,0,$B$8,1))=EJ$13), 1*(_xlfn._xlws.FILTER(OFFSET($O$15,0,$DO282,$B$8,1),OFFSET($M$15,0,0,$B$8,1))=EJ$14))   /   SUM(OFFSET($BO$15,0,0,$B$14,1)) + $B$18/($B$19*$B$19*($DN282&lt;&gt;$DO282) + $B$19*($DN282=$DO282))</f>
        <v>3.7037037037037035E-4</v>
      </c>
      <c r="EK282" s="10" cm="1">
        <f t="array" aca="1" ref="EK282" ca="1">(1-$B$18)*SUMPRODUCT(OFFSET($BO$15,0,0,$B$14,1), 1*(_xlfn._xlws.FILTER(OFFSET($O$15,0,$DN282,$B$8,1),OFFSET($M$15,0,0,$B$8,1))=EK$13), 1*(_xlfn._xlws.FILTER(OFFSET($O$15,0,$DO282,$B$8,1),OFFSET($M$15,0,0,$B$8,1))=EK$14))   /   SUM(OFFSET($BO$15,0,0,$B$14,1)) + $B$18/($B$19*$B$19*($DN282&lt;&gt;$DO282) + $B$19*($DN282=$DO282))</f>
        <v>3.7037037037037035E-4</v>
      </c>
      <c r="EL282" s="10" cm="1">
        <f t="array" aca="1" ref="EL282" ca="1">(1-$B$18)*SUMPRODUCT(OFFSET($BO$15,0,0,$B$14,1), 1*(_xlfn._xlws.FILTER(OFFSET($O$15,0,$DN282,$B$8,1),OFFSET($M$15,0,0,$B$8,1))=EL$13), 1*(_xlfn._xlws.FILTER(OFFSET($O$15,0,$DO282,$B$8,1),OFFSET($M$15,0,0,$B$8,1))=EL$14))   /   SUM(OFFSET($BO$15,0,0,$B$14,1)) + $B$18/($B$19*$B$19*($DN282&lt;&gt;$DO282) + $B$19*($DN282=$DO282))</f>
        <v>0.97037037037037033</v>
      </c>
      <c r="EM282" s="10" cm="1">
        <f t="array" aca="1" ref="EM282" ca="1">(1-$B$18)*SUMPRODUCT(OFFSET($BO$15,0,0,$B$14,1), 1*(_xlfn._xlws.FILTER(OFFSET($O$15,0,$DN282,$B$8,1),OFFSET($M$15,0,0,$B$8,1))=EM$13), 1*(_xlfn._xlws.FILTER(OFFSET($O$15,0,$DO282,$B$8,1),OFFSET($M$15,0,0,$B$8,1))=EM$14))   /   SUM(OFFSET($BO$15,0,0,$B$14,1)) + $B$18/($B$19*$B$19*($DN282&lt;&gt;$DO282) + $B$19*($DN282=$DO282))</f>
        <v>3.7037037037037035E-4</v>
      </c>
      <c r="EN282" s="10" cm="1">
        <f t="array" aca="1" ref="EN282" ca="1">(1-$B$18)*SUMPRODUCT(OFFSET($BO$15,0,0,$B$14,1), 1*(_xlfn._xlws.FILTER(OFFSET($O$15,0,$DN282,$B$8,1),OFFSET($M$15,0,0,$B$8,1))=EN$13), 1*(_xlfn._xlws.FILTER(OFFSET($O$15,0,$DO282,$B$8,1),OFFSET($M$15,0,0,$B$8,1))=EN$14))   /   SUM(OFFSET($BO$15,0,0,$B$14,1)) + $B$18/($B$19*$B$19*($DN282&lt;&gt;$DO282) + $B$19*($DN282=$DO282))</f>
        <v>3.7037037037037035E-4</v>
      </c>
      <c r="EO282" s="10" cm="1">
        <f t="array" aca="1" ref="EO282" ca="1">(1-$B$18)*SUMPRODUCT(OFFSET($BO$15,0,0,$B$14,1), 1*(_xlfn._xlws.FILTER(OFFSET($O$15,0,$DN282,$B$8,1),OFFSET($M$15,0,0,$B$8,1))=EO$13), 1*(_xlfn._xlws.FILTER(OFFSET($O$15,0,$DO282,$B$8,1),OFFSET($M$15,0,0,$B$8,1))=EO$14))   /   SUM(OFFSET($BO$15,0,0,$B$14,1)) + $B$18/($B$19*$B$19*($DN282&lt;&gt;$DO282) + $B$19*($DN282=$DO282))</f>
        <v>3.7037037037037035E-4</v>
      </c>
      <c r="EP282" s="10" cm="1">
        <f t="array" aca="1" ref="EP282" ca="1">(1-$B$18)*SUMPRODUCT(OFFSET($BO$15,0,0,$B$14,1), 1*(_xlfn._xlws.FILTER(OFFSET($O$15,0,$DN282,$B$8,1),OFFSET($M$15,0,0,$B$8,1))=EP$13), 1*(_xlfn._xlws.FILTER(OFFSET($O$15,0,$DO282,$B$8,1),OFFSET($M$15,0,0,$B$8,1))=EP$14))   /   SUM(OFFSET($BO$15,0,0,$B$14,1)) + $B$18/($B$19*$B$19*($DN282&lt;&gt;$DO282) + $B$19*($DN282=$DO282))</f>
        <v>3.7037037037037035E-4</v>
      </c>
      <c r="EQ282" s="10" cm="1">
        <f t="array" aca="1" ref="EQ282" ca="1">(1-$B$18)*SUMPRODUCT(OFFSET($BO$15,0,0,$B$14,1), 1*(_xlfn._xlws.FILTER(OFFSET($O$15,0,$DN282,$B$8,1),OFFSET($M$15,0,0,$B$8,1))=EQ$13), 1*(_xlfn._xlws.FILTER(OFFSET($O$15,0,$DO282,$B$8,1),OFFSET($M$15,0,0,$B$8,1))=EQ$14))   /   SUM(OFFSET($BO$15,0,0,$B$14,1)) + $B$18/($B$19*$B$19*($DN282&lt;&gt;$DO282) + $B$19*($DN282=$DO282))</f>
        <v>3.7037037037037035E-4</v>
      </c>
      <c r="ER282" s="10" cm="1">
        <f t="array" aca="1" ref="ER282" ca="1">(1-$B$18)*SUMPRODUCT(OFFSET($BO$15,0,0,$B$14,1), 1*(_xlfn._xlws.FILTER(OFFSET($O$15,0,$DN282,$B$8,1),OFFSET($M$15,0,0,$B$8,1))=ER$13), 1*(_xlfn._xlws.FILTER(OFFSET($O$15,0,$DO282,$B$8,1),OFFSET($M$15,0,0,$B$8,1))=ER$14))   /   SUM(OFFSET($BO$15,0,0,$B$14,1)) + $B$18/($B$19*$B$19*($DN282&lt;&gt;$DO282) + $B$19*($DN282=$DO282))</f>
        <v>3.7037037037037035E-4</v>
      </c>
      <c r="ES282" s="10" cm="1">
        <f t="array" aca="1" ref="ES282" ca="1">(1-$B$18)*SUMPRODUCT(OFFSET($BO$15,0,0,$B$14,1), 1*(_xlfn._xlws.FILTER(OFFSET($O$15,0,$DN282,$B$8,1),OFFSET($M$15,0,0,$B$8,1))=ES$13), 1*(_xlfn._xlws.FILTER(OFFSET($O$15,0,$DO282,$B$8,1),OFFSET($M$15,0,0,$B$8,1))=ES$14))   /   SUM(OFFSET($BO$15,0,0,$B$14,1)) + $B$18/($B$19*$B$19*($DN282&lt;&gt;$DO282) + $B$19*($DN282=$DO282))</f>
        <v>3.7037037037037035E-4</v>
      </c>
      <c r="ET282" s="10" cm="1">
        <f t="array" aca="1" ref="ET282" ca="1">(1-$B$18)*SUMPRODUCT(OFFSET($BO$15,0,0,$B$14,1), 1*(_xlfn._xlws.FILTER(OFFSET($O$15,0,$DN282,$B$8,1),OFFSET($M$15,0,0,$B$8,1))=ET$13), 1*(_xlfn._xlws.FILTER(OFFSET($O$15,0,$DO282,$B$8,1),OFFSET($M$15,0,0,$B$8,1))=ET$14))   /   SUM(OFFSET($BO$15,0,0,$B$14,1)) + $B$18/($B$19*$B$19*($DN282&lt;&gt;$DO282) + $B$19*($DN282=$DO282))</f>
        <v>3.7037037037037035E-4</v>
      </c>
      <c r="EU282" s="10" cm="1">
        <f t="array" aca="1" ref="EU282" ca="1">(1-$B$18)*SUMPRODUCT(OFFSET($BO$15,0,0,$B$14,1), 1*(_xlfn._xlws.FILTER(OFFSET($O$15,0,$DN282,$B$8,1),OFFSET($M$15,0,0,$B$8,1))=EU$13), 1*(_xlfn._xlws.FILTER(OFFSET($O$15,0,$DO282,$B$8,1),OFFSET($M$15,0,0,$B$8,1))=EU$14))   /   SUM(OFFSET($BO$15,0,0,$B$14,1)) + $B$18/($B$19*$B$19*($DN282&lt;&gt;$DO282) + $B$19*($DN282=$DO282))</f>
        <v>3.7037037037037035E-4</v>
      </c>
      <c r="EV282" s="10" cm="1">
        <f t="array" aca="1" ref="EV282" ca="1">(1-$B$18)*SUMPRODUCT(OFFSET($BO$15,0,0,$B$14,1), 1*(_xlfn._xlws.FILTER(OFFSET($O$15,0,$DN282,$B$8,1),OFFSET($M$15,0,0,$B$8,1))=EV$13), 1*(_xlfn._xlws.FILTER(OFFSET($O$15,0,$DO282,$B$8,1),OFFSET($M$15,0,0,$B$8,1))=EV$14))   /   SUM(OFFSET($BO$15,0,0,$B$14,1)) + $B$18/($B$19*$B$19*($DN282&lt;&gt;$DO282) + $B$19*($DN282=$DO282))</f>
        <v>3.7037037037037035E-4</v>
      </c>
      <c r="EW282" s="10" cm="1">
        <f t="array" aca="1" ref="EW282" ca="1">(1-$B$18)*SUMPRODUCT(OFFSET($BO$15,0,0,$B$14,1), 1*(_xlfn._xlws.FILTER(OFFSET($O$15,0,$DN282,$B$8,1),OFFSET($M$15,0,0,$B$8,1))=EW$13), 1*(_xlfn._xlws.FILTER(OFFSET($O$15,0,$DO282,$B$8,1),OFFSET($M$15,0,0,$B$8,1))=EW$14))   /   SUM(OFFSET($BO$15,0,0,$B$14,1)) + $B$18/($B$19*$B$19*($DN282&lt;&gt;$DO282) + $B$19*($DN282=$DO282))</f>
        <v>3.7037037037037035E-4</v>
      </c>
      <c r="EX282" s="10" cm="1">
        <f t="array" aca="1" ref="EX282" ca="1">(1-$B$18)*SUMPRODUCT(OFFSET($BO$15,0,0,$B$14,1), 1*(_xlfn._xlws.FILTER(OFFSET($O$15,0,$DN282,$B$8,1),OFFSET($M$15,0,0,$B$8,1))=EX$13), 1*(_xlfn._xlws.FILTER(OFFSET($O$15,0,$DO282,$B$8,1),OFFSET($M$15,0,0,$B$8,1))=EX$14))   /   SUM(OFFSET($BO$15,0,0,$B$14,1)) + $B$18/($B$19*$B$19*($DN282&lt;&gt;$DO282) + $B$19*($DN282=$DO282))</f>
        <v>3.7037037037037035E-4</v>
      </c>
      <c r="EY282" s="10" cm="1">
        <f t="array" aca="1" ref="EY282" ca="1">(1-$B$18)*SUMPRODUCT(OFFSET($BO$15,0,0,$B$14,1), 1*(_xlfn._xlws.FILTER(OFFSET($O$15,0,$DN282,$B$8,1),OFFSET($M$15,0,0,$B$8,1))=EY$13), 1*(_xlfn._xlws.FILTER(OFFSET($O$15,0,$DO282,$B$8,1),OFFSET($M$15,0,0,$B$8,1))=EY$14))   /   SUM(OFFSET($BO$15,0,0,$B$14,1)) + $B$18/($B$19*$B$19*($DN282&lt;&gt;$DO282) + $B$19*($DN282=$DO282))</f>
        <v>3.7037037037037035E-4</v>
      </c>
      <c r="EZ282" s="10" cm="1">
        <f t="array" aca="1" ref="EZ282" ca="1">(1-$B$18)*SUMPRODUCT(OFFSET($BO$15,0,0,$B$14,1), 1*(_xlfn._xlws.FILTER(OFFSET($O$15,0,$DN282,$B$8,1),OFFSET($M$15,0,0,$B$8,1))=EZ$13), 1*(_xlfn._xlws.FILTER(OFFSET($O$15,0,$DO282,$B$8,1),OFFSET($M$15,0,0,$B$8,1))=EZ$14))   /   SUM(OFFSET($BO$15,0,0,$B$14,1)) + $B$18/($B$19*$B$19*($DN282&lt;&gt;$DO282) + $B$19*($DN282=$DO282))</f>
        <v>3.7037037037037035E-4</v>
      </c>
      <c r="FA282" s="10" cm="1">
        <f t="array" aca="1" ref="FA282" ca="1">(1-$B$18)*SUMPRODUCT(OFFSET($BO$15,0,0,$B$14,1), 1*(_xlfn._xlws.FILTER(OFFSET($O$15,0,$DN282,$B$8,1),OFFSET($M$15,0,0,$B$8,1))=FA$13), 1*(_xlfn._xlws.FILTER(OFFSET($O$15,0,$DO282,$B$8,1),OFFSET($M$15,0,0,$B$8,1))=FA$14))   /   SUM(OFFSET($BO$15,0,0,$B$14,1)) + $B$18/($B$19*$B$19*($DN282&lt;&gt;$DO282) + $B$19*($DN282=$DO282))</f>
        <v>3.7037037037037035E-4</v>
      </c>
      <c r="FB282" s="10" cm="1">
        <f t="array" aca="1" ref="FB282" ca="1">(1-$B$18)*SUMPRODUCT(OFFSET($BO$15,0,0,$B$14,1), 1*(_xlfn._xlws.FILTER(OFFSET($O$15,0,$DN282,$B$8,1),OFFSET($M$15,0,0,$B$8,1))=FB$13), 1*(_xlfn._xlws.FILTER(OFFSET($O$15,0,$DO282,$B$8,1),OFFSET($M$15,0,0,$B$8,1))=FB$14))   /   SUM(OFFSET($BO$15,0,0,$B$14,1)) + $B$18/($B$19*$B$19*($DN282&lt;&gt;$DO282) + $B$19*($DN282=$DO282))</f>
        <v>3.7037037037037035E-4</v>
      </c>
      <c r="FC282" s="10" cm="1">
        <f t="array" aca="1" ref="FC282" ca="1">(1-$B$18)*SUMPRODUCT(OFFSET($BO$15,0,0,$B$14,1), 1*(_xlfn._xlws.FILTER(OFFSET($O$15,0,$DN282,$B$8,1),OFFSET($M$15,0,0,$B$8,1))=FC$13), 1*(_xlfn._xlws.FILTER(OFFSET($O$15,0,$DO282,$B$8,1),OFFSET($M$15,0,0,$B$8,1))=FC$14))   /   SUM(OFFSET($BO$15,0,0,$B$14,1)) + $B$18/($B$19*$B$19*($DN282&lt;&gt;$DO282) + $B$19*($DN282=$DO282))</f>
        <v>3.7037037037037035E-4</v>
      </c>
      <c r="FD282" s="10" cm="1">
        <f t="array" aca="1" ref="FD282" ca="1">(1-$B$18)*SUMPRODUCT(OFFSET($BO$15,0,0,$B$14,1), 1*(_xlfn._xlws.FILTER(OFFSET($O$15,0,$DN282,$B$8,1),OFFSET($M$15,0,0,$B$8,1))=FD$13), 1*(_xlfn._xlws.FILTER(OFFSET($O$15,0,$DO282,$B$8,1),OFFSET($M$15,0,0,$B$8,1))=FD$14))   /   SUM(OFFSET($BO$15,0,0,$B$14,1)) + $B$18/($B$19*$B$19*($DN282&lt;&gt;$DO282) + $B$19*($DN282=$DO282))</f>
        <v>3.7037037037037035E-4</v>
      </c>
      <c r="FE282" s="10" cm="1">
        <f t="array" aca="1" ref="FE282" ca="1">(1-$B$18)*SUMPRODUCT(OFFSET($BO$15,0,0,$B$14,1), 1*(_xlfn._xlws.FILTER(OFFSET($O$15,0,$DN282,$B$8,1),OFFSET($M$15,0,0,$B$8,1))=FE$13), 1*(_xlfn._xlws.FILTER(OFFSET($O$15,0,$DO282,$B$8,1),OFFSET($M$15,0,0,$B$8,1))=FE$14))   /   SUM(OFFSET($BO$15,0,0,$B$14,1)) + $B$18/($B$19*$B$19*($DN282&lt;&gt;$DO282) + $B$19*($DN282=$DO282))</f>
        <v>3.7037037037037035E-4</v>
      </c>
      <c r="FF282" s="10" cm="1">
        <f t="array" aca="1" ref="FF282" ca="1">(1-$B$18)*SUMPRODUCT(OFFSET($BO$15,0,0,$B$14,1), 1*(_xlfn._xlws.FILTER(OFFSET($O$15,0,$DN282,$B$8,1),OFFSET($M$15,0,0,$B$8,1))=FF$13), 1*(_xlfn._xlws.FILTER(OFFSET($O$15,0,$DO282,$B$8,1),OFFSET($M$15,0,0,$B$8,1))=FF$14))   /   SUM(OFFSET($BO$15,0,0,$B$14,1)) + $B$18/($B$19*$B$19*($DN282&lt;&gt;$DO282) + $B$19*($DN282=$DO282))</f>
        <v>3.7037037037037035E-4</v>
      </c>
      <c r="FG282" s="10" cm="1">
        <f t="array" aca="1" ref="FG282" ca="1">(1-$B$18)*SUMPRODUCT(OFFSET($BO$15,0,0,$B$14,1), 1*(_xlfn._xlws.FILTER(OFFSET($O$15,0,$DN282,$B$8,1),OFFSET($M$15,0,0,$B$8,1))=FG$13), 1*(_xlfn._xlws.FILTER(OFFSET($O$15,0,$DO282,$B$8,1),OFFSET($M$15,0,0,$B$8,1))=FG$14))   /   SUM(OFFSET($BO$15,0,0,$B$14,1)) + $B$18/($B$19*$B$19*($DN282&lt;&gt;$DO282) + $B$19*($DN282=$DO282))</f>
        <v>3.7037037037037035E-4</v>
      </c>
      <c r="FH282" s="10" cm="1">
        <f t="array" aca="1" ref="FH282" ca="1">(1-$B$18)*SUMPRODUCT(OFFSET($BO$15,0,0,$B$14,1), 1*(_xlfn._xlws.FILTER(OFFSET($O$15,0,$DN282,$B$8,1),OFFSET($M$15,0,0,$B$8,1))=FH$13), 1*(_xlfn._xlws.FILTER(OFFSET($O$15,0,$DO282,$B$8,1),OFFSET($M$15,0,0,$B$8,1))=FH$14))   /   SUM(OFFSET($BO$15,0,0,$B$14,1)) + $B$18/($B$19*$B$19*($DN282&lt;&gt;$DO282) + $B$19*($DN282=$DO282))</f>
        <v>3.7037037037037035E-4</v>
      </c>
      <c r="FI282" s="10" cm="1">
        <f t="array" aca="1" ref="FI282" ca="1">(1-$B$18)*SUMPRODUCT(OFFSET($BO$15,0,0,$B$14,1), 1*(_xlfn._xlws.FILTER(OFFSET($O$15,0,$DN282,$B$8,1),OFFSET($M$15,0,0,$B$8,1))=FI$13), 1*(_xlfn._xlws.FILTER(OFFSET($O$15,0,$DO282,$B$8,1),OFFSET($M$15,0,0,$B$8,1))=FI$14))   /   SUM(OFFSET($BO$15,0,0,$B$14,1)) + $B$18/($B$19*$B$19*($DN282&lt;&gt;$DO282) + $B$19*($DN282=$DO282))</f>
        <v>3.7037037037037035E-4</v>
      </c>
      <c r="FJ282" s="10" cm="1">
        <f t="array" aca="1" ref="FJ282" ca="1">(1-$B$18)*SUMPRODUCT(OFFSET($BO$15,0,0,$B$14,1), 1*(_xlfn._xlws.FILTER(OFFSET($O$15,0,$DN282,$B$8,1),OFFSET($M$15,0,0,$B$8,1))=FJ$13), 1*(_xlfn._xlws.FILTER(OFFSET($O$15,0,$DO282,$B$8,1),OFFSET($M$15,0,0,$B$8,1))=FJ$14))   /   SUM(OFFSET($BO$15,0,0,$B$14,1)) + $B$18/($B$19*$B$19*($DN282&lt;&gt;$DO282) + $B$19*($DN282=$DO282))</f>
        <v>3.7037037037037035E-4</v>
      </c>
      <c r="FK282" s="10" cm="1">
        <f t="array" aca="1" ref="FK282" ca="1">(1-$B$18)*SUMPRODUCT(OFFSET($BO$15,0,0,$B$14,1), 1*(_xlfn._xlws.FILTER(OFFSET($O$15,0,$DN282,$B$8,1),OFFSET($M$15,0,0,$B$8,1))=FK$13), 1*(_xlfn._xlws.FILTER(OFFSET($O$15,0,$DO282,$B$8,1),OFFSET($M$15,0,0,$B$8,1))=FK$14))   /   SUM(OFFSET($BO$15,0,0,$B$14,1)) + $B$18/($B$19*$B$19*($DN282&lt;&gt;$DO282) + $B$19*($DN282=$DO282))</f>
        <v>3.7037037037037035E-4</v>
      </c>
      <c r="FL282" s="10" cm="1">
        <f t="array" aca="1" ref="FL282" ca="1">(1-$B$18)*SUMPRODUCT(OFFSET($BO$15,0,0,$B$14,1), 1*(_xlfn._xlws.FILTER(OFFSET($O$15,0,$DN282,$B$8,1),OFFSET($M$15,0,0,$B$8,1))=FL$13), 1*(_xlfn._xlws.FILTER(OFFSET($O$15,0,$DO282,$B$8,1),OFFSET($M$15,0,0,$B$8,1))=FL$14))   /   SUM(OFFSET($BO$15,0,0,$B$14,1)) + $B$18/($B$19*$B$19*($DN282&lt;&gt;$DO282) + $B$19*($DN282=$DO282))</f>
        <v>3.7037037037037035E-4</v>
      </c>
      <c r="FM282" s="10" cm="1">
        <f t="array" aca="1" ref="FM282" ca="1">(1-$B$18)*SUMPRODUCT(OFFSET($BO$15,0,0,$B$14,1), 1*(_xlfn._xlws.FILTER(OFFSET($O$15,0,$DN282,$B$8,1),OFFSET($M$15,0,0,$B$8,1))=FM$13), 1*(_xlfn._xlws.FILTER(OFFSET($O$15,0,$DO282,$B$8,1),OFFSET($M$15,0,0,$B$8,1))=FM$14))   /   SUM(OFFSET($BO$15,0,0,$B$14,1)) + $B$18/($B$19*$B$19*($DN282&lt;&gt;$DO282) + $B$19*($DN282=$DO282))</f>
        <v>3.7037037037037035E-4</v>
      </c>
      <c r="FN282" s="10" cm="1">
        <f t="array" aca="1" ref="FN282" ca="1">(1-$B$18)*SUMPRODUCT(OFFSET($BO$15,0,0,$B$14,1), 1*(_xlfn._xlws.FILTER(OFFSET($O$15,0,$DN282,$B$8,1),OFFSET($M$15,0,0,$B$8,1))=FN$13), 1*(_xlfn._xlws.FILTER(OFFSET($O$15,0,$DO282,$B$8,1),OFFSET($M$15,0,0,$B$8,1))=FN$14))   /   SUM(OFFSET($BO$15,0,0,$B$14,1)) + $B$18/($B$19*$B$19*($DN282&lt;&gt;$DO282) + $B$19*($DN282=$DO282))</f>
        <v>3.7037037037037035E-4</v>
      </c>
      <c r="FO282" s="10" cm="1">
        <f t="array" aca="1" ref="FO282" ca="1">(1-$B$18)*SUMPRODUCT(OFFSET($BO$15,0,0,$B$14,1), 1*(_xlfn._xlws.FILTER(OFFSET($O$15,0,$DN282,$B$8,1),OFFSET($M$15,0,0,$B$8,1))=FO$13), 1*(_xlfn._xlws.FILTER(OFFSET($O$15,0,$DO282,$B$8,1),OFFSET($M$15,0,0,$B$8,1))=FO$14))   /   SUM(OFFSET($BO$15,0,0,$B$14,1)) + $B$18/($B$19*$B$19*($DN282&lt;&gt;$DO282) + $B$19*($DN282=$DO282))</f>
        <v>3.7037037037037035E-4</v>
      </c>
      <c r="FP282" s="10" cm="1">
        <f t="array" aca="1" ref="FP282" ca="1">(1-$B$18)*SUMPRODUCT(OFFSET($BO$15,0,0,$B$14,1), 1*(_xlfn._xlws.FILTER(OFFSET($O$15,0,$DN282,$B$8,1),OFFSET($M$15,0,0,$B$8,1))=FP$13), 1*(_xlfn._xlws.FILTER(OFFSET($O$15,0,$DO282,$B$8,1),OFFSET($M$15,0,0,$B$8,1))=FP$14))   /   SUM(OFFSET($BO$15,0,0,$B$14,1)) + $B$18/($B$19*$B$19*($DN282&lt;&gt;$DO282) + $B$19*($DN282=$DO282))</f>
        <v>3.7037037037037035E-4</v>
      </c>
      <c r="FQ282" s="10" cm="1">
        <f t="array" aca="1" ref="FQ282" ca="1">(1-$B$18)*SUMPRODUCT(OFFSET($BO$15,0,0,$B$14,1), 1*(_xlfn._xlws.FILTER(OFFSET($O$15,0,$DN282,$B$8,1),OFFSET($M$15,0,0,$B$8,1))=FQ$13), 1*(_xlfn._xlws.FILTER(OFFSET($O$15,0,$DO282,$B$8,1),OFFSET($M$15,0,0,$B$8,1))=FQ$14))   /   SUM(OFFSET($BO$15,0,0,$B$14,1)) + $B$18/($B$19*$B$19*($DN282&lt;&gt;$DO282) + $B$19*($DN282=$DO282))</f>
        <v>3.7037037037037035E-4</v>
      </c>
      <c r="FR282" s="10" cm="1">
        <f t="array" aca="1" ref="FR282" ca="1">(1-$B$18)*SUMPRODUCT(OFFSET($BO$15,0,0,$B$14,1), 1*(_xlfn._xlws.FILTER(OFFSET($O$15,0,$DN282,$B$8,1),OFFSET($M$15,0,0,$B$8,1))=FR$13), 1*(_xlfn._xlws.FILTER(OFFSET($O$15,0,$DO282,$B$8,1),OFFSET($M$15,0,0,$B$8,1))=FR$14))   /   SUM(OFFSET($BO$15,0,0,$B$14,1)) + $B$18/($B$19*$B$19*($DN282&lt;&gt;$DO282) + $B$19*($DN282=$DO282))</f>
        <v>3.7037037037037035E-4</v>
      </c>
      <c r="FS282" s="10" cm="1">
        <f t="array" aca="1" ref="FS282" ca="1">(1-$B$18)*SUMPRODUCT(OFFSET($BO$15,0,0,$B$14,1), 1*(_xlfn._xlws.FILTER(OFFSET($O$15,0,$DN282,$B$8,1),OFFSET($M$15,0,0,$B$8,1))=FS$13), 1*(_xlfn._xlws.FILTER(OFFSET($O$15,0,$DO282,$B$8,1),OFFSET($M$15,0,0,$B$8,1))=FS$14))   /   SUM(OFFSET($BO$15,0,0,$B$14,1)) + $B$18/($B$19*$B$19*($DN282&lt;&gt;$DO282) + $B$19*($DN282=$DO282))</f>
        <v>3.7037037037037035E-4</v>
      </c>
      <c r="FT282" s="10" cm="1">
        <f t="array" aca="1" ref="FT282" ca="1">(1-$B$18)*SUMPRODUCT(OFFSET($BO$15,0,0,$B$14,1), 1*(_xlfn._xlws.FILTER(OFFSET($O$15,0,$DN282,$B$8,1),OFFSET($M$15,0,0,$B$8,1))=FT$13), 1*(_xlfn._xlws.FILTER(OFFSET($O$15,0,$DO282,$B$8,1),OFFSET($M$15,0,0,$B$8,1))=FT$14))   /   SUM(OFFSET($BO$15,0,0,$B$14,1)) + $B$18/($B$19*$B$19*($DN282&lt;&gt;$DO282) + $B$19*($DN282=$DO282))</f>
        <v>3.7037037037037035E-4</v>
      </c>
      <c r="FU282" s="10" cm="1">
        <f t="array" aca="1" ref="FU282" ca="1">(1-$B$18)*SUMPRODUCT(OFFSET($BO$15,0,0,$B$14,1), 1*(_xlfn._xlws.FILTER(OFFSET($O$15,0,$DN282,$B$8,1),OFFSET($M$15,0,0,$B$8,1))=FU$13), 1*(_xlfn._xlws.FILTER(OFFSET($O$15,0,$DO282,$B$8,1),OFFSET($M$15,0,0,$B$8,1))=FU$14))   /   SUM(OFFSET($BO$15,0,0,$B$14,1)) + $B$18/($B$19*$B$19*($DN282&lt;&gt;$DO282) + $B$19*($DN282=$DO282))</f>
        <v>3.7037037037037035E-4</v>
      </c>
      <c r="FV282" s="10" cm="1">
        <f t="array" aca="1" ref="FV282" ca="1">(1-$B$18)*SUMPRODUCT(OFFSET($BO$15,0,0,$B$14,1), 1*(_xlfn._xlws.FILTER(OFFSET($O$15,0,$DN282,$B$8,1),OFFSET($M$15,0,0,$B$8,1))=FV$13), 1*(_xlfn._xlws.FILTER(OFFSET($O$15,0,$DO282,$B$8,1),OFFSET($M$15,0,0,$B$8,1))=FV$14))   /   SUM(OFFSET($BO$15,0,0,$B$14,1)) + $B$18/($B$19*$B$19*($DN282&lt;&gt;$DO282) + $B$19*($DN282=$DO282))</f>
        <v>3.7037037037037035E-4</v>
      </c>
      <c r="FW282" s="10" cm="1">
        <f t="array" aca="1" ref="FW282" ca="1">(1-$B$18)*SUMPRODUCT(OFFSET($BO$15,0,0,$B$14,1), 1*(_xlfn._xlws.FILTER(OFFSET($O$15,0,$DN282,$B$8,1),OFFSET($M$15,0,0,$B$8,1))=FW$13), 1*(_xlfn._xlws.FILTER(OFFSET($O$15,0,$DO282,$B$8,1),OFFSET($M$15,0,0,$B$8,1))=FW$14))   /   SUM(OFFSET($BO$15,0,0,$B$14,1)) + $B$18/($B$19*$B$19*($DN282&lt;&gt;$DO282) + $B$19*($DN282=$DO282))</f>
        <v>3.7037037037037035E-4</v>
      </c>
      <c r="FX282" s="10" cm="1">
        <f t="array" aca="1" ref="FX282" ca="1">(1-$B$18)*SUMPRODUCT(OFFSET($BO$15,0,0,$B$14,1), 1*(_xlfn._xlws.FILTER(OFFSET($O$15,0,$DN282,$B$8,1),OFFSET($M$15,0,0,$B$8,1))=FX$13), 1*(_xlfn._xlws.FILTER(OFFSET($O$15,0,$DO282,$B$8,1),OFFSET($M$15,0,0,$B$8,1))=FX$14))   /   SUM(OFFSET($BO$15,0,0,$B$14,1)) + $B$18/($B$19*$B$19*($DN282&lt;&gt;$DO282) + $B$19*($DN282=$DO282))</f>
        <v>3.7037037037037035E-4</v>
      </c>
      <c r="FY282" s="10" cm="1">
        <f t="array" aca="1" ref="FY282" ca="1">(1-$B$18)*SUMPRODUCT(OFFSET($BO$15,0,0,$B$14,1), 1*(_xlfn._xlws.FILTER(OFFSET($O$15,0,$DN282,$B$8,1),OFFSET($M$15,0,0,$B$8,1))=FY$13), 1*(_xlfn._xlws.FILTER(OFFSET($O$15,0,$DO282,$B$8,1),OFFSET($M$15,0,0,$B$8,1))=FY$14))   /   SUM(OFFSET($BO$15,0,0,$B$14,1)) + $B$18/($B$19*$B$19*($DN282&lt;&gt;$DO282) + $B$19*($DN282=$DO282))</f>
        <v>3.7037037037037035E-4</v>
      </c>
      <c r="FZ282" s="10" cm="1">
        <f t="array" aca="1" ref="FZ282" ca="1">(1-$B$18)*SUMPRODUCT(OFFSET($BO$15,0,0,$B$14,1), 1*(_xlfn._xlws.FILTER(OFFSET($O$15,0,$DN282,$B$8,1),OFFSET($M$15,0,0,$B$8,1))=FZ$13), 1*(_xlfn._xlws.FILTER(OFFSET($O$15,0,$DO282,$B$8,1),OFFSET($M$15,0,0,$B$8,1))=FZ$14))   /   SUM(OFFSET($BO$15,0,0,$B$14,1)) + $B$18/($B$19*$B$19*($DN282&lt;&gt;$DO282) + $B$19*($DN282=$DO282))</f>
        <v>3.7037037037037035E-4</v>
      </c>
      <c r="GA282" s="10" cm="1">
        <f t="array" aca="1" ref="GA282" ca="1">(1-$B$18)*SUMPRODUCT(OFFSET($BO$15,0,0,$B$14,1), 1*(_xlfn._xlws.FILTER(OFFSET($O$15,0,$DN282,$B$8,1),OFFSET($M$15,0,0,$B$8,1))=GA$13), 1*(_xlfn._xlws.FILTER(OFFSET($O$15,0,$DO282,$B$8,1),OFFSET($M$15,0,0,$B$8,1))=GA$14))   /   SUM(OFFSET($BO$15,0,0,$B$14,1)) + $B$18/($B$19*$B$19*($DN282&lt;&gt;$DO282) + $B$19*($DN282=$DO282))</f>
        <v>3.7037037037037035E-4</v>
      </c>
    </row>
    <row r="283" spans="118:183" x14ac:dyDescent="0.2">
      <c r="DN283" cm="1">
        <f t="array" aca="1" ref="DN283" ca="1">INDEX(_xlfn.ANCHORARRAY($CP$15), 1 + INT((ROWS($DO$15:$DO283) - 1) / ROWS(_xlfn.ANCHORARRAY($CP$15))))</f>
        <v>15</v>
      </c>
      <c r="DO283" cm="1">
        <f t="array" aca="1" ref="DO283" ca="1">INDEX(_xlfn.ANCHORARRAY($CP$15),1+MOD(ROWS($DO$15:$DO283)-1,ROWS(_xlfn.ANCHORARRAY($CP$15))))</f>
        <v>2</v>
      </c>
      <c r="DP283" s="10" cm="1">
        <f t="array" aca="1" ref="DP283" ca="1">(1-$B$18)*SUMPRODUCT(OFFSET($BO$15,0,0,$B$14,1), 1*(_xlfn._xlws.FILTER(OFFSET($O$15,0,$DN283,$B$8,1),OFFSET($M$15,0,0,$B$8,1))=DP$13), 1*(_xlfn._xlws.FILTER(OFFSET($O$15,0,$DO283,$B$8,1),OFFSET($M$15,0,0,$B$8,1))=DP$14))   /   SUM(OFFSET($BO$15,0,0,$B$14,1)) + $B$18/($B$19*$B$19*($DN283&lt;&gt;$DO283) + $B$19*($DN283=$DO283))</f>
        <v>3.7037037037037035E-4</v>
      </c>
      <c r="DQ283" s="10" cm="1">
        <f t="array" aca="1" ref="DQ283" ca="1">(1-$B$18)*SUMPRODUCT(OFFSET($BO$15,0,0,$B$14,1), 1*(_xlfn._xlws.FILTER(OFFSET($O$15,0,$DN283,$B$8,1),OFFSET($M$15,0,0,$B$8,1))=DQ$13), 1*(_xlfn._xlws.FILTER(OFFSET($O$15,0,$DO283,$B$8,1),OFFSET($M$15,0,0,$B$8,1))=DQ$14))   /   SUM(OFFSET($BO$15,0,0,$B$14,1)) + $B$18/($B$19*$B$19*($DN283&lt;&gt;$DO283) + $B$19*($DN283=$DO283))</f>
        <v>3.7037037037037035E-4</v>
      </c>
      <c r="DR283" s="10" cm="1">
        <f t="array" aca="1" ref="DR283" ca="1">(1-$B$18)*SUMPRODUCT(OFFSET($BO$15,0,0,$B$14,1), 1*(_xlfn._xlws.FILTER(OFFSET($O$15,0,$DN283,$B$8,1),OFFSET($M$15,0,0,$B$8,1))=DR$13), 1*(_xlfn._xlws.FILTER(OFFSET($O$15,0,$DO283,$B$8,1),OFFSET($M$15,0,0,$B$8,1))=DR$14))   /   SUM(OFFSET($BO$15,0,0,$B$14,1)) + $B$18/($B$19*$B$19*($DN283&lt;&gt;$DO283) + $B$19*($DN283=$DO283))</f>
        <v>3.7037037037037035E-4</v>
      </c>
      <c r="DS283" s="10" cm="1">
        <f t="array" aca="1" ref="DS283" ca="1">(1-$B$18)*SUMPRODUCT(OFFSET($BO$15,0,0,$B$14,1), 1*(_xlfn._xlws.FILTER(OFFSET($O$15,0,$DN283,$B$8,1),OFFSET($M$15,0,0,$B$8,1))=DS$13), 1*(_xlfn._xlws.FILTER(OFFSET($O$15,0,$DO283,$B$8,1),OFFSET($M$15,0,0,$B$8,1))=DS$14))   /   SUM(OFFSET($BO$15,0,0,$B$14,1)) + $B$18/($B$19*$B$19*($DN283&lt;&gt;$DO283) + $B$19*($DN283=$DO283))</f>
        <v>3.7037037037037035E-4</v>
      </c>
      <c r="DT283" s="10" cm="1">
        <f t="array" aca="1" ref="DT283" ca="1">(1-$B$18)*SUMPRODUCT(OFFSET($BO$15,0,0,$B$14,1), 1*(_xlfn._xlws.FILTER(OFFSET($O$15,0,$DN283,$B$8,1),OFFSET($M$15,0,0,$B$8,1))=DT$13), 1*(_xlfn._xlws.FILTER(OFFSET($O$15,0,$DO283,$B$8,1),OFFSET($M$15,0,0,$B$8,1))=DT$14))   /   SUM(OFFSET($BO$15,0,0,$B$14,1)) + $B$18/($B$19*$B$19*($DN283&lt;&gt;$DO283) + $B$19*($DN283=$DO283))</f>
        <v>3.7037037037037035E-4</v>
      </c>
      <c r="DU283" s="10" cm="1">
        <f t="array" aca="1" ref="DU283" ca="1">(1-$B$18)*SUMPRODUCT(OFFSET($BO$15,0,0,$B$14,1), 1*(_xlfn._xlws.FILTER(OFFSET($O$15,0,$DN283,$B$8,1),OFFSET($M$15,0,0,$B$8,1))=DU$13), 1*(_xlfn._xlws.FILTER(OFFSET($O$15,0,$DO283,$B$8,1),OFFSET($M$15,0,0,$B$8,1))=DU$14))   /   SUM(OFFSET($BO$15,0,0,$B$14,1)) + $B$18/($B$19*$B$19*($DN283&lt;&gt;$DO283) + $B$19*($DN283=$DO283))</f>
        <v>3.7037037037037035E-4</v>
      </c>
      <c r="DV283" s="10" cm="1">
        <f t="array" aca="1" ref="DV283" ca="1">(1-$B$18)*SUMPRODUCT(OFFSET($BO$15,0,0,$B$14,1), 1*(_xlfn._xlws.FILTER(OFFSET($O$15,0,$DN283,$B$8,1),OFFSET($M$15,0,0,$B$8,1))=DV$13), 1*(_xlfn._xlws.FILTER(OFFSET($O$15,0,$DO283,$B$8,1),OFFSET($M$15,0,0,$B$8,1))=DV$14))   /   SUM(OFFSET($BO$15,0,0,$B$14,1)) + $B$18/($B$19*$B$19*($DN283&lt;&gt;$DO283) + $B$19*($DN283=$DO283))</f>
        <v>3.7037037037037035E-4</v>
      </c>
      <c r="DW283" s="10" cm="1">
        <f t="array" aca="1" ref="DW283" ca="1">(1-$B$18)*SUMPRODUCT(OFFSET($BO$15,0,0,$B$14,1), 1*(_xlfn._xlws.FILTER(OFFSET($O$15,0,$DN283,$B$8,1),OFFSET($M$15,0,0,$B$8,1))=DW$13), 1*(_xlfn._xlws.FILTER(OFFSET($O$15,0,$DO283,$B$8,1),OFFSET($M$15,0,0,$B$8,1))=DW$14))   /   SUM(OFFSET($BO$15,0,0,$B$14,1)) + $B$18/($B$19*$B$19*($DN283&lt;&gt;$DO283) + $B$19*($DN283=$DO283))</f>
        <v>3.7037037037037035E-4</v>
      </c>
      <c r="DX283" s="10" cm="1">
        <f t="array" aca="1" ref="DX283" ca="1">(1-$B$18)*SUMPRODUCT(OFFSET($BO$15,0,0,$B$14,1), 1*(_xlfn._xlws.FILTER(OFFSET($O$15,0,$DN283,$B$8,1),OFFSET($M$15,0,0,$B$8,1))=DX$13), 1*(_xlfn._xlws.FILTER(OFFSET($O$15,0,$DO283,$B$8,1),OFFSET($M$15,0,0,$B$8,1))=DX$14))   /   SUM(OFFSET($BO$15,0,0,$B$14,1)) + $B$18/($B$19*$B$19*($DN283&lt;&gt;$DO283) + $B$19*($DN283=$DO283))</f>
        <v>3.7037037037037035E-4</v>
      </c>
      <c r="DY283" s="10" cm="1">
        <f t="array" aca="1" ref="DY283" ca="1">(1-$B$18)*SUMPRODUCT(OFFSET($BO$15,0,0,$B$14,1), 1*(_xlfn._xlws.FILTER(OFFSET($O$15,0,$DN283,$B$8,1),OFFSET($M$15,0,0,$B$8,1))=DY$13), 1*(_xlfn._xlws.FILTER(OFFSET($O$15,0,$DO283,$B$8,1),OFFSET($M$15,0,0,$B$8,1))=DY$14))   /   SUM(OFFSET($BO$15,0,0,$B$14,1)) + $B$18/($B$19*$B$19*($DN283&lt;&gt;$DO283) + $B$19*($DN283=$DO283))</f>
        <v>3.7037037037037035E-4</v>
      </c>
      <c r="DZ283" s="10" cm="1">
        <f t="array" aca="1" ref="DZ283" ca="1">(1-$B$18)*SUMPRODUCT(OFFSET($BO$15,0,0,$B$14,1), 1*(_xlfn._xlws.FILTER(OFFSET($O$15,0,$DN283,$B$8,1),OFFSET($M$15,0,0,$B$8,1))=DZ$13), 1*(_xlfn._xlws.FILTER(OFFSET($O$15,0,$DO283,$B$8,1),OFFSET($M$15,0,0,$B$8,1))=DZ$14))   /   SUM(OFFSET($BO$15,0,0,$B$14,1)) + $B$18/($B$19*$B$19*($DN283&lt;&gt;$DO283) + $B$19*($DN283=$DO283))</f>
        <v>3.7037037037037035E-4</v>
      </c>
      <c r="EA283" s="10" cm="1">
        <f t="array" aca="1" ref="EA283" ca="1">(1-$B$18)*SUMPRODUCT(OFFSET($BO$15,0,0,$B$14,1), 1*(_xlfn._xlws.FILTER(OFFSET($O$15,0,$DN283,$B$8,1),OFFSET($M$15,0,0,$B$8,1))=EA$13), 1*(_xlfn._xlws.FILTER(OFFSET($O$15,0,$DO283,$B$8,1),OFFSET($M$15,0,0,$B$8,1))=EA$14))   /   SUM(OFFSET($BO$15,0,0,$B$14,1)) + $B$18/($B$19*$B$19*($DN283&lt;&gt;$DO283) + $B$19*($DN283=$DO283))</f>
        <v>3.7037037037037035E-4</v>
      </c>
      <c r="EB283" s="10" cm="1">
        <f t="array" aca="1" ref="EB283" ca="1">(1-$B$18)*SUMPRODUCT(OFFSET($BO$15,0,0,$B$14,1), 1*(_xlfn._xlws.FILTER(OFFSET($O$15,0,$DN283,$B$8,1),OFFSET($M$15,0,0,$B$8,1))=EB$13), 1*(_xlfn._xlws.FILTER(OFFSET($O$15,0,$DO283,$B$8,1),OFFSET($M$15,0,0,$B$8,1))=EB$14))   /   SUM(OFFSET($BO$15,0,0,$B$14,1)) + $B$18/($B$19*$B$19*($DN283&lt;&gt;$DO283) + $B$19*($DN283=$DO283))</f>
        <v>3.7037037037037035E-4</v>
      </c>
      <c r="EC283" s="10" cm="1">
        <f t="array" aca="1" ref="EC283" ca="1">(1-$B$18)*SUMPRODUCT(OFFSET($BO$15,0,0,$B$14,1), 1*(_xlfn._xlws.FILTER(OFFSET($O$15,0,$DN283,$B$8,1),OFFSET($M$15,0,0,$B$8,1))=EC$13), 1*(_xlfn._xlws.FILTER(OFFSET($O$15,0,$DO283,$B$8,1),OFFSET($M$15,0,0,$B$8,1))=EC$14))   /   SUM(OFFSET($BO$15,0,0,$B$14,1)) + $B$18/($B$19*$B$19*($DN283&lt;&gt;$DO283) + $B$19*($DN283=$DO283))</f>
        <v>3.7037037037037035E-4</v>
      </c>
      <c r="ED283" s="10" cm="1">
        <f t="array" aca="1" ref="ED283" ca="1">(1-$B$18)*SUMPRODUCT(OFFSET($BO$15,0,0,$B$14,1), 1*(_xlfn._xlws.FILTER(OFFSET($O$15,0,$DN283,$B$8,1),OFFSET($M$15,0,0,$B$8,1))=ED$13), 1*(_xlfn._xlws.FILTER(OFFSET($O$15,0,$DO283,$B$8,1),OFFSET($M$15,0,0,$B$8,1))=ED$14))   /   SUM(OFFSET($BO$15,0,0,$B$14,1)) + $B$18/($B$19*$B$19*($DN283&lt;&gt;$DO283) + $B$19*($DN283=$DO283))</f>
        <v>3.7037037037037035E-4</v>
      </c>
      <c r="EE283" s="10" cm="1">
        <f t="array" aca="1" ref="EE283" ca="1">(1-$B$18)*SUMPRODUCT(OFFSET($BO$15,0,0,$B$14,1), 1*(_xlfn._xlws.FILTER(OFFSET($O$15,0,$DN283,$B$8,1),OFFSET($M$15,0,0,$B$8,1))=EE$13), 1*(_xlfn._xlws.FILTER(OFFSET($O$15,0,$DO283,$B$8,1),OFFSET($M$15,0,0,$B$8,1))=EE$14))   /   SUM(OFFSET($BO$15,0,0,$B$14,1)) + $B$18/($B$19*$B$19*($DN283&lt;&gt;$DO283) + $B$19*($DN283=$DO283))</f>
        <v>3.7037037037037035E-4</v>
      </c>
      <c r="EF283" s="10" cm="1">
        <f t="array" aca="1" ref="EF283" ca="1">(1-$B$18)*SUMPRODUCT(OFFSET($BO$15,0,0,$B$14,1), 1*(_xlfn._xlws.FILTER(OFFSET($O$15,0,$DN283,$B$8,1),OFFSET($M$15,0,0,$B$8,1))=EF$13), 1*(_xlfn._xlws.FILTER(OFFSET($O$15,0,$DO283,$B$8,1),OFFSET($M$15,0,0,$B$8,1))=EF$14))   /   SUM(OFFSET($BO$15,0,0,$B$14,1)) + $B$18/($B$19*$B$19*($DN283&lt;&gt;$DO283) + $B$19*($DN283=$DO283))</f>
        <v>3.7037037037037035E-4</v>
      </c>
      <c r="EG283" s="10" cm="1">
        <f t="array" aca="1" ref="EG283" ca="1">(1-$B$18)*SUMPRODUCT(OFFSET($BO$15,0,0,$B$14,1), 1*(_xlfn._xlws.FILTER(OFFSET($O$15,0,$DN283,$B$8,1),OFFSET($M$15,0,0,$B$8,1))=EG$13), 1*(_xlfn._xlws.FILTER(OFFSET($O$15,0,$DO283,$B$8,1),OFFSET($M$15,0,0,$B$8,1))=EG$14))   /   SUM(OFFSET($BO$15,0,0,$B$14,1)) + $B$18/($B$19*$B$19*($DN283&lt;&gt;$DO283) + $B$19*($DN283=$DO283))</f>
        <v>3.7037037037037035E-4</v>
      </c>
      <c r="EH283" s="10" cm="1">
        <f t="array" aca="1" ref="EH283" ca="1">(1-$B$18)*SUMPRODUCT(OFFSET($BO$15,0,0,$B$14,1), 1*(_xlfn._xlws.FILTER(OFFSET($O$15,0,$DN283,$B$8,1),OFFSET($M$15,0,0,$B$8,1))=EH$13), 1*(_xlfn._xlws.FILTER(OFFSET($O$15,0,$DO283,$B$8,1),OFFSET($M$15,0,0,$B$8,1))=EH$14))   /   SUM(OFFSET($BO$15,0,0,$B$14,1)) + $B$18/($B$19*$B$19*($DN283&lt;&gt;$DO283) + $B$19*($DN283=$DO283))</f>
        <v>3.7037037037037035E-4</v>
      </c>
      <c r="EI283" s="10" cm="1">
        <f t="array" aca="1" ref="EI283" ca="1">(1-$B$18)*SUMPRODUCT(OFFSET($BO$15,0,0,$B$14,1), 1*(_xlfn._xlws.FILTER(OFFSET($O$15,0,$DN283,$B$8,1),OFFSET($M$15,0,0,$B$8,1))=EI$13), 1*(_xlfn._xlws.FILTER(OFFSET($O$15,0,$DO283,$B$8,1),OFFSET($M$15,0,0,$B$8,1))=EI$14))   /   SUM(OFFSET($BO$15,0,0,$B$14,1)) + $B$18/($B$19*$B$19*($DN283&lt;&gt;$DO283) + $B$19*($DN283=$DO283))</f>
        <v>3.7037037037037035E-4</v>
      </c>
      <c r="EJ283" s="10" cm="1">
        <f t="array" aca="1" ref="EJ283" ca="1">(1-$B$18)*SUMPRODUCT(OFFSET($BO$15,0,0,$B$14,1), 1*(_xlfn._xlws.FILTER(OFFSET($O$15,0,$DN283,$B$8,1),OFFSET($M$15,0,0,$B$8,1))=EJ$13), 1*(_xlfn._xlws.FILTER(OFFSET($O$15,0,$DO283,$B$8,1),OFFSET($M$15,0,0,$B$8,1))=EJ$14))   /   SUM(OFFSET($BO$15,0,0,$B$14,1)) + $B$18/($B$19*$B$19*($DN283&lt;&gt;$DO283) + $B$19*($DN283=$DO283))</f>
        <v>3.7037037037037035E-4</v>
      </c>
      <c r="EK283" s="10" cm="1">
        <f t="array" aca="1" ref="EK283" ca="1">(1-$B$18)*SUMPRODUCT(OFFSET($BO$15,0,0,$B$14,1), 1*(_xlfn._xlws.FILTER(OFFSET($O$15,0,$DN283,$B$8,1),OFFSET($M$15,0,0,$B$8,1))=EK$13), 1*(_xlfn._xlws.FILTER(OFFSET($O$15,0,$DO283,$B$8,1),OFFSET($M$15,0,0,$B$8,1))=EK$14))   /   SUM(OFFSET($BO$15,0,0,$B$14,1)) + $B$18/($B$19*$B$19*($DN283&lt;&gt;$DO283) + $B$19*($DN283=$DO283))</f>
        <v>3.7037037037037035E-4</v>
      </c>
      <c r="EL283" s="10" cm="1">
        <f t="array" aca="1" ref="EL283" ca="1">(1-$B$18)*SUMPRODUCT(OFFSET($BO$15,0,0,$B$14,1), 1*(_xlfn._xlws.FILTER(OFFSET($O$15,0,$DN283,$B$8,1),OFFSET($M$15,0,0,$B$8,1))=EL$13), 1*(_xlfn._xlws.FILTER(OFFSET($O$15,0,$DO283,$B$8,1),OFFSET($M$15,0,0,$B$8,1))=EL$14))   /   SUM(OFFSET($BO$15,0,0,$B$14,1)) + $B$18/($B$19*$B$19*($DN283&lt;&gt;$DO283) + $B$19*($DN283=$DO283))</f>
        <v>0.97037037037037033</v>
      </c>
      <c r="EM283" s="10" cm="1">
        <f t="array" aca="1" ref="EM283" ca="1">(1-$B$18)*SUMPRODUCT(OFFSET($BO$15,0,0,$B$14,1), 1*(_xlfn._xlws.FILTER(OFFSET($O$15,0,$DN283,$B$8,1),OFFSET($M$15,0,0,$B$8,1))=EM$13), 1*(_xlfn._xlws.FILTER(OFFSET($O$15,0,$DO283,$B$8,1),OFFSET($M$15,0,0,$B$8,1))=EM$14))   /   SUM(OFFSET($BO$15,0,0,$B$14,1)) + $B$18/($B$19*$B$19*($DN283&lt;&gt;$DO283) + $B$19*($DN283=$DO283))</f>
        <v>3.7037037037037035E-4</v>
      </c>
      <c r="EN283" s="10" cm="1">
        <f t="array" aca="1" ref="EN283" ca="1">(1-$B$18)*SUMPRODUCT(OFFSET($BO$15,0,0,$B$14,1), 1*(_xlfn._xlws.FILTER(OFFSET($O$15,0,$DN283,$B$8,1),OFFSET($M$15,0,0,$B$8,1))=EN$13), 1*(_xlfn._xlws.FILTER(OFFSET($O$15,0,$DO283,$B$8,1),OFFSET($M$15,0,0,$B$8,1))=EN$14))   /   SUM(OFFSET($BO$15,0,0,$B$14,1)) + $B$18/($B$19*$B$19*($DN283&lt;&gt;$DO283) + $B$19*($DN283=$DO283))</f>
        <v>3.7037037037037035E-4</v>
      </c>
      <c r="EO283" s="10" cm="1">
        <f t="array" aca="1" ref="EO283" ca="1">(1-$B$18)*SUMPRODUCT(OFFSET($BO$15,0,0,$B$14,1), 1*(_xlfn._xlws.FILTER(OFFSET($O$15,0,$DN283,$B$8,1),OFFSET($M$15,0,0,$B$8,1))=EO$13), 1*(_xlfn._xlws.FILTER(OFFSET($O$15,0,$DO283,$B$8,1),OFFSET($M$15,0,0,$B$8,1))=EO$14))   /   SUM(OFFSET($BO$15,0,0,$B$14,1)) + $B$18/($B$19*$B$19*($DN283&lt;&gt;$DO283) + $B$19*($DN283=$DO283))</f>
        <v>3.7037037037037035E-4</v>
      </c>
      <c r="EP283" s="10" cm="1">
        <f t="array" aca="1" ref="EP283" ca="1">(1-$B$18)*SUMPRODUCT(OFFSET($BO$15,0,0,$B$14,1), 1*(_xlfn._xlws.FILTER(OFFSET($O$15,0,$DN283,$B$8,1),OFFSET($M$15,0,0,$B$8,1))=EP$13), 1*(_xlfn._xlws.FILTER(OFFSET($O$15,0,$DO283,$B$8,1),OFFSET($M$15,0,0,$B$8,1))=EP$14))   /   SUM(OFFSET($BO$15,0,0,$B$14,1)) + $B$18/($B$19*$B$19*($DN283&lt;&gt;$DO283) + $B$19*($DN283=$DO283))</f>
        <v>3.7037037037037035E-4</v>
      </c>
      <c r="EQ283" s="10" cm="1">
        <f t="array" aca="1" ref="EQ283" ca="1">(1-$B$18)*SUMPRODUCT(OFFSET($BO$15,0,0,$B$14,1), 1*(_xlfn._xlws.FILTER(OFFSET($O$15,0,$DN283,$B$8,1),OFFSET($M$15,0,0,$B$8,1))=EQ$13), 1*(_xlfn._xlws.FILTER(OFFSET($O$15,0,$DO283,$B$8,1),OFFSET($M$15,0,0,$B$8,1))=EQ$14))   /   SUM(OFFSET($BO$15,0,0,$B$14,1)) + $B$18/($B$19*$B$19*($DN283&lt;&gt;$DO283) + $B$19*($DN283=$DO283))</f>
        <v>3.7037037037037035E-4</v>
      </c>
      <c r="ER283" s="10" cm="1">
        <f t="array" aca="1" ref="ER283" ca="1">(1-$B$18)*SUMPRODUCT(OFFSET($BO$15,0,0,$B$14,1), 1*(_xlfn._xlws.FILTER(OFFSET($O$15,0,$DN283,$B$8,1),OFFSET($M$15,0,0,$B$8,1))=ER$13), 1*(_xlfn._xlws.FILTER(OFFSET($O$15,0,$DO283,$B$8,1),OFFSET($M$15,0,0,$B$8,1))=ER$14))   /   SUM(OFFSET($BO$15,0,0,$B$14,1)) + $B$18/($B$19*$B$19*($DN283&lt;&gt;$DO283) + $B$19*($DN283=$DO283))</f>
        <v>3.7037037037037035E-4</v>
      </c>
      <c r="ES283" s="10" cm="1">
        <f t="array" aca="1" ref="ES283" ca="1">(1-$B$18)*SUMPRODUCT(OFFSET($BO$15,0,0,$B$14,1), 1*(_xlfn._xlws.FILTER(OFFSET($O$15,0,$DN283,$B$8,1),OFFSET($M$15,0,0,$B$8,1))=ES$13), 1*(_xlfn._xlws.FILTER(OFFSET($O$15,0,$DO283,$B$8,1),OFFSET($M$15,0,0,$B$8,1))=ES$14))   /   SUM(OFFSET($BO$15,0,0,$B$14,1)) + $B$18/($B$19*$B$19*($DN283&lt;&gt;$DO283) + $B$19*($DN283=$DO283))</f>
        <v>3.7037037037037035E-4</v>
      </c>
      <c r="ET283" s="10" cm="1">
        <f t="array" aca="1" ref="ET283" ca="1">(1-$B$18)*SUMPRODUCT(OFFSET($BO$15,0,0,$B$14,1), 1*(_xlfn._xlws.FILTER(OFFSET($O$15,0,$DN283,$B$8,1),OFFSET($M$15,0,0,$B$8,1))=ET$13), 1*(_xlfn._xlws.FILTER(OFFSET($O$15,0,$DO283,$B$8,1),OFFSET($M$15,0,0,$B$8,1))=ET$14))   /   SUM(OFFSET($BO$15,0,0,$B$14,1)) + $B$18/($B$19*$B$19*($DN283&lt;&gt;$DO283) + $B$19*($DN283=$DO283))</f>
        <v>3.7037037037037035E-4</v>
      </c>
      <c r="EU283" s="10" cm="1">
        <f t="array" aca="1" ref="EU283" ca="1">(1-$B$18)*SUMPRODUCT(OFFSET($BO$15,0,0,$B$14,1), 1*(_xlfn._xlws.FILTER(OFFSET($O$15,0,$DN283,$B$8,1),OFFSET($M$15,0,0,$B$8,1))=EU$13), 1*(_xlfn._xlws.FILTER(OFFSET($O$15,0,$DO283,$B$8,1),OFFSET($M$15,0,0,$B$8,1))=EU$14))   /   SUM(OFFSET($BO$15,0,0,$B$14,1)) + $B$18/($B$19*$B$19*($DN283&lt;&gt;$DO283) + $B$19*($DN283=$DO283))</f>
        <v>3.7037037037037035E-4</v>
      </c>
      <c r="EV283" s="10" cm="1">
        <f t="array" aca="1" ref="EV283" ca="1">(1-$B$18)*SUMPRODUCT(OFFSET($BO$15,0,0,$B$14,1), 1*(_xlfn._xlws.FILTER(OFFSET($O$15,0,$DN283,$B$8,1),OFFSET($M$15,0,0,$B$8,1))=EV$13), 1*(_xlfn._xlws.FILTER(OFFSET($O$15,0,$DO283,$B$8,1),OFFSET($M$15,0,0,$B$8,1))=EV$14))   /   SUM(OFFSET($BO$15,0,0,$B$14,1)) + $B$18/($B$19*$B$19*($DN283&lt;&gt;$DO283) + $B$19*($DN283=$DO283))</f>
        <v>3.7037037037037035E-4</v>
      </c>
      <c r="EW283" s="10" cm="1">
        <f t="array" aca="1" ref="EW283" ca="1">(1-$B$18)*SUMPRODUCT(OFFSET($BO$15,0,0,$B$14,1), 1*(_xlfn._xlws.FILTER(OFFSET($O$15,0,$DN283,$B$8,1),OFFSET($M$15,0,0,$B$8,1))=EW$13), 1*(_xlfn._xlws.FILTER(OFFSET($O$15,0,$DO283,$B$8,1),OFFSET($M$15,0,0,$B$8,1))=EW$14))   /   SUM(OFFSET($BO$15,0,0,$B$14,1)) + $B$18/($B$19*$B$19*($DN283&lt;&gt;$DO283) + $B$19*($DN283=$DO283))</f>
        <v>3.7037037037037035E-4</v>
      </c>
      <c r="EX283" s="10" cm="1">
        <f t="array" aca="1" ref="EX283" ca="1">(1-$B$18)*SUMPRODUCT(OFFSET($BO$15,0,0,$B$14,1), 1*(_xlfn._xlws.FILTER(OFFSET($O$15,0,$DN283,$B$8,1),OFFSET($M$15,0,0,$B$8,1))=EX$13), 1*(_xlfn._xlws.FILTER(OFFSET($O$15,0,$DO283,$B$8,1),OFFSET($M$15,0,0,$B$8,1))=EX$14))   /   SUM(OFFSET($BO$15,0,0,$B$14,1)) + $B$18/($B$19*$B$19*($DN283&lt;&gt;$DO283) + $B$19*($DN283=$DO283))</f>
        <v>3.7037037037037035E-4</v>
      </c>
      <c r="EY283" s="10" cm="1">
        <f t="array" aca="1" ref="EY283" ca="1">(1-$B$18)*SUMPRODUCT(OFFSET($BO$15,0,0,$B$14,1), 1*(_xlfn._xlws.FILTER(OFFSET($O$15,0,$DN283,$B$8,1),OFFSET($M$15,0,0,$B$8,1))=EY$13), 1*(_xlfn._xlws.FILTER(OFFSET($O$15,0,$DO283,$B$8,1),OFFSET($M$15,0,0,$B$8,1))=EY$14))   /   SUM(OFFSET($BO$15,0,0,$B$14,1)) + $B$18/($B$19*$B$19*($DN283&lt;&gt;$DO283) + $B$19*($DN283=$DO283))</f>
        <v>3.7037037037037035E-4</v>
      </c>
      <c r="EZ283" s="10" cm="1">
        <f t="array" aca="1" ref="EZ283" ca="1">(1-$B$18)*SUMPRODUCT(OFFSET($BO$15,0,0,$B$14,1), 1*(_xlfn._xlws.FILTER(OFFSET($O$15,0,$DN283,$B$8,1),OFFSET($M$15,0,0,$B$8,1))=EZ$13), 1*(_xlfn._xlws.FILTER(OFFSET($O$15,0,$DO283,$B$8,1),OFFSET($M$15,0,0,$B$8,1))=EZ$14))   /   SUM(OFFSET($BO$15,0,0,$B$14,1)) + $B$18/($B$19*$B$19*($DN283&lt;&gt;$DO283) + $B$19*($DN283=$DO283))</f>
        <v>3.7037037037037035E-4</v>
      </c>
      <c r="FA283" s="10" cm="1">
        <f t="array" aca="1" ref="FA283" ca="1">(1-$B$18)*SUMPRODUCT(OFFSET($BO$15,0,0,$B$14,1), 1*(_xlfn._xlws.FILTER(OFFSET($O$15,0,$DN283,$B$8,1),OFFSET($M$15,0,0,$B$8,1))=FA$13), 1*(_xlfn._xlws.FILTER(OFFSET($O$15,0,$DO283,$B$8,1),OFFSET($M$15,0,0,$B$8,1))=FA$14))   /   SUM(OFFSET($BO$15,0,0,$B$14,1)) + $B$18/($B$19*$B$19*($DN283&lt;&gt;$DO283) + $B$19*($DN283=$DO283))</f>
        <v>3.7037037037037035E-4</v>
      </c>
      <c r="FB283" s="10" cm="1">
        <f t="array" aca="1" ref="FB283" ca="1">(1-$B$18)*SUMPRODUCT(OFFSET($BO$15,0,0,$B$14,1), 1*(_xlfn._xlws.FILTER(OFFSET($O$15,0,$DN283,$B$8,1),OFFSET($M$15,0,0,$B$8,1))=FB$13), 1*(_xlfn._xlws.FILTER(OFFSET($O$15,0,$DO283,$B$8,1),OFFSET($M$15,0,0,$B$8,1))=FB$14))   /   SUM(OFFSET($BO$15,0,0,$B$14,1)) + $B$18/($B$19*$B$19*($DN283&lt;&gt;$DO283) + $B$19*($DN283=$DO283))</f>
        <v>3.7037037037037035E-4</v>
      </c>
      <c r="FC283" s="10" cm="1">
        <f t="array" aca="1" ref="FC283" ca="1">(1-$B$18)*SUMPRODUCT(OFFSET($BO$15,0,0,$B$14,1), 1*(_xlfn._xlws.FILTER(OFFSET($O$15,0,$DN283,$B$8,1),OFFSET($M$15,0,0,$B$8,1))=FC$13), 1*(_xlfn._xlws.FILTER(OFFSET($O$15,0,$DO283,$B$8,1),OFFSET($M$15,0,0,$B$8,1))=FC$14))   /   SUM(OFFSET($BO$15,0,0,$B$14,1)) + $B$18/($B$19*$B$19*($DN283&lt;&gt;$DO283) + $B$19*($DN283=$DO283))</f>
        <v>3.7037037037037035E-4</v>
      </c>
      <c r="FD283" s="10" cm="1">
        <f t="array" aca="1" ref="FD283" ca="1">(1-$B$18)*SUMPRODUCT(OFFSET($BO$15,0,0,$B$14,1), 1*(_xlfn._xlws.FILTER(OFFSET($O$15,0,$DN283,$B$8,1),OFFSET($M$15,0,0,$B$8,1))=FD$13), 1*(_xlfn._xlws.FILTER(OFFSET($O$15,0,$DO283,$B$8,1),OFFSET($M$15,0,0,$B$8,1))=FD$14))   /   SUM(OFFSET($BO$15,0,0,$B$14,1)) + $B$18/($B$19*$B$19*($DN283&lt;&gt;$DO283) + $B$19*($DN283=$DO283))</f>
        <v>3.7037037037037035E-4</v>
      </c>
      <c r="FE283" s="10" cm="1">
        <f t="array" aca="1" ref="FE283" ca="1">(1-$B$18)*SUMPRODUCT(OFFSET($BO$15,0,0,$B$14,1), 1*(_xlfn._xlws.FILTER(OFFSET($O$15,0,$DN283,$B$8,1),OFFSET($M$15,0,0,$B$8,1))=FE$13), 1*(_xlfn._xlws.FILTER(OFFSET($O$15,0,$DO283,$B$8,1),OFFSET($M$15,0,0,$B$8,1))=FE$14))   /   SUM(OFFSET($BO$15,0,0,$B$14,1)) + $B$18/($B$19*$B$19*($DN283&lt;&gt;$DO283) + $B$19*($DN283=$DO283))</f>
        <v>3.7037037037037035E-4</v>
      </c>
      <c r="FF283" s="10" cm="1">
        <f t="array" aca="1" ref="FF283" ca="1">(1-$B$18)*SUMPRODUCT(OFFSET($BO$15,0,0,$B$14,1), 1*(_xlfn._xlws.FILTER(OFFSET($O$15,0,$DN283,$B$8,1),OFFSET($M$15,0,0,$B$8,1))=FF$13), 1*(_xlfn._xlws.FILTER(OFFSET($O$15,0,$DO283,$B$8,1),OFFSET($M$15,0,0,$B$8,1))=FF$14))   /   SUM(OFFSET($BO$15,0,0,$B$14,1)) + $B$18/($B$19*$B$19*($DN283&lt;&gt;$DO283) + $B$19*($DN283=$DO283))</f>
        <v>3.7037037037037035E-4</v>
      </c>
      <c r="FG283" s="10" cm="1">
        <f t="array" aca="1" ref="FG283" ca="1">(1-$B$18)*SUMPRODUCT(OFFSET($BO$15,0,0,$B$14,1), 1*(_xlfn._xlws.FILTER(OFFSET($O$15,0,$DN283,$B$8,1),OFFSET($M$15,0,0,$B$8,1))=FG$13), 1*(_xlfn._xlws.FILTER(OFFSET($O$15,0,$DO283,$B$8,1),OFFSET($M$15,0,0,$B$8,1))=FG$14))   /   SUM(OFFSET($BO$15,0,0,$B$14,1)) + $B$18/($B$19*$B$19*($DN283&lt;&gt;$DO283) + $B$19*($DN283=$DO283))</f>
        <v>3.7037037037037035E-4</v>
      </c>
      <c r="FH283" s="10" cm="1">
        <f t="array" aca="1" ref="FH283" ca="1">(1-$B$18)*SUMPRODUCT(OFFSET($BO$15,0,0,$B$14,1), 1*(_xlfn._xlws.FILTER(OFFSET($O$15,0,$DN283,$B$8,1),OFFSET($M$15,0,0,$B$8,1))=FH$13), 1*(_xlfn._xlws.FILTER(OFFSET($O$15,0,$DO283,$B$8,1),OFFSET($M$15,0,0,$B$8,1))=FH$14))   /   SUM(OFFSET($BO$15,0,0,$B$14,1)) + $B$18/($B$19*$B$19*($DN283&lt;&gt;$DO283) + $B$19*($DN283=$DO283))</f>
        <v>3.7037037037037035E-4</v>
      </c>
      <c r="FI283" s="10" cm="1">
        <f t="array" aca="1" ref="FI283" ca="1">(1-$B$18)*SUMPRODUCT(OFFSET($BO$15,0,0,$B$14,1), 1*(_xlfn._xlws.FILTER(OFFSET($O$15,0,$DN283,$B$8,1),OFFSET($M$15,0,0,$B$8,1))=FI$13), 1*(_xlfn._xlws.FILTER(OFFSET($O$15,0,$DO283,$B$8,1),OFFSET($M$15,0,0,$B$8,1))=FI$14))   /   SUM(OFFSET($BO$15,0,0,$B$14,1)) + $B$18/($B$19*$B$19*($DN283&lt;&gt;$DO283) + $B$19*($DN283=$DO283))</f>
        <v>3.7037037037037035E-4</v>
      </c>
      <c r="FJ283" s="10" cm="1">
        <f t="array" aca="1" ref="FJ283" ca="1">(1-$B$18)*SUMPRODUCT(OFFSET($BO$15,0,0,$B$14,1), 1*(_xlfn._xlws.FILTER(OFFSET($O$15,0,$DN283,$B$8,1),OFFSET($M$15,0,0,$B$8,1))=FJ$13), 1*(_xlfn._xlws.FILTER(OFFSET($O$15,0,$DO283,$B$8,1),OFFSET($M$15,0,0,$B$8,1))=FJ$14))   /   SUM(OFFSET($BO$15,0,0,$B$14,1)) + $B$18/($B$19*$B$19*($DN283&lt;&gt;$DO283) + $B$19*($DN283=$DO283))</f>
        <v>3.7037037037037035E-4</v>
      </c>
      <c r="FK283" s="10" cm="1">
        <f t="array" aca="1" ref="FK283" ca="1">(1-$B$18)*SUMPRODUCT(OFFSET($BO$15,0,0,$B$14,1), 1*(_xlfn._xlws.FILTER(OFFSET($O$15,0,$DN283,$B$8,1),OFFSET($M$15,0,0,$B$8,1))=FK$13), 1*(_xlfn._xlws.FILTER(OFFSET($O$15,0,$DO283,$B$8,1),OFFSET($M$15,0,0,$B$8,1))=FK$14))   /   SUM(OFFSET($BO$15,0,0,$B$14,1)) + $B$18/($B$19*$B$19*($DN283&lt;&gt;$DO283) + $B$19*($DN283=$DO283))</f>
        <v>3.7037037037037035E-4</v>
      </c>
      <c r="FL283" s="10" cm="1">
        <f t="array" aca="1" ref="FL283" ca="1">(1-$B$18)*SUMPRODUCT(OFFSET($BO$15,0,0,$B$14,1), 1*(_xlfn._xlws.FILTER(OFFSET($O$15,0,$DN283,$B$8,1),OFFSET($M$15,0,0,$B$8,1))=FL$13), 1*(_xlfn._xlws.FILTER(OFFSET($O$15,0,$DO283,$B$8,1),OFFSET($M$15,0,0,$B$8,1))=FL$14))   /   SUM(OFFSET($BO$15,0,0,$B$14,1)) + $B$18/($B$19*$B$19*($DN283&lt;&gt;$DO283) + $B$19*($DN283=$DO283))</f>
        <v>3.7037037037037035E-4</v>
      </c>
      <c r="FM283" s="10" cm="1">
        <f t="array" aca="1" ref="FM283" ca="1">(1-$B$18)*SUMPRODUCT(OFFSET($BO$15,0,0,$B$14,1), 1*(_xlfn._xlws.FILTER(OFFSET($O$15,0,$DN283,$B$8,1),OFFSET($M$15,0,0,$B$8,1))=FM$13), 1*(_xlfn._xlws.FILTER(OFFSET($O$15,0,$DO283,$B$8,1),OFFSET($M$15,0,0,$B$8,1))=FM$14))   /   SUM(OFFSET($BO$15,0,0,$B$14,1)) + $B$18/($B$19*$B$19*($DN283&lt;&gt;$DO283) + $B$19*($DN283=$DO283))</f>
        <v>3.7037037037037035E-4</v>
      </c>
      <c r="FN283" s="10" cm="1">
        <f t="array" aca="1" ref="FN283" ca="1">(1-$B$18)*SUMPRODUCT(OFFSET($BO$15,0,0,$B$14,1), 1*(_xlfn._xlws.FILTER(OFFSET($O$15,0,$DN283,$B$8,1),OFFSET($M$15,0,0,$B$8,1))=FN$13), 1*(_xlfn._xlws.FILTER(OFFSET($O$15,0,$DO283,$B$8,1),OFFSET($M$15,0,0,$B$8,1))=FN$14))   /   SUM(OFFSET($BO$15,0,0,$B$14,1)) + $B$18/($B$19*$B$19*($DN283&lt;&gt;$DO283) + $B$19*($DN283=$DO283))</f>
        <v>3.7037037037037035E-4</v>
      </c>
      <c r="FO283" s="10" cm="1">
        <f t="array" aca="1" ref="FO283" ca="1">(1-$B$18)*SUMPRODUCT(OFFSET($BO$15,0,0,$B$14,1), 1*(_xlfn._xlws.FILTER(OFFSET($O$15,0,$DN283,$B$8,1),OFFSET($M$15,0,0,$B$8,1))=FO$13), 1*(_xlfn._xlws.FILTER(OFFSET($O$15,0,$DO283,$B$8,1),OFFSET($M$15,0,0,$B$8,1))=FO$14))   /   SUM(OFFSET($BO$15,0,0,$B$14,1)) + $B$18/($B$19*$B$19*($DN283&lt;&gt;$DO283) + $B$19*($DN283=$DO283))</f>
        <v>3.7037037037037035E-4</v>
      </c>
      <c r="FP283" s="10" cm="1">
        <f t="array" aca="1" ref="FP283" ca="1">(1-$B$18)*SUMPRODUCT(OFFSET($BO$15,0,0,$B$14,1), 1*(_xlfn._xlws.FILTER(OFFSET($O$15,0,$DN283,$B$8,1),OFFSET($M$15,0,0,$B$8,1))=FP$13), 1*(_xlfn._xlws.FILTER(OFFSET($O$15,0,$DO283,$B$8,1),OFFSET($M$15,0,0,$B$8,1))=FP$14))   /   SUM(OFFSET($BO$15,0,0,$B$14,1)) + $B$18/($B$19*$B$19*($DN283&lt;&gt;$DO283) + $B$19*($DN283=$DO283))</f>
        <v>3.7037037037037035E-4</v>
      </c>
      <c r="FQ283" s="10" cm="1">
        <f t="array" aca="1" ref="FQ283" ca="1">(1-$B$18)*SUMPRODUCT(OFFSET($BO$15,0,0,$B$14,1), 1*(_xlfn._xlws.FILTER(OFFSET($O$15,0,$DN283,$B$8,1),OFFSET($M$15,0,0,$B$8,1))=FQ$13), 1*(_xlfn._xlws.FILTER(OFFSET($O$15,0,$DO283,$B$8,1),OFFSET($M$15,0,0,$B$8,1))=FQ$14))   /   SUM(OFFSET($BO$15,0,0,$B$14,1)) + $B$18/($B$19*$B$19*($DN283&lt;&gt;$DO283) + $B$19*($DN283=$DO283))</f>
        <v>3.7037037037037035E-4</v>
      </c>
      <c r="FR283" s="10" cm="1">
        <f t="array" aca="1" ref="FR283" ca="1">(1-$B$18)*SUMPRODUCT(OFFSET($BO$15,0,0,$B$14,1), 1*(_xlfn._xlws.FILTER(OFFSET($O$15,0,$DN283,$B$8,1),OFFSET($M$15,0,0,$B$8,1))=FR$13), 1*(_xlfn._xlws.FILTER(OFFSET($O$15,0,$DO283,$B$8,1),OFFSET($M$15,0,0,$B$8,1))=FR$14))   /   SUM(OFFSET($BO$15,0,0,$B$14,1)) + $B$18/($B$19*$B$19*($DN283&lt;&gt;$DO283) + $B$19*($DN283=$DO283))</f>
        <v>3.7037037037037035E-4</v>
      </c>
      <c r="FS283" s="10" cm="1">
        <f t="array" aca="1" ref="FS283" ca="1">(1-$B$18)*SUMPRODUCT(OFFSET($BO$15,0,0,$B$14,1), 1*(_xlfn._xlws.FILTER(OFFSET($O$15,0,$DN283,$B$8,1),OFFSET($M$15,0,0,$B$8,1))=FS$13), 1*(_xlfn._xlws.FILTER(OFFSET($O$15,0,$DO283,$B$8,1),OFFSET($M$15,0,0,$B$8,1))=FS$14))   /   SUM(OFFSET($BO$15,0,0,$B$14,1)) + $B$18/($B$19*$B$19*($DN283&lt;&gt;$DO283) + $B$19*($DN283=$DO283))</f>
        <v>3.7037037037037035E-4</v>
      </c>
      <c r="FT283" s="10" cm="1">
        <f t="array" aca="1" ref="FT283" ca="1">(1-$B$18)*SUMPRODUCT(OFFSET($BO$15,0,0,$B$14,1), 1*(_xlfn._xlws.FILTER(OFFSET($O$15,0,$DN283,$B$8,1),OFFSET($M$15,0,0,$B$8,1))=FT$13), 1*(_xlfn._xlws.FILTER(OFFSET($O$15,0,$DO283,$B$8,1),OFFSET($M$15,0,0,$B$8,1))=FT$14))   /   SUM(OFFSET($BO$15,0,0,$B$14,1)) + $B$18/($B$19*$B$19*($DN283&lt;&gt;$DO283) + $B$19*($DN283=$DO283))</f>
        <v>3.7037037037037035E-4</v>
      </c>
      <c r="FU283" s="10" cm="1">
        <f t="array" aca="1" ref="FU283" ca="1">(1-$B$18)*SUMPRODUCT(OFFSET($BO$15,0,0,$B$14,1), 1*(_xlfn._xlws.FILTER(OFFSET($O$15,0,$DN283,$B$8,1),OFFSET($M$15,0,0,$B$8,1))=FU$13), 1*(_xlfn._xlws.FILTER(OFFSET($O$15,0,$DO283,$B$8,1),OFFSET($M$15,0,0,$B$8,1))=FU$14))   /   SUM(OFFSET($BO$15,0,0,$B$14,1)) + $B$18/($B$19*$B$19*($DN283&lt;&gt;$DO283) + $B$19*($DN283=$DO283))</f>
        <v>3.7037037037037035E-4</v>
      </c>
      <c r="FV283" s="10" cm="1">
        <f t="array" aca="1" ref="FV283" ca="1">(1-$B$18)*SUMPRODUCT(OFFSET($BO$15,0,0,$B$14,1), 1*(_xlfn._xlws.FILTER(OFFSET($O$15,0,$DN283,$B$8,1),OFFSET($M$15,0,0,$B$8,1))=FV$13), 1*(_xlfn._xlws.FILTER(OFFSET($O$15,0,$DO283,$B$8,1),OFFSET($M$15,0,0,$B$8,1))=FV$14))   /   SUM(OFFSET($BO$15,0,0,$B$14,1)) + $B$18/($B$19*$B$19*($DN283&lt;&gt;$DO283) + $B$19*($DN283=$DO283))</f>
        <v>3.7037037037037035E-4</v>
      </c>
      <c r="FW283" s="10" cm="1">
        <f t="array" aca="1" ref="FW283" ca="1">(1-$B$18)*SUMPRODUCT(OFFSET($BO$15,0,0,$B$14,1), 1*(_xlfn._xlws.FILTER(OFFSET($O$15,0,$DN283,$B$8,1),OFFSET($M$15,0,0,$B$8,1))=FW$13), 1*(_xlfn._xlws.FILTER(OFFSET($O$15,0,$DO283,$B$8,1),OFFSET($M$15,0,0,$B$8,1))=FW$14))   /   SUM(OFFSET($BO$15,0,0,$B$14,1)) + $B$18/($B$19*$B$19*($DN283&lt;&gt;$DO283) + $B$19*($DN283=$DO283))</f>
        <v>3.7037037037037035E-4</v>
      </c>
      <c r="FX283" s="10" cm="1">
        <f t="array" aca="1" ref="FX283" ca="1">(1-$B$18)*SUMPRODUCT(OFFSET($BO$15,0,0,$B$14,1), 1*(_xlfn._xlws.FILTER(OFFSET($O$15,0,$DN283,$B$8,1),OFFSET($M$15,0,0,$B$8,1))=FX$13), 1*(_xlfn._xlws.FILTER(OFFSET($O$15,0,$DO283,$B$8,1),OFFSET($M$15,0,0,$B$8,1))=FX$14))   /   SUM(OFFSET($BO$15,0,0,$B$14,1)) + $B$18/($B$19*$B$19*($DN283&lt;&gt;$DO283) + $B$19*($DN283=$DO283))</f>
        <v>3.7037037037037035E-4</v>
      </c>
      <c r="FY283" s="10" cm="1">
        <f t="array" aca="1" ref="FY283" ca="1">(1-$B$18)*SUMPRODUCT(OFFSET($BO$15,0,0,$B$14,1), 1*(_xlfn._xlws.FILTER(OFFSET($O$15,0,$DN283,$B$8,1),OFFSET($M$15,0,0,$B$8,1))=FY$13), 1*(_xlfn._xlws.FILTER(OFFSET($O$15,0,$DO283,$B$8,1),OFFSET($M$15,0,0,$B$8,1))=FY$14))   /   SUM(OFFSET($BO$15,0,0,$B$14,1)) + $B$18/($B$19*$B$19*($DN283&lt;&gt;$DO283) + $B$19*($DN283=$DO283))</f>
        <v>3.7037037037037035E-4</v>
      </c>
      <c r="FZ283" s="10" cm="1">
        <f t="array" aca="1" ref="FZ283" ca="1">(1-$B$18)*SUMPRODUCT(OFFSET($BO$15,0,0,$B$14,1), 1*(_xlfn._xlws.FILTER(OFFSET($O$15,0,$DN283,$B$8,1),OFFSET($M$15,0,0,$B$8,1))=FZ$13), 1*(_xlfn._xlws.FILTER(OFFSET($O$15,0,$DO283,$B$8,1),OFFSET($M$15,0,0,$B$8,1))=FZ$14))   /   SUM(OFFSET($BO$15,0,0,$B$14,1)) + $B$18/($B$19*$B$19*($DN283&lt;&gt;$DO283) + $B$19*($DN283=$DO283))</f>
        <v>3.7037037037037035E-4</v>
      </c>
      <c r="GA283" s="10" cm="1">
        <f t="array" aca="1" ref="GA283" ca="1">(1-$B$18)*SUMPRODUCT(OFFSET($BO$15,0,0,$B$14,1), 1*(_xlfn._xlws.FILTER(OFFSET($O$15,0,$DN283,$B$8,1),OFFSET($M$15,0,0,$B$8,1))=GA$13), 1*(_xlfn._xlws.FILTER(OFFSET($O$15,0,$DO283,$B$8,1),OFFSET($M$15,0,0,$B$8,1))=GA$14))   /   SUM(OFFSET($BO$15,0,0,$B$14,1)) + $B$18/($B$19*$B$19*($DN283&lt;&gt;$DO283) + $B$19*($DN283=$DO283))</f>
        <v>3.7037037037037035E-4</v>
      </c>
    </row>
    <row r="284" spans="118:183" x14ac:dyDescent="0.2">
      <c r="DN284" cm="1">
        <f t="array" aca="1" ref="DN284" ca="1">INDEX(_xlfn.ANCHORARRAY($CP$15), 1 + INT((ROWS($DO$15:$DO284) - 1) / ROWS(_xlfn.ANCHORARRAY($CP$15))))</f>
        <v>15</v>
      </c>
      <c r="DO284" cm="1">
        <f t="array" aca="1" ref="DO284" ca="1">INDEX(_xlfn.ANCHORARRAY($CP$15),1+MOD(ROWS($DO$15:$DO284)-1,ROWS(_xlfn.ANCHORARRAY($CP$15))))</f>
        <v>3</v>
      </c>
      <c r="DP284" s="10" cm="1">
        <f t="array" aca="1" ref="DP284" ca="1">(1-$B$18)*SUMPRODUCT(OFFSET($BO$15,0,0,$B$14,1), 1*(_xlfn._xlws.FILTER(OFFSET($O$15,0,$DN284,$B$8,1),OFFSET($M$15,0,0,$B$8,1))=DP$13), 1*(_xlfn._xlws.FILTER(OFFSET($O$15,0,$DO284,$B$8,1),OFFSET($M$15,0,0,$B$8,1))=DP$14))   /   SUM(OFFSET($BO$15,0,0,$B$14,1)) + $B$18/($B$19*$B$19*($DN284&lt;&gt;$DO284) + $B$19*($DN284=$DO284))</f>
        <v>3.7037037037037035E-4</v>
      </c>
      <c r="DQ284" s="10" cm="1">
        <f t="array" aca="1" ref="DQ284" ca="1">(1-$B$18)*SUMPRODUCT(OFFSET($BO$15,0,0,$B$14,1), 1*(_xlfn._xlws.FILTER(OFFSET($O$15,0,$DN284,$B$8,1),OFFSET($M$15,0,0,$B$8,1))=DQ$13), 1*(_xlfn._xlws.FILTER(OFFSET($O$15,0,$DO284,$B$8,1),OFFSET($M$15,0,0,$B$8,1))=DQ$14))   /   SUM(OFFSET($BO$15,0,0,$B$14,1)) + $B$18/($B$19*$B$19*($DN284&lt;&gt;$DO284) + $B$19*($DN284=$DO284))</f>
        <v>3.7037037037037035E-4</v>
      </c>
      <c r="DR284" s="10" cm="1">
        <f t="array" aca="1" ref="DR284" ca="1">(1-$B$18)*SUMPRODUCT(OFFSET($BO$15,0,0,$B$14,1), 1*(_xlfn._xlws.FILTER(OFFSET($O$15,0,$DN284,$B$8,1),OFFSET($M$15,0,0,$B$8,1))=DR$13), 1*(_xlfn._xlws.FILTER(OFFSET($O$15,0,$DO284,$B$8,1),OFFSET($M$15,0,0,$B$8,1))=DR$14))   /   SUM(OFFSET($BO$15,0,0,$B$14,1)) + $B$18/($B$19*$B$19*($DN284&lt;&gt;$DO284) + $B$19*($DN284=$DO284))</f>
        <v>3.7037037037037035E-4</v>
      </c>
      <c r="DS284" s="10" cm="1">
        <f t="array" aca="1" ref="DS284" ca="1">(1-$B$18)*SUMPRODUCT(OFFSET($BO$15,0,0,$B$14,1), 1*(_xlfn._xlws.FILTER(OFFSET($O$15,0,$DN284,$B$8,1),OFFSET($M$15,0,0,$B$8,1))=DS$13), 1*(_xlfn._xlws.FILTER(OFFSET($O$15,0,$DO284,$B$8,1),OFFSET($M$15,0,0,$B$8,1))=DS$14))   /   SUM(OFFSET($BO$15,0,0,$B$14,1)) + $B$18/($B$19*$B$19*($DN284&lt;&gt;$DO284) + $B$19*($DN284=$DO284))</f>
        <v>3.7037037037037035E-4</v>
      </c>
      <c r="DT284" s="10" cm="1">
        <f t="array" aca="1" ref="DT284" ca="1">(1-$B$18)*SUMPRODUCT(OFFSET($BO$15,0,0,$B$14,1), 1*(_xlfn._xlws.FILTER(OFFSET($O$15,0,$DN284,$B$8,1),OFFSET($M$15,0,0,$B$8,1))=DT$13), 1*(_xlfn._xlws.FILTER(OFFSET($O$15,0,$DO284,$B$8,1),OFFSET($M$15,0,0,$B$8,1))=DT$14))   /   SUM(OFFSET($BO$15,0,0,$B$14,1)) + $B$18/($B$19*$B$19*($DN284&lt;&gt;$DO284) + $B$19*($DN284=$DO284))</f>
        <v>3.7037037037037035E-4</v>
      </c>
      <c r="DU284" s="10" cm="1">
        <f t="array" aca="1" ref="DU284" ca="1">(1-$B$18)*SUMPRODUCT(OFFSET($BO$15,0,0,$B$14,1), 1*(_xlfn._xlws.FILTER(OFFSET($O$15,0,$DN284,$B$8,1),OFFSET($M$15,0,0,$B$8,1))=DU$13), 1*(_xlfn._xlws.FILTER(OFFSET($O$15,0,$DO284,$B$8,1),OFFSET($M$15,0,0,$B$8,1))=DU$14))   /   SUM(OFFSET($BO$15,0,0,$B$14,1)) + $B$18/($B$19*$B$19*($DN284&lt;&gt;$DO284) + $B$19*($DN284=$DO284))</f>
        <v>3.7037037037037035E-4</v>
      </c>
      <c r="DV284" s="10" cm="1">
        <f t="array" aca="1" ref="DV284" ca="1">(1-$B$18)*SUMPRODUCT(OFFSET($BO$15,0,0,$B$14,1), 1*(_xlfn._xlws.FILTER(OFFSET($O$15,0,$DN284,$B$8,1),OFFSET($M$15,0,0,$B$8,1))=DV$13), 1*(_xlfn._xlws.FILTER(OFFSET($O$15,0,$DO284,$B$8,1),OFFSET($M$15,0,0,$B$8,1))=DV$14))   /   SUM(OFFSET($BO$15,0,0,$B$14,1)) + $B$18/($B$19*$B$19*($DN284&lt;&gt;$DO284) + $B$19*($DN284=$DO284))</f>
        <v>3.7037037037037035E-4</v>
      </c>
      <c r="DW284" s="10" cm="1">
        <f t="array" aca="1" ref="DW284" ca="1">(1-$B$18)*SUMPRODUCT(OFFSET($BO$15,0,0,$B$14,1), 1*(_xlfn._xlws.FILTER(OFFSET($O$15,0,$DN284,$B$8,1),OFFSET($M$15,0,0,$B$8,1))=DW$13), 1*(_xlfn._xlws.FILTER(OFFSET($O$15,0,$DO284,$B$8,1),OFFSET($M$15,0,0,$B$8,1))=DW$14))   /   SUM(OFFSET($BO$15,0,0,$B$14,1)) + $B$18/($B$19*$B$19*($DN284&lt;&gt;$DO284) + $B$19*($DN284=$DO284))</f>
        <v>3.7037037037037035E-4</v>
      </c>
      <c r="DX284" s="10" cm="1">
        <f t="array" aca="1" ref="DX284" ca="1">(1-$B$18)*SUMPRODUCT(OFFSET($BO$15,0,0,$B$14,1), 1*(_xlfn._xlws.FILTER(OFFSET($O$15,0,$DN284,$B$8,1),OFFSET($M$15,0,0,$B$8,1))=DX$13), 1*(_xlfn._xlws.FILTER(OFFSET($O$15,0,$DO284,$B$8,1),OFFSET($M$15,0,0,$B$8,1))=DX$14))   /   SUM(OFFSET($BO$15,0,0,$B$14,1)) + $B$18/($B$19*$B$19*($DN284&lt;&gt;$DO284) + $B$19*($DN284=$DO284))</f>
        <v>3.7037037037037035E-4</v>
      </c>
      <c r="DY284" s="10" cm="1">
        <f t="array" aca="1" ref="DY284" ca="1">(1-$B$18)*SUMPRODUCT(OFFSET($BO$15,0,0,$B$14,1), 1*(_xlfn._xlws.FILTER(OFFSET($O$15,0,$DN284,$B$8,1),OFFSET($M$15,0,0,$B$8,1))=DY$13), 1*(_xlfn._xlws.FILTER(OFFSET($O$15,0,$DO284,$B$8,1),OFFSET($M$15,0,0,$B$8,1))=DY$14))   /   SUM(OFFSET($BO$15,0,0,$B$14,1)) + $B$18/($B$19*$B$19*($DN284&lt;&gt;$DO284) + $B$19*($DN284=$DO284))</f>
        <v>3.7037037037037035E-4</v>
      </c>
      <c r="DZ284" s="10" cm="1">
        <f t="array" aca="1" ref="DZ284" ca="1">(1-$B$18)*SUMPRODUCT(OFFSET($BO$15,0,0,$B$14,1), 1*(_xlfn._xlws.FILTER(OFFSET($O$15,0,$DN284,$B$8,1),OFFSET($M$15,0,0,$B$8,1))=DZ$13), 1*(_xlfn._xlws.FILTER(OFFSET($O$15,0,$DO284,$B$8,1),OFFSET($M$15,0,0,$B$8,1))=DZ$14))   /   SUM(OFFSET($BO$15,0,0,$B$14,1)) + $B$18/($B$19*$B$19*($DN284&lt;&gt;$DO284) + $B$19*($DN284=$DO284))</f>
        <v>3.7037037037037035E-4</v>
      </c>
      <c r="EA284" s="10" cm="1">
        <f t="array" aca="1" ref="EA284" ca="1">(1-$B$18)*SUMPRODUCT(OFFSET($BO$15,0,0,$B$14,1), 1*(_xlfn._xlws.FILTER(OFFSET($O$15,0,$DN284,$B$8,1),OFFSET($M$15,0,0,$B$8,1))=EA$13), 1*(_xlfn._xlws.FILTER(OFFSET($O$15,0,$DO284,$B$8,1),OFFSET($M$15,0,0,$B$8,1))=EA$14))   /   SUM(OFFSET($BO$15,0,0,$B$14,1)) + $B$18/($B$19*$B$19*($DN284&lt;&gt;$DO284) + $B$19*($DN284=$DO284))</f>
        <v>3.7037037037037035E-4</v>
      </c>
      <c r="EB284" s="10" cm="1">
        <f t="array" aca="1" ref="EB284" ca="1">(1-$B$18)*SUMPRODUCT(OFFSET($BO$15,0,0,$B$14,1), 1*(_xlfn._xlws.FILTER(OFFSET($O$15,0,$DN284,$B$8,1),OFFSET($M$15,0,0,$B$8,1))=EB$13), 1*(_xlfn._xlws.FILTER(OFFSET($O$15,0,$DO284,$B$8,1),OFFSET($M$15,0,0,$B$8,1))=EB$14))   /   SUM(OFFSET($BO$15,0,0,$B$14,1)) + $B$18/($B$19*$B$19*($DN284&lt;&gt;$DO284) + $B$19*($DN284=$DO284))</f>
        <v>3.7037037037037035E-4</v>
      </c>
      <c r="EC284" s="10" cm="1">
        <f t="array" aca="1" ref="EC284" ca="1">(1-$B$18)*SUMPRODUCT(OFFSET($BO$15,0,0,$B$14,1), 1*(_xlfn._xlws.FILTER(OFFSET($O$15,0,$DN284,$B$8,1),OFFSET($M$15,0,0,$B$8,1))=EC$13), 1*(_xlfn._xlws.FILTER(OFFSET($O$15,0,$DO284,$B$8,1),OFFSET($M$15,0,0,$B$8,1))=EC$14))   /   SUM(OFFSET($BO$15,0,0,$B$14,1)) + $B$18/($B$19*$B$19*($DN284&lt;&gt;$DO284) + $B$19*($DN284=$DO284))</f>
        <v>3.7037037037037035E-4</v>
      </c>
      <c r="ED284" s="10" cm="1">
        <f t="array" aca="1" ref="ED284" ca="1">(1-$B$18)*SUMPRODUCT(OFFSET($BO$15,0,0,$B$14,1), 1*(_xlfn._xlws.FILTER(OFFSET($O$15,0,$DN284,$B$8,1),OFFSET($M$15,0,0,$B$8,1))=ED$13), 1*(_xlfn._xlws.FILTER(OFFSET($O$15,0,$DO284,$B$8,1),OFFSET($M$15,0,0,$B$8,1))=ED$14))   /   SUM(OFFSET($BO$15,0,0,$B$14,1)) + $B$18/($B$19*$B$19*($DN284&lt;&gt;$DO284) + $B$19*($DN284=$DO284))</f>
        <v>3.7037037037037035E-4</v>
      </c>
      <c r="EE284" s="10" cm="1">
        <f t="array" aca="1" ref="EE284" ca="1">(1-$B$18)*SUMPRODUCT(OFFSET($BO$15,0,0,$B$14,1), 1*(_xlfn._xlws.FILTER(OFFSET($O$15,0,$DN284,$B$8,1),OFFSET($M$15,0,0,$B$8,1))=EE$13), 1*(_xlfn._xlws.FILTER(OFFSET($O$15,0,$DO284,$B$8,1),OFFSET($M$15,0,0,$B$8,1))=EE$14))   /   SUM(OFFSET($BO$15,0,0,$B$14,1)) + $B$18/($B$19*$B$19*($DN284&lt;&gt;$DO284) + $B$19*($DN284=$DO284))</f>
        <v>3.7037037037037035E-4</v>
      </c>
      <c r="EF284" s="10" cm="1">
        <f t="array" aca="1" ref="EF284" ca="1">(1-$B$18)*SUMPRODUCT(OFFSET($BO$15,0,0,$B$14,1), 1*(_xlfn._xlws.FILTER(OFFSET($O$15,0,$DN284,$B$8,1),OFFSET($M$15,0,0,$B$8,1))=EF$13), 1*(_xlfn._xlws.FILTER(OFFSET($O$15,0,$DO284,$B$8,1),OFFSET($M$15,0,0,$B$8,1))=EF$14))   /   SUM(OFFSET($BO$15,0,0,$B$14,1)) + $B$18/($B$19*$B$19*($DN284&lt;&gt;$DO284) + $B$19*($DN284=$DO284))</f>
        <v>3.7037037037037035E-4</v>
      </c>
      <c r="EG284" s="10" cm="1">
        <f t="array" aca="1" ref="EG284" ca="1">(1-$B$18)*SUMPRODUCT(OFFSET($BO$15,0,0,$B$14,1), 1*(_xlfn._xlws.FILTER(OFFSET($O$15,0,$DN284,$B$8,1),OFFSET($M$15,0,0,$B$8,1))=EG$13), 1*(_xlfn._xlws.FILTER(OFFSET($O$15,0,$DO284,$B$8,1),OFFSET($M$15,0,0,$B$8,1))=EG$14))   /   SUM(OFFSET($BO$15,0,0,$B$14,1)) + $B$18/($B$19*$B$19*($DN284&lt;&gt;$DO284) + $B$19*($DN284=$DO284))</f>
        <v>3.7037037037037035E-4</v>
      </c>
      <c r="EH284" s="10" cm="1">
        <f t="array" aca="1" ref="EH284" ca="1">(1-$B$18)*SUMPRODUCT(OFFSET($BO$15,0,0,$B$14,1), 1*(_xlfn._xlws.FILTER(OFFSET($O$15,0,$DN284,$B$8,1),OFFSET($M$15,0,0,$B$8,1))=EH$13), 1*(_xlfn._xlws.FILTER(OFFSET($O$15,0,$DO284,$B$8,1),OFFSET($M$15,0,0,$B$8,1))=EH$14))   /   SUM(OFFSET($BO$15,0,0,$B$14,1)) + $B$18/($B$19*$B$19*($DN284&lt;&gt;$DO284) + $B$19*($DN284=$DO284))</f>
        <v>3.7037037037037035E-4</v>
      </c>
      <c r="EI284" s="10" cm="1">
        <f t="array" aca="1" ref="EI284" ca="1">(1-$B$18)*SUMPRODUCT(OFFSET($BO$15,0,0,$B$14,1), 1*(_xlfn._xlws.FILTER(OFFSET($O$15,0,$DN284,$B$8,1),OFFSET($M$15,0,0,$B$8,1))=EI$13), 1*(_xlfn._xlws.FILTER(OFFSET($O$15,0,$DO284,$B$8,1),OFFSET($M$15,0,0,$B$8,1))=EI$14))   /   SUM(OFFSET($BO$15,0,0,$B$14,1)) + $B$18/($B$19*$B$19*($DN284&lt;&gt;$DO284) + $B$19*($DN284=$DO284))</f>
        <v>3.7037037037037035E-4</v>
      </c>
      <c r="EJ284" s="10" cm="1">
        <f t="array" aca="1" ref="EJ284" ca="1">(1-$B$18)*SUMPRODUCT(OFFSET($BO$15,0,0,$B$14,1), 1*(_xlfn._xlws.FILTER(OFFSET($O$15,0,$DN284,$B$8,1),OFFSET($M$15,0,0,$B$8,1))=EJ$13), 1*(_xlfn._xlws.FILTER(OFFSET($O$15,0,$DO284,$B$8,1),OFFSET($M$15,0,0,$B$8,1))=EJ$14))   /   SUM(OFFSET($BO$15,0,0,$B$14,1)) + $B$18/($B$19*$B$19*($DN284&lt;&gt;$DO284) + $B$19*($DN284=$DO284))</f>
        <v>3.7037037037037035E-4</v>
      </c>
      <c r="EK284" s="10" cm="1">
        <f t="array" aca="1" ref="EK284" ca="1">(1-$B$18)*SUMPRODUCT(OFFSET($BO$15,0,0,$B$14,1), 1*(_xlfn._xlws.FILTER(OFFSET($O$15,0,$DN284,$B$8,1),OFFSET($M$15,0,0,$B$8,1))=EK$13), 1*(_xlfn._xlws.FILTER(OFFSET($O$15,0,$DO284,$B$8,1),OFFSET($M$15,0,0,$B$8,1))=EK$14))   /   SUM(OFFSET($BO$15,0,0,$B$14,1)) + $B$18/($B$19*$B$19*($DN284&lt;&gt;$DO284) + $B$19*($DN284=$DO284))</f>
        <v>3.7037037037037035E-4</v>
      </c>
      <c r="EL284" s="10" cm="1">
        <f t="array" aca="1" ref="EL284" ca="1">(1-$B$18)*SUMPRODUCT(OFFSET($BO$15,0,0,$B$14,1), 1*(_xlfn._xlws.FILTER(OFFSET($O$15,0,$DN284,$B$8,1),OFFSET($M$15,0,0,$B$8,1))=EL$13), 1*(_xlfn._xlws.FILTER(OFFSET($O$15,0,$DO284,$B$8,1),OFFSET($M$15,0,0,$B$8,1))=EL$14))   /   SUM(OFFSET($BO$15,0,0,$B$14,1)) + $B$18/($B$19*$B$19*($DN284&lt;&gt;$DO284) + $B$19*($DN284=$DO284))</f>
        <v>0.97037037037037033</v>
      </c>
      <c r="EM284" s="10" cm="1">
        <f t="array" aca="1" ref="EM284" ca="1">(1-$B$18)*SUMPRODUCT(OFFSET($BO$15,0,0,$B$14,1), 1*(_xlfn._xlws.FILTER(OFFSET($O$15,0,$DN284,$B$8,1),OFFSET($M$15,0,0,$B$8,1))=EM$13), 1*(_xlfn._xlws.FILTER(OFFSET($O$15,0,$DO284,$B$8,1),OFFSET($M$15,0,0,$B$8,1))=EM$14))   /   SUM(OFFSET($BO$15,0,0,$B$14,1)) + $B$18/($B$19*$B$19*($DN284&lt;&gt;$DO284) + $B$19*($DN284=$DO284))</f>
        <v>3.7037037037037035E-4</v>
      </c>
      <c r="EN284" s="10" cm="1">
        <f t="array" aca="1" ref="EN284" ca="1">(1-$B$18)*SUMPRODUCT(OFFSET($BO$15,0,0,$B$14,1), 1*(_xlfn._xlws.FILTER(OFFSET($O$15,0,$DN284,$B$8,1),OFFSET($M$15,0,0,$B$8,1))=EN$13), 1*(_xlfn._xlws.FILTER(OFFSET($O$15,0,$DO284,$B$8,1),OFFSET($M$15,0,0,$B$8,1))=EN$14))   /   SUM(OFFSET($BO$15,0,0,$B$14,1)) + $B$18/($B$19*$B$19*($DN284&lt;&gt;$DO284) + $B$19*($DN284=$DO284))</f>
        <v>3.7037037037037035E-4</v>
      </c>
      <c r="EO284" s="10" cm="1">
        <f t="array" aca="1" ref="EO284" ca="1">(1-$B$18)*SUMPRODUCT(OFFSET($BO$15,0,0,$B$14,1), 1*(_xlfn._xlws.FILTER(OFFSET($O$15,0,$DN284,$B$8,1),OFFSET($M$15,0,0,$B$8,1))=EO$13), 1*(_xlfn._xlws.FILTER(OFFSET($O$15,0,$DO284,$B$8,1),OFFSET($M$15,0,0,$B$8,1))=EO$14))   /   SUM(OFFSET($BO$15,0,0,$B$14,1)) + $B$18/($B$19*$B$19*($DN284&lt;&gt;$DO284) + $B$19*($DN284=$DO284))</f>
        <v>3.7037037037037035E-4</v>
      </c>
      <c r="EP284" s="10" cm="1">
        <f t="array" aca="1" ref="EP284" ca="1">(1-$B$18)*SUMPRODUCT(OFFSET($BO$15,0,0,$B$14,1), 1*(_xlfn._xlws.FILTER(OFFSET($O$15,0,$DN284,$B$8,1),OFFSET($M$15,0,0,$B$8,1))=EP$13), 1*(_xlfn._xlws.FILTER(OFFSET($O$15,0,$DO284,$B$8,1),OFFSET($M$15,0,0,$B$8,1))=EP$14))   /   SUM(OFFSET($BO$15,0,0,$B$14,1)) + $B$18/($B$19*$B$19*($DN284&lt;&gt;$DO284) + $B$19*($DN284=$DO284))</f>
        <v>3.7037037037037035E-4</v>
      </c>
      <c r="EQ284" s="10" cm="1">
        <f t="array" aca="1" ref="EQ284" ca="1">(1-$B$18)*SUMPRODUCT(OFFSET($BO$15,0,0,$B$14,1), 1*(_xlfn._xlws.FILTER(OFFSET($O$15,0,$DN284,$B$8,1),OFFSET($M$15,0,0,$B$8,1))=EQ$13), 1*(_xlfn._xlws.FILTER(OFFSET($O$15,0,$DO284,$B$8,1),OFFSET($M$15,0,0,$B$8,1))=EQ$14))   /   SUM(OFFSET($BO$15,0,0,$B$14,1)) + $B$18/($B$19*$B$19*($DN284&lt;&gt;$DO284) + $B$19*($DN284=$DO284))</f>
        <v>3.7037037037037035E-4</v>
      </c>
      <c r="ER284" s="10" cm="1">
        <f t="array" aca="1" ref="ER284" ca="1">(1-$B$18)*SUMPRODUCT(OFFSET($BO$15,0,0,$B$14,1), 1*(_xlfn._xlws.FILTER(OFFSET($O$15,0,$DN284,$B$8,1),OFFSET($M$15,0,0,$B$8,1))=ER$13), 1*(_xlfn._xlws.FILTER(OFFSET($O$15,0,$DO284,$B$8,1),OFFSET($M$15,0,0,$B$8,1))=ER$14))   /   SUM(OFFSET($BO$15,0,0,$B$14,1)) + $B$18/($B$19*$B$19*($DN284&lt;&gt;$DO284) + $B$19*($DN284=$DO284))</f>
        <v>3.7037037037037035E-4</v>
      </c>
      <c r="ES284" s="10" cm="1">
        <f t="array" aca="1" ref="ES284" ca="1">(1-$B$18)*SUMPRODUCT(OFFSET($BO$15,0,0,$B$14,1), 1*(_xlfn._xlws.FILTER(OFFSET($O$15,0,$DN284,$B$8,1),OFFSET($M$15,0,0,$B$8,1))=ES$13), 1*(_xlfn._xlws.FILTER(OFFSET($O$15,0,$DO284,$B$8,1),OFFSET($M$15,0,0,$B$8,1))=ES$14))   /   SUM(OFFSET($BO$15,0,0,$B$14,1)) + $B$18/($B$19*$B$19*($DN284&lt;&gt;$DO284) + $B$19*($DN284=$DO284))</f>
        <v>3.7037037037037035E-4</v>
      </c>
      <c r="ET284" s="10" cm="1">
        <f t="array" aca="1" ref="ET284" ca="1">(1-$B$18)*SUMPRODUCT(OFFSET($BO$15,0,0,$B$14,1), 1*(_xlfn._xlws.FILTER(OFFSET($O$15,0,$DN284,$B$8,1),OFFSET($M$15,0,0,$B$8,1))=ET$13), 1*(_xlfn._xlws.FILTER(OFFSET($O$15,0,$DO284,$B$8,1),OFFSET($M$15,0,0,$B$8,1))=ET$14))   /   SUM(OFFSET($BO$15,0,0,$B$14,1)) + $B$18/($B$19*$B$19*($DN284&lt;&gt;$DO284) + $B$19*($DN284=$DO284))</f>
        <v>3.7037037037037035E-4</v>
      </c>
      <c r="EU284" s="10" cm="1">
        <f t="array" aca="1" ref="EU284" ca="1">(1-$B$18)*SUMPRODUCT(OFFSET($BO$15,0,0,$B$14,1), 1*(_xlfn._xlws.FILTER(OFFSET($O$15,0,$DN284,$B$8,1),OFFSET($M$15,0,0,$B$8,1))=EU$13), 1*(_xlfn._xlws.FILTER(OFFSET($O$15,0,$DO284,$B$8,1),OFFSET($M$15,0,0,$B$8,1))=EU$14))   /   SUM(OFFSET($BO$15,0,0,$B$14,1)) + $B$18/($B$19*$B$19*($DN284&lt;&gt;$DO284) + $B$19*($DN284=$DO284))</f>
        <v>3.7037037037037035E-4</v>
      </c>
      <c r="EV284" s="10" cm="1">
        <f t="array" aca="1" ref="EV284" ca="1">(1-$B$18)*SUMPRODUCT(OFFSET($BO$15,0,0,$B$14,1), 1*(_xlfn._xlws.FILTER(OFFSET($O$15,0,$DN284,$B$8,1),OFFSET($M$15,0,0,$B$8,1))=EV$13), 1*(_xlfn._xlws.FILTER(OFFSET($O$15,0,$DO284,$B$8,1),OFFSET($M$15,0,0,$B$8,1))=EV$14))   /   SUM(OFFSET($BO$15,0,0,$B$14,1)) + $B$18/($B$19*$B$19*($DN284&lt;&gt;$DO284) + $B$19*($DN284=$DO284))</f>
        <v>3.7037037037037035E-4</v>
      </c>
      <c r="EW284" s="10" cm="1">
        <f t="array" aca="1" ref="EW284" ca="1">(1-$B$18)*SUMPRODUCT(OFFSET($BO$15,0,0,$B$14,1), 1*(_xlfn._xlws.FILTER(OFFSET($O$15,0,$DN284,$B$8,1),OFFSET($M$15,0,0,$B$8,1))=EW$13), 1*(_xlfn._xlws.FILTER(OFFSET($O$15,0,$DO284,$B$8,1),OFFSET($M$15,0,0,$B$8,1))=EW$14))   /   SUM(OFFSET($BO$15,0,0,$B$14,1)) + $B$18/($B$19*$B$19*($DN284&lt;&gt;$DO284) + $B$19*($DN284=$DO284))</f>
        <v>3.7037037037037035E-4</v>
      </c>
      <c r="EX284" s="10" cm="1">
        <f t="array" aca="1" ref="EX284" ca="1">(1-$B$18)*SUMPRODUCT(OFFSET($BO$15,0,0,$B$14,1), 1*(_xlfn._xlws.FILTER(OFFSET($O$15,0,$DN284,$B$8,1),OFFSET($M$15,0,0,$B$8,1))=EX$13), 1*(_xlfn._xlws.FILTER(OFFSET($O$15,0,$DO284,$B$8,1),OFFSET($M$15,0,0,$B$8,1))=EX$14))   /   SUM(OFFSET($BO$15,0,0,$B$14,1)) + $B$18/($B$19*$B$19*($DN284&lt;&gt;$DO284) + $B$19*($DN284=$DO284))</f>
        <v>3.7037037037037035E-4</v>
      </c>
      <c r="EY284" s="10" cm="1">
        <f t="array" aca="1" ref="EY284" ca="1">(1-$B$18)*SUMPRODUCT(OFFSET($BO$15,0,0,$B$14,1), 1*(_xlfn._xlws.FILTER(OFFSET($O$15,0,$DN284,$B$8,1),OFFSET($M$15,0,0,$B$8,1))=EY$13), 1*(_xlfn._xlws.FILTER(OFFSET($O$15,0,$DO284,$B$8,1),OFFSET($M$15,0,0,$B$8,1))=EY$14))   /   SUM(OFFSET($BO$15,0,0,$B$14,1)) + $B$18/($B$19*$B$19*($DN284&lt;&gt;$DO284) + $B$19*($DN284=$DO284))</f>
        <v>3.7037037037037035E-4</v>
      </c>
      <c r="EZ284" s="10" cm="1">
        <f t="array" aca="1" ref="EZ284" ca="1">(1-$B$18)*SUMPRODUCT(OFFSET($BO$15,0,0,$B$14,1), 1*(_xlfn._xlws.FILTER(OFFSET($O$15,0,$DN284,$B$8,1),OFFSET($M$15,0,0,$B$8,1))=EZ$13), 1*(_xlfn._xlws.FILTER(OFFSET($O$15,0,$DO284,$B$8,1),OFFSET($M$15,0,0,$B$8,1))=EZ$14))   /   SUM(OFFSET($BO$15,0,0,$B$14,1)) + $B$18/($B$19*$B$19*($DN284&lt;&gt;$DO284) + $B$19*($DN284=$DO284))</f>
        <v>3.7037037037037035E-4</v>
      </c>
      <c r="FA284" s="10" cm="1">
        <f t="array" aca="1" ref="FA284" ca="1">(1-$B$18)*SUMPRODUCT(OFFSET($BO$15,0,0,$B$14,1), 1*(_xlfn._xlws.FILTER(OFFSET($O$15,0,$DN284,$B$8,1),OFFSET($M$15,0,0,$B$8,1))=FA$13), 1*(_xlfn._xlws.FILTER(OFFSET($O$15,0,$DO284,$B$8,1),OFFSET($M$15,0,0,$B$8,1))=FA$14))   /   SUM(OFFSET($BO$15,0,0,$B$14,1)) + $B$18/($B$19*$B$19*($DN284&lt;&gt;$DO284) + $B$19*($DN284=$DO284))</f>
        <v>3.7037037037037035E-4</v>
      </c>
      <c r="FB284" s="10" cm="1">
        <f t="array" aca="1" ref="FB284" ca="1">(1-$B$18)*SUMPRODUCT(OFFSET($BO$15,0,0,$B$14,1), 1*(_xlfn._xlws.FILTER(OFFSET($O$15,0,$DN284,$B$8,1),OFFSET($M$15,0,0,$B$8,1))=FB$13), 1*(_xlfn._xlws.FILTER(OFFSET($O$15,0,$DO284,$B$8,1),OFFSET($M$15,0,0,$B$8,1))=FB$14))   /   SUM(OFFSET($BO$15,0,0,$B$14,1)) + $B$18/($B$19*$B$19*($DN284&lt;&gt;$DO284) + $B$19*($DN284=$DO284))</f>
        <v>3.7037037037037035E-4</v>
      </c>
      <c r="FC284" s="10" cm="1">
        <f t="array" aca="1" ref="FC284" ca="1">(1-$B$18)*SUMPRODUCT(OFFSET($BO$15,0,0,$B$14,1), 1*(_xlfn._xlws.FILTER(OFFSET($O$15,0,$DN284,$B$8,1),OFFSET($M$15,0,0,$B$8,1))=FC$13), 1*(_xlfn._xlws.FILTER(OFFSET($O$15,0,$DO284,$B$8,1),OFFSET($M$15,0,0,$B$8,1))=FC$14))   /   SUM(OFFSET($BO$15,0,0,$B$14,1)) + $B$18/($B$19*$B$19*($DN284&lt;&gt;$DO284) + $B$19*($DN284=$DO284))</f>
        <v>3.7037037037037035E-4</v>
      </c>
      <c r="FD284" s="10" cm="1">
        <f t="array" aca="1" ref="FD284" ca="1">(1-$B$18)*SUMPRODUCT(OFFSET($BO$15,0,0,$B$14,1), 1*(_xlfn._xlws.FILTER(OFFSET($O$15,0,$DN284,$B$8,1),OFFSET($M$15,0,0,$B$8,1))=FD$13), 1*(_xlfn._xlws.FILTER(OFFSET($O$15,0,$DO284,$B$8,1),OFFSET($M$15,0,0,$B$8,1))=FD$14))   /   SUM(OFFSET($BO$15,0,0,$B$14,1)) + $B$18/($B$19*$B$19*($DN284&lt;&gt;$DO284) + $B$19*($DN284=$DO284))</f>
        <v>3.7037037037037035E-4</v>
      </c>
      <c r="FE284" s="10" cm="1">
        <f t="array" aca="1" ref="FE284" ca="1">(1-$B$18)*SUMPRODUCT(OFFSET($BO$15,0,0,$B$14,1), 1*(_xlfn._xlws.FILTER(OFFSET($O$15,0,$DN284,$B$8,1),OFFSET($M$15,0,0,$B$8,1))=FE$13), 1*(_xlfn._xlws.FILTER(OFFSET($O$15,0,$DO284,$B$8,1),OFFSET($M$15,0,0,$B$8,1))=FE$14))   /   SUM(OFFSET($BO$15,0,0,$B$14,1)) + $B$18/($B$19*$B$19*($DN284&lt;&gt;$DO284) + $B$19*($DN284=$DO284))</f>
        <v>3.7037037037037035E-4</v>
      </c>
      <c r="FF284" s="10" cm="1">
        <f t="array" aca="1" ref="FF284" ca="1">(1-$B$18)*SUMPRODUCT(OFFSET($BO$15,0,0,$B$14,1), 1*(_xlfn._xlws.FILTER(OFFSET($O$15,0,$DN284,$B$8,1),OFFSET($M$15,0,0,$B$8,1))=FF$13), 1*(_xlfn._xlws.FILTER(OFFSET($O$15,0,$DO284,$B$8,1),OFFSET($M$15,0,0,$B$8,1))=FF$14))   /   SUM(OFFSET($BO$15,0,0,$B$14,1)) + $B$18/($B$19*$B$19*($DN284&lt;&gt;$DO284) + $B$19*($DN284=$DO284))</f>
        <v>3.7037037037037035E-4</v>
      </c>
      <c r="FG284" s="10" cm="1">
        <f t="array" aca="1" ref="FG284" ca="1">(1-$B$18)*SUMPRODUCT(OFFSET($BO$15,0,0,$B$14,1), 1*(_xlfn._xlws.FILTER(OFFSET($O$15,0,$DN284,$B$8,1),OFFSET($M$15,0,0,$B$8,1))=FG$13), 1*(_xlfn._xlws.FILTER(OFFSET($O$15,0,$DO284,$B$8,1),OFFSET($M$15,0,0,$B$8,1))=FG$14))   /   SUM(OFFSET($BO$15,0,0,$B$14,1)) + $B$18/($B$19*$B$19*($DN284&lt;&gt;$DO284) + $B$19*($DN284=$DO284))</f>
        <v>3.7037037037037035E-4</v>
      </c>
      <c r="FH284" s="10" cm="1">
        <f t="array" aca="1" ref="FH284" ca="1">(1-$B$18)*SUMPRODUCT(OFFSET($BO$15,0,0,$B$14,1), 1*(_xlfn._xlws.FILTER(OFFSET($O$15,0,$DN284,$B$8,1),OFFSET($M$15,0,0,$B$8,1))=FH$13), 1*(_xlfn._xlws.FILTER(OFFSET($O$15,0,$DO284,$B$8,1),OFFSET($M$15,0,0,$B$8,1))=FH$14))   /   SUM(OFFSET($BO$15,0,0,$B$14,1)) + $B$18/($B$19*$B$19*($DN284&lt;&gt;$DO284) + $B$19*($DN284=$DO284))</f>
        <v>3.7037037037037035E-4</v>
      </c>
      <c r="FI284" s="10" cm="1">
        <f t="array" aca="1" ref="FI284" ca="1">(1-$B$18)*SUMPRODUCT(OFFSET($BO$15,0,0,$B$14,1), 1*(_xlfn._xlws.FILTER(OFFSET($O$15,0,$DN284,$B$8,1),OFFSET($M$15,0,0,$B$8,1))=FI$13), 1*(_xlfn._xlws.FILTER(OFFSET($O$15,0,$DO284,$B$8,1),OFFSET($M$15,0,0,$B$8,1))=FI$14))   /   SUM(OFFSET($BO$15,0,0,$B$14,1)) + $B$18/($B$19*$B$19*($DN284&lt;&gt;$DO284) + $B$19*($DN284=$DO284))</f>
        <v>3.7037037037037035E-4</v>
      </c>
      <c r="FJ284" s="10" cm="1">
        <f t="array" aca="1" ref="FJ284" ca="1">(1-$B$18)*SUMPRODUCT(OFFSET($BO$15,0,0,$B$14,1), 1*(_xlfn._xlws.FILTER(OFFSET($O$15,0,$DN284,$B$8,1),OFFSET($M$15,0,0,$B$8,1))=FJ$13), 1*(_xlfn._xlws.FILTER(OFFSET($O$15,0,$DO284,$B$8,1),OFFSET($M$15,0,0,$B$8,1))=FJ$14))   /   SUM(OFFSET($BO$15,0,0,$B$14,1)) + $B$18/($B$19*$B$19*($DN284&lt;&gt;$DO284) + $B$19*($DN284=$DO284))</f>
        <v>3.7037037037037035E-4</v>
      </c>
      <c r="FK284" s="10" cm="1">
        <f t="array" aca="1" ref="FK284" ca="1">(1-$B$18)*SUMPRODUCT(OFFSET($BO$15,0,0,$B$14,1), 1*(_xlfn._xlws.FILTER(OFFSET($O$15,0,$DN284,$B$8,1),OFFSET($M$15,0,0,$B$8,1))=FK$13), 1*(_xlfn._xlws.FILTER(OFFSET($O$15,0,$DO284,$B$8,1),OFFSET($M$15,0,0,$B$8,1))=FK$14))   /   SUM(OFFSET($BO$15,0,0,$B$14,1)) + $B$18/($B$19*$B$19*($DN284&lt;&gt;$DO284) + $B$19*($DN284=$DO284))</f>
        <v>3.7037037037037035E-4</v>
      </c>
      <c r="FL284" s="10" cm="1">
        <f t="array" aca="1" ref="FL284" ca="1">(1-$B$18)*SUMPRODUCT(OFFSET($BO$15,0,0,$B$14,1), 1*(_xlfn._xlws.FILTER(OFFSET($O$15,0,$DN284,$B$8,1),OFFSET($M$15,0,0,$B$8,1))=FL$13), 1*(_xlfn._xlws.FILTER(OFFSET($O$15,0,$DO284,$B$8,1),OFFSET($M$15,0,0,$B$8,1))=FL$14))   /   SUM(OFFSET($BO$15,0,0,$B$14,1)) + $B$18/($B$19*$B$19*($DN284&lt;&gt;$DO284) + $B$19*($DN284=$DO284))</f>
        <v>3.7037037037037035E-4</v>
      </c>
      <c r="FM284" s="10" cm="1">
        <f t="array" aca="1" ref="FM284" ca="1">(1-$B$18)*SUMPRODUCT(OFFSET($BO$15,0,0,$B$14,1), 1*(_xlfn._xlws.FILTER(OFFSET($O$15,0,$DN284,$B$8,1),OFFSET($M$15,0,0,$B$8,1))=FM$13), 1*(_xlfn._xlws.FILTER(OFFSET($O$15,0,$DO284,$B$8,1),OFFSET($M$15,0,0,$B$8,1))=FM$14))   /   SUM(OFFSET($BO$15,0,0,$B$14,1)) + $B$18/($B$19*$B$19*($DN284&lt;&gt;$DO284) + $B$19*($DN284=$DO284))</f>
        <v>3.7037037037037035E-4</v>
      </c>
      <c r="FN284" s="10" cm="1">
        <f t="array" aca="1" ref="FN284" ca="1">(1-$B$18)*SUMPRODUCT(OFFSET($BO$15,0,0,$B$14,1), 1*(_xlfn._xlws.FILTER(OFFSET($O$15,0,$DN284,$B$8,1),OFFSET($M$15,0,0,$B$8,1))=FN$13), 1*(_xlfn._xlws.FILTER(OFFSET($O$15,0,$DO284,$B$8,1),OFFSET($M$15,0,0,$B$8,1))=FN$14))   /   SUM(OFFSET($BO$15,0,0,$B$14,1)) + $B$18/($B$19*$B$19*($DN284&lt;&gt;$DO284) + $B$19*($DN284=$DO284))</f>
        <v>3.7037037037037035E-4</v>
      </c>
      <c r="FO284" s="10" cm="1">
        <f t="array" aca="1" ref="FO284" ca="1">(1-$B$18)*SUMPRODUCT(OFFSET($BO$15,0,0,$B$14,1), 1*(_xlfn._xlws.FILTER(OFFSET($O$15,0,$DN284,$B$8,1),OFFSET($M$15,0,0,$B$8,1))=FO$13), 1*(_xlfn._xlws.FILTER(OFFSET($O$15,0,$DO284,$B$8,1),OFFSET($M$15,0,0,$B$8,1))=FO$14))   /   SUM(OFFSET($BO$15,0,0,$B$14,1)) + $B$18/($B$19*$B$19*($DN284&lt;&gt;$DO284) + $B$19*($DN284=$DO284))</f>
        <v>3.7037037037037035E-4</v>
      </c>
      <c r="FP284" s="10" cm="1">
        <f t="array" aca="1" ref="FP284" ca="1">(1-$B$18)*SUMPRODUCT(OFFSET($BO$15,0,0,$B$14,1), 1*(_xlfn._xlws.FILTER(OFFSET($O$15,0,$DN284,$B$8,1),OFFSET($M$15,0,0,$B$8,1))=FP$13), 1*(_xlfn._xlws.FILTER(OFFSET($O$15,0,$DO284,$B$8,1),OFFSET($M$15,0,0,$B$8,1))=FP$14))   /   SUM(OFFSET($BO$15,0,0,$B$14,1)) + $B$18/($B$19*$B$19*($DN284&lt;&gt;$DO284) + $B$19*($DN284=$DO284))</f>
        <v>3.7037037037037035E-4</v>
      </c>
      <c r="FQ284" s="10" cm="1">
        <f t="array" aca="1" ref="FQ284" ca="1">(1-$B$18)*SUMPRODUCT(OFFSET($BO$15,0,0,$B$14,1), 1*(_xlfn._xlws.FILTER(OFFSET($O$15,0,$DN284,$B$8,1),OFFSET($M$15,0,0,$B$8,1))=FQ$13), 1*(_xlfn._xlws.FILTER(OFFSET($O$15,0,$DO284,$B$8,1),OFFSET($M$15,0,0,$B$8,1))=FQ$14))   /   SUM(OFFSET($BO$15,0,0,$B$14,1)) + $B$18/($B$19*$B$19*($DN284&lt;&gt;$DO284) + $B$19*($DN284=$DO284))</f>
        <v>3.7037037037037035E-4</v>
      </c>
      <c r="FR284" s="10" cm="1">
        <f t="array" aca="1" ref="FR284" ca="1">(1-$B$18)*SUMPRODUCT(OFFSET($BO$15,0,0,$B$14,1), 1*(_xlfn._xlws.FILTER(OFFSET($O$15,0,$DN284,$B$8,1),OFFSET($M$15,0,0,$B$8,1))=FR$13), 1*(_xlfn._xlws.FILTER(OFFSET($O$15,0,$DO284,$B$8,1),OFFSET($M$15,0,0,$B$8,1))=FR$14))   /   SUM(OFFSET($BO$15,0,0,$B$14,1)) + $B$18/($B$19*$B$19*($DN284&lt;&gt;$DO284) + $B$19*($DN284=$DO284))</f>
        <v>3.7037037037037035E-4</v>
      </c>
      <c r="FS284" s="10" cm="1">
        <f t="array" aca="1" ref="FS284" ca="1">(1-$B$18)*SUMPRODUCT(OFFSET($BO$15,0,0,$B$14,1), 1*(_xlfn._xlws.FILTER(OFFSET($O$15,0,$DN284,$B$8,1),OFFSET($M$15,0,0,$B$8,1))=FS$13), 1*(_xlfn._xlws.FILTER(OFFSET($O$15,0,$DO284,$B$8,1),OFFSET($M$15,0,0,$B$8,1))=FS$14))   /   SUM(OFFSET($BO$15,0,0,$B$14,1)) + $B$18/($B$19*$B$19*($DN284&lt;&gt;$DO284) + $B$19*($DN284=$DO284))</f>
        <v>3.7037037037037035E-4</v>
      </c>
      <c r="FT284" s="10" cm="1">
        <f t="array" aca="1" ref="FT284" ca="1">(1-$B$18)*SUMPRODUCT(OFFSET($BO$15,0,0,$B$14,1), 1*(_xlfn._xlws.FILTER(OFFSET($O$15,0,$DN284,$B$8,1),OFFSET($M$15,0,0,$B$8,1))=FT$13), 1*(_xlfn._xlws.FILTER(OFFSET($O$15,0,$DO284,$B$8,1),OFFSET($M$15,0,0,$B$8,1))=FT$14))   /   SUM(OFFSET($BO$15,0,0,$B$14,1)) + $B$18/($B$19*$B$19*($DN284&lt;&gt;$DO284) + $B$19*($DN284=$DO284))</f>
        <v>3.7037037037037035E-4</v>
      </c>
      <c r="FU284" s="10" cm="1">
        <f t="array" aca="1" ref="FU284" ca="1">(1-$B$18)*SUMPRODUCT(OFFSET($BO$15,0,0,$B$14,1), 1*(_xlfn._xlws.FILTER(OFFSET($O$15,0,$DN284,$B$8,1),OFFSET($M$15,0,0,$B$8,1))=FU$13), 1*(_xlfn._xlws.FILTER(OFFSET($O$15,0,$DO284,$B$8,1),OFFSET($M$15,0,0,$B$8,1))=FU$14))   /   SUM(OFFSET($BO$15,0,0,$B$14,1)) + $B$18/($B$19*$B$19*($DN284&lt;&gt;$DO284) + $B$19*($DN284=$DO284))</f>
        <v>3.7037037037037035E-4</v>
      </c>
      <c r="FV284" s="10" cm="1">
        <f t="array" aca="1" ref="FV284" ca="1">(1-$B$18)*SUMPRODUCT(OFFSET($BO$15,0,0,$B$14,1), 1*(_xlfn._xlws.FILTER(OFFSET($O$15,0,$DN284,$B$8,1),OFFSET($M$15,0,0,$B$8,1))=FV$13), 1*(_xlfn._xlws.FILTER(OFFSET($O$15,0,$DO284,$B$8,1),OFFSET($M$15,0,0,$B$8,1))=FV$14))   /   SUM(OFFSET($BO$15,0,0,$B$14,1)) + $B$18/($B$19*$B$19*($DN284&lt;&gt;$DO284) + $B$19*($DN284=$DO284))</f>
        <v>3.7037037037037035E-4</v>
      </c>
      <c r="FW284" s="10" cm="1">
        <f t="array" aca="1" ref="FW284" ca="1">(1-$B$18)*SUMPRODUCT(OFFSET($BO$15,0,0,$B$14,1), 1*(_xlfn._xlws.FILTER(OFFSET($O$15,0,$DN284,$B$8,1),OFFSET($M$15,0,0,$B$8,1))=FW$13), 1*(_xlfn._xlws.FILTER(OFFSET($O$15,0,$DO284,$B$8,1),OFFSET($M$15,0,0,$B$8,1))=FW$14))   /   SUM(OFFSET($BO$15,0,0,$B$14,1)) + $B$18/($B$19*$B$19*($DN284&lt;&gt;$DO284) + $B$19*($DN284=$DO284))</f>
        <v>3.7037037037037035E-4</v>
      </c>
      <c r="FX284" s="10" cm="1">
        <f t="array" aca="1" ref="FX284" ca="1">(1-$B$18)*SUMPRODUCT(OFFSET($BO$15,0,0,$B$14,1), 1*(_xlfn._xlws.FILTER(OFFSET($O$15,0,$DN284,$B$8,1),OFFSET($M$15,0,0,$B$8,1))=FX$13), 1*(_xlfn._xlws.FILTER(OFFSET($O$15,0,$DO284,$B$8,1),OFFSET($M$15,0,0,$B$8,1))=FX$14))   /   SUM(OFFSET($BO$15,0,0,$B$14,1)) + $B$18/($B$19*$B$19*($DN284&lt;&gt;$DO284) + $B$19*($DN284=$DO284))</f>
        <v>3.7037037037037035E-4</v>
      </c>
      <c r="FY284" s="10" cm="1">
        <f t="array" aca="1" ref="FY284" ca="1">(1-$B$18)*SUMPRODUCT(OFFSET($BO$15,0,0,$B$14,1), 1*(_xlfn._xlws.FILTER(OFFSET($O$15,0,$DN284,$B$8,1),OFFSET($M$15,0,0,$B$8,1))=FY$13), 1*(_xlfn._xlws.FILTER(OFFSET($O$15,0,$DO284,$B$8,1),OFFSET($M$15,0,0,$B$8,1))=FY$14))   /   SUM(OFFSET($BO$15,0,0,$B$14,1)) + $B$18/($B$19*$B$19*($DN284&lt;&gt;$DO284) + $B$19*($DN284=$DO284))</f>
        <v>3.7037037037037035E-4</v>
      </c>
      <c r="FZ284" s="10" cm="1">
        <f t="array" aca="1" ref="FZ284" ca="1">(1-$B$18)*SUMPRODUCT(OFFSET($BO$15,0,0,$B$14,1), 1*(_xlfn._xlws.FILTER(OFFSET($O$15,0,$DN284,$B$8,1),OFFSET($M$15,0,0,$B$8,1))=FZ$13), 1*(_xlfn._xlws.FILTER(OFFSET($O$15,0,$DO284,$B$8,1),OFFSET($M$15,0,0,$B$8,1))=FZ$14))   /   SUM(OFFSET($BO$15,0,0,$B$14,1)) + $B$18/($B$19*$B$19*($DN284&lt;&gt;$DO284) + $B$19*($DN284=$DO284))</f>
        <v>3.7037037037037035E-4</v>
      </c>
      <c r="GA284" s="10" cm="1">
        <f t="array" aca="1" ref="GA284" ca="1">(1-$B$18)*SUMPRODUCT(OFFSET($BO$15,0,0,$B$14,1), 1*(_xlfn._xlws.FILTER(OFFSET($O$15,0,$DN284,$B$8,1),OFFSET($M$15,0,0,$B$8,1))=GA$13), 1*(_xlfn._xlws.FILTER(OFFSET($O$15,0,$DO284,$B$8,1),OFFSET($M$15,0,0,$B$8,1))=GA$14))   /   SUM(OFFSET($BO$15,0,0,$B$14,1)) + $B$18/($B$19*$B$19*($DN284&lt;&gt;$DO284) + $B$19*($DN284=$DO284))</f>
        <v>3.7037037037037035E-4</v>
      </c>
    </row>
    <row r="285" spans="118:183" x14ac:dyDescent="0.2">
      <c r="DN285" cm="1">
        <f t="array" aca="1" ref="DN285" ca="1">INDEX(_xlfn.ANCHORARRAY($CP$15), 1 + INT((ROWS($DO$15:$DO285) - 1) / ROWS(_xlfn.ANCHORARRAY($CP$15))))</f>
        <v>15</v>
      </c>
      <c r="DO285" cm="1">
        <f t="array" aca="1" ref="DO285" ca="1">INDEX(_xlfn.ANCHORARRAY($CP$15),1+MOD(ROWS($DO$15:$DO285)-1,ROWS(_xlfn.ANCHORARRAY($CP$15))))</f>
        <v>4</v>
      </c>
      <c r="DP285" s="10" cm="1">
        <f t="array" aca="1" ref="DP285" ca="1">(1-$B$18)*SUMPRODUCT(OFFSET($BO$15,0,0,$B$14,1), 1*(_xlfn._xlws.FILTER(OFFSET($O$15,0,$DN285,$B$8,1),OFFSET($M$15,0,0,$B$8,1))=DP$13), 1*(_xlfn._xlws.FILTER(OFFSET($O$15,0,$DO285,$B$8,1),OFFSET($M$15,0,0,$B$8,1))=DP$14))   /   SUM(OFFSET($BO$15,0,0,$B$14,1)) + $B$18/($B$19*$B$19*($DN285&lt;&gt;$DO285) + $B$19*($DN285=$DO285))</f>
        <v>3.7037037037037035E-4</v>
      </c>
      <c r="DQ285" s="10" cm="1">
        <f t="array" aca="1" ref="DQ285" ca="1">(1-$B$18)*SUMPRODUCT(OFFSET($BO$15,0,0,$B$14,1), 1*(_xlfn._xlws.FILTER(OFFSET($O$15,0,$DN285,$B$8,1),OFFSET($M$15,0,0,$B$8,1))=DQ$13), 1*(_xlfn._xlws.FILTER(OFFSET($O$15,0,$DO285,$B$8,1),OFFSET($M$15,0,0,$B$8,1))=DQ$14))   /   SUM(OFFSET($BO$15,0,0,$B$14,1)) + $B$18/($B$19*$B$19*($DN285&lt;&gt;$DO285) + $B$19*($DN285=$DO285))</f>
        <v>3.7037037037037035E-4</v>
      </c>
      <c r="DR285" s="10" cm="1">
        <f t="array" aca="1" ref="DR285" ca="1">(1-$B$18)*SUMPRODUCT(OFFSET($BO$15,0,0,$B$14,1), 1*(_xlfn._xlws.FILTER(OFFSET($O$15,0,$DN285,$B$8,1),OFFSET($M$15,0,0,$B$8,1))=DR$13), 1*(_xlfn._xlws.FILTER(OFFSET($O$15,0,$DO285,$B$8,1),OFFSET($M$15,0,0,$B$8,1))=DR$14))   /   SUM(OFFSET($BO$15,0,0,$B$14,1)) + $B$18/($B$19*$B$19*($DN285&lt;&gt;$DO285) + $B$19*($DN285=$DO285))</f>
        <v>3.7037037037037035E-4</v>
      </c>
      <c r="DS285" s="10" cm="1">
        <f t="array" aca="1" ref="DS285" ca="1">(1-$B$18)*SUMPRODUCT(OFFSET($BO$15,0,0,$B$14,1), 1*(_xlfn._xlws.FILTER(OFFSET($O$15,0,$DN285,$B$8,1),OFFSET($M$15,0,0,$B$8,1))=DS$13), 1*(_xlfn._xlws.FILTER(OFFSET($O$15,0,$DO285,$B$8,1),OFFSET($M$15,0,0,$B$8,1))=DS$14))   /   SUM(OFFSET($BO$15,0,0,$B$14,1)) + $B$18/($B$19*$B$19*($DN285&lt;&gt;$DO285) + $B$19*($DN285=$DO285))</f>
        <v>3.7037037037037035E-4</v>
      </c>
      <c r="DT285" s="10" cm="1">
        <f t="array" aca="1" ref="DT285" ca="1">(1-$B$18)*SUMPRODUCT(OFFSET($BO$15,0,0,$B$14,1), 1*(_xlfn._xlws.FILTER(OFFSET($O$15,0,$DN285,$B$8,1),OFFSET($M$15,0,0,$B$8,1))=DT$13), 1*(_xlfn._xlws.FILTER(OFFSET($O$15,0,$DO285,$B$8,1),OFFSET($M$15,0,0,$B$8,1))=DT$14))   /   SUM(OFFSET($BO$15,0,0,$B$14,1)) + $B$18/($B$19*$B$19*($DN285&lt;&gt;$DO285) + $B$19*($DN285=$DO285))</f>
        <v>3.7037037037037035E-4</v>
      </c>
      <c r="DU285" s="10" cm="1">
        <f t="array" aca="1" ref="DU285" ca="1">(1-$B$18)*SUMPRODUCT(OFFSET($BO$15,0,0,$B$14,1), 1*(_xlfn._xlws.FILTER(OFFSET($O$15,0,$DN285,$B$8,1),OFFSET($M$15,0,0,$B$8,1))=DU$13), 1*(_xlfn._xlws.FILTER(OFFSET($O$15,0,$DO285,$B$8,1),OFFSET($M$15,0,0,$B$8,1))=DU$14))   /   SUM(OFFSET($BO$15,0,0,$B$14,1)) + $B$18/($B$19*$B$19*($DN285&lt;&gt;$DO285) + $B$19*($DN285=$DO285))</f>
        <v>3.7037037037037035E-4</v>
      </c>
      <c r="DV285" s="10" cm="1">
        <f t="array" aca="1" ref="DV285" ca="1">(1-$B$18)*SUMPRODUCT(OFFSET($BO$15,0,0,$B$14,1), 1*(_xlfn._xlws.FILTER(OFFSET($O$15,0,$DN285,$B$8,1),OFFSET($M$15,0,0,$B$8,1))=DV$13), 1*(_xlfn._xlws.FILTER(OFFSET($O$15,0,$DO285,$B$8,1),OFFSET($M$15,0,0,$B$8,1))=DV$14))   /   SUM(OFFSET($BO$15,0,0,$B$14,1)) + $B$18/($B$19*$B$19*($DN285&lt;&gt;$DO285) + $B$19*($DN285=$DO285))</f>
        <v>3.7037037037037035E-4</v>
      </c>
      <c r="DW285" s="10" cm="1">
        <f t="array" aca="1" ref="DW285" ca="1">(1-$B$18)*SUMPRODUCT(OFFSET($BO$15,0,0,$B$14,1), 1*(_xlfn._xlws.FILTER(OFFSET($O$15,0,$DN285,$B$8,1),OFFSET($M$15,0,0,$B$8,1))=DW$13), 1*(_xlfn._xlws.FILTER(OFFSET($O$15,0,$DO285,$B$8,1),OFFSET($M$15,0,0,$B$8,1))=DW$14))   /   SUM(OFFSET($BO$15,0,0,$B$14,1)) + $B$18/($B$19*$B$19*($DN285&lt;&gt;$DO285) + $B$19*($DN285=$DO285))</f>
        <v>3.7037037037037035E-4</v>
      </c>
      <c r="DX285" s="10" cm="1">
        <f t="array" aca="1" ref="DX285" ca="1">(1-$B$18)*SUMPRODUCT(OFFSET($BO$15,0,0,$B$14,1), 1*(_xlfn._xlws.FILTER(OFFSET($O$15,0,$DN285,$B$8,1),OFFSET($M$15,0,0,$B$8,1))=DX$13), 1*(_xlfn._xlws.FILTER(OFFSET($O$15,0,$DO285,$B$8,1),OFFSET($M$15,0,0,$B$8,1))=DX$14))   /   SUM(OFFSET($BO$15,0,0,$B$14,1)) + $B$18/($B$19*$B$19*($DN285&lt;&gt;$DO285) + $B$19*($DN285=$DO285))</f>
        <v>3.7037037037037035E-4</v>
      </c>
      <c r="DY285" s="10" cm="1">
        <f t="array" aca="1" ref="DY285" ca="1">(1-$B$18)*SUMPRODUCT(OFFSET($BO$15,0,0,$B$14,1), 1*(_xlfn._xlws.FILTER(OFFSET($O$15,0,$DN285,$B$8,1),OFFSET($M$15,0,0,$B$8,1))=DY$13), 1*(_xlfn._xlws.FILTER(OFFSET($O$15,0,$DO285,$B$8,1),OFFSET($M$15,0,0,$B$8,1))=DY$14))   /   SUM(OFFSET($BO$15,0,0,$B$14,1)) + $B$18/($B$19*$B$19*($DN285&lt;&gt;$DO285) + $B$19*($DN285=$DO285))</f>
        <v>3.7037037037037035E-4</v>
      </c>
      <c r="DZ285" s="10" cm="1">
        <f t="array" aca="1" ref="DZ285" ca="1">(1-$B$18)*SUMPRODUCT(OFFSET($BO$15,0,0,$B$14,1), 1*(_xlfn._xlws.FILTER(OFFSET($O$15,0,$DN285,$B$8,1),OFFSET($M$15,0,0,$B$8,1))=DZ$13), 1*(_xlfn._xlws.FILTER(OFFSET($O$15,0,$DO285,$B$8,1),OFFSET($M$15,0,0,$B$8,1))=DZ$14))   /   SUM(OFFSET($BO$15,0,0,$B$14,1)) + $B$18/($B$19*$B$19*($DN285&lt;&gt;$DO285) + $B$19*($DN285=$DO285))</f>
        <v>3.7037037037037035E-4</v>
      </c>
      <c r="EA285" s="10" cm="1">
        <f t="array" aca="1" ref="EA285" ca="1">(1-$B$18)*SUMPRODUCT(OFFSET($BO$15,0,0,$B$14,1), 1*(_xlfn._xlws.FILTER(OFFSET($O$15,0,$DN285,$B$8,1),OFFSET($M$15,0,0,$B$8,1))=EA$13), 1*(_xlfn._xlws.FILTER(OFFSET($O$15,0,$DO285,$B$8,1),OFFSET($M$15,0,0,$B$8,1))=EA$14))   /   SUM(OFFSET($BO$15,0,0,$B$14,1)) + $B$18/($B$19*$B$19*($DN285&lt;&gt;$DO285) + $B$19*($DN285=$DO285))</f>
        <v>3.7037037037037035E-4</v>
      </c>
      <c r="EB285" s="10" cm="1">
        <f t="array" aca="1" ref="EB285" ca="1">(1-$B$18)*SUMPRODUCT(OFFSET($BO$15,0,0,$B$14,1), 1*(_xlfn._xlws.FILTER(OFFSET($O$15,0,$DN285,$B$8,1),OFFSET($M$15,0,0,$B$8,1))=EB$13), 1*(_xlfn._xlws.FILTER(OFFSET($O$15,0,$DO285,$B$8,1),OFFSET($M$15,0,0,$B$8,1))=EB$14))   /   SUM(OFFSET($BO$15,0,0,$B$14,1)) + $B$18/($B$19*$B$19*($DN285&lt;&gt;$DO285) + $B$19*($DN285=$DO285))</f>
        <v>3.7037037037037035E-4</v>
      </c>
      <c r="EC285" s="10" cm="1">
        <f t="array" aca="1" ref="EC285" ca="1">(1-$B$18)*SUMPRODUCT(OFFSET($BO$15,0,0,$B$14,1), 1*(_xlfn._xlws.FILTER(OFFSET($O$15,0,$DN285,$B$8,1),OFFSET($M$15,0,0,$B$8,1))=EC$13), 1*(_xlfn._xlws.FILTER(OFFSET($O$15,0,$DO285,$B$8,1),OFFSET($M$15,0,0,$B$8,1))=EC$14))   /   SUM(OFFSET($BO$15,0,0,$B$14,1)) + $B$18/($B$19*$B$19*($DN285&lt;&gt;$DO285) + $B$19*($DN285=$DO285))</f>
        <v>3.7037037037037035E-4</v>
      </c>
      <c r="ED285" s="10" cm="1">
        <f t="array" aca="1" ref="ED285" ca="1">(1-$B$18)*SUMPRODUCT(OFFSET($BO$15,0,0,$B$14,1), 1*(_xlfn._xlws.FILTER(OFFSET($O$15,0,$DN285,$B$8,1),OFFSET($M$15,0,0,$B$8,1))=ED$13), 1*(_xlfn._xlws.FILTER(OFFSET($O$15,0,$DO285,$B$8,1),OFFSET($M$15,0,0,$B$8,1))=ED$14))   /   SUM(OFFSET($BO$15,0,0,$B$14,1)) + $B$18/($B$19*$B$19*($DN285&lt;&gt;$DO285) + $B$19*($DN285=$DO285))</f>
        <v>3.7037037037037035E-4</v>
      </c>
      <c r="EE285" s="10" cm="1">
        <f t="array" aca="1" ref="EE285" ca="1">(1-$B$18)*SUMPRODUCT(OFFSET($BO$15,0,0,$B$14,1), 1*(_xlfn._xlws.FILTER(OFFSET($O$15,0,$DN285,$B$8,1),OFFSET($M$15,0,0,$B$8,1))=EE$13), 1*(_xlfn._xlws.FILTER(OFFSET($O$15,0,$DO285,$B$8,1),OFFSET($M$15,0,0,$B$8,1))=EE$14))   /   SUM(OFFSET($BO$15,0,0,$B$14,1)) + $B$18/($B$19*$B$19*($DN285&lt;&gt;$DO285) + $B$19*($DN285=$DO285))</f>
        <v>3.7037037037037035E-4</v>
      </c>
      <c r="EF285" s="10" cm="1">
        <f t="array" aca="1" ref="EF285" ca="1">(1-$B$18)*SUMPRODUCT(OFFSET($BO$15,0,0,$B$14,1), 1*(_xlfn._xlws.FILTER(OFFSET($O$15,0,$DN285,$B$8,1),OFFSET($M$15,0,0,$B$8,1))=EF$13), 1*(_xlfn._xlws.FILTER(OFFSET($O$15,0,$DO285,$B$8,1),OFFSET($M$15,0,0,$B$8,1))=EF$14))   /   SUM(OFFSET($BO$15,0,0,$B$14,1)) + $B$18/($B$19*$B$19*($DN285&lt;&gt;$DO285) + $B$19*($DN285=$DO285))</f>
        <v>3.7037037037037035E-4</v>
      </c>
      <c r="EG285" s="10" cm="1">
        <f t="array" aca="1" ref="EG285" ca="1">(1-$B$18)*SUMPRODUCT(OFFSET($BO$15,0,0,$B$14,1), 1*(_xlfn._xlws.FILTER(OFFSET($O$15,0,$DN285,$B$8,1),OFFSET($M$15,0,0,$B$8,1))=EG$13), 1*(_xlfn._xlws.FILTER(OFFSET($O$15,0,$DO285,$B$8,1),OFFSET($M$15,0,0,$B$8,1))=EG$14))   /   SUM(OFFSET($BO$15,0,0,$B$14,1)) + $B$18/($B$19*$B$19*($DN285&lt;&gt;$DO285) + $B$19*($DN285=$DO285))</f>
        <v>3.7037037037037035E-4</v>
      </c>
      <c r="EH285" s="10" cm="1">
        <f t="array" aca="1" ref="EH285" ca="1">(1-$B$18)*SUMPRODUCT(OFFSET($BO$15,0,0,$B$14,1), 1*(_xlfn._xlws.FILTER(OFFSET($O$15,0,$DN285,$B$8,1),OFFSET($M$15,0,0,$B$8,1))=EH$13), 1*(_xlfn._xlws.FILTER(OFFSET($O$15,0,$DO285,$B$8,1),OFFSET($M$15,0,0,$B$8,1))=EH$14))   /   SUM(OFFSET($BO$15,0,0,$B$14,1)) + $B$18/($B$19*$B$19*($DN285&lt;&gt;$DO285) + $B$19*($DN285=$DO285))</f>
        <v>3.7037037037037035E-4</v>
      </c>
      <c r="EI285" s="10" cm="1">
        <f t="array" aca="1" ref="EI285" ca="1">(1-$B$18)*SUMPRODUCT(OFFSET($BO$15,0,0,$B$14,1), 1*(_xlfn._xlws.FILTER(OFFSET($O$15,0,$DN285,$B$8,1),OFFSET($M$15,0,0,$B$8,1))=EI$13), 1*(_xlfn._xlws.FILTER(OFFSET($O$15,0,$DO285,$B$8,1),OFFSET($M$15,0,0,$B$8,1))=EI$14))   /   SUM(OFFSET($BO$15,0,0,$B$14,1)) + $B$18/($B$19*$B$19*($DN285&lt;&gt;$DO285) + $B$19*($DN285=$DO285))</f>
        <v>3.7037037037037035E-4</v>
      </c>
      <c r="EJ285" s="10" cm="1">
        <f t="array" aca="1" ref="EJ285" ca="1">(1-$B$18)*SUMPRODUCT(OFFSET($BO$15,0,0,$B$14,1), 1*(_xlfn._xlws.FILTER(OFFSET($O$15,0,$DN285,$B$8,1),OFFSET($M$15,0,0,$B$8,1))=EJ$13), 1*(_xlfn._xlws.FILTER(OFFSET($O$15,0,$DO285,$B$8,1),OFFSET($M$15,0,0,$B$8,1))=EJ$14))   /   SUM(OFFSET($BO$15,0,0,$B$14,1)) + $B$18/($B$19*$B$19*($DN285&lt;&gt;$DO285) + $B$19*($DN285=$DO285))</f>
        <v>3.7037037037037035E-4</v>
      </c>
      <c r="EK285" s="10" cm="1">
        <f t="array" aca="1" ref="EK285" ca="1">(1-$B$18)*SUMPRODUCT(OFFSET($BO$15,0,0,$B$14,1), 1*(_xlfn._xlws.FILTER(OFFSET($O$15,0,$DN285,$B$8,1),OFFSET($M$15,0,0,$B$8,1))=EK$13), 1*(_xlfn._xlws.FILTER(OFFSET($O$15,0,$DO285,$B$8,1),OFFSET($M$15,0,0,$B$8,1))=EK$14))   /   SUM(OFFSET($BO$15,0,0,$B$14,1)) + $B$18/($B$19*$B$19*($DN285&lt;&gt;$DO285) + $B$19*($DN285=$DO285))</f>
        <v>3.7037037037037035E-4</v>
      </c>
      <c r="EL285" s="10" cm="1">
        <f t="array" aca="1" ref="EL285" ca="1">(1-$B$18)*SUMPRODUCT(OFFSET($BO$15,0,0,$B$14,1), 1*(_xlfn._xlws.FILTER(OFFSET($O$15,0,$DN285,$B$8,1),OFFSET($M$15,0,0,$B$8,1))=EL$13), 1*(_xlfn._xlws.FILTER(OFFSET($O$15,0,$DO285,$B$8,1),OFFSET($M$15,0,0,$B$8,1))=EL$14))   /   SUM(OFFSET($BO$15,0,0,$B$14,1)) + $B$18/($B$19*$B$19*($DN285&lt;&gt;$DO285) + $B$19*($DN285=$DO285))</f>
        <v>0.97037037037037033</v>
      </c>
      <c r="EM285" s="10" cm="1">
        <f t="array" aca="1" ref="EM285" ca="1">(1-$B$18)*SUMPRODUCT(OFFSET($BO$15,0,0,$B$14,1), 1*(_xlfn._xlws.FILTER(OFFSET($O$15,0,$DN285,$B$8,1),OFFSET($M$15,0,0,$B$8,1))=EM$13), 1*(_xlfn._xlws.FILTER(OFFSET($O$15,0,$DO285,$B$8,1),OFFSET($M$15,0,0,$B$8,1))=EM$14))   /   SUM(OFFSET($BO$15,0,0,$B$14,1)) + $B$18/($B$19*$B$19*($DN285&lt;&gt;$DO285) + $B$19*($DN285=$DO285))</f>
        <v>3.7037037037037035E-4</v>
      </c>
      <c r="EN285" s="10" cm="1">
        <f t="array" aca="1" ref="EN285" ca="1">(1-$B$18)*SUMPRODUCT(OFFSET($BO$15,0,0,$B$14,1), 1*(_xlfn._xlws.FILTER(OFFSET($O$15,0,$DN285,$B$8,1),OFFSET($M$15,0,0,$B$8,1))=EN$13), 1*(_xlfn._xlws.FILTER(OFFSET($O$15,0,$DO285,$B$8,1),OFFSET($M$15,0,0,$B$8,1))=EN$14))   /   SUM(OFFSET($BO$15,0,0,$B$14,1)) + $B$18/($B$19*$B$19*($DN285&lt;&gt;$DO285) + $B$19*($DN285=$DO285))</f>
        <v>3.7037037037037035E-4</v>
      </c>
      <c r="EO285" s="10" cm="1">
        <f t="array" aca="1" ref="EO285" ca="1">(1-$B$18)*SUMPRODUCT(OFFSET($BO$15,0,0,$B$14,1), 1*(_xlfn._xlws.FILTER(OFFSET($O$15,0,$DN285,$B$8,1),OFFSET($M$15,0,0,$B$8,1))=EO$13), 1*(_xlfn._xlws.FILTER(OFFSET($O$15,0,$DO285,$B$8,1),OFFSET($M$15,0,0,$B$8,1))=EO$14))   /   SUM(OFFSET($BO$15,0,0,$B$14,1)) + $B$18/($B$19*$B$19*($DN285&lt;&gt;$DO285) + $B$19*($DN285=$DO285))</f>
        <v>3.7037037037037035E-4</v>
      </c>
      <c r="EP285" s="10" cm="1">
        <f t="array" aca="1" ref="EP285" ca="1">(1-$B$18)*SUMPRODUCT(OFFSET($BO$15,0,0,$B$14,1), 1*(_xlfn._xlws.FILTER(OFFSET($O$15,0,$DN285,$B$8,1),OFFSET($M$15,0,0,$B$8,1))=EP$13), 1*(_xlfn._xlws.FILTER(OFFSET($O$15,0,$DO285,$B$8,1),OFFSET($M$15,0,0,$B$8,1))=EP$14))   /   SUM(OFFSET($BO$15,0,0,$B$14,1)) + $B$18/($B$19*$B$19*($DN285&lt;&gt;$DO285) + $B$19*($DN285=$DO285))</f>
        <v>3.7037037037037035E-4</v>
      </c>
      <c r="EQ285" s="10" cm="1">
        <f t="array" aca="1" ref="EQ285" ca="1">(1-$B$18)*SUMPRODUCT(OFFSET($BO$15,0,0,$B$14,1), 1*(_xlfn._xlws.FILTER(OFFSET($O$15,0,$DN285,$B$8,1),OFFSET($M$15,0,0,$B$8,1))=EQ$13), 1*(_xlfn._xlws.FILTER(OFFSET($O$15,0,$DO285,$B$8,1),OFFSET($M$15,0,0,$B$8,1))=EQ$14))   /   SUM(OFFSET($BO$15,0,0,$B$14,1)) + $B$18/($B$19*$B$19*($DN285&lt;&gt;$DO285) + $B$19*($DN285=$DO285))</f>
        <v>3.7037037037037035E-4</v>
      </c>
      <c r="ER285" s="10" cm="1">
        <f t="array" aca="1" ref="ER285" ca="1">(1-$B$18)*SUMPRODUCT(OFFSET($BO$15,0,0,$B$14,1), 1*(_xlfn._xlws.FILTER(OFFSET($O$15,0,$DN285,$B$8,1),OFFSET($M$15,0,0,$B$8,1))=ER$13), 1*(_xlfn._xlws.FILTER(OFFSET($O$15,0,$DO285,$B$8,1),OFFSET($M$15,0,0,$B$8,1))=ER$14))   /   SUM(OFFSET($BO$15,0,0,$B$14,1)) + $B$18/($B$19*$B$19*($DN285&lt;&gt;$DO285) + $B$19*($DN285=$DO285))</f>
        <v>3.7037037037037035E-4</v>
      </c>
      <c r="ES285" s="10" cm="1">
        <f t="array" aca="1" ref="ES285" ca="1">(1-$B$18)*SUMPRODUCT(OFFSET($BO$15,0,0,$B$14,1), 1*(_xlfn._xlws.FILTER(OFFSET($O$15,0,$DN285,$B$8,1),OFFSET($M$15,0,0,$B$8,1))=ES$13), 1*(_xlfn._xlws.FILTER(OFFSET($O$15,0,$DO285,$B$8,1),OFFSET($M$15,0,0,$B$8,1))=ES$14))   /   SUM(OFFSET($BO$15,0,0,$B$14,1)) + $B$18/($B$19*$B$19*($DN285&lt;&gt;$DO285) + $B$19*($DN285=$DO285))</f>
        <v>3.7037037037037035E-4</v>
      </c>
      <c r="ET285" s="10" cm="1">
        <f t="array" aca="1" ref="ET285" ca="1">(1-$B$18)*SUMPRODUCT(OFFSET($BO$15,0,0,$B$14,1), 1*(_xlfn._xlws.FILTER(OFFSET($O$15,0,$DN285,$B$8,1),OFFSET($M$15,0,0,$B$8,1))=ET$13), 1*(_xlfn._xlws.FILTER(OFFSET($O$15,0,$DO285,$B$8,1),OFFSET($M$15,0,0,$B$8,1))=ET$14))   /   SUM(OFFSET($BO$15,0,0,$B$14,1)) + $B$18/($B$19*$B$19*($DN285&lt;&gt;$DO285) + $B$19*($DN285=$DO285))</f>
        <v>3.7037037037037035E-4</v>
      </c>
      <c r="EU285" s="10" cm="1">
        <f t="array" aca="1" ref="EU285" ca="1">(1-$B$18)*SUMPRODUCT(OFFSET($BO$15,0,0,$B$14,1), 1*(_xlfn._xlws.FILTER(OFFSET($O$15,0,$DN285,$B$8,1),OFFSET($M$15,0,0,$B$8,1))=EU$13), 1*(_xlfn._xlws.FILTER(OFFSET($O$15,0,$DO285,$B$8,1),OFFSET($M$15,0,0,$B$8,1))=EU$14))   /   SUM(OFFSET($BO$15,0,0,$B$14,1)) + $B$18/($B$19*$B$19*($DN285&lt;&gt;$DO285) + $B$19*($DN285=$DO285))</f>
        <v>3.7037037037037035E-4</v>
      </c>
      <c r="EV285" s="10" cm="1">
        <f t="array" aca="1" ref="EV285" ca="1">(1-$B$18)*SUMPRODUCT(OFFSET($BO$15,0,0,$B$14,1), 1*(_xlfn._xlws.FILTER(OFFSET($O$15,0,$DN285,$B$8,1),OFFSET($M$15,0,0,$B$8,1))=EV$13), 1*(_xlfn._xlws.FILTER(OFFSET($O$15,0,$DO285,$B$8,1),OFFSET($M$15,0,0,$B$8,1))=EV$14))   /   SUM(OFFSET($BO$15,0,0,$B$14,1)) + $B$18/($B$19*$B$19*($DN285&lt;&gt;$DO285) + $B$19*($DN285=$DO285))</f>
        <v>3.7037037037037035E-4</v>
      </c>
      <c r="EW285" s="10" cm="1">
        <f t="array" aca="1" ref="EW285" ca="1">(1-$B$18)*SUMPRODUCT(OFFSET($BO$15,0,0,$B$14,1), 1*(_xlfn._xlws.FILTER(OFFSET($O$15,0,$DN285,$B$8,1),OFFSET($M$15,0,0,$B$8,1))=EW$13), 1*(_xlfn._xlws.FILTER(OFFSET($O$15,0,$DO285,$B$8,1),OFFSET($M$15,0,0,$B$8,1))=EW$14))   /   SUM(OFFSET($BO$15,0,0,$B$14,1)) + $B$18/($B$19*$B$19*($DN285&lt;&gt;$DO285) + $B$19*($DN285=$DO285))</f>
        <v>3.7037037037037035E-4</v>
      </c>
      <c r="EX285" s="10" cm="1">
        <f t="array" aca="1" ref="EX285" ca="1">(1-$B$18)*SUMPRODUCT(OFFSET($BO$15,0,0,$B$14,1), 1*(_xlfn._xlws.FILTER(OFFSET($O$15,0,$DN285,$B$8,1),OFFSET($M$15,0,0,$B$8,1))=EX$13), 1*(_xlfn._xlws.FILTER(OFFSET($O$15,0,$DO285,$B$8,1),OFFSET($M$15,0,0,$B$8,1))=EX$14))   /   SUM(OFFSET($BO$15,0,0,$B$14,1)) + $B$18/($B$19*$B$19*($DN285&lt;&gt;$DO285) + $B$19*($DN285=$DO285))</f>
        <v>3.7037037037037035E-4</v>
      </c>
      <c r="EY285" s="10" cm="1">
        <f t="array" aca="1" ref="EY285" ca="1">(1-$B$18)*SUMPRODUCT(OFFSET($BO$15,0,0,$B$14,1), 1*(_xlfn._xlws.FILTER(OFFSET($O$15,0,$DN285,$B$8,1),OFFSET($M$15,0,0,$B$8,1))=EY$13), 1*(_xlfn._xlws.FILTER(OFFSET($O$15,0,$DO285,$B$8,1),OFFSET($M$15,0,0,$B$8,1))=EY$14))   /   SUM(OFFSET($BO$15,0,0,$B$14,1)) + $B$18/($B$19*$B$19*($DN285&lt;&gt;$DO285) + $B$19*($DN285=$DO285))</f>
        <v>3.7037037037037035E-4</v>
      </c>
      <c r="EZ285" s="10" cm="1">
        <f t="array" aca="1" ref="EZ285" ca="1">(1-$B$18)*SUMPRODUCT(OFFSET($BO$15,0,0,$B$14,1), 1*(_xlfn._xlws.FILTER(OFFSET($O$15,0,$DN285,$B$8,1),OFFSET($M$15,0,0,$B$8,1))=EZ$13), 1*(_xlfn._xlws.FILTER(OFFSET($O$15,0,$DO285,$B$8,1),OFFSET($M$15,0,0,$B$8,1))=EZ$14))   /   SUM(OFFSET($BO$15,0,0,$B$14,1)) + $B$18/($B$19*$B$19*($DN285&lt;&gt;$DO285) + $B$19*($DN285=$DO285))</f>
        <v>3.7037037037037035E-4</v>
      </c>
      <c r="FA285" s="10" cm="1">
        <f t="array" aca="1" ref="FA285" ca="1">(1-$B$18)*SUMPRODUCT(OFFSET($BO$15,0,0,$B$14,1), 1*(_xlfn._xlws.FILTER(OFFSET($O$15,0,$DN285,$B$8,1),OFFSET($M$15,0,0,$B$8,1))=FA$13), 1*(_xlfn._xlws.FILTER(OFFSET($O$15,0,$DO285,$B$8,1),OFFSET($M$15,0,0,$B$8,1))=FA$14))   /   SUM(OFFSET($BO$15,0,0,$B$14,1)) + $B$18/($B$19*$B$19*($DN285&lt;&gt;$DO285) + $B$19*($DN285=$DO285))</f>
        <v>3.7037037037037035E-4</v>
      </c>
      <c r="FB285" s="10" cm="1">
        <f t="array" aca="1" ref="FB285" ca="1">(1-$B$18)*SUMPRODUCT(OFFSET($BO$15,0,0,$B$14,1), 1*(_xlfn._xlws.FILTER(OFFSET($O$15,0,$DN285,$B$8,1),OFFSET($M$15,0,0,$B$8,1))=FB$13), 1*(_xlfn._xlws.FILTER(OFFSET($O$15,0,$DO285,$B$8,1),OFFSET($M$15,0,0,$B$8,1))=FB$14))   /   SUM(OFFSET($BO$15,0,0,$B$14,1)) + $B$18/($B$19*$B$19*($DN285&lt;&gt;$DO285) + $B$19*($DN285=$DO285))</f>
        <v>3.7037037037037035E-4</v>
      </c>
      <c r="FC285" s="10" cm="1">
        <f t="array" aca="1" ref="FC285" ca="1">(1-$B$18)*SUMPRODUCT(OFFSET($BO$15,0,0,$B$14,1), 1*(_xlfn._xlws.FILTER(OFFSET($O$15,0,$DN285,$B$8,1),OFFSET($M$15,0,0,$B$8,1))=FC$13), 1*(_xlfn._xlws.FILTER(OFFSET($O$15,0,$DO285,$B$8,1),OFFSET($M$15,0,0,$B$8,1))=FC$14))   /   SUM(OFFSET($BO$15,0,0,$B$14,1)) + $B$18/($B$19*$B$19*($DN285&lt;&gt;$DO285) + $B$19*($DN285=$DO285))</f>
        <v>3.7037037037037035E-4</v>
      </c>
      <c r="FD285" s="10" cm="1">
        <f t="array" aca="1" ref="FD285" ca="1">(1-$B$18)*SUMPRODUCT(OFFSET($BO$15,0,0,$B$14,1), 1*(_xlfn._xlws.FILTER(OFFSET($O$15,0,$DN285,$B$8,1),OFFSET($M$15,0,0,$B$8,1))=FD$13), 1*(_xlfn._xlws.FILTER(OFFSET($O$15,0,$DO285,$B$8,1),OFFSET($M$15,0,0,$B$8,1))=FD$14))   /   SUM(OFFSET($BO$15,0,0,$B$14,1)) + $B$18/($B$19*$B$19*($DN285&lt;&gt;$DO285) + $B$19*($DN285=$DO285))</f>
        <v>3.7037037037037035E-4</v>
      </c>
      <c r="FE285" s="10" cm="1">
        <f t="array" aca="1" ref="FE285" ca="1">(1-$B$18)*SUMPRODUCT(OFFSET($BO$15,0,0,$B$14,1), 1*(_xlfn._xlws.FILTER(OFFSET($O$15,0,$DN285,$B$8,1),OFFSET($M$15,0,0,$B$8,1))=FE$13), 1*(_xlfn._xlws.FILTER(OFFSET($O$15,0,$DO285,$B$8,1),OFFSET($M$15,0,0,$B$8,1))=FE$14))   /   SUM(OFFSET($BO$15,0,0,$B$14,1)) + $B$18/($B$19*$B$19*($DN285&lt;&gt;$DO285) + $B$19*($DN285=$DO285))</f>
        <v>3.7037037037037035E-4</v>
      </c>
      <c r="FF285" s="10" cm="1">
        <f t="array" aca="1" ref="FF285" ca="1">(1-$B$18)*SUMPRODUCT(OFFSET($BO$15,0,0,$B$14,1), 1*(_xlfn._xlws.FILTER(OFFSET($O$15,0,$DN285,$B$8,1),OFFSET($M$15,0,0,$B$8,1))=FF$13), 1*(_xlfn._xlws.FILTER(OFFSET($O$15,0,$DO285,$B$8,1),OFFSET($M$15,0,0,$B$8,1))=FF$14))   /   SUM(OFFSET($BO$15,0,0,$B$14,1)) + $B$18/($B$19*$B$19*($DN285&lt;&gt;$DO285) + $B$19*($DN285=$DO285))</f>
        <v>3.7037037037037035E-4</v>
      </c>
      <c r="FG285" s="10" cm="1">
        <f t="array" aca="1" ref="FG285" ca="1">(1-$B$18)*SUMPRODUCT(OFFSET($BO$15,0,0,$B$14,1), 1*(_xlfn._xlws.FILTER(OFFSET($O$15,0,$DN285,$B$8,1),OFFSET($M$15,0,0,$B$8,1))=FG$13), 1*(_xlfn._xlws.FILTER(OFFSET($O$15,0,$DO285,$B$8,1),OFFSET($M$15,0,0,$B$8,1))=FG$14))   /   SUM(OFFSET($BO$15,0,0,$B$14,1)) + $B$18/($B$19*$B$19*($DN285&lt;&gt;$DO285) + $B$19*($DN285=$DO285))</f>
        <v>3.7037037037037035E-4</v>
      </c>
      <c r="FH285" s="10" cm="1">
        <f t="array" aca="1" ref="FH285" ca="1">(1-$B$18)*SUMPRODUCT(OFFSET($BO$15,0,0,$B$14,1), 1*(_xlfn._xlws.FILTER(OFFSET($O$15,0,$DN285,$B$8,1),OFFSET($M$15,0,0,$B$8,1))=FH$13), 1*(_xlfn._xlws.FILTER(OFFSET($O$15,0,$DO285,$B$8,1),OFFSET($M$15,0,0,$B$8,1))=FH$14))   /   SUM(OFFSET($BO$15,0,0,$B$14,1)) + $B$18/($B$19*$B$19*($DN285&lt;&gt;$DO285) + $B$19*($DN285=$DO285))</f>
        <v>3.7037037037037035E-4</v>
      </c>
      <c r="FI285" s="10" cm="1">
        <f t="array" aca="1" ref="FI285" ca="1">(1-$B$18)*SUMPRODUCT(OFFSET($BO$15,0,0,$B$14,1), 1*(_xlfn._xlws.FILTER(OFFSET($O$15,0,$DN285,$B$8,1),OFFSET($M$15,0,0,$B$8,1))=FI$13), 1*(_xlfn._xlws.FILTER(OFFSET($O$15,0,$DO285,$B$8,1),OFFSET($M$15,0,0,$B$8,1))=FI$14))   /   SUM(OFFSET($BO$15,0,0,$B$14,1)) + $B$18/($B$19*$B$19*($DN285&lt;&gt;$DO285) + $B$19*($DN285=$DO285))</f>
        <v>3.7037037037037035E-4</v>
      </c>
      <c r="FJ285" s="10" cm="1">
        <f t="array" aca="1" ref="FJ285" ca="1">(1-$B$18)*SUMPRODUCT(OFFSET($BO$15,0,0,$B$14,1), 1*(_xlfn._xlws.FILTER(OFFSET($O$15,0,$DN285,$B$8,1),OFFSET($M$15,0,0,$B$8,1))=FJ$13), 1*(_xlfn._xlws.FILTER(OFFSET($O$15,0,$DO285,$B$8,1),OFFSET($M$15,0,0,$B$8,1))=FJ$14))   /   SUM(OFFSET($BO$15,0,0,$B$14,1)) + $B$18/($B$19*$B$19*($DN285&lt;&gt;$DO285) + $B$19*($DN285=$DO285))</f>
        <v>3.7037037037037035E-4</v>
      </c>
      <c r="FK285" s="10" cm="1">
        <f t="array" aca="1" ref="FK285" ca="1">(1-$B$18)*SUMPRODUCT(OFFSET($BO$15,0,0,$B$14,1), 1*(_xlfn._xlws.FILTER(OFFSET($O$15,0,$DN285,$B$8,1),OFFSET($M$15,0,0,$B$8,1))=FK$13), 1*(_xlfn._xlws.FILTER(OFFSET($O$15,0,$DO285,$B$8,1),OFFSET($M$15,0,0,$B$8,1))=FK$14))   /   SUM(OFFSET($BO$15,0,0,$B$14,1)) + $B$18/($B$19*$B$19*($DN285&lt;&gt;$DO285) + $B$19*($DN285=$DO285))</f>
        <v>3.7037037037037035E-4</v>
      </c>
      <c r="FL285" s="10" cm="1">
        <f t="array" aca="1" ref="FL285" ca="1">(1-$B$18)*SUMPRODUCT(OFFSET($BO$15,0,0,$B$14,1), 1*(_xlfn._xlws.FILTER(OFFSET($O$15,0,$DN285,$B$8,1),OFFSET($M$15,0,0,$B$8,1))=FL$13), 1*(_xlfn._xlws.FILTER(OFFSET($O$15,0,$DO285,$B$8,1),OFFSET($M$15,0,0,$B$8,1))=FL$14))   /   SUM(OFFSET($BO$15,0,0,$B$14,1)) + $B$18/($B$19*$B$19*($DN285&lt;&gt;$DO285) + $B$19*($DN285=$DO285))</f>
        <v>3.7037037037037035E-4</v>
      </c>
      <c r="FM285" s="10" cm="1">
        <f t="array" aca="1" ref="FM285" ca="1">(1-$B$18)*SUMPRODUCT(OFFSET($BO$15,0,0,$B$14,1), 1*(_xlfn._xlws.FILTER(OFFSET($O$15,0,$DN285,$B$8,1),OFFSET($M$15,0,0,$B$8,1))=FM$13), 1*(_xlfn._xlws.FILTER(OFFSET($O$15,0,$DO285,$B$8,1),OFFSET($M$15,0,0,$B$8,1))=FM$14))   /   SUM(OFFSET($BO$15,0,0,$B$14,1)) + $B$18/($B$19*$B$19*($DN285&lt;&gt;$DO285) + $B$19*($DN285=$DO285))</f>
        <v>3.7037037037037035E-4</v>
      </c>
      <c r="FN285" s="10" cm="1">
        <f t="array" aca="1" ref="FN285" ca="1">(1-$B$18)*SUMPRODUCT(OFFSET($BO$15,0,0,$B$14,1), 1*(_xlfn._xlws.FILTER(OFFSET($O$15,0,$DN285,$B$8,1),OFFSET($M$15,0,0,$B$8,1))=FN$13), 1*(_xlfn._xlws.FILTER(OFFSET($O$15,0,$DO285,$B$8,1),OFFSET($M$15,0,0,$B$8,1))=FN$14))   /   SUM(OFFSET($BO$15,0,0,$B$14,1)) + $B$18/($B$19*$B$19*($DN285&lt;&gt;$DO285) + $B$19*($DN285=$DO285))</f>
        <v>3.7037037037037035E-4</v>
      </c>
      <c r="FO285" s="10" cm="1">
        <f t="array" aca="1" ref="FO285" ca="1">(1-$B$18)*SUMPRODUCT(OFFSET($BO$15,0,0,$B$14,1), 1*(_xlfn._xlws.FILTER(OFFSET($O$15,0,$DN285,$B$8,1),OFFSET($M$15,0,0,$B$8,1))=FO$13), 1*(_xlfn._xlws.FILTER(OFFSET($O$15,0,$DO285,$B$8,1),OFFSET($M$15,0,0,$B$8,1))=FO$14))   /   SUM(OFFSET($BO$15,0,0,$B$14,1)) + $B$18/($B$19*$B$19*($DN285&lt;&gt;$DO285) + $B$19*($DN285=$DO285))</f>
        <v>3.7037037037037035E-4</v>
      </c>
      <c r="FP285" s="10" cm="1">
        <f t="array" aca="1" ref="FP285" ca="1">(1-$B$18)*SUMPRODUCT(OFFSET($BO$15,0,0,$B$14,1), 1*(_xlfn._xlws.FILTER(OFFSET($O$15,0,$DN285,$B$8,1),OFFSET($M$15,0,0,$B$8,1))=FP$13), 1*(_xlfn._xlws.FILTER(OFFSET($O$15,0,$DO285,$B$8,1),OFFSET($M$15,0,0,$B$8,1))=FP$14))   /   SUM(OFFSET($BO$15,0,0,$B$14,1)) + $B$18/($B$19*$B$19*($DN285&lt;&gt;$DO285) + $B$19*($DN285=$DO285))</f>
        <v>3.7037037037037035E-4</v>
      </c>
      <c r="FQ285" s="10" cm="1">
        <f t="array" aca="1" ref="FQ285" ca="1">(1-$B$18)*SUMPRODUCT(OFFSET($BO$15,0,0,$B$14,1), 1*(_xlfn._xlws.FILTER(OFFSET($O$15,0,$DN285,$B$8,1),OFFSET($M$15,0,0,$B$8,1))=FQ$13), 1*(_xlfn._xlws.FILTER(OFFSET($O$15,0,$DO285,$B$8,1),OFFSET($M$15,0,0,$B$8,1))=FQ$14))   /   SUM(OFFSET($BO$15,0,0,$B$14,1)) + $B$18/($B$19*$B$19*($DN285&lt;&gt;$DO285) + $B$19*($DN285=$DO285))</f>
        <v>3.7037037037037035E-4</v>
      </c>
      <c r="FR285" s="10" cm="1">
        <f t="array" aca="1" ref="FR285" ca="1">(1-$B$18)*SUMPRODUCT(OFFSET($BO$15,0,0,$B$14,1), 1*(_xlfn._xlws.FILTER(OFFSET($O$15,0,$DN285,$B$8,1),OFFSET($M$15,0,0,$B$8,1))=FR$13), 1*(_xlfn._xlws.FILTER(OFFSET($O$15,0,$DO285,$B$8,1),OFFSET($M$15,0,0,$B$8,1))=FR$14))   /   SUM(OFFSET($BO$15,0,0,$B$14,1)) + $B$18/($B$19*$B$19*($DN285&lt;&gt;$DO285) + $B$19*($DN285=$DO285))</f>
        <v>3.7037037037037035E-4</v>
      </c>
      <c r="FS285" s="10" cm="1">
        <f t="array" aca="1" ref="FS285" ca="1">(1-$B$18)*SUMPRODUCT(OFFSET($BO$15,0,0,$B$14,1), 1*(_xlfn._xlws.FILTER(OFFSET($O$15,0,$DN285,$B$8,1),OFFSET($M$15,0,0,$B$8,1))=FS$13), 1*(_xlfn._xlws.FILTER(OFFSET($O$15,0,$DO285,$B$8,1),OFFSET($M$15,0,0,$B$8,1))=FS$14))   /   SUM(OFFSET($BO$15,0,0,$B$14,1)) + $B$18/($B$19*$B$19*($DN285&lt;&gt;$DO285) + $B$19*($DN285=$DO285))</f>
        <v>3.7037037037037035E-4</v>
      </c>
      <c r="FT285" s="10" cm="1">
        <f t="array" aca="1" ref="FT285" ca="1">(1-$B$18)*SUMPRODUCT(OFFSET($BO$15,0,0,$B$14,1), 1*(_xlfn._xlws.FILTER(OFFSET($O$15,0,$DN285,$B$8,1),OFFSET($M$15,0,0,$B$8,1))=FT$13), 1*(_xlfn._xlws.FILTER(OFFSET($O$15,0,$DO285,$B$8,1),OFFSET($M$15,0,0,$B$8,1))=FT$14))   /   SUM(OFFSET($BO$15,0,0,$B$14,1)) + $B$18/($B$19*$B$19*($DN285&lt;&gt;$DO285) + $B$19*($DN285=$DO285))</f>
        <v>3.7037037037037035E-4</v>
      </c>
      <c r="FU285" s="10" cm="1">
        <f t="array" aca="1" ref="FU285" ca="1">(1-$B$18)*SUMPRODUCT(OFFSET($BO$15,0,0,$B$14,1), 1*(_xlfn._xlws.FILTER(OFFSET($O$15,0,$DN285,$B$8,1),OFFSET($M$15,0,0,$B$8,1))=FU$13), 1*(_xlfn._xlws.FILTER(OFFSET($O$15,0,$DO285,$B$8,1),OFFSET($M$15,0,0,$B$8,1))=FU$14))   /   SUM(OFFSET($BO$15,0,0,$B$14,1)) + $B$18/($B$19*$B$19*($DN285&lt;&gt;$DO285) + $B$19*($DN285=$DO285))</f>
        <v>3.7037037037037035E-4</v>
      </c>
      <c r="FV285" s="10" cm="1">
        <f t="array" aca="1" ref="FV285" ca="1">(1-$B$18)*SUMPRODUCT(OFFSET($BO$15,0,0,$B$14,1), 1*(_xlfn._xlws.FILTER(OFFSET($O$15,0,$DN285,$B$8,1),OFFSET($M$15,0,0,$B$8,1))=FV$13), 1*(_xlfn._xlws.FILTER(OFFSET($O$15,0,$DO285,$B$8,1),OFFSET($M$15,0,0,$B$8,1))=FV$14))   /   SUM(OFFSET($BO$15,0,0,$B$14,1)) + $B$18/($B$19*$B$19*($DN285&lt;&gt;$DO285) + $B$19*($DN285=$DO285))</f>
        <v>3.7037037037037035E-4</v>
      </c>
      <c r="FW285" s="10" cm="1">
        <f t="array" aca="1" ref="FW285" ca="1">(1-$B$18)*SUMPRODUCT(OFFSET($BO$15,0,0,$B$14,1), 1*(_xlfn._xlws.FILTER(OFFSET($O$15,0,$DN285,$B$8,1),OFFSET($M$15,0,0,$B$8,1))=FW$13), 1*(_xlfn._xlws.FILTER(OFFSET($O$15,0,$DO285,$B$8,1),OFFSET($M$15,0,0,$B$8,1))=FW$14))   /   SUM(OFFSET($BO$15,0,0,$B$14,1)) + $B$18/($B$19*$B$19*($DN285&lt;&gt;$DO285) + $B$19*($DN285=$DO285))</f>
        <v>3.7037037037037035E-4</v>
      </c>
      <c r="FX285" s="10" cm="1">
        <f t="array" aca="1" ref="FX285" ca="1">(1-$B$18)*SUMPRODUCT(OFFSET($BO$15,0,0,$B$14,1), 1*(_xlfn._xlws.FILTER(OFFSET($O$15,0,$DN285,$B$8,1),OFFSET($M$15,0,0,$B$8,1))=FX$13), 1*(_xlfn._xlws.FILTER(OFFSET($O$15,0,$DO285,$B$8,1),OFFSET($M$15,0,0,$B$8,1))=FX$14))   /   SUM(OFFSET($BO$15,0,0,$B$14,1)) + $B$18/($B$19*$B$19*($DN285&lt;&gt;$DO285) + $B$19*($DN285=$DO285))</f>
        <v>3.7037037037037035E-4</v>
      </c>
      <c r="FY285" s="10" cm="1">
        <f t="array" aca="1" ref="FY285" ca="1">(1-$B$18)*SUMPRODUCT(OFFSET($BO$15,0,0,$B$14,1), 1*(_xlfn._xlws.FILTER(OFFSET($O$15,0,$DN285,$B$8,1),OFFSET($M$15,0,0,$B$8,1))=FY$13), 1*(_xlfn._xlws.FILTER(OFFSET($O$15,0,$DO285,$B$8,1),OFFSET($M$15,0,0,$B$8,1))=FY$14))   /   SUM(OFFSET($BO$15,0,0,$B$14,1)) + $B$18/($B$19*$B$19*($DN285&lt;&gt;$DO285) + $B$19*($DN285=$DO285))</f>
        <v>3.7037037037037035E-4</v>
      </c>
      <c r="FZ285" s="10" cm="1">
        <f t="array" aca="1" ref="FZ285" ca="1">(1-$B$18)*SUMPRODUCT(OFFSET($BO$15,0,0,$B$14,1), 1*(_xlfn._xlws.FILTER(OFFSET($O$15,0,$DN285,$B$8,1),OFFSET($M$15,0,0,$B$8,1))=FZ$13), 1*(_xlfn._xlws.FILTER(OFFSET($O$15,0,$DO285,$B$8,1),OFFSET($M$15,0,0,$B$8,1))=FZ$14))   /   SUM(OFFSET($BO$15,0,0,$B$14,1)) + $B$18/($B$19*$B$19*($DN285&lt;&gt;$DO285) + $B$19*($DN285=$DO285))</f>
        <v>3.7037037037037035E-4</v>
      </c>
      <c r="GA285" s="10" cm="1">
        <f t="array" aca="1" ref="GA285" ca="1">(1-$B$18)*SUMPRODUCT(OFFSET($BO$15,0,0,$B$14,1), 1*(_xlfn._xlws.FILTER(OFFSET($O$15,0,$DN285,$B$8,1),OFFSET($M$15,0,0,$B$8,1))=GA$13), 1*(_xlfn._xlws.FILTER(OFFSET($O$15,0,$DO285,$B$8,1),OFFSET($M$15,0,0,$B$8,1))=GA$14))   /   SUM(OFFSET($BO$15,0,0,$B$14,1)) + $B$18/($B$19*$B$19*($DN285&lt;&gt;$DO285) + $B$19*($DN285=$DO285))</f>
        <v>3.7037037037037035E-4</v>
      </c>
    </row>
    <row r="286" spans="118:183" x14ac:dyDescent="0.2">
      <c r="DN286" cm="1">
        <f t="array" aca="1" ref="DN286" ca="1">INDEX(_xlfn.ANCHORARRAY($CP$15), 1 + INT((ROWS($DO$15:$DO286) - 1) / ROWS(_xlfn.ANCHORARRAY($CP$15))))</f>
        <v>15</v>
      </c>
      <c r="DO286" cm="1">
        <f t="array" aca="1" ref="DO286" ca="1">INDEX(_xlfn.ANCHORARRAY($CP$15),1+MOD(ROWS($DO$15:$DO286)-1,ROWS(_xlfn.ANCHORARRAY($CP$15))))</f>
        <v>5</v>
      </c>
      <c r="DP286" s="10" cm="1">
        <f t="array" aca="1" ref="DP286" ca="1">(1-$B$18)*SUMPRODUCT(OFFSET($BO$15,0,0,$B$14,1), 1*(_xlfn._xlws.FILTER(OFFSET($O$15,0,$DN286,$B$8,1),OFFSET($M$15,0,0,$B$8,1))=DP$13), 1*(_xlfn._xlws.FILTER(OFFSET($O$15,0,$DO286,$B$8,1),OFFSET($M$15,0,0,$B$8,1))=DP$14))   /   SUM(OFFSET($BO$15,0,0,$B$14,1)) + $B$18/($B$19*$B$19*($DN286&lt;&gt;$DO286) + $B$19*($DN286=$DO286))</f>
        <v>3.7037037037037035E-4</v>
      </c>
      <c r="DQ286" s="10" cm="1">
        <f t="array" aca="1" ref="DQ286" ca="1">(1-$B$18)*SUMPRODUCT(OFFSET($BO$15,0,0,$B$14,1), 1*(_xlfn._xlws.FILTER(OFFSET($O$15,0,$DN286,$B$8,1),OFFSET($M$15,0,0,$B$8,1))=DQ$13), 1*(_xlfn._xlws.FILTER(OFFSET($O$15,0,$DO286,$B$8,1),OFFSET($M$15,0,0,$B$8,1))=DQ$14))   /   SUM(OFFSET($BO$15,0,0,$B$14,1)) + $B$18/($B$19*$B$19*($DN286&lt;&gt;$DO286) + $B$19*($DN286=$DO286))</f>
        <v>3.7037037037037035E-4</v>
      </c>
      <c r="DR286" s="10" cm="1">
        <f t="array" aca="1" ref="DR286" ca="1">(1-$B$18)*SUMPRODUCT(OFFSET($BO$15,0,0,$B$14,1), 1*(_xlfn._xlws.FILTER(OFFSET($O$15,0,$DN286,$B$8,1),OFFSET($M$15,0,0,$B$8,1))=DR$13), 1*(_xlfn._xlws.FILTER(OFFSET($O$15,0,$DO286,$B$8,1),OFFSET($M$15,0,0,$B$8,1))=DR$14))   /   SUM(OFFSET($BO$15,0,0,$B$14,1)) + $B$18/($B$19*$B$19*($DN286&lt;&gt;$DO286) + $B$19*($DN286=$DO286))</f>
        <v>3.7037037037037035E-4</v>
      </c>
      <c r="DS286" s="10" cm="1">
        <f t="array" aca="1" ref="DS286" ca="1">(1-$B$18)*SUMPRODUCT(OFFSET($BO$15,0,0,$B$14,1), 1*(_xlfn._xlws.FILTER(OFFSET($O$15,0,$DN286,$B$8,1),OFFSET($M$15,0,0,$B$8,1))=DS$13), 1*(_xlfn._xlws.FILTER(OFFSET($O$15,0,$DO286,$B$8,1),OFFSET($M$15,0,0,$B$8,1))=DS$14))   /   SUM(OFFSET($BO$15,0,0,$B$14,1)) + $B$18/($B$19*$B$19*($DN286&lt;&gt;$DO286) + $B$19*($DN286=$DO286))</f>
        <v>3.7037037037037035E-4</v>
      </c>
      <c r="DT286" s="10" cm="1">
        <f t="array" aca="1" ref="DT286" ca="1">(1-$B$18)*SUMPRODUCT(OFFSET($BO$15,0,0,$B$14,1), 1*(_xlfn._xlws.FILTER(OFFSET($O$15,0,$DN286,$B$8,1),OFFSET($M$15,0,0,$B$8,1))=DT$13), 1*(_xlfn._xlws.FILTER(OFFSET($O$15,0,$DO286,$B$8,1),OFFSET($M$15,0,0,$B$8,1))=DT$14))   /   SUM(OFFSET($BO$15,0,0,$B$14,1)) + $B$18/($B$19*$B$19*($DN286&lt;&gt;$DO286) + $B$19*($DN286=$DO286))</f>
        <v>3.7037037037037035E-4</v>
      </c>
      <c r="DU286" s="10" cm="1">
        <f t="array" aca="1" ref="DU286" ca="1">(1-$B$18)*SUMPRODUCT(OFFSET($BO$15,0,0,$B$14,1), 1*(_xlfn._xlws.FILTER(OFFSET($O$15,0,$DN286,$B$8,1),OFFSET($M$15,0,0,$B$8,1))=DU$13), 1*(_xlfn._xlws.FILTER(OFFSET($O$15,0,$DO286,$B$8,1),OFFSET($M$15,0,0,$B$8,1))=DU$14))   /   SUM(OFFSET($BO$15,0,0,$B$14,1)) + $B$18/($B$19*$B$19*($DN286&lt;&gt;$DO286) + $B$19*($DN286=$DO286))</f>
        <v>3.7037037037037035E-4</v>
      </c>
      <c r="DV286" s="10" cm="1">
        <f t="array" aca="1" ref="DV286" ca="1">(1-$B$18)*SUMPRODUCT(OFFSET($BO$15,0,0,$B$14,1), 1*(_xlfn._xlws.FILTER(OFFSET($O$15,0,$DN286,$B$8,1),OFFSET($M$15,0,0,$B$8,1))=DV$13), 1*(_xlfn._xlws.FILTER(OFFSET($O$15,0,$DO286,$B$8,1),OFFSET($M$15,0,0,$B$8,1))=DV$14))   /   SUM(OFFSET($BO$15,0,0,$B$14,1)) + $B$18/($B$19*$B$19*($DN286&lt;&gt;$DO286) + $B$19*($DN286=$DO286))</f>
        <v>3.7037037037037035E-4</v>
      </c>
      <c r="DW286" s="10" cm="1">
        <f t="array" aca="1" ref="DW286" ca="1">(1-$B$18)*SUMPRODUCT(OFFSET($BO$15,0,0,$B$14,1), 1*(_xlfn._xlws.FILTER(OFFSET($O$15,0,$DN286,$B$8,1),OFFSET($M$15,0,0,$B$8,1))=DW$13), 1*(_xlfn._xlws.FILTER(OFFSET($O$15,0,$DO286,$B$8,1),OFFSET($M$15,0,0,$B$8,1))=DW$14))   /   SUM(OFFSET($BO$15,0,0,$B$14,1)) + $B$18/($B$19*$B$19*($DN286&lt;&gt;$DO286) + $B$19*($DN286=$DO286))</f>
        <v>3.7037037037037035E-4</v>
      </c>
      <c r="DX286" s="10" cm="1">
        <f t="array" aca="1" ref="DX286" ca="1">(1-$B$18)*SUMPRODUCT(OFFSET($BO$15,0,0,$B$14,1), 1*(_xlfn._xlws.FILTER(OFFSET($O$15,0,$DN286,$B$8,1),OFFSET($M$15,0,0,$B$8,1))=DX$13), 1*(_xlfn._xlws.FILTER(OFFSET($O$15,0,$DO286,$B$8,1),OFFSET($M$15,0,0,$B$8,1))=DX$14))   /   SUM(OFFSET($BO$15,0,0,$B$14,1)) + $B$18/($B$19*$B$19*($DN286&lt;&gt;$DO286) + $B$19*($DN286=$DO286))</f>
        <v>3.7037037037037035E-4</v>
      </c>
      <c r="DY286" s="10" cm="1">
        <f t="array" aca="1" ref="DY286" ca="1">(1-$B$18)*SUMPRODUCT(OFFSET($BO$15,0,0,$B$14,1), 1*(_xlfn._xlws.FILTER(OFFSET($O$15,0,$DN286,$B$8,1),OFFSET($M$15,0,0,$B$8,1))=DY$13), 1*(_xlfn._xlws.FILTER(OFFSET($O$15,0,$DO286,$B$8,1),OFFSET($M$15,0,0,$B$8,1))=DY$14))   /   SUM(OFFSET($BO$15,0,0,$B$14,1)) + $B$18/($B$19*$B$19*($DN286&lt;&gt;$DO286) + $B$19*($DN286=$DO286))</f>
        <v>3.7037037037037035E-4</v>
      </c>
      <c r="DZ286" s="10" cm="1">
        <f t="array" aca="1" ref="DZ286" ca="1">(1-$B$18)*SUMPRODUCT(OFFSET($BO$15,0,0,$B$14,1), 1*(_xlfn._xlws.FILTER(OFFSET($O$15,0,$DN286,$B$8,1),OFFSET($M$15,0,0,$B$8,1))=DZ$13), 1*(_xlfn._xlws.FILTER(OFFSET($O$15,0,$DO286,$B$8,1),OFFSET($M$15,0,0,$B$8,1))=DZ$14))   /   SUM(OFFSET($BO$15,0,0,$B$14,1)) + $B$18/($B$19*$B$19*($DN286&lt;&gt;$DO286) + $B$19*($DN286=$DO286))</f>
        <v>3.7037037037037035E-4</v>
      </c>
      <c r="EA286" s="10" cm="1">
        <f t="array" aca="1" ref="EA286" ca="1">(1-$B$18)*SUMPRODUCT(OFFSET($BO$15,0,0,$B$14,1), 1*(_xlfn._xlws.FILTER(OFFSET($O$15,0,$DN286,$B$8,1),OFFSET($M$15,0,0,$B$8,1))=EA$13), 1*(_xlfn._xlws.FILTER(OFFSET($O$15,0,$DO286,$B$8,1),OFFSET($M$15,0,0,$B$8,1))=EA$14))   /   SUM(OFFSET($BO$15,0,0,$B$14,1)) + $B$18/($B$19*$B$19*($DN286&lt;&gt;$DO286) + $B$19*($DN286=$DO286))</f>
        <v>3.7037037037037035E-4</v>
      </c>
      <c r="EB286" s="10" cm="1">
        <f t="array" aca="1" ref="EB286" ca="1">(1-$B$18)*SUMPRODUCT(OFFSET($BO$15,0,0,$B$14,1), 1*(_xlfn._xlws.FILTER(OFFSET($O$15,0,$DN286,$B$8,1),OFFSET($M$15,0,0,$B$8,1))=EB$13), 1*(_xlfn._xlws.FILTER(OFFSET($O$15,0,$DO286,$B$8,1),OFFSET($M$15,0,0,$B$8,1))=EB$14))   /   SUM(OFFSET($BO$15,0,0,$B$14,1)) + $B$18/($B$19*$B$19*($DN286&lt;&gt;$DO286) + $B$19*($DN286=$DO286))</f>
        <v>3.7037037037037035E-4</v>
      </c>
      <c r="EC286" s="10" cm="1">
        <f t="array" aca="1" ref="EC286" ca="1">(1-$B$18)*SUMPRODUCT(OFFSET($BO$15,0,0,$B$14,1), 1*(_xlfn._xlws.FILTER(OFFSET($O$15,0,$DN286,$B$8,1),OFFSET($M$15,0,0,$B$8,1))=EC$13), 1*(_xlfn._xlws.FILTER(OFFSET($O$15,0,$DO286,$B$8,1),OFFSET($M$15,0,0,$B$8,1))=EC$14))   /   SUM(OFFSET($BO$15,0,0,$B$14,1)) + $B$18/($B$19*$B$19*($DN286&lt;&gt;$DO286) + $B$19*($DN286=$DO286))</f>
        <v>3.7037037037037035E-4</v>
      </c>
      <c r="ED286" s="10" cm="1">
        <f t="array" aca="1" ref="ED286" ca="1">(1-$B$18)*SUMPRODUCT(OFFSET($BO$15,0,0,$B$14,1), 1*(_xlfn._xlws.FILTER(OFFSET($O$15,0,$DN286,$B$8,1),OFFSET($M$15,0,0,$B$8,1))=ED$13), 1*(_xlfn._xlws.FILTER(OFFSET($O$15,0,$DO286,$B$8,1),OFFSET($M$15,0,0,$B$8,1))=ED$14))   /   SUM(OFFSET($BO$15,0,0,$B$14,1)) + $B$18/($B$19*$B$19*($DN286&lt;&gt;$DO286) + $B$19*($DN286=$DO286))</f>
        <v>3.7037037037037035E-4</v>
      </c>
      <c r="EE286" s="10" cm="1">
        <f t="array" aca="1" ref="EE286" ca="1">(1-$B$18)*SUMPRODUCT(OFFSET($BO$15,0,0,$B$14,1), 1*(_xlfn._xlws.FILTER(OFFSET($O$15,0,$DN286,$B$8,1),OFFSET($M$15,0,0,$B$8,1))=EE$13), 1*(_xlfn._xlws.FILTER(OFFSET($O$15,0,$DO286,$B$8,1),OFFSET($M$15,0,0,$B$8,1))=EE$14))   /   SUM(OFFSET($BO$15,0,0,$B$14,1)) + $B$18/($B$19*$B$19*($DN286&lt;&gt;$DO286) + $B$19*($DN286=$DO286))</f>
        <v>3.7037037037037035E-4</v>
      </c>
      <c r="EF286" s="10" cm="1">
        <f t="array" aca="1" ref="EF286" ca="1">(1-$B$18)*SUMPRODUCT(OFFSET($BO$15,0,0,$B$14,1), 1*(_xlfn._xlws.FILTER(OFFSET($O$15,0,$DN286,$B$8,1),OFFSET($M$15,0,0,$B$8,1))=EF$13), 1*(_xlfn._xlws.FILTER(OFFSET($O$15,0,$DO286,$B$8,1),OFFSET($M$15,0,0,$B$8,1))=EF$14))   /   SUM(OFFSET($BO$15,0,0,$B$14,1)) + $B$18/($B$19*$B$19*($DN286&lt;&gt;$DO286) + $B$19*($DN286=$DO286))</f>
        <v>3.7037037037037035E-4</v>
      </c>
      <c r="EG286" s="10" cm="1">
        <f t="array" aca="1" ref="EG286" ca="1">(1-$B$18)*SUMPRODUCT(OFFSET($BO$15,0,0,$B$14,1), 1*(_xlfn._xlws.FILTER(OFFSET($O$15,0,$DN286,$B$8,1),OFFSET($M$15,0,0,$B$8,1))=EG$13), 1*(_xlfn._xlws.FILTER(OFFSET($O$15,0,$DO286,$B$8,1),OFFSET($M$15,0,0,$B$8,1))=EG$14))   /   SUM(OFFSET($BO$15,0,0,$B$14,1)) + $B$18/($B$19*$B$19*($DN286&lt;&gt;$DO286) + $B$19*($DN286=$DO286))</f>
        <v>3.7037037037037035E-4</v>
      </c>
      <c r="EH286" s="10" cm="1">
        <f t="array" aca="1" ref="EH286" ca="1">(1-$B$18)*SUMPRODUCT(OFFSET($BO$15,0,0,$B$14,1), 1*(_xlfn._xlws.FILTER(OFFSET($O$15,0,$DN286,$B$8,1),OFFSET($M$15,0,0,$B$8,1))=EH$13), 1*(_xlfn._xlws.FILTER(OFFSET($O$15,0,$DO286,$B$8,1),OFFSET($M$15,0,0,$B$8,1))=EH$14))   /   SUM(OFFSET($BO$15,0,0,$B$14,1)) + $B$18/($B$19*$B$19*($DN286&lt;&gt;$DO286) + $B$19*($DN286=$DO286))</f>
        <v>3.7037037037037035E-4</v>
      </c>
      <c r="EI286" s="10" cm="1">
        <f t="array" aca="1" ref="EI286" ca="1">(1-$B$18)*SUMPRODUCT(OFFSET($BO$15,0,0,$B$14,1), 1*(_xlfn._xlws.FILTER(OFFSET($O$15,0,$DN286,$B$8,1),OFFSET($M$15,0,0,$B$8,1))=EI$13), 1*(_xlfn._xlws.FILTER(OFFSET($O$15,0,$DO286,$B$8,1),OFFSET($M$15,0,0,$B$8,1))=EI$14))   /   SUM(OFFSET($BO$15,0,0,$B$14,1)) + $B$18/($B$19*$B$19*($DN286&lt;&gt;$DO286) + $B$19*($DN286=$DO286))</f>
        <v>3.7037037037037035E-4</v>
      </c>
      <c r="EJ286" s="10" cm="1">
        <f t="array" aca="1" ref="EJ286" ca="1">(1-$B$18)*SUMPRODUCT(OFFSET($BO$15,0,0,$B$14,1), 1*(_xlfn._xlws.FILTER(OFFSET($O$15,0,$DN286,$B$8,1),OFFSET($M$15,0,0,$B$8,1))=EJ$13), 1*(_xlfn._xlws.FILTER(OFFSET($O$15,0,$DO286,$B$8,1),OFFSET($M$15,0,0,$B$8,1))=EJ$14))   /   SUM(OFFSET($BO$15,0,0,$B$14,1)) + $B$18/($B$19*$B$19*($DN286&lt;&gt;$DO286) + $B$19*($DN286=$DO286))</f>
        <v>3.7037037037037035E-4</v>
      </c>
      <c r="EK286" s="10" cm="1">
        <f t="array" aca="1" ref="EK286" ca="1">(1-$B$18)*SUMPRODUCT(OFFSET($BO$15,0,0,$B$14,1), 1*(_xlfn._xlws.FILTER(OFFSET($O$15,0,$DN286,$B$8,1),OFFSET($M$15,0,0,$B$8,1))=EK$13), 1*(_xlfn._xlws.FILTER(OFFSET($O$15,0,$DO286,$B$8,1),OFFSET($M$15,0,0,$B$8,1))=EK$14))   /   SUM(OFFSET($BO$15,0,0,$B$14,1)) + $B$18/($B$19*$B$19*($DN286&lt;&gt;$DO286) + $B$19*($DN286=$DO286))</f>
        <v>3.7037037037037035E-4</v>
      </c>
      <c r="EL286" s="10" cm="1">
        <f t="array" aca="1" ref="EL286" ca="1">(1-$B$18)*SUMPRODUCT(OFFSET($BO$15,0,0,$B$14,1), 1*(_xlfn._xlws.FILTER(OFFSET($O$15,0,$DN286,$B$8,1),OFFSET($M$15,0,0,$B$8,1))=EL$13), 1*(_xlfn._xlws.FILTER(OFFSET($O$15,0,$DO286,$B$8,1),OFFSET($M$15,0,0,$B$8,1))=EL$14))   /   SUM(OFFSET($BO$15,0,0,$B$14,1)) + $B$18/($B$19*$B$19*($DN286&lt;&gt;$DO286) + $B$19*($DN286=$DO286))</f>
        <v>0.97037037037037033</v>
      </c>
      <c r="EM286" s="10" cm="1">
        <f t="array" aca="1" ref="EM286" ca="1">(1-$B$18)*SUMPRODUCT(OFFSET($BO$15,0,0,$B$14,1), 1*(_xlfn._xlws.FILTER(OFFSET($O$15,0,$DN286,$B$8,1),OFFSET($M$15,0,0,$B$8,1))=EM$13), 1*(_xlfn._xlws.FILTER(OFFSET($O$15,0,$DO286,$B$8,1),OFFSET($M$15,0,0,$B$8,1))=EM$14))   /   SUM(OFFSET($BO$15,0,0,$B$14,1)) + $B$18/($B$19*$B$19*($DN286&lt;&gt;$DO286) + $B$19*($DN286=$DO286))</f>
        <v>3.7037037037037035E-4</v>
      </c>
      <c r="EN286" s="10" cm="1">
        <f t="array" aca="1" ref="EN286" ca="1">(1-$B$18)*SUMPRODUCT(OFFSET($BO$15,0,0,$B$14,1), 1*(_xlfn._xlws.FILTER(OFFSET($O$15,0,$DN286,$B$8,1),OFFSET($M$15,0,0,$B$8,1))=EN$13), 1*(_xlfn._xlws.FILTER(OFFSET($O$15,0,$DO286,$B$8,1),OFFSET($M$15,0,0,$B$8,1))=EN$14))   /   SUM(OFFSET($BO$15,0,0,$B$14,1)) + $B$18/($B$19*$B$19*($DN286&lt;&gt;$DO286) + $B$19*($DN286=$DO286))</f>
        <v>3.7037037037037035E-4</v>
      </c>
      <c r="EO286" s="10" cm="1">
        <f t="array" aca="1" ref="EO286" ca="1">(1-$B$18)*SUMPRODUCT(OFFSET($BO$15,0,0,$B$14,1), 1*(_xlfn._xlws.FILTER(OFFSET($O$15,0,$DN286,$B$8,1),OFFSET($M$15,0,0,$B$8,1))=EO$13), 1*(_xlfn._xlws.FILTER(OFFSET($O$15,0,$DO286,$B$8,1),OFFSET($M$15,0,0,$B$8,1))=EO$14))   /   SUM(OFFSET($BO$15,0,0,$B$14,1)) + $B$18/($B$19*$B$19*($DN286&lt;&gt;$DO286) + $B$19*($DN286=$DO286))</f>
        <v>3.7037037037037035E-4</v>
      </c>
      <c r="EP286" s="10" cm="1">
        <f t="array" aca="1" ref="EP286" ca="1">(1-$B$18)*SUMPRODUCT(OFFSET($BO$15,0,0,$B$14,1), 1*(_xlfn._xlws.FILTER(OFFSET($O$15,0,$DN286,$B$8,1),OFFSET($M$15,0,0,$B$8,1))=EP$13), 1*(_xlfn._xlws.FILTER(OFFSET($O$15,0,$DO286,$B$8,1),OFFSET($M$15,0,0,$B$8,1))=EP$14))   /   SUM(OFFSET($BO$15,0,0,$B$14,1)) + $B$18/($B$19*$B$19*($DN286&lt;&gt;$DO286) + $B$19*($DN286=$DO286))</f>
        <v>3.7037037037037035E-4</v>
      </c>
      <c r="EQ286" s="10" cm="1">
        <f t="array" aca="1" ref="EQ286" ca="1">(1-$B$18)*SUMPRODUCT(OFFSET($BO$15,0,0,$B$14,1), 1*(_xlfn._xlws.FILTER(OFFSET($O$15,0,$DN286,$B$8,1),OFFSET($M$15,0,0,$B$8,1))=EQ$13), 1*(_xlfn._xlws.FILTER(OFFSET($O$15,0,$DO286,$B$8,1),OFFSET($M$15,0,0,$B$8,1))=EQ$14))   /   SUM(OFFSET($BO$15,0,0,$B$14,1)) + $B$18/($B$19*$B$19*($DN286&lt;&gt;$DO286) + $B$19*($DN286=$DO286))</f>
        <v>3.7037037037037035E-4</v>
      </c>
      <c r="ER286" s="10" cm="1">
        <f t="array" aca="1" ref="ER286" ca="1">(1-$B$18)*SUMPRODUCT(OFFSET($BO$15,0,0,$B$14,1), 1*(_xlfn._xlws.FILTER(OFFSET($O$15,0,$DN286,$B$8,1),OFFSET($M$15,0,0,$B$8,1))=ER$13), 1*(_xlfn._xlws.FILTER(OFFSET($O$15,0,$DO286,$B$8,1),OFFSET($M$15,0,0,$B$8,1))=ER$14))   /   SUM(OFFSET($BO$15,0,0,$B$14,1)) + $B$18/($B$19*$B$19*($DN286&lt;&gt;$DO286) + $B$19*($DN286=$DO286))</f>
        <v>3.7037037037037035E-4</v>
      </c>
      <c r="ES286" s="10" cm="1">
        <f t="array" aca="1" ref="ES286" ca="1">(1-$B$18)*SUMPRODUCT(OFFSET($BO$15,0,0,$B$14,1), 1*(_xlfn._xlws.FILTER(OFFSET($O$15,0,$DN286,$B$8,1),OFFSET($M$15,0,0,$B$8,1))=ES$13), 1*(_xlfn._xlws.FILTER(OFFSET($O$15,0,$DO286,$B$8,1),OFFSET($M$15,0,0,$B$8,1))=ES$14))   /   SUM(OFFSET($BO$15,0,0,$B$14,1)) + $B$18/($B$19*$B$19*($DN286&lt;&gt;$DO286) + $B$19*($DN286=$DO286))</f>
        <v>3.7037037037037035E-4</v>
      </c>
      <c r="ET286" s="10" cm="1">
        <f t="array" aca="1" ref="ET286" ca="1">(1-$B$18)*SUMPRODUCT(OFFSET($BO$15,0,0,$B$14,1), 1*(_xlfn._xlws.FILTER(OFFSET($O$15,0,$DN286,$B$8,1),OFFSET($M$15,0,0,$B$8,1))=ET$13), 1*(_xlfn._xlws.FILTER(OFFSET($O$15,0,$DO286,$B$8,1),OFFSET($M$15,0,0,$B$8,1))=ET$14))   /   SUM(OFFSET($BO$15,0,0,$B$14,1)) + $B$18/($B$19*$B$19*($DN286&lt;&gt;$DO286) + $B$19*($DN286=$DO286))</f>
        <v>3.7037037037037035E-4</v>
      </c>
      <c r="EU286" s="10" cm="1">
        <f t="array" aca="1" ref="EU286" ca="1">(1-$B$18)*SUMPRODUCT(OFFSET($BO$15,0,0,$B$14,1), 1*(_xlfn._xlws.FILTER(OFFSET($O$15,0,$DN286,$B$8,1),OFFSET($M$15,0,0,$B$8,1))=EU$13), 1*(_xlfn._xlws.FILTER(OFFSET($O$15,0,$DO286,$B$8,1),OFFSET($M$15,0,0,$B$8,1))=EU$14))   /   SUM(OFFSET($BO$15,0,0,$B$14,1)) + $B$18/($B$19*$B$19*($DN286&lt;&gt;$DO286) + $B$19*($DN286=$DO286))</f>
        <v>3.7037037037037035E-4</v>
      </c>
      <c r="EV286" s="10" cm="1">
        <f t="array" aca="1" ref="EV286" ca="1">(1-$B$18)*SUMPRODUCT(OFFSET($BO$15,0,0,$B$14,1), 1*(_xlfn._xlws.FILTER(OFFSET($O$15,0,$DN286,$B$8,1),OFFSET($M$15,0,0,$B$8,1))=EV$13), 1*(_xlfn._xlws.FILTER(OFFSET($O$15,0,$DO286,$B$8,1),OFFSET($M$15,0,0,$B$8,1))=EV$14))   /   SUM(OFFSET($BO$15,0,0,$B$14,1)) + $B$18/($B$19*$B$19*($DN286&lt;&gt;$DO286) + $B$19*($DN286=$DO286))</f>
        <v>3.7037037037037035E-4</v>
      </c>
      <c r="EW286" s="10" cm="1">
        <f t="array" aca="1" ref="EW286" ca="1">(1-$B$18)*SUMPRODUCT(OFFSET($BO$15,0,0,$B$14,1), 1*(_xlfn._xlws.FILTER(OFFSET($O$15,0,$DN286,$B$8,1),OFFSET($M$15,0,0,$B$8,1))=EW$13), 1*(_xlfn._xlws.FILTER(OFFSET($O$15,0,$DO286,$B$8,1),OFFSET($M$15,0,0,$B$8,1))=EW$14))   /   SUM(OFFSET($BO$15,0,0,$B$14,1)) + $B$18/($B$19*$B$19*($DN286&lt;&gt;$DO286) + $B$19*($DN286=$DO286))</f>
        <v>3.7037037037037035E-4</v>
      </c>
      <c r="EX286" s="10" cm="1">
        <f t="array" aca="1" ref="EX286" ca="1">(1-$B$18)*SUMPRODUCT(OFFSET($BO$15,0,0,$B$14,1), 1*(_xlfn._xlws.FILTER(OFFSET($O$15,0,$DN286,$B$8,1),OFFSET($M$15,0,0,$B$8,1))=EX$13), 1*(_xlfn._xlws.FILTER(OFFSET($O$15,0,$DO286,$B$8,1),OFFSET($M$15,0,0,$B$8,1))=EX$14))   /   SUM(OFFSET($BO$15,0,0,$B$14,1)) + $B$18/($B$19*$B$19*($DN286&lt;&gt;$DO286) + $B$19*($DN286=$DO286))</f>
        <v>3.7037037037037035E-4</v>
      </c>
      <c r="EY286" s="10" cm="1">
        <f t="array" aca="1" ref="EY286" ca="1">(1-$B$18)*SUMPRODUCT(OFFSET($BO$15,0,0,$B$14,1), 1*(_xlfn._xlws.FILTER(OFFSET($O$15,0,$DN286,$B$8,1),OFFSET($M$15,0,0,$B$8,1))=EY$13), 1*(_xlfn._xlws.FILTER(OFFSET($O$15,0,$DO286,$B$8,1),OFFSET($M$15,0,0,$B$8,1))=EY$14))   /   SUM(OFFSET($BO$15,0,0,$B$14,1)) + $B$18/($B$19*$B$19*($DN286&lt;&gt;$DO286) + $B$19*($DN286=$DO286))</f>
        <v>3.7037037037037035E-4</v>
      </c>
      <c r="EZ286" s="10" cm="1">
        <f t="array" aca="1" ref="EZ286" ca="1">(1-$B$18)*SUMPRODUCT(OFFSET($BO$15,0,0,$B$14,1), 1*(_xlfn._xlws.FILTER(OFFSET($O$15,0,$DN286,$B$8,1),OFFSET($M$15,0,0,$B$8,1))=EZ$13), 1*(_xlfn._xlws.FILTER(OFFSET($O$15,0,$DO286,$B$8,1),OFFSET($M$15,0,0,$B$8,1))=EZ$14))   /   SUM(OFFSET($BO$15,0,0,$B$14,1)) + $B$18/($B$19*$B$19*($DN286&lt;&gt;$DO286) + $B$19*($DN286=$DO286))</f>
        <v>3.7037037037037035E-4</v>
      </c>
      <c r="FA286" s="10" cm="1">
        <f t="array" aca="1" ref="FA286" ca="1">(1-$B$18)*SUMPRODUCT(OFFSET($BO$15,0,0,$B$14,1), 1*(_xlfn._xlws.FILTER(OFFSET($O$15,0,$DN286,$B$8,1),OFFSET($M$15,0,0,$B$8,1))=FA$13), 1*(_xlfn._xlws.FILTER(OFFSET($O$15,0,$DO286,$B$8,1),OFFSET($M$15,0,0,$B$8,1))=FA$14))   /   SUM(OFFSET($BO$15,0,0,$B$14,1)) + $B$18/($B$19*$B$19*($DN286&lt;&gt;$DO286) + $B$19*($DN286=$DO286))</f>
        <v>3.7037037037037035E-4</v>
      </c>
      <c r="FB286" s="10" cm="1">
        <f t="array" aca="1" ref="FB286" ca="1">(1-$B$18)*SUMPRODUCT(OFFSET($BO$15,0,0,$B$14,1), 1*(_xlfn._xlws.FILTER(OFFSET($O$15,0,$DN286,$B$8,1),OFFSET($M$15,0,0,$B$8,1))=FB$13), 1*(_xlfn._xlws.FILTER(OFFSET($O$15,0,$DO286,$B$8,1),OFFSET($M$15,0,0,$B$8,1))=FB$14))   /   SUM(OFFSET($BO$15,0,0,$B$14,1)) + $B$18/($B$19*$B$19*($DN286&lt;&gt;$DO286) + $B$19*($DN286=$DO286))</f>
        <v>3.7037037037037035E-4</v>
      </c>
      <c r="FC286" s="10" cm="1">
        <f t="array" aca="1" ref="FC286" ca="1">(1-$B$18)*SUMPRODUCT(OFFSET($BO$15,0,0,$B$14,1), 1*(_xlfn._xlws.FILTER(OFFSET($O$15,0,$DN286,$B$8,1),OFFSET($M$15,0,0,$B$8,1))=FC$13), 1*(_xlfn._xlws.FILTER(OFFSET($O$15,0,$DO286,$B$8,1),OFFSET($M$15,0,0,$B$8,1))=FC$14))   /   SUM(OFFSET($BO$15,0,0,$B$14,1)) + $B$18/($B$19*$B$19*($DN286&lt;&gt;$DO286) + $B$19*($DN286=$DO286))</f>
        <v>3.7037037037037035E-4</v>
      </c>
      <c r="FD286" s="10" cm="1">
        <f t="array" aca="1" ref="FD286" ca="1">(1-$B$18)*SUMPRODUCT(OFFSET($BO$15,0,0,$B$14,1), 1*(_xlfn._xlws.FILTER(OFFSET($O$15,0,$DN286,$B$8,1),OFFSET($M$15,0,0,$B$8,1))=FD$13), 1*(_xlfn._xlws.FILTER(OFFSET($O$15,0,$DO286,$B$8,1),OFFSET($M$15,0,0,$B$8,1))=FD$14))   /   SUM(OFFSET($BO$15,0,0,$B$14,1)) + $B$18/($B$19*$B$19*($DN286&lt;&gt;$DO286) + $B$19*($DN286=$DO286))</f>
        <v>3.7037037037037035E-4</v>
      </c>
      <c r="FE286" s="10" cm="1">
        <f t="array" aca="1" ref="FE286" ca="1">(1-$B$18)*SUMPRODUCT(OFFSET($BO$15,0,0,$B$14,1), 1*(_xlfn._xlws.FILTER(OFFSET($O$15,0,$DN286,$B$8,1),OFFSET($M$15,0,0,$B$8,1))=FE$13), 1*(_xlfn._xlws.FILTER(OFFSET($O$15,0,$DO286,$B$8,1),OFFSET($M$15,0,0,$B$8,1))=FE$14))   /   SUM(OFFSET($BO$15,0,0,$B$14,1)) + $B$18/($B$19*$B$19*($DN286&lt;&gt;$DO286) + $B$19*($DN286=$DO286))</f>
        <v>3.7037037037037035E-4</v>
      </c>
      <c r="FF286" s="10" cm="1">
        <f t="array" aca="1" ref="FF286" ca="1">(1-$B$18)*SUMPRODUCT(OFFSET($BO$15,0,0,$B$14,1), 1*(_xlfn._xlws.FILTER(OFFSET($O$15,0,$DN286,$B$8,1),OFFSET($M$15,0,0,$B$8,1))=FF$13), 1*(_xlfn._xlws.FILTER(OFFSET($O$15,0,$DO286,$B$8,1),OFFSET($M$15,0,0,$B$8,1))=FF$14))   /   SUM(OFFSET($BO$15,0,0,$B$14,1)) + $B$18/($B$19*$B$19*($DN286&lt;&gt;$DO286) + $B$19*($DN286=$DO286))</f>
        <v>3.7037037037037035E-4</v>
      </c>
      <c r="FG286" s="10" cm="1">
        <f t="array" aca="1" ref="FG286" ca="1">(1-$B$18)*SUMPRODUCT(OFFSET($BO$15,0,0,$B$14,1), 1*(_xlfn._xlws.FILTER(OFFSET($O$15,0,$DN286,$B$8,1),OFFSET($M$15,0,0,$B$8,1))=FG$13), 1*(_xlfn._xlws.FILTER(OFFSET($O$15,0,$DO286,$B$8,1),OFFSET($M$15,0,0,$B$8,1))=FG$14))   /   SUM(OFFSET($BO$15,0,0,$B$14,1)) + $B$18/($B$19*$B$19*($DN286&lt;&gt;$DO286) + $B$19*($DN286=$DO286))</f>
        <v>3.7037037037037035E-4</v>
      </c>
      <c r="FH286" s="10" cm="1">
        <f t="array" aca="1" ref="FH286" ca="1">(1-$B$18)*SUMPRODUCT(OFFSET($BO$15,0,0,$B$14,1), 1*(_xlfn._xlws.FILTER(OFFSET($O$15,0,$DN286,$B$8,1),OFFSET($M$15,0,0,$B$8,1))=FH$13), 1*(_xlfn._xlws.FILTER(OFFSET($O$15,0,$DO286,$B$8,1),OFFSET($M$15,0,0,$B$8,1))=FH$14))   /   SUM(OFFSET($BO$15,0,0,$B$14,1)) + $B$18/($B$19*$B$19*($DN286&lt;&gt;$DO286) + $B$19*($DN286=$DO286))</f>
        <v>3.7037037037037035E-4</v>
      </c>
      <c r="FI286" s="10" cm="1">
        <f t="array" aca="1" ref="FI286" ca="1">(1-$B$18)*SUMPRODUCT(OFFSET($BO$15,0,0,$B$14,1), 1*(_xlfn._xlws.FILTER(OFFSET($O$15,0,$DN286,$B$8,1),OFFSET($M$15,0,0,$B$8,1))=FI$13), 1*(_xlfn._xlws.FILTER(OFFSET($O$15,0,$DO286,$B$8,1),OFFSET($M$15,0,0,$B$8,1))=FI$14))   /   SUM(OFFSET($BO$15,0,0,$B$14,1)) + $B$18/($B$19*$B$19*($DN286&lt;&gt;$DO286) + $B$19*($DN286=$DO286))</f>
        <v>3.7037037037037035E-4</v>
      </c>
      <c r="FJ286" s="10" cm="1">
        <f t="array" aca="1" ref="FJ286" ca="1">(1-$B$18)*SUMPRODUCT(OFFSET($BO$15,0,0,$B$14,1), 1*(_xlfn._xlws.FILTER(OFFSET($O$15,0,$DN286,$B$8,1),OFFSET($M$15,0,0,$B$8,1))=FJ$13), 1*(_xlfn._xlws.FILTER(OFFSET($O$15,0,$DO286,$B$8,1),OFFSET($M$15,0,0,$B$8,1))=FJ$14))   /   SUM(OFFSET($BO$15,0,0,$B$14,1)) + $B$18/($B$19*$B$19*($DN286&lt;&gt;$DO286) + $B$19*($DN286=$DO286))</f>
        <v>3.7037037037037035E-4</v>
      </c>
      <c r="FK286" s="10" cm="1">
        <f t="array" aca="1" ref="FK286" ca="1">(1-$B$18)*SUMPRODUCT(OFFSET($BO$15,0,0,$B$14,1), 1*(_xlfn._xlws.FILTER(OFFSET($O$15,0,$DN286,$B$8,1),OFFSET($M$15,0,0,$B$8,1))=FK$13), 1*(_xlfn._xlws.FILTER(OFFSET($O$15,0,$DO286,$B$8,1),OFFSET($M$15,0,0,$B$8,1))=FK$14))   /   SUM(OFFSET($BO$15,0,0,$B$14,1)) + $B$18/($B$19*$B$19*($DN286&lt;&gt;$DO286) + $B$19*($DN286=$DO286))</f>
        <v>3.7037037037037035E-4</v>
      </c>
      <c r="FL286" s="10" cm="1">
        <f t="array" aca="1" ref="FL286" ca="1">(1-$B$18)*SUMPRODUCT(OFFSET($BO$15,0,0,$B$14,1), 1*(_xlfn._xlws.FILTER(OFFSET($O$15,0,$DN286,$B$8,1),OFFSET($M$15,0,0,$B$8,1))=FL$13), 1*(_xlfn._xlws.FILTER(OFFSET($O$15,0,$DO286,$B$8,1),OFFSET($M$15,0,0,$B$8,1))=FL$14))   /   SUM(OFFSET($BO$15,0,0,$B$14,1)) + $B$18/($B$19*$B$19*($DN286&lt;&gt;$DO286) + $B$19*($DN286=$DO286))</f>
        <v>3.7037037037037035E-4</v>
      </c>
      <c r="FM286" s="10" cm="1">
        <f t="array" aca="1" ref="FM286" ca="1">(1-$B$18)*SUMPRODUCT(OFFSET($BO$15,0,0,$B$14,1), 1*(_xlfn._xlws.FILTER(OFFSET($O$15,0,$DN286,$B$8,1),OFFSET($M$15,0,0,$B$8,1))=FM$13), 1*(_xlfn._xlws.FILTER(OFFSET($O$15,0,$DO286,$B$8,1),OFFSET($M$15,0,0,$B$8,1))=FM$14))   /   SUM(OFFSET($BO$15,0,0,$B$14,1)) + $B$18/($B$19*$B$19*($DN286&lt;&gt;$DO286) + $B$19*($DN286=$DO286))</f>
        <v>3.7037037037037035E-4</v>
      </c>
      <c r="FN286" s="10" cm="1">
        <f t="array" aca="1" ref="FN286" ca="1">(1-$B$18)*SUMPRODUCT(OFFSET($BO$15,0,0,$B$14,1), 1*(_xlfn._xlws.FILTER(OFFSET($O$15,0,$DN286,$B$8,1),OFFSET($M$15,0,0,$B$8,1))=FN$13), 1*(_xlfn._xlws.FILTER(OFFSET($O$15,0,$DO286,$B$8,1),OFFSET($M$15,0,0,$B$8,1))=FN$14))   /   SUM(OFFSET($BO$15,0,0,$B$14,1)) + $B$18/($B$19*$B$19*($DN286&lt;&gt;$DO286) + $B$19*($DN286=$DO286))</f>
        <v>3.7037037037037035E-4</v>
      </c>
      <c r="FO286" s="10" cm="1">
        <f t="array" aca="1" ref="FO286" ca="1">(1-$B$18)*SUMPRODUCT(OFFSET($BO$15,0,0,$B$14,1), 1*(_xlfn._xlws.FILTER(OFFSET($O$15,0,$DN286,$B$8,1),OFFSET($M$15,0,0,$B$8,1))=FO$13), 1*(_xlfn._xlws.FILTER(OFFSET($O$15,0,$DO286,$B$8,1),OFFSET($M$15,0,0,$B$8,1))=FO$14))   /   SUM(OFFSET($BO$15,0,0,$B$14,1)) + $B$18/($B$19*$B$19*($DN286&lt;&gt;$DO286) + $B$19*($DN286=$DO286))</f>
        <v>3.7037037037037035E-4</v>
      </c>
      <c r="FP286" s="10" cm="1">
        <f t="array" aca="1" ref="FP286" ca="1">(1-$B$18)*SUMPRODUCT(OFFSET($BO$15,0,0,$B$14,1), 1*(_xlfn._xlws.FILTER(OFFSET($O$15,0,$DN286,$B$8,1),OFFSET($M$15,0,0,$B$8,1))=FP$13), 1*(_xlfn._xlws.FILTER(OFFSET($O$15,0,$DO286,$B$8,1),OFFSET($M$15,0,0,$B$8,1))=FP$14))   /   SUM(OFFSET($BO$15,0,0,$B$14,1)) + $B$18/($B$19*$B$19*($DN286&lt;&gt;$DO286) + $B$19*($DN286=$DO286))</f>
        <v>3.7037037037037035E-4</v>
      </c>
      <c r="FQ286" s="10" cm="1">
        <f t="array" aca="1" ref="FQ286" ca="1">(1-$B$18)*SUMPRODUCT(OFFSET($BO$15,0,0,$B$14,1), 1*(_xlfn._xlws.FILTER(OFFSET($O$15,0,$DN286,$B$8,1),OFFSET($M$15,0,0,$B$8,1))=FQ$13), 1*(_xlfn._xlws.FILTER(OFFSET($O$15,0,$DO286,$B$8,1),OFFSET($M$15,0,0,$B$8,1))=FQ$14))   /   SUM(OFFSET($BO$15,0,0,$B$14,1)) + $B$18/($B$19*$B$19*($DN286&lt;&gt;$DO286) + $B$19*($DN286=$DO286))</f>
        <v>3.7037037037037035E-4</v>
      </c>
      <c r="FR286" s="10" cm="1">
        <f t="array" aca="1" ref="FR286" ca="1">(1-$B$18)*SUMPRODUCT(OFFSET($BO$15,0,0,$B$14,1), 1*(_xlfn._xlws.FILTER(OFFSET($O$15,0,$DN286,$B$8,1),OFFSET($M$15,0,0,$B$8,1))=FR$13), 1*(_xlfn._xlws.FILTER(OFFSET($O$15,0,$DO286,$B$8,1),OFFSET($M$15,0,0,$B$8,1))=FR$14))   /   SUM(OFFSET($BO$15,0,0,$B$14,1)) + $B$18/($B$19*$B$19*($DN286&lt;&gt;$DO286) + $B$19*($DN286=$DO286))</f>
        <v>3.7037037037037035E-4</v>
      </c>
      <c r="FS286" s="10" cm="1">
        <f t="array" aca="1" ref="FS286" ca="1">(1-$B$18)*SUMPRODUCT(OFFSET($BO$15,0,0,$B$14,1), 1*(_xlfn._xlws.FILTER(OFFSET($O$15,0,$DN286,$B$8,1),OFFSET($M$15,0,0,$B$8,1))=FS$13), 1*(_xlfn._xlws.FILTER(OFFSET($O$15,0,$DO286,$B$8,1),OFFSET($M$15,0,0,$B$8,1))=FS$14))   /   SUM(OFFSET($BO$15,0,0,$B$14,1)) + $B$18/($B$19*$B$19*($DN286&lt;&gt;$DO286) + $B$19*($DN286=$DO286))</f>
        <v>3.7037037037037035E-4</v>
      </c>
      <c r="FT286" s="10" cm="1">
        <f t="array" aca="1" ref="FT286" ca="1">(1-$B$18)*SUMPRODUCT(OFFSET($BO$15,0,0,$B$14,1), 1*(_xlfn._xlws.FILTER(OFFSET($O$15,0,$DN286,$B$8,1),OFFSET($M$15,0,0,$B$8,1))=FT$13), 1*(_xlfn._xlws.FILTER(OFFSET($O$15,0,$DO286,$B$8,1),OFFSET($M$15,0,0,$B$8,1))=FT$14))   /   SUM(OFFSET($BO$15,0,0,$B$14,1)) + $B$18/($B$19*$B$19*($DN286&lt;&gt;$DO286) + $B$19*($DN286=$DO286))</f>
        <v>3.7037037037037035E-4</v>
      </c>
      <c r="FU286" s="10" cm="1">
        <f t="array" aca="1" ref="FU286" ca="1">(1-$B$18)*SUMPRODUCT(OFFSET($BO$15,0,0,$B$14,1), 1*(_xlfn._xlws.FILTER(OFFSET($O$15,0,$DN286,$B$8,1),OFFSET($M$15,0,0,$B$8,1))=FU$13), 1*(_xlfn._xlws.FILTER(OFFSET($O$15,0,$DO286,$B$8,1),OFFSET($M$15,0,0,$B$8,1))=FU$14))   /   SUM(OFFSET($BO$15,0,0,$B$14,1)) + $B$18/($B$19*$B$19*($DN286&lt;&gt;$DO286) + $B$19*($DN286=$DO286))</f>
        <v>3.7037037037037035E-4</v>
      </c>
      <c r="FV286" s="10" cm="1">
        <f t="array" aca="1" ref="FV286" ca="1">(1-$B$18)*SUMPRODUCT(OFFSET($BO$15,0,0,$B$14,1), 1*(_xlfn._xlws.FILTER(OFFSET($O$15,0,$DN286,$B$8,1),OFFSET($M$15,0,0,$B$8,1))=FV$13), 1*(_xlfn._xlws.FILTER(OFFSET($O$15,0,$DO286,$B$8,1),OFFSET($M$15,0,0,$B$8,1))=FV$14))   /   SUM(OFFSET($BO$15,0,0,$B$14,1)) + $B$18/($B$19*$B$19*($DN286&lt;&gt;$DO286) + $B$19*($DN286=$DO286))</f>
        <v>3.7037037037037035E-4</v>
      </c>
      <c r="FW286" s="10" cm="1">
        <f t="array" aca="1" ref="FW286" ca="1">(1-$B$18)*SUMPRODUCT(OFFSET($BO$15,0,0,$B$14,1), 1*(_xlfn._xlws.FILTER(OFFSET($O$15,0,$DN286,$B$8,1),OFFSET($M$15,0,0,$B$8,1))=FW$13), 1*(_xlfn._xlws.FILTER(OFFSET($O$15,0,$DO286,$B$8,1),OFFSET($M$15,0,0,$B$8,1))=FW$14))   /   SUM(OFFSET($BO$15,0,0,$B$14,1)) + $B$18/($B$19*$B$19*($DN286&lt;&gt;$DO286) + $B$19*($DN286=$DO286))</f>
        <v>3.7037037037037035E-4</v>
      </c>
      <c r="FX286" s="10" cm="1">
        <f t="array" aca="1" ref="FX286" ca="1">(1-$B$18)*SUMPRODUCT(OFFSET($BO$15,0,0,$B$14,1), 1*(_xlfn._xlws.FILTER(OFFSET($O$15,0,$DN286,$B$8,1),OFFSET($M$15,0,0,$B$8,1))=FX$13), 1*(_xlfn._xlws.FILTER(OFFSET($O$15,0,$DO286,$B$8,1),OFFSET($M$15,0,0,$B$8,1))=FX$14))   /   SUM(OFFSET($BO$15,0,0,$B$14,1)) + $B$18/($B$19*$B$19*($DN286&lt;&gt;$DO286) + $B$19*($DN286=$DO286))</f>
        <v>3.7037037037037035E-4</v>
      </c>
      <c r="FY286" s="10" cm="1">
        <f t="array" aca="1" ref="FY286" ca="1">(1-$B$18)*SUMPRODUCT(OFFSET($BO$15,0,0,$B$14,1), 1*(_xlfn._xlws.FILTER(OFFSET($O$15,0,$DN286,$B$8,1),OFFSET($M$15,0,0,$B$8,1))=FY$13), 1*(_xlfn._xlws.FILTER(OFFSET($O$15,0,$DO286,$B$8,1),OFFSET($M$15,0,0,$B$8,1))=FY$14))   /   SUM(OFFSET($BO$15,0,0,$B$14,1)) + $B$18/($B$19*$B$19*($DN286&lt;&gt;$DO286) + $B$19*($DN286=$DO286))</f>
        <v>3.7037037037037035E-4</v>
      </c>
      <c r="FZ286" s="10" cm="1">
        <f t="array" aca="1" ref="FZ286" ca="1">(1-$B$18)*SUMPRODUCT(OFFSET($BO$15,0,0,$B$14,1), 1*(_xlfn._xlws.FILTER(OFFSET($O$15,0,$DN286,$B$8,1),OFFSET($M$15,0,0,$B$8,1))=FZ$13), 1*(_xlfn._xlws.FILTER(OFFSET($O$15,0,$DO286,$B$8,1),OFFSET($M$15,0,0,$B$8,1))=FZ$14))   /   SUM(OFFSET($BO$15,0,0,$B$14,1)) + $B$18/($B$19*$B$19*($DN286&lt;&gt;$DO286) + $B$19*($DN286=$DO286))</f>
        <v>3.7037037037037035E-4</v>
      </c>
      <c r="GA286" s="10" cm="1">
        <f t="array" aca="1" ref="GA286" ca="1">(1-$B$18)*SUMPRODUCT(OFFSET($BO$15,0,0,$B$14,1), 1*(_xlfn._xlws.FILTER(OFFSET($O$15,0,$DN286,$B$8,1),OFFSET($M$15,0,0,$B$8,1))=GA$13), 1*(_xlfn._xlws.FILTER(OFFSET($O$15,0,$DO286,$B$8,1),OFFSET($M$15,0,0,$B$8,1))=GA$14))   /   SUM(OFFSET($BO$15,0,0,$B$14,1)) + $B$18/($B$19*$B$19*($DN286&lt;&gt;$DO286) + $B$19*($DN286=$DO286))</f>
        <v>3.7037037037037035E-4</v>
      </c>
    </row>
    <row r="287" spans="118:183" x14ac:dyDescent="0.2">
      <c r="DN287" cm="1">
        <f t="array" aca="1" ref="DN287" ca="1">INDEX(_xlfn.ANCHORARRAY($CP$15), 1 + INT((ROWS($DO$15:$DO287) - 1) / ROWS(_xlfn.ANCHORARRAY($CP$15))))</f>
        <v>15</v>
      </c>
      <c r="DO287" cm="1">
        <f t="array" aca="1" ref="DO287" ca="1">INDEX(_xlfn.ANCHORARRAY($CP$15),1+MOD(ROWS($DO$15:$DO287)-1,ROWS(_xlfn.ANCHORARRAY($CP$15))))</f>
        <v>6</v>
      </c>
      <c r="DP287" s="10" cm="1">
        <f t="array" aca="1" ref="DP287" ca="1">(1-$B$18)*SUMPRODUCT(OFFSET($BO$15,0,0,$B$14,1), 1*(_xlfn._xlws.FILTER(OFFSET($O$15,0,$DN287,$B$8,1),OFFSET($M$15,0,0,$B$8,1))=DP$13), 1*(_xlfn._xlws.FILTER(OFFSET($O$15,0,$DO287,$B$8,1),OFFSET($M$15,0,0,$B$8,1))=DP$14))   /   SUM(OFFSET($BO$15,0,0,$B$14,1)) + $B$18/($B$19*$B$19*($DN287&lt;&gt;$DO287) + $B$19*($DN287=$DO287))</f>
        <v>3.7037037037037035E-4</v>
      </c>
      <c r="DQ287" s="10" cm="1">
        <f t="array" aca="1" ref="DQ287" ca="1">(1-$B$18)*SUMPRODUCT(OFFSET($BO$15,0,0,$B$14,1), 1*(_xlfn._xlws.FILTER(OFFSET($O$15,0,$DN287,$B$8,1),OFFSET($M$15,0,0,$B$8,1))=DQ$13), 1*(_xlfn._xlws.FILTER(OFFSET($O$15,0,$DO287,$B$8,1),OFFSET($M$15,0,0,$B$8,1))=DQ$14))   /   SUM(OFFSET($BO$15,0,0,$B$14,1)) + $B$18/($B$19*$B$19*($DN287&lt;&gt;$DO287) + $B$19*($DN287=$DO287))</f>
        <v>3.7037037037037035E-4</v>
      </c>
      <c r="DR287" s="10" cm="1">
        <f t="array" aca="1" ref="DR287" ca="1">(1-$B$18)*SUMPRODUCT(OFFSET($BO$15,0,0,$B$14,1), 1*(_xlfn._xlws.FILTER(OFFSET($O$15,0,$DN287,$B$8,1),OFFSET($M$15,0,0,$B$8,1))=DR$13), 1*(_xlfn._xlws.FILTER(OFFSET($O$15,0,$DO287,$B$8,1),OFFSET($M$15,0,0,$B$8,1))=DR$14))   /   SUM(OFFSET($BO$15,0,0,$B$14,1)) + $B$18/($B$19*$B$19*($DN287&lt;&gt;$DO287) + $B$19*($DN287=$DO287))</f>
        <v>3.7037037037037035E-4</v>
      </c>
      <c r="DS287" s="10" cm="1">
        <f t="array" aca="1" ref="DS287" ca="1">(1-$B$18)*SUMPRODUCT(OFFSET($BO$15,0,0,$B$14,1), 1*(_xlfn._xlws.FILTER(OFFSET($O$15,0,$DN287,$B$8,1),OFFSET($M$15,0,0,$B$8,1))=DS$13), 1*(_xlfn._xlws.FILTER(OFFSET($O$15,0,$DO287,$B$8,1),OFFSET($M$15,0,0,$B$8,1))=DS$14))   /   SUM(OFFSET($BO$15,0,0,$B$14,1)) + $B$18/($B$19*$B$19*($DN287&lt;&gt;$DO287) + $B$19*($DN287=$DO287))</f>
        <v>3.7037037037037035E-4</v>
      </c>
      <c r="DT287" s="10" cm="1">
        <f t="array" aca="1" ref="DT287" ca="1">(1-$B$18)*SUMPRODUCT(OFFSET($BO$15,0,0,$B$14,1), 1*(_xlfn._xlws.FILTER(OFFSET($O$15,0,$DN287,$B$8,1),OFFSET($M$15,0,0,$B$8,1))=DT$13), 1*(_xlfn._xlws.FILTER(OFFSET($O$15,0,$DO287,$B$8,1),OFFSET($M$15,0,0,$B$8,1))=DT$14))   /   SUM(OFFSET($BO$15,0,0,$B$14,1)) + $B$18/($B$19*$B$19*($DN287&lt;&gt;$DO287) + $B$19*($DN287=$DO287))</f>
        <v>3.7037037037037035E-4</v>
      </c>
      <c r="DU287" s="10" cm="1">
        <f t="array" aca="1" ref="DU287" ca="1">(1-$B$18)*SUMPRODUCT(OFFSET($BO$15,0,0,$B$14,1), 1*(_xlfn._xlws.FILTER(OFFSET($O$15,0,$DN287,$B$8,1),OFFSET($M$15,0,0,$B$8,1))=DU$13), 1*(_xlfn._xlws.FILTER(OFFSET($O$15,0,$DO287,$B$8,1),OFFSET($M$15,0,0,$B$8,1))=DU$14))   /   SUM(OFFSET($BO$15,0,0,$B$14,1)) + $B$18/($B$19*$B$19*($DN287&lt;&gt;$DO287) + $B$19*($DN287=$DO287))</f>
        <v>3.7037037037037035E-4</v>
      </c>
      <c r="DV287" s="10" cm="1">
        <f t="array" aca="1" ref="DV287" ca="1">(1-$B$18)*SUMPRODUCT(OFFSET($BO$15,0,0,$B$14,1), 1*(_xlfn._xlws.FILTER(OFFSET($O$15,0,$DN287,$B$8,1),OFFSET($M$15,0,0,$B$8,1))=DV$13), 1*(_xlfn._xlws.FILTER(OFFSET($O$15,0,$DO287,$B$8,1),OFFSET($M$15,0,0,$B$8,1))=DV$14))   /   SUM(OFFSET($BO$15,0,0,$B$14,1)) + $B$18/($B$19*$B$19*($DN287&lt;&gt;$DO287) + $B$19*($DN287=$DO287))</f>
        <v>3.7037037037037035E-4</v>
      </c>
      <c r="DW287" s="10" cm="1">
        <f t="array" aca="1" ref="DW287" ca="1">(1-$B$18)*SUMPRODUCT(OFFSET($BO$15,0,0,$B$14,1), 1*(_xlfn._xlws.FILTER(OFFSET($O$15,0,$DN287,$B$8,1),OFFSET($M$15,0,0,$B$8,1))=DW$13), 1*(_xlfn._xlws.FILTER(OFFSET($O$15,0,$DO287,$B$8,1),OFFSET($M$15,0,0,$B$8,1))=DW$14))   /   SUM(OFFSET($BO$15,0,0,$B$14,1)) + $B$18/($B$19*$B$19*($DN287&lt;&gt;$DO287) + $B$19*($DN287=$DO287))</f>
        <v>3.7037037037037035E-4</v>
      </c>
      <c r="DX287" s="10" cm="1">
        <f t="array" aca="1" ref="DX287" ca="1">(1-$B$18)*SUMPRODUCT(OFFSET($BO$15,0,0,$B$14,1), 1*(_xlfn._xlws.FILTER(OFFSET($O$15,0,$DN287,$B$8,1),OFFSET($M$15,0,0,$B$8,1))=DX$13), 1*(_xlfn._xlws.FILTER(OFFSET($O$15,0,$DO287,$B$8,1),OFFSET($M$15,0,0,$B$8,1))=DX$14))   /   SUM(OFFSET($BO$15,0,0,$B$14,1)) + $B$18/($B$19*$B$19*($DN287&lt;&gt;$DO287) + $B$19*($DN287=$DO287))</f>
        <v>3.7037037037037035E-4</v>
      </c>
      <c r="DY287" s="10" cm="1">
        <f t="array" aca="1" ref="DY287" ca="1">(1-$B$18)*SUMPRODUCT(OFFSET($BO$15,0,0,$B$14,1), 1*(_xlfn._xlws.FILTER(OFFSET($O$15,0,$DN287,$B$8,1),OFFSET($M$15,0,0,$B$8,1))=DY$13), 1*(_xlfn._xlws.FILTER(OFFSET($O$15,0,$DO287,$B$8,1),OFFSET($M$15,0,0,$B$8,1))=DY$14))   /   SUM(OFFSET($BO$15,0,0,$B$14,1)) + $B$18/($B$19*$B$19*($DN287&lt;&gt;$DO287) + $B$19*($DN287=$DO287))</f>
        <v>3.7037037037037035E-4</v>
      </c>
      <c r="DZ287" s="10" cm="1">
        <f t="array" aca="1" ref="DZ287" ca="1">(1-$B$18)*SUMPRODUCT(OFFSET($BO$15,0,0,$B$14,1), 1*(_xlfn._xlws.FILTER(OFFSET($O$15,0,$DN287,$B$8,1),OFFSET($M$15,0,0,$B$8,1))=DZ$13), 1*(_xlfn._xlws.FILTER(OFFSET($O$15,0,$DO287,$B$8,1),OFFSET($M$15,0,0,$B$8,1))=DZ$14))   /   SUM(OFFSET($BO$15,0,0,$B$14,1)) + $B$18/($B$19*$B$19*($DN287&lt;&gt;$DO287) + $B$19*($DN287=$DO287))</f>
        <v>3.7037037037037035E-4</v>
      </c>
      <c r="EA287" s="10" cm="1">
        <f t="array" aca="1" ref="EA287" ca="1">(1-$B$18)*SUMPRODUCT(OFFSET($BO$15,0,0,$B$14,1), 1*(_xlfn._xlws.FILTER(OFFSET($O$15,0,$DN287,$B$8,1),OFFSET($M$15,0,0,$B$8,1))=EA$13), 1*(_xlfn._xlws.FILTER(OFFSET($O$15,0,$DO287,$B$8,1),OFFSET($M$15,0,0,$B$8,1))=EA$14))   /   SUM(OFFSET($BO$15,0,0,$B$14,1)) + $B$18/($B$19*$B$19*($DN287&lt;&gt;$DO287) + $B$19*($DN287=$DO287))</f>
        <v>3.7037037037037035E-4</v>
      </c>
      <c r="EB287" s="10" cm="1">
        <f t="array" aca="1" ref="EB287" ca="1">(1-$B$18)*SUMPRODUCT(OFFSET($BO$15,0,0,$B$14,1), 1*(_xlfn._xlws.FILTER(OFFSET($O$15,0,$DN287,$B$8,1),OFFSET($M$15,0,0,$B$8,1))=EB$13), 1*(_xlfn._xlws.FILTER(OFFSET($O$15,0,$DO287,$B$8,1),OFFSET($M$15,0,0,$B$8,1))=EB$14))   /   SUM(OFFSET($BO$15,0,0,$B$14,1)) + $B$18/($B$19*$B$19*($DN287&lt;&gt;$DO287) + $B$19*($DN287=$DO287))</f>
        <v>3.7037037037037035E-4</v>
      </c>
      <c r="EC287" s="10" cm="1">
        <f t="array" aca="1" ref="EC287" ca="1">(1-$B$18)*SUMPRODUCT(OFFSET($BO$15,0,0,$B$14,1), 1*(_xlfn._xlws.FILTER(OFFSET($O$15,0,$DN287,$B$8,1),OFFSET($M$15,0,0,$B$8,1))=EC$13), 1*(_xlfn._xlws.FILTER(OFFSET($O$15,0,$DO287,$B$8,1),OFFSET($M$15,0,0,$B$8,1))=EC$14))   /   SUM(OFFSET($BO$15,0,0,$B$14,1)) + $B$18/($B$19*$B$19*($DN287&lt;&gt;$DO287) + $B$19*($DN287=$DO287))</f>
        <v>3.7037037037037035E-4</v>
      </c>
      <c r="ED287" s="10" cm="1">
        <f t="array" aca="1" ref="ED287" ca="1">(1-$B$18)*SUMPRODUCT(OFFSET($BO$15,0,0,$B$14,1), 1*(_xlfn._xlws.FILTER(OFFSET($O$15,0,$DN287,$B$8,1),OFFSET($M$15,0,0,$B$8,1))=ED$13), 1*(_xlfn._xlws.FILTER(OFFSET($O$15,0,$DO287,$B$8,1),OFFSET($M$15,0,0,$B$8,1))=ED$14))   /   SUM(OFFSET($BO$15,0,0,$B$14,1)) + $B$18/($B$19*$B$19*($DN287&lt;&gt;$DO287) + $B$19*($DN287=$DO287))</f>
        <v>3.7037037037037035E-4</v>
      </c>
      <c r="EE287" s="10" cm="1">
        <f t="array" aca="1" ref="EE287" ca="1">(1-$B$18)*SUMPRODUCT(OFFSET($BO$15,0,0,$B$14,1), 1*(_xlfn._xlws.FILTER(OFFSET($O$15,0,$DN287,$B$8,1),OFFSET($M$15,0,0,$B$8,1))=EE$13), 1*(_xlfn._xlws.FILTER(OFFSET($O$15,0,$DO287,$B$8,1),OFFSET($M$15,0,0,$B$8,1))=EE$14))   /   SUM(OFFSET($BO$15,0,0,$B$14,1)) + $B$18/($B$19*$B$19*($DN287&lt;&gt;$DO287) + $B$19*($DN287=$DO287))</f>
        <v>3.7037037037037035E-4</v>
      </c>
      <c r="EF287" s="10" cm="1">
        <f t="array" aca="1" ref="EF287" ca="1">(1-$B$18)*SUMPRODUCT(OFFSET($BO$15,0,0,$B$14,1), 1*(_xlfn._xlws.FILTER(OFFSET($O$15,0,$DN287,$B$8,1),OFFSET($M$15,0,0,$B$8,1))=EF$13), 1*(_xlfn._xlws.FILTER(OFFSET($O$15,0,$DO287,$B$8,1),OFFSET($M$15,0,0,$B$8,1))=EF$14))   /   SUM(OFFSET($BO$15,0,0,$B$14,1)) + $B$18/($B$19*$B$19*($DN287&lt;&gt;$DO287) + $B$19*($DN287=$DO287))</f>
        <v>3.7037037037037035E-4</v>
      </c>
      <c r="EG287" s="10" cm="1">
        <f t="array" aca="1" ref="EG287" ca="1">(1-$B$18)*SUMPRODUCT(OFFSET($BO$15,0,0,$B$14,1), 1*(_xlfn._xlws.FILTER(OFFSET($O$15,0,$DN287,$B$8,1),OFFSET($M$15,0,0,$B$8,1))=EG$13), 1*(_xlfn._xlws.FILTER(OFFSET($O$15,0,$DO287,$B$8,1),OFFSET($M$15,0,0,$B$8,1))=EG$14))   /   SUM(OFFSET($BO$15,0,0,$B$14,1)) + $B$18/($B$19*$B$19*($DN287&lt;&gt;$DO287) + $B$19*($DN287=$DO287))</f>
        <v>3.7037037037037035E-4</v>
      </c>
      <c r="EH287" s="10" cm="1">
        <f t="array" aca="1" ref="EH287" ca="1">(1-$B$18)*SUMPRODUCT(OFFSET($BO$15,0,0,$B$14,1), 1*(_xlfn._xlws.FILTER(OFFSET($O$15,0,$DN287,$B$8,1),OFFSET($M$15,0,0,$B$8,1))=EH$13), 1*(_xlfn._xlws.FILTER(OFFSET($O$15,0,$DO287,$B$8,1),OFFSET($M$15,0,0,$B$8,1))=EH$14))   /   SUM(OFFSET($BO$15,0,0,$B$14,1)) + $B$18/($B$19*$B$19*($DN287&lt;&gt;$DO287) + $B$19*($DN287=$DO287))</f>
        <v>3.7037037037037035E-4</v>
      </c>
      <c r="EI287" s="10" cm="1">
        <f t="array" aca="1" ref="EI287" ca="1">(1-$B$18)*SUMPRODUCT(OFFSET($BO$15,0,0,$B$14,1), 1*(_xlfn._xlws.FILTER(OFFSET($O$15,0,$DN287,$B$8,1),OFFSET($M$15,0,0,$B$8,1))=EI$13), 1*(_xlfn._xlws.FILTER(OFFSET($O$15,0,$DO287,$B$8,1),OFFSET($M$15,0,0,$B$8,1))=EI$14))   /   SUM(OFFSET($BO$15,0,0,$B$14,1)) + $B$18/($B$19*$B$19*($DN287&lt;&gt;$DO287) + $B$19*($DN287=$DO287))</f>
        <v>3.7037037037037035E-4</v>
      </c>
      <c r="EJ287" s="10" cm="1">
        <f t="array" aca="1" ref="EJ287" ca="1">(1-$B$18)*SUMPRODUCT(OFFSET($BO$15,0,0,$B$14,1), 1*(_xlfn._xlws.FILTER(OFFSET($O$15,0,$DN287,$B$8,1),OFFSET($M$15,0,0,$B$8,1))=EJ$13), 1*(_xlfn._xlws.FILTER(OFFSET($O$15,0,$DO287,$B$8,1),OFFSET($M$15,0,0,$B$8,1))=EJ$14))   /   SUM(OFFSET($BO$15,0,0,$B$14,1)) + $B$18/($B$19*$B$19*($DN287&lt;&gt;$DO287) + $B$19*($DN287=$DO287))</f>
        <v>3.7037037037037035E-4</v>
      </c>
      <c r="EK287" s="10" cm="1">
        <f t="array" aca="1" ref="EK287" ca="1">(1-$B$18)*SUMPRODUCT(OFFSET($BO$15,0,0,$B$14,1), 1*(_xlfn._xlws.FILTER(OFFSET($O$15,0,$DN287,$B$8,1),OFFSET($M$15,0,0,$B$8,1))=EK$13), 1*(_xlfn._xlws.FILTER(OFFSET($O$15,0,$DO287,$B$8,1),OFFSET($M$15,0,0,$B$8,1))=EK$14))   /   SUM(OFFSET($BO$15,0,0,$B$14,1)) + $B$18/($B$19*$B$19*($DN287&lt;&gt;$DO287) + $B$19*($DN287=$DO287))</f>
        <v>3.7037037037037035E-4</v>
      </c>
      <c r="EL287" s="10" cm="1">
        <f t="array" aca="1" ref="EL287" ca="1">(1-$B$18)*SUMPRODUCT(OFFSET($BO$15,0,0,$B$14,1), 1*(_xlfn._xlws.FILTER(OFFSET($O$15,0,$DN287,$B$8,1),OFFSET($M$15,0,0,$B$8,1))=EL$13), 1*(_xlfn._xlws.FILTER(OFFSET($O$15,0,$DO287,$B$8,1),OFFSET($M$15,0,0,$B$8,1))=EL$14))   /   SUM(OFFSET($BO$15,0,0,$B$14,1)) + $B$18/($B$19*$B$19*($DN287&lt;&gt;$DO287) + $B$19*($DN287=$DO287))</f>
        <v>0.97037037037037033</v>
      </c>
      <c r="EM287" s="10" cm="1">
        <f t="array" aca="1" ref="EM287" ca="1">(1-$B$18)*SUMPRODUCT(OFFSET($BO$15,0,0,$B$14,1), 1*(_xlfn._xlws.FILTER(OFFSET($O$15,0,$DN287,$B$8,1),OFFSET($M$15,0,0,$B$8,1))=EM$13), 1*(_xlfn._xlws.FILTER(OFFSET($O$15,0,$DO287,$B$8,1),OFFSET($M$15,0,0,$B$8,1))=EM$14))   /   SUM(OFFSET($BO$15,0,0,$B$14,1)) + $B$18/($B$19*$B$19*($DN287&lt;&gt;$DO287) + $B$19*($DN287=$DO287))</f>
        <v>3.7037037037037035E-4</v>
      </c>
      <c r="EN287" s="10" cm="1">
        <f t="array" aca="1" ref="EN287" ca="1">(1-$B$18)*SUMPRODUCT(OFFSET($BO$15,0,0,$B$14,1), 1*(_xlfn._xlws.FILTER(OFFSET($O$15,0,$DN287,$B$8,1),OFFSET($M$15,0,0,$B$8,1))=EN$13), 1*(_xlfn._xlws.FILTER(OFFSET($O$15,0,$DO287,$B$8,1),OFFSET($M$15,0,0,$B$8,1))=EN$14))   /   SUM(OFFSET($BO$15,0,0,$B$14,1)) + $B$18/($B$19*$B$19*($DN287&lt;&gt;$DO287) + $B$19*($DN287=$DO287))</f>
        <v>3.7037037037037035E-4</v>
      </c>
      <c r="EO287" s="10" cm="1">
        <f t="array" aca="1" ref="EO287" ca="1">(1-$B$18)*SUMPRODUCT(OFFSET($BO$15,0,0,$B$14,1), 1*(_xlfn._xlws.FILTER(OFFSET($O$15,0,$DN287,$B$8,1),OFFSET($M$15,0,0,$B$8,1))=EO$13), 1*(_xlfn._xlws.FILTER(OFFSET($O$15,0,$DO287,$B$8,1),OFFSET($M$15,0,0,$B$8,1))=EO$14))   /   SUM(OFFSET($BO$15,0,0,$B$14,1)) + $B$18/($B$19*$B$19*($DN287&lt;&gt;$DO287) + $B$19*($DN287=$DO287))</f>
        <v>3.7037037037037035E-4</v>
      </c>
      <c r="EP287" s="10" cm="1">
        <f t="array" aca="1" ref="EP287" ca="1">(1-$B$18)*SUMPRODUCT(OFFSET($BO$15,0,0,$B$14,1), 1*(_xlfn._xlws.FILTER(OFFSET($O$15,0,$DN287,$B$8,1),OFFSET($M$15,0,0,$B$8,1))=EP$13), 1*(_xlfn._xlws.FILTER(OFFSET($O$15,0,$DO287,$B$8,1),OFFSET($M$15,0,0,$B$8,1))=EP$14))   /   SUM(OFFSET($BO$15,0,0,$B$14,1)) + $B$18/($B$19*$B$19*($DN287&lt;&gt;$DO287) + $B$19*($DN287=$DO287))</f>
        <v>3.7037037037037035E-4</v>
      </c>
      <c r="EQ287" s="10" cm="1">
        <f t="array" aca="1" ref="EQ287" ca="1">(1-$B$18)*SUMPRODUCT(OFFSET($BO$15,0,0,$B$14,1), 1*(_xlfn._xlws.FILTER(OFFSET($O$15,0,$DN287,$B$8,1),OFFSET($M$15,0,0,$B$8,1))=EQ$13), 1*(_xlfn._xlws.FILTER(OFFSET($O$15,0,$DO287,$B$8,1),OFFSET($M$15,0,0,$B$8,1))=EQ$14))   /   SUM(OFFSET($BO$15,0,0,$B$14,1)) + $B$18/($B$19*$B$19*($DN287&lt;&gt;$DO287) + $B$19*($DN287=$DO287))</f>
        <v>3.7037037037037035E-4</v>
      </c>
      <c r="ER287" s="10" cm="1">
        <f t="array" aca="1" ref="ER287" ca="1">(1-$B$18)*SUMPRODUCT(OFFSET($BO$15,0,0,$B$14,1), 1*(_xlfn._xlws.FILTER(OFFSET($O$15,0,$DN287,$B$8,1),OFFSET($M$15,0,0,$B$8,1))=ER$13), 1*(_xlfn._xlws.FILTER(OFFSET($O$15,0,$DO287,$B$8,1),OFFSET($M$15,0,0,$B$8,1))=ER$14))   /   SUM(OFFSET($BO$15,0,0,$B$14,1)) + $B$18/($B$19*$B$19*($DN287&lt;&gt;$DO287) + $B$19*($DN287=$DO287))</f>
        <v>3.7037037037037035E-4</v>
      </c>
      <c r="ES287" s="10" cm="1">
        <f t="array" aca="1" ref="ES287" ca="1">(1-$B$18)*SUMPRODUCT(OFFSET($BO$15,0,0,$B$14,1), 1*(_xlfn._xlws.FILTER(OFFSET($O$15,0,$DN287,$B$8,1),OFFSET($M$15,0,0,$B$8,1))=ES$13), 1*(_xlfn._xlws.FILTER(OFFSET($O$15,0,$DO287,$B$8,1),OFFSET($M$15,0,0,$B$8,1))=ES$14))   /   SUM(OFFSET($BO$15,0,0,$B$14,1)) + $B$18/($B$19*$B$19*($DN287&lt;&gt;$DO287) + $B$19*($DN287=$DO287))</f>
        <v>3.7037037037037035E-4</v>
      </c>
      <c r="ET287" s="10" cm="1">
        <f t="array" aca="1" ref="ET287" ca="1">(1-$B$18)*SUMPRODUCT(OFFSET($BO$15,0,0,$B$14,1), 1*(_xlfn._xlws.FILTER(OFFSET($O$15,0,$DN287,$B$8,1),OFFSET($M$15,0,0,$B$8,1))=ET$13), 1*(_xlfn._xlws.FILTER(OFFSET($O$15,0,$DO287,$B$8,1),OFFSET($M$15,0,0,$B$8,1))=ET$14))   /   SUM(OFFSET($BO$15,0,0,$B$14,1)) + $B$18/($B$19*$B$19*($DN287&lt;&gt;$DO287) + $B$19*($DN287=$DO287))</f>
        <v>3.7037037037037035E-4</v>
      </c>
      <c r="EU287" s="10" cm="1">
        <f t="array" aca="1" ref="EU287" ca="1">(1-$B$18)*SUMPRODUCT(OFFSET($BO$15,0,0,$B$14,1), 1*(_xlfn._xlws.FILTER(OFFSET($O$15,0,$DN287,$B$8,1),OFFSET($M$15,0,0,$B$8,1))=EU$13), 1*(_xlfn._xlws.FILTER(OFFSET($O$15,0,$DO287,$B$8,1),OFFSET($M$15,0,0,$B$8,1))=EU$14))   /   SUM(OFFSET($BO$15,0,0,$B$14,1)) + $B$18/($B$19*$B$19*($DN287&lt;&gt;$DO287) + $B$19*($DN287=$DO287))</f>
        <v>3.7037037037037035E-4</v>
      </c>
      <c r="EV287" s="10" cm="1">
        <f t="array" aca="1" ref="EV287" ca="1">(1-$B$18)*SUMPRODUCT(OFFSET($BO$15,0,0,$B$14,1), 1*(_xlfn._xlws.FILTER(OFFSET($O$15,0,$DN287,$B$8,1),OFFSET($M$15,0,0,$B$8,1))=EV$13), 1*(_xlfn._xlws.FILTER(OFFSET($O$15,0,$DO287,$B$8,1),OFFSET($M$15,0,0,$B$8,1))=EV$14))   /   SUM(OFFSET($BO$15,0,0,$B$14,1)) + $B$18/($B$19*$B$19*($DN287&lt;&gt;$DO287) + $B$19*($DN287=$DO287))</f>
        <v>3.7037037037037035E-4</v>
      </c>
      <c r="EW287" s="10" cm="1">
        <f t="array" aca="1" ref="EW287" ca="1">(1-$B$18)*SUMPRODUCT(OFFSET($BO$15,0,0,$B$14,1), 1*(_xlfn._xlws.FILTER(OFFSET($O$15,0,$DN287,$B$8,1),OFFSET($M$15,0,0,$B$8,1))=EW$13), 1*(_xlfn._xlws.FILTER(OFFSET($O$15,0,$DO287,$B$8,1),OFFSET($M$15,0,0,$B$8,1))=EW$14))   /   SUM(OFFSET($BO$15,0,0,$B$14,1)) + $B$18/($B$19*$B$19*($DN287&lt;&gt;$DO287) + $B$19*($DN287=$DO287))</f>
        <v>3.7037037037037035E-4</v>
      </c>
      <c r="EX287" s="10" cm="1">
        <f t="array" aca="1" ref="EX287" ca="1">(1-$B$18)*SUMPRODUCT(OFFSET($BO$15,0,0,$B$14,1), 1*(_xlfn._xlws.FILTER(OFFSET($O$15,0,$DN287,$B$8,1),OFFSET($M$15,0,0,$B$8,1))=EX$13), 1*(_xlfn._xlws.FILTER(OFFSET($O$15,0,$DO287,$B$8,1),OFFSET($M$15,0,0,$B$8,1))=EX$14))   /   SUM(OFFSET($BO$15,0,0,$B$14,1)) + $B$18/($B$19*$B$19*($DN287&lt;&gt;$DO287) + $B$19*($DN287=$DO287))</f>
        <v>3.7037037037037035E-4</v>
      </c>
      <c r="EY287" s="10" cm="1">
        <f t="array" aca="1" ref="EY287" ca="1">(1-$B$18)*SUMPRODUCT(OFFSET($BO$15,0,0,$B$14,1), 1*(_xlfn._xlws.FILTER(OFFSET($O$15,0,$DN287,$B$8,1),OFFSET($M$15,0,0,$B$8,1))=EY$13), 1*(_xlfn._xlws.FILTER(OFFSET($O$15,0,$DO287,$B$8,1),OFFSET($M$15,0,0,$B$8,1))=EY$14))   /   SUM(OFFSET($BO$15,0,0,$B$14,1)) + $B$18/($B$19*$B$19*($DN287&lt;&gt;$DO287) + $B$19*($DN287=$DO287))</f>
        <v>3.7037037037037035E-4</v>
      </c>
      <c r="EZ287" s="10" cm="1">
        <f t="array" aca="1" ref="EZ287" ca="1">(1-$B$18)*SUMPRODUCT(OFFSET($BO$15,0,0,$B$14,1), 1*(_xlfn._xlws.FILTER(OFFSET($O$15,0,$DN287,$B$8,1),OFFSET($M$15,0,0,$B$8,1))=EZ$13), 1*(_xlfn._xlws.FILTER(OFFSET($O$15,0,$DO287,$B$8,1),OFFSET($M$15,0,0,$B$8,1))=EZ$14))   /   SUM(OFFSET($BO$15,0,0,$B$14,1)) + $B$18/($B$19*$B$19*($DN287&lt;&gt;$DO287) + $B$19*($DN287=$DO287))</f>
        <v>3.7037037037037035E-4</v>
      </c>
      <c r="FA287" s="10" cm="1">
        <f t="array" aca="1" ref="FA287" ca="1">(1-$B$18)*SUMPRODUCT(OFFSET($BO$15,0,0,$B$14,1), 1*(_xlfn._xlws.FILTER(OFFSET($O$15,0,$DN287,$B$8,1),OFFSET($M$15,0,0,$B$8,1))=FA$13), 1*(_xlfn._xlws.FILTER(OFFSET($O$15,0,$DO287,$B$8,1),OFFSET($M$15,0,0,$B$8,1))=FA$14))   /   SUM(OFFSET($BO$15,0,0,$B$14,1)) + $B$18/($B$19*$B$19*($DN287&lt;&gt;$DO287) + $B$19*($DN287=$DO287))</f>
        <v>3.7037037037037035E-4</v>
      </c>
      <c r="FB287" s="10" cm="1">
        <f t="array" aca="1" ref="FB287" ca="1">(1-$B$18)*SUMPRODUCT(OFFSET($BO$15,0,0,$B$14,1), 1*(_xlfn._xlws.FILTER(OFFSET($O$15,0,$DN287,$B$8,1),OFFSET($M$15,0,0,$B$8,1))=FB$13), 1*(_xlfn._xlws.FILTER(OFFSET($O$15,0,$DO287,$B$8,1),OFFSET($M$15,0,0,$B$8,1))=FB$14))   /   SUM(OFFSET($BO$15,0,0,$B$14,1)) + $B$18/($B$19*$B$19*($DN287&lt;&gt;$DO287) + $B$19*($DN287=$DO287))</f>
        <v>3.7037037037037035E-4</v>
      </c>
      <c r="FC287" s="10" cm="1">
        <f t="array" aca="1" ref="FC287" ca="1">(1-$B$18)*SUMPRODUCT(OFFSET($BO$15,0,0,$B$14,1), 1*(_xlfn._xlws.FILTER(OFFSET($O$15,0,$DN287,$B$8,1),OFFSET($M$15,0,0,$B$8,1))=FC$13), 1*(_xlfn._xlws.FILTER(OFFSET($O$15,0,$DO287,$B$8,1),OFFSET($M$15,0,0,$B$8,1))=FC$14))   /   SUM(OFFSET($BO$15,0,0,$B$14,1)) + $B$18/($B$19*$B$19*($DN287&lt;&gt;$DO287) + $B$19*($DN287=$DO287))</f>
        <v>3.7037037037037035E-4</v>
      </c>
      <c r="FD287" s="10" cm="1">
        <f t="array" aca="1" ref="FD287" ca="1">(1-$B$18)*SUMPRODUCT(OFFSET($BO$15,0,0,$B$14,1), 1*(_xlfn._xlws.FILTER(OFFSET($O$15,0,$DN287,$B$8,1),OFFSET($M$15,0,0,$B$8,1))=FD$13), 1*(_xlfn._xlws.FILTER(OFFSET($O$15,0,$DO287,$B$8,1),OFFSET($M$15,0,0,$B$8,1))=FD$14))   /   SUM(OFFSET($BO$15,0,0,$B$14,1)) + $B$18/($B$19*$B$19*($DN287&lt;&gt;$DO287) + $B$19*($DN287=$DO287))</f>
        <v>3.7037037037037035E-4</v>
      </c>
      <c r="FE287" s="10" cm="1">
        <f t="array" aca="1" ref="FE287" ca="1">(1-$B$18)*SUMPRODUCT(OFFSET($BO$15,0,0,$B$14,1), 1*(_xlfn._xlws.FILTER(OFFSET($O$15,0,$DN287,$B$8,1),OFFSET($M$15,0,0,$B$8,1))=FE$13), 1*(_xlfn._xlws.FILTER(OFFSET($O$15,0,$DO287,$B$8,1),OFFSET($M$15,0,0,$B$8,1))=FE$14))   /   SUM(OFFSET($BO$15,0,0,$B$14,1)) + $B$18/($B$19*$B$19*($DN287&lt;&gt;$DO287) + $B$19*($DN287=$DO287))</f>
        <v>3.7037037037037035E-4</v>
      </c>
      <c r="FF287" s="10" cm="1">
        <f t="array" aca="1" ref="FF287" ca="1">(1-$B$18)*SUMPRODUCT(OFFSET($BO$15,0,0,$B$14,1), 1*(_xlfn._xlws.FILTER(OFFSET($O$15,0,$DN287,$B$8,1),OFFSET($M$15,0,0,$B$8,1))=FF$13), 1*(_xlfn._xlws.FILTER(OFFSET($O$15,0,$DO287,$B$8,1),OFFSET($M$15,0,0,$B$8,1))=FF$14))   /   SUM(OFFSET($BO$15,0,0,$B$14,1)) + $B$18/($B$19*$B$19*($DN287&lt;&gt;$DO287) + $B$19*($DN287=$DO287))</f>
        <v>3.7037037037037035E-4</v>
      </c>
      <c r="FG287" s="10" cm="1">
        <f t="array" aca="1" ref="FG287" ca="1">(1-$B$18)*SUMPRODUCT(OFFSET($BO$15,0,0,$B$14,1), 1*(_xlfn._xlws.FILTER(OFFSET($O$15,0,$DN287,$B$8,1),OFFSET($M$15,0,0,$B$8,1))=FG$13), 1*(_xlfn._xlws.FILTER(OFFSET($O$15,0,$DO287,$B$8,1),OFFSET($M$15,0,0,$B$8,1))=FG$14))   /   SUM(OFFSET($BO$15,0,0,$B$14,1)) + $B$18/($B$19*$B$19*($DN287&lt;&gt;$DO287) + $B$19*($DN287=$DO287))</f>
        <v>3.7037037037037035E-4</v>
      </c>
      <c r="FH287" s="10" cm="1">
        <f t="array" aca="1" ref="FH287" ca="1">(1-$B$18)*SUMPRODUCT(OFFSET($BO$15,0,0,$B$14,1), 1*(_xlfn._xlws.FILTER(OFFSET($O$15,0,$DN287,$B$8,1),OFFSET($M$15,0,0,$B$8,1))=FH$13), 1*(_xlfn._xlws.FILTER(OFFSET($O$15,0,$DO287,$B$8,1),OFFSET($M$15,0,0,$B$8,1))=FH$14))   /   SUM(OFFSET($BO$15,0,0,$B$14,1)) + $B$18/($B$19*$B$19*($DN287&lt;&gt;$DO287) + $B$19*($DN287=$DO287))</f>
        <v>3.7037037037037035E-4</v>
      </c>
      <c r="FI287" s="10" cm="1">
        <f t="array" aca="1" ref="FI287" ca="1">(1-$B$18)*SUMPRODUCT(OFFSET($BO$15,0,0,$B$14,1), 1*(_xlfn._xlws.FILTER(OFFSET($O$15,0,$DN287,$B$8,1),OFFSET($M$15,0,0,$B$8,1))=FI$13), 1*(_xlfn._xlws.FILTER(OFFSET($O$15,0,$DO287,$B$8,1),OFFSET($M$15,0,0,$B$8,1))=FI$14))   /   SUM(OFFSET($BO$15,0,0,$B$14,1)) + $B$18/($B$19*$B$19*($DN287&lt;&gt;$DO287) + $B$19*($DN287=$DO287))</f>
        <v>3.7037037037037035E-4</v>
      </c>
      <c r="FJ287" s="10" cm="1">
        <f t="array" aca="1" ref="FJ287" ca="1">(1-$B$18)*SUMPRODUCT(OFFSET($BO$15,0,0,$B$14,1), 1*(_xlfn._xlws.FILTER(OFFSET($O$15,0,$DN287,$B$8,1),OFFSET($M$15,0,0,$B$8,1))=FJ$13), 1*(_xlfn._xlws.FILTER(OFFSET($O$15,0,$DO287,$B$8,1),OFFSET($M$15,0,0,$B$8,1))=FJ$14))   /   SUM(OFFSET($BO$15,0,0,$B$14,1)) + $B$18/($B$19*$B$19*($DN287&lt;&gt;$DO287) + $B$19*($DN287=$DO287))</f>
        <v>3.7037037037037035E-4</v>
      </c>
      <c r="FK287" s="10" cm="1">
        <f t="array" aca="1" ref="FK287" ca="1">(1-$B$18)*SUMPRODUCT(OFFSET($BO$15,0,0,$B$14,1), 1*(_xlfn._xlws.FILTER(OFFSET($O$15,0,$DN287,$B$8,1),OFFSET($M$15,0,0,$B$8,1))=FK$13), 1*(_xlfn._xlws.FILTER(OFFSET($O$15,0,$DO287,$B$8,1),OFFSET($M$15,0,0,$B$8,1))=FK$14))   /   SUM(OFFSET($BO$15,0,0,$B$14,1)) + $B$18/($B$19*$B$19*($DN287&lt;&gt;$DO287) + $B$19*($DN287=$DO287))</f>
        <v>3.7037037037037035E-4</v>
      </c>
      <c r="FL287" s="10" cm="1">
        <f t="array" aca="1" ref="FL287" ca="1">(1-$B$18)*SUMPRODUCT(OFFSET($BO$15,0,0,$B$14,1), 1*(_xlfn._xlws.FILTER(OFFSET($O$15,0,$DN287,$B$8,1),OFFSET($M$15,0,0,$B$8,1))=FL$13), 1*(_xlfn._xlws.FILTER(OFFSET($O$15,0,$DO287,$B$8,1),OFFSET($M$15,0,0,$B$8,1))=FL$14))   /   SUM(OFFSET($BO$15,0,0,$B$14,1)) + $B$18/($B$19*$B$19*($DN287&lt;&gt;$DO287) + $B$19*($DN287=$DO287))</f>
        <v>3.7037037037037035E-4</v>
      </c>
      <c r="FM287" s="10" cm="1">
        <f t="array" aca="1" ref="FM287" ca="1">(1-$B$18)*SUMPRODUCT(OFFSET($BO$15,0,0,$B$14,1), 1*(_xlfn._xlws.FILTER(OFFSET($O$15,0,$DN287,$B$8,1),OFFSET($M$15,0,0,$B$8,1))=FM$13), 1*(_xlfn._xlws.FILTER(OFFSET($O$15,0,$DO287,$B$8,1),OFFSET($M$15,0,0,$B$8,1))=FM$14))   /   SUM(OFFSET($BO$15,0,0,$B$14,1)) + $B$18/($B$19*$B$19*($DN287&lt;&gt;$DO287) + $B$19*($DN287=$DO287))</f>
        <v>3.7037037037037035E-4</v>
      </c>
      <c r="FN287" s="10" cm="1">
        <f t="array" aca="1" ref="FN287" ca="1">(1-$B$18)*SUMPRODUCT(OFFSET($BO$15,0,0,$B$14,1), 1*(_xlfn._xlws.FILTER(OFFSET($O$15,0,$DN287,$B$8,1),OFFSET($M$15,0,0,$B$8,1))=FN$13), 1*(_xlfn._xlws.FILTER(OFFSET($O$15,0,$DO287,$B$8,1),OFFSET($M$15,0,0,$B$8,1))=FN$14))   /   SUM(OFFSET($BO$15,0,0,$B$14,1)) + $B$18/($B$19*$B$19*($DN287&lt;&gt;$DO287) + $B$19*($DN287=$DO287))</f>
        <v>3.7037037037037035E-4</v>
      </c>
      <c r="FO287" s="10" cm="1">
        <f t="array" aca="1" ref="FO287" ca="1">(1-$B$18)*SUMPRODUCT(OFFSET($BO$15,0,0,$B$14,1), 1*(_xlfn._xlws.FILTER(OFFSET($O$15,0,$DN287,$B$8,1),OFFSET($M$15,0,0,$B$8,1))=FO$13), 1*(_xlfn._xlws.FILTER(OFFSET($O$15,0,$DO287,$B$8,1),OFFSET($M$15,0,0,$B$8,1))=FO$14))   /   SUM(OFFSET($BO$15,0,0,$B$14,1)) + $B$18/($B$19*$B$19*($DN287&lt;&gt;$DO287) + $B$19*($DN287=$DO287))</f>
        <v>3.7037037037037035E-4</v>
      </c>
      <c r="FP287" s="10" cm="1">
        <f t="array" aca="1" ref="FP287" ca="1">(1-$B$18)*SUMPRODUCT(OFFSET($BO$15,0,0,$B$14,1), 1*(_xlfn._xlws.FILTER(OFFSET($O$15,0,$DN287,$B$8,1),OFFSET($M$15,0,0,$B$8,1))=FP$13), 1*(_xlfn._xlws.FILTER(OFFSET($O$15,0,$DO287,$B$8,1),OFFSET($M$15,0,0,$B$8,1))=FP$14))   /   SUM(OFFSET($BO$15,0,0,$B$14,1)) + $B$18/($B$19*$B$19*($DN287&lt;&gt;$DO287) + $B$19*($DN287=$DO287))</f>
        <v>3.7037037037037035E-4</v>
      </c>
      <c r="FQ287" s="10" cm="1">
        <f t="array" aca="1" ref="FQ287" ca="1">(1-$B$18)*SUMPRODUCT(OFFSET($BO$15,0,0,$B$14,1), 1*(_xlfn._xlws.FILTER(OFFSET($O$15,0,$DN287,$B$8,1),OFFSET($M$15,0,0,$B$8,1))=FQ$13), 1*(_xlfn._xlws.FILTER(OFFSET($O$15,0,$DO287,$B$8,1),OFFSET($M$15,0,0,$B$8,1))=FQ$14))   /   SUM(OFFSET($BO$15,0,0,$B$14,1)) + $B$18/($B$19*$B$19*($DN287&lt;&gt;$DO287) + $B$19*($DN287=$DO287))</f>
        <v>3.7037037037037035E-4</v>
      </c>
      <c r="FR287" s="10" cm="1">
        <f t="array" aca="1" ref="FR287" ca="1">(1-$B$18)*SUMPRODUCT(OFFSET($BO$15,0,0,$B$14,1), 1*(_xlfn._xlws.FILTER(OFFSET($O$15,0,$DN287,$B$8,1),OFFSET($M$15,0,0,$B$8,1))=FR$13), 1*(_xlfn._xlws.FILTER(OFFSET($O$15,0,$DO287,$B$8,1),OFFSET($M$15,0,0,$B$8,1))=FR$14))   /   SUM(OFFSET($BO$15,0,0,$B$14,1)) + $B$18/($B$19*$B$19*($DN287&lt;&gt;$DO287) + $B$19*($DN287=$DO287))</f>
        <v>3.7037037037037035E-4</v>
      </c>
      <c r="FS287" s="10" cm="1">
        <f t="array" aca="1" ref="FS287" ca="1">(1-$B$18)*SUMPRODUCT(OFFSET($BO$15,0,0,$B$14,1), 1*(_xlfn._xlws.FILTER(OFFSET($O$15,0,$DN287,$B$8,1),OFFSET($M$15,0,0,$B$8,1))=FS$13), 1*(_xlfn._xlws.FILTER(OFFSET($O$15,0,$DO287,$B$8,1),OFFSET($M$15,0,0,$B$8,1))=FS$14))   /   SUM(OFFSET($BO$15,0,0,$B$14,1)) + $B$18/($B$19*$B$19*($DN287&lt;&gt;$DO287) + $B$19*($DN287=$DO287))</f>
        <v>3.7037037037037035E-4</v>
      </c>
      <c r="FT287" s="10" cm="1">
        <f t="array" aca="1" ref="FT287" ca="1">(1-$B$18)*SUMPRODUCT(OFFSET($BO$15,0,0,$B$14,1), 1*(_xlfn._xlws.FILTER(OFFSET($O$15,0,$DN287,$B$8,1),OFFSET($M$15,0,0,$B$8,1))=FT$13), 1*(_xlfn._xlws.FILTER(OFFSET($O$15,0,$DO287,$B$8,1),OFFSET($M$15,0,0,$B$8,1))=FT$14))   /   SUM(OFFSET($BO$15,0,0,$B$14,1)) + $B$18/($B$19*$B$19*($DN287&lt;&gt;$DO287) + $B$19*($DN287=$DO287))</f>
        <v>3.7037037037037035E-4</v>
      </c>
      <c r="FU287" s="10" cm="1">
        <f t="array" aca="1" ref="FU287" ca="1">(1-$B$18)*SUMPRODUCT(OFFSET($BO$15,0,0,$B$14,1), 1*(_xlfn._xlws.FILTER(OFFSET($O$15,0,$DN287,$B$8,1),OFFSET($M$15,0,0,$B$8,1))=FU$13), 1*(_xlfn._xlws.FILTER(OFFSET($O$15,0,$DO287,$B$8,1),OFFSET($M$15,0,0,$B$8,1))=FU$14))   /   SUM(OFFSET($BO$15,0,0,$B$14,1)) + $B$18/($B$19*$B$19*($DN287&lt;&gt;$DO287) + $B$19*($DN287=$DO287))</f>
        <v>3.7037037037037035E-4</v>
      </c>
      <c r="FV287" s="10" cm="1">
        <f t="array" aca="1" ref="FV287" ca="1">(1-$B$18)*SUMPRODUCT(OFFSET($BO$15,0,0,$B$14,1), 1*(_xlfn._xlws.FILTER(OFFSET($O$15,0,$DN287,$B$8,1),OFFSET($M$15,0,0,$B$8,1))=FV$13), 1*(_xlfn._xlws.FILTER(OFFSET($O$15,0,$DO287,$B$8,1),OFFSET($M$15,0,0,$B$8,1))=FV$14))   /   SUM(OFFSET($BO$15,0,0,$B$14,1)) + $B$18/($B$19*$B$19*($DN287&lt;&gt;$DO287) + $B$19*($DN287=$DO287))</f>
        <v>3.7037037037037035E-4</v>
      </c>
      <c r="FW287" s="10" cm="1">
        <f t="array" aca="1" ref="FW287" ca="1">(1-$B$18)*SUMPRODUCT(OFFSET($BO$15,0,0,$B$14,1), 1*(_xlfn._xlws.FILTER(OFFSET($O$15,0,$DN287,$B$8,1),OFFSET($M$15,0,0,$B$8,1))=FW$13), 1*(_xlfn._xlws.FILTER(OFFSET($O$15,0,$DO287,$B$8,1),OFFSET($M$15,0,0,$B$8,1))=FW$14))   /   SUM(OFFSET($BO$15,0,0,$B$14,1)) + $B$18/($B$19*$B$19*($DN287&lt;&gt;$DO287) + $B$19*($DN287=$DO287))</f>
        <v>3.7037037037037035E-4</v>
      </c>
      <c r="FX287" s="10" cm="1">
        <f t="array" aca="1" ref="FX287" ca="1">(1-$B$18)*SUMPRODUCT(OFFSET($BO$15,0,0,$B$14,1), 1*(_xlfn._xlws.FILTER(OFFSET($O$15,0,$DN287,$B$8,1),OFFSET($M$15,0,0,$B$8,1))=FX$13), 1*(_xlfn._xlws.FILTER(OFFSET($O$15,0,$DO287,$B$8,1),OFFSET($M$15,0,0,$B$8,1))=FX$14))   /   SUM(OFFSET($BO$15,0,0,$B$14,1)) + $B$18/($B$19*$B$19*($DN287&lt;&gt;$DO287) + $B$19*($DN287=$DO287))</f>
        <v>3.7037037037037035E-4</v>
      </c>
      <c r="FY287" s="10" cm="1">
        <f t="array" aca="1" ref="FY287" ca="1">(1-$B$18)*SUMPRODUCT(OFFSET($BO$15,0,0,$B$14,1), 1*(_xlfn._xlws.FILTER(OFFSET($O$15,0,$DN287,$B$8,1),OFFSET($M$15,0,0,$B$8,1))=FY$13), 1*(_xlfn._xlws.FILTER(OFFSET($O$15,0,$DO287,$B$8,1),OFFSET($M$15,0,0,$B$8,1))=FY$14))   /   SUM(OFFSET($BO$15,0,0,$B$14,1)) + $B$18/($B$19*$B$19*($DN287&lt;&gt;$DO287) + $B$19*($DN287=$DO287))</f>
        <v>3.7037037037037035E-4</v>
      </c>
      <c r="FZ287" s="10" cm="1">
        <f t="array" aca="1" ref="FZ287" ca="1">(1-$B$18)*SUMPRODUCT(OFFSET($BO$15,0,0,$B$14,1), 1*(_xlfn._xlws.FILTER(OFFSET($O$15,0,$DN287,$B$8,1),OFFSET($M$15,0,0,$B$8,1))=FZ$13), 1*(_xlfn._xlws.FILTER(OFFSET($O$15,0,$DO287,$B$8,1),OFFSET($M$15,0,0,$B$8,1))=FZ$14))   /   SUM(OFFSET($BO$15,0,0,$B$14,1)) + $B$18/($B$19*$B$19*($DN287&lt;&gt;$DO287) + $B$19*($DN287=$DO287))</f>
        <v>3.7037037037037035E-4</v>
      </c>
      <c r="GA287" s="10" cm="1">
        <f t="array" aca="1" ref="GA287" ca="1">(1-$B$18)*SUMPRODUCT(OFFSET($BO$15,0,0,$B$14,1), 1*(_xlfn._xlws.FILTER(OFFSET($O$15,0,$DN287,$B$8,1),OFFSET($M$15,0,0,$B$8,1))=GA$13), 1*(_xlfn._xlws.FILTER(OFFSET($O$15,0,$DO287,$B$8,1),OFFSET($M$15,0,0,$B$8,1))=GA$14))   /   SUM(OFFSET($BO$15,0,0,$B$14,1)) + $B$18/($B$19*$B$19*($DN287&lt;&gt;$DO287) + $B$19*($DN287=$DO287))</f>
        <v>3.7037037037037035E-4</v>
      </c>
    </row>
    <row r="288" spans="118:183" x14ac:dyDescent="0.2">
      <c r="DN288" cm="1">
        <f t="array" aca="1" ref="DN288" ca="1">INDEX(_xlfn.ANCHORARRAY($CP$15), 1 + INT((ROWS($DO$15:$DO288) - 1) / ROWS(_xlfn.ANCHORARRAY($CP$15))))</f>
        <v>15</v>
      </c>
      <c r="DO288" cm="1">
        <f t="array" aca="1" ref="DO288" ca="1">INDEX(_xlfn.ANCHORARRAY($CP$15),1+MOD(ROWS($DO$15:$DO288)-1,ROWS(_xlfn.ANCHORARRAY($CP$15))))</f>
        <v>7</v>
      </c>
      <c r="DP288" s="10" cm="1">
        <f t="array" aca="1" ref="DP288" ca="1">(1-$B$18)*SUMPRODUCT(OFFSET($BO$15,0,0,$B$14,1), 1*(_xlfn._xlws.FILTER(OFFSET($O$15,0,$DN288,$B$8,1),OFFSET($M$15,0,0,$B$8,1))=DP$13), 1*(_xlfn._xlws.FILTER(OFFSET($O$15,0,$DO288,$B$8,1),OFFSET($M$15,0,0,$B$8,1))=DP$14))   /   SUM(OFFSET($BO$15,0,0,$B$14,1)) + $B$18/($B$19*$B$19*($DN288&lt;&gt;$DO288) + $B$19*($DN288=$DO288))</f>
        <v>3.7037037037037035E-4</v>
      </c>
      <c r="DQ288" s="10" cm="1">
        <f t="array" aca="1" ref="DQ288" ca="1">(1-$B$18)*SUMPRODUCT(OFFSET($BO$15,0,0,$B$14,1), 1*(_xlfn._xlws.FILTER(OFFSET($O$15,0,$DN288,$B$8,1),OFFSET($M$15,0,0,$B$8,1))=DQ$13), 1*(_xlfn._xlws.FILTER(OFFSET($O$15,0,$DO288,$B$8,1),OFFSET($M$15,0,0,$B$8,1))=DQ$14))   /   SUM(OFFSET($BO$15,0,0,$B$14,1)) + $B$18/($B$19*$B$19*($DN288&lt;&gt;$DO288) + $B$19*($DN288=$DO288))</f>
        <v>3.7037037037037035E-4</v>
      </c>
      <c r="DR288" s="10" cm="1">
        <f t="array" aca="1" ref="DR288" ca="1">(1-$B$18)*SUMPRODUCT(OFFSET($BO$15,0,0,$B$14,1), 1*(_xlfn._xlws.FILTER(OFFSET($O$15,0,$DN288,$B$8,1),OFFSET($M$15,0,0,$B$8,1))=DR$13), 1*(_xlfn._xlws.FILTER(OFFSET($O$15,0,$DO288,$B$8,1),OFFSET($M$15,0,0,$B$8,1))=DR$14))   /   SUM(OFFSET($BO$15,0,0,$B$14,1)) + $B$18/($B$19*$B$19*($DN288&lt;&gt;$DO288) + $B$19*($DN288=$DO288))</f>
        <v>3.7037037037037035E-4</v>
      </c>
      <c r="DS288" s="10" cm="1">
        <f t="array" aca="1" ref="DS288" ca="1">(1-$B$18)*SUMPRODUCT(OFFSET($BO$15,0,0,$B$14,1), 1*(_xlfn._xlws.FILTER(OFFSET($O$15,0,$DN288,$B$8,1),OFFSET($M$15,0,0,$B$8,1))=DS$13), 1*(_xlfn._xlws.FILTER(OFFSET($O$15,0,$DO288,$B$8,1),OFFSET($M$15,0,0,$B$8,1))=DS$14))   /   SUM(OFFSET($BO$15,0,0,$B$14,1)) + $B$18/($B$19*$B$19*($DN288&lt;&gt;$DO288) + $B$19*($DN288=$DO288))</f>
        <v>3.7037037037037035E-4</v>
      </c>
      <c r="DT288" s="10" cm="1">
        <f t="array" aca="1" ref="DT288" ca="1">(1-$B$18)*SUMPRODUCT(OFFSET($BO$15,0,0,$B$14,1), 1*(_xlfn._xlws.FILTER(OFFSET($O$15,0,$DN288,$B$8,1),OFFSET($M$15,0,0,$B$8,1))=DT$13), 1*(_xlfn._xlws.FILTER(OFFSET($O$15,0,$DO288,$B$8,1),OFFSET($M$15,0,0,$B$8,1))=DT$14))   /   SUM(OFFSET($BO$15,0,0,$B$14,1)) + $B$18/($B$19*$B$19*($DN288&lt;&gt;$DO288) + $B$19*($DN288=$DO288))</f>
        <v>3.7037037037037035E-4</v>
      </c>
      <c r="DU288" s="10" cm="1">
        <f t="array" aca="1" ref="DU288" ca="1">(1-$B$18)*SUMPRODUCT(OFFSET($BO$15,0,0,$B$14,1), 1*(_xlfn._xlws.FILTER(OFFSET($O$15,0,$DN288,$B$8,1),OFFSET($M$15,0,0,$B$8,1))=DU$13), 1*(_xlfn._xlws.FILTER(OFFSET($O$15,0,$DO288,$B$8,1),OFFSET($M$15,0,0,$B$8,1))=DU$14))   /   SUM(OFFSET($BO$15,0,0,$B$14,1)) + $B$18/($B$19*$B$19*($DN288&lt;&gt;$DO288) + $B$19*($DN288=$DO288))</f>
        <v>3.7037037037037035E-4</v>
      </c>
      <c r="DV288" s="10" cm="1">
        <f t="array" aca="1" ref="DV288" ca="1">(1-$B$18)*SUMPRODUCT(OFFSET($BO$15,0,0,$B$14,1), 1*(_xlfn._xlws.FILTER(OFFSET($O$15,0,$DN288,$B$8,1),OFFSET($M$15,0,0,$B$8,1))=DV$13), 1*(_xlfn._xlws.FILTER(OFFSET($O$15,0,$DO288,$B$8,1),OFFSET($M$15,0,0,$B$8,1))=DV$14))   /   SUM(OFFSET($BO$15,0,0,$B$14,1)) + $B$18/($B$19*$B$19*($DN288&lt;&gt;$DO288) + $B$19*($DN288=$DO288))</f>
        <v>3.7037037037037035E-4</v>
      </c>
      <c r="DW288" s="10" cm="1">
        <f t="array" aca="1" ref="DW288" ca="1">(1-$B$18)*SUMPRODUCT(OFFSET($BO$15,0,0,$B$14,1), 1*(_xlfn._xlws.FILTER(OFFSET($O$15,0,$DN288,$B$8,1),OFFSET($M$15,0,0,$B$8,1))=DW$13), 1*(_xlfn._xlws.FILTER(OFFSET($O$15,0,$DO288,$B$8,1),OFFSET($M$15,0,0,$B$8,1))=DW$14))   /   SUM(OFFSET($BO$15,0,0,$B$14,1)) + $B$18/($B$19*$B$19*($DN288&lt;&gt;$DO288) + $B$19*($DN288=$DO288))</f>
        <v>3.7037037037037035E-4</v>
      </c>
      <c r="DX288" s="10" cm="1">
        <f t="array" aca="1" ref="DX288" ca="1">(1-$B$18)*SUMPRODUCT(OFFSET($BO$15,0,0,$B$14,1), 1*(_xlfn._xlws.FILTER(OFFSET($O$15,0,$DN288,$B$8,1),OFFSET($M$15,0,0,$B$8,1))=DX$13), 1*(_xlfn._xlws.FILTER(OFFSET($O$15,0,$DO288,$B$8,1),OFFSET($M$15,0,0,$B$8,1))=DX$14))   /   SUM(OFFSET($BO$15,0,0,$B$14,1)) + $B$18/($B$19*$B$19*($DN288&lt;&gt;$DO288) + $B$19*($DN288=$DO288))</f>
        <v>3.7037037037037035E-4</v>
      </c>
      <c r="DY288" s="10" cm="1">
        <f t="array" aca="1" ref="DY288" ca="1">(1-$B$18)*SUMPRODUCT(OFFSET($BO$15,0,0,$B$14,1), 1*(_xlfn._xlws.FILTER(OFFSET($O$15,0,$DN288,$B$8,1),OFFSET($M$15,0,0,$B$8,1))=DY$13), 1*(_xlfn._xlws.FILTER(OFFSET($O$15,0,$DO288,$B$8,1),OFFSET($M$15,0,0,$B$8,1))=DY$14))   /   SUM(OFFSET($BO$15,0,0,$B$14,1)) + $B$18/($B$19*$B$19*($DN288&lt;&gt;$DO288) + $B$19*($DN288=$DO288))</f>
        <v>3.7037037037037035E-4</v>
      </c>
      <c r="DZ288" s="10" cm="1">
        <f t="array" aca="1" ref="DZ288" ca="1">(1-$B$18)*SUMPRODUCT(OFFSET($BO$15,0,0,$B$14,1), 1*(_xlfn._xlws.FILTER(OFFSET($O$15,0,$DN288,$B$8,1),OFFSET($M$15,0,0,$B$8,1))=DZ$13), 1*(_xlfn._xlws.FILTER(OFFSET($O$15,0,$DO288,$B$8,1),OFFSET($M$15,0,0,$B$8,1))=DZ$14))   /   SUM(OFFSET($BO$15,0,0,$B$14,1)) + $B$18/($B$19*$B$19*($DN288&lt;&gt;$DO288) + $B$19*($DN288=$DO288))</f>
        <v>3.7037037037037035E-4</v>
      </c>
      <c r="EA288" s="10" cm="1">
        <f t="array" aca="1" ref="EA288" ca="1">(1-$B$18)*SUMPRODUCT(OFFSET($BO$15,0,0,$B$14,1), 1*(_xlfn._xlws.FILTER(OFFSET($O$15,0,$DN288,$B$8,1),OFFSET($M$15,0,0,$B$8,1))=EA$13), 1*(_xlfn._xlws.FILTER(OFFSET($O$15,0,$DO288,$B$8,1),OFFSET($M$15,0,0,$B$8,1))=EA$14))   /   SUM(OFFSET($BO$15,0,0,$B$14,1)) + $B$18/($B$19*$B$19*($DN288&lt;&gt;$DO288) + $B$19*($DN288=$DO288))</f>
        <v>3.7037037037037035E-4</v>
      </c>
      <c r="EB288" s="10" cm="1">
        <f t="array" aca="1" ref="EB288" ca="1">(1-$B$18)*SUMPRODUCT(OFFSET($BO$15,0,0,$B$14,1), 1*(_xlfn._xlws.FILTER(OFFSET($O$15,0,$DN288,$B$8,1),OFFSET($M$15,0,0,$B$8,1))=EB$13), 1*(_xlfn._xlws.FILTER(OFFSET($O$15,0,$DO288,$B$8,1),OFFSET($M$15,0,0,$B$8,1))=EB$14))   /   SUM(OFFSET($BO$15,0,0,$B$14,1)) + $B$18/($B$19*$B$19*($DN288&lt;&gt;$DO288) + $B$19*($DN288=$DO288))</f>
        <v>3.7037037037037035E-4</v>
      </c>
      <c r="EC288" s="10" cm="1">
        <f t="array" aca="1" ref="EC288" ca="1">(1-$B$18)*SUMPRODUCT(OFFSET($BO$15,0,0,$B$14,1), 1*(_xlfn._xlws.FILTER(OFFSET($O$15,0,$DN288,$B$8,1),OFFSET($M$15,0,0,$B$8,1))=EC$13), 1*(_xlfn._xlws.FILTER(OFFSET($O$15,0,$DO288,$B$8,1),OFFSET($M$15,0,0,$B$8,1))=EC$14))   /   SUM(OFFSET($BO$15,0,0,$B$14,1)) + $B$18/($B$19*$B$19*($DN288&lt;&gt;$DO288) + $B$19*($DN288=$DO288))</f>
        <v>3.7037037037037035E-4</v>
      </c>
      <c r="ED288" s="10" cm="1">
        <f t="array" aca="1" ref="ED288" ca="1">(1-$B$18)*SUMPRODUCT(OFFSET($BO$15,0,0,$B$14,1), 1*(_xlfn._xlws.FILTER(OFFSET($O$15,0,$DN288,$B$8,1),OFFSET($M$15,0,0,$B$8,1))=ED$13), 1*(_xlfn._xlws.FILTER(OFFSET($O$15,0,$DO288,$B$8,1),OFFSET($M$15,0,0,$B$8,1))=ED$14))   /   SUM(OFFSET($BO$15,0,0,$B$14,1)) + $B$18/($B$19*$B$19*($DN288&lt;&gt;$DO288) + $B$19*($DN288=$DO288))</f>
        <v>3.7037037037037035E-4</v>
      </c>
      <c r="EE288" s="10" cm="1">
        <f t="array" aca="1" ref="EE288" ca="1">(1-$B$18)*SUMPRODUCT(OFFSET($BO$15,0,0,$B$14,1), 1*(_xlfn._xlws.FILTER(OFFSET($O$15,0,$DN288,$B$8,1),OFFSET($M$15,0,0,$B$8,1))=EE$13), 1*(_xlfn._xlws.FILTER(OFFSET($O$15,0,$DO288,$B$8,1),OFFSET($M$15,0,0,$B$8,1))=EE$14))   /   SUM(OFFSET($BO$15,0,0,$B$14,1)) + $B$18/($B$19*$B$19*($DN288&lt;&gt;$DO288) + $B$19*($DN288=$DO288))</f>
        <v>3.7037037037037035E-4</v>
      </c>
      <c r="EF288" s="10" cm="1">
        <f t="array" aca="1" ref="EF288" ca="1">(1-$B$18)*SUMPRODUCT(OFFSET($BO$15,0,0,$B$14,1), 1*(_xlfn._xlws.FILTER(OFFSET($O$15,0,$DN288,$B$8,1),OFFSET($M$15,0,0,$B$8,1))=EF$13), 1*(_xlfn._xlws.FILTER(OFFSET($O$15,0,$DO288,$B$8,1),OFFSET($M$15,0,0,$B$8,1))=EF$14))   /   SUM(OFFSET($BO$15,0,0,$B$14,1)) + $B$18/($B$19*$B$19*($DN288&lt;&gt;$DO288) + $B$19*($DN288=$DO288))</f>
        <v>3.7037037037037035E-4</v>
      </c>
      <c r="EG288" s="10" cm="1">
        <f t="array" aca="1" ref="EG288" ca="1">(1-$B$18)*SUMPRODUCT(OFFSET($BO$15,0,0,$B$14,1), 1*(_xlfn._xlws.FILTER(OFFSET($O$15,0,$DN288,$B$8,1),OFFSET($M$15,0,0,$B$8,1))=EG$13), 1*(_xlfn._xlws.FILTER(OFFSET($O$15,0,$DO288,$B$8,1),OFFSET($M$15,0,0,$B$8,1))=EG$14))   /   SUM(OFFSET($BO$15,0,0,$B$14,1)) + $B$18/($B$19*$B$19*($DN288&lt;&gt;$DO288) + $B$19*($DN288=$DO288))</f>
        <v>3.7037037037037035E-4</v>
      </c>
      <c r="EH288" s="10" cm="1">
        <f t="array" aca="1" ref="EH288" ca="1">(1-$B$18)*SUMPRODUCT(OFFSET($BO$15,0,0,$B$14,1), 1*(_xlfn._xlws.FILTER(OFFSET($O$15,0,$DN288,$B$8,1),OFFSET($M$15,0,0,$B$8,1))=EH$13), 1*(_xlfn._xlws.FILTER(OFFSET($O$15,0,$DO288,$B$8,1),OFFSET($M$15,0,0,$B$8,1))=EH$14))   /   SUM(OFFSET($BO$15,0,0,$B$14,1)) + $B$18/($B$19*$B$19*($DN288&lt;&gt;$DO288) + $B$19*($DN288=$DO288))</f>
        <v>3.7037037037037035E-4</v>
      </c>
      <c r="EI288" s="10" cm="1">
        <f t="array" aca="1" ref="EI288" ca="1">(1-$B$18)*SUMPRODUCT(OFFSET($BO$15,0,0,$B$14,1), 1*(_xlfn._xlws.FILTER(OFFSET($O$15,0,$DN288,$B$8,1),OFFSET($M$15,0,0,$B$8,1))=EI$13), 1*(_xlfn._xlws.FILTER(OFFSET($O$15,0,$DO288,$B$8,1),OFFSET($M$15,0,0,$B$8,1))=EI$14))   /   SUM(OFFSET($BO$15,0,0,$B$14,1)) + $B$18/($B$19*$B$19*($DN288&lt;&gt;$DO288) + $B$19*($DN288=$DO288))</f>
        <v>3.7037037037037035E-4</v>
      </c>
      <c r="EJ288" s="10" cm="1">
        <f t="array" aca="1" ref="EJ288" ca="1">(1-$B$18)*SUMPRODUCT(OFFSET($BO$15,0,0,$B$14,1), 1*(_xlfn._xlws.FILTER(OFFSET($O$15,0,$DN288,$B$8,1),OFFSET($M$15,0,0,$B$8,1))=EJ$13), 1*(_xlfn._xlws.FILTER(OFFSET($O$15,0,$DO288,$B$8,1),OFFSET($M$15,0,0,$B$8,1))=EJ$14))   /   SUM(OFFSET($BO$15,0,0,$B$14,1)) + $B$18/($B$19*$B$19*($DN288&lt;&gt;$DO288) + $B$19*($DN288=$DO288))</f>
        <v>3.7037037037037035E-4</v>
      </c>
      <c r="EK288" s="10" cm="1">
        <f t="array" aca="1" ref="EK288" ca="1">(1-$B$18)*SUMPRODUCT(OFFSET($BO$15,0,0,$B$14,1), 1*(_xlfn._xlws.FILTER(OFFSET($O$15,0,$DN288,$B$8,1),OFFSET($M$15,0,0,$B$8,1))=EK$13), 1*(_xlfn._xlws.FILTER(OFFSET($O$15,0,$DO288,$B$8,1),OFFSET($M$15,0,0,$B$8,1))=EK$14))   /   SUM(OFFSET($BO$15,0,0,$B$14,1)) + $B$18/($B$19*$B$19*($DN288&lt;&gt;$DO288) + $B$19*($DN288=$DO288))</f>
        <v>3.7037037037037035E-4</v>
      </c>
      <c r="EL288" s="10" cm="1">
        <f t="array" aca="1" ref="EL288" ca="1">(1-$B$18)*SUMPRODUCT(OFFSET($BO$15,0,0,$B$14,1), 1*(_xlfn._xlws.FILTER(OFFSET($O$15,0,$DN288,$B$8,1),OFFSET($M$15,0,0,$B$8,1))=EL$13), 1*(_xlfn._xlws.FILTER(OFFSET($O$15,0,$DO288,$B$8,1),OFFSET($M$15,0,0,$B$8,1))=EL$14))   /   SUM(OFFSET($BO$15,0,0,$B$14,1)) + $B$18/($B$19*$B$19*($DN288&lt;&gt;$DO288) + $B$19*($DN288=$DO288))</f>
        <v>0.97037037037037033</v>
      </c>
      <c r="EM288" s="10" cm="1">
        <f t="array" aca="1" ref="EM288" ca="1">(1-$B$18)*SUMPRODUCT(OFFSET($BO$15,0,0,$B$14,1), 1*(_xlfn._xlws.FILTER(OFFSET($O$15,0,$DN288,$B$8,1),OFFSET($M$15,0,0,$B$8,1))=EM$13), 1*(_xlfn._xlws.FILTER(OFFSET($O$15,0,$DO288,$B$8,1),OFFSET($M$15,0,0,$B$8,1))=EM$14))   /   SUM(OFFSET($BO$15,0,0,$B$14,1)) + $B$18/($B$19*$B$19*($DN288&lt;&gt;$DO288) + $B$19*($DN288=$DO288))</f>
        <v>3.7037037037037035E-4</v>
      </c>
      <c r="EN288" s="10" cm="1">
        <f t="array" aca="1" ref="EN288" ca="1">(1-$B$18)*SUMPRODUCT(OFFSET($BO$15,0,0,$B$14,1), 1*(_xlfn._xlws.FILTER(OFFSET($O$15,0,$DN288,$B$8,1),OFFSET($M$15,0,0,$B$8,1))=EN$13), 1*(_xlfn._xlws.FILTER(OFFSET($O$15,0,$DO288,$B$8,1),OFFSET($M$15,0,0,$B$8,1))=EN$14))   /   SUM(OFFSET($BO$15,0,0,$B$14,1)) + $B$18/($B$19*$B$19*($DN288&lt;&gt;$DO288) + $B$19*($DN288=$DO288))</f>
        <v>3.7037037037037035E-4</v>
      </c>
      <c r="EO288" s="10" cm="1">
        <f t="array" aca="1" ref="EO288" ca="1">(1-$B$18)*SUMPRODUCT(OFFSET($BO$15,0,0,$B$14,1), 1*(_xlfn._xlws.FILTER(OFFSET($O$15,0,$DN288,$B$8,1),OFFSET($M$15,0,0,$B$8,1))=EO$13), 1*(_xlfn._xlws.FILTER(OFFSET($O$15,0,$DO288,$B$8,1),OFFSET($M$15,0,0,$B$8,1))=EO$14))   /   SUM(OFFSET($BO$15,0,0,$B$14,1)) + $B$18/($B$19*$B$19*($DN288&lt;&gt;$DO288) + $B$19*($DN288=$DO288))</f>
        <v>3.7037037037037035E-4</v>
      </c>
      <c r="EP288" s="10" cm="1">
        <f t="array" aca="1" ref="EP288" ca="1">(1-$B$18)*SUMPRODUCT(OFFSET($BO$15,0,0,$B$14,1), 1*(_xlfn._xlws.FILTER(OFFSET($O$15,0,$DN288,$B$8,1),OFFSET($M$15,0,0,$B$8,1))=EP$13), 1*(_xlfn._xlws.FILTER(OFFSET($O$15,0,$DO288,$B$8,1),OFFSET($M$15,0,0,$B$8,1))=EP$14))   /   SUM(OFFSET($BO$15,0,0,$B$14,1)) + $B$18/($B$19*$B$19*($DN288&lt;&gt;$DO288) + $B$19*($DN288=$DO288))</f>
        <v>3.7037037037037035E-4</v>
      </c>
      <c r="EQ288" s="10" cm="1">
        <f t="array" aca="1" ref="EQ288" ca="1">(1-$B$18)*SUMPRODUCT(OFFSET($BO$15,0,0,$B$14,1), 1*(_xlfn._xlws.FILTER(OFFSET($O$15,0,$DN288,$B$8,1),OFFSET($M$15,0,0,$B$8,1))=EQ$13), 1*(_xlfn._xlws.FILTER(OFFSET($O$15,0,$DO288,$B$8,1),OFFSET($M$15,0,0,$B$8,1))=EQ$14))   /   SUM(OFFSET($BO$15,0,0,$B$14,1)) + $B$18/($B$19*$B$19*($DN288&lt;&gt;$DO288) + $B$19*($DN288=$DO288))</f>
        <v>3.7037037037037035E-4</v>
      </c>
      <c r="ER288" s="10" cm="1">
        <f t="array" aca="1" ref="ER288" ca="1">(1-$B$18)*SUMPRODUCT(OFFSET($BO$15,0,0,$B$14,1), 1*(_xlfn._xlws.FILTER(OFFSET($O$15,0,$DN288,$B$8,1),OFFSET($M$15,0,0,$B$8,1))=ER$13), 1*(_xlfn._xlws.FILTER(OFFSET($O$15,0,$DO288,$B$8,1),OFFSET($M$15,0,0,$B$8,1))=ER$14))   /   SUM(OFFSET($BO$15,0,0,$B$14,1)) + $B$18/($B$19*$B$19*($DN288&lt;&gt;$DO288) + $B$19*($DN288=$DO288))</f>
        <v>3.7037037037037035E-4</v>
      </c>
      <c r="ES288" s="10" cm="1">
        <f t="array" aca="1" ref="ES288" ca="1">(1-$B$18)*SUMPRODUCT(OFFSET($BO$15,0,0,$B$14,1), 1*(_xlfn._xlws.FILTER(OFFSET($O$15,0,$DN288,$B$8,1),OFFSET($M$15,0,0,$B$8,1))=ES$13), 1*(_xlfn._xlws.FILTER(OFFSET($O$15,0,$DO288,$B$8,1),OFFSET($M$15,0,0,$B$8,1))=ES$14))   /   SUM(OFFSET($BO$15,0,0,$B$14,1)) + $B$18/($B$19*$B$19*($DN288&lt;&gt;$DO288) + $B$19*($DN288=$DO288))</f>
        <v>3.7037037037037035E-4</v>
      </c>
      <c r="ET288" s="10" cm="1">
        <f t="array" aca="1" ref="ET288" ca="1">(1-$B$18)*SUMPRODUCT(OFFSET($BO$15,0,0,$B$14,1), 1*(_xlfn._xlws.FILTER(OFFSET($O$15,0,$DN288,$B$8,1),OFFSET($M$15,0,0,$B$8,1))=ET$13), 1*(_xlfn._xlws.FILTER(OFFSET($O$15,0,$DO288,$B$8,1),OFFSET($M$15,0,0,$B$8,1))=ET$14))   /   SUM(OFFSET($BO$15,0,0,$B$14,1)) + $B$18/($B$19*$B$19*($DN288&lt;&gt;$DO288) + $B$19*($DN288=$DO288))</f>
        <v>3.7037037037037035E-4</v>
      </c>
      <c r="EU288" s="10" cm="1">
        <f t="array" aca="1" ref="EU288" ca="1">(1-$B$18)*SUMPRODUCT(OFFSET($BO$15,0,0,$B$14,1), 1*(_xlfn._xlws.FILTER(OFFSET($O$15,0,$DN288,$B$8,1),OFFSET($M$15,0,0,$B$8,1))=EU$13), 1*(_xlfn._xlws.FILTER(OFFSET($O$15,0,$DO288,$B$8,1),OFFSET($M$15,0,0,$B$8,1))=EU$14))   /   SUM(OFFSET($BO$15,0,0,$B$14,1)) + $B$18/($B$19*$B$19*($DN288&lt;&gt;$DO288) + $B$19*($DN288=$DO288))</f>
        <v>3.7037037037037035E-4</v>
      </c>
      <c r="EV288" s="10" cm="1">
        <f t="array" aca="1" ref="EV288" ca="1">(1-$B$18)*SUMPRODUCT(OFFSET($BO$15,0,0,$B$14,1), 1*(_xlfn._xlws.FILTER(OFFSET($O$15,0,$DN288,$B$8,1),OFFSET($M$15,0,0,$B$8,1))=EV$13), 1*(_xlfn._xlws.FILTER(OFFSET($O$15,0,$DO288,$B$8,1),OFFSET($M$15,0,0,$B$8,1))=EV$14))   /   SUM(OFFSET($BO$15,0,0,$B$14,1)) + $B$18/($B$19*$B$19*($DN288&lt;&gt;$DO288) + $B$19*($DN288=$DO288))</f>
        <v>3.7037037037037035E-4</v>
      </c>
      <c r="EW288" s="10" cm="1">
        <f t="array" aca="1" ref="EW288" ca="1">(1-$B$18)*SUMPRODUCT(OFFSET($BO$15,0,0,$B$14,1), 1*(_xlfn._xlws.FILTER(OFFSET($O$15,0,$DN288,$B$8,1),OFFSET($M$15,0,0,$B$8,1))=EW$13), 1*(_xlfn._xlws.FILTER(OFFSET($O$15,0,$DO288,$B$8,1),OFFSET($M$15,0,0,$B$8,1))=EW$14))   /   SUM(OFFSET($BO$15,0,0,$B$14,1)) + $B$18/($B$19*$B$19*($DN288&lt;&gt;$DO288) + $B$19*($DN288=$DO288))</f>
        <v>3.7037037037037035E-4</v>
      </c>
      <c r="EX288" s="10" cm="1">
        <f t="array" aca="1" ref="EX288" ca="1">(1-$B$18)*SUMPRODUCT(OFFSET($BO$15,0,0,$B$14,1), 1*(_xlfn._xlws.FILTER(OFFSET($O$15,0,$DN288,$B$8,1),OFFSET($M$15,0,0,$B$8,1))=EX$13), 1*(_xlfn._xlws.FILTER(OFFSET($O$15,0,$DO288,$B$8,1),OFFSET($M$15,0,0,$B$8,1))=EX$14))   /   SUM(OFFSET($BO$15,0,0,$B$14,1)) + $B$18/($B$19*$B$19*($DN288&lt;&gt;$DO288) + $B$19*($DN288=$DO288))</f>
        <v>3.7037037037037035E-4</v>
      </c>
      <c r="EY288" s="10" cm="1">
        <f t="array" aca="1" ref="EY288" ca="1">(1-$B$18)*SUMPRODUCT(OFFSET($BO$15,0,0,$B$14,1), 1*(_xlfn._xlws.FILTER(OFFSET($O$15,0,$DN288,$B$8,1),OFFSET($M$15,0,0,$B$8,1))=EY$13), 1*(_xlfn._xlws.FILTER(OFFSET($O$15,0,$DO288,$B$8,1),OFFSET($M$15,0,0,$B$8,1))=EY$14))   /   SUM(OFFSET($BO$15,0,0,$B$14,1)) + $B$18/($B$19*$B$19*($DN288&lt;&gt;$DO288) + $B$19*($DN288=$DO288))</f>
        <v>3.7037037037037035E-4</v>
      </c>
      <c r="EZ288" s="10" cm="1">
        <f t="array" aca="1" ref="EZ288" ca="1">(1-$B$18)*SUMPRODUCT(OFFSET($BO$15,0,0,$B$14,1), 1*(_xlfn._xlws.FILTER(OFFSET($O$15,0,$DN288,$B$8,1),OFFSET($M$15,0,0,$B$8,1))=EZ$13), 1*(_xlfn._xlws.FILTER(OFFSET($O$15,0,$DO288,$B$8,1),OFFSET($M$15,0,0,$B$8,1))=EZ$14))   /   SUM(OFFSET($BO$15,0,0,$B$14,1)) + $B$18/($B$19*$B$19*($DN288&lt;&gt;$DO288) + $B$19*($DN288=$DO288))</f>
        <v>3.7037037037037035E-4</v>
      </c>
      <c r="FA288" s="10" cm="1">
        <f t="array" aca="1" ref="FA288" ca="1">(1-$B$18)*SUMPRODUCT(OFFSET($BO$15,0,0,$B$14,1), 1*(_xlfn._xlws.FILTER(OFFSET($O$15,0,$DN288,$B$8,1),OFFSET($M$15,0,0,$B$8,1))=FA$13), 1*(_xlfn._xlws.FILTER(OFFSET($O$15,0,$DO288,$B$8,1),OFFSET($M$15,0,0,$B$8,1))=FA$14))   /   SUM(OFFSET($BO$15,0,0,$B$14,1)) + $B$18/($B$19*$B$19*($DN288&lt;&gt;$DO288) + $B$19*($DN288=$DO288))</f>
        <v>3.7037037037037035E-4</v>
      </c>
      <c r="FB288" s="10" cm="1">
        <f t="array" aca="1" ref="FB288" ca="1">(1-$B$18)*SUMPRODUCT(OFFSET($BO$15,0,0,$B$14,1), 1*(_xlfn._xlws.FILTER(OFFSET($O$15,0,$DN288,$B$8,1),OFFSET($M$15,0,0,$B$8,1))=FB$13), 1*(_xlfn._xlws.FILTER(OFFSET($O$15,0,$DO288,$B$8,1),OFFSET($M$15,0,0,$B$8,1))=FB$14))   /   SUM(OFFSET($BO$15,0,0,$B$14,1)) + $B$18/($B$19*$B$19*($DN288&lt;&gt;$DO288) + $B$19*($DN288=$DO288))</f>
        <v>3.7037037037037035E-4</v>
      </c>
      <c r="FC288" s="10" cm="1">
        <f t="array" aca="1" ref="FC288" ca="1">(1-$B$18)*SUMPRODUCT(OFFSET($BO$15,0,0,$B$14,1), 1*(_xlfn._xlws.FILTER(OFFSET($O$15,0,$DN288,$B$8,1),OFFSET($M$15,0,0,$B$8,1))=FC$13), 1*(_xlfn._xlws.FILTER(OFFSET($O$15,0,$DO288,$B$8,1),OFFSET($M$15,0,0,$B$8,1))=FC$14))   /   SUM(OFFSET($BO$15,0,0,$B$14,1)) + $B$18/($B$19*$B$19*($DN288&lt;&gt;$DO288) + $B$19*($DN288=$DO288))</f>
        <v>3.7037037037037035E-4</v>
      </c>
      <c r="FD288" s="10" cm="1">
        <f t="array" aca="1" ref="FD288" ca="1">(1-$B$18)*SUMPRODUCT(OFFSET($BO$15,0,0,$B$14,1), 1*(_xlfn._xlws.FILTER(OFFSET($O$15,0,$DN288,$B$8,1),OFFSET($M$15,0,0,$B$8,1))=FD$13), 1*(_xlfn._xlws.FILTER(OFFSET($O$15,0,$DO288,$B$8,1),OFFSET($M$15,0,0,$B$8,1))=FD$14))   /   SUM(OFFSET($BO$15,0,0,$B$14,1)) + $B$18/($B$19*$B$19*($DN288&lt;&gt;$DO288) + $B$19*($DN288=$DO288))</f>
        <v>3.7037037037037035E-4</v>
      </c>
      <c r="FE288" s="10" cm="1">
        <f t="array" aca="1" ref="FE288" ca="1">(1-$B$18)*SUMPRODUCT(OFFSET($BO$15,0,0,$B$14,1), 1*(_xlfn._xlws.FILTER(OFFSET($O$15,0,$DN288,$B$8,1),OFFSET($M$15,0,0,$B$8,1))=FE$13), 1*(_xlfn._xlws.FILTER(OFFSET($O$15,0,$DO288,$B$8,1),OFFSET($M$15,0,0,$B$8,1))=FE$14))   /   SUM(OFFSET($BO$15,0,0,$B$14,1)) + $B$18/($B$19*$B$19*($DN288&lt;&gt;$DO288) + $B$19*($DN288=$DO288))</f>
        <v>3.7037037037037035E-4</v>
      </c>
      <c r="FF288" s="10" cm="1">
        <f t="array" aca="1" ref="FF288" ca="1">(1-$B$18)*SUMPRODUCT(OFFSET($BO$15,0,0,$B$14,1), 1*(_xlfn._xlws.FILTER(OFFSET($O$15,0,$DN288,$B$8,1),OFFSET($M$15,0,0,$B$8,1))=FF$13), 1*(_xlfn._xlws.FILTER(OFFSET($O$15,0,$DO288,$B$8,1),OFFSET($M$15,0,0,$B$8,1))=FF$14))   /   SUM(OFFSET($BO$15,0,0,$B$14,1)) + $B$18/($B$19*$B$19*($DN288&lt;&gt;$DO288) + $B$19*($DN288=$DO288))</f>
        <v>3.7037037037037035E-4</v>
      </c>
      <c r="FG288" s="10" cm="1">
        <f t="array" aca="1" ref="FG288" ca="1">(1-$B$18)*SUMPRODUCT(OFFSET($BO$15,0,0,$B$14,1), 1*(_xlfn._xlws.FILTER(OFFSET($O$15,0,$DN288,$B$8,1),OFFSET($M$15,0,0,$B$8,1))=FG$13), 1*(_xlfn._xlws.FILTER(OFFSET($O$15,0,$DO288,$B$8,1),OFFSET($M$15,0,0,$B$8,1))=FG$14))   /   SUM(OFFSET($BO$15,0,0,$B$14,1)) + $B$18/($B$19*$B$19*($DN288&lt;&gt;$DO288) + $B$19*($DN288=$DO288))</f>
        <v>3.7037037037037035E-4</v>
      </c>
      <c r="FH288" s="10" cm="1">
        <f t="array" aca="1" ref="FH288" ca="1">(1-$B$18)*SUMPRODUCT(OFFSET($BO$15,0,0,$B$14,1), 1*(_xlfn._xlws.FILTER(OFFSET($O$15,0,$DN288,$B$8,1),OFFSET($M$15,0,0,$B$8,1))=FH$13), 1*(_xlfn._xlws.FILTER(OFFSET($O$15,0,$DO288,$B$8,1),OFFSET($M$15,0,0,$B$8,1))=FH$14))   /   SUM(OFFSET($BO$15,0,0,$B$14,1)) + $B$18/($B$19*$B$19*($DN288&lt;&gt;$DO288) + $B$19*($DN288=$DO288))</f>
        <v>3.7037037037037035E-4</v>
      </c>
      <c r="FI288" s="10" cm="1">
        <f t="array" aca="1" ref="FI288" ca="1">(1-$B$18)*SUMPRODUCT(OFFSET($BO$15,0,0,$B$14,1), 1*(_xlfn._xlws.FILTER(OFFSET($O$15,0,$DN288,$B$8,1),OFFSET($M$15,0,0,$B$8,1))=FI$13), 1*(_xlfn._xlws.FILTER(OFFSET($O$15,0,$DO288,$B$8,1),OFFSET($M$15,0,0,$B$8,1))=FI$14))   /   SUM(OFFSET($BO$15,0,0,$B$14,1)) + $B$18/($B$19*$B$19*($DN288&lt;&gt;$DO288) + $B$19*($DN288=$DO288))</f>
        <v>3.7037037037037035E-4</v>
      </c>
      <c r="FJ288" s="10" cm="1">
        <f t="array" aca="1" ref="FJ288" ca="1">(1-$B$18)*SUMPRODUCT(OFFSET($BO$15,0,0,$B$14,1), 1*(_xlfn._xlws.FILTER(OFFSET($O$15,0,$DN288,$B$8,1),OFFSET($M$15,0,0,$B$8,1))=FJ$13), 1*(_xlfn._xlws.FILTER(OFFSET($O$15,0,$DO288,$B$8,1),OFFSET($M$15,0,0,$B$8,1))=FJ$14))   /   SUM(OFFSET($BO$15,0,0,$B$14,1)) + $B$18/($B$19*$B$19*($DN288&lt;&gt;$DO288) + $B$19*($DN288=$DO288))</f>
        <v>3.7037037037037035E-4</v>
      </c>
      <c r="FK288" s="10" cm="1">
        <f t="array" aca="1" ref="FK288" ca="1">(1-$B$18)*SUMPRODUCT(OFFSET($BO$15,0,0,$B$14,1), 1*(_xlfn._xlws.FILTER(OFFSET($O$15,0,$DN288,$B$8,1),OFFSET($M$15,0,0,$B$8,1))=FK$13), 1*(_xlfn._xlws.FILTER(OFFSET($O$15,0,$DO288,$B$8,1),OFFSET($M$15,0,0,$B$8,1))=FK$14))   /   SUM(OFFSET($BO$15,0,0,$B$14,1)) + $B$18/($B$19*$B$19*($DN288&lt;&gt;$DO288) + $B$19*($DN288=$DO288))</f>
        <v>3.7037037037037035E-4</v>
      </c>
      <c r="FL288" s="10" cm="1">
        <f t="array" aca="1" ref="FL288" ca="1">(1-$B$18)*SUMPRODUCT(OFFSET($BO$15,0,0,$B$14,1), 1*(_xlfn._xlws.FILTER(OFFSET($O$15,0,$DN288,$B$8,1),OFFSET($M$15,0,0,$B$8,1))=FL$13), 1*(_xlfn._xlws.FILTER(OFFSET($O$15,0,$DO288,$B$8,1),OFFSET($M$15,0,0,$B$8,1))=FL$14))   /   SUM(OFFSET($BO$15,0,0,$B$14,1)) + $B$18/($B$19*$B$19*($DN288&lt;&gt;$DO288) + $B$19*($DN288=$DO288))</f>
        <v>3.7037037037037035E-4</v>
      </c>
      <c r="FM288" s="10" cm="1">
        <f t="array" aca="1" ref="FM288" ca="1">(1-$B$18)*SUMPRODUCT(OFFSET($BO$15,0,0,$B$14,1), 1*(_xlfn._xlws.FILTER(OFFSET($O$15,0,$DN288,$B$8,1),OFFSET($M$15,0,0,$B$8,1))=FM$13), 1*(_xlfn._xlws.FILTER(OFFSET($O$15,0,$DO288,$B$8,1),OFFSET($M$15,0,0,$B$8,1))=FM$14))   /   SUM(OFFSET($BO$15,0,0,$B$14,1)) + $B$18/($B$19*$B$19*($DN288&lt;&gt;$DO288) + $B$19*($DN288=$DO288))</f>
        <v>3.7037037037037035E-4</v>
      </c>
      <c r="FN288" s="10" cm="1">
        <f t="array" aca="1" ref="FN288" ca="1">(1-$B$18)*SUMPRODUCT(OFFSET($BO$15,0,0,$B$14,1), 1*(_xlfn._xlws.FILTER(OFFSET($O$15,0,$DN288,$B$8,1),OFFSET($M$15,0,0,$B$8,1))=FN$13), 1*(_xlfn._xlws.FILTER(OFFSET($O$15,0,$DO288,$B$8,1),OFFSET($M$15,0,0,$B$8,1))=FN$14))   /   SUM(OFFSET($BO$15,0,0,$B$14,1)) + $B$18/($B$19*$B$19*($DN288&lt;&gt;$DO288) + $B$19*($DN288=$DO288))</f>
        <v>3.7037037037037035E-4</v>
      </c>
      <c r="FO288" s="10" cm="1">
        <f t="array" aca="1" ref="FO288" ca="1">(1-$B$18)*SUMPRODUCT(OFFSET($BO$15,0,0,$B$14,1), 1*(_xlfn._xlws.FILTER(OFFSET($O$15,0,$DN288,$B$8,1),OFFSET($M$15,0,0,$B$8,1))=FO$13), 1*(_xlfn._xlws.FILTER(OFFSET($O$15,0,$DO288,$B$8,1),OFFSET($M$15,0,0,$B$8,1))=FO$14))   /   SUM(OFFSET($BO$15,0,0,$B$14,1)) + $B$18/($B$19*$B$19*($DN288&lt;&gt;$DO288) + $B$19*($DN288=$DO288))</f>
        <v>3.7037037037037035E-4</v>
      </c>
      <c r="FP288" s="10" cm="1">
        <f t="array" aca="1" ref="FP288" ca="1">(1-$B$18)*SUMPRODUCT(OFFSET($BO$15,0,0,$B$14,1), 1*(_xlfn._xlws.FILTER(OFFSET($O$15,0,$DN288,$B$8,1),OFFSET($M$15,0,0,$B$8,1))=FP$13), 1*(_xlfn._xlws.FILTER(OFFSET($O$15,0,$DO288,$B$8,1),OFFSET($M$15,0,0,$B$8,1))=FP$14))   /   SUM(OFFSET($BO$15,0,0,$B$14,1)) + $B$18/($B$19*$B$19*($DN288&lt;&gt;$DO288) + $B$19*($DN288=$DO288))</f>
        <v>3.7037037037037035E-4</v>
      </c>
      <c r="FQ288" s="10" cm="1">
        <f t="array" aca="1" ref="FQ288" ca="1">(1-$B$18)*SUMPRODUCT(OFFSET($BO$15,0,0,$B$14,1), 1*(_xlfn._xlws.FILTER(OFFSET($O$15,0,$DN288,$B$8,1),OFFSET($M$15,0,0,$B$8,1))=FQ$13), 1*(_xlfn._xlws.FILTER(OFFSET($O$15,0,$DO288,$B$8,1),OFFSET($M$15,0,0,$B$8,1))=FQ$14))   /   SUM(OFFSET($BO$15,0,0,$B$14,1)) + $B$18/($B$19*$B$19*($DN288&lt;&gt;$DO288) + $B$19*($DN288=$DO288))</f>
        <v>3.7037037037037035E-4</v>
      </c>
      <c r="FR288" s="10" cm="1">
        <f t="array" aca="1" ref="FR288" ca="1">(1-$B$18)*SUMPRODUCT(OFFSET($BO$15,0,0,$B$14,1), 1*(_xlfn._xlws.FILTER(OFFSET($O$15,0,$DN288,$B$8,1),OFFSET($M$15,0,0,$B$8,1))=FR$13), 1*(_xlfn._xlws.FILTER(OFFSET($O$15,0,$DO288,$B$8,1),OFFSET($M$15,0,0,$B$8,1))=FR$14))   /   SUM(OFFSET($BO$15,0,0,$B$14,1)) + $B$18/($B$19*$B$19*($DN288&lt;&gt;$DO288) + $B$19*($DN288=$DO288))</f>
        <v>3.7037037037037035E-4</v>
      </c>
      <c r="FS288" s="10" cm="1">
        <f t="array" aca="1" ref="FS288" ca="1">(1-$B$18)*SUMPRODUCT(OFFSET($BO$15,0,0,$B$14,1), 1*(_xlfn._xlws.FILTER(OFFSET($O$15,0,$DN288,$B$8,1),OFFSET($M$15,0,0,$B$8,1))=FS$13), 1*(_xlfn._xlws.FILTER(OFFSET($O$15,0,$DO288,$B$8,1),OFFSET($M$15,0,0,$B$8,1))=FS$14))   /   SUM(OFFSET($BO$15,0,0,$B$14,1)) + $B$18/($B$19*$B$19*($DN288&lt;&gt;$DO288) + $B$19*($DN288=$DO288))</f>
        <v>3.7037037037037035E-4</v>
      </c>
      <c r="FT288" s="10" cm="1">
        <f t="array" aca="1" ref="FT288" ca="1">(1-$B$18)*SUMPRODUCT(OFFSET($BO$15,0,0,$B$14,1), 1*(_xlfn._xlws.FILTER(OFFSET($O$15,0,$DN288,$B$8,1),OFFSET($M$15,0,0,$B$8,1))=FT$13), 1*(_xlfn._xlws.FILTER(OFFSET($O$15,0,$DO288,$B$8,1),OFFSET($M$15,0,0,$B$8,1))=FT$14))   /   SUM(OFFSET($BO$15,0,0,$B$14,1)) + $B$18/($B$19*$B$19*($DN288&lt;&gt;$DO288) + $B$19*($DN288=$DO288))</f>
        <v>3.7037037037037035E-4</v>
      </c>
      <c r="FU288" s="10" cm="1">
        <f t="array" aca="1" ref="FU288" ca="1">(1-$B$18)*SUMPRODUCT(OFFSET($BO$15,0,0,$B$14,1), 1*(_xlfn._xlws.FILTER(OFFSET($O$15,0,$DN288,$B$8,1),OFFSET($M$15,0,0,$B$8,1))=FU$13), 1*(_xlfn._xlws.FILTER(OFFSET($O$15,0,$DO288,$B$8,1),OFFSET($M$15,0,0,$B$8,1))=FU$14))   /   SUM(OFFSET($BO$15,0,0,$B$14,1)) + $B$18/($B$19*$B$19*($DN288&lt;&gt;$DO288) + $B$19*($DN288=$DO288))</f>
        <v>3.7037037037037035E-4</v>
      </c>
      <c r="FV288" s="10" cm="1">
        <f t="array" aca="1" ref="FV288" ca="1">(1-$B$18)*SUMPRODUCT(OFFSET($BO$15,0,0,$B$14,1), 1*(_xlfn._xlws.FILTER(OFFSET($O$15,0,$DN288,$B$8,1),OFFSET($M$15,0,0,$B$8,1))=FV$13), 1*(_xlfn._xlws.FILTER(OFFSET($O$15,0,$DO288,$B$8,1),OFFSET($M$15,0,0,$B$8,1))=FV$14))   /   SUM(OFFSET($BO$15,0,0,$B$14,1)) + $B$18/($B$19*$B$19*($DN288&lt;&gt;$DO288) + $B$19*($DN288=$DO288))</f>
        <v>3.7037037037037035E-4</v>
      </c>
      <c r="FW288" s="10" cm="1">
        <f t="array" aca="1" ref="FW288" ca="1">(1-$B$18)*SUMPRODUCT(OFFSET($BO$15,0,0,$B$14,1), 1*(_xlfn._xlws.FILTER(OFFSET($O$15,0,$DN288,$B$8,1),OFFSET($M$15,0,0,$B$8,1))=FW$13), 1*(_xlfn._xlws.FILTER(OFFSET($O$15,0,$DO288,$B$8,1),OFFSET($M$15,0,0,$B$8,1))=FW$14))   /   SUM(OFFSET($BO$15,0,0,$B$14,1)) + $B$18/($B$19*$B$19*($DN288&lt;&gt;$DO288) + $B$19*($DN288=$DO288))</f>
        <v>3.7037037037037035E-4</v>
      </c>
      <c r="FX288" s="10" cm="1">
        <f t="array" aca="1" ref="FX288" ca="1">(1-$B$18)*SUMPRODUCT(OFFSET($BO$15,0,0,$B$14,1), 1*(_xlfn._xlws.FILTER(OFFSET($O$15,0,$DN288,$B$8,1),OFFSET($M$15,0,0,$B$8,1))=FX$13), 1*(_xlfn._xlws.FILTER(OFFSET($O$15,0,$DO288,$B$8,1),OFFSET($M$15,0,0,$B$8,1))=FX$14))   /   SUM(OFFSET($BO$15,0,0,$B$14,1)) + $B$18/($B$19*$B$19*($DN288&lt;&gt;$DO288) + $B$19*($DN288=$DO288))</f>
        <v>3.7037037037037035E-4</v>
      </c>
      <c r="FY288" s="10" cm="1">
        <f t="array" aca="1" ref="FY288" ca="1">(1-$B$18)*SUMPRODUCT(OFFSET($BO$15,0,0,$B$14,1), 1*(_xlfn._xlws.FILTER(OFFSET($O$15,0,$DN288,$B$8,1),OFFSET($M$15,0,0,$B$8,1))=FY$13), 1*(_xlfn._xlws.FILTER(OFFSET($O$15,0,$DO288,$B$8,1),OFFSET($M$15,0,0,$B$8,1))=FY$14))   /   SUM(OFFSET($BO$15,0,0,$B$14,1)) + $B$18/($B$19*$B$19*($DN288&lt;&gt;$DO288) + $B$19*($DN288=$DO288))</f>
        <v>3.7037037037037035E-4</v>
      </c>
      <c r="FZ288" s="10" cm="1">
        <f t="array" aca="1" ref="FZ288" ca="1">(1-$B$18)*SUMPRODUCT(OFFSET($BO$15,0,0,$B$14,1), 1*(_xlfn._xlws.FILTER(OFFSET($O$15,0,$DN288,$B$8,1),OFFSET($M$15,0,0,$B$8,1))=FZ$13), 1*(_xlfn._xlws.FILTER(OFFSET($O$15,0,$DO288,$B$8,1),OFFSET($M$15,0,0,$B$8,1))=FZ$14))   /   SUM(OFFSET($BO$15,0,0,$B$14,1)) + $B$18/($B$19*$B$19*($DN288&lt;&gt;$DO288) + $B$19*($DN288=$DO288))</f>
        <v>3.7037037037037035E-4</v>
      </c>
      <c r="GA288" s="10" cm="1">
        <f t="array" aca="1" ref="GA288" ca="1">(1-$B$18)*SUMPRODUCT(OFFSET($BO$15,0,0,$B$14,1), 1*(_xlfn._xlws.FILTER(OFFSET($O$15,0,$DN288,$B$8,1),OFFSET($M$15,0,0,$B$8,1))=GA$13), 1*(_xlfn._xlws.FILTER(OFFSET($O$15,0,$DO288,$B$8,1),OFFSET($M$15,0,0,$B$8,1))=GA$14))   /   SUM(OFFSET($BO$15,0,0,$B$14,1)) + $B$18/($B$19*$B$19*($DN288&lt;&gt;$DO288) + $B$19*($DN288=$DO288))</f>
        <v>3.7037037037037035E-4</v>
      </c>
    </row>
    <row r="289" spans="118:183" x14ac:dyDescent="0.2">
      <c r="DN289" cm="1">
        <f t="array" aca="1" ref="DN289" ca="1">INDEX(_xlfn.ANCHORARRAY($CP$15), 1 + INT((ROWS($DO$15:$DO289) - 1) / ROWS(_xlfn.ANCHORARRAY($CP$15))))</f>
        <v>15</v>
      </c>
      <c r="DO289" cm="1">
        <f t="array" aca="1" ref="DO289" ca="1">INDEX(_xlfn.ANCHORARRAY($CP$15),1+MOD(ROWS($DO$15:$DO289)-1,ROWS(_xlfn.ANCHORARRAY($CP$15))))</f>
        <v>8</v>
      </c>
      <c r="DP289" s="10" cm="1">
        <f t="array" aca="1" ref="DP289" ca="1">(1-$B$18)*SUMPRODUCT(OFFSET($BO$15,0,0,$B$14,1), 1*(_xlfn._xlws.FILTER(OFFSET($O$15,0,$DN289,$B$8,1),OFFSET($M$15,0,0,$B$8,1))=DP$13), 1*(_xlfn._xlws.FILTER(OFFSET($O$15,0,$DO289,$B$8,1),OFFSET($M$15,0,0,$B$8,1))=DP$14))   /   SUM(OFFSET($BO$15,0,0,$B$14,1)) + $B$18/($B$19*$B$19*($DN289&lt;&gt;$DO289) + $B$19*($DN289=$DO289))</f>
        <v>3.7037037037037035E-4</v>
      </c>
      <c r="DQ289" s="10" cm="1">
        <f t="array" aca="1" ref="DQ289" ca="1">(1-$B$18)*SUMPRODUCT(OFFSET($BO$15,0,0,$B$14,1), 1*(_xlfn._xlws.FILTER(OFFSET($O$15,0,$DN289,$B$8,1),OFFSET($M$15,0,0,$B$8,1))=DQ$13), 1*(_xlfn._xlws.FILTER(OFFSET($O$15,0,$DO289,$B$8,1),OFFSET($M$15,0,0,$B$8,1))=DQ$14))   /   SUM(OFFSET($BO$15,0,0,$B$14,1)) + $B$18/($B$19*$B$19*($DN289&lt;&gt;$DO289) + $B$19*($DN289=$DO289))</f>
        <v>3.7037037037037035E-4</v>
      </c>
      <c r="DR289" s="10" cm="1">
        <f t="array" aca="1" ref="DR289" ca="1">(1-$B$18)*SUMPRODUCT(OFFSET($BO$15,0,0,$B$14,1), 1*(_xlfn._xlws.FILTER(OFFSET($O$15,0,$DN289,$B$8,1),OFFSET($M$15,0,0,$B$8,1))=DR$13), 1*(_xlfn._xlws.FILTER(OFFSET($O$15,0,$DO289,$B$8,1),OFFSET($M$15,0,0,$B$8,1))=DR$14))   /   SUM(OFFSET($BO$15,0,0,$B$14,1)) + $B$18/($B$19*$B$19*($DN289&lt;&gt;$DO289) + $B$19*($DN289=$DO289))</f>
        <v>3.7037037037037035E-4</v>
      </c>
      <c r="DS289" s="10" cm="1">
        <f t="array" aca="1" ref="DS289" ca="1">(1-$B$18)*SUMPRODUCT(OFFSET($BO$15,0,0,$B$14,1), 1*(_xlfn._xlws.FILTER(OFFSET($O$15,0,$DN289,$B$8,1),OFFSET($M$15,0,0,$B$8,1))=DS$13), 1*(_xlfn._xlws.FILTER(OFFSET($O$15,0,$DO289,$B$8,1),OFFSET($M$15,0,0,$B$8,1))=DS$14))   /   SUM(OFFSET($BO$15,0,0,$B$14,1)) + $B$18/($B$19*$B$19*($DN289&lt;&gt;$DO289) + $B$19*($DN289=$DO289))</f>
        <v>3.7037037037037035E-4</v>
      </c>
      <c r="DT289" s="10" cm="1">
        <f t="array" aca="1" ref="DT289" ca="1">(1-$B$18)*SUMPRODUCT(OFFSET($BO$15,0,0,$B$14,1), 1*(_xlfn._xlws.FILTER(OFFSET($O$15,0,$DN289,$B$8,1),OFFSET($M$15,0,0,$B$8,1))=DT$13), 1*(_xlfn._xlws.FILTER(OFFSET($O$15,0,$DO289,$B$8,1),OFFSET($M$15,0,0,$B$8,1))=DT$14))   /   SUM(OFFSET($BO$15,0,0,$B$14,1)) + $B$18/($B$19*$B$19*($DN289&lt;&gt;$DO289) + $B$19*($DN289=$DO289))</f>
        <v>3.7037037037037035E-4</v>
      </c>
      <c r="DU289" s="10" cm="1">
        <f t="array" aca="1" ref="DU289" ca="1">(1-$B$18)*SUMPRODUCT(OFFSET($BO$15,0,0,$B$14,1), 1*(_xlfn._xlws.FILTER(OFFSET($O$15,0,$DN289,$B$8,1),OFFSET($M$15,0,0,$B$8,1))=DU$13), 1*(_xlfn._xlws.FILTER(OFFSET($O$15,0,$DO289,$B$8,1),OFFSET($M$15,0,0,$B$8,1))=DU$14))   /   SUM(OFFSET($BO$15,0,0,$B$14,1)) + $B$18/($B$19*$B$19*($DN289&lt;&gt;$DO289) + $B$19*($DN289=$DO289))</f>
        <v>3.7037037037037035E-4</v>
      </c>
      <c r="DV289" s="10" cm="1">
        <f t="array" aca="1" ref="DV289" ca="1">(1-$B$18)*SUMPRODUCT(OFFSET($BO$15,0,0,$B$14,1), 1*(_xlfn._xlws.FILTER(OFFSET($O$15,0,$DN289,$B$8,1),OFFSET($M$15,0,0,$B$8,1))=DV$13), 1*(_xlfn._xlws.FILTER(OFFSET($O$15,0,$DO289,$B$8,1),OFFSET($M$15,0,0,$B$8,1))=DV$14))   /   SUM(OFFSET($BO$15,0,0,$B$14,1)) + $B$18/($B$19*$B$19*($DN289&lt;&gt;$DO289) + $B$19*($DN289=$DO289))</f>
        <v>3.7037037037037035E-4</v>
      </c>
      <c r="DW289" s="10" cm="1">
        <f t="array" aca="1" ref="DW289" ca="1">(1-$B$18)*SUMPRODUCT(OFFSET($BO$15,0,0,$B$14,1), 1*(_xlfn._xlws.FILTER(OFFSET($O$15,0,$DN289,$B$8,1),OFFSET($M$15,0,0,$B$8,1))=DW$13), 1*(_xlfn._xlws.FILTER(OFFSET($O$15,0,$DO289,$B$8,1),OFFSET($M$15,0,0,$B$8,1))=DW$14))   /   SUM(OFFSET($BO$15,0,0,$B$14,1)) + $B$18/($B$19*$B$19*($DN289&lt;&gt;$DO289) + $B$19*($DN289=$DO289))</f>
        <v>3.7037037037037035E-4</v>
      </c>
      <c r="DX289" s="10" cm="1">
        <f t="array" aca="1" ref="DX289" ca="1">(1-$B$18)*SUMPRODUCT(OFFSET($BO$15,0,0,$B$14,1), 1*(_xlfn._xlws.FILTER(OFFSET($O$15,0,$DN289,$B$8,1),OFFSET($M$15,0,0,$B$8,1))=DX$13), 1*(_xlfn._xlws.FILTER(OFFSET($O$15,0,$DO289,$B$8,1),OFFSET($M$15,0,0,$B$8,1))=DX$14))   /   SUM(OFFSET($BO$15,0,0,$B$14,1)) + $B$18/($B$19*$B$19*($DN289&lt;&gt;$DO289) + $B$19*($DN289=$DO289))</f>
        <v>3.7037037037037035E-4</v>
      </c>
      <c r="DY289" s="10" cm="1">
        <f t="array" aca="1" ref="DY289" ca="1">(1-$B$18)*SUMPRODUCT(OFFSET($BO$15,0,0,$B$14,1), 1*(_xlfn._xlws.FILTER(OFFSET($O$15,0,$DN289,$B$8,1),OFFSET($M$15,0,0,$B$8,1))=DY$13), 1*(_xlfn._xlws.FILTER(OFFSET($O$15,0,$DO289,$B$8,1),OFFSET($M$15,0,0,$B$8,1))=DY$14))   /   SUM(OFFSET($BO$15,0,0,$B$14,1)) + $B$18/($B$19*$B$19*($DN289&lt;&gt;$DO289) + $B$19*($DN289=$DO289))</f>
        <v>3.7037037037037035E-4</v>
      </c>
      <c r="DZ289" s="10" cm="1">
        <f t="array" aca="1" ref="DZ289" ca="1">(1-$B$18)*SUMPRODUCT(OFFSET($BO$15,0,0,$B$14,1), 1*(_xlfn._xlws.FILTER(OFFSET($O$15,0,$DN289,$B$8,1),OFFSET($M$15,0,0,$B$8,1))=DZ$13), 1*(_xlfn._xlws.FILTER(OFFSET($O$15,0,$DO289,$B$8,1),OFFSET($M$15,0,0,$B$8,1))=DZ$14))   /   SUM(OFFSET($BO$15,0,0,$B$14,1)) + $B$18/($B$19*$B$19*($DN289&lt;&gt;$DO289) + $B$19*($DN289=$DO289))</f>
        <v>3.7037037037037035E-4</v>
      </c>
      <c r="EA289" s="10" cm="1">
        <f t="array" aca="1" ref="EA289" ca="1">(1-$B$18)*SUMPRODUCT(OFFSET($BO$15,0,0,$B$14,1), 1*(_xlfn._xlws.FILTER(OFFSET($O$15,0,$DN289,$B$8,1),OFFSET($M$15,0,0,$B$8,1))=EA$13), 1*(_xlfn._xlws.FILTER(OFFSET($O$15,0,$DO289,$B$8,1),OFFSET($M$15,0,0,$B$8,1))=EA$14))   /   SUM(OFFSET($BO$15,0,0,$B$14,1)) + $B$18/($B$19*$B$19*($DN289&lt;&gt;$DO289) + $B$19*($DN289=$DO289))</f>
        <v>3.7037037037037035E-4</v>
      </c>
      <c r="EB289" s="10" cm="1">
        <f t="array" aca="1" ref="EB289" ca="1">(1-$B$18)*SUMPRODUCT(OFFSET($BO$15,0,0,$B$14,1), 1*(_xlfn._xlws.FILTER(OFFSET($O$15,0,$DN289,$B$8,1),OFFSET($M$15,0,0,$B$8,1))=EB$13), 1*(_xlfn._xlws.FILTER(OFFSET($O$15,0,$DO289,$B$8,1),OFFSET($M$15,0,0,$B$8,1))=EB$14))   /   SUM(OFFSET($BO$15,0,0,$B$14,1)) + $B$18/($B$19*$B$19*($DN289&lt;&gt;$DO289) + $B$19*($DN289=$DO289))</f>
        <v>3.7037037037037035E-4</v>
      </c>
      <c r="EC289" s="10" cm="1">
        <f t="array" aca="1" ref="EC289" ca="1">(1-$B$18)*SUMPRODUCT(OFFSET($BO$15,0,0,$B$14,1), 1*(_xlfn._xlws.FILTER(OFFSET($O$15,0,$DN289,$B$8,1),OFFSET($M$15,0,0,$B$8,1))=EC$13), 1*(_xlfn._xlws.FILTER(OFFSET($O$15,0,$DO289,$B$8,1),OFFSET($M$15,0,0,$B$8,1))=EC$14))   /   SUM(OFFSET($BO$15,0,0,$B$14,1)) + $B$18/($B$19*$B$19*($DN289&lt;&gt;$DO289) + $B$19*($DN289=$DO289))</f>
        <v>3.7037037037037035E-4</v>
      </c>
      <c r="ED289" s="10" cm="1">
        <f t="array" aca="1" ref="ED289" ca="1">(1-$B$18)*SUMPRODUCT(OFFSET($BO$15,0,0,$B$14,1), 1*(_xlfn._xlws.FILTER(OFFSET($O$15,0,$DN289,$B$8,1),OFFSET($M$15,0,0,$B$8,1))=ED$13), 1*(_xlfn._xlws.FILTER(OFFSET($O$15,0,$DO289,$B$8,1),OFFSET($M$15,0,0,$B$8,1))=ED$14))   /   SUM(OFFSET($BO$15,0,0,$B$14,1)) + $B$18/($B$19*$B$19*($DN289&lt;&gt;$DO289) + $B$19*($DN289=$DO289))</f>
        <v>3.7037037037037035E-4</v>
      </c>
      <c r="EE289" s="10" cm="1">
        <f t="array" aca="1" ref="EE289" ca="1">(1-$B$18)*SUMPRODUCT(OFFSET($BO$15,0,0,$B$14,1), 1*(_xlfn._xlws.FILTER(OFFSET($O$15,0,$DN289,$B$8,1),OFFSET($M$15,0,0,$B$8,1))=EE$13), 1*(_xlfn._xlws.FILTER(OFFSET($O$15,0,$DO289,$B$8,1),OFFSET($M$15,0,0,$B$8,1))=EE$14))   /   SUM(OFFSET($BO$15,0,0,$B$14,1)) + $B$18/($B$19*$B$19*($DN289&lt;&gt;$DO289) + $B$19*($DN289=$DO289))</f>
        <v>3.7037037037037035E-4</v>
      </c>
      <c r="EF289" s="10" cm="1">
        <f t="array" aca="1" ref="EF289" ca="1">(1-$B$18)*SUMPRODUCT(OFFSET($BO$15,0,0,$B$14,1), 1*(_xlfn._xlws.FILTER(OFFSET($O$15,0,$DN289,$B$8,1),OFFSET($M$15,0,0,$B$8,1))=EF$13), 1*(_xlfn._xlws.FILTER(OFFSET($O$15,0,$DO289,$B$8,1),OFFSET($M$15,0,0,$B$8,1))=EF$14))   /   SUM(OFFSET($BO$15,0,0,$B$14,1)) + $B$18/($B$19*$B$19*($DN289&lt;&gt;$DO289) + $B$19*($DN289=$DO289))</f>
        <v>3.7037037037037035E-4</v>
      </c>
      <c r="EG289" s="10" cm="1">
        <f t="array" aca="1" ref="EG289" ca="1">(1-$B$18)*SUMPRODUCT(OFFSET($BO$15,0,0,$B$14,1), 1*(_xlfn._xlws.FILTER(OFFSET($O$15,0,$DN289,$B$8,1),OFFSET($M$15,0,0,$B$8,1))=EG$13), 1*(_xlfn._xlws.FILTER(OFFSET($O$15,0,$DO289,$B$8,1),OFFSET($M$15,0,0,$B$8,1))=EG$14))   /   SUM(OFFSET($BO$15,0,0,$B$14,1)) + $B$18/($B$19*$B$19*($DN289&lt;&gt;$DO289) + $B$19*($DN289=$DO289))</f>
        <v>3.7037037037037035E-4</v>
      </c>
      <c r="EH289" s="10" cm="1">
        <f t="array" aca="1" ref="EH289" ca="1">(1-$B$18)*SUMPRODUCT(OFFSET($BO$15,0,0,$B$14,1), 1*(_xlfn._xlws.FILTER(OFFSET($O$15,0,$DN289,$B$8,1),OFFSET($M$15,0,0,$B$8,1))=EH$13), 1*(_xlfn._xlws.FILTER(OFFSET($O$15,0,$DO289,$B$8,1),OFFSET($M$15,0,0,$B$8,1))=EH$14))   /   SUM(OFFSET($BO$15,0,0,$B$14,1)) + $B$18/($B$19*$B$19*($DN289&lt;&gt;$DO289) + $B$19*($DN289=$DO289))</f>
        <v>3.7037037037037035E-4</v>
      </c>
      <c r="EI289" s="10" cm="1">
        <f t="array" aca="1" ref="EI289" ca="1">(1-$B$18)*SUMPRODUCT(OFFSET($BO$15,0,0,$B$14,1), 1*(_xlfn._xlws.FILTER(OFFSET($O$15,0,$DN289,$B$8,1),OFFSET($M$15,0,0,$B$8,1))=EI$13), 1*(_xlfn._xlws.FILTER(OFFSET($O$15,0,$DO289,$B$8,1),OFFSET($M$15,0,0,$B$8,1))=EI$14))   /   SUM(OFFSET($BO$15,0,0,$B$14,1)) + $B$18/($B$19*$B$19*($DN289&lt;&gt;$DO289) + $B$19*($DN289=$DO289))</f>
        <v>3.7037037037037035E-4</v>
      </c>
      <c r="EJ289" s="10" cm="1">
        <f t="array" aca="1" ref="EJ289" ca="1">(1-$B$18)*SUMPRODUCT(OFFSET($BO$15,0,0,$B$14,1), 1*(_xlfn._xlws.FILTER(OFFSET($O$15,0,$DN289,$B$8,1),OFFSET($M$15,0,0,$B$8,1))=EJ$13), 1*(_xlfn._xlws.FILTER(OFFSET($O$15,0,$DO289,$B$8,1),OFFSET($M$15,0,0,$B$8,1))=EJ$14))   /   SUM(OFFSET($BO$15,0,0,$B$14,1)) + $B$18/($B$19*$B$19*($DN289&lt;&gt;$DO289) + $B$19*($DN289=$DO289))</f>
        <v>3.7037037037037035E-4</v>
      </c>
      <c r="EK289" s="10" cm="1">
        <f t="array" aca="1" ref="EK289" ca="1">(1-$B$18)*SUMPRODUCT(OFFSET($BO$15,0,0,$B$14,1), 1*(_xlfn._xlws.FILTER(OFFSET($O$15,0,$DN289,$B$8,1),OFFSET($M$15,0,0,$B$8,1))=EK$13), 1*(_xlfn._xlws.FILTER(OFFSET($O$15,0,$DO289,$B$8,1),OFFSET($M$15,0,0,$B$8,1))=EK$14))   /   SUM(OFFSET($BO$15,0,0,$B$14,1)) + $B$18/($B$19*$B$19*($DN289&lt;&gt;$DO289) + $B$19*($DN289=$DO289))</f>
        <v>3.7037037037037035E-4</v>
      </c>
      <c r="EL289" s="10" cm="1">
        <f t="array" aca="1" ref="EL289" ca="1">(1-$B$18)*SUMPRODUCT(OFFSET($BO$15,0,0,$B$14,1), 1*(_xlfn._xlws.FILTER(OFFSET($O$15,0,$DN289,$B$8,1),OFFSET($M$15,0,0,$B$8,1))=EL$13), 1*(_xlfn._xlws.FILTER(OFFSET($O$15,0,$DO289,$B$8,1),OFFSET($M$15,0,0,$B$8,1))=EL$14))   /   SUM(OFFSET($BO$15,0,0,$B$14,1)) + $B$18/($B$19*$B$19*($DN289&lt;&gt;$DO289) + $B$19*($DN289=$DO289))</f>
        <v>0.97037037037037033</v>
      </c>
      <c r="EM289" s="10" cm="1">
        <f t="array" aca="1" ref="EM289" ca="1">(1-$B$18)*SUMPRODUCT(OFFSET($BO$15,0,0,$B$14,1), 1*(_xlfn._xlws.FILTER(OFFSET($O$15,0,$DN289,$B$8,1),OFFSET($M$15,0,0,$B$8,1))=EM$13), 1*(_xlfn._xlws.FILTER(OFFSET($O$15,0,$DO289,$B$8,1),OFFSET($M$15,0,0,$B$8,1))=EM$14))   /   SUM(OFFSET($BO$15,0,0,$B$14,1)) + $B$18/($B$19*$B$19*($DN289&lt;&gt;$DO289) + $B$19*($DN289=$DO289))</f>
        <v>3.7037037037037035E-4</v>
      </c>
      <c r="EN289" s="10" cm="1">
        <f t="array" aca="1" ref="EN289" ca="1">(1-$B$18)*SUMPRODUCT(OFFSET($BO$15,0,0,$B$14,1), 1*(_xlfn._xlws.FILTER(OFFSET($O$15,0,$DN289,$B$8,1),OFFSET($M$15,0,0,$B$8,1))=EN$13), 1*(_xlfn._xlws.FILTER(OFFSET($O$15,0,$DO289,$B$8,1),OFFSET($M$15,0,0,$B$8,1))=EN$14))   /   SUM(OFFSET($BO$15,0,0,$B$14,1)) + $B$18/($B$19*$B$19*($DN289&lt;&gt;$DO289) + $B$19*($DN289=$DO289))</f>
        <v>3.7037037037037035E-4</v>
      </c>
      <c r="EO289" s="10" cm="1">
        <f t="array" aca="1" ref="EO289" ca="1">(1-$B$18)*SUMPRODUCT(OFFSET($BO$15,0,0,$B$14,1), 1*(_xlfn._xlws.FILTER(OFFSET($O$15,0,$DN289,$B$8,1),OFFSET($M$15,0,0,$B$8,1))=EO$13), 1*(_xlfn._xlws.FILTER(OFFSET($O$15,0,$DO289,$B$8,1),OFFSET($M$15,0,0,$B$8,1))=EO$14))   /   SUM(OFFSET($BO$15,0,0,$B$14,1)) + $B$18/($B$19*$B$19*($DN289&lt;&gt;$DO289) + $B$19*($DN289=$DO289))</f>
        <v>3.7037037037037035E-4</v>
      </c>
      <c r="EP289" s="10" cm="1">
        <f t="array" aca="1" ref="EP289" ca="1">(1-$B$18)*SUMPRODUCT(OFFSET($BO$15,0,0,$B$14,1), 1*(_xlfn._xlws.FILTER(OFFSET($O$15,0,$DN289,$B$8,1),OFFSET($M$15,0,0,$B$8,1))=EP$13), 1*(_xlfn._xlws.FILTER(OFFSET($O$15,0,$DO289,$B$8,1),OFFSET($M$15,0,0,$B$8,1))=EP$14))   /   SUM(OFFSET($BO$15,0,0,$B$14,1)) + $B$18/($B$19*$B$19*($DN289&lt;&gt;$DO289) + $B$19*($DN289=$DO289))</f>
        <v>3.7037037037037035E-4</v>
      </c>
      <c r="EQ289" s="10" cm="1">
        <f t="array" aca="1" ref="EQ289" ca="1">(1-$B$18)*SUMPRODUCT(OFFSET($BO$15,0,0,$B$14,1), 1*(_xlfn._xlws.FILTER(OFFSET($O$15,0,$DN289,$B$8,1),OFFSET($M$15,0,0,$B$8,1))=EQ$13), 1*(_xlfn._xlws.FILTER(OFFSET($O$15,0,$DO289,$B$8,1),OFFSET($M$15,0,0,$B$8,1))=EQ$14))   /   SUM(OFFSET($BO$15,0,0,$B$14,1)) + $B$18/($B$19*$B$19*($DN289&lt;&gt;$DO289) + $B$19*($DN289=$DO289))</f>
        <v>3.7037037037037035E-4</v>
      </c>
      <c r="ER289" s="10" cm="1">
        <f t="array" aca="1" ref="ER289" ca="1">(1-$B$18)*SUMPRODUCT(OFFSET($BO$15,0,0,$B$14,1), 1*(_xlfn._xlws.FILTER(OFFSET($O$15,0,$DN289,$B$8,1),OFFSET($M$15,0,0,$B$8,1))=ER$13), 1*(_xlfn._xlws.FILTER(OFFSET($O$15,0,$DO289,$B$8,1),OFFSET($M$15,0,0,$B$8,1))=ER$14))   /   SUM(OFFSET($BO$15,0,0,$B$14,1)) + $B$18/($B$19*$B$19*($DN289&lt;&gt;$DO289) + $B$19*($DN289=$DO289))</f>
        <v>3.7037037037037035E-4</v>
      </c>
      <c r="ES289" s="10" cm="1">
        <f t="array" aca="1" ref="ES289" ca="1">(1-$B$18)*SUMPRODUCT(OFFSET($BO$15,0,0,$B$14,1), 1*(_xlfn._xlws.FILTER(OFFSET($O$15,0,$DN289,$B$8,1),OFFSET($M$15,0,0,$B$8,1))=ES$13), 1*(_xlfn._xlws.FILTER(OFFSET($O$15,0,$DO289,$B$8,1),OFFSET($M$15,0,0,$B$8,1))=ES$14))   /   SUM(OFFSET($BO$15,0,0,$B$14,1)) + $B$18/($B$19*$B$19*($DN289&lt;&gt;$DO289) + $B$19*($DN289=$DO289))</f>
        <v>3.7037037037037035E-4</v>
      </c>
      <c r="ET289" s="10" cm="1">
        <f t="array" aca="1" ref="ET289" ca="1">(1-$B$18)*SUMPRODUCT(OFFSET($BO$15,0,0,$B$14,1), 1*(_xlfn._xlws.FILTER(OFFSET($O$15,0,$DN289,$B$8,1),OFFSET($M$15,0,0,$B$8,1))=ET$13), 1*(_xlfn._xlws.FILTER(OFFSET($O$15,0,$DO289,$B$8,1),OFFSET($M$15,0,0,$B$8,1))=ET$14))   /   SUM(OFFSET($BO$15,0,0,$B$14,1)) + $B$18/($B$19*$B$19*($DN289&lt;&gt;$DO289) + $B$19*($DN289=$DO289))</f>
        <v>3.7037037037037035E-4</v>
      </c>
      <c r="EU289" s="10" cm="1">
        <f t="array" aca="1" ref="EU289" ca="1">(1-$B$18)*SUMPRODUCT(OFFSET($BO$15,0,0,$B$14,1), 1*(_xlfn._xlws.FILTER(OFFSET($O$15,0,$DN289,$B$8,1),OFFSET($M$15,0,0,$B$8,1))=EU$13), 1*(_xlfn._xlws.FILTER(OFFSET($O$15,0,$DO289,$B$8,1),OFFSET($M$15,0,0,$B$8,1))=EU$14))   /   SUM(OFFSET($BO$15,0,0,$B$14,1)) + $B$18/($B$19*$B$19*($DN289&lt;&gt;$DO289) + $B$19*($DN289=$DO289))</f>
        <v>3.7037037037037035E-4</v>
      </c>
      <c r="EV289" s="10" cm="1">
        <f t="array" aca="1" ref="EV289" ca="1">(1-$B$18)*SUMPRODUCT(OFFSET($BO$15,0,0,$B$14,1), 1*(_xlfn._xlws.FILTER(OFFSET($O$15,0,$DN289,$B$8,1),OFFSET($M$15,0,0,$B$8,1))=EV$13), 1*(_xlfn._xlws.FILTER(OFFSET($O$15,0,$DO289,$B$8,1),OFFSET($M$15,0,0,$B$8,1))=EV$14))   /   SUM(OFFSET($BO$15,0,0,$B$14,1)) + $B$18/($B$19*$B$19*($DN289&lt;&gt;$DO289) + $B$19*($DN289=$DO289))</f>
        <v>3.7037037037037035E-4</v>
      </c>
      <c r="EW289" s="10" cm="1">
        <f t="array" aca="1" ref="EW289" ca="1">(1-$B$18)*SUMPRODUCT(OFFSET($BO$15,0,0,$B$14,1), 1*(_xlfn._xlws.FILTER(OFFSET($O$15,0,$DN289,$B$8,1),OFFSET($M$15,0,0,$B$8,1))=EW$13), 1*(_xlfn._xlws.FILTER(OFFSET($O$15,0,$DO289,$B$8,1),OFFSET($M$15,0,0,$B$8,1))=EW$14))   /   SUM(OFFSET($BO$15,0,0,$B$14,1)) + $B$18/($B$19*$B$19*($DN289&lt;&gt;$DO289) + $B$19*($DN289=$DO289))</f>
        <v>3.7037037037037035E-4</v>
      </c>
      <c r="EX289" s="10" cm="1">
        <f t="array" aca="1" ref="EX289" ca="1">(1-$B$18)*SUMPRODUCT(OFFSET($BO$15,0,0,$B$14,1), 1*(_xlfn._xlws.FILTER(OFFSET($O$15,0,$DN289,$B$8,1),OFFSET($M$15,0,0,$B$8,1))=EX$13), 1*(_xlfn._xlws.FILTER(OFFSET($O$15,0,$DO289,$B$8,1),OFFSET($M$15,0,0,$B$8,1))=EX$14))   /   SUM(OFFSET($BO$15,0,0,$B$14,1)) + $B$18/($B$19*$B$19*($DN289&lt;&gt;$DO289) + $B$19*($DN289=$DO289))</f>
        <v>3.7037037037037035E-4</v>
      </c>
      <c r="EY289" s="10" cm="1">
        <f t="array" aca="1" ref="EY289" ca="1">(1-$B$18)*SUMPRODUCT(OFFSET($BO$15,0,0,$B$14,1), 1*(_xlfn._xlws.FILTER(OFFSET($O$15,0,$DN289,$B$8,1),OFFSET($M$15,0,0,$B$8,1))=EY$13), 1*(_xlfn._xlws.FILTER(OFFSET($O$15,0,$DO289,$B$8,1),OFFSET($M$15,0,0,$B$8,1))=EY$14))   /   SUM(OFFSET($BO$15,0,0,$B$14,1)) + $B$18/($B$19*$B$19*($DN289&lt;&gt;$DO289) + $B$19*($DN289=$DO289))</f>
        <v>3.7037037037037035E-4</v>
      </c>
      <c r="EZ289" s="10" cm="1">
        <f t="array" aca="1" ref="EZ289" ca="1">(1-$B$18)*SUMPRODUCT(OFFSET($BO$15,0,0,$B$14,1), 1*(_xlfn._xlws.FILTER(OFFSET($O$15,0,$DN289,$B$8,1),OFFSET($M$15,0,0,$B$8,1))=EZ$13), 1*(_xlfn._xlws.FILTER(OFFSET($O$15,0,$DO289,$B$8,1),OFFSET($M$15,0,0,$B$8,1))=EZ$14))   /   SUM(OFFSET($BO$15,0,0,$B$14,1)) + $B$18/($B$19*$B$19*($DN289&lt;&gt;$DO289) + $B$19*($DN289=$DO289))</f>
        <v>3.7037037037037035E-4</v>
      </c>
      <c r="FA289" s="10" cm="1">
        <f t="array" aca="1" ref="FA289" ca="1">(1-$B$18)*SUMPRODUCT(OFFSET($BO$15,0,0,$B$14,1), 1*(_xlfn._xlws.FILTER(OFFSET($O$15,0,$DN289,$B$8,1),OFFSET($M$15,0,0,$B$8,1))=FA$13), 1*(_xlfn._xlws.FILTER(OFFSET($O$15,0,$DO289,$B$8,1),OFFSET($M$15,0,0,$B$8,1))=FA$14))   /   SUM(OFFSET($BO$15,0,0,$B$14,1)) + $B$18/($B$19*$B$19*($DN289&lt;&gt;$DO289) + $B$19*($DN289=$DO289))</f>
        <v>3.7037037037037035E-4</v>
      </c>
      <c r="FB289" s="10" cm="1">
        <f t="array" aca="1" ref="FB289" ca="1">(1-$B$18)*SUMPRODUCT(OFFSET($BO$15,0,0,$B$14,1), 1*(_xlfn._xlws.FILTER(OFFSET($O$15,0,$DN289,$B$8,1),OFFSET($M$15,0,0,$B$8,1))=FB$13), 1*(_xlfn._xlws.FILTER(OFFSET($O$15,0,$DO289,$B$8,1),OFFSET($M$15,0,0,$B$8,1))=FB$14))   /   SUM(OFFSET($BO$15,0,0,$B$14,1)) + $B$18/($B$19*$B$19*($DN289&lt;&gt;$DO289) + $B$19*($DN289=$DO289))</f>
        <v>3.7037037037037035E-4</v>
      </c>
      <c r="FC289" s="10" cm="1">
        <f t="array" aca="1" ref="FC289" ca="1">(1-$B$18)*SUMPRODUCT(OFFSET($BO$15,0,0,$B$14,1), 1*(_xlfn._xlws.FILTER(OFFSET($O$15,0,$DN289,$B$8,1),OFFSET($M$15,0,0,$B$8,1))=FC$13), 1*(_xlfn._xlws.FILTER(OFFSET($O$15,0,$DO289,$B$8,1),OFFSET($M$15,0,0,$B$8,1))=FC$14))   /   SUM(OFFSET($BO$15,0,0,$B$14,1)) + $B$18/($B$19*$B$19*($DN289&lt;&gt;$DO289) + $B$19*($DN289=$DO289))</f>
        <v>3.7037037037037035E-4</v>
      </c>
      <c r="FD289" s="10" cm="1">
        <f t="array" aca="1" ref="FD289" ca="1">(1-$B$18)*SUMPRODUCT(OFFSET($BO$15,0,0,$B$14,1), 1*(_xlfn._xlws.FILTER(OFFSET($O$15,0,$DN289,$B$8,1),OFFSET($M$15,0,0,$B$8,1))=FD$13), 1*(_xlfn._xlws.FILTER(OFFSET($O$15,0,$DO289,$B$8,1),OFFSET($M$15,0,0,$B$8,1))=FD$14))   /   SUM(OFFSET($BO$15,0,0,$B$14,1)) + $B$18/($B$19*$B$19*($DN289&lt;&gt;$DO289) + $B$19*($DN289=$DO289))</f>
        <v>3.7037037037037035E-4</v>
      </c>
      <c r="FE289" s="10" cm="1">
        <f t="array" aca="1" ref="FE289" ca="1">(1-$B$18)*SUMPRODUCT(OFFSET($BO$15,0,0,$B$14,1), 1*(_xlfn._xlws.FILTER(OFFSET($O$15,0,$DN289,$B$8,1),OFFSET($M$15,0,0,$B$8,1))=FE$13), 1*(_xlfn._xlws.FILTER(OFFSET($O$15,0,$DO289,$B$8,1),OFFSET($M$15,0,0,$B$8,1))=FE$14))   /   SUM(OFFSET($BO$15,0,0,$B$14,1)) + $B$18/($B$19*$B$19*($DN289&lt;&gt;$DO289) + $B$19*($DN289=$DO289))</f>
        <v>3.7037037037037035E-4</v>
      </c>
      <c r="FF289" s="10" cm="1">
        <f t="array" aca="1" ref="FF289" ca="1">(1-$B$18)*SUMPRODUCT(OFFSET($BO$15,0,0,$B$14,1), 1*(_xlfn._xlws.FILTER(OFFSET($O$15,0,$DN289,$B$8,1),OFFSET($M$15,0,0,$B$8,1))=FF$13), 1*(_xlfn._xlws.FILTER(OFFSET($O$15,0,$DO289,$B$8,1),OFFSET($M$15,0,0,$B$8,1))=FF$14))   /   SUM(OFFSET($BO$15,0,0,$B$14,1)) + $B$18/($B$19*$B$19*($DN289&lt;&gt;$DO289) + $B$19*($DN289=$DO289))</f>
        <v>3.7037037037037035E-4</v>
      </c>
      <c r="FG289" s="10" cm="1">
        <f t="array" aca="1" ref="FG289" ca="1">(1-$B$18)*SUMPRODUCT(OFFSET($BO$15,0,0,$B$14,1), 1*(_xlfn._xlws.FILTER(OFFSET($O$15,0,$DN289,$B$8,1),OFFSET($M$15,0,0,$B$8,1))=FG$13), 1*(_xlfn._xlws.FILTER(OFFSET($O$15,0,$DO289,$B$8,1),OFFSET($M$15,0,0,$B$8,1))=FG$14))   /   SUM(OFFSET($BO$15,0,0,$B$14,1)) + $B$18/($B$19*$B$19*($DN289&lt;&gt;$DO289) + $B$19*($DN289=$DO289))</f>
        <v>3.7037037037037035E-4</v>
      </c>
      <c r="FH289" s="10" cm="1">
        <f t="array" aca="1" ref="FH289" ca="1">(1-$B$18)*SUMPRODUCT(OFFSET($BO$15,0,0,$B$14,1), 1*(_xlfn._xlws.FILTER(OFFSET($O$15,0,$DN289,$B$8,1),OFFSET($M$15,0,0,$B$8,1))=FH$13), 1*(_xlfn._xlws.FILTER(OFFSET($O$15,0,$DO289,$B$8,1),OFFSET($M$15,0,0,$B$8,1))=FH$14))   /   SUM(OFFSET($BO$15,0,0,$B$14,1)) + $B$18/($B$19*$B$19*($DN289&lt;&gt;$DO289) + $B$19*($DN289=$DO289))</f>
        <v>3.7037037037037035E-4</v>
      </c>
      <c r="FI289" s="10" cm="1">
        <f t="array" aca="1" ref="FI289" ca="1">(1-$B$18)*SUMPRODUCT(OFFSET($BO$15,0,0,$B$14,1), 1*(_xlfn._xlws.FILTER(OFFSET($O$15,0,$DN289,$B$8,1),OFFSET($M$15,0,0,$B$8,1))=FI$13), 1*(_xlfn._xlws.FILTER(OFFSET($O$15,0,$DO289,$B$8,1),OFFSET($M$15,0,0,$B$8,1))=FI$14))   /   SUM(OFFSET($BO$15,0,0,$B$14,1)) + $B$18/($B$19*$B$19*($DN289&lt;&gt;$DO289) + $B$19*($DN289=$DO289))</f>
        <v>3.7037037037037035E-4</v>
      </c>
      <c r="FJ289" s="10" cm="1">
        <f t="array" aca="1" ref="FJ289" ca="1">(1-$B$18)*SUMPRODUCT(OFFSET($BO$15,0,0,$B$14,1), 1*(_xlfn._xlws.FILTER(OFFSET($O$15,0,$DN289,$B$8,1),OFFSET($M$15,0,0,$B$8,1))=FJ$13), 1*(_xlfn._xlws.FILTER(OFFSET($O$15,0,$DO289,$B$8,1),OFFSET($M$15,0,0,$B$8,1))=FJ$14))   /   SUM(OFFSET($BO$15,0,0,$B$14,1)) + $B$18/($B$19*$B$19*($DN289&lt;&gt;$DO289) + $B$19*($DN289=$DO289))</f>
        <v>3.7037037037037035E-4</v>
      </c>
      <c r="FK289" s="10" cm="1">
        <f t="array" aca="1" ref="FK289" ca="1">(1-$B$18)*SUMPRODUCT(OFFSET($BO$15,0,0,$B$14,1), 1*(_xlfn._xlws.FILTER(OFFSET($O$15,0,$DN289,$B$8,1),OFFSET($M$15,0,0,$B$8,1))=FK$13), 1*(_xlfn._xlws.FILTER(OFFSET($O$15,0,$DO289,$B$8,1),OFFSET($M$15,0,0,$B$8,1))=FK$14))   /   SUM(OFFSET($BO$15,0,0,$B$14,1)) + $B$18/($B$19*$B$19*($DN289&lt;&gt;$DO289) + $B$19*($DN289=$DO289))</f>
        <v>3.7037037037037035E-4</v>
      </c>
      <c r="FL289" s="10" cm="1">
        <f t="array" aca="1" ref="FL289" ca="1">(1-$B$18)*SUMPRODUCT(OFFSET($BO$15,0,0,$B$14,1), 1*(_xlfn._xlws.FILTER(OFFSET($O$15,0,$DN289,$B$8,1),OFFSET($M$15,0,0,$B$8,1))=FL$13), 1*(_xlfn._xlws.FILTER(OFFSET($O$15,0,$DO289,$B$8,1),OFFSET($M$15,0,0,$B$8,1))=FL$14))   /   SUM(OFFSET($BO$15,0,0,$B$14,1)) + $B$18/($B$19*$B$19*($DN289&lt;&gt;$DO289) + $B$19*($DN289=$DO289))</f>
        <v>3.7037037037037035E-4</v>
      </c>
      <c r="FM289" s="10" cm="1">
        <f t="array" aca="1" ref="FM289" ca="1">(1-$B$18)*SUMPRODUCT(OFFSET($BO$15,0,0,$B$14,1), 1*(_xlfn._xlws.FILTER(OFFSET($O$15,0,$DN289,$B$8,1),OFFSET($M$15,0,0,$B$8,1))=FM$13), 1*(_xlfn._xlws.FILTER(OFFSET($O$15,0,$DO289,$B$8,1),OFFSET($M$15,0,0,$B$8,1))=FM$14))   /   SUM(OFFSET($BO$15,0,0,$B$14,1)) + $B$18/($B$19*$B$19*($DN289&lt;&gt;$DO289) + $B$19*($DN289=$DO289))</f>
        <v>3.7037037037037035E-4</v>
      </c>
      <c r="FN289" s="10" cm="1">
        <f t="array" aca="1" ref="FN289" ca="1">(1-$B$18)*SUMPRODUCT(OFFSET($BO$15,0,0,$B$14,1), 1*(_xlfn._xlws.FILTER(OFFSET($O$15,0,$DN289,$B$8,1),OFFSET($M$15,0,0,$B$8,1))=FN$13), 1*(_xlfn._xlws.FILTER(OFFSET($O$15,0,$DO289,$B$8,1),OFFSET($M$15,0,0,$B$8,1))=FN$14))   /   SUM(OFFSET($BO$15,0,0,$B$14,1)) + $B$18/($B$19*$B$19*($DN289&lt;&gt;$DO289) + $B$19*($DN289=$DO289))</f>
        <v>3.7037037037037035E-4</v>
      </c>
      <c r="FO289" s="10" cm="1">
        <f t="array" aca="1" ref="FO289" ca="1">(1-$B$18)*SUMPRODUCT(OFFSET($BO$15,0,0,$B$14,1), 1*(_xlfn._xlws.FILTER(OFFSET($O$15,0,$DN289,$B$8,1),OFFSET($M$15,0,0,$B$8,1))=FO$13), 1*(_xlfn._xlws.FILTER(OFFSET($O$15,0,$DO289,$B$8,1),OFFSET($M$15,0,0,$B$8,1))=FO$14))   /   SUM(OFFSET($BO$15,0,0,$B$14,1)) + $B$18/($B$19*$B$19*($DN289&lt;&gt;$DO289) + $B$19*($DN289=$DO289))</f>
        <v>3.7037037037037035E-4</v>
      </c>
      <c r="FP289" s="10" cm="1">
        <f t="array" aca="1" ref="FP289" ca="1">(1-$B$18)*SUMPRODUCT(OFFSET($BO$15,0,0,$B$14,1), 1*(_xlfn._xlws.FILTER(OFFSET($O$15,0,$DN289,$B$8,1),OFFSET($M$15,0,0,$B$8,1))=FP$13), 1*(_xlfn._xlws.FILTER(OFFSET($O$15,0,$DO289,$B$8,1),OFFSET($M$15,0,0,$B$8,1))=FP$14))   /   SUM(OFFSET($BO$15,0,0,$B$14,1)) + $B$18/($B$19*$B$19*($DN289&lt;&gt;$DO289) + $B$19*($DN289=$DO289))</f>
        <v>3.7037037037037035E-4</v>
      </c>
      <c r="FQ289" s="10" cm="1">
        <f t="array" aca="1" ref="FQ289" ca="1">(1-$B$18)*SUMPRODUCT(OFFSET($BO$15,0,0,$B$14,1), 1*(_xlfn._xlws.FILTER(OFFSET($O$15,0,$DN289,$B$8,1),OFFSET($M$15,0,0,$B$8,1))=FQ$13), 1*(_xlfn._xlws.FILTER(OFFSET($O$15,0,$DO289,$B$8,1),OFFSET($M$15,0,0,$B$8,1))=FQ$14))   /   SUM(OFFSET($BO$15,0,0,$B$14,1)) + $B$18/($B$19*$B$19*($DN289&lt;&gt;$DO289) + $B$19*($DN289=$DO289))</f>
        <v>3.7037037037037035E-4</v>
      </c>
      <c r="FR289" s="10" cm="1">
        <f t="array" aca="1" ref="FR289" ca="1">(1-$B$18)*SUMPRODUCT(OFFSET($BO$15,0,0,$B$14,1), 1*(_xlfn._xlws.FILTER(OFFSET($O$15,0,$DN289,$B$8,1),OFFSET($M$15,0,0,$B$8,1))=FR$13), 1*(_xlfn._xlws.FILTER(OFFSET($O$15,0,$DO289,$B$8,1),OFFSET($M$15,0,0,$B$8,1))=FR$14))   /   SUM(OFFSET($BO$15,0,0,$B$14,1)) + $B$18/($B$19*$B$19*($DN289&lt;&gt;$DO289) + $B$19*($DN289=$DO289))</f>
        <v>3.7037037037037035E-4</v>
      </c>
      <c r="FS289" s="10" cm="1">
        <f t="array" aca="1" ref="FS289" ca="1">(1-$B$18)*SUMPRODUCT(OFFSET($BO$15,0,0,$B$14,1), 1*(_xlfn._xlws.FILTER(OFFSET($O$15,0,$DN289,$B$8,1),OFFSET($M$15,0,0,$B$8,1))=FS$13), 1*(_xlfn._xlws.FILTER(OFFSET($O$15,0,$DO289,$B$8,1),OFFSET($M$15,0,0,$B$8,1))=FS$14))   /   SUM(OFFSET($BO$15,0,0,$B$14,1)) + $B$18/($B$19*$B$19*($DN289&lt;&gt;$DO289) + $B$19*($DN289=$DO289))</f>
        <v>3.7037037037037035E-4</v>
      </c>
      <c r="FT289" s="10" cm="1">
        <f t="array" aca="1" ref="FT289" ca="1">(1-$B$18)*SUMPRODUCT(OFFSET($BO$15,0,0,$B$14,1), 1*(_xlfn._xlws.FILTER(OFFSET($O$15,0,$DN289,$B$8,1),OFFSET($M$15,0,0,$B$8,1))=FT$13), 1*(_xlfn._xlws.FILTER(OFFSET($O$15,0,$DO289,$B$8,1),OFFSET($M$15,0,0,$B$8,1))=FT$14))   /   SUM(OFFSET($BO$15,0,0,$B$14,1)) + $B$18/($B$19*$B$19*($DN289&lt;&gt;$DO289) + $B$19*($DN289=$DO289))</f>
        <v>3.7037037037037035E-4</v>
      </c>
      <c r="FU289" s="10" cm="1">
        <f t="array" aca="1" ref="FU289" ca="1">(1-$B$18)*SUMPRODUCT(OFFSET($BO$15,0,0,$B$14,1), 1*(_xlfn._xlws.FILTER(OFFSET($O$15,0,$DN289,$B$8,1),OFFSET($M$15,0,0,$B$8,1))=FU$13), 1*(_xlfn._xlws.FILTER(OFFSET($O$15,0,$DO289,$B$8,1),OFFSET($M$15,0,0,$B$8,1))=FU$14))   /   SUM(OFFSET($BO$15,0,0,$B$14,1)) + $B$18/($B$19*$B$19*($DN289&lt;&gt;$DO289) + $B$19*($DN289=$DO289))</f>
        <v>3.7037037037037035E-4</v>
      </c>
      <c r="FV289" s="10" cm="1">
        <f t="array" aca="1" ref="FV289" ca="1">(1-$B$18)*SUMPRODUCT(OFFSET($BO$15,0,0,$B$14,1), 1*(_xlfn._xlws.FILTER(OFFSET($O$15,0,$DN289,$B$8,1),OFFSET($M$15,0,0,$B$8,1))=FV$13), 1*(_xlfn._xlws.FILTER(OFFSET($O$15,0,$DO289,$B$8,1),OFFSET($M$15,0,0,$B$8,1))=FV$14))   /   SUM(OFFSET($BO$15,0,0,$B$14,1)) + $B$18/($B$19*$B$19*($DN289&lt;&gt;$DO289) + $B$19*($DN289=$DO289))</f>
        <v>3.7037037037037035E-4</v>
      </c>
      <c r="FW289" s="10" cm="1">
        <f t="array" aca="1" ref="FW289" ca="1">(1-$B$18)*SUMPRODUCT(OFFSET($BO$15,0,0,$B$14,1), 1*(_xlfn._xlws.FILTER(OFFSET($O$15,0,$DN289,$B$8,1),OFFSET($M$15,0,0,$B$8,1))=FW$13), 1*(_xlfn._xlws.FILTER(OFFSET($O$15,0,$DO289,$B$8,1),OFFSET($M$15,0,0,$B$8,1))=FW$14))   /   SUM(OFFSET($BO$15,0,0,$B$14,1)) + $B$18/($B$19*$B$19*($DN289&lt;&gt;$DO289) + $B$19*($DN289=$DO289))</f>
        <v>3.7037037037037035E-4</v>
      </c>
      <c r="FX289" s="10" cm="1">
        <f t="array" aca="1" ref="FX289" ca="1">(1-$B$18)*SUMPRODUCT(OFFSET($BO$15,0,0,$B$14,1), 1*(_xlfn._xlws.FILTER(OFFSET($O$15,0,$DN289,$B$8,1),OFFSET($M$15,0,0,$B$8,1))=FX$13), 1*(_xlfn._xlws.FILTER(OFFSET($O$15,0,$DO289,$B$8,1),OFFSET($M$15,0,0,$B$8,1))=FX$14))   /   SUM(OFFSET($BO$15,0,0,$B$14,1)) + $B$18/($B$19*$B$19*($DN289&lt;&gt;$DO289) + $B$19*($DN289=$DO289))</f>
        <v>3.7037037037037035E-4</v>
      </c>
      <c r="FY289" s="10" cm="1">
        <f t="array" aca="1" ref="FY289" ca="1">(1-$B$18)*SUMPRODUCT(OFFSET($BO$15,0,0,$B$14,1), 1*(_xlfn._xlws.FILTER(OFFSET($O$15,0,$DN289,$B$8,1),OFFSET($M$15,0,0,$B$8,1))=FY$13), 1*(_xlfn._xlws.FILTER(OFFSET($O$15,0,$DO289,$B$8,1),OFFSET($M$15,0,0,$B$8,1))=FY$14))   /   SUM(OFFSET($BO$15,0,0,$B$14,1)) + $B$18/($B$19*$B$19*($DN289&lt;&gt;$DO289) + $B$19*($DN289=$DO289))</f>
        <v>3.7037037037037035E-4</v>
      </c>
      <c r="FZ289" s="10" cm="1">
        <f t="array" aca="1" ref="FZ289" ca="1">(1-$B$18)*SUMPRODUCT(OFFSET($BO$15,0,0,$B$14,1), 1*(_xlfn._xlws.FILTER(OFFSET($O$15,0,$DN289,$B$8,1),OFFSET($M$15,0,0,$B$8,1))=FZ$13), 1*(_xlfn._xlws.FILTER(OFFSET($O$15,0,$DO289,$B$8,1),OFFSET($M$15,0,0,$B$8,1))=FZ$14))   /   SUM(OFFSET($BO$15,0,0,$B$14,1)) + $B$18/($B$19*$B$19*($DN289&lt;&gt;$DO289) + $B$19*($DN289=$DO289))</f>
        <v>3.7037037037037035E-4</v>
      </c>
      <c r="GA289" s="10" cm="1">
        <f t="array" aca="1" ref="GA289" ca="1">(1-$B$18)*SUMPRODUCT(OFFSET($BO$15,0,0,$B$14,1), 1*(_xlfn._xlws.FILTER(OFFSET($O$15,0,$DN289,$B$8,1),OFFSET($M$15,0,0,$B$8,1))=GA$13), 1*(_xlfn._xlws.FILTER(OFFSET($O$15,0,$DO289,$B$8,1),OFFSET($M$15,0,0,$B$8,1))=GA$14))   /   SUM(OFFSET($BO$15,0,0,$B$14,1)) + $B$18/($B$19*$B$19*($DN289&lt;&gt;$DO289) + $B$19*($DN289=$DO289))</f>
        <v>3.7037037037037035E-4</v>
      </c>
    </row>
    <row r="290" spans="118:183" x14ac:dyDescent="0.2">
      <c r="DN290" cm="1">
        <f t="array" aca="1" ref="DN290" ca="1">INDEX(_xlfn.ANCHORARRAY($CP$15), 1 + INT((ROWS($DO$15:$DO290) - 1) / ROWS(_xlfn.ANCHORARRAY($CP$15))))</f>
        <v>15</v>
      </c>
      <c r="DO290" cm="1">
        <f t="array" aca="1" ref="DO290" ca="1">INDEX(_xlfn.ANCHORARRAY($CP$15),1+MOD(ROWS($DO$15:$DO290)-1,ROWS(_xlfn.ANCHORARRAY($CP$15))))</f>
        <v>9</v>
      </c>
      <c r="DP290" s="10" cm="1">
        <f t="array" aca="1" ref="DP290" ca="1">(1-$B$18)*SUMPRODUCT(OFFSET($BO$15,0,0,$B$14,1), 1*(_xlfn._xlws.FILTER(OFFSET($O$15,0,$DN290,$B$8,1),OFFSET($M$15,0,0,$B$8,1))=DP$13), 1*(_xlfn._xlws.FILTER(OFFSET($O$15,0,$DO290,$B$8,1),OFFSET($M$15,0,0,$B$8,1))=DP$14))   /   SUM(OFFSET($BO$15,0,0,$B$14,1)) + $B$18/($B$19*$B$19*($DN290&lt;&gt;$DO290) + $B$19*($DN290=$DO290))</f>
        <v>3.7037037037037035E-4</v>
      </c>
      <c r="DQ290" s="10" cm="1">
        <f t="array" aca="1" ref="DQ290" ca="1">(1-$B$18)*SUMPRODUCT(OFFSET($BO$15,0,0,$B$14,1), 1*(_xlfn._xlws.FILTER(OFFSET($O$15,0,$DN290,$B$8,1),OFFSET($M$15,0,0,$B$8,1))=DQ$13), 1*(_xlfn._xlws.FILTER(OFFSET($O$15,0,$DO290,$B$8,1),OFFSET($M$15,0,0,$B$8,1))=DQ$14))   /   SUM(OFFSET($BO$15,0,0,$B$14,1)) + $B$18/($B$19*$B$19*($DN290&lt;&gt;$DO290) + $B$19*($DN290=$DO290))</f>
        <v>3.7037037037037035E-4</v>
      </c>
      <c r="DR290" s="10" cm="1">
        <f t="array" aca="1" ref="DR290" ca="1">(1-$B$18)*SUMPRODUCT(OFFSET($BO$15,0,0,$B$14,1), 1*(_xlfn._xlws.FILTER(OFFSET($O$15,0,$DN290,$B$8,1),OFFSET($M$15,0,0,$B$8,1))=DR$13), 1*(_xlfn._xlws.FILTER(OFFSET($O$15,0,$DO290,$B$8,1),OFFSET($M$15,0,0,$B$8,1))=DR$14))   /   SUM(OFFSET($BO$15,0,0,$B$14,1)) + $B$18/($B$19*$B$19*($DN290&lt;&gt;$DO290) + $B$19*($DN290=$DO290))</f>
        <v>3.7037037037037035E-4</v>
      </c>
      <c r="DS290" s="10" cm="1">
        <f t="array" aca="1" ref="DS290" ca="1">(1-$B$18)*SUMPRODUCT(OFFSET($BO$15,0,0,$B$14,1), 1*(_xlfn._xlws.FILTER(OFFSET($O$15,0,$DN290,$B$8,1),OFFSET($M$15,0,0,$B$8,1))=DS$13), 1*(_xlfn._xlws.FILTER(OFFSET($O$15,0,$DO290,$B$8,1),OFFSET($M$15,0,0,$B$8,1))=DS$14))   /   SUM(OFFSET($BO$15,0,0,$B$14,1)) + $B$18/($B$19*$B$19*($DN290&lt;&gt;$DO290) + $B$19*($DN290=$DO290))</f>
        <v>3.7037037037037035E-4</v>
      </c>
      <c r="DT290" s="10" cm="1">
        <f t="array" aca="1" ref="DT290" ca="1">(1-$B$18)*SUMPRODUCT(OFFSET($BO$15,0,0,$B$14,1), 1*(_xlfn._xlws.FILTER(OFFSET($O$15,0,$DN290,$B$8,1),OFFSET($M$15,0,0,$B$8,1))=DT$13), 1*(_xlfn._xlws.FILTER(OFFSET($O$15,0,$DO290,$B$8,1),OFFSET($M$15,0,0,$B$8,1))=DT$14))   /   SUM(OFFSET($BO$15,0,0,$B$14,1)) + $B$18/($B$19*$B$19*($DN290&lt;&gt;$DO290) + $B$19*($DN290=$DO290))</f>
        <v>3.7037037037037035E-4</v>
      </c>
      <c r="DU290" s="10" cm="1">
        <f t="array" aca="1" ref="DU290" ca="1">(1-$B$18)*SUMPRODUCT(OFFSET($BO$15,0,0,$B$14,1), 1*(_xlfn._xlws.FILTER(OFFSET($O$15,0,$DN290,$B$8,1),OFFSET($M$15,0,0,$B$8,1))=DU$13), 1*(_xlfn._xlws.FILTER(OFFSET($O$15,0,$DO290,$B$8,1),OFFSET($M$15,0,0,$B$8,1))=DU$14))   /   SUM(OFFSET($BO$15,0,0,$B$14,1)) + $B$18/($B$19*$B$19*($DN290&lt;&gt;$DO290) + $B$19*($DN290=$DO290))</f>
        <v>3.7037037037037035E-4</v>
      </c>
      <c r="DV290" s="10" cm="1">
        <f t="array" aca="1" ref="DV290" ca="1">(1-$B$18)*SUMPRODUCT(OFFSET($BO$15,0,0,$B$14,1), 1*(_xlfn._xlws.FILTER(OFFSET($O$15,0,$DN290,$B$8,1),OFFSET($M$15,0,0,$B$8,1))=DV$13), 1*(_xlfn._xlws.FILTER(OFFSET($O$15,0,$DO290,$B$8,1),OFFSET($M$15,0,0,$B$8,1))=DV$14))   /   SUM(OFFSET($BO$15,0,0,$B$14,1)) + $B$18/($B$19*$B$19*($DN290&lt;&gt;$DO290) + $B$19*($DN290=$DO290))</f>
        <v>3.7037037037037035E-4</v>
      </c>
      <c r="DW290" s="10" cm="1">
        <f t="array" aca="1" ref="DW290" ca="1">(1-$B$18)*SUMPRODUCT(OFFSET($BO$15,0,0,$B$14,1), 1*(_xlfn._xlws.FILTER(OFFSET($O$15,0,$DN290,$B$8,1),OFFSET($M$15,0,0,$B$8,1))=DW$13), 1*(_xlfn._xlws.FILTER(OFFSET($O$15,0,$DO290,$B$8,1),OFFSET($M$15,0,0,$B$8,1))=DW$14))   /   SUM(OFFSET($BO$15,0,0,$B$14,1)) + $B$18/($B$19*$B$19*($DN290&lt;&gt;$DO290) + $B$19*($DN290=$DO290))</f>
        <v>3.7037037037037035E-4</v>
      </c>
      <c r="DX290" s="10" cm="1">
        <f t="array" aca="1" ref="DX290" ca="1">(1-$B$18)*SUMPRODUCT(OFFSET($BO$15,0,0,$B$14,1), 1*(_xlfn._xlws.FILTER(OFFSET($O$15,0,$DN290,$B$8,1),OFFSET($M$15,0,0,$B$8,1))=DX$13), 1*(_xlfn._xlws.FILTER(OFFSET($O$15,0,$DO290,$B$8,1),OFFSET($M$15,0,0,$B$8,1))=DX$14))   /   SUM(OFFSET($BO$15,0,0,$B$14,1)) + $B$18/($B$19*$B$19*($DN290&lt;&gt;$DO290) + $B$19*($DN290=$DO290))</f>
        <v>3.7037037037037035E-4</v>
      </c>
      <c r="DY290" s="10" cm="1">
        <f t="array" aca="1" ref="DY290" ca="1">(1-$B$18)*SUMPRODUCT(OFFSET($BO$15,0,0,$B$14,1), 1*(_xlfn._xlws.FILTER(OFFSET($O$15,0,$DN290,$B$8,1),OFFSET($M$15,0,0,$B$8,1))=DY$13), 1*(_xlfn._xlws.FILTER(OFFSET($O$15,0,$DO290,$B$8,1),OFFSET($M$15,0,0,$B$8,1))=DY$14))   /   SUM(OFFSET($BO$15,0,0,$B$14,1)) + $B$18/($B$19*$B$19*($DN290&lt;&gt;$DO290) + $B$19*($DN290=$DO290))</f>
        <v>3.7037037037037035E-4</v>
      </c>
      <c r="DZ290" s="10" cm="1">
        <f t="array" aca="1" ref="DZ290" ca="1">(1-$B$18)*SUMPRODUCT(OFFSET($BO$15,0,0,$B$14,1), 1*(_xlfn._xlws.FILTER(OFFSET($O$15,0,$DN290,$B$8,1),OFFSET($M$15,0,0,$B$8,1))=DZ$13), 1*(_xlfn._xlws.FILTER(OFFSET($O$15,0,$DO290,$B$8,1),OFFSET($M$15,0,0,$B$8,1))=DZ$14))   /   SUM(OFFSET($BO$15,0,0,$B$14,1)) + $B$18/($B$19*$B$19*($DN290&lt;&gt;$DO290) + $B$19*($DN290=$DO290))</f>
        <v>3.7037037037037035E-4</v>
      </c>
      <c r="EA290" s="10" cm="1">
        <f t="array" aca="1" ref="EA290" ca="1">(1-$B$18)*SUMPRODUCT(OFFSET($BO$15,0,0,$B$14,1), 1*(_xlfn._xlws.FILTER(OFFSET($O$15,0,$DN290,$B$8,1),OFFSET($M$15,0,0,$B$8,1))=EA$13), 1*(_xlfn._xlws.FILTER(OFFSET($O$15,0,$DO290,$B$8,1),OFFSET($M$15,0,0,$B$8,1))=EA$14))   /   SUM(OFFSET($BO$15,0,0,$B$14,1)) + $B$18/($B$19*$B$19*($DN290&lt;&gt;$DO290) + $B$19*($DN290=$DO290))</f>
        <v>3.7037037037037035E-4</v>
      </c>
      <c r="EB290" s="10" cm="1">
        <f t="array" aca="1" ref="EB290" ca="1">(1-$B$18)*SUMPRODUCT(OFFSET($BO$15,0,0,$B$14,1), 1*(_xlfn._xlws.FILTER(OFFSET($O$15,0,$DN290,$B$8,1),OFFSET($M$15,0,0,$B$8,1))=EB$13), 1*(_xlfn._xlws.FILTER(OFFSET($O$15,0,$DO290,$B$8,1),OFFSET($M$15,0,0,$B$8,1))=EB$14))   /   SUM(OFFSET($BO$15,0,0,$B$14,1)) + $B$18/($B$19*$B$19*($DN290&lt;&gt;$DO290) + $B$19*($DN290=$DO290))</f>
        <v>3.7037037037037035E-4</v>
      </c>
      <c r="EC290" s="10" cm="1">
        <f t="array" aca="1" ref="EC290" ca="1">(1-$B$18)*SUMPRODUCT(OFFSET($BO$15,0,0,$B$14,1), 1*(_xlfn._xlws.FILTER(OFFSET($O$15,0,$DN290,$B$8,1),OFFSET($M$15,0,0,$B$8,1))=EC$13), 1*(_xlfn._xlws.FILTER(OFFSET($O$15,0,$DO290,$B$8,1),OFFSET($M$15,0,0,$B$8,1))=EC$14))   /   SUM(OFFSET($BO$15,0,0,$B$14,1)) + $B$18/($B$19*$B$19*($DN290&lt;&gt;$DO290) + $B$19*($DN290=$DO290))</f>
        <v>3.7037037037037035E-4</v>
      </c>
      <c r="ED290" s="10" cm="1">
        <f t="array" aca="1" ref="ED290" ca="1">(1-$B$18)*SUMPRODUCT(OFFSET($BO$15,0,0,$B$14,1), 1*(_xlfn._xlws.FILTER(OFFSET($O$15,0,$DN290,$B$8,1),OFFSET($M$15,0,0,$B$8,1))=ED$13), 1*(_xlfn._xlws.FILTER(OFFSET($O$15,0,$DO290,$B$8,1),OFFSET($M$15,0,0,$B$8,1))=ED$14))   /   SUM(OFFSET($BO$15,0,0,$B$14,1)) + $B$18/($B$19*$B$19*($DN290&lt;&gt;$DO290) + $B$19*($DN290=$DO290))</f>
        <v>3.7037037037037035E-4</v>
      </c>
      <c r="EE290" s="10" cm="1">
        <f t="array" aca="1" ref="EE290" ca="1">(1-$B$18)*SUMPRODUCT(OFFSET($BO$15,0,0,$B$14,1), 1*(_xlfn._xlws.FILTER(OFFSET($O$15,0,$DN290,$B$8,1),OFFSET($M$15,0,0,$B$8,1))=EE$13), 1*(_xlfn._xlws.FILTER(OFFSET($O$15,0,$DO290,$B$8,1),OFFSET($M$15,0,0,$B$8,1))=EE$14))   /   SUM(OFFSET($BO$15,0,0,$B$14,1)) + $B$18/($B$19*$B$19*($DN290&lt;&gt;$DO290) + $B$19*($DN290=$DO290))</f>
        <v>3.7037037037037035E-4</v>
      </c>
      <c r="EF290" s="10" cm="1">
        <f t="array" aca="1" ref="EF290" ca="1">(1-$B$18)*SUMPRODUCT(OFFSET($BO$15,0,0,$B$14,1), 1*(_xlfn._xlws.FILTER(OFFSET($O$15,0,$DN290,$B$8,1),OFFSET($M$15,0,0,$B$8,1))=EF$13), 1*(_xlfn._xlws.FILTER(OFFSET($O$15,0,$DO290,$B$8,1),OFFSET($M$15,0,0,$B$8,1))=EF$14))   /   SUM(OFFSET($BO$15,0,0,$B$14,1)) + $B$18/($B$19*$B$19*($DN290&lt;&gt;$DO290) + $B$19*($DN290=$DO290))</f>
        <v>3.7037037037037035E-4</v>
      </c>
      <c r="EG290" s="10" cm="1">
        <f t="array" aca="1" ref="EG290" ca="1">(1-$B$18)*SUMPRODUCT(OFFSET($BO$15,0,0,$B$14,1), 1*(_xlfn._xlws.FILTER(OFFSET($O$15,0,$DN290,$B$8,1),OFFSET($M$15,0,0,$B$8,1))=EG$13), 1*(_xlfn._xlws.FILTER(OFFSET($O$15,0,$DO290,$B$8,1),OFFSET($M$15,0,0,$B$8,1))=EG$14))   /   SUM(OFFSET($BO$15,0,0,$B$14,1)) + $B$18/($B$19*$B$19*($DN290&lt;&gt;$DO290) + $B$19*($DN290=$DO290))</f>
        <v>3.7037037037037035E-4</v>
      </c>
      <c r="EH290" s="10" cm="1">
        <f t="array" aca="1" ref="EH290" ca="1">(1-$B$18)*SUMPRODUCT(OFFSET($BO$15,0,0,$B$14,1), 1*(_xlfn._xlws.FILTER(OFFSET($O$15,0,$DN290,$B$8,1),OFFSET($M$15,0,0,$B$8,1))=EH$13), 1*(_xlfn._xlws.FILTER(OFFSET($O$15,0,$DO290,$B$8,1),OFFSET($M$15,0,0,$B$8,1))=EH$14))   /   SUM(OFFSET($BO$15,0,0,$B$14,1)) + $B$18/($B$19*$B$19*($DN290&lt;&gt;$DO290) + $B$19*($DN290=$DO290))</f>
        <v>3.7037037037037035E-4</v>
      </c>
      <c r="EI290" s="10" cm="1">
        <f t="array" aca="1" ref="EI290" ca="1">(1-$B$18)*SUMPRODUCT(OFFSET($BO$15,0,0,$B$14,1), 1*(_xlfn._xlws.FILTER(OFFSET($O$15,0,$DN290,$B$8,1),OFFSET($M$15,0,0,$B$8,1))=EI$13), 1*(_xlfn._xlws.FILTER(OFFSET($O$15,0,$DO290,$B$8,1),OFFSET($M$15,0,0,$B$8,1))=EI$14))   /   SUM(OFFSET($BO$15,0,0,$B$14,1)) + $B$18/($B$19*$B$19*($DN290&lt;&gt;$DO290) + $B$19*($DN290=$DO290))</f>
        <v>3.7037037037037035E-4</v>
      </c>
      <c r="EJ290" s="10" cm="1">
        <f t="array" aca="1" ref="EJ290" ca="1">(1-$B$18)*SUMPRODUCT(OFFSET($BO$15,0,0,$B$14,1), 1*(_xlfn._xlws.FILTER(OFFSET($O$15,0,$DN290,$B$8,1),OFFSET($M$15,0,0,$B$8,1))=EJ$13), 1*(_xlfn._xlws.FILTER(OFFSET($O$15,0,$DO290,$B$8,1),OFFSET($M$15,0,0,$B$8,1))=EJ$14))   /   SUM(OFFSET($BO$15,0,0,$B$14,1)) + $B$18/($B$19*$B$19*($DN290&lt;&gt;$DO290) + $B$19*($DN290=$DO290))</f>
        <v>3.7037037037037035E-4</v>
      </c>
      <c r="EK290" s="10" cm="1">
        <f t="array" aca="1" ref="EK290" ca="1">(1-$B$18)*SUMPRODUCT(OFFSET($BO$15,0,0,$B$14,1), 1*(_xlfn._xlws.FILTER(OFFSET($O$15,0,$DN290,$B$8,1),OFFSET($M$15,0,0,$B$8,1))=EK$13), 1*(_xlfn._xlws.FILTER(OFFSET($O$15,0,$DO290,$B$8,1),OFFSET($M$15,0,0,$B$8,1))=EK$14))   /   SUM(OFFSET($BO$15,0,0,$B$14,1)) + $B$18/($B$19*$B$19*($DN290&lt;&gt;$DO290) + $B$19*($DN290=$DO290))</f>
        <v>3.7037037037037035E-4</v>
      </c>
      <c r="EL290" s="10" cm="1">
        <f t="array" aca="1" ref="EL290" ca="1">(1-$B$18)*SUMPRODUCT(OFFSET($BO$15,0,0,$B$14,1), 1*(_xlfn._xlws.FILTER(OFFSET($O$15,0,$DN290,$B$8,1),OFFSET($M$15,0,0,$B$8,1))=EL$13), 1*(_xlfn._xlws.FILTER(OFFSET($O$15,0,$DO290,$B$8,1),OFFSET($M$15,0,0,$B$8,1))=EL$14))   /   SUM(OFFSET($BO$15,0,0,$B$14,1)) + $B$18/($B$19*$B$19*($DN290&lt;&gt;$DO290) + $B$19*($DN290=$DO290))</f>
        <v>0.97037037037037033</v>
      </c>
      <c r="EM290" s="10" cm="1">
        <f t="array" aca="1" ref="EM290" ca="1">(1-$B$18)*SUMPRODUCT(OFFSET($BO$15,0,0,$B$14,1), 1*(_xlfn._xlws.FILTER(OFFSET($O$15,0,$DN290,$B$8,1),OFFSET($M$15,0,0,$B$8,1))=EM$13), 1*(_xlfn._xlws.FILTER(OFFSET($O$15,0,$DO290,$B$8,1),OFFSET($M$15,0,0,$B$8,1))=EM$14))   /   SUM(OFFSET($BO$15,0,0,$B$14,1)) + $B$18/($B$19*$B$19*($DN290&lt;&gt;$DO290) + $B$19*($DN290=$DO290))</f>
        <v>3.7037037037037035E-4</v>
      </c>
      <c r="EN290" s="10" cm="1">
        <f t="array" aca="1" ref="EN290" ca="1">(1-$B$18)*SUMPRODUCT(OFFSET($BO$15,0,0,$B$14,1), 1*(_xlfn._xlws.FILTER(OFFSET($O$15,0,$DN290,$B$8,1),OFFSET($M$15,0,0,$B$8,1))=EN$13), 1*(_xlfn._xlws.FILTER(OFFSET($O$15,0,$DO290,$B$8,1),OFFSET($M$15,0,0,$B$8,1))=EN$14))   /   SUM(OFFSET($BO$15,0,0,$B$14,1)) + $B$18/($B$19*$B$19*($DN290&lt;&gt;$DO290) + $B$19*($DN290=$DO290))</f>
        <v>3.7037037037037035E-4</v>
      </c>
      <c r="EO290" s="10" cm="1">
        <f t="array" aca="1" ref="EO290" ca="1">(1-$B$18)*SUMPRODUCT(OFFSET($BO$15,0,0,$B$14,1), 1*(_xlfn._xlws.FILTER(OFFSET($O$15,0,$DN290,$B$8,1),OFFSET($M$15,0,0,$B$8,1))=EO$13), 1*(_xlfn._xlws.FILTER(OFFSET($O$15,0,$DO290,$B$8,1),OFFSET($M$15,0,0,$B$8,1))=EO$14))   /   SUM(OFFSET($BO$15,0,0,$B$14,1)) + $B$18/($B$19*$B$19*($DN290&lt;&gt;$DO290) + $B$19*($DN290=$DO290))</f>
        <v>3.7037037037037035E-4</v>
      </c>
      <c r="EP290" s="10" cm="1">
        <f t="array" aca="1" ref="EP290" ca="1">(1-$B$18)*SUMPRODUCT(OFFSET($BO$15,0,0,$B$14,1), 1*(_xlfn._xlws.FILTER(OFFSET($O$15,0,$DN290,$B$8,1),OFFSET($M$15,0,0,$B$8,1))=EP$13), 1*(_xlfn._xlws.FILTER(OFFSET($O$15,0,$DO290,$B$8,1),OFFSET($M$15,0,0,$B$8,1))=EP$14))   /   SUM(OFFSET($BO$15,0,0,$B$14,1)) + $B$18/($B$19*$B$19*($DN290&lt;&gt;$DO290) + $B$19*($DN290=$DO290))</f>
        <v>3.7037037037037035E-4</v>
      </c>
      <c r="EQ290" s="10" cm="1">
        <f t="array" aca="1" ref="EQ290" ca="1">(1-$B$18)*SUMPRODUCT(OFFSET($BO$15,0,0,$B$14,1), 1*(_xlfn._xlws.FILTER(OFFSET($O$15,0,$DN290,$B$8,1),OFFSET($M$15,0,0,$B$8,1))=EQ$13), 1*(_xlfn._xlws.FILTER(OFFSET($O$15,0,$DO290,$B$8,1),OFFSET($M$15,0,0,$B$8,1))=EQ$14))   /   SUM(OFFSET($BO$15,0,0,$B$14,1)) + $B$18/($B$19*$B$19*($DN290&lt;&gt;$DO290) + $B$19*($DN290=$DO290))</f>
        <v>3.7037037037037035E-4</v>
      </c>
      <c r="ER290" s="10" cm="1">
        <f t="array" aca="1" ref="ER290" ca="1">(1-$B$18)*SUMPRODUCT(OFFSET($BO$15,0,0,$B$14,1), 1*(_xlfn._xlws.FILTER(OFFSET($O$15,0,$DN290,$B$8,1),OFFSET($M$15,0,0,$B$8,1))=ER$13), 1*(_xlfn._xlws.FILTER(OFFSET($O$15,0,$DO290,$B$8,1),OFFSET($M$15,0,0,$B$8,1))=ER$14))   /   SUM(OFFSET($BO$15,0,0,$B$14,1)) + $B$18/($B$19*$B$19*($DN290&lt;&gt;$DO290) + $B$19*($DN290=$DO290))</f>
        <v>3.7037037037037035E-4</v>
      </c>
      <c r="ES290" s="10" cm="1">
        <f t="array" aca="1" ref="ES290" ca="1">(1-$B$18)*SUMPRODUCT(OFFSET($BO$15,0,0,$B$14,1), 1*(_xlfn._xlws.FILTER(OFFSET($O$15,0,$DN290,$B$8,1),OFFSET($M$15,0,0,$B$8,1))=ES$13), 1*(_xlfn._xlws.FILTER(OFFSET($O$15,0,$DO290,$B$8,1),OFFSET($M$15,0,0,$B$8,1))=ES$14))   /   SUM(OFFSET($BO$15,0,0,$B$14,1)) + $B$18/($B$19*$B$19*($DN290&lt;&gt;$DO290) + $B$19*($DN290=$DO290))</f>
        <v>3.7037037037037035E-4</v>
      </c>
      <c r="ET290" s="10" cm="1">
        <f t="array" aca="1" ref="ET290" ca="1">(1-$B$18)*SUMPRODUCT(OFFSET($BO$15,0,0,$B$14,1), 1*(_xlfn._xlws.FILTER(OFFSET($O$15,0,$DN290,$B$8,1),OFFSET($M$15,0,0,$B$8,1))=ET$13), 1*(_xlfn._xlws.FILTER(OFFSET($O$15,0,$DO290,$B$8,1),OFFSET($M$15,0,0,$B$8,1))=ET$14))   /   SUM(OFFSET($BO$15,0,0,$B$14,1)) + $B$18/($B$19*$B$19*($DN290&lt;&gt;$DO290) + $B$19*($DN290=$DO290))</f>
        <v>3.7037037037037035E-4</v>
      </c>
      <c r="EU290" s="10" cm="1">
        <f t="array" aca="1" ref="EU290" ca="1">(1-$B$18)*SUMPRODUCT(OFFSET($BO$15,0,0,$B$14,1), 1*(_xlfn._xlws.FILTER(OFFSET($O$15,0,$DN290,$B$8,1),OFFSET($M$15,0,0,$B$8,1))=EU$13), 1*(_xlfn._xlws.FILTER(OFFSET($O$15,0,$DO290,$B$8,1),OFFSET($M$15,0,0,$B$8,1))=EU$14))   /   SUM(OFFSET($BO$15,0,0,$B$14,1)) + $B$18/($B$19*$B$19*($DN290&lt;&gt;$DO290) + $B$19*($DN290=$DO290))</f>
        <v>3.7037037037037035E-4</v>
      </c>
      <c r="EV290" s="10" cm="1">
        <f t="array" aca="1" ref="EV290" ca="1">(1-$B$18)*SUMPRODUCT(OFFSET($BO$15,0,0,$B$14,1), 1*(_xlfn._xlws.FILTER(OFFSET($O$15,0,$DN290,$B$8,1),OFFSET($M$15,0,0,$B$8,1))=EV$13), 1*(_xlfn._xlws.FILTER(OFFSET($O$15,0,$DO290,$B$8,1),OFFSET($M$15,0,0,$B$8,1))=EV$14))   /   SUM(OFFSET($BO$15,0,0,$B$14,1)) + $B$18/($B$19*$B$19*($DN290&lt;&gt;$DO290) + $B$19*($DN290=$DO290))</f>
        <v>3.7037037037037035E-4</v>
      </c>
      <c r="EW290" s="10" cm="1">
        <f t="array" aca="1" ref="EW290" ca="1">(1-$B$18)*SUMPRODUCT(OFFSET($BO$15,0,0,$B$14,1), 1*(_xlfn._xlws.FILTER(OFFSET($O$15,0,$DN290,$B$8,1),OFFSET($M$15,0,0,$B$8,1))=EW$13), 1*(_xlfn._xlws.FILTER(OFFSET($O$15,0,$DO290,$B$8,1),OFFSET($M$15,0,0,$B$8,1))=EW$14))   /   SUM(OFFSET($BO$15,0,0,$B$14,1)) + $B$18/($B$19*$B$19*($DN290&lt;&gt;$DO290) + $B$19*($DN290=$DO290))</f>
        <v>3.7037037037037035E-4</v>
      </c>
      <c r="EX290" s="10" cm="1">
        <f t="array" aca="1" ref="EX290" ca="1">(1-$B$18)*SUMPRODUCT(OFFSET($BO$15,0,0,$B$14,1), 1*(_xlfn._xlws.FILTER(OFFSET($O$15,0,$DN290,$B$8,1),OFFSET($M$15,0,0,$B$8,1))=EX$13), 1*(_xlfn._xlws.FILTER(OFFSET($O$15,0,$DO290,$B$8,1),OFFSET($M$15,0,0,$B$8,1))=EX$14))   /   SUM(OFFSET($BO$15,0,0,$B$14,1)) + $B$18/($B$19*$B$19*($DN290&lt;&gt;$DO290) + $B$19*($DN290=$DO290))</f>
        <v>3.7037037037037035E-4</v>
      </c>
      <c r="EY290" s="10" cm="1">
        <f t="array" aca="1" ref="EY290" ca="1">(1-$B$18)*SUMPRODUCT(OFFSET($BO$15,0,0,$B$14,1), 1*(_xlfn._xlws.FILTER(OFFSET($O$15,0,$DN290,$B$8,1),OFFSET($M$15,0,0,$B$8,1))=EY$13), 1*(_xlfn._xlws.FILTER(OFFSET($O$15,0,$DO290,$B$8,1),OFFSET($M$15,0,0,$B$8,1))=EY$14))   /   SUM(OFFSET($BO$15,0,0,$B$14,1)) + $B$18/($B$19*$B$19*($DN290&lt;&gt;$DO290) + $B$19*($DN290=$DO290))</f>
        <v>3.7037037037037035E-4</v>
      </c>
      <c r="EZ290" s="10" cm="1">
        <f t="array" aca="1" ref="EZ290" ca="1">(1-$B$18)*SUMPRODUCT(OFFSET($BO$15,0,0,$B$14,1), 1*(_xlfn._xlws.FILTER(OFFSET($O$15,0,$DN290,$B$8,1),OFFSET($M$15,0,0,$B$8,1))=EZ$13), 1*(_xlfn._xlws.FILTER(OFFSET($O$15,0,$DO290,$B$8,1),OFFSET($M$15,0,0,$B$8,1))=EZ$14))   /   SUM(OFFSET($BO$15,0,0,$B$14,1)) + $B$18/($B$19*$B$19*($DN290&lt;&gt;$DO290) + $B$19*($DN290=$DO290))</f>
        <v>3.7037037037037035E-4</v>
      </c>
      <c r="FA290" s="10" cm="1">
        <f t="array" aca="1" ref="FA290" ca="1">(1-$B$18)*SUMPRODUCT(OFFSET($BO$15,0,0,$B$14,1), 1*(_xlfn._xlws.FILTER(OFFSET($O$15,0,$DN290,$B$8,1),OFFSET($M$15,0,0,$B$8,1))=FA$13), 1*(_xlfn._xlws.FILTER(OFFSET($O$15,0,$DO290,$B$8,1),OFFSET($M$15,0,0,$B$8,1))=FA$14))   /   SUM(OFFSET($BO$15,0,0,$B$14,1)) + $B$18/($B$19*$B$19*($DN290&lt;&gt;$DO290) + $B$19*($DN290=$DO290))</f>
        <v>3.7037037037037035E-4</v>
      </c>
      <c r="FB290" s="10" cm="1">
        <f t="array" aca="1" ref="FB290" ca="1">(1-$B$18)*SUMPRODUCT(OFFSET($BO$15,0,0,$B$14,1), 1*(_xlfn._xlws.FILTER(OFFSET($O$15,0,$DN290,$B$8,1),OFFSET($M$15,0,0,$B$8,1))=FB$13), 1*(_xlfn._xlws.FILTER(OFFSET($O$15,0,$DO290,$B$8,1),OFFSET($M$15,0,0,$B$8,1))=FB$14))   /   SUM(OFFSET($BO$15,0,0,$B$14,1)) + $B$18/($B$19*$B$19*($DN290&lt;&gt;$DO290) + $B$19*($DN290=$DO290))</f>
        <v>3.7037037037037035E-4</v>
      </c>
      <c r="FC290" s="10" cm="1">
        <f t="array" aca="1" ref="FC290" ca="1">(1-$B$18)*SUMPRODUCT(OFFSET($BO$15,0,0,$B$14,1), 1*(_xlfn._xlws.FILTER(OFFSET($O$15,0,$DN290,$B$8,1),OFFSET($M$15,0,0,$B$8,1))=FC$13), 1*(_xlfn._xlws.FILTER(OFFSET($O$15,0,$DO290,$B$8,1),OFFSET($M$15,0,0,$B$8,1))=FC$14))   /   SUM(OFFSET($BO$15,0,0,$B$14,1)) + $B$18/($B$19*$B$19*($DN290&lt;&gt;$DO290) + $B$19*($DN290=$DO290))</f>
        <v>3.7037037037037035E-4</v>
      </c>
      <c r="FD290" s="10" cm="1">
        <f t="array" aca="1" ref="FD290" ca="1">(1-$B$18)*SUMPRODUCT(OFFSET($BO$15,0,0,$B$14,1), 1*(_xlfn._xlws.FILTER(OFFSET($O$15,0,$DN290,$B$8,1),OFFSET($M$15,0,0,$B$8,1))=FD$13), 1*(_xlfn._xlws.FILTER(OFFSET($O$15,0,$DO290,$B$8,1),OFFSET($M$15,0,0,$B$8,1))=FD$14))   /   SUM(OFFSET($BO$15,0,0,$B$14,1)) + $B$18/($B$19*$B$19*($DN290&lt;&gt;$DO290) + $B$19*($DN290=$DO290))</f>
        <v>3.7037037037037035E-4</v>
      </c>
      <c r="FE290" s="10" cm="1">
        <f t="array" aca="1" ref="FE290" ca="1">(1-$B$18)*SUMPRODUCT(OFFSET($BO$15,0,0,$B$14,1), 1*(_xlfn._xlws.FILTER(OFFSET($O$15,0,$DN290,$B$8,1),OFFSET($M$15,0,0,$B$8,1))=FE$13), 1*(_xlfn._xlws.FILTER(OFFSET($O$15,0,$DO290,$B$8,1),OFFSET($M$15,0,0,$B$8,1))=FE$14))   /   SUM(OFFSET($BO$15,0,0,$B$14,1)) + $B$18/($B$19*$B$19*($DN290&lt;&gt;$DO290) + $B$19*($DN290=$DO290))</f>
        <v>3.7037037037037035E-4</v>
      </c>
      <c r="FF290" s="10" cm="1">
        <f t="array" aca="1" ref="FF290" ca="1">(1-$B$18)*SUMPRODUCT(OFFSET($BO$15,0,0,$B$14,1), 1*(_xlfn._xlws.FILTER(OFFSET($O$15,0,$DN290,$B$8,1),OFFSET($M$15,0,0,$B$8,1))=FF$13), 1*(_xlfn._xlws.FILTER(OFFSET($O$15,0,$DO290,$B$8,1),OFFSET($M$15,0,0,$B$8,1))=FF$14))   /   SUM(OFFSET($BO$15,0,0,$B$14,1)) + $B$18/($B$19*$B$19*($DN290&lt;&gt;$DO290) + $B$19*($DN290=$DO290))</f>
        <v>3.7037037037037035E-4</v>
      </c>
      <c r="FG290" s="10" cm="1">
        <f t="array" aca="1" ref="FG290" ca="1">(1-$B$18)*SUMPRODUCT(OFFSET($BO$15,0,0,$B$14,1), 1*(_xlfn._xlws.FILTER(OFFSET($O$15,0,$DN290,$B$8,1),OFFSET($M$15,0,0,$B$8,1))=FG$13), 1*(_xlfn._xlws.FILTER(OFFSET($O$15,0,$DO290,$B$8,1),OFFSET($M$15,0,0,$B$8,1))=FG$14))   /   SUM(OFFSET($BO$15,0,0,$B$14,1)) + $B$18/($B$19*$B$19*($DN290&lt;&gt;$DO290) + $B$19*($DN290=$DO290))</f>
        <v>3.7037037037037035E-4</v>
      </c>
      <c r="FH290" s="10" cm="1">
        <f t="array" aca="1" ref="FH290" ca="1">(1-$B$18)*SUMPRODUCT(OFFSET($BO$15,0,0,$B$14,1), 1*(_xlfn._xlws.FILTER(OFFSET($O$15,0,$DN290,$B$8,1),OFFSET($M$15,0,0,$B$8,1))=FH$13), 1*(_xlfn._xlws.FILTER(OFFSET($O$15,0,$DO290,$B$8,1),OFFSET($M$15,0,0,$B$8,1))=FH$14))   /   SUM(OFFSET($BO$15,0,0,$B$14,1)) + $B$18/($B$19*$B$19*($DN290&lt;&gt;$DO290) + $B$19*($DN290=$DO290))</f>
        <v>3.7037037037037035E-4</v>
      </c>
      <c r="FI290" s="10" cm="1">
        <f t="array" aca="1" ref="FI290" ca="1">(1-$B$18)*SUMPRODUCT(OFFSET($BO$15,0,0,$B$14,1), 1*(_xlfn._xlws.FILTER(OFFSET($O$15,0,$DN290,$B$8,1),OFFSET($M$15,0,0,$B$8,1))=FI$13), 1*(_xlfn._xlws.FILTER(OFFSET($O$15,0,$DO290,$B$8,1),OFFSET($M$15,0,0,$B$8,1))=FI$14))   /   SUM(OFFSET($BO$15,0,0,$B$14,1)) + $B$18/($B$19*$B$19*($DN290&lt;&gt;$DO290) + $B$19*($DN290=$DO290))</f>
        <v>3.7037037037037035E-4</v>
      </c>
      <c r="FJ290" s="10" cm="1">
        <f t="array" aca="1" ref="FJ290" ca="1">(1-$B$18)*SUMPRODUCT(OFFSET($BO$15,0,0,$B$14,1), 1*(_xlfn._xlws.FILTER(OFFSET($O$15,0,$DN290,$B$8,1),OFFSET($M$15,0,0,$B$8,1))=FJ$13), 1*(_xlfn._xlws.FILTER(OFFSET($O$15,0,$DO290,$B$8,1),OFFSET($M$15,0,0,$B$8,1))=FJ$14))   /   SUM(OFFSET($BO$15,0,0,$B$14,1)) + $B$18/($B$19*$B$19*($DN290&lt;&gt;$DO290) + $B$19*($DN290=$DO290))</f>
        <v>3.7037037037037035E-4</v>
      </c>
      <c r="FK290" s="10" cm="1">
        <f t="array" aca="1" ref="FK290" ca="1">(1-$B$18)*SUMPRODUCT(OFFSET($BO$15,0,0,$B$14,1), 1*(_xlfn._xlws.FILTER(OFFSET($O$15,0,$DN290,$B$8,1),OFFSET($M$15,0,0,$B$8,1))=FK$13), 1*(_xlfn._xlws.FILTER(OFFSET($O$15,0,$DO290,$B$8,1),OFFSET($M$15,0,0,$B$8,1))=FK$14))   /   SUM(OFFSET($BO$15,0,0,$B$14,1)) + $B$18/($B$19*$B$19*($DN290&lt;&gt;$DO290) + $B$19*($DN290=$DO290))</f>
        <v>3.7037037037037035E-4</v>
      </c>
      <c r="FL290" s="10" cm="1">
        <f t="array" aca="1" ref="FL290" ca="1">(1-$B$18)*SUMPRODUCT(OFFSET($BO$15,0,0,$B$14,1), 1*(_xlfn._xlws.FILTER(OFFSET($O$15,0,$DN290,$B$8,1),OFFSET($M$15,0,0,$B$8,1))=FL$13), 1*(_xlfn._xlws.FILTER(OFFSET($O$15,0,$DO290,$B$8,1),OFFSET($M$15,0,0,$B$8,1))=FL$14))   /   SUM(OFFSET($BO$15,0,0,$B$14,1)) + $B$18/($B$19*$B$19*($DN290&lt;&gt;$DO290) + $B$19*($DN290=$DO290))</f>
        <v>3.7037037037037035E-4</v>
      </c>
      <c r="FM290" s="10" cm="1">
        <f t="array" aca="1" ref="FM290" ca="1">(1-$B$18)*SUMPRODUCT(OFFSET($BO$15,0,0,$B$14,1), 1*(_xlfn._xlws.FILTER(OFFSET($O$15,0,$DN290,$B$8,1),OFFSET($M$15,0,0,$B$8,1))=FM$13), 1*(_xlfn._xlws.FILTER(OFFSET($O$15,0,$DO290,$B$8,1),OFFSET($M$15,0,0,$B$8,1))=FM$14))   /   SUM(OFFSET($BO$15,0,0,$B$14,1)) + $B$18/($B$19*$B$19*($DN290&lt;&gt;$DO290) + $B$19*($DN290=$DO290))</f>
        <v>3.7037037037037035E-4</v>
      </c>
      <c r="FN290" s="10" cm="1">
        <f t="array" aca="1" ref="FN290" ca="1">(1-$B$18)*SUMPRODUCT(OFFSET($BO$15,0,0,$B$14,1), 1*(_xlfn._xlws.FILTER(OFFSET($O$15,0,$DN290,$B$8,1),OFFSET($M$15,0,0,$B$8,1))=FN$13), 1*(_xlfn._xlws.FILTER(OFFSET($O$15,0,$DO290,$B$8,1),OFFSET($M$15,0,0,$B$8,1))=FN$14))   /   SUM(OFFSET($BO$15,0,0,$B$14,1)) + $B$18/($B$19*$B$19*($DN290&lt;&gt;$DO290) + $B$19*($DN290=$DO290))</f>
        <v>3.7037037037037035E-4</v>
      </c>
      <c r="FO290" s="10" cm="1">
        <f t="array" aca="1" ref="FO290" ca="1">(1-$B$18)*SUMPRODUCT(OFFSET($BO$15,0,0,$B$14,1), 1*(_xlfn._xlws.FILTER(OFFSET($O$15,0,$DN290,$B$8,1),OFFSET($M$15,0,0,$B$8,1))=FO$13), 1*(_xlfn._xlws.FILTER(OFFSET($O$15,0,$DO290,$B$8,1),OFFSET($M$15,0,0,$B$8,1))=FO$14))   /   SUM(OFFSET($BO$15,0,0,$B$14,1)) + $B$18/($B$19*$B$19*($DN290&lt;&gt;$DO290) + $B$19*($DN290=$DO290))</f>
        <v>3.7037037037037035E-4</v>
      </c>
      <c r="FP290" s="10" cm="1">
        <f t="array" aca="1" ref="FP290" ca="1">(1-$B$18)*SUMPRODUCT(OFFSET($BO$15,0,0,$B$14,1), 1*(_xlfn._xlws.FILTER(OFFSET($O$15,0,$DN290,$B$8,1),OFFSET($M$15,0,0,$B$8,1))=FP$13), 1*(_xlfn._xlws.FILTER(OFFSET($O$15,0,$DO290,$B$8,1),OFFSET($M$15,0,0,$B$8,1))=FP$14))   /   SUM(OFFSET($BO$15,0,0,$B$14,1)) + $B$18/($B$19*$B$19*($DN290&lt;&gt;$DO290) + $B$19*($DN290=$DO290))</f>
        <v>3.7037037037037035E-4</v>
      </c>
      <c r="FQ290" s="10" cm="1">
        <f t="array" aca="1" ref="FQ290" ca="1">(1-$B$18)*SUMPRODUCT(OFFSET($BO$15,0,0,$B$14,1), 1*(_xlfn._xlws.FILTER(OFFSET($O$15,0,$DN290,$B$8,1),OFFSET($M$15,0,0,$B$8,1))=FQ$13), 1*(_xlfn._xlws.FILTER(OFFSET($O$15,0,$DO290,$B$8,1),OFFSET($M$15,0,0,$B$8,1))=FQ$14))   /   SUM(OFFSET($BO$15,0,0,$B$14,1)) + $B$18/($B$19*$B$19*($DN290&lt;&gt;$DO290) + $B$19*($DN290=$DO290))</f>
        <v>3.7037037037037035E-4</v>
      </c>
      <c r="FR290" s="10" cm="1">
        <f t="array" aca="1" ref="FR290" ca="1">(1-$B$18)*SUMPRODUCT(OFFSET($BO$15,0,0,$B$14,1), 1*(_xlfn._xlws.FILTER(OFFSET($O$15,0,$DN290,$B$8,1),OFFSET($M$15,0,0,$B$8,1))=FR$13), 1*(_xlfn._xlws.FILTER(OFFSET($O$15,0,$DO290,$B$8,1),OFFSET($M$15,0,0,$B$8,1))=FR$14))   /   SUM(OFFSET($BO$15,0,0,$B$14,1)) + $B$18/($B$19*$B$19*($DN290&lt;&gt;$DO290) + $B$19*($DN290=$DO290))</f>
        <v>3.7037037037037035E-4</v>
      </c>
      <c r="FS290" s="10" cm="1">
        <f t="array" aca="1" ref="FS290" ca="1">(1-$B$18)*SUMPRODUCT(OFFSET($BO$15,0,0,$B$14,1), 1*(_xlfn._xlws.FILTER(OFFSET($O$15,0,$DN290,$B$8,1),OFFSET($M$15,0,0,$B$8,1))=FS$13), 1*(_xlfn._xlws.FILTER(OFFSET($O$15,0,$DO290,$B$8,1),OFFSET($M$15,0,0,$B$8,1))=FS$14))   /   SUM(OFFSET($BO$15,0,0,$B$14,1)) + $B$18/($B$19*$B$19*($DN290&lt;&gt;$DO290) + $B$19*($DN290=$DO290))</f>
        <v>3.7037037037037035E-4</v>
      </c>
      <c r="FT290" s="10" cm="1">
        <f t="array" aca="1" ref="FT290" ca="1">(1-$B$18)*SUMPRODUCT(OFFSET($BO$15,0,0,$B$14,1), 1*(_xlfn._xlws.FILTER(OFFSET($O$15,0,$DN290,$B$8,1),OFFSET($M$15,0,0,$B$8,1))=FT$13), 1*(_xlfn._xlws.FILTER(OFFSET($O$15,0,$DO290,$B$8,1),OFFSET($M$15,0,0,$B$8,1))=FT$14))   /   SUM(OFFSET($BO$15,0,0,$B$14,1)) + $B$18/($B$19*$B$19*($DN290&lt;&gt;$DO290) + $B$19*($DN290=$DO290))</f>
        <v>3.7037037037037035E-4</v>
      </c>
      <c r="FU290" s="10" cm="1">
        <f t="array" aca="1" ref="FU290" ca="1">(1-$B$18)*SUMPRODUCT(OFFSET($BO$15,0,0,$B$14,1), 1*(_xlfn._xlws.FILTER(OFFSET($O$15,0,$DN290,$B$8,1),OFFSET($M$15,0,0,$B$8,1))=FU$13), 1*(_xlfn._xlws.FILTER(OFFSET($O$15,0,$DO290,$B$8,1),OFFSET($M$15,0,0,$B$8,1))=FU$14))   /   SUM(OFFSET($BO$15,0,0,$B$14,1)) + $B$18/($B$19*$B$19*($DN290&lt;&gt;$DO290) + $B$19*($DN290=$DO290))</f>
        <v>3.7037037037037035E-4</v>
      </c>
      <c r="FV290" s="10" cm="1">
        <f t="array" aca="1" ref="FV290" ca="1">(1-$B$18)*SUMPRODUCT(OFFSET($BO$15,0,0,$B$14,1), 1*(_xlfn._xlws.FILTER(OFFSET($O$15,0,$DN290,$B$8,1),OFFSET($M$15,0,0,$B$8,1))=FV$13), 1*(_xlfn._xlws.FILTER(OFFSET($O$15,0,$DO290,$B$8,1),OFFSET($M$15,0,0,$B$8,1))=FV$14))   /   SUM(OFFSET($BO$15,0,0,$B$14,1)) + $B$18/($B$19*$B$19*($DN290&lt;&gt;$DO290) + $B$19*($DN290=$DO290))</f>
        <v>3.7037037037037035E-4</v>
      </c>
      <c r="FW290" s="10" cm="1">
        <f t="array" aca="1" ref="FW290" ca="1">(1-$B$18)*SUMPRODUCT(OFFSET($BO$15,0,0,$B$14,1), 1*(_xlfn._xlws.FILTER(OFFSET($O$15,0,$DN290,$B$8,1),OFFSET($M$15,0,0,$B$8,1))=FW$13), 1*(_xlfn._xlws.FILTER(OFFSET($O$15,0,$DO290,$B$8,1),OFFSET($M$15,0,0,$B$8,1))=FW$14))   /   SUM(OFFSET($BO$15,0,0,$B$14,1)) + $B$18/($B$19*$B$19*($DN290&lt;&gt;$DO290) + $B$19*($DN290=$DO290))</f>
        <v>3.7037037037037035E-4</v>
      </c>
      <c r="FX290" s="10" cm="1">
        <f t="array" aca="1" ref="FX290" ca="1">(1-$B$18)*SUMPRODUCT(OFFSET($BO$15,0,0,$B$14,1), 1*(_xlfn._xlws.FILTER(OFFSET($O$15,0,$DN290,$B$8,1),OFFSET($M$15,0,0,$B$8,1))=FX$13), 1*(_xlfn._xlws.FILTER(OFFSET($O$15,0,$DO290,$B$8,1),OFFSET($M$15,0,0,$B$8,1))=FX$14))   /   SUM(OFFSET($BO$15,0,0,$B$14,1)) + $B$18/($B$19*$B$19*($DN290&lt;&gt;$DO290) + $B$19*($DN290=$DO290))</f>
        <v>3.7037037037037035E-4</v>
      </c>
      <c r="FY290" s="10" cm="1">
        <f t="array" aca="1" ref="FY290" ca="1">(1-$B$18)*SUMPRODUCT(OFFSET($BO$15,0,0,$B$14,1), 1*(_xlfn._xlws.FILTER(OFFSET($O$15,0,$DN290,$B$8,1),OFFSET($M$15,0,0,$B$8,1))=FY$13), 1*(_xlfn._xlws.FILTER(OFFSET($O$15,0,$DO290,$B$8,1),OFFSET($M$15,0,0,$B$8,1))=FY$14))   /   SUM(OFFSET($BO$15,0,0,$B$14,1)) + $B$18/($B$19*$B$19*($DN290&lt;&gt;$DO290) + $B$19*($DN290=$DO290))</f>
        <v>3.7037037037037035E-4</v>
      </c>
      <c r="FZ290" s="10" cm="1">
        <f t="array" aca="1" ref="FZ290" ca="1">(1-$B$18)*SUMPRODUCT(OFFSET($BO$15,0,0,$B$14,1), 1*(_xlfn._xlws.FILTER(OFFSET($O$15,0,$DN290,$B$8,1),OFFSET($M$15,0,0,$B$8,1))=FZ$13), 1*(_xlfn._xlws.FILTER(OFFSET($O$15,0,$DO290,$B$8,1),OFFSET($M$15,0,0,$B$8,1))=FZ$14))   /   SUM(OFFSET($BO$15,0,0,$B$14,1)) + $B$18/($B$19*$B$19*($DN290&lt;&gt;$DO290) + $B$19*($DN290=$DO290))</f>
        <v>3.7037037037037035E-4</v>
      </c>
      <c r="GA290" s="10" cm="1">
        <f t="array" aca="1" ref="GA290" ca="1">(1-$B$18)*SUMPRODUCT(OFFSET($BO$15,0,0,$B$14,1), 1*(_xlfn._xlws.FILTER(OFFSET($O$15,0,$DN290,$B$8,1),OFFSET($M$15,0,0,$B$8,1))=GA$13), 1*(_xlfn._xlws.FILTER(OFFSET($O$15,0,$DO290,$B$8,1),OFFSET($M$15,0,0,$B$8,1))=GA$14))   /   SUM(OFFSET($BO$15,0,0,$B$14,1)) + $B$18/($B$19*$B$19*($DN290&lt;&gt;$DO290) + $B$19*($DN290=$DO290))</f>
        <v>3.7037037037037035E-4</v>
      </c>
    </row>
    <row r="291" spans="118:183" x14ac:dyDescent="0.2">
      <c r="DN291" cm="1">
        <f t="array" aca="1" ref="DN291" ca="1">INDEX(_xlfn.ANCHORARRAY($CP$15), 1 + INT((ROWS($DO$15:$DO291) - 1) / ROWS(_xlfn.ANCHORARRAY($CP$15))))</f>
        <v>15</v>
      </c>
      <c r="DO291" cm="1">
        <f t="array" aca="1" ref="DO291" ca="1">INDEX(_xlfn.ANCHORARRAY($CP$15),1+MOD(ROWS($DO$15:$DO291)-1,ROWS(_xlfn.ANCHORARRAY($CP$15))))</f>
        <v>11</v>
      </c>
      <c r="DP291" s="10" cm="1">
        <f t="array" aca="1" ref="DP291" ca="1">(1-$B$18)*SUMPRODUCT(OFFSET($BO$15,0,0,$B$14,1), 1*(_xlfn._xlws.FILTER(OFFSET($O$15,0,$DN291,$B$8,1),OFFSET($M$15,0,0,$B$8,1))=DP$13), 1*(_xlfn._xlws.FILTER(OFFSET($O$15,0,$DO291,$B$8,1),OFFSET($M$15,0,0,$B$8,1))=DP$14))   /   SUM(OFFSET($BO$15,0,0,$B$14,1)) + $B$18/($B$19*$B$19*($DN291&lt;&gt;$DO291) + $B$19*($DN291=$DO291))</f>
        <v>3.7037037037037035E-4</v>
      </c>
      <c r="DQ291" s="10" cm="1">
        <f t="array" aca="1" ref="DQ291" ca="1">(1-$B$18)*SUMPRODUCT(OFFSET($BO$15,0,0,$B$14,1), 1*(_xlfn._xlws.FILTER(OFFSET($O$15,0,$DN291,$B$8,1),OFFSET($M$15,0,0,$B$8,1))=DQ$13), 1*(_xlfn._xlws.FILTER(OFFSET($O$15,0,$DO291,$B$8,1),OFFSET($M$15,0,0,$B$8,1))=DQ$14))   /   SUM(OFFSET($BO$15,0,0,$B$14,1)) + $B$18/($B$19*$B$19*($DN291&lt;&gt;$DO291) + $B$19*($DN291=$DO291))</f>
        <v>3.7037037037037035E-4</v>
      </c>
      <c r="DR291" s="10" cm="1">
        <f t="array" aca="1" ref="DR291" ca="1">(1-$B$18)*SUMPRODUCT(OFFSET($BO$15,0,0,$B$14,1), 1*(_xlfn._xlws.FILTER(OFFSET($O$15,0,$DN291,$B$8,1),OFFSET($M$15,0,0,$B$8,1))=DR$13), 1*(_xlfn._xlws.FILTER(OFFSET($O$15,0,$DO291,$B$8,1),OFFSET($M$15,0,0,$B$8,1))=DR$14))   /   SUM(OFFSET($BO$15,0,0,$B$14,1)) + $B$18/($B$19*$B$19*($DN291&lt;&gt;$DO291) + $B$19*($DN291=$DO291))</f>
        <v>3.7037037037037035E-4</v>
      </c>
      <c r="DS291" s="10" cm="1">
        <f t="array" aca="1" ref="DS291" ca="1">(1-$B$18)*SUMPRODUCT(OFFSET($BO$15,0,0,$B$14,1), 1*(_xlfn._xlws.FILTER(OFFSET($O$15,0,$DN291,$B$8,1),OFFSET($M$15,0,0,$B$8,1))=DS$13), 1*(_xlfn._xlws.FILTER(OFFSET($O$15,0,$DO291,$B$8,1),OFFSET($M$15,0,0,$B$8,1))=DS$14))   /   SUM(OFFSET($BO$15,0,0,$B$14,1)) + $B$18/($B$19*$B$19*($DN291&lt;&gt;$DO291) + $B$19*($DN291=$DO291))</f>
        <v>3.7037037037037035E-4</v>
      </c>
      <c r="DT291" s="10" cm="1">
        <f t="array" aca="1" ref="DT291" ca="1">(1-$B$18)*SUMPRODUCT(OFFSET($BO$15,0,0,$B$14,1), 1*(_xlfn._xlws.FILTER(OFFSET($O$15,0,$DN291,$B$8,1),OFFSET($M$15,0,0,$B$8,1))=DT$13), 1*(_xlfn._xlws.FILTER(OFFSET($O$15,0,$DO291,$B$8,1),OFFSET($M$15,0,0,$B$8,1))=DT$14))   /   SUM(OFFSET($BO$15,0,0,$B$14,1)) + $B$18/($B$19*$B$19*($DN291&lt;&gt;$DO291) + $B$19*($DN291=$DO291))</f>
        <v>3.7037037037037035E-4</v>
      </c>
      <c r="DU291" s="10" cm="1">
        <f t="array" aca="1" ref="DU291" ca="1">(1-$B$18)*SUMPRODUCT(OFFSET($BO$15,0,0,$B$14,1), 1*(_xlfn._xlws.FILTER(OFFSET($O$15,0,$DN291,$B$8,1),OFFSET($M$15,0,0,$B$8,1))=DU$13), 1*(_xlfn._xlws.FILTER(OFFSET($O$15,0,$DO291,$B$8,1),OFFSET($M$15,0,0,$B$8,1))=DU$14))   /   SUM(OFFSET($BO$15,0,0,$B$14,1)) + $B$18/($B$19*$B$19*($DN291&lt;&gt;$DO291) + $B$19*($DN291=$DO291))</f>
        <v>3.7037037037037035E-4</v>
      </c>
      <c r="DV291" s="10" cm="1">
        <f t="array" aca="1" ref="DV291" ca="1">(1-$B$18)*SUMPRODUCT(OFFSET($BO$15,0,0,$B$14,1), 1*(_xlfn._xlws.FILTER(OFFSET($O$15,0,$DN291,$B$8,1),OFFSET($M$15,0,0,$B$8,1))=DV$13), 1*(_xlfn._xlws.FILTER(OFFSET($O$15,0,$DO291,$B$8,1),OFFSET($M$15,0,0,$B$8,1))=DV$14))   /   SUM(OFFSET($BO$15,0,0,$B$14,1)) + $B$18/($B$19*$B$19*($DN291&lt;&gt;$DO291) + $B$19*($DN291=$DO291))</f>
        <v>3.7037037037037035E-4</v>
      </c>
      <c r="DW291" s="10" cm="1">
        <f t="array" aca="1" ref="DW291" ca="1">(1-$B$18)*SUMPRODUCT(OFFSET($BO$15,0,0,$B$14,1), 1*(_xlfn._xlws.FILTER(OFFSET($O$15,0,$DN291,$B$8,1),OFFSET($M$15,0,0,$B$8,1))=DW$13), 1*(_xlfn._xlws.FILTER(OFFSET($O$15,0,$DO291,$B$8,1),OFFSET($M$15,0,0,$B$8,1))=DW$14))   /   SUM(OFFSET($BO$15,0,0,$B$14,1)) + $B$18/($B$19*$B$19*($DN291&lt;&gt;$DO291) + $B$19*($DN291=$DO291))</f>
        <v>3.7037037037037035E-4</v>
      </c>
      <c r="DX291" s="10" cm="1">
        <f t="array" aca="1" ref="DX291" ca="1">(1-$B$18)*SUMPRODUCT(OFFSET($BO$15,0,0,$B$14,1), 1*(_xlfn._xlws.FILTER(OFFSET($O$15,0,$DN291,$B$8,1),OFFSET($M$15,0,0,$B$8,1))=DX$13), 1*(_xlfn._xlws.FILTER(OFFSET($O$15,0,$DO291,$B$8,1),OFFSET($M$15,0,0,$B$8,1))=DX$14))   /   SUM(OFFSET($BO$15,0,0,$B$14,1)) + $B$18/($B$19*$B$19*($DN291&lt;&gt;$DO291) + $B$19*($DN291=$DO291))</f>
        <v>3.7037037037037035E-4</v>
      </c>
      <c r="DY291" s="10" cm="1">
        <f t="array" aca="1" ref="DY291" ca="1">(1-$B$18)*SUMPRODUCT(OFFSET($BO$15,0,0,$B$14,1), 1*(_xlfn._xlws.FILTER(OFFSET($O$15,0,$DN291,$B$8,1),OFFSET($M$15,0,0,$B$8,1))=DY$13), 1*(_xlfn._xlws.FILTER(OFFSET($O$15,0,$DO291,$B$8,1),OFFSET($M$15,0,0,$B$8,1))=DY$14))   /   SUM(OFFSET($BO$15,0,0,$B$14,1)) + $B$18/($B$19*$B$19*($DN291&lt;&gt;$DO291) + $B$19*($DN291=$DO291))</f>
        <v>3.7037037037037035E-4</v>
      </c>
      <c r="DZ291" s="10" cm="1">
        <f t="array" aca="1" ref="DZ291" ca="1">(1-$B$18)*SUMPRODUCT(OFFSET($BO$15,0,0,$B$14,1), 1*(_xlfn._xlws.FILTER(OFFSET($O$15,0,$DN291,$B$8,1),OFFSET($M$15,0,0,$B$8,1))=DZ$13), 1*(_xlfn._xlws.FILTER(OFFSET($O$15,0,$DO291,$B$8,1),OFFSET($M$15,0,0,$B$8,1))=DZ$14))   /   SUM(OFFSET($BO$15,0,0,$B$14,1)) + $B$18/($B$19*$B$19*($DN291&lt;&gt;$DO291) + $B$19*($DN291=$DO291))</f>
        <v>3.7037037037037035E-4</v>
      </c>
      <c r="EA291" s="10" cm="1">
        <f t="array" aca="1" ref="EA291" ca="1">(1-$B$18)*SUMPRODUCT(OFFSET($BO$15,0,0,$B$14,1), 1*(_xlfn._xlws.FILTER(OFFSET($O$15,0,$DN291,$B$8,1),OFFSET($M$15,0,0,$B$8,1))=EA$13), 1*(_xlfn._xlws.FILTER(OFFSET($O$15,0,$DO291,$B$8,1),OFFSET($M$15,0,0,$B$8,1))=EA$14))   /   SUM(OFFSET($BO$15,0,0,$B$14,1)) + $B$18/($B$19*$B$19*($DN291&lt;&gt;$DO291) + $B$19*($DN291=$DO291))</f>
        <v>3.7037037037037035E-4</v>
      </c>
      <c r="EB291" s="10" cm="1">
        <f t="array" aca="1" ref="EB291" ca="1">(1-$B$18)*SUMPRODUCT(OFFSET($BO$15,0,0,$B$14,1), 1*(_xlfn._xlws.FILTER(OFFSET($O$15,0,$DN291,$B$8,1),OFFSET($M$15,0,0,$B$8,1))=EB$13), 1*(_xlfn._xlws.FILTER(OFFSET($O$15,0,$DO291,$B$8,1),OFFSET($M$15,0,0,$B$8,1))=EB$14))   /   SUM(OFFSET($BO$15,0,0,$B$14,1)) + $B$18/($B$19*$B$19*($DN291&lt;&gt;$DO291) + $B$19*($DN291=$DO291))</f>
        <v>3.7037037037037035E-4</v>
      </c>
      <c r="EC291" s="10" cm="1">
        <f t="array" aca="1" ref="EC291" ca="1">(1-$B$18)*SUMPRODUCT(OFFSET($BO$15,0,0,$B$14,1), 1*(_xlfn._xlws.FILTER(OFFSET($O$15,0,$DN291,$B$8,1),OFFSET($M$15,0,0,$B$8,1))=EC$13), 1*(_xlfn._xlws.FILTER(OFFSET($O$15,0,$DO291,$B$8,1),OFFSET($M$15,0,0,$B$8,1))=EC$14))   /   SUM(OFFSET($BO$15,0,0,$B$14,1)) + $B$18/($B$19*$B$19*($DN291&lt;&gt;$DO291) + $B$19*($DN291=$DO291))</f>
        <v>3.7037037037037035E-4</v>
      </c>
      <c r="ED291" s="10" cm="1">
        <f t="array" aca="1" ref="ED291" ca="1">(1-$B$18)*SUMPRODUCT(OFFSET($BO$15,0,0,$B$14,1), 1*(_xlfn._xlws.FILTER(OFFSET($O$15,0,$DN291,$B$8,1),OFFSET($M$15,0,0,$B$8,1))=ED$13), 1*(_xlfn._xlws.FILTER(OFFSET($O$15,0,$DO291,$B$8,1),OFFSET($M$15,0,0,$B$8,1))=ED$14))   /   SUM(OFFSET($BO$15,0,0,$B$14,1)) + $B$18/($B$19*$B$19*($DN291&lt;&gt;$DO291) + $B$19*($DN291=$DO291))</f>
        <v>3.7037037037037035E-4</v>
      </c>
      <c r="EE291" s="10" cm="1">
        <f t="array" aca="1" ref="EE291" ca="1">(1-$B$18)*SUMPRODUCT(OFFSET($BO$15,0,0,$B$14,1), 1*(_xlfn._xlws.FILTER(OFFSET($O$15,0,$DN291,$B$8,1),OFFSET($M$15,0,0,$B$8,1))=EE$13), 1*(_xlfn._xlws.FILTER(OFFSET($O$15,0,$DO291,$B$8,1),OFFSET($M$15,0,0,$B$8,1))=EE$14))   /   SUM(OFFSET($BO$15,0,0,$B$14,1)) + $B$18/($B$19*$B$19*($DN291&lt;&gt;$DO291) + $B$19*($DN291=$DO291))</f>
        <v>3.7037037037037035E-4</v>
      </c>
      <c r="EF291" s="10" cm="1">
        <f t="array" aca="1" ref="EF291" ca="1">(1-$B$18)*SUMPRODUCT(OFFSET($BO$15,0,0,$B$14,1), 1*(_xlfn._xlws.FILTER(OFFSET($O$15,0,$DN291,$B$8,1),OFFSET($M$15,0,0,$B$8,1))=EF$13), 1*(_xlfn._xlws.FILTER(OFFSET($O$15,0,$DO291,$B$8,1),OFFSET($M$15,0,0,$B$8,1))=EF$14))   /   SUM(OFFSET($BO$15,0,0,$B$14,1)) + $B$18/($B$19*$B$19*($DN291&lt;&gt;$DO291) + $B$19*($DN291=$DO291))</f>
        <v>0.48537037037037034</v>
      </c>
      <c r="EG291" s="10" cm="1">
        <f t="array" aca="1" ref="EG291" ca="1">(1-$B$18)*SUMPRODUCT(OFFSET($BO$15,0,0,$B$14,1), 1*(_xlfn._xlws.FILTER(OFFSET($O$15,0,$DN291,$B$8,1),OFFSET($M$15,0,0,$B$8,1))=EG$13), 1*(_xlfn._xlws.FILTER(OFFSET($O$15,0,$DO291,$B$8,1),OFFSET($M$15,0,0,$B$8,1))=EG$14))   /   SUM(OFFSET($BO$15,0,0,$B$14,1)) + $B$18/($B$19*$B$19*($DN291&lt;&gt;$DO291) + $B$19*($DN291=$DO291))</f>
        <v>3.7037037037037035E-4</v>
      </c>
      <c r="EH291" s="10" cm="1">
        <f t="array" aca="1" ref="EH291" ca="1">(1-$B$18)*SUMPRODUCT(OFFSET($BO$15,0,0,$B$14,1), 1*(_xlfn._xlws.FILTER(OFFSET($O$15,0,$DN291,$B$8,1),OFFSET($M$15,0,0,$B$8,1))=EH$13), 1*(_xlfn._xlws.FILTER(OFFSET($O$15,0,$DO291,$B$8,1),OFFSET($M$15,0,0,$B$8,1))=EH$14))   /   SUM(OFFSET($BO$15,0,0,$B$14,1)) + $B$18/($B$19*$B$19*($DN291&lt;&gt;$DO291) + $B$19*($DN291=$DO291))</f>
        <v>0.24287037037037026</v>
      </c>
      <c r="EI291" s="10" cm="1">
        <f t="array" aca="1" ref="EI291" ca="1">(1-$B$18)*SUMPRODUCT(OFFSET($BO$15,0,0,$B$14,1), 1*(_xlfn._xlws.FILTER(OFFSET($O$15,0,$DN291,$B$8,1),OFFSET($M$15,0,0,$B$8,1))=EI$13), 1*(_xlfn._xlws.FILTER(OFFSET($O$15,0,$DO291,$B$8,1),OFFSET($M$15,0,0,$B$8,1))=EI$14))   /   SUM(OFFSET($BO$15,0,0,$B$14,1)) + $B$18/($B$19*$B$19*($DN291&lt;&gt;$DO291) + $B$19*($DN291=$DO291))</f>
        <v>0.24287037037037026</v>
      </c>
      <c r="EJ291" s="10" cm="1">
        <f t="array" aca="1" ref="EJ291" ca="1">(1-$B$18)*SUMPRODUCT(OFFSET($BO$15,0,0,$B$14,1), 1*(_xlfn._xlws.FILTER(OFFSET($O$15,0,$DN291,$B$8,1),OFFSET($M$15,0,0,$B$8,1))=EJ$13), 1*(_xlfn._xlws.FILTER(OFFSET($O$15,0,$DO291,$B$8,1),OFFSET($M$15,0,0,$B$8,1))=EJ$14))   /   SUM(OFFSET($BO$15,0,0,$B$14,1)) + $B$18/($B$19*$B$19*($DN291&lt;&gt;$DO291) + $B$19*($DN291=$DO291))</f>
        <v>3.7037037037037035E-4</v>
      </c>
      <c r="EK291" s="10" cm="1">
        <f t="array" aca="1" ref="EK291" ca="1">(1-$B$18)*SUMPRODUCT(OFFSET($BO$15,0,0,$B$14,1), 1*(_xlfn._xlws.FILTER(OFFSET($O$15,0,$DN291,$B$8,1),OFFSET($M$15,0,0,$B$8,1))=EK$13), 1*(_xlfn._xlws.FILTER(OFFSET($O$15,0,$DO291,$B$8,1),OFFSET($M$15,0,0,$B$8,1))=EK$14))   /   SUM(OFFSET($BO$15,0,0,$B$14,1)) + $B$18/($B$19*$B$19*($DN291&lt;&gt;$DO291) + $B$19*($DN291=$DO291))</f>
        <v>3.7037037037037035E-4</v>
      </c>
      <c r="EL291" s="10" cm="1">
        <f t="array" aca="1" ref="EL291" ca="1">(1-$B$18)*SUMPRODUCT(OFFSET($BO$15,0,0,$B$14,1), 1*(_xlfn._xlws.FILTER(OFFSET($O$15,0,$DN291,$B$8,1),OFFSET($M$15,0,0,$B$8,1))=EL$13), 1*(_xlfn._xlws.FILTER(OFFSET($O$15,0,$DO291,$B$8,1),OFFSET($M$15,0,0,$B$8,1))=EL$14))   /   SUM(OFFSET($BO$15,0,0,$B$14,1)) + $B$18/($B$19*$B$19*($DN291&lt;&gt;$DO291) + $B$19*($DN291=$DO291))</f>
        <v>3.7037037037037035E-4</v>
      </c>
      <c r="EM291" s="10" cm="1">
        <f t="array" aca="1" ref="EM291" ca="1">(1-$B$18)*SUMPRODUCT(OFFSET($BO$15,0,0,$B$14,1), 1*(_xlfn._xlws.FILTER(OFFSET($O$15,0,$DN291,$B$8,1),OFFSET($M$15,0,0,$B$8,1))=EM$13), 1*(_xlfn._xlws.FILTER(OFFSET($O$15,0,$DO291,$B$8,1),OFFSET($M$15,0,0,$B$8,1))=EM$14))   /   SUM(OFFSET($BO$15,0,0,$B$14,1)) + $B$18/($B$19*$B$19*($DN291&lt;&gt;$DO291) + $B$19*($DN291=$DO291))</f>
        <v>3.7037037037037035E-4</v>
      </c>
      <c r="EN291" s="10" cm="1">
        <f t="array" aca="1" ref="EN291" ca="1">(1-$B$18)*SUMPRODUCT(OFFSET($BO$15,0,0,$B$14,1), 1*(_xlfn._xlws.FILTER(OFFSET($O$15,0,$DN291,$B$8,1),OFFSET($M$15,0,0,$B$8,1))=EN$13), 1*(_xlfn._xlws.FILTER(OFFSET($O$15,0,$DO291,$B$8,1),OFFSET($M$15,0,0,$B$8,1))=EN$14))   /   SUM(OFFSET($BO$15,0,0,$B$14,1)) + $B$18/($B$19*$B$19*($DN291&lt;&gt;$DO291) + $B$19*($DN291=$DO291))</f>
        <v>3.7037037037037035E-4</v>
      </c>
      <c r="EO291" s="10" cm="1">
        <f t="array" aca="1" ref="EO291" ca="1">(1-$B$18)*SUMPRODUCT(OFFSET($BO$15,0,0,$B$14,1), 1*(_xlfn._xlws.FILTER(OFFSET($O$15,0,$DN291,$B$8,1),OFFSET($M$15,0,0,$B$8,1))=EO$13), 1*(_xlfn._xlws.FILTER(OFFSET($O$15,0,$DO291,$B$8,1),OFFSET($M$15,0,0,$B$8,1))=EO$14))   /   SUM(OFFSET($BO$15,0,0,$B$14,1)) + $B$18/($B$19*$B$19*($DN291&lt;&gt;$DO291) + $B$19*($DN291=$DO291))</f>
        <v>3.7037037037037035E-4</v>
      </c>
      <c r="EP291" s="10" cm="1">
        <f t="array" aca="1" ref="EP291" ca="1">(1-$B$18)*SUMPRODUCT(OFFSET($BO$15,0,0,$B$14,1), 1*(_xlfn._xlws.FILTER(OFFSET($O$15,0,$DN291,$B$8,1),OFFSET($M$15,0,0,$B$8,1))=EP$13), 1*(_xlfn._xlws.FILTER(OFFSET($O$15,0,$DO291,$B$8,1),OFFSET($M$15,0,0,$B$8,1))=EP$14))   /   SUM(OFFSET($BO$15,0,0,$B$14,1)) + $B$18/($B$19*$B$19*($DN291&lt;&gt;$DO291) + $B$19*($DN291=$DO291))</f>
        <v>3.7037037037037035E-4</v>
      </c>
      <c r="EQ291" s="10" cm="1">
        <f t="array" aca="1" ref="EQ291" ca="1">(1-$B$18)*SUMPRODUCT(OFFSET($BO$15,0,0,$B$14,1), 1*(_xlfn._xlws.FILTER(OFFSET($O$15,0,$DN291,$B$8,1),OFFSET($M$15,0,0,$B$8,1))=EQ$13), 1*(_xlfn._xlws.FILTER(OFFSET($O$15,0,$DO291,$B$8,1),OFFSET($M$15,0,0,$B$8,1))=EQ$14))   /   SUM(OFFSET($BO$15,0,0,$B$14,1)) + $B$18/($B$19*$B$19*($DN291&lt;&gt;$DO291) + $B$19*($DN291=$DO291))</f>
        <v>3.7037037037037035E-4</v>
      </c>
      <c r="ER291" s="10" cm="1">
        <f t="array" aca="1" ref="ER291" ca="1">(1-$B$18)*SUMPRODUCT(OFFSET($BO$15,0,0,$B$14,1), 1*(_xlfn._xlws.FILTER(OFFSET($O$15,0,$DN291,$B$8,1),OFFSET($M$15,0,0,$B$8,1))=ER$13), 1*(_xlfn._xlws.FILTER(OFFSET($O$15,0,$DO291,$B$8,1),OFFSET($M$15,0,0,$B$8,1))=ER$14))   /   SUM(OFFSET($BO$15,0,0,$B$14,1)) + $B$18/($B$19*$B$19*($DN291&lt;&gt;$DO291) + $B$19*($DN291=$DO291))</f>
        <v>3.7037037037037035E-4</v>
      </c>
      <c r="ES291" s="10" cm="1">
        <f t="array" aca="1" ref="ES291" ca="1">(1-$B$18)*SUMPRODUCT(OFFSET($BO$15,0,0,$B$14,1), 1*(_xlfn._xlws.FILTER(OFFSET($O$15,0,$DN291,$B$8,1),OFFSET($M$15,0,0,$B$8,1))=ES$13), 1*(_xlfn._xlws.FILTER(OFFSET($O$15,0,$DO291,$B$8,1),OFFSET($M$15,0,0,$B$8,1))=ES$14))   /   SUM(OFFSET($BO$15,0,0,$B$14,1)) + $B$18/($B$19*$B$19*($DN291&lt;&gt;$DO291) + $B$19*($DN291=$DO291))</f>
        <v>3.7037037037037035E-4</v>
      </c>
      <c r="ET291" s="10" cm="1">
        <f t="array" aca="1" ref="ET291" ca="1">(1-$B$18)*SUMPRODUCT(OFFSET($BO$15,0,0,$B$14,1), 1*(_xlfn._xlws.FILTER(OFFSET($O$15,0,$DN291,$B$8,1),OFFSET($M$15,0,0,$B$8,1))=ET$13), 1*(_xlfn._xlws.FILTER(OFFSET($O$15,0,$DO291,$B$8,1),OFFSET($M$15,0,0,$B$8,1))=ET$14))   /   SUM(OFFSET($BO$15,0,0,$B$14,1)) + $B$18/($B$19*$B$19*($DN291&lt;&gt;$DO291) + $B$19*($DN291=$DO291))</f>
        <v>3.7037037037037035E-4</v>
      </c>
      <c r="EU291" s="10" cm="1">
        <f t="array" aca="1" ref="EU291" ca="1">(1-$B$18)*SUMPRODUCT(OFFSET($BO$15,0,0,$B$14,1), 1*(_xlfn._xlws.FILTER(OFFSET($O$15,0,$DN291,$B$8,1),OFFSET($M$15,0,0,$B$8,1))=EU$13), 1*(_xlfn._xlws.FILTER(OFFSET($O$15,0,$DO291,$B$8,1),OFFSET($M$15,0,0,$B$8,1))=EU$14))   /   SUM(OFFSET($BO$15,0,0,$B$14,1)) + $B$18/($B$19*$B$19*($DN291&lt;&gt;$DO291) + $B$19*($DN291=$DO291))</f>
        <v>3.7037037037037035E-4</v>
      </c>
      <c r="EV291" s="10" cm="1">
        <f t="array" aca="1" ref="EV291" ca="1">(1-$B$18)*SUMPRODUCT(OFFSET($BO$15,0,0,$B$14,1), 1*(_xlfn._xlws.FILTER(OFFSET($O$15,0,$DN291,$B$8,1),OFFSET($M$15,0,0,$B$8,1))=EV$13), 1*(_xlfn._xlws.FILTER(OFFSET($O$15,0,$DO291,$B$8,1),OFFSET($M$15,0,0,$B$8,1))=EV$14))   /   SUM(OFFSET($BO$15,0,0,$B$14,1)) + $B$18/($B$19*$B$19*($DN291&lt;&gt;$DO291) + $B$19*($DN291=$DO291))</f>
        <v>3.7037037037037035E-4</v>
      </c>
      <c r="EW291" s="10" cm="1">
        <f t="array" aca="1" ref="EW291" ca="1">(1-$B$18)*SUMPRODUCT(OFFSET($BO$15,0,0,$B$14,1), 1*(_xlfn._xlws.FILTER(OFFSET($O$15,0,$DN291,$B$8,1),OFFSET($M$15,0,0,$B$8,1))=EW$13), 1*(_xlfn._xlws.FILTER(OFFSET($O$15,0,$DO291,$B$8,1),OFFSET($M$15,0,0,$B$8,1))=EW$14))   /   SUM(OFFSET($BO$15,0,0,$B$14,1)) + $B$18/($B$19*$B$19*($DN291&lt;&gt;$DO291) + $B$19*($DN291=$DO291))</f>
        <v>3.7037037037037035E-4</v>
      </c>
      <c r="EX291" s="10" cm="1">
        <f t="array" aca="1" ref="EX291" ca="1">(1-$B$18)*SUMPRODUCT(OFFSET($BO$15,0,0,$B$14,1), 1*(_xlfn._xlws.FILTER(OFFSET($O$15,0,$DN291,$B$8,1),OFFSET($M$15,0,0,$B$8,1))=EX$13), 1*(_xlfn._xlws.FILTER(OFFSET($O$15,0,$DO291,$B$8,1),OFFSET($M$15,0,0,$B$8,1))=EX$14))   /   SUM(OFFSET($BO$15,0,0,$B$14,1)) + $B$18/($B$19*$B$19*($DN291&lt;&gt;$DO291) + $B$19*($DN291=$DO291))</f>
        <v>3.7037037037037035E-4</v>
      </c>
      <c r="EY291" s="10" cm="1">
        <f t="array" aca="1" ref="EY291" ca="1">(1-$B$18)*SUMPRODUCT(OFFSET($BO$15,0,0,$B$14,1), 1*(_xlfn._xlws.FILTER(OFFSET($O$15,0,$DN291,$B$8,1),OFFSET($M$15,0,0,$B$8,1))=EY$13), 1*(_xlfn._xlws.FILTER(OFFSET($O$15,0,$DO291,$B$8,1),OFFSET($M$15,0,0,$B$8,1))=EY$14))   /   SUM(OFFSET($BO$15,0,0,$B$14,1)) + $B$18/($B$19*$B$19*($DN291&lt;&gt;$DO291) + $B$19*($DN291=$DO291))</f>
        <v>3.7037037037037035E-4</v>
      </c>
      <c r="EZ291" s="10" cm="1">
        <f t="array" aca="1" ref="EZ291" ca="1">(1-$B$18)*SUMPRODUCT(OFFSET($BO$15,0,0,$B$14,1), 1*(_xlfn._xlws.FILTER(OFFSET($O$15,0,$DN291,$B$8,1),OFFSET($M$15,0,0,$B$8,1))=EZ$13), 1*(_xlfn._xlws.FILTER(OFFSET($O$15,0,$DO291,$B$8,1),OFFSET($M$15,0,0,$B$8,1))=EZ$14))   /   SUM(OFFSET($BO$15,0,0,$B$14,1)) + $B$18/($B$19*$B$19*($DN291&lt;&gt;$DO291) + $B$19*($DN291=$DO291))</f>
        <v>3.7037037037037035E-4</v>
      </c>
      <c r="FA291" s="10" cm="1">
        <f t="array" aca="1" ref="FA291" ca="1">(1-$B$18)*SUMPRODUCT(OFFSET($BO$15,0,0,$B$14,1), 1*(_xlfn._xlws.FILTER(OFFSET($O$15,0,$DN291,$B$8,1),OFFSET($M$15,0,0,$B$8,1))=FA$13), 1*(_xlfn._xlws.FILTER(OFFSET($O$15,0,$DO291,$B$8,1),OFFSET($M$15,0,0,$B$8,1))=FA$14))   /   SUM(OFFSET($BO$15,0,0,$B$14,1)) + $B$18/($B$19*$B$19*($DN291&lt;&gt;$DO291) + $B$19*($DN291=$DO291))</f>
        <v>3.7037037037037035E-4</v>
      </c>
      <c r="FB291" s="10" cm="1">
        <f t="array" aca="1" ref="FB291" ca="1">(1-$B$18)*SUMPRODUCT(OFFSET($BO$15,0,0,$B$14,1), 1*(_xlfn._xlws.FILTER(OFFSET($O$15,0,$DN291,$B$8,1),OFFSET($M$15,0,0,$B$8,1))=FB$13), 1*(_xlfn._xlws.FILTER(OFFSET($O$15,0,$DO291,$B$8,1),OFFSET($M$15,0,0,$B$8,1))=FB$14))   /   SUM(OFFSET($BO$15,0,0,$B$14,1)) + $B$18/($B$19*$B$19*($DN291&lt;&gt;$DO291) + $B$19*($DN291=$DO291))</f>
        <v>3.7037037037037035E-4</v>
      </c>
      <c r="FC291" s="10" cm="1">
        <f t="array" aca="1" ref="FC291" ca="1">(1-$B$18)*SUMPRODUCT(OFFSET($BO$15,0,0,$B$14,1), 1*(_xlfn._xlws.FILTER(OFFSET($O$15,0,$DN291,$B$8,1),OFFSET($M$15,0,0,$B$8,1))=FC$13), 1*(_xlfn._xlws.FILTER(OFFSET($O$15,0,$DO291,$B$8,1),OFFSET($M$15,0,0,$B$8,1))=FC$14))   /   SUM(OFFSET($BO$15,0,0,$B$14,1)) + $B$18/($B$19*$B$19*($DN291&lt;&gt;$DO291) + $B$19*($DN291=$DO291))</f>
        <v>3.7037037037037035E-4</v>
      </c>
      <c r="FD291" s="10" cm="1">
        <f t="array" aca="1" ref="FD291" ca="1">(1-$B$18)*SUMPRODUCT(OFFSET($BO$15,0,0,$B$14,1), 1*(_xlfn._xlws.FILTER(OFFSET($O$15,0,$DN291,$B$8,1),OFFSET($M$15,0,0,$B$8,1))=FD$13), 1*(_xlfn._xlws.FILTER(OFFSET($O$15,0,$DO291,$B$8,1),OFFSET($M$15,0,0,$B$8,1))=FD$14))   /   SUM(OFFSET($BO$15,0,0,$B$14,1)) + $B$18/($B$19*$B$19*($DN291&lt;&gt;$DO291) + $B$19*($DN291=$DO291))</f>
        <v>3.7037037037037035E-4</v>
      </c>
      <c r="FE291" s="10" cm="1">
        <f t="array" aca="1" ref="FE291" ca="1">(1-$B$18)*SUMPRODUCT(OFFSET($BO$15,0,0,$B$14,1), 1*(_xlfn._xlws.FILTER(OFFSET($O$15,0,$DN291,$B$8,1),OFFSET($M$15,0,0,$B$8,1))=FE$13), 1*(_xlfn._xlws.FILTER(OFFSET($O$15,0,$DO291,$B$8,1),OFFSET($M$15,0,0,$B$8,1))=FE$14))   /   SUM(OFFSET($BO$15,0,0,$B$14,1)) + $B$18/($B$19*$B$19*($DN291&lt;&gt;$DO291) + $B$19*($DN291=$DO291))</f>
        <v>3.7037037037037035E-4</v>
      </c>
      <c r="FF291" s="10" cm="1">
        <f t="array" aca="1" ref="FF291" ca="1">(1-$B$18)*SUMPRODUCT(OFFSET($BO$15,0,0,$B$14,1), 1*(_xlfn._xlws.FILTER(OFFSET($O$15,0,$DN291,$B$8,1),OFFSET($M$15,0,0,$B$8,1))=FF$13), 1*(_xlfn._xlws.FILTER(OFFSET($O$15,0,$DO291,$B$8,1),OFFSET($M$15,0,0,$B$8,1))=FF$14))   /   SUM(OFFSET($BO$15,0,0,$B$14,1)) + $B$18/($B$19*$B$19*($DN291&lt;&gt;$DO291) + $B$19*($DN291=$DO291))</f>
        <v>3.7037037037037035E-4</v>
      </c>
      <c r="FG291" s="10" cm="1">
        <f t="array" aca="1" ref="FG291" ca="1">(1-$B$18)*SUMPRODUCT(OFFSET($BO$15,0,0,$B$14,1), 1*(_xlfn._xlws.FILTER(OFFSET($O$15,0,$DN291,$B$8,1),OFFSET($M$15,0,0,$B$8,1))=FG$13), 1*(_xlfn._xlws.FILTER(OFFSET($O$15,0,$DO291,$B$8,1),OFFSET($M$15,0,0,$B$8,1))=FG$14))   /   SUM(OFFSET($BO$15,0,0,$B$14,1)) + $B$18/($B$19*$B$19*($DN291&lt;&gt;$DO291) + $B$19*($DN291=$DO291))</f>
        <v>3.7037037037037035E-4</v>
      </c>
      <c r="FH291" s="10" cm="1">
        <f t="array" aca="1" ref="FH291" ca="1">(1-$B$18)*SUMPRODUCT(OFFSET($BO$15,0,0,$B$14,1), 1*(_xlfn._xlws.FILTER(OFFSET($O$15,0,$DN291,$B$8,1),OFFSET($M$15,0,0,$B$8,1))=FH$13), 1*(_xlfn._xlws.FILTER(OFFSET($O$15,0,$DO291,$B$8,1),OFFSET($M$15,0,0,$B$8,1))=FH$14))   /   SUM(OFFSET($BO$15,0,0,$B$14,1)) + $B$18/($B$19*$B$19*($DN291&lt;&gt;$DO291) + $B$19*($DN291=$DO291))</f>
        <v>3.7037037037037035E-4</v>
      </c>
      <c r="FI291" s="10" cm="1">
        <f t="array" aca="1" ref="FI291" ca="1">(1-$B$18)*SUMPRODUCT(OFFSET($BO$15,0,0,$B$14,1), 1*(_xlfn._xlws.FILTER(OFFSET($O$15,0,$DN291,$B$8,1),OFFSET($M$15,0,0,$B$8,1))=FI$13), 1*(_xlfn._xlws.FILTER(OFFSET($O$15,0,$DO291,$B$8,1),OFFSET($M$15,0,0,$B$8,1))=FI$14))   /   SUM(OFFSET($BO$15,0,0,$B$14,1)) + $B$18/($B$19*$B$19*($DN291&lt;&gt;$DO291) + $B$19*($DN291=$DO291))</f>
        <v>3.7037037037037035E-4</v>
      </c>
      <c r="FJ291" s="10" cm="1">
        <f t="array" aca="1" ref="FJ291" ca="1">(1-$B$18)*SUMPRODUCT(OFFSET($BO$15,0,0,$B$14,1), 1*(_xlfn._xlws.FILTER(OFFSET($O$15,0,$DN291,$B$8,1),OFFSET($M$15,0,0,$B$8,1))=FJ$13), 1*(_xlfn._xlws.FILTER(OFFSET($O$15,0,$DO291,$B$8,1),OFFSET($M$15,0,0,$B$8,1))=FJ$14))   /   SUM(OFFSET($BO$15,0,0,$B$14,1)) + $B$18/($B$19*$B$19*($DN291&lt;&gt;$DO291) + $B$19*($DN291=$DO291))</f>
        <v>3.7037037037037035E-4</v>
      </c>
      <c r="FK291" s="10" cm="1">
        <f t="array" aca="1" ref="FK291" ca="1">(1-$B$18)*SUMPRODUCT(OFFSET($BO$15,0,0,$B$14,1), 1*(_xlfn._xlws.FILTER(OFFSET($O$15,0,$DN291,$B$8,1),OFFSET($M$15,0,0,$B$8,1))=FK$13), 1*(_xlfn._xlws.FILTER(OFFSET($O$15,0,$DO291,$B$8,1),OFFSET($M$15,0,0,$B$8,1))=FK$14))   /   SUM(OFFSET($BO$15,0,0,$B$14,1)) + $B$18/($B$19*$B$19*($DN291&lt;&gt;$DO291) + $B$19*($DN291=$DO291))</f>
        <v>3.7037037037037035E-4</v>
      </c>
      <c r="FL291" s="10" cm="1">
        <f t="array" aca="1" ref="FL291" ca="1">(1-$B$18)*SUMPRODUCT(OFFSET($BO$15,0,0,$B$14,1), 1*(_xlfn._xlws.FILTER(OFFSET($O$15,0,$DN291,$B$8,1),OFFSET($M$15,0,0,$B$8,1))=FL$13), 1*(_xlfn._xlws.FILTER(OFFSET($O$15,0,$DO291,$B$8,1),OFFSET($M$15,0,0,$B$8,1))=FL$14))   /   SUM(OFFSET($BO$15,0,0,$B$14,1)) + $B$18/($B$19*$B$19*($DN291&lt;&gt;$DO291) + $B$19*($DN291=$DO291))</f>
        <v>3.7037037037037035E-4</v>
      </c>
      <c r="FM291" s="10" cm="1">
        <f t="array" aca="1" ref="FM291" ca="1">(1-$B$18)*SUMPRODUCT(OFFSET($BO$15,0,0,$B$14,1), 1*(_xlfn._xlws.FILTER(OFFSET($O$15,0,$DN291,$B$8,1),OFFSET($M$15,0,0,$B$8,1))=FM$13), 1*(_xlfn._xlws.FILTER(OFFSET($O$15,0,$DO291,$B$8,1),OFFSET($M$15,0,0,$B$8,1))=FM$14))   /   SUM(OFFSET($BO$15,0,0,$B$14,1)) + $B$18/($B$19*$B$19*($DN291&lt;&gt;$DO291) + $B$19*($DN291=$DO291))</f>
        <v>3.7037037037037035E-4</v>
      </c>
      <c r="FN291" s="10" cm="1">
        <f t="array" aca="1" ref="FN291" ca="1">(1-$B$18)*SUMPRODUCT(OFFSET($BO$15,0,0,$B$14,1), 1*(_xlfn._xlws.FILTER(OFFSET($O$15,0,$DN291,$B$8,1),OFFSET($M$15,0,0,$B$8,1))=FN$13), 1*(_xlfn._xlws.FILTER(OFFSET($O$15,0,$DO291,$B$8,1),OFFSET($M$15,0,0,$B$8,1))=FN$14))   /   SUM(OFFSET($BO$15,0,0,$B$14,1)) + $B$18/($B$19*$B$19*($DN291&lt;&gt;$DO291) + $B$19*($DN291=$DO291))</f>
        <v>3.7037037037037035E-4</v>
      </c>
      <c r="FO291" s="10" cm="1">
        <f t="array" aca="1" ref="FO291" ca="1">(1-$B$18)*SUMPRODUCT(OFFSET($BO$15,0,0,$B$14,1), 1*(_xlfn._xlws.FILTER(OFFSET($O$15,0,$DN291,$B$8,1),OFFSET($M$15,0,0,$B$8,1))=FO$13), 1*(_xlfn._xlws.FILTER(OFFSET($O$15,0,$DO291,$B$8,1),OFFSET($M$15,0,0,$B$8,1))=FO$14))   /   SUM(OFFSET($BO$15,0,0,$B$14,1)) + $B$18/($B$19*$B$19*($DN291&lt;&gt;$DO291) + $B$19*($DN291=$DO291))</f>
        <v>3.7037037037037035E-4</v>
      </c>
      <c r="FP291" s="10" cm="1">
        <f t="array" aca="1" ref="FP291" ca="1">(1-$B$18)*SUMPRODUCT(OFFSET($BO$15,0,0,$B$14,1), 1*(_xlfn._xlws.FILTER(OFFSET($O$15,0,$DN291,$B$8,1),OFFSET($M$15,0,0,$B$8,1))=FP$13), 1*(_xlfn._xlws.FILTER(OFFSET($O$15,0,$DO291,$B$8,1),OFFSET($M$15,0,0,$B$8,1))=FP$14))   /   SUM(OFFSET($BO$15,0,0,$B$14,1)) + $B$18/($B$19*$B$19*($DN291&lt;&gt;$DO291) + $B$19*($DN291=$DO291))</f>
        <v>3.7037037037037035E-4</v>
      </c>
      <c r="FQ291" s="10" cm="1">
        <f t="array" aca="1" ref="FQ291" ca="1">(1-$B$18)*SUMPRODUCT(OFFSET($BO$15,0,0,$B$14,1), 1*(_xlfn._xlws.FILTER(OFFSET($O$15,0,$DN291,$B$8,1),OFFSET($M$15,0,0,$B$8,1))=FQ$13), 1*(_xlfn._xlws.FILTER(OFFSET($O$15,0,$DO291,$B$8,1),OFFSET($M$15,0,0,$B$8,1))=FQ$14))   /   SUM(OFFSET($BO$15,0,0,$B$14,1)) + $B$18/($B$19*$B$19*($DN291&lt;&gt;$DO291) + $B$19*($DN291=$DO291))</f>
        <v>3.7037037037037035E-4</v>
      </c>
      <c r="FR291" s="10" cm="1">
        <f t="array" aca="1" ref="FR291" ca="1">(1-$B$18)*SUMPRODUCT(OFFSET($BO$15,0,0,$B$14,1), 1*(_xlfn._xlws.FILTER(OFFSET($O$15,0,$DN291,$B$8,1),OFFSET($M$15,0,0,$B$8,1))=FR$13), 1*(_xlfn._xlws.FILTER(OFFSET($O$15,0,$DO291,$B$8,1),OFFSET($M$15,0,0,$B$8,1))=FR$14))   /   SUM(OFFSET($BO$15,0,0,$B$14,1)) + $B$18/($B$19*$B$19*($DN291&lt;&gt;$DO291) + $B$19*($DN291=$DO291))</f>
        <v>3.7037037037037035E-4</v>
      </c>
      <c r="FS291" s="10" cm="1">
        <f t="array" aca="1" ref="FS291" ca="1">(1-$B$18)*SUMPRODUCT(OFFSET($BO$15,0,0,$B$14,1), 1*(_xlfn._xlws.FILTER(OFFSET($O$15,0,$DN291,$B$8,1),OFFSET($M$15,0,0,$B$8,1))=FS$13), 1*(_xlfn._xlws.FILTER(OFFSET($O$15,0,$DO291,$B$8,1),OFFSET($M$15,0,0,$B$8,1))=FS$14))   /   SUM(OFFSET($BO$15,0,0,$B$14,1)) + $B$18/($B$19*$B$19*($DN291&lt;&gt;$DO291) + $B$19*($DN291=$DO291))</f>
        <v>3.7037037037037035E-4</v>
      </c>
      <c r="FT291" s="10" cm="1">
        <f t="array" aca="1" ref="FT291" ca="1">(1-$B$18)*SUMPRODUCT(OFFSET($BO$15,0,0,$B$14,1), 1*(_xlfn._xlws.FILTER(OFFSET($O$15,0,$DN291,$B$8,1),OFFSET($M$15,0,0,$B$8,1))=FT$13), 1*(_xlfn._xlws.FILTER(OFFSET($O$15,0,$DO291,$B$8,1),OFFSET($M$15,0,0,$B$8,1))=FT$14))   /   SUM(OFFSET($BO$15,0,0,$B$14,1)) + $B$18/($B$19*$B$19*($DN291&lt;&gt;$DO291) + $B$19*($DN291=$DO291))</f>
        <v>3.7037037037037035E-4</v>
      </c>
      <c r="FU291" s="10" cm="1">
        <f t="array" aca="1" ref="FU291" ca="1">(1-$B$18)*SUMPRODUCT(OFFSET($BO$15,0,0,$B$14,1), 1*(_xlfn._xlws.FILTER(OFFSET($O$15,0,$DN291,$B$8,1),OFFSET($M$15,0,0,$B$8,1))=FU$13), 1*(_xlfn._xlws.FILTER(OFFSET($O$15,0,$DO291,$B$8,1),OFFSET($M$15,0,0,$B$8,1))=FU$14))   /   SUM(OFFSET($BO$15,0,0,$B$14,1)) + $B$18/($B$19*$B$19*($DN291&lt;&gt;$DO291) + $B$19*($DN291=$DO291))</f>
        <v>3.7037037037037035E-4</v>
      </c>
      <c r="FV291" s="10" cm="1">
        <f t="array" aca="1" ref="FV291" ca="1">(1-$B$18)*SUMPRODUCT(OFFSET($BO$15,0,0,$B$14,1), 1*(_xlfn._xlws.FILTER(OFFSET($O$15,0,$DN291,$B$8,1),OFFSET($M$15,0,0,$B$8,1))=FV$13), 1*(_xlfn._xlws.FILTER(OFFSET($O$15,0,$DO291,$B$8,1),OFFSET($M$15,0,0,$B$8,1))=FV$14))   /   SUM(OFFSET($BO$15,0,0,$B$14,1)) + $B$18/($B$19*$B$19*($DN291&lt;&gt;$DO291) + $B$19*($DN291=$DO291))</f>
        <v>3.7037037037037035E-4</v>
      </c>
      <c r="FW291" s="10" cm="1">
        <f t="array" aca="1" ref="FW291" ca="1">(1-$B$18)*SUMPRODUCT(OFFSET($BO$15,0,0,$B$14,1), 1*(_xlfn._xlws.FILTER(OFFSET($O$15,0,$DN291,$B$8,1),OFFSET($M$15,0,0,$B$8,1))=FW$13), 1*(_xlfn._xlws.FILTER(OFFSET($O$15,0,$DO291,$B$8,1),OFFSET($M$15,0,0,$B$8,1))=FW$14))   /   SUM(OFFSET($BO$15,0,0,$B$14,1)) + $B$18/($B$19*$B$19*($DN291&lt;&gt;$DO291) + $B$19*($DN291=$DO291))</f>
        <v>3.7037037037037035E-4</v>
      </c>
      <c r="FX291" s="10" cm="1">
        <f t="array" aca="1" ref="FX291" ca="1">(1-$B$18)*SUMPRODUCT(OFFSET($BO$15,0,0,$B$14,1), 1*(_xlfn._xlws.FILTER(OFFSET($O$15,0,$DN291,$B$8,1),OFFSET($M$15,0,0,$B$8,1))=FX$13), 1*(_xlfn._xlws.FILTER(OFFSET($O$15,0,$DO291,$B$8,1),OFFSET($M$15,0,0,$B$8,1))=FX$14))   /   SUM(OFFSET($BO$15,0,0,$B$14,1)) + $B$18/($B$19*$B$19*($DN291&lt;&gt;$DO291) + $B$19*($DN291=$DO291))</f>
        <v>3.7037037037037035E-4</v>
      </c>
      <c r="FY291" s="10" cm="1">
        <f t="array" aca="1" ref="FY291" ca="1">(1-$B$18)*SUMPRODUCT(OFFSET($BO$15,0,0,$B$14,1), 1*(_xlfn._xlws.FILTER(OFFSET($O$15,0,$DN291,$B$8,1),OFFSET($M$15,0,0,$B$8,1))=FY$13), 1*(_xlfn._xlws.FILTER(OFFSET($O$15,0,$DO291,$B$8,1),OFFSET($M$15,0,0,$B$8,1))=FY$14))   /   SUM(OFFSET($BO$15,0,0,$B$14,1)) + $B$18/($B$19*$B$19*($DN291&lt;&gt;$DO291) + $B$19*($DN291=$DO291))</f>
        <v>3.7037037037037035E-4</v>
      </c>
      <c r="FZ291" s="10" cm="1">
        <f t="array" aca="1" ref="FZ291" ca="1">(1-$B$18)*SUMPRODUCT(OFFSET($BO$15,0,0,$B$14,1), 1*(_xlfn._xlws.FILTER(OFFSET($O$15,0,$DN291,$B$8,1),OFFSET($M$15,0,0,$B$8,1))=FZ$13), 1*(_xlfn._xlws.FILTER(OFFSET($O$15,0,$DO291,$B$8,1),OFFSET($M$15,0,0,$B$8,1))=FZ$14))   /   SUM(OFFSET($BO$15,0,0,$B$14,1)) + $B$18/($B$19*$B$19*($DN291&lt;&gt;$DO291) + $B$19*($DN291=$DO291))</f>
        <v>3.7037037037037035E-4</v>
      </c>
      <c r="GA291" s="10" cm="1">
        <f t="array" aca="1" ref="GA291" ca="1">(1-$B$18)*SUMPRODUCT(OFFSET($BO$15,0,0,$B$14,1), 1*(_xlfn._xlws.FILTER(OFFSET($O$15,0,$DN291,$B$8,1),OFFSET($M$15,0,0,$B$8,1))=GA$13), 1*(_xlfn._xlws.FILTER(OFFSET($O$15,0,$DO291,$B$8,1),OFFSET($M$15,0,0,$B$8,1))=GA$14))   /   SUM(OFFSET($BO$15,0,0,$B$14,1)) + $B$18/($B$19*$B$19*($DN291&lt;&gt;$DO291) + $B$19*($DN291=$DO291))</f>
        <v>3.7037037037037035E-4</v>
      </c>
    </row>
    <row r="292" spans="118:183" x14ac:dyDescent="0.2">
      <c r="DN292" cm="1">
        <f t="array" aca="1" ref="DN292" ca="1">INDEX(_xlfn.ANCHORARRAY($CP$15), 1 + INT((ROWS($DO$15:$DO292) - 1) / ROWS(_xlfn.ANCHORARRAY($CP$15))))</f>
        <v>15</v>
      </c>
      <c r="DO292" cm="1">
        <f t="array" aca="1" ref="DO292" ca="1">INDEX(_xlfn.ANCHORARRAY($CP$15),1+MOD(ROWS($DO$15:$DO292)-1,ROWS(_xlfn.ANCHORARRAY($CP$15))))</f>
        <v>12</v>
      </c>
      <c r="DP292" s="10" cm="1">
        <f t="array" aca="1" ref="DP292" ca="1">(1-$B$18)*SUMPRODUCT(OFFSET($BO$15,0,0,$B$14,1), 1*(_xlfn._xlws.FILTER(OFFSET($O$15,0,$DN292,$B$8,1),OFFSET($M$15,0,0,$B$8,1))=DP$13), 1*(_xlfn._xlws.FILTER(OFFSET($O$15,0,$DO292,$B$8,1),OFFSET($M$15,0,0,$B$8,1))=DP$14))   /   SUM(OFFSET($BO$15,0,0,$B$14,1)) + $B$18/($B$19*$B$19*($DN292&lt;&gt;$DO292) + $B$19*($DN292=$DO292))</f>
        <v>3.7037037037037035E-4</v>
      </c>
      <c r="DQ292" s="10" cm="1">
        <f t="array" aca="1" ref="DQ292" ca="1">(1-$B$18)*SUMPRODUCT(OFFSET($BO$15,0,0,$B$14,1), 1*(_xlfn._xlws.FILTER(OFFSET($O$15,0,$DN292,$B$8,1),OFFSET($M$15,0,0,$B$8,1))=DQ$13), 1*(_xlfn._xlws.FILTER(OFFSET($O$15,0,$DO292,$B$8,1),OFFSET($M$15,0,0,$B$8,1))=DQ$14))   /   SUM(OFFSET($BO$15,0,0,$B$14,1)) + $B$18/($B$19*$B$19*($DN292&lt;&gt;$DO292) + $B$19*($DN292=$DO292))</f>
        <v>3.7037037037037035E-4</v>
      </c>
      <c r="DR292" s="10" cm="1">
        <f t="array" aca="1" ref="DR292" ca="1">(1-$B$18)*SUMPRODUCT(OFFSET($BO$15,0,0,$B$14,1), 1*(_xlfn._xlws.FILTER(OFFSET($O$15,0,$DN292,$B$8,1),OFFSET($M$15,0,0,$B$8,1))=DR$13), 1*(_xlfn._xlws.FILTER(OFFSET($O$15,0,$DO292,$B$8,1),OFFSET($M$15,0,0,$B$8,1))=DR$14))   /   SUM(OFFSET($BO$15,0,0,$B$14,1)) + $B$18/($B$19*$B$19*($DN292&lt;&gt;$DO292) + $B$19*($DN292=$DO292))</f>
        <v>3.7037037037037035E-4</v>
      </c>
      <c r="DS292" s="10" cm="1">
        <f t="array" aca="1" ref="DS292" ca="1">(1-$B$18)*SUMPRODUCT(OFFSET($BO$15,0,0,$B$14,1), 1*(_xlfn._xlws.FILTER(OFFSET($O$15,0,$DN292,$B$8,1),OFFSET($M$15,0,0,$B$8,1))=DS$13), 1*(_xlfn._xlws.FILTER(OFFSET($O$15,0,$DO292,$B$8,1),OFFSET($M$15,0,0,$B$8,1))=DS$14))   /   SUM(OFFSET($BO$15,0,0,$B$14,1)) + $B$18/($B$19*$B$19*($DN292&lt;&gt;$DO292) + $B$19*($DN292=$DO292))</f>
        <v>3.7037037037037035E-4</v>
      </c>
      <c r="DT292" s="10" cm="1">
        <f t="array" aca="1" ref="DT292" ca="1">(1-$B$18)*SUMPRODUCT(OFFSET($BO$15,0,0,$B$14,1), 1*(_xlfn._xlws.FILTER(OFFSET($O$15,0,$DN292,$B$8,1),OFFSET($M$15,0,0,$B$8,1))=DT$13), 1*(_xlfn._xlws.FILTER(OFFSET($O$15,0,$DO292,$B$8,1),OFFSET($M$15,0,0,$B$8,1))=DT$14))   /   SUM(OFFSET($BO$15,0,0,$B$14,1)) + $B$18/($B$19*$B$19*($DN292&lt;&gt;$DO292) + $B$19*($DN292=$DO292))</f>
        <v>3.7037037037037035E-4</v>
      </c>
      <c r="DU292" s="10" cm="1">
        <f t="array" aca="1" ref="DU292" ca="1">(1-$B$18)*SUMPRODUCT(OFFSET($BO$15,0,0,$B$14,1), 1*(_xlfn._xlws.FILTER(OFFSET($O$15,0,$DN292,$B$8,1),OFFSET($M$15,0,0,$B$8,1))=DU$13), 1*(_xlfn._xlws.FILTER(OFFSET($O$15,0,$DO292,$B$8,1),OFFSET($M$15,0,0,$B$8,1))=DU$14))   /   SUM(OFFSET($BO$15,0,0,$B$14,1)) + $B$18/($B$19*$B$19*($DN292&lt;&gt;$DO292) + $B$19*($DN292=$DO292))</f>
        <v>3.7037037037037035E-4</v>
      </c>
      <c r="DV292" s="10" cm="1">
        <f t="array" aca="1" ref="DV292" ca="1">(1-$B$18)*SUMPRODUCT(OFFSET($BO$15,0,0,$B$14,1), 1*(_xlfn._xlws.FILTER(OFFSET($O$15,0,$DN292,$B$8,1),OFFSET($M$15,0,0,$B$8,1))=DV$13), 1*(_xlfn._xlws.FILTER(OFFSET($O$15,0,$DO292,$B$8,1),OFFSET($M$15,0,0,$B$8,1))=DV$14))   /   SUM(OFFSET($BO$15,0,0,$B$14,1)) + $B$18/($B$19*$B$19*($DN292&lt;&gt;$DO292) + $B$19*($DN292=$DO292))</f>
        <v>3.7037037037037035E-4</v>
      </c>
      <c r="DW292" s="10" cm="1">
        <f t="array" aca="1" ref="DW292" ca="1">(1-$B$18)*SUMPRODUCT(OFFSET($BO$15,0,0,$B$14,1), 1*(_xlfn._xlws.FILTER(OFFSET($O$15,0,$DN292,$B$8,1),OFFSET($M$15,0,0,$B$8,1))=DW$13), 1*(_xlfn._xlws.FILTER(OFFSET($O$15,0,$DO292,$B$8,1),OFFSET($M$15,0,0,$B$8,1))=DW$14))   /   SUM(OFFSET($BO$15,0,0,$B$14,1)) + $B$18/($B$19*$B$19*($DN292&lt;&gt;$DO292) + $B$19*($DN292=$DO292))</f>
        <v>3.7037037037037035E-4</v>
      </c>
      <c r="DX292" s="10" cm="1">
        <f t="array" aca="1" ref="DX292" ca="1">(1-$B$18)*SUMPRODUCT(OFFSET($BO$15,0,0,$B$14,1), 1*(_xlfn._xlws.FILTER(OFFSET($O$15,0,$DN292,$B$8,1),OFFSET($M$15,0,0,$B$8,1))=DX$13), 1*(_xlfn._xlws.FILTER(OFFSET($O$15,0,$DO292,$B$8,1),OFFSET($M$15,0,0,$B$8,1))=DX$14))   /   SUM(OFFSET($BO$15,0,0,$B$14,1)) + $B$18/($B$19*$B$19*($DN292&lt;&gt;$DO292) + $B$19*($DN292=$DO292))</f>
        <v>3.7037037037037035E-4</v>
      </c>
      <c r="DY292" s="10" cm="1">
        <f t="array" aca="1" ref="DY292" ca="1">(1-$B$18)*SUMPRODUCT(OFFSET($BO$15,0,0,$B$14,1), 1*(_xlfn._xlws.FILTER(OFFSET($O$15,0,$DN292,$B$8,1),OFFSET($M$15,0,0,$B$8,1))=DY$13), 1*(_xlfn._xlws.FILTER(OFFSET($O$15,0,$DO292,$B$8,1),OFFSET($M$15,0,0,$B$8,1))=DY$14))   /   SUM(OFFSET($BO$15,0,0,$B$14,1)) + $B$18/($B$19*$B$19*($DN292&lt;&gt;$DO292) + $B$19*($DN292=$DO292))</f>
        <v>3.7037037037037035E-4</v>
      </c>
      <c r="DZ292" s="10" cm="1">
        <f t="array" aca="1" ref="DZ292" ca="1">(1-$B$18)*SUMPRODUCT(OFFSET($BO$15,0,0,$B$14,1), 1*(_xlfn._xlws.FILTER(OFFSET($O$15,0,$DN292,$B$8,1),OFFSET($M$15,0,0,$B$8,1))=DZ$13), 1*(_xlfn._xlws.FILTER(OFFSET($O$15,0,$DO292,$B$8,1),OFFSET($M$15,0,0,$B$8,1))=DZ$14))   /   SUM(OFFSET($BO$15,0,0,$B$14,1)) + $B$18/($B$19*$B$19*($DN292&lt;&gt;$DO292) + $B$19*($DN292=$DO292))</f>
        <v>3.7037037037037035E-4</v>
      </c>
      <c r="EA292" s="10" cm="1">
        <f t="array" aca="1" ref="EA292" ca="1">(1-$B$18)*SUMPRODUCT(OFFSET($BO$15,0,0,$B$14,1), 1*(_xlfn._xlws.FILTER(OFFSET($O$15,0,$DN292,$B$8,1),OFFSET($M$15,0,0,$B$8,1))=EA$13), 1*(_xlfn._xlws.FILTER(OFFSET($O$15,0,$DO292,$B$8,1),OFFSET($M$15,0,0,$B$8,1))=EA$14))   /   SUM(OFFSET($BO$15,0,0,$B$14,1)) + $B$18/($B$19*$B$19*($DN292&lt;&gt;$DO292) + $B$19*($DN292=$DO292))</f>
        <v>3.7037037037037035E-4</v>
      </c>
      <c r="EB292" s="10" cm="1">
        <f t="array" aca="1" ref="EB292" ca="1">(1-$B$18)*SUMPRODUCT(OFFSET($BO$15,0,0,$B$14,1), 1*(_xlfn._xlws.FILTER(OFFSET($O$15,0,$DN292,$B$8,1),OFFSET($M$15,0,0,$B$8,1))=EB$13), 1*(_xlfn._xlws.FILTER(OFFSET($O$15,0,$DO292,$B$8,1),OFFSET($M$15,0,0,$B$8,1))=EB$14))   /   SUM(OFFSET($BO$15,0,0,$B$14,1)) + $B$18/($B$19*$B$19*($DN292&lt;&gt;$DO292) + $B$19*($DN292=$DO292))</f>
        <v>3.7037037037037035E-4</v>
      </c>
      <c r="EC292" s="10" cm="1">
        <f t="array" aca="1" ref="EC292" ca="1">(1-$B$18)*SUMPRODUCT(OFFSET($BO$15,0,0,$B$14,1), 1*(_xlfn._xlws.FILTER(OFFSET($O$15,0,$DN292,$B$8,1),OFFSET($M$15,0,0,$B$8,1))=EC$13), 1*(_xlfn._xlws.FILTER(OFFSET($O$15,0,$DO292,$B$8,1),OFFSET($M$15,0,0,$B$8,1))=EC$14))   /   SUM(OFFSET($BO$15,0,0,$B$14,1)) + $B$18/($B$19*$B$19*($DN292&lt;&gt;$DO292) + $B$19*($DN292=$DO292))</f>
        <v>3.7037037037037035E-4</v>
      </c>
      <c r="ED292" s="10" cm="1">
        <f t="array" aca="1" ref="ED292" ca="1">(1-$B$18)*SUMPRODUCT(OFFSET($BO$15,0,0,$B$14,1), 1*(_xlfn._xlws.FILTER(OFFSET($O$15,0,$DN292,$B$8,1),OFFSET($M$15,0,0,$B$8,1))=ED$13), 1*(_xlfn._xlws.FILTER(OFFSET($O$15,0,$DO292,$B$8,1),OFFSET($M$15,0,0,$B$8,1))=ED$14))   /   SUM(OFFSET($BO$15,0,0,$B$14,1)) + $B$18/($B$19*$B$19*($DN292&lt;&gt;$DO292) + $B$19*($DN292=$DO292))</f>
        <v>3.7037037037037035E-4</v>
      </c>
      <c r="EE292" s="10" cm="1">
        <f t="array" aca="1" ref="EE292" ca="1">(1-$B$18)*SUMPRODUCT(OFFSET($BO$15,0,0,$B$14,1), 1*(_xlfn._xlws.FILTER(OFFSET($O$15,0,$DN292,$B$8,1),OFFSET($M$15,0,0,$B$8,1))=EE$13), 1*(_xlfn._xlws.FILTER(OFFSET($O$15,0,$DO292,$B$8,1),OFFSET($M$15,0,0,$B$8,1))=EE$14))   /   SUM(OFFSET($BO$15,0,0,$B$14,1)) + $B$18/($B$19*$B$19*($DN292&lt;&gt;$DO292) + $B$19*($DN292=$DO292))</f>
        <v>3.7037037037037035E-4</v>
      </c>
      <c r="EF292" s="10" cm="1">
        <f t="array" aca="1" ref="EF292" ca="1">(1-$B$18)*SUMPRODUCT(OFFSET($BO$15,0,0,$B$14,1), 1*(_xlfn._xlws.FILTER(OFFSET($O$15,0,$DN292,$B$8,1),OFFSET($M$15,0,0,$B$8,1))=EF$13), 1*(_xlfn._xlws.FILTER(OFFSET($O$15,0,$DO292,$B$8,1),OFFSET($M$15,0,0,$B$8,1))=EF$14))   /   SUM(OFFSET($BO$15,0,0,$B$14,1)) + $B$18/($B$19*$B$19*($DN292&lt;&gt;$DO292) + $B$19*($DN292=$DO292))</f>
        <v>3.7037037037037035E-4</v>
      </c>
      <c r="EG292" s="10" cm="1">
        <f t="array" aca="1" ref="EG292" ca="1">(1-$B$18)*SUMPRODUCT(OFFSET($BO$15,0,0,$B$14,1), 1*(_xlfn._xlws.FILTER(OFFSET($O$15,0,$DN292,$B$8,1),OFFSET($M$15,0,0,$B$8,1))=EG$13), 1*(_xlfn._xlws.FILTER(OFFSET($O$15,0,$DO292,$B$8,1),OFFSET($M$15,0,0,$B$8,1))=EG$14))   /   SUM(OFFSET($BO$15,0,0,$B$14,1)) + $B$18/($B$19*$B$19*($DN292&lt;&gt;$DO292) + $B$19*($DN292=$DO292))</f>
        <v>0.97037037037037033</v>
      </c>
      <c r="EH292" s="10" cm="1">
        <f t="array" aca="1" ref="EH292" ca="1">(1-$B$18)*SUMPRODUCT(OFFSET($BO$15,0,0,$B$14,1), 1*(_xlfn._xlws.FILTER(OFFSET($O$15,0,$DN292,$B$8,1),OFFSET($M$15,0,0,$B$8,1))=EH$13), 1*(_xlfn._xlws.FILTER(OFFSET($O$15,0,$DO292,$B$8,1),OFFSET($M$15,0,0,$B$8,1))=EH$14))   /   SUM(OFFSET($BO$15,0,0,$B$14,1)) + $B$18/($B$19*$B$19*($DN292&lt;&gt;$DO292) + $B$19*($DN292=$DO292))</f>
        <v>3.7037037037037035E-4</v>
      </c>
      <c r="EI292" s="10" cm="1">
        <f t="array" aca="1" ref="EI292" ca="1">(1-$B$18)*SUMPRODUCT(OFFSET($BO$15,0,0,$B$14,1), 1*(_xlfn._xlws.FILTER(OFFSET($O$15,0,$DN292,$B$8,1),OFFSET($M$15,0,0,$B$8,1))=EI$13), 1*(_xlfn._xlws.FILTER(OFFSET($O$15,0,$DO292,$B$8,1),OFFSET($M$15,0,0,$B$8,1))=EI$14))   /   SUM(OFFSET($BO$15,0,0,$B$14,1)) + $B$18/($B$19*$B$19*($DN292&lt;&gt;$DO292) + $B$19*($DN292=$DO292))</f>
        <v>3.7037037037037035E-4</v>
      </c>
      <c r="EJ292" s="10" cm="1">
        <f t="array" aca="1" ref="EJ292" ca="1">(1-$B$18)*SUMPRODUCT(OFFSET($BO$15,0,0,$B$14,1), 1*(_xlfn._xlws.FILTER(OFFSET($O$15,0,$DN292,$B$8,1),OFFSET($M$15,0,0,$B$8,1))=EJ$13), 1*(_xlfn._xlws.FILTER(OFFSET($O$15,0,$DO292,$B$8,1),OFFSET($M$15,0,0,$B$8,1))=EJ$14))   /   SUM(OFFSET($BO$15,0,0,$B$14,1)) + $B$18/($B$19*$B$19*($DN292&lt;&gt;$DO292) + $B$19*($DN292=$DO292))</f>
        <v>3.7037037037037035E-4</v>
      </c>
      <c r="EK292" s="10" cm="1">
        <f t="array" aca="1" ref="EK292" ca="1">(1-$B$18)*SUMPRODUCT(OFFSET($BO$15,0,0,$B$14,1), 1*(_xlfn._xlws.FILTER(OFFSET($O$15,0,$DN292,$B$8,1),OFFSET($M$15,0,0,$B$8,1))=EK$13), 1*(_xlfn._xlws.FILTER(OFFSET($O$15,0,$DO292,$B$8,1),OFFSET($M$15,0,0,$B$8,1))=EK$14))   /   SUM(OFFSET($BO$15,0,0,$B$14,1)) + $B$18/($B$19*$B$19*($DN292&lt;&gt;$DO292) + $B$19*($DN292=$DO292))</f>
        <v>3.7037037037037035E-4</v>
      </c>
      <c r="EL292" s="10" cm="1">
        <f t="array" aca="1" ref="EL292" ca="1">(1-$B$18)*SUMPRODUCT(OFFSET($BO$15,0,0,$B$14,1), 1*(_xlfn._xlws.FILTER(OFFSET($O$15,0,$DN292,$B$8,1),OFFSET($M$15,0,0,$B$8,1))=EL$13), 1*(_xlfn._xlws.FILTER(OFFSET($O$15,0,$DO292,$B$8,1),OFFSET($M$15,0,0,$B$8,1))=EL$14))   /   SUM(OFFSET($BO$15,0,0,$B$14,1)) + $B$18/($B$19*$B$19*($DN292&lt;&gt;$DO292) + $B$19*($DN292=$DO292))</f>
        <v>3.7037037037037035E-4</v>
      </c>
      <c r="EM292" s="10" cm="1">
        <f t="array" aca="1" ref="EM292" ca="1">(1-$B$18)*SUMPRODUCT(OFFSET($BO$15,0,0,$B$14,1), 1*(_xlfn._xlws.FILTER(OFFSET($O$15,0,$DN292,$B$8,1),OFFSET($M$15,0,0,$B$8,1))=EM$13), 1*(_xlfn._xlws.FILTER(OFFSET($O$15,0,$DO292,$B$8,1),OFFSET($M$15,0,0,$B$8,1))=EM$14))   /   SUM(OFFSET($BO$15,0,0,$B$14,1)) + $B$18/($B$19*$B$19*($DN292&lt;&gt;$DO292) + $B$19*($DN292=$DO292))</f>
        <v>3.7037037037037035E-4</v>
      </c>
      <c r="EN292" s="10" cm="1">
        <f t="array" aca="1" ref="EN292" ca="1">(1-$B$18)*SUMPRODUCT(OFFSET($BO$15,0,0,$B$14,1), 1*(_xlfn._xlws.FILTER(OFFSET($O$15,0,$DN292,$B$8,1),OFFSET($M$15,0,0,$B$8,1))=EN$13), 1*(_xlfn._xlws.FILTER(OFFSET($O$15,0,$DO292,$B$8,1),OFFSET($M$15,0,0,$B$8,1))=EN$14))   /   SUM(OFFSET($BO$15,0,0,$B$14,1)) + $B$18/($B$19*$B$19*($DN292&lt;&gt;$DO292) + $B$19*($DN292=$DO292))</f>
        <v>3.7037037037037035E-4</v>
      </c>
      <c r="EO292" s="10" cm="1">
        <f t="array" aca="1" ref="EO292" ca="1">(1-$B$18)*SUMPRODUCT(OFFSET($BO$15,0,0,$B$14,1), 1*(_xlfn._xlws.FILTER(OFFSET($O$15,0,$DN292,$B$8,1),OFFSET($M$15,0,0,$B$8,1))=EO$13), 1*(_xlfn._xlws.FILTER(OFFSET($O$15,0,$DO292,$B$8,1),OFFSET($M$15,0,0,$B$8,1))=EO$14))   /   SUM(OFFSET($BO$15,0,0,$B$14,1)) + $B$18/($B$19*$B$19*($DN292&lt;&gt;$DO292) + $B$19*($DN292=$DO292))</f>
        <v>3.7037037037037035E-4</v>
      </c>
      <c r="EP292" s="10" cm="1">
        <f t="array" aca="1" ref="EP292" ca="1">(1-$B$18)*SUMPRODUCT(OFFSET($BO$15,0,0,$B$14,1), 1*(_xlfn._xlws.FILTER(OFFSET($O$15,0,$DN292,$B$8,1),OFFSET($M$15,0,0,$B$8,1))=EP$13), 1*(_xlfn._xlws.FILTER(OFFSET($O$15,0,$DO292,$B$8,1),OFFSET($M$15,0,0,$B$8,1))=EP$14))   /   SUM(OFFSET($BO$15,0,0,$B$14,1)) + $B$18/($B$19*$B$19*($DN292&lt;&gt;$DO292) + $B$19*($DN292=$DO292))</f>
        <v>3.7037037037037035E-4</v>
      </c>
      <c r="EQ292" s="10" cm="1">
        <f t="array" aca="1" ref="EQ292" ca="1">(1-$B$18)*SUMPRODUCT(OFFSET($BO$15,0,0,$B$14,1), 1*(_xlfn._xlws.FILTER(OFFSET($O$15,0,$DN292,$B$8,1),OFFSET($M$15,0,0,$B$8,1))=EQ$13), 1*(_xlfn._xlws.FILTER(OFFSET($O$15,0,$DO292,$B$8,1),OFFSET($M$15,0,0,$B$8,1))=EQ$14))   /   SUM(OFFSET($BO$15,0,0,$B$14,1)) + $B$18/($B$19*$B$19*($DN292&lt;&gt;$DO292) + $B$19*($DN292=$DO292))</f>
        <v>3.7037037037037035E-4</v>
      </c>
      <c r="ER292" s="10" cm="1">
        <f t="array" aca="1" ref="ER292" ca="1">(1-$B$18)*SUMPRODUCT(OFFSET($BO$15,0,0,$B$14,1), 1*(_xlfn._xlws.FILTER(OFFSET($O$15,0,$DN292,$B$8,1),OFFSET($M$15,0,0,$B$8,1))=ER$13), 1*(_xlfn._xlws.FILTER(OFFSET($O$15,0,$DO292,$B$8,1),OFFSET($M$15,0,0,$B$8,1))=ER$14))   /   SUM(OFFSET($BO$15,0,0,$B$14,1)) + $B$18/($B$19*$B$19*($DN292&lt;&gt;$DO292) + $B$19*($DN292=$DO292))</f>
        <v>3.7037037037037035E-4</v>
      </c>
      <c r="ES292" s="10" cm="1">
        <f t="array" aca="1" ref="ES292" ca="1">(1-$B$18)*SUMPRODUCT(OFFSET($BO$15,0,0,$B$14,1), 1*(_xlfn._xlws.FILTER(OFFSET($O$15,0,$DN292,$B$8,1),OFFSET($M$15,0,0,$B$8,1))=ES$13), 1*(_xlfn._xlws.FILTER(OFFSET($O$15,0,$DO292,$B$8,1),OFFSET($M$15,0,0,$B$8,1))=ES$14))   /   SUM(OFFSET($BO$15,0,0,$B$14,1)) + $B$18/($B$19*$B$19*($DN292&lt;&gt;$DO292) + $B$19*($DN292=$DO292))</f>
        <v>3.7037037037037035E-4</v>
      </c>
      <c r="ET292" s="10" cm="1">
        <f t="array" aca="1" ref="ET292" ca="1">(1-$B$18)*SUMPRODUCT(OFFSET($BO$15,0,0,$B$14,1), 1*(_xlfn._xlws.FILTER(OFFSET($O$15,0,$DN292,$B$8,1),OFFSET($M$15,0,0,$B$8,1))=ET$13), 1*(_xlfn._xlws.FILTER(OFFSET($O$15,0,$DO292,$B$8,1),OFFSET($M$15,0,0,$B$8,1))=ET$14))   /   SUM(OFFSET($BO$15,0,0,$B$14,1)) + $B$18/($B$19*$B$19*($DN292&lt;&gt;$DO292) + $B$19*($DN292=$DO292))</f>
        <v>3.7037037037037035E-4</v>
      </c>
      <c r="EU292" s="10" cm="1">
        <f t="array" aca="1" ref="EU292" ca="1">(1-$B$18)*SUMPRODUCT(OFFSET($BO$15,0,0,$B$14,1), 1*(_xlfn._xlws.FILTER(OFFSET($O$15,0,$DN292,$B$8,1),OFFSET($M$15,0,0,$B$8,1))=EU$13), 1*(_xlfn._xlws.FILTER(OFFSET($O$15,0,$DO292,$B$8,1),OFFSET($M$15,0,0,$B$8,1))=EU$14))   /   SUM(OFFSET($BO$15,0,0,$B$14,1)) + $B$18/($B$19*$B$19*($DN292&lt;&gt;$DO292) + $B$19*($DN292=$DO292))</f>
        <v>3.7037037037037035E-4</v>
      </c>
      <c r="EV292" s="10" cm="1">
        <f t="array" aca="1" ref="EV292" ca="1">(1-$B$18)*SUMPRODUCT(OFFSET($BO$15,0,0,$B$14,1), 1*(_xlfn._xlws.FILTER(OFFSET($O$15,0,$DN292,$B$8,1),OFFSET($M$15,0,0,$B$8,1))=EV$13), 1*(_xlfn._xlws.FILTER(OFFSET($O$15,0,$DO292,$B$8,1),OFFSET($M$15,0,0,$B$8,1))=EV$14))   /   SUM(OFFSET($BO$15,0,0,$B$14,1)) + $B$18/($B$19*$B$19*($DN292&lt;&gt;$DO292) + $B$19*($DN292=$DO292))</f>
        <v>3.7037037037037035E-4</v>
      </c>
      <c r="EW292" s="10" cm="1">
        <f t="array" aca="1" ref="EW292" ca="1">(1-$B$18)*SUMPRODUCT(OFFSET($BO$15,0,0,$B$14,1), 1*(_xlfn._xlws.FILTER(OFFSET($O$15,0,$DN292,$B$8,1),OFFSET($M$15,0,0,$B$8,1))=EW$13), 1*(_xlfn._xlws.FILTER(OFFSET($O$15,0,$DO292,$B$8,1),OFFSET($M$15,0,0,$B$8,1))=EW$14))   /   SUM(OFFSET($BO$15,0,0,$B$14,1)) + $B$18/($B$19*$B$19*($DN292&lt;&gt;$DO292) + $B$19*($DN292=$DO292))</f>
        <v>3.7037037037037035E-4</v>
      </c>
      <c r="EX292" s="10" cm="1">
        <f t="array" aca="1" ref="EX292" ca="1">(1-$B$18)*SUMPRODUCT(OFFSET($BO$15,0,0,$B$14,1), 1*(_xlfn._xlws.FILTER(OFFSET($O$15,0,$DN292,$B$8,1),OFFSET($M$15,0,0,$B$8,1))=EX$13), 1*(_xlfn._xlws.FILTER(OFFSET($O$15,0,$DO292,$B$8,1),OFFSET($M$15,0,0,$B$8,1))=EX$14))   /   SUM(OFFSET($BO$15,0,0,$B$14,1)) + $B$18/($B$19*$B$19*($DN292&lt;&gt;$DO292) + $B$19*($DN292=$DO292))</f>
        <v>3.7037037037037035E-4</v>
      </c>
      <c r="EY292" s="10" cm="1">
        <f t="array" aca="1" ref="EY292" ca="1">(1-$B$18)*SUMPRODUCT(OFFSET($BO$15,0,0,$B$14,1), 1*(_xlfn._xlws.FILTER(OFFSET($O$15,0,$DN292,$B$8,1),OFFSET($M$15,0,0,$B$8,1))=EY$13), 1*(_xlfn._xlws.FILTER(OFFSET($O$15,0,$DO292,$B$8,1),OFFSET($M$15,0,0,$B$8,1))=EY$14))   /   SUM(OFFSET($BO$15,0,0,$B$14,1)) + $B$18/($B$19*$B$19*($DN292&lt;&gt;$DO292) + $B$19*($DN292=$DO292))</f>
        <v>3.7037037037037035E-4</v>
      </c>
      <c r="EZ292" s="10" cm="1">
        <f t="array" aca="1" ref="EZ292" ca="1">(1-$B$18)*SUMPRODUCT(OFFSET($BO$15,0,0,$B$14,1), 1*(_xlfn._xlws.FILTER(OFFSET($O$15,0,$DN292,$B$8,1),OFFSET($M$15,0,0,$B$8,1))=EZ$13), 1*(_xlfn._xlws.FILTER(OFFSET($O$15,0,$DO292,$B$8,1),OFFSET($M$15,0,0,$B$8,1))=EZ$14))   /   SUM(OFFSET($BO$15,0,0,$B$14,1)) + $B$18/($B$19*$B$19*($DN292&lt;&gt;$DO292) + $B$19*($DN292=$DO292))</f>
        <v>3.7037037037037035E-4</v>
      </c>
      <c r="FA292" s="10" cm="1">
        <f t="array" aca="1" ref="FA292" ca="1">(1-$B$18)*SUMPRODUCT(OFFSET($BO$15,0,0,$B$14,1), 1*(_xlfn._xlws.FILTER(OFFSET($O$15,0,$DN292,$B$8,1),OFFSET($M$15,0,0,$B$8,1))=FA$13), 1*(_xlfn._xlws.FILTER(OFFSET($O$15,0,$DO292,$B$8,1),OFFSET($M$15,0,0,$B$8,1))=FA$14))   /   SUM(OFFSET($BO$15,0,0,$B$14,1)) + $B$18/($B$19*$B$19*($DN292&lt;&gt;$DO292) + $B$19*($DN292=$DO292))</f>
        <v>3.7037037037037035E-4</v>
      </c>
      <c r="FB292" s="10" cm="1">
        <f t="array" aca="1" ref="FB292" ca="1">(1-$B$18)*SUMPRODUCT(OFFSET($BO$15,0,0,$B$14,1), 1*(_xlfn._xlws.FILTER(OFFSET($O$15,0,$DN292,$B$8,1),OFFSET($M$15,0,0,$B$8,1))=FB$13), 1*(_xlfn._xlws.FILTER(OFFSET($O$15,0,$DO292,$B$8,1),OFFSET($M$15,0,0,$B$8,1))=FB$14))   /   SUM(OFFSET($BO$15,0,0,$B$14,1)) + $B$18/($B$19*$B$19*($DN292&lt;&gt;$DO292) + $B$19*($DN292=$DO292))</f>
        <v>3.7037037037037035E-4</v>
      </c>
      <c r="FC292" s="10" cm="1">
        <f t="array" aca="1" ref="FC292" ca="1">(1-$B$18)*SUMPRODUCT(OFFSET($BO$15,0,0,$B$14,1), 1*(_xlfn._xlws.FILTER(OFFSET($O$15,0,$DN292,$B$8,1),OFFSET($M$15,0,0,$B$8,1))=FC$13), 1*(_xlfn._xlws.FILTER(OFFSET($O$15,0,$DO292,$B$8,1),OFFSET($M$15,0,0,$B$8,1))=FC$14))   /   SUM(OFFSET($BO$15,0,0,$B$14,1)) + $B$18/($B$19*$B$19*($DN292&lt;&gt;$DO292) + $B$19*($DN292=$DO292))</f>
        <v>3.7037037037037035E-4</v>
      </c>
      <c r="FD292" s="10" cm="1">
        <f t="array" aca="1" ref="FD292" ca="1">(1-$B$18)*SUMPRODUCT(OFFSET($BO$15,0,0,$B$14,1), 1*(_xlfn._xlws.FILTER(OFFSET($O$15,0,$DN292,$B$8,1),OFFSET($M$15,0,0,$B$8,1))=FD$13), 1*(_xlfn._xlws.FILTER(OFFSET($O$15,0,$DO292,$B$8,1),OFFSET($M$15,0,0,$B$8,1))=FD$14))   /   SUM(OFFSET($BO$15,0,0,$B$14,1)) + $B$18/($B$19*$B$19*($DN292&lt;&gt;$DO292) + $B$19*($DN292=$DO292))</f>
        <v>3.7037037037037035E-4</v>
      </c>
      <c r="FE292" s="10" cm="1">
        <f t="array" aca="1" ref="FE292" ca="1">(1-$B$18)*SUMPRODUCT(OFFSET($BO$15,0,0,$B$14,1), 1*(_xlfn._xlws.FILTER(OFFSET($O$15,0,$DN292,$B$8,1),OFFSET($M$15,0,0,$B$8,1))=FE$13), 1*(_xlfn._xlws.FILTER(OFFSET($O$15,0,$DO292,$B$8,1),OFFSET($M$15,0,0,$B$8,1))=FE$14))   /   SUM(OFFSET($BO$15,0,0,$B$14,1)) + $B$18/($B$19*$B$19*($DN292&lt;&gt;$DO292) + $B$19*($DN292=$DO292))</f>
        <v>3.7037037037037035E-4</v>
      </c>
      <c r="FF292" s="10" cm="1">
        <f t="array" aca="1" ref="FF292" ca="1">(1-$B$18)*SUMPRODUCT(OFFSET($BO$15,0,0,$B$14,1), 1*(_xlfn._xlws.FILTER(OFFSET($O$15,0,$DN292,$B$8,1),OFFSET($M$15,0,0,$B$8,1))=FF$13), 1*(_xlfn._xlws.FILTER(OFFSET($O$15,0,$DO292,$B$8,1),OFFSET($M$15,0,0,$B$8,1))=FF$14))   /   SUM(OFFSET($BO$15,0,0,$B$14,1)) + $B$18/($B$19*$B$19*($DN292&lt;&gt;$DO292) + $B$19*($DN292=$DO292))</f>
        <v>3.7037037037037035E-4</v>
      </c>
      <c r="FG292" s="10" cm="1">
        <f t="array" aca="1" ref="FG292" ca="1">(1-$B$18)*SUMPRODUCT(OFFSET($BO$15,0,0,$B$14,1), 1*(_xlfn._xlws.FILTER(OFFSET($O$15,0,$DN292,$B$8,1),OFFSET($M$15,0,0,$B$8,1))=FG$13), 1*(_xlfn._xlws.FILTER(OFFSET($O$15,0,$DO292,$B$8,1),OFFSET($M$15,0,0,$B$8,1))=FG$14))   /   SUM(OFFSET($BO$15,0,0,$B$14,1)) + $B$18/($B$19*$B$19*($DN292&lt;&gt;$DO292) + $B$19*($DN292=$DO292))</f>
        <v>3.7037037037037035E-4</v>
      </c>
      <c r="FH292" s="10" cm="1">
        <f t="array" aca="1" ref="FH292" ca="1">(1-$B$18)*SUMPRODUCT(OFFSET($BO$15,0,0,$B$14,1), 1*(_xlfn._xlws.FILTER(OFFSET($O$15,0,$DN292,$B$8,1),OFFSET($M$15,0,0,$B$8,1))=FH$13), 1*(_xlfn._xlws.FILTER(OFFSET($O$15,0,$DO292,$B$8,1),OFFSET($M$15,0,0,$B$8,1))=FH$14))   /   SUM(OFFSET($BO$15,0,0,$B$14,1)) + $B$18/($B$19*$B$19*($DN292&lt;&gt;$DO292) + $B$19*($DN292=$DO292))</f>
        <v>3.7037037037037035E-4</v>
      </c>
      <c r="FI292" s="10" cm="1">
        <f t="array" aca="1" ref="FI292" ca="1">(1-$B$18)*SUMPRODUCT(OFFSET($BO$15,0,0,$B$14,1), 1*(_xlfn._xlws.FILTER(OFFSET($O$15,0,$DN292,$B$8,1),OFFSET($M$15,0,0,$B$8,1))=FI$13), 1*(_xlfn._xlws.FILTER(OFFSET($O$15,0,$DO292,$B$8,1),OFFSET($M$15,0,0,$B$8,1))=FI$14))   /   SUM(OFFSET($BO$15,0,0,$B$14,1)) + $B$18/($B$19*$B$19*($DN292&lt;&gt;$DO292) + $B$19*($DN292=$DO292))</f>
        <v>3.7037037037037035E-4</v>
      </c>
      <c r="FJ292" s="10" cm="1">
        <f t="array" aca="1" ref="FJ292" ca="1">(1-$B$18)*SUMPRODUCT(OFFSET($BO$15,0,0,$B$14,1), 1*(_xlfn._xlws.FILTER(OFFSET($O$15,0,$DN292,$B$8,1),OFFSET($M$15,0,0,$B$8,1))=FJ$13), 1*(_xlfn._xlws.FILTER(OFFSET($O$15,0,$DO292,$B$8,1),OFFSET($M$15,0,0,$B$8,1))=FJ$14))   /   SUM(OFFSET($BO$15,0,0,$B$14,1)) + $B$18/($B$19*$B$19*($DN292&lt;&gt;$DO292) + $B$19*($DN292=$DO292))</f>
        <v>3.7037037037037035E-4</v>
      </c>
      <c r="FK292" s="10" cm="1">
        <f t="array" aca="1" ref="FK292" ca="1">(1-$B$18)*SUMPRODUCT(OFFSET($BO$15,0,0,$B$14,1), 1*(_xlfn._xlws.FILTER(OFFSET($O$15,0,$DN292,$B$8,1),OFFSET($M$15,0,0,$B$8,1))=FK$13), 1*(_xlfn._xlws.FILTER(OFFSET($O$15,0,$DO292,$B$8,1),OFFSET($M$15,0,0,$B$8,1))=FK$14))   /   SUM(OFFSET($BO$15,0,0,$B$14,1)) + $B$18/($B$19*$B$19*($DN292&lt;&gt;$DO292) + $B$19*($DN292=$DO292))</f>
        <v>3.7037037037037035E-4</v>
      </c>
      <c r="FL292" s="10" cm="1">
        <f t="array" aca="1" ref="FL292" ca="1">(1-$B$18)*SUMPRODUCT(OFFSET($BO$15,0,0,$B$14,1), 1*(_xlfn._xlws.FILTER(OFFSET($O$15,0,$DN292,$B$8,1),OFFSET($M$15,0,0,$B$8,1))=FL$13), 1*(_xlfn._xlws.FILTER(OFFSET($O$15,0,$DO292,$B$8,1),OFFSET($M$15,0,0,$B$8,1))=FL$14))   /   SUM(OFFSET($BO$15,0,0,$B$14,1)) + $B$18/($B$19*$B$19*($DN292&lt;&gt;$DO292) + $B$19*($DN292=$DO292))</f>
        <v>3.7037037037037035E-4</v>
      </c>
      <c r="FM292" s="10" cm="1">
        <f t="array" aca="1" ref="FM292" ca="1">(1-$B$18)*SUMPRODUCT(OFFSET($BO$15,0,0,$B$14,1), 1*(_xlfn._xlws.FILTER(OFFSET($O$15,0,$DN292,$B$8,1),OFFSET($M$15,0,0,$B$8,1))=FM$13), 1*(_xlfn._xlws.FILTER(OFFSET($O$15,0,$DO292,$B$8,1),OFFSET($M$15,0,0,$B$8,1))=FM$14))   /   SUM(OFFSET($BO$15,0,0,$B$14,1)) + $B$18/($B$19*$B$19*($DN292&lt;&gt;$DO292) + $B$19*($DN292=$DO292))</f>
        <v>3.7037037037037035E-4</v>
      </c>
      <c r="FN292" s="10" cm="1">
        <f t="array" aca="1" ref="FN292" ca="1">(1-$B$18)*SUMPRODUCT(OFFSET($BO$15,0,0,$B$14,1), 1*(_xlfn._xlws.FILTER(OFFSET($O$15,0,$DN292,$B$8,1),OFFSET($M$15,0,0,$B$8,1))=FN$13), 1*(_xlfn._xlws.FILTER(OFFSET($O$15,0,$DO292,$B$8,1),OFFSET($M$15,0,0,$B$8,1))=FN$14))   /   SUM(OFFSET($BO$15,0,0,$B$14,1)) + $B$18/($B$19*$B$19*($DN292&lt;&gt;$DO292) + $B$19*($DN292=$DO292))</f>
        <v>3.7037037037037035E-4</v>
      </c>
      <c r="FO292" s="10" cm="1">
        <f t="array" aca="1" ref="FO292" ca="1">(1-$B$18)*SUMPRODUCT(OFFSET($BO$15,0,0,$B$14,1), 1*(_xlfn._xlws.FILTER(OFFSET($O$15,0,$DN292,$B$8,1),OFFSET($M$15,0,0,$B$8,1))=FO$13), 1*(_xlfn._xlws.FILTER(OFFSET($O$15,0,$DO292,$B$8,1),OFFSET($M$15,0,0,$B$8,1))=FO$14))   /   SUM(OFFSET($BO$15,0,0,$B$14,1)) + $B$18/($B$19*$B$19*($DN292&lt;&gt;$DO292) + $B$19*($DN292=$DO292))</f>
        <v>3.7037037037037035E-4</v>
      </c>
      <c r="FP292" s="10" cm="1">
        <f t="array" aca="1" ref="FP292" ca="1">(1-$B$18)*SUMPRODUCT(OFFSET($BO$15,0,0,$B$14,1), 1*(_xlfn._xlws.FILTER(OFFSET($O$15,0,$DN292,$B$8,1),OFFSET($M$15,0,0,$B$8,1))=FP$13), 1*(_xlfn._xlws.FILTER(OFFSET($O$15,0,$DO292,$B$8,1),OFFSET($M$15,0,0,$B$8,1))=FP$14))   /   SUM(OFFSET($BO$15,0,0,$B$14,1)) + $B$18/($B$19*$B$19*($DN292&lt;&gt;$DO292) + $B$19*($DN292=$DO292))</f>
        <v>3.7037037037037035E-4</v>
      </c>
      <c r="FQ292" s="10" cm="1">
        <f t="array" aca="1" ref="FQ292" ca="1">(1-$B$18)*SUMPRODUCT(OFFSET($BO$15,0,0,$B$14,1), 1*(_xlfn._xlws.FILTER(OFFSET($O$15,0,$DN292,$B$8,1),OFFSET($M$15,0,0,$B$8,1))=FQ$13), 1*(_xlfn._xlws.FILTER(OFFSET($O$15,0,$DO292,$B$8,1),OFFSET($M$15,0,0,$B$8,1))=FQ$14))   /   SUM(OFFSET($BO$15,0,0,$B$14,1)) + $B$18/($B$19*$B$19*($DN292&lt;&gt;$DO292) + $B$19*($DN292=$DO292))</f>
        <v>3.7037037037037035E-4</v>
      </c>
      <c r="FR292" s="10" cm="1">
        <f t="array" aca="1" ref="FR292" ca="1">(1-$B$18)*SUMPRODUCT(OFFSET($BO$15,0,0,$B$14,1), 1*(_xlfn._xlws.FILTER(OFFSET($O$15,0,$DN292,$B$8,1),OFFSET($M$15,0,0,$B$8,1))=FR$13), 1*(_xlfn._xlws.FILTER(OFFSET($O$15,0,$DO292,$B$8,1),OFFSET($M$15,0,0,$B$8,1))=FR$14))   /   SUM(OFFSET($BO$15,0,0,$B$14,1)) + $B$18/($B$19*$B$19*($DN292&lt;&gt;$DO292) + $B$19*($DN292=$DO292))</f>
        <v>3.7037037037037035E-4</v>
      </c>
      <c r="FS292" s="10" cm="1">
        <f t="array" aca="1" ref="FS292" ca="1">(1-$B$18)*SUMPRODUCT(OFFSET($BO$15,0,0,$B$14,1), 1*(_xlfn._xlws.FILTER(OFFSET($O$15,0,$DN292,$B$8,1),OFFSET($M$15,0,0,$B$8,1))=FS$13), 1*(_xlfn._xlws.FILTER(OFFSET($O$15,0,$DO292,$B$8,1),OFFSET($M$15,0,0,$B$8,1))=FS$14))   /   SUM(OFFSET($BO$15,0,0,$B$14,1)) + $B$18/($B$19*$B$19*($DN292&lt;&gt;$DO292) + $B$19*($DN292=$DO292))</f>
        <v>3.7037037037037035E-4</v>
      </c>
      <c r="FT292" s="10" cm="1">
        <f t="array" aca="1" ref="FT292" ca="1">(1-$B$18)*SUMPRODUCT(OFFSET($BO$15,0,0,$B$14,1), 1*(_xlfn._xlws.FILTER(OFFSET($O$15,0,$DN292,$B$8,1),OFFSET($M$15,0,0,$B$8,1))=FT$13), 1*(_xlfn._xlws.FILTER(OFFSET($O$15,0,$DO292,$B$8,1),OFFSET($M$15,0,0,$B$8,1))=FT$14))   /   SUM(OFFSET($BO$15,0,0,$B$14,1)) + $B$18/($B$19*$B$19*($DN292&lt;&gt;$DO292) + $B$19*($DN292=$DO292))</f>
        <v>3.7037037037037035E-4</v>
      </c>
      <c r="FU292" s="10" cm="1">
        <f t="array" aca="1" ref="FU292" ca="1">(1-$B$18)*SUMPRODUCT(OFFSET($BO$15,0,0,$B$14,1), 1*(_xlfn._xlws.FILTER(OFFSET($O$15,0,$DN292,$B$8,1),OFFSET($M$15,0,0,$B$8,1))=FU$13), 1*(_xlfn._xlws.FILTER(OFFSET($O$15,0,$DO292,$B$8,1),OFFSET($M$15,0,0,$B$8,1))=FU$14))   /   SUM(OFFSET($BO$15,0,0,$B$14,1)) + $B$18/($B$19*$B$19*($DN292&lt;&gt;$DO292) + $B$19*($DN292=$DO292))</f>
        <v>3.7037037037037035E-4</v>
      </c>
      <c r="FV292" s="10" cm="1">
        <f t="array" aca="1" ref="FV292" ca="1">(1-$B$18)*SUMPRODUCT(OFFSET($BO$15,0,0,$B$14,1), 1*(_xlfn._xlws.FILTER(OFFSET($O$15,0,$DN292,$B$8,1),OFFSET($M$15,0,0,$B$8,1))=FV$13), 1*(_xlfn._xlws.FILTER(OFFSET($O$15,0,$DO292,$B$8,1),OFFSET($M$15,0,0,$B$8,1))=FV$14))   /   SUM(OFFSET($BO$15,0,0,$B$14,1)) + $B$18/($B$19*$B$19*($DN292&lt;&gt;$DO292) + $B$19*($DN292=$DO292))</f>
        <v>3.7037037037037035E-4</v>
      </c>
      <c r="FW292" s="10" cm="1">
        <f t="array" aca="1" ref="FW292" ca="1">(1-$B$18)*SUMPRODUCT(OFFSET($BO$15,0,0,$B$14,1), 1*(_xlfn._xlws.FILTER(OFFSET($O$15,0,$DN292,$B$8,1),OFFSET($M$15,0,0,$B$8,1))=FW$13), 1*(_xlfn._xlws.FILTER(OFFSET($O$15,0,$DO292,$B$8,1),OFFSET($M$15,0,0,$B$8,1))=FW$14))   /   SUM(OFFSET($BO$15,0,0,$B$14,1)) + $B$18/($B$19*$B$19*($DN292&lt;&gt;$DO292) + $B$19*($DN292=$DO292))</f>
        <v>3.7037037037037035E-4</v>
      </c>
      <c r="FX292" s="10" cm="1">
        <f t="array" aca="1" ref="FX292" ca="1">(1-$B$18)*SUMPRODUCT(OFFSET($BO$15,0,0,$B$14,1), 1*(_xlfn._xlws.FILTER(OFFSET($O$15,0,$DN292,$B$8,1),OFFSET($M$15,0,0,$B$8,1))=FX$13), 1*(_xlfn._xlws.FILTER(OFFSET($O$15,0,$DO292,$B$8,1),OFFSET($M$15,0,0,$B$8,1))=FX$14))   /   SUM(OFFSET($BO$15,0,0,$B$14,1)) + $B$18/($B$19*$B$19*($DN292&lt;&gt;$DO292) + $B$19*($DN292=$DO292))</f>
        <v>3.7037037037037035E-4</v>
      </c>
      <c r="FY292" s="10" cm="1">
        <f t="array" aca="1" ref="FY292" ca="1">(1-$B$18)*SUMPRODUCT(OFFSET($BO$15,0,0,$B$14,1), 1*(_xlfn._xlws.FILTER(OFFSET($O$15,0,$DN292,$B$8,1),OFFSET($M$15,0,0,$B$8,1))=FY$13), 1*(_xlfn._xlws.FILTER(OFFSET($O$15,0,$DO292,$B$8,1),OFFSET($M$15,0,0,$B$8,1))=FY$14))   /   SUM(OFFSET($BO$15,0,0,$B$14,1)) + $B$18/($B$19*$B$19*($DN292&lt;&gt;$DO292) + $B$19*($DN292=$DO292))</f>
        <v>3.7037037037037035E-4</v>
      </c>
      <c r="FZ292" s="10" cm="1">
        <f t="array" aca="1" ref="FZ292" ca="1">(1-$B$18)*SUMPRODUCT(OFFSET($BO$15,0,0,$B$14,1), 1*(_xlfn._xlws.FILTER(OFFSET($O$15,0,$DN292,$B$8,1),OFFSET($M$15,0,0,$B$8,1))=FZ$13), 1*(_xlfn._xlws.FILTER(OFFSET($O$15,0,$DO292,$B$8,1),OFFSET($M$15,0,0,$B$8,1))=FZ$14))   /   SUM(OFFSET($BO$15,0,0,$B$14,1)) + $B$18/($B$19*$B$19*($DN292&lt;&gt;$DO292) + $B$19*($DN292=$DO292))</f>
        <v>3.7037037037037035E-4</v>
      </c>
      <c r="GA292" s="10" cm="1">
        <f t="array" aca="1" ref="GA292" ca="1">(1-$B$18)*SUMPRODUCT(OFFSET($BO$15,0,0,$B$14,1), 1*(_xlfn._xlws.FILTER(OFFSET($O$15,0,$DN292,$B$8,1),OFFSET($M$15,0,0,$B$8,1))=GA$13), 1*(_xlfn._xlws.FILTER(OFFSET($O$15,0,$DO292,$B$8,1),OFFSET($M$15,0,0,$B$8,1))=GA$14))   /   SUM(OFFSET($BO$15,0,0,$B$14,1)) + $B$18/($B$19*$B$19*($DN292&lt;&gt;$DO292) + $B$19*($DN292=$DO292))</f>
        <v>3.7037037037037035E-4</v>
      </c>
    </row>
    <row r="293" spans="118:183" x14ac:dyDescent="0.2">
      <c r="DN293" cm="1">
        <f t="array" aca="1" ref="DN293" ca="1">INDEX(_xlfn.ANCHORARRAY($CP$15), 1 + INT((ROWS($DO$15:$DO293) - 1) / ROWS(_xlfn.ANCHORARRAY($CP$15))))</f>
        <v>15</v>
      </c>
      <c r="DO293" cm="1">
        <f t="array" aca="1" ref="DO293" ca="1">INDEX(_xlfn.ANCHORARRAY($CP$15),1+MOD(ROWS($DO$15:$DO293)-1,ROWS(_xlfn.ANCHORARRAY($CP$15))))</f>
        <v>13</v>
      </c>
      <c r="DP293" s="10" cm="1">
        <f t="array" aca="1" ref="DP293" ca="1">(1-$B$18)*SUMPRODUCT(OFFSET($BO$15,0,0,$B$14,1), 1*(_xlfn._xlws.FILTER(OFFSET($O$15,0,$DN293,$B$8,1),OFFSET($M$15,0,0,$B$8,1))=DP$13), 1*(_xlfn._xlws.FILTER(OFFSET($O$15,0,$DO293,$B$8,1),OFFSET($M$15,0,0,$B$8,1))=DP$14))   /   SUM(OFFSET($BO$15,0,0,$B$14,1)) + $B$18/($B$19*$B$19*($DN293&lt;&gt;$DO293) + $B$19*($DN293=$DO293))</f>
        <v>3.7037037037037035E-4</v>
      </c>
      <c r="DQ293" s="10" cm="1">
        <f t="array" aca="1" ref="DQ293" ca="1">(1-$B$18)*SUMPRODUCT(OFFSET($BO$15,0,0,$B$14,1), 1*(_xlfn._xlws.FILTER(OFFSET($O$15,0,$DN293,$B$8,1),OFFSET($M$15,0,0,$B$8,1))=DQ$13), 1*(_xlfn._xlws.FILTER(OFFSET($O$15,0,$DO293,$B$8,1),OFFSET($M$15,0,0,$B$8,1))=DQ$14))   /   SUM(OFFSET($BO$15,0,0,$B$14,1)) + $B$18/($B$19*$B$19*($DN293&lt;&gt;$DO293) + $B$19*($DN293=$DO293))</f>
        <v>3.7037037037037035E-4</v>
      </c>
      <c r="DR293" s="10" cm="1">
        <f t="array" aca="1" ref="DR293" ca="1">(1-$B$18)*SUMPRODUCT(OFFSET($BO$15,0,0,$B$14,1), 1*(_xlfn._xlws.FILTER(OFFSET($O$15,0,$DN293,$B$8,1),OFFSET($M$15,0,0,$B$8,1))=DR$13), 1*(_xlfn._xlws.FILTER(OFFSET($O$15,0,$DO293,$B$8,1),OFFSET($M$15,0,0,$B$8,1))=DR$14))   /   SUM(OFFSET($BO$15,0,0,$B$14,1)) + $B$18/($B$19*$B$19*($DN293&lt;&gt;$DO293) + $B$19*($DN293=$DO293))</f>
        <v>3.7037037037037035E-4</v>
      </c>
      <c r="DS293" s="10" cm="1">
        <f t="array" aca="1" ref="DS293" ca="1">(1-$B$18)*SUMPRODUCT(OFFSET($BO$15,0,0,$B$14,1), 1*(_xlfn._xlws.FILTER(OFFSET($O$15,0,$DN293,$B$8,1),OFFSET($M$15,0,0,$B$8,1))=DS$13), 1*(_xlfn._xlws.FILTER(OFFSET($O$15,0,$DO293,$B$8,1),OFFSET($M$15,0,0,$B$8,1))=DS$14))   /   SUM(OFFSET($BO$15,0,0,$B$14,1)) + $B$18/($B$19*$B$19*($DN293&lt;&gt;$DO293) + $B$19*($DN293=$DO293))</f>
        <v>3.7037037037037035E-4</v>
      </c>
      <c r="DT293" s="10" cm="1">
        <f t="array" aca="1" ref="DT293" ca="1">(1-$B$18)*SUMPRODUCT(OFFSET($BO$15,0,0,$B$14,1), 1*(_xlfn._xlws.FILTER(OFFSET($O$15,0,$DN293,$B$8,1),OFFSET($M$15,0,0,$B$8,1))=DT$13), 1*(_xlfn._xlws.FILTER(OFFSET($O$15,0,$DO293,$B$8,1),OFFSET($M$15,0,0,$B$8,1))=DT$14))   /   SUM(OFFSET($BO$15,0,0,$B$14,1)) + $B$18/($B$19*$B$19*($DN293&lt;&gt;$DO293) + $B$19*($DN293=$DO293))</f>
        <v>3.7037037037037035E-4</v>
      </c>
      <c r="DU293" s="10" cm="1">
        <f t="array" aca="1" ref="DU293" ca="1">(1-$B$18)*SUMPRODUCT(OFFSET($BO$15,0,0,$B$14,1), 1*(_xlfn._xlws.FILTER(OFFSET($O$15,0,$DN293,$B$8,1),OFFSET($M$15,0,0,$B$8,1))=DU$13), 1*(_xlfn._xlws.FILTER(OFFSET($O$15,0,$DO293,$B$8,1),OFFSET($M$15,0,0,$B$8,1))=DU$14))   /   SUM(OFFSET($BO$15,0,0,$B$14,1)) + $B$18/($B$19*$B$19*($DN293&lt;&gt;$DO293) + $B$19*($DN293=$DO293))</f>
        <v>3.7037037037037035E-4</v>
      </c>
      <c r="DV293" s="10" cm="1">
        <f t="array" aca="1" ref="DV293" ca="1">(1-$B$18)*SUMPRODUCT(OFFSET($BO$15,0,0,$B$14,1), 1*(_xlfn._xlws.FILTER(OFFSET($O$15,0,$DN293,$B$8,1),OFFSET($M$15,0,0,$B$8,1))=DV$13), 1*(_xlfn._xlws.FILTER(OFFSET($O$15,0,$DO293,$B$8,1),OFFSET($M$15,0,0,$B$8,1))=DV$14))   /   SUM(OFFSET($BO$15,0,0,$B$14,1)) + $B$18/($B$19*$B$19*($DN293&lt;&gt;$DO293) + $B$19*($DN293=$DO293))</f>
        <v>3.7037037037037035E-4</v>
      </c>
      <c r="DW293" s="10" cm="1">
        <f t="array" aca="1" ref="DW293" ca="1">(1-$B$18)*SUMPRODUCT(OFFSET($BO$15,0,0,$B$14,1), 1*(_xlfn._xlws.FILTER(OFFSET($O$15,0,$DN293,$B$8,1),OFFSET($M$15,0,0,$B$8,1))=DW$13), 1*(_xlfn._xlws.FILTER(OFFSET($O$15,0,$DO293,$B$8,1),OFFSET($M$15,0,0,$B$8,1))=DW$14))   /   SUM(OFFSET($BO$15,0,0,$B$14,1)) + $B$18/($B$19*$B$19*($DN293&lt;&gt;$DO293) + $B$19*($DN293=$DO293))</f>
        <v>3.7037037037037035E-4</v>
      </c>
      <c r="DX293" s="10" cm="1">
        <f t="array" aca="1" ref="DX293" ca="1">(1-$B$18)*SUMPRODUCT(OFFSET($BO$15,0,0,$B$14,1), 1*(_xlfn._xlws.FILTER(OFFSET($O$15,0,$DN293,$B$8,1),OFFSET($M$15,0,0,$B$8,1))=DX$13), 1*(_xlfn._xlws.FILTER(OFFSET($O$15,0,$DO293,$B$8,1),OFFSET($M$15,0,0,$B$8,1))=DX$14))   /   SUM(OFFSET($BO$15,0,0,$B$14,1)) + $B$18/($B$19*$B$19*($DN293&lt;&gt;$DO293) + $B$19*($DN293=$DO293))</f>
        <v>3.7037037037037035E-4</v>
      </c>
      <c r="DY293" s="10" cm="1">
        <f t="array" aca="1" ref="DY293" ca="1">(1-$B$18)*SUMPRODUCT(OFFSET($BO$15,0,0,$B$14,1), 1*(_xlfn._xlws.FILTER(OFFSET($O$15,0,$DN293,$B$8,1),OFFSET($M$15,0,0,$B$8,1))=DY$13), 1*(_xlfn._xlws.FILTER(OFFSET($O$15,0,$DO293,$B$8,1),OFFSET($M$15,0,0,$B$8,1))=DY$14))   /   SUM(OFFSET($BO$15,0,0,$B$14,1)) + $B$18/($B$19*$B$19*($DN293&lt;&gt;$DO293) + $B$19*($DN293=$DO293))</f>
        <v>3.7037037037037035E-4</v>
      </c>
      <c r="DZ293" s="10" cm="1">
        <f t="array" aca="1" ref="DZ293" ca="1">(1-$B$18)*SUMPRODUCT(OFFSET($BO$15,0,0,$B$14,1), 1*(_xlfn._xlws.FILTER(OFFSET($O$15,0,$DN293,$B$8,1),OFFSET($M$15,0,0,$B$8,1))=DZ$13), 1*(_xlfn._xlws.FILTER(OFFSET($O$15,0,$DO293,$B$8,1),OFFSET($M$15,0,0,$B$8,1))=DZ$14))   /   SUM(OFFSET($BO$15,0,0,$B$14,1)) + $B$18/($B$19*$B$19*($DN293&lt;&gt;$DO293) + $B$19*($DN293=$DO293))</f>
        <v>3.7037037037037035E-4</v>
      </c>
      <c r="EA293" s="10" cm="1">
        <f t="array" aca="1" ref="EA293" ca="1">(1-$B$18)*SUMPRODUCT(OFFSET($BO$15,0,0,$B$14,1), 1*(_xlfn._xlws.FILTER(OFFSET($O$15,0,$DN293,$B$8,1),OFFSET($M$15,0,0,$B$8,1))=EA$13), 1*(_xlfn._xlws.FILTER(OFFSET($O$15,0,$DO293,$B$8,1),OFFSET($M$15,0,0,$B$8,1))=EA$14))   /   SUM(OFFSET($BO$15,0,0,$B$14,1)) + $B$18/($B$19*$B$19*($DN293&lt;&gt;$DO293) + $B$19*($DN293=$DO293))</f>
        <v>3.7037037037037035E-4</v>
      </c>
      <c r="EB293" s="10" cm="1">
        <f t="array" aca="1" ref="EB293" ca="1">(1-$B$18)*SUMPRODUCT(OFFSET($BO$15,0,0,$B$14,1), 1*(_xlfn._xlws.FILTER(OFFSET($O$15,0,$DN293,$B$8,1),OFFSET($M$15,0,0,$B$8,1))=EB$13), 1*(_xlfn._xlws.FILTER(OFFSET($O$15,0,$DO293,$B$8,1),OFFSET($M$15,0,0,$B$8,1))=EB$14))   /   SUM(OFFSET($BO$15,0,0,$B$14,1)) + $B$18/($B$19*$B$19*($DN293&lt;&gt;$DO293) + $B$19*($DN293=$DO293))</f>
        <v>3.7037037037037035E-4</v>
      </c>
      <c r="EC293" s="10" cm="1">
        <f t="array" aca="1" ref="EC293" ca="1">(1-$B$18)*SUMPRODUCT(OFFSET($BO$15,0,0,$B$14,1), 1*(_xlfn._xlws.FILTER(OFFSET($O$15,0,$DN293,$B$8,1),OFFSET($M$15,0,0,$B$8,1))=EC$13), 1*(_xlfn._xlws.FILTER(OFFSET($O$15,0,$DO293,$B$8,1),OFFSET($M$15,0,0,$B$8,1))=EC$14))   /   SUM(OFFSET($BO$15,0,0,$B$14,1)) + $B$18/($B$19*$B$19*($DN293&lt;&gt;$DO293) + $B$19*($DN293=$DO293))</f>
        <v>3.7037037037037035E-4</v>
      </c>
      <c r="ED293" s="10" cm="1">
        <f t="array" aca="1" ref="ED293" ca="1">(1-$B$18)*SUMPRODUCT(OFFSET($BO$15,0,0,$B$14,1), 1*(_xlfn._xlws.FILTER(OFFSET($O$15,0,$DN293,$B$8,1),OFFSET($M$15,0,0,$B$8,1))=ED$13), 1*(_xlfn._xlws.FILTER(OFFSET($O$15,0,$DO293,$B$8,1),OFFSET($M$15,0,0,$B$8,1))=ED$14))   /   SUM(OFFSET($BO$15,0,0,$B$14,1)) + $B$18/($B$19*$B$19*($DN293&lt;&gt;$DO293) + $B$19*($DN293=$DO293))</f>
        <v>3.7037037037037035E-4</v>
      </c>
      <c r="EE293" s="10" cm="1">
        <f t="array" aca="1" ref="EE293" ca="1">(1-$B$18)*SUMPRODUCT(OFFSET($BO$15,0,0,$B$14,1), 1*(_xlfn._xlws.FILTER(OFFSET($O$15,0,$DN293,$B$8,1),OFFSET($M$15,0,0,$B$8,1))=EE$13), 1*(_xlfn._xlws.FILTER(OFFSET($O$15,0,$DO293,$B$8,1),OFFSET($M$15,0,0,$B$8,1))=EE$14))   /   SUM(OFFSET($BO$15,0,0,$B$14,1)) + $B$18/($B$19*$B$19*($DN293&lt;&gt;$DO293) + $B$19*($DN293=$DO293))</f>
        <v>3.7037037037037035E-4</v>
      </c>
      <c r="EF293" s="10" cm="1">
        <f t="array" aca="1" ref="EF293" ca="1">(1-$B$18)*SUMPRODUCT(OFFSET($BO$15,0,0,$B$14,1), 1*(_xlfn._xlws.FILTER(OFFSET($O$15,0,$DN293,$B$8,1),OFFSET($M$15,0,0,$B$8,1))=EF$13), 1*(_xlfn._xlws.FILTER(OFFSET($O$15,0,$DO293,$B$8,1),OFFSET($M$15,0,0,$B$8,1))=EF$14))   /   SUM(OFFSET($BO$15,0,0,$B$14,1)) + $B$18/($B$19*$B$19*($DN293&lt;&gt;$DO293) + $B$19*($DN293=$DO293))</f>
        <v>3.7037037037037035E-4</v>
      </c>
      <c r="EG293" s="10" cm="1">
        <f t="array" aca="1" ref="EG293" ca="1">(1-$B$18)*SUMPRODUCT(OFFSET($BO$15,0,0,$B$14,1), 1*(_xlfn._xlws.FILTER(OFFSET($O$15,0,$DN293,$B$8,1),OFFSET($M$15,0,0,$B$8,1))=EG$13), 1*(_xlfn._xlws.FILTER(OFFSET($O$15,0,$DO293,$B$8,1),OFFSET($M$15,0,0,$B$8,1))=EG$14))   /   SUM(OFFSET($BO$15,0,0,$B$14,1)) + $B$18/($B$19*$B$19*($DN293&lt;&gt;$DO293) + $B$19*($DN293=$DO293))</f>
        <v>0.97037037037037033</v>
      </c>
      <c r="EH293" s="10" cm="1">
        <f t="array" aca="1" ref="EH293" ca="1">(1-$B$18)*SUMPRODUCT(OFFSET($BO$15,0,0,$B$14,1), 1*(_xlfn._xlws.FILTER(OFFSET($O$15,0,$DN293,$B$8,1),OFFSET($M$15,0,0,$B$8,1))=EH$13), 1*(_xlfn._xlws.FILTER(OFFSET($O$15,0,$DO293,$B$8,1),OFFSET($M$15,0,0,$B$8,1))=EH$14))   /   SUM(OFFSET($BO$15,0,0,$B$14,1)) + $B$18/($B$19*$B$19*($DN293&lt;&gt;$DO293) + $B$19*($DN293=$DO293))</f>
        <v>3.7037037037037035E-4</v>
      </c>
      <c r="EI293" s="10" cm="1">
        <f t="array" aca="1" ref="EI293" ca="1">(1-$B$18)*SUMPRODUCT(OFFSET($BO$15,0,0,$B$14,1), 1*(_xlfn._xlws.FILTER(OFFSET($O$15,0,$DN293,$B$8,1),OFFSET($M$15,0,0,$B$8,1))=EI$13), 1*(_xlfn._xlws.FILTER(OFFSET($O$15,0,$DO293,$B$8,1),OFFSET($M$15,0,0,$B$8,1))=EI$14))   /   SUM(OFFSET($BO$15,0,0,$B$14,1)) + $B$18/($B$19*$B$19*($DN293&lt;&gt;$DO293) + $B$19*($DN293=$DO293))</f>
        <v>3.7037037037037035E-4</v>
      </c>
      <c r="EJ293" s="10" cm="1">
        <f t="array" aca="1" ref="EJ293" ca="1">(1-$B$18)*SUMPRODUCT(OFFSET($BO$15,0,0,$B$14,1), 1*(_xlfn._xlws.FILTER(OFFSET($O$15,0,$DN293,$B$8,1),OFFSET($M$15,0,0,$B$8,1))=EJ$13), 1*(_xlfn._xlws.FILTER(OFFSET($O$15,0,$DO293,$B$8,1),OFFSET($M$15,0,0,$B$8,1))=EJ$14))   /   SUM(OFFSET($BO$15,0,0,$B$14,1)) + $B$18/($B$19*$B$19*($DN293&lt;&gt;$DO293) + $B$19*($DN293=$DO293))</f>
        <v>3.7037037037037035E-4</v>
      </c>
      <c r="EK293" s="10" cm="1">
        <f t="array" aca="1" ref="EK293" ca="1">(1-$B$18)*SUMPRODUCT(OFFSET($BO$15,0,0,$B$14,1), 1*(_xlfn._xlws.FILTER(OFFSET($O$15,0,$DN293,$B$8,1),OFFSET($M$15,0,0,$B$8,1))=EK$13), 1*(_xlfn._xlws.FILTER(OFFSET($O$15,0,$DO293,$B$8,1),OFFSET($M$15,0,0,$B$8,1))=EK$14))   /   SUM(OFFSET($BO$15,0,0,$B$14,1)) + $B$18/($B$19*$B$19*($DN293&lt;&gt;$DO293) + $B$19*($DN293=$DO293))</f>
        <v>3.7037037037037035E-4</v>
      </c>
      <c r="EL293" s="10" cm="1">
        <f t="array" aca="1" ref="EL293" ca="1">(1-$B$18)*SUMPRODUCT(OFFSET($BO$15,0,0,$B$14,1), 1*(_xlfn._xlws.FILTER(OFFSET($O$15,0,$DN293,$B$8,1),OFFSET($M$15,0,0,$B$8,1))=EL$13), 1*(_xlfn._xlws.FILTER(OFFSET($O$15,0,$DO293,$B$8,1),OFFSET($M$15,0,0,$B$8,1))=EL$14))   /   SUM(OFFSET($BO$15,0,0,$B$14,1)) + $B$18/($B$19*$B$19*($DN293&lt;&gt;$DO293) + $B$19*($DN293=$DO293))</f>
        <v>3.7037037037037035E-4</v>
      </c>
      <c r="EM293" s="10" cm="1">
        <f t="array" aca="1" ref="EM293" ca="1">(1-$B$18)*SUMPRODUCT(OFFSET($BO$15,0,0,$B$14,1), 1*(_xlfn._xlws.FILTER(OFFSET($O$15,0,$DN293,$B$8,1),OFFSET($M$15,0,0,$B$8,1))=EM$13), 1*(_xlfn._xlws.FILTER(OFFSET($O$15,0,$DO293,$B$8,1),OFFSET($M$15,0,0,$B$8,1))=EM$14))   /   SUM(OFFSET($BO$15,0,0,$B$14,1)) + $B$18/($B$19*$B$19*($DN293&lt;&gt;$DO293) + $B$19*($DN293=$DO293))</f>
        <v>3.7037037037037035E-4</v>
      </c>
      <c r="EN293" s="10" cm="1">
        <f t="array" aca="1" ref="EN293" ca="1">(1-$B$18)*SUMPRODUCT(OFFSET($BO$15,0,0,$B$14,1), 1*(_xlfn._xlws.FILTER(OFFSET($O$15,0,$DN293,$B$8,1),OFFSET($M$15,0,0,$B$8,1))=EN$13), 1*(_xlfn._xlws.FILTER(OFFSET($O$15,0,$DO293,$B$8,1),OFFSET($M$15,0,0,$B$8,1))=EN$14))   /   SUM(OFFSET($BO$15,0,0,$B$14,1)) + $B$18/($B$19*$B$19*($DN293&lt;&gt;$DO293) + $B$19*($DN293=$DO293))</f>
        <v>3.7037037037037035E-4</v>
      </c>
      <c r="EO293" s="10" cm="1">
        <f t="array" aca="1" ref="EO293" ca="1">(1-$B$18)*SUMPRODUCT(OFFSET($BO$15,0,0,$B$14,1), 1*(_xlfn._xlws.FILTER(OFFSET($O$15,0,$DN293,$B$8,1),OFFSET($M$15,0,0,$B$8,1))=EO$13), 1*(_xlfn._xlws.FILTER(OFFSET($O$15,0,$DO293,$B$8,1),OFFSET($M$15,0,0,$B$8,1))=EO$14))   /   SUM(OFFSET($BO$15,0,0,$B$14,1)) + $B$18/($B$19*$B$19*($DN293&lt;&gt;$DO293) + $B$19*($DN293=$DO293))</f>
        <v>3.7037037037037035E-4</v>
      </c>
      <c r="EP293" s="10" cm="1">
        <f t="array" aca="1" ref="EP293" ca="1">(1-$B$18)*SUMPRODUCT(OFFSET($BO$15,0,0,$B$14,1), 1*(_xlfn._xlws.FILTER(OFFSET($O$15,0,$DN293,$B$8,1),OFFSET($M$15,0,0,$B$8,1))=EP$13), 1*(_xlfn._xlws.FILTER(OFFSET($O$15,0,$DO293,$B$8,1),OFFSET($M$15,0,0,$B$8,1))=EP$14))   /   SUM(OFFSET($BO$15,0,0,$B$14,1)) + $B$18/($B$19*$B$19*($DN293&lt;&gt;$DO293) + $B$19*($DN293=$DO293))</f>
        <v>3.7037037037037035E-4</v>
      </c>
      <c r="EQ293" s="10" cm="1">
        <f t="array" aca="1" ref="EQ293" ca="1">(1-$B$18)*SUMPRODUCT(OFFSET($BO$15,0,0,$B$14,1), 1*(_xlfn._xlws.FILTER(OFFSET($O$15,0,$DN293,$B$8,1),OFFSET($M$15,0,0,$B$8,1))=EQ$13), 1*(_xlfn._xlws.FILTER(OFFSET($O$15,0,$DO293,$B$8,1),OFFSET($M$15,0,0,$B$8,1))=EQ$14))   /   SUM(OFFSET($BO$15,0,0,$B$14,1)) + $B$18/($B$19*$B$19*($DN293&lt;&gt;$DO293) + $B$19*($DN293=$DO293))</f>
        <v>3.7037037037037035E-4</v>
      </c>
      <c r="ER293" s="10" cm="1">
        <f t="array" aca="1" ref="ER293" ca="1">(1-$B$18)*SUMPRODUCT(OFFSET($BO$15,0,0,$B$14,1), 1*(_xlfn._xlws.FILTER(OFFSET($O$15,0,$DN293,$B$8,1),OFFSET($M$15,0,0,$B$8,1))=ER$13), 1*(_xlfn._xlws.FILTER(OFFSET($O$15,0,$DO293,$B$8,1),OFFSET($M$15,0,0,$B$8,1))=ER$14))   /   SUM(OFFSET($BO$15,0,0,$B$14,1)) + $B$18/($B$19*$B$19*($DN293&lt;&gt;$DO293) + $B$19*($DN293=$DO293))</f>
        <v>3.7037037037037035E-4</v>
      </c>
      <c r="ES293" s="10" cm="1">
        <f t="array" aca="1" ref="ES293" ca="1">(1-$B$18)*SUMPRODUCT(OFFSET($BO$15,0,0,$B$14,1), 1*(_xlfn._xlws.FILTER(OFFSET($O$15,0,$DN293,$B$8,1),OFFSET($M$15,0,0,$B$8,1))=ES$13), 1*(_xlfn._xlws.FILTER(OFFSET($O$15,0,$DO293,$B$8,1),OFFSET($M$15,0,0,$B$8,1))=ES$14))   /   SUM(OFFSET($BO$15,0,0,$B$14,1)) + $B$18/($B$19*$B$19*($DN293&lt;&gt;$DO293) + $B$19*($DN293=$DO293))</f>
        <v>3.7037037037037035E-4</v>
      </c>
      <c r="ET293" s="10" cm="1">
        <f t="array" aca="1" ref="ET293" ca="1">(1-$B$18)*SUMPRODUCT(OFFSET($BO$15,0,0,$B$14,1), 1*(_xlfn._xlws.FILTER(OFFSET($O$15,0,$DN293,$B$8,1),OFFSET($M$15,0,0,$B$8,1))=ET$13), 1*(_xlfn._xlws.FILTER(OFFSET($O$15,0,$DO293,$B$8,1),OFFSET($M$15,0,0,$B$8,1))=ET$14))   /   SUM(OFFSET($BO$15,0,0,$B$14,1)) + $B$18/($B$19*$B$19*($DN293&lt;&gt;$DO293) + $B$19*($DN293=$DO293))</f>
        <v>3.7037037037037035E-4</v>
      </c>
      <c r="EU293" s="10" cm="1">
        <f t="array" aca="1" ref="EU293" ca="1">(1-$B$18)*SUMPRODUCT(OFFSET($BO$15,0,0,$B$14,1), 1*(_xlfn._xlws.FILTER(OFFSET($O$15,0,$DN293,$B$8,1),OFFSET($M$15,0,0,$B$8,1))=EU$13), 1*(_xlfn._xlws.FILTER(OFFSET($O$15,0,$DO293,$B$8,1),OFFSET($M$15,0,0,$B$8,1))=EU$14))   /   SUM(OFFSET($BO$15,0,0,$B$14,1)) + $B$18/($B$19*$B$19*($DN293&lt;&gt;$DO293) + $B$19*($DN293=$DO293))</f>
        <v>3.7037037037037035E-4</v>
      </c>
      <c r="EV293" s="10" cm="1">
        <f t="array" aca="1" ref="EV293" ca="1">(1-$B$18)*SUMPRODUCT(OFFSET($BO$15,0,0,$B$14,1), 1*(_xlfn._xlws.FILTER(OFFSET($O$15,0,$DN293,$B$8,1),OFFSET($M$15,0,0,$B$8,1))=EV$13), 1*(_xlfn._xlws.FILTER(OFFSET($O$15,0,$DO293,$B$8,1),OFFSET($M$15,0,0,$B$8,1))=EV$14))   /   SUM(OFFSET($BO$15,0,0,$B$14,1)) + $B$18/($B$19*$B$19*($DN293&lt;&gt;$DO293) + $B$19*($DN293=$DO293))</f>
        <v>3.7037037037037035E-4</v>
      </c>
      <c r="EW293" s="10" cm="1">
        <f t="array" aca="1" ref="EW293" ca="1">(1-$B$18)*SUMPRODUCT(OFFSET($BO$15,0,0,$B$14,1), 1*(_xlfn._xlws.FILTER(OFFSET($O$15,0,$DN293,$B$8,1),OFFSET($M$15,0,0,$B$8,1))=EW$13), 1*(_xlfn._xlws.FILTER(OFFSET($O$15,0,$DO293,$B$8,1),OFFSET($M$15,0,0,$B$8,1))=EW$14))   /   SUM(OFFSET($BO$15,0,0,$B$14,1)) + $B$18/($B$19*$B$19*($DN293&lt;&gt;$DO293) + $B$19*($DN293=$DO293))</f>
        <v>3.7037037037037035E-4</v>
      </c>
      <c r="EX293" s="10" cm="1">
        <f t="array" aca="1" ref="EX293" ca="1">(1-$B$18)*SUMPRODUCT(OFFSET($BO$15,0,0,$B$14,1), 1*(_xlfn._xlws.FILTER(OFFSET($O$15,0,$DN293,$B$8,1),OFFSET($M$15,0,0,$B$8,1))=EX$13), 1*(_xlfn._xlws.FILTER(OFFSET($O$15,0,$DO293,$B$8,1),OFFSET($M$15,0,0,$B$8,1))=EX$14))   /   SUM(OFFSET($BO$15,0,0,$B$14,1)) + $B$18/($B$19*$B$19*($DN293&lt;&gt;$DO293) + $B$19*($DN293=$DO293))</f>
        <v>3.7037037037037035E-4</v>
      </c>
      <c r="EY293" s="10" cm="1">
        <f t="array" aca="1" ref="EY293" ca="1">(1-$B$18)*SUMPRODUCT(OFFSET($BO$15,0,0,$B$14,1), 1*(_xlfn._xlws.FILTER(OFFSET($O$15,0,$DN293,$B$8,1),OFFSET($M$15,0,0,$B$8,1))=EY$13), 1*(_xlfn._xlws.FILTER(OFFSET($O$15,0,$DO293,$B$8,1),OFFSET($M$15,0,0,$B$8,1))=EY$14))   /   SUM(OFFSET($BO$15,0,0,$B$14,1)) + $B$18/($B$19*$B$19*($DN293&lt;&gt;$DO293) + $B$19*($DN293=$DO293))</f>
        <v>3.7037037037037035E-4</v>
      </c>
      <c r="EZ293" s="10" cm="1">
        <f t="array" aca="1" ref="EZ293" ca="1">(1-$B$18)*SUMPRODUCT(OFFSET($BO$15,0,0,$B$14,1), 1*(_xlfn._xlws.FILTER(OFFSET($O$15,0,$DN293,$B$8,1),OFFSET($M$15,0,0,$B$8,1))=EZ$13), 1*(_xlfn._xlws.FILTER(OFFSET($O$15,0,$DO293,$B$8,1),OFFSET($M$15,0,0,$B$8,1))=EZ$14))   /   SUM(OFFSET($BO$15,0,0,$B$14,1)) + $B$18/($B$19*$B$19*($DN293&lt;&gt;$DO293) + $B$19*($DN293=$DO293))</f>
        <v>3.7037037037037035E-4</v>
      </c>
      <c r="FA293" s="10" cm="1">
        <f t="array" aca="1" ref="FA293" ca="1">(1-$B$18)*SUMPRODUCT(OFFSET($BO$15,0,0,$B$14,1), 1*(_xlfn._xlws.FILTER(OFFSET($O$15,0,$DN293,$B$8,1),OFFSET($M$15,0,0,$B$8,1))=FA$13), 1*(_xlfn._xlws.FILTER(OFFSET($O$15,0,$DO293,$B$8,1),OFFSET($M$15,0,0,$B$8,1))=FA$14))   /   SUM(OFFSET($BO$15,0,0,$B$14,1)) + $B$18/($B$19*$B$19*($DN293&lt;&gt;$DO293) + $B$19*($DN293=$DO293))</f>
        <v>3.7037037037037035E-4</v>
      </c>
      <c r="FB293" s="10" cm="1">
        <f t="array" aca="1" ref="FB293" ca="1">(1-$B$18)*SUMPRODUCT(OFFSET($BO$15,0,0,$B$14,1), 1*(_xlfn._xlws.FILTER(OFFSET($O$15,0,$DN293,$B$8,1),OFFSET($M$15,0,0,$B$8,1))=FB$13), 1*(_xlfn._xlws.FILTER(OFFSET($O$15,0,$DO293,$B$8,1),OFFSET($M$15,0,0,$B$8,1))=FB$14))   /   SUM(OFFSET($BO$15,0,0,$B$14,1)) + $B$18/($B$19*$B$19*($DN293&lt;&gt;$DO293) + $B$19*($DN293=$DO293))</f>
        <v>3.7037037037037035E-4</v>
      </c>
      <c r="FC293" s="10" cm="1">
        <f t="array" aca="1" ref="FC293" ca="1">(1-$B$18)*SUMPRODUCT(OFFSET($BO$15,0,0,$B$14,1), 1*(_xlfn._xlws.FILTER(OFFSET($O$15,0,$DN293,$B$8,1),OFFSET($M$15,0,0,$B$8,1))=FC$13), 1*(_xlfn._xlws.FILTER(OFFSET($O$15,0,$DO293,$B$8,1),OFFSET($M$15,0,0,$B$8,1))=FC$14))   /   SUM(OFFSET($BO$15,0,0,$B$14,1)) + $B$18/($B$19*$B$19*($DN293&lt;&gt;$DO293) + $B$19*($DN293=$DO293))</f>
        <v>3.7037037037037035E-4</v>
      </c>
      <c r="FD293" s="10" cm="1">
        <f t="array" aca="1" ref="FD293" ca="1">(1-$B$18)*SUMPRODUCT(OFFSET($BO$15,0,0,$B$14,1), 1*(_xlfn._xlws.FILTER(OFFSET($O$15,0,$DN293,$B$8,1),OFFSET($M$15,0,0,$B$8,1))=FD$13), 1*(_xlfn._xlws.FILTER(OFFSET($O$15,0,$DO293,$B$8,1),OFFSET($M$15,0,0,$B$8,1))=FD$14))   /   SUM(OFFSET($BO$15,0,0,$B$14,1)) + $B$18/($B$19*$B$19*($DN293&lt;&gt;$DO293) + $B$19*($DN293=$DO293))</f>
        <v>3.7037037037037035E-4</v>
      </c>
      <c r="FE293" s="10" cm="1">
        <f t="array" aca="1" ref="FE293" ca="1">(1-$B$18)*SUMPRODUCT(OFFSET($BO$15,0,0,$B$14,1), 1*(_xlfn._xlws.FILTER(OFFSET($O$15,0,$DN293,$B$8,1),OFFSET($M$15,0,0,$B$8,1))=FE$13), 1*(_xlfn._xlws.FILTER(OFFSET($O$15,0,$DO293,$B$8,1),OFFSET($M$15,0,0,$B$8,1))=FE$14))   /   SUM(OFFSET($BO$15,0,0,$B$14,1)) + $B$18/($B$19*$B$19*($DN293&lt;&gt;$DO293) + $B$19*($DN293=$DO293))</f>
        <v>3.7037037037037035E-4</v>
      </c>
      <c r="FF293" s="10" cm="1">
        <f t="array" aca="1" ref="FF293" ca="1">(1-$B$18)*SUMPRODUCT(OFFSET($BO$15,0,0,$B$14,1), 1*(_xlfn._xlws.FILTER(OFFSET($O$15,0,$DN293,$B$8,1),OFFSET($M$15,0,0,$B$8,1))=FF$13), 1*(_xlfn._xlws.FILTER(OFFSET($O$15,0,$DO293,$B$8,1),OFFSET($M$15,0,0,$B$8,1))=FF$14))   /   SUM(OFFSET($BO$15,0,0,$B$14,1)) + $B$18/($B$19*$B$19*($DN293&lt;&gt;$DO293) + $B$19*($DN293=$DO293))</f>
        <v>3.7037037037037035E-4</v>
      </c>
      <c r="FG293" s="10" cm="1">
        <f t="array" aca="1" ref="FG293" ca="1">(1-$B$18)*SUMPRODUCT(OFFSET($BO$15,0,0,$B$14,1), 1*(_xlfn._xlws.FILTER(OFFSET($O$15,0,$DN293,$B$8,1),OFFSET($M$15,0,0,$B$8,1))=FG$13), 1*(_xlfn._xlws.FILTER(OFFSET($O$15,0,$DO293,$B$8,1),OFFSET($M$15,0,0,$B$8,1))=FG$14))   /   SUM(OFFSET($BO$15,0,0,$B$14,1)) + $B$18/($B$19*$B$19*($DN293&lt;&gt;$DO293) + $B$19*($DN293=$DO293))</f>
        <v>3.7037037037037035E-4</v>
      </c>
      <c r="FH293" s="10" cm="1">
        <f t="array" aca="1" ref="FH293" ca="1">(1-$B$18)*SUMPRODUCT(OFFSET($BO$15,0,0,$B$14,1), 1*(_xlfn._xlws.FILTER(OFFSET($O$15,0,$DN293,$B$8,1),OFFSET($M$15,0,0,$B$8,1))=FH$13), 1*(_xlfn._xlws.FILTER(OFFSET($O$15,0,$DO293,$B$8,1),OFFSET($M$15,0,0,$B$8,1))=FH$14))   /   SUM(OFFSET($BO$15,0,0,$B$14,1)) + $B$18/($B$19*$B$19*($DN293&lt;&gt;$DO293) + $B$19*($DN293=$DO293))</f>
        <v>3.7037037037037035E-4</v>
      </c>
      <c r="FI293" s="10" cm="1">
        <f t="array" aca="1" ref="FI293" ca="1">(1-$B$18)*SUMPRODUCT(OFFSET($BO$15,0,0,$B$14,1), 1*(_xlfn._xlws.FILTER(OFFSET($O$15,0,$DN293,$B$8,1),OFFSET($M$15,0,0,$B$8,1))=FI$13), 1*(_xlfn._xlws.FILTER(OFFSET($O$15,0,$DO293,$B$8,1),OFFSET($M$15,0,0,$B$8,1))=FI$14))   /   SUM(OFFSET($BO$15,0,0,$B$14,1)) + $B$18/($B$19*$B$19*($DN293&lt;&gt;$DO293) + $B$19*($DN293=$DO293))</f>
        <v>3.7037037037037035E-4</v>
      </c>
      <c r="FJ293" s="10" cm="1">
        <f t="array" aca="1" ref="FJ293" ca="1">(1-$B$18)*SUMPRODUCT(OFFSET($BO$15,0,0,$B$14,1), 1*(_xlfn._xlws.FILTER(OFFSET($O$15,0,$DN293,$B$8,1),OFFSET($M$15,0,0,$B$8,1))=FJ$13), 1*(_xlfn._xlws.FILTER(OFFSET($O$15,0,$DO293,$B$8,1),OFFSET($M$15,0,0,$B$8,1))=FJ$14))   /   SUM(OFFSET($BO$15,0,0,$B$14,1)) + $B$18/($B$19*$B$19*($DN293&lt;&gt;$DO293) + $B$19*($DN293=$DO293))</f>
        <v>3.7037037037037035E-4</v>
      </c>
      <c r="FK293" s="10" cm="1">
        <f t="array" aca="1" ref="FK293" ca="1">(1-$B$18)*SUMPRODUCT(OFFSET($BO$15,0,0,$B$14,1), 1*(_xlfn._xlws.FILTER(OFFSET($O$15,0,$DN293,$B$8,1),OFFSET($M$15,0,0,$B$8,1))=FK$13), 1*(_xlfn._xlws.FILTER(OFFSET($O$15,0,$DO293,$B$8,1),OFFSET($M$15,0,0,$B$8,1))=FK$14))   /   SUM(OFFSET($BO$15,0,0,$B$14,1)) + $B$18/($B$19*$B$19*($DN293&lt;&gt;$DO293) + $B$19*($DN293=$DO293))</f>
        <v>3.7037037037037035E-4</v>
      </c>
      <c r="FL293" s="10" cm="1">
        <f t="array" aca="1" ref="FL293" ca="1">(1-$B$18)*SUMPRODUCT(OFFSET($BO$15,0,0,$B$14,1), 1*(_xlfn._xlws.FILTER(OFFSET($O$15,0,$DN293,$B$8,1),OFFSET($M$15,0,0,$B$8,1))=FL$13), 1*(_xlfn._xlws.FILTER(OFFSET($O$15,0,$DO293,$B$8,1),OFFSET($M$15,0,0,$B$8,1))=FL$14))   /   SUM(OFFSET($BO$15,0,0,$B$14,1)) + $B$18/($B$19*$B$19*($DN293&lt;&gt;$DO293) + $B$19*($DN293=$DO293))</f>
        <v>3.7037037037037035E-4</v>
      </c>
      <c r="FM293" s="10" cm="1">
        <f t="array" aca="1" ref="FM293" ca="1">(1-$B$18)*SUMPRODUCT(OFFSET($BO$15,0,0,$B$14,1), 1*(_xlfn._xlws.FILTER(OFFSET($O$15,0,$DN293,$B$8,1),OFFSET($M$15,0,0,$B$8,1))=FM$13), 1*(_xlfn._xlws.FILTER(OFFSET($O$15,0,$DO293,$B$8,1),OFFSET($M$15,0,0,$B$8,1))=FM$14))   /   SUM(OFFSET($BO$15,0,0,$B$14,1)) + $B$18/($B$19*$B$19*($DN293&lt;&gt;$DO293) + $B$19*($DN293=$DO293))</f>
        <v>3.7037037037037035E-4</v>
      </c>
      <c r="FN293" s="10" cm="1">
        <f t="array" aca="1" ref="FN293" ca="1">(1-$B$18)*SUMPRODUCT(OFFSET($BO$15,0,0,$B$14,1), 1*(_xlfn._xlws.FILTER(OFFSET($O$15,0,$DN293,$B$8,1),OFFSET($M$15,0,0,$B$8,1))=FN$13), 1*(_xlfn._xlws.FILTER(OFFSET($O$15,0,$DO293,$B$8,1),OFFSET($M$15,0,0,$B$8,1))=FN$14))   /   SUM(OFFSET($BO$15,0,0,$B$14,1)) + $B$18/($B$19*$B$19*($DN293&lt;&gt;$DO293) + $B$19*($DN293=$DO293))</f>
        <v>3.7037037037037035E-4</v>
      </c>
      <c r="FO293" s="10" cm="1">
        <f t="array" aca="1" ref="FO293" ca="1">(1-$B$18)*SUMPRODUCT(OFFSET($BO$15,0,0,$B$14,1), 1*(_xlfn._xlws.FILTER(OFFSET($O$15,0,$DN293,$B$8,1),OFFSET($M$15,0,0,$B$8,1))=FO$13), 1*(_xlfn._xlws.FILTER(OFFSET($O$15,0,$DO293,$B$8,1),OFFSET($M$15,0,0,$B$8,1))=FO$14))   /   SUM(OFFSET($BO$15,0,0,$B$14,1)) + $B$18/($B$19*$B$19*($DN293&lt;&gt;$DO293) + $B$19*($DN293=$DO293))</f>
        <v>3.7037037037037035E-4</v>
      </c>
      <c r="FP293" s="10" cm="1">
        <f t="array" aca="1" ref="FP293" ca="1">(1-$B$18)*SUMPRODUCT(OFFSET($BO$15,0,0,$B$14,1), 1*(_xlfn._xlws.FILTER(OFFSET($O$15,0,$DN293,$B$8,1),OFFSET($M$15,0,0,$B$8,1))=FP$13), 1*(_xlfn._xlws.FILTER(OFFSET($O$15,0,$DO293,$B$8,1),OFFSET($M$15,0,0,$B$8,1))=FP$14))   /   SUM(OFFSET($BO$15,0,0,$B$14,1)) + $B$18/($B$19*$B$19*($DN293&lt;&gt;$DO293) + $B$19*($DN293=$DO293))</f>
        <v>3.7037037037037035E-4</v>
      </c>
      <c r="FQ293" s="10" cm="1">
        <f t="array" aca="1" ref="FQ293" ca="1">(1-$B$18)*SUMPRODUCT(OFFSET($BO$15,0,0,$B$14,1), 1*(_xlfn._xlws.FILTER(OFFSET($O$15,0,$DN293,$B$8,1),OFFSET($M$15,0,0,$B$8,1))=FQ$13), 1*(_xlfn._xlws.FILTER(OFFSET($O$15,0,$DO293,$B$8,1),OFFSET($M$15,0,0,$B$8,1))=FQ$14))   /   SUM(OFFSET($BO$15,0,0,$B$14,1)) + $B$18/($B$19*$B$19*($DN293&lt;&gt;$DO293) + $B$19*($DN293=$DO293))</f>
        <v>3.7037037037037035E-4</v>
      </c>
      <c r="FR293" s="10" cm="1">
        <f t="array" aca="1" ref="FR293" ca="1">(1-$B$18)*SUMPRODUCT(OFFSET($BO$15,0,0,$B$14,1), 1*(_xlfn._xlws.FILTER(OFFSET($O$15,0,$DN293,$B$8,1),OFFSET($M$15,0,0,$B$8,1))=FR$13), 1*(_xlfn._xlws.FILTER(OFFSET($O$15,0,$DO293,$B$8,1),OFFSET($M$15,0,0,$B$8,1))=FR$14))   /   SUM(OFFSET($BO$15,0,0,$B$14,1)) + $B$18/($B$19*$B$19*($DN293&lt;&gt;$DO293) + $B$19*($DN293=$DO293))</f>
        <v>3.7037037037037035E-4</v>
      </c>
      <c r="FS293" s="10" cm="1">
        <f t="array" aca="1" ref="FS293" ca="1">(1-$B$18)*SUMPRODUCT(OFFSET($BO$15,0,0,$B$14,1), 1*(_xlfn._xlws.FILTER(OFFSET($O$15,0,$DN293,$B$8,1),OFFSET($M$15,0,0,$B$8,1))=FS$13), 1*(_xlfn._xlws.FILTER(OFFSET($O$15,0,$DO293,$B$8,1),OFFSET($M$15,0,0,$B$8,1))=FS$14))   /   SUM(OFFSET($BO$15,0,0,$B$14,1)) + $B$18/($B$19*$B$19*($DN293&lt;&gt;$DO293) + $B$19*($DN293=$DO293))</f>
        <v>3.7037037037037035E-4</v>
      </c>
      <c r="FT293" s="10" cm="1">
        <f t="array" aca="1" ref="FT293" ca="1">(1-$B$18)*SUMPRODUCT(OFFSET($BO$15,0,0,$B$14,1), 1*(_xlfn._xlws.FILTER(OFFSET($O$15,0,$DN293,$B$8,1),OFFSET($M$15,0,0,$B$8,1))=FT$13), 1*(_xlfn._xlws.FILTER(OFFSET($O$15,0,$DO293,$B$8,1),OFFSET($M$15,0,0,$B$8,1))=FT$14))   /   SUM(OFFSET($BO$15,0,0,$B$14,1)) + $B$18/($B$19*$B$19*($DN293&lt;&gt;$DO293) + $B$19*($DN293=$DO293))</f>
        <v>3.7037037037037035E-4</v>
      </c>
      <c r="FU293" s="10" cm="1">
        <f t="array" aca="1" ref="FU293" ca="1">(1-$B$18)*SUMPRODUCT(OFFSET($BO$15,0,0,$B$14,1), 1*(_xlfn._xlws.FILTER(OFFSET($O$15,0,$DN293,$B$8,1),OFFSET($M$15,0,0,$B$8,1))=FU$13), 1*(_xlfn._xlws.FILTER(OFFSET($O$15,0,$DO293,$B$8,1),OFFSET($M$15,0,0,$B$8,1))=FU$14))   /   SUM(OFFSET($BO$15,0,0,$B$14,1)) + $B$18/($B$19*$B$19*($DN293&lt;&gt;$DO293) + $B$19*($DN293=$DO293))</f>
        <v>3.7037037037037035E-4</v>
      </c>
      <c r="FV293" s="10" cm="1">
        <f t="array" aca="1" ref="FV293" ca="1">(1-$B$18)*SUMPRODUCT(OFFSET($BO$15,0,0,$B$14,1), 1*(_xlfn._xlws.FILTER(OFFSET($O$15,0,$DN293,$B$8,1),OFFSET($M$15,0,0,$B$8,1))=FV$13), 1*(_xlfn._xlws.FILTER(OFFSET($O$15,0,$DO293,$B$8,1),OFFSET($M$15,0,0,$B$8,1))=FV$14))   /   SUM(OFFSET($BO$15,0,0,$B$14,1)) + $B$18/($B$19*$B$19*($DN293&lt;&gt;$DO293) + $B$19*($DN293=$DO293))</f>
        <v>3.7037037037037035E-4</v>
      </c>
      <c r="FW293" s="10" cm="1">
        <f t="array" aca="1" ref="FW293" ca="1">(1-$B$18)*SUMPRODUCT(OFFSET($BO$15,0,0,$B$14,1), 1*(_xlfn._xlws.FILTER(OFFSET($O$15,0,$DN293,$B$8,1),OFFSET($M$15,0,0,$B$8,1))=FW$13), 1*(_xlfn._xlws.FILTER(OFFSET($O$15,0,$DO293,$B$8,1),OFFSET($M$15,0,0,$B$8,1))=FW$14))   /   SUM(OFFSET($BO$15,0,0,$B$14,1)) + $B$18/($B$19*$B$19*($DN293&lt;&gt;$DO293) + $B$19*($DN293=$DO293))</f>
        <v>3.7037037037037035E-4</v>
      </c>
      <c r="FX293" s="10" cm="1">
        <f t="array" aca="1" ref="FX293" ca="1">(1-$B$18)*SUMPRODUCT(OFFSET($BO$15,0,0,$B$14,1), 1*(_xlfn._xlws.FILTER(OFFSET($O$15,0,$DN293,$B$8,1),OFFSET($M$15,0,0,$B$8,1))=FX$13), 1*(_xlfn._xlws.FILTER(OFFSET($O$15,0,$DO293,$B$8,1),OFFSET($M$15,0,0,$B$8,1))=FX$14))   /   SUM(OFFSET($BO$15,0,0,$B$14,1)) + $B$18/($B$19*$B$19*($DN293&lt;&gt;$DO293) + $B$19*($DN293=$DO293))</f>
        <v>3.7037037037037035E-4</v>
      </c>
      <c r="FY293" s="10" cm="1">
        <f t="array" aca="1" ref="FY293" ca="1">(1-$B$18)*SUMPRODUCT(OFFSET($BO$15,0,0,$B$14,1), 1*(_xlfn._xlws.FILTER(OFFSET($O$15,0,$DN293,$B$8,1),OFFSET($M$15,0,0,$B$8,1))=FY$13), 1*(_xlfn._xlws.FILTER(OFFSET($O$15,0,$DO293,$B$8,1),OFFSET($M$15,0,0,$B$8,1))=FY$14))   /   SUM(OFFSET($BO$15,0,0,$B$14,1)) + $B$18/($B$19*$B$19*($DN293&lt;&gt;$DO293) + $B$19*($DN293=$DO293))</f>
        <v>3.7037037037037035E-4</v>
      </c>
      <c r="FZ293" s="10" cm="1">
        <f t="array" aca="1" ref="FZ293" ca="1">(1-$B$18)*SUMPRODUCT(OFFSET($BO$15,0,0,$B$14,1), 1*(_xlfn._xlws.FILTER(OFFSET($O$15,0,$DN293,$B$8,1),OFFSET($M$15,0,0,$B$8,1))=FZ$13), 1*(_xlfn._xlws.FILTER(OFFSET($O$15,0,$DO293,$B$8,1),OFFSET($M$15,0,0,$B$8,1))=FZ$14))   /   SUM(OFFSET($BO$15,0,0,$B$14,1)) + $B$18/($B$19*$B$19*($DN293&lt;&gt;$DO293) + $B$19*($DN293=$DO293))</f>
        <v>3.7037037037037035E-4</v>
      </c>
      <c r="GA293" s="10" cm="1">
        <f t="array" aca="1" ref="GA293" ca="1">(1-$B$18)*SUMPRODUCT(OFFSET($BO$15,0,0,$B$14,1), 1*(_xlfn._xlws.FILTER(OFFSET($O$15,0,$DN293,$B$8,1),OFFSET($M$15,0,0,$B$8,1))=GA$13), 1*(_xlfn._xlws.FILTER(OFFSET($O$15,0,$DO293,$B$8,1),OFFSET($M$15,0,0,$B$8,1))=GA$14))   /   SUM(OFFSET($BO$15,0,0,$B$14,1)) + $B$18/($B$19*$B$19*($DN293&lt;&gt;$DO293) + $B$19*($DN293=$DO293))</f>
        <v>3.7037037037037035E-4</v>
      </c>
    </row>
    <row r="294" spans="118:183" x14ac:dyDescent="0.2">
      <c r="DN294" cm="1">
        <f t="array" aca="1" ref="DN294" ca="1">INDEX(_xlfn.ANCHORARRAY($CP$15), 1 + INT((ROWS($DO$15:$DO294) - 1) / ROWS(_xlfn.ANCHORARRAY($CP$15))))</f>
        <v>15</v>
      </c>
      <c r="DO294" cm="1">
        <f t="array" aca="1" ref="DO294" ca="1">INDEX(_xlfn.ANCHORARRAY($CP$15),1+MOD(ROWS($DO$15:$DO294)-1,ROWS(_xlfn.ANCHORARRAY($CP$15))))</f>
        <v>14</v>
      </c>
      <c r="DP294" s="10" cm="1">
        <f t="array" aca="1" ref="DP294" ca="1">(1-$B$18)*SUMPRODUCT(OFFSET($BO$15,0,0,$B$14,1), 1*(_xlfn._xlws.FILTER(OFFSET($O$15,0,$DN294,$B$8,1),OFFSET($M$15,0,0,$B$8,1))=DP$13), 1*(_xlfn._xlws.FILTER(OFFSET($O$15,0,$DO294,$B$8,1),OFFSET($M$15,0,0,$B$8,1))=DP$14))   /   SUM(OFFSET($BO$15,0,0,$B$14,1)) + $B$18/($B$19*$B$19*($DN294&lt;&gt;$DO294) + $B$19*($DN294=$DO294))</f>
        <v>3.7037037037037035E-4</v>
      </c>
      <c r="DQ294" s="10" cm="1">
        <f t="array" aca="1" ref="DQ294" ca="1">(1-$B$18)*SUMPRODUCT(OFFSET($BO$15,0,0,$B$14,1), 1*(_xlfn._xlws.FILTER(OFFSET($O$15,0,$DN294,$B$8,1),OFFSET($M$15,0,0,$B$8,1))=DQ$13), 1*(_xlfn._xlws.FILTER(OFFSET($O$15,0,$DO294,$B$8,1),OFFSET($M$15,0,0,$B$8,1))=DQ$14))   /   SUM(OFFSET($BO$15,0,0,$B$14,1)) + $B$18/($B$19*$B$19*($DN294&lt;&gt;$DO294) + $B$19*($DN294=$DO294))</f>
        <v>3.7037037037037035E-4</v>
      </c>
      <c r="DR294" s="10" cm="1">
        <f t="array" aca="1" ref="DR294" ca="1">(1-$B$18)*SUMPRODUCT(OFFSET($BO$15,0,0,$B$14,1), 1*(_xlfn._xlws.FILTER(OFFSET($O$15,0,$DN294,$B$8,1),OFFSET($M$15,0,0,$B$8,1))=DR$13), 1*(_xlfn._xlws.FILTER(OFFSET($O$15,0,$DO294,$B$8,1),OFFSET($M$15,0,0,$B$8,1))=DR$14))   /   SUM(OFFSET($BO$15,0,0,$B$14,1)) + $B$18/($B$19*$B$19*($DN294&lt;&gt;$DO294) + $B$19*($DN294=$DO294))</f>
        <v>3.7037037037037035E-4</v>
      </c>
      <c r="DS294" s="10" cm="1">
        <f t="array" aca="1" ref="DS294" ca="1">(1-$B$18)*SUMPRODUCT(OFFSET($BO$15,0,0,$B$14,1), 1*(_xlfn._xlws.FILTER(OFFSET($O$15,0,$DN294,$B$8,1),OFFSET($M$15,0,0,$B$8,1))=DS$13), 1*(_xlfn._xlws.FILTER(OFFSET($O$15,0,$DO294,$B$8,1),OFFSET($M$15,0,0,$B$8,1))=DS$14))   /   SUM(OFFSET($BO$15,0,0,$B$14,1)) + $B$18/($B$19*$B$19*($DN294&lt;&gt;$DO294) + $B$19*($DN294=$DO294))</f>
        <v>3.7037037037037035E-4</v>
      </c>
      <c r="DT294" s="10" cm="1">
        <f t="array" aca="1" ref="DT294" ca="1">(1-$B$18)*SUMPRODUCT(OFFSET($BO$15,0,0,$B$14,1), 1*(_xlfn._xlws.FILTER(OFFSET($O$15,0,$DN294,$B$8,1),OFFSET($M$15,0,0,$B$8,1))=DT$13), 1*(_xlfn._xlws.FILTER(OFFSET($O$15,0,$DO294,$B$8,1),OFFSET($M$15,0,0,$B$8,1))=DT$14))   /   SUM(OFFSET($BO$15,0,0,$B$14,1)) + $B$18/($B$19*$B$19*($DN294&lt;&gt;$DO294) + $B$19*($DN294=$DO294))</f>
        <v>3.7037037037037035E-4</v>
      </c>
      <c r="DU294" s="10" cm="1">
        <f t="array" aca="1" ref="DU294" ca="1">(1-$B$18)*SUMPRODUCT(OFFSET($BO$15,0,0,$B$14,1), 1*(_xlfn._xlws.FILTER(OFFSET($O$15,0,$DN294,$B$8,1),OFFSET($M$15,0,0,$B$8,1))=DU$13), 1*(_xlfn._xlws.FILTER(OFFSET($O$15,0,$DO294,$B$8,1),OFFSET($M$15,0,0,$B$8,1))=DU$14))   /   SUM(OFFSET($BO$15,0,0,$B$14,1)) + $B$18/($B$19*$B$19*($DN294&lt;&gt;$DO294) + $B$19*($DN294=$DO294))</f>
        <v>3.7037037037037035E-4</v>
      </c>
      <c r="DV294" s="10" cm="1">
        <f t="array" aca="1" ref="DV294" ca="1">(1-$B$18)*SUMPRODUCT(OFFSET($BO$15,0,0,$B$14,1), 1*(_xlfn._xlws.FILTER(OFFSET($O$15,0,$DN294,$B$8,1),OFFSET($M$15,0,0,$B$8,1))=DV$13), 1*(_xlfn._xlws.FILTER(OFFSET($O$15,0,$DO294,$B$8,1),OFFSET($M$15,0,0,$B$8,1))=DV$14))   /   SUM(OFFSET($BO$15,0,0,$B$14,1)) + $B$18/($B$19*$B$19*($DN294&lt;&gt;$DO294) + $B$19*($DN294=$DO294))</f>
        <v>3.7037037037037035E-4</v>
      </c>
      <c r="DW294" s="10" cm="1">
        <f t="array" aca="1" ref="DW294" ca="1">(1-$B$18)*SUMPRODUCT(OFFSET($BO$15,0,0,$B$14,1), 1*(_xlfn._xlws.FILTER(OFFSET($O$15,0,$DN294,$B$8,1),OFFSET($M$15,0,0,$B$8,1))=DW$13), 1*(_xlfn._xlws.FILTER(OFFSET($O$15,0,$DO294,$B$8,1),OFFSET($M$15,0,0,$B$8,1))=DW$14))   /   SUM(OFFSET($BO$15,0,0,$B$14,1)) + $B$18/($B$19*$B$19*($DN294&lt;&gt;$DO294) + $B$19*($DN294=$DO294))</f>
        <v>3.7037037037037035E-4</v>
      </c>
      <c r="DX294" s="10" cm="1">
        <f t="array" aca="1" ref="DX294" ca="1">(1-$B$18)*SUMPRODUCT(OFFSET($BO$15,0,0,$B$14,1), 1*(_xlfn._xlws.FILTER(OFFSET($O$15,0,$DN294,$B$8,1),OFFSET($M$15,0,0,$B$8,1))=DX$13), 1*(_xlfn._xlws.FILTER(OFFSET($O$15,0,$DO294,$B$8,1),OFFSET($M$15,0,0,$B$8,1))=DX$14))   /   SUM(OFFSET($BO$15,0,0,$B$14,1)) + $B$18/($B$19*$B$19*($DN294&lt;&gt;$DO294) + $B$19*($DN294=$DO294))</f>
        <v>3.7037037037037035E-4</v>
      </c>
      <c r="DY294" s="10" cm="1">
        <f t="array" aca="1" ref="DY294" ca="1">(1-$B$18)*SUMPRODUCT(OFFSET($BO$15,0,0,$B$14,1), 1*(_xlfn._xlws.FILTER(OFFSET($O$15,0,$DN294,$B$8,1),OFFSET($M$15,0,0,$B$8,1))=DY$13), 1*(_xlfn._xlws.FILTER(OFFSET($O$15,0,$DO294,$B$8,1),OFFSET($M$15,0,0,$B$8,1))=DY$14))   /   SUM(OFFSET($BO$15,0,0,$B$14,1)) + $B$18/($B$19*$B$19*($DN294&lt;&gt;$DO294) + $B$19*($DN294=$DO294))</f>
        <v>3.7037037037037035E-4</v>
      </c>
      <c r="DZ294" s="10" cm="1">
        <f t="array" aca="1" ref="DZ294" ca="1">(1-$B$18)*SUMPRODUCT(OFFSET($BO$15,0,0,$B$14,1), 1*(_xlfn._xlws.FILTER(OFFSET($O$15,0,$DN294,$B$8,1),OFFSET($M$15,0,0,$B$8,1))=DZ$13), 1*(_xlfn._xlws.FILTER(OFFSET($O$15,0,$DO294,$B$8,1),OFFSET($M$15,0,0,$B$8,1))=DZ$14))   /   SUM(OFFSET($BO$15,0,0,$B$14,1)) + $B$18/($B$19*$B$19*($DN294&lt;&gt;$DO294) + $B$19*($DN294=$DO294))</f>
        <v>3.7037037037037035E-4</v>
      </c>
      <c r="EA294" s="10" cm="1">
        <f t="array" aca="1" ref="EA294" ca="1">(1-$B$18)*SUMPRODUCT(OFFSET($BO$15,0,0,$B$14,1), 1*(_xlfn._xlws.FILTER(OFFSET($O$15,0,$DN294,$B$8,1),OFFSET($M$15,0,0,$B$8,1))=EA$13), 1*(_xlfn._xlws.FILTER(OFFSET($O$15,0,$DO294,$B$8,1),OFFSET($M$15,0,0,$B$8,1))=EA$14))   /   SUM(OFFSET($BO$15,0,0,$B$14,1)) + $B$18/($B$19*$B$19*($DN294&lt;&gt;$DO294) + $B$19*($DN294=$DO294))</f>
        <v>3.7037037037037035E-4</v>
      </c>
      <c r="EB294" s="10" cm="1">
        <f t="array" aca="1" ref="EB294" ca="1">(1-$B$18)*SUMPRODUCT(OFFSET($BO$15,0,0,$B$14,1), 1*(_xlfn._xlws.FILTER(OFFSET($O$15,0,$DN294,$B$8,1),OFFSET($M$15,0,0,$B$8,1))=EB$13), 1*(_xlfn._xlws.FILTER(OFFSET($O$15,0,$DO294,$B$8,1),OFFSET($M$15,0,0,$B$8,1))=EB$14))   /   SUM(OFFSET($BO$15,0,0,$B$14,1)) + $B$18/($B$19*$B$19*($DN294&lt;&gt;$DO294) + $B$19*($DN294=$DO294))</f>
        <v>3.7037037037037035E-4</v>
      </c>
      <c r="EC294" s="10" cm="1">
        <f t="array" aca="1" ref="EC294" ca="1">(1-$B$18)*SUMPRODUCT(OFFSET($BO$15,0,0,$B$14,1), 1*(_xlfn._xlws.FILTER(OFFSET($O$15,0,$DN294,$B$8,1),OFFSET($M$15,0,0,$B$8,1))=EC$13), 1*(_xlfn._xlws.FILTER(OFFSET($O$15,0,$DO294,$B$8,1),OFFSET($M$15,0,0,$B$8,1))=EC$14))   /   SUM(OFFSET($BO$15,0,0,$B$14,1)) + $B$18/($B$19*$B$19*($DN294&lt;&gt;$DO294) + $B$19*($DN294=$DO294))</f>
        <v>3.7037037037037035E-4</v>
      </c>
      <c r="ED294" s="10" cm="1">
        <f t="array" aca="1" ref="ED294" ca="1">(1-$B$18)*SUMPRODUCT(OFFSET($BO$15,0,0,$B$14,1), 1*(_xlfn._xlws.FILTER(OFFSET($O$15,0,$DN294,$B$8,1),OFFSET($M$15,0,0,$B$8,1))=ED$13), 1*(_xlfn._xlws.FILTER(OFFSET($O$15,0,$DO294,$B$8,1),OFFSET($M$15,0,0,$B$8,1))=ED$14))   /   SUM(OFFSET($BO$15,0,0,$B$14,1)) + $B$18/($B$19*$B$19*($DN294&lt;&gt;$DO294) + $B$19*($DN294=$DO294))</f>
        <v>3.7037037037037035E-4</v>
      </c>
      <c r="EE294" s="10" cm="1">
        <f t="array" aca="1" ref="EE294" ca="1">(1-$B$18)*SUMPRODUCT(OFFSET($BO$15,0,0,$B$14,1), 1*(_xlfn._xlws.FILTER(OFFSET($O$15,0,$DN294,$B$8,1),OFFSET($M$15,0,0,$B$8,1))=EE$13), 1*(_xlfn._xlws.FILTER(OFFSET($O$15,0,$DO294,$B$8,1),OFFSET($M$15,0,0,$B$8,1))=EE$14))   /   SUM(OFFSET($BO$15,0,0,$B$14,1)) + $B$18/($B$19*$B$19*($DN294&lt;&gt;$DO294) + $B$19*($DN294=$DO294))</f>
        <v>3.7037037037037035E-4</v>
      </c>
      <c r="EF294" s="10" cm="1">
        <f t="array" aca="1" ref="EF294" ca="1">(1-$B$18)*SUMPRODUCT(OFFSET($BO$15,0,0,$B$14,1), 1*(_xlfn._xlws.FILTER(OFFSET($O$15,0,$DN294,$B$8,1),OFFSET($M$15,0,0,$B$8,1))=EF$13), 1*(_xlfn._xlws.FILTER(OFFSET($O$15,0,$DO294,$B$8,1),OFFSET($M$15,0,0,$B$8,1))=EF$14))   /   SUM(OFFSET($BO$15,0,0,$B$14,1)) + $B$18/($B$19*$B$19*($DN294&lt;&gt;$DO294) + $B$19*($DN294=$DO294))</f>
        <v>3.7037037037037035E-4</v>
      </c>
      <c r="EG294" s="10" cm="1">
        <f t="array" aca="1" ref="EG294" ca="1">(1-$B$18)*SUMPRODUCT(OFFSET($BO$15,0,0,$B$14,1), 1*(_xlfn._xlws.FILTER(OFFSET($O$15,0,$DN294,$B$8,1),OFFSET($M$15,0,0,$B$8,1))=EG$13), 1*(_xlfn._xlws.FILTER(OFFSET($O$15,0,$DO294,$B$8,1),OFFSET($M$15,0,0,$B$8,1))=EG$14))   /   SUM(OFFSET($BO$15,0,0,$B$14,1)) + $B$18/($B$19*$B$19*($DN294&lt;&gt;$DO294) + $B$19*($DN294=$DO294))</f>
        <v>3.7037037037037035E-4</v>
      </c>
      <c r="EH294" s="10" cm="1">
        <f t="array" aca="1" ref="EH294" ca="1">(1-$B$18)*SUMPRODUCT(OFFSET($BO$15,0,0,$B$14,1), 1*(_xlfn._xlws.FILTER(OFFSET($O$15,0,$DN294,$B$8,1),OFFSET($M$15,0,0,$B$8,1))=EH$13), 1*(_xlfn._xlws.FILTER(OFFSET($O$15,0,$DO294,$B$8,1),OFFSET($M$15,0,0,$B$8,1))=EH$14))   /   SUM(OFFSET($BO$15,0,0,$B$14,1)) + $B$18/($B$19*$B$19*($DN294&lt;&gt;$DO294) + $B$19*($DN294=$DO294))</f>
        <v>0.97037037037037033</v>
      </c>
      <c r="EI294" s="10" cm="1">
        <f t="array" aca="1" ref="EI294" ca="1">(1-$B$18)*SUMPRODUCT(OFFSET($BO$15,0,0,$B$14,1), 1*(_xlfn._xlws.FILTER(OFFSET($O$15,0,$DN294,$B$8,1),OFFSET($M$15,0,0,$B$8,1))=EI$13), 1*(_xlfn._xlws.FILTER(OFFSET($O$15,0,$DO294,$B$8,1),OFFSET($M$15,0,0,$B$8,1))=EI$14))   /   SUM(OFFSET($BO$15,0,0,$B$14,1)) + $B$18/($B$19*$B$19*($DN294&lt;&gt;$DO294) + $B$19*($DN294=$DO294))</f>
        <v>3.7037037037037035E-4</v>
      </c>
      <c r="EJ294" s="10" cm="1">
        <f t="array" aca="1" ref="EJ294" ca="1">(1-$B$18)*SUMPRODUCT(OFFSET($BO$15,0,0,$B$14,1), 1*(_xlfn._xlws.FILTER(OFFSET($O$15,0,$DN294,$B$8,1),OFFSET($M$15,0,0,$B$8,1))=EJ$13), 1*(_xlfn._xlws.FILTER(OFFSET($O$15,0,$DO294,$B$8,1),OFFSET($M$15,0,0,$B$8,1))=EJ$14))   /   SUM(OFFSET($BO$15,0,0,$B$14,1)) + $B$18/($B$19*$B$19*($DN294&lt;&gt;$DO294) + $B$19*($DN294=$DO294))</f>
        <v>3.7037037037037035E-4</v>
      </c>
      <c r="EK294" s="10" cm="1">
        <f t="array" aca="1" ref="EK294" ca="1">(1-$B$18)*SUMPRODUCT(OFFSET($BO$15,0,0,$B$14,1), 1*(_xlfn._xlws.FILTER(OFFSET($O$15,0,$DN294,$B$8,1),OFFSET($M$15,0,0,$B$8,1))=EK$13), 1*(_xlfn._xlws.FILTER(OFFSET($O$15,0,$DO294,$B$8,1),OFFSET($M$15,0,0,$B$8,1))=EK$14))   /   SUM(OFFSET($BO$15,0,0,$B$14,1)) + $B$18/($B$19*$B$19*($DN294&lt;&gt;$DO294) + $B$19*($DN294=$DO294))</f>
        <v>3.7037037037037035E-4</v>
      </c>
      <c r="EL294" s="10" cm="1">
        <f t="array" aca="1" ref="EL294" ca="1">(1-$B$18)*SUMPRODUCT(OFFSET($BO$15,0,0,$B$14,1), 1*(_xlfn._xlws.FILTER(OFFSET($O$15,0,$DN294,$B$8,1),OFFSET($M$15,0,0,$B$8,1))=EL$13), 1*(_xlfn._xlws.FILTER(OFFSET($O$15,0,$DO294,$B$8,1),OFFSET($M$15,0,0,$B$8,1))=EL$14))   /   SUM(OFFSET($BO$15,0,0,$B$14,1)) + $B$18/($B$19*$B$19*($DN294&lt;&gt;$DO294) + $B$19*($DN294=$DO294))</f>
        <v>3.7037037037037035E-4</v>
      </c>
      <c r="EM294" s="10" cm="1">
        <f t="array" aca="1" ref="EM294" ca="1">(1-$B$18)*SUMPRODUCT(OFFSET($BO$15,0,0,$B$14,1), 1*(_xlfn._xlws.FILTER(OFFSET($O$15,0,$DN294,$B$8,1),OFFSET($M$15,0,0,$B$8,1))=EM$13), 1*(_xlfn._xlws.FILTER(OFFSET($O$15,0,$DO294,$B$8,1),OFFSET($M$15,0,0,$B$8,1))=EM$14))   /   SUM(OFFSET($BO$15,0,0,$B$14,1)) + $B$18/($B$19*$B$19*($DN294&lt;&gt;$DO294) + $B$19*($DN294=$DO294))</f>
        <v>3.7037037037037035E-4</v>
      </c>
      <c r="EN294" s="10" cm="1">
        <f t="array" aca="1" ref="EN294" ca="1">(1-$B$18)*SUMPRODUCT(OFFSET($BO$15,0,0,$B$14,1), 1*(_xlfn._xlws.FILTER(OFFSET($O$15,0,$DN294,$B$8,1),OFFSET($M$15,0,0,$B$8,1))=EN$13), 1*(_xlfn._xlws.FILTER(OFFSET($O$15,0,$DO294,$B$8,1),OFFSET($M$15,0,0,$B$8,1))=EN$14))   /   SUM(OFFSET($BO$15,0,0,$B$14,1)) + $B$18/($B$19*$B$19*($DN294&lt;&gt;$DO294) + $B$19*($DN294=$DO294))</f>
        <v>3.7037037037037035E-4</v>
      </c>
      <c r="EO294" s="10" cm="1">
        <f t="array" aca="1" ref="EO294" ca="1">(1-$B$18)*SUMPRODUCT(OFFSET($BO$15,0,0,$B$14,1), 1*(_xlfn._xlws.FILTER(OFFSET($O$15,0,$DN294,$B$8,1),OFFSET($M$15,0,0,$B$8,1))=EO$13), 1*(_xlfn._xlws.FILTER(OFFSET($O$15,0,$DO294,$B$8,1),OFFSET($M$15,0,0,$B$8,1))=EO$14))   /   SUM(OFFSET($BO$15,0,0,$B$14,1)) + $B$18/($B$19*$B$19*($DN294&lt;&gt;$DO294) + $B$19*($DN294=$DO294))</f>
        <v>3.7037037037037035E-4</v>
      </c>
      <c r="EP294" s="10" cm="1">
        <f t="array" aca="1" ref="EP294" ca="1">(1-$B$18)*SUMPRODUCT(OFFSET($BO$15,0,0,$B$14,1), 1*(_xlfn._xlws.FILTER(OFFSET($O$15,0,$DN294,$B$8,1),OFFSET($M$15,0,0,$B$8,1))=EP$13), 1*(_xlfn._xlws.FILTER(OFFSET($O$15,0,$DO294,$B$8,1),OFFSET($M$15,0,0,$B$8,1))=EP$14))   /   SUM(OFFSET($BO$15,0,0,$B$14,1)) + $B$18/($B$19*$B$19*($DN294&lt;&gt;$DO294) + $B$19*($DN294=$DO294))</f>
        <v>3.7037037037037035E-4</v>
      </c>
      <c r="EQ294" s="10" cm="1">
        <f t="array" aca="1" ref="EQ294" ca="1">(1-$B$18)*SUMPRODUCT(OFFSET($BO$15,0,0,$B$14,1), 1*(_xlfn._xlws.FILTER(OFFSET($O$15,0,$DN294,$B$8,1),OFFSET($M$15,0,0,$B$8,1))=EQ$13), 1*(_xlfn._xlws.FILTER(OFFSET($O$15,0,$DO294,$B$8,1),OFFSET($M$15,0,0,$B$8,1))=EQ$14))   /   SUM(OFFSET($BO$15,0,0,$B$14,1)) + $B$18/($B$19*$B$19*($DN294&lt;&gt;$DO294) + $B$19*($DN294=$DO294))</f>
        <v>3.7037037037037035E-4</v>
      </c>
      <c r="ER294" s="10" cm="1">
        <f t="array" aca="1" ref="ER294" ca="1">(1-$B$18)*SUMPRODUCT(OFFSET($BO$15,0,0,$B$14,1), 1*(_xlfn._xlws.FILTER(OFFSET($O$15,0,$DN294,$B$8,1),OFFSET($M$15,0,0,$B$8,1))=ER$13), 1*(_xlfn._xlws.FILTER(OFFSET($O$15,0,$DO294,$B$8,1),OFFSET($M$15,0,0,$B$8,1))=ER$14))   /   SUM(OFFSET($BO$15,0,0,$B$14,1)) + $B$18/($B$19*$B$19*($DN294&lt;&gt;$DO294) + $B$19*($DN294=$DO294))</f>
        <v>3.7037037037037035E-4</v>
      </c>
      <c r="ES294" s="10" cm="1">
        <f t="array" aca="1" ref="ES294" ca="1">(1-$B$18)*SUMPRODUCT(OFFSET($BO$15,0,0,$B$14,1), 1*(_xlfn._xlws.FILTER(OFFSET($O$15,0,$DN294,$B$8,1),OFFSET($M$15,0,0,$B$8,1))=ES$13), 1*(_xlfn._xlws.FILTER(OFFSET($O$15,0,$DO294,$B$8,1),OFFSET($M$15,0,0,$B$8,1))=ES$14))   /   SUM(OFFSET($BO$15,0,0,$B$14,1)) + $B$18/($B$19*$B$19*($DN294&lt;&gt;$DO294) + $B$19*($DN294=$DO294))</f>
        <v>3.7037037037037035E-4</v>
      </c>
      <c r="ET294" s="10" cm="1">
        <f t="array" aca="1" ref="ET294" ca="1">(1-$B$18)*SUMPRODUCT(OFFSET($BO$15,0,0,$B$14,1), 1*(_xlfn._xlws.FILTER(OFFSET($O$15,0,$DN294,$B$8,1),OFFSET($M$15,0,0,$B$8,1))=ET$13), 1*(_xlfn._xlws.FILTER(OFFSET($O$15,0,$DO294,$B$8,1),OFFSET($M$15,0,0,$B$8,1))=ET$14))   /   SUM(OFFSET($BO$15,0,0,$B$14,1)) + $B$18/($B$19*$B$19*($DN294&lt;&gt;$DO294) + $B$19*($DN294=$DO294))</f>
        <v>3.7037037037037035E-4</v>
      </c>
      <c r="EU294" s="10" cm="1">
        <f t="array" aca="1" ref="EU294" ca="1">(1-$B$18)*SUMPRODUCT(OFFSET($BO$15,0,0,$B$14,1), 1*(_xlfn._xlws.FILTER(OFFSET($O$15,0,$DN294,$B$8,1),OFFSET($M$15,0,0,$B$8,1))=EU$13), 1*(_xlfn._xlws.FILTER(OFFSET($O$15,0,$DO294,$B$8,1),OFFSET($M$15,0,0,$B$8,1))=EU$14))   /   SUM(OFFSET($BO$15,0,0,$B$14,1)) + $B$18/($B$19*$B$19*($DN294&lt;&gt;$DO294) + $B$19*($DN294=$DO294))</f>
        <v>3.7037037037037035E-4</v>
      </c>
      <c r="EV294" s="10" cm="1">
        <f t="array" aca="1" ref="EV294" ca="1">(1-$B$18)*SUMPRODUCT(OFFSET($BO$15,0,0,$B$14,1), 1*(_xlfn._xlws.FILTER(OFFSET($O$15,0,$DN294,$B$8,1),OFFSET($M$15,0,0,$B$8,1))=EV$13), 1*(_xlfn._xlws.FILTER(OFFSET($O$15,0,$DO294,$B$8,1),OFFSET($M$15,0,0,$B$8,1))=EV$14))   /   SUM(OFFSET($BO$15,0,0,$B$14,1)) + $B$18/($B$19*$B$19*($DN294&lt;&gt;$DO294) + $B$19*($DN294=$DO294))</f>
        <v>3.7037037037037035E-4</v>
      </c>
      <c r="EW294" s="10" cm="1">
        <f t="array" aca="1" ref="EW294" ca="1">(1-$B$18)*SUMPRODUCT(OFFSET($BO$15,0,0,$B$14,1), 1*(_xlfn._xlws.FILTER(OFFSET($O$15,0,$DN294,$B$8,1),OFFSET($M$15,0,0,$B$8,1))=EW$13), 1*(_xlfn._xlws.FILTER(OFFSET($O$15,0,$DO294,$B$8,1),OFFSET($M$15,0,0,$B$8,1))=EW$14))   /   SUM(OFFSET($BO$15,0,0,$B$14,1)) + $B$18/($B$19*$B$19*($DN294&lt;&gt;$DO294) + $B$19*($DN294=$DO294))</f>
        <v>3.7037037037037035E-4</v>
      </c>
      <c r="EX294" s="10" cm="1">
        <f t="array" aca="1" ref="EX294" ca="1">(1-$B$18)*SUMPRODUCT(OFFSET($BO$15,0,0,$B$14,1), 1*(_xlfn._xlws.FILTER(OFFSET($O$15,0,$DN294,$B$8,1),OFFSET($M$15,0,0,$B$8,1))=EX$13), 1*(_xlfn._xlws.FILTER(OFFSET($O$15,0,$DO294,$B$8,1),OFFSET($M$15,0,0,$B$8,1))=EX$14))   /   SUM(OFFSET($BO$15,0,0,$B$14,1)) + $B$18/($B$19*$B$19*($DN294&lt;&gt;$DO294) + $B$19*($DN294=$DO294))</f>
        <v>3.7037037037037035E-4</v>
      </c>
      <c r="EY294" s="10" cm="1">
        <f t="array" aca="1" ref="EY294" ca="1">(1-$B$18)*SUMPRODUCT(OFFSET($BO$15,0,0,$B$14,1), 1*(_xlfn._xlws.FILTER(OFFSET($O$15,0,$DN294,$B$8,1),OFFSET($M$15,0,0,$B$8,1))=EY$13), 1*(_xlfn._xlws.FILTER(OFFSET($O$15,0,$DO294,$B$8,1),OFFSET($M$15,0,0,$B$8,1))=EY$14))   /   SUM(OFFSET($BO$15,0,0,$B$14,1)) + $B$18/($B$19*$B$19*($DN294&lt;&gt;$DO294) + $B$19*($DN294=$DO294))</f>
        <v>3.7037037037037035E-4</v>
      </c>
      <c r="EZ294" s="10" cm="1">
        <f t="array" aca="1" ref="EZ294" ca="1">(1-$B$18)*SUMPRODUCT(OFFSET($BO$15,0,0,$B$14,1), 1*(_xlfn._xlws.FILTER(OFFSET($O$15,0,$DN294,$B$8,1),OFFSET($M$15,0,0,$B$8,1))=EZ$13), 1*(_xlfn._xlws.FILTER(OFFSET($O$15,0,$DO294,$B$8,1),OFFSET($M$15,0,0,$B$8,1))=EZ$14))   /   SUM(OFFSET($BO$15,0,0,$B$14,1)) + $B$18/($B$19*$B$19*($DN294&lt;&gt;$DO294) + $B$19*($DN294=$DO294))</f>
        <v>3.7037037037037035E-4</v>
      </c>
      <c r="FA294" s="10" cm="1">
        <f t="array" aca="1" ref="FA294" ca="1">(1-$B$18)*SUMPRODUCT(OFFSET($BO$15,0,0,$B$14,1), 1*(_xlfn._xlws.FILTER(OFFSET($O$15,0,$DN294,$B$8,1),OFFSET($M$15,0,0,$B$8,1))=FA$13), 1*(_xlfn._xlws.FILTER(OFFSET($O$15,0,$DO294,$B$8,1),OFFSET($M$15,0,0,$B$8,1))=FA$14))   /   SUM(OFFSET($BO$15,0,0,$B$14,1)) + $B$18/($B$19*$B$19*($DN294&lt;&gt;$DO294) + $B$19*($DN294=$DO294))</f>
        <v>3.7037037037037035E-4</v>
      </c>
      <c r="FB294" s="10" cm="1">
        <f t="array" aca="1" ref="FB294" ca="1">(1-$B$18)*SUMPRODUCT(OFFSET($BO$15,0,0,$B$14,1), 1*(_xlfn._xlws.FILTER(OFFSET($O$15,0,$DN294,$B$8,1),OFFSET($M$15,0,0,$B$8,1))=FB$13), 1*(_xlfn._xlws.FILTER(OFFSET($O$15,0,$DO294,$B$8,1),OFFSET($M$15,0,0,$B$8,1))=FB$14))   /   SUM(OFFSET($BO$15,0,0,$B$14,1)) + $B$18/($B$19*$B$19*($DN294&lt;&gt;$DO294) + $B$19*($DN294=$DO294))</f>
        <v>3.7037037037037035E-4</v>
      </c>
      <c r="FC294" s="10" cm="1">
        <f t="array" aca="1" ref="FC294" ca="1">(1-$B$18)*SUMPRODUCT(OFFSET($BO$15,0,0,$B$14,1), 1*(_xlfn._xlws.FILTER(OFFSET($O$15,0,$DN294,$B$8,1),OFFSET($M$15,0,0,$B$8,1))=FC$13), 1*(_xlfn._xlws.FILTER(OFFSET($O$15,0,$DO294,$B$8,1),OFFSET($M$15,0,0,$B$8,1))=FC$14))   /   SUM(OFFSET($BO$15,0,0,$B$14,1)) + $B$18/($B$19*$B$19*($DN294&lt;&gt;$DO294) + $B$19*($DN294=$DO294))</f>
        <v>3.7037037037037035E-4</v>
      </c>
      <c r="FD294" s="10" cm="1">
        <f t="array" aca="1" ref="FD294" ca="1">(1-$B$18)*SUMPRODUCT(OFFSET($BO$15,0,0,$B$14,1), 1*(_xlfn._xlws.FILTER(OFFSET($O$15,0,$DN294,$B$8,1),OFFSET($M$15,0,0,$B$8,1))=FD$13), 1*(_xlfn._xlws.FILTER(OFFSET($O$15,0,$DO294,$B$8,1),OFFSET($M$15,0,0,$B$8,1))=FD$14))   /   SUM(OFFSET($BO$15,0,0,$B$14,1)) + $B$18/($B$19*$B$19*($DN294&lt;&gt;$DO294) + $B$19*($DN294=$DO294))</f>
        <v>3.7037037037037035E-4</v>
      </c>
      <c r="FE294" s="10" cm="1">
        <f t="array" aca="1" ref="FE294" ca="1">(1-$B$18)*SUMPRODUCT(OFFSET($BO$15,0,0,$B$14,1), 1*(_xlfn._xlws.FILTER(OFFSET($O$15,0,$DN294,$B$8,1),OFFSET($M$15,0,0,$B$8,1))=FE$13), 1*(_xlfn._xlws.FILTER(OFFSET($O$15,0,$DO294,$B$8,1),OFFSET($M$15,0,0,$B$8,1))=FE$14))   /   SUM(OFFSET($BO$15,0,0,$B$14,1)) + $B$18/($B$19*$B$19*($DN294&lt;&gt;$DO294) + $B$19*($DN294=$DO294))</f>
        <v>3.7037037037037035E-4</v>
      </c>
      <c r="FF294" s="10" cm="1">
        <f t="array" aca="1" ref="FF294" ca="1">(1-$B$18)*SUMPRODUCT(OFFSET($BO$15,0,0,$B$14,1), 1*(_xlfn._xlws.FILTER(OFFSET($O$15,0,$DN294,$B$8,1),OFFSET($M$15,0,0,$B$8,1))=FF$13), 1*(_xlfn._xlws.FILTER(OFFSET($O$15,0,$DO294,$B$8,1),OFFSET($M$15,0,0,$B$8,1))=FF$14))   /   SUM(OFFSET($BO$15,0,0,$B$14,1)) + $B$18/($B$19*$B$19*($DN294&lt;&gt;$DO294) + $B$19*($DN294=$DO294))</f>
        <v>3.7037037037037035E-4</v>
      </c>
      <c r="FG294" s="10" cm="1">
        <f t="array" aca="1" ref="FG294" ca="1">(1-$B$18)*SUMPRODUCT(OFFSET($BO$15,0,0,$B$14,1), 1*(_xlfn._xlws.FILTER(OFFSET($O$15,0,$DN294,$B$8,1),OFFSET($M$15,0,0,$B$8,1))=FG$13), 1*(_xlfn._xlws.FILTER(OFFSET($O$15,0,$DO294,$B$8,1),OFFSET($M$15,0,0,$B$8,1))=FG$14))   /   SUM(OFFSET($BO$15,0,0,$B$14,1)) + $B$18/($B$19*$B$19*($DN294&lt;&gt;$DO294) + $B$19*($DN294=$DO294))</f>
        <v>3.7037037037037035E-4</v>
      </c>
      <c r="FH294" s="10" cm="1">
        <f t="array" aca="1" ref="FH294" ca="1">(1-$B$18)*SUMPRODUCT(OFFSET($BO$15,0,0,$B$14,1), 1*(_xlfn._xlws.FILTER(OFFSET($O$15,0,$DN294,$B$8,1),OFFSET($M$15,0,0,$B$8,1))=FH$13), 1*(_xlfn._xlws.FILTER(OFFSET($O$15,0,$DO294,$B$8,1),OFFSET($M$15,0,0,$B$8,1))=FH$14))   /   SUM(OFFSET($BO$15,0,0,$B$14,1)) + $B$18/($B$19*$B$19*($DN294&lt;&gt;$DO294) + $B$19*($DN294=$DO294))</f>
        <v>3.7037037037037035E-4</v>
      </c>
      <c r="FI294" s="10" cm="1">
        <f t="array" aca="1" ref="FI294" ca="1">(1-$B$18)*SUMPRODUCT(OFFSET($BO$15,0,0,$B$14,1), 1*(_xlfn._xlws.FILTER(OFFSET($O$15,0,$DN294,$B$8,1),OFFSET($M$15,0,0,$B$8,1))=FI$13), 1*(_xlfn._xlws.FILTER(OFFSET($O$15,0,$DO294,$B$8,1),OFFSET($M$15,0,0,$B$8,1))=FI$14))   /   SUM(OFFSET($BO$15,0,0,$B$14,1)) + $B$18/($B$19*$B$19*($DN294&lt;&gt;$DO294) + $B$19*($DN294=$DO294))</f>
        <v>3.7037037037037035E-4</v>
      </c>
      <c r="FJ294" s="10" cm="1">
        <f t="array" aca="1" ref="FJ294" ca="1">(1-$B$18)*SUMPRODUCT(OFFSET($BO$15,0,0,$B$14,1), 1*(_xlfn._xlws.FILTER(OFFSET($O$15,0,$DN294,$B$8,1),OFFSET($M$15,0,0,$B$8,1))=FJ$13), 1*(_xlfn._xlws.FILTER(OFFSET($O$15,0,$DO294,$B$8,1),OFFSET($M$15,0,0,$B$8,1))=FJ$14))   /   SUM(OFFSET($BO$15,0,0,$B$14,1)) + $B$18/($B$19*$B$19*($DN294&lt;&gt;$DO294) + $B$19*($DN294=$DO294))</f>
        <v>3.7037037037037035E-4</v>
      </c>
      <c r="FK294" s="10" cm="1">
        <f t="array" aca="1" ref="FK294" ca="1">(1-$B$18)*SUMPRODUCT(OFFSET($BO$15,0,0,$B$14,1), 1*(_xlfn._xlws.FILTER(OFFSET($O$15,0,$DN294,$B$8,1),OFFSET($M$15,0,0,$B$8,1))=FK$13), 1*(_xlfn._xlws.FILTER(OFFSET($O$15,0,$DO294,$B$8,1),OFFSET($M$15,0,0,$B$8,1))=FK$14))   /   SUM(OFFSET($BO$15,0,0,$B$14,1)) + $B$18/($B$19*$B$19*($DN294&lt;&gt;$DO294) + $B$19*($DN294=$DO294))</f>
        <v>3.7037037037037035E-4</v>
      </c>
      <c r="FL294" s="10" cm="1">
        <f t="array" aca="1" ref="FL294" ca="1">(1-$B$18)*SUMPRODUCT(OFFSET($BO$15,0,0,$B$14,1), 1*(_xlfn._xlws.FILTER(OFFSET($O$15,0,$DN294,$B$8,1),OFFSET($M$15,0,0,$B$8,1))=FL$13), 1*(_xlfn._xlws.FILTER(OFFSET($O$15,0,$DO294,$B$8,1),OFFSET($M$15,0,0,$B$8,1))=FL$14))   /   SUM(OFFSET($BO$15,0,0,$B$14,1)) + $B$18/($B$19*$B$19*($DN294&lt;&gt;$DO294) + $B$19*($DN294=$DO294))</f>
        <v>3.7037037037037035E-4</v>
      </c>
      <c r="FM294" s="10" cm="1">
        <f t="array" aca="1" ref="FM294" ca="1">(1-$B$18)*SUMPRODUCT(OFFSET($BO$15,0,0,$B$14,1), 1*(_xlfn._xlws.FILTER(OFFSET($O$15,0,$DN294,$B$8,1),OFFSET($M$15,0,0,$B$8,1))=FM$13), 1*(_xlfn._xlws.FILTER(OFFSET($O$15,0,$DO294,$B$8,1),OFFSET($M$15,0,0,$B$8,1))=FM$14))   /   SUM(OFFSET($BO$15,0,0,$B$14,1)) + $B$18/($B$19*$B$19*($DN294&lt;&gt;$DO294) + $B$19*($DN294=$DO294))</f>
        <v>3.7037037037037035E-4</v>
      </c>
      <c r="FN294" s="10" cm="1">
        <f t="array" aca="1" ref="FN294" ca="1">(1-$B$18)*SUMPRODUCT(OFFSET($BO$15,0,0,$B$14,1), 1*(_xlfn._xlws.FILTER(OFFSET($O$15,0,$DN294,$B$8,1),OFFSET($M$15,0,0,$B$8,1))=FN$13), 1*(_xlfn._xlws.FILTER(OFFSET($O$15,0,$DO294,$B$8,1),OFFSET($M$15,0,0,$B$8,1))=FN$14))   /   SUM(OFFSET($BO$15,0,0,$B$14,1)) + $B$18/($B$19*$B$19*($DN294&lt;&gt;$DO294) + $B$19*($DN294=$DO294))</f>
        <v>3.7037037037037035E-4</v>
      </c>
      <c r="FO294" s="10" cm="1">
        <f t="array" aca="1" ref="FO294" ca="1">(1-$B$18)*SUMPRODUCT(OFFSET($BO$15,0,0,$B$14,1), 1*(_xlfn._xlws.FILTER(OFFSET($O$15,0,$DN294,$B$8,1),OFFSET($M$15,0,0,$B$8,1))=FO$13), 1*(_xlfn._xlws.FILTER(OFFSET($O$15,0,$DO294,$B$8,1),OFFSET($M$15,0,0,$B$8,1))=FO$14))   /   SUM(OFFSET($BO$15,0,0,$B$14,1)) + $B$18/($B$19*$B$19*($DN294&lt;&gt;$DO294) + $B$19*($DN294=$DO294))</f>
        <v>3.7037037037037035E-4</v>
      </c>
      <c r="FP294" s="10" cm="1">
        <f t="array" aca="1" ref="FP294" ca="1">(1-$B$18)*SUMPRODUCT(OFFSET($BO$15,0,0,$B$14,1), 1*(_xlfn._xlws.FILTER(OFFSET($O$15,0,$DN294,$B$8,1),OFFSET($M$15,0,0,$B$8,1))=FP$13), 1*(_xlfn._xlws.FILTER(OFFSET($O$15,0,$DO294,$B$8,1),OFFSET($M$15,0,0,$B$8,1))=FP$14))   /   SUM(OFFSET($BO$15,0,0,$B$14,1)) + $B$18/($B$19*$B$19*($DN294&lt;&gt;$DO294) + $B$19*($DN294=$DO294))</f>
        <v>3.7037037037037035E-4</v>
      </c>
      <c r="FQ294" s="10" cm="1">
        <f t="array" aca="1" ref="FQ294" ca="1">(1-$B$18)*SUMPRODUCT(OFFSET($BO$15,0,0,$B$14,1), 1*(_xlfn._xlws.FILTER(OFFSET($O$15,0,$DN294,$B$8,1),OFFSET($M$15,0,0,$B$8,1))=FQ$13), 1*(_xlfn._xlws.FILTER(OFFSET($O$15,0,$DO294,$B$8,1),OFFSET($M$15,0,0,$B$8,1))=FQ$14))   /   SUM(OFFSET($BO$15,0,0,$B$14,1)) + $B$18/($B$19*$B$19*($DN294&lt;&gt;$DO294) + $B$19*($DN294=$DO294))</f>
        <v>3.7037037037037035E-4</v>
      </c>
      <c r="FR294" s="10" cm="1">
        <f t="array" aca="1" ref="FR294" ca="1">(1-$B$18)*SUMPRODUCT(OFFSET($BO$15,0,0,$B$14,1), 1*(_xlfn._xlws.FILTER(OFFSET($O$15,0,$DN294,$B$8,1),OFFSET($M$15,0,0,$B$8,1))=FR$13), 1*(_xlfn._xlws.FILTER(OFFSET($O$15,0,$DO294,$B$8,1),OFFSET($M$15,0,0,$B$8,1))=FR$14))   /   SUM(OFFSET($BO$15,0,0,$B$14,1)) + $B$18/($B$19*$B$19*($DN294&lt;&gt;$DO294) + $B$19*($DN294=$DO294))</f>
        <v>3.7037037037037035E-4</v>
      </c>
      <c r="FS294" s="10" cm="1">
        <f t="array" aca="1" ref="FS294" ca="1">(1-$B$18)*SUMPRODUCT(OFFSET($BO$15,0,0,$B$14,1), 1*(_xlfn._xlws.FILTER(OFFSET($O$15,0,$DN294,$B$8,1),OFFSET($M$15,0,0,$B$8,1))=FS$13), 1*(_xlfn._xlws.FILTER(OFFSET($O$15,0,$DO294,$B$8,1),OFFSET($M$15,0,0,$B$8,1))=FS$14))   /   SUM(OFFSET($BO$15,0,0,$B$14,1)) + $B$18/($B$19*$B$19*($DN294&lt;&gt;$DO294) + $B$19*($DN294=$DO294))</f>
        <v>3.7037037037037035E-4</v>
      </c>
      <c r="FT294" s="10" cm="1">
        <f t="array" aca="1" ref="FT294" ca="1">(1-$B$18)*SUMPRODUCT(OFFSET($BO$15,0,0,$B$14,1), 1*(_xlfn._xlws.FILTER(OFFSET($O$15,0,$DN294,$B$8,1),OFFSET($M$15,0,0,$B$8,1))=FT$13), 1*(_xlfn._xlws.FILTER(OFFSET($O$15,0,$DO294,$B$8,1),OFFSET($M$15,0,0,$B$8,1))=FT$14))   /   SUM(OFFSET($BO$15,0,0,$B$14,1)) + $B$18/($B$19*$B$19*($DN294&lt;&gt;$DO294) + $B$19*($DN294=$DO294))</f>
        <v>3.7037037037037035E-4</v>
      </c>
      <c r="FU294" s="10" cm="1">
        <f t="array" aca="1" ref="FU294" ca="1">(1-$B$18)*SUMPRODUCT(OFFSET($BO$15,0,0,$B$14,1), 1*(_xlfn._xlws.FILTER(OFFSET($O$15,0,$DN294,$B$8,1),OFFSET($M$15,0,0,$B$8,1))=FU$13), 1*(_xlfn._xlws.FILTER(OFFSET($O$15,0,$DO294,$B$8,1),OFFSET($M$15,0,0,$B$8,1))=FU$14))   /   SUM(OFFSET($BO$15,0,0,$B$14,1)) + $B$18/($B$19*$B$19*($DN294&lt;&gt;$DO294) + $B$19*($DN294=$DO294))</f>
        <v>3.7037037037037035E-4</v>
      </c>
      <c r="FV294" s="10" cm="1">
        <f t="array" aca="1" ref="FV294" ca="1">(1-$B$18)*SUMPRODUCT(OFFSET($BO$15,0,0,$B$14,1), 1*(_xlfn._xlws.FILTER(OFFSET($O$15,0,$DN294,$B$8,1),OFFSET($M$15,0,0,$B$8,1))=FV$13), 1*(_xlfn._xlws.FILTER(OFFSET($O$15,0,$DO294,$B$8,1),OFFSET($M$15,0,0,$B$8,1))=FV$14))   /   SUM(OFFSET($BO$15,0,0,$B$14,1)) + $B$18/($B$19*$B$19*($DN294&lt;&gt;$DO294) + $B$19*($DN294=$DO294))</f>
        <v>3.7037037037037035E-4</v>
      </c>
      <c r="FW294" s="10" cm="1">
        <f t="array" aca="1" ref="FW294" ca="1">(1-$B$18)*SUMPRODUCT(OFFSET($BO$15,0,0,$B$14,1), 1*(_xlfn._xlws.FILTER(OFFSET($O$15,0,$DN294,$B$8,1),OFFSET($M$15,0,0,$B$8,1))=FW$13), 1*(_xlfn._xlws.FILTER(OFFSET($O$15,0,$DO294,$B$8,1),OFFSET($M$15,0,0,$B$8,1))=FW$14))   /   SUM(OFFSET($BO$15,0,0,$B$14,1)) + $B$18/($B$19*$B$19*($DN294&lt;&gt;$DO294) + $B$19*($DN294=$DO294))</f>
        <v>3.7037037037037035E-4</v>
      </c>
      <c r="FX294" s="10" cm="1">
        <f t="array" aca="1" ref="FX294" ca="1">(1-$B$18)*SUMPRODUCT(OFFSET($BO$15,0,0,$B$14,1), 1*(_xlfn._xlws.FILTER(OFFSET($O$15,0,$DN294,$B$8,1),OFFSET($M$15,0,0,$B$8,1))=FX$13), 1*(_xlfn._xlws.FILTER(OFFSET($O$15,0,$DO294,$B$8,1),OFFSET($M$15,0,0,$B$8,1))=FX$14))   /   SUM(OFFSET($BO$15,0,0,$B$14,1)) + $B$18/($B$19*$B$19*($DN294&lt;&gt;$DO294) + $B$19*($DN294=$DO294))</f>
        <v>3.7037037037037035E-4</v>
      </c>
      <c r="FY294" s="10" cm="1">
        <f t="array" aca="1" ref="FY294" ca="1">(1-$B$18)*SUMPRODUCT(OFFSET($BO$15,0,0,$B$14,1), 1*(_xlfn._xlws.FILTER(OFFSET($O$15,0,$DN294,$B$8,1),OFFSET($M$15,0,0,$B$8,1))=FY$13), 1*(_xlfn._xlws.FILTER(OFFSET($O$15,0,$DO294,$B$8,1),OFFSET($M$15,0,0,$B$8,1))=FY$14))   /   SUM(OFFSET($BO$15,0,0,$B$14,1)) + $B$18/($B$19*$B$19*($DN294&lt;&gt;$DO294) + $B$19*($DN294=$DO294))</f>
        <v>3.7037037037037035E-4</v>
      </c>
      <c r="FZ294" s="10" cm="1">
        <f t="array" aca="1" ref="FZ294" ca="1">(1-$B$18)*SUMPRODUCT(OFFSET($BO$15,0,0,$B$14,1), 1*(_xlfn._xlws.FILTER(OFFSET($O$15,0,$DN294,$B$8,1),OFFSET($M$15,0,0,$B$8,1))=FZ$13), 1*(_xlfn._xlws.FILTER(OFFSET($O$15,0,$DO294,$B$8,1),OFFSET($M$15,0,0,$B$8,1))=FZ$14))   /   SUM(OFFSET($BO$15,0,0,$B$14,1)) + $B$18/($B$19*$B$19*($DN294&lt;&gt;$DO294) + $B$19*($DN294=$DO294))</f>
        <v>3.7037037037037035E-4</v>
      </c>
      <c r="GA294" s="10" cm="1">
        <f t="array" aca="1" ref="GA294" ca="1">(1-$B$18)*SUMPRODUCT(OFFSET($BO$15,0,0,$B$14,1), 1*(_xlfn._xlws.FILTER(OFFSET($O$15,0,$DN294,$B$8,1),OFFSET($M$15,0,0,$B$8,1))=GA$13), 1*(_xlfn._xlws.FILTER(OFFSET($O$15,0,$DO294,$B$8,1),OFFSET($M$15,0,0,$B$8,1))=GA$14))   /   SUM(OFFSET($BO$15,0,0,$B$14,1)) + $B$18/($B$19*$B$19*($DN294&lt;&gt;$DO294) + $B$19*($DN294=$DO294))</f>
        <v>3.7037037037037035E-4</v>
      </c>
    </row>
    <row r="295" spans="118:183" x14ac:dyDescent="0.2">
      <c r="DN295" cm="1">
        <f t="array" aca="1" ref="DN295" ca="1">INDEX(_xlfn.ANCHORARRAY($CP$15), 1 + INT((ROWS($DO$15:$DO295) - 1) / ROWS(_xlfn.ANCHORARRAY($CP$15))))</f>
        <v>15</v>
      </c>
      <c r="DO295" cm="1">
        <f t="array" aca="1" ref="DO295" ca="1">INDEX(_xlfn.ANCHORARRAY($CP$15),1+MOD(ROWS($DO$15:$DO295)-1,ROWS(_xlfn.ANCHORARRAY($CP$15))))</f>
        <v>15</v>
      </c>
      <c r="DP295" s="10" cm="1">
        <f t="array" aca="1" ref="DP295" ca="1">(1-$B$18)*SUMPRODUCT(OFFSET($BO$15,0,0,$B$14,1), 1*(_xlfn._xlws.FILTER(OFFSET($O$15,0,$DN295,$B$8,1),OFFSET($M$15,0,0,$B$8,1))=DP$13), 1*(_xlfn._xlws.FILTER(OFFSET($O$15,0,$DO295,$B$8,1),OFFSET($M$15,0,0,$B$8,1))=DP$14))   /   SUM(OFFSET($BO$15,0,0,$B$14,1)) + $B$18/($B$19*$B$19*($DN295&lt;&gt;$DO295) + $B$19*($DN295=$DO295))</f>
        <v>3.3333333333333331E-3</v>
      </c>
      <c r="DQ295" s="10" cm="1">
        <f t="array" aca="1" ref="DQ295" ca="1">(1-$B$18)*SUMPRODUCT(OFFSET($BO$15,0,0,$B$14,1), 1*(_xlfn._xlws.FILTER(OFFSET($O$15,0,$DN295,$B$8,1),OFFSET($M$15,0,0,$B$8,1))=DQ$13), 1*(_xlfn._xlws.FILTER(OFFSET($O$15,0,$DO295,$B$8,1),OFFSET($M$15,0,0,$B$8,1))=DQ$14))   /   SUM(OFFSET($BO$15,0,0,$B$14,1)) + $B$18/($B$19*$B$19*($DN295&lt;&gt;$DO295) + $B$19*($DN295=$DO295))</f>
        <v>3.3333333333333331E-3</v>
      </c>
      <c r="DR295" s="10" cm="1">
        <f t="array" aca="1" ref="DR295" ca="1">(1-$B$18)*SUMPRODUCT(OFFSET($BO$15,0,0,$B$14,1), 1*(_xlfn._xlws.FILTER(OFFSET($O$15,0,$DN295,$B$8,1),OFFSET($M$15,0,0,$B$8,1))=DR$13), 1*(_xlfn._xlws.FILTER(OFFSET($O$15,0,$DO295,$B$8,1),OFFSET($M$15,0,0,$B$8,1))=DR$14))   /   SUM(OFFSET($BO$15,0,0,$B$14,1)) + $B$18/($B$19*$B$19*($DN295&lt;&gt;$DO295) + $B$19*($DN295=$DO295))</f>
        <v>3.3333333333333331E-3</v>
      </c>
      <c r="DS295" s="10" cm="1">
        <f t="array" aca="1" ref="DS295" ca="1">(1-$B$18)*SUMPRODUCT(OFFSET($BO$15,0,0,$B$14,1), 1*(_xlfn._xlws.FILTER(OFFSET($O$15,0,$DN295,$B$8,1),OFFSET($M$15,0,0,$B$8,1))=DS$13), 1*(_xlfn._xlws.FILTER(OFFSET($O$15,0,$DO295,$B$8,1),OFFSET($M$15,0,0,$B$8,1))=DS$14))   /   SUM(OFFSET($BO$15,0,0,$B$14,1)) + $B$18/($B$19*$B$19*($DN295&lt;&gt;$DO295) + $B$19*($DN295=$DO295))</f>
        <v>3.3333333333333331E-3</v>
      </c>
      <c r="DT295" s="10" cm="1">
        <f t="array" aca="1" ref="DT295" ca="1">(1-$B$18)*SUMPRODUCT(OFFSET($BO$15,0,0,$B$14,1), 1*(_xlfn._xlws.FILTER(OFFSET($O$15,0,$DN295,$B$8,1),OFFSET($M$15,0,0,$B$8,1))=DT$13), 1*(_xlfn._xlws.FILTER(OFFSET($O$15,0,$DO295,$B$8,1),OFFSET($M$15,0,0,$B$8,1))=DT$14))   /   SUM(OFFSET($BO$15,0,0,$B$14,1)) + $B$18/($B$19*$B$19*($DN295&lt;&gt;$DO295) + $B$19*($DN295=$DO295))</f>
        <v>3.3333333333333331E-3</v>
      </c>
      <c r="DU295" s="10" cm="1">
        <f t="array" aca="1" ref="DU295" ca="1">(1-$B$18)*SUMPRODUCT(OFFSET($BO$15,0,0,$B$14,1), 1*(_xlfn._xlws.FILTER(OFFSET($O$15,0,$DN295,$B$8,1),OFFSET($M$15,0,0,$B$8,1))=DU$13), 1*(_xlfn._xlws.FILTER(OFFSET($O$15,0,$DO295,$B$8,1),OFFSET($M$15,0,0,$B$8,1))=DU$14))   /   SUM(OFFSET($BO$15,0,0,$B$14,1)) + $B$18/($B$19*$B$19*($DN295&lt;&gt;$DO295) + $B$19*($DN295=$DO295))</f>
        <v>3.3333333333333331E-3</v>
      </c>
      <c r="DV295" s="10" cm="1">
        <f t="array" aca="1" ref="DV295" ca="1">(1-$B$18)*SUMPRODUCT(OFFSET($BO$15,0,0,$B$14,1), 1*(_xlfn._xlws.FILTER(OFFSET($O$15,0,$DN295,$B$8,1),OFFSET($M$15,0,0,$B$8,1))=DV$13), 1*(_xlfn._xlws.FILTER(OFFSET($O$15,0,$DO295,$B$8,1),OFFSET($M$15,0,0,$B$8,1))=DV$14))   /   SUM(OFFSET($BO$15,0,0,$B$14,1)) + $B$18/($B$19*$B$19*($DN295&lt;&gt;$DO295) + $B$19*($DN295=$DO295))</f>
        <v>3.3333333333333331E-3</v>
      </c>
      <c r="DW295" s="10" cm="1">
        <f t="array" aca="1" ref="DW295" ca="1">(1-$B$18)*SUMPRODUCT(OFFSET($BO$15,0,0,$B$14,1), 1*(_xlfn._xlws.FILTER(OFFSET($O$15,0,$DN295,$B$8,1),OFFSET($M$15,0,0,$B$8,1))=DW$13), 1*(_xlfn._xlws.FILTER(OFFSET($O$15,0,$DO295,$B$8,1),OFFSET($M$15,0,0,$B$8,1))=DW$14))   /   SUM(OFFSET($BO$15,0,0,$B$14,1)) + $B$18/($B$19*$B$19*($DN295&lt;&gt;$DO295) + $B$19*($DN295=$DO295))</f>
        <v>3.3333333333333331E-3</v>
      </c>
      <c r="DX295" s="10" cm="1">
        <f t="array" aca="1" ref="DX295" ca="1">(1-$B$18)*SUMPRODUCT(OFFSET($BO$15,0,0,$B$14,1), 1*(_xlfn._xlws.FILTER(OFFSET($O$15,0,$DN295,$B$8,1),OFFSET($M$15,0,0,$B$8,1))=DX$13), 1*(_xlfn._xlws.FILTER(OFFSET($O$15,0,$DO295,$B$8,1),OFFSET($M$15,0,0,$B$8,1))=DX$14))   /   SUM(OFFSET($BO$15,0,0,$B$14,1)) + $B$18/($B$19*$B$19*($DN295&lt;&gt;$DO295) + $B$19*($DN295=$DO295))</f>
        <v>3.3333333333333331E-3</v>
      </c>
      <c r="DY295" s="10" cm="1">
        <f t="array" aca="1" ref="DY295" ca="1">(1-$B$18)*SUMPRODUCT(OFFSET($BO$15,0,0,$B$14,1), 1*(_xlfn._xlws.FILTER(OFFSET($O$15,0,$DN295,$B$8,1),OFFSET($M$15,0,0,$B$8,1))=DY$13), 1*(_xlfn._xlws.FILTER(OFFSET($O$15,0,$DO295,$B$8,1),OFFSET($M$15,0,0,$B$8,1))=DY$14))   /   SUM(OFFSET($BO$15,0,0,$B$14,1)) + $B$18/($B$19*$B$19*($DN295&lt;&gt;$DO295) + $B$19*($DN295=$DO295))</f>
        <v>3.3333333333333331E-3</v>
      </c>
      <c r="DZ295" s="10" cm="1">
        <f t="array" aca="1" ref="DZ295" ca="1">(1-$B$18)*SUMPRODUCT(OFFSET($BO$15,0,0,$B$14,1), 1*(_xlfn._xlws.FILTER(OFFSET($O$15,0,$DN295,$B$8,1),OFFSET($M$15,0,0,$B$8,1))=DZ$13), 1*(_xlfn._xlws.FILTER(OFFSET($O$15,0,$DO295,$B$8,1),OFFSET($M$15,0,0,$B$8,1))=DZ$14))   /   SUM(OFFSET($BO$15,0,0,$B$14,1)) + $B$18/($B$19*$B$19*($DN295&lt;&gt;$DO295) + $B$19*($DN295=$DO295))</f>
        <v>3.3333333333333331E-3</v>
      </c>
      <c r="EA295" s="10" cm="1">
        <f t="array" aca="1" ref="EA295" ca="1">(1-$B$18)*SUMPRODUCT(OFFSET($BO$15,0,0,$B$14,1), 1*(_xlfn._xlws.FILTER(OFFSET($O$15,0,$DN295,$B$8,1),OFFSET($M$15,0,0,$B$8,1))=EA$13), 1*(_xlfn._xlws.FILTER(OFFSET($O$15,0,$DO295,$B$8,1),OFFSET($M$15,0,0,$B$8,1))=EA$14))   /   SUM(OFFSET($BO$15,0,0,$B$14,1)) + $B$18/($B$19*$B$19*($DN295&lt;&gt;$DO295) + $B$19*($DN295=$DO295))</f>
        <v>3.3333333333333331E-3</v>
      </c>
      <c r="EB295" s="10" cm="1">
        <f t="array" aca="1" ref="EB295" ca="1">(1-$B$18)*SUMPRODUCT(OFFSET($BO$15,0,0,$B$14,1), 1*(_xlfn._xlws.FILTER(OFFSET($O$15,0,$DN295,$B$8,1),OFFSET($M$15,0,0,$B$8,1))=EB$13), 1*(_xlfn._xlws.FILTER(OFFSET($O$15,0,$DO295,$B$8,1),OFFSET($M$15,0,0,$B$8,1))=EB$14))   /   SUM(OFFSET($BO$15,0,0,$B$14,1)) + $B$18/($B$19*$B$19*($DN295&lt;&gt;$DO295) + $B$19*($DN295=$DO295))</f>
        <v>3.3333333333333331E-3</v>
      </c>
      <c r="EC295" s="10" cm="1">
        <f t="array" aca="1" ref="EC295" ca="1">(1-$B$18)*SUMPRODUCT(OFFSET($BO$15,0,0,$B$14,1), 1*(_xlfn._xlws.FILTER(OFFSET($O$15,0,$DN295,$B$8,1),OFFSET($M$15,0,0,$B$8,1))=EC$13), 1*(_xlfn._xlws.FILTER(OFFSET($O$15,0,$DO295,$B$8,1),OFFSET($M$15,0,0,$B$8,1))=EC$14))   /   SUM(OFFSET($BO$15,0,0,$B$14,1)) + $B$18/($B$19*$B$19*($DN295&lt;&gt;$DO295) + $B$19*($DN295=$DO295))</f>
        <v>3.3333333333333331E-3</v>
      </c>
      <c r="ED295" s="10" cm="1">
        <f t="array" aca="1" ref="ED295" ca="1">(1-$B$18)*SUMPRODUCT(OFFSET($BO$15,0,0,$B$14,1), 1*(_xlfn._xlws.FILTER(OFFSET($O$15,0,$DN295,$B$8,1),OFFSET($M$15,0,0,$B$8,1))=ED$13), 1*(_xlfn._xlws.FILTER(OFFSET($O$15,0,$DO295,$B$8,1),OFFSET($M$15,0,0,$B$8,1))=ED$14))   /   SUM(OFFSET($BO$15,0,0,$B$14,1)) + $B$18/($B$19*$B$19*($DN295&lt;&gt;$DO295) + $B$19*($DN295=$DO295))</f>
        <v>3.3333333333333331E-3</v>
      </c>
      <c r="EE295" s="10" cm="1">
        <f t="array" aca="1" ref="EE295" ca="1">(1-$B$18)*SUMPRODUCT(OFFSET($BO$15,0,0,$B$14,1), 1*(_xlfn._xlws.FILTER(OFFSET($O$15,0,$DN295,$B$8,1),OFFSET($M$15,0,0,$B$8,1))=EE$13), 1*(_xlfn._xlws.FILTER(OFFSET($O$15,0,$DO295,$B$8,1),OFFSET($M$15,0,0,$B$8,1))=EE$14))   /   SUM(OFFSET($BO$15,0,0,$B$14,1)) + $B$18/($B$19*$B$19*($DN295&lt;&gt;$DO295) + $B$19*($DN295=$DO295))</f>
        <v>3.3333333333333331E-3</v>
      </c>
      <c r="EF295" s="10" cm="1">
        <f t="array" aca="1" ref="EF295" ca="1">(1-$B$18)*SUMPRODUCT(OFFSET($BO$15,0,0,$B$14,1), 1*(_xlfn._xlws.FILTER(OFFSET($O$15,0,$DN295,$B$8,1),OFFSET($M$15,0,0,$B$8,1))=EF$13), 1*(_xlfn._xlws.FILTER(OFFSET($O$15,0,$DO295,$B$8,1),OFFSET($M$15,0,0,$B$8,1))=EF$14))   /   SUM(OFFSET($BO$15,0,0,$B$14,1)) + $B$18/($B$19*$B$19*($DN295&lt;&gt;$DO295) + $B$19*($DN295=$DO295))</f>
        <v>3.3333333333333331E-3</v>
      </c>
      <c r="EG295" s="10" cm="1">
        <f t="array" aca="1" ref="EG295" ca="1">(1-$B$18)*SUMPRODUCT(OFFSET($BO$15,0,0,$B$14,1), 1*(_xlfn._xlws.FILTER(OFFSET($O$15,0,$DN295,$B$8,1),OFFSET($M$15,0,0,$B$8,1))=EG$13), 1*(_xlfn._xlws.FILTER(OFFSET($O$15,0,$DO295,$B$8,1),OFFSET($M$15,0,0,$B$8,1))=EG$14))   /   SUM(OFFSET($BO$15,0,0,$B$14,1)) + $B$18/($B$19*$B$19*($DN295&lt;&gt;$DO295) + $B$19*($DN295=$DO295))</f>
        <v>3.3333333333333331E-3</v>
      </c>
      <c r="EH295" s="10" cm="1">
        <f t="array" aca="1" ref="EH295" ca="1">(1-$B$18)*SUMPRODUCT(OFFSET($BO$15,0,0,$B$14,1), 1*(_xlfn._xlws.FILTER(OFFSET($O$15,0,$DN295,$B$8,1),OFFSET($M$15,0,0,$B$8,1))=EH$13), 1*(_xlfn._xlws.FILTER(OFFSET($O$15,0,$DO295,$B$8,1),OFFSET($M$15,0,0,$B$8,1))=EH$14))   /   SUM(OFFSET($BO$15,0,0,$B$14,1)) + $B$18/($B$19*$B$19*($DN295&lt;&gt;$DO295) + $B$19*($DN295=$DO295))</f>
        <v>0.97333333333333327</v>
      </c>
      <c r="EI295" s="10" cm="1">
        <f t="array" aca="1" ref="EI295" ca="1">(1-$B$18)*SUMPRODUCT(OFFSET($BO$15,0,0,$B$14,1), 1*(_xlfn._xlws.FILTER(OFFSET($O$15,0,$DN295,$B$8,1),OFFSET($M$15,0,0,$B$8,1))=EI$13), 1*(_xlfn._xlws.FILTER(OFFSET($O$15,0,$DO295,$B$8,1),OFFSET($M$15,0,0,$B$8,1))=EI$14))   /   SUM(OFFSET($BO$15,0,0,$B$14,1)) + $B$18/($B$19*$B$19*($DN295&lt;&gt;$DO295) + $B$19*($DN295=$DO295))</f>
        <v>3.3333333333333331E-3</v>
      </c>
      <c r="EJ295" s="10" cm="1">
        <f t="array" aca="1" ref="EJ295" ca="1">(1-$B$18)*SUMPRODUCT(OFFSET($BO$15,0,0,$B$14,1), 1*(_xlfn._xlws.FILTER(OFFSET($O$15,0,$DN295,$B$8,1),OFFSET($M$15,0,0,$B$8,1))=EJ$13), 1*(_xlfn._xlws.FILTER(OFFSET($O$15,0,$DO295,$B$8,1),OFFSET($M$15,0,0,$B$8,1))=EJ$14))   /   SUM(OFFSET($BO$15,0,0,$B$14,1)) + $B$18/($B$19*$B$19*($DN295&lt;&gt;$DO295) + $B$19*($DN295=$DO295))</f>
        <v>3.3333333333333331E-3</v>
      </c>
      <c r="EK295" s="10" cm="1">
        <f t="array" aca="1" ref="EK295" ca="1">(1-$B$18)*SUMPRODUCT(OFFSET($BO$15,0,0,$B$14,1), 1*(_xlfn._xlws.FILTER(OFFSET($O$15,0,$DN295,$B$8,1),OFFSET($M$15,0,0,$B$8,1))=EK$13), 1*(_xlfn._xlws.FILTER(OFFSET($O$15,0,$DO295,$B$8,1),OFFSET($M$15,0,0,$B$8,1))=EK$14))   /   SUM(OFFSET($BO$15,0,0,$B$14,1)) + $B$18/($B$19*$B$19*($DN295&lt;&gt;$DO295) + $B$19*($DN295=$DO295))</f>
        <v>3.3333333333333331E-3</v>
      </c>
      <c r="EL295" s="10" cm="1">
        <f t="array" aca="1" ref="EL295" ca="1">(1-$B$18)*SUMPRODUCT(OFFSET($BO$15,0,0,$B$14,1), 1*(_xlfn._xlws.FILTER(OFFSET($O$15,0,$DN295,$B$8,1),OFFSET($M$15,0,0,$B$8,1))=EL$13), 1*(_xlfn._xlws.FILTER(OFFSET($O$15,0,$DO295,$B$8,1),OFFSET($M$15,0,0,$B$8,1))=EL$14))   /   SUM(OFFSET($BO$15,0,0,$B$14,1)) + $B$18/($B$19*$B$19*($DN295&lt;&gt;$DO295) + $B$19*($DN295=$DO295))</f>
        <v>3.3333333333333331E-3</v>
      </c>
      <c r="EM295" s="10" cm="1">
        <f t="array" aca="1" ref="EM295" ca="1">(1-$B$18)*SUMPRODUCT(OFFSET($BO$15,0,0,$B$14,1), 1*(_xlfn._xlws.FILTER(OFFSET($O$15,0,$DN295,$B$8,1),OFFSET($M$15,0,0,$B$8,1))=EM$13), 1*(_xlfn._xlws.FILTER(OFFSET($O$15,0,$DO295,$B$8,1),OFFSET($M$15,0,0,$B$8,1))=EM$14))   /   SUM(OFFSET($BO$15,0,0,$B$14,1)) + $B$18/($B$19*$B$19*($DN295&lt;&gt;$DO295) + $B$19*($DN295=$DO295))</f>
        <v>3.3333333333333331E-3</v>
      </c>
      <c r="EN295" s="10" cm="1">
        <f t="array" aca="1" ref="EN295" ca="1">(1-$B$18)*SUMPRODUCT(OFFSET($BO$15,0,0,$B$14,1), 1*(_xlfn._xlws.FILTER(OFFSET($O$15,0,$DN295,$B$8,1),OFFSET($M$15,0,0,$B$8,1))=EN$13), 1*(_xlfn._xlws.FILTER(OFFSET($O$15,0,$DO295,$B$8,1),OFFSET($M$15,0,0,$B$8,1))=EN$14))   /   SUM(OFFSET($BO$15,0,0,$B$14,1)) + $B$18/($B$19*$B$19*($DN295&lt;&gt;$DO295) + $B$19*($DN295=$DO295))</f>
        <v>3.3333333333333331E-3</v>
      </c>
      <c r="EO295" s="10" cm="1">
        <f t="array" aca="1" ref="EO295" ca="1">(1-$B$18)*SUMPRODUCT(OFFSET($BO$15,0,0,$B$14,1), 1*(_xlfn._xlws.FILTER(OFFSET($O$15,0,$DN295,$B$8,1),OFFSET($M$15,0,0,$B$8,1))=EO$13), 1*(_xlfn._xlws.FILTER(OFFSET($O$15,0,$DO295,$B$8,1),OFFSET($M$15,0,0,$B$8,1))=EO$14))   /   SUM(OFFSET($BO$15,0,0,$B$14,1)) + $B$18/($B$19*$B$19*($DN295&lt;&gt;$DO295) + $B$19*($DN295=$DO295))</f>
        <v>3.3333333333333331E-3</v>
      </c>
      <c r="EP295" s="10" cm="1">
        <f t="array" aca="1" ref="EP295" ca="1">(1-$B$18)*SUMPRODUCT(OFFSET($BO$15,0,0,$B$14,1), 1*(_xlfn._xlws.FILTER(OFFSET($O$15,0,$DN295,$B$8,1),OFFSET($M$15,0,0,$B$8,1))=EP$13), 1*(_xlfn._xlws.FILTER(OFFSET($O$15,0,$DO295,$B$8,1),OFFSET($M$15,0,0,$B$8,1))=EP$14))   /   SUM(OFFSET($BO$15,0,0,$B$14,1)) + $B$18/($B$19*$B$19*($DN295&lt;&gt;$DO295) + $B$19*($DN295=$DO295))</f>
        <v>3.3333333333333331E-3</v>
      </c>
      <c r="EQ295" s="10" cm="1">
        <f t="array" aca="1" ref="EQ295" ca="1">(1-$B$18)*SUMPRODUCT(OFFSET($BO$15,0,0,$B$14,1), 1*(_xlfn._xlws.FILTER(OFFSET($O$15,0,$DN295,$B$8,1),OFFSET($M$15,0,0,$B$8,1))=EQ$13), 1*(_xlfn._xlws.FILTER(OFFSET($O$15,0,$DO295,$B$8,1),OFFSET($M$15,0,0,$B$8,1))=EQ$14))   /   SUM(OFFSET($BO$15,0,0,$B$14,1)) + $B$18/($B$19*$B$19*($DN295&lt;&gt;$DO295) + $B$19*($DN295=$DO295))</f>
        <v>3.3333333333333331E-3</v>
      </c>
      <c r="ER295" s="10" cm="1">
        <f t="array" aca="1" ref="ER295" ca="1">(1-$B$18)*SUMPRODUCT(OFFSET($BO$15,0,0,$B$14,1), 1*(_xlfn._xlws.FILTER(OFFSET($O$15,0,$DN295,$B$8,1),OFFSET($M$15,0,0,$B$8,1))=ER$13), 1*(_xlfn._xlws.FILTER(OFFSET($O$15,0,$DO295,$B$8,1),OFFSET($M$15,0,0,$B$8,1))=ER$14))   /   SUM(OFFSET($BO$15,0,0,$B$14,1)) + $B$18/($B$19*$B$19*($DN295&lt;&gt;$DO295) + $B$19*($DN295=$DO295))</f>
        <v>3.3333333333333331E-3</v>
      </c>
      <c r="ES295" s="10" cm="1">
        <f t="array" aca="1" ref="ES295" ca="1">(1-$B$18)*SUMPRODUCT(OFFSET($BO$15,0,0,$B$14,1), 1*(_xlfn._xlws.FILTER(OFFSET($O$15,0,$DN295,$B$8,1),OFFSET($M$15,0,0,$B$8,1))=ES$13), 1*(_xlfn._xlws.FILTER(OFFSET($O$15,0,$DO295,$B$8,1),OFFSET($M$15,0,0,$B$8,1))=ES$14))   /   SUM(OFFSET($BO$15,0,0,$B$14,1)) + $B$18/($B$19*$B$19*($DN295&lt;&gt;$DO295) + $B$19*($DN295=$DO295))</f>
        <v>3.3333333333333331E-3</v>
      </c>
      <c r="ET295" s="10" cm="1">
        <f t="array" aca="1" ref="ET295" ca="1">(1-$B$18)*SUMPRODUCT(OFFSET($BO$15,0,0,$B$14,1), 1*(_xlfn._xlws.FILTER(OFFSET($O$15,0,$DN295,$B$8,1),OFFSET($M$15,0,0,$B$8,1))=ET$13), 1*(_xlfn._xlws.FILTER(OFFSET($O$15,0,$DO295,$B$8,1),OFFSET($M$15,0,0,$B$8,1))=ET$14))   /   SUM(OFFSET($BO$15,0,0,$B$14,1)) + $B$18/($B$19*$B$19*($DN295&lt;&gt;$DO295) + $B$19*($DN295=$DO295))</f>
        <v>3.3333333333333331E-3</v>
      </c>
      <c r="EU295" s="10" cm="1">
        <f t="array" aca="1" ref="EU295" ca="1">(1-$B$18)*SUMPRODUCT(OFFSET($BO$15,0,0,$B$14,1), 1*(_xlfn._xlws.FILTER(OFFSET($O$15,0,$DN295,$B$8,1),OFFSET($M$15,0,0,$B$8,1))=EU$13), 1*(_xlfn._xlws.FILTER(OFFSET($O$15,0,$DO295,$B$8,1),OFFSET($M$15,0,0,$B$8,1))=EU$14))   /   SUM(OFFSET($BO$15,0,0,$B$14,1)) + $B$18/($B$19*$B$19*($DN295&lt;&gt;$DO295) + $B$19*($DN295=$DO295))</f>
        <v>3.3333333333333331E-3</v>
      </c>
      <c r="EV295" s="10" cm="1">
        <f t="array" aca="1" ref="EV295" ca="1">(1-$B$18)*SUMPRODUCT(OFFSET($BO$15,0,0,$B$14,1), 1*(_xlfn._xlws.FILTER(OFFSET($O$15,0,$DN295,$B$8,1),OFFSET($M$15,0,0,$B$8,1))=EV$13), 1*(_xlfn._xlws.FILTER(OFFSET($O$15,0,$DO295,$B$8,1),OFFSET($M$15,0,0,$B$8,1))=EV$14))   /   SUM(OFFSET($BO$15,0,0,$B$14,1)) + $B$18/($B$19*$B$19*($DN295&lt;&gt;$DO295) + $B$19*($DN295=$DO295))</f>
        <v>3.3333333333333331E-3</v>
      </c>
      <c r="EW295" s="10" cm="1">
        <f t="array" aca="1" ref="EW295" ca="1">(1-$B$18)*SUMPRODUCT(OFFSET($BO$15,0,0,$B$14,1), 1*(_xlfn._xlws.FILTER(OFFSET($O$15,0,$DN295,$B$8,1),OFFSET($M$15,0,0,$B$8,1))=EW$13), 1*(_xlfn._xlws.FILTER(OFFSET($O$15,0,$DO295,$B$8,1),OFFSET($M$15,0,0,$B$8,1))=EW$14))   /   SUM(OFFSET($BO$15,0,0,$B$14,1)) + $B$18/($B$19*$B$19*($DN295&lt;&gt;$DO295) + $B$19*($DN295=$DO295))</f>
        <v>3.3333333333333331E-3</v>
      </c>
      <c r="EX295" s="10" cm="1">
        <f t="array" aca="1" ref="EX295" ca="1">(1-$B$18)*SUMPRODUCT(OFFSET($BO$15,0,0,$B$14,1), 1*(_xlfn._xlws.FILTER(OFFSET($O$15,0,$DN295,$B$8,1),OFFSET($M$15,0,0,$B$8,1))=EX$13), 1*(_xlfn._xlws.FILTER(OFFSET($O$15,0,$DO295,$B$8,1),OFFSET($M$15,0,0,$B$8,1))=EX$14))   /   SUM(OFFSET($BO$15,0,0,$B$14,1)) + $B$18/($B$19*$B$19*($DN295&lt;&gt;$DO295) + $B$19*($DN295=$DO295))</f>
        <v>3.3333333333333331E-3</v>
      </c>
      <c r="EY295" s="10" cm="1">
        <f t="array" aca="1" ref="EY295" ca="1">(1-$B$18)*SUMPRODUCT(OFFSET($BO$15,0,0,$B$14,1), 1*(_xlfn._xlws.FILTER(OFFSET($O$15,0,$DN295,$B$8,1),OFFSET($M$15,0,0,$B$8,1))=EY$13), 1*(_xlfn._xlws.FILTER(OFFSET($O$15,0,$DO295,$B$8,1),OFFSET($M$15,0,0,$B$8,1))=EY$14))   /   SUM(OFFSET($BO$15,0,0,$B$14,1)) + $B$18/($B$19*$B$19*($DN295&lt;&gt;$DO295) + $B$19*($DN295=$DO295))</f>
        <v>3.3333333333333331E-3</v>
      </c>
      <c r="EZ295" s="10" cm="1">
        <f t="array" aca="1" ref="EZ295" ca="1">(1-$B$18)*SUMPRODUCT(OFFSET($BO$15,0,0,$B$14,1), 1*(_xlfn._xlws.FILTER(OFFSET($O$15,0,$DN295,$B$8,1),OFFSET($M$15,0,0,$B$8,1))=EZ$13), 1*(_xlfn._xlws.FILTER(OFFSET($O$15,0,$DO295,$B$8,1),OFFSET($M$15,0,0,$B$8,1))=EZ$14))   /   SUM(OFFSET($BO$15,0,0,$B$14,1)) + $B$18/($B$19*$B$19*($DN295&lt;&gt;$DO295) + $B$19*($DN295=$DO295))</f>
        <v>3.3333333333333331E-3</v>
      </c>
      <c r="FA295" s="10" cm="1">
        <f t="array" aca="1" ref="FA295" ca="1">(1-$B$18)*SUMPRODUCT(OFFSET($BO$15,0,0,$B$14,1), 1*(_xlfn._xlws.FILTER(OFFSET($O$15,0,$DN295,$B$8,1),OFFSET($M$15,0,0,$B$8,1))=FA$13), 1*(_xlfn._xlws.FILTER(OFFSET($O$15,0,$DO295,$B$8,1),OFFSET($M$15,0,0,$B$8,1))=FA$14))   /   SUM(OFFSET($BO$15,0,0,$B$14,1)) + $B$18/($B$19*$B$19*($DN295&lt;&gt;$DO295) + $B$19*($DN295=$DO295))</f>
        <v>3.3333333333333331E-3</v>
      </c>
      <c r="FB295" s="10" cm="1">
        <f t="array" aca="1" ref="FB295" ca="1">(1-$B$18)*SUMPRODUCT(OFFSET($BO$15,0,0,$B$14,1), 1*(_xlfn._xlws.FILTER(OFFSET($O$15,0,$DN295,$B$8,1),OFFSET($M$15,0,0,$B$8,1))=FB$13), 1*(_xlfn._xlws.FILTER(OFFSET($O$15,0,$DO295,$B$8,1),OFFSET($M$15,0,0,$B$8,1))=FB$14))   /   SUM(OFFSET($BO$15,0,0,$B$14,1)) + $B$18/($B$19*$B$19*($DN295&lt;&gt;$DO295) + $B$19*($DN295=$DO295))</f>
        <v>3.3333333333333331E-3</v>
      </c>
      <c r="FC295" s="10" cm="1">
        <f t="array" aca="1" ref="FC295" ca="1">(1-$B$18)*SUMPRODUCT(OFFSET($BO$15,0,0,$B$14,1), 1*(_xlfn._xlws.FILTER(OFFSET($O$15,0,$DN295,$B$8,1),OFFSET($M$15,0,0,$B$8,1))=FC$13), 1*(_xlfn._xlws.FILTER(OFFSET($O$15,0,$DO295,$B$8,1),OFFSET($M$15,0,0,$B$8,1))=FC$14))   /   SUM(OFFSET($BO$15,0,0,$B$14,1)) + $B$18/($B$19*$B$19*($DN295&lt;&gt;$DO295) + $B$19*($DN295=$DO295))</f>
        <v>3.3333333333333331E-3</v>
      </c>
      <c r="FD295" s="10" cm="1">
        <f t="array" aca="1" ref="FD295" ca="1">(1-$B$18)*SUMPRODUCT(OFFSET($BO$15,0,0,$B$14,1), 1*(_xlfn._xlws.FILTER(OFFSET($O$15,0,$DN295,$B$8,1),OFFSET($M$15,0,0,$B$8,1))=FD$13), 1*(_xlfn._xlws.FILTER(OFFSET($O$15,0,$DO295,$B$8,1),OFFSET($M$15,0,0,$B$8,1))=FD$14))   /   SUM(OFFSET($BO$15,0,0,$B$14,1)) + $B$18/($B$19*$B$19*($DN295&lt;&gt;$DO295) + $B$19*($DN295=$DO295))</f>
        <v>3.3333333333333331E-3</v>
      </c>
      <c r="FE295" s="10" cm="1">
        <f t="array" aca="1" ref="FE295" ca="1">(1-$B$18)*SUMPRODUCT(OFFSET($BO$15,0,0,$B$14,1), 1*(_xlfn._xlws.FILTER(OFFSET($O$15,0,$DN295,$B$8,1),OFFSET($M$15,0,0,$B$8,1))=FE$13), 1*(_xlfn._xlws.FILTER(OFFSET($O$15,0,$DO295,$B$8,1),OFFSET($M$15,0,0,$B$8,1))=FE$14))   /   SUM(OFFSET($BO$15,0,0,$B$14,1)) + $B$18/($B$19*$B$19*($DN295&lt;&gt;$DO295) + $B$19*($DN295=$DO295))</f>
        <v>3.3333333333333331E-3</v>
      </c>
      <c r="FF295" s="10" cm="1">
        <f t="array" aca="1" ref="FF295" ca="1">(1-$B$18)*SUMPRODUCT(OFFSET($BO$15,0,0,$B$14,1), 1*(_xlfn._xlws.FILTER(OFFSET($O$15,0,$DN295,$B$8,1),OFFSET($M$15,0,0,$B$8,1))=FF$13), 1*(_xlfn._xlws.FILTER(OFFSET($O$15,0,$DO295,$B$8,1),OFFSET($M$15,0,0,$B$8,1))=FF$14))   /   SUM(OFFSET($BO$15,0,0,$B$14,1)) + $B$18/($B$19*$B$19*($DN295&lt;&gt;$DO295) + $B$19*($DN295=$DO295))</f>
        <v>3.3333333333333331E-3</v>
      </c>
      <c r="FG295" s="10" cm="1">
        <f t="array" aca="1" ref="FG295" ca="1">(1-$B$18)*SUMPRODUCT(OFFSET($BO$15,0,0,$B$14,1), 1*(_xlfn._xlws.FILTER(OFFSET($O$15,0,$DN295,$B$8,1),OFFSET($M$15,0,0,$B$8,1))=FG$13), 1*(_xlfn._xlws.FILTER(OFFSET($O$15,0,$DO295,$B$8,1),OFFSET($M$15,0,0,$B$8,1))=FG$14))   /   SUM(OFFSET($BO$15,0,0,$B$14,1)) + $B$18/($B$19*$B$19*($DN295&lt;&gt;$DO295) + $B$19*($DN295=$DO295))</f>
        <v>3.3333333333333331E-3</v>
      </c>
      <c r="FH295" s="10" cm="1">
        <f t="array" aca="1" ref="FH295" ca="1">(1-$B$18)*SUMPRODUCT(OFFSET($BO$15,0,0,$B$14,1), 1*(_xlfn._xlws.FILTER(OFFSET($O$15,0,$DN295,$B$8,1),OFFSET($M$15,0,0,$B$8,1))=FH$13), 1*(_xlfn._xlws.FILTER(OFFSET($O$15,0,$DO295,$B$8,1),OFFSET($M$15,0,0,$B$8,1))=FH$14))   /   SUM(OFFSET($BO$15,0,0,$B$14,1)) + $B$18/($B$19*$B$19*($DN295&lt;&gt;$DO295) + $B$19*($DN295=$DO295))</f>
        <v>3.3333333333333331E-3</v>
      </c>
      <c r="FI295" s="10" cm="1">
        <f t="array" aca="1" ref="FI295" ca="1">(1-$B$18)*SUMPRODUCT(OFFSET($BO$15,0,0,$B$14,1), 1*(_xlfn._xlws.FILTER(OFFSET($O$15,0,$DN295,$B$8,1),OFFSET($M$15,0,0,$B$8,1))=FI$13), 1*(_xlfn._xlws.FILTER(OFFSET($O$15,0,$DO295,$B$8,1),OFFSET($M$15,0,0,$B$8,1))=FI$14))   /   SUM(OFFSET($BO$15,0,0,$B$14,1)) + $B$18/($B$19*$B$19*($DN295&lt;&gt;$DO295) + $B$19*($DN295=$DO295))</f>
        <v>3.3333333333333331E-3</v>
      </c>
      <c r="FJ295" s="10" cm="1">
        <f t="array" aca="1" ref="FJ295" ca="1">(1-$B$18)*SUMPRODUCT(OFFSET($BO$15,0,0,$B$14,1), 1*(_xlfn._xlws.FILTER(OFFSET($O$15,0,$DN295,$B$8,1),OFFSET($M$15,0,0,$B$8,1))=FJ$13), 1*(_xlfn._xlws.FILTER(OFFSET($O$15,0,$DO295,$B$8,1),OFFSET($M$15,0,0,$B$8,1))=FJ$14))   /   SUM(OFFSET($BO$15,0,0,$B$14,1)) + $B$18/($B$19*$B$19*($DN295&lt;&gt;$DO295) + $B$19*($DN295=$DO295))</f>
        <v>3.3333333333333331E-3</v>
      </c>
      <c r="FK295" s="10" cm="1">
        <f t="array" aca="1" ref="FK295" ca="1">(1-$B$18)*SUMPRODUCT(OFFSET($BO$15,0,0,$B$14,1), 1*(_xlfn._xlws.FILTER(OFFSET($O$15,0,$DN295,$B$8,1),OFFSET($M$15,0,0,$B$8,1))=FK$13), 1*(_xlfn._xlws.FILTER(OFFSET($O$15,0,$DO295,$B$8,1),OFFSET($M$15,0,0,$B$8,1))=FK$14))   /   SUM(OFFSET($BO$15,0,0,$B$14,1)) + $B$18/($B$19*$B$19*($DN295&lt;&gt;$DO295) + $B$19*($DN295=$DO295))</f>
        <v>3.3333333333333331E-3</v>
      </c>
      <c r="FL295" s="10" cm="1">
        <f t="array" aca="1" ref="FL295" ca="1">(1-$B$18)*SUMPRODUCT(OFFSET($BO$15,0,0,$B$14,1), 1*(_xlfn._xlws.FILTER(OFFSET($O$15,0,$DN295,$B$8,1),OFFSET($M$15,0,0,$B$8,1))=FL$13), 1*(_xlfn._xlws.FILTER(OFFSET($O$15,0,$DO295,$B$8,1),OFFSET($M$15,0,0,$B$8,1))=FL$14))   /   SUM(OFFSET($BO$15,0,0,$B$14,1)) + $B$18/($B$19*$B$19*($DN295&lt;&gt;$DO295) + $B$19*($DN295=$DO295))</f>
        <v>3.3333333333333331E-3</v>
      </c>
      <c r="FM295" s="10" cm="1">
        <f t="array" aca="1" ref="FM295" ca="1">(1-$B$18)*SUMPRODUCT(OFFSET($BO$15,0,0,$B$14,1), 1*(_xlfn._xlws.FILTER(OFFSET($O$15,0,$DN295,$B$8,1),OFFSET($M$15,0,0,$B$8,1))=FM$13), 1*(_xlfn._xlws.FILTER(OFFSET($O$15,0,$DO295,$B$8,1),OFFSET($M$15,0,0,$B$8,1))=FM$14))   /   SUM(OFFSET($BO$15,0,0,$B$14,1)) + $B$18/($B$19*$B$19*($DN295&lt;&gt;$DO295) + $B$19*($DN295=$DO295))</f>
        <v>3.3333333333333331E-3</v>
      </c>
      <c r="FN295" s="10" cm="1">
        <f t="array" aca="1" ref="FN295" ca="1">(1-$B$18)*SUMPRODUCT(OFFSET($BO$15,0,0,$B$14,1), 1*(_xlfn._xlws.FILTER(OFFSET($O$15,0,$DN295,$B$8,1),OFFSET($M$15,0,0,$B$8,1))=FN$13), 1*(_xlfn._xlws.FILTER(OFFSET($O$15,0,$DO295,$B$8,1),OFFSET($M$15,0,0,$B$8,1))=FN$14))   /   SUM(OFFSET($BO$15,0,0,$B$14,1)) + $B$18/($B$19*$B$19*($DN295&lt;&gt;$DO295) + $B$19*($DN295=$DO295))</f>
        <v>3.3333333333333331E-3</v>
      </c>
      <c r="FO295" s="10" cm="1">
        <f t="array" aca="1" ref="FO295" ca="1">(1-$B$18)*SUMPRODUCT(OFFSET($BO$15,0,0,$B$14,1), 1*(_xlfn._xlws.FILTER(OFFSET($O$15,0,$DN295,$B$8,1),OFFSET($M$15,0,0,$B$8,1))=FO$13), 1*(_xlfn._xlws.FILTER(OFFSET($O$15,0,$DO295,$B$8,1),OFFSET($M$15,0,0,$B$8,1))=FO$14))   /   SUM(OFFSET($BO$15,0,0,$B$14,1)) + $B$18/($B$19*$B$19*($DN295&lt;&gt;$DO295) + $B$19*($DN295=$DO295))</f>
        <v>3.3333333333333331E-3</v>
      </c>
      <c r="FP295" s="10" cm="1">
        <f t="array" aca="1" ref="FP295" ca="1">(1-$B$18)*SUMPRODUCT(OFFSET($BO$15,0,0,$B$14,1), 1*(_xlfn._xlws.FILTER(OFFSET($O$15,0,$DN295,$B$8,1),OFFSET($M$15,0,0,$B$8,1))=FP$13), 1*(_xlfn._xlws.FILTER(OFFSET($O$15,0,$DO295,$B$8,1),OFFSET($M$15,0,0,$B$8,1))=FP$14))   /   SUM(OFFSET($BO$15,0,0,$B$14,1)) + $B$18/($B$19*$B$19*($DN295&lt;&gt;$DO295) + $B$19*($DN295=$DO295))</f>
        <v>3.3333333333333331E-3</v>
      </c>
      <c r="FQ295" s="10" cm="1">
        <f t="array" aca="1" ref="FQ295" ca="1">(1-$B$18)*SUMPRODUCT(OFFSET($BO$15,0,0,$B$14,1), 1*(_xlfn._xlws.FILTER(OFFSET($O$15,0,$DN295,$B$8,1),OFFSET($M$15,0,0,$B$8,1))=FQ$13), 1*(_xlfn._xlws.FILTER(OFFSET($O$15,0,$DO295,$B$8,1),OFFSET($M$15,0,0,$B$8,1))=FQ$14))   /   SUM(OFFSET($BO$15,0,0,$B$14,1)) + $B$18/($B$19*$B$19*($DN295&lt;&gt;$DO295) + $B$19*($DN295=$DO295))</f>
        <v>3.3333333333333331E-3</v>
      </c>
      <c r="FR295" s="10" cm="1">
        <f t="array" aca="1" ref="FR295" ca="1">(1-$B$18)*SUMPRODUCT(OFFSET($BO$15,0,0,$B$14,1), 1*(_xlfn._xlws.FILTER(OFFSET($O$15,0,$DN295,$B$8,1),OFFSET($M$15,0,0,$B$8,1))=FR$13), 1*(_xlfn._xlws.FILTER(OFFSET($O$15,0,$DO295,$B$8,1),OFFSET($M$15,0,0,$B$8,1))=FR$14))   /   SUM(OFFSET($BO$15,0,0,$B$14,1)) + $B$18/($B$19*$B$19*($DN295&lt;&gt;$DO295) + $B$19*($DN295=$DO295))</f>
        <v>3.3333333333333331E-3</v>
      </c>
      <c r="FS295" s="10" cm="1">
        <f t="array" aca="1" ref="FS295" ca="1">(1-$B$18)*SUMPRODUCT(OFFSET($BO$15,0,0,$B$14,1), 1*(_xlfn._xlws.FILTER(OFFSET($O$15,0,$DN295,$B$8,1),OFFSET($M$15,0,0,$B$8,1))=FS$13), 1*(_xlfn._xlws.FILTER(OFFSET($O$15,0,$DO295,$B$8,1),OFFSET($M$15,0,0,$B$8,1))=FS$14))   /   SUM(OFFSET($BO$15,0,0,$B$14,1)) + $B$18/($B$19*$B$19*($DN295&lt;&gt;$DO295) + $B$19*($DN295=$DO295))</f>
        <v>3.3333333333333331E-3</v>
      </c>
      <c r="FT295" s="10" cm="1">
        <f t="array" aca="1" ref="FT295" ca="1">(1-$B$18)*SUMPRODUCT(OFFSET($BO$15,0,0,$B$14,1), 1*(_xlfn._xlws.FILTER(OFFSET($O$15,0,$DN295,$B$8,1),OFFSET($M$15,0,0,$B$8,1))=FT$13), 1*(_xlfn._xlws.FILTER(OFFSET($O$15,0,$DO295,$B$8,1),OFFSET($M$15,0,0,$B$8,1))=FT$14))   /   SUM(OFFSET($BO$15,0,0,$B$14,1)) + $B$18/($B$19*$B$19*($DN295&lt;&gt;$DO295) + $B$19*($DN295=$DO295))</f>
        <v>3.3333333333333331E-3</v>
      </c>
      <c r="FU295" s="10" cm="1">
        <f t="array" aca="1" ref="FU295" ca="1">(1-$B$18)*SUMPRODUCT(OFFSET($BO$15,0,0,$B$14,1), 1*(_xlfn._xlws.FILTER(OFFSET($O$15,0,$DN295,$B$8,1),OFFSET($M$15,0,0,$B$8,1))=FU$13), 1*(_xlfn._xlws.FILTER(OFFSET($O$15,0,$DO295,$B$8,1),OFFSET($M$15,0,0,$B$8,1))=FU$14))   /   SUM(OFFSET($BO$15,0,0,$B$14,1)) + $B$18/($B$19*$B$19*($DN295&lt;&gt;$DO295) + $B$19*($DN295=$DO295))</f>
        <v>3.3333333333333331E-3</v>
      </c>
      <c r="FV295" s="10" cm="1">
        <f t="array" aca="1" ref="FV295" ca="1">(1-$B$18)*SUMPRODUCT(OFFSET($BO$15,0,0,$B$14,1), 1*(_xlfn._xlws.FILTER(OFFSET($O$15,0,$DN295,$B$8,1),OFFSET($M$15,0,0,$B$8,1))=FV$13), 1*(_xlfn._xlws.FILTER(OFFSET($O$15,0,$DO295,$B$8,1),OFFSET($M$15,0,0,$B$8,1))=FV$14))   /   SUM(OFFSET($BO$15,0,0,$B$14,1)) + $B$18/($B$19*$B$19*($DN295&lt;&gt;$DO295) + $B$19*($DN295=$DO295))</f>
        <v>3.3333333333333331E-3</v>
      </c>
      <c r="FW295" s="10" cm="1">
        <f t="array" aca="1" ref="FW295" ca="1">(1-$B$18)*SUMPRODUCT(OFFSET($BO$15,0,0,$B$14,1), 1*(_xlfn._xlws.FILTER(OFFSET($O$15,0,$DN295,$B$8,1),OFFSET($M$15,0,0,$B$8,1))=FW$13), 1*(_xlfn._xlws.FILTER(OFFSET($O$15,0,$DO295,$B$8,1),OFFSET($M$15,0,0,$B$8,1))=FW$14))   /   SUM(OFFSET($BO$15,0,0,$B$14,1)) + $B$18/($B$19*$B$19*($DN295&lt;&gt;$DO295) + $B$19*($DN295=$DO295))</f>
        <v>3.3333333333333331E-3</v>
      </c>
      <c r="FX295" s="10" cm="1">
        <f t="array" aca="1" ref="FX295" ca="1">(1-$B$18)*SUMPRODUCT(OFFSET($BO$15,0,0,$B$14,1), 1*(_xlfn._xlws.FILTER(OFFSET($O$15,0,$DN295,$B$8,1),OFFSET($M$15,0,0,$B$8,1))=FX$13), 1*(_xlfn._xlws.FILTER(OFFSET($O$15,0,$DO295,$B$8,1),OFFSET($M$15,0,0,$B$8,1))=FX$14))   /   SUM(OFFSET($BO$15,0,0,$B$14,1)) + $B$18/($B$19*$B$19*($DN295&lt;&gt;$DO295) + $B$19*($DN295=$DO295))</f>
        <v>3.3333333333333331E-3</v>
      </c>
      <c r="FY295" s="10" cm="1">
        <f t="array" aca="1" ref="FY295" ca="1">(1-$B$18)*SUMPRODUCT(OFFSET($BO$15,0,0,$B$14,1), 1*(_xlfn._xlws.FILTER(OFFSET($O$15,0,$DN295,$B$8,1),OFFSET($M$15,0,0,$B$8,1))=FY$13), 1*(_xlfn._xlws.FILTER(OFFSET($O$15,0,$DO295,$B$8,1),OFFSET($M$15,0,0,$B$8,1))=FY$14))   /   SUM(OFFSET($BO$15,0,0,$B$14,1)) + $B$18/($B$19*$B$19*($DN295&lt;&gt;$DO295) + $B$19*($DN295=$DO295))</f>
        <v>3.3333333333333331E-3</v>
      </c>
      <c r="FZ295" s="10" cm="1">
        <f t="array" aca="1" ref="FZ295" ca="1">(1-$B$18)*SUMPRODUCT(OFFSET($BO$15,0,0,$B$14,1), 1*(_xlfn._xlws.FILTER(OFFSET($O$15,0,$DN295,$B$8,1),OFFSET($M$15,0,0,$B$8,1))=FZ$13), 1*(_xlfn._xlws.FILTER(OFFSET($O$15,0,$DO295,$B$8,1),OFFSET($M$15,0,0,$B$8,1))=FZ$14))   /   SUM(OFFSET($BO$15,0,0,$B$14,1)) + $B$18/($B$19*$B$19*($DN295&lt;&gt;$DO295) + $B$19*($DN295=$DO295))</f>
        <v>3.3333333333333331E-3</v>
      </c>
      <c r="GA295" s="10" cm="1">
        <f t="array" aca="1" ref="GA295" ca="1">(1-$B$18)*SUMPRODUCT(OFFSET($BO$15,0,0,$B$14,1), 1*(_xlfn._xlws.FILTER(OFFSET($O$15,0,$DN295,$B$8,1),OFFSET($M$15,0,0,$B$8,1))=GA$13), 1*(_xlfn._xlws.FILTER(OFFSET($O$15,0,$DO295,$B$8,1),OFFSET($M$15,0,0,$B$8,1))=GA$14))   /   SUM(OFFSET($BO$15,0,0,$B$14,1)) + $B$18/($B$19*$B$19*($DN295&lt;&gt;$DO295) + $B$19*($DN295=$DO295))</f>
        <v>3.3333333333333331E-3</v>
      </c>
    </row>
    <row r="296" spans="118:183" x14ac:dyDescent="0.2">
      <c r="DN296" cm="1">
        <f t="array" aca="1" ref="DN296" ca="1">INDEX(_xlfn.ANCHORARRAY($CP$15), 1 + INT((ROWS($DO$15:$DO296) - 1) / ROWS(_xlfn.ANCHORARRAY($CP$15))))</f>
        <v>15</v>
      </c>
      <c r="DO296" cm="1">
        <f t="array" aca="1" ref="DO296" ca="1">INDEX(_xlfn.ANCHORARRAY($CP$15),1+MOD(ROWS($DO$15:$DO296)-1,ROWS(_xlfn.ANCHORARRAY($CP$15))))</f>
        <v>18</v>
      </c>
      <c r="DP296" s="10" cm="1">
        <f t="array" aca="1" ref="DP296" ca="1">(1-$B$18)*SUMPRODUCT(OFFSET($BO$15,0,0,$B$14,1), 1*(_xlfn._xlws.FILTER(OFFSET($O$15,0,$DN296,$B$8,1),OFFSET($M$15,0,0,$B$8,1))=DP$13), 1*(_xlfn._xlws.FILTER(OFFSET($O$15,0,$DO296,$B$8,1),OFFSET($M$15,0,0,$B$8,1))=DP$14))   /   SUM(OFFSET($BO$15,0,0,$B$14,1)) + $B$18/($B$19*$B$19*($DN296&lt;&gt;$DO296) + $B$19*($DN296=$DO296))</f>
        <v>3.7037037037037035E-4</v>
      </c>
      <c r="DQ296" s="10" cm="1">
        <f t="array" aca="1" ref="DQ296" ca="1">(1-$B$18)*SUMPRODUCT(OFFSET($BO$15,0,0,$B$14,1), 1*(_xlfn._xlws.FILTER(OFFSET($O$15,0,$DN296,$B$8,1),OFFSET($M$15,0,0,$B$8,1))=DQ$13), 1*(_xlfn._xlws.FILTER(OFFSET($O$15,0,$DO296,$B$8,1),OFFSET($M$15,0,0,$B$8,1))=DQ$14))   /   SUM(OFFSET($BO$15,0,0,$B$14,1)) + $B$18/($B$19*$B$19*($DN296&lt;&gt;$DO296) + $B$19*($DN296=$DO296))</f>
        <v>3.7037037037037035E-4</v>
      </c>
      <c r="DR296" s="10" cm="1">
        <f t="array" aca="1" ref="DR296" ca="1">(1-$B$18)*SUMPRODUCT(OFFSET($BO$15,0,0,$B$14,1), 1*(_xlfn._xlws.FILTER(OFFSET($O$15,0,$DN296,$B$8,1),OFFSET($M$15,0,0,$B$8,1))=DR$13), 1*(_xlfn._xlws.FILTER(OFFSET($O$15,0,$DO296,$B$8,1),OFFSET($M$15,0,0,$B$8,1))=DR$14))   /   SUM(OFFSET($BO$15,0,0,$B$14,1)) + $B$18/($B$19*$B$19*($DN296&lt;&gt;$DO296) + $B$19*($DN296=$DO296))</f>
        <v>3.7037037037037035E-4</v>
      </c>
      <c r="DS296" s="10" cm="1">
        <f t="array" aca="1" ref="DS296" ca="1">(1-$B$18)*SUMPRODUCT(OFFSET($BO$15,0,0,$B$14,1), 1*(_xlfn._xlws.FILTER(OFFSET($O$15,0,$DN296,$B$8,1),OFFSET($M$15,0,0,$B$8,1))=DS$13), 1*(_xlfn._xlws.FILTER(OFFSET($O$15,0,$DO296,$B$8,1),OFFSET($M$15,0,0,$B$8,1))=DS$14))   /   SUM(OFFSET($BO$15,0,0,$B$14,1)) + $B$18/($B$19*$B$19*($DN296&lt;&gt;$DO296) + $B$19*($DN296=$DO296))</f>
        <v>3.7037037037037035E-4</v>
      </c>
      <c r="DT296" s="10" cm="1">
        <f t="array" aca="1" ref="DT296" ca="1">(1-$B$18)*SUMPRODUCT(OFFSET($BO$15,0,0,$B$14,1), 1*(_xlfn._xlws.FILTER(OFFSET($O$15,0,$DN296,$B$8,1),OFFSET($M$15,0,0,$B$8,1))=DT$13), 1*(_xlfn._xlws.FILTER(OFFSET($O$15,0,$DO296,$B$8,1),OFFSET($M$15,0,0,$B$8,1))=DT$14))   /   SUM(OFFSET($BO$15,0,0,$B$14,1)) + $B$18/($B$19*$B$19*($DN296&lt;&gt;$DO296) + $B$19*($DN296=$DO296))</f>
        <v>3.7037037037037035E-4</v>
      </c>
      <c r="DU296" s="10" cm="1">
        <f t="array" aca="1" ref="DU296" ca="1">(1-$B$18)*SUMPRODUCT(OFFSET($BO$15,0,0,$B$14,1), 1*(_xlfn._xlws.FILTER(OFFSET($O$15,0,$DN296,$B$8,1),OFFSET($M$15,0,0,$B$8,1))=DU$13), 1*(_xlfn._xlws.FILTER(OFFSET($O$15,0,$DO296,$B$8,1),OFFSET($M$15,0,0,$B$8,1))=DU$14))   /   SUM(OFFSET($BO$15,0,0,$B$14,1)) + $B$18/($B$19*$B$19*($DN296&lt;&gt;$DO296) + $B$19*($DN296=$DO296))</f>
        <v>3.7037037037037035E-4</v>
      </c>
      <c r="DV296" s="10" cm="1">
        <f t="array" aca="1" ref="DV296" ca="1">(1-$B$18)*SUMPRODUCT(OFFSET($BO$15,0,0,$B$14,1), 1*(_xlfn._xlws.FILTER(OFFSET($O$15,0,$DN296,$B$8,1),OFFSET($M$15,0,0,$B$8,1))=DV$13), 1*(_xlfn._xlws.FILTER(OFFSET($O$15,0,$DO296,$B$8,1),OFFSET($M$15,0,0,$B$8,1))=DV$14))   /   SUM(OFFSET($BO$15,0,0,$B$14,1)) + $B$18/($B$19*$B$19*($DN296&lt;&gt;$DO296) + $B$19*($DN296=$DO296))</f>
        <v>3.7037037037037035E-4</v>
      </c>
      <c r="DW296" s="10" cm="1">
        <f t="array" aca="1" ref="DW296" ca="1">(1-$B$18)*SUMPRODUCT(OFFSET($BO$15,0,0,$B$14,1), 1*(_xlfn._xlws.FILTER(OFFSET($O$15,0,$DN296,$B$8,1),OFFSET($M$15,0,0,$B$8,1))=DW$13), 1*(_xlfn._xlws.FILTER(OFFSET($O$15,0,$DO296,$B$8,1),OFFSET($M$15,0,0,$B$8,1))=DW$14))   /   SUM(OFFSET($BO$15,0,0,$B$14,1)) + $B$18/($B$19*$B$19*($DN296&lt;&gt;$DO296) + $B$19*($DN296=$DO296))</f>
        <v>3.7037037037037035E-4</v>
      </c>
      <c r="DX296" s="10" cm="1">
        <f t="array" aca="1" ref="DX296" ca="1">(1-$B$18)*SUMPRODUCT(OFFSET($BO$15,0,0,$B$14,1), 1*(_xlfn._xlws.FILTER(OFFSET($O$15,0,$DN296,$B$8,1),OFFSET($M$15,0,0,$B$8,1))=DX$13), 1*(_xlfn._xlws.FILTER(OFFSET($O$15,0,$DO296,$B$8,1),OFFSET($M$15,0,0,$B$8,1))=DX$14))   /   SUM(OFFSET($BO$15,0,0,$B$14,1)) + $B$18/($B$19*$B$19*($DN296&lt;&gt;$DO296) + $B$19*($DN296=$DO296))</f>
        <v>3.7037037037037035E-4</v>
      </c>
      <c r="DY296" s="10" cm="1">
        <f t="array" aca="1" ref="DY296" ca="1">(1-$B$18)*SUMPRODUCT(OFFSET($BO$15,0,0,$B$14,1), 1*(_xlfn._xlws.FILTER(OFFSET($O$15,0,$DN296,$B$8,1),OFFSET($M$15,0,0,$B$8,1))=DY$13), 1*(_xlfn._xlws.FILTER(OFFSET($O$15,0,$DO296,$B$8,1),OFFSET($M$15,0,0,$B$8,1))=DY$14))   /   SUM(OFFSET($BO$15,0,0,$B$14,1)) + $B$18/($B$19*$B$19*($DN296&lt;&gt;$DO296) + $B$19*($DN296=$DO296))</f>
        <v>3.7037037037037035E-4</v>
      </c>
      <c r="DZ296" s="10" cm="1">
        <f t="array" aca="1" ref="DZ296" ca="1">(1-$B$18)*SUMPRODUCT(OFFSET($BO$15,0,0,$B$14,1), 1*(_xlfn._xlws.FILTER(OFFSET($O$15,0,$DN296,$B$8,1),OFFSET($M$15,0,0,$B$8,1))=DZ$13), 1*(_xlfn._xlws.FILTER(OFFSET($O$15,0,$DO296,$B$8,1),OFFSET($M$15,0,0,$B$8,1))=DZ$14))   /   SUM(OFFSET($BO$15,0,0,$B$14,1)) + $B$18/($B$19*$B$19*($DN296&lt;&gt;$DO296) + $B$19*($DN296=$DO296))</f>
        <v>3.7037037037037035E-4</v>
      </c>
      <c r="EA296" s="10" cm="1">
        <f t="array" aca="1" ref="EA296" ca="1">(1-$B$18)*SUMPRODUCT(OFFSET($BO$15,0,0,$B$14,1), 1*(_xlfn._xlws.FILTER(OFFSET($O$15,0,$DN296,$B$8,1),OFFSET($M$15,0,0,$B$8,1))=EA$13), 1*(_xlfn._xlws.FILTER(OFFSET($O$15,0,$DO296,$B$8,1),OFFSET($M$15,0,0,$B$8,1))=EA$14))   /   SUM(OFFSET($BO$15,0,0,$B$14,1)) + $B$18/($B$19*$B$19*($DN296&lt;&gt;$DO296) + $B$19*($DN296=$DO296))</f>
        <v>3.7037037037037035E-4</v>
      </c>
      <c r="EB296" s="10" cm="1">
        <f t="array" aca="1" ref="EB296" ca="1">(1-$B$18)*SUMPRODUCT(OFFSET($BO$15,0,0,$B$14,1), 1*(_xlfn._xlws.FILTER(OFFSET($O$15,0,$DN296,$B$8,1),OFFSET($M$15,0,0,$B$8,1))=EB$13), 1*(_xlfn._xlws.FILTER(OFFSET($O$15,0,$DO296,$B$8,1),OFFSET($M$15,0,0,$B$8,1))=EB$14))   /   SUM(OFFSET($BO$15,0,0,$B$14,1)) + $B$18/($B$19*$B$19*($DN296&lt;&gt;$DO296) + $B$19*($DN296=$DO296))</f>
        <v>3.7037037037037035E-4</v>
      </c>
      <c r="EC296" s="10" cm="1">
        <f t="array" aca="1" ref="EC296" ca="1">(1-$B$18)*SUMPRODUCT(OFFSET($BO$15,0,0,$B$14,1), 1*(_xlfn._xlws.FILTER(OFFSET($O$15,0,$DN296,$B$8,1),OFFSET($M$15,0,0,$B$8,1))=EC$13), 1*(_xlfn._xlws.FILTER(OFFSET($O$15,0,$DO296,$B$8,1),OFFSET($M$15,0,0,$B$8,1))=EC$14))   /   SUM(OFFSET($BO$15,0,0,$B$14,1)) + $B$18/($B$19*$B$19*($DN296&lt;&gt;$DO296) + $B$19*($DN296=$DO296))</f>
        <v>3.7037037037037035E-4</v>
      </c>
      <c r="ED296" s="10" cm="1">
        <f t="array" aca="1" ref="ED296" ca="1">(1-$B$18)*SUMPRODUCT(OFFSET($BO$15,0,0,$B$14,1), 1*(_xlfn._xlws.FILTER(OFFSET($O$15,0,$DN296,$B$8,1),OFFSET($M$15,0,0,$B$8,1))=ED$13), 1*(_xlfn._xlws.FILTER(OFFSET($O$15,0,$DO296,$B$8,1),OFFSET($M$15,0,0,$B$8,1))=ED$14))   /   SUM(OFFSET($BO$15,0,0,$B$14,1)) + $B$18/($B$19*$B$19*($DN296&lt;&gt;$DO296) + $B$19*($DN296=$DO296))</f>
        <v>3.7037037037037035E-4</v>
      </c>
      <c r="EE296" s="10" cm="1">
        <f t="array" aca="1" ref="EE296" ca="1">(1-$B$18)*SUMPRODUCT(OFFSET($BO$15,0,0,$B$14,1), 1*(_xlfn._xlws.FILTER(OFFSET($O$15,0,$DN296,$B$8,1),OFFSET($M$15,0,0,$B$8,1))=EE$13), 1*(_xlfn._xlws.FILTER(OFFSET($O$15,0,$DO296,$B$8,1),OFFSET($M$15,0,0,$B$8,1))=EE$14))   /   SUM(OFFSET($BO$15,0,0,$B$14,1)) + $B$18/($B$19*$B$19*($DN296&lt;&gt;$DO296) + $B$19*($DN296=$DO296))</f>
        <v>3.7037037037037035E-4</v>
      </c>
      <c r="EF296" s="10" cm="1">
        <f t="array" aca="1" ref="EF296" ca="1">(1-$B$18)*SUMPRODUCT(OFFSET($BO$15,0,0,$B$14,1), 1*(_xlfn._xlws.FILTER(OFFSET($O$15,0,$DN296,$B$8,1),OFFSET($M$15,0,0,$B$8,1))=EF$13), 1*(_xlfn._xlws.FILTER(OFFSET($O$15,0,$DO296,$B$8,1),OFFSET($M$15,0,0,$B$8,1))=EF$14))   /   SUM(OFFSET($BO$15,0,0,$B$14,1)) + $B$18/($B$19*$B$19*($DN296&lt;&gt;$DO296) + $B$19*($DN296=$DO296))</f>
        <v>3.7037037037037035E-4</v>
      </c>
      <c r="EG296" s="10" cm="1">
        <f t="array" aca="1" ref="EG296" ca="1">(1-$B$18)*SUMPRODUCT(OFFSET($BO$15,0,0,$B$14,1), 1*(_xlfn._xlws.FILTER(OFFSET($O$15,0,$DN296,$B$8,1),OFFSET($M$15,0,0,$B$8,1))=EG$13), 1*(_xlfn._xlws.FILTER(OFFSET($O$15,0,$DO296,$B$8,1),OFFSET($M$15,0,0,$B$8,1))=EG$14))   /   SUM(OFFSET($BO$15,0,0,$B$14,1)) + $B$18/($B$19*$B$19*($DN296&lt;&gt;$DO296) + $B$19*($DN296=$DO296))</f>
        <v>3.7037037037037035E-4</v>
      </c>
      <c r="EH296" s="10" cm="1">
        <f t="array" aca="1" ref="EH296" ca="1">(1-$B$18)*SUMPRODUCT(OFFSET($BO$15,0,0,$B$14,1), 1*(_xlfn._xlws.FILTER(OFFSET($O$15,0,$DN296,$B$8,1),OFFSET($M$15,0,0,$B$8,1))=EH$13), 1*(_xlfn._xlws.FILTER(OFFSET($O$15,0,$DO296,$B$8,1),OFFSET($M$15,0,0,$B$8,1))=EH$14))   /   SUM(OFFSET($BO$15,0,0,$B$14,1)) + $B$18/($B$19*$B$19*($DN296&lt;&gt;$DO296) + $B$19*($DN296=$DO296))</f>
        <v>3.7037037037037035E-4</v>
      </c>
      <c r="EI296" s="10" cm="1">
        <f t="array" aca="1" ref="EI296" ca="1">(1-$B$18)*SUMPRODUCT(OFFSET($BO$15,0,0,$B$14,1), 1*(_xlfn._xlws.FILTER(OFFSET($O$15,0,$DN296,$B$8,1),OFFSET($M$15,0,0,$B$8,1))=EI$13), 1*(_xlfn._xlws.FILTER(OFFSET($O$15,0,$DO296,$B$8,1),OFFSET($M$15,0,0,$B$8,1))=EI$14))   /   SUM(OFFSET($BO$15,0,0,$B$14,1)) + $B$18/($B$19*$B$19*($DN296&lt;&gt;$DO296) + $B$19*($DN296=$DO296))</f>
        <v>0.97037037037037033</v>
      </c>
      <c r="EJ296" s="10" cm="1">
        <f t="array" aca="1" ref="EJ296" ca="1">(1-$B$18)*SUMPRODUCT(OFFSET($BO$15,0,0,$B$14,1), 1*(_xlfn._xlws.FILTER(OFFSET($O$15,0,$DN296,$B$8,1),OFFSET($M$15,0,0,$B$8,1))=EJ$13), 1*(_xlfn._xlws.FILTER(OFFSET($O$15,0,$DO296,$B$8,1),OFFSET($M$15,0,0,$B$8,1))=EJ$14))   /   SUM(OFFSET($BO$15,0,0,$B$14,1)) + $B$18/($B$19*$B$19*($DN296&lt;&gt;$DO296) + $B$19*($DN296=$DO296))</f>
        <v>3.7037037037037035E-4</v>
      </c>
      <c r="EK296" s="10" cm="1">
        <f t="array" aca="1" ref="EK296" ca="1">(1-$B$18)*SUMPRODUCT(OFFSET($BO$15,0,0,$B$14,1), 1*(_xlfn._xlws.FILTER(OFFSET($O$15,0,$DN296,$B$8,1),OFFSET($M$15,0,0,$B$8,1))=EK$13), 1*(_xlfn._xlws.FILTER(OFFSET($O$15,0,$DO296,$B$8,1),OFFSET($M$15,0,0,$B$8,1))=EK$14))   /   SUM(OFFSET($BO$15,0,0,$B$14,1)) + $B$18/($B$19*$B$19*($DN296&lt;&gt;$DO296) + $B$19*($DN296=$DO296))</f>
        <v>3.7037037037037035E-4</v>
      </c>
      <c r="EL296" s="10" cm="1">
        <f t="array" aca="1" ref="EL296" ca="1">(1-$B$18)*SUMPRODUCT(OFFSET($BO$15,0,0,$B$14,1), 1*(_xlfn._xlws.FILTER(OFFSET($O$15,0,$DN296,$B$8,1),OFFSET($M$15,0,0,$B$8,1))=EL$13), 1*(_xlfn._xlws.FILTER(OFFSET($O$15,0,$DO296,$B$8,1),OFFSET($M$15,0,0,$B$8,1))=EL$14))   /   SUM(OFFSET($BO$15,0,0,$B$14,1)) + $B$18/($B$19*$B$19*($DN296&lt;&gt;$DO296) + $B$19*($DN296=$DO296))</f>
        <v>3.7037037037037035E-4</v>
      </c>
      <c r="EM296" s="10" cm="1">
        <f t="array" aca="1" ref="EM296" ca="1">(1-$B$18)*SUMPRODUCT(OFFSET($BO$15,0,0,$B$14,1), 1*(_xlfn._xlws.FILTER(OFFSET($O$15,0,$DN296,$B$8,1),OFFSET($M$15,0,0,$B$8,1))=EM$13), 1*(_xlfn._xlws.FILTER(OFFSET($O$15,0,$DO296,$B$8,1),OFFSET($M$15,0,0,$B$8,1))=EM$14))   /   SUM(OFFSET($BO$15,0,0,$B$14,1)) + $B$18/($B$19*$B$19*($DN296&lt;&gt;$DO296) + $B$19*($DN296=$DO296))</f>
        <v>3.7037037037037035E-4</v>
      </c>
      <c r="EN296" s="10" cm="1">
        <f t="array" aca="1" ref="EN296" ca="1">(1-$B$18)*SUMPRODUCT(OFFSET($BO$15,0,0,$B$14,1), 1*(_xlfn._xlws.FILTER(OFFSET($O$15,0,$DN296,$B$8,1),OFFSET($M$15,0,0,$B$8,1))=EN$13), 1*(_xlfn._xlws.FILTER(OFFSET($O$15,0,$DO296,$B$8,1),OFFSET($M$15,0,0,$B$8,1))=EN$14))   /   SUM(OFFSET($BO$15,0,0,$B$14,1)) + $B$18/($B$19*$B$19*($DN296&lt;&gt;$DO296) + $B$19*($DN296=$DO296))</f>
        <v>3.7037037037037035E-4</v>
      </c>
      <c r="EO296" s="10" cm="1">
        <f t="array" aca="1" ref="EO296" ca="1">(1-$B$18)*SUMPRODUCT(OFFSET($BO$15,0,0,$B$14,1), 1*(_xlfn._xlws.FILTER(OFFSET($O$15,0,$DN296,$B$8,1),OFFSET($M$15,0,0,$B$8,1))=EO$13), 1*(_xlfn._xlws.FILTER(OFFSET($O$15,0,$DO296,$B$8,1),OFFSET($M$15,0,0,$B$8,1))=EO$14))   /   SUM(OFFSET($BO$15,0,0,$B$14,1)) + $B$18/($B$19*$B$19*($DN296&lt;&gt;$DO296) + $B$19*($DN296=$DO296))</f>
        <v>3.7037037037037035E-4</v>
      </c>
      <c r="EP296" s="10" cm="1">
        <f t="array" aca="1" ref="EP296" ca="1">(1-$B$18)*SUMPRODUCT(OFFSET($BO$15,0,0,$B$14,1), 1*(_xlfn._xlws.FILTER(OFFSET($O$15,0,$DN296,$B$8,1),OFFSET($M$15,0,0,$B$8,1))=EP$13), 1*(_xlfn._xlws.FILTER(OFFSET($O$15,0,$DO296,$B$8,1),OFFSET($M$15,0,0,$B$8,1))=EP$14))   /   SUM(OFFSET($BO$15,0,0,$B$14,1)) + $B$18/($B$19*$B$19*($DN296&lt;&gt;$DO296) + $B$19*($DN296=$DO296))</f>
        <v>3.7037037037037035E-4</v>
      </c>
      <c r="EQ296" s="10" cm="1">
        <f t="array" aca="1" ref="EQ296" ca="1">(1-$B$18)*SUMPRODUCT(OFFSET($BO$15,0,0,$B$14,1), 1*(_xlfn._xlws.FILTER(OFFSET($O$15,0,$DN296,$B$8,1),OFFSET($M$15,0,0,$B$8,1))=EQ$13), 1*(_xlfn._xlws.FILTER(OFFSET($O$15,0,$DO296,$B$8,1),OFFSET($M$15,0,0,$B$8,1))=EQ$14))   /   SUM(OFFSET($BO$15,0,0,$B$14,1)) + $B$18/($B$19*$B$19*($DN296&lt;&gt;$DO296) + $B$19*($DN296=$DO296))</f>
        <v>3.7037037037037035E-4</v>
      </c>
      <c r="ER296" s="10" cm="1">
        <f t="array" aca="1" ref="ER296" ca="1">(1-$B$18)*SUMPRODUCT(OFFSET($BO$15,0,0,$B$14,1), 1*(_xlfn._xlws.FILTER(OFFSET($O$15,0,$DN296,$B$8,1),OFFSET($M$15,0,0,$B$8,1))=ER$13), 1*(_xlfn._xlws.FILTER(OFFSET($O$15,0,$DO296,$B$8,1),OFFSET($M$15,0,0,$B$8,1))=ER$14))   /   SUM(OFFSET($BO$15,0,0,$B$14,1)) + $B$18/($B$19*$B$19*($DN296&lt;&gt;$DO296) + $B$19*($DN296=$DO296))</f>
        <v>3.7037037037037035E-4</v>
      </c>
      <c r="ES296" s="10" cm="1">
        <f t="array" aca="1" ref="ES296" ca="1">(1-$B$18)*SUMPRODUCT(OFFSET($BO$15,0,0,$B$14,1), 1*(_xlfn._xlws.FILTER(OFFSET($O$15,0,$DN296,$B$8,1),OFFSET($M$15,0,0,$B$8,1))=ES$13), 1*(_xlfn._xlws.FILTER(OFFSET($O$15,0,$DO296,$B$8,1),OFFSET($M$15,0,0,$B$8,1))=ES$14))   /   SUM(OFFSET($BO$15,0,0,$B$14,1)) + $B$18/($B$19*$B$19*($DN296&lt;&gt;$DO296) + $B$19*($DN296=$DO296))</f>
        <v>3.7037037037037035E-4</v>
      </c>
      <c r="ET296" s="10" cm="1">
        <f t="array" aca="1" ref="ET296" ca="1">(1-$B$18)*SUMPRODUCT(OFFSET($BO$15,0,0,$B$14,1), 1*(_xlfn._xlws.FILTER(OFFSET($O$15,0,$DN296,$B$8,1),OFFSET($M$15,0,0,$B$8,1))=ET$13), 1*(_xlfn._xlws.FILTER(OFFSET($O$15,0,$DO296,$B$8,1),OFFSET($M$15,0,0,$B$8,1))=ET$14))   /   SUM(OFFSET($BO$15,0,0,$B$14,1)) + $B$18/($B$19*$B$19*($DN296&lt;&gt;$DO296) + $B$19*($DN296=$DO296))</f>
        <v>3.7037037037037035E-4</v>
      </c>
      <c r="EU296" s="10" cm="1">
        <f t="array" aca="1" ref="EU296" ca="1">(1-$B$18)*SUMPRODUCT(OFFSET($BO$15,0,0,$B$14,1), 1*(_xlfn._xlws.FILTER(OFFSET($O$15,0,$DN296,$B$8,1),OFFSET($M$15,0,0,$B$8,1))=EU$13), 1*(_xlfn._xlws.FILTER(OFFSET($O$15,0,$DO296,$B$8,1),OFFSET($M$15,0,0,$B$8,1))=EU$14))   /   SUM(OFFSET($BO$15,0,0,$B$14,1)) + $B$18/($B$19*$B$19*($DN296&lt;&gt;$DO296) + $B$19*($DN296=$DO296))</f>
        <v>3.7037037037037035E-4</v>
      </c>
      <c r="EV296" s="10" cm="1">
        <f t="array" aca="1" ref="EV296" ca="1">(1-$B$18)*SUMPRODUCT(OFFSET($BO$15,0,0,$B$14,1), 1*(_xlfn._xlws.FILTER(OFFSET($O$15,0,$DN296,$B$8,1),OFFSET($M$15,0,0,$B$8,1))=EV$13), 1*(_xlfn._xlws.FILTER(OFFSET($O$15,0,$DO296,$B$8,1),OFFSET($M$15,0,0,$B$8,1))=EV$14))   /   SUM(OFFSET($BO$15,0,0,$B$14,1)) + $B$18/($B$19*$B$19*($DN296&lt;&gt;$DO296) + $B$19*($DN296=$DO296))</f>
        <v>3.7037037037037035E-4</v>
      </c>
      <c r="EW296" s="10" cm="1">
        <f t="array" aca="1" ref="EW296" ca="1">(1-$B$18)*SUMPRODUCT(OFFSET($BO$15,0,0,$B$14,1), 1*(_xlfn._xlws.FILTER(OFFSET($O$15,0,$DN296,$B$8,1),OFFSET($M$15,0,0,$B$8,1))=EW$13), 1*(_xlfn._xlws.FILTER(OFFSET($O$15,0,$DO296,$B$8,1),OFFSET($M$15,0,0,$B$8,1))=EW$14))   /   SUM(OFFSET($BO$15,0,0,$B$14,1)) + $B$18/($B$19*$B$19*($DN296&lt;&gt;$DO296) + $B$19*($DN296=$DO296))</f>
        <v>3.7037037037037035E-4</v>
      </c>
      <c r="EX296" s="10" cm="1">
        <f t="array" aca="1" ref="EX296" ca="1">(1-$B$18)*SUMPRODUCT(OFFSET($BO$15,0,0,$B$14,1), 1*(_xlfn._xlws.FILTER(OFFSET($O$15,0,$DN296,$B$8,1),OFFSET($M$15,0,0,$B$8,1))=EX$13), 1*(_xlfn._xlws.FILTER(OFFSET($O$15,0,$DO296,$B$8,1),OFFSET($M$15,0,0,$B$8,1))=EX$14))   /   SUM(OFFSET($BO$15,0,0,$B$14,1)) + $B$18/($B$19*$B$19*($DN296&lt;&gt;$DO296) + $B$19*($DN296=$DO296))</f>
        <v>3.7037037037037035E-4</v>
      </c>
      <c r="EY296" s="10" cm="1">
        <f t="array" aca="1" ref="EY296" ca="1">(1-$B$18)*SUMPRODUCT(OFFSET($BO$15,0,0,$B$14,1), 1*(_xlfn._xlws.FILTER(OFFSET($O$15,0,$DN296,$B$8,1),OFFSET($M$15,0,0,$B$8,1))=EY$13), 1*(_xlfn._xlws.FILTER(OFFSET($O$15,0,$DO296,$B$8,1),OFFSET($M$15,0,0,$B$8,1))=EY$14))   /   SUM(OFFSET($BO$15,0,0,$B$14,1)) + $B$18/($B$19*$B$19*($DN296&lt;&gt;$DO296) + $B$19*($DN296=$DO296))</f>
        <v>3.7037037037037035E-4</v>
      </c>
      <c r="EZ296" s="10" cm="1">
        <f t="array" aca="1" ref="EZ296" ca="1">(1-$B$18)*SUMPRODUCT(OFFSET($BO$15,0,0,$B$14,1), 1*(_xlfn._xlws.FILTER(OFFSET($O$15,0,$DN296,$B$8,1),OFFSET($M$15,0,0,$B$8,1))=EZ$13), 1*(_xlfn._xlws.FILTER(OFFSET($O$15,0,$DO296,$B$8,1),OFFSET($M$15,0,0,$B$8,1))=EZ$14))   /   SUM(OFFSET($BO$15,0,0,$B$14,1)) + $B$18/($B$19*$B$19*($DN296&lt;&gt;$DO296) + $B$19*($DN296=$DO296))</f>
        <v>3.7037037037037035E-4</v>
      </c>
      <c r="FA296" s="10" cm="1">
        <f t="array" aca="1" ref="FA296" ca="1">(1-$B$18)*SUMPRODUCT(OFFSET($BO$15,0,0,$B$14,1), 1*(_xlfn._xlws.FILTER(OFFSET($O$15,0,$DN296,$B$8,1),OFFSET($M$15,0,0,$B$8,1))=FA$13), 1*(_xlfn._xlws.FILTER(OFFSET($O$15,0,$DO296,$B$8,1),OFFSET($M$15,0,0,$B$8,1))=FA$14))   /   SUM(OFFSET($BO$15,0,0,$B$14,1)) + $B$18/($B$19*$B$19*($DN296&lt;&gt;$DO296) + $B$19*($DN296=$DO296))</f>
        <v>3.7037037037037035E-4</v>
      </c>
      <c r="FB296" s="10" cm="1">
        <f t="array" aca="1" ref="FB296" ca="1">(1-$B$18)*SUMPRODUCT(OFFSET($BO$15,0,0,$B$14,1), 1*(_xlfn._xlws.FILTER(OFFSET($O$15,0,$DN296,$B$8,1),OFFSET($M$15,0,0,$B$8,1))=FB$13), 1*(_xlfn._xlws.FILTER(OFFSET($O$15,0,$DO296,$B$8,1),OFFSET($M$15,0,0,$B$8,1))=FB$14))   /   SUM(OFFSET($BO$15,0,0,$B$14,1)) + $B$18/($B$19*$B$19*($DN296&lt;&gt;$DO296) + $B$19*($DN296=$DO296))</f>
        <v>3.7037037037037035E-4</v>
      </c>
      <c r="FC296" s="10" cm="1">
        <f t="array" aca="1" ref="FC296" ca="1">(1-$B$18)*SUMPRODUCT(OFFSET($BO$15,0,0,$B$14,1), 1*(_xlfn._xlws.FILTER(OFFSET($O$15,0,$DN296,$B$8,1),OFFSET($M$15,0,0,$B$8,1))=FC$13), 1*(_xlfn._xlws.FILTER(OFFSET($O$15,0,$DO296,$B$8,1),OFFSET($M$15,0,0,$B$8,1))=FC$14))   /   SUM(OFFSET($BO$15,0,0,$B$14,1)) + $B$18/($B$19*$B$19*($DN296&lt;&gt;$DO296) + $B$19*($DN296=$DO296))</f>
        <v>3.7037037037037035E-4</v>
      </c>
      <c r="FD296" s="10" cm="1">
        <f t="array" aca="1" ref="FD296" ca="1">(1-$B$18)*SUMPRODUCT(OFFSET($BO$15,0,0,$B$14,1), 1*(_xlfn._xlws.FILTER(OFFSET($O$15,0,$DN296,$B$8,1),OFFSET($M$15,0,0,$B$8,1))=FD$13), 1*(_xlfn._xlws.FILTER(OFFSET($O$15,0,$DO296,$B$8,1),OFFSET($M$15,0,0,$B$8,1))=FD$14))   /   SUM(OFFSET($BO$15,0,0,$B$14,1)) + $B$18/($B$19*$B$19*($DN296&lt;&gt;$DO296) + $B$19*($DN296=$DO296))</f>
        <v>3.7037037037037035E-4</v>
      </c>
      <c r="FE296" s="10" cm="1">
        <f t="array" aca="1" ref="FE296" ca="1">(1-$B$18)*SUMPRODUCT(OFFSET($BO$15,0,0,$B$14,1), 1*(_xlfn._xlws.FILTER(OFFSET($O$15,0,$DN296,$B$8,1),OFFSET($M$15,0,0,$B$8,1))=FE$13), 1*(_xlfn._xlws.FILTER(OFFSET($O$15,0,$DO296,$B$8,1),OFFSET($M$15,0,0,$B$8,1))=FE$14))   /   SUM(OFFSET($BO$15,0,0,$B$14,1)) + $B$18/($B$19*$B$19*($DN296&lt;&gt;$DO296) + $B$19*($DN296=$DO296))</f>
        <v>3.7037037037037035E-4</v>
      </c>
      <c r="FF296" s="10" cm="1">
        <f t="array" aca="1" ref="FF296" ca="1">(1-$B$18)*SUMPRODUCT(OFFSET($BO$15,0,0,$B$14,1), 1*(_xlfn._xlws.FILTER(OFFSET($O$15,0,$DN296,$B$8,1),OFFSET($M$15,0,0,$B$8,1))=FF$13), 1*(_xlfn._xlws.FILTER(OFFSET($O$15,0,$DO296,$B$8,1),OFFSET($M$15,0,0,$B$8,1))=FF$14))   /   SUM(OFFSET($BO$15,0,0,$B$14,1)) + $B$18/($B$19*$B$19*($DN296&lt;&gt;$DO296) + $B$19*($DN296=$DO296))</f>
        <v>3.7037037037037035E-4</v>
      </c>
      <c r="FG296" s="10" cm="1">
        <f t="array" aca="1" ref="FG296" ca="1">(1-$B$18)*SUMPRODUCT(OFFSET($BO$15,0,0,$B$14,1), 1*(_xlfn._xlws.FILTER(OFFSET($O$15,0,$DN296,$B$8,1),OFFSET($M$15,0,0,$B$8,1))=FG$13), 1*(_xlfn._xlws.FILTER(OFFSET($O$15,0,$DO296,$B$8,1),OFFSET($M$15,0,0,$B$8,1))=FG$14))   /   SUM(OFFSET($BO$15,0,0,$B$14,1)) + $B$18/($B$19*$B$19*($DN296&lt;&gt;$DO296) + $B$19*($DN296=$DO296))</f>
        <v>3.7037037037037035E-4</v>
      </c>
      <c r="FH296" s="10" cm="1">
        <f t="array" aca="1" ref="FH296" ca="1">(1-$B$18)*SUMPRODUCT(OFFSET($BO$15,0,0,$B$14,1), 1*(_xlfn._xlws.FILTER(OFFSET($O$15,0,$DN296,$B$8,1),OFFSET($M$15,0,0,$B$8,1))=FH$13), 1*(_xlfn._xlws.FILTER(OFFSET($O$15,0,$DO296,$B$8,1),OFFSET($M$15,0,0,$B$8,1))=FH$14))   /   SUM(OFFSET($BO$15,0,0,$B$14,1)) + $B$18/($B$19*$B$19*($DN296&lt;&gt;$DO296) + $B$19*($DN296=$DO296))</f>
        <v>3.7037037037037035E-4</v>
      </c>
      <c r="FI296" s="10" cm="1">
        <f t="array" aca="1" ref="FI296" ca="1">(1-$B$18)*SUMPRODUCT(OFFSET($BO$15,0,0,$B$14,1), 1*(_xlfn._xlws.FILTER(OFFSET($O$15,0,$DN296,$B$8,1),OFFSET($M$15,0,0,$B$8,1))=FI$13), 1*(_xlfn._xlws.FILTER(OFFSET($O$15,0,$DO296,$B$8,1),OFFSET($M$15,0,0,$B$8,1))=FI$14))   /   SUM(OFFSET($BO$15,0,0,$B$14,1)) + $B$18/($B$19*$B$19*($DN296&lt;&gt;$DO296) + $B$19*($DN296=$DO296))</f>
        <v>3.7037037037037035E-4</v>
      </c>
      <c r="FJ296" s="10" cm="1">
        <f t="array" aca="1" ref="FJ296" ca="1">(1-$B$18)*SUMPRODUCT(OFFSET($BO$15,0,0,$B$14,1), 1*(_xlfn._xlws.FILTER(OFFSET($O$15,0,$DN296,$B$8,1),OFFSET($M$15,0,0,$B$8,1))=FJ$13), 1*(_xlfn._xlws.FILTER(OFFSET($O$15,0,$DO296,$B$8,1),OFFSET($M$15,0,0,$B$8,1))=FJ$14))   /   SUM(OFFSET($BO$15,0,0,$B$14,1)) + $B$18/($B$19*$B$19*($DN296&lt;&gt;$DO296) + $B$19*($DN296=$DO296))</f>
        <v>3.7037037037037035E-4</v>
      </c>
      <c r="FK296" s="10" cm="1">
        <f t="array" aca="1" ref="FK296" ca="1">(1-$B$18)*SUMPRODUCT(OFFSET($BO$15,0,0,$B$14,1), 1*(_xlfn._xlws.FILTER(OFFSET($O$15,0,$DN296,$B$8,1),OFFSET($M$15,0,0,$B$8,1))=FK$13), 1*(_xlfn._xlws.FILTER(OFFSET($O$15,0,$DO296,$B$8,1),OFFSET($M$15,0,0,$B$8,1))=FK$14))   /   SUM(OFFSET($BO$15,0,0,$B$14,1)) + $B$18/($B$19*$B$19*($DN296&lt;&gt;$DO296) + $B$19*($DN296=$DO296))</f>
        <v>3.7037037037037035E-4</v>
      </c>
      <c r="FL296" s="10" cm="1">
        <f t="array" aca="1" ref="FL296" ca="1">(1-$B$18)*SUMPRODUCT(OFFSET($BO$15,0,0,$B$14,1), 1*(_xlfn._xlws.FILTER(OFFSET($O$15,0,$DN296,$B$8,1),OFFSET($M$15,0,0,$B$8,1))=FL$13), 1*(_xlfn._xlws.FILTER(OFFSET($O$15,0,$DO296,$B$8,1),OFFSET($M$15,0,0,$B$8,1))=FL$14))   /   SUM(OFFSET($BO$15,0,0,$B$14,1)) + $B$18/($B$19*$B$19*($DN296&lt;&gt;$DO296) + $B$19*($DN296=$DO296))</f>
        <v>3.7037037037037035E-4</v>
      </c>
      <c r="FM296" s="10" cm="1">
        <f t="array" aca="1" ref="FM296" ca="1">(1-$B$18)*SUMPRODUCT(OFFSET($BO$15,0,0,$B$14,1), 1*(_xlfn._xlws.FILTER(OFFSET($O$15,0,$DN296,$B$8,1),OFFSET($M$15,0,0,$B$8,1))=FM$13), 1*(_xlfn._xlws.FILTER(OFFSET($O$15,0,$DO296,$B$8,1),OFFSET($M$15,0,0,$B$8,1))=FM$14))   /   SUM(OFFSET($BO$15,0,0,$B$14,1)) + $B$18/($B$19*$B$19*($DN296&lt;&gt;$DO296) + $B$19*($DN296=$DO296))</f>
        <v>3.7037037037037035E-4</v>
      </c>
      <c r="FN296" s="10" cm="1">
        <f t="array" aca="1" ref="FN296" ca="1">(1-$B$18)*SUMPRODUCT(OFFSET($BO$15,0,0,$B$14,1), 1*(_xlfn._xlws.FILTER(OFFSET($O$15,0,$DN296,$B$8,1),OFFSET($M$15,0,0,$B$8,1))=FN$13), 1*(_xlfn._xlws.FILTER(OFFSET($O$15,0,$DO296,$B$8,1),OFFSET($M$15,0,0,$B$8,1))=FN$14))   /   SUM(OFFSET($BO$15,0,0,$B$14,1)) + $B$18/($B$19*$B$19*($DN296&lt;&gt;$DO296) + $B$19*($DN296=$DO296))</f>
        <v>3.7037037037037035E-4</v>
      </c>
      <c r="FO296" s="10" cm="1">
        <f t="array" aca="1" ref="FO296" ca="1">(1-$B$18)*SUMPRODUCT(OFFSET($BO$15,0,0,$B$14,1), 1*(_xlfn._xlws.FILTER(OFFSET($O$15,0,$DN296,$B$8,1),OFFSET($M$15,0,0,$B$8,1))=FO$13), 1*(_xlfn._xlws.FILTER(OFFSET($O$15,0,$DO296,$B$8,1),OFFSET($M$15,0,0,$B$8,1))=FO$14))   /   SUM(OFFSET($BO$15,0,0,$B$14,1)) + $B$18/($B$19*$B$19*($DN296&lt;&gt;$DO296) + $B$19*($DN296=$DO296))</f>
        <v>3.7037037037037035E-4</v>
      </c>
      <c r="FP296" s="10" cm="1">
        <f t="array" aca="1" ref="FP296" ca="1">(1-$B$18)*SUMPRODUCT(OFFSET($BO$15,0,0,$B$14,1), 1*(_xlfn._xlws.FILTER(OFFSET($O$15,0,$DN296,$B$8,1),OFFSET($M$15,0,0,$B$8,1))=FP$13), 1*(_xlfn._xlws.FILTER(OFFSET($O$15,0,$DO296,$B$8,1),OFFSET($M$15,0,0,$B$8,1))=FP$14))   /   SUM(OFFSET($BO$15,0,0,$B$14,1)) + $B$18/($B$19*$B$19*($DN296&lt;&gt;$DO296) + $B$19*($DN296=$DO296))</f>
        <v>3.7037037037037035E-4</v>
      </c>
      <c r="FQ296" s="10" cm="1">
        <f t="array" aca="1" ref="FQ296" ca="1">(1-$B$18)*SUMPRODUCT(OFFSET($BO$15,0,0,$B$14,1), 1*(_xlfn._xlws.FILTER(OFFSET($O$15,0,$DN296,$B$8,1),OFFSET($M$15,0,0,$B$8,1))=FQ$13), 1*(_xlfn._xlws.FILTER(OFFSET($O$15,0,$DO296,$B$8,1),OFFSET($M$15,0,0,$B$8,1))=FQ$14))   /   SUM(OFFSET($BO$15,0,0,$B$14,1)) + $B$18/($B$19*$B$19*($DN296&lt;&gt;$DO296) + $B$19*($DN296=$DO296))</f>
        <v>3.7037037037037035E-4</v>
      </c>
      <c r="FR296" s="10" cm="1">
        <f t="array" aca="1" ref="FR296" ca="1">(1-$B$18)*SUMPRODUCT(OFFSET($BO$15,0,0,$B$14,1), 1*(_xlfn._xlws.FILTER(OFFSET($O$15,0,$DN296,$B$8,1),OFFSET($M$15,0,0,$B$8,1))=FR$13), 1*(_xlfn._xlws.FILTER(OFFSET($O$15,0,$DO296,$B$8,1),OFFSET($M$15,0,0,$B$8,1))=FR$14))   /   SUM(OFFSET($BO$15,0,0,$B$14,1)) + $B$18/($B$19*$B$19*($DN296&lt;&gt;$DO296) + $B$19*($DN296=$DO296))</f>
        <v>3.7037037037037035E-4</v>
      </c>
      <c r="FS296" s="10" cm="1">
        <f t="array" aca="1" ref="FS296" ca="1">(1-$B$18)*SUMPRODUCT(OFFSET($BO$15,0,0,$B$14,1), 1*(_xlfn._xlws.FILTER(OFFSET($O$15,0,$DN296,$B$8,1),OFFSET($M$15,0,0,$B$8,1))=FS$13), 1*(_xlfn._xlws.FILTER(OFFSET($O$15,0,$DO296,$B$8,1),OFFSET($M$15,0,0,$B$8,1))=FS$14))   /   SUM(OFFSET($BO$15,0,0,$B$14,1)) + $B$18/($B$19*$B$19*($DN296&lt;&gt;$DO296) + $B$19*($DN296=$DO296))</f>
        <v>3.7037037037037035E-4</v>
      </c>
      <c r="FT296" s="10" cm="1">
        <f t="array" aca="1" ref="FT296" ca="1">(1-$B$18)*SUMPRODUCT(OFFSET($BO$15,0,0,$B$14,1), 1*(_xlfn._xlws.FILTER(OFFSET($O$15,0,$DN296,$B$8,1),OFFSET($M$15,0,0,$B$8,1))=FT$13), 1*(_xlfn._xlws.FILTER(OFFSET($O$15,0,$DO296,$B$8,1),OFFSET($M$15,0,0,$B$8,1))=FT$14))   /   SUM(OFFSET($BO$15,0,0,$B$14,1)) + $B$18/($B$19*$B$19*($DN296&lt;&gt;$DO296) + $B$19*($DN296=$DO296))</f>
        <v>3.7037037037037035E-4</v>
      </c>
      <c r="FU296" s="10" cm="1">
        <f t="array" aca="1" ref="FU296" ca="1">(1-$B$18)*SUMPRODUCT(OFFSET($BO$15,0,0,$B$14,1), 1*(_xlfn._xlws.FILTER(OFFSET($O$15,0,$DN296,$B$8,1),OFFSET($M$15,0,0,$B$8,1))=FU$13), 1*(_xlfn._xlws.FILTER(OFFSET($O$15,0,$DO296,$B$8,1),OFFSET($M$15,0,0,$B$8,1))=FU$14))   /   SUM(OFFSET($BO$15,0,0,$B$14,1)) + $B$18/($B$19*$B$19*($DN296&lt;&gt;$DO296) + $B$19*($DN296=$DO296))</f>
        <v>3.7037037037037035E-4</v>
      </c>
      <c r="FV296" s="10" cm="1">
        <f t="array" aca="1" ref="FV296" ca="1">(1-$B$18)*SUMPRODUCT(OFFSET($BO$15,0,0,$B$14,1), 1*(_xlfn._xlws.FILTER(OFFSET($O$15,0,$DN296,$B$8,1),OFFSET($M$15,0,0,$B$8,1))=FV$13), 1*(_xlfn._xlws.FILTER(OFFSET($O$15,0,$DO296,$B$8,1),OFFSET($M$15,0,0,$B$8,1))=FV$14))   /   SUM(OFFSET($BO$15,0,0,$B$14,1)) + $B$18/($B$19*$B$19*($DN296&lt;&gt;$DO296) + $B$19*($DN296=$DO296))</f>
        <v>3.7037037037037035E-4</v>
      </c>
      <c r="FW296" s="10" cm="1">
        <f t="array" aca="1" ref="FW296" ca="1">(1-$B$18)*SUMPRODUCT(OFFSET($BO$15,0,0,$B$14,1), 1*(_xlfn._xlws.FILTER(OFFSET($O$15,0,$DN296,$B$8,1),OFFSET($M$15,0,0,$B$8,1))=FW$13), 1*(_xlfn._xlws.FILTER(OFFSET($O$15,0,$DO296,$B$8,1),OFFSET($M$15,0,0,$B$8,1))=FW$14))   /   SUM(OFFSET($BO$15,0,0,$B$14,1)) + $B$18/($B$19*$B$19*($DN296&lt;&gt;$DO296) + $B$19*($DN296=$DO296))</f>
        <v>3.7037037037037035E-4</v>
      </c>
      <c r="FX296" s="10" cm="1">
        <f t="array" aca="1" ref="FX296" ca="1">(1-$B$18)*SUMPRODUCT(OFFSET($BO$15,0,0,$B$14,1), 1*(_xlfn._xlws.FILTER(OFFSET($O$15,0,$DN296,$B$8,1),OFFSET($M$15,0,0,$B$8,1))=FX$13), 1*(_xlfn._xlws.FILTER(OFFSET($O$15,0,$DO296,$B$8,1),OFFSET($M$15,0,0,$B$8,1))=FX$14))   /   SUM(OFFSET($BO$15,0,0,$B$14,1)) + $B$18/($B$19*$B$19*($DN296&lt;&gt;$DO296) + $B$19*($DN296=$DO296))</f>
        <v>3.7037037037037035E-4</v>
      </c>
      <c r="FY296" s="10" cm="1">
        <f t="array" aca="1" ref="FY296" ca="1">(1-$B$18)*SUMPRODUCT(OFFSET($BO$15,0,0,$B$14,1), 1*(_xlfn._xlws.FILTER(OFFSET($O$15,0,$DN296,$B$8,1),OFFSET($M$15,0,0,$B$8,1))=FY$13), 1*(_xlfn._xlws.FILTER(OFFSET($O$15,0,$DO296,$B$8,1),OFFSET($M$15,0,0,$B$8,1))=FY$14))   /   SUM(OFFSET($BO$15,0,0,$B$14,1)) + $B$18/($B$19*$B$19*($DN296&lt;&gt;$DO296) + $B$19*($DN296=$DO296))</f>
        <v>3.7037037037037035E-4</v>
      </c>
      <c r="FZ296" s="10" cm="1">
        <f t="array" aca="1" ref="FZ296" ca="1">(1-$B$18)*SUMPRODUCT(OFFSET($BO$15,0,0,$B$14,1), 1*(_xlfn._xlws.FILTER(OFFSET($O$15,0,$DN296,$B$8,1),OFFSET($M$15,0,0,$B$8,1))=FZ$13), 1*(_xlfn._xlws.FILTER(OFFSET($O$15,0,$DO296,$B$8,1),OFFSET($M$15,0,0,$B$8,1))=FZ$14))   /   SUM(OFFSET($BO$15,0,0,$B$14,1)) + $B$18/($B$19*$B$19*($DN296&lt;&gt;$DO296) + $B$19*($DN296=$DO296))</f>
        <v>3.7037037037037035E-4</v>
      </c>
      <c r="GA296" s="10" cm="1">
        <f t="array" aca="1" ref="GA296" ca="1">(1-$B$18)*SUMPRODUCT(OFFSET($BO$15,0,0,$B$14,1), 1*(_xlfn._xlws.FILTER(OFFSET($O$15,0,$DN296,$B$8,1),OFFSET($M$15,0,0,$B$8,1))=GA$13), 1*(_xlfn._xlws.FILTER(OFFSET($O$15,0,$DO296,$B$8,1),OFFSET($M$15,0,0,$B$8,1))=GA$14))   /   SUM(OFFSET($BO$15,0,0,$B$14,1)) + $B$18/($B$19*$B$19*($DN296&lt;&gt;$DO296) + $B$19*($DN296=$DO296))</f>
        <v>3.7037037037037035E-4</v>
      </c>
    </row>
    <row r="297" spans="118:183" x14ac:dyDescent="0.2">
      <c r="DN297" cm="1">
        <f t="array" aca="1" ref="DN297" ca="1">INDEX(_xlfn.ANCHORARRAY($CP$15), 1 + INT((ROWS($DO$15:$DO297) - 1) / ROWS(_xlfn.ANCHORARRAY($CP$15))))</f>
        <v>15</v>
      </c>
      <c r="DO297" cm="1">
        <f t="array" aca="1" ref="DO297" ca="1">INDEX(_xlfn.ANCHORARRAY($CP$15),1+MOD(ROWS($DO$15:$DO297)-1,ROWS(_xlfn.ANCHORARRAY($CP$15))))</f>
        <v>19</v>
      </c>
      <c r="DP297" s="10" cm="1">
        <f t="array" aca="1" ref="DP297" ca="1">(1-$B$18)*SUMPRODUCT(OFFSET($BO$15,0,0,$B$14,1), 1*(_xlfn._xlws.FILTER(OFFSET($O$15,0,$DN297,$B$8,1),OFFSET($M$15,0,0,$B$8,1))=DP$13), 1*(_xlfn._xlws.FILTER(OFFSET($O$15,0,$DO297,$B$8,1),OFFSET($M$15,0,0,$B$8,1))=DP$14))   /   SUM(OFFSET($BO$15,0,0,$B$14,1)) + $B$18/($B$19*$B$19*($DN297&lt;&gt;$DO297) + $B$19*($DN297=$DO297))</f>
        <v>3.7037037037037035E-4</v>
      </c>
      <c r="DQ297" s="10" cm="1">
        <f t="array" aca="1" ref="DQ297" ca="1">(1-$B$18)*SUMPRODUCT(OFFSET($BO$15,0,0,$B$14,1), 1*(_xlfn._xlws.FILTER(OFFSET($O$15,0,$DN297,$B$8,1),OFFSET($M$15,0,0,$B$8,1))=DQ$13), 1*(_xlfn._xlws.FILTER(OFFSET($O$15,0,$DO297,$B$8,1),OFFSET($M$15,0,0,$B$8,1))=DQ$14))   /   SUM(OFFSET($BO$15,0,0,$B$14,1)) + $B$18/($B$19*$B$19*($DN297&lt;&gt;$DO297) + $B$19*($DN297=$DO297))</f>
        <v>3.7037037037037035E-4</v>
      </c>
      <c r="DR297" s="10" cm="1">
        <f t="array" aca="1" ref="DR297" ca="1">(1-$B$18)*SUMPRODUCT(OFFSET($BO$15,0,0,$B$14,1), 1*(_xlfn._xlws.FILTER(OFFSET($O$15,0,$DN297,$B$8,1),OFFSET($M$15,0,0,$B$8,1))=DR$13), 1*(_xlfn._xlws.FILTER(OFFSET($O$15,0,$DO297,$B$8,1),OFFSET($M$15,0,0,$B$8,1))=DR$14))   /   SUM(OFFSET($BO$15,0,0,$B$14,1)) + $B$18/($B$19*$B$19*($DN297&lt;&gt;$DO297) + $B$19*($DN297=$DO297))</f>
        <v>3.7037037037037035E-4</v>
      </c>
      <c r="DS297" s="10" cm="1">
        <f t="array" aca="1" ref="DS297" ca="1">(1-$B$18)*SUMPRODUCT(OFFSET($BO$15,0,0,$B$14,1), 1*(_xlfn._xlws.FILTER(OFFSET($O$15,0,$DN297,$B$8,1),OFFSET($M$15,0,0,$B$8,1))=DS$13), 1*(_xlfn._xlws.FILTER(OFFSET($O$15,0,$DO297,$B$8,1),OFFSET($M$15,0,0,$B$8,1))=DS$14))   /   SUM(OFFSET($BO$15,0,0,$B$14,1)) + $B$18/($B$19*$B$19*($DN297&lt;&gt;$DO297) + $B$19*($DN297=$DO297))</f>
        <v>3.7037037037037035E-4</v>
      </c>
      <c r="DT297" s="10" cm="1">
        <f t="array" aca="1" ref="DT297" ca="1">(1-$B$18)*SUMPRODUCT(OFFSET($BO$15,0,0,$B$14,1), 1*(_xlfn._xlws.FILTER(OFFSET($O$15,0,$DN297,$B$8,1),OFFSET($M$15,0,0,$B$8,1))=DT$13), 1*(_xlfn._xlws.FILTER(OFFSET($O$15,0,$DO297,$B$8,1),OFFSET($M$15,0,0,$B$8,1))=DT$14))   /   SUM(OFFSET($BO$15,0,0,$B$14,1)) + $B$18/($B$19*$B$19*($DN297&lt;&gt;$DO297) + $B$19*($DN297=$DO297))</f>
        <v>3.7037037037037035E-4</v>
      </c>
      <c r="DU297" s="10" cm="1">
        <f t="array" aca="1" ref="DU297" ca="1">(1-$B$18)*SUMPRODUCT(OFFSET($BO$15,0,0,$B$14,1), 1*(_xlfn._xlws.FILTER(OFFSET($O$15,0,$DN297,$B$8,1),OFFSET($M$15,0,0,$B$8,1))=DU$13), 1*(_xlfn._xlws.FILTER(OFFSET($O$15,0,$DO297,$B$8,1),OFFSET($M$15,0,0,$B$8,1))=DU$14))   /   SUM(OFFSET($BO$15,0,0,$B$14,1)) + $B$18/($B$19*$B$19*($DN297&lt;&gt;$DO297) + $B$19*($DN297=$DO297))</f>
        <v>3.7037037037037035E-4</v>
      </c>
      <c r="DV297" s="10" cm="1">
        <f t="array" aca="1" ref="DV297" ca="1">(1-$B$18)*SUMPRODUCT(OFFSET($BO$15,0,0,$B$14,1), 1*(_xlfn._xlws.FILTER(OFFSET($O$15,0,$DN297,$B$8,1),OFFSET($M$15,0,0,$B$8,1))=DV$13), 1*(_xlfn._xlws.FILTER(OFFSET($O$15,0,$DO297,$B$8,1),OFFSET($M$15,0,0,$B$8,1))=DV$14))   /   SUM(OFFSET($BO$15,0,0,$B$14,1)) + $B$18/($B$19*$B$19*($DN297&lt;&gt;$DO297) + $B$19*($DN297=$DO297))</f>
        <v>3.7037037037037035E-4</v>
      </c>
      <c r="DW297" s="10" cm="1">
        <f t="array" aca="1" ref="DW297" ca="1">(1-$B$18)*SUMPRODUCT(OFFSET($BO$15,0,0,$B$14,1), 1*(_xlfn._xlws.FILTER(OFFSET($O$15,0,$DN297,$B$8,1),OFFSET($M$15,0,0,$B$8,1))=DW$13), 1*(_xlfn._xlws.FILTER(OFFSET($O$15,0,$DO297,$B$8,1),OFFSET($M$15,0,0,$B$8,1))=DW$14))   /   SUM(OFFSET($BO$15,0,0,$B$14,1)) + $B$18/($B$19*$B$19*($DN297&lt;&gt;$DO297) + $B$19*($DN297=$DO297))</f>
        <v>3.7037037037037035E-4</v>
      </c>
      <c r="DX297" s="10" cm="1">
        <f t="array" aca="1" ref="DX297" ca="1">(1-$B$18)*SUMPRODUCT(OFFSET($BO$15,0,0,$B$14,1), 1*(_xlfn._xlws.FILTER(OFFSET($O$15,0,$DN297,$B$8,1),OFFSET($M$15,0,0,$B$8,1))=DX$13), 1*(_xlfn._xlws.FILTER(OFFSET($O$15,0,$DO297,$B$8,1),OFFSET($M$15,0,0,$B$8,1))=DX$14))   /   SUM(OFFSET($BO$15,0,0,$B$14,1)) + $B$18/($B$19*$B$19*($DN297&lt;&gt;$DO297) + $B$19*($DN297=$DO297))</f>
        <v>3.7037037037037035E-4</v>
      </c>
      <c r="DY297" s="10" cm="1">
        <f t="array" aca="1" ref="DY297" ca="1">(1-$B$18)*SUMPRODUCT(OFFSET($BO$15,0,0,$B$14,1), 1*(_xlfn._xlws.FILTER(OFFSET($O$15,0,$DN297,$B$8,1),OFFSET($M$15,0,0,$B$8,1))=DY$13), 1*(_xlfn._xlws.FILTER(OFFSET($O$15,0,$DO297,$B$8,1),OFFSET($M$15,0,0,$B$8,1))=DY$14))   /   SUM(OFFSET($BO$15,0,0,$B$14,1)) + $B$18/($B$19*$B$19*($DN297&lt;&gt;$DO297) + $B$19*($DN297=$DO297))</f>
        <v>3.7037037037037035E-4</v>
      </c>
      <c r="DZ297" s="10" cm="1">
        <f t="array" aca="1" ref="DZ297" ca="1">(1-$B$18)*SUMPRODUCT(OFFSET($BO$15,0,0,$B$14,1), 1*(_xlfn._xlws.FILTER(OFFSET($O$15,0,$DN297,$B$8,1),OFFSET($M$15,0,0,$B$8,1))=DZ$13), 1*(_xlfn._xlws.FILTER(OFFSET($O$15,0,$DO297,$B$8,1),OFFSET($M$15,0,0,$B$8,1))=DZ$14))   /   SUM(OFFSET($BO$15,0,0,$B$14,1)) + $B$18/($B$19*$B$19*($DN297&lt;&gt;$DO297) + $B$19*($DN297=$DO297))</f>
        <v>3.7037037037037035E-4</v>
      </c>
      <c r="EA297" s="10" cm="1">
        <f t="array" aca="1" ref="EA297" ca="1">(1-$B$18)*SUMPRODUCT(OFFSET($BO$15,0,0,$B$14,1), 1*(_xlfn._xlws.FILTER(OFFSET($O$15,0,$DN297,$B$8,1),OFFSET($M$15,0,0,$B$8,1))=EA$13), 1*(_xlfn._xlws.FILTER(OFFSET($O$15,0,$DO297,$B$8,1),OFFSET($M$15,0,0,$B$8,1))=EA$14))   /   SUM(OFFSET($BO$15,0,0,$B$14,1)) + $B$18/($B$19*$B$19*($DN297&lt;&gt;$DO297) + $B$19*($DN297=$DO297))</f>
        <v>3.7037037037037035E-4</v>
      </c>
      <c r="EB297" s="10" cm="1">
        <f t="array" aca="1" ref="EB297" ca="1">(1-$B$18)*SUMPRODUCT(OFFSET($BO$15,0,0,$B$14,1), 1*(_xlfn._xlws.FILTER(OFFSET($O$15,0,$DN297,$B$8,1),OFFSET($M$15,0,0,$B$8,1))=EB$13), 1*(_xlfn._xlws.FILTER(OFFSET($O$15,0,$DO297,$B$8,1),OFFSET($M$15,0,0,$B$8,1))=EB$14))   /   SUM(OFFSET($BO$15,0,0,$B$14,1)) + $B$18/($B$19*$B$19*($DN297&lt;&gt;$DO297) + $B$19*($DN297=$DO297))</f>
        <v>3.7037037037037035E-4</v>
      </c>
      <c r="EC297" s="10" cm="1">
        <f t="array" aca="1" ref="EC297" ca="1">(1-$B$18)*SUMPRODUCT(OFFSET($BO$15,0,0,$B$14,1), 1*(_xlfn._xlws.FILTER(OFFSET($O$15,0,$DN297,$B$8,1),OFFSET($M$15,0,0,$B$8,1))=EC$13), 1*(_xlfn._xlws.FILTER(OFFSET($O$15,0,$DO297,$B$8,1),OFFSET($M$15,0,0,$B$8,1))=EC$14))   /   SUM(OFFSET($BO$15,0,0,$B$14,1)) + $B$18/($B$19*$B$19*($DN297&lt;&gt;$DO297) + $B$19*($DN297=$DO297))</f>
        <v>3.7037037037037035E-4</v>
      </c>
      <c r="ED297" s="10" cm="1">
        <f t="array" aca="1" ref="ED297" ca="1">(1-$B$18)*SUMPRODUCT(OFFSET($BO$15,0,0,$B$14,1), 1*(_xlfn._xlws.FILTER(OFFSET($O$15,0,$DN297,$B$8,1),OFFSET($M$15,0,0,$B$8,1))=ED$13), 1*(_xlfn._xlws.FILTER(OFFSET($O$15,0,$DO297,$B$8,1),OFFSET($M$15,0,0,$B$8,1))=ED$14))   /   SUM(OFFSET($BO$15,0,0,$B$14,1)) + $B$18/($B$19*$B$19*($DN297&lt;&gt;$DO297) + $B$19*($DN297=$DO297))</f>
        <v>3.7037037037037035E-4</v>
      </c>
      <c r="EE297" s="10" cm="1">
        <f t="array" aca="1" ref="EE297" ca="1">(1-$B$18)*SUMPRODUCT(OFFSET($BO$15,0,0,$B$14,1), 1*(_xlfn._xlws.FILTER(OFFSET($O$15,0,$DN297,$B$8,1),OFFSET($M$15,0,0,$B$8,1))=EE$13), 1*(_xlfn._xlws.FILTER(OFFSET($O$15,0,$DO297,$B$8,1),OFFSET($M$15,0,0,$B$8,1))=EE$14))   /   SUM(OFFSET($BO$15,0,0,$B$14,1)) + $B$18/($B$19*$B$19*($DN297&lt;&gt;$DO297) + $B$19*($DN297=$DO297))</f>
        <v>3.7037037037037035E-4</v>
      </c>
      <c r="EF297" s="10" cm="1">
        <f t="array" aca="1" ref="EF297" ca="1">(1-$B$18)*SUMPRODUCT(OFFSET($BO$15,0,0,$B$14,1), 1*(_xlfn._xlws.FILTER(OFFSET($O$15,0,$DN297,$B$8,1),OFFSET($M$15,0,0,$B$8,1))=EF$13), 1*(_xlfn._xlws.FILTER(OFFSET($O$15,0,$DO297,$B$8,1),OFFSET($M$15,0,0,$B$8,1))=EF$14))   /   SUM(OFFSET($BO$15,0,0,$B$14,1)) + $B$18/($B$19*$B$19*($DN297&lt;&gt;$DO297) + $B$19*($DN297=$DO297))</f>
        <v>3.7037037037037035E-4</v>
      </c>
      <c r="EG297" s="10" cm="1">
        <f t="array" aca="1" ref="EG297" ca="1">(1-$B$18)*SUMPRODUCT(OFFSET($BO$15,0,0,$B$14,1), 1*(_xlfn._xlws.FILTER(OFFSET($O$15,0,$DN297,$B$8,1),OFFSET($M$15,0,0,$B$8,1))=EG$13), 1*(_xlfn._xlws.FILTER(OFFSET($O$15,0,$DO297,$B$8,1),OFFSET($M$15,0,0,$B$8,1))=EG$14))   /   SUM(OFFSET($BO$15,0,0,$B$14,1)) + $B$18/($B$19*$B$19*($DN297&lt;&gt;$DO297) + $B$19*($DN297=$DO297))</f>
        <v>3.7037037037037035E-4</v>
      </c>
      <c r="EH297" s="10" cm="1">
        <f t="array" aca="1" ref="EH297" ca="1">(1-$B$18)*SUMPRODUCT(OFFSET($BO$15,0,0,$B$14,1), 1*(_xlfn._xlws.FILTER(OFFSET($O$15,0,$DN297,$B$8,1),OFFSET($M$15,0,0,$B$8,1))=EH$13), 1*(_xlfn._xlws.FILTER(OFFSET($O$15,0,$DO297,$B$8,1),OFFSET($M$15,0,0,$B$8,1))=EH$14))   /   SUM(OFFSET($BO$15,0,0,$B$14,1)) + $B$18/($B$19*$B$19*($DN297&lt;&gt;$DO297) + $B$19*($DN297=$DO297))</f>
        <v>3.7037037037037035E-4</v>
      </c>
      <c r="EI297" s="10" cm="1">
        <f t="array" aca="1" ref="EI297" ca="1">(1-$B$18)*SUMPRODUCT(OFFSET($BO$15,0,0,$B$14,1), 1*(_xlfn._xlws.FILTER(OFFSET($O$15,0,$DN297,$B$8,1),OFFSET($M$15,0,0,$B$8,1))=EI$13), 1*(_xlfn._xlws.FILTER(OFFSET($O$15,0,$DO297,$B$8,1),OFFSET($M$15,0,0,$B$8,1))=EI$14))   /   SUM(OFFSET($BO$15,0,0,$B$14,1)) + $B$18/($B$19*$B$19*($DN297&lt;&gt;$DO297) + $B$19*($DN297=$DO297))</f>
        <v>0.97037037037037033</v>
      </c>
      <c r="EJ297" s="10" cm="1">
        <f t="array" aca="1" ref="EJ297" ca="1">(1-$B$18)*SUMPRODUCT(OFFSET($BO$15,0,0,$B$14,1), 1*(_xlfn._xlws.FILTER(OFFSET($O$15,0,$DN297,$B$8,1),OFFSET($M$15,0,0,$B$8,1))=EJ$13), 1*(_xlfn._xlws.FILTER(OFFSET($O$15,0,$DO297,$B$8,1),OFFSET($M$15,0,0,$B$8,1))=EJ$14))   /   SUM(OFFSET($BO$15,0,0,$B$14,1)) + $B$18/($B$19*$B$19*($DN297&lt;&gt;$DO297) + $B$19*($DN297=$DO297))</f>
        <v>3.7037037037037035E-4</v>
      </c>
      <c r="EK297" s="10" cm="1">
        <f t="array" aca="1" ref="EK297" ca="1">(1-$B$18)*SUMPRODUCT(OFFSET($BO$15,0,0,$B$14,1), 1*(_xlfn._xlws.FILTER(OFFSET($O$15,0,$DN297,$B$8,1),OFFSET($M$15,0,0,$B$8,1))=EK$13), 1*(_xlfn._xlws.FILTER(OFFSET($O$15,0,$DO297,$B$8,1),OFFSET($M$15,0,0,$B$8,1))=EK$14))   /   SUM(OFFSET($BO$15,0,0,$B$14,1)) + $B$18/($B$19*$B$19*($DN297&lt;&gt;$DO297) + $B$19*($DN297=$DO297))</f>
        <v>3.7037037037037035E-4</v>
      </c>
      <c r="EL297" s="10" cm="1">
        <f t="array" aca="1" ref="EL297" ca="1">(1-$B$18)*SUMPRODUCT(OFFSET($BO$15,0,0,$B$14,1), 1*(_xlfn._xlws.FILTER(OFFSET($O$15,0,$DN297,$B$8,1),OFFSET($M$15,0,0,$B$8,1))=EL$13), 1*(_xlfn._xlws.FILTER(OFFSET($O$15,0,$DO297,$B$8,1),OFFSET($M$15,0,0,$B$8,1))=EL$14))   /   SUM(OFFSET($BO$15,0,0,$B$14,1)) + $B$18/($B$19*$B$19*($DN297&lt;&gt;$DO297) + $B$19*($DN297=$DO297))</f>
        <v>3.7037037037037035E-4</v>
      </c>
      <c r="EM297" s="10" cm="1">
        <f t="array" aca="1" ref="EM297" ca="1">(1-$B$18)*SUMPRODUCT(OFFSET($BO$15,0,0,$B$14,1), 1*(_xlfn._xlws.FILTER(OFFSET($O$15,0,$DN297,$B$8,1),OFFSET($M$15,0,0,$B$8,1))=EM$13), 1*(_xlfn._xlws.FILTER(OFFSET($O$15,0,$DO297,$B$8,1),OFFSET($M$15,0,0,$B$8,1))=EM$14))   /   SUM(OFFSET($BO$15,0,0,$B$14,1)) + $B$18/($B$19*$B$19*($DN297&lt;&gt;$DO297) + $B$19*($DN297=$DO297))</f>
        <v>3.7037037037037035E-4</v>
      </c>
      <c r="EN297" s="10" cm="1">
        <f t="array" aca="1" ref="EN297" ca="1">(1-$B$18)*SUMPRODUCT(OFFSET($BO$15,0,0,$B$14,1), 1*(_xlfn._xlws.FILTER(OFFSET($O$15,0,$DN297,$B$8,1),OFFSET($M$15,0,0,$B$8,1))=EN$13), 1*(_xlfn._xlws.FILTER(OFFSET($O$15,0,$DO297,$B$8,1),OFFSET($M$15,0,0,$B$8,1))=EN$14))   /   SUM(OFFSET($BO$15,0,0,$B$14,1)) + $B$18/($B$19*$B$19*($DN297&lt;&gt;$DO297) + $B$19*($DN297=$DO297))</f>
        <v>3.7037037037037035E-4</v>
      </c>
      <c r="EO297" s="10" cm="1">
        <f t="array" aca="1" ref="EO297" ca="1">(1-$B$18)*SUMPRODUCT(OFFSET($BO$15,0,0,$B$14,1), 1*(_xlfn._xlws.FILTER(OFFSET($O$15,0,$DN297,$B$8,1),OFFSET($M$15,0,0,$B$8,1))=EO$13), 1*(_xlfn._xlws.FILTER(OFFSET($O$15,0,$DO297,$B$8,1),OFFSET($M$15,0,0,$B$8,1))=EO$14))   /   SUM(OFFSET($BO$15,0,0,$B$14,1)) + $B$18/($B$19*$B$19*($DN297&lt;&gt;$DO297) + $B$19*($DN297=$DO297))</f>
        <v>3.7037037037037035E-4</v>
      </c>
      <c r="EP297" s="10" cm="1">
        <f t="array" aca="1" ref="EP297" ca="1">(1-$B$18)*SUMPRODUCT(OFFSET($BO$15,0,0,$B$14,1), 1*(_xlfn._xlws.FILTER(OFFSET($O$15,0,$DN297,$B$8,1),OFFSET($M$15,0,0,$B$8,1))=EP$13), 1*(_xlfn._xlws.FILTER(OFFSET($O$15,0,$DO297,$B$8,1),OFFSET($M$15,0,0,$B$8,1))=EP$14))   /   SUM(OFFSET($BO$15,0,0,$B$14,1)) + $B$18/($B$19*$B$19*($DN297&lt;&gt;$DO297) + $B$19*($DN297=$DO297))</f>
        <v>3.7037037037037035E-4</v>
      </c>
      <c r="EQ297" s="10" cm="1">
        <f t="array" aca="1" ref="EQ297" ca="1">(1-$B$18)*SUMPRODUCT(OFFSET($BO$15,0,0,$B$14,1), 1*(_xlfn._xlws.FILTER(OFFSET($O$15,0,$DN297,$B$8,1),OFFSET($M$15,0,0,$B$8,1))=EQ$13), 1*(_xlfn._xlws.FILTER(OFFSET($O$15,0,$DO297,$B$8,1),OFFSET($M$15,0,0,$B$8,1))=EQ$14))   /   SUM(OFFSET($BO$15,0,0,$B$14,1)) + $B$18/($B$19*$B$19*($DN297&lt;&gt;$DO297) + $B$19*($DN297=$DO297))</f>
        <v>3.7037037037037035E-4</v>
      </c>
      <c r="ER297" s="10" cm="1">
        <f t="array" aca="1" ref="ER297" ca="1">(1-$B$18)*SUMPRODUCT(OFFSET($BO$15,0,0,$B$14,1), 1*(_xlfn._xlws.FILTER(OFFSET($O$15,0,$DN297,$B$8,1),OFFSET($M$15,0,0,$B$8,1))=ER$13), 1*(_xlfn._xlws.FILTER(OFFSET($O$15,0,$DO297,$B$8,1),OFFSET($M$15,0,0,$B$8,1))=ER$14))   /   SUM(OFFSET($BO$15,0,0,$B$14,1)) + $B$18/($B$19*$B$19*($DN297&lt;&gt;$DO297) + $B$19*($DN297=$DO297))</f>
        <v>3.7037037037037035E-4</v>
      </c>
      <c r="ES297" s="10" cm="1">
        <f t="array" aca="1" ref="ES297" ca="1">(1-$B$18)*SUMPRODUCT(OFFSET($BO$15,0,0,$B$14,1), 1*(_xlfn._xlws.FILTER(OFFSET($O$15,0,$DN297,$B$8,1),OFFSET($M$15,0,0,$B$8,1))=ES$13), 1*(_xlfn._xlws.FILTER(OFFSET($O$15,0,$DO297,$B$8,1),OFFSET($M$15,0,0,$B$8,1))=ES$14))   /   SUM(OFFSET($BO$15,0,0,$B$14,1)) + $B$18/($B$19*$B$19*($DN297&lt;&gt;$DO297) + $B$19*($DN297=$DO297))</f>
        <v>3.7037037037037035E-4</v>
      </c>
      <c r="ET297" s="10" cm="1">
        <f t="array" aca="1" ref="ET297" ca="1">(1-$B$18)*SUMPRODUCT(OFFSET($BO$15,0,0,$B$14,1), 1*(_xlfn._xlws.FILTER(OFFSET($O$15,0,$DN297,$B$8,1),OFFSET($M$15,0,0,$B$8,1))=ET$13), 1*(_xlfn._xlws.FILTER(OFFSET($O$15,0,$DO297,$B$8,1),OFFSET($M$15,0,0,$B$8,1))=ET$14))   /   SUM(OFFSET($BO$15,0,0,$B$14,1)) + $B$18/($B$19*$B$19*($DN297&lt;&gt;$DO297) + $B$19*($DN297=$DO297))</f>
        <v>3.7037037037037035E-4</v>
      </c>
      <c r="EU297" s="10" cm="1">
        <f t="array" aca="1" ref="EU297" ca="1">(1-$B$18)*SUMPRODUCT(OFFSET($BO$15,0,0,$B$14,1), 1*(_xlfn._xlws.FILTER(OFFSET($O$15,0,$DN297,$B$8,1),OFFSET($M$15,0,0,$B$8,1))=EU$13), 1*(_xlfn._xlws.FILTER(OFFSET($O$15,0,$DO297,$B$8,1),OFFSET($M$15,0,0,$B$8,1))=EU$14))   /   SUM(OFFSET($BO$15,0,0,$B$14,1)) + $B$18/($B$19*$B$19*($DN297&lt;&gt;$DO297) + $B$19*($DN297=$DO297))</f>
        <v>3.7037037037037035E-4</v>
      </c>
      <c r="EV297" s="10" cm="1">
        <f t="array" aca="1" ref="EV297" ca="1">(1-$B$18)*SUMPRODUCT(OFFSET($BO$15,0,0,$B$14,1), 1*(_xlfn._xlws.FILTER(OFFSET($O$15,0,$DN297,$B$8,1),OFFSET($M$15,0,0,$B$8,1))=EV$13), 1*(_xlfn._xlws.FILTER(OFFSET($O$15,0,$DO297,$B$8,1),OFFSET($M$15,0,0,$B$8,1))=EV$14))   /   SUM(OFFSET($BO$15,0,0,$B$14,1)) + $B$18/($B$19*$B$19*($DN297&lt;&gt;$DO297) + $B$19*($DN297=$DO297))</f>
        <v>3.7037037037037035E-4</v>
      </c>
      <c r="EW297" s="10" cm="1">
        <f t="array" aca="1" ref="EW297" ca="1">(1-$B$18)*SUMPRODUCT(OFFSET($BO$15,0,0,$B$14,1), 1*(_xlfn._xlws.FILTER(OFFSET($O$15,0,$DN297,$B$8,1),OFFSET($M$15,0,0,$B$8,1))=EW$13), 1*(_xlfn._xlws.FILTER(OFFSET($O$15,0,$DO297,$B$8,1),OFFSET($M$15,0,0,$B$8,1))=EW$14))   /   SUM(OFFSET($BO$15,0,0,$B$14,1)) + $B$18/($B$19*$B$19*($DN297&lt;&gt;$DO297) + $B$19*($DN297=$DO297))</f>
        <v>3.7037037037037035E-4</v>
      </c>
      <c r="EX297" s="10" cm="1">
        <f t="array" aca="1" ref="EX297" ca="1">(1-$B$18)*SUMPRODUCT(OFFSET($BO$15,0,0,$B$14,1), 1*(_xlfn._xlws.FILTER(OFFSET($O$15,0,$DN297,$B$8,1),OFFSET($M$15,0,0,$B$8,1))=EX$13), 1*(_xlfn._xlws.FILTER(OFFSET($O$15,0,$DO297,$B$8,1),OFFSET($M$15,0,0,$B$8,1))=EX$14))   /   SUM(OFFSET($BO$15,0,0,$B$14,1)) + $B$18/($B$19*$B$19*($DN297&lt;&gt;$DO297) + $B$19*($DN297=$DO297))</f>
        <v>3.7037037037037035E-4</v>
      </c>
      <c r="EY297" s="10" cm="1">
        <f t="array" aca="1" ref="EY297" ca="1">(1-$B$18)*SUMPRODUCT(OFFSET($BO$15,0,0,$B$14,1), 1*(_xlfn._xlws.FILTER(OFFSET($O$15,0,$DN297,$B$8,1),OFFSET($M$15,0,0,$B$8,1))=EY$13), 1*(_xlfn._xlws.FILTER(OFFSET($O$15,0,$DO297,$B$8,1),OFFSET($M$15,0,0,$B$8,1))=EY$14))   /   SUM(OFFSET($BO$15,0,0,$B$14,1)) + $B$18/($B$19*$B$19*($DN297&lt;&gt;$DO297) + $B$19*($DN297=$DO297))</f>
        <v>3.7037037037037035E-4</v>
      </c>
      <c r="EZ297" s="10" cm="1">
        <f t="array" aca="1" ref="EZ297" ca="1">(1-$B$18)*SUMPRODUCT(OFFSET($BO$15,0,0,$B$14,1), 1*(_xlfn._xlws.FILTER(OFFSET($O$15,0,$DN297,$B$8,1),OFFSET($M$15,0,0,$B$8,1))=EZ$13), 1*(_xlfn._xlws.FILTER(OFFSET($O$15,0,$DO297,$B$8,1),OFFSET($M$15,0,0,$B$8,1))=EZ$14))   /   SUM(OFFSET($BO$15,0,0,$B$14,1)) + $B$18/($B$19*$B$19*($DN297&lt;&gt;$DO297) + $B$19*($DN297=$DO297))</f>
        <v>3.7037037037037035E-4</v>
      </c>
      <c r="FA297" s="10" cm="1">
        <f t="array" aca="1" ref="FA297" ca="1">(1-$B$18)*SUMPRODUCT(OFFSET($BO$15,0,0,$B$14,1), 1*(_xlfn._xlws.FILTER(OFFSET($O$15,0,$DN297,$B$8,1),OFFSET($M$15,0,0,$B$8,1))=FA$13), 1*(_xlfn._xlws.FILTER(OFFSET($O$15,0,$DO297,$B$8,1),OFFSET($M$15,0,0,$B$8,1))=FA$14))   /   SUM(OFFSET($BO$15,0,0,$B$14,1)) + $B$18/($B$19*$B$19*($DN297&lt;&gt;$DO297) + $B$19*($DN297=$DO297))</f>
        <v>3.7037037037037035E-4</v>
      </c>
      <c r="FB297" s="10" cm="1">
        <f t="array" aca="1" ref="FB297" ca="1">(1-$B$18)*SUMPRODUCT(OFFSET($BO$15,0,0,$B$14,1), 1*(_xlfn._xlws.FILTER(OFFSET($O$15,0,$DN297,$B$8,1),OFFSET($M$15,0,0,$B$8,1))=FB$13), 1*(_xlfn._xlws.FILTER(OFFSET($O$15,0,$DO297,$B$8,1),OFFSET($M$15,0,0,$B$8,1))=FB$14))   /   SUM(OFFSET($BO$15,0,0,$B$14,1)) + $B$18/($B$19*$B$19*($DN297&lt;&gt;$DO297) + $B$19*($DN297=$DO297))</f>
        <v>3.7037037037037035E-4</v>
      </c>
      <c r="FC297" s="10" cm="1">
        <f t="array" aca="1" ref="FC297" ca="1">(1-$B$18)*SUMPRODUCT(OFFSET($BO$15,0,0,$B$14,1), 1*(_xlfn._xlws.FILTER(OFFSET($O$15,0,$DN297,$B$8,1),OFFSET($M$15,0,0,$B$8,1))=FC$13), 1*(_xlfn._xlws.FILTER(OFFSET($O$15,0,$DO297,$B$8,1),OFFSET($M$15,0,0,$B$8,1))=FC$14))   /   SUM(OFFSET($BO$15,0,0,$B$14,1)) + $B$18/($B$19*$B$19*($DN297&lt;&gt;$DO297) + $B$19*($DN297=$DO297))</f>
        <v>3.7037037037037035E-4</v>
      </c>
      <c r="FD297" s="10" cm="1">
        <f t="array" aca="1" ref="FD297" ca="1">(1-$B$18)*SUMPRODUCT(OFFSET($BO$15,0,0,$B$14,1), 1*(_xlfn._xlws.FILTER(OFFSET($O$15,0,$DN297,$B$8,1),OFFSET($M$15,0,0,$B$8,1))=FD$13), 1*(_xlfn._xlws.FILTER(OFFSET($O$15,0,$DO297,$B$8,1),OFFSET($M$15,0,0,$B$8,1))=FD$14))   /   SUM(OFFSET($BO$15,0,0,$B$14,1)) + $B$18/($B$19*$B$19*($DN297&lt;&gt;$DO297) + $B$19*($DN297=$DO297))</f>
        <v>3.7037037037037035E-4</v>
      </c>
      <c r="FE297" s="10" cm="1">
        <f t="array" aca="1" ref="FE297" ca="1">(1-$B$18)*SUMPRODUCT(OFFSET($BO$15,0,0,$B$14,1), 1*(_xlfn._xlws.FILTER(OFFSET($O$15,0,$DN297,$B$8,1),OFFSET($M$15,0,0,$B$8,1))=FE$13), 1*(_xlfn._xlws.FILTER(OFFSET($O$15,0,$DO297,$B$8,1),OFFSET($M$15,0,0,$B$8,1))=FE$14))   /   SUM(OFFSET($BO$15,0,0,$B$14,1)) + $B$18/($B$19*$B$19*($DN297&lt;&gt;$DO297) + $B$19*($DN297=$DO297))</f>
        <v>3.7037037037037035E-4</v>
      </c>
      <c r="FF297" s="10" cm="1">
        <f t="array" aca="1" ref="FF297" ca="1">(1-$B$18)*SUMPRODUCT(OFFSET($BO$15,0,0,$B$14,1), 1*(_xlfn._xlws.FILTER(OFFSET($O$15,0,$DN297,$B$8,1),OFFSET($M$15,0,0,$B$8,1))=FF$13), 1*(_xlfn._xlws.FILTER(OFFSET($O$15,0,$DO297,$B$8,1),OFFSET($M$15,0,0,$B$8,1))=FF$14))   /   SUM(OFFSET($BO$15,0,0,$B$14,1)) + $B$18/($B$19*$B$19*($DN297&lt;&gt;$DO297) + $B$19*($DN297=$DO297))</f>
        <v>3.7037037037037035E-4</v>
      </c>
      <c r="FG297" s="10" cm="1">
        <f t="array" aca="1" ref="FG297" ca="1">(1-$B$18)*SUMPRODUCT(OFFSET($BO$15,0,0,$B$14,1), 1*(_xlfn._xlws.FILTER(OFFSET($O$15,0,$DN297,$B$8,1),OFFSET($M$15,0,0,$B$8,1))=FG$13), 1*(_xlfn._xlws.FILTER(OFFSET($O$15,0,$DO297,$B$8,1),OFFSET($M$15,0,0,$B$8,1))=FG$14))   /   SUM(OFFSET($BO$15,0,0,$B$14,1)) + $B$18/($B$19*$B$19*($DN297&lt;&gt;$DO297) + $B$19*($DN297=$DO297))</f>
        <v>3.7037037037037035E-4</v>
      </c>
      <c r="FH297" s="10" cm="1">
        <f t="array" aca="1" ref="FH297" ca="1">(1-$B$18)*SUMPRODUCT(OFFSET($BO$15,0,0,$B$14,1), 1*(_xlfn._xlws.FILTER(OFFSET($O$15,0,$DN297,$B$8,1),OFFSET($M$15,0,0,$B$8,1))=FH$13), 1*(_xlfn._xlws.FILTER(OFFSET($O$15,0,$DO297,$B$8,1),OFFSET($M$15,0,0,$B$8,1))=FH$14))   /   SUM(OFFSET($BO$15,0,0,$B$14,1)) + $B$18/($B$19*$B$19*($DN297&lt;&gt;$DO297) + $B$19*($DN297=$DO297))</f>
        <v>3.7037037037037035E-4</v>
      </c>
      <c r="FI297" s="10" cm="1">
        <f t="array" aca="1" ref="FI297" ca="1">(1-$B$18)*SUMPRODUCT(OFFSET($BO$15,0,0,$B$14,1), 1*(_xlfn._xlws.FILTER(OFFSET($O$15,0,$DN297,$B$8,1),OFFSET($M$15,0,0,$B$8,1))=FI$13), 1*(_xlfn._xlws.FILTER(OFFSET($O$15,0,$DO297,$B$8,1),OFFSET($M$15,0,0,$B$8,1))=FI$14))   /   SUM(OFFSET($BO$15,0,0,$B$14,1)) + $B$18/($B$19*$B$19*($DN297&lt;&gt;$DO297) + $B$19*($DN297=$DO297))</f>
        <v>3.7037037037037035E-4</v>
      </c>
      <c r="FJ297" s="10" cm="1">
        <f t="array" aca="1" ref="FJ297" ca="1">(1-$B$18)*SUMPRODUCT(OFFSET($BO$15,0,0,$B$14,1), 1*(_xlfn._xlws.FILTER(OFFSET($O$15,0,$DN297,$B$8,1),OFFSET($M$15,0,0,$B$8,1))=FJ$13), 1*(_xlfn._xlws.FILTER(OFFSET($O$15,0,$DO297,$B$8,1),OFFSET($M$15,0,0,$B$8,1))=FJ$14))   /   SUM(OFFSET($BO$15,0,0,$B$14,1)) + $B$18/($B$19*$B$19*($DN297&lt;&gt;$DO297) + $B$19*($DN297=$DO297))</f>
        <v>3.7037037037037035E-4</v>
      </c>
      <c r="FK297" s="10" cm="1">
        <f t="array" aca="1" ref="FK297" ca="1">(1-$B$18)*SUMPRODUCT(OFFSET($BO$15,0,0,$B$14,1), 1*(_xlfn._xlws.FILTER(OFFSET($O$15,0,$DN297,$B$8,1),OFFSET($M$15,0,0,$B$8,1))=FK$13), 1*(_xlfn._xlws.FILTER(OFFSET($O$15,0,$DO297,$B$8,1),OFFSET($M$15,0,0,$B$8,1))=FK$14))   /   SUM(OFFSET($BO$15,0,0,$B$14,1)) + $B$18/($B$19*$B$19*($DN297&lt;&gt;$DO297) + $B$19*($DN297=$DO297))</f>
        <v>3.7037037037037035E-4</v>
      </c>
      <c r="FL297" s="10" cm="1">
        <f t="array" aca="1" ref="FL297" ca="1">(1-$B$18)*SUMPRODUCT(OFFSET($BO$15,0,0,$B$14,1), 1*(_xlfn._xlws.FILTER(OFFSET($O$15,0,$DN297,$B$8,1),OFFSET($M$15,0,0,$B$8,1))=FL$13), 1*(_xlfn._xlws.FILTER(OFFSET($O$15,0,$DO297,$B$8,1),OFFSET($M$15,0,0,$B$8,1))=FL$14))   /   SUM(OFFSET($BO$15,0,0,$B$14,1)) + $B$18/($B$19*$B$19*($DN297&lt;&gt;$DO297) + $B$19*($DN297=$DO297))</f>
        <v>3.7037037037037035E-4</v>
      </c>
      <c r="FM297" s="10" cm="1">
        <f t="array" aca="1" ref="FM297" ca="1">(1-$B$18)*SUMPRODUCT(OFFSET($BO$15,0,0,$B$14,1), 1*(_xlfn._xlws.FILTER(OFFSET($O$15,0,$DN297,$B$8,1),OFFSET($M$15,0,0,$B$8,1))=FM$13), 1*(_xlfn._xlws.FILTER(OFFSET($O$15,0,$DO297,$B$8,1),OFFSET($M$15,0,0,$B$8,1))=FM$14))   /   SUM(OFFSET($BO$15,0,0,$B$14,1)) + $B$18/($B$19*$B$19*($DN297&lt;&gt;$DO297) + $B$19*($DN297=$DO297))</f>
        <v>3.7037037037037035E-4</v>
      </c>
      <c r="FN297" s="10" cm="1">
        <f t="array" aca="1" ref="FN297" ca="1">(1-$B$18)*SUMPRODUCT(OFFSET($BO$15,0,0,$B$14,1), 1*(_xlfn._xlws.FILTER(OFFSET($O$15,0,$DN297,$B$8,1),OFFSET($M$15,0,0,$B$8,1))=FN$13), 1*(_xlfn._xlws.FILTER(OFFSET($O$15,0,$DO297,$B$8,1),OFFSET($M$15,0,0,$B$8,1))=FN$14))   /   SUM(OFFSET($BO$15,0,0,$B$14,1)) + $B$18/($B$19*$B$19*($DN297&lt;&gt;$DO297) + $B$19*($DN297=$DO297))</f>
        <v>3.7037037037037035E-4</v>
      </c>
      <c r="FO297" s="10" cm="1">
        <f t="array" aca="1" ref="FO297" ca="1">(1-$B$18)*SUMPRODUCT(OFFSET($BO$15,0,0,$B$14,1), 1*(_xlfn._xlws.FILTER(OFFSET($O$15,0,$DN297,$B$8,1),OFFSET($M$15,0,0,$B$8,1))=FO$13), 1*(_xlfn._xlws.FILTER(OFFSET($O$15,0,$DO297,$B$8,1),OFFSET($M$15,0,0,$B$8,1))=FO$14))   /   SUM(OFFSET($BO$15,0,0,$B$14,1)) + $B$18/($B$19*$B$19*($DN297&lt;&gt;$DO297) + $B$19*($DN297=$DO297))</f>
        <v>3.7037037037037035E-4</v>
      </c>
      <c r="FP297" s="10" cm="1">
        <f t="array" aca="1" ref="FP297" ca="1">(1-$B$18)*SUMPRODUCT(OFFSET($BO$15,0,0,$B$14,1), 1*(_xlfn._xlws.FILTER(OFFSET($O$15,0,$DN297,$B$8,1),OFFSET($M$15,0,0,$B$8,1))=FP$13), 1*(_xlfn._xlws.FILTER(OFFSET($O$15,0,$DO297,$B$8,1),OFFSET($M$15,0,0,$B$8,1))=FP$14))   /   SUM(OFFSET($BO$15,0,0,$B$14,1)) + $B$18/($B$19*$B$19*($DN297&lt;&gt;$DO297) + $B$19*($DN297=$DO297))</f>
        <v>3.7037037037037035E-4</v>
      </c>
      <c r="FQ297" s="10" cm="1">
        <f t="array" aca="1" ref="FQ297" ca="1">(1-$B$18)*SUMPRODUCT(OFFSET($BO$15,0,0,$B$14,1), 1*(_xlfn._xlws.FILTER(OFFSET($O$15,0,$DN297,$B$8,1),OFFSET($M$15,0,0,$B$8,1))=FQ$13), 1*(_xlfn._xlws.FILTER(OFFSET($O$15,0,$DO297,$B$8,1),OFFSET($M$15,0,0,$B$8,1))=FQ$14))   /   SUM(OFFSET($BO$15,0,0,$B$14,1)) + $B$18/($B$19*$B$19*($DN297&lt;&gt;$DO297) + $B$19*($DN297=$DO297))</f>
        <v>3.7037037037037035E-4</v>
      </c>
      <c r="FR297" s="10" cm="1">
        <f t="array" aca="1" ref="FR297" ca="1">(1-$B$18)*SUMPRODUCT(OFFSET($BO$15,0,0,$B$14,1), 1*(_xlfn._xlws.FILTER(OFFSET($O$15,0,$DN297,$B$8,1),OFFSET($M$15,0,0,$B$8,1))=FR$13), 1*(_xlfn._xlws.FILTER(OFFSET($O$15,0,$DO297,$B$8,1),OFFSET($M$15,0,0,$B$8,1))=FR$14))   /   SUM(OFFSET($BO$15,0,0,$B$14,1)) + $B$18/($B$19*$B$19*($DN297&lt;&gt;$DO297) + $B$19*($DN297=$DO297))</f>
        <v>3.7037037037037035E-4</v>
      </c>
      <c r="FS297" s="10" cm="1">
        <f t="array" aca="1" ref="FS297" ca="1">(1-$B$18)*SUMPRODUCT(OFFSET($BO$15,0,0,$B$14,1), 1*(_xlfn._xlws.FILTER(OFFSET($O$15,0,$DN297,$B$8,1),OFFSET($M$15,0,0,$B$8,1))=FS$13), 1*(_xlfn._xlws.FILTER(OFFSET($O$15,0,$DO297,$B$8,1),OFFSET($M$15,0,0,$B$8,1))=FS$14))   /   SUM(OFFSET($BO$15,0,0,$B$14,1)) + $B$18/($B$19*$B$19*($DN297&lt;&gt;$DO297) + $B$19*($DN297=$DO297))</f>
        <v>3.7037037037037035E-4</v>
      </c>
      <c r="FT297" s="10" cm="1">
        <f t="array" aca="1" ref="FT297" ca="1">(1-$B$18)*SUMPRODUCT(OFFSET($BO$15,0,0,$B$14,1), 1*(_xlfn._xlws.FILTER(OFFSET($O$15,0,$DN297,$B$8,1),OFFSET($M$15,0,0,$B$8,1))=FT$13), 1*(_xlfn._xlws.FILTER(OFFSET($O$15,0,$DO297,$B$8,1),OFFSET($M$15,0,0,$B$8,1))=FT$14))   /   SUM(OFFSET($BO$15,0,0,$B$14,1)) + $B$18/($B$19*$B$19*($DN297&lt;&gt;$DO297) + $B$19*($DN297=$DO297))</f>
        <v>3.7037037037037035E-4</v>
      </c>
      <c r="FU297" s="10" cm="1">
        <f t="array" aca="1" ref="FU297" ca="1">(1-$B$18)*SUMPRODUCT(OFFSET($BO$15,0,0,$B$14,1), 1*(_xlfn._xlws.FILTER(OFFSET($O$15,0,$DN297,$B$8,1),OFFSET($M$15,0,0,$B$8,1))=FU$13), 1*(_xlfn._xlws.FILTER(OFFSET($O$15,0,$DO297,$B$8,1),OFFSET($M$15,0,0,$B$8,1))=FU$14))   /   SUM(OFFSET($BO$15,0,0,$B$14,1)) + $B$18/($B$19*$B$19*($DN297&lt;&gt;$DO297) + $B$19*($DN297=$DO297))</f>
        <v>3.7037037037037035E-4</v>
      </c>
      <c r="FV297" s="10" cm="1">
        <f t="array" aca="1" ref="FV297" ca="1">(1-$B$18)*SUMPRODUCT(OFFSET($BO$15,0,0,$B$14,1), 1*(_xlfn._xlws.FILTER(OFFSET($O$15,0,$DN297,$B$8,1),OFFSET($M$15,0,0,$B$8,1))=FV$13), 1*(_xlfn._xlws.FILTER(OFFSET($O$15,0,$DO297,$B$8,1),OFFSET($M$15,0,0,$B$8,1))=FV$14))   /   SUM(OFFSET($BO$15,0,0,$B$14,1)) + $B$18/($B$19*$B$19*($DN297&lt;&gt;$DO297) + $B$19*($DN297=$DO297))</f>
        <v>3.7037037037037035E-4</v>
      </c>
      <c r="FW297" s="10" cm="1">
        <f t="array" aca="1" ref="FW297" ca="1">(1-$B$18)*SUMPRODUCT(OFFSET($BO$15,0,0,$B$14,1), 1*(_xlfn._xlws.FILTER(OFFSET($O$15,0,$DN297,$B$8,1),OFFSET($M$15,0,0,$B$8,1))=FW$13), 1*(_xlfn._xlws.FILTER(OFFSET($O$15,0,$DO297,$B$8,1),OFFSET($M$15,0,0,$B$8,1))=FW$14))   /   SUM(OFFSET($BO$15,0,0,$B$14,1)) + $B$18/($B$19*$B$19*($DN297&lt;&gt;$DO297) + $B$19*($DN297=$DO297))</f>
        <v>3.7037037037037035E-4</v>
      </c>
      <c r="FX297" s="10" cm="1">
        <f t="array" aca="1" ref="FX297" ca="1">(1-$B$18)*SUMPRODUCT(OFFSET($BO$15,0,0,$B$14,1), 1*(_xlfn._xlws.FILTER(OFFSET($O$15,0,$DN297,$B$8,1),OFFSET($M$15,0,0,$B$8,1))=FX$13), 1*(_xlfn._xlws.FILTER(OFFSET($O$15,0,$DO297,$B$8,1),OFFSET($M$15,0,0,$B$8,1))=FX$14))   /   SUM(OFFSET($BO$15,0,0,$B$14,1)) + $B$18/($B$19*$B$19*($DN297&lt;&gt;$DO297) + $B$19*($DN297=$DO297))</f>
        <v>3.7037037037037035E-4</v>
      </c>
      <c r="FY297" s="10" cm="1">
        <f t="array" aca="1" ref="FY297" ca="1">(1-$B$18)*SUMPRODUCT(OFFSET($BO$15,0,0,$B$14,1), 1*(_xlfn._xlws.FILTER(OFFSET($O$15,0,$DN297,$B$8,1),OFFSET($M$15,0,0,$B$8,1))=FY$13), 1*(_xlfn._xlws.FILTER(OFFSET($O$15,0,$DO297,$B$8,1),OFFSET($M$15,0,0,$B$8,1))=FY$14))   /   SUM(OFFSET($BO$15,0,0,$B$14,1)) + $B$18/($B$19*$B$19*($DN297&lt;&gt;$DO297) + $B$19*($DN297=$DO297))</f>
        <v>3.7037037037037035E-4</v>
      </c>
      <c r="FZ297" s="10" cm="1">
        <f t="array" aca="1" ref="FZ297" ca="1">(1-$B$18)*SUMPRODUCT(OFFSET($BO$15,0,0,$B$14,1), 1*(_xlfn._xlws.FILTER(OFFSET($O$15,0,$DN297,$B$8,1),OFFSET($M$15,0,0,$B$8,1))=FZ$13), 1*(_xlfn._xlws.FILTER(OFFSET($O$15,0,$DO297,$B$8,1),OFFSET($M$15,0,0,$B$8,1))=FZ$14))   /   SUM(OFFSET($BO$15,0,0,$B$14,1)) + $B$18/($B$19*$B$19*($DN297&lt;&gt;$DO297) + $B$19*($DN297=$DO297))</f>
        <v>3.7037037037037035E-4</v>
      </c>
      <c r="GA297" s="10" cm="1">
        <f t="array" aca="1" ref="GA297" ca="1">(1-$B$18)*SUMPRODUCT(OFFSET($BO$15,0,0,$B$14,1), 1*(_xlfn._xlws.FILTER(OFFSET($O$15,0,$DN297,$B$8,1),OFFSET($M$15,0,0,$B$8,1))=GA$13), 1*(_xlfn._xlws.FILTER(OFFSET($O$15,0,$DO297,$B$8,1),OFFSET($M$15,0,0,$B$8,1))=GA$14))   /   SUM(OFFSET($BO$15,0,0,$B$14,1)) + $B$18/($B$19*$B$19*($DN297&lt;&gt;$DO297) + $B$19*($DN297=$DO297))</f>
        <v>3.7037037037037035E-4</v>
      </c>
    </row>
    <row r="298" spans="118:183" x14ac:dyDescent="0.2">
      <c r="DN298" cm="1">
        <f t="array" aca="1" ref="DN298" ca="1">INDEX(_xlfn.ANCHORARRAY($CP$15), 1 + INT((ROWS($DO$15:$DO298) - 1) / ROWS(_xlfn.ANCHORARRAY($CP$15))))</f>
        <v>15</v>
      </c>
      <c r="DO298" cm="1">
        <f t="array" aca="1" ref="DO298" ca="1">INDEX(_xlfn.ANCHORARRAY($CP$15),1+MOD(ROWS($DO$15:$DO298)-1,ROWS(_xlfn.ANCHORARRAY($CP$15))))</f>
        <v>20</v>
      </c>
      <c r="DP298" s="10" cm="1">
        <f t="array" aca="1" ref="DP298" ca="1">(1-$B$18)*SUMPRODUCT(OFFSET($BO$15,0,0,$B$14,1), 1*(_xlfn._xlws.FILTER(OFFSET($O$15,0,$DN298,$B$8,1),OFFSET($M$15,0,0,$B$8,1))=DP$13), 1*(_xlfn._xlws.FILTER(OFFSET($O$15,0,$DO298,$B$8,1),OFFSET($M$15,0,0,$B$8,1))=DP$14))   /   SUM(OFFSET($BO$15,0,0,$B$14,1)) + $B$18/($B$19*$B$19*($DN298&lt;&gt;$DO298) + $B$19*($DN298=$DO298))</f>
        <v>3.7037037037037035E-4</v>
      </c>
      <c r="DQ298" s="10" cm="1">
        <f t="array" aca="1" ref="DQ298" ca="1">(1-$B$18)*SUMPRODUCT(OFFSET($BO$15,0,0,$B$14,1), 1*(_xlfn._xlws.FILTER(OFFSET($O$15,0,$DN298,$B$8,1),OFFSET($M$15,0,0,$B$8,1))=DQ$13), 1*(_xlfn._xlws.FILTER(OFFSET($O$15,0,$DO298,$B$8,1),OFFSET($M$15,0,0,$B$8,1))=DQ$14))   /   SUM(OFFSET($BO$15,0,0,$B$14,1)) + $B$18/($B$19*$B$19*($DN298&lt;&gt;$DO298) + $B$19*($DN298=$DO298))</f>
        <v>3.7037037037037035E-4</v>
      </c>
      <c r="DR298" s="10" cm="1">
        <f t="array" aca="1" ref="DR298" ca="1">(1-$B$18)*SUMPRODUCT(OFFSET($BO$15,0,0,$B$14,1), 1*(_xlfn._xlws.FILTER(OFFSET($O$15,0,$DN298,$B$8,1),OFFSET($M$15,0,0,$B$8,1))=DR$13), 1*(_xlfn._xlws.FILTER(OFFSET($O$15,0,$DO298,$B$8,1),OFFSET($M$15,0,0,$B$8,1))=DR$14))   /   SUM(OFFSET($BO$15,0,0,$B$14,1)) + $B$18/($B$19*$B$19*($DN298&lt;&gt;$DO298) + $B$19*($DN298=$DO298))</f>
        <v>3.7037037037037035E-4</v>
      </c>
      <c r="DS298" s="10" cm="1">
        <f t="array" aca="1" ref="DS298" ca="1">(1-$B$18)*SUMPRODUCT(OFFSET($BO$15,0,0,$B$14,1), 1*(_xlfn._xlws.FILTER(OFFSET($O$15,0,$DN298,$B$8,1),OFFSET($M$15,0,0,$B$8,1))=DS$13), 1*(_xlfn._xlws.FILTER(OFFSET($O$15,0,$DO298,$B$8,1),OFFSET($M$15,0,0,$B$8,1))=DS$14))   /   SUM(OFFSET($BO$15,0,0,$B$14,1)) + $B$18/($B$19*$B$19*($DN298&lt;&gt;$DO298) + $B$19*($DN298=$DO298))</f>
        <v>3.7037037037037035E-4</v>
      </c>
      <c r="DT298" s="10" cm="1">
        <f t="array" aca="1" ref="DT298" ca="1">(1-$B$18)*SUMPRODUCT(OFFSET($BO$15,0,0,$B$14,1), 1*(_xlfn._xlws.FILTER(OFFSET($O$15,0,$DN298,$B$8,1),OFFSET($M$15,0,0,$B$8,1))=DT$13), 1*(_xlfn._xlws.FILTER(OFFSET($O$15,0,$DO298,$B$8,1),OFFSET($M$15,0,0,$B$8,1))=DT$14))   /   SUM(OFFSET($BO$15,0,0,$B$14,1)) + $B$18/($B$19*$B$19*($DN298&lt;&gt;$DO298) + $B$19*($DN298=$DO298))</f>
        <v>3.7037037037037035E-4</v>
      </c>
      <c r="DU298" s="10" cm="1">
        <f t="array" aca="1" ref="DU298" ca="1">(1-$B$18)*SUMPRODUCT(OFFSET($BO$15,0,0,$B$14,1), 1*(_xlfn._xlws.FILTER(OFFSET($O$15,0,$DN298,$B$8,1),OFFSET($M$15,0,0,$B$8,1))=DU$13), 1*(_xlfn._xlws.FILTER(OFFSET($O$15,0,$DO298,$B$8,1),OFFSET($M$15,0,0,$B$8,1))=DU$14))   /   SUM(OFFSET($BO$15,0,0,$B$14,1)) + $B$18/($B$19*$B$19*($DN298&lt;&gt;$DO298) + $B$19*($DN298=$DO298))</f>
        <v>3.7037037037037035E-4</v>
      </c>
      <c r="DV298" s="10" cm="1">
        <f t="array" aca="1" ref="DV298" ca="1">(1-$B$18)*SUMPRODUCT(OFFSET($BO$15,0,0,$B$14,1), 1*(_xlfn._xlws.FILTER(OFFSET($O$15,0,$DN298,$B$8,1),OFFSET($M$15,0,0,$B$8,1))=DV$13), 1*(_xlfn._xlws.FILTER(OFFSET($O$15,0,$DO298,$B$8,1),OFFSET($M$15,0,0,$B$8,1))=DV$14))   /   SUM(OFFSET($BO$15,0,0,$B$14,1)) + $B$18/($B$19*$B$19*($DN298&lt;&gt;$DO298) + $B$19*($DN298=$DO298))</f>
        <v>3.7037037037037035E-4</v>
      </c>
      <c r="DW298" s="10" cm="1">
        <f t="array" aca="1" ref="DW298" ca="1">(1-$B$18)*SUMPRODUCT(OFFSET($BO$15,0,0,$B$14,1), 1*(_xlfn._xlws.FILTER(OFFSET($O$15,0,$DN298,$B$8,1),OFFSET($M$15,0,0,$B$8,1))=DW$13), 1*(_xlfn._xlws.FILTER(OFFSET($O$15,0,$DO298,$B$8,1),OFFSET($M$15,0,0,$B$8,1))=DW$14))   /   SUM(OFFSET($BO$15,0,0,$B$14,1)) + $B$18/($B$19*$B$19*($DN298&lt;&gt;$DO298) + $B$19*($DN298=$DO298))</f>
        <v>3.7037037037037035E-4</v>
      </c>
      <c r="DX298" s="10" cm="1">
        <f t="array" aca="1" ref="DX298" ca="1">(1-$B$18)*SUMPRODUCT(OFFSET($BO$15,0,0,$B$14,1), 1*(_xlfn._xlws.FILTER(OFFSET($O$15,0,$DN298,$B$8,1),OFFSET($M$15,0,0,$B$8,1))=DX$13), 1*(_xlfn._xlws.FILTER(OFFSET($O$15,0,$DO298,$B$8,1),OFFSET($M$15,0,0,$B$8,1))=DX$14))   /   SUM(OFFSET($BO$15,0,0,$B$14,1)) + $B$18/($B$19*$B$19*($DN298&lt;&gt;$DO298) + $B$19*($DN298=$DO298))</f>
        <v>3.7037037037037035E-4</v>
      </c>
      <c r="DY298" s="10" cm="1">
        <f t="array" aca="1" ref="DY298" ca="1">(1-$B$18)*SUMPRODUCT(OFFSET($BO$15,0,0,$B$14,1), 1*(_xlfn._xlws.FILTER(OFFSET($O$15,0,$DN298,$B$8,1),OFFSET($M$15,0,0,$B$8,1))=DY$13), 1*(_xlfn._xlws.FILTER(OFFSET($O$15,0,$DO298,$B$8,1),OFFSET($M$15,0,0,$B$8,1))=DY$14))   /   SUM(OFFSET($BO$15,0,0,$B$14,1)) + $B$18/($B$19*$B$19*($DN298&lt;&gt;$DO298) + $B$19*($DN298=$DO298))</f>
        <v>3.7037037037037035E-4</v>
      </c>
      <c r="DZ298" s="10" cm="1">
        <f t="array" aca="1" ref="DZ298" ca="1">(1-$B$18)*SUMPRODUCT(OFFSET($BO$15,0,0,$B$14,1), 1*(_xlfn._xlws.FILTER(OFFSET($O$15,0,$DN298,$B$8,1),OFFSET($M$15,0,0,$B$8,1))=DZ$13), 1*(_xlfn._xlws.FILTER(OFFSET($O$15,0,$DO298,$B$8,1),OFFSET($M$15,0,0,$B$8,1))=DZ$14))   /   SUM(OFFSET($BO$15,0,0,$B$14,1)) + $B$18/($B$19*$B$19*($DN298&lt;&gt;$DO298) + $B$19*($DN298=$DO298))</f>
        <v>3.7037037037037035E-4</v>
      </c>
      <c r="EA298" s="10" cm="1">
        <f t="array" aca="1" ref="EA298" ca="1">(1-$B$18)*SUMPRODUCT(OFFSET($BO$15,0,0,$B$14,1), 1*(_xlfn._xlws.FILTER(OFFSET($O$15,0,$DN298,$B$8,1),OFFSET($M$15,0,0,$B$8,1))=EA$13), 1*(_xlfn._xlws.FILTER(OFFSET($O$15,0,$DO298,$B$8,1),OFFSET($M$15,0,0,$B$8,1))=EA$14))   /   SUM(OFFSET($BO$15,0,0,$B$14,1)) + $B$18/($B$19*$B$19*($DN298&lt;&gt;$DO298) + $B$19*($DN298=$DO298))</f>
        <v>3.7037037037037035E-4</v>
      </c>
      <c r="EB298" s="10" cm="1">
        <f t="array" aca="1" ref="EB298" ca="1">(1-$B$18)*SUMPRODUCT(OFFSET($BO$15,0,0,$B$14,1), 1*(_xlfn._xlws.FILTER(OFFSET($O$15,0,$DN298,$B$8,1),OFFSET($M$15,0,0,$B$8,1))=EB$13), 1*(_xlfn._xlws.FILTER(OFFSET($O$15,0,$DO298,$B$8,1),OFFSET($M$15,0,0,$B$8,1))=EB$14))   /   SUM(OFFSET($BO$15,0,0,$B$14,1)) + $B$18/($B$19*$B$19*($DN298&lt;&gt;$DO298) + $B$19*($DN298=$DO298))</f>
        <v>3.7037037037037035E-4</v>
      </c>
      <c r="EC298" s="10" cm="1">
        <f t="array" aca="1" ref="EC298" ca="1">(1-$B$18)*SUMPRODUCT(OFFSET($BO$15,0,0,$B$14,1), 1*(_xlfn._xlws.FILTER(OFFSET($O$15,0,$DN298,$B$8,1),OFFSET($M$15,0,0,$B$8,1))=EC$13), 1*(_xlfn._xlws.FILTER(OFFSET($O$15,0,$DO298,$B$8,1),OFFSET($M$15,0,0,$B$8,1))=EC$14))   /   SUM(OFFSET($BO$15,0,0,$B$14,1)) + $B$18/($B$19*$B$19*($DN298&lt;&gt;$DO298) + $B$19*($DN298=$DO298))</f>
        <v>3.7037037037037035E-4</v>
      </c>
      <c r="ED298" s="10" cm="1">
        <f t="array" aca="1" ref="ED298" ca="1">(1-$B$18)*SUMPRODUCT(OFFSET($BO$15,0,0,$B$14,1), 1*(_xlfn._xlws.FILTER(OFFSET($O$15,0,$DN298,$B$8,1),OFFSET($M$15,0,0,$B$8,1))=ED$13), 1*(_xlfn._xlws.FILTER(OFFSET($O$15,0,$DO298,$B$8,1),OFFSET($M$15,0,0,$B$8,1))=ED$14))   /   SUM(OFFSET($BO$15,0,0,$B$14,1)) + $B$18/($B$19*$B$19*($DN298&lt;&gt;$DO298) + $B$19*($DN298=$DO298))</f>
        <v>3.7037037037037035E-4</v>
      </c>
      <c r="EE298" s="10" cm="1">
        <f t="array" aca="1" ref="EE298" ca="1">(1-$B$18)*SUMPRODUCT(OFFSET($BO$15,0,0,$B$14,1), 1*(_xlfn._xlws.FILTER(OFFSET($O$15,0,$DN298,$B$8,1),OFFSET($M$15,0,0,$B$8,1))=EE$13), 1*(_xlfn._xlws.FILTER(OFFSET($O$15,0,$DO298,$B$8,1),OFFSET($M$15,0,0,$B$8,1))=EE$14))   /   SUM(OFFSET($BO$15,0,0,$B$14,1)) + $B$18/($B$19*$B$19*($DN298&lt;&gt;$DO298) + $B$19*($DN298=$DO298))</f>
        <v>3.7037037037037035E-4</v>
      </c>
      <c r="EF298" s="10" cm="1">
        <f t="array" aca="1" ref="EF298" ca="1">(1-$B$18)*SUMPRODUCT(OFFSET($BO$15,0,0,$B$14,1), 1*(_xlfn._xlws.FILTER(OFFSET($O$15,0,$DN298,$B$8,1),OFFSET($M$15,0,0,$B$8,1))=EF$13), 1*(_xlfn._xlws.FILTER(OFFSET($O$15,0,$DO298,$B$8,1),OFFSET($M$15,0,0,$B$8,1))=EF$14))   /   SUM(OFFSET($BO$15,0,0,$B$14,1)) + $B$18/($B$19*$B$19*($DN298&lt;&gt;$DO298) + $B$19*($DN298=$DO298))</f>
        <v>3.7037037037037035E-4</v>
      </c>
      <c r="EG298" s="10" cm="1">
        <f t="array" aca="1" ref="EG298" ca="1">(1-$B$18)*SUMPRODUCT(OFFSET($BO$15,0,0,$B$14,1), 1*(_xlfn._xlws.FILTER(OFFSET($O$15,0,$DN298,$B$8,1),OFFSET($M$15,0,0,$B$8,1))=EG$13), 1*(_xlfn._xlws.FILTER(OFFSET($O$15,0,$DO298,$B$8,1),OFFSET($M$15,0,0,$B$8,1))=EG$14))   /   SUM(OFFSET($BO$15,0,0,$B$14,1)) + $B$18/($B$19*$B$19*($DN298&lt;&gt;$DO298) + $B$19*($DN298=$DO298))</f>
        <v>3.7037037037037035E-4</v>
      </c>
      <c r="EH298" s="10" cm="1">
        <f t="array" aca="1" ref="EH298" ca="1">(1-$B$18)*SUMPRODUCT(OFFSET($BO$15,0,0,$B$14,1), 1*(_xlfn._xlws.FILTER(OFFSET($O$15,0,$DN298,$B$8,1),OFFSET($M$15,0,0,$B$8,1))=EH$13), 1*(_xlfn._xlws.FILTER(OFFSET($O$15,0,$DO298,$B$8,1),OFFSET($M$15,0,0,$B$8,1))=EH$14))   /   SUM(OFFSET($BO$15,0,0,$B$14,1)) + $B$18/($B$19*$B$19*($DN298&lt;&gt;$DO298) + $B$19*($DN298=$DO298))</f>
        <v>3.7037037037037035E-4</v>
      </c>
      <c r="EI298" s="10" cm="1">
        <f t="array" aca="1" ref="EI298" ca="1">(1-$B$18)*SUMPRODUCT(OFFSET($BO$15,0,0,$B$14,1), 1*(_xlfn._xlws.FILTER(OFFSET($O$15,0,$DN298,$B$8,1),OFFSET($M$15,0,0,$B$8,1))=EI$13), 1*(_xlfn._xlws.FILTER(OFFSET($O$15,0,$DO298,$B$8,1),OFFSET($M$15,0,0,$B$8,1))=EI$14))   /   SUM(OFFSET($BO$15,0,0,$B$14,1)) + $B$18/($B$19*$B$19*($DN298&lt;&gt;$DO298) + $B$19*($DN298=$DO298))</f>
        <v>3.7037037037037035E-4</v>
      </c>
      <c r="EJ298" s="10" cm="1">
        <f t="array" aca="1" ref="EJ298" ca="1">(1-$B$18)*SUMPRODUCT(OFFSET($BO$15,0,0,$B$14,1), 1*(_xlfn._xlws.FILTER(OFFSET($O$15,0,$DN298,$B$8,1),OFFSET($M$15,0,0,$B$8,1))=EJ$13), 1*(_xlfn._xlws.FILTER(OFFSET($O$15,0,$DO298,$B$8,1),OFFSET($M$15,0,0,$B$8,1))=EJ$14))   /   SUM(OFFSET($BO$15,0,0,$B$14,1)) + $B$18/($B$19*$B$19*($DN298&lt;&gt;$DO298) + $B$19*($DN298=$DO298))</f>
        <v>0.24287037037037024</v>
      </c>
      <c r="EK298" s="10" cm="1">
        <f t="array" aca="1" ref="EK298" ca="1">(1-$B$18)*SUMPRODUCT(OFFSET($BO$15,0,0,$B$14,1), 1*(_xlfn._xlws.FILTER(OFFSET($O$15,0,$DN298,$B$8,1),OFFSET($M$15,0,0,$B$8,1))=EK$13), 1*(_xlfn._xlws.FILTER(OFFSET($O$15,0,$DO298,$B$8,1),OFFSET($M$15,0,0,$B$8,1))=EK$14))   /   SUM(OFFSET($BO$15,0,0,$B$14,1)) + $B$18/($B$19*$B$19*($DN298&lt;&gt;$DO298) + $B$19*($DN298=$DO298))</f>
        <v>0.24287037037037026</v>
      </c>
      <c r="EL298" s="10" cm="1">
        <f t="array" aca="1" ref="EL298" ca="1">(1-$B$18)*SUMPRODUCT(OFFSET($BO$15,0,0,$B$14,1), 1*(_xlfn._xlws.FILTER(OFFSET($O$15,0,$DN298,$B$8,1),OFFSET($M$15,0,0,$B$8,1))=EL$13), 1*(_xlfn._xlws.FILTER(OFFSET($O$15,0,$DO298,$B$8,1),OFFSET($M$15,0,0,$B$8,1))=EL$14))   /   SUM(OFFSET($BO$15,0,0,$B$14,1)) + $B$18/($B$19*$B$19*($DN298&lt;&gt;$DO298) + $B$19*($DN298=$DO298))</f>
        <v>0.48537037037037012</v>
      </c>
      <c r="EM298" s="10" cm="1">
        <f t="array" aca="1" ref="EM298" ca="1">(1-$B$18)*SUMPRODUCT(OFFSET($BO$15,0,0,$B$14,1), 1*(_xlfn._xlws.FILTER(OFFSET($O$15,0,$DN298,$B$8,1),OFFSET($M$15,0,0,$B$8,1))=EM$13), 1*(_xlfn._xlws.FILTER(OFFSET($O$15,0,$DO298,$B$8,1),OFFSET($M$15,0,0,$B$8,1))=EM$14))   /   SUM(OFFSET($BO$15,0,0,$B$14,1)) + $B$18/($B$19*$B$19*($DN298&lt;&gt;$DO298) + $B$19*($DN298=$DO298))</f>
        <v>3.7037037037037035E-4</v>
      </c>
      <c r="EN298" s="10" cm="1">
        <f t="array" aca="1" ref="EN298" ca="1">(1-$B$18)*SUMPRODUCT(OFFSET($BO$15,0,0,$B$14,1), 1*(_xlfn._xlws.FILTER(OFFSET($O$15,0,$DN298,$B$8,1),OFFSET($M$15,0,0,$B$8,1))=EN$13), 1*(_xlfn._xlws.FILTER(OFFSET($O$15,0,$DO298,$B$8,1),OFFSET($M$15,0,0,$B$8,1))=EN$14))   /   SUM(OFFSET($BO$15,0,0,$B$14,1)) + $B$18/($B$19*$B$19*($DN298&lt;&gt;$DO298) + $B$19*($DN298=$DO298))</f>
        <v>3.7037037037037035E-4</v>
      </c>
      <c r="EO298" s="10" cm="1">
        <f t="array" aca="1" ref="EO298" ca="1">(1-$B$18)*SUMPRODUCT(OFFSET($BO$15,0,0,$B$14,1), 1*(_xlfn._xlws.FILTER(OFFSET($O$15,0,$DN298,$B$8,1),OFFSET($M$15,0,0,$B$8,1))=EO$13), 1*(_xlfn._xlws.FILTER(OFFSET($O$15,0,$DO298,$B$8,1),OFFSET($M$15,0,0,$B$8,1))=EO$14))   /   SUM(OFFSET($BO$15,0,0,$B$14,1)) + $B$18/($B$19*$B$19*($DN298&lt;&gt;$DO298) + $B$19*($DN298=$DO298))</f>
        <v>3.7037037037037035E-4</v>
      </c>
      <c r="EP298" s="10" cm="1">
        <f t="array" aca="1" ref="EP298" ca="1">(1-$B$18)*SUMPRODUCT(OFFSET($BO$15,0,0,$B$14,1), 1*(_xlfn._xlws.FILTER(OFFSET($O$15,0,$DN298,$B$8,1),OFFSET($M$15,0,0,$B$8,1))=EP$13), 1*(_xlfn._xlws.FILTER(OFFSET($O$15,0,$DO298,$B$8,1),OFFSET($M$15,0,0,$B$8,1))=EP$14))   /   SUM(OFFSET($BO$15,0,0,$B$14,1)) + $B$18/($B$19*$B$19*($DN298&lt;&gt;$DO298) + $B$19*($DN298=$DO298))</f>
        <v>3.7037037037037035E-4</v>
      </c>
      <c r="EQ298" s="10" cm="1">
        <f t="array" aca="1" ref="EQ298" ca="1">(1-$B$18)*SUMPRODUCT(OFFSET($BO$15,0,0,$B$14,1), 1*(_xlfn._xlws.FILTER(OFFSET($O$15,0,$DN298,$B$8,1),OFFSET($M$15,0,0,$B$8,1))=EQ$13), 1*(_xlfn._xlws.FILTER(OFFSET($O$15,0,$DO298,$B$8,1),OFFSET($M$15,0,0,$B$8,1))=EQ$14))   /   SUM(OFFSET($BO$15,0,0,$B$14,1)) + $B$18/($B$19*$B$19*($DN298&lt;&gt;$DO298) + $B$19*($DN298=$DO298))</f>
        <v>3.7037037037037035E-4</v>
      </c>
      <c r="ER298" s="10" cm="1">
        <f t="array" aca="1" ref="ER298" ca="1">(1-$B$18)*SUMPRODUCT(OFFSET($BO$15,0,0,$B$14,1), 1*(_xlfn._xlws.FILTER(OFFSET($O$15,0,$DN298,$B$8,1),OFFSET($M$15,0,0,$B$8,1))=ER$13), 1*(_xlfn._xlws.FILTER(OFFSET($O$15,0,$DO298,$B$8,1),OFFSET($M$15,0,0,$B$8,1))=ER$14))   /   SUM(OFFSET($BO$15,0,0,$B$14,1)) + $B$18/($B$19*$B$19*($DN298&lt;&gt;$DO298) + $B$19*($DN298=$DO298))</f>
        <v>3.7037037037037035E-4</v>
      </c>
      <c r="ES298" s="10" cm="1">
        <f t="array" aca="1" ref="ES298" ca="1">(1-$B$18)*SUMPRODUCT(OFFSET($BO$15,0,0,$B$14,1), 1*(_xlfn._xlws.FILTER(OFFSET($O$15,0,$DN298,$B$8,1),OFFSET($M$15,0,0,$B$8,1))=ES$13), 1*(_xlfn._xlws.FILTER(OFFSET($O$15,0,$DO298,$B$8,1),OFFSET($M$15,0,0,$B$8,1))=ES$14))   /   SUM(OFFSET($BO$15,0,0,$B$14,1)) + $B$18/($B$19*$B$19*($DN298&lt;&gt;$DO298) + $B$19*($DN298=$DO298))</f>
        <v>3.7037037037037035E-4</v>
      </c>
      <c r="ET298" s="10" cm="1">
        <f t="array" aca="1" ref="ET298" ca="1">(1-$B$18)*SUMPRODUCT(OFFSET($BO$15,0,0,$B$14,1), 1*(_xlfn._xlws.FILTER(OFFSET($O$15,0,$DN298,$B$8,1),OFFSET($M$15,0,0,$B$8,1))=ET$13), 1*(_xlfn._xlws.FILTER(OFFSET($O$15,0,$DO298,$B$8,1),OFFSET($M$15,0,0,$B$8,1))=ET$14))   /   SUM(OFFSET($BO$15,0,0,$B$14,1)) + $B$18/($B$19*$B$19*($DN298&lt;&gt;$DO298) + $B$19*($DN298=$DO298))</f>
        <v>3.7037037037037035E-4</v>
      </c>
      <c r="EU298" s="10" cm="1">
        <f t="array" aca="1" ref="EU298" ca="1">(1-$B$18)*SUMPRODUCT(OFFSET($BO$15,0,0,$B$14,1), 1*(_xlfn._xlws.FILTER(OFFSET($O$15,0,$DN298,$B$8,1),OFFSET($M$15,0,0,$B$8,1))=EU$13), 1*(_xlfn._xlws.FILTER(OFFSET($O$15,0,$DO298,$B$8,1),OFFSET($M$15,0,0,$B$8,1))=EU$14))   /   SUM(OFFSET($BO$15,0,0,$B$14,1)) + $B$18/($B$19*$B$19*($DN298&lt;&gt;$DO298) + $B$19*($DN298=$DO298))</f>
        <v>3.7037037037037035E-4</v>
      </c>
      <c r="EV298" s="10" cm="1">
        <f t="array" aca="1" ref="EV298" ca="1">(1-$B$18)*SUMPRODUCT(OFFSET($BO$15,0,0,$B$14,1), 1*(_xlfn._xlws.FILTER(OFFSET($O$15,0,$DN298,$B$8,1),OFFSET($M$15,0,0,$B$8,1))=EV$13), 1*(_xlfn._xlws.FILTER(OFFSET($O$15,0,$DO298,$B$8,1),OFFSET($M$15,0,0,$B$8,1))=EV$14))   /   SUM(OFFSET($BO$15,0,0,$B$14,1)) + $B$18/($B$19*$B$19*($DN298&lt;&gt;$DO298) + $B$19*($DN298=$DO298))</f>
        <v>3.7037037037037035E-4</v>
      </c>
      <c r="EW298" s="10" cm="1">
        <f t="array" aca="1" ref="EW298" ca="1">(1-$B$18)*SUMPRODUCT(OFFSET($BO$15,0,0,$B$14,1), 1*(_xlfn._xlws.FILTER(OFFSET($O$15,0,$DN298,$B$8,1),OFFSET($M$15,0,0,$B$8,1))=EW$13), 1*(_xlfn._xlws.FILTER(OFFSET($O$15,0,$DO298,$B$8,1),OFFSET($M$15,0,0,$B$8,1))=EW$14))   /   SUM(OFFSET($BO$15,0,0,$B$14,1)) + $B$18/($B$19*$B$19*($DN298&lt;&gt;$DO298) + $B$19*($DN298=$DO298))</f>
        <v>3.7037037037037035E-4</v>
      </c>
      <c r="EX298" s="10" cm="1">
        <f t="array" aca="1" ref="EX298" ca="1">(1-$B$18)*SUMPRODUCT(OFFSET($BO$15,0,0,$B$14,1), 1*(_xlfn._xlws.FILTER(OFFSET($O$15,0,$DN298,$B$8,1),OFFSET($M$15,0,0,$B$8,1))=EX$13), 1*(_xlfn._xlws.FILTER(OFFSET($O$15,0,$DO298,$B$8,1),OFFSET($M$15,0,0,$B$8,1))=EX$14))   /   SUM(OFFSET($BO$15,0,0,$B$14,1)) + $B$18/($B$19*$B$19*($DN298&lt;&gt;$DO298) + $B$19*($DN298=$DO298))</f>
        <v>3.7037037037037035E-4</v>
      </c>
      <c r="EY298" s="10" cm="1">
        <f t="array" aca="1" ref="EY298" ca="1">(1-$B$18)*SUMPRODUCT(OFFSET($BO$15,0,0,$B$14,1), 1*(_xlfn._xlws.FILTER(OFFSET($O$15,0,$DN298,$B$8,1),OFFSET($M$15,0,0,$B$8,1))=EY$13), 1*(_xlfn._xlws.FILTER(OFFSET($O$15,0,$DO298,$B$8,1),OFFSET($M$15,0,0,$B$8,1))=EY$14))   /   SUM(OFFSET($BO$15,0,0,$B$14,1)) + $B$18/($B$19*$B$19*($DN298&lt;&gt;$DO298) + $B$19*($DN298=$DO298))</f>
        <v>3.7037037037037035E-4</v>
      </c>
      <c r="EZ298" s="10" cm="1">
        <f t="array" aca="1" ref="EZ298" ca="1">(1-$B$18)*SUMPRODUCT(OFFSET($BO$15,0,0,$B$14,1), 1*(_xlfn._xlws.FILTER(OFFSET($O$15,0,$DN298,$B$8,1),OFFSET($M$15,0,0,$B$8,1))=EZ$13), 1*(_xlfn._xlws.FILTER(OFFSET($O$15,0,$DO298,$B$8,1),OFFSET($M$15,0,0,$B$8,1))=EZ$14))   /   SUM(OFFSET($BO$15,0,0,$B$14,1)) + $B$18/($B$19*$B$19*($DN298&lt;&gt;$DO298) + $B$19*($DN298=$DO298))</f>
        <v>3.7037037037037035E-4</v>
      </c>
      <c r="FA298" s="10" cm="1">
        <f t="array" aca="1" ref="FA298" ca="1">(1-$B$18)*SUMPRODUCT(OFFSET($BO$15,0,0,$B$14,1), 1*(_xlfn._xlws.FILTER(OFFSET($O$15,0,$DN298,$B$8,1),OFFSET($M$15,0,0,$B$8,1))=FA$13), 1*(_xlfn._xlws.FILTER(OFFSET($O$15,0,$DO298,$B$8,1),OFFSET($M$15,0,0,$B$8,1))=FA$14))   /   SUM(OFFSET($BO$15,0,0,$B$14,1)) + $B$18/($B$19*$B$19*($DN298&lt;&gt;$DO298) + $B$19*($DN298=$DO298))</f>
        <v>3.7037037037037035E-4</v>
      </c>
      <c r="FB298" s="10" cm="1">
        <f t="array" aca="1" ref="FB298" ca="1">(1-$B$18)*SUMPRODUCT(OFFSET($BO$15,0,0,$B$14,1), 1*(_xlfn._xlws.FILTER(OFFSET($O$15,0,$DN298,$B$8,1),OFFSET($M$15,0,0,$B$8,1))=FB$13), 1*(_xlfn._xlws.FILTER(OFFSET($O$15,0,$DO298,$B$8,1),OFFSET($M$15,0,0,$B$8,1))=FB$14))   /   SUM(OFFSET($BO$15,0,0,$B$14,1)) + $B$18/($B$19*$B$19*($DN298&lt;&gt;$DO298) + $B$19*($DN298=$DO298))</f>
        <v>3.7037037037037035E-4</v>
      </c>
      <c r="FC298" s="10" cm="1">
        <f t="array" aca="1" ref="FC298" ca="1">(1-$B$18)*SUMPRODUCT(OFFSET($BO$15,0,0,$B$14,1), 1*(_xlfn._xlws.FILTER(OFFSET($O$15,0,$DN298,$B$8,1),OFFSET($M$15,0,0,$B$8,1))=FC$13), 1*(_xlfn._xlws.FILTER(OFFSET($O$15,0,$DO298,$B$8,1),OFFSET($M$15,0,0,$B$8,1))=FC$14))   /   SUM(OFFSET($BO$15,0,0,$B$14,1)) + $B$18/($B$19*$B$19*($DN298&lt;&gt;$DO298) + $B$19*($DN298=$DO298))</f>
        <v>3.7037037037037035E-4</v>
      </c>
      <c r="FD298" s="10" cm="1">
        <f t="array" aca="1" ref="FD298" ca="1">(1-$B$18)*SUMPRODUCT(OFFSET($BO$15,0,0,$B$14,1), 1*(_xlfn._xlws.FILTER(OFFSET($O$15,0,$DN298,$B$8,1),OFFSET($M$15,0,0,$B$8,1))=FD$13), 1*(_xlfn._xlws.FILTER(OFFSET($O$15,0,$DO298,$B$8,1),OFFSET($M$15,0,0,$B$8,1))=FD$14))   /   SUM(OFFSET($BO$15,0,0,$B$14,1)) + $B$18/($B$19*$B$19*($DN298&lt;&gt;$DO298) + $B$19*($DN298=$DO298))</f>
        <v>3.7037037037037035E-4</v>
      </c>
      <c r="FE298" s="10" cm="1">
        <f t="array" aca="1" ref="FE298" ca="1">(1-$B$18)*SUMPRODUCT(OFFSET($BO$15,0,0,$B$14,1), 1*(_xlfn._xlws.FILTER(OFFSET($O$15,0,$DN298,$B$8,1),OFFSET($M$15,0,0,$B$8,1))=FE$13), 1*(_xlfn._xlws.FILTER(OFFSET($O$15,0,$DO298,$B$8,1),OFFSET($M$15,0,0,$B$8,1))=FE$14))   /   SUM(OFFSET($BO$15,0,0,$B$14,1)) + $B$18/($B$19*$B$19*($DN298&lt;&gt;$DO298) + $B$19*($DN298=$DO298))</f>
        <v>3.7037037037037035E-4</v>
      </c>
      <c r="FF298" s="10" cm="1">
        <f t="array" aca="1" ref="FF298" ca="1">(1-$B$18)*SUMPRODUCT(OFFSET($BO$15,0,0,$B$14,1), 1*(_xlfn._xlws.FILTER(OFFSET($O$15,0,$DN298,$B$8,1),OFFSET($M$15,0,0,$B$8,1))=FF$13), 1*(_xlfn._xlws.FILTER(OFFSET($O$15,0,$DO298,$B$8,1),OFFSET($M$15,0,0,$B$8,1))=FF$14))   /   SUM(OFFSET($BO$15,0,0,$B$14,1)) + $B$18/($B$19*$B$19*($DN298&lt;&gt;$DO298) + $B$19*($DN298=$DO298))</f>
        <v>3.7037037037037035E-4</v>
      </c>
      <c r="FG298" s="10" cm="1">
        <f t="array" aca="1" ref="FG298" ca="1">(1-$B$18)*SUMPRODUCT(OFFSET($BO$15,0,0,$B$14,1), 1*(_xlfn._xlws.FILTER(OFFSET($O$15,0,$DN298,$B$8,1),OFFSET($M$15,0,0,$B$8,1))=FG$13), 1*(_xlfn._xlws.FILTER(OFFSET($O$15,0,$DO298,$B$8,1),OFFSET($M$15,0,0,$B$8,1))=FG$14))   /   SUM(OFFSET($BO$15,0,0,$B$14,1)) + $B$18/($B$19*$B$19*($DN298&lt;&gt;$DO298) + $B$19*($DN298=$DO298))</f>
        <v>3.7037037037037035E-4</v>
      </c>
      <c r="FH298" s="10" cm="1">
        <f t="array" aca="1" ref="FH298" ca="1">(1-$B$18)*SUMPRODUCT(OFFSET($BO$15,0,0,$B$14,1), 1*(_xlfn._xlws.FILTER(OFFSET($O$15,0,$DN298,$B$8,1),OFFSET($M$15,0,0,$B$8,1))=FH$13), 1*(_xlfn._xlws.FILTER(OFFSET($O$15,0,$DO298,$B$8,1),OFFSET($M$15,0,0,$B$8,1))=FH$14))   /   SUM(OFFSET($BO$15,0,0,$B$14,1)) + $B$18/($B$19*$B$19*($DN298&lt;&gt;$DO298) + $B$19*($DN298=$DO298))</f>
        <v>3.7037037037037035E-4</v>
      </c>
      <c r="FI298" s="10" cm="1">
        <f t="array" aca="1" ref="FI298" ca="1">(1-$B$18)*SUMPRODUCT(OFFSET($BO$15,0,0,$B$14,1), 1*(_xlfn._xlws.FILTER(OFFSET($O$15,0,$DN298,$B$8,1),OFFSET($M$15,0,0,$B$8,1))=FI$13), 1*(_xlfn._xlws.FILTER(OFFSET($O$15,0,$DO298,$B$8,1),OFFSET($M$15,0,0,$B$8,1))=FI$14))   /   SUM(OFFSET($BO$15,0,0,$B$14,1)) + $B$18/($B$19*$B$19*($DN298&lt;&gt;$DO298) + $B$19*($DN298=$DO298))</f>
        <v>3.7037037037037035E-4</v>
      </c>
      <c r="FJ298" s="10" cm="1">
        <f t="array" aca="1" ref="FJ298" ca="1">(1-$B$18)*SUMPRODUCT(OFFSET($BO$15,0,0,$B$14,1), 1*(_xlfn._xlws.FILTER(OFFSET($O$15,0,$DN298,$B$8,1),OFFSET($M$15,0,0,$B$8,1))=FJ$13), 1*(_xlfn._xlws.FILTER(OFFSET($O$15,0,$DO298,$B$8,1),OFFSET($M$15,0,0,$B$8,1))=FJ$14))   /   SUM(OFFSET($BO$15,0,0,$B$14,1)) + $B$18/($B$19*$B$19*($DN298&lt;&gt;$DO298) + $B$19*($DN298=$DO298))</f>
        <v>3.7037037037037035E-4</v>
      </c>
      <c r="FK298" s="10" cm="1">
        <f t="array" aca="1" ref="FK298" ca="1">(1-$B$18)*SUMPRODUCT(OFFSET($BO$15,0,0,$B$14,1), 1*(_xlfn._xlws.FILTER(OFFSET($O$15,0,$DN298,$B$8,1),OFFSET($M$15,0,0,$B$8,1))=FK$13), 1*(_xlfn._xlws.FILTER(OFFSET($O$15,0,$DO298,$B$8,1),OFFSET($M$15,0,0,$B$8,1))=FK$14))   /   SUM(OFFSET($BO$15,0,0,$B$14,1)) + $B$18/($B$19*$B$19*($DN298&lt;&gt;$DO298) + $B$19*($DN298=$DO298))</f>
        <v>3.7037037037037035E-4</v>
      </c>
      <c r="FL298" s="10" cm="1">
        <f t="array" aca="1" ref="FL298" ca="1">(1-$B$18)*SUMPRODUCT(OFFSET($BO$15,0,0,$B$14,1), 1*(_xlfn._xlws.FILTER(OFFSET($O$15,0,$DN298,$B$8,1),OFFSET($M$15,0,0,$B$8,1))=FL$13), 1*(_xlfn._xlws.FILTER(OFFSET($O$15,0,$DO298,$B$8,1),OFFSET($M$15,0,0,$B$8,1))=FL$14))   /   SUM(OFFSET($BO$15,0,0,$B$14,1)) + $B$18/($B$19*$B$19*($DN298&lt;&gt;$DO298) + $B$19*($DN298=$DO298))</f>
        <v>3.7037037037037035E-4</v>
      </c>
      <c r="FM298" s="10" cm="1">
        <f t="array" aca="1" ref="FM298" ca="1">(1-$B$18)*SUMPRODUCT(OFFSET($BO$15,0,0,$B$14,1), 1*(_xlfn._xlws.FILTER(OFFSET($O$15,0,$DN298,$B$8,1),OFFSET($M$15,0,0,$B$8,1))=FM$13), 1*(_xlfn._xlws.FILTER(OFFSET($O$15,0,$DO298,$B$8,1),OFFSET($M$15,0,0,$B$8,1))=FM$14))   /   SUM(OFFSET($BO$15,0,0,$B$14,1)) + $B$18/($B$19*$B$19*($DN298&lt;&gt;$DO298) + $B$19*($DN298=$DO298))</f>
        <v>3.7037037037037035E-4</v>
      </c>
      <c r="FN298" s="10" cm="1">
        <f t="array" aca="1" ref="FN298" ca="1">(1-$B$18)*SUMPRODUCT(OFFSET($BO$15,0,0,$B$14,1), 1*(_xlfn._xlws.FILTER(OFFSET($O$15,0,$DN298,$B$8,1),OFFSET($M$15,0,0,$B$8,1))=FN$13), 1*(_xlfn._xlws.FILTER(OFFSET($O$15,0,$DO298,$B$8,1),OFFSET($M$15,0,0,$B$8,1))=FN$14))   /   SUM(OFFSET($BO$15,0,0,$B$14,1)) + $B$18/($B$19*$B$19*($DN298&lt;&gt;$DO298) + $B$19*($DN298=$DO298))</f>
        <v>3.7037037037037035E-4</v>
      </c>
      <c r="FO298" s="10" cm="1">
        <f t="array" aca="1" ref="FO298" ca="1">(1-$B$18)*SUMPRODUCT(OFFSET($BO$15,0,0,$B$14,1), 1*(_xlfn._xlws.FILTER(OFFSET($O$15,0,$DN298,$B$8,1),OFFSET($M$15,0,0,$B$8,1))=FO$13), 1*(_xlfn._xlws.FILTER(OFFSET($O$15,0,$DO298,$B$8,1),OFFSET($M$15,0,0,$B$8,1))=FO$14))   /   SUM(OFFSET($BO$15,0,0,$B$14,1)) + $B$18/($B$19*$B$19*($DN298&lt;&gt;$DO298) + $B$19*($DN298=$DO298))</f>
        <v>3.7037037037037035E-4</v>
      </c>
      <c r="FP298" s="10" cm="1">
        <f t="array" aca="1" ref="FP298" ca="1">(1-$B$18)*SUMPRODUCT(OFFSET($BO$15,0,0,$B$14,1), 1*(_xlfn._xlws.FILTER(OFFSET($O$15,0,$DN298,$B$8,1),OFFSET($M$15,0,0,$B$8,1))=FP$13), 1*(_xlfn._xlws.FILTER(OFFSET($O$15,0,$DO298,$B$8,1),OFFSET($M$15,0,0,$B$8,1))=FP$14))   /   SUM(OFFSET($BO$15,0,0,$B$14,1)) + $B$18/($B$19*$B$19*($DN298&lt;&gt;$DO298) + $B$19*($DN298=$DO298))</f>
        <v>3.7037037037037035E-4</v>
      </c>
      <c r="FQ298" s="10" cm="1">
        <f t="array" aca="1" ref="FQ298" ca="1">(1-$B$18)*SUMPRODUCT(OFFSET($BO$15,0,0,$B$14,1), 1*(_xlfn._xlws.FILTER(OFFSET($O$15,0,$DN298,$B$8,1),OFFSET($M$15,0,0,$B$8,1))=FQ$13), 1*(_xlfn._xlws.FILTER(OFFSET($O$15,0,$DO298,$B$8,1),OFFSET($M$15,0,0,$B$8,1))=FQ$14))   /   SUM(OFFSET($BO$15,0,0,$B$14,1)) + $B$18/($B$19*$B$19*($DN298&lt;&gt;$DO298) + $B$19*($DN298=$DO298))</f>
        <v>3.7037037037037035E-4</v>
      </c>
      <c r="FR298" s="10" cm="1">
        <f t="array" aca="1" ref="FR298" ca="1">(1-$B$18)*SUMPRODUCT(OFFSET($BO$15,0,0,$B$14,1), 1*(_xlfn._xlws.FILTER(OFFSET($O$15,0,$DN298,$B$8,1),OFFSET($M$15,0,0,$B$8,1))=FR$13), 1*(_xlfn._xlws.FILTER(OFFSET($O$15,0,$DO298,$B$8,1),OFFSET($M$15,0,0,$B$8,1))=FR$14))   /   SUM(OFFSET($BO$15,0,0,$B$14,1)) + $B$18/($B$19*$B$19*($DN298&lt;&gt;$DO298) + $B$19*($DN298=$DO298))</f>
        <v>3.7037037037037035E-4</v>
      </c>
      <c r="FS298" s="10" cm="1">
        <f t="array" aca="1" ref="FS298" ca="1">(1-$B$18)*SUMPRODUCT(OFFSET($BO$15,0,0,$B$14,1), 1*(_xlfn._xlws.FILTER(OFFSET($O$15,0,$DN298,$B$8,1),OFFSET($M$15,0,0,$B$8,1))=FS$13), 1*(_xlfn._xlws.FILTER(OFFSET($O$15,0,$DO298,$B$8,1),OFFSET($M$15,0,0,$B$8,1))=FS$14))   /   SUM(OFFSET($BO$15,0,0,$B$14,1)) + $B$18/($B$19*$B$19*($DN298&lt;&gt;$DO298) + $B$19*($DN298=$DO298))</f>
        <v>3.7037037037037035E-4</v>
      </c>
      <c r="FT298" s="10" cm="1">
        <f t="array" aca="1" ref="FT298" ca="1">(1-$B$18)*SUMPRODUCT(OFFSET($BO$15,0,0,$B$14,1), 1*(_xlfn._xlws.FILTER(OFFSET($O$15,0,$DN298,$B$8,1),OFFSET($M$15,0,0,$B$8,1))=FT$13), 1*(_xlfn._xlws.FILTER(OFFSET($O$15,0,$DO298,$B$8,1),OFFSET($M$15,0,0,$B$8,1))=FT$14))   /   SUM(OFFSET($BO$15,0,0,$B$14,1)) + $B$18/($B$19*$B$19*($DN298&lt;&gt;$DO298) + $B$19*($DN298=$DO298))</f>
        <v>3.7037037037037035E-4</v>
      </c>
      <c r="FU298" s="10" cm="1">
        <f t="array" aca="1" ref="FU298" ca="1">(1-$B$18)*SUMPRODUCT(OFFSET($BO$15,0,0,$B$14,1), 1*(_xlfn._xlws.FILTER(OFFSET($O$15,0,$DN298,$B$8,1),OFFSET($M$15,0,0,$B$8,1))=FU$13), 1*(_xlfn._xlws.FILTER(OFFSET($O$15,0,$DO298,$B$8,1),OFFSET($M$15,0,0,$B$8,1))=FU$14))   /   SUM(OFFSET($BO$15,0,0,$B$14,1)) + $B$18/($B$19*$B$19*($DN298&lt;&gt;$DO298) + $B$19*($DN298=$DO298))</f>
        <v>3.7037037037037035E-4</v>
      </c>
      <c r="FV298" s="10" cm="1">
        <f t="array" aca="1" ref="FV298" ca="1">(1-$B$18)*SUMPRODUCT(OFFSET($BO$15,0,0,$B$14,1), 1*(_xlfn._xlws.FILTER(OFFSET($O$15,0,$DN298,$B$8,1),OFFSET($M$15,0,0,$B$8,1))=FV$13), 1*(_xlfn._xlws.FILTER(OFFSET($O$15,0,$DO298,$B$8,1),OFFSET($M$15,0,0,$B$8,1))=FV$14))   /   SUM(OFFSET($BO$15,0,0,$B$14,1)) + $B$18/($B$19*$B$19*($DN298&lt;&gt;$DO298) + $B$19*($DN298=$DO298))</f>
        <v>3.7037037037037035E-4</v>
      </c>
      <c r="FW298" s="10" cm="1">
        <f t="array" aca="1" ref="FW298" ca="1">(1-$B$18)*SUMPRODUCT(OFFSET($BO$15,0,0,$B$14,1), 1*(_xlfn._xlws.FILTER(OFFSET($O$15,0,$DN298,$B$8,1),OFFSET($M$15,0,0,$B$8,1))=FW$13), 1*(_xlfn._xlws.FILTER(OFFSET($O$15,0,$DO298,$B$8,1),OFFSET($M$15,0,0,$B$8,1))=FW$14))   /   SUM(OFFSET($BO$15,0,0,$B$14,1)) + $B$18/($B$19*$B$19*($DN298&lt;&gt;$DO298) + $B$19*($DN298=$DO298))</f>
        <v>3.7037037037037035E-4</v>
      </c>
      <c r="FX298" s="10" cm="1">
        <f t="array" aca="1" ref="FX298" ca="1">(1-$B$18)*SUMPRODUCT(OFFSET($BO$15,0,0,$B$14,1), 1*(_xlfn._xlws.FILTER(OFFSET($O$15,0,$DN298,$B$8,1),OFFSET($M$15,0,0,$B$8,1))=FX$13), 1*(_xlfn._xlws.FILTER(OFFSET($O$15,0,$DO298,$B$8,1),OFFSET($M$15,0,0,$B$8,1))=FX$14))   /   SUM(OFFSET($BO$15,0,0,$B$14,1)) + $B$18/($B$19*$B$19*($DN298&lt;&gt;$DO298) + $B$19*($DN298=$DO298))</f>
        <v>3.7037037037037035E-4</v>
      </c>
      <c r="FY298" s="10" cm="1">
        <f t="array" aca="1" ref="FY298" ca="1">(1-$B$18)*SUMPRODUCT(OFFSET($BO$15,0,0,$B$14,1), 1*(_xlfn._xlws.FILTER(OFFSET($O$15,0,$DN298,$B$8,1),OFFSET($M$15,0,0,$B$8,1))=FY$13), 1*(_xlfn._xlws.FILTER(OFFSET($O$15,0,$DO298,$B$8,1),OFFSET($M$15,0,0,$B$8,1))=FY$14))   /   SUM(OFFSET($BO$15,0,0,$B$14,1)) + $B$18/($B$19*$B$19*($DN298&lt;&gt;$DO298) + $B$19*($DN298=$DO298))</f>
        <v>3.7037037037037035E-4</v>
      </c>
      <c r="FZ298" s="10" cm="1">
        <f t="array" aca="1" ref="FZ298" ca="1">(1-$B$18)*SUMPRODUCT(OFFSET($BO$15,0,0,$B$14,1), 1*(_xlfn._xlws.FILTER(OFFSET($O$15,0,$DN298,$B$8,1),OFFSET($M$15,0,0,$B$8,1))=FZ$13), 1*(_xlfn._xlws.FILTER(OFFSET($O$15,0,$DO298,$B$8,1),OFFSET($M$15,0,0,$B$8,1))=FZ$14))   /   SUM(OFFSET($BO$15,0,0,$B$14,1)) + $B$18/($B$19*$B$19*($DN298&lt;&gt;$DO298) + $B$19*($DN298=$DO298))</f>
        <v>3.7037037037037035E-4</v>
      </c>
      <c r="GA298" s="10" cm="1">
        <f t="array" aca="1" ref="GA298" ca="1">(1-$B$18)*SUMPRODUCT(OFFSET($BO$15,0,0,$B$14,1), 1*(_xlfn._xlws.FILTER(OFFSET($O$15,0,$DN298,$B$8,1),OFFSET($M$15,0,0,$B$8,1))=GA$13), 1*(_xlfn._xlws.FILTER(OFFSET($O$15,0,$DO298,$B$8,1),OFFSET($M$15,0,0,$B$8,1))=GA$14))   /   SUM(OFFSET($BO$15,0,0,$B$14,1)) + $B$18/($B$19*$B$19*($DN298&lt;&gt;$DO298) + $B$19*($DN298=$DO298))</f>
        <v>3.7037037037037035E-4</v>
      </c>
    </row>
    <row r="299" spans="118:183" x14ac:dyDescent="0.2">
      <c r="DN299" cm="1">
        <f t="array" aca="1" ref="DN299" ca="1">INDEX(_xlfn.ANCHORARRAY($CP$15), 1 + INT((ROWS($DO$15:$DO299) - 1) / ROWS(_xlfn.ANCHORARRAY($CP$15))))</f>
        <v>15</v>
      </c>
      <c r="DO299" cm="1">
        <f t="array" aca="1" ref="DO299" ca="1">INDEX(_xlfn.ANCHORARRAY($CP$15),1+MOD(ROWS($DO$15:$DO299)-1,ROWS(_xlfn.ANCHORARRAY($CP$15))))</f>
        <v>21</v>
      </c>
      <c r="DP299" s="10" cm="1">
        <f t="array" aca="1" ref="DP299" ca="1">(1-$B$18)*SUMPRODUCT(OFFSET($BO$15,0,0,$B$14,1), 1*(_xlfn._xlws.FILTER(OFFSET($O$15,0,$DN299,$B$8,1),OFFSET($M$15,0,0,$B$8,1))=DP$13), 1*(_xlfn._xlws.FILTER(OFFSET($O$15,0,$DO299,$B$8,1),OFFSET($M$15,0,0,$B$8,1))=DP$14))   /   SUM(OFFSET($BO$15,0,0,$B$14,1)) + $B$18/($B$19*$B$19*($DN299&lt;&gt;$DO299) + $B$19*($DN299=$DO299))</f>
        <v>3.7037037037037035E-4</v>
      </c>
      <c r="DQ299" s="10" cm="1">
        <f t="array" aca="1" ref="DQ299" ca="1">(1-$B$18)*SUMPRODUCT(OFFSET($BO$15,0,0,$B$14,1), 1*(_xlfn._xlws.FILTER(OFFSET($O$15,0,$DN299,$B$8,1),OFFSET($M$15,0,0,$B$8,1))=DQ$13), 1*(_xlfn._xlws.FILTER(OFFSET($O$15,0,$DO299,$B$8,1),OFFSET($M$15,0,0,$B$8,1))=DQ$14))   /   SUM(OFFSET($BO$15,0,0,$B$14,1)) + $B$18/($B$19*$B$19*($DN299&lt;&gt;$DO299) + $B$19*($DN299=$DO299))</f>
        <v>3.7037037037037035E-4</v>
      </c>
      <c r="DR299" s="10" cm="1">
        <f t="array" aca="1" ref="DR299" ca="1">(1-$B$18)*SUMPRODUCT(OFFSET($BO$15,0,0,$B$14,1), 1*(_xlfn._xlws.FILTER(OFFSET($O$15,0,$DN299,$B$8,1),OFFSET($M$15,0,0,$B$8,1))=DR$13), 1*(_xlfn._xlws.FILTER(OFFSET($O$15,0,$DO299,$B$8,1),OFFSET($M$15,0,0,$B$8,1))=DR$14))   /   SUM(OFFSET($BO$15,0,0,$B$14,1)) + $B$18/($B$19*$B$19*($DN299&lt;&gt;$DO299) + $B$19*($DN299=$DO299))</f>
        <v>3.7037037037037035E-4</v>
      </c>
      <c r="DS299" s="10" cm="1">
        <f t="array" aca="1" ref="DS299" ca="1">(1-$B$18)*SUMPRODUCT(OFFSET($BO$15,0,0,$B$14,1), 1*(_xlfn._xlws.FILTER(OFFSET($O$15,0,$DN299,$B$8,1),OFFSET($M$15,0,0,$B$8,1))=DS$13), 1*(_xlfn._xlws.FILTER(OFFSET($O$15,0,$DO299,$B$8,1),OFFSET($M$15,0,0,$B$8,1))=DS$14))   /   SUM(OFFSET($BO$15,0,0,$B$14,1)) + $B$18/($B$19*$B$19*($DN299&lt;&gt;$DO299) + $B$19*($DN299=$DO299))</f>
        <v>3.7037037037037035E-4</v>
      </c>
      <c r="DT299" s="10" cm="1">
        <f t="array" aca="1" ref="DT299" ca="1">(1-$B$18)*SUMPRODUCT(OFFSET($BO$15,0,0,$B$14,1), 1*(_xlfn._xlws.FILTER(OFFSET($O$15,0,$DN299,$B$8,1),OFFSET($M$15,0,0,$B$8,1))=DT$13), 1*(_xlfn._xlws.FILTER(OFFSET($O$15,0,$DO299,$B$8,1),OFFSET($M$15,0,0,$B$8,1))=DT$14))   /   SUM(OFFSET($BO$15,0,0,$B$14,1)) + $B$18/($B$19*$B$19*($DN299&lt;&gt;$DO299) + $B$19*($DN299=$DO299))</f>
        <v>3.7037037037037035E-4</v>
      </c>
      <c r="DU299" s="10" cm="1">
        <f t="array" aca="1" ref="DU299" ca="1">(1-$B$18)*SUMPRODUCT(OFFSET($BO$15,0,0,$B$14,1), 1*(_xlfn._xlws.FILTER(OFFSET($O$15,0,$DN299,$B$8,1),OFFSET($M$15,0,0,$B$8,1))=DU$13), 1*(_xlfn._xlws.FILTER(OFFSET($O$15,0,$DO299,$B$8,1),OFFSET($M$15,0,0,$B$8,1))=DU$14))   /   SUM(OFFSET($BO$15,0,0,$B$14,1)) + $B$18/($B$19*$B$19*($DN299&lt;&gt;$DO299) + $B$19*($DN299=$DO299))</f>
        <v>3.7037037037037035E-4</v>
      </c>
      <c r="DV299" s="10" cm="1">
        <f t="array" aca="1" ref="DV299" ca="1">(1-$B$18)*SUMPRODUCT(OFFSET($BO$15,0,0,$B$14,1), 1*(_xlfn._xlws.FILTER(OFFSET($O$15,0,$DN299,$B$8,1),OFFSET($M$15,0,0,$B$8,1))=DV$13), 1*(_xlfn._xlws.FILTER(OFFSET($O$15,0,$DO299,$B$8,1),OFFSET($M$15,0,0,$B$8,1))=DV$14))   /   SUM(OFFSET($BO$15,0,0,$B$14,1)) + $B$18/($B$19*$B$19*($DN299&lt;&gt;$DO299) + $B$19*($DN299=$DO299))</f>
        <v>3.7037037037037035E-4</v>
      </c>
      <c r="DW299" s="10" cm="1">
        <f t="array" aca="1" ref="DW299" ca="1">(1-$B$18)*SUMPRODUCT(OFFSET($BO$15,0,0,$B$14,1), 1*(_xlfn._xlws.FILTER(OFFSET($O$15,0,$DN299,$B$8,1),OFFSET($M$15,0,0,$B$8,1))=DW$13), 1*(_xlfn._xlws.FILTER(OFFSET($O$15,0,$DO299,$B$8,1),OFFSET($M$15,0,0,$B$8,1))=DW$14))   /   SUM(OFFSET($BO$15,0,0,$B$14,1)) + $B$18/($B$19*$B$19*($DN299&lt;&gt;$DO299) + $B$19*($DN299=$DO299))</f>
        <v>3.7037037037037035E-4</v>
      </c>
      <c r="DX299" s="10" cm="1">
        <f t="array" aca="1" ref="DX299" ca="1">(1-$B$18)*SUMPRODUCT(OFFSET($BO$15,0,0,$B$14,1), 1*(_xlfn._xlws.FILTER(OFFSET($O$15,0,$DN299,$B$8,1),OFFSET($M$15,0,0,$B$8,1))=DX$13), 1*(_xlfn._xlws.FILTER(OFFSET($O$15,0,$DO299,$B$8,1),OFFSET($M$15,0,0,$B$8,1))=DX$14))   /   SUM(OFFSET($BO$15,0,0,$B$14,1)) + $B$18/($B$19*$B$19*($DN299&lt;&gt;$DO299) + $B$19*($DN299=$DO299))</f>
        <v>3.7037037037037035E-4</v>
      </c>
      <c r="DY299" s="10" cm="1">
        <f t="array" aca="1" ref="DY299" ca="1">(1-$B$18)*SUMPRODUCT(OFFSET($BO$15,0,0,$B$14,1), 1*(_xlfn._xlws.FILTER(OFFSET($O$15,0,$DN299,$B$8,1),OFFSET($M$15,0,0,$B$8,1))=DY$13), 1*(_xlfn._xlws.FILTER(OFFSET($O$15,0,$DO299,$B$8,1),OFFSET($M$15,0,0,$B$8,1))=DY$14))   /   SUM(OFFSET($BO$15,0,0,$B$14,1)) + $B$18/($B$19*$B$19*($DN299&lt;&gt;$DO299) + $B$19*($DN299=$DO299))</f>
        <v>3.7037037037037035E-4</v>
      </c>
      <c r="DZ299" s="10" cm="1">
        <f t="array" aca="1" ref="DZ299" ca="1">(1-$B$18)*SUMPRODUCT(OFFSET($BO$15,0,0,$B$14,1), 1*(_xlfn._xlws.FILTER(OFFSET($O$15,0,$DN299,$B$8,1),OFFSET($M$15,0,0,$B$8,1))=DZ$13), 1*(_xlfn._xlws.FILTER(OFFSET($O$15,0,$DO299,$B$8,1),OFFSET($M$15,0,0,$B$8,1))=DZ$14))   /   SUM(OFFSET($BO$15,0,0,$B$14,1)) + $B$18/($B$19*$B$19*($DN299&lt;&gt;$DO299) + $B$19*($DN299=$DO299))</f>
        <v>3.7037037037037035E-4</v>
      </c>
      <c r="EA299" s="10" cm="1">
        <f t="array" aca="1" ref="EA299" ca="1">(1-$B$18)*SUMPRODUCT(OFFSET($BO$15,0,0,$B$14,1), 1*(_xlfn._xlws.FILTER(OFFSET($O$15,0,$DN299,$B$8,1),OFFSET($M$15,0,0,$B$8,1))=EA$13), 1*(_xlfn._xlws.FILTER(OFFSET($O$15,0,$DO299,$B$8,1),OFFSET($M$15,0,0,$B$8,1))=EA$14))   /   SUM(OFFSET($BO$15,0,0,$B$14,1)) + $B$18/($B$19*$B$19*($DN299&lt;&gt;$DO299) + $B$19*($DN299=$DO299))</f>
        <v>3.7037037037037035E-4</v>
      </c>
      <c r="EB299" s="10" cm="1">
        <f t="array" aca="1" ref="EB299" ca="1">(1-$B$18)*SUMPRODUCT(OFFSET($BO$15,0,0,$B$14,1), 1*(_xlfn._xlws.FILTER(OFFSET($O$15,0,$DN299,$B$8,1),OFFSET($M$15,0,0,$B$8,1))=EB$13), 1*(_xlfn._xlws.FILTER(OFFSET($O$15,0,$DO299,$B$8,1),OFFSET($M$15,0,0,$B$8,1))=EB$14))   /   SUM(OFFSET($BO$15,0,0,$B$14,1)) + $B$18/($B$19*$B$19*($DN299&lt;&gt;$DO299) + $B$19*($DN299=$DO299))</f>
        <v>3.7037037037037035E-4</v>
      </c>
      <c r="EC299" s="10" cm="1">
        <f t="array" aca="1" ref="EC299" ca="1">(1-$B$18)*SUMPRODUCT(OFFSET($BO$15,0,0,$B$14,1), 1*(_xlfn._xlws.FILTER(OFFSET($O$15,0,$DN299,$B$8,1),OFFSET($M$15,0,0,$B$8,1))=EC$13), 1*(_xlfn._xlws.FILTER(OFFSET($O$15,0,$DO299,$B$8,1),OFFSET($M$15,0,0,$B$8,1))=EC$14))   /   SUM(OFFSET($BO$15,0,0,$B$14,1)) + $B$18/($B$19*$B$19*($DN299&lt;&gt;$DO299) + $B$19*($DN299=$DO299))</f>
        <v>3.7037037037037035E-4</v>
      </c>
      <c r="ED299" s="10" cm="1">
        <f t="array" aca="1" ref="ED299" ca="1">(1-$B$18)*SUMPRODUCT(OFFSET($BO$15,0,0,$B$14,1), 1*(_xlfn._xlws.FILTER(OFFSET($O$15,0,$DN299,$B$8,1),OFFSET($M$15,0,0,$B$8,1))=ED$13), 1*(_xlfn._xlws.FILTER(OFFSET($O$15,0,$DO299,$B$8,1),OFFSET($M$15,0,0,$B$8,1))=ED$14))   /   SUM(OFFSET($BO$15,0,0,$B$14,1)) + $B$18/($B$19*$B$19*($DN299&lt;&gt;$DO299) + $B$19*($DN299=$DO299))</f>
        <v>3.7037037037037035E-4</v>
      </c>
      <c r="EE299" s="10" cm="1">
        <f t="array" aca="1" ref="EE299" ca="1">(1-$B$18)*SUMPRODUCT(OFFSET($BO$15,0,0,$B$14,1), 1*(_xlfn._xlws.FILTER(OFFSET($O$15,0,$DN299,$B$8,1),OFFSET($M$15,0,0,$B$8,1))=EE$13), 1*(_xlfn._xlws.FILTER(OFFSET($O$15,0,$DO299,$B$8,1),OFFSET($M$15,0,0,$B$8,1))=EE$14))   /   SUM(OFFSET($BO$15,0,0,$B$14,1)) + $B$18/($B$19*$B$19*($DN299&lt;&gt;$DO299) + $B$19*($DN299=$DO299))</f>
        <v>3.7037037037037035E-4</v>
      </c>
      <c r="EF299" s="10" cm="1">
        <f t="array" aca="1" ref="EF299" ca="1">(1-$B$18)*SUMPRODUCT(OFFSET($BO$15,0,0,$B$14,1), 1*(_xlfn._xlws.FILTER(OFFSET($O$15,0,$DN299,$B$8,1),OFFSET($M$15,0,0,$B$8,1))=EF$13), 1*(_xlfn._xlws.FILTER(OFFSET($O$15,0,$DO299,$B$8,1),OFFSET($M$15,0,0,$B$8,1))=EF$14))   /   SUM(OFFSET($BO$15,0,0,$B$14,1)) + $B$18/($B$19*$B$19*($DN299&lt;&gt;$DO299) + $B$19*($DN299=$DO299))</f>
        <v>3.7037037037037035E-4</v>
      </c>
      <c r="EG299" s="10" cm="1">
        <f t="array" aca="1" ref="EG299" ca="1">(1-$B$18)*SUMPRODUCT(OFFSET($BO$15,0,0,$B$14,1), 1*(_xlfn._xlws.FILTER(OFFSET($O$15,0,$DN299,$B$8,1),OFFSET($M$15,0,0,$B$8,1))=EG$13), 1*(_xlfn._xlws.FILTER(OFFSET($O$15,0,$DO299,$B$8,1),OFFSET($M$15,0,0,$B$8,1))=EG$14))   /   SUM(OFFSET($BO$15,0,0,$B$14,1)) + $B$18/($B$19*$B$19*($DN299&lt;&gt;$DO299) + $B$19*($DN299=$DO299))</f>
        <v>3.7037037037037035E-4</v>
      </c>
      <c r="EH299" s="10" cm="1">
        <f t="array" aca="1" ref="EH299" ca="1">(1-$B$18)*SUMPRODUCT(OFFSET($BO$15,0,0,$B$14,1), 1*(_xlfn._xlws.FILTER(OFFSET($O$15,0,$DN299,$B$8,1),OFFSET($M$15,0,0,$B$8,1))=EH$13), 1*(_xlfn._xlws.FILTER(OFFSET($O$15,0,$DO299,$B$8,1),OFFSET($M$15,0,0,$B$8,1))=EH$14))   /   SUM(OFFSET($BO$15,0,0,$B$14,1)) + $B$18/($B$19*$B$19*($DN299&lt;&gt;$DO299) + $B$19*($DN299=$DO299))</f>
        <v>3.7037037037037035E-4</v>
      </c>
      <c r="EI299" s="10" cm="1">
        <f t="array" aca="1" ref="EI299" ca="1">(1-$B$18)*SUMPRODUCT(OFFSET($BO$15,0,0,$B$14,1), 1*(_xlfn._xlws.FILTER(OFFSET($O$15,0,$DN299,$B$8,1),OFFSET($M$15,0,0,$B$8,1))=EI$13), 1*(_xlfn._xlws.FILTER(OFFSET($O$15,0,$DO299,$B$8,1),OFFSET($M$15,0,0,$B$8,1))=EI$14))   /   SUM(OFFSET($BO$15,0,0,$B$14,1)) + $B$18/($B$19*$B$19*($DN299&lt;&gt;$DO299) + $B$19*($DN299=$DO299))</f>
        <v>3.7037037037037035E-4</v>
      </c>
      <c r="EJ299" s="10" cm="1">
        <f t="array" aca="1" ref="EJ299" ca="1">(1-$B$18)*SUMPRODUCT(OFFSET($BO$15,0,0,$B$14,1), 1*(_xlfn._xlws.FILTER(OFFSET($O$15,0,$DN299,$B$8,1),OFFSET($M$15,0,0,$B$8,1))=EJ$13), 1*(_xlfn._xlws.FILTER(OFFSET($O$15,0,$DO299,$B$8,1),OFFSET($M$15,0,0,$B$8,1))=EJ$14))   /   SUM(OFFSET($BO$15,0,0,$B$14,1)) + $B$18/($B$19*$B$19*($DN299&lt;&gt;$DO299) + $B$19*($DN299=$DO299))</f>
        <v>0.24287037037037024</v>
      </c>
      <c r="EK299" s="10" cm="1">
        <f t="array" aca="1" ref="EK299" ca="1">(1-$B$18)*SUMPRODUCT(OFFSET($BO$15,0,0,$B$14,1), 1*(_xlfn._xlws.FILTER(OFFSET($O$15,0,$DN299,$B$8,1),OFFSET($M$15,0,0,$B$8,1))=EK$13), 1*(_xlfn._xlws.FILTER(OFFSET($O$15,0,$DO299,$B$8,1),OFFSET($M$15,0,0,$B$8,1))=EK$14))   /   SUM(OFFSET($BO$15,0,0,$B$14,1)) + $B$18/($B$19*$B$19*($DN299&lt;&gt;$DO299) + $B$19*($DN299=$DO299))</f>
        <v>0.48537037037037012</v>
      </c>
      <c r="EL299" s="10" cm="1">
        <f t="array" aca="1" ref="EL299" ca="1">(1-$B$18)*SUMPRODUCT(OFFSET($BO$15,0,0,$B$14,1), 1*(_xlfn._xlws.FILTER(OFFSET($O$15,0,$DN299,$B$8,1),OFFSET($M$15,0,0,$B$8,1))=EL$13), 1*(_xlfn._xlws.FILTER(OFFSET($O$15,0,$DO299,$B$8,1),OFFSET($M$15,0,0,$B$8,1))=EL$14))   /   SUM(OFFSET($BO$15,0,0,$B$14,1)) + $B$18/($B$19*$B$19*($DN299&lt;&gt;$DO299) + $B$19*($DN299=$DO299))</f>
        <v>0.24287037037037026</v>
      </c>
      <c r="EM299" s="10" cm="1">
        <f t="array" aca="1" ref="EM299" ca="1">(1-$B$18)*SUMPRODUCT(OFFSET($BO$15,0,0,$B$14,1), 1*(_xlfn._xlws.FILTER(OFFSET($O$15,0,$DN299,$B$8,1),OFFSET($M$15,0,0,$B$8,1))=EM$13), 1*(_xlfn._xlws.FILTER(OFFSET($O$15,0,$DO299,$B$8,1),OFFSET($M$15,0,0,$B$8,1))=EM$14))   /   SUM(OFFSET($BO$15,0,0,$B$14,1)) + $B$18/($B$19*$B$19*($DN299&lt;&gt;$DO299) + $B$19*($DN299=$DO299))</f>
        <v>3.7037037037037035E-4</v>
      </c>
      <c r="EN299" s="10" cm="1">
        <f t="array" aca="1" ref="EN299" ca="1">(1-$B$18)*SUMPRODUCT(OFFSET($BO$15,0,0,$B$14,1), 1*(_xlfn._xlws.FILTER(OFFSET($O$15,0,$DN299,$B$8,1),OFFSET($M$15,0,0,$B$8,1))=EN$13), 1*(_xlfn._xlws.FILTER(OFFSET($O$15,0,$DO299,$B$8,1),OFFSET($M$15,0,0,$B$8,1))=EN$14))   /   SUM(OFFSET($BO$15,0,0,$B$14,1)) + $B$18/($B$19*$B$19*($DN299&lt;&gt;$DO299) + $B$19*($DN299=$DO299))</f>
        <v>3.7037037037037035E-4</v>
      </c>
      <c r="EO299" s="10" cm="1">
        <f t="array" aca="1" ref="EO299" ca="1">(1-$B$18)*SUMPRODUCT(OFFSET($BO$15,0,0,$B$14,1), 1*(_xlfn._xlws.FILTER(OFFSET($O$15,0,$DN299,$B$8,1),OFFSET($M$15,0,0,$B$8,1))=EO$13), 1*(_xlfn._xlws.FILTER(OFFSET($O$15,0,$DO299,$B$8,1),OFFSET($M$15,0,0,$B$8,1))=EO$14))   /   SUM(OFFSET($BO$15,0,0,$B$14,1)) + $B$18/($B$19*$B$19*($DN299&lt;&gt;$DO299) + $B$19*($DN299=$DO299))</f>
        <v>3.7037037037037035E-4</v>
      </c>
      <c r="EP299" s="10" cm="1">
        <f t="array" aca="1" ref="EP299" ca="1">(1-$B$18)*SUMPRODUCT(OFFSET($BO$15,0,0,$B$14,1), 1*(_xlfn._xlws.FILTER(OFFSET($O$15,0,$DN299,$B$8,1),OFFSET($M$15,0,0,$B$8,1))=EP$13), 1*(_xlfn._xlws.FILTER(OFFSET($O$15,0,$DO299,$B$8,1),OFFSET($M$15,0,0,$B$8,1))=EP$14))   /   SUM(OFFSET($BO$15,0,0,$B$14,1)) + $B$18/($B$19*$B$19*($DN299&lt;&gt;$DO299) + $B$19*($DN299=$DO299))</f>
        <v>3.7037037037037035E-4</v>
      </c>
      <c r="EQ299" s="10" cm="1">
        <f t="array" aca="1" ref="EQ299" ca="1">(1-$B$18)*SUMPRODUCT(OFFSET($BO$15,0,0,$B$14,1), 1*(_xlfn._xlws.FILTER(OFFSET($O$15,0,$DN299,$B$8,1),OFFSET($M$15,0,0,$B$8,1))=EQ$13), 1*(_xlfn._xlws.FILTER(OFFSET($O$15,0,$DO299,$B$8,1),OFFSET($M$15,0,0,$B$8,1))=EQ$14))   /   SUM(OFFSET($BO$15,0,0,$B$14,1)) + $B$18/($B$19*$B$19*($DN299&lt;&gt;$DO299) + $B$19*($DN299=$DO299))</f>
        <v>3.7037037037037035E-4</v>
      </c>
      <c r="ER299" s="10" cm="1">
        <f t="array" aca="1" ref="ER299" ca="1">(1-$B$18)*SUMPRODUCT(OFFSET($BO$15,0,0,$B$14,1), 1*(_xlfn._xlws.FILTER(OFFSET($O$15,0,$DN299,$B$8,1),OFFSET($M$15,0,0,$B$8,1))=ER$13), 1*(_xlfn._xlws.FILTER(OFFSET($O$15,0,$DO299,$B$8,1),OFFSET($M$15,0,0,$B$8,1))=ER$14))   /   SUM(OFFSET($BO$15,0,0,$B$14,1)) + $B$18/($B$19*$B$19*($DN299&lt;&gt;$DO299) + $B$19*($DN299=$DO299))</f>
        <v>3.7037037037037035E-4</v>
      </c>
      <c r="ES299" s="10" cm="1">
        <f t="array" aca="1" ref="ES299" ca="1">(1-$B$18)*SUMPRODUCT(OFFSET($BO$15,0,0,$B$14,1), 1*(_xlfn._xlws.FILTER(OFFSET($O$15,0,$DN299,$B$8,1),OFFSET($M$15,0,0,$B$8,1))=ES$13), 1*(_xlfn._xlws.FILTER(OFFSET($O$15,0,$DO299,$B$8,1),OFFSET($M$15,0,0,$B$8,1))=ES$14))   /   SUM(OFFSET($BO$15,0,0,$B$14,1)) + $B$18/($B$19*$B$19*($DN299&lt;&gt;$DO299) + $B$19*($DN299=$DO299))</f>
        <v>3.7037037037037035E-4</v>
      </c>
      <c r="ET299" s="10" cm="1">
        <f t="array" aca="1" ref="ET299" ca="1">(1-$B$18)*SUMPRODUCT(OFFSET($BO$15,0,0,$B$14,1), 1*(_xlfn._xlws.FILTER(OFFSET($O$15,0,$DN299,$B$8,1),OFFSET($M$15,0,0,$B$8,1))=ET$13), 1*(_xlfn._xlws.FILTER(OFFSET($O$15,0,$DO299,$B$8,1),OFFSET($M$15,0,0,$B$8,1))=ET$14))   /   SUM(OFFSET($BO$15,0,0,$B$14,1)) + $B$18/($B$19*$B$19*($DN299&lt;&gt;$DO299) + $B$19*($DN299=$DO299))</f>
        <v>3.7037037037037035E-4</v>
      </c>
      <c r="EU299" s="10" cm="1">
        <f t="array" aca="1" ref="EU299" ca="1">(1-$B$18)*SUMPRODUCT(OFFSET($BO$15,0,0,$B$14,1), 1*(_xlfn._xlws.FILTER(OFFSET($O$15,0,$DN299,$B$8,1),OFFSET($M$15,0,0,$B$8,1))=EU$13), 1*(_xlfn._xlws.FILTER(OFFSET($O$15,0,$DO299,$B$8,1),OFFSET($M$15,0,0,$B$8,1))=EU$14))   /   SUM(OFFSET($BO$15,0,0,$B$14,1)) + $B$18/($B$19*$B$19*($DN299&lt;&gt;$DO299) + $B$19*($DN299=$DO299))</f>
        <v>3.7037037037037035E-4</v>
      </c>
      <c r="EV299" s="10" cm="1">
        <f t="array" aca="1" ref="EV299" ca="1">(1-$B$18)*SUMPRODUCT(OFFSET($BO$15,0,0,$B$14,1), 1*(_xlfn._xlws.FILTER(OFFSET($O$15,0,$DN299,$B$8,1),OFFSET($M$15,0,0,$B$8,1))=EV$13), 1*(_xlfn._xlws.FILTER(OFFSET($O$15,0,$DO299,$B$8,1),OFFSET($M$15,0,0,$B$8,1))=EV$14))   /   SUM(OFFSET($BO$15,0,0,$B$14,1)) + $B$18/($B$19*$B$19*($DN299&lt;&gt;$DO299) + $B$19*($DN299=$DO299))</f>
        <v>3.7037037037037035E-4</v>
      </c>
      <c r="EW299" s="10" cm="1">
        <f t="array" aca="1" ref="EW299" ca="1">(1-$B$18)*SUMPRODUCT(OFFSET($BO$15,0,0,$B$14,1), 1*(_xlfn._xlws.FILTER(OFFSET($O$15,0,$DN299,$B$8,1),OFFSET($M$15,0,0,$B$8,1))=EW$13), 1*(_xlfn._xlws.FILTER(OFFSET($O$15,0,$DO299,$B$8,1),OFFSET($M$15,0,0,$B$8,1))=EW$14))   /   SUM(OFFSET($BO$15,0,0,$B$14,1)) + $B$18/($B$19*$B$19*($DN299&lt;&gt;$DO299) + $B$19*($DN299=$DO299))</f>
        <v>3.7037037037037035E-4</v>
      </c>
      <c r="EX299" s="10" cm="1">
        <f t="array" aca="1" ref="EX299" ca="1">(1-$B$18)*SUMPRODUCT(OFFSET($BO$15,0,0,$B$14,1), 1*(_xlfn._xlws.FILTER(OFFSET($O$15,0,$DN299,$B$8,1),OFFSET($M$15,0,0,$B$8,1))=EX$13), 1*(_xlfn._xlws.FILTER(OFFSET($O$15,0,$DO299,$B$8,1),OFFSET($M$15,0,0,$B$8,1))=EX$14))   /   SUM(OFFSET($BO$15,0,0,$B$14,1)) + $B$18/($B$19*$B$19*($DN299&lt;&gt;$DO299) + $B$19*($DN299=$DO299))</f>
        <v>3.7037037037037035E-4</v>
      </c>
      <c r="EY299" s="10" cm="1">
        <f t="array" aca="1" ref="EY299" ca="1">(1-$B$18)*SUMPRODUCT(OFFSET($BO$15,0,0,$B$14,1), 1*(_xlfn._xlws.FILTER(OFFSET($O$15,0,$DN299,$B$8,1),OFFSET($M$15,0,0,$B$8,1))=EY$13), 1*(_xlfn._xlws.FILTER(OFFSET($O$15,0,$DO299,$B$8,1),OFFSET($M$15,0,0,$B$8,1))=EY$14))   /   SUM(OFFSET($BO$15,0,0,$B$14,1)) + $B$18/($B$19*$B$19*($DN299&lt;&gt;$DO299) + $B$19*($DN299=$DO299))</f>
        <v>3.7037037037037035E-4</v>
      </c>
      <c r="EZ299" s="10" cm="1">
        <f t="array" aca="1" ref="EZ299" ca="1">(1-$B$18)*SUMPRODUCT(OFFSET($BO$15,0,0,$B$14,1), 1*(_xlfn._xlws.FILTER(OFFSET($O$15,0,$DN299,$B$8,1),OFFSET($M$15,0,0,$B$8,1))=EZ$13), 1*(_xlfn._xlws.FILTER(OFFSET($O$15,0,$DO299,$B$8,1),OFFSET($M$15,0,0,$B$8,1))=EZ$14))   /   SUM(OFFSET($BO$15,0,0,$B$14,1)) + $B$18/($B$19*$B$19*($DN299&lt;&gt;$DO299) + $B$19*($DN299=$DO299))</f>
        <v>3.7037037037037035E-4</v>
      </c>
      <c r="FA299" s="10" cm="1">
        <f t="array" aca="1" ref="FA299" ca="1">(1-$B$18)*SUMPRODUCT(OFFSET($BO$15,0,0,$B$14,1), 1*(_xlfn._xlws.FILTER(OFFSET($O$15,0,$DN299,$B$8,1),OFFSET($M$15,0,0,$B$8,1))=FA$13), 1*(_xlfn._xlws.FILTER(OFFSET($O$15,0,$DO299,$B$8,1),OFFSET($M$15,0,0,$B$8,1))=FA$14))   /   SUM(OFFSET($BO$15,0,0,$B$14,1)) + $B$18/($B$19*$B$19*($DN299&lt;&gt;$DO299) + $B$19*($DN299=$DO299))</f>
        <v>3.7037037037037035E-4</v>
      </c>
      <c r="FB299" s="10" cm="1">
        <f t="array" aca="1" ref="FB299" ca="1">(1-$B$18)*SUMPRODUCT(OFFSET($BO$15,0,0,$B$14,1), 1*(_xlfn._xlws.FILTER(OFFSET($O$15,0,$DN299,$B$8,1),OFFSET($M$15,0,0,$B$8,1))=FB$13), 1*(_xlfn._xlws.FILTER(OFFSET($O$15,0,$DO299,$B$8,1),OFFSET($M$15,0,0,$B$8,1))=FB$14))   /   SUM(OFFSET($BO$15,0,0,$B$14,1)) + $B$18/($B$19*$B$19*($DN299&lt;&gt;$DO299) + $B$19*($DN299=$DO299))</f>
        <v>3.7037037037037035E-4</v>
      </c>
      <c r="FC299" s="10" cm="1">
        <f t="array" aca="1" ref="FC299" ca="1">(1-$B$18)*SUMPRODUCT(OFFSET($BO$15,0,0,$B$14,1), 1*(_xlfn._xlws.FILTER(OFFSET($O$15,0,$DN299,$B$8,1),OFFSET($M$15,0,0,$B$8,1))=FC$13), 1*(_xlfn._xlws.FILTER(OFFSET($O$15,0,$DO299,$B$8,1),OFFSET($M$15,0,0,$B$8,1))=FC$14))   /   SUM(OFFSET($BO$15,0,0,$B$14,1)) + $B$18/($B$19*$B$19*($DN299&lt;&gt;$DO299) + $B$19*($DN299=$DO299))</f>
        <v>3.7037037037037035E-4</v>
      </c>
      <c r="FD299" s="10" cm="1">
        <f t="array" aca="1" ref="FD299" ca="1">(1-$B$18)*SUMPRODUCT(OFFSET($BO$15,0,0,$B$14,1), 1*(_xlfn._xlws.FILTER(OFFSET($O$15,0,$DN299,$B$8,1),OFFSET($M$15,0,0,$B$8,1))=FD$13), 1*(_xlfn._xlws.FILTER(OFFSET($O$15,0,$DO299,$B$8,1),OFFSET($M$15,0,0,$B$8,1))=FD$14))   /   SUM(OFFSET($BO$15,0,0,$B$14,1)) + $B$18/($B$19*$B$19*($DN299&lt;&gt;$DO299) + $B$19*($DN299=$DO299))</f>
        <v>3.7037037037037035E-4</v>
      </c>
      <c r="FE299" s="10" cm="1">
        <f t="array" aca="1" ref="FE299" ca="1">(1-$B$18)*SUMPRODUCT(OFFSET($BO$15,0,0,$B$14,1), 1*(_xlfn._xlws.FILTER(OFFSET($O$15,0,$DN299,$B$8,1),OFFSET($M$15,0,0,$B$8,1))=FE$13), 1*(_xlfn._xlws.FILTER(OFFSET($O$15,0,$DO299,$B$8,1),OFFSET($M$15,0,0,$B$8,1))=FE$14))   /   SUM(OFFSET($BO$15,0,0,$B$14,1)) + $B$18/($B$19*$B$19*($DN299&lt;&gt;$DO299) + $B$19*($DN299=$DO299))</f>
        <v>3.7037037037037035E-4</v>
      </c>
      <c r="FF299" s="10" cm="1">
        <f t="array" aca="1" ref="FF299" ca="1">(1-$B$18)*SUMPRODUCT(OFFSET($BO$15,0,0,$B$14,1), 1*(_xlfn._xlws.FILTER(OFFSET($O$15,0,$DN299,$B$8,1),OFFSET($M$15,0,0,$B$8,1))=FF$13), 1*(_xlfn._xlws.FILTER(OFFSET($O$15,0,$DO299,$B$8,1),OFFSET($M$15,0,0,$B$8,1))=FF$14))   /   SUM(OFFSET($BO$15,0,0,$B$14,1)) + $B$18/($B$19*$B$19*($DN299&lt;&gt;$DO299) + $B$19*($DN299=$DO299))</f>
        <v>3.7037037037037035E-4</v>
      </c>
      <c r="FG299" s="10" cm="1">
        <f t="array" aca="1" ref="FG299" ca="1">(1-$B$18)*SUMPRODUCT(OFFSET($BO$15,0,0,$B$14,1), 1*(_xlfn._xlws.FILTER(OFFSET($O$15,0,$DN299,$B$8,1),OFFSET($M$15,0,0,$B$8,1))=FG$13), 1*(_xlfn._xlws.FILTER(OFFSET($O$15,0,$DO299,$B$8,1),OFFSET($M$15,0,0,$B$8,1))=FG$14))   /   SUM(OFFSET($BO$15,0,0,$B$14,1)) + $B$18/($B$19*$B$19*($DN299&lt;&gt;$DO299) + $B$19*($DN299=$DO299))</f>
        <v>3.7037037037037035E-4</v>
      </c>
      <c r="FH299" s="10" cm="1">
        <f t="array" aca="1" ref="FH299" ca="1">(1-$B$18)*SUMPRODUCT(OFFSET($BO$15,0,0,$B$14,1), 1*(_xlfn._xlws.FILTER(OFFSET($O$15,0,$DN299,$B$8,1),OFFSET($M$15,0,0,$B$8,1))=FH$13), 1*(_xlfn._xlws.FILTER(OFFSET($O$15,0,$DO299,$B$8,1),OFFSET($M$15,0,0,$B$8,1))=FH$14))   /   SUM(OFFSET($BO$15,0,0,$B$14,1)) + $B$18/($B$19*$B$19*($DN299&lt;&gt;$DO299) + $B$19*($DN299=$DO299))</f>
        <v>3.7037037037037035E-4</v>
      </c>
      <c r="FI299" s="10" cm="1">
        <f t="array" aca="1" ref="FI299" ca="1">(1-$B$18)*SUMPRODUCT(OFFSET($BO$15,0,0,$B$14,1), 1*(_xlfn._xlws.FILTER(OFFSET($O$15,0,$DN299,$B$8,1),OFFSET($M$15,0,0,$B$8,1))=FI$13), 1*(_xlfn._xlws.FILTER(OFFSET($O$15,0,$DO299,$B$8,1),OFFSET($M$15,0,0,$B$8,1))=FI$14))   /   SUM(OFFSET($BO$15,0,0,$B$14,1)) + $B$18/($B$19*$B$19*($DN299&lt;&gt;$DO299) + $B$19*($DN299=$DO299))</f>
        <v>3.7037037037037035E-4</v>
      </c>
      <c r="FJ299" s="10" cm="1">
        <f t="array" aca="1" ref="FJ299" ca="1">(1-$B$18)*SUMPRODUCT(OFFSET($BO$15,0,0,$B$14,1), 1*(_xlfn._xlws.FILTER(OFFSET($O$15,0,$DN299,$B$8,1),OFFSET($M$15,0,0,$B$8,1))=FJ$13), 1*(_xlfn._xlws.FILTER(OFFSET($O$15,0,$DO299,$B$8,1),OFFSET($M$15,0,0,$B$8,1))=FJ$14))   /   SUM(OFFSET($BO$15,0,0,$B$14,1)) + $B$18/($B$19*$B$19*($DN299&lt;&gt;$DO299) + $B$19*($DN299=$DO299))</f>
        <v>3.7037037037037035E-4</v>
      </c>
      <c r="FK299" s="10" cm="1">
        <f t="array" aca="1" ref="FK299" ca="1">(1-$B$18)*SUMPRODUCT(OFFSET($BO$15,0,0,$B$14,1), 1*(_xlfn._xlws.FILTER(OFFSET($O$15,0,$DN299,$B$8,1),OFFSET($M$15,0,0,$B$8,1))=FK$13), 1*(_xlfn._xlws.FILTER(OFFSET($O$15,0,$DO299,$B$8,1),OFFSET($M$15,0,0,$B$8,1))=FK$14))   /   SUM(OFFSET($BO$15,0,0,$B$14,1)) + $B$18/($B$19*$B$19*($DN299&lt;&gt;$DO299) + $B$19*($DN299=$DO299))</f>
        <v>3.7037037037037035E-4</v>
      </c>
      <c r="FL299" s="10" cm="1">
        <f t="array" aca="1" ref="FL299" ca="1">(1-$B$18)*SUMPRODUCT(OFFSET($BO$15,0,0,$B$14,1), 1*(_xlfn._xlws.FILTER(OFFSET($O$15,0,$DN299,$B$8,1),OFFSET($M$15,0,0,$B$8,1))=FL$13), 1*(_xlfn._xlws.FILTER(OFFSET($O$15,0,$DO299,$B$8,1),OFFSET($M$15,0,0,$B$8,1))=FL$14))   /   SUM(OFFSET($BO$15,0,0,$B$14,1)) + $B$18/($B$19*$B$19*($DN299&lt;&gt;$DO299) + $B$19*($DN299=$DO299))</f>
        <v>3.7037037037037035E-4</v>
      </c>
      <c r="FM299" s="10" cm="1">
        <f t="array" aca="1" ref="FM299" ca="1">(1-$B$18)*SUMPRODUCT(OFFSET($BO$15,0,0,$B$14,1), 1*(_xlfn._xlws.FILTER(OFFSET($O$15,0,$DN299,$B$8,1),OFFSET($M$15,0,0,$B$8,1))=FM$13), 1*(_xlfn._xlws.FILTER(OFFSET($O$15,0,$DO299,$B$8,1),OFFSET($M$15,0,0,$B$8,1))=FM$14))   /   SUM(OFFSET($BO$15,0,0,$B$14,1)) + $B$18/($B$19*$B$19*($DN299&lt;&gt;$DO299) + $B$19*($DN299=$DO299))</f>
        <v>3.7037037037037035E-4</v>
      </c>
      <c r="FN299" s="10" cm="1">
        <f t="array" aca="1" ref="FN299" ca="1">(1-$B$18)*SUMPRODUCT(OFFSET($BO$15,0,0,$B$14,1), 1*(_xlfn._xlws.FILTER(OFFSET($O$15,0,$DN299,$B$8,1),OFFSET($M$15,0,0,$B$8,1))=FN$13), 1*(_xlfn._xlws.FILTER(OFFSET($O$15,0,$DO299,$B$8,1),OFFSET($M$15,0,0,$B$8,1))=FN$14))   /   SUM(OFFSET($BO$15,0,0,$B$14,1)) + $B$18/($B$19*$B$19*($DN299&lt;&gt;$DO299) + $B$19*($DN299=$DO299))</f>
        <v>3.7037037037037035E-4</v>
      </c>
      <c r="FO299" s="10" cm="1">
        <f t="array" aca="1" ref="FO299" ca="1">(1-$B$18)*SUMPRODUCT(OFFSET($BO$15,0,0,$B$14,1), 1*(_xlfn._xlws.FILTER(OFFSET($O$15,0,$DN299,$B$8,1),OFFSET($M$15,0,0,$B$8,1))=FO$13), 1*(_xlfn._xlws.FILTER(OFFSET($O$15,0,$DO299,$B$8,1),OFFSET($M$15,0,0,$B$8,1))=FO$14))   /   SUM(OFFSET($BO$15,0,0,$B$14,1)) + $B$18/($B$19*$B$19*($DN299&lt;&gt;$DO299) + $B$19*($DN299=$DO299))</f>
        <v>3.7037037037037035E-4</v>
      </c>
      <c r="FP299" s="10" cm="1">
        <f t="array" aca="1" ref="FP299" ca="1">(1-$B$18)*SUMPRODUCT(OFFSET($BO$15,0,0,$B$14,1), 1*(_xlfn._xlws.FILTER(OFFSET($O$15,0,$DN299,$B$8,1),OFFSET($M$15,0,0,$B$8,1))=FP$13), 1*(_xlfn._xlws.FILTER(OFFSET($O$15,0,$DO299,$B$8,1),OFFSET($M$15,0,0,$B$8,1))=FP$14))   /   SUM(OFFSET($BO$15,0,0,$B$14,1)) + $B$18/($B$19*$B$19*($DN299&lt;&gt;$DO299) + $B$19*($DN299=$DO299))</f>
        <v>3.7037037037037035E-4</v>
      </c>
      <c r="FQ299" s="10" cm="1">
        <f t="array" aca="1" ref="FQ299" ca="1">(1-$B$18)*SUMPRODUCT(OFFSET($BO$15,0,0,$B$14,1), 1*(_xlfn._xlws.FILTER(OFFSET($O$15,0,$DN299,$B$8,1),OFFSET($M$15,0,0,$B$8,1))=FQ$13), 1*(_xlfn._xlws.FILTER(OFFSET($O$15,0,$DO299,$B$8,1),OFFSET($M$15,0,0,$B$8,1))=FQ$14))   /   SUM(OFFSET($BO$15,0,0,$B$14,1)) + $B$18/($B$19*$B$19*($DN299&lt;&gt;$DO299) + $B$19*($DN299=$DO299))</f>
        <v>3.7037037037037035E-4</v>
      </c>
      <c r="FR299" s="10" cm="1">
        <f t="array" aca="1" ref="FR299" ca="1">(1-$B$18)*SUMPRODUCT(OFFSET($BO$15,0,0,$B$14,1), 1*(_xlfn._xlws.FILTER(OFFSET($O$15,0,$DN299,$B$8,1),OFFSET($M$15,0,0,$B$8,1))=FR$13), 1*(_xlfn._xlws.FILTER(OFFSET($O$15,0,$DO299,$B$8,1),OFFSET($M$15,0,0,$B$8,1))=FR$14))   /   SUM(OFFSET($BO$15,0,0,$B$14,1)) + $B$18/($B$19*$B$19*($DN299&lt;&gt;$DO299) + $B$19*($DN299=$DO299))</f>
        <v>3.7037037037037035E-4</v>
      </c>
      <c r="FS299" s="10" cm="1">
        <f t="array" aca="1" ref="FS299" ca="1">(1-$B$18)*SUMPRODUCT(OFFSET($BO$15,0,0,$B$14,1), 1*(_xlfn._xlws.FILTER(OFFSET($O$15,0,$DN299,$B$8,1),OFFSET($M$15,0,0,$B$8,1))=FS$13), 1*(_xlfn._xlws.FILTER(OFFSET($O$15,0,$DO299,$B$8,1),OFFSET($M$15,0,0,$B$8,1))=FS$14))   /   SUM(OFFSET($BO$15,0,0,$B$14,1)) + $B$18/($B$19*$B$19*($DN299&lt;&gt;$DO299) + $B$19*($DN299=$DO299))</f>
        <v>3.7037037037037035E-4</v>
      </c>
      <c r="FT299" s="10" cm="1">
        <f t="array" aca="1" ref="FT299" ca="1">(1-$B$18)*SUMPRODUCT(OFFSET($BO$15,0,0,$B$14,1), 1*(_xlfn._xlws.FILTER(OFFSET($O$15,0,$DN299,$B$8,1),OFFSET($M$15,0,0,$B$8,1))=FT$13), 1*(_xlfn._xlws.FILTER(OFFSET($O$15,0,$DO299,$B$8,1),OFFSET($M$15,0,0,$B$8,1))=FT$14))   /   SUM(OFFSET($BO$15,0,0,$B$14,1)) + $B$18/($B$19*$B$19*($DN299&lt;&gt;$DO299) + $B$19*($DN299=$DO299))</f>
        <v>3.7037037037037035E-4</v>
      </c>
      <c r="FU299" s="10" cm="1">
        <f t="array" aca="1" ref="FU299" ca="1">(1-$B$18)*SUMPRODUCT(OFFSET($BO$15,0,0,$B$14,1), 1*(_xlfn._xlws.FILTER(OFFSET($O$15,0,$DN299,$B$8,1),OFFSET($M$15,0,0,$B$8,1))=FU$13), 1*(_xlfn._xlws.FILTER(OFFSET($O$15,0,$DO299,$B$8,1),OFFSET($M$15,0,0,$B$8,1))=FU$14))   /   SUM(OFFSET($BO$15,0,0,$B$14,1)) + $B$18/($B$19*$B$19*($DN299&lt;&gt;$DO299) + $B$19*($DN299=$DO299))</f>
        <v>3.7037037037037035E-4</v>
      </c>
      <c r="FV299" s="10" cm="1">
        <f t="array" aca="1" ref="FV299" ca="1">(1-$B$18)*SUMPRODUCT(OFFSET($BO$15,0,0,$B$14,1), 1*(_xlfn._xlws.FILTER(OFFSET($O$15,0,$DN299,$B$8,1),OFFSET($M$15,0,0,$B$8,1))=FV$13), 1*(_xlfn._xlws.FILTER(OFFSET($O$15,0,$DO299,$B$8,1),OFFSET($M$15,0,0,$B$8,1))=FV$14))   /   SUM(OFFSET($BO$15,0,0,$B$14,1)) + $B$18/($B$19*$B$19*($DN299&lt;&gt;$DO299) + $B$19*($DN299=$DO299))</f>
        <v>3.7037037037037035E-4</v>
      </c>
      <c r="FW299" s="10" cm="1">
        <f t="array" aca="1" ref="FW299" ca="1">(1-$B$18)*SUMPRODUCT(OFFSET($BO$15,0,0,$B$14,1), 1*(_xlfn._xlws.FILTER(OFFSET($O$15,0,$DN299,$B$8,1),OFFSET($M$15,0,0,$B$8,1))=FW$13), 1*(_xlfn._xlws.FILTER(OFFSET($O$15,0,$DO299,$B$8,1),OFFSET($M$15,0,0,$B$8,1))=FW$14))   /   SUM(OFFSET($BO$15,0,0,$B$14,1)) + $B$18/($B$19*$B$19*($DN299&lt;&gt;$DO299) + $B$19*($DN299=$DO299))</f>
        <v>3.7037037037037035E-4</v>
      </c>
      <c r="FX299" s="10" cm="1">
        <f t="array" aca="1" ref="FX299" ca="1">(1-$B$18)*SUMPRODUCT(OFFSET($BO$15,0,0,$B$14,1), 1*(_xlfn._xlws.FILTER(OFFSET($O$15,0,$DN299,$B$8,1),OFFSET($M$15,0,0,$B$8,1))=FX$13), 1*(_xlfn._xlws.FILTER(OFFSET($O$15,0,$DO299,$B$8,1),OFFSET($M$15,0,0,$B$8,1))=FX$14))   /   SUM(OFFSET($BO$15,0,0,$B$14,1)) + $B$18/($B$19*$B$19*($DN299&lt;&gt;$DO299) + $B$19*($DN299=$DO299))</f>
        <v>3.7037037037037035E-4</v>
      </c>
      <c r="FY299" s="10" cm="1">
        <f t="array" aca="1" ref="FY299" ca="1">(1-$B$18)*SUMPRODUCT(OFFSET($BO$15,0,0,$B$14,1), 1*(_xlfn._xlws.FILTER(OFFSET($O$15,0,$DN299,$B$8,1),OFFSET($M$15,0,0,$B$8,1))=FY$13), 1*(_xlfn._xlws.FILTER(OFFSET($O$15,0,$DO299,$B$8,1),OFFSET($M$15,0,0,$B$8,1))=FY$14))   /   SUM(OFFSET($BO$15,0,0,$B$14,1)) + $B$18/($B$19*$B$19*($DN299&lt;&gt;$DO299) + $B$19*($DN299=$DO299))</f>
        <v>3.7037037037037035E-4</v>
      </c>
      <c r="FZ299" s="10" cm="1">
        <f t="array" aca="1" ref="FZ299" ca="1">(1-$B$18)*SUMPRODUCT(OFFSET($BO$15,0,0,$B$14,1), 1*(_xlfn._xlws.FILTER(OFFSET($O$15,0,$DN299,$B$8,1),OFFSET($M$15,0,0,$B$8,1))=FZ$13), 1*(_xlfn._xlws.FILTER(OFFSET($O$15,0,$DO299,$B$8,1),OFFSET($M$15,0,0,$B$8,1))=FZ$14))   /   SUM(OFFSET($BO$15,0,0,$B$14,1)) + $B$18/($B$19*$B$19*($DN299&lt;&gt;$DO299) + $B$19*($DN299=$DO299))</f>
        <v>3.7037037037037035E-4</v>
      </c>
      <c r="GA299" s="10" cm="1">
        <f t="array" aca="1" ref="GA299" ca="1">(1-$B$18)*SUMPRODUCT(OFFSET($BO$15,0,0,$B$14,1), 1*(_xlfn._xlws.FILTER(OFFSET($O$15,0,$DN299,$B$8,1),OFFSET($M$15,0,0,$B$8,1))=GA$13), 1*(_xlfn._xlws.FILTER(OFFSET($O$15,0,$DO299,$B$8,1),OFFSET($M$15,0,0,$B$8,1))=GA$14))   /   SUM(OFFSET($BO$15,0,0,$B$14,1)) + $B$18/($B$19*$B$19*($DN299&lt;&gt;$DO299) + $B$19*($DN299=$DO299))</f>
        <v>3.7037037037037035E-4</v>
      </c>
    </row>
    <row r="300" spans="118:183" x14ac:dyDescent="0.2">
      <c r="DN300" cm="1">
        <f t="array" aca="1" ref="DN300" ca="1">INDEX(_xlfn.ANCHORARRAY($CP$15), 1 + INT((ROWS($DO$15:$DO300) - 1) / ROWS(_xlfn.ANCHORARRAY($CP$15))))</f>
        <v>18</v>
      </c>
      <c r="DO300" cm="1">
        <f t="array" aca="1" ref="DO300" ca="1">INDEX(_xlfn.ANCHORARRAY($CP$15),1+MOD(ROWS($DO$15:$DO300)-1,ROWS(_xlfn.ANCHORARRAY($CP$15))))</f>
        <v>0</v>
      </c>
      <c r="DP300" s="10" cm="1">
        <f t="array" aca="1" ref="DP300" ca="1">(1-$B$18)*SUMPRODUCT(OFFSET($BO$15,0,0,$B$14,1), 1*(_xlfn._xlws.FILTER(OFFSET($O$15,0,$DN300,$B$8,1),OFFSET($M$15,0,0,$B$8,1))=DP$13), 1*(_xlfn._xlws.FILTER(OFFSET($O$15,0,$DO300,$B$8,1),OFFSET($M$15,0,0,$B$8,1))=DP$14))   /   SUM(OFFSET($BO$15,0,0,$B$14,1)) + $B$18/($B$19*$B$19*($DN300&lt;&gt;$DO300) + $B$19*($DN300=$DO300))</f>
        <v>3.7037037037037035E-4</v>
      </c>
      <c r="DQ300" s="10" cm="1">
        <f t="array" aca="1" ref="DQ300" ca="1">(1-$B$18)*SUMPRODUCT(OFFSET($BO$15,0,0,$B$14,1), 1*(_xlfn._xlws.FILTER(OFFSET($O$15,0,$DN300,$B$8,1),OFFSET($M$15,0,0,$B$8,1))=DQ$13), 1*(_xlfn._xlws.FILTER(OFFSET($O$15,0,$DO300,$B$8,1),OFFSET($M$15,0,0,$B$8,1))=DQ$14))   /   SUM(OFFSET($BO$15,0,0,$B$14,1)) + $B$18/($B$19*$B$19*($DN300&lt;&gt;$DO300) + $B$19*($DN300=$DO300))</f>
        <v>3.7037037037037035E-4</v>
      </c>
      <c r="DR300" s="10" cm="1">
        <f t="array" aca="1" ref="DR300" ca="1">(1-$B$18)*SUMPRODUCT(OFFSET($BO$15,0,0,$B$14,1), 1*(_xlfn._xlws.FILTER(OFFSET($O$15,0,$DN300,$B$8,1),OFFSET($M$15,0,0,$B$8,1))=DR$13), 1*(_xlfn._xlws.FILTER(OFFSET($O$15,0,$DO300,$B$8,1),OFFSET($M$15,0,0,$B$8,1))=DR$14))   /   SUM(OFFSET($BO$15,0,0,$B$14,1)) + $B$18/($B$19*$B$19*($DN300&lt;&gt;$DO300) + $B$19*($DN300=$DO300))</f>
        <v>3.7037037037037035E-4</v>
      </c>
      <c r="DS300" s="10" cm="1">
        <f t="array" aca="1" ref="DS300" ca="1">(1-$B$18)*SUMPRODUCT(OFFSET($BO$15,0,0,$B$14,1), 1*(_xlfn._xlws.FILTER(OFFSET($O$15,0,$DN300,$B$8,1),OFFSET($M$15,0,0,$B$8,1))=DS$13), 1*(_xlfn._xlws.FILTER(OFFSET($O$15,0,$DO300,$B$8,1),OFFSET($M$15,0,0,$B$8,1))=DS$14))   /   SUM(OFFSET($BO$15,0,0,$B$14,1)) + $B$18/($B$19*$B$19*($DN300&lt;&gt;$DO300) + $B$19*($DN300=$DO300))</f>
        <v>3.7037037037037035E-4</v>
      </c>
      <c r="DT300" s="10" cm="1">
        <f t="array" aca="1" ref="DT300" ca="1">(1-$B$18)*SUMPRODUCT(OFFSET($BO$15,0,0,$B$14,1), 1*(_xlfn._xlws.FILTER(OFFSET($O$15,0,$DN300,$B$8,1),OFFSET($M$15,0,0,$B$8,1))=DT$13), 1*(_xlfn._xlws.FILTER(OFFSET($O$15,0,$DO300,$B$8,1),OFFSET($M$15,0,0,$B$8,1))=DT$14))   /   SUM(OFFSET($BO$15,0,0,$B$14,1)) + $B$18/($B$19*$B$19*($DN300&lt;&gt;$DO300) + $B$19*($DN300=$DO300))</f>
        <v>3.7037037037037035E-4</v>
      </c>
      <c r="DU300" s="10" cm="1">
        <f t="array" aca="1" ref="DU300" ca="1">(1-$B$18)*SUMPRODUCT(OFFSET($BO$15,0,0,$B$14,1), 1*(_xlfn._xlws.FILTER(OFFSET($O$15,0,$DN300,$B$8,1),OFFSET($M$15,0,0,$B$8,1))=DU$13), 1*(_xlfn._xlws.FILTER(OFFSET($O$15,0,$DO300,$B$8,1),OFFSET($M$15,0,0,$B$8,1))=DU$14))   /   SUM(OFFSET($BO$15,0,0,$B$14,1)) + $B$18/($B$19*$B$19*($DN300&lt;&gt;$DO300) + $B$19*($DN300=$DO300))</f>
        <v>3.7037037037037035E-4</v>
      </c>
      <c r="DV300" s="10" cm="1">
        <f t="array" aca="1" ref="DV300" ca="1">(1-$B$18)*SUMPRODUCT(OFFSET($BO$15,0,0,$B$14,1), 1*(_xlfn._xlws.FILTER(OFFSET($O$15,0,$DN300,$B$8,1),OFFSET($M$15,0,0,$B$8,1))=DV$13), 1*(_xlfn._xlws.FILTER(OFFSET($O$15,0,$DO300,$B$8,1),OFFSET($M$15,0,0,$B$8,1))=DV$14))   /   SUM(OFFSET($BO$15,0,0,$B$14,1)) + $B$18/($B$19*$B$19*($DN300&lt;&gt;$DO300) + $B$19*($DN300=$DO300))</f>
        <v>3.7037037037037035E-4</v>
      </c>
      <c r="DW300" s="10" cm="1">
        <f t="array" aca="1" ref="DW300" ca="1">(1-$B$18)*SUMPRODUCT(OFFSET($BO$15,0,0,$B$14,1), 1*(_xlfn._xlws.FILTER(OFFSET($O$15,0,$DN300,$B$8,1),OFFSET($M$15,0,0,$B$8,1))=DW$13), 1*(_xlfn._xlws.FILTER(OFFSET($O$15,0,$DO300,$B$8,1),OFFSET($M$15,0,0,$B$8,1))=DW$14))   /   SUM(OFFSET($BO$15,0,0,$B$14,1)) + $B$18/($B$19*$B$19*($DN300&lt;&gt;$DO300) + $B$19*($DN300=$DO300))</f>
        <v>3.7037037037037035E-4</v>
      </c>
      <c r="DX300" s="10" cm="1">
        <f t="array" aca="1" ref="DX300" ca="1">(1-$B$18)*SUMPRODUCT(OFFSET($BO$15,0,0,$B$14,1), 1*(_xlfn._xlws.FILTER(OFFSET($O$15,0,$DN300,$B$8,1),OFFSET($M$15,0,0,$B$8,1))=DX$13), 1*(_xlfn._xlws.FILTER(OFFSET($O$15,0,$DO300,$B$8,1),OFFSET($M$15,0,0,$B$8,1))=DX$14))   /   SUM(OFFSET($BO$15,0,0,$B$14,1)) + $B$18/($B$19*$B$19*($DN300&lt;&gt;$DO300) + $B$19*($DN300=$DO300))</f>
        <v>3.7037037037037035E-4</v>
      </c>
      <c r="DY300" s="10" cm="1">
        <f t="array" aca="1" ref="DY300" ca="1">(1-$B$18)*SUMPRODUCT(OFFSET($BO$15,0,0,$B$14,1), 1*(_xlfn._xlws.FILTER(OFFSET($O$15,0,$DN300,$B$8,1),OFFSET($M$15,0,0,$B$8,1))=DY$13), 1*(_xlfn._xlws.FILTER(OFFSET($O$15,0,$DO300,$B$8,1),OFFSET($M$15,0,0,$B$8,1))=DY$14))   /   SUM(OFFSET($BO$15,0,0,$B$14,1)) + $B$18/($B$19*$B$19*($DN300&lt;&gt;$DO300) + $B$19*($DN300=$DO300))</f>
        <v>3.7037037037037035E-4</v>
      </c>
      <c r="DZ300" s="10" cm="1">
        <f t="array" aca="1" ref="DZ300" ca="1">(1-$B$18)*SUMPRODUCT(OFFSET($BO$15,0,0,$B$14,1), 1*(_xlfn._xlws.FILTER(OFFSET($O$15,0,$DN300,$B$8,1),OFFSET($M$15,0,0,$B$8,1))=DZ$13), 1*(_xlfn._xlws.FILTER(OFFSET($O$15,0,$DO300,$B$8,1),OFFSET($M$15,0,0,$B$8,1))=DZ$14))   /   SUM(OFFSET($BO$15,0,0,$B$14,1)) + $B$18/($B$19*$B$19*($DN300&lt;&gt;$DO300) + $B$19*($DN300=$DO300))</f>
        <v>3.7037037037037035E-4</v>
      </c>
      <c r="EA300" s="10" cm="1">
        <f t="array" aca="1" ref="EA300" ca="1">(1-$B$18)*SUMPRODUCT(OFFSET($BO$15,0,0,$B$14,1), 1*(_xlfn._xlws.FILTER(OFFSET($O$15,0,$DN300,$B$8,1),OFFSET($M$15,0,0,$B$8,1))=EA$13), 1*(_xlfn._xlws.FILTER(OFFSET($O$15,0,$DO300,$B$8,1),OFFSET($M$15,0,0,$B$8,1))=EA$14))   /   SUM(OFFSET($BO$15,0,0,$B$14,1)) + $B$18/($B$19*$B$19*($DN300&lt;&gt;$DO300) + $B$19*($DN300=$DO300))</f>
        <v>3.7037037037037035E-4</v>
      </c>
      <c r="EB300" s="10" cm="1">
        <f t="array" aca="1" ref="EB300" ca="1">(1-$B$18)*SUMPRODUCT(OFFSET($BO$15,0,0,$B$14,1), 1*(_xlfn._xlws.FILTER(OFFSET($O$15,0,$DN300,$B$8,1),OFFSET($M$15,0,0,$B$8,1))=EB$13), 1*(_xlfn._xlws.FILTER(OFFSET($O$15,0,$DO300,$B$8,1),OFFSET($M$15,0,0,$B$8,1))=EB$14))   /   SUM(OFFSET($BO$15,0,0,$B$14,1)) + $B$18/($B$19*$B$19*($DN300&lt;&gt;$DO300) + $B$19*($DN300=$DO300))</f>
        <v>3.7037037037037035E-4</v>
      </c>
      <c r="EC300" s="10" cm="1">
        <f t="array" aca="1" ref="EC300" ca="1">(1-$B$18)*SUMPRODUCT(OFFSET($BO$15,0,0,$B$14,1), 1*(_xlfn._xlws.FILTER(OFFSET($O$15,0,$DN300,$B$8,1),OFFSET($M$15,0,0,$B$8,1))=EC$13), 1*(_xlfn._xlws.FILTER(OFFSET($O$15,0,$DO300,$B$8,1),OFFSET($M$15,0,0,$B$8,1))=EC$14))   /   SUM(OFFSET($BO$15,0,0,$B$14,1)) + $B$18/($B$19*$B$19*($DN300&lt;&gt;$DO300) + $B$19*($DN300=$DO300))</f>
        <v>3.7037037037037035E-4</v>
      </c>
      <c r="ED300" s="10" cm="1">
        <f t="array" aca="1" ref="ED300" ca="1">(1-$B$18)*SUMPRODUCT(OFFSET($BO$15,0,0,$B$14,1), 1*(_xlfn._xlws.FILTER(OFFSET($O$15,0,$DN300,$B$8,1),OFFSET($M$15,0,0,$B$8,1))=ED$13), 1*(_xlfn._xlws.FILTER(OFFSET($O$15,0,$DO300,$B$8,1),OFFSET($M$15,0,0,$B$8,1))=ED$14))   /   SUM(OFFSET($BO$15,0,0,$B$14,1)) + $B$18/($B$19*$B$19*($DN300&lt;&gt;$DO300) + $B$19*($DN300=$DO300))</f>
        <v>3.7037037037037035E-4</v>
      </c>
      <c r="EE300" s="10" cm="1">
        <f t="array" aca="1" ref="EE300" ca="1">(1-$B$18)*SUMPRODUCT(OFFSET($BO$15,0,0,$B$14,1), 1*(_xlfn._xlws.FILTER(OFFSET($O$15,0,$DN300,$B$8,1),OFFSET($M$15,0,0,$B$8,1))=EE$13), 1*(_xlfn._xlws.FILTER(OFFSET($O$15,0,$DO300,$B$8,1),OFFSET($M$15,0,0,$B$8,1))=EE$14))   /   SUM(OFFSET($BO$15,0,0,$B$14,1)) + $B$18/($B$19*$B$19*($DN300&lt;&gt;$DO300) + $B$19*($DN300=$DO300))</f>
        <v>3.7037037037037035E-4</v>
      </c>
      <c r="EF300" s="10" cm="1">
        <f t="array" aca="1" ref="EF300" ca="1">(1-$B$18)*SUMPRODUCT(OFFSET($BO$15,0,0,$B$14,1), 1*(_xlfn._xlws.FILTER(OFFSET($O$15,0,$DN300,$B$8,1),OFFSET($M$15,0,0,$B$8,1))=EF$13), 1*(_xlfn._xlws.FILTER(OFFSET($O$15,0,$DO300,$B$8,1),OFFSET($M$15,0,0,$B$8,1))=EF$14))   /   SUM(OFFSET($BO$15,0,0,$B$14,1)) + $B$18/($B$19*$B$19*($DN300&lt;&gt;$DO300) + $B$19*($DN300=$DO300))</f>
        <v>3.7037037037037035E-4</v>
      </c>
      <c r="EG300" s="10" cm="1">
        <f t="array" aca="1" ref="EG300" ca="1">(1-$B$18)*SUMPRODUCT(OFFSET($BO$15,0,0,$B$14,1), 1*(_xlfn._xlws.FILTER(OFFSET($O$15,0,$DN300,$B$8,1),OFFSET($M$15,0,0,$B$8,1))=EG$13), 1*(_xlfn._xlws.FILTER(OFFSET($O$15,0,$DO300,$B$8,1),OFFSET($M$15,0,0,$B$8,1))=EG$14))   /   SUM(OFFSET($BO$15,0,0,$B$14,1)) + $B$18/($B$19*$B$19*($DN300&lt;&gt;$DO300) + $B$19*($DN300=$DO300))</f>
        <v>3.7037037037037035E-4</v>
      </c>
      <c r="EH300" s="10" cm="1">
        <f t="array" aca="1" ref="EH300" ca="1">(1-$B$18)*SUMPRODUCT(OFFSET($BO$15,0,0,$B$14,1), 1*(_xlfn._xlws.FILTER(OFFSET($O$15,0,$DN300,$B$8,1),OFFSET($M$15,0,0,$B$8,1))=EH$13), 1*(_xlfn._xlws.FILTER(OFFSET($O$15,0,$DO300,$B$8,1),OFFSET($M$15,0,0,$B$8,1))=EH$14))   /   SUM(OFFSET($BO$15,0,0,$B$14,1)) + $B$18/($B$19*$B$19*($DN300&lt;&gt;$DO300) + $B$19*($DN300=$DO300))</f>
        <v>3.7037037037037035E-4</v>
      </c>
      <c r="EI300" s="10" cm="1">
        <f t="array" aca="1" ref="EI300" ca="1">(1-$B$18)*SUMPRODUCT(OFFSET($BO$15,0,0,$B$14,1), 1*(_xlfn._xlws.FILTER(OFFSET($O$15,0,$DN300,$B$8,1),OFFSET($M$15,0,0,$B$8,1))=EI$13), 1*(_xlfn._xlws.FILTER(OFFSET($O$15,0,$DO300,$B$8,1),OFFSET($M$15,0,0,$B$8,1))=EI$14))   /   SUM(OFFSET($BO$15,0,0,$B$14,1)) + $B$18/($B$19*$B$19*($DN300&lt;&gt;$DO300) + $B$19*($DN300=$DO300))</f>
        <v>3.7037037037037035E-4</v>
      </c>
      <c r="EJ300" s="10" cm="1">
        <f t="array" aca="1" ref="EJ300" ca="1">(1-$B$18)*SUMPRODUCT(OFFSET($BO$15,0,0,$B$14,1), 1*(_xlfn._xlws.FILTER(OFFSET($O$15,0,$DN300,$B$8,1),OFFSET($M$15,0,0,$B$8,1))=EJ$13), 1*(_xlfn._xlws.FILTER(OFFSET($O$15,0,$DO300,$B$8,1),OFFSET($M$15,0,0,$B$8,1))=EJ$14))   /   SUM(OFFSET($BO$15,0,0,$B$14,1)) + $B$18/($B$19*$B$19*($DN300&lt;&gt;$DO300) + $B$19*($DN300=$DO300))</f>
        <v>3.7037037037037035E-4</v>
      </c>
      <c r="EK300" s="10" cm="1">
        <f t="array" aca="1" ref="EK300" ca="1">(1-$B$18)*SUMPRODUCT(OFFSET($BO$15,0,0,$B$14,1), 1*(_xlfn._xlws.FILTER(OFFSET($O$15,0,$DN300,$B$8,1),OFFSET($M$15,0,0,$B$8,1))=EK$13), 1*(_xlfn._xlws.FILTER(OFFSET($O$15,0,$DO300,$B$8,1),OFFSET($M$15,0,0,$B$8,1))=EK$14))   /   SUM(OFFSET($BO$15,0,0,$B$14,1)) + $B$18/($B$19*$B$19*($DN300&lt;&gt;$DO300) + $B$19*($DN300=$DO300))</f>
        <v>3.7037037037037035E-4</v>
      </c>
      <c r="EL300" s="10" cm="1">
        <f t="array" aca="1" ref="EL300" ca="1">(1-$B$18)*SUMPRODUCT(OFFSET($BO$15,0,0,$B$14,1), 1*(_xlfn._xlws.FILTER(OFFSET($O$15,0,$DN300,$B$8,1),OFFSET($M$15,0,0,$B$8,1))=EL$13), 1*(_xlfn._xlws.FILTER(OFFSET($O$15,0,$DO300,$B$8,1),OFFSET($M$15,0,0,$B$8,1))=EL$14))   /   SUM(OFFSET($BO$15,0,0,$B$14,1)) + $B$18/($B$19*$B$19*($DN300&lt;&gt;$DO300) + $B$19*($DN300=$DO300))</f>
        <v>3.7037037037037035E-4</v>
      </c>
      <c r="EM300" s="10" cm="1">
        <f t="array" aca="1" ref="EM300" ca="1">(1-$B$18)*SUMPRODUCT(OFFSET($BO$15,0,0,$B$14,1), 1*(_xlfn._xlws.FILTER(OFFSET($O$15,0,$DN300,$B$8,1),OFFSET($M$15,0,0,$B$8,1))=EM$13), 1*(_xlfn._xlws.FILTER(OFFSET($O$15,0,$DO300,$B$8,1),OFFSET($M$15,0,0,$B$8,1))=EM$14))   /   SUM(OFFSET($BO$15,0,0,$B$14,1)) + $B$18/($B$19*$B$19*($DN300&lt;&gt;$DO300) + $B$19*($DN300=$DO300))</f>
        <v>3.7037037037037035E-4</v>
      </c>
      <c r="EN300" s="10" cm="1">
        <f t="array" aca="1" ref="EN300" ca="1">(1-$B$18)*SUMPRODUCT(OFFSET($BO$15,0,0,$B$14,1), 1*(_xlfn._xlws.FILTER(OFFSET($O$15,0,$DN300,$B$8,1),OFFSET($M$15,0,0,$B$8,1))=EN$13), 1*(_xlfn._xlws.FILTER(OFFSET($O$15,0,$DO300,$B$8,1),OFFSET($M$15,0,0,$B$8,1))=EN$14))   /   SUM(OFFSET($BO$15,0,0,$B$14,1)) + $B$18/($B$19*$B$19*($DN300&lt;&gt;$DO300) + $B$19*($DN300=$DO300))</f>
        <v>3.7037037037037035E-4</v>
      </c>
      <c r="EO300" s="10" cm="1">
        <f t="array" aca="1" ref="EO300" ca="1">(1-$B$18)*SUMPRODUCT(OFFSET($BO$15,0,0,$B$14,1), 1*(_xlfn._xlws.FILTER(OFFSET($O$15,0,$DN300,$B$8,1),OFFSET($M$15,0,0,$B$8,1))=EO$13), 1*(_xlfn._xlws.FILTER(OFFSET($O$15,0,$DO300,$B$8,1),OFFSET($M$15,0,0,$B$8,1))=EO$14))   /   SUM(OFFSET($BO$15,0,0,$B$14,1)) + $B$18/($B$19*$B$19*($DN300&lt;&gt;$DO300) + $B$19*($DN300=$DO300))</f>
        <v>3.7037037037037035E-4</v>
      </c>
      <c r="EP300" s="10" cm="1">
        <f t="array" aca="1" ref="EP300" ca="1">(1-$B$18)*SUMPRODUCT(OFFSET($BO$15,0,0,$B$14,1), 1*(_xlfn._xlws.FILTER(OFFSET($O$15,0,$DN300,$B$8,1),OFFSET($M$15,0,0,$B$8,1))=EP$13), 1*(_xlfn._xlws.FILTER(OFFSET($O$15,0,$DO300,$B$8,1),OFFSET($M$15,0,0,$B$8,1))=EP$14))   /   SUM(OFFSET($BO$15,0,0,$B$14,1)) + $B$18/($B$19*$B$19*($DN300&lt;&gt;$DO300) + $B$19*($DN300=$DO300))</f>
        <v>3.7037037037037035E-4</v>
      </c>
      <c r="EQ300" s="10" cm="1">
        <f t="array" aca="1" ref="EQ300" ca="1">(1-$B$18)*SUMPRODUCT(OFFSET($BO$15,0,0,$B$14,1), 1*(_xlfn._xlws.FILTER(OFFSET($O$15,0,$DN300,$B$8,1),OFFSET($M$15,0,0,$B$8,1))=EQ$13), 1*(_xlfn._xlws.FILTER(OFFSET($O$15,0,$DO300,$B$8,1),OFFSET($M$15,0,0,$B$8,1))=EQ$14))   /   SUM(OFFSET($BO$15,0,0,$B$14,1)) + $B$18/($B$19*$B$19*($DN300&lt;&gt;$DO300) + $B$19*($DN300=$DO300))</f>
        <v>3.7037037037037035E-4</v>
      </c>
      <c r="ER300" s="10" cm="1">
        <f t="array" aca="1" ref="ER300" ca="1">(1-$B$18)*SUMPRODUCT(OFFSET($BO$15,0,0,$B$14,1), 1*(_xlfn._xlws.FILTER(OFFSET($O$15,0,$DN300,$B$8,1),OFFSET($M$15,0,0,$B$8,1))=ER$13), 1*(_xlfn._xlws.FILTER(OFFSET($O$15,0,$DO300,$B$8,1),OFFSET($M$15,0,0,$B$8,1))=ER$14))   /   SUM(OFFSET($BO$15,0,0,$B$14,1)) + $B$18/($B$19*$B$19*($DN300&lt;&gt;$DO300) + $B$19*($DN300=$DO300))</f>
        <v>3.7037037037037035E-4</v>
      </c>
      <c r="ES300" s="10" cm="1">
        <f t="array" aca="1" ref="ES300" ca="1">(1-$B$18)*SUMPRODUCT(OFFSET($BO$15,0,0,$B$14,1), 1*(_xlfn._xlws.FILTER(OFFSET($O$15,0,$DN300,$B$8,1),OFFSET($M$15,0,0,$B$8,1))=ES$13), 1*(_xlfn._xlws.FILTER(OFFSET($O$15,0,$DO300,$B$8,1),OFFSET($M$15,0,0,$B$8,1))=ES$14))   /   SUM(OFFSET($BO$15,0,0,$B$14,1)) + $B$18/($B$19*$B$19*($DN300&lt;&gt;$DO300) + $B$19*($DN300=$DO300))</f>
        <v>3.7037037037037035E-4</v>
      </c>
      <c r="ET300" s="10" cm="1">
        <f t="array" aca="1" ref="ET300" ca="1">(1-$B$18)*SUMPRODUCT(OFFSET($BO$15,0,0,$B$14,1), 1*(_xlfn._xlws.FILTER(OFFSET($O$15,0,$DN300,$B$8,1),OFFSET($M$15,0,0,$B$8,1))=ET$13), 1*(_xlfn._xlws.FILTER(OFFSET($O$15,0,$DO300,$B$8,1),OFFSET($M$15,0,0,$B$8,1))=ET$14))   /   SUM(OFFSET($BO$15,0,0,$B$14,1)) + $B$18/($B$19*$B$19*($DN300&lt;&gt;$DO300) + $B$19*($DN300=$DO300))</f>
        <v>0.97037037037037033</v>
      </c>
      <c r="EU300" s="10" cm="1">
        <f t="array" aca="1" ref="EU300" ca="1">(1-$B$18)*SUMPRODUCT(OFFSET($BO$15,0,0,$B$14,1), 1*(_xlfn._xlws.FILTER(OFFSET($O$15,0,$DN300,$B$8,1),OFFSET($M$15,0,0,$B$8,1))=EU$13), 1*(_xlfn._xlws.FILTER(OFFSET($O$15,0,$DO300,$B$8,1),OFFSET($M$15,0,0,$B$8,1))=EU$14))   /   SUM(OFFSET($BO$15,0,0,$B$14,1)) + $B$18/($B$19*$B$19*($DN300&lt;&gt;$DO300) + $B$19*($DN300=$DO300))</f>
        <v>3.7037037037037035E-4</v>
      </c>
      <c r="EV300" s="10" cm="1">
        <f t="array" aca="1" ref="EV300" ca="1">(1-$B$18)*SUMPRODUCT(OFFSET($BO$15,0,0,$B$14,1), 1*(_xlfn._xlws.FILTER(OFFSET($O$15,0,$DN300,$B$8,1),OFFSET($M$15,0,0,$B$8,1))=EV$13), 1*(_xlfn._xlws.FILTER(OFFSET($O$15,0,$DO300,$B$8,1),OFFSET($M$15,0,0,$B$8,1))=EV$14))   /   SUM(OFFSET($BO$15,0,0,$B$14,1)) + $B$18/($B$19*$B$19*($DN300&lt;&gt;$DO300) + $B$19*($DN300=$DO300))</f>
        <v>3.7037037037037035E-4</v>
      </c>
      <c r="EW300" s="10" cm="1">
        <f t="array" aca="1" ref="EW300" ca="1">(1-$B$18)*SUMPRODUCT(OFFSET($BO$15,0,0,$B$14,1), 1*(_xlfn._xlws.FILTER(OFFSET($O$15,0,$DN300,$B$8,1),OFFSET($M$15,0,0,$B$8,1))=EW$13), 1*(_xlfn._xlws.FILTER(OFFSET($O$15,0,$DO300,$B$8,1),OFFSET($M$15,0,0,$B$8,1))=EW$14))   /   SUM(OFFSET($BO$15,0,0,$B$14,1)) + $B$18/($B$19*$B$19*($DN300&lt;&gt;$DO300) + $B$19*($DN300=$DO300))</f>
        <v>3.7037037037037035E-4</v>
      </c>
      <c r="EX300" s="10" cm="1">
        <f t="array" aca="1" ref="EX300" ca="1">(1-$B$18)*SUMPRODUCT(OFFSET($BO$15,0,0,$B$14,1), 1*(_xlfn._xlws.FILTER(OFFSET($O$15,0,$DN300,$B$8,1),OFFSET($M$15,0,0,$B$8,1))=EX$13), 1*(_xlfn._xlws.FILTER(OFFSET($O$15,0,$DO300,$B$8,1),OFFSET($M$15,0,0,$B$8,1))=EX$14))   /   SUM(OFFSET($BO$15,0,0,$B$14,1)) + $B$18/($B$19*$B$19*($DN300&lt;&gt;$DO300) + $B$19*($DN300=$DO300))</f>
        <v>3.7037037037037035E-4</v>
      </c>
      <c r="EY300" s="10" cm="1">
        <f t="array" aca="1" ref="EY300" ca="1">(1-$B$18)*SUMPRODUCT(OFFSET($BO$15,0,0,$B$14,1), 1*(_xlfn._xlws.FILTER(OFFSET($O$15,0,$DN300,$B$8,1),OFFSET($M$15,0,0,$B$8,1))=EY$13), 1*(_xlfn._xlws.FILTER(OFFSET($O$15,0,$DO300,$B$8,1),OFFSET($M$15,0,0,$B$8,1))=EY$14))   /   SUM(OFFSET($BO$15,0,0,$B$14,1)) + $B$18/($B$19*$B$19*($DN300&lt;&gt;$DO300) + $B$19*($DN300=$DO300))</f>
        <v>3.7037037037037035E-4</v>
      </c>
      <c r="EZ300" s="10" cm="1">
        <f t="array" aca="1" ref="EZ300" ca="1">(1-$B$18)*SUMPRODUCT(OFFSET($BO$15,0,0,$B$14,1), 1*(_xlfn._xlws.FILTER(OFFSET($O$15,0,$DN300,$B$8,1),OFFSET($M$15,0,0,$B$8,1))=EZ$13), 1*(_xlfn._xlws.FILTER(OFFSET($O$15,0,$DO300,$B$8,1),OFFSET($M$15,0,0,$B$8,1))=EZ$14))   /   SUM(OFFSET($BO$15,0,0,$B$14,1)) + $B$18/($B$19*$B$19*($DN300&lt;&gt;$DO300) + $B$19*($DN300=$DO300))</f>
        <v>3.7037037037037035E-4</v>
      </c>
      <c r="FA300" s="10" cm="1">
        <f t="array" aca="1" ref="FA300" ca="1">(1-$B$18)*SUMPRODUCT(OFFSET($BO$15,0,0,$B$14,1), 1*(_xlfn._xlws.FILTER(OFFSET($O$15,0,$DN300,$B$8,1),OFFSET($M$15,0,0,$B$8,1))=FA$13), 1*(_xlfn._xlws.FILTER(OFFSET($O$15,0,$DO300,$B$8,1),OFFSET($M$15,0,0,$B$8,1))=FA$14))   /   SUM(OFFSET($BO$15,0,0,$B$14,1)) + $B$18/($B$19*$B$19*($DN300&lt;&gt;$DO300) + $B$19*($DN300=$DO300))</f>
        <v>3.7037037037037035E-4</v>
      </c>
      <c r="FB300" s="10" cm="1">
        <f t="array" aca="1" ref="FB300" ca="1">(1-$B$18)*SUMPRODUCT(OFFSET($BO$15,0,0,$B$14,1), 1*(_xlfn._xlws.FILTER(OFFSET($O$15,0,$DN300,$B$8,1),OFFSET($M$15,0,0,$B$8,1))=FB$13), 1*(_xlfn._xlws.FILTER(OFFSET($O$15,0,$DO300,$B$8,1),OFFSET($M$15,0,0,$B$8,1))=FB$14))   /   SUM(OFFSET($BO$15,0,0,$B$14,1)) + $B$18/($B$19*$B$19*($DN300&lt;&gt;$DO300) + $B$19*($DN300=$DO300))</f>
        <v>3.7037037037037035E-4</v>
      </c>
      <c r="FC300" s="10" cm="1">
        <f t="array" aca="1" ref="FC300" ca="1">(1-$B$18)*SUMPRODUCT(OFFSET($BO$15,0,0,$B$14,1), 1*(_xlfn._xlws.FILTER(OFFSET($O$15,0,$DN300,$B$8,1),OFFSET($M$15,0,0,$B$8,1))=FC$13), 1*(_xlfn._xlws.FILTER(OFFSET($O$15,0,$DO300,$B$8,1),OFFSET($M$15,0,0,$B$8,1))=FC$14))   /   SUM(OFFSET($BO$15,0,0,$B$14,1)) + $B$18/($B$19*$B$19*($DN300&lt;&gt;$DO300) + $B$19*($DN300=$DO300))</f>
        <v>3.7037037037037035E-4</v>
      </c>
      <c r="FD300" s="10" cm="1">
        <f t="array" aca="1" ref="FD300" ca="1">(1-$B$18)*SUMPRODUCT(OFFSET($BO$15,0,0,$B$14,1), 1*(_xlfn._xlws.FILTER(OFFSET($O$15,0,$DN300,$B$8,1),OFFSET($M$15,0,0,$B$8,1))=FD$13), 1*(_xlfn._xlws.FILTER(OFFSET($O$15,0,$DO300,$B$8,1),OFFSET($M$15,0,0,$B$8,1))=FD$14))   /   SUM(OFFSET($BO$15,0,0,$B$14,1)) + $B$18/($B$19*$B$19*($DN300&lt;&gt;$DO300) + $B$19*($DN300=$DO300))</f>
        <v>3.7037037037037035E-4</v>
      </c>
      <c r="FE300" s="10" cm="1">
        <f t="array" aca="1" ref="FE300" ca="1">(1-$B$18)*SUMPRODUCT(OFFSET($BO$15,0,0,$B$14,1), 1*(_xlfn._xlws.FILTER(OFFSET($O$15,0,$DN300,$B$8,1),OFFSET($M$15,0,0,$B$8,1))=FE$13), 1*(_xlfn._xlws.FILTER(OFFSET($O$15,0,$DO300,$B$8,1),OFFSET($M$15,0,0,$B$8,1))=FE$14))   /   SUM(OFFSET($BO$15,0,0,$B$14,1)) + $B$18/($B$19*$B$19*($DN300&lt;&gt;$DO300) + $B$19*($DN300=$DO300))</f>
        <v>3.7037037037037035E-4</v>
      </c>
      <c r="FF300" s="10" cm="1">
        <f t="array" aca="1" ref="FF300" ca="1">(1-$B$18)*SUMPRODUCT(OFFSET($BO$15,0,0,$B$14,1), 1*(_xlfn._xlws.FILTER(OFFSET($O$15,0,$DN300,$B$8,1),OFFSET($M$15,0,0,$B$8,1))=FF$13), 1*(_xlfn._xlws.FILTER(OFFSET($O$15,0,$DO300,$B$8,1),OFFSET($M$15,0,0,$B$8,1))=FF$14))   /   SUM(OFFSET($BO$15,0,0,$B$14,1)) + $B$18/($B$19*$B$19*($DN300&lt;&gt;$DO300) + $B$19*($DN300=$DO300))</f>
        <v>3.7037037037037035E-4</v>
      </c>
      <c r="FG300" s="10" cm="1">
        <f t="array" aca="1" ref="FG300" ca="1">(1-$B$18)*SUMPRODUCT(OFFSET($BO$15,0,0,$B$14,1), 1*(_xlfn._xlws.FILTER(OFFSET($O$15,0,$DN300,$B$8,1),OFFSET($M$15,0,0,$B$8,1))=FG$13), 1*(_xlfn._xlws.FILTER(OFFSET($O$15,0,$DO300,$B$8,1),OFFSET($M$15,0,0,$B$8,1))=FG$14))   /   SUM(OFFSET($BO$15,0,0,$B$14,1)) + $B$18/($B$19*$B$19*($DN300&lt;&gt;$DO300) + $B$19*($DN300=$DO300))</f>
        <v>3.7037037037037035E-4</v>
      </c>
      <c r="FH300" s="10" cm="1">
        <f t="array" aca="1" ref="FH300" ca="1">(1-$B$18)*SUMPRODUCT(OFFSET($BO$15,0,0,$B$14,1), 1*(_xlfn._xlws.FILTER(OFFSET($O$15,0,$DN300,$B$8,1),OFFSET($M$15,0,0,$B$8,1))=FH$13), 1*(_xlfn._xlws.FILTER(OFFSET($O$15,0,$DO300,$B$8,1),OFFSET($M$15,0,0,$B$8,1))=FH$14))   /   SUM(OFFSET($BO$15,0,0,$B$14,1)) + $B$18/($B$19*$B$19*($DN300&lt;&gt;$DO300) + $B$19*($DN300=$DO300))</f>
        <v>3.7037037037037035E-4</v>
      </c>
      <c r="FI300" s="10" cm="1">
        <f t="array" aca="1" ref="FI300" ca="1">(1-$B$18)*SUMPRODUCT(OFFSET($BO$15,0,0,$B$14,1), 1*(_xlfn._xlws.FILTER(OFFSET($O$15,0,$DN300,$B$8,1),OFFSET($M$15,0,0,$B$8,1))=FI$13), 1*(_xlfn._xlws.FILTER(OFFSET($O$15,0,$DO300,$B$8,1),OFFSET($M$15,0,0,$B$8,1))=FI$14))   /   SUM(OFFSET($BO$15,0,0,$B$14,1)) + $B$18/($B$19*$B$19*($DN300&lt;&gt;$DO300) + $B$19*($DN300=$DO300))</f>
        <v>3.7037037037037035E-4</v>
      </c>
      <c r="FJ300" s="10" cm="1">
        <f t="array" aca="1" ref="FJ300" ca="1">(1-$B$18)*SUMPRODUCT(OFFSET($BO$15,0,0,$B$14,1), 1*(_xlfn._xlws.FILTER(OFFSET($O$15,0,$DN300,$B$8,1),OFFSET($M$15,0,0,$B$8,1))=FJ$13), 1*(_xlfn._xlws.FILTER(OFFSET($O$15,0,$DO300,$B$8,1),OFFSET($M$15,0,0,$B$8,1))=FJ$14))   /   SUM(OFFSET($BO$15,0,0,$B$14,1)) + $B$18/($B$19*$B$19*($DN300&lt;&gt;$DO300) + $B$19*($DN300=$DO300))</f>
        <v>3.7037037037037035E-4</v>
      </c>
      <c r="FK300" s="10" cm="1">
        <f t="array" aca="1" ref="FK300" ca="1">(1-$B$18)*SUMPRODUCT(OFFSET($BO$15,0,0,$B$14,1), 1*(_xlfn._xlws.FILTER(OFFSET($O$15,0,$DN300,$B$8,1),OFFSET($M$15,0,0,$B$8,1))=FK$13), 1*(_xlfn._xlws.FILTER(OFFSET($O$15,0,$DO300,$B$8,1),OFFSET($M$15,0,0,$B$8,1))=FK$14))   /   SUM(OFFSET($BO$15,0,0,$B$14,1)) + $B$18/($B$19*$B$19*($DN300&lt;&gt;$DO300) + $B$19*($DN300=$DO300))</f>
        <v>3.7037037037037035E-4</v>
      </c>
      <c r="FL300" s="10" cm="1">
        <f t="array" aca="1" ref="FL300" ca="1">(1-$B$18)*SUMPRODUCT(OFFSET($BO$15,0,0,$B$14,1), 1*(_xlfn._xlws.FILTER(OFFSET($O$15,0,$DN300,$B$8,1),OFFSET($M$15,0,0,$B$8,1))=FL$13), 1*(_xlfn._xlws.FILTER(OFFSET($O$15,0,$DO300,$B$8,1),OFFSET($M$15,0,0,$B$8,1))=FL$14))   /   SUM(OFFSET($BO$15,0,0,$B$14,1)) + $B$18/($B$19*$B$19*($DN300&lt;&gt;$DO300) + $B$19*($DN300=$DO300))</f>
        <v>3.7037037037037035E-4</v>
      </c>
      <c r="FM300" s="10" cm="1">
        <f t="array" aca="1" ref="FM300" ca="1">(1-$B$18)*SUMPRODUCT(OFFSET($BO$15,0,0,$B$14,1), 1*(_xlfn._xlws.FILTER(OFFSET($O$15,0,$DN300,$B$8,1),OFFSET($M$15,0,0,$B$8,1))=FM$13), 1*(_xlfn._xlws.FILTER(OFFSET($O$15,0,$DO300,$B$8,1),OFFSET($M$15,0,0,$B$8,1))=FM$14))   /   SUM(OFFSET($BO$15,0,0,$B$14,1)) + $B$18/($B$19*$B$19*($DN300&lt;&gt;$DO300) + $B$19*($DN300=$DO300))</f>
        <v>3.7037037037037035E-4</v>
      </c>
      <c r="FN300" s="10" cm="1">
        <f t="array" aca="1" ref="FN300" ca="1">(1-$B$18)*SUMPRODUCT(OFFSET($BO$15,0,0,$B$14,1), 1*(_xlfn._xlws.FILTER(OFFSET($O$15,0,$DN300,$B$8,1),OFFSET($M$15,0,0,$B$8,1))=FN$13), 1*(_xlfn._xlws.FILTER(OFFSET($O$15,0,$DO300,$B$8,1),OFFSET($M$15,0,0,$B$8,1))=FN$14))   /   SUM(OFFSET($BO$15,0,0,$B$14,1)) + $B$18/($B$19*$B$19*($DN300&lt;&gt;$DO300) + $B$19*($DN300=$DO300))</f>
        <v>3.7037037037037035E-4</v>
      </c>
      <c r="FO300" s="10" cm="1">
        <f t="array" aca="1" ref="FO300" ca="1">(1-$B$18)*SUMPRODUCT(OFFSET($BO$15,0,0,$B$14,1), 1*(_xlfn._xlws.FILTER(OFFSET($O$15,0,$DN300,$B$8,1),OFFSET($M$15,0,0,$B$8,1))=FO$13), 1*(_xlfn._xlws.FILTER(OFFSET($O$15,0,$DO300,$B$8,1),OFFSET($M$15,0,0,$B$8,1))=FO$14))   /   SUM(OFFSET($BO$15,0,0,$B$14,1)) + $B$18/($B$19*$B$19*($DN300&lt;&gt;$DO300) + $B$19*($DN300=$DO300))</f>
        <v>3.7037037037037035E-4</v>
      </c>
      <c r="FP300" s="10" cm="1">
        <f t="array" aca="1" ref="FP300" ca="1">(1-$B$18)*SUMPRODUCT(OFFSET($BO$15,0,0,$B$14,1), 1*(_xlfn._xlws.FILTER(OFFSET($O$15,0,$DN300,$B$8,1),OFFSET($M$15,0,0,$B$8,1))=FP$13), 1*(_xlfn._xlws.FILTER(OFFSET($O$15,0,$DO300,$B$8,1),OFFSET($M$15,0,0,$B$8,1))=FP$14))   /   SUM(OFFSET($BO$15,0,0,$B$14,1)) + $B$18/($B$19*$B$19*($DN300&lt;&gt;$DO300) + $B$19*($DN300=$DO300))</f>
        <v>3.7037037037037035E-4</v>
      </c>
      <c r="FQ300" s="10" cm="1">
        <f t="array" aca="1" ref="FQ300" ca="1">(1-$B$18)*SUMPRODUCT(OFFSET($BO$15,0,0,$B$14,1), 1*(_xlfn._xlws.FILTER(OFFSET($O$15,0,$DN300,$B$8,1),OFFSET($M$15,0,0,$B$8,1))=FQ$13), 1*(_xlfn._xlws.FILTER(OFFSET($O$15,0,$DO300,$B$8,1),OFFSET($M$15,0,0,$B$8,1))=FQ$14))   /   SUM(OFFSET($BO$15,0,0,$B$14,1)) + $B$18/($B$19*$B$19*($DN300&lt;&gt;$DO300) + $B$19*($DN300=$DO300))</f>
        <v>3.7037037037037035E-4</v>
      </c>
      <c r="FR300" s="10" cm="1">
        <f t="array" aca="1" ref="FR300" ca="1">(1-$B$18)*SUMPRODUCT(OFFSET($BO$15,0,0,$B$14,1), 1*(_xlfn._xlws.FILTER(OFFSET($O$15,0,$DN300,$B$8,1),OFFSET($M$15,0,0,$B$8,1))=FR$13), 1*(_xlfn._xlws.FILTER(OFFSET($O$15,0,$DO300,$B$8,1),OFFSET($M$15,0,0,$B$8,1))=FR$14))   /   SUM(OFFSET($BO$15,0,0,$B$14,1)) + $B$18/($B$19*$B$19*($DN300&lt;&gt;$DO300) + $B$19*($DN300=$DO300))</f>
        <v>3.7037037037037035E-4</v>
      </c>
      <c r="FS300" s="10" cm="1">
        <f t="array" aca="1" ref="FS300" ca="1">(1-$B$18)*SUMPRODUCT(OFFSET($BO$15,0,0,$B$14,1), 1*(_xlfn._xlws.FILTER(OFFSET($O$15,0,$DN300,$B$8,1),OFFSET($M$15,0,0,$B$8,1))=FS$13), 1*(_xlfn._xlws.FILTER(OFFSET($O$15,0,$DO300,$B$8,1),OFFSET($M$15,0,0,$B$8,1))=FS$14))   /   SUM(OFFSET($BO$15,0,0,$B$14,1)) + $B$18/($B$19*$B$19*($DN300&lt;&gt;$DO300) + $B$19*($DN300=$DO300))</f>
        <v>3.7037037037037035E-4</v>
      </c>
      <c r="FT300" s="10" cm="1">
        <f t="array" aca="1" ref="FT300" ca="1">(1-$B$18)*SUMPRODUCT(OFFSET($BO$15,0,0,$B$14,1), 1*(_xlfn._xlws.FILTER(OFFSET($O$15,0,$DN300,$B$8,1),OFFSET($M$15,0,0,$B$8,1))=FT$13), 1*(_xlfn._xlws.FILTER(OFFSET($O$15,0,$DO300,$B$8,1),OFFSET($M$15,0,0,$B$8,1))=FT$14))   /   SUM(OFFSET($BO$15,0,0,$B$14,1)) + $B$18/($B$19*$B$19*($DN300&lt;&gt;$DO300) + $B$19*($DN300=$DO300))</f>
        <v>3.7037037037037035E-4</v>
      </c>
      <c r="FU300" s="10" cm="1">
        <f t="array" aca="1" ref="FU300" ca="1">(1-$B$18)*SUMPRODUCT(OFFSET($BO$15,0,0,$B$14,1), 1*(_xlfn._xlws.FILTER(OFFSET($O$15,0,$DN300,$B$8,1),OFFSET($M$15,0,0,$B$8,1))=FU$13), 1*(_xlfn._xlws.FILTER(OFFSET($O$15,0,$DO300,$B$8,1),OFFSET($M$15,0,0,$B$8,1))=FU$14))   /   SUM(OFFSET($BO$15,0,0,$B$14,1)) + $B$18/($B$19*$B$19*($DN300&lt;&gt;$DO300) + $B$19*($DN300=$DO300))</f>
        <v>3.7037037037037035E-4</v>
      </c>
      <c r="FV300" s="10" cm="1">
        <f t="array" aca="1" ref="FV300" ca="1">(1-$B$18)*SUMPRODUCT(OFFSET($BO$15,0,0,$B$14,1), 1*(_xlfn._xlws.FILTER(OFFSET($O$15,0,$DN300,$B$8,1),OFFSET($M$15,0,0,$B$8,1))=FV$13), 1*(_xlfn._xlws.FILTER(OFFSET($O$15,0,$DO300,$B$8,1),OFFSET($M$15,0,0,$B$8,1))=FV$14))   /   SUM(OFFSET($BO$15,0,0,$B$14,1)) + $B$18/($B$19*$B$19*($DN300&lt;&gt;$DO300) + $B$19*($DN300=$DO300))</f>
        <v>3.7037037037037035E-4</v>
      </c>
      <c r="FW300" s="10" cm="1">
        <f t="array" aca="1" ref="FW300" ca="1">(1-$B$18)*SUMPRODUCT(OFFSET($BO$15,0,0,$B$14,1), 1*(_xlfn._xlws.FILTER(OFFSET($O$15,0,$DN300,$B$8,1),OFFSET($M$15,0,0,$B$8,1))=FW$13), 1*(_xlfn._xlws.FILTER(OFFSET($O$15,0,$DO300,$B$8,1),OFFSET($M$15,0,0,$B$8,1))=FW$14))   /   SUM(OFFSET($BO$15,0,0,$B$14,1)) + $B$18/($B$19*$B$19*($DN300&lt;&gt;$DO300) + $B$19*($DN300=$DO300))</f>
        <v>3.7037037037037035E-4</v>
      </c>
      <c r="FX300" s="10" cm="1">
        <f t="array" aca="1" ref="FX300" ca="1">(1-$B$18)*SUMPRODUCT(OFFSET($BO$15,0,0,$B$14,1), 1*(_xlfn._xlws.FILTER(OFFSET($O$15,0,$DN300,$B$8,1),OFFSET($M$15,0,0,$B$8,1))=FX$13), 1*(_xlfn._xlws.FILTER(OFFSET($O$15,0,$DO300,$B$8,1),OFFSET($M$15,0,0,$B$8,1))=FX$14))   /   SUM(OFFSET($BO$15,0,0,$B$14,1)) + $B$18/($B$19*$B$19*($DN300&lt;&gt;$DO300) + $B$19*($DN300=$DO300))</f>
        <v>3.7037037037037035E-4</v>
      </c>
      <c r="FY300" s="10" cm="1">
        <f t="array" aca="1" ref="FY300" ca="1">(1-$B$18)*SUMPRODUCT(OFFSET($BO$15,0,0,$B$14,1), 1*(_xlfn._xlws.FILTER(OFFSET($O$15,0,$DN300,$B$8,1),OFFSET($M$15,0,0,$B$8,1))=FY$13), 1*(_xlfn._xlws.FILTER(OFFSET($O$15,0,$DO300,$B$8,1),OFFSET($M$15,0,0,$B$8,1))=FY$14))   /   SUM(OFFSET($BO$15,0,0,$B$14,1)) + $B$18/($B$19*$B$19*($DN300&lt;&gt;$DO300) + $B$19*($DN300=$DO300))</f>
        <v>3.7037037037037035E-4</v>
      </c>
      <c r="FZ300" s="10" cm="1">
        <f t="array" aca="1" ref="FZ300" ca="1">(1-$B$18)*SUMPRODUCT(OFFSET($BO$15,0,0,$B$14,1), 1*(_xlfn._xlws.FILTER(OFFSET($O$15,0,$DN300,$B$8,1),OFFSET($M$15,0,0,$B$8,1))=FZ$13), 1*(_xlfn._xlws.FILTER(OFFSET($O$15,0,$DO300,$B$8,1),OFFSET($M$15,0,0,$B$8,1))=FZ$14))   /   SUM(OFFSET($BO$15,0,0,$B$14,1)) + $B$18/($B$19*$B$19*($DN300&lt;&gt;$DO300) + $B$19*($DN300=$DO300))</f>
        <v>3.7037037037037035E-4</v>
      </c>
      <c r="GA300" s="10" cm="1">
        <f t="array" aca="1" ref="GA300" ca="1">(1-$B$18)*SUMPRODUCT(OFFSET($BO$15,0,0,$B$14,1), 1*(_xlfn._xlws.FILTER(OFFSET($O$15,0,$DN300,$B$8,1),OFFSET($M$15,0,0,$B$8,1))=GA$13), 1*(_xlfn._xlws.FILTER(OFFSET($O$15,0,$DO300,$B$8,1),OFFSET($M$15,0,0,$B$8,1))=GA$14))   /   SUM(OFFSET($BO$15,0,0,$B$14,1)) + $B$18/($B$19*$B$19*($DN300&lt;&gt;$DO300) + $B$19*($DN300=$DO300))</f>
        <v>3.7037037037037035E-4</v>
      </c>
    </row>
    <row r="301" spans="118:183" x14ac:dyDescent="0.2">
      <c r="DN301" cm="1">
        <f t="array" aca="1" ref="DN301" ca="1">INDEX(_xlfn.ANCHORARRAY($CP$15), 1 + INT((ROWS($DO$15:$DO301) - 1) / ROWS(_xlfn.ANCHORARRAY($CP$15))))</f>
        <v>18</v>
      </c>
      <c r="DO301" cm="1">
        <f t="array" aca="1" ref="DO301" ca="1">INDEX(_xlfn.ANCHORARRAY($CP$15),1+MOD(ROWS($DO$15:$DO301)-1,ROWS(_xlfn.ANCHORARRAY($CP$15))))</f>
        <v>1</v>
      </c>
      <c r="DP301" s="10" cm="1">
        <f t="array" aca="1" ref="DP301" ca="1">(1-$B$18)*SUMPRODUCT(OFFSET($BO$15,0,0,$B$14,1), 1*(_xlfn._xlws.FILTER(OFFSET($O$15,0,$DN301,$B$8,1),OFFSET($M$15,0,0,$B$8,1))=DP$13), 1*(_xlfn._xlws.FILTER(OFFSET($O$15,0,$DO301,$B$8,1),OFFSET($M$15,0,0,$B$8,1))=DP$14))   /   SUM(OFFSET($BO$15,0,0,$B$14,1)) + $B$18/($B$19*$B$19*($DN301&lt;&gt;$DO301) + $B$19*($DN301=$DO301))</f>
        <v>3.7037037037037035E-4</v>
      </c>
      <c r="DQ301" s="10" cm="1">
        <f t="array" aca="1" ref="DQ301" ca="1">(1-$B$18)*SUMPRODUCT(OFFSET($BO$15,0,0,$B$14,1), 1*(_xlfn._xlws.FILTER(OFFSET($O$15,0,$DN301,$B$8,1),OFFSET($M$15,0,0,$B$8,1))=DQ$13), 1*(_xlfn._xlws.FILTER(OFFSET($O$15,0,$DO301,$B$8,1),OFFSET($M$15,0,0,$B$8,1))=DQ$14))   /   SUM(OFFSET($BO$15,0,0,$B$14,1)) + $B$18/($B$19*$B$19*($DN301&lt;&gt;$DO301) + $B$19*($DN301=$DO301))</f>
        <v>3.7037037037037035E-4</v>
      </c>
      <c r="DR301" s="10" cm="1">
        <f t="array" aca="1" ref="DR301" ca="1">(1-$B$18)*SUMPRODUCT(OFFSET($BO$15,0,0,$B$14,1), 1*(_xlfn._xlws.FILTER(OFFSET($O$15,0,$DN301,$B$8,1),OFFSET($M$15,0,0,$B$8,1))=DR$13), 1*(_xlfn._xlws.FILTER(OFFSET($O$15,0,$DO301,$B$8,1),OFFSET($M$15,0,0,$B$8,1))=DR$14))   /   SUM(OFFSET($BO$15,0,0,$B$14,1)) + $B$18/($B$19*$B$19*($DN301&lt;&gt;$DO301) + $B$19*($DN301=$DO301))</f>
        <v>3.7037037037037035E-4</v>
      </c>
      <c r="DS301" s="10" cm="1">
        <f t="array" aca="1" ref="DS301" ca="1">(1-$B$18)*SUMPRODUCT(OFFSET($BO$15,0,0,$B$14,1), 1*(_xlfn._xlws.FILTER(OFFSET($O$15,0,$DN301,$B$8,1),OFFSET($M$15,0,0,$B$8,1))=DS$13), 1*(_xlfn._xlws.FILTER(OFFSET($O$15,0,$DO301,$B$8,1),OFFSET($M$15,0,0,$B$8,1))=DS$14))   /   SUM(OFFSET($BO$15,0,0,$B$14,1)) + $B$18/($B$19*$B$19*($DN301&lt;&gt;$DO301) + $B$19*($DN301=$DO301))</f>
        <v>3.7037037037037035E-4</v>
      </c>
      <c r="DT301" s="10" cm="1">
        <f t="array" aca="1" ref="DT301" ca="1">(1-$B$18)*SUMPRODUCT(OFFSET($BO$15,0,0,$B$14,1), 1*(_xlfn._xlws.FILTER(OFFSET($O$15,0,$DN301,$B$8,1),OFFSET($M$15,0,0,$B$8,1))=DT$13), 1*(_xlfn._xlws.FILTER(OFFSET($O$15,0,$DO301,$B$8,1),OFFSET($M$15,0,0,$B$8,1))=DT$14))   /   SUM(OFFSET($BO$15,0,0,$B$14,1)) + $B$18/($B$19*$B$19*($DN301&lt;&gt;$DO301) + $B$19*($DN301=$DO301))</f>
        <v>3.7037037037037035E-4</v>
      </c>
      <c r="DU301" s="10" cm="1">
        <f t="array" aca="1" ref="DU301" ca="1">(1-$B$18)*SUMPRODUCT(OFFSET($BO$15,0,0,$B$14,1), 1*(_xlfn._xlws.FILTER(OFFSET($O$15,0,$DN301,$B$8,1),OFFSET($M$15,0,0,$B$8,1))=DU$13), 1*(_xlfn._xlws.FILTER(OFFSET($O$15,0,$DO301,$B$8,1),OFFSET($M$15,0,0,$B$8,1))=DU$14))   /   SUM(OFFSET($BO$15,0,0,$B$14,1)) + $B$18/($B$19*$B$19*($DN301&lt;&gt;$DO301) + $B$19*($DN301=$DO301))</f>
        <v>3.7037037037037035E-4</v>
      </c>
      <c r="DV301" s="10" cm="1">
        <f t="array" aca="1" ref="DV301" ca="1">(1-$B$18)*SUMPRODUCT(OFFSET($BO$15,0,0,$B$14,1), 1*(_xlfn._xlws.FILTER(OFFSET($O$15,0,$DN301,$B$8,1),OFFSET($M$15,0,0,$B$8,1))=DV$13), 1*(_xlfn._xlws.FILTER(OFFSET($O$15,0,$DO301,$B$8,1),OFFSET($M$15,0,0,$B$8,1))=DV$14))   /   SUM(OFFSET($BO$15,0,0,$B$14,1)) + $B$18/($B$19*$B$19*($DN301&lt;&gt;$DO301) + $B$19*($DN301=$DO301))</f>
        <v>3.7037037037037035E-4</v>
      </c>
      <c r="DW301" s="10" cm="1">
        <f t="array" aca="1" ref="DW301" ca="1">(1-$B$18)*SUMPRODUCT(OFFSET($BO$15,0,0,$B$14,1), 1*(_xlfn._xlws.FILTER(OFFSET($O$15,0,$DN301,$B$8,1),OFFSET($M$15,0,0,$B$8,1))=DW$13), 1*(_xlfn._xlws.FILTER(OFFSET($O$15,0,$DO301,$B$8,1),OFFSET($M$15,0,0,$B$8,1))=DW$14))   /   SUM(OFFSET($BO$15,0,0,$B$14,1)) + $B$18/($B$19*$B$19*($DN301&lt;&gt;$DO301) + $B$19*($DN301=$DO301))</f>
        <v>3.7037037037037035E-4</v>
      </c>
      <c r="DX301" s="10" cm="1">
        <f t="array" aca="1" ref="DX301" ca="1">(1-$B$18)*SUMPRODUCT(OFFSET($BO$15,0,0,$B$14,1), 1*(_xlfn._xlws.FILTER(OFFSET($O$15,0,$DN301,$B$8,1),OFFSET($M$15,0,0,$B$8,1))=DX$13), 1*(_xlfn._xlws.FILTER(OFFSET($O$15,0,$DO301,$B$8,1),OFFSET($M$15,0,0,$B$8,1))=DX$14))   /   SUM(OFFSET($BO$15,0,0,$B$14,1)) + $B$18/($B$19*$B$19*($DN301&lt;&gt;$DO301) + $B$19*($DN301=$DO301))</f>
        <v>3.7037037037037035E-4</v>
      </c>
      <c r="DY301" s="10" cm="1">
        <f t="array" aca="1" ref="DY301" ca="1">(1-$B$18)*SUMPRODUCT(OFFSET($BO$15,0,0,$B$14,1), 1*(_xlfn._xlws.FILTER(OFFSET($O$15,0,$DN301,$B$8,1),OFFSET($M$15,0,0,$B$8,1))=DY$13), 1*(_xlfn._xlws.FILTER(OFFSET($O$15,0,$DO301,$B$8,1),OFFSET($M$15,0,0,$B$8,1))=DY$14))   /   SUM(OFFSET($BO$15,0,0,$B$14,1)) + $B$18/($B$19*$B$19*($DN301&lt;&gt;$DO301) + $B$19*($DN301=$DO301))</f>
        <v>3.7037037037037035E-4</v>
      </c>
      <c r="DZ301" s="10" cm="1">
        <f t="array" aca="1" ref="DZ301" ca="1">(1-$B$18)*SUMPRODUCT(OFFSET($BO$15,0,0,$B$14,1), 1*(_xlfn._xlws.FILTER(OFFSET($O$15,0,$DN301,$B$8,1),OFFSET($M$15,0,0,$B$8,1))=DZ$13), 1*(_xlfn._xlws.FILTER(OFFSET($O$15,0,$DO301,$B$8,1),OFFSET($M$15,0,0,$B$8,1))=DZ$14))   /   SUM(OFFSET($BO$15,0,0,$B$14,1)) + $B$18/($B$19*$B$19*($DN301&lt;&gt;$DO301) + $B$19*($DN301=$DO301))</f>
        <v>3.7037037037037035E-4</v>
      </c>
      <c r="EA301" s="10" cm="1">
        <f t="array" aca="1" ref="EA301" ca="1">(1-$B$18)*SUMPRODUCT(OFFSET($BO$15,0,0,$B$14,1), 1*(_xlfn._xlws.FILTER(OFFSET($O$15,0,$DN301,$B$8,1),OFFSET($M$15,0,0,$B$8,1))=EA$13), 1*(_xlfn._xlws.FILTER(OFFSET($O$15,0,$DO301,$B$8,1),OFFSET($M$15,0,0,$B$8,1))=EA$14))   /   SUM(OFFSET($BO$15,0,0,$B$14,1)) + $B$18/($B$19*$B$19*($DN301&lt;&gt;$DO301) + $B$19*($DN301=$DO301))</f>
        <v>3.7037037037037035E-4</v>
      </c>
      <c r="EB301" s="10" cm="1">
        <f t="array" aca="1" ref="EB301" ca="1">(1-$B$18)*SUMPRODUCT(OFFSET($BO$15,0,0,$B$14,1), 1*(_xlfn._xlws.FILTER(OFFSET($O$15,0,$DN301,$B$8,1),OFFSET($M$15,0,0,$B$8,1))=EB$13), 1*(_xlfn._xlws.FILTER(OFFSET($O$15,0,$DO301,$B$8,1),OFFSET($M$15,0,0,$B$8,1))=EB$14))   /   SUM(OFFSET($BO$15,0,0,$B$14,1)) + $B$18/($B$19*$B$19*($DN301&lt;&gt;$DO301) + $B$19*($DN301=$DO301))</f>
        <v>3.7037037037037035E-4</v>
      </c>
      <c r="EC301" s="10" cm="1">
        <f t="array" aca="1" ref="EC301" ca="1">(1-$B$18)*SUMPRODUCT(OFFSET($BO$15,0,0,$B$14,1), 1*(_xlfn._xlws.FILTER(OFFSET($O$15,0,$DN301,$B$8,1),OFFSET($M$15,0,0,$B$8,1))=EC$13), 1*(_xlfn._xlws.FILTER(OFFSET($O$15,0,$DO301,$B$8,1),OFFSET($M$15,0,0,$B$8,1))=EC$14))   /   SUM(OFFSET($BO$15,0,0,$B$14,1)) + $B$18/($B$19*$B$19*($DN301&lt;&gt;$DO301) + $B$19*($DN301=$DO301))</f>
        <v>3.7037037037037035E-4</v>
      </c>
      <c r="ED301" s="10" cm="1">
        <f t="array" aca="1" ref="ED301" ca="1">(1-$B$18)*SUMPRODUCT(OFFSET($BO$15,0,0,$B$14,1), 1*(_xlfn._xlws.FILTER(OFFSET($O$15,0,$DN301,$B$8,1),OFFSET($M$15,0,0,$B$8,1))=ED$13), 1*(_xlfn._xlws.FILTER(OFFSET($O$15,0,$DO301,$B$8,1),OFFSET($M$15,0,0,$B$8,1))=ED$14))   /   SUM(OFFSET($BO$15,0,0,$B$14,1)) + $B$18/($B$19*$B$19*($DN301&lt;&gt;$DO301) + $B$19*($DN301=$DO301))</f>
        <v>3.7037037037037035E-4</v>
      </c>
      <c r="EE301" s="10" cm="1">
        <f t="array" aca="1" ref="EE301" ca="1">(1-$B$18)*SUMPRODUCT(OFFSET($BO$15,0,0,$B$14,1), 1*(_xlfn._xlws.FILTER(OFFSET($O$15,0,$DN301,$B$8,1),OFFSET($M$15,0,0,$B$8,1))=EE$13), 1*(_xlfn._xlws.FILTER(OFFSET($O$15,0,$DO301,$B$8,1),OFFSET($M$15,0,0,$B$8,1))=EE$14))   /   SUM(OFFSET($BO$15,0,0,$B$14,1)) + $B$18/($B$19*$B$19*($DN301&lt;&gt;$DO301) + $B$19*($DN301=$DO301))</f>
        <v>3.7037037037037035E-4</v>
      </c>
      <c r="EF301" s="10" cm="1">
        <f t="array" aca="1" ref="EF301" ca="1">(1-$B$18)*SUMPRODUCT(OFFSET($BO$15,0,0,$B$14,1), 1*(_xlfn._xlws.FILTER(OFFSET($O$15,0,$DN301,$B$8,1),OFFSET($M$15,0,0,$B$8,1))=EF$13), 1*(_xlfn._xlws.FILTER(OFFSET($O$15,0,$DO301,$B$8,1),OFFSET($M$15,0,0,$B$8,1))=EF$14))   /   SUM(OFFSET($BO$15,0,0,$B$14,1)) + $B$18/($B$19*$B$19*($DN301&lt;&gt;$DO301) + $B$19*($DN301=$DO301))</f>
        <v>3.7037037037037035E-4</v>
      </c>
      <c r="EG301" s="10" cm="1">
        <f t="array" aca="1" ref="EG301" ca="1">(1-$B$18)*SUMPRODUCT(OFFSET($BO$15,0,0,$B$14,1), 1*(_xlfn._xlws.FILTER(OFFSET($O$15,0,$DN301,$B$8,1),OFFSET($M$15,0,0,$B$8,1))=EG$13), 1*(_xlfn._xlws.FILTER(OFFSET($O$15,0,$DO301,$B$8,1),OFFSET($M$15,0,0,$B$8,1))=EG$14))   /   SUM(OFFSET($BO$15,0,0,$B$14,1)) + $B$18/($B$19*$B$19*($DN301&lt;&gt;$DO301) + $B$19*($DN301=$DO301))</f>
        <v>3.7037037037037035E-4</v>
      </c>
      <c r="EH301" s="10" cm="1">
        <f t="array" aca="1" ref="EH301" ca="1">(1-$B$18)*SUMPRODUCT(OFFSET($BO$15,0,0,$B$14,1), 1*(_xlfn._xlws.FILTER(OFFSET($O$15,0,$DN301,$B$8,1),OFFSET($M$15,0,0,$B$8,1))=EH$13), 1*(_xlfn._xlws.FILTER(OFFSET($O$15,0,$DO301,$B$8,1),OFFSET($M$15,0,0,$B$8,1))=EH$14))   /   SUM(OFFSET($BO$15,0,0,$B$14,1)) + $B$18/($B$19*$B$19*($DN301&lt;&gt;$DO301) + $B$19*($DN301=$DO301))</f>
        <v>3.7037037037037035E-4</v>
      </c>
      <c r="EI301" s="10" cm="1">
        <f t="array" aca="1" ref="EI301" ca="1">(1-$B$18)*SUMPRODUCT(OFFSET($BO$15,0,0,$B$14,1), 1*(_xlfn._xlws.FILTER(OFFSET($O$15,0,$DN301,$B$8,1),OFFSET($M$15,0,0,$B$8,1))=EI$13), 1*(_xlfn._xlws.FILTER(OFFSET($O$15,0,$DO301,$B$8,1),OFFSET($M$15,0,0,$B$8,1))=EI$14))   /   SUM(OFFSET($BO$15,0,0,$B$14,1)) + $B$18/($B$19*$B$19*($DN301&lt;&gt;$DO301) + $B$19*($DN301=$DO301))</f>
        <v>3.7037037037037035E-4</v>
      </c>
      <c r="EJ301" s="10" cm="1">
        <f t="array" aca="1" ref="EJ301" ca="1">(1-$B$18)*SUMPRODUCT(OFFSET($BO$15,0,0,$B$14,1), 1*(_xlfn._xlws.FILTER(OFFSET($O$15,0,$DN301,$B$8,1),OFFSET($M$15,0,0,$B$8,1))=EJ$13), 1*(_xlfn._xlws.FILTER(OFFSET($O$15,0,$DO301,$B$8,1),OFFSET($M$15,0,0,$B$8,1))=EJ$14))   /   SUM(OFFSET($BO$15,0,0,$B$14,1)) + $B$18/($B$19*$B$19*($DN301&lt;&gt;$DO301) + $B$19*($DN301=$DO301))</f>
        <v>3.7037037037037035E-4</v>
      </c>
      <c r="EK301" s="10" cm="1">
        <f t="array" aca="1" ref="EK301" ca="1">(1-$B$18)*SUMPRODUCT(OFFSET($BO$15,0,0,$B$14,1), 1*(_xlfn._xlws.FILTER(OFFSET($O$15,0,$DN301,$B$8,1),OFFSET($M$15,0,0,$B$8,1))=EK$13), 1*(_xlfn._xlws.FILTER(OFFSET($O$15,0,$DO301,$B$8,1),OFFSET($M$15,0,0,$B$8,1))=EK$14))   /   SUM(OFFSET($BO$15,0,0,$B$14,1)) + $B$18/($B$19*$B$19*($DN301&lt;&gt;$DO301) + $B$19*($DN301=$DO301))</f>
        <v>3.7037037037037035E-4</v>
      </c>
      <c r="EL301" s="10" cm="1">
        <f t="array" aca="1" ref="EL301" ca="1">(1-$B$18)*SUMPRODUCT(OFFSET($BO$15,0,0,$B$14,1), 1*(_xlfn._xlws.FILTER(OFFSET($O$15,0,$DN301,$B$8,1),OFFSET($M$15,0,0,$B$8,1))=EL$13), 1*(_xlfn._xlws.FILTER(OFFSET($O$15,0,$DO301,$B$8,1),OFFSET($M$15,0,0,$B$8,1))=EL$14))   /   SUM(OFFSET($BO$15,0,0,$B$14,1)) + $B$18/($B$19*$B$19*($DN301&lt;&gt;$DO301) + $B$19*($DN301=$DO301))</f>
        <v>3.7037037037037035E-4</v>
      </c>
      <c r="EM301" s="10" cm="1">
        <f t="array" aca="1" ref="EM301" ca="1">(1-$B$18)*SUMPRODUCT(OFFSET($BO$15,0,0,$B$14,1), 1*(_xlfn._xlws.FILTER(OFFSET($O$15,0,$DN301,$B$8,1),OFFSET($M$15,0,0,$B$8,1))=EM$13), 1*(_xlfn._xlws.FILTER(OFFSET($O$15,0,$DO301,$B$8,1),OFFSET($M$15,0,0,$B$8,1))=EM$14))   /   SUM(OFFSET($BO$15,0,0,$B$14,1)) + $B$18/($B$19*$B$19*($DN301&lt;&gt;$DO301) + $B$19*($DN301=$DO301))</f>
        <v>3.7037037037037035E-4</v>
      </c>
      <c r="EN301" s="10" cm="1">
        <f t="array" aca="1" ref="EN301" ca="1">(1-$B$18)*SUMPRODUCT(OFFSET($BO$15,0,0,$B$14,1), 1*(_xlfn._xlws.FILTER(OFFSET($O$15,0,$DN301,$B$8,1),OFFSET($M$15,0,0,$B$8,1))=EN$13), 1*(_xlfn._xlws.FILTER(OFFSET($O$15,0,$DO301,$B$8,1),OFFSET($M$15,0,0,$B$8,1))=EN$14))   /   SUM(OFFSET($BO$15,0,0,$B$14,1)) + $B$18/($B$19*$B$19*($DN301&lt;&gt;$DO301) + $B$19*($DN301=$DO301))</f>
        <v>3.7037037037037035E-4</v>
      </c>
      <c r="EO301" s="10" cm="1">
        <f t="array" aca="1" ref="EO301" ca="1">(1-$B$18)*SUMPRODUCT(OFFSET($BO$15,0,0,$B$14,1), 1*(_xlfn._xlws.FILTER(OFFSET($O$15,0,$DN301,$B$8,1),OFFSET($M$15,0,0,$B$8,1))=EO$13), 1*(_xlfn._xlws.FILTER(OFFSET($O$15,0,$DO301,$B$8,1),OFFSET($M$15,0,0,$B$8,1))=EO$14))   /   SUM(OFFSET($BO$15,0,0,$B$14,1)) + $B$18/($B$19*$B$19*($DN301&lt;&gt;$DO301) + $B$19*($DN301=$DO301))</f>
        <v>3.7037037037037035E-4</v>
      </c>
      <c r="EP301" s="10" cm="1">
        <f t="array" aca="1" ref="EP301" ca="1">(1-$B$18)*SUMPRODUCT(OFFSET($BO$15,0,0,$B$14,1), 1*(_xlfn._xlws.FILTER(OFFSET($O$15,0,$DN301,$B$8,1),OFFSET($M$15,0,0,$B$8,1))=EP$13), 1*(_xlfn._xlws.FILTER(OFFSET($O$15,0,$DO301,$B$8,1),OFFSET($M$15,0,0,$B$8,1))=EP$14))   /   SUM(OFFSET($BO$15,0,0,$B$14,1)) + $B$18/($B$19*$B$19*($DN301&lt;&gt;$DO301) + $B$19*($DN301=$DO301))</f>
        <v>3.7037037037037035E-4</v>
      </c>
      <c r="EQ301" s="10" cm="1">
        <f t="array" aca="1" ref="EQ301" ca="1">(1-$B$18)*SUMPRODUCT(OFFSET($BO$15,0,0,$B$14,1), 1*(_xlfn._xlws.FILTER(OFFSET($O$15,0,$DN301,$B$8,1),OFFSET($M$15,0,0,$B$8,1))=EQ$13), 1*(_xlfn._xlws.FILTER(OFFSET($O$15,0,$DO301,$B$8,1),OFFSET($M$15,0,0,$B$8,1))=EQ$14))   /   SUM(OFFSET($BO$15,0,0,$B$14,1)) + $B$18/($B$19*$B$19*($DN301&lt;&gt;$DO301) + $B$19*($DN301=$DO301))</f>
        <v>3.7037037037037035E-4</v>
      </c>
      <c r="ER301" s="10" cm="1">
        <f t="array" aca="1" ref="ER301" ca="1">(1-$B$18)*SUMPRODUCT(OFFSET($BO$15,0,0,$B$14,1), 1*(_xlfn._xlws.FILTER(OFFSET($O$15,0,$DN301,$B$8,1),OFFSET($M$15,0,0,$B$8,1))=ER$13), 1*(_xlfn._xlws.FILTER(OFFSET($O$15,0,$DO301,$B$8,1),OFFSET($M$15,0,0,$B$8,1))=ER$14))   /   SUM(OFFSET($BO$15,0,0,$B$14,1)) + $B$18/($B$19*$B$19*($DN301&lt;&gt;$DO301) + $B$19*($DN301=$DO301))</f>
        <v>3.7037037037037035E-4</v>
      </c>
      <c r="ES301" s="10" cm="1">
        <f t="array" aca="1" ref="ES301" ca="1">(1-$B$18)*SUMPRODUCT(OFFSET($BO$15,0,0,$B$14,1), 1*(_xlfn._xlws.FILTER(OFFSET($O$15,0,$DN301,$B$8,1),OFFSET($M$15,0,0,$B$8,1))=ES$13), 1*(_xlfn._xlws.FILTER(OFFSET($O$15,0,$DO301,$B$8,1),OFFSET($M$15,0,0,$B$8,1))=ES$14))   /   SUM(OFFSET($BO$15,0,0,$B$14,1)) + $B$18/($B$19*$B$19*($DN301&lt;&gt;$DO301) + $B$19*($DN301=$DO301))</f>
        <v>3.7037037037037035E-4</v>
      </c>
      <c r="ET301" s="10" cm="1">
        <f t="array" aca="1" ref="ET301" ca="1">(1-$B$18)*SUMPRODUCT(OFFSET($BO$15,0,0,$B$14,1), 1*(_xlfn._xlws.FILTER(OFFSET($O$15,0,$DN301,$B$8,1),OFFSET($M$15,0,0,$B$8,1))=ET$13), 1*(_xlfn._xlws.FILTER(OFFSET($O$15,0,$DO301,$B$8,1),OFFSET($M$15,0,0,$B$8,1))=ET$14))   /   SUM(OFFSET($BO$15,0,0,$B$14,1)) + $B$18/($B$19*$B$19*($DN301&lt;&gt;$DO301) + $B$19*($DN301=$DO301))</f>
        <v>0.97037037037037033</v>
      </c>
      <c r="EU301" s="10" cm="1">
        <f t="array" aca="1" ref="EU301" ca="1">(1-$B$18)*SUMPRODUCT(OFFSET($BO$15,0,0,$B$14,1), 1*(_xlfn._xlws.FILTER(OFFSET($O$15,0,$DN301,$B$8,1),OFFSET($M$15,0,0,$B$8,1))=EU$13), 1*(_xlfn._xlws.FILTER(OFFSET($O$15,0,$DO301,$B$8,1),OFFSET($M$15,0,0,$B$8,1))=EU$14))   /   SUM(OFFSET($BO$15,0,0,$B$14,1)) + $B$18/($B$19*$B$19*($DN301&lt;&gt;$DO301) + $B$19*($DN301=$DO301))</f>
        <v>3.7037037037037035E-4</v>
      </c>
      <c r="EV301" s="10" cm="1">
        <f t="array" aca="1" ref="EV301" ca="1">(1-$B$18)*SUMPRODUCT(OFFSET($BO$15,0,0,$B$14,1), 1*(_xlfn._xlws.FILTER(OFFSET($O$15,0,$DN301,$B$8,1),OFFSET($M$15,0,0,$B$8,1))=EV$13), 1*(_xlfn._xlws.FILTER(OFFSET($O$15,0,$DO301,$B$8,1),OFFSET($M$15,0,0,$B$8,1))=EV$14))   /   SUM(OFFSET($BO$15,0,0,$B$14,1)) + $B$18/($B$19*$B$19*($DN301&lt;&gt;$DO301) + $B$19*($DN301=$DO301))</f>
        <v>3.7037037037037035E-4</v>
      </c>
      <c r="EW301" s="10" cm="1">
        <f t="array" aca="1" ref="EW301" ca="1">(1-$B$18)*SUMPRODUCT(OFFSET($BO$15,0,0,$B$14,1), 1*(_xlfn._xlws.FILTER(OFFSET($O$15,0,$DN301,$B$8,1),OFFSET($M$15,0,0,$B$8,1))=EW$13), 1*(_xlfn._xlws.FILTER(OFFSET($O$15,0,$DO301,$B$8,1),OFFSET($M$15,0,0,$B$8,1))=EW$14))   /   SUM(OFFSET($BO$15,0,0,$B$14,1)) + $B$18/($B$19*$B$19*($DN301&lt;&gt;$DO301) + $B$19*($DN301=$DO301))</f>
        <v>3.7037037037037035E-4</v>
      </c>
      <c r="EX301" s="10" cm="1">
        <f t="array" aca="1" ref="EX301" ca="1">(1-$B$18)*SUMPRODUCT(OFFSET($BO$15,0,0,$B$14,1), 1*(_xlfn._xlws.FILTER(OFFSET($O$15,0,$DN301,$B$8,1),OFFSET($M$15,0,0,$B$8,1))=EX$13), 1*(_xlfn._xlws.FILTER(OFFSET($O$15,0,$DO301,$B$8,1),OFFSET($M$15,0,0,$B$8,1))=EX$14))   /   SUM(OFFSET($BO$15,0,0,$B$14,1)) + $B$18/($B$19*$B$19*($DN301&lt;&gt;$DO301) + $B$19*($DN301=$DO301))</f>
        <v>3.7037037037037035E-4</v>
      </c>
      <c r="EY301" s="10" cm="1">
        <f t="array" aca="1" ref="EY301" ca="1">(1-$B$18)*SUMPRODUCT(OFFSET($BO$15,0,0,$B$14,1), 1*(_xlfn._xlws.FILTER(OFFSET($O$15,0,$DN301,$B$8,1),OFFSET($M$15,0,0,$B$8,1))=EY$13), 1*(_xlfn._xlws.FILTER(OFFSET($O$15,0,$DO301,$B$8,1),OFFSET($M$15,0,0,$B$8,1))=EY$14))   /   SUM(OFFSET($BO$15,0,0,$B$14,1)) + $B$18/($B$19*$B$19*($DN301&lt;&gt;$DO301) + $B$19*($DN301=$DO301))</f>
        <v>3.7037037037037035E-4</v>
      </c>
      <c r="EZ301" s="10" cm="1">
        <f t="array" aca="1" ref="EZ301" ca="1">(1-$B$18)*SUMPRODUCT(OFFSET($BO$15,0,0,$B$14,1), 1*(_xlfn._xlws.FILTER(OFFSET($O$15,0,$DN301,$B$8,1),OFFSET($M$15,0,0,$B$8,1))=EZ$13), 1*(_xlfn._xlws.FILTER(OFFSET($O$15,0,$DO301,$B$8,1),OFFSET($M$15,0,0,$B$8,1))=EZ$14))   /   SUM(OFFSET($BO$15,0,0,$B$14,1)) + $B$18/($B$19*$B$19*($DN301&lt;&gt;$DO301) + $B$19*($DN301=$DO301))</f>
        <v>3.7037037037037035E-4</v>
      </c>
      <c r="FA301" s="10" cm="1">
        <f t="array" aca="1" ref="FA301" ca="1">(1-$B$18)*SUMPRODUCT(OFFSET($BO$15,0,0,$B$14,1), 1*(_xlfn._xlws.FILTER(OFFSET($O$15,0,$DN301,$B$8,1),OFFSET($M$15,0,0,$B$8,1))=FA$13), 1*(_xlfn._xlws.FILTER(OFFSET($O$15,0,$DO301,$B$8,1),OFFSET($M$15,0,0,$B$8,1))=FA$14))   /   SUM(OFFSET($BO$15,0,0,$B$14,1)) + $B$18/($B$19*$B$19*($DN301&lt;&gt;$DO301) + $B$19*($DN301=$DO301))</f>
        <v>3.7037037037037035E-4</v>
      </c>
      <c r="FB301" s="10" cm="1">
        <f t="array" aca="1" ref="FB301" ca="1">(1-$B$18)*SUMPRODUCT(OFFSET($BO$15,0,0,$B$14,1), 1*(_xlfn._xlws.FILTER(OFFSET($O$15,0,$DN301,$B$8,1),OFFSET($M$15,0,0,$B$8,1))=FB$13), 1*(_xlfn._xlws.FILTER(OFFSET($O$15,0,$DO301,$B$8,1),OFFSET($M$15,0,0,$B$8,1))=FB$14))   /   SUM(OFFSET($BO$15,0,0,$B$14,1)) + $B$18/($B$19*$B$19*($DN301&lt;&gt;$DO301) + $B$19*($DN301=$DO301))</f>
        <v>3.7037037037037035E-4</v>
      </c>
      <c r="FC301" s="10" cm="1">
        <f t="array" aca="1" ref="FC301" ca="1">(1-$B$18)*SUMPRODUCT(OFFSET($BO$15,0,0,$B$14,1), 1*(_xlfn._xlws.FILTER(OFFSET($O$15,0,$DN301,$B$8,1),OFFSET($M$15,0,0,$B$8,1))=FC$13), 1*(_xlfn._xlws.FILTER(OFFSET($O$15,0,$DO301,$B$8,1),OFFSET($M$15,0,0,$B$8,1))=FC$14))   /   SUM(OFFSET($BO$15,0,0,$B$14,1)) + $B$18/($B$19*$B$19*($DN301&lt;&gt;$DO301) + $B$19*($DN301=$DO301))</f>
        <v>3.7037037037037035E-4</v>
      </c>
      <c r="FD301" s="10" cm="1">
        <f t="array" aca="1" ref="FD301" ca="1">(1-$B$18)*SUMPRODUCT(OFFSET($BO$15,0,0,$B$14,1), 1*(_xlfn._xlws.FILTER(OFFSET($O$15,0,$DN301,$B$8,1),OFFSET($M$15,0,0,$B$8,1))=FD$13), 1*(_xlfn._xlws.FILTER(OFFSET($O$15,0,$DO301,$B$8,1),OFFSET($M$15,0,0,$B$8,1))=FD$14))   /   SUM(OFFSET($BO$15,0,0,$B$14,1)) + $B$18/($B$19*$B$19*($DN301&lt;&gt;$DO301) + $B$19*($DN301=$DO301))</f>
        <v>3.7037037037037035E-4</v>
      </c>
      <c r="FE301" s="10" cm="1">
        <f t="array" aca="1" ref="FE301" ca="1">(1-$B$18)*SUMPRODUCT(OFFSET($BO$15,0,0,$B$14,1), 1*(_xlfn._xlws.FILTER(OFFSET($O$15,0,$DN301,$B$8,1),OFFSET($M$15,0,0,$B$8,1))=FE$13), 1*(_xlfn._xlws.FILTER(OFFSET($O$15,0,$DO301,$B$8,1),OFFSET($M$15,0,0,$B$8,1))=FE$14))   /   SUM(OFFSET($BO$15,0,0,$B$14,1)) + $B$18/($B$19*$B$19*($DN301&lt;&gt;$DO301) + $B$19*($DN301=$DO301))</f>
        <v>3.7037037037037035E-4</v>
      </c>
      <c r="FF301" s="10" cm="1">
        <f t="array" aca="1" ref="FF301" ca="1">(1-$B$18)*SUMPRODUCT(OFFSET($BO$15,0,0,$B$14,1), 1*(_xlfn._xlws.FILTER(OFFSET($O$15,0,$DN301,$B$8,1),OFFSET($M$15,0,0,$B$8,1))=FF$13), 1*(_xlfn._xlws.FILTER(OFFSET($O$15,0,$DO301,$B$8,1),OFFSET($M$15,0,0,$B$8,1))=FF$14))   /   SUM(OFFSET($BO$15,0,0,$B$14,1)) + $B$18/($B$19*$B$19*($DN301&lt;&gt;$DO301) + $B$19*($DN301=$DO301))</f>
        <v>3.7037037037037035E-4</v>
      </c>
      <c r="FG301" s="10" cm="1">
        <f t="array" aca="1" ref="FG301" ca="1">(1-$B$18)*SUMPRODUCT(OFFSET($BO$15,0,0,$B$14,1), 1*(_xlfn._xlws.FILTER(OFFSET($O$15,0,$DN301,$B$8,1),OFFSET($M$15,0,0,$B$8,1))=FG$13), 1*(_xlfn._xlws.FILTER(OFFSET($O$15,0,$DO301,$B$8,1),OFFSET($M$15,0,0,$B$8,1))=FG$14))   /   SUM(OFFSET($BO$15,0,0,$B$14,1)) + $B$18/($B$19*$B$19*($DN301&lt;&gt;$DO301) + $B$19*($DN301=$DO301))</f>
        <v>3.7037037037037035E-4</v>
      </c>
      <c r="FH301" s="10" cm="1">
        <f t="array" aca="1" ref="FH301" ca="1">(1-$B$18)*SUMPRODUCT(OFFSET($BO$15,0,0,$B$14,1), 1*(_xlfn._xlws.FILTER(OFFSET($O$15,0,$DN301,$B$8,1),OFFSET($M$15,0,0,$B$8,1))=FH$13), 1*(_xlfn._xlws.FILTER(OFFSET($O$15,0,$DO301,$B$8,1),OFFSET($M$15,0,0,$B$8,1))=FH$14))   /   SUM(OFFSET($BO$15,0,0,$B$14,1)) + $B$18/($B$19*$B$19*($DN301&lt;&gt;$DO301) + $B$19*($DN301=$DO301))</f>
        <v>3.7037037037037035E-4</v>
      </c>
      <c r="FI301" s="10" cm="1">
        <f t="array" aca="1" ref="FI301" ca="1">(1-$B$18)*SUMPRODUCT(OFFSET($BO$15,0,0,$B$14,1), 1*(_xlfn._xlws.FILTER(OFFSET($O$15,0,$DN301,$B$8,1),OFFSET($M$15,0,0,$B$8,1))=FI$13), 1*(_xlfn._xlws.FILTER(OFFSET($O$15,0,$DO301,$B$8,1),OFFSET($M$15,0,0,$B$8,1))=FI$14))   /   SUM(OFFSET($BO$15,0,0,$B$14,1)) + $B$18/($B$19*$B$19*($DN301&lt;&gt;$DO301) + $B$19*($DN301=$DO301))</f>
        <v>3.7037037037037035E-4</v>
      </c>
      <c r="FJ301" s="10" cm="1">
        <f t="array" aca="1" ref="FJ301" ca="1">(1-$B$18)*SUMPRODUCT(OFFSET($BO$15,0,0,$B$14,1), 1*(_xlfn._xlws.FILTER(OFFSET($O$15,0,$DN301,$B$8,1),OFFSET($M$15,0,0,$B$8,1))=FJ$13), 1*(_xlfn._xlws.FILTER(OFFSET($O$15,0,$DO301,$B$8,1),OFFSET($M$15,0,0,$B$8,1))=FJ$14))   /   SUM(OFFSET($BO$15,0,0,$B$14,1)) + $B$18/($B$19*$B$19*($DN301&lt;&gt;$DO301) + $B$19*($DN301=$DO301))</f>
        <v>3.7037037037037035E-4</v>
      </c>
      <c r="FK301" s="10" cm="1">
        <f t="array" aca="1" ref="FK301" ca="1">(1-$B$18)*SUMPRODUCT(OFFSET($BO$15,0,0,$B$14,1), 1*(_xlfn._xlws.FILTER(OFFSET($O$15,0,$DN301,$B$8,1),OFFSET($M$15,0,0,$B$8,1))=FK$13), 1*(_xlfn._xlws.FILTER(OFFSET($O$15,0,$DO301,$B$8,1),OFFSET($M$15,0,0,$B$8,1))=FK$14))   /   SUM(OFFSET($BO$15,0,0,$B$14,1)) + $B$18/($B$19*$B$19*($DN301&lt;&gt;$DO301) + $B$19*($DN301=$DO301))</f>
        <v>3.7037037037037035E-4</v>
      </c>
      <c r="FL301" s="10" cm="1">
        <f t="array" aca="1" ref="FL301" ca="1">(1-$B$18)*SUMPRODUCT(OFFSET($BO$15,0,0,$B$14,1), 1*(_xlfn._xlws.FILTER(OFFSET($O$15,0,$DN301,$B$8,1),OFFSET($M$15,0,0,$B$8,1))=FL$13), 1*(_xlfn._xlws.FILTER(OFFSET($O$15,0,$DO301,$B$8,1),OFFSET($M$15,0,0,$B$8,1))=FL$14))   /   SUM(OFFSET($BO$15,0,0,$B$14,1)) + $B$18/($B$19*$B$19*($DN301&lt;&gt;$DO301) + $B$19*($DN301=$DO301))</f>
        <v>3.7037037037037035E-4</v>
      </c>
      <c r="FM301" s="10" cm="1">
        <f t="array" aca="1" ref="FM301" ca="1">(1-$B$18)*SUMPRODUCT(OFFSET($BO$15,0,0,$B$14,1), 1*(_xlfn._xlws.FILTER(OFFSET($O$15,0,$DN301,$B$8,1),OFFSET($M$15,0,0,$B$8,1))=FM$13), 1*(_xlfn._xlws.FILTER(OFFSET($O$15,0,$DO301,$B$8,1),OFFSET($M$15,0,0,$B$8,1))=FM$14))   /   SUM(OFFSET($BO$15,0,0,$B$14,1)) + $B$18/($B$19*$B$19*($DN301&lt;&gt;$DO301) + $B$19*($DN301=$DO301))</f>
        <v>3.7037037037037035E-4</v>
      </c>
      <c r="FN301" s="10" cm="1">
        <f t="array" aca="1" ref="FN301" ca="1">(1-$B$18)*SUMPRODUCT(OFFSET($BO$15,0,0,$B$14,1), 1*(_xlfn._xlws.FILTER(OFFSET($O$15,0,$DN301,$B$8,1),OFFSET($M$15,0,0,$B$8,1))=FN$13), 1*(_xlfn._xlws.FILTER(OFFSET($O$15,0,$DO301,$B$8,1),OFFSET($M$15,0,0,$B$8,1))=FN$14))   /   SUM(OFFSET($BO$15,0,0,$B$14,1)) + $B$18/($B$19*$B$19*($DN301&lt;&gt;$DO301) + $B$19*($DN301=$DO301))</f>
        <v>3.7037037037037035E-4</v>
      </c>
      <c r="FO301" s="10" cm="1">
        <f t="array" aca="1" ref="FO301" ca="1">(1-$B$18)*SUMPRODUCT(OFFSET($BO$15,0,0,$B$14,1), 1*(_xlfn._xlws.FILTER(OFFSET($O$15,0,$DN301,$B$8,1),OFFSET($M$15,0,0,$B$8,1))=FO$13), 1*(_xlfn._xlws.FILTER(OFFSET($O$15,0,$DO301,$B$8,1),OFFSET($M$15,0,0,$B$8,1))=FO$14))   /   SUM(OFFSET($BO$15,0,0,$B$14,1)) + $B$18/($B$19*$B$19*($DN301&lt;&gt;$DO301) + $B$19*($DN301=$DO301))</f>
        <v>3.7037037037037035E-4</v>
      </c>
      <c r="FP301" s="10" cm="1">
        <f t="array" aca="1" ref="FP301" ca="1">(1-$B$18)*SUMPRODUCT(OFFSET($BO$15,0,0,$B$14,1), 1*(_xlfn._xlws.FILTER(OFFSET($O$15,0,$DN301,$B$8,1),OFFSET($M$15,0,0,$B$8,1))=FP$13), 1*(_xlfn._xlws.FILTER(OFFSET($O$15,0,$DO301,$B$8,1),OFFSET($M$15,0,0,$B$8,1))=FP$14))   /   SUM(OFFSET($BO$15,0,0,$B$14,1)) + $B$18/($B$19*$B$19*($DN301&lt;&gt;$DO301) + $B$19*($DN301=$DO301))</f>
        <v>3.7037037037037035E-4</v>
      </c>
      <c r="FQ301" s="10" cm="1">
        <f t="array" aca="1" ref="FQ301" ca="1">(1-$B$18)*SUMPRODUCT(OFFSET($BO$15,0,0,$B$14,1), 1*(_xlfn._xlws.FILTER(OFFSET($O$15,0,$DN301,$B$8,1),OFFSET($M$15,0,0,$B$8,1))=FQ$13), 1*(_xlfn._xlws.FILTER(OFFSET($O$15,0,$DO301,$B$8,1),OFFSET($M$15,0,0,$B$8,1))=FQ$14))   /   SUM(OFFSET($BO$15,0,0,$B$14,1)) + $B$18/($B$19*$B$19*($DN301&lt;&gt;$DO301) + $B$19*($DN301=$DO301))</f>
        <v>3.7037037037037035E-4</v>
      </c>
      <c r="FR301" s="10" cm="1">
        <f t="array" aca="1" ref="FR301" ca="1">(1-$B$18)*SUMPRODUCT(OFFSET($BO$15,0,0,$B$14,1), 1*(_xlfn._xlws.FILTER(OFFSET($O$15,0,$DN301,$B$8,1),OFFSET($M$15,0,0,$B$8,1))=FR$13), 1*(_xlfn._xlws.FILTER(OFFSET($O$15,0,$DO301,$B$8,1),OFFSET($M$15,0,0,$B$8,1))=FR$14))   /   SUM(OFFSET($BO$15,0,0,$B$14,1)) + $B$18/($B$19*$B$19*($DN301&lt;&gt;$DO301) + $B$19*($DN301=$DO301))</f>
        <v>3.7037037037037035E-4</v>
      </c>
      <c r="FS301" s="10" cm="1">
        <f t="array" aca="1" ref="FS301" ca="1">(1-$B$18)*SUMPRODUCT(OFFSET($BO$15,0,0,$B$14,1), 1*(_xlfn._xlws.FILTER(OFFSET($O$15,0,$DN301,$B$8,1),OFFSET($M$15,0,0,$B$8,1))=FS$13), 1*(_xlfn._xlws.FILTER(OFFSET($O$15,0,$DO301,$B$8,1),OFFSET($M$15,0,0,$B$8,1))=FS$14))   /   SUM(OFFSET($BO$15,0,0,$B$14,1)) + $B$18/($B$19*$B$19*($DN301&lt;&gt;$DO301) + $B$19*($DN301=$DO301))</f>
        <v>3.7037037037037035E-4</v>
      </c>
      <c r="FT301" s="10" cm="1">
        <f t="array" aca="1" ref="FT301" ca="1">(1-$B$18)*SUMPRODUCT(OFFSET($BO$15,0,0,$B$14,1), 1*(_xlfn._xlws.FILTER(OFFSET($O$15,0,$DN301,$B$8,1),OFFSET($M$15,0,0,$B$8,1))=FT$13), 1*(_xlfn._xlws.FILTER(OFFSET($O$15,0,$DO301,$B$8,1),OFFSET($M$15,0,0,$B$8,1))=FT$14))   /   SUM(OFFSET($BO$15,0,0,$B$14,1)) + $B$18/($B$19*$B$19*($DN301&lt;&gt;$DO301) + $B$19*($DN301=$DO301))</f>
        <v>3.7037037037037035E-4</v>
      </c>
      <c r="FU301" s="10" cm="1">
        <f t="array" aca="1" ref="FU301" ca="1">(1-$B$18)*SUMPRODUCT(OFFSET($BO$15,0,0,$B$14,1), 1*(_xlfn._xlws.FILTER(OFFSET($O$15,0,$DN301,$B$8,1),OFFSET($M$15,0,0,$B$8,1))=FU$13), 1*(_xlfn._xlws.FILTER(OFFSET($O$15,0,$DO301,$B$8,1),OFFSET($M$15,0,0,$B$8,1))=FU$14))   /   SUM(OFFSET($BO$15,0,0,$B$14,1)) + $B$18/($B$19*$B$19*($DN301&lt;&gt;$DO301) + $B$19*($DN301=$DO301))</f>
        <v>3.7037037037037035E-4</v>
      </c>
      <c r="FV301" s="10" cm="1">
        <f t="array" aca="1" ref="FV301" ca="1">(1-$B$18)*SUMPRODUCT(OFFSET($BO$15,0,0,$B$14,1), 1*(_xlfn._xlws.FILTER(OFFSET($O$15,0,$DN301,$B$8,1),OFFSET($M$15,0,0,$B$8,1))=FV$13), 1*(_xlfn._xlws.FILTER(OFFSET($O$15,0,$DO301,$B$8,1),OFFSET($M$15,0,0,$B$8,1))=FV$14))   /   SUM(OFFSET($BO$15,0,0,$B$14,1)) + $B$18/($B$19*$B$19*($DN301&lt;&gt;$DO301) + $B$19*($DN301=$DO301))</f>
        <v>3.7037037037037035E-4</v>
      </c>
      <c r="FW301" s="10" cm="1">
        <f t="array" aca="1" ref="FW301" ca="1">(1-$B$18)*SUMPRODUCT(OFFSET($BO$15,0,0,$B$14,1), 1*(_xlfn._xlws.FILTER(OFFSET($O$15,0,$DN301,$B$8,1),OFFSET($M$15,0,0,$B$8,1))=FW$13), 1*(_xlfn._xlws.FILTER(OFFSET($O$15,0,$DO301,$B$8,1),OFFSET($M$15,0,0,$B$8,1))=FW$14))   /   SUM(OFFSET($BO$15,0,0,$B$14,1)) + $B$18/($B$19*$B$19*($DN301&lt;&gt;$DO301) + $B$19*($DN301=$DO301))</f>
        <v>3.7037037037037035E-4</v>
      </c>
      <c r="FX301" s="10" cm="1">
        <f t="array" aca="1" ref="FX301" ca="1">(1-$B$18)*SUMPRODUCT(OFFSET($BO$15,0,0,$B$14,1), 1*(_xlfn._xlws.FILTER(OFFSET($O$15,0,$DN301,$B$8,1),OFFSET($M$15,0,0,$B$8,1))=FX$13), 1*(_xlfn._xlws.FILTER(OFFSET($O$15,0,$DO301,$B$8,1),OFFSET($M$15,0,0,$B$8,1))=FX$14))   /   SUM(OFFSET($BO$15,0,0,$B$14,1)) + $B$18/($B$19*$B$19*($DN301&lt;&gt;$DO301) + $B$19*($DN301=$DO301))</f>
        <v>3.7037037037037035E-4</v>
      </c>
      <c r="FY301" s="10" cm="1">
        <f t="array" aca="1" ref="FY301" ca="1">(1-$B$18)*SUMPRODUCT(OFFSET($BO$15,0,0,$B$14,1), 1*(_xlfn._xlws.FILTER(OFFSET($O$15,0,$DN301,$B$8,1),OFFSET($M$15,0,0,$B$8,1))=FY$13), 1*(_xlfn._xlws.FILTER(OFFSET($O$15,0,$DO301,$B$8,1),OFFSET($M$15,0,0,$B$8,1))=FY$14))   /   SUM(OFFSET($BO$15,0,0,$B$14,1)) + $B$18/($B$19*$B$19*($DN301&lt;&gt;$DO301) + $B$19*($DN301=$DO301))</f>
        <v>3.7037037037037035E-4</v>
      </c>
      <c r="FZ301" s="10" cm="1">
        <f t="array" aca="1" ref="FZ301" ca="1">(1-$B$18)*SUMPRODUCT(OFFSET($BO$15,0,0,$B$14,1), 1*(_xlfn._xlws.FILTER(OFFSET($O$15,0,$DN301,$B$8,1),OFFSET($M$15,0,0,$B$8,1))=FZ$13), 1*(_xlfn._xlws.FILTER(OFFSET($O$15,0,$DO301,$B$8,1),OFFSET($M$15,0,0,$B$8,1))=FZ$14))   /   SUM(OFFSET($BO$15,0,0,$B$14,1)) + $B$18/($B$19*$B$19*($DN301&lt;&gt;$DO301) + $B$19*($DN301=$DO301))</f>
        <v>3.7037037037037035E-4</v>
      </c>
      <c r="GA301" s="10" cm="1">
        <f t="array" aca="1" ref="GA301" ca="1">(1-$B$18)*SUMPRODUCT(OFFSET($BO$15,0,0,$B$14,1), 1*(_xlfn._xlws.FILTER(OFFSET($O$15,0,$DN301,$B$8,1),OFFSET($M$15,0,0,$B$8,1))=GA$13), 1*(_xlfn._xlws.FILTER(OFFSET($O$15,0,$DO301,$B$8,1),OFFSET($M$15,0,0,$B$8,1))=GA$14))   /   SUM(OFFSET($BO$15,0,0,$B$14,1)) + $B$18/($B$19*$B$19*($DN301&lt;&gt;$DO301) + $B$19*($DN301=$DO301))</f>
        <v>3.7037037037037035E-4</v>
      </c>
    </row>
    <row r="302" spans="118:183" x14ac:dyDescent="0.2">
      <c r="DN302" cm="1">
        <f t="array" aca="1" ref="DN302" ca="1">INDEX(_xlfn.ANCHORARRAY($CP$15), 1 + INT((ROWS($DO$15:$DO302) - 1) / ROWS(_xlfn.ANCHORARRAY($CP$15))))</f>
        <v>18</v>
      </c>
      <c r="DO302" cm="1">
        <f t="array" aca="1" ref="DO302" ca="1">INDEX(_xlfn.ANCHORARRAY($CP$15),1+MOD(ROWS($DO$15:$DO302)-1,ROWS(_xlfn.ANCHORARRAY($CP$15))))</f>
        <v>2</v>
      </c>
      <c r="DP302" s="10" cm="1">
        <f t="array" aca="1" ref="DP302" ca="1">(1-$B$18)*SUMPRODUCT(OFFSET($BO$15,0,0,$B$14,1), 1*(_xlfn._xlws.FILTER(OFFSET($O$15,0,$DN302,$B$8,1),OFFSET($M$15,0,0,$B$8,1))=DP$13), 1*(_xlfn._xlws.FILTER(OFFSET($O$15,0,$DO302,$B$8,1),OFFSET($M$15,0,0,$B$8,1))=DP$14))   /   SUM(OFFSET($BO$15,0,0,$B$14,1)) + $B$18/($B$19*$B$19*($DN302&lt;&gt;$DO302) + $B$19*($DN302=$DO302))</f>
        <v>3.7037037037037035E-4</v>
      </c>
      <c r="DQ302" s="10" cm="1">
        <f t="array" aca="1" ref="DQ302" ca="1">(1-$B$18)*SUMPRODUCT(OFFSET($BO$15,0,0,$B$14,1), 1*(_xlfn._xlws.FILTER(OFFSET($O$15,0,$DN302,$B$8,1),OFFSET($M$15,0,0,$B$8,1))=DQ$13), 1*(_xlfn._xlws.FILTER(OFFSET($O$15,0,$DO302,$B$8,1),OFFSET($M$15,0,0,$B$8,1))=DQ$14))   /   SUM(OFFSET($BO$15,0,0,$B$14,1)) + $B$18/($B$19*$B$19*($DN302&lt;&gt;$DO302) + $B$19*($DN302=$DO302))</f>
        <v>3.7037037037037035E-4</v>
      </c>
      <c r="DR302" s="10" cm="1">
        <f t="array" aca="1" ref="DR302" ca="1">(1-$B$18)*SUMPRODUCT(OFFSET($BO$15,0,0,$B$14,1), 1*(_xlfn._xlws.FILTER(OFFSET($O$15,0,$DN302,$B$8,1),OFFSET($M$15,0,0,$B$8,1))=DR$13), 1*(_xlfn._xlws.FILTER(OFFSET($O$15,0,$DO302,$B$8,1),OFFSET($M$15,0,0,$B$8,1))=DR$14))   /   SUM(OFFSET($BO$15,0,0,$B$14,1)) + $B$18/($B$19*$B$19*($DN302&lt;&gt;$DO302) + $B$19*($DN302=$DO302))</f>
        <v>3.7037037037037035E-4</v>
      </c>
      <c r="DS302" s="10" cm="1">
        <f t="array" aca="1" ref="DS302" ca="1">(1-$B$18)*SUMPRODUCT(OFFSET($BO$15,0,0,$B$14,1), 1*(_xlfn._xlws.FILTER(OFFSET($O$15,0,$DN302,$B$8,1),OFFSET($M$15,0,0,$B$8,1))=DS$13), 1*(_xlfn._xlws.FILTER(OFFSET($O$15,0,$DO302,$B$8,1),OFFSET($M$15,0,0,$B$8,1))=DS$14))   /   SUM(OFFSET($BO$15,0,0,$B$14,1)) + $B$18/($B$19*$B$19*($DN302&lt;&gt;$DO302) + $B$19*($DN302=$DO302))</f>
        <v>3.7037037037037035E-4</v>
      </c>
      <c r="DT302" s="10" cm="1">
        <f t="array" aca="1" ref="DT302" ca="1">(1-$B$18)*SUMPRODUCT(OFFSET($BO$15,0,0,$B$14,1), 1*(_xlfn._xlws.FILTER(OFFSET($O$15,0,$DN302,$B$8,1),OFFSET($M$15,0,0,$B$8,1))=DT$13), 1*(_xlfn._xlws.FILTER(OFFSET($O$15,0,$DO302,$B$8,1),OFFSET($M$15,0,0,$B$8,1))=DT$14))   /   SUM(OFFSET($BO$15,0,0,$B$14,1)) + $B$18/($B$19*$B$19*($DN302&lt;&gt;$DO302) + $B$19*($DN302=$DO302))</f>
        <v>3.7037037037037035E-4</v>
      </c>
      <c r="DU302" s="10" cm="1">
        <f t="array" aca="1" ref="DU302" ca="1">(1-$B$18)*SUMPRODUCT(OFFSET($BO$15,0,0,$B$14,1), 1*(_xlfn._xlws.FILTER(OFFSET($O$15,0,$DN302,$B$8,1),OFFSET($M$15,0,0,$B$8,1))=DU$13), 1*(_xlfn._xlws.FILTER(OFFSET($O$15,0,$DO302,$B$8,1),OFFSET($M$15,0,0,$B$8,1))=DU$14))   /   SUM(OFFSET($BO$15,0,0,$B$14,1)) + $B$18/($B$19*$B$19*($DN302&lt;&gt;$DO302) + $B$19*($DN302=$DO302))</f>
        <v>3.7037037037037035E-4</v>
      </c>
      <c r="DV302" s="10" cm="1">
        <f t="array" aca="1" ref="DV302" ca="1">(1-$B$18)*SUMPRODUCT(OFFSET($BO$15,0,0,$B$14,1), 1*(_xlfn._xlws.FILTER(OFFSET($O$15,0,$DN302,$B$8,1),OFFSET($M$15,0,0,$B$8,1))=DV$13), 1*(_xlfn._xlws.FILTER(OFFSET($O$15,0,$DO302,$B$8,1),OFFSET($M$15,0,0,$B$8,1))=DV$14))   /   SUM(OFFSET($BO$15,0,0,$B$14,1)) + $B$18/($B$19*$B$19*($DN302&lt;&gt;$DO302) + $B$19*($DN302=$DO302))</f>
        <v>3.7037037037037035E-4</v>
      </c>
      <c r="DW302" s="10" cm="1">
        <f t="array" aca="1" ref="DW302" ca="1">(1-$B$18)*SUMPRODUCT(OFFSET($BO$15,0,0,$B$14,1), 1*(_xlfn._xlws.FILTER(OFFSET($O$15,0,$DN302,$B$8,1),OFFSET($M$15,0,0,$B$8,1))=DW$13), 1*(_xlfn._xlws.FILTER(OFFSET($O$15,0,$DO302,$B$8,1),OFFSET($M$15,0,0,$B$8,1))=DW$14))   /   SUM(OFFSET($BO$15,0,0,$B$14,1)) + $B$18/($B$19*$B$19*($DN302&lt;&gt;$DO302) + $B$19*($DN302=$DO302))</f>
        <v>3.7037037037037035E-4</v>
      </c>
      <c r="DX302" s="10" cm="1">
        <f t="array" aca="1" ref="DX302" ca="1">(1-$B$18)*SUMPRODUCT(OFFSET($BO$15,0,0,$B$14,1), 1*(_xlfn._xlws.FILTER(OFFSET($O$15,0,$DN302,$B$8,1),OFFSET($M$15,0,0,$B$8,1))=DX$13), 1*(_xlfn._xlws.FILTER(OFFSET($O$15,0,$DO302,$B$8,1),OFFSET($M$15,0,0,$B$8,1))=DX$14))   /   SUM(OFFSET($BO$15,0,0,$B$14,1)) + $B$18/($B$19*$B$19*($DN302&lt;&gt;$DO302) + $B$19*($DN302=$DO302))</f>
        <v>3.7037037037037035E-4</v>
      </c>
      <c r="DY302" s="10" cm="1">
        <f t="array" aca="1" ref="DY302" ca="1">(1-$B$18)*SUMPRODUCT(OFFSET($BO$15,0,0,$B$14,1), 1*(_xlfn._xlws.FILTER(OFFSET($O$15,0,$DN302,$B$8,1),OFFSET($M$15,0,0,$B$8,1))=DY$13), 1*(_xlfn._xlws.FILTER(OFFSET($O$15,0,$DO302,$B$8,1),OFFSET($M$15,0,0,$B$8,1))=DY$14))   /   SUM(OFFSET($BO$15,0,0,$B$14,1)) + $B$18/($B$19*$B$19*($DN302&lt;&gt;$DO302) + $B$19*($DN302=$DO302))</f>
        <v>3.7037037037037035E-4</v>
      </c>
      <c r="DZ302" s="10" cm="1">
        <f t="array" aca="1" ref="DZ302" ca="1">(1-$B$18)*SUMPRODUCT(OFFSET($BO$15,0,0,$B$14,1), 1*(_xlfn._xlws.FILTER(OFFSET($O$15,0,$DN302,$B$8,1),OFFSET($M$15,0,0,$B$8,1))=DZ$13), 1*(_xlfn._xlws.FILTER(OFFSET($O$15,0,$DO302,$B$8,1),OFFSET($M$15,0,0,$B$8,1))=DZ$14))   /   SUM(OFFSET($BO$15,0,0,$B$14,1)) + $B$18/($B$19*$B$19*($DN302&lt;&gt;$DO302) + $B$19*($DN302=$DO302))</f>
        <v>3.7037037037037035E-4</v>
      </c>
      <c r="EA302" s="10" cm="1">
        <f t="array" aca="1" ref="EA302" ca="1">(1-$B$18)*SUMPRODUCT(OFFSET($BO$15,0,0,$B$14,1), 1*(_xlfn._xlws.FILTER(OFFSET($O$15,0,$DN302,$B$8,1),OFFSET($M$15,0,0,$B$8,1))=EA$13), 1*(_xlfn._xlws.FILTER(OFFSET($O$15,0,$DO302,$B$8,1),OFFSET($M$15,0,0,$B$8,1))=EA$14))   /   SUM(OFFSET($BO$15,0,0,$B$14,1)) + $B$18/($B$19*$B$19*($DN302&lt;&gt;$DO302) + $B$19*($DN302=$DO302))</f>
        <v>3.7037037037037035E-4</v>
      </c>
      <c r="EB302" s="10" cm="1">
        <f t="array" aca="1" ref="EB302" ca="1">(1-$B$18)*SUMPRODUCT(OFFSET($BO$15,0,0,$B$14,1), 1*(_xlfn._xlws.FILTER(OFFSET($O$15,0,$DN302,$B$8,1),OFFSET($M$15,0,0,$B$8,1))=EB$13), 1*(_xlfn._xlws.FILTER(OFFSET($O$15,0,$DO302,$B$8,1),OFFSET($M$15,0,0,$B$8,1))=EB$14))   /   SUM(OFFSET($BO$15,0,0,$B$14,1)) + $B$18/($B$19*$B$19*($DN302&lt;&gt;$DO302) + $B$19*($DN302=$DO302))</f>
        <v>3.7037037037037035E-4</v>
      </c>
      <c r="EC302" s="10" cm="1">
        <f t="array" aca="1" ref="EC302" ca="1">(1-$B$18)*SUMPRODUCT(OFFSET($BO$15,0,0,$B$14,1), 1*(_xlfn._xlws.FILTER(OFFSET($O$15,0,$DN302,$B$8,1),OFFSET($M$15,0,0,$B$8,1))=EC$13), 1*(_xlfn._xlws.FILTER(OFFSET($O$15,0,$DO302,$B$8,1),OFFSET($M$15,0,0,$B$8,1))=EC$14))   /   SUM(OFFSET($BO$15,0,0,$B$14,1)) + $B$18/($B$19*$B$19*($DN302&lt;&gt;$DO302) + $B$19*($DN302=$DO302))</f>
        <v>3.7037037037037035E-4</v>
      </c>
      <c r="ED302" s="10" cm="1">
        <f t="array" aca="1" ref="ED302" ca="1">(1-$B$18)*SUMPRODUCT(OFFSET($BO$15,0,0,$B$14,1), 1*(_xlfn._xlws.FILTER(OFFSET($O$15,0,$DN302,$B$8,1),OFFSET($M$15,0,0,$B$8,1))=ED$13), 1*(_xlfn._xlws.FILTER(OFFSET($O$15,0,$DO302,$B$8,1),OFFSET($M$15,0,0,$B$8,1))=ED$14))   /   SUM(OFFSET($BO$15,0,0,$B$14,1)) + $B$18/($B$19*$B$19*($DN302&lt;&gt;$DO302) + $B$19*($DN302=$DO302))</f>
        <v>3.7037037037037035E-4</v>
      </c>
      <c r="EE302" s="10" cm="1">
        <f t="array" aca="1" ref="EE302" ca="1">(1-$B$18)*SUMPRODUCT(OFFSET($BO$15,0,0,$B$14,1), 1*(_xlfn._xlws.FILTER(OFFSET($O$15,0,$DN302,$B$8,1),OFFSET($M$15,0,0,$B$8,1))=EE$13), 1*(_xlfn._xlws.FILTER(OFFSET($O$15,0,$DO302,$B$8,1),OFFSET($M$15,0,0,$B$8,1))=EE$14))   /   SUM(OFFSET($BO$15,0,0,$B$14,1)) + $B$18/($B$19*$B$19*($DN302&lt;&gt;$DO302) + $B$19*($DN302=$DO302))</f>
        <v>3.7037037037037035E-4</v>
      </c>
      <c r="EF302" s="10" cm="1">
        <f t="array" aca="1" ref="EF302" ca="1">(1-$B$18)*SUMPRODUCT(OFFSET($BO$15,0,0,$B$14,1), 1*(_xlfn._xlws.FILTER(OFFSET($O$15,0,$DN302,$B$8,1),OFFSET($M$15,0,0,$B$8,1))=EF$13), 1*(_xlfn._xlws.FILTER(OFFSET($O$15,0,$DO302,$B$8,1),OFFSET($M$15,0,0,$B$8,1))=EF$14))   /   SUM(OFFSET($BO$15,0,0,$B$14,1)) + $B$18/($B$19*$B$19*($DN302&lt;&gt;$DO302) + $B$19*($DN302=$DO302))</f>
        <v>3.7037037037037035E-4</v>
      </c>
      <c r="EG302" s="10" cm="1">
        <f t="array" aca="1" ref="EG302" ca="1">(1-$B$18)*SUMPRODUCT(OFFSET($BO$15,0,0,$B$14,1), 1*(_xlfn._xlws.FILTER(OFFSET($O$15,0,$DN302,$B$8,1),OFFSET($M$15,0,0,$B$8,1))=EG$13), 1*(_xlfn._xlws.FILTER(OFFSET($O$15,0,$DO302,$B$8,1),OFFSET($M$15,0,0,$B$8,1))=EG$14))   /   SUM(OFFSET($BO$15,0,0,$B$14,1)) + $B$18/($B$19*$B$19*($DN302&lt;&gt;$DO302) + $B$19*($DN302=$DO302))</f>
        <v>3.7037037037037035E-4</v>
      </c>
      <c r="EH302" s="10" cm="1">
        <f t="array" aca="1" ref="EH302" ca="1">(1-$B$18)*SUMPRODUCT(OFFSET($BO$15,0,0,$B$14,1), 1*(_xlfn._xlws.FILTER(OFFSET($O$15,0,$DN302,$B$8,1),OFFSET($M$15,0,0,$B$8,1))=EH$13), 1*(_xlfn._xlws.FILTER(OFFSET($O$15,0,$DO302,$B$8,1),OFFSET($M$15,0,0,$B$8,1))=EH$14))   /   SUM(OFFSET($BO$15,0,0,$B$14,1)) + $B$18/($B$19*$B$19*($DN302&lt;&gt;$DO302) + $B$19*($DN302=$DO302))</f>
        <v>3.7037037037037035E-4</v>
      </c>
      <c r="EI302" s="10" cm="1">
        <f t="array" aca="1" ref="EI302" ca="1">(1-$B$18)*SUMPRODUCT(OFFSET($BO$15,0,0,$B$14,1), 1*(_xlfn._xlws.FILTER(OFFSET($O$15,0,$DN302,$B$8,1),OFFSET($M$15,0,0,$B$8,1))=EI$13), 1*(_xlfn._xlws.FILTER(OFFSET($O$15,0,$DO302,$B$8,1),OFFSET($M$15,0,0,$B$8,1))=EI$14))   /   SUM(OFFSET($BO$15,0,0,$B$14,1)) + $B$18/($B$19*$B$19*($DN302&lt;&gt;$DO302) + $B$19*($DN302=$DO302))</f>
        <v>3.7037037037037035E-4</v>
      </c>
      <c r="EJ302" s="10" cm="1">
        <f t="array" aca="1" ref="EJ302" ca="1">(1-$B$18)*SUMPRODUCT(OFFSET($BO$15,0,0,$B$14,1), 1*(_xlfn._xlws.FILTER(OFFSET($O$15,0,$DN302,$B$8,1),OFFSET($M$15,0,0,$B$8,1))=EJ$13), 1*(_xlfn._xlws.FILTER(OFFSET($O$15,0,$DO302,$B$8,1),OFFSET($M$15,0,0,$B$8,1))=EJ$14))   /   SUM(OFFSET($BO$15,0,0,$B$14,1)) + $B$18/($B$19*$B$19*($DN302&lt;&gt;$DO302) + $B$19*($DN302=$DO302))</f>
        <v>3.7037037037037035E-4</v>
      </c>
      <c r="EK302" s="10" cm="1">
        <f t="array" aca="1" ref="EK302" ca="1">(1-$B$18)*SUMPRODUCT(OFFSET($BO$15,0,0,$B$14,1), 1*(_xlfn._xlws.FILTER(OFFSET($O$15,0,$DN302,$B$8,1),OFFSET($M$15,0,0,$B$8,1))=EK$13), 1*(_xlfn._xlws.FILTER(OFFSET($O$15,0,$DO302,$B$8,1),OFFSET($M$15,0,0,$B$8,1))=EK$14))   /   SUM(OFFSET($BO$15,0,0,$B$14,1)) + $B$18/($B$19*$B$19*($DN302&lt;&gt;$DO302) + $B$19*($DN302=$DO302))</f>
        <v>3.7037037037037035E-4</v>
      </c>
      <c r="EL302" s="10" cm="1">
        <f t="array" aca="1" ref="EL302" ca="1">(1-$B$18)*SUMPRODUCT(OFFSET($BO$15,0,0,$B$14,1), 1*(_xlfn._xlws.FILTER(OFFSET($O$15,0,$DN302,$B$8,1),OFFSET($M$15,0,0,$B$8,1))=EL$13), 1*(_xlfn._xlws.FILTER(OFFSET($O$15,0,$DO302,$B$8,1),OFFSET($M$15,0,0,$B$8,1))=EL$14))   /   SUM(OFFSET($BO$15,0,0,$B$14,1)) + $B$18/($B$19*$B$19*($DN302&lt;&gt;$DO302) + $B$19*($DN302=$DO302))</f>
        <v>3.7037037037037035E-4</v>
      </c>
      <c r="EM302" s="10" cm="1">
        <f t="array" aca="1" ref="EM302" ca="1">(1-$B$18)*SUMPRODUCT(OFFSET($BO$15,0,0,$B$14,1), 1*(_xlfn._xlws.FILTER(OFFSET($O$15,0,$DN302,$B$8,1),OFFSET($M$15,0,0,$B$8,1))=EM$13), 1*(_xlfn._xlws.FILTER(OFFSET($O$15,0,$DO302,$B$8,1),OFFSET($M$15,0,0,$B$8,1))=EM$14))   /   SUM(OFFSET($BO$15,0,0,$B$14,1)) + $B$18/($B$19*$B$19*($DN302&lt;&gt;$DO302) + $B$19*($DN302=$DO302))</f>
        <v>3.7037037037037035E-4</v>
      </c>
      <c r="EN302" s="10" cm="1">
        <f t="array" aca="1" ref="EN302" ca="1">(1-$B$18)*SUMPRODUCT(OFFSET($BO$15,0,0,$B$14,1), 1*(_xlfn._xlws.FILTER(OFFSET($O$15,0,$DN302,$B$8,1),OFFSET($M$15,0,0,$B$8,1))=EN$13), 1*(_xlfn._xlws.FILTER(OFFSET($O$15,0,$DO302,$B$8,1),OFFSET($M$15,0,0,$B$8,1))=EN$14))   /   SUM(OFFSET($BO$15,0,0,$B$14,1)) + $B$18/($B$19*$B$19*($DN302&lt;&gt;$DO302) + $B$19*($DN302=$DO302))</f>
        <v>3.7037037037037035E-4</v>
      </c>
      <c r="EO302" s="10" cm="1">
        <f t="array" aca="1" ref="EO302" ca="1">(1-$B$18)*SUMPRODUCT(OFFSET($BO$15,0,0,$B$14,1), 1*(_xlfn._xlws.FILTER(OFFSET($O$15,0,$DN302,$B$8,1),OFFSET($M$15,0,0,$B$8,1))=EO$13), 1*(_xlfn._xlws.FILTER(OFFSET($O$15,0,$DO302,$B$8,1),OFFSET($M$15,0,0,$B$8,1))=EO$14))   /   SUM(OFFSET($BO$15,0,0,$B$14,1)) + $B$18/($B$19*$B$19*($DN302&lt;&gt;$DO302) + $B$19*($DN302=$DO302))</f>
        <v>3.7037037037037035E-4</v>
      </c>
      <c r="EP302" s="10" cm="1">
        <f t="array" aca="1" ref="EP302" ca="1">(1-$B$18)*SUMPRODUCT(OFFSET($BO$15,0,0,$B$14,1), 1*(_xlfn._xlws.FILTER(OFFSET($O$15,0,$DN302,$B$8,1),OFFSET($M$15,0,0,$B$8,1))=EP$13), 1*(_xlfn._xlws.FILTER(OFFSET($O$15,0,$DO302,$B$8,1),OFFSET($M$15,0,0,$B$8,1))=EP$14))   /   SUM(OFFSET($BO$15,0,0,$B$14,1)) + $B$18/($B$19*$B$19*($DN302&lt;&gt;$DO302) + $B$19*($DN302=$DO302))</f>
        <v>3.7037037037037035E-4</v>
      </c>
      <c r="EQ302" s="10" cm="1">
        <f t="array" aca="1" ref="EQ302" ca="1">(1-$B$18)*SUMPRODUCT(OFFSET($BO$15,0,0,$B$14,1), 1*(_xlfn._xlws.FILTER(OFFSET($O$15,0,$DN302,$B$8,1),OFFSET($M$15,0,0,$B$8,1))=EQ$13), 1*(_xlfn._xlws.FILTER(OFFSET($O$15,0,$DO302,$B$8,1),OFFSET($M$15,0,0,$B$8,1))=EQ$14))   /   SUM(OFFSET($BO$15,0,0,$B$14,1)) + $B$18/($B$19*$B$19*($DN302&lt;&gt;$DO302) + $B$19*($DN302=$DO302))</f>
        <v>3.7037037037037035E-4</v>
      </c>
      <c r="ER302" s="10" cm="1">
        <f t="array" aca="1" ref="ER302" ca="1">(1-$B$18)*SUMPRODUCT(OFFSET($BO$15,0,0,$B$14,1), 1*(_xlfn._xlws.FILTER(OFFSET($O$15,0,$DN302,$B$8,1),OFFSET($M$15,0,0,$B$8,1))=ER$13), 1*(_xlfn._xlws.FILTER(OFFSET($O$15,0,$DO302,$B$8,1),OFFSET($M$15,0,0,$B$8,1))=ER$14))   /   SUM(OFFSET($BO$15,0,0,$B$14,1)) + $B$18/($B$19*$B$19*($DN302&lt;&gt;$DO302) + $B$19*($DN302=$DO302))</f>
        <v>3.7037037037037035E-4</v>
      </c>
      <c r="ES302" s="10" cm="1">
        <f t="array" aca="1" ref="ES302" ca="1">(1-$B$18)*SUMPRODUCT(OFFSET($BO$15,0,0,$B$14,1), 1*(_xlfn._xlws.FILTER(OFFSET($O$15,0,$DN302,$B$8,1),OFFSET($M$15,0,0,$B$8,1))=ES$13), 1*(_xlfn._xlws.FILTER(OFFSET($O$15,0,$DO302,$B$8,1),OFFSET($M$15,0,0,$B$8,1))=ES$14))   /   SUM(OFFSET($BO$15,0,0,$B$14,1)) + $B$18/($B$19*$B$19*($DN302&lt;&gt;$DO302) + $B$19*($DN302=$DO302))</f>
        <v>3.7037037037037035E-4</v>
      </c>
      <c r="ET302" s="10" cm="1">
        <f t="array" aca="1" ref="ET302" ca="1">(1-$B$18)*SUMPRODUCT(OFFSET($BO$15,0,0,$B$14,1), 1*(_xlfn._xlws.FILTER(OFFSET($O$15,0,$DN302,$B$8,1),OFFSET($M$15,0,0,$B$8,1))=ET$13), 1*(_xlfn._xlws.FILTER(OFFSET($O$15,0,$DO302,$B$8,1),OFFSET($M$15,0,0,$B$8,1))=ET$14))   /   SUM(OFFSET($BO$15,0,0,$B$14,1)) + $B$18/($B$19*$B$19*($DN302&lt;&gt;$DO302) + $B$19*($DN302=$DO302))</f>
        <v>0.97037037037037033</v>
      </c>
      <c r="EU302" s="10" cm="1">
        <f t="array" aca="1" ref="EU302" ca="1">(1-$B$18)*SUMPRODUCT(OFFSET($BO$15,0,0,$B$14,1), 1*(_xlfn._xlws.FILTER(OFFSET($O$15,0,$DN302,$B$8,1),OFFSET($M$15,0,0,$B$8,1))=EU$13), 1*(_xlfn._xlws.FILTER(OFFSET($O$15,0,$DO302,$B$8,1),OFFSET($M$15,0,0,$B$8,1))=EU$14))   /   SUM(OFFSET($BO$15,0,0,$B$14,1)) + $B$18/($B$19*$B$19*($DN302&lt;&gt;$DO302) + $B$19*($DN302=$DO302))</f>
        <v>3.7037037037037035E-4</v>
      </c>
      <c r="EV302" s="10" cm="1">
        <f t="array" aca="1" ref="EV302" ca="1">(1-$B$18)*SUMPRODUCT(OFFSET($BO$15,0,0,$B$14,1), 1*(_xlfn._xlws.FILTER(OFFSET($O$15,0,$DN302,$B$8,1),OFFSET($M$15,0,0,$B$8,1))=EV$13), 1*(_xlfn._xlws.FILTER(OFFSET($O$15,0,$DO302,$B$8,1),OFFSET($M$15,0,0,$B$8,1))=EV$14))   /   SUM(OFFSET($BO$15,0,0,$B$14,1)) + $B$18/($B$19*$B$19*($DN302&lt;&gt;$DO302) + $B$19*($DN302=$DO302))</f>
        <v>3.7037037037037035E-4</v>
      </c>
      <c r="EW302" s="10" cm="1">
        <f t="array" aca="1" ref="EW302" ca="1">(1-$B$18)*SUMPRODUCT(OFFSET($BO$15,0,0,$B$14,1), 1*(_xlfn._xlws.FILTER(OFFSET($O$15,0,$DN302,$B$8,1),OFFSET($M$15,0,0,$B$8,1))=EW$13), 1*(_xlfn._xlws.FILTER(OFFSET($O$15,0,$DO302,$B$8,1),OFFSET($M$15,0,0,$B$8,1))=EW$14))   /   SUM(OFFSET($BO$15,0,0,$B$14,1)) + $B$18/($B$19*$B$19*($DN302&lt;&gt;$DO302) + $B$19*($DN302=$DO302))</f>
        <v>3.7037037037037035E-4</v>
      </c>
      <c r="EX302" s="10" cm="1">
        <f t="array" aca="1" ref="EX302" ca="1">(1-$B$18)*SUMPRODUCT(OFFSET($BO$15,0,0,$B$14,1), 1*(_xlfn._xlws.FILTER(OFFSET($O$15,0,$DN302,$B$8,1),OFFSET($M$15,0,0,$B$8,1))=EX$13), 1*(_xlfn._xlws.FILTER(OFFSET($O$15,0,$DO302,$B$8,1),OFFSET($M$15,0,0,$B$8,1))=EX$14))   /   SUM(OFFSET($BO$15,0,0,$B$14,1)) + $B$18/($B$19*$B$19*($DN302&lt;&gt;$DO302) + $B$19*($DN302=$DO302))</f>
        <v>3.7037037037037035E-4</v>
      </c>
      <c r="EY302" s="10" cm="1">
        <f t="array" aca="1" ref="EY302" ca="1">(1-$B$18)*SUMPRODUCT(OFFSET($BO$15,0,0,$B$14,1), 1*(_xlfn._xlws.FILTER(OFFSET($O$15,0,$DN302,$B$8,1),OFFSET($M$15,0,0,$B$8,1))=EY$13), 1*(_xlfn._xlws.FILTER(OFFSET($O$15,0,$DO302,$B$8,1),OFFSET($M$15,0,0,$B$8,1))=EY$14))   /   SUM(OFFSET($BO$15,0,0,$B$14,1)) + $B$18/($B$19*$B$19*($DN302&lt;&gt;$DO302) + $B$19*($DN302=$DO302))</f>
        <v>3.7037037037037035E-4</v>
      </c>
      <c r="EZ302" s="10" cm="1">
        <f t="array" aca="1" ref="EZ302" ca="1">(1-$B$18)*SUMPRODUCT(OFFSET($BO$15,0,0,$B$14,1), 1*(_xlfn._xlws.FILTER(OFFSET($O$15,0,$DN302,$B$8,1),OFFSET($M$15,0,0,$B$8,1))=EZ$13), 1*(_xlfn._xlws.FILTER(OFFSET($O$15,0,$DO302,$B$8,1),OFFSET($M$15,0,0,$B$8,1))=EZ$14))   /   SUM(OFFSET($BO$15,0,0,$B$14,1)) + $B$18/($B$19*$B$19*($DN302&lt;&gt;$DO302) + $B$19*($DN302=$DO302))</f>
        <v>3.7037037037037035E-4</v>
      </c>
      <c r="FA302" s="10" cm="1">
        <f t="array" aca="1" ref="FA302" ca="1">(1-$B$18)*SUMPRODUCT(OFFSET($BO$15,0,0,$B$14,1), 1*(_xlfn._xlws.FILTER(OFFSET($O$15,0,$DN302,$B$8,1),OFFSET($M$15,0,0,$B$8,1))=FA$13), 1*(_xlfn._xlws.FILTER(OFFSET($O$15,0,$DO302,$B$8,1),OFFSET($M$15,0,0,$B$8,1))=FA$14))   /   SUM(OFFSET($BO$15,0,0,$B$14,1)) + $B$18/($B$19*$B$19*($DN302&lt;&gt;$DO302) + $B$19*($DN302=$DO302))</f>
        <v>3.7037037037037035E-4</v>
      </c>
      <c r="FB302" s="10" cm="1">
        <f t="array" aca="1" ref="FB302" ca="1">(1-$B$18)*SUMPRODUCT(OFFSET($BO$15,0,0,$B$14,1), 1*(_xlfn._xlws.FILTER(OFFSET($O$15,0,$DN302,$B$8,1),OFFSET($M$15,0,0,$B$8,1))=FB$13), 1*(_xlfn._xlws.FILTER(OFFSET($O$15,0,$DO302,$B$8,1),OFFSET($M$15,0,0,$B$8,1))=FB$14))   /   SUM(OFFSET($BO$15,0,0,$B$14,1)) + $B$18/($B$19*$B$19*($DN302&lt;&gt;$DO302) + $B$19*($DN302=$DO302))</f>
        <v>3.7037037037037035E-4</v>
      </c>
      <c r="FC302" s="10" cm="1">
        <f t="array" aca="1" ref="FC302" ca="1">(1-$B$18)*SUMPRODUCT(OFFSET($BO$15,0,0,$B$14,1), 1*(_xlfn._xlws.FILTER(OFFSET($O$15,0,$DN302,$B$8,1),OFFSET($M$15,0,0,$B$8,1))=FC$13), 1*(_xlfn._xlws.FILTER(OFFSET($O$15,0,$DO302,$B$8,1),OFFSET($M$15,0,0,$B$8,1))=FC$14))   /   SUM(OFFSET($BO$15,0,0,$B$14,1)) + $B$18/($B$19*$B$19*($DN302&lt;&gt;$DO302) + $B$19*($DN302=$DO302))</f>
        <v>3.7037037037037035E-4</v>
      </c>
      <c r="FD302" s="10" cm="1">
        <f t="array" aca="1" ref="FD302" ca="1">(1-$B$18)*SUMPRODUCT(OFFSET($BO$15,0,0,$B$14,1), 1*(_xlfn._xlws.FILTER(OFFSET($O$15,0,$DN302,$B$8,1),OFFSET($M$15,0,0,$B$8,1))=FD$13), 1*(_xlfn._xlws.FILTER(OFFSET($O$15,0,$DO302,$B$8,1),OFFSET($M$15,0,0,$B$8,1))=FD$14))   /   SUM(OFFSET($BO$15,0,0,$B$14,1)) + $B$18/($B$19*$B$19*($DN302&lt;&gt;$DO302) + $B$19*($DN302=$DO302))</f>
        <v>3.7037037037037035E-4</v>
      </c>
      <c r="FE302" s="10" cm="1">
        <f t="array" aca="1" ref="FE302" ca="1">(1-$B$18)*SUMPRODUCT(OFFSET($BO$15,0,0,$B$14,1), 1*(_xlfn._xlws.FILTER(OFFSET($O$15,0,$DN302,$B$8,1),OFFSET($M$15,0,0,$B$8,1))=FE$13), 1*(_xlfn._xlws.FILTER(OFFSET($O$15,0,$DO302,$B$8,1),OFFSET($M$15,0,0,$B$8,1))=FE$14))   /   SUM(OFFSET($BO$15,0,0,$B$14,1)) + $B$18/($B$19*$B$19*($DN302&lt;&gt;$DO302) + $B$19*($DN302=$DO302))</f>
        <v>3.7037037037037035E-4</v>
      </c>
      <c r="FF302" s="10" cm="1">
        <f t="array" aca="1" ref="FF302" ca="1">(1-$B$18)*SUMPRODUCT(OFFSET($BO$15,0,0,$B$14,1), 1*(_xlfn._xlws.FILTER(OFFSET($O$15,0,$DN302,$B$8,1),OFFSET($M$15,0,0,$B$8,1))=FF$13), 1*(_xlfn._xlws.FILTER(OFFSET($O$15,0,$DO302,$B$8,1),OFFSET($M$15,0,0,$B$8,1))=FF$14))   /   SUM(OFFSET($BO$15,0,0,$B$14,1)) + $B$18/($B$19*$B$19*($DN302&lt;&gt;$DO302) + $B$19*($DN302=$DO302))</f>
        <v>3.7037037037037035E-4</v>
      </c>
      <c r="FG302" s="10" cm="1">
        <f t="array" aca="1" ref="FG302" ca="1">(1-$B$18)*SUMPRODUCT(OFFSET($BO$15,0,0,$B$14,1), 1*(_xlfn._xlws.FILTER(OFFSET($O$15,0,$DN302,$B$8,1),OFFSET($M$15,0,0,$B$8,1))=FG$13), 1*(_xlfn._xlws.FILTER(OFFSET($O$15,0,$DO302,$B$8,1),OFFSET($M$15,0,0,$B$8,1))=FG$14))   /   SUM(OFFSET($BO$15,0,0,$B$14,1)) + $B$18/($B$19*$B$19*($DN302&lt;&gt;$DO302) + $B$19*($DN302=$DO302))</f>
        <v>3.7037037037037035E-4</v>
      </c>
      <c r="FH302" s="10" cm="1">
        <f t="array" aca="1" ref="FH302" ca="1">(1-$B$18)*SUMPRODUCT(OFFSET($BO$15,0,0,$B$14,1), 1*(_xlfn._xlws.FILTER(OFFSET($O$15,0,$DN302,$B$8,1),OFFSET($M$15,0,0,$B$8,1))=FH$13), 1*(_xlfn._xlws.FILTER(OFFSET($O$15,0,$DO302,$B$8,1),OFFSET($M$15,0,0,$B$8,1))=FH$14))   /   SUM(OFFSET($BO$15,0,0,$B$14,1)) + $B$18/($B$19*$B$19*($DN302&lt;&gt;$DO302) + $B$19*($DN302=$DO302))</f>
        <v>3.7037037037037035E-4</v>
      </c>
      <c r="FI302" s="10" cm="1">
        <f t="array" aca="1" ref="FI302" ca="1">(1-$B$18)*SUMPRODUCT(OFFSET($BO$15,0,0,$B$14,1), 1*(_xlfn._xlws.FILTER(OFFSET($O$15,0,$DN302,$B$8,1),OFFSET($M$15,0,0,$B$8,1))=FI$13), 1*(_xlfn._xlws.FILTER(OFFSET($O$15,0,$DO302,$B$8,1),OFFSET($M$15,0,0,$B$8,1))=FI$14))   /   SUM(OFFSET($BO$15,0,0,$B$14,1)) + $B$18/($B$19*$B$19*($DN302&lt;&gt;$DO302) + $B$19*($DN302=$DO302))</f>
        <v>3.7037037037037035E-4</v>
      </c>
      <c r="FJ302" s="10" cm="1">
        <f t="array" aca="1" ref="FJ302" ca="1">(1-$B$18)*SUMPRODUCT(OFFSET($BO$15,0,0,$B$14,1), 1*(_xlfn._xlws.FILTER(OFFSET($O$15,0,$DN302,$B$8,1),OFFSET($M$15,0,0,$B$8,1))=FJ$13), 1*(_xlfn._xlws.FILTER(OFFSET($O$15,0,$DO302,$B$8,1),OFFSET($M$15,0,0,$B$8,1))=FJ$14))   /   SUM(OFFSET($BO$15,0,0,$B$14,1)) + $B$18/($B$19*$B$19*($DN302&lt;&gt;$DO302) + $B$19*($DN302=$DO302))</f>
        <v>3.7037037037037035E-4</v>
      </c>
      <c r="FK302" s="10" cm="1">
        <f t="array" aca="1" ref="FK302" ca="1">(1-$B$18)*SUMPRODUCT(OFFSET($BO$15,0,0,$B$14,1), 1*(_xlfn._xlws.FILTER(OFFSET($O$15,0,$DN302,$B$8,1),OFFSET($M$15,0,0,$B$8,1))=FK$13), 1*(_xlfn._xlws.FILTER(OFFSET($O$15,0,$DO302,$B$8,1),OFFSET($M$15,0,0,$B$8,1))=FK$14))   /   SUM(OFFSET($BO$15,0,0,$B$14,1)) + $B$18/($B$19*$B$19*($DN302&lt;&gt;$DO302) + $B$19*($DN302=$DO302))</f>
        <v>3.7037037037037035E-4</v>
      </c>
      <c r="FL302" s="10" cm="1">
        <f t="array" aca="1" ref="FL302" ca="1">(1-$B$18)*SUMPRODUCT(OFFSET($BO$15,0,0,$B$14,1), 1*(_xlfn._xlws.FILTER(OFFSET($O$15,0,$DN302,$B$8,1),OFFSET($M$15,0,0,$B$8,1))=FL$13), 1*(_xlfn._xlws.FILTER(OFFSET($O$15,0,$DO302,$B$8,1),OFFSET($M$15,0,0,$B$8,1))=FL$14))   /   SUM(OFFSET($BO$15,0,0,$B$14,1)) + $B$18/($B$19*$B$19*($DN302&lt;&gt;$DO302) + $B$19*($DN302=$DO302))</f>
        <v>3.7037037037037035E-4</v>
      </c>
      <c r="FM302" s="10" cm="1">
        <f t="array" aca="1" ref="FM302" ca="1">(1-$B$18)*SUMPRODUCT(OFFSET($BO$15,0,0,$B$14,1), 1*(_xlfn._xlws.FILTER(OFFSET($O$15,0,$DN302,$B$8,1),OFFSET($M$15,0,0,$B$8,1))=FM$13), 1*(_xlfn._xlws.FILTER(OFFSET($O$15,0,$DO302,$B$8,1),OFFSET($M$15,0,0,$B$8,1))=FM$14))   /   SUM(OFFSET($BO$15,0,0,$B$14,1)) + $B$18/($B$19*$B$19*($DN302&lt;&gt;$DO302) + $B$19*($DN302=$DO302))</f>
        <v>3.7037037037037035E-4</v>
      </c>
      <c r="FN302" s="10" cm="1">
        <f t="array" aca="1" ref="FN302" ca="1">(1-$B$18)*SUMPRODUCT(OFFSET($BO$15,0,0,$B$14,1), 1*(_xlfn._xlws.FILTER(OFFSET($O$15,0,$DN302,$B$8,1),OFFSET($M$15,0,0,$B$8,1))=FN$13), 1*(_xlfn._xlws.FILTER(OFFSET($O$15,0,$DO302,$B$8,1),OFFSET($M$15,0,0,$B$8,1))=FN$14))   /   SUM(OFFSET($BO$15,0,0,$B$14,1)) + $B$18/($B$19*$B$19*($DN302&lt;&gt;$DO302) + $B$19*($DN302=$DO302))</f>
        <v>3.7037037037037035E-4</v>
      </c>
      <c r="FO302" s="10" cm="1">
        <f t="array" aca="1" ref="FO302" ca="1">(1-$B$18)*SUMPRODUCT(OFFSET($BO$15,0,0,$B$14,1), 1*(_xlfn._xlws.FILTER(OFFSET($O$15,0,$DN302,$B$8,1),OFFSET($M$15,0,0,$B$8,1))=FO$13), 1*(_xlfn._xlws.FILTER(OFFSET($O$15,0,$DO302,$B$8,1),OFFSET($M$15,0,0,$B$8,1))=FO$14))   /   SUM(OFFSET($BO$15,0,0,$B$14,1)) + $B$18/($B$19*$B$19*($DN302&lt;&gt;$DO302) + $B$19*($DN302=$DO302))</f>
        <v>3.7037037037037035E-4</v>
      </c>
      <c r="FP302" s="10" cm="1">
        <f t="array" aca="1" ref="FP302" ca="1">(1-$B$18)*SUMPRODUCT(OFFSET($BO$15,0,0,$B$14,1), 1*(_xlfn._xlws.FILTER(OFFSET($O$15,0,$DN302,$B$8,1),OFFSET($M$15,0,0,$B$8,1))=FP$13), 1*(_xlfn._xlws.FILTER(OFFSET($O$15,0,$DO302,$B$8,1),OFFSET($M$15,0,0,$B$8,1))=FP$14))   /   SUM(OFFSET($BO$15,0,0,$B$14,1)) + $B$18/($B$19*$B$19*($DN302&lt;&gt;$DO302) + $B$19*($DN302=$DO302))</f>
        <v>3.7037037037037035E-4</v>
      </c>
      <c r="FQ302" s="10" cm="1">
        <f t="array" aca="1" ref="FQ302" ca="1">(1-$B$18)*SUMPRODUCT(OFFSET($BO$15,0,0,$B$14,1), 1*(_xlfn._xlws.FILTER(OFFSET($O$15,0,$DN302,$B$8,1),OFFSET($M$15,0,0,$B$8,1))=FQ$13), 1*(_xlfn._xlws.FILTER(OFFSET($O$15,0,$DO302,$B$8,1),OFFSET($M$15,0,0,$B$8,1))=FQ$14))   /   SUM(OFFSET($BO$15,0,0,$B$14,1)) + $B$18/($B$19*$B$19*($DN302&lt;&gt;$DO302) + $B$19*($DN302=$DO302))</f>
        <v>3.7037037037037035E-4</v>
      </c>
      <c r="FR302" s="10" cm="1">
        <f t="array" aca="1" ref="FR302" ca="1">(1-$B$18)*SUMPRODUCT(OFFSET($BO$15,0,0,$B$14,1), 1*(_xlfn._xlws.FILTER(OFFSET($O$15,0,$DN302,$B$8,1),OFFSET($M$15,0,0,$B$8,1))=FR$13), 1*(_xlfn._xlws.FILTER(OFFSET($O$15,0,$DO302,$B$8,1),OFFSET($M$15,0,0,$B$8,1))=FR$14))   /   SUM(OFFSET($BO$15,0,0,$B$14,1)) + $B$18/($B$19*$B$19*($DN302&lt;&gt;$DO302) + $B$19*($DN302=$DO302))</f>
        <v>3.7037037037037035E-4</v>
      </c>
      <c r="FS302" s="10" cm="1">
        <f t="array" aca="1" ref="FS302" ca="1">(1-$B$18)*SUMPRODUCT(OFFSET($BO$15,0,0,$B$14,1), 1*(_xlfn._xlws.FILTER(OFFSET($O$15,0,$DN302,$B$8,1),OFFSET($M$15,0,0,$B$8,1))=FS$13), 1*(_xlfn._xlws.FILTER(OFFSET($O$15,0,$DO302,$B$8,1),OFFSET($M$15,0,0,$B$8,1))=FS$14))   /   SUM(OFFSET($BO$15,0,0,$B$14,1)) + $B$18/($B$19*$B$19*($DN302&lt;&gt;$DO302) + $B$19*($DN302=$DO302))</f>
        <v>3.7037037037037035E-4</v>
      </c>
      <c r="FT302" s="10" cm="1">
        <f t="array" aca="1" ref="FT302" ca="1">(1-$B$18)*SUMPRODUCT(OFFSET($BO$15,0,0,$B$14,1), 1*(_xlfn._xlws.FILTER(OFFSET($O$15,0,$DN302,$B$8,1),OFFSET($M$15,0,0,$B$8,1))=FT$13), 1*(_xlfn._xlws.FILTER(OFFSET($O$15,0,$DO302,$B$8,1),OFFSET($M$15,0,0,$B$8,1))=FT$14))   /   SUM(OFFSET($BO$15,0,0,$B$14,1)) + $B$18/($B$19*$B$19*($DN302&lt;&gt;$DO302) + $B$19*($DN302=$DO302))</f>
        <v>3.7037037037037035E-4</v>
      </c>
      <c r="FU302" s="10" cm="1">
        <f t="array" aca="1" ref="FU302" ca="1">(1-$B$18)*SUMPRODUCT(OFFSET($BO$15,0,0,$B$14,1), 1*(_xlfn._xlws.FILTER(OFFSET($O$15,0,$DN302,$B$8,1),OFFSET($M$15,0,0,$B$8,1))=FU$13), 1*(_xlfn._xlws.FILTER(OFFSET($O$15,0,$DO302,$B$8,1),OFFSET($M$15,0,0,$B$8,1))=FU$14))   /   SUM(OFFSET($BO$15,0,0,$B$14,1)) + $B$18/($B$19*$B$19*($DN302&lt;&gt;$DO302) + $B$19*($DN302=$DO302))</f>
        <v>3.7037037037037035E-4</v>
      </c>
      <c r="FV302" s="10" cm="1">
        <f t="array" aca="1" ref="FV302" ca="1">(1-$B$18)*SUMPRODUCT(OFFSET($BO$15,0,0,$B$14,1), 1*(_xlfn._xlws.FILTER(OFFSET($O$15,0,$DN302,$B$8,1),OFFSET($M$15,0,0,$B$8,1))=FV$13), 1*(_xlfn._xlws.FILTER(OFFSET($O$15,0,$DO302,$B$8,1),OFFSET($M$15,0,0,$B$8,1))=FV$14))   /   SUM(OFFSET($BO$15,0,0,$B$14,1)) + $B$18/($B$19*$B$19*($DN302&lt;&gt;$DO302) + $B$19*($DN302=$DO302))</f>
        <v>3.7037037037037035E-4</v>
      </c>
      <c r="FW302" s="10" cm="1">
        <f t="array" aca="1" ref="FW302" ca="1">(1-$B$18)*SUMPRODUCT(OFFSET($BO$15,0,0,$B$14,1), 1*(_xlfn._xlws.FILTER(OFFSET($O$15,0,$DN302,$B$8,1),OFFSET($M$15,0,0,$B$8,1))=FW$13), 1*(_xlfn._xlws.FILTER(OFFSET($O$15,0,$DO302,$B$8,1),OFFSET($M$15,0,0,$B$8,1))=FW$14))   /   SUM(OFFSET($BO$15,0,0,$B$14,1)) + $B$18/($B$19*$B$19*($DN302&lt;&gt;$DO302) + $B$19*($DN302=$DO302))</f>
        <v>3.7037037037037035E-4</v>
      </c>
      <c r="FX302" s="10" cm="1">
        <f t="array" aca="1" ref="FX302" ca="1">(1-$B$18)*SUMPRODUCT(OFFSET($BO$15,0,0,$B$14,1), 1*(_xlfn._xlws.FILTER(OFFSET($O$15,0,$DN302,$B$8,1),OFFSET($M$15,0,0,$B$8,1))=FX$13), 1*(_xlfn._xlws.FILTER(OFFSET($O$15,0,$DO302,$B$8,1),OFFSET($M$15,0,0,$B$8,1))=FX$14))   /   SUM(OFFSET($BO$15,0,0,$B$14,1)) + $B$18/($B$19*$B$19*($DN302&lt;&gt;$DO302) + $B$19*($DN302=$DO302))</f>
        <v>3.7037037037037035E-4</v>
      </c>
      <c r="FY302" s="10" cm="1">
        <f t="array" aca="1" ref="FY302" ca="1">(1-$B$18)*SUMPRODUCT(OFFSET($BO$15,0,0,$B$14,1), 1*(_xlfn._xlws.FILTER(OFFSET($O$15,0,$DN302,$B$8,1),OFFSET($M$15,0,0,$B$8,1))=FY$13), 1*(_xlfn._xlws.FILTER(OFFSET($O$15,0,$DO302,$B$8,1),OFFSET($M$15,0,0,$B$8,1))=FY$14))   /   SUM(OFFSET($BO$15,0,0,$B$14,1)) + $B$18/($B$19*$B$19*($DN302&lt;&gt;$DO302) + $B$19*($DN302=$DO302))</f>
        <v>3.7037037037037035E-4</v>
      </c>
      <c r="FZ302" s="10" cm="1">
        <f t="array" aca="1" ref="FZ302" ca="1">(1-$B$18)*SUMPRODUCT(OFFSET($BO$15,0,0,$B$14,1), 1*(_xlfn._xlws.FILTER(OFFSET($O$15,0,$DN302,$B$8,1),OFFSET($M$15,0,0,$B$8,1))=FZ$13), 1*(_xlfn._xlws.FILTER(OFFSET($O$15,0,$DO302,$B$8,1),OFFSET($M$15,0,0,$B$8,1))=FZ$14))   /   SUM(OFFSET($BO$15,0,0,$B$14,1)) + $B$18/($B$19*$B$19*($DN302&lt;&gt;$DO302) + $B$19*($DN302=$DO302))</f>
        <v>3.7037037037037035E-4</v>
      </c>
      <c r="GA302" s="10" cm="1">
        <f t="array" aca="1" ref="GA302" ca="1">(1-$B$18)*SUMPRODUCT(OFFSET($BO$15,0,0,$B$14,1), 1*(_xlfn._xlws.FILTER(OFFSET($O$15,0,$DN302,$B$8,1),OFFSET($M$15,0,0,$B$8,1))=GA$13), 1*(_xlfn._xlws.FILTER(OFFSET($O$15,0,$DO302,$B$8,1),OFFSET($M$15,0,0,$B$8,1))=GA$14))   /   SUM(OFFSET($BO$15,0,0,$B$14,1)) + $B$18/($B$19*$B$19*($DN302&lt;&gt;$DO302) + $B$19*($DN302=$DO302))</f>
        <v>3.7037037037037035E-4</v>
      </c>
    </row>
    <row r="303" spans="118:183" x14ac:dyDescent="0.2">
      <c r="DN303" cm="1">
        <f t="array" aca="1" ref="DN303" ca="1">INDEX(_xlfn.ANCHORARRAY($CP$15), 1 + INT((ROWS($DO$15:$DO303) - 1) / ROWS(_xlfn.ANCHORARRAY($CP$15))))</f>
        <v>18</v>
      </c>
      <c r="DO303" cm="1">
        <f t="array" aca="1" ref="DO303" ca="1">INDEX(_xlfn.ANCHORARRAY($CP$15),1+MOD(ROWS($DO$15:$DO303)-1,ROWS(_xlfn.ANCHORARRAY($CP$15))))</f>
        <v>3</v>
      </c>
      <c r="DP303" s="10" cm="1">
        <f t="array" aca="1" ref="DP303" ca="1">(1-$B$18)*SUMPRODUCT(OFFSET($BO$15,0,0,$B$14,1), 1*(_xlfn._xlws.FILTER(OFFSET($O$15,0,$DN303,$B$8,1),OFFSET($M$15,0,0,$B$8,1))=DP$13), 1*(_xlfn._xlws.FILTER(OFFSET($O$15,0,$DO303,$B$8,1),OFFSET($M$15,0,0,$B$8,1))=DP$14))   /   SUM(OFFSET($BO$15,0,0,$B$14,1)) + $B$18/($B$19*$B$19*($DN303&lt;&gt;$DO303) + $B$19*($DN303=$DO303))</f>
        <v>3.7037037037037035E-4</v>
      </c>
      <c r="DQ303" s="10" cm="1">
        <f t="array" aca="1" ref="DQ303" ca="1">(1-$B$18)*SUMPRODUCT(OFFSET($BO$15,0,0,$B$14,1), 1*(_xlfn._xlws.FILTER(OFFSET($O$15,0,$DN303,$B$8,1),OFFSET($M$15,0,0,$B$8,1))=DQ$13), 1*(_xlfn._xlws.FILTER(OFFSET($O$15,0,$DO303,$B$8,1),OFFSET($M$15,0,0,$B$8,1))=DQ$14))   /   SUM(OFFSET($BO$15,0,0,$B$14,1)) + $B$18/($B$19*$B$19*($DN303&lt;&gt;$DO303) + $B$19*($DN303=$DO303))</f>
        <v>3.7037037037037035E-4</v>
      </c>
      <c r="DR303" s="10" cm="1">
        <f t="array" aca="1" ref="DR303" ca="1">(1-$B$18)*SUMPRODUCT(OFFSET($BO$15,0,0,$B$14,1), 1*(_xlfn._xlws.FILTER(OFFSET($O$15,0,$DN303,$B$8,1),OFFSET($M$15,0,0,$B$8,1))=DR$13), 1*(_xlfn._xlws.FILTER(OFFSET($O$15,0,$DO303,$B$8,1),OFFSET($M$15,0,0,$B$8,1))=DR$14))   /   SUM(OFFSET($BO$15,0,0,$B$14,1)) + $B$18/($B$19*$B$19*($DN303&lt;&gt;$DO303) + $B$19*($DN303=$DO303))</f>
        <v>3.7037037037037035E-4</v>
      </c>
      <c r="DS303" s="10" cm="1">
        <f t="array" aca="1" ref="DS303" ca="1">(1-$B$18)*SUMPRODUCT(OFFSET($BO$15,0,0,$B$14,1), 1*(_xlfn._xlws.FILTER(OFFSET($O$15,0,$DN303,$B$8,1),OFFSET($M$15,0,0,$B$8,1))=DS$13), 1*(_xlfn._xlws.FILTER(OFFSET($O$15,0,$DO303,$B$8,1),OFFSET($M$15,0,0,$B$8,1))=DS$14))   /   SUM(OFFSET($BO$15,0,0,$B$14,1)) + $B$18/($B$19*$B$19*($DN303&lt;&gt;$DO303) + $B$19*($DN303=$DO303))</f>
        <v>3.7037037037037035E-4</v>
      </c>
      <c r="DT303" s="10" cm="1">
        <f t="array" aca="1" ref="DT303" ca="1">(1-$B$18)*SUMPRODUCT(OFFSET($BO$15,0,0,$B$14,1), 1*(_xlfn._xlws.FILTER(OFFSET($O$15,0,$DN303,$B$8,1),OFFSET($M$15,0,0,$B$8,1))=DT$13), 1*(_xlfn._xlws.FILTER(OFFSET($O$15,0,$DO303,$B$8,1),OFFSET($M$15,0,0,$B$8,1))=DT$14))   /   SUM(OFFSET($BO$15,0,0,$B$14,1)) + $B$18/($B$19*$B$19*($DN303&lt;&gt;$DO303) + $B$19*($DN303=$DO303))</f>
        <v>3.7037037037037035E-4</v>
      </c>
      <c r="DU303" s="10" cm="1">
        <f t="array" aca="1" ref="DU303" ca="1">(1-$B$18)*SUMPRODUCT(OFFSET($BO$15,0,0,$B$14,1), 1*(_xlfn._xlws.FILTER(OFFSET($O$15,0,$DN303,$B$8,1),OFFSET($M$15,0,0,$B$8,1))=DU$13), 1*(_xlfn._xlws.FILTER(OFFSET($O$15,0,$DO303,$B$8,1),OFFSET($M$15,0,0,$B$8,1))=DU$14))   /   SUM(OFFSET($BO$15,0,0,$B$14,1)) + $B$18/($B$19*$B$19*($DN303&lt;&gt;$DO303) + $B$19*($DN303=$DO303))</f>
        <v>3.7037037037037035E-4</v>
      </c>
      <c r="DV303" s="10" cm="1">
        <f t="array" aca="1" ref="DV303" ca="1">(1-$B$18)*SUMPRODUCT(OFFSET($BO$15,0,0,$B$14,1), 1*(_xlfn._xlws.FILTER(OFFSET($O$15,0,$DN303,$B$8,1),OFFSET($M$15,0,0,$B$8,1))=DV$13), 1*(_xlfn._xlws.FILTER(OFFSET($O$15,0,$DO303,$B$8,1),OFFSET($M$15,0,0,$B$8,1))=DV$14))   /   SUM(OFFSET($BO$15,0,0,$B$14,1)) + $B$18/($B$19*$B$19*($DN303&lt;&gt;$DO303) + $B$19*($DN303=$DO303))</f>
        <v>3.7037037037037035E-4</v>
      </c>
      <c r="DW303" s="10" cm="1">
        <f t="array" aca="1" ref="DW303" ca="1">(1-$B$18)*SUMPRODUCT(OFFSET($BO$15,0,0,$B$14,1), 1*(_xlfn._xlws.FILTER(OFFSET($O$15,0,$DN303,$B$8,1),OFFSET($M$15,0,0,$B$8,1))=DW$13), 1*(_xlfn._xlws.FILTER(OFFSET($O$15,0,$DO303,$B$8,1),OFFSET($M$15,0,0,$B$8,1))=DW$14))   /   SUM(OFFSET($BO$15,0,0,$B$14,1)) + $B$18/($B$19*$B$19*($DN303&lt;&gt;$DO303) + $B$19*($DN303=$DO303))</f>
        <v>3.7037037037037035E-4</v>
      </c>
      <c r="DX303" s="10" cm="1">
        <f t="array" aca="1" ref="DX303" ca="1">(1-$B$18)*SUMPRODUCT(OFFSET($BO$15,0,0,$B$14,1), 1*(_xlfn._xlws.FILTER(OFFSET($O$15,0,$DN303,$B$8,1),OFFSET($M$15,0,0,$B$8,1))=DX$13), 1*(_xlfn._xlws.FILTER(OFFSET($O$15,0,$DO303,$B$8,1),OFFSET($M$15,0,0,$B$8,1))=DX$14))   /   SUM(OFFSET($BO$15,0,0,$B$14,1)) + $B$18/($B$19*$B$19*($DN303&lt;&gt;$DO303) + $B$19*($DN303=$DO303))</f>
        <v>3.7037037037037035E-4</v>
      </c>
      <c r="DY303" s="10" cm="1">
        <f t="array" aca="1" ref="DY303" ca="1">(1-$B$18)*SUMPRODUCT(OFFSET($BO$15,0,0,$B$14,1), 1*(_xlfn._xlws.FILTER(OFFSET($O$15,0,$DN303,$B$8,1),OFFSET($M$15,0,0,$B$8,1))=DY$13), 1*(_xlfn._xlws.FILTER(OFFSET($O$15,0,$DO303,$B$8,1),OFFSET($M$15,0,0,$B$8,1))=DY$14))   /   SUM(OFFSET($BO$15,0,0,$B$14,1)) + $B$18/($B$19*$B$19*($DN303&lt;&gt;$DO303) + $B$19*($DN303=$DO303))</f>
        <v>3.7037037037037035E-4</v>
      </c>
      <c r="DZ303" s="10" cm="1">
        <f t="array" aca="1" ref="DZ303" ca="1">(1-$B$18)*SUMPRODUCT(OFFSET($BO$15,0,0,$B$14,1), 1*(_xlfn._xlws.FILTER(OFFSET($O$15,0,$DN303,$B$8,1),OFFSET($M$15,0,0,$B$8,1))=DZ$13), 1*(_xlfn._xlws.FILTER(OFFSET($O$15,0,$DO303,$B$8,1),OFFSET($M$15,0,0,$B$8,1))=DZ$14))   /   SUM(OFFSET($BO$15,0,0,$B$14,1)) + $B$18/($B$19*$B$19*($DN303&lt;&gt;$DO303) + $B$19*($DN303=$DO303))</f>
        <v>3.7037037037037035E-4</v>
      </c>
      <c r="EA303" s="10" cm="1">
        <f t="array" aca="1" ref="EA303" ca="1">(1-$B$18)*SUMPRODUCT(OFFSET($BO$15,0,0,$B$14,1), 1*(_xlfn._xlws.FILTER(OFFSET($O$15,0,$DN303,$B$8,1),OFFSET($M$15,0,0,$B$8,1))=EA$13), 1*(_xlfn._xlws.FILTER(OFFSET($O$15,0,$DO303,$B$8,1),OFFSET($M$15,0,0,$B$8,1))=EA$14))   /   SUM(OFFSET($BO$15,0,0,$B$14,1)) + $B$18/($B$19*$B$19*($DN303&lt;&gt;$DO303) + $B$19*($DN303=$DO303))</f>
        <v>3.7037037037037035E-4</v>
      </c>
      <c r="EB303" s="10" cm="1">
        <f t="array" aca="1" ref="EB303" ca="1">(1-$B$18)*SUMPRODUCT(OFFSET($BO$15,0,0,$B$14,1), 1*(_xlfn._xlws.FILTER(OFFSET($O$15,0,$DN303,$B$8,1),OFFSET($M$15,0,0,$B$8,1))=EB$13), 1*(_xlfn._xlws.FILTER(OFFSET($O$15,0,$DO303,$B$8,1),OFFSET($M$15,0,0,$B$8,1))=EB$14))   /   SUM(OFFSET($BO$15,0,0,$B$14,1)) + $B$18/($B$19*$B$19*($DN303&lt;&gt;$DO303) + $B$19*($DN303=$DO303))</f>
        <v>3.7037037037037035E-4</v>
      </c>
      <c r="EC303" s="10" cm="1">
        <f t="array" aca="1" ref="EC303" ca="1">(1-$B$18)*SUMPRODUCT(OFFSET($BO$15,0,0,$B$14,1), 1*(_xlfn._xlws.FILTER(OFFSET($O$15,0,$DN303,$B$8,1),OFFSET($M$15,0,0,$B$8,1))=EC$13), 1*(_xlfn._xlws.FILTER(OFFSET($O$15,0,$DO303,$B$8,1),OFFSET($M$15,0,0,$B$8,1))=EC$14))   /   SUM(OFFSET($BO$15,0,0,$B$14,1)) + $B$18/($B$19*$B$19*($DN303&lt;&gt;$DO303) + $B$19*($DN303=$DO303))</f>
        <v>3.7037037037037035E-4</v>
      </c>
      <c r="ED303" s="10" cm="1">
        <f t="array" aca="1" ref="ED303" ca="1">(1-$B$18)*SUMPRODUCT(OFFSET($BO$15,0,0,$B$14,1), 1*(_xlfn._xlws.FILTER(OFFSET($O$15,0,$DN303,$B$8,1),OFFSET($M$15,0,0,$B$8,1))=ED$13), 1*(_xlfn._xlws.FILTER(OFFSET($O$15,0,$DO303,$B$8,1),OFFSET($M$15,0,0,$B$8,1))=ED$14))   /   SUM(OFFSET($BO$15,0,0,$B$14,1)) + $B$18/($B$19*$B$19*($DN303&lt;&gt;$DO303) + $B$19*($DN303=$DO303))</f>
        <v>3.7037037037037035E-4</v>
      </c>
      <c r="EE303" s="10" cm="1">
        <f t="array" aca="1" ref="EE303" ca="1">(1-$B$18)*SUMPRODUCT(OFFSET($BO$15,0,0,$B$14,1), 1*(_xlfn._xlws.FILTER(OFFSET($O$15,0,$DN303,$B$8,1),OFFSET($M$15,0,0,$B$8,1))=EE$13), 1*(_xlfn._xlws.FILTER(OFFSET($O$15,0,$DO303,$B$8,1),OFFSET($M$15,0,0,$B$8,1))=EE$14))   /   SUM(OFFSET($BO$15,0,0,$B$14,1)) + $B$18/($B$19*$B$19*($DN303&lt;&gt;$DO303) + $B$19*($DN303=$DO303))</f>
        <v>3.7037037037037035E-4</v>
      </c>
      <c r="EF303" s="10" cm="1">
        <f t="array" aca="1" ref="EF303" ca="1">(1-$B$18)*SUMPRODUCT(OFFSET($BO$15,0,0,$B$14,1), 1*(_xlfn._xlws.FILTER(OFFSET($O$15,0,$DN303,$B$8,1),OFFSET($M$15,0,0,$B$8,1))=EF$13), 1*(_xlfn._xlws.FILTER(OFFSET($O$15,0,$DO303,$B$8,1),OFFSET($M$15,0,0,$B$8,1))=EF$14))   /   SUM(OFFSET($BO$15,0,0,$B$14,1)) + $B$18/($B$19*$B$19*($DN303&lt;&gt;$DO303) + $B$19*($DN303=$DO303))</f>
        <v>3.7037037037037035E-4</v>
      </c>
      <c r="EG303" s="10" cm="1">
        <f t="array" aca="1" ref="EG303" ca="1">(1-$B$18)*SUMPRODUCT(OFFSET($BO$15,0,0,$B$14,1), 1*(_xlfn._xlws.FILTER(OFFSET($O$15,0,$DN303,$B$8,1),OFFSET($M$15,0,0,$B$8,1))=EG$13), 1*(_xlfn._xlws.FILTER(OFFSET($O$15,0,$DO303,$B$8,1),OFFSET($M$15,0,0,$B$8,1))=EG$14))   /   SUM(OFFSET($BO$15,0,0,$B$14,1)) + $B$18/($B$19*$B$19*($DN303&lt;&gt;$DO303) + $B$19*($DN303=$DO303))</f>
        <v>3.7037037037037035E-4</v>
      </c>
      <c r="EH303" s="10" cm="1">
        <f t="array" aca="1" ref="EH303" ca="1">(1-$B$18)*SUMPRODUCT(OFFSET($BO$15,0,0,$B$14,1), 1*(_xlfn._xlws.FILTER(OFFSET($O$15,0,$DN303,$B$8,1),OFFSET($M$15,0,0,$B$8,1))=EH$13), 1*(_xlfn._xlws.FILTER(OFFSET($O$15,0,$DO303,$B$8,1),OFFSET($M$15,0,0,$B$8,1))=EH$14))   /   SUM(OFFSET($BO$15,0,0,$B$14,1)) + $B$18/($B$19*$B$19*($DN303&lt;&gt;$DO303) + $B$19*($DN303=$DO303))</f>
        <v>3.7037037037037035E-4</v>
      </c>
      <c r="EI303" s="10" cm="1">
        <f t="array" aca="1" ref="EI303" ca="1">(1-$B$18)*SUMPRODUCT(OFFSET($BO$15,0,0,$B$14,1), 1*(_xlfn._xlws.FILTER(OFFSET($O$15,0,$DN303,$B$8,1),OFFSET($M$15,0,0,$B$8,1))=EI$13), 1*(_xlfn._xlws.FILTER(OFFSET($O$15,0,$DO303,$B$8,1),OFFSET($M$15,0,0,$B$8,1))=EI$14))   /   SUM(OFFSET($BO$15,0,0,$B$14,1)) + $B$18/($B$19*$B$19*($DN303&lt;&gt;$DO303) + $B$19*($DN303=$DO303))</f>
        <v>3.7037037037037035E-4</v>
      </c>
      <c r="EJ303" s="10" cm="1">
        <f t="array" aca="1" ref="EJ303" ca="1">(1-$B$18)*SUMPRODUCT(OFFSET($BO$15,0,0,$B$14,1), 1*(_xlfn._xlws.FILTER(OFFSET($O$15,0,$DN303,$B$8,1),OFFSET($M$15,0,0,$B$8,1))=EJ$13), 1*(_xlfn._xlws.FILTER(OFFSET($O$15,0,$DO303,$B$8,1),OFFSET($M$15,0,0,$B$8,1))=EJ$14))   /   SUM(OFFSET($BO$15,0,0,$B$14,1)) + $B$18/($B$19*$B$19*($DN303&lt;&gt;$DO303) + $B$19*($DN303=$DO303))</f>
        <v>3.7037037037037035E-4</v>
      </c>
      <c r="EK303" s="10" cm="1">
        <f t="array" aca="1" ref="EK303" ca="1">(1-$B$18)*SUMPRODUCT(OFFSET($BO$15,0,0,$B$14,1), 1*(_xlfn._xlws.FILTER(OFFSET($O$15,0,$DN303,$B$8,1),OFFSET($M$15,0,0,$B$8,1))=EK$13), 1*(_xlfn._xlws.FILTER(OFFSET($O$15,0,$DO303,$B$8,1),OFFSET($M$15,0,0,$B$8,1))=EK$14))   /   SUM(OFFSET($BO$15,0,0,$B$14,1)) + $B$18/($B$19*$B$19*($DN303&lt;&gt;$DO303) + $B$19*($DN303=$DO303))</f>
        <v>3.7037037037037035E-4</v>
      </c>
      <c r="EL303" s="10" cm="1">
        <f t="array" aca="1" ref="EL303" ca="1">(1-$B$18)*SUMPRODUCT(OFFSET($BO$15,0,0,$B$14,1), 1*(_xlfn._xlws.FILTER(OFFSET($O$15,0,$DN303,$B$8,1),OFFSET($M$15,0,0,$B$8,1))=EL$13), 1*(_xlfn._xlws.FILTER(OFFSET($O$15,0,$DO303,$B$8,1),OFFSET($M$15,0,0,$B$8,1))=EL$14))   /   SUM(OFFSET($BO$15,0,0,$B$14,1)) + $B$18/($B$19*$B$19*($DN303&lt;&gt;$DO303) + $B$19*($DN303=$DO303))</f>
        <v>3.7037037037037035E-4</v>
      </c>
      <c r="EM303" s="10" cm="1">
        <f t="array" aca="1" ref="EM303" ca="1">(1-$B$18)*SUMPRODUCT(OFFSET($BO$15,0,0,$B$14,1), 1*(_xlfn._xlws.FILTER(OFFSET($O$15,0,$DN303,$B$8,1),OFFSET($M$15,0,0,$B$8,1))=EM$13), 1*(_xlfn._xlws.FILTER(OFFSET($O$15,0,$DO303,$B$8,1),OFFSET($M$15,0,0,$B$8,1))=EM$14))   /   SUM(OFFSET($BO$15,0,0,$B$14,1)) + $B$18/($B$19*$B$19*($DN303&lt;&gt;$DO303) + $B$19*($DN303=$DO303))</f>
        <v>3.7037037037037035E-4</v>
      </c>
      <c r="EN303" s="10" cm="1">
        <f t="array" aca="1" ref="EN303" ca="1">(1-$B$18)*SUMPRODUCT(OFFSET($BO$15,0,0,$B$14,1), 1*(_xlfn._xlws.FILTER(OFFSET($O$15,0,$DN303,$B$8,1),OFFSET($M$15,0,0,$B$8,1))=EN$13), 1*(_xlfn._xlws.FILTER(OFFSET($O$15,0,$DO303,$B$8,1),OFFSET($M$15,0,0,$B$8,1))=EN$14))   /   SUM(OFFSET($BO$15,0,0,$B$14,1)) + $B$18/($B$19*$B$19*($DN303&lt;&gt;$DO303) + $B$19*($DN303=$DO303))</f>
        <v>3.7037037037037035E-4</v>
      </c>
      <c r="EO303" s="10" cm="1">
        <f t="array" aca="1" ref="EO303" ca="1">(1-$B$18)*SUMPRODUCT(OFFSET($BO$15,0,0,$B$14,1), 1*(_xlfn._xlws.FILTER(OFFSET($O$15,0,$DN303,$B$8,1),OFFSET($M$15,0,0,$B$8,1))=EO$13), 1*(_xlfn._xlws.FILTER(OFFSET($O$15,0,$DO303,$B$8,1),OFFSET($M$15,0,0,$B$8,1))=EO$14))   /   SUM(OFFSET($BO$15,0,0,$B$14,1)) + $B$18/($B$19*$B$19*($DN303&lt;&gt;$DO303) + $B$19*($DN303=$DO303))</f>
        <v>3.7037037037037035E-4</v>
      </c>
      <c r="EP303" s="10" cm="1">
        <f t="array" aca="1" ref="EP303" ca="1">(1-$B$18)*SUMPRODUCT(OFFSET($BO$15,0,0,$B$14,1), 1*(_xlfn._xlws.FILTER(OFFSET($O$15,0,$DN303,$B$8,1),OFFSET($M$15,0,0,$B$8,1))=EP$13), 1*(_xlfn._xlws.FILTER(OFFSET($O$15,0,$DO303,$B$8,1),OFFSET($M$15,0,0,$B$8,1))=EP$14))   /   SUM(OFFSET($BO$15,0,0,$B$14,1)) + $B$18/($B$19*$B$19*($DN303&lt;&gt;$DO303) + $B$19*($DN303=$DO303))</f>
        <v>3.7037037037037035E-4</v>
      </c>
      <c r="EQ303" s="10" cm="1">
        <f t="array" aca="1" ref="EQ303" ca="1">(1-$B$18)*SUMPRODUCT(OFFSET($BO$15,0,0,$B$14,1), 1*(_xlfn._xlws.FILTER(OFFSET($O$15,0,$DN303,$B$8,1),OFFSET($M$15,0,0,$B$8,1))=EQ$13), 1*(_xlfn._xlws.FILTER(OFFSET($O$15,0,$DO303,$B$8,1),OFFSET($M$15,0,0,$B$8,1))=EQ$14))   /   SUM(OFFSET($BO$15,0,0,$B$14,1)) + $B$18/($B$19*$B$19*($DN303&lt;&gt;$DO303) + $B$19*($DN303=$DO303))</f>
        <v>3.7037037037037035E-4</v>
      </c>
      <c r="ER303" s="10" cm="1">
        <f t="array" aca="1" ref="ER303" ca="1">(1-$B$18)*SUMPRODUCT(OFFSET($BO$15,0,0,$B$14,1), 1*(_xlfn._xlws.FILTER(OFFSET($O$15,0,$DN303,$B$8,1),OFFSET($M$15,0,0,$B$8,1))=ER$13), 1*(_xlfn._xlws.FILTER(OFFSET($O$15,0,$DO303,$B$8,1),OFFSET($M$15,0,0,$B$8,1))=ER$14))   /   SUM(OFFSET($BO$15,0,0,$B$14,1)) + $B$18/($B$19*$B$19*($DN303&lt;&gt;$DO303) + $B$19*($DN303=$DO303))</f>
        <v>3.7037037037037035E-4</v>
      </c>
      <c r="ES303" s="10" cm="1">
        <f t="array" aca="1" ref="ES303" ca="1">(1-$B$18)*SUMPRODUCT(OFFSET($BO$15,0,0,$B$14,1), 1*(_xlfn._xlws.FILTER(OFFSET($O$15,0,$DN303,$B$8,1),OFFSET($M$15,0,0,$B$8,1))=ES$13), 1*(_xlfn._xlws.FILTER(OFFSET($O$15,0,$DO303,$B$8,1),OFFSET($M$15,0,0,$B$8,1))=ES$14))   /   SUM(OFFSET($BO$15,0,0,$B$14,1)) + $B$18/($B$19*$B$19*($DN303&lt;&gt;$DO303) + $B$19*($DN303=$DO303))</f>
        <v>3.7037037037037035E-4</v>
      </c>
      <c r="ET303" s="10" cm="1">
        <f t="array" aca="1" ref="ET303" ca="1">(1-$B$18)*SUMPRODUCT(OFFSET($BO$15,0,0,$B$14,1), 1*(_xlfn._xlws.FILTER(OFFSET($O$15,0,$DN303,$B$8,1),OFFSET($M$15,0,0,$B$8,1))=ET$13), 1*(_xlfn._xlws.FILTER(OFFSET($O$15,0,$DO303,$B$8,1),OFFSET($M$15,0,0,$B$8,1))=ET$14))   /   SUM(OFFSET($BO$15,0,0,$B$14,1)) + $B$18/($B$19*$B$19*($DN303&lt;&gt;$DO303) + $B$19*($DN303=$DO303))</f>
        <v>0.97037037037037033</v>
      </c>
      <c r="EU303" s="10" cm="1">
        <f t="array" aca="1" ref="EU303" ca="1">(1-$B$18)*SUMPRODUCT(OFFSET($BO$15,0,0,$B$14,1), 1*(_xlfn._xlws.FILTER(OFFSET($O$15,0,$DN303,$B$8,1),OFFSET($M$15,0,0,$B$8,1))=EU$13), 1*(_xlfn._xlws.FILTER(OFFSET($O$15,0,$DO303,$B$8,1),OFFSET($M$15,0,0,$B$8,1))=EU$14))   /   SUM(OFFSET($BO$15,0,0,$B$14,1)) + $B$18/($B$19*$B$19*($DN303&lt;&gt;$DO303) + $B$19*($DN303=$DO303))</f>
        <v>3.7037037037037035E-4</v>
      </c>
      <c r="EV303" s="10" cm="1">
        <f t="array" aca="1" ref="EV303" ca="1">(1-$B$18)*SUMPRODUCT(OFFSET($BO$15,0,0,$B$14,1), 1*(_xlfn._xlws.FILTER(OFFSET($O$15,0,$DN303,$B$8,1),OFFSET($M$15,0,0,$B$8,1))=EV$13), 1*(_xlfn._xlws.FILTER(OFFSET($O$15,0,$DO303,$B$8,1),OFFSET($M$15,0,0,$B$8,1))=EV$14))   /   SUM(OFFSET($BO$15,0,0,$B$14,1)) + $B$18/($B$19*$B$19*($DN303&lt;&gt;$DO303) + $B$19*($DN303=$DO303))</f>
        <v>3.7037037037037035E-4</v>
      </c>
      <c r="EW303" s="10" cm="1">
        <f t="array" aca="1" ref="EW303" ca="1">(1-$B$18)*SUMPRODUCT(OFFSET($BO$15,0,0,$B$14,1), 1*(_xlfn._xlws.FILTER(OFFSET($O$15,0,$DN303,$B$8,1),OFFSET($M$15,0,0,$B$8,1))=EW$13), 1*(_xlfn._xlws.FILTER(OFFSET($O$15,0,$DO303,$B$8,1),OFFSET($M$15,0,0,$B$8,1))=EW$14))   /   SUM(OFFSET($BO$15,0,0,$B$14,1)) + $B$18/($B$19*$B$19*($DN303&lt;&gt;$DO303) + $B$19*($DN303=$DO303))</f>
        <v>3.7037037037037035E-4</v>
      </c>
      <c r="EX303" s="10" cm="1">
        <f t="array" aca="1" ref="EX303" ca="1">(1-$B$18)*SUMPRODUCT(OFFSET($BO$15,0,0,$B$14,1), 1*(_xlfn._xlws.FILTER(OFFSET($O$15,0,$DN303,$B$8,1),OFFSET($M$15,0,0,$B$8,1))=EX$13), 1*(_xlfn._xlws.FILTER(OFFSET($O$15,0,$DO303,$B$8,1),OFFSET($M$15,0,0,$B$8,1))=EX$14))   /   SUM(OFFSET($BO$15,0,0,$B$14,1)) + $B$18/($B$19*$B$19*($DN303&lt;&gt;$DO303) + $B$19*($DN303=$DO303))</f>
        <v>3.7037037037037035E-4</v>
      </c>
      <c r="EY303" s="10" cm="1">
        <f t="array" aca="1" ref="EY303" ca="1">(1-$B$18)*SUMPRODUCT(OFFSET($BO$15,0,0,$B$14,1), 1*(_xlfn._xlws.FILTER(OFFSET($O$15,0,$DN303,$B$8,1),OFFSET($M$15,0,0,$B$8,1))=EY$13), 1*(_xlfn._xlws.FILTER(OFFSET($O$15,0,$DO303,$B$8,1),OFFSET($M$15,0,0,$B$8,1))=EY$14))   /   SUM(OFFSET($BO$15,0,0,$B$14,1)) + $B$18/($B$19*$B$19*($DN303&lt;&gt;$DO303) + $B$19*($DN303=$DO303))</f>
        <v>3.7037037037037035E-4</v>
      </c>
      <c r="EZ303" s="10" cm="1">
        <f t="array" aca="1" ref="EZ303" ca="1">(1-$B$18)*SUMPRODUCT(OFFSET($BO$15,0,0,$B$14,1), 1*(_xlfn._xlws.FILTER(OFFSET($O$15,0,$DN303,$B$8,1),OFFSET($M$15,0,0,$B$8,1))=EZ$13), 1*(_xlfn._xlws.FILTER(OFFSET($O$15,0,$DO303,$B$8,1),OFFSET($M$15,0,0,$B$8,1))=EZ$14))   /   SUM(OFFSET($BO$15,0,0,$B$14,1)) + $B$18/($B$19*$B$19*($DN303&lt;&gt;$DO303) + $B$19*($DN303=$DO303))</f>
        <v>3.7037037037037035E-4</v>
      </c>
      <c r="FA303" s="10" cm="1">
        <f t="array" aca="1" ref="FA303" ca="1">(1-$B$18)*SUMPRODUCT(OFFSET($BO$15,0,0,$B$14,1), 1*(_xlfn._xlws.FILTER(OFFSET($O$15,0,$DN303,$B$8,1),OFFSET($M$15,0,0,$B$8,1))=FA$13), 1*(_xlfn._xlws.FILTER(OFFSET($O$15,0,$DO303,$B$8,1),OFFSET($M$15,0,0,$B$8,1))=FA$14))   /   SUM(OFFSET($BO$15,0,0,$B$14,1)) + $B$18/($B$19*$B$19*($DN303&lt;&gt;$DO303) + $B$19*($DN303=$DO303))</f>
        <v>3.7037037037037035E-4</v>
      </c>
      <c r="FB303" s="10" cm="1">
        <f t="array" aca="1" ref="FB303" ca="1">(1-$B$18)*SUMPRODUCT(OFFSET($BO$15,0,0,$B$14,1), 1*(_xlfn._xlws.FILTER(OFFSET($O$15,0,$DN303,$B$8,1),OFFSET($M$15,0,0,$B$8,1))=FB$13), 1*(_xlfn._xlws.FILTER(OFFSET($O$15,0,$DO303,$B$8,1),OFFSET($M$15,0,0,$B$8,1))=FB$14))   /   SUM(OFFSET($BO$15,0,0,$B$14,1)) + $B$18/($B$19*$B$19*($DN303&lt;&gt;$DO303) + $B$19*($DN303=$DO303))</f>
        <v>3.7037037037037035E-4</v>
      </c>
      <c r="FC303" s="10" cm="1">
        <f t="array" aca="1" ref="FC303" ca="1">(1-$B$18)*SUMPRODUCT(OFFSET($BO$15,0,0,$B$14,1), 1*(_xlfn._xlws.FILTER(OFFSET($O$15,0,$DN303,$B$8,1),OFFSET($M$15,0,0,$B$8,1))=FC$13), 1*(_xlfn._xlws.FILTER(OFFSET($O$15,0,$DO303,$B$8,1),OFFSET($M$15,0,0,$B$8,1))=FC$14))   /   SUM(OFFSET($BO$15,0,0,$B$14,1)) + $B$18/($B$19*$B$19*($DN303&lt;&gt;$DO303) + $B$19*($DN303=$DO303))</f>
        <v>3.7037037037037035E-4</v>
      </c>
      <c r="FD303" s="10" cm="1">
        <f t="array" aca="1" ref="FD303" ca="1">(1-$B$18)*SUMPRODUCT(OFFSET($BO$15,0,0,$B$14,1), 1*(_xlfn._xlws.FILTER(OFFSET($O$15,0,$DN303,$B$8,1),OFFSET($M$15,0,0,$B$8,1))=FD$13), 1*(_xlfn._xlws.FILTER(OFFSET($O$15,0,$DO303,$B$8,1),OFFSET($M$15,0,0,$B$8,1))=FD$14))   /   SUM(OFFSET($BO$15,0,0,$B$14,1)) + $B$18/($B$19*$B$19*($DN303&lt;&gt;$DO303) + $B$19*($DN303=$DO303))</f>
        <v>3.7037037037037035E-4</v>
      </c>
      <c r="FE303" s="10" cm="1">
        <f t="array" aca="1" ref="FE303" ca="1">(1-$B$18)*SUMPRODUCT(OFFSET($BO$15,0,0,$B$14,1), 1*(_xlfn._xlws.FILTER(OFFSET($O$15,0,$DN303,$B$8,1),OFFSET($M$15,0,0,$B$8,1))=FE$13), 1*(_xlfn._xlws.FILTER(OFFSET($O$15,0,$DO303,$B$8,1),OFFSET($M$15,0,0,$B$8,1))=FE$14))   /   SUM(OFFSET($BO$15,0,0,$B$14,1)) + $B$18/($B$19*$B$19*($DN303&lt;&gt;$DO303) + $B$19*($DN303=$DO303))</f>
        <v>3.7037037037037035E-4</v>
      </c>
      <c r="FF303" s="10" cm="1">
        <f t="array" aca="1" ref="FF303" ca="1">(1-$B$18)*SUMPRODUCT(OFFSET($BO$15,0,0,$B$14,1), 1*(_xlfn._xlws.FILTER(OFFSET($O$15,0,$DN303,$B$8,1),OFFSET($M$15,0,0,$B$8,1))=FF$13), 1*(_xlfn._xlws.FILTER(OFFSET($O$15,0,$DO303,$B$8,1),OFFSET($M$15,0,0,$B$8,1))=FF$14))   /   SUM(OFFSET($BO$15,0,0,$B$14,1)) + $B$18/($B$19*$B$19*($DN303&lt;&gt;$DO303) + $B$19*($DN303=$DO303))</f>
        <v>3.7037037037037035E-4</v>
      </c>
      <c r="FG303" s="10" cm="1">
        <f t="array" aca="1" ref="FG303" ca="1">(1-$B$18)*SUMPRODUCT(OFFSET($BO$15,0,0,$B$14,1), 1*(_xlfn._xlws.FILTER(OFFSET($O$15,0,$DN303,$B$8,1),OFFSET($M$15,0,0,$B$8,1))=FG$13), 1*(_xlfn._xlws.FILTER(OFFSET($O$15,0,$DO303,$B$8,1),OFFSET($M$15,0,0,$B$8,1))=FG$14))   /   SUM(OFFSET($BO$15,0,0,$B$14,1)) + $B$18/($B$19*$B$19*($DN303&lt;&gt;$DO303) + $B$19*($DN303=$DO303))</f>
        <v>3.7037037037037035E-4</v>
      </c>
      <c r="FH303" s="10" cm="1">
        <f t="array" aca="1" ref="FH303" ca="1">(1-$B$18)*SUMPRODUCT(OFFSET($BO$15,0,0,$B$14,1), 1*(_xlfn._xlws.FILTER(OFFSET($O$15,0,$DN303,$B$8,1),OFFSET($M$15,0,0,$B$8,1))=FH$13), 1*(_xlfn._xlws.FILTER(OFFSET($O$15,0,$DO303,$B$8,1),OFFSET($M$15,0,0,$B$8,1))=FH$14))   /   SUM(OFFSET($BO$15,0,0,$B$14,1)) + $B$18/($B$19*$B$19*($DN303&lt;&gt;$DO303) + $B$19*($DN303=$DO303))</f>
        <v>3.7037037037037035E-4</v>
      </c>
      <c r="FI303" s="10" cm="1">
        <f t="array" aca="1" ref="FI303" ca="1">(1-$B$18)*SUMPRODUCT(OFFSET($BO$15,0,0,$B$14,1), 1*(_xlfn._xlws.FILTER(OFFSET($O$15,0,$DN303,$B$8,1),OFFSET($M$15,0,0,$B$8,1))=FI$13), 1*(_xlfn._xlws.FILTER(OFFSET($O$15,0,$DO303,$B$8,1),OFFSET($M$15,0,0,$B$8,1))=FI$14))   /   SUM(OFFSET($BO$15,0,0,$B$14,1)) + $B$18/($B$19*$B$19*($DN303&lt;&gt;$DO303) + $B$19*($DN303=$DO303))</f>
        <v>3.7037037037037035E-4</v>
      </c>
      <c r="FJ303" s="10" cm="1">
        <f t="array" aca="1" ref="FJ303" ca="1">(1-$B$18)*SUMPRODUCT(OFFSET($BO$15,0,0,$B$14,1), 1*(_xlfn._xlws.FILTER(OFFSET($O$15,0,$DN303,$B$8,1),OFFSET($M$15,0,0,$B$8,1))=FJ$13), 1*(_xlfn._xlws.FILTER(OFFSET($O$15,0,$DO303,$B$8,1),OFFSET($M$15,0,0,$B$8,1))=FJ$14))   /   SUM(OFFSET($BO$15,0,0,$B$14,1)) + $B$18/($B$19*$B$19*($DN303&lt;&gt;$DO303) + $B$19*($DN303=$DO303))</f>
        <v>3.7037037037037035E-4</v>
      </c>
      <c r="FK303" s="10" cm="1">
        <f t="array" aca="1" ref="FK303" ca="1">(1-$B$18)*SUMPRODUCT(OFFSET($BO$15,0,0,$B$14,1), 1*(_xlfn._xlws.FILTER(OFFSET($O$15,0,$DN303,$B$8,1),OFFSET($M$15,0,0,$B$8,1))=FK$13), 1*(_xlfn._xlws.FILTER(OFFSET($O$15,0,$DO303,$B$8,1),OFFSET($M$15,0,0,$B$8,1))=FK$14))   /   SUM(OFFSET($BO$15,0,0,$B$14,1)) + $B$18/($B$19*$B$19*($DN303&lt;&gt;$DO303) + $B$19*($DN303=$DO303))</f>
        <v>3.7037037037037035E-4</v>
      </c>
      <c r="FL303" s="10" cm="1">
        <f t="array" aca="1" ref="FL303" ca="1">(1-$B$18)*SUMPRODUCT(OFFSET($BO$15,0,0,$B$14,1), 1*(_xlfn._xlws.FILTER(OFFSET($O$15,0,$DN303,$B$8,1),OFFSET($M$15,0,0,$B$8,1))=FL$13), 1*(_xlfn._xlws.FILTER(OFFSET($O$15,0,$DO303,$B$8,1),OFFSET($M$15,0,0,$B$8,1))=FL$14))   /   SUM(OFFSET($BO$15,0,0,$B$14,1)) + $B$18/($B$19*$B$19*($DN303&lt;&gt;$DO303) + $B$19*($DN303=$DO303))</f>
        <v>3.7037037037037035E-4</v>
      </c>
      <c r="FM303" s="10" cm="1">
        <f t="array" aca="1" ref="FM303" ca="1">(1-$B$18)*SUMPRODUCT(OFFSET($BO$15,0,0,$B$14,1), 1*(_xlfn._xlws.FILTER(OFFSET($O$15,0,$DN303,$B$8,1),OFFSET($M$15,0,0,$B$8,1))=FM$13), 1*(_xlfn._xlws.FILTER(OFFSET($O$15,0,$DO303,$B$8,1),OFFSET($M$15,0,0,$B$8,1))=FM$14))   /   SUM(OFFSET($BO$15,0,0,$B$14,1)) + $B$18/($B$19*$B$19*($DN303&lt;&gt;$DO303) + $B$19*($DN303=$DO303))</f>
        <v>3.7037037037037035E-4</v>
      </c>
      <c r="FN303" s="10" cm="1">
        <f t="array" aca="1" ref="FN303" ca="1">(1-$B$18)*SUMPRODUCT(OFFSET($BO$15,0,0,$B$14,1), 1*(_xlfn._xlws.FILTER(OFFSET($O$15,0,$DN303,$B$8,1),OFFSET($M$15,0,0,$B$8,1))=FN$13), 1*(_xlfn._xlws.FILTER(OFFSET($O$15,0,$DO303,$B$8,1),OFFSET($M$15,0,0,$B$8,1))=FN$14))   /   SUM(OFFSET($BO$15,0,0,$B$14,1)) + $B$18/($B$19*$B$19*($DN303&lt;&gt;$DO303) + $B$19*($DN303=$DO303))</f>
        <v>3.7037037037037035E-4</v>
      </c>
      <c r="FO303" s="10" cm="1">
        <f t="array" aca="1" ref="FO303" ca="1">(1-$B$18)*SUMPRODUCT(OFFSET($BO$15,0,0,$B$14,1), 1*(_xlfn._xlws.FILTER(OFFSET($O$15,0,$DN303,$B$8,1),OFFSET($M$15,0,0,$B$8,1))=FO$13), 1*(_xlfn._xlws.FILTER(OFFSET($O$15,0,$DO303,$B$8,1),OFFSET($M$15,0,0,$B$8,1))=FO$14))   /   SUM(OFFSET($BO$15,0,0,$B$14,1)) + $B$18/($B$19*$B$19*($DN303&lt;&gt;$DO303) + $B$19*($DN303=$DO303))</f>
        <v>3.7037037037037035E-4</v>
      </c>
      <c r="FP303" s="10" cm="1">
        <f t="array" aca="1" ref="FP303" ca="1">(1-$B$18)*SUMPRODUCT(OFFSET($BO$15,0,0,$B$14,1), 1*(_xlfn._xlws.FILTER(OFFSET($O$15,0,$DN303,$B$8,1),OFFSET($M$15,0,0,$B$8,1))=FP$13), 1*(_xlfn._xlws.FILTER(OFFSET($O$15,0,$DO303,$B$8,1),OFFSET($M$15,0,0,$B$8,1))=FP$14))   /   SUM(OFFSET($BO$15,0,0,$B$14,1)) + $B$18/($B$19*$B$19*($DN303&lt;&gt;$DO303) + $B$19*($DN303=$DO303))</f>
        <v>3.7037037037037035E-4</v>
      </c>
      <c r="FQ303" s="10" cm="1">
        <f t="array" aca="1" ref="FQ303" ca="1">(1-$B$18)*SUMPRODUCT(OFFSET($BO$15,0,0,$B$14,1), 1*(_xlfn._xlws.FILTER(OFFSET($O$15,0,$DN303,$B$8,1),OFFSET($M$15,0,0,$B$8,1))=FQ$13), 1*(_xlfn._xlws.FILTER(OFFSET($O$15,0,$DO303,$B$8,1),OFFSET($M$15,0,0,$B$8,1))=FQ$14))   /   SUM(OFFSET($BO$15,0,0,$B$14,1)) + $B$18/($B$19*$B$19*($DN303&lt;&gt;$DO303) + $B$19*($DN303=$DO303))</f>
        <v>3.7037037037037035E-4</v>
      </c>
      <c r="FR303" s="10" cm="1">
        <f t="array" aca="1" ref="FR303" ca="1">(1-$B$18)*SUMPRODUCT(OFFSET($BO$15,0,0,$B$14,1), 1*(_xlfn._xlws.FILTER(OFFSET($O$15,0,$DN303,$B$8,1),OFFSET($M$15,0,0,$B$8,1))=FR$13), 1*(_xlfn._xlws.FILTER(OFFSET($O$15,0,$DO303,$B$8,1),OFFSET($M$15,0,0,$B$8,1))=FR$14))   /   SUM(OFFSET($BO$15,0,0,$B$14,1)) + $B$18/($B$19*$B$19*($DN303&lt;&gt;$DO303) + $B$19*($DN303=$DO303))</f>
        <v>3.7037037037037035E-4</v>
      </c>
      <c r="FS303" s="10" cm="1">
        <f t="array" aca="1" ref="FS303" ca="1">(1-$B$18)*SUMPRODUCT(OFFSET($BO$15,0,0,$B$14,1), 1*(_xlfn._xlws.FILTER(OFFSET($O$15,0,$DN303,$B$8,1),OFFSET($M$15,0,0,$B$8,1))=FS$13), 1*(_xlfn._xlws.FILTER(OFFSET($O$15,0,$DO303,$B$8,1),OFFSET($M$15,0,0,$B$8,1))=FS$14))   /   SUM(OFFSET($BO$15,0,0,$B$14,1)) + $B$18/($B$19*$B$19*($DN303&lt;&gt;$DO303) + $B$19*($DN303=$DO303))</f>
        <v>3.7037037037037035E-4</v>
      </c>
      <c r="FT303" s="10" cm="1">
        <f t="array" aca="1" ref="FT303" ca="1">(1-$B$18)*SUMPRODUCT(OFFSET($BO$15,0,0,$B$14,1), 1*(_xlfn._xlws.FILTER(OFFSET($O$15,0,$DN303,$B$8,1),OFFSET($M$15,0,0,$B$8,1))=FT$13), 1*(_xlfn._xlws.FILTER(OFFSET($O$15,0,$DO303,$B$8,1),OFFSET($M$15,0,0,$B$8,1))=FT$14))   /   SUM(OFFSET($BO$15,0,0,$B$14,1)) + $B$18/($B$19*$B$19*($DN303&lt;&gt;$DO303) + $B$19*($DN303=$DO303))</f>
        <v>3.7037037037037035E-4</v>
      </c>
      <c r="FU303" s="10" cm="1">
        <f t="array" aca="1" ref="FU303" ca="1">(1-$B$18)*SUMPRODUCT(OFFSET($BO$15,0,0,$B$14,1), 1*(_xlfn._xlws.FILTER(OFFSET($O$15,0,$DN303,$B$8,1),OFFSET($M$15,0,0,$B$8,1))=FU$13), 1*(_xlfn._xlws.FILTER(OFFSET($O$15,0,$DO303,$B$8,1),OFFSET($M$15,0,0,$B$8,1))=FU$14))   /   SUM(OFFSET($BO$15,0,0,$B$14,1)) + $B$18/($B$19*$B$19*($DN303&lt;&gt;$DO303) + $B$19*($DN303=$DO303))</f>
        <v>3.7037037037037035E-4</v>
      </c>
      <c r="FV303" s="10" cm="1">
        <f t="array" aca="1" ref="FV303" ca="1">(1-$B$18)*SUMPRODUCT(OFFSET($BO$15,0,0,$B$14,1), 1*(_xlfn._xlws.FILTER(OFFSET($O$15,0,$DN303,$B$8,1),OFFSET($M$15,0,0,$B$8,1))=FV$13), 1*(_xlfn._xlws.FILTER(OFFSET($O$15,0,$DO303,$B$8,1),OFFSET($M$15,0,0,$B$8,1))=FV$14))   /   SUM(OFFSET($BO$15,0,0,$B$14,1)) + $B$18/($B$19*$B$19*($DN303&lt;&gt;$DO303) + $B$19*($DN303=$DO303))</f>
        <v>3.7037037037037035E-4</v>
      </c>
      <c r="FW303" s="10" cm="1">
        <f t="array" aca="1" ref="FW303" ca="1">(1-$B$18)*SUMPRODUCT(OFFSET($BO$15,0,0,$B$14,1), 1*(_xlfn._xlws.FILTER(OFFSET($O$15,0,$DN303,$B$8,1),OFFSET($M$15,0,0,$B$8,1))=FW$13), 1*(_xlfn._xlws.FILTER(OFFSET($O$15,0,$DO303,$B$8,1),OFFSET($M$15,0,0,$B$8,1))=FW$14))   /   SUM(OFFSET($BO$15,0,0,$B$14,1)) + $B$18/($B$19*$B$19*($DN303&lt;&gt;$DO303) + $B$19*($DN303=$DO303))</f>
        <v>3.7037037037037035E-4</v>
      </c>
      <c r="FX303" s="10" cm="1">
        <f t="array" aca="1" ref="FX303" ca="1">(1-$B$18)*SUMPRODUCT(OFFSET($BO$15,0,0,$B$14,1), 1*(_xlfn._xlws.FILTER(OFFSET($O$15,0,$DN303,$B$8,1),OFFSET($M$15,0,0,$B$8,1))=FX$13), 1*(_xlfn._xlws.FILTER(OFFSET($O$15,0,$DO303,$B$8,1),OFFSET($M$15,0,0,$B$8,1))=FX$14))   /   SUM(OFFSET($BO$15,0,0,$B$14,1)) + $B$18/($B$19*$B$19*($DN303&lt;&gt;$DO303) + $B$19*($DN303=$DO303))</f>
        <v>3.7037037037037035E-4</v>
      </c>
      <c r="FY303" s="10" cm="1">
        <f t="array" aca="1" ref="FY303" ca="1">(1-$B$18)*SUMPRODUCT(OFFSET($BO$15,0,0,$B$14,1), 1*(_xlfn._xlws.FILTER(OFFSET($O$15,0,$DN303,$B$8,1),OFFSET($M$15,0,0,$B$8,1))=FY$13), 1*(_xlfn._xlws.FILTER(OFFSET($O$15,0,$DO303,$B$8,1),OFFSET($M$15,0,0,$B$8,1))=FY$14))   /   SUM(OFFSET($BO$15,0,0,$B$14,1)) + $B$18/($B$19*$B$19*($DN303&lt;&gt;$DO303) + $B$19*($DN303=$DO303))</f>
        <v>3.7037037037037035E-4</v>
      </c>
      <c r="FZ303" s="10" cm="1">
        <f t="array" aca="1" ref="FZ303" ca="1">(1-$B$18)*SUMPRODUCT(OFFSET($BO$15,0,0,$B$14,1), 1*(_xlfn._xlws.FILTER(OFFSET($O$15,0,$DN303,$B$8,1),OFFSET($M$15,0,0,$B$8,1))=FZ$13), 1*(_xlfn._xlws.FILTER(OFFSET($O$15,0,$DO303,$B$8,1),OFFSET($M$15,0,0,$B$8,1))=FZ$14))   /   SUM(OFFSET($BO$15,0,0,$B$14,1)) + $B$18/($B$19*$B$19*($DN303&lt;&gt;$DO303) + $B$19*($DN303=$DO303))</f>
        <v>3.7037037037037035E-4</v>
      </c>
      <c r="GA303" s="10" cm="1">
        <f t="array" aca="1" ref="GA303" ca="1">(1-$B$18)*SUMPRODUCT(OFFSET($BO$15,0,0,$B$14,1), 1*(_xlfn._xlws.FILTER(OFFSET($O$15,0,$DN303,$B$8,1),OFFSET($M$15,0,0,$B$8,1))=GA$13), 1*(_xlfn._xlws.FILTER(OFFSET($O$15,0,$DO303,$B$8,1),OFFSET($M$15,0,0,$B$8,1))=GA$14))   /   SUM(OFFSET($BO$15,0,0,$B$14,1)) + $B$18/($B$19*$B$19*($DN303&lt;&gt;$DO303) + $B$19*($DN303=$DO303))</f>
        <v>3.7037037037037035E-4</v>
      </c>
    </row>
    <row r="304" spans="118:183" x14ac:dyDescent="0.2">
      <c r="DN304" cm="1">
        <f t="array" aca="1" ref="DN304" ca="1">INDEX(_xlfn.ANCHORARRAY($CP$15), 1 + INT((ROWS($DO$15:$DO304) - 1) / ROWS(_xlfn.ANCHORARRAY($CP$15))))</f>
        <v>18</v>
      </c>
      <c r="DO304" cm="1">
        <f t="array" aca="1" ref="DO304" ca="1">INDEX(_xlfn.ANCHORARRAY($CP$15),1+MOD(ROWS($DO$15:$DO304)-1,ROWS(_xlfn.ANCHORARRAY($CP$15))))</f>
        <v>4</v>
      </c>
      <c r="DP304" s="10" cm="1">
        <f t="array" aca="1" ref="DP304" ca="1">(1-$B$18)*SUMPRODUCT(OFFSET($BO$15,0,0,$B$14,1), 1*(_xlfn._xlws.FILTER(OFFSET($O$15,0,$DN304,$B$8,1),OFFSET($M$15,0,0,$B$8,1))=DP$13), 1*(_xlfn._xlws.FILTER(OFFSET($O$15,0,$DO304,$B$8,1),OFFSET($M$15,0,0,$B$8,1))=DP$14))   /   SUM(OFFSET($BO$15,0,0,$B$14,1)) + $B$18/($B$19*$B$19*($DN304&lt;&gt;$DO304) + $B$19*($DN304=$DO304))</f>
        <v>3.7037037037037035E-4</v>
      </c>
      <c r="DQ304" s="10" cm="1">
        <f t="array" aca="1" ref="DQ304" ca="1">(1-$B$18)*SUMPRODUCT(OFFSET($BO$15,0,0,$B$14,1), 1*(_xlfn._xlws.FILTER(OFFSET($O$15,0,$DN304,$B$8,1),OFFSET($M$15,0,0,$B$8,1))=DQ$13), 1*(_xlfn._xlws.FILTER(OFFSET($O$15,0,$DO304,$B$8,1),OFFSET($M$15,0,0,$B$8,1))=DQ$14))   /   SUM(OFFSET($BO$15,0,0,$B$14,1)) + $B$18/($B$19*$B$19*($DN304&lt;&gt;$DO304) + $B$19*($DN304=$DO304))</f>
        <v>3.7037037037037035E-4</v>
      </c>
      <c r="DR304" s="10" cm="1">
        <f t="array" aca="1" ref="DR304" ca="1">(1-$B$18)*SUMPRODUCT(OFFSET($BO$15,0,0,$B$14,1), 1*(_xlfn._xlws.FILTER(OFFSET($O$15,0,$DN304,$B$8,1),OFFSET($M$15,0,0,$B$8,1))=DR$13), 1*(_xlfn._xlws.FILTER(OFFSET($O$15,0,$DO304,$B$8,1),OFFSET($M$15,0,0,$B$8,1))=DR$14))   /   SUM(OFFSET($BO$15,0,0,$B$14,1)) + $B$18/($B$19*$B$19*($DN304&lt;&gt;$DO304) + $B$19*($DN304=$DO304))</f>
        <v>3.7037037037037035E-4</v>
      </c>
      <c r="DS304" s="10" cm="1">
        <f t="array" aca="1" ref="DS304" ca="1">(1-$B$18)*SUMPRODUCT(OFFSET($BO$15,0,0,$B$14,1), 1*(_xlfn._xlws.FILTER(OFFSET($O$15,0,$DN304,$B$8,1),OFFSET($M$15,0,0,$B$8,1))=DS$13), 1*(_xlfn._xlws.FILTER(OFFSET($O$15,0,$DO304,$B$8,1),OFFSET($M$15,0,0,$B$8,1))=DS$14))   /   SUM(OFFSET($BO$15,0,0,$B$14,1)) + $B$18/($B$19*$B$19*($DN304&lt;&gt;$DO304) + $B$19*($DN304=$DO304))</f>
        <v>3.7037037037037035E-4</v>
      </c>
      <c r="DT304" s="10" cm="1">
        <f t="array" aca="1" ref="DT304" ca="1">(1-$B$18)*SUMPRODUCT(OFFSET($BO$15,0,0,$B$14,1), 1*(_xlfn._xlws.FILTER(OFFSET($O$15,0,$DN304,$B$8,1),OFFSET($M$15,0,0,$B$8,1))=DT$13), 1*(_xlfn._xlws.FILTER(OFFSET($O$15,0,$DO304,$B$8,1),OFFSET($M$15,0,0,$B$8,1))=DT$14))   /   SUM(OFFSET($BO$15,0,0,$B$14,1)) + $B$18/($B$19*$B$19*($DN304&lt;&gt;$DO304) + $B$19*($DN304=$DO304))</f>
        <v>3.7037037037037035E-4</v>
      </c>
      <c r="DU304" s="10" cm="1">
        <f t="array" aca="1" ref="DU304" ca="1">(1-$B$18)*SUMPRODUCT(OFFSET($BO$15,0,0,$B$14,1), 1*(_xlfn._xlws.FILTER(OFFSET($O$15,0,$DN304,$B$8,1),OFFSET($M$15,0,0,$B$8,1))=DU$13), 1*(_xlfn._xlws.FILTER(OFFSET($O$15,0,$DO304,$B$8,1),OFFSET($M$15,0,0,$B$8,1))=DU$14))   /   SUM(OFFSET($BO$15,0,0,$B$14,1)) + $B$18/($B$19*$B$19*($DN304&lt;&gt;$DO304) + $B$19*($DN304=$DO304))</f>
        <v>3.7037037037037035E-4</v>
      </c>
      <c r="DV304" s="10" cm="1">
        <f t="array" aca="1" ref="DV304" ca="1">(1-$B$18)*SUMPRODUCT(OFFSET($BO$15,0,0,$B$14,1), 1*(_xlfn._xlws.FILTER(OFFSET($O$15,0,$DN304,$B$8,1),OFFSET($M$15,0,0,$B$8,1))=DV$13), 1*(_xlfn._xlws.FILTER(OFFSET($O$15,0,$DO304,$B$8,1),OFFSET($M$15,0,0,$B$8,1))=DV$14))   /   SUM(OFFSET($BO$15,0,0,$B$14,1)) + $B$18/($B$19*$B$19*($DN304&lt;&gt;$DO304) + $B$19*($DN304=$DO304))</f>
        <v>3.7037037037037035E-4</v>
      </c>
      <c r="DW304" s="10" cm="1">
        <f t="array" aca="1" ref="DW304" ca="1">(1-$B$18)*SUMPRODUCT(OFFSET($BO$15,0,0,$B$14,1), 1*(_xlfn._xlws.FILTER(OFFSET($O$15,0,$DN304,$B$8,1),OFFSET($M$15,0,0,$B$8,1))=DW$13), 1*(_xlfn._xlws.FILTER(OFFSET($O$15,0,$DO304,$B$8,1),OFFSET($M$15,0,0,$B$8,1))=DW$14))   /   SUM(OFFSET($BO$15,0,0,$B$14,1)) + $B$18/($B$19*$B$19*($DN304&lt;&gt;$DO304) + $B$19*($DN304=$DO304))</f>
        <v>3.7037037037037035E-4</v>
      </c>
      <c r="DX304" s="10" cm="1">
        <f t="array" aca="1" ref="DX304" ca="1">(1-$B$18)*SUMPRODUCT(OFFSET($BO$15,0,0,$B$14,1), 1*(_xlfn._xlws.FILTER(OFFSET($O$15,0,$DN304,$B$8,1),OFFSET($M$15,0,0,$B$8,1))=DX$13), 1*(_xlfn._xlws.FILTER(OFFSET($O$15,0,$DO304,$B$8,1),OFFSET($M$15,0,0,$B$8,1))=DX$14))   /   SUM(OFFSET($BO$15,0,0,$B$14,1)) + $B$18/($B$19*$B$19*($DN304&lt;&gt;$DO304) + $B$19*($DN304=$DO304))</f>
        <v>3.7037037037037035E-4</v>
      </c>
      <c r="DY304" s="10" cm="1">
        <f t="array" aca="1" ref="DY304" ca="1">(1-$B$18)*SUMPRODUCT(OFFSET($BO$15,0,0,$B$14,1), 1*(_xlfn._xlws.FILTER(OFFSET($O$15,0,$DN304,$B$8,1),OFFSET($M$15,0,0,$B$8,1))=DY$13), 1*(_xlfn._xlws.FILTER(OFFSET($O$15,0,$DO304,$B$8,1),OFFSET($M$15,0,0,$B$8,1))=DY$14))   /   SUM(OFFSET($BO$15,0,0,$B$14,1)) + $B$18/($B$19*$B$19*($DN304&lt;&gt;$DO304) + $B$19*($DN304=$DO304))</f>
        <v>3.7037037037037035E-4</v>
      </c>
      <c r="DZ304" s="10" cm="1">
        <f t="array" aca="1" ref="DZ304" ca="1">(1-$B$18)*SUMPRODUCT(OFFSET($BO$15,0,0,$B$14,1), 1*(_xlfn._xlws.FILTER(OFFSET($O$15,0,$DN304,$B$8,1),OFFSET($M$15,0,0,$B$8,1))=DZ$13), 1*(_xlfn._xlws.FILTER(OFFSET($O$15,0,$DO304,$B$8,1),OFFSET($M$15,0,0,$B$8,1))=DZ$14))   /   SUM(OFFSET($BO$15,0,0,$B$14,1)) + $B$18/($B$19*$B$19*($DN304&lt;&gt;$DO304) + $B$19*($DN304=$DO304))</f>
        <v>3.7037037037037035E-4</v>
      </c>
      <c r="EA304" s="10" cm="1">
        <f t="array" aca="1" ref="EA304" ca="1">(1-$B$18)*SUMPRODUCT(OFFSET($BO$15,0,0,$B$14,1), 1*(_xlfn._xlws.FILTER(OFFSET($O$15,0,$DN304,$B$8,1),OFFSET($M$15,0,0,$B$8,1))=EA$13), 1*(_xlfn._xlws.FILTER(OFFSET($O$15,0,$DO304,$B$8,1),OFFSET($M$15,0,0,$B$8,1))=EA$14))   /   SUM(OFFSET($BO$15,0,0,$B$14,1)) + $B$18/($B$19*$B$19*($DN304&lt;&gt;$DO304) + $B$19*($DN304=$DO304))</f>
        <v>3.7037037037037035E-4</v>
      </c>
      <c r="EB304" s="10" cm="1">
        <f t="array" aca="1" ref="EB304" ca="1">(1-$B$18)*SUMPRODUCT(OFFSET($BO$15,0,0,$B$14,1), 1*(_xlfn._xlws.FILTER(OFFSET($O$15,0,$DN304,$B$8,1),OFFSET($M$15,0,0,$B$8,1))=EB$13), 1*(_xlfn._xlws.FILTER(OFFSET($O$15,0,$DO304,$B$8,1),OFFSET($M$15,0,0,$B$8,1))=EB$14))   /   SUM(OFFSET($BO$15,0,0,$B$14,1)) + $B$18/($B$19*$B$19*($DN304&lt;&gt;$DO304) + $B$19*($DN304=$DO304))</f>
        <v>3.7037037037037035E-4</v>
      </c>
      <c r="EC304" s="10" cm="1">
        <f t="array" aca="1" ref="EC304" ca="1">(1-$B$18)*SUMPRODUCT(OFFSET($BO$15,0,0,$B$14,1), 1*(_xlfn._xlws.FILTER(OFFSET($O$15,0,$DN304,$B$8,1),OFFSET($M$15,0,0,$B$8,1))=EC$13), 1*(_xlfn._xlws.FILTER(OFFSET($O$15,0,$DO304,$B$8,1),OFFSET($M$15,0,0,$B$8,1))=EC$14))   /   SUM(OFFSET($BO$15,0,0,$B$14,1)) + $B$18/($B$19*$B$19*($DN304&lt;&gt;$DO304) + $B$19*($DN304=$DO304))</f>
        <v>3.7037037037037035E-4</v>
      </c>
      <c r="ED304" s="10" cm="1">
        <f t="array" aca="1" ref="ED304" ca="1">(1-$B$18)*SUMPRODUCT(OFFSET($BO$15,0,0,$B$14,1), 1*(_xlfn._xlws.FILTER(OFFSET($O$15,0,$DN304,$B$8,1),OFFSET($M$15,0,0,$B$8,1))=ED$13), 1*(_xlfn._xlws.FILTER(OFFSET($O$15,0,$DO304,$B$8,1),OFFSET($M$15,0,0,$B$8,1))=ED$14))   /   SUM(OFFSET($BO$15,0,0,$B$14,1)) + $B$18/($B$19*$B$19*($DN304&lt;&gt;$DO304) + $B$19*($DN304=$DO304))</f>
        <v>3.7037037037037035E-4</v>
      </c>
      <c r="EE304" s="10" cm="1">
        <f t="array" aca="1" ref="EE304" ca="1">(1-$B$18)*SUMPRODUCT(OFFSET($BO$15,0,0,$B$14,1), 1*(_xlfn._xlws.FILTER(OFFSET($O$15,0,$DN304,$B$8,1),OFFSET($M$15,0,0,$B$8,1))=EE$13), 1*(_xlfn._xlws.FILTER(OFFSET($O$15,0,$DO304,$B$8,1),OFFSET($M$15,0,0,$B$8,1))=EE$14))   /   SUM(OFFSET($BO$15,0,0,$B$14,1)) + $B$18/($B$19*$B$19*($DN304&lt;&gt;$DO304) + $B$19*($DN304=$DO304))</f>
        <v>3.7037037037037035E-4</v>
      </c>
      <c r="EF304" s="10" cm="1">
        <f t="array" aca="1" ref="EF304" ca="1">(1-$B$18)*SUMPRODUCT(OFFSET($BO$15,0,0,$B$14,1), 1*(_xlfn._xlws.FILTER(OFFSET($O$15,0,$DN304,$B$8,1),OFFSET($M$15,0,0,$B$8,1))=EF$13), 1*(_xlfn._xlws.FILTER(OFFSET($O$15,0,$DO304,$B$8,1),OFFSET($M$15,0,0,$B$8,1))=EF$14))   /   SUM(OFFSET($BO$15,0,0,$B$14,1)) + $B$18/($B$19*$B$19*($DN304&lt;&gt;$DO304) + $B$19*($DN304=$DO304))</f>
        <v>3.7037037037037035E-4</v>
      </c>
      <c r="EG304" s="10" cm="1">
        <f t="array" aca="1" ref="EG304" ca="1">(1-$B$18)*SUMPRODUCT(OFFSET($BO$15,0,0,$B$14,1), 1*(_xlfn._xlws.FILTER(OFFSET($O$15,0,$DN304,$B$8,1),OFFSET($M$15,0,0,$B$8,1))=EG$13), 1*(_xlfn._xlws.FILTER(OFFSET($O$15,0,$DO304,$B$8,1),OFFSET($M$15,0,0,$B$8,1))=EG$14))   /   SUM(OFFSET($BO$15,0,0,$B$14,1)) + $B$18/($B$19*$B$19*($DN304&lt;&gt;$DO304) + $B$19*($DN304=$DO304))</f>
        <v>3.7037037037037035E-4</v>
      </c>
      <c r="EH304" s="10" cm="1">
        <f t="array" aca="1" ref="EH304" ca="1">(1-$B$18)*SUMPRODUCT(OFFSET($BO$15,0,0,$B$14,1), 1*(_xlfn._xlws.FILTER(OFFSET($O$15,0,$DN304,$B$8,1),OFFSET($M$15,0,0,$B$8,1))=EH$13), 1*(_xlfn._xlws.FILTER(OFFSET($O$15,0,$DO304,$B$8,1),OFFSET($M$15,0,0,$B$8,1))=EH$14))   /   SUM(OFFSET($BO$15,0,0,$B$14,1)) + $B$18/($B$19*$B$19*($DN304&lt;&gt;$DO304) + $B$19*($DN304=$DO304))</f>
        <v>3.7037037037037035E-4</v>
      </c>
      <c r="EI304" s="10" cm="1">
        <f t="array" aca="1" ref="EI304" ca="1">(1-$B$18)*SUMPRODUCT(OFFSET($BO$15,0,0,$B$14,1), 1*(_xlfn._xlws.FILTER(OFFSET($O$15,0,$DN304,$B$8,1),OFFSET($M$15,0,0,$B$8,1))=EI$13), 1*(_xlfn._xlws.FILTER(OFFSET($O$15,0,$DO304,$B$8,1),OFFSET($M$15,0,0,$B$8,1))=EI$14))   /   SUM(OFFSET($BO$15,0,0,$B$14,1)) + $B$18/($B$19*$B$19*($DN304&lt;&gt;$DO304) + $B$19*($DN304=$DO304))</f>
        <v>3.7037037037037035E-4</v>
      </c>
      <c r="EJ304" s="10" cm="1">
        <f t="array" aca="1" ref="EJ304" ca="1">(1-$B$18)*SUMPRODUCT(OFFSET($BO$15,0,0,$B$14,1), 1*(_xlfn._xlws.FILTER(OFFSET($O$15,0,$DN304,$B$8,1),OFFSET($M$15,0,0,$B$8,1))=EJ$13), 1*(_xlfn._xlws.FILTER(OFFSET($O$15,0,$DO304,$B$8,1),OFFSET($M$15,0,0,$B$8,1))=EJ$14))   /   SUM(OFFSET($BO$15,0,0,$B$14,1)) + $B$18/($B$19*$B$19*($DN304&lt;&gt;$DO304) + $B$19*($DN304=$DO304))</f>
        <v>3.7037037037037035E-4</v>
      </c>
      <c r="EK304" s="10" cm="1">
        <f t="array" aca="1" ref="EK304" ca="1">(1-$B$18)*SUMPRODUCT(OFFSET($BO$15,0,0,$B$14,1), 1*(_xlfn._xlws.FILTER(OFFSET($O$15,0,$DN304,$B$8,1),OFFSET($M$15,0,0,$B$8,1))=EK$13), 1*(_xlfn._xlws.FILTER(OFFSET($O$15,0,$DO304,$B$8,1),OFFSET($M$15,0,0,$B$8,1))=EK$14))   /   SUM(OFFSET($BO$15,0,0,$B$14,1)) + $B$18/($B$19*$B$19*($DN304&lt;&gt;$DO304) + $B$19*($DN304=$DO304))</f>
        <v>3.7037037037037035E-4</v>
      </c>
      <c r="EL304" s="10" cm="1">
        <f t="array" aca="1" ref="EL304" ca="1">(1-$B$18)*SUMPRODUCT(OFFSET($BO$15,0,0,$B$14,1), 1*(_xlfn._xlws.FILTER(OFFSET($O$15,0,$DN304,$B$8,1),OFFSET($M$15,0,0,$B$8,1))=EL$13), 1*(_xlfn._xlws.FILTER(OFFSET($O$15,0,$DO304,$B$8,1),OFFSET($M$15,0,0,$B$8,1))=EL$14))   /   SUM(OFFSET($BO$15,0,0,$B$14,1)) + $B$18/($B$19*$B$19*($DN304&lt;&gt;$DO304) + $B$19*($DN304=$DO304))</f>
        <v>3.7037037037037035E-4</v>
      </c>
      <c r="EM304" s="10" cm="1">
        <f t="array" aca="1" ref="EM304" ca="1">(1-$B$18)*SUMPRODUCT(OFFSET($BO$15,0,0,$B$14,1), 1*(_xlfn._xlws.FILTER(OFFSET($O$15,0,$DN304,$B$8,1),OFFSET($M$15,0,0,$B$8,1))=EM$13), 1*(_xlfn._xlws.FILTER(OFFSET($O$15,0,$DO304,$B$8,1),OFFSET($M$15,0,0,$B$8,1))=EM$14))   /   SUM(OFFSET($BO$15,0,0,$B$14,1)) + $B$18/($B$19*$B$19*($DN304&lt;&gt;$DO304) + $B$19*($DN304=$DO304))</f>
        <v>3.7037037037037035E-4</v>
      </c>
      <c r="EN304" s="10" cm="1">
        <f t="array" aca="1" ref="EN304" ca="1">(1-$B$18)*SUMPRODUCT(OFFSET($BO$15,0,0,$B$14,1), 1*(_xlfn._xlws.FILTER(OFFSET($O$15,0,$DN304,$B$8,1),OFFSET($M$15,0,0,$B$8,1))=EN$13), 1*(_xlfn._xlws.FILTER(OFFSET($O$15,0,$DO304,$B$8,1),OFFSET($M$15,0,0,$B$8,1))=EN$14))   /   SUM(OFFSET($BO$15,0,0,$B$14,1)) + $B$18/($B$19*$B$19*($DN304&lt;&gt;$DO304) + $B$19*($DN304=$DO304))</f>
        <v>3.7037037037037035E-4</v>
      </c>
      <c r="EO304" s="10" cm="1">
        <f t="array" aca="1" ref="EO304" ca="1">(1-$B$18)*SUMPRODUCT(OFFSET($BO$15,0,0,$B$14,1), 1*(_xlfn._xlws.FILTER(OFFSET($O$15,0,$DN304,$B$8,1),OFFSET($M$15,0,0,$B$8,1))=EO$13), 1*(_xlfn._xlws.FILTER(OFFSET($O$15,0,$DO304,$B$8,1),OFFSET($M$15,0,0,$B$8,1))=EO$14))   /   SUM(OFFSET($BO$15,0,0,$B$14,1)) + $B$18/($B$19*$B$19*($DN304&lt;&gt;$DO304) + $B$19*($DN304=$DO304))</f>
        <v>3.7037037037037035E-4</v>
      </c>
      <c r="EP304" s="10" cm="1">
        <f t="array" aca="1" ref="EP304" ca="1">(1-$B$18)*SUMPRODUCT(OFFSET($BO$15,0,0,$B$14,1), 1*(_xlfn._xlws.FILTER(OFFSET($O$15,0,$DN304,$B$8,1),OFFSET($M$15,0,0,$B$8,1))=EP$13), 1*(_xlfn._xlws.FILTER(OFFSET($O$15,0,$DO304,$B$8,1),OFFSET($M$15,0,0,$B$8,1))=EP$14))   /   SUM(OFFSET($BO$15,0,0,$B$14,1)) + $B$18/($B$19*$B$19*($DN304&lt;&gt;$DO304) + $B$19*($DN304=$DO304))</f>
        <v>3.7037037037037035E-4</v>
      </c>
      <c r="EQ304" s="10" cm="1">
        <f t="array" aca="1" ref="EQ304" ca="1">(1-$B$18)*SUMPRODUCT(OFFSET($BO$15,0,0,$B$14,1), 1*(_xlfn._xlws.FILTER(OFFSET($O$15,0,$DN304,$B$8,1),OFFSET($M$15,0,0,$B$8,1))=EQ$13), 1*(_xlfn._xlws.FILTER(OFFSET($O$15,0,$DO304,$B$8,1),OFFSET($M$15,0,0,$B$8,1))=EQ$14))   /   SUM(OFFSET($BO$15,0,0,$B$14,1)) + $B$18/($B$19*$B$19*($DN304&lt;&gt;$DO304) + $B$19*($DN304=$DO304))</f>
        <v>3.7037037037037035E-4</v>
      </c>
      <c r="ER304" s="10" cm="1">
        <f t="array" aca="1" ref="ER304" ca="1">(1-$B$18)*SUMPRODUCT(OFFSET($BO$15,0,0,$B$14,1), 1*(_xlfn._xlws.FILTER(OFFSET($O$15,0,$DN304,$B$8,1),OFFSET($M$15,0,0,$B$8,1))=ER$13), 1*(_xlfn._xlws.FILTER(OFFSET($O$15,0,$DO304,$B$8,1),OFFSET($M$15,0,0,$B$8,1))=ER$14))   /   SUM(OFFSET($BO$15,0,0,$B$14,1)) + $B$18/($B$19*$B$19*($DN304&lt;&gt;$DO304) + $B$19*($DN304=$DO304))</f>
        <v>3.7037037037037035E-4</v>
      </c>
      <c r="ES304" s="10" cm="1">
        <f t="array" aca="1" ref="ES304" ca="1">(1-$B$18)*SUMPRODUCT(OFFSET($BO$15,0,0,$B$14,1), 1*(_xlfn._xlws.FILTER(OFFSET($O$15,0,$DN304,$B$8,1),OFFSET($M$15,0,0,$B$8,1))=ES$13), 1*(_xlfn._xlws.FILTER(OFFSET($O$15,0,$DO304,$B$8,1),OFFSET($M$15,0,0,$B$8,1))=ES$14))   /   SUM(OFFSET($BO$15,0,0,$B$14,1)) + $B$18/($B$19*$B$19*($DN304&lt;&gt;$DO304) + $B$19*($DN304=$DO304))</f>
        <v>3.7037037037037035E-4</v>
      </c>
      <c r="ET304" s="10" cm="1">
        <f t="array" aca="1" ref="ET304" ca="1">(1-$B$18)*SUMPRODUCT(OFFSET($BO$15,0,0,$B$14,1), 1*(_xlfn._xlws.FILTER(OFFSET($O$15,0,$DN304,$B$8,1),OFFSET($M$15,0,0,$B$8,1))=ET$13), 1*(_xlfn._xlws.FILTER(OFFSET($O$15,0,$DO304,$B$8,1),OFFSET($M$15,0,0,$B$8,1))=ET$14))   /   SUM(OFFSET($BO$15,0,0,$B$14,1)) + $B$18/($B$19*$B$19*($DN304&lt;&gt;$DO304) + $B$19*($DN304=$DO304))</f>
        <v>0.97037037037037033</v>
      </c>
      <c r="EU304" s="10" cm="1">
        <f t="array" aca="1" ref="EU304" ca="1">(1-$B$18)*SUMPRODUCT(OFFSET($BO$15,0,0,$B$14,1), 1*(_xlfn._xlws.FILTER(OFFSET($O$15,0,$DN304,$B$8,1),OFFSET($M$15,0,0,$B$8,1))=EU$13), 1*(_xlfn._xlws.FILTER(OFFSET($O$15,0,$DO304,$B$8,1),OFFSET($M$15,0,0,$B$8,1))=EU$14))   /   SUM(OFFSET($BO$15,0,0,$B$14,1)) + $B$18/($B$19*$B$19*($DN304&lt;&gt;$DO304) + $B$19*($DN304=$DO304))</f>
        <v>3.7037037037037035E-4</v>
      </c>
      <c r="EV304" s="10" cm="1">
        <f t="array" aca="1" ref="EV304" ca="1">(1-$B$18)*SUMPRODUCT(OFFSET($BO$15,0,0,$B$14,1), 1*(_xlfn._xlws.FILTER(OFFSET($O$15,0,$DN304,$B$8,1),OFFSET($M$15,0,0,$B$8,1))=EV$13), 1*(_xlfn._xlws.FILTER(OFFSET($O$15,0,$DO304,$B$8,1),OFFSET($M$15,0,0,$B$8,1))=EV$14))   /   SUM(OFFSET($BO$15,0,0,$B$14,1)) + $B$18/($B$19*$B$19*($DN304&lt;&gt;$DO304) + $B$19*($DN304=$DO304))</f>
        <v>3.7037037037037035E-4</v>
      </c>
      <c r="EW304" s="10" cm="1">
        <f t="array" aca="1" ref="EW304" ca="1">(1-$B$18)*SUMPRODUCT(OFFSET($BO$15,0,0,$B$14,1), 1*(_xlfn._xlws.FILTER(OFFSET($O$15,0,$DN304,$B$8,1),OFFSET($M$15,0,0,$B$8,1))=EW$13), 1*(_xlfn._xlws.FILTER(OFFSET($O$15,0,$DO304,$B$8,1),OFFSET($M$15,0,0,$B$8,1))=EW$14))   /   SUM(OFFSET($BO$15,0,0,$B$14,1)) + $B$18/($B$19*$B$19*($DN304&lt;&gt;$DO304) + $B$19*($DN304=$DO304))</f>
        <v>3.7037037037037035E-4</v>
      </c>
      <c r="EX304" s="10" cm="1">
        <f t="array" aca="1" ref="EX304" ca="1">(1-$B$18)*SUMPRODUCT(OFFSET($BO$15,0,0,$B$14,1), 1*(_xlfn._xlws.FILTER(OFFSET($O$15,0,$DN304,$B$8,1),OFFSET($M$15,0,0,$B$8,1))=EX$13), 1*(_xlfn._xlws.FILTER(OFFSET($O$15,0,$DO304,$B$8,1),OFFSET($M$15,0,0,$B$8,1))=EX$14))   /   SUM(OFFSET($BO$15,0,0,$B$14,1)) + $B$18/($B$19*$B$19*($DN304&lt;&gt;$DO304) + $B$19*($DN304=$DO304))</f>
        <v>3.7037037037037035E-4</v>
      </c>
      <c r="EY304" s="10" cm="1">
        <f t="array" aca="1" ref="EY304" ca="1">(1-$B$18)*SUMPRODUCT(OFFSET($BO$15,0,0,$B$14,1), 1*(_xlfn._xlws.FILTER(OFFSET($O$15,0,$DN304,$B$8,1),OFFSET($M$15,0,0,$B$8,1))=EY$13), 1*(_xlfn._xlws.FILTER(OFFSET($O$15,0,$DO304,$B$8,1),OFFSET($M$15,0,0,$B$8,1))=EY$14))   /   SUM(OFFSET($BO$15,0,0,$B$14,1)) + $B$18/($B$19*$B$19*($DN304&lt;&gt;$DO304) + $B$19*($DN304=$DO304))</f>
        <v>3.7037037037037035E-4</v>
      </c>
      <c r="EZ304" s="10" cm="1">
        <f t="array" aca="1" ref="EZ304" ca="1">(1-$B$18)*SUMPRODUCT(OFFSET($BO$15,0,0,$B$14,1), 1*(_xlfn._xlws.FILTER(OFFSET($O$15,0,$DN304,$B$8,1),OFFSET($M$15,0,0,$B$8,1))=EZ$13), 1*(_xlfn._xlws.FILTER(OFFSET($O$15,0,$DO304,$B$8,1),OFFSET($M$15,0,0,$B$8,1))=EZ$14))   /   SUM(OFFSET($BO$15,0,0,$B$14,1)) + $B$18/($B$19*$B$19*($DN304&lt;&gt;$DO304) + $B$19*($DN304=$DO304))</f>
        <v>3.7037037037037035E-4</v>
      </c>
      <c r="FA304" s="10" cm="1">
        <f t="array" aca="1" ref="FA304" ca="1">(1-$B$18)*SUMPRODUCT(OFFSET($BO$15,0,0,$B$14,1), 1*(_xlfn._xlws.FILTER(OFFSET($O$15,0,$DN304,$B$8,1),OFFSET($M$15,0,0,$B$8,1))=FA$13), 1*(_xlfn._xlws.FILTER(OFFSET($O$15,0,$DO304,$B$8,1),OFFSET($M$15,0,0,$B$8,1))=FA$14))   /   SUM(OFFSET($BO$15,0,0,$B$14,1)) + $B$18/($B$19*$B$19*($DN304&lt;&gt;$DO304) + $B$19*($DN304=$DO304))</f>
        <v>3.7037037037037035E-4</v>
      </c>
      <c r="FB304" s="10" cm="1">
        <f t="array" aca="1" ref="FB304" ca="1">(1-$B$18)*SUMPRODUCT(OFFSET($BO$15,0,0,$B$14,1), 1*(_xlfn._xlws.FILTER(OFFSET($O$15,0,$DN304,$B$8,1),OFFSET($M$15,0,0,$B$8,1))=FB$13), 1*(_xlfn._xlws.FILTER(OFFSET($O$15,0,$DO304,$B$8,1),OFFSET($M$15,0,0,$B$8,1))=FB$14))   /   SUM(OFFSET($BO$15,0,0,$B$14,1)) + $B$18/($B$19*$B$19*($DN304&lt;&gt;$DO304) + $B$19*($DN304=$DO304))</f>
        <v>3.7037037037037035E-4</v>
      </c>
      <c r="FC304" s="10" cm="1">
        <f t="array" aca="1" ref="FC304" ca="1">(1-$B$18)*SUMPRODUCT(OFFSET($BO$15,0,0,$B$14,1), 1*(_xlfn._xlws.FILTER(OFFSET($O$15,0,$DN304,$B$8,1),OFFSET($M$15,0,0,$B$8,1))=FC$13), 1*(_xlfn._xlws.FILTER(OFFSET($O$15,0,$DO304,$B$8,1),OFFSET($M$15,0,0,$B$8,1))=FC$14))   /   SUM(OFFSET($BO$15,0,0,$B$14,1)) + $B$18/($B$19*$B$19*($DN304&lt;&gt;$DO304) + $B$19*($DN304=$DO304))</f>
        <v>3.7037037037037035E-4</v>
      </c>
      <c r="FD304" s="10" cm="1">
        <f t="array" aca="1" ref="FD304" ca="1">(1-$B$18)*SUMPRODUCT(OFFSET($BO$15,0,0,$B$14,1), 1*(_xlfn._xlws.FILTER(OFFSET($O$15,0,$DN304,$B$8,1),OFFSET($M$15,0,0,$B$8,1))=FD$13), 1*(_xlfn._xlws.FILTER(OFFSET($O$15,0,$DO304,$B$8,1),OFFSET($M$15,0,0,$B$8,1))=FD$14))   /   SUM(OFFSET($BO$15,0,0,$B$14,1)) + $B$18/($B$19*$B$19*($DN304&lt;&gt;$DO304) + $B$19*($DN304=$DO304))</f>
        <v>3.7037037037037035E-4</v>
      </c>
      <c r="FE304" s="10" cm="1">
        <f t="array" aca="1" ref="FE304" ca="1">(1-$B$18)*SUMPRODUCT(OFFSET($BO$15,0,0,$B$14,1), 1*(_xlfn._xlws.FILTER(OFFSET($O$15,0,$DN304,$B$8,1),OFFSET($M$15,0,0,$B$8,1))=FE$13), 1*(_xlfn._xlws.FILTER(OFFSET($O$15,0,$DO304,$B$8,1),OFFSET($M$15,0,0,$B$8,1))=FE$14))   /   SUM(OFFSET($BO$15,0,0,$B$14,1)) + $B$18/($B$19*$B$19*($DN304&lt;&gt;$DO304) + $B$19*($DN304=$DO304))</f>
        <v>3.7037037037037035E-4</v>
      </c>
      <c r="FF304" s="10" cm="1">
        <f t="array" aca="1" ref="FF304" ca="1">(1-$B$18)*SUMPRODUCT(OFFSET($BO$15,0,0,$B$14,1), 1*(_xlfn._xlws.FILTER(OFFSET($O$15,0,$DN304,$B$8,1),OFFSET($M$15,0,0,$B$8,1))=FF$13), 1*(_xlfn._xlws.FILTER(OFFSET($O$15,0,$DO304,$B$8,1),OFFSET($M$15,0,0,$B$8,1))=FF$14))   /   SUM(OFFSET($BO$15,0,0,$B$14,1)) + $B$18/($B$19*$B$19*($DN304&lt;&gt;$DO304) + $B$19*($DN304=$DO304))</f>
        <v>3.7037037037037035E-4</v>
      </c>
      <c r="FG304" s="10" cm="1">
        <f t="array" aca="1" ref="FG304" ca="1">(1-$B$18)*SUMPRODUCT(OFFSET($BO$15,0,0,$B$14,1), 1*(_xlfn._xlws.FILTER(OFFSET($O$15,0,$DN304,$B$8,1),OFFSET($M$15,0,0,$B$8,1))=FG$13), 1*(_xlfn._xlws.FILTER(OFFSET($O$15,0,$DO304,$B$8,1),OFFSET($M$15,0,0,$B$8,1))=FG$14))   /   SUM(OFFSET($BO$15,0,0,$B$14,1)) + $B$18/($B$19*$B$19*($DN304&lt;&gt;$DO304) + $B$19*($DN304=$DO304))</f>
        <v>3.7037037037037035E-4</v>
      </c>
      <c r="FH304" s="10" cm="1">
        <f t="array" aca="1" ref="FH304" ca="1">(1-$B$18)*SUMPRODUCT(OFFSET($BO$15,0,0,$B$14,1), 1*(_xlfn._xlws.FILTER(OFFSET($O$15,0,$DN304,$B$8,1),OFFSET($M$15,0,0,$B$8,1))=FH$13), 1*(_xlfn._xlws.FILTER(OFFSET($O$15,0,$DO304,$B$8,1),OFFSET($M$15,0,0,$B$8,1))=FH$14))   /   SUM(OFFSET($BO$15,0,0,$B$14,1)) + $B$18/($B$19*$B$19*($DN304&lt;&gt;$DO304) + $B$19*($DN304=$DO304))</f>
        <v>3.7037037037037035E-4</v>
      </c>
      <c r="FI304" s="10" cm="1">
        <f t="array" aca="1" ref="FI304" ca="1">(1-$B$18)*SUMPRODUCT(OFFSET($BO$15,0,0,$B$14,1), 1*(_xlfn._xlws.FILTER(OFFSET($O$15,0,$DN304,$B$8,1),OFFSET($M$15,0,0,$B$8,1))=FI$13), 1*(_xlfn._xlws.FILTER(OFFSET($O$15,0,$DO304,$B$8,1),OFFSET($M$15,0,0,$B$8,1))=FI$14))   /   SUM(OFFSET($BO$15,0,0,$B$14,1)) + $B$18/($B$19*$B$19*($DN304&lt;&gt;$DO304) + $B$19*($DN304=$DO304))</f>
        <v>3.7037037037037035E-4</v>
      </c>
      <c r="FJ304" s="10" cm="1">
        <f t="array" aca="1" ref="FJ304" ca="1">(1-$B$18)*SUMPRODUCT(OFFSET($BO$15,0,0,$B$14,1), 1*(_xlfn._xlws.FILTER(OFFSET($O$15,0,$DN304,$B$8,1),OFFSET($M$15,0,0,$B$8,1))=FJ$13), 1*(_xlfn._xlws.FILTER(OFFSET($O$15,0,$DO304,$B$8,1),OFFSET($M$15,0,0,$B$8,1))=FJ$14))   /   SUM(OFFSET($BO$15,0,0,$B$14,1)) + $B$18/($B$19*$B$19*($DN304&lt;&gt;$DO304) + $B$19*($DN304=$DO304))</f>
        <v>3.7037037037037035E-4</v>
      </c>
      <c r="FK304" s="10" cm="1">
        <f t="array" aca="1" ref="FK304" ca="1">(1-$B$18)*SUMPRODUCT(OFFSET($BO$15,0,0,$B$14,1), 1*(_xlfn._xlws.FILTER(OFFSET($O$15,0,$DN304,$B$8,1),OFFSET($M$15,0,0,$B$8,1))=FK$13), 1*(_xlfn._xlws.FILTER(OFFSET($O$15,0,$DO304,$B$8,1),OFFSET($M$15,0,0,$B$8,1))=FK$14))   /   SUM(OFFSET($BO$15,0,0,$B$14,1)) + $B$18/($B$19*$B$19*($DN304&lt;&gt;$DO304) + $B$19*($DN304=$DO304))</f>
        <v>3.7037037037037035E-4</v>
      </c>
      <c r="FL304" s="10" cm="1">
        <f t="array" aca="1" ref="FL304" ca="1">(1-$B$18)*SUMPRODUCT(OFFSET($BO$15,0,0,$B$14,1), 1*(_xlfn._xlws.FILTER(OFFSET($O$15,0,$DN304,$B$8,1),OFFSET($M$15,0,0,$B$8,1))=FL$13), 1*(_xlfn._xlws.FILTER(OFFSET($O$15,0,$DO304,$B$8,1),OFFSET($M$15,0,0,$B$8,1))=FL$14))   /   SUM(OFFSET($BO$15,0,0,$B$14,1)) + $B$18/($B$19*$B$19*($DN304&lt;&gt;$DO304) + $B$19*($DN304=$DO304))</f>
        <v>3.7037037037037035E-4</v>
      </c>
      <c r="FM304" s="10" cm="1">
        <f t="array" aca="1" ref="FM304" ca="1">(1-$B$18)*SUMPRODUCT(OFFSET($BO$15,0,0,$B$14,1), 1*(_xlfn._xlws.FILTER(OFFSET($O$15,0,$DN304,$B$8,1),OFFSET($M$15,0,0,$B$8,1))=FM$13), 1*(_xlfn._xlws.FILTER(OFFSET($O$15,0,$DO304,$B$8,1),OFFSET($M$15,0,0,$B$8,1))=FM$14))   /   SUM(OFFSET($BO$15,0,0,$B$14,1)) + $B$18/($B$19*$B$19*($DN304&lt;&gt;$DO304) + $B$19*($DN304=$DO304))</f>
        <v>3.7037037037037035E-4</v>
      </c>
      <c r="FN304" s="10" cm="1">
        <f t="array" aca="1" ref="FN304" ca="1">(1-$B$18)*SUMPRODUCT(OFFSET($BO$15,0,0,$B$14,1), 1*(_xlfn._xlws.FILTER(OFFSET($O$15,0,$DN304,$B$8,1),OFFSET($M$15,0,0,$B$8,1))=FN$13), 1*(_xlfn._xlws.FILTER(OFFSET($O$15,0,$DO304,$B$8,1),OFFSET($M$15,0,0,$B$8,1))=FN$14))   /   SUM(OFFSET($BO$15,0,0,$B$14,1)) + $B$18/($B$19*$B$19*($DN304&lt;&gt;$DO304) + $B$19*($DN304=$DO304))</f>
        <v>3.7037037037037035E-4</v>
      </c>
      <c r="FO304" s="10" cm="1">
        <f t="array" aca="1" ref="FO304" ca="1">(1-$B$18)*SUMPRODUCT(OFFSET($BO$15,0,0,$B$14,1), 1*(_xlfn._xlws.FILTER(OFFSET($O$15,0,$DN304,$B$8,1),OFFSET($M$15,0,0,$B$8,1))=FO$13), 1*(_xlfn._xlws.FILTER(OFFSET($O$15,0,$DO304,$B$8,1),OFFSET($M$15,0,0,$B$8,1))=FO$14))   /   SUM(OFFSET($BO$15,0,0,$B$14,1)) + $B$18/($B$19*$B$19*($DN304&lt;&gt;$DO304) + $B$19*($DN304=$DO304))</f>
        <v>3.7037037037037035E-4</v>
      </c>
      <c r="FP304" s="10" cm="1">
        <f t="array" aca="1" ref="FP304" ca="1">(1-$B$18)*SUMPRODUCT(OFFSET($BO$15,0,0,$B$14,1), 1*(_xlfn._xlws.FILTER(OFFSET($O$15,0,$DN304,$B$8,1),OFFSET($M$15,0,0,$B$8,1))=FP$13), 1*(_xlfn._xlws.FILTER(OFFSET($O$15,0,$DO304,$B$8,1),OFFSET($M$15,0,0,$B$8,1))=FP$14))   /   SUM(OFFSET($BO$15,0,0,$B$14,1)) + $B$18/($B$19*$B$19*($DN304&lt;&gt;$DO304) + $B$19*($DN304=$DO304))</f>
        <v>3.7037037037037035E-4</v>
      </c>
      <c r="FQ304" s="10" cm="1">
        <f t="array" aca="1" ref="FQ304" ca="1">(1-$B$18)*SUMPRODUCT(OFFSET($BO$15,0,0,$B$14,1), 1*(_xlfn._xlws.FILTER(OFFSET($O$15,0,$DN304,$B$8,1),OFFSET($M$15,0,0,$B$8,1))=FQ$13), 1*(_xlfn._xlws.FILTER(OFFSET($O$15,0,$DO304,$B$8,1),OFFSET($M$15,0,0,$B$8,1))=FQ$14))   /   SUM(OFFSET($BO$15,0,0,$B$14,1)) + $B$18/($B$19*$B$19*($DN304&lt;&gt;$DO304) + $B$19*($DN304=$DO304))</f>
        <v>3.7037037037037035E-4</v>
      </c>
      <c r="FR304" s="10" cm="1">
        <f t="array" aca="1" ref="FR304" ca="1">(1-$B$18)*SUMPRODUCT(OFFSET($BO$15,0,0,$B$14,1), 1*(_xlfn._xlws.FILTER(OFFSET($O$15,0,$DN304,$B$8,1),OFFSET($M$15,0,0,$B$8,1))=FR$13), 1*(_xlfn._xlws.FILTER(OFFSET($O$15,0,$DO304,$B$8,1),OFFSET($M$15,0,0,$B$8,1))=FR$14))   /   SUM(OFFSET($BO$15,0,0,$B$14,1)) + $B$18/($B$19*$B$19*($DN304&lt;&gt;$DO304) + $B$19*($DN304=$DO304))</f>
        <v>3.7037037037037035E-4</v>
      </c>
      <c r="FS304" s="10" cm="1">
        <f t="array" aca="1" ref="FS304" ca="1">(1-$B$18)*SUMPRODUCT(OFFSET($BO$15,0,0,$B$14,1), 1*(_xlfn._xlws.FILTER(OFFSET($O$15,0,$DN304,$B$8,1),OFFSET($M$15,0,0,$B$8,1))=FS$13), 1*(_xlfn._xlws.FILTER(OFFSET($O$15,0,$DO304,$B$8,1),OFFSET($M$15,0,0,$B$8,1))=FS$14))   /   SUM(OFFSET($BO$15,0,0,$B$14,1)) + $B$18/($B$19*$B$19*($DN304&lt;&gt;$DO304) + $B$19*($DN304=$DO304))</f>
        <v>3.7037037037037035E-4</v>
      </c>
      <c r="FT304" s="10" cm="1">
        <f t="array" aca="1" ref="FT304" ca="1">(1-$B$18)*SUMPRODUCT(OFFSET($BO$15,0,0,$B$14,1), 1*(_xlfn._xlws.FILTER(OFFSET($O$15,0,$DN304,$B$8,1),OFFSET($M$15,0,0,$B$8,1))=FT$13), 1*(_xlfn._xlws.FILTER(OFFSET($O$15,0,$DO304,$B$8,1),OFFSET($M$15,0,0,$B$8,1))=FT$14))   /   SUM(OFFSET($BO$15,0,0,$B$14,1)) + $B$18/($B$19*$B$19*($DN304&lt;&gt;$DO304) + $B$19*($DN304=$DO304))</f>
        <v>3.7037037037037035E-4</v>
      </c>
      <c r="FU304" s="10" cm="1">
        <f t="array" aca="1" ref="FU304" ca="1">(1-$B$18)*SUMPRODUCT(OFFSET($BO$15,0,0,$B$14,1), 1*(_xlfn._xlws.FILTER(OFFSET($O$15,0,$DN304,$B$8,1),OFFSET($M$15,0,0,$B$8,1))=FU$13), 1*(_xlfn._xlws.FILTER(OFFSET($O$15,0,$DO304,$B$8,1),OFFSET($M$15,0,0,$B$8,1))=FU$14))   /   SUM(OFFSET($BO$15,0,0,$B$14,1)) + $B$18/($B$19*$B$19*($DN304&lt;&gt;$DO304) + $B$19*($DN304=$DO304))</f>
        <v>3.7037037037037035E-4</v>
      </c>
      <c r="FV304" s="10" cm="1">
        <f t="array" aca="1" ref="FV304" ca="1">(1-$B$18)*SUMPRODUCT(OFFSET($BO$15,0,0,$B$14,1), 1*(_xlfn._xlws.FILTER(OFFSET($O$15,0,$DN304,$B$8,1),OFFSET($M$15,0,0,$B$8,1))=FV$13), 1*(_xlfn._xlws.FILTER(OFFSET($O$15,0,$DO304,$B$8,1),OFFSET($M$15,0,0,$B$8,1))=FV$14))   /   SUM(OFFSET($BO$15,0,0,$B$14,1)) + $B$18/($B$19*$B$19*($DN304&lt;&gt;$DO304) + $B$19*($DN304=$DO304))</f>
        <v>3.7037037037037035E-4</v>
      </c>
      <c r="FW304" s="10" cm="1">
        <f t="array" aca="1" ref="FW304" ca="1">(1-$B$18)*SUMPRODUCT(OFFSET($BO$15,0,0,$B$14,1), 1*(_xlfn._xlws.FILTER(OFFSET($O$15,0,$DN304,$B$8,1),OFFSET($M$15,0,0,$B$8,1))=FW$13), 1*(_xlfn._xlws.FILTER(OFFSET($O$15,0,$DO304,$B$8,1),OFFSET($M$15,0,0,$B$8,1))=FW$14))   /   SUM(OFFSET($BO$15,0,0,$B$14,1)) + $B$18/($B$19*$B$19*($DN304&lt;&gt;$DO304) + $B$19*($DN304=$DO304))</f>
        <v>3.7037037037037035E-4</v>
      </c>
      <c r="FX304" s="10" cm="1">
        <f t="array" aca="1" ref="FX304" ca="1">(1-$B$18)*SUMPRODUCT(OFFSET($BO$15,0,0,$B$14,1), 1*(_xlfn._xlws.FILTER(OFFSET($O$15,0,$DN304,$B$8,1),OFFSET($M$15,0,0,$B$8,1))=FX$13), 1*(_xlfn._xlws.FILTER(OFFSET($O$15,0,$DO304,$B$8,1),OFFSET($M$15,0,0,$B$8,1))=FX$14))   /   SUM(OFFSET($BO$15,0,0,$B$14,1)) + $B$18/($B$19*$B$19*($DN304&lt;&gt;$DO304) + $B$19*($DN304=$DO304))</f>
        <v>3.7037037037037035E-4</v>
      </c>
      <c r="FY304" s="10" cm="1">
        <f t="array" aca="1" ref="FY304" ca="1">(1-$B$18)*SUMPRODUCT(OFFSET($BO$15,0,0,$B$14,1), 1*(_xlfn._xlws.FILTER(OFFSET($O$15,0,$DN304,$B$8,1),OFFSET($M$15,0,0,$B$8,1))=FY$13), 1*(_xlfn._xlws.FILTER(OFFSET($O$15,0,$DO304,$B$8,1),OFFSET($M$15,0,0,$B$8,1))=FY$14))   /   SUM(OFFSET($BO$15,0,0,$B$14,1)) + $B$18/($B$19*$B$19*($DN304&lt;&gt;$DO304) + $B$19*($DN304=$DO304))</f>
        <v>3.7037037037037035E-4</v>
      </c>
      <c r="FZ304" s="10" cm="1">
        <f t="array" aca="1" ref="FZ304" ca="1">(1-$B$18)*SUMPRODUCT(OFFSET($BO$15,0,0,$B$14,1), 1*(_xlfn._xlws.FILTER(OFFSET($O$15,0,$DN304,$B$8,1),OFFSET($M$15,0,0,$B$8,1))=FZ$13), 1*(_xlfn._xlws.FILTER(OFFSET($O$15,0,$DO304,$B$8,1),OFFSET($M$15,0,0,$B$8,1))=FZ$14))   /   SUM(OFFSET($BO$15,0,0,$B$14,1)) + $B$18/($B$19*$B$19*($DN304&lt;&gt;$DO304) + $B$19*($DN304=$DO304))</f>
        <v>3.7037037037037035E-4</v>
      </c>
      <c r="GA304" s="10" cm="1">
        <f t="array" aca="1" ref="GA304" ca="1">(1-$B$18)*SUMPRODUCT(OFFSET($BO$15,0,0,$B$14,1), 1*(_xlfn._xlws.FILTER(OFFSET($O$15,0,$DN304,$B$8,1),OFFSET($M$15,0,0,$B$8,1))=GA$13), 1*(_xlfn._xlws.FILTER(OFFSET($O$15,0,$DO304,$B$8,1),OFFSET($M$15,0,0,$B$8,1))=GA$14))   /   SUM(OFFSET($BO$15,0,0,$B$14,1)) + $B$18/($B$19*$B$19*($DN304&lt;&gt;$DO304) + $B$19*($DN304=$DO304))</f>
        <v>3.7037037037037035E-4</v>
      </c>
    </row>
    <row r="305" spans="118:183" x14ac:dyDescent="0.2">
      <c r="DN305" cm="1">
        <f t="array" aca="1" ref="DN305" ca="1">INDEX(_xlfn.ANCHORARRAY($CP$15), 1 + INT((ROWS($DO$15:$DO305) - 1) / ROWS(_xlfn.ANCHORARRAY($CP$15))))</f>
        <v>18</v>
      </c>
      <c r="DO305" cm="1">
        <f t="array" aca="1" ref="DO305" ca="1">INDEX(_xlfn.ANCHORARRAY($CP$15),1+MOD(ROWS($DO$15:$DO305)-1,ROWS(_xlfn.ANCHORARRAY($CP$15))))</f>
        <v>5</v>
      </c>
      <c r="DP305" s="10" cm="1">
        <f t="array" aca="1" ref="DP305" ca="1">(1-$B$18)*SUMPRODUCT(OFFSET($BO$15,0,0,$B$14,1), 1*(_xlfn._xlws.FILTER(OFFSET($O$15,0,$DN305,$B$8,1),OFFSET($M$15,0,0,$B$8,1))=DP$13), 1*(_xlfn._xlws.FILTER(OFFSET($O$15,0,$DO305,$B$8,1),OFFSET($M$15,0,0,$B$8,1))=DP$14))   /   SUM(OFFSET($BO$15,0,0,$B$14,1)) + $B$18/($B$19*$B$19*($DN305&lt;&gt;$DO305) + $B$19*($DN305=$DO305))</f>
        <v>3.7037037037037035E-4</v>
      </c>
      <c r="DQ305" s="10" cm="1">
        <f t="array" aca="1" ref="DQ305" ca="1">(1-$B$18)*SUMPRODUCT(OFFSET($BO$15,0,0,$B$14,1), 1*(_xlfn._xlws.FILTER(OFFSET($O$15,0,$DN305,$B$8,1),OFFSET($M$15,0,0,$B$8,1))=DQ$13), 1*(_xlfn._xlws.FILTER(OFFSET($O$15,0,$DO305,$B$8,1),OFFSET($M$15,0,0,$B$8,1))=DQ$14))   /   SUM(OFFSET($BO$15,0,0,$B$14,1)) + $B$18/($B$19*$B$19*($DN305&lt;&gt;$DO305) + $B$19*($DN305=$DO305))</f>
        <v>3.7037037037037035E-4</v>
      </c>
      <c r="DR305" s="10" cm="1">
        <f t="array" aca="1" ref="DR305" ca="1">(1-$B$18)*SUMPRODUCT(OFFSET($BO$15,0,0,$B$14,1), 1*(_xlfn._xlws.FILTER(OFFSET($O$15,0,$DN305,$B$8,1),OFFSET($M$15,0,0,$B$8,1))=DR$13), 1*(_xlfn._xlws.FILTER(OFFSET($O$15,0,$DO305,$B$8,1),OFFSET($M$15,0,0,$B$8,1))=DR$14))   /   SUM(OFFSET($BO$15,0,0,$B$14,1)) + $B$18/($B$19*$B$19*($DN305&lt;&gt;$DO305) + $B$19*($DN305=$DO305))</f>
        <v>3.7037037037037035E-4</v>
      </c>
      <c r="DS305" s="10" cm="1">
        <f t="array" aca="1" ref="DS305" ca="1">(1-$B$18)*SUMPRODUCT(OFFSET($BO$15,0,0,$B$14,1), 1*(_xlfn._xlws.FILTER(OFFSET($O$15,0,$DN305,$B$8,1),OFFSET($M$15,0,0,$B$8,1))=DS$13), 1*(_xlfn._xlws.FILTER(OFFSET($O$15,0,$DO305,$B$8,1),OFFSET($M$15,0,0,$B$8,1))=DS$14))   /   SUM(OFFSET($BO$15,0,0,$B$14,1)) + $B$18/($B$19*$B$19*($DN305&lt;&gt;$DO305) + $B$19*($DN305=$DO305))</f>
        <v>3.7037037037037035E-4</v>
      </c>
      <c r="DT305" s="10" cm="1">
        <f t="array" aca="1" ref="DT305" ca="1">(1-$B$18)*SUMPRODUCT(OFFSET($BO$15,0,0,$B$14,1), 1*(_xlfn._xlws.FILTER(OFFSET($O$15,0,$DN305,$B$8,1),OFFSET($M$15,0,0,$B$8,1))=DT$13), 1*(_xlfn._xlws.FILTER(OFFSET($O$15,0,$DO305,$B$8,1),OFFSET($M$15,0,0,$B$8,1))=DT$14))   /   SUM(OFFSET($BO$15,0,0,$B$14,1)) + $B$18/($B$19*$B$19*($DN305&lt;&gt;$DO305) + $B$19*($DN305=$DO305))</f>
        <v>3.7037037037037035E-4</v>
      </c>
      <c r="DU305" s="10" cm="1">
        <f t="array" aca="1" ref="DU305" ca="1">(1-$B$18)*SUMPRODUCT(OFFSET($BO$15,0,0,$B$14,1), 1*(_xlfn._xlws.FILTER(OFFSET($O$15,0,$DN305,$B$8,1),OFFSET($M$15,0,0,$B$8,1))=DU$13), 1*(_xlfn._xlws.FILTER(OFFSET($O$15,0,$DO305,$B$8,1),OFFSET($M$15,0,0,$B$8,1))=DU$14))   /   SUM(OFFSET($BO$15,0,0,$B$14,1)) + $B$18/($B$19*$B$19*($DN305&lt;&gt;$DO305) + $B$19*($DN305=$DO305))</f>
        <v>3.7037037037037035E-4</v>
      </c>
      <c r="DV305" s="10" cm="1">
        <f t="array" aca="1" ref="DV305" ca="1">(1-$B$18)*SUMPRODUCT(OFFSET($BO$15,0,0,$B$14,1), 1*(_xlfn._xlws.FILTER(OFFSET($O$15,0,$DN305,$B$8,1),OFFSET($M$15,0,0,$B$8,1))=DV$13), 1*(_xlfn._xlws.FILTER(OFFSET($O$15,0,$DO305,$B$8,1),OFFSET($M$15,0,0,$B$8,1))=DV$14))   /   SUM(OFFSET($BO$15,0,0,$B$14,1)) + $B$18/($B$19*$B$19*($DN305&lt;&gt;$DO305) + $B$19*($DN305=$DO305))</f>
        <v>3.7037037037037035E-4</v>
      </c>
      <c r="DW305" s="10" cm="1">
        <f t="array" aca="1" ref="DW305" ca="1">(1-$B$18)*SUMPRODUCT(OFFSET($BO$15,0,0,$B$14,1), 1*(_xlfn._xlws.FILTER(OFFSET($O$15,0,$DN305,$B$8,1),OFFSET($M$15,0,0,$B$8,1))=DW$13), 1*(_xlfn._xlws.FILTER(OFFSET($O$15,0,$DO305,$B$8,1),OFFSET($M$15,0,0,$B$8,1))=DW$14))   /   SUM(OFFSET($BO$15,0,0,$B$14,1)) + $B$18/($B$19*$B$19*($DN305&lt;&gt;$DO305) + $B$19*($DN305=$DO305))</f>
        <v>3.7037037037037035E-4</v>
      </c>
      <c r="DX305" s="10" cm="1">
        <f t="array" aca="1" ref="DX305" ca="1">(1-$B$18)*SUMPRODUCT(OFFSET($BO$15,0,0,$B$14,1), 1*(_xlfn._xlws.FILTER(OFFSET($O$15,0,$DN305,$B$8,1),OFFSET($M$15,0,0,$B$8,1))=DX$13), 1*(_xlfn._xlws.FILTER(OFFSET($O$15,0,$DO305,$B$8,1),OFFSET($M$15,0,0,$B$8,1))=DX$14))   /   SUM(OFFSET($BO$15,0,0,$B$14,1)) + $B$18/($B$19*$B$19*($DN305&lt;&gt;$DO305) + $B$19*($DN305=$DO305))</f>
        <v>3.7037037037037035E-4</v>
      </c>
      <c r="DY305" s="10" cm="1">
        <f t="array" aca="1" ref="DY305" ca="1">(1-$B$18)*SUMPRODUCT(OFFSET($BO$15,0,0,$B$14,1), 1*(_xlfn._xlws.FILTER(OFFSET($O$15,0,$DN305,$B$8,1),OFFSET($M$15,0,0,$B$8,1))=DY$13), 1*(_xlfn._xlws.FILTER(OFFSET($O$15,0,$DO305,$B$8,1),OFFSET($M$15,0,0,$B$8,1))=DY$14))   /   SUM(OFFSET($BO$15,0,0,$B$14,1)) + $B$18/($B$19*$B$19*($DN305&lt;&gt;$DO305) + $B$19*($DN305=$DO305))</f>
        <v>3.7037037037037035E-4</v>
      </c>
      <c r="DZ305" s="10" cm="1">
        <f t="array" aca="1" ref="DZ305" ca="1">(1-$B$18)*SUMPRODUCT(OFFSET($BO$15,0,0,$B$14,1), 1*(_xlfn._xlws.FILTER(OFFSET($O$15,0,$DN305,$B$8,1),OFFSET($M$15,0,0,$B$8,1))=DZ$13), 1*(_xlfn._xlws.FILTER(OFFSET($O$15,0,$DO305,$B$8,1),OFFSET($M$15,0,0,$B$8,1))=DZ$14))   /   SUM(OFFSET($BO$15,0,0,$B$14,1)) + $B$18/($B$19*$B$19*($DN305&lt;&gt;$DO305) + $B$19*($DN305=$DO305))</f>
        <v>3.7037037037037035E-4</v>
      </c>
      <c r="EA305" s="10" cm="1">
        <f t="array" aca="1" ref="EA305" ca="1">(1-$B$18)*SUMPRODUCT(OFFSET($BO$15,0,0,$B$14,1), 1*(_xlfn._xlws.FILTER(OFFSET($O$15,0,$DN305,$B$8,1),OFFSET($M$15,0,0,$B$8,1))=EA$13), 1*(_xlfn._xlws.FILTER(OFFSET($O$15,0,$DO305,$B$8,1),OFFSET($M$15,0,0,$B$8,1))=EA$14))   /   SUM(OFFSET($BO$15,0,0,$B$14,1)) + $B$18/($B$19*$B$19*($DN305&lt;&gt;$DO305) + $B$19*($DN305=$DO305))</f>
        <v>3.7037037037037035E-4</v>
      </c>
      <c r="EB305" s="10" cm="1">
        <f t="array" aca="1" ref="EB305" ca="1">(1-$B$18)*SUMPRODUCT(OFFSET($BO$15,0,0,$B$14,1), 1*(_xlfn._xlws.FILTER(OFFSET($O$15,0,$DN305,$B$8,1),OFFSET($M$15,0,0,$B$8,1))=EB$13), 1*(_xlfn._xlws.FILTER(OFFSET($O$15,0,$DO305,$B$8,1),OFFSET($M$15,0,0,$B$8,1))=EB$14))   /   SUM(OFFSET($BO$15,0,0,$B$14,1)) + $B$18/($B$19*$B$19*($DN305&lt;&gt;$DO305) + $B$19*($DN305=$DO305))</f>
        <v>3.7037037037037035E-4</v>
      </c>
      <c r="EC305" s="10" cm="1">
        <f t="array" aca="1" ref="EC305" ca="1">(1-$B$18)*SUMPRODUCT(OFFSET($BO$15,0,0,$B$14,1), 1*(_xlfn._xlws.FILTER(OFFSET($O$15,0,$DN305,$B$8,1),OFFSET($M$15,0,0,$B$8,1))=EC$13), 1*(_xlfn._xlws.FILTER(OFFSET($O$15,0,$DO305,$B$8,1),OFFSET($M$15,0,0,$B$8,1))=EC$14))   /   SUM(OFFSET($BO$15,0,0,$B$14,1)) + $B$18/($B$19*$B$19*($DN305&lt;&gt;$DO305) + $B$19*($DN305=$DO305))</f>
        <v>3.7037037037037035E-4</v>
      </c>
      <c r="ED305" s="10" cm="1">
        <f t="array" aca="1" ref="ED305" ca="1">(1-$B$18)*SUMPRODUCT(OFFSET($BO$15,0,0,$B$14,1), 1*(_xlfn._xlws.FILTER(OFFSET($O$15,0,$DN305,$B$8,1),OFFSET($M$15,0,0,$B$8,1))=ED$13), 1*(_xlfn._xlws.FILTER(OFFSET($O$15,0,$DO305,$B$8,1),OFFSET($M$15,0,0,$B$8,1))=ED$14))   /   SUM(OFFSET($BO$15,0,0,$B$14,1)) + $B$18/($B$19*$B$19*($DN305&lt;&gt;$DO305) + $B$19*($DN305=$DO305))</f>
        <v>3.7037037037037035E-4</v>
      </c>
      <c r="EE305" s="10" cm="1">
        <f t="array" aca="1" ref="EE305" ca="1">(1-$B$18)*SUMPRODUCT(OFFSET($BO$15,0,0,$B$14,1), 1*(_xlfn._xlws.FILTER(OFFSET($O$15,0,$DN305,$B$8,1),OFFSET($M$15,0,0,$B$8,1))=EE$13), 1*(_xlfn._xlws.FILTER(OFFSET($O$15,0,$DO305,$B$8,1),OFFSET($M$15,0,0,$B$8,1))=EE$14))   /   SUM(OFFSET($BO$15,0,0,$B$14,1)) + $B$18/($B$19*$B$19*($DN305&lt;&gt;$DO305) + $B$19*($DN305=$DO305))</f>
        <v>3.7037037037037035E-4</v>
      </c>
      <c r="EF305" s="10" cm="1">
        <f t="array" aca="1" ref="EF305" ca="1">(1-$B$18)*SUMPRODUCT(OFFSET($BO$15,0,0,$B$14,1), 1*(_xlfn._xlws.FILTER(OFFSET($O$15,0,$DN305,$B$8,1),OFFSET($M$15,0,0,$B$8,1))=EF$13), 1*(_xlfn._xlws.FILTER(OFFSET($O$15,0,$DO305,$B$8,1),OFFSET($M$15,0,0,$B$8,1))=EF$14))   /   SUM(OFFSET($BO$15,0,0,$B$14,1)) + $B$18/($B$19*$B$19*($DN305&lt;&gt;$DO305) + $B$19*($DN305=$DO305))</f>
        <v>3.7037037037037035E-4</v>
      </c>
      <c r="EG305" s="10" cm="1">
        <f t="array" aca="1" ref="EG305" ca="1">(1-$B$18)*SUMPRODUCT(OFFSET($BO$15,0,0,$B$14,1), 1*(_xlfn._xlws.FILTER(OFFSET($O$15,0,$DN305,$B$8,1),OFFSET($M$15,0,0,$B$8,1))=EG$13), 1*(_xlfn._xlws.FILTER(OFFSET($O$15,0,$DO305,$B$8,1),OFFSET($M$15,0,0,$B$8,1))=EG$14))   /   SUM(OFFSET($BO$15,0,0,$B$14,1)) + $B$18/($B$19*$B$19*($DN305&lt;&gt;$DO305) + $B$19*($DN305=$DO305))</f>
        <v>3.7037037037037035E-4</v>
      </c>
      <c r="EH305" s="10" cm="1">
        <f t="array" aca="1" ref="EH305" ca="1">(1-$B$18)*SUMPRODUCT(OFFSET($BO$15,0,0,$B$14,1), 1*(_xlfn._xlws.FILTER(OFFSET($O$15,0,$DN305,$B$8,1),OFFSET($M$15,0,0,$B$8,1))=EH$13), 1*(_xlfn._xlws.FILTER(OFFSET($O$15,0,$DO305,$B$8,1),OFFSET($M$15,0,0,$B$8,1))=EH$14))   /   SUM(OFFSET($BO$15,0,0,$B$14,1)) + $B$18/($B$19*$B$19*($DN305&lt;&gt;$DO305) + $B$19*($DN305=$DO305))</f>
        <v>3.7037037037037035E-4</v>
      </c>
      <c r="EI305" s="10" cm="1">
        <f t="array" aca="1" ref="EI305" ca="1">(1-$B$18)*SUMPRODUCT(OFFSET($BO$15,0,0,$B$14,1), 1*(_xlfn._xlws.FILTER(OFFSET($O$15,0,$DN305,$B$8,1),OFFSET($M$15,0,0,$B$8,1))=EI$13), 1*(_xlfn._xlws.FILTER(OFFSET($O$15,0,$DO305,$B$8,1),OFFSET($M$15,0,0,$B$8,1))=EI$14))   /   SUM(OFFSET($BO$15,0,0,$B$14,1)) + $B$18/($B$19*$B$19*($DN305&lt;&gt;$DO305) + $B$19*($DN305=$DO305))</f>
        <v>3.7037037037037035E-4</v>
      </c>
      <c r="EJ305" s="10" cm="1">
        <f t="array" aca="1" ref="EJ305" ca="1">(1-$B$18)*SUMPRODUCT(OFFSET($BO$15,0,0,$B$14,1), 1*(_xlfn._xlws.FILTER(OFFSET($O$15,0,$DN305,$B$8,1),OFFSET($M$15,0,0,$B$8,1))=EJ$13), 1*(_xlfn._xlws.FILTER(OFFSET($O$15,0,$DO305,$B$8,1),OFFSET($M$15,0,0,$B$8,1))=EJ$14))   /   SUM(OFFSET($BO$15,0,0,$B$14,1)) + $B$18/($B$19*$B$19*($DN305&lt;&gt;$DO305) + $B$19*($DN305=$DO305))</f>
        <v>3.7037037037037035E-4</v>
      </c>
      <c r="EK305" s="10" cm="1">
        <f t="array" aca="1" ref="EK305" ca="1">(1-$B$18)*SUMPRODUCT(OFFSET($BO$15,0,0,$B$14,1), 1*(_xlfn._xlws.FILTER(OFFSET($O$15,0,$DN305,$B$8,1),OFFSET($M$15,0,0,$B$8,1))=EK$13), 1*(_xlfn._xlws.FILTER(OFFSET($O$15,0,$DO305,$B$8,1),OFFSET($M$15,0,0,$B$8,1))=EK$14))   /   SUM(OFFSET($BO$15,0,0,$B$14,1)) + $B$18/($B$19*$B$19*($DN305&lt;&gt;$DO305) + $B$19*($DN305=$DO305))</f>
        <v>3.7037037037037035E-4</v>
      </c>
      <c r="EL305" s="10" cm="1">
        <f t="array" aca="1" ref="EL305" ca="1">(1-$B$18)*SUMPRODUCT(OFFSET($BO$15,0,0,$B$14,1), 1*(_xlfn._xlws.FILTER(OFFSET($O$15,0,$DN305,$B$8,1),OFFSET($M$15,0,0,$B$8,1))=EL$13), 1*(_xlfn._xlws.FILTER(OFFSET($O$15,0,$DO305,$B$8,1),OFFSET($M$15,0,0,$B$8,1))=EL$14))   /   SUM(OFFSET($BO$15,0,0,$B$14,1)) + $B$18/($B$19*$B$19*($DN305&lt;&gt;$DO305) + $B$19*($DN305=$DO305))</f>
        <v>3.7037037037037035E-4</v>
      </c>
      <c r="EM305" s="10" cm="1">
        <f t="array" aca="1" ref="EM305" ca="1">(1-$B$18)*SUMPRODUCT(OFFSET($BO$15,0,0,$B$14,1), 1*(_xlfn._xlws.FILTER(OFFSET($O$15,0,$DN305,$B$8,1),OFFSET($M$15,0,0,$B$8,1))=EM$13), 1*(_xlfn._xlws.FILTER(OFFSET($O$15,0,$DO305,$B$8,1),OFFSET($M$15,0,0,$B$8,1))=EM$14))   /   SUM(OFFSET($BO$15,0,0,$B$14,1)) + $B$18/($B$19*$B$19*($DN305&lt;&gt;$DO305) + $B$19*($DN305=$DO305))</f>
        <v>3.7037037037037035E-4</v>
      </c>
      <c r="EN305" s="10" cm="1">
        <f t="array" aca="1" ref="EN305" ca="1">(1-$B$18)*SUMPRODUCT(OFFSET($BO$15,0,0,$B$14,1), 1*(_xlfn._xlws.FILTER(OFFSET($O$15,0,$DN305,$B$8,1),OFFSET($M$15,0,0,$B$8,1))=EN$13), 1*(_xlfn._xlws.FILTER(OFFSET($O$15,0,$DO305,$B$8,1),OFFSET($M$15,0,0,$B$8,1))=EN$14))   /   SUM(OFFSET($BO$15,0,0,$B$14,1)) + $B$18/($B$19*$B$19*($DN305&lt;&gt;$DO305) + $B$19*($DN305=$DO305))</f>
        <v>3.7037037037037035E-4</v>
      </c>
      <c r="EO305" s="10" cm="1">
        <f t="array" aca="1" ref="EO305" ca="1">(1-$B$18)*SUMPRODUCT(OFFSET($BO$15,0,0,$B$14,1), 1*(_xlfn._xlws.FILTER(OFFSET($O$15,0,$DN305,$B$8,1),OFFSET($M$15,0,0,$B$8,1))=EO$13), 1*(_xlfn._xlws.FILTER(OFFSET($O$15,0,$DO305,$B$8,1),OFFSET($M$15,0,0,$B$8,1))=EO$14))   /   SUM(OFFSET($BO$15,0,0,$B$14,1)) + $B$18/($B$19*$B$19*($DN305&lt;&gt;$DO305) + $B$19*($DN305=$DO305))</f>
        <v>3.7037037037037035E-4</v>
      </c>
      <c r="EP305" s="10" cm="1">
        <f t="array" aca="1" ref="EP305" ca="1">(1-$B$18)*SUMPRODUCT(OFFSET($BO$15,0,0,$B$14,1), 1*(_xlfn._xlws.FILTER(OFFSET($O$15,0,$DN305,$B$8,1),OFFSET($M$15,0,0,$B$8,1))=EP$13), 1*(_xlfn._xlws.FILTER(OFFSET($O$15,0,$DO305,$B$8,1),OFFSET($M$15,0,0,$B$8,1))=EP$14))   /   SUM(OFFSET($BO$15,0,0,$B$14,1)) + $B$18/($B$19*$B$19*($DN305&lt;&gt;$DO305) + $B$19*($DN305=$DO305))</f>
        <v>3.7037037037037035E-4</v>
      </c>
      <c r="EQ305" s="10" cm="1">
        <f t="array" aca="1" ref="EQ305" ca="1">(1-$B$18)*SUMPRODUCT(OFFSET($BO$15,0,0,$B$14,1), 1*(_xlfn._xlws.FILTER(OFFSET($O$15,0,$DN305,$B$8,1),OFFSET($M$15,0,0,$B$8,1))=EQ$13), 1*(_xlfn._xlws.FILTER(OFFSET($O$15,0,$DO305,$B$8,1),OFFSET($M$15,0,0,$B$8,1))=EQ$14))   /   SUM(OFFSET($BO$15,0,0,$B$14,1)) + $B$18/($B$19*$B$19*($DN305&lt;&gt;$DO305) + $B$19*($DN305=$DO305))</f>
        <v>3.7037037037037035E-4</v>
      </c>
      <c r="ER305" s="10" cm="1">
        <f t="array" aca="1" ref="ER305" ca="1">(1-$B$18)*SUMPRODUCT(OFFSET($BO$15,0,0,$B$14,1), 1*(_xlfn._xlws.FILTER(OFFSET($O$15,0,$DN305,$B$8,1),OFFSET($M$15,0,0,$B$8,1))=ER$13), 1*(_xlfn._xlws.FILTER(OFFSET($O$15,0,$DO305,$B$8,1),OFFSET($M$15,0,0,$B$8,1))=ER$14))   /   SUM(OFFSET($BO$15,0,0,$B$14,1)) + $B$18/($B$19*$B$19*($DN305&lt;&gt;$DO305) + $B$19*($DN305=$DO305))</f>
        <v>3.7037037037037035E-4</v>
      </c>
      <c r="ES305" s="10" cm="1">
        <f t="array" aca="1" ref="ES305" ca="1">(1-$B$18)*SUMPRODUCT(OFFSET($BO$15,0,0,$B$14,1), 1*(_xlfn._xlws.FILTER(OFFSET($O$15,0,$DN305,$B$8,1),OFFSET($M$15,0,0,$B$8,1))=ES$13), 1*(_xlfn._xlws.FILTER(OFFSET($O$15,0,$DO305,$B$8,1),OFFSET($M$15,0,0,$B$8,1))=ES$14))   /   SUM(OFFSET($BO$15,0,0,$B$14,1)) + $B$18/($B$19*$B$19*($DN305&lt;&gt;$DO305) + $B$19*($DN305=$DO305))</f>
        <v>3.7037037037037035E-4</v>
      </c>
      <c r="ET305" s="10" cm="1">
        <f t="array" aca="1" ref="ET305" ca="1">(1-$B$18)*SUMPRODUCT(OFFSET($BO$15,0,0,$B$14,1), 1*(_xlfn._xlws.FILTER(OFFSET($O$15,0,$DN305,$B$8,1),OFFSET($M$15,0,0,$B$8,1))=ET$13), 1*(_xlfn._xlws.FILTER(OFFSET($O$15,0,$DO305,$B$8,1),OFFSET($M$15,0,0,$B$8,1))=ET$14))   /   SUM(OFFSET($BO$15,0,0,$B$14,1)) + $B$18/($B$19*$B$19*($DN305&lt;&gt;$DO305) + $B$19*($DN305=$DO305))</f>
        <v>0.97037037037037033</v>
      </c>
      <c r="EU305" s="10" cm="1">
        <f t="array" aca="1" ref="EU305" ca="1">(1-$B$18)*SUMPRODUCT(OFFSET($BO$15,0,0,$B$14,1), 1*(_xlfn._xlws.FILTER(OFFSET($O$15,0,$DN305,$B$8,1),OFFSET($M$15,0,0,$B$8,1))=EU$13), 1*(_xlfn._xlws.FILTER(OFFSET($O$15,0,$DO305,$B$8,1),OFFSET($M$15,0,0,$B$8,1))=EU$14))   /   SUM(OFFSET($BO$15,0,0,$B$14,1)) + $B$18/($B$19*$B$19*($DN305&lt;&gt;$DO305) + $B$19*($DN305=$DO305))</f>
        <v>3.7037037037037035E-4</v>
      </c>
      <c r="EV305" s="10" cm="1">
        <f t="array" aca="1" ref="EV305" ca="1">(1-$B$18)*SUMPRODUCT(OFFSET($BO$15,0,0,$B$14,1), 1*(_xlfn._xlws.FILTER(OFFSET($O$15,0,$DN305,$B$8,1),OFFSET($M$15,0,0,$B$8,1))=EV$13), 1*(_xlfn._xlws.FILTER(OFFSET($O$15,0,$DO305,$B$8,1),OFFSET($M$15,0,0,$B$8,1))=EV$14))   /   SUM(OFFSET($BO$15,0,0,$B$14,1)) + $B$18/($B$19*$B$19*($DN305&lt;&gt;$DO305) + $B$19*($DN305=$DO305))</f>
        <v>3.7037037037037035E-4</v>
      </c>
      <c r="EW305" s="10" cm="1">
        <f t="array" aca="1" ref="EW305" ca="1">(1-$B$18)*SUMPRODUCT(OFFSET($BO$15,0,0,$B$14,1), 1*(_xlfn._xlws.FILTER(OFFSET($O$15,0,$DN305,$B$8,1),OFFSET($M$15,0,0,$B$8,1))=EW$13), 1*(_xlfn._xlws.FILTER(OFFSET($O$15,0,$DO305,$B$8,1),OFFSET($M$15,0,0,$B$8,1))=EW$14))   /   SUM(OFFSET($BO$15,0,0,$B$14,1)) + $B$18/($B$19*$B$19*($DN305&lt;&gt;$DO305) + $B$19*($DN305=$DO305))</f>
        <v>3.7037037037037035E-4</v>
      </c>
      <c r="EX305" s="10" cm="1">
        <f t="array" aca="1" ref="EX305" ca="1">(1-$B$18)*SUMPRODUCT(OFFSET($BO$15,0,0,$B$14,1), 1*(_xlfn._xlws.FILTER(OFFSET($O$15,0,$DN305,$B$8,1),OFFSET($M$15,0,0,$B$8,1))=EX$13), 1*(_xlfn._xlws.FILTER(OFFSET($O$15,0,$DO305,$B$8,1),OFFSET($M$15,0,0,$B$8,1))=EX$14))   /   SUM(OFFSET($BO$15,0,0,$B$14,1)) + $B$18/($B$19*$B$19*($DN305&lt;&gt;$DO305) + $B$19*($DN305=$DO305))</f>
        <v>3.7037037037037035E-4</v>
      </c>
      <c r="EY305" s="10" cm="1">
        <f t="array" aca="1" ref="EY305" ca="1">(1-$B$18)*SUMPRODUCT(OFFSET($BO$15,0,0,$B$14,1), 1*(_xlfn._xlws.FILTER(OFFSET($O$15,0,$DN305,$B$8,1),OFFSET($M$15,0,0,$B$8,1))=EY$13), 1*(_xlfn._xlws.FILTER(OFFSET($O$15,0,$DO305,$B$8,1),OFFSET($M$15,0,0,$B$8,1))=EY$14))   /   SUM(OFFSET($BO$15,0,0,$B$14,1)) + $B$18/($B$19*$B$19*($DN305&lt;&gt;$DO305) + $B$19*($DN305=$DO305))</f>
        <v>3.7037037037037035E-4</v>
      </c>
      <c r="EZ305" s="10" cm="1">
        <f t="array" aca="1" ref="EZ305" ca="1">(1-$B$18)*SUMPRODUCT(OFFSET($BO$15,0,0,$B$14,1), 1*(_xlfn._xlws.FILTER(OFFSET($O$15,0,$DN305,$B$8,1),OFFSET($M$15,0,0,$B$8,1))=EZ$13), 1*(_xlfn._xlws.FILTER(OFFSET($O$15,0,$DO305,$B$8,1),OFFSET($M$15,0,0,$B$8,1))=EZ$14))   /   SUM(OFFSET($BO$15,0,0,$B$14,1)) + $B$18/($B$19*$B$19*($DN305&lt;&gt;$DO305) + $B$19*($DN305=$DO305))</f>
        <v>3.7037037037037035E-4</v>
      </c>
      <c r="FA305" s="10" cm="1">
        <f t="array" aca="1" ref="FA305" ca="1">(1-$B$18)*SUMPRODUCT(OFFSET($BO$15,0,0,$B$14,1), 1*(_xlfn._xlws.FILTER(OFFSET($O$15,0,$DN305,$B$8,1),OFFSET($M$15,0,0,$B$8,1))=FA$13), 1*(_xlfn._xlws.FILTER(OFFSET($O$15,0,$DO305,$B$8,1),OFFSET($M$15,0,0,$B$8,1))=FA$14))   /   SUM(OFFSET($BO$15,0,0,$B$14,1)) + $B$18/($B$19*$B$19*($DN305&lt;&gt;$DO305) + $B$19*($DN305=$DO305))</f>
        <v>3.7037037037037035E-4</v>
      </c>
      <c r="FB305" s="10" cm="1">
        <f t="array" aca="1" ref="FB305" ca="1">(1-$B$18)*SUMPRODUCT(OFFSET($BO$15,0,0,$B$14,1), 1*(_xlfn._xlws.FILTER(OFFSET($O$15,0,$DN305,$B$8,1),OFFSET($M$15,0,0,$B$8,1))=FB$13), 1*(_xlfn._xlws.FILTER(OFFSET($O$15,0,$DO305,$B$8,1),OFFSET($M$15,0,0,$B$8,1))=FB$14))   /   SUM(OFFSET($BO$15,0,0,$B$14,1)) + $B$18/($B$19*$B$19*($DN305&lt;&gt;$DO305) + $B$19*($DN305=$DO305))</f>
        <v>3.7037037037037035E-4</v>
      </c>
      <c r="FC305" s="10" cm="1">
        <f t="array" aca="1" ref="FC305" ca="1">(1-$B$18)*SUMPRODUCT(OFFSET($BO$15,0,0,$B$14,1), 1*(_xlfn._xlws.FILTER(OFFSET($O$15,0,$DN305,$B$8,1),OFFSET($M$15,0,0,$B$8,1))=FC$13), 1*(_xlfn._xlws.FILTER(OFFSET($O$15,0,$DO305,$B$8,1),OFFSET($M$15,0,0,$B$8,1))=FC$14))   /   SUM(OFFSET($BO$15,0,0,$B$14,1)) + $B$18/($B$19*$B$19*($DN305&lt;&gt;$DO305) + $B$19*($DN305=$DO305))</f>
        <v>3.7037037037037035E-4</v>
      </c>
      <c r="FD305" s="10" cm="1">
        <f t="array" aca="1" ref="FD305" ca="1">(1-$B$18)*SUMPRODUCT(OFFSET($BO$15,0,0,$B$14,1), 1*(_xlfn._xlws.FILTER(OFFSET($O$15,0,$DN305,$B$8,1),OFFSET($M$15,0,0,$B$8,1))=FD$13), 1*(_xlfn._xlws.FILTER(OFFSET($O$15,0,$DO305,$B$8,1),OFFSET($M$15,0,0,$B$8,1))=FD$14))   /   SUM(OFFSET($BO$15,0,0,$B$14,1)) + $B$18/($B$19*$B$19*($DN305&lt;&gt;$DO305) + $B$19*($DN305=$DO305))</f>
        <v>3.7037037037037035E-4</v>
      </c>
      <c r="FE305" s="10" cm="1">
        <f t="array" aca="1" ref="FE305" ca="1">(1-$B$18)*SUMPRODUCT(OFFSET($BO$15,0,0,$B$14,1), 1*(_xlfn._xlws.FILTER(OFFSET($O$15,0,$DN305,$B$8,1),OFFSET($M$15,0,0,$B$8,1))=FE$13), 1*(_xlfn._xlws.FILTER(OFFSET($O$15,0,$DO305,$B$8,1),OFFSET($M$15,0,0,$B$8,1))=FE$14))   /   SUM(OFFSET($BO$15,0,0,$B$14,1)) + $B$18/($B$19*$B$19*($DN305&lt;&gt;$DO305) + $B$19*($DN305=$DO305))</f>
        <v>3.7037037037037035E-4</v>
      </c>
      <c r="FF305" s="10" cm="1">
        <f t="array" aca="1" ref="FF305" ca="1">(1-$B$18)*SUMPRODUCT(OFFSET($BO$15,0,0,$B$14,1), 1*(_xlfn._xlws.FILTER(OFFSET($O$15,0,$DN305,$B$8,1),OFFSET($M$15,0,0,$B$8,1))=FF$13), 1*(_xlfn._xlws.FILTER(OFFSET($O$15,0,$DO305,$B$8,1),OFFSET($M$15,0,0,$B$8,1))=FF$14))   /   SUM(OFFSET($BO$15,0,0,$B$14,1)) + $B$18/($B$19*$B$19*($DN305&lt;&gt;$DO305) + $B$19*($DN305=$DO305))</f>
        <v>3.7037037037037035E-4</v>
      </c>
      <c r="FG305" s="10" cm="1">
        <f t="array" aca="1" ref="FG305" ca="1">(1-$B$18)*SUMPRODUCT(OFFSET($BO$15,0,0,$B$14,1), 1*(_xlfn._xlws.FILTER(OFFSET($O$15,0,$DN305,$B$8,1),OFFSET($M$15,0,0,$B$8,1))=FG$13), 1*(_xlfn._xlws.FILTER(OFFSET($O$15,0,$DO305,$B$8,1),OFFSET($M$15,0,0,$B$8,1))=FG$14))   /   SUM(OFFSET($BO$15,0,0,$B$14,1)) + $B$18/($B$19*$B$19*($DN305&lt;&gt;$DO305) + $B$19*($DN305=$DO305))</f>
        <v>3.7037037037037035E-4</v>
      </c>
      <c r="FH305" s="10" cm="1">
        <f t="array" aca="1" ref="FH305" ca="1">(1-$B$18)*SUMPRODUCT(OFFSET($BO$15,0,0,$B$14,1), 1*(_xlfn._xlws.FILTER(OFFSET($O$15,0,$DN305,$B$8,1),OFFSET($M$15,0,0,$B$8,1))=FH$13), 1*(_xlfn._xlws.FILTER(OFFSET($O$15,0,$DO305,$B$8,1),OFFSET($M$15,0,0,$B$8,1))=FH$14))   /   SUM(OFFSET($BO$15,0,0,$B$14,1)) + $B$18/($B$19*$B$19*($DN305&lt;&gt;$DO305) + $B$19*($DN305=$DO305))</f>
        <v>3.7037037037037035E-4</v>
      </c>
      <c r="FI305" s="10" cm="1">
        <f t="array" aca="1" ref="FI305" ca="1">(1-$B$18)*SUMPRODUCT(OFFSET($BO$15,0,0,$B$14,1), 1*(_xlfn._xlws.FILTER(OFFSET($O$15,0,$DN305,$B$8,1),OFFSET($M$15,0,0,$B$8,1))=FI$13), 1*(_xlfn._xlws.FILTER(OFFSET($O$15,0,$DO305,$B$8,1),OFFSET($M$15,0,0,$B$8,1))=FI$14))   /   SUM(OFFSET($BO$15,0,0,$B$14,1)) + $B$18/($B$19*$B$19*($DN305&lt;&gt;$DO305) + $B$19*($DN305=$DO305))</f>
        <v>3.7037037037037035E-4</v>
      </c>
      <c r="FJ305" s="10" cm="1">
        <f t="array" aca="1" ref="FJ305" ca="1">(1-$B$18)*SUMPRODUCT(OFFSET($BO$15,0,0,$B$14,1), 1*(_xlfn._xlws.FILTER(OFFSET($O$15,0,$DN305,$B$8,1),OFFSET($M$15,0,0,$B$8,1))=FJ$13), 1*(_xlfn._xlws.FILTER(OFFSET($O$15,0,$DO305,$B$8,1),OFFSET($M$15,0,0,$B$8,1))=FJ$14))   /   SUM(OFFSET($BO$15,0,0,$B$14,1)) + $B$18/($B$19*$B$19*($DN305&lt;&gt;$DO305) + $B$19*($DN305=$DO305))</f>
        <v>3.7037037037037035E-4</v>
      </c>
      <c r="FK305" s="10" cm="1">
        <f t="array" aca="1" ref="FK305" ca="1">(1-$B$18)*SUMPRODUCT(OFFSET($BO$15,0,0,$B$14,1), 1*(_xlfn._xlws.FILTER(OFFSET($O$15,0,$DN305,$B$8,1),OFFSET($M$15,0,0,$B$8,1))=FK$13), 1*(_xlfn._xlws.FILTER(OFFSET($O$15,0,$DO305,$B$8,1),OFFSET($M$15,0,0,$B$8,1))=FK$14))   /   SUM(OFFSET($BO$15,0,0,$B$14,1)) + $B$18/($B$19*$B$19*($DN305&lt;&gt;$DO305) + $B$19*($DN305=$DO305))</f>
        <v>3.7037037037037035E-4</v>
      </c>
      <c r="FL305" s="10" cm="1">
        <f t="array" aca="1" ref="FL305" ca="1">(1-$B$18)*SUMPRODUCT(OFFSET($BO$15,0,0,$B$14,1), 1*(_xlfn._xlws.FILTER(OFFSET($O$15,0,$DN305,$B$8,1),OFFSET($M$15,0,0,$B$8,1))=FL$13), 1*(_xlfn._xlws.FILTER(OFFSET($O$15,0,$DO305,$B$8,1),OFFSET($M$15,0,0,$B$8,1))=FL$14))   /   SUM(OFFSET($BO$15,0,0,$B$14,1)) + $B$18/($B$19*$B$19*($DN305&lt;&gt;$DO305) + $B$19*($DN305=$DO305))</f>
        <v>3.7037037037037035E-4</v>
      </c>
      <c r="FM305" s="10" cm="1">
        <f t="array" aca="1" ref="FM305" ca="1">(1-$B$18)*SUMPRODUCT(OFFSET($BO$15,0,0,$B$14,1), 1*(_xlfn._xlws.FILTER(OFFSET($O$15,0,$DN305,$B$8,1),OFFSET($M$15,0,0,$B$8,1))=FM$13), 1*(_xlfn._xlws.FILTER(OFFSET($O$15,0,$DO305,$B$8,1),OFFSET($M$15,0,0,$B$8,1))=FM$14))   /   SUM(OFFSET($BO$15,0,0,$B$14,1)) + $B$18/($B$19*$B$19*($DN305&lt;&gt;$DO305) + $B$19*($DN305=$DO305))</f>
        <v>3.7037037037037035E-4</v>
      </c>
      <c r="FN305" s="10" cm="1">
        <f t="array" aca="1" ref="FN305" ca="1">(1-$B$18)*SUMPRODUCT(OFFSET($BO$15,0,0,$B$14,1), 1*(_xlfn._xlws.FILTER(OFFSET($O$15,0,$DN305,$B$8,1),OFFSET($M$15,0,0,$B$8,1))=FN$13), 1*(_xlfn._xlws.FILTER(OFFSET($O$15,0,$DO305,$B$8,1),OFFSET($M$15,0,0,$B$8,1))=FN$14))   /   SUM(OFFSET($BO$15,0,0,$B$14,1)) + $B$18/($B$19*$B$19*($DN305&lt;&gt;$DO305) + $B$19*($DN305=$DO305))</f>
        <v>3.7037037037037035E-4</v>
      </c>
      <c r="FO305" s="10" cm="1">
        <f t="array" aca="1" ref="FO305" ca="1">(1-$B$18)*SUMPRODUCT(OFFSET($BO$15,0,0,$B$14,1), 1*(_xlfn._xlws.FILTER(OFFSET($O$15,0,$DN305,$B$8,1),OFFSET($M$15,0,0,$B$8,1))=FO$13), 1*(_xlfn._xlws.FILTER(OFFSET($O$15,0,$DO305,$B$8,1),OFFSET($M$15,0,0,$B$8,1))=FO$14))   /   SUM(OFFSET($BO$15,0,0,$B$14,1)) + $B$18/($B$19*$B$19*($DN305&lt;&gt;$DO305) + $B$19*($DN305=$DO305))</f>
        <v>3.7037037037037035E-4</v>
      </c>
      <c r="FP305" s="10" cm="1">
        <f t="array" aca="1" ref="FP305" ca="1">(1-$B$18)*SUMPRODUCT(OFFSET($BO$15,0,0,$B$14,1), 1*(_xlfn._xlws.FILTER(OFFSET($O$15,0,$DN305,$B$8,1),OFFSET($M$15,0,0,$B$8,1))=FP$13), 1*(_xlfn._xlws.FILTER(OFFSET($O$15,0,$DO305,$B$8,1),OFFSET($M$15,0,0,$B$8,1))=FP$14))   /   SUM(OFFSET($BO$15,0,0,$B$14,1)) + $B$18/($B$19*$B$19*($DN305&lt;&gt;$DO305) + $B$19*($DN305=$DO305))</f>
        <v>3.7037037037037035E-4</v>
      </c>
      <c r="FQ305" s="10" cm="1">
        <f t="array" aca="1" ref="FQ305" ca="1">(1-$B$18)*SUMPRODUCT(OFFSET($BO$15,0,0,$B$14,1), 1*(_xlfn._xlws.FILTER(OFFSET($O$15,0,$DN305,$B$8,1),OFFSET($M$15,0,0,$B$8,1))=FQ$13), 1*(_xlfn._xlws.FILTER(OFFSET($O$15,0,$DO305,$B$8,1),OFFSET($M$15,0,0,$B$8,1))=FQ$14))   /   SUM(OFFSET($BO$15,0,0,$B$14,1)) + $B$18/($B$19*$B$19*($DN305&lt;&gt;$DO305) + $B$19*($DN305=$DO305))</f>
        <v>3.7037037037037035E-4</v>
      </c>
      <c r="FR305" s="10" cm="1">
        <f t="array" aca="1" ref="FR305" ca="1">(1-$B$18)*SUMPRODUCT(OFFSET($BO$15,0,0,$B$14,1), 1*(_xlfn._xlws.FILTER(OFFSET($O$15,0,$DN305,$B$8,1),OFFSET($M$15,0,0,$B$8,1))=FR$13), 1*(_xlfn._xlws.FILTER(OFFSET($O$15,0,$DO305,$B$8,1),OFFSET($M$15,0,0,$B$8,1))=FR$14))   /   SUM(OFFSET($BO$15,0,0,$B$14,1)) + $B$18/($B$19*$B$19*($DN305&lt;&gt;$DO305) + $B$19*($DN305=$DO305))</f>
        <v>3.7037037037037035E-4</v>
      </c>
      <c r="FS305" s="10" cm="1">
        <f t="array" aca="1" ref="FS305" ca="1">(1-$B$18)*SUMPRODUCT(OFFSET($BO$15,0,0,$B$14,1), 1*(_xlfn._xlws.FILTER(OFFSET($O$15,0,$DN305,$B$8,1),OFFSET($M$15,0,0,$B$8,1))=FS$13), 1*(_xlfn._xlws.FILTER(OFFSET($O$15,0,$DO305,$B$8,1),OFFSET($M$15,0,0,$B$8,1))=FS$14))   /   SUM(OFFSET($BO$15,0,0,$B$14,1)) + $B$18/($B$19*$B$19*($DN305&lt;&gt;$DO305) + $B$19*($DN305=$DO305))</f>
        <v>3.7037037037037035E-4</v>
      </c>
      <c r="FT305" s="10" cm="1">
        <f t="array" aca="1" ref="FT305" ca="1">(1-$B$18)*SUMPRODUCT(OFFSET($BO$15,0,0,$B$14,1), 1*(_xlfn._xlws.FILTER(OFFSET($O$15,0,$DN305,$B$8,1),OFFSET($M$15,0,0,$B$8,1))=FT$13), 1*(_xlfn._xlws.FILTER(OFFSET($O$15,0,$DO305,$B$8,1),OFFSET($M$15,0,0,$B$8,1))=FT$14))   /   SUM(OFFSET($BO$15,0,0,$B$14,1)) + $B$18/($B$19*$B$19*($DN305&lt;&gt;$DO305) + $B$19*($DN305=$DO305))</f>
        <v>3.7037037037037035E-4</v>
      </c>
      <c r="FU305" s="10" cm="1">
        <f t="array" aca="1" ref="FU305" ca="1">(1-$B$18)*SUMPRODUCT(OFFSET($BO$15,0,0,$B$14,1), 1*(_xlfn._xlws.FILTER(OFFSET($O$15,0,$DN305,$B$8,1),OFFSET($M$15,0,0,$B$8,1))=FU$13), 1*(_xlfn._xlws.FILTER(OFFSET($O$15,0,$DO305,$B$8,1),OFFSET($M$15,0,0,$B$8,1))=FU$14))   /   SUM(OFFSET($BO$15,0,0,$B$14,1)) + $B$18/($B$19*$B$19*($DN305&lt;&gt;$DO305) + $B$19*($DN305=$DO305))</f>
        <v>3.7037037037037035E-4</v>
      </c>
      <c r="FV305" s="10" cm="1">
        <f t="array" aca="1" ref="FV305" ca="1">(1-$B$18)*SUMPRODUCT(OFFSET($BO$15,0,0,$B$14,1), 1*(_xlfn._xlws.FILTER(OFFSET($O$15,0,$DN305,$B$8,1),OFFSET($M$15,0,0,$B$8,1))=FV$13), 1*(_xlfn._xlws.FILTER(OFFSET($O$15,0,$DO305,$B$8,1),OFFSET($M$15,0,0,$B$8,1))=FV$14))   /   SUM(OFFSET($BO$15,0,0,$B$14,1)) + $B$18/($B$19*$B$19*($DN305&lt;&gt;$DO305) + $B$19*($DN305=$DO305))</f>
        <v>3.7037037037037035E-4</v>
      </c>
      <c r="FW305" s="10" cm="1">
        <f t="array" aca="1" ref="FW305" ca="1">(1-$B$18)*SUMPRODUCT(OFFSET($BO$15,0,0,$B$14,1), 1*(_xlfn._xlws.FILTER(OFFSET($O$15,0,$DN305,$B$8,1),OFFSET($M$15,0,0,$B$8,1))=FW$13), 1*(_xlfn._xlws.FILTER(OFFSET($O$15,0,$DO305,$B$8,1),OFFSET($M$15,0,0,$B$8,1))=FW$14))   /   SUM(OFFSET($BO$15,0,0,$B$14,1)) + $B$18/($B$19*$B$19*($DN305&lt;&gt;$DO305) + $B$19*($DN305=$DO305))</f>
        <v>3.7037037037037035E-4</v>
      </c>
      <c r="FX305" s="10" cm="1">
        <f t="array" aca="1" ref="FX305" ca="1">(1-$B$18)*SUMPRODUCT(OFFSET($BO$15,0,0,$B$14,1), 1*(_xlfn._xlws.FILTER(OFFSET($O$15,0,$DN305,$B$8,1),OFFSET($M$15,0,0,$B$8,1))=FX$13), 1*(_xlfn._xlws.FILTER(OFFSET($O$15,0,$DO305,$B$8,1),OFFSET($M$15,0,0,$B$8,1))=FX$14))   /   SUM(OFFSET($BO$15,0,0,$B$14,1)) + $B$18/($B$19*$B$19*($DN305&lt;&gt;$DO305) + $B$19*($DN305=$DO305))</f>
        <v>3.7037037037037035E-4</v>
      </c>
      <c r="FY305" s="10" cm="1">
        <f t="array" aca="1" ref="FY305" ca="1">(1-$B$18)*SUMPRODUCT(OFFSET($BO$15,0,0,$B$14,1), 1*(_xlfn._xlws.FILTER(OFFSET($O$15,0,$DN305,$B$8,1),OFFSET($M$15,0,0,$B$8,1))=FY$13), 1*(_xlfn._xlws.FILTER(OFFSET($O$15,0,$DO305,$B$8,1),OFFSET($M$15,0,0,$B$8,1))=FY$14))   /   SUM(OFFSET($BO$15,0,0,$B$14,1)) + $B$18/($B$19*$B$19*($DN305&lt;&gt;$DO305) + $B$19*($DN305=$DO305))</f>
        <v>3.7037037037037035E-4</v>
      </c>
      <c r="FZ305" s="10" cm="1">
        <f t="array" aca="1" ref="FZ305" ca="1">(1-$B$18)*SUMPRODUCT(OFFSET($BO$15,0,0,$B$14,1), 1*(_xlfn._xlws.FILTER(OFFSET($O$15,0,$DN305,$B$8,1),OFFSET($M$15,0,0,$B$8,1))=FZ$13), 1*(_xlfn._xlws.FILTER(OFFSET($O$15,0,$DO305,$B$8,1),OFFSET($M$15,0,0,$B$8,1))=FZ$14))   /   SUM(OFFSET($BO$15,0,0,$B$14,1)) + $B$18/($B$19*$B$19*($DN305&lt;&gt;$DO305) + $B$19*($DN305=$DO305))</f>
        <v>3.7037037037037035E-4</v>
      </c>
      <c r="GA305" s="10" cm="1">
        <f t="array" aca="1" ref="GA305" ca="1">(1-$B$18)*SUMPRODUCT(OFFSET($BO$15,0,0,$B$14,1), 1*(_xlfn._xlws.FILTER(OFFSET($O$15,0,$DN305,$B$8,1),OFFSET($M$15,0,0,$B$8,1))=GA$13), 1*(_xlfn._xlws.FILTER(OFFSET($O$15,0,$DO305,$B$8,1),OFFSET($M$15,0,0,$B$8,1))=GA$14))   /   SUM(OFFSET($BO$15,0,0,$B$14,1)) + $B$18/($B$19*$B$19*($DN305&lt;&gt;$DO305) + $B$19*($DN305=$DO305))</f>
        <v>3.7037037037037035E-4</v>
      </c>
    </row>
    <row r="306" spans="118:183" x14ac:dyDescent="0.2">
      <c r="DN306" cm="1">
        <f t="array" aca="1" ref="DN306" ca="1">INDEX(_xlfn.ANCHORARRAY($CP$15), 1 + INT((ROWS($DO$15:$DO306) - 1) / ROWS(_xlfn.ANCHORARRAY($CP$15))))</f>
        <v>18</v>
      </c>
      <c r="DO306" cm="1">
        <f t="array" aca="1" ref="DO306" ca="1">INDEX(_xlfn.ANCHORARRAY($CP$15),1+MOD(ROWS($DO$15:$DO306)-1,ROWS(_xlfn.ANCHORARRAY($CP$15))))</f>
        <v>6</v>
      </c>
      <c r="DP306" s="10" cm="1">
        <f t="array" aca="1" ref="DP306" ca="1">(1-$B$18)*SUMPRODUCT(OFFSET($BO$15,0,0,$B$14,1), 1*(_xlfn._xlws.FILTER(OFFSET($O$15,0,$DN306,$B$8,1),OFFSET($M$15,0,0,$B$8,1))=DP$13), 1*(_xlfn._xlws.FILTER(OFFSET($O$15,0,$DO306,$B$8,1),OFFSET($M$15,0,0,$B$8,1))=DP$14))   /   SUM(OFFSET($BO$15,0,0,$B$14,1)) + $B$18/($B$19*$B$19*($DN306&lt;&gt;$DO306) + $B$19*($DN306=$DO306))</f>
        <v>3.7037037037037035E-4</v>
      </c>
      <c r="DQ306" s="10" cm="1">
        <f t="array" aca="1" ref="DQ306" ca="1">(1-$B$18)*SUMPRODUCT(OFFSET($BO$15,0,0,$B$14,1), 1*(_xlfn._xlws.FILTER(OFFSET($O$15,0,$DN306,$B$8,1),OFFSET($M$15,0,0,$B$8,1))=DQ$13), 1*(_xlfn._xlws.FILTER(OFFSET($O$15,0,$DO306,$B$8,1),OFFSET($M$15,0,0,$B$8,1))=DQ$14))   /   SUM(OFFSET($BO$15,0,0,$B$14,1)) + $B$18/($B$19*$B$19*($DN306&lt;&gt;$DO306) + $B$19*($DN306=$DO306))</f>
        <v>3.7037037037037035E-4</v>
      </c>
      <c r="DR306" s="10" cm="1">
        <f t="array" aca="1" ref="DR306" ca="1">(1-$B$18)*SUMPRODUCT(OFFSET($BO$15,0,0,$B$14,1), 1*(_xlfn._xlws.FILTER(OFFSET($O$15,0,$DN306,$B$8,1),OFFSET($M$15,0,0,$B$8,1))=DR$13), 1*(_xlfn._xlws.FILTER(OFFSET($O$15,0,$DO306,$B$8,1),OFFSET($M$15,0,0,$B$8,1))=DR$14))   /   SUM(OFFSET($BO$15,0,0,$B$14,1)) + $B$18/($B$19*$B$19*($DN306&lt;&gt;$DO306) + $B$19*($DN306=$DO306))</f>
        <v>3.7037037037037035E-4</v>
      </c>
      <c r="DS306" s="10" cm="1">
        <f t="array" aca="1" ref="DS306" ca="1">(1-$B$18)*SUMPRODUCT(OFFSET($BO$15,0,0,$B$14,1), 1*(_xlfn._xlws.FILTER(OFFSET($O$15,0,$DN306,$B$8,1),OFFSET($M$15,0,0,$B$8,1))=DS$13), 1*(_xlfn._xlws.FILTER(OFFSET($O$15,0,$DO306,$B$8,1),OFFSET($M$15,0,0,$B$8,1))=DS$14))   /   SUM(OFFSET($BO$15,0,0,$B$14,1)) + $B$18/($B$19*$B$19*($DN306&lt;&gt;$DO306) + $B$19*($DN306=$DO306))</f>
        <v>3.7037037037037035E-4</v>
      </c>
      <c r="DT306" s="10" cm="1">
        <f t="array" aca="1" ref="DT306" ca="1">(1-$B$18)*SUMPRODUCT(OFFSET($BO$15,0,0,$B$14,1), 1*(_xlfn._xlws.FILTER(OFFSET($O$15,0,$DN306,$B$8,1),OFFSET($M$15,0,0,$B$8,1))=DT$13), 1*(_xlfn._xlws.FILTER(OFFSET($O$15,0,$DO306,$B$8,1),OFFSET($M$15,0,0,$B$8,1))=DT$14))   /   SUM(OFFSET($BO$15,0,0,$B$14,1)) + $B$18/($B$19*$B$19*($DN306&lt;&gt;$DO306) + $B$19*($DN306=$DO306))</f>
        <v>3.7037037037037035E-4</v>
      </c>
      <c r="DU306" s="10" cm="1">
        <f t="array" aca="1" ref="DU306" ca="1">(1-$B$18)*SUMPRODUCT(OFFSET($BO$15,0,0,$B$14,1), 1*(_xlfn._xlws.FILTER(OFFSET($O$15,0,$DN306,$B$8,1),OFFSET($M$15,0,0,$B$8,1))=DU$13), 1*(_xlfn._xlws.FILTER(OFFSET($O$15,0,$DO306,$B$8,1),OFFSET($M$15,0,0,$B$8,1))=DU$14))   /   SUM(OFFSET($BO$15,0,0,$B$14,1)) + $B$18/($B$19*$B$19*($DN306&lt;&gt;$DO306) + $B$19*($DN306=$DO306))</f>
        <v>3.7037037037037035E-4</v>
      </c>
      <c r="DV306" s="10" cm="1">
        <f t="array" aca="1" ref="DV306" ca="1">(1-$B$18)*SUMPRODUCT(OFFSET($BO$15,0,0,$B$14,1), 1*(_xlfn._xlws.FILTER(OFFSET($O$15,0,$DN306,$B$8,1),OFFSET($M$15,0,0,$B$8,1))=DV$13), 1*(_xlfn._xlws.FILTER(OFFSET($O$15,0,$DO306,$B$8,1),OFFSET($M$15,0,0,$B$8,1))=DV$14))   /   SUM(OFFSET($BO$15,0,0,$B$14,1)) + $B$18/($B$19*$B$19*($DN306&lt;&gt;$DO306) + $B$19*($DN306=$DO306))</f>
        <v>3.7037037037037035E-4</v>
      </c>
      <c r="DW306" s="10" cm="1">
        <f t="array" aca="1" ref="DW306" ca="1">(1-$B$18)*SUMPRODUCT(OFFSET($BO$15,0,0,$B$14,1), 1*(_xlfn._xlws.FILTER(OFFSET($O$15,0,$DN306,$B$8,1),OFFSET($M$15,0,0,$B$8,1))=DW$13), 1*(_xlfn._xlws.FILTER(OFFSET($O$15,0,$DO306,$B$8,1),OFFSET($M$15,0,0,$B$8,1))=DW$14))   /   SUM(OFFSET($BO$15,0,0,$B$14,1)) + $B$18/($B$19*$B$19*($DN306&lt;&gt;$DO306) + $B$19*($DN306=$DO306))</f>
        <v>3.7037037037037035E-4</v>
      </c>
      <c r="DX306" s="10" cm="1">
        <f t="array" aca="1" ref="DX306" ca="1">(1-$B$18)*SUMPRODUCT(OFFSET($BO$15,0,0,$B$14,1), 1*(_xlfn._xlws.FILTER(OFFSET($O$15,0,$DN306,$B$8,1),OFFSET($M$15,0,0,$B$8,1))=DX$13), 1*(_xlfn._xlws.FILTER(OFFSET($O$15,0,$DO306,$B$8,1),OFFSET($M$15,0,0,$B$8,1))=DX$14))   /   SUM(OFFSET($BO$15,0,0,$B$14,1)) + $B$18/($B$19*$B$19*($DN306&lt;&gt;$DO306) + $B$19*($DN306=$DO306))</f>
        <v>3.7037037037037035E-4</v>
      </c>
      <c r="DY306" s="10" cm="1">
        <f t="array" aca="1" ref="DY306" ca="1">(1-$B$18)*SUMPRODUCT(OFFSET($BO$15,0,0,$B$14,1), 1*(_xlfn._xlws.FILTER(OFFSET($O$15,0,$DN306,$B$8,1),OFFSET($M$15,0,0,$B$8,1))=DY$13), 1*(_xlfn._xlws.FILTER(OFFSET($O$15,0,$DO306,$B$8,1),OFFSET($M$15,0,0,$B$8,1))=DY$14))   /   SUM(OFFSET($BO$15,0,0,$B$14,1)) + $B$18/($B$19*$B$19*($DN306&lt;&gt;$DO306) + $B$19*($DN306=$DO306))</f>
        <v>3.7037037037037035E-4</v>
      </c>
      <c r="DZ306" s="10" cm="1">
        <f t="array" aca="1" ref="DZ306" ca="1">(1-$B$18)*SUMPRODUCT(OFFSET($BO$15,0,0,$B$14,1), 1*(_xlfn._xlws.FILTER(OFFSET($O$15,0,$DN306,$B$8,1),OFFSET($M$15,0,0,$B$8,1))=DZ$13), 1*(_xlfn._xlws.FILTER(OFFSET($O$15,0,$DO306,$B$8,1),OFFSET($M$15,0,0,$B$8,1))=DZ$14))   /   SUM(OFFSET($BO$15,0,0,$B$14,1)) + $B$18/($B$19*$B$19*($DN306&lt;&gt;$DO306) + $B$19*($DN306=$DO306))</f>
        <v>3.7037037037037035E-4</v>
      </c>
      <c r="EA306" s="10" cm="1">
        <f t="array" aca="1" ref="EA306" ca="1">(1-$B$18)*SUMPRODUCT(OFFSET($BO$15,0,0,$B$14,1), 1*(_xlfn._xlws.FILTER(OFFSET($O$15,0,$DN306,$B$8,1),OFFSET($M$15,0,0,$B$8,1))=EA$13), 1*(_xlfn._xlws.FILTER(OFFSET($O$15,0,$DO306,$B$8,1),OFFSET($M$15,0,0,$B$8,1))=EA$14))   /   SUM(OFFSET($BO$15,0,0,$B$14,1)) + $B$18/($B$19*$B$19*($DN306&lt;&gt;$DO306) + $B$19*($DN306=$DO306))</f>
        <v>3.7037037037037035E-4</v>
      </c>
      <c r="EB306" s="10" cm="1">
        <f t="array" aca="1" ref="EB306" ca="1">(1-$B$18)*SUMPRODUCT(OFFSET($BO$15,0,0,$B$14,1), 1*(_xlfn._xlws.FILTER(OFFSET($O$15,0,$DN306,$B$8,1),OFFSET($M$15,0,0,$B$8,1))=EB$13), 1*(_xlfn._xlws.FILTER(OFFSET($O$15,0,$DO306,$B$8,1),OFFSET($M$15,0,0,$B$8,1))=EB$14))   /   SUM(OFFSET($BO$15,0,0,$B$14,1)) + $B$18/($B$19*$B$19*($DN306&lt;&gt;$DO306) + $B$19*($DN306=$DO306))</f>
        <v>3.7037037037037035E-4</v>
      </c>
      <c r="EC306" s="10" cm="1">
        <f t="array" aca="1" ref="EC306" ca="1">(1-$B$18)*SUMPRODUCT(OFFSET($BO$15,0,0,$B$14,1), 1*(_xlfn._xlws.FILTER(OFFSET($O$15,0,$DN306,$B$8,1),OFFSET($M$15,0,0,$B$8,1))=EC$13), 1*(_xlfn._xlws.FILTER(OFFSET($O$15,0,$DO306,$B$8,1),OFFSET($M$15,0,0,$B$8,1))=EC$14))   /   SUM(OFFSET($BO$15,0,0,$B$14,1)) + $B$18/($B$19*$B$19*($DN306&lt;&gt;$DO306) + $B$19*($DN306=$DO306))</f>
        <v>3.7037037037037035E-4</v>
      </c>
      <c r="ED306" s="10" cm="1">
        <f t="array" aca="1" ref="ED306" ca="1">(1-$B$18)*SUMPRODUCT(OFFSET($BO$15,0,0,$B$14,1), 1*(_xlfn._xlws.FILTER(OFFSET($O$15,0,$DN306,$B$8,1),OFFSET($M$15,0,0,$B$8,1))=ED$13), 1*(_xlfn._xlws.FILTER(OFFSET($O$15,0,$DO306,$B$8,1),OFFSET($M$15,0,0,$B$8,1))=ED$14))   /   SUM(OFFSET($BO$15,0,0,$B$14,1)) + $B$18/($B$19*$B$19*($DN306&lt;&gt;$DO306) + $B$19*($DN306=$DO306))</f>
        <v>3.7037037037037035E-4</v>
      </c>
      <c r="EE306" s="10" cm="1">
        <f t="array" aca="1" ref="EE306" ca="1">(1-$B$18)*SUMPRODUCT(OFFSET($BO$15,0,0,$B$14,1), 1*(_xlfn._xlws.FILTER(OFFSET($O$15,0,$DN306,$B$8,1),OFFSET($M$15,0,0,$B$8,1))=EE$13), 1*(_xlfn._xlws.FILTER(OFFSET($O$15,0,$DO306,$B$8,1),OFFSET($M$15,0,0,$B$8,1))=EE$14))   /   SUM(OFFSET($BO$15,0,0,$B$14,1)) + $B$18/($B$19*$B$19*($DN306&lt;&gt;$DO306) + $B$19*($DN306=$DO306))</f>
        <v>3.7037037037037035E-4</v>
      </c>
      <c r="EF306" s="10" cm="1">
        <f t="array" aca="1" ref="EF306" ca="1">(1-$B$18)*SUMPRODUCT(OFFSET($BO$15,0,0,$B$14,1), 1*(_xlfn._xlws.FILTER(OFFSET($O$15,0,$DN306,$B$8,1),OFFSET($M$15,0,0,$B$8,1))=EF$13), 1*(_xlfn._xlws.FILTER(OFFSET($O$15,0,$DO306,$B$8,1),OFFSET($M$15,0,0,$B$8,1))=EF$14))   /   SUM(OFFSET($BO$15,0,0,$B$14,1)) + $B$18/($B$19*$B$19*($DN306&lt;&gt;$DO306) + $B$19*($DN306=$DO306))</f>
        <v>3.7037037037037035E-4</v>
      </c>
      <c r="EG306" s="10" cm="1">
        <f t="array" aca="1" ref="EG306" ca="1">(1-$B$18)*SUMPRODUCT(OFFSET($BO$15,0,0,$B$14,1), 1*(_xlfn._xlws.FILTER(OFFSET($O$15,0,$DN306,$B$8,1),OFFSET($M$15,0,0,$B$8,1))=EG$13), 1*(_xlfn._xlws.FILTER(OFFSET($O$15,0,$DO306,$B$8,1),OFFSET($M$15,0,0,$B$8,1))=EG$14))   /   SUM(OFFSET($BO$15,0,0,$B$14,1)) + $B$18/($B$19*$B$19*($DN306&lt;&gt;$DO306) + $B$19*($DN306=$DO306))</f>
        <v>3.7037037037037035E-4</v>
      </c>
      <c r="EH306" s="10" cm="1">
        <f t="array" aca="1" ref="EH306" ca="1">(1-$B$18)*SUMPRODUCT(OFFSET($BO$15,0,0,$B$14,1), 1*(_xlfn._xlws.FILTER(OFFSET($O$15,0,$DN306,$B$8,1),OFFSET($M$15,0,0,$B$8,1))=EH$13), 1*(_xlfn._xlws.FILTER(OFFSET($O$15,0,$DO306,$B$8,1),OFFSET($M$15,0,0,$B$8,1))=EH$14))   /   SUM(OFFSET($BO$15,0,0,$B$14,1)) + $B$18/($B$19*$B$19*($DN306&lt;&gt;$DO306) + $B$19*($DN306=$DO306))</f>
        <v>3.7037037037037035E-4</v>
      </c>
      <c r="EI306" s="10" cm="1">
        <f t="array" aca="1" ref="EI306" ca="1">(1-$B$18)*SUMPRODUCT(OFFSET($BO$15,0,0,$B$14,1), 1*(_xlfn._xlws.FILTER(OFFSET($O$15,0,$DN306,$B$8,1),OFFSET($M$15,0,0,$B$8,1))=EI$13), 1*(_xlfn._xlws.FILTER(OFFSET($O$15,0,$DO306,$B$8,1),OFFSET($M$15,0,0,$B$8,1))=EI$14))   /   SUM(OFFSET($BO$15,0,0,$B$14,1)) + $B$18/($B$19*$B$19*($DN306&lt;&gt;$DO306) + $B$19*($DN306=$DO306))</f>
        <v>3.7037037037037035E-4</v>
      </c>
      <c r="EJ306" s="10" cm="1">
        <f t="array" aca="1" ref="EJ306" ca="1">(1-$B$18)*SUMPRODUCT(OFFSET($BO$15,0,0,$B$14,1), 1*(_xlfn._xlws.FILTER(OFFSET($O$15,0,$DN306,$B$8,1),OFFSET($M$15,0,0,$B$8,1))=EJ$13), 1*(_xlfn._xlws.FILTER(OFFSET($O$15,0,$DO306,$B$8,1),OFFSET($M$15,0,0,$B$8,1))=EJ$14))   /   SUM(OFFSET($BO$15,0,0,$B$14,1)) + $B$18/($B$19*$B$19*($DN306&lt;&gt;$DO306) + $B$19*($DN306=$DO306))</f>
        <v>3.7037037037037035E-4</v>
      </c>
      <c r="EK306" s="10" cm="1">
        <f t="array" aca="1" ref="EK306" ca="1">(1-$B$18)*SUMPRODUCT(OFFSET($BO$15,0,0,$B$14,1), 1*(_xlfn._xlws.FILTER(OFFSET($O$15,0,$DN306,$B$8,1),OFFSET($M$15,0,0,$B$8,1))=EK$13), 1*(_xlfn._xlws.FILTER(OFFSET($O$15,0,$DO306,$B$8,1),OFFSET($M$15,0,0,$B$8,1))=EK$14))   /   SUM(OFFSET($BO$15,0,0,$B$14,1)) + $B$18/($B$19*$B$19*($DN306&lt;&gt;$DO306) + $B$19*($DN306=$DO306))</f>
        <v>3.7037037037037035E-4</v>
      </c>
      <c r="EL306" s="10" cm="1">
        <f t="array" aca="1" ref="EL306" ca="1">(1-$B$18)*SUMPRODUCT(OFFSET($BO$15,0,0,$B$14,1), 1*(_xlfn._xlws.FILTER(OFFSET($O$15,0,$DN306,$B$8,1),OFFSET($M$15,0,0,$B$8,1))=EL$13), 1*(_xlfn._xlws.FILTER(OFFSET($O$15,0,$DO306,$B$8,1),OFFSET($M$15,0,0,$B$8,1))=EL$14))   /   SUM(OFFSET($BO$15,0,0,$B$14,1)) + $B$18/($B$19*$B$19*($DN306&lt;&gt;$DO306) + $B$19*($DN306=$DO306))</f>
        <v>3.7037037037037035E-4</v>
      </c>
      <c r="EM306" s="10" cm="1">
        <f t="array" aca="1" ref="EM306" ca="1">(1-$B$18)*SUMPRODUCT(OFFSET($BO$15,0,0,$B$14,1), 1*(_xlfn._xlws.FILTER(OFFSET($O$15,0,$DN306,$B$8,1),OFFSET($M$15,0,0,$B$8,1))=EM$13), 1*(_xlfn._xlws.FILTER(OFFSET($O$15,0,$DO306,$B$8,1),OFFSET($M$15,0,0,$B$8,1))=EM$14))   /   SUM(OFFSET($BO$15,0,0,$B$14,1)) + $B$18/($B$19*$B$19*($DN306&lt;&gt;$DO306) + $B$19*($DN306=$DO306))</f>
        <v>3.7037037037037035E-4</v>
      </c>
      <c r="EN306" s="10" cm="1">
        <f t="array" aca="1" ref="EN306" ca="1">(1-$B$18)*SUMPRODUCT(OFFSET($BO$15,0,0,$B$14,1), 1*(_xlfn._xlws.FILTER(OFFSET($O$15,0,$DN306,$B$8,1),OFFSET($M$15,0,0,$B$8,1))=EN$13), 1*(_xlfn._xlws.FILTER(OFFSET($O$15,0,$DO306,$B$8,1),OFFSET($M$15,0,0,$B$8,1))=EN$14))   /   SUM(OFFSET($BO$15,0,0,$B$14,1)) + $B$18/($B$19*$B$19*($DN306&lt;&gt;$DO306) + $B$19*($DN306=$DO306))</f>
        <v>3.7037037037037035E-4</v>
      </c>
      <c r="EO306" s="10" cm="1">
        <f t="array" aca="1" ref="EO306" ca="1">(1-$B$18)*SUMPRODUCT(OFFSET($BO$15,0,0,$B$14,1), 1*(_xlfn._xlws.FILTER(OFFSET($O$15,0,$DN306,$B$8,1),OFFSET($M$15,0,0,$B$8,1))=EO$13), 1*(_xlfn._xlws.FILTER(OFFSET($O$15,0,$DO306,$B$8,1),OFFSET($M$15,0,0,$B$8,1))=EO$14))   /   SUM(OFFSET($BO$15,0,0,$B$14,1)) + $B$18/($B$19*$B$19*($DN306&lt;&gt;$DO306) + $B$19*($DN306=$DO306))</f>
        <v>3.7037037037037035E-4</v>
      </c>
      <c r="EP306" s="10" cm="1">
        <f t="array" aca="1" ref="EP306" ca="1">(1-$B$18)*SUMPRODUCT(OFFSET($BO$15,0,0,$B$14,1), 1*(_xlfn._xlws.FILTER(OFFSET($O$15,0,$DN306,$B$8,1),OFFSET($M$15,0,0,$B$8,1))=EP$13), 1*(_xlfn._xlws.FILTER(OFFSET($O$15,0,$DO306,$B$8,1),OFFSET($M$15,0,0,$B$8,1))=EP$14))   /   SUM(OFFSET($BO$15,0,0,$B$14,1)) + $B$18/($B$19*$B$19*($DN306&lt;&gt;$DO306) + $B$19*($DN306=$DO306))</f>
        <v>3.7037037037037035E-4</v>
      </c>
      <c r="EQ306" s="10" cm="1">
        <f t="array" aca="1" ref="EQ306" ca="1">(1-$B$18)*SUMPRODUCT(OFFSET($BO$15,0,0,$B$14,1), 1*(_xlfn._xlws.FILTER(OFFSET($O$15,0,$DN306,$B$8,1),OFFSET($M$15,0,0,$B$8,1))=EQ$13), 1*(_xlfn._xlws.FILTER(OFFSET($O$15,0,$DO306,$B$8,1),OFFSET($M$15,0,0,$B$8,1))=EQ$14))   /   SUM(OFFSET($BO$15,0,0,$B$14,1)) + $B$18/($B$19*$B$19*($DN306&lt;&gt;$DO306) + $B$19*($DN306=$DO306))</f>
        <v>3.7037037037037035E-4</v>
      </c>
      <c r="ER306" s="10" cm="1">
        <f t="array" aca="1" ref="ER306" ca="1">(1-$B$18)*SUMPRODUCT(OFFSET($BO$15,0,0,$B$14,1), 1*(_xlfn._xlws.FILTER(OFFSET($O$15,0,$DN306,$B$8,1),OFFSET($M$15,0,0,$B$8,1))=ER$13), 1*(_xlfn._xlws.FILTER(OFFSET($O$15,0,$DO306,$B$8,1),OFFSET($M$15,0,0,$B$8,1))=ER$14))   /   SUM(OFFSET($BO$15,0,0,$B$14,1)) + $B$18/($B$19*$B$19*($DN306&lt;&gt;$DO306) + $B$19*($DN306=$DO306))</f>
        <v>3.7037037037037035E-4</v>
      </c>
      <c r="ES306" s="10" cm="1">
        <f t="array" aca="1" ref="ES306" ca="1">(1-$B$18)*SUMPRODUCT(OFFSET($BO$15,0,0,$B$14,1), 1*(_xlfn._xlws.FILTER(OFFSET($O$15,0,$DN306,$B$8,1),OFFSET($M$15,0,0,$B$8,1))=ES$13), 1*(_xlfn._xlws.FILTER(OFFSET($O$15,0,$DO306,$B$8,1),OFFSET($M$15,0,0,$B$8,1))=ES$14))   /   SUM(OFFSET($BO$15,0,0,$B$14,1)) + $B$18/($B$19*$B$19*($DN306&lt;&gt;$DO306) + $B$19*($DN306=$DO306))</f>
        <v>3.7037037037037035E-4</v>
      </c>
      <c r="ET306" s="10" cm="1">
        <f t="array" aca="1" ref="ET306" ca="1">(1-$B$18)*SUMPRODUCT(OFFSET($BO$15,0,0,$B$14,1), 1*(_xlfn._xlws.FILTER(OFFSET($O$15,0,$DN306,$B$8,1),OFFSET($M$15,0,0,$B$8,1))=ET$13), 1*(_xlfn._xlws.FILTER(OFFSET($O$15,0,$DO306,$B$8,1),OFFSET($M$15,0,0,$B$8,1))=ET$14))   /   SUM(OFFSET($BO$15,0,0,$B$14,1)) + $B$18/($B$19*$B$19*($DN306&lt;&gt;$DO306) + $B$19*($DN306=$DO306))</f>
        <v>0.97037037037037033</v>
      </c>
      <c r="EU306" s="10" cm="1">
        <f t="array" aca="1" ref="EU306" ca="1">(1-$B$18)*SUMPRODUCT(OFFSET($BO$15,0,0,$B$14,1), 1*(_xlfn._xlws.FILTER(OFFSET($O$15,0,$DN306,$B$8,1),OFFSET($M$15,0,0,$B$8,1))=EU$13), 1*(_xlfn._xlws.FILTER(OFFSET($O$15,0,$DO306,$B$8,1),OFFSET($M$15,0,0,$B$8,1))=EU$14))   /   SUM(OFFSET($BO$15,0,0,$B$14,1)) + $B$18/($B$19*$B$19*($DN306&lt;&gt;$DO306) + $B$19*($DN306=$DO306))</f>
        <v>3.7037037037037035E-4</v>
      </c>
      <c r="EV306" s="10" cm="1">
        <f t="array" aca="1" ref="EV306" ca="1">(1-$B$18)*SUMPRODUCT(OFFSET($BO$15,0,0,$B$14,1), 1*(_xlfn._xlws.FILTER(OFFSET($O$15,0,$DN306,$B$8,1),OFFSET($M$15,0,0,$B$8,1))=EV$13), 1*(_xlfn._xlws.FILTER(OFFSET($O$15,0,$DO306,$B$8,1),OFFSET($M$15,0,0,$B$8,1))=EV$14))   /   SUM(OFFSET($BO$15,0,0,$B$14,1)) + $B$18/($B$19*$B$19*($DN306&lt;&gt;$DO306) + $B$19*($DN306=$DO306))</f>
        <v>3.7037037037037035E-4</v>
      </c>
      <c r="EW306" s="10" cm="1">
        <f t="array" aca="1" ref="EW306" ca="1">(1-$B$18)*SUMPRODUCT(OFFSET($BO$15,0,0,$B$14,1), 1*(_xlfn._xlws.FILTER(OFFSET($O$15,0,$DN306,$B$8,1),OFFSET($M$15,0,0,$B$8,1))=EW$13), 1*(_xlfn._xlws.FILTER(OFFSET($O$15,0,$DO306,$B$8,1),OFFSET($M$15,0,0,$B$8,1))=EW$14))   /   SUM(OFFSET($BO$15,0,0,$B$14,1)) + $B$18/($B$19*$B$19*($DN306&lt;&gt;$DO306) + $B$19*($DN306=$DO306))</f>
        <v>3.7037037037037035E-4</v>
      </c>
      <c r="EX306" s="10" cm="1">
        <f t="array" aca="1" ref="EX306" ca="1">(1-$B$18)*SUMPRODUCT(OFFSET($BO$15,0,0,$B$14,1), 1*(_xlfn._xlws.FILTER(OFFSET($O$15,0,$DN306,$B$8,1),OFFSET($M$15,0,0,$B$8,1))=EX$13), 1*(_xlfn._xlws.FILTER(OFFSET($O$15,0,$DO306,$B$8,1),OFFSET($M$15,0,0,$B$8,1))=EX$14))   /   SUM(OFFSET($BO$15,0,0,$B$14,1)) + $B$18/($B$19*$B$19*($DN306&lt;&gt;$DO306) + $B$19*($DN306=$DO306))</f>
        <v>3.7037037037037035E-4</v>
      </c>
      <c r="EY306" s="10" cm="1">
        <f t="array" aca="1" ref="EY306" ca="1">(1-$B$18)*SUMPRODUCT(OFFSET($BO$15,0,0,$B$14,1), 1*(_xlfn._xlws.FILTER(OFFSET($O$15,0,$DN306,$B$8,1),OFFSET($M$15,0,0,$B$8,1))=EY$13), 1*(_xlfn._xlws.FILTER(OFFSET($O$15,0,$DO306,$B$8,1),OFFSET($M$15,0,0,$B$8,1))=EY$14))   /   SUM(OFFSET($BO$15,0,0,$B$14,1)) + $B$18/($B$19*$B$19*($DN306&lt;&gt;$DO306) + $B$19*($DN306=$DO306))</f>
        <v>3.7037037037037035E-4</v>
      </c>
      <c r="EZ306" s="10" cm="1">
        <f t="array" aca="1" ref="EZ306" ca="1">(1-$B$18)*SUMPRODUCT(OFFSET($BO$15,0,0,$B$14,1), 1*(_xlfn._xlws.FILTER(OFFSET($O$15,0,$DN306,$B$8,1),OFFSET($M$15,0,0,$B$8,1))=EZ$13), 1*(_xlfn._xlws.FILTER(OFFSET($O$15,0,$DO306,$B$8,1),OFFSET($M$15,0,0,$B$8,1))=EZ$14))   /   SUM(OFFSET($BO$15,0,0,$B$14,1)) + $B$18/($B$19*$B$19*($DN306&lt;&gt;$DO306) + $B$19*($DN306=$DO306))</f>
        <v>3.7037037037037035E-4</v>
      </c>
      <c r="FA306" s="10" cm="1">
        <f t="array" aca="1" ref="FA306" ca="1">(1-$B$18)*SUMPRODUCT(OFFSET($BO$15,0,0,$B$14,1), 1*(_xlfn._xlws.FILTER(OFFSET($O$15,0,$DN306,$B$8,1),OFFSET($M$15,0,0,$B$8,1))=FA$13), 1*(_xlfn._xlws.FILTER(OFFSET($O$15,0,$DO306,$B$8,1),OFFSET($M$15,0,0,$B$8,1))=FA$14))   /   SUM(OFFSET($BO$15,0,0,$B$14,1)) + $B$18/($B$19*$B$19*($DN306&lt;&gt;$DO306) + $B$19*($DN306=$DO306))</f>
        <v>3.7037037037037035E-4</v>
      </c>
      <c r="FB306" s="10" cm="1">
        <f t="array" aca="1" ref="FB306" ca="1">(1-$B$18)*SUMPRODUCT(OFFSET($BO$15,0,0,$B$14,1), 1*(_xlfn._xlws.FILTER(OFFSET($O$15,0,$DN306,$B$8,1),OFFSET($M$15,0,0,$B$8,1))=FB$13), 1*(_xlfn._xlws.FILTER(OFFSET($O$15,0,$DO306,$B$8,1),OFFSET($M$15,0,0,$B$8,1))=FB$14))   /   SUM(OFFSET($BO$15,0,0,$B$14,1)) + $B$18/($B$19*$B$19*($DN306&lt;&gt;$DO306) + $B$19*($DN306=$DO306))</f>
        <v>3.7037037037037035E-4</v>
      </c>
      <c r="FC306" s="10" cm="1">
        <f t="array" aca="1" ref="FC306" ca="1">(1-$B$18)*SUMPRODUCT(OFFSET($BO$15,0,0,$B$14,1), 1*(_xlfn._xlws.FILTER(OFFSET($O$15,0,$DN306,$B$8,1),OFFSET($M$15,0,0,$B$8,1))=FC$13), 1*(_xlfn._xlws.FILTER(OFFSET($O$15,0,$DO306,$B$8,1),OFFSET($M$15,0,0,$B$8,1))=FC$14))   /   SUM(OFFSET($BO$15,0,0,$B$14,1)) + $B$18/($B$19*$B$19*($DN306&lt;&gt;$DO306) + $B$19*($DN306=$DO306))</f>
        <v>3.7037037037037035E-4</v>
      </c>
      <c r="FD306" s="10" cm="1">
        <f t="array" aca="1" ref="FD306" ca="1">(1-$B$18)*SUMPRODUCT(OFFSET($BO$15,0,0,$B$14,1), 1*(_xlfn._xlws.FILTER(OFFSET($O$15,0,$DN306,$B$8,1),OFFSET($M$15,0,0,$B$8,1))=FD$13), 1*(_xlfn._xlws.FILTER(OFFSET($O$15,0,$DO306,$B$8,1),OFFSET($M$15,0,0,$B$8,1))=FD$14))   /   SUM(OFFSET($BO$15,0,0,$B$14,1)) + $B$18/($B$19*$B$19*($DN306&lt;&gt;$DO306) + $B$19*($DN306=$DO306))</f>
        <v>3.7037037037037035E-4</v>
      </c>
      <c r="FE306" s="10" cm="1">
        <f t="array" aca="1" ref="FE306" ca="1">(1-$B$18)*SUMPRODUCT(OFFSET($BO$15,0,0,$B$14,1), 1*(_xlfn._xlws.FILTER(OFFSET($O$15,0,$DN306,$B$8,1),OFFSET($M$15,0,0,$B$8,1))=FE$13), 1*(_xlfn._xlws.FILTER(OFFSET($O$15,0,$DO306,$B$8,1),OFFSET($M$15,0,0,$B$8,1))=FE$14))   /   SUM(OFFSET($BO$15,0,0,$B$14,1)) + $B$18/($B$19*$B$19*($DN306&lt;&gt;$DO306) + $B$19*($DN306=$DO306))</f>
        <v>3.7037037037037035E-4</v>
      </c>
      <c r="FF306" s="10" cm="1">
        <f t="array" aca="1" ref="FF306" ca="1">(1-$B$18)*SUMPRODUCT(OFFSET($BO$15,0,0,$B$14,1), 1*(_xlfn._xlws.FILTER(OFFSET($O$15,0,$DN306,$B$8,1),OFFSET($M$15,0,0,$B$8,1))=FF$13), 1*(_xlfn._xlws.FILTER(OFFSET($O$15,0,$DO306,$B$8,1),OFFSET($M$15,0,0,$B$8,1))=FF$14))   /   SUM(OFFSET($BO$15,0,0,$B$14,1)) + $B$18/($B$19*$B$19*($DN306&lt;&gt;$DO306) + $B$19*($DN306=$DO306))</f>
        <v>3.7037037037037035E-4</v>
      </c>
      <c r="FG306" s="10" cm="1">
        <f t="array" aca="1" ref="FG306" ca="1">(1-$B$18)*SUMPRODUCT(OFFSET($BO$15,0,0,$B$14,1), 1*(_xlfn._xlws.FILTER(OFFSET($O$15,0,$DN306,$B$8,1),OFFSET($M$15,0,0,$B$8,1))=FG$13), 1*(_xlfn._xlws.FILTER(OFFSET($O$15,0,$DO306,$B$8,1),OFFSET($M$15,0,0,$B$8,1))=FG$14))   /   SUM(OFFSET($BO$15,0,0,$B$14,1)) + $B$18/($B$19*$B$19*($DN306&lt;&gt;$DO306) + $B$19*($DN306=$DO306))</f>
        <v>3.7037037037037035E-4</v>
      </c>
      <c r="FH306" s="10" cm="1">
        <f t="array" aca="1" ref="FH306" ca="1">(1-$B$18)*SUMPRODUCT(OFFSET($BO$15,0,0,$B$14,1), 1*(_xlfn._xlws.FILTER(OFFSET($O$15,0,$DN306,$B$8,1),OFFSET($M$15,0,0,$B$8,1))=FH$13), 1*(_xlfn._xlws.FILTER(OFFSET($O$15,0,$DO306,$B$8,1),OFFSET($M$15,0,0,$B$8,1))=FH$14))   /   SUM(OFFSET($BO$15,0,0,$B$14,1)) + $B$18/($B$19*$B$19*($DN306&lt;&gt;$DO306) + $B$19*($DN306=$DO306))</f>
        <v>3.7037037037037035E-4</v>
      </c>
      <c r="FI306" s="10" cm="1">
        <f t="array" aca="1" ref="FI306" ca="1">(1-$B$18)*SUMPRODUCT(OFFSET($BO$15,0,0,$B$14,1), 1*(_xlfn._xlws.FILTER(OFFSET($O$15,0,$DN306,$B$8,1),OFFSET($M$15,0,0,$B$8,1))=FI$13), 1*(_xlfn._xlws.FILTER(OFFSET($O$15,0,$DO306,$B$8,1),OFFSET($M$15,0,0,$B$8,1))=FI$14))   /   SUM(OFFSET($BO$15,0,0,$B$14,1)) + $B$18/($B$19*$B$19*($DN306&lt;&gt;$DO306) + $B$19*($DN306=$DO306))</f>
        <v>3.7037037037037035E-4</v>
      </c>
      <c r="FJ306" s="10" cm="1">
        <f t="array" aca="1" ref="FJ306" ca="1">(1-$B$18)*SUMPRODUCT(OFFSET($BO$15,0,0,$B$14,1), 1*(_xlfn._xlws.FILTER(OFFSET($O$15,0,$DN306,$B$8,1),OFFSET($M$15,0,0,$B$8,1))=FJ$13), 1*(_xlfn._xlws.FILTER(OFFSET($O$15,0,$DO306,$B$8,1),OFFSET($M$15,0,0,$B$8,1))=FJ$14))   /   SUM(OFFSET($BO$15,0,0,$B$14,1)) + $B$18/($B$19*$B$19*($DN306&lt;&gt;$DO306) + $B$19*($DN306=$DO306))</f>
        <v>3.7037037037037035E-4</v>
      </c>
      <c r="FK306" s="10" cm="1">
        <f t="array" aca="1" ref="FK306" ca="1">(1-$B$18)*SUMPRODUCT(OFFSET($BO$15,0,0,$B$14,1), 1*(_xlfn._xlws.FILTER(OFFSET($O$15,0,$DN306,$B$8,1),OFFSET($M$15,0,0,$B$8,1))=FK$13), 1*(_xlfn._xlws.FILTER(OFFSET($O$15,0,$DO306,$B$8,1),OFFSET($M$15,0,0,$B$8,1))=FK$14))   /   SUM(OFFSET($BO$15,0,0,$B$14,1)) + $B$18/($B$19*$B$19*($DN306&lt;&gt;$DO306) + $B$19*($DN306=$DO306))</f>
        <v>3.7037037037037035E-4</v>
      </c>
      <c r="FL306" s="10" cm="1">
        <f t="array" aca="1" ref="FL306" ca="1">(1-$B$18)*SUMPRODUCT(OFFSET($BO$15,0,0,$B$14,1), 1*(_xlfn._xlws.FILTER(OFFSET($O$15,0,$DN306,$B$8,1),OFFSET($M$15,0,0,$B$8,1))=FL$13), 1*(_xlfn._xlws.FILTER(OFFSET($O$15,0,$DO306,$B$8,1),OFFSET($M$15,0,0,$B$8,1))=FL$14))   /   SUM(OFFSET($BO$15,0,0,$B$14,1)) + $B$18/($B$19*$B$19*($DN306&lt;&gt;$DO306) + $B$19*($DN306=$DO306))</f>
        <v>3.7037037037037035E-4</v>
      </c>
      <c r="FM306" s="10" cm="1">
        <f t="array" aca="1" ref="FM306" ca="1">(1-$B$18)*SUMPRODUCT(OFFSET($BO$15,0,0,$B$14,1), 1*(_xlfn._xlws.FILTER(OFFSET($O$15,0,$DN306,$B$8,1),OFFSET($M$15,0,0,$B$8,1))=FM$13), 1*(_xlfn._xlws.FILTER(OFFSET($O$15,0,$DO306,$B$8,1),OFFSET($M$15,0,0,$B$8,1))=FM$14))   /   SUM(OFFSET($BO$15,0,0,$B$14,1)) + $B$18/($B$19*$B$19*($DN306&lt;&gt;$DO306) + $B$19*($DN306=$DO306))</f>
        <v>3.7037037037037035E-4</v>
      </c>
      <c r="FN306" s="10" cm="1">
        <f t="array" aca="1" ref="FN306" ca="1">(1-$B$18)*SUMPRODUCT(OFFSET($BO$15,0,0,$B$14,1), 1*(_xlfn._xlws.FILTER(OFFSET($O$15,0,$DN306,$B$8,1),OFFSET($M$15,0,0,$B$8,1))=FN$13), 1*(_xlfn._xlws.FILTER(OFFSET($O$15,0,$DO306,$B$8,1),OFFSET($M$15,0,0,$B$8,1))=FN$14))   /   SUM(OFFSET($BO$15,0,0,$B$14,1)) + $B$18/($B$19*$B$19*($DN306&lt;&gt;$DO306) + $B$19*($DN306=$DO306))</f>
        <v>3.7037037037037035E-4</v>
      </c>
      <c r="FO306" s="10" cm="1">
        <f t="array" aca="1" ref="FO306" ca="1">(1-$B$18)*SUMPRODUCT(OFFSET($BO$15,0,0,$B$14,1), 1*(_xlfn._xlws.FILTER(OFFSET($O$15,0,$DN306,$B$8,1),OFFSET($M$15,0,0,$B$8,1))=FO$13), 1*(_xlfn._xlws.FILTER(OFFSET($O$15,0,$DO306,$B$8,1),OFFSET($M$15,0,0,$B$8,1))=FO$14))   /   SUM(OFFSET($BO$15,0,0,$B$14,1)) + $B$18/($B$19*$B$19*($DN306&lt;&gt;$DO306) + $B$19*($DN306=$DO306))</f>
        <v>3.7037037037037035E-4</v>
      </c>
      <c r="FP306" s="10" cm="1">
        <f t="array" aca="1" ref="FP306" ca="1">(1-$B$18)*SUMPRODUCT(OFFSET($BO$15,0,0,$B$14,1), 1*(_xlfn._xlws.FILTER(OFFSET($O$15,0,$DN306,$B$8,1),OFFSET($M$15,0,0,$B$8,1))=FP$13), 1*(_xlfn._xlws.FILTER(OFFSET($O$15,0,$DO306,$B$8,1),OFFSET($M$15,0,0,$B$8,1))=FP$14))   /   SUM(OFFSET($BO$15,0,0,$B$14,1)) + $B$18/($B$19*$B$19*($DN306&lt;&gt;$DO306) + $B$19*($DN306=$DO306))</f>
        <v>3.7037037037037035E-4</v>
      </c>
      <c r="FQ306" s="10" cm="1">
        <f t="array" aca="1" ref="FQ306" ca="1">(1-$B$18)*SUMPRODUCT(OFFSET($BO$15,0,0,$B$14,1), 1*(_xlfn._xlws.FILTER(OFFSET($O$15,0,$DN306,$B$8,1),OFFSET($M$15,0,0,$B$8,1))=FQ$13), 1*(_xlfn._xlws.FILTER(OFFSET($O$15,0,$DO306,$B$8,1),OFFSET($M$15,0,0,$B$8,1))=FQ$14))   /   SUM(OFFSET($BO$15,0,0,$B$14,1)) + $B$18/($B$19*$B$19*($DN306&lt;&gt;$DO306) + $B$19*($DN306=$DO306))</f>
        <v>3.7037037037037035E-4</v>
      </c>
      <c r="FR306" s="10" cm="1">
        <f t="array" aca="1" ref="FR306" ca="1">(1-$B$18)*SUMPRODUCT(OFFSET($BO$15,0,0,$B$14,1), 1*(_xlfn._xlws.FILTER(OFFSET($O$15,0,$DN306,$B$8,1),OFFSET($M$15,0,0,$B$8,1))=FR$13), 1*(_xlfn._xlws.FILTER(OFFSET($O$15,0,$DO306,$B$8,1),OFFSET($M$15,0,0,$B$8,1))=FR$14))   /   SUM(OFFSET($BO$15,0,0,$B$14,1)) + $B$18/($B$19*$B$19*($DN306&lt;&gt;$DO306) + $B$19*($DN306=$DO306))</f>
        <v>3.7037037037037035E-4</v>
      </c>
      <c r="FS306" s="10" cm="1">
        <f t="array" aca="1" ref="FS306" ca="1">(1-$B$18)*SUMPRODUCT(OFFSET($BO$15,0,0,$B$14,1), 1*(_xlfn._xlws.FILTER(OFFSET($O$15,0,$DN306,$B$8,1),OFFSET($M$15,0,0,$B$8,1))=FS$13), 1*(_xlfn._xlws.FILTER(OFFSET($O$15,0,$DO306,$B$8,1),OFFSET($M$15,0,0,$B$8,1))=FS$14))   /   SUM(OFFSET($BO$15,0,0,$B$14,1)) + $B$18/($B$19*$B$19*($DN306&lt;&gt;$DO306) + $B$19*($DN306=$DO306))</f>
        <v>3.7037037037037035E-4</v>
      </c>
      <c r="FT306" s="10" cm="1">
        <f t="array" aca="1" ref="FT306" ca="1">(1-$B$18)*SUMPRODUCT(OFFSET($BO$15,0,0,$B$14,1), 1*(_xlfn._xlws.FILTER(OFFSET($O$15,0,$DN306,$B$8,1),OFFSET($M$15,0,0,$B$8,1))=FT$13), 1*(_xlfn._xlws.FILTER(OFFSET($O$15,0,$DO306,$B$8,1),OFFSET($M$15,0,0,$B$8,1))=FT$14))   /   SUM(OFFSET($BO$15,0,0,$B$14,1)) + $B$18/($B$19*$B$19*($DN306&lt;&gt;$DO306) + $B$19*($DN306=$DO306))</f>
        <v>3.7037037037037035E-4</v>
      </c>
      <c r="FU306" s="10" cm="1">
        <f t="array" aca="1" ref="FU306" ca="1">(1-$B$18)*SUMPRODUCT(OFFSET($BO$15,0,0,$B$14,1), 1*(_xlfn._xlws.FILTER(OFFSET($O$15,0,$DN306,$B$8,1),OFFSET($M$15,0,0,$B$8,1))=FU$13), 1*(_xlfn._xlws.FILTER(OFFSET($O$15,0,$DO306,$B$8,1),OFFSET($M$15,0,0,$B$8,1))=FU$14))   /   SUM(OFFSET($BO$15,0,0,$B$14,1)) + $B$18/($B$19*$B$19*($DN306&lt;&gt;$DO306) + $B$19*($DN306=$DO306))</f>
        <v>3.7037037037037035E-4</v>
      </c>
      <c r="FV306" s="10" cm="1">
        <f t="array" aca="1" ref="FV306" ca="1">(1-$B$18)*SUMPRODUCT(OFFSET($BO$15,0,0,$B$14,1), 1*(_xlfn._xlws.FILTER(OFFSET($O$15,0,$DN306,$B$8,1),OFFSET($M$15,0,0,$B$8,1))=FV$13), 1*(_xlfn._xlws.FILTER(OFFSET($O$15,0,$DO306,$B$8,1),OFFSET($M$15,0,0,$B$8,1))=FV$14))   /   SUM(OFFSET($BO$15,0,0,$B$14,1)) + $B$18/($B$19*$B$19*($DN306&lt;&gt;$DO306) + $B$19*($DN306=$DO306))</f>
        <v>3.7037037037037035E-4</v>
      </c>
      <c r="FW306" s="10" cm="1">
        <f t="array" aca="1" ref="FW306" ca="1">(1-$B$18)*SUMPRODUCT(OFFSET($BO$15,0,0,$B$14,1), 1*(_xlfn._xlws.FILTER(OFFSET($O$15,0,$DN306,$B$8,1),OFFSET($M$15,0,0,$B$8,1))=FW$13), 1*(_xlfn._xlws.FILTER(OFFSET($O$15,0,$DO306,$B$8,1),OFFSET($M$15,0,0,$B$8,1))=FW$14))   /   SUM(OFFSET($BO$15,0,0,$B$14,1)) + $B$18/($B$19*$B$19*($DN306&lt;&gt;$DO306) + $B$19*($DN306=$DO306))</f>
        <v>3.7037037037037035E-4</v>
      </c>
      <c r="FX306" s="10" cm="1">
        <f t="array" aca="1" ref="FX306" ca="1">(1-$B$18)*SUMPRODUCT(OFFSET($BO$15,0,0,$B$14,1), 1*(_xlfn._xlws.FILTER(OFFSET($O$15,0,$DN306,$B$8,1),OFFSET($M$15,0,0,$B$8,1))=FX$13), 1*(_xlfn._xlws.FILTER(OFFSET($O$15,0,$DO306,$B$8,1),OFFSET($M$15,0,0,$B$8,1))=FX$14))   /   SUM(OFFSET($BO$15,0,0,$B$14,1)) + $B$18/($B$19*$B$19*($DN306&lt;&gt;$DO306) + $B$19*($DN306=$DO306))</f>
        <v>3.7037037037037035E-4</v>
      </c>
      <c r="FY306" s="10" cm="1">
        <f t="array" aca="1" ref="FY306" ca="1">(1-$B$18)*SUMPRODUCT(OFFSET($BO$15,0,0,$B$14,1), 1*(_xlfn._xlws.FILTER(OFFSET($O$15,0,$DN306,$B$8,1),OFFSET($M$15,0,0,$B$8,1))=FY$13), 1*(_xlfn._xlws.FILTER(OFFSET($O$15,0,$DO306,$B$8,1),OFFSET($M$15,0,0,$B$8,1))=FY$14))   /   SUM(OFFSET($BO$15,0,0,$B$14,1)) + $B$18/($B$19*$B$19*($DN306&lt;&gt;$DO306) + $B$19*($DN306=$DO306))</f>
        <v>3.7037037037037035E-4</v>
      </c>
      <c r="FZ306" s="10" cm="1">
        <f t="array" aca="1" ref="FZ306" ca="1">(1-$B$18)*SUMPRODUCT(OFFSET($BO$15,0,0,$B$14,1), 1*(_xlfn._xlws.FILTER(OFFSET($O$15,0,$DN306,$B$8,1),OFFSET($M$15,0,0,$B$8,1))=FZ$13), 1*(_xlfn._xlws.FILTER(OFFSET($O$15,0,$DO306,$B$8,1),OFFSET($M$15,0,0,$B$8,1))=FZ$14))   /   SUM(OFFSET($BO$15,0,0,$B$14,1)) + $B$18/($B$19*$B$19*($DN306&lt;&gt;$DO306) + $B$19*($DN306=$DO306))</f>
        <v>3.7037037037037035E-4</v>
      </c>
      <c r="GA306" s="10" cm="1">
        <f t="array" aca="1" ref="GA306" ca="1">(1-$B$18)*SUMPRODUCT(OFFSET($BO$15,0,0,$B$14,1), 1*(_xlfn._xlws.FILTER(OFFSET($O$15,0,$DN306,$B$8,1),OFFSET($M$15,0,0,$B$8,1))=GA$13), 1*(_xlfn._xlws.FILTER(OFFSET($O$15,0,$DO306,$B$8,1),OFFSET($M$15,0,0,$B$8,1))=GA$14))   /   SUM(OFFSET($BO$15,0,0,$B$14,1)) + $B$18/($B$19*$B$19*($DN306&lt;&gt;$DO306) + $B$19*($DN306=$DO306))</f>
        <v>3.7037037037037035E-4</v>
      </c>
    </row>
    <row r="307" spans="118:183" x14ac:dyDescent="0.2">
      <c r="DN307" cm="1">
        <f t="array" aca="1" ref="DN307" ca="1">INDEX(_xlfn.ANCHORARRAY($CP$15), 1 + INT((ROWS($DO$15:$DO307) - 1) / ROWS(_xlfn.ANCHORARRAY($CP$15))))</f>
        <v>18</v>
      </c>
      <c r="DO307" cm="1">
        <f t="array" aca="1" ref="DO307" ca="1">INDEX(_xlfn.ANCHORARRAY($CP$15),1+MOD(ROWS($DO$15:$DO307)-1,ROWS(_xlfn.ANCHORARRAY($CP$15))))</f>
        <v>7</v>
      </c>
      <c r="DP307" s="10" cm="1">
        <f t="array" aca="1" ref="DP307" ca="1">(1-$B$18)*SUMPRODUCT(OFFSET($BO$15,0,0,$B$14,1), 1*(_xlfn._xlws.FILTER(OFFSET($O$15,0,$DN307,$B$8,1),OFFSET($M$15,0,0,$B$8,1))=DP$13), 1*(_xlfn._xlws.FILTER(OFFSET($O$15,0,$DO307,$B$8,1),OFFSET($M$15,0,0,$B$8,1))=DP$14))   /   SUM(OFFSET($BO$15,0,0,$B$14,1)) + $B$18/($B$19*$B$19*($DN307&lt;&gt;$DO307) + $B$19*($DN307=$DO307))</f>
        <v>3.7037037037037035E-4</v>
      </c>
      <c r="DQ307" s="10" cm="1">
        <f t="array" aca="1" ref="DQ307" ca="1">(1-$B$18)*SUMPRODUCT(OFFSET($BO$15,0,0,$B$14,1), 1*(_xlfn._xlws.FILTER(OFFSET($O$15,0,$DN307,$B$8,1),OFFSET($M$15,0,0,$B$8,1))=DQ$13), 1*(_xlfn._xlws.FILTER(OFFSET($O$15,0,$DO307,$B$8,1),OFFSET($M$15,0,0,$B$8,1))=DQ$14))   /   SUM(OFFSET($BO$15,0,0,$B$14,1)) + $B$18/($B$19*$B$19*($DN307&lt;&gt;$DO307) + $B$19*($DN307=$DO307))</f>
        <v>3.7037037037037035E-4</v>
      </c>
      <c r="DR307" s="10" cm="1">
        <f t="array" aca="1" ref="DR307" ca="1">(1-$B$18)*SUMPRODUCT(OFFSET($BO$15,0,0,$B$14,1), 1*(_xlfn._xlws.FILTER(OFFSET($O$15,0,$DN307,$B$8,1),OFFSET($M$15,0,0,$B$8,1))=DR$13), 1*(_xlfn._xlws.FILTER(OFFSET($O$15,0,$DO307,$B$8,1),OFFSET($M$15,0,0,$B$8,1))=DR$14))   /   SUM(OFFSET($BO$15,0,0,$B$14,1)) + $B$18/($B$19*$B$19*($DN307&lt;&gt;$DO307) + $B$19*($DN307=$DO307))</f>
        <v>3.7037037037037035E-4</v>
      </c>
      <c r="DS307" s="10" cm="1">
        <f t="array" aca="1" ref="DS307" ca="1">(1-$B$18)*SUMPRODUCT(OFFSET($BO$15,0,0,$B$14,1), 1*(_xlfn._xlws.FILTER(OFFSET($O$15,0,$DN307,$B$8,1),OFFSET($M$15,0,0,$B$8,1))=DS$13), 1*(_xlfn._xlws.FILTER(OFFSET($O$15,0,$DO307,$B$8,1),OFFSET($M$15,0,0,$B$8,1))=DS$14))   /   SUM(OFFSET($BO$15,0,0,$B$14,1)) + $B$18/($B$19*$B$19*($DN307&lt;&gt;$DO307) + $B$19*($DN307=$DO307))</f>
        <v>3.7037037037037035E-4</v>
      </c>
      <c r="DT307" s="10" cm="1">
        <f t="array" aca="1" ref="DT307" ca="1">(1-$B$18)*SUMPRODUCT(OFFSET($BO$15,0,0,$B$14,1), 1*(_xlfn._xlws.FILTER(OFFSET($O$15,0,$DN307,$B$8,1),OFFSET($M$15,0,0,$B$8,1))=DT$13), 1*(_xlfn._xlws.FILTER(OFFSET($O$15,0,$DO307,$B$8,1),OFFSET($M$15,0,0,$B$8,1))=DT$14))   /   SUM(OFFSET($BO$15,0,0,$B$14,1)) + $B$18/($B$19*$B$19*($DN307&lt;&gt;$DO307) + $B$19*($DN307=$DO307))</f>
        <v>3.7037037037037035E-4</v>
      </c>
      <c r="DU307" s="10" cm="1">
        <f t="array" aca="1" ref="DU307" ca="1">(1-$B$18)*SUMPRODUCT(OFFSET($BO$15,0,0,$B$14,1), 1*(_xlfn._xlws.FILTER(OFFSET($O$15,0,$DN307,$B$8,1),OFFSET($M$15,0,0,$B$8,1))=DU$13), 1*(_xlfn._xlws.FILTER(OFFSET($O$15,0,$DO307,$B$8,1),OFFSET($M$15,0,0,$B$8,1))=DU$14))   /   SUM(OFFSET($BO$15,0,0,$B$14,1)) + $B$18/($B$19*$B$19*($DN307&lt;&gt;$DO307) + $B$19*($DN307=$DO307))</f>
        <v>3.7037037037037035E-4</v>
      </c>
      <c r="DV307" s="10" cm="1">
        <f t="array" aca="1" ref="DV307" ca="1">(1-$B$18)*SUMPRODUCT(OFFSET($BO$15,0,0,$B$14,1), 1*(_xlfn._xlws.FILTER(OFFSET($O$15,0,$DN307,$B$8,1),OFFSET($M$15,0,0,$B$8,1))=DV$13), 1*(_xlfn._xlws.FILTER(OFFSET($O$15,0,$DO307,$B$8,1),OFFSET($M$15,0,0,$B$8,1))=DV$14))   /   SUM(OFFSET($BO$15,0,0,$B$14,1)) + $B$18/($B$19*$B$19*($DN307&lt;&gt;$DO307) + $B$19*($DN307=$DO307))</f>
        <v>3.7037037037037035E-4</v>
      </c>
      <c r="DW307" s="10" cm="1">
        <f t="array" aca="1" ref="DW307" ca="1">(1-$B$18)*SUMPRODUCT(OFFSET($BO$15,0,0,$B$14,1), 1*(_xlfn._xlws.FILTER(OFFSET($O$15,0,$DN307,$B$8,1),OFFSET($M$15,0,0,$B$8,1))=DW$13), 1*(_xlfn._xlws.FILTER(OFFSET($O$15,0,$DO307,$B$8,1),OFFSET($M$15,0,0,$B$8,1))=DW$14))   /   SUM(OFFSET($BO$15,0,0,$B$14,1)) + $B$18/($B$19*$B$19*($DN307&lt;&gt;$DO307) + $B$19*($DN307=$DO307))</f>
        <v>3.7037037037037035E-4</v>
      </c>
      <c r="DX307" s="10" cm="1">
        <f t="array" aca="1" ref="DX307" ca="1">(1-$B$18)*SUMPRODUCT(OFFSET($BO$15,0,0,$B$14,1), 1*(_xlfn._xlws.FILTER(OFFSET($O$15,0,$DN307,$B$8,1),OFFSET($M$15,0,0,$B$8,1))=DX$13), 1*(_xlfn._xlws.FILTER(OFFSET($O$15,0,$DO307,$B$8,1),OFFSET($M$15,0,0,$B$8,1))=DX$14))   /   SUM(OFFSET($BO$15,0,0,$B$14,1)) + $B$18/($B$19*$B$19*($DN307&lt;&gt;$DO307) + $B$19*($DN307=$DO307))</f>
        <v>3.7037037037037035E-4</v>
      </c>
      <c r="DY307" s="10" cm="1">
        <f t="array" aca="1" ref="DY307" ca="1">(1-$B$18)*SUMPRODUCT(OFFSET($BO$15,0,0,$B$14,1), 1*(_xlfn._xlws.FILTER(OFFSET($O$15,0,$DN307,$B$8,1),OFFSET($M$15,0,0,$B$8,1))=DY$13), 1*(_xlfn._xlws.FILTER(OFFSET($O$15,0,$DO307,$B$8,1),OFFSET($M$15,0,0,$B$8,1))=DY$14))   /   SUM(OFFSET($BO$15,0,0,$B$14,1)) + $B$18/($B$19*$B$19*($DN307&lt;&gt;$DO307) + $B$19*($DN307=$DO307))</f>
        <v>3.7037037037037035E-4</v>
      </c>
      <c r="DZ307" s="10" cm="1">
        <f t="array" aca="1" ref="DZ307" ca="1">(1-$B$18)*SUMPRODUCT(OFFSET($BO$15,0,0,$B$14,1), 1*(_xlfn._xlws.FILTER(OFFSET($O$15,0,$DN307,$B$8,1),OFFSET($M$15,0,0,$B$8,1))=DZ$13), 1*(_xlfn._xlws.FILTER(OFFSET($O$15,0,$DO307,$B$8,1),OFFSET($M$15,0,0,$B$8,1))=DZ$14))   /   SUM(OFFSET($BO$15,0,0,$B$14,1)) + $B$18/($B$19*$B$19*($DN307&lt;&gt;$DO307) + $B$19*($DN307=$DO307))</f>
        <v>3.7037037037037035E-4</v>
      </c>
      <c r="EA307" s="10" cm="1">
        <f t="array" aca="1" ref="EA307" ca="1">(1-$B$18)*SUMPRODUCT(OFFSET($BO$15,0,0,$B$14,1), 1*(_xlfn._xlws.FILTER(OFFSET($O$15,0,$DN307,$B$8,1),OFFSET($M$15,0,0,$B$8,1))=EA$13), 1*(_xlfn._xlws.FILTER(OFFSET($O$15,0,$DO307,$B$8,1),OFFSET($M$15,0,0,$B$8,1))=EA$14))   /   SUM(OFFSET($BO$15,0,0,$B$14,1)) + $B$18/($B$19*$B$19*($DN307&lt;&gt;$DO307) + $B$19*($DN307=$DO307))</f>
        <v>3.7037037037037035E-4</v>
      </c>
      <c r="EB307" s="10" cm="1">
        <f t="array" aca="1" ref="EB307" ca="1">(1-$B$18)*SUMPRODUCT(OFFSET($BO$15,0,0,$B$14,1), 1*(_xlfn._xlws.FILTER(OFFSET($O$15,0,$DN307,$B$8,1),OFFSET($M$15,0,0,$B$8,1))=EB$13), 1*(_xlfn._xlws.FILTER(OFFSET($O$15,0,$DO307,$B$8,1),OFFSET($M$15,0,0,$B$8,1))=EB$14))   /   SUM(OFFSET($BO$15,0,0,$B$14,1)) + $B$18/($B$19*$B$19*($DN307&lt;&gt;$DO307) + $B$19*($DN307=$DO307))</f>
        <v>3.7037037037037035E-4</v>
      </c>
      <c r="EC307" s="10" cm="1">
        <f t="array" aca="1" ref="EC307" ca="1">(1-$B$18)*SUMPRODUCT(OFFSET($BO$15,0,0,$B$14,1), 1*(_xlfn._xlws.FILTER(OFFSET($O$15,0,$DN307,$B$8,1),OFFSET($M$15,0,0,$B$8,1))=EC$13), 1*(_xlfn._xlws.FILTER(OFFSET($O$15,0,$DO307,$B$8,1),OFFSET($M$15,0,0,$B$8,1))=EC$14))   /   SUM(OFFSET($BO$15,0,0,$B$14,1)) + $B$18/($B$19*$B$19*($DN307&lt;&gt;$DO307) + $B$19*($DN307=$DO307))</f>
        <v>3.7037037037037035E-4</v>
      </c>
      <c r="ED307" s="10" cm="1">
        <f t="array" aca="1" ref="ED307" ca="1">(1-$B$18)*SUMPRODUCT(OFFSET($BO$15,0,0,$B$14,1), 1*(_xlfn._xlws.FILTER(OFFSET($O$15,0,$DN307,$B$8,1),OFFSET($M$15,0,0,$B$8,1))=ED$13), 1*(_xlfn._xlws.FILTER(OFFSET($O$15,0,$DO307,$B$8,1),OFFSET($M$15,0,0,$B$8,1))=ED$14))   /   SUM(OFFSET($BO$15,0,0,$B$14,1)) + $B$18/($B$19*$B$19*($DN307&lt;&gt;$DO307) + $B$19*($DN307=$DO307))</f>
        <v>3.7037037037037035E-4</v>
      </c>
      <c r="EE307" s="10" cm="1">
        <f t="array" aca="1" ref="EE307" ca="1">(1-$B$18)*SUMPRODUCT(OFFSET($BO$15,0,0,$B$14,1), 1*(_xlfn._xlws.FILTER(OFFSET($O$15,0,$DN307,$B$8,1),OFFSET($M$15,0,0,$B$8,1))=EE$13), 1*(_xlfn._xlws.FILTER(OFFSET($O$15,0,$DO307,$B$8,1),OFFSET($M$15,0,0,$B$8,1))=EE$14))   /   SUM(OFFSET($BO$15,0,0,$B$14,1)) + $B$18/($B$19*$B$19*($DN307&lt;&gt;$DO307) + $B$19*($DN307=$DO307))</f>
        <v>3.7037037037037035E-4</v>
      </c>
      <c r="EF307" s="10" cm="1">
        <f t="array" aca="1" ref="EF307" ca="1">(1-$B$18)*SUMPRODUCT(OFFSET($BO$15,0,0,$B$14,1), 1*(_xlfn._xlws.FILTER(OFFSET($O$15,0,$DN307,$B$8,1),OFFSET($M$15,0,0,$B$8,1))=EF$13), 1*(_xlfn._xlws.FILTER(OFFSET($O$15,0,$DO307,$B$8,1),OFFSET($M$15,0,0,$B$8,1))=EF$14))   /   SUM(OFFSET($BO$15,0,0,$B$14,1)) + $B$18/($B$19*$B$19*($DN307&lt;&gt;$DO307) + $B$19*($DN307=$DO307))</f>
        <v>3.7037037037037035E-4</v>
      </c>
      <c r="EG307" s="10" cm="1">
        <f t="array" aca="1" ref="EG307" ca="1">(1-$B$18)*SUMPRODUCT(OFFSET($BO$15,0,0,$B$14,1), 1*(_xlfn._xlws.FILTER(OFFSET($O$15,0,$DN307,$B$8,1),OFFSET($M$15,0,0,$B$8,1))=EG$13), 1*(_xlfn._xlws.FILTER(OFFSET($O$15,0,$DO307,$B$8,1),OFFSET($M$15,0,0,$B$8,1))=EG$14))   /   SUM(OFFSET($BO$15,0,0,$B$14,1)) + $B$18/($B$19*$B$19*($DN307&lt;&gt;$DO307) + $B$19*($DN307=$DO307))</f>
        <v>3.7037037037037035E-4</v>
      </c>
      <c r="EH307" s="10" cm="1">
        <f t="array" aca="1" ref="EH307" ca="1">(1-$B$18)*SUMPRODUCT(OFFSET($BO$15,0,0,$B$14,1), 1*(_xlfn._xlws.FILTER(OFFSET($O$15,0,$DN307,$B$8,1),OFFSET($M$15,0,0,$B$8,1))=EH$13), 1*(_xlfn._xlws.FILTER(OFFSET($O$15,0,$DO307,$B$8,1),OFFSET($M$15,0,0,$B$8,1))=EH$14))   /   SUM(OFFSET($BO$15,0,0,$B$14,1)) + $B$18/($B$19*$B$19*($DN307&lt;&gt;$DO307) + $B$19*($DN307=$DO307))</f>
        <v>3.7037037037037035E-4</v>
      </c>
      <c r="EI307" s="10" cm="1">
        <f t="array" aca="1" ref="EI307" ca="1">(1-$B$18)*SUMPRODUCT(OFFSET($BO$15,0,0,$B$14,1), 1*(_xlfn._xlws.FILTER(OFFSET($O$15,0,$DN307,$B$8,1),OFFSET($M$15,0,0,$B$8,1))=EI$13), 1*(_xlfn._xlws.FILTER(OFFSET($O$15,0,$DO307,$B$8,1),OFFSET($M$15,0,0,$B$8,1))=EI$14))   /   SUM(OFFSET($BO$15,0,0,$B$14,1)) + $B$18/($B$19*$B$19*($DN307&lt;&gt;$DO307) + $B$19*($DN307=$DO307))</f>
        <v>3.7037037037037035E-4</v>
      </c>
      <c r="EJ307" s="10" cm="1">
        <f t="array" aca="1" ref="EJ307" ca="1">(1-$B$18)*SUMPRODUCT(OFFSET($BO$15,0,0,$B$14,1), 1*(_xlfn._xlws.FILTER(OFFSET($O$15,0,$DN307,$B$8,1),OFFSET($M$15,0,0,$B$8,1))=EJ$13), 1*(_xlfn._xlws.FILTER(OFFSET($O$15,0,$DO307,$B$8,1),OFFSET($M$15,0,0,$B$8,1))=EJ$14))   /   SUM(OFFSET($BO$15,0,0,$B$14,1)) + $B$18/($B$19*$B$19*($DN307&lt;&gt;$DO307) + $B$19*($DN307=$DO307))</f>
        <v>3.7037037037037035E-4</v>
      </c>
      <c r="EK307" s="10" cm="1">
        <f t="array" aca="1" ref="EK307" ca="1">(1-$B$18)*SUMPRODUCT(OFFSET($BO$15,0,0,$B$14,1), 1*(_xlfn._xlws.FILTER(OFFSET($O$15,0,$DN307,$B$8,1),OFFSET($M$15,0,0,$B$8,1))=EK$13), 1*(_xlfn._xlws.FILTER(OFFSET($O$15,0,$DO307,$B$8,1),OFFSET($M$15,0,0,$B$8,1))=EK$14))   /   SUM(OFFSET($BO$15,0,0,$B$14,1)) + $B$18/($B$19*$B$19*($DN307&lt;&gt;$DO307) + $B$19*($DN307=$DO307))</f>
        <v>3.7037037037037035E-4</v>
      </c>
      <c r="EL307" s="10" cm="1">
        <f t="array" aca="1" ref="EL307" ca="1">(1-$B$18)*SUMPRODUCT(OFFSET($BO$15,0,0,$B$14,1), 1*(_xlfn._xlws.FILTER(OFFSET($O$15,0,$DN307,$B$8,1),OFFSET($M$15,0,0,$B$8,1))=EL$13), 1*(_xlfn._xlws.FILTER(OFFSET($O$15,0,$DO307,$B$8,1),OFFSET($M$15,0,0,$B$8,1))=EL$14))   /   SUM(OFFSET($BO$15,0,0,$B$14,1)) + $B$18/($B$19*$B$19*($DN307&lt;&gt;$DO307) + $B$19*($DN307=$DO307))</f>
        <v>3.7037037037037035E-4</v>
      </c>
      <c r="EM307" s="10" cm="1">
        <f t="array" aca="1" ref="EM307" ca="1">(1-$B$18)*SUMPRODUCT(OFFSET($BO$15,0,0,$B$14,1), 1*(_xlfn._xlws.FILTER(OFFSET($O$15,0,$DN307,$B$8,1),OFFSET($M$15,0,0,$B$8,1))=EM$13), 1*(_xlfn._xlws.FILTER(OFFSET($O$15,0,$DO307,$B$8,1),OFFSET($M$15,0,0,$B$8,1))=EM$14))   /   SUM(OFFSET($BO$15,0,0,$B$14,1)) + $B$18/($B$19*$B$19*($DN307&lt;&gt;$DO307) + $B$19*($DN307=$DO307))</f>
        <v>3.7037037037037035E-4</v>
      </c>
      <c r="EN307" s="10" cm="1">
        <f t="array" aca="1" ref="EN307" ca="1">(1-$B$18)*SUMPRODUCT(OFFSET($BO$15,0,0,$B$14,1), 1*(_xlfn._xlws.FILTER(OFFSET($O$15,0,$DN307,$B$8,1),OFFSET($M$15,0,0,$B$8,1))=EN$13), 1*(_xlfn._xlws.FILTER(OFFSET($O$15,0,$DO307,$B$8,1),OFFSET($M$15,0,0,$B$8,1))=EN$14))   /   SUM(OFFSET($BO$15,0,0,$B$14,1)) + $B$18/($B$19*$B$19*($DN307&lt;&gt;$DO307) + $B$19*($DN307=$DO307))</f>
        <v>3.7037037037037035E-4</v>
      </c>
      <c r="EO307" s="10" cm="1">
        <f t="array" aca="1" ref="EO307" ca="1">(1-$B$18)*SUMPRODUCT(OFFSET($BO$15,0,0,$B$14,1), 1*(_xlfn._xlws.FILTER(OFFSET($O$15,0,$DN307,$B$8,1),OFFSET($M$15,0,0,$B$8,1))=EO$13), 1*(_xlfn._xlws.FILTER(OFFSET($O$15,0,$DO307,$B$8,1),OFFSET($M$15,0,0,$B$8,1))=EO$14))   /   SUM(OFFSET($BO$15,0,0,$B$14,1)) + $B$18/($B$19*$B$19*($DN307&lt;&gt;$DO307) + $B$19*($DN307=$DO307))</f>
        <v>3.7037037037037035E-4</v>
      </c>
      <c r="EP307" s="10" cm="1">
        <f t="array" aca="1" ref="EP307" ca="1">(1-$B$18)*SUMPRODUCT(OFFSET($BO$15,0,0,$B$14,1), 1*(_xlfn._xlws.FILTER(OFFSET($O$15,0,$DN307,$B$8,1),OFFSET($M$15,0,0,$B$8,1))=EP$13), 1*(_xlfn._xlws.FILTER(OFFSET($O$15,0,$DO307,$B$8,1),OFFSET($M$15,0,0,$B$8,1))=EP$14))   /   SUM(OFFSET($BO$15,0,0,$B$14,1)) + $B$18/($B$19*$B$19*($DN307&lt;&gt;$DO307) + $B$19*($DN307=$DO307))</f>
        <v>3.7037037037037035E-4</v>
      </c>
      <c r="EQ307" s="10" cm="1">
        <f t="array" aca="1" ref="EQ307" ca="1">(1-$B$18)*SUMPRODUCT(OFFSET($BO$15,0,0,$B$14,1), 1*(_xlfn._xlws.FILTER(OFFSET($O$15,0,$DN307,$B$8,1),OFFSET($M$15,0,0,$B$8,1))=EQ$13), 1*(_xlfn._xlws.FILTER(OFFSET($O$15,0,$DO307,$B$8,1),OFFSET($M$15,0,0,$B$8,1))=EQ$14))   /   SUM(OFFSET($BO$15,0,0,$B$14,1)) + $B$18/($B$19*$B$19*($DN307&lt;&gt;$DO307) + $B$19*($DN307=$DO307))</f>
        <v>3.7037037037037035E-4</v>
      </c>
      <c r="ER307" s="10" cm="1">
        <f t="array" aca="1" ref="ER307" ca="1">(1-$B$18)*SUMPRODUCT(OFFSET($BO$15,0,0,$B$14,1), 1*(_xlfn._xlws.FILTER(OFFSET($O$15,0,$DN307,$B$8,1),OFFSET($M$15,0,0,$B$8,1))=ER$13), 1*(_xlfn._xlws.FILTER(OFFSET($O$15,0,$DO307,$B$8,1),OFFSET($M$15,0,0,$B$8,1))=ER$14))   /   SUM(OFFSET($BO$15,0,0,$B$14,1)) + $B$18/($B$19*$B$19*($DN307&lt;&gt;$DO307) + $B$19*($DN307=$DO307))</f>
        <v>3.7037037037037035E-4</v>
      </c>
      <c r="ES307" s="10" cm="1">
        <f t="array" aca="1" ref="ES307" ca="1">(1-$B$18)*SUMPRODUCT(OFFSET($BO$15,0,0,$B$14,1), 1*(_xlfn._xlws.FILTER(OFFSET($O$15,0,$DN307,$B$8,1),OFFSET($M$15,0,0,$B$8,1))=ES$13), 1*(_xlfn._xlws.FILTER(OFFSET($O$15,0,$DO307,$B$8,1),OFFSET($M$15,0,0,$B$8,1))=ES$14))   /   SUM(OFFSET($BO$15,0,0,$B$14,1)) + $B$18/($B$19*$B$19*($DN307&lt;&gt;$DO307) + $B$19*($DN307=$DO307))</f>
        <v>3.7037037037037035E-4</v>
      </c>
      <c r="ET307" s="10" cm="1">
        <f t="array" aca="1" ref="ET307" ca="1">(1-$B$18)*SUMPRODUCT(OFFSET($BO$15,0,0,$B$14,1), 1*(_xlfn._xlws.FILTER(OFFSET($O$15,0,$DN307,$B$8,1),OFFSET($M$15,0,0,$B$8,1))=ET$13), 1*(_xlfn._xlws.FILTER(OFFSET($O$15,0,$DO307,$B$8,1),OFFSET($M$15,0,0,$B$8,1))=ET$14))   /   SUM(OFFSET($BO$15,0,0,$B$14,1)) + $B$18/($B$19*$B$19*($DN307&lt;&gt;$DO307) + $B$19*($DN307=$DO307))</f>
        <v>0.97037037037037033</v>
      </c>
      <c r="EU307" s="10" cm="1">
        <f t="array" aca="1" ref="EU307" ca="1">(1-$B$18)*SUMPRODUCT(OFFSET($BO$15,0,0,$B$14,1), 1*(_xlfn._xlws.FILTER(OFFSET($O$15,0,$DN307,$B$8,1),OFFSET($M$15,0,0,$B$8,1))=EU$13), 1*(_xlfn._xlws.FILTER(OFFSET($O$15,0,$DO307,$B$8,1),OFFSET($M$15,0,0,$B$8,1))=EU$14))   /   SUM(OFFSET($BO$15,0,0,$B$14,1)) + $B$18/($B$19*$B$19*($DN307&lt;&gt;$DO307) + $B$19*($DN307=$DO307))</f>
        <v>3.7037037037037035E-4</v>
      </c>
      <c r="EV307" s="10" cm="1">
        <f t="array" aca="1" ref="EV307" ca="1">(1-$B$18)*SUMPRODUCT(OFFSET($BO$15,0,0,$B$14,1), 1*(_xlfn._xlws.FILTER(OFFSET($O$15,0,$DN307,$B$8,1),OFFSET($M$15,0,0,$B$8,1))=EV$13), 1*(_xlfn._xlws.FILTER(OFFSET($O$15,0,$DO307,$B$8,1),OFFSET($M$15,0,0,$B$8,1))=EV$14))   /   SUM(OFFSET($BO$15,0,0,$B$14,1)) + $B$18/($B$19*$B$19*($DN307&lt;&gt;$DO307) + $B$19*($DN307=$DO307))</f>
        <v>3.7037037037037035E-4</v>
      </c>
      <c r="EW307" s="10" cm="1">
        <f t="array" aca="1" ref="EW307" ca="1">(1-$B$18)*SUMPRODUCT(OFFSET($BO$15,0,0,$B$14,1), 1*(_xlfn._xlws.FILTER(OFFSET($O$15,0,$DN307,$B$8,1),OFFSET($M$15,0,0,$B$8,1))=EW$13), 1*(_xlfn._xlws.FILTER(OFFSET($O$15,0,$DO307,$B$8,1),OFFSET($M$15,0,0,$B$8,1))=EW$14))   /   SUM(OFFSET($BO$15,0,0,$B$14,1)) + $B$18/($B$19*$B$19*($DN307&lt;&gt;$DO307) + $B$19*($DN307=$DO307))</f>
        <v>3.7037037037037035E-4</v>
      </c>
      <c r="EX307" s="10" cm="1">
        <f t="array" aca="1" ref="EX307" ca="1">(1-$B$18)*SUMPRODUCT(OFFSET($BO$15,0,0,$B$14,1), 1*(_xlfn._xlws.FILTER(OFFSET($O$15,0,$DN307,$B$8,1),OFFSET($M$15,0,0,$B$8,1))=EX$13), 1*(_xlfn._xlws.FILTER(OFFSET($O$15,0,$DO307,$B$8,1),OFFSET($M$15,0,0,$B$8,1))=EX$14))   /   SUM(OFFSET($BO$15,0,0,$B$14,1)) + $B$18/($B$19*$B$19*($DN307&lt;&gt;$DO307) + $B$19*($DN307=$DO307))</f>
        <v>3.7037037037037035E-4</v>
      </c>
      <c r="EY307" s="10" cm="1">
        <f t="array" aca="1" ref="EY307" ca="1">(1-$B$18)*SUMPRODUCT(OFFSET($BO$15,0,0,$B$14,1), 1*(_xlfn._xlws.FILTER(OFFSET($O$15,0,$DN307,$B$8,1),OFFSET($M$15,0,0,$B$8,1))=EY$13), 1*(_xlfn._xlws.FILTER(OFFSET($O$15,0,$DO307,$B$8,1),OFFSET($M$15,0,0,$B$8,1))=EY$14))   /   SUM(OFFSET($BO$15,0,0,$B$14,1)) + $B$18/($B$19*$B$19*($DN307&lt;&gt;$DO307) + $B$19*($DN307=$DO307))</f>
        <v>3.7037037037037035E-4</v>
      </c>
      <c r="EZ307" s="10" cm="1">
        <f t="array" aca="1" ref="EZ307" ca="1">(1-$B$18)*SUMPRODUCT(OFFSET($BO$15,0,0,$B$14,1), 1*(_xlfn._xlws.FILTER(OFFSET($O$15,0,$DN307,$B$8,1),OFFSET($M$15,0,0,$B$8,1))=EZ$13), 1*(_xlfn._xlws.FILTER(OFFSET($O$15,0,$DO307,$B$8,1),OFFSET($M$15,0,0,$B$8,1))=EZ$14))   /   SUM(OFFSET($BO$15,0,0,$B$14,1)) + $B$18/($B$19*$B$19*($DN307&lt;&gt;$DO307) + $B$19*($DN307=$DO307))</f>
        <v>3.7037037037037035E-4</v>
      </c>
      <c r="FA307" s="10" cm="1">
        <f t="array" aca="1" ref="FA307" ca="1">(1-$B$18)*SUMPRODUCT(OFFSET($BO$15,0,0,$B$14,1), 1*(_xlfn._xlws.FILTER(OFFSET($O$15,0,$DN307,$B$8,1),OFFSET($M$15,0,0,$B$8,1))=FA$13), 1*(_xlfn._xlws.FILTER(OFFSET($O$15,0,$DO307,$B$8,1),OFFSET($M$15,0,0,$B$8,1))=FA$14))   /   SUM(OFFSET($BO$15,0,0,$B$14,1)) + $B$18/($B$19*$B$19*($DN307&lt;&gt;$DO307) + $B$19*($DN307=$DO307))</f>
        <v>3.7037037037037035E-4</v>
      </c>
      <c r="FB307" s="10" cm="1">
        <f t="array" aca="1" ref="FB307" ca="1">(1-$B$18)*SUMPRODUCT(OFFSET($BO$15,0,0,$B$14,1), 1*(_xlfn._xlws.FILTER(OFFSET($O$15,0,$DN307,$B$8,1),OFFSET($M$15,0,0,$B$8,1))=FB$13), 1*(_xlfn._xlws.FILTER(OFFSET($O$15,0,$DO307,$B$8,1),OFFSET($M$15,0,0,$B$8,1))=FB$14))   /   SUM(OFFSET($BO$15,0,0,$B$14,1)) + $B$18/($B$19*$B$19*($DN307&lt;&gt;$DO307) + $B$19*($DN307=$DO307))</f>
        <v>3.7037037037037035E-4</v>
      </c>
      <c r="FC307" s="10" cm="1">
        <f t="array" aca="1" ref="FC307" ca="1">(1-$B$18)*SUMPRODUCT(OFFSET($BO$15,0,0,$B$14,1), 1*(_xlfn._xlws.FILTER(OFFSET($O$15,0,$DN307,$B$8,1),OFFSET($M$15,0,0,$B$8,1))=FC$13), 1*(_xlfn._xlws.FILTER(OFFSET($O$15,0,$DO307,$B$8,1),OFFSET($M$15,0,0,$B$8,1))=FC$14))   /   SUM(OFFSET($BO$15,0,0,$B$14,1)) + $B$18/($B$19*$B$19*($DN307&lt;&gt;$DO307) + $B$19*($DN307=$DO307))</f>
        <v>3.7037037037037035E-4</v>
      </c>
      <c r="FD307" s="10" cm="1">
        <f t="array" aca="1" ref="FD307" ca="1">(1-$B$18)*SUMPRODUCT(OFFSET($BO$15,0,0,$B$14,1), 1*(_xlfn._xlws.FILTER(OFFSET($O$15,0,$DN307,$B$8,1),OFFSET($M$15,0,0,$B$8,1))=FD$13), 1*(_xlfn._xlws.FILTER(OFFSET($O$15,0,$DO307,$B$8,1),OFFSET($M$15,0,0,$B$8,1))=FD$14))   /   SUM(OFFSET($BO$15,0,0,$B$14,1)) + $B$18/($B$19*$B$19*($DN307&lt;&gt;$DO307) + $B$19*($DN307=$DO307))</f>
        <v>3.7037037037037035E-4</v>
      </c>
      <c r="FE307" s="10" cm="1">
        <f t="array" aca="1" ref="FE307" ca="1">(1-$B$18)*SUMPRODUCT(OFFSET($BO$15,0,0,$B$14,1), 1*(_xlfn._xlws.FILTER(OFFSET($O$15,0,$DN307,$B$8,1),OFFSET($M$15,0,0,$B$8,1))=FE$13), 1*(_xlfn._xlws.FILTER(OFFSET($O$15,0,$DO307,$B$8,1),OFFSET($M$15,0,0,$B$8,1))=FE$14))   /   SUM(OFFSET($BO$15,0,0,$B$14,1)) + $B$18/($B$19*$B$19*($DN307&lt;&gt;$DO307) + $B$19*($DN307=$DO307))</f>
        <v>3.7037037037037035E-4</v>
      </c>
      <c r="FF307" s="10" cm="1">
        <f t="array" aca="1" ref="FF307" ca="1">(1-$B$18)*SUMPRODUCT(OFFSET($BO$15,0,0,$B$14,1), 1*(_xlfn._xlws.FILTER(OFFSET($O$15,0,$DN307,$B$8,1),OFFSET($M$15,0,0,$B$8,1))=FF$13), 1*(_xlfn._xlws.FILTER(OFFSET($O$15,0,$DO307,$B$8,1),OFFSET($M$15,0,0,$B$8,1))=FF$14))   /   SUM(OFFSET($BO$15,0,0,$B$14,1)) + $B$18/($B$19*$B$19*($DN307&lt;&gt;$DO307) + $B$19*($DN307=$DO307))</f>
        <v>3.7037037037037035E-4</v>
      </c>
      <c r="FG307" s="10" cm="1">
        <f t="array" aca="1" ref="FG307" ca="1">(1-$B$18)*SUMPRODUCT(OFFSET($BO$15,0,0,$B$14,1), 1*(_xlfn._xlws.FILTER(OFFSET($O$15,0,$DN307,$B$8,1),OFFSET($M$15,0,0,$B$8,1))=FG$13), 1*(_xlfn._xlws.FILTER(OFFSET($O$15,0,$DO307,$B$8,1),OFFSET($M$15,0,0,$B$8,1))=FG$14))   /   SUM(OFFSET($BO$15,0,0,$B$14,1)) + $B$18/($B$19*$B$19*($DN307&lt;&gt;$DO307) + $B$19*($DN307=$DO307))</f>
        <v>3.7037037037037035E-4</v>
      </c>
      <c r="FH307" s="10" cm="1">
        <f t="array" aca="1" ref="FH307" ca="1">(1-$B$18)*SUMPRODUCT(OFFSET($BO$15,0,0,$B$14,1), 1*(_xlfn._xlws.FILTER(OFFSET($O$15,0,$DN307,$B$8,1),OFFSET($M$15,0,0,$B$8,1))=FH$13), 1*(_xlfn._xlws.FILTER(OFFSET($O$15,0,$DO307,$B$8,1),OFFSET($M$15,0,0,$B$8,1))=FH$14))   /   SUM(OFFSET($BO$15,0,0,$B$14,1)) + $B$18/($B$19*$B$19*($DN307&lt;&gt;$DO307) + $B$19*($DN307=$DO307))</f>
        <v>3.7037037037037035E-4</v>
      </c>
      <c r="FI307" s="10" cm="1">
        <f t="array" aca="1" ref="FI307" ca="1">(1-$B$18)*SUMPRODUCT(OFFSET($BO$15,0,0,$B$14,1), 1*(_xlfn._xlws.FILTER(OFFSET($O$15,0,$DN307,$B$8,1),OFFSET($M$15,0,0,$B$8,1))=FI$13), 1*(_xlfn._xlws.FILTER(OFFSET($O$15,0,$DO307,$B$8,1),OFFSET($M$15,0,0,$B$8,1))=FI$14))   /   SUM(OFFSET($BO$15,0,0,$B$14,1)) + $B$18/($B$19*$B$19*($DN307&lt;&gt;$DO307) + $B$19*($DN307=$DO307))</f>
        <v>3.7037037037037035E-4</v>
      </c>
      <c r="FJ307" s="10" cm="1">
        <f t="array" aca="1" ref="FJ307" ca="1">(1-$B$18)*SUMPRODUCT(OFFSET($BO$15,0,0,$B$14,1), 1*(_xlfn._xlws.FILTER(OFFSET($O$15,0,$DN307,$B$8,1),OFFSET($M$15,0,0,$B$8,1))=FJ$13), 1*(_xlfn._xlws.FILTER(OFFSET($O$15,0,$DO307,$B$8,1),OFFSET($M$15,0,0,$B$8,1))=FJ$14))   /   SUM(OFFSET($BO$15,0,0,$B$14,1)) + $B$18/($B$19*$B$19*($DN307&lt;&gt;$DO307) + $B$19*($DN307=$DO307))</f>
        <v>3.7037037037037035E-4</v>
      </c>
      <c r="FK307" s="10" cm="1">
        <f t="array" aca="1" ref="FK307" ca="1">(1-$B$18)*SUMPRODUCT(OFFSET($BO$15,0,0,$B$14,1), 1*(_xlfn._xlws.FILTER(OFFSET($O$15,0,$DN307,$B$8,1),OFFSET($M$15,0,0,$B$8,1))=FK$13), 1*(_xlfn._xlws.FILTER(OFFSET($O$15,0,$DO307,$B$8,1),OFFSET($M$15,0,0,$B$8,1))=FK$14))   /   SUM(OFFSET($BO$15,0,0,$B$14,1)) + $B$18/($B$19*$B$19*($DN307&lt;&gt;$DO307) + $B$19*($DN307=$DO307))</f>
        <v>3.7037037037037035E-4</v>
      </c>
      <c r="FL307" s="10" cm="1">
        <f t="array" aca="1" ref="FL307" ca="1">(1-$B$18)*SUMPRODUCT(OFFSET($BO$15,0,0,$B$14,1), 1*(_xlfn._xlws.FILTER(OFFSET($O$15,0,$DN307,$B$8,1),OFFSET($M$15,0,0,$B$8,1))=FL$13), 1*(_xlfn._xlws.FILTER(OFFSET($O$15,0,$DO307,$B$8,1),OFFSET($M$15,0,0,$B$8,1))=FL$14))   /   SUM(OFFSET($BO$15,0,0,$B$14,1)) + $B$18/($B$19*$B$19*($DN307&lt;&gt;$DO307) + $B$19*($DN307=$DO307))</f>
        <v>3.7037037037037035E-4</v>
      </c>
      <c r="FM307" s="10" cm="1">
        <f t="array" aca="1" ref="FM307" ca="1">(1-$B$18)*SUMPRODUCT(OFFSET($BO$15,0,0,$B$14,1), 1*(_xlfn._xlws.FILTER(OFFSET($O$15,0,$DN307,$B$8,1),OFFSET($M$15,0,0,$B$8,1))=FM$13), 1*(_xlfn._xlws.FILTER(OFFSET($O$15,0,$DO307,$B$8,1),OFFSET($M$15,0,0,$B$8,1))=FM$14))   /   SUM(OFFSET($BO$15,0,0,$B$14,1)) + $B$18/($B$19*$B$19*($DN307&lt;&gt;$DO307) + $B$19*($DN307=$DO307))</f>
        <v>3.7037037037037035E-4</v>
      </c>
      <c r="FN307" s="10" cm="1">
        <f t="array" aca="1" ref="FN307" ca="1">(1-$B$18)*SUMPRODUCT(OFFSET($BO$15,0,0,$B$14,1), 1*(_xlfn._xlws.FILTER(OFFSET($O$15,0,$DN307,$B$8,1),OFFSET($M$15,0,0,$B$8,1))=FN$13), 1*(_xlfn._xlws.FILTER(OFFSET($O$15,0,$DO307,$B$8,1),OFFSET($M$15,0,0,$B$8,1))=FN$14))   /   SUM(OFFSET($BO$15,0,0,$B$14,1)) + $B$18/($B$19*$B$19*($DN307&lt;&gt;$DO307) + $B$19*($DN307=$DO307))</f>
        <v>3.7037037037037035E-4</v>
      </c>
      <c r="FO307" s="10" cm="1">
        <f t="array" aca="1" ref="FO307" ca="1">(1-$B$18)*SUMPRODUCT(OFFSET($BO$15,0,0,$B$14,1), 1*(_xlfn._xlws.FILTER(OFFSET($O$15,0,$DN307,$B$8,1),OFFSET($M$15,0,0,$B$8,1))=FO$13), 1*(_xlfn._xlws.FILTER(OFFSET($O$15,0,$DO307,$B$8,1),OFFSET($M$15,0,0,$B$8,1))=FO$14))   /   SUM(OFFSET($BO$15,0,0,$B$14,1)) + $B$18/($B$19*$B$19*($DN307&lt;&gt;$DO307) + $B$19*($DN307=$DO307))</f>
        <v>3.7037037037037035E-4</v>
      </c>
      <c r="FP307" s="10" cm="1">
        <f t="array" aca="1" ref="FP307" ca="1">(1-$B$18)*SUMPRODUCT(OFFSET($BO$15,0,0,$B$14,1), 1*(_xlfn._xlws.FILTER(OFFSET($O$15,0,$DN307,$B$8,1),OFFSET($M$15,0,0,$B$8,1))=FP$13), 1*(_xlfn._xlws.FILTER(OFFSET($O$15,0,$DO307,$B$8,1),OFFSET($M$15,0,0,$B$8,1))=FP$14))   /   SUM(OFFSET($BO$15,0,0,$B$14,1)) + $B$18/($B$19*$B$19*($DN307&lt;&gt;$DO307) + $B$19*($DN307=$DO307))</f>
        <v>3.7037037037037035E-4</v>
      </c>
      <c r="FQ307" s="10" cm="1">
        <f t="array" aca="1" ref="FQ307" ca="1">(1-$B$18)*SUMPRODUCT(OFFSET($BO$15,0,0,$B$14,1), 1*(_xlfn._xlws.FILTER(OFFSET($O$15,0,$DN307,$B$8,1),OFFSET($M$15,0,0,$B$8,1))=FQ$13), 1*(_xlfn._xlws.FILTER(OFFSET($O$15,0,$DO307,$B$8,1),OFFSET($M$15,0,0,$B$8,1))=FQ$14))   /   SUM(OFFSET($BO$15,0,0,$B$14,1)) + $B$18/($B$19*$B$19*($DN307&lt;&gt;$DO307) + $B$19*($DN307=$DO307))</f>
        <v>3.7037037037037035E-4</v>
      </c>
      <c r="FR307" s="10" cm="1">
        <f t="array" aca="1" ref="FR307" ca="1">(1-$B$18)*SUMPRODUCT(OFFSET($BO$15,0,0,$B$14,1), 1*(_xlfn._xlws.FILTER(OFFSET($O$15,0,$DN307,$B$8,1),OFFSET($M$15,0,0,$B$8,1))=FR$13), 1*(_xlfn._xlws.FILTER(OFFSET($O$15,0,$DO307,$B$8,1),OFFSET($M$15,0,0,$B$8,1))=FR$14))   /   SUM(OFFSET($BO$15,0,0,$B$14,1)) + $B$18/($B$19*$B$19*($DN307&lt;&gt;$DO307) + $B$19*($DN307=$DO307))</f>
        <v>3.7037037037037035E-4</v>
      </c>
      <c r="FS307" s="10" cm="1">
        <f t="array" aca="1" ref="FS307" ca="1">(1-$B$18)*SUMPRODUCT(OFFSET($BO$15,0,0,$B$14,1), 1*(_xlfn._xlws.FILTER(OFFSET($O$15,0,$DN307,$B$8,1),OFFSET($M$15,0,0,$B$8,1))=FS$13), 1*(_xlfn._xlws.FILTER(OFFSET($O$15,0,$DO307,$B$8,1),OFFSET($M$15,0,0,$B$8,1))=FS$14))   /   SUM(OFFSET($BO$15,0,0,$B$14,1)) + $B$18/($B$19*$B$19*($DN307&lt;&gt;$DO307) + $B$19*($DN307=$DO307))</f>
        <v>3.7037037037037035E-4</v>
      </c>
      <c r="FT307" s="10" cm="1">
        <f t="array" aca="1" ref="FT307" ca="1">(1-$B$18)*SUMPRODUCT(OFFSET($BO$15,0,0,$B$14,1), 1*(_xlfn._xlws.FILTER(OFFSET($O$15,0,$DN307,$B$8,1),OFFSET($M$15,0,0,$B$8,1))=FT$13), 1*(_xlfn._xlws.FILTER(OFFSET($O$15,0,$DO307,$B$8,1),OFFSET($M$15,0,0,$B$8,1))=FT$14))   /   SUM(OFFSET($BO$15,0,0,$B$14,1)) + $B$18/($B$19*$B$19*($DN307&lt;&gt;$DO307) + $B$19*($DN307=$DO307))</f>
        <v>3.7037037037037035E-4</v>
      </c>
      <c r="FU307" s="10" cm="1">
        <f t="array" aca="1" ref="FU307" ca="1">(1-$B$18)*SUMPRODUCT(OFFSET($BO$15,0,0,$B$14,1), 1*(_xlfn._xlws.FILTER(OFFSET($O$15,0,$DN307,$B$8,1),OFFSET($M$15,0,0,$B$8,1))=FU$13), 1*(_xlfn._xlws.FILTER(OFFSET($O$15,0,$DO307,$B$8,1),OFFSET($M$15,0,0,$B$8,1))=FU$14))   /   SUM(OFFSET($BO$15,0,0,$B$14,1)) + $B$18/($B$19*$B$19*($DN307&lt;&gt;$DO307) + $B$19*($DN307=$DO307))</f>
        <v>3.7037037037037035E-4</v>
      </c>
      <c r="FV307" s="10" cm="1">
        <f t="array" aca="1" ref="FV307" ca="1">(1-$B$18)*SUMPRODUCT(OFFSET($BO$15,0,0,$B$14,1), 1*(_xlfn._xlws.FILTER(OFFSET($O$15,0,$DN307,$B$8,1),OFFSET($M$15,0,0,$B$8,1))=FV$13), 1*(_xlfn._xlws.FILTER(OFFSET($O$15,0,$DO307,$B$8,1),OFFSET($M$15,0,0,$B$8,1))=FV$14))   /   SUM(OFFSET($BO$15,0,0,$B$14,1)) + $B$18/($B$19*$B$19*($DN307&lt;&gt;$DO307) + $B$19*($DN307=$DO307))</f>
        <v>3.7037037037037035E-4</v>
      </c>
      <c r="FW307" s="10" cm="1">
        <f t="array" aca="1" ref="FW307" ca="1">(1-$B$18)*SUMPRODUCT(OFFSET($BO$15,0,0,$B$14,1), 1*(_xlfn._xlws.FILTER(OFFSET($O$15,0,$DN307,$B$8,1),OFFSET($M$15,0,0,$B$8,1))=FW$13), 1*(_xlfn._xlws.FILTER(OFFSET($O$15,0,$DO307,$B$8,1),OFFSET($M$15,0,0,$B$8,1))=FW$14))   /   SUM(OFFSET($BO$15,0,0,$B$14,1)) + $B$18/($B$19*$B$19*($DN307&lt;&gt;$DO307) + $B$19*($DN307=$DO307))</f>
        <v>3.7037037037037035E-4</v>
      </c>
      <c r="FX307" s="10" cm="1">
        <f t="array" aca="1" ref="FX307" ca="1">(1-$B$18)*SUMPRODUCT(OFFSET($BO$15,0,0,$B$14,1), 1*(_xlfn._xlws.FILTER(OFFSET($O$15,0,$DN307,$B$8,1),OFFSET($M$15,0,0,$B$8,1))=FX$13), 1*(_xlfn._xlws.FILTER(OFFSET($O$15,0,$DO307,$B$8,1),OFFSET($M$15,0,0,$B$8,1))=FX$14))   /   SUM(OFFSET($BO$15,0,0,$B$14,1)) + $B$18/($B$19*$B$19*($DN307&lt;&gt;$DO307) + $B$19*($DN307=$DO307))</f>
        <v>3.7037037037037035E-4</v>
      </c>
      <c r="FY307" s="10" cm="1">
        <f t="array" aca="1" ref="FY307" ca="1">(1-$B$18)*SUMPRODUCT(OFFSET($BO$15,0,0,$B$14,1), 1*(_xlfn._xlws.FILTER(OFFSET($O$15,0,$DN307,$B$8,1),OFFSET($M$15,0,0,$B$8,1))=FY$13), 1*(_xlfn._xlws.FILTER(OFFSET($O$15,0,$DO307,$B$8,1),OFFSET($M$15,0,0,$B$8,1))=FY$14))   /   SUM(OFFSET($BO$15,0,0,$B$14,1)) + $B$18/($B$19*$B$19*($DN307&lt;&gt;$DO307) + $B$19*($DN307=$DO307))</f>
        <v>3.7037037037037035E-4</v>
      </c>
      <c r="FZ307" s="10" cm="1">
        <f t="array" aca="1" ref="FZ307" ca="1">(1-$B$18)*SUMPRODUCT(OFFSET($BO$15,0,0,$B$14,1), 1*(_xlfn._xlws.FILTER(OFFSET($O$15,0,$DN307,$B$8,1),OFFSET($M$15,0,0,$B$8,1))=FZ$13), 1*(_xlfn._xlws.FILTER(OFFSET($O$15,0,$DO307,$B$8,1),OFFSET($M$15,0,0,$B$8,1))=FZ$14))   /   SUM(OFFSET($BO$15,0,0,$B$14,1)) + $B$18/($B$19*$B$19*($DN307&lt;&gt;$DO307) + $B$19*($DN307=$DO307))</f>
        <v>3.7037037037037035E-4</v>
      </c>
      <c r="GA307" s="10" cm="1">
        <f t="array" aca="1" ref="GA307" ca="1">(1-$B$18)*SUMPRODUCT(OFFSET($BO$15,0,0,$B$14,1), 1*(_xlfn._xlws.FILTER(OFFSET($O$15,0,$DN307,$B$8,1),OFFSET($M$15,0,0,$B$8,1))=GA$13), 1*(_xlfn._xlws.FILTER(OFFSET($O$15,0,$DO307,$B$8,1),OFFSET($M$15,0,0,$B$8,1))=GA$14))   /   SUM(OFFSET($BO$15,0,0,$B$14,1)) + $B$18/($B$19*$B$19*($DN307&lt;&gt;$DO307) + $B$19*($DN307=$DO307))</f>
        <v>3.7037037037037035E-4</v>
      </c>
    </row>
    <row r="308" spans="118:183" x14ac:dyDescent="0.2">
      <c r="DN308" cm="1">
        <f t="array" aca="1" ref="DN308" ca="1">INDEX(_xlfn.ANCHORARRAY($CP$15), 1 + INT((ROWS($DO$15:$DO308) - 1) / ROWS(_xlfn.ANCHORARRAY($CP$15))))</f>
        <v>18</v>
      </c>
      <c r="DO308" cm="1">
        <f t="array" aca="1" ref="DO308" ca="1">INDEX(_xlfn.ANCHORARRAY($CP$15),1+MOD(ROWS($DO$15:$DO308)-1,ROWS(_xlfn.ANCHORARRAY($CP$15))))</f>
        <v>8</v>
      </c>
      <c r="DP308" s="10" cm="1">
        <f t="array" aca="1" ref="DP308" ca="1">(1-$B$18)*SUMPRODUCT(OFFSET($BO$15,0,0,$B$14,1), 1*(_xlfn._xlws.FILTER(OFFSET($O$15,0,$DN308,$B$8,1),OFFSET($M$15,0,0,$B$8,1))=DP$13), 1*(_xlfn._xlws.FILTER(OFFSET($O$15,0,$DO308,$B$8,1),OFFSET($M$15,0,0,$B$8,1))=DP$14))   /   SUM(OFFSET($BO$15,0,0,$B$14,1)) + $B$18/($B$19*$B$19*($DN308&lt;&gt;$DO308) + $B$19*($DN308=$DO308))</f>
        <v>3.7037037037037035E-4</v>
      </c>
      <c r="DQ308" s="10" cm="1">
        <f t="array" aca="1" ref="DQ308" ca="1">(1-$B$18)*SUMPRODUCT(OFFSET($BO$15,0,0,$B$14,1), 1*(_xlfn._xlws.FILTER(OFFSET($O$15,0,$DN308,$B$8,1),OFFSET($M$15,0,0,$B$8,1))=DQ$13), 1*(_xlfn._xlws.FILTER(OFFSET($O$15,0,$DO308,$B$8,1),OFFSET($M$15,0,0,$B$8,1))=DQ$14))   /   SUM(OFFSET($BO$15,0,0,$B$14,1)) + $B$18/($B$19*$B$19*($DN308&lt;&gt;$DO308) + $B$19*($DN308=$DO308))</f>
        <v>3.7037037037037035E-4</v>
      </c>
      <c r="DR308" s="10" cm="1">
        <f t="array" aca="1" ref="DR308" ca="1">(1-$B$18)*SUMPRODUCT(OFFSET($BO$15,0,0,$B$14,1), 1*(_xlfn._xlws.FILTER(OFFSET($O$15,0,$DN308,$B$8,1),OFFSET($M$15,0,0,$B$8,1))=DR$13), 1*(_xlfn._xlws.FILTER(OFFSET($O$15,0,$DO308,$B$8,1),OFFSET($M$15,0,0,$B$8,1))=DR$14))   /   SUM(OFFSET($BO$15,0,0,$B$14,1)) + $B$18/($B$19*$B$19*($DN308&lt;&gt;$DO308) + $B$19*($DN308=$DO308))</f>
        <v>3.7037037037037035E-4</v>
      </c>
      <c r="DS308" s="10" cm="1">
        <f t="array" aca="1" ref="DS308" ca="1">(1-$B$18)*SUMPRODUCT(OFFSET($BO$15,0,0,$B$14,1), 1*(_xlfn._xlws.FILTER(OFFSET($O$15,0,$DN308,$B$8,1),OFFSET($M$15,0,0,$B$8,1))=DS$13), 1*(_xlfn._xlws.FILTER(OFFSET($O$15,0,$DO308,$B$8,1),OFFSET($M$15,0,0,$B$8,1))=DS$14))   /   SUM(OFFSET($BO$15,0,0,$B$14,1)) + $B$18/($B$19*$B$19*($DN308&lt;&gt;$DO308) + $B$19*($DN308=$DO308))</f>
        <v>3.7037037037037035E-4</v>
      </c>
      <c r="DT308" s="10" cm="1">
        <f t="array" aca="1" ref="DT308" ca="1">(1-$B$18)*SUMPRODUCT(OFFSET($BO$15,0,0,$B$14,1), 1*(_xlfn._xlws.FILTER(OFFSET($O$15,0,$DN308,$B$8,1),OFFSET($M$15,0,0,$B$8,1))=DT$13), 1*(_xlfn._xlws.FILTER(OFFSET($O$15,0,$DO308,$B$8,1),OFFSET($M$15,0,0,$B$8,1))=DT$14))   /   SUM(OFFSET($BO$15,0,0,$B$14,1)) + $B$18/($B$19*$B$19*($DN308&lt;&gt;$DO308) + $B$19*($DN308=$DO308))</f>
        <v>3.7037037037037035E-4</v>
      </c>
      <c r="DU308" s="10" cm="1">
        <f t="array" aca="1" ref="DU308" ca="1">(1-$B$18)*SUMPRODUCT(OFFSET($BO$15,0,0,$B$14,1), 1*(_xlfn._xlws.FILTER(OFFSET($O$15,0,$DN308,$B$8,1),OFFSET($M$15,0,0,$B$8,1))=DU$13), 1*(_xlfn._xlws.FILTER(OFFSET($O$15,0,$DO308,$B$8,1),OFFSET($M$15,0,0,$B$8,1))=DU$14))   /   SUM(OFFSET($BO$15,0,0,$B$14,1)) + $B$18/($B$19*$B$19*($DN308&lt;&gt;$DO308) + $B$19*($DN308=$DO308))</f>
        <v>3.7037037037037035E-4</v>
      </c>
      <c r="DV308" s="10" cm="1">
        <f t="array" aca="1" ref="DV308" ca="1">(1-$B$18)*SUMPRODUCT(OFFSET($BO$15,0,0,$B$14,1), 1*(_xlfn._xlws.FILTER(OFFSET($O$15,0,$DN308,$B$8,1),OFFSET($M$15,0,0,$B$8,1))=DV$13), 1*(_xlfn._xlws.FILTER(OFFSET($O$15,0,$DO308,$B$8,1),OFFSET($M$15,0,0,$B$8,1))=DV$14))   /   SUM(OFFSET($BO$15,0,0,$B$14,1)) + $B$18/($B$19*$B$19*($DN308&lt;&gt;$DO308) + $B$19*($DN308=$DO308))</f>
        <v>3.7037037037037035E-4</v>
      </c>
      <c r="DW308" s="10" cm="1">
        <f t="array" aca="1" ref="DW308" ca="1">(1-$B$18)*SUMPRODUCT(OFFSET($BO$15,0,0,$B$14,1), 1*(_xlfn._xlws.FILTER(OFFSET($O$15,0,$DN308,$B$8,1),OFFSET($M$15,0,0,$B$8,1))=DW$13), 1*(_xlfn._xlws.FILTER(OFFSET($O$15,0,$DO308,$B$8,1),OFFSET($M$15,0,0,$B$8,1))=DW$14))   /   SUM(OFFSET($BO$15,0,0,$B$14,1)) + $B$18/($B$19*$B$19*($DN308&lt;&gt;$DO308) + $B$19*($DN308=$DO308))</f>
        <v>3.7037037037037035E-4</v>
      </c>
      <c r="DX308" s="10" cm="1">
        <f t="array" aca="1" ref="DX308" ca="1">(1-$B$18)*SUMPRODUCT(OFFSET($BO$15,0,0,$B$14,1), 1*(_xlfn._xlws.FILTER(OFFSET($O$15,0,$DN308,$B$8,1),OFFSET($M$15,0,0,$B$8,1))=DX$13), 1*(_xlfn._xlws.FILTER(OFFSET($O$15,0,$DO308,$B$8,1),OFFSET($M$15,0,0,$B$8,1))=DX$14))   /   SUM(OFFSET($BO$15,0,0,$B$14,1)) + $B$18/($B$19*$B$19*($DN308&lt;&gt;$DO308) + $B$19*($DN308=$DO308))</f>
        <v>3.7037037037037035E-4</v>
      </c>
      <c r="DY308" s="10" cm="1">
        <f t="array" aca="1" ref="DY308" ca="1">(1-$B$18)*SUMPRODUCT(OFFSET($BO$15,0,0,$B$14,1), 1*(_xlfn._xlws.FILTER(OFFSET($O$15,0,$DN308,$B$8,1),OFFSET($M$15,0,0,$B$8,1))=DY$13), 1*(_xlfn._xlws.FILTER(OFFSET($O$15,0,$DO308,$B$8,1),OFFSET($M$15,0,0,$B$8,1))=DY$14))   /   SUM(OFFSET($BO$15,0,0,$B$14,1)) + $B$18/($B$19*$B$19*($DN308&lt;&gt;$DO308) + $B$19*($DN308=$DO308))</f>
        <v>3.7037037037037035E-4</v>
      </c>
      <c r="DZ308" s="10" cm="1">
        <f t="array" aca="1" ref="DZ308" ca="1">(1-$B$18)*SUMPRODUCT(OFFSET($BO$15,0,0,$B$14,1), 1*(_xlfn._xlws.FILTER(OFFSET($O$15,0,$DN308,$B$8,1),OFFSET($M$15,0,0,$B$8,1))=DZ$13), 1*(_xlfn._xlws.FILTER(OFFSET($O$15,0,$DO308,$B$8,1),OFFSET($M$15,0,0,$B$8,1))=DZ$14))   /   SUM(OFFSET($BO$15,0,0,$B$14,1)) + $B$18/($B$19*$B$19*($DN308&lt;&gt;$DO308) + $B$19*($DN308=$DO308))</f>
        <v>3.7037037037037035E-4</v>
      </c>
      <c r="EA308" s="10" cm="1">
        <f t="array" aca="1" ref="EA308" ca="1">(1-$B$18)*SUMPRODUCT(OFFSET($BO$15,0,0,$B$14,1), 1*(_xlfn._xlws.FILTER(OFFSET($O$15,0,$DN308,$B$8,1),OFFSET($M$15,0,0,$B$8,1))=EA$13), 1*(_xlfn._xlws.FILTER(OFFSET($O$15,0,$DO308,$B$8,1),OFFSET($M$15,0,0,$B$8,1))=EA$14))   /   SUM(OFFSET($BO$15,0,0,$B$14,1)) + $B$18/($B$19*$B$19*($DN308&lt;&gt;$DO308) + $B$19*($DN308=$DO308))</f>
        <v>3.7037037037037035E-4</v>
      </c>
      <c r="EB308" s="10" cm="1">
        <f t="array" aca="1" ref="EB308" ca="1">(1-$B$18)*SUMPRODUCT(OFFSET($BO$15,0,0,$B$14,1), 1*(_xlfn._xlws.FILTER(OFFSET($O$15,0,$DN308,$B$8,1),OFFSET($M$15,0,0,$B$8,1))=EB$13), 1*(_xlfn._xlws.FILTER(OFFSET($O$15,0,$DO308,$B$8,1),OFFSET($M$15,0,0,$B$8,1))=EB$14))   /   SUM(OFFSET($BO$15,0,0,$B$14,1)) + $B$18/($B$19*$B$19*($DN308&lt;&gt;$DO308) + $B$19*($DN308=$DO308))</f>
        <v>3.7037037037037035E-4</v>
      </c>
      <c r="EC308" s="10" cm="1">
        <f t="array" aca="1" ref="EC308" ca="1">(1-$B$18)*SUMPRODUCT(OFFSET($BO$15,0,0,$B$14,1), 1*(_xlfn._xlws.FILTER(OFFSET($O$15,0,$DN308,$B$8,1),OFFSET($M$15,0,0,$B$8,1))=EC$13), 1*(_xlfn._xlws.FILTER(OFFSET($O$15,0,$DO308,$B$8,1),OFFSET($M$15,0,0,$B$8,1))=EC$14))   /   SUM(OFFSET($BO$15,0,0,$B$14,1)) + $B$18/($B$19*$B$19*($DN308&lt;&gt;$DO308) + $B$19*($DN308=$DO308))</f>
        <v>3.7037037037037035E-4</v>
      </c>
      <c r="ED308" s="10" cm="1">
        <f t="array" aca="1" ref="ED308" ca="1">(1-$B$18)*SUMPRODUCT(OFFSET($BO$15,0,0,$B$14,1), 1*(_xlfn._xlws.FILTER(OFFSET($O$15,0,$DN308,$B$8,1),OFFSET($M$15,0,0,$B$8,1))=ED$13), 1*(_xlfn._xlws.FILTER(OFFSET($O$15,0,$DO308,$B$8,1),OFFSET($M$15,0,0,$B$8,1))=ED$14))   /   SUM(OFFSET($BO$15,0,0,$B$14,1)) + $B$18/($B$19*$B$19*($DN308&lt;&gt;$DO308) + $B$19*($DN308=$DO308))</f>
        <v>3.7037037037037035E-4</v>
      </c>
      <c r="EE308" s="10" cm="1">
        <f t="array" aca="1" ref="EE308" ca="1">(1-$B$18)*SUMPRODUCT(OFFSET($BO$15,0,0,$B$14,1), 1*(_xlfn._xlws.FILTER(OFFSET($O$15,0,$DN308,$B$8,1),OFFSET($M$15,0,0,$B$8,1))=EE$13), 1*(_xlfn._xlws.FILTER(OFFSET($O$15,0,$DO308,$B$8,1),OFFSET($M$15,0,0,$B$8,1))=EE$14))   /   SUM(OFFSET($BO$15,0,0,$B$14,1)) + $B$18/($B$19*$B$19*($DN308&lt;&gt;$DO308) + $B$19*($DN308=$DO308))</f>
        <v>3.7037037037037035E-4</v>
      </c>
      <c r="EF308" s="10" cm="1">
        <f t="array" aca="1" ref="EF308" ca="1">(1-$B$18)*SUMPRODUCT(OFFSET($BO$15,0,0,$B$14,1), 1*(_xlfn._xlws.FILTER(OFFSET($O$15,0,$DN308,$B$8,1),OFFSET($M$15,0,0,$B$8,1))=EF$13), 1*(_xlfn._xlws.FILTER(OFFSET($O$15,0,$DO308,$B$8,1),OFFSET($M$15,0,0,$B$8,1))=EF$14))   /   SUM(OFFSET($BO$15,0,0,$B$14,1)) + $B$18/($B$19*$B$19*($DN308&lt;&gt;$DO308) + $B$19*($DN308=$DO308))</f>
        <v>3.7037037037037035E-4</v>
      </c>
      <c r="EG308" s="10" cm="1">
        <f t="array" aca="1" ref="EG308" ca="1">(1-$B$18)*SUMPRODUCT(OFFSET($BO$15,0,0,$B$14,1), 1*(_xlfn._xlws.FILTER(OFFSET($O$15,0,$DN308,$B$8,1),OFFSET($M$15,0,0,$B$8,1))=EG$13), 1*(_xlfn._xlws.FILTER(OFFSET($O$15,0,$DO308,$B$8,1),OFFSET($M$15,0,0,$B$8,1))=EG$14))   /   SUM(OFFSET($BO$15,0,0,$B$14,1)) + $B$18/($B$19*$B$19*($DN308&lt;&gt;$DO308) + $B$19*($DN308=$DO308))</f>
        <v>3.7037037037037035E-4</v>
      </c>
      <c r="EH308" s="10" cm="1">
        <f t="array" aca="1" ref="EH308" ca="1">(1-$B$18)*SUMPRODUCT(OFFSET($BO$15,0,0,$B$14,1), 1*(_xlfn._xlws.FILTER(OFFSET($O$15,0,$DN308,$B$8,1),OFFSET($M$15,0,0,$B$8,1))=EH$13), 1*(_xlfn._xlws.FILTER(OFFSET($O$15,0,$DO308,$B$8,1),OFFSET($M$15,0,0,$B$8,1))=EH$14))   /   SUM(OFFSET($BO$15,0,0,$B$14,1)) + $B$18/($B$19*$B$19*($DN308&lt;&gt;$DO308) + $B$19*($DN308=$DO308))</f>
        <v>3.7037037037037035E-4</v>
      </c>
      <c r="EI308" s="10" cm="1">
        <f t="array" aca="1" ref="EI308" ca="1">(1-$B$18)*SUMPRODUCT(OFFSET($BO$15,0,0,$B$14,1), 1*(_xlfn._xlws.FILTER(OFFSET($O$15,0,$DN308,$B$8,1),OFFSET($M$15,0,0,$B$8,1))=EI$13), 1*(_xlfn._xlws.FILTER(OFFSET($O$15,0,$DO308,$B$8,1),OFFSET($M$15,0,0,$B$8,1))=EI$14))   /   SUM(OFFSET($BO$15,0,0,$B$14,1)) + $B$18/($B$19*$B$19*($DN308&lt;&gt;$DO308) + $B$19*($DN308=$DO308))</f>
        <v>3.7037037037037035E-4</v>
      </c>
      <c r="EJ308" s="10" cm="1">
        <f t="array" aca="1" ref="EJ308" ca="1">(1-$B$18)*SUMPRODUCT(OFFSET($BO$15,0,0,$B$14,1), 1*(_xlfn._xlws.FILTER(OFFSET($O$15,0,$DN308,$B$8,1),OFFSET($M$15,0,0,$B$8,1))=EJ$13), 1*(_xlfn._xlws.FILTER(OFFSET($O$15,0,$DO308,$B$8,1),OFFSET($M$15,0,0,$B$8,1))=EJ$14))   /   SUM(OFFSET($BO$15,0,0,$B$14,1)) + $B$18/($B$19*$B$19*($DN308&lt;&gt;$DO308) + $B$19*($DN308=$DO308))</f>
        <v>3.7037037037037035E-4</v>
      </c>
      <c r="EK308" s="10" cm="1">
        <f t="array" aca="1" ref="EK308" ca="1">(1-$B$18)*SUMPRODUCT(OFFSET($BO$15,0,0,$B$14,1), 1*(_xlfn._xlws.FILTER(OFFSET($O$15,0,$DN308,$B$8,1),OFFSET($M$15,0,0,$B$8,1))=EK$13), 1*(_xlfn._xlws.FILTER(OFFSET($O$15,0,$DO308,$B$8,1),OFFSET($M$15,0,0,$B$8,1))=EK$14))   /   SUM(OFFSET($BO$15,0,0,$B$14,1)) + $B$18/($B$19*$B$19*($DN308&lt;&gt;$DO308) + $B$19*($DN308=$DO308))</f>
        <v>3.7037037037037035E-4</v>
      </c>
      <c r="EL308" s="10" cm="1">
        <f t="array" aca="1" ref="EL308" ca="1">(1-$B$18)*SUMPRODUCT(OFFSET($BO$15,0,0,$B$14,1), 1*(_xlfn._xlws.FILTER(OFFSET($O$15,0,$DN308,$B$8,1),OFFSET($M$15,0,0,$B$8,1))=EL$13), 1*(_xlfn._xlws.FILTER(OFFSET($O$15,0,$DO308,$B$8,1),OFFSET($M$15,0,0,$B$8,1))=EL$14))   /   SUM(OFFSET($BO$15,0,0,$B$14,1)) + $B$18/($B$19*$B$19*($DN308&lt;&gt;$DO308) + $B$19*($DN308=$DO308))</f>
        <v>3.7037037037037035E-4</v>
      </c>
      <c r="EM308" s="10" cm="1">
        <f t="array" aca="1" ref="EM308" ca="1">(1-$B$18)*SUMPRODUCT(OFFSET($BO$15,0,0,$B$14,1), 1*(_xlfn._xlws.FILTER(OFFSET($O$15,0,$DN308,$B$8,1),OFFSET($M$15,0,0,$B$8,1))=EM$13), 1*(_xlfn._xlws.FILTER(OFFSET($O$15,0,$DO308,$B$8,1),OFFSET($M$15,0,0,$B$8,1))=EM$14))   /   SUM(OFFSET($BO$15,0,0,$B$14,1)) + $B$18/($B$19*$B$19*($DN308&lt;&gt;$DO308) + $B$19*($DN308=$DO308))</f>
        <v>3.7037037037037035E-4</v>
      </c>
      <c r="EN308" s="10" cm="1">
        <f t="array" aca="1" ref="EN308" ca="1">(1-$B$18)*SUMPRODUCT(OFFSET($BO$15,0,0,$B$14,1), 1*(_xlfn._xlws.FILTER(OFFSET($O$15,0,$DN308,$B$8,1),OFFSET($M$15,0,0,$B$8,1))=EN$13), 1*(_xlfn._xlws.FILTER(OFFSET($O$15,0,$DO308,$B$8,1),OFFSET($M$15,0,0,$B$8,1))=EN$14))   /   SUM(OFFSET($BO$15,0,0,$B$14,1)) + $B$18/($B$19*$B$19*($DN308&lt;&gt;$DO308) + $B$19*($DN308=$DO308))</f>
        <v>3.7037037037037035E-4</v>
      </c>
      <c r="EO308" s="10" cm="1">
        <f t="array" aca="1" ref="EO308" ca="1">(1-$B$18)*SUMPRODUCT(OFFSET($BO$15,0,0,$B$14,1), 1*(_xlfn._xlws.FILTER(OFFSET($O$15,0,$DN308,$B$8,1),OFFSET($M$15,0,0,$B$8,1))=EO$13), 1*(_xlfn._xlws.FILTER(OFFSET($O$15,0,$DO308,$B$8,1),OFFSET($M$15,0,0,$B$8,1))=EO$14))   /   SUM(OFFSET($BO$15,0,0,$B$14,1)) + $B$18/($B$19*$B$19*($DN308&lt;&gt;$DO308) + $B$19*($DN308=$DO308))</f>
        <v>3.7037037037037035E-4</v>
      </c>
      <c r="EP308" s="10" cm="1">
        <f t="array" aca="1" ref="EP308" ca="1">(1-$B$18)*SUMPRODUCT(OFFSET($BO$15,0,0,$B$14,1), 1*(_xlfn._xlws.FILTER(OFFSET($O$15,0,$DN308,$B$8,1),OFFSET($M$15,0,0,$B$8,1))=EP$13), 1*(_xlfn._xlws.FILTER(OFFSET($O$15,0,$DO308,$B$8,1),OFFSET($M$15,0,0,$B$8,1))=EP$14))   /   SUM(OFFSET($BO$15,0,0,$B$14,1)) + $B$18/($B$19*$B$19*($DN308&lt;&gt;$DO308) + $B$19*($DN308=$DO308))</f>
        <v>3.7037037037037035E-4</v>
      </c>
      <c r="EQ308" s="10" cm="1">
        <f t="array" aca="1" ref="EQ308" ca="1">(1-$B$18)*SUMPRODUCT(OFFSET($BO$15,0,0,$B$14,1), 1*(_xlfn._xlws.FILTER(OFFSET($O$15,0,$DN308,$B$8,1),OFFSET($M$15,0,0,$B$8,1))=EQ$13), 1*(_xlfn._xlws.FILTER(OFFSET($O$15,0,$DO308,$B$8,1),OFFSET($M$15,0,0,$B$8,1))=EQ$14))   /   SUM(OFFSET($BO$15,0,0,$B$14,1)) + $B$18/($B$19*$B$19*($DN308&lt;&gt;$DO308) + $B$19*($DN308=$DO308))</f>
        <v>3.7037037037037035E-4</v>
      </c>
      <c r="ER308" s="10" cm="1">
        <f t="array" aca="1" ref="ER308" ca="1">(1-$B$18)*SUMPRODUCT(OFFSET($BO$15,0,0,$B$14,1), 1*(_xlfn._xlws.FILTER(OFFSET($O$15,0,$DN308,$B$8,1),OFFSET($M$15,0,0,$B$8,1))=ER$13), 1*(_xlfn._xlws.FILTER(OFFSET($O$15,0,$DO308,$B$8,1),OFFSET($M$15,0,0,$B$8,1))=ER$14))   /   SUM(OFFSET($BO$15,0,0,$B$14,1)) + $B$18/($B$19*$B$19*($DN308&lt;&gt;$DO308) + $B$19*($DN308=$DO308))</f>
        <v>3.7037037037037035E-4</v>
      </c>
      <c r="ES308" s="10" cm="1">
        <f t="array" aca="1" ref="ES308" ca="1">(1-$B$18)*SUMPRODUCT(OFFSET($BO$15,0,0,$B$14,1), 1*(_xlfn._xlws.FILTER(OFFSET($O$15,0,$DN308,$B$8,1),OFFSET($M$15,0,0,$B$8,1))=ES$13), 1*(_xlfn._xlws.FILTER(OFFSET($O$15,0,$DO308,$B$8,1),OFFSET($M$15,0,0,$B$8,1))=ES$14))   /   SUM(OFFSET($BO$15,0,0,$B$14,1)) + $B$18/($B$19*$B$19*($DN308&lt;&gt;$DO308) + $B$19*($DN308=$DO308))</f>
        <v>3.7037037037037035E-4</v>
      </c>
      <c r="ET308" s="10" cm="1">
        <f t="array" aca="1" ref="ET308" ca="1">(1-$B$18)*SUMPRODUCT(OFFSET($BO$15,0,0,$B$14,1), 1*(_xlfn._xlws.FILTER(OFFSET($O$15,0,$DN308,$B$8,1),OFFSET($M$15,0,0,$B$8,1))=ET$13), 1*(_xlfn._xlws.FILTER(OFFSET($O$15,0,$DO308,$B$8,1),OFFSET($M$15,0,0,$B$8,1))=ET$14))   /   SUM(OFFSET($BO$15,0,0,$B$14,1)) + $B$18/($B$19*$B$19*($DN308&lt;&gt;$DO308) + $B$19*($DN308=$DO308))</f>
        <v>0.97037037037037033</v>
      </c>
      <c r="EU308" s="10" cm="1">
        <f t="array" aca="1" ref="EU308" ca="1">(1-$B$18)*SUMPRODUCT(OFFSET($BO$15,0,0,$B$14,1), 1*(_xlfn._xlws.FILTER(OFFSET($O$15,0,$DN308,$B$8,1),OFFSET($M$15,0,0,$B$8,1))=EU$13), 1*(_xlfn._xlws.FILTER(OFFSET($O$15,0,$DO308,$B$8,1),OFFSET($M$15,0,0,$B$8,1))=EU$14))   /   SUM(OFFSET($BO$15,0,0,$B$14,1)) + $B$18/($B$19*$B$19*($DN308&lt;&gt;$DO308) + $B$19*($DN308=$DO308))</f>
        <v>3.7037037037037035E-4</v>
      </c>
      <c r="EV308" s="10" cm="1">
        <f t="array" aca="1" ref="EV308" ca="1">(1-$B$18)*SUMPRODUCT(OFFSET($BO$15,0,0,$B$14,1), 1*(_xlfn._xlws.FILTER(OFFSET($O$15,0,$DN308,$B$8,1),OFFSET($M$15,0,0,$B$8,1))=EV$13), 1*(_xlfn._xlws.FILTER(OFFSET($O$15,0,$DO308,$B$8,1),OFFSET($M$15,0,0,$B$8,1))=EV$14))   /   SUM(OFFSET($BO$15,0,0,$B$14,1)) + $B$18/($B$19*$B$19*($DN308&lt;&gt;$DO308) + $B$19*($DN308=$DO308))</f>
        <v>3.7037037037037035E-4</v>
      </c>
      <c r="EW308" s="10" cm="1">
        <f t="array" aca="1" ref="EW308" ca="1">(1-$B$18)*SUMPRODUCT(OFFSET($BO$15,0,0,$B$14,1), 1*(_xlfn._xlws.FILTER(OFFSET($O$15,0,$DN308,$B$8,1),OFFSET($M$15,0,0,$B$8,1))=EW$13), 1*(_xlfn._xlws.FILTER(OFFSET($O$15,0,$DO308,$B$8,1),OFFSET($M$15,0,0,$B$8,1))=EW$14))   /   SUM(OFFSET($BO$15,0,0,$B$14,1)) + $B$18/($B$19*$B$19*($DN308&lt;&gt;$DO308) + $B$19*($DN308=$DO308))</f>
        <v>3.7037037037037035E-4</v>
      </c>
      <c r="EX308" s="10" cm="1">
        <f t="array" aca="1" ref="EX308" ca="1">(1-$B$18)*SUMPRODUCT(OFFSET($BO$15,0,0,$B$14,1), 1*(_xlfn._xlws.FILTER(OFFSET($O$15,0,$DN308,$B$8,1),OFFSET($M$15,0,0,$B$8,1))=EX$13), 1*(_xlfn._xlws.FILTER(OFFSET($O$15,0,$DO308,$B$8,1),OFFSET($M$15,0,0,$B$8,1))=EX$14))   /   SUM(OFFSET($BO$15,0,0,$B$14,1)) + $B$18/($B$19*$B$19*($DN308&lt;&gt;$DO308) + $B$19*($DN308=$DO308))</f>
        <v>3.7037037037037035E-4</v>
      </c>
      <c r="EY308" s="10" cm="1">
        <f t="array" aca="1" ref="EY308" ca="1">(1-$B$18)*SUMPRODUCT(OFFSET($BO$15,0,0,$B$14,1), 1*(_xlfn._xlws.FILTER(OFFSET($O$15,0,$DN308,$B$8,1),OFFSET($M$15,0,0,$B$8,1))=EY$13), 1*(_xlfn._xlws.FILTER(OFFSET($O$15,0,$DO308,$B$8,1),OFFSET($M$15,0,0,$B$8,1))=EY$14))   /   SUM(OFFSET($BO$15,0,0,$B$14,1)) + $B$18/($B$19*$B$19*($DN308&lt;&gt;$DO308) + $B$19*($DN308=$DO308))</f>
        <v>3.7037037037037035E-4</v>
      </c>
      <c r="EZ308" s="10" cm="1">
        <f t="array" aca="1" ref="EZ308" ca="1">(1-$B$18)*SUMPRODUCT(OFFSET($BO$15,0,0,$B$14,1), 1*(_xlfn._xlws.FILTER(OFFSET($O$15,0,$DN308,$B$8,1),OFFSET($M$15,0,0,$B$8,1))=EZ$13), 1*(_xlfn._xlws.FILTER(OFFSET($O$15,0,$DO308,$B$8,1),OFFSET($M$15,0,0,$B$8,1))=EZ$14))   /   SUM(OFFSET($BO$15,0,0,$B$14,1)) + $B$18/($B$19*$B$19*($DN308&lt;&gt;$DO308) + $B$19*($DN308=$DO308))</f>
        <v>3.7037037037037035E-4</v>
      </c>
      <c r="FA308" s="10" cm="1">
        <f t="array" aca="1" ref="FA308" ca="1">(1-$B$18)*SUMPRODUCT(OFFSET($BO$15,0,0,$B$14,1), 1*(_xlfn._xlws.FILTER(OFFSET($O$15,0,$DN308,$B$8,1),OFFSET($M$15,0,0,$B$8,1))=FA$13), 1*(_xlfn._xlws.FILTER(OFFSET($O$15,0,$DO308,$B$8,1),OFFSET($M$15,0,0,$B$8,1))=FA$14))   /   SUM(OFFSET($BO$15,0,0,$B$14,1)) + $B$18/($B$19*$B$19*($DN308&lt;&gt;$DO308) + $B$19*($DN308=$DO308))</f>
        <v>3.7037037037037035E-4</v>
      </c>
      <c r="FB308" s="10" cm="1">
        <f t="array" aca="1" ref="FB308" ca="1">(1-$B$18)*SUMPRODUCT(OFFSET($BO$15,0,0,$B$14,1), 1*(_xlfn._xlws.FILTER(OFFSET($O$15,0,$DN308,$B$8,1),OFFSET($M$15,0,0,$B$8,1))=FB$13), 1*(_xlfn._xlws.FILTER(OFFSET($O$15,0,$DO308,$B$8,1),OFFSET($M$15,0,0,$B$8,1))=FB$14))   /   SUM(OFFSET($BO$15,0,0,$B$14,1)) + $B$18/($B$19*$B$19*($DN308&lt;&gt;$DO308) + $B$19*($DN308=$DO308))</f>
        <v>3.7037037037037035E-4</v>
      </c>
      <c r="FC308" s="10" cm="1">
        <f t="array" aca="1" ref="FC308" ca="1">(1-$B$18)*SUMPRODUCT(OFFSET($BO$15,0,0,$B$14,1), 1*(_xlfn._xlws.FILTER(OFFSET($O$15,0,$DN308,$B$8,1),OFFSET($M$15,0,0,$B$8,1))=FC$13), 1*(_xlfn._xlws.FILTER(OFFSET($O$15,0,$DO308,$B$8,1),OFFSET($M$15,0,0,$B$8,1))=FC$14))   /   SUM(OFFSET($BO$15,0,0,$B$14,1)) + $B$18/($B$19*$B$19*($DN308&lt;&gt;$DO308) + $B$19*($DN308=$DO308))</f>
        <v>3.7037037037037035E-4</v>
      </c>
      <c r="FD308" s="10" cm="1">
        <f t="array" aca="1" ref="FD308" ca="1">(1-$B$18)*SUMPRODUCT(OFFSET($BO$15,0,0,$B$14,1), 1*(_xlfn._xlws.FILTER(OFFSET($O$15,0,$DN308,$B$8,1),OFFSET($M$15,0,0,$B$8,1))=FD$13), 1*(_xlfn._xlws.FILTER(OFFSET($O$15,0,$DO308,$B$8,1),OFFSET($M$15,0,0,$B$8,1))=FD$14))   /   SUM(OFFSET($BO$15,0,0,$B$14,1)) + $B$18/($B$19*$B$19*($DN308&lt;&gt;$DO308) + $B$19*($DN308=$DO308))</f>
        <v>3.7037037037037035E-4</v>
      </c>
      <c r="FE308" s="10" cm="1">
        <f t="array" aca="1" ref="FE308" ca="1">(1-$B$18)*SUMPRODUCT(OFFSET($BO$15,0,0,$B$14,1), 1*(_xlfn._xlws.FILTER(OFFSET($O$15,0,$DN308,$B$8,1),OFFSET($M$15,0,0,$B$8,1))=FE$13), 1*(_xlfn._xlws.FILTER(OFFSET($O$15,0,$DO308,$B$8,1),OFFSET($M$15,0,0,$B$8,1))=FE$14))   /   SUM(OFFSET($BO$15,0,0,$B$14,1)) + $B$18/($B$19*$B$19*($DN308&lt;&gt;$DO308) + $B$19*($DN308=$DO308))</f>
        <v>3.7037037037037035E-4</v>
      </c>
      <c r="FF308" s="10" cm="1">
        <f t="array" aca="1" ref="FF308" ca="1">(1-$B$18)*SUMPRODUCT(OFFSET($BO$15,0,0,$B$14,1), 1*(_xlfn._xlws.FILTER(OFFSET($O$15,0,$DN308,$B$8,1),OFFSET($M$15,0,0,$B$8,1))=FF$13), 1*(_xlfn._xlws.FILTER(OFFSET($O$15,0,$DO308,$B$8,1),OFFSET($M$15,0,0,$B$8,1))=FF$14))   /   SUM(OFFSET($BO$15,0,0,$B$14,1)) + $B$18/($B$19*$B$19*($DN308&lt;&gt;$DO308) + $B$19*($DN308=$DO308))</f>
        <v>3.7037037037037035E-4</v>
      </c>
      <c r="FG308" s="10" cm="1">
        <f t="array" aca="1" ref="FG308" ca="1">(1-$B$18)*SUMPRODUCT(OFFSET($BO$15,0,0,$B$14,1), 1*(_xlfn._xlws.FILTER(OFFSET($O$15,0,$DN308,$B$8,1),OFFSET($M$15,0,0,$B$8,1))=FG$13), 1*(_xlfn._xlws.FILTER(OFFSET($O$15,0,$DO308,$B$8,1),OFFSET($M$15,0,0,$B$8,1))=FG$14))   /   SUM(OFFSET($BO$15,0,0,$B$14,1)) + $B$18/($B$19*$B$19*($DN308&lt;&gt;$DO308) + $B$19*($DN308=$DO308))</f>
        <v>3.7037037037037035E-4</v>
      </c>
      <c r="FH308" s="10" cm="1">
        <f t="array" aca="1" ref="FH308" ca="1">(1-$B$18)*SUMPRODUCT(OFFSET($BO$15,0,0,$B$14,1), 1*(_xlfn._xlws.FILTER(OFFSET($O$15,0,$DN308,$B$8,1),OFFSET($M$15,0,0,$B$8,1))=FH$13), 1*(_xlfn._xlws.FILTER(OFFSET($O$15,0,$DO308,$B$8,1),OFFSET($M$15,0,0,$B$8,1))=FH$14))   /   SUM(OFFSET($BO$15,0,0,$B$14,1)) + $B$18/($B$19*$B$19*($DN308&lt;&gt;$DO308) + $B$19*($DN308=$DO308))</f>
        <v>3.7037037037037035E-4</v>
      </c>
      <c r="FI308" s="10" cm="1">
        <f t="array" aca="1" ref="FI308" ca="1">(1-$B$18)*SUMPRODUCT(OFFSET($BO$15,0,0,$B$14,1), 1*(_xlfn._xlws.FILTER(OFFSET($O$15,0,$DN308,$B$8,1),OFFSET($M$15,0,0,$B$8,1))=FI$13), 1*(_xlfn._xlws.FILTER(OFFSET($O$15,0,$DO308,$B$8,1),OFFSET($M$15,0,0,$B$8,1))=FI$14))   /   SUM(OFFSET($BO$15,0,0,$B$14,1)) + $B$18/($B$19*$B$19*($DN308&lt;&gt;$DO308) + $B$19*($DN308=$DO308))</f>
        <v>3.7037037037037035E-4</v>
      </c>
      <c r="FJ308" s="10" cm="1">
        <f t="array" aca="1" ref="FJ308" ca="1">(1-$B$18)*SUMPRODUCT(OFFSET($BO$15,0,0,$B$14,1), 1*(_xlfn._xlws.FILTER(OFFSET($O$15,0,$DN308,$B$8,1),OFFSET($M$15,0,0,$B$8,1))=FJ$13), 1*(_xlfn._xlws.FILTER(OFFSET($O$15,0,$DO308,$B$8,1),OFFSET($M$15,0,0,$B$8,1))=FJ$14))   /   SUM(OFFSET($BO$15,0,0,$B$14,1)) + $B$18/($B$19*$B$19*($DN308&lt;&gt;$DO308) + $B$19*($DN308=$DO308))</f>
        <v>3.7037037037037035E-4</v>
      </c>
      <c r="FK308" s="10" cm="1">
        <f t="array" aca="1" ref="FK308" ca="1">(1-$B$18)*SUMPRODUCT(OFFSET($BO$15,0,0,$B$14,1), 1*(_xlfn._xlws.FILTER(OFFSET($O$15,0,$DN308,$B$8,1),OFFSET($M$15,0,0,$B$8,1))=FK$13), 1*(_xlfn._xlws.FILTER(OFFSET($O$15,0,$DO308,$B$8,1),OFFSET($M$15,0,0,$B$8,1))=FK$14))   /   SUM(OFFSET($BO$15,0,0,$B$14,1)) + $B$18/($B$19*$B$19*($DN308&lt;&gt;$DO308) + $B$19*($DN308=$DO308))</f>
        <v>3.7037037037037035E-4</v>
      </c>
      <c r="FL308" s="10" cm="1">
        <f t="array" aca="1" ref="FL308" ca="1">(1-$B$18)*SUMPRODUCT(OFFSET($BO$15,0,0,$B$14,1), 1*(_xlfn._xlws.FILTER(OFFSET($O$15,0,$DN308,$B$8,1),OFFSET($M$15,0,0,$B$8,1))=FL$13), 1*(_xlfn._xlws.FILTER(OFFSET($O$15,0,$DO308,$B$8,1),OFFSET($M$15,0,0,$B$8,1))=FL$14))   /   SUM(OFFSET($BO$15,0,0,$B$14,1)) + $B$18/($B$19*$B$19*($DN308&lt;&gt;$DO308) + $B$19*($DN308=$DO308))</f>
        <v>3.7037037037037035E-4</v>
      </c>
      <c r="FM308" s="10" cm="1">
        <f t="array" aca="1" ref="FM308" ca="1">(1-$B$18)*SUMPRODUCT(OFFSET($BO$15,0,0,$B$14,1), 1*(_xlfn._xlws.FILTER(OFFSET($O$15,0,$DN308,$B$8,1),OFFSET($M$15,0,0,$B$8,1))=FM$13), 1*(_xlfn._xlws.FILTER(OFFSET($O$15,0,$DO308,$B$8,1),OFFSET($M$15,0,0,$B$8,1))=FM$14))   /   SUM(OFFSET($BO$15,0,0,$B$14,1)) + $B$18/($B$19*$B$19*($DN308&lt;&gt;$DO308) + $B$19*($DN308=$DO308))</f>
        <v>3.7037037037037035E-4</v>
      </c>
      <c r="FN308" s="10" cm="1">
        <f t="array" aca="1" ref="FN308" ca="1">(1-$B$18)*SUMPRODUCT(OFFSET($BO$15,0,0,$B$14,1), 1*(_xlfn._xlws.FILTER(OFFSET($O$15,0,$DN308,$B$8,1),OFFSET($M$15,0,0,$B$8,1))=FN$13), 1*(_xlfn._xlws.FILTER(OFFSET($O$15,0,$DO308,$B$8,1),OFFSET($M$15,0,0,$B$8,1))=FN$14))   /   SUM(OFFSET($BO$15,0,0,$B$14,1)) + $B$18/($B$19*$B$19*($DN308&lt;&gt;$DO308) + $B$19*($DN308=$DO308))</f>
        <v>3.7037037037037035E-4</v>
      </c>
      <c r="FO308" s="10" cm="1">
        <f t="array" aca="1" ref="FO308" ca="1">(1-$B$18)*SUMPRODUCT(OFFSET($BO$15,0,0,$B$14,1), 1*(_xlfn._xlws.FILTER(OFFSET($O$15,0,$DN308,$B$8,1),OFFSET($M$15,0,0,$B$8,1))=FO$13), 1*(_xlfn._xlws.FILTER(OFFSET($O$15,0,$DO308,$B$8,1),OFFSET($M$15,0,0,$B$8,1))=FO$14))   /   SUM(OFFSET($BO$15,0,0,$B$14,1)) + $B$18/($B$19*$B$19*($DN308&lt;&gt;$DO308) + $B$19*($DN308=$DO308))</f>
        <v>3.7037037037037035E-4</v>
      </c>
      <c r="FP308" s="10" cm="1">
        <f t="array" aca="1" ref="FP308" ca="1">(1-$B$18)*SUMPRODUCT(OFFSET($BO$15,0,0,$B$14,1), 1*(_xlfn._xlws.FILTER(OFFSET($O$15,0,$DN308,$B$8,1),OFFSET($M$15,0,0,$B$8,1))=FP$13), 1*(_xlfn._xlws.FILTER(OFFSET($O$15,0,$DO308,$B$8,1),OFFSET($M$15,0,0,$B$8,1))=FP$14))   /   SUM(OFFSET($BO$15,0,0,$B$14,1)) + $B$18/($B$19*$B$19*($DN308&lt;&gt;$DO308) + $B$19*($DN308=$DO308))</f>
        <v>3.7037037037037035E-4</v>
      </c>
      <c r="FQ308" s="10" cm="1">
        <f t="array" aca="1" ref="FQ308" ca="1">(1-$B$18)*SUMPRODUCT(OFFSET($BO$15,0,0,$B$14,1), 1*(_xlfn._xlws.FILTER(OFFSET($O$15,0,$DN308,$B$8,1),OFFSET($M$15,0,0,$B$8,1))=FQ$13), 1*(_xlfn._xlws.FILTER(OFFSET($O$15,0,$DO308,$B$8,1),OFFSET($M$15,0,0,$B$8,1))=FQ$14))   /   SUM(OFFSET($BO$15,0,0,$B$14,1)) + $B$18/($B$19*$B$19*($DN308&lt;&gt;$DO308) + $B$19*($DN308=$DO308))</f>
        <v>3.7037037037037035E-4</v>
      </c>
      <c r="FR308" s="10" cm="1">
        <f t="array" aca="1" ref="FR308" ca="1">(1-$B$18)*SUMPRODUCT(OFFSET($BO$15,0,0,$B$14,1), 1*(_xlfn._xlws.FILTER(OFFSET($O$15,0,$DN308,$B$8,1),OFFSET($M$15,0,0,$B$8,1))=FR$13), 1*(_xlfn._xlws.FILTER(OFFSET($O$15,0,$DO308,$B$8,1),OFFSET($M$15,0,0,$B$8,1))=FR$14))   /   SUM(OFFSET($BO$15,0,0,$B$14,1)) + $B$18/($B$19*$B$19*($DN308&lt;&gt;$DO308) + $B$19*($DN308=$DO308))</f>
        <v>3.7037037037037035E-4</v>
      </c>
      <c r="FS308" s="10" cm="1">
        <f t="array" aca="1" ref="FS308" ca="1">(1-$B$18)*SUMPRODUCT(OFFSET($BO$15,0,0,$B$14,1), 1*(_xlfn._xlws.FILTER(OFFSET($O$15,0,$DN308,$B$8,1),OFFSET($M$15,0,0,$B$8,1))=FS$13), 1*(_xlfn._xlws.FILTER(OFFSET($O$15,0,$DO308,$B$8,1),OFFSET($M$15,0,0,$B$8,1))=FS$14))   /   SUM(OFFSET($BO$15,0,0,$B$14,1)) + $B$18/($B$19*$B$19*($DN308&lt;&gt;$DO308) + $B$19*($DN308=$DO308))</f>
        <v>3.7037037037037035E-4</v>
      </c>
      <c r="FT308" s="10" cm="1">
        <f t="array" aca="1" ref="FT308" ca="1">(1-$B$18)*SUMPRODUCT(OFFSET($BO$15,0,0,$B$14,1), 1*(_xlfn._xlws.FILTER(OFFSET($O$15,0,$DN308,$B$8,1),OFFSET($M$15,0,0,$B$8,1))=FT$13), 1*(_xlfn._xlws.FILTER(OFFSET($O$15,0,$DO308,$B$8,1),OFFSET($M$15,0,0,$B$8,1))=FT$14))   /   SUM(OFFSET($BO$15,0,0,$B$14,1)) + $B$18/($B$19*$B$19*($DN308&lt;&gt;$DO308) + $B$19*($DN308=$DO308))</f>
        <v>3.7037037037037035E-4</v>
      </c>
      <c r="FU308" s="10" cm="1">
        <f t="array" aca="1" ref="FU308" ca="1">(1-$B$18)*SUMPRODUCT(OFFSET($BO$15,0,0,$B$14,1), 1*(_xlfn._xlws.FILTER(OFFSET($O$15,0,$DN308,$B$8,1),OFFSET($M$15,0,0,$B$8,1))=FU$13), 1*(_xlfn._xlws.FILTER(OFFSET($O$15,0,$DO308,$B$8,1),OFFSET($M$15,0,0,$B$8,1))=FU$14))   /   SUM(OFFSET($BO$15,0,0,$B$14,1)) + $B$18/($B$19*$B$19*($DN308&lt;&gt;$DO308) + $B$19*($DN308=$DO308))</f>
        <v>3.7037037037037035E-4</v>
      </c>
      <c r="FV308" s="10" cm="1">
        <f t="array" aca="1" ref="FV308" ca="1">(1-$B$18)*SUMPRODUCT(OFFSET($BO$15,0,0,$B$14,1), 1*(_xlfn._xlws.FILTER(OFFSET($O$15,0,$DN308,$B$8,1),OFFSET($M$15,0,0,$B$8,1))=FV$13), 1*(_xlfn._xlws.FILTER(OFFSET($O$15,0,$DO308,$B$8,1),OFFSET($M$15,0,0,$B$8,1))=FV$14))   /   SUM(OFFSET($BO$15,0,0,$B$14,1)) + $B$18/($B$19*$B$19*($DN308&lt;&gt;$DO308) + $B$19*($DN308=$DO308))</f>
        <v>3.7037037037037035E-4</v>
      </c>
      <c r="FW308" s="10" cm="1">
        <f t="array" aca="1" ref="FW308" ca="1">(1-$B$18)*SUMPRODUCT(OFFSET($BO$15,0,0,$B$14,1), 1*(_xlfn._xlws.FILTER(OFFSET($O$15,0,$DN308,$B$8,1),OFFSET($M$15,0,0,$B$8,1))=FW$13), 1*(_xlfn._xlws.FILTER(OFFSET($O$15,0,$DO308,$B$8,1),OFFSET($M$15,0,0,$B$8,1))=FW$14))   /   SUM(OFFSET($BO$15,0,0,$B$14,1)) + $B$18/($B$19*$B$19*($DN308&lt;&gt;$DO308) + $B$19*($DN308=$DO308))</f>
        <v>3.7037037037037035E-4</v>
      </c>
      <c r="FX308" s="10" cm="1">
        <f t="array" aca="1" ref="FX308" ca="1">(1-$B$18)*SUMPRODUCT(OFFSET($BO$15,0,0,$B$14,1), 1*(_xlfn._xlws.FILTER(OFFSET($O$15,0,$DN308,$B$8,1),OFFSET($M$15,0,0,$B$8,1))=FX$13), 1*(_xlfn._xlws.FILTER(OFFSET($O$15,0,$DO308,$B$8,1),OFFSET($M$15,0,0,$B$8,1))=FX$14))   /   SUM(OFFSET($BO$15,0,0,$B$14,1)) + $B$18/($B$19*$B$19*($DN308&lt;&gt;$DO308) + $B$19*($DN308=$DO308))</f>
        <v>3.7037037037037035E-4</v>
      </c>
      <c r="FY308" s="10" cm="1">
        <f t="array" aca="1" ref="FY308" ca="1">(1-$B$18)*SUMPRODUCT(OFFSET($BO$15,0,0,$B$14,1), 1*(_xlfn._xlws.FILTER(OFFSET($O$15,0,$DN308,$B$8,1),OFFSET($M$15,0,0,$B$8,1))=FY$13), 1*(_xlfn._xlws.FILTER(OFFSET($O$15,0,$DO308,$B$8,1),OFFSET($M$15,0,0,$B$8,1))=FY$14))   /   SUM(OFFSET($BO$15,0,0,$B$14,1)) + $B$18/($B$19*$B$19*($DN308&lt;&gt;$DO308) + $B$19*($DN308=$DO308))</f>
        <v>3.7037037037037035E-4</v>
      </c>
      <c r="FZ308" s="10" cm="1">
        <f t="array" aca="1" ref="FZ308" ca="1">(1-$B$18)*SUMPRODUCT(OFFSET($BO$15,0,0,$B$14,1), 1*(_xlfn._xlws.FILTER(OFFSET($O$15,0,$DN308,$B$8,1),OFFSET($M$15,0,0,$B$8,1))=FZ$13), 1*(_xlfn._xlws.FILTER(OFFSET($O$15,0,$DO308,$B$8,1),OFFSET($M$15,0,0,$B$8,1))=FZ$14))   /   SUM(OFFSET($BO$15,0,0,$B$14,1)) + $B$18/($B$19*$B$19*($DN308&lt;&gt;$DO308) + $B$19*($DN308=$DO308))</f>
        <v>3.7037037037037035E-4</v>
      </c>
      <c r="GA308" s="10" cm="1">
        <f t="array" aca="1" ref="GA308" ca="1">(1-$B$18)*SUMPRODUCT(OFFSET($BO$15,0,0,$B$14,1), 1*(_xlfn._xlws.FILTER(OFFSET($O$15,0,$DN308,$B$8,1),OFFSET($M$15,0,0,$B$8,1))=GA$13), 1*(_xlfn._xlws.FILTER(OFFSET($O$15,0,$DO308,$B$8,1),OFFSET($M$15,0,0,$B$8,1))=GA$14))   /   SUM(OFFSET($BO$15,0,0,$B$14,1)) + $B$18/($B$19*$B$19*($DN308&lt;&gt;$DO308) + $B$19*($DN308=$DO308))</f>
        <v>3.7037037037037035E-4</v>
      </c>
    </row>
    <row r="309" spans="118:183" x14ac:dyDescent="0.2">
      <c r="DN309" cm="1">
        <f t="array" aca="1" ref="DN309" ca="1">INDEX(_xlfn.ANCHORARRAY($CP$15), 1 + INT((ROWS($DO$15:$DO309) - 1) / ROWS(_xlfn.ANCHORARRAY($CP$15))))</f>
        <v>18</v>
      </c>
      <c r="DO309" cm="1">
        <f t="array" aca="1" ref="DO309" ca="1">INDEX(_xlfn.ANCHORARRAY($CP$15),1+MOD(ROWS($DO$15:$DO309)-1,ROWS(_xlfn.ANCHORARRAY($CP$15))))</f>
        <v>9</v>
      </c>
      <c r="DP309" s="10" cm="1">
        <f t="array" aca="1" ref="DP309" ca="1">(1-$B$18)*SUMPRODUCT(OFFSET($BO$15,0,0,$B$14,1), 1*(_xlfn._xlws.FILTER(OFFSET($O$15,0,$DN309,$B$8,1),OFFSET($M$15,0,0,$B$8,1))=DP$13), 1*(_xlfn._xlws.FILTER(OFFSET($O$15,0,$DO309,$B$8,1),OFFSET($M$15,0,0,$B$8,1))=DP$14))   /   SUM(OFFSET($BO$15,0,0,$B$14,1)) + $B$18/($B$19*$B$19*($DN309&lt;&gt;$DO309) + $B$19*($DN309=$DO309))</f>
        <v>3.7037037037037035E-4</v>
      </c>
      <c r="DQ309" s="10" cm="1">
        <f t="array" aca="1" ref="DQ309" ca="1">(1-$B$18)*SUMPRODUCT(OFFSET($BO$15,0,0,$B$14,1), 1*(_xlfn._xlws.FILTER(OFFSET($O$15,0,$DN309,$B$8,1),OFFSET($M$15,0,0,$B$8,1))=DQ$13), 1*(_xlfn._xlws.FILTER(OFFSET($O$15,0,$DO309,$B$8,1),OFFSET($M$15,0,0,$B$8,1))=DQ$14))   /   SUM(OFFSET($BO$15,0,0,$B$14,1)) + $B$18/($B$19*$B$19*($DN309&lt;&gt;$DO309) + $B$19*($DN309=$DO309))</f>
        <v>3.7037037037037035E-4</v>
      </c>
      <c r="DR309" s="10" cm="1">
        <f t="array" aca="1" ref="DR309" ca="1">(1-$B$18)*SUMPRODUCT(OFFSET($BO$15,0,0,$B$14,1), 1*(_xlfn._xlws.FILTER(OFFSET($O$15,0,$DN309,$B$8,1),OFFSET($M$15,0,0,$B$8,1))=DR$13), 1*(_xlfn._xlws.FILTER(OFFSET($O$15,0,$DO309,$B$8,1),OFFSET($M$15,0,0,$B$8,1))=DR$14))   /   SUM(OFFSET($BO$15,0,0,$B$14,1)) + $B$18/($B$19*$B$19*($DN309&lt;&gt;$DO309) + $B$19*($DN309=$DO309))</f>
        <v>3.7037037037037035E-4</v>
      </c>
      <c r="DS309" s="10" cm="1">
        <f t="array" aca="1" ref="DS309" ca="1">(1-$B$18)*SUMPRODUCT(OFFSET($BO$15,0,0,$B$14,1), 1*(_xlfn._xlws.FILTER(OFFSET($O$15,0,$DN309,$B$8,1),OFFSET($M$15,0,0,$B$8,1))=DS$13), 1*(_xlfn._xlws.FILTER(OFFSET($O$15,0,$DO309,$B$8,1),OFFSET($M$15,0,0,$B$8,1))=DS$14))   /   SUM(OFFSET($BO$15,0,0,$B$14,1)) + $B$18/($B$19*$B$19*($DN309&lt;&gt;$DO309) + $B$19*($DN309=$DO309))</f>
        <v>3.7037037037037035E-4</v>
      </c>
      <c r="DT309" s="10" cm="1">
        <f t="array" aca="1" ref="DT309" ca="1">(1-$B$18)*SUMPRODUCT(OFFSET($BO$15,0,0,$B$14,1), 1*(_xlfn._xlws.FILTER(OFFSET($O$15,0,$DN309,$B$8,1),OFFSET($M$15,0,0,$B$8,1))=DT$13), 1*(_xlfn._xlws.FILTER(OFFSET($O$15,0,$DO309,$B$8,1),OFFSET($M$15,0,0,$B$8,1))=DT$14))   /   SUM(OFFSET($BO$15,0,0,$B$14,1)) + $B$18/($B$19*$B$19*($DN309&lt;&gt;$DO309) + $B$19*($DN309=$DO309))</f>
        <v>3.7037037037037035E-4</v>
      </c>
      <c r="DU309" s="10" cm="1">
        <f t="array" aca="1" ref="DU309" ca="1">(1-$B$18)*SUMPRODUCT(OFFSET($BO$15,0,0,$B$14,1), 1*(_xlfn._xlws.FILTER(OFFSET($O$15,0,$DN309,$B$8,1),OFFSET($M$15,0,0,$B$8,1))=DU$13), 1*(_xlfn._xlws.FILTER(OFFSET($O$15,0,$DO309,$B$8,1),OFFSET($M$15,0,0,$B$8,1))=DU$14))   /   SUM(OFFSET($BO$15,0,0,$B$14,1)) + $B$18/($B$19*$B$19*($DN309&lt;&gt;$DO309) + $B$19*($DN309=$DO309))</f>
        <v>3.7037037037037035E-4</v>
      </c>
      <c r="DV309" s="10" cm="1">
        <f t="array" aca="1" ref="DV309" ca="1">(1-$B$18)*SUMPRODUCT(OFFSET($BO$15,0,0,$B$14,1), 1*(_xlfn._xlws.FILTER(OFFSET($O$15,0,$DN309,$B$8,1),OFFSET($M$15,0,0,$B$8,1))=DV$13), 1*(_xlfn._xlws.FILTER(OFFSET($O$15,0,$DO309,$B$8,1),OFFSET($M$15,0,0,$B$8,1))=DV$14))   /   SUM(OFFSET($BO$15,0,0,$B$14,1)) + $B$18/($B$19*$B$19*($DN309&lt;&gt;$DO309) + $B$19*($DN309=$DO309))</f>
        <v>3.7037037037037035E-4</v>
      </c>
      <c r="DW309" s="10" cm="1">
        <f t="array" aca="1" ref="DW309" ca="1">(1-$B$18)*SUMPRODUCT(OFFSET($BO$15,0,0,$B$14,1), 1*(_xlfn._xlws.FILTER(OFFSET($O$15,0,$DN309,$B$8,1),OFFSET($M$15,0,0,$B$8,1))=DW$13), 1*(_xlfn._xlws.FILTER(OFFSET($O$15,0,$DO309,$B$8,1),OFFSET($M$15,0,0,$B$8,1))=DW$14))   /   SUM(OFFSET($BO$15,0,0,$B$14,1)) + $B$18/($B$19*$B$19*($DN309&lt;&gt;$DO309) + $B$19*($DN309=$DO309))</f>
        <v>3.7037037037037035E-4</v>
      </c>
      <c r="DX309" s="10" cm="1">
        <f t="array" aca="1" ref="DX309" ca="1">(1-$B$18)*SUMPRODUCT(OFFSET($BO$15,0,0,$B$14,1), 1*(_xlfn._xlws.FILTER(OFFSET($O$15,0,$DN309,$B$8,1),OFFSET($M$15,0,0,$B$8,1))=DX$13), 1*(_xlfn._xlws.FILTER(OFFSET($O$15,0,$DO309,$B$8,1),OFFSET($M$15,0,0,$B$8,1))=DX$14))   /   SUM(OFFSET($BO$15,0,0,$B$14,1)) + $B$18/($B$19*$B$19*($DN309&lt;&gt;$DO309) + $B$19*($DN309=$DO309))</f>
        <v>3.7037037037037035E-4</v>
      </c>
      <c r="DY309" s="10" cm="1">
        <f t="array" aca="1" ref="DY309" ca="1">(1-$B$18)*SUMPRODUCT(OFFSET($BO$15,0,0,$B$14,1), 1*(_xlfn._xlws.FILTER(OFFSET($O$15,0,$DN309,$B$8,1),OFFSET($M$15,0,0,$B$8,1))=DY$13), 1*(_xlfn._xlws.FILTER(OFFSET($O$15,0,$DO309,$B$8,1),OFFSET($M$15,0,0,$B$8,1))=DY$14))   /   SUM(OFFSET($BO$15,0,0,$B$14,1)) + $B$18/($B$19*$B$19*($DN309&lt;&gt;$DO309) + $B$19*($DN309=$DO309))</f>
        <v>3.7037037037037035E-4</v>
      </c>
      <c r="DZ309" s="10" cm="1">
        <f t="array" aca="1" ref="DZ309" ca="1">(1-$B$18)*SUMPRODUCT(OFFSET($BO$15,0,0,$B$14,1), 1*(_xlfn._xlws.FILTER(OFFSET($O$15,0,$DN309,$B$8,1),OFFSET($M$15,0,0,$B$8,1))=DZ$13), 1*(_xlfn._xlws.FILTER(OFFSET($O$15,0,$DO309,$B$8,1),OFFSET($M$15,0,0,$B$8,1))=DZ$14))   /   SUM(OFFSET($BO$15,0,0,$B$14,1)) + $B$18/($B$19*$B$19*($DN309&lt;&gt;$DO309) + $B$19*($DN309=$DO309))</f>
        <v>3.7037037037037035E-4</v>
      </c>
      <c r="EA309" s="10" cm="1">
        <f t="array" aca="1" ref="EA309" ca="1">(1-$B$18)*SUMPRODUCT(OFFSET($BO$15,0,0,$B$14,1), 1*(_xlfn._xlws.FILTER(OFFSET($O$15,0,$DN309,$B$8,1),OFFSET($M$15,0,0,$B$8,1))=EA$13), 1*(_xlfn._xlws.FILTER(OFFSET($O$15,0,$DO309,$B$8,1),OFFSET($M$15,0,0,$B$8,1))=EA$14))   /   SUM(OFFSET($BO$15,0,0,$B$14,1)) + $B$18/($B$19*$B$19*($DN309&lt;&gt;$DO309) + $B$19*($DN309=$DO309))</f>
        <v>3.7037037037037035E-4</v>
      </c>
      <c r="EB309" s="10" cm="1">
        <f t="array" aca="1" ref="EB309" ca="1">(1-$B$18)*SUMPRODUCT(OFFSET($BO$15,0,0,$B$14,1), 1*(_xlfn._xlws.FILTER(OFFSET($O$15,0,$DN309,$B$8,1),OFFSET($M$15,0,0,$B$8,1))=EB$13), 1*(_xlfn._xlws.FILTER(OFFSET($O$15,0,$DO309,$B$8,1),OFFSET($M$15,0,0,$B$8,1))=EB$14))   /   SUM(OFFSET($BO$15,0,0,$B$14,1)) + $B$18/($B$19*$B$19*($DN309&lt;&gt;$DO309) + $B$19*($DN309=$DO309))</f>
        <v>3.7037037037037035E-4</v>
      </c>
      <c r="EC309" s="10" cm="1">
        <f t="array" aca="1" ref="EC309" ca="1">(1-$B$18)*SUMPRODUCT(OFFSET($BO$15,0,0,$B$14,1), 1*(_xlfn._xlws.FILTER(OFFSET($O$15,0,$DN309,$B$8,1),OFFSET($M$15,0,0,$B$8,1))=EC$13), 1*(_xlfn._xlws.FILTER(OFFSET($O$15,0,$DO309,$B$8,1),OFFSET($M$15,0,0,$B$8,1))=EC$14))   /   SUM(OFFSET($BO$15,0,0,$B$14,1)) + $B$18/($B$19*$B$19*($DN309&lt;&gt;$DO309) + $B$19*($DN309=$DO309))</f>
        <v>3.7037037037037035E-4</v>
      </c>
      <c r="ED309" s="10" cm="1">
        <f t="array" aca="1" ref="ED309" ca="1">(1-$B$18)*SUMPRODUCT(OFFSET($BO$15,0,0,$B$14,1), 1*(_xlfn._xlws.FILTER(OFFSET($O$15,0,$DN309,$B$8,1),OFFSET($M$15,0,0,$B$8,1))=ED$13), 1*(_xlfn._xlws.FILTER(OFFSET($O$15,0,$DO309,$B$8,1),OFFSET($M$15,0,0,$B$8,1))=ED$14))   /   SUM(OFFSET($BO$15,0,0,$B$14,1)) + $B$18/($B$19*$B$19*($DN309&lt;&gt;$DO309) + $B$19*($DN309=$DO309))</f>
        <v>3.7037037037037035E-4</v>
      </c>
      <c r="EE309" s="10" cm="1">
        <f t="array" aca="1" ref="EE309" ca="1">(1-$B$18)*SUMPRODUCT(OFFSET($BO$15,0,0,$B$14,1), 1*(_xlfn._xlws.FILTER(OFFSET($O$15,0,$DN309,$B$8,1),OFFSET($M$15,0,0,$B$8,1))=EE$13), 1*(_xlfn._xlws.FILTER(OFFSET($O$15,0,$DO309,$B$8,1),OFFSET($M$15,0,0,$B$8,1))=EE$14))   /   SUM(OFFSET($BO$15,0,0,$B$14,1)) + $B$18/($B$19*$B$19*($DN309&lt;&gt;$DO309) + $B$19*($DN309=$DO309))</f>
        <v>3.7037037037037035E-4</v>
      </c>
      <c r="EF309" s="10" cm="1">
        <f t="array" aca="1" ref="EF309" ca="1">(1-$B$18)*SUMPRODUCT(OFFSET($BO$15,0,0,$B$14,1), 1*(_xlfn._xlws.FILTER(OFFSET($O$15,0,$DN309,$B$8,1),OFFSET($M$15,0,0,$B$8,1))=EF$13), 1*(_xlfn._xlws.FILTER(OFFSET($O$15,0,$DO309,$B$8,1),OFFSET($M$15,0,0,$B$8,1))=EF$14))   /   SUM(OFFSET($BO$15,0,0,$B$14,1)) + $B$18/($B$19*$B$19*($DN309&lt;&gt;$DO309) + $B$19*($DN309=$DO309))</f>
        <v>3.7037037037037035E-4</v>
      </c>
      <c r="EG309" s="10" cm="1">
        <f t="array" aca="1" ref="EG309" ca="1">(1-$B$18)*SUMPRODUCT(OFFSET($BO$15,0,0,$B$14,1), 1*(_xlfn._xlws.FILTER(OFFSET($O$15,0,$DN309,$B$8,1),OFFSET($M$15,0,0,$B$8,1))=EG$13), 1*(_xlfn._xlws.FILTER(OFFSET($O$15,0,$DO309,$B$8,1),OFFSET($M$15,0,0,$B$8,1))=EG$14))   /   SUM(OFFSET($BO$15,0,0,$B$14,1)) + $B$18/($B$19*$B$19*($DN309&lt;&gt;$DO309) + $B$19*($DN309=$DO309))</f>
        <v>3.7037037037037035E-4</v>
      </c>
      <c r="EH309" s="10" cm="1">
        <f t="array" aca="1" ref="EH309" ca="1">(1-$B$18)*SUMPRODUCT(OFFSET($BO$15,0,0,$B$14,1), 1*(_xlfn._xlws.FILTER(OFFSET($O$15,0,$DN309,$B$8,1),OFFSET($M$15,0,0,$B$8,1))=EH$13), 1*(_xlfn._xlws.FILTER(OFFSET($O$15,0,$DO309,$B$8,1),OFFSET($M$15,0,0,$B$8,1))=EH$14))   /   SUM(OFFSET($BO$15,0,0,$B$14,1)) + $B$18/($B$19*$B$19*($DN309&lt;&gt;$DO309) + $B$19*($DN309=$DO309))</f>
        <v>3.7037037037037035E-4</v>
      </c>
      <c r="EI309" s="10" cm="1">
        <f t="array" aca="1" ref="EI309" ca="1">(1-$B$18)*SUMPRODUCT(OFFSET($BO$15,0,0,$B$14,1), 1*(_xlfn._xlws.FILTER(OFFSET($O$15,0,$DN309,$B$8,1),OFFSET($M$15,0,0,$B$8,1))=EI$13), 1*(_xlfn._xlws.FILTER(OFFSET($O$15,0,$DO309,$B$8,1),OFFSET($M$15,0,0,$B$8,1))=EI$14))   /   SUM(OFFSET($BO$15,0,0,$B$14,1)) + $B$18/($B$19*$B$19*($DN309&lt;&gt;$DO309) + $B$19*($DN309=$DO309))</f>
        <v>3.7037037037037035E-4</v>
      </c>
      <c r="EJ309" s="10" cm="1">
        <f t="array" aca="1" ref="EJ309" ca="1">(1-$B$18)*SUMPRODUCT(OFFSET($BO$15,0,0,$B$14,1), 1*(_xlfn._xlws.FILTER(OFFSET($O$15,0,$DN309,$B$8,1),OFFSET($M$15,0,0,$B$8,1))=EJ$13), 1*(_xlfn._xlws.FILTER(OFFSET($O$15,0,$DO309,$B$8,1),OFFSET($M$15,0,0,$B$8,1))=EJ$14))   /   SUM(OFFSET($BO$15,0,0,$B$14,1)) + $B$18/($B$19*$B$19*($DN309&lt;&gt;$DO309) + $B$19*($DN309=$DO309))</f>
        <v>3.7037037037037035E-4</v>
      </c>
      <c r="EK309" s="10" cm="1">
        <f t="array" aca="1" ref="EK309" ca="1">(1-$B$18)*SUMPRODUCT(OFFSET($BO$15,0,0,$B$14,1), 1*(_xlfn._xlws.FILTER(OFFSET($O$15,0,$DN309,$B$8,1),OFFSET($M$15,0,0,$B$8,1))=EK$13), 1*(_xlfn._xlws.FILTER(OFFSET($O$15,0,$DO309,$B$8,1),OFFSET($M$15,0,0,$B$8,1))=EK$14))   /   SUM(OFFSET($BO$15,0,0,$B$14,1)) + $B$18/($B$19*$B$19*($DN309&lt;&gt;$DO309) + $B$19*($DN309=$DO309))</f>
        <v>3.7037037037037035E-4</v>
      </c>
      <c r="EL309" s="10" cm="1">
        <f t="array" aca="1" ref="EL309" ca="1">(1-$B$18)*SUMPRODUCT(OFFSET($BO$15,0,0,$B$14,1), 1*(_xlfn._xlws.FILTER(OFFSET($O$15,0,$DN309,$B$8,1),OFFSET($M$15,0,0,$B$8,1))=EL$13), 1*(_xlfn._xlws.FILTER(OFFSET($O$15,0,$DO309,$B$8,1),OFFSET($M$15,0,0,$B$8,1))=EL$14))   /   SUM(OFFSET($BO$15,0,0,$B$14,1)) + $B$18/($B$19*$B$19*($DN309&lt;&gt;$DO309) + $B$19*($DN309=$DO309))</f>
        <v>3.7037037037037035E-4</v>
      </c>
      <c r="EM309" s="10" cm="1">
        <f t="array" aca="1" ref="EM309" ca="1">(1-$B$18)*SUMPRODUCT(OFFSET($BO$15,0,0,$B$14,1), 1*(_xlfn._xlws.FILTER(OFFSET($O$15,0,$DN309,$B$8,1),OFFSET($M$15,0,0,$B$8,1))=EM$13), 1*(_xlfn._xlws.FILTER(OFFSET($O$15,0,$DO309,$B$8,1),OFFSET($M$15,0,0,$B$8,1))=EM$14))   /   SUM(OFFSET($BO$15,0,0,$B$14,1)) + $B$18/($B$19*$B$19*($DN309&lt;&gt;$DO309) + $B$19*($DN309=$DO309))</f>
        <v>3.7037037037037035E-4</v>
      </c>
      <c r="EN309" s="10" cm="1">
        <f t="array" aca="1" ref="EN309" ca="1">(1-$B$18)*SUMPRODUCT(OFFSET($BO$15,0,0,$B$14,1), 1*(_xlfn._xlws.FILTER(OFFSET($O$15,0,$DN309,$B$8,1),OFFSET($M$15,0,0,$B$8,1))=EN$13), 1*(_xlfn._xlws.FILTER(OFFSET($O$15,0,$DO309,$B$8,1),OFFSET($M$15,0,0,$B$8,1))=EN$14))   /   SUM(OFFSET($BO$15,0,0,$B$14,1)) + $B$18/($B$19*$B$19*($DN309&lt;&gt;$DO309) + $B$19*($DN309=$DO309))</f>
        <v>3.7037037037037035E-4</v>
      </c>
      <c r="EO309" s="10" cm="1">
        <f t="array" aca="1" ref="EO309" ca="1">(1-$B$18)*SUMPRODUCT(OFFSET($BO$15,0,0,$B$14,1), 1*(_xlfn._xlws.FILTER(OFFSET($O$15,0,$DN309,$B$8,1),OFFSET($M$15,0,0,$B$8,1))=EO$13), 1*(_xlfn._xlws.FILTER(OFFSET($O$15,0,$DO309,$B$8,1),OFFSET($M$15,0,0,$B$8,1))=EO$14))   /   SUM(OFFSET($BO$15,0,0,$B$14,1)) + $B$18/($B$19*$B$19*($DN309&lt;&gt;$DO309) + $B$19*($DN309=$DO309))</f>
        <v>3.7037037037037035E-4</v>
      </c>
      <c r="EP309" s="10" cm="1">
        <f t="array" aca="1" ref="EP309" ca="1">(1-$B$18)*SUMPRODUCT(OFFSET($BO$15,0,0,$B$14,1), 1*(_xlfn._xlws.FILTER(OFFSET($O$15,0,$DN309,$B$8,1),OFFSET($M$15,0,0,$B$8,1))=EP$13), 1*(_xlfn._xlws.FILTER(OFFSET($O$15,0,$DO309,$B$8,1),OFFSET($M$15,0,0,$B$8,1))=EP$14))   /   SUM(OFFSET($BO$15,0,0,$B$14,1)) + $B$18/($B$19*$B$19*($DN309&lt;&gt;$DO309) + $B$19*($DN309=$DO309))</f>
        <v>3.7037037037037035E-4</v>
      </c>
      <c r="EQ309" s="10" cm="1">
        <f t="array" aca="1" ref="EQ309" ca="1">(1-$B$18)*SUMPRODUCT(OFFSET($BO$15,0,0,$B$14,1), 1*(_xlfn._xlws.FILTER(OFFSET($O$15,0,$DN309,$B$8,1),OFFSET($M$15,0,0,$B$8,1))=EQ$13), 1*(_xlfn._xlws.FILTER(OFFSET($O$15,0,$DO309,$B$8,1),OFFSET($M$15,0,0,$B$8,1))=EQ$14))   /   SUM(OFFSET($BO$15,0,0,$B$14,1)) + $B$18/($B$19*$B$19*($DN309&lt;&gt;$DO309) + $B$19*($DN309=$DO309))</f>
        <v>3.7037037037037035E-4</v>
      </c>
      <c r="ER309" s="10" cm="1">
        <f t="array" aca="1" ref="ER309" ca="1">(1-$B$18)*SUMPRODUCT(OFFSET($BO$15,0,0,$B$14,1), 1*(_xlfn._xlws.FILTER(OFFSET($O$15,0,$DN309,$B$8,1),OFFSET($M$15,0,0,$B$8,1))=ER$13), 1*(_xlfn._xlws.FILTER(OFFSET($O$15,0,$DO309,$B$8,1),OFFSET($M$15,0,0,$B$8,1))=ER$14))   /   SUM(OFFSET($BO$15,0,0,$B$14,1)) + $B$18/($B$19*$B$19*($DN309&lt;&gt;$DO309) + $B$19*($DN309=$DO309))</f>
        <v>3.7037037037037035E-4</v>
      </c>
      <c r="ES309" s="10" cm="1">
        <f t="array" aca="1" ref="ES309" ca="1">(1-$B$18)*SUMPRODUCT(OFFSET($BO$15,0,0,$B$14,1), 1*(_xlfn._xlws.FILTER(OFFSET($O$15,0,$DN309,$B$8,1),OFFSET($M$15,0,0,$B$8,1))=ES$13), 1*(_xlfn._xlws.FILTER(OFFSET($O$15,0,$DO309,$B$8,1),OFFSET($M$15,0,0,$B$8,1))=ES$14))   /   SUM(OFFSET($BO$15,0,0,$B$14,1)) + $B$18/($B$19*$B$19*($DN309&lt;&gt;$DO309) + $B$19*($DN309=$DO309))</f>
        <v>3.7037037037037035E-4</v>
      </c>
      <c r="ET309" s="10" cm="1">
        <f t="array" aca="1" ref="ET309" ca="1">(1-$B$18)*SUMPRODUCT(OFFSET($BO$15,0,0,$B$14,1), 1*(_xlfn._xlws.FILTER(OFFSET($O$15,0,$DN309,$B$8,1),OFFSET($M$15,0,0,$B$8,1))=ET$13), 1*(_xlfn._xlws.FILTER(OFFSET($O$15,0,$DO309,$B$8,1),OFFSET($M$15,0,0,$B$8,1))=ET$14))   /   SUM(OFFSET($BO$15,0,0,$B$14,1)) + $B$18/($B$19*$B$19*($DN309&lt;&gt;$DO309) + $B$19*($DN309=$DO309))</f>
        <v>0.97037037037037033</v>
      </c>
      <c r="EU309" s="10" cm="1">
        <f t="array" aca="1" ref="EU309" ca="1">(1-$B$18)*SUMPRODUCT(OFFSET($BO$15,0,0,$B$14,1), 1*(_xlfn._xlws.FILTER(OFFSET($O$15,0,$DN309,$B$8,1),OFFSET($M$15,0,0,$B$8,1))=EU$13), 1*(_xlfn._xlws.FILTER(OFFSET($O$15,0,$DO309,$B$8,1),OFFSET($M$15,0,0,$B$8,1))=EU$14))   /   SUM(OFFSET($BO$15,0,0,$B$14,1)) + $B$18/($B$19*$B$19*($DN309&lt;&gt;$DO309) + $B$19*($DN309=$DO309))</f>
        <v>3.7037037037037035E-4</v>
      </c>
      <c r="EV309" s="10" cm="1">
        <f t="array" aca="1" ref="EV309" ca="1">(1-$B$18)*SUMPRODUCT(OFFSET($BO$15,0,0,$B$14,1), 1*(_xlfn._xlws.FILTER(OFFSET($O$15,0,$DN309,$B$8,1),OFFSET($M$15,0,0,$B$8,1))=EV$13), 1*(_xlfn._xlws.FILTER(OFFSET($O$15,0,$DO309,$B$8,1),OFFSET($M$15,0,0,$B$8,1))=EV$14))   /   SUM(OFFSET($BO$15,0,0,$B$14,1)) + $B$18/($B$19*$B$19*($DN309&lt;&gt;$DO309) + $B$19*($DN309=$DO309))</f>
        <v>3.7037037037037035E-4</v>
      </c>
      <c r="EW309" s="10" cm="1">
        <f t="array" aca="1" ref="EW309" ca="1">(1-$B$18)*SUMPRODUCT(OFFSET($BO$15,0,0,$B$14,1), 1*(_xlfn._xlws.FILTER(OFFSET($O$15,0,$DN309,$B$8,1),OFFSET($M$15,0,0,$B$8,1))=EW$13), 1*(_xlfn._xlws.FILTER(OFFSET($O$15,0,$DO309,$B$8,1),OFFSET($M$15,0,0,$B$8,1))=EW$14))   /   SUM(OFFSET($BO$15,0,0,$B$14,1)) + $B$18/($B$19*$B$19*($DN309&lt;&gt;$DO309) + $B$19*($DN309=$DO309))</f>
        <v>3.7037037037037035E-4</v>
      </c>
      <c r="EX309" s="10" cm="1">
        <f t="array" aca="1" ref="EX309" ca="1">(1-$B$18)*SUMPRODUCT(OFFSET($BO$15,0,0,$B$14,1), 1*(_xlfn._xlws.FILTER(OFFSET($O$15,0,$DN309,$B$8,1),OFFSET($M$15,0,0,$B$8,1))=EX$13), 1*(_xlfn._xlws.FILTER(OFFSET($O$15,0,$DO309,$B$8,1),OFFSET($M$15,0,0,$B$8,1))=EX$14))   /   SUM(OFFSET($BO$15,0,0,$B$14,1)) + $B$18/($B$19*$B$19*($DN309&lt;&gt;$DO309) + $B$19*($DN309=$DO309))</f>
        <v>3.7037037037037035E-4</v>
      </c>
      <c r="EY309" s="10" cm="1">
        <f t="array" aca="1" ref="EY309" ca="1">(1-$B$18)*SUMPRODUCT(OFFSET($BO$15,0,0,$B$14,1), 1*(_xlfn._xlws.FILTER(OFFSET($O$15,0,$DN309,$B$8,1),OFFSET($M$15,0,0,$B$8,1))=EY$13), 1*(_xlfn._xlws.FILTER(OFFSET($O$15,0,$DO309,$B$8,1),OFFSET($M$15,0,0,$B$8,1))=EY$14))   /   SUM(OFFSET($BO$15,0,0,$B$14,1)) + $B$18/($B$19*$B$19*($DN309&lt;&gt;$DO309) + $B$19*($DN309=$DO309))</f>
        <v>3.7037037037037035E-4</v>
      </c>
      <c r="EZ309" s="10" cm="1">
        <f t="array" aca="1" ref="EZ309" ca="1">(1-$B$18)*SUMPRODUCT(OFFSET($BO$15,0,0,$B$14,1), 1*(_xlfn._xlws.FILTER(OFFSET($O$15,0,$DN309,$B$8,1),OFFSET($M$15,0,0,$B$8,1))=EZ$13), 1*(_xlfn._xlws.FILTER(OFFSET($O$15,0,$DO309,$B$8,1),OFFSET($M$15,0,0,$B$8,1))=EZ$14))   /   SUM(OFFSET($BO$15,0,0,$B$14,1)) + $B$18/($B$19*$B$19*($DN309&lt;&gt;$DO309) + $B$19*($DN309=$DO309))</f>
        <v>3.7037037037037035E-4</v>
      </c>
      <c r="FA309" s="10" cm="1">
        <f t="array" aca="1" ref="FA309" ca="1">(1-$B$18)*SUMPRODUCT(OFFSET($BO$15,0,0,$B$14,1), 1*(_xlfn._xlws.FILTER(OFFSET($O$15,0,$DN309,$B$8,1),OFFSET($M$15,0,0,$B$8,1))=FA$13), 1*(_xlfn._xlws.FILTER(OFFSET($O$15,0,$DO309,$B$8,1),OFFSET($M$15,0,0,$B$8,1))=FA$14))   /   SUM(OFFSET($BO$15,0,0,$B$14,1)) + $B$18/($B$19*$B$19*($DN309&lt;&gt;$DO309) + $B$19*($DN309=$DO309))</f>
        <v>3.7037037037037035E-4</v>
      </c>
      <c r="FB309" s="10" cm="1">
        <f t="array" aca="1" ref="FB309" ca="1">(1-$B$18)*SUMPRODUCT(OFFSET($BO$15,0,0,$B$14,1), 1*(_xlfn._xlws.FILTER(OFFSET($O$15,0,$DN309,$B$8,1),OFFSET($M$15,0,0,$B$8,1))=FB$13), 1*(_xlfn._xlws.FILTER(OFFSET($O$15,0,$DO309,$B$8,1),OFFSET($M$15,0,0,$B$8,1))=FB$14))   /   SUM(OFFSET($BO$15,0,0,$B$14,1)) + $B$18/($B$19*$B$19*($DN309&lt;&gt;$DO309) + $B$19*($DN309=$DO309))</f>
        <v>3.7037037037037035E-4</v>
      </c>
      <c r="FC309" s="10" cm="1">
        <f t="array" aca="1" ref="FC309" ca="1">(1-$B$18)*SUMPRODUCT(OFFSET($BO$15,0,0,$B$14,1), 1*(_xlfn._xlws.FILTER(OFFSET($O$15,0,$DN309,$B$8,1),OFFSET($M$15,0,0,$B$8,1))=FC$13), 1*(_xlfn._xlws.FILTER(OFFSET($O$15,0,$DO309,$B$8,1),OFFSET($M$15,0,0,$B$8,1))=FC$14))   /   SUM(OFFSET($BO$15,0,0,$B$14,1)) + $B$18/($B$19*$B$19*($DN309&lt;&gt;$DO309) + $B$19*($DN309=$DO309))</f>
        <v>3.7037037037037035E-4</v>
      </c>
      <c r="FD309" s="10" cm="1">
        <f t="array" aca="1" ref="FD309" ca="1">(1-$B$18)*SUMPRODUCT(OFFSET($BO$15,0,0,$B$14,1), 1*(_xlfn._xlws.FILTER(OFFSET($O$15,0,$DN309,$B$8,1),OFFSET($M$15,0,0,$B$8,1))=FD$13), 1*(_xlfn._xlws.FILTER(OFFSET($O$15,0,$DO309,$B$8,1),OFFSET($M$15,0,0,$B$8,1))=FD$14))   /   SUM(OFFSET($BO$15,0,0,$B$14,1)) + $B$18/($B$19*$B$19*($DN309&lt;&gt;$DO309) + $B$19*($DN309=$DO309))</f>
        <v>3.7037037037037035E-4</v>
      </c>
      <c r="FE309" s="10" cm="1">
        <f t="array" aca="1" ref="FE309" ca="1">(1-$B$18)*SUMPRODUCT(OFFSET($BO$15,0,0,$B$14,1), 1*(_xlfn._xlws.FILTER(OFFSET($O$15,0,$DN309,$B$8,1),OFFSET($M$15,0,0,$B$8,1))=FE$13), 1*(_xlfn._xlws.FILTER(OFFSET($O$15,0,$DO309,$B$8,1),OFFSET($M$15,0,0,$B$8,1))=FE$14))   /   SUM(OFFSET($BO$15,0,0,$B$14,1)) + $B$18/($B$19*$B$19*($DN309&lt;&gt;$DO309) + $B$19*($DN309=$DO309))</f>
        <v>3.7037037037037035E-4</v>
      </c>
      <c r="FF309" s="10" cm="1">
        <f t="array" aca="1" ref="FF309" ca="1">(1-$B$18)*SUMPRODUCT(OFFSET($BO$15,0,0,$B$14,1), 1*(_xlfn._xlws.FILTER(OFFSET($O$15,0,$DN309,$B$8,1),OFFSET($M$15,0,0,$B$8,1))=FF$13), 1*(_xlfn._xlws.FILTER(OFFSET($O$15,0,$DO309,$B$8,1),OFFSET($M$15,0,0,$B$8,1))=FF$14))   /   SUM(OFFSET($BO$15,0,0,$B$14,1)) + $B$18/($B$19*$B$19*($DN309&lt;&gt;$DO309) + $B$19*($DN309=$DO309))</f>
        <v>3.7037037037037035E-4</v>
      </c>
      <c r="FG309" s="10" cm="1">
        <f t="array" aca="1" ref="FG309" ca="1">(1-$B$18)*SUMPRODUCT(OFFSET($BO$15,0,0,$B$14,1), 1*(_xlfn._xlws.FILTER(OFFSET($O$15,0,$DN309,$B$8,1),OFFSET($M$15,0,0,$B$8,1))=FG$13), 1*(_xlfn._xlws.FILTER(OFFSET($O$15,0,$DO309,$B$8,1),OFFSET($M$15,0,0,$B$8,1))=FG$14))   /   SUM(OFFSET($BO$15,0,0,$B$14,1)) + $B$18/($B$19*$B$19*($DN309&lt;&gt;$DO309) + $B$19*($DN309=$DO309))</f>
        <v>3.7037037037037035E-4</v>
      </c>
      <c r="FH309" s="10" cm="1">
        <f t="array" aca="1" ref="FH309" ca="1">(1-$B$18)*SUMPRODUCT(OFFSET($BO$15,0,0,$B$14,1), 1*(_xlfn._xlws.FILTER(OFFSET($O$15,0,$DN309,$B$8,1),OFFSET($M$15,0,0,$B$8,1))=FH$13), 1*(_xlfn._xlws.FILTER(OFFSET($O$15,0,$DO309,$B$8,1),OFFSET($M$15,0,0,$B$8,1))=FH$14))   /   SUM(OFFSET($BO$15,0,0,$B$14,1)) + $B$18/($B$19*$B$19*($DN309&lt;&gt;$DO309) + $B$19*($DN309=$DO309))</f>
        <v>3.7037037037037035E-4</v>
      </c>
      <c r="FI309" s="10" cm="1">
        <f t="array" aca="1" ref="FI309" ca="1">(1-$B$18)*SUMPRODUCT(OFFSET($BO$15,0,0,$B$14,1), 1*(_xlfn._xlws.FILTER(OFFSET($O$15,0,$DN309,$B$8,1),OFFSET($M$15,0,0,$B$8,1))=FI$13), 1*(_xlfn._xlws.FILTER(OFFSET($O$15,0,$DO309,$B$8,1),OFFSET($M$15,0,0,$B$8,1))=FI$14))   /   SUM(OFFSET($BO$15,0,0,$B$14,1)) + $B$18/($B$19*$B$19*($DN309&lt;&gt;$DO309) + $B$19*($DN309=$DO309))</f>
        <v>3.7037037037037035E-4</v>
      </c>
      <c r="FJ309" s="10" cm="1">
        <f t="array" aca="1" ref="FJ309" ca="1">(1-$B$18)*SUMPRODUCT(OFFSET($BO$15,0,0,$B$14,1), 1*(_xlfn._xlws.FILTER(OFFSET($O$15,0,$DN309,$B$8,1),OFFSET($M$15,0,0,$B$8,1))=FJ$13), 1*(_xlfn._xlws.FILTER(OFFSET($O$15,0,$DO309,$B$8,1),OFFSET($M$15,0,0,$B$8,1))=FJ$14))   /   SUM(OFFSET($BO$15,0,0,$B$14,1)) + $B$18/($B$19*$B$19*($DN309&lt;&gt;$DO309) + $B$19*($DN309=$DO309))</f>
        <v>3.7037037037037035E-4</v>
      </c>
      <c r="FK309" s="10" cm="1">
        <f t="array" aca="1" ref="FK309" ca="1">(1-$B$18)*SUMPRODUCT(OFFSET($BO$15,0,0,$B$14,1), 1*(_xlfn._xlws.FILTER(OFFSET($O$15,0,$DN309,$B$8,1),OFFSET($M$15,0,0,$B$8,1))=FK$13), 1*(_xlfn._xlws.FILTER(OFFSET($O$15,0,$DO309,$B$8,1),OFFSET($M$15,0,0,$B$8,1))=FK$14))   /   SUM(OFFSET($BO$15,0,0,$B$14,1)) + $B$18/($B$19*$B$19*($DN309&lt;&gt;$DO309) + $B$19*($DN309=$DO309))</f>
        <v>3.7037037037037035E-4</v>
      </c>
      <c r="FL309" s="10" cm="1">
        <f t="array" aca="1" ref="FL309" ca="1">(1-$B$18)*SUMPRODUCT(OFFSET($BO$15,0,0,$B$14,1), 1*(_xlfn._xlws.FILTER(OFFSET($O$15,0,$DN309,$B$8,1),OFFSET($M$15,0,0,$B$8,1))=FL$13), 1*(_xlfn._xlws.FILTER(OFFSET($O$15,0,$DO309,$B$8,1),OFFSET($M$15,0,0,$B$8,1))=FL$14))   /   SUM(OFFSET($BO$15,0,0,$B$14,1)) + $B$18/($B$19*$B$19*($DN309&lt;&gt;$DO309) + $B$19*($DN309=$DO309))</f>
        <v>3.7037037037037035E-4</v>
      </c>
      <c r="FM309" s="10" cm="1">
        <f t="array" aca="1" ref="FM309" ca="1">(1-$B$18)*SUMPRODUCT(OFFSET($BO$15,0,0,$B$14,1), 1*(_xlfn._xlws.FILTER(OFFSET($O$15,0,$DN309,$B$8,1),OFFSET($M$15,0,0,$B$8,1))=FM$13), 1*(_xlfn._xlws.FILTER(OFFSET($O$15,0,$DO309,$B$8,1),OFFSET($M$15,0,0,$B$8,1))=FM$14))   /   SUM(OFFSET($BO$15,0,0,$B$14,1)) + $B$18/($B$19*$B$19*($DN309&lt;&gt;$DO309) + $B$19*($DN309=$DO309))</f>
        <v>3.7037037037037035E-4</v>
      </c>
      <c r="FN309" s="10" cm="1">
        <f t="array" aca="1" ref="FN309" ca="1">(1-$B$18)*SUMPRODUCT(OFFSET($BO$15,0,0,$B$14,1), 1*(_xlfn._xlws.FILTER(OFFSET($O$15,0,$DN309,$B$8,1),OFFSET($M$15,0,0,$B$8,1))=FN$13), 1*(_xlfn._xlws.FILTER(OFFSET($O$15,0,$DO309,$B$8,1),OFFSET($M$15,0,0,$B$8,1))=FN$14))   /   SUM(OFFSET($BO$15,0,0,$B$14,1)) + $B$18/($B$19*$B$19*($DN309&lt;&gt;$DO309) + $B$19*($DN309=$DO309))</f>
        <v>3.7037037037037035E-4</v>
      </c>
      <c r="FO309" s="10" cm="1">
        <f t="array" aca="1" ref="FO309" ca="1">(1-$B$18)*SUMPRODUCT(OFFSET($BO$15,0,0,$B$14,1), 1*(_xlfn._xlws.FILTER(OFFSET($O$15,0,$DN309,$B$8,1),OFFSET($M$15,0,0,$B$8,1))=FO$13), 1*(_xlfn._xlws.FILTER(OFFSET($O$15,0,$DO309,$B$8,1),OFFSET($M$15,0,0,$B$8,1))=FO$14))   /   SUM(OFFSET($BO$15,0,0,$B$14,1)) + $B$18/($B$19*$B$19*($DN309&lt;&gt;$DO309) + $B$19*($DN309=$DO309))</f>
        <v>3.7037037037037035E-4</v>
      </c>
      <c r="FP309" s="10" cm="1">
        <f t="array" aca="1" ref="FP309" ca="1">(1-$B$18)*SUMPRODUCT(OFFSET($BO$15,0,0,$B$14,1), 1*(_xlfn._xlws.FILTER(OFFSET($O$15,0,$DN309,$B$8,1),OFFSET($M$15,0,0,$B$8,1))=FP$13), 1*(_xlfn._xlws.FILTER(OFFSET($O$15,0,$DO309,$B$8,1),OFFSET($M$15,0,0,$B$8,1))=FP$14))   /   SUM(OFFSET($BO$15,0,0,$B$14,1)) + $B$18/($B$19*$B$19*($DN309&lt;&gt;$DO309) + $B$19*($DN309=$DO309))</f>
        <v>3.7037037037037035E-4</v>
      </c>
      <c r="FQ309" s="10" cm="1">
        <f t="array" aca="1" ref="FQ309" ca="1">(1-$B$18)*SUMPRODUCT(OFFSET($BO$15,0,0,$B$14,1), 1*(_xlfn._xlws.FILTER(OFFSET($O$15,0,$DN309,$B$8,1),OFFSET($M$15,0,0,$B$8,1))=FQ$13), 1*(_xlfn._xlws.FILTER(OFFSET($O$15,0,$DO309,$B$8,1),OFFSET($M$15,0,0,$B$8,1))=FQ$14))   /   SUM(OFFSET($BO$15,0,0,$B$14,1)) + $B$18/($B$19*$B$19*($DN309&lt;&gt;$DO309) + $B$19*($DN309=$DO309))</f>
        <v>3.7037037037037035E-4</v>
      </c>
      <c r="FR309" s="10" cm="1">
        <f t="array" aca="1" ref="FR309" ca="1">(1-$B$18)*SUMPRODUCT(OFFSET($BO$15,0,0,$B$14,1), 1*(_xlfn._xlws.FILTER(OFFSET($O$15,0,$DN309,$B$8,1),OFFSET($M$15,0,0,$B$8,1))=FR$13), 1*(_xlfn._xlws.FILTER(OFFSET($O$15,0,$DO309,$B$8,1),OFFSET($M$15,0,0,$B$8,1))=FR$14))   /   SUM(OFFSET($BO$15,0,0,$B$14,1)) + $B$18/($B$19*$B$19*($DN309&lt;&gt;$DO309) + $B$19*($DN309=$DO309))</f>
        <v>3.7037037037037035E-4</v>
      </c>
      <c r="FS309" s="10" cm="1">
        <f t="array" aca="1" ref="FS309" ca="1">(1-$B$18)*SUMPRODUCT(OFFSET($BO$15,0,0,$B$14,1), 1*(_xlfn._xlws.FILTER(OFFSET($O$15,0,$DN309,$B$8,1),OFFSET($M$15,0,0,$B$8,1))=FS$13), 1*(_xlfn._xlws.FILTER(OFFSET($O$15,0,$DO309,$B$8,1),OFFSET($M$15,0,0,$B$8,1))=FS$14))   /   SUM(OFFSET($BO$15,0,0,$B$14,1)) + $B$18/($B$19*$B$19*($DN309&lt;&gt;$DO309) + $B$19*($DN309=$DO309))</f>
        <v>3.7037037037037035E-4</v>
      </c>
      <c r="FT309" s="10" cm="1">
        <f t="array" aca="1" ref="FT309" ca="1">(1-$B$18)*SUMPRODUCT(OFFSET($BO$15,0,0,$B$14,1), 1*(_xlfn._xlws.FILTER(OFFSET($O$15,0,$DN309,$B$8,1),OFFSET($M$15,0,0,$B$8,1))=FT$13), 1*(_xlfn._xlws.FILTER(OFFSET($O$15,0,$DO309,$B$8,1),OFFSET($M$15,0,0,$B$8,1))=FT$14))   /   SUM(OFFSET($BO$15,0,0,$B$14,1)) + $B$18/($B$19*$B$19*($DN309&lt;&gt;$DO309) + $B$19*($DN309=$DO309))</f>
        <v>3.7037037037037035E-4</v>
      </c>
      <c r="FU309" s="10" cm="1">
        <f t="array" aca="1" ref="FU309" ca="1">(1-$B$18)*SUMPRODUCT(OFFSET($BO$15,0,0,$B$14,1), 1*(_xlfn._xlws.FILTER(OFFSET($O$15,0,$DN309,$B$8,1),OFFSET($M$15,0,0,$B$8,1))=FU$13), 1*(_xlfn._xlws.FILTER(OFFSET($O$15,0,$DO309,$B$8,1),OFFSET($M$15,0,0,$B$8,1))=FU$14))   /   SUM(OFFSET($BO$15,0,0,$B$14,1)) + $B$18/($B$19*$B$19*($DN309&lt;&gt;$DO309) + $B$19*($DN309=$DO309))</f>
        <v>3.7037037037037035E-4</v>
      </c>
      <c r="FV309" s="10" cm="1">
        <f t="array" aca="1" ref="FV309" ca="1">(1-$B$18)*SUMPRODUCT(OFFSET($BO$15,0,0,$B$14,1), 1*(_xlfn._xlws.FILTER(OFFSET($O$15,0,$DN309,$B$8,1),OFFSET($M$15,0,0,$B$8,1))=FV$13), 1*(_xlfn._xlws.FILTER(OFFSET($O$15,0,$DO309,$B$8,1),OFFSET($M$15,0,0,$B$8,1))=FV$14))   /   SUM(OFFSET($BO$15,0,0,$B$14,1)) + $B$18/($B$19*$B$19*($DN309&lt;&gt;$DO309) + $B$19*($DN309=$DO309))</f>
        <v>3.7037037037037035E-4</v>
      </c>
      <c r="FW309" s="10" cm="1">
        <f t="array" aca="1" ref="FW309" ca="1">(1-$B$18)*SUMPRODUCT(OFFSET($BO$15,0,0,$B$14,1), 1*(_xlfn._xlws.FILTER(OFFSET($O$15,0,$DN309,$B$8,1),OFFSET($M$15,0,0,$B$8,1))=FW$13), 1*(_xlfn._xlws.FILTER(OFFSET($O$15,0,$DO309,$B$8,1),OFFSET($M$15,0,0,$B$8,1))=FW$14))   /   SUM(OFFSET($BO$15,0,0,$B$14,1)) + $B$18/($B$19*$B$19*($DN309&lt;&gt;$DO309) + $B$19*($DN309=$DO309))</f>
        <v>3.7037037037037035E-4</v>
      </c>
      <c r="FX309" s="10" cm="1">
        <f t="array" aca="1" ref="FX309" ca="1">(1-$B$18)*SUMPRODUCT(OFFSET($BO$15,0,0,$B$14,1), 1*(_xlfn._xlws.FILTER(OFFSET($O$15,0,$DN309,$B$8,1),OFFSET($M$15,0,0,$B$8,1))=FX$13), 1*(_xlfn._xlws.FILTER(OFFSET($O$15,0,$DO309,$B$8,1),OFFSET($M$15,0,0,$B$8,1))=FX$14))   /   SUM(OFFSET($BO$15,0,0,$B$14,1)) + $B$18/($B$19*$B$19*($DN309&lt;&gt;$DO309) + $B$19*($DN309=$DO309))</f>
        <v>3.7037037037037035E-4</v>
      </c>
      <c r="FY309" s="10" cm="1">
        <f t="array" aca="1" ref="FY309" ca="1">(1-$B$18)*SUMPRODUCT(OFFSET($BO$15,0,0,$B$14,1), 1*(_xlfn._xlws.FILTER(OFFSET($O$15,0,$DN309,$B$8,1),OFFSET($M$15,0,0,$B$8,1))=FY$13), 1*(_xlfn._xlws.FILTER(OFFSET($O$15,0,$DO309,$B$8,1),OFFSET($M$15,0,0,$B$8,1))=FY$14))   /   SUM(OFFSET($BO$15,0,0,$B$14,1)) + $B$18/($B$19*$B$19*($DN309&lt;&gt;$DO309) + $B$19*($DN309=$DO309))</f>
        <v>3.7037037037037035E-4</v>
      </c>
      <c r="FZ309" s="10" cm="1">
        <f t="array" aca="1" ref="FZ309" ca="1">(1-$B$18)*SUMPRODUCT(OFFSET($BO$15,0,0,$B$14,1), 1*(_xlfn._xlws.FILTER(OFFSET($O$15,0,$DN309,$B$8,1),OFFSET($M$15,0,0,$B$8,1))=FZ$13), 1*(_xlfn._xlws.FILTER(OFFSET($O$15,0,$DO309,$B$8,1),OFFSET($M$15,0,0,$B$8,1))=FZ$14))   /   SUM(OFFSET($BO$15,0,0,$B$14,1)) + $B$18/($B$19*$B$19*($DN309&lt;&gt;$DO309) + $B$19*($DN309=$DO309))</f>
        <v>3.7037037037037035E-4</v>
      </c>
      <c r="GA309" s="10" cm="1">
        <f t="array" aca="1" ref="GA309" ca="1">(1-$B$18)*SUMPRODUCT(OFFSET($BO$15,0,0,$B$14,1), 1*(_xlfn._xlws.FILTER(OFFSET($O$15,0,$DN309,$B$8,1),OFFSET($M$15,0,0,$B$8,1))=GA$13), 1*(_xlfn._xlws.FILTER(OFFSET($O$15,0,$DO309,$B$8,1),OFFSET($M$15,0,0,$B$8,1))=GA$14))   /   SUM(OFFSET($BO$15,0,0,$B$14,1)) + $B$18/($B$19*$B$19*($DN309&lt;&gt;$DO309) + $B$19*($DN309=$DO309))</f>
        <v>3.7037037037037035E-4</v>
      </c>
    </row>
    <row r="310" spans="118:183" x14ac:dyDescent="0.2">
      <c r="DN310" cm="1">
        <f t="array" aca="1" ref="DN310" ca="1">INDEX(_xlfn.ANCHORARRAY($CP$15), 1 + INT((ROWS($DO$15:$DO310) - 1) / ROWS(_xlfn.ANCHORARRAY($CP$15))))</f>
        <v>18</v>
      </c>
      <c r="DO310" cm="1">
        <f t="array" aca="1" ref="DO310" ca="1">INDEX(_xlfn.ANCHORARRAY($CP$15),1+MOD(ROWS($DO$15:$DO310)-1,ROWS(_xlfn.ANCHORARRAY($CP$15))))</f>
        <v>11</v>
      </c>
      <c r="DP310" s="10" cm="1">
        <f t="array" aca="1" ref="DP310" ca="1">(1-$B$18)*SUMPRODUCT(OFFSET($BO$15,0,0,$B$14,1), 1*(_xlfn._xlws.FILTER(OFFSET($O$15,0,$DN310,$B$8,1),OFFSET($M$15,0,0,$B$8,1))=DP$13), 1*(_xlfn._xlws.FILTER(OFFSET($O$15,0,$DO310,$B$8,1),OFFSET($M$15,0,0,$B$8,1))=DP$14))   /   SUM(OFFSET($BO$15,0,0,$B$14,1)) + $B$18/($B$19*$B$19*($DN310&lt;&gt;$DO310) + $B$19*($DN310=$DO310))</f>
        <v>3.7037037037037035E-4</v>
      </c>
      <c r="DQ310" s="10" cm="1">
        <f t="array" aca="1" ref="DQ310" ca="1">(1-$B$18)*SUMPRODUCT(OFFSET($BO$15,0,0,$B$14,1), 1*(_xlfn._xlws.FILTER(OFFSET($O$15,0,$DN310,$B$8,1),OFFSET($M$15,0,0,$B$8,1))=DQ$13), 1*(_xlfn._xlws.FILTER(OFFSET($O$15,0,$DO310,$B$8,1),OFFSET($M$15,0,0,$B$8,1))=DQ$14))   /   SUM(OFFSET($BO$15,0,0,$B$14,1)) + $B$18/($B$19*$B$19*($DN310&lt;&gt;$DO310) + $B$19*($DN310=$DO310))</f>
        <v>3.7037037037037035E-4</v>
      </c>
      <c r="DR310" s="10" cm="1">
        <f t="array" aca="1" ref="DR310" ca="1">(1-$B$18)*SUMPRODUCT(OFFSET($BO$15,0,0,$B$14,1), 1*(_xlfn._xlws.FILTER(OFFSET($O$15,0,$DN310,$B$8,1),OFFSET($M$15,0,0,$B$8,1))=DR$13), 1*(_xlfn._xlws.FILTER(OFFSET($O$15,0,$DO310,$B$8,1),OFFSET($M$15,0,0,$B$8,1))=DR$14))   /   SUM(OFFSET($BO$15,0,0,$B$14,1)) + $B$18/($B$19*$B$19*($DN310&lt;&gt;$DO310) + $B$19*($DN310=$DO310))</f>
        <v>3.7037037037037035E-4</v>
      </c>
      <c r="DS310" s="10" cm="1">
        <f t="array" aca="1" ref="DS310" ca="1">(1-$B$18)*SUMPRODUCT(OFFSET($BO$15,0,0,$B$14,1), 1*(_xlfn._xlws.FILTER(OFFSET($O$15,0,$DN310,$B$8,1),OFFSET($M$15,0,0,$B$8,1))=DS$13), 1*(_xlfn._xlws.FILTER(OFFSET($O$15,0,$DO310,$B$8,1),OFFSET($M$15,0,0,$B$8,1))=DS$14))   /   SUM(OFFSET($BO$15,0,0,$B$14,1)) + $B$18/($B$19*$B$19*($DN310&lt;&gt;$DO310) + $B$19*($DN310=$DO310))</f>
        <v>3.7037037037037035E-4</v>
      </c>
      <c r="DT310" s="10" cm="1">
        <f t="array" aca="1" ref="DT310" ca="1">(1-$B$18)*SUMPRODUCT(OFFSET($BO$15,0,0,$B$14,1), 1*(_xlfn._xlws.FILTER(OFFSET($O$15,0,$DN310,$B$8,1),OFFSET($M$15,0,0,$B$8,1))=DT$13), 1*(_xlfn._xlws.FILTER(OFFSET($O$15,0,$DO310,$B$8,1),OFFSET($M$15,0,0,$B$8,1))=DT$14))   /   SUM(OFFSET($BO$15,0,0,$B$14,1)) + $B$18/($B$19*$B$19*($DN310&lt;&gt;$DO310) + $B$19*($DN310=$DO310))</f>
        <v>3.7037037037037035E-4</v>
      </c>
      <c r="DU310" s="10" cm="1">
        <f t="array" aca="1" ref="DU310" ca="1">(1-$B$18)*SUMPRODUCT(OFFSET($BO$15,0,0,$B$14,1), 1*(_xlfn._xlws.FILTER(OFFSET($O$15,0,$DN310,$B$8,1),OFFSET($M$15,0,0,$B$8,1))=DU$13), 1*(_xlfn._xlws.FILTER(OFFSET($O$15,0,$DO310,$B$8,1),OFFSET($M$15,0,0,$B$8,1))=DU$14))   /   SUM(OFFSET($BO$15,0,0,$B$14,1)) + $B$18/($B$19*$B$19*($DN310&lt;&gt;$DO310) + $B$19*($DN310=$DO310))</f>
        <v>3.7037037037037035E-4</v>
      </c>
      <c r="DV310" s="10" cm="1">
        <f t="array" aca="1" ref="DV310" ca="1">(1-$B$18)*SUMPRODUCT(OFFSET($BO$15,0,0,$B$14,1), 1*(_xlfn._xlws.FILTER(OFFSET($O$15,0,$DN310,$B$8,1),OFFSET($M$15,0,0,$B$8,1))=DV$13), 1*(_xlfn._xlws.FILTER(OFFSET($O$15,0,$DO310,$B$8,1),OFFSET($M$15,0,0,$B$8,1))=DV$14))   /   SUM(OFFSET($BO$15,0,0,$B$14,1)) + $B$18/($B$19*$B$19*($DN310&lt;&gt;$DO310) + $B$19*($DN310=$DO310))</f>
        <v>3.7037037037037035E-4</v>
      </c>
      <c r="DW310" s="10" cm="1">
        <f t="array" aca="1" ref="DW310" ca="1">(1-$B$18)*SUMPRODUCT(OFFSET($BO$15,0,0,$B$14,1), 1*(_xlfn._xlws.FILTER(OFFSET($O$15,0,$DN310,$B$8,1),OFFSET($M$15,0,0,$B$8,1))=DW$13), 1*(_xlfn._xlws.FILTER(OFFSET($O$15,0,$DO310,$B$8,1),OFFSET($M$15,0,0,$B$8,1))=DW$14))   /   SUM(OFFSET($BO$15,0,0,$B$14,1)) + $B$18/($B$19*$B$19*($DN310&lt;&gt;$DO310) + $B$19*($DN310=$DO310))</f>
        <v>3.7037037037037035E-4</v>
      </c>
      <c r="DX310" s="10" cm="1">
        <f t="array" aca="1" ref="DX310" ca="1">(1-$B$18)*SUMPRODUCT(OFFSET($BO$15,0,0,$B$14,1), 1*(_xlfn._xlws.FILTER(OFFSET($O$15,0,$DN310,$B$8,1),OFFSET($M$15,0,0,$B$8,1))=DX$13), 1*(_xlfn._xlws.FILTER(OFFSET($O$15,0,$DO310,$B$8,1),OFFSET($M$15,0,0,$B$8,1))=DX$14))   /   SUM(OFFSET($BO$15,0,0,$B$14,1)) + $B$18/($B$19*$B$19*($DN310&lt;&gt;$DO310) + $B$19*($DN310=$DO310))</f>
        <v>3.7037037037037035E-4</v>
      </c>
      <c r="DY310" s="10" cm="1">
        <f t="array" aca="1" ref="DY310" ca="1">(1-$B$18)*SUMPRODUCT(OFFSET($BO$15,0,0,$B$14,1), 1*(_xlfn._xlws.FILTER(OFFSET($O$15,0,$DN310,$B$8,1),OFFSET($M$15,0,0,$B$8,1))=DY$13), 1*(_xlfn._xlws.FILTER(OFFSET($O$15,0,$DO310,$B$8,1),OFFSET($M$15,0,0,$B$8,1))=DY$14))   /   SUM(OFFSET($BO$15,0,0,$B$14,1)) + $B$18/($B$19*$B$19*($DN310&lt;&gt;$DO310) + $B$19*($DN310=$DO310))</f>
        <v>3.7037037037037035E-4</v>
      </c>
      <c r="DZ310" s="10" cm="1">
        <f t="array" aca="1" ref="DZ310" ca="1">(1-$B$18)*SUMPRODUCT(OFFSET($BO$15,0,0,$B$14,1), 1*(_xlfn._xlws.FILTER(OFFSET($O$15,0,$DN310,$B$8,1),OFFSET($M$15,0,0,$B$8,1))=DZ$13), 1*(_xlfn._xlws.FILTER(OFFSET($O$15,0,$DO310,$B$8,1),OFFSET($M$15,0,0,$B$8,1))=DZ$14))   /   SUM(OFFSET($BO$15,0,0,$B$14,1)) + $B$18/($B$19*$B$19*($DN310&lt;&gt;$DO310) + $B$19*($DN310=$DO310))</f>
        <v>3.7037037037037035E-4</v>
      </c>
      <c r="EA310" s="10" cm="1">
        <f t="array" aca="1" ref="EA310" ca="1">(1-$B$18)*SUMPRODUCT(OFFSET($BO$15,0,0,$B$14,1), 1*(_xlfn._xlws.FILTER(OFFSET($O$15,0,$DN310,$B$8,1),OFFSET($M$15,0,0,$B$8,1))=EA$13), 1*(_xlfn._xlws.FILTER(OFFSET($O$15,0,$DO310,$B$8,1),OFFSET($M$15,0,0,$B$8,1))=EA$14))   /   SUM(OFFSET($BO$15,0,0,$B$14,1)) + $B$18/($B$19*$B$19*($DN310&lt;&gt;$DO310) + $B$19*($DN310=$DO310))</f>
        <v>3.7037037037037035E-4</v>
      </c>
      <c r="EB310" s="10" cm="1">
        <f t="array" aca="1" ref="EB310" ca="1">(1-$B$18)*SUMPRODUCT(OFFSET($BO$15,0,0,$B$14,1), 1*(_xlfn._xlws.FILTER(OFFSET($O$15,0,$DN310,$B$8,1),OFFSET($M$15,0,0,$B$8,1))=EB$13), 1*(_xlfn._xlws.FILTER(OFFSET($O$15,0,$DO310,$B$8,1),OFFSET($M$15,0,0,$B$8,1))=EB$14))   /   SUM(OFFSET($BO$15,0,0,$B$14,1)) + $B$18/($B$19*$B$19*($DN310&lt;&gt;$DO310) + $B$19*($DN310=$DO310))</f>
        <v>3.7037037037037035E-4</v>
      </c>
      <c r="EC310" s="10" cm="1">
        <f t="array" aca="1" ref="EC310" ca="1">(1-$B$18)*SUMPRODUCT(OFFSET($BO$15,0,0,$B$14,1), 1*(_xlfn._xlws.FILTER(OFFSET($O$15,0,$DN310,$B$8,1),OFFSET($M$15,0,0,$B$8,1))=EC$13), 1*(_xlfn._xlws.FILTER(OFFSET($O$15,0,$DO310,$B$8,1),OFFSET($M$15,0,0,$B$8,1))=EC$14))   /   SUM(OFFSET($BO$15,0,0,$B$14,1)) + $B$18/($B$19*$B$19*($DN310&lt;&gt;$DO310) + $B$19*($DN310=$DO310))</f>
        <v>3.7037037037037035E-4</v>
      </c>
      <c r="ED310" s="10" cm="1">
        <f t="array" aca="1" ref="ED310" ca="1">(1-$B$18)*SUMPRODUCT(OFFSET($BO$15,0,0,$B$14,1), 1*(_xlfn._xlws.FILTER(OFFSET($O$15,0,$DN310,$B$8,1),OFFSET($M$15,0,0,$B$8,1))=ED$13), 1*(_xlfn._xlws.FILTER(OFFSET($O$15,0,$DO310,$B$8,1),OFFSET($M$15,0,0,$B$8,1))=ED$14))   /   SUM(OFFSET($BO$15,0,0,$B$14,1)) + $B$18/($B$19*$B$19*($DN310&lt;&gt;$DO310) + $B$19*($DN310=$DO310))</f>
        <v>3.7037037037037035E-4</v>
      </c>
      <c r="EE310" s="10" cm="1">
        <f t="array" aca="1" ref="EE310" ca="1">(1-$B$18)*SUMPRODUCT(OFFSET($BO$15,0,0,$B$14,1), 1*(_xlfn._xlws.FILTER(OFFSET($O$15,0,$DN310,$B$8,1),OFFSET($M$15,0,0,$B$8,1))=EE$13), 1*(_xlfn._xlws.FILTER(OFFSET($O$15,0,$DO310,$B$8,1),OFFSET($M$15,0,0,$B$8,1))=EE$14))   /   SUM(OFFSET($BO$15,0,0,$B$14,1)) + $B$18/($B$19*$B$19*($DN310&lt;&gt;$DO310) + $B$19*($DN310=$DO310))</f>
        <v>3.7037037037037035E-4</v>
      </c>
      <c r="EF310" s="10" cm="1">
        <f t="array" aca="1" ref="EF310" ca="1">(1-$B$18)*SUMPRODUCT(OFFSET($BO$15,0,0,$B$14,1), 1*(_xlfn._xlws.FILTER(OFFSET($O$15,0,$DN310,$B$8,1),OFFSET($M$15,0,0,$B$8,1))=EF$13), 1*(_xlfn._xlws.FILTER(OFFSET($O$15,0,$DO310,$B$8,1),OFFSET($M$15,0,0,$B$8,1))=EF$14))   /   SUM(OFFSET($BO$15,0,0,$B$14,1)) + $B$18/($B$19*$B$19*($DN310&lt;&gt;$DO310) + $B$19*($DN310=$DO310))</f>
        <v>3.7037037037037035E-4</v>
      </c>
      <c r="EG310" s="10" cm="1">
        <f t="array" aca="1" ref="EG310" ca="1">(1-$B$18)*SUMPRODUCT(OFFSET($BO$15,0,0,$B$14,1), 1*(_xlfn._xlws.FILTER(OFFSET($O$15,0,$DN310,$B$8,1),OFFSET($M$15,0,0,$B$8,1))=EG$13), 1*(_xlfn._xlws.FILTER(OFFSET($O$15,0,$DO310,$B$8,1),OFFSET($M$15,0,0,$B$8,1))=EG$14))   /   SUM(OFFSET($BO$15,0,0,$B$14,1)) + $B$18/($B$19*$B$19*($DN310&lt;&gt;$DO310) + $B$19*($DN310=$DO310))</f>
        <v>3.7037037037037035E-4</v>
      </c>
      <c r="EH310" s="10" cm="1">
        <f t="array" aca="1" ref="EH310" ca="1">(1-$B$18)*SUMPRODUCT(OFFSET($BO$15,0,0,$B$14,1), 1*(_xlfn._xlws.FILTER(OFFSET($O$15,0,$DN310,$B$8,1),OFFSET($M$15,0,0,$B$8,1))=EH$13), 1*(_xlfn._xlws.FILTER(OFFSET($O$15,0,$DO310,$B$8,1),OFFSET($M$15,0,0,$B$8,1))=EH$14))   /   SUM(OFFSET($BO$15,0,0,$B$14,1)) + $B$18/($B$19*$B$19*($DN310&lt;&gt;$DO310) + $B$19*($DN310=$DO310))</f>
        <v>3.7037037037037035E-4</v>
      </c>
      <c r="EI310" s="10" cm="1">
        <f t="array" aca="1" ref="EI310" ca="1">(1-$B$18)*SUMPRODUCT(OFFSET($BO$15,0,0,$B$14,1), 1*(_xlfn._xlws.FILTER(OFFSET($O$15,0,$DN310,$B$8,1),OFFSET($M$15,0,0,$B$8,1))=EI$13), 1*(_xlfn._xlws.FILTER(OFFSET($O$15,0,$DO310,$B$8,1),OFFSET($M$15,0,0,$B$8,1))=EI$14))   /   SUM(OFFSET($BO$15,0,0,$B$14,1)) + $B$18/($B$19*$B$19*($DN310&lt;&gt;$DO310) + $B$19*($DN310=$DO310))</f>
        <v>3.7037037037037035E-4</v>
      </c>
      <c r="EJ310" s="10" cm="1">
        <f t="array" aca="1" ref="EJ310" ca="1">(1-$B$18)*SUMPRODUCT(OFFSET($BO$15,0,0,$B$14,1), 1*(_xlfn._xlws.FILTER(OFFSET($O$15,0,$DN310,$B$8,1),OFFSET($M$15,0,0,$B$8,1))=EJ$13), 1*(_xlfn._xlws.FILTER(OFFSET($O$15,0,$DO310,$B$8,1),OFFSET($M$15,0,0,$B$8,1))=EJ$14))   /   SUM(OFFSET($BO$15,0,0,$B$14,1)) + $B$18/($B$19*$B$19*($DN310&lt;&gt;$DO310) + $B$19*($DN310=$DO310))</f>
        <v>3.7037037037037035E-4</v>
      </c>
      <c r="EK310" s="10" cm="1">
        <f t="array" aca="1" ref="EK310" ca="1">(1-$B$18)*SUMPRODUCT(OFFSET($BO$15,0,0,$B$14,1), 1*(_xlfn._xlws.FILTER(OFFSET($O$15,0,$DN310,$B$8,1),OFFSET($M$15,0,0,$B$8,1))=EK$13), 1*(_xlfn._xlws.FILTER(OFFSET($O$15,0,$DO310,$B$8,1),OFFSET($M$15,0,0,$B$8,1))=EK$14))   /   SUM(OFFSET($BO$15,0,0,$B$14,1)) + $B$18/($B$19*$B$19*($DN310&lt;&gt;$DO310) + $B$19*($DN310=$DO310))</f>
        <v>3.7037037037037035E-4</v>
      </c>
      <c r="EL310" s="10" cm="1">
        <f t="array" aca="1" ref="EL310" ca="1">(1-$B$18)*SUMPRODUCT(OFFSET($BO$15,0,0,$B$14,1), 1*(_xlfn._xlws.FILTER(OFFSET($O$15,0,$DN310,$B$8,1),OFFSET($M$15,0,0,$B$8,1))=EL$13), 1*(_xlfn._xlws.FILTER(OFFSET($O$15,0,$DO310,$B$8,1),OFFSET($M$15,0,0,$B$8,1))=EL$14))   /   SUM(OFFSET($BO$15,0,0,$B$14,1)) + $B$18/($B$19*$B$19*($DN310&lt;&gt;$DO310) + $B$19*($DN310=$DO310))</f>
        <v>3.7037037037037035E-4</v>
      </c>
      <c r="EM310" s="10" cm="1">
        <f t="array" aca="1" ref="EM310" ca="1">(1-$B$18)*SUMPRODUCT(OFFSET($BO$15,0,0,$B$14,1), 1*(_xlfn._xlws.FILTER(OFFSET($O$15,0,$DN310,$B$8,1),OFFSET($M$15,0,0,$B$8,1))=EM$13), 1*(_xlfn._xlws.FILTER(OFFSET($O$15,0,$DO310,$B$8,1),OFFSET($M$15,0,0,$B$8,1))=EM$14))   /   SUM(OFFSET($BO$15,0,0,$B$14,1)) + $B$18/($B$19*$B$19*($DN310&lt;&gt;$DO310) + $B$19*($DN310=$DO310))</f>
        <v>3.7037037037037035E-4</v>
      </c>
      <c r="EN310" s="10" cm="1">
        <f t="array" aca="1" ref="EN310" ca="1">(1-$B$18)*SUMPRODUCT(OFFSET($BO$15,0,0,$B$14,1), 1*(_xlfn._xlws.FILTER(OFFSET($O$15,0,$DN310,$B$8,1),OFFSET($M$15,0,0,$B$8,1))=EN$13), 1*(_xlfn._xlws.FILTER(OFFSET($O$15,0,$DO310,$B$8,1),OFFSET($M$15,0,0,$B$8,1))=EN$14))   /   SUM(OFFSET($BO$15,0,0,$B$14,1)) + $B$18/($B$19*$B$19*($DN310&lt;&gt;$DO310) + $B$19*($DN310=$DO310))</f>
        <v>0.48537037037037034</v>
      </c>
      <c r="EO310" s="10" cm="1">
        <f t="array" aca="1" ref="EO310" ca="1">(1-$B$18)*SUMPRODUCT(OFFSET($BO$15,0,0,$B$14,1), 1*(_xlfn._xlws.FILTER(OFFSET($O$15,0,$DN310,$B$8,1),OFFSET($M$15,0,0,$B$8,1))=EO$13), 1*(_xlfn._xlws.FILTER(OFFSET($O$15,0,$DO310,$B$8,1),OFFSET($M$15,0,0,$B$8,1))=EO$14))   /   SUM(OFFSET($BO$15,0,0,$B$14,1)) + $B$18/($B$19*$B$19*($DN310&lt;&gt;$DO310) + $B$19*($DN310=$DO310))</f>
        <v>3.7037037037037035E-4</v>
      </c>
      <c r="EP310" s="10" cm="1">
        <f t="array" aca="1" ref="EP310" ca="1">(1-$B$18)*SUMPRODUCT(OFFSET($BO$15,0,0,$B$14,1), 1*(_xlfn._xlws.FILTER(OFFSET($O$15,0,$DN310,$B$8,1),OFFSET($M$15,0,0,$B$8,1))=EP$13), 1*(_xlfn._xlws.FILTER(OFFSET($O$15,0,$DO310,$B$8,1),OFFSET($M$15,0,0,$B$8,1))=EP$14))   /   SUM(OFFSET($BO$15,0,0,$B$14,1)) + $B$18/($B$19*$B$19*($DN310&lt;&gt;$DO310) + $B$19*($DN310=$DO310))</f>
        <v>0.24287037037037026</v>
      </c>
      <c r="EQ310" s="10" cm="1">
        <f t="array" aca="1" ref="EQ310" ca="1">(1-$B$18)*SUMPRODUCT(OFFSET($BO$15,0,0,$B$14,1), 1*(_xlfn._xlws.FILTER(OFFSET($O$15,0,$DN310,$B$8,1),OFFSET($M$15,0,0,$B$8,1))=EQ$13), 1*(_xlfn._xlws.FILTER(OFFSET($O$15,0,$DO310,$B$8,1),OFFSET($M$15,0,0,$B$8,1))=EQ$14))   /   SUM(OFFSET($BO$15,0,0,$B$14,1)) + $B$18/($B$19*$B$19*($DN310&lt;&gt;$DO310) + $B$19*($DN310=$DO310))</f>
        <v>0.24287037037037026</v>
      </c>
      <c r="ER310" s="10" cm="1">
        <f t="array" aca="1" ref="ER310" ca="1">(1-$B$18)*SUMPRODUCT(OFFSET($BO$15,0,0,$B$14,1), 1*(_xlfn._xlws.FILTER(OFFSET($O$15,0,$DN310,$B$8,1),OFFSET($M$15,0,0,$B$8,1))=ER$13), 1*(_xlfn._xlws.FILTER(OFFSET($O$15,0,$DO310,$B$8,1),OFFSET($M$15,0,0,$B$8,1))=ER$14))   /   SUM(OFFSET($BO$15,0,0,$B$14,1)) + $B$18/($B$19*$B$19*($DN310&lt;&gt;$DO310) + $B$19*($DN310=$DO310))</f>
        <v>3.7037037037037035E-4</v>
      </c>
      <c r="ES310" s="10" cm="1">
        <f t="array" aca="1" ref="ES310" ca="1">(1-$B$18)*SUMPRODUCT(OFFSET($BO$15,0,0,$B$14,1), 1*(_xlfn._xlws.FILTER(OFFSET($O$15,0,$DN310,$B$8,1),OFFSET($M$15,0,0,$B$8,1))=ES$13), 1*(_xlfn._xlws.FILTER(OFFSET($O$15,0,$DO310,$B$8,1),OFFSET($M$15,0,0,$B$8,1))=ES$14))   /   SUM(OFFSET($BO$15,0,0,$B$14,1)) + $B$18/($B$19*$B$19*($DN310&lt;&gt;$DO310) + $B$19*($DN310=$DO310))</f>
        <v>3.7037037037037035E-4</v>
      </c>
      <c r="ET310" s="10" cm="1">
        <f t="array" aca="1" ref="ET310" ca="1">(1-$B$18)*SUMPRODUCT(OFFSET($BO$15,0,0,$B$14,1), 1*(_xlfn._xlws.FILTER(OFFSET($O$15,0,$DN310,$B$8,1),OFFSET($M$15,0,0,$B$8,1))=ET$13), 1*(_xlfn._xlws.FILTER(OFFSET($O$15,0,$DO310,$B$8,1),OFFSET($M$15,0,0,$B$8,1))=ET$14))   /   SUM(OFFSET($BO$15,0,0,$B$14,1)) + $B$18/($B$19*$B$19*($DN310&lt;&gt;$DO310) + $B$19*($DN310=$DO310))</f>
        <v>3.7037037037037035E-4</v>
      </c>
      <c r="EU310" s="10" cm="1">
        <f t="array" aca="1" ref="EU310" ca="1">(1-$B$18)*SUMPRODUCT(OFFSET($BO$15,0,0,$B$14,1), 1*(_xlfn._xlws.FILTER(OFFSET($O$15,0,$DN310,$B$8,1),OFFSET($M$15,0,0,$B$8,1))=EU$13), 1*(_xlfn._xlws.FILTER(OFFSET($O$15,0,$DO310,$B$8,1),OFFSET($M$15,0,0,$B$8,1))=EU$14))   /   SUM(OFFSET($BO$15,0,0,$B$14,1)) + $B$18/($B$19*$B$19*($DN310&lt;&gt;$DO310) + $B$19*($DN310=$DO310))</f>
        <v>3.7037037037037035E-4</v>
      </c>
      <c r="EV310" s="10" cm="1">
        <f t="array" aca="1" ref="EV310" ca="1">(1-$B$18)*SUMPRODUCT(OFFSET($BO$15,0,0,$B$14,1), 1*(_xlfn._xlws.FILTER(OFFSET($O$15,0,$DN310,$B$8,1),OFFSET($M$15,0,0,$B$8,1))=EV$13), 1*(_xlfn._xlws.FILTER(OFFSET($O$15,0,$DO310,$B$8,1),OFFSET($M$15,0,0,$B$8,1))=EV$14))   /   SUM(OFFSET($BO$15,0,0,$B$14,1)) + $B$18/($B$19*$B$19*($DN310&lt;&gt;$DO310) + $B$19*($DN310=$DO310))</f>
        <v>3.7037037037037035E-4</v>
      </c>
      <c r="EW310" s="10" cm="1">
        <f t="array" aca="1" ref="EW310" ca="1">(1-$B$18)*SUMPRODUCT(OFFSET($BO$15,0,0,$B$14,1), 1*(_xlfn._xlws.FILTER(OFFSET($O$15,0,$DN310,$B$8,1),OFFSET($M$15,0,0,$B$8,1))=EW$13), 1*(_xlfn._xlws.FILTER(OFFSET($O$15,0,$DO310,$B$8,1),OFFSET($M$15,0,0,$B$8,1))=EW$14))   /   SUM(OFFSET($BO$15,0,0,$B$14,1)) + $B$18/($B$19*$B$19*($DN310&lt;&gt;$DO310) + $B$19*($DN310=$DO310))</f>
        <v>3.7037037037037035E-4</v>
      </c>
      <c r="EX310" s="10" cm="1">
        <f t="array" aca="1" ref="EX310" ca="1">(1-$B$18)*SUMPRODUCT(OFFSET($BO$15,0,0,$B$14,1), 1*(_xlfn._xlws.FILTER(OFFSET($O$15,0,$DN310,$B$8,1),OFFSET($M$15,0,0,$B$8,1))=EX$13), 1*(_xlfn._xlws.FILTER(OFFSET($O$15,0,$DO310,$B$8,1),OFFSET($M$15,0,0,$B$8,1))=EX$14))   /   SUM(OFFSET($BO$15,0,0,$B$14,1)) + $B$18/($B$19*$B$19*($DN310&lt;&gt;$DO310) + $B$19*($DN310=$DO310))</f>
        <v>3.7037037037037035E-4</v>
      </c>
      <c r="EY310" s="10" cm="1">
        <f t="array" aca="1" ref="EY310" ca="1">(1-$B$18)*SUMPRODUCT(OFFSET($BO$15,0,0,$B$14,1), 1*(_xlfn._xlws.FILTER(OFFSET($O$15,0,$DN310,$B$8,1),OFFSET($M$15,0,0,$B$8,1))=EY$13), 1*(_xlfn._xlws.FILTER(OFFSET($O$15,0,$DO310,$B$8,1),OFFSET($M$15,0,0,$B$8,1))=EY$14))   /   SUM(OFFSET($BO$15,0,0,$B$14,1)) + $B$18/($B$19*$B$19*($DN310&lt;&gt;$DO310) + $B$19*($DN310=$DO310))</f>
        <v>3.7037037037037035E-4</v>
      </c>
      <c r="EZ310" s="10" cm="1">
        <f t="array" aca="1" ref="EZ310" ca="1">(1-$B$18)*SUMPRODUCT(OFFSET($BO$15,0,0,$B$14,1), 1*(_xlfn._xlws.FILTER(OFFSET($O$15,0,$DN310,$B$8,1),OFFSET($M$15,0,0,$B$8,1))=EZ$13), 1*(_xlfn._xlws.FILTER(OFFSET($O$15,0,$DO310,$B$8,1),OFFSET($M$15,0,0,$B$8,1))=EZ$14))   /   SUM(OFFSET($BO$15,0,0,$B$14,1)) + $B$18/($B$19*$B$19*($DN310&lt;&gt;$DO310) + $B$19*($DN310=$DO310))</f>
        <v>3.7037037037037035E-4</v>
      </c>
      <c r="FA310" s="10" cm="1">
        <f t="array" aca="1" ref="FA310" ca="1">(1-$B$18)*SUMPRODUCT(OFFSET($BO$15,0,0,$B$14,1), 1*(_xlfn._xlws.FILTER(OFFSET($O$15,0,$DN310,$B$8,1),OFFSET($M$15,0,0,$B$8,1))=FA$13), 1*(_xlfn._xlws.FILTER(OFFSET($O$15,0,$DO310,$B$8,1),OFFSET($M$15,0,0,$B$8,1))=FA$14))   /   SUM(OFFSET($BO$15,0,0,$B$14,1)) + $B$18/($B$19*$B$19*($DN310&lt;&gt;$DO310) + $B$19*($DN310=$DO310))</f>
        <v>3.7037037037037035E-4</v>
      </c>
      <c r="FB310" s="10" cm="1">
        <f t="array" aca="1" ref="FB310" ca="1">(1-$B$18)*SUMPRODUCT(OFFSET($BO$15,0,0,$B$14,1), 1*(_xlfn._xlws.FILTER(OFFSET($O$15,0,$DN310,$B$8,1),OFFSET($M$15,0,0,$B$8,1))=FB$13), 1*(_xlfn._xlws.FILTER(OFFSET($O$15,0,$DO310,$B$8,1),OFFSET($M$15,0,0,$B$8,1))=FB$14))   /   SUM(OFFSET($BO$15,0,0,$B$14,1)) + $B$18/($B$19*$B$19*($DN310&lt;&gt;$DO310) + $B$19*($DN310=$DO310))</f>
        <v>3.7037037037037035E-4</v>
      </c>
      <c r="FC310" s="10" cm="1">
        <f t="array" aca="1" ref="FC310" ca="1">(1-$B$18)*SUMPRODUCT(OFFSET($BO$15,0,0,$B$14,1), 1*(_xlfn._xlws.FILTER(OFFSET($O$15,0,$DN310,$B$8,1),OFFSET($M$15,0,0,$B$8,1))=FC$13), 1*(_xlfn._xlws.FILTER(OFFSET($O$15,0,$DO310,$B$8,1),OFFSET($M$15,0,0,$B$8,1))=FC$14))   /   SUM(OFFSET($BO$15,0,0,$B$14,1)) + $B$18/($B$19*$B$19*($DN310&lt;&gt;$DO310) + $B$19*($DN310=$DO310))</f>
        <v>3.7037037037037035E-4</v>
      </c>
      <c r="FD310" s="10" cm="1">
        <f t="array" aca="1" ref="FD310" ca="1">(1-$B$18)*SUMPRODUCT(OFFSET($BO$15,0,0,$B$14,1), 1*(_xlfn._xlws.FILTER(OFFSET($O$15,0,$DN310,$B$8,1),OFFSET($M$15,0,0,$B$8,1))=FD$13), 1*(_xlfn._xlws.FILTER(OFFSET($O$15,0,$DO310,$B$8,1),OFFSET($M$15,0,0,$B$8,1))=FD$14))   /   SUM(OFFSET($BO$15,0,0,$B$14,1)) + $B$18/($B$19*$B$19*($DN310&lt;&gt;$DO310) + $B$19*($DN310=$DO310))</f>
        <v>3.7037037037037035E-4</v>
      </c>
      <c r="FE310" s="10" cm="1">
        <f t="array" aca="1" ref="FE310" ca="1">(1-$B$18)*SUMPRODUCT(OFFSET($BO$15,0,0,$B$14,1), 1*(_xlfn._xlws.FILTER(OFFSET($O$15,0,$DN310,$B$8,1),OFFSET($M$15,0,0,$B$8,1))=FE$13), 1*(_xlfn._xlws.FILTER(OFFSET($O$15,0,$DO310,$B$8,1),OFFSET($M$15,0,0,$B$8,1))=FE$14))   /   SUM(OFFSET($BO$15,0,0,$B$14,1)) + $B$18/($B$19*$B$19*($DN310&lt;&gt;$DO310) + $B$19*($DN310=$DO310))</f>
        <v>3.7037037037037035E-4</v>
      </c>
      <c r="FF310" s="10" cm="1">
        <f t="array" aca="1" ref="FF310" ca="1">(1-$B$18)*SUMPRODUCT(OFFSET($BO$15,0,0,$B$14,1), 1*(_xlfn._xlws.FILTER(OFFSET($O$15,0,$DN310,$B$8,1),OFFSET($M$15,0,0,$B$8,1))=FF$13), 1*(_xlfn._xlws.FILTER(OFFSET($O$15,0,$DO310,$B$8,1),OFFSET($M$15,0,0,$B$8,1))=FF$14))   /   SUM(OFFSET($BO$15,0,0,$B$14,1)) + $B$18/($B$19*$B$19*($DN310&lt;&gt;$DO310) + $B$19*($DN310=$DO310))</f>
        <v>3.7037037037037035E-4</v>
      </c>
      <c r="FG310" s="10" cm="1">
        <f t="array" aca="1" ref="FG310" ca="1">(1-$B$18)*SUMPRODUCT(OFFSET($BO$15,0,0,$B$14,1), 1*(_xlfn._xlws.FILTER(OFFSET($O$15,0,$DN310,$B$8,1),OFFSET($M$15,0,0,$B$8,1))=FG$13), 1*(_xlfn._xlws.FILTER(OFFSET($O$15,0,$DO310,$B$8,1),OFFSET($M$15,0,0,$B$8,1))=FG$14))   /   SUM(OFFSET($BO$15,0,0,$B$14,1)) + $B$18/($B$19*$B$19*($DN310&lt;&gt;$DO310) + $B$19*($DN310=$DO310))</f>
        <v>3.7037037037037035E-4</v>
      </c>
      <c r="FH310" s="10" cm="1">
        <f t="array" aca="1" ref="FH310" ca="1">(1-$B$18)*SUMPRODUCT(OFFSET($BO$15,0,0,$B$14,1), 1*(_xlfn._xlws.FILTER(OFFSET($O$15,0,$DN310,$B$8,1),OFFSET($M$15,0,0,$B$8,1))=FH$13), 1*(_xlfn._xlws.FILTER(OFFSET($O$15,0,$DO310,$B$8,1),OFFSET($M$15,0,0,$B$8,1))=FH$14))   /   SUM(OFFSET($BO$15,0,0,$B$14,1)) + $B$18/($B$19*$B$19*($DN310&lt;&gt;$DO310) + $B$19*($DN310=$DO310))</f>
        <v>3.7037037037037035E-4</v>
      </c>
      <c r="FI310" s="10" cm="1">
        <f t="array" aca="1" ref="FI310" ca="1">(1-$B$18)*SUMPRODUCT(OFFSET($BO$15,0,0,$B$14,1), 1*(_xlfn._xlws.FILTER(OFFSET($O$15,0,$DN310,$B$8,1),OFFSET($M$15,0,0,$B$8,1))=FI$13), 1*(_xlfn._xlws.FILTER(OFFSET($O$15,0,$DO310,$B$8,1),OFFSET($M$15,0,0,$B$8,1))=FI$14))   /   SUM(OFFSET($BO$15,0,0,$B$14,1)) + $B$18/($B$19*$B$19*($DN310&lt;&gt;$DO310) + $B$19*($DN310=$DO310))</f>
        <v>3.7037037037037035E-4</v>
      </c>
      <c r="FJ310" s="10" cm="1">
        <f t="array" aca="1" ref="FJ310" ca="1">(1-$B$18)*SUMPRODUCT(OFFSET($BO$15,0,0,$B$14,1), 1*(_xlfn._xlws.FILTER(OFFSET($O$15,0,$DN310,$B$8,1),OFFSET($M$15,0,0,$B$8,1))=FJ$13), 1*(_xlfn._xlws.FILTER(OFFSET($O$15,0,$DO310,$B$8,1),OFFSET($M$15,0,0,$B$8,1))=FJ$14))   /   SUM(OFFSET($BO$15,0,0,$B$14,1)) + $B$18/($B$19*$B$19*($DN310&lt;&gt;$DO310) + $B$19*($DN310=$DO310))</f>
        <v>3.7037037037037035E-4</v>
      </c>
      <c r="FK310" s="10" cm="1">
        <f t="array" aca="1" ref="FK310" ca="1">(1-$B$18)*SUMPRODUCT(OFFSET($BO$15,0,0,$B$14,1), 1*(_xlfn._xlws.FILTER(OFFSET($O$15,0,$DN310,$B$8,1),OFFSET($M$15,0,0,$B$8,1))=FK$13), 1*(_xlfn._xlws.FILTER(OFFSET($O$15,0,$DO310,$B$8,1),OFFSET($M$15,0,0,$B$8,1))=FK$14))   /   SUM(OFFSET($BO$15,0,0,$B$14,1)) + $B$18/($B$19*$B$19*($DN310&lt;&gt;$DO310) + $B$19*($DN310=$DO310))</f>
        <v>3.7037037037037035E-4</v>
      </c>
      <c r="FL310" s="10" cm="1">
        <f t="array" aca="1" ref="FL310" ca="1">(1-$B$18)*SUMPRODUCT(OFFSET($BO$15,0,0,$B$14,1), 1*(_xlfn._xlws.FILTER(OFFSET($O$15,0,$DN310,$B$8,1),OFFSET($M$15,0,0,$B$8,1))=FL$13), 1*(_xlfn._xlws.FILTER(OFFSET($O$15,0,$DO310,$B$8,1),OFFSET($M$15,0,0,$B$8,1))=FL$14))   /   SUM(OFFSET($BO$15,0,0,$B$14,1)) + $B$18/($B$19*$B$19*($DN310&lt;&gt;$DO310) + $B$19*($DN310=$DO310))</f>
        <v>3.7037037037037035E-4</v>
      </c>
      <c r="FM310" s="10" cm="1">
        <f t="array" aca="1" ref="FM310" ca="1">(1-$B$18)*SUMPRODUCT(OFFSET($BO$15,0,0,$B$14,1), 1*(_xlfn._xlws.FILTER(OFFSET($O$15,0,$DN310,$B$8,1),OFFSET($M$15,0,0,$B$8,1))=FM$13), 1*(_xlfn._xlws.FILTER(OFFSET($O$15,0,$DO310,$B$8,1),OFFSET($M$15,0,0,$B$8,1))=FM$14))   /   SUM(OFFSET($BO$15,0,0,$B$14,1)) + $B$18/($B$19*$B$19*($DN310&lt;&gt;$DO310) + $B$19*($DN310=$DO310))</f>
        <v>3.7037037037037035E-4</v>
      </c>
      <c r="FN310" s="10" cm="1">
        <f t="array" aca="1" ref="FN310" ca="1">(1-$B$18)*SUMPRODUCT(OFFSET($BO$15,0,0,$B$14,1), 1*(_xlfn._xlws.FILTER(OFFSET($O$15,0,$DN310,$B$8,1),OFFSET($M$15,0,0,$B$8,1))=FN$13), 1*(_xlfn._xlws.FILTER(OFFSET($O$15,0,$DO310,$B$8,1),OFFSET($M$15,0,0,$B$8,1))=FN$14))   /   SUM(OFFSET($BO$15,0,0,$B$14,1)) + $B$18/($B$19*$B$19*($DN310&lt;&gt;$DO310) + $B$19*($DN310=$DO310))</f>
        <v>3.7037037037037035E-4</v>
      </c>
      <c r="FO310" s="10" cm="1">
        <f t="array" aca="1" ref="FO310" ca="1">(1-$B$18)*SUMPRODUCT(OFFSET($BO$15,0,0,$B$14,1), 1*(_xlfn._xlws.FILTER(OFFSET($O$15,0,$DN310,$B$8,1),OFFSET($M$15,0,0,$B$8,1))=FO$13), 1*(_xlfn._xlws.FILTER(OFFSET($O$15,0,$DO310,$B$8,1),OFFSET($M$15,0,0,$B$8,1))=FO$14))   /   SUM(OFFSET($BO$15,0,0,$B$14,1)) + $B$18/($B$19*$B$19*($DN310&lt;&gt;$DO310) + $B$19*($DN310=$DO310))</f>
        <v>3.7037037037037035E-4</v>
      </c>
      <c r="FP310" s="10" cm="1">
        <f t="array" aca="1" ref="FP310" ca="1">(1-$B$18)*SUMPRODUCT(OFFSET($BO$15,0,0,$B$14,1), 1*(_xlfn._xlws.FILTER(OFFSET($O$15,0,$DN310,$B$8,1),OFFSET($M$15,0,0,$B$8,1))=FP$13), 1*(_xlfn._xlws.FILTER(OFFSET($O$15,0,$DO310,$B$8,1),OFFSET($M$15,0,0,$B$8,1))=FP$14))   /   SUM(OFFSET($BO$15,0,0,$B$14,1)) + $B$18/($B$19*$B$19*($DN310&lt;&gt;$DO310) + $B$19*($DN310=$DO310))</f>
        <v>3.7037037037037035E-4</v>
      </c>
      <c r="FQ310" s="10" cm="1">
        <f t="array" aca="1" ref="FQ310" ca="1">(1-$B$18)*SUMPRODUCT(OFFSET($BO$15,0,0,$B$14,1), 1*(_xlfn._xlws.FILTER(OFFSET($O$15,0,$DN310,$B$8,1),OFFSET($M$15,0,0,$B$8,1))=FQ$13), 1*(_xlfn._xlws.FILTER(OFFSET($O$15,0,$DO310,$B$8,1),OFFSET($M$15,0,0,$B$8,1))=FQ$14))   /   SUM(OFFSET($BO$15,0,0,$B$14,1)) + $B$18/($B$19*$B$19*($DN310&lt;&gt;$DO310) + $B$19*($DN310=$DO310))</f>
        <v>3.7037037037037035E-4</v>
      </c>
      <c r="FR310" s="10" cm="1">
        <f t="array" aca="1" ref="FR310" ca="1">(1-$B$18)*SUMPRODUCT(OFFSET($BO$15,0,0,$B$14,1), 1*(_xlfn._xlws.FILTER(OFFSET($O$15,0,$DN310,$B$8,1),OFFSET($M$15,0,0,$B$8,1))=FR$13), 1*(_xlfn._xlws.FILTER(OFFSET($O$15,0,$DO310,$B$8,1),OFFSET($M$15,0,0,$B$8,1))=FR$14))   /   SUM(OFFSET($BO$15,0,0,$B$14,1)) + $B$18/($B$19*$B$19*($DN310&lt;&gt;$DO310) + $B$19*($DN310=$DO310))</f>
        <v>3.7037037037037035E-4</v>
      </c>
      <c r="FS310" s="10" cm="1">
        <f t="array" aca="1" ref="FS310" ca="1">(1-$B$18)*SUMPRODUCT(OFFSET($BO$15,0,0,$B$14,1), 1*(_xlfn._xlws.FILTER(OFFSET($O$15,0,$DN310,$B$8,1),OFFSET($M$15,0,0,$B$8,1))=FS$13), 1*(_xlfn._xlws.FILTER(OFFSET($O$15,0,$DO310,$B$8,1),OFFSET($M$15,0,0,$B$8,1))=FS$14))   /   SUM(OFFSET($BO$15,0,0,$B$14,1)) + $B$18/($B$19*$B$19*($DN310&lt;&gt;$DO310) + $B$19*($DN310=$DO310))</f>
        <v>3.7037037037037035E-4</v>
      </c>
      <c r="FT310" s="10" cm="1">
        <f t="array" aca="1" ref="FT310" ca="1">(1-$B$18)*SUMPRODUCT(OFFSET($BO$15,0,0,$B$14,1), 1*(_xlfn._xlws.FILTER(OFFSET($O$15,0,$DN310,$B$8,1),OFFSET($M$15,0,0,$B$8,1))=FT$13), 1*(_xlfn._xlws.FILTER(OFFSET($O$15,0,$DO310,$B$8,1),OFFSET($M$15,0,0,$B$8,1))=FT$14))   /   SUM(OFFSET($BO$15,0,0,$B$14,1)) + $B$18/($B$19*$B$19*($DN310&lt;&gt;$DO310) + $B$19*($DN310=$DO310))</f>
        <v>3.7037037037037035E-4</v>
      </c>
      <c r="FU310" s="10" cm="1">
        <f t="array" aca="1" ref="FU310" ca="1">(1-$B$18)*SUMPRODUCT(OFFSET($BO$15,0,0,$B$14,1), 1*(_xlfn._xlws.FILTER(OFFSET($O$15,0,$DN310,$B$8,1),OFFSET($M$15,0,0,$B$8,1))=FU$13), 1*(_xlfn._xlws.FILTER(OFFSET($O$15,0,$DO310,$B$8,1),OFFSET($M$15,0,0,$B$8,1))=FU$14))   /   SUM(OFFSET($BO$15,0,0,$B$14,1)) + $B$18/($B$19*$B$19*($DN310&lt;&gt;$DO310) + $B$19*($DN310=$DO310))</f>
        <v>3.7037037037037035E-4</v>
      </c>
      <c r="FV310" s="10" cm="1">
        <f t="array" aca="1" ref="FV310" ca="1">(1-$B$18)*SUMPRODUCT(OFFSET($BO$15,0,0,$B$14,1), 1*(_xlfn._xlws.FILTER(OFFSET($O$15,0,$DN310,$B$8,1),OFFSET($M$15,0,0,$B$8,1))=FV$13), 1*(_xlfn._xlws.FILTER(OFFSET($O$15,0,$DO310,$B$8,1),OFFSET($M$15,0,0,$B$8,1))=FV$14))   /   SUM(OFFSET($BO$15,0,0,$B$14,1)) + $B$18/($B$19*$B$19*($DN310&lt;&gt;$DO310) + $B$19*($DN310=$DO310))</f>
        <v>3.7037037037037035E-4</v>
      </c>
      <c r="FW310" s="10" cm="1">
        <f t="array" aca="1" ref="FW310" ca="1">(1-$B$18)*SUMPRODUCT(OFFSET($BO$15,0,0,$B$14,1), 1*(_xlfn._xlws.FILTER(OFFSET($O$15,0,$DN310,$B$8,1),OFFSET($M$15,0,0,$B$8,1))=FW$13), 1*(_xlfn._xlws.FILTER(OFFSET($O$15,0,$DO310,$B$8,1),OFFSET($M$15,0,0,$B$8,1))=FW$14))   /   SUM(OFFSET($BO$15,0,0,$B$14,1)) + $B$18/($B$19*$B$19*($DN310&lt;&gt;$DO310) + $B$19*($DN310=$DO310))</f>
        <v>3.7037037037037035E-4</v>
      </c>
      <c r="FX310" s="10" cm="1">
        <f t="array" aca="1" ref="FX310" ca="1">(1-$B$18)*SUMPRODUCT(OFFSET($BO$15,0,0,$B$14,1), 1*(_xlfn._xlws.FILTER(OFFSET($O$15,0,$DN310,$B$8,1),OFFSET($M$15,0,0,$B$8,1))=FX$13), 1*(_xlfn._xlws.FILTER(OFFSET($O$15,0,$DO310,$B$8,1),OFFSET($M$15,0,0,$B$8,1))=FX$14))   /   SUM(OFFSET($BO$15,0,0,$B$14,1)) + $B$18/($B$19*$B$19*($DN310&lt;&gt;$DO310) + $B$19*($DN310=$DO310))</f>
        <v>3.7037037037037035E-4</v>
      </c>
      <c r="FY310" s="10" cm="1">
        <f t="array" aca="1" ref="FY310" ca="1">(1-$B$18)*SUMPRODUCT(OFFSET($BO$15,0,0,$B$14,1), 1*(_xlfn._xlws.FILTER(OFFSET($O$15,0,$DN310,$B$8,1),OFFSET($M$15,0,0,$B$8,1))=FY$13), 1*(_xlfn._xlws.FILTER(OFFSET($O$15,0,$DO310,$B$8,1),OFFSET($M$15,0,0,$B$8,1))=FY$14))   /   SUM(OFFSET($BO$15,0,0,$B$14,1)) + $B$18/($B$19*$B$19*($DN310&lt;&gt;$DO310) + $B$19*($DN310=$DO310))</f>
        <v>3.7037037037037035E-4</v>
      </c>
      <c r="FZ310" s="10" cm="1">
        <f t="array" aca="1" ref="FZ310" ca="1">(1-$B$18)*SUMPRODUCT(OFFSET($BO$15,0,0,$B$14,1), 1*(_xlfn._xlws.FILTER(OFFSET($O$15,0,$DN310,$B$8,1),OFFSET($M$15,0,0,$B$8,1))=FZ$13), 1*(_xlfn._xlws.FILTER(OFFSET($O$15,0,$DO310,$B$8,1),OFFSET($M$15,0,0,$B$8,1))=FZ$14))   /   SUM(OFFSET($BO$15,0,0,$B$14,1)) + $B$18/($B$19*$B$19*($DN310&lt;&gt;$DO310) + $B$19*($DN310=$DO310))</f>
        <v>3.7037037037037035E-4</v>
      </c>
      <c r="GA310" s="10" cm="1">
        <f t="array" aca="1" ref="GA310" ca="1">(1-$B$18)*SUMPRODUCT(OFFSET($BO$15,0,0,$B$14,1), 1*(_xlfn._xlws.FILTER(OFFSET($O$15,0,$DN310,$B$8,1),OFFSET($M$15,0,0,$B$8,1))=GA$13), 1*(_xlfn._xlws.FILTER(OFFSET($O$15,0,$DO310,$B$8,1),OFFSET($M$15,0,0,$B$8,1))=GA$14))   /   SUM(OFFSET($BO$15,0,0,$B$14,1)) + $B$18/($B$19*$B$19*($DN310&lt;&gt;$DO310) + $B$19*($DN310=$DO310))</f>
        <v>3.7037037037037035E-4</v>
      </c>
    </row>
    <row r="311" spans="118:183" x14ac:dyDescent="0.2">
      <c r="DN311" cm="1">
        <f t="array" aca="1" ref="DN311" ca="1">INDEX(_xlfn.ANCHORARRAY($CP$15), 1 + INT((ROWS($DO$15:$DO311) - 1) / ROWS(_xlfn.ANCHORARRAY($CP$15))))</f>
        <v>18</v>
      </c>
      <c r="DO311" cm="1">
        <f t="array" aca="1" ref="DO311" ca="1">INDEX(_xlfn.ANCHORARRAY($CP$15),1+MOD(ROWS($DO$15:$DO311)-1,ROWS(_xlfn.ANCHORARRAY($CP$15))))</f>
        <v>12</v>
      </c>
      <c r="DP311" s="10" cm="1">
        <f t="array" aca="1" ref="DP311" ca="1">(1-$B$18)*SUMPRODUCT(OFFSET($BO$15,0,0,$B$14,1), 1*(_xlfn._xlws.FILTER(OFFSET($O$15,0,$DN311,$B$8,1),OFFSET($M$15,0,0,$B$8,1))=DP$13), 1*(_xlfn._xlws.FILTER(OFFSET($O$15,0,$DO311,$B$8,1),OFFSET($M$15,0,0,$B$8,1))=DP$14))   /   SUM(OFFSET($BO$15,0,0,$B$14,1)) + $B$18/($B$19*$B$19*($DN311&lt;&gt;$DO311) + $B$19*($DN311=$DO311))</f>
        <v>3.7037037037037035E-4</v>
      </c>
      <c r="DQ311" s="10" cm="1">
        <f t="array" aca="1" ref="DQ311" ca="1">(1-$B$18)*SUMPRODUCT(OFFSET($BO$15,0,0,$B$14,1), 1*(_xlfn._xlws.FILTER(OFFSET($O$15,0,$DN311,$B$8,1),OFFSET($M$15,0,0,$B$8,1))=DQ$13), 1*(_xlfn._xlws.FILTER(OFFSET($O$15,0,$DO311,$B$8,1),OFFSET($M$15,0,0,$B$8,1))=DQ$14))   /   SUM(OFFSET($BO$15,0,0,$B$14,1)) + $B$18/($B$19*$B$19*($DN311&lt;&gt;$DO311) + $B$19*($DN311=$DO311))</f>
        <v>3.7037037037037035E-4</v>
      </c>
      <c r="DR311" s="10" cm="1">
        <f t="array" aca="1" ref="DR311" ca="1">(1-$B$18)*SUMPRODUCT(OFFSET($BO$15,0,0,$B$14,1), 1*(_xlfn._xlws.FILTER(OFFSET($O$15,0,$DN311,$B$8,1),OFFSET($M$15,0,0,$B$8,1))=DR$13), 1*(_xlfn._xlws.FILTER(OFFSET($O$15,0,$DO311,$B$8,1),OFFSET($M$15,0,0,$B$8,1))=DR$14))   /   SUM(OFFSET($BO$15,0,0,$B$14,1)) + $B$18/($B$19*$B$19*($DN311&lt;&gt;$DO311) + $B$19*($DN311=$DO311))</f>
        <v>3.7037037037037035E-4</v>
      </c>
      <c r="DS311" s="10" cm="1">
        <f t="array" aca="1" ref="DS311" ca="1">(1-$B$18)*SUMPRODUCT(OFFSET($BO$15,0,0,$B$14,1), 1*(_xlfn._xlws.FILTER(OFFSET($O$15,0,$DN311,$B$8,1),OFFSET($M$15,0,0,$B$8,1))=DS$13), 1*(_xlfn._xlws.FILTER(OFFSET($O$15,0,$DO311,$B$8,1),OFFSET($M$15,0,0,$B$8,1))=DS$14))   /   SUM(OFFSET($BO$15,0,0,$B$14,1)) + $B$18/($B$19*$B$19*($DN311&lt;&gt;$DO311) + $B$19*($DN311=$DO311))</f>
        <v>3.7037037037037035E-4</v>
      </c>
      <c r="DT311" s="10" cm="1">
        <f t="array" aca="1" ref="DT311" ca="1">(1-$B$18)*SUMPRODUCT(OFFSET($BO$15,0,0,$B$14,1), 1*(_xlfn._xlws.FILTER(OFFSET($O$15,0,$DN311,$B$8,1),OFFSET($M$15,0,0,$B$8,1))=DT$13), 1*(_xlfn._xlws.FILTER(OFFSET($O$15,0,$DO311,$B$8,1),OFFSET($M$15,0,0,$B$8,1))=DT$14))   /   SUM(OFFSET($BO$15,0,0,$B$14,1)) + $B$18/($B$19*$B$19*($DN311&lt;&gt;$DO311) + $B$19*($DN311=$DO311))</f>
        <v>3.7037037037037035E-4</v>
      </c>
      <c r="DU311" s="10" cm="1">
        <f t="array" aca="1" ref="DU311" ca="1">(1-$B$18)*SUMPRODUCT(OFFSET($BO$15,0,0,$B$14,1), 1*(_xlfn._xlws.FILTER(OFFSET($O$15,0,$DN311,$B$8,1),OFFSET($M$15,0,0,$B$8,1))=DU$13), 1*(_xlfn._xlws.FILTER(OFFSET($O$15,0,$DO311,$B$8,1),OFFSET($M$15,0,0,$B$8,1))=DU$14))   /   SUM(OFFSET($BO$15,0,0,$B$14,1)) + $B$18/($B$19*$B$19*($DN311&lt;&gt;$DO311) + $B$19*($DN311=$DO311))</f>
        <v>3.7037037037037035E-4</v>
      </c>
      <c r="DV311" s="10" cm="1">
        <f t="array" aca="1" ref="DV311" ca="1">(1-$B$18)*SUMPRODUCT(OFFSET($BO$15,0,0,$B$14,1), 1*(_xlfn._xlws.FILTER(OFFSET($O$15,0,$DN311,$B$8,1),OFFSET($M$15,0,0,$B$8,1))=DV$13), 1*(_xlfn._xlws.FILTER(OFFSET($O$15,0,$DO311,$B$8,1),OFFSET($M$15,0,0,$B$8,1))=DV$14))   /   SUM(OFFSET($BO$15,0,0,$B$14,1)) + $B$18/($B$19*$B$19*($DN311&lt;&gt;$DO311) + $B$19*($DN311=$DO311))</f>
        <v>3.7037037037037035E-4</v>
      </c>
      <c r="DW311" s="10" cm="1">
        <f t="array" aca="1" ref="DW311" ca="1">(1-$B$18)*SUMPRODUCT(OFFSET($BO$15,0,0,$B$14,1), 1*(_xlfn._xlws.FILTER(OFFSET($O$15,0,$DN311,$B$8,1),OFFSET($M$15,0,0,$B$8,1))=DW$13), 1*(_xlfn._xlws.FILTER(OFFSET($O$15,0,$DO311,$B$8,1),OFFSET($M$15,0,0,$B$8,1))=DW$14))   /   SUM(OFFSET($BO$15,0,0,$B$14,1)) + $B$18/($B$19*$B$19*($DN311&lt;&gt;$DO311) + $B$19*($DN311=$DO311))</f>
        <v>3.7037037037037035E-4</v>
      </c>
      <c r="DX311" s="10" cm="1">
        <f t="array" aca="1" ref="DX311" ca="1">(1-$B$18)*SUMPRODUCT(OFFSET($BO$15,0,0,$B$14,1), 1*(_xlfn._xlws.FILTER(OFFSET($O$15,0,$DN311,$B$8,1),OFFSET($M$15,0,0,$B$8,1))=DX$13), 1*(_xlfn._xlws.FILTER(OFFSET($O$15,0,$DO311,$B$8,1),OFFSET($M$15,0,0,$B$8,1))=DX$14))   /   SUM(OFFSET($BO$15,0,0,$B$14,1)) + $B$18/($B$19*$B$19*($DN311&lt;&gt;$DO311) + $B$19*($DN311=$DO311))</f>
        <v>3.7037037037037035E-4</v>
      </c>
      <c r="DY311" s="10" cm="1">
        <f t="array" aca="1" ref="DY311" ca="1">(1-$B$18)*SUMPRODUCT(OFFSET($BO$15,0,0,$B$14,1), 1*(_xlfn._xlws.FILTER(OFFSET($O$15,0,$DN311,$B$8,1),OFFSET($M$15,0,0,$B$8,1))=DY$13), 1*(_xlfn._xlws.FILTER(OFFSET($O$15,0,$DO311,$B$8,1),OFFSET($M$15,0,0,$B$8,1))=DY$14))   /   SUM(OFFSET($BO$15,0,0,$B$14,1)) + $B$18/($B$19*$B$19*($DN311&lt;&gt;$DO311) + $B$19*($DN311=$DO311))</f>
        <v>3.7037037037037035E-4</v>
      </c>
      <c r="DZ311" s="10" cm="1">
        <f t="array" aca="1" ref="DZ311" ca="1">(1-$B$18)*SUMPRODUCT(OFFSET($BO$15,0,0,$B$14,1), 1*(_xlfn._xlws.FILTER(OFFSET($O$15,0,$DN311,$B$8,1),OFFSET($M$15,0,0,$B$8,1))=DZ$13), 1*(_xlfn._xlws.FILTER(OFFSET($O$15,0,$DO311,$B$8,1),OFFSET($M$15,0,0,$B$8,1))=DZ$14))   /   SUM(OFFSET($BO$15,0,0,$B$14,1)) + $B$18/($B$19*$B$19*($DN311&lt;&gt;$DO311) + $B$19*($DN311=$DO311))</f>
        <v>3.7037037037037035E-4</v>
      </c>
      <c r="EA311" s="10" cm="1">
        <f t="array" aca="1" ref="EA311" ca="1">(1-$B$18)*SUMPRODUCT(OFFSET($BO$15,0,0,$B$14,1), 1*(_xlfn._xlws.FILTER(OFFSET($O$15,0,$DN311,$B$8,1),OFFSET($M$15,0,0,$B$8,1))=EA$13), 1*(_xlfn._xlws.FILTER(OFFSET($O$15,0,$DO311,$B$8,1),OFFSET($M$15,0,0,$B$8,1))=EA$14))   /   SUM(OFFSET($BO$15,0,0,$B$14,1)) + $B$18/($B$19*$B$19*($DN311&lt;&gt;$DO311) + $B$19*($DN311=$DO311))</f>
        <v>3.7037037037037035E-4</v>
      </c>
      <c r="EB311" s="10" cm="1">
        <f t="array" aca="1" ref="EB311" ca="1">(1-$B$18)*SUMPRODUCT(OFFSET($BO$15,0,0,$B$14,1), 1*(_xlfn._xlws.FILTER(OFFSET($O$15,0,$DN311,$B$8,1),OFFSET($M$15,0,0,$B$8,1))=EB$13), 1*(_xlfn._xlws.FILTER(OFFSET($O$15,0,$DO311,$B$8,1),OFFSET($M$15,0,0,$B$8,1))=EB$14))   /   SUM(OFFSET($BO$15,0,0,$B$14,1)) + $B$18/($B$19*$B$19*($DN311&lt;&gt;$DO311) + $B$19*($DN311=$DO311))</f>
        <v>3.7037037037037035E-4</v>
      </c>
      <c r="EC311" s="10" cm="1">
        <f t="array" aca="1" ref="EC311" ca="1">(1-$B$18)*SUMPRODUCT(OFFSET($BO$15,0,0,$B$14,1), 1*(_xlfn._xlws.FILTER(OFFSET($O$15,0,$DN311,$B$8,1),OFFSET($M$15,0,0,$B$8,1))=EC$13), 1*(_xlfn._xlws.FILTER(OFFSET($O$15,0,$DO311,$B$8,1),OFFSET($M$15,0,0,$B$8,1))=EC$14))   /   SUM(OFFSET($BO$15,0,0,$B$14,1)) + $B$18/($B$19*$B$19*($DN311&lt;&gt;$DO311) + $B$19*($DN311=$DO311))</f>
        <v>3.7037037037037035E-4</v>
      </c>
      <c r="ED311" s="10" cm="1">
        <f t="array" aca="1" ref="ED311" ca="1">(1-$B$18)*SUMPRODUCT(OFFSET($BO$15,0,0,$B$14,1), 1*(_xlfn._xlws.FILTER(OFFSET($O$15,0,$DN311,$B$8,1),OFFSET($M$15,0,0,$B$8,1))=ED$13), 1*(_xlfn._xlws.FILTER(OFFSET($O$15,0,$DO311,$B$8,1),OFFSET($M$15,0,0,$B$8,1))=ED$14))   /   SUM(OFFSET($BO$15,0,0,$B$14,1)) + $B$18/($B$19*$B$19*($DN311&lt;&gt;$DO311) + $B$19*($DN311=$DO311))</f>
        <v>3.7037037037037035E-4</v>
      </c>
      <c r="EE311" s="10" cm="1">
        <f t="array" aca="1" ref="EE311" ca="1">(1-$B$18)*SUMPRODUCT(OFFSET($BO$15,0,0,$B$14,1), 1*(_xlfn._xlws.FILTER(OFFSET($O$15,0,$DN311,$B$8,1),OFFSET($M$15,0,0,$B$8,1))=EE$13), 1*(_xlfn._xlws.FILTER(OFFSET($O$15,0,$DO311,$B$8,1),OFFSET($M$15,0,0,$B$8,1))=EE$14))   /   SUM(OFFSET($BO$15,0,0,$B$14,1)) + $B$18/($B$19*$B$19*($DN311&lt;&gt;$DO311) + $B$19*($DN311=$DO311))</f>
        <v>3.7037037037037035E-4</v>
      </c>
      <c r="EF311" s="10" cm="1">
        <f t="array" aca="1" ref="EF311" ca="1">(1-$B$18)*SUMPRODUCT(OFFSET($BO$15,0,0,$B$14,1), 1*(_xlfn._xlws.FILTER(OFFSET($O$15,0,$DN311,$B$8,1),OFFSET($M$15,0,0,$B$8,1))=EF$13), 1*(_xlfn._xlws.FILTER(OFFSET($O$15,0,$DO311,$B$8,1),OFFSET($M$15,0,0,$B$8,1))=EF$14))   /   SUM(OFFSET($BO$15,0,0,$B$14,1)) + $B$18/($B$19*$B$19*($DN311&lt;&gt;$DO311) + $B$19*($DN311=$DO311))</f>
        <v>3.7037037037037035E-4</v>
      </c>
      <c r="EG311" s="10" cm="1">
        <f t="array" aca="1" ref="EG311" ca="1">(1-$B$18)*SUMPRODUCT(OFFSET($BO$15,0,0,$B$14,1), 1*(_xlfn._xlws.FILTER(OFFSET($O$15,0,$DN311,$B$8,1),OFFSET($M$15,0,0,$B$8,1))=EG$13), 1*(_xlfn._xlws.FILTER(OFFSET($O$15,0,$DO311,$B$8,1),OFFSET($M$15,0,0,$B$8,1))=EG$14))   /   SUM(OFFSET($BO$15,0,0,$B$14,1)) + $B$18/($B$19*$B$19*($DN311&lt;&gt;$DO311) + $B$19*($DN311=$DO311))</f>
        <v>3.7037037037037035E-4</v>
      </c>
      <c r="EH311" s="10" cm="1">
        <f t="array" aca="1" ref="EH311" ca="1">(1-$B$18)*SUMPRODUCT(OFFSET($BO$15,0,0,$B$14,1), 1*(_xlfn._xlws.FILTER(OFFSET($O$15,0,$DN311,$B$8,1),OFFSET($M$15,0,0,$B$8,1))=EH$13), 1*(_xlfn._xlws.FILTER(OFFSET($O$15,0,$DO311,$B$8,1),OFFSET($M$15,0,0,$B$8,1))=EH$14))   /   SUM(OFFSET($BO$15,0,0,$B$14,1)) + $B$18/($B$19*$B$19*($DN311&lt;&gt;$DO311) + $B$19*($DN311=$DO311))</f>
        <v>3.7037037037037035E-4</v>
      </c>
      <c r="EI311" s="10" cm="1">
        <f t="array" aca="1" ref="EI311" ca="1">(1-$B$18)*SUMPRODUCT(OFFSET($BO$15,0,0,$B$14,1), 1*(_xlfn._xlws.FILTER(OFFSET($O$15,0,$DN311,$B$8,1),OFFSET($M$15,0,0,$B$8,1))=EI$13), 1*(_xlfn._xlws.FILTER(OFFSET($O$15,0,$DO311,$B$8,1),OFFSET($M$15,0,0,$B$8,1))=EI$14))   /   SUM(OFFSET($BO$15,0,0,$B$14,1)) + $B$18/($B$19*$B$19*($DN311&lt;&gt;$DO311) + $B$19*($DN311=$DO311))</f>
        <v>3.7037037037037035E-4</v>
      </c>
      <c r="EJ311" s="10" cm="1">
        <f t="array" aca="1" ref="EJ311" ca="1">(1-$B$18)*SUMPRODUCT(OFFSET($BO$15,0,0,$B$14,1), 1*(_xlfn._xlws.FILTER(OFFSET($O$15,0,$DN311,$B$8,1),OFFSET($M$15,0,0,$B$8,1))=EJ$13), 1*(_xlfn._xlws.FILTER(OFFSET($O$15,0,$DO311,$B$8,1),OFFSET($M$15,0,0,$B$8,1))=EJ$14))   /   SUM(OFFSET($BO$15,0,0,$B$14,1)) + $B$18/($B$19*$B$19*($DN311&lt;&gt;$DO311) + $B$19*($DN311=$DO311))</f>
        <v>3.7037037037037035E-4</v>
      </c>
      <c r="EK311" s="10" cm="1">
        <f t="array" aca="1" ref="EK311" ca="1">(1-$B$18)*SUMPRODUCT(OFFSET($BO$15,0,0,$B$14,1), 1*(_xlfn._xlws.FILTER(OFFSET($O$15,0,$DN311,$B$8,1),OFFSET($M$15,0,0,$B$8,1))=EK$13), 1*(_xlfn._xlws.FILTER(OFFSET($O$15,0,$DO311,$B$8,1),OFFSET($M$15,0,0,$B$8,1))=EK$14))   /   SUM(OFFSET($BO$15,0,0,$B$14,1)) + $B$18/($B$19*$B$19*($DN311&lt;&gt;$DO311) + $B$19*($DN311=$DO311))</f>
        <v>3.7037037037037035E-4</v>
      </c>
      <c r="EL311" s="10" cm="1">
        <f t="array" aca="1" ref="EL311" ca="1">(1-$B$18)*SUMPRODUCT(OFFSET($BO$15,0,0,$B$14,1), 1*(_xlfn._xlws.FILTER(OFFSET($O$15,0,$DN311,$B$8,1),OFFSET($M$15,0,0,$B$8,1))=EL$13), 1*(_xlfn._xlws.FILTER(OFFSET($O$15,0,$DO311,$B$8,1),OFFSET($M$15,0,0,$B$8,1))=EL$14))   /   SUM(OFFSET($BO$15,0,0,$B$14,1)) + $B$18/($B$19*$B$19*($DN311&lt;&gt;$DO311) + $B$19*($DN311=$DO311))</f>
        <v>3.7037037037037035E-4</v>
      </c>
      <c r="EM311" s="10" cm="1">
        <f t="array" aca="1" ref="EM311" ca="1">(1-$B$18)*SUMPRODUCT(OFFSET($BO$15,0,0,$B$14,1), 1*(_xlfn._xlws.FILTER(OFFSET($O$15,0,$DN311,$B$8,1),OFFSET($M$15,0,0,$B$8,1))=EM$13), 1*(_xlfn._xlws.FILTER(OFFSET($O$15,0,$DO311,$B$8,1),OFFSET($M$15,0,0,$B$8,1))=EM$14))   /   SUM(OFFSET($BO$15,0,0,$B$14,1)) + $B$18/($B$19*$B$19*($DN311&lt;&gt;$DO311) + $B$19*($DN311=$DO311))</f>
        <v>3.7037037037037035E-4</v>
      </c>
      <c r="EN311" s="10" cm="1">
        <f t="array" aca="1" ref="EN311" ca="1">(1-$B$18)*SUMPRODUCT(OFFSET($BO$15,0,0,$B$14,1), 1*(_xlfn._xlws.FILTER(OFFSET($O$15,0,$DN311,$B$8,1),OFFSET($M$15,0,0,$B$8,1))=EN$13), 1*(_xlfn._xlws.FILTER(OFFSET($O$15,0,$DO311,$B$8,1),OFFSET($M$15,0,0,$B$8,1))=EN$14))   /   SUM(OFFSET($BO$15,0,0,$B$14,1)) + $B$18/($B$19*$B$19*($DN311&lt;&gt;$DO311) + $B$19*($DN311=$DO311))</f>
        <v>3.7037037037037035E-4</v>
      </c>
      <c r="EO311" s="10" cm="1">
        <f t="array" aca="1" ref="EO311" ca="1">(1-$B$18)*SUMPRODUCT(OFFSET($BO$15,0,0,$B$14,1), 1*(_xlfn._xlws.FILTER(OFFSET($O$15,0,$DN311,$B$8,1),OFFSET($M$15,0,0,$B$8,1))=EO$13), 1*(_xlfn._xlws.FILTER(OFFSET($O$15,0,$DO311,$B$8,1),OFFSET($M$15,0,0,$B$8,1))=EO$14))   /   SUM(OFFSET($BO$15,0,0,$B$14,1)) + $B$18/($B$19*$B$19*($DN311&lt;&gt;$DO311) + $B$19*($DN311=$DO311))</f>
        <v>0.97037037037037033</v>
      </c>
      <c r="EP311" s="10" cm="1">
        <f t="array" aca="1" ref="EP311" ca="1">(1-$B$18)*SUMPRODUCT(OFFSET($BO$15,0,0,$B$14,1), 1*(_xlfn._xlws.FILTER(OFFSET($O$15,0,$DN311,$B$8,1),OFFSET($M$15,0,0,$B$8,1))=EP$13), 1*(_xlfn._xlws.FILTER(OFFSET($O$15,0,$DO311,$B$8,1),OFFSET($M$15,0,0,$B$8,1))=EP$14))   /   SUM(OFFSET($BO$15,0,0,$B$14,1)) + $B$18/($B$19*$B$19*($DN311&lt;&gt;$DO311) + $B$19*($DN311=$DO311))</f>
        <v>3.7037037037037035E-4</v>
      </c>
      <c r="EQ311" s="10" cm="1">
        <f t="array" aca="1" ref="EQ311" ca="1">(1-$B$18)*SUMPRODUCT(OFFSET($BO$15,0,0,$B$14,1), 1*(_xlfn._xlws.FILTER(OFFSET($O$15,0,$DN311,$B$8,1),OFFSET($M$15,0,0,$B$8,1))=EQ$13), 1*(_xlfn._xlws.FILTER(OFFSET($O$15,0,$DO311,$B$8,1),OFFSET($M$15,0,0,$B$8,1))=EQ$14))   /   SUM(OFFSET($BO$15,0,0,$B$14,1)) + $B$18/($B$19*$B$19*($DN311&lt;&gt;$DO311) + $B$19*($DN311=$DO311))</f>
        <v>3.7037037037037035E-4</v>
      </c>
      <c r="ER311" s="10" cm="1">
        <f t="array" aca="1" ref="ER311" ca="1">(1-$B$18)*SUMPRODUCT(OFFSET($BO$15,0,0,$B$14,1), 1*(_xlfn._xlws.FILTER(OFFSET($O$15,0,$DN311,$B$8,1),OFFSET($M$15,0,0,$B$8,1))=ER$13), 1*(_xlfn._xlws.FILTER(OFFSET($O$15,0,$DO311,$B$8,1),OFFSET($M$15,0,0,$B$8,1))=ER$14))   /   SUM(OFFSET($BO$15,0,0,$B$14,1)) + $B$18/($B$19*$B$19*($DN311&lt;&gt;$DO311) + $B$19*($DN311=$DO311))</f>
        <v>3.7037037037037035E-4</v>
      </c>
      <c r="ES311" s="10" cm="1">
        <f t="array" aca="1" ref="ES311" ca="1">(1-$B$18)*SUMPRODUCT(OFFSET($BO$15,0,0,$B$14,1), 1*(_xlfn._xlws.FILTER(OFFSET($O$15,0,$DN311,$B$8,1),OFFSET($M$15,0,0,$B$8,1))=ES$13), 1*(_xlfn._xlws.FILTER(OFFSET($O$15,0,$DO311,$B$8,1),OFFSET($M$15,0,0,$B$8,1))=ES$14))   /   SUM(OFFSET($BO$15,0,0,$B$14,1)) + $B$18/($B$19*$B$19*($DN311&lt;&gt;$DO311) + $B$19*($DN311=$DO311))</f>
        <v>3.7037037037037035E-4</v>
      </c>
      <c r="ET311" s="10" cm="1">
        <f t="array" aca="1" ref="ET311" ca="1">(1-$B$18)*SUMPRODUCT(OFFSET($BO$15,0,0,$B$14,1), 1*(_xlfn._xlws.FILTER(OFFSET($O$15,0,$DN311,$B$8,1),OFFSET($M$15,0,0,$B$8,1))=ET$13), 1*(_xlfn._xlws.FILTER(OFFSET($O$15,0,$DO311,$B$8,1),OFFSET($M$15,0,0,$B$8,1))=ET$14))   /   SUM(OFFSET($BO$15,0,0,$B$14,1)) + $B$18/($B$19*$B$19*($DN311&lt;&gt;$DO311) + $B$19*($DN311=$DO311))</f>
        <v>3.7037037037037035E-4</v>
      </c>
      <c r="EU311" s="10" cm="1">
        <f t="array" aca="1" ref="EU311" ca="1">(1-$B$18)*SUMPRODUCT(OFFSET($BO$15,0,0,$B$14,1), 1*(_xlfn._xlws.FILTER(OFFSET($O$15,0,$DN311,$B$8,1),OFFSET($M$15,0,0,$B$8,1))=EU$13), 1*(_xlfn._xlws.FILTER(OFFSET($O$15,0,$DO311,$B$8,1),OFFSET($M$15,0,0,$B$8,1))=EU$14))   /   SUM(OFFSET($BO$15,0,0,$B$14,1)) + $B$18/($B$19*$B$19*($DN311&lt;&gt;$DO311) + $B$19*($DN311=$DO311))</f>
        <v>3.7037037037037035E-4</v>
      </c>
      <c r="EV311" s="10" cm="1">
        <f t="array" aca="1" ref="EV311" ca="1">(1-$B$18)*SUMPRODUCT(OFFSET($BO$15,0,0,$B$14,1), 1*(_xlfn._xlws.FILTER(OFFSET($O$15,0,$DN311,$B$8,1),OFFSET($M$15,0,0,$B$8,1))=EV$13), 1*(_xlfn._xlws.FILTER(OFFSET($O$15,0,$DO311,$B$8,1),OFFSET($M$15,0,0,$B$8,1))=EV$14))   /   SUM(OFFSET($BO$15,0,0,$B$14,1)) + $B$18/($B$19*$B$19*($DN311&lt;&gt;$DO311) + $B$19*($DN311=$DO311))</f>
        <v>3.7037037037037035E-4</v>
      </c>
      <c r="EW311" s="10" cm="1">
        <f t="array" aca="1" ref="EW311" ca="1">(1-$B$18)*SUMPRODUCT(OFFSET($BO$15,0,0,$B$14,1), 1*(_xlfn._xlws.FILTER(OFFSET($O$15,0,$DN311,$B$8,1),OFFSET($M$15,0,0,$B$8,1))=EW$13), 1*(_xlfn._xlws.FILTER(OFFSET($O$15,0,$DO311,$B$8,1),OFFSET($M$15,0,0,$B$8,1))=EW$14))   /   SUM(OFFSET($BO$15,0,0,$B$14,1)) + $B$18/($B$19*$B$19*($DN311&lt;&gt;$DO311) + $B$19*($DN311=$DO311))</f>
        <v>3.7037037037037035E-4</v>
      </c>
      <c r="EX311" s="10" cm="1">
        <f t="array" aca="1" ref="EX311" ca="1">(1-$B$18)*SUMPRODUCT(OFFSET($BO$15,0,0,$B$14,1), 1*(_xlfn._xlws.FILTER(OFFSET($O$15,0,$DN311,$B$8,1),OFFSET($M$15,0,0,$B$8,1))=EX$13), 1*(_xlfn._xlws.FILTER(OFFSET($O$15,0,$DO311,$B$8,1),OFFSET($M$15,0,0,$B$8,1))=EX$14))   /   SUM(OFFSET($BO$15,0,0,$B$14,1)) + $B$18/($B$19*$B$19*($DN311&lt;&gt;$DO311) + $B$19*($DN311=$DO311))</f>
        <v>3.7037037037037035E-4</v>
      </c>
      <c r="EY311" s="10" cm="1">
        <f t="array" aca="1" ref="EY311" ca="1">(1-$B$18)*SUMPRODUCT(OFFSET($BO$15,0,0,$B$14,1), 1*(_xlfn._xlws.FILTER(OFFSET($O$15,0,$DN311,$B$8,1),OFFSET($M$15,0,0,$B$8,1))=EY$13), 1*(_xlfn._xlws.FILTER(OFFSET($O$15,0,$DO311,$B$8,1),OFFSET($M$15,0,0,$B$8,1))=EY$14))   /   SUM(OFFSET($BO$15,0,0,$B$14,1)) + $B$18/($B$19*$B$19*($DN311&lt;&gt;$DO311) + $B$19*($DN311=$DO311))</f>
        <v>3.7037037037037035E-4</v>
      </c>
      <c r="EZ311" s="10" cm="1">
        <f t="array" aca="1" ref="EZ311" ca="1">(1-$B$18)*SUMPRODUCT(OFFSET($BO$15,0,0,$B$14,1), 1*(_xlfn._xlws.FILTER(OFFSET($O$15,0,$DN311,$B$8,1),OFFSET($M$15,0,0,$B$8,1))=EZ$13), 1*(_xlfn._xlws.FILTER(OFFSET($O$15,0,$DO311,$B$8,1),OFFSET($M$15,0,0,$B$8,1))=EZ$14))   /   SUM(OFFSET($BO$15,0,0,$B$14,1)) + $B$18/($B$19*$B$19*($DN311&lt;&gt;$DO311) + $B$19*($DN311=$DO311))</f>
        <v>3.7037037037037035E-4</v>
      </c>
      <c r="FA311" s="10" cm="1">
        <f t="array" aca="1" ref="FA311" ca="1">(1-$B$18)*SUMPRODUCT(OFFSET($BO$15,0,0,$B$14,1), 1*(_xlfn._xlws.FILTER(OFFSET($O$15,0,$DN311,$B$8,1),OFFSET($M$15,0,0,$B$8,1))=FA$13), 1*(_xlfn._xlws.FILTER(OFFSET($O$15,0,$DO311,$B$8,1),OFFSET($M$15,0,0,$B$8,1))=FA$14))   /   SUM(OFFSET($BO$15,0,0,$B$14,1)) + $B$18/($B$19*$B$19*($DN311&lt;&gt;$DO311) + $B$19*($DN311=$DO311))</f>
        <v>3.7037037037037035E-4</v>
      </c>
      <c r="FB311" s="10" cm="1">
        <f t="array" aca="1" ref="FB311" ca="1">(1-$B$18)*SUMPRODUCT(OFFSET($BO$15,0,0,$B$14,1), 1*(_xlfn._xlws.FILTER(OFFSET($O$15,0,$DN311,$B$8,1),OFFSET($M$15,0,0,$B$8,1))=FB$13), 1*(_xlfn._xlws.FILTER(OFFSET($O$15,0,$DO311,$B$8,1),OFFSET($M$15,0,0,$B$8,1))=FB$14))   /   SUM(OFFSET($BO$15,0,0,$B$14,1)) + $B$18/($B$19*$B$19*($DN311&lt;&gt;$DO311) + $B$19*($DN311=$DO311))</f>
        <v>3.7037037037037035E-4</v>
      </c>
      <c r="FC311" s="10" cm="1">
        <f t="array" aca="1" ref="FC311" ca="1">(1-$B$18)*SUMPRODUCT(OFFSET($BO$15,0,0,$B$14,1), 1*(_xlfn._xlws.FILTER(OFFSET($O$15,0,$DN311,$B$8,1),OFFSET($M$15,0,0,$B$8,1))=FC$13), 1*(_xlfn._xlws.FILTER(OFFSET($O$15,0,$DO311,$B$8,1),OFFSET($M$15,0,0,$B$8,1))=FC$14))   /   SUM(OFFSET($BO$15,0,0,$B$14,1)) + $B$18/($B$19*$B$19*($DN311&lt;&gt;$DO311) + $B$19*($DN311=$DO311))</f>
        <v>3.7037037037037035E-4</v>
      </c>
      <c r="FD311" s="10" cm="1">
        <f t="array" aca="1" ref="FD311" ca="1">(1-$B$18)*SUMPRODUCT(OFFSET($BO$15,0,0,$B$14,1), 1*(_xlfn._xlws.FILTER(OFFSET($O$15,0,$DN311,$B$8,1),OFFSET($M$15,0,0,$B$8,1))=FD$13), 1*(_xlfn._xlws.FILTER(OFFSET($O$15,0,$DO311,$B$8,1),OFFSET($M$15,0,0,$B$8,1))=FD$14))   /   SUM(OFFSET($BO$15,0,0,$B$14,1)) + $B$18/($B$19*$B$19*($DN311&lt;&gt;$DO311) + $B$19*($DN311=$DO311))</f>
        <v>3.7037037037037035E-4</v>
      </c>
      <c r="FE311" s="10" cm="1">
        <f t="array" aca="1" ref="FE311" ca="1">(1-$B$18)*SUMPRODUCT(OFFSET($BO$15,0,0,$B$14,1), 1*(_xlfn._xlws.FILTER(OFFSET($O$15,0,$DN311,$B$8,1),OFFSET($M$15,0,0,$B$8,1))=FE$13), 1*(_xlfn._xlws.FILTER(OFFSET($O$15,0,$DO311,$B$8,1),OFFSET($M$15,0,0,$B$8,1))=FE$14))   /   SUM(OFFSET($BO$15,0,0,$B$14,1)) + $B$18/($B$19*$B$19*($DN311&lt;&gt;$DO311) + $B$19*($DN311=$DO311))</f>
        <v>3.7037037037037035E-4</v>
      </c>
      <c r="FF311" s="10" cm="1">
        <f t="array" aca="1" ref="FF311" ca="1">(1-$B$18)*SUMPRODUCT(OFFSET($BO$15,0,0,$B$14,1), 1*(_xlfn._xlws.FILTER(OFFSET($O$15,0,$DN311,$B$8,1),OFFSET($M$15,0,0,$B$8,1))=FF$13), 1*(_xlfn._xlws.FILTER(OFFSET($O$15,0,$DO311,$B$8,1),OFFSET($M$15,0,0,$B$8,1))=FF$14))   /   SUM(OFFSET($BO$15,0,0,$B$14,1)) + $B$18/($B$19*$B$19*($DN311&lt;&gt;$DO311) + $B$19*($DN311=$DO311))</f>
        <v>3.7037037037037035E-4</v>
      </c>
      <c r="FG311" s="10" cm="1">
        <f t="array" aca="1" ref="FG311" ca="1">(1-$B$18)*SUMPRODUCT(OFFSET($BO$15,0,0,$B$14,1), 1*(_xlfn._xlws.FILTER(OFFSET($O$15,0,$DN311,$B$8,1),OFFSET($M$15,0,0,$B$8,1))=FG$13), 1*(_xlfn._xlws.FILTER(OFFSET($O$15,0,$DO311,$B$8,1),OFFSET($M$15,0,0,$B$8,1))=FG$14))   /   SUM(OFFSET($BO$15,0,0,$B$14,1)) + $B$18/($B$19*$B$19*($DN311&lt;&gt;$DO311) + $B$19*($DN311=$DO311))</f>
        <v>3.7037037037037035E-4</v>
      </c>
      <c r="FH311" s="10" cm="1">
        <f t="array" aca="1" ref="FH311" ca="1">(1-$B$18)*SUMPRODUCT(OFFSET($BO$15,0,0,$B$14,1), 1*(_xlfn._xlws.FILTER(OFFSET($O$15,0,$DN311,$B$8,1),OFFSET($M$15,0,0,$B$8,1))=FH$13), 1*(_xlfn._xlws.FILTER(OFFSET($O$15,0,$DO311,$B$8,1),OFFSET($M$15,0,0,$B$8,1))=FH$14))   /   SUM(OFFSET($BO$15,0,0,$B$14,1)) + $B$18/($B$19*$B$19*($DN311&lt;&gt;$DO311) + $B$19*($DN311=$DO311))</f>
        <v>3.7037037037037035E-4</v>
      </c>
      <c r="FI311" s="10" cm="1">
        <f t="array" aca="1" ref="FI311" ca="1">(1-$B$18)*SUMPRODUCT(OFFSET($BO$15,0,0,$B$14,1), 1*(_xlfn._xlws.FILTER(OFFSET($O$15,0,$DN311,$B$8,1),OFFSET($M$15,0,0,$B$8,1))=FI$13), 1*(_xlfn._xlws.FILTER(OFFSET($O$15,0,$DO311,$B$8,1),OFFSET($M$15,0,0,$B$8,1))=FI$14))   /   SUM(OFFSET($BO$15,0,0,$B$14,1)) + $B$18/($B$19*$B$19*($DN311&lt;&gt;$DO311) + $B$19*($DN311=$DO311))</f>
        <v>3.7037037037037035E-4</v>
      </c>
      <c r="FJ311" s="10" cm="1">
        <f t="array" aca="1" ref="FJ311" ca="1">(1-$B$18)*SUMPRODUCT(OFFSET($BO$15,0,0,$B$14,1), 1*(_xlfn._xlws.FILTER(OFFSET($O$15,0,$DN311,$B$8,1),OFFSET($M$15,0,0,$B$8,1))=FJ$13), 1*(_xlfn._xlws.FILTER(OFFSET($O$15,0,$DO311,$B$8,1),OFFSET($M$15,0,0,$B$8,1))=FJ$14))   /   SUM(OFFSET($BO$15,0,0,$B$14,1)) + $B$18/($B$19*$B$19*($DN311&lt;&gt;$DO311) + $B$19*($DN311=$DO311))</f>
        <v>3.7037037037037035E-4</v>
      </c>
      <c r="FK311" s="10" cm="1">
        <f t="array" aca="1" ref="FK311" ca="1">(1-$B$18)*SUMPRODUCT(OFFSET($BO$15,0,0,$B$14,1), 1*(_xlfn._xlws.FILTER(OFFSET($O$15,0,$DN311,$B$8,1),OFFSET($M$15,0,0,$B$8,1))=FK$13), 1*(_xlfn._xlws.FILTER(OFFSET($O$15,0,$DO311,$B$8,1),OFFSET($M$15,0,0,$B$8,1))=FK$14))   /   SUM(OFFSET($BO$15,0,0,$B$14,1)) + $B$18/($B$19*$B$19*($DN311&lt;&gt;$DO311) + $B$19*($DN311=$DO311))</f>
        <v>3.7037037037037035E-4</v>
      </c>
      <c r="FL311" s="10" cm="1">
        <f t="array" aca="1" ref="FL311" ca="1">(1-$B$18)*SUMPRODUCT(OFFSET($BO$15,0,0,$B$14,1), 1*(_xlfn._xlws.FILTER(OFFSET($O$15,0,$DN311,$B$8,1),OFFSET($M$15,0,0,$B$8,1))=FL$13), 1*(_xlfn._xlws.FILTER(OFFSET($O$15,0,$DO311,$B$8,1),OFFSET($M$15,0,0,$B$8,1))=FL$14))   /   SUM(OFFSET($BO$15,0,0,$B$14,1)) + $B$18/($B$19*$B$19*($DN311&lt;&gt;$DO311) + $B$19*($DN311=$DO311))</f>
        <v>3.7037037037037035E-4</v>
      </c>
      <c r="FM311" s="10" cm="1">
        <f t="array" aca="1" ref="FM311" ca="1">(1-$B$18)*SUMPRODUCT(OFFSET($BO$15,0,0,$B$14,1), 1*(_xlfn._xlws.FILTER(OFFSET($O$15,0,$DN311,$B$8,1),OFFSET($M$15,0,0,$B$8,1))=FM$13), 1*(_xlfn._xlws.FILTER(OFFSET($O$15,0,$DO311,$B$8,1),OFFSET($M$15,0,0,$B$8,1))=FM$14))   /   SUM(OFFSET($BO$15,0,0,$B$14,1)) + $B$18/($B$19*$B$19*($DN311&lt;&gt;$DO311) + $B$19*($DN311=$DO311))</f>
        <v>3.7037037037037035E-4</v>
      </c>
      <c r="FN311" s="10" cm="1">
        <f t="array" aca="1" ref="FN311" ca="1">(1-$B$18)*SUMPRODUCT(OFFSET($BO$15,0,0,$B$14,1), 1*(_xlfn._xlws.FILTER(OFFSET($O$15,0,$DN311,$B$8,1),OFFSET($M$15,0,0,$B$8,1))=FN$13), 1*(_xlfn._xlws.FILTER(OFFSET($O$15,0,$DO311,$B$8,1),OFFSET($M$15,0,0,$B$8,1))=FN$14))   /   SUM(OFFSET($BO$15,0,0,$B$14,1)) + $B$18/($B$19*$B$19*($DN311&lt;&gt;$DO311) + $B$19*($DN311=$DO311))</f>
        <v>3.7037037037037035E-4</v>
      </c>
      <c r="FO311" s="10" cm="1">
        <f t="array" aca="1" ref="FO311" ca="1">(1-$B$18)*SUMPRODUCT(OFFSET($BO$15,0,0,$B$14,1), 1*(_xlfn._xlws.FILTER(OFFSET($O$15,0,$DN311,$B$8,1),OFFSET($M$15,0,0,$B$8,1))=FO$13), 1*(_xlfn._xlws.FILTER(OFFSET($O$15,0,$DO311,$B$8,1),OFFSET($M$15,0,0,$B$8,1))=FO$14))   /   SUM(OFFSET($BO$15,0,0,$B$14,1)) + $B$18/($B$19*$B$19*($DN311&lt;&gt;$DO311) + $B$19*($DN311=$DO311))</f>
        <v>3.7037037037037035E-4</v>
      </c>
      <c r="FP311" s="10" cm="1">
        <f t="array" aca="1" ref="FP311" ca="1">(1-$B$18)*SUMPRODUCT(OFFSET($BO$15,0,0,$B$14,1), 1*(_xlfn._xlws.FILTER(OFFSET($O$15,0,$DN311,$B$8,1),OFFSET($M$15,0,0,$B$8,1))=FP$13), 1*(_xlfn._xlws.FILTER(OFFSET($O$15,0,$DO311,$B$8,1),OFFSET($M$15,0,0,$B$8,1))=FP$14))   /   SUM(OFFSET($BO$15,0,0,$B$14,1)) + $B$18/($B$19*$B$19*($DN311&lt;&gt;$DO311) + $B$19*($DN311=$DO311))</f>
        <v>3.7037037037037035E-4</v>
      </c>
      <c r="FQ311" s="10" cm="1">
        <f t="array" aca="1" ref="FQ311" ca="1">(1-$B$18)*SUMPRODUCT(OFFSET($BO$15,0,0,$B$14,1), 1*(_xlfn._xlws.FILTER(OFFSET($O$15,0,$DN311,$B$8,1),OFFSET($M$15,0,0,$B$8,1))=FQ$13), 1*(_xlfn._xlws.FILTER(OFFSET($O$15,0,$DO311,$B$8,1),OFFSET($M$15,0,0,$B$8,1))=FQ$14))   /   SUM(OFFSET($BO$15,0,0,$B$14,1)) + $B$18/($B$19*$B$19*($DN311&lt;&gt;$DO311) + $B$19*($DN311=$DO311))</f>
        <v>3.7037037037037035E-4</v>
      </c>
      <c r="FR311" s="10" cm="1">
        <f t="array" aca="1" ref="FR311" ca="1">(1-$B$18)*SUMPRODUCT(OFFSET($BO$15,0,0,$B$14,1), 1*(_xlfn._xlws.FILTER(OFFSET($O$15,0,$DN311,$B$8,1),OFFSET($M$15,0,0,$B$8,1))=FR$13), 1*(_xlfn._xlws.FILTER(OFFSET($O$15,0,$DO311,$B$8,1),OFFSET($M$15,0,0,$B$8,1))=FR$14))   /   SUM(OFFSET($BO$15,0,0,$B$14,1)) + $B$18/($B$19*$B$19*($DN311&lt;&gt;$DO311) + $B$19*($DN311=$DO311))</f>
        <v>3.7037037037037035E-4</v>
      </c>
      <c r="FS311" s="10" cm="1">
        <f t="array" aca="1" ref="FS311" ca="1">(1-$B$18)*SUMPRODUCT(OFFSET($BO$15,0,0,$B$14,1), 1*(_xlfn._xlws.FILTER(OFFSET($O$15,0,$DN311,$B$8,1),OFFSET($M$15,0,0,$B$8,1))=FS$13), 1*(_xlfn._xlws.FILTER(OFFSET($O$15,0,$DO311,$B$8,1),OFFSET($M$15,0,0,$B$8,1))=FS$14))   /   SUM(OFFSET($BO$15,0,0,$B$14,1)) + $B$18/($B$19*$B$19*($DN311&lt;&gt;$DO311) + $B$19*($DN311=$DO311))</f>
        <v>3.7037037037037035E-4</v>
      </c>
      <c r="FT311" s="10" cm="1">
        <f t="array" aca="1" ref="FT311" ca="1">(1-$B$18)*SUMPRODUCT(OFFSET($BO$15,0,0,$B$14,1), 1*(_xlfn._xlws.FILTER(OFFSET($O$15,0,$DN311,$B$8,1),OFFSET($M$15,0,0,$B$8,1))=FT$13), 1*(_xlfn._xlws.FILTER(OFFSET($O$15,0,$DO311,$B$8,1),OFFSET($M$15,0,0,$B$8,1))=FT$14))   /   SUM(OFFSET($BO$15,0,0,$B$14,1)) + $B$18/($B$19*$B$19*($DN311&lt;&gt;$DO311) + $B$19*($DN311=$DO311))</f>
        <v>3.7037037037037035E-4</v>
      </c>
      <c r="FU311" s="10" cm="1">
        <f t="array" aca="1" ref="FU311" ca="1">(1-$B$18)*SUMPRODUCT(OFFSET($BO$15,0,0,$B$14,1), 1*(_xlfn._xlws.FILTER(OFFSET($O$15,0,$DN311,$B$8,1),OFFSET($M$15,0,0,$B$8,1))=FU$13), 1*(_xlfn._xlws.FILTER(OFFSET($O$15,0,$DO311,$B$8,1),OFFSET($M$15,0,0,$B$8,1))=FU$14))   /   SUM(OFFSET($BO$15,0,0,$B$14,1)) + $B$18/($B$19*$B$19*($DN311&lt;&gt;$DO311) + $B$19*($DN311=$DO311))</f>
        <v>3.7037037037037035E-4</v>
      </c>
      <c r="FV311" s="10" cm="1">
        <f t="array" aca="1" ref="FV311" ca="1">(1-$B$18)*SUMPRODUCT(OFFSET($BO$15,0,0,$B$14,1), 1*(_xlfn._xlws.FILTER(OFFSET($O$15,0,$DN311,$B$8,1),OFFSET($M$15,0,0,$B$8,1))=FV$13), 1*(_xlfn._xlws.FILTER(OFFSET($O$15,0,$DO311,$B$8,1),OFFSET($M$15,0,0,$B$8,1))=FV$14))   /   SUM(OFFSET($BO$15,0,0,$B$14,1)) + $B$18/($B$19*$B$19*($DN311&lt;&gt;$DO311) + $B$19*($DN311=$DO311))</f>
        <v>3.7037037037037035E-4</v>
      </c>
      <c r="FW311" s="10" cm="1">
        <f t="array" aca="1" ref="FW311" ca="1">(1-$B$18)*SUMPRODUCT(OFFSET($BO$15,0,0,$B$14,1), 1*(_xlfn._xlws.FILTER(OFFSET($O$15,0,$DN311,$B$8,1),OFFSET($M$15,0,0,$B$8,1))=FW$13), 1*(_xlfn._xlws.FILTER(OFFSET($O$15,0,$DO311,$B$8,1),OFFSET($M$15,0,0,$B$8,1))=FW$14))   /   SUM(OFFSET($BO$15,0,0,$B$14,1)) + $B$18/($B$19*$B$19*($DN311&lt;&gt;$DO311) + $B$19*($DN311=$DO311))</f>
        <v>3.7037037037037035E-4</v>
      </c>
      <c r="FX311" s="10" cm="1">
        <f t="array" aca="1" ref="FX311" ca="1">(1-$B$18)*SUMPRODUCT(OFFSET($BO$15,0,0,$B$14,1), 1*(_xlfn._xlws.FILTER(OFFSET($O$15,0,$DN311,$B$8,1),OFFSET($M$15,0,0,$B$8,1))=FX$13), 1*(_xlfn._xlws.FILTER(OFFSET($O$15,0,$DO311,$B$8,1),OFFSET($M$15,0,0,$B$8,1))=FX$14))   /   SUM(OFFSET($BO$15,0,0,$B$14,1)) + $B$18/($B$19*$B$19*($DN311&lt;&gt;$DO311) + $B$19*($DN311=$DO311))</f>
        <v>3.7037037037037035E-4</v>
      </c>
      <c r="FY311" s="10" cm="1">
        <f t="array" aca="1" ref="FY311" ca="1">(1-$B$18)*SUMPRODUCT(OFFSET($BO$15,0,0,$B$14,1), 1*(_xlfn._xlws.FILTER(OFFSET($O$15,0,$DN311,$B$8,1),OFFSET($M$15,0,0,$B$8,1))=FY$13), 1*(_xlfn._xlws.FILTER(OFFSET($O$15,0,$DO311,$B$8,1),OFFSET($M$15,0,0,$B$8,1))=FY$14))   /   SUM(OFFSET($BO$15,0,0,$B$14,1)) + $B$18/($B$19*$B$19*($DN311&lt;&gt;$DO311) + $B$19*($DN311=$DO311))</f>
        <v>3.7037037037037035E-4</v>
      </c>
      <c r="FZ311" s="10" cm="1">
        <f t="array" aca="1" ref="FZ311" ca="1">(1-$B$18)*SUMPRODUCT(OFFSET($BO$15,0,0,$B$14,1), 1*(_xlfn._xlws.FILTER(OFFSET($O$15,0,$DN311,$B$8,1),OFFSET($M$15,0,0,$B$8,1))=FZ$13), 1*(_xlfn._xlws.FILTER(OFFSET($O$15,0,$DO311,$B$8,1),OFFSET($M$15,0,0,$B$8,1))=FZ$14))   /   SUM(OFFSET($BO$15,0,0,$B$14,1)) + $B$18/($B$19*$B$19*($DN311&lt;&gt;$DO311) + $B$19*($DN311=$DO311))</f>
        <v>3.7037037037037035E-4</v>
      </c>
      <c r="GA311" s="10" cm="1">
        <f t="array" aca="1" ref="GA311" ca="1">(1-$B$18)*SUMPRODUCT(OFFSET($BO$15,0,0,$B$14,1), 1*(_xlfn._xlws.FILTER(OFFSET($O$15,0,$DN311,$B$8,1),OFFSET($M$15,0,0,$B$8,1))=GA$13), 1*(_xlfn._xlws.FILTER(OFFSET($O$15,0,$DO311,$B$8,1),OFFSET($M$15,0,0,$B$8,1))=GA$14))   /   SUM(OFFSET($BO$15,0,0,$B$14,1)) + $B$18/($B$19*$B$19*($DN311&lt;&gt;$DO311) + $B$19*($DN311=$DO311))</f>
        <v>3.7037037037037035E-4</v>
      </c>
    </row>
    <row r="312" spans="118:183" x14ac:dyDescent="0.2">
      <c r="DN312" cm="1">
        <f t="array" aca="1" ref="DN312" ca="1">INDEX(_xlfn.ANCHORARRAY($CP$15), 1 + INT((ROWS($DO$15:$DO312) - 1) / ROWS(_xlfn.ANCHORARRAY($CP$15))))</f>
        <v>18</v>
      </c>
      <c r="DO312" cm="1">
        <f t="array" aca="1" ref="DO312" ca="1">INDEX(_xlfn.ANCHORARRAY($CP$15),1+MOD(ROWS($DO$15:$DO312)-1,ROWS(_xlfn.ANCHORARRAY($CP$15))))</f>
        <v>13</v>
      </c>
      <c r="DP312" s="10" cm="1">
        <f t="array" aca="1" ref="DP312" ca="1">(1-$B$18)*SUMPRODUCT(OFFSET($BO$15,0,0,$B$14,1), 1*(_xlfn._xlws.FILTER(OFFSET($O$15,0,$DN312,$B$8,1),OFFSET($M$15,0,0,$B$8,1))=DP$13), 1*(_xlfn._xlws.FILTER(OFFSET($O$15,0,$DO312,$B$8,1),OFFSET($M$15,0,0,$B$8,1))=DP$14))   /   SUM(OFFSET($BO$15,0,0,$B$14,1)) + $B$18/($B$19*$B$19*($DN312&lt;&gt;$DO312) + $B$19*($DN312=$DO312))</f>
        <v>3.7037037037037035E-4</v>
      </c>
      <c r="DQ312" s="10" cm="1">
        <f t="array" aca="1" ref="DQ312" ca="1">(1-$B$18)*SUMPRODUCT(OFFSET($BO$15,0,0,$B$14,1), 1*(_xlfn._xlws.FILTER(OFFSET($O$15,0,$DN312,$B$8,1),OFFSET($M$15,0,0,$B$8,1))=DQ$13), 1*(_xlfn._xlws.FILTER(OFFSET($O$15,0,$DO312,$B$8,1),OFFSET($M$15,0,0,$B$8,1))=DQ$14))   /   SUM(OFFSET($BO$15,0,0,$B$14,1)) + $B$18/($B$19*$B$19*($DN312&lt;&gt;$DO312) + $B$19*($DN312=$DO312))</f>
        <v>3.7037037037037035E-4</v>
      </c>
      <c r="DR312" s="10" cm="1">
        <f t="array" aca="1" ref="DR312" ca="1">(1-$B$18)*SUMPRODUCT(OFFSET($BO$15,0,0,$B$14,1), 1*(_xlfn._xlws.FILTER(OFFSET($O$15,0,$DN312,$B$8,1),OFFSET($M$15,0,0,$B$8,1))=DR$13), 1*(_xlfn._xlws.FILTER(OFFSET($O$15,0,$DO312,$B$8,1),OFFSET($M$15,0,0,$B$8,1))=DR$14))   /   SUM(OFFSET($BO$15,0,0,$B$14,1)) + $B$18/($B$19*$B$19*($DN312&lt;&gt;$DO312) + $B$19*($DN312=$DO312))</f>
        <v>3.7037037037037035E-4</v>
      </c>
      <c r="DS312" s="10" cm="1">
        <f t="array" aca="1" ref="DS312" ca="1">(1-$B$18)*SUMPRODUCT(OFFSET($BO$15,0,0,$B$14,1), 1*(_xlfn._xlws.FILTER(OFFSET($O$15,0,$DN312,$B$8,1),OFFSET($M$15,0,0,$B$8,1))=DS$13), 1*(_xlfn._xlws.FILTER(OFFSET($O$15,0,$DO312,$B$8,1),OFFSET($M$15,0,0,$B$8,1))=DS$14))   /   SUM(OFFSET($BO$15,0,0,$B$14,1)) + $B$18/($B$19*$B$19*($DN312&lt;&gt;$DO312) + $B$19*($DN312=$DO312))</f>
        <v>3.7037037037037035E-4</v>
      </c>
      <c r="DT312" s="10" cm="1">
        <f t="array" aca="1" ref="DT312" ca="1">(1-$B$18)*SUMPRODUCT(OFFSET($BO$15,0,0,$B$14,1), 1*(_xlfn._xlws.FILTER(OFFSET($O$15,0,$DN312,$B$8,1),OFFSET($M$15,0,0,$B$8,1))=DT$13), 1*(_xlfn._xlws.FILTER(OFFSET($O$15,0,$DO312,$B$8,1),OFFSET($M$15,0,0,$B$8,1))=DT$14))   /   SUM(OFFSET($BO$15,0,0,$B$14,1)) + $B$18/($B$19*$B$19*($DN312&lt;&gt;$DO312) + $B$19*($DN312=$DO312))</f>
        <v>3.7037037037037035E-4</v>
      </c>
      <c r="DU312" s="10" cm="1">
        <f t="array" aca="1" ref="DU312" ca="1">(1-$B$18)*SUMPRODUCT(OFFSET($BO$15,0,0,$B$14,1), 1*(_xlfn._xlws.FILTER(OFFSET($O$15,0,$DN312,$B$8,1),OFFSET($M$15,0,0,$B$8,1))=DU$13), 1*(_xlfn._xlws.FILTER(OFFSET($O$15,0,$DO312,$B$8,1),OFFSET($M$15,0,0,$B$8,1))=DU$14))   /   SUM(OFFSET($BO$15,0,0,$B$14,1)) + $B$18/($B$19*$B$19*($DN312&lt;&gt;$DO312) + $B$19*($DN312=$DO312))</f>
        <v>3.7037037037037035E-4</v>
      </c>
      <c r="DV312" s="10" cm="1">
        <f t="array" aca="1" ref="DV312" ca="1">(1-$B$18)*SUMPRODUCT(OFFSET($BO$15,0,0,$B$14,1), 1*(_xlfn._xlws.FILTER(OFFSET($O$15,0,$DN312,$B$8,1),OFFSET($M$15,0,0,$B$8,1))=DV$13), 1*(_xlfn._xlws.FILTER(OFFSET($O$15,0,$DO312,$B$8,1),OFFSET($M$15,0,0,$B$8,1))=DV$14))   /   SUM(OFFSET($BO$15,0,0,$B$14,1)) + $B$18/($B$19*$B$19*($DN312&lt;&gt;$DO312) + $B$19*($DN312=$DO312))</f>
        <v>3.7037037037037035E-4</v>
      </c>
      <c r="DW312" s="10" cm="1">
        <f t="array" aca="1" ref="DW312" ca="1">(1-$B$18)*SUMPRODUCT(OFFSET($BO$15,0,0,$B$14,1), 1*(_xlfn._xlws.FILTER(OFFSET($O$15,0,$DN312,$B$8,1),OFFSET($M$15,0,0,$B$8,1))=DW$13), 1*(_xlfn._xlws.FILTER(OFFSET($O$15,0,$DO312,$B$8,1),OFFSET($M$15,0,0,$B$8,1))=DW$14))   /   SUM(OFFSET($BO$15,0,0,$B$14,1)) + $B$18/($B$19*$B$19*($DN312&lt;&gt;$DO312) + $B$19*($DN312=$DO312))</f>
        <v>3.7037037037037035E-4</v>
      </c>
      <c r="DX312" s="10" cm="1">
        <f t="array" aca="1" ref="DX312" ca="1">(1-$B$18)*SUMPRODUCT(OFFSET($BO$15,0,0,$B$14,1), 1*(_xlfn._xlws.FILTER(OFFSET($O$15,0,$DN312,$B$8,1),OFFSET($M$15,0,0,$B$8,1))=DX$13), 1*(_xlfn._xlws.FILTER(OFFSET($O$15,0,$DO312,$B$8,1),OFFSET($M$15,0,0,$B$8,1))=DX$14))   /   SUM(OFFSET($BO$15,0,0,$B$14,1)) + $B$18/($B$19*$B$19*($DN312&lt;&gt;$DO312) + $B$19*($DN312=$DO312))</f>
        <v>3.7037037037037035E-4</v>
      </c>
      <c r="DY312" s="10" cm="1">
        <f t="array" aca="1" ref="DY312" ca="1">(1-$B$18)*SUMPRODUCT(OFFSET($BO$15,0,0,$B$14,1), 1*(_xlfn._xlws.FILTER(OFFSET($O$15,0,$DN312,$B$8,1),OFFSET($M$15,0,0,$B$8,1))=DY$13), 1*(_xlfn._xlws.FILTER(OFFSET($O$15,0,$DO312,$B$8,1),OFFSET($M$15,0,0,$B$8,1))=DY$14))   /   SUM(OFFSET($BO$15,0,0,$B$14,1)) + $B$18/($B$19*$B$19*($DN312&lt;&gt;$DO312) + $B$19*($DN312=$DO312))</f>
        <v>3.7037037037037035E-4</v>
      </c>
      <c r="DZ312" s="10" cm="1">
        <f t="array" aca="1" ref="DZ312" ca="1">(1-$B$18)*SUMPRODUCT(OFFSET($BO$15,0,0,$B$14,1), 1*(_xlfn._xlws.FILTER(OFFSET($O$15,0,$DN312,$B$8,1),OFFSET($M$15,0,0,$B$8,1))=DZ$13), 1*(_xlfn._xlws.FILTER(OFFSET($O$15,0,$DO312,$B$8,1),OFFSET($M$15,0,0,$B$8,1))=DZ$14))   /   SUM(OFFSET($BO$15,0,0,$B$14,1)) + $B$18/($B$19*$B$19*($DN312&lt;&gt;$DO312) + $B$19*($DN312=$DO312))</f>
        <v>3.7037037037037035E-4</v>
      </c>
      <c r="EA312" s="10" cm="1">
        <f t="array" aca="1" ref="EA312" ca="1">(1-$B$18)*SUMPRODUCT(OFFSET($BO$15,0,0,$B$14,1), 1*(_xlfn._xlws.FILTER(OFFSET($O$15,0,$DN312,$B$8,1),OFFSET($M$15,0,0,$B$8,1))=EA$13), 1*(_xlfn._xlws.FILTER(OFFSET($O$15,0,$DO312,$B$8,1),OFFSET($M$15,0,0,$B$8,1))=EA$14))   /   SUM(OFFSET($BO$15,0,0,$B$14,1)) + $B$18/($B$19*$B$19*($DN312&lt;&gt;$DO312) + $B$19*($DN312=$DO312))</f>
        <v>3.7037037037037035E-4</v>
      </c>
      <c r="EB312" s="10" cm="1">
        <f t="array" aca="1" ref="EB312" ca="1">(1-$B$18)*SUMPRODUCT(OFFSET($BO$15,0,0,$B$14,1), 1*(_xlfn._xlws.FILTER(OFFSET($O$15,0,$DN312,$B$8,1),OFFSET($M$15,0,0,$B$8,1))=EB$13), 1*(_xlfn._xlws.FILTER(OFFSET($O$15,0,$DO312,$B$8,1),OFFSET($M$15,0,0,$B$8,1))=EB$14))   /   SUM(OFFSET($BO$15,0,0,$B$14,1)) + $B$18/($B$19*$B$19*($DN312&lt;&gt;$DO312) + $B$19*($DN312=$DO312))</f>
        <v>3.7037037037037035E-4</v>
      </c>
      <c r="EC312" s="10" cm="1">
        <f t="array" aca="1" ref="EC312" ca="1">(1-$B$18)*SUMPRODUCT(OFFSET($BO$15,0,0,$B$14,1), 1*(_xlfn._xlws.FILTER(OFFSET($O$15,0,$DN312,$B$8,1),OFFSET($M$15,0,0,$B$8,1))=EC$13), 1*(_xlfn._xlws.FILTER(OFFSET($O$15,0,$DO312,$B$8,1),OFFSET($M$15,0,0,$B$8,1))=EC$14))   /   SUM(OFFSET($BO$15,0,0,$B$14,1)) + $B$18/($B$19*$B$19*($DN312&lt;&gt;$DO312) + $B$19*($DN312=$DO312))</f>
        <v>3.7037037037037035E-4</v>
      </c>
      <c r="ED312" s="10" cm="1">
        <f t="array" aca="1" ref="ED312" ca="1">(1-$B$18)*SUMPRODUCT(OFFSET($BO$15,0,0,$B$14,1), 1*(_xlfn._xlws.FILTER(OFFSET($O$15,0,$DN312,$B$8,1),OFFSET($M$15,0,0,$B$8,1))=ED$13), 1*(_xlfn._xlws.FILTER(OFFSET($O$15,0,$DO312,$B$8,1),OFFSET($M$15,0,0,$B$8,1))=ED$14))   /   SUM(OFFSET($BO$15,0,0,$B$14,1)) + $B$18/($B$19*$B$19*($DN312&lt;&gt;$DO312) + $B$19*($DN312=$DO312))</f>
        <v>3.7037037037037035E-4</v>
      </c>
      <c r="EE312" s="10" cm="1">
        <f t="array" aca="1" ref="EE312" ca="1">(1-$B$18)*SUMPRODUCT(OFFSET($BO$15,0,0,$B$14,1), 1*(_xlfn._xlws.FILTER(OFFSET($O$15,0,$DN312,$B$8,1),OFFSET($M$15,0,0,$B$8,1))=EE$13), 1*(_xlfn._xlws.FILTER(OFFSET($O$15,0,$DO312,$B$8,1),OFFSET($M$15,0,0,$B$8,1))=EE$14))   /   SUM(OFFSET($BO$15,0,0,$B$14,1)) + $B$18/($B$19*$B$19*($DN312&lt;&gt;$DO312) + $B$19*($DN312=$DO312))</f>
        <v>3.7037037037037035E-4</v>
      </c>
      <c r="EF312" s="10" cm="1">
        <f t="array" aca="1" ref="EF312" ca="1">(1-$B$18)*SUMPRODUCT(OFFSET($BO$15,0,0,$B$14,1), 1*(_xlfn._xlws.FILTER(OFFSET($O$15,0,$DN312,$B$8,1),OFFSET($M$15,0,0,$B$8,1))=EF$13), 1*(_xlfn._xlws.FILTER(OFFSET($O$15,0,$DO312,$B$8,1),OFFSET($M$15,0,0,$B$8,1))=EF$14))   /   SUM(OFFSET($BO$15,0,0,$B$14,1)) + $B$18/($B$19*$B$19*($DN312&lt;&gt;$DO312) + $B$19*($DN312=$DO312))</f>
        <v>3.7037037037037035E-4</v>
      </c>
      <c r="EG312" s="10" cm="1">
        <f t="array" aca="1" ref="EG312" ca="1">(1-$B$18)*SUMPRODUCT(OFFSET($BO$15,0,0,$B$14,1), 1*(_xlfn._xlws.FILTER(OFFSET($O$15,0,$DN312,$B$8,1),OFFSET($M$15,0,0,$B$8,1))=EG$13), 1*(_xlfn._xlws.FILTER(OFFSET($O$15,0,$DO312,$B$8,1),OFFSET($M$15,0,0,$B$8,1))=EG$14))   /   SUM(OFFSET($BO$15,0,0,$B$14,1)) + $B$18/($B$19*$B$19*($DN312&lt;&gt;$DO312) + $B$19*($DN312=$DO312))</f>
        <v>3.7037037037037035E-4</v>
      </c>
      <c r="EH312" s="10" cm="1">
        <f t="array" aca="1" ref="EH312" ca="1">(1-$B$18)*SUMPRODUCT(OFFSET($BO$15,0,0,$B$14,1), 1*(_xlfn._xlws.FILTER(OFFSET($O$15,0,$DN312,$B$8,1),OFFSET($M$15,0,0,$B$8,1))=EH$13), 1*(_xlfn._xlws.FILTER(OFFSET($O$15,0,$DO312,$B$8,1),OFFSET($M$15,0,0,$B$8,1))=EH$14))   /   SUM(OFFSET($BO$15,0,0,$B$14,1)) + $B$18/($B$19*$B$19*($DN312&lt;&gt;$DO312) + $B$19*($DN312=$DO312))</f>
        <v>3.7037037037037035E-4</v>
      </c>
      <c r="EI312" s="10" cm="1">
        <f t="array" aca="1" ref="EI312" ca="1">(1-$B$18)*SUMPRODUCT(OFFSET($BO$15,0,0,$B$14,1), 1*(_xlfn._xlws.FILTER(OFFSET($O$15,0,$DN312,$B$8,1),OFFSET($M$15,0,0,$B$8,1))=EI$13), 1*(_xlfn._xlws.FILTER(OFFSET($O$15,0,$DO312,$B$8,1),OFFSET($M$15,0,0,$B$8,1))=EI$14))   /   SUM(OFFSET($BO$15,0,0,$B$14,1)) + $B$18/($B$19*$B$19*($DN312&lt;&gt;$DO312) + $B$19*($DN312=$DO312))</f>
        <v>3.7037037037037035E-4</v>
      </c>
      <c r="EJ312" s="10" cm="1">
        <f t="array" aca="1" ref="EJ312" ca="1">(1-$B$18)*SUMPRODUCT(OFFSET($BO$15,0,0,$B$14,1), 1*(_xlfn._xlws.FILTER(OFFSET($O$15,0,$DN312,$B$8,1),OFFSET($M$15,0,0,$B$8,1))=EJ$13), 1*(_xlfn._xlws.FILTER(OFFSET($O$15,0,$DO312,$B$8,1),OFFSET($M$15,0,0,$B$8,1))=EJ$14))   /   SUM(OFFSET($BO$15,0,0,$B$14,1)) + $B$18/($B$19*$B$19*($DN312&lt;&gt;$DO312) + $B$19*($DN312=$DO312))</f>
        <v>3.7037037037037035E-4</v>
      </c>
      <c r="EK312" s="10" cm="1">
        <f t="array" aca="1" ref="EK312" ca="1">(1-$B$18)*SUMPRODUCT(OFFSET($BO$15,0,0,$B$14,1), 1*(_xlfn._xlws.FILTER(OFFSET($O$15,0,$DN312,$B$8,1),OFFSET($M$15,0,0,$B$8,1))=EK$13), 1*(_xlfn._xlws.FILTER(OFFSET($O$15,0,$DO312,$B$8,1),OFFSET($M$15,0,0,$B$8,1))=EK$14))   /   SUM(OFFSET($BO$15,0,0,$B$14,1)) + $B$18/($B$19*$B$19*($DN312&lt;&gt;$DO312) + $B$19*($DN312=$DO312))</f>
        <v>3.7037037037037035E-4</v>
      </c>
      <c r="EL312" s="10" cm="1">
        <f t="array" aca="1" ref="EL312" ca="1">(1-$B$18)*SUMPRODUCT(OFFSET($BO$15,0,0,$B$14,1), 1*(_xlfn._xlws.FILTER(OFFSET($O$15,0,$DN312,$B$8,1),OFFSET($M$15,0,0,$B$8,1))=EL$13), 1*(_xlfn._xlws.FILTER(OFFSET($O$15,0,$DO312,$B$8,1),OFFSET($M$15,0,0,$B$8,1))=EL$14))   /   SUM(OFFSET($BO$15,0,0,$B$14,1)) + $B$18/($B$19*$B$19*($DN312&lt;&gt;$DO312) + $B$19*($DN312=$DO312))</f>
        <v>3.7037037037037035E-4</v>
      </c>
      <c r="EM312" s="10" cm="1">
        <f t="array" aca="1" ref="EM312" ca="1">(1-$B$18)*SUMPRODUCT(OFFSET($BO$15,0,0,$B$14,1), 1*(_xlfn._xlws.FILTER(OFFSET($O$15,0,$DN312,$B$8,1),OFFSET($M$15,0,0,$B$8,1))=EM$13), 1*(_xlfn._xlws.FILTER(OFFSET($O$15,0,$DO312,$B$8,1),OFFSET($M$15,0,0,$B$8,1))=EM$14))   /   SUM(OFFSET($BO$15,0,0,$B$14,1)) + $B$18/($B$19*$B$19*($DN312&lt;&gt;$DO312) + $B$19*($DN312=$DO312))</f>
        <v>3.7037037037037035E-4</v>
      </c>
      <c r="EN312" s="10" cm="1">
        <f t="array" aca="1" ref="EN312" ca="1">(1-$B$18)*SUMPRODUCT(OFFSET($BO$15,0,0,$B$14,1), 1*(_xlfn._xlws.FILTER(OFFSET($O$15,0,$DN312,$B$8,1),OFFSET($M$15,0,0,$B$8,1))=EN$13), 1*(_xlfn._xlws.FILTER(OFFSET($O$15,0,$DO312,$B$8,1),OFFSET($M$15,0,0,$B$8,1))=EN$14))   /   SUM(OFFSET($BO$15,0,0,$B$14,1)) + $B$18/($B$19*$B$19*($DN312&lt;&gt;$DO312) + $B$19*($DN312=$DO312))</f>
        <v>3.7037037037037035E-4</v>
      </c>
      <c r="EO312" s="10" cm="1">
        <f t="array" aca="1" ref="EO312" ca="1">(1-$B$18)*SUMPRODUCT(OFFSET($BO$15,0,0,$B$14,1), 1*(_xlfn._xlws.FILTER(OFFSET($O$15,0,$DN312,$B$8,1),OFFSET($M$15,0,0,$B$8,1))=EO$13), 1*(_xlfn._xlws.FILTER(OFFSET($O$15,0,$DO312,$B$8,1),OFFSET($M$15,0,0,$B$8,1))=EO$14))   /   SUM(OFFSET($BO$15,0,0,$B$14,1)) + $B$18/($B$19*$B$19*($DN312&lt;&gt;$DO312) + $B$19*($DN312=$DO312))</f>
        <v>0.97037037037037033</v>
      </c>
      <c r="EP312" s="10" cm="1">
        <f t="array" aca="1" ref="EP312" ca="1">(1-$B$18)*SUMPRODUCT(OFFSET($BO$15,0,0,$B$14,1), 1*(_xlfn._xlws.FILTER(OFFSET($O$15,0,$DN312,$B$8,1),OFFSET($M$15,0,0,$B$8,1))=EP$13), 1*(_xlfn._xlws.FILTER(OFFSET($O$15,0,$DO312,$B$8,1),OFFSET($M$15,0,0,$B$8,1))=EP$14))   /   SUM(OFFSET($BO$15,0,0,$B$14,1)) + $B$18/($B$19*$B$19*($DN312&lt;&gt;$DO312) + $B$19*($DN312=$DO312))</f>
        <v>3.7037037037037035E-4</v>
      </c>
      <c r="EQ312" s="10" cm="1">
        <f t="array" aca="1" ref="EQ312" ca="1">(1-$B$18)*SUMPRODUCT(OFFSET($BO$15,0,0,$B$14,1), 1*(_xlfn._xlws.FILTER(OFFSET($O$15,0,$DN312,$B$8,1),OFFSET($M$15,0,0,$B$8,1))=EQ$13), 1*(_xlfn._xlws.FILTER(OFFSET($O$15,0,$DO312,$B$8,1),OFFSET($M$15,0,0,$B$8,1))=EQ$14))   /   SUM(OFFSET($BO$15,0,0,$B$14,1)) + $B$18/($B$19*$B$19*($DN312&lt;&gt;$DO312) + $B$19*($DN312=$DO312))</f>
        <v>3.7037037037037035E-4</v>
      </c>
      <c r="ER312" s="10" cm="1">
        <f t="array" aca="1" ref="ER312" ca="1">(1-$B$18)*SUMPRODUCT(OFFSET($BO$15,0,0,$B$14,1), 1*(_xlfn._xlws.FILTER(OFFSET($O$15,0,$DN312,$B$8,1),OFFSET($M$15,0,0,$B$8,1))=ER$13), 1*(_xlfn._xlws.FILTER(OFFSET($O$15,0,$DO312,$B$8,1),OFFSET($M$15,0,0,$B$8,1))=ER$14))   /   SUM(OFFSET($BO$15,0,0,$B$14,1)) + $B$18/($B$19*$B$19*($DN312&lt;&gt;$DO312) + $B$19*($DN312=$DO312))</f>
        <v>3.7037037037037035E-4</v>
      </c>
      <c r="ES312" s="10" cm="1">
        <f t="array" aca="1" ref="ES312" ca="1">(1-$B$18)*SUMPRODUCT(OFFSET($BO$15,0,0,$B$14,1), 1*(_xlfn._xlws.FILTER(OFFSET($O$15,0,$DN312,$B$8,1),OFFSET($M$15,0,0,$B$8,1))=ES$13), 1*(_xlfn._xlws.FILTER(OFFSET($O$15,0,$DO312,$B$8,1),OFFSET($M$15,0,0,$B$8,1))=ES$14))   /   SUM(OFFSET($BO$15,0,0,$B$14,1)) + $B$18/($B$19*$B$19*($DN312&lt;&gt;$DO312) + $B$19*($DN312=$DO312))</f>
        <v>3.7037037037037035E-4</v>
      </c>
      <c r="ET312" s="10" cm="1">
        <f t="array" aca="1" ref="ET312" ca="1">(1-$B$18)*SUMPRODUCT(OFFSET($BO$15,0,0,$B$14,1), 1*(_xlfn._xlws.FILTER(OFFSET($O$15,0,$DN312,$B$8,1),OFFSET($M$15,0,0,$B$8,1))=ET$13), 1*(_xlfn._xlws.FILTER(OFFSET($O$15,0,$DO312,$B$8,1),OFFSET($M$15,0,0,$B$8,1))=ET$14))   /   SUM(OFFSET($BO$15,0,0,$B$14,1)) + $B$18/($B$19*$B$19*($DN312&lt;&gt;$DO312) + $B$19*($DN312=$DO312))</f>
        <v>3.7037037037037035E-4</v>
      </c>
      <c r="EU312" s="10" cm="1">
        <f t="array" aca="1" ref="EU312" ca="1">(1-$B$18)*SUMPRODUCT(OFFSET($BO$15,0,0,$B$14,1), 1*(_xlfn._xlws.FILTER(OFFSET($O$15,0,$DN312,$B$8,1),OFFSET($M$15,0,0,$B$8,1))=EU$13), 1*(_xlfn._xlws.FILTER(OFFSET($O$15,0,$DO312,$B$8,1),OFFSET($M$15,0,0,$B$8,1))=EU$14))   /   SUM(OFFSET($BO$15,0,0,$B$14,1)) + $B$18/($B$19*$B$19*($DN312&lt;&gt;$DO312) + $B$19*($DN312=$DO312))</f>
        <v>3.7037037037037035E-4</v>
      </c>
      <c r="EV312" s="10" cm="1">
        <f t="array" aca="1" ref="EV312" ca="1">(1-$B$18)*SUMPRODUCT(OFFSET($BO$15,0,0,$B$14,1), 1*(_xlfn._xlws.FILTER(OFFSET($O$15,0,$DN312,$B$8,1),OFFSET($M$15,0,0,$B$8,1))=EV$13), 1*(_xlfn._xlws.FILTER(OFFSET($O$15,0,$DO312,$B$8,1),OFFSET($M$15,0,0,$B$8,1))=EV$14))   /   SUM(OFFSET($BO$15,0,0,$B$14,1)) + $B$18/($B$19*$B$19*($DN312&lt;&gt;$DO312) + $B$19*($DN312=$DO312))</f>
        <v>3.7037037037037035E-4</v>
      </c>
      <c r="EW312" s="10" cm="1">
        <f t="array" aca="1" ref="EW312" ca="1">(1-$B$18)*SUMPRODUCT(OFFSET($BO$15,0,0,$B$14,1), 1*(_xlfn._xlws.FILTER(OFFSET($O$15,0,$DN312,$B$8,1),OFFSET($M$15,0,0,$B$8,1))=EW$13), 1*(_xlfn._xlws.FILTER(OFFSET($O$15,0,$DO312,$B$8,1),OFFSET($M$15,0,0,$B$8,1))=EW$14))   /   SUM(OFFSET($BO$15,0,0,$B$14,1)) + $B$18/($B$19*$B$19*($DN312&lt;&gt;$DO312) + $B$19*($DN312=$DO312))</f>
        <v>3.7037037037037035E-4</v>
      </c>
      <c r="EX312" s="10" cm="1">
        <f t="array" aca="1" ref="EX312" ca="1">(1-$B$18)*SUMPRODUCT(OFFSET($BO$15,0,0,$B$14,1), 1*(_xlfn._xlws.FILTER(OFFSET($O$15,0,$DN312,$B$8,1),OFFSET($M$15,0,0,$B$8,1))=EX$13), 1*(_xlfn._xlws.FILTER(OFFSET($O$15,0,$DO312,$B$8,1),OFFSET($M$15,0,0,$B$8,1))=EX$14))   /   SUM(OFFSET($BO$15,0,0,$B$14,1)) + $B$18/($B$19*$B$19*($DN312&lt;&gt;$DO312) + $B$19*($DN312=$DO312))</f>
        <v>3.7037037037037035E-4</v>
      </c>
      <c r="EY312" s="10" cm="1">
        <f t="array" aca="1" ref="EY312" ca="1">(1-$B$18)*SUMPRODUCT(OFFSET($BO$15,0,0,$B$14,1), 1*(_xlfn._xlws.FILTER(OFFSET($O$15,0,$DN312,$B$8,1),OFFSET($M$15,0,0,$B$8,1))=EY$13), 1*(_xlfn._xlws.FILTER(OFFSET($O$15,0,$DO312,$B$8,1),OFFSET($M$15,0,0,$B$8,1))=EY$14))   /   SUM(OFFSET($BO$15,0,0,$B$14,1)) + $B$18/($B$19*$B$19*($DN312&lt;&gt;$DO312) + $B$19*($DN312=$DO312))</f>
        <v>3.7037037037037035E-4</v>
      </c>
      <c r="EZ312" s="10" cm="1">
        <f t="array" aca="1" ref="EZ312" ca="1">(1-$B$18)*SUMPRODUCT(OFFSET($BO$15,0,0,$B$14,1), 1*(_xlfn._xlws.FILTER(OFFSET($O$15,0,$DN312,$B$8,1),OFFSET($M$15,0,0,$B$8,1))=EZ$13), 1*(_xlfn._xlws.FILTER(OFFSET($O$15,0,$DO312,$B$8,1),OFFSET($M$15,0,0,$B$8,1))=EZ$14))   /   SUM(OFFSET($BO$15,0,0,$B$14,1)) + $B$18/($B$19*$B$19*($DN312&lt;&gt;$DO312) + $B$19*($DN312=$DO312))</f>
        <v>3.7037037037037035E-4</v>
      </c>
      <c r="FA312" s="10" cm="1">
        <f t="array" aca="1" ref="FA312" ca="1">(1-$B$18)*SUMPRODUCT(OFFSET($BO$15,0,0,$B$14,1), 1*(_xlfn._xlws.FILTER(OFFSET($O$15,0,$DN312,$B$8,1),OFFSET($M$15,0,0,$B$8,1))=FA$13), 1*(_xlfn._xlws.FILTER(OFFSET($O$15,0,$DO312,$B$8,1),OFFSET($M$15,0,0,$B$8,1))=FA$14))   /   SUM(OFFSET($BO$15,0,0,$B$14,1)) + $B$18/($B$19*$B$19*($DN312&lt;&gt;$DO312) + $B$19*($DN312=$DO312))</f>
        <v>3.7037037037037035E-4</v>
      </c>
      <c r="FB312" s="10" cm="1">
        <f t="array" aca="1" ref="FB312" ca="1">(1-$B$18)*SUMPRODUCT(OFFSET($BO$15,0,0,$B$14,1), 1*(_xlfn._xlws.FILTER(OFFSET($O$15,0,$DN312,$B$8,1),OFFSET($M$15,0,0,$B$8,1))=FB$13), 1*(_xlfn._xlws.FILTER(OFFSET($O$15,0,$DO312,$B$8,1),OFFSET($M$15,0,0,$B$8,1))=FB$14))   /   SUM(OFFSET($BO$15,0,0,$B$14,1)) + $B$18/($B$19*$B$19*($DN312&lt;&gt;$DO312) + $B$19*($DN312=$DO312))</f>
        <v>3.7037037037037035E-4</v>
      </c>
      <c r="FC312" s="10" cm="1">
        <f t="array" aca="1" ref="FC312" ca="1">(1-$B$18)*SUMPRODUCT(OFFSET($BO$15,0,0,$B$14,1), 1*(_xlfn._xlws.FILTER(OFFSET($O$15,0,$DN312,$B$8,1),OFFSET($M$15,0,0,$B$8,1))=FC$13), 1*(_xlfn._xlws.FILTER(OFFSET($O$15,0,$DO312,$B$8,1),OFFSET($M$15,0,0,$B$8,1))=FC$14))   /   SUM(OFFSET($BO$15,0,0,$B$14,1)) + $B$18/($B$19*$B$19*($DN312&lt;&gt;$DO312) + $B$19*($DN312=$DO312))</f>
        <v>3.7037037037037035E-4</v>
      </c>
      <c r="FD312" s="10" cm="1">
        <f t="array" aca="1" ref="FD312" ca="1">(1-$B$18)*SUMPRODUCT(OFFSET($BO$15,0,0,$B$14,1), 1*(_xlfn._xlws.FILTER(OFFSET($O$15,0,$DN312,$B$8,1),OFFSET($M$15,0,0,$B$8,1))=FD$13), 1*(_xlfn._xlws.FILTER(OFFSET($O$15,0,$DO312,$B$8,1),OFFSET($M$15,0,0,$B$8,1))=FD$14))   /   SUM(OFFSET($BO$15,0,0,$B$14,1)) + $B$18/($B$19*$B$19*($DN312&lt;&gt;$DO312) + $B$19*($DN312=$DO312))</f>
        <v>3.7037037037037035E-4</v>
      </c>
      <c r="FE312" s="10" cm="1">
        <f t="array" aca="1" ref="FE312" ca="1">(1-$B$18)*SUMPRODUCT(OFFSET($BO$15,0,0,$B$14,1), 1*(_xlfn._xlws.FILTER(OFFSET($O$15,0,$DN312,$B$8,1),OFFSET($M$15,0,0,$B$8,1))=FE$13), 1*(_xlfn._xlws.FILTER(OFFSET($O$15,0,$DO312,$B$8,1),OFFSET($M$15,0,0,$B$8,1))=FE$14))   /   SUM(OFFSET($BO$15,0,0,$B$14,1)) + $B$18/($B$19*$B$19*($DN312&lt;&gt;$DO312) + $B$19*($DN312=$DO312))</f>
        <v>3.7037037037037035E-4</v>
      </c>
      <c r="FF312" s="10" cm="1">
        <f t="array" aca="1" ref="FF312" ca="1">(1-$B$18)*SUMPRODUCT(OFFSET($BO$15,0,0,$B$14,1), 1*(_xlfn._xlws.FILTER(OFFSET($O$15,0,$DN312,$B$8,1),OFFSET($M$15,0,0,$B$8,1))=FF$13), 1*(_xlfn._xlws.FILTER(OFFSET($O$15,0,$DO312,$B$8,1),OFFSET($M$15,0,0,$B$8,1))=FF$14))   /   SUM(OFFSET($BO$15,0,0,$B$14,1)) + $B$18/($B$19*$B$19*($DN312&lt;&gt;$DO312) + $B$19*($DN312=$DO312))</f>
        <v>3.7037037037037035E-4</v>
      </c>
      <c r="FG312" s="10" cm="1">
        <f t="array" aca="1" ref="FG312" ca="1">(1-$B$18)*SUMPRODUCT(OFFSET($BO$15,0,0,$B$14,1), 1*(_xlfn._xlws.FILTER(OFFSET($O$15,0,$DN312,$B$8,1),OFFSET($M$15,0,0,$B$8,1))=FG$13), 1*(_xlfn._xlws.FILTER(OFFSET($O$15,0,$DO312,$B$8,1),OFFSET($M$15,0,0,$B$8,1))=FG$14))   /   SUM(OFFSET($BO$15,0,0,$B$14,1)) + $B$18/($B$19*$B$19*($DN312&lt;&gt;$DO312) + $B$19*($DN312=$DO312))</f>
        <v>3.7037037037037035E-4</v>
      </c>
      <c r="FH312" s="10" cm="1">
        <f t="array" aca="1" ref="FH312" ca="1">(1-$B$18)*SUMPRODUCT(OFFSET($BO$15,0,0,$B$14,1), 1*(_xlfn._xlws.FILTER(OFFSET($O$15,0,$DN312,$B$8,1),OFFSET($M$15,0,0,$B$8,1))=FH$13), 1*(_xlfn._xlws.FILTER(OFFSET($O$15,0,$DO312,$B$8,1),OFFSET($M$15,0,0,$B$8,1))=FH$14))   /   SUM(OFFSET($BO$15,0,0,$B$14,1)) + $B$18/($B$19*$B$19*($DN312&lt;&gt;$DO312) + $B$19*($DN312=$DO312))</f>
        <v>3.7037037037037035E-4</v>
      </c>
      <c r="FI312" s="10" cm="1">
        <f t="array" aca="1" ref="FI312" ca="1">(1-$B$18)*SUMPRODUCT(OFFSET($BO$15,0,0,$B$14,1), 1*(_xlfn._xlws.FILTER(OFFSET($O$15,0,$DN312,$B$8,1),OFFSET($M$15,0,0,$B$8,1))=FI$13), 1*(_xlfn._xlws.FILTER(OFFSET($O$15,0,$DO312,$B$8,1),OFFSET($M$15,0,0,$B$8,1))=FI$14))   /   SUM(OFFSET($BO$15,0,0,$B$14,1)) + $B$18/($B$19*$B$19*($DN312&lt;&gt;$DO312) + $B$19*($DN312=$DO312))</f>
        <v>3.7037037037037035E-4</v>
      </c>
      <c r="FJ312" s="10" cm="1">
        <f t="array" aca="1" ref="FJ312" ca="1">(1-$B$18)*SUMPRODUCT(OFFSET($BO$15,0,0,$B$14,1), 1*(_xlfn._xlws.FILTER(OFFSET($O$15,0,$DN312,$B$8,1),OFFSET($M$15,0,0,$B$8,1))=FJ$13), 1*(_xlfn._xlws.FILTER(OFFSET($O$15,0,$DO312,$B$8,1),OFFSET($M$15,0,0,$B$8,1))=FJ$14))   /   SUM(OFFSET($BO$15,0,0,$B$14,1)) + $B$18/($B$19*$B$19*($DN312&lt;&gt;$DO312) + $B$19*($DN312=$DO312))</f>
        <v>3.7037037037037035E-4</v>
      </c>
      <c r="FK312" s="10" cm="1">
        <f t="array" aca="1" ref="FK312" ca="1">(1-$B$18)*SUMPRODUCT(OFFSET($BO$15,0,0,$B$14,1), 1*(_xlfn._xlws.FILTER(OFFSET($O$15,0,$DN312,$B$8,1),OFFSET($M$15,0,0,$B$8,1))=FK$13), 1*(_xlfn._xlws.FILTER(OFFSET($O$15,0,$DO312,$B$8,1),OFFSET($M$15,0,0,$B$8,1))=FK$14))   /   SUM(OFFSET($BO$15,0,0,$B$14,1)) + $B$18/($B$19*$B$19*($DN312&lt;&gt;$DO312) + $B$19*($DN312=$DO312))</f>
        <v>3.7037037037037035E-4</v>
      </c>
      <c r="FL312" s="10" cm="1">
        <f t="array" aca="1" ref="FL312" ca="1">(1-$B$18)*SUMPRODUCT(OFFSET($BO$15,0,0,$B$14,1), 1*(_xlfn._xlws.FILTER(OFFSET($O$15,0,$DN312,$B$8,1),OFFSET($M$15,0,0,$B$8,1))=FL$13), 1*(_xlfn._xlws.FILTER(OFFSET($O$15,0,$DO312,$B$8,1),OFFSET($M$15,0,0,$B$8,1))=FL$14))   /   SUM(OFFSET($BO$15,0,0,$B$14,1)) + $B$18/($B$19*$B$19*($DN312&lt;&gt;$DO312) + $B$19*($DN312=$DO312))</f>
        <v>3.7037037037037035E-4</v>
      </c>
      <c r="FM312" s="10" cm="1">
        <f t="array" aca="1" ref="FM312" ca="1">(1-$B$18)*SUMPRODUCT(OFFSET($BO$15,0,0,$B$14,1), 1*(_xlfn._xlws.FILTER(OFFSET($O$15,0,$DN312,$B$8,1),OFFSET($M$15,0,0,$B$8,1))=FM$13), 1*(_xlfn._xlws.FILTER(OFFSET($O$15,0,$DO312,$B$8,1),OFFSET($M$15,0,0,$B$8,1))=FM$14))   /   SUM(OFFSET($BO$15,0,0,$B$14,1)) + $B$18/($B$19*$B$19*($DN312&lt;&gt;$DO312) + $B$19*($DN312=$DO312))</f>
        <v>3.7037037037037035E-4</v>
      </c>
      <c r="FN312" s="10" cm="1">
        <f t="array" aca="1" ref="FN312" ca="1">(1-$B$18)*SUMPRODUCT(OFFSET($BO$15,0,0,$B$14,1), 1*(_xlfn._xlws.FILTER(OFFSET($O$15,0,$DN312,$B$8,1),OFFSET($M$15,0,0,$B$8,1))=FN$13), 1*(_xlfn._xlws.FILTER(OFFSET($O$15,0,$DO312,$B$8,1),OFFSET($M$15,0,0,$B$8,1))=FN$14))   /   SUM(OFFSET($BO$15,0,0,$B$14,1)) + $B$18/($B$19*$B$19*($DN312&lt;&gt;$DO312) + $B$19*($DN312=$DO312))</f>
        <v>3.7037037037037035E-4</v>
      </c>
      <c r="FO312" s="10" cm="1">
        <f t="array" aca="1" ref="FO312" ca="1">(1-$B$18)*SUMPRODUCT(OFFSET($BO$15,0,0,$B$14,1), 1*(_xlfn._xlws.FILTER(OFFSET($O$15,0,$DN312,$B$8,1),OFFSET($M$15,0,0,$B$8,1))=FO$13), 1*(_xlfn._xlws.FILTER(OFFSET($O$15,0,$DO312,$B$8,1),OFFSET($M$15,0,0,$B$8,1))=FO$14))   /   SUM(OFFSET($BO$15,0,0,$B$14,1)) + $B$18/($B$19*$B$19*($DN312&lt;&gt;$DO312) + $B$19*($DN312=$DO312))</f>
        <v>3.7037037037037035E-4</v>
      </c>
      <c r="FP312" s="10" cm="1">
        <f t="array" aca="1" ref="FP312" ca="1">(1-$B$18)*SUMPRODUCT(OFFSET($BO$15,0,0,$B$14,1), 1*(_xlfn._xlws.FILTER(OFFSET($O$15,0,$DN312,$B$8,1),OFFSET($M$15,0,0,$B$8,1))=FP$13), 1*(_xlfn._xlws.FILTER(OFFSET($O$15,0,$DO312,$B$8,1),OFFSET($M$15,0,0,$B$8,1))=FP$14))   /   SUM(OFFSET($BO$15,0,0,$B$14,1)) + $B$18/($B$19*$B$19*($DN312&lt;&gt;$DO312) + $B$19*($DN312=$DO312))</f>
        <v>3.7037037037037035E-4</v>
      </c>
      <c r="FQ312" s="10" cm="1">
        <f t="array" aca="1" ref="FQ312" ca="1">(1-$B$18)*SUMPRODUCT(OFFSET($BO$15,0,0,$B$14,1), 1*(_xlfn._xlws.FILTER(OFFSET($O$15,0,$DN312,$B$8,1),OFFSET($M$15,0,0,$B$8,1))=FQ$13), 1*(_xlfn._xlws.FILTER(OFFSET($O$15,0,$DO312,$B$8,1),OFFSET($M$15,0,0,$B$8,1))=FQ$14))   /   SUM(OFFSET($BO$15,0,0,$B$14,1)) + $B$18/($B$19*$B$19*($DN312&lt;&gt;$DO312) + $B$19*($DN312=$DO312))</f>
        <v>3.7037037037037035E-4</v>
      </c>
      <c r="FR312" s="10" cm="1">
        <f t="array" aca="1" ref="FR312" ca="1">(1-$B$18)*SUMPRODUCT(OFFSET($BO$15,0,0,$B$14,1), 1*(_xlfn._xlws.FILTER(OFFSET($O$15,0,$DN312,$B$8,1),OFFSET($M$15,0,0,$B$8,1))=FR$13), 1*(_xlfn._xlws.FILTER(OFFSET($O$15,0,$DO312,$B$8,1),OFFSET($M$15,0,0,$B$8,1))=FR$14))   /   SUM(OFFSET($BO$15,0,0,$B$14,1)) + $B$18/($B$19*$B$19*($DN312&lt;&gt;$DO312) + $B$19*($DN312=$DO312))</f>
        <v>3.7037037037037035E-4</v>
      </c>
      <c r="FS312" s="10" cm="1">
        <f t="array" aca="1" ref="FS312" ca="1">(1-$B$18)*SUMPRODUCT(OFFSET($BO$15,0,0,$B$14,1), 1*(_xlfn._xlws.FILTER(OFFSET($O$15,0,$DN312,$B$8,1),OFFSET($M$15,0,0,$B$8,1))=FS$13), 1*(_xlfn._xlws.FILTER(OFFSET($O$15,0,$DO312,$B$8,1),OFFSET($M$15,0,0,$B$8,1))=FS$14))   /   SUM(OFFSET($BO$15,0,0,$B$14,1)) + $B$18/($B$19*$B$19*($DN312&lt;&gt;$DO312) + $B$19*($DN312=$DO312))</f>
        <v>3.7037037037037035E-4</v>
      </c>
      <c r="FT312" s="10" cm="1">
        <f t="array" aca="1" ref="FT312" ca="1">(1-$B$18)*SUMPRODUCT(OFFSET($BO$15,0,0,$B$14,1), 1*(_xlfn._xlws.FILTER(OFFSET($O$15,0,$DN312,$B$8,1),OFFSET($M$15,0,0,$B$8,1))=FT$13), 1*(_xlfn._xlws.FILTER(OFFSET($O$15,0,$DO312,$B$8,1),OFFSET($M$15,0,0,$B$8,1))=FT$14))   /   SUM(OFFSET($BO$15,0,0,$B$14,1)) + $B$18/($B$19*$B$19*($DN312&lt;&gt;$DO312) + $B$19*($DN312=$DO312))</f>
        <v>3.7037037037037035E-4</v>
      </c>
      <c r="FU312" s="10" cm="1">
        <f t="array" aca="1" ref="FU312" ca="1">(1-$B$18)*SUMPRODUCT(OFFSET($BO$15,0,0,$B$14,1), 1*(_xlfn._xlws.FILTER(OFFSET($O$15,0,$DN312,$B$8,1),OFFSET($M$15,0,0,$B$8,1))=FU$13), 1*(_xlfn._xlws.FILTER(OFFSET($O$15,0,$DO312,$B$8,1),OFFSET($M$15,0,0,$B$8,1))=FU$14))   /   SUM(OFFSET($BO$15,0,0,$B$14,1)) + $B$18/($B$19*$B$19*($DN312&lt;&gt;$DO312) + $B$19*($DN312=$DO312))</f>
        <v>3.7037037037037035E-4</v>
      </c>
      <c r="FV312" s="10" cm="1">
        <f t="array" aca="1" ref="FV312" ca="1">(1-$B$18)*SUMPRODUCT(OFFSET($BO$15,0,0,$B$14,1), 1*(_xlfn._xlws.FILTER(OFFSET($O$15,0,$DN312,$B$8,1),OFFSET($M$15,0,0,$B$8,1))=FV$13), 1*(_xlfn._xlws.FILTER(OFFSET($O$15,0,$DO312,$B$8,1),OFFSET($M$15,0,0,$B$8,1))=FV$14))   /   SUM(OFFSET($BO$15,0,0,$B$14,1)) + $B$18/($B$19*$B$19*($DN312&lt;&gt;$DO312) + $B$19*($DN312=$DO312))</f>
        <v>3.7037037037037035E-4</v>
      </c>
      <c r="FW312" s="10" cm="1">
        <f t="array" aca="1" ref="FW312" ca="1">(1-$B$18)*SUMPRODUCT(OFFSET($BO$15,0,0,$B$14,1), 1*(_xlfn._xlws.FILTER(OFFSET($O$15,0,$DN312,$B$8,1),OFFSET($M$15,0,0,$B$8,1))=FW$13), 1*(_xlfn._xlws.FILTER(OFFSET($O$15,0,$DO312,$B$8,1),OFFSET($M$15,0,0,$B$8,1))=FW$14))   /   SUM(OFFSET($BO$15,0,0,$B$14,1)) + $B$18/($B$19*$B$19*($DN312&lt;&gt;$DO312) + $B$19*($DN312=$DO312))</f>
        <v>3.7037037037037035E-4</v>
      </c>
      <c r="FX312" s="10" cm="1">
        <f t="array" aca="1" ref="FX312" ca="1">(1-$B$18)*SUMPRODUCT(OFFSET($BO$15,0,0,$B$14,1), 1*(_xlfn._xlws.FILTER(OFFSET($O$15,0,$DN312,$B$8,1),OFFSET($M$15,0,0,$B$8,1))=FX$13), 1*(_xlfn._xlws.FILTER(OFFSET($O$15,0,$DO312,$B$8,1),OFFSET($M$15,0,0,$B$8,1))=FX$14))   /   SUM(OFFSET($BO$15,0,0,$B$14,1)) + $B$18/($B$19*$B$19*($DN312&lt;&gt;$DO312) + $B$19*($DN312=$DO312))</f>
        <v>3.7037037037037035E-4</v>
      </c>
      <c r="FY312" s="10" cm="1">
        <f t="array" aca="1" ref="FY312" ca="1">(1-$B$18)*SUMPRODUCT(OFFSET($BO$15,0,0,$B$14,1), 1*(_xlfn._xlws.FILTER(OFFSET($O$15,0,$DN312,$B$8,1),OFFSET($M$15,0,0,$B$8,1))=FY$13), 1*(_xlfn._xlws.FILTER(OFFSET($O$15,0,$DO312,$B$8,1),OFFSET($M$15,0,0,$B$8,1))=FY$14))   /   SUM(OFFSET($BO$15,0,0,$B$14,1)) + $B$18/($B$19*$B$19*($DN312&lt;&gt;$DO312) + $B$19*($DN312=$DO312))</f>
        <v>3.7037037037037035E-4</v>
      </c>
      <c r="FZ312" s="10" cm="1">
        <f t="array" aca="1" ref="FZ312" ca="1">(1-$B$18)*SUMPRODUCT(OFFSET($BO$15,0,0,$B$14,1), 1*(_xlfn._xlws.FILTER(OFFSET($O$15,0,$DN312,$B$8,1),OFFSET($M$15,0,0,$B$8,1))=FZ$13), 1*(_xlfn._xlws.FILTER(OFFSET($O$15,0,$DO312,$B$8,1),OFFSET($M$15,0,0,$B$8,1))=FZ$14))   /   SUM(OFFSET($BO$15,0,0,$B$14,1)) + $B$18/($B$19*$B$19*($DN312&lt;&gt;$DO312) + $B$19*($DN312=$DO312))</f>
        <v>3.7037037037037035E-4</v>
      </c>
      <c r="GA312" s="10" cm="1">
        <f t="array" aca="1" ref="GA312" ca="1">(1-$B$18)*SUMPRODUCT(OFFSET($BO$15,0,0,$B$14,1), 1*(_xlfn._xlws.FILTER(OFFSET($O$15,0,$DN312,$B$8,1),OFFSET($M$15,0,0,$B$8,1))=GA$13), 1*(_xlfn._xlws.FILTER(OFFSET($O$15,0,$DO312,$B$8,1),OFFSET($M$15,0,0,$B$8,1))=GA$14))   /   SUM(OFFSET($BO$15,0,0,$B$14,1)) + $B$18/($B$19*$B$19*($DN312&lt;&gt;$DO312) + $B$19*($DN312=$DO312))</f>
        <v>3.7037037037037035E-4</v>
      </c>
    </row>
    <row r="313" spans="118:183" x14ac:dyDescent="0.2">
      <c r="DN313" cm="1">
        <f t="array" aca="1" ref="DN313" ca="1">INDEX(_xlfn.ANCHORARRAY($CP$15), 1 + INT((ROWS($DO$15:$DO313) - 1) / ROWS(_xlfn.ANCHORARRAY($CP$15))))</f>
        <v>18</v>
      </c>
      <c r="DO313" cm="1">
        <f t="array" aca="1" ref="DO313" ca="1">INDEX(_xlfn.ANCHORARRAY($CP$15),1+MOD(ROWS($DO$15:$DO313)-1,ROWS(_xlfn.ANCHORARRAY($CP$15))))</f>
        <v>14</v>
      </c>
      <c r="DP313" s="10" cm="1">
        <f t="array" aca="1" ref="DP313" ca="1">(1-$B$18)*SUMPRODUCT(OFFSET($BO$15,0,0,$B$14,1), 1*(_xlfn._xlws.FILTER(OFFSET($O$15,0,$DN313,$B$8,1),OFFSET($M$15,0,0,$B$8,1))=DP$13), 1*(_xlfn._xlws.FILTER(OFFSET($O$15,0,$DO313,$B$8,1),OFFSET($M$15,0,0,$B$8,1))=DP$14))   /   SUM(OFFSET($BO$15,0,0,$B$14,1)) + $B$18/($B$19*$B$19*($DN313&lt;&gt;$DO313) + $B$19*($DN313=$DO313))</f>
        <v>3.7037037037037035E-4</v>
      </c>
      <c r="DQ313" s="10" cm="1">
        <f t="array" aca="1" ref="DQ313" ca="1">(1-$B$18)*SUMPRODUCT(OFFSET($BO$15,0,0,$B$14,1), 1*(_xlfn._xlws.FILTER(OFFSET($O$15,0,$DN313,$B$8,1),OFFSET($M$15,0,0,$B$8,1))=DQ$13), 1*(_xlfn._xlws.FILTER(OFFSET($O$15,0,$DO313,$B$8,1),OFFSET($M$15,0,0,$B$8,1))=DQ$14))   /   SUM(OFFSET($BO$15,0,0,$B$14,1)) + $B$18/($B$19*$B$19*($DN313&lt;&gt;$DO313) + $B$19*($DN313=$DO313))</f>
        <v>3.7037037037037035E-4</v>
      </c>
      <c r="DR313" s="10" cm="1">
        <f t="array" aca="1" ref="DR313" ca="1">(1-$B$18)*SUMPRODUCT(OFFSET($BO$15,0,0,$B$14,1), 1*(_xlfn._xlws.FILTER(OFFSET($O$15,0,$DN313,$B$8,1),OFFSET($M$15,0,0,$B$8,1))=DR$13), 1*(_xlfn._xlws.FILTER(OFFSET($O$15,0,$DO313,$B$8,1),OFFSET($M$15,0,0,$B$8,1))=DR$14))   /   SUM(OFFSET($BO$15,0,0,$B$14,1)) + $B$18/($B$19*$B$19*($DN313&lt;&gt;$DO313) + $B$19*($DN313=$DO313))</f>
        <v>3.7037037037037035E-4</v>
      </c>
      <c r="DS313" s="10" cm="1">
        <f t="array" aca="1" ref="DS313" ca="1">(1-$B$18)*SUMPRODUCT(OFFSET($BO$15,0,0,$B$14,1), 1*(_xlfn._xlws.FILTER(OFFSET($O$15,0,$DN313,$B$8,1),OFFSET($M$15,0,0,$B$8,1))=DS$13), 1*(_xlfn._xlws.FILTER(OFFSET($O$15,0,$DO313,$B$8,1),OFFSET($M$15,0,0,$B$8,1))=DS$14))   /   SUM(OFFSET($BO$15,0,0,$B$14,1)) + $B$18/($B$19*$B$19*($DN313&lt;&gt;$DO313) + $B$19*($DN313=$DO313))</f>
        <v>3.7037037037037035E-4</v>
      </c>
      <c r="DT313" s="10" cm="1">
        <f t="array" aca="1" ref="DT313" ca="1">(1-$B$18)*SUMPRODUCT(OFFSET($BO$15,0,0,$B$14,1), 1*(_xlfn._xlws.FILTER(OFFSET($O$15,0,$DN313,$B$8,1),OFFSET($M$15,0,0,$B$8,1))=DT$13), 1*(_xlfn._xlws.FILTER(OFFSET($O$15,0,$DO313,$B$8,1),OFFSET($M$15,0,0,$B$8,1))=DT$14))   /   SUM(OFFSET($BO$15,0,0,$B$14,1)) + $B$18/($B$19*$B$19*($DN313&lt;&gt;$DO313) + $B$19*($DN313=$DO313))</f>
        <v>3.7037037037037035E-4</v>
      </c>
      <c r="DU313" s="10" cm="1">
        <f t="array" aca="1" ref="DU313" ca="1">(1-$B$18)*SUMPRODUCT(OFFSET($BO$15,0,0,$B$14,1), 1*(_xlfn._xlws.FILTER(OFFSET($O$15,0,$DN313,$B$8,1),OFFSET($M$15,0,0,$B$8,1))=DU$13), 1*(_xlfn._xlws.FILTER(OFFSET($O$15,0,$DO313,$B$8,1),OFFSET($M$15,0,0,$B$8,1))=DU$14))   /   SUM(OFFSET($BO$15,0,0,$B$14,1)) + $B$18/($B$19*$B$19*($DN313&lt;&gt;$DO313) + $B$19*($DN313=$DO313))</f>
        <v>3.7037037037037035E-4</v>
      </c>
      <c r="DV313" s="10" cm="1">
        <f t="array" aca="1" ref="DV313" ca="1">(1-$B$18)*SUMPRODUCT(OFFSET($BO$15,0,0,$B$14,1), 1*(_xlfn._xlws.FILTER(OFFSET($O$15,0,$DN313,$B$8,1),OFFSET($M$15,0,0,$B$8,1))=DV$13), 1*(_xlfn._xlws.FILTER(OFFSET($O$15,0,$DO313,$B$8,1),OFFSET($M$15,0,0,$B$8,1))=DV$14))   /   SUM(OFFSET($BO$15,0,0,$B$14,1)) + $B$18/($B$19*$B$19*($DN313&lt;&gt;$DO313) + $B$19*($DN313=$DO313))</f>
        <v>3.7037037037037035E-4</v>
      </c>
      <c r="DW313" s="10" cm="1">
        <f t="array" aca="1" ref="DW313" ca="1">(1-$B$18)*SUMPRODUCT(OFFSET($BO$15,0,0,$B$14,1), 1*(_xlfn._xlws.FILTER(OFFSET($O$15,0,$DN313,$B$8,1),OFFSET($M$15,0,0,$B$8,1))=DW$13), 1*(_xlfn._xlws.FILTER(OFFSET($O$15,0,$DO313,$B$8,1),OFFSET($M$15,0,0,$B$8,1))=DW$14))   /   SUM(OFFSET($BO$15,0,0,$B$14,1)) + $B$18/($B$19*$B$19*($DN313&lt;&gt;$DO313) + $B$19*($DN313=$DO313))</f>
        <v>3.7037037037037035E-4</v>
      </c>
      <c r="DX313" s="10" cm="1">
        <f t="array" aca="1" ref="DX313" ca="1">(1-$B$18)*SUMPRODUCT(OFFSET($BO$15,0,0,$B$14,1), 1*(_xlfn._xlws.FILTER(OFFSET($O$15,0,$DN313,$B$8,1),OFFSET($M$15,0,0,$B$8,1))=DX$13), 1*(_xlfn._xlws.FILTER(OFFSET($O$15,0,$DO313,$B$8,1),OFFSET($M$15,0,0,$B$8,1))=DX$14))   /   SUM(OFFSET($BO$15,0,0,$B$14,1)) + $B$18/($B$19*$B$19*($DN313&lt;&gt;$DO313) + $B$19*($DN313=$DO313))</f>
        <v>3.7037037037037035E-4</v>
      </c>
      <c r="DY313" s="10" cm="1">
        <f t="array" aca="1" ref="DY313" ca="1">(1-$B$18)*SUMPRODUCT(OFFSET($BO$15,0,0,$B$14,1), 1*(_xlfn._xlws.FILTER(OFFSET($O$15,0,$DN313,$B$8,1),OFFSET($M$15,0,0,$B$8,1))=DY$13), 1*(_xlfn._xlws.FILTER(OFFSET($O$15,0,$DO313,$B$8,1),OFFSET($M$15,0,0,$B$8,1))=DY$14))   /   SUM(OFFSET($BO$15,0,0,$B$14,1)) + $B$18/($B$19*$B$19*($DN313&lt;&gt;$DO313) + $B$19*($DN313=$DO313))</f>
        <v>3.7037037037037035E-4</v>
      </c>
      <c r="DZ313" s="10" cm="1">
        <f t="array" aca="1" ref="DZ313" ca="1">(1-$B$18)*SUMPRODUCT(OFFSET($BO$15,0,0,$B$14,1), 1*(_xlfn._xlws.FILTER(OFFSET($O$15,0,$DN313,$B$8,1),OFFSET($M$15,0,0,$B$8,1))=DZ$13), 1*(_xlfn._xlws.FILTER(OFFSET($O$15,0,$DO313,$B$8,1),OFFSET($M$15,0,0,$B$8,1))=DZ$14))   /   SUM(OFFSET($BO$15,0,0,$B$14,1)) + $B$18/($B$19*$B$19*($DN313&lt;&gt;$DO313) + $B$19*($DN313=$DO313))</f>
        <v>3.7037037037037035E-4</v>
      </c>
      <c r="EA313" s="10" cm="1">
        <f t="array" aca="1" ref="EA313" ca="1">(1-$B$18)*SUMPRODUCT(OFFSET($BO$15,0,0,$B$14,1), 1*(_xlfn._xlws.FILTER(OFFSET($O$15,0,$DN313,$B$8,1),OFFSET($M$15,0,0,$B$8,1))=EA$13), 1*(_xlfn._xlws.FILTER(OFFSET($O$15,0,$DO313,$B$8,1),OFFSET($M$15,0,0,$B$8,1))=EA$14))   /   SUM(OFFSET($BO$15,0,0,$B$14,1)) + $B$18/($B$19*$B$19*($DN313&lt;&gt;$DO313) + $B$19*($DN313=$DO313))</f>
        <v>3.7037037037037035E-4</v>
      </c>
      <c r="EB313" s="10" cm="1">
        <f t="array" aca="1" ref="EB313" ca="1">(1-$B$18)*SUMPRODUCT(OFFSET($BO$15,0,0,$B$14,1), 1*(_xlfn._xlws.FILTER(OFFSET($O$15,0,$DN313,$B$8,1),OFFSET($M$15,0,0,$B$8,1))=EB$13), 1*(_xlfn._xlws.FILTER(OFFSET($O$15,0,$DO313,$B$8,1),OFFSET($M$15,0,0,$B$8,1))=EB$14))   /   SUM(OFFSET($BO$15,0,0,$B$14,1)) + $B$18/($B$19*$B$19*($DN313&lt;&gt;$DO313) + $B$19*($DN313=$DO313))</f>
        <v>3.7037037037037035E-4</v>
      </c>
      <c r="EC313" s="10" cm="1">
        <f t="array" aca="1" ref="EC313" ca="1">(1-$B$18)*SUMPRODUCT(OFFSET($BO$15,0,0,$B$14,1), 1*(_xlfn._xlws.FILTER(OFFSET($O$15,0,$DN313,$B$8,1),OFFSET($M$15,0,0,$B$8,1))=EC$13), 1*(_xlfn._xlws.FILTER(OFFSET($O$15,0,$DO313,$B$8,1),OFFSET($M$15,0,0,$B$8,1))=EC$14))   /   SUM(OFFSET($BO$15,0,0,$B$14,1)) + $B$18/($B$19*$B$19*($DN313&lt;&gt;$DO313) + $B$19*($DN313=$DO313))</f>
        <v>3.7037037037037035E-4</v>
      </c>
      <c r="ED313" s="10" cm="1">
        <f t="array" aca="1" ref="ED313" ca="1">(1-$B$18)*SUMPRODUCT(OFFSET($BO$15,0,0,$B$14,1), 1*(_xlfn._xlws.FILTER(OFFSET($O$15,0,$DN313,$B$8,1),OFFSET($M$15,0,0,$B$8,1))=ED$13), 1*(_xlfn._xlws.FILTER(OFFSET($O$15,0,$DO313,$B$8,1),OFFSET($M$15,0,0,$B$8,1))=ED$14))   /   SUM(OFFSET($BO$15,0,0,$B$14,1)) + $B$18/($B$19*$B$19*($DN313&lt;&gt;$DO313) + $B$19*($DN313=$DO313))</f>
        <v>3.7037037037037035E-4</v>
      </c>
      <c r="EE313" s="10" cm="1">
        <f t="array" aca="1" ref="EE313" ca="1">(1-$B$18)*SUMPRODUCT(OFFSET($BO$15,0,0,$B$14,1), 1*(_xlfn._xlws.FILTER(OFFSET($O$15,0,$DN313,$B$8,1),OFFSET($M$15,0,0,$B$8,1))=EE$13), 1*(_xlfn._xlws.FILTER(OFFSET($O$15,0,$DO313,$B$8,1),OFFSET($M$15,0,0,$B$8,1))=EE$14))   /   SUM(OFFSET($BO$15,0,0,$B$14,1)) + $B$18/($B$19*$B$19*($DN313&lt;&gt;$DO313) + $B$19*($DN313=$DO313))</f>
        <v>3.7037037037037035E-4</v>
      </c>
      <c r="EF313" s="10" cm="1">
        <f t="array" aca="1" ref="EF313" ca="1">(1-$B$18)*SUMPRODUCT(OFFSET($BO$15,0,0,$B$14,1), 1*(_xlfn._xlws.FILTER(OFFSET($O$15,0,$DN313,$B$8,1),OFFSET($M$15,0,0,$B$8,1))=EF$13), 1*(_xlfn._xlws.FILTER(OFFSET($O$15,0,$DO313,$B$8,1),OFFSET($M$15,0,0,$B$8,1))=EF$14))   /   SUM(OFFSET($BO$15,0,0,$B$14,1)) + $B$18/($B$19*$B$19*($DN313&lt;&gt;$DO313) + $B$19*($DN313=$DO313))</f>
        <v>3.7037037037037035E-4</v>
      </c>
      <c r="EG313" s="10" cm="1">
        <f t="array" aca="1" ref="EG313" ca="1">(1-$B$18)*SUMPRODUCT(OFFSET($BO$15,0,0,$B$14,1), 1*(_xlfn._xlws.FILTER(OFFSET($O$15,0,$DN313,$B$8,1),OFFSET($M$15,0,0,$B$8,1))=EG$13), 1*(_xlfn._xlws.FILTER(OFFSET($O$15,0,$DO313,$B$8,1),OFFSET($M$15,0,0,$B$8,1))=EG$14))   /   SUM(OFFSET($BO$15,0,0,$B$14,1)) + $B$18/($B$19*$B$19*($DN313&lt;&gt;$DO313) + $B$19*($DN313=$DO313))</f>
        <v>3.7037037037037035E-4</v>
      </c>
      <c r="EH313" s="10" cm="1">
        <f t="array" aca="1" ref="EH313" ca="1">(1-$B$18)*SUMPRODUCT(OFFSET($BO$15,0,0,$B$14,1), 1*(_xlfn._xlws.FILTER(OFFSET($O$15,0,$DN313,$B$8,1),OFFSET($M$15,0,0,$B$8,1))=EH$13), 1*(_xlfn._xlws.FILTER(OFFSET($O$15,0,$DO313,$B$8,1),OFFSET($M$15,0,0,$B$8,1))=EH$14))   /   SUM(OFFSET($BO$15,0,0,$B$14,1)) + $B$18/($B$19*$B$19*($DN313&lt;&gt;$DO313) + $B$19*($DN313=$DO313))</f>
        <v>3.7037037037037035E-4</v>
      </c>
      <c r="EI313" s="10" cm="1">
        <f t="array" aca="1" ref="EI313" ca="1">(1-$B$18)*SUMPRODUCT(OFFSET($BO$15,0,0,$B$14,1), 1*(_xlfn._xlws.FILTER(OFFSET($O$15,0,$DN313,$B$8,1),OFFSET($M$15,0,0,$B$8,1))=EI$13), 1*(_xlfn._xlws.FILTER(OFFSET($O$15,0,$DO313,$B$8,1),OFFSET($M$15,0,0,$B$8,1))=EI$14))   /   SUM(OFFSET($BO$15,0,0,$B$14,1)) + $B$18/($B$19*$B$19*($DN313&lt;&gt;$DO313) + $B$19*($DN313=$DO313))</f>
        <v>3.7037037037037035E-4</v>
      </c>
      <c r="EJ313" s="10" cm="1">
        <f t="array" aca="1" ref="EJ313" ca="1">(1-$B$18)*SUMPRODUCT(OFFSET($BO$15,0,0,$B$14,1), 1*(_xlfn._xlws.FILTER(OFFSET($O$15,0,$DN313,$B$8,1),OFFSET($M$15,0,0,$B$8,1))=EJ$13), 1*(_xlfn._xlws.FILTER(OFFSET($O$15,0,$DO313,$B$8,1),OFFSET($M$15,0,0,$B$8,1))=EJ$14))   /   SUM(OFFSET($BO$15,0,0,$B$14,1)) + $B$18/($B$19*$B$19*($DN313&lt;&gt;$DO313) + $B$19*($DN313=$DO313))</f>
        <v>3.7037037037037035E-4</v>
      </c>
      <c r="EK313" s="10" cm="1">
        <f t="array" aca="1" ref="EK313" ca="1">(1-$B$18)*SUMPRODUCT(OFFSET($BO$15,0,0,$B$14,1), 1*(_xlfn._xlws.FILTER(OFFSET($O$15,0,$DN313,$B$8,1),OFFSET($M$15,0,0,$B$8,1))=EK$13), 1*(_xlfn._xlws.FILTER(OFFSET($O$15,0,$DO313,$B$8,1),OFFSET($M$15,0,0,$B$8,1))=EK$14))   /   SUM(OFFSET($BO$15,0,0,$B$14,1)) + $B$18/($B$19*$B$19*($DN313&lt;&gt;$DO313) + $B$19*($DN313=$DO313))</f>
        <v>3.7037037037037035E-4</v>
      </c>
      <c r="EL313" s="10" cm="1">
        <f t="array" aca="1" ref="EL313" ca="1">(1-$B$18)*SUMPRODUCT(OFFSET($BO$15,0,0,$B$14,1), 1*(_xlfn._xlws.FILTER(OFFSET($O$15,0,$DN313,$B$8,1),OFFSET($M$15,0,0,$B$8,1))=EL$13), 1*(_xlfn._xlws.FILTER(OFFSET($O$15,0,$DO313,$B$8,1),OFFSET($M$15,0,0,$B$8,1))=EL$14))   /   SUM(OFFSET($BO$15,0,0,$B$14,1)) + $B$18/($B$19*$B$19*($DN313&lt;&gt;$DO313) + $B$19*($DN313=$DO313))</f>
        <v>3.7037037037037035E-4</v>
      </c>
      <c r="EM313" s="10" cm="1">
        <f t="array" aca="1" ref="EM313" ca="1">(1-$B$18)*SUMPRODUCT(OFFSET($BO$15,0,0,$B$14,1), 1*(_xlfn._xlws.FILTER(OFFSET($O$15,0,$DN313,$B$8,1),OFFSET($M$15,0,0,$B$8,1))=EM$13), 1*(_xlfn._xlws.FILTER(OFFSET($O$15,0,$DO313,$B$8,1),OFFSET($M$15,0,0,$B$8,1))=EM$14))   /   SUM(OFFSET($BO$15,0,0,$B$14,1)) + $B$18/($B$19*$B$19*($DN313&lt;&gt;$DO313) + $B$19*($DN313=$DO313))</f>
        <v>3.7037037037037035E-4</v>
      </c>
      <c r="EN313" s="10" cm="1">
        <f t="array" aca="1" ref="EN313" ca="1">(1-$B$18)*SUMPRODUCT(OFFSET($BO$15,0,0,$B$14,1), 1*(_xlfn._xlws.FILTER(OFFSET($O$15,0,$DN313,$B$8,1),OFFSET($M$15,0,0,$B$8,1))=EN$13), 1*(_xlfn._xlws.FILTER(OFFSET($O$15,0,$DO313,$B$8,1),OFFSET($M$15,0,0,$B$8,1))=EN$14))   /   SUM(OFFSET($BO$15,0,0,$B$14,1)) + $B$18/($B$19*$B$19*($DN313&lt;&gt;$DO313) + $B$19*($DN313=$DO313))</f>
        <v>3.7037037037037035E-4</v>
      </c>
      <c r="EO313" s="10" cm="1">
        <f t="array" aca="1" ref="EO313" ca="1">(1-$B$18)*SUMPRODUCT(OFFSET($BO$15,0,0,$B$14,1), 1*(_xlfn._xlws.FILTER(OFFSET($O$15,0,$DN313,$B$8,1),OFFSET($M$15,0,0,$B$8,1))=EO$13), 1*(_xlfn._xlws.FILTER(OFFSET($O$15,0,$DO313,$B$8,1),OFFSET($M$15,0,0,$B$8,1))=EO$14))   /   SUM(OFFSET($BO$15,0,0,$B$14,1)) + $B$18/($B$19*$B$19*($DN313&lt;&gt;$DO313) + $B$19*($DN313=$DO313))</f>
        <v>3.7037037037037035E-4</v>
      </c>
      <c r="EP313" s="10" cm="1">
        <f t="array" aca="1" ref="EP313" ca="1">(1-$B$18)*SUMPRODUCT(OFFSET($BO$15,0,0,$B$14,1), 1*(_xlfn._xlws.FILTER(OFFSET($O$15,0,$DN313,$B$8,1),OFFSET($M$15,0,0,$B$8,1))=EP$13), 1*(_xlfn._xlws.FILTER(OFFSET($O$15,0,$DO313,$B$8,1),OFFSET($M$15,0,0,$B$8,1))=EP$14))   /   SUM(OFFSET($BO$15,0,0,$B$14,1)) + $B$18/($B$19*$B$19*($DN313&lt;&gt;$DO313) + $B$19*($DN313=$DO313))</f>
        <v>0.97037037037037033</v>
      </c>
      <c r="EQ313" s="10" cm="1">
        <f t="array" aca="1" ref="EQ313" ca="1">(1-$B$18)*SUMPRODUCT(OFFSET($BO$15,0,0,$B$14,1), 1*(_xlfn._xlws.FILTER(OFFSET($O$15,0,$DN313,$B$8,1),OFFSET($M$15,0,0,$B$8,1))=EQ$13), 1*(_xlfn._xlws.FILTER(OFFSET($O$15,0,$DO313,$B$8,1),OFFSET($M$15,0,0,$B$8,1))=EQ$14))   /   SUM(OFFSET($BO$15,0,0,$B$14,1)) + $B$18/($B$19*$B$19*($DN313&lt;&gt;$DO313) + $B$19*($DN313=$DO313))</f>
        <v>3.7037037037037035E-4</v>
      </c>
      <c r="ER313" s="10" cm="1">
        <f t="array" aca="1" ref="ER313" ca="1">(1-$B$18)*SUMPRODUCT(OFFSET($BO$15,0,0,$B$14,1), 1*(_xlfn._xlws.FILTER(OFFSET($O$15,0,$DN313,$B$8,1),OFFSET($M$15,0,0,$B$8,1))=ER$13), 1*(_xlfn._xlws.FILTER(OFFSET($O$15,0,$DO313,$B$8,1),OFFSET($M$15,0,0,$B$8,1))=ER$14))   /   SUM(OFFSET($BO$15,0,0,$B$14,1)) + $B$18/($B$19*$B$19*($DN313&lt;&gt;$DO313) + $B$19*($DN313=$DO313))</f>
        <v>3.7037037037037035E-4</v>
      </c>
      <c r="ES313" s="10" cm="1">
        <f t="array" aca="1" ref="ES313" ca="1">(1-$B$18)*SUMPRODUCT(OFFSET($BO$15,0,0,$B$14,1), 1*(_xlfn._xlws.FILTER(OFFSET($O$15,0,$DN313,$B$8,1),OFFSET($M$15,0,0,$B$8,1))=ES$13), 1*(_xlfn._xlws.FILTER(OFFSET($O$15,0,$DO313,$B$8,1),OFFSET($M$15,0,0,$B$8,1))=ES$14))   /   SUM(OFFSET($BO$15,0,0,$B$14,1)) + $B$18/($B$19*$B$19*($DN313&lt;&gt;$DO313) + $B$19*($DN313=$DO313))</f>
        <v>3.7037037037037035E-4</v>
      </c>
      <c r="ET313" s="10" cm="1">
        <f t="array" aca="1" ref="ET313" ca="1">(1-$B$18)*SUMPRODUCT(OFFSET($BO$15,0,0,$B$14,1), 1*(_xlfn._xlws.FILTER(OFFSET($O$15,0,$DN313,$B$8,1),OFFSET($M$15,0,0,$B$8,1))=ET$13), 1*(_xlfn._xlws.FILTER(OFFSET($O$15,0,$DO313,$B$8,1),OFFSET($M$15,0,0,$B$8,1))=ET$14))   /   SUM(OFFSET($BO$15,0,0,$B$14,1)) + $B$18/($B$19*$B$19*($DN313&lt;&gt;$DO313) + $B$19*($DN313=$DO313))</f>
        <v>3.7037037037037035E-4</v>
      </c>
      <c r="EU313" s="10" cm="1">
        <f t="array" aca="1" ref="EU313" ca="1">(1-$B$18)*SUMPRODUCT(OFFSET($BO$15,0,0,$B$14,1), 1*(_xlfn._xlws.FILTER(OFFSET($O$15,0,$DN313,$B$8,1),OFFSET($M$15,0,0,$B$8,1))=EU$13), 1*(_xlfn._xlws.FILTER(OFFSET($O$15,0,$DO313,$B$8,1),OFFSET($M$15,0,0,$B$8,1))=EU$14))   /   SUM(OFFSET($BO$15,0,0,$B$14,1)) + $B$18/($B$19*$B$19*($DN313&lt;&gt;$DO313) + $B$19*($DN313=$DO313))</f>
        <v>3.7037037037037035E-4</v>
      </c>
      <c r="EV313" s="10" cm="1">
        <f t="array" aca="1" ref="EV313" ca="1">(1-$B$18)*SUMPRODUCT(OFFSET($BO$15,0,0,$B$14,1), 1*(_xlfn._xlws.FILTER(OFFSET($O$15,0,$DN313,$B$8,1),OFFSET($M$15,0,0,$B$8,1))=EV$13), 1*(_xlfn._xlws.FILTER(OFFSET($O$15,0,$DO313,$B$8,1),OFFSET($M$15,0,0,$B$8,1))=EV$14))   /   SUM(OFFSET($BO$15,0,0,$B$14,1)) + $B$18/($B$19*$B$19*($DN313&lt;&gt;$DO313) + $B$19*($DN313=$DO313))</f>
        <v>3.7037037037037035E-4</v>
      </c>
      <c r="EW313" s="10" cm="1">
        <f t="array" aca="1" ref="EW313" ca="1">(1-$B$18)*SUMPRODUCT(OFFSET($BO$15,0,0,$B$14,1), 1*(_xlfn._xlws.FILTER(OFFSET($O$15,0,$DN313,$B$8,1),OFFSET($M$15,0,0,$B$8,1))=EW$13), 1*(_xlfn._xlws.FILTER(OFFSET($O$15,0,$DO313,$B$8,1),OFFSET($M$15,0,0,$B$8,1))=EW$14))   /   SUM(OFFSET($BO$15,0,0,$B$14,1)) + $B$18/($B$19*$B$19*($DN313&lt;&gt;$DO313) + $B$19*($DN313=$DO313))</f>
        <v>3.7037037037037035E-4</v>
      </c>
      <c r="EX313" s="10" cm="1">
        <f t="array" aca="1" ref="EX313" ca="1">(1-$B$18)*SUMPRODUCT(OFFSET($BO$15,0,0,$B$14,1), 1*(_xlfn._xlws.FILTER(OFFSET($O$15,0,$DN313,$B$8,1),OFFSET($M$15,0,0,$B$8,1))=EX$13), 1*(_xlfn._xlws.FILTER(OFFSET($O$15,0,$DO313,$B$8,1),OFFSET($M$15,0,0,$B$8,1))=EX$14))   /   SUM(OFFSET($BO$15,0,0,$B$14,1)) + $B$18/($B$19*$B$19*($DN313&lt;&gt;$DO313) + $B$19*($DN313=$DO313))</f>
        <v>3.7037037037037035E-4</v>
      </c>
      <c r="EY313" s="10" cm="1">
        <f t="array" aca="1" ref="EY313" ca="1">(1-$B$18)*SUMPRODUCT(OFFSET($BO$15,0,0,$B$14,1), 1*(_xlfn._xlws.FILTER(OFFSET($O$15,0,$DN313,$B$8,1),OFFSET($M$15,0,0,$B$8,1))=EY$13), 1*(_xlfn._xlws.FILTER(OFFSET($O$15,0,$DO313,$B$8,1),OFFSET($M$15,0,0,$B$8,1))=EY$14))   /   SUM(OFFSET($BO$15,0,0,$B$14,1)) + $B$18/($B$19*$B$19*($DN313&lt;&gt;$DO313) + $B$19*($DN313=$DO313))</f>
        <v>3.7037037037037035E-4</v>
      </c>
      <c r="EZ313" s="10" cm="1">
        <f t="array" aca="1" ref="EZ313" ca="1">(1-$B$18)*SUMPRODUCT(OFFSET($BO$15,0,0,$B$14,1), 1*(_xlfn._xlws.FILTER(OFFSET($O$15,0,$DN313,$B$8,1),OFFSET($M$15,0,0,$B$8,1))=EZ$13), 1*(_xlfn._xlws.FILTER(OFFSET($O$15,0,$DO313,$B$8,1),OFFSET($M$15,0,0,$B$8,1))=EZ$14))   /   SUM(OFFSET($BO$15,0,0,$B$14,1)) + $B$18/($B$19*$B$19*($DN313&lt;&gt;$DO313) + $B$19*($DN313=$DO313))</f>
        <v>3.7037037037037035E-4</v>
      </c>
      <c r="FA313" s="10" cm="1">
        <f t="array" aca="1" ref="FA313" ca="1">(1-$B$18)*SUMPRODUCT(OFFSET($BO$15,0,0,$B$14,1), 1*(_xlfn._xlws.FILTER(OFFSET($O$15,0,$DN313,$B$8,1),OFFSET($M$15,0,0,$B$8,1))=FA$13), 1*(_xlfn._xlws.FILTER(OFFSET($O$15,0,$DO313,$B$8,1),OFFSET($M$15,0,0,$B$8,1))=FA$14))   /   SUM(OFFSET($BO$15,0,0,$B$14,1)) + $B$18/($B$19*$B$19*($DN313&lt;&gt;$DO313) + $B$19*($DN313=$DO313))</f>
        <v>3.7037037037037035E-4</v>
      </c>
      <c r="FB313" s="10" cm="1">
        <f t="array" aca="1" ref="FB313" ca="1">(1-$B$18)*SUMPRODUCT(OFFSET($BO$15,0,0,$B$14,1), 1*(_xlfn._xlws.FILTER(OFFSET($O$15,0,$DN313,$B$8,1),OFFSET($M$15,0,0,$B$8,1))=FB$13), 1*(_xlfn._xlws.FILTER(OFFSET($O$15,0,$DO313,$B$8,1),OFFSET($M$15,0,0,$B$8,1))=FB$14))   /   SUM(OFFSET($BO$15,0,0,$B$14,1)) + $B$18/($B$19*$B$19*($DN313&lt;&gt;$DO313) + $B$19*($DN313=$DO313))</f>
        <v>3.7037037037037035E-4</v>
      </c>
      <c r="FC313" s="10" cm="1">
        <f t="array" aca="1" ref="FC313" ca="1">(1-$B$18)*SUMPRODUCT(OFFSET($BO$15,0,0,$B$14,1), 1*(_xlfn._xlws.FILTER(OFFSET($O$15,0,$DN313,$B$8,1),OFFSET($M$15,0,0,$B$8,1))=FC$13), 1*(_xlfn._xlws.FILTER(OFFSET($O$15,0,$DO313,$B$8,1),OFFSET($M$15,0,0,$B$8,1))=FC$14))   /   SUM(OFFSET($BO$15,0,0,$B$14,1)) + $B$18/($B$19*$B$19*($DN313&lt;&gt;$DO313) + $B$19*($DN313=$DO313))</f>
        <v>3.7037037037037035E-4</v>
      </c>
      <c r="FD313" s="10" cm="1">
        <f t="array" aca="1" ref="FD313" ca="1">(1-$B$18)*SUMPRODUCT(OFFSET($BO$15,0,0,$B$14,1), 1*(_xlfn._xlws.FILTER(OFFSET($O$15,0,$DN313,$B$8,1),OFFSET($M$15,0,0,$B$8,1))=FD$13), 1*(_xlfn._xlws.FILTER(OFFSET($O$15,0,$DO313,$B$8,1),OFFSET($M$15,0,0,$B$8,1))=FD$14))   /   SUM(OFFSET($BO$15,0,0,$B$14,1)) + $B$18/($B$19*$B$19*($DN313&lt;&gt;$DO313) + $B$19*($DN313=$DO313))</f>
        <v>3.7037037037037035E-4</v>
      </c>
      <c r="FE313" s="10" cm="1">
        <f t="array" aca="1" ref="FE313" ca="1">(1-$B$18)*SUMPRODUCT(OFFSET($BO$15,0,0,$B$14,1), 1*(_xlfn._xlws.FILTER(OFFSET($O$15,0,$DN313,$B$8,1),OFFSET($M$15,0,0,$B$8,1))=FE$13), 1*(_xlfn._xlws.FILTER(OFFSET($O$15,0,$DO313,$B$8,1),OFFSET($M$15,0,0,$B$8,1))=FE$14))   /   SUM(OFFSET($BO$15,0,0,$B$14,1)) + $B$18/($B$19*$B$19*($DN313&lt;&gt;$DO313) + $B$19*($DN313=$DO313))</f>
        <v>3.7037037037037035E-4</v>
      </c>
      <c r="FF313" s="10" cm="1">
        <f t="array" aca="1" ref="FF313" ca="1">(1-$B$18)*SUMPRODUCT(OFFSET($BO$15,0,0,$B$14,1), 1*(_xlfn._xlws.FILTER(OFFSET($O$15,0,$DN313,$B$8,1),OFFSET($M$15,0,0,$B$8,1))=FF$13), 1*(_xlfn._xlws.FILTER(OFFSET($O$15,0,$DO313,$B$8,1),OFFSET($M$15,0,0,$B$8,1))=FF$14))   /   SUM(OFFSET($BO$15,0,0,$B$14,1)) + $B$18/($B$19*$B$19*($DN313&lt;&gt;$DO313) + $B$19*($DN313=$DO313))</f>
        <v>3.7037037037037035E-4</v>
      </c>
      <c r="FG313" s="10" cm="1">
        <f t="array" aca="1" ref="FG313" ca="1">(1-$B$18)*SUMPRODUCT(OFFSET($BO$15,0,0,$B$14,1), 1*(_xlfn._xlws.FILTER(OFFSET($O$15,0,$DN313,$B$8,1),OFFSET($M$15,0,0,$B$8,1))=FG$13), 1*(_xlfn._xlws.FILTER(OFFSET($O$15,0,$DO313,$B$8,1),OFFSET($M$15,0,0,$B$8,1))=FG$14))   /   SUM(OFFSET($BO$15,0,0,$B$14,1)) + $B$18/($B$19*$B$19*($DN313&lt;&gt;$DO313) + $B$19*($DN313=$DO313))</f>
        <v>3.7037037037037035E-4</v>
      </c>
      <c r="FH313" s="10" cm="1">
        <f t="array" aca="1" ref="FH313" ca="1">(1-$B$18)*SUMPRODUCT(OFFSET($BO$15,0,0,$B$14,1), 1*(_xlfn._xlws.FILTER(OFFSET($O$15,0,$DN313,$B$8,1),OFFSET($M$15,0,0,$B$8,1))=FH$13), 1*(_xlfn._xlws.FILTER(OFFSET($O$15,0,$DO313,$B$8,1),OFFSET($M$15,0,0,$B$8,1))=FH$14))   /   SUM(OFFSET($BO$15,0,0,$B$14,1)) + $B$18/($B$19*$B$19*($DN313&lt;&gt;$DO313) + $B$19*($DN313=$DO313))</f>
        <v>3.7037037037037035E-4</v>
      </c>
      <c r="FI313" s="10" cm="1">
        <f t="array" aca="1" ref="FI313" ca="1">(1-$B$18)*SUMPRODUCT(OFFSET($BO$15,0,0,$B$14,1), 1*(_xlfn._xlws.FILTER(OFFSET($O$15,0,$DN313,$B$8,1),OFFSET($M$15,0,0,$B$8,1))=FI$13), 1*(_xlfn._xlws.FILTER(OFFSET($O$15,0,$DO313,$B$8,1),OFFSET($M$15,0,0,$B$8,1))=FI$14))   /   SUM(OFFSET($BO$15,0,0,$B$14,1)) + $B$18/($B$19*$B$19*($DN313&lt;&gt;$DO313) + $B$19*($DN313=$DO313))</f>
        <v>3.7037037037037035E-4</v>
      </c>
      <c r="FJ313" s="10" cm="1">
        <f t="array" aca="1" ref="FJ313" ca="1">(1-$B$18)*SUMPRODUCT(OFFSET($BO$15,0,0,$B$14,1), 1*(_xlfn._xlws.FILTER(OFFSET($O$15,0,$DN313,$B$8,1),OFFSET($M$15,0,0,$B$8,1))=FJ$13), 1*(_xlfn._xlws.FILTER(OFFSET($O$15,0,$DO313,$B$8,1),OFFSET($M$15,0,0,$B$8,1))=FJ$14))   /   SUM(OFFSET($BO$15,0,0,$B$14,1)) + $B$18/($B$19*$B$19*($DN313&lt;&gt;$DO313) + $B$19*($DN313=$DO313))</f>
        <v>3.7037037037037035E-4</v>
      </c>
      <c r="FK313" s="10" cm="1">
        <f t="array" aca="1" ref="FK313" ca="1">(1-$B$18)*SUMPRODUCT(OFFSET($BO$15,0,0,$B$14,1), 1*(_xlfn._xlws.FILTER(OFFSET($O$15,0,$DN313,$B$8,1),OFFSET($M$15,0,0,$B$8,1))=FK$13), 1*(_xlfn._xlws.FILTER(OFFSET($O$15,0,$DO313,$B$8,1),OFFSET($M$15,0,0,$B$8,1))=FK$14))   /   SUM(OFFSET($BO$15,0,0,$B$14,1)) + $B$18/($B$19*$B$19*($DN313&lt;&gt;$DO313) + $B$19*($DN313=$DO313))</f>
        <v>3.7037037037037035E-4</v>
      </c>
      <c r="FL313" s="10" cm="1">
        <f t="array" aca="1" ref="FL313" ca="1">(1-$B$18)*SUMPRODUCT(OFFSET($BO$15,0,0,$B$14,1), 1*(_xlfn._xlws.FILTER(OFFSET($O$15,0,$DN313,$B$8,1),OFFSET($M$15,0,0,$B$8,1))=FL$13), 1*(_xlfn._xlws.FILTER(OFFSET($O$15,0,$DO313,$B$8,1),OFFSET($M$15,0,0,$B$8,1))=FL$14))   /   SUM(OFFSET($BO$15,0,0,$B$14,1)) + $B$18/($B$19*$B$19*($DN313&lt;&gt;$DO313) + $B$19*($DN313=$DO313))</f>
        <v>3.7037037037037035E-4</v>
      </c>
      <c r="FM313" s="10" cm="1">
        <f t="array" aca="1" ref="FM313" ca="1">(1-$B$18)*SUMPRODUCT(OFFSET($BO$15,0,0,$B$14,1), 1*(_xlfn._xlws.FILTER(OFFSET($O$15,0,$DN313,$B$8,1),OFFSET($M$15,0,0,$B$8,1))=FM$13), 1*(_xlfn._xlws.FILTER(OFFSET($O$15,0,$DO313,$B$8,1),OFFSET($M$15,0,0,$B$8,1))=FM$14))   /   SUM(OFFSET($BO$15,0,0,$B$14,1)) + $B$18/($B$19*$B$19*($DN313&lt;&gt;$DO313) + $B$19*($DN313=$DO313))</f>
        <v>3.7037037037037035E-4</v>
      </c>
      <c r="FN313" s="10" cm="1">
        <f t="array" aca="1" ref="FN313" ca="1">(1-$B$18)*SUMPRODUCT(OFFSET($BO$15,0,0,$B$14,1), 1*(_xlfn._xlws.FILTER(OFFSET($O$15,0,$DN313,$B$8,1),OFFSET($M$15,0,0,$B$8,1))=FN$13), 1*(_xlfn._xlws.FILTER(OFFSET($O$15,0,$DO313,$B$8,1),OFFSET($M$15,0,0,$B$8,1))=FN$14))   /   SUM(OFFSET($BO$15,0,0,$B$14,1)) + $B$18/($B$19*$B$19*($DN313&lt;&gt;$DO313) + $B$19*($DN313=$DO313))</f>
        <v>3.7037037037037035E-4</v>
      </c>
      <c r="FO313" s="10" cm="1">
        <f t="array" aca="1" ref="FO313" ca="1">(1-$B$18)*SUMPRODUCT(OFFSET($BO$15,0,0,$B$14,1), 1*(_xlfn._xlws.FILTER(OFFSET($O$15,0,$DN313,$B$8,1),OFFSET($M$15,0,0,$B$8,1))=FO$13), 1*(_xlfn._xlws.FILTER(OFFSET($O$15,0,$DO313,$B$8,1),OFFSET($M$15,0,0,$B$8,1))=FO$14))   /   SUM(OFFSET($BO$15,0,0,$B$14,1)) + $B$18/($B$19*$B$19*($DN313&lt;&gt;$DO313) + $B$19*($DN313=$DO313))</f>
        <v>3.7037037037037035E-4</v>
      </c>
      <c r="FP313" s="10" cm="1">
        <f t="array" aca="1" ref="FP313" ca="1">(1-$B$18)*SUMPRODUCT(OFFSET($BO$15,0,0,$B$14,1), 1*(_xlfn._xlws.FILTER(OFFSET($O$15,0,$DN313,$B$8,1),OFFSET($M$15,0,0,$B$8,1))=FP$13), 1*(_xlfn._xlws.FILTER(OFFSET($O$15,0,$DO313,$B$8,1),OFFSET($M$15,0,0,$B$8,1))=FP$14))   /   SUM(OFFSET($BO$15,0,0,$B$14,1)) + $B$18/($B$19*$B$19*($DN313&lt;&gt;$DO313) + $B$19*($DN313=$DO313))</f>
        <v>3.7037037037037035E-4</v>
      </c>
      <c r="FQ313" s="10" cm="1">
        <f t="array" aca="1" ref="FQ313" ca="1">(1-$B$18)*SUMPRODUCT(OFFSET($BO$15,0,0,$B$14,1), 1*(_xlfn._xlws.FILTER(OFFSET($O$15,0,$DN313,$B$8,1),OFFSET($M$15,0,0,$B$8,1))=FQ$13), 1*(_xlfn._xlws.FILTER(OFFSET($O$15,0,$DO313,$B$8,1),OFFSET($M$15,0,0,$B$8,1))=FQ$14))   /   SUM(OFFSET($BO$15,0,0,$B$14,1)) + $B$18/($B$19*$B$19*($DN313&lt;&gt;$DO313) + $B$19*($DN313=$DO313))</f>
        <v>3.7037037037037035E-4</v>
      </c>
      <c r="FR313" s="10" cm="1">
        <f t="array" aca="1" ref="FR313" ca="1">(1-$B$18)*SUMPRODUCT(OFFSET($BO$15,0,0,$B$14,1), 1*(_xlfn._xlws.FILTER(OFFSET($O$15,0,$DN313,$B$8,1),OFFSET($M$15,0,0,$B$8,1))=FR$13), 1*(_xlfn._xlws.FILTER(OFFSET($O$15,0,$DO313,$B$8,1),OFFSET($M$15,0,0,$B$8,1))=FR$14))   /   SUM(OFFSET($BO$15,0,0,$B$14,1)) + $B$18/($B$19*$B$19*($DN313&lt;&gt;$DO313) + $B$19*($DN313=$DO313))</f>
        <v>3.7037037037037035E-4</v>
      </c>
      <c r="FS313" s="10" cm="1">
        <f t="array" aca="1" ref="FS313" ca="1">(1-$B$18)*SUMPRODUCT(OFFSET($BO$15,0,0,$B$14,1), 1*(_xlfn._xlws.FILTER(OFFSET($O$15,0,$DN313,$B$8,1),OFFSET($M$15,0,0,$B$8,1))=FS$13), 1*(_xlfn._xlws.FILTER(OFFSET($O$15,0,$DO313,$B$8,1),OFFSET($M$15,0,0,$B$8,1))=FS$14))   /   SUM(OFFSET($BO$15,0,0,$B$14,1)) + $B$18/($B$19*$B$19*($DN313&lt;&gt;$DO313) + $B$19*($DN313=$DO313))</f>
        <v>3.7037037037037035E-4</v>
      </c>
      <c r="FT313" s="10" cm="1">
        <f t="array" aca="1" ref="FT313" ca="1">(1-$B$18)*SUMPRODUCT(OFFSET($BO$15,0,0,$B$14,1), 1*(_xlfn._xlws.FILTER(OFFSET($O$15,0,$DN313,$B$8,1),OFFSET($M$15,0,0,$B$8,1))=FT$13), 1*(_xlfn._xlws.FILTER(OFFSET($O$15,0,$DO313,$B$8,1),OFFSET($M$15,0,0,$B$8,1))=FT$14))   /   SUM(OFFSET($BO$15,0,0,$B$14,1)) + $B$18/($B$19*$B$19*($DN313&lt;&gt;$DO313) + $B$19*($DN313=$DO313))</f>
        <v>3.7037037037037035E-4</v>
      </c>
      <c r="FU313" s="10" cm="1">
        <f t="array" aca="1" ref="FU313" ca="1">(1-$B$18)*SUMPRODUCT(OFFSET($BO$15,0,0,$B$14,1), 1*(_xlfn._xlws.FILTER(OFFSET($O$15,0,$DN313,$B$8,1),OFFSET($M$15,0,0,$B$8,1))=FU$13), 1*(_xlfn._xlws.FILTER(OFFSET($O$15,0,$DO313,$B$8,1),OFFSET($M$15,0,0,$B$8,1))=FU$14))   /   SUM(OFFSET($BO$15,0,0,$B$14,1)) + $B$18/($B$19*$B$19*($DN313&lt;&gt;$DO313) + $B$19*($DN313=$DO313))</f>
        <v>3.7037037037037035E-4</v>
      </c>
      <c r="FV313" s="10" cm="1">
        <f t="array" aca="1" ref="FV313" ca="1">(1-$B$18)*SUMPRODUCT(OFFSET($BO$15,0,0,$B$14,1), 1*(_xlfn._xlws.FILTER(OFFSET($O$15,0,$DN313,$B$8,1),OFFSET($M$15,0,0,$B$8,1))=FV$13), 1*(_xlfn._xlws.FILTER(OFFSET($O$15,0,$DO313,$B$8,1),OFFSET($M$15,0,0,$B$8,1))=FV$14))   /   SUM(OFFSET($BO$15,0,0,$B$14,1)) + $B$18/($B$19*$B$19*($DN313&lt;&gt;$DO313) + $B$19*($DN313=$DO313))</f>
        <v>3.7037037037037035E-4</v>
      </c>
      <c r="FW313" s="10" cm="1">
        <f t="array" aca="1" ref="FW313" ca="1">(1-$B$18)*SUMPRODUCT(OFFSET($BO$15,0,0,$B$14,1), 1*(_xlfn._xlws.FILTER(OFFSET($O$15,0,$DN313,$B$8,1),OFFSET($M$15,0,0,$B$8,1))=FW$13), 1*(_xlfn._xlws.FILTER(OFFSET($O$15,0,$DO313,$B$8,1),OFFSET($M$15,0,0,$B$8,1))=FW$14))   /   SUM(OFFSET($BO$15,0,0,$B$14,1)) + $B$18/($B$19*$B$19*($DN313&lt;&gt;$DO313) + $B$19*($DN313=$DO313))</f>
        <v>3.7037037037037035E-4</v>
      </c>
      <c r="FX313" s="10" cm="1">
        <f t="array" aca="1" ref="FX313" ca="1">(1-$B$18)*SUMPRODUCT(OFFSET($BO$15,0,0,$B$14,1), 1*(_xlfn._xlws.FILTER(OFFSET($O$15,0,$DN313,$B$8,1),OFFSET($M$15,0,0,$B$8,1))=FX$13), 1*(_xlfn._xlws.FILTER(OFFSET($O$15,0,$DO313,$B$8,1),OFFSET($M$15,0,0,$B$8,1))=FX$14))   /   SUM(OFFSET($BO$15,0,0,$B$14,1)) + $B$18/($B$19*$B$19*($DN313&lt;&gt;$DO313) + $B$19*($DN313=$DO313))</f>
        <v>3.7037037037037035E-4</v>
      </c>
      <c r="FY313" s="10" cm="1">
        <f t="array" aca="1" ref="FY313" ca="1">(1-$B$18)*SUMPRODUCT(OFFSET($BO$15,0,0,$B$14,1), 1*(_xlfn._xlws.FILTER(OFFSET($O$15,0,$DN313,$B$8,1),OFFSET($M$15,0,0,$B$8,1))=FY$13), 1*(_xlfn._xlws.FILTER(OFFSET($O$15,0,$DO313,$B$8,1),OFFSET($M$15,0,0,$B$8,1))=FY$14))   /   SUM(OFFSET($BO$15,0,0,$B$14,1)) + $B$18/($B$19*$B$19*($DN313&lt;&gt;$DO313) + $B$19*($DN313=$DO313))</f>
        <v>3.7037037037037035E-4</v>
      </c>
      <c r="FZ313" s="10" cm="1">
        <f t="array" aca="1" ref="FZ313" ca="1">(1-$B$18)*SUMPRODUCT(OFFSET($BO$15,0,0,$B$14,1), 1*(_xlfn._xlws.FILTER(OFFSET($O$15,0,$DN313,$B$8,1),OFFSET($M$15,0,0,$B$8,1))=FZ$13), 1*(_xlfn._xlws.FILTER(OFFSET($O$15,0,$DO313,$B$8,1),OFFSET($M$15,0,0,$B$8,1))=FZ$14))   /   SUM(OFFSET($BO$15,0,0,$B$14,1)) + $B$18/($B$19*$B$19*($DN313&lt;&gt;$DO313) + $B$19*($DN313=$DO313))</f>
        <v>3.7037037037037035E-4</v>
      </c>
      <c r="GA313" s="10" cm="1">
        <f t="array" aca="1" ref="GA313" ca="1">(1-$B$18)*SUMPRODUCT(OFFSET($BO$15,0,0,$B$14,1), 1*(_xlfn._xlws.FILTER(OFFSET($O$15,0,$DN313,$B$8,1),OFFSET($M$15,0,0,$B$8,1))=GA$13), 1*(_xlfn._xlws.FILTER(OFFSET($O$15,0,$DO313,$B$8,1),OFFSET($M$15,0,0,$B$8,1))=GA$14))   /   SUM(OFFSET($BO$15,0,0,$B$14,1)) + $B$18/($B$19*$B$19*($DN313&lt;&gt;$DO313) + $B$19*($DN313=$DO313))</f>
        <v>3.7037037037037035E-4</v>
      </c>
    </row>
    <row r="314" spans="118:183" x14ac:dyDescent="0.2">
      <c r="DN314" cm="1">
        <f t="array" aca="1" ref="DN314" ca="1">INDEX(_xlfn.ANCHORARRAY($CP$15), 1 + INT((ROWS($DO$15:$DO314) - 1) / ROWS(_xlfn.ANCHORARRAY($CP$15))))</f>
        <v>18</v>
      </c>
      <c r="DO314" cm="1">
        <f t="array" aca="1" ref="DO314" ca="1">INDEX(_xlfn.ANCHORARRAY($CP$15),1+MOD(ROWS($DO$15:$DO314)-1,ROWS(_xlfn.ANCHORARRAY($CP$15))))</f>
        <v>15</v>
      </c>
      <c r="DP314" s="10" cm="1">
        <f t="array" aca="1" ref="DP314" ca="1">(1-$B$18)*SUMPRODUCT(OFFSET($BO$15,0,0,$B$14,1), 1*(_xlfn._xlws.FILTER(OFFSET($O$15,0,$DN314,$B$8,1),OFFSET($M$15,0,0,$B$8,1))=DP$13), 1*(_xlfn._xlws.FILTER(OFFSET($O$15,0,$DO314,$B$8,1),OFFSET($M$15,0,0,$B$8,1))=DP$14))   /   SUM(OFFSET($BO$15,0,0,$B$14,1)) + $B$18/($B$19*$B$19*($DN314&lt;&gt;$DO314) + $B$19*($DN314=$DO314))</f>
        <v>3.7037037037037035E-4</v>
      </c>
      <c r="DQ314" s="10" cm="1">
        <f t="array" aca="1" ref="DQ314" ca="1">(1-$B$18)*SUMPRODUCT(OFFSET($BO$15,0,0,$B$14,1), 1*(_xlfn._xlws.FILTER(OFFSET($O$15,0,$DN314,$B$8,1),OFFSET($M$15,0,0,$B$8,1))=DQ$13), 1*(_xlfn._xlws.FILTER(OFFSET($O$15,0,$DO314,$B$8,1),OFFSET($M$15,0,0,$B$8,1))=DQ$14))   /   SUM(OFFSET($BO$15,0,0,$B$14,1)) + $B$18/($B$19*$B$19*($DN314&lt;&gt;$DO314) + $B$19*($DN314=$DO314))</f>
        <v>3.7037037037037035E-4</v>
      </c>
      <c r="DR314" s="10" cm="1">
        <f t="array" aca="1" ref="DR314" ca="1">(1-$B$18)*SUMPRODUCT(OFFSET($BO$15,0,0,$B$14,1), 1*(_xlfn._xlws.FILTER(OFFSET($O$15,0,$DN314,$B$8,1),OFFSET($M$15,0,0,$B$8,1))=DR$13), 1*(_xlfn._xlws.FILTER(OFFSET($O$15,0,$DO314,$B$8,1),OFFSET($M$15,0,0,$B$8,1))=DR$14))   /   SUM(OFFSET($BO$15,0,0,$B$14,1)) + $B$18/($B$19*$B$19*($DN314&lt;&gt;$DO314) + $B$19*($DN314=$DO314))</f>
        <v>3.7037037037037035E-4</v>
      </c>
      <c r="DS314" s="10" cm="1">
        <f t="array" aca="1" ref="DS314" ca="1">(1-$B$18)*SUMPRODUCT(OFFSET($BO$15,0,0,$B$14,1), 1*(_xlfn._xlws.FILTER(OFFSET($O$15,0,$DN314,$B$8,1),OFFSET($M$15,0,0,$B$8,1))=DS$13), 1*(_xlfn._xlws.FILTER(OFFSET($O$15,0,$DO314,$B$8,1),OFFSET($M$15,0,0,$B$8,1))=DS$14))   /   SUM(OFFSET($BO$15,0,0,$B$14,1)) + $B$18/($B$19*$B$19*($DN314&lt;&gt;$DO314) + $B$19*($DN314=$DO314))</f>
        <v>3.7037037037037035E-4</v>
      </c>
      <c r="DT314" s="10" cm="1">
        <f t="array" aca="1" ref="DT314" ca="1">(1-$B$18)*SUMPRODUCT(OFFSET($BO$15,0,0,$B$14,1), 1*(_xlfn._xlws.FILTER(OFFSET($O$15,0,$DN314,$B$8,1),OFFSET($M$15,0,0,$B$8,1))=DT$13), 1*(_xlfn._xlws.FILTER(OFFSET($O$15,0,$DO314,$B$8,1),OFFSET($M$15,0,0,$B$8,1))=DT$14))   /   SUM(OFFSET($BO$15,0,0,$B$14,1)) + $B$18/($B$19*$B$19*($DN314&lt;&gt;$DO314) + $B$19*($DN314=$DO314))</f>
        <v>3.7037037037037035E-4</v>
      </c>
      <c r="DU314" s="10" cm="1">
        <f t="array" aca="1" ref="DU314" ca="1">(1-$B$18)*SUMPRODUCT(OFFSET($BO$15,0,0,$B$14,1), 1*(_xlfn._xlws.FILTER(OFFSET($O$15,0,$DN314,$B$8,1),OFFSET($M$15,0,0,$B$8,1))=DU$13), 1*(_xlfn._xlws.FILTER(OFFSET($O$15,0,$DO314,$B$8,1),OFFSET($M$15,0,0,$B$8,1))=DU$14))   /   SUM(OFFSET($BO$15,0,0,$B$14,1)) + $B$18/($B$19*$B$19*($DN314&lt;&gt;$DO314) + $B$19*($DN314=$DO314))</f>
        <v>3.7037037037037035E-4</v>
      </c>
      <c r="DV314" s="10" cm="1">
        <f t="array" aca="1" ref="DV314" ca="1">(1-$B$18)*SUMPRODUCT(OFFSET($BO$15,0,0,$B$14,1), 1*(_xlfn._xlws.FILTER(OFFSET($O$15,0,$DN314,$B$8,1),OFFSET($M$15,0,0,$B$8,1))=DV$13), 1*(_xlfn._xlws.FILTER(OFFSET($O$15,0,$DO314,$B$8,1),OFFSET($M$15,0,0,$B$8,1))=DV$14))   /   SUM(OFFSET($BO$15,0,0,$B$14,1)) + $B$18/($B$19*$B$19*($DN314&lt;&gt;$DO314) + $B$19*($DN314=$DO314))</f>
        <v>3.7037037037037035E-4</v>
      </c>
      <c r="DW314" s="10" cm="1">
        <f t="array" aca="1" ref="DW314" ca="1">(1-$B$18)*SUMPRODUCT(OFFSET($BO$15,0,0,$B$14,1), 1*(_xlfn._xlws.FILTER(OFFSET($O$15,0,$DN314,$B$8,1),OFFSET($M$15,0,0,$B$8,1))=DW$13), 1*(_xlfn._xlws.FILTER(OFFSET($O$15,0,$DO314,$B$8,1),OFFSET($M$15,0,0,$B$8,1))=DW$14))   /   SUM(OFFSET($BO$15,0,0,$B$14,1)) + $B$18/($B$19*$B$19*($DN314&lt;&gt;$DO314) + $B$19*($DN314=$DO314))</f>
        <v>3.7037037037037035E-4</v>
      </c>
      <c r="DX314" s="10" cm="1">
        <f t="array" aca="1" ref="DX314" ca="1">(1-$B$18)*SUMPRODUCT(OFFSET($BO$15,0,0,$B$14,1), 1*(_xlfn._xlws.FILTER(OFFSET($O$15,0,$DN314,$B$8,1),OFFSET($M$15,0,0,$B$8,1))=DX$13), 1*(_xlfn._xlws.FILTER(OFFSET($O$15,0,$DO314,$B$8,1),OFFSET($M$15,0,0,$B$8,1))=DX$14))   /   SUM(OFFSET($BO$15,0,0,$B$14,1)) + $B$18/($B$19*$B$19*($DN314&lt;&gt;$DO314) + $B$19*($DN314=$DO314))</f>
        <v>3.7037037037037035E-4</v>
      </c>
      <c r="DY314" s="10" cm="1">
        <f t="array" aca="1" ref="DY314" ca="1">(1-$B$18)*SUMPRODUCT(OFFSET($BO$15,0,0,$B$14,1), 1*(_xlfn._xlws.FILTER(OFFSET($O$15,0,$DN314,$B$8,1),OFFSET($M$15,0,0,$B$8,1))=DY$13), 1*(_xlfn._xlws.FILTER(OFFSET($O$15,0,$DO314,$B$8,1),OFFSET($M$15,0,0,$B$8,1))=DY$14))   /   SUM(OFFSET($BO$15,0,0,$B$14,1)) + $B$18/($B$19*$B$19*($DN314&lt;&gt;$DO314) + $B$19*($DN314=$DO314))</f>
        <v>3.7037037037037035E-4</v>
      </c>
      <c r="DZ314" s="10" cm="1">
        <f t="array" aca="1" ref="DZ314" ca="1">(1-$B$18)*SUMPRODUCT(OFFSET($BO$15,0,0,$B$14,1), 1*(_xlfn._xlws.FILTER(OFFSET($O$15,0,$DN314,$B$8,1),OFFSET($M$15,0,0,$B$8,1))=DZ$13), 1*(_xlfn._xlws.FILTER(OFFSET($O$15,0,$DO314,$B$8,1),OFFSET($M$15,0,0,$B$8,1))=DZ$14))   /   SUM(OFFSET($BO$15,0,0,$B$14,1)) + $B$18/($B$19*$B$19*($DN314&lt;&gt;$DO314) + $B$19*($DN314=$DO314))</f>
        <v>3.7037037037037035E-4</v>
      </c>
      <c r="EA314" s="10" cm="1">
        <f t="array" aca="1" ref="EA314" ca="1">(1-$B$18)*SUMPRODUCT(OFFSET($BO$15,0,0,$B$14,1), 1*(_xlfn._xlws.FILTER(OFFSET($O$15,0,$DN314,$B$8,1),OFFSET($M$15,0,0,$B$8,1))=EA$13), 1*(_xlfn._xlws.FILTER(OFFSET($O$15,0,$DO314,$B$8,1),OFFSET($M$15,0,0,$B$8,1))=EA$14))   /   SUM(OFFSET($BO$15,0,0,$B$14,1)) + $B$18/($B$19*$B$19*($DN314&lt;&gt;$DO314) + $B$19*($DN314=$DO314))</f>
        <v>3.7037037037037035E-4</v>
      </c>
      <c r="EB314" s="10" cm="1">
        <f t="array" aca="1" ref="EB314" ca="1">(1-$B$18)*SUMPRODUCT(OFFSET($BO$15,0,0,$B$14,1), 1*(_xlfn._xlws.FILTER(OFFSET($O$15,0,$DN314,$B$8,1),OFFSET($M$15,0,0,$B$8,1))=EB$13), 1*(_xlfn._xlws.FILTER(OFFSET($O$15,0,$DO314,$B$8,1),OFFSET($M$15,0,0,$B$8,1))=EB$14))   /   SUM(OFFSET($BO$15,0,0,$B$14,1)) + $B$18/($B$19*$B$19*($DN314&lt;&gt;$DO314) + $B$19*($DN314=$DO314))</f>
        <v>3.7037037037037035E-4</v>
      </c>
      <c r="EC314" s="10" cm="1">
        <f t="array" aca="1" ref="EC314" ca="1">(1-$B$18)*SUMPRODUCT(OFFSET($BO$15,0,0,$B$14,1), 1*(_xlfn._xlws.FILTER(OFFSET($O$15,0,$DN314,$B$8,1),OFFSET($M$15,0,0,$B$8,1))=EC$13), 1*(_xlfn._xlws.FILTER(OFFSET($O$15,0,$DO314,$B$8,1),OFFSET($M$15,0,0,$B$8,1))=EC$14))   /   SUM(OFFSET($BO$15,0,0,$B$14,1)) + $B$18/($B$19*$B$19*($DN314&lt;&gt;$DO314) + $B$19*($DN314=$DO314))</f>
        <v>3.7037037037037035E-4</v>
      </c>
      <c r="ED314" s="10" cm="1">
        <f t="array" aca="1" ref="ED314" ca="1">(1-$B$18)*SUMPRODUCT(OFFSET($BO$15,0,0,$B$14,1), 1*(_xlfn._xlws.FILTER(OFFSET($O$15,0,$DN314,$B$8,1),OFFSET($M$15,0,0,$B$8,1))=ED$13), 1*(_xlfn._xlws.FILTER(OFFSET($O$15,0,$DO314,$B$8,1),OFFSET($M$15,0,0,$B$8,1))=ED$14))   /   SUM(OFFSET($BO$15,0,0,$B$14,1)) + $B$18/($B$19*$B$19*($DN314&lt;&gt;$DO314) + $B$19*($DN314=$DO314))</f>
        <v>3.7037037037037035E-4</v>
      </c>
      <c r="EE314" s="10" cm="1">
        <f t="array" aca="1" ref="EE314" ca="1">(1-$B$18)*SUMPRODUCT(OFFSET($BO$15,0,0,$B$14,1), 1*(_xlfn._xlws.FILTER(OFFSET($O$15,0,$DN314,$B$8,1),OFFSET($M$15,0,0,$B$8,1))=EE$13), 1*(_xlfn._xlws.FILTER(OFFSET($O$15,0,$DO314,$B$8,1),OFFSET($M$15,0,0,$B$8,1))=EE$14))   /   SUM(OFFSET($BO$15,0,0,$B$14,1)) + $B$18/($B$19*$B$19*($DN314&lt;&gt;$DO314) + $B$19*($DN314=$DO314))</f>
        <v>3.7037037037037035E-4</v>
      </c>
      <c r="EF314" s="10" cm="1">
        <f t="array" aca="1" ref="EF314" ca="1">(1-$B$18)*SUMPRODUCT(OFFSET($BO$15,0,0,$B$14,1), 1*(_xlfn._xlws.FILTER(OFFSET($O$15,0,$DN314,$B$8,1),OFFSET($M$15,0,0,$B$8,1))=EF$13), 1*(_xlfn._xlws.FILTER(OFFSET($O$15,0,$DO314,$B$8,1),OFFSET($M$15,0,0,$B$8,1))=EF$14))   /   SUM(OFFSET($BO$15,0,0,$B$14,1)) + $B$18/($B$19*$B$19*($DN314&lt;&gt;$DO314) + $B$19*($DN314=$DO314))</f>
        <v>3.7037037037037035E-4</v>
      </c>
      <c r="EG314" s="10" cm="1">
        <f t="array" aca="1" ref="EG314" ca="1">(1-$B$18)*SUMPRODUCT(OFFSET($BO$15,0,0,$B$14,1), 1*(_xlfn._xlws.FILTER(OFFSET($O$15,0,$DN314,$B$8,1),OFFSET($M$15,0,0,$B$8,1))=EG$13), 1*(_xlfn._xlws.FILTER(OFFSET($O$15,0,$DO314,$B$8,1),OFFSET($M$15,0,0,$B$8,1))=EG$14))   /   SUM(OFFSET($BO$15,0,0,$B$14,1)) + $B$18/($B$19*$B$19*($DN314&lt;&gt;$DO314) + $B$19*($DN314=$DO314))</f>
        <v>3.7037037037037035E-4</v>
      </c>
      <c r="EH314" s="10" cm="1">
        <f t="array" aca="1" ref="EH314" ca="1">(1-$B$18)*SUMPRODUCT(OFFSET($BO$15,0,0,$B$14,1), 1*(_xlfn._xlws.FILTER(OFFSET($O$15,0,$DN314,$B$8,1),OFFSET($M$15,0,0,$B$8,1))=EH$13), 1*(_xlfn._xlws.FILTER(OFFSET($O$15,0,$DO314,$B$8,1),OFFSET($M$15,0,0,$B$8,1))=EH$14))   /   SUM(OFFSET($BO$15,0,0,$B$14,1)) + $B$18/($B$19*$B$19*($DN314&lt;&gt;$DO314) + $B$19*($DN314=$DO314))</f>
        <v>3.7037037037037035E-4</v>
      </c>
      <c r="EI314" s="10" cm="1">
        <f t="array" aca="1" ref="EI314" ca="1">(1-$B$18)*SUMPRODUCT(OFFSET($BO$15,0,0,$B$14,1), 1*(_xlfn._xlws.FILTER(OFFSET($O$15,0,$DN314,$B$8,1),OFFSET($M$15,0,0,$B$8,1))=EI$13), 1*(_xlfn._xlws.FILTER(OFFSET($O$15,0,$DO314,$B$8,1),OFFSET($M$15,0,0,$B$8,1))=EI$14))   /   SUM(OFFSET($BO$15,0,0,$B$14,1)) + $B$18/($B$19*$B$19*($DN314&lt;&gt;$DO314) + $B$19*($DN314=$DO314))</f>
        <v>3.7037037037037035E-4</v>
      </c>
      <c r="EJ314" s="10" cm="1">
        <f t="array" aca="1" ref="EJ314" ca="1">(1-$B$18)*SUMPRODUCT(OFFSET($BO$15,0,0,$B$14,1), 1*(_xlfn._xlws.FILTER(OFFSET($O$15,0,$DN314,$B$8,1),OFFSET($M$15,0,0,$B$8,1))=EJ$13), 1*(_xlfn._xlws.FILTER(OFFSET($O$15,0,$DO314,$B$8,1),OFFSET($M$15,0,0,$B$8,1))=EJ$14))   /   SUM(OFFSET($BO$15,0,0,$B$14,1)) + $B$18/($B$19*$B$19*($DN314&lt;&gt;$DO314) + $B$19*($DN314=$DO314))</f>
        <v>3.7037037037037035E-4</v>
      </c>
      <c r="EK314" s="10" cm="1">
        <f t="array" aca="1" ref="EK314" ca="1">(1-$B$18)*SUMPRODUCT(OFFSET($BO$15,0,0,$B$14,1), 1*(_xlfn._xlws.FILTER(OFFSET($O$15,0,$DN314,$B$8,1),OFFSET($M$15,0,0,$B$8,1))=EK$13), 1*(_xlfn._xlws.FILTER(OFFSET($O$15,0,$DO314,$B$8,1),OFFSET($M$15,0,0,$B$8,1))=EK$14))   /   SUM(OFFSET($BO$15,0,0,$B$14,1)) + $B$18/($B$19*$B$19*($DN314&lt;&gt;$DO314) + $B$19*($DN314=$DO314))</f>
        <v>3.7037037037037035E-4</v>
      </c>
      <c r="EL314" s="10" cm="1">
        <f t="array" aca="1" ref="EL314" ca="1">(1-$B$18)*SUMPRODUCT(OFFSET($BO$15,0,0,$B$14,1), 1*(_xlfn._xlws.FILTER(OFFSET($O$15,0,$DN314,$B$8,1),OFFSET($M$15,0,0,$B$8,1))=EL$13), 1*(_xlfn._xlws.FILTER(OFFSET($O$15,0,$DO314,$B$8,1),OFFSET($M$15,0,0,$B$8,1))=EL$14))   /   SUM(OFFSET($BO$15,0,0,$B$14,1)) + $B$18/($B$19*$B$19*($DN314&lt;&gt;$DO314) + $B$19*($DN314=$DO314))</f>
        <v>3.7037037037037035E-4</v>
      </c>
      <c r="EM314" s="10" cm="1">
        <f t="array" aca="1" ref="EM314" ca="1">(1-$B$18)*SUMPRODUCT(OFFSET($BO$15,0,0,$B$14,1), 1*(_xlfn._xlws.FILTER(OFFSET($O$15,0,$DN314,$B$8,1),OFFSET($M$15,0,0,$B$8,1))=EM$13), 1*(_xlfn._xlws.FILTER(OFFSET($O$15,0,$DO314,$B$8,1),OFFSET($M$15,0,0,$B$8,1))=EM$14))   /   SUM(OFFSET($BO$15,0,0,$B$14,1)) + $B$18/($B$19*$B$19*($DN314&lt;&gt;$DO314) + $B$19*($DN314=$DO314))</f>
        <v>3.7037037037037035E-4</v>
      </c>
      <c r="EN314" s="10" cm="1">
        <f t="array" aca="1" ref="EN314" ca="1">(1-$B$18)*SUMPRODUCT(OFFSET($BO$15,0,0,$B$14,1), 1*(_xlfn._xlws.FILTER(OFFSET($O$15,0,$DN314,$B$8,1),OFFSET($M$15,0,0,$B$8,1))=EN$13), 1*(_xlfn._xlws.FILTER(OFFSET($O$15,0,$DO314,$B$8,1),OFFSET($M$15,0,0,$B$8,1))=EN$14))   /   SUM(OFFSET($BO$15,0,0,$B$14,1)) + $B$18/($B$19*$B$19*($DN314&lt;&gt;$DO314) + $B$19*($DN314=$DO314))</f>
        <v>3.7037037037037035E-4</v>
      </c>
      <c r="EO314" s="10" cm="1">
        <f t="array" aca="1" ref="EO314" ca="1">(1-$B$18)*SUMPRODUCT(OFFSET($BO$15,0,0,$B$14,1), 1*(_xlfn._xlws.FILTER(OFFSET($O$15,0,$DN314,$B$8,1),OFFSET($M$15,0,0,$B$8,1))=EO$13), 1*(_xlfn._xlws.FILTER(OFFSET($O$15,0,$DO314,$B$8,1),OFFSET($M$15,0,0,$B$8,1))=EO$14))   /   SUM(OFFSET($BO$15,0,0,$B$14,1)) + $B$18/($B$19*$B$19*($DN314&lt;&gt;$DO314) + $B$19*($DN314=$DO314))</f>
        <v>3.7037037037037035E-4</v>
      </c>
      <c r="EP314" s="10" cm="1">
        <f t="array" aca="1" ref="EP314" ca="1">(1-$B$18)*SUMPRODUCT(OFFSET($BO$15,0,0,$B$14,1), 1*(_xlfn._xlws.FILTER(OFFSET($O$15,0,$DN314,$B$8,1),OFFSET($M$15,0,0,$B$8,1))=EP$13), 1*(_xlfn._xlws.FILTER(OFFSET($O$15,0,$DO314,$B$8,1),OFFSET($M$15,0,0,$B$8,1))=EP$14))   /   SUM(OFFSET($BO$15,0,0,$B$14,1)) + $B$18/($B$19*$B$19*($DN314&lt;&gt;$DO314) + $B$19*($DN314=$DO314))</f>
        <v>0.97037037037037033</v>
      </c>
      <c r="EQ314" s="10" cm="1">
        <f t="array" aca="1" ref="EQ314" ca="1">(1-$B$18)*SUMPRODUCT(OFFSET($BO$15,0,0,$B$14,1), 1*(_xlfn._xlws.FILTER(OFFSET($O$15,0,$DN314,$B$8,1),OFFSET($M$15,0,0,$B$8,1))=EQ$13), 1*(_xlfn._xlws.FILTER(OFFSET($O$15,0,$DO314,$B$8,1),OFFSET($M$15,0,0,$B$8,1))=EQ$14))   /   SUM(OFFSET($BO$15,0,0,$B$14,1)) + $B$18/($B$19*$B$19*($DN314&lt;&gt;$DO314) + $B$19*($DN314=$DO314))</f>
        <v>3.7037037037037035E-4</v>
      </c>
      <c r="ER314" s="10" cm="1">
        <f t="array" aca="1" ref="ER314" ca="1">(1-$B$18)*SUMPRODUCT(OFFSET($BO$15,0,0,$B$14,1), 1*(_xlfn._xlws.FILTER(OFFSET($O$15,0,$DN314,$B$8,1),OFFSET($M$15,0,0,$B$8,1))=ER$13), 1*(_xlfn._xlws.FILTER(OFFSET($O$15,0,$DO314,$B$8,1),OFFSET($M$15,0,0,$B$8,1))=ER$14))   /   SUM(OFFSET($BO$15,0,0,$B$14,1)) + $B$18/($B$19*$B$19*($DN314&lt;&gt;$DO314) + $B$19*($DN314=$DO314))</f>
        <v>3.7037037037037035E-4</v>
      </c>
      <c r="ES314" s="10" cm="1">
        <f t="array" aca="1" ref="ES314" ca="1">(1-$B$18)*SUMPRODUCT(OFFSET($BO$15,0,0,$B$14,1), 1*(_xlfn._xlws.FILTER(OFFSET($O$15,0,$DN314,$B$8,1),OFFSET($M$15,0,0,$B$8,1))=ES$13), 1*(_xlfn._xlws.FILTER(OFFSET($O$15,0,$DO314,$B$8,1),OFFSET($M$15,0,0,$B$8,1))=ES$14))   /   SUM(OFFSET($BO$15,0,0,$B$14,1)) + $B$18/($B$19*$B$19*($DN314&lt;&gt;$DO314) + $B$19*($DN314=$DO314))</f>
        <v>3.7037037037037035E-4</v>
      </c>
      <c r="ET314" s="10" cm="1">
        <f t="array" aca="1" ref="ET314" ca="1">(1-$B$18)*SUMPRODUCT(OFFSET($BO$15,0,0,$B$14,1), 1*(_xlfn._xlws.FILTER(OFFSET($O$15,0,$DN314,$B$8,1),OFFSET($M$15,0,0,$B$8,1))=ET$13), 1*(_xlfn._xlws.FILTER(OFFSET($O$15,0,$DO314,$B$8,1),OFFSET($M$15,0,0,$B$8,1))=ET$14))   /   SUM(OFFSET($BO$15,0,0,$B$14,1)) + $B$18/($B$19*$B$19*($DN314&lt;&gt;$DO314) + $B$19*($DN314=$DO314))</f>
        <v>3.7037037037037035E-4</v>
      </c>
      <c r="EU314" s="10" cm="1">
        <f t="array" aca="1" ref="EU314" ca="1">(1-$B$18)*SUMPRODUCT(OFFSET($BO$15,0,0,$B$14,1), 1*(_xlfn._xlws.FILTER(OFFSET($O$15,0,$DN314,$B$8,1),OFFSET($M$15,0,0,$B$8,1))=EU$13), 1*(_xlfn._xlws.FILTER(OFFSET($O$15,0,$DO314,$B$8,1),OFFSET($M$15,0,0,$B$8,1))=EU$14))   /   SUM(OFFSET($BO$15,0,0,$B$14,1)) + $B$18/($B$19*$B$19*($DN314&lt;&gt;$DO314) + $B$19*($DN314=$DO314))</f>
        <v>3.7037037037037035E-4</v>
      </c>
      <c r="EV314" s="10" cm="1">
        <f t="array" aca="1" ref="EV314" ca="1">(1-$B$18)*SUMPRODUCT(OFFSET($BO$15,0,0,$B$14,1), 1*(_xlfn._xlws.FILTER(OFFSET($O$15,0,$DN314,$B$8,1),OFFSET($M$15,0,0,$B$8,1))=EV$13), 1*(_xlfn._xlws.FILTER(OFFSET($O$15,0,$DO314,$B$8,1),OFFSET($M$15,0,0,$B$8,1))=EV$14))   /   SUM(OFFSET($BO$15,0,0,$B$14,1)) + $B$18/($B$19*$B$19*($DN314&lt;&gt;$DO314) + $B$19*($DN314=$DO314))</f>
        <v>3.7037037037037035E-4</v>
      </c>
      <c r="EW314" s="10" cm="1">
        <f t="array" aca="1" ref="EW314" ca="1">(1-$B$18)*SUMPRODUCT(OFFSET($BO$15,0,0,$B$14,1), 1*(_xlfn._xlws.FILTER(OFFSET($O$15,0,$DN314,$B$8,1),OFFSET($M$15,0,0,$B$8,1))=EW$13), 1*(_xlfn._xlws.FILTER(OFFSET($O$15,0,$DO314,$B$8,1),OFFSET($M$15,0,0,$B$8,1))=EW$14))   /   SUM(OFFSET($BO$15,0,0,$B$14,1)) + $B$18/($B$19*$B$19*($DN314&lt;&gt;$DO314) + $B$19*($DN314=$DO314))</f>
        <v>3.7037037037037035E-4</v>
      </c>
      <c r="EX314" s="10" cm="1">
        <f t="array" aca="1" ref="EX314" ca="1">(1-$B$18)*SUMPRODUCT(OFFSET($BO$15,0,0,$B$14,1), 1*(_xlfn._xlws.FILTER(OFFSET($O$15,0,$DN314,$B$8,1),OFFSET($M$15,0,0,$B$8,1))=EX$13), 1*(_xlfn._xlws.FILTER(OFFSET($O$15,0,$DO314,$B$8,1),OFFSET($M$15,0,0,$B$8,1))=EX$14))   /   SUM(OFFSET($BO$15,0,0,$B$14,1)) + $B$18/($B$19*$B$19*($DN314&lt;&gt;$DO314) + $B$19*($DN314=$DO314))</f>
        <v>3.7037037037037035E-4</v>
      </c>
      <c r="EY314" s="10" cm="1">
        <f t="array" aca="1" ref="EY314" ca="1">(1-$B$18)*SUMPRODUCT(OFFSET($BO$15,0,0,$B$14,1), 1*(_xlfn._xlws.FILTER(OFFSET($O$15,0,$DN314,$B$8,1),OFFSET($M$15,0,0,$B$8,1))=EY$13), 1*(_xlfn._xlws.FILTER(OFFSET($O$15,0,$DO314,$B$8,1),OFFSET($M$15,0,0,$B$8,1))=EY$14))   /   SUM(OFFSET($BO$15,0,0,$B$14,1)) + $B$18/($B$19*$B$19*($DN314&lt;&gt;$DO314) + $B$19*($DN314=$DO314))</f>
        <v>3.7037037037037035E-4</v>
      </c>
      <c r="EZ314" s="10" cm="1">
        <f t="array" aca="1" ref="EZ314" ca="1">(1-$B$18)*SUMPRODUCT(OFFSET($BO$15,0,0,$B$14,1), 1*(_xlfn._xlws.FILTER(OFFSET($O$15,0,$DN314,$B$8,1),OFFSET($M$15,0,0,$B$8,1))=EZ$13), 1*(_xlfn._xlws.FILTER(OFFSET($O$15,0,$DO314,$B$8,1),OFFSET($M$15,0,0,$B$8,1))=EZ$14))   /   SUM(OFFSET($BO$15,0,0,$B$14,1)) + $B$18/($B$19*$B$19*($DN314&lt;&gt;$DO314) + $B$19*($DN314=$DO314))</f>
        <v>3.7037037037037035E-4</v>
      </c>
      <c r="FA314" s="10" cm="1">
        <f t="array" aca="1" ref="FA314" ca="1">(1-$B$18)*SUMPRODUCT(OFFSET($BO$15,0,0,$B$14,1), 1*(_xlfn._xlws.FILTER(OFFSET($O$15,0,$DN314,$B$8,1),OFFSET($M$15,0,0,$B$8,1))=FA$13), 1*(_xlfn._xlws.FILTER(OFFSET($O$15,0,$DO314,$B$8,1),OFFSET($M$15,0,0,$B$8,1))=FA$14))   /   SUM(OFFSET($BO$15,0,0,$B$14,1)) + $B$18/($B$19*$B$19*($DN314&lt;&gt;$DO314) + $B$19*($DN314=$DO314))</f>
        <v>3.7037037037037035E-4</v>
      </c>
      <c r="FB314" s="10" cm="1">
        <f t="array" aca="1" ref="FB314" ca="1">(1-$B$18)*SUMPRODUCT(OFFSET($BO$15,0,0,$B$14,1), 1*(_xlfn._xlws.FILTER(OFFSET($O$15,0,$DN314,$B$8,1),OFFSET($M$15,0,0,$B$8,1))=FB$13), 1*(_xlfn._xlws.FILTER(OFFSET($O$15,0,$DO314,$B$8,1),OFFSET($M$15,0,0,$B$8,1))=FB$14))   /   SUM(OFFSET($BO$15,0,0,$B$14,1)) + $B$18/($B$19*$B$19*($DN314&lt;&gt;$DO314) + $B$19*($DN314=$DO314))</f>
        <v>3.7037037037037035E-4</v>
      </c>
      <c r="FC314" s="10" cm="1">
        <f t="array" aca="1" ref="FC314" ca="1">(1-$B$18)*SUMPRODUCT(OFFSET($BO$15,0,0,$B$14,1), 1*(_xlfn._xlws.FILTER(OFFSET($O$15,0,$DN314,$B$8,1),OFFSET($M$15,0,0,$B$8,1))=FC$13), 1*(_xlfn._xlws.FILTER(OFFSET($O$15,0,$DO314,$B$8,1),OFFSET($M$15,0,0,$B$8,1))=FC$14))   /   SUM(OFFSET($BO$15,0,0,$B$14,1)) + $B$18/($B$19*$B$19*($DN314&lt;&gt;$DO314) + $B$19*($DN314=$DO314))</f>
        <v>3.7037037037037035E-4</v>
      </c>
      <c r="FD314" s="10" cm="1">
        <f t="array" aca="1" ref="FD314" ca="1">(1-$B$18)*SUMPRODUCT(OFFSET($BO$15,0,0,$B$14,1), 1*(_xlfn._xlws.FILTER(OFFSET($O$15,0,$DN314,$B$8,1),OFFSET($M$15,0,0,$B$8,1))=FD$13), 1*(_xlfn._xlws.FILTER(OFFSET($O$15,0,$DO314,$B$8,1),OFFSET($M$15,0,0,$B$8,1))=FD$14))   /   SUM(OFFSET($BO$15,0,0,$B$14,1)) + $B$18/($B$19*$B$19*($DN314&lt;&gt;$DO314) + $B$19*($DN314=$DO314))</f>
        <v>3.7037037037037035E-4</v>
      </c>
      <c r="FE314" s="10" cm="1">
        <f t="array" aca="1" ref="FE314" ca="1">(1-$B$18)*SUMPRODUCT(OFFSET($BO$15,0,0,$B$14,1), 1*(_xlfn._xlws.FILTER(OFFSET($O$15,0,$DN314,$B$8,1),OFFSET($M$15,0,0,$B$8,1))=FE$13), 1*(_xlfn._xlws.FILTER(OFFSET($O$15,0,$DO314,$B$8,1),OFFSET($M$15,0,0,$B$8,1))=FE$14))   /   SUM(OFFSET($BO$15,0,0,$B$14,1)) + $B$18/($B$19*$B$19*($DN314&lt;&gt;$DO314) + $B$19*($DN314=$DO314))</f>
        <v>3.7037037037037035E-4</v>
      </c>
      <c r="FF314" s="10" cm="1">
        <f t="array" aca="1" ref="FF314" ca="1">(1-$B$18)*SUMPRODUCT(OFFSET($BO$15,0,0,$B$14,1), 1*(_xlfn._xlws.FILTER(OFFSET($O$15,0,$DN314,$B$8,1),OFFSET($M$15,0,0,$B$8,1))=FF$13), 1*(_xlfn._xlws.FILTER(OFFSET($O$15,0,$DO314,$B$8,1),OFFSET($M$15,0,0,$B$8,1))=FF$14))   /   SUM(OFFSET($BO$15,0,0,$B$14,1)) + $B$18/($B$19*$B$19*($DN314&lt;&gt;$DO314) + $B$19*($DN314=$DO314))</f>
        <v>3.7037037037037035E-4</v>
      </c>
      <c r="FG314" s="10" cm="1">
        <f t="array" aca="1" ref="FG314" ca="1">(1-$B$18)*SUMPRODUCT(OFFSET($BO$15,0,0,$B$14,1), 1*(_xlfn._xlws.FILTER(OFFSET($O$15,0,$DN314,$B$8,1),OFFSET($M$15,0,0,$B$8,1))=FG$13), 1*(_xlfn._xlws.FILTER(OFFSET($O$15,0,$DO314,$B$8,1),OFFSET($M$15,0,0,$B$8,1))=FG$14))   /   SUM(OFFSET($BO$15,0,0,$B$14,1)) + $B$18/($B$19*$B$19*($DN314&lt;&gt;$DO314) + $B$19*($DN314=$DO314))</f>
        <v>3.7037037037037035E-4</v>
      </c>
      <c r="FH314" s="10" cm="1">
        <f t="array" aca="1" ref="FH314" ca="1">(1-$B$18)*SUMPRODUCT(OFFSET($BO$15,0,0,$B$14,1), 1*(_xlfn._xlws.FILTER(OFFSET($O$15,0,$DN314,$B$8,1),OFFSET($M$15,0,0,$B$8,1))=FH$13), 1*(_xlfn._xlws.FILTER(OFFSET($O$15,0,$DO314,$B$8,1),OFFSET($M$15,0,0,$B$8,1))=FH$14))   /   SUM(OFFSET($BO$15,0,0,$B$14,1)) + $B$18/($B$19*$B$19*($DN314&lt;&gt;$DO314) + $B$19*($DN314=$DO314))</f>
        <v>3.7037037037037035E-4</v>
      </c>
      <c r="FI314" s="10" cm="1">
        <f t="array" aca="1" ref="FI314" ca="1">(1-$B$18)*SUMPRODUCT(OFFSET($BO$15,0,0,$B$14,1), 1*(_xlfn._xlws.FILTER(OFFSET($O$15,0,$DN314,$B$8,1),OFFSET($M$15,0,0,$B$8,1))=FI$13), 1*(_xlfn._xlws.FILTER(OFFSET($O$15,0,$DO314,$B$8,1),OFFSET($M$15,0,0,$B$8,1))=FI$14))   /   SUM(OFFSET($BO$15,0,0,$B$14,1)) + $B$18/($B$19*$B$19*($DN314&lt;&gt;$DO314) + $B$19*($DN314=$DO314))</f>
        <v>3.7037037037037035E-4</v>
      </c>
      <c r="FJ314" s="10" cm="1">
        <f t="array" aca="1" ref="FJ314" ca="1">(1-$B$18)*SUMPRODUCT(OFFSET($BO$15,0,0,$B$14,1), 1*(_xlfn._xlws.FILTER(OFFSET($O$15,0,$DN314,$B$8,1),OFFSET($M$15,0,0,$B$8,1))=FJ$13), 1*(_xlfn._xlws.FILTER(OFFSET($O$15,0,$DO314,$B$8,1),OFFSET($M$15,0,0,$B$8,1))=FJ$14))   /   SUM(OFFSET($BO$15,0,0,$B$14,1)) + $B$18/($B$19*$B$19*($DN314&lt;&gt;$DO314) + $B$19*($DN314=$DO314))</f>
        <v>3.7037037037037035E-4</v>
      </c>
      <c r="FK314" s="10" cm="1">
        <f t="array" aca="1" ref="FK314" ca="1">(1-$B$18)*SUMPRODUCT(OFFSET($BO$15,0,0,$B$14,1), 1*(_xlfn._xlws.FILTER(OFFSET($O$15,0,$DN314,$B$8,1),OFFSET($M$15,0,0,$B$8,1))=FK$13), 1*(_xlfn._xlws.FILTER(OFFSET($O$15,0,$DO314,$B$8,1),OFFSET($M$15,0,0,$B$8,1))=FK$14))   /   SUM(OFFSET($BO$15,0,0,$B$14,1)) + $B$18/($B$19*$B$19*($DN314&lt;&gt;$DO314) + $B$19*($DN314=$DO314))</f>
        <v>3.7037037037037035E-4</v>
      </c>
      <c r="FL314" s="10" cm="1">
        <f t="array" aca="1" ref="FL314" ca="1">(1-$B$18)*SUMPRODUCT(OFFSET($BO$15,0,0,$B$14,1), 1*(_xlfn._xlws.FILTER(OFFSET($O$15,0,$DN314,$B$8,1),OFFSET($M$15,0,0,$B$8,1))=FL$13), 1*(_xlfn._xlws.FILTER(OFFSET($O$15,0,$DO314,$B$8,1),OFFSET($M$15,0,0,$B$8,1))=FL$14))   /   SUM(OFFSET($BO$15,0,0,$B$14,1)) + $B$18/($B$19*$B$19*($DN314&lt;&gt;$DO314) + $B$19*($DN314=$DO314))</f>
        <v>3.7037037037037035E-4</v>
      </c>
      <c r="FM314" s="10" cm="1">
        <f t="array" aca="1" ref="FM314" ca="1">(1-$B$18)*SUMPRODUCT(OFFSET($BO$15,0,0,$B$14,1), 1*(_xlfn._xlws.FILTER(OFFSET($O$15,0,$DN314,$B$8,1),OFFSET($M$15,0,0,$B$8,1))=FM$13), 1*(_xlfn._xlws.FILTER(OFFSET($O$15,0,$DO314,$B$8,1),OFFSET($M$15,0,0,$B$8,1))=FM$14))   /   SUM(OFFSET($BO$15,0,0,$B$14,1)) + $B$18/($B$19*$B$19*($DN314&lt;&gt;$DO314) + $B$19*($DN314=$DO314))</f>
        <v>3.7037037037037035E-4</v>
      </c>
      <c r="FN314" s="10" cm="1">
        <f t="array" aca="1" ref="FN314" ca="1">(1-$B$18)*SUMPRODUCT(OFFSET($BO$15,0,0,$B$14,1), 1*(_xlfn._xlws.FILTER(OFFSET($O$15,0,$DN314,$B$8,1),OFFSET($M$15,0,0,$B$8,1))=FN$13), 1*(_xlfn._xlws.FILTER(OFFSET($O$15,0,$DO314,$B$8,1),OFFSET($M$15,0,0,$B$8,1))=FN$14))   /   SUM(OFFSET($BO$15,0,0,$B$14,1)) + $B$18/($B$19*$B$19*($DN314&lt;&gt;$DO314) + $B$19*($DN314=$DO314))</f>
        <v>3.7037037037037035E-4</v>
      </c>
      <c r="FO314" s="10" cm="1">
        <f t="array" aca="1" ref="FO314" ca="1">(1-$B$18)*SUMPRODUCT(OFFSET($BO$15,0,0,$B$14,1), 1*(_xlfn._xlws.FILTER(OFFSET($O$15,0,$DN314,$B$8,1),OFFSET($M$15,0,0,$B$8,1))=FO$13), 1*(_xlfn._xlws.FILTER(OFFSET($O$15,0,$DO314,$B$8,1),OFFSET($M$15,0,0,$B$8,1))=FO$14))   /   SUM(OFFSET($BO$15,0,0,$B$14,1)) + $B$18/($B$19*$B$19*($DN314&lt;&gt;$DO314) + $B$19*($DN314=$DO314))</f>
        <v>3.7037037037037035E-4</v>
      </c>
      <c r="FP314" s="10" cm="1">
        <f t="array" aca="1" ref="FP314" ca="1">(1-$B$18)*SUMPRODUCT(OFFSET($BO$15,0,0,$B$14,1), 1*(_xlfn._xlws.FILTER(OFFSET($O$15,0,$DN314,$B$8,1),OFFSET($M$15,0,0,$B$8,1))=FP$13), 1*(_xlfn._xlws.FILTER(OFFSET($O$15,0,$DO314,$B$8,1),OFFSET($M$15,0,0,$B$8,1))=FP$14))   /   SUM(OFFSET($BO$15,0,0,$B$14,1)) + $B$18/($B$19*$B$19*($DN314&lt;&gt;$DO314) + $B$19*($DN314=$DO314))</f>
        <v>3.7037037037037035E-4</v>
      </c>
      <c r="FQ314" s="10" cm="1">
        <f t="array" aca="1" ref="FQ314" ca="1">(1-$B$18)*SUMPRODUCT(OFFSET($BO$15,0,0,$B$14,1), 1*(_xlfn._xlws.FILTER(OFFSET($O$15,0,$DN314,$B$8,1),OFFSET($M$15,0,0,$B$8,1))=FQ$13), 1*(_xlfn._xlws.FILTER(OFFSET($O$15,0,$DO314,$B$8,1),OFFSET($M$15,0,0,$B$8,1))=FQ$14))   /   SUM(OFFSET($BO$15,0,0,$B$14,1)) + $B$18/($B$19*$B$19*($DN314&lt;&gt;$DO314) + $B$19*($DN314=$DO314))</f>
        <v>3.7037037037037035E-4</v>
      </c>
      <c r="FR314" s="10" cm="1">
        <f t="array" aca="1" ref="FR314" ca="1">(1-$B$18)*SUMPRODUCT(OFFSET($BO$15,0,0,$B$14,1), 1*(_xlfn._xlws.FILTER(OFFSET($O$15,0,$DN314,$B$8,1),OFFSET($M$15,0,0,$B$8,1))=FR$13), 1*(_xlfn._xlws.FILTER(OFFSET($O$15,0,$DO314,$B$8,1),OFFSET($M$15,0,0,$B$8,1))=FR$14))   /   SUM(OFFSET($BO$15,0,0,$B$14,1)) + $B$18/($B$19*$B$19*($DN314&lt;&gt;$DO314) + $B$19*($DN314=$DO314))</f>
        <v>3.7037037037037035E-4</v>
      </c>
      <c r="FS314" s="10" cm="1">
        <f t="array" aca="1" ref="FS314" ca="1">(1-$B$18)*SUMPRODUCT(OFFSET($BO$15,0,0,$B$14,1), 1*(_xlfn._xlws.FILTER(OFFSET($O$15,0,$DN314,$B$8,1),OFFSET($M$15,0,0,$B$8,1))=FS$13), 1*(_xlfn._xlws.FILTER(OFFSET($O$15,0,$DO314,$B$8,1),OFFSET($M$15,0,0,$B$8,1))=FS$14))   /   SUM(OFFSET($BO$15,0,0,$B$14,1)) + $B$18/($B$19*$B$19*($DN314&lt;&gt;$DO314) + $B$19*($DN314=$DO314))</f>
        <v>3.7037037037037035E-4</v>
      </c>
      <c r="FT314" s="10" cm="1">
        <f t="array" aca="1" ref="FT314" ca="1">(1-$B$18)*SUMPRODUCT(OFFSET($BO$15,0,0,$B$14,1), 1*(_xlfn._xlws.FILTER(OFFSET($O$15,0,$DN314,$B$8,1),OFFSET($M$15,0,0,$B$8,1))=FT$13), 1*(_xlfn._xlws.FILTER(OFFSET($O$15,0,$DO314,$B$8,1),OFFSET($M$15,0,0,$B$8,1))=FT$14))   /   SUM(OFFSET($BO$15,0,0,$B$14,1)) + $B$18/($B$19*$B$19*($DN314&lt;&gt;$DO314) + $B$19*($DN314=$DO314))</f>
        <v>3.7037037037037035E-4</v>
      </c>
      <c r="FU314" s="10" cm="1">
        <f t="array" aca="1" ref="FU314" ca="1">(1-$B$18)*SUMPRODUCT(OFFSET($BO$15,0,0,$B$14,1), 1*(_xlfn._xlws.FILTER(OFFSET($O$15,0,$DN314,$B$8,1),OFFSET($M$15,0,0,$B$8,1))=FU$13), 1*(_xlfn._xlws.FILTER(OFFSET($O$15,0,$DO314,$B$8,1),OFFSET($M$15,0,0,$B$8,1))=FU$14))   /   SUM(OFFSET($BO$15,0,0,$B$14,1)) + $B$18/($B$19*$B$19*($DN314&lt;&gt;$DO314) + $B$19*($DN314=$DO314))</f>
        <v>3.7037037037037035E-4</v>
      </c>
      <c r="FV314" s="10" cm="1">
        <f t="array" aca="1" ref="FV314" ca="1">(1-$B$18)*SUMPRODUCT(OFFSET($BO$15,0,0,$B$14,1), 1*(_xlfn._xlws.FILTER(OFFSET($O$15,0,$DN314,$B$8,1),OFFSET($M$15,0,0,$B$8,1))=FV$13), 1*(_xlfn._xlws.FILTER(OFFSET($O$15,0,$DO314,$B$8,1),OFFSET($M$15,0,0,$B$8,1))=FV$14))   /   SUM(OFFSET($BO$15,0,0,$B$14,1)) + $B$18/($B$19*$B$19*($DN314&lt;&gt;$DO314) + $B$19*($DN314=$DO314))</f>
        <v>3.7037037037037035E-4</v>
      </c>
      <c r="FW314" s="10" cm="1">
        <f t="array" aca="1" ref="FW314" ca="1">(1-$B$18)*SUMPRODUCT(OFFSET($BO$15,0,0,$B$14,1), 1*(_xlfn._xlws.FILTER(OFFSET($O$15,0,$DN314,$B$8,1),OFFSET($M$15,0,0,$B$8,1))=FW$13), 1*(_xlfn._xlws.FILTER(OFFSET($O$15,0,$DO314,$B$8,1),OFFSET($M$15,0,0,$B$8,1))=FW$14))   /   SUM(OFFSET($BO$15,0,0,$B$14,1)) + $B$18/($B$19*$B$19*($DN314&lt;&gt;$DO314) + $B$19*($DN314=$DO314))</f>
        <v>3.7037037037037035E-4</v>
      </c>
      <c r="FX314" s="10" cm="1">
        <f t="array" aca="1" ref="FX314" ca="1">(1-$B$18)*SUMPRODUCT(OFFSET($BO$15,0,0,$B$14,1), 1*(_xlfn._xlws.FILTER(OFFSET($O$15,0,$DN314,$B$8,1),OFFSET($M$15,0,0,$B$8,1))=FX$13), 1*(_xlfn._xlws.FILTER(OFFSET($O$15,0,$DO314,$B$8,1),OFFSET($M$15,0,0,$B$8,1))=FX$14))   /   SUM(OFFSET($BO$15,0,0,$B$14,1)) + $B$18/($B$19*$B$19*($DN314&lt;&gt;$DO314) + $B$19*($DN314=$DO314))</f>
        <v>3.7037037037037035E-4</v>
      </c>
      <c r="FY314" s="10" cm="1">
        <f t="array" aca="1" ref="FY314" ca="1">(1-$B$18)*SUMPRODUCT(OFFSET($BO$15,0,0,$B$14,1), 1*(_xlfn._xlws.FILTER(OFFSET($O$15,0,$DN314,$B$8,1),OFFSET($M$15,0,0,$B$8,1))=FY$13), 1*(_xlfn._xlws.FILTER(OFFSET($O$15,0,$DO314,$B$8,1),OFFSET($M$15,0,0,$B$8,1))=FY$14))   /   SUM(OFFSET($BO$15,0,0,$B$14,1)) + $B$18/($B$19*$B$19*($DN314&lt;&gt;$DO314) + $B$19*($DN314=$DO314))</f>
        <v>3.7037037037037035E-4</v>
      </c>
      <c r="FZ314" s="10" cm="1">
        <f t="array" aca="1" ref="FZ314" ca="1">(1-$B$18)*SUMPRODUCT(OFFSET($BO$15,0,0,$B$14,1), 1*(_xlfn._xlws.FILTER(OFFSET($O$15,0,$DN314,$B$8,1),OFFSET($M$15,0,0,$B$8,1))=FZ$13), 1*(_xlfn._xlws.FILTER(OFFSET($O$15,0,$DO314,$B$8,1),OFFSET($M$15,0,0,$B$8,1))=FZ$14))   /   SUM(OFFSET($BO$15,0,0,$B$14,1)) + $B$18/($B$19*$B$19*($DN314&lt;&gt;$DO314) + $B$19*($DN314=$DO314))</f>
        <v>3.7037037037037035E-4</v>
      </c>
      <c r="GA314" s="10" cm="1">
        <f t="array" aca="1" ref="GA314" ca="1">(1-$B$18)*SUMPRODUCT(OFFSET($BO$15,0,0,$B$14,1), 1*(_xlfn._xlws.FILTER(OFFSET($O$15,0,$DN314,$B$8,1),OFFSET($M$15,0,0,$B$8,1))=GA$13), 1*(_xlfn._xlws.FILTER(OFFSET($O$15,0,$DO314,$B$8,1),OFFSET($M$15,0,0,$B$8,1))=GA$14))   /   SUM(OFFSET($BO$15,0,0,$B$14,1)) + $B$18/($B$19*$B$19*($DN314&lt;&gt;$DO314) + $B$19*($DN314=$DO314))</f>
        <v>3.7037037037037035E-4</v>
      </c>
    </row>
    <row r="315" spans="118:183" x14ac:dyDescent="0.2">
      <c r="DN315" cm="1">
        <f t="array" aca="1" ref="DN315" ca="1">INDEX(_xlfn.ANCHORARRAY($CP$15), 1 + INT((ROWS($DO$15:$DO315) - 1) / ROWS(_xlfn.ANCHORARRAY($CP$15))))</f>
        <v>18</v>
      </c>
      <c r="DO315" cm="1">
        <f t="array" aca="1" ref="DO315" ca="1">INDEX(_xlfn.ANCHORARRAY($CP$15),1+MOD(ROWS($DO$15:$DO315)-1,ROWS(_xlfn.ANCHORARRAY($CP$15))))</f>
        <v>18</v>
      </c>
      <c r="DP315" s="10" cm="1">
        <f t="array" aca="1" ref="DP315" ca="1">(1-$B$18)*SUMPRODUCT(OFFSET($BO$15,0,0,$B$14,1), 1*(_xlfn._xlws.FILTER(OFFSET($O$15,0,$DN315,$B$8,1),OFFSET($M$15,0,0,$B$8,1))=DP$13), 1*(_xlfn._xlws.FILTER(OFFSET($O$15,0,$DO315,$B$8,1),OFFSET($M$15,0,0,$B$8,1))=DP$14))   /   SUM(OFFSET($BO$15,0,0,$B$14,1)) + $B$18/($B$19*$B$19*($DN315&lt;&gt;$DO315) + $B$19*($DN315=$DO315))</f>
        <v>3.3333333333333331E-3</v>
      </c>
      <c r="DQ315" s="10" cm="1">
        <f t="array" aca="1" ref="DQ315" ca="1">(1-$B$18)*SUMPRODUCT(OFFSET($BO$15,0,0,$B$14,1), 1*(_xlfn._xlws.FILTER(OFFSET($O$15,0,$DN315,$B$8,1),OFFSET($M$15,0,0,$B$8,1))=DQ$13), 1*(_xlfn._xlws.FILTER(OFFSET($O$15,0,$DO315,$B$8,1),OFFSET($M$15,0,0,$B$8,1))=DQ$14))   /   SUM(OFFSET($BO$15,0,0,$B$14,1)) + $B$18/($B$19*$B$19*($DN315&lt;&gt;$DO315) + $B$19*($DN315=$DO315))</f>
        <v>3.3333333333333331E-3</v>
      </c>
      <c r="DR315" s="10" cm="1">
        <f t="array" aca="1" ref="DR315" ca="1">(1-$B$18)*SUMPRODUCT(OFFSET($BO$15,0,0,$B$14,1), 1*(_xlfn._xlws.FILTER(OFFSET($O$15,0,$DN315,$B$8,1),OFFSET($M$15,0,0,$B$8,1))=DR$13), 1*(_xlfn._xlws.FILTER(OFFSET($O$15,0,$DO315,$B$8,1),OFFSET($M$15,0,0,$B$8,1))=DR$14))   /   SUM(OFFSET($BO$15,0,0,$B$14,1)) + $B$18/($B$19*$B$19*($DN315&lt;&gt;$DO315) + $B$19*($DN315=$DO315))</f>
        <v>3.3333333333333331E-3</v>
      </c>
      <c r="DS315" s="10" cm="1">
        <f t="array" aca="1" ref="DS315" ca="1">(1-$B$18)*SUMPRODUCT(OFFSET($BO$15,0,0,$B$14,1), 1*(_xlfn._xlws.FILTER(OFFSET($O$15,0,$DN315,$B$8,1),OFFSET($M$15,0,0,$B$8,1))=DS$13), 1*(_xlfn._xlws.FILTER(OFFSET($O$15,0,$DO315,$B$8,1),OFFSET($M$15,0,0,$B$8,1))=DS$14))   /   SUM(OFFSET($BO$15,0,0,$B$14,1)) + $B$18/($B$19*$B$19*($DN315&lt;&gt;$DO315) + $B$19*($DN315=$DO315))</f>
        <v>3.3333333333333331E-3</v>
      </c>
      <c r="DT315" s="10" cm="1">
        <f t="array" aca="1" ref="DT315" ca="1">(1-$B$18)*SUMPRODUCT(OFFSET($BO$15,0,0,$B$14,1), 1*(_xlfn._xlws.FILTER(OFFSET($O$15,0,$DN315,$B$8,1),OFFSET($M$15,0,0,$B$8,1))=DT$13), 1*(_xlfn._xlws.FILTER(OFFSET($O$15,0,$DO315,$B$8,1),OFFSET($M$15,0,0,$B$8,1))=DT$14))   /   SUM(OFFSET($BO$15,0,0,$B$14,1)) + $B$18/($B$19*$B$19*($DN315&lt;&gt;$DO315) + $B$19*($DN315=$DO315))</f>
        <v>3.3333333333333331E-3</v>
      </c>
      <c r="DU315" s="10" cm="1">
        <f t="array" aca="1" ref="DU315" ca="1">(1-$B$18)*SUMPRODUCT(OFFSET($BO$15,0,0,$B$14,1), 1*(_xlfn._xlws.FILTER(OFFSET($O$15,0,$DN315,$B$8,1),OFFSET($M$15,0,0,$B$8,1))=DU$13), 1*(_xlfn._xlws.FILTER(OFFSET($O$15,0,$DO315,$B$8,1),OFFSET($M$15,0,0,$B$8,1))=DU$14))   /   SUM(OFFSET($BO$15,0,0,$B$14,1)) + $B$18/($B$19*$B$19*($DN315&lt;&gt;$DO315) + $B$19*($DN315=$DO315))</f>
        <v>3.3333333333333331E-3</v>
      </c>
      <c r="DV315" s="10" cm="1">
        <f t="array" aca="1" ref="DV315" ca="1">(1-$B$18)*SUMPRODUCT(OFFSET($BO$15,0,0,$B$14,1), 1*(_xlfn._xlws.FILTER(OFFSET($O$15,0,$DN315,$B$8,1),OFFSET($M$15,0,0,$B$8,1))=DV$13), 1*(_xlfn._xlws.FILTER(OFFSET($O$15,0,$DO315,$B$8,1),OFFSET($M$15,0,0,$B$8,1))=DV$14))   /   SUM(OFFSET($BO$15,0,0,$B$14,1)) + $B$18/($B$19*$B$19*($DN315&lt;&gt;$DO315) + $B$19*($DN315=$DO315))</f>
        <v>3.3333333333333331E-3</v>
      </c>
      <c r="DW315" s="10" cm="1">
        <f t="array" aca="1" ref="DW315" ca="1">(1-$B$18)*SUMPRODUCT(OFFSET($BO$15,0,0,$B$14,1), 1*(_xlfn._xlws.FILTER(OFFSET($O$15,0,$DN315,$B$8,1),OFFSET($M$15,0,0,$B$8,1))=DW$13), 1*(_xlfn._xlws.FILTER(OFFSET($O$15,0,$DO315,$B$8,1),OFFSET($M$15,0,0,$B$8,1))=DW$14))   /   SUM(OFFSET($BO$15,0,0,$B$14,1)) + $B$18/($B$19*$B$19*($DN315&lt;&gt;$DO315) + $B$19*($DN315=$DO315))</f>
        <v>3.3333333333333331E-3</v>
      </c>
      <c r="DX315" s="10" cm="1">
        <f t="array" aca="1" ref="DX315" ca="1">(1-$B$18)*SUMPRODUCT(OFFSET($BO$15,0,0,$B$14,1), 1*(_xlfn._xlws.FILTER(OFFSET($O$15,0,$DN315,$B$8,1),OFFSET($M$15,0,0,$B$8,1))=DX$13), 1*(_xlfn._xlws.FILTER(OFFSET($O$15,0,$DO315,$B$8,1),OFFSET($M$15,0,0,$B$8,1))=DX$14))   /   SUM(OFFSET($BO$15,0,0,$B$14,1)) + $B$18/($B$19*$B$19*($DN315&lt;&gt;$DO315) + $B$19*($DN315=$DO315))</f>
        <v>3.3333333333333331E-3</v>
      </c>
      <c r="DY315" s="10" cm="1">
        <f t="array" aca="1" ref="DY315" ca="1">(1-$B$18)*SUMPRODUCT(OFFSET($BO$15,0,0,$B$14,1), 1*(_xlfn._xlws.FILTER(OFFSET($O$15,0,$DN315,$B$8,1),OFFSET($M$15,0,0,$B$8,1))=DY$13), 1*(_xlfn._xlws.FILTER(OFFSET($O$15,0,$DO315,$B$8,1),OFFSET($M$15,0,0,$B$8,1))=DY$14))   /   SUM(OFFSET($BO$15,0,0,$B$14,1)) + $B$18/($B$19*$B$19*($DN315&lt;&gt;$DO315) + $B$19*($DN315=$DO315))</f>
        <v>3.3333333333333331E-3</v>
      </c>
      <c r="DZ315" s="10" cm="1">
        <f t="array" aca="1" ref="DZ315" ca="1">(1-$B$18)*SUMPRODUCT(OFFSET($BO$15,0,0,$B$14,1), 1*(_xlfn._xlws.FILTER(OFFSET($O$15,0,$DN315,$B$8,1),OFFSET($M$15,0,0,$B$8,1))=DZ$13), 1*(_xlfn._xlws.FILTER(OFFSET($O$15,0,$DO315,$B$8,1),OFFSET($M$15,0,0,$B$8,1))=DZ$14))   /   SUM(OFFSET($BO$15,0,0,$B$14,1)) + $B$18/($B$19*$B$19*($DN315&lt;&gt;$DO315) + $B$19*($DN315=$DO315))</f>
        <v>3.3333333333333331E-3</v>
      </c>
      <c r="EA315" s="10" cm="1">
        <f t="array" aca="1" ref="EA315" ca="1">(1-$B$18)*SUMPRODUCT(OFFSET($BO$15,0,0,$B$14,1), 1*(_xlfn._xlws.FILTER(OFFSET($O$15,0,$DN315,$B$8,1),OFFSET($M$15,0,0,$B$8,1))=EA$13), 1*(_xlfn._xlws.FILTER(OFFSET($O$15,0,$DO315,$B$8,1),OFFSET($M$15,0,0,$B$8,1))=EA$14))   /   SUM(OFFSET($BO$15,0,0,$B$14,1)) + $B$18/($B$19*$B$19*($DN315&lt;&gt;$DO315) + $B$19*($DN315=$DO315))</f>
        <v>3.3333333333333331E-3</v>
      </c>
      <c r="EB315" s="10" cm="1">
        <f t="array" aca="1" ref="EB315" ca="1">(1-$B$18)*SUMPRODUCT(OFFSET($BO$15,0,0,$B$14,1), 1*(_xlfn._xlws.FILTER(OFFSET($O$15,0,$DN315,$B$8,1),OFFSET($M$15,0,0,$B$8,1))=EB$13), 1*(_xlfn._xlws.FILTER(OFFSET($O$15,0,$DO315,$B$8,1),OFFSET($M$15,0,0,$B$8,1))=EB$14))   /   SUM(OFFSET($BO$15,0,0,$B$14,1)) + $B$18/($B$19*$B$19*($DN315&lt;&gt;$DO315) + $B$19*($DN315=$DO315))</f>
        <v>3.3333333333333331E-3</v>
      </c>
      <c r="EC315" s="10" cm="1">
        <f t="array" aca="1" ref="EC315" ca="1">(1-$B$18)*SUMPRODUCT(OFFSET($BO$15,0,0,$B$14,1), 1*(_xlfn._xlws.FILTER(OFFSET($O$15,0,$DN315,$B$8,1),OFFSET($M$15,0,0,$B$8,1))=EC$13), 1*(_xlfn._xlws.FILTER(OFFSET($O$15,0,$DO315,$B$8,1),OFFSET($M$15,0,0,$B$8,1))=EC$14))   /   SUM(OFFSET($BO$15,0,0,$B$14,1)) + $B$18/($B$19*$B$19*($DN315&lt;&gt;$DO315) + $B$19*($DN315=$DO315))</f>
        <v>3.3333333333333331E-3</v>
      </c>
      <c r="ED315" s="10" cm="1">
        <f t="array" aca="1" ref="ED315" ca="1">(1-$B$18)*SUMPRODUCT(OFFSET($BO$15,0,0,$B$14,1), 1*(_xlfn._xlws.FILTER(OFFSET($O$15,0,$DN315,$B$8,1),OFFSET($M$15,0,0,$B$8,1))=ED$13), 1*(_xlfn._xlws.FILTER(OFFSET($O$15,0,$DO315,$B$8,1),OFFSET($M$15,0,0,$B$8,1))=ED$14))   /   SUM(OFFSET($BO$15,0,0,$B$14,1)) + $B$18/($B$19*$B$19*($DN315&lt;&gt;$DO315) + $B$19*($DN315=$DO315))</f>
        <v>3.3333333333333331E-3</v>
      </c>
      <c r="EE315" s="10" cm="1">
        <f t="array" aca="1" ref="EE315" ca="1">(1-$B$18)*SUMPRODUCT(OFFSET($BO$15,0,0,$B$14,1), 1*(_xlfn._xlws.FILTER(OFFSET($O$15,0,$DN315,$B$8,1),OFFSET($M$15,0,0,$B$8,1))=EE$13), 1*(_xlfn._xlws.FILTER(OFFSET($O$15,0,$DO315,$B$8,1),OFFSET($M$15,0,0,$B$8,1))=EE$14))   /   SUM(OFFSET($BO$15,0,0,$B$14,1)) + $B$18/($B$19*$B$19*($DN315&lt;&gt;$DO315) + $B$19*($DN315=$DO315))</f>
        <v>3.3333333333333331E-3</v>
      </c>
      <c r="EF315" s="10" cm="1">
        <f t="array" aca="1" ref="EF315" ca="1">(1-$B$18)*SUMPRODUCT(OFFSET($BO$15,0,0,$B$14,1), 1*(_xlfn._xlws.FILTER(OFFSET($O$15,0,$DN315,$B$8,1),OFFSET($M$15,0,0,$B$8,1))=EF$13), 1*(_xlfn._xlws.FILTER(OFFSET($O$15,0,$DO315,$B$8,1),OFFSET($M$15,0,0,$B$8,1))=EF$14))   /   SUM(OFFSET($BO$15,0,0,$B$14,1)) + $B$18/($B$19*$B$19*($DN315&lt;&gt;$DO315) + $B$19*($DN315=$DO315))</f>
        <v>3.3333333333333331E-3</v>
      </c>
      <c r="EG315" s="10" cm="1">
        <f t="array" aca="1" ref="EG315" ca="1">(1-$B$18)*SUMPRODUCT(OFFSET($BO$15,0,0,$B$14,1), 1*(_xlfn._xlws.FILTER(OFFSET($O$15,0,$DN315,$B$8,1),OFFSET($M$15,0,0,$B$8,1))=EG$13), 1*(_xlfn._xlws.FILTER(OFFSET($O$15,0,$DO315,$B$8,1),OFFSET($M$15,0,0,$B$8,1))=EG$14))   /   SUM(OFFSET($BO$15,0,0,$B$14,1)) + $B$18/($B$19*$B$19*($DN315&lt;&gt;$DO315) + $B$19*($DN315=$DO315))</f>
        <v>3.3333333333333331E-3</v>
      </c>
      <c r="EH315" s="10" cm="1">
        <f t="array" aca="1" ref="EH315" ca="1">(1-$B$18)*SUMPRODUCT(OFFSET($BO$15,0,0,$B$14,1), 1*(_xlfn._xlws.FILTER(OFFSET($O$15,0,$DN315,$B$8,1),OFFSET($M$15,0,0,$B$8,1))=EH$13), 1*(_xlfn._xlws.FILTER(OFFSET($O$15,0,$DO315,$B$8,1),OFFSET($M$15,0,0,$B$8,1))=EH$14))   /   SUM(OFFSET($BO$15,0,0,$B$14,1)) + $B$18/($B$19*$B$19*($DN315&lt;&gt;$DO315) + $B$19*($DN315=$DO315))</f>
        <v>3.3333333333333331E-3</v>
      </c>
      <c r="EI315" s="10" cm="1">
        <f t="array" aca="1" ref="EI315" ca="1">(1-$B$18)*SUMPRODUCT(OFFSET($BO$15,0,0,$B$14,1), 1*(_xlfn._xlws.FILTER(OFFSET($O$15,0,$DN315,$B$8,1),OFFSET($M$15,0,0,$B$8,1))=EI$13), 1*(_xlfn._xlws.FILTER(OFFSET($O$15,0,$DO315,$B$8,1),OFFSET($M$15,0,0,$B$8,1))=EI$14))   /   SUM(OFFSET($BO$15,0,0,$B$14,1)) + $B$18/($B$19*$B$19*($DN315&lt;&gt;$DO315) + $B$19*($DN315=$DO315))</f>
        <v>3.3333333333333331E-3</v>
      </c>
      <c r="EJ315" s="10" cm="1">
        <f t="array" aca="1" ref="EJ315" ca="1">(1-$B$18)*SUMPRODUCT(OFFSET($BO$15,0,0,$B$14,1), 1*(_xlfn._xlws.FILTER(OFFSET($O$15,0,$DN315,$B$8,1),OFFSET($M$15,0,0,$B$8,1))=EJ$13), 1*(_xlfn._xlws.FILTER(OFFSET($O$15,0,$DO315,$B$8,1),OFFSET($M$15,0,0,$B$8,1))=EJ$14))   /   SUM(OFFSET($BO$15,0,0,$B$14,1)) + $B$18/($B$19*$B$19*($DN315&lt;&gt;$DO315) + $B$19*($DN315=$DO315))</f>
        <v>3.3333333333333331E-3</v>
      </c>
      <c r="EK315" s="10" cm="1">
        <f t="array" aca="1" ref="EK315" ca="1">(1-$B$18)*SUMPRODUCT(OFFSET($BO$15,0,0,$B$14,1), 1*(_xlfn._xlws.FILTER(OFFSET($O$15,0,$DN315,$B$8,1),OFFSET($M$15,0,0,$B$8,1))=EK$13), 1*(_xlfn._xlws.FILTER(OFFSET($O$15,0,$DO315,$B$8,1),OFFSET($M$15,0,0,$B$8,1))=EK$14))   /   SUM(OFFSET($BO$15,0,0,$B$14,1)) + $B$18/($B$19*$B$19*($DN315&lt;&gt;$DO315) + $B$19*($DN315=$DO315))</f>
        <v>3.3333333333333331E-3</v>
      </c>
      <c r="EL315" s="10" cm="1">
        <f t="array" aca="1" ref="EL315" ca="1">(1-$B$18)*SUMPRODUCT(OFFSET($BO$15,0,0,$B$14,1), 1*(_xlfn._xlws.FILTER(OFFSET($O$15,0,$DN315,$B$8,1),OFFSET($M$15,0,0,$B$8,1))=EL$13), 1*(_xlfn._xlws.FILTER(OFFSET($O$15,0,$DO315,$B$8,1),OFFSET($M$15,0,0,$B$8,1))=EL$14))   /   SUM(OFFSET($BO$15,0,0,$B$14,1)) + $B$18/($B$19*$B$19*($DN315&lt;&gt;$DO315) + $B$19*($DN315=$DO315))</f>
        <v>3.3333333333333331E-3</v>
      </c>
      <c r="EM315" s="10" cm="1">
        <f t="array" aca="1" ref="EM315" ca="1">(1-$B$18)*SUMPRODUCT(OFFSET($BO$15,0,0,$B$14,1), 1*(_xlfn._xlws.FILTER(OFFSET($O$15,0,$DN315,$B$8,1),OFFSET($M$15,0,0,$B$8,1))=EM$13), 1*(_xlfn._xlws.FILTER(OFFSET($O$15,0,$DO315,$B$8,1),OFFSET($M$15,0,0,$B$8,1))=EM$14))   /   SUM(OFFSET($BO$15,0,0,$B$14,1)) + $B$18/($B$19*$B$19*($DN315&lt;&gt;$DO315) + $B$19*($DN315=$DO315))</f>
        <v>3.3333333333333331E-3</v>
      </c>
      <c r="EN315" s="10" cm="1">
        <f t="array" aca="1" ref="EN315" ca="1">(1-$B$18)*SUMPRODUCT(OFFSET($BO$15,0,0,$B$14,1), 1*(_xlfn._xlws.FILTER(OFFSET($O$15,0,$DN315,$B$8,1),OFFSET($M$15,0,0,$B$8,1))=EN$13), 1*(_xlfn._xlws.FILTER(OFFSET($O$15,0,$DO315,$B$8,1),OFFSET($M$15,0,0,$B$8,1))=EN$14))   /   SUM(OFFSET($BO$15,0,0,$B$14,1)) + $B$18/($B$19*$B$19*($DN315&lt;&gt;$DO315) + $B$19*($DN315=$DO315))</f>
        <v>3.3333333333333331E-3</v>
      </c>
      <c r="EO315" s="10" cm="1">
        <f t="array" aca="1" ref="EO315" ca="1">(1-$B$18)*SUMPRODUCT(OFFSET($BO$15,0,0,$B$14,1), 1*(_xlfn._xlws.FILTER(OFFSET($O$15,0,$DN315,$B$8,1),OFFSET($M$15,0,0,$B$8,1))=EO$13), 1*(_xlfn._xlws.FILTER(OFFSET($O$15,0,$DO315,$B$8,1),OFFSET($M$15,0,0,$B$8,1))=EO$14))   /   SUM(OFFSET($BO$15,0,0,$B$14,1)) + $B$18/($B$19*$B$19*($DN315&lt;&gt;$DO315) + $B$19*($DN315=$DO315))</f>
        <v>3.3333333333333331E-3</v>
      </c>
      <c r="EP315" s="10" cm="1">
        <f t="array" aca="1" ref="EP315" ca="1">(1-$B$18)*SUMPRODUCT(OFFSET($BO$15,0,0,$B$14,1), 1*(_xlfn._xlws.FILTER(OFFSET($O$15,0,$DN315,$B$8,1),OFFSET($M$15,0,0,$B$8,1))=EP$13), 1*(_xlfn._xlws.FILTER(OFFSET($O$15,0,$DO315,$B$8,1),OFFSET($M$15,0,0,$B$8,1))=EP$14))   /   SUM(OFFSET($BO$15,0,0,$B$14,1)) + $B$18/($B$19*$B$19*($DN315&lt;&gt;$DO315) + $B$19*($DN315=$DO315))</f>
        <v>3.3333333333333331E-3</v>
      </c>
      <c r="EQ315" s="10" cm="1">
        <f t="array" aca="1" ref="EQ315" ca="1">(1-$B$18)*SUMPRODUCT(OFFSET($BO$15,0,0,$B$14,1), 1*(_xlfn._xlws.FILTER(OFFSET($O$15,0,$DN315,$B$8,1),OFFSET($M$15,0,0,$B$8,1))=EQ$13), 1*(_xlfn._xlws.FILTER(OFFSET($O$15,0,$DO315,$B$8,1),OFFSET($M$15,0,0,$B$8,1))=EQ$14))   /   SUM(OFFSET($BO$15,0,0,$B$14,1)) + $B$18/($B$19*$B$19*($DN315&lt;&gt;$DO315) + $B$19*($DN315=$DO315))</f>
        <v>0.97333333333333327</v>
      </c>
      <c r="ER315" s="10" cm="1">
        <f t="array" aca="1" ref="ER315" ca="1">(1-$B$18)*SUMPRODUCT(OFFSET($BO$15,0,0,$B$14,1), 1*(_xlfn._xlws.FILTER(OFFSET($O$15,0,$DN315,$B$8,1),OFFSET($M$15,0,0,$B$8,1))=ER$13), 1*(_xlfn._xlws.FILTER(OFFSET($O$15,0,$DO315,$B$8,1),OFFSET($M$15,0,0,$B$8,1))=ER$14))   /   SUM(OFFSET($BO$15,0,0,$B$14,1)) + $B$18/($B$19*$B$19*($DN315&lt;&gt;$DO315) + $B$19*($DN315=$DO315))</f>
        <v>3.3333333333333331E-3</v>
      </c>
      <c r="ES315" s="10" cm="1">
        <f t="array" aca="1" ref="ES315" ca="1">(1-$B$18)*SUMPRODUCT(OFFSET($BO$15,0,0,$B$14,1), 1*(_xlfn._xlws.FILTER(OFFSET($O$15,0,$DN315,$B$8,1),OFFSET($M$15,0,0,$B$8,1))=ES$13), 1*(_xlfn._xlws.FILTER(OFFSET($O$15,0,$DO315,$B$8,1),OFFSET($M$15,0,0,$B$8,1))=ES$14))   /   SUM(OFFSET($BO$15,0,0,$B$14,1)) + $B$18/($B$19*$B$19*($DN315&lt;&gt;$DO315) + $B$19*($DN315=$DO315))</f>
        <v>3.3333333333333331E-3</v>
      </c>
      <c r="ET315" s="10" cm="1">
        <f t="array" aca="1" ref="ET315" ca="1">(1-$B$18)*SUMPRODUCT(OFFSET($BO$15,0,0,$B$14,1), 1*(_xlfn._xlws.FILTER(OFFSET($O$15,0,$DN315,$B$8,1),OFFSET($M$15,0,0,$B$8,1))=ET$13), 1*(_xlfn._xlws.FILTER(OFFSET($O$15,0,$DO315,$B$8,1),OFFSET($M$15,0,0,$B$8,1))=ET$14))   /   SUM(OFFSET($BO$15,0,0,$B$14,1)) + $B$18/($B$19*$B$19*($DN315&lt;&gt;$DO315) + $B$19*($DN315=$DO315))</f>
        <v>3.3333333333333331E-3</v>
      </c>
      <c r="EU315" s="10" cm="1">
        <f t="array" aca="1" ref="EU315" ca="1">(1-$B$18)*SUMPRODUCT(OFFSET($BO$15,0,0,$B$14,1), 1*(_xlfn._xlws.FILTER(OFFSET($O$15,0,$DN315,$B$8,1),OFFSET($M$15,0,0,$B$8,1))=EU$13), 1*(_xlfn._xlws.FILTER(OFFSET($O$15,0,$DO315,$B$8,1),OFFSET($M$15,0,0,$B$8,1))=EU$14))   /   SUM(OFFSET($BO$15,0,0,$B$14,1)) + $B$18/($B$19*$B$19*($DN315&lt;&gt;$DO315) + $B$19*($DN315=$DO315))</f>
        <v>3.3333333333333331E-3</v>
      </c>
      <c r="EV315" s="10" cm="1">
        <f t="array" aca="1" ref="EV315" ca="1">(1-$B$18)*SUMPRODUCT(OFFSET($BO$15,0,0,$B$14,1), 1*(_xlfn._xlws.FILTER(OFFSET($O$15,0,$DN315,$B$8,1),OFFSET($M$15,0,0,$B$8,1))=EV$13), 1*(_xlfn._xlws.FILTER(OFFSET($O$15,0,$DO315,$B$8,1),OFFSET($M$15,0,0,$B$8,1))=EV$14))   /   SUM(OFFSET($BO$15,0,0,$B$14,1)) + $B$18/($B$19*$B$19*($DN315&lt;&gt;$DO315) + $B$19*($DN315=$DO315))</f>
        <v>3.3333333333333331E-3</v>
      </c>
      <c r="EW315" s="10" cm="1">
        <f t="array" aca="1" ref="EW315" ca="1">(1-$B$18)*SUMPRODUCT(OFFSET($BO$15,0,0,$B$14,1), 1*(_xlfn._xlws.FILTER(OFFSET($O$15,0,$DN315,$B$8,1),OFFSET($M$15,0,0,$B$8,1))=EW$13), 1*(_xlfn._xlws.FILTER(OFFSET($O$15,0,$DO315,$B$8,1),OFFSET($M$15,0,0,$B$8,1))=EW$14))   /   SUM(OFFSET($BO$15,0,0,$B$14,1)) + $B$18/($B$19*$B$19*($DN315&lt;&gt;$DO315) + $B$19*($DN315=$DO315))</f>
        <v>3.3333333333333331E-3</v>
      </c>
      <c r="EX315" s="10" cm="1">
        <f t="array" aca="1" ref="EX315" ca="1">(1-$B$18)*SUMPRODUCT(OFFSET($BO$15,0,0,$B$14,1), 1*(_xlfn._xlws.FILTER(OFFSET($O$15,0,$DN315,$B$8,1),OFFSET($M$15,0,0,$B$8,1))=EX$13), 1*(_xlfn._xlws.FILTER(OFFSET($O$15,0,$DO315,$B$8,1),OFFSET($M$15,0,0,$B$8,1))=EX$14))   /   SUM(OFFSET($BO$15,0,0,$B$14,1)) + $B$18/($B$19*$B$19*($DN315&lt;&gt;$DO315) + $B$19*($DN315=$DO315))</f>
        <v>3.3333333333333331E-3</v>
      </c>
      <c r="EY315" s="10" cm="1">
        <f t="array" aca="1" ref="EY315" ca="1">(1-$B$18)*SUMPRODUCT(OFFSET($BO$15,0,0,$B$14,1), 1*(_xlfn._xlws.FILTER(OFFSET($O$15,0,$DN315,$B$8,1),OFFSET($M$15,0,0,$B$8,1))=EY$13), 1*(_xlfn._xlws.FILTER(OFFSET($O$15,0,$DO315,$B$8,1),OFFSET($M$15,0,0,$B$8,1))=EY$14))   /   SUM(OFFSET($BO$15,0,0,$B$14,1)) + $B$18/($B$19*$B$19*($DN315&lt;&gt;$DO315) + $B$19*($DN315=$DO315))</f>
        <v>3.3333333333333331E-3</v>
      </c>
      <c r="EZ315" s="10" cm="1">
        <f t="array" aca="1" ref="EZ315" ca="1">(1-$B$18)*SUMPRODUCT(OFFSET($BO$15,0,0,$B$14,1), 1*(_xlfn._xlws.FILTER(OFFSET($O$15,0,$DN315,$B$8,1),OFFSET($M$15,0,0,$B$8,1))=EZ$13), 1*(_xlfn._xlws.FILTER(OFFSET($O$15,0,$DO315,$B$8,1),OFFSET($M$15,0,0,$B$8,1))=EZ$14))   /   SUM(OFFSET($BO$15,0,0,$B$14,1)) + $B$18/($B$19*$B$19*($DN315&lt;&gt;$DO315) + $B$19*($DN315=$DO315))</f>
        <v>3.3333333333333331E-3</v>
      </c>
      <c r="FA315" s="10" cm="1">
        <f t="array" aca="1" ref="FA315" ca="1">(1-$B$18)*SUMPRODUCT(OFFSET($BO$15,0,0,$B$14,1), 1*(_xlfn._xlws.FILTER(OFFSET($O$15,0,$DN315,$B$8,1),OFFSET($M$15,0,0,$B$8,1))=FA$13), 1*(_xlfn._xlws.FILTER(OFFSET($O$15,0,$DO315,$B$8,1),OFFSET($M$15,0,0,$B$8,1))=FA$14))   /   SUM(OFFSET($BO$15,0,0,$B$14,1)) + $B$18/($B$19*$B$19*($DN315&lt;&gt;$DO315) + $B$19*($DN315=$DO315))</f>
        <v>3.3333333333333331E-3</v>
      </c>
      <c r="FB315" s="10" cm="1">
        <f t="array" aca="1" ref="FB315" ca="1">(1-$B$18)*SUMPRODUCT(OFFSET($BO$15,0,0,$B$14,1), 1*(_xlfn._xlws.FILTER(OFFSET($O$15,0,$DN315,$B$8,1),OFFSET($M$15,0,0,$B$8,1))=FB$13), 1*(_xlfn._xlws.FILTER(OFFSET($O$15,0,$DO315,$B$8,1),OFFSET($M$15,0,0,$B$8,1))=FB$14))   /   SUM(OFFSET($BO$15,0,0,$B$14,1)) + $B$18/($B$19*$B$19*($DN315&lt;&gt;$DO315) + $B$19*($DN315=$DO315))</f>
        <v>3.3333333333333331E-3</v>
      </c>
      <c r="FC315" s="10" cm="1">
        <f t="array" aca="1" ref="FC315" ca="1">(1-$B$18)*SUMPRODUCT(OFFSET($BO$15,0,0,$B$14,1), 1*(_xlfn._xlws.FILTER(OFFSET($O$15,0,$DN315,$B$8,1),OFFSET($M$15,0,0,$B$8,1))=FC$13), 1*(_xlfn._xlws.FILTER(OFFSET($O$15,0,$DO315,$B$8,1),OFFSET($M$15,0,0,$B$8,1))=FC$14))   /   SUM(OFFSET($BO$15,0,0,$B$14,1)) + $B$18/($B$19*$B$19*($DN315&lt;&gt;$DO315) + $B$19*($DN315=$DO315))</f>
        <v>3.3333333333333331E-3</v>
      </c>
      <c r="FD315" s="10" cm="1">
        <f t="array" aca="1" ref="FD315" ca="1">(1-$B$18)*SUMPRODUCT(OFFSET($BO$15,0,0,$B$14,1), 1*(_xlfn._xlws.FILTER(OFFSET($O$15,0,$DN315,$B$8,1),OFFSET($M$15,0,0,$B$8,1))=FD$13), 1*(_xlfn._xlws.FILTER(OFFSET($O$15,0,$DO315,$B$8,1),OFFSET($M$15,0,0,$B$8,1))=FD$14))   /   SUM(OFFSET($BO$15,0,0,$B$14,1)) + $B$18/($B$19*$B$19*($DN315&lt;&gt;$DO315) + $B$19*($DN315=$DO315))</f>
        <v>3.3333333333333331E-3</v>
      </c>
      <c r="FE315" s="10" cm="1">
        <f t="array" aca="1" ref="FE315" ca="1">(1-$B$18)*SUMPRODUCT(OFFSET($BO$15,0,0,$B$14,1), 1*(_xlfn._xlws.FILTER(OFFSET($O$15,0,$DN315,$B$8,1),OFFSET($M$15,0,0,$B$8,1))=FE$13), 1*(_xlfn._xlws.FILTER(OFFSET($O$15,0,$DO315,$B$8,1),OFFSET($M$15,0,0,$B$8,1))=FE$14))   /   SUM(OFFSET($BO$15,0,0,$B$14,1)) + $B$18/($B$19*$B$19*($DN315&lt;&gt;$DO315) + $B$19*($DN315=$DO315))</f>
        <v>3.3333333333333331E-3</v>
      </c>
      <c r="FF315" s="10" cm="1">
        <f t="array" aca="1" ref="FF315" ca="1">(1-$B$18)*SUMPRODUCT(OFFSET($BO$15,0,0,$B$14,1), 1*(_xlfn._xlws.FILTER(OFFSET($O$15,0,$DN315,$B$8,1),OFFSET($M$15,0,0,$B$8,1))=FF$13), 1*(_xlfn._xlws.FILTER(OFFSET($O$15,0,$DO315,$B$8,1),OFFSET($M$15,0,0,$B$8,1))=FF$14))   /   SUM(OFFSET($BO$15,0,0,$B$14,1)) + $B$18/($B$19*$B$19*($DN315&lt;&gt;$DO315) + $B$19*($DN315=$DO315))</f>
        <v>3.3333333333333331E-3</v>
      </c>
      <c r="FG315" s="10" cm="1">
        <f t="array" aca="1" ref="FG315" ca="1">(1-$B$18)*SUMPRODUCT(OFFSET($BO$15,0,0,$B$14,1), 1*(_xlfn._xlws.FILTER(OFFSET($O$15,0,$DN315,$B$8,1),OFFSET($M$15,0,0,$B$8,1))=FG$13), 1*(_xlfn._xlws.FILTER(OFFSET($O$15,0,$DO315,$B$8,1),OFFSET($M$15,0,0,$B$8,1))=FG$14))   /   SUM(OFFSET($BO$15,0,0,$B$14,1)) + $B$18/($B$19*$B$19*($DN315&lt;&gt;$DO315) + $B$19*($DN315=$DO315))</f>
        <v>3.3333333333333331E-3</v>
      </c>
      <c r="FH315" s="10" cm="1">
        <f t="array" aca="1" ref="FH315" ca="1">(1-$B$18)*SUMPRODUCT(OFFSET($BO$15,0,0,$B$14,1), 1*(_xlfn._xlws.FILTER(OFFSET($O$15,0,$DN315,$B$8,1),OFFSET($M$15,0,0,$B$8,1))=FH$13), 1*(_xlfn._xlws.FILTER(OFFSET($O$15,0,$DO315,$B$8,1),OFFSET($M$15,0,0,$B$8,1))=FH$14))   /   SUM(OFFSET($BO$15,0,0,$B$14,1)) + $B$18/($B$19*$B$19*($DN315&lt;&gt;$DO315) + $B$19*($DN315=$DO315))</f>
        <v>3.3333333333333331E-3</v>
      </c>
      <c r="FI315" s="10" cm="1">
        <f t="array" aca="1" ref="FI315" ca="1">(1-$B$18)*SUMPRODUCT(OFFSET($BO$15,0,0,$B$14,1), 1*(_xlfn._xlws.FILTER(OFFSET($O$15,0,$DN315,$B$8,1),OFFSET($M$15,0,0,$B$8,1))=FI$13), 1*(_xlfn._xlws.FILTER(OFFSET($O$15,0,$DO315,$B$8,1),OFFSET($M$15,0,0,$B$8,1))=FI$14))   /   SUM(OFFSET($BO$15,0,0,$B$14,1)) + $B$18/($B$19*$B$19*($DN315&lt;&gt;$DO315) + $B$19*($DN315=$DO315))</f>
        <v>3.3333333333333331E-3</v>
      </c>
      <c r="FJ315" s="10" cm="1">
        <f t="array" aca="1" ref="FJ315" ca="1">(1-$B$18)*SUMPRODUCT(OFFSET($BO$15,0,0,$B$14,1), 1*(_xlfn._xlws.FILTER(OFFSET($O$15,0,$DN315,$B$8,1),OFFSET($M$15,0,0,$B$8,1))=FJ$13), 1*(_xlfn._xlws.FILTER(OFFSET($O$15,0,$DO315,$B$8,1),OFFSET($M$15,0,0,$B$8,1))=FJ$14))   /   SUM(OFFSET($BO$15,0,0,$B$14,1)) + $B$18/($B$19*$B$19*($DN315&lt;&gt;$DO315) + $B$19*($DN315=$DO315))</f>
        <v>3.3333333333333331E-3</v>
      </c>
      <c r="FK315" s="10" cm="1">
        <f t="array" aca="1" ref="FK315" ca="1">(1-$B$18)*SUMPRODUCT(OFFSET($BO$15,0,0,$B$14,1), 1*(_xlfn._xlws.FILTER(OFFSET($O$15,0,$DN315,$B$8,1),OFFSET($M$15,0,0,$B$8,1))=FK$13), 1*(_xlfn._xlws.FILTER(OFFSET($O$15,0,$DO315,$B$8,1),OFFSET($M$15,0,0,$B$8,1))=FK$14))   /   SUM(OFFSET($BO$15,0,0,$B$14,1)) + $B$18/($B$19*$B$19*($DN315&lt;&gt;$DO315) + $B$19*($DN315=$DO315))</f>
        <v>3.3333333333333331E-3</v>
      </c>
      <c r="FL315" s="10" cm="1">
        <f t="array" aca="1" ref="FL315" ca="1">(1-$B$18)*SUMPRODUCT(OFFSET($BO$15,0,0,$B$14,1), 1*(_xlfn._xlws.FILTER(OFFSET($O$15,0,$DN315,$B$8,1),OFFSET($M$15,0,0,$B$8,1))=FL$13), 1*(_xlfn._xlws.FILTER(OFFSET($O$15,0,$DO315,$B$8,1),OFFSET($M$15,0,0,$B$8,1))=FL$14))   /   SUM(OFFSET($BO$15,0,0,$B$14,1)) + $B$18/($B$19*$B$19*($DN315&lt;&gt;$DO315) + $B$19*($DN315=$DO315))</f>
        <v>3.3333333333333331E-3</v>
      </c>
      <c r="FM315" s="10" cm="1">
        <f t="array" aca="1" ref="FM315" ca="1">(1-$B$18)*SUMPRODUCT(OFFSET($BO$15,0,0,$B$14,1), 1*(_xlfn._xlws.FILTER(OFFSET($O$15,0,$DN315,$B$8,1),OFFSET($M$15,0,0,$B$8,1))=FM$13), 1*(_xlfn._xlws.FILTER(OFFSET($O$15,0,$DO315,$B$8,1),OFFSET($M$15,0,0,$B$8,1))=FM$14))   /   SUM(OFFSET($BO$15,0,0,$B$14,1)) + $B$18/($B$19*$B$19*($DN315&lt;&gt;$DO315) + $B$19*($DN315=$DO315))</f>
        <v>3.3333333333333331E-3</v>
      </c>
      <c r="FN315" s="10" cm="1">
        <f t="array" aca="1" ref="FN315" ca="1">(1-$B$18)*SUMPRODUCT(OFFSET($BO$15,0,0,$B$14,1), 1*(_xlfn._xlws.FILTER(OFFSET($O$15,0,$DN315,$B$8,1),OFFSET($M$15,0,0,$B$8,1))=FN$13), 1*(_xlfn._xlws.FILTER(OFFSET($O$15,0,$DO315,$B$8,1),OFFSET($M$15,0,0,$B$8,1))=FN$14))   /   SUM(OFFSET($BO$15,0,0,$B$14,1)) + $B$18/($B$19*$B$19*($DN315&lt;&gt;$DO315) + $B$19*($DN315=$DO315))</f>
        <v>3.3333333333333331E-3</v>
      </c>
      <c r="FO315" s="10" cm="1">
        <f t="array" aca="1" ref="FO315" ca="1">(1-$B$18)*SUMPRODUCT(OFFSET($BO$15,0,0,$B$14,1), 1*(_xlfn._xlws.FILTER(OFFSET($O$15,0,$DN315,$B$8,1),OFFSET($M$15,0,0,$B$8,1))=FO$13), 1*(_xlfn._xlws.FILTER(OFFSET($O$15,0,$DO315,$B$8,1),OFFSET($M$15,0,0,$B$8,1))=FO$14))   /   SUM(OFFSET($BO$15,0,0,$B$14,1)) + $B$18/($B$19*$B$19*($DN315&lt;&gt;$DO315) + $B$19*($DN315=$DO315))</f>
        <v>3.3333333333333331E-3</v>
      </c>
      <c r="FP315" s="10" cm="1">
        <f t="array" aca="1" ref="FP315" ca="1">(1-$B$18)*SUMPRODUCT(OFFSET($BO$15,0,0,$B$14,1), 1*(_xlfn._xlws.FILTER(OFFSET($O$15,0,$DN315,$B$8,1),OFFSET($M$15,0,0,$B$8,1))=FP$13), 1*(_xlfn._xlws.FILTER(OFFSET($O$15,0,$DO315,$B$8,1),OFFSET($M$15,0,0,$B$8,1))=FP$14))   /   SUM(OFFSET($BO$15,0,0,$B$14,1)) + $B$18/($B$19*$B$19*($DN315&lt;&gt;$DO315) + $B$19*($DN315=$DO315))</f>
        <v>3.3333333333333331E-3</v>
      </c>
      <c r="FQ315" s="10" cm="1">
        <f t="array" aca="1" ref="FQ315" ca="1">(1-$B$18)*SUMPRODUCT(OFFSET($BO$15,0,0,$B$14,1), 1*(_xlfn._xlws.FILTER(OFFSET($O$15,0,$DN315,$B$8,1),OFFSET($M$15,0,0,$B$8,1))=FQ$13), 1*(_xlfn._xlws.FILTER(OFFSET($O$15,0,$DO315,$B$8,1),OFFSET($M$15,0,0,$B$8,1))=FQ$14))   /   SUM(OFFSET($BO$15,0,0,$B$14,1)) + $B$18/($B$19*$B$19*($DN315&lt;&gt;$DO315) + $B$19*($DN315=$DO315))</f>
        <v>3.3333333333333331E-3</v>
      </c>
      <c r="FR315" s="10" cm="1">
        <f t="array" aca="1" ref="FR315" ca="1">(1-$B$18)*SUMPRODUCT(OFFSET($BO$15,0,0,$B$14,1), 1*(_xlfn._xlws.FILTER(OFFSET($O$15,0,$DN315,$B$8,1),OFFSET($M$15,0,0,$B$8,1))=FR$13), 1*(_xlfn._xlws.FILTER(OFFSET($O$15,0,$DO315,$B$8,1),OFFSET($M$15,0,0,$B$8,1))=FR$14))   /   SUM(OFFSET($BO$15,0,0,$B$14,1)) + $B$18/($B$19*$B$19*($DN315&lt;&gt;$DO315) + $B$19*($DN315=$DO315))</f>
        <v>3.3333333333333331E-3</v>
      </c>
      <c r="FS315" s="10" cm="1">
        <f t="array" aca="1" ref="FS315" ca="1">(1-$B$18)*SUMPRODUCT(OFFSET($BO$15,0,0,$B$14,1), 1*(_xlfn._xlws.FILTER(OFFSET($O$15,0,$DN315,$B$8,1),OFFSET($M$15,0,0,$B$8,1))=FS$13), 1*(_xlfn._xlws.FILTER(OFFSET($O$15,0,$DO315,$B$8,1),OFFSET($M$15,0,0,$B$8,1))=FS$14))   /   SUM(OFFSET($BO$15,0,0,$B$14,1)) + $B$18/($B$19*$B$19*($DN315&lt;&gt;$DO315) + $B$19*($DN315=$DO315))</f>
        <v>3.3333333333333331E-3</v>
      </c>
      <c r="FT315" s="10" cm="1">
        <f t="array" aca="1" ref="FT315" ca="1">(1-$B$18)*SUMPRODUCT(OFFSET($BO$15,0,0,$B$14,1), 1*(_xlfn._xlws.FILTER(OFFSET($O$15,0,$DN315,$B$8,1),OFFSET($M$15,0,0,$B$8,1))=FT$13), 1*(_xlfn._xlws.FILTER(OFFSET($O$15,0,$DO315,$B$8,1),OFFSET($M$15,0,0,$B$8,1))=FT$14))   /   SUM(OFFSET($BO$15,0,0,$B$14,1)) + $B$18/($B$19*$B$19*($DN315&lt;&gt;$DO315) + $B$19*($DN315=$DO315))</f>
        <v>3.3333333333333331E-3</v>
      </c>
      <c r="FU315" s="10" cm="1">
        <f t="array" aca="1" ref="FU315" ca="1">(1-$B$18)*SUMPRODUCT(OFFSET($BO$15,0,0,$B$14,1), 1*(_xlfn._xlws.FILTER(OFFSET($O$15,0,$DN315,$B$8,1),OFFSET($M$15,0,0,$B$8,1))=FU$13), 1*(_xlfn._xlws.FILTER(OFFSET($O$15,0,$DO315,$B$8,1),OFFSET($M$15,0,0,$B$8,1))=FU$14))   /   SUM(OFFSET($BO$15,0,0,$B$14,1)) + $B$18/($B$19*$B$19*($DN315&lt;&gt;$DO315) + $B$19*($DN315=$DO315))</f>
        <v>3.3333333333333331E-3</v>
      </c>
      <c r="FV315" s="10" cm="1">
        <f t="array" aca="1" ref="FV315" ca="1">(1-$B$18)*SUMPRODUCT(OFFSET($BO$15,0,0,$B$14,1), 1*(_xlfn._xlws.FILTER(OFFSET($O$15,0,$DN315,$B$8,1),OFFSET($M$15,0,0,$B$8,1))=FV$13), 1*(_xlfn._xlws.FILTER(OFFSET($O$15,0,$DO315,$B$8,1),OFFSET($M$15,0,0,$B$8,1))=FV$14))   /   SUM(OFFSET($BO$15,0,0,$B$14,1)) + $B$18/($B$19*$B$19*($DN315&lt;&gt;$DO315) + $B$19*($DN315=$DO315))</f>
        <v>3.3333333333333331E-3</v>
      </c>
      <c r="FW315" s="10" cm="1">
        <f t="array" aca="1" ref="FW315" ca="1">(1-$B$18)*SUMPRODUCT(OFFSET($BO$15,0,0,$B$14,1), 1*(_xlfn._xlws.FILTER(OFFSET($O$15,0,$DN315,$B$8,1),OFFSET($M$15,0,0,$B$8,1))=FW$13), 1*(_xlfn._xlws.FILTER(OFFSET($O$15,0,$DO315,$B$8,1),OFFSET($M$15,0,0,$B$8,1))=FW$14))   /   SUM(OFFSET($BO$15,0,0,$B$14,1)) + $B$18/($B$19*$B$19*($DN315&lt;&gt;$DO315) + $B$19*($DN315=$DO315))</f>
        <v>3.3333333333333331E-3</v>
      </c>
      <c r="FX315" s="10" cm="1">
        <f t="array" aca="1" ref="FX315" ca="1">(1-$B$18)*SUMPRODUCT(OFFSET($BO$15,0,0,$B$14,1), 1*(_xlfn._xlws.FILTER(OFFSET($O$15,0,$DN315,$B$8,1),OFFSET($M$15,0,0,$B$8,1))=FX$13), 1*(_xlfn._xlws.FILTER(OFFSET($O$15,0,$DO315,$B$8,1),OFFSET($M$15,0,0,$B$8,1))=FX$14))   /   SUM(OFFSET($BO$15,0,0,$B$14,1)) + $B$18/($B$19*$B$19*($DN315&lt;&gt;$DO315) + $B$19*($DN315=$DO315))</f>
        <v>3.3333333333333331E-3</v>
      </c>
      <c r="FY315" s="10" cm="1">
        <f t="array" aca="1" ref="FY315" ca="1">(1-$B$18)*SUMPRODUCT(OFFSET($BO$15,0,0,$B$14,1), 1*(_xlfn._xlws.FILTER(OFFSET($O$15,0,$DN315,$B$8,1),OFFSET($M$15,0,0,$B$8,1))=FY$13), 1*(_xlfn._xlws.FILTER(OFFSET($O$15,0,$DO315,$B$8,1),OFFSET($M$15,0,0,$B$8,1))=FY$14))   /   SUM(OFFSET($BO$15,0,0,$B$14,1)) + $B$18/($B$19*$B$19*($DN315&lt;&gt;$DO315) + $B$19*($DN315=$DO315))</f>
        <v>3.3333333333333331E-3</v>
      </c>
      <c r="FZ315" s="10" cm="1">
        <f t="array" aca="1" ref="FZ315" ca="1">(1-$B$18)*SUMPRODUCT(OFFSET($BO$15,0,0,$B$14,1), 1*(_xlfn._xlws.FILTER(OFFSET($O$15,0,$DN315,$B$8,1),OFFSET($M$15,0,0,$B$8,1))=FZ$13), 1*(_xlfn._xlws.FILTER(OFFSET($O$15,0,$DO315,$B$8,1),OFFSET($M$15,0,0,$B$8,1))=FZ$14))   /   SUM(OFFSET($BO$15,0,0,$B$14,1)) + $B$18/($B$19*$B$19*($DN315&lt;&gt;$DO315) + $B$19*($DN315=$DO315))</f>
        <v>3.3333333333333331E-3</v>
      </c>
      <c r="GA315" s="10" cm="1">
        <f t="array" aca="1" ref="GA315" ca="1">(1-$B$18)*SUMPRODUCT(OFFSET($BO$15,0,0,$B$14,1), 1*(_xlfn._xlws.FILTER(OFFSET($O$15,0,$DN315,$B$8,1),OFFSET($M$15,0,0,$B$8,1))=GA$13), 1*(_xlfn._xlws.FILTER(OFFSET($O$15,0,$DO315,$B$8,1),OFFSET($M$15,0,0,$B$8,1))=GA$14))   /   SUM(OFFSET($BO$15,0,0,$B$14,1)) + $B$18/($B$19*$B$19*($DN315&lt;&gt;$DO315) + $B$19*($DN315=$DO315))</f>
        <v>3.3333333333333331E-3</v>
      </c>
    </row>
    <row r="316" spans="118:183" x14ac:dyDescent="0.2">
      <c r="DN316" cm="1">
        <f t="array" aca="1" ref="DN316" ca="1">INDEX(_xlfn.ANCHORARRAY($CP$15), 1 + INT((ROWS($DO$15:$DO316) - 1) / ROWS(_xlfn.ANCHORARRAY($CP$15))))</f>
        <v>18</v>
      </c>
      <c r="DO316" cm="1">
        <f t="array" aca="1" ref="DO316" ca="1">INDEX(_xlfn.ANCHORARRAY($CP$15),1+MOD(ROWS($DO$15:$DO316)-1,ROWS(_xlfn.ANCHORARRAY($CP$15))))</f>
        <v>19</v>
      </c>
      <c r="DP316" s="10" cm="1">
        <f t="array" aca="1" ref="DP316" ca="1">(1-$B$18)*SUMPRODUCT(OFFSET($BO$15,0,0,$B$14,1), 1*(_xlfn._xlws.FILTER(OFFSET($O$15,0,$DN316,$B$8,1),OFFSET($M$15,0,0,$B$8,1))=DP$13), 1*(_xlfn._xlws.FILTER(OFFSET($O$15,0,$DO316,$B$8,1),OFFSET($M$15,0,0,$B$8,1))=DP$14))   /   SUM(OFFSET($BO$15,0,0,$B$14,1)) + $B$18/($B$19*$B$19*($DN316&lt;&gt;$DO316) + $B$19*($DN316=$DO316))</f>
        <v>3.7037037037037035E-4</v>
      </c>
      <c r="DQ316" s="10" cm="1">
        <f t="array" aca="1" ref="DQ316" ca="1">(1-$B$18)*SUMPRODUCT(OFFSET($BO$15,0,0,$B$14,1), 1*(_xlfn._xlws.FILTER(OFFSET($O$15,0,$DN316,$B$8,1),OFFSET($M$15,0,0,$B$8,1))=DQ$13), 1*(_xlfn._xlws.FILTER(OFFSET($O$15,0,$DO316,$B$8,1),OFFSET($M$15,0,0,$B$8,1))=DQ$14))   /   SUM(OFFSET($BO$15,0,0,$B$14,1)) + $B$18/($B$19*$B$19*($DN316&lt;&gt;$DO316) + $B$19*($DN316=$DO316))</f>
        <v>3.7037037037037035E-4</v>
      </c>
      <c r="DR316" s="10" cm="1">
        <f t="array" aca="1" ref="DR316" ca="1">(1-$B$18)*SUMPRODUCT(OFFSET($BO$15,0,0,$B$14,1), 1*(_xlfn._xlws.FILTER(OFFSET($O$15,0,$DN316,$B$8,1),OFFSET($M$15,0,0,$B$8,1))=DR$13), 1*(_xlfn._xlws.FILTER(OFFSET($O$15,0,$DO316,$B$8,1),OFFSET($M$15,0,0,$B$8,1))=DR$14))   /   SUM(OFFSET($BO$15,0,0,$B$14,1)) + $B$18/($B$19*$B$19*($DN316&lt;&gt;$DO316) + $B$19*($DN316=$DO316))</f>
        <v>3.7037037037037035E-4</v>
      </c>
      <c r="DS316" s="10" cm="1">
        <f t="array" aca="1" ref="DS316" ca="1">(1-$B$18)*SUMPRODUCT(OFFSET($BO$15,0,0,$B$14,1), 1*(_xlfn._xlws.FILTER(OFFSET($O$15,0,$DN316,$B$8,1),OFFSET($M$15,0,0,$B$8,1))=DS$13), 1*(_xlfn._xlws.FILTER(OFFSET($O$15,0,$DO316,$B$8,1),OFFSET($M$15,0,0,$B$8,1))=DS$14))   /   SUM(OFFSET($BO$15,0,0,$B$14,1)) + $B$18/($B$19*$B$19*($DN316&lt;&gt;$DO316) + $B$19*($DN316=$DO316))</f>
        <v>3.7037037037037035E-4</v>
      </c>
      <c r="DT316" s="10" cm="1">
        <f t="array" aca="1" ref="DT316" ca="1">(1-$B$18)*SUMPRODUCT(OFFSET($BO$15,0,0,$B$14,1), 1*(_xlfn._xlws.FILTER(OFFSET($O$15,0,$DN316,$B$8,1),OFFSET($M$15,0,0,$B$8,1))=DT$13), 1*(_xlfn._xlws.FILTER(OFFSET($O$15,0,$DO316,$B$8,1),OFFSET($M$15,0,0,$B$8,1))=DT$14))   /   SUM(OFFSET($BO$15,0,0,$B$14,1)) + $B$18/($B$19*$B$19*($DN316&lt;&gt;$DO316) + $B$19*($DN316=$DO316))</f>
        <v>3.7037037037037035E-4</v>
      </c>
      <c r="DU316" s="10" cm="1">
        <f t="array" aca="1" ref="DU316" ca="1">(1-$B$18)*SUMPRODUCT(OFFSET($BO$15,0,0,$B$14,1), 1*(_xlfn._xlws.FILTER(OFFSET($O$15,0,$DN316,$B$8,1),OFFSET($M$15,0,0,$B$8,1))=DU$13), 1*(_xlfn._xlws.FILTER(OFFSET($O$15,0,$DO316,$B$8,1),OFFSET($M$15,0,0,$B$8,1))=DU$14))   /   SUM(OFFSET($BO$15,0,0,$B$14,1)) + $B$18/($B$19*$B$19*($DN316&lt;&gt;$DO316) + $B$19*($DN316=$DO316))</f>
        <v>3.7037037037037035E-4</v>
      </c>
      <c r="DV316" s="10" cm="1">
        <f t="array" aca="1" ref="DV316" ca="1">(1-$B$18)*SUMPRODUCT(OFFSET($BO$15,0,0,$B$14,1), 1*(_xlfn._xlws.FILTER(OFFSET($O$15,0,$DN316,$B$8,1),OFFSET($M$15,0,0,$B$8,1))=DV$13), 1*(_xlfn._xlws.FILTER(OFFSET($O$15,0,$DO316,$B$8,1),OFFSET($M$15,0,0,$B$8,1))=DV$14))   /   SUM(OFFSET($BO$15,0,0,$B$14,1)) + $B$18/($B$19*$B$19*($DN316&lt;&gt;$DO316) + $B$19*($DN316=$DO316))</f>
        <v>3.7037037037037035E-4</v>
      </c>
      <c r="DW316" s="10" cm="1">
        <f t="array" aca="1" ref="DW316" ca="1">(1-$B$18)*SUMPRODUCT(OFFSET($BO$15,0,0,$B$14,1), 1*(_xlfn._xlws.FILTER(OFFSET($O$15,0,$DN316,$B$8,1),OFFSET($M$15,0,0,$B$8,1))=DW$13), 1*(_xlfn._xlws.FILTER(OFFSET($O$15,0,$DO316,$B$8,1),OFFSET($M$15,0,0,$B$8,1))=DW$14))   /   SUM(OFFSET($BO$15,0,0,$B$14,1)) + $B$18/($B$19*$B$19*($DN316&lt;&gt;$DO316) + $B$19*($DN316=$DO316))</f>
        <v>3.7037037037037035E-4</v>
      </c>
      <c r="DX316" s="10" cm="1">
        <f t="array" aca="1" ref="DX316" ca="1">(1-$B$18)*SUMPRODUCT(OFFSET($BO$15,0,0,$B$14,1), 1*(_xlfn._xlws.FILTER(OFFSET($O$15,0,$DN316,$B$8,1),OFFSET($M$15,0,0,$B$8,1))=DX$13), 1*(_xlfn._xlws.FILTER(OFFSET($O$15,0,$DO316,$B$8,1),OFFSET($M$15,0,0,$B$8,1))=DX$14))   /   SUM(OFFSET($BO$15,0,0,$B$14,1)) + $B$18/($B$19*$B$19*($DN316&lt;&gt;$DO316) + $B$19*($DN316=$DO316))</f>
        <v>3.7037037037037035E-4</v>
      </c>
      <c r="DY316" s="10" cm="1">
        <f t="array" aca="1" ref="DY316" ca="1">(1-$B$18)*SUMPRODUCT(OFFSET($BO$15,0,0,$B$14,1), 1*(_xlfn._xlws.FILTER(OFFSET($O$15,0,$DN316,$B$8,1),OFFSET($M$15,0,0,$B$8,1))=DY$13), 1*(_xlfn._xlws.FILTER(OFFSET($O$15,0,$DO316,$B$8,1),OFFSET($M$15,0,0,$B$8,1))=DY$14))   /   SUM(OFFSET($BO$15,0,0,$B$14,1)) + $B$18/($B$19*$B$19*($DN316&lt;&gt;$DO316) + $B$19*($DN316=$DO316))</f>
        <v>3.7037037037037035E-4</v>
      </c>
      <c r="DZ316" s="10" cm="1">
        <f t="array" aca="1" ref="DZ316" ca="1">(1-$B$18)*SUMPRODUCT(OFFSET($BO$15,0,0,$B$14,1), 1*(_xlfn._xlws.FILTER(OFFSET($O$15,0,$DN316,$B$8,1),OFFSET($M$15,0,0,$B$8,1))=DZ$13), 1*(_xlfn._xlws.FILTER(OFFSET($O$15,0,$DO316,$B$8,1),OFFSET($M$15,0,0,$B$8,1))=DZ$14))   /   SUM(OFFSET($BO$15,0,0,$B$14,1)) + $B$18/($B$19*$B$19*($DN316&lt;&gt;$DO316) + $B$19*($DN316=$DO316))</f>
        <v>3.7037037037037035E-4</v>
      </c>
      <c r="EA316" s="10" cm="1">
        <f t="array" aca="1" ref="EA316" ca="1">(1-$B$18)*SUMPRODUCT(OFFSET($BO$15,0,0,$B$14,1), 1*(_xlfn._xlws.FILTER(OFFSET($O$15,0,$DN316,$B$8,1),OFFSET($M$15,0,0,$B$8,1))=EA$13), 1*(_xlfn._xlws.FILTER(OFFSET($O$15,0,$DO316,$B$8,1),OFFSET($M$15,0,0,$B$8,1))=EA$14))   /   SUM(OFFSET($BO$15,0,0,$B$14,1)) + $B$18/($B$19*$B$19*($DN316&lt;&gt;$DO316) + $B$19*($DN316=$DO316))</f>
        <v>3.7037037037037035E-4</v>
      </c>
      <c r="EB316" s="10" cm="1">
        <f t="array" aca="1" ref="EB316" ca="1">(1-$B$18)*SUMPRODUCT(OFFSET($BO$15,0,0,$B$14,1), 1*(_xlfn._xlws.FILTER(OFFSET($O$15,0,$DN316,$B$8,1),OFFSET($M$15,0,0,$B$8,1))=EB$13), 1*(_xlfn._xlws.FILTER(OFFSET($O$15,0,$DO316,$B$8,1),OFFSET($M$15,0,0,$B$8,1))=EB$14))   /   SUM(OFFSET($BO$15,0,0,$B$14,1)) + $B$18/($B$19*$B$19*($DN316&lt;&gt;$DO316) + $B$19*($DN316=$DO316))</f>
        <v>3.7037037037037035E-4</v>
      </c>
      <c r="EC316" s="10" cm="1">
        <f t="array" aca="1" ref="EC316" ca="1">(1-$B$18)*SUMPRODUCT(OFFSET($BO$15,0,0,$B$14,1), 1*(_xlfn._xlws.FILTER(OFFSET($O$15,0,$DN316,$B$8,1),OFFSET($M$15,0,0,$B$8,1))=EC$13), 1*(_xlfn._xlws.FILTER(OFFSET($O$15,0,$DO316,$B$8,1),OFFSET($M$15,0,0,$B$8,1))=EC$14))   /   SUM(OFFSET($BO$15,0,0,$B$14,1)) + $B$18/($B$19*$B$19*($DN316&lt;&gt;$DO316) + $B$19*($DN316=$DO316))</f>
        <v>3.7037037037037035E-4</v>
      </c>
      <c r="ED316" s="10" cm="1">
        <f t="array" aca="1" ref="ED316" ca="1">(1-$B$18)*SUMPRODUCT(OFFSET($BO$15,0,0,$B$14,1), 1*(_xlfn._xlws.FILTER(OFFSET($O$15,0,$DN316,$B$8,1),OFFSET($M$15,0,0,$B$8,1))=ED$13), 1*(_xlfn._xlws.FILTER(OFFSET($O$15,0,$DO316,$B$8,1),OFFSET($M$15,0,0,$B$8,1))=ED$14))   /   SUM(OFFSET($BO$15,0,0,$B$14,1)) + $B$18/($B$19*$B$19*($DN316&lt;&gt;$DO316) + $B$19*($DN316=$DO316))</f>
        <v>3.7037037037037035E-4</v>
      </c>
      <c r="EE316" s="10" cm="1">
        <f t="array" aca="1" ref="EE316" ca="1">(1-$B$18)*SUMPRODUCT(OFFSET($BO$15,0,0,$B$14,1), 1*(_xlfn._xlws.FILTER(OFFSET($O$15,0,$DN316,$B$8,1),OFFSET($M$15,0,0,$B$8,1))=EE$13), 1*(_xlfn._xlws.FILTER(OFFSET($O$15,0,$DO316,$B$8,1),OFFSET($M$15,0,0,$B$8,1))=EE$14))   /   SUM(OFFSET($BO$15,0,0,$B$14,1)) + $B$18/($B$19*$B$19*($DN316&lt;&gt;$DO316) + $B$19*($DN316=$DO316))</f>
        <v>3.7037037037037035E-4</v>
      </c>
      <c r="EF316" s="10" cm="1">
        <f t="array" aca="1" ref="EF316" ca="1">(1-$B$18)*SUMPRODUCT(OFFSET($BO$15,0,0,$B$14,1), 1*(_xlfn._xlws.FILTER(OFFSET($O$15,0,$DN316,$B$8,1),OFFSET($M$15,0,0,$B$8,1))=EF$13), 1*(_xlfn._xlws.FILTER(OFFSET($O$15,0,$DO316,$B$8,1),OFFSET($M$15,0,0,$B$8,1))=EF$14))   /   SUM(OFFSET($BO$15,0,0,$B$14,1)) + $B$18/($B$19*$B$19*($DN316&lt;&gt;$DO316) + $B$19*($DN316=$DO316))</f>
        <v>3.7037037037037035E-4</v>
      </c>
      <c r="EG316" s="10" cm="1">
        <f t="array" aca="1" ref="EG316" ca="1">(1-$B$18)*SUMPRODUCT(OFFSET($BO$15,0,0,$B$14,1), 1*(_xlfn._xlws.FILTER(OFFSET($O$15,0,$DN316,$B$8,1),OFFSET($M$15,0,0,$B$8,1))=EG$13), 1*(_xlfn._xlws.FILTER(OFFSET($O$15,0,$DO316,$B$8,1),OFFSET($M$15,0,0,$B$8,1))=EG$14))   /   SUM(OFFSET($BO$15,0,0,$B$14,1)) + $B$18/($B$19*$B$19*($DN316&lt;&gt;$DO316) + $B$19*($DN316=$DO316))</f>
        <v>3.7037037037037035E-4</v>
      </c>
      <c r="EH316" s="10" cm="1">
        <f t="array" aca="1" ref="EH316" ca="1">(1-$B$18)*SUMPRODUCT(OFFSET($BO$15,0,0,$B$14,1), 1*(_xlfn._xlws.FILTER(OFFSET($O$15,0,$DN316,$B$8,1),OFFSET($M$15,0,0,$B$8,1))=EH$13), 1*(_xlfn._xlws.FILTER(OFFSET($O$15,0,$DO316,$B$8,1),OFFSET($M$15,0,0,$B$8,1))=EH$14))   /   SUM(OFFSET($BO$15,0,0,$B$14,1)) + $B$18/($B$19*$B$19*($DN316&lt;&gt;$DO316) + $B$19*($DN316=$DO316))</f>
        <v>3.7037037037037035E-4</v>
      </c>
      <c r="EI316" s="10" cm="1">
        <f t="array" aca="1" ref="EI316" ca="1">(1-$B$18)*SUMPRODUCT(OFFSET($BO$15,0,0,$B$14,1), 1*(_xlfn._xlws.FILTER(OFFSET($O$15,0,$DN316,$B$8,1),OFFSET($M$15,0,0,$B$8,1))=EI$13), 1*(_xlfn._xlws.FILTER(OFFSET($O$15,0,$DO316,$B$8,1),OFFSET($M$15,0,0,$B$8,1))=EI$14))   /   SUM(OFFSET($BO$15,0,0,$B$14,1)) + $B$18/($B$19*$B$19*($DN316&lt;&gt;$DO316) + $B$19*($DN316=$DO316))</f>
        <v>3.7037037037037035E-4</v>
      </c>
      <c r="EJ316" s="10" cm="1">
        <f t="array" aca="1" ref="EJ316" ca="1">(1-$B$18)*SUMPRODUCT(OFFSET($BO$15,0,0,$B$14,1), 1*(_xlfn._xlws.FILTER(OFFSET($O$15,0,$DN316,$B$8,1),OFFSET($M$15,0,0,$B$8,1))=EJ$13), 1*(_xlfn._xlws.FILTER(OFFSET($O$15,0,$DO316,$B$8,1),OFFSET($M$15,0,0,$B$8,1))=EJ$14))   /   SUM(OFFSET($BO$15,0,0,$B$14,1)) + $B$18/($B$19*$B$19*($DN316&lt;&gt;$DO316) + $B$19*($DN316=$DO316))</f>
        <v>3.7037037037037035E-4</v>
      </c>
      <c r="EK316" s="10" cm="1">
        <f t="array" aca="1" ref="EK316" ca="1">(1-$B$18)*SUMPRODUCT(OFFSET($BO$15,0,0,$B$14,1), 1*(_xlfn._xlws.FILTER(OFFSET($O$15,0,$DN316,$B$8,1),OFFSET($M$15,0,0,$B$8,1))=EK$13), 1*(_xlfn._xlws.FILTER(OFFSET($O$15,0,$DO316,$B$8,1),OFFSET($M$15,0,0,$B$8,1))=EK$14))   /   SUM(OFFSET($BO$15,0,0,$B$14,1)) + $B$18/($B$19*$B$19*($DN316&lt;&gt;$DO316) + $B$19*($DN316=$DO316))</f>
        <v>3.7037037037037035E-4</v>
      </c>
      <c r="EL316" s="10" cm="1">
        <f t="array" aca="1" ref="EL316" ca="1">(1-$B$18)*SUMPRODUCT(OFFSET($BO$15,0,0,$B$14,1), 1*(_xlfn._xlws.FILTER(OFFSET($O$15,0,$DN316,$B$8,1),OFFSET($M$15,0,0,$B$8,1))=EL$13), 1*(_xlfn._xlws.FILTER(OFFSET($O$15,0,$DO316,$B$8,1),OFFSET($M$15,0,0,$B$8,1))=EL$14))   /   SUM(OFFSET($BO$15,0,0,$B$14,1)) + $B$18/($B$19*$B$19*($DN316&lt;&gt;$DO316) + $B$19*($DN316=$DO316))</f>
        <v>3.7037037037037035E-4</v>
      </c>
      <c r="EM316" s="10" cm="1">
        <f t="array" aca="1" ref="EM316" ca="1">(1-$B$18)*SUMPRODUCT(OFFSET($BO$15,0,0,$B$14,1), 1*(_xlfn._xlws.FILTER(OFFSET($O$15,0,$DN316,$B$8,1),OFFSET($M$15,0,0,$B$8,1))=EM$13), 1*(_xlfn._xlws.FILTER(OFFSET($O$15,0,$DO316,$B$8,1),OFFSET($M$15,0,0,$B$8,1))=EM$14))   /   SUM(OFFSET($BO$15,0,0,$B$14,1)) + $B$18/($B$19*$B$19*($DN316&lt;&gt;$DO316) + $B$19*($DN316=$DO316))</f>
        <v>3.7037037037037035E-4</v>
      </c>
      <c r="EN316" s="10" cm="1">
        <f t="array" aca="1" ref="EN316" ca="1">(1-$B$18)*SUMPRODUCT(OFFSET($BO$15,0,0,$B$14,1), 1*(_xlfn._xlws.FILTER(OFFSET($O$15,0,$DN316,$B$8,1),OFFSET($M$15,0,0,$B$8,1))=EN$13), 1*(_xlfn._xlws.FILTER(OFFSET($O$15,0,$DO316,$B$8,1),OFFSET($M$15,0,0,$B$8,1))=EN$14))   /   SUM(OFFSET($BO$15,0,0,$B$14,1)) + $B$18/($B$19*$B$19*($DN316&lt;&gt;$DO316) + $B$19*($DN316=$DO316))</f>
        <v>3.7037037037037035E-4</v>
      </c>
      <c r="EO316" s="10" cm="1">
        <f t="array" aca="1" ref="EO316" ca="1">(1-$B$18)*SUMPRODUCT(OFFSET($BO$15,0,0,$B$14,1), 1*(_xlfn._xlws.FILTER(OFFSET($O$15,0,$DN316,$B$8,1),OFFSET($M$15,0,0,$B$8,1))=EO$13), 1*(_xlfn._xlws.FILTER(OFFSET($O$15,0,$DO316,$B$8,1),OFFSET($M$15,0,0,$B$8,1))=EO$14))   /   SUM(OFFSET($BO$15,0,0,$B$14,1)) + $B$18/($B$19*$B$19*($DN316&lt;&gt;$DO316) + $B$19*($DN316=$DO316))</f>
        <v>3.7037037037037035E-4</v>
      </c>
      <c r="EP316" s="10" cm="1">
        <f t="array" aca="1" ref="EP316" ca="1">(1-$B$18)*SUMPRODUCT(OFFSET($BO$15,0,0,$B$14,1), 1*(_xlfn._xlws.FILTER(OFFSET($O$15,0,$DN316,$B$8,1),OFFSET($M$15,0,0,$B$8,1))=EP$13), 1*(_xlfn._xlws.FILTER(OFFSET($O$15,0,$DO316,$B$8,1),OFFSET($M$15,0,0,$B$8,1))=EP$14))   /   SUM(OFFSET($BO$15,0,0,$B$14,1)) + $B$18/($B$19*$B$19*($DN316&lt;&gt;$DO316) + $B$19*($DN316=$DO316))</f>
        <v>3.7037037037037035E-4</v>
      </c>
      <c r="EQ316" s="10" cm="1">
        <f t="array" aca="1" ref="EQ316" ca="1">(1-$B$18)*SUMPRODUCT(OFFSET($BO$15,0,0,$B$14,1), 1*(_xlfn._xlws.FILTER(OFFSET($O$15,0,$DN316,$B$8,1),OFFSET($M$15,0,0,$B$8,1))=EQ$13), 1*(_xlfn._xlws.FILTER(OFFSET($O$15,0,$DO316,$B$8,1),OFFSET($M$15,0,0,$B$8,1))=EQ$14))   /   SUM(OFFSET($BO$15,0,0,$B$14,1)) + $B$18/($B$19*$B$19*($DN316&lt;&gt;$DO316) + $B$19*($DN316=$DO316))</f>
        <v>0.97037037037037033</v>
      </c>
      <c r="ER316" s="10" cm="1">
        <f t="array" aca="1" ref="ER316" ca="1">(1-$B$18)*SUMPRODUCT(OFFSET($BO$15,0,0,$B$14,1), 1*(_xlfn._xlws.FILTER(OFFSET($O$15,0,$DN316,$B$8,1),OFFSET($M$15,0,0,$B$8,1))=ER$13), 1*(_xlfn._xlws.FILTER(OFFSET($O$15,0,$DO316,$B$8,1),OFFSET($M$15,0,0,$B$8,1))=ER$14))   /   SUM(OFFSET($BO$15,0,0,$B$14,1)) + $B$18/($B$19*$B$19*($DN316&lt;&gt;$DO316) + $B$19*($DN316=$DO316))</f>
        <v>3.7037037037037035E-4</v>
      </c>
      <c r="ES316" s="10" cm="1">
        <f t="array" aca="1" ref="ES316" ca="1">(1-$B$18)*SUMPRODUCT(OFFSET($BO$15,0,0,$B$14,1), 1*(_xlfn._xlws.FILTER(OFFSET($O$15,0,$DN316,$B$8,1),OFFSET($M$15,0,0,$B$8,1))=ES$13), 1*(_xlfn._xlws.FILTER(OFFSET($O$15,0,$DO316,$B$8,1),OFFSET($M$15,0,0,$B$8,1))=ES$14))   /   SUM(OFFSET($BO$15,0,0,$B$14,1)) + $B$18/($B$19*$B$19*($DN316&lt;&gt;$DO316) + $B$19*($DN316=$DO316))</f>
        <v>3.7037037037037035E-4</v>
      </c>
      <c r="ET316" s="10" cm="1">
        <f t="array" aca="1" ref="ET316" ca="1">(1-$B$18)*SUMPRODUCT(OFFSET($BO$15,0,0,$B$14,1), 1*(_xlfn._xlws.FILTER(OFFSET($O$15,0,$DN316,$B$8,1),OFFSET($M$15,0,0,$B$8,1))=ET$13), 1*(_xlfn._xlws.FILTER(OFFSET($O$15,0,$DO316,$B$8,1),OFFSET($M$15,0,0,$B$8,1))=ET$14))   /   SUM(OFFSET($BO$15,0,0,$B$14,1)) + $B$18/($B$19*$B$19*($DN316&lt;&gt;$DO316) + $B$19*($DN316=$DO316))</f>
        <v>3.7037037037037035E-4</v>
      </c>
      <c r="EU316" s="10" cm="1">
        <f t="array" aca="1" ref="EU316" ca="1">(1-$B$18)*SUMPRODUCT(OFFSET($BO$15,0,0,$B$14,1), 1*(_xlfn._xlws.FILTER(OFFSET($O$15,0,$DN316,$B$8,1),OFFSET($M$15,0,0,$B$8,1))=EU$13), 1*(_xlfn._xlws.FILTER(OFFSET($O$15,0,$DO316,$B$8,1),OFFSET($M$15,0,0,$B$8,1))=EU$14))   /   SUM(OFFSET($BO$15,0,0,$B$14,1)) + $B$18/($B$19*$B$19*($DN316&lt;&gt;$DO316) + $B$19*($DN316=$DO316))</f>
        <v>3.7037037037037035E-4</v>
      </c>
      <c r="EV316" s="10" cm="1">
        <f t="array" aca="1" ref="EV316" ca="1">(1-$B$18)*SUMPRODUCT(OFFSET($BO$15,0,0,$B$14,1), 1*(_xlfn._xlws.FILTER(OFFSET($O$15,0,$DN316,$B$8,1),OFFSET($M$15,0,0,$B$8,1))=EV$13), 1*(_xlfn._xlws.FILTER(OFFSET($O$15,0,$DO316,$B$8,1),OFFSET($M$15,0,0,$B$8,1))=EV$14))   /   SUM(OFFSET($BO$15,0,0,$B$14,1)) + $B$18/($B$19*$B$19*($DN316&lt;&gt;$DO316) + $B$19*($DN316=$DO316))</f>
        <v>3.7037037037037035E-4</v>
      </c>
      <c r="EW316" s="10" cm="1">
        <f t="array" aca="1" ref="EW316" ca="1">(1-$B$18)*SUMPRODUCT(OFFSET($BO$15,0,0,$B$14,1), 1*(_xlfn._xlws.FILTER(OFFSET($O$15,0,$DN316,$B$8,1),OFFSET($M$15,0,0,$B$8,1))=EW$13), 1*(_xlfn._xlws.FILTER(OFFSET($O$15,0,$DO316,$B$8,1),OFFSET($M$15,0,0,$B$8,1))=EW$14))   /   SUM(OFFSET($BO$15,0,0,$B$14,1)) + $B$18/($B$19*$B$19*($DN316&lt;&gt;$DO316) + $B$19*($DN316=$DO316))</f>
        <v>3.7037037037037035E-4</v>
      </c>
      <c r="EX316" s="10" cm="1">
        <f t="array" aca="1" ref="EX316" ca="1">(1-$B$18)*SUMPRODUCT(OFFSET($BO$15,0,0,$B$14,1), 1*(_xlfn._xlws.FILTER(OFFSET($O$15,0,$DN316,$B$8,1),OFFSET($M$15,0,0,$B$8,1))=EX$13), 1*(_xlfn._xlws.FILTER(OFFSET($O$15,0,$DO316,$B$8,1),OFFSET($M$15,0,0,$B$8,1))=EX$14))   /   SUM(OFFSET($BO$15,0,0,$B$14,1)) + $B$18/($B$19*$B$19*($DN316&lt;&gt;$DO316) + $B$19*($DN316=$DO316))</f>
        <v>3.7037037037037035E-4</v>
      </c>
      <c r="EY316" s="10" cm="1">
        <f t="array" aca="1" ref="EY316" ca="1">(1-$B$18)*SUMPRODUCT(OFFSET($BO$15,0,0,$B$14,1), 1*(_xlfn._xlws.FILTER(OFFSET($O$15,0,$DN316,$B$8,1),OFFSET($M$15,0,0,$B$8,1))=EY$13), 1*(_xlfn._xlws.FILTER(OFFSET($O$15,0,$DO316,$B$8,1),OFFSET($M$15,0,0,$B$8,1))=EY$14))   /   SUM(OFFSET($BO$15,0,0,$B$14,1)) + $B$18/($B$19*$B$19*($DN316&lt;&gt;$DO316) + $B$19*($DN316=$DO316))</f>
        <v>3.7037037037037035E-4</v>
      </c>
      <c r="EZ316" s="10" cm="1">
        <f t="array" aca="1" ref="EZ316" ca="1">(1-$B$18)*SUMPRODUCT(OFFSET($BO$15,0,0,$B$14,1), 1*(_xlfn._xlws.FILTER(OFFSET($O$15,0,$DN316,$B$8,1),OFFSET($M$15,0,0,$B$8,1))=EZ$13), 1*(_xlfn._xlws.FILTER(OFFSET($O$15,0,$DO316,$B$8,1),OFFSET($M$15,0,0,$B$8,1))=EZ$14))   /   SUM(OFFSET($BO$15,0,0,$B$14,1)) + $B$18/($B$19*$B$19*($DN316&lt;&gt;$DO316) + $B$19*($DN316=$DO316))</f>
        <v>3.7037037037037035E-4</v>
      </c>
      <c r="FA316" s="10" cm="1">
        <f t="array" aca="1" ref="FA316" ca="1">(1-$B$18)*SUMPRODUCT(OFFSET($BO$15,0,0,$B$14,1), 1*(_xlfn._xlws.FILTER(OFFSET($O$15,0,$DN316,$B$8,1),OFFSET($M$15,0,0,$B$8,1))=FA$13), 1*(_xlfn._xlws.FILTER(OFFSET($O$15,0,$DO316,$B$8,1),OFFSET($M$15,0,0,$B$8,1))=FA$14))   /   SUM(OFFSET($BO$15,0,0,$B$14,1)) + $B$18/($B$19*$B$19*($DN316&lt;&gt;$DO316) + $B$19*($DN316=$DO316))</f>
        <v>3.7037037037037035E-4</v>
      </c>
      <c r="FB316" s="10" cm="1">
        <f t="array" aca="1" ref="FB316" ca="1">(1-$B$18)*SUMPRODUCT(OFFSET($BO$15,0,0,$B$14,1), 1*(_xlfn._xlws.FILTER(OFFSET($O$15,0,$DN316,$B$8,1),OFFSET($M$15,0,0,$B$8,1))=FB$13), 1*(_xlfn._xlws.FILTER(OFFSET($O$15,0,$DO316,$B$8,1),OFFSET($M$15,0,0,$B$8,1))=FB$14))   /   SUM(OFFSET($BO$15,0,0,$B$14,1)) + $B$18/($B$19*$B$19*($DN316&lt;&gt;$DO316) + $B$19*($DN316=$DO316))</f>
        <v>3.7037037037037035E-4</v>
      </c>
      <c r="FC316" s="10" cm="1">
        <f t="array" aca="1" ref="FC316" ca="1">(1-$B$18)*SUMPRODUCT(OFFSET($BO$15,0,0,$B$14,1), 1*(_xlfn._xlws.FILTER(OFFSET($O$15,0,$DN316,$B$8,1),OFFSET($M$15,0,0,$B$8,1))=FC$13), 1*(_xlfn._xlws.FILTER(OFFSET($O$15,0,$DO316,$B$8,1),OFFSET($M$15,0,0,$B$8,1))=FC$14))   /   SUM(OFFSET($BO$15,0,0,$B$14,1)) + $B$18/($B$19*$B$19*($DN316&lt;&gt;$DO316) + $B$19*($DN316=$DO316))</f>
        <v>3.7037037037037035E-4</v>
      </c>
      <c r="FD316" s="10" cm="1">
        <f t="array" aca="1" ref="FD316" ca="1">(1-$B$18)*SUMPRODUCT(OFFSET($BO$15,0,0,$B$14,1), 1*(_xlfn._xlws.FILTER(OFFSET($O$15,0,$DN316,$B$8,1),OFFSET($M$15,0,0,$B$8,1))=FD$13), 1*(_xlfn._xlws.FILTER(OFFSET($O$15,0,$DO316,$B$8,1),OFFSET($M$15,0,0,$B$8,1))=FD$14))   /   SUM(OFFSET($BO$15,0,0,$B$14,1)) + $B$18/($B$19*$B$19*($DN316&lt;&gt;$DO316) + $B$19*($DN316=$DO316))</f>
        <v>3.7037037037037035E-4</v>
      </c>
      <c r="FE316" s="10" cm="1">
        <f t="array" aca="1" ref="FE316" ca="1">(1-$B$18)*SUMPRODUCT(OFFSET($BO$15,0,0,$B$14,1), 1*(_xlfn._xlws.FILTER(OFFSET($O$15,0,$DN316,$B$8,1),OFFSET($M$15,0,0,$B$8,1))=FE$13), 1*(_xlfn._xlws.FILTER(OFFSET($O$15,0,$DO316,$B$8,1),OFFSET($M$15,0,0,$B$8,1))=FE$14))   /   SUM(OFFSET($BO$15,0,0,$B$14,1)) + $B$18/($B$19*$B$19*($DN316&lt;&gt;$DO316) + $B$19*($DN316=$DO316))</f>
        <v>3.7037037037037035E-4</v>
      </c>
      <c r="FF316" s="10" cm="1">
        <f t="array" aca="1" ref="FF316" ca="1">(1-$B$18)*SUMPRODUCT(OFFSET($BO$15,0,0,$B$14,1), 1*(_xlfn._xlws.FILTER(OFFSET($O$15,0,$DN316,$B$8,1),OFFSET($M$15,0,0,$B$8,1))=FF$13), 1*(_xlfn._xlws.FILTER(OFFSET($O$15,0,$DO316,$B$8,1),OFFSET($M$15,0,0,$B$8,1))=FF$14))   /   SUM(OFFSET($BO$15,0,0,$B$14,1)) + $B$18/($B$19*$B$19*($DN316&lt;&gt;$DO316) + $B$19*($DN316=$DO316))</f>
        <v>3.7037037037037035E-4</v>
      </c>
      <c r="FG316" s="10" cm="1">
        <f t="array" aca="1" ref="FG316" ca="1">(1-$B$18)*SUMPRODUCT(OFFSET($BO$15,0,0,$B$14,1), 1*(_xlfn._xlws.FILTER(OFFSET($O$15,0,$DN316,$B$8,1),OFFSET($M$15,0,0,$B$8,1))=FG$13), 1*(_xlfn._xlws.FILTER(OFFSET($O$15,0,$DO316,$B$8,1),OFFSET($M$15,0,0,$B$8,1))=FG$14))   /   SUM(OFFSET($BO$15,0,0,$B$14,1)) + $B$18/($B$19*$B$19*($DN316&lt;&gt;$DO316) + $B$19*($DN316=$DO316))</f>
        <v>3.7037037037037035E-4</v>
      </c>
      <c r="FH316" s="10" cm="1">
        <f t="array" aca="1" ref="FH316" ca="1">(1-$B$18)*SUMPRODUCT(OFFSET($BO$15,0,0,$B$14,1), 1*(_xlfn._xlws.FILTER(OFFSET($O$15,0,$DN316,$B$8,1),OFFSET($M$15,0,0,$B$8,1))=FH$13), 1*(_xlfn._xlws.FILTER(OFFSET($O$15,0,$DO316,$B$8,1),OFFSET($M$15,0,0,$B$8,1))=FH$14))   /   SUM(OFFSET($BO$15,0,0,$B$14,1)) + $B$18/($B$19*$B$19*($DN316&lt;&gt;$DO316) + $B$19*($DN316=$DO316))</f>
        <v>3.7037037037037035E-4</v>
      </c>
      <c r="FI316" s="10" cm="1">
        <f t="array" aca="1" ref="FI316" ca="1">(1-$B$18)*SUMPRODUCT(OFFSET($BO$15,0,0,$B$14,1), 1*(_xlfn._xlws.FILTER(OFFSET($O$15,0,$DN316,$B$8,1),OFFSET($M$15,0,0,$B$8,1))=FI$13), 1*(_xlfn._xlws.FILTER(OFFSET($O$15,0,$DO316,$B$8,1),OFFSET($M$15,0,0,$B$8,1))=FI$14))   /   SUM(OFFSET($BO$15,0,0,$B$14,1)) + $B$18/($B$19*$B$19*($DN316&lt;&gt;$DO316) + $B$19*($DN316=$DO316))</f>
        <v>3.7037037037037035E-4</v>
      </c>
      <c r="FJ316" s="10" cm="1">
        <f t="array" aca="1" ref="FJ316" ca="1">(1-$B$18)*SUMPRODUCT(OFFSET($BO$15,0,0,$B$14,1), 1*(_xlfn._xlws.FILTER(OFFSET($O$15,0,$DN316,$B$8,1),OFFSET($M$15,0,0,$B$8,1))=FJ$13), 1*(_xlfn._xlws.FILTER(OFFSET($O$15,0,$DO316,$B$8,1),OFFSET($M$15,0,0,$B$8,1))=FJ$14))   /   SUM(OFFSET($BO$15,0,0,$B$14,1)) + $B$18/($B$19*$B$19*($DN316&lt;&gt;$DO316) + $B$19*($DN316=$DO316))</f>
        <v>3.7037037037037035E-4</v>
      </c>
      <c r="FK316" s="10" cm="1">
        <f t="array" aca="1" ref="FK316" ca="1">(1-$B$18)*SUMPRODUCT(OFFSET($BO$15,0,0,$B$14,1), 1*(_xlfn._xlws.FILTER(OFFSET($O$15,0,$DN316,$B$8,1),OFFSET($M$15,0,0,$B$8,1))=FK$13), 1*(_xlfn._xlws.FILTER(OFFSET($O$15,0,$DO316,$B$8,1),OFFSET($M$15,0,0,$B$8,1))=FK$14))   /   SUM(OFFSET($BO$15,0,0,$B$14,1)) + $B$18/($B$19*$B$19*($DN316&lt;&gt;$DO316) + $B$19*($DN316=$DO316))</f>
        <v>3.7037037037037035E-4</v>
      </c>
      <c r="FL316" s="10" cm="1">
        <f t="array" aca="1" ref="FL316" ca="1">(1-$B$18)*SUMPRODUCT(OFFSET($BO$15,0,0,$B$14,1), 1*(_xlfn._xlws.FILTER(OFFSET($O$15,0,$DN316,$B$8,1),OFFSET($M$15,0,0,$B$8,1))=FL$13), 1*(_xlfn._xlws.FILTER(OFFSET($O$15,0,$DO316,$B$8,1),OFFSET($M$15,0,0,$B$8,1))=FL$14))   /   SUM(OFFSET($BO$15,0,0,$B$14,1)) + $B$18/($B$19*$B$19*($DN316&lt;&gt;$DO316) + $B$19*($DN316=$DO316))</f>
        <v>3.7037037037037035E-4</v>
      </c>
      <c r="FM316" s="10" cm="1">
        <f t="array" aca="1" ref="FM316" ca="1">(1-$B$18)*SUMPRODUCT(OFFSET($BO$15,0,0,$B$14,1), 1*(_xlfn._xlws.FILTER(OFFSET($O$15,0,$DN316,$B$8,1),OFFSET($M$15,0,0,$B$8,1))=FM$13), 1*(_xlfn._xlws.FILTER(OFFSET($O$15,0,$DO316,$B$8,1),OFFSET($M$15,0,0,$B$8,1))=FM$14))   /   SUM(OFFSET($BO$15,0,0,$B$14,1)) + $B$18/($B$19*$B$19*($DN316&lt;&gt;$DO316) + $B$19*($DN316=$DO316))</f>
        <v>3.7037037037037035E-4</v>
      </c>
      <c r="FN316" s="10" cm="1">
        <f t="array" aca="1" ref="FN316" ca="1">(1-$B$18)*SUMPRODUCT(OFFSET($BO$15,0,0,$B$14,1), 1*(_xlfn._xlws.FILTER(OFFSET($O$15,0,$DN316,$B$8,1),OFFSET($M$15,0,0,$B$8,1))=FN$13), 1*(_xlfn._xlws.FILTER(OFFSET($O$15,0,$DO316,$B$8,1),OFFSET($M$15,0,0,$B$8,1))=FN$14))   /   SUM(OFFSET($BO$15,0,0,$B$14,1)) + $B$18/($B$19*$B$19*($DN316&lt;&gt;$DO316) + $B$19*($DN316=$DO316))</f>
        <v>3.7037037037037035E-4</v>
      </c>
      <c r="FO316" s="10" cm="1">
        <f t="array" aca="1" ref="FO316" ca="1">(1-$B$18)*SUMPRODUCT(OFFSET($BO$15,0,0,$B$14,1), 1*(_xlfn._xlws.FILTER(OFFSET($O$15,0,$DN316,$B$8,1),OFFSET($M$15,0,0,$B$8,1))=FO$13), 1*(_xlfn._xlws.FILTER(OFFSET($O$15,0,$DO316,$B$8,1),OFFSET($M$15,0,0,$B$8,1))=FO$14))   /   SUM(OFFSET($BO$15,0,0,$B$14,1)) + $B$18/($B$19*$B$19*($DN316&lt;&gt;$DO316) + $B$19*($DN316=$DO316))</f>
        <v>3.7037037037037035E-4</v>
      </c>
      <c r="FP316" s="10" cm="1">
        <f t="array" aca="1" ref="FP316" ca="1">(1-$B$18)*SUMPRODUCT(OFFSET($BO$15,0,0,$B$14,1), 1*(_xlfn._xlws.FILTER(OFFSET($O$15,0,$DN316,$B$8,1),OFFSET($M$15,0,0,$B$8,1))=FP$13), 1*(_xlfn._xlws.FILTER(OFFSET($O$15,0,$DO316,$B$8,1),OFFSET($M$15,0,0,$B$8,1))=FP$14))   /   SUM(OFFSET($BO$15,0,0,$B$14,1)) + $B$18/($B$19*$B$19*($DN316&lt;&gt;$DO316) + $B$19*($DN316=$DO316))</f>
        <v>3.7037037037037035E-4</v>
      </c>
      <c r="FQ316" s="10" cm="1">
        <f t="array" aca="1" ref="FQ316" ca="1">(1-$B$18)*SUMPRODUCT(OFFSET($BO$15,0,0,$B$14,1), 1*(_xlfn._xlws.FILTER(OFFSET($O$15,0,$DN316,$B$8,1),OFFSET($M$15,0,0,$B$8,1))=FQ$13), 1*(_xlfn._xlws.FILTER(OFFSET($O$15,0,$DO316,$B$8,1),OFFSET($M$15,0,0,$B$8,1))=FQ$14))   /   SUM(OFFSET($BO$15,0,0,$B$14,1)) + $B$18/($B$19*$B$19*($DN316&lt;&gt;$DO316) + $B$19*($DN316=$DO316))</f>
        <v>3.7037037037037035E-4</v>
      </c>
      <c r="FR316" s="10" cm="1">
        <f t="array" aca="1" ref="FR316" ca="1">(1-$B$18)*SUMPRODUCT(OFFSET($BO$15,0,0,$B$14,1), 1*(_xlfn._xlws.FILTER(OFFSET($O$15,0,$DN316,$B$8,1),OFFSET($M$15,0,0,$B$8,1))=FR$13), 1*(_xlfn._xlws.FILTER(OFFSET($O$15,0,$DO316,$B$8,1),OFFSET($M$15,0,0,$B$8,1))=FR$14))   /   SUM(OFFSET($BO$15,0,0,$B$14,1)) + $B$18/($B$19*$B$19*($DN316&lt;&gt;$DO316) + $B$19*($DN316=$DO316))</f>
        <v>3.7037037037037035E-4</v>
      </c>
      <c r="FS316" s="10" cm="1">
        <f t="array" aca="1" ref="FS316" ca="1">(1-$B$18)*SUMPRODUCT(OFFSET($BO$15,0,0,$B$14,1), 1*(_xlfn._xlws.FILTER(OFFSET($O$15,0,$DN316,$B$8,1),OFFSET($M$15,0,0,$B$8,1))=FS$13), 1*(_xlfn._xlws.FILTER(OFFSET($O$15,0,$DO316,$B$8,1),OFFSET($M$15,0,0,$B$8,1))=FS$14))   /   SUM(OFFSET($BO$15,0,0,$B$14,1)) + $B$18/($B$19*$B$19*($DN316&lt;&gt;$DO316) + $B$19*($DN316=$DO316))</f>
        <v>3.7037037037037035E-4</v>
      </c>
      <c r="FT316" s="10" cm="1">
        <f t="array" aca="1" ref="FT316" ca="1">(1-$B$18)*SUMPRODUCT(OFFSET($BO$15,0,0,$B$14,1), 1*(_xlfn._xlws.FILTER(OFFSET($O$15,0,$DN316,$B$8,1),OFFSET($M$15,0,0,$B$8,1))=FT$13), 1*(_xlfn._xlws.FILTER(OFFSET($O$15,0,$DO316,$B$8,1),OFFSET($M$15,0,0,$B$8,1))=FT$14))   /   SUM(OFFSET($BO$15,0,0,$B$14,1)) + $B$18/($B$19*$B$19*($DN316&lt;&gt;$DO316) + $B$19*($DN316=$DO316))</f>
        <v>3.7037037037037035E-4</v>
      </c>
      <c r="FU316" s="10" cm="1">
        <f t="array" aca="1" ref="FU316" ca="1">(1-$B$18)*SUMPRODUCT(OFFSET($BO$15,0,0,$B$14,1), 1*(_xlfn._xlws.FILTER(OFFSET($O$15,0,$DN316,$B$8,1),OFFSET($M$15,0,0,$B$8,1))=FU$13), 1*(_xlfn._xlws.FILTER(OFFSET($O$15,0,$DO316,$B$8,1),OFFSET($M$15,0,0,$B$8,1))=FU$14))   /   SUM(OFFSET($BO$15,0,0,$B$14,1)) + $B$18/($B$19*$B$19*($DN316&lt;&gt;$DO316) + $B$19*($DN316=$DO316))</f>
        <v>3.7037037037037035E-4</v>
      </c>
      <c r="FV316" s="10" cm="1">
        <f t="array" aca="1" ref="FV316" ca="1">(1-$B$18)*SUMPRODUCT(OFFSET($BO$15,0,0,$B$14,1), 1*(_xlfn._xlws.FILTER(OFFSET($O$15,0,$DN316,$B$8,1),OFFSET($M$15,0,0,$B$8,1))=FV$13), 1*(_xlfn._xlws.FILTER(OFFSET($O$15,0,$DO316,$B$8,1),OFFSET($M$15,0,0,$B$8,1))=FV$14))   /   SUM(OFFSET($BO$15,0,0,$B$14,1)) + $B$18/($B$19*$B$19*($DN316&lt;&gt;$DO316) + $B$19*($DN316=$DO316))</f>
        <v>3.7037037037037035E-4</v>
      </c>
      <c r="FW316" s="10" cm="1">
        <f t="array" aca="1" ref="FW316" ca="1">(1-$B$18)*SUMPRODUCT(OFFSET($BO$15,0,0,$B$14,1), 1*(_xlfn._xlws.FILTER(OFFSET($O$15,0,$DN316,$B$8,1),OFFSET($M$15,0,0,$B$8,1))=FW$13), 1*(_xlfn._xlws.FILTER(OFFSET($O$15,0,$DO316,$B$8,1),OFFSET($M$15,0,0,$B$8,1))=FW$14))   /   SUM(OFFSET($BO$15,0,0,$B$14,1)) + $B$18/($B$19*$B$19*($DN316&lt;&gt;$DO316) + $B$19*($DN316=$DO316))</f>
        <v>3.7037037037037035E-4</v>
      </c>
      <c r="FX316" s="10" cm="1">
        <f t="array" aca="1" ref="FX316" ca="1">(1-$B$18)*SUMPRODUCT(OFFSET($BO$15,0,0,$B$14,1), 1*(_xlfn._xlws.FILTER(OFFSET($O$15,0,$DN316,$B$8,1),OFFSET($M$15,0,0,$B$8,1))=FX$13), 1*(_xlfn._xlws.FILTER(OFFSET($O$15,0,$DO316,$B$8,1),OFFSET($M$15,0,0,$B$8,1))=FX$14))   /   SUM(OFFSET($BO$15,0,0,$B$14,1)) + $B$18/($B$19*$B$19*($DN316&lt;&gt;$DO316) + $B$19*($DN316=$DO316))</f>
        <v>3.7037037037037035E-4</v>
      </c>
      <c r="FY316" s="10" cm="1">
        <f t="array" aca="1" ref="FY316" ca="1">(1-$B$18)*SUMPRODUCT(OFFSET($BO$15,0,0,$B$14,1), 1*(_xlfn._xlws.FILTER(OFFSET($O$15,0,$DN316,$B$8,1),OFFSET($M$15,0,0,$B$8,1))=FY$13), 1*(_xlfn._xlws.FILTER(OFFSET($O$15,0,$DO316,$B$8,1),OFFSET($M$15,0,0,$B$8,1))=FY$14))   /   SUM(OFFSET($BO$15,0,0,$B$14,1)) + $B$18/($B$19*$B$19*($DN316&lt;&gt;$DO316) + $B$19*($DN316=$DO316))</f>
        <v>3.7037037037037035E-4</v>
      </c>
      <c r="FZ316" s="10" cm="1">
        <f t="array" aca="1" ref="FZ316" ca="1">(1-$B$18)*SUMPRODUCT(OFFSET($BO$15,0,0,$B$14,1), 1*(_xlfn._xlws.FILTER(OFFSET($O$15,0,$DN316,$B$8,1),OFFSET($M$15,0,0,$B$8,1))=FZ$13), 1*(_xlfn._xlws.FILTER(OFFSET($O$15,0,$DO316,$B$8,1),OFFSET($M$15,0,0,$B$8,1))=FZ$14))   /   SUM(OFFSET($BO$15,0,0,$B$14,1)) + $B$18/($B$19*$B$19*($DN316&lt;&gt;$DO316) + $B$19*($DN316=$DO316))</f>
        <v>3.7037037037037035E-4</v>
      </c>
      <c r="GA316" s="10" cm="1">
        <f t="array" aca="1" ref="GA316" ca="1">(1-$B$18)*SUMPRODUCT(OFFSET($BO$15,0,0,$B$14,1), 1*(_xlfn._xlws.FILTER(OFFSET($O$15,0,$DN316,$B$8,1),OFFSET($M$15,0,0,$B$8,1))=GA$13), 1*(_xlfn._xlws.FILTER(OFFSET($O$15,0,$DO316,$B$8,1),OFFSET($M$15,0,0,$B$8,1))=GA$14))   /   SUM(OFFSET($BO$15,0,0,$B$14,1)) + $B$18/($B$19*$B$19*($DN316&lt;&gt;$DO316) + $B$19*($DN316=$DO316))</f>
        <v>3.7037037037037035E-4</v>
      </c>
    </row>
    <row r="317" spans="118:183" x14ac:dyDescent="0.2">
      <c r="DN317" cm="1">
        <f t="array" aca="1" ref="DN317" ca="1">INDEX(_xlfn.ANCHORARRAY($CP$15), 1 + INT((ROWS($DO$15:$DO317) - 1) / ROWS(_xlfn.ANCHORARRAY($CP$15))))</f>
        <v>18</v>
      </c>
      <c r="DO317" cm="1">
        <f t="array" aca="1" ref="DO317" ca="1">INDEX(_xlfn.ANCHORARRAY($CP$15),1+MOD(ROWS($DO$15:$DO317)-1,ROWS(_xlfn.ANCHORARRAY($CP$15))))</f>
        <v>20</v>
      </c>
      <c r="DP317" s="10" cm="1">
        <f t="array" aca="1" ref="DP317" ca="1">(1-$B$18)*SUMPRODUCT(OFFSET($BO$15,0,0,$B$14,1), 1*(_xlfn._xlws.FILTER(OFFSET($O$15,0,$DN317,$B$8,1),OFFSET($M$15,0,0,$B$8,1))=DP$13), 1*(_xlfn._xlws.FILTER(OFFSET($O$15,0,$DO317,$B$8,1),OFFSET($M$15,0,0,$B$8,1))=DP$14))   /   SUM(OFFSET($BO$15,0,0,$B$14,1)) + $B$18/($B$19*$B$19*($DN317&lt;&gt;$DO317) + $B$19*($DN317=$DO317))</f>
        <v>3.7037037037037035E-4</v>
      </c>
      <c r="DQ317" s="10" cm="1">
        <f t="array" aca="1" ref="DQ317" ca="1">(1-$B$18)*SUMPRODUCT(OFFSET($BO$15,0,0,$B$14,1), 1*(_xlfn._xlws.FILTER(OFFSET($O$15,0,$DN317,$B$8,1),OFFSET($M$15,0,0,$B$8,1))=DQ$13), 1*(_xlfn._xlws.FILTER(OFFSET($O$15,0,$DO317,$B$8,1),OFFSET($M$15,0,0,$B$8,1))=DQ$14))   /   SUM(OFFSET($BO$15,0,0,$B$14,1)) + $B$18/($B$19*$B$19*($DN317&lt;&gt;$DO317) + $B$19*($DN317=$DO317))</f>
        <v>3.7037037037037035E-4</v>
      </c>
      <c r="DR317" s="10" cm="1">
        <f t="array" aca="1" ref="DR317" ca="1">(1-$B$18)*SUMPRODUCT(OFFSET($BO$15,0,0,$B$14,1), 1*(_xlfn._xlws.FILTER(OFFSET($O$15,0,$DN317,$B$8,1),OFFSET($M$15,0,0,$B$8,1))=DR$13), 1*(_xlfn._xlws.FILTER(OFFSET($O$15,0,$DO317,$B$8,1),OFFSET($M$15,0,0,$B$8,1))=DR$14))   /   SUM(OFFSET($BO$15,0,0,$B$14,1)) + $B$18/($B$19*$B$19*($DN317&lt;&gt;$DO317) + $B$19*($DN317=$DO317))</f>
        <v>3.7037037037037035E-4</v>
      </c>
      <c r="DS317" s="10" cm="1">
        <f t="array" aca="1" ref="DS317" ca="1">(1-$B$18)*SUMPRODUCT(OFFSET($BO$15,0,0,$B$14,1), 1*(_xlfn._xlws.FILTER(OFFSET($O$15,0,$DN317,$B$8,1),OFFSET($M$15,0,0,$B$8,1))=DS$13), 1*(_xlfn._xlws.FILTER(OFFSET($O$15,0,$DO317,$B$8,1),OFFSET($M$15,0,0,$B$8,1))=DS$14))   /   SUM(OFFSET($BO$15,0,0,$B$14,1)) + $B$18/($B$19*$B$19*($DN317&lt;&gt;$DO317) + $B$19*($DN317=$DO317))</f>
        <v>3.7037037037037035E-4</v>
      </c>
      <c r="DT317" s="10" cm="1">
        <f t="array" aca="1" ref="DT317" ca="1">(1-$B$18)*SUMPRODUCT(OFFSET($BO$15,0,0,$B$14,1), 1*(_xlfn._xlws.FILTER(OFFSET($O$15,0,$DN317,$B$8,1),OFFSET($M$15,0,0,$B$8,1))=DT$13), 1*(_xlfn._xlws.FILTER(OFFSET($O$15,0,$DO317,$B$8,1),OFFSET($M$15,0,0,$B$8,1))=DT$14))   /   SUM(OFFSET($BO$15,0,0,$B$14,1)) + $B$18/($B$19*$B$19*($DN317&lt;&gt;$DO317) + $B$19*($DN317=$DO317))</f>
        <v>3.7037037037037035E-4</v>
      </c>
      <c r="DU317" s="10" cm="1">
        <f t="array" aca="1" ref="DU317" ca="1">(1-$B$18)*SUMPRODUCT(OFFSET($BO$15,0,0,$B$14,1), 1*(_xlfn._xlws.FILTER(OFFSET($O$15,0,$DN317,$B$8,1),OFFSET($M$15,0,0,$B$8,1))=DU$13), 1*(_xlfn._xlws.FILTER(OFFSET($O$15,0,$DO317,$B$8,1),OFFSET($M$15,0,0,$B$8,1))=DU$14))   /   SUM(OFFSET($BO$15,0,0,$B$14,1)) + $B$18/($B$19*$B$19*($DN317&lt;&gt;$DO317) + $B$19*($DN317=$DO317))</f>
        <v>3.7037037037037035E-4</v>
      </c>
      <c r="DV317" s="10" cm="1">
        <f t="array" aca="1" ref="DV317" ca="1">(1-$B$18)*SUMPRODUCT(OFFSET($BO$15,0,0,$B$14,1), 1*(_xlfn._xlws.FILTER(OFFSET($O$15,0,$DN317,$B$8,1),OFFSET($M$15,0,0,$B$8,1))=DV$13), 1*(_xlfn._xlws.FILTER(OFFSET($O$15,0,$DO317,$B$8,1),OFFSET($M$15,0,0,$B$8,1))=DV$14))   /   SUM(OFFSET($BO$15,0,0,$B$14,1)) + $B$18/($B$19*$B$19*($DN317&lt;&gt;$DO317) + $B$19*($DN317=$DO317))</f>
        <v>3.7037037037037035E-4</v>
      </c>
      <c r="DW317" s="10" cm="1">
        <f t="array" aca="1" ref="DW317" ca="1">(1-$B$18)*SUMPRODUCT(OFFSET($BO$15,0,0,$B$14,1), 1*(_xlfn._xlws.FILTER(OFFSET($O$15,0,$DN317,$B$8,1),OFFSET($M$15,0,0,$B$8,1))=DW$13), 1*(_xlfn._xlws.FILTER(OFFSET($O$15,0,$DO317,$B$8,1),OFFSET($M$15,0,0,$B$8,1))=DW$14))   /   SUM(OFFSET($BO$15,0,0,$B$14,1)) + $B$18/($B$19*$B$19*($DN317&lt;&gt;$DO317) + $B$19*($DN317=$DO317))</f>
        <v>3.7037037037037035E-4</v>
      </c>
      <c r="DX317" s="10" cm="1">
        <f t="array" aca="1" ref="DX317" ca="1">(1-$B$18)*SUMPRODUCT(OFFSET($BO$15,0,0,$B$14,1), 1*(_xlfn._xlws.FILTER(OFFSET($O$15,0,$DN317,$B$8,1),OFFSET($M$15,0,0,$B$8,1))=DX$13), 1*(_xlfn._xlws.FILTER(OFFSET($O$15,0,$DO317,$B$8,1),OFFSET($M$15,0,0,$B$8,1))=DX$14))   /   SUM(OFFSET($BO$15,0,0,$B$14,1)) + $B$18/($B$19*$B$19*($DN317&lt;&gt;$DO317) + $B$19*($DN317=$DO317))</f>
        <v>3.7037037037037035E-4</v>
      </c>
      <c r="DY317" s="10" cm="1">
        <f t="array" aca="1" ref="DY317" ca="1">(1-$B$18)*SUMPRODUCT(OFFSET($BO$15,0,0,$B$14,1), 1*(_xlfn._xlws.FILTER(OFFSET($O$15,0,$DN317,$B$8,1),OFFSET($M$15,0,0,$B$8,1))=DY$13), 1*(_xlfn._xlws.FILTER(OFFSET($O$15,0,$DO317,$B$8,1),OFFSET($M$15,0,0,$B$8,1))=DY$14))   /   SUM(OFFSET($BO$15,0,0,$B$14,1)) + $B$18/($B$19*$B$19*($DN317&lt;&gt;$DO317) + $B$19*($DN317=$DO317))</f>
        <v>3.7037037037037035E-4</v>
      </c>
      <c r="DZ317" s="10" cm="1">
        <f t="array" aca="1" ref="DZ317" ca="1">(1-$B$18)*SUMPRODUCT(OFFSET($BO$15,0,0,$B$14,1), 1*(_xlfn._xlws.FILTER(OFFSET($O$15,0,$DN317,$B$8,1),OFFSET($M$15,0,0,$B$8,1))=DZ$13), 1*(_xlfn._xlws.FILTER(OFFSET($O$15,0,$DO317,$B$8,1),OFFSET($M$15,0,0,$B$8,1))=DZ$14))   /   SUM(OFFSET($BO$15,0,0,$B$14,1)) + $B$18/($B$19*$B$19*($DN317&lt;&gt;$DO317) + $B$19*($DN317=$DO317))</f>
        <v>3.7037037037037035E-4</v>
      </c>
      <c r="EA317" s="10" cm="1">
        <f t="array" aca="1" ref="EA317" ca="1">(1-$B$18)*SUMPRODUCT(OFFSET($BO$15,0,0,$B$14,1), 1*(_xlfn._xlws.FILTER(OFFSET($O$15,0,$DN317,$B$8,1),OFFSET($M$15,0,0,$B$8,1))=EA$13), 1*(_xlfn._xlws.FILTER(OFFSET($O$15,0,$DO317,$B$8,1),OFFSET($M$15,0,0,$B$8,1))=EA$14))   /   SUM(OFFSET($BO$15,0,0,$B$14,1)) + $B$18/($B$19*$B$19*($DN317&lt;&gt;$DO317) + $B$19*($DN317=$DO317))</f>
        <v>3.7037037037037035E-4</v>
      </c>
      <c r="EB317" s="10" cm="1">
        <f t="array" aca="1" ref="EB317" ca="1">(1-$B$18)*SUMPRODUCT(OFFSET($BO$15,0,0,$B$14,1), 1*(_xlfn._xlws.FILTER(OFFSET($O$15,0,$DN317,$B$8,1),OFFSET($M$15,0,0,$B$8,1))=EB$13), 1*(_xlfn._xlws.FILTER(OFFSET($O$15,0,$DO317,$B$8,1),OFFSET($M$15,0,0,$B$8,1))=EB$14))   /   SUM(OFFSET($BO$15,0,0,$B$14,1)) + $B$18/($B$19*$B$19*($DN317&lt;&gt;$DO317) + $B$19*($DN317=$DO317))</f>
        <v>3.7037037037037035E-4</v>
      </c>
      <c r="EC317" s="10" cm="1">
        <f t="array" aca="1" ref="EC317" ca="1">(1-$B$18)*SUMPRODUCT(OFFSET($BO$15,0,0,$B$14,1), 1*(_xlfn._xlws.FILTER(OFFSET($O$15,0,$DN317,$B$8,1),OFFSET($M$15,0,0,$B$8,1))=EC$13), 1*(_xlfn._xlws.FILTER(OFFSET($O$15,0,$DO317,$B$8,1),OFFSET($M$15,0,0,$B$8,1))=EC$14))   /   SUM(OFFSET($BO$15,0,0,$B$14,1)) + $B$18/($B$19*$B$19*($DN317&lt;&gt;$DO317) + $B$19*($DN317=$DO317))</f>
        <v>3.7037037037037035E-4</v>
      </c>
      <c r="ED317" s="10" cm="1">
        <f t="array" aca="1" ref="ED317" ca="1">(1-$B$18)*SUMPRODUCT(OFFSET($BO$15,0,0,$B$14,1), 1*(_xlfn._xlws.FILTER(OFFSET($O$15,0,$DN317,$B$8,1),OFFSET($M$15,0,0,$B$8,1))=ED$13), 1*(_xlfn._xlws.FILTER(OFFSET($O$15,0,$DO317,$B$8,1),OFFSET($M$15,0,0,$B$8,1))=ED$14))   /   SUM(OFFSET($BO$15,0,0,$B$14,1)) + $B$18/($B$19*$B$19*($DN317&lt;&gt;$DO317) + $B$19*($DN317=$DO317))</f>
        <v>3.7037037037037035E-4</v>
      </c>
      <c r="EE317" s="10" cm="1">
        <f t="array" aca="1" ref="EE317" ca="1">(1-$B$18)*SUMPRODUCT(OFFSET($BO$15,0,0,$B$14,1), 1*(_xlfn._xlws.FILTER(OFFSET($O$15,0,$DN317,$B$8,1),OFFSET($M$15,0,0,$B$8,1))=EE$13), 1*(_xlfn._xlws.FILTER(OFFSET($O$15,0,$DO317,$B$8,1),OFFSET($M$15,0,0,$B$8,1))=EE$14))   /   SUM(OFFSET($BO$15,0,0,$B$14,1)) + $B$18/($B$19*$B$19*($DN317&lt;&gt;$DO317) + $B$19*($DN317=$DO317))</f>
        <v>3.7037037037037035E-4</v>
      </c>
      <c r="EF317" s="10" cm="1">
        <f t="array" aca="1" ref="EF317" ca="1">(1-$B$18)*SUMPRODUCT(OFFSET($BO$15,0,0,$B$14,1), 1*(_xlfn._xlws.FILTER(OFFSET($O$15,0,$DN317,$B$8,1),OFFSET($M$15,0,0,$B$8,1))=EF$13), 1*(_xlfn._xlws.FILTER(OFFSET($O$15,0,$DO317,$B$8,1),OFFSET($M$15,0,0,$B$8,1))=EF$14))   /   SUM(OFFSET($BO$15,0,0,$B$14,1)) + $B$18/($B$19*$B$19*($DN317&lt;&gt;$DO317) + $B$19*($DN317=$DO317))</f>
        <v>3.7037037037037035E-4</v>
      </c>
      <c r="EG317" s="10" cm="1">
        <f t="array" aca="1" ref="EG317" ca="1">(1-$B$18)*SUMPRODUCT(OFFSET($BO$15,0,0,$B$14,1), 1*(_xlfn._xlws.FILTER(OFFSET($O$15,0,$DN317,$B$8,1),OFFSET($M$15,0,0,$B$8,1))=EG$13), 1*(_xlfn._xlws.FILTER(OFFSET($O$15,0,$DO317,$B$8,1),OFFSET($M$15,0,0,$B$8,1))=EG$14))   /   SUM(OFFSET($BO$15,0,0,$B$14,1)) + $B$18/($B$19*$B$19*($DN317&lt;&gt;$DO317) + $B$19*($DN317=$DO317))</f>
        <v>3.7037037037037035E-4</v>
      </c>
      <c r="EH317" s="10" cm="1">
        <f t="array" aca="1" ref="EH317" ca="1">(1-$B$18)*SUMPRODUCT(OFFSET($BO$15,0,0,$B$14,1), 1*(_xlfn._xlws.FILTER(OFFSET($O$15,0,$DN317,$B$8,1),OFFSET($M$15,0,0,$B$8,1))=EH$13), 1*(_xlfn._xlws.FILTER(OFFSET($O$15,0,$DO317,$B$8,1),OFFSET($M$15,0,0,$B$8,1))=EH$14))   /   SUM(OFFSET($BO$15,0,0,$B$14,1)) + $B$18/($B$19*$B$19*($DN317&lt;&gt;$DO317) + $B$19*($DN317=$DO317))</f>
        <v>3.7037037037037035E-4</v>
      </c>
      <c r="EI317" s="10" cm="1">
        <f t="array" aca="1" ref="EI317" ca="1">(1-$B$18)*SUMPRODUCT(OFFSET($BO$15,0,0,$B$14,1), 1*(_xlfn._xlws.FILTER(OFFSET($O$15,0,$DN317,$B$8,1),OFFSET($M$15,0,0,$B$8,1))=EI$13), 1*(_xlfn._xlws.FILTER(OFFSET($O$15,0,$DO317,$B$8,1),OFFSET($M$15,0,0,$B$8,1))=EI$14))   /   SUM(OFFSET($BO$15,0,0,$B$14,1)) + $B$18/($B$19*$B$19*($DN317&lt;&gt;$DO317) + $B$19*($DN317=$DO317))</f>
        <v>3.7037037037037035E-4</v>
      </c>
      <c r="EJ317" s="10" cm="1">
        <f t="array" aca="1" ref="EJ317" ca="1">(1-$B$18)*SUMPRODUCT(OFFSET($BO$15,0,0,$B$14,1), 1*(_xlfn._xlws.FILTER(OFFSET($O$15,0,$DN317,$B$8,1),OFFSET($M$15,0,0,$B$8,1))=EJ$13), 1*(_xlfn._xlws.FILTER(OFFSET($O$15,0,$DO317,$B$8,1),OFFSET($M$15,0,0,$B$8,1))=EJ$14))   /   SUM(OFFSET($BO$15,0,0,$B$14,1)) + $B$18/($B$19*$B$19*($DN317&lt;&gt;$DO317) + $B$19*($DN317=$DO317))</f>
        <v>3.7037037037037035E-4</v>
      </c>
      <c r="EK317" s="10" cm="1">
        <f t="array" aca="1" ref="EK317" ca="1">(1-$B$18)*SUMPRODUCT(OFFSET($BO$15,0,0,$B$14,1), 1*(_xlfn._xlws.FILTER(OFFSET($O$15,0,$DN317,$B$8,1),OFFSET($M$15,0,0,$B$8,1))=EK$13), 1*(_xlfn._xlws.FILTER(OFFSET($O$15,0,$DO317,$B$8,1),OFFSET($M$15,0,0,$B$8,1))=EK$14))   /   SUM(OFFSET($BO$15,0,0,$B$14,1)) + $B$18/($B$19*$B$19*($DN317&lt;&gt;$DO317) + $B$19*($DN317=$DO317))</f>
        <v>3.7037037037037035E-4</v>
      </c>
      <c r="EL317" s="10" cm="1">
        <f t="array" aca="1" ref="EL317" ca="1">(1-$B$18)*SUMPRODUCT(OFFSET($BO$15,0,0,$B$14,1), 1*(_xlfn._xlws.FILTER(OFFSET($O$15,0,$DN317,$B$8,1),OFFSET($M$15,0,0,$B$8,1))=EL$13), 1*(_xlfn._xlws.FILTER(OFFSET($O$15,0,$DO317,$B$8,1),OFFSET($M$15,0,0,$B$8,1))=EL$14))   /   SUM(OFFSET($BO$15,0,0,$B$14,1)) + $B$18/($B$19*$B$19*($DN317&lt;&gt;$DO317) + $B$19*($DN317=$DO317))</f>
        <v>3.7037037037037035E-4</v>
      </c>
      <c r="EM317" s="10" cm="1">
        <f t="array" aca="1" ref="EM317" ca="1">(1-$B$18)*SUMPRODUCT(OFFSET($BO$15,0,0,$B$14,1), 1*(_xlfn._xlws.FILTER(OFFSET($O$15,0,$DN317,$B$8,1),OFFSET($M$15,0,0,$B$8,1))=EM$13), 1*(_xlfn._xlws.FILTER(OFFSET($O$15,0,$DO317,$B$8,1),OFFSET($M$15,0,0,$B$8,1))=EM$14))   /   SUM(OFFSET($BO$15,0,0,$B$14,1)) + $B$18/($B$19*$B$19*($DN317&lt;&gt;$DO317) + $B$19*($DN317=$DO317))</f>
        <v>3.7037037037037035E-4</v>
      </c>
      <c r="EN317" s="10" cm="1">
        <f t="array" aca="1" ref="EN317" ca="1">(1-$B$18)*SUMPRODUCT(OFFSET($BO$15,0,0,$B$14,1), 1*(_xlfn._xlws.FILTER(OFFSET($O$15,0,$DN317,$B$8,1),OFFSET($M$15,0,0,$B$8,1))=EN$13), 1*(_xlfn._xlws.FILTER(OFFSET($O$15,0,$DO317,$B$8,1),OFFSET($M$15,0,0,$B$8,1))=EN$14))   /   SUM(OFFSET($BO$15,0,0,$B$14,1)) + $B$18/($B$19*$B$19*($DN317&lt;&gt;$DO317) + $B$19*($DN317=$DO317))</f>
        <v>3.7037037037037035E-4</v>
      </c>
      <c r="EO317" s="10" cm="1">
        <f t="array" aca="1" ref="EO317" ca="1">(1-$B$18)*SUMPRODUCT(OFFSET($BO$15,0,0,$B$14,1), 1*(_xlfn._xlws.FILTER(OFFSET($O$15,0,$DN317,$B$8,1),OFFSET($M$15,0,0,$B$8,1))=EO$13), 1*(_xlfn._xlws.FILTER(OFFSET($O$15,0,$DO317,$B$8,1),OFFSET($M$15,0,0,$B$8,1))=EO$14))   /   SUM(OFFSET($BO$15,0,0,$B$14,1)) + $B$18/($B$19*$B$19*($DN317&lt;&gt;$DO317) + $B$19*($DN317=$DO317))</f>
        <v>3.7037037037037035E-4</v>
      </c>
      <c r="EP317" s="10" cm="1">
        <f t="array" aca="1" ref="EP317" ca="1">(1-$B$18)*SUMPRODUCT(OFFSET($BO$15,0,0,$B$14,1), 1*(_xlfn._xlws.FILTER(OFFSET($O$15,0,$DN317,$B$8,1),OFFSET($M$15,0,0,$B$8,1))=EP$13), 1*(_xlfn._xlws.FILTER(OFFSET($O$15,0,$DO317,$B$8,1),OFFSET($M$15,0,0,$B$8,1))=EP$14))   /   SUM(OFFSET($BO$15,0,0,$B$14,1)) + $B$18/($B$19*$B$19*($DN317&lt;&gt;$DO317) + $B$19*($DN317=$DO317))</f>
        <v>3.7037037037037035E-4</v>
      </c>
      <c r="EQ317" s="10" cm="1">
        <f t="array" aca="1" ref="EQ317" ca="1">(1-$B$18)*SUMPRODUCT(OFFSET($BO$15,0,0,$B$14,1), 1*(_xlfn._xlws.FILTER(OFFSET($O$15,0,$DN317,$B$8,1),OFFSET($M$15,0,0,$B$8,1))=EQ$13), 1*(_xlfn._xlws.FILTER(OFFSET($O$15,0,$DO317,$B$8,1),OFFSET($M$15,0,0,$B$8,1))=EQ$14))   /   SUM(OFFSET($BO$15,0,0,$B$14,1)) + $B$18/($B$19*$B$19*($DN317&lt;&gt;$DO317) + $B$19*($DN317=$DO317))</f>
        <v>3.7037037037037035E-4</v>
      </c>
      <c r="ER317" s="10" cm="1">
        <f t="array" aca="1" ref="ER317" ca="1">(1-$B$18)*SUMPRODUCT(OFFSET($BO$15,0,0,$B$14,1), 1*(_xlfn._xlws.FILTER(OFFSET($O$15,0,$DN317,$B$8,1),OFFSET($M$15,0,0,$B$8,1))=ER$13), 1*(_xlfn._xlws.FILTER(OFFSET($O$15,0,$DO317,$B$8,1),OFFSET($M$15,0,0,$B$8,1))=ER$14))   /   SUM(OFFSET($BO$15,0,0,$B$14,1)) + $B$18/($B$19*$B$19*($DN317&lt;&gt;$DO317) + $B$19*($DN317=$DO317))</f>
        <v>0.24287037037037024</v>
      </c>
      <c r="ES317" s="10" cm="1">
        <f t="array" aca="1" ref="ES317" ca="1">(1-$B$18)*SUMPRODUCT(OFFSET($BO$15,0,0,$B$14,1), 1*(_xlfn._xlws.FILTER(OFFSET($O$15,0,$DN317,$B$8,1),OFFSET($M$15,0,0,$B$8,1))=ES$13), 1*(_xlfn._xlws.FILTER(OFFSET($O$15,0,$DO317,$B$8,1),OFFSET($M$15,0,0,$B$8,1))=ES$14))   /   SUM(OFFSET($BO$15,0,0,$B$14,1)) + $B$18/($B$19*$B$19*($DN317&lt;&gt;$DO317) + $B$19*($DN317=$DO317))</f>
        <v>0.24287037037037026</v>
      </c>
      <c r="ET317" s="10" cm="1">
        <f t="array" aca="1" ref="ET317" ca="1">(1-$B$18)*SUMPRODUCT(OFFSET($BO$15,0,0,$B$14,1), 1*(_xlfn._xlws.FILTER(OFFSET($O$15,0,$DN317,$B$8,1),OFFSET($M$15,0,0,$B$8,1))=ET$13), 1*(_xlfn._xlws.FILTER(OFFSET($O$15,0,$DO317,$B$8,1),OFFSET($M$15,0,0,$B$8,1))=ET$14))   /   SUM(OFFSET($BO$15,0,0,$B$14,1)) + $B$18/($B$19*$B$19*($DN317&lt;&gt;$DO317) + $B$19*($DN317=$DO317))</f>
        <v>0.48537037037037012</v>
      </c>
      <c r="EU317" s="10" cm="1">
        <f t="array" aca="1" ref="EU317" ca="1">(1-$B$18)*SUMPRODUCT(OFFSET($BO$15,0,0,$B$14,1), 1*(_xlfn._xlws.FILTER(OFFSET($O$15,0,$DN317,$B$8,1),OFFSET($M$15,0,0,$B$8,1))=EU$13), 1*(_xlfn._xlws.FILTER(OFFSET($O$15,0,$DO317,$B$8,1),OFFSET($M$15,0,0,$B$8,1))=EU$14))   /   SUM(OFFSET($BO$15,0,0,$B$14,1)) + $B$18/($B$19*$B$19*($DN317&lt;&gt;$DO317) + $B$19*($DN317=$DO317))</f>
        <v>3.7037037037037035E-4</v>
      </c>
      <c r="EV317" s="10" cm="1">
        <f t="array" aca="1" ref="EV317" ca="1">(1-$B$18)*SUMPRODUCT(OFFSET($BO$15,0,0,$B$14,1), 1*(_xlfn._xlws.FILTER(OFFSET($O$15,0,$DN317,$B$8,1),OFFSET($M$15,0,0,$B$8,1))=EV$13), 1*(_xlfn._xlws.FILTER(OFFSET($O$15,0,$DO317,$B$8,1),OFFSET($M$15,0,0,$B$8,1))=EV$14))   /   SUM(OFFSET($BO$15,0,0,$B$14,1)) + $B$18/($B$19*$B$19*($DN317&lt;&gt;$DO317) + $B$19*($DN317=$DO317))</f>
        <v>3.7037037037037035E-4</v>
      </c>
      <c r="EW317" s="10" cm="1">
        <f t="array" aca="1" ref="EW317" ca="1">(1-$B$18)*SUMPRODUCT(OFFSET($BO$15,0,0,$B$14,1), 1*(_xlfn._xlws.FILTER(OFFSET($O$15,0,$DN317,$B$8,1),OFFSET($M$15,0,0,$B$8,1))=EW$13), 1*(_xlfn._xlws.FILTER(OFFSET($O$15,0,$DO317,$B$8,1),OFFSET($M$15,0,0,$B$8,1))=EW$14))   /   SUM(OFFSET($BO$15,0,0,$B$14,1)) + $B$18/($B$19*$B$19*($DN317&lt;&gt;$DO317) + $B$19*($DN317=$DO317))</f>
        <v>3.7037037037037035E-4</v>
      </c>
      <c r="EX317" s="10" cm="1">
        <f t="array" aca="1" ref="EX317" ca="1">(1-$B$18)*SUMPRODUCT(OFFSET($BO$15,0,0,$B$14,1), 1*(_xlfn._xlws.FILTER(OFFSET($O$15,0,$DN317,$B$8,1),OFFSET($M$15,0,0,$B$8,1))=EX$13), 1*(_xlfn._xlws.FILTER(OFFSET($O$15,0,$DO317,$B$8,1),OFFSET($M$15,0,0,$B$8,1))=EX$14))   /   SUM(OFFSET($BO$15,0,0,$B$14,1)) + $B$18/($B$19*$B$19*($DN317&lt;&gt;$DO317) + $B$19*($DN317=$DO317))</f>
        <v>3.7037037037037035E-4</v>
      </c>
      <c r="EY317" s="10" cm="1">
        <f t="array" aca="1" ref="EY317" ca="1">(1-$B$18)*SUMPRODUCT(OFFSET($BO$15,0,0,$B$14,1), 1*(_xlfn._xlws.FILTER(OFFSET($O$15,0,$DN317,$B$8,1),OFFSET($M$15,0,0,$B$8,1))=EY$13), 1*(_xlfn._xlws.FILTER(OFFSET($O$15,0,$DO317,$B$8,1),OFFSET($M$15,0,0,$B$8,1))=EY$14))   /   SUM(OFFSET($BO$15,0,0,$B$14,1)) + $B$18/($B$19*$B$19*($DN317&lt;&gt;$DO317) + $B$19*($DN317=$DO317))</f>
        <v>3.7037037037037035E-4</v>
      </c>
      <c r="EZ317" s="10" cm="1">
        <f t="array" aca="1" ref="EZ317" ca="1">(1-$B$18)*SUMPRODUCT(OFFSET($BO$15,0,0,$B$14,1), 1*(_xlfn._xlws.FILTER(OFFSET($O$15,0,$DN317,$B$8,1),OFFSET($M$15,0,0,$B$8,1))=EZ$13), 1*(_xlfn._xlws.FILTER(OFFSET($O$15,0,$DO317,$B$8,1),OFFSET($M$15,0,0,$B$8,1))=EZ$14))   /   SUM(OFFSET($BO$15,0,0,$B$14,1)) + $B$18/($B$19*$B$19*($DN317&lt;&gt;$DO317) + $B$19*($DN317=$DO317))</f>
        <v>3.7037037037037035E-4</v>
      </c>
      <c r="FA317" s="10" cm="1">
        <f t="array" aca="1" ref="FA317" ca="1">(1-$B$18)*SUMPRODUCT(OFFSET($BO$15,0,0,$B$14,1), 1*(_xlfn._xlws.FILTER(OFFSET($O$15,0,$DN317,$B$8,1),OFFSET($M$15,0,0,$B$8,1))=FA$13), 1*(_xlfn._xlws.FILTER(OFFSET($O$15,0,$DO317,$B$8,1),OFFSET($M$15,0,0,$B$8,1))=FA$14))   /   SUM(OFFSET($BO$15,0,0,$B$14,1)) + $B$18/($B$19*$B$19*($DN317&lt;&gt;$DO317) + $B$19*($DN317=$DO317))</f>
        <v>3.7037037037037035E-4</v>
      </c>
      <c r="FB317" s="10" cm="1">
        <f t="array" aca="1" ref="FB317" ca="1">(1-$B$18)*SUMPRODUCT(OFFSET($BO$15,0,0,$B$14,1), 1*(_xlfn._xlws.FILTER(OFFSET($O$15,0,$DN317,$B$8,1),OFFSET($M$15,0,0,$B$8,1))=FB$13), 1*(_xlfn._xlws.FILTER(OFFSET($O$15,0,$DO317,$B$8,1),OFFSET($M$15,0,0,$B$8,1))=FB$14))   /   SUM(OFFSET($BO$15,0,0,$B$14,1)) + $B$18/($B$19*$B$19*($DN317&lt;&gt;$DO317) + $B$19*($DN317=$DO317))</f>
        <v>3.7037037037037035E-4</v>
      </c>
      <c r="FC317" s="10" cm="1">
        <f t="array" aca="1" ref="FC317" ca="1">(1-$B$18)*SUMPRODUCT(OFFSET($BO$15,0,0,$B$14,1), 1*(_xlfn._xlws.FILTER(OFFSET($O$15,0,$DN317,$B$8,1),OFFSET($M$15,0,0,$B$8,1))=FC$13), 1*(_xlfn._xlws.FILTER(OFFSET($O$15,0,$DO317,$B$8,1),OFFSET($M$15,0,0,$B$8,1))=FC$14))   /   SUM(OFFSET($BO$15,0,0,$B$14,1)) + $B$18/($B$19*$B$19*($DN317&lt;&gt;$DO317) + $B$19*($DN317=$DO317))</f>
        <v>3.7037037037037035E-4</v>
      </c>
      <c r="FD317" s="10" cm="1">
        <f t="array" aca="1" ref="FD317" ca="1">(1-$B$18)*SUMPRODUCT(OFFSET($BO$15,0,0,$B$14,1), 1*(_xlfn._xlws.FILTER(OFFSET($O$15,0,$DN317,$B$8,1),OFFSET($M$15,0,0,$B$8,1))=FD$13), 1*(_xlfn._xlws.FILTER(OFFSET($O$15,0,$DO317,$B$8,1),OFFSET($M$15,0,0,$B$8,1))=FD$14))   /   SUM(OFFSET($BO$15,0,0,$B$14,1)) + $B$18/($B$19*$B$19*($DN317&lt;&gt;$DO317) + $B$19*($DN317=$DO317))</f>
        <v>3.7037037037037035E-4</v>
      </c>
      <c r="FE317" s="10" cm="1">
        <f t="array" aca="1" ref="FE317" ca="1">(1-$B$18)*SUMPRODUCT(OFFSET($BO$15,0,0,$B$14,1), 1*(_xlfn._xlws.FILTER(OFFSET($O$15,0,$DN317,$B$8,1),OFFSET($M$15,0,0,$B$8,1))=FE$13), 1*(_xlfn._xlws.FILTER(OFFSET($O$15,0,$DO317,$B$8,1),OFFSET($M$15,0,0,$B$8,1))=FE$14))   /   SUM(OFFSET($BO$15,0,0,$B$14,1)) + $B$18/($B$19*$B$19*($DN317&lt;&gt;$DO317) + $B$19*($DN317=$DO317))</f>
        <v>3.7037037037037035E-4</v>
      </c>
      <c r="FF317" s="10" cm="1">
        <f t="array" aca="1" ref="FF317" ca="1">(1-$B$18)*SUMPRODUCT(OFFSET($BO$15,0,0,$B$14,1), 1*(_xlfn._xlws.FILTER(OFFSET($O$15,0,$DN317,$B$8,1),OFFSET($M$15,0,0,$B$8,1))=FF$13), 1*(_xlfn._xlws.FILTER(OFFSET($O$15,0,$DO317,$B$8,1),OFFSET($M$15,0,0,$B$8,1))=FF$14))   /   SUM(OFFSET($BO$15,0,0,$B$14,1)) + $B$18/($B$19*$B$19*($DN317&lt;&gt;$DO317) + $B$19*($DN317=$DO317))</f>
        <v>3.7037037037037035E-4</v>
      </c>
      <c r="FG317" s="10" cm="1">
        <f t="array" aca="1" ref="FG317" ca="1">(1-$B$18)*SUMPRODUCT(OFFSET($BO$15,0,0,$B$14,1), 1*(_xlfn._xlws.FILTER(OFFSET($O$15,0,$DN317,$B$8,1),OFFSET($M$15,0,0,$B$8,1))=FG$13), 1*(_xlfn._xlws.FILTER(OFFSET($O$15,0,$DO317,$B$8,1),OFFSET($M$15,0,0,$B$8,1))=FG$14))   /   SUM(OFFSET($BO$15,0,0,$B$14,1)) + $B$18/($B$19*$B$19*($DN317&lt;&gt;$DO317) + $B$19*($DN317=$DO317))</f>
        <v>3.7037037037037035E-4</v>
      </c>
      <c r="FH317" s="10" cm="1">
        <f t="array" aca="1" ref="FH317" ca="1">(1-$B$18)*SUMPRODUCT(OFFSET($BO$15,0,0,$B$14,1), 1*(_xlfn._xlws.FILTER(OFFSET($O$15,0,$DN317,$B$8,1),OFFSET($M$15,0,0,$B$8,1))=FH$13), 1*(_xlfn._xlws.FILTER(OFFSET($O$15,0,$DO317,$B$8,1),OFFSET($M$15,0,0,$B$8,1))=FH$14))   /   SUM(OFFSET($BO$15,0,0,$B$14,1)) + $B$18/($B$19*$B$19*($DN317&lt;&gt;$DO317) + $B$19*($DN317=$DO317))</f>
        <v>3.7037037037037035E-4</v>
      </c>
      <c r="FI317" s="10" cm="1">
        <f t="array" aca="1" ref="FI317" ca="1">(1-$B$18)*SUMPRODUCT(OFFSET($BO$15,0,0,$B$14,1), 1*(_xlfn._xlws.FILTER(OFFSET($O$15,0,$DN317,$B$8,1),OFFSET($M$15,0,0,$B$8,1))=FI$13), 1*(_xlfn._xlws.FILTER(OFFSET($O$15,0,$DO317,$B$8,1),OFFSET($M$15,0,0,$B$8,1))=FI$14))   /   SUM(OFFSET($BO$15,0,0,$B$14,1)) + $B$18/($B$19*$B$19*($DN317&lt;&gt;$DO317) + $B$19*($DN317=$DO317))</f>
        <v>3.7037037037037035E-4</v>
      </c>
      <c r="FJ317" s="10" cm="1">
        <f t="array" aca="1" ref="FJ317" ca="1">(1-$B$18)*SUMPRODUCT(OFFSET($BO$15,0,0,$B$14,1), 1*(_xlfn._xlws.FILTER(OFFSET($O$15,0,$DN317,$B$8,1),OFFSET($M$15,0,0,$B$8,1))=FJ$13), 1*(_xlfn._xlws.FILTER(OFFSET($O$15,0,$DO317,$B$8,1),OFFSET($M$15,0,0,$B$8,1))=FJ$14))   /   SUM(OFFSET($BO$15,0,0,$B$14,1)) + $B$18/($B$19*$B$19*($DN317&lt;&gt;$DO317) + $B$19*($DN317=$DO317))</f>
        <v>3.7037037037037035E-4</v>
      </c>
      <c r="FK317" s="10" cm="1">
        <f t="array" aca="1" ref="FK317" ca="1">(1-$B$18)*SUMPRODUCT(OFFSET($BO$15,0,0,$B$14,1), 1*(_xlfn._xlws.FILTER(OFFSET($O$15,0,$DN317,$B$8,1),OFFSET($M$15,0,0,$B$8,1))=FK$13), 1*(_xlfn._xlws.FILTER(OFFSET($O$15,0,$DO317,$B$8,1),OFFSET($M$15,0,0,$B$8,1))=FK$14))   /   SUM(OFFSET($BO$15,0,0,$B$14,1)) + $B$18/($B$19*$B$19*($DN317&lt;&gt;$DO317) + $B$19*($DN317=$DO317))</f>
        <v>3.7037037037037035E-4</v>
      </c>
      <c r="FL317" s="10" cm="1">
        <f t="array" aca="1" ref="FL317" ca="1">(1-$B$18)*SUMPRODUCT(OFFSET($BO$15,0,0,$B$14,1), 1*(_xlfn._xlws.FILTER(OFFSET($O$15,0,$DN317,$B$8,1),OFFSET($M$15,0,0,$B$8,1))=FL$13), 1*(_xlfn._xlws.FILTER(OFFSET($O$15,0,$DO317,$B$8,1),OFFSET($M$15,0,0,$B$8,1))=FL$14))   /   SUM(OFFSET($BO$15,0,0,$B$14,1)) + $B$18/($B$19*$B$19*($DN317&lt;&gt;$DO317) + $B$19*($DN317=$DO317))</f>
        <v>3.7037037037037035E-4</v>
      </c>
      <c r="FM317" s="10" cm="1">
        <f t="array" aca="1" ref="FM317" ca="1">(1-$B$18)*SUMPRODUCT(OFFSET($BO$15,0,0,$B$14,1), 1*(_xlfn._xlws.FILTER(OFFSET($O$15,0,$DN317,$B$8,1),OFFSET($M$15,0,0,$B$8,1))=FM$13), 1*(_xlfn._xlws.FILTER(OFFSET($O$15,0,$DO317,$B$8,1),OFFSET($M$15,0,0,$B$8,1))=FM$14))   /   SUM(OFFSET($BO$15,0,0,$B$14,1)) + $B$18/($B$19*$B$19*($DN317&lt;&gt;$DO317) + $B$19*($DN317=$DO317))</f>
        <v>3.7037037037037035E-4</v>
      </c>
      <c r="FN317" s="10" cm="1">
        <f t="array" aca="1" ref="FN317" ca="1">(1-$B$18)*SUMPRODUCT(OFFSET($BO$15,0,0,$B$14,1), 1*(_xlfn._xlws.FILTER(OFFSET($O$15,0,$DN317,$B$8,1),OFFSET($M$15,0,0,$B$8,1))=FN$13), 1*(_xlfn._xlws.FILTER(OFFSET($O$15,0,$DO317,$B$8,1),OFFSET($M$15,0,0,$B$8,1))=FN$14))   /   SUM(OFFSET($BO$15,0,0,$B$14,1)) + $B$18/($B$19*$B$19*($DN317&lt;&gt;$DO317) + $B$19*($DN317=$DO317))</f>
        <v>3.7037037037037035E-4</v>
      </c>
      <c r="FO317" s="10" cm="1">
        <f t="array" aca="1" ref="FO317" ca="1">(1-$B$18)*SUMPRODUCT(OFFSET($BO$15,0,0,$B$14,1), 1*(_xlfn._xlws.FILTER(OFFSET($O$15,0,$DN317,$B$8,1),OFFSET($M$15,0,0,$B$8,1))=FO$13), 1*(_xlfn._xlws.FILTER(OFFSET($O$15,0,$DO317,$B$8,1),OFFSET($M$15,0,0,$B$8,1))=FO$14))   /   SUM(OFFSET($BO$15,0,0,$B$14,1)) + $B$18/($B$19*$B$19*($DN317&lt;&gt;$DO317) + $B$19*($DN317=$DO317))</f>
        <v>3.7037037037037035E-4</v>
      </c>
      <c r="FP317" s="10" cm="1">
        <f t="array" aca="1" ref="FP317" ca="1">(1-$B$18)*SUMPRODUCT(OFFSET($BO$15,0,0,$B$14,1), 1*(_xlfn._xlws.FILTER(OFFSET($O$15,0,$DN317,$B$8,1),OFFSET($M$15,0,0,$B$8,1))=FP$13), 1*(_xlfn._xlws.FILTER(OFFSET($O$15,0,$DO317,$B$8,1),OFFSET($M$15,0,0,$B$8,1))=FP$14))   /   SUM(OFFSET($BO$15,0,0,$B$14,1)) + $B$18/($B$19*$B$19*($DN317&lt;&gt;$DO317) + $B$19*($DN317=$DO317))</f>
        <v>3.7037037037037035E-4</v>
      </c>
      <c r="FQ317" s="10" cm="1">
        <f t="array" aca="1" ref="FQ317" ca="1">(1-$B$18)*SUMPRODUCT(OFFSET($BO$15,0,0,$B$14,1), 1*(_xlfn._xlws.FILTER(OFFSET($O$15,0,$DN317,$B$8,1),OFFSET($M$15,0,0,$B$8,1))=FQ$13), 1*(_xlfn._xlws.FILTER(OFFSET($O$15,0,$DO317,$B$8,1),OFFSET($M$15,0,0,$B$8,1))=FQ$14))   /   SUM(OFFSET($BO$15,0,0,$B$14,1)) + $B$18/($B$19*$B$19*($DN317&lt;&gt;$DO317) + $B$19*($DN317=$DO317))</f>
        <v>3.7037037037037035E-4</v>
      </c>
      <c r="FR317" s="10" cm="1">
        <f t="array" aca="1" ref="FR317" ca="1">(1-$B$18)*SUMPRODUCT(OFFSET($BO$15,0,0,$B$14,1), 1*(_xlfn._xlws.FILTER(OFFSET($O$15,0,$DN317,$B$8,1),OFFSET($M$15,0,0,$B$8,1))=FR$13), 1*(_xlfn._xlws.FILTER(OFFSET($O$15,0,$DO317,$B$8,1),OFFSET($M$15,0,0,$B$8,1))=FR$14))   /   SUM(OFFSET($BO$15,0,0,$B$14,1)) + $B$18/($B$19*$B$19*($DN317&lt;&gt;$DO317) + $B$19*($DN317=$DO317))</f>
        <v>3.7037037037037035E-4</v>
      </c>
      <c r="FS317" s="10" cm="1">
        <f t="array" aca="1" ref="FS317" ca="1">(1-$B$18)*SUMPRODUCT(OFFSET($BO$15,0,0,$B$14,1), 1*(_xlfn._xlws.FILTER(OFFSET($O$15,0,$DN317,$B$8,1),OFFSET($M$15,0,0,$B$8,1))=FS$13), 1*(_xlfn._xlws.FILTER(OFFSET($O$15,0,$DO317,$B$8,1),OFFSET($M$15,0,0,$B$8,1))=FS$14))   /   SUM(OFFSET($BO$15,0,0,$B$14,1)) + $B$18/($B$19*$B$19*($DN317&lt;&gt;$DO317) + $B$19*($DN317=$DO317))</f>
        <v>3.7037037037037035E-4</v>
      </c>
      <c r="FT317" s="10" cm="1">
        <f t="array" aca="1" ref="FT317" ca="1">(1-$B$18)*SUMPRODUCT(OFFSET($BO$15,0,0,$B$14,1), 1*(_xlfn._xlws.FILTER(OFFSET($O$15,0,$DN317,$B$8,1),OFFSET($M$15,0,0,$B$8,1))=FT$13), 1*(_xlfn._xlws.FILTER(OFFSET($O$15,0,$DO317,$B$8,1),OFFSET($M$15,0,0,$B$8,1))=FT$14))   /   SUM(OFFSET($BO$15,0,0,$B$14,1)) + $B$18/($B$19*$B$19*($DN317&lt;&gt;$DO317) + $B$19*($DN317=$DO317))</f>
        <v>3.7037037037037035E-4</v>
      </c>
      <c r="FU317" s="10" cm="1">
        <f t="array" aca="1" ref="FU317" ca="1">(1-$B$18)*SUMPRODUCT(OFFSET($BO$15,0,0,$B$14,1), 1*(_xlfn._xlws.FILTER(OFFSET($O$15,0,$DN317,$B$8,1),OFFSET($M$15,0,0,$B$8,1))=FU$13), 1*(_xlfn._xlws.FILTER(OFFSET($O$15,0,$DO317,$B$8,1),OFFSET($M$15,0,0,$B$8,1))=FU$14))   /   SUM(OFFSET($BO$15,0,0,$B$14,1)) + $B$18/($B$19*$B$19*($DN317&lt;&gt;$DO317) + $B$19*($DN317=$DO317))</f>
        <v>3.7037037037037035E-4</v>
      </c>
      <c r="FV317" s="10" cm="1">
        <f t="array" aca="1" ref="FV317" ca="1">(1-$B$18)*SUMPRODUCT(OFFSET($BO$15,0,0,$B$14,1), 1*(_xlfn._xlws.FILTER(OFFSET($O$15,0,$DN317,$B$8,1),OFFSET($M$15,0,0,$B$8,1))=FV$13), 1*(_xlfn._xlws.FILTER(OFFSET($O$15,0,$DO317,$B$8,1),OFFSET($M$15,0,0,$B$8,1))=FV$14))   /   SUM(OFFSET($BO$15,0,0,$B$14,1)) + $B$18/($B$19*$B$19*($DN317&lt;&gt;$DO317) + $B$19*($DN317=$DO317))</f>
        <v>3.7037037037037035E-4</v>
      </c>
      <c r="FW317" s="10" cm="1">
        <f t="array" aca="1" ref="FW317" ca="1">(1-$B$18)*SUMPRODUCT(OFFSET($BO$15,0,0,$B$14,1), 1*(_xlfn._xlws.FILTER(OFFSET($O$15,0,$DN317,$B$8,1),OFFSET($M$15,0,0,$B$8,1))=FW$13), 1*(_xlfn._xlws.FILTER(OFFSET($O$15,0,$DO317,$B$8,1),OFFSET($M$15,0,0,$B$8,1))=FW$14))   /   SUM(OFFSET($BO$15,0,0,$B$14,1)) + $B$18/($B$19*$B$19*($DN317&lt;&gt;$DO317) + $B$19*($DN317=$DO317))</f>
        <v>3.7037037037037035E-4</v>
      </c>
      <c r="FX317" s="10" cm="1">
        <f t="array" aca="1" ref="FX317" ca="1">(1-$B$18)*SUMPRODUCT(OFFSET($BO$15,0,0,$B$14,1), 1*(_xlfn._xlws.FILTER(OFFSET($O$15,0,$DN317,$B$8,1),OFFSET($M$15,0,0,$B$8,1))=FX$13), 1*(_xlfn._xlws.FILTER(OFFSET($O$15,0,$DO317,$B$8,1),OFFSET($M$15,0,0,$B$8,1))=FX$14))   /   SUM(OFFSET($BO$15,0,0,$B$14,1)) + $B$18/($B$19*$B$19*($DN317&lt;&gt;$DO317) + $B$19*($DN317=$DO317))</f>
        <v>3.7037037037037035E-4</v>
      </c>
      <c r="FY317" s="10" cm="1">
        <f t="array" aca="1" ref="FY317" ca="1">(1-$B$18)*SUMPRODUCT(OFFSET($BO$15,0,0,$B$14,1), 1*(_xlfn._xlws.FILTER(OFFSET($O$15,0,$DN317,$B$8,1),OFFSET($M$15,0,0,$B$8,1))=FY$13), 1*(_xlfn._xlws.FILTER(OFFSET($O$15,0,$DO317,$B$8,1),OFFSET($M$15,0,0,$B$8,1))=FY$14))   /   SUM(OFFSET($BO$15,0,0,$B$14,1)) + $B$18/($B$19*$B$19*($DN317&lt;&gt;$DO317) + $B$19*($DN317=$DO317))</f>
        <v>3.7037037037037035E-4</v>
      </c>
      <c r="FZ317" s="10" cm="1">
        <f t="array" aca="1" ref="FZ317" ca="1">(1-$B$18)*SUMPRODUCT(OFFSET($BO$15,0,0,$B$14,1), 1*(_xlfn._xlws.FILTER(OFFSET($O$15,0,$DN317,$B$8,1),OFFSET($M$15,0,0,$B$8,1))=FZ$13), 1*(_xlfn._xlws.FILTER(OFFSET($O$15,0,$DO317,$B$8,1),OFFSET($M$15,0,0,$B$8,1))=FZ$14))   /   SUM(OFFSET($BO$15,0,0,$B$14,1)) + $B$18/($B$19*$B$19*($DN317&lt;&gt;$DO317) + $B$19*($DN317=$DO317))</f>
        <v>3.7037037037037035E-4</v>
      </c>
      <c r="GA317" s="10" cm="1">
        <f t="array" aca="1" ref="GA317" ca="1">(1-$B$18)*SUMPRODUCT(OFFSET($BO$15,0,0,$B$14,1), 1*(_xlfn._xlws.FILTER(OFFSET($O$15,0,$DN317,$B$8,1),OFFSET($M$15,0,0,$B$8,1))=GA$13), 1*(_xlfn._xlws.FILTER(OFFSET($O$15,0,$DO317,$B$8,1),OFFSET($M$15,0,0,$B$8,1))=GA$14))   /   SUM(OFFSET($BO$15,0,0,$B$14,1)) + $B$18/($B$19*$B$19*($DN317&lt;&gt;$DO317) + $B$19*($DN317=$DO317))</f>
        <v>3.7037037037037035E-4</v>
      </c>
    </row>
    <row r="318" spans="118:183" x14ac:dyDescent="0.2">
      <c r="DN318" cm="1">
        <f t="array" aca="1" ref="DN318" ca="1">INDEX(_xlfn.ANCHORARRAY($CP$15), 1 + INT((ROWS($DO$15:$DO318) - 1) / ROWS(_xlfn.ANCHORARRAY($CP$15))))</f>
        <v>18</v>
      </c>
      <c r="DO318" cm="1">
        <f t="array" aca="1" ref="DO318" ca="1">INDEX(_xlfn.ANCHORARRAY($CP$15),1+MOD(ROWS($DO$15:$DO318)-1,ROWS(_xlfn.ANCHORARRAY($CP$15))))</f>
        <v>21</v>
      </c>
      <c r="DP318" s="10" cm="1">
        <f t="array" aca="1" ref="DP318" ca="1">(1-$B$18)*SUMPRODUCT(OFFSET($BO$15,0,0,$B$14,1), 1*(_xlfn._xlws.FILTER(OFFSET($O$15,0,$DN318,$B$8,1),OFFSET($M$15,0,0,$B$8,1))=DP$13), 1*(_xlfn._xlws.FILTER(OFFSET($O$15,0,$DO318,$B$8,1),OFFSET($M$15,0,0,$B$8,1))=DP$14))   /   SUM(OFFSET($BO$15,0,0,$B$14,1)) + $B$18/($B$19*$B$19*($DN318&lt;&gt;$DO318) + $B$19*($DN318=$DO318))</f>
        <v>3.7037037037037035E-4</v>
      </c>
      <c r="DQ318" s="10" cm="1">
        <f t="array" aca="1" ref="DQ318" ca="1">(1-$B$18)*SUMPRODUCT(OFFSET($BO$15,0,0,$B$14,1), 1*(_xlfn._xlws.FILTER(OFFSET($O$15,0,$DN318,$B$8,1),OFFSET($M$15,0,0,$B$8,1))=DQ$13), 1*(_xlfn._xlws.FILTER(OFFSET($O$15,0,$DO318,$B$8,1),OFFSET($M$15,0,0,$B$8,1))=DQ$14))   /   SUM(OFFSET($BO$15,0,0,$B$14,1)) + $B$18/($B$19*$B$19*($DN318&lt;&gt;$DO318) + $B$19*($DN318=$DO318))</f>
        <v>3.7037037037037035E-4</v>
      </c>
      <c r="DR318" s="10" cm="1">
        <f t="array" aca="1" ref="DR318" ca="1">(1-$B$18)*SUMPRODUCT(OFFSET($BO$15,0,0,$B$14,1), 1*(_xlfn._xlws.FILTER(OFFSET($O$15,0,$DN318,$B$8,1),OFFSET($M$15,0,0,$B$8,1))=DR$13), 1*(_xlfn._xlws.FILTER(OFFSET($O$15,0,$DO318,$B$8,1),OFFSET($M$15,0,0,$B$8,1))=DR$14))   /   SUM(OFFSET($BO$15,0,0,$B$14,1)) + $B$18/($B$19*$B$19*($DN318&lt;&gt;$DO318) + $B$19*($DN318=$DO318))</f>
        <v>3.7037037037037035E-4</v>
      </c>
      <c r="DS318" s="10" cm="1">
        <f t="array" aca="1" ref="DS318" ca="1">(1-$B$18)*SUMPRODUCT(OFFSET($BO$15,0,0,$B$14,1), 1*(_xlfn._xlws.FILTER(OFFSET($O$15,0,$DN318,$B$8,1),OFFSET($M$15,0,0,$B$8,1))=DS$13), 1*(_xlfn._xlws.FILTER(OFFSET($O$15,0,$DO318,$B$8,1),OFFSET($M$15,0,0,$B$8,1))=DS$14))   /   SUM(OFFSET($BO$15,0,0,$B$14,1)) + $B$18/($B$19*$B$19*($DN318&lt;&gt;$DO318) + $B$19*($DN318=$DO318))</f>
        <v>3.7037037037037035E-4</v>
      </c>
      <c r="DT318" s="10" cm="1">
        <f t="array" aca="1" ref="DT318" ca="1">(1-$B$18)*SUMPRODUCT(OFFSET($BO$15,0,0,$B$14,1), 1*(_xlfn._xlws.FILTER(OFFSET($O$15,0,$DN318,$B$8,1),OFFSET($M$15,0,0,$B$8,1))=DT$13), 1*(_xlfn._xlws.FILTER(OFFSET($O$15,0,$DO318,$B$8,1),OFFSET($M$15,0,0,$B$8,1))=DT$14))   /   SUM(OFFSET($BO$15,0,0,$B$14,1)) + $B$18/($B$19*$B$19*($DN318&lt;&gt;$DO318) + $B$19*($DN318=$DO318))</f>
        <v>3.7037037037037035E-4</v>
      </c>
      <c r="DU318" s="10" cm="1">
        <f t="array" aca="1" ref="DU318" ca="1">(1-$B$18)*SUMPRODUCT(OFFSET($BO$15,0,0,$B$14,1), 1*(_xlfn._xlws.FILTER(OFFSET($O$15,0,$DN318,$B$8,1),OFFSET($M$15,0,0,$B$8,1))=DU$13), 1*(_xlfn._xlws.FILTER(OFFSET($O$15,0,$DO318,$B$8,1),OFFSET($M$15,0,0,$B$8,1))=DU$14))   /   SUM(OFFSET($BO$15,0,0,$B$14,1)) + $B$18/($B$19*$B$19*($DN318&lt;&gt;$DO318) + $B$19*($DN318=$DO318))</f>
        <v>3.7037037037037035E-4</v>
      </c>
      <c r="DV318" s="10" cm="1">
        <f t="array" aca="1" ref="DV318" ca="1">(1-$B$18)*SUMPRODUCT(OFFSET($BO$15,0,0,$B$14,1), 1*(_xlfn._xlws.FILTER(OFFSET($O$15,0,$DN318,$B$8,1),OFFSET($M$15,0,0,$B$8,1))=DV$13), 1*(_xlfn._xlws.FILTER(OFFSET($O$15,0,$DO318,$B$8,1),OFFSET($M$15,0,0,$B$8,1))=DV$14))   /   SUM(OFFSET($BO$15,0,0,$B$14,1)) + $B$18/($B$19*$B$19*($DN318&lt;&gt;$DO318) + $B$19*($DN318=$DO318))</f>
        <v>3.7037037037037035E-4</v>
      </c>
      <c r="DW318" s="10" cm="1">
        <f t="array" aca="1" ref="DW318" ca="1">(1-$B$18)*SUMPRODUCT(OFFSET($BO$15,0,0,$B$14,1), 1*(_xlfn._xlws.FILTER(OFFSET($O$15,0,$DN318,$B$8,1),OFFSET($M$15,0,0,$B$8,1))=DW$13), 1*(_xlfn._xlws.FILTER(OFFSET($O$15,0,$DO318,$B$8,1),OFFSET($M$15,0,0,$B$8,1))=DW$14))   /   SUM(OFFSET($BO$15,0,0,$B$14,1)) + $B$18/($B$19*$B$19*($DN318&lt;&gt;$DO318) + $B$19*($DN318=$DO318))</f>
        <v>3.7037037037037035E-4</v>
      </c>
      <c r="DX318" s="10" cm="1">
        <f t="array" aca="1" ref="DX318" ca="1">(1-$B$18)*SUMPRODUCT(OFFSET($BO$15,0,0,$B$14,1), 1*(_xlfn._xlws.FILTER(OFFSET($O$15,0,$DN318,$B$8,1),OFFSET($M$15,0,0,$B$8,1))=DX$13), 1*(_xlfn._xlws.FILTER(OFFSET($O$15,0,$DO318,$B$8,1),OFFSET($M$15,0,0,$B$8,1))=DX$14))   /   SUM(OFFSET($BO$15,0,0,$B$14,1)) + $B$18/($B$19*$B$19*($DN318&lt;&gt;$DO318) + $B$19*($DN318=$DO318))</f>
        <v>3.7037037037037035E-4</v>
      </c>
      <c r="DY318" s="10" cm="1">
        <f t="array" aca="1" ref="DY318" ca="1">(1-$B$18)*SUMPRODUCT(OFFSET($BO$15,0,0,$B$14,1), 1*(_xlfn._xlws.FILTER(OFFSET($O$15,0,$DN318,$B$8,1),OFFSET($M$15,0,0,$B$8,1))=DY$13), 1*(_xlfn._xlws.FILTER(OFFSET($O$15,0,$DO318,$B$8,1),OFFSET($M$15,0,0,$B$8,1))=DY$14))   /   SUM(OFFSET($BO$15,0,0,$B$14,1)) + $B$18/($B$19*$B$19*($DN318&lt;&gt;$DO318) + $B$19*($DN318=$DO318))</f>
        <v>3.7037037037037035E-4</v>
      </c>
      <c r="DZ318" s="10" cm="1">
        <f t="array" aca="1" ref="DZ318" ca="1">(1-$B$18)*SUMPRODUCT(OFFSET($BO$15,0,0,$B$14,1), 1*(_xlfn._xlws.FILTER(OFFSET($O$15,0,$DN318,$B$8,1),OFFSET($M$15,0,0,$B$8,1))=DZ$13), 1*(_xlfn._xlws.FILTER(OFFSET($O$15,0,$DO318,$B$8,1),OFFSET($M$15,0,0,$B$8,1))=DZ$14))   /   SUM(OFFSET($BO$15,0,0,$B$14,1)) + $B$18/($B$19*$B$19*($DN318&lt;&gt;$DO318) + $B$19*($DN318=$DO318))</f>
        <v>3.7037037037037035E-4</v>
      </c>
      <c r="EA318" s="10" cm="1">
        <f t="array" aca="1" ref="EA318" ca="1">(1-$B$18)*SUMPRODUCT(OFFSET($BO$15,0,0,$B$14,1), 1*(_xlfn._xlws.FILTER(OFFSET($O$15,0,$DN318,$B$8,1),OFFSET($M$15,0,0,$B$8,1))=EA$13), 1*(_xlfn._xlws.FILTER(OFFSET($O$15,0,$DO318,$B$8,1),OFFSET($M$15,0,0,$B$8,1))=EA$14))   /   SUM(OFFSET($BO$15,0,0,$B$14,1)) + $B$18/($B$19*$B$19*($DN318&lt;&gt;$DO318) + $B$19*($DN318=$DO318))</f>
        <v>3.7037037037037035E-4</v>
      </c>
      <c r="EB318" s="10" cm="1">
        <f t="array" aca="1" ref="EB318" ca="1">(1-$B$18)*SUMPRODUCT(OFFSET($BO$15,0,0,$B$14,1), 1*(_xlfn._xlws.FILTER(OFFSET($O$15,0,$DN318,$B$8,1),OFFSET($M$15,0,0,$B$8,1))=EB$13), 1*(_xlfn._xlws.FILTER(OFFSET($O$15,0,$DO318,$B$8,1),OFFSET($M$15,0,0,$B$8,1))=EB$14))   /   SUM(OFFSET($BO$15,0,0,$B$14,1)) + $B$18/($B$19*$B$19*($DN318&lt;&gt;$DO318) + $B$19*($DN318=$DO318))</f>
        <v>3.7037037037037035E-4</v>
      </c>
      <c r="EC318" s="10" cm="1">
        <f t="array" aca="1" ref="EC318" ca="1">(1-$B$18)*SUMPRODUCT(OFFSET($BO$15,0,0,$B$14,1), 1*(_xlfn._xlws.FILTER(OFFSET($O$15,0,$DN318,$B$8,1),OFFSET($M$15,0,0,$B$8,1))=EC$13), 1*(_xlfn._xlws.FILTER(OFFSET($O$15,0,$DO318,$B$8,1),OFFSET($M$15,0,0,$B$8,1))=EC$14))   /   SUM(OFFSET($BO$15,0,0,$B$14,1)) + $B$18/($B$19*$B$19*($DN318&lt;&gt;$DO318) + $B$19*($DN318=$DO318))</f>
        <v>3.7037037037037035E-4</v>
      </c>
      <c r="ED318" s="10" cm="1">
        <f t="array" aca="1" ref="ED318" ca="1">(1-$B$18)*SUMPRODUCT(OFFSET($BO$15,0,0,$B$14,1), 1*(_xlfn._xlws.FILTER(OFFSET($O$15,0,$DN318,$B$8,1),OFFSET($M$15,0,0,$B$8,1))=ED$13), 1*(_xlfn._xlws.FILTER(OFFSET($O$15,0,$DO318,$B$8,1),OFFSET($M$15,0,0,$B$8,1))=ED$14))   /   SUM(OFFSET($BO$15,0,0,$B$14,1)) + $B$18/($B$19*$B$19*($DN318&lt;&gt;$DO318) + $B$19*($DN318=$DO318))</f>
        <v>3.7037037037037035E-4</v>
      </c>
      <c r="EE318" s="10" cm="1">
        <f t="array" aca="1" ref="EE318" ca="1">(1-$B$18)*SUMPRODUCT(OFFSET($BO$15,0,0,$B$14,1), 1*(_xlfn._xlws.FILTER(OFFSET($O$15,0,$DN318,$B$8,1),OFFSET($M$15,0,0,$B$8,1))=EE$13), 1*(_xlfn._xlws.FILTER(OFFSET($O$15,0,$DO318,$B$8,1),OFFSET($M$15,0,0,$B$8,1))=EE$14))   /   SUM(OFFSET($BO$15,0,0,$B$14,1)) + $B$18/($B$19*$B$19*($DN318&lt;&gt;$DO318) + $B$19*($DN318=$DO318))</f>
        <v>3.7037037037037035E-4</v>
      </c>
      <c r="EF318" s="10" cm="1">
        <f t="array" aca="1" ref="EF318" ca="1">(1-$B$18)*SUMPRODUCT(OFFSET($BO$15,0,0,$B$14,1), 1*(_xlfn._xlws.FILTER(OFFSET($O$15,0,$DN318,$B$8,1),OFFSET($M$15,0,0,$B$8,1))=EF$13), 1*(_xlfn._xlws.FILTER(OFFSET($O$15,0,$DO318,$B$8,1),OFFSET($M$15,0,0,$B$8,1))=EF$14))   /   SUM(OFFSET($BO$15,0,0,$B$14,1)) + $B$18/($B$19*$B$19*($DN318&lt;&gt;$DO318) + $B$19*($DN318=$DO318))</f>
        <v>3.7037037037037035E-4</v>
      </c>
      <c r="EG318" s="10" cm="1">
        <f t="array" aca="1" ref="EG318" ca="1">(1-$B$18)*SUMPRODUCT(OFFSET($BO$15,0,0,$B$14,1), 1*(_xlfn._xlws.FILTER(OFFSET($O$15,0,$DN318,$B$8,1),OFFSET($M$15,0,0,$B$8,1))=EG$13), 1*(_xlfn._xlws.FILTER(OFFSET($O$15,0,$DO318,$B$8,1),OFFSET($M$15,0,0,$B$8,1))=EG$14))   /   SUM(OFFSET($BO$15,0,0,$B$14,1)) + $B$18/($B$19*$B$19*($DN318&lt;&gt;$DO318) + $B$19*($DN318=$DO318))</f>
        <v>3.7037037037037035E-4</v>
      </c>
      <c r="EH318" s="10" cm="1">
        <f t="array" aca="1" ref="EH318" ca="1">(1-$B$18)*SUMPRODUCT(OFFSET($BO$15,0,0,$B$14,1), 1*(_xlfn._xlws.FILTER(OFFSET($O$15,0,$DN318,$B$8,1),OFFSET($M$15,0,0,$B$8,1))=EH$13), 1*(_xlfn._xlws.FILTER(OFFSET($O$15,0,$DO318,$B$8,1),OFFSET($M$15,0,0,$B$8,1))=EH$14))   /   SUM(OFFSET($BO$15,0,0,$B$14,1)) + $B$18/($B$19*$B$19*($DN318&lt;&gt;$DO318) + $B$19*($DN318=$DO318))</f>
        <v>3.7037037037037035E-4</v>
      </c>
      <c r="EI318" s="10" cm="1">
        <f t="array" aca="1" ref="EI318" ca="1">(1-$B$18)*SUMPRODUCT(OFFSET($BO$15,0,0,$B$14,1), 1*(_xlfn._xlws.FILTER(OFFSET($O$15,0,$DN318,$B$8,1),OFFSET($M$15,0,0,$B$8,1))=EI$13), 1*(_xlfn._xlws.FILTER(OFFSET($O$15,0,$DO318,$B$8,1),OFFSET($M$15,0,0,$B$8,1))=EI$14))   /   SUM(OFFSET($BO$15,0,0,$B$14,1)) + $B$18/($B$19*$B$19*($DN318&lt;&gt;$DO318) + $B$19*($DN318=$DO318))</f>
        <v>3.7037037037037035E-4</v>
      </c>
      <c r="EJ318" s="10" cm="1">
        <f t="array" aca="1" ref="EJ318" ca="1">(1-$B$18)*SUMPRODUCT(OFFSET($BO$15,0,0,$B$14,1), 1*(_xlfn._xlws.FILTER(OFFSET($O$15,0,$DN318,$B$8,1),OFFSET($M$15,0,0,$B$8,1))=EJ$13), 1*(_xlfn._xlws.FILTER(OFFSET($O$15,0,$DO318,$B$8,1),OFFSET($M$15,0,0,$B$8,1))=EJ$14))   /   SUM(OFFSET($BO$15,0,0,$B$14,1)) + $B$18/($B$19*$B$19*($DN318&lt;&gt;$DO318) + $B$19*($DN318=$DO318))</f>
        <v>3.7037037037037035E-4</v>
      </c>
      <c r="EK318" s="10" cm="1">
        <f t="array" aca="1" ref="EK318" ca="1">(1-$B$18)*SUMPRODUCT(OFFSET($BO$15,0,0,$B$14,1), 1*(_xlfn._xlws.FILTER(OFFSET($O$15,0,$DN318,$B$8,1),OFFSET($M$15,0,0,$B$8,1))=EK$13), 1*(_xlfn._xlws.FILTER(OFFSET($O$15,0,$DO318,$B$8,1),OFFSET($M$15,0,0,$B$8,1))=EK$14))   /   SUM(OFFSET($BO$15,0,0,$B$14,1)) + $B$18/($B$19*$B$19*($DN318&lt;&gt;$DO318) + $B$19*($DN318=$DO318))</f>
        <v>3.7037037037037035E-4</v>
      </c>
      <c r="EL318" s="10" cm="1">
        <f t="array" aca="1" ref="EL318" ca="1">(1-$B$18)*SUMPRODUCT(OFFSET($BO$15,0,0,$B$14,1), 1*(_xlfn._xlws.FILTER(OFFSET($O$15,0,$DN318,$B$8,1),OFFSET($M$15,0,0,$B$8,1))=EL$13), 1*(_xlfn._xlws.FILTER(OFFSET($O$15,0,$DO318,$B$8,1),OFFSET($M$15,0,0,$B$8,1))=EL$14))   /   SUM(OFFSET($BO$15,0,0,$B$14,1)) + $B$18/($B$19*$B$19*($DN318&lt;&gt;$DO318) + $B$19*($DN318=$DO318))</f>
        <v>3.7037037037037035E-4</v>
      </c>
      <c r="EM318" s="10" cm="1">
        <f t="array" aca="1" ref="EM318" ca="1">(1-$B$18)*SUMPRODUCT(OFFSET($BO$15,0,0,$B$14,1), 1*(_xlfn._xlws.FILTER(OFFSET($O$15,0,$DN318,$B$8,1),OFFSET($M$15,0,0,$B$8,1))=EM$13), 1*(_xlfn._xlws.FILTER(OFFSET($O$15,0,$DO318,$B$8,1),OFFSET($M$15,0,0,$B$8,1))=EM$14))   /   SUM(OFFSET($BO$15,0,0,$B$14,1)) + $B$18/($B$19*$B$19*($DN318&lt;&gt;$DO318) + $B$19*($DN318=$DO318))</f>
        <v>3.7037037037037035E-4</v>
      </c>
      <c r="EN318" s="10" cm="1">
        <f t="array" aca="1" ref="EN318" ca="1">(1-$B$18)*SUMPRODUCT(OFFSET($BO$15,0,0,$B$14,1), 1*(_xlfn._xlws.FILTER(OFFSET($O$15,0,$DN318,$B$8,1),OFFSET($M$15,0,0,$B$8,1))=EN$13), 1*(_xlfn._xlws.FILTER(OFFSET($O$15,0,$DO318,$B$8,1),OFFSET($M$15,0,0,$B$8,1))=EN$14))   /   SUM(OFFSET($BO$15,0,0,$B$14,1)) + $B$18/($B$19*$B$19*($DN318&lt;&gt;$DO318) + $B$19*($DN318=$DO318))</f>
        <v>3.7037037037037035E-4</v>
      </c>
      <c r="EO318" s="10" cm="1">
        <f t="array" aca="1" ref="EO318" ca="1">(1-$B$18)*SUMPRODUCT(OFFSET($BO$15,0,0,$B$14,1), 1*(_xlfn._xlws.FILTER(OFFSET($O$15,0,$DN318,$B$8,1),OFFSET($M$15,0,0,$B$8,1))=EO$13), 1*(_xlfn._xlws.FILTER(OFFSET($O$15,0,$DO318,$B$8,1),OFFSET($M$15,0,0,$B$8,1))=EO$14))   /   SUM(OFFSET($BO$15,0,0,$B$14,1)) + $B$18/($B$19*$B$19*($DN318&lt;&gt;$DO318) + $B$19*($DN318=$DO318))</f>
        <v>3.7037037037037035E-4</v>
      </c>
      <c r="EP318" s="10" cm="1">
        <f t="array" aca="1" ref="EP318" ca="1">(1-$B$18)*SUMPRODUCT(OFFSET($BO$15,0,0,$B$14,1), 1*(_xlfn._xlws.FILTER(OFFSET($O$15,0,$DN318,$B$8,1),OFFSET($M$15,0,0,$B$8,1))=EP$13), 1*(_xlfn._xlws.FILTER(OFFSET($O$15,0,$DO318,$B$8,1),OFFSET($M$15,0,0,$B$8,1))=EP$14))   /   SUM(OFFSET($BO$15,0,0,$B$14,1)) + $B$18/($B$19*$B$19*($DN318&lt;&gt;$DO318) + $B$19*($DN318=$DO318))</f>
        <v>3.7037037037037035E-4</v>
      </c>
      <c r="EQ318" s="10" cm="1">
        <f t="array" aca="1" ref="EQ318" ca="1">(1-$B$18)*SUMPRODUCT(OFFSET($BO$15,0,0,$B$14,1), 1*(_xlfn._xlws.FILTER(OFFSET($O$15,0,$DN318,$B$8,1),OFFSET($M$15,0,0,$B$8,1))=EQ$13), 1*(_xlfn._xlws.FILTER(OFFSET($O$15,0,$DO318,$B$8,1),OFFSET($M$15,0,0,$B$8,1))=EQ$14))   /   SUM(OFFSET($BO$15,0,0,$B$14,1)) + $B$18/($B$19*$B$19*($DN318&lt;&gt;$DO318) + $B$19*($DN318=$DO318))</f>
        <v>3.7037037037037035E-4</v>
      </c>
      <c r="ER318" s="10" cm="1">
        <f t="array" aca="1" ref="ER318" ca="1">(1-$B$18)*SUMPRODUCT(OFFSET($BO$15,0,0,$B$14,1), 1*(_xlfn._xlws.FILTER(OFFSET($O$15,0,$DN318,$B$8,1),OFFSET($M$15,0,0,$B$8,1))=ER$13), 1*(_xlfn._xlws.FILTER(OFFSET($O$15,0,$DO318,$B$8,1),OFFSET($M$15,0,0,$B$8,1))=ER$14))   /   SUM(OFFSET($BO$15,0,0,$B$14,1)) + $B$18/($B$19*$B$19*($DN318&lt;&gt;$DO318) + $B$19*($DN318=$DO318))</f>
        <v>0.24287037037037024</v>
      </c>
      <c r="ES318" s="10" cm="1">
        <f t="array" aca="1" ref="ES318" ca="1">(1-$B$18)*SUMPRODUCT(OFFSET($BO$15,0,0,$B$14,1), 1*(_xlfn._xlws.FILTER(OFFSET($O$15,0,$DN318,$B$8,1),OFFSET($M$15,0,0,$B$8,1))=ES$13), 1*(_xlfn._xlws.FILTER(OFFSET($O$15,0,$DO318,$B$8,1),OFFSET($M$15,0,0,$B$8,1))=ES$14))   /   SUM(OFFSET($BO$15,0,0,$B$14,1)) + $B$18/($B$19*$B$19*($DN318&lt;&gt;$DO318) + $B$19*($DN318=$DO318))</f>
        <v>0.48537037037037012</v>
      </c>
      <c r="ET318" s="10" cm="1">
        <f t="array" aca="1" ref="ET318" ca="1">(1-$B$18)*SUMPRODUCT(OFFSET($BO$15,0,0,$B$14,1), 1*(_xlfn._xlws.FILTER(OFFSET($O$15,0,$DN318,$B$8,1),OFFSET($M$15,0,0,$B$8,1))=ET$13), 1*(_xlfn._xlws.FILTER(OFFSET($O$15,0,$DO318,$B$8,1),OFFSET($M$15,0,0,$B$8,1))=ET$14))   /   SUM(OFFSET($BO$15,0,0,$B$14,1)) + $B$18/($B$19*$B$19*($DN318&lt;&gt;$DO318) + $B$19*($DN318=$DO318))</f>
        <v>0.24287037037037026</v>
      </c>
      <c r="EU318" s="10" cm="1">
        <f t="array" aca="1" ref="EU318" ca="1">(1-$B$18)*SUMPRODUCT(OFFSET($BO$15,0,0,$B$14,1), 1*(_xlfn._xlws.FILTER(OFFSET($O$15,0,$DN318,$B$8,1),OFFSET($M$15,0,0,$B$8,1))=EU$13), 1*(_xlfn._xlws.FILTER(OFFSET($O$15,0,$DO318,$B$8,1),OFFSET($M$15,0,0,$B$8,1))=EU$14))   /   SUM(OFFSET($BO$15,0,0,$B$14,1)) + $B$18/($B$19*$B$19*($DN318&lt;&gt;$DO318) + $B$19*($DN318=$DO318))</f>
        <v>3.7037037037037035E-4</v>
      </c>
      <c r="EV318" s="10" cm="1">
        <f t="array" aca="1" ref="EV318" ca="1">(1-$B$18)*SUMPRODUCT(OFFSET($BO$15,0,0,$B$14,1), 1*(_xlfn._xlws.FILTER(OFFSET($O$15,0,$DN318,$B$8,1),OFFSET($M$15,0,0,$B$8,1))=EV$13), 1*(_xlfn._xlws.FILTER(OFFSET($O$15,0,$DO318,$B$8,1),OFFSET($M$15,0,0,$B$8,1))=EV$14))   /   SUM(OFFSET($BO$15,0,0,$B$14,1)) + $B$18/($B$19*$B$19*($DN318&lt;&gt;$DO318) + $B$19*($DN318=$DO318))</f>
        <v>3.7037037037037035E-4</v>
      </c>
      <c r="EW318" s="10" cm="1">
        <f t="array" aca="1" ref="EW318" ca="1">(1-$B$18)*SUMPRODUCT(OFFSET($BO$15,0,0,$B$14,1), 1*(_xlfn._xlws.FILTER(OFFSET($O$15,0,$DN318,$B$8,1),OFFSET($M$15,0,0,$B$8,1))=EW$13), 1*(_xlfn._xlws.FILTER(OFFSET($O$15,0,$DO318,$B$8,1),OFFSET($M$15,0,0,$B$8,1))=EW$14))   /   SUM(OFFSET($BO$15,0,0,$B$14,1)) + $B$18/($B$19*$B$19*($DN318&lt;&gt;$DO318) + $B$19*($DN318=$DO318))</f>
        <v>3.7037037037037035E-4</v>
      </c>
      <c r="EX318" s="10" cm="1">
        <f t="array" aca="1" ref="EX318" ca="1">(1-$B$18)*SUMPRODUCT(OFFSET($BO$15,0,0,$B$14,1), 1*(_xlfn._xlws.FILTER(OFFSET($O$15,0,$DN318,$B$8,1),OFFSET($M$15,0,0,$B$8,1))=EX$13), 1*(_xlfn._xlws.FILTER(OFFSET($O$15,0,$DO318,$B$8,1),OFFSET($M$15,0,0,$B$8,1))=EX$14))   /   SUM(OFFSET($BO$15,0,0,$B$14,1)) + $B$18/($B$19*$B$19*($DN318&lt;&gt;$DO318) + $B$19*($DN318=$DO318))</f>
        <v>3.7037037037037035E-4</v>
      </c>
      <c r="EY318" s="10" cm="1">
        <f t="array" aca="1" ref="EY318" ca="1">(1-$B$18)*SUMPRODUCT(OFFSET($BO$15,0,0,$B$14,1), 1*(_xlfn._xlws.FILTER(OFFSET($O$15,0,$DN318,$B$8,1),OFFSET($M$15,0,0,$B$8,1))=EY$13), 1*(_xlfn._xlws.FILTER(OFFSET($O$15,0,$DO318,$B$8,1),OFFSET($M$15,0,0,$B$8,1))=EY$14))   /   SUM(OFFSET($BO$15,0,0,$B$14,1)) + $B$18/($B$19*$B$19*($DN318&lt;&gt;$DO318) + $B$19*($DN318=$DO318))</f>
        <v>3.7037037037037035E-4</v>
      </c>
      <c r="EZ318" s="10" cm="1">
        <f t="array" aca="1" ref="EZ318" ca="1">(1-$B$18)*SUMPRODUCT(OFFSET($BO$15,0,0,$B$14,1), 1*(_xlfn._xlws.FILTER(OFFSET($O$15,0,$DN318,$B$8,1),OFFSET($M$15,0,0,$B$8,1))=EZ$13), 1*(_xlfn._xlws.FILTER(OFFSET($O$15,0,$DO318,$B$8,1),OFFSET($M$15,0,0,$B$8,1))=EZ$14))   /   SUM(OFFSET($BO$15,0,0,$B$14,1)) + $B$18/($B$19*$B$19*($DN318&lt;&gt;$DO318) + $B$19*($DN318=$DO318))</f>
        <v>3.7037037037037035E-4</v>
      </c>
      <c r="FA318" s="10" cm="1">
        <f t="array" aca="1" ref="FA318" ca="1">(1-$B$18)*SUMPRODUCT(OFFSET($BO$15,0,0,$B$14,1), 1*(_xlfn._xlws.FILTER(OFFSET($O$15,0,$DN318,$B$8,1),OFFSET($M$15,0,0,$B$8,1))=FA$13), 1*(_xlfn._xlws.FILTER(OFFSET($O$15,0,$DO318,$B$8,1),OFFSET($M$15,0,0,$B$8,1))=FA$14))   /   SUM(OFFSET($BO$15,0,0,$B$14,1)) + $B$18/($B$19*$B$19*($DN318&lt;&gt;$DO318) + $B$19*($DN318=$DO318))</f>
        <v>3.7037037037037035E-4</v>
      </c>
      <c r="FB318" s="10" cm="1">
        <f t="array" aca="1" ref="FB318" ca="1">(1-$B$18)*SUMPRODUCT(OFFSET($BO$15,0,0,$B$14,1), 1*(_xlfn._xlws.FILTER(OFFSET($O$15,0,$DN318,$B$8,1),OFFSET($M$15,0,0,$B$8,1))=FB$13), 1*(_xlfn._xlws.FILTER(OFFSET($O$15,0,$DO318,$B$8,1),OFFSET($M$15,0,0,$B$8,1))=FB$14))   /   SUM(OFFSET($BO$15,0,0,$B$14,1)) + $B$18/($B$19*$B$19*($DN318&lt;&gt;$DO318) + $B$19*($DN318=$DO318))</f>
        <v>3.7037037037037035E-4</v>
      </c>
      <c r="FC318" s="10" cm="1">
        <f t="array" aca="1" ref="FC318" ca="1">(1-$B$18)*SUMPRODUCT(OFFSET($BO$15,0,0,$B$14,1), 1*(_xlfn._xlws.FILTER(OFFSET($O$15,0,$DN318,$B$8,1),OFFSET($M$15,0,0,$B$8,1))=FC$13), 1*(_xlfn._xlws.FILTER(OFFSET($O$15,0,$DO318,$B$8,1),OFFSET($M$15,0,0,$B$8,1))=FC$14))   /   SUM(OFFSET($BO$15,0,0,$B$14,1)) + $B$18/($B$19*$B$19*($DN318&lt;&gt;$DO318) + $B$19*($DN318=$DO318))</f>
        <v>3.7037037037037035E-4</v>
      </c>
      <c r="FD318" s="10" cm="1">
        <f t="array" aca="1" ref="FD318" ca="1">(1-$B$18)*SUMPRODUCT(OFFSET($BO$15,0,0,$B$14,1), 1*(_xlfn._xlws.FILTER(OFFSET($O$15,0,$DN318,$B$8,1),OFFSET($M$15,0,0,$B$8,1))=FD$13), 1*(_xlfn._xlws.FILTER(OFFSET($O$15,0,$DO318,$B$8,1),OFFSET($M$15,0,0,$B$8,1))=FD$14))   /   SUM(OFFSET($BO$15,0,0,$B$14,1)) + $B$18/($B$19*$B$19*($DN318&lt;&gt;$DO318) + $B$19*($DN318=$DO318))</f>
        <v>3.7037037037037035E-4</v>
      </c>
      <c r="FE318" s="10" cm="1">
        <f t="array" aca="1" ref="FE318" ca="1">(1-$B$18)*SUMPRODUCT(OFFSET($BO$15,0,0,$B$14,1), 1*(_xlfn._xlws.FILTER(OFFSET($O$15,0,$DN318,$B$8,1),OFFSET($M$15,0,0,$B$8,1))=FE$13), 1*(_xlfn._xlws.FILTER(OFFSET($O$15,0,$DO318,$B$8,1),OFFSET($M$15,0,0,$B$8,1))=FE$14))   /   SUM(OFFSET($BO$15,0,0,$B$14,1)) + $B$18/($B$19*$B$19*($DN318&lt;&gt;$DO318) + $B$19*($DN318=$DO318))</f>
        <v>3.7037037037037035E-4</v>
      </c>
      <c r="FF318" s="10" cm="1">
        <f t="array" aca="1" ref="FF318" ca="1">(1-$B$18)*SUMPRODUCT(OFFSET($BO$15,0,0,$B$14,1), 1*(_xlfn._xlws.FILTER(OFFSET($O$15,0,$DN318,$B$8,1),OFFSET($M$15,0,0,$B$8,1))=FF$13), 1*(_xlfn._xlws.FILTER(OFFSET($O$15,0,$DO318,$B$8,1),OFFSET($M$15,0,0,$B$8,1))=FF$14))   /   SUM(OFFSET($BO$15,0,0,$B$14,1)) + $B$18/($B$19*$B$19*($DN318&lt;&gt;$DO318) + $B$19*($DN318=$DO318))</f>
        <v>3.7037037037037035E-4</v>
      </c>
      <c r="FG318" s="10" cm="1">
        <f t="array" aca="1" ref="FG318" ca="1">(1-$B$18)*SUMPRODUCT(OFFSET($BO$15,0,0,$B$14,1), 1*(_xlfn._xlws.FILTER(OFFSET($O$15,0,$DN318,$B$8,1),OFFSET($M$15,0,0,$B$8,1))=FG$13), 1*(_xlfn._xlws.FILTER(OFFSET($O$15,0,$DO318,$B$8,1),OFFSET($M$15,0,0,$B$8,1))=FG$14))   /   SUM(OFFSET($BO$15,0,0,$B$14,1)) + $B$18/($B$19*$B$19*($DN318&lt;&gt;$DO318) + $B$19*($DN318=$DO318))</f>
        <v>3.7037037037037035E-4</v>
      </c>
      <c r="FH318" s="10" cm="1">
        <f t="array" aca="1" ref="FH318" ca="1">(1-$B$18)*SUMPRODUCT(OFFSET($BO$15,0,0,$B$14,1), 1*(_xlfn._xlws.FILTER(OFFSET($O$15,0,$DN318,$B$8,1),OFFSET($M$15,0,0,$B$8,1))=FH$13), 1*(_xlfn._xlws.FILTER(OFFSET($O$15,0,$DO318,$B$8,1),OFFSET($M$15,0,0,$B$8,1))=FH$14))   /   SUM(OFFSET($BO$15,0,0,$B$14,1)) + $B$18/($B$19*$B$19*($DN318&lt;&gt;$DO318) + $B$19*($DN318=$DO318))</f>
        <v>3.7037037037037035E-4</v>
      </c>
      <c r="FI318" s="10" cm="1">
        <f t="array" aca="1" ref="FI318" ca="1">(1-$B$18)*SUMPRODUCT(OFFSET($BO$15,0,0,$B$14,1), 1*(_xlfn._xlws.FILTER(OFFSET($O$15,0,$DN318,$B$8,1),OFFSET($M$15,0,0,$B$8,1))=FI$13), 1*(_xlfn._xlws.FILTER(OFFSET($O$15,0,$DO318,$B$8,1),OFFSET($M$15,0,0,$B$8,1))=FI$14))   /   SUM(OFFSET($BO$15,0,0,$B$14,1)) + $B$18/($B$19*$B$19*($DN318&lt;&gt;$DO318) + $B$19*($DN318=$DO318))</f>
        <v>3.7037037037037035E-4</v>
      </c>
      <c r="FJ318" s="10" cm="1">
        <f t="array" aca="1" ref="FJ318" ca="1">(1-$B$18)*SUMPRODUCT(OFFSET($BO$15,0,0,$B$14,1), 1*(_xlfn._xlws.FILTER(OFFSET($O$15,0,$DN318,$B$8,1),OFFSET($M$15,0,0,$B$8,1))=FJ$13), 1*(_xlfn._xlws.FILTER(OFFSET($O$15,0,$DO318,$B$8,1),OFFSET($M$15,0,0,$B$8,1))=FJ$14))   /   SUM(OFFSET($BO$15,0,0,$B$14,1)) + $B$18/($B$19*$B$19*($DN318&lt;&gt;$DO318) + $B$19*($DN318=$DO318))</f>
        <v>3.7037037037037035E-4</v>
      </c>
      <c r="FK318" s="10" cm="1">
        <f t="array" aca="1" ref="FK318" ca="1">(1-$B$18)*SUMPRODUCT(OFFSET($BO$15,0,0,$B$14,1), 1*(_xlfn._xlws.FILTER(OFFSET($O$15,0,$DN318,$B$8,1),OFFSET($M$15,0,0,$B$8,1))=FK$13), 1*(_xlfn._xlws.FILTER(OFFSET($O$15,0,$DO318,$B$8,1),OFFSET($M$15,0,0,$B$8,1))=FK$14))   /   SUM(OFFSET($BO$15,0,0,$B$14,1)) + $B$18/($B$19*$B$19*($DN318&lt;&gt;$DO318) + $B$19*($DN318=$DO318))</f>
        <v>3.7037037037037035E-4</v>
      </c>
      <c r="FL318" s="10" cm="1">
        <f t="array" aca="1" ref="FL318" ca="1">(1-$B$18)*SUMPRODUCT(OFFSET($BO$15,0,0,$B$14,1), 1*(_xlfn._xlws.FILTER(OFFSET($O$15,0,$DN318,$B$8,1),OFFSET($M$15,0,0,$B$8,1))=FL$13), 1*(_xlfn._xlws.FILTER(OFFSET($O$15,0,$DO318,$B$8,1),OFFSET($M$15,0,0,$B$8,1))=FL$14))   /   SUM(OFFSET($BO$15,0,0,$B$14,1)) + $B$18/($B$19*$B$19*($DN318&lt;&gt;$DO318) + $B$19*($DN318=$DO318))</f>
        <v>3.7037037037037035E-4</v>
      </c>
      <c r="FM318" s="10" cm="1">
        <f t="array" aca="1" ref="FM318" ca="1">(1-$B$18)*SUMPRODUCT(OFFSET($BO$15,0,0,$B$14,1), 1*(_xlfn._xlws.FILTER(OFFSET($O$15,0,$DN318,$B$8,1),OFFSET($M$15,0,0,$B$8,1))=FM$13), 1*(_xlfn._xlws.FILTER(OFFSET($O$15,0,$DO318,$B$8,1),OFFSET($M$15,0,0,$B$8,1))=FM$14))   /   SUM(OFFSET($BO$15,0,0,$B$14,1)) + $B$18/($B$19*$B$19*($DN318&lt;&gt;$DO318) + $B$19*($DN318=$DO318))</f>
        <v>3.7037037037037035E-4</v>
      </c>
      <c r="FN318" s="10" cm="1">
        <f t="array" aca="1" ref="FN318" ca="1">(1-$B$18)*SUMPRODUCT(OFFSET($BO$15,0,0,$B$14,1), 1*(_xlfn._xlws.FILTER(OFFSET($O$15,0,$DN318,$B$8,1),OFFSET($M$15,0,0,$B$8,1))=FN$13), 1*(_xlfn._xlws.FILTER(OFFSET($O$15,0,$DO318,$B$8,1),OFFSET($M$15,0,0,$B$8,1))=FN$14))   /   SUM(OFFSET($BO$15,0,0,$B$14,1)) + $B$18/($B$19*$B$19*($DN318&lt;&gt;$DO318) + $B$19*($DN318=$DO318))</f>
        <v>3.7037037037037035E-4</v>
      </c>
      <c r="FO318" s="10" cm="1">
        <f t="array" aca="1" ref="FO318" ca="1">(1-$B$18)*SUMPRODUCT(OFFSET($BO$15,0,0,$B$14,1), 1*(_xlfn._xlws.FILTER(OFFSET($O$15,0,$DN318,$B$8,1),OFFSET($M$15,0,0,$B$8,1))=FO$13), 1*(_xlfn._xlws.FILTER(OFFSET($O$15,0,$DO318,$B$8,1),OFFSET($M$15,0,0,$B$8,1))=FO$14))   /   SUM(OFFSET($BO$15,0,0,$B$14,1)) + $B$18/($B$19*$B$19*($DN318&lt;&gt;$DO318) + $B$19*($DN318=$DO318))</f>
        <v>3.7037037037037035E-4</v>
      </c>
      <c r="FP318" s="10" cm="1">
        <f t="array" aca="1" ref="FP318" ca="1">(1-$B$18)*SUMPRODUCT(OFFSET($BO$15,0,0,$B$14,1), 1*(_xlfn._xlws.FILTER(OFFSET($O$15,0,$DN318,$B$8,1),OFFSET($M$15,0,0,$B$8,1))=FP$13), 1*(_xlfn._xlws.FILTER(OFFSET($O$15,0,$DO318,$B$8,1),OFFSET($M$15,0,0,$B$8,1))=FP$14))   /   SUM(OFFSET($BO$15,0,0,$B$14,1)) + $B$18/($B$19*$B$19*($DN318&lt;&gt;$DO318) + $B$19*($DN318=$DO318))</f>
        <v>3.7037037037037035E-4</v>
      </c>
      <c r="FQ318" s="10" cm="1">
        <f t="array" aca="1" ref="FQ318" ca="1">(1-$B$18)*SUMPRODUCT(OFFSET($BO$15,0,0,$B$14,1), 1*(_xlfn._xlws.FILTER(OFFSET($O$15,0,$DN318,$B$8,1),OFFSET($M$15,0,0,$B$8,1))=FQ$13), 1*(_xlfn._xlws.FILTER(OFFSET($O$15,0,$DO318,$B$8,1),OFFSET($M$15,0,0,$B$8,1))=FQ$14))   /   SUM(OFFSET($BO$15,0,0,$B$14,1)) + $B$18/($B$19*$B$19*($DN318&lt;&gt;$DO318) + $B$19*($DN318=$DO318))</f>
        <v>3.7037037037037035E-4</v>
      </c>
      <c r="FR318" s="10" cm="1">
        <f t="array" aca="1" ref="FR318" ca="1">(1-$B$18)*SUMPRODUCT(OFFSET($BO$15,0,0,$B$14,1), 1*(_xlfn._xlws.FILTER(OFFSET($O$15,0,$DN318,$B$8,1),OFFSET($M$15,0,0,$B$8,1))=FR$13), 1*(_xlfn._xlws.FILTER(OFFSET($O$15,0,$DO318,$B$8,1),OFFSET($M$15,0,0,$B$8,1))=FR$14))   /   SUM(OFFSET($BO$15,0,0,$B$14,1)) + $B$18/($B$19*$B$19*($DN318&lt;&gt;$DO318) + $B$19*($DN318=$DO318))</f>
        <v>3.7037037037037035E-4</v>
      </c>
      <c r="FS318" s="10" cm="1">
        <f t="array" aca="1" ref="FS318" ca="1">(1-$B$18)*SUMPRODUCT(OFFSET($BO$15,0,0,$B$14,1), 1*(_xlfn._xlws.FILTER(OFFSET($O$15,0,$DN318,$B$8,1),OFFSET($M$15,0,0,$B$8,1))=FS$13), 1*(_xlfn._xlws.FILTER(OFFSET($O$15,0,$DO318,$B$8,1),OFFSET($M$15,0,0,$B$8,1))=FS$14))   /   SUM(OFFSET($BO$15,0,0,$B$14,1)) + $B$18/($B$19*$B$19*($DN318&lt;&gt;$DO318) + $B$19*($DN318=$DO318))</f>
        <v>3.7037037037037035E-4</v>
      </c>
      <c r="FT318" s="10" cm="1">
        <f t="array" aca="1" ref="FT318" ca="1">(1-$B$18)*SUMPRODUCT(OFFSET($BO$15,0,0,$B$14,1), 1*(_xlfn._xlws.FILTER(OFFSET($O$15,0,$DN318,$B$8,1),OFFSET($M$15,0,0,$B$8,1))=FT$13), 1*(_xlfn._xlws.FILTER(OFFSET($O$15,0,$DO318,$B$8,1),OFFSET($M$15,0,0,$B$8,1))=FT$14))   /   SUM(OFFSET($BO$15,0,0,$B$14,1)) + $B$18/($B$19*$B$19*($DN318&lt;&gt;$DO318) + $B$19*($DN318=$DO318))</f>
        <v>3.7037037037037035E-4</v>
      </c>
      <c r="FU318" s="10" cm="1">
        <f t="array" aca="1" ref="FU318" ca="1">(1-$B$18)*SUMPRODUCT(OFFSET($BO$15,0,0,$B$14,1), 1*(_xlfn._xlws.FILTER(OFFSET($O$15,0,$DN318,$B$8,1),OFFSET($M$15,0,0,$B$8,1))=FU$13), 1*(_xlfn._xlws.FILTER(OFFSET($O$15,0,$DO318,$B$8,1),OFFSET($M$15,0,0,$B$8,1))=FU$14))   /   SUM(OFFSET($BO$15,0,0,$B$14,1)) + $B$18/($B$19*$B$19*($DN318&lt;&gt;$DO318) + $B$19*($DN318=$DO318))</f>
        <v>3.7037037037037035E-4</v>
      </c>
      <c r="FV318" s="10" cm="1">
        <f t="array" aca="1" ref="FV318" ca="1">(1-$B$18)*SUMPRODUCT(OFFSET($BO$15,0,0,$B$14,1), 1*(_xlfn._xlws.FILTER(OFFSET($O$15,0,$DN318,$B$8,1),OFFSET($M$15,0,0,$B$8,1))=FV$13), 1*(_xlfn._xlws.FILTER(OFFSET($O$15,0,$DO318,$B$8,1),OFFSET($M$15,0,0,$B$8,1))=FV$14))   /   SUM(OFFSET($BO$15,0,0,$B$14,1)) + $B$18/($B$19*$B$19*($DN318&lt;&gt;$DO318) + $B$19*($DN318=$DO318))</f>
        <v>3.7037037037037035E-4</v>
      </c>
      <c r="FW318" s="10" cm="1">
        <f t="array" aca="1" ref="FW318" ca="1">(1-$B$18)*SUMPRODUCT(OFFSET($BO$15,0,0,$B$14,1), 1*(_xlfn._xlws.FILTER(OFFSET($O$15,0,$DN318,$B$8,1),OFFSET($M$15,0,0,$B$8,1))=FW$13), 1*(_xlfn._xlws.FILTER(OFFSET($O$15,0,$DO318,$B$8,1),OFFSET($M$15,0,0,$B$8,1))=FW$14))   /   SUM(OFFSET($BO$15,0,0,$B$14,1)) + $B$18/($B$19*$B$19*($DN318&lt;&gt;$DO318) + $B$19*($DN318=$DO318))</f>
        <v>3.7037037037037035E-4</v>
      </c>
      <c r="FX318" s="10" cm="1">
        <f t="array" aca="1" ref="FX318" ca="1">(1-$B$18)*SUMPRODUCT(OFFSET($BO$15,0,0,$B$14,1), 1*(_xlfn._xlws.FILTER(OFFSET($O$15,0,$DN318,$B$8,1),OFFSET($M$15,0,0,$B$8,1))=FX$13), 1*(_xlfn._xlws.FILTER(OFFSET($O$15,0,$DO318,$B$8,1),OFFSET($M$15,0,0,$B$8,1))=FX$14))   /   SUM(OFFSET($BO$15,0,0,$B$14,1)) + $B$18/($B$19*$B$19*($DN318&lt;&gt;$DO318) + $B$19*($DN318=$DO318))</f>
        <v>3.7037037037037035E-4</v>
      </c>
      <c r="FY318" s="10" cm="1">
        <f t="array" aca="1" ref="FY318" ca="1">(1-$B$18)*SUMPRODUCT(OFFSET($BO$15,0,0,$B$14,1), 1*(_xlfn._xlws.FILTER(OFFSET($O$15,0,$DN318,$B$8,1),OFFSET($M$15,0,0,$B$8,1))=FY$13), 1*(_xlfn._xlws.FILTER(OFFSET($O$15,0,$DO318,$B$8,1),OFFSET($M$15,0,0,$B$8,1))=FY$14))   /   SUM(OFFSET($BO$15,0,0,$B$14,1)) + $B$18/($B$19*$B$19*($DN318&lt;&gt;$DO318) + $B$19*($DN318=$DO318))</f>
        <v>3.7037037037037035E-4</v>
      </c>
      <c r="FZ318" s="10" cm="1">
        <f t="array" aca="1" ref="FZ318" ca="1">(1-$B$18)*SUMPRODUCT(OFFSET($BO$15,0,0,$B$14,1), 1*(_xlfn._xlws.FILTER(OFFSET($O$15,0,$DN318,$B$8,1),OFFSET($M$15,0,0,$B$8,1))=FZ$13), 1*(_xlfn._xlws.FILTER(OFFSET($O$15,0,$DO318,$B$8,1),OFFSET($M$15,0,0,$B$8,1))=FZ$14))   /   SUM(OFFSET($BO$15,0,0,$B$14,1)) + $B$18/($B$19*$B$19*($DN318&lt;&gt;$DO318) + $B$19*($DN318=$DO318))</f>
        <v>3.7037037037037035E-4</v>
      </c>
      <c r="GA318" s="10" cm="1">
        <f t="array" aca="1" ref="GA318" ca="1">(1-$B$18)*SUMPRODUCT(OFFSET($BO$15,0,0,$B$14,1), 1*(_xlfn._xlws.FILTER(OFFSET($O$15,0,$DN318,$B$8,1),OFFSET($M$15,0,0,$B$8,1))=GA$13), 1*(_xlfn._xlws.FILTER(OFFSET($O$15,0,$DO318,$B$8,1),OFFSET($M$15,0,0,$B$8,1))=GA$14))   /   SUM(OFFSET($BO$15,0,0,$B$14,1)) + $B$18/($B$19*$B$19*($DN318&lt;&gt;$DO318) + $B$19*($DN318=$DO318))</f>
        <v>3.7037037037037035E-4</v>
      </c>
    </row>
    <row r="319" spans="118:183" x14ac:dyDescent="0.2">
      <c r="DN319" cm="1">
        <f t="array" aca="1" ref="DN319" ca="1">INDEX(_xlfn.ANCHORARRAY($CP$15), 1 + INT((ROWS($DO$15:$DO319) - 1) / ROWS(_xlfn.ANCHORARRAY($CP$15))))</f>
        <v>19</v>
      </c>
      <c r="DO319" cm="1">
        <f t="array" aca="1" ref="DO319" ca="1">INDEX(_xlfn.ANCHORARRAY($CP$15),1+MOD(ROWS($DO$15:$DO319)-1,ROWS(_xlfn.ANCHORARRAY($CP$15))))</f>
        <v>0</v>
      </c>
      <c r="DP319" s="10" cm="1">
        <f t="array" aca="1" ref="DP319" ca="1">(1-$B$18)*SUMPRODUCT(OFFSET($BO$15,0,0,$B$14,1), 1*(_xlfn._xlws.FILTER(OFFSET($O$15,0,$DN319,$B$8,1),OFFSET($M$15,0,0,$B$8,1))=DP$13), 1*(_xlfn._xlws.FILTER(OFFSET($O$15,0,$DO319,$B$8,1),OFFSET($M$15,0,0,$B$8,1))=DP$14))   /   SUM(OFFSET($BO$15,0,0,$B$14,1)) + $B$18/($B$19*$B$19*($DN319&lt;&gt;$DO319) + $B$19*($DN319=$DO319))</f>
        <v>3.7037037037037035E-4</v>
      </c>
      <c r="DQ319" s="10" cm="1">
        <f t="array" aca="1" ref="DQ319" ca="1">(1-$B$18)*SUMPRODUCT(OFFSET($BO$15,0,0,$B$14,1), 1*(_xlfn._xlws.FILTER(OFFSET($O$15,0,$DN319,$B$8,1),OFFSET($M$15,0,0,$B$8,1))=DQ$13), 1*(_xlfn._xlws.FILTER(OFFSET($O$15,0,$DO319,$B$8,1),OFFSET($M$15,0,0,$B$8,1))=DQ$14))   /   SUM(OFFSET($BO$15,0,0,$B$14,1)) + $B$18/($B$19*$B$19*($DN319&lt;&gt;$DO319) + $B$19*($DN319=$DO319))</f>
        <v>3.7037037037037035E-4</v>
      </c>
      <c r="DR319" s="10" cm="1">
        <f t="array" aca="1" ref="DR319" ca="1">(1-$B$18)*SUMPRODUCT(OFFSET($BO$15,0,0,$B$14,1), 1*(_xlfn._xlws.FILTER(OFFSET($O$15,0,$DN319,$B$8,1),OFFSET($M$15,0,0,$B$8,1))=DR$13), 1*(_xlfn._xlws.FILTER(OFFSET($O$15,0,$DO319,$B$8,1),OFFSET($M$15,0,0,$B$8,1))=DR$14))   /   SUM(OFFSET($BO$15,0,0,$B$14,1)) + $B$18/($B$19*$B$19*($DN319&lt;&gt;$DO319) + $B$19*($DN319=$DO319))</f>
        <v>3.7037037037037035E-4</v>
      </c>
      <c r="DS319" s="10" cm="1">
        <f t="array" aca="1" ref="DS319" ca="1">(1-$B$18)*SUMPRODUCT(OFFSET($BO$15,0,0,$B$14,1), 1*(_xlfn._xlws.FILTER(OFFSET($O$15,0,$DN319,$B$8,1),OFFSET($M$15,0,0,$B$8,1))=DS$13), 1*(_xlfn._xlws.FILTER(OFFSET($O$15,0,$DO319,$B$8,1),OFFSET($M$15,0,0,$B$8,1))=DS$14))   /   SUM(OFFSET($BO$15,0,0,$B$14,1)) + $B$18/($B$19*$B$19*($DN319&lt;&gt;$DO319) + $B$19*($DN319=$DO319))</f>
        <v>3.7037037037037035E-4</v>
      </c>
      <c r="DT319" s="10" cm="1">
        <f t="array" aca="1" ref="DT319" ca="1">(1-$B$18)*SUMPRODUCT(OFFSET($BO$15,0,0,$B$14,1), 1*(_xlfn._xlws.FILTER(OFFSET($O$15,0,$DN319,$B$8,1),OFFSET($M$15,0,0,$B$8,1))=DT$13), 1*(_xlfn._xlws.FILTER(OFFSET($O$15,0,$DO319,$B$8,1),OFFSET($M$15,0,0,$B$8,1))=DT$14))   /   SUM(OFFSET($BO$15,0,0,$B$14,1)) + $B$18/($B$19*$B$19*($DN319&lt;&gt;$DO319) + $B$19*($DN319=$DO319))</f>
        <v>3.7037037037037035E-4</v>
      </c>
      <c r="DU319" s="10" cm="1">
        <f t="array" aca="1" ref="DU319" ca="1">(1-$B$18)*SUMPRODUCT(OFFSET($BO$15,0,0,$B$14,1), 1*(_xlfn._xlws.FILTER(OFFSET($O$15,0,$DN319,$B$8,1),OFFSET($M$15,0,0,$B$8,1))=DU$13), 1*(_xlfn._xlws.FILTER(OFFSET($O$15,0,$DO319,$B$8,1),OFFSET($M$15,0,0,$B$8,1))=DU$14))   /   SUM(OFFSET($BO$15,0,0,$B$14,1)) + $B$18/($B$19*$B$19*($DN319&lt;&gt;$DO319) + $B$19*($DN319=$DO319))</f>
        <v>3.7037037037037035E-4</v>
      </c>
      <c r="DV319" s="10" cm="1">
        <f t="array" aca="1" ref="DV319" ca="1">(1-$B$18)*SUMPRODUCT(OFFSET($BO$15,0,0,$B$14,1), 1*(_xlfn._xlws.FILTER(OFFSET($O$15,0,$DN319,$B$8,1),OFFSET($M$15,0,0,$B$8,1))=DV$13), 1*(_xlfn._xlws.FILTER(OFFSET($O$15,0,$DO319,$B$8,1),OFFSET($M$15,0,0,$B$8,1))=DV$14))   /   SUM(OFFSET($BO$15,0,0,$B$14,1)) + $B$18/($B$19*$B$19*($DN319&lt;&gt;$DO319) + $B$19*($DN319=$DO319))</f>
        <v>3.7037037037037035E-4</v>
      </c>
      <c r="DW319" s="10" cm="1">
        <f t="array" aca="1" ref="DW319" ca="1">(1-$B$18)*SUMPRODUCT(OFFSET($BO$15,0,0,$B$14,1), 1*(_xlfn._xlws.FILTER(OFFSET($O$15,0,$DN319,$B$8,1),OFFSET($M$15,0,0,$B$8,1))=DW$13), 1*(_xlfn._xlws.FILTER(OFFSET($O$15,0,$DO319,$B$8,1),OFFSET($M$15,0,0,$B$8,1))=DW$14))   /   SUM(OFFSET($BO$15,0,0,$B$14,1)) + $B$18/($B$19*$B$19*($DN319&lt;&gt;$DO319) + $B$19*($DN319=$DO319))</f>
        <v>3.7037037037037035E-4</v>
      </c>
      <c r="DX319" s="10" cm="1">
        <f t="array" aca="1" ref="DX319" ca="1">(1-$B$18)*SUMPRODUCT(OFFSET($BO$15,0,0,$B$14,1), 1*(_xlfn._xlws.FILTER(OFFSET($O$15,0,$DN319,$B$8,1),OFFSET($M$15,0,0,$B$8,1))=DX$13), 1*(_xlfn._xlws.FILTER(OFFSET($O$15,0,$DO319,$B$8,1),OFFSET($M$15,0,0,$B$8,1))=DX$14))   /   SUM(OFFSET($BO$15,0,0,$B$14,1)) + $B$18/($B$19*$B$19*($DN319&lt;&gt;$DO319) + $B$19*($DN319=$DO319))</f>
        <v>3.7037037037037035E-4</v>
      </c>
      <c r="DY319" s="10" cm="1">
        <f t="array" aca="1" ref="DY319" ca="1">(1-$B$18)*SUMPRODUCT(OFFSET($BO$15,0,0,$B$14,1), 1*(_xlfn._xlws.FILTER(OFFSET($O$15,0,$DN319,$B$8,1),OFFSET($M$15,0,0,$B$8,1))=DY$13), 1*(_xlfn._xlws.FILTER(OFFSET($O$15,0,$DO319,$B$8,1),OFFSET($M$15,0,0,$B$8,1))=DY$14))   /   SUM(OFFSET($BO$15,0,0,$B$14,1)) + $B$18/($B$19*$B$19*($DN319&lt;&gt;$DO319) + $B$19*($DN319=$DO319))</f>
        <v>3.7037037037037035E-4</v>
      </c>
      <c r="DZ319" s="10" cm="1">
        <f t="array" aca="1" ref="DZ319" ca="1">(1-$B$18)*SUMPRODUCT(OFFSET($BO$15,0,0,$B$14,1), 1*(_xlfn._xlws.FILTER(OFFSET($O$15,0,$DN319,$B$8,1),OFFSET($M$15,0,0,$B$8,1))=DZ$13), 1*(_xlfn._xlws.FILTER(OFFSET($O$15,0,$DO319,$B$8,1),OFFSET($M$15,0,0,$B$8,1))=DZ$14))   /   SUM(OFFSET($BO$15,0,0,$B$14,1)) + $B$18/($B$19*$B$19*($DN319&lt;&gt;$DO319) + $B$19*($DN319=$DO319))</f>
        <v>3.7037037037037035E-4</v>
      </c>
      <c r="EA319" s="10" cm="1">
        <f t="array" aca="1" ref="EA319" ca="1">(1-$B$18)*SUMPRODUCT(OFFSET($BO$15,0,0,$B$14,1), 1*(_xlfn._xlws.FILTER(OFFSET($O$15,0,$DN319,$B$8,1),OFFSET($M$15,0,0,$B$8,1))=EA$13), 1*(_xlfn._xlws.FILTER(OFFSET($O$15,0,$DO319,$B$8,1),OFFSET($M$15,0,0,$B$8,1))=EA$14))   /   SUM(OFFSET($BO$15,0,0,$B$14,1)) + $B$18/($B$19*$B$19*($DN319&lt;&gt;$DO319) + $B$19*($DN319=$DO319))</f>
        <v>3.7037037037037035E-4</v>
      </c>
      <c r="EB319" s="10" cm="1">
        <f t="array" aca="1" ref="EB319" ca="1">(1-$B$18)*SUMPRODUCT(OFFSET($BO$15,0,0,$B$14,1), 1*(_xlfn._xlws.FILTER(OFFSET($O$15,0,$DN319,$B$8,1),OFFSET($M$15,0,0,$B$8,1))=EB$13), 1*(_xlfn._xlws.FILTER(OFFSET($O$15,0,$DO319,$B$8,1),OFFSET($M$15,0,0,$B$8,1))=EB$14))   /   SUM(OFFSET($BO$15,0,0,$B$14,1)) + $B$18/($B$19*$B$19*($DN319&lt;&gt;$DO319) + $B$19*($DN319=$DO319))</f>
        <v>3.7037037037037035E-4</v>
      </c>
      <c r="EC319" s="10" cm="1">
        <f t="array" aca="1" ref="EC319" ca="1">(1-$B$18)*SUMPRODUCT(OFFSET($BO$15,0,0,$B$14,1), 1*(_xlfn._xlws.FILTER(OFFSET($O$15,0,$DN319,$B$8,1),OFFSET($M$15,0,0,$B$8,1))=EC$13), 1*(_xlfn._xlws.FILTER(OFFSET($O$15,0,$DO319,$B$8,1),OFFSET($M$15,0,0,$B$8,1))=EC$14))   /   SUM(OFFSET($BO$15,0,0,$B$14,1)) + $B$18/($B$19*$B$19*($DN319&lt;&gt;$DO319) + $B$19*($DN319=$DO319))</f>
        <v>3.7037037037037035E-4</v>
      </c>
      <c r="ED319" s="10" cm="1">
        <f t="array" aca="1" ref="ED319" ca="1">(1-$B$18)*SUMPRODUCT(OFFSET($BO$15,0,0,$B$14,1), 1*(_xlfn._xlws.FILTER(OFFSET($O$15,0,$DN319,$B$8,1),OFFSET($M$15,0,0,$B$8,1))=ED$13), 1*(_xlfn._xlws.FILTER(OFFSET($O$15,0,$DO319,$B$8,1),OFFSET($M$15,0,0,$B$8,1))=ED$14))   /   SUM(OFFSET($BO$15,0,0,$B$14,1)) + $B$18/($B$19*$B$19*($DN319&lt;&gt;$DO319) + $B$19*($DN319=$DO319))</f>
        <v>3.7037037037037035E-4</v>
      </c>
      <c r="EE319" s="10" cm="1">
        <f t="array" aca="1" ref="EE319" ca="1">(1-$B$18)*SUMPRODUCT(OFFSET($BO$15,0,0,$B$14,1), 1*(_xlfn._xlws.FILTER(OFFSET($O$15,0,$DN319,$B$8,1),OFFSET($M$15,0,0,$B$8,1))=EE$13), 1*(_xlfn._xlws.FILTER(OFFSET($O$15,0,$DO319,$B$8,1),OFFSET($M$15,0,0,$B$8,1))=EE$14))   /   SUM(OFFSET($BO$15,0,0,$B$14,1)) + $B$18/($B$19*$B$19*($DN319&lt;&gt;$DO319) + $B$19*($DN319=$DO319))</f>
        <v>3.7037037037037035E-4</v>
      </c>
      <c r="EF319" s="10" cm="1">
        <f t="array" aca="1" ref="EF319" ca="1">(1-$B$18)*SUMPRODUCT(OFFSET($BO$15,0,0,$B$14,1), 1*(_xlfn._xlws.FILTER(OFFSET($O$15,0,$DN319,$B$8,1),OFFSET($M$15,0,0,$B$8,1))=EF$13), 1*(_xlfn._xlws.FILTER(OFFSET($O$15,0,$DO319,$B$8,1),OFFSET($M$15,0,0,$B$8,1))=EF$14))   /   SUM(OFFSET($BO$15,0,0,$B$14,1)) + $B$18/($B$19*$B$19*($DN319&lt;&gt;$DO319) + $B$19*($DN319=$DO319))</f>
        <v>3.7037037037037035E-4</v>
      </c>
      <c r="EG319" s="10" cm="1">
        <f t="array" aca="1" ref="EG319" ca="1">(1-$B$18)*SUMPRODUCT(OFFSET($BO$15,0,0,$B$14,1), 1*(_xlfn._xlws.FILTER(OFFSET($O$15,0,$DN319,$B$8,1),OFFSET($M$15,0,0,$B$8,1))=EG$13), 1*(_xlfn._xlws.FILTER(OFFSET($O$15,0,$DO319,$B$8,1),OFFSET($M$15,0,0,$B$8,1))=EG$14))   /   SUM(OFFSET($BO$15,0,0,$B$14,1)) + $B$18/($B$19*$B$19*($DN319&lt;&gt;$DO319) + $B$19*($DN319=$DO319))</f>
        <v>3.7037037037037035E-4</v>
      </c>
      <c r="EH319" s="10" cm="1">
        <f t="array" aca="1" ref="EH319" ca="1">(1-$B$18)*SUMPRODUCT(OFFSET($BO$15,0,0,$B$14,1), 1*(_xlfn._xlws.FILTER(OFFSET($O$15,0,$DN319,$B$8,1),OFFSET($M$15,0,0,$B$8,1))=EH$13), 1*(_xlfn._xlws.FILTER(OFFSET($O$15,0,$DO319,$B$8,1),OFFSET($M$15,0,0,$B$8,1))=EH$14))   /   SUM(OFFSET($BO$15,0,0,$B$14,1)) + $B$18/($B$19*$B$19*($DN319&lt;&gt;$DO319) + $B$19*($DN319=$DO319))</f>
        <v>3.7037037037037035E-4</v>
      </c>
      <c r="EI319" s="10" cm="1">
        <f t="array" aca="1" ref="EI319" ca="1">(1-$B$18)*SUMPRODUCT(OFFSET($BO$15,0,0,$B$14,1), 1*(_xlfn._xlws.FILTER(OFFSET($O$15,0,$DN319,$B$8,1),OFFSET($M$15,0,0,$B$8,1))=EI$13), 1*(_xlfn._xlws.FILTER(OFFSET($O$15,0,$DO319,$B$8,1),OFFSET($M$15,0,0,$B$8,1))=EI$14))   /   SUM(OFFSET($BO$15,0,0,$B$14,1)) + $B$18/($B$19*$B$19*($DN319&lt;&gt;$DO319) + $B$19*($DN319=$DO319))</f>
        <v>3.7037037037037035E-4</v>
      </c>
      <c r="EJ319" s="10" cm="1">
        <f t="array" aca="1" ref="EJ319" ca="1">(1-$B$18)*SUMPRODUCT(OFFSET($BO$15,0,0,$B$14,1), 1*(_xlfn._xlws.FILTER(OFFSET($O$15,0,$DN319,$B$8,1),OFFSET($M$15,0,0,$B$8,1))=EJ$13), 1*(_xlfn._xlws.FILTER(OFFSET($O$15,0,$DO319,$B$8,1),OFFSET($M$15,0,0,$B$8,1))=EJ$14))   /   SUM(OFFSET($BO$15,0,0,$B$14,1)) + $B$18/($B$19*$B$19*($DN319&lt;&gt;$DO319) + $B$19*($DN319=$DO319))</f>
        <v>3.7037037037037035E-4</v>
      </c>
      <c r="EK319" s="10" cm="1">
        <f t="array" aca="1" ref="EK319" ca="1">(1-$B$18)*SUMPRODUCT(OFFSET($BO$15,0,0,$B$14,1), 1*(_xlfn._xlws.FILTER(OFFSET($O$15,0,$DN319,$B$8,1),OFFSET($M$15,0,0,$B$8,1))=EK$13), 1*(_xlfn._xlws.FILTER(OFFSET($O$15,0,$DO319,$B$8,1),OFFSET($M$15,0,0,$B$8,1))=EK$14))   /   SUM(OFFSET($BO$15,0,0,$B$14,1)) + $B$18/($B$19*$B$19*($DN319&lt;&gt;$DO319) + $B$19*($DN319=$DO319))</f>
        <v>3.7037037037037035E-4</v>
      </c>
      <c r="EL319" s="10" cm="1">
        <f t="array" aca="1" ref="EL319" ca="1">(1-$B$18)*SUMPRODUCT(OFFSET($BO$15,0,0,$B$14,1), 1*(_xlfn._xlws.FILTER(OFFSET($O$15,0,$DN319,$B$8,1),OFFSET($M$15,0,0,$B$8,1))=EL$13), 1*(_xlfn._xlws.FILTER(OFFSET($O$15,0,$DO319,$B$8,1),OFFSET($M$15,0,0,$B$8,1))=EL$14))   /   SUM(OFFSET($BO$15,0,0,$B$14,1)) + $B$18/($B$19*$B$19*($DN319&lt;&gt;$DO319) + $B$19*($DN319=$DO319))</f>
        <v>3.7037037037037035E-4</v>
      </c>
      <c r="EM319" s="10" cm="1">
        <f t="array" aca="1" ref="EM319" ca="1">(1-$B$18)*SUMPRODUCT(OFFSET($BO$15,0,0,$B$14,1), 1*(_xlfn._xlws.FILTER(OFFSET($O$15,0,$DN319,$B$8,1),OFFSET($M$15,0,0,$B$8,1))=EM$13), 1*(_xlfn._xlws.FILTER(OFFSET($O$15,0,$DO319,$B$8,1),OFFSET($M$15,0,0,$B$8,1))=EM$14))   /   SUM(OFFSET($BO$15,0,0,$B$14,1)) + $B$18/($B$19*$B$19*($DN319&lt;&gt;$DO319) + $B$19*($DN319=$DO319))</f>
        <v>3.7037037037037035E-4</v>
      </c>
      <c r="EN319" s="10" cm="1">
        <f t="array" aca="1" ref="EN319" ca="1">(1-$B$18)*SUMPRODUCT(OFFSET($BO$15,0,0,$B$14,1), 1*(_xlfn._xlws.FILTER(OFFSET($O$15,0,$DN319,$B$8,1),OFFSET($M$15,0,0,$B$8,1))=EN$13), 1*(_xlfn._xlws.FILTER(OFFSET($O$15,0,$DO319,$B$8,1),OFFSET($M$15,0,0,$B$8,1))=EN$14))   /   SUM(OFFSET($BO$15,0,0,$B$14,1)) + $B$18/($B$19*$B$19*($DN319&lt;&gt;$DO319) + $B$19*($DN319=$DO319))</f>
        <v>3.7037037037037035E-4</v>
      </c>
      <c r="EO319" s="10" cm="1">
        <f t="array" aca="1" ref="EO319" ca="1">(1-$B$18)*SUMPRODUCT(OFFSET($BO$15,0,0,$B$14,1), 1*(_xlfn._xlws.FILTER(OFFSET($O$15,0,$DN319,$B$8,1),OFFSET($M$15,0,0,$B$8,1))=EO$13), 1*(_xlfn._xlws.FILTER(OFFSET($O$15,0,$DO319,$B$8,1),OFFSET($M$15,0,0,$B$8,1))=EO$14))   /   SUM(OFFSET($BO$15,0,0,$B$14,1)) + $B$18/($B$19*$B$19*($DN319&lt;&gt;$DO319) + $B$19*($DN319=$DO319))</f>
        <v>3.7037037037037035E-4</v>
      </c>
      <c r="EP319" s="10" cm="1">
        <f t="array" aca="1" ref="EP319" ca="1">(1-$B$18)*SUMPRODUCT(OFFSET($BO$15,0,0,$B$14,1), 1*(_xlfn._xlws.FILTER(OFFSET($O$15,0,$DN319,$B$8,1),OFFSET($M$15,0,0,$B$8,1))=EP$13), 1*(_xlfn._xlws.FILTER(OFFSET($O$15,0,$DO319,$B$8,1),OFFSET($M$15,0,0,$B$8,1))=EP$14))   /   SUM(OFFSET($BO$15,0,0,$B$14,1)) + $B$18/($B$19*$B$19*($DN319&lt;&gt;$DO319) + $B$19*($DN319=$DO319))</f>
        <v>3.7037037037037035E-4</v>
      </c>
      <c r="EQ319" s="10" cm="1">
        <f t="array" aca="1" ref="EQ319" ca="1">(1-$B$18)*SUMPRODUCT(OFFSET($BO$15,0,0,$B$14,1), 1*(_xlfn._xlws.FILTER(OFFSET($O$15,0,$DN319,$B$8,1),OFFSET($M$15,0,0,$B$8,1))=EQ$13), 1*(_xlfn._xlws.FILTER(OFFSET($O$15,0,$DO319,$B$8,1),OFFSET($M$15,0,0,$B$8,1))=EQ$14))   /   SUM(OFFSET($BO$15,0,0,$B$14,1)) + $B$18/($B$19*$B$19*($DN319&lt;&gt;$DO319) + $B$19*($DN319=$DO319))</f>
        <v>3.7037037037037035E-4</v>
      </c>
      <c r="ER319" s="10" cm="1">
        <f t="array" aca="1" ref="ER319" ca="1">(1-$B$18)*SUMPRODUCT(OFFSET($BO$15,0,0,$B$14,1), 1*(_xlfn._xlws.FILTER(OFFSET($O$15,0,$DN319,$B$8,1),OFFSET($M$15,0,0,$B$8,1))=ER$13), 1*(_xlfn._xlws.FILTER(OFFSET($O$15,0,$DO319,$B$8,1),OFFSET($M$15,0,0,$B$8,1))=ER$14))   /   SUM(OFFSET($BO$15,0,0,$B$14,1)) + $B$18/($B$19*$B$19*($DN319&lt;&gt;$DO319) + $B$19*($DN319=$DO319))</f>
        <v>3.7037037037037035E-4</v>
      </c>
      <c r="ES319" s="10" cm="1">
        <f t="array" aca="1" ref="ES319" ca="1">(1-$B$18)*SUMPRODUCT(OFFSET($BO$15,0,0,$B$14,1), 1*(_xlfn._xlws.FILTER(OFFSET($O$15,0,$DN319,$B$8,1),OFFSET($M$15,0,0,$B$8,1))=ES$13), 1*(_xlfn._xlws.FILTER(OFFSET($O$15,0,$DO319,$B$8,1),OFFSET($M$15,0,0,$B$8,1))=ES$14))   /   SUM(OFFSET($BO$15,0,0,$B$14,1)) + $B$18/($B$19*$B$19*($DN319&lt;&gt;$DO319) + $B$19*($DN319=$DO319))</f>
        <v>3.7037037037037035E-4</v>
      </c>
      <c r="ET319" s="10" cm="1">
        <f t="array" aca="1" ref="ET319" ca="1">(1-$B$18)*SUMPRODUCT(OFFSET($BO$15,0,0,$B$14,1), 1*(_xlfn._xlws.FILTER(OFFSET($O$15,0,$DN319,$B$8,1),OFFSET($M$15,0,0,$B$8,1))=ET$13), 1*(_xlfn._xlws.FILTER(OFFSET($O$15,0,$DO319,$B$8,1),OFFSET($M$15,0,0,$B$8,1))=ET$14))   /   SUM(OFFSET($BO$15,0,0,$B$14,1)) + $B$18/($B$19*$B$19*($DN319&lt;&gt;$DO319) + $B$19*($DN319=$DO319))</f>
        <v>0.97037037037037033</v>
      </c>
      <c r="EU319" s="10" cm="1">
        <f t="array" aca="1" ref="EU319" ca="1">(1-$B$18)*SUMPRODUCT(OFFSET($BO$15,0,0,$B$14,1), 1*(_xlfn._xlws.FILTER(OFFSET($O$15,0,$DN319,$B$8,1),OFFSET($M$15,0,0,$B$8,1))=EU$13), 1*(_xlfn._xlws.FILTER(OFFSET($O$15,0,$DO319,$B$8,1),OFFSET($M$15,0,0,$B$8,1))=EU$14))   /   SUM(OFFSET($BO$15,0,0,$B$14,1)) + $B$18/($B$19*$B$19*($DN319&lt;&gt;$DO319) + $B$19*($DN319=$DO319))</f>
        <v>3.7037037037037035E-4</v>
      </c>
      <c r="EV319" s="10" cm="1">
        <f t="array" aca="1" ref="EV319" ca="1">(1-$B$18)*SUMPRODUCT(OFFSET($BO$15,0,0,$B$14,1), 1*(_xlfn._xlws.FILTER(OFFSET($O$15,0,$DN319,$B$8,1),OFFSET($M$15,0,0,$B$8,1))=EV$13), 1*(_xlfn._xlws.FILTER(OFFSET($O$15,0,$DO319,$B$8,1),OFFSET($M$15,0,0,$B$8,1))=EV$14))   /   SUM(OFFSET($BO$15,0,0,$B$14,1)) + $B$18/($B$19*$B$19*($DN319&lt;&gt;$DO319) + $B$19*($DN319=$DO319))</f>
        <v>3.7037037037037035E-4</v>
      </c>
      <c r="EW319" s="10" cm="1">
        <f t="array" aca="1" ref="EW319" ca="1">(1-$B$18)*SUMPRODUCT(OFFSET($BO$15,0,0,$B$14,1), 1*(_xlfn._xlws.FILTER(OFFSET($O$15,0,$DN319,$B$8,1),OFFSET($M$15,0,0,$B$8,1))=EW$13), 1*(_xlfn._xlws.FILTER(OFFSET($O$15,0,$DO319,$B$8,1),OFFSET($M$15,0,0,$B$8,1))=EW$14))   /   SUM(OFFSET($BO$15,0,0,$B$14,1)) + $B$18/($B$19*$B$19*($DN319&lt;&gt;$DO319) + $B$19*($DN319=$DO319))</f>
        <v>3.7037037037037035E-4</v>
      </c>
      <c r="EX319" s="10" cm="1">
        <f t="array" aca="1" ref="EX319" ca="1">(1-$B$18)*SUMPRODUCT(OFFSET($BO$15,0,0,$B$14,1), 1*(_xlfn._xlws.FILTER(OFFSET($O$15,0,$DN319,$B$8,1),OFFSET($M$15,0,0,$B$8,1))=EX$13), 1*(_xlfn._xlws.FILTER(OFFSET($O$15,0,$DO319,$B$8,1),OFFSET($M$15,0,0,$B$8,1))=EX$14))   /   SUM(OFFSET($BO$15,0,0,$B$14,1)) + $B$18/($B$19*$B$19*($DN319&lt;&gt;$DO319) + $B$19*($DN319=$DO319))</f>
        <v>3.7037037037037035E-4</v>
      </c>
      <c r="EY319" s="10" cm="1">
        <f t="array" aca="1" ref="EY319" ca="1">(1-$B$18)*SUMPRODUCT(OFFSET($BO$15,0,0,$B$14,1), 1*(_xlfn._xlws.FILTER(OFFSET($O$15,0,$DN319,$B$8,1),OFFSET($M$15,0,0,$B$8,1))=EY$13), 1*(_xlfn._xlws.FILTER(OFFSET($O$15,0,$DO319,$B$8,1),OFFSET($M$15,0,0,$B$8,1))=EY$14))   /   SUM(OFFSET($BO$15,0,0,$B$14,1)) + $B$18/($B$19*$B$19*($DN319&lt;&gt;$DO319) + $B$19*($DN319=$DO319))</f>
        <v>3.7037037037037035E-4</v>
      </c>
      <c r="EZ319" s="10" cm="1">
        <f t="array" aca="1" ref="EZ319" ca="1">(1-$B$18)*SUMPRODUCT(OFFSET($BO$15,0,0,$B$14,1), 1*(_xlfn._xlws.FILTER(OFFSET($O$15,0,$DN319,$B$8,1),OFFSET($M$15,0,0,$B$8,1))=EZ$13), 1*(_xlfn._xlws.FILTER(OFFSET($O$15,0,$DO319,$B$8,1),OFFSET($M$15,0,0,$B$8,1))=EZ$14))   /   SUM(OFFSET($BO$15,0,0,$B$14,1)) + $B$18/($B$19*$B$19*($DN319&lt;&gt;$DO319) + $B$19*($DN319=$DO319))</f>
        <v>3.7037037037037035E-4</v>
      </c>
      <c r="FA319" s="10" cm="1">
        <f t="array" aca="1" ref="FA319" ca="1">(1-$B$18)*SUMPRODUCT(OFFSET($BO$15,0,0,$B$14,1), 1*(_xlfn._xlws.FILTER(OFFSET($O$15,0,$DN319,$B$8,1),OFFSET($M$15,0,0,$B$8,1))=FA$13), 1*(_xlfn._xlws.FILTER(OFFSET($O$15,0,$DO319,$B$8,1),OFFSET($M$15,0,0,$B$8,1))=FA$14))   /   SUM(OFFSET($BO$15,0,0,$B$14,1)) + $B$18/($B$19*$B$19*($DN319&lt;&gt;$DO319) + $B$19*($DN319=$DO319))</f>
        <v>3.7037037037037035E-4</v>
      </c>
      <c r="FB319" s="10" cm="1">
        <f t="array" aca="1" ref="FB319" ca="1">(1-$B$18)*SUMPRODUCT(OFFSET($BO$15,0,0,$B$14,1), 1*(_xlfn._xlws.FILTER(OFFSET($O$15,0,$DN319,$B$8,1),OFFSET($M$15,0,0,$B$8,1))=FB$13), 1*(_xlfn._xlws.FILTER(OFFSET($O$15,0,$DO319,$B$8,1),OFFSET($M$15,0,0,$B$8,1))=FB$14))   /   SUM(OFFSET($BO$15,0,0,$B$14,1)) + $B$18/($B$19*$B$19*($DN319&lt;&gt;$DO319) + $B$19*($DN319=$DO319))</f>
        <v>3.7037037037037035E-4</v>
      </c>
      <c r="FC319" s="10" cm="1">
        <f t="array" aca="1" ref="FC319" ca="1">(1-$B$18)*SUMPRODUCT(OFFSET($BO$15,0,0,$B$14,1), 1*(_xlfn._xlws.FILTER(OFFSET($O$15,0,$DN319,$B$8,1),OFFSET($M$15,0,0,$B$8,1))=FC$13), 1*(_xlfn._xlws.FILTER(OFFSET($O$15,0,$DO319,$B$8,1),OFFSET($M$15,0,0,$B$8,1))=FC$14))   /   SUM(OFFSET($BO$15,0,0,$B$14,1)) + $B$18/($B$19*$B$19*($DN319&lt;&gt;$DO319) + $B$19*($DN319=$DO319))</f>
        <v>3.7037037037037035E-4</v>
      </c>
      <c r="FD319" s="10" cm="1">
        <f t="array" aca="1" ref="FD319" ca="1">(1-$B$18)*SUMPRODUCT(OFFSET($BO$15,0,0,$B$14,1), 1*(_xlfn._xlws.FILTER(OFFSET($O$15,0,$DN319,$B$8,1),OFFSET($M$15,0,0,$B$8,1))=FD$13), 1*(_xlfn._xlws.FILTER(OFFSET($O$15,0,$DO319,$B$8,1),OFFSET($M$15,0,0,$B$8,1))=FD$14))   /   SUM(OFFSET($BO$15,0,0,$B$14,1)) + $B$18/($B$19*$B$19*($DN319&lt;&gt;$DO319) + $B$19*($DN319=$DO319))</f>
        <v>3.7037037037037035E-4</v>
      </c>
      <c r="FE319" s="10" cm="1">
        <f t="array" aca="1" ref="FE319" ca="1">(1-$B$18)*SUMPRODUCT(OFFSET($BO$15,0,0,$B$14,1), 1*(_xlfn._xlws.FILTER(OFFSET($O$15,0,$DN319,$B$8,1),OFFSET($M$15,0,0,$B$8,1))=FE$13), 1*(_xlfn._xlws.FILTER(OFFSET($O$15,0,$DO319,$B$8,1),OFFSET($M$15,0,0,$B$8,1))=FE$14))   /   SUM(OFFSET($BO$15,0,0,$B$14,1)) + $B$18/($B$19*$B$19*($DN319&lt;&gt;$DO319) + $B$19*($DN319=$DO319))</f>
        <v>3.7037037037037035E-4</v>
      </c>
      <c r="FF319" s="10" cm="1">
        <f t="array" aca="1" ref="FF319" ca="1">(1-$B$18)*SUMPRODUCT(OFFSET($BO$15,0,0,$B$14,1), 1*(_xlfn._xlws.FILTER(OFFSET($O$15,0,$DN319,$B$8,1),OFFSET($M$15,0,0,$B$8,1))=FF$13), 1*(_xlfn._xlws.FILTER(OFFSET($O$15,0,$DO319,$B$8,1),OFFSET($M$15,0,0,$B$8,1))=FF$14))   /   SUM(OFFSET($BO$15,0,0,$B$14,1)) + $B$18/($B$19*$B$19*($DN319&lt;&gt;$DO319) + $B$19*($DN319=$DO319))</f>
        <v>3.7037037037037035E-4</v>
      </c>
      <c r="FG319" s="10" cm="1">
        <f t="array" aca="1" ref="FG319" ca="1">(1-$B$18)*SUMPRODUCT(OFFSET($BO$15,0,0,$B$14,1), 1*(_xlfn._xlws.FILTER(OFFSET($O$15,0,$DN319,$B$8,1),OFFSET($M$15,0,0,$B$8,1))=FG$13), 1*(_xlfn._xlws.FILTER(OFFSET($O$15,0,$DO319,$B$8,1),OFFSET($M$15,0,0,$B$8,1))=FG$14))   /   SUM(OFFSET($BO$15,0,0,$B$14,1)) + $B$18/($B$19*$B$19*($DN319&lt;&gt;$DO319) + $B$19*($DN319=$DO319))</f>
        <v>3.7037037037037035E-4</v>
      </c>
      <c r="FH319" s="10" cm="1">
        <f t="array" aca="1" ref="FH319" ca="1">(1-$B$18)*SUMPRODUCT(OFFSET($BO$15,0,0,$B$14,1), 1*(_xlfn._xlws.FILTER(OFFSET($O$15,0,$DN319,$B$8,1),OFFSET($M$15,0,0,$B$8,1))=FH$13), 1*(_xlfn._xlws.FILTER(OFFSET($O$15,0,$DO319,$B$8,1),OFFSET($M$15,0,0,$B$8,1))=FH$14))   /   SUM(OFFSET($BO$15,0,0,$B$14,1)) + $B$18/($B$19*$B$19*($DN319&lt;&gt;$DO319) + $B$19*($DN319=$DO319))</f>
        <v>3.7037037037037035E-4</v>
      </c>
      <c r="FI319" s="10" cm="1">
        <f t="array" aca="1" ref="FI319" ca="1">(1-$B$18)*SUMPRODUCT(OFFSET($BO$15,0,0,$B$14,1), 1*(_xlfn._xlws.FILTER(OFFSET($O$15,0,$DN319,$B$8,1),OFFSET($M$15,0,0,$B$8,1))=FI$13), 1*(_xlfn._xlws.FILTER(OFFSET($O$15,0,$DO319,$B$8,1),OFFSET($M$15,0,0,$B$8,1))=FI$14))   /   SUM(OFFSET($BO$15,0,0,$B$14,1)) + $B$18/($B$19*$B$19*($DN319&lt;&gt;$DO319) + $B$19*($DN319=$DO319))</f>
        <v>3.7037037037037035E-4</v>
      </c>
      <c r="FJ319" s="10" cm="1">
        <f t="array" aca="1" ref="FJ319" ca="1">(1-$B$18)*SUMPRODUCT(OFFSET($BO$15,0,0,$B$14,1), 1*(_xlfn._xlws.FILTER(OFFSET($O$15,0,$DN319,$B$8,1),OFFSET($M$15,0,0,$B$8,1))=FJ$13), 1*(_xlfn._xlws.FILTER(OFFSET($O$15,0,$DO319,$B$8,1),OFFSET($M$15,0,0,$B$8,1))=FJ$14))   /   SUM(OFFSET($BO$15,0,0,$B$14,1)) + $B$18/($B$19*$B$19*($DN319&lt;&gt;$DO319) + $B$19*($DN319=$DO319))</f>
        <v>3.7037037037037035E-4</v>
      </c>
      <c r="FK319" s="10" cm="1">
        <f t="array" aca="1" ref="FK319" ca="1">(1-$B$18)*SUMPRODUCT(OFFSET($BO$15,0,0,$B$14,1), 1*(_xlfn._xlws.FILTER(OFFSET($O$15,0,$DN319,$B$8,1),OFFSET($M$15,0,0,$B$8,1))=FK$13), 1*(_xlfn._xlws.FILTER(OFFSET($O$15,0,$DO319,$B$8,1),OFFSET($M$15,0,0,$B$8,1))=FK$14))   /   SUM(OFFSET($BO$15,0,0,$B$14,1)) + $B$18/($B$19*$B$19*($DN319&lt;&gt;$DO319) + $B$19*($DN319=$DO319))</f>
        <v>3.7037037037037035E-4</v>
      </c>
      <c r="FL319" s="10" cm="1">
        <f t="array" aca="1" ref="FL319" ca="1">(1-$B$18)*SUMPRODUCT(OFFSET($BO$15,0,0,$B$14,1), 1*(_xlfn._xlws.FILTER(OFFSET($O$15,0,$DN319,$B$8,1),OFFSET($M$15,0,0,$B$8,1))=FL$13), 1*(_xlfn._xlws.FILTER(OFFSET($O$15,0,$DO319,$B$8,1),OFFSET($M$15,0,0,$B$8,1))=FL$14))   /   SUM(OFFSET($BO$15,0,0,$B$14,1)) + $B$18/($B$19*$B$19*($DN319&lt;&gt;$DO319) + $B$19*($DN319=$DO319))</f>
        <v>3.7037037037037035E-4</v>
      </c>
      <c r="FM319" s="10" cm="1">
        <f t="array" aca="1" ref="FM319" ca="1">(1-$B$18)*SUMPRODUCT(OFFSET($BO$15,0,0,$B$14,1), 1*(_xlfn._xlws.FILTER(OFFSET($O$15,0,$DN319,$B$8,1),OFFSET($M$15,0,0,$B$8,1))=FM$13), 1*(_xlfn._xlws.FILTER(OFFSET($O$15,0,$DO319,$B$8,1),OFFSET($M$15,0,0,$B$8,1))=FM$14))   /   SUM(OFFSET($BO$15,0,0,$B$14,1)) + $B$18/($B$19*$B$19*($DN319&lt;&gt;$DO319) + $B$19*($DN319=$DO319))</f>
        <v>3.7037037037037035E-4</v>
      </c>
      <c r="FN319" s="10" cm="1">
        <f t="array" aca="1" ref="FN319" ca="1">(1-$B$18)*SUMPRODUCT(OFFSET($BO$15,0,0,$B$14,1), 1*(_xlfn._xlws.FILTER(OFFSET($O$15,0,$DN319,$B$8,1),OFFSET($M$15,0,0,$B$8,1))=FN$13), 1*(_xlfn._xlws.FILTER(OFFSET($O$15,0,$DO319,$B$8,1),OFFSET($M$15,0,0,$B$8,1))=FN$14))   /   SUM(OFFSET($BO$15,0,0,$B$14,1)) + $B$18/($B$19*$B$19*($DN319&lt;&gt;$DO319) + $B$19*($DN319=$DO319))</f>
        <v>3.7037037037037035E-4</v>
      </c>
      <c r="FO319" s="10" cm="1">
        <f t="array" aca="1" ref="FO319" ca="1">(1-$B$18)*SUMPRODUCT(OFFSET($BO$15,0,0,$B$14,1), 1*(_xlfn._xlws.FILTER(OFFSET($O$15,0,$DN319,$B$8,1),OFFSET($M$15,0,0,$B$8,1))=FO$13), 1*(_xlfn._xlws.FILTER(OFFSET($O$15,0,$DO319,$B$8,1),OFFSET($M$15,0,0,$B$8,1))=FO$14))   /   SUM(OFFSET($BO$15,0,0,$B$14,1)) + $B$18/($B$19*$B$19*($DN319&lt;&gt;$DO319) + $B$19*($DN319=$DO319))</f>
        <v>3.7037037037037035E-4</v>
      </c>
      <c r="FP319" s="10" cm="1">
        <f t="array" aca="1" ref="FP319" ca="1">(1-$B$18)*SUMPRODUCT(OFFSET($BO$15,0,0,$B$14,1), 1*(_xlfn._xlws.FILTER(OFFSET($O$15,0,$DN319,$B$8,1),OFFSET($M$15,0,0,$B$8,1))=FP$13), 1*(_xlfn._xlws.FILTER(OFFSET($O$15,0,$DO319,$B$8,1),OFFSET($M$15,0,0,$B$8,1))=FP$14))   /   SUM(OFFSET($BO$15,0,0,$B$14,1)) + $B$18/($B$19*$B$19*($DN319&lt;&gt;$DO319) + $B$19*($DN319=$DO319))</f>
        <v>3.7037037037037035E-4</v>
      </c>
      <c r="FQ319" s="10" cm="1">
        <f t="array" aca="1" ref="FQ319" ca="1">(1-$B$18)*SUMPRODUCT(OFFSET($BO$15,0,0,$B$14,1), 1*(_xlfn._xlws.FILTER(OFFSET($O$15,0,$DN319,$B$8,1),OFFSET($M$15,0,0,$B$8,1))=FQ$13), 1*(_xlfn._xlws.FILTER(OFFSET($O$15,0,$DO319,$B$8,1),OFFSET($M$15,0,0,$B$8,1))=FQ$14))   /   SUM(OFFSET($BO$15,0,0,$B$14,1)) + $B$18/($B$19*$B$19*($DN319&lt;&gt;$DO319) + $B$19*($DN319=$DO319))</f>
        <v>3.7037037037037035E-4</v>
      </c>
      <c r="FR319" s="10" cm="1">
        <f t="array" aca="1" ref="FR319" ca="1">(1-$B$18)*SUMPRODUCT(OFFSET($BO$15,0,0,$B$14,1), 1*(_xlfn._xlws.FILTER(OFFSET($O$15,0,$DN319,$B$8,1),OFFSET($M$15,0,0,$B$8,1))=FR$13), 1*(_xlfn._xlws.FILTER(OFFSET($O$15,0,$DO319,$B$8,1),OFFSET($M$15,0,0,$B$8,1))=FR$14))   /   SUM(OFFSET($BO$15,0,0,$B$14,1)) + $B$18/($B$19*$B$19*($DN319&lt;&gt;$DO319) + $B$19*($DN319=$DO319))</f>
        <v>3.7037037037037035E-4</v>
      </c>
      <c r="FS319" s="10" cm="1">
        <f t="array" aca="1" ref="FS319" ca="1">(1-$B$18)*SUMPRODUCT(OFFSET($BO$15,0,0,$B$14,1), 1*(_xlfn._xlws.FILTER(OFFSET($O$15,0,$DN319,$B$8,1),OFFSET($M$15,0,0,$B$8,1))=FS$13), 1*(_xlfn._xlws.FILTER(OFFSET($O$15,0,$DO319,$B$8,1),OFFSET($M$15,0,0,$B$8,1))=FS$14))   /   SUM(OFFSET($BO$15,0,0,$B$14,1)) + $B$18/($B$19*$B$19*($DN319&lt;&gt;$DO319) + $B$19*($DN319=$DO319))</f>
        <v>3.7037037037037035E-4</v>
      </c>
      <c r="FT319" s="10" cm="1">
        <f t="array" aca="1" ref="FT319" ca="1">(1-$B$18)*SUMPRODUCT(OFFSET($BO$15,0,0,$B$14,1), 1*(_xlfn._xlws.FILTER(OFFSET($O$15,0,$DN319,$B$8,1),OFFSET($M$15,0,0,$B$8,1))=FT$13), 1*(_xlfn._xlws.FILTER(OFFSET($O$15,0,$DO319,$B$8,1),OFFSET($M$15,0,0,$B$8,1))=FT$14))   /   SUM(OFFSET($BO$15,0,0,$B$14,1)) + $B$18/($B$19*$B$19*($DN319&lt;&gt;$DO319) + $B$19*($DN319=$DO319))</f>
        <v>3.7037037037037035E-4</v>
      </c>
      <c r="FU319" s="10" cm="1">
        <f t="array" aca="1" ref="FU319" ca="1">(1-$B$18)*SUMPRODUCT(OFFSET($BO$15,0,0,$B$14,1), 1*(_xlfn._xlws.FILTER(OFFSET($O$15,0,$DN319,$B$8,1),OFFSET($M$15,0,0,$B$8,1))=FU$13), 1*(_xlfn._xlws.FILTER(OFFSET($O$15,0,$DO319,$B$8,1),OFFSET($M$15,0,0,$B$8,1))=FU$14))   /   SUM(OFFSET($BO$15,0,0,$B$14,1)) + $B$18/($B$19*$B$19*($DN319&lt;&gt;$DO319) + $B$19*($DN319=$DO319))</f>
        <v>3.7037037037037035E-4</v>
      </c>
      <c r="FV319" s="10" cm="1">
        <f t="array" aca="1" ref="FV319" ca="1">(1-$B$18)*SUMPRODUCT(OFFSET($BO$15,0,0,$B$14,1), 1*(_xlfn._xlws.FILTER(OFFSET($O$15,0,$DN319,$B$8,1),OFFSET($M$15,0,0,$B$8,1))=FV$13), 1*(_xlfn._xlws.FILTER(OFFSET($O$15,0,$DO319,$B$8,1),OFFSET($M$15,0,0,$B$8,1))=FV$14))   /   SUM(OFFSET($BO$15,0,0,$B$14,1)) + $B$18/($B$19*$B$19*($DN319&lt;&gt;$DO319) + $B$19*($DN319=$DO319))</f>
        <v>3.7037037037037035E-4</v>
      </c>
      <c r="FW319" s="10" cm="1">
        <f t="array" aca="1" ref="FW319" ca="1">(1-$B$18)*SUMPRODUCT(OFFSET($BO$15,0,0,$B$14,1), 1*(_xlfn._xlws.FILTER(OFFSET($O$15,0,$DN319,$B$8,1),OFFSET($M$15,0,0,$B$8,1))=FW$13), 1*(_xlfn._xlws.FILTER(OFFSET($O$15,0,$DO319,$B$8,1),OFFSET($M$15,0,0,$B$8,1))=FW$14))   /   SUM(OFFSET($BO$15,0,0,$B$14,1)) + $B$18/($B$19*$B$19*($DN319&lt;&gt;$DO319) + $B$19*($DN319=$DO319))</f>
        <v>3.7037037037037035E-4</v>
      </c>
      <c r="FX319" s="10" cm="1">
        <f t="array" aca="1" ref="FX319" ca="1">(1-$B$18)*SUMPRODUCT(OFFSET($BO$15,0,0,$B$14,1), 1*(_xlfn._xlws.FILTER(OFFSET($O$15,0,$DN319,$B$8,1),OFFSET($M$15,0,0,$B$8,1))=FX$13), 1*(_xlfn._xlws.FILTER(OFFSET($O$15,0,$DO319,$B$8,1),OFFSET($M$15,0,0,$B$8,1))=FX$14))   /   SUM(OFFSET($BO$15,0,0,$B$14,1)) + $B$18/($B$19*$B$19*($DN319&lt;&gt;$DO319) + $B$19*($DN319=$DO319))</f>
        <v>3.7037037037037035E-4</v>
      </c>
      <c r="FY319" s="10" cm="1">
        <f t="array" aca="1" ref="FY319" ca="1">(1-$B$18)*SUMPRODUCT(OFFSET($BO$15,0,0,$B$14,1), 1*(_xlfn._xlws.FILTER(OFFSET($O$15,0,$DN319,$B$8,1),OFFSET($M$15,0,0,$B$8,1))=FY$13), 1*(_xlfn._xlws.FILTER(OFFSET($O$15,0,$DO319,$B$8,1),OFFSET($M$15,0,0,$B$8,1))=FY$14))   /   SUM(OFFSET($BO$15,0,0,$B$14,1)) + $B$18/($B$19*$B$19*($DN319&lt;&gt;$DO319) + $B$19*($DN319=$DO319))</f>
        <v>3.7037037037037035E-4</v>
      </c>
      <c r="FZ319" s="10" cm="1">
        <f t="array" aca="1" ref="FZ319" ca="1">(1-$B$18)*SUMPRODUCT(OFFSET($BO$15,0,0,$B$14,1), 1*(_xlfn._xlws.FILTER(OFFSET($O$15,0,$DN319,$B$8,1),OFFSET($M$15,0,0,$B$8,1))=FZ$13), 1*(_xlfn._xlws.FILTER(OFFSET($O$15,0,$DO319,$B$8,1),OFFSET($M$15,0,0,$B$8,1))=FZ$14))   /   SUM(OFFSET($BO$15,0,0,$B$14,1)) + $B$18/($B$19*$B$19*($DN319&lt;&gt;$DO319) + $B$19*($DN319=$DO319))</f>
        <v>3.7037037037037035E-4</v>
      </c>
      <c r="GA319" s="10" cm="1">
        <f t="array" aca="1" ref="GA319" ca="1">(1-$B$18)*SUMPRODUCT(OFFSET($BO$15,0,0,$B$14,1), 1*(_xlfn._xlws.FILTER(OFFSET($O$15,0,$DN319,$B$8,1),OFFSET($M$15,0,0,$B$8,1))=GA$13), 1*(_xlfn._xlws.FILTER(OFFSET($O$15,0,$DO319,$B$8,1),OFFSET($M$15,0,0,$B$8,1))=GA$14))   /   SUM(OFFSET($BO$15,0,0,$B$14,1)) + $B$18/($B$19*$B$19*($DN319&lt;&gt;$DO319) + $B$19*($DN319=$DO319))</f>
        <v>3.7037037037037035E-4</v>
      </c>
    </row>
    <row r="320" spans="118:183" x14ac:dyDescent="0.2">
      <c r="DN320" cm="1">
        <f t="array" aca="1" ref="DN320" ca="1">INDEX(_xlfn.ANCHORARRAY($CP$15), 1 + INT((ROWS($DO$15:$DO320) - 1) / ROWS(_xlfn.ANCHORARRAY($CP$15))))</f>
        <v>19</v>
      </c>
      <c r="DO320" cm="1">
        <f t="array" aca="1" ref="DO320" ca="1">INDEX(_xlfn.ANCHORARRAY($CP$15),1+MOD(ROWS($DO$15:$DO320)-1,ROWS(_xlfn.ANCHORARRAY($CP$15))))</f>
        <v>1</v>
      </c>
      <c r="DP320" s="10" cm="1">
        <f t="array" aca="1" ref="DP320" ca="1">(1-$B$18)*SUMPRODUCT(OFFSET($BO$15,0,0,$B$14,1), 1*(_xlfn._xlws.FILTER(OFFSET($O$15,0,$DN320,$B$8,1),OFFSET($M$15,0,0,$B$8,1))=DP$13), 1*(_xlfn._xlws.FILTER(OFFSET($O$15,0,$DO320,$B$8,1),OFFSET($M$15,0,0,$B$8,1))=DP$14))   /   SUM(OFFSET($BO$15,0,0,$B$14,1)) + $B$18/($B$19*$B$19*($DN320&lt;&gt;$DO320) + $B$19*($DN320=$DO320))</f>
        <v>3.7037037037037035E-4</v>
      </c>
      <c r="DQ320" s="10" cm="1">
        <f t="array" aca="1" ref="DQ320" ca="1">(1-$B$18)*SUMPRODUCT(OFFSET($BO$15,0,0,$B$14,1), 1*(_xlfn._xlws.FILTER(OFFSET($O$15,0,$DN320,$B$8,1),OFFSET($M$15,0,0,$B$8,1))=DQ$13), 1*(_xlfn._xlws.FILTER(OFFSET($O$15,0,$DO320,$B$8,1),OFFSET($M$15,0,0,$B$8,1))=DQ$14))   /   SUM(OFFSET($BO$15,0,0,$B$14,1)) + $B$18/($B$19*$B$19*($DN320&lt;&gt;$DO320) + $B$19*($DN320=$DO320))</f>
        <v>3.7037037037037035E-4</v>
      </c>
      <c r="DR320" s="10" cm="1">
        <f t="array" aca="1" ref="DR320" ca="1">(1-$B$18)*SUMPRODUCT(OFFSET($BO$15,0,0,$B$14,1), 1*(_xlfn._xlws.FILTER(OFFSET($O$15,0,$DN320,$B$8,1),OFFSET($M$15,0,0,$B$8,1))=DR$13), 1*(_xlfn._xlws.FILTER(OFFSET($O$15,0,$DO320,$B$8,1),OFFSET($M$15,0,0,$B$8,1))=DR$14))   /   SUM(OFFSET($BO$15,0,0,$B$14,1)) + $B$18/($B$19*$B$19*($DN320&lt;&gt;$DO320) + $B$19*($DN320=$DO320))</f>
        <v>3.7037037037037035E-4</v>
      </c>
      <c r="DS320" s="10" cm="1">
        <f t="array" aca="1" ref="DS320" ca="1">(1-$B$18)*SUMPRODUCT(OFFSET($BO$15,0,0,$B$14,1), 1*(_xlfn._xlws.FILTER(OFFSET($O$15,0,$DN320,$B$8,1),OFFSET($M$15,0,0,$B$8,1))=DS$13), 1*(_xlfn._xlws.FILTER(OFFSET($O$15,0,$DO320,$B$8,1),OFFSET($M$15,0,0,$B$8,1))=DS$14))   /   SUM(OFFSET($BO$15,0,0,$B$14,1)) + $B$18/($B$19*$B$19*($DN320&lt;&gt;$DO320) + $B$19*($DN320=$DO320))</f>
        <v>3.7037037037037035E-4</v>
      </c>
      <c r="DT320" s="10" cm="1">
        <f t="array" aca="1" ref="DT320" ca="1">(1-$B$18)*SUMPRODUCT(OFFSET($BO$15,0,0,$B$14,1), 1*(_xlfn._xlws.FILTER(OFFSET($O$15,0,$DN320,$B$8,1),OFFSET($M$15,0,0,$B$8,1))=DT$13), 1*(_xlfn._xlws.FILTER(OFFSET($O$15,0,$DO320,$B$8,1),OFFSET($M$15,0,0,$B$8,1))=DT$14))   /   SUM(OFFSET($BO$15,0,0,$B$14,1)) + $B$18/($B$19*$B$19*($DN320&lt;&gt;$DO320) + $B$19*($DN320=$DO320))</f>
        <v>3.7037037037037035E-4</v>
      </c>
      <c r="DU320" s="10" cm="1">
        <f t="array" aca="1" ref="DU320" ca="1">(1-$B$18)*SUMPRODUCT(OFFSET($BO$15,0,0,$B$14,1), 1*(_xlfn._xlws.FILTER(OFFSET($O$15,0,$DN320,$B$8,1),OFFSET($M$15,0,0,$B$8,1))=DU$13), 1*(_xlfn._xlws.FILTER(OFFSET($O$15,0,$DO320,$B$8,1),OFFSET($M$15,0,0,$B$8,1))=DU$14))   /   SUM(OFFSET($BO$15,0,0,$B$14,1)) + $B$18/($B$19*$B$19*($DN320&lt;&gt;$DO320) + $B$19*($DN320=$DO320))</f>
        <v>3.7037037037037035E-4</v>
      </c>
      <c r="DV320" s="10" cm="1">
        <f t="array" aca="1" ref="DV320" ca="1">(1-$B$18)*SUMPRODUCT(OFFSET($BO$15,0,0,$B$14,1), 1*(_xlfn._xlws.FILTER(OFFSET($O$15,0,$DN320,$B$8,1),OFFSET($M$15,0,0,$B$8,1))=DV$13), 1*(_xlfn._xlws.FILTER(OFFSET($O$15,0,$DO320,$B$8,1),OFFSET($M$15,0,0,$B$8,1))=DV$14))   /   SUM(OFFSET($BO$15,0,0,$B$14,1)) + $B$18/($B$19*$B$19*($DN320&lt;&gt;$DO320) + $B$19*($DN320=$DO320))</f>
        <v>3.7037037037037035E-4</v>
      </c>
      <c r="DW320" s="10" cm="1">
        <f t="array" aca="1" ref="DW320" ca="1">(1-$B$18)*SUMPRODUCT(OFFSET($BO$15,0,0,$B$14,1), 1*(_xlfn._xlws.FILTER(OFFSET($O$15,0,$DN320,$B$8,1),OFFSET($M$15,0,0,$B$8,1))=DW$13), 1*(_xlfn._xlws.FILTER(OFFSET($O$15,0,$DO320,$B$8,1),OFFSET($M$15,0,0,$B$8,1))=DW$14))   /   SUM(OFFSET($BO$15,0,0,$B$14,1)) + $B$18/($B$19*$B$19*($DN320&lt;&gt;$DO320) + $B$19*($DN320=$DO320))</f>
        <v>3.7037037037037035E-4</v>
      </c>
      <c r="DX320" s="10" cm="1">
        <f t="array" aca="1" ref="DX320" ca="1">(1-$B$18)*SUMPRODUCT(OFFSET($BO$15,0,0,$B$14,1), 1*(_xlfn._xlws.FILTER(OFFSET($O$15,0,$DN320,$B$8,1),OFFSET($M$15,0,0,$B$8,1))=DX$13), 1*(_xlfn._xlws.FILTER(OFFSET($O$15,0,$DO320,$B$8,1),OFFSET($M$15,0,0,$B$8,1))=DX$14))   /   SUM(OFFSET($BO$15,0,0,$B$14,1)) + $B$18/($B$19*$B$19*($DN320&lt;&gt;$DO320) + $B$19*($DN320=$DO320))</f>
        <v>3.7037037037037035E-4</v>
      </c>
      <c r="DY320" s="10" cm="1">
        <f t="array" aca="1" ref="DY320" ca="1">(1-$B$18)*SUMPRODUCT(OFFSET($BO$15,0,0,$B$14,1), 1*(_xlfn._xlws.FILTER(OFFSET($O$15,0,$DN320,$B$8,1),OFFSET($M$15,0,0,$B$8,1))=DY$13), 1*(_xlfn._xlws.FILTER(OFFSET($O$15,0,$DO320,$B$8,1),OFFSET($M$15,0,0,$B$8,1))=DY$14))   /   SUM(OFFSET($BO$15,0,0,$B$14,1)) + $B$18/($B$19*$B$19*($DN320&lt;&gt;$DO320) + $B$19*($DN320=$DO320))</f>
        <v>3.7037037037037035E-4</v>
      </c>
      <c r="DZ320" s="10" cm="1">
        <f t="array" aca="1" ref="DZ320" ca="1">(1-$B$18)*SUMPRODUCT(OFFSET($BO$15,0,0,$B$14,1), 1*(_xlfn._xlws.FILTER(OFFSET($O$15,0,$DN320,$B$8,1),OFFSET($M$15,0,0,$B$8,1))=DZ$13), 1*(_xlfn._xlws.FILTER(OFFSET($O$15,0,$DO320,$B$8,1),OFFSET($M$15,0,0,$B$8,1))=DZ$14))   /   SUM(OFFSET($BO$15,0,0,$B$14,1)) + $B$18/($B$19*$B$19*($DN320&lt;&gt;$DO320) + $B$19*($DN320=$DO320))</f>
        <v>3.7037037037037035E-4</v>
      </c>
      <c r="EA320" s="10" cm="1">
        <f t="array" aca="1" ref="EA320" ca="1">(1-$B$18)*SUMPRODUCT(OFFSET($BO$15,0,0,$B$14,1), 1*(_xlfn._xlws.FILTER(OFFSET($O$15,0,$DN320,$B$8,1),OFFSET($M$15,0,0,$B$8,1))=EA$13), 1*(_xlfn._xlws.FILTER(OFFSET($O$15,0,$DO320,$B$8,1),OFFSET($M$15,0,0,$B$8,1))=EA$14))   /   SUM(OFFSET($BO$15,0,0,$B$14,1)) + $B$18/($B$19*$B$19*($DN320&lt;&gt;$DO320) + $B$19*($DN320=$DO320))</f>
        <v>3.7037037037037035E-4</v>
      </c>
      <c r="EB320" s="10" cm="1">
        <f t="array" aca="1" ref="EB320" ca="1">(1-$B$18)*SUMPRODUCT(OFFSET($BO$15,0,0,$B$14,1), 1*(_xlfn._xlws.FILTER(OFFSET($O$15,0,$DN320,$B$8,1),OFFSET($M$15,0,0,$B$8,1))=EB$13), 1*(_xlfn._xlws.FILTER(OFFSET($O$15,0,$DO320,$B$8,1),OFFSET($M$15,0,0,$B$8,1))=EB$14))   /   SUM(OFFSET($BO$15,0,0,$B$14,1)) + $B$18/($B$19*$B$19*($DN320&lt;&gt;$DO320) + $B$19*($DN320=$DO320))</f>
        <v>3.7037037037037035E-4</v>
      </c>
      <c r="EC320" s="10" cm="1">
        <f t="array" aca="1" ref="EC320" ca="1">(1-$B$18)*SUMPRODUCT(OFFSET($BO$15,0,0,$B$14,1), 1*(_xlfn._xlws.FILTER(OFFSET($O$15,0,$DN320,$B$8,1),OFFSET($M$15,0,0,$B$8,1))=EC$13), 1*(_xlfn._xlws.FILTER(OFFSET($O$15,0,$DO320,$B$8,1),OFFSET($M$15,0,0,$B$8,1))=EC$14))   /   SUM(OFFSET($BO$15,0,0,$B$14,1)) + $B$18/($B$19*$B$19*($DN320&lt;&gt;$DO320) + $B$19*($DN320=$DO320))</f>
        <v>3.7037037037037035E-4</v>
      </c>
      <c r="ED320" s="10" cm="1">
        <f t="array" aca="1" ref="ED320" ca="1">(1-$B$18)*SUMPRODUCT(OFFSET($BO$15,0,0,$B$14,1), 1*(_xlfn._xlws.FILTER(OFFSET($O$15,0,$DN320,$B$8,1),OFFSET($M$15,0,0,$B$8,1))=ED$13), 1*(_xlfn._xlws.FILTER(OFFSET($O$15,0,$DO320,$B$8,1),OFFSET($M$15,0,0,$B$8,1))=ED$14))   /   SUM(OFFSET($BO$15,0,0,$B$14,1)) + $B$18/($B$19*$B$19*($DN320&lt;&gt;$DO320) + $B$19*($DN320=$DO320))</f>
        <v>3.7037037037037035E-4</v>
      </c>
      <c r="EE320" s="10" cm="1">
        <f t="array" aca="1" ref="EE320" ca="1">(1-$B$18)*SUMPRODUCT(OFFSET($BO$15,0,0,$B$14,1), 1*(_xlfn._xlws.FILTER(OFFSET($O$15,0,$DN320,$B$8,1),OFFSET($M$15,0,0,$B$8,1))=EE$13), 1*(_xlfn._xlws.FILTER(OFFSET($O$15,0,$DO320,$B$8,1),OFFSET($M$15,0,0,$B$8,1))=EE$14))   /   SUM(OFFSET($BO$15,0,0,$B$14,1)) + $B$18/($B$19*$B$19*($DN320&lt;&gt;$DO320) + $B$19*($DN320=$DO320))</f>
        <v>3.7037037037037035E-4</v>
      </c>
      <c r="EF320" s="10" cm="1">
        <f t="array" aca="1" ref="EF320" ca="1">(1-$B$18)*SUMPRODUCT(OFFSET($BO$15,0,0,$B$14,1), 1*(_xlfn._xlws.FILTER(OFFSET($O$15,0,$DN320,$B$8,1),OFFSET($M$15,0,0,$B$8,1))=EF$13), 1*(_xlfn._xlws.FILTER(OFFSET($O$15,0,$DO320,$B$8,1),OFFSET($M$15,0,0,$B$8,1))=EF$14))   /   SUM(OFFSET($BO$15,0,0,$B$14,1)) + $B$18/($B$19*$B$19*($DN320&lt;&gt;$DO320) + $B$19*($DN320=$DO320))</f>
        <v>3.7037037037037035E-4</v>
      </c>
      <c r="EG320" s="10" cm="1">
        <f t="array" aca="1" ref="EG320" ca="1">(1-$B$18)*SUMPRODUCT(OFFSET($BO$15,0,0,$B$14,1), 1*(_xlfn._xlws.FILTER(OFFSET($O$15,0,$DN320,$B$8,1),OFFSET($M$15,0,0,$B$8,1))=EG$13), 1*(_xlfn._xlws.FILTER(OFFSET($O$15,0,$DO320,$B$8,1),OFFSET($M$15,0,0,$B$8,1))=EG$14))   /   SUM(OFFSET($BO$15,0,0,$B$14,1)) + $B$18/($B$19*$B$19*($DN320&lt;&gt;$DO320) + $B$19*($DN320=$DO320))</f>
        <v>3.7037037037037035E-4</v>
      </c>
      <c r="EH320" s="10" cm="1">
        <f t="array" aca="1" ref="EH320" ca="1">(1-$B$18)*SUMPRODUCT(OFFSET($BO$15,0,0,$B$14,1), 1*(_xlfn._xlws.FILTER(OFFSET($O$15,0,$DN320,$B$8,1),OFFSET($M$15,0,0,$B$8,1))=EH$13), 1*(_xlfn._xlws.FILTER(OFFSET($O$15,0,$DO320,$B$8,1),OFFSET($M$15,0,0,$B$8,1))=EH$14))   /   SUM(OFFSET($BO$15,0,0,$B$14,1)) + $B$18/($B$19*$B$19*($DN320&lt;&gt;$DO320) + $B$19*($DN320=$DO320))</f>
        <v>3.7037037037037035E-4</v>
      </c>
      <c r="EI320" s="10" cm="1">
        <f t="array" aca="1" ref="EI320" ca="1">(1-$B$18)*SUMPRODUCT(OFFSET($BO$15,0,0,$B$14,1), 1*(_xlfn._xlws.FILTER(OFFSET($O$15,0,$DN320,$B$8,1),OFFSET($M$15,0,0,$B$8,1))=EI$13), 1*(_xlfn._xlws.FILTER(OFFSET($O$15,0,$DO320,$B$8,1),OFFSET($M$15,0,0,$B$8,1))=EI$14))   /   SUM(OFFSET($BO$15,0,0,$B$14,1)) + $B$18/($B$19*$B$19*($DN320&lt;&gt;$DO320) + $B$19*($DN320=$DO320))</f>
        <v>3.7037037037037035E-4</v>
      </c>
      <c r="EJ320" s="10" cm="1">
        <f t="array" aca="1" ref="EJ320" ca="1">(1-$B$18)*SUMPRODUCT(OFFSET($BO$15,0,0,$B$14,1), 1*(_xlfn._xlws.FILTER(OFFSET($O$15,0,$DN320,$B$8,1),OFFSET($M$15,0,0,$B$8,1))=EJ$13), 1*(_xlfn._xlws.FILTER(OFFSET($O$15,0,$DO320,$B$8,1),OFFSET($M$15,0,0,$B$8,1))=EJ$14))   /   SUM(OFFSET($BO$15,0,0,$B$14,1)) + $B$18/($B$19*$B$19*($DN320&lt;&gt;$DO320) + $B$19*($DN320=$DO320))</f>
        <v>3.7037037037037035E-4</v>
      </c>
      <c r="EK320" s="10" cm="1">
        <f t="array" aca="1" ref="EK320" ca="1">(1-$B$18)*SUMPRODUCT(OFFSET($BO$15,0,0,$B$14,1), 1*(_xlfn._xlws.FILTER(OFFSET($O$15,0,$DN320,$B$8,1),OFFSET($M$15,0,0,$B$8,1))=EK$13), 1*(_xlfn._xlws.FILTER(OFFSET($O$15,0,$DO320,$B$8,1),OFFSET($M$15,0,0,$B$8,1))=EK$14))   /   SUM(OFFSET($BO$15,0,0,$B$14,1)) + $B$18/($B$19*$B$19*($DN320&lt;&gt;$DO320) + $B$19*($DN320=$DO320))</f>
        <v>3.7037037037037035E-4</v>
      </c>
      <c r="EL320" s="10" cm="1">
        <f t="array" aca="1" ref="EL320" ca="1">(1-$B$18)*SUMPRODUCT(OFFSET($BO$15,0,0,$B$14,1), 1*(_xlfn._xlws.FILTER(OFFSET($O$15,0,$DN320,$B$8,1),OFFSET($M$15,0,0,$B$8,1))=EL$13), 1*(_xlfn._xlws.FILTER(OFFSET($O$15,0,$DO320,$B$8,1),OFFSET($M$15,0,0,$B$8,1))=EL$14))   /   SUM(OFFSET($BO$15,0,0,$B$14,1)) + $B$18/($B$19*$B$19*($DN320&lt;&gt;$DO320) + $B$19*($DN320=$DO320))</f>
        <v>3.7037037037037035E-4</v>
      </c>
      <c r="EM320" s="10" cm="1">
        <f t="array" aca="1" ref="EM320" ca="1">(1-$B$18)*SUMPRODUCT(OFFSET($BO$15,0,0,$B$14,1), 1*(_xlfn._xlws.FILTER(OFFSET($O$15,0,$DN320,$B$8,1),OFFSET($M$15,0,0,$B$8,1))=EM$13), 1*(_xlfn._xlws.FILTER(OFFSET($O$15,0,$DO320,$B$8,1),OFFSET($M$15,0,0,$B$8,1))=EM$14))   /   SUM(OFFSET($BO$15,0,0,$B$14,1)) + $B$18/($B$19*$B$19*($DN320&lt;&gt;$DO320) + $B$19*($DN320=$DO320))</f>
        <v>3.7037037037037035E-4</v>
      </c>
      <c r="EN320" s="10" cm="1">
        <f t="array" aca="1" ref="EN320" ca="1">(1-$B$18)*SUMPRODUCT(OFFSET($BO$15,0,0,$B$14,1), 1*(_xlfn._xlws.FILTER(OFFSET($O$15,0,$DN320,$B$8,1),OFFSET($M$15,0,0,$B$8,1))=EN$13), 1*(_xlfn._xlws.FILTER(OFFSET($O$15,0,$DO320,$B$8,1),OFFSET($M$15,0,0,$B$8,1))=EN$14))   /   SUM(OFFSET($BO$15,0,0,$B$14,1)) + $B$18/($B$19*$B$19*($DN320&lt;&gt;$DO320) + $B$19*($DN320=$DO320))</f>
        <v>3.7037037037037035E-4</v>
      </c>
      <c r="EO320" s="10" cm="1">
        <f t="array" aca="1" ref="EO320" ca="1">(1-$B$18)*SUMPRODUCT(OFFSET($BO$15,0,0,$B$14,1), 1*(_xlfn._xlws.FILTER(OFFSET($O$15,0,$DN320,$B$8,1),OFFSET($M$15,0,0,$B$8,1))=EO$13), 1*(_xlfn._xlws.FILTER(OFFSET($O$15,0,$DO320,$B$8,1),OFFSET($M$15,0,0,$B$8,1))=EO$14))   /   SUM(OFFSET($BO$15,0,0,$B$14,1)) + $B$18/($B$19*$B$19*($DN320&lt;&gt;$DO320) + $B$19*($DN320=$DO320))</f>
        <v>3.7037037037037035E-4</v>
      </c>
      <c r="EP320" s="10" cm="1">
        <f t="array" aca="1" ref="EP320" ca="1">(1-$B$18)*SUMPRODUCT(OFFSET($BO$15,0,0,$B$14,1), 1*(_xlfn._xlws.FILTER(OFFSET($O$15,0,$DN320,$B$8,1),OFFSET($M$15,0,0,$B$8,1))=EP$13), 1*(_xlfn._xlws.FILTER(OFFSET($O$15,0,$DO320,$B$8,1),OFFSET($M$15,0,0,$B$8,1))=EP$14))   /   SUM(OFFSET($BO$15,0,0,$B$14,1)) + $B$18/($B$19*$B$19*($DN320&lt;&gt;$DO320) + $B$19*($DN320=$DO320))</f>
        <v>3.7037037037037035E-4</v>
      </c>
      <c r="EQ320" s="10" cm="1">
        <f t="array" aca="1" ref="EQ320" ca="1">(1-$B$18)*SUMPRODUCT(OFFSET($BO$15,0,0,$B$14,1), 1*(_xlfn._xlws.FILTER(OFFSET($O$15,0,$DN320,$B$8,1),OFFSET($M$15,0,0,$B$8,1))=EQ$13), 1*(_xlfn._xlws.FILTER(OFFSET($O$15,0,$DO320,$B$8,1),OFFSET($M$15,0,0,$B$8,1))=EQ$14))   /   SUM(OFFSET($BO$15,0,0,$B$14,1)) + $B$18/($B$19*$B$19*($DN320&lt;&gt;$DO320) + $B$19*($DN320=$DO320))</f>
        <v>3.7037037037037035E-4</v>
      </c>
      <c r="ER320" s="10" cm="1">
        <f t="array" aca="1" ref="ER320" ca="1">(1-$B$18)*SUMPRODUCT(OFFSET($BO$15,0,0,$B$14,1), 1*(_xlfn._xlws.FILTER(OFFSET($O$15,0,$DN320,$B$8,1),OFFSET($M$15,0,0,$B$8,1))=ER$13), 1*(_xlfn._xlws.FILTER(OFFSET($O$15,0,$DO320,$B$8,1),OFFSET($M$15,0,0,$B$8,1))=ER$14))   /   SUM(OFFSET($BO$15,0,0,$B$14,1)) + $B$18/($B$19*$B$19*($DN320&lt;&gt;$DO320) + $B$19*($DN320=$DO320))</f>
        <v>3.7037037037037035E-4</v>
      </c>
      <c r="ES320" s="10" cm="1">
        <f t="array" aca="1" ref="ES320" ca="1">(1-$B$18)*SUMPRODUCT(OFFSET($BO$15,0,0,$B$14,1), 1*(_xlfn._xlws.FILTER(OFFSET($O$15,0,$DN320,$B$8,1),OFFSET($M$15,0,0,$B$8,1))=ES$13), 1*(_xlfn._xlws.FILTER(OFFSET($O$15,0,$DO320,$B$8,1),OFFSET($M$15,0,0,$B$8,1))=ES$14))   /   SUM(OFFSET($BO$15,0,0,$B$14,1)) + $B$18/($B$19*$B$19*($DN320&lt;&gt;$DO320) + $B$19*($DN320=$DO320))</f>
        <v>3.7037037037037035E-4</v>
      </c>
      <c r="ET320" s="10" cm="1">
        <f t="array" aca="1" ref="ET320" ca="1">(1-$B$18)*SUMPRODUCT(OFFSET($BO$15,0,0,$B$14,1), 1*(_xlfn._xlws.FILTER(OFFSET($O$15,0,$DN320,$B$8,1),OFFSET($M$15,0,0,$B$8,1))=ET$13), 1*(_xlfn._xlws.FILTER(OFFSET($O$15,0,$DO320,$B$8,1),OFFSET($M$15,0,0,$B$8,1))=ET$14))   /   SUM(OFFSET($BO$15,0,0,$B$14,1)) + $B$18/($B$19*$B$19*($DN320&lt;&gt;$DO320) + $B$19*($DN320=$DO320))</f>
        <v>0.97037037037037033</v>
      </c>
      <c r="EU320" s="10" cm="1">
        <f t="array" aca="1" ref="EU320" ca="1">(1-$B$18)*SUMPRODUCT(OFFSET($BO$15,0,0,$B$14,1), 1*(_xlfn._xlws.FILTER(OFFSET($O$15,0,$DN320,$B$8,1),OFFSET($M$15,0,0,$B$8,1))=EU$13), 1*(_xlfn._xlws.FILTER(OFFSET($O$15,0,$DO320,$B$8,1),OFFSET($M$15,0,0,$B$8,1))=EU$14))   /   SUM(OFFSET($BO$15,0,0,$B$14,1)) + $B$18/($B$19*$B$19*($DN320&lt;&gt;$DO320) + $B$19*($DN320=$DO320))</f>
        <v>3.7037037037037035E-4</v>
      </c>
      <c r="EV320" s="10" cm="1">
        <f t="array" aca="1" ref="EV320" ca="1">(1-$B$18)*SUMPRODUCT(OFFSET($BO$15,0,0,$B$14,1), 1*(_xlfn._xlws.FILTER(OFFSET($O$15,0,$DN320,$B$8,1),OFFSET($M$15,0,0,$B$8,1))=EV$13), 1*(_xlfn._xlws.FILTER(OFFSET($O$15,0,$DO320,$B$8,1),OFFSET($M$15,0,0,$B$8,1))=EV$14))   /   SUM(OFFSET($BO$15,0,0,$B$14,1)) + $B$18/($B$19*$B$19*($DN320&lt;&gt;$DO320) + $B$19*($DN320=$DO320))</f>
        <v>3.7037037037037035E-4</v>
      </c>
      <c r="EW320" s="10" cm="1">
        <f t="array" aca="1" ref="EW320" ca="1">(1-$B$18)*SUMPRODUCT(OFFSET($BO$15,0,0,$B$14,1), 1*(_xlfn._xlws.FILTER(OFFSET($O$15,0,$DN320,$B$8,1),OFFSET($M$15,0,0,$B$8,1))=EW$13), 1*(_xlfn._xlws.FILTER(OFFSET($O$15,0,$DO320,$B$8,1),OFFSET($M$15,0,0,$B$8,1))=EW$14))   /   SUM(OFFSET($BO$15,0,0,$B$14,1)) + $B$18/($B$19*$B$19*($DN320&lt;&gt;$DO320) + $B$19*($DN320=$DO320))</f>
        <v>3.7037037037037035E-4</v>
      </c>
      <c r="EX320" s="10" cm="1">
        <f t="array" aca="1" ref="EX320" ca="1">(1-$B$18)*SUMPRODUCT(OFFSET($BO$15,0,0,$B$14,1), 1*(_xlfn._xlws.FILTER(OFFSET($O$15,0,$DN320,$B$8,1),OFFSET($M$15,0,0,$B$8,1))=EX$13), 1*(_xlfn._xlws.FILTER(OFFSET($O$15,0,$DO320,$B$8,1),OFFSET($M$15,0,0,$B$8,1))=EX$14))   /   SUM(OFFSET($BO$15,0,0,$B$14,1)) + $B$18/($B$19*$B$19*($DN320&lt;&gt;$DO320) + $B$19*($DN320=$DO320))</f>
        <v>3.7037037037037035E-4</v>
      </c>
      <c r="EY320" s="10" cm="1">
        <f t="array" aca="1" ref="EY320" ca="1">(1-$B$18)*SUMPRODUCT(OFFSET($BO$15,0,0,$B$14,1), 1*(_xlfn._xlws.FILTER(OFFSET($O$15,0,$DN320,$B$8,1),OFFSET($M$15,0,0,$B$8,1))=EY$13), 1*(_xlfn._xlws.FILTER(OFFSET($O$15,0,$DO320,$B$8,1),OFFSET($M$15,0,0,$B$8,1))=EY$14))   /   SUM(OFFSET($BO$15,0,0,$B$14,1)) + $B$18/($B$19*$B$19*($DN320&lt;&gt;$DO320) + $B$19*($DN320=$DO320))</f>
        <v>3.7037037037037035E-4</v>
      </c>
      <c r="EZ320" s="10" cm="1">
        <f t="array" aca="1" ref="EZ320" ca="1">(1-$B$18)*SUMPRODUCT(OFFSET($BO$15,0,0,$B$14,1), 1*(_xlfn._xlws.FILTER(OFFSET($O$15,0,$DN320,$B$8,1),OFFSET($M$15,0,0,$B$8,1))=EZ$13), 1*(_xlfn._xlws.FILTER(OFFSET($O$15,0,$DO320,$B$8,1),OFFSET($M$15,0,0,$B$8,1))=EZ$14))   /   SUM(OFFSET($BO$15,0,0,$B$14,1)) + $B$18/($B$19*$B$19*($DN320&lt;&gt;$DO320) + $B$19*($DN320=$DO320))</f>
        <v>3.7037037037037035E-4</v>
      </c>
      <c r="FA320" s="10" cm="1">
        <f t="array" aca="1" ref="FA320" ca="1">(1-$B$18)*SUMPRODUCT(OFFSET($BO$15,0,0,$B$14,1), 1*(_xlfn._xlws.FILTER(OFFSET($O$15,0,$DN320,$B$8,1),OFFSET($M$15,0,0,$B$8,1))=FA$13), 1*(_xlfn._xlws.FILTER(OFFSET($O$15,0,$DO320,$B$8,1),OFFSET($M$15,0,0,$B$8,1))=FA$14))   /   SUM(OFFSET($BO$15,0,0,$B$14,1)) + $B$18/($B$19*$B$19*($DN320&lt;&gt;$DO320) + $B$19*($DN320=$DO320))</f>
        <v>3.7037037037037035E-4</v>
      </c>
      <c r="FB320" s="10" cm="1">
        <f t="array" aca="1" ref="FB320" ca="1">(1-$B$18)*SUMPRODUCT(OFFSET($BO$15,0,0,$B$14,1), 1*(_xlfn._xlws.FILTER(OFFSET($O$15,0,$DN320,$B$8,1),OFFSET($M$15,0,0,$B$8,1))=FB$13), 1*(_xlfn._xlws.FILTER(OFFSET($O$15,0,$DO320,$B$8,1),OFFSET($M$15,0,0,$B$8,1))=FB$14))   /   SUM(OFFSET($BO$15,0,0,$B$14,1)) + $B$18/($B$19*$B$19*($DN320&lt;&gt;$DO320) + $B$19*($DN320=$DO320))</f>
        <v>3.7037037037037035E-4</v>
      </c>
      <c r="FC320" s="10" cm="1">
        <f t="array" aca="1" ref="FC320" ca="1">(1-$B$18)*SUMPRODUCT(OFFSET($BO$15,0,0,$B$14,1), 1*(_xlfn._xlws.FILTER(OFFSET($O$15,0,$DN320,$B$8,1),OFFSET($M$15,0,0,$B$8,1))=FC$13), 1*(_xlfn._xlws.FILTER(OFFSET($O$15,0,$DO320,$B$8,1),OFFSET($M$15,0,0,$B$8,1))=FC$14))   /   SUM(OFFSET($BO$15,0,0,$B$14,1)) + $B$18/($B$19*$B$19*($DN320&lt;&gt;$DO320) + $B$19*($DN320=$DO320))</f>
        <v>3.7037037037037035E-4</v>
      </c>
      <c r="FD320" s="10" cm="1">
        <f t="array" aca="1" ref="FD320" ca="1">(1-$B$18)*SUMPRODUCT(OFFSET($BO$15,0,0,$B$14,1), 1*(_xlfn._xlws.FILTER(OFFSET($O$15,0,$DN320,$B$8,1),OFFSET($M$15,0,0,$B$8,1))=FD$13), 1*(_xlfn._xlws.FILTER(OFFSET($O$15,0,$DO320,$B$8,1),OFFSET($M$15,0,0,$B$8,1))=FD$14))   /   SUM(OFFSET($BO$15,0,0,$B$14,1)) + $B$18/($B$19*$B$19*($DN320&lt;&gt;$DO320) + $B$19*($DN320=$DO320))</f>
        <v>3.7037037037037035E-4</v>
      </c>
      <c r="FE320" s="10" cm="1">
        <f t="array" aca="1" ref="FE320" ca="1">(1-$B$18)*SUMPRODUCT(OFFSET($BO$15,0,0,$B$14,1), 1*(_xlfn._xlws.FILTER(OFFSET($O$15,0,$DN320,$B$8,1),OFFSET($M$15,0,0,$B$8,1))=FE$13), 1*(_xlfn._xlws.FILTER(OFFSET($O$15,0,$DO320,$B$8,1),OFFSET($M$15,0,0,$B$8,1))=FE$14))   /   SUM(OFFSET($BO$15,0,0,$B$14,1)) + $B$18/($B$19*$B$19*($DN320&lt;&gt;$DO320) + $B$19*($DN320=$DO320))</f>
        <v>3.7037037037037035E-4</v>
      </c>
      <c r="FF320" s="10" cm="1">
        <f t="array" aca="1" ref="FF320" ca="1">(1-$B$18)*SUMPRODUCT(OFFSET($BO$15,0,0,$B$14,1), 1*(_xlfn._xlws.FILTER(OFFSET($O$15,0,$DN320,$B$8,1),OFFSET($M$15,0,0,$B$8,1))=FF$13), 1*(_xlfn._xlws.FILTER(OFFSET($O$15,0,$DO320,$B$8,1),OFFSET($M$15,0,0,$B$8,1))=FF$14))   /   SUM(OFFSET($BO$15,0,0,$B$14,1)) + $B$18/($B$19*$B$19*($DN320&lt;&gt;$DO320) + $B$19*($DN320=$DO320))</f>
        <v>3.7037037037037035E-4</v>
      </c>
      <c r="FG320" s="10" cm="1">
        <f t="array" aca="1" ref="FG320" ca="1">(1-$B$18)*SUMPRODUCT(OFFSET($BO$15,0,0,$B$14,1), 1*(_xlfn._xlws.FILTER(OFFSET($O$15,0,$DN320,$B$8,1),OFFSET($M$15,0,0,$B$8,1))=FG$13), 1*(_xlfn._xlws.FILTER(OFFSET($O$15,0,$DO320,$B$8,1),OFFSET($M$15,0,0,$B$8,1))=FG$14))   /   SUM(OFFSET($BO$15,0,0,$B$14,1)) + $B$18/($B$19*$B$19*($DN320&lt;&gt;$DO320) + $B$19*($DN320=$DO320))</f>
        <v>3.7037037037037035E-4</v>
      </c>
      <c r="FH320" s="10" cm="1">
        <f t="array" aca="1" ref="FH320" ca="1">(1-$B$18)*SUMPRODUCT(OFFSET($BO$15,0,0,$B$14,1), 1*(_xlfn._xlws.FILTER(OFFSET($O$15,0,$DN320,$B$8,1),OFFSET($M$15,0,0,$B$8,1))=FH$13), 1*(_xlfn._xlws.FILTER(OFFSET($O$15,0,$DO320,$B$8,1),OFFSET($M$15,0,0,$B$8,1))=FH$14))   /   SUM(OFFSET($BO$15,0,0,$B$14,1)) + $B$18/($B$19*$B$19*($DN320&lt;&gt;$DO320) + $B$19*($DN320=$DO320))</f>
        <v>3.7037037037037035E-4</v>
      </c>
      <c r="FI320" s="10" cm="1">
        <f t="array" aca="1" ref="FI320" ca="1">(1-$B$18)*SUMPRODUCT(OFFSET($BO$15,0,0,$B$14,1), 1*(_xlfn._xlws.FILTER(OFFSET($O$15,0,$DN320,$B$8,1),OFFSET($M$15,0,0,$B$8,1))=FI$13), 1*(_xlfn._xlws.FILTER(OFFSET($O$15,0,$DO320,$B$8,1),OFFSET($M$15,0,0,$B$8,1))=FI$14))   /   SUM(OFFSET($BO$15,0,0,$B$14,1)) + $B$18/($B$19*$B$19*($DN320&lt;&gt;$DO320) + $B$19*($DN320=$DO320))</f>
        <v>3.7037037037037035E-4</v>
      </c>
      <c r="FJ320" s="10" cm="1">
        <f t="array" aca="1" ref="FJ320" ca="1">(1-$B$18)*SUMPRODUCT(OFFSET($BO$15,0,0,$B$14,1), 1*(_xlfn._xlws.FILTER(OFFSET($O$15,0,$DN320,$B$8,1),OFFSET($M$15,0,0,$B$8,1))=FJ$13), 1*(_xlfn._xlws.FILTER(OFFSET($O$15,0,$DO320,$B$8,1),OFFSET($M$15,0,0,$B$8,1))=FJ$14))   /   SUM(OFFSET($BO$15,0,0,$B$14,1)) + $B$18/($B$19*$B$19*($DN320&lt;&gt;$DO320) + $B$19*($DN320=$DO320))</f>
        <v>3.7037037037037035E-4</v>
      </c>
      <c r="FK320" s="10" cm="1">
        <f t="array" aca="1" ref="FK320" ca="1">(1-$B$18)*SUMPRODUCT(OFFSET($BO$15,0,0,$B$14,1), 1*(_xlfn._xlws.FILTER(OFFSET($O$15,0,$DN320,$B$8,1),OFFSET($M$15,0,0,$B$8,1))=FK$13), 1*(_xlfn._xlws.FILTER(OFFSET($O$15,0,$DO320,$B$8,1),OFFSET($M$15,0,0,$B$8,1))=FK$14))   /   SUM(OFFSET($BO$15,0,0,$B$14,1)) + $B$18/($B$19*$B$19*($DN320&lt;&gt;$DO320) + $B$19*($DN320=$DO320))</f>
        <v>3.7037037037037035E-4</v>
      </c>
      <c r="FL320" s="10" cm="1">
        <f t="array" aca="1" ref="FL320" ca="1">(1-$B$18)*SUMPRODUCT(OFFSET($BO$15,0,0,$B$14,1), 1*(_xlfn._xlws.FILTER(OFFSET($O$15,0,$DN320,$B$8,1),OFFSET($M$15,0,0,$B$8,1))=FL$13), 1*(_xlfn._xlws.FILTER(OFFSET($O$15,0,$DO320,$B$8,1),OFFSET($M$15,0,0,$B$8,1))=FL$14))   /   SUM(OFFSET($BO$15,0,0,$B$14,1)) + $B$18/($B$19*$B$19*($DN320&lt;&gt;$DO320) + $B$19*($DN320=$DO320))</f>
        <v>3.7037037037037035E-4</v>
      </c>
      <c r="FM320" s="10" cm="1">
        <f t="array" aca="1" ref="FM320" ca="1">(1-$B$18)*SUMPRODUCT(OFFSET($BO$15,0,0,$B$14,1), 1*(_xlfn._xlws.FILTER(OFFSET($O$15,0,$DN320,$B$8,1),OFFSET($M$15,0,0,$B$8,1))=FM$13), 1*(_xlfn._xlws.FILTER(OFFSET($O$15,0,$DO320,$B$8,1),OFFSET($M$15,0,0,$B$8,1))=FM$14))   /   SUM(OFFSET($BO$15,0,0,$B$14,1)) + $B$18/($B$19*$B$19*($DN320&lt;&gt;$DO320) + $B$19*($DN320=$DO320))</f>
        <v>3.7037037037037035E-4</v>
      </c>
      <c r="FN320" s="10" cm="1">
        <f t="array" aca="1" ref="FN320" ca="1">(1-$B$18)*SUMPRODUCT(OFFSET($BO$15,0,0,$B$14,1), 1*(_xlfn._xlws.FILTER(OFFSET($O$15,0,$DN320,$B$8,1),OFFSET($M$15,0,0,$B$8,1))=FN$13), 1*(_xlfn._xlws.FILTER(OFFSET($O$15,0,$DO320,$B$8,1),OFFSET($M$15,0,0,$B$8,1))=FN$14))   /   SUM(OFFSET($BO$15,0,0,$B$14,1)) + $B$18/($B$19*$B$19*($DN320&lt;&gt;$DO320) + $B$19*($DN320=$DO320))</f>
        <v>3.7037037037037035E-4</v>
      </c>
      <c r="FO320" s="10" cm="1">
        <f t="array" aca="1" ref="FO320" ca="1">(1-$B$18)*SUMPRODUCT(OFFSET($BO$15,0,0,$B$14,1), 1*(_xlfn._xlws.FILTER(OFFSET($O$15,0,$DN320,$B$8,1),OFFSET($M$15,0,0,$B$8,1))=FO$13), 1*(_xlfn._xlws.FILTER(OFFSET($O$15,0,$DO320,$B$8,1),OFFSET($M$15,0,0,$B$8,1))=FO$14))   /   SUM(OFFSET($BO$15,0,0,$B$14,1)) + $B$18/($B$19*$B$19*($DN320&lt;&gt;$DO320) + $B$19*($DN320=$DO320))</f>
        <v>3.7037037037037035E-4</v>
      </c>
      <c r="FP320" s="10" cm="1">
        <f t="array" aca="1" ref="FP320" ca="1">(1-$B$18)*SUMPRODUCT(OFFSET($BO$15,0,0,$B$14,1), 1*(_xlfn._xlws.FILTER(OFFSET($O$15,0,$DN320,$B$8,1),OFFSET($M$15,0,0,$B$8,1))=FP$13), 1*(_xlfn._xlws.FILTER(OFFSET($O$15,0,$DO320,$B$8,1),OFFSET($M$15,0,0,$B$8,1))=FP$14))   /   SUM(OFFSET($BO$15,0,0,$B$14,1)) + $B$18/($B$19*$B$19*($DN320&lt;&gt;$DO320) + $B$19*($DN320=$DO320))</f>
        <v>3.7037037037037035E-4</v>
      </c>
      <c r="FQ320" s="10" cm="1">
        <f t="array" aca="1" ref="FQ320" ca="1">(1-$B$18)*SUMPRODUCT(OFFSET($BO$15,0,0,$B$14,1), 1*(_xlfn._xlws.FILTER(OFFSET($O$15,0,$DN320,$B$8,1),OFFSET($M$15,0,0,$B$8,1))=FQ$13), 1*(_xlfn._xlws.FILTER(OFFSET($O$15,0,$DO320,$B$8,1),OFFSET($M$15,0,0,$B$8,1))=FQ$14))   /   SUM(OFFSET($BO$15,0,0,$B$14,1)) + $B$18/($B$19*$B$19*($DN320&lt;&gt;$DO320) + $B$19*($DN320=$DO320))</f>
        <v>3.7037037037037035E-4</v>
      </c>
      <c r="FR320" s="10" cm="1">
        <f t="array" aca="1" ref="FR320" ca="1">(1-$B$18)*SUMPRODUCT(OFFSET($BO$15,0,0,$B$14,1), 1*(_xlfn._xlws.FILTER(OFFSET($O$15,0,$DN320,$B$8,1),OFFSET($M$15,0,0,$B$8,1))=FR$13), 1*(_xlfn._xlws.FILTER(OFFSET($O$15,0,$DO320,$B$8,1),OFFSET($M$15,0,0,$B$8,1))=FR$14))   /   SUM(OFFSET($BO$15,0,0,$B$14,1)) + $B$18/($B$19*$B$19*($DN320&lt;&gt;$DO320) + $B$19*($DN320=$DO320))</f>
        <v>3.7037037037037035E-4</v>
      </c>
      <c r="FS320" s="10" cm="1">
        <f t="array" aca="1" ref="FS320" ca="1">(1-$B$18)*SUMPRODUCT(OFFSET($BO$15,0,0,$B$14,1), 1*(_xlfn._xlws.FILTER(OFFSET($O$15,0,$DN320,$B$8,1),OFFSET($M$15,0,0,$B$8,1))=FS$13), 1*(_xlfn._xlws.FILTER(OFFSET($O$15,0,$DO320,$B$8,1),OFFSET($M$15,0,0,$B$8,1))=FS$14))   /   SUM(OFFSET($BO$15,0,0,$B$14,1)) + $B$18/($B$19*$B$19*($DN320&lt;&gt;$DO320) + $B$19*($DN320=$DO320))</f>
        <v>3.7037037037037035E-4</v>
      </c>
      <c r="FT320" s="10" cm="1">
        <f t="array" aca="1" ref="FT320" ca="1">(1-$B$18)*SUMPRODUCT(OFFSET($BO$15,0,0,$B$14,1), 1*(_xlfn._xlws.FILTER(OFFSET($O$15,0,$DN320,$B$8,1),OFFSET($M$15,0,0,$B$8,1))=FT$13), 1*(_xlfn._xlws.FILTER(OFFSET($O$15,0,$DO320,$B$8,1),OFFSET($M$15,0,0,$B$8,1))=FT$14))   /   SUM(OFFSET($BO$15,0,0,$B$14,1)) + $B$18/($B$19*$B$19*($DN320&lt;&gt;$DO320) + $B$19*($DN320=$DO320))</f>
        <v>3.7037037037037035E-4</v>
      </c>
      <c r="FU320" s="10" cm="1">
        <f t="array" aca="1" ref="FU320" ca="1">(1-$B$18)*SUMPRODUCT(OFFSET($BO$15,0,0,$B$14,1), 1*(_xlfn._xlws.FILTER(OFFSET($O$15,0,$DN320,$B$8,1),OFFSET($M$15,0,0,$B$8,1))=FU$13), 1*(_xlfn._xlws.FILTER(OFFSET($O$15,0,$DO320,$B$8,1),OFFSET($M$15,0,0,$B$8,1))=FU$14))   /   SUM(OFFSET($BO$15,0,0,$B$14,1)) + $B$18/($B$19*$B$19*($DN320&lt;&gt;$DO320) + $B$19*($DN320=$DO320))</f>
        <v>3.7037037037037035E-4</v>
      </c>
      <c r="FV320" s="10" cm="1">
        <f t="array" aca="1" ref="FV320" ca="1">(1-$B$18)*SUMPRODUCT(OFFSET($BO$15,0,0,$B$14,1), 1*(_xlfn._xlws.FILTER(OFFSET($O$15,0,$DN320,$B$8,1),OFFSET($M$15,0,0,$B$8,1))=FV$13), 1*(_xlfn._xlws.FILTER(OFFSET($O$15,0,$DO320,$B$8,1),OFFSET($M$15,0,0,$B$8,1))=FV$14))   /   SUM(OFFSET($BO$15,0,0,$B$14,1)) + $B$18/($B$19*$B$19*($DN320&lt;&gt;$DO320) + $B$19*($DN320=$DO320))</f>
        <v>3.7037037037037035E-4</v>
      </c>
      <c r="FW320" s="10" cm="1">
        <f t="array" aca="1" ref="FW320" ca="1">(1-$B$18)*SUMPRODUCT(OFFSET($BO$15,0,0,$B$14,1), 1*(_xlfn._xlws.FILTER(OFFSET($O$15,0,$DN320,$B$8,1),OFFSET($M$15,0,0,$B$8,1))=FW$13), 1*(_xlfn._xlws.FILTER(OFFSET($O$15,0,$DO320,$B$8,1),OFFSET($M$15,0,0,$B$8,1))=FW$14))   /   SUM(OFFSET($BO$15,0,0,$B$14,1)) + $B$18/($B$19*$B$19*($DN320&lt;&gt;$DO320) + $B$19*($DN320=$DO320))</f>
        <v>3.7037037037037035E-4</v>
      </c>
      <c r="FX320" s="10" cm="1">
        <f t="array" aca="1" ref="FX320" ca="1">(1-$B$18)*SUMPRODUCT(OFFSET($BO$15,0,0,$B$14,1), 1*(_xlfn._xlws.FILTER(OFFSET($O$15,0,$DN320,$B$8,1),OFFSET($M$15,0,0,$B$8,1))=FX$13), 1*(_xlfn._xlws.FILTER(OFFSET($O$15,0,$DO320,$B$8,1),OFFSET($M$15,0,0,$B$8,1))=FX$14))   /   SUM(OFFSET($BO$15,0,0,$B$14,1)) + $B$18/($B$19*$B$19*($DN320&lt;&gt;$DO320) + $B$19*($DN320=$DO320))</f>
        <v>3.7037037037037035E-4</v>
      </c>
      <c r="FY320" s="10" cm="1">
        <f t="array" aca="1" ref="FY320" ca="1">(1-$B$18)*SUMPRODUCT(OFFSET($BO$15,0,0,$B$14,1), 1*(_xlfn._xlws.FILTER(OFFSET($O$15,0,$DN320,$B$8,1),OFFSET($M$15,0,0,$B$8,1))=FY$13), 1*(_xlfn._xlws.FILTER(OFFSET($O$15,0,$DO320,$B$8,1),OFFSET($M$15,0,0,$B$8,1))=FY$14))   /   SUM(OFFSET($BO$15,0,0,$B$14,1)) + $B$18/($B$19*$B$19*($DN320&lt;&gt;$DO320) + $B$19*($DN320=$DO320))</f>
        <v>3.7037037037037035E-4</v>
      </c>
      <c r="FZ320" s="10" cm="1">
        <f t="array" aca="1" ref="FZ320" ca="1">(1-$B$18)*SUMPRODUCT(OFFSET($BO$15,0,0,$B$14,1), 1*(_xlfn._xlws.FILTER(OFFSET($O$15,0,$DN320,$B$8,1),OFFSET($M$15,0,0,$B$8,1))=FZ$13), 1*(_xlfn._xlws.FILTER(OFFSET($O$15,0,$DO320,$B$8,1),OFFSET($M$15,0,0,$B$8,1))=FZ$14))   /   SUM(OFFSET($BO$15,0,0,$B$14,1)) + $B$18/($B$19*$B$19*($DN320&lt;&gt;$DO320) + $B$19*($DN320=$DO320))</f>
        <v>3.7037037037037035E-4</v>
      </c>
      <c r="GA320" s="10" cm="1">
        <f t="array" aca="1" ref="GA320" ca="1">(1-$B$18)*SUMPRODUCT(OFFSET($BO$15,0,0,$B$14,1), 1*(_xlfn._xlws.FILTER(OFFSET($O$15,0,$DN320,$B$8,1),OFFSET($M$15,0,0,$B$8,1))=GA$13), 1*(_xlfn._xlws.FILTER(OFFSET($O$15,0,$DO320,$B$8,1),OFFSET($M$15,0,0,$B$8,1))=GA$14))   /   SUM(OFFSET($BO$15,0,0,$B$14,1)) + $B$18/($B$19*$B$19*($DN320&lt;&gt;$DO320) + $B$19*($DN320=$DO320))</f>
        <v>3.7037037037037035E-4</v>
      </c>
    </row>
    <row r="321" spans="118:183" x14ac:dyDescent="0.2">
      <c r="DN321" cm="1">
        <f t="array" aca="1" ref="DN321" ca="1">INDEX(_xlfn.ANCHORARRAY($CP$15), 1 + INT((ROWS($DO$15:$DO321) - 1) / ROWS(_xlfn.ANCHORARRAY($CP$15))))</f>
        <v>19</v>
      </c>
      <c r="DO321" cm="1">
        <f t="array" aca="1" ref="DO321" ca="1">INDEX(_xlfn.ANCHORARRAY($CP$15),1+MOD(ROWS($DO$15:$DO321)-1,ROWS(_xlfn.ANCHORARRAY($CP$15))))</f>
        <v>2</v>
      </c>
      <c r="DP321" s="10" cm="1">
        <f t="array" aca="1" ref="DP321" ca="1">(1-$B$18)*SUMPRODUCT(OFFSET($BO$15,0,0,$B$14,1), 1*(_xlfn._xlws.FILTER(OFFSET($O$15,0,$DN321,$B$8,1),OFFSET($M$15,0,0,$B$8,1))=DP$13), 1*(_xlfn._xlws.FILTER(OFFSET($O$15,0,$DO321,$B$8,1),OFFSET($M$15,0,0,$B$8,1))=DP$14))   /   SUM(OFFSET($BO$15,0,0,$B$14,1)) + $B$18/($B$19*$B$19*($DN321&lt;&gt;$DO321) + $B$19*($DN321=$DO321))</f>
        <v>3.7037037037037035E-4</v>
      </c>
      <c r="DQ321" s="10" cm="1">
        <f t="array" aca="1" ref="DQ321" ca="1">(1-$B$18)*SUMPRODUCT(OFFSET($BO$15,0,0,$B$14,1), 1*(_xlfn._xlws.FILTER(OFFSET($O$15,0,$DN321,$B$8,1),OFFSET($M$15,0,0,$B$8,1))=DQ$13), 1*(_xlfn._xlws.FILTER(OFFSET($O$15,0,$DO321,$B$8,1),OFFSET($M$15,0,0,$B$8,1))=DQ$14))   /   SUM(OFFSET($BO$15,0,0,$B$14,1)) + $B$18/($B$19*$B$19*($DN321&lt;&gt;$DO321) + $B$19*($DN321=$DO321))</f>
        <v>3.7037037037037035E-4</v>
      </c>
      <c r="DR321" s="10" cm="1">
        <f t="array" aca="1" ref="DR321" ca="1">(1-$B$18)*SUMPRODUCT(OFFSET($BO$15,0,0,$B$14,1), 1*(_xlfn._xlws.FILTER(OFFSET($O$15,0,$DN321,$B$8,1),OFFSET($M$15,0,0,$B$8,1))=DR$13), 1*(_xlfn._xlws.FILTER(OFFSET($O$15,0,$DO321,$B$8,1),OFFSET($M$15,0,0,$B$8,1))=DR$14))   /   SUM(OFFSET($BO$15,0,0,$B$14,1)) + $B$18/($B$19*$B$19*($DN321&lt;&gt;$DO321) + $B$19*($DN321=$DO321))</f>
        <v>3.7037037037037035E-4</v>
      </c>
      <c r="DS321" s="10" cm="1">
        <f t="array" aca="1" ref="DS321" ca="1">(1-$B$18)*SUMPRODUCT(OFFSET($BO$15,0,0,$B$14,1), 1*(_xlfn._xlws.FILTER(OFFSET($O$15,0,$DN321,$B$8,1),OFFSET($M$15,0,0,$B$8,1))=DS$13), 1*(_xlfn._xlws.FILTER(OFFSET($O$15,0,$DO321,$B$8,1),OFFSET($M$15,0,0,$B$8,1))=DS$14))   /   SUM(OFFSET($BO$15,0,0,$B$14,1)) + $B$18/($B$19*$B$19*($DN321&lt;&gt;$DO321) + $B$19*($DN321=$DO321))</f>
        <v>3.7037037037037035E-4</v>
      </c>
      <c r="DT321" s="10" cm="1">
        <f t="array" aca="1" ref="DT321" ca="1">(1-$B$18)*SUMPRODUCT(OFFSET($BO$15,0,0,$B$14,1), 1*(_xlfn._xlws.FILTER(OFFSET($O$15,0,$DN321,$B$8,1),OFFSET($M$15,0,0,$B$8,1))=DT$13), 1*(_xlfn._xlws.FILTER(OFFSET($O$15,0,$DO321,$B$8,1),OFFSET($M$15,0,0,$B$8,1))=DT$14))   /   SUM(OFFSET($BO$15,0,0,$B$14,1)) + $B$18/($B$19*$B$19*($DN321&lt;&gt;$DO321) + $B$19*($DN321=$DO321))</f>
        <v>3.7037037037037035E-4</v>
      </c>
      <c r="DU321" s="10" cm="1">
        <f t="array" aca="1" ref="DU321" ca="1">(1-$B$18)*SUMPRODUCT(OFFSET($BO$15,0,0,$B$14,1), 1*(_xlfn._xlws.FILTER(OFFSET($O$15,0,$DN321,$B$8,1),OFFSET($M$15,0,0,$B$8,1))=DU$13), 1*(_xlfn._xlws.FILTER(OFFSET($O$15,0,$DO321,$B$8,1),OFFSET($M$15,0,0,$B$8,1))=DU$14))   /   SUM(OFFSET($BO$15,0,0,$B$14,1)) + $B$18/($B$19*$B$19*($DN321&lt;&gt;$DO321) + $B$19*($DN321=$DO321))</f>
        <v>3.7037037037037035E-4</v>
      </c>
      <c r="DV321" s="10" cm="1">
        <f t="array" aca="1" ref="DV321" ca="1">(1-$B$18)*SUMPRODUCT(OFFSET($BO$15,0,0,$B$14,1), 1*(_xlfn._xlws.FILTER(OFFSET($O$15,0,$DN321,$B$8,1),OFFSET($M$15,0,0,$B$8,1))=DV$13), 1*(_xlfn._xlws.FILTER(OFFSET($O$15,0,$DO321,$B$8,1),OFFSET($M$15,0,0,$B$8,1))=DV$14))   /   SUM(OFFSET($BO$15,0,0,$B$14,1)) + $B$18/($B$19*$B$19*($DN321&lt;&gt;$DO321) + $B$19*($DN321=$DO321))</f>
        <v>3.7037037037037035E-4</v>
      </c>
      <c r="DW321" s="10" cm="1">
        <f t="array" aca="1" ref="DW321" ca="1">(1-$B$18)*SUMPRODUCT(OFFSET($BO$15,0,0,$B$14,1), 1*(_xlfn._xlws.FILTER(OFFSET($O$15,0,$DN321,$B$8,1),OFFSET($M$15,0,0,$B$8,1))=DW$13), 1*(_xlfn._xlws.FILTER(OFFSET($O$15,0,$DO321,$B$8,1),OFFSET($M$15,0,0,$B$8,1))=DW$14))   /   SUM(OFFSET($BO$15,0,0,$B$14,1)) + $B$18/($B$19*$B$19*($DN321&lt;&gt;$DO321) + $B$19*($DN321=$DO321))</f>
        <v>3.7037037037037035E-4</v>
      </c>
      <c r="DX321" s="10" cm="1">
        <f t="array" aca="1" ref="DX321" ca="1">(1-$B$18)*SUMPRODUCT(OFFSET($BO$15,0,0,$B$14,1), 1*(_xlfn._xlws.FILTER(OFFSET($O$15,0,$DN321,$B$8,1),OFFSET($M$15,0,0,$B$8,1))=DX$13), 1*(_xlfn._xlws.FILTER(OFFSET($O$15,0,$DO321,$B$8,1),OFFSET($M$15,0,0,$B$8,1))=DX$14))   /   SUM(OFFSET($BO$15,0,0,$B$14,1)) + $B$18/($B$19*$B$19*($DN321&lt;&gt;$DO321) + $B$19*($DN321=$DO321))</f>
        <v>3.7037037037037035E-4</v>
      </c>
      <c r="DY321" s="10" cm="1">
        <f t="array" aca="1" ref="DY321" ca="1">(1-$B$18)*SUMPRODUCT(OFFSET($BO$15,0,0,$B$14,1), 1*(_xlfn._xlws.FILTER(OFFSET($O$15,0,$DN321,$B$8,1),OFFSET($M$15,0,0,$B$8,1))=DY$13), 1*(_xlfn._xlws.FILTER(OFFSET($O$15,0,$DO321,$B$8,1),OFFSET($M$15,0,0,$B$8,1))=DY$14))   /   SUM(OFFSET($BO$15,0,0,$B$14,1)) + $B$18/($B$19*$B$19*($DN321&lt;&gt;$DO321) + $B$19*($DN321=$DO321))</f>
        <v>3.7037037037037035E-4</v>
      </c>
      <c r="DZ321" s="10" cm="1">
        <f t="array" aca="1" ref="DZ321" ca="1">(1-$B$18)*SUMPRODUCT(OFFSET($BO$15,0,0,$B$14,1), 1*(_xlfn._xlws.FILTER(OFFSET($O$15,0,$DN321,$B$8,1),OFFSET($M$15,0,0,$B$8,1))=DZ$13), 1*(_xlfn._xlws.FILTER(OFFSET($O$15,0,$DO321,$B$8,1),OFFSET($M$15,0,0,$B$8,1))=DZ$14))   /   SUM(OFFSET($BO$15,0,0,$B$14,1)) + $B$18/($B$19*$B$19*($DN321&lt;&gt;$DO321) + $B$19*($DN321=$DO321))</f>
        <v>3.7037037037037035E-4</v>
      </c>
      <c r="EA321" s="10" cm="1">
        <f t="array" aca="1" ref="EA321" ca="1">(1-$B$18)*SUMPRODUCT(OFFSET($BO$15,0,0,$B$14,1), 1*(_xlfn._xlws.FILTER(OFFSET($O$15,0,$DN321,$B$8,1),OFFSET($M$15,0,0,$B$8,1))=EA$13), 1*(_xlfn._xlws.FILTER(OFFSET($O$15,0,$DO321,$B$8,1),OFFSET($M$15,0,0,$B$8,1))=EA$14))   /   SUM(OFFSET($BO$15,0,0,$B$14,1)) + $B$18/($B$19*$B$19*($DN321&lt;&gt;$DO321) + $B$19*($DN321=$DO321))</f>
        <v>3.7037037037037035E-4</v>
      </c>
      <c r="EB321" s="10" cm="1">
        <f t="array" aca="1" ref="EB321" ca="1">(1-$B$18)*SUMPRODUCT(OFFSET($BO$15,0,0,$B$14,1), 1*(_xlfn._xlws.FILTER(OFFSET($O$15,0,$DN321,$B$8,1),OFFSET($M$15,0,0,$B$8,1))=EB$13), 1*(_xlfn._xlws.FILTER(OFFSET($O$15,0,$DO321,$B$8,1),OFFSET($M$15,0,0,$B$8,1))=EB$14))   /   SUM(OFFSET($BO$15,0,0,$B$14,1)) + $B$18/($B$19*$B$19*($DN321&lt;&gt;$DO321) + $B$19*($DN321=$DO321))</f>
        <v>3.7037037037037035E-4</v>
      </c>
      <c r="EC321" s="10" cm="1">
        <f t="array" aca="1" ref="EC321" ca="1">(1-$B$18)*SUMPRODUCT(OFFSET($BO$15,0,0,$B$14,1), 1*(_xlfn._xlws.FILTER(OFFSET($O$15,0,$DN321,$B$8,1),OFFSET($M$15,0,0,$B$8,1))=EC$13), 1*(_xlfn._xlws.FILTER(OFFSET($O$15,0,$DO321,$B$8,1),OFFSET($M$15,0,0,$B$8,1))=EC$14))   /   SUM(OFFSET($BO$15,0,0,$B$14,1)) + $B$18/($B$19*$B$19*($DN321&lt;&gt;$DO321) + $B$19*($DN321=$DO321))</f>
        <v>3.7037037037037035E-4</v>
      </c>
      <c r="ED321" s="10" cm="1">
        <f t="array" aca="1" ref="ED321" ca="1">(1-$B$18)*SUMPRODUCT(OFFSET($BO$15,0,0,$B$14,1), 1*(_xlfn._xlws.FILTER(OFFSET($O$15,0,$DN321,$B$8,1),OFFSET($M$15,0,0,$B$8,1))=ED$13), 1*(_xlfn._xlws.FILTER(OFFSET($O$15,0,$DO321,$B$8,1),OFFSET($M$15,0,0,$B$8,1))=ED$14))   /   SUM(OFFSET($BO$15,0,0,$B$14,1)) + $B$18/($B$19*$B$19*($DN321&lt;&gt;$DO321) + $B$19*($DN321=$DO321))</f>
        <v>3.7037037037037035E-4</v>
      </c>
      <c r="EE321" s="10" cm="1">
        <f t="array" aca="1" ref="EE321" ca="1">(1-$B$18)*SUMPRODUCT(OFFSET($BO$15,0,0,$B$14,1), 1*(_xlfn._xlws.FILTER(OFFSET($O$15,0,$DN321,$B$8,1),OFFSET($M$15,0,0,$B$8,1))=EE$13), 1*(_xlfn._xlws.FILTER(OFFSET($O$15,0,$DO321,$B$8,1),OFFSET($M$15,0,0,$B$8,1))=EE$14))   /   SUM(OFFSET($BO$15,0,0,$B$14,1)) + $B$18/($B$19*$B$19*($DN321&lt;&gt;$DO321) + $B$19*($DN321=$DO321))</f>
        <v>3.7037037037037035E-4</v>
      </c>
      <c r="EF321" s="10" cm="1">
        <f t="array" aca="1" ref="EF321" ca="1">(1-$B$18)*SUMPRODUCT(OFFSET($BO$15,0,0,$B$14,1), 1*(_xlfn._xlws.FILTER(OFFSET($O$15,0,$DN321,$B$8,1),OFFSET($M$15,0,0,$B$8,1))=EF$13), 1*(_xlfn._xlws.FILTER(OFFSET($O$15,0,$DO321,$B$8,1),OFFSET($M$15,0,0,$B$8,1))=EF$14))   /   SUM(OFFSET($BO$15,0,0,$B$14,1)) + $B$18/($B$19*$B$19*($DN321&lt;&gt;$DO321) + $B$19*($DN321=$DO321))</f>
        <v>3.7037037037037035E-4</v>
      </c>
      <c r="EG321" s="10" cm="1">
        <f t="array" aca="1" ref="EG321" ca="1">(1-$B$18)*SUMPRODUCT(OFFSET($BO$15,0,0,$B$14,1), 1*(_xlfn._xlws.FILTER(OFFSET($O$15,0,$DN321,$B$8,1),OFFSET($M$15,0,0,$B$8,1))=EG$13), 1*(_xlfn._xlws.FILTER(OFFSET($O$15,0,$DO321,$B$8,1),OFFSET($M$15,0,0,$B$8,1))=EG$14))   /   SUM(OFFSET($BO$15,0,0,$B$14,1)) + $B$18/($B$19*$B$19*($DN321&lt;&gt;$DO321) + $B$19*($DN321=$DO321))</f>
        <v>3.7037037037037035E-4</v>
      </c>
      <c r="EH321" s="10" cm="1">
        <f t="array" aca="1" ref="EH321" ca="1">(1-$B$18)*SUMPRODUCT(OFFSET($BO$15,0,0,$B$14,1), 1*(_xlfn._xlws.FILTER(OFFSET($O$15,0,$DN321,$B$8,1),OFFSET($M$15,0,0,$B$8,1))=EH$13), 1*(_xlfn._xlws.FILTER(OFFSET($O$15,0,$DO321,$B$8,1),OFFSET($M$15,0,0,$B$8,1))=EH$14))   /   SUM(OFFSET($BO$15,0,0,$B$14,1)) + $B$18/($B$19*$B$19*($DN321&lt;&gt;$DO321) + $B$19*($DN321=$DO321))</f>
        <v>3.7037037037037035E-4</v>
      </c>
      <c r="EI321" s="10" cm="1">
        <f t="array" aca="1" ref="EI321" ca="1">(1-$B$18)*SUMPRODUCT(OFFSET($BO$15,0,0,$B$14,1), 1*(_xlfn._xlws.FILTER(OFFSET($O$15,0,$DN321,$B$8,1),OFFSET($M$15,0,0,$B$8,1))=EI$13), 1*(_xlfn._xlws.FILTER(OFFSET($O$15,0,$DO321,$B$8,1),OFFSET($M$15,0,0,$B$8,1))=EI$14))   /   SUM(OFFSET($BO$15,0,0,$B$14,1)) + $B$18/($B$19*$B$19*($DN321&lt;&gt;$DO321) + $B$19*($DN321=$DO321))</f>
        <v>3.7037037037037035E-4</v>
      </c>
      <c r="EJ321" s="10" cm="1">
        <f t="array" aca="1" ref="EJ321" ca="1">(1-$B$18)*SUMPRODUCT(OFFSET($BO$15,0,0,$B$14,1), 1*(_xlfn._xlws.FILTER(OFFSET($O$15,0,$DN321,$B$8,1),OFFSET($M$15,0,0,$B$8,1))=EJ$13), 1*(_xlfn._xlws.FILTER(OFFSET($O$15,0,$DO321,$B$8,1),OFFSET($M$15,0,0,$B$8,1))=EJ$14))   /   SUM(OFFSET($BO$15,0,0,$B$14,1)) + $B$18/($B$19*$B$19*($DN321&lt;&gt;$DO321) + $B$19*($DN321=$DO321))</f>
        <v>3.7037037037037035E-4</v>
      </c>
      <c r="EK321" s="10" cm="1">
        <f t="array" aca="1" ref="EK321" ca="1">(1-$B$18)*SUMPRODUCT(OFFSET($BO$15,0,0,$B$14,1), 1*(_xlfn._xlws.FILTER(OFFSET($O$15,0,$DN321,$B$8,1),OFFSET($M$15,0,0,$B$8,1))=EK$13), 1*(_xlfn._xlws.FILTER(OFFSET($O$15,0,$DO321,$B$8,1),OFFSET($M$15,0,0,$B$8,1))=EK$14))   /   SUM(OFFSET($BO$15,0,0,$B$14,1)) + $B$18/($B$19*$B$19*($DN321&lt;&gt;$DO321) + $B$19*($DN321=$DO321))</f>
        <v>3.7037037037037035E-4</v>
      </c>
      <c r="EL321" s="10" cm="1">
        <f t="array" aca="1" ref="EL321" ca="1">(1-$B$18)*SUMPRODUCT(OFFSET($BO$15,0,0,$B$14,1), 1*(_xlfn._xlws.FILTER(OFFSET($O$15,0,$DN321,$B$8,1),OFFSET($M$15,0,0,$B$8,1))=EL$13), 1*(_xlfn._xlws.FILTER(OFFSET($O$15,0,$DO321,$B$8,1),OFFSET($M$15,0,0,$B$8,1))=EL$14))   /   SUM(OFFSET($BO$15,0,0,$B$14,1)) + $B$18/($B$19*$B$19*($DN321&lt;&gt;$DO321) + $B$19*($DN321=$DO321))</f>
        <v>3.7037037037037035E-4</v>
      </c>
      <c r="EM321" s="10" cm="1">
        <f t="array" aca="1" ref="EM321" ca="1">(1-$B$18)*SUMPRODUCT(OFFSET($BO$15,0,0,$B$14,1), 1*(_xlfn._xlws.FILTER(OFFSET($O$15,0,$DN321,$B$8,1),OFFSET($M$15,0,0,$B$8,1))=EM$13), 1*(_xlfn._xlws.FILTER(OFFSET($O$15,0,$DO321,$B$8,1),OFFSET($M$15,0,0,$B$8,1))=EM$14))   /   SUM(OFFSET($BO$15,0,0,$B$14,1)) + $B$18/($B$19*$B$19*($DN321&lt;&gt;$DO321) + $B$19*($DN321=$DO321))</f>
        <v>3.7037037037037035E-4</v>
      </c>
      <c r="EN321" s="10" cm="1">
        <f t="array" aca="1" ref="EN321" ca="1">(1-$B$18)*SUMPRODUCT(OFFSET($BO$15,0,0,$B$14,1), 1*(_xlfn._xlws.FILTER(OFFSET($O$15,0,$DN321,$B$8,1),OFFSET($M$15,0,0,$B$8,1))=EN$13), 1*(_xlfn._xlws.FILTER(OFFSET($O$15,0,$DO321,$B$8,1),OFFSET($M$15,0,0,$B$8,1))=EN$14))   /   SUM(OFFSET($BO$15,0,0,$B$14,1)) + $B$18/($B$19*$B$19*($DN321&lt;&gt;$DO321) + $B$19*($DN321=$DO321))</f>
        <v>3.7037037037037035E-4</v>
      </c>
      <c r="EO321" s="10" cm="1">
        <f t="array" aca="1" ref="EO321" ca="1">(1-$B$18)*SUMPRODUCT(OFFSET($BO$15,0,0,$B$14,1), 1*(_xlfn._xlws.FILTER(OFFSET($O$15,0,$DN321,$B$8,1),OFFSET($M$15,0,0,$B$8,1))=EO$13), 1*(_xlfn._xlws.FILTER(OFFSET($O$15,0,$DO321,$B$8,1),OFFSET($M$15,0,0,$B$8,1))=EO$14))   /   SUM(OFFSET($BO$15,0,0,$B$14,1)) + $B$18/($B$19*$B$19*($DN321&lt;&gt;$DO321) + $B$19*($DN321=$DO321))</f>
        <v>3.7037037037037035E-4</v>
      </c>
      <c r="EP321" s="10" cm="1">
        <f t="array" aca="1" ref="EP321" ca="1">(1-$B$18)*SUMPRODUCT(OFFSET($BO$15,0,0,$B$14,1), 1*(_xlfn._xlws.FILTER(OFFSET($O$15,0,$DN321,$B$8,1),OFFSET($M$15,0,0,$B$8,1))=EP$13), 1*(_xlfn._xlws.FILTER(OFFSET($O$15,0,$DO321,$B$8,1),OFFSET($M$15,0,0,$B$8,1))=EP$14))   /   SUM(OFFSET($BO$15,0,0,$B$14,1)) + $B$18/($B$19*$B$19*($DN321&lt;&gt;$DO321) + $B$19*($DN321=$DO321))</f>
        <v>3.7037037037037035E-4</v>
      </c>
      <c r="EQ321" s="10" cm="1">
        <f t="array" aca="1" ref="EQ321" ca="1">(1-$B$18)*SUMPRODUCT(OFFSET($BO$15,0,0,$B$14,1), 1*(_xlfn._xlws.FILTER(OFFSET($O$15,0,$DN321,$B$8,1),OFFSET($M$15,0,0,$B$8,1))=EQ$13), 1*(_xlfn._xlws.FILTER(OFFSET($O$15,0,$DO321,$B$8,1),OFFSET($M$15,0,0,$B$8,1))=EQ$14))   /   SUM(OFFSET($BO$15,0,0,$B$14,1)) + $B$18/($B$19*$B$19*($DN321&lt;&gt;$DO321) + $B$19*($DN321=$DO321))</f>
        <v>3.7037037037037035E-4</v>
      </c>
      <c r="ER321" s="10" cm="1">
        <f t="array" aca="1" ref="ER321" ca="1">(1-$B$18)*SUMPRODUCT(OFFSET($BO$15,0,0,$B$14,1), 1*(_xlfn._xlws.FILTER(OFFSET($O$15,0,$DN321,$B$8,1),OFFSET($M$15,0,0,$B$8,1))=ER$13), 1*(_xlfn._xlws.FILTER(OFFSET($O$15,0,$DO321,$B$8,1),OFFSET($M$15,0,0,$B$8,1))=ER$14))   /   SUM(OFFSET($BO$15,0,0,$B$14,1)) + $B$18/($B$19*$B$19*($DN321&lt;&gt;$DO321) + $B$19*($DN321=$DO321))</f>
        <v>3.7037037037037035E-4</v>
      </c>
      <c r="ES321" s="10" cm="1">
        <f t="array" aca="1" ref="ES321" ca="1">(1-$B$18)*SUMPRODUCT(OFFSET($BO$15,0,0,$B$14,1), 1*(_xlfn._xlws.FILTER(OFFSET($O$15,0,$DN321,$B$8,1),OFFSET($M$15,0,0,$B$8,1))=ES$13), 1*(_xlfn._xlws.FILTER(OFFSET($O$15,0,$DO321,$B$8,1),OFFSET($M$15,0,0,$B$8,1))=ES$14))   /   SUM(OFFSET($BO$15,0,0,$B$14,1)) + $B$18/($B$19*$B$19*($DN321&lt;&gt;$DO321) + $B$19*($DN321=$DO321))</f>
        <v>3.7037037037037035E-4</v>
      </c>
      <c r="ET321" s="10" cm="1">
        <f t="array" aca="1" ref="ET321" ca="1">(1-$B$18)*SUMPRODUCT(OFFSET($BO$15,0,0,$B$14,1), 1*(_xlfn._xlws.FILTER(OFFSET($O$15,0,$DN321,$B$8,1),OFFSET($M$15,0,0,$B$8,1))=ET$13), 1*(_xlfn._xlws.FILTER(OFFSET($O$15,0,$DO321,$B$8,1),OFFSET($M$15,0,0,$B$8,1))=ET$14))   /   SUM(OFFSET($BO$15,0,0,$B$14,1)) + $B$18/($B$19*$B$19*($DN321&lt;&gt;$DO321) + $B$19*($DN321=$DO321))</f>
        <v>0.97037037037037033</v>
      </c>
      <c r="EU321" s="10" cm="1">
        <f t="array" aca="1" ref="EU321" ca="1">(1-$B$18)*SUMPRODUCT(OFFSET($BO$15,0,0,$B$14,1), 1*(_xlfn._xlws.FILTER(OFFSET($O$15,0,$DN321,$B$8,1),OFFSET($M$15,0,0,$B$8,1))=EU$13), 1*(_xlfn._xlws.FILTER(OFFSET($O$15,0,$DO321,$B$8,1),OFFSET($M$15,0,0,$B$8,1))=EU$14))   /   SUM(OFFSET($BO$15,0,0,$B$14,1)) + $B$18/($B$19*$B$19*($DN321&lt;&gt;$DO321) + $B$19*($DN321=$DO321))</f>
        <v>3.7037037037037035E-4</v>
      </c>
      <c r="EV321" s="10" cm="1">
        <f t="array" aca="1" ref="EV321" ca="1">(1-$B$18)*SUMPRODUCT(OFFSET($BO$15,0,0,$B$14,1), 1*(_xlfn._xlws.FILTER(OFFSET($O$15,0,$DN321,$B$8,1),OFFSET($M$15,0,0,$B$8,1))=EV$13), 1*(_xlfn._xlws.FILTER(OFFSET($O$15,0,$DO321,$B$8,1),OFFSET($M$15,0,0,$B$8,1))=EV$14))   /   SUM(OFFSET($BO$15,0,0,$B$14,1)) + $B$18/($B$19*$B$19*($DN321&lt;&gt;$DO321) + $B$19*($DN321=$DO321))</f>
        <v>3.7037037037037035E-4</v>
      </c>
      <c r="EW321" s="10" cm="1">
        <f t="array" aca="1" ref="EW321" ca="1">(1-$B$18)*SUMPRODUCT(OFFSET($BO$15,0,0,$B$14,1), 1*(_xlfn._xlws.FILTER(OFFSET($O$15,0,$DN321,$B$8,1),OFFSET($M$15,0,0,$B$8,1))=EW$13), 1*(_xlfn._xlws.FILTER(OFFSET($O$15,0,$DO321,$B$8,1),OFFSET($M$15,0,0,$B$8,1))=EW$14))   /   SUM(OFFSET($BO$15,0,0,$B$14,1)) + $B$18/($B$19*$B$19*($DN321&lt;&gt;$DO321) + $B$19*($DN321=$DO321))</f>
        <v>3.7037037037037035E-4</v>
      </c>
      <c r="EX321" s="10" cm="1">
        <f t="array" aca="1" ref="EX321" ca="1">(1-$B$18)*SUMPRODUCT(OFFSET($BO$15,0,0,$B$14,1), 1*(_xlfn._xlws.FILTER(OFFSET($O$15,0,$DN321,$B$8,1),OFFSET($M$15,0,0,$B$8,1))=EX$13), 1*(_xlfn._xlws.FILTER(OFFSET($O$15,0,$DO321,$B$8,1),OFFSET($M$15,0,0,$B$8,1))=EX$14))   /   SUM(OFFSET($BO$15,0,0,$B$14,1)) + $B$18/($B$19*$B$19*($DN321&lt;&gt;$DO321) + $B$19*($DN321=$DO321))</f>
        <v>3.7037037037037035E-4</v>
      </c>
      <c r="EY321" s="10" cm="1">
        <f t="array" aca="1" ref="EY321" ca="1">(1-$B$18)*SUMPRODUCT(OFFSET($BO$15,0,0,$B$14,1), 1*(_xlfn._xlws.FILTER(OFFSET($O$15,0,$DN321,$B$8,1),OFFSET($M$15,0,0,$B$8,1))=EY$13), 1*(_xlfn._xlws.FILTER(OFFSET($O$15,0,$DO321,$B$8,1),OFFSET($M$15,0,0,$B$8,1))=EY$14))   /   SUM(OFFSET($BO$15,0,0,$B$14,1)) + $B$18/($B$19*$B$19*($DN321&lt;&gt;$DO321) + $B$19*($DN321=$DO321))</f>
        <v>3.7037037037037035E-4</v>
      </c>
      <c r="EZ321" s="10" cm="1">
        <f t="array" aca="1" ref="EZ321" ca="1">(1-$B$18)*SUMPRODUCT(OFFSET($BO$15,0,0,$B$14,1), 1*(_xlfn._xlws.FILTER(OFFSET($O$15,0,$DN321,$B$8,1),OFFSET($M$15,0,0,$B$8,1))=EZ$13), 1*(_xlfn._xlws.FILTER(OFFSET($O$15,0,$DO321,$B$8,1),OFFSET($M$15,0,0,$B$8,1))=EZ$14))   /   SUM(OFFSET($BO$15,0,0,$B$14,1)) + $B$18/($B$19*$B$19*($DN321&lt;&gt;$DO321) + $B$19*($DN321=$DO321))</f>
        <v>3.7037037037037035E-4</v>
      </c>
      <c r="FA321" s="10" cm="1">
        <f t="array" aca="1" ref="FA321" ca="1">(1-$B$18)*SUMPRODUCT(OFFSET($BO$15,0,0,$B$14,1), 1*(_xlfn._xlws.FILTER(OFFSET($O$15,0,$DN321,$B$8,1),OFFSET($M$15,0,0,$B$8,1))=FA$13), 1*(_xlfn._xlws.FILTER(OFFSET($O$15,0,$DO321,$B$8,1),OFFSET($M$15,0,0,$B$8,1))=FA$14))   /   SUM(OFFSET($BO$15,0,0,$B$14,1)) + $B$18/($B$19*$B$19*($DN321&lt;&gt;$DO321) + $B$19*($DN321=$DO321))</f>
        <v>3.7037037037037035E-4</v>
      </c>
      <c r="FB321" s="10" cm="1">
        <f t="array" aca="1" ref="FB321" ca="1">(1-$B$18)*SUMPRODUCT(OFFSET($BO$15,0,0,$B$14,1), 1*(_xlfn._xlws.FILTER(OFFSET($O$15,0,$DN321,$B$8,1),OFFSET($M$15,0,0,$B$8,1))=FB$13), 1*(_xlfn._xlws.FILTER(OFFSET($O$15,0,$DO321,$B$8,1),OFFSET($M$15,0,0,$B$8,1))=FB$14))   /   SUM(OFFSET($BO$15,0,0,$B$14,1)) + $B$18/($B$19*$B$19*($DN321&lt;&gt;$DO321) + $B$19*($DN321=$DO321))</f>
        <v>3.7037037037037035E-4</v>
      </c>
      <c r="FC321" s="10" cm="1">
        <f t="array" aca="1" ref="FC321" ca="1">(1-$B$18)*SUMPRODUCT(OFFSET($BO$15,0,0,$B$14,1), 1*(_xlfn._xlws.FILTER(OFFSET($O$15,0,$DN321,$B$8,1),OFFSET($M$15,0,0,$B$8,1))=FC$13), 1*(_xlfn._xlws.FILTER(OFFSET($O$15,0,$DO321,$B$8,1),OFFSET($M$15,0,0,$B$8,1))=FC$14))   /   SUM(OFFSET($BO$15,0,0,$B$14,1)) + $B$18/($B$19*$B$19*($DN321&lt;&gt;$DO321) + $B$19*($DN321=$DO321))</f>
        <v>3.7037037037037035E-4</v>
      </c>
      <c r="FD321" s="10" cm="1">
        <f t="array" aca="1" ref="FD321" ca="1">(1-$B$18)*SUMPRODUCT(OFFSET($BO$15,0,0,$B$14,1), 1*(_xlfn._xlws.FILTER(OFFSET($O$15,0,$DN321,$B$8,1),OFFSET($M$15,0,0,$B$8,1))=FD$13), 1*(_xlfn._xlws.FILTER(OFFSET($O$15,0,$DO321,$B$8,1),OFFSET($M$15,0,0,$B$8,1))=FD$14))   /   SUM(OFFSET($BO$15,0,0,$B$14,1)) + $B$18/($B$19*$B$19*($DN321&lt;&gt;$DO321) + $B$19*($DN321=$DO321))</f>
        <v>3.7037037037037035E-4</v>
      </c>
      <c r="FE321" s="10" cm="1">
        <f t="array" aca="1" ref="FE321" ca="1">(1-$B$18)*SUMPRODUCT(OFFSET($BO$15,0,0,$B$14,1), 1*(_xlfn._xlws.FILTER(OFFSET($O$15,0,$DN321,$B$8,1),OFFSET($M$15,0,0,$B$8,1))=FE$13), 1*(_xlfn._xlws.FILTER(OFFSET($O$15,0,$DO321,$B$8,1),OFFSET($M$15,0,0,$B$8,1))=FE$14))   /   SUM(OFFSET($BO$15,0,0,$B$14,1)) + $B$18/($B$19*$B$19*($DN321&lt;&gt;$DO321) + $B$19*($DN321=$DO321))</f>
        <v>3.7037037037037035E-4</v>
      </c>
      <c r="FF321" s="10" cm="1">
        <f t="array" aca="1" ref="FF321" ca="1">(1-$B$18)*SUMPRODUCT(OFFSET($BO$15,0,0,$B$14,1), 1*(_xlfn._xlws.FILTER(OFFSET($O$15,0,$DN321,$B$8,1),OFFSET($M$15,0,0,$B$8,1))=FF$13), 1*(_xlfn._xlws.FILTER(OFFSET($O$15,0,$DO321,$B$8,1),OFFSET($M$15,0,0,$B$8,1))=FF$14))   /   SUM(OFFSET($BO$15,0,0,$B$14,1)) + $B$18/($B$19*$B$19*($DN321&lt;&gt;$DO321) + $B$19*($DN321=$DO321))</f>
        <v>3.7037037037037035E-4</v>
      </c>
      <c r="FG321" s="10" cm="1">
        <f t="array" aca="1" ref="FG321" ca="1">(1-$B$18)*SUMPRODUCT(OFFSET($BO$15,0,0,$B$14,1), 1*(_xlfn._xlws.FILTER(OFFSET($O$15,0,$DN321,$B$8,1),OFFSET($M$15,0,0,$B$8,1))=FG$13), 1*(_xlfn._xlws.FILTER(OFFSET($O$15,0,$DO321,$B$8,1),OFFSET($M$15,0,0,$B$8,1))=FG$14))   /   SUM(OFFSET($BO$15,0,0,$B$14,1)) + $B$18/($B$19*$B$19*($DN321&lt;&gt;$DO321) + $B$19*($DN321=$DO321))</f>
        <v>3.7037037037037035E-4</v>
      </c>
      <c r="FH321" s="10" cm="1">
        <f t="array" aca="1" ref="FH321" ca="1">(1-$B$18)*SUMPRODUCT(OFFSET($BO$15,0,0,$B$14,1), 1*(_xlfn._xlws.FILTER(OFFSET($O$15,0,$DN321,$B$8,1),OFFSET($M$15,0,0,$B$8,1))=FH$13), 1*(_xlfn._xlws.FILTER(OFFSET($O$15,0,$DO321,$B$8,1),OFFSET($M$15,0,0,$B$8,1))=FH$14))   /   SUM(OFFSET($BO$15,0,0,$B$14,1)) + $B$18/($B$19*$B$19*($DN321&lt;&gt;$DO321) + $B$19*($DN321=$DO321))</f>
        <v>3.7037037037037035E-4</v>
      </c>
      <c r="FI321" s="10" cm="1">
        <f t="array" aca="1" ref="FI321" ca="1">(1-$B$18)*SUMPRODUCT(OFFSET($BO$15,0,0,$B$14,1), 1*(_xlfn._xlws.FILTER(OFFSET($O$15,0,$DN321,$B$8,1),OFFSET($M$15,0,0,$B$8,1))=FI$13), 1*(_xlfn._xlws.FILTER(OFFSET($O$15,0,$DO321,$B$8,1),OFFSET($M$15,0,0,$B$8,1))=FI$14))   /   SUM(OFFSET($BO$15,0,0,$B$14,1)) + $B$18/($B$19*$B$19*($DN321&lt;&gt;$DO321) + $B$19*($DN321=$DO321))</f>
        <v>3.7037037037037035E-4</v>
      </c>
      <c r="FJ321" s="10" cm="1">
        <f t="array" aca="1" ref="FJ321" ca="1">(1-$B$18)*SUMPRODUCT(OFFSET($BO$15,0,0,$B$14,1), 1*(_xlfn._xlws.FILTER(OFFSET($O$15,0,$DN321,$B$8,1),OFFSET($M$15,0,0,$B$8,1))=FJ$13), 1*(_xlfn._xlws.FILTER(OFFSET($O$15,0,$DO321,$B$8,1),OFFSET($M$15,0,0,$B$8,1))=FJ$14))   /   SUM(OFFSET($BO$15,0,0,$B$14,1)) + $B$18/($B$19*$B$19*($DN321&lt;&gt;$DO321) + $B$19*($DN321=$DO321))</f>
        <v>3.7037037037037035E-4</v>
      </c>
      <c r="FK321" s="10" cm="1">
        <f t="array" aca="1" ref="FK321" ca="1">(1-$B$18)*SUMPRODUCT(OFFSET($BO$15,0,0,$B$14,1), 1*(_xlfn._xlws.FILTER(OFFSET($O$15,0,$DN321,$B$8,1),OFFSET($M$15,0,0,$B$8,1))=FK$13), 1*(_xlfn._xlws.FILTER(OFFSET($O$15,0,$DO321,$B$8,1),OFFSET($M$15,0,0,$B$8,1))=FK$14))   /   SUM(OFFSET($BO$15,0,0,$B$14,1)) + $B$18/($B$19*$B$19*($DN321&lt;&gt;$DO321) + $B$19*($DN321=$DO321))</f>
        <v>3.7037037037037035E-4</v>
      </c>
      <c r="FL321" s="10" cm="1">
        <f t="array" aca="1" ref="FL321" ca="1">(1-$B$18)*SUMPRODUCT(OFFSET($BO$15,0,0,$B$14,1), 1*(_xlfn._xlws.FILTER(OFFSET($O$15,0,$DN321,$B$8,1),OFFSET($M$15,0,0,$B$8,1))=FL$13), 1*(_xlfn._xlws.FILTER(OFFSET($O$15,0,$DO321,$B$8,1),OFFSET($M$15,0,0,$B$8,1))=FL$14))   /   SUM(OFFSET($BO$15,0,0,$B$14,1)) + $B$18/($B$19*$B$19*($DN321&lt;&gt;$DO321) + $B$19*($DN321=$DO321))</f>
        <v>3.7037037037037035E-4</v>
      </c>
      <c r="FM321" s="10" cm="1">
        <f t="array" aca="1" ref="FM321" ca="1">(1-$B$18)*SUMPRODUCT(OFFSET($BO$15,0,0,$B$14,1), 1*(_xlfn._xlws.FILTER(OFFSET($O$15,0,$DN321,$B$8,1),OFFSET($M$15,0,0,$B$8,1))=FM$13), 1*(_xlfn._xlws.FILTER(OFFSET($O$15,0,$DO321,$B$8,1),OFFSET($M$15,0,0,$B$8,1))=FM$14))   /   SUM(OFFSET($BO$15,0,0,$B$14,1)) + $B$18/($B$19*$B$19*($DN321&lt;&gt;$DO321) + $B$19*($DN321=$DO321))</f>
        <v>3.7037037037037035E-4</v>
      </c>
      <c r="FN321" s="10" cm="1">
        <f t="array" aca="1" ref="FN321" ca="1">(1-$B$18)*SUMPRODUCT(OFFSET($BO$15,0,0,$B$14,1), 1*(_xlfn._xlws.FILTER(OFFSET($O$15,0,$DN321,$B$8,1),OFFSET($M$15,0,0,$B$8,1))=FN$13), 1*(_xlfn._xlws.FILTER(OFFSET($O$15,0,$DO321,$B$8,1),OFFSET($M$15,0,0,$B$8,1))=FN$14))   /   SUM(OFFSET($BO$15,0,0,$B$14,1)) + $B$18/($B$19*$B$19*($DN321&lt;&gt;$DO321) + $B$19*($DN321=$DO321))</f>
        <v>3.7037037037037035E-4</v>
      </c>
      <c r="FO321" s="10" cm="1">
        <f t="array" aca="1" ref="FO321" ca="1">(1-$B$18)*SUMPRODUCT(OFFSET($BO$15,0,0,$B$14,1), 1*(_xlfn._xlws.FILTER(OFFSET($O$15,0,$DN321,$B$8,1),OFFSET($M$15,0,0,$B$8,1))=FO$13), 1*(_xlfn._xlws.FILTER(OFFSET($O$15,0,$DO321,$B$8,1),OFFSET($M$15,0,0,$B$8,1))=FO$14))   /   SUM(OFFSET($BO$15,0,0,$B$14,1)) + $B$18/($B$19*$B$19*($DN321&lt;&gt;$DO321) + $B$19*($DN321=$DO321))</f>
        <v>3.7037037037037035E-4</v>
      </c>
      <c r="FP321" s="10" cm="1">
        <f t="array" aca="1" ref="FP321" ca="1">(1-$B$18)*SUMPRODUCT(OFFSET($BO$15,0,0,$B$14,1), 1*(_xlfn._xlws.FILTER(OFFSET($O$15,0,$DN321,$B$8,1),OFFSET($M$15,0,0,$B$8,1))=FP$13), 1*(_xlfn._xlws.FILTER(OFFSET($O$15,0,$DO321,$B$8,1),OFFSET($M$15,0,0,$B$8,1))=FP$14))   /   SUM(OFFSET($BO$15,0,0,$B$14,1)) + $B$18/($B$19*$B$19*($DN321&lt;&gt;$DO321) + $B$19*($DN321=$DO321))</f>
        <v>3.7037037037037035E-4</v>
      </c>
      <c r="FQ321" s="10" cm="1">
        <f t="array" aca="1" ref="FQ321" ca="1">(1-$B$18)*SUMPRODUCT(OFFSET($BO$15,0,0,$B$14,1), 1*(_xlfn._xlws.FILTER(OFFSET($O$15,0,$DN321,$B$8,1),OFFSET($M$15,0,0,$B$8,1))=FQ$13), 1*(_xlfn._xlws.FILTER(OFFSET($O$15,0,$DO321,$B$8,1),OFFSET($M$15,0,0,$B$8,1))=FQ$14))   /   SUM(OFFSET($BO$15,0,0,$B$14,1)) + $B$18/($B$19*$B$19*($DN321&lt;&gt;$DO321) + $B$19*($DN321=$DO321))</f>
        <v>3.7037037037037035E-4</v>
      </c>
      <c r="FR321" s="10" cm="1">
        <f t="array" aca="1" ref="FR321" ca="1">(1-$B$18)*SUMPRODUCT(OFFSET($BO$15,0,0,$B$14,1), 1*(_xlfn._xlws.FILTER(OFFSET($O$15,0,$DN321,$B$8,1),OFFSET($M$15,0,0,$B$8,1))=FR$13), 1*(_xlfn._xlws.FILTER(OFFSET($O$15,0,$DO321,$B$8,1),OFFSET($M$15,0,0,$B$8,1))=FR$14))   /   SUM(OFFSET($BO$15,0,0,$B$14,1)) + $B$18/($B$19*$B$19*($DN321&lt;&gt;$DO321) + $B$19*($DN321=$DO321))</f>
        <v>3.7037037037037035E-4</v>
      </c>
      <c r="FS321" s="10" cm="1">
        <f t="array" aca="1" ref="FS321" ca="1">(1-$B$18)*SUMPRODUCT(OFFSET($BO$15,0,0,$B$14,1), 1*(_xlfn._xlws.FILTER(OFFSET($O$15,0,$DN321,$B$8,1),OFFSET($M$15,0,0,$B$8,1))=FS$13), 1*(_xlfn._xlws.FILTER(OFFSET($O$15,0,$DO321,$B$8,1),OFFSET($M$15,0,0,$B$8,1))=FS$14))   /   SUM(OFFSET($BO$15,0,0,$B$14,1)) + $B$18/($B$19*$B$19*($DN321&lt;&gt;$DO321) + $B$19*($DN321=$DO321))</f>
        <v>3.7037037037037035E-4</v>
      </c>
      <c r="FT321" s="10" cm="1">
        <f t="array" aca="1" ref="FT321" ca="1">(1-$B$18)*SUMPRODUCT(OFFSET($BO$15,0,0,$B$14,1), 1*(_xlfn._xlws.FILTER(OFFSET($O$15,0,$DN321,$B$8,1),OFFSET($M$15,0,0,$B$8,1))=FT$13), 1*(_xlfn._xlws.FILTER(OFFSET($O$15,0,$DO321,$B$8,1),OFFSET($M$15,0,0,$B$8,1))=FT$14))   /   SUM(OFFSET($BO$15,0,0,$B$14,1)) + $B$18/($B$19*$B$19*($DN321&lt;&gt;$DO321) + $B$19*($DN321=$DO321))</f>
        <v>3.7037037037037035E-4</v>
      </c>
      <c r="FU321" s="10" cm="1">
        <f t="array" aca="1" ref="FU321" ca="1">(1-$B$18)*SUMPRODUCT(OFFSET($BO$15,0,0,$B$14,1), 1*(_xlfn._xlws.FILTER(OFFSET($O$15,0,$DN321,$B$8,1),OFFSET($M$15,0,0,$B$8,1))=FU$13), 1*(_xlfn._xlws.FILTER(OFFSET($O$15,0,$DO321,$B$8,1),OFFSET($M$15,0,0,$B$8,1))=FU$14))   /   SUM(OFFSET($BO$15,0,0,$B$14,1)) + $B$18/($B$19*$B$19*($DN321&lt;&gt;$DO321) + $B$19*($DN321=$DO321))</f>
        <v>3.7037037037037035E-4</v>
      </c>
      <c r="FV321" s="10" cm="1">
        <f t="array" aca="1" ref="FV321" ca="1">(1-$B$18)*SUMPRODUCT(OFFSET($BO$15,0,0,$B$14,1), 1*(_xlfn._xlws.FILTER(OFFSET($O$15,0,$DN321,$B$8,1),OFFSET($M$15,0,0,$B$8,1))=FV$13), 1*(_xlfn._xlws.FILTER(OFFSET($O$15,0,$DO321,$B$8,1),OFFSET($M$15,0,0,$B$8,1))=FV$14))   /   SUM(OFFSET($BO$15,0,0,$B$14,1)) + $B$18/($B$19*$B$19*($DN321&lt;&gt;$DO321) + $B$19*($DN321=$DO321))</f>
        <v>3.7037037037037035E-4</v>
      </c>
      <c r="FW321" s="10" cm="1">
        <f t="array" aca="1" ref="FW321" ca="1">(1-$B$18)*SUMPRODUCT(OFFSET($BO$15,0,0,$B$14,1), 1*(_xlfn._xlws.FILTER(OFFSET($O$15,0,$DN321,$B$8,1),OFFSET($M$15,0,0,$B$8,1))=FW$13), 1*(_xlfn._xlws.FILTER(OFFSET($O$15,0,$DO321,$B$8,1),OFFSET($M$15,0,0,$B$8,1))=FW$14))   /   SUM(OFFSET($BO$15,0,0,$B$14,1)) + $B$18/($B$19*$B$19*($DN321&lt;&gt;$DO321) + $B$19*($DN321=$DO321))</f>
        <v>3.7037037037037035E-4</v>
      </c>
      <c r="FX321" s="10" cm="1">
        <f t="array" aca="1" ref="FX321" ca="1">(1-$B$18)*SUMPRODUCT(OFFSET($BO$15,0,0,$B$14,1), 1*(_xlfn._xlws.FILTER(OFFSET($O$15,0,$DN321,$B$8,1),OFFSET($M$15,0,0,$B$8,1))=FX$13), 1*(_xlfn._xlws.FILTER(OFFSET($O$15,0,$DO321,$B$8,1),OFFSET($M$15,0,0,$B$8,1))=FX$14))   /   SUM(OFFSET($BO$15,0,0,$B$14,1)) + $B$18/($B$19*$B$19*($DN321&lt;&gt;$DO321) + $B$19*($DN321=$DO321))</f>
        <v>3.7037037037037035E-4</v>
      </c>
      <c r="FY321" s="10" cm="1">
        <f t="array" aca="1" ref="FY321" ca="1">(1-$B$18)*SUMPRODUCT(OFFSET($BO$15,0,0,$B$14,1), 1*(_xlfn._xlws.FILTER(OFFSET($O$15,0,$DN321,$B$8,1),OFFSET($M$15,0,0,$B$8,1))=FY$13), 1*(_xlfn._xlws.FILTER(OFFSET($O$15,0,$DO321,$B$8,1),OFFSET($M$15,0,0,$B$8,1))=FY$14))   /   SUM(OFFSET($BO$15,0,0,$B$14,1)) + $B$18/($B$19*$B$19*($DN321&lt;&gt;$DO321) + $B$19*($DN321=$DO321))</f>
        <v>3.7037037037037035E-4</v>
      </c>
      <c r="FZ321" s="10" cm="1">
        <f t="array" aca="1" ref="FZ321" ca="1">(1-$B$18)*SUMPRODUCT(OFFSET($BO$15,0,0,$B$14,1), 1*(_xlfn._xlws.FILTER(OFFSET($O$15,0,$DN321,$B$8,1),OFFSET($M$15,0,0,$B$8,1))=FZ$13), 1*(_xlfn._xlws.FILTER(OFFSET($O$15,0,$DO321,$B$8,1),OFFSET($M$15,0,0,$B$8,1))=FZ$14))   /   SUM(OFFSET($BO$15,0,0,$B$14,1)) + $B$18/($B$19*$B$19*($DN321&lt;&gt;$DO321) + $B$19*($DN321=$DO321))</f>
        <v>3.7037037037037035E-4</v>
      </c>
      <c r="GA321" s="10" cm="1">
        <f t="array" aca="1" ref="GA321" ca="1">(1-$B$18)*SUMPRODUCT(OFFSET($BO$15,0,0,$B$14,1), 1*(_xlfn._xlws.FILTER(OFFSET($O$15,0,$DN321,$B$8,1),OFFSET($M$15,0,0,$B$8,1))=GA$13), 1*(_xlfn._xlws.FILTER(OFFSET($O$15,0,$DO321,$B$8,1),OFFSET($M$15,0,0,$B$8,1))=GA$14))   /   SUM(OFFSET($BO$15,0,0,$B$14,1)) + $B$18/($B$19*$B$19*($DN321&lt;&gt;$DO321) + $B$19*($DN321=$DO321))</f>
        <v>3.7037037037037035E-4</v>
      </c>
    </row>
    <row r="322" spans="118:183" x14ac:dyDescent="0.2">
      <c r="DN322" cm="1">
        <f t="array" aca="1" ref="DN322" ca="1">INDEX(_xlfn.ANCHORARRAY($CP$15), 1 + INT((ROWS($DO$15:$DO322) - 1) / ROWS(_xlfn.ANCHORARRAY($CP$15))))</f>
        <v>19</v>
      </c>
      <c r="DO322" cm="1">
        <f t="array" aca="1" ref="DO322" ca="1">INDEX(_xlfn.ANCHORARRAY($CP$15),1+MOD(ROWS($DO$15:$DO322)-1,ROWS(_xlfn.ANCHORARRAY($CP$15))))</f>
        <v>3</v>
      </c>
      <c r="DP322" s="10" cm="1">
        <f t="array" aca="1" ref="DP322" ca="1">(1-$B$18)*SUMPRODUCT(OFFSET($BO$15,0,0,$B$14,1), 1*(_xlfn._xlws.FILTER(OFFSET($O$15,0,$DN322,$B$8,1),OFFSET($M$15,0,0,$B$8,1))=DP$13), 1*(_xlfn._xlws.FILTER(OFFSET($O$15,0,$DO322,$B$8,1),OFFSET($M$15,0,0,$B$8,1))=DP$14))   /   SUM(OFFSET($BO$15,0,0,$B$14,1)) + $B$18/($B$19*$B$19*($DN322&lt;&gt;$DO322) + $B$19*($DN322=$DO322))</f>
        <v>3.7037037037037035E-4</v>
      </c>
      <c r="DQ322" s="10" cm="1">
        <f t="array" aca="1" ref="DQ322" ca="1">(1-$B$18)*SUMPRODUCT(OFFSET($BO$15,0,0,$B$14,1), 1*(_xlfn._xlws.FILTER(OFFSET($O$15,0,$DN322,$B$8,1),OFFSET($M$15,0,0,$B$8,1))=DQ$13), 1*(_xlfn._xlws.FILTER(OFFSET($O$15,0,$DO322,$B$8,1),OFFSET($M$15,0,0,$B$8,1))=DQ$14))   /   SUM(OFFSET($BO$15,0,0,$B$14,1)) + $B$18/($B$19*$B$19*($DN322&lt;&gt;$DO322) + $B$19*($DN322=$DO322))</f>
        <v>3.7037037037037035E-4</v>
      </c>
      <c r="DR322" s="10" cm="1">
        <f t="array" aca="1" ref="DR322" ca="1">(1-$B$18)*SUMPRODUCT(OFFSET($BO$15,0,0,$B$14,1), 1*(_xlfn._xlws.FILTER(OFFSET($O$15,0,$DN322,$B$8,1),OFFSET($M$15,0,0,$B$8,1))=DR$13), 1*(_xlfn._xlws.FILTER(OFFSET($O$15,0,$DO322,$B$8,1),OFFSET($M$15,0,0,$B$8,1))=DR$14))   /   SUM(OFFSET($BO$15,0,0,$B$14,1)) + $B$18/($B$19*$B$19*($DN322&lt;&gt;$DO322) + $B$19*($DN322=$DO322))</f>
        <v>3.7037037037037035E-4</v>
      </c>
      <c r="DS322" s="10" cm="1">
        <f t="array" aca="1" ref="DS322" ca="1">(1-$B$18)*SUMPRODUCT(OFFSET($BO$15,0,0,$B$14,1), 1*(_xlfn._xlws.FILTER(OFFSET($O$15,0,$DN322,$B$8,1),OFFSET($M$15,0,0,$B$8,1))=DS$13), 1*(_xlfn._xlws.FILTER(OFFSET($O$15,0,$DO322,$B$8,1),OFFSET($M$15,0,0,$B$8,1))=DS$14))   /   SUM(OFFSET($BO$15,0,0,$B$14,1)) + $B$18/($B$19*$B$19*($DN322&lt;&gt;$DO322) + $B$19*($DN322=$DO322))</f>
        <v>3.7037037037037035E-4</v>
      </c>
      <c r="DT322" s="10" cm="1">
        <f t="array" aca="1" ref="DT322" ca="1">(1-$B$18)*SUMPRODUCT(OFFSET($BO$15,0,0,$B$14,1), 1*(_xlfn._xlws.FILTER(OFFSET($O$15,0,$DN322,$B$8,1),OFFSET($M$15,0,0,$B$8,1))=DT$13), 1*(_xlfn._xlws.FILTER(OFFSET($O$15,0,$DO322,$B$8,1),OFFSET($M$15,0,0,$B$8,1))=DT$14))   /   SUM(OFFSET($BO$15,0,0,$B$14,1)) + $B$18/($B$19*$B$19*($DN322&lt;&gt;$DO322) + $B$19*($DN322=$DO322))</f>
        <v>3.7037037037037035E-4</v>
      </c>
      <c r="DU322" s="10" cm="1">
        <f t="array" aca="1" ref="DU322" ca="1">(1-$B$18)*SUMPRODUCT(OFFSET($BO$15,0,0,$B$14,1), 1*(_xlfn._xlws.FILTER(OFFSET($O$15,0,$DN322,$B$8,1),OFFSET($M$15,0,0,$B$8,1))=DU$13), 1*(_xlfn._xlws.FILTER(OFFSET($O$15,0,$DO322,$B$8,1),OFFSET($M$15,0,0,$B$8,1))=DU$14))   /   SUM(OFFSET($BO$15,0,0,$B$14,1)) + $B$18/($B$19*$B$19*($DN322&lt;&gt;$DO322) + $B$19*($DN322=$DO322))</f>
        <v>3.7037037037037035E-4</v>
      </c>
      <c r="DV322" s="10" cm="1">
        <f t="array" aca="1" ref="DV322" ca="1">(1-$B$18)*SUMPRODUCT(OFFSET($BO$15,0,0,$B$14,1), 1*(_xlfn._xlws.FILTER(OFFSET($O$15,0,$DN322,$B$8,1),OFFSET($M$15,0,0,$B$8,1))=DV$13), 1*(_xlfn._xlws.FILTER(OFFSET($O$15,0,$DO322,$B$8,1),OFFSET($M$15,0,0,$B$8,1))=DV$14))   /   SUM(OFFSET($BO$15,0,0,$B$14,1)) + $B$18/($B$19*$B$19*($DN322&lt;&gt;$DO322) + $B$19*($DN322=$DO322))</f>
        <v>3.7037037037037035E-4</v>
      </c>
      <c r="DW322" s="10" cm="1">
        <f t="array" aca="1" ref="DW322" ca="1">(1-$B$18)*SUMPRODUCT(OFFSET($BO$15,0,0,$B$14,1), 1*(_xlfn._xlws.FILTER(OFFSET($O$15,0,$DN322,$B$8,1),OFFSET($M$15,0,0,$B$8,1))=DW$13), 1*(_xlfn._xlws.FILTER(OFFSET($O$15,0,$DO322,$B$8,1),OFFSET($M$15,0,0,$B$8,1))=DW$14))   /   SUM(OFFSET($BO$15,0,0,$B$14,1)) + $B$18/($B$19*$B$19*($DN322&lt;&gt;$DO322) + $B$19*($DN322=$DO322))</f>
        <v>3.7037037037037035E-4</v>
      </c>
      <c r="DX322" s="10" cm="1">
        <f t="array" aca="1" ref="DX322" ca="1">(1-$B$18)*SUMPRODUCT(OFFSET($BO$15,0,0,$B$14,1), 1*(_xlfn._xlws.FILTER(OFFSET($O$15,0,$DN322,$B$8,1),OFFSET($M$15,0,0,$B$8,1))=DX$13), 1*(_xlfn._xlws.FILTER(OFFSET($O$15,0,$DO322,$B$8,1),OFFSET($M$15,0,0,$B$8,1))=DX$14))   /   SUM(OFFSET($BO$15,0,0,$B$14,1)) + $B$18/($B$19*$B$19*($DN322&lt;&gt;$DO322) + $B$19*($DN322=$DO322))</f>
        <v>3.7037037037037035E-4</v>
      </c>
      <c r="DY322" s="10" cm="1">
        <f t="array" aca="1" ref="DY322" ca="1">(1-$B$18)*SUMPRODUCT(OFFSET($BO$15,0,0,$B$14,1), 1*(_xlfn._xlws.FILTER(OFFSET($O$15,0,$DN322,$B$8,1),OFFSET($M$15,0,0,$B$8,1))=DY$13), 1*(_xlfn._xlws.FILTER(OFFSET($O$15,0,$DO322,$B$8,1),OFFSET($M$15,0,0,$B$8,1))=DY$14))   /   SUM(OFFSET($BO$15,0,0,$B$14,1)) + $B$18/($B$19*$B$19*($DN322&lt;&gt;$DO322) + $B$19*($DN322=$DO322))</f>
        <v>3.7037037037037035E-4</v>
      </c>
      <c r="DZ322" s="10" cm="1">
        <f t="array" aca="1" ref="DZ322" ca="1">(1-$B$18)*SUMPRODUCT(OFFSET($BO$15,0,0,$B$14,1), 1*(_xlfn._xlws.FILTER(OFFSET($O$15,0,$DN322,$B$8,1),OFFSET($M$15,0,0,$B$8,1))=DZ$13), 1*(_xlfn._xlws.FILTER(OFFSET($O$15,0,$DO322,$B$8,1),OFFSET($M$15,0,0,$B$8,1))=DZ$14))   /   SUM(OFFSET($BO$15,0,0,$B$14,1)) + $B$18/($B$19*$B$19*($DN322&lt;&gt;$DO322) + $B$19*($DN322=$DO322))</f>
        <v>3.7037037037037035E-4</v>
      </c>
      <c r="EA322" s="10" cm="1">
        <f t="array" aca="1" ref="EA322" ca="1">(1-$B$18)*SUMPRODUCT(OFFSET($BO$15,0,0,$B$14,1), 1*(_xlfn._xlws.FILTER(OFFSET($O$15,0,$DN322,$B$8,1),OFFSET($M$15,0,0,$B$8,1))=EA$13), 1*(_xlfn._xlws.FILTER(OFFSET($O$15,0,$DO322,$B$8,1),OFFSET($M$15,0,0,$B$8,1))=EA$14))   /   SUM(OFFSET($BO$15,0,0,$B$14,1)) + $B$18/($B$19*$B$19*($DN322&lt;&gt;$DO322) + $B$19*($DN322=$DO322))</f>
        <v>3.7037037037037035E-4</v>
      </c>
      <c r="EB322" s="10" cm="1">
        <f t="array" aca="1" ref="EB322" ca="1">(1-$B$18)*SUMPRODUCT(OFFSET($BO$15,0,0,$B$14,1), 1*(_xlfn._xlws.FILTER(OFFSET($O$15,0,$DN322,$B$8,1),OFFSET($M$15,0,0,$B$8,1))=EB$13), 1*(_xlfn._xlws.FILTER(OFFSET($O$15,0,$DO322,$B$8,1),OFFSET($M$15,0,0,$B$8,1))=EB$14))   /   SUM(OFFSET($BO$15,0,0,$B$14,1)) + $B$18/($B$19*$B$19*($DN322&lt;&gt;$DO322) + $B$19*($DN322=$DO322))</f>
        <v>3.7037037037037035E-4</v>
      </c>
      <c r="EC322" s="10" cm="1">
        <f t="array" aca="1" ref="EC322" ca="1">(1-$B$18)*SUMPRODUCT(OFFSET($BO$15,0,0,$B$14,1), 1*(_xlfn._xlws.FILTER(OFFSET($O$15,0,$DN322,$B$8,1),OFFSET($M$15,0,0,$B$8,1))=EC$13), 1*(_xlfn._xlws.FILTER(OFFSET($O$15,0,$DO322,$B$8,1),OFFSET($M$15,0,0,$B$8,1))=EC$14))   /   SUM(OFFSET($BO$15,0,0,$B$14,1)) + $B$18/($B$19*$B$19*($DN322&lt;&gt;$DO322) + $B$19*($DN322=$DO322))</f>
        <v>3.7037037037037035E-4</v>
      </c>
      <c r="ED322" s="10" cm="1">
        <f t="array" aca="1" ref="ED322" ca="1">(1-$B$18)*SUMPRODUCT(OFFSET($BO$15,0,0,$B$14,1), 1*(_xlfn._xlws.FILTER(OFFSET($O$15,0,$DN322,$B$8,1),OFFSET($M$15,0,0,$B$8,1))=ED$13), 1*(_xlfn._xlws.FILTER(OFFSET($O$15,0,$DO322,$B$8,1),OFFSET($M$15,0,0,$B$8,1))=ED$14))   /   SUM(OFFSET($BO$15,0,0,$B$14,1)) + $B$18/($B$19*$B$19*($DN322&lt;&gt;$DO322) + $B$19*($DN322=$DO322))</f>
        <v>3.7037037037037035E-4</v>
      </c>
      <c r="EE322" s="10" cm="1">
        <f t="array" aca="1" ref="EE322" ca="1">(1-$B$18)*SUMPRODUCT(OFFSET($BO$15,0,0,$B$14,1), 1*(_xlfn._xlws.FILTER(OFFSET($O$15,0,$DN322,$B$8,1),OFFSET($M$15,0,0,$B$8,1))=EE$13), 1*(_xlfn._xlws.FILTER(OFFSET($O$15,0,$DO322,$B$8,1),OFFSET($M$15,0,0,$B$8,1))=EE$14))   /   SUM(OFFSET($BO$15,0,0,$B$14,1)) + $B$18/($B$19*$B$19*($DN322&lt;&gt;$DO322) + $B$19*($DN322=$DO322))</f>
        <v>3.7037037037037035E-4</v>
      </c>
      <c r="EF322" s="10" cm="1">
        <f t="array" aca="1" ref="EF322" ca="1">(1-$B$18)*SUMPRODUCT(OFFSET($BO$15,0,0,$B$14,1), 1*(_xlfn._xlws.FILTER(OFFSET($O$15,0,$DN322,$B$8,1),OFFSET($M$15,0,0,$B$8,1))=EF$13), 1*(_xlfn._xlws.FILTER(OFFSET($O$15,0,$DO322,$B$8,1),OFFSET($M$15,0,0,$B$8,1))=EF$14))   /   SUM(OFFSET($BO$15,0,0,$B$14,1)) + $B$18/($B$19*$B$19*($DN322&lt;&gt;$DO322) + $B$19*($DN322=$DO322))</f>
        <v>3.7037037037037035E-4</v>
      </c>
      <c r="EG322" s="10" cm="1">
        <f t="array" aca="1" ref="EG322" ca="1">(1-$B$18)*SUMPRODUCT(OFFSET($BO$15,0,0,$B$14,1), 1*(_xlfn._xlws.FILTER(OFFSET($O$15,0,$DN322,$B$8,1),OFFSET($M$15,0,0,$B$8,1))=EG$13), 1*(_xlfn._xlws.FILTER(OFFSET($O$15,0,$DO322,$B$8,1),OFFSET($M$15,0,0,$B$8,1))=EG$14))   /   SUM(OFFSET($BO$15,0,0,$B$14,1)) + $B$18/($B$19*$B$19*($DN322&lt;&gt;$DO322) + $B$19*($DN322=$DO322))</f>
        <v>3.7037037037037035E-4</v>
      </c>
      <c r="EH322" s="10" cm="1">
        <f t="array" aca="1" ref="EH322" ca="1">(1-$B$18)*SUMPRODUCT(OFFSET($BO$15,0,0,$B$14,1), 1*(_xlfn._xlws.FILTER(OFFSET($O$15,0,$DN322,$B$8,1),OFFSET($M$15,0,0,$B$8,1))=EH$13), 1*(_xlfn._xlws.FILTER(OFFSET($O$15,0,$DO322,$B$8,1),OFFSET($M$15,0,0,$B$8,1))=EH$14))   /   SUM(OFFSET($BO$15,0,0,$B$14,1)) + $B$18/($B$19*$B$19*($DN322&lt;&gt;$DO322) + $B$19*($DN322=$DO322))</f>
        <v>3.7037037037037035E-4</v>
      </c>
      <c r="EI322" s="10" cm="1">
        <f t="array" aca="1" ref="EI322" ca="1">(1-$B$18)*SUMPRODUCT(OFFSET($BO$15,0,0,$B$14,1), 1*(_xlfn._xlws.FILTER(OFFSET($O$15,0,$DN322,$B$8,1),OFFSET($M$15,0,0,$B$8,1))=EI$13), 1*(_xlfn._xlws.FILTER(OFFSET($O$15,0,$DO322,$B$8,1),OFFSET($M$15,0,0,$B$8,1))=EI$14))   /   SUM(OFFSET($BO$15,0,0,$B$14,1)) + $B$18/($B$19*$B$19*($DN322&lt;&gt;$DO322) + $B$19*($DN322=$DO322))</f>
        <v>3.7037037037037035E-4</v>
      </c>
      <c r="EJ322" s="10" cm="1">
        <f t="array" aca="1" ref="EJ322" ca="1">(1-$B$18)*SUMPRODUCT(OFFSET($BO$15,0,0,$B$14,1), 1*(_xlfn._xlws.FILTER(OFFSET($O$15,0,$DN322,$B$8,1),OFFSET($M$15,0,0,$B$8,1))=EJ$13), 1*(_xlfn._xlws.FILTER(OFFSET($O$15,0,$DO322,$B$8,1),OFFSET($M$15,0,0,$B$8,1))=EJ$14))   /   SUM(OFFSET($BO$15,0,0,$B$14,1)) + $B$18/($B$19*$B$19*($DN322&lt;&gt;$DO322) + $B$19*($DN322=$DO322))</f>
        <v>3.7037037037037035E-4</v>
      </c>
      <c r="EK322" s="10" cm="1">
        <f t="array" aca="1" ref="EK322" ca="1">(1-$B$18)*SUMPRODUCT(OFFSET($BO$15,0,0,$B$14,1), 1*(_xlfn._xlws.FILTER(OFFSET($O$15,0,$DN322,$B$8,1),OFFSET($M$15,0,0,$B$8,1))=EK$13), 1*(_xlfn._xlws.FILTER(OFFSET($O$15,0,$DO322,$B$8,1),OFFSET($M$15,0,0,$B$8,1))=EK$14))   /   SUM(OFFSET($BO$15,0,0,$B$14,1)) + $B$18/($B$19*$B$19*($DN322&lt;&gt;$DO322) + $B$19*($DN322=$DO322))</f>
        <v>3.7037037037037035E-4</v>
      </c>
      <c r="EL322" s="10" cm="1">
        <f t="array" aca="1" ref="EL322" ca="1">(1-$B$18)*SUMPRODUCT(OFFSET($BO$15,0,0,$B$14,1), 1*(_xlfn._xlws.FILTER(OFFSET($O$15,0,$DN322,$B$8,1),OFFSET($M$15,0,0,$B$8,1))=EL$13), 1*(_xlfn._xlws.FILTER(OFFSET($O$15,0,$DO322,$B$8,1),OFFSET($M$15,0,0,$B$8,1))=EL$14))   /   SUM(OFFSET($BO$15,0,0,$B$14,1)) + $B$18/($B$19*$B$19*($DN322&lt;&gt;$DO322) + $B$19*($DN322=$DO322))</f>
        <v>3.7037037037037035E-4</v>
      </c>
      <c r="EM322" s="10" cm="1">
        <f t="array" aca="1" ref="EM322" ca="1">(1-$B$18)*SUMPRODUCT(OFFSET($BO$15,0,0,$B$14,1), 1*(_xlfn._xlws.FILTER(OFFSET($O$15,0,$DN322,$B$8,1),OFFSET($M$15,0,0,$B$8,1))=EM$13), 1*(_xlfn._xlws.FILTER(OFFSET($O$15,0,$DO322,$B$8,1),OFFSET($M$15,0,0,$B$8,1))=EM$14))   /   SUM(OFFSET($BO$15,0,0,$B$14,1)) + $B$18/($B$19*$B$19*($DN322&lt;&gt;$DO322) + $B$19*($DN322=$DO322))</f>
        <v>3.7037037037037035E-4</v>
      </c>
      <c r="EN322" s="10" cm="1">
        <f t="array" aca="1" ref="EN322" ca="1">(1-$B$18)*SUMPRODUCT(OFFSET($BO$15,0,0,$B$14,1), 1*(_xlfn._xlws.FILTER(OFFSET($O$15,0,$DN322,$B$8,1),OFFSET($M$15,0,0,$B$8,1))=EN$13), 1*(_xlfn._xlws.FILTER(OFFSET($O$15,0,$DO322,$B$8,1),OFFSET($M$15,0,0,$B$8,1))=EN$14))   /   SUM(OFFSET($BO$15,0,0,$B$14,1)) + $B$18/($B$19*$B$19*($DN322&lt;&gt;$DO322) + $B$19*($DN322=$DO322))</f>
        <v>3.7037037037037035E-4</v>
      </c>
      <c r="EO322" s="10" cm="1">
        <f t="array" aca="1" ref="EO322" ca="1">(1-$B$18)*SUMPRODUCT(OFFSET($BO$15,0,0,$B$14,1), 1*(_xlfn._xlws.FILTER(OFFSET($O$15,0,$DN322,$B$8,1),OFFSET($M$15,0,0,$B$8,1))=EO$13), 1*(_xlfn._xlws.FILTER(OFFSET($O$15,0,$DO322,$B$8,1),OFFSET($M$15,0,0,$B$8,1))=EO$14))   /   SUM(OFFSET($BO$15,0,0,$B$14,1)) + $B$18/($B$19*$B$19*($DN322&lt;&gt;$DO322) + $B$19*($DN322=$DO322))</f>
        <v>3.7037037037037035E-4</v>
      </c>
      <c r="EP322" s="10" cm="1">
        <f t="array" aca="1" ref="EP322" ca="1">(1-$B$18)*SUMPRODUCT(OFFSET($BO$15,0,0,$B$14,1), 1*(_xlfn._xlws.FILTER(OFFSET($O$15,0,$DN322,$B$8,1),OFFSET($M$15,0,0,$B$8,1))=EP$13), 1*(_xlfn._xlws.FILTER(OFFSET($O$15,0,$DO322,$B$8,1),OFFSET($M$15,0,0,$B$8,1))=EP$14))   /   SUM(OFFSET($BO$15,0,0,$B$14,1)) + $B$18/($B$19*$B$19*($DN322&lt;&gt;$DO322) + $B$19*($DN322=$DO322))</f>
        <v>3.7037037037037035E-4</v>
      </c>
      <c r="EQ322" s="10" cm="1">
        <f t="array" aca="1" ref="EQ322" ca="1">(1-$B$18)*SUMPRODUCT(OFFSET($BO$15,0,0,$B$14,1), 1*(_xlfn._xlws.FILTER(OFFSET($O$15,0,$DN322,$B$8,1),OFFSET($M$15,0,0,$B$8,1))=EQ$13), 1*(_xlfn._xlws.FILTER(OFFSET($O$15,0,$DO322,$B$8,1),OFFSET($M$15,0,0,$B$8,1))=EQ$14))   /   SUM(OFFSET($BO$15,0,0,$B$14,1)) + $B$18/($B$19*$B$19*($DN322&lt;&gt;$DO322) + $B$19*($DN322=$DO322))</f>
        <v>3.7037037037037035E-4</v>
      </c>
      <c r="ER322" s="10" cm="1">
        <f t="array" aca="1" ref="ER322" ca="1">(1-$B$18)*SUMPRODUCT(OFFSET($BO$15,0,0,$B$14,1), 1*(_xlfn._xlws.FILTER(OFFSET($O$15,0,$DN322,$B$8,1),OFFSET($M$15,0,0,$B$8,1))=ER$13), 1*(_xlfn._xlws.FILTER(OFFSET($O$15,0,$DO322,$B$8,1),OFFSET($M$15,0,0,$B$8,1))=ER$14))   /   SUM(OFFSET($BO$15,0,0,$B$14,1)) + $B$18/($B$19*$B$19*($DN322&lt;&gt;$DO322) + $B$19*($DN322=$DO322))</f>
        <v>3.7037037037037035E-4</v>
      </c>
      <c r="ES322" s="10" cm="1">
        <f t="array" aca="1" ref="ES322" ca="1">(1-$B$18)*SUMPRODUCT(OFFSET($BO$15,0,0,$B$14,1), 1*(_xlfn._xlws.FILTER(OFFSET($O$15,0,$DN322,$B$8,1),OFFSET($M$15,0,0,$B$8,1))=ES$13), 1*(_xlfn._xlws.FILTER(OFFSET($O$15,0,$DO322,$B$8,1),OFFSET($M$15,0,0,$B$8,1))=ES$14))   /   SUM(OFFSET($BO$15,0,0,$B$14,1)) + $B$18/($B$19*$B$19*($DN322&lt;&gt;$DO322) + $B$19*($DN322=$DO322))</f>
        <v>3.7037037037037035E-4</v>
      </c>
      <c r="ET322" s="10" cm="1">
        <f t="array" aca="1" ref="ET322" ca="1">(1-$B$18)*SUMPRODUCT(OFFSET($BO$15,0,0,$B$14,1), 1*(_xlfn._xlws.FILTER(OFFSET($O$15,0,$DN322,$B$8,1),OFFSET($M$15,0,0,$B$8,1))=ET$13), 1*(_xlfn._xlws.FILTER(OFFSET($O$15,0,$DO322,$B$8,1),OFFSET($M$15,0,0,$B$8,1))=ET$14))   /   SUM(OFFSET($BO$15,0,0,$B$14,1)) + $B$18/($B$19*$B$19*($DN322&lt;&gt;$DO322) + $B$19*($DN322=$DO322))</f>
        <v>0.97037037037037033</v>
      </c>
      <c r="EU322" s="10" cm="1">
        <f t="array" aca="1" ref="EU322" ca="1">(1-$B$18)*SUMPRODUCT(OFFSET($BO$15,0,0,$B$14,1), 1*(_xlfn._xlws.FILTER(OFFSET($O$15,0,$DN322,$B$8,1),OFFSET($M$15,0,0,$B$8,1))=EU$13), 1*(_xlfn._xlws.FILTER(OFFSET($O$15,0,$DO322,$B$8,1),OFFSET($M$15,0,0,$B$8,1))=EU$14))   /   SUM(OFFSET($BO$15,0,0,$B$14,1)) + $B$18/($B$19*$B$19*($DN322&lt;&gt;$DO322) + $B$19*($DN322=$DO322))</f>
        <v>3.7037037037037035E-4</v>
      </c>
      <c r="EV322" s="10" cm="1">
        <f t="array" aca="1" ref="EV322" ca="1">(1-$B$18)*SUMPRODUCT(OFFSET($BO$15,0,0,$B$14,1), 1*(_xlfn._xlws.FILTER(OFFSET($O$15,0,$DN322,$B$8,1),OFFSET($M$15,0,0,$B$8,1))=EV$13), 1*(_xlfn._xlws.FILTER(OFFSET($O$15,0,$DO322,$B$8,1),OFFSET($M$15,0,0,$B$8,1))=EV$14))   /   SUM(OFFSET($BO$15,0,0,$B$14,1)) + $B$18/($B$19*$B$19*($DN322&lt;&gt;$DO322) + $B$19*($DN322=$DO322))</f>
        <v>3.7037037037037035E-4</v>
      </c>
      <c r="EW322" s="10" cm="1">
        <f t="array" aca="1" ref="EW322" ca="1">(1-$B$18)*SUMPRODUCT(OFFSET($BO$15,0,0,$B$14,1), 1*(_xlfn._xlws.FILTER(OFFSET($O$15,0,$DN322,$B$8,1),OFFSET($M$15,0,0,$B$8,1))=EW$13), 1*(_xlfn._xlws.FILTER(OFFSET($O$15,0,$DO322,$B$8,1),OFFSET($M$15,0,0,$B$8,1))=EW$14))   /   SUM(OFFSET($BO$15,0,0,$B$14,1)) + $B$18/($B$19*$B$19*($DN322&lt;&gt;$DO322) + $B$19*($DN322=$DO322))</f>
        <v>3.7037037037037035E-4</v>
      </c>
      <c r="EX322" s="10" cm="1">
        <f t="array" aca="1" ref="EX322" ca="1">(1-$B$18)*SUMPRODUCT(OFFSET($BO$15,0,0,$B$14,1), 1*(_xlfn._xlws.FILTER(OFFSET($O$15,0,$DN322,$B$8,1),OFFSET($M$15,0,0,$B$8,1))=EX$13), 1*(_xlfn._xlws.FILTER(OFFSET($O$15,0,$DO322,$B$8,1),OFFSET($M$15,0,0,$B$8,1))=EX$14))   /   SUM(OFFSET($BO$15,0,0,$B$14,1)) + $B$18/($B$19*$B$19*($DN322&lt;&gt;$DO322) + $B$19*($DN322=$DO322))</f>
        <v>3.7037037037037035E-4</v>
      </c>
      <c r="EY322" s="10" cm="1">
        <f t="array" aca="1" ref="EY322" ca="1">(1-$B$18)*SUMPRODUCT(OFFSET($BO$15,0,0,$B$14,1), 1*(_xlfn._xlws.FILTER(OFFSET($O$15,0,$DN322,$B$8,1),OFFSET($M$15,0,0,$B$8,1))=EY$13), 1*(_xlfn._xlws.FILTER(OFFSET($O$15,0,$DO322,$B$8,1),OFFSET($M$15,0,0,$B$8,1))=EY$14))   /   SUM(OFFSET($BO$15,0,0,$B$14,1)) + $B$18/($B$19*$B$19*($DN322&lt;&gt;$DO322) + $B$19*($DN322=$DO322))</f>
        <v>3.7037037037037035E-4</v>
      </c>
      <c r="EZ322" s="10" cm="1">
        <f t="array" aca="1" ref="EZ322" ca="1">(1-$B$18)*SUMPRODUCT(OFFSET($BO$15,0,0,$B$14,1), 1*(_xlfn._xlws.FILTER(OFFSET($O$15,0,$DN322,$B$8,1),OFFSET($M$15,0,0,$B$8,1))=EZ$13), 1*(_xlfn._xlws.FILTER(OFFSET($O$15,0,$DO322,$B$8,1),OFFSET($M$15,0,0,$B$8,1))=EZ$14))   /   SUM(OFFSET($BO$15,0,0,$B$14,1)) + $B$18/($B$19*$B$19*($DN322&lt;&gt;$DO322) + $B$19*($DN322=$DO322))</f>
        <v>3.7037037037037035E-4</v>
      </c>
      <c r="FA322" s="10" cm="1">
        <f t="array" aca="1" ref="FA322" ca="1">(1-$B$18)*SUMPRODUCT(OFFSET($BO$15,0,0,$B$14,1), 1*(_xlfn._xlws.FILTER(OFFSET($O$15,0,$DN322,$B$8,1),OFFSET($M$15,0,0,$B$8,1))=FA$13), 1*(_xlfn._xlws.FILTER(OFFSET($O$15,0,$DO322,$B$8,1),OFFSET($M$15,0,0,$B$8,1))=FA$14))   /   SUM(OFFSET($BO$15,0,0,$B$14,1)) + $B$18/($B$19*$B$19*($DN322&lt;&gt;$DO322) + $B$19*($DN322=$DO322))</f>
        <v>3.7037037037037035E-4</v>
      </c>
      <c r="FB322" s="10" cm="1">
        <f t="array" aca="1" ref="FB322" ca="1">(1-$B$18)*SUMPRODUCT(OFFSET($BO$15,0,0,$B$14,1), 1*(_xlfn._xlws.FILTER(OFFSET($O$15,0,$DN322,$B$8,1),OFFSET($M$15,0,0,$B$8,1))=FB$13), 1*(_xlfn._xlws.FILTER(OFFSET($O$15,0,$DO322,$B$8,1),OFFSET($M$15,0,0,$B$8,1))=FB$14))   /   SUM(OFFSET($BO$15,0,0,$B$14,1)) + $B$18/($B$19*$B$19*($DN322&lt;&gt;$DO322) + $B$19*($DN322=$DO322))</f>
        <v>3.7037037037037035E-4</v>
      </c>
      <c r="FC322" s="10" cm="1">
        <f t="array" aca="1" ref="FC322" ca="1">(1-$B$18)*SUMPRODUCT(OFFSET($BO$15,0,0,$B$14,1), 1*(_xlfn._xlws.FILTER(OFFSET($O$15,0,$DN322,$B$8,1),OFFSET($M$15,0,0,$B$8,1))=FC$13), 1*(_xlfn._xlws.FILTER(OFFSET($O$15,0,$DO322,$B$8,1),OFFSET($M$15,0,0,$B$8,1))=FC$14))   /   SUM(OFFSET($BO$15,0,0,$B$14,1)) + $B$18/($B$19*$B$19*($DN322&lt;&gt;$DO322) + $B$19*($DN322=$DO322))</f>
        <v>3.7037037037037035E-4</v>
      </c>
      <c r="FD322" s="10" cm="1">
        <f t="array" aca="1" ref="FD322" ca="1">(1-$B$18)*SUMPRODUCT(OFFSET($BO$15,0,0,$B$14,1), 1*(_xlfn._xlws.FILTER(OFFSET($O$15,0,$DN322,$B$8,1),OFFSET($M$15,0,0,$B$8,1))=FD$13), 1*(_xlfn._xlws.FILTER(OFFSET($O$15,0,$DO322,$B$8,1),OFFSET($M$15,0,0,$B$8,1))=FD$14))   /   SUM(OFFSET($BO$15,0,0,$B$14,1)) + $B$18/($B$19*$B$19*($DN322&lt;&gt;$DO322) + $B$19*($DN322=$DO322))</f>
        <v>3.7037037037037035E-4</v>
      </c>
      <c r="FE322" s="10" cm="1">
        <f t="array" aca="1" ref="FE322" ca="1">(1-$B$18)*SUMPRODUCT(OFFSET($BO$15,0,0,$B$14,1), 1*(_xlfn._xlws.FILTER(OFFSET($O$15,0,$DN322,$B$8,1),OFFSET($M$15,0,0,$B$8,1))=FE$13), 1*(_xlfn._xlws.FILTER(OFFSET($O$15,0,$DO322,$B$8,1),OFFSET($M$15,0,0,$B$8,1))=FE$14))   /   SUM(OFFSET($BO$15,0,0,$B$14,1)) + $B$18/($B$19*$B$19*($DN322&lt;&gt;$DO322) + $B$19*($DN322=$DO322))</f>
        <v>3.7037037037037035E-4</v>
      </c>
      <c r="FF322" s="10" cm="1">
        <f t="array" aca="1" ref="FF322" ca="1">(1-$B$18)*SUMPRODUCT(OFFSET($BO$15,0,0,$B$14,1), 1*(_xlfn._xlws.FILTER(OFFSET($O$15,0,$DN322,$B$8,1),OFFSET($M$15,0,0,$B$8,1))=FF$13), 1*(_xlfn._xlws.FILTER(OFFSET($O$15,0,$DO322,$B$8,1),OFFSET($M$15,0,0,$B$8,1))=FF$14))   /   SUM(OFFSET($BO$15,0,0,$B$14,1)) + $B$18/($B$19*$B$19*($DN322&lt;&gt;$DO322) + $B$19*($DN322=$DO322))</f>
        <v>3.7037037037037035E-4</v>
      </c>
      <c r="FG322" s="10" cm="1">
        <f t="array" aca="1" ref="FG322" ca="1">(1-$B$18)*SUMPRODUCT(OFFSET($BO$15,0,0,$B$14,1), 1*(_xlfn._xlws.FILTER(OFFSET($O$15,0,$DN322,$B$8,1),OFFSET($M$15,0,0,$B$8,1))=FG$13), 1*(_xlfn._xlws.FILTER(OFFSET($O$15,0,$DO322,$B$8,1),OFFSET($M$15,0,0,$B$8,1))=FG$14))   /   SUM(OFFSET($BO$15,0,0,$B$14,1)) + $B$18/($B$19*$B$19*($DN322&lt;&gt;$DO322) + $B$19*($DN322=$DO322))</f>
        <v>3.7037037037037035E-4</v>
      </c>
      <c r="FH322" s="10" cm="1">
        <f t="array" aca="1" ref="FH322" ca="1">(1-$B$18)*SUMPRODUCT(OFFSET($BO$15,0,0,$B$14,1), 1*(_xlfn._xlws.FILTER(OFFSET($O$15,0,$DN322,$B$8,1),OFFSET($M$15,0,0,$B$8,1))=FH$13), 1*(_xlfn._xlws.FILTER(OFFSET($O$15,0,$DO322,$B$8,1),OFFSET($M$15,0,0,$B$8,1))=FH$14))   /   SUM(OFFSET($BO$15,0,0,$B$14,1)) + $B$18/($B$19*$B$19*($DN322&lt;&gt;$DO322) + $B$19*($DN322=$DO322))</f>
        <v>3.7037037037037035E-4</v>
      </c>
      <c r="FI322" s="10" cm="1">
        <f t="array" aca="1" ref="FI322" ca="1">(1-$B$18)*SUMPRODUCT(OFFSET($BO$15,0,0,$B$14,1), 1*(_xlfn._xlws.FILTER(OFFSET($O$15,0,$DN322,$B$8,1),OFFSET($M$15,0,0,$B$8,1))=FI$13), 1*(_xlfn._xlws.FILTER(OFFSET($O$15,0,$DO322,$B$8,1),OFFSET($M$15,0,0,$B$8,1))=FI$14))   /   SUM(OFFSET($BO$15,0,0,$B$14,1)) + $B$18/($B$19*$B$19*($DN322&lt;&gt;$DO322) + $B$19*($DN322=$DO322))</f>
        <v>3.7037037037037035E-4</v>
      </c>
      <c r="FJ322" s="10" cm="1">
        <f t="array" aca="1" ref="FJ322" ca="1">(1-$B$18)*SUMPRODUCT(OFFSET($BO$15,0,0,$B$14,1), 1*(_xlfn._xlws.FILTER(OFFSET($O$15,0,$DN322,$B$8,1),OFFSET($M$15,0,0,$B$8,1))=FJ$13), 1*(_xlfn._xlws.FILTER(OFFSET($O$15,0,$DO322,$B$8,1),OFFSET($M$15,0,0,$B$8,1))=FJ$14))   /   SUM(OFFSET($BO$15,0,0,$B$14,1)) + $B$18/($B$19*$B$19*($DN322&lt;&gt;$DO322) + $B$19*($DN322=$DO322))</f>
        <v>3.7037037037037035E-4</v>
      </c>
      <c r="FK322" s="10" cm="1">
        <f t="array" aca="1" ref="FK322" ca="1">(1-$B$18)*SUMPRODUCT(OFFSET($BO$15,0,0,$B$14,1), 1*(_xlfn._xlws.FILTER(OFFSET($O$15,0,$DN322,$B$8,1),OFFSET($M$15,0,0,$B$8,1))=FK$13), 1*(_xlfn._xlws.FILTER(OFFSET($O$15,0,$DO322,$B$8,1),OFFSET($M$15,0,0,$B$8,1))=FK$14))   /   SUM(OFFSET($BO$15,0,0,$B$14,1)) + $B$18/($B$19*$B$19*($DN322&lt;&gt;$DO322) + $B$19*($DN322=$DO322))</f>
        <v>3.7037037037037035E-4</v>
      </c>
      <c r="FL322" s="10" cm="1">
        <f t="array" aca="1" ref="FL322" ca="1">(1-$B$18)*SUMPRODUCT(OFFSET($BO$15,0,0,$B$14,1), 1*(_xlfn._xlws.FILTER(OFFSET($O$15,0,$DN322,$B$8,1),OFFSET($M$15,0,0,$B$8,1))=FL$13), 1*(_xlfn._xlws.FILTER(OFFSET($O$15,0,$DO322,$B$8,1),OFFSET($M$15,0,0,$B$8,1))=FL$14))   /   SUM(OFFSET($BO$15,0,0,$B$14,1)) + $B$18/($B$19*$B$19*($DN322&lt;&gt;$DO322) + $B$19*($DN322=$DO322))</f>
        <v>3.7037037037037035E-4</v>
      </c>
      <c r="FM322" s="10" cm="1">
        <f t="array" aca="1" ref="FM322" ca="1">(1-$B$18)*SUMPRODUCT(OFFSET($BO$15,0,0,$B$14,1), 1*(_xlfn._xlws.FILTER(OFFSET($O$15,0,$DN322,$B$8,1),OFFSET($M$15,0,0,$B$8,1))=FM$13), 1*(_xlfn._xlws.FILTER(OFFSET($O$15,0,$DO322,$B$8,1),OFFSET($M$15,0,0,$B$8,1))=FM$14))   /   SUM(OFFSET($BO$15,0,0,$B$14,1)) + $B$18/($B$19*$B$19*($DN322&lt;&gt;$DO322) + $B$19*($DN322=$DO322))</f>
        <v>3.7037037037037035E-4</v>
      </c>
      <c r="FN322" s="10" cm="1">
        <f t="array" aca="1" ref="FN322" ca="1">(1-$B$18)*SUMPRODUCT(OFFSET($BO$15,0,0,$B$14,1), 1*(_xlfn._xlws.FILTER(OFFSET($O$15,0,$DN322,$B$8,1),OFFSET($M$15,0,0,$B$8,1))=FN$13), 1*(_xlfn._xlws.FILTER(OFFSET($O$15,0,$DO322,$B$8,1),OFFSET($M$15,0,0,$B$8,1))=FN$14))   /   SUM(OFFSET($BO$15,0,0,$B$14,1)) + $B$18/($B$19*$B$19*($DN322&lt;&gt;$DO322) + $B$19*($DN322=$DO322))</f>
        <v>3.7037037037037035E-4</v>
      </c>
      <c r="FO322" s="10" cm="1">
        <f t="array" aca="1" ref="FO322" ca="1">(1-$B$18)*SUMPRODUCT(OFFSET($BO$15,0,0,$B$14,1), 1*(_xlfn._xlws.FILTER(OFFSET($O$15,0,$DN322,$B$8,1),OFFSET($M$15,0,0,$B$8,1))=FO$13), 1*(_xlfn._xlws.FILTER(OFFSET($O$15,0,$DO322,$B$8,1),OFFSET($M$15,0,0,$B$8,1))=FO$14))   /   SUM(OFFSET($BO$15,0,0,$B$14,1)) + $B$18/($B$19*$B$19*($DN322&lt;&gt;$DO322) + $B$19*($DN322=$DO322))</f>
        <v>3.7037037037037035E-4</v>
      </c>
      <c r="FP322" s="10" cm="1">
        <f t="array" aca="1" ref="FP322" ca="1">(1-$B$18)*SUMPRODUCT(OFFSET($BO$15,0,0,$B$14,1), 1*(_xlfn._xlws.FILTER(OFFSET($O$15,0,$DN322,$B$8,1),OFFSET($M$15,0,0,$B$8,1))=FP$13), 1*(_xlfn._xlws.FILTER(OFFSET($O$15,0,$DO322,$B$8,1),OFFSET($M$15,0,0,$B$8,1))=FP$14))   /   SUM(OFFSET($BO$15,0,0,$B$14,1)) + $B$18/($B$19*$B$19*($DN322&lt;&gt;$DO322) + $B$19*($DN322=$DO322))</f>
        <v>3.7037037037037035E-4</v>
      </c>
      <c r="FQ322" s="10" cm="1">
        <f t="array" aca="1" ref="FQ322" ca="1">(1-$B$18)*SUMPRODUCT(OFFSET($BO$15,0,0,$B$14,1), 1*(_xlfn._xlws.FILTER(OFFSET($O$15,0,$DN322,$B$8,1),OFFSET($M$15,0,0,$B$8,1))=FQ$13), 1*(_xlfn._xlws.FILTER(OFFSET($O$15,0,$DO322,$B$8,1),OFFSET($M$15,0,0,$B$8,1))=FQ$14))   /   SUM(OFFSET($BO$15,0,0,$B$14,1)) + $B$18/($B$19*$B$19*($DN322&lt;&gt;$DO322) + $B$19*($DN322=$DO322))</f>
        <v>3.7037037037037035E-4</v>
      </c>
      <c r="FR322" s="10" cm="1">
        <f t="array" aca="1" ref="FR322" ca="1">(1-$B$18)*SUMPRODUCT(OFFSET($BO$15,0,0,$B$14,1), 1*(_xlfn._xlws.FILTER(OFFSET($O$15,0,$DN322,$B$8,1),OFFSET($M$15,0,0,$B$8,1))=FR$13), 1*(_xlfn._xlws.FILTER(OFFSET($O$15,0,$DO322,$B$8,1),OFFSET($M$15,0,0,$B$8,1))=FR$14))   /   SUM(OFFSET($BO$15,0,0,$B$14,1)) + $B$18/($B$19*$B$19*($DN322&lt;&gt;$DO322) + $B$19*($DN322=$DO322))</f>
        <v>3.7037037037037035E-4</v>
      </c>
      <c r="FS322" s="10" cm="1">
        <f t="array" aca="1" ref="FS322" ca="1">(1-$B$18)*SUMPRODUCT(OFFSET($BO$15,0,0,$B$14,1), 1*(_xlfn._xlws.FILTER(OFFSET($O$15,0,$DN322,$B$8,1),OFFSET($M$15,0,0,$B$8,1))=FS$13), 1*(_xlfn._xlws.FILTER(OFFSET($O$15,0,$DO322,$B$8,1),OFFSET($M$15,0,0,$B$8,1))=FS$14))   /   SUM(OFFSET($BO$15,0,0,$B$14,1)) + $B$18/($B$19*$B$19*($DN322&lt;&gt;$DO322) + $B$19*($DN322=$DO322))</f>
        <v>3.7037037037037035E-4</v>
      </c>
      <c r="FT322" s="10" cm="1">
        <f t="array" aca="1" ref="FT322" ca="1">(1-$B$18)*SUMPRODUCT(OFFSET($BO$15,0,0,$B$14,1), 1*(_xlfn._xlws.FILTER(OFFSET($O$15,0,$DN322,$B$8,1),OFFSET($M$15,0,0,$B$8,1))=FT$13), 1*(_xlfn._xlws.FILTER(OFFSET($O$15,0,$DO322,$B$8,1),OFFSET($M$15,0,0,$B$8,1))=FT$14))   /   SUM(OFFSET($BO$15,0,0,$B$14,1)) + $B$18/($B$19*$B$19*($DN322&lt;&gt;$DO322) + $B$19*($DN322=$DO322))</f>
        <v>3.7037037037037035E-4</v>
      </c>
      <c r="FU322" s="10" cm="1">
        <f t="array" aca="1" ref="FU322" ca="1">(1-$B$18)*SUMPRODUCT(OFFSET($BO$15,0,0,$B$14,1), 1*(_xlfn._xlws.FILTER(OFFSET($O$15,0,$DN322,$B$8,1),OFFSET($M$15,0,0,$B$8,1))=FU$13), 1*(_xlfn._xlws.FILTER(OFFSET($O$15,0,$DO322,$B$8,1),OFFSET($M$15,0,0,$B$8,1))=FU$14))   /   SUM(OFFSET($BO$15,0,0,$B$14,1)) + $B$18/($B$19*$B$19*($DN322&lt;&gt;$DO322) + $B$19*($DN322=$DO322))</f>
        <v>3.7037037037037035E-4</v>
      </c>
      <c r="FV322" s="10" cm="1">
        <f t="array" aca="1" ref="FV322" ca="1">(1-$B$18)*SUMPRODUCT(OFFSET($BO$15,0,0,$B$14,1), 1*(_xlfn._xlws.FILTER(OFFSET($O$15,0,$DN322,$B$8,1),OFFSET($M$15,0,0,$B$8,1))=FV$13), 1*(_xlfn._xlws.FILTER(OFFSET($O$15,0,$DO322,$B$8,1),OFFSET($M$15,0,0,$B$8,1))=FV$14))   /   SUM(OFFSET($BO$15,0,0,$B$14,1)) + $B$18/($B$19*$B$19*($DN322&lt;&gt;$DO322) + $B$19*($DN322=$DO322))</f>
        <v>3.7037037037037035E-4</v>
      </c>
      <c r="FW322" s="10" cm="1">
        <f t="array" aca="1" ref="FW322" ca="1">(1-$B$18)*SUMPRODUCT(OFFSET($BO$15,0,0,$B$14,1), 1*(_xlfn._xlws.FILTER(OFFSET($O$15,0,$DN322,$B$8,1),OFFSET($M$15,0,0,$B$8,1))=FW$13), 1*(_xlfn._xlws.FILTER(OFFSET($O$15,0,$DO322,$B$8,1),OFFSET($M$15,0,0,$B$8,1))=FW$14))   /   SUM(OFFSET($BO$15,0,0,$B$14,1)) + $B$18/($B$19*$B$19*($DN322&lt;&gt;$DO322) + $B$19*($DN322=$DO322))</f>
        <v>3.7037037037037035E-4</v>
      </c>
      <c r="FX322" s="10" cm="1">
        <f t="array" aca="1" ref="FX322" ca="1">(1-$B$18)*SUMPRODUCT(OFFSET($BO$15,0,0,$B$14,1), 1*(_xlfn._xlws.FILTER(OFFSET($O$15,0,$DN322,$B$8,1),OFFSET($M$15,0,0,$B$8,1))=FX$13), 1*(_xlfn._xlws.FILTER(OFFSET($O$15,0,$DO322,$B$8,1),OFFSET($M$15,0,0,$B$8,1))=FX$14))   /   SUM(OFFSET($BO$15,0,0,$B$14,1)) + $B$18/($B$19*$B$19*($DN322&lt;&gt;$DO322) + $B$19*($DN322=$DO322))</f>
        <v>3.7037037037037035E-4</v>
      </c>
      <c r="FY322" s="10" cm="1">
        <f t="array" aca="1" ref="FY322" ca="1">(1-$B$18)*SUMPRODUCT(OFFSET($BO$15,0,0,$B$14,1), 1*(_xlfn._xlws.FILTER(OFFSET($O$15,0,$DN322,$B$8,1),OFFSET($M$15,0,0,$B$8,1))=FY$13), 1*(_xlfn._xlws.FILTER(OFFSET($O$15,0,$DO322,$B$8,1),OFFSET($M$15,0,0,$B$8,1))=FY$14))   /   SUM(OFFSET($BO$15,0,0,$B$14,1)) + $B$18/($B$19*$B$19*($DN322&lt;&gt;$DO322) + $B$19*($DN322=$DO322))</f>
        <v>3.7037037037037035E-4</v>
      </c>
      <c r="FZ322" s="10" cm="1">
        <f t="array" aca="1" ref="FZ322" ca="1">(1-$B$18)*SUMPRODUCT(OFFSET($BO$15,0,0,$B$14,1), 1*(_xlfn._xlws.FILTER(OFFSET($O$15,0,$DN322,$B$8,1),OFFSET($M$15,0,0,$B$8,1))=FZ$13), 1*(_xlfn._xlws.FILTER(OFFSET($O$15,0,$DO322,$B$8,1),OFFSET($M$15,0,0,$B$8,1))=FZ$14))   /   SUM(OFFSET($BO$15,0,0,$B$14,1)) + $B$18/($B$19*$B$19*($DN322&lt;&gt;$DO322) + $B$19*($DN322=$DO322))</f>
        <v>3.7037037037037035E-4</v>
      </c>
      <c r="GA322" s="10" cm="1">
        <f t="array" aca="1" ref="GA322" ca="1">(1-$B$18)*SUMPRODUCT(OFFSET($BO$15,0,0,$B$14,1), 1*(_xlfn._xlws.FILTER(OFFSET($O$15,0,$DN322,$B$8,1),OFFSET($M$15,0,0,$B$8,1))=GA$13), 1*(_xlfn._xlws.FILTER(OFFSET($O$15,0,$DO322,$B$8,1),OFFSET($M$15,0,0,$B$8,1))=GA$14))   /   SUM(OFFSET($BO$15,0,0,$B$14,1)) + $B$18/($B$19*$B$19*($DN322&lt;&gt;$DO322) + $B$19*($DN322=$DO322))</f>
        <v>3.7037037037037035E-4</v>
      </c>
    </row>
    <row r="323" spans="118:183" x14ac:dyDescent="0.2">
      <c r="DN323" cm="1">
        <f t="array" aca="1" ref="DN323" ca="1">INDEX(_xlfn.ANCHORARRAY($CP$15), 1 + INT((ROWS($DO$15:$DO323) - 1) / ROWS(_xlfn.ANCHORARRAY($CP$15))))</f>
        <v>19</v>
      </c>
      <c r="DO323" cm="1">
        <f t="array" aca="1" ref="DO323" ca="1">INDEX(_xlfn.ANCHORARRAY($CP$15),1+MOD(ROWS($DO$15:$DO323)-1,ROWS(_xlfn.ANCHORARRAY($CP$15))))</f>
        <v>4</v>
      </c>
      <c r="DP323" s="10" cm="1">
        <f t="array" aca="1" ref="DP323" ca="1">(1-$B$18)*SUMPRODUCT(OFFSET($BO$15,0,0,$B$14,1), 1*(_xlfn._xlws.FILTER(OFFSET($O$15,0,$DN323,$B$8,1),OFFSET($M$15,0,0,$B$8,1))=DP$13), 1*(_xlfn._xlws.FILTER(OFFSET($O$15,0,$DO323,$B$8,1),OFFSET($M$15,0,0,$B$8,1))=DP$14))   /   SUM(OFFSET($BO$15,0,0,$B$14,1)) + $B$18/($B$19*$B$19*($DN323&lt;&gt;$DO323) + $B$19*($DN323=$DO323))</f>
        <v>3.7037037037037035E-4</v>
      </c>
      <c r="DQ323" s="10" cm="1">
        <f t="array" aca="1" ref="DQ323" ca="1">(1-$B$18)*SUMPRODUCT(OFFSET($BO$15,0,0,$B$14,1), 1*(_xlfn._xlws.FILTER(OFFSET($O$15,0,$DN323,$B$8,1),OFFSET($M$15,0,0,$B$8,1))=DQ$13), 1*(_xlfn._xlws.FILTER(OFFSET($O$15,0,$DO323,$B$8,1),OFFSET($M$15,0,0,$B$8,1))=DQ$14))   /   SUM(OFFSET($BO$15,0,0,$B$14,1)) + $B$18/($B$19*$B$19*($DN323&lt;&gt;$DO323) + $B$19*($DN323=$DO323))</f>
        <v>3.7037037037037035E-4</v>
      </c>
      <c r="DR323" s="10" cm="1">
        <f t="array" aca="1" ref="DR323" ca="1">(1-$B$18)*SUMPRODUCT(OFFSET($BO$15,0,0,$B$14,1), 1*(_xlfn._xlws.FILTER(OFFSET($O$15,0,$DN323,$B$8,1),OFFSET($M$15,0,0,$B$8,1))=DR$13), 1*(_xlfn._xlws.FILTER(OFFSET($O$15,0,$DO323,$B$8,1),OFFSET($M$15,0,0,$B$8,1))=DR$14))   /   SUM(OFFSET($BO$15,0,0,$B$14,1)) + $B$18/($B$19*$B$19*($DN323&lt;&gt;$DO323) + $B$19*($DN323=$DO323))</f>
        <v>3.7037037037037035E-4</v>
      </c>
      <c r="DS323" s="10" cm="1">
        <f t="array" aca="1" ref="DS323" ca="1">(1-$B$18)*SUMPRODUCT(OFFSET($BO$15,0,0,$B$14,1), 1*(_xlfn._xlws.FILTER(OFFSET($O$15,0,$DN323,$B$8,1),OFFSET($M$15,0,0,$B$8,1))=DS$13), 1*(_xlfn._xlws.FILTER(OFFSET($O$15,0,$DO323,$B$8,1),OFFSET($M$15,0,0,$B$8,1))=DS$14))   /   SUM(OFFSET($BO$15,0,0,$B$14,1)) + $B$18/($B$19*$B$19*($DN323&lt;&gt;$DO323) + $B$19*($DN323=$DO323))</f>
        <v>3.7037037037037035E-4</v>
      </c>
      <c r="DT323" s="10" cm="1">
        <f t="array" aca="1" ref="DT323" ca="1">(1-$B$18)*SUMPRODUCT(OFFSET($BO$15,0,0,$B$14,1), 1*(_xlfn._xlws.FILTER(OFFSET($O$15,0,$DN323,$B$8,1),OFFSET($M$15,0,0,$B$8,1))=DT$13), 1*(_xlfn._xlws.FILTER(OFFSET($O$15,0,$DO323,$B$8,1),OFFSET($M$15,0,0,$B$8,1))=DT$14))   /   SUM(OFFSET($BO$15,0,0,$B$14,1)) + $B$18/($B$19*$B$19*($DN323&lt;&gt;$DO323) + $B$19*($DN323=$DO323))</f>
        <v>3.7037037037037035E-4</v>
      </c>
      <c r="DU323" s="10" cm="1">
        <f t="array" aca="1" ref="DU323" ca="1">(1-$B$18)*SUMPRODUCT(OFFSET($BO$15,0,0,$B$14,1), 1*(_xlfn._xlws.FILTER(OFFSET($O$15,0,$DN323,$B$8,1),OFFSET($M$15,0,0,$B$8,1))=DU$13), 1*(_xlfn._xlws.FILTER(OFFSET($O$15,0,$DO323,$B$8,1),OFFSET($M$15,0,0,$B$8,1))=DU$14))   /   SUM(OFFSET($BO$15,0,0,$B$14,1)) + $B$18/($B$19*$B$19*($DN323&lt;&gt;$DO323) + $B$19*($DN323=$DO323))</f>
        <v>3.7037037037037035E-4</v>
      </c>
      <c r="DV323" s="10" cm="1">
        <f t="array" aca="1" ref="DV323" ca="1">(1-$B$18)*SUMPRODUCT(OFFSET($BO$15,0,0,$B$14,1), 1*(_xlfn._xlws.FILTER(OFFSET($O$15,0,$DN323,$B$8,1),OFFSET($M$15,0,0,$B$8,1))=DV$13), 1*(_xlfn._xlws.FILTER(OFFSET($O$15,0,$DO323,$B$8,1),OFFSET($M$15,0,0,$B$8,1))=DV$14))   /   SUM(OFFSET($BO$15,0,0,$B$14,1)) + $B$18/($B$19*$B$19*($DN323&lt;&gt;$DO323) + $B$19*($DN323=$DO323))</f>
        <v>3.7037037037037035E-4</v>
      </c>
      <c r="DW323" s="10" cm="1">
        <f t="array" aca="1" ref="DW323" ca="1">(1-$B$18)*SUMPRODUCT(OFFSET($BO$15,0,0,$B$14,1), 1*(_xlfn._xlws.FILTER(OFFSET($O$15,0,$DN323,$B$8,1),OFFSET($M$15,0,0,$B$8,1))=DW$13), 1*(_xlfn._xlws.FILTER(OFFSET($O$15,0,$DO323,$B$8,1),OFFSET($M$15,0,0,$B$8,1))=DW$14))   /   SUM(OFFSET($BO$15,0,0,$B$14,1)) + $B$18/($B$19*$B$19*($DN323&lt;&gt;$DO323) + $B$19*($DN323=$DO323))</f>
        <v>3.7037037037037035E-4</v>
      </c>
      <c r="DX323" s="10" cm="1">
        <f t="array" aca="1" ref="DX323" ca="1">(1-$B$18)*SUMPRODUCT(OFFSET($BO$15,0,0,$B$14,1), 1*(_xlfn._xlws.FILTER(OFFSET($O$15,0,$DN323,$B$8,1),OFFSET($M$15,0,0,$B$8,1))=DX$13), 1*(_xlfn._xlws.FILTER(OFFSET($O$15,0,$DO323,$B$8,1),OFFSET($M$15,0,0,$B$8,1))=DX$14))   /   SUM(OFFSET($BO$15,0,0,$B$14,1)) + $B$18/($B$19*$B$19*($DN323&lt;&gt;$DO323) + $B$19*($DN323=$DO323))</f>
        <v>3.7037037037037035E-4</v>
      </c>
      <c r="DY323" s="10" cm="1">
        <f t="array" aca="1" ref="DY323" ca="1">(1-$B$18)*SUMPRODUCT(OFFSET($BO$15,0,0,$B$14,1), 1*(_xlfn._xlws.FILTER(OFFSET($O$15,0,$DN323,$B$8,1),OFFSET($M$15,0,0,$B$8,1))=DY$13), 1*(_xlfn._xlws.FILTER(OFFSET($O$15,0,$DO323,$B$8,1),OFFSET($M$15,0,0,$B$8,1))=DY$14))   /   SUM(OFFSET($BO$15,0,0,$B$14,1)) + $B$18/($B$19*$B$19*($DN323&lt;&gt;$DO323) + $B$19*($DN323=$DO323))</f>
        <v>3.7037037037037035E-4</v>
      </c>
      <c r="DZ323" s="10" cm="1">
        <f t="array" aca="1" ref="DZ323" ca="1">(1-$B$18)*SUMPRODUCT(OFFSET($BO$15,0,0,$B$14,1), 1*(_xlfn._xlws.FILTER(OFFSET($O$15,0,$DN323,$B$8,1),OFFSET($M$15,0,0,$B$8,1))=DZ$13), 1*(_xlfn._xlws.FILTER(OFFSET($O$15,0,$DO323,$B$8,1),OFFSET($M$15,0,0,$B$8,1))=DZ$14))   /   SUM(OFFSET($BO$15,0,0,$B$14,1)) + $B$18/($B$19*$B$19*($DN323&lt;&gt;$DO323) + $B$19*($DN323=$DO323))</f>
        <v>3.7037037037037035E-4</v>
      </c>
      <c r="EA323" s="10" cm="1">
        <f t="array" aca="1" ref="EA323" ca="1">(1-$B$18)*SUMPRODUCT(OFFSET($BO$15,0,0,$B$14,1), 1*(_xlfn._xlws.FILTER(OFFSET($O$15,0,$DN323,$B$8,1),OFFSET($M$15,0,0,$B$8,1))=EA$13), 1*(_xlfn._xlws.FILTER(OFFSET($O$15,0,$DO323,$B$8,1),OFFSET($M$15,0,0,$B$8,1))=EA$14))   /   SUM(OFFSET($BO$15,0,0,$B$14,1)) + $B$18/($B$19*$B$19*($DN323&lt;&gt;$DO323) + $B$19*($DN323=$DO323))</f>
        <v>3.7037037037037035E-4</v>
      </c>
      <c r="EB323" s="10" cm="1">
        <f t="array" aca="1" ref="EB323" ca="1">(1-$B$18)*SUMPRODUCT(OFFSET($BO$15,0,0,$B$14,1), 1*(_xlfn._xlws.FILTER(OFFSET($O$15,0,$DN323,$B$8,1),OFFSET($M$15,0,0,$B$8,1))=EB$13), 1*(_xlfn._xlws.FILTER(OFFSET($O$15,0,$DO323,$B$8,1),OFFSET($M$15,0,0,$B$8,1))=EB$14))   /   SUM(OFFSET($BO$15,0,0,$B$14,1)) + $B$18/($B$19*$B$19*($DN323&lt;&gt;$DO323) + $B$19*($DN323=$DO323))</f>
        <v>3.7037037037037035E-4</v>
      </c>
      <c r="EC323" s="10" cm="1">
        <f t="array" aca="1" ref="EC323" ca="1">(1-$B$18)*SUMPRODUCT(OFFSET($BO$15,0,0,$B$14,1), 1*(_xlfn._xlws.FILTER(OFFSET($O$15,0,$DN323,$B$8,1),OFFSET($M$15,0,0,$B$8,1))=EC$13), 1*(_xlfn._xlws.FILTER(OFFSET($O$15,0,$DO323,$B$8,1),OFFSET($M$15,0,0,$B$8,1))=EC$14))   /   SUM(OFFSET($BO$15,0,0,$B$14,1)) + $B$18/($B$19*$B$19*($DN323&lt;&gt;$DO323) + $B$19*($DN323=$DO323))</f>
        <v>3.7037037037037035E-4</v>
      </c>
      <c r="ED323" s="10" cm="1">
        <f t="array" aca="1" ref="ED323" ca="1">(1-$B$18)*SUMPRODUCT(OFFSET($BO$15,0,0,$B$14,1), 1*(_xlfn._xlws.FILTER(OFFSET($O$15,0,$DN323,$B$8,1),OFFSET($M$15,0,0,$B$8,1))=ED$13), 1*(_xlfn._xlws.FILTER(OFFSET($O$15,0,$DO323,$B$8,1),OFFSET($M$15,0,0,$B$8,1))=ED$14))   /   SUM(OFFSET($BO$15,0,0,$B$14,1)) + $B$18/($B$19*$B$19*($DN323&lt;&gt;$DO323) + $B$19*($DN323=$DO323))</f>
        <v>3.7037037037037035E-4</v>
      </c>
      <c r="EE323" s="10" cm="1">
        <f t="array" aca="1" ref="EE323" ca="1">(1-$B$18)*SUMPRODUCT(OFFSET($BO$15,0,0,$B$14,1), 1*(_xlfn._xlws.FILTER(OFFSET($O$15,0,$DN323,$B$8,1),OFFSET($M$15,0,0,$B$8,1))=EE$13), 1*(_xlfn._xlws.FILTER(OFFSET($O$15,0,$DO323,$B$8,1),OFFSET($M$15,0,0,$B$8,1))=EE$14))   /   SUM(OFFSET($BO$15,0,0,$B$14,1)) + $B$18/($B$19*$B$19*($DN323&lt;&gt;$DO323) + $B$19*($DN323=$DO323))</f>
        <v>3.7037037037037035E-4</v>
      </c>
      <c r="EF323" s="10" cm="1">
        <f t="array" aca="1" ref="EF323" ca="1">(1-$B$18)*SUMPRODUCT(OFFSET($BO$15,0,0,$B$14,1), 1*(_xlfn._xlws.FILTER(OFFSET($O$15,0,$DN323,$B$8,1),OFFSET($M$15,0,0,$B$8,1))=EF$13), 1*(_xlfn._xlws.FILTER(OFFSET($O$15,0,$DO323,$B$8,1),OFFSET($M$15,0,0,$B$8,1))=EF$14))   /   SUM(OFFSET($BO$15,0,0,$B$14,1)) + $B$18/($B$19*$B$19*($DN323&lt;&gt;$DO323) + $B$19*($DN323=$DO323))</f>
        <v>3.7037037037037035E-4</v>
      </c>
      <c r="EG323" s="10" cm="1">
        <f t="array" aca="1" ref="EG323" ca="1">(1-$B$18)*SUMPRODUCT(OFFSET($BO$15,0,0,$B$14,1), 1*(_xlfn._xlws.FILTER(OFFSET($O$15,0,$DN323,$B$8,1),OFFSET($M$15,0,0,$B$8,1))=EG$13), 1*(_xlfn._xlws.FILTER(OFFSET($O$15,0,$DO323,$B$8,1),OFFSET($M$15,0,0,$B$8,1))=EG$14))   /   SUM(OFFSET($BO$15,0,0,$B$14,1)) + $B$18/($B$19*$B$19*($DN323&lt;&gt;$DO323) + $B$19*($DN323=$DO323))</f>
        <v>3.7037037037037035E-4</v>
      </c>
      <c r="EH323" s="10" cm="1">
        <f t="array" aca="1" ref="EH323" ca="1">(1-$B$18)*SUMPRODUCT(OFFSET($BO$15,0,0,$B$14,1), 1*(_xlfn._xlws.FILTER(OFFSET($O$15,0,$DN323,$B$8,1),OFFSET($M$15,0,0,$B$8,1))=EH$13), 1*(_xlfn._xlws.FILTER(OFFSET($O$15,0,$DO323,$B$8,1),OFFSET($M$15,0,0,$B$8,1))=EH$14))   /   SUM(OFFSET($BO$15,0,0,$B$14,1)) + $B$18/($B$19*$B$19*($DN323&lt;&gt;$DO323) + $B$19*($DN323=$DO323))</f>
        <v>3.7037037037037035E-4</v>
      </c>
      <c r="EI323" s="10" cm="1">
        <f t="array" aca="1" ref="EI323" ca="1">(1-$B$18)*SUMPRODUCT(OFFSET($BO$15,0,0,$B$14,1), 1*(_xlfn._xlws.FILTER(OFFSET($O$15,0,$DN323,$B$8,1),OFFSET($M$15,0,0,$B$8,1))=EI$13), 1*(_xlfn._xlws.FILTER(OFFSET($O$15,0,$DO323,$B$8,1),OFFSET($M$15,0,0,$B$8,1))=EI$14))   /   SUM(OFFSET($BO$15,0,0,$B$14,1)) + $B$18/($B$19*$B$19*($DN323&lt;&gt;$DO323) + $B$19*($DN323=$DO323))</f>
        <v>3.7037037037037035E-4</v>
      </c>
      <c r="EJ323" s="10" cm="1">
        <f t="array" aca="1" ref="EJ323" ca="1">(1-$B$18)*SUMPRODUCT(OFFSET($BO$15,0,0,$B$14,1), 1*(_xlfn._xlws.FILTER(OFFSET($O$15,0,$DN323,$B$8,1),OFFSET($M$15,0,0,$B$8,1))=EJ$13), 1*(_xlfn._xlws.FILTER(OFFSET($O$15,0,$DO323,$B$8,1),OFFSET($M$15,0,0,$B$8,1))=EJ$14))   /   SUM(OFFSET($BO$15,0,0,$B$14,1)) + $B$18/($B$19*$B$19*($DN323&lt;&gt;$DO323) + $B$19*($DN323=$DO323))</f>
        <v>3.7037037037037035E-4</v>
      </c>
      <c r="EK323" s="10" cm="1">
        <f t="array" aca="1" ref="EK323" ca="1">(1-$B$18)*SUMPRODUCT(OFFSET($BO$15,0,0,$B$14,1), 1*(_xlfn._xlws.FILTER(OFFSET($O$15,0,$DN323,$B$8,1),OFFSET($M$15,0,0,$B$8,1))=EK$13), 1*(_xlfn._xlws.FILTER(OFFSET($O$15,0,$DO323,$B$8,1),OFFSET($M$15,0,0,$B$8,1))=EK$14))   /   SUM(OFFSET($BO$15,0,0,$B$14,1)) + $B$18/($B$19*$B$19*($DN323&lt;&gt;$DO323) + $B$19*($DN323=$DO323))</f>
        <v>3.7037037037037035E-4</v>
      </c>
      <c r="EL323" s="10" cm="1">
        <f t="array" aca="1" ref="EL323" ca="1">(1-$B$18)*SUMPRODUCT(OFFSET($BO$15,0,0,$B$14,1), 1*(_xlfn._xlws.FILTER(OFFSET($O$15,0,$DN323,$B$8,1),OFFSET($M$15,0,0,$B$8,1))=EL$13), 1*(_xlfn._xlws.FILTER(OFFSET($O$15,0,$DO323,$B$8,1),OFFSET($M$15,0,0,$B$8,1))=EL$14))   /   SUM(OFFSET($BO$15,0,0,$B$14,1)) + $B$18/($B$19*$B$19*($DN323&lt;&gt;$DO323) + $B$19*($DN323=$DO323))</f>
        <v>3.7037037037037035E-4</v>
      </c>
      <c r="EM323" s="10" cm="1">
        <f t="array" aca="1" ref="EM323" ca="1">(1-$B$18)*SUMPRODUCT(OFFSET($BO$15,0,0,$B$14,1), 1*(_xlfn._xlws.FILTER(OFFSET($O$15,0,$DN323,$B$8,1),OFFSET($M$15,0,0,$B$8,1))=EM$13), 1*(_xlfn._xlws.FILTER(OFFSET($O$15,0,$DO323,$B$8,1),OFFSET($M$15,0,0,$B$8,1))=EM$14))   /   SUM(OFFSET($BO$15,0,0,$B$14,1)) + $B$18/($B$19*$B$19*($DN323&lt;&gt;$DO323) + $B$19*($DN323=$DO323))</f>
        <v>3.7037037037037035E-4</v>
      </c>
      <c r="EN323" s="10" cm="1">
        <f t="array" aca="1" ref="EN323" ca="1">(1-$B$18)*SUMPRODUCT(OFFSET($BO$15,0,0,$B$14,1), 1*(_xlfn._xlws.FILTER(OFFSET($O$15,0,$DN323,$B$8,1),OFFSET($M$15,0,0,$B$8,1))=EN$13), 1*(_xlfn._xlws.FILTER(OFFSET($O$15,0,$DO323,$B$8,1),OFFSET($M$15,0,0,$B$8,1))=EN$14))   /   SUM(OFFSET($BO$15,0,0,$B$14,1)) + $B$18/($B$19*$B$19*($DN323&lt;&gt;$DO323) + $B$19*($DN323=$DO323))</f>
        <v>3.7037037037037035E-4</v>
      </c>
      <c r="EO323" s="10" cm="1">
        <f t="array" aca="1" ref="EO323" ca="1">(1-$B$18)*SUMPRODUCT(OFFSET($BO$15,0,0,$B$14,1), 1*(_xlfn._xlws.FILTER(OFFSET($O$15,0,$DN323,$B$8,1),OFFSET($M$15,0,0,$B$8,1))=EO$13), 1*(_xlfn._xlws.FILTER(OFFSET($O$15,0,$DO323,$B$8,1),OFFSET($M$15,0,0,$B$8,1))=EO$14))   /   SUM(OFFSET($BO$15,0,0,$B$14,1)) + $B$18/($B$19*$B$19*($DN323&lt;&gt;$DO323) + $B$19*($DN323=$DO323))</f>
        <v>3.7037037037037035E-4</v>
      </c>
      <c r="EP323" s="10" cm="1">
        <f t="array" aca="1" ref="EP323" ca="1">(1-$B$18)*SUMPRODUCT(OFFSET($BO$15,0,0,$B$14,1), 1*(_xlfn._xlws.FILTER(OFFSET($O$15,0,$DN323,$B$8,1),OFFSET($M$15,0,0,$B$8,1))=EP$13), 1*(_xlfn._xlws.FILTER(OFFSET($O$15,0,$DO323,$B$8,1),OFFSET($M$15,0,0,$B$8,1))=EP$14))   /   SUM(OFFSET($BO$15,0,0,$B$14,1)) + $B$18/($B$19*$B$19*($DN323&lt;&gt;$DO323) + $B$19*($DN323=$DO323))</f>
        <v>3.7037037037037035E-4</v>
      </c>
      <c r="EQ323" s="10" cm="1">
        <f t="array" aca="1" ref="EQ323" ca="1">(1-$B$18)*SUMPRODUCT(OFFSET($BO$15,0,0,$B$14,1), 1*(_xlfn._xlws.FILTER(OFFSET($O$15,0,$DN323,$B$8,1),OFFSET($M$15,0,0,$B$8,1))=EQ$13), 1*(_xlfn._xlws.FILTER(OFFSET($O$15,0,$DO323,$B$8,1),OFFSET($M$15,0,0,$B$8,1))=EQ$14))   /   SUM(OFFSET($BO$15,0,0,$B$14,1)) + $B$18/($B$19*$B$19*($DN323&lt;&gt;$DO323) + $B$19*($DN323=$DO323))</f>
        <v>3.7037037037037035E-4</v>
      </c>
      <c r="ER323" s="10" cm="1">
        <f t="array" aca="1" ref="ER323" ca="1">(1-$B$18)*SUMPRODUCT(OFFSET($BO$15,0,0,$B$14,1), 1*(_xlfn._xlws.FILTER(OFFSET($O$15,0,$DN323,$B$8,1),OFFSET($M$15,0,0,$B$8,1))=ER$13), 1*(_xlfn._xlws.FILTER(OFFSET($O$15,0,$DO323,$B$8,1),OFFSET($M$15,0,0,$B$8,1))=ER$14))   /   SUM(OFFSET($BO$15,0,0,$B$14,1)) + $B$18/($B$19*$B$19*($DN323&lt;&gt;$DO323) + $B$19*($DN323=$DO323))</f>
        <v>3.7037037037037035E-4</v>
      </c>
      <c r="ES323" s="10" cm="1">
        <f t="array" aca="1" ref="ES323" ca="1">(1-$B$18)*SUMPRODUCT(OFFSET($BO$15,0,0,$B$14,1), 1*(_xlfn._xlws.FILTER(OFFSET($O$15,0,$DN323,$B$8,1),OFFSET($M$15,0,0,$B$8,1))=ES$13), 1*(_xlfn._xlws.FILTER(OFFSET($O$15,0,$DO323,$B$8,1),OFFSET($M$15,0,0,$B$8,1))=ES$14))   /   SUM(OFFSET($BO$15,0,0,$B$14,1)) + $B$18/($B$19*$B$19*($DN323&lt;&gt;$DO323) + $B$19*($DN323=$DO323))</f>
        <v>3.7037037037037035E-4</v>
      </c>
      <c r="ET323" s="10" cm="1">
        <f t="array" aca="1" ref="ET323" ca="1">(1-$B$18)*SUMPRODUCT(OFFSET($BO$15,0,0,$B$14,1), 1*(_xlfn._xlws.FILTER(OFFSET($O$15,0,$DN323,$B$8,1),OFFSET($M$15,0,0,$B$8,1))=ET$13), 1*(_xlfn._xlws.FILTER(OFFSET($O$15,0,$DO323,$B$8,1),OFFSET($M$15,0,0,$B$8,1))=ET$14))   /   SUM(OFFSET($BO$15,0,0,$B$14,1)) + $B$18/($B$19*$B$19*($DN323&lt;&gt;$DO323) + $B$19*($DN323=$DO323))</f>
        <v>0.97037037037037033</v>
      </c>
      <c r="EU323" s="10" cm="1">
        <f t="array" aca="1" ref="EU323" ca="1">(1-$B$18)*SUMPRODUCT(OFFSET($BO$15,0,0,$B$14,1), 1*(_xlfn._xlws.FILTER(OFFSET($O$15,0,$DN323,$B$8,1),OFFSET($M$15,0,0,$B$8,1))=EU$13), 1*(_xlfn._xlws.FILTER(OFFSET($O$15,0,$DO323,$B$8,1),OFFSET($M$15,0,0,$B$8,1))=EU$14))   /   SUM(OFFSET($BO$15,0,0,$B$14,1)) + $B$18/($B$19*$B$19*($DN323&lt;&gt;$DO323) + $B$19*($DN323=$DO323))</f>
        <v>3.7037037037037035E-4</v>
      </c>
      <c r="EV323" s="10" cm="1">
        <f t="array" aca="1" ref="EV323" ca="1">(1-$B$18)*SUMPRODUCT(OFFSET($BO$15,0,0,$B$14,1), 1*(_xlfn._xlws.FILTER(OFFSET($O$15,0,$DN323,$B$8,1),OFFSET($M$15,0,0,$B$8,1))=EV$13), 1*(_xlfn._xlws.FILTER(OFFSET($O$15,0,$DO323,$B$8,1),OFFSET($M$15,0,0,$B$8,1))=EV$14))   /   SUM(OFFSET($BO$15,0,0,$B$14,1)) + $B$18/($B$19*$B$19*($DN323&lt;&gt;$DO323) + $B$19*($DN323=$DO323))</f>
        <v>3.7037037037037035E-4</v>
      </c>
      <c r="EW323" s="10" cm="1">
        <f t="array" aca="1" ref="EW323" ca="1">(1-$B$18)*SUMPRODUCT(OFFSET($BO$15,0,0,$B$14,1), 1*(_xlfn._xlws.FILTER(OFFSET($O$15,0,$DN323,$B$8,1),OFFSET($M$15,0,0,$B$8,1))=EW$13), 1*(_xlfn._xlws.FILTER(OFFSET($O$15,0,$DO323,$B$8,1),OFFSET($M$15,0,0,$B$8,1))=EW$14))   /   SUM(OFFSET($BO$15,0,0,$B$14,1)) + $B$18/($B$19*$B$19*($DN323&lt;&gt;$DO323) + $B$19*($DN323=$DO323))</f>
        <v>3.7037037037037035E-4</v>
      </c>
      <c r="EX323" s="10" cm="1">
        <f t="array" aca="1" ref="EX323" ca="1">(1-$B$18)*SUMPRODUCT(OFFSET($BO$15,0,0,$B$14,1), 1*(_xlfn._xlws.FILTER(OFFSET($O$15,0,$DN323,$B$8,1),OFFSET($M$15,0,0,$B$8,1))=EX$13), 1*(_xlfn._xlws.FILTER(OFFSET($O$15,0,$DO323,$B$8,1),OFFSET($M$15,0,0,$B$8,1))=EX$14))   /   SUM(OFFSET($BO$15,0,0,$B$14,1)) + $B$18/($B$19*$B$19*($DN323&lt;&gt;$DO323) + $B$19*($DN323=$DO323))</f>
        <v>3.7037037037037035E-4</v>
      </c>
      <c r="EY323" s="10" cm="1">
        <f t="array" aca="1" ref="EY323" ca="1">(1-$B$18)*SUMPRODUCT(OFFSET($BO$15,0,0,$B$14,1), 1*(_xlfn._xlws.FILTER(OFFSET($O$15,0,$DN323,$B$8,1),OFFSET($M$15,0,0,$B$8,1))=EY$13), 1*(_xlfn._xlws.FILTER(OFFSET($O$15,0,$DO323,$B$8,1),OFFSET($M$15,0,0,$B$8,1))=EY$14))   /   SUM(OFFSET($BO$15,0,0,$B$14,1)) + $B$18/($B$19*$B$19*($DN323&lt;&gt;$DO323) + $B$19*($DN323=$DO323))</f>
        <v>3.7037037037037035E-4</v>
      </c>
      <c r="EZ323" s="10" cm="1">
        <f t="array" aca="1" ref="EZ323" ca="1">(1-$B$18)*SUMPRODUCT(OFFSET($BO$15,0,0,$B$14,1), 1*(_xlfn._xlws.FILTER(OFFSET($O$15,0,$DN323,$B$8,1),OFFSET($M$15,0,0,$B$8,1))=EZ$13), 1*(_xlfn._xlws.FILTER(OFFSET($O$15,0,$DO323,$B$8,1),OFFSET($M$15,0,0,$B$8,1))=EZ$14))   /   SUM(OFFSET($BO$15,0,0,$B$14,1)) + $B$18/($B$19*$B$19*($DN323&lt;&gt;$DO323) + $B$19*($DN323=$DO323))</f>
        <v>3.7037037037037035E-4</v>
      </c>
      <c r="FA323" s="10" cm="1">
        <f t="array" aca="1" ref="FA323" ca="1">(1-$B$18)*SUMPRODUCT(OFFSET($BO$15,0,0,$B$14,1), 1*(_xlfn._xlws.FILTER(OFFSET($O$15,0,$DN323,$B$8,1),OFFSET($M$15,0,0,$B$8,1))=FA$13), 1*(_xlfn._xlws.FILTER(OFFSET($O$15,0,$DO323,$B$8,1),OFFSET($M$15,0,0,$B$8,1))=FA$14))   /   SUM(OFFSET($BO$15,0,0,$B$14,1)) + $B$18/($B$19*$B$19*($DN323&lt;&gt;$DO323) + $B$19*($DN323=$DO323))</f>
        <v>3.7037037037037035E-4</v>
      </c>
      <c r="FB323" s="10" cm="1">
        <f t="array" aca="1" ref="FB323" ca="1">(1-$B$18)*SUMPRODUCT(OFFSET($BO$15,0,0,$B$14,1), 1*(_xlfn._xlws.FILTER(OFFSET($O$15,0,$DN323,$B$8,1),OFFSET($M$15,0,0,$B$8,1))=FB$13), 1*(_xlfn._xlws.FILTER(OFFSET($O$15,0,$DO323,$B$8,1),OFFSET($M$15,0,0,$B$8,1))=FB$14))   /   SUM(OFFSET($BO$15,0,0,$B$14,1)) + $B$18/($B$19*$B$19*($DN323&lt;&gt;$DO323) + $B$19*($DN323=$DO323))</f>
        <v>3.7037037037037035E-4</v>
      </c>
      <c r="FC323" s="10" cm="1">
        <f t="array" aca="1" ref="FC323" ca="1">(1-$B$18)*SUMPRODUCT(OFFSET($BO$15,0,0,$B$14,1), 1*(_xlfn._xlws.FILTER(OFFSET($O$15,0,$DN323,$B$8,1),OFFSET($M$15,0,0,$B$8,1))=FC$13), 1*(_xlfn._xlws.FILTER(OFFSET($O$15,0,$DO323,$B$8,1),OFFSET($M$15,0,0,$B$8,1))=FC$14))   /   SUM(OFFSET($BO$15,0,0,$B$14,1)) + $B$18/($B$19*$B$19*($DN323&lt;&gt;$DO323) + $B$19*($DN323=$DO323))</f>
        <v>3.7037037037037035E-4</v>
      </c>
      <c r="FD323" s="10" cm="1">
        <f t="array" aca="1" ref="FD323" ca="1">(1-$B$18)*SUMPRODUCT(OFFSET($BO$15,0,0,$B$14,1), 1*(_xlfn._xlws.FILTER(OFFSET($O$15,0,$DN323,$B$8,1),OFFSET($M$15,0,0,$B$8,1))=FD$13), 1*(_xlfn._xlws.FILTER(OFFSET($O$15,0,$DO323,$B$8,1),OFFSET($M$15,0,0,$B$8,1))=FD$14))   /   SUM(OFFSET($BO$15,0,0,$B$14,1)) + $B$18/($B$19*$B$19*($DN323&lt;&gt;$DO323) + $B$19*($DN323=$DO323))</f>
        <v>3.7037037037037035E-4</v>
      </c>
      <c r="FE323" s="10" cm="1">
        <f t="array" aca="1" ref="FE323" ca="1">(1-$B$18)*SUMPRODUCT(OFFSET($BO$15,0,0,$B$14,1), 1*(_xlfn._xlws.FILTER(OFFSET($O$15,0,$DN323,$B$8,1),OFFSET($M$15,0,0,$B$8,1))=FE$13), 1*(_xlfn._xlws.FILTER(OFFSET($O$15,0,$DO323,$B$8,1),OFFSET($M$15,0,0,$B$8,1))=FE$14))   /   SUM(OFFSET($BO$15,0,0,$B$14,1)) + $B$18/($B$19*$B$19*($DN323&lt;&gt;$DO323) + $B$19*($DN323=$DO323))</f>
        <v>3.7037037037037035E-4</v>
      </c>
      <c r="FF323" s="10" cm="1">
        <f t="array" aca="1" ref="FF323" ca="1">(1-$B$18)*SUMPRODUCT(OFFSET($BO$15,0,0,$B$14,1), 1*(_xlfn._xlws.FILTER(OFFSET($O$15,0,$DN323,$B$8,1),OFFSET($M$15,0,0,$B$8,1))=FF$13), 1*(_xlfn._xlws.FILTER(OFFSET($O$15,0,$DO323,$B$8,1),OFFSET($M$15,0,0,$B$8,1))=FF$14))   /   SUM(OFFSET($BO$15,0,0,$B$14,1)) + $B$18/($B$19*$B$19*($DN323&lt;&gt;$DO323) + $B$19*($DN323=$DO323))</f>
        <v>3.7037037037037035E-4</v>
      </c>
      <c r="FG323" s="10" cm="1">
        <f t="array" aca="1" ref="FG323" ca="1">(1-$B$18)*SUMPRODUCT(OFFSET($BO$15,0,0,$B$14,1), 1*(_xlfn._xlws.FILTER(OFFSET($O$15,0,$DN323,$B$8,1),OFFSET($M$15,0,0,$B$8,1))=FG$13), 1*(_xlfn._xlws.FILTER(OFFSET($O$15,0,$DO323,$B$8,1),OFFSET($M$15,0,0,$B$8,1))=FG$14))   /   SUM(OFFSET($BO$15,0,0,$B$14,1)) + $B$18/($B$19*$B$19*($DN323&lt;&gt;$DO323) + $B$19*($DN323=$DO323))</f>
        <v>3.7037037037037035E-4</v>
      </c>
      <c r="FH323" s="10" cm="1">
        <f t="array" aca="1" ref="FH323" ca="1">(1-$B$18)*SUMPRODUCT(OFFSET($BO$15,0,0,$B$14,1), 1*(_xlfn._xlws.FILTER(OFFSET($O$15,0,$DN323,$B$8,1),OFFSET($M$15,0,0,$B$8,1))=FH$13), 1*(_xlfn._xlws.FILTER(OFFSET($O$15,0,$DO323,$B$8,1),OFFSET($M$15,0,0,$B$8,1))=FH$14))   /   SUM(OFFSET($BO$15,0,0,$B$14,1)) + $B$18/($B$19*$B$19*($DN323&lt;&gt;$DO323) + $B$19*($DN323=$DO323))</f>
        <v>3.7037037037037035E-4</v>
      </c>
      <c r="FI323" s="10" cm="1">
        <f t="array" aca="1" ref="FI323" ca="1">(1-$B$18)*SUMPRODUCT(OFFSET($BO$15,0,0,$B$14,1), 1*(_xlfn._xlws.FILTER(OFFSET($O$15,0,$DN323,$B$8,1),OFFSET($M$15,0,0,$B$8,1))=FI$13), 1*(_xlfn._xlws.FILTER(OFFSET($O$15,0,$DO323,$B$8,1),OFFSET($M$15,0,0,$B$8,1))=FI$14))   /   SUM(OFFSET($BO$15,0,0,$B$14,1)) + $B$18/($B$19*$B$19*($DN323&lt;&gt;$DO323) + $B$19*($DN323=$DO323))</f>
        <v>3.7037037037037035E-4</v>
      </c>
      <c r="FJ323" s="10" cm="1">
        <f t="array" aca="1" ref="FJ323" ca="1">(1-$B$18)*SUMPRODUCT(OFFSET($BO$15,0,0,$B$14,1), 1*(_xlfn._xlws.FILTER(OFFSET($O$15,0,$DN323,$B$8,1),OFFSET($M$15,0,0,$B$8,1))=FJ$13), 1*(_xlfn._xlws.FILTER(OFFSET($O$15,0,$DO323,$B$8,1),OFFSET($M$15,0,0,$B$8,1))=FJ$14))   /   SUM(OFFSET($BO$15,0,0,$B$14,1)) + $B$18/($B$19*$B$19*($DN323&lt;&gt;$DO323) + $B$19*($DN323=$DO323))</f>
        <v>3.7037037037037035E-4</v>
      </c>
      <c r="FK323" s="10" cm="1">
        <f t="array" aca="1" ref="FK323" ca="1">(1-$B$18)*SUMPRODUCT(OFFSET($BO$15,0,0,$B$14,1), 1*(_xlfn._xlws.FILTER(OFFSET($O$15,0,$DN323,$B$8,1),OFFSET($M$15,0,0,$B$8,1))=FK$13), 1*(_xlfn._xlws.FILTER(OFFSET($O$15,0,$DO323,$B$8,1),OFFSET($M$15,0,0,$B$8,1))=FK$14))   /   SUM(OFFSET($BO$15,0,0,$B$14,1)) + $B$18/($B$19*$B$19*($DN323&lt;&gt;$DO323) + $B$19*($DN323=$DO323))</f>
        <v>3.7037037037037035E-4</v>
      </c>
      <c r="FL323" s="10" cm="1">
        <f t="array" aca="1" ref="FL323" ca="1">(1-$B$18)*SUMPRODUCT(OFFSET($BO$15,0,0,$B$14,1), 1*(_xlfn._xlws.FILTER(OFFSET($O$15,0,$DN323,$B$8,1),OFFSET($M$15,0,0,$B$8,1))=FL$13), 1*(_xlfn._xlws.FILTER(OFFSET($O$15,0,$DO323,$B$8,1),OFFSET($M$15,0,0,$B$8,1))=FL$14))   /   SUM(OFFSET($BO$15,0,0,$B$14,1)) + $B$18/($B$19*$B$19*($DN323&lt;&gt;$DO323) + $B$19*($DN323=$DO323))</f>
        <v>3.7037037037037035E-4</v>
      </c>
      <c r="FM323" s="10" cm="1">
        <f t="array" aca="1" ref="FM323" ca="1">(1-$B$18)*SUMPRODUCT(OFFSET($BO$15,0,0,$B$14,1), 1*(_xlfn._xlws.FILTER(OFFSET($O$15,0,$DN323,$B$8,1),OFFSET($M$15,0,0,$B$8,1))=FM$13), 1*(_xlfn._xlws.FILTER(OFFSET($O$15,0,$DO323,$B$8,1),OFFSET($M$15,0,0,$B$8,1))=FM$14))   /   SUM(OFFSET($BO$15,0,0,$B$14,1)) + $B$18/($B$19*$B$19*($DN323&lt;&gt;$DO323) + $B$19*($DN323=$DO323))</f>
        <v>3.7037037037037035E-4</v>
      </c>
      <c r="FN323" s="10" cm="1">
        <f t="array" aca="1" ref="FN323" ca="1">(1-$B$18)*SUMPRODUCT(OFFSET($BO$15,0,0,$B$14,1), 1*(_xlfn._xlws.FILTER(OFFSET($O$15,0,$DN323,$B$8,1),OFFSET($M$15,0,0,$B$8,1))=FN$13), 1*(_xlfn._xlws.FILTER(OFFSET($O$15,0,$DO323,$B$8,1),OFFSET($M$15,0,0,$B$8,1))=FN$14))   /   SUM(OFFSET($BO$15,0,0,$B$14,1)) + $B$18/($B$19*$B$19*($DN323&lt;&gt;$DO323) + $B$19*($DN323=$DO323))</f>
        <v>3.7037037037037035E-4</v>
      </c>
      <c r="FO323" s="10" cm="1">
        <f t="array" aca="1" ref="FO323" ca="1">(1-$B$18)*SUMPRODUCT(OFFSET($BO$15,0,0,$B$14,1), 1*(_xlfn._xlws.FILTER(OFFSET($O$15,0,$DN323,$B$8,1),OFFSET($M$15,0,0,$B$8,1))=FO$13), 1*(_xlfn._xlws.FILTER(OFFSET($O$15,0,$DO323,$B$8,1),OFFSET($M$15,0,0,$B$8,1))=FO$14))   /   SUM(OFFSET($BO$15,0,0,$B$14,1)) + $B$18/($B$19*$B$19*($DN323&lt;&gt;$DO323) + $B$19*($DN323=$DO323))</f>
        <v>3.7037037037037035E-4</v>
      </c>
      <c r="FP323" s="10" cm="1">
        <f t="array" aca="1" ref="FP323" ca="1">(1-$B$18)*SUMPRODUCT(OFFSET($BO$15,0,0,$B$14,1), 1*(_xlfn._xlws.FILTER(OFFSET($O$15,0,$DN323,$B$8,1),OFFSET($M$15,0,0,$B$8,1))=FP$13), 1*(_xlfn._xlws.FILTER(OFFSET($O$15,0,$DO323,$B$8,1),OFFSET($M$15,0,0,$B$8,1))=FP$14))   /   SUM(OFFSET($BO$15,0,0,$B$14,1)) + $B$18/($B$19*$B$19*($DN323&lt;&gt;$DO323) + $B$19*($DN323=$DO323))</f>
        <v>3.7037037037037035E-4</v>
      </c>
      <c r="FQ323" s="10" cm="1">
        <f t="array" aca="1" ref="FQ323" ca="1">(1-$B$18)*SUMPRODUCT(OFFSET($BO$15,0,0,$B$14,1), 1*(_xlfn._xlws.FILTER(OFFSET($O$15,0,$DN323,$B$8,1),OFFSET($M$15,0,0,$B$8,1))=FQ$13), 1*(_xlfn._xlws.FILTER(OFFSET($O$15,0,$DO323,$B$8,1),OFFSET($M$15,0,0,$B$8,1))=FQ$14))   /   SUM(OFFSET($BO$15,0,0,$B$14,1)) + $B$18/($B$19*$B$19*($DN323&lt;&gt;$DO323) + $B$19*($DN323=$DO323))</f>
        <v>3.7037037037037035E-4</v>
      </c>
      <c r="FR323" s="10" cm="1">
        <f t="array" aca="1" ref="FR323" ca="1">(1-$B$18)*SUMPRODUCT(OFFSET($BO$15,0,0,$B$14,1), 1*(_xlfn._xlws.FILTER(OFFSET($O$15,0,$DN323,$B$8,1),OFFSET($M$15,0,0,$B$8,1))=FR$13), 1*(_xlfn._xlws.FILTER(OFFSET($O$15,0,$DO323,$B$8,1),OFFSET($M$15,0,0,$B$8,1))=FR$14))   /   SUM(OFFSET($BO$15,0,0,$B$14,1)) + $B$18/($B$19*$B$19*($DN323&lt;&gt;$DO323) + $B$19*($DN323=$DO323))</f>
        <v>3.7037037037037035E-4</v>
      </c>
      <c r="FS323" s="10" cm="1">
        <f t="array" aca="1" ref="FS323" ca="1">(1-$B$18)*SUMPRODUCT(OFFSET($BO$15,0,0,$B$14,1), 1*(_xlfn._xlws.FILTER(OFFSET($O$15,0,$DN323,$B$8,1),OFFSET($M$15,0,0,$B$8,1))=FS$13), 1*(_xlfn._xlws.FILTER(OFFSET($O$15,0,$DO323,$B$8,1),OFFSET($M$15,0,0,$B$8,1))=FS$14))   /   SUM(OFFSET($BO$15,0,0,$B$14,1)) + $B$18/($B$19*$B$19*($DN323&lt;&gt;$DO323) + $B$19*($DN323=$DO323))</f>
        <v>3.7037037037037035E-4</v>
      </c>
      <c r="FT323" s="10" cm="1">
        <f t="array" aca="1" ref="FT323" ca="1">(1-$B$18)*SUMPRODUCT(OFFSET($BO$15,0,0,$B$14,1), 1*(_xlfn._xlws.FILTER(OFFSET($O$15,0,$DN323,$B$8,1),OFFSET($M$15,0,0,$B$8,1))=FT$13), 1*(_xlfn._xlws.FILTER(OFFSET($O$15,0,$DO323,$B$8,1),OFFSET($M$15,0,0,$B$8,1))=FT$14))   /   SUM(OFFSET($BO$15,0,0,$B$14,1)) + $B$18/($B$19*$B$19*($DN323&lt;&gt;$DO323) + $B$19*($DN323=$DO323))</f>
        <v>3.7037037037037035E-4</v>
      </c>
      <c r="FU323" s="10" cm="1">
        <f t="array" aca="1" ref="FU323" ca="1">(1-$B$18)*SUMPRODUCT(OFFSET($BO$15,0,0,$B$14,1), 1*(_xlfn._xlws.FILTER(OFFSET($O$15,0,$DN323,$B$8,1),OFFSET($M$15,0,0,$B$8,1))=FU$13), 1*(_xlfn._xlws.FILTER(OFFSET($O$15,0,$DO323,$B$8,1),OFFSET($M$15,0,0,$B$8,1))=FU$14))   /   SUM(OFFSET($BO$15,0,0,$B$14,1)) + $B$18/($B$19*$B$19*($DN323&lt;&gt;$DO323) + $B$19*($DN323=$DO323))</f>
        <v>3.7037037037037035E-4</v>
      </c>
      <c r="FV323" s="10" cm="1">
        <f t="array" aca="1" ref="FV323" ca="1">(1-$B$18)*SUMPRODUCT(OFFSET($BO$15,0,0,$B$14,1), 1*(_xlfn._xlws.FILTER(OFFSET($O$15,0,$DN323,$B$8,1),OFFSET($M$15,0,0,$B$8,1))=FV$13), 1*(_xlfn._xlws.FILTER(OFFSET($O$15,0,$DO323,$B$8,1),OFFSET($M$15,0,0,$B$8,1))=FV$14))   /   SUM(OFFSET($BO$15,0,0,$B$14,1)) + $B$18/($B$19*$B$19*($DN323&lt;&gt;$DO323) + $B$19*($DN323=$DO323))</f>
        <v>3.7037037037037035E-4</v>
      </c>
      <c r="FW323" s="10" cm="1">
        <f t="array" aca="1" ref="FW323" ca="1">(1-$B$18)*SUMPRODUCT(OFFSET($BO$15,0,0,$B$14,1), 1*(_xlfn._xlws.FILTER(OFFSET($O$15,0,$DN323,$B$8,1),OFFSET($M$15,0,0,$B$8,1))=FW$13), 1*(_xlfn._xlws.FILTER(OFFSET($O$15,0,$DO323,$B$8,1),OFFSET($M$15,0,0,$B$8,1))=FW$14))   /   SUM(OFFSET($BO$15,0,0,$B$14,1)) + $B$18/($B$19*$B$19*($DN323&lt;&gt;$DO323) + $B$19*($DN323=$DO323))</f>
        <v>3.7037037037037035E-4</v>
      </c>
      <c r="FX323" s="10" cm="1">
        <f t="array" aca="1" ref="FX323" ca="1">(1-$B$18)*SUMPRODUCT(OFFSET($BO$15,0,0,$B$14,1), 1*(_xlfn._xlws.FILTER(OFFSET($O$15,0,$DN323,$B$8,1),OFFSET($M$15,0,0,$B$8,1))=FX$13), 1*(_xlfn._xlws.FILTER(OFFSET($O$15,0,$DO323,$B$8,1),OFFSET($M$15,0,0,$B$8,1))=FX$14))   /   SUM(OFFSET($BO$15,0,0,$B$14,1)) + $B$18/($B$19*$B$19*($DN323&lt;&gt;$DO323) + $B$19*($DN323=$DO323))</f>
        <v>3.7037037037037035E-4</v>
      </c>
      <c r="FY323" s="10" cm="1">
        <f t="array" aca="1" ref="FY323" ca="1">(1-$B$18)*SUMPRODUCT(OFFSET($BO$15,0,0,$B$14,1), 1*(_xlfn._xlws.FILTER(OFFSET($O$15,0,$DN323,$B$8,1),OFFSET($M$15,0,0,$B$8,1))=FY$13), 1*(_xlfn._xlws.FILTER(OFFSET($O$15,0,$DO323,$B$8,1),OFFSET($M$15,0,0,$B$8,1))=FY$14))   /   SUM(OFFSET($BO$15,0,0,$B$14,1)) + $B$18/($B$19*$B$19*($DN323&lt;&gt;$DO323) + $B$19*($DN323=$DO323))</f>
        <v>3.7037037037037035E-4</v>
      </c>
      <c r="FZ323" s="10" cm="1">
        <f t="array" aca="1" ref="FZ323" ca="1">(1-$B$18)*SUMPRODUCT(OFFSET($BO$15,0,0,$B$14,1), 1*(_xlfn._xlws.FILTER(OFFSET($O$15,0,$DN323,$B$8,1),OFFSET($M$15,0,0,$B$8,1))=FZ$13), 1*(_xlfn._xlws.FILTER(OFFSET($O$15,0,$DO323,$B$8,1),OFFSET($M$15,0,0,$B$8,1))=FZ$14))   /   SUM(OFFSET($BO$15,0,0,$B$14,1)) + $B$18/($B$19*$B$19*($DN323&lt;&gt;$DO323) + $B$19*($DN323=$DO323))</f>
        <v>3.7037037037037035E-4</v>
      </c>
      <c r="GA323" s="10" cm="1">
        <f t="array" aca="1" ref="GA323" ca="1">(1-$B$18)*SUMPRODUCT(OFFSET($BO$15,0,0,$B$14,1), 1*(_xlfn._xlws.FILTER(OFFSET($O$15,0,$DN323,$B$8,1),OFFSET($M$15,0,0,$B$8,1))=GA$13), 1*(_xlfn._xlws.FILTER(OFFSET($O$15,0,$DO323,$B$8,1),OFFSET($M$15,0,0,$B$8,1))=GA$14))   /   SUM(OFFSET($BO$15,0,0,$B$14,1)) + $B$18/($B$19*$B$19*($DN323&lt;&gt;$DO323) + $B$19*($DN323=$DO323))</f>
        <v>3.7037037037037035E-4</v>
      </c>
    </row>
    <row r="324" spans="118:183" x14ac:dyDescent="0.2">
      <c r="DN324" cm="1">
        <f t="array" aca="1" ref="DN324" ca="1">INDEX(_xlfn.ANCHORARRAY($CP$15), 1 + INT((ROWS($DO$15:$DO324) - 1) / ROWS(_xlfn.ANCHORARRAY($CP$15))))</f>
        <v>19</v>
      </c>
      <c r="DO324" cm="1">
        <f t="array" aca="1" ref="DO324" ca="1">INDEX(_xlfn.ANCHORARRAY($CP$15),1+MOD(ROWS($DO$15:$DO324)-1,ROWS(_xlfn.ANCHORARRAY($CP$15))))</f>
        <v>5</v>
      </c>
      <c r="DP324" s="10" cm="1">
        <f t="array" aca="1" ref="DP324" ca="1">(1-$B$18)*SUMPRODUCT(OFFSET($BO$15,0,0,$B$14,1), 1*(_xlfn._xlws.FILTER(OFFSET($O$15,0,$DN324,$B$8,1),OFFSET($M$15,0,0,$B$8,1))=DP$13), 1*(_xlfn._xlws.FILTER(OFFSET($O$15,0,$DO324,$B$8,1),OFFSET($M$15,0,0,$B$8,1))=DP$14))   /   SUM(OFFSET($BO$15,0,0,$B$14,1)) + $B$18/($B$19*$B$19*($DN324&lt;&gt;$DO324) + $B$19*($DN324=$DO324))</f>
        <v>3.7037037037037035E-4</v>
      </c>
      <c r="DQ324" s="10" cm="1">
        <f t="array" aca="1" ref="DQ324" ca="1">(1-$B$18)*SUMPRODUCT(OFFSET($BO$15,0,0,$B$14,1), 1*(_xlfn._xlws.FILTER(OFFSET($O$15,0,$DN324,$B$8,1),OFFSET($M$15,0,0,$B$8,1))=DQ$13), 1*(_xlfn._xlws.FILTER(OFFSET($O$15,0,$DO324,$B$8,1),OFFSET($M$15,0,0,$B$8,1))=DQ$14))   /   SUM(OFFSET($BO$15,0,0,$B$14,1)) + $B$18/($B$19*$B$19*($DN324&lt;&gt;$DO324) + $B$19*($DN324=$DO324))</f>
        <v>3.7037037037037035E-4</v>
      </c>
      <c r="DR324" s="10" cm="1">
        <f t="array" aca="1" ref="DR324" ca="1">(1-$B$18)*SUMPRODUCT(OFFSET($BO$15,0,0,$B$14,1), 1*(_xlfn._xlws.FILTER(OFFSET($O$15,0,$DN324,$B$8,1),OFFSET($M$15,0,0,$B$8,1))=DR$13), 1*(_xlfn._xlws.FILTER(OFFSET($O$15,0,$DO324,$B$8,1),OFFSET($M$15,0,0,$B$8,1))=DR$14))   /   SUM(OFFSET($BO$15,0,0,$B$14,1)) + $B$18/($B$19*$B$19*($DN324&lt;&gt;$DO324) + $B$19*($DN324=$DO324))</f>
        <v>3.7037037037037035E-4</v>
      </c>
      <c r="DS324" s="10" cm="1">
        <f t="array" aca="1" ref="DS324" ca="1">(1-$B$18)*SUMPRODUCT(OFFSET($BO$15,0,0,$B$14,1), 1*(_xlfn._xlws.FILTER(OFFSET($O$15,0,$DN324,$B$8,1),OFFSET($M$15,0,0,$B$8,1))=DS$13), 1*(_xlfn._xlws.FILTER(OFFSET($O$15,0,$DO324,$B$8,1),OFFSET($M$15,0,0,$B$8,1))=DS$14))   /   SUM(OFFSET($BO$15,0,0,$B$14,1)) + $B$18/($B$19*$B$19*($DN324&lt;&gt;$DO324) + $B$19*($DN324=$DO324))</f>
        <v>3.7037037037037035E-4</v>
      </c>
      <c r="DT324" s="10" cm="1">
        <f t="array" aca="1" ref="DT324" ca="1">(1-$B$18)*SUMPRODUCT(OFFSET($BO$15,0,0,$B$14,1), 1*(_xlfn._xlws.FILTER(OFFSET($O$15,0,$DN324,$B$8,1),OFFSET($M$15,0,0,$B$8,1))=DT$13), 1*(_xlfn._xlws.FILTER(OFFSET($O$15,0,$DO324,$B$8,1),OFFSET($M$15,0,0,$B$8,1))=DT$14))   /   SUM(OFFSET($BO$15,0,0,$B$14,1)) + $B$18/($B$19*$B$19*($DN324&lt;&gt;$DO324) + $B$19*($DN324=$DO324))</f>
        <v>3.7037037037037035E-4</v>
      </c>
      <c r="DU324" s="10" cm="1">
        <f t="array" aca="1" ref="DU324" ca="1">(1-$B$18)*SUMPRODUCT(OFFSET($BO$15,0,0,$B$14,1), 1*(_xlfn._xlws.FILTER(OFFSET($O$15,0,$DN324,$B$8,1),OFFSET($M$15,0,0,$B$8,1))=DU$13), 1*(_xlfn._xlws.FILTER(OFFSET($O$15,0,$DO324,$B$8,1),OFFSET($M$15,0,0,$B$8,1))=DU$14))   /   SUM(OFFSET($BO$15,0,0,$B$14,1)) + $B$18/($B$19*$B$19*($DN324&lt;&gt;$DO324) + $B$19*($DN324=$DO324))</f>
        <v>3.7037037037037035E-4</v>
      </c>
      <c r="DV324" s="10" cm="1">
        <f t="array" aca="1" ref="DV324" ca="1">(1-$B$18)*SUMPRODUCT(OFFSET($BO$15,0,0,$B$14,1), 1*(_xlfn._xlws.FILTER(OFFSET($O$15,0,$DN324,$B$8,1),OFFSET($M$15,0,0,$B$8,1))=DV$13), 1*(_xlfn._xlws.FILTER(OFFSET($O$15,0,$DO324,$B$8,1),OFFSET($M$15,0,0,$B$8,1))=DV$14))   /   SUM(OFFSET($BO$15,0,0,$B$14,1)) + $B$18/($B$19*$B$19*($DN324&lt;&gt;$DO324) + $B$19*($DN324=$DO324))</f>
        <v>3.7037037037037035E-4</v>
      </c>
      <c r="DW324" s="10" cm="1">
        <f t="array" aca="1" ref="DW324" ca="1">(1-$B$18)*SUMPRODUCT(OFFSET($BO$15,0,0,$B$14,1), 1*(_xlfn._xlws.FILTER(OFFSET($O$15,0,$DN324,$B$8,1),OFFSET($M$15,0,0,$B$8,1))=DW$13), 1*(_xlfn._xlws.FILTER(OFFSET($O$15,0,$DO324,$B$8,1),OFFSET($M$15,0,0,$B$8,1))=DW$14))   /   SUM(OFFSET($BO$15,0,0,$B$14,1)) + $B$18/($B$19*$B$19*($DN324&lt;&gt;$DO324) + $B$19*($DN324=$DO324))</f>
        <v>3.7037037037037035E-4</v>
      </c>
      <c r="DX324" s="10" cm="1">
        <f t="array" aca="1" ref="DX324" ca="1">(1-$B$18)*SUMPRODUCT(OFFSET($BO$15,0,0,$B$14,1), 1*(_xlfn._xlws.FILTER(OFFSET($O$15,0,$DN324,$B$8,1),OFFSET($M$15,0,0,$B$8,1))=DX$13), 1*(_xlfn._xlws.FILTER(OFFSET($O$15,0,$DO324,$B$8,1),OFFSET($M$15,0,0,$B$8,1))=DX$14))   /   SUM(OFFSET($BO$15,0,0,$B$14,1)) + $B$18/($B$19*$B$19*($DN324&lt;&gt;$DO324) + $B$19*($DN324=$DO324))</f>
        <v>3.7037037037037035E-4</v>
      </c>
      <c r="DY324" s="10" cm="1">
        <f t="array" aca="1" ref="DY324" ca="1">(1-$B$18)*SUMPRODUCT(OFFSET($BO$15,0,0,$B$14,1), 1*(_xlfn._xlws.FILTER(OFFSET($O$15,0,$DN324,$B$8,1),OFFSET($M$15,0,0,$B$8,1))=DY$13), 1*(_xlfn._xlws.FILTER(OFFSET($O$15,0,$DO324,$B$8,1),OFFSET($M$15,0,0,$B$8,1))=DY$14))   /   SUM(OFFSET($BO$15,0,0,$B$14,1)) + $B$18/($B$19*$B$19*($DN324&lt;&gt;$DO324) + $B$19*($DN324=$DO324))</f>
        <v>3.7037037037037035E-4</v>
      </c>
      <c r="DZ324" s="10" cm="1">
        <f t="array" aca="1" ref="DZ324" ca="1">(1-$B$18)*SUMPRODUCT(OFFSET($BO$15,0,0,$B$14,1), 1*(_xlfn._xlws.FILTER(OFFSET($O$15,0,$DN324,$B$8,1),OFFSET($M$15,0,0,$B$8,1))=DZ$13), 1*(_xlfn._xlws.FILTER(OFFSET($O$15,0,$DO324,$B$8,1),OFFSET($M$15,0,0,$B$8,1))=DZ$14))   /   SUM(OFFSET($BO$15,0,0,$B$14,1)) + $B$18/($B$19*$B$19*($DN324&lt;&gt;$DO324) + $B$19*($DN324=$DO324))</f>
        <v>3.7037037037037035E-4</v>
      </c>
      <c r="EA324" s="10" cm="1">
        <f t="array" aca="1" ref="EA324" ca="1">(1-$B$18)*SUMPRODUCT(OFFSET($BO$15,0,0,$B$14,1), 1*(_xlfn._xlws.FILTER(OFFSET($O$15,0,$DN324,$B$8,1),OFFSET($M$15,0,0,$B$8,1))=EA$13), 1*(_xlfn._xlws.FILTER(OFFSET($O$15,0,$DO324,$B$8,1),OFFSET($M$15,0,0,$B$8,1))=EA$14))   /   SUM(OFFSET($BO$15,0,0,$B$14,1)) + $B$18/($B$19*$B$19*($DN324&lt;&gt;$DO324) + $B$19*($DN324=$DO324))</f>
        <v>3.7037037037037035E-4</v>
      </c>
      <c r="EB324" s="10" cm="1">
        <f t="array" aca="1" ref="EB324" ca="1">(1-$B$18)*SUMPRODUCT(OFFSET($BO$15,0,0,$B$14,1), 1*(_xlfn._xlws.FILTER(OFFSET($O$15,0,$DN324,$B$8,1),OFFSET($M$15,0,0,$B$8,1))=EB$13), 1*(_xlfn._xlws.FILTER(OFFSET($O$15,0,$DO324,$B$8,1),OFFSET($M$15,0,0,$B$8,1))=EB$14))   /   SUM(OFFSET($BO$15,0,0,$B$14,1)) + $B$18/($B$19*$B$19*($DN324&lt;&gt;$DO324) + $B$19*($DN324=$DO324))</f>
        <v>3.7037037037037035E-4</v>
      </c>
      <c r="EC324" s="10" cm="1">
        <f t="array" aca="1" ref="EC324" ca="1">(1-$B$18)*SUMPRODUCT(OFFSET($BO$15,0,0,$B$14,1), 1*(_xlfn._xlws.FILTER(OFFSET($O$15,0,$DN324,$B$8,1),OFFSET($M$15,0,0,$B$8,1))=EC$13), 1*(_xlfn._xlws.FILTER(OFFSET($O$15,0,$DO324,$B$8,1),OFFSET($M$15,0,0,$B$8,1))=EC$14))   /   SUM(OFFSET($BO$15,0,0,$B$14,1)) + $B$18/($B$19*$B$19*($DN324&lt;&gt;$DO324) + $B$19*($DN324=$DO324))</f>
        <v>3.7037037037037035E-4</v>
      </c>
      <c r="ED324" s="10" cm="1">
        <f t="array" aca="1" ref="ED324" ca="1">(1-$B$18)*SUMPRODUCT(OFFSET($BO$15,0,0,$B$14,1), 1*(_xlfn._xlws.FILTER(OFFSET($O$15,0,$DN324,$B$8,1),OFFSET($M$15,0,0,$B$8,1))=ED$13), 1*(_xlfn._xlws.FILTER(OFFSET($O$15,0,$DO324,$B$8,1),OFFSET($M$15,0,0,$B$8,1))=ED$14))   /   SUM(OFFSET($BO$15,0,0,$B$14,1)) + $B$18/($B$19*$B$19*($DN324&lt;&gt;$DO324) + $B$19*($DN324=$DO324))</f>
        <v>3.7037037037037035E-4</v>
      </c>
      <c r="EE324" s="10" cm="1">
        <f t="array" aca="1" ref="EE324" ca="1">(1-$B$18)*SUMPRODUCT(OFFSET($BO$15,0,0,$B$14,1), 1*(_xlfn._xlws.FILTER(OFFSET($O$15,0,$DN324,$B$8,1),OFFSET($M$15,0,0,$B$8,1))=EE$13), 1*(_xlfn._xlws.FILTER(OFFSET($O$15,0,$DO324,$B$8,1),OFFSET($M$15,0,0,$B$8,1))=EE$14))   /   SUM(OFFSET($BO$15,0,0,$B$14,1)) + $B$18/($B$19*$B$19*($DN324&lt;&gt;$DO324) + $B$19*($DN324=$DO324))</f>
        <v>3.7037037037037035E-4</v>
      </c>
      <c r="EF324" s="10" cm="1">
        <f t="array" aca="1" ref="EF324" ca="1">(1-$B$18)*SUMPRODUCT(OFFSET($BO$15,0,0,$B$14,1), 1*(_xlfn._xlws.FILTER(OFFSET($O$15,0,$DN324,$B$8,1),OFFSET($M$15,0,0,$B$8,1))=EF$13), 1*(_xlfn._xlws.FILTER(OFFSET($O$15,0,$DO324,$B$8,1),OFFSET($M$15,0,0,$B$8,1))=EF$14))   /   SUM(OFFSET($BO$15,0,0,$B$14,1)) + $B$18/($B$19*$B$19*($DN324&lt;&gt;$DO324) + $B$19*($DN324=$DO324))</f>
        <v>3.7037037037037035E-4</v>
      </c>
      <c r="EG324" s="10" cm="1">
        <f t="array" aca="1" ref="EG324" ca="1">(1-$B$18)*SUMPRODUCT(OFFSET($BO$15,0,0,$B$14,1), 1*(_xlfn._xlws.FILTER(OFFSET($O$15,0,$DN324,$B$8,1),OFFSET($M$15,0,0,$B$8,1))=EG$13), 1*(_xlfn._xlws.FILTER(OFFSET($O$15,0,$DO324,$B$8,1),OFFSET($M$15,0,0,$B$8,1))=EG$14))   /   SUM(OFFSET($BO$15,0,0,$B$14,1)) + $B$18/($B$19*$B$19*($DN324&lt;&gt;$DO324) + $B$19*($DN324=$DO324))</f>
        <v>3.7037037037037035E-4</v>
      </c>
      <c r="EH324" s="10" cm="1">
        <f t="array" aca="1" ref="EH324" ca="1">(1-$B$18)*SUMPRODUCT(OFFSET($BO$15,0,0,$B$14,1), 1*(_xlfn._xlws.FILTER(OFFSET($O$15,0,$DN324,$B$8,1),OFFSET($M$15,0,0,$B$8,1))=EH$13), 1*(_xlfn._xlws.FILTER(OFFSET($O$15,0,$DO324,$B$8,1),OFFSET($M$15,0,0,$B$8,1))=EH$14))   /   SUM(OFFSET($BO$15,0,0,$B$14,1)) + $B$18/($B$19*$B$19*($DN324&lt;&gt;$DO324) + $B$19*($DN324=$DO324))</f>
        <v>3.7037037037037035E-4</v>
      </c>
      <c r="EI324" s="10" cm="1">
        <f t="array" aca="1" ref="EI324" ca="1">(1-$B$18)*SUMPRODUCT(OFFSET($BO$15,0,0,$B$14,1), 1*(_xlfn._xlws.FILTER(OFFSET($O$15,0,$DN324,$B$8,1),OFFSET($M$15,0,0,$B$8,1))=EI$13), 1*(_xlfn._xlws.FILTER(OFFSET($O$15,0,$DO324,$B$8,1),OFFSET($M$15,0,0,$B$8,1))=EI$14))   /   SUM(OFFSET($BO$15,0,0,$B$14,1)) + $B$18/($B$19*$B$19*($DN324&lt;&gt;$DO324) + $B$19*($DN324=$DO324))</f>
        <v>3.7037037037037035E-4</v>
      </c>
      <c r="EJ324" s="10" cm="1">
        <f t="array" aca="1" ref="EJ324" ca="1">(1-$B$18)*SUMPRODUCT(OFFSET($BO$15,0,0,$B$14,1), 1*(_xlfn._xlws.FILTER(OFFSET($O$15,0,$DN324,$B$8,1),OFFSET($M$15,0,0,$B$8,1))=EJ$13), 1*(_xlfn._xlws.FILTER(OFFSET($O$15,0,$DO324,$B$8,1),OFFSET($M$15,0,0,$B$8,1))=EJ$14))   /   SUM(OFFSET($BO$15,0,0,$B$14,1)) + $B$18/($B$19*$B$19*($DN324&lt;&gt;$DO324) + $B$19*($DN324=$DO324))</f>
        <v>3.7037037037037035E-4</v>
      </c>
      <c r="EK324" s="10" cm="1">
        <f t="array" aca="1" ref="EK324" ca="1">(1-$B$18)*SUMPRODUCT(OFFSET($BO$15,0,0,$B$14,1), 1*(_xlfn._xlws.FILTER(OFFSET($O$15,0,$DN324,$B$8,1),OFFSET($M$15,0,0,$B$8,1))=EK$13), 1*(_xlfn._xlws.FILTER(OFFSET($O$15,0,$DO324,$B$8,1),OFFSET($M$15,0,0,$B$8,1))=EK$14))   /   SUM(OFFSET($BO$15,0,0,$B$14,1)) + $B$18/($B$19*$B$19*($DN324&lt;&gt;$DO324) + $B$19*($DN324=$DO324))</f>
        <v>3.7037037037037035E-4</v>
      </c>
      <c r="EL324" s="10" cm="1">
        <f t="array" aca="1" ref="EL324" ca="1">(1-$B$18)*SUMPRODUCT(OFFSET($BO$15,0,0,$B$14,1), 1*(_xlfn._xlws.FILTER(OFFSET($O$15,0,$DN324,$B$8,1),OFFSET($M$15,0,0,$B$8,1))=EL$13), 1*(_xlfn._xlws.FILTER(OFFSET($O$15,0,$DO324,$B$8,1),OFFSET($M$15,0,0,$B$8,1))=EL$14))   /   SUM(OFFSET($BO$15,0,0,$B$14,1)) + $B$18/($B$19*$B$19*($DN324&lt;&gt;$DO324) + $B$19*($DN324=$DO324))</f>
        <v>3.7037037037037035E-4</v>
      </c>
      <c r="EM324" s="10" cm="1">
        <f t="array" aca="1" ref="EM324" ca="1">(1-$B$18)*SUMPRODUCT(OFFSET($BO$15,0,0,$B$14,1), 1*(_xlfn._xlws.FILTER(OFFSET($O$15,0,$DN324,$B$8,1),OFFSET($M$15,0,0,$B$8,1))=EM$13), 1*(_xlfn._xlws.FILTER(OFFSET($O$15,0,$DO324,$B$8,1),OFFSET($M$15,0,0,$B$8,1))=EM$14))   /   SUM(OFFSET($BO$15,0,0,$B$14,1)) + $B$18/($B$19*$B$19*($DN324&lt;&gt;$DO324) + $B$19*($DN324=$DO324))</f>
        <v>3.7037037037037035E-4</v>
      </c>
      <c r="EN324" s="10" cm="1">
        <f t="array" aca="1" ref="EN324" ca="1">(1-$B$18)*SUMPRODUCT(OFFSET($BO$15,0,0,$B$14,1), 1*(_xlfn._xlws.FILTER(OFFSET($O$15,0,$DN324,$B$8,1),OFFSET($M$15,0,0,$B$8,1))=EN$13), 1*(_xlfn._xlws.FILTER(OFFSET($O$15,0,$DO324,$B$8,1),OFFSET($M$15,0,0,$B$8,1))=EN$14))   /   SUM(OFFSET($BO$15,0,0,$B$14,1)) + $B$18/($B$19*$B$19*($DN324&lt;&gt;$DO324) + $B$19*($DN324=$DO324))</f>
        <v>3.7037037037037035E-4</v>
      </c>
      <c r="EO324" s="10" cm="1">
        <f t="array" aca="1" ref="EO324" ca="1">(1-$B$18)*SUMPRODUCT(OFFSET($BO$15,0,0,$B$14,1), 1*(_xlfn._xlws.FILTER(OFFSET($O$15,0,$DN324,$B$8,1),OFFSET($M$15,0,0,$B$8,1))=EO$13), 1*(_xlfn._xlws.FILTER(OFFSET($O$15,0,$DO324,$B$8,1),OFFSET($M$15,0,0,$B$8,1))=EO$14))   /   SUM(OFFSET($BO$15,0,0,$B$14,1)) + $B$18/($B$19*$B$19*($DN324&lt;&gt;$DO324) + $B$19*($DN324=$DO324))</f>
        <v>3.7037037037037035E-4</v>
      </c>
      <c r="EP324" s="10" cm="1">
        <f t="array" aca="1" ref="EP324" ca="1">(1-$B$18)*SUMPRODUCT(OFFSET($BO$15,0,0,$B$14,1), 1*(_xlfn._xlws.FILTER(OFFSET($O$15,0,$DN324,$B$8,1),OFFSET($M$15,0,0,$B$8,1))=EP$13), 1*(_xlfn._xlws.FILTER(OFFSET($O$15,0,$DO324,$B$8,1),OFFSET($M$15,0,0,$B$8,1))=EP$14))   /   SUM(OFFSET($BO$15,0,0,$B$14,1)) + $B$18/($B$19*$B$19*($DN324&lt;&gt;$DO324) + $B$19*($DN324=$DO324))</f>
        <v>3.7037037037037035E-4</v>
      </c>
      <c r="EQ324" s="10" cm="1">
        <f t="array" aca="1" ref="EQ324" ca="1">(1-$B$18)*SUMPRODUCT(OFFSET($BO$15,0,0,$B$14,1), 1*(_xlfn._xlws.FILTER(OFFSET($O$15,0,$DN324,$B$8,1),OFFSET($M$15,0,0,$B$8,1))=EQ$13), 1*(_xlfn._xlws.FILTER(OFFSET($O$15,0,$DO324,$B$8,1),OFFSET($M$15,0,0,$B$8,1))=EQ$14))   /   SUM(OFFSET($BO$15,0,0,$B$14,1)) + $B$18/($B$19*$B$19*($DN324&lt;&gt;$DO324) + $B$19*($DN324=$DO324))</f>
        <v>3.7037037037037035E-4</v>
      </c>
      <c r="ER324" s="10" cm="1">
        <f t="array" aca="1" ref="ER324" ca="1">(1-$B$18)*SUMPRODUCT(OFFSET($BO$15,0,0,$B$14,1), 1*(_xlfn._xlws.FILTER(OFFSET($O$15,0,$DN324,$B$8,1),OFFSET($M$15,0,0,$B$8,1))=ER$13), 1*(_xlfn._xlws.FILTER(OFFSET($O$15,0,$DO324,$B$8,1),OFFSET($M$15,0,0,$B$8,1))=ER$14))   /   SUM(OFFSET($BO$15,0,0,$B$14,1)) + $B$18/($B$19*$B$19*($DN324&lt;&gt;$DO324) + $B$19*($DN324=$DO324))</f>
        <v>3.7037037037037035E-4</v>
      </c>
      <c r="ES324" s="10" cm="1">
        <f t="array" aca="1" ref="ES324" ca="1">(1-$B$18)*SUMPRODUCT(OFFSET($BO$15,0,0,$B$14,1), 1*(_xlfn._xlws.FILTER(OFFSET($O$15,0,$DN324,$B$8,1),OFFSET($M$15,0,0,$B$8,1))=ES$13), 1*(_xlfn._xlws.FILTER(OFFSET($O$15,0,$DO324,$B$8,1),OFFSET($M$15,0,0,$B$8,1))=ES$14))   /   SUM(OFFSET($BO$15,0,0,$B$14,1)) + $B$18/($B$19*$B$19*($DN324&lt;&gt;$DO324) + $B$19*($DN324=$DO324))</f>
        <v>3.7037037037037035E-4</v>
      </c>
      <c r="ET324" s="10" cm="1">
        <f t="array" aca="1" ref="ET324" ca="1">(1-$B$18)*SUMPRODUCT(OFFSET($BO$15,0,0,$B$14,1), 1*(_xlfn._xlws.FILTER(OFFSET($O$15,0,$DN324,$B$8,1),OFFSET($M$15,0,0,$B$8,1))=ET$13), 1*(_xlfn._xlws.FILTER(OFFSET($O$15,0,$DO324,$B$8,1),OFFSET($M$15,0,0,$B$8,1))=ET$14))   /   SUM(OFFSET($BO$15,0,0,$B$14,1)) + $B$18/($B$19*$B$19*($DN324&lt;&gt;$DO324) + $B$19*($DN324=$DO324))</f>
        <v>0.97037037037037033</v>
      </c>
      <c r="EU324" s="10" cm="1">
        <f t="array" aca="1" ref="EU324" ca="1">(1-$B$18)*SUMPRODUCT(OFFSET($BO$15,0,0,$B$14,1), 1*(_xlfn._xlws.FILTER(OFFSET($O$15,0,$DN324,$B$8,1),OFFSET($M$15,0,0,$B$8,1))=EU$13), 1*(_xlfn._xlws.FILTER(OFFSET($O$15,0,$DO324,$B$8,1),OFFSET($M$15,0,0,$B$8,1))=EU$14))   /   SUM(OFFSET($BO$15,0,0,$B$14,1)) + $B$18/($B$19*$B$19*($DN324&lt;&gt;$DO324) + $B$19*($DN324=$DO324))</f>
        <v>3.7037037037037035E-4</v>
      </c>
      <c r="EV324" s="10" cm="1">
        <f t="array" aca="1" ref="EV324" ca="1">(1-$B$18)*SUMPRODUCT(OFFSET($BO$15,0,0,$B$14,1), 1*(_xlfn._xlws.FILTER(OFFSET($O$15,0,$DN324,$B$8,1),OFFSET($M$15,0,0,$B$8,1))=EV$13), 1*(_xlfn._xlws.FILTER(OFFSET($O$15,0,$DO324,$B$8,1),OFFSET($M$15,0,0,$B$8,1))=EV$14))   /   SUM(OFFSET($BO$15,0,0,$B$14,1)) + $B$18/($B$19*$B$19*($DN324&lt;&gt;$DO324) + $B$19*($DN324=$DO324))</f>
        <v>3.7037037037037035E-4</v>
      </c>
      <c r="EW324" s="10" cm="1">
        <f t="array" aca="1" ref="EW324" ca="1">(1-$B$18)*SUMPRODUCT(OFFSET($BO$15,0,0,$B$14,1), 1*(_xlfn._xlws.FILTER(OFFSET($O$15,0,$DN324,$B$8,1),OFFSET($M$15,0,0,$B$8,1))=EW$13), 1*(_xlfn._xlws.FILTER(OFFSET($O$15,0,$DO324,$B$8,1),OFFSET($M$15,0,0,$B$8,1))=EW$14))   /   SUM(OFFSET($BO$15,0,0,$B$14,1)) + $B$18/($B$19*$B$19*($DN324&lt;&gt;$DO324) + $B$19*($DN324=$DO324))</f>
        <v>3.7037037037037035E-4</v>
      </c>
      <c r="EX324" s="10" cm="1">
        <f t="array" aca="1" ref="EX324" ca="1">(1-$B$18)*SUMPRODUCT(OFFSET($BO$15,0,0,$B$14,1), 1*(_xlfn._xlws.FILTER(OFFSET($O$15,0,$DN324,$B$8,1),OFFSET($M$15,0,0,$B$8,1))=EX$13), 1*(_xlfn._xlws.FILTER(OFFSET($O$15,0,$DO324,$B$8,1),OFFSET($M$15,0,0,$B$8,1))=EX$14))   /   SUM(OFFSET($BO$15,0,0,$B$14,1)) + $B$18/($B$19*$B$19*($DN324&lt;&gt;$DO324) + $B$19*($DN324=$DO324))</f>
        <v>3.7037037037037035E-4</v>
      </c>
      <c r="EY324" s="10" cm="1">
        <f t="array" aca="1" ref="EY324" ca="1">(1-$B$18)*SUMPRODUCT(OFFSET($BO$15,0,0,$B$14,1), 1*(_xlfn._xlws.FILTER(OFFSET($O$15,0,$DN324,$B$8,1),OFFSET($M$15,0,0,$B$8,1))=EY$13), 1*(_xlfn._xlws.FILTER(OFFSET($O$15,0,$DO324,$B$8,1),OFFSET($M$15,0,0,$B$8,1))=EY$14))   /   SUM(OFFSET($BO$15,0,0,$B$14,1)) + $B$18/($B$19*$B$19*($DN324&lt;&gt;$DO324) + $B$19*($DN324=$DO324))</f>
        <v>3.7037037037037035E-4</v>
      </c>
      <c r="EZ324" s="10" cm="1">
        <f t="array" aca="1" ref="EZ324" ca="1">(1-$B$18)*SUMPRODUCT(OFFSET($BO$15,0,0,$B$14,1), 1*(_xlfn._xlws.FILTER(OFFSET($O$15,0,$DN324,$B$8,1),OFFSET($M$15,0,0,$B$8,1))=EZ$13), 1*(_xlfn._xlws.FILTER(OFFSET($O$15,0,$DO324,$B$8,1),OFFSET($M$15,0,0,$B$8,1))=EZ$14))   /   SUM(OFFSET($BO$15,0,0,$B$14,1)) + $B$18/($B$19*$B$19*($DN324&lt;&gt;$DO324) + $B$19*($DN324=$DO324))</f>
        <v>3.7037037037037035E-4</v>
      </c>
      <c r="FA324" s="10" cm="1">
        <f t="array" aca="1" ref="FA324" ca="1">(1-$B$18)*SUMPRODUCT(OFFSET($BO$15,0,0,$B$14,1), 1*(_xlfn._xlws.FILTER(OFFSET($O$15,0,$DN324,$B$8,1),OFFSET($M$15,0,0,$B$8,1))=FA$13), 1*(_xlfn._xlws.FILTER(OFFSET($O$15,0,$DO324,$B$8,1),OFFSET($M$15,0,0,$B$8,1))=FA$14))   /   SUM(OFFSET($BO$15,0,0,$B$14,1)) + $B$18/($B$19*$B$19*($DN324&lt;&gt;$DO324) + $B$19*($DN324=$DO324))</f>
        <v>3.7037037037037035E-4</v>
      </c>
      <c r="FB324" s="10" cm="1">
        <f t="array" aca="1" ref="FB324" ca="1">(1-$B$18)*SUMPRODUCT(OFFSET($BO$15,0,0,$B$14,1), 1*(_xlfn._xlws.FILTER(OFFSET($O$15,0,$DN324,$B$8,1),OFFSET($M$15,0,0,$B$8,1))=FB$13), 1*(_xlfn._xlws.FILTER(OFFSET($O$15,0,$DO324,$B$8,1),OFFSET($M$15,0,0,$B$8,1))=FB$14))   /   SUM(OFFSET($BO$15,0,0,$B$14,1)) + $B$18/($B$19*$B$19*($DN324&lt;&gt;$DO324) + $B$19*($DN324=$DO324))</f>
        <v>3.7037037037037035E-4</v>
      </c>
      <c r="FC324" s="10" cm="1">
        <f t="array" aca="1" ref="FC324" ca="1">(1-$B$18)*SUMPRODUCT(OFFSET($BO$15,0,0,$B$14,1), 1*(_xlfn._xlws.FILTER(OFFSET($O$15,0,$DN324,$B$8,1),OFFSET($M$15,0,0,$B$8,1))=FC$13), 1*(_xlfn._xlws.FILTER(OFFSET($O$15,0,$DO324,$B$8,1),OFFSET($M$15,0,0,$B$8,1))=FC$14))   /   SUM(OFFSET($BO$15,0,0,$B$14,1)) + $B$18/($B$19*$B$19*($DN324&lt;&gt;$DO324) + $B$19*($DN324=$DO324))</f>
        <v>3.7037037037037035E-4</v>
      </c>
      <c r="FD324" s="10" cm="1">
        <f t="array" aca="1" ref="FD324" ca="1">(1-$B$18)*SUMPRODUCT(OFFSET($BO$15,0,0,$B$14,1), 1*(_xlfn._xlws.FILTER(OFFSET($O$15,0,$DN324,$B$8,1),OFFSET($M$15,0,0,$B$8,1))=FD$13), 1*(_xlfn._xlws.FILTER(OFFSET($O$15,0,$DO324,$B$8,1),OFFSET($M$15,0,0,$B$8,1))=FD$14))   /   SUM(OFFSET($BO$15,0,0,$B$14,1)) + $B$18/($B$19*$B$19*($DN324&lt;&gt;$DO324) + $B$19*($DN324=$DO324))</f>
        <v>3.7037037037037035E-4</v>
      </c>
      <c r="FE324" s="10" cm="1">
        <f t="array" aca="1" ref="FE324" ca="1">(1-$B$18)*SUMPRODUCT(OFFSET($BO$15,0,0,$B$14,1), 1*(_xlfn._xlws.FILTER(OFFSET($O$15,0,$DN324,$B$8,1),OFFSET($M$15,0,0,$B$8,1))=FE$13), 1*(_xlfn._xlws.FILTER(OFFSET($O$15,0,$DO324,$B$8,1),OFFSET($M$15,0,0,$B$8,1))=FE$14))   /   SUM(OFFSET($BO$15,0,0,$B$14,1)) + $B$18/($B$19*$B$19*($DN324&lt;&gt;$DO324) + $B$19*($DN324=$DO324))</f>
        <v>3.7037037037037035E-4</v>
      </c>
      <c r="FF324" s="10" cm="1">
        <f t="array" aca="1" ref="FF324" ca="1">(1-$B$18)*SUMPRODUCT(OFFSET($BO$15,0,0,$B$14,1), 1*(_xlfn._xlws.FILTER(OFFSET($O$15,0,$DN324,$B$8,1),OFFSET($M$15,0,0,$B$8,1))=FF$13), 1*(_xlfn._xlws.FILTER(OFFSET($O$15,0,$DO324,$B$8,1),OFFSET($M$15,0,0,$B$8,1))=FF$14))   /   SUM(OFFSET($BO$15,0,0,$B$14,1)) + $B$18/($B$19*$B$19*($DN324&lt;&gt;$DO324) + $B$19*($DN324=$DO324))</f>
        <v>3.7037037037037035E-4</v>
      </c>
      <c r="FG324" s="10" cm="1">
        <f t="array" aca="1" ref="FG324" ca="1">(1-$B$18)*SUMPRODUCT(OFFSET($BO$15,0,0,$B$14,1), 1*(_xlfn._xlws.FILTER(OFFSET($O$15,0,$DN324,$B$8,1),OFFSET($M$15,0,0,$B$8,1))=FG$13), 1*(_xlfn._xlws.FILTER(OFFSET($O$15,0,$DO324,$B$8,1),OFFSET($M$15,0,0,$B$8,1))=FG$14))   /   SUM(OFFSET($BO$15,0,0,$B$14,1)) + $B$18/($B$19*$B$19*($DN324&lt;&gt;$DO324) + $B$19*($DN324=$DO324))</f>
        <v>3.7037037037037035E-4</v>
      </c>
      <c r="FH324" s="10" cm="1">
        <f t="array" aca="1" ref="FH324" ca="1">(1-$B$18)*SUMPRODUCT(OFFSET($BO$15,0,0,$B$14,1), 1*(_xlfn._xlws.FILTER(OFFSET($O$15,0,$DN324,$B$8,1),OFFSET($M$15,0,0,$B$8,1))=FH$13), 1*(_xlfn._xlws.FILTER(OFFSET($O$15,0,$DO324,$B$8,1),OFFSET($M$15,0,0,$B$8,1))=FH$14))   /   SUM(OFFSET($BO$15,0,0,$B$14,1)) + $B$18/($B$19*$B$19*($DN324&lt;&gt;$DO324) + $B$19*($DN324=$DO324))</f>
        <v>3.7037037037037035E-4</v>
      </c>
      <c r="FI324" s="10" cm="1">
        <f t="array" aca="1" ref="FI324" ca="1">(1-$B$18)*SUMPRODUCT(OFFSET($BO$15,0,0,$B$14,1), 1*(_xlfn._xlws.FILTER(OFFSET($O$15,0,$DN324,$B$8,1),OFFSET($M$15,0,0,$B$8,1))=FI$13), 1*(_xlfn._xlws.FILTER(OFFSET($O$15,0,$DO324,$B$8,1),OFFSET($M$15,0,0,$B$8,1))=FI$14))   /   SUM(OFFSET($BO$15,0,0,$B$14,1)) + $B$18/($B$19*$B$19*($DN324&lt;&gt;$DO324) + $B$19*($DN324=$DO324))</f>
        <v>3.7037037037037035E-4</v>
      </c>
      <c r="FJ324" s="10" cm="1">
        <f t="array" aca="1" ref="FJ324" ca="1">(1-$B$18)*SUMPRODUCT(OFFSET($BO$15,0,0,$B$14,1), 1*(_xlfn._xlws.FILTER(OFFSET($O$15,0,$DN324,$B$8,1),OFFSET($M$15,0,0,$B$8,1))=FJ$13), 1*(_xlfn._xlws.FILTER(OFFSET($O$15,0,$DO324,$B$8,1),OFFSET($M$15,0,0,$B$8,1))=FJ$14))   /   SUM(OFFSET($BO$15,0,0,$B$14,1)) + $B$18/($B$19*$B$19*($DN324&lt;&gt;$DO324) + $B$19*($DN324=$DO324))</f>
        <v>3.7037037037037035E-4</v>
      </c>
      <c r="FK324" s="10" cm="1">
        <f t="array" aca="1" ref="FK324" ca="1">(1-$B$18)*SUMPRODUCT(OFFSET($BO$15,0,0,$B$14,1), 1*(_xlfn._xlws.FILTER(OFFSET($O$15,0,$DN324,$B$8,1),OFFSET($M$15,0,0,$B$8,1))=FK$13), 1*(_xlfn._xlws.FILTER(OFFSET($O$15,0,$DO324,$B$8,1),OFFSET($M$15,0,0,$B$8,1))=FK$14))   /   SUM(OFFSET($BO$15,0,0,$B$14,1)) + $B$18/($B$19*$B$19*($DN324&lt;&gt;$DO324) + $B$19*($DN324=$DO324))</f>
        <v>3.7037037037037035E-4</v>
      </c>
      <c r="FL324" s="10" cm="1">
        <f t="array" aca="1" ref="FL324" ca="1">(1-$B$18)*SUMPRODUCT(OFFSET($BO$15,0,0,$B$14,1), 1*(_xlfn._xlws.FILTER(OFFSET($O$15,0,$DN324,$B$8,1),OFFSET($M$15,0,0,$B$8,1))=FL$13), 1*(_xlfn._xlws.FILTER(OFFSET($O$15,0,$DO324,$B$8,1),OFFSET($M$15,0,0,$B$8,1))=FL$14))   /   SUM(OFFSET($BO$15,0,0,$B$14,1)) + $B$18/($B$19*$B$19*($DN324&lt;&gt;$DO324) + $B$19*($DN324=$DO324))</f>
        <v>3.7037037037037035E-4</v>
      </c>
      <c r="FM324" s="10" cm="1">
        <f t="array" aca="1" ref="FM324" ca="1">(1-$B$18)*SUMPRODUCT(OFFSET($BO$15,0,0,$B$14,1), 1*(_xlfn._xlws.FILTER(OFFSET($O$15,0,$DN324,$B$8,1),OFFSET($M$15,0,0,$B$8,1))=FM$13), 1*(_xlfn._xlws.FILTER(OFFSET($O$15,0,$DO324,$B$8,1),OFFSET($M$15,0,0,$B$8,1))=FM$14))   /   SUM(OFFSET($BO$15,0,0,$B$14,1)) + $B$18/($B$19*$B$19*($DN324&lt;&gt;$DO324) + $B$19*($DN324=$DO324))</f>
        <v>3.7037037037037035E-4</v>
      </c>
      <c r="FN324" s="10" cm="1">
        <f t="array" aca="1" ref="FN324" ca="1">(1-$B$18)*SUMPRODUCT(OFFSET($BO$15,0,0,$B$14,1), 1*(_xlfn._xlws.FILTER(OFFSET($O$15,0,$DN324,$B$8,1),OFFSET($M$15,0,0,$B$8,1))=FN$13), 1*(_xlfn._xlws.FILTER(OFFSET($O$15,0,$DO324,$B$8,1),OFFSET($M$15,0,0,$B$8,1))=FN$14))   /   SUM(OFFSET($BO$15,0,0,$B$14,1)) + $B$18/($B$19*$B$19*($DN324&lt;&gt;$DO324) + $B$19*($DN324=$DO324))</f>
        <v>3.7037037037037035E-4</v>
      </c>
      <c r="FO324" s="10" cm="1">
        <f t="array" aca="1" ref="FO324" ca="1">(1-$B$18)*SUMPRODUCT(OFFSET($BO$15,0,0,$B$14,1), 1*(_xlfn._xlws.FILTER(OFFSET($O$15,0,$DN324,$B$8,1),OFFSET($M$15,0,0,$B$8,1))=FO$13), 1*(_xlfn._xlws.FILTER(OFFSET($O$15,0,$DO324,$B$8,1),OFFSET($M$15,0,0,$B$8,1))=FO$14))   /   SUM(OFFSET($BO$15,0,0,$B$14,1)) + $B$18/($B$19*$B$19*($DN324&lt;&gt;$DO324) + $B$19*($DN324=$DO324))</f>
        <v>3.7037037037037035E-4</v>
      </c>
      <c r="FP324" s="10" cm="1">
        <f t="array" aca="1" ref="FP324" ca="1">(1-$B$18)*SUMPRODUCT(OFFSET($BO$15,0,0,$B$14,1), 1*(_xlfn._xlws.FILTER(OFFSET($O$15,0,$DN324,$B$8,1),OFFSET($M$15,0,0,$B$8,1))=FP$13), 1*(_xlfn._xlws.FILTER(OFFSET($O$15,0,$DO324,$B$8,1),OFFSET($M$15,0,0,$B$8,1))=FP$14))   /   SUM(OFFSET($BO$15,0,0,$B$14,1)) + $B$18/($B$19*$B$19*($DN324&lt;&gt;$DO324) + $B$19*($DN324=$DO324))</f>
        <v>3.7037037037037035E-4</v>
      </c>
      <c r="FQ324" s="10" cm="1">
        <f t="array" aca="1" ref="FQ324" ca="1">(1-$B$18)*SUMPRODUCT(OFFSET($BO$15,0,0,$B$14,1), 1*(_xlfn._xlws.FILTER(OFFSET($O$15,0,$DN324,$B$8,1),OFFSET($M$15,0,0,$B$8,1))=FQ$13), 1*(_xlfn._xlws.FILTER(OFFSET($O$15,0,$DO324,$B$8,1),OFFSET($M$15,0,0,$B$8,1))=FQ$14))   /   SUM(OFFSET($BO$15,0,0,$B$14,1)) + $B$18/($B$19*$B$19*($DN324&lt;&gt;$DO324) + $B$19*($DN324=$DO324))</f>
        <v>3.7037037037037035E-4</v>
      </c>
      <c r="FR324" s="10" cm="1">
        <f t="array" aca="1" ref="FR324" ca="1">(1-$B$18)*SUMPRODUCT(OFFSET($BO$15,0,0,$B$14,1), 1*(_xlfn._xlws.FILTER(OFFSET($O$15,0,$DN324,$B$8,1),OFFSET($M$15,0,0,$B$8,1))=FR$13), 1*(_xlfn._xlws.FILTER(OFFSET($O$15,0,$DO324,$B$8,1),OFFSET($M$15,0,0,$B$8,1))=FR$14))   /   SUM(OFFSET($BO$15,0,0,$B$14,1)) + $B$18/($B$19*$B$19*($DN324&lt;&gt;$DO324) + $B$19*($DN324=$DO324))</f>
        <v>3.7037037037037035E-4</v>
      </c>
      <c r="FS324" s="10" cm="1">
        <f t="array" aca="1" ref="FS324" ca="1">(1-$B$18)*SUMPRODUCT(OFFSET($BO$15,0,0,$B$14,1), 1*(_xlfn._xlws.FILTER(OFFSET($O$15,0,$DN324,$B$8,1),OFFSET($M$15,0,0,$B$8,1))=FS$13), 1*(_xlfn._xlws.FILTER(OFFSET($O$15,0,$DO324,$B$8,1),OFFSET($M$15,0,0,$B$8,1))=FS$14))   /   SUM(OFFSET($BO$15,0,0,$B$14,1)) + $B$18/($B$19*$B$19*($DN324&lt;&gt;$DO324) + $B$19*($DN324=$DO324))</f>
        <v>3.7037037037037035E-4</v>
      </c>
      <c r="FT324" s="10" cm="1">
        <f t="array" aca="1" ref="FT324" ca="1">(1-$B$18)*SUMPRODUCT(OFFSET($BO$15,0,0,$B$14,1), 1*(_xlfn._xlws.FILTER(OFFSET($O$15,0,$DN324,$B$8,1),OFFSET($M$15,0,0,$B$8,1))=FT$13), 1*(_xlfn._xlws.FILTER(OFFSET($O$15,0,$DO324,$B$8,1),OFFSET($M$15,0,0,$B$8,1))=FT$14))   /   SUM(OFFSET($BO$15,0,0,$B$14,1)) + $B$18/($B$19*$B$19*($DN324&lt;&gt;$DO324) + $B$19*($DN324=$DO324))</f>
        <v>3.7037037037037035E-4</v>
      </c>
      <c r="FU324" s="10" cm="1">
        <f t="array" aca="1" ref="FU324" ca="1">(1-$B$18)*SUMPRODUCT(OFFSET($BO$15,0,0,$B$14,1), 1*(_xlfn._xlws.FILTER(OFFSET($O$15,0,$DN324,$B$8,1),OFFSET($M$15,0,0,$B$8,1))=FU$13), 1*(_xlfn._xlws.FILTER(OFFSET($O$15,0,$DO324,$B$8,1),OFFSET($M$15,0,0,$B$8,1))=FU$14))   /   SUM(OFFSET($BO$15,0,0,$B$14,1)) + $B$18/($B$19*$B$19*($DN324&lt;&gt;$DO324) + $B$19*($DN324=$DO324))</f>
        <v>3.7037037037037035E-4</v>
      </c>
      <c r="FV324" s="10" cm="1">
        <f t="array" aca="1" ref="FV324" ca="1">(1-$B$18)*SUMPRODUCT(OFFSET($BO$15,0,0,$B$14,1), 1*(_xlfn._xlws.FILTER(OFFSET($O$15,0,$DN324,$B$8,1),OFFSET($M$15,0,0,$B$8,1))=FV$13), 1*(_xlfn._xlws.FILTER(OFFSET($O$15,0,$DO324,$B$8,1),OFFSET($M$15,0,0,$B$8,1))=FV$14))   /   SUM(OFFSET($BO$15,0,0,$B$14,1)) + $B$18/($B$19*$B$19*($DN324&lt;&gt;$DO324) + $B$19*($DN324=$DO324))</f>
        <v>3.7037037037037035E-4</v>
      </c>
      <c r="FW324" s="10" cm="1">
        <f t="array" aca="1" ref="FW324" ca="1">(1-$B$18)*SUMPRODUCT(OFFSET($BO$15,0,0,$B$14,1), 1*(_xlfn._xlws.FILTER(OFFSET($O$15,0,$DN324,$B$8,1),OFFSET($M$15,0,0,$B$8,1))=FW$13), 1*(_xlfn._xlws.FILTER(OFFSET($O$15,0,$DO324,$B$8,1),OFFSET($M$15,0,0,$B$8,1))=FW$14))   /   SUM(OFFSET($BO$15,0,0,$B$14,1)) + $B$18/($B$19*$B$19*($DN324&lt;&gt;$DO324) + $B$19*($DN324=$DO324))</f>
        <v>3.7037037037037035E-4</v>
      </c>
      <c r="FX324" s="10" cm="1">
        <f t="array" aca="1" ref="FX324" ca="1">(1-$B$18)*SUMPRODUCT(OFFSET($BO$15,0,0,$B$14,1), 1*(_xlfn._xlws.FILTER(OFFSET($O$15,0,$DN324,$B$8,1),OFFSET($M$15,0,0,$B$8,1))=FX$13), 1*(_xlfn._xlws.FILTER(OFFSET($O$15,0,$DO324,$B$8,1),OFFSET($M$15,0,0,$B$8,1))=FX$14))   /   SUM(OFFSET($BO$15,0,0,$B$14,1)) + $B$18/($B$19*$B$19*($DN324&lt;&gt;$DO324) + $B$19*($DN324=$DO324))</f>
        <v>3.7037037037037035E-4</v>
      </c>
      <c r="FY324" s="10" cm="1">
        <f t="array" aca="1" ref="FY324" ca="1">(1-$B$18)*SUMPRODUCT(OFFSET($BO$15,0,0,$B$14,1), 1*(_xlfn._xlws.FILTER(OFFSET($O$15,0,$DN324,$B$8,1),OFFSET($M$15,0,0,$B$8,1))=FY$13), 1*(_xlfn._xlws.FILTER(OFFSET($O$15,0,$DO324,$B$8,1),OFFSET($M$15,0,0,$B$8,1))=FY$14))   /   SUM(OFFSET($BO$15,0,0,$B$14,1)) + $B$18/($B$19*$B$19*($DN324&lt;&gt;$DO324) + $B$19*($DN324=$DO324))</f>
        <v>3.7037037037037035E-4</v>
      </c>
      <c r="FZ324" s="10" cm="1">
        <f t="array" aca="1" ref="FZ324" ca="1">(1-$B$18)*SUMPRODUCT(OFFSET($BO$15,0,0,$B$14,1), 1*(_xlfn._xlws.FILTER(OFFSET($O$15,0,$DN324,$B$8,1),OFFSET($M$15,0,0,$B$8,1))=FZ$13), 1*(_xlfn._xlws.FILTER(OFFSET($O$15,0,$DO324,$B$8,1),OFFSET($M$15,0,0,$B$8,1))=FZ$14))   /   SUM(OFFSET($BO$15,0,0,$B$14,1)) + $B$18/($B$19*$B$19*($DN324&lt;&gt;$DO324) + $B$19*($DN324=$DO324))</f>
        <v>3.7037037037037035E-4</v>
      </c>
      <c r="GA324" s="10" cm="1">
        <f t="array" aca="1" ref="GA324" ca="1">(1-$B$18)*SUMPRODUCT(OFFSET($BO$15,0,0,$B$14,1), 1*(_xlfn._xlws.FILTER(OFFSET($O$15,0,$DN324,$B$8,1),OFFSET($M$15,0,0,$B$8,1))=GA$13), 1*(_xlfn._xlws.FILTER(OFFSET($O$15,0,$DO324,$B$8,1),OFFSET($M$15,0,0,$B$8,1))=GA$14))   /   SUM(OFFSET($BO$15,0,0,$B$14,1)) + $B$18/($B$19*$B$19*($DN324&lt;&gt;$DO324) + $B$19*($DN324=$DO324))</f>
        <v>3.7037037037037035E-4</v>
      </c>
    </row>
    <row r="325" spans="118:183" x14ac:dyDescent="0.2">
      <c r="DN325" cm="1">
        <f t="array" aca="1" ref="DN325" ca="1">INDEX(_xlfn.ANCHORARRAY($CP$15), 1 + INT((ROWS($DO$15:$DO325) - 1) / ROWS(_xlfn.ANCHORARRAY($CP$15))))</f>
        <v>19</v>
      </c>
      <c r="DO325" cm="1">
        <f t="array" aca="1" ref="DO325" ca="1">INDEX(_xlfn.ANCHORARRAY($CP$15),1+MOD(ROWS($DO$15:$DO325)-1,ROWS(_xlfn.ANCHORARRAY($CP$15))))</f>
        <v>6</v>
      </c>
      <c r="DP325" s="10" cm="1">
        <f t="array" aca="1" ref="DP325" ca="1">(1-$B$18)*SUMPRODUCT(OFFSET($BO$15,0,0,$B$14,1), 1*(_xlfn._xlws.FILTER(OFFSET($O$15,0,$DN325,$B$8,1),OFFSET($M$15,0,0,$B$8,1))=DP$13), 1*(_xlfn._xlws.FILTER(OFFSET($O$15,0,$DO325,$B$8,1),OFFSET($M$15,0,0,$B$8,1))=DP$14))   /   SUM(OFFSET($BO$15,0,0,$B$14,1)) + $B$18/($B$19*$B$19*($DN325&lt;&gt;$DO325) + $B$19*($DN325=$DO325))</f>
        <v>3.7037037037037035E-4</v>
      </c>
      <c r="DQ325" s="10" cm="1">
        <f t="array" aca="1" ref="DQ325" ca="1">(1-$B$18)*SUMPRODUCT(OFFSET($BO$15,0,0,$B$14,1), 1*(_xlfn._xlws.FILTER(OFFSET($O$15,0,$DN325,$B$8,1),OFFSET($M$15,0,0,$B$8,1))=DQ$13), 1*(_xlfn._xlws.FILTER(OFFSET($O$15,0,$DO325,$B$8,1),OFFSET($M$15,0,0,$B$8,1))=DQ$14))   /   SUM(OFFSET($BO$15,0,0,$B$14,1)) + $B$18/($B$19*$B$19*($DN325&lt;&gt;$DO325) + $B$19*($DN325=$DO325))</f>
        <v>3.7037037037037035E-4</v>
      </c>
      <c r="DR325" s="10" cm="1">
        <f t="array" aca="1" ref="DR325" ca="1">(1-$B$18)*SUMPRODUCT(OFFSET($BO$15,0,0,$B$14,1), 1*(_xlfn._xlws.FILTER(OFFSET($O$15,0,$DN325,$B$8,1),OFFSET($M$15,0,0,$B$8,1))=DR$13), 1*(_xlfn._xlws.FILTER(OFFSET($O$15,0,$DO325,$B$8,1),OFFSET($M$15,0,0,$B$8,1))=DR$14))   /   SUM(OFFSET($BO$15,0,0,$B$14,1)) + $B$18/($B$19*$B$19*($DN325&lt;&gt;$DO325) + $B$19*($DN325=$DO325))</f>
        <v>3.7037037037037035E-4</v>
      </c>
      <c r="DS325" s="10" cm="1">
        <f t="array" aca="1" ref="DS325" ca="1">(1-$B$18)*SUMPRODUCT(OFFSET($BO$15,0,0,$B$14,1), 1*(_xlfn._xlws.FILTER(OFFSET($O$15,0,$DN325,$B$8,1),OFFSET($M$15,0,0,$B$8,1))=DS$13), 1*(_xlfn._xlws.FILTER(OFFSET($O$15,0,$DO325,$B$8,1),OFFSET($M$15,0,0,$B$8,1))=DS$14))   /   SUM(OFFSET($BO$15,0,0,$B$14,1)) + $B$18/($B$19*$B$19*($DN325&lt;&gt;$DO325) + $B$19*($DN325=$DO325))</f>
        <v>3.7037037037037035E-4</v>
      </c>
      <c r="DT325" s="10" cm="1">
        <f t="array" aca="1" ref="DT325" ca="1">(1-$B$18)*SUMPRODUCT(OFFSET($BO$15,0,0,$B$14,1), 1*(_xlfn._xlws.FILTER(OFFSET($O$15,0,$DN325,$B$8,1),OFFSET($M$15,0,0,$B$8,1))=DT$13), 1*(_xlfn._xlws.FILTER(OFFSET($O$15,0,$DO325,$B$8,1),OFFSET($M$15,0,0,$B$8,1))=DT$14))   /   SUM(OFFSET($BO$15,0,0,$B$14,1)) + $B$18/($B$19*$B$19*($DN325&lt;&gt;$DO325) + $B$19*($DN325=$DO325))</f>
        <v>3.7037037037037035E-4</v>
      </c>
      <c r="DU325" s="10" cm="1">
        <f t="array" aca="1" ref="DU325" ca="1">(1-$B$18)*SUMPRODUCT(OFFSET($BO$15,0,0,$B$14,1), 1*(_xlfn._xlws.FILTER(OFFSET($O$15,0,$DN325,$B$8,1),OFFSET($M$15,0,0,$B$8,1))=DU$13), 1*(_xlfn._xlws.FILTER(OFFSET($O$15,0,$DO325,$B$8,1),OFFSET($M$15,0,0,$B$8,1))=DU$14))   /   SUM(OFFSET($BO$15,0,0,$B$14,1)) + $B$18/($B$19*$B$19*($DN325&lt;&gt;$DO325) + $B$19*($DN325=$DO325))</f>
        <v>3.7037037037037035E-4</v>
      </c>
      <c r="DV325" s="10" cm="1">
        <f t="array" aca="1" ref="DV325" ca="1">(1-$B$18)*SUMPRODUCT(OFFSET($BO$15,0,0,$B$14,1), 1*(_xlfn._xlws.FILTER(OFFSET($O$15,0,$DN325,$B$8,1),OFFSET($M$15,0,0,$B$8,1))=DV$13), 1*(_xlfn._xlws.FILTER(OFFSET($O$15,0,$DO325,$B$8,1),OFFSET($M$15,0,0,$B$8,1))=DV$14))   /   SUM(OFFSET($BO$15,0,0,$B$14,1)) + $B$18/($B$19*$B$19*($DN325&lt;&gt;$DO325) + $B$19*($DN325=$DO325))</f>
        <v>3.7037037037037035E-4</v>
      </c>
      <c r="DW325" s="10" cm="1">
        <f t="array" aca="1" ref="DW325" ca="1">(1-$B$18)*SUMPRODUCT(OFFSET($BO$15,0,0,$B$14,1), 1*(_xlfn._xlws.FILTER(OFFSET($O$15,0,$DN325,$B$8,1),OFFSET($M$15,0,0,$B$8,1))=DW$13), 1*(_xlfn._xlws.FILTER(OFFSET($O$15,0,$DO325,$B$8,1),OFFSET($M$15,0,0,$B$8,1))=DW$14))   /   SUM(OFFSET($BO$15,0,0,$B$14,1)) + $B$18/($B$19*$B$19*($DN325&lt;&gt;$DO325) + $B$19*($DN325=$DO325))</f>
        <v>3.7037037037037035E-4</v>
      </c>
      <c r="DX325" s="10" cm="1">
        <f t="array" aca="1" ref="DX325" ca="1">(1-$B$18)*SUMPRODUCT(OFFSET($BO$15,0,0,$B$14,1), 1*(_xlfn._xlws.FILTER(OFFSET($O$15,0,$DN325,$B$8,1),OFFSET($M$15,0,0,$B$8,1))=DX$13), 1*(_xlfn._xlws.FILTER(OFFSET($O$15,0,$DO325,$B$8,1),OFFSET($M$15,0,0,$B$8,1))=DX$14))   /   SUM(OFFSET($BO$15,0,0,$B$14,1)) + $B$18/($B$19*$B$19*($DN325&lt;&gt;$DO325) + $B$19*($DN325=$DO325))</f>
        <v>3.7037037037037035E-4</v>
      </c>
      <c r="DY325" s="10" cm="1">
        <f t="array" aca="1" ref="DY325" ca="1">(1-$B$18)*SUMPRODUCT(OFFSET($BO$15,0,0,$B$14,1), 1*(_xlfn._xlws.FILTER(OFFSET($O$15,0,$DN325,$B$8,1),OFFSET($M$15,0,0,$B$8,1))=DY$13), 1*(_xlfn._xlws.FILTER(OFFSET($O$15,0,$DO325,$B$8,1),OFFSET($M$15,0,0,$B$8,1))=DY$14))   /   SUM(OFFSET($BO$15,0,0,$B$14,1)) + $B$18/($B$19*$B$19*($DN325&lt;&gt;$DO325) + $B$19*($DN325=$DO325))</f>
        <v>3.7037037037037035E-4</v>
      </c>
      <c r="DZ325" s="10" cm="1">
        <f t="array" aca="1" ref="DZ325" ca="1">(1-$B$18)*SUMPRODUCT(OFFSET($BO$15,0,0,$B$14,1), 1*(_xlfn._xlws.FILTER(OFFSET($O$15,0,$DN325,$B$8,1),OFFSET($M$15,0,0,$B$8,1))=DZ$13), 1*(_xlfn._xlws.FILTER(OFFSET($O$15,0,$DO325,$B$8,1),OFFSET($M$15,0,0,$B$8,1))=DZ$14))   /   SUM(OFFSET($BO$15,0,0,$B$14,1)) + $B$18/($B$19*$B$19*($DN325&lt;&gt;$DO325) + $B$19*($DN325=$DO325))</f>
        <v>3.7037037037037035E-4</v>
      </c>
      <c r="EA325" s="10" cm="1">
        <f t="array" aca="1" ref="EA325" ca="1">(1-$B$18)*SUMPRODUCT(OFFSET($BO$15,0,0,$B$14,1), 1*(_xlfn._xlws.FILTER(OFFSET($O$15,0,$DN325,$B$8,1),OFFSET($M$15,0,0,$B$8,1))=EA$13), 1*(_xlfn._xlws.FILTER(OFFSET($O$15,0,$DO325,$B$8,1),OFFSET($M$15,0,0,$B$8,1))=EA$14))   /   SUM(OFFSET($BO$15,0,0,$B$14,1)) + $B$18/($B$19*$B$19*($DN325&lt;&gt;$DO325) + $B$19*($DN325=$DO325))</f>
        <v>3.7037037037037035E-4</v>
      </c>
      <c r="EB325" s="10" cm="1">
        <f t="array" aca="1" ref="EB325" ca="1">(1-$B$18)*SUMPRODUCT(OFFSET($BO$15,0,0,$B$14,1), 1*(_xlfn._xlws.FILTER(OFFSET($O$15,0,$DN325,$B$8,1),OFFSET($M$15,0,0,$B$8,1))=EB$13), 1*(_xlfn._xlws.FILTER(OFFSET($O$15,0,$DO325,$B$8,1),OFFSET($M$15,0,0,$B$8,1))=EB$14))   /   SUM(OFFSET($BO$15,0,0,$B$14,1)) + $B$18/($B$19*$B$19*($DN325&lt;&gt;$DO325) + $B$19*($DN325=$DO325))</f>
        <v>3.7037037037037035E-4</v>
      </c>
      <c r="EC325" s="10" cm="1">
        <f t="array" aca="1" ref="EC325" ca="1">(1-$B$18)*SUMPRODUCT(OFFSET($BO$15,0,0,$B$14,1), 1*(_xlfn._xlws.FILTER(OFFSET($O$15,0,$DN325,$B$8,1),OFFSET($M$15,0,0,$B$8,1))=EC$13), 1*(_xlfn._xlws.FILTER(OFFSET($O$15,0,$DO325,$B$8,1),OFFSET($M$15,0,0,$B$8,1))=EC$14))   /   SUM(OFFSET($BO$15,0,0,$B$14,1)) + $B$18/($B$19*$B$19*($DN325&lt;&gt;$DO325) + $B$19*($DN325=$DO325))</f>
        <v>3.7037037037037035E-4</v>
      </c>
      <c r="ED325" s="10" cm="1">
        <f t="array" aca="1" ref="ED325" ca="1">(1-$B$18)*SUMPRODUCT(OFFSET($BO$15,0,0,$B$14,1), 1*(_xlfn._xlws.FILTER(OFFSET($O$15,0,$DN325,$B$8,1),OFFSET($M$15,0,0,$B$8,1))=ED$13), 1*(_xlfn._xlws.FILTER(OFFSET($O$15,0,$DO325,$B$8,1),OFFSET($M$15,0,0,$B$8,1))=ED$14))   /   SUM(OFFSET($BO$15,0,0,$B$14,1)) + $B$18/($B$19*$B$19*($DN325&lt;&gt;$DO325) + $B$19*($DN325=$DO325))</f>
        <v>3.7037037037037035E-4</v>
      </c>
      <c r="EE325" s="10" cm="1">
        <f t="array" aca="1" ref="EE325" ca="1">(1-$B$18)*SUMPRODUCT(OFFSET($BO$15,0,0,$B$14,1), 1*(_xlfn._xlws.FILTER(OFFSET($O$15,0,$DN325,$B$8,1),OFFSET($M$15,0,0,$B$8,1))=EE$13), 1*(_xlfn._xlws.FILTER(OFFSET($O$15,0,$DO325,$B$8,1),OFFSET($M$15,0,0,$B$8,1))=EE$14))   /   SUM(OFFSET($BO$15,0,0,$B$14,1)) + $B$18/($B$19*$B$19*($DN325&lt;&gt;$DO325) + $B$19*($DN325=$DO325))</f>
        <v>3.7037037037037035E-4</v>
      </c>
      <c r="EF325" s="10" cm="1">
        <f t="array" aca="1" ref="EF325" ca="1">(1-$B$18)*SUMPRODUCT(OFFSET($BO$15,0,0,$B$14,1), 1*(_xlfn._xlws.FILTER(OFFSET($O$15,0,$DN325,$B$8,1),OFFSET($M$15,0,0,$B$8,1))=EF$13), 1*(_xlfn._xlws.FILTER(OFFSET($O$15,0,$DO325,$B$8,1),OFFSET($M$15,0,0,$B$8,1))=EF$14))   /   SUM(OFFSET($BO$15,0,0,$B$14,1)) + $B$18/($B$19*$B$19*($DN325&lt;&gt;$DO325) + $B$19*($DN325=$DO325))</f>
        <v>3.7037037037037035E-4</v>
      </c>
      <c r="EG325" s="10" cm="1">
        <f t="array" aca="1" ref="EG325" ca="1">(1-$B$18)*SUMPRODUCT(OFFSET($BO$15,0,0,$B$14,1), 1*(_xlfn._xlws.FILTER(OFFSET($O$15,0,$DN325,$B$8,1),OFFSET($M$15,0,0,$B$8,1))=EG$13), 1*(_xlfn._xlws.FILTER(OFFSET($O$15,0,$DO325,$B$8,1),OFFSET($M$15,0,0,$B$8,1))=EG$14))   /   SUM(OFFSET($BO$15,0,0,$B$14,1)) + $B$18/($B$19*$B$19*($DN325&lt;&gt;$DO325) + $B$19*($DN325=$DO325))</f>
        <v>3.7037037037037035E-4</v>
      </c>
      <c r="EH325" s="10" cm="1">
        <f t="array" aca="1" ref="EH325" ca="1">(1-$B$18)*SUMPRODUCT(OFFSET($BO$15,0,0,$B$14,1), 1*(_xlfn._xlws.FILTER(OFFSET($O$15,0,$DN325,$B$8,1),OFFSET($M$15,0,0,$B$8,1))=EH$13), 1*(_xlfn._xlws.FILTER(OFFSET($O$15,0,$DO325,$B$8,1),OFFSET($M$15,0,0,$B$8,1))=EH$14))   /   SUM(OFFSET($BO$15,0,0,$B$14,1)) + $B$18/($B$19*$B$19*($DN325&lt;&gt;$DO325) + $B$19*($DN325=$DO325))</f>
        <v>3.7037037037037035E-4</v>
      </c>
      <c r="EI325" s="10" cm="1">
        <f t="array" aca="1" ref="EI325" ca="1">(1-$B$18)*SUMPRODUCT(OFFSET($BO$15,0,0,$B$14,1), 1*(_xlfn._xlws.FILTER(OFFSET($O$15,0,$DN325,$B$8,1),OFFSET($M$15,0,0,$B$8,1))=EI$13), 1*(_xlfn._xlws.FILTER(OFFSET($O$15,0,$DO325,$B$8,1),OFFSET($M$15,0,0,$B$8,1))=EI$14))   /   SUM(OFFSET($BO$15,0,0,$B$14,1)) + $B$18/($B$19*$B$19*($DN325&lt;&gt;$DO325) + $B$19*($DN325=$DO325))</f>
        <v>3.7037037037037035E-4</v>
      </c>
      <c r="EJ325" s="10" cm="1">
        <f t="array" aca="1" ref="EJ325" ca="1">(1-$B$18)*SUMPRODUCT(OFFSET($BO$15,0,0,$B$14,1), 1*(_xlfn._xlws.FILTER(OFFSET($O$15,0,$DN325,$B$8,1),OFFSET($M$15,0,0,$B$8,1))=EJ$13), 1*(_xlfn._xlws.FILTER(OFFSET($O$15,0,$DO325,$B$8,1),OFFSET($M$15,0,0,$B$8,1))=EJ$14))   /   SUM(OFFSET($BO$15,0,0,$B$14,1)) + $B$18/($B$19*$B$19*($DN325&lt;&gt;$DO325) + $B$19*($DN325=$DO325))</f>
        <v>3.7037037037037035E-4</v>
      </c>
      <c r="EK325" s="10" cm="1">
        <f t="array" aca="1" ref="EK325" ca="1">(1-$B$18)*SUMPRODUCT(OFFSET($BO$15,0,0,$B$14,1), 1*(_xlfn._xlws.FILTER(OFFSET($O$15,0,$DN325,$B$8,1),OFFSET($M$15,0,0,$B$8,1))=EK$13), 1*(_xlfn._xlws.FILTER(OFFSET($O$15,0,$DO325,$B$8,1),OFFSET($M$15,0,0,$B$8,1))=EK$14))   /   SUM(OFFSET($BO$15,0,0,$B$14,1)) + $B$18/($B$19*$B$19*($DN325&lt;&gt;$DO325) + $B$19*($DN325=$DO325))</f>
        <v>3.7037037037037035E-4</v>
      </c>
      <c r="EL325" s="10" cm="1">
        <f t="array" aca="1" ref="EL325" ca="1">(1-$B$18)*SUMPRODUCT(OFFSET($BO$15,0,0,$B$14,1), 1*(_xlfn._xlws.FILTER(OFFSET($O$15,0,$DN325,$B$8,1),OFFSET($M$15,0,0,$B$8,1))=EL$13), 1*(_xlfn._xlws.FILTER(OFFSET($O$15,0,$DO325,$B$8,1),OFFSET($M$15,0,0,$B$8,1))=EL$14))   /   SUM(OFFSET($BO$15,0,0,$B$14,1)) + $B$18/($B$19*$B$19*($DN325&lt;&gt;$DO325) + $B$19*($DN325=$DO325))</f>
        <v>3.7037037037037035E-4</v>
      </c>
      <c r="EM325" s="10" cm="1">
        <f t="array" aca="1" ref="EM325" ca="1">(1-$B$18)*SUMPRODUCT(OFFSET($BO$15,0,0,$B$14,1), 1*(_xlfn._xlws.FILTER(OFFSET($O$15,0,$DN325,$B$8,1),OFFSET($M$15,0,0,$B$8,1))=EM$13), 1*(_xlfn._xlws.FILTER(OFFSET($O$15,0,$DO325,$B$8,1),OFFSET($M$15,0,0,$B$8,1))=EM$14))   /   SUM(OFFSET($BO$15,0,0,$B$14,1)) + $B$18/($B$19*$B$19*($DN325&lt;&gt;$DO325) + $B$19*($DN325=$DO325))</f>
        <v>3.7037037037037035E-4</v>
      </c>
      <c r="EN325" s="10" cm="1">
        <f t="array" aca="1" ref="EN325" ca="1">(1-$B$18)*SUMPRODUCT(OFFSET($BO$15,0,0,$B$14,1), 1*(_xlfn._xlws.FILTER(OFFSET($O$15,0,$DN325,$B$8,1),OFFSET($M$15,0,0,$B$8,1))=EN$13), 1*(_xlfn._xlws.FILTER(OFFSET($O$15,0,$DO325,$B$8,1),OFFSET($M$15,0,0,$B$8,1))=EN$14))   /   SUM(OFFSET($BO$15,0,0,$B$14,1)) + $B$18/($B$19*$B$19*($DN325&lt;&gt;$DO325) + $B$19*($DN325=$DO325))</f>
        <v>3.7037037037037035E-4</v>
      </c>
      <c r="EO325" s="10" cm="1">
        <f t="array" aca="1" ref="EO325" ca="1">(1-$B$18)*SUMPRODUCT(OFFSET($BO$15,0,0,$B$14,1), 1*(_xlfn._xlws.FILTER(OFFSET($O$15,0,$DN325,$B$8,1),OFFSET($M$15,0,0,$B$8,1))=EO$13), 1*(_xlfn._xlws.FILTER(OFFSET($O$15,0,$DO325,$B$8,1),OFFSET($M$15,0,0,$B$8,1))=EO$14))   /   SUM(OFFSET($BO$15,0,0,$B$14,1)) + $B$18/($B$19*$B$19*($DN325&lt;&gt;$DO325) + $B$19*($DN325=$DO325))</f>
        <v>3.7037037037037035E-4</v>
      </c>
      <c r="EP325" s="10" cm="1">
        <f t="array" aca="1" ref="EP325" ca="1">(1-$B$18)*SUMPRODUCT(OFFSET($BO$15,0,0,$B$14,1), 1*(_xlfn._xlws.FILTER(OFFSET($O$15,0,$DN325,$B$8,1),OFFSET($M$15,0,0,$B$8,1))=EP$13), 1*(_xlfn._xlws.FILTER(OFFSET($O$15,0,$DO325,$B$8,1),OFFSET($M$15,0,0,$B$8,1))=EP$14))   /   SUM(OFFSET($BO$15,0,0,$B$14,1)) + $B$18/($B$19*$B$19*($DN325&lt;&gt;$DO325) + $B$19*($DN325=$DO325))</f>
        <v>3.7037037037037035E-4</v>
      </c>
      <c r="EQ325" s="10" cm="1">
        <f t="array" aca="1" ref="EQ325" ca="1">(1-$B$18)*SUMPRODUCT(OFFSET($BO$15,0,0,$B$14,1), 1*(_xlfn._xlws.FILTER(OFFSET($O$15,0,$DN325,$B$8,1),OFFSET($M$15,0,0,$B$8,1))=EQ$13), 1*(_xlfn._xlws.FILTER(OFFSET($O$15,0,$DO325,$B$8,1),OFFSET($M$15,0,0,$B$8,1))=EQ$14))   /   SUM(OFFSET($BO$15,0,0,$B$14,1)) + $B$18/($B$19*$B$19*($DN325&lt;&gt;$DO325) + $B$19*($DN325=$DO325))</f>
        <v>3.7037037037037035E-4</v>
      </c>
      <c r="ER325" s="10" cm="1">
        <f t="array" aca="1" ref="ER325" ca="1">(1-$B$18)*SUMPRODUCT(OFFSET($BO$15,0,0,$B$14,1), 1*(_xlfn._xlws.FILTER(OFFSET($O$15,0,$DN325,$B$8,1),OFFSET($M$15,0,0,$B$8,1))=ER$13), 1*(_xlfn._xlws.FILTER(OFFSET($O$15,0,$DO325,$B$8,1),OFFSET($M$15,0,0,$B$8,1))=ER$14))   /   SUM(OFFSET($BO$15,0,0,$B$14,1)) + $B$18/($B$19*$B$19*($DN325&lt;&gt;$DO325) + $B$19*($DN325=$DO325))</f>
        <v>3.7037037037037035E-4</v>
      </c>
      <c r="ES325" s="10" cm="1">
        <f t="array" aca="1" ref="ES325" ca="1">(1-$B$18)*SUMPRODUCT(OFFSET($BO$15,0,0,$B$14,1), 1*(_xlfn._xlws.FILTER(OFFSET($O$15,0,$DN325,$B$8,1),OFFSET($M$15,0,0,$B$8,1))=ES$13), 1*(_xlfn._xlws.FILTER(OFFSET($O$15,0,$DO325,$B$8,1),OFFSET($M$15,0,0,$B$8,1))=ES$14))   /   SUM(OFFSET($BO$15,0,0,$B$14,1)) + $B$18/($B$19*$B$19*($DN325&lt;&gt;$DO325) + $B$19*($DN325=$DO325))</f>
        <v>3.7037037037037035E-4</v>
      </c>
      <c r="ET325" s="10" cm="1">
        <f t="array" aca="1" ref="ET325" ca="1">(1-$B$18)*SUMPRODUCT(OFFSET($BO$15,0,0,$B$14,1), 1*(_xlfn._xlws.FILTER(OFFSET($O$15,0,$DN325,$B$8,1),OFFSET($M$15,0,0,$B$8,1))=ET$13), 1*(_xlfn._xlws.FILTER(OFFSET($O$15,0,$DO325,$B$8,1),OFFSET($M$15,0,0,$B$8,1))=ET$14))   /   SUM(OFFSET($BO$15,0,0,$B$14,1)) + $B$18/($B$19*$B$19*($DN325&lt;&gt;$DO325) + $B$19*($DN325=$DO325))</f>
        <v>0.97037037037037033</v>
      </c>
      <c r="EU325" s="10" cm="1">
        <f t="array" aca="1" ref="EU325" ca="1">(1-$B$18)*SUMPRODUCT(OFFSET($BO$15,0,0,$B$14,1), 1*(_xlfn._xlws.FILTER(OFFSET($O$15,0,$DN325,$B$8,1),OFFSET($M$15,0,0,$B$8,1))=EU$13), 1*(_xlfn._xlws.FILTER(OFFSET($O$15,0,$DO325,$B$8,1),OFFSET($M$15,0,0,$B$8,1))=EU$14))   /   SUM(OFFSET($BO$15,0,0,$B$14,1)) + $B$18/($B$19*$B$19*($DN325&lt;&gt;$DO325) + $B$19*($DN325=$DO325))</f>
        <v>3.7037037037037035E-4</v>
      </c>
      <c r="EV325" s="10" cm="1">
        <f t="array" aca="1" ref="EV325" ca="1">(1-$B$18)*SUMPRODUCT(OFFSET($BO$15,0,0,$B$14,1), 1*(_xlfn._xlws.FILTER(OFFSET($O$15,0,$DN325,$B$8,1),OFFSET($M$15,0,0,$B$8,1))=EV$13), 1*(_xlfn._xlws.FILTER(OFFSET($O$15,0,$DO325,$B$8,1),OFFSET($M$15,0,0,$B$8,1))=EV$14))   /   SUM(OFFSET($BO$15,0,0,$B$14,1)) + $B$18/($B$19*$B$19*($DN325&lt;&gt;$DO325) + $B$19*($DN325=$DO325))</f>
        <v>3.7037037037037035E-4</v>
      </c>
      <c r="EW325" s="10" cm="1">
        <f t="array" aca="1" ref="EW325" ca="1">(1-$B$18)*SUMPRODUCT(OFFSET($BO$15,0,0,$B$14,1), 1*(_xlfn._xlws.FILTER(OFFSET($O$15,0,$DN325,$B$8,1),OFFSET($M$15,0,0,$B$8,1))=EW$13), 1*(_xlfn._xlws.FILTER(OFFSET($O$15,0,$DO325,$B$8,1),OFFSET($M$15,0,0,$B$8,1))=EW$14))   /   SUM(OFFSET($BO$15,0,0,$B$14,1)) + $B$18/($B$19*$B$19*($DN325&lt;&gt;$DO325) + $B$19*($DN325=$DO325))</f>
        <v>3.7037037037037035E-4</v>
      </c>
      <c r="EX325" s="10" cm="1">
        <f t="array" aca="1" ref="EX325" ca="1">(1-$B$18)*SUMPRODUCT(OFFSET($BO$15,0,0,$B$14,1), 1*(_xlfn._xlws.FILTER(OFFSET($O$15,0,$DN325,$B$8,1),OFFSET($M$15,0,0,$B$8,1))=EX$13), 1*(_xlfn._xlws.FILTER(OFFSET($O$15,0,$DO325,$B$8,1),OFFSET($M$15,0,0,$B$8,1))=EX$14))   /   SUM(OFFSET($BO$15,0,0,$B$14,1)) + $B$18/($B$19*$B$19*($DN325&lt;&gt;$DO325) + $B$19*($DN325=$DO325))</f>
        <v>3.7037037037037035E-4</v>
      </c>
      <c r="EY325" s="10" cm="1">
        <f t="array" aca="1" ref="EY325" ca="1">(1-$B$18)*SUMPRODUCT(OFFSET($BO$15,0,0,$B$14,1), 1*(_xlfn._xlws.FILTER(OFFSET($O$15,0,$DN325,$B$8,1),OFFSET($M$15,0,0,$B$8,1))=EY$13), 1*(_xlfn._xlws.FILTER(OFFSET($O$15,0,$DO325,$B$8,1),OFFSET($M$15,0,0,$B$8,1))=EY$14))   /   SUM(OFFSET($BO$15,0,0,$B$14,1)) + $B$18/($B$19*$B$19*($DN325&lt;&gt;$DO325) + $B$19*($DN325=$DO325))</f>
        <v>3.7037037037037035E-4</v>
      </c>
      <c r="EZ325" s="10" cm="1">
        <f t="array" aca="1" ref="EZ325" ca="1">(1-$B$18)*SUMPRODUCT(OFFSET($BO$15,0,0,$B$14,1), 1*(_xlfn._xlws.FILTER(OFFSET($O$15,0,$DN325,$B$8,1),OFFSET($M$15,0,0,$B$8,1))=EZ$13), 1*(_xlfn._xlws.FILTER(OFFSET($O$15,0,$DO325,$B$8,1),OFFSET($M$15,0,0,$B$8,1))=EZ$14))   /   SUM(OFFSET($BO$15,0,0,$B$14,1)) + $B$18/($B$19*$B$19*($DN325&lt;&gt;$DO325) + $B$19*($DN325=$DO325))</f>
        <v>3.7037037037037035E-4</v>
      </c>
      <c r="FA325" s="10" cm="1">
        <f t="array" aca="1" ref="FA325" ca="1">(1-$B$18)*SUMPRODUCT(OFFSET($BO$15,0,0,$B$14,1), 1*(_xlfn._xlws.FILTER(OFFSET($O$15,0,$DN325,$B$8,1),OFFSET($M$15,0,0,$B$8,1))=FA$13), 1*(_xlfn._xlws.FILTER(OFFSET($O$15,0,$DO325,$B$8,1),OFFSET($M$15,0,0,$B$8,1))=FA$14))   /   SUM(OFFSET($BO$15,0,0,$B$14,1)) + $B$18/($B$19*$B$19*($DN325&lt;&gt;$DO325) + $B$19*($DN325=$DO325))</f>
        <v>3.7037037037037035E-4</v>
      </c>
      <c r="FB325" s="10" cm="1">
        <f t="array" aca="1" ref="FB325" ca="1">(1-$B$18)*SUMPRODUCT(OFFSET($BO$15,0,0,$B$14,1), 1*(_xlfn._xlws.FILTER(OFFSET($O$15,0,$DN325,$B$8,1),OFFSET($M$15,0,0,$B$8,1))=FB$13), 1*(_xlfn._xlws.FILTER(OFFSET($O$15,0,$DO325,$B$8,1),OFFSET($M$15,0,0,$B$8,1))=FB$14))   /   SUM(OFFSET($BO$15,0,0,$B$14,1)) + $B$18/($B$19*$B$19*($DN325&lt;&gt;$DO325) + $B$19*($DN325=$DO325))</f>
        <v>3.7037037037037035E-4</v>
      </c>
      <c r="FC325" s="10" cm="1">
        <f t="array" aca="1" ref="FC325" ca="1">(1-$B$18)*SUMPRODUCT(OFFSET($BO$15,0,0,$B$14,1), 1*(_xlfn._xlws.FILTER(OFFSET($O$15,0,$DN325,$B$8,1),OFFSET($M$15,0,0,$B$8,1))=FC$13), 1*(_xlfn._xlws.FILTER(OFFSET($O$15,0,$DO325,$B$8,1),OFFSET($M$15,0,0,$B$8,1))=FC$14))   /   SUM(OFFSET($BO$15,0,0,$B$14,1)) + $B$18/($B$19*$B$19*($DN325&lt;&gt;$DO325) + $B$19*($DN325=$DO325))</f>
        <v>3.7037037037037035E-4</v>
      </c>
      <c r="FD325" s="10" cm="1">
        <f t="array" aca="1" ref="FD325" ca="1">(1-$B$18)*SUMPRODUCT(OFFSET($BO$15,0,0,$B$14,1), 1*(_xlfn._xlws.FILTER(OFFSET($O$15,0,$DN325,$B$8,1),OFFSET($M$15,0,0,$B$8,1))=FD$13), 1*(_xlfn._xlws.FILTER(OFFSET($O$15,0,$DO325,$B$8,1),OFFSET($M$15,0,0,$B$8,1))=FD$14))   /   SUM(OFFSET($BO$15,0,0,$B$14,1)) + $B$18/($B$19*$B$19*($DN325&lt;&gt;$DO325) + $B$19*($DN325=$DO325))</f>
        <v>3.7037037037037035E-4</v>
      </c>
      <c r="FE325" s="10" cm="1">
        <f t="array" aca="1" ref="FE325" ca="1">(1-$B$18)*SUMPRODUCT(OFFSET($BO$15,0,0,$B$14,1), 1*(_xlfn._xlws.FILTER(OFFSET($O$15,0,$DN325,$B$8,1),OFFSET($M$15,0,0,$B$8,1))=FE$13), 1*(_xlfn._xlws.FILTER(OFFSET($O$15,0,$DO325,$B$8,1),OFFSET($M$15,0,0,$B$8,1))=FE$14))   /   SUM(OFFSET($BO$15,0,0,$B$14,1)) + $B$18/($B$19*$B$19*($DN325&lt;&gt;$DO325) + $B$19*($DN325=$DO325))</f>
        <v>3.7037037037037035E-4</v>
      </c>
      <c r="FF325" s="10" cm="1">
        <f t="array" aca="1" ref="FF325" ca="1">(1-$B$18)*SUMPRODUCT(OFFSET($BO$15,0,0,$B$14,1), 1*(_xlfn._xlws.FILTER(OFFSET($O$15,0,$DN325,$B$8,1),OFFSET($M$15,0,0,$B$8,1))=FF$13), 1*(_xlfn._xlws.FILTER(OFFSET($O$15,0,$DO325,$B$8,1),OFFSET($M$15,0,0,$B$8,1))=FF$14))   /   SUM(OFFSET($BO$15,0,0,$B$14,1)) + $B$18/($B$19*$B$19*($DN325&lt;&gt;$DO325) + $B$19*($DN325=$DO325))</f>
        <v>3.7037037037037035E-4</v>
      </c>
      <c r="FG325" s="10" cm="1">
        <f t="array" aca="1" ref="FG325" ca="1">(1-$B$18)*SUMPRODUCT(OFFSET($BO$15,0,0,$B$14,1), 1*(_xlfn._xlws.FILTER(OFFSET($O$15,0,$DN325,$B$8,1),OFFSET($M$15,0,0,$B$8,1))=FG$13), 1*(_xlfn._xlws.FILTER(OFFSET($O$15,0,$DO325,$B$8,1),OFFSET($M$15,0,0,$B$8,1))=FG$14))   /   SUM(OFFSET($BO$15,0,0,$B$14,1)) + $B$18/($B$19*$B$19*($DN325&lt;&gt;$DO325) + $B$19*($DN325=$DO325))</f>
        <v>3.7037037037037035E-4</v>
      </c>
      <c r="FH325" s="10" cm="1">
        <f t="array" aca="1" ref="FH325" ca="1">(1-$B$18)*SUMPRODUCT(OFFSET($BO$15,0,0,$B$14,1), 1*(_xlfn._xlws.FILTER(OFFSET($O$15,0,$DN325,$B$8,1),OFFSET($M$15,0,0,$B$8,1))=FH$13), 1*(_xlfn._xlws.FILTER(OFFSET($O$15,0,$DO325,$B$8,1),OFFSET($M$15,0,0,$B$8,1))=FH$14))   /   SUM(OFFSET($BO$15,0,0,$B$14,1)) + $B$18/($B$19*$B$19*($DN325&lt;&gt;$DO325) + $B$19*($DN325=$DO325))</f>
        <v>3.7037037037037035E-4</v>
      </c>
      <c r="FI325" s="10" cm="1">
        <f t="array" aca="1" ref="FI325" ca="1">(1-$B$18)*SUMPRODUCT(OFFSET($BO$15,0,0,$B$14,1), 1*(_xlfn._xlws.FILTER(OFFSET($O$15,0,$DN325,$B$8,1),OFFSET($M$15,0,0,$B$8,1))=FI$13), 1*(_xlfn._xlws.FILTER(OFFSET($O$15,0,$DO325,$B$8,1),OFFSET($M$15,0,0,$B$8,1))=FI$14))   /   SUM(OFFSET($BO$15,0,0,$B$14,1)) + $B$18/($B$19*$B$19*($DN325&lt;&gt;$DO325) + $B$19*($DN325=$DO325))</f>
        <v>3.7037037037037035E-4</v>
      </c>
      <c r="FJ325" s="10" cm="1">
        <f t="array" aca="1" ref="FJ325" ca="1">(1-$B$18)*SUMPRODUCT(OFFSET($BO$15,0,0,$B$14,1), 1*(_xlfn._xlws.FILTER(OFFSET($O$15,0,$DN325,$B$8,1),OFFSET($M$15,0,0,$B$8,1))=FJ$13), 1*(_xlfn._xlws.FILTER(OFFSET($O$15,0,$DO325,$B$8,1),OFFSET($M$15,0,0,$B$8,1))=FJ$14))   /   SUM(OFFSET($BO$15,0,0,$B$14,1)) + $B$18/($B$19*$B$19*($DN325&lt;&gt;$DO325) + $B$19*($DN325=$DO325))</f>
        <v>3.7037037037037035E-4</v>
      </c>
      <c r="FK325" s="10" cm="1">
        <f t="array" aca="1" ref="FK325" ca="1">(1-$B$18)*SUMPRODUCT(OFFSET($BO$15,0,0,$B$14,1), 1*(_xlfn._xlws.FILTER(OFFSET($O$15,0,$DN325,$B$8,1),OFFSET($M$15,0,0,$B$8,1))=FK$13), 1*(_xlfn._xlws.FILTER(OFFSET($O$15,0,$DO325,$B$8,1),OFFSET($M$15,0,0,$B$8,1))=FK$14))   /   SUM(OFFSET($BO$15,0,0,$B$14,1)) + $B$18/($B$19*$B$19*($DN325&lt;&gt;$DO325) + $B$19*($DN325=$DO325))</f>
        <v>3.7037037037037035E-4</v>
      </c>
      <c r="FL325" s="10" cm="1">
        <f t="array" aca="1" ref="FL325" ca="1">(1-$B$18)*SUMPRODUCT(OFFSET($BO$15,0,0,$B$14,1), 1*(_xlfn._xlws.FILTER(OFFSET($O$15,0,$DN325,$B$8,1),OFFSET($M$15,0,0,$B$8,1))=FL$13), 1*(_xlfn._xlws.FILTER(OFFSET($O$15,0,$DO325,$B$8,1),OFFSET($M$15,0,0,$B$8,1))=FL$14))   /   SUM(OFFSET($BO$15,0,0,$B$14,1)) + $B$18/($B$19*$B$19*($DN325&lt;&gt;$DO325) + $B$19*($DN325=$DO325))</f>
        <v>3.7037037037037035E-4</v>
      </c>
      <c r="FM325" s="10" cm="1">
        <f t="array" aca="1" ref="FM325" ca="1">(1-$B$18)*SUMPRODUCT(OFFSET($BO$15,0,0,$B$14,1), 1*(_xlfn._xlws.FILTER(OFFSET($O$15,0,$DN325,$B$8,1),OFFSET($M$15,0,0,$B$8,1))=FM$13), 1*(_xlfn._xlws.FILTER(OFFSET($O$15,0,$DO325,$B$8,1),OFFSET($M$15,0,0,$B$8,1))=FM$14))   /   SUM(OFFSET($BO$15,0,0,$B$14,1)) + $B$18/($B$19*$B$19*($DN325&lt;&gt;$DO325) + $B$19*($DN325=$DO325))</f>
        <v>3.7037037037037035E-4</v>
      </c>
      <c r="FN325" s="10" cm="1">
        <f t="array" aca="1" ref="FN325" ca="1">(1-$B$18)*SUMPRODUCT(OFFSET($BO$15,0,0,$B$14,1), 1*(_xlfn._xlws.FILTER(OFFSET($O$15,0,$DN325,$B$8,1),OFFSET($M$15,0,0,$B$8,1))=FN$13), 1*(_xlfn._xlws.FILTER(OFFSET($O$15,0,$DO325,$B$8,1),OFFSET($M$15,0,0,$B$8,1))=FN$14))   /   SUM(OFFSET($BO$15,0,0,$B$14,1)) + $B$18/($B$19*$B$19*($DN325&lt;&gt;$DO325) + $B$19*($DN325=$DO325))</f>
        <v>3.7037037037037035E-4</v>
      </c>
      <c r="FO325" s="10" cm="1">
        <f t="array" aca="1" ref="FO325" ca="1">(1-$B$18)*SUMPRODUCT(OFFSET($BO$15,0,0,$B$14,1), 1*(_xlfn._xlws.FILTER(OFFSET($O$15,0,$DN325,$B$8,1),OFFSET($M$15,0,0,$B$8,1))=FO$13), 1*(_xlfn._xlws.FILTER(OFFSET($O$15,0,$DO325,$B$8,1),OFFSET($M$15,0,0,$B$8,1))=FO$14))   /   SUM(OFFSET($BO$15,0,0,$B$14,1)) + $B$18/($B$19*$B$19*($DN325&lt;&gt;$DO325) + $B$19*($DN325=$DO325))</f>
        <v>3.7037037037037035E-4</v>
      </c>
      <c r="FP325" s="10" cm="1">
        <f t="array" aca="1" ref="FP325" ca="1">(1-$B$18)*SUMPRODUCT(OFFSET($BO$15,0,0,$B$14,1), 1*(_xlfn._xlws.FILTER(OFFSET($O$15,0,$DN325,$B$8,1),OFFSET($M$15,0,0,$B$8,1))=FP$13), 1*(_xlfn._xlws.FILTER(OFFSET($O$15,0,$DO325,$B$8,1),OFFSET($M$15,0,0,$B$8,1))=FP$14))   /   SUM(OFFSET($BO$15,0,0,$B$14,1)) + $B$18/($B$19*$B$19*($DN325&lt;&gt;$DO325) + $B$19*($DN325=$DO325))</f>
        <v>3.7037037037037035E-4</v>
      </c>
      <c r="FQ325" s="10" cm="1">
        <f t="array" aca="1" ref="FQ325" ca="1">(1-$B$18)*SUMPRODUCT(OFFSET($BO$15,0,0,$B$14,1), 1*(_xlfn._xlws.FILTER(OFFSET($O$15,0,$DN325,$B$8,1),OFFSET($M$15,0,0,$B$8,1))=FQ$13), 1*(_xlfn._xlws.FILTER(OFFSET($O$15,0,$DO325,$B$8,1),OFFSET($M$15,0,0,$B$8,1))=FQ$14))   /   SUM(OFFSET($BO$15,0,0,$B$14,1)) + $B$18/($B$19*$B$19*($DN325&lt;&gt;$DO325) + $B$19*($DN325=$DO325))</f>
        <v>3.7037037037037035E-4</v>
      </c>
      <c r="FR325" s="10" cm="1">
        <f t="array" aca="1" ref="FR325" ca="1">(1-$B$18)*SUMPRODUCT(OFFSET($BO$15,0,0,$B$14,1), 1*(_xlfn._xlws.FILTER(OFFSET($O$15,0,$DN325,$B$8,1),OFFSET($M$15,0,0,$B$8,1))=FR$13), 1*(_xlfn._xlws.FILTER(OFFSET($O$15,0,$DO325,$B$8,1),OFFSET($M$15,0,0,$B$8,1))=FR$14))   /   SUM(OFFSET($BO$15,0,0,$B$14,1)) + $B$18/($B$19*$B$19*($DN325&lt;&gt;$DO325) + $B$19*($DN325=$DO325))</f>
        <v>3.7037037037037035E-4</v>
      </c>
      <c r="FS325" s="10" cm="1">
        <f t="array" aca="1" ref="FS325" ca="1">(1-$B$18)*SUMPRODUCT(OFFSET($BO$15,0,0,$B$14,1), 1*(_xlfn._xlws.FILTER(OFFSET($O$15,0,$DN325,$B$8,1),OFFSET($M$15,0,0,$B$8,1))=FS$13), 1*(_xlfn._xlws.FILTER(OFFSET($O$15,0,$DO325,$B$8,1),OFFSET($M$15,0,0,$B$8,1))=FS$14))   /   SUM(OFFSET($BO$15,0,0,$B$14,1)) + $B$18/($B$19*$B$19*($DN325&lt;&gt;$DO325) + $B$19*($DN325=$DO325))</f>
        <v>3.7037037037037035E-4</v>
      </c>
      <c r="FT325" s="10" cm="1">
        <f t="array" aca="1" ref="FT325" ca="1">(1-$B$18)*SUMPRODUCT(OFFSET($BO$15,0,0,$B$14,1), 1*(_xlfn._xlws.FILTER(OFFSET($O$15,0,$DN325,$B$8,1),OFFSET($M$15,0,0,$B$8,1))=FT$13), 1*(_xlfn._xlws.FILTER(OFFSET($O$15,0,$DO325,$B$8,1),OFFSET($M$15,0,0,$B$8,1))=FT$14))   /   SUM(OFFSET($BO$15,0,0,$B$14,1)) + $B$18/($B$19*$B$19*($DN325&lt;&gt;$DO325) + $B$19*($DN325=$DO325))</f>
        <v>3.7037037037037035E-4</v>
      </c>
      <c r="FU325" s="10" cm="1">
        <f t="array" aca="1" ref="FU325" ca="1">(1-$B$18)*SUMPRODUCT(OFFSET($BO$15,0,0,$B$14,1), 1*(_xlfn._xlws.FILTER(OFFSET($O$15,0,$DN325,$B$8,1),OFFSET($M$15,0,0,$B$8,1))=FU$13), 1*(_xlfn._xlws.FILTER(OFFSET($O$15,0,$DO325,$B$8,1),OFFSET($M$15,0,0,$B$8,1))=FU$14))   /   SUM(OFFSET($BO$15,0,0,$B$14,1)) + $B$18/($B$19*$B$19*($DN325&lt;&gt;$DO325) + $B$19*($DN325=$DO325))</f>
        <v>3.7037037037037035E-4</v>
      </c>
      <c r="FV325" s="10" cm="1">
        <f t="array" aca="1" ref="FV325" ca="1">(1-$B$18)*SUMPRODUCT(OFFSET($BO$15,0,0,$B$14,1), 1*(_xlfn._xlws.FILTER(OFFSET($O$15,0,$DN325,$B$8,1),OFFSET($M$15,0,0,$B$8,1))=FV$13), 1*(_xlfn._xlws.FILTER(OFFSET($O$15,0,$DO325,$B$8,1),OFFSET($M$15,0,0,$B$8,1))=FV$14))   /   SUM(OFFSET($BO$15,0,0,$B$14,1)) + $B$18/($B$19*$B$19*($DN325&lt;&gt;$DO325) + $B$19*($DN325=$DO325))</f>
        <v>3.7037037037037035E-4</v>
      </c>
      <c r="FW325" s="10" cm="1">
        <f t="array" aca="1" ref="FW325" ca="1">(1-$B$18)*SUMPRODUCT(OFFSET($BO$15,0,0,$B$14,1), 1*(_xlfn._xlws.FILTER(OFFSET($O$15,0,$DN325,$B$8,1),OFFSET($M$15,0,0,$B$8,1))=FW$13), 1*(_xlfn._xlws.FILTER(OFFSET($O$15,0,$DO325,$B$8,1),OFFSET($M$15,0,0,$B$8,1))=FW$14))   /   SUM(OFFSET($BO$15,0,0,$B$14,1)) + $B$18/($B$19*$B$19*($DN325&lt;&gt;$DO325) + $B$19*($DN325=$DO325))</f>
        <v>3.7037037037037035E-4</v>
      </c>
      <c r="FX325" s="10" cm="1">
        <f t="array" aca="1" ref="FX325" ca="1">(1-$B$18)*SUMPRODUCT(OFFSET($BO$15,0,0,$B$14,1), 1*(_xlfn._xlws.FILTER(OFFSET($O$15,0,$DN325,$B$8,1),OFFSET($M$15,0,0,$B$8,1))=FX$13), 1*(_xlfn._xlws.FILTER(OFFSET($O$15,0,$DO325,$B$8,1),OFFSET($M$15,0,0,$B$8,1))=FX$14))   /   SUM(OFFSET($BO$15,0,0,$B$14,1)) + $B$18/($B$19*$B$19*($DN325&lt;&gt;$DO325) + $B$19*($DN325=$DO325))</f>
        <v>3.7037037037037035E-4</v>
      </c>
      <c r="FY325" s="10" cm="1">
        <f t="array" aca="1" ref="FY325" ca="1">(1-$B$18)*SUMPRODUCT(OFFSET($BO$15,0,0,$B$14,1), 1*(_xlfn._xlws.FILTER(OFFSET($O$15,0,$DN325,$B$8,1),OFFSET($M$15,0,0,$B$8,1))=FY$13), 1*(_xlfn._xlws.FILTER(OFFSET($O$15,0,$DO325,$B$8,1),OFFSET($M$15,0,0,$B$8,1))=FY$14))   /   SUM(OFFSET($BO$15,0,0,$B$14,1)) + $B$18/($B$19*$B$19*($DN325&lt;&gt;$DO325) + $B$19*($DN325=$DO325))</f>
        <v>3.7037037037037035E-4</v>
      </c>
      <c r="FZ325" s="10" cm="1">
        <f t="array" aca="1" ref="FZ325" ca="1">(1-$B$18)*SUMPRODUCT(OFFSET($BO$15,0,0,$B$14,1), 1*(_xlfn._xlws.FILTER(OFFSET($O$15,0,$DN325,$B$8,1),OFFSET($M$15,0,0,$B$8,1))=FZ$13), 1*(_xlfn._xlws.FILTER(OFFSET($O$15,0,$DO325,$B$8,1),OFFSET($M$15,0,0,$B$8,1))=FZ$14))   /   SUM(OFFSET($BO$15,0,0,$B$14,1)) + $B$18/($B$19*$B$19*($DN325&lt;&gt;$DO325) + $B$19*($DN325=$DO325))</f>
        <v>3.7037037037037035E-4</v>
      </c>
      <c r="GA325" s="10" cm="1">
        <f t="array" aca="1" ref="GA325" ca="1">(1-$B$18)*SUMPRODUCT(OFFSET($BO$15,0,0,$B$14,1), 1*(_xlfn._xlws.FILTER(OFFSET($O$15,0,$DN325,$B$8,1),OFFSET($M$15,0,0,$B$8,1))=GA$13), 1*(_xlfn._xlws.FILTER(OFFSET($O$15,0,$DO325,$B$8,1),OFFSET($M$15,0,0,$B$8,1))=GA$14))   /   SUM(OFFSET($BO$15,0,0,$B$14,1)) + $B$18/($B$19*$B$19*($DN325&lt;&gt;$DO325) + $B$19*($DN325=$DO325))</f>
        <v>3.7037037037037035E-4</v>
      </c>
    </row>
    <row r="326" spans="118:183" x14ac:dyDescent="0.2">
      <c r="DN326" cm="1">
        <f t="array" aca="1" ref="DN326" ca="1">INDEX(_xlfn.ANCHORARRAY($CP$15), 1 + INT((ROWS($DO$15:$DO326) - 1) / ROWS(_xlfn.ANCHORARRAY($CP$15))))</f>
        <v>19</v>
      </c>
      <c r="DO326" cm="1">
        <f t="array" aca="1" ref="DO326" ca="1">INDEX(_xlfn.ANCHORARRAY($CP$15),1+MOD(ROWS($DO$15:$DO326)-1,ROWS(_xlfn.ANCHORARRAY($CP$15))))</f>
        <v>7</v>
      </c>
      <c r="DP326" s="10" cm="1">
        <f t="array" aca="1" ref="DP326" ca="1">(1-$B$18)*SUMPRODUCT(OFFSET($BO$15,0,0,$B$14,1), 1*(_xlfn._xlws.FILTER(OFFSET($O$15,0,$DN326,$B$8,1),OFFSET($M$15,0,0,$B$8,1))=DP$13), 1*(_xlfn._xlws.FILTER(OFFSET($O$15,0,$DO326,$B$8,1),OFFSET($M$15,0,0,$B$8,1))=DP$14))   /   SUM(OFFSET($BO$15,0,0,$B$14,1)) + $B$18/($B$19*$B$19*($DN326&lt;&gt;$DO326) + $B$19*($DN326=$DO326))</f>
        <v>3.7037037037037035E-4</v>
      </c>
      <c r="DQ326" s="10" cm="1">
        <f t="array" aca="1" ref="DQ326" ca="1">(1-$B$18)*SUMPRODUCT(OFFSET($BO$15,0,0,$B$14,1), 1*(_xlfn._xlws.FILTER(OFFSET($O$15,0,$DN326,$B$8,1),OFFSET($M$15,0,0,$B$8,1))=DQ$13), 1*(_xlfn._xlws.FILTER(OFFSET($O$15,0,$DO326,$B$8,1),OFFSET($M$15,0,0,$B$8,1))=DQ$14))   /   SUM(OFFSET($BO$15,0,0,$B$14,1)) + $B$18/($B$19*$B$19*($DN326&lt;&gt;$DO326) + $B$19*($DN326=$DO326))</f>
        <v>3.7037037037037035E-4</v>
      </c>
      <c r="DR326" s="10" cm="1">
        <f t="array" aca="1" ref="DR326" ca="1">(1-$B$18)*SUMPRODUCT(OFFSET($BO$15,0,0,$B$14,1), 1*(_xlfn._xlws.FILTER(OFFSET($O$15,0,$DN326,$B$8,1),OFFSET($M$15,0,0,$B$8,1))=DR$13), 1*(_xlfn._xlws.FILTER(OFFSET($O$15,0,$DO326,$B$8,1),OFFSET($M$15,0,0,$B$8,1))=DR$14))   /   SUM(OFFSET($BO$15,0,0,$B$14,1)) + $B$18/($B$19*$B$19*($DN326&lt;&gt;$DO326) + $B$19*($DN326=$DO326))</f>
        <v>3.7037037037037035E-4</v>
      </c>
      <c r="DS326" s="10" cm="1">
        <f t="array" aca="1" ref="DS326" ca="1">(1-$B$18)*SUMPRODUCT(OFFSET($BO$15,0,0,$B$14,1), 1*(_xlfn._xlws.FILTER(OFFSET($O$15,0,$DN326,$B$8,1),OFFSET($M$15,0,0,$B$8,1))=DS$13), 1*(_xlfn._xlws.FILTER(OFFSET($O$15,0,$DO326,$B$8,1),OFFSET($M$15,0,0,$B$8,1))=DS$14))   /   SUM(OFFSET($BO$15,0,0,$B$14,1)) + $B$18/($B$19*$B$19*($DN326&lt;&gt;$DO326) + $B$19*($DN326=$DO326))</f>
        <v>3.7037037037037035E-4</v>
      </c>
      <c r="DT326" s="10" cm="1">
        <f t="array" aca="1" ref="DT326" ca="1">(1-$B$18)*SUMPRODUCT(OFFSET($BO$15,0,0,$B$14,1), 1*(_xlfn._xlws.FILTER(OFFSET($O$15,0,$DN326,$B$8,1),OFFSET($M$15,0,0,$B$8,1))=DT$13), 1*(_xlfn._xlws.FILTER(OFFSET($O$15,0,$DO326,$B$8,1),OFFSET($M$15,0,0,$B$8,1))=DT$14))   /   SUM(OFFSET($BO$15,0,0,$B$14,1)) + $B$18/($B$19*$B$19*($DN326&lt;&gt;$DO326) + $B$19*($DN326=$DO326))</f>
        <v>3.7037037037037035E-4</v>
      </c>
      <c r="DU326" s="10" cm="1">
        <f t="array" aca="1" ref="DU326" ca="1">(1-$B$18)*SUMPRODUCT(OFFSET($BO$15,0,0,$B$14,1), 1*(_xlfn._xlws.FILTER(OFFSET($O$15,0,$DN326,$B$8,1),OFFSET($M$15,0,0,$B$8,1))=DU$13), 1*(_xlfn._xlws.FILTER(OFFSET($O$15,0,$DO326,$B$8,1),OFFSET($M$15,0,0,$B$8,1))=DU$14))   /   SUM(OFFSET($BO$15,0,0,$B$14,1)) + $B$18/($B$19*$B$19*($DN326&lt;&gt;$DO326) + $B$19*($DN326=$DO326))</f>
        <v>3.7037037037037035E-4</v>
      </c>
      <c r="DV326" s="10" cm="1">
        <f t="array" aca="1" ref="DV326" ca="1">(1-$B$18)*SUMPRODUCT(OFFSET($BO$15,0,0,$B$14,1), 1*(_xlfn._xlws.FILTER(OFFSET($O$15,0,$DN326,$B$8,1),OFFSET($M$15,0,0,$B$8,1))=DV$13), 1*(_xlfn._xlws.FILTER(OFFSET($O$15,0,$DO326,$B$8,1),OFFSET($M$15,0,0,$B$8,1))=DV$14))   /   SUM(OFFSET($BO$15,0,0,$B$14,1)) + $B$18/($B$19*$B$19*($DN326&lt;&gt;$DO326) + $B$19*($DN326=$DO326))</f>
        <v>3.7037037037037035E-4</v>
      </c>
      <c r="DW326" s="10" cm="1">
        <f t="array" aca="1" ref="DW326" ca="1">(1-$B$18)*SUMPRODUCT(OFFSET($BO$15,0,0,$B$14,1), 1*(_xlfn._xlws.FILTER(OFFSET($O$15,0,$DN326,$B$8,1),OFFSET($M$15,0,0,$B$8,1))=DW$13), 1*(_xlfn._xlws.FILTER(OFFSET($O$15,0,$DO326,$B$8,1),OFFSET($M$15,0,0,$B$8,1))=DW$14))   /   SUM(OFFSET($BO$15,0,0,$B$14,1)) + $B$18/($B$19*$B$19*($DN326&lt;&gt;$DO326) + $B$19*($DN326=$DO326))</f>
        <v>3.7037037037037035E-4</v>
      </c>
      <c r="DX326" s="10" cm="1">
        <f t="array" aca="1" ref="DX326" ca="1">(1-$B$18)*SUMPRODUCT(OFFSET($BO$15,0,0,$B$14,1), 1*(_xlfn._xlws.FILTER(OFFSET($O$15,0,$DN326,$B$8,1),OFFSET($M$15,0,0,$B$8,1))=DX$13), 1*(_xlfn._xlws.FILTER(OFFSET($O$15,0,$DO326,$B$8,1),OFFSET($M$15,0,0,$B$8,1))=DX$14))   /   SUM(OFFSET($BO$15,0,0,$B$14,1)) + $B$18/($B$19*$B$19*($DN326&lt;&gt;$DO326) + $B$19*($DN326=$DO326))</f>
        <v>3.7037037037037035E-4</v>
      </c>
      <c r="DY326" s="10" cm="1">
        <f t="array" aca="1" ref="DY326" ca="1">(1-$B$18)*SUMPRODUCT(OFFSET($BO$15,0,0,$B$14,1), 1*(_xlfn._xlws.FILTER(OFFSET($O$15,0,$DN326,$B$8,1),OFFSET($M$15,0,0,$B$8,1))=DY$13), 1*(_xlfn._xlws.FILTER(OFFSET($O$15,0,$DO326,$B$8,1),OFFSET($M$15,0,0,$B$8,1))=DY$14))   /   SUM(OFFSET($BO$15,0,0,$B$14,1)) + $B$18/($B$19*$B$19*($DN326&lt;&gt;$DO326) + $B$19*($DN326=$DO326))</f>
        <v>3.7037037037037035E-4</v>
      </c>
      <c r="DZ326" s="10" cm="1">
        <f t="array" aca="1" ref="DZ326" ca="1">(1-$B$18)*SUMPRODUCT(OFFSET($BO$15,0,0,$B$14,1), 1*(_xlfn._xlws.FILTER(OFFSET($O$15,0,$DN326,$B$8,1),OFFSET($M$15,0,0,$B$8,1))=DZ$13), 1*(_xlfn._xlws.FILTER(OFFSET($O$15,0,$DO326,$B$8,1),OFFSET($M$15,0,0,$B$8,1))=DZ$14))   /   SUM(OFFSET($BO$15,0,0,$B$14,1)) + $B$18/($B$19*$B$19*($DN326&lt;&gt;$DO326) + $B$19*($DN326=$DO326))</f>
        <v>3.7037037037037035E-4</v>
      </c>
      <c r="EA326" s="10" cm="1">
        <f t="array" aca="1" ref="EA326" ca="1">(1-$B$18)*SUMPRODUCT(OFFSET($BO$15,0,0,$B$14,1), 1*(_xlfn._xlws.FILTER(OFFSET($O$15,0,$DN326,$B$8,1),OFFSET($M$15,0,0,$B$8,1))=EA$13), 1*(_xlfn._xlws.FILTER(OFFSET($O$15,0,$DO326,$B$8,1),OFFSET($M$15,0,0,$B$8,1))=EA$14))   /   SUM(OFFSET($BO$15,0,0,$B$14,1)) + $B$18/($B$19*$B$19*($DN326&lt;&gt;$DO326) + $B$19*($DN326=$DO326))</f>
        <v>3.7037037037037035E-4</v>
      </c>
      <c r="EB326" s="10" cm="1">
        <f t="array" aca="1" ref="EB326" ca="1">(1-$B$18)*SUMPRODUCT(OFFSET($BO$15,0,0,$B$14,1), 1*(_xlfn._xlws.FILTER(OFFSET($O$15,0,$DN326,$B$8,1),OFFSET($M$15,0,0,$B$8,1))=EB$13), 1*(_xlfn._xlws.FILTER(OFFSET($O$15,0,$DO326,$B$8,1),OFFSET($M$15,0,0,$B$8,1))=EB$14))   /   SUM(OFFSET($BO$15,0,0,$B$14,1)) + $B$18/($B$19*$B$19*($DN326&lt;&gt;$DO326) + $B$19*($DN326=$DO326))</f>
        <v>3.7037037037037035E-4</v>
      </c>
      <c r="EC326" s="10" cm="1">
        <f t="array" aca="1" ref="EC326" ca="1">(1-$B$18)*SUMPRODUCT(OFFSET($BO$15,0,0,$B$14,1), 1*(_xlfn._xlws.FILTER(OFFSET($O$15,0,$DN326,$B$8,1),OFFSET($M$15,0,0,$B$8,1))=EC$13), 1*(_xlfn._xlws.FILTER(OFFSET($O$15,0,$DO326,$B$8,1),OFFSET($M$15,0,0,$B$8,1))=EC$14))   /   SUM(OFFSET($BO$15,0,0,$B$14,1)) + $B$18/($B$19*$B$19*($DN326&lt;&gt;$DO326) + $B$19*($DN326=$DO326))</f>
        <v>3.7037037037037035E-4</v>
      </c>
      <c r="ED326" s="10" cm="1">
        <f t="array" aca="1" ref="ED326" ca="1">(1-$B$18)*SUMPRODUCT(OFFSET($BO$15,0,0,$B$14,1), 1*(_xlfn._xlws.FILTER(OFFSET($O$15,0,$DN326,$B$8,1),OFFSET($M$15,0,0,$B$8,1))=ED$13), 1*(_xlfn._xlws.FILTER(OFFSET($O$15,0,$DO326,$B$8,1),OFFSET($M$15,0,0,$B$8,1))=ED$14))   /   SUM(OFFSET($BO$15,0,0,$B$14,1)) + $B$18/($B$19*$B$19*($DN326&lt;&gt;$DO326) + $B$19*($DN326=$DO326))</f>
        <v>3.7037037037037035E-4</v>
      </c>
      <c r="EE326" s="10" cm="1">
        <f t="array" aca="1" ref="EE326" ca="1">(1-$B$18)*SUMPRODUCT(OFFSET($BO$15,0,0,$B$14,1), 1*(_xlfn._xlws.FILTER(OFFSET($O$15,0,$DN326,$B$8,1),OFFSET($M$15,0,0,$B$8,1))=EE$13), 1*(_xlfn._xlws.FILTER(OFFSET($O$15,0,$DO326,$B$8,1),OFFSET($M$15,0,0,$B$8,1))=EE$14))   /   SUM(OFFSET($BO$15,0,0,$B$14,1)) + $B$18/($B$19*$B$19*($DN326&lt;&gt;$DO326) + $B$19*($DN326=$DO326))</f>
        <v>3.7037037037037035E-4</v>
      </c>
      <c r="EF326" s="10" cm="1">
        <f t="array" aca="1" ref="EF326" ca="1">(1-$B$18)*SUMPRODUCT(OFFSET($BO$15,0,0,$B$14,1), 1*(_xlfn._xlws.FILTER(OFFSET($O$15,0,$DN326,$B$8,1),OFFSET($M$15,0,0,$B$8,1))=EF$13), 1*(_xlfn._xlws.FILTER(OFFSET($O$15,0,$DO326,$B$8,1),OFFSET($M$15,0,0,$B$8,1))=EF$14))   /   SUM(OFFSET($BO$15,0,0,$B$14,1)) + $B$18/($B$19*$B$19*($DN326&lt;&gt;$DO326) + $B$19*($DN326=$DO326))</f>
        <v>3.7037037037037035E-4</v>
      </c>
      <c r="EG326" s="10" cm="1">
        <f t="array" aca="1" ref="EG326" ca="1">(1-$B$18)*SUMPRODUCT(OFFSET($BO$15,0,0,$B$14,1), 1*(_xlfn._xlws.FILTER(OFFSET($O$15,0,$DN326,$B$8,1),OFFSET($M$15,0,0,$B$8,1))=EG$13), 1*(_xlfn._xlws.FILTER(OFFSET($O$15,0,$DO326,$B$8,1),OFFSET($M$15,0,0,$B$8,1))=EG$14))   /   SUM(OFFSET($BO$15,0,0,$B$14,1)) + $B$18/($B$19*$B$19*($DN326&lt;&gt;$DO326) + $B$19*($DN326=$DO326))</f>
        <v>3.7037037037037035E-4</v>
      </c>
      <c r="EH326" s="10" cm="1">
        <f t="array" aca="1" ref="EH326" ca="1">(1-$B$18)*SUMPRODUCT(OFFSET($BO$15,0,0,$B$14,1), 1*(_xlfn._xlws.FILTER(OFFSET($O$15,0,$DN326,$B$8,1),OFFSET($M$15,0,0,$B$8,1))=EH$13), 1*(_xlfn._xlws.FILTER(OFFSET($O$15,0,$DO326,$B$8,1),OFFSET($M$15,0,0,$B$8,1))=EH$14))   /   SUM(OFFSET($BO$15,0,0,$B$14,1)) + $B$18/($B$19*$B$19*($DN326&lt;&gt;$DO326) + $B$19*($DN326=$DO326))</f>
        <v>3.7037037037037035E-4</v>
      </c>
      <c r="EI326" s="10" cm="1">
        <f t="array" aca="1" ref="EI326" ca="1">(1-$B$18)*SUMPRODUCT(OFFSET($BO$15,0,0,$B$14,1), 1*(_xlfn._xlws.FILTER(OFFSET($O$15,0,$DN326,$B$8,1),OFFSET($M$15,0,0,$B$8,1))=EI$13), 1*(_xlfn._xlws.FILTER(OFFSET($O$15,0,$DO326,$B$8,1),OFFSET($M$15,0,0,$B$8,1))=EI$14))   /   SUM(OFFSET($BO$15,0,0,$B$14,1)) + $B$18/($B$19*$B$19*($DN326&lt;&gt;$DO326) + $B$19*($DN326=$DO326))</f>
        <v>3.7037037037037035E-4</v>
      </c>
      <c r="EJ326" s="10" cm="1">
        <f t="array" aca="1" ref="EJ326" ca="1">(1-$B$18)*SUMPRODUCT(OFFSET($BO$15,0,0,$B$14,1), 1*(_xlfn._xlws.FILTER(OFFSET($O$15,0,$DN326,$B$8,1),OFFSET($M$15,0,0,$B$8,1))=EJ$13), 1*(_xlfn._xlws.FILTER(OFFSET($O$15,0,$DO326,$B$8,1),OFFSET($M$15,0,0,$B$8,1))=EJ$14))   /   SUM(OFFSET($BO$15,0,0,$B$14,1)) + $B$18/($B$19*$B$19*($DN326&lt;&gt;$DO326) + $B$19*($DN326=$DO326))</f>
        <v>3.7037037037037035E-4</v>
      </c>
      <c r="EK326" s="10" cm="1">
        <f t="array" aca="1" ref="EK326" ca="1">(1-$B$18)*SUMPRODUCT(OFFSET($BO$15,0,0,$B$14,1), 1*(_xlfn._xlws.FILTER(OFFSET($O$15,0,$DN326,$B$8,1),OFFSET($M$15,0,0,$B$8,1))=EK$13), 1*(_xlfn._xlws.FILTER(OFFSET($O$15,0,$DO326,$B$8,1),OFFSET($M$15,0,0,$B$8,1))=EK$14))   /   SUM(OFFSET($BO$15,0,0,$B$14,1)) + $B$18/($B$19*$B$19*($DN326&lt;&gt;$DO326) + $B$19*($DN326=$DO326))</f>
        <v>3.7037037037037035E-4</v>
      </c>
      <c r="EL326" s="10" cm="1">
        <f t="array" aca="1" ref="EL326" ca="1">(1-$B$18)*SUMPRODUCT(OFFSET($BO$15,0,0,$B$14,1), 1*(_xlfn._xlws.FILTER(OFFSET($O$15,0,$DN326,$B$8,1),OFFSET($M$15,0,0,$B$8,1))=EL$13), 1*(_xlfn._xlws.FILTER(OFFSET($O$15,0,$DO326,$B$8,1),OFFSET($M$15,0,0,$B$8,1))=EL$14))   /   SUM(OFFSET($BO$15,0,0,$B$14,1)) + $B$18/($B$19*$B$19*($DN326&lt;&gt;$DO326) + $B$19*($DN326=$DO326))</f>
        <v>3.7037037037037035E-4</v>
      </c>
      <c r="EM326" s="10" cm="1">
        <f t="array" aca="1" ref="EM326" ca="1">(1-$B$18)*SUMPRODUCT(OFFSET($BO$15,0,0,$B$14,1), 1*(_xlfn._xlws.FILTER(OFFSET($O$15,0,$DN326,$B$8,1),OFFSET($M$15,0,0,$B$8,1))=EM$13), 1*(_xlfn._xlws.FILTER(OFFSET($O$15,0,$DO326,$B$8,1),OFFSET($M$15,0,0,$B$8,1))=EM$14))   /   SUM(OFFSET($BO$15,0,0,$B$14,1)) + $B$18/($B$19*$B$19*($DN326&lt;&gt;$DO326) + $B$19*($DN326=$DO326))</f>
        <v>3.7037037037037035E-4</v>
      </c>
      <c r="EN326" s="10" cm="1">
        <f t="array" aca="1" ref="EN326" ca="1">(1-$B$18)*SUMPRODUCT(OFFSET($BO$15,0,0,$B$14,1), 1*(_xlfn._xlws.FILTER(OFFSET($O$15,0,$DN326,$B$8,1),OFFSET($M$15,0,0,$B$8,1))=EN$13), 1*(_xlfn._xlws.FILTER(OFFSET($O$15,0,$DO326,$B$8,1),OFFSET($M$15,0,0,$B$8,1))=EN$14))   /   SUM(OFFSET($BO$15,0,0,$B$14,1)) + $B$18/($B$19*$B$19*($DN326&lt;&gt;$DO326) + $B$19*($DN326=$DO326))</f>
        <v>3.7037037037037035E-4</v>
      </c>
      <c r="EO326" s="10" cm="1">
        <f t="array" aca="1" ref="EO326" ca="1">(1-$B$18)*SUMPRODUCT(OFFSET($BO$15,0,0,$B$14,1), 1*(_xlfn._xlws.FILTER(OFFSET($O$15,0,$DN326,$B$8,1),OFFSET($M$15,0,0,$B$8,1))=EO$13), 1*(_xlfn._xlws.FILTER(OFFSET($O$15,0,$DO326,$B$8,1),OFFSET($M$15,0,0,$B$8,1))=EO$14))   /   SUM(OFFSET($BO$15,0,0,$B$14,1)) + $B$18/($B$19*$B$19*($DN326&lt;&gt;$DO326) + $B$19*($DN326=$DO326))</f>
        <v>3.7037037037037035E-4</v>
      </c>
      <c r="EP326" s="10" cm="1">
        <f t="array" aca="1" ref="EP326" ca="1">(1-$B$18)*SUMPRODUCT(OFFSET($BO$15,0,0,$B$14,1), 1*(_xlfn._xlws.FILTER(OFFSET($O$15,0,$DN326,$B$8,1),OFFSET($M$15,0,0,$B$8,1))=EP$13), 1*(_xlfn._xlws.FILTER(OFFSET($O$15,0,$DO326,$B$8,1),OFFSET($M$15,0,0,$B$8,1))=EP$14))   /   SUM(OFFSET($BO$15,0,0,$B$14,1)) + $B$18/($B$19*$B$19*($DN326&lt;&gt;$DO326) + $B$19*($DN326=$DO326))</f>
        <v>3.7037037037037035E-4</v>
      </c>
      <c r="EQ326" s="10" cm="1">
        <f t="array" aca="1" ref="EQ326" ca="1">(1-$B$18)*SUMPRODUCT(OFFSET($BO$15,0,0,$B$14,1), 1*(_xlfn._xlws.FILTER(OFFSET($O$15,0,$DN326,$B$8,1),OFFSET($M$15,0,0,$B$8,1))=EQ$13), 1*(_xlfn._xlws.FILTER(OFFSET($O$15,0,$DO326,$B$8,1),OFFSET($M$15,0,0,$B$8,1))=EQ$14))   /   SUM(OFFSET($BO$15,0,0,$B$14,1)) + $B$18/($B$19*$B$19*($DN326&lt;&gt;$DO326) + $B$19*($DN326=$DO326))</f>
        <v>3.7037037037037035E-4</v>
      </c>
      <c r="ER326" s="10" cm="1">
        <f t="array" aca="1" ref="ER326" ca="1">(1-$B$18)*SUMPRODUCT(OFFSET($BO$15,0,0,$B$14,1), 1*(_xlfn._xlws.FILTER(OFFSET($O$15,0,$DN326,$B$8,1),OFFSET($M$15,0,0,$B$8,1))=ER$13), 1*(_xlfn._xlws.FILTER(OFFSET($O$15,0,$DO326,$B$8,1),OFFSET($M$15,0,0,$B$8,1))=ER$14))   /   SUM(OFFSET($BO$15,0,0,$B$14,1)) + $B$18/($B$19*$B$19*($DN326&lt;&gt;$DO326) + $B$19*($DN326=$DO326))</f>
        <v>3.7037037037037035E-4</v>
      </c>
      <c r="ES326" s="10" cm="1">
        <f t="array" aca="1" ref="ES326" ca="1">(1-$B$18)*SUMPRODUCT(OFFSET($BO$15,0,0,$B$14,1), 1*(_xlfn._xlws.FILTER(OFFSET($O$15,0,$DN326,$B$8,1),OFFSET($M$15,0,0,$B$8,1))=ES$13), 1*(_xlfn._xlws.FILTER(OFFSET($O$15,0,$DO326,$B$8,1),OFFSET($M$15,0,0,$B$8,1))=ES$14))   /   SUM(OFFSET($BO$15,0,0,$B$14,1)) + $B$18/($B$19*$B$19*($DN326&lt;&gt;$DO326) + $B$19*($DN326=$DO326))</f>
        <v>3.7037037037037035E-4</v>
      </c>
      <c r="ET326" s="10" cm="1">
        <f t="array" aca="1" ref="ET326" ca="1">(1-$B$18)*SUMPRODUCT(OFFSET($BO$15,0,0,$B$14,1), 1*(_xlfn._xlws.FILTER(OFFSET($O$15,0,$DN326,$B$8,1),OFFSET($M$15,0,0,$B$8,1))=ET$13), 1*(_xlfn._xlws.FILTER(OFFSET($O$15,0,$DO326,$B$8,1),OFFSET($M$15,0,0,$B$8,1))=ET$14))   /   SUM(OFFSET($BO$15,0,0,$B$14,1)) + $B$18/($B$19*$B$19*($DN326&lt;&gt;$DO326) + $B$19*($DN326=$DO326))</f>
        <v>0.97037037037037033</v>
      </c>
      <c r="EU326" s="10" cm="1">
        <f t="array" aca="1" ref="EU326" ca="1">(1-$B$18)*SUMPRODUCT(OFFSET($BO$15,0,0,$B$14,1), 1*(_xlfn._xlws.FILTER(OFFSET($O$15,0,$DN326,$B$8,1),OFFSET($M$15,0,0,$B$8,1))=EU$13), 1*(_xlfn._xlws.FILTER(OFFSET($O$15,0,$DO326,$B$8,1),OFFSET($M$15,0,0,$B$8,1))=EU$14))   /   SUM(OFFSET($BO$15,0,0,$B$14,1)) + $B$18/($B$19*$B$19*($DN326&lt;&gt;$DO326) + $B$19*($DN326=$DO326))</f>
        <v>3.7037037037037035E-4</v>
      </c>
      <c r="EV326" s="10" cm="1">
        <f t="array" aca="1" ref="EV326" ca="1">(1-$B$18)*SUMPRODUCT(OFFSET($BO$15,0,0,$B$14,1), 1*(_xlfn._xlws.FILTER(OFFSET($O$15,0,$DN326,$B$8,1),OFFSET($M$15,0,0,$B$8,1))=EV$13), 1*(_xlfn._xlws.FILTER(OFFSET($O$15,0,$DO326,$B$8,1),OFFSET($M$15,0,0,$B$8,1))=EV$14))   /   SUM(OFFSET($BO$15,0,0,$B$14,1)) + $B$18/($B$19*$B$19*($DN326&lt;&gt;$DO326) + $B$19*($DN326=$DO326))</f>
        <v>3.7037037037037035E-4</v>
      </c>
      <c r="EW326" s="10" cm="1">
        <f t="array" aca="1" ref="EW326" ca="1">(1-$B$18)*SUMPRODUCT(OFFSET($BO$15,0,0,$B$14,1), 1*(_xlfn._xlws.FILTER(OFFSET($O$15,0,$DN326,$B$8,1),OFFSET($M$15,0,0,$B$8,1))=EW$13), 1*(_xlfn._xlws.FILTER(OFFSET($O$15,0,$DO326,$B$8,1),OFFSET($M$15,0,0,$B$8,1))=EW$14))   /   SUM(OFFSET($BO$15,0,0,$B$14,1)) + $B$18/($B$19*$B$19*($DN326&lt;&gt;$DO326) + $B$19*($DN326=$DO326))</f>
        <v>3.7037037037037035E-4</v>
      </c>
      <c r="EX326" s="10" cm="1">
        <f t="array" aca="1" ref="EX326" ca="1">(1-$B$18)*SUMPRODUCT(OFFSET($BO$15,0,0,$B$14,1), 1*(_xlfn._xlws.FILTER(OFFSET($O$15,0,$DN326,$B$8,1),OFFSET($M$15,0,0,$B$8,1))=EX$13), 1*(_xlfn._xlws.FILTER(OFFSET($O$15,0,$DO326,$B$8,1),OFFSET($M$15,0,0,$B$8,1))=EX$14))   /   SUM(OFFSET($BO$15,0,0,$B$14,1)) + $B$18/($B$19*$B$19*($DN326&lt;&gt;$DO326) + $B$19*($DN326=$DO326))</f>
        <v>3.7037037037037035E-4</v>
      </c>
      <c r="EY326" s="10" cm="1">
        <f t="array" aca="1" ref="EY326" ca="1">(1-$B$18)*SUMPRODUCT(OFFSET($BO$15,0,0,$B$14,1), 1*(_xlfn._xlws.FILTER(OFFSET($O$15,0,$DN326,$B$8,1),OFFSET($M$15,0,0,$B$8,1))=EY$13), 1*(_xlfn._xlws.FILTER(OFFSET($O$15,0,$DO326,$B$8,1),OFFSET($M$15,0,0,$B$8,1))=EY$14))   /   SUM(OFFSET($BO$15,0,0,$B$14,1)) + $B$18/($B$19*$B$19*($DN326&lt;&gt;$DO326) + $B$19*($DN326=$DO326))</f>
        <v>3.7037037037037035E-4</v>
      </c>
      <c r="EZ326" s="10" cm="1">
        <f t="array" aca="1" ref="EZ326" ca="1">(1-$B$18)*SUMPRODUCT(OFFSET($BO$15,0,0,$B$14,1), 1*(_xlfn._xlws.FILTER(OFFSET($O$15,0,$DN326,$B$8,1),OFFSET($M$15,0,0,$B$8,1))=EZ$13), 1*(_xlfn._xlws.FILTER(OFFSET($O$15,0,$DO326,$B$8,1),OFFSET($M$15,0,0,$B$8,1))=EZ$14))   /   SUM(OFFSET($BO$15,0,0,$B$14,1)) + $B$18/($B$19*$B$19*($DN326&lt;&gt;$DO326) + $B$19*($DN326=$DO326))</f>
        <v>3.7037037037037035E-4</v>
      </c>
      <c r="FA326" s="10" cm="1">
        <f t="array" aca="1" ref="FA326" ca="1">(1-$B$18)*SUMPRODUCT(OFFSET($BO$15,0,0,$B$14,1), 1*(_xlfn._xlws.FILTER(OFFSET($O$15,0,$DN326,$B$8,1),OFFSET($M$15,0,0,$B$8,1))=FA$13), 1*(_xlfn._xlws.FILTER(OFFSET($O$15,0,$DO326,$B$8,1),OFFSET($M$15,0,0,$B$8,1))=FA$14))   /   SUM(OFFSET($BO$15,0,0,$B$14,1)) + $B$18/($B$19*$B$19*($DN326&lt;&gt;$DO326) + $B$19*($DN326=$DO326))</f>
        <v>3.7037037037037035E-4</v>
      </c>
      <c r="FB326" s="10" cm="1">
        <f t="array" aca="1" ref="FB326" ca="1">(1-$B$18)*SUMPRODUCT(OFFSET($BO$15,0,0,$B$14,1), 1*(_xlfn._xlws.FILTER(OFFSET($O$15,0,$DN326,$B$8,1),OFFSET($M$15,0,0,$B$8,1))=FB$13), 1*(_xlfn._xlws.FILTER(OFFSET($O$15,0,$DO326,$B$8,1),OFFSET($M$15,0,0,$B$8,1))=FB$14))   /   SUM(OFFSET($BO$15,0,0,$B$14,1)) + $B$18/($B$19*$B$19*($DN326&lt;&gt;$DO326) + $B$19*($DN326=$DO326))</f>
        <v>3.7037037037037035E-4</v>
      </c>
      <c r="FC326" s="10" cm="1">
        <f t="array" aca="1" ref="FC326" ca="1">(1-$B$18)*SUMPRODUCT(OFFSET($BO$15,0,0,$B$14,1), 1*(_xlfn._xlws.FILTER(OFFSET($O$15,0,$DN326,$B$8,1),OFFSET($M$15,0,0,$B$8,1))=FC$13), 1*(_xlfn._xlws.FILTER(OFFSET($O$15,0,$DO326,$B$8,1),OFFSET($M$15,0,0,$B$8,1))=FC$14))   /   SUM(OFFSET($BO$15,0,0,$B$14,1)) + $B$18/($B$19*$B$19*($DN326&lt;&gt;$DO326) + $B$19*($DN326=$DO326))</f>
        <v>3.7037037037037035E-4</v>
      </c>
      <c r="FD326" s="10" cm="1">
        <f t="array" aca="1" ref="FD326" ca="1">(1-$B$18)*SUMPRODUCT(OFFSET($BO$15,0,0,$B$14,1), 1*(_xlfn._xlws.FILTER(OFFSET($O$15,0,$DN326,$B$8,1),OFFSET($M$15,0,0,$B$8,1))=FD$13), 1*(_xlfn._xlws.FILTER(OFFSET($O$15,0,$DO326,$B$8,1),OFFSET($M$15,0,0,$B$8,1))=FD$14))   /   SUM(OFFSET($BO$15,0,0,$B$14,1)) + $B$18/($B$19*$B$19*($DN326&lt;&gt;$DO326) + $B$19*($DN326=$DO326))</f>
        <v>3.7037037037037035E-4</v>
      </c>
      <c r="FE326" s="10" cm="1">
        <f t="array" aca="1" ref="FE326" ca="1">(1-$B$18)*SUMPRODUCT(OFFSET($BO$15,0,0,$B$14,1), 1*(_xlfn._xlws.FILTER(OFFSET($O$15,0,$DN326,$B$8,1),OFFSET($M$15,0,0,$B$8,1))=FE$13), 1*(_xlfn._xlws.FILTER(OFFSET($O$15,0,$DO326,$B$8,1),OFFSET($M$15,0,0,$B$8,1))=FE$14))   /   SUM(OFFSET($BO$15,0,0,$B$14,1)) + $B$18/($B$19*$B$19*($DN326&lt;&gt;$DO326) + $B$19*($DN326=$DO326))</f>
        <v>3.7037037037037035E-4</v>
      </c>
      <c r="FF326" s="10" cm="1">
        <f t="array" aca="1" ref="FF326" ca="1">(1-$B$18)*SUMPRODUCT(OFFSET($BO$15,0,0,$B$14,1), 1*(_xlfn._xlws.FILTER(OFFSET($O$15,0,$DN326,$B$8,1),OFFSET($M$15,0,0,$B$8,1))=FF$13), 1*(_xlfn._xlws.FILTER(OFFSET($O$15,0,$DO326,$B$8,1),OFFSET($M$15,0,0,$B$8,1))=FF$14))   /   SUM(OFFSET($BO$15,0,0,$B$14,1)) + $B$18/($B$19*$B$19*($DN326&lt;&gt;$DO326) + $B$19*($DN326=$DO326))</f>
        <v>3.7037037037037035E-4</v>
      </c>
      <c r="FG326" s="10" cm="1">
        <f t="array" aca="1" ref="FG326" ca="1">(1-$B$18)*SUMPRODUCT(OFFSET($BO$15,0,0,$B$14,1), 1*(_xlfn._xlws.FILTER(OFFSET($O$15,0,$DN326,$B$8,1),OFFSET($M$15,0,0,$B$8,1))=FG$13), 1*(_xlfn._xlws.FILTER(OFFSET($O$15,0,$DO326,$B$8,1),OFFSET($M$15,0,0,$B$8,1))=FG$14))   /   SUM(OFFSET($BO$15,0,0,$B$14,1)) + $B$18/($B$19*$B$19*($DN326&lt;&gt;$DO326) + $B$19*($DN326=$DO326))</f>
        <v>3.7037037037037035E-4</v>
      </c>
      <c r="FH326" s="10" cm="1">
        <f t="array" aca="1" ref="FH326" ca="1">(1-$B$18)*SUMPRODUCT(OFFSET($BO$15,0,0,$B$14,1), 1*(_xlfn._xlws.FILTER(OFFSET($O$15,0,$DN326,$B$8,1),OFFSET($M$15,0,0,$B$8,1))=FH$13), 1*(_xlfn._xlws.FILTER(OFFSET($O$15,0,$DO326,$B$8,1),OFFSET($M$15,0,0,$B$8,1))=FH$14))   /   SUM(OFFSET($BO$15,0,0,$B$14,1)) + $B$18/($B$19*$B$19*($DN326&lt;&gt;$DO326) + $B$19*($DN326=$DO326))</f>
        <v>3.7037037037037035E-4</v>
      </c>
      <c r="FI326" s="10" cm="1">
        <f t="array" aca="1" ref="FI326" ca="1">(1-$B$18)*SUMPRODUCT(OFFSET($BO$15,0,0,$B$14,1), 1*(_xlfn._xlws.FILTER(OFFSET($O$15,0,$DN326,$B$8,1),OFFSET($M$15,0,0,$B$8,1))=FI$13), 1*(_xlfn._xlws.FILTER(OFFSET($O$15,0,$DO326,$B$8,1),OFFSET($M$15,0,0,$B$8,1))=FI$14))   /   SUM(OFFSET($BO$15,0,0,$B$14,1)) + $B$18/($B$19*$B$19*($DN326&lt;&gt;$DO326) + $B$19*($DN326=$DO326))</f>
        <v>3.7037037037037035E-4</v>
      </c>
      <c r="FJ326" s="10" cm="1">
        <f t="array" aca="1" ref="FJ326" ca="1">(1-$B$18)*SUMPRODUCT(OFFSET($BO$15,0,0,$B$14,1), 1*(_xlfn._xlws.FILTER(OFFSET($O$15,0,$DN326,$B$8,1),OFFSET($M$15,0,0,$B$8,1))=FJ$13), 1*(_xlfn._xlws.FILTER(OFFSET($O$15,0,$DO326,$B$8,1),OFFSET($M$15,0,0,$B$8,1))=FJ$14))   /   SUM(OFFSET($BO$15,0,0,$B$14,1)) + $B$18/($B$19*$B$19*($DN326&lt;&gt;$DO326) + $B$19*($DN326=$DO326))</f>
        <v>3.7037037037037035E-4</v>
      </c>
      <c r="FK326" s="10" cm="1">
        <f t="array" aca="1" ref="FK326" ca="1">(1-$B$18)*SUMPRODUCT(OFFSET($BO$15,0,0,$B$14,1), 1*(_xlfn._xlws.FILTER(OFFSET($O$15,0,$DN326,$B$8,1),OFFSET($M$15,0,0,$B$8,1))=FK$13), 1*(_xlfn._xlws.FILTER(OFFSET($O$15,0,$DO326,$B$8,1),OFFSET($M$15,0,0,$B$8,1))=FK$14))   /   SUM(OFFSET($BO$15,0,0,$B$14,1)) + $B$18/($B$19*$B$19*($DN326&lt;&gt;$DO326) + $B$19*($DN326=$DO326))</f>
        <v>3.7037037037037035E-4</v>
      </c>
      <c r="FL326" s="10" cm="1">
        <f t="array" aca="1" ref="FL326" ca="1">(1-$B$18)*SUMPRODUCT(OFFSET($BO$15,0,0,$B$14,1), 1*(_xlfn._xlws.FILTER(OFFSET($O$15,0,$DN326,$B$8,1),OFFSET($M$15,0,0,$B$8,1))=FL$13), 1*(_xlfn._xlws.FILTER(OFFSET($O$15,0,$DO326,$B$8,1),OFFSET($M$15,0,0,$B$8,1))=FL$14))   /   SUM(OFFSET($BO$15,0,0,$B$14,1)) + $B$18/($B$19*$B$19*($DN326&lt;&gt;$DO326) + $B$19*($DN326=$DO326))</f>
        <v>3.7037037037037035E-4</v>
      </c>
      <c r="FM326" s="10" cm="1">
        <f t="array" aca="1" ref="FM326" ca="1">(1-$B$18)*SUMPRODUCT(OFFSET($BO$15,0,0,$B$14,1), 1*(_xlfn._xlws.FILTER(OFFSET($O$15,0,$DN326,$B$8,1),OFFSET($M$15,0,0,$B$8,1))=FM$13), 1*(_xlfn._xlws.FILTER(OFFSET($O$15,0,$DO326,$B$8,1),OFFSET($M$15,0,0,$B$8,1))=FM$14))   /   SUM(OFFSET($BO$15,0,0,$B$14,1)) + $B$18/($B$19*$B$19*($DN326&lt;&gt;$DO326) + $B$19*($DN326=$DO326))</f>
        <v>3.7037037037037035E-4</v>
      </c>
      <c r="FN326" s="10" cm="1">
        <f t="array" aca="1" ref="FN326" ca="1">(1-$B$18)*SUMPRODUCT(OFFSET($BO$15,0,0,$B$14,1), 1*(_xlfn._xlws.FILTER(OFFSET($O$15,0,$DN326,$B$8,1),OFFSET($M$15,0,0,$B$8,1))=FN$13), 1*(_xlfn._xlws.FILTER(OFFSET($O$15,0,$DO326,$B$8,1),OFFSET($M$15,0,0,$B$8,1))=FN$14))   /   SUM(OFFSET($BO$15,0,0,$B$14,1)) + $B$18/($B$19*$B$19*($DN326&lt;&gt;$DO326) + $B$19*($DN326=$DO326))</f>
        <v>3.7037037037037035E-4</v>
      </c>
      <c r="FO326" s="10" cm="1">
        <f t="array" aca="1" ref="FO326" ca="1">(1-$B$18)*SUMPRODUCT(OFFSET($BO$15,0,0,$B$14,1), 1*(_xlfn._xlws.FILTER(OFFSET($O$15,0,$DN326,$B$8,1),OFFSET($M$15,0,0,$B$8,1))=FO$13), 1*(_xlfn._xlws.FILTER(OFFSET($O$15,0,$DO326,$B$8,1),OFFSET($M$15,0,0,$B$8,1))=FO$14))   /   SUM(OFFSET($BO$15,0,0,$B$14,1)) + $B$18/($B$19*$B$19*($DN326&lt;&gt;$DO326) + $B$19*($DN326=$DO326))</f>
        <v>3.7037037037037035E-4</v>
      </c>
      <c r="FP326" s="10" cm="1">
        <f t="array" aca="1" ref="FP326" ca="1">(1-$B$18)*SUMPRODUCT(OFFSET($BO$15,0,0,$B$14,1), 1*(_xlfn._xlws.FILTER(OFFSET($O$15,0,$DN326,$B$8,1),OFFSET($M$15,0,0,$B$8,1))=FP$13), 1*(_xlfn._xlws.FILTER(OFFSET($O$15,0,$DO326,$B$8,1),OFFSET($M$15,0,0,$B$8,1))=FP$14))   /   SUM(OFFSET($BO$15,0,0,$B$14,1)) + $B$18/($B$19*$B$19*($DN326&lt;&gt;$DO326) + $B$19*($DN326=$DO326))</f>
        <v>3.7037037037037035E-4</v>
      </c>
      <c r="FQ326" s="10" cm="1">
        <f t="array" aca="1" ref="FQ326" ca="1">(1-$B$18)*SUMPRODUCT(OFFSET($BO$15,0,0,$B$14,1), 1*(_xlfn._xlws.FILTER(OFFSET($O$15,0,$DN326,$B$8,1),OFFSET($M$15,0,0,$B$8,1))=FQ$13), 1*(_xlfn._xlws.FILTER(OFFSET($O$15,0,$DO326,$B$8,1),OFFSET($M$15,0,0,$B$8,1))=FQ$14))   /   SUM(OFFSET($BO$15,0,0,$B$14,1)) + $B$18/($B$19*$B$19*($DN326&lt;&gt;$DO326) + $B$19*($DN326=$DO326))</f>
        <v>3.7037037037037035E-4</v>
      </c>
      <c r="FR326" s="10" cm="1">
        <f t="array" aca="1" ref="FR326" ca="1">(1-$B$18)*SUMPRODUCT(OFFSET($BO$15,0,0,$B$14,1), 1*(_xlfn._xlws.FILTER(OFFSET($O$15,0,$DN326,$B$8,1),OFFSET($M$15,0,0,$B$8,1))=FR$13), 1*(_xlfn._xlws.FILTER(OFFSET($O$15,0,$DO326,$B$8,1),OFFSET($M$15,0,0,$B$8,1))=FR$14))   /   SUM(OFFSET($BO$15,0,0,$B$14,1)) + $B$18/($B$19*$B$19*($DN326&lt;&gt;$DO326) + $B$19*($DN326=$DO326))</f>
        <v>3.7037037037037035E-4</v>
      </c>
      <c r="FS326" s="10" cm="1">
        <f t="array" aca="1" ref="FS326" ca="1">(1-$B$18)*SUMPRODUCT(OFFSET($BO$15,0,0,$B$14,1), 1*(_xlfn._xlws.FILTER(OFFSET($O$15,0,$DN326,$B$8,1),OFFSET($M$15,0,0,$B$8,1))=FS$13), 1*(_xlfn._xlws.FILTER(OFFSET($O$15,0,$DO326,$B$8,1),OFFSET($M$15,0,0,$B$8,1))=FS$14))   /   SUM(OFFSET($BO$15,0,0,$B$14,1)) + $B$18/($B$19*$B$19*($DN326&lt;&gt;$DO326) + $B$19*($DN326=$DO326))</f>
        <v>3.7037037037037035E-4</v>
      </c>
      <c r="FT326" s="10" cm="1">
        <f t="array" aca="1" ref="FT326" ca="1">(1-$B$18)*SUMPRODUCT(OFFSET($BO$15,0,0,$B$14,1), 1*(_xlfn._xlws.FILTER(OFFSET($O$15,0,$DN326,$B$8,1),OFFSET($M$15,0,0,$B$8,1))=FT$13), 1*(_xlfn._xlws.FILTER(OFFSET($O$15,0,$DO326,$B$8,1),OFFSET($M$15,0,0,$B$8,1))=FT$14))   /   SUM(OFFSET($BO$15,0,0,$B$14,1)) + $B$18/($B$19*$B$19*($DN326&lt;&gt;$DO326) + $B$19*($DN326=$DO326))</f>
        <v>3.7037037037037035E-4</v>
      </c>
      <c r="FU326" s="10" cm="1">
        <f t="array" aca="1" ref="FU326" ca="1">(1-$B$18)*SUMPRODUCT(OFFSET($BO$15,0,0,$B$14,1), 1*(_xlfn._xlws.FILTER(OFFSET($O$15,0,$DN326,$B$8,1),OFFSET($M$15,0,0,$B$8,1))=FU$13), 1*(_xlfn._xlws.FILTER(OFFSET($O$15,0,$DO326,$B$8,1),OFFSET($M$15,0,0,$B$8,1))=FU$14))   /   SUM(OFFSET($BO$15,0,0,$B$14,1)) + $B$18/($B$19*$B$19*($DN326&lt;&gt;$DO326) + $B$19*($DN326=$DO326))</f>
        <v>3.7037037037037035E-4</v>
      </c>
      <c r="FV326" s="10" cm="1">
        <f t="array" aca="1" ref="FV326" ca="1">(1-$B$18)*SUMPRODUCT(OFFSET($BO$15,0,0,$B$14,1), 1*(_xlfn._xlws.FILTER(OFFSET($O$15,0,$DN326,$B$8,1),OFFSET($M$15,0,0,$B$8,1))=FV$13), 1*(_xlfn._xlws.FILTER(OFFSET($O$15,0,$DO326,$B$8,1),OFFSET($M$15,0,0,$B$8,1))=FV$14))   /   SUM(OFFSET($BO$15,0,0,$B$14,1)) + $B$18/($B$19*$B$19*($DN326&lt;&gt;$DO326) + $B$19*($DN326=$DO326))</f>
        <v>3.7037037037037035E-4</v>
      </c>
      <c r="FW326" s="10" cm="1">
        <f t="array" aca="1" ref="FW326" ca="1">(1-$B$18)*SUMPRODUCT(OFFSET($BO$15,0,0,$B$14,1), 1*(_xlfn._xlws.FILTER(OFFSET($O$15,0,$DN326,$B$8,1),OFFSET($M$15,0,0,$B$8,1))=FW$13), 1*(_xlfn._xlws.FILTER(OFFSET($O$15,0,$DO326,$B$8,1),OFFSET($M$15,0,0,$B$8,1))=FW$14))   /   SUM(OFFSET($BO$15,0,0,$B$14,1)) + $B$18/($B$19*$B$19*($DN326&lt;&gt;$DO326) + $B$19*($DN326=$DO326))</f>
        <v>3.7037037037037035E-4</v>
      </c>
      <c r="FX326" s="10" cm="1">
        <f t="array" aca="1" ref="FX326" ca="1">(1-$B$18)*SUMPRODUCT(OFFSET($BO$15,0,0,$B$14,1), 1*(_xlfn._xlws.FILTER(OFFSET($O$15,0,$DN326,$B$8,1),OFFSET($M$15,0,0,$B$8,1))=FX$13), 1*(_xlfn._xlws.FILTER(OFFSET($O$15,0,$DO326,$B$8,1),OFFSET($M$15,0,0,$B$8,1))=FX$14))   /   SUM(OFFSET($BO$15,0,0,$B$14,1)) + $B$18/($B$19*$B$19*($DN326&lt;&gt;$DO326) + $B$19*($DN326=$DO326))</f>
        <v>3.7037037037037035E-4</v>
      </c>
      <c r="FY326" s="10" cm="1">
        <f t="array" aca="1" ref="FY326" ca="1">(1-$B$18)*SUMPRODUCT(OFFSET($BO$15,0,0,$B$14,1), 1*(_xlfn._xlws.FILTER(OFFSET($O$15,0,$DN326,$B$8,1),OFFSET($M$15,0,0,$B$8,1))=FY$13), 1*(_xlfn._xlws.FILTER(OFFSET($O$15,0,$DO326,$B$8,1),OFFSET($M$15,0,0,$B$8,1))=FY$14))   /   SUM(OFFSET($BO$15,0,0,$B$14,1)) + $B$18/($B$19*$B$19*($DN326&lt;&gt;$DO326) + $B$19*($DN326=$DO326))</f>
        <v>3.7037037037037035E-4</v>
      </c>
      <c r="FZ326" s="10" cm="1">
        <f t="array" aca="1" ref="FZ326" ca="1">(1-$B$18)*SUMPRODUCT(OFFSET($BO$15,0,0,$B$14,1), 1*(_xlfn._xlws.FILTER(OFFSET($O$15,0,$DN326,$B$8,1),OFFSET($M$15,0,0,$B$8,1))=FZ$13), 1*(_xlfn._xlws.FILTER(OFFSET($O$15,0,$DO326,$B$8,1),OFFSET($M$15,0,0,$B$8,1))=FZ$14))   /   SUM(OFFSET($BO$15,0,0,$B$14,1)) + $B$18/($B$19*$B$19*($DN326&lt;&gt;$DO326) + $B$19*($DN326=$DO326))</f>
        <v>3.7037037037037035E-4</v>
      </c>
      <c r="GA326" s="10" cm="1">
        <f t="array" aca="1" ref="GA326" ca="1">(1-$B$18)*SUMPRODUCT(OFFSET($BO$15,0,0,$B$14,1), 1*(_xlfn._xlws.FILTER(OFFSET($O$15,0,$DN326,$B$8,1),OFFSET($M$15,0,0,$B$8,1))=GA$13), 1*(_xlfn._xlws.FILTER(OFFSET($O$15,0,$DO326,$B$8,1),OFFSET($M$15,0,0,$B$8,1))=GA$14))   /   SUM(OFFSET($BO$15,0,0,$B$14,1)) + $B$18/($B$19*$B$19*($DN326&lt;&gt;$DO326) + $B$19*($DN326=$DO326))</f>
        <v>3.7037037037037035E-4</v>
      </c>
    </row>
    <row r="327" spans="118:183" x14ac:dyDescent="0.2">
      <c r="DN327" cm="1">
        <f t="array" aca="1" ref="DN327" ca="1">INDEX(_xlfn.ANCHORARRAY($CP$15), 1 + INT((ROWS($DO$15:$DO327) - 1) / ROWS(_xlfn.ANCHORARRAY($CP$15))))</f>
        <v>19</v>
      </c>
      <c r="DO327" cm="1">
        <f t="array" aca="1" ref="DO327" ca="1">INDEX(_xlfn.ANCHORARRAY($CP$15),1+MOD(ROWS($DO$15:$DO327)-1,ROWS(_xlfn.ANCHORARRAY($CP$15))))</f>
        <v>8</v>
      </c>
      <c r="DP327" s="10" cm="1">
        <f t="array" aca="1" ref="DP327" ca="1">(1-$B$18)*SUMPRODUCT(OFFSET($BO$15,0,0,$B$14,1), 1*(_xlfn._xlws.FILTER(OFFSET($O$15,0,$DN327,$B$8,1),OFFSET($M$15,0,0,$B$8,1))=DP$13), 1*(_xlfn._xlws.FILTER(OFFSET($O$15,0,$DO327,$B$8,1),OFFSET($M$15,0,0,$B$8,1))=DP$14))   /   SUM(OFFSET($BO$15,0,0,$B$14,1)) + $B$18/($B$19*$B$19*($DN327&lt;&gt;$DO327) + $B$19*($DN327=$DO327))</f>
        <v>3.7037037037037035E-4</v>
      </c>
      <c r="DQ327" s="10" cm="1">
        <f t="array" aca="1" ref="DQ327" ca="1">(1-$B$18)*SUMPRODUCT(OFFSET($BO$15,0,0,$B$14,1), 1*(_xlfn._xlws.FILTER(OFFSET($O$15,0,$DN327,$B$8,1),OFFSET($M$15,0,0,$B$8,1))=DQ$13), 1*(_xlfn._xlws.FILTER(OFFSET($O$15,0,$DO327,$B$8,1),OFFSET($M$15,0,0,$B$8,1))=DQ$14))   /   SUM(OFFSET($BO$15,0,0,$B$14,1)) + $B$18/($B$19*$B$19*($DN327&lt;&gt;$DO327) + $B$19*($DN327=$DO327))</f>
        <v>3.7037037037037035E-4</v>
      </c>
      <c r="DR327" s="10" cm="1">
        <f t="array" aca="1" ref="DR327" ca="1">(1-$B$18)*SUMPRODUCT(OFFSET($BO$15,0,0,$B$14,1), 1*(_xlfn._xlws.FILTER(OFFSET($O$15,0,$DN327,$B$8,1),OFFSET($M$15,0,0,$B$8,1))=DR$13), 1*(_xlfn._xlws.FILTER(OFFSET($O$15,0,$DO327,$B$8,1),OFFSET($M$15,0,0,$B$8,1))=DR$14))   /   SUM(OFFSET($BO$15,0,0,$B$14,1)) + $B$18/($B$19*$B$19*($DN327&lt;&gt;$DO327) + $B$19*($DN327=$DO327))</f>
        <v>3.7037037037037035E-4</v>
      </c>
      <c r="DS327" s="10" cm="1">
        <f t="array" aca="1" ref="DS327" ca="1">(1-$B$18)*SUMPRODUCT(OFFSET($BO$15,0,0,$B$14,1), 1*(_xlfn._xlws.FILTER(OFFSET($O$15,0,$DN327,$B$8,1),OFFSET($M$15,0,0,$B$8,1))=DS$13), 1*(_xlfn._xlws.FILTER(OFFSET($O$15,0,$DO327,$B$8,1),OFFSET($M$15,0,0,$B$8,1))=DS$14))   /   SUM(OFFSET($BO$15,0,0,$B$14,1)) + $B$18/($B$19*$B$19*($DN327&lt;&gt;$DO327) + $B$19*($DN327=$DO327))</f>
        <v>3.7037037037037035E-4</v>
      </c>
      <c r="DT327" s="10" cm="1">
        <f t="array" aca="1" ref="DT327" ca="1">(1-$B$18)*SUMPRODUCT(OFFSET($BO$15,0,0,$B$14,1), 1*(_xlfn._xlws.FILTER(OFFSET($O$15,0,$DN327,$B$8,1),OFFSET($M$15,0,0,$B$8,1))=DT$13), 1*(_xlfn._xlws.FILTER(OFFSET($O$15,0,$DO327,$B$8,1),OFFSET($M$15,0,0,$B$8,1))=DT$14))   /   SUM(OFFSET($BO$15,0,0,$B$14,1)) + $B$18/($B$19*$B$19*($DN327&lt;&gt;$DO327) + $B$19*($DN327=$DO327))</f>
        <v>3.7037037037037035E-4</v>
      </c>
      <c r="DU327" s="10" cm="1">
        <f t="array" aca="1" ref="DU327" ca="1">(1-$B$18)*SUMPRODUCT(OFFSET($BO$15,0,0,$B$14,1), 1*(_xlfn._xlws.FILTER(OFFSET($O$15,0,$DN327,$B$8,1),OFFSET($M$15,0,0,$B$8,1))=DU$13), 1*(_xlfn._xlws.FILTER(OFFSET($O$15,0,$DO327,$B$8,1),OFFSET($M$15,0,0,$B$8,1))=DU$14))   /   SUM(OFFSET($BO$15,0,0,$B$14,1)) + $B$18/($B$19*$B$19*($DN327&lt;&gt;$DO327) + $B$19*($DN327=$DO327))</f>
        <v>3.7037037037037035E-4</v>
      </c>
      <c r="DV327" s="10" cm="1">
        <f t="array" aca="1" ref="DV327" ca="1">(1-$B$18)*SUMPRODUCT(OFFSET($BO$15,0,0,$B$14,1), 1*(_xlfn._xlws.FILTER(OFFSET($O$15,0,$DN327,$B$8,1),OFFSET($M$15,0,0,$B$8,1))=DV$13), 1*(_xlfn._xlws.FILTER(OFFSET($O$15,0,$DO327,$B$8,1),OFFSET($M$15,0,0,$B$8,1))=DV$14))   /   SUM(OFFSET($BO$15,0,0,$B$14,1)) + $B$18/($B$19*$B$19*($DN327&lt;&gt;$DO327) + $B$19*($DN327=$DO327))</f>
        <v>3.7037037037037035E-4</v>
      </c>
      <c r="DW327" s="10" cm="1">
        <f t="array" aca="1" ref="DW327" ca="1">(1-$B$18)*SUMPRODUCT(OFFSET($BO$15,0,0,$B$14,1), 1*(_xlfn._xlws.FILTER(OFFSET($O$15,0,$DN327,$B$8,1),OFFSET($M$15,0,0,$B$8,1))=DW$13), 1*(_xlfn._xlws.FILTER(OFFSET($O$15,0,$DO327,$B$8,1),OFFSET($M$15,0,0,$B$8,1))=DW$14))   /   SUM(OFFSET($BO$15,0,0,$B$14,1)) + $B$18/($B$19*$B$19*($DN327&lt;&gt;$DO327) + $B$19*($DN327=$DO327))</f>
        <v>3.7037037037037035E-4</v>
      </c>
      <c r="DX327" s="10" cm="1">
        <f t="array" aca="1" ref="DX327" ca="1">(1-$B$18)*SUMPRODUCT(OFFSET($BO$15,0,0,$B$14,1), 1*(_xlfn._xlws.FILTER(OFFSET($O$15,0,$DN327,$B$8,1),OFFSET($M$15,0,0,$B$8,1))=DX$13), 1*(_xlfn._xlws.FILTER(OFFSET($O$15,0,$DO327,$B$8,1),OFFSET($M$15,0,0,$B$8,1))=DX$14))   /   SUM(OFFSET($BO$15,0,0,$B$14,1)) + $B$18/($B$19*$B$19*($DN327&lt;&gt;$DO327) + $B$19*($DN327=$DO327))</f>
        <v>3.7037037037037035E-4</v>
      </c>
      <c r="DY327" s="10" cm="1">
        <f t="array" aca="1" ref="DY327" ca="1">(1-$B$18)*SUMPRODUCT(OFFSET($BO$15,0,0,$B$14,1), 1*(_xlfn._xlws.FILTER(OFFSET($O$15,0,$DN327,$B$8,1),OFFSET($M$15,0,0,$B$8,1))=DY$13), 1*(_xlfn._xlws.FILTER(OFFSET($O$15,0,$DO327,$B$8,1),OFFSET($M$15,0,0,$B$8,1))=DY$14))   /   SUM(OFFSET($BO$15,0,0,$B$14,1)) + $B$18/($B$19*$B$19*($DN327&lt;&gt;$DO327) + $B$19*($DN327=$DO327))</f>
        <v>3.7037037037037035E-4</v>
      </c>
      <c r="DZ327" s="10" cm="1">
        <f t="array" aca="1" ref="DZ327" ca="1">(1-$B$18)*SUMPRODUCT(OFFSET($BO$15,0,0,$B$14,1), 1*(_xlfn._xlws.FILTER(OFFSET($O$15,0,$DN327,$B$8,1),OFFSET($M$15,0,0,$B$8,1))=DZ$13), 1*(_xlfn._xlws.FILTER(OFFSET($O$15,0,$DO327,$B$8,1),OFFSET($M$15,0,0,$B$8,1))=DZ$14))   /   SUM(OFFSET($BO$15,0,0,$B$14,1)) + $B$18/($B$19*$B$19*($DN327&lt;&gt;$DO327) + $B$19*($DN327=$DO327))</f>
        <v>3.7037037037037035E-4</v>
      </c>
      <c r="EA327" s="10" cm="1">
        <f t="array" aca="1" ref="EA327" ca="1">(1-$B$18)*SUMPRODUCT(OFFSET($BO$15,0,0,$B$14,1), 1*(_xlfn._xlws.FILTER(OFFSET($O$15,0,$DN327,$B$8,1),OFFSET($M$15,0,0,$B$8,1))=EA$13), 1*(_xlfn._xlws.FILTER(OFFSET($O$15,0,$DO327,$B$8,1),OFFSET($M$15,0,0,$B$8,1))=EA$14))   /   SUM(OFFSET($BO$15,0,0,$B$14,1)) + $B$18/($B$19*$B$19*($DN327&lt;&gt;$DO327) + $B$19*($DN327=$DO327))</f>
        <v>3.7037037037037035E-4</v>
      </c>
      <c r="EB327" s="10" cm="1">
        <f t="array" aca="1" ref="EB327" ca="1">(1-$B$18)*SUMPRODUCT(OFFSET($BO$15,0,0,$B$14,1), 1*(_xlfn._xlws.FILTER(OFFSET($O$15,0,$DN327,$B$8,1),OFFSET($M$15,0,0,$B$8,1))=EB$13), 1*(_xlfn._xlws.FILTER(OFFSET($O$15,0,$DO327,$B$8,1),OFFSET($M$15,0,0,$B$8,1))=EB$14))   /   SUM(OFFSET($BO$15,0,0,$B$14,1)) + $B$18/($B$19*$B$19*($DN327&lt;&gt;$DO327) + $B$19*($DN327=$DO327))</f>
        <v>3.7037037037037035E-4</v>
      </c>
      <c r="EC327" s="10" cm="1">
        <f t="array" aca="1" ref="EC327" ca="1">(1-$B$18)*SUMPRODUCT(OFFSET($BO$15,0,0,$B$14,1), 1*(_xlfn._xlws.FILTER(OFFSET($O$15,0,$DN327,$B$8,1),OFFSET($M$15,0,0,$B$8,1))=EC$13), 1*(_xlfn._xlws.FILTER(OFFSET($O$15,0,$DO327,$B$8,1),OFFSET($M$15,0,0,$B$8,1))=EC$14))   /   SUM(OFFSET($BO$15,0,0,$B$14,1)) + $B$18/($B$19*$B$19*($DN327&lt;&gt;$DO327) + $B$19*($DN327=$DO327))</f>
        <v>3.7037037037037035E-4</v>
      </c>
      <c r="ED327" s="10" cm="1">
        <f t="array" aca="1" ref="ED327" ca="1">(1-$B$18)*SUMPRODUCT(OFFSET($BO$15,0,0,$B$14,1), 1*(_xlfn._xlws.FILTER(OFFSET($O$15,0,$DN327,$B$8,1),OFFSET($M$15,0,0,$B$8,1))=ED$13), 1*(_xlfn._xlws.FILTER(OFFSET($O$15,0,$DO327,$B$8,1),OFFSET($M$15,0,0,$B$8,1))=ED$14))   /   SUM(OFFSET($BO$15,0,0,$B$14,1)) + $B$18/($B$19*$B$19*($DN327&lt;&gt;$DO327) + $B$19*($DN327=$DO327))</f>
        <v>3.7037037037037035E-4</v>
      </c>
      <c r="EE327" s="10" cm="1">
        <f t="array" aca="1" ref="EE327" ca="1">(1-$B$18)*SUMPRODUCT(OFFSET($BO$15,0,0,$B$14,1), 1*(_xlfn._xlws.FILTER(OFFSET($O$15,0,$DN327,$B$8,1),OFFSET($M$15,0,0,$B$8,1))=EE$13), 1*(_xlfn._xlws.FILTER(OFFSET($O$15,0,$DO327,$B$8,1),OFFSET($M$15,0,0,$B$8,1))=EE$14))   /   SUM(OFFSET($BO$15,0,0,$B$14,1)) + $B$18/($B$19*$B$19*($DN327&lt;&gt;$DO327) + $B$19*($DN327=$DO327))</f>
        <v>3.7037037037037035E-4</v>
      </c>
      <c r="EF327" s="10" cm="1">
        <f t="array" aca="1" ref="EF327" ca="1">(1-$B$18)*SUMPRODUCT(OFFSET($BO$15,0,0,$B$14,1), 1*(_xlfn._xlws.FILTER(OFFSET($O$15,0,$DN327,$B$8,1),OFFSET($M$15,0,0,$B$8,1))=EF$13), 1*(_xlfn._xlws.FILTER(OFFSET($O$15,0,$DO327,$B$8,1),OFFSET($M$15,0,0,$B$8,1))=EF$14))   /   SUM(OFFSET($BO$15,0,0,$B$14,1)) + $B$18/($B$19*$B$19*($DN327&lt;&gt;$DO327) + $B$19*($DN327=$DO327))</f>
        <v>3.7037037037037035E-4</v>
      </c>
      <c r="EG327" s="10" cm="1">
        <f t="array" aca="1" ref="EG327" ca="1">(1-$B$18)*SUMPRODUCT(OFFSET($BO$15,0,0,$B$14,1), 1*(_xlfn._xlws.FILTER(OFFSET($O$15,0,$DN327,$B$8,1),OFFSET($M$15,0,0,$B$8,1))=EG$13), 1*(_xlfn._xlws.FILTER(OFFSET($O$15,0,$DO327,$B$8,1),OFFSET($M$15,0,0,$B$8,1))=EG$14))   /   SUM(OFFSET($BO$15,0,0,$B$14,1)) + $B$18/($B$19*$B$19*($DN327&lt;&gt;$DO327) + $B$19*($DN327=$DO327))</f>
        <v>3.7037037037037035E-4</v>
      </c>
      <c r="EH327" s="10" cm="1">
        <f t="array" aca="1" ref="EH327" ca="1">(1-$B$18)*SUMPRODUCT(OFFSET($BO$15,0,0,$B$14,1), 1*(_xlfn._xlws.FILTER(OFFSET($O$15,0,$DN327,$B$8,1),OFFSET($M$15,0,0,$B$8,1))=EH$13), 1*(_xlfn._xlws.FILTER(OFFSET($O$15,0,$DO327,$B$8,1),OFFSET($M$15,0,0,$B$8,1))=EH$14))   /   SUM(OFFSET($BO$15,0,0,$B$14,1)) + $B$18/($B$19*$B$19*($DN327&lt;&gt;$DO327) + $B$19*($DN327=$DO327))</f>
        <v>3.7037037037037035E-4</v>
      </c>
      <c r="EI327" s="10" cm="1">
        <f t="array" aca="1" ref="EI327" ca="1">(1-$B$18)*SUMPRODUCT(OFFSET($BO$15,0,0,$B$14,1), 1*(_xlfn._xlws.FILTER(OFFSET($O$15,0,$DN327,$B$8,1),OFFSET($M$15,0,0,$B$8,1))=EI$13), 1*(_xlfn._xlws.FILTER(OFFSET($O$15,0,$DO327,$B$8,1),OFFSET($M$15,0,0,$B$8,1))=EI$14))   /   SUM(OFFSET($BO$15,0,0,$B$14,1)) + $B$18/($B$19*$B$19*($DN327&lt;&gt;$DO327) + $B$19*($DN327=$DO327))</f>
        <v>3.7037037037037035E-4</v>
      </c>
      <c r="EJ327" s="10" cm="1">
        <f t="array" aca="1" ref="EJ327" ca="1">(1-$B$18)*SUMPRODUCT(OFFSET($BO$15,0,0,$B$14,1), 1*(_xlfn._xlws.FILTER(OFFSET($O$15,0,$DN327,$B$8,1),OFFSET($M$15,0,0,$B$8,1))=EJ$13), 1*(_xlfn._xlws.FILTER(OFFSET($O$15,0,$DO327,$B$8,1),OFFSET($M$15,0,0,$B$8,1))=EJ$14))   /   SUM(OFFSET($BO$15,0,0,$B$14,1)) + $B$18/($B$19*$B$19*($DN327&lt;&gt;$DO327) + $B$19*($DN327=$DO327))</f>
        <v>3.7037037037037035E-4</v>
      </c>
      <c r="EK327" s="10" cm="1">
        <f t="array" aca="1" ref="EK327" ca="1">(1-$B$18)*SUMPRODUCT(OFFSET($BO$15,0,0,$B$14,1), 1*(_xlfn._xlws.FILTER(OFFSET($O$15,0,$DN327,$B$8,1),OFFSET($M$15,0,0,$B$8,1))=EK$13), 1*(_xlfn._xlws.FILTER(OFFSET($O$15,0,$DO327,$B$8,1),OFFSET($M$15,0,0,$B$8,1))=EK$14))   /   SUM(OFFSET($BO$15,0,0,$B$14,1)) + $B$18/($B$19*$B$19*($DN327&lt;&gt;$DO327) + $B$19*($DN327=$DO327))</f>
        <v>3.7037037037037035E-4</v>
      </c>
      <c r="EL327" s="10" cm="1">
        <f t="array" aca="1" ref="EL327" ca="1">(1-$B$18)*SUMPRODUCT(OFFSET($BO$15,0,0,$B$14,1), 1*(_xlfn._xlws.FILTER(OFFSET($O$15,0,$DN327,$B$8,1),OFFSET($M$15,0,0,$B$8,1))=EL$13), 1*(_xlfn._xlws.FILTER(OFFSET($O$15,0,$DO327,$B$8,1),OFFSET($M$15,0,0,$B$8,1))=EL$14))   /   SUM(OFFSET($BO$15,0,0,$B$14,1)) + $B$18/($B$19*$B$19*($DN327&lt;&gt;$DO327) + $B$19*($DN327=$DO327))</f>
        <v>3.7037037037037035E-4</v>
      </c>
      <c r="EM327" s="10" cm="1">
        <f t="array" aca="1" ref="EM327" ca="1">(1-$B$18)*SUMPRODUCT(OFFSET($BO$15,0,0,$B$14,1), 1*(_xlfn._xlws.FILTER(OFFSET($O$15,0,$DN327,$B$8,1),OFFSET($M$15,0,0,$B$8,1))=EM$13), 1*(_xlfn._xlws.FILTER(OFFSET($O$15,0,$DO327,$B$8,1),OFFSET($M$15,0,0,$B$8,1))=EM$14))   /   SUM(OFFSET($BO$15,0,0,$B$14,1)) + $B$18/($B$19*$B$19*($DN327&lt;&gt;$DO327) + $B$19*($DN327=$DO327))</f>
        <v>3.7037037037037035E-4</v>
      </c>
      <c r="EN327" s="10" cm="1">
        <f t="array" aca="1" ref="EN327" ca="1">(1-$B$18)*SUMPRODUCT(OFFSET($BO$15,0,0,$B$14,1), 1*(_xlfn._xlws.FILTER(OFFSET($O$15,0,$DN327,$B$8,1),OFFSET($M$15,0,0,$B$8,1))=EN$13), 1*(_xlfn._xlws.FILTER(OFFSET($O$15,0,$DO327,$B$8,1),OFFSET($M$15,0,0,$B$8,1))=EN$14))   /   SUM(OFFSET($BO$15,0,0,$B$14,1)) + $B$18/($B$19*$B$19*($DN327&lt;&gt;$DO327) + $B$19*($DN327=$DO327))</f>
        <v>3.7037037037037035E-4</v>
      </c>
      <c r="EO327" s="10" cm="1">
        <f t="array" aca="1" ref="EO327" ca="1">(1-$B$18)*SUMPRODUCT(OFFSET($BO$15,0,0,$B$14,1), 1*(_xlfn._xlws.FILTER(OFFSET($O$15,0,$DN327,$B$8,1),OFFSET($M$15,0,0,$B$8,1))=EO$13), 1*(_xlfn._xlws.FILTER(OFFSET($O$15,0,$DO327,$B$8,1),OFFSET($M$15,0,0,$B$8,1))=EO$14))   /   SUM(OFFSET($BO$15,0,0,$B$14,1)) + $B$18/($B$19*$B$19*($DN327&lt;&gt;$DO327) + $B$19*($DN327=$DO327))</f>
        <v>3.7037037037037035E-4</v>
      </c>
      <c r="EP327" s="10" cm="1">
        <f t="array" aca="1" ref="EP327" ca="1">(1-$B$18)*SUMPRODUCT(OFFSET($BO$15,0,0,$B$14,1), 1*(_xlfn._xlws.FILTER(OFFSET($O$15,0,$DN327,$B$8,1),OFFSET($M$15,0,0,$B$8,1))=EP$13), 1*(_xlfn._xlws.FILTER(OFFSET($O$15,0,$DO327,$B$8,1),OFFSET($M$15,0,0,$B$8,1))=EP$14))   /   SUM(OFFSET($BO$15,0,0,$B$14,1)) + $B$18/($B$19*$B$19*($DN327&lt;&gt;$DO327) + $B$19*($DN327=$DO327))</f>
        <v>3.7037037037037035E-4</v>
      </c>
      <c r="EQ327" s="10" cm="1">
        <f t="array" aca="1" ref="EQ327" ca="1">(1-$B$18)*SUMPRODUCT(OFFSET($BO$15,0,0,$B$14,1), 1*(_xlfn._xlws.FILTER(OFFSET($O$15,0,$DN327,$B$8,1),OFFSET($M$15,0,0,$B$8,1))=EQ$13), 1*(_xlfn._xlws.FILTER(OFFSET($O$15,0,$DO327,$B$8,1),OFFSET($M$15,0,0,$B$8,1))=EQ$14))   /   SUM(OFFSET($BO$15,0,0,$B$14,1)) + $B$18/($B$19*$B$19*($DN327&lt;&gt;$DO327) + $B$19*($DN327=$DO327))</f>
        <v>3.7037037037037035E-4</v>
      </c>
      <c r="ER327" s="10" cm="1">
        <f t="array" aca="1" ref="ER327" ca="1">(1-$B$18)*SUMPRODUCT(OFFSET($BO$15,0,0,$B$14,1), 1*(_xlfn._xlws.FILTER(OFFSET($O$15,0,$DN327,$B$8,1),OFFSET($M$15,0,0,$B$8,1))=ER$13), 1*(_xlfn._xlws.FILTER(OFFSET($O$15,0,$DO327,$B$8,1),OFFSET($M$15,0,0,$B$8,1))=ER$14))   /   SUM(OFFSET($BO$15,0,0,$B$14,1)) + $B$18/($B$19*$B$19*($DN327&lt;&gt;$DO327) + $B$19*($DN327=$DO327))</f>
        <v>3.7037037037037035E-4</v>
      </c>
      <c r="ES327" s="10" cm="1">
        <f t="array" aca="1" ref="ES327" ca="1">(1-$B$18)*SUMPRODUCT(OFFSET($BO$15,0,0,$B$14,1), 1*(_xlfn._xlws.FILTER(OFFSET($O$15,0,$DN327,$B$8,1),OFFSET($M$15,0,0,$B$8,1))=ES$13), 1*(_xlfn._xlws.FILTER(OFFSET($O$15,0,$DO327,$B$8,1),OFFSET($M$15,0,0,$B$8,1))=ES$14))   /   SUM(OFFSET($BO$15,0,0,$B$14,1)) + $B$18/($B$19*$B$19*($DN327&lt;&gt;$DO327) + $B$19*($DN327=$DO327))</f>
        <v>3.7037037037037035E-4</v>
      </c>
      <c r="ET327" s="10" cm="1">
        <f t="array" aca="1" ref="ET327" ca="1">(1-$B$18)*SUMPRODUCT(OFFSET($BO$15,0,0,$B$14,1), 1*(_xlfn._xlws.FILTER(OFFSET($O$15,0,$DN327,$B$8,1),OFFSET($M$15,0,0,$B$8,1))=ET$13), 1*(_xlfn._xlws.FILTER(OFFSET($O$15,0,$DO327,$B$8,1),OFFSET($M$15,0,0,$B$8,1))=ET$14))   /   SUM(OFFSET($BO$15,0,0,$B$14,1)) + $B$18/($B$19*$B$19*($DN327&lt;&gt;$DO327) + $B$19*($DN327=$DO327))</f>
        <v>0.97037037037037033</v>
      </c>
      <c r="EU327" s="10" cm="1">
        <f t="array" aca="1" ref="EU327" ca="1">(1-$B$18)*SUMPRODUCT(OFFSET($BO$15,0,0,$B$14,1), 1*(_xlfn._xlws.FILTER(OFFSET($O$15,0,$DN327,$B$8,1),OFFSET($M$15,0,0,$B$8,1))=EU$13), 1*(_xlfn._xlws.FILTER(OFFSET($O$15,0,$DO327,$B$8,1),OFFSET($M$15,0,0,$B$8,1))=EU$14))   /   SUM(OFFSET($BO$15,0,0,$B$14,1)) + $B$18/($B$19*$B$19*($DN327&lt;&gt;$DO327) + $B$19*($DN327=$DO327))</f>
        <v>3.7037037037037035E-4</v>
      </c>
      <c r="EV327" s="10" cm="1">
        <f t="array" aca="1" ref="EV327" ca="1">(1-$B$18)*SUMPRODUCT(OFFSET($BO$15,0,0,$B$14,1), 1*(_xlfn._xlws.FILTER(OFFSET($O$15,0,$DN327,$B$8,1),OFFSET($M$15,0,0,$B$8,1))=EV$13), 1*(_xlfn._xlws.FILTER(OFFSET($O$15,0,$DO327,$B$8,1),OFFSET($M$15,0,0,$B$8,1))=EV$14))   /   SUM(OFFSET($BO$15,0,0,$B$14,1)) + $B$18/($B$19*$B$19*($DN327&lt;&gt;$DO327) + $B$19*($DN327=$DO327))</f>
        <v>3.7037037037037035E-4</v>
      </c>
      <c r="EW327" s="10" cm="1">
        <f t="array" aca="1" ref="EW327" ca="1">(1-$B$18)*SUMPRODUCT(OFFSET($BO$15,0,0,$B$14,1), 1*(_xlfn._xlws.FILTER(OFFSET($O$15,0,$DN327,$B$8,1),OFFSET($M$15,0,0,$B$8,1))=EW$13), 1*(_xlfn._xlws.FILTER(OFFSET($O$15,0,$DO327,$B$8,1),OFFSET($M$15,0,0,$B$8,1))=EW$14))   /   SUM(OFFSET($BO$15,0,0,$B$14,1)) + $B$18/($B$19*$B$19*($DN327&lt;&gt;$DO327) + $B$19*($DN327=$DO327))</f>
        <v>3.7037037037037035E-4</v>
      </c>
      <c r="EX327" s="10" cm="1">
        <f t="array" aca="1" ref="EX327" ca="1">(1-$B$18)*SUMPRODUCT(OFFSET($BO$15,0,0,$B$14,1), 1*(_xlfn._xlws.FILTER(OFFSET($O$15,0,$DN327,$B$8,1),OFFSET($M$15,0,0,$B$8,1))=EX$13), 1*(_xlfn._xlws.FILTER(OFFSET($O$15,0,$DO327,$B$8,1),OFFSET($M$15,0,0,$B$8,1))=EX$14))   /   SUM(OFFSET($BO$15,0,0,$B$14,1)) + $B$18/($B$19*$B$19*($DN327&lt;&gt;$DO327) + $B$19*($DN327=$DO327))</f>
        <v>3.7037037037037035E-4</v>
      </c>
      <c r="EY327" s="10" cm="1">
        <f t="array" aca="1" ref="EY327" ca="1">(1-$B$18)*SUMPRODUCT(OFFSET($BO$15,0,0,$B$14,1), 1*(_xlfn._xlws.FILTER(OFFSET($O$15,0,$DN327,$B$8,1),OFFSET($M$15,0,0,$B$8,1))=EY$13), 1*(_xlfn._xlws.FILTER(OFFSET($O$15,0,$DO327,$B$8,1),OFFSET($M$15,0,0,$B$8,1))=EY$14))   /   SUM(OFFSET($BO$15,0,0,$B$14,1)) + $B$18/($B$19*$B$19*($DN327&lt;&gt;$DO327) + $B$19*($DN327=$DO327))</f>
        <v>3.7037037037037035E-4</v>
      </c>
      <c r="EZ327" s="10" cm="1">
        <f t="array" aca="1" ref="EZ327" ca="1">(1-$B$18)*SUMPRODUCT(OFFSET($BO$15,0,0,$B$14,1), 1*(_xlfn._xlws.FILTER(OFFSET($O$15,0,$DN327,$B$8,1),OFFSET($M$15,0,0,$B$8,1))=EZ$13), 1*(_xlfn._xlws.FILTER(OFFSET($O$15,0,$DO327,$B$8,1),OFFSET($M$15,0,0,$B$8,1))=EZ$14))   /   SUM(OFFSET($BO$15,0,0,$B$14,1)) + $B$18/($B$19*$B$19*($DN327&lt;&gt;$DO327) + $B$19*($DN327=$DO327))</f>
        <v>3.7037037037037035E-4</v>
      </c>
      <c r="FA327" s="10" cm="1">
        <f t="array" aca="1" ref="FA327" ca="1">(1-$B$18)*SUMPRODUCT(OFFSET($BO$15,0,0,$B$14,1), 1*(_xlfn._xlws.FILTER(OFFSET($O$15,0,$DN327,$B$8,1),OFFSET($M$15,0,0,$B$8,1))=FA$13), 1*(_xlfn._xlws.FILTER(OFFSET($O$15,0,$DO327,$B$8,1),OFFSET($M$15,0,0,$B$8,1))=FA$14))   /   SUM(OFFSET($BO$15,0,0,$B$14,1)) + $B$18/($B$19*$B$19*($DN327&lt;&gt;$DO327) + $B$19*($DN327=$DO327))</f>
        <v>3.7037037037037035E-4</v>
      </c>
      <c r="FB327" s="10" cm="1">
        <f t="array" aca="1" ref="FB327" ca="1">(1-$B$18)*SUMPRODUCT(OFFSET($BO$15,0,0,$B$14,1), 1*(_xlfn._xlws.FILTER(OFFSET($O$15,0,$DN327,$B$8,1),OFFSET($M$15,0,0,$B$8,1))=FB$13), 1*(_xlfn._xlws.FILTER(OFFSET($O$15,0,$DO327,$B$8,1),OFFSET($M$15,0,0,$B$8,1))=FB$14))   /   SUM(OFFSET($BO$15,0,0,$B$14,1)) + $B$18/($B$19*$B$19*($DN327&lt;&gt;$DO327) + $B$19*($DN327=$DO327))</f>
        <v>3.7037037037037035E-4</v>
      </c>
      <c r="FC327" s="10" cm="1">
        <f t="array" aca="1" ref="FC327" ca="1">(1-$B$18)*SUMPRODUCT(OFFSET($BO$15,0,0,$B$14,1), 1*(_xlfn._xlws.FILTER(OFFSET($O$15,0,$DN327,$B$8,1),OFFSET($M$15,0,0,$B$8,1))=FC$13), 1*(_xlfn._xlws.FILTER(OFFSET($O$15,0,$DO327,$B$8,1),OFFSET($M$15,0,0,$B$8,1))=FC$14))   /   SUM(OFFSET($BO$15,0,0,$B$14,1)) + $B$18/($B$19*$B$19*($DN327&lt;&gt;$DO327) + $B$19*($DN327=$DO327))</f>
        <v>3.7037037037037035E-4</v>
      </c>
      <c r="FD327" s="10" cm="1">
        <f t="array" aca="1" ref="FD327" ca="1">(1-$B$18)*SUMPRODUCT(OFFSET($BO$15,0,0,$B$14,1), 1*(_xlfn._xlws.FILTER(OFFSET($O$15,0,$DN327,$B$8,1),OFFSET($M$15,0,0,$B$8,1))=FD$13), 1*(_xlfn._xlws.FILTER(OFFSET($O$15,0,$DO327,$B$8,1),OFFSET($M$15,0,0,$B$8,1))=FD$14))   /   SUM(OFFSET($BO$15,0,0,$B$14,1)) + $B$18/($B$19*$B$19*($DN327&lt;&gt;$DO327) + $B$19*($DN327=$DO327))</f>
        <v>3.7037037037037035E-4</v>
      </c>
      <c r="FE327" s="10" cm="1">
        <f t="array" aca="1" ref="FE327" ca="1">(1-$B$18)*SUMPRODUCT(OFFSET($BO$15,0,0,$B$14,1), 1*(_xlfn._xlws.FILTER(OFFSET($O$15,0,$DN327,$B$8,1),OFFSET($M$15,0,0,$B$8,1))=FE$13), 1*(_xlfn._xlws.FILTER(OFFSET($O$15,0,$DO327,$B$8,1),OFFSET($M$15,0,0,$B$8,1))=FE$14))   /   SUM(OFFSET($BO$15,0,0,$B$14,1)) + $B$18/($B$19*$B$19*($DN327&lt;&gt;$DO327) + $B$19*($DN327=$DO327))</f>
        <v>3.7037037037037035E-4</v>
      </c>
      <c r="FF327" s="10" cm="1">
        <f t="array" aca="1" ref="FF327" ca="1">(1-$B$18)*SUMPRODUCT(OFFSET($BO$15,0,0,$B$14,1), 1*(_xlfn._xlws.FILTER(OFFSET($O$15,0,$DN327,$B$8,1),OFFSET($M$15,0,0,$B$8,1))=FF$13), 1*(_xlfn._xlws.FILTER(OFFSET($O$15,0,$DO327,$B$8,1),OFFSET($M$15,0,0,$B$8,1))=FF$14))   /   SUM(OFFSET($BO$15,0,0,$B$14,1)) + $B$18/($B$19*$B$19*($DN327&lt;&gt;$DO327) + $B$19*($DN327=$DO327))</f>
        <v>3.7037037037037035E-4</v>
      </c>
      <c r="FG327" s="10" cm="1">
        <f t="array" aca="1" ref="FG327" ca="1">(1-$B$18)*SUMPRODUCT(OFFSET($BO$15,0,0,$B$14,1), 1*(_xlfn._xlws.FILTER(OFFSET($O$15,0,$DN327,$B$8,1),OFFSET($M$15,0,0,$B$8,1))=FG$13), 1*(_xlfn._xlws.FILTER(OFFSET($O$15,0,$DO327,$B$8,1),OFFSET($M$15,0,0,$B$8,1))=FG$14))   /   SUM(OFFSET($BO$15,0,0,$B$14,1)) + $B$18/($B$19*$B$19*($DN327&lt;&gt;$DO327) + $B$19*($DN327=$DO327))</f>
        <v>3.7037037037037035E-4</v>
      </c>
      <c r="FH327" s="10" cm="1">
        <f t="array" aca="1" ref="FH327" ca="1">(1-$B$18)*SUMPRODUCT(OFFSET($BO$15,0,0,$B$14,1), 1*(_xlfn._xlws.FILTER(OFFSET($O$15,0,$DN327,$B$8,1),OFFSET($M$15,0,0,$B$8,1))=FH$13), 1*(_xlfn._xlws.FILTER(OFFSET($O$15,0,$DO327,$B$8,1),OFFSET($M$15,0,0,$B$8,1))=FH$14))   /   SUM(OFFSET($BO$15,0,0,$B$14,1)) + $B$18/($B$19*$B$19*($DN327&lt;&gt;$DO327) + $B$19*($DN327=$DO327))</f>
        <v>3.7037037037037035E-4</v>
      </c>
      <c r="FI327" s="10" cm="1">
        <f t="array" aca="1" ref="FI327" ca="1">(1-$B$18)*SUMPRODUCT(OFFSET($BO$15,0,0,$B$14,1), 1*(_xlfn._xlws.FILTER(OFFSET($O$15,0,$DN327,$B$8,1),OFFSET($M$15,0,0,$B$8,1))=FI$13), 1*(_xlfn._xlws.FILTER(OFFSET($O$15,0,$DO327,$B$8,1),OFFSET($M$15,0,0,$B$8,1))=FI$14))   /   SUM(OFFSET($BO$15,0,0,$B$14,1)) + $B$18/($B$19*$B$19*($DN327&lt;&gt;$DO327) + $B$19*($DN327=$DO327))</f>
        <v>3.7037037037037035E-4</v>
      </c>
      <c r="FJ327" s="10" cm="1">
        <f t="array" aca="1" ref="FJ327" ca="1">(1-$B$18)*SUMPRODUCT(OFFSET($BO$15,0,0,$B$14,1), 1*(_xlfn._xlws.FILTER(OFFSET($O$15,0,$DN327,$B$8,1),OFFSET($M$15,0,0,$B$8,1))=FJ$13), 1*(_xlfn._xlws.FILTER(OFFSET($O$15,0,$DO327,$B$8,1),OFFSET($M$15,0,0,$B$8,1))=FJ$14))   /   SUM(OFFSET($BO$15,0,0,$B$14,1)) + $B$18/($B$19*$B$19*($DN327&lt;&gt;$DO327) + $B$19*($DN327=$DO327))</f>
        <v>3.7037037037037035E-4</v>
      </c>
      <c r="FK327" s="10" cm="1">
        <f t="array" aca="1" ref="FK327" ca="1">(1-$B$18)*SUMPRODUCT(OFFSET($BO$15,0,0,$B$14,1), 1*(_xlfn._xlws.FILTER(OFFSET($O$15,0,$DN327,$B$8,1),OFFSET($M$15,0,0,$B$8,1))=FK$13), 1*(_xlfn._xlws.FILTER(OFFSET($O$15,0,$DO327,$B$8,1),OFFSET($M$15,0,0,$B$8,1))=FK$14))   /   SUM(OFFSET($BO$15,0,0,$B$14,1)) + $B$18/($B$19*$B$19*($DN327&lt;&gt;$DO327) + $B$19*($DN327=$DO327))</f>
        <v>3.7037037037037035E-4</v>
      </c>
      <c r="FL327" s="10" cm="1">
        <f t="array" aca="1" ref="FL327" ca="1">(1-$B$18)*SUMPRODUCT(OFFSET($BO$15,0,0,$B$14,1), 1*(_xlfn._xlws.FILTER(OFFSET($O$15,0,$DN327,$B$8,1),OFFSET($M$15,0,0,$B$8,1))=FL$13), 1*(_xlfn._xlws.FILTER(OFFSET($O$15,0,$DO327,$B$8,1),OFFSET($M$15,0,0,$B$8,1))=FL$14))   /   SUM(OFFSET($BO$15,0,0,$B$14,1)) + $B$18/($B$19*$B$19*($DN327&lt;&gt;$DO327) + $B$19*($DN327=$DO327))</f>
        <v>3.7037037037037035E-4</v>
      </c>
      <c r="FM327" s="10" cm="1">
        <f t="array" aca="1" ref="FM327" ca="1">(1-$B$18)*SUMPRODUCT(OFFSET($BO$15,0,0,$B$14,1), 1*(_xlfn._xlws.FILTER(OFFSET($O$15,0,$DN327,$B$8,1),OFFSET($M$15,0,0,$B$8,1))=FM$13), 1*(_xlfn._xlws.FILTER(OFFSET($O$15,0,$DO327,$B$8,1),OFFSET($M$15,0,0,$B$8,1))=FM$14))   /   SUM(OFFSET($BO$15,0,0,$B$14,1)) + $B$18/($B$19*$B$19*($DN327&lt;&gt;$DO327) + $B$19*($DN327=$DO327))</f>
        <v>3.7037037037037035E-4</v>
      </c>
      <c r="FN327" s="10" cm="1">
        <f t="array" aca="1" ref="FN327" ca="1">(1-$B$18)*SUMPRODUCT(OFFSET($BO$15,0,0,$B$14,1), 1*(_xlfn._xlws.FILTER(OFFSET($O$15,0,$DN327,$B$8,1),OFFSET($M$15,0,0,$B$8,1))=FN$13), 1*(_xlfn._xlws.FILTER(OFFSET($O$15,0,$DO327,$B$8,1),OFFSET($M$15,0,0,$B$8,1))=FN$14))   /   SUM(OFFSET($BO$15,0,0,$B$14,1)) + $B$18/($B$19*$B$19*($DN327&lt;&gt;$DO327) + $B$19*($DN327=$DO327))</f>
        <v>3.7037037037037035E-4</v>
      </c>
      <c r="FO327" s="10" cm="1">
        <f t="array" aca="1" ref="FO327" ca="1">(1-$B$18)*SUMPRODUCT(OFFSET($BO$15,0,0,$B$14,1), 1*(_xlfn._xlws.FILTER(OFFSET($O$15,0,$DN327,$B$8,1),OFFSET($M$15,0,0,$B$8,1))=FO$13), 1*(_xlfn._xlws.FILTER(OFFSET($O$15,0,$DO327,$B$8,1),OFFSET($M$15,0,0,$B$8,1))=FO$14))   /   SUM(OFFSET($BO$15,0,0,$B$14,1)) + $B$18/($B$19*$B$19*($DN327&lt;&gt;$DO327) + $B$19*($DN327=$DO327))</f>
        <v>3.7037037037037035E-4</v>
      </c>
      <c r="FP327" s="10" cm="1">
        <f t="array" aca="1" ref="FP327" ca="1">(1-$B$18)*SUMPRODUCT(OFFSET($BO$15,0,0,$B$14,1), 1*(_xlfn._xlws.FILTER(OFFSET($O$15,0,$DN327,$B$8,1),OFFSET($M$15,0,0,$B$8,1))=FP$13), 1*(_xlfn._xlws.FILTER(OFFSET($O$15,0,$DO327,$B$8,1),OFFSET($M$15,0,0,$B$8,1))=FP$14))   /   SUM(OFFSET($BO$15,0,0,$B$14,1)) + $B$18/($B$19*$B$19*($DN327&lt;&gt;$DO327) + $B$19*($DN327=$DO327))</f>
        <v>3.7037037037037035E-4</v>
      </c>
      <c r="FQ327" s="10" cm="1">
        <f t="array" aca="1" ref="FQ327" ca="1">(1-$B$18)*SUMPRODUCT(OFFSET($BO$15,0,0,$B$14,1), 1*(_xlfn._xlws.FILTER(OFFSET($O$15,0,$DN327,$B$8,1),OFFSET($M$15,0,0,$B$8,1))=FQ$13), 1*(_xlfn._xlws.FILTER(OFFSET($O$15,0,$DO327,$B$8,1),OFFSET($M$15,0,0,$B$8,1))=FQ$14))   /   SUM(OFFSET($BO$15,0,0,$B$14,1)) + $B$18/($B$19*$B$19*($DN327&lt;&gt;$DO327) + $B$19*($DN327=$DO327))</f>
        <v>3.7037037037037035E-4</v>
      </c>
      <c r="FR327" s="10" cm="1">
        <f t="array" aca="1" ref="FR327" ca="1">(1-$B$18)*SUMPRODUCT(OFFSET($BO$15,0,0,$B$14,1), 1*(_xlfn._xlws.FILTER(OFFSET($O$15,0,$DN327,$B$8,1),OFFSET($M$15,0,0,$B$8,1))=FR$13), 1*(_xlfn._xlws.FILTER(OFFSET($O$15,0,$DO327,$B$8,1),OFFSET($M$15,0,0,$B$8,1))=FR$14))   /   SUM(OFFSET($BO$15,0,0,$B$14,1)) + $B$18/($B$19*$B$19*($DN327&lt;&gt;$DO327) + $B$19*($DN327=$DO327))</f>
        <v>3.7037037037037035E-4</v>
      </c>
      <c r="FS327" s="10" cm="1">
        <f t="array" aca="1" ref="FS327" ca="1">(1-$B$18)*SUMPRODUCT(OFFSET($BO$15,0,0,$B$14,1), 1*(_xlfn._xlws.FILTER(OFFSET($O$15,0,$DN327,$B$8,1),OFFSET($M$15,0,0,$B$8,1))=FS$13), 1*(_xlfn._xlws.FILTER(OFFSET($O$15,0,$DO327,$B$8,1),OFFSET($M$15,0,0,$B$8,1))=FS$14))   /   SUM(OFFSET($BO$15,0,0,$B$14,1)) + $B$18/($B$19*$B$19*($DN327&lt;&gt;$DO327) + $B$19*($DN327=$DO327))</f>
        <v>3.7037037037037035E-4</v>
      </c>
      <c r="FT327" s="10" cm="1">
        <f t="array" aca="1" ref="FT327" ca="1">(1-$B$18)*SUMPRODUCT(OFFSET($BO$15,0,0,$B$14,1), 1*(_xlfn._xlws.FILTER(OFFSET($O$15,0,$DN327,$B$8,1),OFFSET($M$15,0,0,$B$8,1))=FT$13), 1*(_xlfn._xlws.FILTER(OFFSET($O$15,0,$DO327,$B$8,1),OFFSET($M$15,0,0,$B$8,1))=FT$14))   /   SUM(OFFSET($BO$15,0,0,$B$14,1)) + $B$18/($B$19*$B$19*($DN327&lt;&gt;$DO327) + $B$19*($DN327=$DO327))</f>
        <v>3.7037037037037035E-4</v>
      </c>
      <c r="FU327" s="10" cm="1">
        <f t="array" aca="1" ref="FU327" ca="1">(1-$B$18)*SUMPRODUCT(OFFSET($BO$15,0,0,$B$14,1), 1*(_xlfn._xlws.FILTER(OFFSET($O$15,0,$DN327,$B$8,1),OFFSET($M$15,0,0,$B$8,1))=FU$13), 1*(_xlfn._xlws.FILTER(OFFSET($O$15,0,$DO327,$B$8,1),OFFSET($M$15,0,0,$B$8,1))=FU$14))   /   SUM(OFFSET($BO$15,0,0,$B$14,1)) + $B$18/($B$19*$B$19*($DN327&lt;&gt;$DO327) + $B$19*($DN327=$DO327))</f>
        <v>3.7037037037037035E-4</v>
      </c>
      <c r="FV327" s="10" cm="1">
        <f t="array" aca="1" ref="FV327" ca="1">(1-$B$18)*SUMPRODUCT(OFFSET($BO$15,0,0,$B$14,1), 1*(_xlfn._xlws.FILTER(OFFSET($O$15,0,$DN327,$B$8,1),OFFSET($M$15,0,0,$B$8,1))=FV$13), 1*(_xlfn._xlws.FILTER(OFFSET($O$15,0,$DO327,$B$8,1),OFFSET($M$15,0,0,$B$8,1))=FV$14))   /   SUM(OFFSET($BO$15,0,0,$B$14,1)) + $B$18/($B$19*$B$19*($DN327&lt;&gt;$DO327) + $B$19*($DN327=$DO327))</f>
        <v>3.7037037037037035E-4</v>
      </c>
      <c r="FW327" s="10" cm="1">
        <f t="array" aca="1" ref="FW327" ca="1">(1-$B$18)*SUMPRODUCT(OFFSET($BO$15,0,0,$B$14,1), 1*(_xlfn._xlws.FILTER(OFFSET($O$15,0,$DN327,$B$8,1),OFFSET($M$15,0,0,$B$8,1))=FW$13), 1*(_xlfn._xlws.FILTER(OFFSET($O$15,0,$DO327,$B$8,1),OFFSET($M$15,0,0,$B$8,1))=FW$14))   /   SUM(OFFSET($BO$15,0,0,$B$14,1)) + $B$18/($B$19*$B$19*($DN327&lt;&gt;$DO327) + $B$19*($DN327=$DO327))</f>
        <v>3.7037037037037035E-4</v>
      </c>
      <c r="FX327" s="10" cm="1">
        <f t="array" aca="1" ref="FX327" ca="1">(1-$B$18)*SUMPRODUCT(OFFSET($BO$15,0,0,$B$14,1), 1*(_xlfn._xlws.FILTER(OFFSET($O$15,0,$DN327,$B$8,1),OFFSET($M$15,0,0,$B$8,1))=FX$13), 1*(_xlfn._xlws.FILTER(OFFSET($O$15,0,$DO327,$B$8,1),OFFSET($M$15,0,0,$B$8,1))=FX$14))   /   SUM(OFFSET($BO$15,0,0,$B$14,1)) + $B$18/($B$19*$B$19*($DN327&lt;&gt;$DO327) + $B$19*($DN327=$DO327))</f>
        <v>3.7037037037037035E-4</v>
      </c>
      <c r="FY327" s="10" cm="1">
        <f t="array" aca="1" ref="FY327" ca="1">(1-$B$18)*SUMPRODUCT(OFFSET($BO$15,0,0,$B$14,1), 1*(_xlfn._xlws.FILTER(OFFSET($O$15,0,$DN327,$B$8,1),OFFSET($M$15,0,0,$B$8,1))=FY$13), 1*(_xlfn._xlws.FILTER(OFFSET($O$15,0,$DO327,$B$8,1),OFFSET($M$15,0,0,$B$8,1))=FY$14))   /   SUM(OFFSET($BO$15,0,0,$B$14,1)) + $B$18/($B$19*$B$19*($DN327&lt;&gt;$DO327) + $B$19*($DN327=$DO327))</f>
        <v>3.7037037037037035E-4</v>
      </c>
      <c r="FZ327" s="10" cm="1">
        <f t="array" aca="1" ref="FZ327" ca="1">(1-$B$18)*SUMPRODUCT(OFFSET($BO$15,0,0,$B$14,1), 1*(_xlfn._xlws.FILTER(OFFSET($O$15,0,$DN327,$B$8,1),OFFSET($M$15,0,0,$B$8,1))=FZ$13), 1*(_xlfn._xlws.FILTER(OFFSET($O$15,0,$DO327,$B$8,1),OFFSET($M$15,0,0,$B$8,1))=FZ$14))   /   SUM(OFFSET($BO$15,0,0,$B$14,1)) + $B$18/($B$19*$B$19*($DN327&lt;&gt;$DO327) + $B$19*($DN327=$DO327))</f>
        <v>3.7037037037037035E-4</v>
      </c>
      <c r="GA327" s="10" cm="1">
        <f t="array" aca="1" ref="GA327" ca="1">(1-$B$18)*SUMPRODUCT(OFFSET($BO$15,0,0,$B$14,1), 1*(_xlfn._xlws.FILTER(OFFSET($O$15,0,$DN327,$B$8,1),OFFSET($M$15,0,0,$B$8,1))=GA$13), 1*(_xlfn._xlws.FILTER(OFFSET($O$15,0,$DO327,$B$8,1),OFFSET($M$15,0,0,$B$8,1))=GA$14))   /   SUM(OFFSET($BO$15,0,0,$B$14,1)) + $B$18/($B$19*$B$19*($DN327&lt;&gt;$DO327) + $B$19*($DN327=$DO327))</f>
        <v>3.7037037037037035E-4</v>
      </c>
    </row>
    <row r="328" spans="118:183" x14ac:dyDescent="0.2">
      <c r="DN328" cm="1">
        <f t="array" aca="1" ref="DN328" ca="1">INDEX(_xlfn.ANCHORARRAY($CP$15), 1 + INT((ROWS($DO$15:$DO328) - 1) / ROWS(_xlfn.ANCHORARRAY($CP$15))))</f>
        <v>19</v>
      </c>
      <c r="DO328" cm="1">
        <f t="array" aca="1" ref="DO328" ca="1">INDEX(_xlfn.ANCHORARRAY($CP$15),1+MOD(ROWS($DO$15:$DO328)-1,ROWS(_xlfn.ANCHORARRAY($CP$15))))</f>
        <v>9</v>
      </c>
      <c r="DP328" s="10" cm="1">
        <f t="array" aca="1" ref="DP328" ca="1">(1-$B$18)*SUMPRODUCT(OFFSET($BO$15,0,0,$B$14,1), 1*(_xlfn._xlws.FILTER(OFFSET($O$15,0,$DN328,$B$8,1),OFFSET($M$15,0,0,$B$8,1))=DP$13), 1*(_xlfn._xlws.FILTER(OFFSET($O$15,0,$DO328,$B$8,1),OFFSET($M$15,0,0,$B$8,1))=DP$14))   /   SUM(OFFSET($BO$15,0,0,$B$14,1)) + $B$18/($B$19*$B$19*($DN328&lt;&gt;$DO328) + $B$19*($DN328=$DO328))</f>
        <v>3.7037037037037035E-4</v>
      </c>
      <c r="DQ328" s="10" cm="1">
        <f t="array" aca="1" ref="DQ328" ca="1">(1-$B$18)*SUMPRODUCT(OFFSET($BO$15,0,0,$B$14,1), 1*(_xlfn._xlws.FILTER(OFFSET($O$15,0,$DN328,$B$8,1),OFFSET($M$15,0,0,$B$8,1))=DQ$13), 1*(_xlfn._xlws.FILTER(OFFSET($O$15,0,$DO328,$B$8,1),OFFSET($M$15,0,0,$B$8,1))=DQ$14))   /   SUM(OFFSET($BO$15,0,0,$B$14,1)) + $B$18/($B$19*$B$19*($DN328&lt;&gt;$DO328) + $B$19*($DN328=$DO328))</f>
        <v>3.7037037037037035E-4</v>
      </c>
      <c r="DR328" s="10" cm="1">
        <f t="array" aca="1" ref="DR328" ca="1">(1-$B$18)*SUMPRODUCT(OFFSET($BO$15,0,0,$B$14,1), 1*(_xlfn._xlws.FILTER(OFFSET($O$15,0,$DN328,$B$8,1),OFFSET($M$15,0,0,$B$8,1))=DR$13), 1*(_xlfn._xlws.FILTER(OFFSET($O$15,0,$DO328,$B$8,1),OFFSET($M$15,0,0,$B$8,1))=DR$14))   /   SUM(OFFSET($BO$15,0,0,$B$14,1)) + $B$18/($B$19*$B$19*($DN328&lt;&gt;$DO328) + $B$19*($DN328=$DO328))</f>
        <v>3.7037037037037035E-4</v>
      </c>
      <c r="DS328" s="10" cm="1">
        <f t="array" aca="1" ref="DS328" ca="1">(1-$B$18)*SUMPRODUCT(OFFSET($BO$15,0,0,$B$14,1), 1*(_xlfn._xlws.FILTER(OFFSET($O$15,0,$DN328,$B$8,1),OFFSET($M$15,0,0,$B$8,1))=DS$13), 1*(_xlfn._xlws.FILTER(OFFSET($O$15,0,$DO328,$B$8,1),OFFSET($M$15,0,0,$B$8,1))=DS$14))   /   SUM(OFFSET($BO$15,0,0,$B$14,1)) + $B$18/($B$19*$B$19*($DN328&lt;&gt;$DO328) + $B$19*($DN328=$DO328))</f>
        <v>3.7037037037037035E-4</v>
      </c>
      <c r="DT328" s="10" cm="1">
        <f t="array" aca="1" ref="DT328" ca="1">(1-$B$18)*SUMPRODUCT(OFFSET($BO$15,0,0,$B$14,1), 1*(_xlfn._xlws.FILTER(OFFSET($O$15,0,$DN328,$B$8,1),OFFSET($M$15,0,0,$B$8,1))=DT$13), 1*(_xlfn._xlws.FILTER(OFFSET($O$15,0,$DO328,$B$8,1),OFFSET($M$15,0,0,$B$8,1))=DT$14))   /   SUM(OFFSET($BO$15,0,0,$B$14,1)) + $B$18/($B$19*$B$19*($DN328&lt;&gt;$DO328) + $B$19*($DN328=$DO328))</f>
        <v>3.7037037037037035E-4</v>
      </c>
      <c r="DU328" s="10" cm="1">
        <f t="array" aca="1" ref="DU328" ca="1">(1-$B$18)*SUMPRODUCT(OFFSET($BO$15,0,0,$B$14,1), 1*(_xlfn._xlws.FILTER(OFFSET($O$15,0,$DN328,$B$8,1),OFFSET($M$15,0,0,$B$8,1))=DU$13), 1*(_xlfn._xlws.FILTER(OFFSET($O$15,0,$DO328,$B$8,1),OFFSET($M$15,0,0,$B$8,1))=DU$14))   /   SUM(OFFSET($BO$15,0,0,$B$14,1)) + $B$18/($B$19*$B$19*($DN328&lt;&gt;$DO328) + $B$19*($DN328=$DO328))</f>
        <v>3.7037037037037035E-4</v>
      </c>
      <c r="DV328" s="10" cm="1">
        <f t="array" aca="1" ref="DV328" ca="1">(1-$B$18)*SUMPRODUCT(OFFSET($BO$15,0,0,$B$14,1), 1*(_xlfn._xlws.FILTER(OFFSET($O$15,0,$DN328,$B$8,1),OFFSET($M$15,0,0,$B$8,1))=DV$13), 1*(_xlfn._xlws.FILTER(OFFSET($O$15,0,$DO328,$B$8,1),OFFSET($M$15,0,0,$B$8,1))=DV$14))   /   SUM(OFFSET($BO$15,0,0,$B$14,1)) + $B$18/($B$19*$B$19*($DN328&lt;&gt;$DO328) + $B$19*($DN328=$DO328))</f>
        <v>3.7037037037037035E-4</v>
      </c>
      <c r="DW328" s="10" cm="1">
        <f t="array" aca="1" ref="DW328" ca="1">(1-$B$18)*SUMPRODUCT(OFFSET($BO$15,0,0,$B$14,1), 1*(_xlfn._xlws.FILTER(OFFSET($O$15,0,$DN328,$B$8,1),OFFSET($M$15,0,0,$B$8,1))=DW$13), 1*(_xlfn._xlws.FILTER(OFFSET($O$15,0,$DO328,$B$8,1),OFFSET($M$15,0,0,$B$8,1))=DW$14))   /   SUM(OFFSET($BO$15,0,0,$B$14,1)) + $B$18/($B$19*$B$19*($DN328&lt;&gt;$DO328) + $B$19*($DN328=$DO328))</f>
        <v>3.7037037037037035E-4</v>
      </c>
      <c r="DX328" s="10" cm="1">
        <f t="array" aca="1" ref="DX328" ca="1">(1-$B$18)*SUMPRODUCT(OFFSET($BO$15,0,0,$B$14,1), 1*(_xlfn._xlws.FILTER(OFFSET($O$15,0,$DN328,$B$8,1),OFFSET($M$15,0,0,$B$8,1))=DX$13), 1*(_xlfn._xlws.FILTER(OFFSET($O$15,0,$DO328,$B$8,1),OFFSET($M$15,0,0,$B$8,1))=DX$14))   /   SUM(OFFSET($BO$15,0,0,$B$14,1)) + $B$18/($B$19*$B$19*($DN328&lt;&gt;$DO328) + $B$19*($DN328=$DO328))</f>
        <v>3.7037037037037035E-4</v>
      </c>
      <c r="DY328" s="10" cm="1">
        <f t="array" aca="1" ref="DY328" ca="1">(1-$B$18)*SUMPRODUCT(OFFSET($BO$15,0,0,$B$14,1), 1*(_xlfn._xlws.FILTER(OFFSET($O$15,0,$DN328,$B$8,1),OFFSET($M$15,0,0,$B$8,1))=DY$13), 1*(_xlfn._xlws.FILTER(OFFSET($O$15,0,$DO328,$B$8,1),OFFSET($M$15,0,0,$B$8,1))=DY$14))   /   SUM(OFFSET($BO$15,0,0,$B$14,1)) + $B$18/($B$19*$B$19*($DN328&lt;&gt;$DO328) + $B$19*($DN328=$DO328))</f>
        <v>3.7037037037037035E-4</v>
      </c>
      <c r="DZ328" s="10" cm="1">
        <f t="array" aca="1" ref="DZ328" ca="1">(1-$B$18)*SUMPRODUCT(OFFSET($BO$15,0,0,$B$14,1), 1*(_xlfn._xlws.FILTER(OFFSET($O$15,0,$DN328,$B$8,1),OFFSET($M$15,0,0,$B$8,1))=DZ$13), 1*(_xlfn._xlws.FILTER(OFFSET($O$15,0,$DO328,$B$8,1),OFFSET($M$15,0,0,$B$8,1))=DZ$14))   /   SUM(OFFSET($BO$15,0,0,$B$14,1)) + $B$18/($B$19*$B$19*($DN328&lt;&gt;$DO328) + $B$19*($DN328=$DO328))</f>
        <v>3.7037037037037035E-4</v>
      </c>
      <c r="EA328" s="10" cm="1">
        <f t="array" aca="1" ref="EA328" ca="1">(1-$B$18)*SUMPRODUCT(OFFSET($BO$15,0,0,$B$14,1), 1*(_xlfn._xlws.FILTER(OFFSET($O$15,0,$DN328,$B$8,1),OFFSET($M$15,0,0,$B$8,1))=EA$13), 1*(_xlfn._xlws.FILTER(OFFSET($O$15,0,$DO328,$B$8,1),OFFSET($M$15,0,0,$B$8,1))=EA$14))   /   SUM(OFFSET($BO$15,0,0,$B$14,1)) + $B$18/($B$19*$B$19*($DN328&lt;&gt;$DO328) + $B$19*($DN328=$DO328))</f>
        <v>3.7037037037037035E-4</v>
      </c>
      <c r="EB328" s="10" cm="1">
        <f t="array" aca="1" ref="EB328" ca="1">(1-$B$18)*SUMPRODUCT(OFFSET($BO$15,0,0,$B$14,1), 1*(_xlfn._xlws.FILTER(OFFSET($O$15,0,$DN328,$B$8,1),OFFSET($M$15,0,0,$B$8,1))=EB$13), 1*(_xlfn._xlws.FILTER(OFFSET($O$15,0,$DO328,$B$8,1),OFFSET($M$15,0,0,$B$8,1))=EB$14))   /   SUM(OFFSET($BO$15,0,0,$B$14,1)) + $B$18/($B$19*$B$19*($DN328&lt;&gt;$DO328) + $B$19*($DN328=$DO328))</f>
        <v>3.7037037037037035E-4</v>
      </c>
      <c r="EC328" s="10" cm="1">
        <f t="array" aca="1" ref="EC328" ca="1">(1-$B$18)*SUMPRODUCT(OFFSET($BO$15,0,0,$B$14,1), 1*(_xlfn._xlws.FILTER(OFFSET($O$15,0,$DN328,$B$8,1),OFFSET($M$15,0,0,$B$8,1))=EC$13), 1*(_xlfn._xlws.FILTER(OFFSET($O$15,0,$DO328,$B$8,1),OFFSET($M$15,0,0,$B$8,1))=EC$14))   /   SUM(OFFSET($BO$15,0,0,$B$14,1)) + $B$18/($B$19*$B$19*($DN328&lt;&gt;$DO328) + $B$19*($DN328=$DO328))</f>
        <v>3.7037037037037035E-4</v>
      </c>
      <c r="ED328" s="10" cm="1">
        <f t="array" aca="1" ref="ED328" ca="1">(1-$B$18)*SUMPRODUCT(OFFSET($BO$15,0,0,$B$14,1), 1*(_xlfn._xlws.FILTER(OFFSET($O$15,0,$DN328,$B$8,1),OFFSET($M$15,0,0,$B$8,1))=ED$13), 1*(_xlfn._xlws.FILTER(OFFSET($O$15,0,$DO328,$B$8,1),OFFSET($M$15,0,0,$B$8,1))=ED$14))   /   SUM(OFFSET($BO$15,0,0,$B$14,1)) + $B$18/($B$19*$B$19*($DN328&lt;&gt;$DO328) + $B$19*($DN328=$DO328))</f>
        <v>3.7037037037037035E-4</v>
      </c>
      <c r="EE328" s="10" cm="1">
        <f t="array" aca="1" ref="EE328" ca="1">(1-$B$18)*SUMPRODUCT(OFFSET($BO$15,0,0,$B$14,1), 1*(_xlfn._xlws.FILTER(OFFSET($O$15,0,$DN328,$B$8,1),OFFSET($M$15,0,0,$B$8,1))=EE$13), 1*(_xlfn._xlws.FILTER(OFFSET($O$15,0,$DO328,$B$8,1),OFFSET($M$15,0,0,$B$8,1))=EE$14))   /   SUM(OFFSET($BO$15,0,0,$B$14,1)) + $B$18/($B$19*$B$19*($DN328&lt;&gt;$DO328) + $B$19*($DN328=$DO328))</f>
        <v>3.7037037037037035E-4</v>
      </c>
      <c r="EF328" s="10" cm="1">
        <f t="array" aca="1" ref="EF328" ca="1">(1-$B$18)*SUMPRODUCT(OFFSET($BO$15,0,0,$B$14,1), 1*(_xlfn._xlws.FILTER(OFFSET($O$15,0,$DN328,$B$8,1),OFFSET($M$15,0,0,$B$8,1))=EF$13), 1*(_xlfn._xlws.FILTER(OFFSET($O$15,0,$DO328,$B$8,1),OFFSET($M$15,0,0,$B$8,1))=EF$14))   /   SUM(OFFSET($BO$15,0,0,$B$14,1)) + $B$18/($B$19*$B$19*($DN328&lt;&gt;$DO328) + $B$19*($DN328=$DO328))</f>
        <v>3.7037037037037035E-4</v>
      </c>
      <c r="EG328" s="10" cm="1">
        <f t="array" aca="1" ref="EG328" ca="1">(1-$B$18)*SUMPRODUCT(OFFSET($BO$15,0,0,$B$14,1), 1*(_xlfn._xlws.FILTER(OFFSET($O$15,0,$DN328,$B$8,1),OFFSET($M$15,0,0,$B$8,1))=EG$13), 1*(_xlfn._xlws.FILTER(OFFSET($O$15,0,$DO328,$B$8,1),OFFSET($M$15,0,0,$B$8,1))=EG$14))   /   SUM(OFFSET($BO$15,0,0,$B$14,1)) + $B$18/($B$19*$B$19*($DN328&lt;&gt;$DO328) + $B$19*($DN328=$DO328))</f>
        <v>3.7037037037037035E-4</v>
      </c>
      <c r="EH328" s="10" cm="1">
        <f t="array" aca="1" ref="EH328" ca="1">(1-$B$18)*SUMPRODUCT(OFFSET($BO$15,0,0,$B$14,1), 1*(_xlfn._xlws.FILTER(OFFSET($O$15,0,$DN328,$B$8,1),OFFSET($M$15,0,0,$B$8,1))=EH$13), 1*(_xlfn._xlws.FILTER(OFFSET($O$15,0,$DO328,$B$8,1),OFFSET($M$15,0,0,$B$8,1))=EH$14))   /   SUM(OFFSET($BO$15,0,0,$B$14,1)) + $B$18/($B$19*$B$19*($DN328&lt;&gt;$DO328) + $B$19*($DN328=$DO328))</f>
        <v>3.7037037037037035E-4</v>
      </c>
      <c r="EI328" s="10" cm="1">
        <f t="array" aca="1" ref="EI328" ca="1">(1-$B$18)*SUMPRODUCT(OFFSET($BO$15,0,0,$B$14,1), 1*(_xlfn._xlws.FILTER(OFFSET($O$15,0,$DN328,$B$8,1),OFFSET($M$15,0,0,$B$8,1))=EI$13), 1*(_xlfn._xlws.FILTER(OFFSET($O$15,0,$DO328,$B$8,1),OFFSET($M$15,0,0,$B$8,1))=EI$14))   /   SUM(OFFSET($BO$15,0,0,$B$14,1)) + $B$18/($B$19*$B$19*($DN328&lt;&gt;$DO328) + $B$19*($DN328=$DO328))</f>
        <v>3.7037037037037035E-4</v>
      </c>
      <c r="EJ328" s="10" cm="1">
        <f t="array" aca="1" ref="EJ328" ca="1">(1-$B$18)*SUMPRODUCT(OFFSET($BO$15,0,0,$B$14,1), 1*(_xlfn._xlws.FILTER(OFFSET($O$15,0,$DN328,$B$8,1),OFFSET($M$15,0,0,$B$8,1))=EJ$13), 1*(_xlfn._xlws.FILTER(OFFSET($O$15,0,$DO328,$B$8,1),OFFSET($M$15,0,0,$B$8,1))=EJ$14))   /   SUM(OFFSET($BO$15,0,0,$B$14,1)) + $B$18/($B$19*$B$19*($DN328&lt;&gt;$DO328) + $B$19*($DN328=$DO328))</f>
        <v>3.7037037037037035E-4</v>
      </c>
      <c r="EK328" s="10" cm="1">
        <f t="array" aca="1" ref="EK328" ca="1">(1-$B$18)*SUMPRODUCT(OFFSET($BO$15,0,0,$B$14,1), 1*(_xlfn._xlws.FILTER(OFFSET($O$15,0,$DN328,$B$8,1),OFFSET($M$15,0,0,$B$8,1))=EK$13), 1*(_xlfn._xlws.FILTER(OFFSET($O$15,0,$DO328,$B$8,1),OFFSET($M$15,0,0,$B$8,1))=EK$14))   /   SUM(OFFSET($BO$15,0,0,$B$14,1)) + $B$18/($B$19*$B$19*($DN328&lt;&gt;$DO328) + $B$19*($DN328=$DO328))</f>
        <v>3.7037037037037035E-4</v>
      </c>
      <c r="EL328" s="10" cm="1">
        <f t="array" aca="1" ref="EL328" ca="1">(1-$B$18)*SUMPRODUCT(OFFSET($BO$15,0,0,$B$14,1), 1*(_xlfn._xlws.FILTER(OFFSET($O$15,0,$DN328,$B$8,1),OFFSET($M$15,0,0,$B$8,1))=EL$13), 1*(_xlfn._xlws.FILTER(OFFSET($O$15,0,$DO328,$B$8,1),OFFSET($M$15,0,0,$B$8,1))=EL$14))   /   SUM(OFFSET($BO$15,0,0,$B$14,1)) + $B$18/($B$19*$B$19*($DN328&lt;&gt;$DO328) + $B$19*($DN328=$DO328))</f>
        <v>3.7037037037037035E-4</v>
      </c>
      <c r="EM328" s="10" cm="1">
        <f t="array" aca="1" ref="EM328" ca="1">(1-$B$18)*SUMPRODUCT(OFFSET($BO$15,0,0,$B$14,1), 1*(_xlfn._xlws.FILTER(OFFSET($O$15,0,$DN328,$B$8,1),OFFSET($M$15,0,0,$B$8,1))=EM$13), 1*(_xlfn._xlws.FILTER(OFFSET($O$15,0,$DO328,$B$8,1),OFFSET($M$15,0,0,$B$8,1))=EM$14))   /   SUM(OFFSET($BO$15,0,0,$B$14,1)) + $B$18/($B$19*$B$19*($DN328&lt;&gt;$DO328) + $B$19*($DN328=$DO328))</f>
        <v>3.7037037037037035E-4</v>
      </c>
      <c r="EN328" s="10" cm="1">
        <f t="array" aca="1" ref="EN328" ca="1">(1-$B$18)*SUMPRODUCT(OFFSET($BO$15,0,0,$B$14,1), 1*(_xlfn._xlws.FILTER(OFFSET($O$15,0,$DN328,$B$8,1),OFFSET($M$15,0,0,$B$8,1))=EN$13), 1*(_xlfn._xlws.FILTER(OFFSET($O$15,0,$DO328,$B$8,1),OFFSET($M$15,0,0,$B$8,1))=EN$14))   /   SUM(OFFSET($BO$15,0,0,$B$14,1)) + $B$18/($B$19*$B$19*($DN328&lt;&gt;$DO328) + $B$19*($DN328=$DO328))</f>
        <v>3.7037037037037035E-4</v>
      </c>
      <c r="EO328" s="10" cm="1">
        <f t="array" aca="1" ref="EO328" ca="1">(1-$B$18)*SUMPRODUCT(OFFSET($BO$15,0,0,$B$14,1), 1*(_xlfn._xlws.FILTER(OFFSET($O$15,0,$DN328,$B$8,1),OFFSET($M$15,0,0,$B$8,1))=EO$13), 1*(_xlfn._xlws.FILTER(OFFSET($O$15,0,$DO328,$B$8,1),OFFSET($M$15,0,0,$B$8,1))=EO$14))   /   SUM(OFFSET($BO$15,0,0,$B$14,1)) + $B$18/($B$19*$B$19*($DN328&lt;&gt;$DO328) + $B$19*($DN328=$DO328))</f>
        <v>3.7037037037037035E-4</v>
      </c>
      <c r="EP328" s="10" cm="1">
        <f t="array" aca="1" ref="EP328" ca="1">(1-$B$18)*SUMPRODUCT(OFFSET($BO$15,0,0,$B$14,1), 1*(_xlfn._xlws.FILTER(OFFSET($O$15,0,$DN328,$B$8,1),OFFSET($M$15,0,0,$B$8,1))=EP$13), 1*(_xlfn._xlws.FILTER(OFFSET($O$15,0,$DO328,$B$8,1),OFFSET($M$15,0,0,$B$8,1))=EP$14))   /   SUM(OFFSET($BO$15,0,0,$B$14,1)) + $B$18/($B$19*$B$19*($DN328&lt;&gt;$DO328) + $B$19*($DN328=$DO328))</f>
        <v>3.7037037037037035E-4</v>
      </c>
      <c r="EQ328" s="10" cm="1">
        <f t="array" aca="1" ref="EQ328" ca="1">(1-$B$18)*SUMPRODUCT(OFFSET($BO$15,0,0,$B$14,1), 1*(_xlfn._xlws.FILTER(OFFSET($O$15,0,$DN328,$B$8,1),OFFSET($M$15,0,0,$B$8,1))=EQ$13), 1*(_xlfn._xlws.FILTER(OFFSET($O$15,0,$DO328,$B$8,1),OFFSET($M$15,0,0,$B$8,1))=EQ$14))   /   SUM(OFFSET($BO$15,0,0,$B$14,1)) + $B$18/($B$19*$B$19*($DN328&lt;&gt;$DO328) + $B$19*($DN328=$DO328))</f>
        <v>3.7037037037037035E-4</v>
      </c>
      <c r="ER328" s="10" cm="1">
        <f t="array" aca="1" ref="ER328" ca="1">(1-$B$18)*SUMPRODUCT(OFFSET($BO$15,0,0,$B$14,1), 1*(_xlfn._xlws.FILTER(OFFSET($O$15,0,$DN328,$B$8,1),OFFSET($M$15,0,0,$B$8,1))=ER$13), 1*(_xlfn._xlws.FILTER(OFFSET($O$15,0,$DO328,$B$8,1),OFFSET($M$15,0,0,$B$8,1))=ER$14))   /   SUM(OFFSET($BO$15,0,0,$B$14,1)) + $B$18/($B$19*$B$19*($DN328&lt;&gt;$DO328) + $B$19*($DN328=$DO328))</f>
        <v>3.7037037037037035E-4</v>
      </c>
      <c r="ES328" s="10" cm="1">
        <f t="array" aca="1" ref="ES328" ca="1">(1-$B$18)*SUMPRODUCT(OFFSET($BO$15,0,0,$B$14,1), 1*(_xlfn._xlws.FILTER(OFFSET($O$15,0,$DN328,$B$8,1),OFFSET($M$15,0,0,$B$8,1))=ES$13), 1*(_xlfn._xlws.FILTER(OFFSET($O$15,0,$DO328,$B$8,1),OFFSET($M$15,0,0,$B$8,1))=ES$14))   /   SUM(OFFSET($BO$15,0,0,$B$14,1)) + $B$18/($B$19*$B$19*($DN328&lt;&gt;$DO328) + $B$19*($DN328=$DO328))</f>
        <v>3.7037037037037035E-4</v>
      </c>
      <c r="ET328" s="10" cm="1">
        <f t="array" aca="1" ref="ET328" ca="1">(1-$B$18)*SUMPRODUCT(OFFSET($BO$15,0,0,$B$14,1), 1*(_xlfn._xlws.FILTER(OFFSET($O$15,0,$DN328,$B$8,1),OFFSET($M$15,0,0,$B$8,1))=ET$13), 1*(_xlfn._xlws.FILTER(OFFSET($O$15,0,$DO328,$B$8,1),OFFSET($M$15,0,0,$B$8,1))=ET$14))   /   SUM(OFFSET($BO$15,0,0,$B$14,1)) + $B$18/($B$19*$B$19*($DN328&lt;&gt;$DO328) + $B$19*($DN328=$DO328))</f>
        <v>0.97037037037037033</v>
      </c>
      <c r="EU328" s="10" cm="1">
        <f t="array" aca="1" ref="EU328" ca="1">(1-$B$18)*SUMPRODUCT(OFFSET($BO$15,0,0,$B$14,1), 1*(_xlfn._xlws.FILTER(OFFSET($O$15,0,$DN328,$B$8,1),OFFSET($M$15,0,0,$B$8,1))=EU$13), 1*(_xlfn._xlws.FILTER(OFFSET($O$15,0,$DO328,$B$8,1),OFFSET($M$15,0,0,$B$8,1))=EU$14))   /   SUM(OFFSET($BO$15,0,0,$B$14,1)) + $B$18/($B$19*$B$19*($DN328&lt;&gt;$DO328) + $B$19*($DN328=$DO328))</f>
        <v>3.7037037037037035E-4</v>
      </c>
      <c r="EV328" s="10" cm="1">
        <f t="array" aca="1" ref="EV328" ca="1">(1-$B$18)*SUMPRODUCT(OFFSET($BO$15,0,0,$B$14,1), 1*(_xlfn._xlws.FILTER(OFFSET($O$15,0,$DN328,$B$8,1),OFFSET($M$15,0,0,$B$8,1))=EV$13), 1*(_xlfn._xlws.FILTER(OFFSET($O$15,0,$DO328,$B$8,1),OFFSET($M$15,0,0,$B$8,1))=EV$14))   /   SUM(OFFSET($BO$15,0,0,$B$14,1)) + $B$18/($B$19*$B$19*($DN328&lt;&gt;$DO328) + $B$19*($DN328=$DO328))</f>
        <v>3.7037037037037035E-4</v>
      </c>
      <c r="EW328" s="10" cm="1">
        <f t="array" aca="1" ref="EW328" ca="1">(1-$B$18)*SUMPRODUCT(OFFSET($BO$15,0,0,$B$14,1), 1*(_xlfn._xlws.FILTER(OFFSET($O$15,0,$DN328,$B$8,1),OFFSET($M$15,0,0,$B$8,1))=EW$13), 1*(_xlfn._xlws.FILTER(OFFSET($O$15,0,$DO328,$B$8,1),OFFSET($M$15,0,0,$B$8,1))=EW$14))   /   SUM(OFFSET($BO$15,0,0,$B$14,1)) + $B$18/($B$19*$B$19*($DN328&lt;&gt;$DO328) + $B$19*($DN328=$DO328))</f>
        <v>3.7037037037037035E-4</v>
      </c>
      <c r="EX328" s="10" cm="1">
        <f t="array" aca="1" ref="EX328" ca="1">(1-$B$18)*SUMPRODUCT(OFFSET($BO$15,0,0,$B$14,1), 1*(_xlfn._xlws.FILTER(OFFSET($O$15,0,$DN328,$B$8,1),OFFSET($M$15,0,0,$B$8,1))=EX$13), 1*(_xlfn._xlws.FILTER(OFFSET($O$15,0,$DO328,$B$8,1),OFFSET($M$15,0,0,$B$8,1))=EX$14))   /   SUM(OFFSET($BO$15,0,0,$B$14,1)) + $B$18/($B$19*$B$19*($DN328&lt;&gt;$DO328) + $B$19*($DN328=$DO328))</f>
        <v>3.7037037037037035E-4</v>
      </c>
      <c r="EY328" s="10" cm="1">
        <f t="array" aca="1" ref="EY328" ca="1">(1-$B$18)*SUMPRODUCT(OFFSET($BO$15,0,0,$B$14,1), 1*(_xlfn._xlws.FILTER(OFFSET($O$15,0,$DN328,$B$8,1),OFFSET($M$15,0,0,$B$8,1))=EY$13), 1*(_xlfn._xlws.FILTER(OFFSET($O$15,0,$DO328,$B$8,1),OFFSET($M$15,0,0,$B$8,1))=EY$14))   /   SUM(OFFSET($BO$15,0,0,$B$14,1)) + $B$18/($B$19*$B$19*($DN328&lt;&gt;$DO328) + $B$19*($DN328=$DO328))</f>
        <v>3.7037037037037035E-4</v>
      </c>
      <c r="EZ328" s="10" cm="1">
        <f t="array" aca="1" ref="EZ328" ca="1">(1-$B$18)*SUMPRODUCT(OFFSET($BO$15,0,0,$B$14,1), 1*(_xlfn._xlws.FILTER(OFFSET($O$15,0,$DN328,$B$8,1),OFFSET($M$15,0,0,$B$8,1))=EZ$13), 1*(_xlfn._xlws.FILTER(OFFSET($O$15,0,$DO328,$B$8,1),OFFSET($M$15,0,0,$B$8,1))=EZ$14))   /   SUM(OFFSET($BO$15,0,0,$B$14,1)) + $B$18/($B$19*$B$19*($DN328&lt;&gt;$DO328) + $B$19*($DN328=$DO328))</f>
        <v>3.7037037037037035E-4</v>
      </c>
      <c r="FA328" s="10" cm="1">
        <f t="array" aca="1" ref="FA328" ca="1">(1-$B$18)*SUMPRODUCT(OFFSET($BO$15,0,0,$B$14,1), 1*(_xlfn._xlws.FILTER(OFFSET($O$15,0,$DN328,$B$8,1),OFFSET($M$15,0,0,$B$8,1))=FA$13), 1*(_xlfn._xlws.FILTER(OFFSET($O$15,0,$DO328,$B$8,1),OFFSET($M$15,0,0,$B$8,1))=FA$14))   /   SUM(OFFSET($BO$15,0,0,$B$14,1)) + $B$18/($B$19*$B$19*($DN328&lt;&gt;$DO328) + $B$19*($DN328=$DO328))</f>
        <v>3.7037037037037035E-4</v>
      </c>
      <c r="FB328" s="10" cm="1">
        <f t="array" aca="1" ref="FB328" ca="1">(1-$B$18)*SUMPRODUCT(OFFSET($BO$15,0,0,$B$14,1), 1*(_xlfn._xlws.FILTER(OFFSET($O$15,0,$DN328,$B$8,1),OFFSET($M$15,0,0,$B$8,1))=FB$13), 1*(_xlfn._xlws.FILTER(OFFSET($O$15,0,$DO328,$B$8,1),OFFSET($M$15,0,0,$B$8,1))=FB$14))   /   SUM(OFFSET($BO$15,0,0,$B$14,1)) + $B$18/($B$19*$B$19*($DN328&lt;&gt;$DO328) + $B$19*($DN328=$DO328))</f>
        <v>3.7037037037037035E-4</v>
      </c>
      <c r="FC328" s="10" cm="1">
        <f t="array" aca="1" ref="FC328" ca="1">(1-$B$18)*SUMPRODUCT(OFFSET($BO$15,0,0,$B$14,1), 1*(_xlfn._xlws.FILTER(OFFSET($O$15,0,$DN328,$B$8,1),OFFSET($M$15,0,0,$B$8,1))=FC$13), 1*(_xlfn._xlws.FILTER(OFFSET($O$15,0,$DO328,$B$8,1),OFFSET($M$15,0,0,$B$8,1))=FC$14))   /   SUM(OFFSET($BO$15,0,0,$B$14,1)) + $B$18/($B$19*$B$19*($DN328&lt;&gt;$DO328) + $B$19*($DN328=$DO328))</f>
        <v>3.7037037037037035E-4</v>
      </c>
      <c r="FD328" s="10" cm="1">
        <f t="array" aca="1" ref="FD328" ca="1">(1-$B$18)*SUMPRODUCT(OFFSET($BO$15,0,0,$B$14,1), 1*(_xlfn._xlws.FILTER(OFFSET($O$15,0,$DN328,$B$8,1),OFFSET($M$15,0,0,$B$8,1))=FD$13), 1*(_xlfn._xlws.FILTER(OFFSET($O$15,0,$DO328,$B$8,1),OFFSET($M$15,0,0,$B$8,1))=FD$14))   /   SUM(OFFSET($BO$15,0,0,$B$14,1)) + $B$18/($B$19*$B$19*($DN328&lt;&gt;$DO328) + $B$19*($DN328=$DO328))</f>
        <v>3.7037037037037035E-4</v>
      </c>
      <c r="FE328" s="10" cm="1">
        <f t="array" aca="1" ref="FE328" ca="1">(1-$B$18)*SUMPRODUCT(OFFSET($BO$15,0,0,$B$14,1), 1*(_xlfn._xlws.FILTER(OFFSET($O$15,0,$DN328,$B$8,1),OFFSET($M$15,0,0,$B$8,1))=FE$13), 1*(_xlfn._xlws.FILTER(OFFSET($O$15,0,$DO328,$B$8,1),OFFSET($M$15,0,0,$B$8,1))=FE$14))   /   SUM(OFFSET($BO$15,0,0,$B$14,1)) + $B$18/($B$19*$B$19*($DN328&lt;&gt;$DO328) + $B$19*($DN328=$DO328))</f>
        <v>3.7037037037037035E-4</v>
      </c>
      <c r="FF328" s="10" cm="1">
        <f t="array" aca="1" ref="FF328" ca="1">(1-$B$18)*SUMPRODUCT(OFFSET($BO$15,0,0,$B$14,1), 1*(_xlfn._xlws.FILTER(OFFSET($O$15,0,$DN328,$B$8,1),OFFSET($M$15,0,0,$B$8,1))=FF$13), 1*(_xlfn._xlws.FILTER(OFFSET($O$15,0,$DO328,$B$8,1),OFFSET($M$15,0,0,$B$8,1))=FF$14))   /   SUM(OFFSET($BO$15,0,0,$B$14,1)) + $B$18/($B$19*$B$19*($DN328&lt;&gt;$DO328) + $B$19*($DN328=$DO328))</f>
        <v>3.7037037037037035E-4</v>
      </c>
      <c r="FG328" s="10" cm="1">
        <f t="array" aca="1" ref="FG328" ca="1">(1-$B$18)*SUMPRODUCT(OFFSET($BO$15,0,0,$B$14,1), 1*(_xlfn._xlws.FILTER(OFFSET($O$15,0,$DN328,$B$8,1),OFFSET($M$15,0,0,$B$8,1))=FG$13), 1*(_xlfn._xlws.FILTER(OFFSET($O$15,0,$DO328,$B$8,1),OFFSET($M$15,0,0,$B$8,1))=FG$14))   /   SUM(OFFSET($BO$15,0,0,$B$14,1)) + $B$18/($B$19*$B$19*($DN328&lt;&gt;$DO328) + $B$19*($DN328=$DO328))</f>
        <v>3.7037037037037035E-4</v>
      </c>
      <c r="FH328" s="10" cm="1">
        <f t="array" aca="1" ref="FH328" ca="1">(1-$B$18)*SUMPRODUCT(OFFSET($BO$15,0,0,$B$14,1), 1*(_xlfn._xlws.FILTER(OFFSET($O$15,0,$DN328,$B$8,1),OFFSET($M$15,0,0,$B$8,1))=FH$13), 1*(_xlfn._xlws.FILTER(OFFSET($O$15,0,$DO328,$B$8,1),OFFSET($M$15,0,0,$B$8,1))=FH$14))   /   SUM(OFFSET($BO$15,0,0,$B$14,1)) + $B$18/($B$19*$B$19*($DN328&lt;&gt;$DO328) + $B$19*($DN328=$DO328))</f>
        <v>3.7037037037037035E-4</v>
      </c>
      <c r="FI328" s="10" cm="1">
        <f t="array" aca="1" ref="FI328" ca="1">(1-$B$18)*SUMPRODUCT(OFFSET($BO$15,0,0,$B$14,1), 1*(_xlfn._xlws.FILTER(OFFSET($O$15,0,$DN328,$B$8,1),OFFSET($M$15,0,0,$B$8,1))=FI$13), 1*(_xlfn._xlws.FILTER(OFFSET($O$15,0,$DO328,$B$8,1),OFFSET($M$15,0,0,$B$8,1))=FI$14))   /   SUM(OFFSET($BO$15,0,0,$B$14,1)) + $B$18/($B$19*$B$19*($DN328&lt;&gt;$DO328) + $B$19*($DN328=$DO328))</f>
        <v>3.7037037037037035E-4</v>
      </c>
      <c r="FJ328" s="10" cm="1">
        <f t="array" aca="1" ref="FJ328" ca="1">(1-$B$18)*SUMPRODUCT(OFFSET($BO$15,0,0,$B$14,1), 1*(_xlfn._xlws.FILTER(OFFSET($O$15,0,$DN328,$B$8,1),OFFSET($M$15,0,0,$B$8,1))=FJ$13), 1*(_xlfn._xlws.FILTER(OFFSET($O$15,0,$DO328,$B$8,1),OFFSET($M$15,0,0,$B$8,1))=FJ$14))   /   SUM(OFFSET($BO$15,0,0,$B$14,1)) + $B$18/($B$19*$B$19*($DN328&lt;&gt;$DO328) + $B$19*($DN328=$DO328))</f>
        <v>3.7037037037037035E-4</v>
      </c>
      <c r="FK328" s="10" cm="1">
        <f t="array" aca="1" ref="FK328" ca="1">(1-$B$18)*SUMPRODUCT(OFFSET($BO$15,0,0,$B$14,1), 1*(_xlfn._xlws.FILTER(OFFSET($O$15,0,$DN328,$B$8,1),OFFSET($M$15,0,0,$B$8,1))=FK$13), 1*(_xlfn._xlws.FILTER(OFFSET($O$15,0,$DO328,$B$8,1),OFFSET($M$15,0,0,$B$8,1))=FK$14))   /   SUM(OFFSET($BO$15,0,0,$B$14,1)) + $B$18/($B$19*$B$19*($DN328&lt;&gt;$DO328) + $B$19*($DN328=$DO328))</f>
        <v>3.7037037037037035E-4</v>
      </c>
      <c r="FL328" s="10" cm="1">
        <f t="array" aca="1" ref="FL328" ca="1">(1-$B$18)*SUMPRODUCT(OFFSET($BO$15,0,0,$B$14,1), 1*(_xlfn._xlws.FILTER(OFFSET($O$15,0,$DN328,$B$8,1),OFFSET($M$15,0,0,$B$8,1))=FL$13), 1*(_xlfn._xlws.FILTER(OFFSET($O$15,0,$DO328,$B$8,1),OFFSET($M$15,0,0,$B$8,1))=FL$14))   /   SUM(OFFSET($BO$15,0,0,$B$14,1)) + $B$18/($B$19*$B$19*($DN328&lt;&gt;$DO328) + $B$19*($DN328=$DO328))</f>
        <v>3.7037037037037035E-4</v>
      </c>
      <c r="FM328" s="10" cm="1">
        <f t="array" aca="1" ref="FM328" ca="1">(1-$B$18)*SUMPRODUCT(OFFSET($BO$15,0,0,$B$14,1), 1*(_xlfn._xlws.FILTER(OFFSET($O$15,0,$DN328,$B$8,1),OFFSET($M$15,0,0,$B$8,1))=FM$13), 1*(_xlfn._xlws.FILTER(OFFSET($O$15,0,$DO328,$B$8,1),OFFSET($M$15,0,0,$B$8,1))=FM$14))   /   SUM(OFFSET($BO$15,0,0,$B$14,1)) + $B$18/($B$19*$B$19*($DN328&lt;&gt;$DO328) + $B$19*($DN328=$DO328))</f>
        <v>3.7037037037037035E-4</v>
      </c>
      <c r="FN328" s="10" cm="1">
        <f t="array" aca="1" ref="FN328" ca="1">(1-$B$18)*SUMPRODUCT(OFFSET($BO$15,0,0,$B$14,1), 1*(_xlfn._xlws.FILTER(OFFSET($O$15,0,$DN328,$B$8,1),OFFSET($M$15,0,0,$B$8,1))=FN$13), 1*(_xlfn._xlws.FILTER(OFFSET($O$15,0,$DO328,$B$8,1),OFFSET($M$15,0,0,$B$8,1))=FN$14))   /   SUM(OFFSET($BO$15,0,0,$B$14,1)) + $B$18/($B$19*$B$19*($DN328&lt;&gt;$DO328) + $B$19*($DN328=$DO328))</f>
        <v>3.7037037037037035E-4</v>
      </c>
      <c r="FO328" s="10" cm="1">
        <f t="array" aca="1" ref="FO328" ca="1">(1-$B$18)*SUMPRODUCT(OFFSET($BO$15,0,0,$B$14,1), 1*(_xlfn._xlws.FILTER(OFFSET($O$15,0,$DN328,$B$8,1),OFFSET($M$15,0,0,$B$8,1))=FO$13), 1*(_xlfn._xlws.FILTER(OFFSET($O$15,0,$DO328,$B$8,1),OFFSET($M$15,0,0,$B$8,1))=FO$14))   /   SUM(OFFSET($BO$15,0,0,$B$14,1)) + $B$18/($B$19*$B$19*($DN328&lt;&gt;$DO328) + $B$19*($DN328=$DO328))</f>
        <v>3.7037037037037035E-4</v>
      </c>
      <c r="FP328" s="10" cm="1">
        <f t="array" aca="1" ref="FP328" ca="1">(1-$B$18)*SUMPRODUCT(OFFSET($BO$15,0,0,$B$14,1), 1*(_xlfn._xlws.FILTER(OFFSET($O$15,0,$DN328,$B$8,1),OFFSET($M$15,0,0,$B$8,1))=FP$13), 1*(_xlfn._xlws.FILTER(OFFSET($O$15,0,$DO328,$B$8,1),OFFSET($M$15,0,0,$B$8,1))=FP$14))   /   SUM(OFFSET($BO$15,0,0,$B$14,1)) + $B$18/($B$19*$B$19*($DN328&lt;&gt;$DO328) + $B$19*($DN328=$DO328))</f>
        <v>3.7037037037037035E-4</v>
      </c>
      <c r="FQ328" s="10" cm="1">
        <f t="array" aca="1" ref="FQ328" ca="1">(1-$B$18)*SUMPRODUCT(OFFSET($BO$15,0,0,$B$14,1), 1*(_xlfn._xlws.FILTER(OFFSET($O$15,0,$DN328,$B$8,1),OFFSET($M$15,0,0,$B$8,1))=FQ$13), 1*(_xlfn._xlws.FILTER(OFFSET($O$15,0,$DO328,$B$8,1),OFFSET($M$15,0,0,$B$8,1))=FQ$14))   /   SUM(OFFSET($BO$15,0,0,$B$14,1)) + $B$18/($B$19*$B$19*($DN328&lt;&gt;$DO328) + $B$19*($DN328=$DO328))</f>
        <v>3.7037037037037035E-4</v>
      </c>
      <c r="FR328" s="10" cm="1">
        <f t="array" aca="1" ref="FR328" ca="1">(1-$B$18)*SUMPRODUCT(OFFSET($BO$15,0,0,$B$14,1), 1*(_xlfn._xlws.FILTER(OFFSET($O$15,0,$DN328,$B$8,1),OFFSET($M$15,0,0,$B$8,1))=FR$13), 1*(_xlfn._xlws.FILTER(OFFSET($O$15,0,$DO328,$B$8,1),OFFSET($M$15,0,0,$B$8,1))=FR$14))   /   SUM(OFFSET($BO$15,0,0,$B$14,1)) + $B$18/($B$19*$B$19*($DN328&lt;&gt;$DO328) + $B$19*($DN328=$DO328))</f>
        <v>3.7037037037037035E-4</v>
      </c>
      <c r="FS328" s="10" cm="1">
        <f t="array" aca="1" ref="FS328" ca="1">(1-$B$18)*SUMPRODUCT(OFFSET($BO$15,0,0,$B$14,1), 1*(_xlfn._xlws.FILTER(OFFSET($O$15,0,$DN328,$B$8,1),OFFSET($M$15,0,0,$B$8,1))=FS$13), 1*(_xlfn._xlws.FILTER(OFFSET($O$15,0,$DO328,$B$8,1),OFFSET($M$15,0,0,$B$8,1))=FS$14))   /   SUM(OFFSET($BO$15,0,0,$B$14,1)) + $B$18/($B$19*$B$19*($DN328&lt;&gt;$DO328) + $B$19*($DN328=$DO328))</f>
        <v>3.7037037037037035E-4</v>
      </c>
      <c r="FT328" s="10" cm="1">
        <f t="array" aca="1" ref="FT328" ca="1">(1-$B$18)*SUMPRODUCT(OFFSET($BO$15,0,0,$B$14,1), 1*(_xlfn._xlws.FILTER(OFFSET($O$15,0,$DN328,$B$8,1),OFFSET($M$15,0,0,$B$8,1))=FT$13), 1*(_xlfn._xlws.FILTER(OFFSET($O$15,0,$DO328,$B$8,1),OFFSET($M$15,0,0,$B$8,1))=FT$14))   /   SUM(OFFSET($BO$15,0,0,$B$14,1)) + $B$18/($B$19*$B$19*($DN328&lt;&gt;$DO328) + $B$19*($DN328=$DO328))</f>
        <v>3.7037037037037035E-4</v>
      </c>
      <c r="FU328" s="10" cm="1">
        <f t="array" aca="1" ref="FU328" ca="1">(1-$B$18)*SUMPRODUCT(OFFSET($BO$15,0,0,$B$14,1), 1*(_xlfn._xlws.FILTER(OFFSET($O$15,0,$DN328,$B$8,1),OFFSET($M$15,0,0,$B$8,1))=FU$13), 1*(_xlfn._xlws.FILTER(OFFSET($O$15,0,$DO328,$B$8,1),OFFSET($M$15,0,0,$B$8,1))=FU$14))   /   SUM(OFFSET($BO$15,0,0,$B$14,1)) + $B$18/($B$19*$B$19*($DN328&lt;&gt;$DO328) + $B$19*($DN328=$DO328))</f>
        <v>3.7037037037037035E-4</v>
      </c>
      <c r="FV328" s="10" cm="1">
        <f t="array" aca="1" ref="FV328" ca="1">(1-$B$18)*SUMPRODUCT(OFFSET($BO$15,0,0,$B$14,1), 1*(_xlfn._xlws.FILTER(OFFSET($O$15,0,$DN328,$B$8,1),OFFSET($M$15,0,0,$B$8,1))=FV$13), 1*(_xlfn._xlws.FILTER(OFFSET($O$15,0,$DO328,$B$8,1),OFFSET($M$15,0,0,$B$8,1))=FV$14))   /   SUM(OFFSET($BO$15,0,0,$B$14,1)) + $B$18/($B$19*$B$19*($DN328&lt;&gt;$DO328) + $B$19*($DN328=$DO328))</f>
        <v>3.7037037037037035E-4</v>
      </c>
      <c r="FW328" s="10" cm="1">
        <f t="array" aca="1" ref="FW328" ca="1">(1-$B$18)*SUMPRODUCT(OFFSET($BO$15,0,0,$B$14,1), 1*(_xlfn._xlws.FILTER(OFFSET($O$15,0,$DN328,$B$8,1),OFFSET($M$15,0,0,$B$8,1))=FW$13), 1*(_xlfn._xlws.FILTER(OFFSET($O$15,0,$DO328,$B$8,1),OFFSET($M$15,0,0,$B$8,1))=FW$14))   /   SUM(OFFSET($BO$15,0,0,$B$14,1)) + $B$18/($B$19*$B$19*($DN328&lt;&gt;$DO328) + $B$19*($DN328=$DO328))</f>
        <v>3.7037037037037035E-4</v>
      </c>
      <c r="FX328" s="10" cm="1">
        <f t="array" aca="1" ref="FX328" ca="1">(1-$B$18)*SUMPRODUCT(OFFSET($BO$15,0,0,$B$14,1), 1*(_xlfn._xlws.FILTER(OFFSET($O$15,0,$DN328,$B$8,1),OFFSET($M$15,0,0,$B$8,1))=FX$13), 1*(_xlfn._xlws.FILTER(OFFSET($O$15,0,$DO328,$B$8,1),OFFSET($M$15,0,0,$B$8,1))=FX$14))   /   SUM(OFFSET($BO$15,0,0,$B$14,1)) + $B$18/($B$19*$B$19*($DN328&lt;&gt;$DO328) + $B$19*($DN328=$DO328))</f>
        <v>3.7037037037037035E-4</v>
      </c>
      <c r="FY328" s="10" cm="1">
        <f t="array" aca="1" ref="FY328" ca="1">(1-$B$18)*SUMPRODUCT(OFFSET($BO$15,0,0,$B$14,1), 1*(_xlfn._xlws.FILTER(OFFSET($O$15,0,$DN328,$B$8,1),OFFSET($M$15,0,0,$B$8,1))=FY$13), 1*(_xlfn._xlws.FILTER(OFFSET($O$15,0,$DO328,$B$8,1),OFFSET($M$15,0,0,$B$8,1))=FY$14))   /   SUM(OFFSET($BO$15,0,0,$B$14,1)) + $B$18/($B$19*$B$19*($DN328&lt;&gt;$DO328) + $B$19*($DN328=$DO328))</f>
        <v>3.7037037037037035E-4</v>
      </c>
      <c r="FZ328" s="10" cm="1">
        <f t="array" aca="1" ref="FZ328" ca="1">(1-$B$18)*SUMPRODUCT(OFFSET($BO$15,0,0,$B$14,1), 1*(_xlfn._xlws.FILTER(OFFSET($O$15,0,$DN328,$B$8,1),OFFSET($M$15,0,0,$B$8,1))=FZ$13), 1*(_xlfn._xlws.FILTER(OFFSET($O$15,0,$DO328,$B$8,1),OFFSET($M$15,0,0,$B$8,1))=FZ$14))   /   SUM(OFFSET($BO$15,0,0,$B$14,1)) + $B$18/($B$19*$B$19*($DN328&lt;&gt;$DO328) + $B$19*($DN328=$DO328))</f>
        <v>3.7037037037037035E-4</v>
      </c>
      <c r="GA328" s="10" cm="1">
        <f t="array" aca="1" ref="GA328" ca="1">(1-$B$18)*SUMPRODUCT(OFFSET($BO$15,0,0,$B$14,1), 1*(_xlfn._xlws.FILTER(OFFSET($O$15,0,$DN328,$B$8,1),OFFSET($M$15,0,0,$B$8,1))=GA$13), 1*(_xlfn._xlws.FILTER(OFFSET($O$15,0,$DO328,$B$8,1),OFFSET($M$15,0,0,$B$8,1))=GA$14))   /   SUM(OFFSET($BO$15,0,0,$B$14,1)) + $B$18/($B$19*$B$19*($DN328&lt;&gt;$DO328) + $B$19*($DN328=$DO328))</f>
        <v>3.7037037037037035E-4</v>
      </c>
    </row>
    <row r="329" spans="118:183" x14ac:dyDescent="0.2">
      <c r="DN329" cm="1">
        <f t="array" aca="1" ref="DN329" ca="1">INDEX(_xlfn.ANCHORARRAY($CP$15), 1 + INT((ROWS($DO$15:$DO329) - 1) / ROWS(_xlfn.ANCHORARRAY($CP$15))))</f>
        <v>19</v>
      </c>
      <c r="DO329" cm="1">
        <f t="array" aca="1" ref="DO329" ca="1">INDEX(_xlfn.ANCHORARRAY($CP$15),1+MOD(ROWS($DO$15:$DO329)-1,ROWS(_xlfn.ANCHORARRAY($CP$15))))</f>
        <v>11</v>
      </c>
      <c r="DP329" s="10" cm="1">
        <f t="array" aca="1" ref="DP329" ca="1">(1-$B$18)*SUMPRODUCT(OFFSET($BO$15,0,0,$B$14,1), 1*(_xlfn._xlws.FILTER(OFFSET($O$15,0,$DN329,$B$8,1),OFFSET($M$15,0,0,$B$8,1))=DP$13), 1*(_xlfn._xlws.FILTER(OFFSET($O$15,0,$DO329,$B$8,1),OFFSET($M$15,0,0,$B$8,1))=DP$14))   /   SUM(OFFSET($BO$15,0,0,$B$14,1)) + $B$18/($B$19*$B$19*($DN329&lt;&gt;$DO329) + $B$19*($DN329=$DO329))</f>
        <v>3.7037037037037035E-4</v>
      </c>
      <c r="DQ329" s="10" cm="1">
        <f t="array" aca="1" ref="DQ329" ca="1">(1-$B$18)*SUMPRODUCT(OFFSET($BO$15,0,0,$B$14,1), 1*(_xlfn._xlws.FILTER(OFFSET($O$15,0,$DN329,$B$8,1),OFFSET($M$15,0,0,$B$8,1))=DQ$13), 1*(_xlfn._xlws.FILTER(OFFSET($O$15,0,$DO329,$B$8,1),OFFSET($M$15,0,0,$B$8,1))=DQ$14))   /   SUM(OFFSET($BO$15,0,0,$B$14,1)) + $B$18/($B$19*$B$19*($DN329&lt;&gt;$DO329) + $B$19*($DN329=$DO329))</f>
        <v>3.7037037037037035E-4</v>
      </c>
      <c r="DR329" s="10" cm="1">
        <f t="array" aca="1" ref="DR329" ca="1">(1-$B$18)*SUMPRODUCT(OFFSET($BO$15,0,0,$B$14,1), 1*(_xlfn._xlws.FILTER(OFFSET($O$15,0,$DN329,$B$8,1),OFFSET($M$15,0,0,$B$8,1))=DR$13), 1*(_xlfn._xlws.FILTER(OFFSET($O$15,0,$DO329,$B$8,1),OFFSET($M$15,0,0,$B$8,1))=DR$14))   /   SUM(OFFSET($BO$15,0,0,$B$14,1)) + $B$18/($B$19*$B$19*($DN329&lt;&gt;$DO329) + $B$19*($DN329=$DO329))</f>
        <v>3.7037037037037035E-4</v>
      </c>
      <c r="DS329" s="10" cm="1">
        <f t="array" aca="1" ref="DS329" ca="1">(1-$B$18)*SUMPRODUCT(OFFSET($BO$15,0,0,$B$14,1), 1*(_xlfn._xlws.FILTER(OFFSET($O$15,0,$DN329,$B$8,1),OFFSET($M$15,0,0,$B$8,1))=DS$13), 1*(_xlfn._xlws.FILTER(OFFSET($O$15,0,$DO329,$B$8,1),OFFSET($M$15,0,0,$B$8,1))=DS$14))   /   SUM(OFFSET($BO$15,0,0,$B$14,1)) + $B$18/($B$19*$B$19*($DN329&lt;&gt;$DO329) + $B$19*($DN329=$DO329))</f>
        <v>3.7037037037037035E-4</v>
      </c>
      <c r="DT329" s="10" cm="1">
        <f t="array" aca="1" ref="DT329" ca="1">(1-$B$18)*SUMPRODUCT(OFFSET($BO$15,0,0,$B$14,1), 1*(_xlfn._xlws.FILTER(OFFSET($O$15,0,$DN329,$B$8,1),OFFSET($M$15,0,0,$B$8,1))=DT$13), 1*(_xlfn._xlws.FILTER(OFFSET($O$15,0,$DO329,$B$8,1),OFFSET($M$15,0,0,$B$8,1))=DT$14))   /   SUM(OFFSET($BO$15,0,0,$B$14,1)) + $B$18/($B$19*$B$19*($DN329&lt;&gt;$DO329) + $B$19*($DN329=$DO329))</f>
        <v>3.7037037037037035E-4</v>
      </c>
      <c r="DU329" s="10" cm="1">
        <f t="array" aca="1" ref="DU329" ca="1">(1-$B$18)*SUMPRODUCT(OFFSET($BO$15,0,0,$B$14,1), 1*(_xlfn._xlws.FILTER(OFFSET($O$15,0,$DN329,$B$8,1),OFFSET($M$15,0,0,$B$8,1))=DU$13), 1*(_xlfn._xlws.FILTER(OFFSET($O$15,0,$DO329,$B$8,1),OFFSET($M$15,0,0,$B$8,1))=DU$14))   /   SUM(OFFSET($BO$15,0,0,$B$14,1)) + $B$18/($B$19*$B$19*($DN329&lt;&gt;$DO329) + $B$19*($DN329=$DO329))</f>
        <v>3.7037037037037035E-4</v>
      </c>
      <c r="DV329" s="10" cm="1">
        <f t="array" aca="1" ref="DV329" ca="1">(1-$B$18)*SUMPRODUCT(OFFSET($BO$15,0,0,$B$14,1), 1*(_xlfn._xlws.FILTER(OFFSET($O$15,0,$DN329,$B$8,1),OFFSET($M$15,0,0,$B$8,1))=DV$13), 1*(_xlfn._xlws.FILTER(OFFSET($O$15,0,$DO329,$B$8,1),OFFSET($M$15,0,0,$B$8,1))=DV$14))   /   SUM(OFFSET($BO$15,0,0,$B$14,1)) + $B$18/($B$19*$B$19*($DN329&lt;&gt;$DO329) + $B$19*($DN329=$DO329))</f>
        <v>3.7037037037037035E-4</v>
      </c>
      <c r="DW329" s="10" cm="1">
        <f t="array" aca="1" ref="DW329" ca="1">(1-$B$18)*SUMPRODUCT(OFFSET($BO$15,0,0,$B$14,1), 1*(_xlfn._xlws.FILTER(OFFSET($O$15,0,$DN329,$B$8,1),OFFSET($M$15,0,0,$B$8,1))=DW$13), 1*(_xlfn._xlws.FILTER(OFFSET($O$15,0,$DO329,$B$8,1),OFFSET($M$15,0,0,$B$8,1))=DW$14))   /   SUM(OFFSET($BO$15,0,0,$B$14,1)) + $B$18/($B$19*$B$19*($DN329&lt;&gt;$DO329) + $B$19*($DN329=$DO329))</f>
        <v>3.7037037037037035E-4</v>
      </c>
      <c r="DX329" s="10" cm="1">
        <f t="array" aca="1" ref="DX329" ca="1">(1-$B$18)*SUMPRODUCT(OFFSET($BO$15,0,0,$B$14,1), 1*(_xlfn._xlws.FILTER(OFFSET($O$15,0,$DN329,$B$8,1),OFFSET($M$15,0,0,$B$8,1))=DX$13), 1*(_xlfn._xlws.FILTER(OFFSET($O$15,0,$DO329,$B$8,1),OFFSET($M$15,0,0,$B$8,1))=DX$14))   /   SUM(OFFSET($BO$15,0,0,$B$14,1)) + $B$18/($B$19*$B$19*($DN329&lt;&gt;$DO329) + $B$19*($DN329=$DO329))</f>
        <v>3.7037037037037035E-4</v>
      </c>
      <c r="DY329" s="10" cm="1">
        <f t="array" aca="1" ref="DY329" ca="1">(1-$B$18)*SUMPRODUCT(OFFSET($BO$15,0,0,$B$14,1), 1*(_xlfn._xlws.FILTER(OFFSET($O$15,0,$DN329,$B$8,1),OFFSET($M$15,0,0,$B$8,1))=DY$13), 1*(_xlfn._xlws.FILTER(OFFSET($O$15,0,$DO329,$B$8,1),OFFSET($M$15,0,0,$B$8,1))=DY$14))   /   SUM(OFFSET($BO$15,0,0,$B$14,1)) + $B$18/($B$19*$B$19*($DN329&lt;&gt;$DO329) + $B$19*($DN329=$DO329))</f>
        <v>3.7037037037037035E-4</v>
      </c>
      <c r="DZ329" s="10" cm="1">
        <f t="array" aca="1" ref="DZ329" ca="1">(1-$B$18)*SUMPRODUCT(OFFSET($BO$15,0,0,$B$14,1), 1*(_xlfn._xlws.FILTER(OFFSET($O$15,0,$DN329,$B$8,1),OFFSET($M$15,0,0,$B$8,1))=DZ$13), 1*(_xlfn._xlws.FILTER(OFFSET($O$15,0,$DO329,$B$8,1),OFFSET($M$15,0,0,$B$8,1))=DZ$14))   /   SUM(OFFSET($BO$15,0,0,$B$14,1)) + $B$18/($B$19*$B$19*($DN329&lt;&gt;$DO329) + $B$19*($DN329=$DO329))</f>
        <v>3.7037037037037035E-4</v>
      </c>
      <c r="EA329" s="10" cm="1">
        <f t="array" aca="1" ref="EA329" ca="1">(1-$B$18)*SUMPRODUCT(OFFSET($BO$15,0,0,$B$14,1), 1*(_xlfn._xlws.FILTER(OFFSET($O$15,0,$DN329,$B$8,1),OFFSET($M$15,0,0,$B$8,1))=EA$13), 1*(_xlfn._xlws.FILTER(OFFSET($O$15,0,$DO329,$B$8,1),OFFSET($M$15,0,0,$B$8,1))=EA$14))   /   SUM(OFFSET($BO$15,0,0,$B$14,1)) + $B$18/($B$19*$B$19*($DN329&lt;&gt;$DO329) + $B$19*($DN329=$DO329))</f>
        <v>3.7037037037037035E-4</v>
      </c>
      <c r="EB329" s="10" cm="1">
        <f t="array" aca="1" ref="EB329" ca="1">(1-$B$18)*SUMPRODUCT(OFFSET($BO$15,0,0,$B$14,1), 1*(_xlfn._xlws.FILTER(OFFSET($O$15,0,$DN329,$B$8,1),OFFSET($M$15,0,0,$B$8,1))=EB$13), 1*(_xlfn._xlws.FILTER(OFFSET($O$15,0,$DO329,$B$8,1),OFFSET($M$15,0,0,$B$8,1))=EB$14))   /   SUM(OFFSET($BO$15,0,0,$B$14,1)) + $B$18/($B$19*$B$19*($DN329&lt;&gt;$DO329) + $B$19*($DN329=$DO329))</f>
        <v>3.7037037037037035E-4</v>
      </c>
      <c r="EC329" s="10" cm="1">
        <f t="array" aca="1" ref="EC329" ca="1">(1-$B$18)*SUMPRODUCT(OFFSET($BO$15,0,0,$B$14,1), 1*(_xlfn._xlws.FILTER(OFFSET($O$15,0,$DN329,$B$8,1),OFFSET($M$15,0,0,$B$8,1))=EC$13), 1*(_xlfn._xlws.FILTER(OFFSET($O$15,0,$DO329,$B$8,1),OFFSET($M$15,0,0,$B$8,1))=EC$14))   /   SUM(OFFSET($BO$15,0,0,$B$14,1)) + $B$18/($B$19*$B$19*($DN329&lt;&gt;$DO329) + $B$19*($DN329=$DO329))</f>
        <v>3.7037037037037035E-4</v>
      </c>
      <c r="ED329" s="10" cm="1">
        <f t="array" aca="1" ref="ED329" ca="1">(1-$B$18)*SUMPRODUCT(OFFSET($BO$15,0,0,$B$14,1), 1*(_xlfn._xlws.FILTER(OFFSET($O$15,0,$DN329,$B$8,1),OFFSET($M$15,0,0,$B$8,1))=ED$13), 1*(_xlfn._xlws.FILTER(OFFSET($O$15,0,$DO329,$B$8,1),OFFSET($M$15,0,0,$B$8,1))=ED$14))   /   SUM(OFFSET($BO$15,0,0,$B$14,1)) + $B$18/($B$19*$B$19*($DN329&lt;&gt;$DO329) + $B$19*($DN329=$DO329))</f>
        <v>3.7037037037037035E-4</v>
      </c>
      <c r="EE329" s="10" cm="1">
        <f t="array" aca="1" ref="EE329" ca="1">(1-$B$18)*SUMPRODUCT(OFFSET($BO$15,0,0,$B$14,1), 1*(_xlfn._xlws.FILTER(OFFSET($O$15,0,$DN329,$B$8,1),OFFSET($M$15,0,0,$B$8,1))=EE$13), 1*(_xlfn._xlws.FILTER(OFFSET($O$15,0,$DO329,$B$8,1),OFFSET($M$15,0,0,$B$8,1))=EE$14))   /   SUM(OFFSET($BO$15,0,0,$B$14,1)) + $B$18/($B$19*$B$19*($DN329&lt;&gt;$DO329) + $B$19*($DN329=$DO329))</f>
        <v>3.7037037037037035E-4</v>
      </c>
      <c r="EF329" s="10" cm="1">
        <f t="array" aca="1" ref="EF329" ca="1">(1-$B$18)*SUMPRODUCT(OFFSET($BO$15,0,0,$B$14,1), 1*(_xlfn._xlws.FILTER(OFFSET($O$15,0,$DN329,$B$8,1),OFFSET($M$15,0,0,$B$8,1))=EF$13), 1*(_xlfn._xlws.FILTER(OFFSET($O$15,0,$DO329,$B$8,1),OFFSET($M$15,0,0,$B$8,1))=EF$14))   /   SUM(OFFSET($BO$15,0,0,$B$14,1)) + $B$18/($B$19*$B$19*($DN329&lt;&gt;$DO329) + $B$19*($DN329=$DO329))</f>
        <v>3.7037037037037035E-4</v>
      </c>
      <c r="EG329" s="10" cm="1">
        <f t="array" aca="1" ref="EG329" ca="1">(1-$B$18)*SUMPRODUCT(OFFSET($BO$15,0,0,$B$14,1), 1*(_xlfn._xlws.FILTER(OFFSET($O$15,0,$DN329,$B$8,1),OFFSET($M$15,0,0,$B$8,1))=EG$13), 1*(_xlfn._xlws.FILTER(OFFSET($O$15,0,$DO329,$B$8,1),OFFSET($M$15,0,0,$B$8,1))=EG$14))   /   SUM(OFFSET($BO$15,0,0,$B$14,1)) + $B$18/($B$19*$B$19*($DN329&lt;&gt;$DO329) + $B$19*($DN329=$DO329))</f>
        <v>3.7037037037037035E-4</v>
      </c>
      <c r="EH329" s="10" cm="1">
        <f t="array" aca="1" ref="EH329" ca="1">(1-$B$18)*SUMPRODUCT(OFFSET($BO$15,0,0,$B$14,1), 1*(_xlfn._xlws.FILTER(OFFSET($O$15,0,$DN329,$B$8,1),OFFSET($M$15,0,0,$B$8,1))=EH$13), 1*(_xlfn._xlws.FILTER(OFFSET($O$15,0,$DO329,$B$8,1),OFFSET($M$15,0,0,$B$8,1))=EH$14))   /   SUM(OFFSET($BO$15,0,0,$B$14,1)) + $B$18/($B$19*$B$19*($DN329&lt;&gt;$DO329) + $B$19*($DN329=$DO329))</f>
        <v>3.7037037037037035E-4</v>
      </c>
      <c r="EI329" s="10" cm="1">
        <f t="array" aca="1" ref="EI329" ca="1">(1-$B$18)*SUMPRODUCT(OFFSET($BO$15,0,0,$B$14,1), 1*(_xlfn._xlws.FILTER(OFFSET($O$15,0,$DN329,$B$8,1),OFFSET($M$15,0,0,$B$8,1))=EI$13), 1*(_xlfn._xlws.FILTER(OFFSET($O$15,0,$DO329,$B$8,1),OFFSET($M$15,0,0,$B$8,1))=EI$14))   /   SUM(OFFSET($BO$15,0,0,$B$14,1)) + $B$18/($B$19*$B$19*($DN329&lt;&gt;$DO329) + $B$19*($DN329=$DO329))</f>
        <v>3.7037037037037035E-4</v>
      </c>
      <c r="EJ329" s="10" cm="1">
        <f t="array" aca="1" ref="EJ329" ca="1">(1-$B$18)*SUMPRODUCT(OFFSET($BO$15,0,0,$B$14,1), 1*(_xlfn._xlws.FILTER(OFFSET($O$15,0,$DN329,$B$8,1),OFFSET($M$15,0,0,$B$8,1))=EJ$13), 1*(_xlfn._xlws.FILTER(OFFSET($O$15,0,$DO329,$B$8,1),OFFSET($M$15,0,0,$B$8,1))=EJ$14))   /   SUM(OFFSET($BO$15,0,0,$B$14,1)) + $B$18/($B$19*$B$19*($DN329&lt;&gt;$DO329) + $B$19*($DN329=$DO329))</f>
        <v>3.7037037037037035E-4</v>
      </c>
      <c r="EK329" s="10" cm="1">
        <f t="array" aca="1" ref="EK329" ca="1">(1-$B$18)*SUMPRODUCT(OFFSET($BO$15,0,0,$B$14,1), 1*(_xlfn._xlws.FILTER(OFFSET($O$15,0,$DN329,$B$8,1),OFFSET($M$15,0,0,$B$8,1))=EK$13), 1*(_xlfn._xlws.FILTER(OFFSET($O$15,0,$DO329,$B$8,1),OFFSET($M$15,0,0,$B$8,1))=EK$14))   /   SUM(OFFSET($BO$15,0,0,$B$14,1)) + $B$18/($B$19*$B$19*($DN329&lt;&gt;$DO329) + $B$19*($DN329=$DO329))</f>
        <v>3.7037037037037035E-4</v>
      </c>
      <c r="EL329" s="10" cm="1">
        <f t="array" aca="1" ref="EL329" ca="1">(1-$B$18)*SUMPRODUCT(OFFSET($BO$15,0,0,$B$14,1), 1*(_xlfn._xlws.FILTER(OFFSET($O$15,0,$DN329,$B$8,1),OFFSET($M$15,0,0,$B$8,1))=EL$13), 1*(_xlfn._xlws.FILTER(OFFSET($O$15,0,$DO329,$B$8,1),OFFSET($M$15,0,0,$B$8,1))=EL$14))   /   SUM(OFFSET($BO$15,0,0,$B$14,1)) + $B$18/($B$19*$B$19*($DN329&lt;&gt;$DO329) + $B$19*($DN329=$DO329))</f>
        <v>3.7037037037037035E-4</v>
      </c>
      <c r="EM329" s="10" cm="1">
        <f t="array" aca="1" ref="EM329" ca="1">(1-$B$18)*SUMPRODUCT(OFFSET($BO$15,0,0,$B$14,1), 1*(_xlfn._xlws.FILTER(OFFSET($O$15,0,$DN329,$B$8,1),OFFSET($M$15,0,0,$B$8,1))=EM$13), 1*(_xlfn._xlws.FILTER(OFFSET($O$15,0,$DO329,$B$8,1),OFFSET($M$15,0,0,$B$8,1))=EM$14))   /   SUM(OFFSET($BO$15,0,0,$B$14,1)) + $B$18/($B$19*$B$19*($DN329&lt;&gt;$DO329) + $B$19*($DN329=$DO329))</f>
        <v>3.7037037037037035E-4</v>
      </c>
      <c r="EN329" s="10" cm="1">
        <f t="array" aca="1" ref="EN329" ca="1">(1-$B$18)*SUMPRODUCT(OFFSET($BO$15,0,0,$B$14,1), 1*(_xlfn._xlws.FILTER(OFFSET($O$15,0,$DN329,$B$8,1),OFFSET($M$15,0,0,$B$8,1))=EN$13), 1*(_xlfn._xlws.FILTER(OFFSET($O$15,0,$DO329,$B$8,1),OFFSET($M$15,0,0,$B$8,1))=EN$14))   /   SUM(OFFSET($BO$15,0,0,$B$14,1)) + $B$18/($B$19*$B$19*($DN329&lt;&gt;$DO329) + $B$19*($DN329=$DO329))</f>
        <v>0.48537037037037034</v>
      </c>
      <c r="EO329" s="10" cm="1">
        <f t="array" aca="1" ref="EO329" ca="1">(1-$B$18)*SUMPRODUCT(OFFSET($BO$15,0,0,$B$14,1), 1*(_xlfn._xlws.FILTER(OFFSET($O$15,0,$DN329,$B$8,1),OFFSET($M$15,0,0,$B$8,1))=EO$13), 1*(_xlfn._xlws.FILTER(OFFSET($O$15,0,$DO329,$B$8,1),OFFSET($M$15,0,0,$B$8,1))=EO$14))   /   SUM(OFFSET($BO$15,0,0,$B$14,1)) + $B$18/($B$19*$B$19*($DN329&lt;&gt;$DO329) + $B$19*($DN329=$DO329))</f>
        <v>3.7037037037037035E-4</v>
      </c>
      <c r="EP329" s="10" cm="1">
        <f t="array" aca="1" ref="EP329" ca="1">(1-$B$18)*SUMPRODUCT(OFFSET($BO$15,0,0,$B$14,1), 1*(_xlfn._xlws.FILTER(OFFSET($O$15,0,$DN329,$B$8,1),OFFSET($M$15,0,0,$B$8,1))=EP$13), 1*(_xlfn._xlws.FILTER(OFFSET($O$15,0,$DO329,$B$8,1),OFFSET($M$15,0,0,$B$8,1))=EP$14))   /   SUM(OFFSET($BO$15,0,0,$B$14,1)) + $B$18/($B$19*$B$19*($DN329&lt;&gt;$DO329) + $B$19*($DN329=$DO329))</f>
        <v>0.24287037037037026</v>
      </c>
      <c r="EQ329" s="10" cm="1">
        <f t="array" aca="1" ref="EQ329" ca="1">(1-$B$18)*SUMPRODUCT(OFFSET($BO$15,0,0,$B$14,1), 1*(_xlfn._xlws.FILTER(OFFSET($O$15,0,$DN329,$B$8,1),OFFSET($M$15,0,0,$B$8,1))=EQ$13), 1*(_xlfn._xlws.FILTER(OFFSET($O$15,0,$DO329,$B$8,1),OFFSET($M$15,0,0,$B$8,1))=EQ$14))   /   SUM(OFFSET($BO$15,0,0,$B$14,1)) + $B$18/($B$19*$B$19*($DN329&lt;&gt;$DO329) + $B$19*($DN329=$DO329))</f>
        <v>0.24287037037037026</v>
      </c>
      <c r="ER329" s="10" cm="1">
        <f t="array" aca="1" ref="ER329" ca="1">(1-$B$18)*SUMPRODUCT(OFFSET($BO$15,0,0,$B$14,1), 1*(_xlfn._xlws.FILTER(OFFSET($O$15,0,$DN329,$B$8,1),OFFSET($M$15,0,0,$B$8,1))=ER$13), 1*(_xlfn._xlws.FILTER(OFFSET($O$15,0,$DO329,$B$8,1),OFFSET($M$15,0,0,$B$8,1))=ER$14))   /   SUM(OFFSET($BO$15,0,0,$B$14,1)) + $B$18/($B$19*$B$19*($DN329&lt;&gt;$DO329) + $B$19*($DN329=$DO329))</f>
        <v>3.7037037037037035E-4</v>
      </c>
      <c r="ES329" s="10" cm="1">
        <f t="array" aca="1" ref="ES329" ca="1">(1-$B$18)*SUMPRODUCT(OFFSET($BO$15,0,0,$B$14,1), 1*(_xlfn._xlws.FILTER(OFFSET($O$15,0,$DN329,$B$8,1),OFFSET($M$15,0,0,$B$8,1))=ES$13), 1*(_xlfn._xlws.FILTER(OFFSET($O$15,0,$DO329,$B$8,1),OFFSET($M$15,0,0,$B$8,1))=ES$14))   /   SUM(OFFSET($BO$15,0,0,$B$14,1)) + $B$18/($B$19*$B$19*($DN329&lt;&gt;$DO329) + $B$19*($DN329=$DO329))</f>
        <v>3.7037037037037035E-4</v>
      </c>
      <c r="ET329" s="10" cm="1">
        <f t="array" aca="1" ref="ET329" ca="1">(1-$B$18)*SUMPRODUCT(OFFSET($BO$15,0,0,$B$14,1), 1*(_xlfn._xlws.FILTER(OFFSET($O$15,0,$DN329,$B$8,1),OFFSET($M$15,0,0,$B$8,1))=ET$13), 1*(_xlfn._xlws.FILTER(OFFSET($O$15,0,$DO329,$B$8,1),OFFSET($M$15,0,0,$B$8,1))=ET$14))   /   SUM(OFFSET($BO$15,0,0,$B$14,1)) + $B$18/($B$19*$B$19*($DN329&lt;&gt;$DO329) + $B$19*($DN329=$DO329))</f>
        <v>3.7037037037037035E-4</v>
      </c>
      <c r="EU329" s="10" cm="1">
        <f t="array" aca="1" ref="EU329" ca="1">(1-$B$18)*SUMPRODUCT(OFFSET($BO$15,0,0,$B$14,1), 1*(_xlfn._xlws.FILTER(OFFSET($O$15,0,$DN329,$B$8,1),OFFSET($M$15,0,0,$B$8,1))=EU$13), 1*(_xlfn._xlws.FILTER(OFFSET($O$15,0,$DO329,$B$8,1),OFFSET($M$15,0,0,$B$8,1))=EU$14))   /   SUM(OFFSET($BO$15,0,0,$B$14,1)) + $B$18/($B$19*$B$19*($DN329&lt;&gt;$DO329) + $B$19*($DN329=$DO329))</f>
        <v>3.7037037037037035E-4</v>
      </c>
      <c r="EV329" s="10" cm="1">
        <f t="array" aca="1" ref="EV329" ca="1">(1-$B$18)*SUMPRODUCT(OFFSET($BO$15,0,0,$B$14,1), 1*(_xlfn._xlws.FILTER(OFFSET($O$15,0,$DN329,$B$8,1),OFFSET($M$15,0,0,$B$8,1))=EV$13), 1*(_xlfn._xlws.FILTER(OFFSET($O$15,0,$DO329,$B$8,1),OFFSET($M$15,0,0,$B$8,1))=EV$14))   /   SUM(OFFSET($BO$15,0,0,$B$14,1)) + $B$18/($B$19*$B$19*($DN329&lt;&gt;$DO329) + $B$19*($DN329=$DO329))</f>
        <v>3.7037037037037035E-4</v>
      </c>
      <c r="EW329" s="10" cm="1">
        <f t="array" aca="1" ref="EW329" ca="1">(1-$B$18)*SUMPRODUCT(OFFSET($BO$15,0,0,$B$14,1), 1*(_xlfn._xlws.FILTER(OFFSET($O$15,0,$DN329,$B$8,1),OFFSET($M$15,0,0,$B$8,1))=EW$13), 1*(_xlfn._xlws.FILTER(OFFSET($O$15,0,$DO329,$B$8,1),OFFSET($M$15,0,0,$B$8,1))=EW$14))   /   SUM(OFFSET($BO$15,0,0,$B$14,1)) + $B$18/($B$19*$B$19*($DN329&lt;&gt;$DO329) + $B$19*($DN329=$DO329))</f>
        <v>3.7037037037037035E-4</v>
      </c>
      <c r="EX329" s="10" cm="1">
        <f t="array" aca="1" ref="EX329" ca="1">(1-$B$18)*SUMPRODUCT(OFFSET($BO$15,0,0,$B$14,1), 1*(_xlfn._xlws.FILTER(OFFSET($O$15,0,$DN329,$B$8,1),OFFSET($M$15,0,0,$B$8,1))=EX$13), 1*(_xlfn._xlws.FILTER(OFFSET($O$15,0,$DO329,$B$8,1),OFFSET($M$15,0,0,$B$8,1))=EX$14))   /   SUM(OFFSET($BO$15,0,0,$B$14,1)) + $B$18/($B$19*$B$19*($DN329&lt;&gt;$DO329) + $B$19*($DN329=$DO329))</f>
        <v>3.7037037037037035E-4</v>
      </c>
      <c r="EY329" s="10" cm="1">
        <f t="array" aca="1" ref="EY329" ca="1">(1-$B$18)*SUMPRODUCT(OFFSET($BO$15,0,0,$B$14,1), 1*(_xlfn._xlws.FILTER(OFFSET($O$15,0,$DN329,$B$8,1),OFFSET($M$15,0,0,$B$8,1))=EY$13), 1*(_xlfn._xlws.FILTER(OFFSET($O$15,0,$DO329,$B$8,1),OFFSET($M$15,0,0,$B$8,1))=EY$14))   /   SUM(OFFSET($BO$15,0,0,$B$14,1)) + $B$18/($B$19*$B$19*($DN329&lt;&gt;$DO329) + $B$19*($DN329=$DO329))</f>
        <v>3.7037037037037035E-4</v>
      </c>
      <c r="EZ329" s="10" cm="1">
        <f t="array" aca="1" ref="EZ329" ca="1">(1-$B$18)*SUMPRODUCT(OFFSET($BO$15,0,0,$B$14,1), 1*(_xlfn._xlws.FILTER(OFFSET($O$15,0,$DN329,$B$8,1),OFFSET($M$15,0,0,$B$8,1))=EZ$13), 1*(_xlfn._xlws.FILTER(OFFSET($O$15,0,$DO329,$B$8,1),OFFSET($M$15,0,0,$B$8,1))=EZ$14))   /   SUM(OFFSET($BO$15,0,0,$B$14,1)) + $B$18/($B$19*$B$19*($DN329&lt;&gt;$DO329) + $B$19*($DN329=$DO329))</f>
        <v>3.7037037037037035E-4</v>
      </c>
      <c r="FA329" s="10" cm="1">
        <f t="array" aca="1" ref="FA329" ca="1">(1-$B$18)*SUMPRODUCT(OFFSET($BO$15,0,0,$B$14,1), 1*(_xlfn._xlws.FILTER(OFFSET($O$15,0,$DN329,$B$8,1),OFFSET($M$15,0,0,$B$8,1))=FA$13), 1*(_xlfn._xlws.FILTER(OFFSET($O$15,0,$DO329,$B$8,1),OFFSET($M$15,0,0,$B$8,1))=FA$14))   /   SUM(OFFSET($BO$15,0,0,$B$14,1)) + $B$18/($B$19*$B$19*($DN329&lt;&gt;$DO329) + $B$19*($DN329=$DO329))</f>
        <v>3.7037037037037035E-4</v>
      </c>
      <c r="FB329" s="10" cm="1">
        <f t="array" aca="1" ref="FB329" ca="1">(1-$B$18)*SUMPRODUCT(OFFSET($BO$15,0,0,$B$14,1), 1*(_xlfn._xlws.FILTER(OFFSET($O$15,0,$DN329,$B$8,1),OFFSET($M$15,0,0,$B$8,1))=FB$13), 1*(_xlfn._xlws.FILTER(OFFSET($O$15,0,$DO329,$B$8,1),OFFSET($M$15,0,0,$B$8,1))=FB$14))   /   SUM(OFFSET($BO$15,0,0,$B$14,1)) + $B$18/($B$19*$B$19*($DN329&lt;&gt;$DO329) + $B$19*($DN329=$DO329))</f>
        <v>3.7037037037037035E-4</v>
      </c>
      <c r="FC329" s="10" cm="1">
        <f t="array" aca="1" ref="FC329" ca="1">(1-$B$18)*SUMPRODUCT(OFFSET($BO$15,0,0,$B$14,1), 1*(_xlfn._xlws.FILTER(OFFSET($O$15,0,$DN329,$B$8,1),OFFSET($M$15,0,0,$B$8,1))=FC$13), 1*(_xlfn._xlws.FILTER(OFFSET($O$15,0,$DO329,$B$8,1),OFFSET($M$15,0,0,$B$8,1))=FC$14))   /   SUM(OFFSET($BO$15,0,0,$B$14,1)) + $B$18/($B$19*$B$19*($DN329&lt;&gt;$DO329) + $B$19*($DN329=$DO329))</f>
        <v>3.7037037037037035E-4</v>
      </c>
      <c r="FD329" s="10" cm="1">
        <f t="array" aca="1" ref="FD329" ca="1">(1-$B$18)*SUMPRODUCT(OFFSET($BO$15,0,0,$B$14,1), 1*(_xlfn._xlws.FILTER(OFFSET($O$15,0,$DN329,$B$8,1),OFFSET($M$15,0,0,$B$8,1))=FD$13), 1*(_xlfn._xlws.FILTER(OFFSET($O$15,0,$DO329,$B$8,1),OFFSET($M$15,0,0,$B$8,1))=FD$14))   /   SUM(OFFSET($BO$15,0,0,$B$14,1)) + $B$18/($B$19*$B$19*($DN329&lt;&gt;$DO329) + $B$19*($DN329=$DO329))</f>
        <v>3.7037037037037035E-4</v>
      </c>
      <c r="FE329" s="10" cm="1">
        <f t="array" aca="1" ref="FE329" ca="1">(1-$B$18)*SUMPRODUCT(OFFSET($BO$15,0,0,$B$14,1), 1*(_xlfn._xlws.FILTER(OFFSET($O$15,0,$DN329,$B$8,1),OFFSET($M$15,0,0,$B$8,1))=FE$13), 1*(_xlfn._xlws.FILTER(OFFSET($O$15,0,$DO329,$B$8,1),OFFSET($M$15,0,0,$B$8,1))=FE$14))   /   SUM(OFFSET($BO$15,0,0,$B$14,1)) + $B$18/($B$19*$B$19*($DN329&lt;&gt;$DO329) + $B$19*($DN329=$DO329))</f>
        <v>3.7037037037037035E-4</v>
      </c>
      <c r="FF329" s="10" cm="1">
        <f t="array" aca="1" ref="FF329" ca="1">(1-$B$18)*SUMPRODUCT(OFFSET($BO$15,0,0,$B$14,1), 1*(_xlfn._xlws.FILTER(OFFSET($O$15,0,$DN329,$B$8,1),OFFSET($M$15,0,0,$B$8,1))=FF$13), 1*(_xlfn._xlws.FILTER(OFFSET($O$15,0,$DO329,$B$8,1),OFFSET($M$15,0,0,$B$8,1))=FF$14))   /   SUM(OFFSET($BO$15,0,0,$B$14,1)) + $B$18/($B$19*$B$19*($DN329&lt;&gt;$DO329) + $B$19*($DN329=$DO329))</f>
        <v>3.7037037037037035E-4</v>
      </c>
      <c r="FG329" s="10" cm="1">
        <f t="array" aca="1" ref="FG329" ca="1">(1-$B$18)*SUMPRODUCT(OFFSET($BO$15,0,0,$B$14,1), 1*(_xlfn._xlws.FILTER(OFFSET($O$15,0,$DN329,$B$8,1),OFFSET($M$15,0,0,$B$8,1))=FG$13), 1*(_xlfn._xlws.FILTER(OFFSET($O$15,0,$DO329,$B$8,1),OFFSET($M$15,0,0,$B$8,1))=FG$14))   /   SUM(OFFSET($BO$15,0,0,$B$14,1)) + $B$18/($B$19*$B$19*($DN329&lt;&gt;$DO329) + $B$19*($DN329=$DO329))</f>
        <v>3.7037037037037035E-4</v>
      </c>
      <c r="FH329" s="10" cm="1">
        <f t="array" aca="1" ref="FH329" ca="1">(1-$B$18)*SUMPRODUCT(OFFSET($BO$15,0,0,$B$14,1), 1*(_xlfn._xlws.FILTER(OFFSET($O$15,0,$DN329,$B$8,1),OFFSET($M$15,0,0,$B$8,1))=FH$13), 1*(_xlfn._xlws.FILTER(OFFSET($O$15,0,$DO329,$B$8,1),OFFSET($M$15,0,0,$B$8,1))=FH$14))   /   SUM(OFFSET($BO$15,0,0,$B$14,1)) + $B$18/($B$19*$B$19*($DN329&lt;&gt;$DO329) + $B$19*($DN329=$DO329))</f>
        <v>3.7037037037037035E-4</v>
      </c>
      <c r="FI329" s="10" cm="1">
        <f t="array" aca="1" ref="FI329" ca="1">(1-$B$18)*SUMPRODUCT(OFFSET($BO$15,0,0,$B$14,1), 1*(_xlfn._xlws.FILTER(OFFSET($O$15,0,$DN329,$B$8,1),OFFSET($M$15,0,0,$B$8,1))=FI$13), 1*(_xlfn._xlws.FILTER(OFFSET($O$15,0,$DO329,$B$8,1),OFFSET($M$15,0,0,$B$8,1))=FI$14))   /   SUM(OFFSET($BO$15,0,0,$B$14,1)) + $B$18/($B$19*$B$19*($DN329&lt;&gt;$DO329) + $B$19*($DN329=$DO329))</f>
        <v>3.7037037037037035E-4</v>
      </c>
      <c r="FJ329" s="10" cm="1">
        <f t="array" aca="1" ref="FJ329" ca="1">(1-$B$18)*SUMPRODUCT(OFFSET($BO$15,0,0,$B$14,1), 1*(_xlfn._xlws.FILTER(OFFSET($O$15,0,$DN329,$B$8,1),OFFSET($M$15,0,0,$B$8,1))=FJ$13), 1*(_xlfn._xlws.FILTER(OFFSET($O$15,0,$DO329,$B$8,1),OFFSET($M$15,0,0,$B$8,1))=FJ$14))   /   SUM(OFFSET($BO$15,0,0,$B$14,1)) + $B$18/($B$19*$B$19*($DN329&lt;&gt;$DO329) + $B$19*($DN329=$DO329))</f>
        <v>3.7037037037037035E-4</v>
      </c>
      <c r="FK329" s="10" cm="1">
        <f t="array" aca="1" ref="FK329" ca="1">(1-$B$18)*SUMPRODUCT(OFFSET($BO$15,0,0,$B$14,1), 1*(_xlfn._xlws.FILTER(OFFSET($O$15,0,$DN329,$B$8,1),OFFSET($M$15,0,0,$B$8,1))=FK$13), 1*(_xlfn._xlws.FILTER(OFFSET($O$15,0,$DO329,$B$8,1),OFFSET($M$15,0,0,$B$8,1))=FK$14))   /   SUM(OFFSET($BO$15,0,0,$B$14,1)) + $B$18/($B$19*$B$19*($DN329&lt;&gt;$DO329) + $B$19*($DN329=$DO329))</f>
        <v>3.7037037037037035E-4</v>
      </c>
      <c r="FL329" s="10" cm="1">
        <f t="array" aca="1" ref="FL329" ca="1">(1-$B$18)*SUMPRODUCT(OFFSET($BO$15,0,0,$B$14,1), 1*(_xlfn._xlws.FILTER(OFFSET($O$15,0,$DN329,$B$8,1),OFFSET($M$15,0,0,$B$8,1))=FL$13), 1*(_xlfn._xlws.FILTER(OFFSET($O$15,0,$DO329,$B$8,1),OFFSET($M$15,0,0,$B$8,1))=FL$14))   /   SUM(OFFSET($BO$15,0,0,$B$14,1)) + $B$18/($B$19*$B$19*($DN329&lt;&gt;$DO329) + $B$19*($DN329=$DO329))</f>
        <v>3.7037037037037035E-4</v>
      </c>
      <c r="FM329" s="10" cm="1">
        <f t="array" aca="1" ref="FM329" ca="1">(1-$B$18)*SUMPRODUCT(OFFSET($BO$15,0,0,$B$14,1), 1*(_xlfn._xlws.FILTER(OFFSET($O$15,0,$DN329,$B$8,1),OFFSET($M$15,0,0,$B$8,1))=FM$13), 1*(_xlfn._xlws.FILTER(OFFSET($O$15,0,$DO329,$B$8,1),OFFSET($M$15,0,0,$B$8,1))=FM$14))   /   SUM(OFFSET($BO$15,0,0,$B$14,1)) + $B$18/($B$19*$B$19*($DN329&lt;&gt;$DO329) + $B$19*($DN329=$DO329))</f>
        <v>3.7037037037037035E-4</v>
      </c>
      <c r="FN329" s="10" cm="1">
        <f t="array" aca="1" ref="FN329" ca="1">(1-$B$18)*SUMPRODUCT(OFFSET($BO$15,0,0,$B$14,1), 1*(_xlfn._xlws.FILTER(OFFSET($O$15,0,$DN329,$B$8,1),OFFSET($M$15,0,0,$B$8,1))=FN$13), 1*(_xlfn._xlws.FILTER(OFFSET($O$15,0,$DO329,$B$8,1),OFFSET($M$15,0,0,$B$8,1))=FN$14))   /   SUM(OFFSET($BO$15,0,0,$B$14,1)) + $B$18/($B$19*$B$19*($DN329&lt;&gt;$DO329) + $B$19*($DN329=$DO329))</f>
        <v>3.7037037037037035E-4</v>
      </c>
      <c r="FO329" s="10" cm="1">
        <f t="array" aca="1" ref="FO329" ca="1">(1-$B$18)*SUMPRODUCT(OFFSET($BO$15,0,0,$B$14,1), 1*(_xlfn._xlws.FILTER(OFFSET($O$15,0,$DN329,$B$8,1),OFFSET($M$15,0,0,$B$8,1))=FO$13), 1*(_xlfn._xlws.FILTER(OFFSET($O$15,0,$DO329,$B$8,1),OFFSET($M$15,0,0,$B$8,1))=FO$14))   /   SUM(OFFSET($BO$15,0,0,$B$14,1)) + $B$18/($B$19*$B$19*($DN329&lt;&gt;$DO329) + $B$19*($DN329=$DO329))</f>
        <v>3.7037037037037035E-4</v>
      </c>
      <c r="FP329" s="10" cm="1">
        <f t="array" aca="1" ref="FP329" ca="1">(1-$B$18)*SUMPRODUCT(OFFSET($BO$15,0,0,$B$14,1), 1*(_xlfn._xlws.FILTER(OFFSET($O$15,0,$DN329,$B$8,1),OFFSET($M$15,0,0,$B$8,1))=FP$13), 1*(_xlfn._xlws.FILTER(OFFSET($O$15,0,$DO329,$B$8,1),OFFSET($M$15,0,0,$B$8,1))=FP$14))   /   SUM(OFFSET($BO$15,0,0,$B$14,1)) + $B$18/($B$19*$B$19*($DN329&lt;&gt;$DO329) + $B$19*($DN329=$DO329))</f>
        <v>3.7037037037037035E-4</v>
      </c>
      <c r="FQ329" s="10" cm="1">
        <f t="array" aca="1" ref="FQ329" ca="1">(1-$B$18)*SUMPRODUCT(OFFSET($BO$15,0,0,$B$14,1), 1*(_xlfn._xlws.FILTER(OFFSET($O$15,0,$DN329,$B$8,1),OFFSET($M$15,0,0,$B$8,1))=FQ$13), 1*(_xlfn._xlws.FILTER(OFFSET($O$15,0,$DO329,$B$8,1),OFFSET($M$15,0,0,$B$8,1))=FQ$14))   /   SUM(OFFSET($BO$15,0,0,$B$14,1)) + $B$18/($B$19*$B$19*($DN329&lt;&gt;$DO329) + $B$19*($DN329=$DO329))</f>
        <v>3.7037037037037035E-4</v>
      </c>
      <c r="FR329" s="10" cm="1">
        <f t="array" aca="1" ref="FR329" ca="1">(1-$B$18)*SUMPRODUCT(OFFSET($BO$15,0,0,$B$14,1), 1*(_xlfn._xlws.FILTER(OFFSET($O$15,0,$DN329,$B$8,1),OFFSET($M$15,0,0,$B$8,1))=FR$13), 1*(_xlfn._xlws.FILTER(OFFSET($O$15,0,$DO329,$B$8,1),OFFSET($M$15,0,0,$B$8,1))=FR$14))   /   SUM(OFFSET($BO$15,0,0,$B$14,1)) + $B$18/($B$19*$B$19*($DN329&lt;&gt;$DO329) + $B$19*($DN329=$DO329))</f>
        <v>3.7037037037037035E-4</v>
      </c>
      <c r="FS329" s="10" cm="1">
        <f t="array" aca="1" ref="FS329" ca="1">(1-$B$18)*SUMPRODUCT(OFFSET($BO$15,0,0,$B$14,1), 1*(_xlfn._xlws.FILTER(OFFSET($O$15,0,$DN329,$B$8,1),OFFSET($M$15,0,0,$B$8,1))=FS$13), 1*(_xlfn._xlws.FILTER(OFFSET($O$15,0,$DO329,$B$8,1),OFFSET($M$15,0,0,$B$8,1))=FS$14))   /   SUM(OFFSET($BO$15,0,0,$B$14,1)) + $B$18/($B$19*$B$19*($DN329&lt;&gt;$DO329) + $B$19*($DN329=$DO329))</f>
        <v>3.7037037037037035E-4</v>
      </c>
      <c r="FT329" s="10" cm="1">
        <f t="array" aca="1" ref="FT329" ca="1">(1-$B$18)*SUMPRODUCT(OFFSET($BO$15,0,0,$B$14,1), 1*(_xlfn._xlws.FILTER(OFFSET($O$15,0,$DN329,$B$8,1),OFFSET($M$15,0,0,$B$8,1))=FT$13), 1*(_xlfn._xlws.FILTER(OFFSET($O$15,0,$DO329,$B$8,1),OFFSET($M$15,0,0,$B$8,1))=FT$14))   /   SUM(OFFSET($BO$15,0,0,$B$14,1)) + $B$18/($B$19*$B$19*($DN329&lt;&gt;$DO329) + $B$19*($DN329=$DO329))</f>
        <v>3.7037037037037035E-4</v>
      </c>
      <c r="FU329" s="10" cm="1">
        <f t="array" aca="1" ref="FU329" ca="1">(1-$B$18)*SUMPRODUCT(OFFSET($BO$15,0,0,$B$14,1), 1*(_xlfn._xlws.FILTER(OFFSET($O$15,0,$DN329,$B$8,1),OFFSET($M$15,0,0,$B$8,1))=FU$13), 1*(_xlfn._xlws.FILTER(OFFSET($O$15,0,$DO329,$B$8,1),OFFSET($M$15,0,0,$B$8,1))=FU$14))   /   SUM(OFFSET($BO$15,0,0,$B$14,1)) + $B$18/($B$19*$B$19*($DN329&lt;&gt;$DO329) + $B$19*($DN329=$DO329))</f>
        <v>3.7037037037037035E-4</v>
      </c>
      <c r="FV329" s="10" cm="1">
        <f t="array" aca="1" ref="FV329" ca="1">(1-$B$18)*SUMPRODUCT(OFFSET($BO$15,0,0,$B$14,1), 1*(_xlfn._xlws.FILTER(OFFSET($O$15,0,$DN329,$B$8,1),OFFSET($M$15,0,0,$B$8,1))=FV$13), 1*(_xlfn._xlws.FILTER(OFFSET($O$15,0,$DO329,$B$8,1),OFFSET($M$15,0,0,$B$8,1))=FV$14))   /   SUM(OFFSET($BO$15,0,0,$B$14,1)) + $B$18/($B$19*$B$19*($DN329&lt;&gt;$DO329) + $B$19*($DN329=$DO329))</f>
        <v>3.7037037037037035E-4</v>
      </c>
      <c r="FW329" s="10" cm="1">
        <f t="array" aca="1" ref="FW329" ca="1">(1-$B$18)*SUMPRODUCT(OFFSET($BO$15,0,0,$B$14,1), 1*(_xlfn._xlws.FILTER(OFFSET($O$15,0,$DN329,$B$8,1),OFFSET($M$15,0,0,$B$8,1))=FW$13), 1*(_xlfn._xlws.FILTER(OFFSET($O$15,0,$DO329,$B$8,1),OFFSET($M$15,0,0,$B$8,1))=FW$14))   /   SUM(OFFSET($BO$15,0,0,$B$14,1)) + $B$18/($B$19*$B$19*($DN329&lt;&gt;$DO329) + $B$19*($DN329=$DO329))</f>
        <v>3.7037037037037035E-4</v>
      </c>
      <c r="FX329" s="10" cm="1">
        <f t="array" aca="1" ref="FX329" ca="1">(1-$B$18)*SUMPRODUCT(OFFSET($BO$15,0,0,$B$14,1), 1*(_xlfn._xlws.FILTER(OFFSET($O$15,0,$DN329,$B$8,1),OFFSET($M$15,0,0,$B$8,1))=FX$13), 1*(_xlfn._xlws.FILTER(OFFSET($O$15,0,$DO329,$B$8,1),OFFSET($M$15,0,0,$B$8,1))=FX$14))   /   SUM(OFFSET($BO$15,0,0,$B$14,1)) + $B$18/($B$19*$B$19*($DN329&lt;&gt;$DO329) + $B$19*($DN329=$DO329))</f>
        <v>3.7037037037037035E-4</v>
      </c>
      <c r="FY329" s="10" cm="1">
        <f t="array" aca="1" ref="FY329" ca="1">(1-$B$18)*SUMPRODUCT(OFFSET($BO$15,0,0,$B$14,1), 1*(_xlfn._xlws.FILTER(OFFSET($O$15,0,$DN329,$B$8,1),OFFSET($M$15,0,0,$B$8,1))=FY$13), 1*(_xlfn._xlws.FILTER(OFFSET($O$15,0,$DO329,$B$8,1),OFFSET($M$15,0,0,$B$8,1))=FY$14))   /   SUM(OFFSET($BO$15,0,0,$B$14,1)) + $B$18/($B$19*$B$19*($DN329&lt;&gt;$DO329) + $B$19*($DN329=$DO329))</f>
        <v>3.7037037037037035E-4</v>
      </c>
      <c r="FZ329" s="10" cm="1">
        <f t="array" aca="1" ref="FZ329" ca="1">(1-$B$18)*SUMPRODUCT(OFFSET($BO$15,0,0,$B$14,1), 1*(_xlfn._xlws.FILTER(OFFSET($O$15,0,$DN329,$B$8,1),OFFSET($M$15,0,0,$B$8,1))=FZ$13), 1*(_xlfn._xlws.FILTER(OFFSET($O$15,0,$DO329,$B$8,1),OFFSET($M$15,0,0,$B$8,1))=FZ$14))   /   SUM(OFFSET($BO$15,0,0,$B$14,1)) + $B$18/($B$19*$B$19*($DN329&lt;&gt;$DO329) + $B$19*($DN329=$DO329))</f>
        <v>3.7037037037037035E-4</v>
      </c>
      <c r="GA329" s="10" cm="1">
        <f t="array" aca="1" ref="GA329" ca="1">(1-$B$18)*SUMPRODUCT(OFFSET($BO$15,0,0,$B$14,1), 1*(_xlfn._xlws.FILTER(OFFSET($O$15,0,$DN329,$B$8,1),OFFSET($M$15,0,0,$B$8,1))=GA$13), 1*(_xlfn._xlws.FILTER(OFFSET($O$15,0,$DO329,$B$8,1),OFFSET($M$15,0,0,$B$8,1))=GA$14))   /   SUM(OFFSET($BO$15,0,0,$B$14,1)) + $B$18/($B$19*$B$19*($DN329&lt;&gt;$DO329) + $B$19*($DN329=$DO329))</f>
        <v>3.7037037037037035E-4</v>
      </c>
    </row>
    <row r="330" spans="118:183" x14ac:dyDescent="0.2">
      <c r="DN330" cm="1">
        <f t="array" aca="1" ref="DN330" ca="1">INDEX(_xlfn.ANCHORARRAY($CP$15), 1 + INT((ROWS($DO$15:$DO330) - 1) / ROWS(_xlfn.ANCHORARRAY($CP$15))))</f>
        <v>19</v>
      </c>
      <c r="DO330" cm="1">
        <f t="array" aca="1" ref="DO330" ca="1">INDEX(_xlfn.ANCHORARRAY($CP$15),1+MOD(ROWS($DO$15:$DO330)-1,ROWS(_xlfn.ANCHORARRAY($CP$15))))</f>
        <v>12</v>
      </c>
      <c r="DP330" s="10" cm="1">
        <f t="array" aca="1" ref="DP330" ca="1">(1-$B$18)*SUMPRODUCT(OFFSET($BO$15,0,0,$B$14,1), 1*(_xlfn._xlws.FILTER(OFFSET($O$15,0,$DN330,$B$8,1),OFFSET($M$15,0,0,$B$8,1))=DP$13), 1*(_xlfn._xlws.FILTER(OFFSET($O$15,0,$DO330,$B$8,1),OFFSET($M$15,0,0,$B$8,1))=DP$14))   /   SUM(OFFSET($BO$15,0,0,$B$14,1)) + $B$18/($B$19*$B$19*($DN330&lt;&gt;$DO330) + $B$19*($DN330=$DO330))</f>
        <v>3.7037037037037035E-4</v>
      </c>
      <c r="DQ330" s="10" cm="1">
        <f t="array" aca="1" ref="DQ330" ca="1">(1-$B$18)*SUMPRODUCT(OFFSET($BO$15,0,0,$B$14,1), 1*(_xlfn._xlws.FILTER(OFFSET($O$15,0,$DN330,$B$8,1),OFFSET($M$15,0,0,$B$8,1))=DQ$13), 1*(_xlfn._xlws.FILTER(OFFSET($O$15,0,$DO330,$B$8,1),OFFSET($M$15,0,0,$B$8,1))=DQ$14))   /   SUM(OFFSET($BO$15,0,0,$B$14,1)) + $B$18/($B$19*$B$19*($DN330&lt;&gt;$DO330) + $B$19*($DN330=$DO330))</f>
        <v>3.7037037037037035E-4</v>
      </c>
      <c r="DR330" s="10" cm="1">
        <f t="array" aca="1" ref="DR330" ca="1">(1-$B$18)*SUMPRODUCT(OFFSET($BO$15,0,0,$B$14,1), 1*(_xlfn._xlws.FILTER(OFFSET($O$15,0,$DN330,$B$8,1),OFFSET($M$15,0,0,$B$8,1))=DR$13), 1*(_xlfn._xlws.FILTER(OFFSET($O$15,0,$DO330,$B$8,1),OFFSET($M$15,0,0,$B$8,1))=DR$14))   /   SUM(OFFSET($BO$15,0,0,$B$14,1)) + $B$18/($B$19*$B$19*($DN330&lt;&gt;$DO330) + $B$19*($DN330=$DO330))</f>
        <v>3.7037037037037035E-4</v>
      </c>
      <c r="DS330" s="10" cm="1">
        <f t="array" aca="1" ref="DS330" ca="1">(1-$B$18)*SUMPRODUCT(OFFSET($BO$15,0,0,$B$14,1), 1*(_xlfn._xlws.FILTER(OFFSET($O$15,0,$DN330,$B$8,1),OFFSET($M$15,0,0,$B$8,1))=DS$13), 1*(_xlfn._xlws.FILTER(OFFSET($O$15,0,$DO330,$B$8,1),OFFSET($M$15,0,0,$B$8,1))=DS$14))   /   SUM(OFFSET($BO$15,0,0,$B$14,1)) + $B$18/($B$19*$B$19*($DN330&lt;&gt;$DO330) + $B$19*($DN330=$DO330))</f>
        <v>3.7037037037037035E-4</v>
      </c>
      <c r="DT330" s="10" cm="1">
        <f t="array" aca="1" ref="DT330" ca="1">(1-$B$18)*SUMPRODUCT(OFFSET($BO$15,0,0,$B$14,1), 1*(_xlfn._xlws.FILTER(OFFSET($O$15,0,$DN330,$B$8,1),OFFSET($M$15,0,0,$B$8,1))=DT$13), 1*(_xlfn._xlws.FILTER(OFFSET($O$15,0,$DO330,$B$8,1),OFFSET($M$15,0,0,$B$8,1))=DT$14))   /   SUM(OFFSET($BO$15,0,0,$B$14,1)) + $B$18/($B$19*$B$19*($DN330&lt;&gt;$DO330) + $B$19*($DN330=$DO330))</f>
        <v>3.7037037037037035E-4</v>
      </c>
      <c r="DU330" s="10" cm="1">
        <f t="array" aca="1" ref="DU330" ca="1">(1-$B$18)*SUMPRODUCT(OFFSET($BO$15,0,0,$B$14,1), 1*(_xlfn._xlws.FILTER(OFFSET($O$15,0,$DN330,$B$8,1),OFFSET($M$15,0,0,$B$8,1))=DU$13), 1*(_xlfn._xlws.FILTER(OFFSET($O$15,0,$DO330,$B$8,1),OFFSET($M$15,0,0,$B$8,1))=DU$14))   /   SUM(OFFSET($BO$15,0,0,$B$14,1)) + $B$18/($B$19*$B$19*($DN330&lt;&gt;$DO330) + $B$19*($DN330=$DO330))</f>
        <v>3.7037037037037035E-4</v>
      </c>
      <c r="DV330" s="10" cm="1">
        <f t="array" aca="1" ref="DV330" ca="1">(1-$B$18)*SUMPRODUCT(OFFSET($BO$15,0,0,$B$14,1), 1*(_xlfn._xlws.FILTER(OFFSET($O$15,0,$DN330,$B$8,1),OFFSET($M$15,0,0,$B$8,1))=DV$13), 1*(_xlfn._xlws.FILTER(OFFSET($O$15,0,$DO330,$B$8,1),OFFSET($M$15,0,0,$B$8,1))=DV$14))   /   SUM(OFFSET($BO$15,0,0,$B$14,1)) + $B$18/($B$19*$B$19*($DN330&lt;&gt;$DO330) + $B$19*($DN330=$DO330))</f>
        <v>3.7037037037037035E-4</v>
      </c>
      <c r="DW330" s="10" cm="1">
        <f t="array" aca="1" ref="DW330" ca="1">(1-$B$18)*SUMPRODUCT(OFFSET($BO$15,0,0,$B$14,1), 1*(_xlfn._xlws.FILTER(OFFSET($O$15,0,$DN330,$B$8,1),OFFSET($M$15,0,0,$B$8,1))=DW$13), 1*(_xlfn._xlws.FILTER(OFFSET($O$15,0,$DO330,$B$8,1),OFFSET($M$15,0,0,$B$8,1))=DW$14))   /   SUM(OFFSET($BO$15,0,0,$B$14,1)) + $B$18/($B$19*$B$19*($DN330&lt;&gt;$DO330) + $B$19*($DN330=$DO330))</f>
        <v>3.7037037037037035E-4</v>
      </c>
      <c r="DX330" s="10" cm="1">
        <f t="array" aca="1" ref="DX330" ca="1">(1-$B$18)*SUMPRODUCT(OFFSET($BO$15,0,0,$B$14,1), 1*(_xlfn._xlws.FILTER(OFFSET($O$15,0,$DN330,$B$8,1),OFFSET($M$15,0,0,$B$8,1))=DX$13), 1*(_xlfn._xlws.FILTER(OFFSET($O$15,0,$DO330,$B$8,1),OFFSET($M$15,0,0,$B$8,1))=DX$14))   /   SUM(OFFSET($BO$15,0,0,$B$14,1)) + $B$18/($B$19*$B$19*($DN330&lt;&gt;$DO330) + $B$19*($DN330=$DO330))</f>
        <v>3.7037037037037035E-4</v>
      </c>
      <c r="DY330" s="10" cm="1">
        <f t="array" aca="1" ref="DY330" ca="1">(1-$B$18)*SUMPRODUCT(OFFSET($BO$15,0,0,$B$14,1), 1*(_xlfn._xlws.FILTER(OFFSET($O$15,0,$DN330,$B$8,1),OFFSET($M$15,0,0,$B$8,1))=DY$13), 1*(_xlfn._xlws.FILTER(OFFSET($O$15,0,$DO330,$B$8,1),OFFSET($M$15,0,0,$B$8,1))=DY$14))   /   SUM(OFFSET($BO$15,0,0,$B$14,1)) + $B$18/($B$19*$B$19*($DN330&lt;&gt;$DO330) + $B$19*($DN330=$DO330))</f>
        <v>3.7037037037037035E-4</v>
      </c>
      <c r="DZ330" s="10" cm="1">
        <f t="array" aca="1" ref="DZ330" ca="1">(1-$B$18)*SUMPRODUCT(OFFSET($BO$15,0,0,$B$14,1), 1*(_xlfn._xlws.FILTER(OFFSET($O$15,0,$DN330,$B$8,1),OFFSET($M$15,0,0,$B$8,1))=DZ$13), 1*(_xlfn._xlws.FILTER(OFFSET($O$15,0,$DO330,$B$8,1),OFFSET($M$15,0,0,$B$8,1))=DZ$14))   /   SUM(OFFSET($BO$15,0,0,$B$14,1)) + $B$18/($B$19*$B$19*($DN330&lt;&gt;$DO330) + $B$19*($DN330=$DO330))</f>
        <v>3.7037037037037035E-4</v>
      </c>
      <c r="EA330" s="10" cm="1">
        <f t="array" aca="1" ref="EA330" ca="1">(1-$B$18)*SUMPRODUCT(OFFSET($BO$15,0,0,$B$14,1), 1*(_xlfn._xlws.FILTER(OFFSET($O$15,0,$DN330,$B$8,1),OFFSET($M$15,0,0,$B$8,1))=EA$13), 1*(_xlfn._xlws.FILTER(OFFSET($O$15,0,$DO330,$B$8,1),OFFSET($M$15,0,0,$B$8,1))=EA$14))   /   SUM(OFFSET($BO$15,0,0,$B$14,1)) + $B$18/($B$19*$B$19*($DN330&lt;&gt;$DO330) + $B$19*($DN330=$DO330))</f>
        <v>3.7037037037037035E-4</v>
      </c>
      <c r="EB330" s="10" cm="1">
        <f t="array" aca="1" ref="EB330" ca="1">(1-$B$18)*SUMPRODUCT(OFFSET($BO$15,0,0,$B$14,1), 1*(_xlfn._xlws.FILTER(OFFSET($O$15,0,$DN330,$B$8,1),OFFSET($M$15,0,0,$B$8,1))=EB$13), 1*(_xlfn._xlws.FILTER(OFFSET($O$15,0,$DO330,$B$8,1),OFFSET($M$15,0,0,$B$8,1))=EB$14))   /   SUM(OFFSET($BO$15,0,0,$B$14,1)) + $B$18/($B$19*$B$19*($DN330&lt;&gt;$DO330) + $B$19*($DN330=$DO330))</f>
        <v>3.7037037037037035E-4</v>
      </c>
      <c r="EC330" s="10" cm="1">
        <f t="array" aca="1" ref="EC330" ca="1">(1-$B$18)*SUMPRODUCT(OFFSET($BO$15,0,0,$B$14,1), 1*(_xlfn._xlws.FILTER(OFFSET($O$15,0,$DN330,$B$8,1),OFFSET($M$15,0,0,$B$8,1))=EC$13), 1*(_xlfn._xlws.FILTER(OFFSET($O$15,0,$DO330,$B$8,1),OFFSET($M$15,0,0,$B$8,1))=EC$14))   /   SUM(OFFSET($BO$15,0,0,$B$14,1)) + $B$18/($B$19*$B$19*($DN330&lt;&gt;$DO330) + $B$19*($DN330=$DO330))</f>
        <v>3.7037037037037035E-4</v>
      </c>
      <c r="ED330" s="10" cm="1">
        <f t="array" aca="1" ref="ED330" ca="1">(1-$B$18)*SUMPRODUCT(OFFSET($BO$15,0,0,$B$14,1), 1*(_xlfn._xlws.FILTER(OFFSET($O$15,0,$DN330,$B$8,1),OFFSET($M$15,0,0,$B$8,1))=ED$13), 1*(_xlfn._xlws.FILTER(OFFSET($O$15,0,$DO330,$B$8,1),OFFSET($M$15,0,0,$B$8,1))=ED$14))   /   SUM(OFFSET($BO$15,0,0,$B$14,1)) + $B$18/($B$19*$B$19*($DN330&lt;&gt;$DO330) + $B$19*($DN330=$DO330))</f>
        <v>3.7037037037037035E-4</v>
      </c>
      <c r="EE330" s="10" cm="1">
        <f t="array" aca="1" ref="EE330" ca="1">(1-$B$18)*SUMPRODUCT(OFFSET($BO$15,0,0,$B$14,1), 1*(_xlfn._xlws.FILTER(OFFSET($O$15,0,$DN330,$B$8,1),OFFSET($M$15,0,0,$B$8,1))=EE$13), 1*(_xlfn._xlws.FILTER(OFFSET($O$15,0,$DO330,$B$8,1),OFFSET($M$15,0,0,$B$8,1))=EE$14))   /   SUM(OFFSET($BO$15,0,0,$B$14,1)) + $B$18/($B$19*$B$19*($DN330&lt;&gt;$DO330) + $B$19*($DN330=$DO330))</f>
        <v>3.7037037037037035E-4</v>
      </c>
      <c r="EF330" s="10" cm="1">
        <f t="array" aca="1" ref="EF330" ca="1">(1-$B$18)*SUMPRODUCT(OFFSET($BO$15,0,0,$B$14,1), 1*(_xlfn._xlws.FILTER(OFFSET($O$15,0,$DN330,$B$8,1),OFFSET($M$15,0,0,$B$8,1))=EF$13), 1*(_xlfn._xlws.FILTER(OFFSET($O$15,0,$DO330,$B$8,1),OFFSET($M$15,0,0,$B$8,1))=EF$14))   /   SUM(OFFSET($BO$15,0,0,$B$14,1)) + $B$18/($B$19*$B$19*($DN330&lt;&gt;$DO330) + $B$19*($DN330=$DO330))</f>
        <v>3.7037037037037035E-4</v>
      </c>
      <c r="EG330" s="10" cm="1">
        <f t="array" aca="1" ref="EG330" ca="1">(1-$B$18)*SUMPRODUCT(OFFSET($BO$15,0,0,$B$14,1), 1*(_xlfn._xlws.FILTER(OFFSET($O$15,0,$DN330,$B$8,1),OFFSET($M$15,0,0,$B$8,1))=EG$13), 1*(_xlfn._xlws.FILTER(OFFSET($O$15,0,$DO330,$B$8,1),OFFSET($M$15,0,0,$B$8,1))=EG$14))   /   SUM(OFFSET($BO$15,0,0,$B$14,1)) + $B$18/($B$19*$B$19*($DN330&lt;&gt;$DO330) + $B$19*($DN330=$DO330))</f>
        <v>3.7037037037037035E-4</v>
      </c>
      <c r="EH330" s="10" cm="1">
        <f t="array" aca="1" ref="EH330" ca="1">(1-$B$18)*SUMPRODUCT(OFFSET($BO$15,0,0,$B$14,1), 1*(_xlfn._xlws.FILTER(OFFSET($O$15,0,$DN330,$B$8,1),OFFSET($M$15,0,0,$B$8,1))=EH$13), 1*(_xlfn._xlws.FILTER(OFFSET($O$15,0,$DO330,$B$8,1),OFFSET($M$15,0,0,$B$8,1))=EH$14))   /   SUM(OFFSET($BO$15,0,0,$B$14,1)) + $B$18/($B$19*$B$19*($DN330&lt;&gt;$DO330) + $B$19*($DN330=$DO330))</f>
        <v>3.7037037037037035E-4</v>
      </c>
      <c r="EI330" s="10" cm="1">
        <f t="array" aca="1" ref="EI330" ca="1">(1-$B$18)*SUMPRODUCT(OFFSET($BO$15,0,0,$B$14,1), 1*(_xlfn._xlws.FILTER(OFFSET($O$15,0,$DN330,$B$8,1),OFFSET($M$15,0,0,$B$8,1))=EI$13), 1*(_xlfn._xlws.FILTER(OFFSET($O$15,0,$DO330,$B$8,1),OFFSET($M$15,0,0,$B$8,1))=EI$14))   /   SUM(OFFSET($BO$15,0,0,$B$14,1)) + $B$18/($B$19*$B$19*($DN330&lt;&gt;$DO330) + $B$19*($DN330=$DO330))</f>
        <v>3.7037037037037035E-4</v>
      </c>
      <c r="EJ330" s="10" cm="1">
        <f t="array" aca="1" ref="EJ330" ca="1">(1-$B$18)*SUMPRODUCT(OFFSET($BO$15,0,0,$B$14,1), 1*(_xlfn._xlws.FILTER(OFFSET($O$15,0,$DN330,$B$8,1),OFFSET($M$15,0,0,$B$8,1))=EJ$13), 1*(_xlfn._xlws.FILTER(OFFSET($O$15,0,$DO330,$B$8,1),OFFSET($M$15,0,0,$B$8,1))=EJ$14))   /   SUM(OFFSET($BO$15,0,0,$B$14,1)) + $B$18/($B$19*$B$19*($DN330&lt;&gt;$DO330) + $B$19*($DN330=$DO330))</f>
        <v>3.7037037037037035E-4</v>
      </c>
      <c r="EK330" s="10" cm="1">
        <f t="array" aca="1" ref="EK330" ca="1">(1-$B$18)*SUMPRODUCT(OFFSET($BO$15,0,0,$B$14,1), 1*(_xlfn._xlws.FILTER(OFFSET($O$15,0,$DN330,$B$8,1),OFFSET($M$15,0,0,$B$8,1))=EK$13), 1*(_xlfn._xlws.FILTER(OFFSET($O$15,0,$DO330,$B$8,1),OFFSET($M$15,0,0,$B$8,1))=EK$14))   /   SUM(OFFSET($BO$15,0,0,$B$14,1)) + $B$18/($B$19*$B$19*($DN330&lt;&gt;$DO330) + $B$19*($DN330=$DO330))</f>
        <v>3.7037037037037035E-4</v>
      </c>
      <c r="EL330" s="10" cm="1">
        <f t="array" aca="1" ref="EL330" ca="1">(1-$B$18)*SUMPRODUCT(OFFSET($BO$15,0,0,$B$14,1), 1*(_xlfn._xlws.FILTER(OFFSET($O$15,0,$DN330,$B$8,1),OFFSET($M$15,0,0,$B$8,1))=EL$13), 1*(_xlfn._xlws.FILTER(OFFSET($O$15,0,$DO330,$B$8,1),OFFSET($M$15,0,0,$B$8,1))=EL$14))   /   SUM(OFFSET($BO$15,0,0,$B$14,1)) + $B$18/($B$19*$B$19*($DN330&lt;&gt;$DO330) + $B$19*($DN330=$DO330))</f>
        <v>3.7037037037037035E-4</v>
      </c>
      <c r="EM330" s="10" cm="1">
        <f t="array" aca="1" ref="EM330" ca="1">(1-$B$18)*SUMPRODUCT(OFFSET($BO$15,0,0,$B$14,1), 1*(_xlfn._xlws.FILTER(OFFSET($O$15,0,$DN330,$B$8,1),OFFSET($M$15,0,0,$B$8,1))=EM$13), 1*(_xlfn._xlws.FILTER(OFFSET($O$15,0,$DO330,$B$8,1),OFFSET($M$15,0,0,$B$8,1))=EM$14))   /   SUM(OFFSET($BO$15,0,0,$B$14,1)) + $B$18/($B$19*$B$19*($DN330&lt;&gt;$DO330) + $B$19*($DN330=$DO330))</f>
        <v>3.7037037037037035E-4</v>
      </c>
      <c r="EN330" s="10" cm="1">
        <f t="array" aca="1" ref="EN330" ca="1">(1-$B$18)*SUMPRODUCT(OFFSET($BO$15,0,0,$B$14,1), 1*(_xlfn._xlws.FILTER(OFFSET($O$15,0,$DN330,$B$8,1),OFFSET($M$15,0,0,$B$8,1))=EN$13), 1*(_xlfn._xlws.FILTER(OFFSET($O$15,0,$DO330,$B$8,1),OFFSET($M$15,0,0,$B$8,1))=EN$14))   /   SUM(OFFSET($BO$15,0,0,$B$14,1)) + $B$18/($B$19*$B$19*($DN330&lt;&gt;$DO330) + $B$19*($DN330=$DO330))</f>
        <v>3.7037037037037035E-4</v>
      </c>
      <c r="EO330" s="10" cm="1">
        <f t="array" aca="1" ref="EO330" ca="1">(1-$B$18)*SUMPRODUCT(OFFSET($BO$15,0,0,$B$14,1), 1*(_xlfn._xlws.FILTER(OFFSET($O$15,0,$DN330,$B$8,1),OFFSET($M$15,0,0,$B$8,1))=EO$13), 1*(_xlfn._xlws.FILTER(OFFSET($O$15,0,$DO330,$B$8,1),OFFSET($M$15,0,0,$B$8,1))=EO$14))   /   SUM(OFFSET($BO$15,0,0,$B$14,1)) + $B$18/($B$19*$B$19*($DN330&lt;&gt;$DO330) + $B$19*($DN330=$DO330))</f>
        <v>0.97037037037037033</v>
      </c>
      <c r="EP330" s="10" cm="1">
        <f t="array" aca="1" ref="EP330" ca="1">(1-$B$18)*SUMPRODUCT(OFFSET($BO$15,0,0,$B$14,1), 1*(_xlfn._xlws.FILTER(OFFSET($O$15,0,$DN330,$B$8,1),OFFSET($M$15,0,0,$B$8,1))=EP$13), 1*(_xlfn._xlws.FILTER(OFFSET($O$15,0,$DO330,$B$8,1),OFFSET($M$15,0,0,$B$8,1))=EP$14))   /   SUM(OFFSET($BO$15,0,0,$B$14,1)) + $B$18/($B$19*$B$19*($DN330&lt;&gt;$DO330) + $B$19*($DN330=$DO330))</f>
        <v>3.7037037037037035E-4</v>
      </c>
      <c r="EQ330" s="10" cm="1">
        <f t="array" aca="1" ref="EQ330" ca="1">(1-$B$18)*SUMPRODUCT(OFFSET($BO$15,0,0,$B$14,1), 1*(_xlfn._xlws.FILTER(OFFSET($O$15,0,$DN330,$B$8,1),OFFSET($M$15,0,0,$B$8,1))=EQ$13), 1*(_xlfn._xlws.FILTER(OFFSET($O$15,0,$DO330,$B$8,1),OFFSET($M$15,0,0,$B$8,1))=EQ$14))   /   SUM(OFFSET($BO$15,0,0,$B$14,1)) + $B$18/($B$19*$B$19*($DN330&lt;&gt;$DO330) + $B$19*($DN330=$DO330))</f>
        <v>3.7037037037037035E-4</v>
      </c>
      <c r="ER330" s="10" cm="1">
        <f t="array" aca="1" ref="ER330" ca="1">(1-$B$18)*SUMPRODUCT(OFFSET($BO$15,0,0,$B$14,1), 1*(_xlfn._xlws.FILTER(OFFSET($O$15,0,$DN330,$B$8,1),OFFSET($M$15,0,0,$B$8,1))=ER$13), 1*(_xlfn._xlws.FILTER(OFFSET($O$15,0,$DO330,$B$8,1),OFFSET($M$15,0,0,$B$8,1))=ER$14))   /   SUM(OFFSET($BO$15,0,0,$B$14,1)) + $B$18/($B$19*$B$19*($DN330&lt;&gt;$DO330) + $B$19*($DN330=$DO330))</f>
        <v>3.7037037037037035E-4</v>
      </c>
      <c r="ES330" s="10" cm="1">
        <f t="array" aca="1" ref="ES330" ca="1">(1-$B$18)*SUMPRODUCT(OFFSET($BO$15,0,0,$B$14,1), 1*(_xlfn._xlws.FILTER(OFFSET($O$15,0,$DN330,$B$8,1),OFFSET($M$15,0,0,$B$8,1))=ES$13), 1*(_xlfn._xlws.FILTER(OFFSET($O$15,0,$DO330,$B$8,1),OFFSET($M$15,0,0,$B$8,1))=ES$14))   /   SUM(OFFSET($BO$15,0,0,$B$14,1)) + $B$18/($B$19*$B$19*($DN330&lt;&gt;$DO330) + $B$19*($DN330=$DO330))</f>
        <v>3.7037037037037035E-4</v>
      </c>
      <c r="ET330" s="10" cm="1">
        <f t="array" aca="1" ref="ET330" ca="1">(1-$B$18)*SUMPRODUCT(OFFSET($BO$15,0,0,$B$14,1), 1*(_xlfn._xlws.FILTER(OFFSET($O$15,0,$DN330,$B$8,1),OFFSET($M$15,0,0,$B$8,1))=ET$13), 1*(_xlfn._xlws.FILTER(OFFSET($O$15,0,$DO330,$B$8,1),OFFSET($M$15,0,0,$B$8,1))=ET$14))   /   SUM(OFFSET($BO$15,0,0,$B$14,1)) + $B$18/($B$19*$B$19*($DN330&lt;&gt;$DO330) + $B$19*($DN330=$DO330))</f>
        <v>3.7037037037037035E-4</v>
      </c>
      <c r="EU330" s="10" cm="1">
        <f t="array" aca="1" ref="EU330" ca="1">(1-$B$18)*SUMPRODUCT(OFFSET($BO$15,0,0,$B$14,1), 1*(_xlfn._xlws.FILTER(OFFSET($O$15,0,$DN330,$B$8,1),OFFSET($M$15,0,0,$B$8,1))=EU$13), 1*(_xlfn._xlws.FILTER(OFFSET($O$15,0,$DO330,$B$8,1),OFFSET($M$15,0,0,$B$8,1))=EU$14))   /   SUM(OFFSET($BO$15,0,0,$B$14,1)) + $B$18/($B$19*$B$19*($DN330&lt;&gt;$DO330) + $B$19*($DN330=$DO330))</f>
        <v>3.7037037037037035E-4</v>
      </c>
      <c r="EV330" s="10" cm="1">
        <f t="array" aca="1" ref="EV330" ca="1">(1-$B$18)*SUMPRODUCT(OFFSET($BO$15,0,0,$B$14,1), 1*(_xlfn._xlws.FILTER(OFFSET($O$15,0,$DN330,$B$8,1),OFFSET($M$15,0,0,$B$8,1))=EV$13), 1*(_xlfn._xlws.FILTER(OFFSET($O$15,0,$DO330,$B$8,1),OFFSET($M$15,0,0,$B$8,1))=EV$14))   /   SUM(OFFSET($BO$15,0,0,$B$14,1)) + $B$18/($B$19*$B$19*($DN330&lt;&gt;$DO330) + $B$19*($DN330=$DO330))</f>
        <v>3.7037037037037035E-4</v>
      </c>
      <c r="EW330" s="10" cm="1">
        <f t="array" aca="1" ref="EW330" ca="1">(1-$B$18)*SUMPRODUCT(OFFSET($BO$15,0,0,$B$14,1), 1*(_xlfn._xlws.FILTER(OFFSET($O$15,0,$DN330,$B$8,1),OFFSET($M$15,0,0,$B$8,1))=EW$13), 1*(_xlfn._xlws.FILTER(OFFSET($O$15,0,$DO330,$B$8,1),OFFSET($M$15,0,0,$B$8,1))=EW$14))   /   SUM(OFFSET($BO$15,0,0,$B$14,1)) + $B$18/($B$19*$B$19*($DN330&lt;&gt;$DO330) + $B$19*($DN330=$DO330))</f>
        <v>3.7037037037037035E-4</v>
      </c>
      <c r="EX330" s="10" cm="1">
        <f t="array" aca="1" ref="EX330" ca="1">(1-$B$18)*SUMPRODUCT(OFFSET($BO$15,0,0,$B$14,1), 1*(_xlfn._xlws.FILTER(OFFSET($O$15,0,$DN330,$B$8,1),OFFSET($M$15,0,0,$B$8,1))=EX$13), 1*(_xlfn._xlws.FILTER(OFFSET($O$15,0,$DO330,$B$8,1),OFFSET($M$15,0,0,$B$8,1))=EX$14))   /   SUM(OFFSET($BO$15,0,0,$B$14,1)) + $B$18/($B$19*$B$19*($DN330&lt;&gt;$DO330) + $B$19*($DN330=$DO330))</f>
        <v>3.7037037037037035E-4</v>
      </c>
      <c r="EY330" s="10" cm="1">
        <f t="array" aca="1" ref="EY330" ca="1">(1-$B$18)*SUMPRODUCT(OFFSET($BO$15,0,0,$B$14,1), 1*(_xlfn._xlws.FILTER(OFFSET($O$15,0,$DN330,$B$8,1),OFFSET($M$15,0,0,$B$8,1))=EY$13), 1*(_xlfn._xlws.FILTER(OFFSET($O$15,0,$DO330,$B$8,1),OFFSET($M$15,0,0,$B$8,1))=EY$14))   /   SUM(OFFSET($BO$15,0,0,$B$14,1)) + $B$18/($B$19*$B$19*($DN330&lt;&gt;$DO330) + $B$19*($DN330=$DO330))</f>
        <v>3.7037037037037035E-4</v>
      </c>
      <c r="EZ330" s="10" cm="1">
        <f t="array" aca="1" ref="EZ330" ca="1">(1-$B$18)*SUMPRODUCT(OFFSET($BO$15,0,0,$B$14,1), 1*(_xlfn._xlws.FILTER(OFFSET($O$15,0,$DN330,$B$8,1),OFFSET($M$15,0,0,$B$8,1))=EZ$13), 1*(_xlfn._xlws.FILTER(OFFSET($O$15,0,$DO330,$B$8,1),OFFSET($M$15,0,0,$B$8,1))=EZ$14))   /   SUM(OFFSET($BO$15,0,0,$B$14,1)) + $B$18/($B$19*$B$19*($DN330&lt;&gt;$DO330) + $B$19*($DN330=$DO330))</f>
        <v>3.7037037037037035E-4</v>
      </c>
      <c r="FA330" s="10" cm="1">
        <f t="array" aca="1" ref="FA330" ca="1">(1-$B$18)*SUMPRODUCT(OFFSET($BO$15,0,0,$B$14,1), 1*(_xlfn._xlws.FILTER(OFFSET($O$15,0,$DN330,$B$8,1),OFFSET($M$15,0,0,$B$8,1))=FA$13), 1*(_xlfn._xlws.FILTER(OFFSET($O$15,0,$DO330,$B$8,1),OFFSET($M$15,0,0,$B$8,1))=FA$14))   /   SUM(OFFSET($BO$15,0,0,$B$14,1)) + $B$18/($B$19*$B$19*($DN330&lt;&gt;$DO330) + $B$19*($DN330=$DO330))</f>
        <v>3.7037037037037035E-4</v>
      </c>
      <c r="FB330" s="10" cm="1">
        <f t="array" aca="1" ref="FB330" ca="1">(1-$B$18)*SUMPRODUCT(OFFSET($BO$15,0,0,$B$14,1), 1*(_xlfn._xlws.FILTER(OFFSET($O$15,0,$DN330,$B$8,1),OFFSET($M$15,0,0,$B$8,1))=FB$13), 1*(_xlfn._xlws.FILTER(OFFSET($O$15,0,$DO330,$B$8,1),OFFSET($M$15,0,0,$B$8,1))=FB$14))   /   SUM(OFFSET($BO$15,0,0,$B$14,1)) + $B$18/($B$19*$B$19*($DN330&lt;&gt;$DO330) + $B$19*($DN330=$DO330))</f>
        <v>3.7037037037037035E-4</v>
      </c>
      <c r="FC330" s="10" cm="1">
        <f t="array" aca="1" ref="FC330" ca="1">(1-$B$18)*SUMPRODUCT(OFFSET($BO$15,0,0,$B$14,1), 1*(_xlfn._xlws.FILTER(OFFSET($O$15,0,$DN330,$B$8,1),OFFSET($M$15,0,0,$B$8,1))=FC$13), 1*(_xlfn._xlws.FILTER(OFFSET($O$15,0,$DO330,$B$8,1),OFFSET($M$15,0,0,$B$8,1))=FC$14))   /   SUM(OFFSET($BO$15,0,0,$B$14,1)) + $B$18/($B$19*$B$19*($DN330&lt;&gt;$DO330) + $B$19*($DN330=$DO330))</f>
        <v>3.7037037037037035E-4</v>
      </c>
      <c r="FD330" s="10" cm="1">
        <f t="array" aca="1" ref="FD330" ca="1">(1-$B$18)*SUMPRODUCT(OFFSET($BO$15,0,0,$B$14,1), 1*(_xlfn._xlws.FILTER(OFFSET($O$15,0,$DN330,$B$8,1),OFFSET($M$15,0,0,$B$8,1))=FD$13), 1*(_xlfn._xlws.FILTER(OFFSET($O$15,0,$DO330,$B$8,1),OFFSET($M$15,0,0,$B$8,1))=FD$14))   /   SUM(OFFSET($BO$15,0,0,$B$14,1)) + $B$18/($B$19*$B$19*($DN330&lt;&gt;$DO330) + $B$19*($DN330=$DO330))</f>
        <v>3.7037037037037035E-4</v>
      </c>
      <c r="FE330" s="10" cm="1">
        <f t="array" aca="1" ref="FE330" ca="1">(1-$B$18)*SUMPRODUCT(OFFSET($BO$15,0,0,$B$14,1), 1*(_xlfn._xlws.FILTER(OFFSET($O$15,0,$DN330,$B$8,1),OFFSET($M$15,0,0,$B$8,1))=FE$13), 1*(_xlfn._xlws.FILTER(OFFSET($O$15,0,$DO330,$B$8,1),OFFSET($M$15,0,0,$B$8,1))=FE$14))   /   SUM(OFFSET($BO$15,0,0,$B$14,1)) + $B$18/($B$19*$B$19*($DN330&lt;&gt;$DO330) + $B$19*($DN330=$DO330))</f>
        <v>3.7037037037037035E-4</v>
      </c>
      <c r="FF330" s="10" cm="1">
        <f t="array" aca="1" ref="FF330" ca="1">(1-$B$18)*SUMPRODUCT(OFFSET($BO$15,0,0,$B$14,1), 1*(_xlfn._xlws.FILTER(OFFSET($O$15,0,$DN330,$B$8,1),OFFSET($M$15,0,0,$B$8,1))=FF$13), 1*(_xlfn._xlws.FILTER(OFFSET($O$15,0,$DO330,$B$8,1),OFFSET($M$15,0,0,$B$8,1))=FF$14))   /   SUM(OFFSET($BO$15,0,0,$B$14,1)) + $B$18/($B$19*$B$19*($DN330&lt;&gt;$DO330) + $B$19*($DN330=$DO330))</f>
        <v>3.7037037037037035E-4</v>
      </c>
      <c r="FG330" s="10" cm="1">
        <f t="array" aca="1" ref="FG330" ca="1">(1-$B$18)*SUMPRODUCT(OFFSET($BO$15,0,0,$B$14,1), 1*(_xlfn._xlws.FILTER(OFFSET($O$15,0,$DN330,$B$8,1),OFFSET($M$15,0,0,$B$8,1))=FG$13), 1*(_xlfn._xlws.FILTER(OFFSET($O$15,0,$DO330,$B$8,1),OFFSET($M$15,0,0,$B$8,1))=FG$14))   /   SUM(OFFSET($BO$15,0,0,$B$14,1)) + $B$18/($B$19*$B$19*($DN330&lt;&gt;$DO330) + $B$19*($DN330=$DO330))</f>
        <v>3.7037037037037035E-4</v>
      </c>
      <c r="FH330" s="10" cm="1">
        <f t="array" aca="1" ref="FH330" ca="1">(1-$B$18)*SUMPRODUCT(OFFSET($BO$15,0,0,$B$14,1), 1*(_xlfn._xlws.FILTER(OFFSET($O$15,0,$DN330,$B$8,1),OFFSET($M$15,0,0,$B$8,1))=FH$13), 1*(_xlfn._xlws.FILTER(OFFSET($O$15,0,$DO330,$B$8,1),OFFSET($M$15,0,0,$B$8,1))=FH$14))   /   SUM(OFFSET($BO$15,0,0,$B$14,1)) + $B$18/($B$19*$B$19*($DN330&lt;&gt;$DO330) + $B$19*($DN330=$DO330))</f>
        <v>3.7037037037037035E-4</v>
      </c>
      <c r="FI330" s="10" cm="1">
        <f t="array" aca="1" ref="FI330" ca="1">(1-$B$18)*SUMPRODUCT(OFFSET($BO$15,0,0,$B$14,1), 1*(_xlfn._xlws.FILTER(OFFSET($O$15,0,$DN330,$B$8,1),OFFSET($M$15,0,0,$B$8,1))=FI$13), 1*(_xlfn._xlws.FILTER(OFFSET($O$15,0,$DO330,$B$8,1),OFFSET($M$15,0,0,$B$8,1))=FI$14))   /   SUM(OFFSET($BO$15,0,0,$B$14,1)) + $B$18/($B$19*$B$19*($DN330&lt;&gt;$DO330) + $B$19*($DN330=$DO330))</f>
        <v>3.7037037037037035E-4</v>
      </c>
      <c r="FJ330" s="10" cm="1">
        <f t="array" aca="1" ref="FJ330" ca="1">(1-$B$18)*SUMPRODUCT(OFFSET($BO$15,0,0,$B$14,1), 1*(_xlfn._xlws.FILTER(OFFSET($O$15,0,$DN330,$B$8,1),OFFSET($M$15,0,0,$B$8,1))=FJ$13), 1*(_xlfn._xlws.FILTER(OFFSET($O$15,0,$DO330,$B$8,1),OFFSET($M$15,0,0,$B$8,1))=FJ$14))   /   SUM(OFFSET($BO$15,0,0,$B$14,1)) + $B$18/($B$19*$B$19*($DN330&lt;&gt;$DO330) + $B$19*($DN330=$DO330))</f>
        <v>3.7037037037037035E-4</v>
      </c>
      <c r="FK330" s="10" cm="1">
        <f t="array" aca="1" ref="FK330" ca="1">(1-$B$18)*SUMPRODUCT(OFFSET($BO$15,0,0,$B$14,1), 1*(_xlfn._xlws.FILTER(OFFSET($O$15,0,$DN330,$B$8,1),OFFSET($M$15,0,0,$B$8,1))=FK$13), 1*(_xlfn._xlws.FILTER(OFFSET($O$15,0,$DO330,$B$8,1),OFFSET($M$15,0,0,$B$8,1))=FK$14))   /   SUM(OFFSET($BO$15,0,0,$B$14,1)) + $B$18/($B$19*$B$19*($DN330&lt;&gt;$DO330) + $B$19*($DN330=$DO330))</f>
        <v>3.7037037037037035E-4</v>
      </c>
      <c r="FL330" s="10" cm="1">
        <f t="array" aca="1" ref="FL330" ca="1">(1-$B$18)*SUMPRODUCT(OFFSET($BO$15,0,0,$B$14,1), 1*(_xlfn._xlws.FILTER(OFFSET($O$15,0,$DN330,$B$8,1),OFFSET($M$15,0,0,$B$8,1))=FL$13), 1*(_xlfn._xlws.FILTER(OFFSET($O$15,0,$DO330,$B$8,1),OFFSET($M$15,0,0,$B$8,1))=FL$14))   /   SUM(OFFSET($BO$15,0,0,$B$14,1)) + $B$18/($B$19*$B$19*($DN330&lt;&gt;$DO330) + $B$19*($DN330=$DO330))</f>
        <v>3.7037037037037035E-4</v>
      </c>
      <c r="FM330" s="10" cm="1">
        <f t="array" aca="1" ref="FM330" ca="1">(1-$B$18)*SUMPRODUCT(OFFSET($BO$15,0,0,$B$14,1), 1*(_xlfn._xlws.FILTER(OFFSET($O$15,0,$DN330,$B$8,1),OFFSET($M$15,0,0,$B$8,1))=FM$13), 1*(_xlfn._xlws.FILTER(OFFSET($O$15,0,$DO330,$B$8,1),OFFSET($M$15,0,0,$B$8,1))=FM$14))   /   SUM(OFFSET($BO$15,0,0,$B$14,1)) + $B$18/($B$19*$B$19*($DN330&lt;&gt;$DO330) + $B$19*($DN330=$DO330))</f>
        <v>3.7037037037037035E-4</v>
      </c>
      <c r="FN330" s="10" cm="1">
        <f t="array" aca="1" ref="FN330" ca="1">(1-$B$18)*SUMPRODUCT(OFFSET($BO$15,0,0,$B$14,1), 1*(_xlfn._xlws.FILTER(OFFSET($O$15,0,$DN330,$B$8,1),OFFSET($M$15,0,0,$B$8,1))=FN$13), 1*(_xlfn._xlws.FILTER(OFFSET($O$15,0,$DO330,$B$8,1),OFFSET($M$15,0,0,$B$8,1))=FN$14))   /   SUM(OFFSET($BO$15,0,0,$B$14,1)) + $B$18/($B$19*$B$19*($DN330&lt;&gt;$DO330) + $B$19*($DN330=$DO330))</f>
        <v>3.7037037037037035E-4</v>
      </c>
      <c r="FO330" s="10" cm="1">
        <f t="array" aca="1" ref="FO330" ca="1">(1-$B$18)*SUMPRODUCT(OFFSET($BO$15,0,0,$B$14,1), 1*(_xlfn._xlws.FILTER(OFFSET($O$15,0,$DN330,$B$8,1),OFFSET($M$15,0,0,$B$8,1))=FO$13), 1*(_xlfn._xlws.FILTER(OFFSET($O$15,0,$DO330,$B$8,1),OFFSET($M$15,0,0,$B$8,1))=FO$14))   /   SUM(OFFSET($BO$15,0,0,$B$14,1)) + $B$18/($B$19*$B$19*($DN330&lt;&gt;$DO330) + $B$19*($DN330=$DO330))</f>
        <v>3.7037037037037035E-4</v>
      </c>
      <c r="FP330" s="10" cm="1">
        <f t="array" aca="1" ref="FP330" ca="1">(1-$B$18)*SUMPRODUCT(OFFSET($BO$15,0,0,$B$14,1), 1*(_xlfn._xlws.FILTER(OFFSET($O$15,0,$DN330,$B$8,1),OFFSET($M$15,0,0,$B$8,1))=FP$13), 1*(_xlfn._xlws.FILTER(OFFSET($O$15,0,$DO330,$B$8,1),OFFSET($M$15,0,0,$B$8,1))=FP$14))   /   SUM(OFFSET($BO$15,0,0,$B$14,1)) + $B$18/($B$19*$B$19*($DN330&lt;&gt;$DO330) + $B$19*($DN330=$DO330))</f>
        <v>3.7037037037037035E-4</v>
      </c>
      <c r="FQ330" s="10" cm="1">
        <f t="array" aca="1" ref="FQ330" ca="1">(1-$B$18)*SUMPRODUCT(OFFSET($BO$15,0,0,$B$14,1), 1*(_xlfn._xlws.FILTER(OFFSET($O$15,0,$DN330,$B$8,1),OFFSET($M$15,0,0,$B$8,1))=FQ$13), 1*(_xlfn._xlws.FILTER(OFFSET($O$15,0,$DO330,$B$8,1),OFFSET($M$15,0,0,$B$8,1))=FQ$14))   /   SUM(OFFSET($BO$15,0,0,$B$14,1)) + $B$18/($B$19*$B$19*($DN330&lt;&gt;$DO330) + $B$19*($DN330=$DO330))</f>
        <v>3.7037037037037035E-4</v>
      </c>
      <c r="FR330" s="10" cm="1">
        <f t="array" aca="1" ref="FR330" ca="1">(1-$B$18)*SUMPRODUCT(OFFSET($BO$15,0,0,$B$14,1), 1*(_xlfn._xlws.FILTER(OFFSET($O$15,0,$DN330,$B$8,1),OFFSET($M$15,0,0,$B$8,1))=FR$13), 1*(_xlfn._xlws.FILTER(OFFSET($O$15,0,$DO330,$B$8,1),OFFSET($M$15,0,0,$B$8,1))=FR$14))   /   SUM(OFFSET($BO$15,0,0,$B$14,1)) + $B$18/($B$19*$B$19*($DN330&lt;&gt;$DO330) + $B$19*($DN330=$DO330))</f>
        <v>3.7037037037037035E-4</v>
      </c>
      <c r="FS330" s="10" cm="1">
        <f t="array" aca="1" ref="FS330" ca="1">(1-$B$18)*SUMPRODUCT(OFFSET($BO$15,0,0,$B$14,1), 1*(_xlfn._xlws.FILTER(OFFSET($O$15,0,$DN330,$B$8,1),OFFSET($M$15,0,0,$B$8,1))=FS$13), 1*(_xlfn._xlws.FILTER(OFFSET($O$15,0,$DO330,$B$8,1),OFFSET($M$15,0,0,$B$8,1))=FS$14))   /   SUM(OFFSET($BO$15,0,0,$B$14,1)) + $B$18/($B$19*$B$19*($DN330&lt;&gt;$DO330) + $B$19*($DN330=$DO330))</f>
        <v>3.7037037037037035E-4</v>
      </c>
      <c r="FT330" s="10" cm="1">
        <f t="array" aca="1" ref="FT330" ca="1">(1-$B$18)*SUMPRODUCT(OFFSET($BO$15,0,0,$B$14,1), 1*(_xlfn._xlws.FILTER(OFFSET($O$15,0,$DN330,$B$8,1),OFFSET($M$15,0,0,$B$8,1))=FT$13), 1*(_xlfn._xlws.FILTER(OFFSET($O$15,0,$DO330,$B$8,1),OFFSET($M$15,0,0,$B$8,1))=FT$14))   /   SUM(OFFSET($BO$15,0,0,$B$14,1)) + $B$18/($B$19*$B$19*($DN330&lt;&gt;$DO330) + $B$19*($DN330=$DO330))</f>
        <v>3.7037037037037035E-4</v>
      </c>
      <c r="FU330" s="10" cm="1">
        <f t="array" aca="1" ref="FU330" ca="1">(1-$B$18)*SUMPRODUCT(OFFSET($BO$15,0,0,$B$14,1), 1*(_xlfn._xlws.FILTER(OFFSET($O$15,0,$DN330,$B$8,1),OFFSET($M$15,0,0,$B$8,1))=FU$13), 1*(_xlfn._xlws.FILTER(OFFSET($O$15,0,$DO330,$B$8,1),OFFSET($M$15,0,0,$B$8,1))=FU$14))   /   SUM(OFFSET($BO$15,0,0,$B$14,1)) + $B$18/($B$19*$B$19*($DN330&lt;&gt;$DO330) + $B$19*($DN330=$DO330))</f>
        <v>3.7037037037037035E-4</v>
      </c>
      <c r="FV330" s="10" cm="1">
        <f t="array" aca="1" ref="FV330" ca="1">(1-$B$18)*SUMPRODUCT(OFFSET($BO$15,0,0,$B$14,1), 1*(_xlfn._xlws.FILTER(OFFSET($O$15,0,$DN330,$B$8,1),OFFSET($M$15,0,0,$B$8,1))=FV$13), 1*(_xlfn._xlws.FILTER(OFFSET($O$15,0,$DO330,$B$8,1),OFFSET($M$15,0,0,$B$8,1))=FV$14))   /   SUM(OFFSET($BO$15,0,0,$B$14,1)) + $B$18/($B$19*$B$19*($DN330&lt;&gt;$DO330) + $B$19*($DN330=$DO330))</f>
        <v>3.7037037037037035E-4</v>
      </c>
      <c r="FW330" s="10" cm="1">
        <f t="array" aca="1" ref="FW330" ca="1">(1-$B$18)*SUMPRODUCT(OFFSET($BO$15,0,0,$B$14,1), 1*(_xlfn._xlws.FILTER(OFFSET($O$15,0,$DN330,$B$8,1),OFFSET($M$15,0,0,$B$8,1))=FW$13), 1*(_xlfn._xlws.FILTER(OFFSET($O$15,0,$DO330,$B$8,1),OFFSET($M$15,0,0,$B$8,1))=FW$14))   /   SUM(OFFSET($BO$15,0,0,$B$14,1)) + $B$18/($B$19*$B$19*($DN330&lt;&gt;$DO330) + $B$19*($DN330=$DO330))</f>
        <v>3.7037037037037035E-4</v>
      </c>
      <c r="FX330" s="10" cm="1">
        <f t="array" aca="1" ref="FX330" ca="1">(1-$B$18)*SUMPRODUCT(OFFSET($BO$15,0,0,$B$14,1), 1*(_xlfn._xlws.FILTER(OFFSET($O$15,0,$DN330,$B$8,1),OFFSET($M$15,0,0,$B$8,1))=FX$13), 1*(_xlfn._xlws.FILTER(OFFSET($O$15,0,$DO330,$B$8,1),OFFSET($M$15,0,0,$B$8,1))=FX$14))   /   SUM(OFFSET($BO$15,0,0,$B$14,1)) + $B$18/($B$19*$B$19*($DN330&lt;&gt;$DO330) + $B$19*($DN330=$DO330))</f>
        <v>3.7037037037037035E-4</v>
      </c>
      <c r="FY330" s="10" cm="1">
        <f t="array" aca="1" ref="FY330" ca="1">(1-$B$18)*SUMPRODUCT(OFFSET($BO$15,0,0,$B$14,1), 1*(_xlfn._xlws.FILTER(OFFSET($O$15,0,$DN330,$B$8,1),OFFSET($M$15,0,0,$B$8,1))=FY$13), 1*(_xlfn._xlws.FILTER(OFFSET($O$15,0,$DO330,$B$8,1),OFFSET($M$15,0,0,$B$8,1))=FY$14))   /   SUM(OFFSET($BO$15,0,0,$B$14,1)) + $B$18/($B$19*$B$19*($DN330&lt;&gt;$DO330) + $B$19*($DN330=$DO330))</f>
        <v>3.7037037037037035E-4</v>
      </c>
      <c r="FZ330" s="10" cm="1">
        <f t="array" aca="1" ref="FZ330" ca="1">(1-$B$18)*SUMPRODUCT(OFFSET($BO$15,0,0,$B$14,1), 1*(_xlfn._xlws.FILTER(OFFSET($O$15,0,$DN330,$B$8,1),OFFSET($M$15,0,0,$B$8,1))=FZ$13), 1*(_xlfn._xlws.FILTER(OFFSET($O$15,0,$DO330,$B$8,1),OFFSET($M$15,0,0,$B$8,1))=FZ$14))   /   SUM(OFFSET($BO$15,0,0,$B$14,1)) + $B$18/($B$19*$B$19*($DN330&lt;&gt;$DO330) + $B$19*($DN330=$DO330))</f>
        <v>3.7037037037037035E-4</v>
      </c>
      <c r="GA330" s="10" cm="1">
        <f t="array" aca="1" ref="GA330" ca="1">(1-$B$18)*SUMPRODUCT(OFFSET($BO$15,0,0,$B$14,1), 1*(_xlfn._xlws.FILTER(OFFSET($O$15,0,$DN330,$B$8,1),OFFSET($M$15,0,0,$B$8,1))=GA$13), 1*(_xlfn._xlws.FILTER(OFFSET($O$15,0,$DO330,$B$8,1),OFFSET($M$15,0,0,$B$8,1))=GA$14))   /   SUM(OFFSET($BO$15,0,0,$B$14,1)) + $B$18/($B$19*$B$19*($DN330&lt;&gt;$DO330) + $B$19*($DN330=$DO330))</f>
        <v>3.7037037037037035E-4</v>
      </c>
    </row>
    <row r="331" spans="118:183" x14ac:dyDescent="0.2">
      <c r="DN331" cm="1">
        <f t="array" aca="1" ref="DN331" ca="1">INDEX(_xlfn.ANCHORARRAY($CP$15), 1 + INT((ROWS($DO$15:$DO331) - 1) / ROWS(_xlfn.ANCHORARRAY($CP$15))))</f>
        <v>19</v>
      </c>
      <c r="DO331" cm="1">
        <f t="array" aca="1" ref="DO331" ca="1">INDEX(_xlfn.ANCHORARRAY($CP$15),1+MOD(ROWS($DO$15:$DO331)-1,ROWS(_xlfn.ANCHORARRAY($CP$15))))</f>
        <v>13</v>
      </c>
      <c r="DP331" s="10" cm="1">
        <f t="array" aca="1" ref="DP331" ca="1">(1-$B$18)*SUMPRODUCT(OFFSET($BO$15,0,0,$B$14,1), 1*(_xlfn._xlws.FILTER(OFFSET($O$15,0,$DN331,$B$8,1),OFFSET($M$15,0,0,$B$8,1))=DP$13), 1*(_xlfn._xlws.FILTER(OFFSET($O$15,0,$DO331,$B$8,1),OFFSET($M$15,0,0,$B$8,1))=DP$14))   /   SUM(OFFSET($BO$15,0,0,$B$14,1)) + $B$18/($B$19*$B$19*($DN331&lt;&gt;$DO331) + $B$19*($DN331=$DO331))</f>
        <v>3.7037037037037035E-4</v>
      </c>
      <c r="DQ331" s="10" cm="1">
        <f t="array" aca="1" ref="DQ331" ca="1">(1-$B$18)*SUMPRODUCT(OFFSET($BO$15,0,0,$B$14,1), 1*(_xlfn._xlws.FILTER(OFFSET($O$15,0,$DN331,$B$8,1),OFFSET($M$15,0,0,$B$8,1))=DQ$13), 1*(_xlfn._xlws.FILTER(OFFSET($O$15,0,$DO331,$B$8,1),OFFSET($M$15,0,0,$B$8,1))=DQ$14))   /   SUM(OFFSET($BO$15,0,0,$B$14,1)) + $B$18/($B$19*$B$19*($DN331&lt;&gt;$DO331) + $B$19*($DN331=$DO331))</f>
        <v>3.7037037037037035E-4</v>
      </c>
      <c r="DR331" s="10" cm="1">
        <f t="array" aca="1" ref="DR331" ca="1">(1-$B$18)*SUMPRODUCT(OFFSET($BO$15,0,0,$B$14,1), 1*(_xlfn._xlws.FILTER(OFFSET($O$15,0,$DN331,$B$8,1),OFFSET($M$15,0,0,$B$8,1))=DR$13), 1*(_xlfn._xlws.FILTER(OFFSET($O$15,0,$DO331,$B$8,1),OFFSET($M$15,0,0,$B$8,1))=DR$14))   /   SUM(OFFSET($BO$15,0,0,$B$14,1)) + $B$18/($B$19*$B$19*($DN331&lt;&gt;$DO331) + $B$19*($DN331=$DO331))</f>
        <v>3.7037037037037035E-4</v>
      </c>
      <c r="DS331" s="10" cm="1">
        <f t="array" aca="1" ref="DS331" ca="1">(1-$B$18)*SUMPRODUCT(OFFSET($BO$15,0,0,$B$14,1), 1*(_xlfn._xlws.FILTER(OFFSET($O$15,0,$DN331,$B$8,1),OFFSET($M$15,0,0,$B$8,1))=DS$13), 1*(_xlfn._xlws.FILTER(OFFSET($O$15,0,$DO331,$B$8,1),OFFSET($M$15,0,0,$B$8,1))=DS$14))   /   SUM(OFFSET($BO$15,0,0,$B$14,1)) + $B$18/($B$19*$B$19*($DN331&lt;&gt;$DO331) + $B$19*($DN331=$DO331))</f>
        <v>3.7037037037037035E-4</v>
      </c>
      <c r="DT331" s="10" cm="1">
        <f t="array" aca="1" ref="DT331" ca="1">(1-$B$18)*SUMPRODUCT(OFFSET($BO$15,0,0,$B$14,1), 1*(_xlfn._xlws.FILTER(OFFSET($O$15,0,$DN331,$B$8,1),OFFSET($M$15,0,0,$B$8,1))=DT$13), 1*(_xlfn._xlws.FILTER(OFFSET($O$15,0,$DO331,$B$8,1),OFFSET($M$15,0,0,$B$8,1))=DT$14))   /   SUM(OFFSET($BO$15,0,0,$B$14,1)) + $B$18/($B$19*$B$19*($DN331&lt;&gt;$DO331) + $B$19*($DN331=$DO331))</f>
        <v>3.7037037037037035E-4</v>
      </c>
      <c r="DU331" s="10" cm="1">
        <f t="array" aca="1" ref="DU331" ca="1">(1-$B$18)*SUMPRODUCT(OFFSET($BO$15,0,0,$B$14,1), 1*(_xlfn._xlws.FILTER(OFFSET($O$15,0,$DN331,$B$8,1),OFFSET($M$15,0,0,$B$8,1))=DU$13), 1*(_xlfn._xlws.FILTER(OFFSET($O$15,0,$DO331,$B$8,1),OFFSET($M$15,0,0,$B$8,1))=DU$14))   /   SUM(OFFSET($BO$15,0,0,$B$14,1)) + $B$18/($B$19*$B$19*($DN331&lt;&gt;$DO331) + $B$19*($DN331=$DO331))</f>
        <v>3.7037037037037035E-4</v>
      </c>
      <c r="DV331" s="10" cm="1">
        <f t="array" aca="1" ref="DV331" ca="1">(1-$B$18)*SUMPRODUCT(OFFSET($BO$15,0,0,$B$14,1), 1*(_xlfn._xlws.FILTER(OFFSET($O$15,0,$DN331,$B$8,1),OFFSET($M$15,0,0,$B$8,1))=DV$13), 1*(_xlfn._xlws.FILTER(OFFSET($O$15,0,$DO331,$B$8,1),OFFSET($M$15,0,0,$B$8,1))=DV$14))   /   SUM(OFFSET($BO$15,0,0,$B$14,1)) + $B$18/($B$19*$B$19*($DN331&lt;&gt;$DO331) + $B$19*($DN331=$DO331))</f>
        <v>3.7037037037037035E-4</v>
      </c>
      <c r="DW331" s="10" cm="1">
        <f t="array" aca="1" ref="DW331" ca="1">(1-$B$18)*SUMPRODUCT(OFFSET($BO$15,0,0,$B$14,1), 1*(_xlfn._xlws.FILTER(OFFSET($O$15,0,$DN331,$B$8,1),OFFSET($M$15,0,0,$B$8,1))=DW$13), 1*(_xlfn._xlws.FILTER(OFFSET($O$15,0,$DO331,$B$8,1),OFFSET($M$15,0,0,$B$8,1))=DW$14))   /   SUM(OFFSET($BO$15,0,0,$B$14,1)) + $B$18/($B$19*$B$19*($DN331&lt;&gt;$DO331) + $B$19*($DN331=$DO331))</f>
        <v>3.7037037037037035E-4</v>
      </c>
      <c r="DX331" s="10" cm="1">
        <f t="array" aca="1" ref="DX331" ca="1">(1-$B$18)*SUMPRODUCT(OFFSET($BO$15,0,0,$B$14,1), 1*(_xlfn._xlws.FILTER(OFFSET($O$15,0,$DN331,$B$8,1),OFFSET($M$15,0,0,$B$8,1))=DX$13), 1*(_xlfn._xlws.FILTER(OFFSET($O$15,0,$DO331,$B$8,1),OFFSET($M$15,0,0,$B$8,1))=DX$14))   /   SUM(OFFSET($BO$15,0,0,$B$14,1)) + $B$18/($B$19*$B$19*($DN331&lt;&gt;$DO331) + $B$19*($DN331=$DO331))</f>
        <v>3.7037037037037035E-4</v>
      </c>
      <c r="DY331" s="10" cm="1">
        <f t="array" aca="1" ref="DY331" ca="1">(1-$B$18)*SUMPRODUCT(OFFSET($BO$15,0,0,$B$14,1), 1*(_xlfn._xlws.FILTER(OFFSET($O$15,0,$DN331,$B$8,1),OFFSET($M$15,0,0,$B$8,1))=DY$13), 1*(_xlfn._xlws.FILTER(OFFSET($O$15,0,$DO331,$B$8,1),OFFSET($M$15,0,0,$B$8,1))=DY$14))   /   SUM(OFFSET($BO$15,0,0,$B$14,1)) + $B$18/($B$19*$B$19*($DN331&lt;&gt;$DO331) + $B$19*($DN331=$DO331))</f>
        <v>3.7037037037037035E-4</v>
      </c>
      <c r="DZ331" s="10" cm="1">
        <f t="array" aca="1" ref="DZ331" ca="1">(1-$B$18)*SUMPRODUCT(OFFSET($BO$15,0,0,$B$14,1), 1*(_xlfn._xlws.FILTER(OFFSET($O$15,0,$DN331,$B$8,1),OFFSET($M$15,0,0,$B$8,1))=DZ$13), 1*(_xlfn._xlws.FILTER(OFFSET($O$15,0,$DO331,$B$8,1),OFFSET($M$15,0,0,$B$8,1))=DZ$14))   /   SUM(OFFSET($BO$15,0,0,$B$14,1)) + $B$18/($B$19*$B$19*($DN331&lt;&gt;$DO331) + $B$19*($DN331=$DO331))</f>
        <v>3.7037037037037035E-4</v>
      </c>
      <c r="EA331" s="10" cm="1">
        <f t="array" aca="1" ref="EA331" ca="1">(1-$B$18)*SUMPRODUCT(OFFSET($BO$15,0,0,$B$14,1), 1*(_xlfn._xlws.FILTER(OFFSET($O$15,0,$DN331,$B$8,1),OFFSET($M$15,0,0,$B$8,1))=EA$13), 1*(_xlfn._xlws.FILTER(OFFSET($O$15,0,$DO331,$B$8,1),OFFSET($M$15,0,0,$B$8,1))=EA$14))   /   SUM(OFFSET($BO$15,0,0,$B$14,1)) + $B$18/($B$19*$B$19*($DN331&lt;&gt;$DO331) + $B$19*($DN331=$DO331))</f>
        <v>3.7037037037037035E-4</v>
      </c>
      <c r="EB331" s="10" cm="1">
        <f t="array" aca="1" ref="EB331" ca="1">(1-$B$18)*SUMPRODUCT(OFFSET($BO$15,0,0,$B$14,1), 1*(_xlfn._xlws.FILTER(OFFSET($O$15,0,$DN331,$B$8,1),OFFSET($M$15,0,0,$B$8,1))=EB$13), 1*(_xlfn._xlws.FILTER(OFFSET($O$15,0,$DO331,$B$8,1),OFFSET($M$15,0,0,$B$8,1))=EB$14))   /   SUM(OFFSET($BO$15,0,0,$B$14,1)) + $B$18/($B$19*$B$19*($DN331&lt;&gt;$DO331) + $B$19*($DN331=$DO331))</f>
        <v>3.7037037037037035E-4</v>
      </c>
      <c r="EC331" s="10" cm="1">
        <f t="array" aca="1" ref="EC331" ca="1">(1-$B$18)*SUMPRODUCT(OFFSET($BO$15,0,0,$B$14,1), 1*(_xlfn._xlws.FILTER(OFFSET($O$15,0,$DN331,$B$8,1),OFFSET($M$15,0,0,$B$8,1))=EC$13), 1*(_xlfn._xlws.FILTER(OFFSET($O$15,0,$DO331,$B$8,1),OFFSET($M$15,0,0,$B$8,1))=EC$14))   /   SUM(OFFSET($BO$15,0,0,$B$14,1)) + $B$18/($B$19*$B$19*($DN331&lt;&gt;$DO331) + $B$19*($DN331=$DO331))</f>
        <v>3.7037037037037035E-4</v>
      </c>
      <c r="ED331" s="10" cm="1">
        <f t="array" aca="1" ref="ED331" ca="1">(1-$B$18)*SUMPRODUCT(OFFSET($BO$15,0,0,$B$14,1), 1*(_xlfn._xlws.FILTER(OFFSET($O$15,0,$DN331,$B$8,1),OFFSET($M$15,0,0,$B$8,1))=ED$13), 1*(_xlfn._xlws.FILTER(OFFSET($O$15,0,$DO331,$B$8,1),OFFSET($M$15,0,0,$B$8,1))=ED$14))   /   SUM(OFFSET($BO$15,0,0,$B$14,1)) + $B$18/($B$19*$B$19*($DN331&lt;&gt;$DO331) + $B$19*($DN331=$DO331))</f>
        <v>3.7037037037037035E-4</v>
      </c>
      <c r="EE331" s="10" cm="1">
        <f t="array" aca="1" ref="EE331" ca="1">(1-$B$18)*SUMPRODUCT(OFFSET($BO$15,0,0,$B$14,1), 1*(_xlfn._xlws.FILTER(OFFSET($O$15,0,$DN331,$B$8,1),OFFSET($M$15,0,0,$B$8,1))=EE$13), 1*(_xlfn._xlws.FILTER(OFFSET($O$15,0,$DO331,$B$8,1),OFFSET($M$15,0,0,$B$8,1))=EE$14))   /   SUM(OFFSET($BO$15,0,0,$B$14,1)) + $B$18/($B$19*$B$19*($DN331&lt;&gt;$DO331) + $B$19*($DN331=$DO331))</f>
        <v>3.7037037037037035E-4</v>
      </c>
      <c r="EF331" s="10" cm="1">
        <f t="array" aca="1" ref="EF331" ca="1">(1-$B$18)*SUMPRODUCT(OFFSET($BO$15,0,0,$B$14,1), 1*(_xlfn._xlws.FILTER(OFFSET($O$15,0,$DN331,$B$8,1),OFFSET($M$15,0,0,$B$8,1))=EF$13), 1*(_xlfn._xlws.FILTER(OFFSET($O$15,0,$DO331,$B$8,1),OFFSET($M$15,0,0,$B$8,1))=EF$14))   /   SUM(OFFSET($BO$15,0,0,$B$14,1)) + $B$18/($B$19*$B$19*($DN331&lt;&gt;$DO331) + $B$19*($DN331=$DO331))</f>
        <v>3.7037037037037035E-4</v>
      </c>
      <c r="EG331" s="10" cm="1">
        <f t="array" aca="1" ref="EG331" ca="1">(1-$B$18)*SUMPRODUCT(OFFSET($BO$15,0,0,$B$14,1), 1*(_xlfn._xlws.FILTER(OFFSET($O$15,0,$DN331,$B$8,1),OFFSET($M$15,0,0,$B$8,1))=EG$13), 1*(_xlfn._xlws.FILTER(OFFSET($O$15,0,$DO331,$B$8,1),OFFSET($M$15,0,0,$B$8,1))=EG$14))   /   SUM(OFFSET($BO$15,0,0,$B$14,1)) + $B$18/($B$19*$B$19*($DN331&lt;&gt;$DO331) + $B$19*($DN331=$DO331))</f>
        <v>3.7037037037037035E-4</v>
      </c>
      <c r="EH331" s="10" cm="1">
        <f t="array" aca="1" ref="EH331" ca="1">(1-$B$18)*SUMPRODUCT(OFFSET($BO$15,0,0,$B$14,1), 1*(_xlfn._xlws.FILTER(OFFSET($O$15,0,$DN331,$B$8,1),OFFSET($M$15,0,0,$B$8,1))=EH$13), 1*(_xlfn._xlws.FILTER(OFFSET($O$15,0,$DO331,$B$8,1),OFFSET($M$15,0,0,$B$8,1))=EH$14))   /   SUM(OFFSET($BO$15,0,0,$B$14,1)) + $B$18/($B$19*$B$19*($DN331&lt;&gt;$DO331) + $B$19*($DN331=$DO331))</f>
        <v>3.7037037037037035E-4</v>
      </c>
      <c r="EI331" s="10" cm="1">
        <f t="array" aca="1" ref="EI331" ca="1">(1-$B$18)*SUMPRODUCT(OFFSET($BO$15,0,0,$B$14,1), 1*(_xlfn._xlws.FILTER(OFFSET($O$15,0,$DN331,$B$8,1),OFFSET($M$15,0,0,$B$8,1))=EI$13), 1*(_xlfn._xlws.FILTER(OFFSET($O$15,0,$DO331,$B$8,1),OFFSET($M$15,0,0,$B$8,1))=EI$14))   /   SUM(OFFSET($BO$15,0,0,$B$14,1)) + $B$18/($B$19*$B$19*($DN331&lt;&gt;$DO331) + $B$19*($DN331=$DO331))</f>
        <v>3.7037037037037035E-4</v>
      </c>
      <c r="EJ331" s="10" cm="1">
        <f t="array" aca="1" ref="EJ331" ca="1">(1-$B$18)*SUMPRODUCT(OFFSET($BO$15,0,0,$B$14,1), 1*(_xlfn._xlws.FILTER(OFFSET($O$15,0,$DN331,$B$8,1),OFFSET($M$15,0,0,$B$8,1))=EJ$13), 1*(_xlfn._xlws.FILTER(OFFSET($O$15,0,$DO331,$B$8,1),OFFSET($M$15,0,0,$B$8,1))=EJ$14))   /   SUM(OFFSET($BO$15,0,0,$B$14,1)) + $B$18/($B$19*$B$19*($DN331&lt;&gt;$DO331) + $B$19*($DN331=$DO331))</f>
        <v>3.7037037037037035E-4</v>
      </c>
      <c r="EK331" s="10" cm="1">
        <f t="array" aca="1" ref="EK331" ca="1">(1-$B$18)*SUMPRODUCT(OFFSET($BO$15,0,0,$B$14,1), 1*(_xlfn._xlws.FILTER(OFFSET($O$15,0,$DN331,$B$8,1),OFFSET($M$15,0,0,$B$8,1))=EK$13), 1*(_xlfn._xlws.FILTER(OFFSET($O$15,0,$DO331,$B$8,1),OFFSET($M$15,0,0,$B$8,1))=EK$14))   /   SUM(OFFSET($BO$15,0,0,$B$14,1)) + $B$18/($B$19*$B$19*($DN331&lt;&gt;$DO331) + $B$19*($DN331=$DO331))</f>
        <v>3.7037037037037035E-4</v>
      </c>
      <c r="EL331" s="10" cm="1">
        <f t="array" aca="1" ref="EL331" ca="1">(1-$B$18)*SUMPRODUCT(OFFSET($BO$15,0,0,$B$14,1), 1*(_xlfn._xlws.FILTER(OFFSET($O$15,0,$DN331,$B$8,1),OFFSET($M$15,0,0,$B$8,1))=EL$13), 1*(_xlfn._xlws.FILTER(OFFSET($O$15,0,$DO331,$B$8,1),OFFSET($M$15,0,0,$B$8,1))=EL$14))   /   SUM(OFFSET($BO$15,0,0,$B$14,1)) + $B$18/($B$19*$B$19*($DN331&lt;&gt;$DO331) + $B$19*($DN331=$DO331))</f>
        <v>3.7037037037037035E-4</v>
      </c>
      <c r="EM331" s="10" cm="1">
        <f t="array" aca="1" ref="EM331" ca="1">(1-$B$18)*SUMPRODUCT(OFFSET($BO$15,0,0,$B$14,1), 1*(_xlfn._xlws.FILTER(OFFSET($O$15,0,$DN331,$B$8,1),OFFSET($M$15,0,0,$B$8,1))=EM$13), 1*(_xlfn._xlws.FILTER(OFFSET($O$15,0,$DO331,$B$8,1),OFFSET($M$15,0,0,$B$8,1))=EM$14))   /   SUM(OFFSET($BO$15,0,0,$B$14,1)) + $B$18/($B$19*$B$19*($DN331&lt;&gt;$DO331) + $B$19*($DN331=$DO331))</f>
        <v>3.7037037037037035E-4</v>
      </c>
      <c r="EN331" s="10" cm="1">
        <f t="array" aca="1" ref="EN331" ca="1">(1-$B$18)*SUMPRODUCT(OFFSET($BO$15,0,0,$B$14,1), 1*(_xlfn._xlws.FILTER(OFFSET($O$15,0,$DN331,$B$8,1),OFFSET($M$15,0,0,$B$8,1))=EN$13), 1*(_xlfn._xlws.FILTER(OFFSET($O$15,0,$DO331,$B$8,1),OFFSET($M$15,0,0,$B$8,1))=EN$14))   /   SUM(OFFSET($BO$15,0,0,$B$14,1)) + $B$18/($B$19*$B$19*($DN331&lt;&gt;$DO331) + $B$19*($DN331=$DO331))</f>
        <v>3.7037037037037035E-4</v>
      </c>
      <c r="EO331" s="10" cm="1">
        <f t="array" aca="1" ref="EO331" ca="1">(1-$B$18)*SUMPRODUCT(OFFSET($BO$15,0,0,$B$14,1), 1*(_xlfn._xlws.FILTER(OFFSET($O$15,0,$DN331,$B$8,1),OFFSET($M$15,0,0,$B$8,1))=EO$13), 1*(_xlfn._xlws.FILTER(OFFSET($O$15,0,$DO331,$B$8,1),OFFSET($M$15,0,0,$B$8,1))=EO$14))   /   SUM(OFFSET($BO$15,0,0,$B$14,1)) + $B$18/($B$19*$B$19*($DN331&lt;&gt;$DO331) + $B$19*($DN331=$DO331))</f>
        <v>0.97037037037037033</v>
      </c>
      <c r="EP331" s="10" cm="1">
        <f t="array" aca="1" ref="EP331" ca="1">(1-$B$18)*SUMPRODUCT(OFFSET($BO$15,0,0,$B$14,1), 1*(_xlfn._xlws.FILTER(OFFSET($O$15,0,$DN331,$B$8,1),OFFSET($M$15,0,0,$B$8,1))=EP$13), 1*(_xlfn._xlws.FILTER(OFFSET($O$15,0,$DO331,$B$8,1),OFFSET($M$15,0,0,$B$8,1))=EP$14))   /   SUM(OFFSET($BO$15,0,0,$B$14,1)) + $B$18/($B$19*$B$19*($DN331&lt;&gt;$DO331) + $B$19*($DN331=$DO331))</f>
        <v>3.7037037037037035E-4</v>
      </c>
      <c r="EQ331" s="10" cm="1">
        <f t="array" aca="1" ref="EQ331" ca="1">(1-$B$18)*SUMPRODUCT(OFFSET($BO$15,0,0,$B$14,1), 1*(_xlfn._xlws.FILTER(OFFSET($O$15,0,$DN331,$B$8,1),OFFSET($M$15,0,0,$B$8,1))=EQ$13), 1*(_xlfn._xlws.FILTER(OFFSET($O$15,0,$DO331,$B$8,1),OFFSET($M$15,0,0,$B$8,1))=EQ$14))   /   SUM(OFFSET($BO$15,0,0,$B$14,1)) + $B$18/($B$19*$B$19*($DN331&lt;&gt;$DO331) + $B$19*($DN331=$DO331))</f>
        <v>3.7037037037037035E-4</v>
      </c>
      <c r="ER331" s="10" cm="1">
        <f t="array" aca="1" ref="ER331" ca="1">(1-$B$18)*SUMPRODUCT(OFFSET($BO$15,0,0,$B$14,1), 1*(_xlfn._xlws.FILTER(OFFSET($O$15,0,$DN331,$B$8,1),OFFSET($M$15,0,0,$B$8,1))=ER$13), 1*(_xlfn._xlws.FILTER(OFFSET($O$15,0,$DO331,$B$8,1),OFFSET($M$15,0,0,$B$8,1))=ER$14))   /   SUM(OFFSET($BO$15,0,0,$B$14,1)) + $B$18/($B$19*$B$19*($DN331&lt;&gt;$DO331) + $B$19*($DN331=$DO331))</f>
        <v>3.7037037037037035E-4</v>
      </c>
      <c r="ES331" s="10" cm="1">
        <f t="array" aca="1" ref="ES331" ca="1">(1-$B$18)*SUMPRODUCT(OFFSET($BO$15,0,0,$B$14,1), 1*(_xlfn._xlws.FILTER(OFFSET($O$15,0,$DN331,$B$8,1),OFFSET($M$15,0,0,$B$8,1))=ES$13), 1*(_xlfn._xlws.FILTER(OFFSET($O$15,0,$DO331,$B$8,1),OFFSET($M$15,0,0,$B$8,1))=ES$14))   /   SUM(OFFSET($BO$15,0,0,$B$14,1)) + $B$18/($B$19*$B$19*($DN331&lt;&gt;$DO331) + $B$19*($DN331=$DO331))</f>
        <v>3.7037037037037035E-4</v>
      </c>
      <c r="ET331" s="10" cm="1">
        <f t="array" aca="1" ref="ET331" ca="1">(1-$B$18)*SUMPRODUCT(OFFSET($BO$15,0,0,$B$14,1), 1*(_xlfn._xlws.FILTER(OFFSET($O$15,0,$DN331,$B$8,1),OFFSET($M$15,0,0,$B$8,1))=ET$13), 1*(_xlfn._xlws.FILTER(OFFSET($O$15,0,$DO331,$B$8,1),OFFSET($M$15,0,0,$B$8,1))=ET$14))   /   SUM(OFFSET($BO$15,0,0,$B$14,1)) + $B$18/($B$19*$B$19*($DN331&lt;&gt;$DO331) + $B$19*($DN331=$DO331))</f>
        <v>3.7037037037037035E-4</v>
      </c>
      <c r="EU331" s="10" cm="1">
        <f t="array" aca="1" ref="EU331" ca="1">(1-$B$18)*SUMPRODUCT(OFFSET($BO$15,0,0,$B$14,1), 1*(_xlfn._xlws.FILTER(OFFSET($O$15,0,$DN331,$B$8,1),OFFSET($M$15,0,0,$B$8,1))=EU$13), 1*(_xlfn._xlws.FILTER(OFFSET($O$15,0,$DO331,$B$8,1),OFFSET($M$15,0,0,$B$8,1))=EU$14))   /   SUM(OFFSET($BO$15,0,0,$B$14,1)) + $B$18/($B$19*$B$19*($DN331&lt;&gt;$DO331) + $B$19*($DN331=$DO331))</f>
        <v>3.7037037037037035E-4</v>
      </c>
      <c r="EV331" s="10" cm="1">
        <f t="array" aca="1" ref="EV331" ca="1">(1-$B$18)*SUMPRODUCT(OFFSET($BO$15,0,0,$B$14,1), 1*(_xlfn._xlws.FILTER(OFFSET($O$15,0,$DN331,$B$8,1),OFFSET($M$15,0,0,$B$8,1))=EV$13), 1*(_xlfn._xlws.FILTER(OFFSET($O$15,0,$DO331,$B$8,1),OFFSET($M$15,0,0,$B$8,1))=EV$14))   /   SUM(OFFSET($BO$15,0,0,$B$14,1)) + $B$18/($B$19*$B$19*($DN331&lt;&gt;$DO331) + $B$19*($DN331=$DO331))</f>
        <v>3.7037037037037035E-4</v>
      </c>
      <c r="EW331" s="10" cm="1">
        <f t="array" aca="1" ref="EW331" ca="1">(1-$B$18)*SUMPRODUCT(OFFSET($BO$15,0,0,$B$14,1), 1*(_xlfn._xlws.FILTER(OFFSET($O$15,0,$DN331,$B$8,1),OFFSET($M$15,0,0,$B$8,1))=EW$13), 1*(_xlfn._xlws.FILTER(OFFSET($O$15,0,$DO331,$B$8,1),OFFSET($M$15,0,0,$B$8,1))=EW$14))   /   SUM(OFFSET($BO$15,0,0,$B$14,1)) + $B$18/($B$19*$B$19*($DN331&lt;&gt;$DO331) + $B$19*($DN331=$DO331))</f>
        <v>3.7037037037037035E-4</v>
      </c>
      <c r="EX331" s="10" cm="1">
        <f t="array" aca="1" ref="EX331" ca="1">(1-$B$18)*SUMPRODUCT(OFFSET($BO$15,0,0,$B$14,1), 1*(_xlfn._xlws.FILTER(OFFSET($O$15,0,$DN331,$B$8,1),OFFSET($M$15,0,0,$B$8,1))=EX$13), 1*(_xlfn._xlws.FILTER(OFFSET($O$15,0,$DO331,$B$8,1),OFFSET($M$15,0,0,$B$8,1))=EX$14))   /   SUM(OFFSET($BO$15,0,0,$B$14,1)) + $B$18/($B$19*$B$19*($DN331&lt;&gt;$DO331) + $B$19*($DN331=$DO331))</f>
        <v>3.7037037037037035E-4</v>
      </c>
      <c r="EY331" s="10" cm="1">
        <f t="array" aca="1" ref="EY331" ca="1">(1-$B$18)*SUMPRODUCT(OFFSET($BO$15,0,0,$B$14,1), 1*(_xlfn._xlws.FILTER(OFFSET($O$15,0,$DN331,$B$8,1),OFFSET($M$15,0,0,$B$8,1))=EY$13), 1*(_xlfn._xlws.FILTER(OFFSET($O$15,0,$DO331,$B$8,1),OFFSET($M$15,0,0,$B$8,1))=EY$14))   /   SUM(OFFSET($BO$15,0,0,$B$14,1)) + $B$18/($B$19*$B$19*($DN331&lt;&gt;$DO331) + $B$19*($DN331=$DO331))</f>
        <v>3.7037037037037035E-4</v>
      </c>
      <c r="EZ331" s="10" cm="1">
        <f t="array" aca="1" ref="EZ331" ca="1">(1-$B$18)*SUMPRODUCT(OFFSET($BO$15,0,0,$B$14,1), 1*(_xlfn._xlws.FILTER(OFFSET($O$15,0,$DN331,$B$8,1),OFFSET($M$15,0,0,$B$8,1))=EZ$13), 1*(_xlfn._xlws.FILTER(OFFSET($O$15,0,$DO331,$B$8,1),OFFSET($M$15,0,0,$B$8,1))=EZ$14))   /   SUM(OFFSET($BO$15,0,0,$B$14,1)) + $B$18/($B$19*$B$19*($DN331&lt;&gt;$DO331) + $B$19*($DN331=$DO331))</f>
        <v>3.7037037037037035E-4</v>
      </c>
      <c r="FA331" s="10" cm="1">
        <f t="array" aca="1" ref="FA331" ca="1">(1-$B$18)*SUMPRODUCT(OFFSET($BO$15,0,0,$B$14,1), 1*(_xlfn._xlws.FILTER(OFFSET($O$15,0,$DN331,$B$8,1),OFFSET($M$15,0,0,$B$8,1))=FA$13), 1*(_xlfn._xlws.FILTER(OFFSET($O$15,0,$DO331,$B$8,1),OFFSET($M$15,0,0,$B$8,1))=FA$14))   /   SUM(OFFSET($BO$15,0,0,$B$14,1)) + $B$18/($B$19*$B$19*($DN331&lt;&gt;$DO331) + $B$19*($DN331=$DO331))</f>
        <v>3.7037037037037035E-4</v>
      </c>
      <c r="FB331" s="10" cm="1">
        <f t="array" aca="1" ref="FB331" ca="1">(1-$B$18)*SUMPRODUCT(OFFSET($BO$15,0,0,$B$14,1), 1*(_xlfn._xlws.FILTER(OFFSET($O$15,0,$DN331,$B$8,1),OFFSET($M$15,0,0,$B$8,1))=FB$13), 1*(_xlfn._xlws.FILTER(OFFSET($O$15,0,$DO331,$B$8,1),OFFSET($M$15,0,0,$B$8,1))=FB$14))   /   SUM(OFFSET($BO$15,0,0,$B$14,1)) + $B$18/($B$19*$B$19*($DN331&lt;&gt;$DO331) + $B$19*($DN331=$DO331))</f>
        <v>3.7037037037037035E-4</v>
      </c>
      <c r="FC331" s="10" cm="1">
        <f t="array" aca="1" ref="FC331" ca="1">(1-$B$18)*SUMPRODUCT(OFFSET($BO$15,0,0,$B$14,1), 1*(_xlfn._xlws.FILTER(OFFSET($O$15,0,$DN331,$B$8,1),OFFSET($M$15,0,0,$B$8,1))=FC$13), 1*(_xlfn._xlws.FILTER(OFFSET($O$15,0,$DO331,$B$8,1),OFFSET($M$15,0,0,$B$8,1))=FC$14))   /   SUM(OFFSET($BO$15,0,0,$B$14,1)) + $B$18/($B$19*$B$19*($DN331&lt;&gt;$DO331) + $B$19*($DN331=$DO331))</f>
        <v>3.7037037037037035E-4</v>
      </c>
      <c r="FD331" s="10" cm="1">
        <f t="array" aca="1" ref="FD331" ca="1">(1-$B$18)*SUMPRODUCT(OFFSET($BO$15,0,0,$B$14,1), 1*(_xlfn._xlws.FILTER(OFFSET($O$15,0,$DN331,$B$8,1),OFFSET($M$15,0,0,$B$8,1))=FD$13), 1*(_xlfn._xlws.FILTER(OFFSET($O$15,0,$DO331,$B$8,1),OFFSET($M$15,0,0,$B$8,1))=FD$14))   /   SUM(OFFSET($BO$15,0,0,$B$14,1)) + $B$18/($B$19*$B$19*($DN331&lt;&gt;$DO331) + $B$19*($DN331=$DO331))</f>
        <v>3.7037037037037035E-4</v>
      </c>
      <c r="FE331" s="10" cm="1">
        <f t="array" aca="1" ref="FE331" ca="1">(1-$B$18)*SUMPRODUCT(OFFSET($BO$15,0,0,$B$14,1), 1*(_xlfn._xlws.FILTER(OFFSET($O$15,0,$DN331,$B$8,1),OFFSET($M$15,0,0,$B$8,1))=FE$13), 1*(_xlfn._xlws.FILTER(OFFSET($O$15,0,$DO331,$B$8,1),OFFSET($M$15,0,0,$B$8,1))=FE$14))   /   SUM(OFFSET($BO$15,0,0,$B$14,1)) + $B$18/($B$19*$B$19*($DN331&lt;&gt;$DO331) + $B$19*($DN331=$DO331))</f>
        <v>3.7037037037037035E-4</v>
      </c>
      <c r="FF331" s="10" cm="1">
        <f t="array" aca="1" ref="FF331" ca="1">(1-$B$18)*SUMPRODUCT(OFFSET($BO$15,0,0,$B$14,1), 1*(_xlfn._xlws.FILTER(OFFSET($O$15,0,$DN331,$B$8,1),OFFSET($M$15,0,0,$B$8,1))=FF$13), 1*(_xlfn._xlws.FILTER(OFFSET($O$15,0,$DO331,$B$8,1),OFFSET($M$15,0,0,$B$8,1))=FF$14))   /   SUM(OFFSET($BO$15,0,0,$B$14,1)) + $B$18/($B$19*$B$19*($DN331&lt;&gt;$DO331) + $B$19*($DN331=$DO331))</f>
        <v>3.7037037037037035E-4</v>
      </c>
      <c r="FG331" s="10" cm="1">
        <f t="array" aca="1" ref="FG331" ca="1">(1-$B$18)*SUMPRODUCT(OFFSET($BO$15,0,0,$B$14,1), 1*(_xlfn._xlws.FILTER(OFFSET($O$15,0,$DN331,$B$8,1),OFFSET($M$15,0,0,$B$8,1))=FG$13), 1*(_xlfn._xlws.FILTER(OFFSET($O$15,0,$DO331,$B$8,1),OFFSET($M$15,0,0,$B$8,1))=FG$14))   /   SUM(OFFSET($BO$15,0,0,$B$14,1)) + $B$18/($B$19*$B$19*($DN331&lt;&gt;$DO331) + $B$19*($DN331=$DO331))</f>
        <v>3.7037037037037035E-4</v>
      </c>
      <c r="FH331" s="10" cm="1">
        <f t="array" aca="1" ref="FH331" ca="1">(1-$B$18)*SUMPRODUCT(OFFSET($BO$15,0,0,$B$14,1), 1*(_xlfn._xlws.FILTER(OFFSET($O$15,0,$DN331,$B$8,1),OFFSET($M$15,0,0,$B$8,1))=FH$13), 1*(_xlfn._xlws.FILTER(OFFSET($O$15,0,$DO331,$B$8,1),OFFSET($M$15,0,0,$B$8,1))=FH$14))   /   SUM(OFFSET($BO$15,0,0,$B$14,1)) + $B$18/($B$19*$B$19*($DN331&lt;&gt;$DO331) + $B$19*($DN331=$DO331))</f>
        <v>3.7037037037037035E-4</v>
      </c>
      <c r="FI331" s="10" cm="1">
        <f t="array" aca="1" ref="FI331" ca="1">(1-$B$18)*SUMPRODUCT(OFFSET($BO$15,0,0,$B$14,1), 1*(_xlfn._xlws.FILTER(OFFSET($O$15,0,$DN331,$B$8,1),OFFSET($M$15,0,0,$B$8,1))=FI$13), 1*(_xlfn._xlws.FILTER(OFFSET($O$15,0,$DO331,$B$8,1),OFFSET($M$15,0,0,$B$8,1))=FI$14))   /   SUM(OFFSET($BO$15,0,0,$B$14,1)) + $B$18/($B$19*$B$19*($DN331&lt;&gt;$DO331) + $B$19*($DN331=$DO331))</f>
        <v>3.7037037037037035E-4</v>
      </c>
      <c r="FJ331" s="10" cm="1">
        <f t="array" aca="1" ref="FJ331" ca="1">(1-$B$18)*SUMPRODUCT(OFFSET($BO$15,0,0,$B$14,1), 1*(_xlfn._xlws.FILTER(OFFSET($O$15,0,$DN331,$B$8,1),OFFSET($M$15,0,0,$B$8,1))=FJ$13), 1*(_xlfn._xlws.FILTER(OFFSET($O$15,0,$DO331,$B$8,1),OFFSET($M$15,0,0,$B$8,1))=FJ$14))   /   SUM(OFFSET($BO$15,0,0,$B$14,1)) + $B$18/($B$19*$B$19*($DN331&lt;&gt;$DO331) + $B$19*($DN331=$DO331))</f>
        <v>3.7037037037037035E-4</v>
      </c>
      <c r="FK331" s="10" cm="1">
        <f t="array" aca="1" ref="FK331" ca="1">(1-$B$18)*SUMPRODUCT(OFFSET($BO$15,0,0,$B$14,1), 1*(_xlfn._xlws.FILTER(OFFSET($O$15,0,$DN331,$B$8,1),OFFSET($M$15,0,0,$B$8,1))=FK$13), 1*(_xlfn._xlws.FILTER(OFFSET($O$15,0,$DO331,$B$8,1),OFFSET($M$15,0,0,$B$8,1))=FK$14))   /   SUM(OFFSET($BO$15,0,0,$B$14,1)) + $B$18/($B$19*$B$19*($DN331&lt;&gt;$DO331) + $B$19*($DN331=$DO331))</f>
        <v>3.7037037037037035E-4</v>
      </c>
      <c r="FL331" s="10" cm="1">
        <f t="array" aca="1" ref="FL331" ca="1">(1-$B$18)*SUMPRODUCT(OFFSET($BO$15,0,0,$B$14,1), 1*(_xlfn._xlws.FILTER(OFFSET($O$15,0,$DN331,$B$8,1),OFFSET($M$15,0,0,$B$8,1))=FL$13), 1*(_xlfn._xlws.FILTER(OFFSET($O$15,0,$DO331,$B$8,1),OFFSET($M$15,0,0,$B$8,1))=FL$14))   /   SUM(OFFSET($BO$15,0,0,$B$14,1)) + $B$18/($B$19*$B$19*($DN331&lt;&gt;$DO331) + $B$19*($DN331=$DO331))</f>
        <v>3.7037037037037035E-4</v>
      </c>
      <c r="FM331" s="10" cm="1">
        <f t="array" aca="1" ref="FM331" ca="1">(1-$B$18)*SUMPRODUCT(OFFSET($BO$15,0,0,$B$14,1), 1*(_xlfn._xlws.FILTER(OFFSET($O$15,0,$DN331,$B$8,1),OFFSET($M$15,0,0,$B$8,1))=FM$13), 1*(_xlfn._xlws.FILTER(OFFSET($O$15,0,$DO331,$B$8,1),OFFSET($M$15,0,0,$B$8,1))=FM$14))   /   SUM(OFFSET($BO$15,0,0,$B$14,1)) + $B$18/($B$19*$B$19*($DN331&lt;&gt;$DO331) + $B$19*($DN331=$DO331))</f>
        <v>3.7037037037037035E-4</v>
      </c>
      <c r="FN331" s="10" cm="1">
        <f t="array" aca="1" ref="FN331" ca="1">(1-$B$18)*SUMPRODUCT(OFFSET($BO$15,0,0,$B$14,1), 1*(_xlfn._xlws.FILTER(OFFSET($O$15,0,$DN331,$B$8,1),OFFSET($M$15,0,0,$B$8,1))=FN$13), 1*(_xlfn._xlws.FILTER(OFFSET($O$15,0,$DO331,$B$8,1),OFFSET($M$15,0,0,$B$8,1))=FN$14))   /   SUM(OFFSET($BO$15,0,0,$B$14,1)) + $B$18/($B$19*$B$19*($DN331&lt;&gt;$DO331) + $B$19*($DN331=$DO331))</f>
        <v>3.7037037037037035E-4</v>
      </c>
      <c r="FO331" s="10" cm="1">
        <f t="array" aca="1" ref="FO331" ca="1">(1-$B$18)*SUMPRODUCT(OFFSET($BO$15,0,0,$B$14,1), 1*(_xlfn._xlws.FILTER(OFFSET($O$15,0,$DN331,$B$8,1),OFFSET($M$15,0,0,$B$8,1))=FO$13), 1*(_xlfn._xlws.FILTER(OFFSET($O$15,0,$DO331,$B$8,1),OFFSET($M$15,0,0,$B$8,1))=FO$14))   /   SUM(OFFSET($BO$15,0,0,$B$14,1)) + $B$18/($B$19*$B$19*($DN331&lt;&gt;$DO331) + $B$19*($DN331=$DO331))</f>
        <v>3.7037037037037035E-4</v>
      </c>
      <c r="FP331" s="10" cm="1">
        <f t="array" aca="1" ref="FP331" ca="1">(1-$B$18)*SUMPRODUCT(OFFSET($BO$15,0,0,$B$14,1), 1*(_xlfn._xlws.FILTER(OFFSET($O$15,0,$DN331,$B$8,1),OFFSET($M$15,0,0,$B$8,1))=FP$13), 1*(_xlfn._xlws.FILTER(OFFSET($O$15,0,$DO331,$B$8,1),OFFSET($M$15,0,0,$B$8,1))=FP$14))   /   SUM(OFFSET($BO$15,0,0,$B$14,1)) + $B$18/($B$19*$B$19*($DN331&lt;&gt;$DO331) + $B$19*($DN331=$DO331))</f>
        <v>3.7037037037037035E-4</v>
      </c>
      <c r="FQ331" s="10" cm="1">
        <f t="array" aca="1" ref="FQ331" ca="1">(1-$B$18)*SUMPRODUCT(OFFSET($BO$15,0,0,$B$14,1), 1*(_xlfn._xlws.FILTER(OFFSET($O$15,0,$DN331,$B$8,1),OFFSET($M$15,0,0,$B$8,1))=FQ$13), 1*(_xlfn._xlws.FILTER(OFFSET($O$15,0,$DO331,$B$8,1),OFFSET($M$15,0,0,$B$8,1))=FQ$14))   /   SUM(OFFSET($BO$15,0,0,$B$14,1)) + $B$18/($B$19*$B$19*($DN331&lt;&gt;$DO331) + $B$19*($DN331=$DO331))</f>
        <v>3.7037037037037035E-4</v>
      </c>
      <c r="FR331" s="10" cm="1">
        <f t="array" aca="1" ref="FR331" ca="1">(1-$B$18)*SUMPRODUCT(OFFSET($BO$15,0,0,$B$14,1), 1*(_xlfn._xlws.FILTER(OFFSET($O$15,0,$DN331,$B$8,1),OFFSET($M$15,0,0,$B$8,1))=FR$13), 1*(_xlfn._xlws.FILTER(OFFSET($O$15,0,$DO331,$B$8,1),OFFSET($M$15,0,0,$B$8,1))=FR$14))   /   SUM(OFFSET($BO$15,0,0,$B$14,1)) + $B$18/($B$19*$B$19*($DN331&lt;&gt;$DO331) + $B$19*($DN331=$DO331))</f>
        <v>3.7037037037037035E-4</v>
      </c>
      <c r="FS331" s="10" cm="1">
        <f t="array" aca="1" ref="FS331" ca="1">(1-$B$18)*SUMPRODUCT(OFFSET($BO$15,0,0,$B$14,1), 1*(_xlfn._xlws.FILTER(OFFSET($O$15,0,$DN331,$B$8,1),OFFSET($M$15,0,0,$B$8,1))=FS$13), 1*(_xlfn._xlws.FILTER(OFFSET($O$15,0,$DO331,$B$8,1),OFFSET($M$15,0,0,$B$8,1))=FS$14))   /   SUM(OFFSET($BO$15,0,0,$B$14,1)) + $B$18/($B$19*$B$19*($DN331&lt;&gt;$DO331) + $B$19*($DN331=$DO331))</f>
        <v>3.7037037037037035E-4</v>
      </c>
      <c r="FT331" s="10" cm="1">
        <f t="array" aca="1" ref="FT331" ca="1">(1-$B$18)*SUMPRODUCT(OFFSET($BO$15,0,0,$B$14,1), 1*(_xlfn._xlws.FILTER(OFFSET($O$15,0,$DN331,$B$8,1),OFFSET($M$15,0,0,$B$8,1))=FT$13), 1*(_xlfn._xlws.FILTER(OFFSET($O$15,0,$DO331,$B$8,1),OFFSET($M$15,0,0,$B$8,1))=FT$14))   /   SUM(OFFSET($BO$15,0,0,$B$14,1)) + $B$18/($B$19*$B$19*($DN331&lt;&gt;$DO331) + $B$19*($DN331=$DO331))</f>
        <v>3.7037037037037035E-4</v>
      </c>
      <c r="FU331" s="10" cm="1">
        <f t="array" aca="1" ref="FU331" ca="1">(1-$B$18)*SUMPRODUCT(OFFSET($BO$15,0,0,$B$14,1), 1*(_xlfn._xlws.FILTER(OFFSET($O$15,0,$DN331,$B$8,1),OFFSET($M$15,0,0,$B$8,1))=FU$13), 1*(_xlfn._xlws.FILTER(OFFSET($O$15,0,$DO331,$B$8,1),OFFSET($M$15,0,0,$B$8,1))=FU$14))   /   SUM(OFFSET($BO$15,0,0,$B$14,1)) + $B$18/($B$19*$B$19*($DN331&lt;&gt;$DO331) + $B$19*($DN331=$DO331))</f>
        <v>3.7037037037037035E-4</v>
      </c>
      <c r="FV331" s="10" cm="1">
        <f t="array" aca="1" ref="FV331" ca="1">(1-$B$18)*SUMPRODUCT(OFFSET($BO$15,0,0,$B$14,1), 1*(_xlfn._xlws.FILTER(OFFSET($O$15,0,$DN331,$B$8,1),OFFSET($M$15,0,0,$B$8,1))=FV$13), 1*(_xlfn._xlws.FILTER(OFFSET($O$15,0,$DO331,$B$8,1),OFFSET($M$15,0,0,$B$8,1))=FV$14))   /   SUM(OFFSET($BO$15,0,0,$B$14,1)) + $B$18/($B$19*$B$19*($DN331&lt;&gt;$DO331) + $B$19*($DN331=$DO331))</f>
        <v>3.7037037037037035E-4</v>
      </c>
      <c r="FW331" s="10" cm="1">
        <f t="array" aca="1" ref="FW331" ca="1">(1-$B$18)*SUMPRODUCT(OFFSET($BO$15,0,0,$B$14,1), 1*(_xlfn._xlws.FILTER(OFFSET($O$15,0,$DN331,$B$8,1),OFFSET($M$15,0,0,$B$8,1))=FW$13), 1*(_xlfn._xlws.FILTER(OFFSET($O$15,0,$DO331,$B$8,1),OFFSET($M$15,0,0,$B$8,1))=FW$14))   /   SUM(OFFSET($BO$15,0,0,$B$14,1)) + $B$18/($B$19*$B$19*($DN331&lt;&gt;$DO331) + $B$19*($DN331=$DO331))</f>
        <v>3.7037037037037035E-4</v>
      </c>
      <c r="FX331" s="10" cm="1">
        <f t="array" aca="1" ref="FX331" ca="1">(1-$B$18)*SUMPRODUCT(OFFSET($BO$15,0,0,$B$14,1), 1*(_xlfn._xlws.FILTER(OFFSET($O$15,0,$DN331,$B$8,1),OFFSET($M$15,0,0,$B$8,1))=FX$13), 1*(_xlfn._xlws.FILTER(OFFSET($O$15,0,$DO331,$B$8,1),OFFSET($M$15,0,0,$B$8,1))=FX$14))   /   SUM(OFFSET($BO$15,0,0,$B$14,1)) + $B$18/($B$19*$B$19*($DN331&lt;&gt;$DO331) + $B$19*($DN331=$DO331))</f>
        <v>3.7037037037037035E-4</v>
      </c>
      <c r="FY331" s="10" cm="1">
        <f t="array" aca="1" ref="FY331" ca="1">(1-$B$18)*SUMPRODUCT(OFFSET($BO$15,0,0,$B$14,1), 1*(_xlfn._xlws.FILTER(OFFSET($O$15,0,$DN331,$B$8,1),OFFSET($M$15,0,0,$B$8,1))=FY$13), 1*(_xlfn._xlws.FILTER(OFFSET($O$15,0,$DO331,$B$8,1),OFFSET($M$15,0,0,$B$8,1))=FY$14))   /   SUM(OFFSET($BO$15,0,0,$B$14,1)) + $B$18/($B$19*$B$19*($DN331&lt;&gt;$DO331) + $B$19*($DN331=$DO331))</f>
        <v>3.7037037037037035E-4</v>
      </c>
      <c r="FZ331" s="10" cm="1">
        <f t="array" aca="1" ref="FZ331" ca="1">(1-$B$18)*SUMPRODUCT(OFFSET($BO$15,0,0,$B$14,1), 1*(_xlfn._xlws.FILTER(OFFSET($O$15,0,$DN331,$B$8,1),OFFSET($M$15,0,0,$B$8,1))=FZ$13), 1*(_xlfn._xlws.FILTER(OFFSET($O$15,0,$DO331,$B$8,1),OFFSET($M$15,0,0,$B$8,1))=FZ$14))   /   SUM(OFFSET($BO$15,0,0,$B$14,1)) + $B$18/($B$19*$B$19*($DN331&lt;&gt;$DO331) + $B$19*($DN331=$DO331))</f>
        <v>3.7037037037037035E-4</v>
      </c>
      <c r="GA331" s="10" cm="1">
        <f t="array" aca="1" ref="GA331" ca="1">(1-$B$18)*SUMPRODUCT(OFFSET($BO$15,0,0,$B$14,1), 1*(_xlfn._xlws.FILTER(OFFSET($O$15,0,$DN331,$B$8,1),OFFSET($M$15,0,0,$B$8,1))=GA$13), 1*(_xlfn._xlws.FILTER(OFFSET($O$15,0,$DO331,$B$8,1),OFFSET($M$15,0,0,$B$8,1))=GA$14))   /   SUM(OFFSET($BO$15,0,0,$B$14,1)) + $B$18/($B$19*$B$19*($DN331&lt;&gt;$DO331) + $B$19*($DN331=$DO331))</f>
        <v>3.7037037037037035E-4</v>
      </c>
    </row>
    <row r="332" spans="118:183" x14ac:dyDescent="0.2">
      <c r="DN332" cm="1">
        <f t="array" aca="1" ref="DN332" ca="1">INDEX(_xlfn.ANCHORARRAY($CP$15), 1 + INT((ROWS($DO$15:$DO332) - 1) / ROWS(_xlfn.ANCHORARRAY($CP$15))))</f>
        <v>19</v>
      </c>
      <c r="DO332" cm="1">
        <f t="array" aca="1" ref="DO332" ca="1">INDEX(_xlfn.ANCHORARRAY($CP$15),1+MOD(ROWS($DO$15:$DO332)-1,ROWS(_xlfn.ANCHORARRAY($CP$15))))</f>
        <v>14</v>
      </c>
      <c r="DP332" s="10" cm="1">
        <f t="array" aca="1" ref="DP332" ca="1">(1-$B$18)*SUMPRODUCT(OFFSET($BO$15,0,0,$B$14,1), 1*(_xlfn._xlws.FILTER(OFFSET($O$15,0,$DN332,$B$8,1),OFFSET($M$15,0,0,$B$8,1))=DP$13), 1*(_xlfn._xlws.FILTER(OFFSET($O$15,0,$DO332,$B$8,1),OFFSET($M$15,0,0,$B$8,1))=DP$14))   /   SUM(OFFSET($BO$15,0,0,$B$14,1)) + $B$18/($B$19*$B$19*($DN332&lt;&gt;$DO332) + $B$19*($DN332=$DO332))</f>
        <v>3.7037037037037035E-4</v>
      </c>
      <c r="DQ332" s="10" cm="1">
        <f t="array" aca="1" ref="DQ332" ca="1">(1-$B$18)*SUMPRODUCT(OFFSET($BO$15,0,0,$B$14,1), 1*(_xlfn._xlws.FILTER(OFFSET($O$15,0,$DN332,$B$8,1),OFFSET($M$15,0,0,$B$8,1))=DQ$13), 1*(_xlfn._xlws.FILTER(OFFSET($O$15,0,$DO332,$B$8,1),OFFSET($M$15,0,0,$B$8,1))=DQ$14))   /   SUM(OFFSET($BO$15,0,0,$B$14,1)) + $B$18/($B$19*$B$19*($DN332&lt;&gt;$DO332) + $B$19*($DN332=$DO332))</f>
        <v>3.7037037037037035E-4</v>
      </c>
      <c r="DR332" s="10" cm="1">
        <f t="array" aca="1" ref="DR332" ca="1">(1-$B$18)*SUMPRODUCT(OFFSET($BO$15,0,0,$B$14,1), 1*(_xlfn._xlws.FILTER(OFFSET($O$15,0,$DN332,$B$8,1),OFFSET($M$15,0,0,$B$8,1))=DR$13), 1*(_xlfn._xlws.FILTER(OFFSET($O$15,0,$DO332,$B$8,1),OFFSET($M$15,0,0,$B$8,1))=DR$14))   /   SUM(OFFSET($BO$15,0,0,$B$14,1)) + $B$18/($B$19*$B$19*($DN332&lt;&gt;$DO332) + $B$19*($DN332=$DO332))</f>
        <v>3.7037037037037035E-4</v>
      </c>
      <c r="DS332" s="10" cm="1">
        <f t="array" aca="1" ref="DS332" ca="1">(1-$B$18)*SUMPRODUCT(OFFSET($BO$15,0,0,$B$14,1), 1*(_xlfn._xlws.FILTER(OFFSET($O$15,0,$DN332,$B$8,1),OFFSET($M$15,0,0,$B$8,1))=DS$13), 1*(_xlfn._xlws.FILTER(OFFSET($O$15,0,$DO332,$B$8,1),OFFSET($M$15,0,0,$B$8,1))=DS$14))   /   SUM(OFFSET($BO$15,0,0,$B$14,1)) + $B$18/($B$19*$B$19*($DN332&lt;&gt;$DO332) + $B$19*($DN332=$DO332))</f>
        <v>3.7037037037037035E-4</v>
      </c>
      <c r="DT332" s="10" cm="1">
        <f t="array" aca="1" ref="DT332" ca="1">(1-$B$18)*SUMPRODUCT(OFFSET($BO$15,0,0,$B$14,1), 1*(_xlfn._xlws.FILTER(OFFSET($O$15,0,$DN332,$B$8,1),OFFSET($M$15,0,0,$B$8,1))=DT$13), 1*(_xlfn._xlws.FILTER(OFFSET($O$15,0,$DO332,$B$8,1),OFFSET($M$15,0,0,$B$8,1))=DT$14))   /   SUM(OFFSET($BO$15,0,0,$B$14,1)) + $B$18/($B$19*$B$19*($DN332&lt;&gt;$DO332) + $B$19*($DN332=$DO332))</f>
        <v>3.7037037037037035E-4</v>
      </c>
      <c r="DU332" s="10" cm="1">
        <f t="array" aca="1" ref="DU332" ca="1">(1-$B$18)*SUMPRODUCT(OFFSET($BO$15,0,0,$B$14,1), 1*(_xlfn._xlws.FILTER(OFFSET($O$15,0,$DN332,$B$8,1),OFFSET($M$15,0,0,$B$8,1))=DU$13), 1*(_xlfn._xlws.FILTER(OFFSET($O$15,0,$DO332,$B$8,1),OFFSET($M$15,0,0,$B$8,1))=DU$14))   /   SUM(OFFSET($BO$15,0,0,$B$14,1)) + $B$18/($B$19*$B$19*($DN332&lt;&gt;$DO332) + $B$19*($DN332=$DO332))</f>
        <v>3.7037037037037035E-4</v>
      </c>
      <c r="DV332" s="10" cm="1">
        <f t="array" aca="1" ref="DV332" ca="1">(1-$B$18)*SUMPRODUCT(OFFSET($BO$15,0,0,$B$14,1), 1*(_xlfn._xlws.FILTER(OFFSET($O$15,0,$DN332,$B$8,1),OFFSET($M$15,0,0,$B$8,1))=DV$13), 1*(_xlfn._xlws.FILTER(OFFSET($O$15,0,$DO332,$B$8,1),OFFSET($M$15,0,0,$B$8,1))=DV$14))   /   SUM(OFFSET($BO$15,0,0,$B$14,1)) + $B$18/($B$19*$B$19*($DN332&lt;&gt;$DO332) + $B$19*($DN332=$DO332))</f>
        <v>3.7037037037037035E-4</v>
      </c>
      <c r="DW332" s="10" cm="1">
        <f t="array" aca="1" ref="DW332" ca="1">(1-$B$18)*SUMPRODUCT(OFFSET($BO$15,0,0,$B$14,1), 1*(_xlfn._xlws.FILTER(OFFSET($O$15,0,$DN332,$B$8,1),OFFSET($M$15,0,0,$B$8,1))=DW$13), 1*(_xlfn._xlws.FILTER(OFFSET($O$15,0,$DO332,$B$8,1),OFFSET($M$15,0,0,$B$8,1))=DW$14))   /   SUM(OFFSET($BO$15,0,0,$B$14,1)) + $B$18/($B$19*$B$19*($DN332&lt;&gt;$DO332) + $B$19*($DN332=$DO332))</f>
        <v>3.7037037037037035E-4</v>
      </c>
      <c r="DX332" s="10" cm="1">
        <f t="array" aca="1" ref="DX332" ca="1">(1-$B$18)*SUMPRODUCT(OFFSET($BO$15,0,0,$B$14,1), 1*(_xlfn._xlws.FILTER(OFFSET($O$15,0,$DN332,$B$8,1),OFFSET($M$15,0,0,$B$8,1))=DX$13), 1*(_xlfn._xlws.FILTER(OFFSET($O$15,0,$DO332,$B$8,1),OFFSET($M$15,0,0,$B$8,1))=DX$14))   /   SUM(OFFSET($BO$15,0,0,$B$14,1)) + $B$18/($B$19*$B$19*($DN332&lt;&gt;$DO332) + $B$19*($DN332=$DO332))</f>
        <v>3.7037037037037035E-4</v>
      </c>
      <c r="DY332" s="10" cm="1">
        <f t="array" aca="1" ref="DY332" ca="1">(1-$B$18)*SUMPRODUCT(OFFSET($BO$15,0,0,$B$14,1), 1*(_xlfn._xlws.FILTER(OFFSET($O$15,0,$DN332,$B$8,1),OFFSET($M$15,0,0,$B$8,1))=DY$13), 1*(_xlfn._xlws.FILTER(OFFSET($O$15,0,$DO332,$B$8,1),OFFSET($M$15,0,0,$B$8,1))=DY$14))   /   SUM(OFFSET($BO$15,0,0,$B$14,1)) + $B$18/($B$19*$B$19*($DN332&lt;&gt;$DO332) + $B$19*($DN332=$DO332))</f>
        <v>3.7037037037037035E-4</v>
      </c>
      <c r="DZ332" s="10" cm="1">
        <f t="array" aca="1" ref="DZ332" ca="1">(1-$B$18)*SUMPRODUCT(OFFSET($BO$15,0,0,$B$14,1), 1*(_xlfn._xlws.FILTER(OFFSET($O$15,0,$DN332,$B$8,1),OFFSET($M$15,0,0,$B$8,1))=DZ$13), 1*(_xlfn._xlws.FILTER(OFFSET($O$15,0,$DO332,$B$8,1),OFFSET($M$15,0,0,$B$8,1))=DZ$14))   /   SUM(OFFSET($BO$15,0,0,$B$14,1)) + $B$18/($B$19*$B$19*($DN332&lt;&gt;$DO332) + $B$19*($DN332=$DO332))</f>
        <v>3.7037037037037035E-4</v>
      </c>
      <c r="EA332" s="10" cm="1">
        <f t="array" aca="1" ref="EA332" ca="1">(1-$B$18)*SUMPRODUCT(OFFSET($BO$15,0,0,$B$14,1), 1*(_xlfn._xlws.FILTER(OFFSET($O$15,0,$DN332,$B$8,1),OFFSET($M$15,0,0,$B$8,1))=EA$13), 1*(_xlfn._xlws.FILTER(OFFSET($O$15,0,$DO332,$B$8,1),OFFSET($M$15,0,0,$B$8,1))=EA$14))   /   SUM(OFFSET($BO$15,0,0,$B$14,1)) + $B$18/($B$19*$B$19*($DN332&lt;&gt;$DO332) + $B$19*($DN332=$DO332))</f>
        <v>3.7037037037037035E-4</v>
      </c>
      <c r="EB332" s="10" cm="1">
        <f t="array" aca="1" ref="EB332" ca="1">(1-$B$18)*SUMPRODUCT(OFFSET($BO$15,0,0,$B$14,1), 1*(_xlfn._xlws.FILTER(OFFSET($O$15,0,$DN332,$B$8,1),OFFSET($M$15,0,0,$B$8,1))=EB$13), 1*(_xlfn._xlws.FILTER(OFFSET($O$15,0,$DO332,$B$8,1),OFFSET($M$15,0,0,$B$8,1))=EB$14))   /   SUM(OFFSET($BO$15,0,0,$B$14,1)) + $B$18/($B$19*$B$19*($DN332&lt;&gt;$DO332) + $B$19*($DN332=$DO332))</f>
        <v>3.7037037037037035E-4</v>
      </c>
      <c r="EC332" s="10" cm="1">
        <f t="array" aca="1" ref="EC332" ca="1">(1-$B$18)*SUMPRODUCT(OFFSET($BO$15,0,0,$B$14,1), 1*(_xlfn._xlws.FILTER(OFFSET($O$15,0,$DN332,$B$8,1),OFFSET($M$15,0,0,$B$8,1))=EC$13), 1*(_xlfn._xlws.FILTER(OFFSET($O$15,0,$DO332,$B$8,1),OFFSET($M$15,0,0,$B$8,1))=EC$14))   /   SUM(OFFSET($BO$15,0,0,$B$14,1)) + $B$18/($B$19*$B$19*($DN332&lt;&gt;$DO332) + $B$19*($DN332=$DO332))</f>
        <v>3.7037037037037035E-4</v>
      </c>
      <c r="ED332" s="10" cm="1">
        <f t="array" aca="1" ref="ED332" ca="1">(1-$B$18)*SUMPRODUCT(OFFSET($BO$15,0,0,$B$14,1), 1*(_xlfn._xlws.FILTER(OFFSET($O$15,0,$DN332,$B$8,1),OFFSET($M$15,0,0,$B$8,1))=ED$13), 1*(_xlfn._xlws.FILTER(OFFSET($O$15,0,$DO332,$B$8,1),OFFSET($M$15,0,0,$B$8,1))=ED$14))   /   SUM(OFFSET($BO$15,0,0,$B$14,1)) + $B$18/($B$19*$B$19*($DN332&lt;&gt;$DO332) + $B$19*($DN332=$DO332))</f>
        <v>3.7037037037037035E-4</v>
      </c>
      <c r="EE332" s="10" cm="1">
        <f t="array" aca="1" ref="EE332" ca="1">(1-$B$18)*SUMPRODUCT(OFFSET($BO$15,0,0,$B$14,1), 1*(_xlfn._xlws.FILTER(OFFSET($O$15,0,$DN332,$B$8,1),OFFSET($M$15,0,0,$B$8,1))=EE$13), 1*(_xlfn._xlws.FILTER(OFFSET($O$15,0,$DO332,$B$8,1),OFFSET($M$15,0,0,$B$8,1))=EE$14))   /   SUM(OFFSET($BO$15,0,0,$B$14,1)) + $B$18/($B$19*$B$19*($DN332&lt;&gt;$DO332) + $B$19*($DN332=$DO332))</f>
        <v>3.7037037037037035E-4</v>
      </c>
      <c r="EF332" s="10" cm="1">
        <f t="array" aca="1" ref="EF332" ca="1">(1-$B$18)*SUMPRODUCT(OFFSET($BO$15,0,0,$B$14,1), 1*(_xlfn._xlws.FILTER(OFFSET($O$15,0,$DN332,$B$8,1),OFFSET($M$15,0,0,$B$8,1))=EF$13), 1*(_xlfn._xlws.FILTER(OFFSET($O$15,0,$DO332,$B$8,1),OFFSET($M$15,0,0,$B$8,1))=EF$14))   /   SUM(OFFSET($BO$15,0,0,$B$14,1)) + $B$18/($B$19*$B$19*($DN332&lt;&gt;$DO332) + $B$19*($DN332=$DO332))</f>
        <v>3.7037037037037035E-4</v>
      </c>
      <c r="EG332" s="10" cm="1">
        <f t="array" aca="1" ref="EG332" ca="1">(1-$B$18)*SUMPRODUCT(OFFSET($BO$15,0,0,$B$14,1), 1*(_xlfn._xlws.FILTER(OFFSET($O$15,0,$DN332,$B$8,1),OFFSET($M$15,0,0,$B$8,1))=EG$13), 1*(_xlfn._xlws.FILTER(OFFSET($O$15,0,$DO332,$B$8,1),OFFSET($M$15,0,0,$B$8,1))=EG$14))   /   SUM(OFFSET($BO$15,0,0,$B$14,1)) + $B$18/($B$19*$B$19*($DN332&lt;&gt;$DO332) + $B$19*($DN332=$DO332))</f>
        <v>3.7037037037037035E-4</v>
      </c>
      <c r="EH332" s="10" cm="1">
        <f t="array" aca="1" ref="EH332" ca="1">(1-$B$18)*SUMPRODUCT(OFFSET($BO$15,0,0,$B$14,1), 1*(_xlfn._xlws.FILTER(OFFSET($O$15,0,$DN332,$B$8,1),OFFSET($M$15,0,0,$B$8,1))=EH$13), 1*(_xlfn._xlws.FILTER(OFFSET($O$15,0,$DO332,$B$8,1),OFFSET($M$15,0,0,$B$8,1))=EH$14))   /   SUM(OFFSET($BO$15,0,0,$B$14,1)) + $B$18/($B$19*$B$19*($DN332&lt;&gt;$DO332) + $B$19*($DN332=$DO332))</f>
        <v>3.7037037037037035E-4</v>
      </c>
      <c r="EI332" s="10" cm="1">
        <f t="array" aca="1" ref="EI332" ca="1">(1-$B$18)*SUMPRODUCT(OFFSET($BO$15,0,0,$B$14,1), 1*(_xlfn._xlws.FILTER(OFFSET($O$15,0,$DN332,$B$8,1),OFFSET($M$15,0,0,$B$8,1))=EI$13), 1*(_xlfn._xlws.FILTER(OFFSET($O$15,0,$DO332,$B$8,1),OFFSET($M$15,0,0,$B$8,1))=EI$14))   /   SUM(OFFSET($BO$15,0,0,$B$14,1)) + $B$18/($B$19*$B$19*($DN332&lt;&gt;$DO332) + $B$19*($DN332=$DO332))</f>
        <v>3.7037037037037035E-4</v>
      </c>
      <c r="EJ332" s="10" cm="1">
        <f t="array" aca="1" ref="EJ332" ca="1">(1-$B$18)*SUMPRODUCT(OFFSET($BO$15,0,0,$B$14,1), 1*(_xlfn._xlws.FILTER(OFFSET($O$15,0,$DN332,$B$8,1),OFFSET($M$15,0,0,$B$8,1))=EJ$13), 1*(_xlfn._xlws.FILTER(OFFSET($O$15,0,$DO332,$B$8,1),OFFSET($M$15,0,0,$B$8,1))=EJ$14))   /   SUM(OFFSET($BO$15,0,0,$B$14,1)) + $B$18/($B$19*$B$19*($DN332&lt;&gt;$DO332) + $B$19*($DN332=$DO332))</f>
        <v>3.7037037037037035E-4</v>
      </c>
      <c r="EK332" s="10" cm="1">
        <f t="array" aca="1" ref="EK332" ca="1">(1-$B$18)*SUMPRODUCT(OFFSET($BO$15,0,0,$B$14,1), 1*(_xlfn._xlws.FILTER(OFFSET($O$15,0,$DN332,$B$8,1),OFFSET($M$15,0,0,$B$8,1))=EK$13), 1*(_xlfn._xlws.FILTER(OFFSET($O$15,0,$DO332,$B$8,1),OFFSET($M$15,0,0,$B$8,1))=EK$14))   /   SUM(OFFSET($BO$15,0,0,$B$14,1)) + $B$18/($B$19*$B$19*($DN332&lt;&gt;$DO332) + $B$19*($DN332=$DO332))</f>
        <v>3.7037037037037035E-4</v>
      </c>
      <c r="EL332" s="10" cm="1">
        <f t="array" aca="1" ref="EL332" ca="1">(1-$B$18)*SUMPRODUCT(OFFSET($BO$15,0,0,$B$14,1), 1*(_xlfn._xlws.FILTER(OFFSET($O$15,0,$DN332,$B$8,1),OFFSET($M$15,0,0,$B$8,1))=EL$13), 1*(_xlfn._xlws.FILTER(OFFSET($O$15,0,$DO332,$B$8,1),OFFSET($M$15,0,0,$B$8,1))=EL$14))   /   SUM(OFFSET($BO$15,0,0,$B$14,1)) + $B$18/($B$19*$B$19*($DN332&lt;&gt;$DO332) + $B$19*($DN332=$DO332))</f>
        <v>3.7037037037037035E-4</v>
      </c>
      <c r="EM332" s="10" cm="1">
        <f t="array" aca="1" ref="EM332" ca="1">(1-$B$18)*SUMPRODUCT(OFFSET($BO$15,0,0,$B$14,1), 1*(_xlfn._xlws.FILTER(OFFSET($O$15,0,$DN332,$B$8,1),OFFSET($M$15,0,0,$B$8,1))=EM$13), 1*(_xlfn._xlws.FILTER(OFFSET($O$15,0,$DO332,$B$8,1),OFFSET($M$15,0,0,$B$8,1))=EM$14))   /   SUM(OFFSET($BO$15,0,0,$B$14,1)) + $B$18/($B$19*$B$19*($DN332&lt;&gt;$DO332) + $B$19*($DN332=$DO332))</f>
        <v>3.7037037037037035E-4</v>
      </c>
      <c r="EN332" s="10" cm="1">
        <f t="array" aca="1" ref="EN332" ca="1">(1-$B$18)*SUMPRODUCT(OFFSET($BO$15,0,0,$B$14,1), 1*(_xlfn._xlws.FILTER(OFFSET($O$15,0,$DN332,$B$8,1),OFFSET($M$15,0,0,$B$8,1))=EN$13), 1*(_xlfn._xlws.FILTER(OFFSET($O$15,0,$DO332,$B$8,1),OFFSET($M$15,0,0,$B$8,1))=EN$14))   /   SUM(OFFSET($BO$15,0,0,$B$14,1)) + $B$18/($B$19*$B$19*($DN332&lt;&gt;$DO332) + $B$19*($DN332=$DO332))</f>
        <v>3.7037037037037035E-4</v>
      </c>
      <c r="EO332" s="10" cm="1">
        <f t="array" aca="1" ref="EO332" ca="1">(1-$B$18)*SUMPRODUCT(OFFSET($BO$15,0,0,$B$14,1), 1*(_xlfn._xlws.FILTER(OFFSET($O$15,0,$DN332,$B$8,1),OFFSET($M$15,0,0,$B$8,1))=EO$13), 1*(_xlfn._xlws.FILTER(OFFSET($O$15,0,$DO332,$B$8,1),OFFSET($M$15,0,0,$B$8,1))=EO$14))   /   SUM(OFFSET($BO$15,0,0,$B$14,1)) + $B$18/($B$19*$B$19*($DN332&lt;&gt;$DO332) + $B$19*($DN332=$DO332))</f>
        <v>3.7037037037037035E-4</v>
      </c>
      <c r="EP332" s="10" cm="1">
        <f t="array" aca="1" ref="EP332" ca="1">(1-$B$18)*SUMPRODUCT(OFFSET($BO$15,0,0,$B$14,1), 1*(_xlfn._xlws.FILTER(OFFSET($O$15,0,$DN332,$B$8,1),OFFSET($M$15,0,0,$B$8,1))=EP$13), 1*(_xlfn._xlws.FILTER(OFFSET($O$15,0,$DO332,$B$8,1),OFFSET($M$15,0,0,$B$8,1))=EP$14))   /   SUM(OFFSET($BO$15,0,0,$B$14,1)) + $B$18/($B$19*$B$19*($DN332&lt;&gt;$DO332) + $B$19*($DN332=$DO332))</f>
        <v>0.97037037037037033</v>
      </c>
      <c r="EQ332" s="10" cm="1">
        <f t="array" aca="1" ref="EQ332" ca="1">(1-$B$18)*SUMPRODUCT(OFFSET($BO$15,0,0,$B$14,1), 1*(_xlfn._xlws.FILTER(OFFSET($O$15,0,$DN332,$B$8,1),OFFSET($M$15,0,0,$B$8,1))=EQ$13), 1*(_xlfn._xlws.FILTER(OFFSET($O$15,0,$DO332,$B$8,1),OFFSET($M$15,0,0,$B$8,1))=EQ$14))   /   SUM(OFFSET($BO$15,0,0,$B$14,1)) + $B$18/($B$19*$B$19*($DN332&lt;&gt;$DO332) + $B$19*($DN332=$DO332))</f>
        <v>3.7037037037037035E-4</v>
      </c>
      <c r="ER332" s="10" cm="1">
        <f t="array" aca="1" ref="ER332" ca="1">(1-$B$18)*SUMPRODUCT(OFFSET($BO$15,0,0,$B$14,1), 1*(_xlfn._xlws.FILTER(OFFSET($O$15,0,$DN332,$B$8,1),OFFSET($M$15,0,0,$B$8,1))=ER$13), 1*(_xlfn._xlws.FILTER(OFFSET($O$15,0,$DO332,$B$8,1),OFFSET($M$15,0,0,$B$8,1))=ER$14))   /   SUM(OFFSET($BO$15,0,0,$B$14,1)) + $B$18/($B$19*$B$19*($DN332&lt;&gt;$DO332) + $B$19*($DN332=$DO332))</f>
        <v>3.7037037037037035E-4</v>
      </c>
      <c r="ES332" s="10" cm="1">
        <f t="array" aca="1" ref="ES332" ca="1">(1-$B$18)*SUMPRODUCT(OFFSET($BO$15,0,0,$B$14,1), 1*(_xlfn._xlws.FILTER(OFFSET($O$15,0,$DN332,$B$8,1),OFFSET($M$15,0,0,$B$8,1))=ES$13), 1*(_xlfn._xlws.FILTER(OFFSET($O$15,0,$DO332,$B$8,1),OFFSET($M$15,0,0,$B$8,1))=ES$14))   /   SUM(OFFSET($BO$15,0,0,$B$14,1)) + $B$18/($B$19*$B$19*($DN332&lt;&gt;$DO332) + $B$19*($DN332=$DO332))</f>
        <v>3.7037037037037035E-4</v>
      </c>
      <c r="ET332" s="10" cm="1">
        <f t="array" aca="1" ref="ET332" ca="1">(1-$B$18)*SUMPRODUCT(OFFSET($BO$15,0,0,$B$14,1), 1*(_xlfn._xlws.FILTER(OFFSET($O$15,0,$DN332,$B$8,1),OFFSET($M$15,0,0,$B$8,1))=ET$13), 1*(_xlfn._xlws.FILTER(OFFSET($O$15,0,$DO332,$B$8,1),OFFSET($M$15,0,0,$B$8,1))=ET$14))   /   SUM(OFFSET($BO$15,0,0,$B$14,1)) + $B$18/($B$19*$B$19*($DN332&lt;&gt;$DO332) + $B$19*($DN332=$DO332))</f>
        <v>3.7037037037037035E-4</v>
      </c>
      <c r="EU332" s="10" cm="1">
        <f t="array" aca="1" ref="EU332" ca="1">(1-$B$18)*SUMPRODUCT(OFFSET($BO$15,0,0,$B$14,1), 1*(_xlfn._xlws.FILTER(OFFSET($O$15,0,$DN332,$B$8,1),OFFSET($M$15,0,0,$B$8,1))=EU$13), 1*(_xlfn._xlws.FILTER(OFFSET($O$15,0,$DO332,$B$8,1),OFFSET($M$15,0,0,$B$8,1))=EU$14))   /   SUM(OFFSET($BO$15,0,0,$B$14,1)) + $B$18/($B$19*$B$19*($DN332&lt;&gt;$DO332) + $B$19*($DN332=$DO332))</f>
        <v>3.7037037037037035E-4</v>
      </c>
      <c r="EV332" s="10" cm="1">
        <f t="array" aca="1" ref="EV332" ca="1">(1-$B$18)*SUMPRODUCT(OFFSET($BO$15,0,0,$B$14,1), 1*(_xlfn._xlws.FILTER(OFFSET($O$15,0,$DN332,$B$8,1),OFFSET($M$15,0,0,$B$8,1))=EV$13), 1*(_xlfn._xlws.FILTER(OFFSET($O$15,0,$DO332,$B$8,1),OFFSET($M$15,0,0,$B$8,1))=EV$14))   /   SUM(OFFSET($BO$15,0,0,$B$14,1)) + $B$18/($B$19*$B$19*($DN332&lt;&gt;$DO332) + $B$19*($DN332=$DO332))</f>
        <v>3.7037037037037035E-4</v>
      </c>
      <c r="EW332" s="10" cm="1">
        <f t="array" aca="1" ref="EW332" ca="1">(1-$B$18)*SUMPRODUCT(OFFSET($BO$15,0,0,$B$14,1), 1*(_xlfn._xlws.FILTER(OFFSET($O$15,0,$DN332,$B$8,1),OFFSET($M$15,0,0,$B$8,1))=EW$13), 1*(_xlfn._xlws.FILTER(OFFSET($O$15,0,$DO332,$B$8,1),OFFSET($M$15,0,0,$B$8,1))=EW$14))   /   SUM(OFFSET($BO$15,0,0,$B$14,1)) + $B$18/($B$19*$B$19*($DN332&lt;&gt;$DO332) + $B$19*($DN332=$DO332))</f>
        <v>3.7037037037037035E-4</v>
      </c>
      <c r="EX332" s="10" cm="1">
        <f t="array" aca="1" ref="EX332" ca="1">(1-$B$18)*SUMPRODUCT(OFFSET($BO$15,0,0,$B$14,1), 1*(_xlfn._xlws.FILTER(OFFSET($O$15,0,$DN332,$B$8,1),OFFSET($M$15,0,0,$B$8,1))=EX$13), 1*(_xlfn._xlws.FILTER(OFFSET($O$15,0,$DO332,$B$8,1),OFFSET($M$15,0,0,$B$8,1))=EX$14))   /   SUM(OFFSET($BO$15,0,0,$B$14,1)) + $B$18/($B$19*$B$19*($DN332&lt;&gt;$DO332) + $B$19*($DN332=$DO332))</f>
        <v>3.7037037037037035E-4</v>
      </c>
      <c r="EY332" s="10" cm="1">
        <f t="array" aca="1" ref="EY332" ca="1">(1-$B$18)*SUMPRODUCT(OFFSET($BO$15,0,0,$B$14,1), 1*(_xlfn._xlws.FILTER(OFFSET($O$15,0,$DN332,$B$8,1),OFFSET($M$15,0,0,$B$8,1))=EY$13), 1*(_xlfn._xlws.FILTER(OFFSET($O$15,0,$DO332,$B$8,1),OFFSET($M$15,0,0,$B$8,1))=EY$14))   /   SUM(OFFSET($BO$15,0,0,$B$14,1)) + $B$18/($B$19*$B$19*($DN332&lt;&gt;$DO332) + $B$19*($DN332=$DO332))</f>
        <v>3.7037037037037035E-4</v>
      </c>
      <c r="EZ332" s="10" cm="1">
        <f t="array" aca="1" ref="EZ332" ca="1">(1-$B$18)*SUMPRODUCT(OFFSET($BO$15,0,0,$B$14,1), 1*(_xlfn._xlws.FILTER(OFFSET($O$15,0,$DN332,$B$8,1),OFFSET($M$15,0,0,$B$8,1))=EZ$13), 1*(_xlfn._xlws.FILTER(OFFSET($O$15,0,$DO332,$B$8,1),OFFSET($M$15,0,0,$B$8,1))=EZ$14))   /   SUM(OFFSET($BO$15,0,0,$B$14,1)) + $B$18/($B$19*$B$19*($DN332&lt;&gt;$DO332) + $B$19*($DN332=$DO332))</f>
        <v>3.7037037037037035E-4</v>
      </c>
      <c r="FA332" s="10" cm="1">
        <f t="array" aca="1" ref="FA332" ca="1">(1-$B$18)*SUMPRODUCT(OFFSET($BO$15,0,0,$B$14,1), 1*(_xlfn._xlws.FILTER(OFFSET($O$15,0,$DN332,$B$8,1),OFFSET($M$15,0,0,$B$8,1))=FA$13), 1*(_xlfn._xlws.FILTER(OFFSET($O$15,0,$DO332,$B$8,1),OFFSET($M$15,0,0,$B$8,1))=FA$14))   /   SUM(OFFSET($BO$15,0,0,$B$14,1)) + $B$18/($B$19*$B$19*($DN332&lt;&gt;$DO332) + $B$19*($DN332=$DO332))</f>
        <v>3.7037037037037035E-4</v>
      </c>
      <c r="FB332" s="10" cm="1">
        <f t="array" aca="1" ref="FB332" ca="1">(1-$B$18)*SUMPRODUCT(OFFSET($BO$15,0,0,$B$14,1), 1*(_xlfn._xlws.FILTER(OFFSET($O$15,0,$DN332,$B$8,1),OFFSET($M$15,0,0,$B$8,1))=FB$13), 1*(_xlfn._xlws.FILTER(OFFSET($O$15,0,$DO332,$B$8,1),OFFSET($M$15,0,0,$B$8,1))=FB$14))   /   SUM(OFFSET($BO$15,0,0,$B$14,1)) + $B$18/($B$19*$B$19*($DN332&lt;&gt;$DO332) + $B$19*($DN332=$DO332))</f>
        <v>3.7037037037037035E-4</v>
      </c>
      <c r="FC332" s="10" cm="1">
        <f t="array" aca="1" ref="FC332" ca="1">(1-$B$18)*SUMPRODUCT(OFFSET($BO$15,0,0,$B$14,1), 1*(_xlfn._xlws.FILTER(OFFSET($O$15,0,$DN332,$B$8,1),OFFSET($M$15,0,0,$B$8,1))=FC$13), 1*(_xlfn._xlws.FILTER(OFFSET($O$15,0,$DO332,$B$8,1),OFFSET($M$15,0,0,$B$8,1))=FC$14))   /   SUM(OFFSET($BO$15,0,0,$B$14,1)) + $B$18/($B$19*$B$19*($DN332&lt;&gt;$DO332) + $B$19*($DN332=$DO332))</f>
        <v>3.7037037037037035E-4</v>
      </c>
      <c r="FD332" s="10" cm="1">
        <f t="array" aca="1" ref="FD332" ca="1">(1-$B$18)*SUMPRODUCT(OFFSET($BO$15,0,0,$B$14,1), 1*(_xlfn._xlws.FILTER(OFFSET($O$15,0,$DN332,$B$8,1),OFFSET($M$15,0,0,$B$8,1))=FD$13), 1*(_xlfn._xlws.FILTER(OFFSET($O$15,0,$DO332,$B$8,1),OFFSET($M$15,0,0,$B$8,1))=FD$14))   /   SUM(OFFSET($BO$15,0,0,$B$14,1)) + $B$18/($B$19*$B$19*($DN332&lt;&gt;$DO332) + $B$19*($DN332=$DO332))</f>
        <v>3.7037037037037035E-4</v>
      </c>
      <c r="FE332" s="10" cm="1">
        <f t="array" aca="1" ref="FE332" ca="1">(1-$B$18)*SUMPRODUCT(OFFSET($BO$15,0,0,$B$14,1), 1*(_xlfn._xlws.FILTER(OFFSET($O$15,0,$DN332,$B$8,1),OFFSET($M$15,0,0,$B$8,1))=FE$13), 1*(_xlfn._xlws.FILTER(OFFSET($O$15,0,$DO332,$B$8,1),OFFSET($M$15,0,0,$B$8,1))=FE$14))   /   SUM(OFFSET($BO$15,0,0,$B$14,1)) + $B$18/($B$19*$B$19*($DN332&lt;&gt;$DO332) + $B$19*($DN332=$DO332))</f>
        <v>3.7037037037037035E-4</v>
      </c>
      <c r="FF332" s="10" cm="1">
        <f t="array" aca="1" ref="FF332" ca="1">(1-$B$18)*SUMPRODUCT(OFFSET($BO$15,0,0,$B$14,1), 1*(_xlfn._xlws.FILTER(OFFSET($O$15,0,$DN332,$B$8,1),OFFSET($M$15,0,0,$B$8,1))=FF$13), 1*(_xlfn._xlws.FILTER(OFFSET($O$15,0,$DO332,$B$8,1),OFFSET($M$15,0,0,$B$8,1))=FF$14))   /   SUM(OFFSET($BO$15,0,0,$B$14,1)) + $B$18/($B$19*$B$19*($DN332&lt;&gt;$DO332) + $B$19*($DN332=$DO332))</f>
        <v>3.7037037037037035E-4</v>
      </c>
      <c r="FG332" s="10" cm="1">
        <f t="array" aca="1" ref="FG332" ca="1">(1-$B$18)*SUMPRODUCT(OFFSET($BO$15,0,0,$B$14,1), 1*(_xlfn._xlws.FILTER(OFFSET($O$15,0,$DN332,$B$8,1),OFFSET($M$15,0,0,$B$8,1))=FG$13), 1*(_xlfn._xlws.FILTER(OFFSET($O$15,0,$DO332,$B$8,1),OFFSET($M$15,0,0,$B$8,1))=FG$14))   /   SUM(OFFSET($BO$15,0,0,$B$14,1)) + $B$18/($B$19*$B$19*($DN332&lt;&gt;$DO332) + $B$19*($DN332=$DO332))</f>
        <v>3.7037037037037035E-4</v>
      </c>
      <c r="FH332" s="10" cm="1">
        <f t="array" aca="1" ref="FH332" ca="1">(1-$B$18)*SUMPRODUCT(OFFSET($BO$15,0,0,$B$14,1), 1*(_xlfn._xlws.FILTER(OFFSET($O$15,0,$DN332,$B$8,1),OFFSET($M$15,0,0,$B$8,1))=FH$13), 1*(_xlfn._xlws.FILTER(OFFSET($O$15,0,$DO332,$B$8,1),OFFSET($M$15,0,0,$B$8,1))=FH$14))   /   SUM(OFFSET($BO$15,0,0,$B$14,1)) + $B$18/($B$19*$B$19*($DN332&lt;&gt;$DO332) + $B$19*($DN332=$DO332))</f>
        <v>3.7037037037037035E-4</v>
      </c>
      <c r="FI332" s="10" cm="1">
        <f t="array" aca="1" ref="FI332" ca="1">(1-$B$18)*SUMPRODUCT(OFFSET($BO$15,0,0,$B$14,1), 1*(_xlfn._xlws.FILTER(OFFSET($O$15,0,$DN332,$B$8,1),OFFSET($M$15,0,0,$B$8,1))=FI$13), 1*(_xlfn._xlws.FILTER(OFFSET($O$15,0,$DO332,$B$8,1),OFFSET($M$15,0,0,$B$8,1))=FI$14))   /   SUM(OFFSET($BO$15,0,0,$B$14,1)) + $B$18/($B$19*$B$19*($DN332&lt;&gt;$DO332) + $B$19*($DN332=$DO332))</f>
        <v>3.7037037037037035E-4</v>
      </c>
      <c r="FJ332" s="10" cm="1">
        <f t="array" aca="1" ref="FJ332" ca="1">(1-$B$18)*SUMPRODUCT(OFFSET($BO$15,0,0,$B$14,1), 1*(_xlfn._xlws.FILTER(OFFSET($O$15,0,$DN332,$B$8,1),OFFSET($M$15,0,0,$B$8,1))=FJ$13), 1*(_xlfn._xlws.FILTER(OFFSET($O$15,0,$DO332,$B$8,1),OFFSET($M$15,0,0,$B$8,1))=FJ$14))   /   SUM(OFFSET($BO$15,0,0,$B$14,1)) + $B$18/($B$19*$B$19*($DN332&lt;&gt;$DO332) + $B$19*($DN332=$DO332))</f>
        <v>3.7037037037037035E-4</v>
      </c>
      <c r="FK332" s="10" cm="1">
        <f t="array" aca="1" ref="FK332" ca="1">(1-$B$18)*SUMPRODUCT(OFFSET($BO$15,0,0,$B$14,1), 1*(_xlfn._xlws.FILTER(OFFSET($O$15,0,$DN332,$B$8,1),OFFSET($M$15,0,0,$B$8,1))=FK$13), 1*(_xlfn._xlws.FILTER(OFFSET($O$15,0,$DO332,$B$8,1),OFFSET($M$15,0,0,$B$8,1))=FK$14))   /   SUM(OFFSET($BO$15,0,0,$B$14,1)) + $B$18/($B$19*$B$19*($DN332&lt;&gt;$DO332) + $B$19*($DN332=$DO332))</f>
        <v>3.7037037037037035E-4</v>
      </c>
      <c r="FL332" s="10" cm="1">
        <f t="array" aca="1" ref="FL332" ca="1">(1-$B$18)*SUMPRODUCT(OFFSET($BO$15,0,0,$B$14,1), 1*(_xlfn._xlws.FILTER(OFFSET($O$15,0,$DN332,$B$8,1),OFFSET($M$15,0,0,$B$8,1))=FL$13), 1*(_xlfn._xlws.FILTER(OFFSET($O$15,0,$DO332,$B$8,1),OFFSET($M$15,0,0,$B$8,1))=FL$14))   /   SUM(OFFSET($BO$15,0,0,$B$14,1)) + $B$18/($B$19*$B$19*($DN332&lt;&gt;$DO332) + $B$19*($DN332=$DO332))</f>
        <v>3.7037037037037035E-4</v>
      </c>
      <c r="FM332" s="10" cm="1">
        <f t="array" aca="1" ref="FM332" ca="1">(1-$B$18)*SUMPRODUCT(OFFSET($BO$15,0,0,$B$14,1), 1*(_xlfn._xlws.FILTER(OFFSET($O$15,0,$DN332,$B$8,1),OFFSET($M$15,0,0,$B$8,1))=FM$13), 1*(_xlfn._xlws.FILTER(OFFSET($O$15,0,$DO332,$B$8,1),OFFSET($M$15,0,0,$B$8,1))=FM$14))   /   SUM(OFFSET($BO$15,0,0,$B$14,1)) + $B$18/($B$19*$B$19*($DN332&lt;&gt;$DO332) + $B$19*($DN332=$DO332))</f>
        <v>3.7037037037037035E-4</v>
      </c>
      <c r="FN332" s="10" cm="1">
        <f t="array" aca="1" ref="FN332" ca="1">(1-$B$18)*SUMPRODUCT(OFFSET($BO$15,0,0,$B$14,1), 1*(_xlfn._xlws.FILTER(OFFSET($O$15,0,$DN332,$B$8,1),OFFSET($M$15,0,0,$B$8,1))=FN$13), 1*(_xlfn._xlws.FILTER(OFFSET($O$15,0,$DO332,$B$8,1),OFFSET($M$15,0,0,$B$8,1))=FN$14))   /   SUM(OFFSET($BO$15,0,0,$B$14,1)) + $B$18/($B$19*$B$19*($DN332&lt;&gt;$DO332) + $B$19*($DN332=$DO332))</f>
        <v>3.7037037037037035E-4</v>
      </c>
      <c r="FO332" s="10" cm="1">
        <f t="array" aca="1" ref="FO332" ca="1">(1-$B$18)*SUMPRODUCT(OFFSET($BO$15,0,0,$B$14,1), 1*(_xlfn._xlws.FILTER(OFFSET($O$15,0,$DN332,$B$8,1),OFFSET($M$15,0,0,$B$8,1))=FO$13), 1*(_xlfn._xlws.FILTER(OFFSET($O$15,0,$DO332,$B$8,1),OFFSET($M$15,0,0,$B$8,1))=FO$14))   /   SUM(OFFSET($BO$15,0,0,$B$14,1)) + $B$18/($B$19*$B$19*($DN332&lt;&gt;$DO332) + $B$19*($DN332=$DO332))</f>
        <v>3.7037037037037035E-4</v>
      </c>
      <c r="FP332" s="10" cm="1">
        <f t="array" aca="1" ref="FP332" ca="1">(1-$B$18)*SUMPRODUCT(OFFSET($BO$15,0,0,$B$14,1), 1*(_xlfn._xlws.FILTER(OFFSET($O$15,0,$DN332,$B$8,1),OFFSET($M$15,0,0,$B$8,1))=FP$13), 1*(_xlfn._xlws.FILTER(OFFSET($O$15,0,$DO332,$B$8,1),OFFSET($M$15,0,0,$B$8,1))=FP$14))   /   SUM(OFFSET($BO$15,0,0,$B$14,1)) + $B$18/($B$19*$B$19*($DN332&lt;&gt;$DO332) + $B$19*($DN332=$DO332))</f>
        <v>3.7037037037037035E-4</v>
      </c>
      <c r="FQ332" s="10" cm="1">
        <f t="array" aca="1" ref="FQ332" ca="1">(1-$B$18)*SUMPRODUCT(OFFSET($BO$15,0,0,$B$14,1), 1*(_xlfn._xlws.FILTER(OFFSET($O$15,0,$DN332,$B$8,1),OFFSET($M$15,0,0,$B$8,1))=FQ$13), 1*(_xlfn._xlws.FILTER(OFFSET($O$15,0,$DO332,$B$8,1),OFFSET($M$15,0,0,$B$8,1))=FQ$14))   /   SUM(OFFSET($BO$15,0,0,$B$14,1)) + $B$18/($B$19*$B$19*($DN332&lt;&gt;$DO332) + $B$19*($DN332=$DO332))</f>
        <v>3.7037037037037035E-4</v>
      </c>
      <c r="FR332" s="10" cm="1">
        <f t="array" aca="1" ref="FR332" ca="1">(1-$B$18)*SUMPRODUCT(OFFSET($BO$15,0,0,$B$14,1), 1*(_xlfn._xlws.FILTER(OFFSET($O$15,0,$DN332,$B$8,1),OFFSET($M$15,0,0,$B$8,1))=FR$13), 1*(_xlfn._xlws.FILTER(OFFSET($O$15,0,$DO332,$B$8,1),OFFSET($M$15,0,0,$B$8,1))=FR$14))   /   SUM(OFFSET($BO$15,0,0,$B$14,1)) + $B$18/($B$19*$B$19*($DN332&lt;&gt;$DO332) + $B$19*($DN332=$DO332))</f>
        <v>3.7037037037037035E-4</v>
      </c>
      <c r="FS332" s="10" cm="1">
        <f t="array" aca="1" ref="FS332" ca="1">(1-$B$18)*SUMPRODUCT(OFFSET($BO$15,0,0,$B$14,1), 1*(_xlfn._xlws.FILTER(OFFSET($O$15,0,$DN332,$B$8,1),OFFSET($M$15,0,0,$B$8,1))=FS$13), 1*(_xlfn._xlws.FILTER(OFFSET($O$15,0,$DO332,$B$8,1),OFFSET($M$15,0,0,$B$8,1))=FS$14))   /   SUM(OFFSET($BO$15,0,0,$B$14,1)) + $B$18/($B$19*$B$19*($DN332&lt;&gt;$DO332) + $B$19*($DN332=$DO332))</f>
        <v>3.7037037037037035E-4</v>
      </c>
      <c r="FT332" s="10" cm="1">
        <f t="array" aca="1" ref="FT332" ca="1">(1-$B$18)*SUMPRODUCT(OFFSET($BO$15,0,0,$B$14,1), 1*(_xlfn._xlws.FILTER(OFFSET($O$15,0,$DN332,$B$8,1),OFFSET($M$15,0,0,$B$8,1))=FT$13), 1*(_xlfn._xlws.FILTER(OFFSET($O$15,0,$DO332,$B$8,1),OFFSET($M$15,0,0,$B$8,1))=FT$14))   /   SUM(OFFSET($BO$15,0,0,$B$14,1)) + $B$18/($B$19*$B$19*($DN332&lt;&gt;$DO332) + $B$19*($DN332=$DO332))</f>
        <v>3.7037037037037035E-4</v>
      </c>
      <c r="FU332" s="10" cm="1">
        <f t="array" aca="1" ref="FU332" ca="1">(1-$B$18)*SUMPRODUCT(OFFSET($BO$15,0,0,$B$14,1), 1*(_xlfn._xlws.FILTER(OFFSET($O$15,0,$DN332,$B$8,1),OFFSET($M$15,0,0,$B$8,1))=FU$13), 1*(_xlfn._xlws.FILTER(OFFSET($O$15,0,$DO332,$B$8,1),OFFSET($M$15,0,0,$B$8,1))=FU$14))   /   SUM(OFFSET($BO$15,0,0,$B$14,1)) + $B$18/($B$19*$B$19*($DN332&lt;&gt;$DO332) + $B$19*($DN332=$DO332))</f>
        <v>3.7037037037037035E-4</v>
      </c>
      <c r="FV332" s="10" cm="1">
        <f t="array" aca="1" ref="FV332" ca="1">(1-$B$18)*SUMPRODUCT(OFFSET($BO$15,0,0,$B$14,1), 1*(_xlfn._xlws.FILTER(OFFSET($O$15,0,$DN332,$B$8,1),OFFSET($M$15,0,0,$B$8,1))=FV$13), 1*(_xlfn._xlws.FILTER(OFFSET($O$15,0,$DO332,$B$8,1),OFFSET($M$15,0,0,$B$8,1))=FV$14))   /   SUM(OFFSET($BO$15,0,0,$B$14,1)) + $B$18/($B$19*$B$19*($DN332&lt;&gt;$DO332) + $B$19*($DN332=$DO332))</f>
        <v>3.7037037037037035E-4</v>
      </c>
      <c r="FW332" s="10" cm="1">
        <f t="array" aca="1" ref="FW332" ca="1">(1-$B$18)*SUMPRODUCT(OFFSET($BO$15,0,0,$B$14,1), 1*(_xlfn._xlws.FILTER(OFFSET($O$15,0,$DN332,$B$8,1),OFFSET($M$15,0,0,$B$8,1))=FW$13), 1*(_xlfn._xlws.FILTER(OFFSET($O$15,0,$DO332,$B$8,1),OFFSET($M$15,0,0,$B$8,1))=FW$14))   /   SUM(OFFSET($BO$15,0,0,$B$14,1)) + $B$18/($B$19*$B$19*($DN332&lt;&gt;$DO332) + $B$19*($DN332=$DO332))</f>
        <v>3.7037037037037035E-4</v>
      </c>
      <c r="FX332" s="10" cm="1">
        <f t="array" aca="1" ref="FX332" ca="1">(1-$B$18)*SUMPRODUCT(OFFSET($BO$15,0,0,$B$14,1), 1*(_xlfn._xlws.FILTER(OFFSET($O$15,0,$DN332,$B$8,1),OFFSET($M$15,0,0,$B$8,1))=FX$13), 1*(_xlfn._xlws.FILTER(OFFSET($O$15,0,$DO332,$B$8,1),OFFSET($M$15,0,0,$B$8,1))=FX$14))   /   SUM(OFFSET($BO$15,0,0,$B$14,1)) + $B$18/($B$19*$B$19*($DN332&lt;&gt;$DO332) + $B$19*($DN332=$DO332))</f>
        <v>3.7037037037037035E-4</v>
      </c>
      <c r="FY332" s="10" cm="1">
        <f t="array" aca="1" ref="FY332" ca="1">(1-$B$18)*SUMPRODUCT(OFFSET($BO$15,0,0,$B$14,1), 1*(_xlfn._xlws.FILTER(OFFSET($O$15,0,$DN332,$B$8,1),OFFSET($M$15,0,0,$B$8,1))=FY$13), 1*(_xlfn._xlws.FILTER(OFFSET($O$15,0,$DO332,$B$8,1),OFFSET($M$15,0,0,$B$8,1))=FY$14))   /   SUM(OFFSET($BO$15,0,0,$B$14,1)) + $B$18/($B$19*$B$19*($DN332&lt;&gt;$DO332) + $B$19*($DN332=$DO332))</f>
        <v>3.7037037037037035E-4</v>
      </c>
      <c r="FZ332" s="10" cm="1">
        <f t="array" aca="1" ref="FZ332" ca="1">(1-$B$18)*SUMPRODUCT(OFFSET($BO$15,0,0,$B$14,1), 1*(_xlfn._xlws.FILTER(OFFSET($O$15,0,$DN332,$B$8,1),OFFSET($M$15,0,0,$B$8,1))=FZ$13), 1*(_xlfn._xlws.FILTER(OFFSET($O$15,0,$DO332,$B$8,1),OFFSET($M$15,0,0,$B$8,1))=FZ$14))   /   SUM(OFFSET($BO$15,0,0,$B$14,1)) + $B$18/($B$19*$B$19*($DN332&lt;&gt;$DO332) + $B$19*($DN332=$DO332))</f>
        <v>3.7037037037037035E-4</v>
      </c>
      <c r="GA332" s="10" cm="1">
        <f t="array" aca="1" ref="GA332" ca="1">(1-$B$18)*SUMPRODUCT(OFFSET($BO$15,0,0,$B$14,1), 1*(_xlfn._xlws.FILTER(OFFSET($O$15,0,$DN332,$B$8,1),OFFSET($M$15,0,0,$B$8,1))=GA$13), 1*(_xlfn._xlws.FILTER(OFFSET($O$15,0,$DO332,$B$8,1),OFFSET($M$15,0,0,$B$8,1))=GA$14))   /   SUM(OFFSET($BO$15,0,0,$B$14,1)) + $B$18/($B$19*$B$19*($DN332&lt;&gt;$DO332) + $B$19*($DN332=$DO332))</f>
        <v>3.7037037037037035E-4</v>
      </c>
    </row>
    <row r="333" spans="118:183" x14ac:dyDescent="0.2">
      <c r="DN333" cm="1">
        <f t="array" aca="1" ref="DN333" ca="1">INDEX(_xlfn.ANCHORARRAY($CP$15), 1 + INT((ROWS($DO$15:$DO333) - 1) / ROWS(_xlfn.ANCHORARRAY($CP$15))))</f>
        <v>19</v>
      </c>
      <c r="DO333" cm="1">
        <f t="array" aca="1" ref="DO333" ca="1">INDEX(_xlfn.ANCHORARRAY($CP$15),1+MOD(ROWS($DO$15:$DO333)-1,ROWS(_xlfn.ANCHORARRAY($CP$15))))</f>
        <v>15</v>
      </c>
      <c r="DP333" s="10" cm="1">
        <f t="array" aca="1" ref="DP333" ca="1">(1-$B$18)*SUMPRODUCT(OFFSET($BO$15,0,0,$B$14,1), 1*(_xlfn._xlws.FILTER(OFFSET($O$15,0,$DN333,$B$8,1),OFFSET($M$15,0,0,$B$8,1))=DP$13), 1*(_xlfn._xlws.FILTER(OFFSET($O$15,0,$DO333,$B$8,1),OFFSET($M$15,0,0,$B$8,1))=DP$14))   /   SUM(OFFSET($BO$15,0,0,$B$14,1)) + $B$18/($B$19*$B$19*($DN333&lt;&gt;$DO333) + $B$19*($DN333=$DO333))</f>
        <v>3.7037037037037035E-4</v>
      </c>
      <c r="DQ333" s="10" cm="1">
        <f t="array" aca="1" ref="DQ333" ca="1">(1-$B$18)*SUMPRODUCT(OFFSET($BO$15,0,0,$B$14,1), 1*(_xlfn._xlws.FILTER(OFFSET($O$15,0,$DN333,$B$8,1),OFFSET($M$15,0,0,$B$8,1))=DQ$13), 1*(_xlfn._xlws.FILTER(OFFSET($O$15,0,$DO333,$B$8,1),OFFSET($M$15,0,0,$B$8,1))=DQ$14))   /   SUM(OFFSET($BO$15,0,0,$B$14,1)) + $B$18/($B$19*$B$19*($DN333&lt;&gt;$DO333) + $B$19*($DN333=$DO333))</f>
        <v>3.7037037037037035E-4</v>
      </c>
      <c r="DR333" s="10" cm="1">
        <f t="array" aca="1" ref="DR333" ca="1">(1-$B$18)*SUMPRODUCT(OFFSET($BO$15,0,0,$B$14,1), 1*(_xlfn._xlws.FILTER(OFFSET($O$15,0,$DN333,$B$8,1),OFFSET($M$15,0,0,$B$8,1))=DR$13), 1*(_xlfn._xlws.FILTER(OFFSET($O$15,0,$DO333,$B$8,1),OFFSET($M$15,0,0,$B$8,1))=DR$14))   /   SUM(OFFSET($BO$15,0,0,$B$14,1)) + $B$18/($B$19*$B$19*($DN333&lt;&gt;$DO333) + $B$19*($DN333=$DO333))</f>
        <v>3.7037037037037035E-4</v>
      </c>
      <c r="DS333" s="10" cm="1">
        <f t="array" aca="1" ref="DS333" ca="1">(1-$B$18)*SUMPRODUCT(OFFSET($BO$15,0,0,$B$14,1), 1*(_xlfn._xlws.FILTER(OFFSET($O$15,0,$DN333,$B$8,1),OFFSET($M$15,0,0,$B$8,1))=DS$13), 1*(_xlfn._xlws.FILTER(OFFSET($O$15,0,$DO333,$B$8,1),OFFSET($M$15,0,0,$B$8,1))=DS$14))   /   SUM(OFFSET($BO$15,0,0,$B$14,1)) + $B$18/($B$19*$B$19*($DN333&lt;&gt;$DO333) + $B$19*($DN333=$DO333))</f>
        <v>3.7037037037037035E-4</v>
      </c>
      <c r="DT333" s="10" cm="1">
        <f t="array" aca="1" ref="DT333" ca="1">(1-$B$18)*SUMPRODUCT(OFFSET($BO$15,0,0,$B$14,1), 1*(_xlfn._xlws.FILTER(OFFSET($O$15,0,$DN333,$B$8,1),OFFSET($M$15,0,0,$B$8,1))=DT$13), 1*(_xlfn._xlws.FILTER(OFFSET($O$15,0,$DO333,$B$8,1),OFFSET($M$15,0,0,$B$8,1))=DT$14))   /   SUM(OFFSET($BO$15,0,0,$B$14,1)) + $B$18/($B$19*$B$19*($DN333&lt;&gt;$DO333) + $B$19*($DN333=$DO333))</f>
        <v>3.7037037037037035E-4</v>
      </c>
      <c r="DU333" s="10" cm="1">
        <f t="array" aca="1" ref="DU333" ca="1">(1-$B$18)*SUMPRODUCT(OFFSET($BO$15,0,0,$B$14,1), 1*(_xlfn._xlws.FILTER(OFFSET($O$15,0,$DN333,$B$8,1),OFFSET($M$15,0,0,$B$8,1))=DU$13), 1*(_xlfn._xlws.FILTER(OFFSET($O$15,0,$DO333,$B$8,1),OFFSET($M$15,0,0,$B$8,1))=DU$14))   /   SUM(OFFSET($BO$15,0,0,$B$14,1)) + $B$18/($B$19*$B$19*($DN333&lt;&gt;$DO333) + $B$19*($DN333=$DO333))</f>
        <v>3.7037037037037035E-4</v>
      </c>
      <c r="DV333" s="10" cm="1">
        <f t="array" aca="1" ref="DV333" ca="1">(1-$B$18)*SUMPRODUCT(OFFSET($BO$15,0,0,$B$14,1), 1*(_xlfn._xlws.FILTER(OFFSET($O$15,0,$DN333,$B$8,1),OFFSET($M$15,0,0,$B$8,1))=DV$13), 1*(_xlfn._xlws.FILTER(OFFSET($O$15,0,$DO333,$B$8,1),OFFSET($M$15,0,0,$B$8,1))=DV$14))   /   SUM(OFFSET($BO$15,0,0,$B$14,1)) + $B$18/($B$19*$B$19*($DN333&lt;&gt;$DO333) + $B$19*($DN333=$DO333))</f>
        <v>3.7037037037037035E-4</v>
      </c>
      <c r="DW333" s="10" cm="1">
        <f t="array" aca="1" ref="DW333" ca="1">(1-$B$18)*SUMPRODUCT(OFFSET($BO$15,0,0,$B$14,1), 1*(_xlfn._xlws.FILTER(OFFSET($O$15,0,$DN333,$B$8,1),OFFSET($M$15,0,0,$B$8,1))=DW$13), 1*(_xlfn._xlws.FILTER(OFFSET($O$15,0,$DO333,$B$8,1),OFFSET($M$15,0,0,$B$8,1))=DW$14))   /   SUM(OFFSET($BO$15,0,0,$B$14,1)) + $B$18/($B$19*$B$19*($DN333&lt;&gt;$DO333) + $B$19*($DN333=$DO333))</f>
        <v>3.7037037037037035E-4</v>
      </c>
      <c r="DX333" s="10" cm="1">
        <f t="array" aca="1" ref="DX333" ca="1">(1-$B$18)*SUMPRODUCT(OFFSET($BO$15,0,0,$B$14,1), 1*(_xlfn._xlws.FILTER(OFFSET($O$15,0,$DN333,$B$8,1),OFFSET($M$15,0,0,$B$8,1))=DX$13), 1*(_xlfn._xlws.FILTER(OFFSET($O$15,0,$DO333,$B$8,1),OFFSET($M$15,0,0,$B$8,1))=DX$14))   /   SUM(OFFSET($BO$15,0,0,$B$14,1)) + $B$18/($B$19*$B$19*($DN333&lt;&gt;$DO333) + $B$19*($DN333=$DO333))</f>
        <v>3.7037037037037035E-4</v>
      </c>
      <c r="DY333" s="10" cm="1">
        <f t="array" aca="1" ref="DY333" ca="1">(1-$B$18)*SUMPRODUCT(OFFSET($BO$15,0,0,$B$14,1), 1*(_xlfn._xlws.FILTER(OFFSET($O$15,0,$DN333,$B$8,1),OFFSET($M$15,0,0,$B$8,1))=DY$13), 1*(_xlfn._xlws.FILTER(OFFSET($O$15,0,$DO333,$B$8,1),OFFSET($M$15,0,0,$B$8,1))=DY$14))   /   SUM(OFFSET($BO$15,0,0,$B$14,1)) + $B$18/($B$19*$B$19*($DN333&lt;&gt;$DO333) + $B$19*($DN333=$DO333))</f>
        <v>3.7037037037037035E-4</v>
      </c>
      <c r="DZ333" s="10" cm="1">
        <f t="array" aca="1" ref="DZ333" ca="1">(1-$B$18)*SUMPRODUCT(OFFSET($BO$15,0,0,$B$14,1), 1*(_xlfn._xlws.FILTER(OFFSET($O$15,0,$DN333,$B$8,1),OFFSET($M$15,0,0,$B$8,1))=DZ$13), 1*(_xlfn._xlws.FILTER(OFFSET($O$15,0,$DO333,$B$8,1),OFFSET($M$15,0,0,$B$8,1))=DZ$14))   /   SUM(OFFSET($BO$15,0,0,$B$14,1)) + $B$18/($B$19*$B$19*($DN333&lt;&gt;$DO333) + $B$19*($DN333=$DO333))</f>
        <v>3.7037037037037035E-4</v>
      </c>
      <c r="EA333" s="10" cm="1">
        <f t="array" aca="1" ref="EA333" ca="1">(1-$B$18)*SUMPRODUCT(OFFSET($BO$15,0,0,$B$14,1), 1*(_xlfn._xlws.FILTER(OFFSET($O$15,0,$DN333,$B$8,1),OFFSET($M$15,0,0,$B$8,1))=EA$13), 1*(_xlfn._xlws.FILTER(OFFSET($O$15,0,$DO333,$B$8,1),OFFSET($M$15,0,0,$B$8,1))=EA$14))   /   SUM(OFFSET($BO$15,0,0,$B$14,1)) + $B$18/($B$19*$B$19*($DN333&lt;&gt;$DO333) + $B$19*($DN333=$DO333))</f>
        <v>3.7037037037037035E-4</v>
      </c>
      <c r="EB333" s="10" cm="1">
        <f t="array" aca="1" ref="EB333" ca="1">(1-$B$18)*SUMPRODUCT(OFFSET($BO$15,0,0,$B$14,1), 1*(_xlfn._xlws.FILTER(OFFSET($O$15,0,$DN333,$B$8,1),OFFSET($M$15,0,0,$B$8,1))=EB$13), 1*(_xlfn._xlws.FILTER(OFFSET($O$15,0,$DO333,$B$8,1),OFFSET($M$15,0,0,$B$8,1))=EB$14))   /   SUM(OFFSET($BO$15,0,0,$B$14,1)) + $B$18/($B$19*$B$19*($DN333&lt;&gt;$DO333) + $B$19*($DN333=$DO333))</f>
        <v>3.7037037037037035E-4</v>
      </c>
      <c r="EC333" s="10" cm="1">
        <f t="array" aca="1" ref="EC333" ca="1">(1-$B$18)*SUMPRODUCT(OFFSET($BO$15,0,0,$B$14,1), 1*(_xlfn._xlws.FILTER(OFFSET($O$15,0,$DN333,$B$8,1),OFFSET($M$15,0,0,$B$8,1))=EC$13), 1*(_xlfn._xlws.FILTER(OFFSET($O$15,0,$DO333,$B$8,1),OFFSET($M$15,0,0,$B$8,1))=EC$14))   /   SUM(OFFSET($BO$15,0,0,$B$14,1)) + $B$18/($B$19*$B$19*($DN333&lt;&gt;$DO333) + $B$19*($DN333=$DO333))</f>
        <v>3.7037037037037035E-4</v>
      </c>
      <c r="ED333" s="10" cm="1">
        <f t="array" aca="1" ref="ED333" ca="1">(1-$B$18)*SUMPRODUCT(OFFSET($BO$15,0,0,$B$14,1), 1*(_xlfn._xlws.FILTER(OFFSET($O$15,0,$DN333,$B$8,1),OFFSET($M$15,0,0,$B$8,1))=ED$13), 1*(_xlfn._xlws.FILTER(OFFSET($O$15,0,$DO333,$B$8,1),OFFSET($M$15,0,0,$B$8,1))=ED$14))   /   SUM(OFFSET($BO$15,0,0,$B$14,1)) + $B$18/($B$19*$B$19*($DN333&lt;&gt;$DO333) + $B$19*($DN333=$DO333))</f>
        <v>3.7037037037037035E-4</v>
      </c>
      <c r="EE333" s="10" cm="1">
        <f t="array" aca="1" ref="EE333" ca="1">(1-$B$18)*SUMPRODUCT(OFFSET($BO$15,0,0,$B$14,1), 1*(_xlfn._xlws.FILTER(OFFSET($O$15,0,$DN333,$B$8,1),OFFSET($M$15,0,0,$B$8,1))=EE$13), 1*(_xlfn._xlws.FILTER(OFFSET($O$15,0,$DO333,$B$8,1),OFFSET($M$15,0,0,$B$8,1))=EE$14))   /   SUM(OFFSET($BO$15,0,0,$B$14,1)) + $B$18/($B$19*$B$19*($DN333&lt;&gt;$DO333) + $B$19*($DN333=$DO333))</f>
        <v>3.7037037037037035E-4</v>
      </c>
      <c r="EF333" s="10" cm="1">
        <f t="array" aca="1" ref="EF333" ca="1">(1-$B$18)*SUMPRODUCT(OFFSET($BO$15,0,0,$B$14,1), 1*(_xlfn._xlws.FILTER(OFFSET($O$15,0,$DN333,$B$8,1),OFFSET($M$15,0,0,$B$8,1))=EF$13), 1*(_xlfn._xlws.FILTER(OFFSET($O$15,0,$DO333,$B$8,1),OFFSET($M$15,0,0,$B$8,1))=EF$14))   /   SUM(OFFSET($BO$15,0,0,$B$14,1)) + $B$18/($B$19*$B$19*($DN333&lt;&gt;$DO333) + $B$19*($DN333=$DO333))</f>
        <v>3.7037037037037035E-4</v>
      </c>
      <c r="EG333" s="10" cm="1">
        <f t="array" aca="1" ref="EG333" ca="1">(1-$B$18)*SUMPRODUCT(OFFSET($BO$15,0,0,$B$14,1), 1*(_xlfn._xlws.FILTER(OFFSET($O$15,0,$DN333,$B$8,1),OFFSET($M$15,0,0,$B$8,1))=EG$13), 1*(_xlfn._xlws.FILTER(OFFSET($O$15,0,$DO333,$B$8,1),OFFSET($M$15,0,0,$B$8,1))=EG$14))   /   SUM(OFFSET($BO$15,0,0,$B$14,1)) + $B$18/($B$19*$B$19*($DN333&lt;&gt;$DO333) + $B$19*($DN333=$DO333))</f>
        <v>3.7037037037037035E-4</v>
      </c>
      <c r="EH333" s="10" cm="1">
        <f t="array" aca="1" ref="EH333" ca="1">(1-$B$18)*SUMPRODUCT(OFFSET($BO$15,0,0,$B$14,1), 1*(_xlfn._xlws.FILTER(OFFSET($O$15,0,$DN333,$B$8,1),OFFSET($M$15,0,0,$B$8,1))=EH$13), 1*(_xlfn._xlws.FILTER(OFFSET($O$15,0,$DO333,$B$8,1),OFFSET($M$15,0,0,$B$8,1))=EH$14))   /   SUM(OFFSET($BO$15,0,0,$B$14,1)) + $B$18/($B$19*$B$19*($DN333&lt;&gt;$DO333) + $B$19*($DN333=$DO333))</f>
        <v>3.7037037037037035E-4</v>
      </c>
      <c r="EI333" s="10" cm="1">
        <f t="array" aca="1" ref="EI333" ca="1">(1-$B$18)*SUMPRODUCT(OFFSET($BO$15,0,0,$B$14,1), 1*(_xlfn._xlws.FILTER(OFFSET($O$15,0,$DN333,$B$8,1),OFFSET($M$15,0,0,$B$8,1))=EI$13), 1*(_xlfn._xlws.FILTER(OFFSET($O$15,0,$DO333,$B$8,1),OFFSET($M$15,0,0,$B$8,1))=EI$14))   /   SUM(OFFSET($BO$15,0,0,$B$14,1)) + $B$18/($B$19*$B$19*($DN333&lt;&gt;$DO333) + $B$19*($DN333=$DO333))</f>
        <v>3.7037037037037035E-4</v>
      </c>
      <c r="EJ333" s="10" cm="1">
        <f t="array" aca="1" ref="EJ333" ca="1">(1-$B$18)*SUMPRODUCT(OFFSET($BO$15,0,0,$B$14,1), 1*(_xlfn._xlws.FILTER(OFFSET($O$15,0,$DN333,$B$8,1),OFFSET($M$15,0,0,$B$8,1))=EJ$13), 1*(_xlfn._xlws.FILTER(OFFSET($O$15,0,$DO333,$B$8,1),OFFSET($M$15,0,0,$B$8,1))=EJ$14))   /   SUM(OFFSET($BO$15,0,0,$B$14,1)) + $B$18/($B$19*$B$19*($DN333&lt;&gt;$DO333) + $B$19*($DN333=$DO333))</f>
        <v>3.7037037037037035E-4</v>
      </c>
      <c r="EK333" s="10" cm="1">
        <f t="array" aca="1" ref="EK333" ca="1">(1-$B$18)*SUMPRODUCT(OFFSET($BO$15,0,0,$B$14,1), 1*(_xlfn._xlws.FILTER(OFFSET($O$15,0,$DN333,$B$8,1),OFFSET($M$15,0,0,$B$8,1))=EK$13), 1*(_xlfn._xlws.FILTER(OFFSET($O$15,0,$DO333,$B$8,1),OFFSET($M$15,0,0,$B$8,1))=EK$14))   /   SUM(OFFSET($BO$15,0,0,$B$14,1)) + $B$18/($B$19*$B$19*($DN333&lt;&gt;$DO333) + $B$19*($DN333=$DO333))</f>
        <v>3.7037037037037035E-4</v>
      </c>
      <c r="EL333" s="10" cm="1">
        <f t="array" aca="1" ref="EL333" ca="1">(1-$B$18)*SUMPRODUCT(OFFSET($BO$15,0,0,$B$14,1), 1*(_xlfn._xlws.FILTER(OFFSET($O$15,0,$DN333,$B$8,1),OFFSET($M$15,0,0,$B$8,1))=EL$13), 1*(_xlfn._xlws.FILTER(OFFSET($O$15,0,$DO333,$B$8,1),OFFSET($M$15,0,0,$B$8,1))=EL$14))   /   SUM(OFFSET($BO$15,0,0,$B$14,1)) + $B$18/($B$19*$B$19*($DN333&lt;&gt;$DO333) + $B$19*($DN333=$DO333))</f>
        <v>3.7037037037037035E-4</v>
      </c>
      <c r="EM333" s="10" cm="1">
        <f t="array" aca="1" ref="EM333" ca="1">(1-$B$18)*SUMPRODUCT(OFFSET($BO$15,0,0,$B$14,1), 1*(_xlfn._xlws.FILTER(OFFSET($O$15,0,$DN333,$B$8,1),OFFSET($M$15,0,0,$B$8,1))=EM$13), 1*(_xlfn._xlws.FILTER(OFFSET($O$15,0,$DO333,$B$8,1),OFFSET($M$15,0,0,$B$8,1))=EM$14))   /   SUM(OFFSET($BO$15,0,0,$B$14,1)) + $B$18/($B$19*$B$19*($DN333&lt;&gt;$DO333) + $B$19*($DN333=$DO333))</f>
        <v>3.7037037037037035E-4</v>
      </c>
      <c r="EN333" s="10" cm="1">
        <f t="array" aca="1" ref="EN333" ca="1">(1-$B$18)*SUMPRODUCT(OFFSET($BO$15,0,0,$B$14,1), 1*(_xlfn._xlws.FILTER(OFFSET($O$15,0,$DN333,$B$8,1),OFFSET($M$15,0,0,$B$8,1))=EN$13), 1*(_xlfn._xlws.FILTER(OFFSET($O$15,0,$DO333,$B$8,1),OFFSET($M$15,0,0,$B$8,1))=EN$14))   /   SUM(OFFSET($BO$15,0,0,$B$14,1)) + $B$18/($B$19*$B$19*($DN333&lt;&gt;$DO333) + $B$19*($DN333=$DO333))</f>
        <v>3.7037037037037035E-4</v>
      </c>
      <c r="EO333" s="10" cm="1">
        <f t="array" aca="1" ref="EO333" ca="1">(1-$B$18)*SUMPRODUCT(OFFSET($BO$15,0,0,$B$14,1), 1*(_xlfn._xlws.FILTER(OFFSET($O$15,0,$DN333,$B$8,1),OFFSET($M$15,0,0,$B$8,1))=EO$13), 1*(_xlfn._xlws.FILTER(OFFSET($O$15,0,$DO333,$B$8,1),OFFSET($M$15,0,0,$B$8,1))=EO$14))   /   SUM(OFFSET($BO$15,0,0,$B$14,1)) + $B$18/($B$19*$B$19*($DN333&lt;&gt;$DO333) + $B$19*($DN333=$DO333))</f>
        <v>3.7037037037037035E-4</v>
      </c>
      <c r="EP333" s="10" cm="1">
        <f t="array" aca="1" ref="EP333" ca="1">(1-$B$18)*SUMPRODUCT(OFFSET($BO$15,0,0,$B$14,1), 1*(_xlfn._xlws.FILTER(OFFSET($O$15,0,$DN333,$B$8,1),OFFSET($M$15,0,0,$B$8,1))=EP$13), 1*(_xlfn._xlws.FILTER(OFFSET($O$15,0,$DO333,$B$8,1),OFFSET($M$15,0,0,$B$8,1))=EP$14))   /   SUM(OFFSET($BO$15,0,0,$B$14,1)) + $B$18/($B$19*$B$19*($DN333&lt;&gt;$DO333) + $B$19*($DN333=$DO333))</f>
        <v>0.97037037037037033</v>
      </c>
      <c r="EQ333" s="10" cm="1">
        <f t="array" aca="1" ref="EQ333" ca="1">(1-$B$18)*SUMPRODUCT(OFFSET($BO$15,0,0,$B$14,1), 1*(_xlfn._xlws.FILTER(OFFSET($O$15,0,$DN333,$B$8,1),OFFSET($M$15,0,0,$B$8,1))=EQ$13), 1*(_xlfn._xlws.FILTER(OFFSET($O$15,0,$DO333,$B$8,1),OFFSET($M$15,0,0,$B$8,1))=EQ$14))   /   SUM(OFFSET($BO$15,0,0,$B$14,1)) + $B$18/($B$19*$B$19*($DN333&lt;&gt;$DO333) + $B$19*($DN333=$DO333))</f>
        <v>3.7037037037037035E-4</v>
      </c>
      <c r="ER333" s="10" cm="1">
        <f t="array" aca="1" ref="ER333" ca="1">(1-$B$18)*SUMPRODUCT(OFFSET($BO$15,0,0,$B$14,1), 1*(_xlfn._xlws.FILTER(OFFSET($O$15,0,$DN333,$B$8,1),OFFSET($M$15,0,0,$B$8,1))=ER$13), 1*(_xlfn._xlws.FILTER(OFFSET($O$15,0,$DO333,$B$8,1),OFFSET($M$15,0,0,$B$8,1))=ER$14))   /   SUM(OFFSET($BO$15,0,0,$B$14,1)) + $B$18/($B$19*$B$19*($DN333&lt;&gt;$DO333) + $B$19*($DN333=$DO333))</f>
        <v>3.7037037037037035E-4</v>
      </c>
      <c r="ES333" s="10" cm="1">
        <f t="array" aca="1" ref="ES333" ca="1">(1-$B$18)*SUMPRODUCT(OFFSET($BO$15,0,0,$B$14,1), 1*(_xlfn._xlws.FILTER(OFFSET($O$15,0,$DN333,$B$8,1),OFFSET($M$15,0,0,$B$8,1))=ES$13), 1*(_xlfn._xlws.FILTER(OFFSET($O$15,0,$DO333,$B$8,1),OFFSET($M$15,0,0,$B$8,1))=ES$14))   /   SUM(OFFSET($BO$15,0,0,$B$14,1)) + $B$18/($B$19*$B$19*($DN333&lt;&gt;$DO333) + $B$19*($DN333=$DO333))</f>
        <v>3.7037037037037035E-4</v>
      </c>
      <c r="ET333" s="10" cm="1">
        <f t="array" aca="1" ref="ET333" ca="1">(1-$B$18)*SUMPRODUCT(OFFSET($BO$15,0,0,$B$14,1), 1*(_xlfn._xlws.FILTER(OFFSET($O$15,0,$DN333,$B$8,1),OFFSET($M$15,0,0,$B$8,1))=ET$13), 1*(_xlfn._xlws.FILTER(OFFSET($O$15,0,$DO333,$B$8,1),OFFSET($M$15,0,0,$B$8,1))=ET$14))   /   SUM(OFFSET($BO$15,0,0,$B$14,1)) + $B$18/($B$19*$B$19*($DN333&lt;&gt;$DO333) + $B$19*($DN333=$DO333))</f>
        <v>3.7037037037037035E-4</v>
      </c>
      <c r="EU333" s="10" cm="1">
        <f t="array" aca="1" ref="EU333" ca="1">(1-$B$18)*SUMPRODUCT(OFFSET($BO$15,0,0,$B$14,1), 1*(_xlfn._xlws.FILTER(OFFSET($O$15,0,$DN333,$B$8,1),OFFSET($M$15,0,0,$B$8,1))=EU$13), 1*(_xlfn._xlws.FILTER(OFFSET($O$15,0,$DO333,$B$8,1),OFFSET($M$15,0,0,$B$8,1))=EU$14))   /   SUM(OFFSET($BO$15,0,0,$B$14,1)) + $B$18/($B$19*$B$19*($DN333&lt;&gt;$DO333) + $B$19*($DN333=$DO333))</f>
        <v>3.7037037037037035E-4</v>
      </c>
      <c r="EV333" s="10" cm="1">
        <f t="array" aca="1" ref="EV333" ca="1">(1-$B$18)*SUMPRODUCT(OFFSET($BO$15,0,0,$B$14,1), 1*(_xlfn._xlws.FILTER(OFFSET($O$15,0,$DN333,$B$8,1),OFFSET($M$15,0,0,$B$8,1))=EV$13), 1*(_xlfn._xlws.FILTER(OFFSET($O$15,0,$DO333,$B$8,1),OFFSET($M$15,0,0,$B$8,1))=EV$14))   /   SUM(OFFSET($BO$15,0,0,$B$14,1)) + $B$18/($B$19*$B$19*($DN333&lt;&gt;$DO333) + $B$19*($DN333=$DO333))</f>
        <v>3.7037037037037035E-4</v>
      </c>
      <c r="EW333" s="10" cm="1">
        <f t="array" aca="1" ref="EW333" ca="1">(1-$B$18)*SUMPRODUCT(OFFSET($BO$15,0,0,$B$14,1), 1*(_xlfn._xlws.FILTER(OFFSET($O$15,0,$DN333,$B$8,1),OFFSET($M$15,0,0,$B$8,1))=EW$13), 1*(_xlfn._xlws.FILTER(OFFSET($O$15,0,$DO333,$B$8,1),OFFSET($M$15,0,0,$B$8,1))=EW$14))   /   SUM(OFFSET($BO$15,0,0,$B$14,1)) + $B$18/($B$19*$B$19*($DN333&lt;&gt;$DO333) + $B$19*($DN333=$DO333))</f>
        <v>3.7037037037037035E-4</v>
      </c>
      <c r="EX333" s="10" cm="1">
        <f t="array" aca="1" ref="EX333" ca="1">(1-$B$18)*SUMPRODUCT(OFFSET($BO$15,0,0,$B$14,1), 1*(_xlfn._xlws.FILTER(OFFSET($O$15,0,$DN333,$B$8,1),OFFSET($M$15,0,0,$B$8,1))=EX$13), 1*(_xlfn._xlws.FILTER(OFFSET($O$15,0,$DO333,$B$8,1),OFFSET($M$15,0,0,$B$8,1))=EX$14))   /   SUM(OFFSET($BO$15,0,0,$B$14,1)) + $B$18/($B$19*$B$19*($DN333&lt;&gt;$DO333) + $B$19*($DN333=$DO333))</f>
        <v>3.7037037037037035E-4</v>
      </c>
      <c r="EY333" s="10" cm="1">
        <f t="array" aca="1" ref="EY333" ca="1">(1-$B$18)*SUMPRODUCT(OFFSET($BO$15,0,0,$B$14,1), 1*(_xlfn._xlws.FILTER(OFFSET($O$15,0,$DN333,$B$8,1),OFFSET($M$15,0,0,$B$8,1))=EY$13), 1*(_xlfn._xlws.FILTER(OFFSET($O$15,0,$DO333,$B$8,1),OFFSET($M$15,0,0,$B$8,1))=EY$14))   /   SUM(OFFSET($BO$15,0,0,$B$14,1)) + $B$18/($B$19*$B$19*($DN333&lt;&gt;$DO333) + $B$19*($DN333=$DO333))</f>
        <v>3.7037037037037035E-4</v>
      </c>
      <c r="EZ333" s="10" cm="1">
        <f t="array" aca="1" ref="EZ333" ca="1">(1-$B$18)*SUMPRODUCT(OFFSET($BO$15,0,0,$B$14,1), 1*(_xlfn._xlws.FILTER(OFFSET($O$15,0,$DN333,$B$8,1),OFFSET($M$15,0,0,$B$8,1))=EZ$13), 1*(_xlfn._xlws.FILTER(OFFSET($O$15,0,$DO333,$B$8,1),OFFSET($M$15,0,0,$B$8,1))=EZ$14))   /   SUM(OFFSET($BO$15,0,0,$B$14,1)) + $B$18/($B$19*$B$19*($DN333&lt;&gt;$DO333) + $B$19*($DN333=$DO333))</f>
        <v>3.7037037037037035E-4</v>
      </c>
      <c r="FA333" s="10" cm="1">
        <f t="array" aca="1" ref="FA333" ca="1">(1-$B$18)*SUMPRODUCT(OFFSET($BO$15,0,0,$B$14,1), 1*(_xlfn._xlws.FILTER(OFFSET($O$15,0,$DN333,$B$8,1),OFFSET($M$15,0,0,$B$8,1))=FA$13), 1*(_xlfn._xlws.FILTER(OFFSET($O$15,0,$DO333,$B$8,1),OFFSET($M$15,0,0,$B$8,1))=FA$14))   /   SUM(OFFSET($BO$15,0,0,$B$14,1)) + $B$18/($B$19*$B$19*($DN333&lt;&gt;$DO333) + $B$19*($DN333=$DO333))</f>
        <v>3.7037037037037035E-4</v>
      </c>
      <c r="FB333" s="10" cm="1">
        <f t="array" aca="1" ref="FB333" ca="1">(1-$B$18)*SUMPRODUCT(OFFSET($BO$15,0,0,$B$14,1), 1*(_xlfn._xlws.FILTER(OFFSET($O$15,0,$DN333,$B$8,1),OFFSET($M$15,0,0,$B$8,1))=FB$13), 1*(_xlfn._xlws.FILTER(OFFSET($O$15,0,$DO333,$B$8,1),OFFSET($M$15,0,0,$B$8,1))=FB$14))   /   SUM(OFFSET($BO$15,0,0,$B$14,1)) + $B$18/($B$19*$B$19*($DN333&lt;&gt;$DO333) + $B$19*($DN333=$DO333))</f>
        <v>3.7037037037037035E-4</v>
      </c>
      <c r="FC333" s="10" cm="1">
        <f t="array" aca="1" ref="FC333" ca="1">(1-$B$18)*SUMPRODUCT(OFFSET($BO$15,0,0,$B$14,1), 1*(_xlfn._xlws.FILTER(OFFSET($O$15,0,$DN333,$B$8,1),OFFSET($M$15,0,0,$B$8,1))=FC$13), 1*(_xlfn._xlws.FILTER(OFFSET($O$15,0,$DO333,$B$8,1),OFFSET($M$15,0,0,$B$8,1))=FC$14))   /   SUM(OFFSET($BO$15,0,0,$B$14,1)) + $B$18/($B$19*$B$19*($DN333&lt;&gt;$DO333) + $B$19*($DN333=$DO333))</f>
        <v>3.7037037037037035E-4</v>
      </c>
      <c r="FD333" s="10" cm="1">
        <f t="array" aca="1" ref="FD333" ca="1">(1-$B$18)*SUMPRODUCT(OFFSET($BO$15,0,0,$B$14,1), 1*(_xlfn._xlws.FILTER(OFFSET($O$15,0,$DN333,$B$8,1),OFFSET($M$15,0,0,$B$8,1))=FD$13), 1*(_xlfn._xlws.FILTER(OFFSET($O$15,0,$DO333,$B$8,1),OFFSET($M$15,0,0,$B$8,1))=FD$14))   /   SUM(OFFSET($BO$15,0,0,$B$14,1)) + $B$18/($B$19*$B$19*($DN333&lt;&gt;$DO333) + $B$19*($DN333=$DO333))</f>
        <v>3.7037037037037035E-4</v>
      </c>
      <c r="FE333" s="10" cm="1">
        <f t="array" aca="1" ref="FE333" ca="1">(1-$B$18)*SUMPRODUCT(OFFSET($BO$15,0,0,$B$14,1), 1*(_xlfn._xlws.FILTER(OFFSET($O$15,0,$DN333,$B$8,1),OFFSET($M$15,0,0,$B$8,1))=FE$13), 1*(_xlfn._xlws.FILTER(OFFSET($O$15,0,$DO333,$B$8,1),OFFSET($M$15,0,0,$B$8,1))=FE$14))   /   SUM(OFFSET($BO$15,0,0,$B$14,1)) + $B$18/($B$19*$B$19*($DN333&lt;&gt;$DO333) + $B$19*($DN333=$DO333))</f>
        <v>3.7037037037037035E-4</v>
      </c>
      <c r="FF333" s="10" cm="1">
        <f t="array" aca="1" ref="FF333" ca="1">(1-$B$18)*SUMPRODUCT(OFFSET($BO$15,0,0,$B$14,1), 1*(_xlfn._xlws.FILTER(OFFSET($O$15,0,$DN333,$B$8,1),OFFSET($M$15,0,0,$B$8,1))=FF$13), 1*(_xlfn._xlws.FILTER(OFFSET($O$15,0,$DO333,$B$8,1),OFFSET($M$15,0,0,$B$8,1))=FF$14))   /   SUM(OFFSET($BO$15,0,0,$B$14,1)) + $B$18/($B$19*$B$19*($DN333&lt;&gt;$DO333) + $B$19*($DN333=$DO333))</f>
        <v>3.7037037037037035E-4</v>
      </c>
      <c r="FG333" s="10" cm="1">
        <f t="array" aca="1" ref="FG333" ca="1">(1-$B$18)*SUMPRODUCT(OFFSET($BO$15,0,0,$B$14,1), 1*(_xlfn._xlws.FILTER(OFFSET($O$15,0,$DN333,$B$8,1),OFFSET($M$15,0,0,$B$8,1))=FG$13), 1*(_xlfn._xlws.FILTER(OFFSET($O$15,0,$DO333,$B$8,1),OFFSET($M$15,0,0,$B$8,1))=FG$14))   /   SUM(OFFSET($BO$15,0,0,$B$14,1)) + $B$18/($B$19*$B$19*($DN333&lt;&gt;$DO333) + $B$19*($DN333=$DO333))</f>
        <v>3.7037037037037035E-4</v>
      </c>
      <c r="FH333" s="10" cm="1">
        <f t="array" aca="1" ref="FH333" ca="1">(1-$B$18)*SUMPRODUCT(OFFSET($BO$15,0,0,$B$14,1), 1*(_xlfn._xlws.FILTER(OFFSET($O$15,0,$DN333,$B$8,1),OFFSET($M$15,0,0,$B$8,1))=FH$13), 1*(_xlfn._xlws.FILTER(OFFSET($O$15,0,$DO333,$B$8,1),OFFSET($M$15,0,0,$B$8,1))=FH$14))   /   SUM(OFFSET($BO$15,0,0,$B$14,1)) + $B$18/($B$19*$B$19*($DN333&lt;&gt;$DO333) + $B$19*($DN333=$DO333))</f>
        <v>3.7037037037037035E-4</v>
      </c>
      <c r="FI333" s="10" cm="1">
        <f t="array" aca="1" ref="FI333" ca="1">(1-$B$18)*SUMPRODUCT(OFFSET($BO$15,0,0,$B$14,1), 1*(_xlfn._xlws.FILTER(OFFSET($O$15,0,$DN333,$B$8,1),OFFSET($M$15,0,0,$B$8,1))=FI$13), 1*(_xlfn._xlws.FILTER(OFFSET($O$15,0,$DO333,$B$8,1),OFFSET($M$15,0,0,$B$8,1))=FI$14))   /   SUM(OFFSET($BO$15,0,0,$B$14,1)) + $B$18/($B$19*$B$19*($DN333&lt;&gt;$DO333) + $B$19*($DN333=$DO333))</f>
        <v>3.7037037037037035E-4</v>
      </c>
      <c r="FJ333" s="10" cm="1">
        <f t="array" aca="1" ref="FJ333" ca="1">(1-$B$18)*SUMPRODUCT(OFFSET($BO$15,0,0,$B$14,1), 1*(_xlfn._xlws.FILTER(OFFSET($O$15,0,$DN333,$B$8,1),OFFSET($M$15,0,0,$B$8,1))=FJ$13), 1*(_xlfn._xlws.FILTER(OFFSET($O$15,0,$DO333,$B$8,1),OFFSET($M$15,0,0,$B$8,1))=FJ$14))   /   SUM(OFFSET($BO$15,0,0,$B$14,1)) + $B$18/($B$19*$B$19*($DN333&lt;&gt;$DO333) + $B$19*($DN333=$DO333))</f>
        <v>3.7037037037037035E-4</v>
      </c>
      <c r="FK333" s="10" cm="1">
        <f t="array" aca="1" ref="FK333" ca="1">(1-$B$18)*SUMPRODUCT(OFFSET($BO$15,0,0,$B$14,1), 1*(_xlfn._xlws.FILTER(OFFSET($O$15,0,$DN333,$B$8,1),OFFSET($M$15,0,0,$B$8,1))=FK$13), 1*(_xlfn._xlws.FILTER(OFFSET($O$15,0,$DO333,$B$8,1),OFFSET($M$15,0,0,$B$8,1))=FK$14))   /   SUM(OFFSET($BO$15,0,0,$B$14,1)) + $B$18/($B$19*$B$19*($DN333&lt;&gt;$DO333) + $B$19*($DN333=$DO333))</f>
        <v>3.7037037037037035E-4</v>
      </c>
      <c r="FL333" s="10" cm="1">
        <f t="array" aca="1" ref="FL333" ca="1">(1-$B$18)*SUMPRODUCT(OFFSET($BO$15,0,0,$B$14,1), 1*(_xlfn._xlws.FILTER(OFFSET($O$15,0,$DN333,$B$8,1),OFFSET($M$15,0,0,$B$8,1))=FL$13), 1*(_xlfn._xlws.FILTER(OFFSET($O$15,0,$DO333,$B$8,1),OFFSET($M$15,0,0,$B$8,1))=FL$14))   /   SUM(OFFSET($BO$15,0,0,$B$14,1)) + $B$18/($B$19*$B$19*($DN333&lt;&gt;$DO333) + $B$19*($DN333=$DO333))</f>
        <v>3.7037037037037035E-4</v>
      </c>
      <c r="FM333" s="10" cm="1">
        <f t="array" aca="1" ref="FM333" ca="1">(1-$B$18)*SUMPRODUCT(OFFSET($BO$15,0,0,$B$14,1), 1*(_xlfn._xlws.FILTER(OFFSET($O$15,0,$DN333,$B$8,1),OFFSET($M$15,0,0,$B$8,1))=FM$13), 1*(_xlfn._xlws.FILTER(OFFSET($O$15,0,$DO333,$B$8,1),OFFSET($M$15,0,0,$B$8,1))=FM$14))   /   SUM(OFFSET($BO$15,0,0,$B$14,1)) + $B$18/($B$19*$B$19*($DN333&lt;&gt;$DO333) + $B$19*($DN333=$DO333))</f>
        <v>3.7037037037037035E-4</v>
      </c>
      <c r="FN333" s="10" cm="1">
        <f t="array" aca="1" ref="FN333" ca="1">(1-$B$18)*SUMPRODUCT(OFFSET($BO$15,0,0,$B$14,1), 1*(_xlfn._xlws.FILTER(OFFSET($O$15,0,$DN333,$B$8,1),OFFSET($M$15,0,0,$B$8,1))=FN$13), 1*(_xlfn._xlws.FILTER(OFFSET($O$15,0,$DO333,$B$8,1),OFFSET($M$15,0,0,$B$8,1))=FN$14))   /   SUM(OFFSET($BO$15,0,0,$B$14,1)) + $B$18/($B$19*$B$19*($DN333&lt;&gt;$DO333) + $B$19*($DN333=$DO333))</f>
        <v>3.7037037037037035E-4</v>
      </c>
      <c r="FO333" s="10" cm="1">
        <f t="array" aca="1" ref="FO333" ca="1">(1-$B$18)*SUMPRODUCT(OFFSET($BO$15,0,0,$B$14,1), 1*(_xlfn._xlws.FILTER(OFFSET($O$15,0,$DN333,$B$8,1),OFFSET($M$15,0,0,$B$8,1))=FO$13), 1*(_xlfn._xlws.FILTER(OFFSET($O$15,0,$DO333,$B$8,1),OFFSET($M$15,0,0,$B$8,1))=FO$14))   /   SUM(OFFSET($BO$15,0,0,$B$14,1)) + $B$18/($B$19*$B$19*($DN333&lt;&gt;$DO333) + $B$19*($DN333=$DO333))</f>
        <v>3.7037037037037035E-4</v>
      </c>
      <c r="FP333" s="10" cm="1">
        <f t="array" aca="1" ref="FP333" ca="1">(1-$B$18)*SUMPRODUCT(OFFSET($BO$15,0,0,$B$14,1), 1*(_xlfn._xlws.FILTER(OFFSET($O$15,0,$DN333,$B$8,1),OFFSET($M$15,0,0,$B$8,1))=FP$13), 1*(_xlfn._xlws.FILTER(OFFSET($O$15,0,$DO333,$B$8,1),OFFSET($M$15,0,0,$B$8,1))=FP$14))   /   SUM(OFFSET($BO$15,0,0,$B$14,1)) + $B$18/($B$19*$B$19*($DN333&lt;&gt;$DO333) + $B$19*($DN333=$DO333))</f>
        <v>3.7037037037037035E-4</v>
      </c>
      <c r="FQ333" s="10" cm="1">
        <f t="array" aca="1" ref="FQ333" ca="1">(1-$B$18)*SUMPRODUCT(OFFSET($BO$15,0,0,$B$14,1), 1*(_xlfn._xlws.FILTER(OFFSET($O$15,0,$DN333,$B$8,1),OFFSET($M$15,0,0,$B$8,1))=FQ$13), 1*(_xlfn._xlws.FILTER(OFFSET($O$15,0,$DO333,$B$8,1),OFFSET($M$15,0,0,$B$8,1))=FQ$14))   /   SUM(OFFSET($BO$15,0,0,$B$14,1)) + $B$18/($B$19*$B$19*($DN333&lt;&gt;$DO333) + $B$19*($DN333=$DO333))</f>
        <v>3.7037037037037035E-4</v>
      </c>
      <c r="FR333" s="10" cm="1">
        <f t="array" aca="1" ref="FR333" ca="1">(1-$B$18)*SUMPRODUCT(OFFSET($BO$15,0,0,$B$14,1), 1*(_xlfn._xlws.FILTER(OFFSET($O$15,0,$DN333,$B$8,1),OFFSET($M$15,0,0,$B$8,1))=FR$13), 1*(_xlfn._xlws.FILTER(OFFSET($O$15,0,$DO333,$B$8,1),OFFSET($M$15,0,0,$B$8,1))=FR$14))   /   SUM(OFFSET($BO$15,0,0,$B$14,1)) + $B$18/($B$19*$B$19*($DN333&lt;&gt;$DO333) + $B$19*($DN333=$DO333))</f>
        <v>3.7037037037037035E-4</v>
      </c>
      <c r="FS333" s="10" cm="1">
        <f t="array" aca="1" ref="FS333" ca="1">(1-$B$18)*SUMPRODUCT(OFFSET($BO$15,0,0,$B$14,1), 1*(_xlfn._xlws.FILTER(OFFSET($O$15,0,$DN333,$B$8,1),OFFSET($M$15,0,0,$B$8,1))=FS$13), 1*(_xlfn._xlws.FILTER(OFFSET($O$15,0,$DO333,$B$8,1),OFFSET($M$15,0,0,$B$8,1))=FS$14))   /   SUM(OFFSET($BO$15,0,0,$B$14,1)) + $B$18/($B$19*$B$19*($DN333&lt;&gt;$DO333) + $B$19*($DN333=$DO333))</f>
        <v>3.7037037037037035E-4</v>
      </c>
      <c r="FT333" s="10" cm="1">
        <f t="array" aca="1" ref="FT333" ca="1">(1-$B$18)*SUMPRODUCT(OFFSET($BO$15,0,0,$B$14,1), 1*(_xlfn._xlws.FILTER(OFFSET($O$15,0,$DN333,$B$8,1),OFFSET($M$15,0,0,$B$8,1))=FT$13), 1*(_xlfn._xlws.FILTER(OFFSET($O$15,0,$DO333,$B$8,1),OFFSET($M$15,0,0,$B$8,1))=FT$14))   /   SUM(OFFSET($BO$15,0,0,$B$14,1)) + $B$18/($B$19*$B$19*($DN333&lt;&gt;$DO333) + $B$19*($DN333=$DO333))</f>
        <v>3.7037037037037035E-4</v>
      </c>
      <c r="FU333" s="10" cm="1">
        <f t="array" aca="1" ref="FU333" ca="1">(1-$B$18)*SUMPRODUCT(OFFSET($BO$15,0,0,$B$14,1), 1*(_xlfn._xlws.FILTER(OFFSET($O$15,0,$DN333,$B$8,1),OFFSET($M$15,0,0,$B$8,1))=FU$13), 1*(_xlfn._xlws.FILTER(OFFSET($O$15,0,$DO333,$B$8,1),OFFSET($M$15,0,0,$B$8,1))=FU$14))   /   SUM(OFFSET($BO$15,0,0,$B$14,1)) + $B$18/($B$19*$B$19*($DN333&lt;&gt;$DO333) + $B$19*($DN333=$DO333))</f>
        <v>3.7037037037037035E-4</v>
      </c>
      <c r="FV333" s="10" cm="1">
        <f t="array" aca="1" ref="FV333" ca="1">(1-$B$18)*SUMPRODUCT(OFFSET($BO$15,0,0,$B$14,1), 1*(_xlfn._xlws.FILTER(OFFSET($O$15,0,$DN333,$B$8,1),OFFSET($M$15,0,0,$B$8,1))=FV$13), 1*(_xlfn._xlws.FILTER(OFFSET($O$15,0,$DO333,$B$8,1),OFFSET($M$15,0,0,$B$8,1))=FV$14))   /   SUM(OFFSET($BO$15,0,0,$B$14,1)) + $B$18/($B$19*$B$19*($DN333&lt;&gt;$DO333) + $B$19*($DN333=$DO333))</f>
        <v>3.7037037037037035E-4</v>
      </c>
      <c r="FW333" s="10" cm="1">
        <f t="array" aca="1" ref="FW333" ca="1">(1-$B$18)*SUMPRODUCT(OFFSET($BO$15,0,0,$B$14,1), 1*(_xlfn._xlws.FILTER(OFFSET($O$15,0,$DN333,$B$8,1),OFFSET($M$15,0,0,$B$8,1))=FW$13), 1*(_xlfn._xlws.FILTER(OFFSET($O$15,0,$DO333,$B$8,1),OFFSET($M$15,0,0,$B$8,1))=FW$14))   /   SUM(OFFSET($BO$15,0,0,$B$14,1)) + $B$18/($B$19*$B$19*($DN333&lt;&gt;$DO333) + $B$19*($DN333=$DO333))</f>
        <v>3.7037037037037035E-4</v>
      </c>
      <c r="FX333" s="10" cm="1">
        <f t="array" aca="1" ref="FX333" ca="1">(1-$B$18)*SUMPRODUCT(OFFSET($BO$15,0,0,$B$14,1), 1*(_xlfn._xlws.FILTER(OFFSET($O$15,0,$DN333,$B$8,1),OFFSET($M$15,0,0,$B$8,1))=FX$13), 1*(_xlfn._xlws.FILTER(OFFSET($O$15,0,$DO333,$B$8,1),OFFSET($M$15,0,0,$B$8,1))=FX$14))   /   SUM(OFFSET($BO$15,0,0,$B$14,1)) + $B$18/($B$19*$B$19*($DN333&lt;&gt;$DO333) + $B$19*($DN333=$DO333))</f>
        <v>3.7037037037037035E-4</v>
      </c>
      <c r="FY333" s="10" cm="1">
        <f t="array" aca="1" ref="FY333" ca="1">(1-$B$18)*SUMPRODUCT(OFFSET($BO$15,0,0,$B$14,1), 1*(_xlfn._xlws.FILTER(OFFSET($O$15,0,$DN333,$B$8,1),OFFSET($M$15,0,0,$B$8,1))=FY$13), 1*(_xlfn._xlws.FILTER(OFFSET($O$15,0,$DO333,$B$8,1),OFFSET($M$15,0,0,$B$8,1))=FY$14))   /   SUM(OFFSET($BO$15,0,0,$B$14,1)) + $B$18/($B$19*$B$19*($DN333&lt;&gt;$DO333) + $B$19*($DN333=$DO333))</f>
        <v>3.7037037037037035E-4</v>
      </c>
      <c r="FZ333" s="10" cm="1">
        <f t="array" aca="1" ref="FZ333" ca="1">(1-$B$18)*SUMPRODUCT(OFFSET($BO$15,0,0,$B$14,1), 1*(_xlfn._xlws.FILTER(OFFSET($O$15,0,$DN333,$B$8,1),OFFSET($M$15,0,0,$B$8,1))=FZ$13), 1*(_xlfn._xlws.FILTER(OFFSET($O$15,0,$DO333,$B$8,1),OFFSET($M$15,0,0,$B$8,1))=FZ$14))   /   SUM(OFFSET($BO$15,0,0,$B$14,1)) + $B$18/($B$19*$B$19*($DN333&lt;&gt;$DO333) + $B$19*($DN333=$DO333))</f>
        <v>3.7037037037037035E-4</v>
      </c>
      <c r="GA333" s="10" cm="1">
        <f t="array" aca="1" ref="GA333" ca="1">(1-$B$18)*SUMPRODUCT(OFFSET($BO$15,0,0,$B$14,1), 1*(_xlfn._xlws.FILTER(OFFSET($O$15,0,$DN333,$B$8,1),OFFSET($M$15,0,0,$B$8,1))=GA$13), 1*(_xlfn._xlws.FILTER(OFFSET($O$15,0,$DO333,$B$8,1),OFFSET($M$15,0,0,$B$8,1))=GA$14))   /   SUM(OFFSET($BO$15,0,0,$B$14,1)) + $B$18/($B$19*$B$19*($DN333&lt;&gt;$DO333) + $B$19*($DN333=$DO333))</f>
        <v>3.7037037037037035E-4</v>
      </c>
    </row>
    <row r="334" spans="118:183" x14ac:dyDescent="0.2">
      <c r="DN334" cm="1">
        <f t="array" aca="1" ref="DN334" ca="1">INDEX(_xlfn.ANCHORARRAY($CP$15), 1 + INT((ROWS($DO$15:$DO334) - 1) / ROWS(_xlfn.ANCHORARRAY($CP$15))))</f>
        <v>19</v>
      </c>
      <c r="DO334" cm="1">
        <f t="array" aca="1" ref="DO334" ca="1">INDEX(_xlfn.ANCHORARRAY($CP$15),1+MOD(ROWS($DO$15:$DO334)-1,ROWS(_xlfn.ANCHORARRAY($CP$15))))</f>
        <v>18</v>
      </c>
      <c r="DP334" s="10" cm="1">
        <f t="array" aca="1" ref="DP334" ca="1">(1-$B$18)*SUMPRODUCT(OFFSET($BO$15,0,0,$B$14,1), 1*(_xlfn._xlws.FILTER(OFFSET($O$15,0,$DN334,$B$8,1),OFFSET($M$15,0,0,$B$8,1))=DP$13), 1*(_xlfn._xlws.FILTER(OFFSET($O$15,0,$DO334,$B$8,1),OFFSET($M$15,0,0,$B$8,1))=DP$14))   /   SUM(OFFSET($BO$15,0,0,$B$14,1)) + $B$18/($B$19*$B$19*($DN334&lt;&gt;$DO334) + $B$19*($DN334=$DO334))</f>
        <v>3.7037037037037035E-4</v>
      </c>
      <c r="DQ334" s="10" cm="1">
        <f t="array" aca="1" ref="DQ334" ca="1">(1-$B$18)*SUMPRODUCT(OFFSET($BO$15,0,0,$B$14,1), 1*(_xlfn._xlws.FILTER(OFFSET($O$15,0,$DN334,$B$8,1),OFFSET($M$15,0,0,$B$8,1))=DQ$13), 1*(_xlfn._xlws.FILTER(OFFSET($O$15,0,$DO334,$B$8,1),OFFSET($M$15,0,0,$B$8,1))=DQ$14))   /   SUM(OFFSET($BO$15,0,0,$B$14,1)) + $B$18/($B$19*$B$19*($DN334&lt;&gt;$DO334) + $B$19*($DN334=$DO334))</f>
        <v>3.7037037037037035E-4</v>
      </c>
      <c r="DR334" s="10" cm="1">
        <f t="array" aca="1" ref="DR334" ca="1">(1-$B$18)*SUMPRODUCT(OFFSET($BO$15,0,0,$B$14,1), 1*(_xlfn._xlws.FILTER(OFFSET($O$15,0,$DN334,$B$8,1),OFFSET($M$15,0,0,$B$8,1))=DR$13), 1*(_xlfn._xlws.FILTER(OFFSET($O$15,0,$DO334,$B$8,1),OFFSET($M$15,0,0,$B$8,1))=DR$14))   /   SUM(OFFSET($BO$15,0,0,$B$14,1)) + $B$18/($B$19*$B$19*($DN334&lt;&gt;$DO334) + $B$19*($DN334=$DO334))</f>
        <v>3.7037037037037035E-4</v>
      </c>
      <c r="DS334" s="10" cm="1">
        <f t="array" aca="1" ref="DS334" ca="1">(1-$B$18)*SUMPRODUCT(OFFSET($BO$15,0,0,$B$14,1), 1*(_xlfn._xlws.FILTER(OFFSET($O$15,0,$DN334,$B$8,1),OFFSET($M$15,0,0,$B$8,1))=DS$13), 1*(_xlfn._xlws.FILTER(OFFSET($O$15,0,$DO334,$B$8,1),OFFSET($M$15,0,0,$B$8,1))=DS$14))   /   SUM(OFFSET($BO$15,0,0,$B$14,1)) + $B$18/($B$19*$B$19*($DN334&lt;&gt;$DO334) + $B$19*($DN334=$DO334))</f>
        <v>3.7037037037037035E-4</v>
      </c>
      <c r="DT334" s="10" cm="1">
        <f t="array" aca="1" ref="DT334" ca="1">(1-$B$18)*SUMPRODUCT(OFFSET($BO$15,0,0,$B$14,1), 1*(_xlfn._xlws.FILTER(OFFSET($O$15,0,$DN334,$B$8,1),OFFSET($M$15,0,0,$B$8,1))=DT$13), 1*(_xlfn._xlws.FILTER(OFFSET($O$15,0,$DO334,$B$8,1),OFFSET($M$15,0,0,$B$8,1))=DT$14))   /   SUM(OFFSET($BO$15,0,0,$B$14,1)) + $B$18/($B$19*$B$19*($DN334&lt;&gt;$DO334) + $B$19*($DN334=$DO334))</f>
        <v>3.7037037037037035E-4</v>
      </c>
      <c r="DU334" s="10" cm="1">
        <f t="array" aca="1" ref="DU334" ca="1">(1-$B$18)*SUMPRODUCT(OFFSET($BO$15,0,0,$B$14,1), 1*(_xlfn._xlws.FILTER(OFFSET($O$15,0,$DN334,$B$8,1),OFFSET($M$15,0,0,$B$8,1))=DU$13), 1*(_xlfn._xlws.FILTER(OFFSET($O$15,0,$DO334,$B$8,1),OFFSET($M$15,0,0,$B$8,1))=DU$14))   /   SUM(OFFSET($BO$15,0,0,$B$14,1)) + $B$18/($B$19*$B$19*($DN334&lt;&gt;$DO334) + $B$19*($DN334=$DO334))</f>
        <v>3.7037037037037035E-4</v>
      </c>
      <c r="DV334" s="10" cm="1">
        <f t="array" aca="1" ref="DV334" ca="1">(1-$B$18)*SUMPRODUCT(OFFSET($BO$15,0,0,$B$14,1), 1*(_xlfn._xlws.FILTER(OFFSET($O$15,0,$DN334,$B$8,1),OFFSET($M$15,0,0,$B$8,1))=DV$13), 1*(_xlfn._xlws.FILTER(OFFSET($O$15,0,$DO334,$B$8,1),OFFSET($M$15,0,0,$B$8,1))=DV$14))   /   SUM(OFFSET($BO$15,0,0,$B$14,1)) + $B$18/($B$19*$B$19*($DN334&lt;&gt;$DO334) + $B$19*($DN334=$DO334))</f>
        <v>3.7037037037037035E-4</v>
      </c>
      <c r="DW334" s="10" cm="1">
        <f t="array" aca="1" ref="DW334" ca="1">(1-$B$18)*SUMPRODUCT(OFFSET($BO$15,0,0,$B$14,1), 1*(_xlfn._xlws.FILTER(OFFSET($O$15,0,$DN334,$B$8,1),OFFSET($M$15,0,0,$B$8,1))=DW$13), 1*(_xlfn._xlws.FILTER(OFFSET($O$15,0,$DO334,$B$8,1),OFFSET($M$15,0,0,$B$8,1))=DW$14))   /   SUM(OFFSET($BO$15,0,0,$B$14,1)) + $B$18/($B$19*$B$19*($DN334&lt;&gt;$DO334) + $B$19*($DN334=$DO334))</f>
        <v>3.7037037037037035E-4</v>
      </c>
      <c r="DX334" s="10" cm="1">
        <f t="array" aca="1" ref="DX334" ca="1">(1-$B$18)*SUMPRODUCT(OFFSET($BO$15,0,0,$B$14,1), 1*(_xlfn._xlws.FILTER(OFFSET($O$15,0,$DN334,$B$8,1),OFFSET($M$15,0,0,$B$8,1))=DX$13), 1*(_xlfn._xlws.FILTER(OFFSET($O$15,0,$DO334,$B$8,1),OFFSET($M$15,0,0,$B$8,1))=DX$14))   /   SUM(OFFSET($BO$15,0,0,$B$14,1)) + $B$18/($B$19*$B$19*($DN334&lt;&gt;$DO334) + $B$19*($DN334=$DO334))</f>
        <v>3.7037037037037035E-4</v>
      </c>
      <c r="DY334" s="10" cm="1">
        <f t="array" aca="1" ref="DY334" ca="1">(1-$B$18)*SUMPRODUCT(OFFSET($BO$15,0,0,$B$14,1), 1*(_xlfn._xlws.FILTER(OFFSET($O$15,0,$DN334,$B$8,1),OFFSET($M$15,0,0,$B$8,1))=DY$13), 1*(_xlfn._xlws.FILTER(OFFSET($O$15,0,$DO334,$B$8,1),OFFSET($M$15,0,0,$B$8,1))=DY$14))   /   SUM(OFFSET($BO$15,0,0,$B$14,1)) + $B$18/($B$19*$B$19*($DN334&lt;&gt;$DO334) + $B$19*($DN334=$DO334))</f>
        <v>3.7037037037037035E-4</v>
      </c>
      <c r="DZ334" s="10" cm="1">
        <f t="array" aca="1" ref="DZ334" ca="1">(1-$B$18)*SUMPRODUCT(OFFSET($BO$15,0,0,$B$14,1), 1*(_xlfn._xlws.FILTER(OFFSET($O$15,0,$DN334,$B$8,1),OFFSET($M$15,0,0,$B$8,1))=DZ$13), 1*(_xlfn._xlws.FILTER(OFFSET($O$15,0,$DO334,$B$8,1),OFFSET($M$15,0,0,$B$8,1))=DZ$14))   /   SUM(OFFSET($BO$15,0,0,$B$14,1)) + $B$18/($B$19*$B$19*($DN334&lt;&gt;$DO334) + $B$19*($DN334=$DO334))</f>
        <v>3.7037037037037035E-4</v>
      </c>
      <c r="EA334" s="10" cm="1">
        <f t="array" aca="1" ref="EA334" ca="1">(1-$B$18)*SUMPRODUCT(OFFSET($BO$15,0,0,$B$14,1), 1*(_xlfn._xlws.FILTER(OFFSET($O$15,0,$DN334,$B$8,1),OFFSET($M$15,0,0,$B$8,1))=EA$13), 1*(_xlfn._xlws.FILTER(OFFSET($O$15,0,$DO334,$B$8,1),OFFSET($M$15,0,0,$B$8,1))=EA$14))   /   SUM(OFFSET($BO$15,0,0,$B$14,1)) + $B$18/($B$19*$B$19*($DN334&lt;&gt;$DO334) + $B$19*($DN334=$DO334))</f>
        <v>3.7037037037037035E-4</v>
      </c>
      <c r="EB334" s="10" cm="1">
        <f t="array" aca="1" ref="EB334" ca="1">(1-$B$18)*SUMPRODUCT(OFFSET($BO$15,0,0,$B$14,1), 1*(_xlfn._xlws.FILTER(OFFSET($O$15,0,$DN334,$B$8,1),OFFSET($M$15,0,0,$B$8,1))=EB$13), 1*(_xlfn._xlws.FILTER(OFFSET($O$15,0,$DO334,$B$8,1),OFFSET($M$15,0,0,$B$8,1))=EB$14))   /   SUM(OFFSET($BO$15,0,0,$B$14,1)) + $B$18/($B$19*$B$19*($DN334&lt;&gt;$DO334) + $B$19*($DN334=$DO334))</f>
        <v>3.7037037037037035E-4</v>
      </c>
      <c r="EC334" s="10" cm="1">
        <f t="array" aca="1" ref="EC334" ca="1">(1-$B$18)*SUMPRODUCT(OFFSET($BO$15,0,0,$B$14,1), 1*(_xlfn._xlws.FILTER(OFFSET($O$15,0,$DN334,$B$8,1),OFFSET($M$15,0,0,$B$8,1))=EC$13), 1*(_xlfn._xlws.FILTER(OFFSET($O$15,0,$DO334,$B$8,1),OFFSET($M$15,0,0,$B$8,1))=EC$14))   /   SUM(OFFSET($BO$15,0,0,$B$14,1)) + $B$18/($B$19*$B$19*($DN334&lt;&gt;$DO334) + $B$19*($DN334=$DO334))</f>
        <v>3.7037037037037035E-4</v>
      </c>
      <c r="ED334" s="10" cm="1">
        <f t="array" aca="1" ref="ED334" ca="1">(1-$B$18)*SUMPRODUCT(OFFSET($BO$15,0,0,$B$14,1), 1*(_xlfn._xlws.FILTER(OFFSET($O$15,0,$DN334,$B$8,1),OFFSET($M$15,0,0,$B$8,1))=ED$13), 1*(_xlfn._xlws.FILTER(OFFSET($O$15,0,$DO334,$B$8,1),OFFSET($M$15,0,0,$B$8,1))=ED$14))   /   SUM(OFFSET($BO$15,0,0,$B$14,1)) + $B$18/($B$19*$B$19*($DN334&lt;&gt;$DO334) + $B$19*($DN334=$DO334))</f>
        <v>3.7037037037037035E-4</v>
      </c>
      <c r="EE334" s="10" cm="1">
        <f t="array" aca="1" ref="EE334" ca="1">(1-$B$18)*SUMPRODUCT(OFFSET($BO$15,0,0,$B$14,1), 1*(_xlfn._xlws.FILTER(OFFSET($O$15,0,$DN334,$B$8,1),OFFSET($M$15,0,0,$B$8,1))=EE$13), 1*(_xlfn._xlws.FILTER(OFFSET($O$15,0,$DO334,$B$8,1),OFFSET($M$15,0,0,$B$8,1))=EE$14))   /   SUM(OFFSET($BO$15,0,0,$B$14,1)) + $B$18/($B$19*$B$19*($DN334&lt;&gt;$DO334) + $B$19*($DN334=$DO334))</f>
        <v>3.7037037037037035E-4</v>
      </c>
      <c r="EF334" s="10" cm="1">
        <f t="array" aca="1" ref="EF334" ca="1">(1-$B$18)*SUMPRODUCT(OFFSET($BO$15,0,0,$B$14,1), 1*(_xlfn._xlws.FILTER(OFFSET($O$15,0,$DN334,$B$8,1),OFFSET($M$15,0,0,$B$8,1))=EF$13), 1*(_xlfn._xlws.FILTER(OFFSET($O$15,0,$DO334,$B$8,1),OFFSET($M$15,0,0,$B$8,1))=EF$14))   /   SUM(OFFSET($BO$15,0,0,$B$14,1)) + $B$18/($B$19*$B$19*($DN334&lt;&gt;$DO334) + $B$19*($DN334=$DO334))</f>
        <v>3.7037037037037035E-4</v>
      </c>
      <c r="EG334" s="10" cm="1">
        <f t="array" aca="1" ref="EG334" ca="1">(1-$B$18)*SUMPRODUCT(OFFSET($BO$15,0,0,$B$14,1), 1*(_xlfn._xlws.FILTER(OFFSET($O$15,0,$DN334,$B$8,1),OFFSET($M$15,0,0,$B$8,1))=EG$13), 1*(_xlfn._xlws.FILTER(OFFSET($O$15,0,$DO334,$B$8,1),OFFSET($M$15,0,0,$B$8,1))=EG$14))   /   SUM(OFFSET($BO$15,0,0,$B$14,1)) + $B$18/($B$19*$B$19*($DN334&lt;&gt;$DO334) + $B$19*($DN334=$DO334))</f>
        <v>3.7037037037037035E-4</v>
      </c>
      <c r="EH334" s="10" cm="1">
        <f t="array" aca="1" ref="EH334" ca="1">(1-$B$18)*SUMPRODUCT(OFFSET($BO$15,0,0,$B$14,1), 1*(_xlfn._xlws.FILTER(OFFSET($O$15,0,$DN334,$B$8,1),OFFSET($M$15,0,0,$B$8,1))=EH$13), 1*(_xlfn._xlws.FILTER(OFFSET($O$15,0,$DO334,$B$8,1),OFFSET($M$15,0,0,$B$8,1))=EH$14))   /   SUM(OFFSET($BO$15,0,0,$B$14,1)) + $B$18/($B$19*$B$19*($DN334&lt;&gt;$DO334) + $B$19*($DN334=$DO334))</f>
        <v>3.7037037037037035E-4</v>
      </c>
      <c r="EI334" s="10" cm="1">
        <f t="array" aca="1" ref="EI334" ca="1">(1-$B$18)*SUMPRODUCT(OFFSET($BO$15,0,0,$B$14,1), 1*(_xlfn._xlws.FILTER(OFFSET($O$15,0,$DN334,$B$8,1),OFFSET($M$15,0,0,$B$8,1))=EI$13), 1*(_xlfn._xlws.FILTER(OFFSET($O$15,0,$DO334,$B$8,1),OFFSET($M$15,0,0,$B$8,1))=EI$14))   /   SUM(OFFSET($BO$15,0,0,$B$14,1)) + $B$18/($B$19*$B$19*($DN334&lt;&gt;$DO334) + $B$19*($DN334=$DO334))</f>
        <v>3.7037037037037035E-4</v>
      </c>
      <c r="EJ334" s="10" cm="1">
        <f t="array" aca="1" ref="EJ334" ca="1">(1-$B$18)*SUMPRODUCT(OFFSET($BO$15,0,0,$B$14,1), 1*(_xlfn._xlws.FILTER(OFFSET($O$15,0,$DN334,$B$8,1),OFFSET($M$15,0,0,$B$8,1))=EJ$13), 1*(_xlfn._xlws.FILTER(OFFSET($O$15,0,$DO334,$B$8,1),OFFSET($M$15,0,0,$B$8,1))=EJ$14))   /   SUM(OFFSET($BO$15,0,0,$B$14,1)) + $B$18/($B$19*$B$19*($DN334&lt;&gt;$DO334) + $B$19*($DN334=$DO334))</f>
        <v>3.7037037037037035E-4</v>
      </c>
      <c r="EK334" s="10" cm="1">
        <f t="array" aca="1" ref="EK334" ca="1">(1-$B$18)*SUMPRODUCT(OFFSET($BO$15,0,0,$B$14,1), 1*(_xlfn._xlws.FILTER(OFFSET($O$15,0,$DN334,$B$8,1),OFFSET($M$15,0,0,$B$8,1))=EK$13), 1*(_xlfn._xlws.FILTER(OFFSET($O$15,0,$DO334,$B$8,1),OFFSET($M$15,0,0,$B$8,1))=EK$14))   /   SUM(OFFSET($BO$15,0,0,$B$14,1)) + $B$18/($B$19*$B$19*($DN334&lt;&gt;$DO334) + $B$19*($DN334=$DO334))</f>
        <v>3.7037037037037035E-4</v>
      </c>
      <c r="EL334" s="10" cm="1">
        <f t="array" aca="1" ref="EL334" ca="1">(1-$B$18)*SUMPRODUCT(OFFSET($BO$15,0,0,$B$14,1), 1*(_xlfn._xlws.FILTER(OFFSET($O$15,0,$DN334,$B$8,1),OFFSET($M$15,0,0,$B$8,1))=EL$13), 1*(_xlfn._xlws.FILTER(OFFSET($O$15,0,$DO334,$B$8,1),OFFSET($M$15,0,0,$B$8,1))=EL$14))   /   SUM(OFFSET($BO$15,0,0,$B$14,1)) + $B$18/($B$19*$B$19*($DN334&lt;&gt;$DO334) + $B$19*($DN334=$DO334))</f>
        <v>3.7037037037037035E-4</v>
      </c>
      <c r="EM334" s="10" cm="1">
        <f t="array" aca="1" ref="EM334" ca="1">(1-$B$18)*SUMPRODUCT(OFFSET($BO$15,0,0,$B$14,1), 1*(_xlfn._xlws.FILTER(OFFSET($O$15,0,$DN334,$B$8,1),OFFSET($M$15,0,0,$B$8,1))=EM$13), 1*(_xlfn._xlws.FILTER(OFFSET($O$15,0,$DO334,$B$8,1),OFFSET($M$15,0,0,$B$8,1))=EM$14))   /   SUM(OFFSET($BO$15,0,0,$B$14,1)) + $B$18/($B$19*$B$19*($DN334&lt;&gt;$DO334) + $B$19*($DN334=$DO334))</f>
        <v>3.7037037037037035E-4</v>
      </c>
      <c r="EN334" s="10" cm="1">
        <f t="array" aca="1" ref="EN334" ca="1">(1-$B$18)*SUMPRODUCT(OFFSET($BO$15,0,0,$B$14,1), 1*(_xlfn._xlws.FILTER(OFFSET($O$15,0,$DN334,$B$8,1),OFFSET($M$15,0,0,$B$8,1))=EN$13), 1*(_xlfn._xlws.FILTER(OFFSET($O$15,0,$DO334,$B$8,1),OFFSET($M$15,0,0,$B$8,1))=EN$14))   /   SUM(OFFSET($BO$15,0,0,$B$14,1)) + $B$18/($B$19*$B$19*($DN334&lt;&gt;$DO334) + $B$19*($DN334=$DO334))</f>
        <v>3.7037037037037035E-4</v>
      </c>
      <c r="EO334" s="10" cm="1">
        <f t="array" aca="1" ref="EO334" ca="1">(1-$B$18)*SUMPRODUCT(OFFSET($BO$15,0,0,$B$14,1), 1*(_xlfn._xlws.FILTER(OFFSET($O$15,0,$DN334,$B$8,1),OFFSET($M$15,0,0,$B$8,1))=EO$13), 1*(_xlfn._xlws.FILTER(OFFSET($O$15,0,$DO334,$B$8,1),OFFSET($M$15,0,0,$B$8,1))=EO$14))   /   SUM(OFFSET($BO$15,0,0,$B$14,1)) + $B$18/($B$19*$B$19*($DN334&lt;&gt;$DO334) + $B$19*($DN334=$DO334))</f>
        <v>3.7037037037037035E-4</v>
      </c>
      <c r="EP334" s="10" cm="1">
        <f t="array" aca="1" ref="EP334" ca="1">(1-$B$18)*SUMPRODUCT(OFFSET($BO$15,0,0,$B$14,1), 1*(_xlfn._xlws.FILTER(OFFSET($O$15,0,$DN334,$B$8,1),OFFSET($M$15,0,0,$B$8,1))=EP$13), 1*(_xlfn._xlws.FILTER(OFFSET($O$15,0,$DO334,$B$8,1),OFFSET($M$15,0,0,$B$8,1))=EP$14))   /   SUM(OFFSET($BO$15,0,0,$B$14,1)) + $B$18/($B$19*$B$19*($DN334&lt;&gt;$DO334) + $B$19*($DN334=$DO334))</f>
        <v>3.7037037037037035E-4</v>
      </c>
      <c r="EQ334" s="10" cm="1">
        <f t="array" aca="1" ref="EQ334" ca="1">(1-$B$18)*SUMPRODUCT(OFFSET($BO$15,0,0,$B$14,1), 1*(_xlfn._xlws.FILTER(OFFSET($O$15,0,$DN334,$B$8,1),OFFSET($M$15,0,0,$B$8,1))=EQ$13), 1*(_xlfn._xlws.FILTER(OFFSET($O$15,0,$DO334,$B$8,1),OFFSET($M$15,0,0,$B$8,1))=EQ$14))   /   SUM(OFFSET($BO$15,0,0,$B$14,1)) + $B$18/($B$19*$B$19*($DN334&lt;&gt;$DO334) + $B$19*($DN334=$DO334))</f>
        <v>0.97037037037037033</v>
      </c>
      <c r="ER334" s="10" cm="1">
        <f t="array" aca="1" ref="ER334" ca="1">(1-$B$18)*SUMPRODUCT(OFFSET($BO$15,0,0,$B$14,1), 1*(_xlfn._xlws.FILTER(OFFSET($O$15,0,$DN334,$B$8,1),OFFSET($M$15,0,0,$B$8,1))=ER$13), 1*(_xlfn._xlws.FILTER(OFFSET($O$15,0,$DO334,$B$8,1),OFFSET($M$15,0,0,$B$8,1))=ER$14))   /   SUM(OFFSET($BO$15,0,0,$B$14,1)) + $B$18/($B$19*$B$19*($DN334&lt;&gt;$DO334) + $B$19*($DN334=$DO334))</f>
        <v>3.7037037037037035E-4</v>
      </c>
      <c r="ES334" s="10" cm="1">
        <f t="array" aca="1" ref="ES334" ca="1">(1-$B$18)*SUMPRODUCT(OFFSET($BO$15,0,0,$B$14,1), 1*(_xlfn._xlws.FILTER(OFFSET($O$15,0,$DN334,$B$8,1),OFFSET($M$15,0,0,$B$8,1))=ES$13), 1*(_xlfn._xlws.FILTER(OFFSET($O$15,0,$DO334,$B$8,1),OFFSET($M$15,0,0,$B$8,1))=ES$14))   /   SUM(OFFSET($BO$15,0,0,$B$14,1)) + $B$18/($B$19*$B$19*($DN334&lt;&gt;$DO334) + $B$19*($DN334=$DO334))</f>
        <v>3.7037037037037035E-4</v>
      </c>
      <c r="ET334" s="10" cm="1">
        <f t="array" aca="1" ref="ET334" ca="1">(1-$B$18)*SUMPRODUCT(OFFSET($BO$15,0,0,$B$14,1), 1*(_xlfn._xlws.FILTER(OFFSET($O$15,0,$DN334,$B$8,1),OFFSET($M$15,0,0,$B$8,1))=ET$13), 1*(_xlfn._xlws.FILTER(OFFSET($O$15,0,$DO334,$B$8,1),OFFSET($M$15,0,0,$B$8,1))=ET$14))   /   SUM(OFFSET($BO$15,0,0,$B$14,1)) + $B$18/($B$19*$B$19*($DN334&lt;&gt;$DO334) + $B$19*($DN334=$DO334))</f>
        <v>3.7037037037037035E-4</v>
      </c>
      <c r="EU334" s="10" cm="1">
        <f t="array" aca="1" ref="EU334" ca="1">(1-$B$18)*SUMPRODUCT(OFFSET($BO$15,0,0,$B$14,1), 1*(_xlfn._xlws.FILTER(OFFSET($O$15,0,$DN334,$B$8,1),OFFSET($M$15,0,0,$B$8,1))=EU$13), 1*(_xlfn._xlws.FILTER(OFFSET($O$15,0,$DO334,$B$8,1),OFFSET($M$15,0,0,$B$8,1))=EU$14))   /   SUM(OFFSET($BO$15,0,0,$B$14,1)) + $B$18/($B$19*$B$19*($DN334&lt;&gt;$DO334) + $B$19*($DN334=$DO334))</f>
        <v>3.7037037037037035E-4</v>
      </c>
      <c r="EV334" s="10" cm="1">
        <f t="array" aca="1" ref="EV334" ca="1">(1-$B$18)*SUMPRODUCT(OFFSET($BO$15,0,0,$B$14,1), 1*(_xlfn._xlws.FILTER(OFFSET($O$15,0,$DN334,$B$8,1),OFFSET($M$15,0,0,$B$8,1))=EV$13), 1*(_xlfn._xlws.FILTER(OFFSET($O$15,0,$DO334,$B$8,1),OFFSET($M$15,0,0,$B$8,1))=EV$14))   /   SUM(OFFSET($BO$15,0,0,$B$14,1)) + $B$18/($B$19*$B$19*($DN334&lt;&gt;$DO334) + $B$19*($DN334=$DO334))</f>
        <v>3.7037037037037035E-4</v>
      </c>
      <c r="EW334" s="10" cm="1">
        <f t="array" aca="1" ref="EW334" ca="1">(1-$B$18)*SUMPRODUCT(OFFSET($BO$15,0,0,$B$14,1), 1*(_xlfn._xlws.FILTER(OFFSET($O$15,0,$DN334,$B$8,1),OFFSET($M$15,0,0,$B$8,1))=EW$13), 1*(_xlfn._xlws.FILTER(OFFSET($O$15,0,$DO334,$B$8,1),OFFSET($M$15,0,0,$B$8,1))=EW$14))   /   SUM(OFFSET($BO$15,0,0,$B$14,1)) + $B$18/($B$19*$B$19*($DN334&lt;&gt;$DO334) + $B$19*($DN334=$DO334))</f>
        <v>3.7037037037037035E-4</v>
      </c>
      <c r="EX334" s="10" cm="1">
        <f t="array" aca="1" ref="EX334" ca="1">(1-$B$18)*SUMPRODUCT(OFFSET($BO$15,0,0,$B$14,1), 1*(_xlfn._xlws.FILTER(OFFSET($O$15,0,$DN334,$B$8,1),OFFSET($M$15,0,0,$B$8,1))=EX$13), 1*(_xlfn._xlws.FILTER(OFFSET($O$15,0,$DO334,$B$8,1),OFFSET($M$15,0,0,$B$8,1))=EX$14))   /   SUM(OFFSET($BO$15,0,0,$B$14,1)) + $B$18/($B$19*$B$19*($DN334&lt;&gt;$DO334) + $B$19*($DN334=$DO334))</f>
        <v>3.7037037037037035E-4</v>
      </c>
      <c r="EY334" s="10" cm="1">
        <f t="array" aca="1" ref="EY334" ca="1">(1-$B$18)*SUMPRODUCT(OFFSET($BO$15,0,0,$B$14,1), 1*(_xlfn._xlws.FILTER(OFFSET($O$15,0,$DN334,$B$8,1),OFFSET($M$15,0,0,$B$8,1))=EY$13), 1*(_xlfn._xlws.FILTER(OFFSET($O$15,0,$DO334,$B$8,1),OFFSET($M$15,0,0,$B$8,1))=EY$14))   /   SUM(OFFSET($BO$15,0,0,$B$14,1)) + $B$18/($B$19*$B$19*($DN334&lt;&gt;$DO334) + $B$19*($DN334=$DO334))</f>
        <v>3.7037037037037035E-4</v>
      </c>
      <c r="EZ334" s="10" cm="1">
        <f t="array" aca="1" ref="EZ334" ca="1">(1-$B$18)*SUMPRODUCT(OFFSET($BO$15,0,0,$B$14,1), 1*(_xlfn._xlws.FILTER(OFFSET($O$15,0,$DN334,$B$8,1),OFFSET($M$15,0,0,$B$8,1))=EZ$13), 1*(_xlfn._xlws.FILTER(OFFSET($O$15,0,$DO334,$B$8,1),OFFSET($M$15,0,0,$B$8,1))=EZ$14))   /   SUM(OFFSET($BO$15,0,0,$B$14,1)) + $B$18/($B$19*$B$19*($DN334&lt;&gt;$DO334) + $B$19*($DN334=$DO334))</f>
        <v>3.7037037037037035E-4</v>
      </c>
      <c r="FA334" s="10" cm="1">
        <f t="array" aca="1" ref="FA334" ca="1">(1-$B$18)*SUMPRODUCT(OFFSET($BO$15,0,0,$B$14,1), 1*(_xlfn._xlws.FILTER(OFFSET($O$15,0,$DN334,$B$8,1),OFFSET($M$15,0,0,$B$8,1))=FA$13), 1*(_xlfn._xlws.FILTER(OFFSET($O$15,0,$DO334,$B$8,1),OFFSET($M$15,0,0,$B$8,1))=FA$14))   /   SUM(OFFSET($BO$15,0,0,$B$14,1)) + $B$18/($B$19*$B$19*($DN334&lt;&gt;$DO334) + $B$19*($DN334=$DO334))</f>
        <v>3.7037037037037035E-4</v>
      </c>
      <c r="FB334" s="10" cm="1">
        <f t="array" aca="1" ref="FB334" ca="1">(1-$B$18)*SUMPRODUCT(OFFSET($BO$15,0,0,$B$14,1), 1*(_xlfn._xlws.FILTER(OFFSET($O$15,0,$DN334,$B$8,1),OFFSET($M$15,0,0,$B$8,1))=FB$13), 1*(_xlfn._xlws.FILTER(OFFSET($O$15,0,$DO334,$B$8,1),OFFSET($M$15,0,0,$B$8,1))=FB$14))   /   SUM(OFFSET($BO$15,0,0,$B$14,1)) + $B$18/($B$19*$B$19*($DN334&lt;&gt;$DO334) + $B$19*($DN334=$DO334))</f>
        <v>3.7037037037037035E-4</v>
      </c>
      <c r="FC334" s="10" cm="1">
        <f t="array" aca="1" ref="FC334" ca="1">(1-$B$18)*SUMPRODUCT(OFFSET($BO$15,0,0,$B$14,1), 1*(_xlfn._xlws.FILTER(OFFSET($O$15,0,$DN334,$B$8,1),OFFSET($M$15,0,0,$B$8,1))=FC$13), 1*(_xlfn._xlws.FILTER(OFFSET($O$15,0,$DO334,$B$8,1),OFFSET($M$15,0,0,$B$8,1))=FC$14))   /   SUM(OFFSET($BO$15,0,0,$B$14,1)) + $B$18/($B$19*$B$19*($DN334&lt;&gt;$DO334) + $B$19*($DN334=$DO334))</f>
        <v>3.7037037037037035E-4</v>
      </c>
      <c r="FD334" s="10" cm="1">
        <f t="array" aca="1" ref="FD334" ca="1">(1-$B$18)*SUMPRODUCT(OFFSET($BO$15,0,0,$B$14,1), 1*(_xlfn._xlws.FILTER(OFFSET($O$15,0,$DN334,$B$8,1),OFFSET($M$15,0,0,$B$8,1))=FD$13), 1*(_xlfn._xlws.FILTER(OFFSET($O$15,0,$DO334,$B$8,1),OFFSET($M$15,0,0,$B$8,1))=FD$14))   /   SUM(OFFSET($BO$15,0,0,$B$14,1)) + $B$18/($B$19*$B$19*($DN334&lt;&gt;$DO334) + $B$19*($DN334=$DO334))</f>
        <v>3.7037037037037035E-4</v>
      </c>
      <c r="FE334" s="10" cm="1">
        <f t="array" aca="1" ref="FE334" ca="1">(1-$B$18)*SUMPRODUCT(OFFSET($BO$15,0,0,$B$14,1), 1*(_xlfn._xlws.FILTER(OFFSET($O$15,0,$DN334,$B$8,1),OFFSET($M$15,0,0,$B$8,1))=FE$13), 1*(_xlfn._xlws.FILTER(OFFSET($O$15,0,$DO334,$B$8,1),OFFSET($M$15,0,0,$B$8,1))=FE$14))   /   SUM(OFFSET($BO$15,0,0,$B$14,1)) + $B$18/($B$19*$B$19*($DN334&lt;&gt;$DO334) + $B$19*($DN334=$DO334))</f>
        <v>3.7037037037037035E-4</v>
      </c>
      <c r="FF334" s="10" cm="1">
        <f t="array" aca="1" ref="FF334" ca="1">(1-$B$18)*SUMPRODUCT(OFFSET($BO$15,0,0,$B$14,1), 1*(_xlfn._xlws.FILTER(OFFSET($O$15,0,$DN334,$B$8,1),OFFSET($M$15,0,0,$B$8,1))=FF$13), 1*(_xlfn._xlws.FILTER(OFFSET($O$15,0,$DO334,$B$8,1),OFFSET($M$15,0,0,$B$8,1))=FF$14))   /   SUM(OFFSET($BO$15,0,0,$B$14,1)) + $B$18/($B$19*$B$19*($DN334&lt;&gt;$DO334) + $B$19*($DN334=$DO334))</f>
        <v>3.7037037037037035E-4</v>
      </c>
      <c r="FG334" s="10" cm="1">
        <f t="array" aca="1" ref="FG334" ca="1">(1-$B$18)*SUMPRODUCT(OFFSET($BO$15,0,0,$B$14,1), 1*(_xlfn._xlws.FILTER(OFFSET($O$15,0,$DN334,$B$8,1),OFFSET($M$15,0,0,$B$8,1))=FG$13), 1*(_xlfn._xlws.FILTER(OFFSET($O$15,0,$DO334,$B$8,1),OFFSET($M$15,0,0,$B$8,1))=FG$14))   /   SUM(OFFSET($BO$15,0,0,$B$14,1)) + $B$18/($B$19*$B$19*($DN334&lt;&gt;$DO334) + $B$19*($DN334=$DO334))</f>
        <v>3.7037037037037035E-4</v>
      </c>
      <c r="FH334" s="10" cm="1">
        <f t="array" aca="1" ref="FH334" ca="1">(1-$B$18)*SUMPRODUCT(OFFSET($BO$15,0,0,$B$14,1), 1*(_xlfn._xlws.FILTER(OFFSET($O$15,0,$DN334,$B$8,1),OFFSET($M$15,0,0,$B$8,1))=FH$13), 1*(_xlfn._xlws.FILTER(OFFSET($O$15,0,$DO334,$B$8,1),OFFSET($M$15,0,0,$B$8,1))=FH$14))   /   SUM(OFFSET($BO$15,0,0,$B$14,1)) + $B$18/($B$19*$B$19*($DN334&lt;&gt;$DO334) + $B$19*($DN334=$DO334))</f>
        <v>3.7037037037037035E-4</v>
      </c>
      <c r="FI334" s="10" cm="1">
        <f t="array" aca="1" ref="FI334" ca="1">(1-$B$18)*SUMPRODUCT(OFFSET($BO$15,0,0,$B$14,1), 1*(_xlfn._xlws.FILTER(OFFSET($O$15,0,$DN334,$B$8,1),OFFSET($M$15,0,0,$B$8,1))=FI$13), 1*(_xlfn._xlws.FILTER(OFFSET($O$15,0,$DO334,$B$8,1),OFFSET($M$15,0,0,$B$8,1))=FI$14))   /   SUM(OFFSET($BO$15,0,0,$B$14,1)) + $B$18/($B$19*$B$19*($DN334&lt;&gt;$DO334) + $B$19*($DN334=$DO334))</f>
        <v>3.7037037037037035E-4</v>
      </c>
      <c r="FJ334" s="10" cm="1">
        <f t="array" aca="1" ref="FJ334" ca="1">(1-$B$18)*SUMPRODUCT(OFFSET($BO$15,0,0,$B$14,1), 1*(_xlfn._xlws.FILTER(OFFSET($O$15,0,$DN334,$B$8,1),OFFSET($M$15,0,0,$B$8,1))=FJ$13), 1*(_xlfn._xlws.FILTER(OFFSET($O$15,0,$DO334,$B$8,1),OFFSET($M$15,0,0,$B$8,1))=FJ$14))   /   SUM(OFFSET($BO$15,0,0,$B$14,1)) + $B$18/($B$19*$B$19*($DN334&lt;&gt;$DO334) + $B$19*($DN334=$DO334))</f>
        <v>3.7037037037037035E-4</v>
      </c>
      <c r="FK334" s="10" cm="1">
        <f t="array" aca="1" ref="FK334" ca="1">(1-$B$18)*SUMPRODUCT(OFFSET($BO$15,0,0,$B$14,1), 1*(_xlfn._xlws.FILTER(OFFSET($O$15,0,$DN334,$B$8,1),OFFSET($M$15,0,0,$B$8,1))=FK$13), 1*(_xlfn._xlws.FILTER(OFFSET($O$15,0,$DO334,$B$8,1),OFFSET($M$15,0,0,$B$8,1))=FK$14))   /   SUM(OFFSET($BO$15,0,0,$B$14,1)) + $B$18/($B$19*$B$19*($DN334&lt;&gt;$DO334) + $B$19*($DN334=$DO334))</f>
        <v>3.7037037037037035E-4</v>
      </c>
      <c r="FL334" s="10" cm="1">
        <f t="array" aca="1" ref="FL334" ca="1">(1-$B$18)*SUMPRODUCT(OFFSET($BO$15,0,0,$B$14,1), 1*(_xlfn._xlws.FILTER(OFFSET($O$15,0,$DN334,$B$8,1),OFFSET($M$15,0,0,$B$8,1))=FL$13), 1*(_xlfn._xlws.FILTER(OFFSET($O$15,0,$DO334,$B$8,1),OFFSET($M$15,0,0,$B$8,1))=FL$14))   /   SUM(OFFSET($BO$15,0,0,$B$14,1)) + $B$18/($B$19*$B$19*($DN334&lt;&gt;$DO334) + $B$19*($DN334=$DO334))</f>
        <v>3.7037037037037035E-4</v>
      </c>
      <c r="FM334" s="10" cm="1">
        <f t="array" aca="1" ref="FM334" ca="1">(1-$B$18)*SUMPRODUCT(OFFSET($BO$15,0,0,$B$14,1), 1*(_xlfn._xlws.FILTER(OFFSET($O$15,0,$DN334,$B$8,1),OFFSET($M$15,0,0,$B$8,1))=FM$13), 1*(_xlfn._xlws.FILTER(OFFSET($O$15,0,$DO334,$B$8,1),OFFSET($M$15,0,0,$B$8,1))=FM$14))   /   SUM(OFFSET($BO$15,0,0,$B$14,1)) + $B$18/($B$19*$B$19*($DN334&lt;&gt;$DO334) + $B$19*($DN334=$DO334))</f>
        <v>3.7037037037037035E-4</v>
      </c>
      <c r="FN334" s="10" cm="1">
        <f t="array" aca="1" ref="FN334" ca="1">(1-$B$18)*SUMPRODUCT(OFFSET($BO$15,0,0,$B$14,1), 1*(_xlfn._xlws.FILTER(OFFSET($O$15,0,$DN334,$B$8,1),OFFSET($M$15,0,0,$B$8,1))=FN$13), 1*(_xlfn._xlws.FILTER(OFFSET($O$15,0,$DO334,$B$8,1),OFFSET($M$15,0,0,$B$8,1))=FN$14))   /   SUM(OFFSET($BO$15,0,0,$B$14,1)) + $B$18/($B$19*$B$19*($DN334&lt;&gt;$DO334) + $B$19*($DN334=$DO334))</f>
        <v>3.7037037037037035E-4</v>
      </c>
      <c r="FO334" s="10" cm="1">
        <f t="array" aca="1" ref="FO334" ca="1">(1-$B$18)*SUMPRODUCT(OFFSET($BO$15,0,0,$B$14,1), 1*(_xlfn._xlws.FILTER(OFFSET($O$15,0,$DN334,$B$8,1),OFFSET($M$15,0,0,$B$8,1))=FO$13), 1*(_xlfn._xlws.FILTER(OFFSET($O$15,0,$DO334,$B$8,1),OFFSET($M$15,0,0,$B$8,1))=FO$14))   /   SUM(OFFSET($BO$15,0,0,$B$14,1)) + $B$18/($B$19*$B$19*($DN334&lt;&gt;$DO334) + $B$19*($DN334=$DO334))</f>
        <v>3.7037037037037035E-4</v>
      </c>
      <c r="FP334" s="10" cm="1">
        <f t="array" aca="1" ref="FP334" ca="1">(1-$B$18)*SUMPRODUCT(OFFSET($BO$15,0,0,$B$14,1), 1*(_xlfn._xlws.FILTER(OFFSET($O$15,0,$DN334,$B$8,1),OFFSET($M$15,0,0,$B$8,1))=FP$13), 1*(_xlfn._xlws.FILTER(OFFSET($O$15,0,$DO334,$B$8,1),OFFSET($M$15,0,0,$B$8,1))=FP$14))   /   SUM(OFFSET($BO$15,0,0,$B$14,1)) + $B$18/($B$19*$B$19*($DN334&lt;&gt;$DO334) + $B$19*($DN334=$DO334))</f>
        <v>3.7037037037037035E-4</v>
      </c>
      <c r="FQ334" s="10" cm="1">
        <f t="array" aca="1" ref="FQ334" ca="1">(1-$B$18)*SUMPRODUCT(OFFSET($BO$15,0,0,$B$14,1), 1*(_xlfn._xlws.FILTER(OFFSET($O$15,0,$DN334,$B$8,1),OFFSET($M$15,0,0,$B$8,1))=FQ$13), 1*(_xlfn._xlws.FILTER(OFFSET($O$15,0,$DO334,$B$8,1),OFFSET($M$15,0,0,$B$8,1))=FQ$14))   /   SUM(OFFSET($BO$15,0,0,$B$14,1)) + $B$18/($B$19*$B$19*($DN334&lt;&gt;$DO334) + $B$19*($DN334=$DO334))</f>
        <v>3.7037037037037035E-4</v>
      </c>
      <c r="FR334" s="10" cm="1">
        <f t="array" aca="1" ref="FR334" ca="1">(1-$B$18)*SUMPRODUCT(OFFSET($BO$15,0,0,$B$14,1), 1*(_xlfn._xlws.FILTER(OFFSET($O$15,0,$DN334,$B$8,1),OFFSET($M$15,0,0,$B$8,1))=FR$13), 1*(_xlfn._xlws.FILTER(OFFSET($O$15,0,$DO334,$B$8,1),OFFSET($M$15,0,0,$B$8,1))=FR$14))   /   SUM(OFFSET($BO$15,0,0,$B$14,1)) + $B$18/($B$19*$B$19*($DN334&lt;&gt;$DO334) + $B$19*($DN334=$DO334))</f>
        <v>3.7037037037037035E-4</v>
      </c>
      <c r="FS334" s="10" cm="1">
        <f t="array" aca="1" ref="FS334" ca="1">(1-$B$18)*SUMPRODUCT(OFFSET($BO$15,0,0,$B$14,1), 1*(_xlfn._xlws.FILTER(OFFSET($O$15,0,$DN334,$B$8,1),OFFSET($M$15,0,0,$B$8,1))=FS$13), 1*(_xlfn._xlws.FILTER(OFFSET($O$15,0,$DO334,$B$8,1),OFFSET($M$15,0,0,$B$8,1))=FS$14))   /   SUM(OFFSET($BO$15,0,0,$B$14,1)) + $B$18/($B$19*$B$19*($DN334&lt;&gt;$DO334) + $B$19*($DN334=$DO334))</f>
        <v>3.7037037037037035E-4</v>
      </c>
      <c r="FT334" s="10" cm="1">
        <f t="array" aca="1" ref="FT334" ca="1">(1-$B$18)*SUMPRODUCT(OFFSET($BO$15,0,0,$B$14,1), 1*(_xlfn._xlws.FILTER(OFFSET($O$15,0,$DN334,$B$8,1),OFFSET($M$15,0,0,$B$8,1))=FT$13), 1*(_xlfn._xlws.FILTER(OFFSET($O$15,0,$DO334,$B$8,1),OFFSET($M$15,0,0,$B$8,1))=FT$14))   /   SUM(OFFSET($BO$15,0,0,$B$14,1)) + $B$18/($B$19*$B$19*($DN334&lt;&gt;$DO334) + $B$19*($DN334=$DO334))</f>
        <v>3.7037037037037035E-4</v>
      </c>
      <c r="FU334" s="10" cm="1">
        <f t="array" aca="1" ref="FU334" ca="1">(1-$B$18)*SUMPRODUCT(OFFSET($BO$15,0,0,$B$14,1), 1*(_xlfn._xlws.FILTER(OFFSET($O$15,0,$DN334,$B$8,1),OFFSET($M$15,0,0,$B$8,1))=FU$13), 1*(_xlfn._xlws.FILTER(OFFSET($O$15,0,$DO334,$B$8,1),OFFSET($M$15,0,0,$B$8,1))=FU$14))   /   SUM(OFFSET($BO$15,0,0,$B$14,1)) + $B$18/($B$19*$B$19*($DN334&lt;&gt;$DO334) + $B$19*($DN334=$DO334))</f>
        <v>3.7037037037037035E-4</v>
      </c>
      <c r="FV334" s="10" cm="1">
        <f t="array" aca="1" ref="FV334" ca="1">(1-$B$18)*SUMPRODUCT(OFFSET($BO$15,0,0,$B$14,1), 1*(_xlfn._xlws.FILTER(OFFSET($O$15,0,$DN334,$B$8,1),OFFSET($M$15,0,0,$B$8,1))=FV$13), 1*(_xlfn._xlws.FILTER(OFFSET($O$15,0,$DO334,$B$8,1),OFFSET($M$15,0,0,$B$8,1))=FV$14))   /   SUM(OFFSET($BO$15,0,0,$B$14,1)) + $B$18/($B$19*$B$19*($DN334&lt;&gt;$DO334) + $B$19*($DN334=$DO334))</f>
        <v>3.7037037037037035E-4</v>
      </c>
      <c r="FW334" s="10" cm="1">
        <f t="array" aca="1" ref="FW334" ca="1">(1-$B$18)*SUMPRODUCT(OFFSET($BO$15,0,0,$B$14,1), 1*(_xlfn._xlws.FILTER(OFFSET($O$15,0,$DN334,$B$8,1),OFFSET($M$15,0,0,$B$8,1))=FW$13), 1*(_xlfn._xlws.FILTER(OFFSET($O$15,0,$DO334,$B$8,1),OFFSET($M$15,0,0,$B$8,1))=FW$14))   /   SUM(OFFSET($BO$15,0,0,$B$14,1)) + $B$18/($B$19*$B$19*($DN334&lt;&gt;$DO334) + $B$19*($DN334=$DO334))</f>
        <v>3.7037037037037035E-4</v>
      </c>
      <c r="FX334" s="10" cm="1">
        <f t="array" aca="1" ref="FX334" ca="1">(1-$B$18)*SUMPRODUCT(OFFSET($BO$15,0,0,$B$14,1), 1*(_xlfn._xlws.FILTER(OFFSET($O$15,0,$DN334,$B$8,1),OFFSET($M$15,0,0,$B$8,1))=FX$13), 1*(_xlfn._xlws.FILTER(OFFSET($O$15,0,$DO334,$B$8,1),OFFSET($M$15,0,0,$B$8,1))=FX$14))   /   SUM(OFFSET($BO$15,0,0,$B$14,1)) + $B$18/($B$19*$B$19*($DN334&lt;&gt;$DO334) + $B$19*($DN334=$DO334))</f>
        <v>3.7037037037037035E-4</v>
      </c>
      <c r="FY334" s="10" cm="1">
        <f t="array" aca="1" ref="FY334" ca="1">(1-$B$18)*SUMPRODUCT(OFFSET($BO$15,0,0,$B$14,1), 1*(_xlfn._xlws.FILTER(OFFSET($O$15,0,$DN334,$B$8,1),OFFSET($M$15,0,0,$B$8,1))=FY$13), 1*(_xlfn._xlws.FILTER(OFFSET($O$15,0,$DO334,$B$8,1),OFFSET($M$15,0,0,$B$8,1))=FY$14))   /   SUM(OFFSET($BO$15,0,0,$B$14,1)) + $B$18/($B$19*$B$19*($DN334&lt;&gt;$DO334) + $B$19*($DN334=$DO334))</f>
        <v>3.7037037037037035E-4</v>
      </c>
      <c r="FZ334" s="10" cm="1">
        <f t="array" aca="1" ref="FZ334" ca="1">(1-$B$18)*SUMPRODUCT(OFFSET($BO$15,0,0,$B$14,1), 1*(_xlfn._xlws.FILTER(OFFSET($O$15,0,$DN334,$B$8,1),OFFSET($M$15,0,0,$B$8,1))=FZ$13), 1*(_xlfn._xlws.FILTER(OFFSET($O$15,0,$DO334,$B$8,1),OFFSET($M$15,0,0,$B$8,1))=FZ$14))   /   SUM(OFFSET($BO$15,0,0,$B$14,1)) + $B$18/($B$19*$B$19*($DN334&lt;&gt;$DO334) + $B$19*($DN334=$DO334))</f>
        <v>3.7037037037037035E-4</v>
      </c>
      <c r="GA334" s="10" cm="1">
        <f t="array" aca="1" ref="GA334" ca="1">(1-$B$18)*SUMPRODUCT(OFFSET($BO$15,0,0,$B$14,1), 1*(_xlfn._xlws.FILTER(OFFSET($O$15,0,$DN334,$B$8,1),OFFSET($M$15,0,0,$B$8,1))=GA$13), 1*(_xlfn._xlws.FILTER(OFFSET($O$15,0,$DO334,$B$8,1),OFFSET($M$15,0,0,$B$8,1))=GA$14))   /   SUM(OFFSET($BO$15,0,0,$B$14,1)) + $B$18/($B$19*$B$19*($DN334&lt;&gt;$DO334) + $B$19*($DN334=$DO334))</f>
        <v>3.7037037037037035E-4</v>
      </c>
    </row>
    <row r="335" spans="118:183" x14ac:dyDescent="0.2">
      <c r="DN335" cm="1">
        <f t="array" aca="1" ref="DN335" ca="1">INDEX(_xlfn.ANCHORARRAY($CP$15), 1 + INT((ROWS($DO$15:$DO335) - 1) / ROWS(_xlfn.ANCHORARRAY($CP$15))))</f>
        <v>19</v>
      </c>
      <c r="DO335" cm="1">
        <f t="array" aca="1" ref="DO335" ca="1">INDEX(_xlfn.ANCHORARRAY($CP$15),1+MOD(ROWS($DO$15:$DO335)-1,ROWS(_xlfn.ANCHORARRAY($CP$15))))</f>
        <v>19</v>
      </c>
      <c r="DP335" s="10" cm="1">
        <f t="array" aca="1" ref="DP335" ca="1">(1-$B$18)*SUMPRODUCT(OFFSET($BO$15,0,0,$B$14,1), 1*(_xlfn._xlws.FILTER(OFFSET($O$15,0,$DN335,$B$8,1),OFFSET($M$15,0,0,$B$8,1))=DP$13), 1*(_xlfn._xlws.FILTER(OFFSET($O$15,0,$DO335,$B$8,1),OFFSET($M$15,0,0,$B$8,1))=DP$14))   /   SUM(OFFSET($BO$15,0,0,$B$14,1)) + $B$18/($B$19*$B$19*($DN335&lt;&gt;$DO335) + $B$19*($DN335=$DO335))</f>
        <v>3.3333333333333331E-3</v>
      </c>
      <c r="DQ335" s="10" cm="1">
        <f t="array" aca="1" ref="DQ335" ca="1">(1-$B$18)*SUMPRODUCT(OFFSET($BO$15,0,0,$B$14,1), 1*(_xlfn._xlws.FILTER(OFFSET($O$15,0,$DN335,$B$8,1),OFFSET($M$15,0,0,$B$8,1))=DQ$13), 1*(_xlfn._xlws.FILTER(OFFSET($O$15,0,$DO335,$B$8,1),OFFSET($M$15,0,0,$B$8,1))=DQ$14))   /   SUM(OFFSET($BO$15,0,0,$B$14,1)) + $B$18/($B$19*$B$19*($DN335&lt;&gt;$DO335) + $B$19*($DN335=$DO335))</f>
        <v>3.3333333333333331E-3</v>
      </c>
      <c r="DR335" s="10" cm="1">
        <f t="array" aca="1" ref="DR335" ca="1">(1-$B$18)*SUMPRODUCT(OFFSET($BO$15,0,0,$B$14,1), 1*(_xlfn._xlws.FILTER(OFFSET($O$15,0,$DN335,$B$8,1),OFFSET($M$15,0,0,$B$8,1))=DR$13), 1*(_xlfn._xlws.FILTER(OFFSET($O$15,0,$DO335,$B$8,1),OFFSET($M$15,0,0,$B$8,1))=DR$14))   /   SUM(OFFSET($BO$15,0,0,$B$14,1)) + $B$18/($B$19*$B$19*($DN335&lt;&gt;$DO335) + $B$19*($DN335=$DO335))</f>
        <v>3.3333333333333331E-3</v>
      </c>
      <c r="DS335" s="10" cm="1">
        <f t="array" aca="1" ref="DS335" ca="1">(1-$B$18)*SUMPRODUCT(OFFSET($BO$15,0,0,$B$14,1), 1*(_xlfn._xlws.FILTER(OFFSET($O$15,0,$DN335,$B$8,1),OFFSET($M$15,0,0,$B$8,1))=DS$13), 1*(_xlfn._xlws.FILTER(OFFSET($O$15,0,$DO335,$B$8,1),OFFSET($M$15,0,0,$B$8,1))=DS$14))   /   SUM(OFFSET($BO$15,0,0,$B$14,1)) + $B$18/($B$19*$B$19*($DN335&lt;&gt;$DO335) + $B$19*($DN335=$DO335))</f>
        <v>3.3333333333333331E-3</v>
      </c>
      <c r="DT335" s="10" cm="1">
        <f t="array" aca="1" ref="DT335" ca="1">(1-$B$18)*SUMPRODUCT(OFFSET($BO$15,0,0,$B$14,1), 1*(_xlfn._xlws.FILTER(OFFSET($O$15,0,$DN335,$B$8,1),OFFSET($M$15,0,0,$B$8,1))=DT$13), 1*(_xlfn._xlws.FILTER(OFFSET($O$15,0,$DO335,$B$8,1),OFFSET($M$15,0,0,$B$8,1))=DT$14))   /   SUM(OFFSET($BO$15,0,0,$B$14,1)) + $B$18/($B$19*$B$19*($DN335&lt;&gt;$DO335) + $B$19*($DN335=$DO335))</f>
        <v>3.3333333333333331E-3</v>
      </c>
      <c r="DU335" s="10" cm="1">
        <f t="array" aca="1" ref="DU335" ca="1">(1-$B$18)*SUMPRODUCT(OFFSET($BO$15,0,0,$B$14,1), 1*(_xlfn._xlws.FILTER(OFFSET($O$15,0,$DN335,$B$8,1),OFFSET($M$15,0,0,$B$8,1))=DU$13), 1*(_xlfn._xlws.FILTER(OFFSET($O$15,0,$DO335,$B$8,1),OFFSET($M$15,0,0,$B$8,1))=DU$14))   /   SUM(OFFSET($BO$15,0,0,$B$14,1)) + $B$18/($B$19*$B$19*($DN335&lt;&gt;$DO335) + $B$19*($DN335=$DO335))</f>
        <v>3.3333333333333331E-3</v>
      </c>
      <c r="DV335" s="10" cm="1">
        <f t="array" aca="1" ref="DV335" ca="1">(1-$B$18)*SUMPRODUCT(OFFSET($BO$15,0,0,$B$14,1), 1*(_xlfn._xlws.FILTER(OFFSET($O$15,0,$DN335,$B$8,1),OFFSET($M$15,0,0,$B$8,1))=DV$13), 1*(_xlfn._xlws.FILTER(OFFSET($O$15,0,$DO335,$B$8,1),OFFSET($M$15,0,0,$B$8,1))=DV$14))   /   SUM(OFFSET($BO$15,0,0,$B$14,1)) + $B$18/($B$19*$B$19*($DN335&lt;&gt;$DO335) + $B$19*($DN335=$DO335))</f>
        <v>3.3333333333333331E-3</v>
      </c>
      <c r="DW335" s="10" cm="1">
        <f t="array" aca="1" ref="DW335" ca="1">(1-$B$18)*SUMPRODUCT(OFFSET($BO$15,0,0,$B$14,1), 1*(_xlfn._xlws.FILTER(OFFSET($O$15,0,$DN335,$B$8,1),OFFSET($M$15,0,0,$B$8,1))=DW$13), 1*(_xlfn._xlws.FILTER(OFFSET($O$15,0,$DO335,$B$8,1),OFFSET($M$15,0,0,$B$8,1))=DW$14))   /   SUM(OFFSET($BO$15,0,0,$B$14,1)) + $B$18/($B$19*$B$19*($DN335&lt;&gt;$DO335) + $B$19*($DN335=$DO335))</f>
        <v>3.3333333333333331E-3</v>
      </c>
      <c r="DX335" s="10" cm="1">
        <f t="array" aca="1" ref="DX335" ca="1">(1-$B$18)*SUMPRODUCT(OFFSET($BO$15,0,0,$B$14,1), 1*(_xlfn._xlws.FILTER(OFFSET($O$15,0,$DN335,$B$8,1),OFFSET($M$15,0,0,$B$8,1))=DX$13), 1*(_xlfn._xlws.FILTER(OFFSET($O$15,0,$DO335,$B$8,1),OFFSET($M$15,0,0,$B$8,1))=DX$14))   /   SUM(OFFSET($BO$15,0,0,$B$14,1)) + $B$18/($B$19*$B$19*($DN335&lt;&gt;$DO335) + $B$19*($DN335=$DO335))</f>
        <v>3.3333333333333331E-3</v>
      </c>
      <c r="DY335" s="10" cm="1">
        <f t="array" aca="1" ref="DY335" ca="1">(1-$B$18)*SUMPRODUCT(OFFSET($BO$15,0,0,$B$14,1), 1*(_xlfn._xlws.FILTER(OFFSET($O$15,0,$DN335,$B$8,1),OFFSET($M$15,0,0,$B$8,1))=DY$13), 1*(_xlfn._xlws.FILTER(OFFSET($O$15,0,$DO335,$B$8,1),OFFSET($M$15,0,0,$B$8,1))=DY$14))   /   SUM(OFFSET($BO$15,0,0,$B$14,1)) + $B$18/($B$19*$B$19*($DN335&lt;&gt;$DO335) + $B$19*($DN335=$DO335))</f>
        <v>3.3333333333333331E-3</v>
      </c>
      <c r="DZ335" s="10" cm="1">
        <f t="array" aca="1" ref="DZ335" ca="1">(1-$B$18)*SUMPRODUCT(OFFSET($BO$15,0,0,$B$14,1), 1*(_xlfn._xlws.FILTER(OFFSET($O$15,0,$DN335,$B$8,1),OFFSET($M$15,0,0,$B$8,1))=DZ$13), 1*(_xlfn._xlws.FILTER(OFFSET($O$15,0,$DO335,$B$8,1),OFFSET($M$15,0,0,$B$8,1))=DZ$14))   /   SUM(OFFSET($BO$15,0,0,$B$14,1)) + $B$18/($B$19*$B$19*($DN335&lt;&gt;$DO335) + $B$19*($DN335=$DO335))</f>
        <v>3.3333333333333331E-3</v>
      </c>
      <c r="EA335" s="10" cm="1">
        <f t="array" aca="1" ref="EA335" ca="1">(1-$B$18)*SUMPRODUCT(OFFSET($BO$15,0,0,$B$14,1), 1*(_xlfn._xlws.FILTER(OFFSET($O$15,0,$DN335,$B$8,1),OFFSET($M$15,0,0,$B$8,1))=EA$13), 1*(_xlfn._xlws.FILTER(OFFSET($O$15,0,$DO335,$B$8,1),OFFSET($M$15,0,0,$B$8,1))=EA$14))   /   SUM(OFFSET($BO$15,0,0,$B$14,1)) + $B$18/($B$19*$B$19*($DN335&lt;&gt;$DO335) + $B$19*($DN335=$DO335))</f>
        <v>3.3333333333333331E-3</v>
      </c>
      <c r="EB335" s="10" cm="1">
        <f t="array" aca="1" ref="EB335" ca="1">(1-$B$18)*SUMPRODUCT(OFFSET($BO$15,0,0,$B$14,1), 1*(_xlfn._xlws.FILTER(OFFSET($O$15,0,$DN335,$B$8,1),OFFSET($M$15,0,0,$B$8,1))=EB$13), 1*(_xlfn._xlws.FILTER(OFFSET($O$15,0,$DO335,$B$8,1),OFFSET($M$15,0,0,$B$8,1))=EB$14))   /   SUM(OFFSET($BO$15,0,0,$B$14,1)) + $B$18/($B$19*$B$19*($DN335&lt;&gt;$DO335) + $B$19*($DN335=$DO335))</f>
        <v>3.3333333333333331E-3</v>
      </c>
      <c r="EC335" s="10" cm="1">
        <f t="array" aca="1" ref="EC335" ca="1">(1-$B$18)*SUMPRODUCT(OFFSET($BO$15,0,0,$B$14,1), 1*(_xlfn._xlws.FILTER(OFFSET($O$15,0,$DN335,$B$8,1),OFFSET($M$15,0,0,$B$8,1))=EC$13), 1*(_xlfn._xlws.FILTER(OFFSET($O$15,0,$DO335,$B$8,1),OFFSET($M$15,0,0,$B$8,1))=EC$14))   /   SUM(OFFSET($BO$15,0,0,$B$14,1)) + $B$18/($B$19*$B$19*($DN335&lt;&gt;$DO335) + $B$19*($DN335=$DO335))</f>
        <v>3.3333333333333331E-3</v>
      </c>
      <c r="ED335" s="10" cm="1">
        <f t="array" aca="1" ref="ED335" ca="1">(1-$B$18)*SUMPRODUCT(OFFSET($BO$15,0,0,$B$14,1), 1*(_xlfn._xlws.FILTER(OFFSET($O$15,0,$DN335,$B$8,1),OFFSET($M$15,0,0,$B$8,1))=ED$13), 1*(_xlfn._xlws.FILTER(OFFSET($O$15,0,$DO335,$B$8,1),OFFSET($M$15,0,0,$B$8,1))=ED$14))   /   SUM(OFFSET($BO$15,0,0,$B$14,1)) + $B$18/($B$19*$B$19*($DN335&lt;&gt;$DO335) + $B$19*($DN335=$DO335))</f>
        <v>3.3333333333333331E-3</v>
      </c>
      <c r="EE335" s="10" cm="1">
        <f t="array" aca="1" ref="EE335" ca="1">(1-$B$18)*SUMPRODUCT(OFFSET($BO$15,0,0,$B$14,1), 1*(_xlfn._xlws.FILTER(OFFSET($O$15,0,$DN335,$B$8,1),OFFSET($M$15,0,0,$B$8,1))=EE$13), 1*(_xlfn._xlws.FILTER(OFFSET($O$15,0,$DO335,$B$8,1),OFFSET($M$15,0,0,$B$8,1))=EE$14))   /   SUM(OFFSET($BO$15,0,0,$B$14,1)) + $B$18/($B$19*$B$19*($DN335&lt;&gt;$DO335) + $B$19*($DN335=$DO335))</f>
        <v>3.3333333333333331E-3</v>
      </c>
      <c r="EF335" s="10" cm="1">
        <f t="array" aca="1" ref="EF335" ca="1">(1-$B$18)*SUMPRODUCT(OFFSET($BO$15,0,0,$B$14,1), 1*(_xlfn._xlws.FILTER(OFFSET($O$15,0,$DN335,$B$8,1),OFFSET($M$15,0,0,$B$8,1))=EF$13), 1*(_xlfn._xlws.FILTER(OFFSET($O$15,0,$DO335,$B$8,1),OFFSET($M$15,0,0,$B$8,1))=EF$14))   /   SUM(OFFSET($BO$15,0,0,$B$14,1)) + $B$18/($B$19*$B$19*($DN335&lt;&gt;$DO335) + $B$19*($DN335=$DO335))</f>
        <v>3.3333333333333331E-3</v>
      </c>
      <c r="EG335" s="10" cm="1">
        <f t="array" aca="1" ref="EG335" ca="1">(1-$B$18)*SUMPRODUCT(OFFSET($BO$15,0,0,$B$14,1), 1*(_xlfn._xlws.FILTER(OFFSET($O$15,0,$DN335,$B$8,1),OFFSET($M$15,0,0,$B$8,1))=EG$13), 1*(_xlfn._xlws.FILTER(OFFSET($O$15,0,$DO335,$B$8,1),OFFSET($M$15,0,0,$B$8,1))=EG$14))   /   SUM(OFFSET($BO$15,0,0,$B$14,1)) + $B$18/($B$19*$B$19*($DN335&lt;&gt;$DO335) + $B$19*($DN335=$DO335))</f>
        <v>3.3333333333333331E-3</v>
      </c>
      <c r="EH335" s="10" cm="1">
        <f t="array" aca="1" ref="EH335" ca="1">(1-$B$18)*SUMPRODUCT(OFFSET($BO$15,0,0,$B$14,1), 1*(_xlfn._xlws.FILTER(OFFSET($O$15,0,$DN335,$B$8,1),OFFSET($M$15,0,0,$B$8,1))=EH$13), 1*(_xlfn._xlws.FILTER(OFFSET($O$15,0,$DO335,$B$8,1),OFFSET($M$15,0,0,$B$8,1))=EH$14))   /   SUM(OFFSET($BO$15,0,0,$B$14,1)) + $B$18/($B$19*$B$19*($DN335&lt;&gt;$DO335) + $B$19*($DN335=$DO335))</f>
        <v>3.3333333333333331E-3</v>
      </c>
      <c r="EI335" s="10" cm="1">
        <f t="array" aca="1" ref="EI335" ca="1">(1-$B$18)*SUMPRODUCT(OFFSET($BO$15,0,0,$B$14,1), 1*(_xlfn._xlws.FILTER(OFFSET($O$15,0,$DN335,$B$8,1),OFFSET($M$15,0,0,$B$8,1))=EI$13), 1*(_xlfn._xlws.FILTER(OFFSET($O$15,0,$DO335,$B$8,1),OFFSET($M$15,0,0,$B$8,1))=EI$14))   /   SUM(OFFSET($BO$15,0,0,$B$14,1)) + $B$18/($B$19*$B$19*($DN335&lt;&gt;$DO335) + $B$19*($DN335=$DO335))</f>
        <v>3.3333333333333331E-3</v>
      </c>
      <c r="EJ335" s="10" cm="1">
        <f t="array" aca="1" ref="EJ335" ca="1">(1-$B$18)*SUMPRODUCT(OFFSET($BO$15,0,0,$B$14,1), 1*(_xlfn._xlws.FILTER(OFFSET($O$15,0,$DN335,$B$8,1),OFFSET($M$15,0,0,$B$8,1))=EJ$13), 1*(_xlfn._xlws.FILTER(OFFSET($O$15,0,$DO335,$B$8,1),OFFSET($M$15,0,0,$B$8,1))=EJ$14))   /   SUM(OFFSET($BO$15,0,0,$B$14,1)) + $B$18/($B$19*$B$19*($DN335&lt;&gt;$DO335) + $B$19*($DN335=$DO335))</f>
        <v>3.3333333333333331E-3</v>
      </c>
      <c r="EK335" s="10" cm="1">
        <f t="array" aca="1" ref="EK335" ca="1">(1-$B$18)*SUMPRODUCT(OFFSET($BO$15,0,0,$B$14,1), 1*(_xlfn._xlws.FILTER(OFFSET($O$15,0,$DN335,$B$8,1),OFFSET($M$15,0,0,$B$8,1))=EK$13), 1*(_xlfn._xlws.FILTER(OFFSET($O$15,0,$DO335,$B$8,1),OFFSET($M$15,0,0,$B$8,1))=EK$14))   /   SUM(OFFSET($BO$15,0,0,$B$14,1)) + $B$18/($B$19*$B$19*($DN335&lt;&gt;$DO335) + $B$19*($DN335=$DO335))</f>
        <v>3.3333333333333331E-3</v>
      </c>
      <c r="EL335" s="10" cm="1">
        <f t="array" aca="1" ref="EL335" ca="1">(1-$B$18)*SUMPRODUCT(OFFSET($BO$15,0,0,$B$14,1), 1*(_xlfn._xlws.FILTER(OFFSET($O$15,0,$DN335,$B$8,1),OFFSET($M$15,0,0,$B$8,1))=EL$13), 1*(_xlfn._xlws.FILTER(OFFSET($O$15,0,$DO335,$B$8,1),OFFSET($M$15,0,0,$B$8,1))=EL$14))   /   SUM(OFFSET($BO$15,0,0,$B$14,1)) + $B$18/($B$19*$B$19*($DN335&lt;&gt;$DO335) + $B$19*($DN335=$DO335))</f>
        <v>3.3333333333333331E-3</v>
      </c>
      <c r="EM335" s="10" cm="1">
        <f t="array" aca="1" ref="EM335" ca="1">(1-$B$18)*SUMPRODUCT(OFFSET($BO$15,0,0,$B$14,1), 1*(_xlfn._xlws.FILTER(OFFSET($O$15,0,$DN335,$B$8,1),OFFSET($M$15,0,0,$B$8,1))=EM$13), 1*(_xlfn._xlws.FILTER(OFFSET($O$15,0,$DO335,$B$8,1),OFFSET($M$15,0,0,$B$8,1))=EM$14))   /   SUM(OFFSET($BO$15,0,0,$B$14,1)) + $B$18/($B$19*$B$19*($DN335&lt;&gt;$DO335) + $B$19*($DN335=$DO335))</f>
        <v>3.3333333333333331E-3</v>
      </c>
      <c r="EN335" s="10" cm="1">
        <f t="array" aca="1" ref="EN335" ca="1">(1-$B$18)*SUMPRODUCT(OFFSET($BO$15,0,0,$B$14,1), 1*(_xlfn._xlws.FILTER(OFFSET($O$15,0,$DN335,$B$8,1),OFFSET($M$15,0,0,$B$8,1))=EN$13), 1*(_xlfn._xlws.FILTER(OFFSET($O$15,0,$DO335,$B$8,1),OFFSET($M$15,0,0,$B$8,1))=EN$14))   /   SUM(OFFSET($BO$15,0,0,$B$14,1)) + $B$18/($B$19*$B$19*($DN335&lt;&gt;$DO335) + $B$19*($DN335=$DO335))</f>
        <v>3.3333333333333331E-3</v>
      </c>
      <c r="EO335" s="10" cm="1">
        <f t="array" aca="1" ref="EO335" ca="1">(1-$B$18)*SUMPRODUCT(OFFSET($BO$15,0,0,$B$14,1), 1*(_xlfn._xlws.FILTER(OFFSET($O$15,0,$DN335,$B$8,1),OFFSET($M$15,0,0,$B$8,1))=EO$13), 1*(_xlfn._xlws.FILTER(OFFSET($O$15,0,$DO335,$B$8,1),OFFSET($M$15,0,0,$B$8,1))=EO$14))   /   SUM(OFFSET($BO$15,0,0,$B$14,1)) + $B$18/($B$19*$B$19*($DN335&lt;&gt;$DO335) + $B$19*($DN335=$DO335))</f>
        <v>3.3333333333333331E-3</v>
      </c>
      <c r="EP335" s="10" cm="1">
        <f t="array" aca="1" ref="EP335" ca="1">(1-$B$18)*SUMPRODUCT(OFFSET($BO$15,0,0,$B$14,1), 1*(_xlfn._xlws.FILTER(OFFSET($O$15,0,$DN335,$B$8,1),OFFSET($M$15,0,0,$B$8,1))=EP$13), 1*(_xlfn._xlws.FILTER(OFFSET($O$15,0,$DO335,$B$8,1),OFFSET($M$15,0,0,$B$8,1))=EP$14))   /   SUM(OFFSET($BO$15,0,0,$B$14,1)) + $B$18/($B$19*$B$19*($DN335&lt;&gt;$DO335) + $B$19*($DN335=$DO335))</f>
        <v>3.3333333333333331E-3</v>
      </c>
      <c r="EQ335" s="10" cm="1">
        <f t="array" aca="1" ref="EQ335" ca="1">(1-$B$18)*SUMPRODUCT(OFFSET($BO$15,0,0,$B$14,1), 1*(_xlfn._xlws.FILTER(OFFSET($O$15,0,$DN335,$B$8,1),OFFSET($M$15,0,0,$B$8,1))=EQ$13), 1*(_xlfn._xlws.FILTER(OFFSET($O$15,0,$DO335,$B$8,1),OFFSET($M$15,0,0,$B$8,1))=EQ$14))   /   SUM(OFFSET($BO$15,0,0,$B$14,1)) + $B$18/($B$19*$B$19*($DN335&lt;&gt;$DO335) + $B$19*($DN335=$DO335))</f>
        <v>0.97333333333333327</v>
      </c>
      <c r="ER335" s="10" cm="1">
        <f t="array" aca="1" ref="ER335" ca="1">(1-$B$18)*SUMPRODUCT(OFFSET($BO$15,0,0,$B$14,1), 1*(_xlfn._xlws.FILTER(OFFSET($O$15,0,$DN335,$B$8,1),OFFSET($M$15,0,0,$B$8,1))=ER$13), 1*(_xlfn._xlws.FILTER(OFFSET($O$15,0,$DO335,$B$8,1),OFFSET($M$15,0,0,$B$8,1))=ER$14))   /   SUM(OFFSET($BO$15,0,0,$B$14,1)) + $B$18/($B$19*$B$19*($DN335&lt;&gt;$DO335) + $B$19*($DN335=$DO335))</f>
        <v>3.3333333333333331E-3</v>
      </c>
      <c r="ES335" s="10" cm="1">
        <f t="array" aca="1" ref="ES335" ca="1">(1-$B$18)*SUMPRODUCT(OFFSET($BO$15,0,0,$B$14,1), 1*(_xlfn._xlws.FILTER(OFFSET($O$15,0,$DN335,$B$8,1),OFFSET($M$15,0,0,$B$8,1))=ES$13), 1*(_xlfn._xlws.FILTER(OFFSET($O$15,0,$DO335,$B$8,1),OFFSET($M$15,0,0,$B$8,1))=ES$14))   /   SUM(OFFSET($BO$15,0,0,$B$14,1)) + $B$18/($B$19*$B$19*($DN335&lt;&gt;$DO335) + $B$19*($DN335=$DO335))</f>
        <v>3.3333333333333331E-3</v>
      </c>
      <c r="ET335" s="10" cm="1">
        <f t="array" aca="1" ref="ET335" ca="1">(1-$B$18)*SUMPRODUCT(OFFSET($BO$15,0,0,$B$14,1), 1*(_xlfn._xlws.FILTER(OFFSET($O$15,0,$DN335,$B$8,1),OFFSET($M$15,0,0,$B$8,1))=ET$13), 1*(_xlfn._xlws.FILTER(OFFSET($O$15,0,$DO335,$B$8,1),OFFSET($M$15,0,0,$B$8,1))=ET$14))   /   SUM(OFFSET($BO$15,0,0,$B$14,1)) + $B$18/($B$19*$B$19*($DN335&lt;&gt;$DO335) + $B$19*($DN335=$DO335))</f>
        <v>3.3333333333333331E-3</v>
      </c>
      <c r="EU335" s="10" cm="1">
        <f t="array" aca="1" ref="EU335" ca="1">(1-$B$18)*SUMPRODUCT(OFFSET($BO$15,0,0,$B$14,1), 1*(_xlfn._xlws.FILTER(OFFSET($O$15,0,$DN335,$B$8,1),OFFSET($M$15,0,0,$B$8,1))=EU$13), 1*(_xlfn._xlws.FILTER(OFFSET($O$15,0,$DO335,$B$8,1),OFFSET($M$15,0,0,$B$8,1))=EU$14))   /   SUM(OFFSET($BO$15,0,0,$B$14,1)) + $B$18/($B$19*$B$19*($DN335&lt;&gt;$DO335) + $B$19*($DN335=$DO335))</f>
        <v>3.3333333333333331E-3</v>
      </c>
      <c r="EV335" s="10" cm="1">
        <f t="array" aca="1" ref="EV335" ca="1">(1-$B$18)*SUMPRODUCT(OFFSET($BO$15,0,0,$B$14,1), 1*(_xlfn._xlws.FILTER(OFFSET($O$15,0,$DN335,$B$8,1),OFFSET($M$15,0,0,$B$8,1))=EV$13), 1*(_xlfn._xlws.FILTER(OFFSET($O$15,0,$DO335,$B$8,1),OFFSET($M$15,0,0,$B$8,1))=EV$14))   /   SUM(OFFSET($BO$15,0,0,$B$14,1)) + $B$18/($B$19*$B$19*($DN335&lt;&gt;$DO335) + $B$19*($DN335=$DO335))</f>
        <v>3.3333333333333331E-3</v>
      </c>
      <c r="EW335" s="10" cm="1">
        <f t="array" aca="1" ref="EW335" ca="1">(1-$B$18)*SUMPRODUCT(OFFSET($BO$15,0,0,$B$14,1), 1*(_xlfn._xlws.FILTER(OFFSET($O$15,0,$DN335,$B$8,1),OFFSET($M$15,0,0,$B$8,1))=EW$13), 1*(_xlfn._xlws.FILTER(OFFSET($O$15,0,$DO335,$B$8,1),OFFSET($M$15,0,0,$B$8,1))=EW$14))   /   SUM(OFFSET($BO$15,0,0,$B$14,1)) + $B$18/($B$19*$B$19*($DN335&lt;&gt;$DO335) + $B$19*($DN335=$DO335))</f>
        <v>3.3333333333333331E-3</v>
      </c>
      <c r="EX335" s="10" cm="1">
        <f t="array" aca="1" ref="EX335" ca="1">(1-$B$18)*SUMPRODUCT(OFFSET($BO$15,0,0,$B$14,1), 1*(_xlfn._xlws.FILTER(OFFSET($O$15,0,$DN335,$B$8,1),OFFSET($M$15,0,0,$B$8,1))=EX$13), 1*(_xlfn._xlws.FILTER(OFFSET($O$15,0,$DO335,$B$8,1),OFFSET($M$15,0,0,$B$8,1))=EX$14))   /   SUM(OFFSET($BO$15,0,0,$B$14,1)) + $B$18/($B$19*$B$19*($DN335&lt;&gt;$DO335) + $B$19*($DN335=$DO335))</f>
        <v>3.3333333333333331E-3</v>
      </c>
      <c r="EY335" s="10" cm="1">
        <f t="array" aca="1" ref="EY335" ca="1">(1-$B$18)*SUMPRODUCT(OFFSET($BO$15,0,0,$B$14,1), 1*(_xlfn._xlws.FILTER(OFFSET($O$15,0,$DN335,$B$8,1),OFFSET($M$15,0,0,$B$8,1))=EY$13), 1*(_xlfn._xlws.FILTER(OFFSET($O$15,0,$DO335,$B$8,1),OFFSET($M$15,0,0,$B$8,1))=EY$14))   /   SUM(OFFSET($BO$15,0,0,$B$14,1)) + $B$18/($B$19*$B$19*($DN335&lt;&gt;$DO335) + $B$19*($DN335=$DO335))</f>
        <v>3.3333333333333331E-3</v>
      </c>
      <c r="EZ335" s="10" cm="1">
        <f t="array" aca="1" ref="EZ335" ca="1">(1-$B$18)*SUMPRODUCT(OFFSET($BO$15,0,0,$B$14,1), 1*(_xlfn._xlws.FILTER(OFFSET($O$15,0,$DN335,$B$8,1),OFFSET($M$15,0,0,$B$8,1))=EZ$13), 1*(_xlfn._xlws.FILTER(OFFSET($O$15,0,$DO335,$B$8,1),OFFSET($M$15,0,0,$B$8,1))=EZ$14))   /   SUM(OFFSET($BO$15,0,0,$B$14,1)) + $B$18/($B$19*$B$19*($DN335&lt;&gt;$DO335) + $B$19*($DN335=$DO335))</f>
        <v>3.3333333333333331E-3</v>
      </c>
      <c r="FA335" s="10" cm="1">
        <f t="array" aca="1" ref="FA335" ca="1">(1-$B$18)*SUMPRODUCT(OFFSET($BO$15,0,0,$B$14,1), 1*(_xlfn._xlws.FILTER(OFFSET($O$15,0,$DN335,$B$8,1),OFFSET($M$15,0,0,$B$8,1))=FA$13), 1*(_xlfn._xlws.FILTER(OFFSET($O$15,0,$DO335,$B$8,1),OFFSET($M$15,0,0,$B$8,1))=FA$14))   /   SUM(OFFSET($BO$15,0,0,$B$14,1)) + $B$18/($B$19*$B$19*($DN335&lt;&gt;$DO335) + $B$19*($DN335=$DO335))</f>
        <v>3.3333333333333331E-3</v>
      </c>
      <c r="FB335" s="10" cm="1">
        <f t="array" aca="1" ref="FB335" ca="1">(1-$B$18)*SUMPRODUCT(OFFSET($BO$15,0,0,$B$14,1), 1*(_xlfn._xlws.FILTER(OFFSET($O$15,0,$DN335,$B$8,1),OFFSET($M$15,0,0,$B$8,1))=FB$13), 1*(_xlfn._xlws.FILTER(OFFSET($O$15,0,$DO335,$B$8,1),OFFSET($M$15,0,0,$B$8,1))=FB$14))   /   SUM(OFFSET($BO$15,0,0,$B$14,1)) + $B$18/($B$19*$B$19*($DN335&lt;&gt;$DO335) + $B$19*($DN335=$DO335))</f>
        <v>3.3333333333333331E-3</v>
      </c>
      <c r="FC335" s="10" cm="1">
        <f t="array" aca="1" ref="FC335" ca="1">(1-$B$18)*SUMPRODUCT(OFFSET($BO$15,0,0,$B$14,1), 1*(_xlfn._xlws.FILTER(OFFSET($O$15,0,$DN335,$B$8,1),OFFSET($M$15,0,0,$B$8,1))=FC$13), 1*(_xlfn._xlws.FILTER(OFFSET($O$15,0,$DO335,$B$8,1),OFFSET($M$15,0,0,$B$8,1))=FC$14))   /   SUM(OFFSET($BO$15,0,0,$B$14,1)) + $B$18/($B$19*$B$19*($DN335&lt;&gt;$DO335) + $B$19*($DN335=$DO335))</f>
        <v>3.3333333333333331E-3</v>
      </c>
      <c r="FD335" s="10" cm="1">
        <f t="array" aca="1" ref="FD335" ca="1">(1-$B$18)*SUMPRODUCT(OFFSET($BO$15,0,0,$B$14,1), 1*(_xlfn._xlws.FILTER(OFFSET($O$15,0,$DN335,$B$8,1),OFFSET($M$15,0,0,$B$8,1))=FD$13), 1*(_xlfn._xlws.FILTER(OFFSET($O$15,0,$DO335,$B$8,1),OFFSET($M$15,0,0,$B$8,1))=FD$14))   /   SUM(OFFSET($BO$15,0,0,$B$14,1)) + $B$18/($B$19*$B$19*($DN335&lt;&gt;$DO335) + $B$19*($DN335=$DO335))</f>
        <v>3.3333333333333331E-3</v>
      </c>
      <c r="FE335" s="10" cm="1">
        <f t="array" aca="1" ref="FE335" ca="1">(1-$B$18)*SUMPRODUCT(OFFSET($BO$15,0,0,$B$14,1), 1*(_xlfn._xlws.FILTER(OFFSET($O$15,0,$DN335,$B$8,1),OFFSET($M$15,0,0,$B$8,1))=FE$13), 1*(_xlfn._xlws.FILTER(OFFSET($O$15,0,$DO335,$B$8,1),OFFSET($M$15,0,0,$B$8,1))=FE$14))   /   SUM(OFFSET($BO$15,0,0,$B$14,1)) + $B$18/($B$19*$B$19*($DN335&lt;&gt;$DO335) + $B$19*($DN335=$DO335))</f>
        <v>3.3333333333333331E-3</v>
      </c>
      <c r="FF335" s="10" cm="1">
        <f t="array" aca="1" ref="FF335" ca="1">(1-$B$18)*SUMPRODUCT(OFFSET($BO$15,0,0,$B$14,1), 1*(_xlfn._xlws.FILTER(OFFSET($O$15,0,$DN335,$B$8,1),OFFSET($M$15,0,0,$B$8,1))=FF$13), 1*(_xlfn._xlws.FILTER(OFFSET($O$15,0,$DO335,$B$8,1),OFFSET($M$15,0,0,$B$8,1))=FF$14))   /   SUM(OFFSET($BO$15,0,0,$B$14,1)) + $B$18/($B$19*$B$19*($DN335&lt;&gt;$DO335) + $B$19*($DN335=$DO335))</f>
        <v>3.3333333333333331E-3</v>
      </c>
      <c r="FG335" s="10" cm="1">
        <f t="array" aca="1" ref="FG335" ca="1">(1-$B$18)*SUMPRODUCT(OFFSET($BO$15,0,0,$B$14,1), 1*(_xlfn._xlws.FILTER(OFFSET($O$15,0,$DN335,$B$8,1),OFFSET($M$15,0,0,$B$8,1))=FG$13), 1*(_xlfn._xlws.FILTER(OFFSET($O$15,0,$DO335,$B$8,1),OFFSET($M$15,0,0,$B$8,1))=FG$14))   /   SUM(OFFSET($BO$15,0,0,$B$14,1)) + $B$18/($B$19*$B$19*($DN335&lt;&gt;$DO335) + $B$19*($DN335=$DO335))</f>
        <v>3.3333333333333331E-3</v>
      </c>
      <c r="FH335" s="10" cm="1">
        <f t="array" aca="1" ref="FH335" ca="1">(1-$B$18)*SUMPRODUCT(OFFSET($BO$15,0,0,$B$14,1), 1*(_xlfn._xlws.FILTER(OFFSET($O$15,0,$DN335,$B$8,1),OFFSET($M$15,0,0,$B$8,1))=FH$13), 1*(_xlfn._xlws.FILTER(OFFSET($O$15,0,$DO335,$B$8,1),OFFSET($M$15,0,0,$B$8,1))=FH$14))   /   SUM(OFFSET($BO$15,0,0,$B$14,1)) + $B$18/($B$19*$B$19*($DN335&lt;&gt;$DO335) + $B$19*($DN335=$DO335))</f>
        <v>3.3333333333333331E-3</v>
      </c>
      <c r="FI335" s="10" cm="1">
        <f t="array" aca="1" ref="FI335" ca="1">(1-$B$18)*SUMPRODUCT(OFFSET($BO$15,0,0,$B$14,1), 1*(_xlfn._xlws.FILTER(OFFSET($O$15,0,$DN335,$B$8,1),OFFSET($M$15,0,0,$B$8,1))=FI$13), 1*(_xlfn._xlws.FILTER(OFFSET($O$15,0,$DO335,$B$8,1),OFFSET($M$15,0,0,$B$8,1))=FI$14))   /   SUM(OFFSET($BO$15,0,0,$B$14,1)) + $B$18/($B$19*$B$19*($DN335&lt;&gt;$DO335) + $B$19*($DN335=$DO335))</f>
        <v>3.3333333333333331E-3</v>
      </c>
      <c r="FJ335" s="10" cm="1">
        <f t="array" aca="1" ref="FJ335" ca="1">(1-$B$18)*SUMPRODUCT(OFFSET($BO$15,0,0,$B$14,1), 1*(_xlfn._xlws.FILTER(OFFSET($O$15,0,$DN335,$B$8,1),OFFSET($M$15,0,0,$B$8,1))=FJ$13), 1*(_xlfn._xlws.FILTER(OFFSET($O$15,0,$DO335,$B$8,1),OFFSET($M$15,0,0,$B$8,1))=FJ$14))   /   SUM(OFFSET($BO$15,0,0,$B$14,1)) + $B$18/($B$19*$B$19*($DN335&lt;&gt;$DO335) + $B$19*($DN335=$DO335))</f>
        <v>3.3333333333333331E-3</v>
      </c>
      <c r="FK335" s="10" cm="1">
        <f t="array" aca="1" ref="FK335" ca="1">(1-$B$18)*SUMPRODUCT(OFFSET($BO$15,0,0,$B$14,1), 1*(_xlfn._xlws.FILTER(OFFSET($O$15,0,$DN335,$B$8,1),OFFSET($M$15,0,0,$B$8,1))=FK$13), 1*(_xlfn._xlws.FILTER(OFFSET($O$15,0,$DO335,$B$8,1),OFFSET($M$15,0,0,$B$8,1))=FK$14))   /   SUM(OFFSET($BO$15,0,0,$B$14,1)) + $B$18/($B$19*$B$19*($DN335&lt;&gt;$DO335) + $B$19*($DN335=$DO335))</f>
        <v>3.3333333333333331E-3</v>
      </c>
      <c r="FL335" s="10" cm="1">
        <f t="array" aca="1" ref="FL335" ca="1">(1-$B$18)*SUMPRODUCT(OFFSET($BO$15,0,0,$B$14,1), 1*(_xlfn._xlws.FILTER(OFFSET($O$15,0,$DN335,$B$8,1),OFFSET($M$15,0,0,$B$8,1))=FL$13), 1*(_xlfn._xlws.FILTER(OFFSET($O$15,0,$DO335,$B$8,1),OFFSET($M$15,0,0,$B$8,1))=FL$14))   /   SUM(OFFSET($BO$15,0,0,$B$14,1)) + $B$18/($B$19*$B$19*($DN335&lt;&gt;$DO335) + $B$19*($DN335=$DO335))</f>
        <v>3.3333333333333331E-3</v>
      </c>
      <c r="FM335" s="10" cm="1">
        <f t="array" aca="1" ref="FM335" ca="1">(1-$B$18)*SUMPRODUCT(OFFSET($BO$15,0,0,$B$14,1), 1*(_xlfn._xlws.FILTER(OFFSET($O$15,0,$DN335,$B$8,1),OFFSET($M$15,0,0,$B$8,1))=FM$13), 1*(_xlfn._xlws.FILTER(OFFSET($O$15,0,$DO335,$B$8,1),OFFSET($M$15,0,0,$B$8,1))=FM$14))   /   SUM(OFFSET($BO$15,0,0,$B$14,1)) + $B$18/($B$19*$B$19*($DN335&lt;&gt;$DO335) + $B$19*($DN335=$DO335))</f>
        <v>3.3333333333333331E-3</v>
      </c>
      <c r="FN335" s="10" cm="1">
        <f t="array" aca="1" ref="FN335" ca="1">(1-$B$18)*SUMPRODUCT(OFFSET($BO$15,0,0,$B$14,1), 1*(_xlfn._xlws.FILTER(OFFSET($O$15,0,$DN335,$B$8,1),OFFSET($M$15,0,0,$B$8,1))=FN$13), 1*(_xlfn._xlws.FILTER(OFFSET($O$15,0,$DO335,$B$8,1),OFFSET($M$15,0,0,$B$8,1))=FN$14))   /   SUM(OFFSET($BO$15,0,0,$B$14,1)) + $B$18/($B$19*$B$19*($DN335&lt;&gt;$DO335) + $B$19*($DN335=$DO335))</f>
        <v>3.3333333333333331E-3</v>
      </c>
      <c r="FO335" s="10" cm="1">
        <f t="array" aca="1" ref="FO335" ca="1">(1-$B$18)*SUMPRODUCT(OFFSET($BO$15,0,0,$B$14,1), 1*(_xlfn._xlws.FILTER(OFFSET($O$15,0,$DN335,$B$8,1),OFFSET($M$15,0,0,$B$8,1))=FO$13), 1*(_xlfn._xlws.FILTER(OFFSET($O$15,0,$DO335,$B$8,1),OFFSET($M$15,0,0,$B$8,1))=FO$14))   /   SUM(OFFSET($BO$15,0,0,$B$14,1)) + $B$18/($B$19*$B$19*($DN335&lt;&gt;$DO335) + $B$19*($DN335=$DO335))</f>
        <v>3.3333333333333331E-3</v>
      </c>
      <c r="FP335" s="10" cm="1">
        <f t="array" aca="1" ref="FP335" ca="1">(1-$B$18)*SUMPRODUCT(OFFSET($BO$15,0,0,$B$14,1), 1*(_xlfn._xlws.FILTER(OFFSET($O$15,0,$DN335,$B$8,1),OFFSET($M$15,0,0,$B$8,1))=FP$13), 1*(_xlfn._xlws.FILTER(OFFSET($O$15,0,$DO335,$B$8,1),OFFSET($M$15,0,0,$B$8,1))=FP$14))   /   SUM(OFFSET($BO$15,0,0,$B$14,1)) + $B$18/($B$19*$B$19*($DN335&lt;&gt;$DO335) + $B$19*($DN335=$DO335))</f>
        <v>3.3333333333333331E-3</v>
      </c>
      <c r="FQ335" s="10" cm="1">
        <f t="array" aca="1" ref="FQ335" ca="1">(1-$B$18)*SUMPRODUCT(OFFSET($BO$15,0,0,$B$14,1), 1*(_xlfn._xlws.FILTER(OFFSET($O$15,0,$DN335,$B$8,1),OFFSET($M$15,0,0,$B$8,1))=FQ$13), 1*(_xlfn._xlws.FILTER(OFFSET($O$15,0,$DO335,$B$8,1),OFFSET($M$15,0,0,$B$8,1))=FQ$14))   /   SUM(OFFSET($BO$15,0,0,$B$14,1)) + $B$18/($B$19*$B$19*($DN335&lt;&gt;$DO335) + $B$19*($DN335=$DO335))</f>
        <v>3.3333333333333331E-3</v>
      </c>
      <c r="FR335" s="10" cm="1">
        <f t="array" aca="1" ref="FR335" ca="1">(1-$B$18)*SUMPRODUCT(OFFSET($BO$15,0,0,$B$14,1), 1*(_xlfn._xlws.FILTER(OFFSET($O$15,0,$DN335,$B$8,1),OFFSET($M$15,0,0,$B$8,1))=FR$13), 1*(_xlfn._xlws.FILTER(OFFSET($O$15,0,$DO335,$B$8,1),OFFSET($M$15,0,0,$B$8,1))=FR$14))   /   SUM(OFFSET($BO$15,0,0,$B$14,1)) + $B$18/($B$19*$B$19*($DN335&lt;&gt;$DO335) + $B$19*($DN335=$DO335))</f>
        <v>3.3333333333333331E-3</v>
      </c>
      <c r="FS335" s="10" cm="1">
        <f t="array" aca="1" ref="FS335" ca="1">(1-$B$18)*SUMPRODUCT(OFFSET($BO$15,0,0,$B$14,1), 1*(_xlfn._xlws.FILTER(OFFSET($O$15,0,$DN335,$B$8,1),OFFSET($M$15,0,0,$B$8,1))=FS$13), 1*(_xlfn._xlws.FILTER(OFFSET($O$15,0,$DO335,$B$8,1),OFFSET($M$15,0,0,$B$8,1))=FS$14))   /   SUM(OFFSET($BO$15,0,0,$B$14,1)) + $B$18/($B$19*$B$19*($DN335&lt;&gt;$DO335) + $B$19*($DN335=$DO335))</f>
        <v>3.3333333333333331E-3</v>
      </c>
      <c r="FT335" s="10" cm="1">
        <f t="array" aca="1" ref="FT335" ca="1">(1-$B$18)*SUMPRODUCT(OFFSET($BO$15,0,0,$B$14,1), 1*(_xlfn._xlws.FILTER(OFFSET($O$15,0,$DN335,$B$8,1),OFFSET($M$15,0,0,$B$8,1))=FT$13), 1*(_xlfn._xlws.FILTER(OFFSET($O$15,0,$DO335,$B$8,1),OFFSET($M$15,0,0,$B$8,1))=FT$14))   /   SUM(OFFSET($BO$15,0,0,$B$14,1)) + $B$18/($B$19*$B$19*($DN335&lt;&gt;$DO335) + $B$19*($DN335=$DO335))</f>
        <v>3.3333333333333331E-3</v>
      </c>
      <c r="FU335" s="10" cm="1">
        <f t="array" aca="1" ref="FU335" ca="1">(1-$B$18)*SUMPRODUCT(OFFSET($BO$15,0,0,$B$14,1), 1*(_xlfn._xlws.FILTER(OFFSET($O$15,0,$DN335,$B$8,1),OFFSET($M$15,0,0,$B$8,1))=FU$13), 1*(_xlfn._xlws.FILTER(OFFSET($O$15,0,$DO335,$B$8,1),OFFSET($M$15,0,0,$B$8,1))=FU$14))   /   SUM(OFFSET($BO$15,0,0,$B$14,1)) + $B$18/($B$19*$B$19*($DN335&lt;&gt;$DO335) + $B$19*($DN335=$DO335))</f>
        <v>3.3333333333333331E-3</v>
      </c>
      <c r="FV335" s="10" cm="1">
        <f t="array" aca="1" ref="FV335" ca="1">(1-$B$18)*SUMPRODUCT(OFFSET($BO$15,0,0,$B$14,1), 1*(_xlfn._xlws.FILTER(OFFSET($O$15,0,$DN335,$B$8,1),OFFSET($M$15,0,0,$B$8,1))=FV$13), 1*(_xlfn._xlws.FILTER(OFFSET($O$15,0,$DO335,$B$8,1),OFFSET($M$15,0,0,$B$8,1))=FV$14))   /   SUM(OFFSET($BO$15,0,0,$B$14,1)) + $B$18/($B$19*$B$19*($DN335&lt;&gt;$DO335) + $B$19*($DN335=$DO335))</f>
        <v>3.3333333333333331E-3</v>
      </c>
      <c r="FW335" s="10" cm="1">
        <f t="array" aca="1" ref="FW335" ca="1">(1-$B$18)*SUMPRODUCT(OFFSET($BO$15,0,0,$B$14,1), 1*(_xlfn._xlws.FILTER(OFFSET($O$15,0,$DN335,$B$8,1),OFFSET($M$15,0,0,$B$8,1))=FW$13), 1*(_xlfn._xlws.FILTER(OFFSET($O$15,0,$DO335,$B$8,1),OFFSET($M$15,0,0,$B$8,1))=FW$14))   /   SUM(OFFSET($BO$15,0,0,$B$14,1)) + $B$18/($B$19*$B$19*($DN335&lt;&gt;$DO335) + $B$19*($DN335=$DO335))</f>
        <v>3.3333333333333331E-3</v>
      </c>
      <c r="FX335" s="10" cm="1">
        <f t="array" aca="1" ref="FX335" ca="1">(1-$B$18)*SUMPRODUCT(OFFSET($BO$15,0,0,$B$14,1), 1*(_xlfn._xlws.FILTER(OFFSET($O$15,0,$DN335,$B$8,1),OFFSET($M$15,0,0,$B$8,1))=FX$13), 1*(_xlfn._xlws.FILTER(OFFSET($O$15,0,$DO335,$B$8,1),OFFSET($M$15,0,0,$B$8,1))=FX$14))   /   SUM(OFFSET($BO$15,0,0,$B$14,1)) + $B$18/($B$19*$B$19*($DN335&lt;&gt;$DO335) + $B$19*($DN335=$DO335))</f>
        <v>3.3333333333333331E-3</v>
      </c>
      <c r="FY335" s="10" cm="1">
        <f t="array" aca="1" ref="FY335" ca="1">(1-$B$18)*SUMPRODUCT(OFFSET($BO$15,0,0,$B$14,1), 1*(_xlfn._xlws.FILTER(OFFSET($O$15,0,$DN335,$B$8,1),OFFSET($M$15,0,0,$B$8,1))=FY$13), 1*(_xlfn._xlws.FILTER(OFFSET($O$15,0,$DO335,$B$8,1),OFFSET($M$15,0,0,$B$8,1))=FY$14))   /   SUM(OFFSET($BO$15,0,0,$B$14,1)) + $B$18/($B$19*$B$19*($DN335&lt;&gt;$DO335) + $B$19*($DN335=$DO335))</f>
        <v>3.3333333333333331E-3</v>
      </c>
      <c r="FZ335" s="10" cm="1">
        <f t="array" aca="1" ref="FZ335" ca="1">(1-$B$18)*SUMPRODUCT(OFFSET($BO$15,0,0,$B$14,1), 1*(_xlfn._xlws.FILTER(OFFSET($O$15,0,$DN335,$B$8,1),OFFSET($M$15,0,0,$B$8,1))=FZ$13), 1*(_xlfn._xlws.FILTER(OFFSET($O$15,0,$DO335,$B$8,1),OFFSET($M$15,0,0,$B$8,1))=FZ$14))   /   SUM(OFFSET($BO$15,0,0,$B$14,1)) + $B$18/($B$19*$B$19*($DN335&lt;&gt;$DO335) + $B$19*($DN335=$DO335))</f>
        <v>3.3333333333333331E-3</v>
      </c>
      <c r="GA335" s="10" cm="1">
        <f t="array" aca="1" ref="GA335" ca="1">(1-$B$18)*SUMPRODUCT(OFFSET($BO$15,0,0,$B$14,1), 1*(_xlfn._xlws.FILTER(OFFSET($O$15,0,$DN335,$B$8,1),OFFSET($M$15,0,0,$B$8,1))=GA$13), 1*(_xlfn._xlws.FILTER(OFFSET($O$15,0,$DO335,$B$8,1),OFFSET($M$15,0,0,$B$8,1))=GA$14))   /   SUM(OFFSET($BO$15,0,0,$B$14,1)) + $B$18/($B$19*$B$19*($DN335&lt;&gt;$DO335) + $B$19*($DN335=$DO335))</f>
        <v>3.3333333333333331E-3</v>
      </c>
    </row>
    <row r="336" spans="118:183" x14ac:dyDescent="0.2">
      <c r="DN336" cm="1">
        <f t="array" aca="1" ref="DN336" ca="1">INDEX(_xlfn.ANCHORARRAY($CP$15), 1 + INT((ROWS($DO$15:$DO336) - 1) / ROWS(_xlfn.ANCHORARRAY($CP$15))))</f>
        <v>19</v>
      </c>
      <c r="DO336" cm="1">
        <f t="array" aca="1" ref="DO336" ca="1">INDEX(_xlfn.ANCHORARRAY($CP$15),1+MOD(ROWS($DO$15:$DO336)-1,ROWS(_xlfn.ANCHORARRAY($CP$15))))</f>
        <v>20</v>
      </c>
      <c r="DP336" s="10" cm="1">
        <f t="array" aca="1" ref="DP336" ca="1">(1-$B$18)*SUMPRODUCT(OFFSET($BO$15,0,0,$B$14,1), 1*(_xlfn._xlws.FILTER(OFFSET($O$15,0,$DN336,$B$8,1),OFFSET($M$15,0,0,$B$8,1))=DP$13), 1*(_xlfn._xlws.FILTER(OFFSET($O$15,0,$DO336,$B$8,1),OFFSET($M$15,0,0,$B$8,1))=DP$14))   /   SUM(OFFSET($BO$15,0,0,$B$14,1)) + $B$18/($B$19*$B$19*($DN336&lt;&gt;$DO336) + $B$19*($DN336=$DO336))</f>
        <v>3.7037037037037035E-4</v>
      </c>
      <c r="DQ336" s="10" cm="1">
        <f t="array" aca="1" ref="DQ336" ca="1">(1-$B$18)*SUMPRODUCT(OFFSET($BO$15,0,0,$B$14,1), 1*(_xlfn._xlws.FILTER(OFFSET($O$15,0,$DN336,$B$8,1),OFFSET($M$15,0,0,$B$8,1))=DQ$13), 1*(_xlfn._xlws.FILTER(OFFSET($O$15,0,$DO336,$B$8,1),OFFSET($M$15,0,0,$B$8,1))=DQ$14))   /   SUM(OFFSET($BO$15,0,0,$B$14,1)) + $B$18/($B$19*$B$19*($DN336&lt;&gt;$DO336) + $B$19*($DN336=$DO336))</f>
        <v>3.7037037037037035E-4</v>
      </c>
      <c r="DR336" s="10" cm="1">
        <f t="array" aca="1" ref="DR336" ca="1">(1-$B$18)*SUMPRODUCT(OFFSET($BO$15,0,0,$B$14,1), 1*(_xlfn._xlws.FILTER(OFFSET($O$15,0,$DN336,$B$8,1),OFFSET($M$15,0,0,$B$8,1))=DR$13), 1*(_xlfn._xlws.FILTER(OFFSET($O$15,0,$DO336,$B$8,1),OFFSET($M$15,0,0,$B$8,1))=DR$14))   /   SUM(OFFSET($BO$15,0,0,$B$14,1)) + $B$18/($B$19*$B$19*($DN336&lt;&gt;$DO336) + $B$19*($DN336=$DO336))</f>
        <v>3.7037037037037035E-4</v>
      </c>
      <c r="DS336" s="10" cm="1">
        <f t="array" aca="1" ref="DS336" ca="1">(1-$B$18)*SUMPRODUCT(OFFSET($BO$15,0,0,$B$14,1), 1*(_xlfn._xlws.FILTER(OFFSET($O$15,0,$DN336,$B$8,1),OFFSET($M$15,0,0,$B$8,1))=DS$13), 1*(_xlfn._xlws.FILTER(OFFSET($O$15,0,$DO336,$B$8,1),OFFSET($M$15,0,0,$B$8,1))=DS$14))   /   SUM(OFFSET($BO$15,0,0,$B$14,1)) + $B$18/($B$19*$B$19*($DN336&lt;&gt;$DO336) + $B$19*($DN336=$DO336))</f>
        <v>3.7037037037037035E-4</v>
      </c>
      <c r="DT336" s="10" cm="1">
        <f t="array" aca="1" ref="DT336" ca="1">(1-$B$18)*SUMPRODUCT(OFFSET($BO$15,0,0,$B$14,1), 1*(_xlfn._xlws.FILTER(OFFSET($O$15,0,$DN336,$B$8,1),OFFSET($M$15,0,0,$B$8,1))=DT$13), 1*(_xlfn._xlws.FILTER(OFFSET($O$15,0,$DO336,$B$8,1),OFFSET($M$15,0,0,$B$8,1))=DT$14))   /   SUM(OFFSET($BO$15,0,0,$B$14,1)) + $B$18/($B$19*$B$19*($DN336&lt;&gt;$DO336) + $B$19*($DN336=$DO336))</f>
        <v>3.7037037037037035E-4</v>
      </c>
      <c r="DU336" s="10" cm="1">
        <f t="array" aca="1" ref="DU336" ca="1">(1-$B$18)*SUMPRODUCT(OFFSET($BO$15,0,0,$B$14,1), 1*(_xlfn._xlws.FILTER(OFFSET($O$15,0,$DN336,$B$8,1),OFFSET($M$15,0,0,$B$8,1))=DU$13), 1*(_xlfn._xlws.FILTER(OFFSET($O$15,0,$DO336,$B$8,1),OFFSET($M$15,0,0,$B$8,1))=DU$14))   /   SUM(OFFSET($BO$15,0,0,$B$14,1)) + $B$18/($B$19*$B$19*($DN336&lt;&gt;$DO336) + $B$19*($DN336=$DO336))</f>
        <v>3.7037037037037035E-4</v>
      </c>
      <c r="DV336" s="10" cm="1">
        <f t="array" aca="1" ref="DV336" ca="1">(1-$B$18)*SUMPRODUCT(OFFSET($BO$15,0,0,$B$14,1), 1*(_xlfn._xlws.FILTER(OFFSET($O$15,0,$DN336,$B$8,1),OFFSET($M$15,0,0,$B$8,1))=DV$13), 1*(_xlfn._xlws.FILTER(OFFSET($O$15,0,$DO336,$B$8,1),OFFSET($M$15,0,0,$B$8,1))=DV$14))   /   SUM(OFFSET($BO$15,0,0,$B$14,1)) + $B$18/($B$19*$B$19*($DN336&lt;&gt;$DO336) + $B$19*($DN336=$DO336))</f>
        <v>3.7037037037037035E-4</v>
      </c>
      <c r="DW336" s="10" cm="1">
        <f t="array" aca="1" ref="DW336" ca="1">(1-$B$18)*SUMPRODUCT(OFFSET($BO$15,0,0,$B$14,1), 1*(_xlfn._xlws.FILTER(OFFSET($O$15,0,$DN336,$B$8,1),OFFSET($M$15,0,0,$B$8,1))=DW$13), 1*(_xlfn._xlws.FILTER(OFFSET($O$15,0,$DO336,$B$8,1),OFFSET($M$15,0,0,$B$8,1))=DW$14))   /   SUM(OFFSET($BO$15,0,0,$B$14,1)) + $B$18/($B$19*$B$19*($DN336&lt;&gt;$DO336) + $B$19*($DN336=$DO336))</f>
        <v>3.7037037037037035E-4</v>
      </c>
      <c r="DX336" s="10" cm="1">
        <f t="array" aca="1" ref="DX336" ca="1">(1-$B$18)*SUMPRODUCT(OFFSET($BO$15,0,0,$B$14,1), 1*(_xlfn._xlws.FILTER(OFFSET($O$15,0,$DN336,$B$8,1),OFFSET($M$15,0,0,$B$8,1))=DX$13), 1*(_xlfn._xlws.FILTER(OFFSET($O$15,0,$DO336,$B$8,1),OFFSET($M$15,0,0,$B$8,1))=DX$14))   /   SUM(OFFSET($BO$15,0,0,$B$14,1)) + $B$18/($B$19*$B$19*($DN336&lt;&gt;$DO336) + $B$19*($DN336=$DO336))</f>
        <v>3.7037037037037035E-4</v>
      </c>
      <c r="DY336" s="10" cm="1">
        <f t="array" aca="1" ref="DY336" ca="1">(1-$B$18)*SUMPRODUCT(OFFSET($BO$15,0,0,$B$14,1), 1*(_xlfn._xlws.FILTER(OFFSET($O$15,0,$DN336,$B$8,1),OFFSET($M$15,0,0,$B$8,1))=DY$13), 1*(_xlfn._xlws.FILTER(OFFSET($O$15,0,$DO336,$B$8,1),OFFSET($M$15,0,0,$B$8,1))=DY$14))   /   SUM(OFFSET($BO$15,0,0,$B$14,1)) + $B$18/($B$19*$B$19*($DN336&lt;&gt;$DO336) + $B$19*($DN336=$DO336))</f>
        <v>3.7037037037037035E-4</v>
      </c>
      <c r="DZ336" s="10" cm="1">
        <f t="array" aca="1" ref="DZ336" ca="1">(1-$B$18)*SUMPRODUCT(OFFSET($BO$15,0,0,$B$14,1), 1*(_xlfn._xlws.FILTER(OFFSET($O$15,0,$DN336,$B$8,1),OFFSET($M$15,0,0,$B$8,1))=DZ$13), 1*(_xlfn._xlws.FILTER(OFFSET($O$15,0,$DO336,$B$8,1),OFFSET($M$15,0,0,$B$8,1))=DZ$14))   /   SUM(OFFSET($BO$15,0,0,$B$14,1)) + $B$18/($B$19*$B$19*($DN336&lt;&gt;$DO336) + $B$19*($DN336=$DO336))</f>
        <v>3.7037037037037035E-4</v>
      </c>
      <c r="EA336" s="10" cm="1">
        <f t="array" aca="1" ref="EA336" ca="1">(1-$B$18)*SUMPRODUCT(OFFSET($BO$15,0,0,$B$14,1), 1*(_xlfn._xlws.FILTER(OFFSET($O$15,0,$DN336,$B$8,1),OFFSET($M$15,0,0,$B$8,1))=EA$13), 1*(_xlfn._xlws.FILTER(OFFSET($O$15,0,$DO336,$B$8,1),OFFSET($M$15,0,0,$B$8,1))=EA$14))   /   SUM(OFFSET($BO$15,0,0,$B$14,1)) + $B$18/($B$19*$B$19*($DN336&lt;&gt;$DO336) + $B$19*($DN336=$DO336))</f>
        <v>3.7037037037037035E-4</v>
      </c>
      <c r="EB336" s="10" cm="1">
        <f t="array" aca="1" ref="EB336" ca="1">(1-$B$18)*SUMPRODUCT(OFFSET($BO$15,0,0,$B$14,1), 1*(_xlfn._xlws.FILTER(OFFSET($O$15,0,$DN336,$B$8,1),OFFSET($M$15,0,0,$B$8,1))=EB$13), 1*(_xlfn._xlws.FILTER(OFFSET($O$15,0,$DO336,$B$8,1),OFFSET($M$15,0,0,$B$8,1))=EB$14))   /   SUM(OFFSET($BO$15,0,0,$B$14,1)) + $B$18/($B$19*$B$19*($DN336&lt;&gt;$DO336) + $B$19*($DN336=$DO336))</f>
        <v>3.7037037037037035E-4</v>
      </c>
      <c r="EC336" s="10" cm="1">
        <f t="array" aca="1" ref="EC336" ca="1">(1-$B$18)*SUMPRODUCT(OFFSET($BO$15,0,0,$B$14,1), 1*(_xlfn._xlws.FILTER(OFFSET($O$15,0,$DN336,$B$8,1),OFFSET($M$15,0,0,$B$8,1))=EC$13), 1*(_xlfn._xlws.FILTER(OFFSET($O$15,0,$DO336,$B$8,1),OFFSET($M$15,0,0,$B$8,1))=EC$14))   /   SUM(OFFSET($BO$15,0,0,$B$14,1)) + $B$18/($B$19*$B$19*($DN336&lt;&gt;$DO336) + $B$19*($DN336=$DO336))</f>
        <v>3.7037037037037035E-4</v>
      </c>
      <c r="ED336" s="10" cm="1">
        <f t="array" aca="1" ref="ED336" ca="1">(1-$B$18)*SUMPRODUCT(OFFSET($BO$15,0,0,$B$14,1), 1*(_xlfn._xlws.FILTER(OFFSET($O$15,0,$DN336,$B$8,1),OFFSET($M$15,0,0,$B$8,1))=ED$13), 1*(_xlfn._xlws.FILTER(OFFSET($O$15,0,$DO336,$B$8,1),OFFSET($M$15,0,0,$B$8,1))=ED$14))   /   SUM(OFFSET($BO$15,0,0,$B$14,1)) + $B$18/($B$19*$B$19*($DN336&lt;&gt;$DO336) + $B$19*($DN336=$DO336))</f>
        <v>3.7037037037037035E-4</v>
      </c>
      <c r="EE336" s="10" cm="1">
        <f t="array" aca="1" ref="EE336" ca="1">(1-$B$18)*SUMPRODUCT(OFFSET($BO$15,0,0,$B$14,1), 1*(_xlfn._xlws.FILTER(OFFSET($O$15,0,$DN336,$B$8,1),OFFSET($M$15,0,0,$B$8,1))=EE$13), 1*(_xlfn._xlws.FILTER(OFFSET($O$15,0,$DO336,$B$8,1),OFFSET($M$15,0,0,$B$8,1))=EE$14))   /   SUM(OFFSET($BO$15,0,0,$B$14,1)) + $B$18/($B$19*$B$19*($DN336&lt;&gt;$DO336) + $B$19*($DN336=$DO336))</f>
        <v>3.7037037037037035E-4</v>
      </c>
      <c r="EF336" s="10" cm="1">
        <f t="array" aca="1" ref="EF336" ca="1">(1-$B$18)*SUMPRODUCT(OFFSET($BO$15,0,0,$B$14,1), 1*(_xlfn._xlws.FILTER(OFFSET($O$15,0,$DN336,$B$8,1),OFFSET($M$15,0,0,$B$8,1))=EF$13), 1*(_xlfn._xlws.FILTER(OFFSET($O$15,0,$DO336,$B$8,1),OFFSET($M$15,0,0,$B$8,1))=EF$14))   /   SUM(OFFSET($BO$15,0,0,$B$14,1)) + $B$18/($B$19*$B$19*($DN336&lt;&gt;$DO336) + $B$19*($DN336=$DO336))</f>
        <v>3.7037037037037035E-4</v>
      </c>
      <c r="EG336" s="10" cm="1">
        <f t="array" aca="1" ref="EG336" ca="1">(1-$B$18)*SUMPRODUCT(OFFSET($BO$15,0,0,$B$14,1), 1*(_xlfn._xlws.FILTER(OFFSET($O$15,0,$DN336,$B$8,1),OFFSET($M$15,0,0,$B$8,1))=EG$13), 1*(_xlfn._xlws.FILTER(OFFSET($O$15,0,$DO336,$B$8,1),OFFSET($M$15,0,0,$B$8,1))=EG$14))   /   SUM(OFFSET($BO$15,0,0,$B$14,1)) + $B$18/($B$19*$B$19*($DN336&lt;&gt;$DO336) + $B$19*($DN336=$DO336))</f>
        <v>3.7037037037037035E-4</v>
      </c>
      <c r="EH336" s="10" cm="1">
        <f t="array" aca="1" ref="EH336" ca="1">(1-$B$18)*SUMPRODUCT(OFFSET($BO$15,0,0,$B$14,1), 1*(_xlfn._xlws.FILTER(OFFSET($O$15,0,$DN336,$B$8,1),OFFSET($M$15,0,0,$B$8,1))=EH$13), 1*(_xlfn._xlws.FILTER(OFFSET($O$15,0,$DO336,$B$8,1),OFFSET($M$15,0,0,$B$8,1))=EH$14))   /   SUM(OFFSET($BO$15,0,0,$B$14,1)) + $B$18/($B$19*$B$19*($DN336&lt;&gt;$DO336) + $B$19*($DN336=$DO336))</f>
        <v>3.7037037037037035E-4</v>
      </c>
      <c r="EI336" s="10" cm="1">
        <f t="array" aca="1" ref="EI336" ca="1">(1-$B$18)*SUMPRODUCT(OFFSET($BO$15,0,0,$B$14,1), 1*(_xlfn._xlws.FILTER(OFFSET($O$15,0,$DN336,$B$8,1),OFFSET($M$15,0,0,$B$8,1))=EI$13), 1*(_xlfn._xlws.FILTER(OFFSET($O$15,0,$DO336,$B$8,1),OFFSET($M$15,0,0,$B$8,1))=EI$14))   /   SUM(OFFSET($BO$15,0,0,$B$14,1)) + $B$18/($B$19*$B$19*($DN336&lt;&gt;$DO336) + $B$19*($DN336=$DO336))</f>
        <v>3.7037037037037035E-4</v>
      </c>
      <c r="EJ336" s="10" cm="1">
        <f t="array" aca="1" ref="EJ336" ca="1">(1-$B$18)*SUMPRODUCT(OFFSET($BO$15,0,0,$B$14,1), 1*(_xlfn._xlws.FILTER(OFFSET($O$15,0,$DN336,$B$8,1),OFFSET($M$15,0,0,$B$8,1))=EJ$13), 1*(_xlfn._xlws.FILTER(OFFSET($O$15,0,$DO336,$B$8,1),OFFSET($M$15,0,0,$B$8,1))=EJ$14))   /   SUM(OFFSET($BO$15,0,0,$B$14,1)) + $B$18/($B$19*$B$19*($DN336&lt;&gt;$DO336) + $B$19*($DN336=$DO336))</f>
        <v>3.7037037037037035E-4</v>
      </c>
      <c r="EK336" s="10" cm="1">
        <f t="array" aca="1" ref="EK336" ca="1">(1-$B$18)*SUMPRODUCT(OFFSET($BO$15,0,0,$B$14,1), 1*(_xlfn._xlws.FILTER(OFFSET($O$15,0,$DN336,$B$8,1),OFFSET($M$15,0,0,$B$8,1))=EK$13), 1*(_xlfn._xlws.FILTER(OFFSET($O$15,0,$DO336,$B$8,1),OFFSET($M$15,0,0,$B$8,1))=EK$14))   /   SUM(OFFSET($BO$15,0,0,$B$14,1)) + $B$18/($B$19*$B$19*($DN336&lt;&gt;$DO336) + $B$19*($DN336=$DO336))</f>
        <v>3.7037037037037035E-4</v>
      </c>
      <c r="EL336" s="10" cm="1">
        <f t="array" aca="1" ref="EL336" ca="1">(1-$B$18)*SUMPRODUCT(OFFSET($BO$15,0,0,$B$14,1), 1*(_xlfn._xlws.FILTER(OFFSET($O$15,0,$DN336,$B$8,1),OFFSET($M$15,0,0,$B$8,1))=EL$13), 1*(_xlfn._xlws.FILTER(OFFSET($O$15,0,$DO336,$B$8,1),OFFSET($M$15,0,0,$B$8,1))=EL$14))   /   SUM(OFFSET($BO$15,0,0,$B$14,1)) + $B$18/($B$19*$B$19*($DN336&lt;&gt;$DO336) + $B$19*($DN336=$DO336))</f>
        <v>3.7037037037037035E-4</v>
      </c>
      <c r="EM336" s="10" cm="1">
        <f t="array" aca="1" ref="EM336" ca="1">(1-$B$18)*SUMPRODUCT(OFFSET($BO$15,0,0,$B$14,1), 1*(_xlfn._xlws.FILTER(OFFSET($O$15,0,$DN336,$B$8,1),OFFSET($M$15,0,0,$B$8,1))=EM$13), 1*(_xlfn._xlws.FILTER(OFFSET($O$15,0,$DO336,$B$8,1),OFFSET($M$15,0,0,$B$8,1))=EM$14))   /   SUM(OFFSET($BO$15,0,0,$B$14,1)) + $B$18/($B$19*$B$19*($DN336&lt;&gt;$DO336) + $B$19*($DN336=$DO336))</f>
        <v>3.7037037037037035E-4</v>
      </c>
      <c r="EN336" s="10" cm="1">
        <f t="array" aca="1" ref="EN336" ca="1">(1-$B$18)*SUMPRODUCT(OFFSET($BO$15,0,0,$B$14,1), 1*(_xlfn._xlws.FILTER(OFFSET($O$15,0,$DN336,$B$8,1),OFFSET($M$15,0,0,$B$8,1))=EN$13), 1*(_xlfn._xlws.FILTER(OFFSET($O$15,0,$DO336,$B$8,1),OFFSET($M$15,0,0,$B$8,1))=EN$14))   /   SUM(OFFSET($BO$15,0,0,$B$14,1)) + $B$18/($B$19*$B$19*($DN336&lt;&gt;$DO336) + $B$19*($DN336=$DO336))</f>
        <v>3.7037037037037035E-4</v>
      </c>
      <c r="EO336" s="10" cm="1">
        <f t="array" aca="1" ref="EO336" ca="1">(1-$B$18)*SUMPRODUCT(OFFSET($BO$15,0,0,$B$14,1), 1*(_xlfn._xlws.FILTER(OFFSET($O$15,0,$DN336,$B$8,1),OFFSET($M$15,0,0,$B$8,1))=EO$13), 1*(_xlfn._xlws.FILTER(OFFSET($O$15,0,$DO336,$B$8,1),OFFSET($M$15,0,0,$B$8,1))=EO$14))   /   SUM(OFFSET($BO$15,0,0,$B$14,1)) + $B$18/($B$19*$B$19*($DN336&lt;&gt;$DO336) + $B$19*($DN336=$DO336))</f>
        <v>3.7037037037037035E-4</v>
      </c>
      <c r="EP336" s="10" cm="1">
        <f t="array" aca="1" ref="EP336" ca="1">(1-$B$18)*SUMPRODUCT(OFFSET($BO$15,0,0,$B$14,1), 1*(_xlfn._xlws.FILTER(OFFSET($O$15,0,$DN336,$B$8,1),OFFSET($M$15,0,0,$B$8,1))=EP$13), 1*(_xlfn._xlws.FILTER(OFFSET($O$15,0,$DO336,$B$8,1),OFFSET($M$15,0,0,$B$8,1))=EP$14))   /   SUM(OFFSET($BO$15,0,0,$B$14,1)) + $B$18/($B$19*$B$19*($DN336&lt;&gt;$DO336) + $B$19*($DN336=$DO336))</f>
        <v>3.7037037037037035E-4</v>
      </c>
      <c r="EQ336" s="10" cm="1">
        <f t="array" aca="1" ref="EQ336" ca="1">(1-$B$18)*SUMPRODUCT(OFFSET($BO$15,0,0,$B$14,1), 1*(_xlfn._xlws.FILTER(OFFSET($O$15,0,$DN336,$B$8,1),OFFSET($M$15,0,0,$B$8,1))=EQ$13), 1*(_xlfn._xlws.FILTER(OFFSET($O$15,0,$DO336,$B$8,1),OFFSET($M$15,0,0,$B$8,1))=EQ$14))   /   SUM(OFFSET($BO$15,0,0,$B$14,1)) + $B$18/($B$19*$B$19*($DN336&lt;&gt;$DO336) + $B$19*($DN336=$DO336))</f>
        <v>3.7037037037037035E-4</v>
      </c>
      <c r="ER336" s="10" cm="1">
        <f t="array" aca="1" ref="ER336" ca="1">(1-$B$18)*SUMPRODUCT(OFFSET($BO$15,0,0,$B$14,1), 1*(_xlfn._xlws.FILTER(OFFSET($O$15,0,$DN336,$B$8,1),OFFSET($M$15,0,0,$B$8,1))=ER$13), 1*(_xlfn._xlws.FILTER(OFFSET($O$15,0,$DO336,$B$8,1),OFFSET($M$15,0,0,$B$8,1))=ER$14))   /   SUM(OFFSET($BO$15,0,0,$B$14,1)) + $B$18/($B$19*$B$19*($DN336&lt;&gt;$DO336) + $B$19*($DN336=$DO336))</f>
        <v>0.24287037037037024</v>
      </c>
      <c r="ES336" s="10" cm="1">
        <f t="array" aca="1" ref="ES336" ca="1">(1-$B$18)*SUMPRODUCT(OFFSET($BO$15,0,0,$B$14,1), 1*(_xlfn._xlws.FILTER(OFFSET($O$15,0,$DN336,$B$8,1),OFFSET($M$15,0,0,$B$8,1))=ES$13), 1*(_xlfn._xlws.FILTER(OFFSET($O$15,0,$DO336,$B$8,1),OFFSET($M$15,0,0,$B$8,1))=ES$14))   /   SUM(OFFSET($BO$15,0,0,$B$14,1)) + $B$18/($B$19*$B$19*($DN336&lt;&gt;$DO336) + $B$19*($DN336=$DO336))</f>
        <v>0.24287037037037026</v>
      </c>
      <c r="ET336" s="10" cm="1">
        <f t="array" aca="1" ref="ET336" ca="1">(1-$B$18)*SUMPRODUCT(OFFSET($BO$15,0,0,$B$14,1), 1*(_xlfn._xlws.FILTER(OFFSET($O$15,0,$DN336,$B$8,1),OFFSET($M$15,0,0,$B$8,1))=ET$13), 1*(_xlfn._xlws.FILTER(OFFSET($O$15,0,$DO336,$B$8,1),OFFSET($M$15,0,0,$B$8,1))=ET$14))   /   SUM(OFFSET($BO$15,0,0,$B$14,1)) + $B$18/($B$19*$B$19*($DN336&lt;&gt;$DO336) + $B$19*($DN336=$DO336))</f>
        <v>0.48537037037037012</v>
      </c>
      <c r="EU336" s="10" cm="1">
        <f t="array" aca="1" ref="EU336" ca="1">(1-$B$18)*SUMPRODUCT(OFFSET($BO$15,0,0,$B$14,1), 1*(_xlfn._xlws.FILTER(OFFSET($O$15,0,$DN336,$B$8,1),OFFSET($M$15,0,0,$B$8,1))=EU$13), 1*(_xlfn._xlws.FILTER(OFFSET($O$15,0,$DO336,$B$8,1),OFFSET($M$15,0,0,$B$8,1))=EU$14))   /   SUM(OFFSET($BO$15,0,0,$B$14,1)) + $B$18/($B$19*$B$19*($DN336&lt;&gt;$DO336) + $B$19*($DN336=$DO336))</f>
        <v>3.7037037037037035E-4</v>
      </c>
      <c r="EV336" s="10" cm="1">
        <f t="array" aca="1" ref="EV336" ca="1">(1-$B$18)*SUMPRODUCT(OFFSET($BO$15,0,0,$B$14,1), 1*(_xlfn._xlws.FILTER(OFFSET($O$15,0,$DN336,$B$8,1),OFFSET($M$15,0,0,$B$8,1))=EV$13), 1*(_xlfn._xlws.FILTER(OFFSET($O$15,0,$DO336,$B$8,1),OFFSET($M$15,0,0,$B$8,1))=EV$14))   /   SUM(OFFSET($BO$15,0,0,$B$14,1)) + $B$18/($B$19*$B$19*($DN336&lt;&gt;$DO336) + $B$19*($DN336=$DO336))</f>
        <v>3.7037037037037035E-4</v>
      </c>
      <c r="EW336" s="10" cm="1">
        <f t="array" aca="1" ref="EW336" ca="1">(1-$B$18)*SUMPRODUCT(OFFSET($BO$15,0,0,$B$14,1), 1*(_xlfn._xlws.FILTER(OFFSET($O$15,0,$DN336,$B$8,1),OFFSET($M$15,0,0,$B$8,1))=EW$13), 1*(_xlfn._xlws.FILTER(OFFSET($O$15,0,$DO336,$B$8,1),OFFSET($M$15,0,0,$B$8,1))=EW$14))   /   SUM(OFFSET($BO$15,0,0,$B$14,1)) + $B$18/($B$19*$B$19*($DN336&lt;&gt;$DO336) + $B$19*($DN336=$DO336))</f>
        <v>3.7037037037037035E-4</v>
      </c>
      <c r="EX336" s="10" cm="1">
        <f t="array" aca="1" ref="EX336" ca="1">(1-$B$18)*SUMPRODUCT(OFFSET($BO$15,0,0,$B$14,1), 1*(_xlfn._xlws.FILTER(OFFSET($O$15,0,$DN336,$B$8,1),OFFSET($M$15,0,0,$B$8,1))=EX$13), 1*(_xlfn._xlws.FILTER(OFFSET($O$15,0,$DO336,$B$8,1),OFFSET($M$15,0,0,$B$8,1))=EX$14))   /   SUM(OFFSET($BO$15,0,0,$B$14,1)) + $B$18/($B$19*$B$19*($DN336&lt;&gt;$DO336) + $B$19*($DN336=$DO336))</f>
        <v>3.7037037037037035E-4</v>
      </c>
      <c r="EY336" s="10" cm="1">
        <f t="array" aca="1" ref="EY336" ca="1">(1-$B$18)*SUMPRODUCT(OFFSET($BO$15,0,0,$B$14,1), 1*(_xlfn._xlws.FILTER(OFFSET($O$15,0,$DN336,$B$8,1),OFFSET($M$15,0,0,$B$8,1))=EY$13), 1*(_xlfn._xlws.FILTER(OFFSET($O$15,0,$DO336,$B$8,1),OFFSET($M$15,0,0,$B$8,1))=EY$14))   /   SUM(OFFSET($BO$15,0,0,$B$14,1)) + $B$18/($B$19*$B$19*($DN336&lt;&gt;$DO336) + $B$19*($DN336=$DO336))</f>
        <v>3.7037037037037035E-4</v>
      </c>
      <c r="EZ336" s="10" cm="1">
        <f t="array" aca="1" ref="EZ336" ca="1">(1-$B$18)*SUMPRODUCT(OFFSET($BO$15,0,0,$B$14,1), 1*(_xlfn._xlws.FILTER(OFFSET($O$15,0,$DN336,$B$8,1),OFFSET($M$15,0,0,$B$8,1))=EZ$13), 1*(_xlfn._xlws.FILTER(OFFSET($O$15,0,$DO336,$B$8,1),OFFSET($M$15,0,0,$B$8,1))=EZ$14))   /   SUM(OFFSET($BO$15,0,0,$B$14,1)) + $B$18/($B$19*$B$19*($DN336&lt;&gt;$DO336) + $B$19*($DN336=$DO336))</f>
        <v>3.7037037037037035E-4</v>
      </c>
      <c r="FA336" s="10" cm="1">
        <f t="array" aca="1" ref="FA336" ca="1">(1-$B$18)*SUMPRODUCT(OFFSET($BO$15,0,0,$B$14,1), 1*(_xlfn._xlws.FILTER(OFFSET($O$15,0,$DN336,$B$8,1),OFFSET($M$15,0,0,$B$8,1))=FA$13), 1*(_xlfn._xlws.FILTER(OFFSET($O$15,0,$DO336,$B$8,1),OFFSET($M$15,0,0,$B$8,1))=FA$14))   /   SUM(OFFSET($BO$15,0,0,$B$14,1)) + $B$18/($B$19*$B$19*($DN336&lt;&gt;$DO336) + $B$19*($DN336=$DO336))</f>
        <v>3.7037037037037035E-4</v>
      </c>
      <c r="FB336" s="10" cm="1">
        <f t="array" aca="1" ref="FB336" ca="1">(1-$B$18)*SUMPRODUCT(OFFSET($BO$15,0,0,$B$14,1), 1*(_xlfn._xlws.FILTER(OFFSET($O$15,0,$DN336,$B$8,1),OFFSET($M$15,0,0,$B$8,1))=FB$13), 1*(_xlfn._xlws.FILTER(OFFSET($O$15,0,$DO336,$B$8,1),OFFSET($M$15,0,0,$B$8,1))=FB$14))   /   SUM(OFFSET($BO$15,0,0,$B$14,1)) + $B$18/($B$19*$B$19*($DN336&lt;&gt;$DO336) + $B$19*($DN336=$DO336))</f>
        <v>3.7037037037037035E-4</v>
      </c>
      <c r="FC336" s="10" cm="1">
        <f t="array" aca="1" ref="FC336" ca="1">(1-$B$18)*SUMPRODUCT(OFFSET($BO$15,0,0,$B$14,1), 1*(_xlfn._xlws.FILTER(OFFSET($O$15,0,$DN336,$B$8,1),OFFSET($M$15,0,0,$B$8,1))=FC$13), 1*(_xlfn._xlws.FILTER(OFFSET($O$15,0,$DO336,$B$8,1),OFFSET($M$15,0,0,$B$8,1))=FC$14))   /   SUM(OFFSET($BO$15,0,0,$B$14,1)) + $B$18/($B$19*$B$19*($DN336&lt;&gt;$DO336) + $B$19*($DN336=$DO336))</f>
        <v>3.7037037037037035E-4</v>
      </c>
      <c r="FD336" s="10" cm="1">
        <f t="array" aca="1" ref="FD336" ca="1">(1-$B$18)*SUMPRODUCT(OFFSET($BO$15,0,0,$B$14,1), 1*(_xlfn._xlws.FILTER(OFFSET($O$15,0,$DN336,$B$8,1),OFFSET($M$15,0,0,$B$8,1))=FD$13), 1*(_xlfn._xlws.FILTER(OFFSET($O$15,0,$DO336,$B$8,1),OFFSET($M$15,0,0,$B$8,1))=FD$14))   /   SUM(OFFSET($BO$15,0,0,$B$14,1)) + $B$18/($B$19*$B$19*($DN336&lt;&gt;$DO336) + $B$19*($DN336=$DO336))</f>
        <v>3.7037037037037035E-4</v>
      </c>
      <c r="FE336" s="10" cm="1">
        <f t="array" aca="1" ref="FE336" ca="1">(1-$B$18)*SUMPRODUCT(OFFSET($BO$15,0,0,$B$14,1), 1*(_xlfn._xlws.FILTER(OFFSET($O$15,0,$DN336,$B$8,1),OFFSET($M$15,0,0,$B$8,1))=FE$13), 1*(_xlfn._xlws.FILTER(OFFSET($O$15,0,$DO336,$B$8,1),OFFSET($M$15,0,0,$B$8,1))=FE$14))   /   SUM(OFFSET($BO$15,0,0,$B$14,1)) + $B$18/($B$19*$B$19*($DN336&lt;&gt;$DO336) + $B$19*($DN336=$DO336))</f>
        <v>3.7037037037037035E-4</v>
      </c>
      <c r="FF336" s="10" cm="1">
        <f t="array" aca="1" ref="FF336" ca="1">(1-$B$18)*SUMPRODUCT(OFFSET($BO$15,0,0,$B$14,1), 1*(_xlfn._xlws.FILTER(OFFSET($O$15,0,$DN336,$B$8,1),OFFSET($M$15,0,0,$B$8,1))=FF$13), 1*(_xlfn._xlws.FILTER(OFFSET($O$15,0,$DO336,$B$8,1),OFFSET($M$15,0,0,$B$8,1))=FF$14))   /   SUM(OFFSET($BO$15,0,0,$B$14,1)) + $B$18/($B$19*$B$19*($DN336&lt;&gt;$DO336) + $B$19*($DN336=$DO336))</f>
        <v>3.7037037037037035E-4</v>
      </c>
      <c r="FG336" s="10" cm="1">
        <f t="array" aca="1" ref="FG336" ca="1">(1-$B$18)*SUMPRODUCT(OFFSET($BO$15,0,0,$B$14,1), 1*(_xlfn._xlws.FILTER(OFFSET($O$15,0,$DN336,$B$8,1),OFFSET($M$15,0,0,$B$8,1))=FG$13), 1*(_xlfn._xlws.FILTER(OFFSET($O$15,0,$DO336,$B$8,1),OFFSET($M$15,0,0,$B$8,1))=FG$14))   /   SUM(OFFSET($BO$15,0,0,$B$14,1)) + $B$18/($B$19*$B$19*($DN336&lt;&gt;$DO336) + $B$19*($DN336=$DO336))</f>
        <v>3.7037037037037035E-4</v>
      </c>
      <c r="FH336" s="10" cm="1">
        <f t="array" aca="1" ref="FH336" ca="1">(1-$B$18)*SUMPRODUCT(OFFSET($BO$15,0,0,$B$14,1), 1*(_xlfn._xlws.FILTER(OFFSET($O$15,0,$DN336,$B$8,1),OFFSET($M$15,0,0,$B$8,1))=FH$13), 1*(_xlfn._xlws.FILTER(OFFSET($O$15,0,$DO336,$B$8,1),OFFSET($M$15,0,0,$B$8,1))=FH$14))   /   SUM(OFFSET($BO$15,0,0,$B$14,1)) + $B$18/($B$19*$B$19*($DN336&lt;&gt;$DO336) + $B$19*($DN336=$DO336))</f>
        <v>3.7037037037037035E-4</v>
      </c>
      <c r="FI336" s="10" cm="1">
        <f t="array" aca="1" ref="FI336" ca="1">(1-$B$18)*SUMPRODUCT(OFFSET($BO$15,0,0,$B$14,1), 1*(_xlfn._xlws.FILTER(OFFSET($O$15,0,$DN336,$B$8,1),OFFSET($M$15,0,0,$B$8,1))=FI$13), 1*(_xlfn._xlws.FILTER(OFFSET($O$15,0,$DO336,$B$8,1),OFFSET($M$15,0,0,$B$8,1))=FI$14))   /   SUM(OFFSET($BO$15,0,0,$B$14,1)) + $B$18/($B$19*$B$19*($DN336&lt;&gt;$DO336) + $B$19*($DN336=$DO336))</f>
        <v>3.7037037037037035E-4</v>
      </c>
      <c r="FJ336" s="10" cm="1">
        <f t="array" aca="1" ref="FJ336" ca="1">(1-$B$18)*SUMPRODUCT(OFFSET($BO$15,0,0,$B$14,1), 1*(_xlfn._xlws.FILTER(OFFSET($O$15,0,$DN336,$B$8,1),OFFSET($M$15,0,0,$B$8,1))=FJ$13), 1*(_xlfn._xlws.FILTER(OFFSET($O$15,0,$DO336,$B$8,1),OFFSET($M$15,0,0,$B$8,1))=FJ$14))   /   SUM(OFFSET($BO$15,0,0,$B$14,1)) + $B$18/($B$19*$B$19*($DN336&lt;&gt;$DO336) + $B$19*($DN336=$DO336))</f>
        <v>3.7037037037037035E-4</v>
      </c>
      <c r="FK336" s="10" cm="1">
        <f t="array" aca="1" ref="FK336" ca="1">(1-$B$18)*SUMPRODUCT(OFFSET($BO$15,0,0,$B$14,1), 1*(_xlfn._xlws.FILTER(OFFSET($O$15,0,$DN336,$B$8,1),OFFSET($M$15,0,0,$B$8,1))=FK$13), 1*(_xlfn._xlws.FILTER(OFFSET($O$15,0,$DO336,$B$8,1),OFFSET($M$15,0,0,$B$8,1))=FK$14))   /   SUM(OFFSET($BO$15,0,0,$B$14,1)) + $B$18/($B$19*$B$19*($DN336&lt;&gt;$DO336) + $B$19*($DN336=$DO336))</f>
        <v>3.7037037037037035E-4</v>
      </c>
      <c r="FL336" s="10" cm="1">
        <f t="array" aca="1" ref="FL336" ca="1">(1-$B$18)*SUMPRODUCT(OFFSET($BO$15,0,0,$B$14,1), 1*(_xlfn._xlws.FILTER(OFFSET($O$15,0,$DN336,$B$8,1),OFFSET($M$15,0,0,$B$8,1))=FL$13), 1*(_xlfn._xlws.FILTER(OFFSET($O$15,0,$DO336,$B$8,1),OFFSET($M$15,0,0,$B$8,1))=FL$14))   /   SUM(OFFSET($BO$15,0,0,$B$14,1)) + $B$18/($B$19*$B$19*($DN336&lt;&gt;$DO336) + $B$19*($DN336=$DO336))</f>
        <v>3.7037037037037035E-4</v>
      </c>
      <c r="FM336" s="10" cm="1">
        <f t="array" aca="1" ref="FM336" ca="1">(1-$B$18)*SUMPRODUCT(OFFSET($BO$15,0,0,$B$14,1), 1*(_xlfn._xlws.FILTER(OFFSET($O$15,0,$DN336,$B$8,1),OFFSET($M$15,0,0,$B$8,1))=FM$13), 1*(_xlfn._xlws.FILTER(OFFSET($O$15,0,$DO336,$B$8,1),OFFSET($M$15,0,0,$B$8,1))=FM$14))   /   SUM(OFFSET($BO$15,0,0,$B$14,1)) + $B$18/($B$19*$B$19*($DN336&lt;&gt;$DO336) + $B$19*($DN336=$DO336))</f>
        <v>3.7037037037037035E-4</v>
      </c>
      <c r="FN336" s="10" cm="1">
        <f t="array" aca="1" ref="FN336" ca="1">(1-$B$18)*SUMPRODUCT(OFFSET($BO$15,0,0,$B$14,1), 1*(_xlfn._xlws.FILTER(OFFSET($O$15,0,$DN336,$B$8,1),OFFSET($M$15,0,0,$B$8,1))=FN$13), 1*(_xlfn._xlws.FILTER(OFFSET($O$15,0,$DO336,$B$8,1),OFFSET($M$15,0,0,$B$8,1))=FN$14))   /   SUM(OFFSET($BO$15,0,0,$B$14,1)) + $B$18/($B$19*$B$19*($DN336&lt;&gt;$DO336) + $B$19*($DN336=$DO336))</f>
        <v>3.7037037037037035E-4</v>
      </c>
      <c r="FO336" s="10" cm="1">
        <f t="array" aca="1" ref="FO336" ca="1">(1-$B$18)*SUMPRODUCT(OFFSET($BO$15,0,0,$B$14,1), 1*(_xlfn._xlws.FILTER(OFFSET($O$15,0,$DN336,$B$8,1),OFFSET($M$15,0,0,$B$8,1))=FO$13), 1*(_xlfn._xlws.FILTER(OFFSET($O$15,0,$DO336,$B$8,1),OFFSET($M$15,0,0,$B$8,1))=FO$14))   /   SUM(OFFSET($BO$15,0,0,$B$14,1)) + $B$18/($B$19*$B$19*($DN336&lt;&gt;$DO336) + $B$19*($DN336=$DO336))</f>
        <v>3.7037037037037035E-4</v>
      </c>
      <c r="FP336" s="10" cm="1">
        <f t="array" aca="1" ref="FP336" ca="1">(1-$B$18)*SUMPRODUCT(OFFSET($BO$15,0,0,$B$14,1), 1*(_xlfn._xlws.FILTER(OFFSET($O$15,0,$DN336,$B$8,1),OFFSET($M$15,0,0,$B$8,1))=FP$13), 1*(_xlfn._xlws.FILTER(OFFSET($O$15,0,$DO336,$B$8,1),OFFSET($M$15,0,0,$B$8,1))=FP$14))   /   SUM(OFFSET($BO$15,0,0,$B$14,1)) + $B$18/($B$19*$B$19*($DN336&lt;&gt;$DO336) + $B$19*($DN336=$DO336))</f>
        <v>3.7037037037037035E-4</v>
      </c>
      <c r="FQ336" s="10" cm="1">
        <f t="array" aca="1" ref="FQ336" ca="1">(1-$B$18)*SUMPRODUCT(OFFSET($BO$15,0,0,$B$14,1), 1*(_xlfn._xlws.FILTER(OFFSET($O$15,0,$DN336,$B$8,1),OFFSET($M$15,0,0,$B$8,1))=FQ$13), 1*(_xlfn._xlws.FILTER(OFFSET($O$15,0,$DO336,$B$8,1),OFFSET($M$15,0,0,$B$8,1))=FQ$14))   /   SUM(OFFSET($BO$15,0,0,$B$14,1)) + $B$18/($B$19*$B$19*($DN336&lt;&gt;$DO336) + $B$19*($DN336=$DO336))</f>
        <v>3.7037037037037035E-4</v>
      </c>
      <c r="FR336" s="10" cm="1">
        <f t="array" aca="1" ref="FR336" ca="1">(1-$B$18)*SUMPRODUCT(OFFSET($BO$15,0,0,$B$14,1), 1*(_xlfn._xlws.FILTER(OFFSET($O$15,0,$DN336,$B$8,1),OFFSET($M$15,0,0,$B$8,1))=FR$13), 1*(_xlfn._xlws.FILTER(OFFSET($O$15,0,$DO336,$B$8,1),OFFSET($M$15,0,0,$B$8,1))=FR$14))   /   SUM(OFFSET($BO$15,0,0,$B$14,1)) + $B$18/($B$19*$B$19*($DN336&lt;&gt;$DO336) + $B$19*($DN336=$DO336))</f>
        <v>3.7037037037037035E-4</v>
      </c>
      <c r="FS336" s="10" cm="1">
        <f t="array" aca="1" ref="FS336" ca="1">(1-$B$18)*SUMPRODUCT(OFFSET($BO$15,0,0,$B$14,1), 1*(_xlfn._xlws.FILTER(OFFSET($O$15,0,$DN336,$B$8,1),OFFSET($M$15,0,0,$B$8,1))=FS$13), 1*(_xlfn._xlws.FILTER(OFFSET($O$15,0,$DO336,$B$8,1),OFFSET($M$15,0,0,$B$8,1))=FS$14))   /   SUM(OFFSET($BO$15,0,0,$B$14,1)) + $B$18/($B$19*$B$19*($DN336&lt;&gt;$DO336) + $B$19*($DN336=$DO336))</f>
        <v>3.7037037037037035E-4</v>
      </c>
      <c r="FT336" s="10" cm="1">
        <f t="array" aca="1" ref="FT336" ca="1">(1-$B$18)*SUMPRODUCT(OFFSET($BO$15,0,0,$B$14,1), 1*(_xlfn._xlws.FILTER(OFFSET($O$15,0,$DN336,$B$8,1),OFFSET($M$15,0,0,$B$8,1))=FT$13), 1*(_xlfn._xlws.FILTER(OFFSET($O$15,0,$DO336,$B$8,1),OFFSET($M$15,0,0,$B$8,1))=FT$14))   /   SUM(OFFSET($BO$15,0,0,$B$14,1)) + $B$18/($B$19*$B$19*($DN336&lt;&gt;$DO336) + $B$19*($DN336=$DO336))</f>
        <v>3.7037037037037035E-4</v>
      </c>
      <c r="FU336" s="10" cm="1">
        <f t="array" aca="1" ref="FU336" ca="1">(1-$B$18)*SUMPRODUCT(OFFSET($BO$15,0,0,$B$14,1), 1*(_xlfn._xlws.FILTER(OFFSET($O$15,0,$DN336,$B$8,1),OFFSET($M$15,0,0,$B$8,1))=FU$13), 1*(_xlfn._xlws.FILTER(OFFSET($O$15,0,$DO336,$B$8,1),OFFSET($M$15,0,0,$B$8,1))=FU$14))   /   SUM(OFFSET($BO$15,0,0,$B$14,1)) + $B$18/($B$19*$B$19*($DN336&lt;&gt;$DO336) + $B$19*($DN336=$DO336))</f>
        <v>3.7037037037037035E-4</v>
      </c>
      <c r="FV336" s="10" cm="1">
        <f t="array" aca="1" ref="FV336" ca="1">(1-$B$18)*SUMPRODUCT(OFFSET($BO$15,0,0,$B$14,1), 1*(_xlfn._xlws.FILTER(OFFSET($O$15,0,$DN336,$B$8,1),OFFSET($M$15,0,0,$B$8,1))=FV$13), 1*(_xlfn._xlws.FILTER(OFFSET($O$15,0,$DO336,$B$8,1),OFFSET($M$15,0,0,$B$8,1))=FV$14))   /   SUM(OFFSET($BO$15,0,0,$B$14,1)) + $B$18/($B$19*$B$19*($DN336&lt;&gt;$DO336) + $B$19*($DN336=$DO336))</f>
        <v>3.7037037037037035E-4</v>
      </c>
      <c r="FW336" s="10" cm="1">
        <f t="array" aca="1" ref="FW336" ca="1">(1-$B$18)*SUMPRODUCT(OFFSET($BO$15,0,0,$B$14,1), 1*(_xlfn._xlws.FILTER(OFFSET($O$15,0,$DN336,$B$8,1),OFFSET($M$15,0,0,$B$8,1))=FW$13), 1*(_xlfn._xlws.FILTER(OFFSET($O$15,0,$DO336,$B$8,1),OFFSET($M$15,0,0,$B$8,1))=FW$14))   /   SUM(OFFSET($BO$15,0,0,$B$14,1)) + $B$18/($B$19*$B$19*($DN336&lt;&gt;$DO336) + $B$19*($DN336=$DO336))</f>
        <v>3.7037037037037035E-4</v>
      </c>
      <c r="FX336" s="10" cm="1">
        <f t="array" aca="1" ref="FX336" ca="1">(1-$B$18)*SUMPRODUCT(OFFSET($BO$15,0,0,$B$14,1), 1*(_xlfn._xlws.FILTER(OFFSET($O$15,0,$DN336,$B$8,1),OFFSET($M$15,0,0,$B$8,1))=FX$13), 1*(_xlfn._xlws.FILTER(OFFSET($O$15,0,$DO336,$B$8,1),OFFSET($M$15,0,0,$B$8,1))=FX$14))   /   SUM(OFFSET($BO$15,0,0,$B$14,1)) + $B$18/($B$19*$B$19*($DN336&lt;&gt;$DO336) + $B$19*($DN336=$DO336))</f>
        <v>3.7037037037037035E-4</v>
      </c>
      <c r="FY336" s="10" cm="1">
        <f t="array" aca="1" ref="FY336" ca="1">(1-$B$18)*SUMPRODUCT(OFFSET($BO$15,0,0,$B$14,1), 1*(_xlfn._xlws.FILTER(OFFSET($O$15,0,$DN336,$B$8,1),OFFSET($M$15,0,0,$B$8,1))=FY$13), 1*(_xlfn._xlws.FILTER(OFFSET($O$15,0,$DO336,$B$8,1),OFFSET($M$15,0,0,$B$8,1))=FY$14))   /   SUM(OFFSET($BO$15,0,0,$B$14,1)) + $B$18/($B$19*$B$19*($DN336&lt;&gt;$DO336) + $B$19*($DN336=$DO336))</f>
        <v>3.7037037037037035E-4</v>
      </c>
      <c r="FZ336" s="10" cm="1">
        <f t="array" aca="1" ref="FZ336" ca="1">(1-$B$18)*SUMPRODUCT(OFFSET($BO$15,0,0,$B$14,1), 1*(_xlfn._xlws.FILTER(OFFSET($O$15,0,$DN336,$B$8,1),OFFSET($M$15,0,0,$B$8,1))=FZ$13), 1*(_xlfn._xlws.FILTER(OFFSET($O$15,0,$DO336,$B$8,1),OFFSET($M$15,0,0,$B$8,1))=FZ$14))   /   SUM(OFFSET($BO$15,0,0,$B$14,1)) + $B$18/($B$19*$B$19*($DN336&lt;&gt;$DO336) + $B$19*($DN336=$DO336))</f>
        <v>3.7037037037037035E-4</v>
      </c>
      <c r="GA336" s="10" cm="1">
        <f t="array" aca="1" ref="GA336" ca="1">(1-$B$18)*SUMPRODUCT(OFFSET($BO$15,0,0,$B$14,1), 1*(_xlfn._xlws.FILTER(OFFSET($O$15,0,$DN336,$B$8,1),OFFSET($M$15,0,0,$B$8,1))=GA$13), 1*(_xlfn._xlws.FILTER(OFFSET($O$15,0,$DO336,$B$8,1),OFFSET($M$15,0,0,$B$8,1))=GA$14))   /   SUM(OFFSET($BO$15,0,0,$B$14,1)) + $B$18/($B$19*$B$19*($DN336&lt;&gt;$DO336) + $B$19*($DN336=$DO336))</f>
        <v>3.7037037037037035E-4</v>
      </c>
    </row>
    <row r="337" spans="118:183" x14ac:dyDescent="0.2">
      <c r="DN337" cm="1">
        <f t="array" aca="1" ref="DN337" ca="1">INDEX(_xlfn.ANCHORARRAY($CP$15), 1 + INT((ROWS($DO$15:$DO337) - 1) / ROWS(_xlfn.ANCHORARRAY($CP$15))))</f>
        <v>19</v>
      </c>
      <c r="DO337" cm="1">
        <f t="array" aca="1" ref="DO337" ca="1">INDEX(_xlfn.ANCHORARRAY($CP$15),1+MOD(ROWS($DO$15:$DO337)-1,ROWS(_xlfn.ANCHORARRAY($CP$15))))</f>
        <v>21</v>
      </c>
      <c r="DP337" s="10" cm="1">
        <f t="array" aca="1" ref="DP337" ca="1">(1-$B$18)*SUMPRODUCT(OFFSET($BO$15,0,0,$B$14,1), 1*(_xlfn._xlws.FILTER(OFFSET($O$15,0,$DN337,$B$8,1),OFFSET($M$15,0,0,$B$8,1))=DP$13), 1*(_xlfn._xlws.FILTER(OFFSET($O$15,0,$DO337,$B$8,1),OFFSET($M$15,0,0,$B$8,1))=DP$14))   /   SUM(OFFSET($BO$15,0,0,$B$14,1)) + $B$18/($B$19*$B$19*($DN337&lt;&gt;$DO337) + $B$19*($DN337=$DO337))</f>
        <v>3.7037037037037035E-4</v>
      </c>
      <c r="DQ337" s="10" cm="1">
        <f t="array" aca="1" ref="DQ337" ca="1">(1-$B$18)*SUMPRODUCT(OFFSET($BO$15,0,0,$B$14,1), 1*(_xlfn._xlws.FILTER(OFFSET($O$15,0,$DN337,$B$8,1),OFFSET($M$15,0,0,$B$8,1))=DQ$13), 1*(_xlfn._xlws.FILTER(OFFSET($O$15,0,$DO337,$B$8,1),OFFSET($M$15,0,0,$B$8,1))=DQ$14))   /   SUM(OFFSET($BO$15,0,0,$B$14,1)) + $B$18/($B$19*$B$19*($DN337&lt;&gt;$DO337) + $B$19*($DN337=$DO337))</f>
        <v>3.7037037037037035E-4</v>
      </c>
      <c r="DR337" s="10" cm="1">
        <f t="array" aca="1" ref="DR337" ca="1">(1-$B$18)*SUMPRODUCT(OFFSET($BO$15,0,0,$B$14,1), 1*(_xlfn._xlws.FILTER(OFFSET($O$15,0,$DN337,$B$8,1),OFFSET($M$15,0,0,$B$8,1))=DR$13), 1*(_xlfn._xlws.FILTER(OFFSET($O$15,0,$DO337,$B$8,1),OFFSET($M$15,0,0,$B$8,1))=DR$14))   /   SUM(OFFSET($BO$15,0,0,$B$14,1)) + $B$18/($B$19*$B$19*($DN337&lt;&gt;$DO337) + $B$19*($DN337=$DO337))</f>
        <v>3.7037037037037035E-4</v>
      </c>
      <c r="DS337" s="10" cm="1">
        <f t="array" aca="1" ref="DS337" ca="1">(1-$B$18)*SUMPRODUCT(OFFSET($BO$15,0,0,$B$14,1), 1*(_xlfn._xlws.FILTER(OFFSET($O$15,0,$DN337,$B$8,1),OFFSET($M$15,0,0,$B$8,1))=DS$13), 1*(_xlfn._xlws.FILTER(OFFSET($O$15,0,$DO337,$B$8,1),OFFSET($M$15,0,0,$B$8,1))=DS$14))   /   SUM(OFFSET($BO$15,0,0,$B$14,1)) + $B$18/($B$19*$B$19*($DN337&lt;&gt;$DO337) + $B$19*($DN337=$DO337))</f>
        <v>3.7037037037037035E-4</v>
      </c>
      <c r="DT337" s="10" cm="1">
        <f t="array" aca="1" ref="DT337" ca="1">(1-$B$18)*SUMPRODUCT(OFFSET($BO$15,0,0,$B$14,1), 1*(_xlfn._xlws.FILTER(OFFSET($O$15,0,$DN337,$B$8,1),OFFSET($M$15,0,0,$B$8,1))=DT$13), 1*(_xlfn._xlws.FILTER(OFFSET($O$15,0,$DO337,$B$8,1),OFFSET($M$15,0,0,$B$8,1))=DT$14))   /   SUM(OFFSET($BO$15,0,0,$B$14,1)) + $B$18/($B$19*$B$19*($DN337&lt;&gt;$DO337) + $B$19*($DN337=$DO337))</f>
        <v>3.7037037037037035E-4</v>
      </c>
      <c r="DU337" s="10" cm="1">
        <f t="array" aca="1" ref="DU337" ca="1">(1-$B$18)*SUMPRODUCT(OFFSET($BO$15,0,0,$B$14,1), 1*(_xlfn._xlws.FILTER(OFFSET($O$15,0,$DN337,$B$8,1),OFFSET($M$15,0,0,$B$8,1))=DU$13), 1*(_xlfn._xlws.FILTER(OFFSET($O$15,0,$DO337,$B$8,1),OFFSET($M$15,0,0,$B$8,1))=DU$14))   /   SUM(OFFSET($BO$15,0,0,$B$14,1)) + $B$18/($B$19*$B$19*($DN337&lt;&gt;$DO337) + $B$19*($DN337=$DO337))</f>
        <v>3.7037037037037035E-4</v>
      </c>
      <c r="DV337" s="10" cm="1">
        <f t="array" aca="1" ref="DV337" ca="1">(1-$B$18)*SUMPRODUCT(OFFSET($BO$15,0,0,$B$14,1), 1*(_xlfn._xlws.FILTER(OFFSET($O$15,0,$DN337,$B$8,1),OFFSET($M$15,0,0,$B$8,1))=DV$13), 1*(_xlfn._xlws.FILTER(OFFSET($O$15,0,$DO337,$B$8,1),OFFSET($M$15,0,0,$B$8,1))=DV$14))   /   SUM(OFFSET($BO$15,0,0,$B$14,1)) + $B$18/($B$19*$B$19*($DN337&lt;&gt;$DO337) + $B$19*($DN337=$DO337))</f>
        <v>3.7037037037037035E-4</v>
      </c>
      <c r="DW337" s="10" cm="1">
        <f t="array" aca="1" ref="DW337" ca="1">(1-$B$18)*SUMPRODUCT(OFFSET($BO$15,0,0,$B$14,1), 1*(_xlfn._xlws.FILTER(OFFSET($O$15,0,$DN337,$B$8,1),OFFSET($M$15,0,0,$B$8,1))=DW$13), 1*(_xlfn._xlws.FILTER(OFFSET($O$15,0,$DO337,$B$8,1),OFFSET($M$15,0,0,$B$8,1))=DW$14))   /   SUM(OFFSET($BO$15,0,0,$B$14,1)) + $B$18/($B$19*$B$19*($DN337&lt;&gt;$DO337) + $B$19*($DN337=$DO337))</f>
        <v>3.7037037037037035E-4</v>
      </c>
      <c r="DX337" s="10" cm="1">
        <f t="array" aca="1" ref="DX337" ca="1">(1-$B$18)*SUMPRODUCT(OFFSET($BO$15,0,0,$B$14,1), 1*(_xlfn._xlws.FILTER(OFFSET($O$15,0,$DN337,$B$8,1),OFFSET($M$15,0,0,$B$8,1))=DX$13), 1*(_xlfn._xlws.FILTER(OFFSET($O$15,0,$DO337,$B$8,1),OFFSET($M$15,0,0,$B$8,1))=DX$14))   /   SUM(OFFSET($BO$15,0,0,$B$14,1)) + $B$18/($B$19*$B$19*($DN337&lt;&gt;$DO337) + $B$19*($DN337=$DO337))</f>
        <v>3.7037037037037035E-4</v>
      </c>
      <c r="DY337" s="10" cm="1">
        <f t="array" aca="1" ref="DY337" ca="1">(1-$B$18)*SUMPRODUCT(OFFSET($BO$15,0,0,$B$14,1), 1*(_xlfn._xlws.FILTER(OFFSET($O$15,0,$DN337,$B$8,1),OFFSET($M$15,0,0,$B$8,1))=DY$13), 1*(_xlfn._xlws.FILTER(OFFSET($O$15,0,$DO337,$B$8,1),OFFSET($M$15,0,0,$B$8,1))=DY$14))   /   SUM(OFFSET($BO$15,0,0,$B$14,1)) + $B$18/($B$19*$B$19*($DN337&lt;&gt;$DO337) + $B$19*($DN337=$DO337))</f>
        <v>3.7037037037037035E-4</v>
      </c>
      <c r="DZ337" s="10" cm="1">
        <f t="array" aca="1" ref="DZ337" ca="1">(1-$B$18)*SUMPRODUCT(OFFSET($BO$15,0,0,$B$14,1), 1*(_xlfn._xlws.FILTER(OFFSET($O$15,0,$DN337,$B$8,1),OFFSET($M$15,0,0,$B$8,1))=DZ$13), 1*(_xlfn._xlws.FILTER(OFFSET($O$15,0,$DO337,$B$8,1),OFFSET($M$15,0,0,$B$8,1))=DZ$14))   /   SUM(OFFSET($BO$15,0,0,$B$14,1)) + $B$18/($B$19*$B$19*($DN337&lt;&gt;$DO337) + $B$19*($DN337=$DO337))</f>
        <v>3.7037037037037035E-4</v>
      </c>
      <c r="EA337" s="10" cm="1">
        <f t="array" aca="1" ref="EA337" ca="1">(1-$B$18)*SUMPRODUCT(OFFSET($BO$15,0,0,$B$14,1), 1*(_xlfn._xlws.FILTER(OFFSET($O$15,0,$DN337,$B$8,1),OFFSET($M$15,0,0,$B$8,1))=EA$13), 1*(_xlfn._xlws.FILTER(OFFSET($O$15,0,$DO337,$B$8,1),OFFSET($M$15,0,0,$B$8,1))=EA$14))   /   SUM(OFFSET($BO$15,0,0,$B$14,1)) + $B$18/($B$19*$B$19*($DN337&lt;&gt;$DO337) + $B$19*($DN337=$DO337))</f>
        <v>3.7037037037037035E-4</v>
      </c>
      <c r="EB337" s="10" cm="1">
        <f t="array" aca="1" ref="EB337" ca="1">(1-$B$18)*SUMPRODUCT(OFFSET($BO$15,0,0,$B$14,1), 1*(_xlfn._xlws.FILTER(OFFSET($O$15,0,$DN337,$B$8,1),OFFSET($M$15,0,0,$B$8,1))=EB$13), 1*(_xlfn._xlws.FILTER(OFFSET($O$15,0,$DO337,$B$8,1),OFFSET($M$15,0,0,$B$8,1))=EB$14))   /   SUM(OFFSET($BO$15,0,0,$B$14,1)) + $B$18/($B$19*$B$19*($DN337&lt;&gt;$DO337) + $B$19*($DN337=$DO337))</f>
        <v>3.7037037037037035E-4</v>
      </c>
      <c r="EC337" s="10" cm="1">
        <f t="array" aca="1" ref="EC337" ca="1">(1-$B$18)*SUMPRODUCT(OFFSET($BO$15,0,0,$B$14,1), 1*(_xlfn._xlws.FILTER(OFFSET($O$15,0,$DN337,$B$8,1),OFFSET($M$15,0,0,$B$8,1))=EC$13), 1*(_xlfn._xlws.FILTER(OFFSET($O$15,0,$DO337,$B$8,1),OFFSET($M$15,0,0,$B$8,1))=EC$14))   /   SUM(OFFSET($BO$15,0,0,$B$14,1)) + $B$18/($B$19*$B$19*($DN337&lt;&gt;$DO337) + $B$19*($DN337=$DO337))</f>
        <v>3.7037037037037035E-4</v>
      </c>
      <c r="ED337" s="10" cm="1">
        <f t="array" aca="1" ref="ED337" ca="1">(1-$B$18)*SUMPRODUCT(OFFSET($BO$15,0,0,$B$14,1), 1*(_xlfn._xlws.FILTER(OFFSET($O$15,0,$DN337,$B$8,1),OFFSET($M$15,0,0,$B$8,1))=ED$13), 1*(_xlfn._xlws.FILTER(OFFSET($O$15,0,$DO337,$B$8,1),OFFSET($M$15,0,0,$B$8,1))=ED$14))   /   SUM(OFFSET($BO$15,0,0,$B$14,1)) + $B$18/($B$19*$B$19*($DN337&lt;&gt;$DO337) + $B$19*($DN337=$DO337))</f>
        <v>3.7037037037037035E-4</v>
      </c>
      <c r="EE337" s="10" cm="1">
        <f t="array" aca="1" ref="EE337" ca="1">(1-$B$18)*SUMPRODUCT(OFFSET($BO$15,0,0,$B$14,1), 1*(_xlfn._xlws.FILTER(OFFSET($O$15,0,$DN337,$B$8,1),OFFSET($M$15,0,0,$B$8,1))=EE$13), 1*(_xlfn._xlws.FILTER(OFFSET($O$15,0,$DO337,$B$8,1),OFFSET($M$15,0,0,$B$8,1))=EE$14))   /   SUM(OFFSET($BO$15,0,0,$B$14,1)) + $B$18/($B$19*$B$19*($DN337&lt;&gt;$DO337) + $B$19*($DN337=$DO337))</f>
        <v>3.7037037037037035E-4</v>
      </c>
      <c r="EF337" s="10" cm="1">
        <f t="array" aca="1" ref="EF337" ca="1">(1-$B$18)*SUMPRODUCT(OFFSET($BO$15,0,0,$B$14,1), 1*(_xlfn._xlws.FILTER(OFFSET($O$15,0,$DN337,$B$8,1),OFFSET($M$15,0,0,$B$8,1))=EF$13), 1*(_xlfn._xlws.FILTER(OFFSET($O$15,0,$DO337,$B$8,1),OFFSET($M$15,0,0,$B$8,1))=EF$14))   /   SUM(OFFSET($BO$15,0,0,$B$14,1)) + $B$18/($B$19*$B$19*($DN337&lt;&gt;$DO337) + $B$19*($DN337=$DO337))</f>
        <v>3.7037037037037035E-4</v>
      </c>
      <c r="EG337" s="10" cm="1">
        <f t="array" aca="1" ref="EG337" ca="1">(1-$B$18)*SUMPRODUCT(OFFSET($BO$15,0,0,$B$14,1), 1*(_xlfn._xlws.FILTER(OFFSET($O$15,0,$DN337,$B$8,1),OFFSET($M$15,0,0,$B$8,1))=EG$13), 1*(_xlfn._xlws.FILTER(OFFSET($O$15,0,$DO337,$B$8,1),OFFSET($M$15,0,0,$B$8,1))=EG$14))   /   SUM(OFFSET($BO$15,0,0,$B$14,1)) + $B$18/($B$19*$B$19*($DN337&lt;&gt;$DO337) + $B$19*($DN337=$DO337))</f>
        <v>3.7037037037037035E-4</v>
      </c>
      <c r="EH337" s="10" cm="1">
        <f t="array" aca="1" ref="EH337" ca="1">(1-$B$18)*SUMPRODUCT(OFFSET($BO$15,0,0,$B$14,1), 1*(_xlfn._xlws.FILTER(OFFSET($O$15,0,$DN337,$B$8,1),OFFSET($M$15,0,0,$B$8,1))=EH$13), 1*(_xlfn._xlws.FILTER(OFFSET($O$15,0,$DO337,$B$8,1),OFFSET($M$15,0,0,$B$8,1))=EH$14))   /   SUM(OFFSET($BO$15,0,0,$B$14,1)) + $B$18/($B$19*$B$19*($DN337&lt;&gt;$DO337) + $B$19*($DN337=$DO337))</f>
        <v>3.7037037037037035E-4</v>
      </c>
      <c r="EI337" s="10" cm="1">
        <f t="array" aca="1" ref="EI337" ca="1">(1-$B$18)*SUMPRODUCT(OFFSET($BO$15,0,0,$B$14,1), 1*(_xlfn._xlws.FILTER(OFFSET($O$15,0,$DN337,$B$8,1),OFFSET($M$15,0,0,$B$8,1))=EI$13), 1*(_xlfn._xlws.FILTER(OFFSET($O$15,0,$DO337,$B$8,1),OFFSET($M$15,0,0,$B$8,1))=EI$14))   /   SUM(OFFSET($BO$15,0,0,$B$14,1)) + $B$18/($B$19*$B$19*($DN337&lt;&gt;$DO337) + $B$19*($DN337=$DO337))</f>
        <v>3.7037037037037035E-4</v>
      </c>
      <c r="EJ337" s="10" cm="1">
        <f t="array" aca="1" ref="EJ337" ca="1">(1-$B$18)*SUMPRODUCT(OFFSET($BO$15,0,0,$B$14,1), 1*(_xlfn._xlws.FILTER(OFFSET($O$15,0,$DN337,$B$8,1),OFFSET($M$15,0,0,$B$8,1))=EJ$13), 1*(_xlfn._xlws.FILTER(OFFSET($O$15,0,$DO337,$B$8,1),OFFSET($M$15,0,0,$B$8,1))=EJ$14))   /   SUM(OFFSET($BO$15,0,0,$B$14,1)) + $B$18/($B$19*$B$19*($DN337&lt;&gt;$DO337) + $B$19*($DN337=$DO337))</f>
        <v>3.7037037037037035E-4</v>
      </c>
      <c r="EK337" s="10" cm="1">
        <f t="array" aca="1" ref="EK337" ca="1">(1-$B$18)*SUMPRODUCT(OFFSET($BO$15,0,0,$B$14,1), 1*(_xlfn._xlws.FILTER(OFFSET($O$15,0,$DN337,$B$8,1),OFFSET($M$15,0,0,$B$8,1))=EK$13), 1*(_xlfn._xlws.FILTER(OFFSET($O$15,0,$DO337,$B$8,1),OFFSET($M$15,0,0,$B$8,1))=EK$14))   /   SUM(OFFSET($BO$15,0,0,$B$14,1)) + $B$18/($B$19*$B$19*($DN337&lt;&gt;$DO337) + $B$19*($DN337=$DO337))</f>
        <v>3.7037037037037035E-4</v>
      </c>
      <c r="EL337" s="10" cm="1">
        <f t="array" aca="1" ref="EL337" ca="1">(1-$B$18)*SUMPRODUCT(OFFSET($BO$15,0,0,$B$14,1), 1*(_xlfn._xlws.FILTER(OFFSET($O$15,0,$DN337,$B$8,1),OFFSET($M$15,0,0,$B$8,1))=EL$13), 1*(_xlfn._xlws.FILTER(OFFSET($O$15,0,$DO337,$B$8,1),OFFSET($M$15,0,0,$B$8,1))=EL$14))   /   SUM(OFFSET($BO$15,0,0,$B$14,1)) + $B$18/($B$19*$B$19*($DN337&lt;&gt;$DO337) + $B$19*($DN337=$DO337))</f>
        <v>3.7037037037037035E-4</v>
      </c>
      <c r="EM337" s="10" cm="1">
        <f t="array" aca="1" ref="EM337" ca="1">(1-$B$18)*SUMPRODUCT(OFFSET($BO$15,0,0,$B$14,1), 1*(_xlfn._xlws.FILTER(OFFSET($O$15,0,$DN337,$B$8,1),OFFSET($M$15,0,0,$B$8,1))=EM$13), 1*(_xlfn._xlws.FILTER(OFFSET($O$15,0,$DO337,$B$8,1),OFFSET($M$15,0,0,$B$8,1))=EM$14))   /   SUM(OFFSET($BO$15,0,0,$B$14,1)) + $B$18/($B$19*$B$19*($DN337&lt;&gt;$DO337) + $B$19*($DN337=$DO337))</f>
        <v>3.7037037037037035E-4</v>
      </c>
      <c r="EN337" s="10" cm="1">
        <f t="array" aca="1" ref="EN337" ca="1">(1-$B$18)*SUMPRODUCT(OFFSET($BO$15,0,0,$B$14,1), 1*(_xlfn._xlws.FILTER(OFFSET($O$15,0,$DN337,$B$8,1),OFFSET($M$15,0,0,$B$8,1))=EN$13), 1*(_xlfn._xlws.FILTER(OFFSET($O$15,0,$DO337,$B$8,1),OFFSET($M$15,0,0,$B$8,1))=EN$14))   /   SUM(OFFSET($BO$15,0,0,$B$14,1)) + $B$18/($B$19*$B$19*($DN337&lt;&gt;$DO337) + $B$19*($DN337=$DO337))</f>
        <v>3.7037037037037035E-4</v>
      </c>
      <c r="EO337" s="10" cm="1">
        <f t="array" aca="1" ref="EO337" ca="1">(1-$B$18)*SUMPRODUCT(OFFSET($BO$15,0,0,$B$14,1), 1*(_xlfn._xlws.FILTER(OFFSET($O$15,0,$DN337,$B$8,1),OFFSET($M$15,0,0,$B$8,1))=EO$13), 1*(_xlfn._xlws.FILTER(OFFSET($O$15,0,$DO337,$B$8,1),OFFSET($M$15,0,0,$B$8,1))=EO$14))   /   SUM(OFFSET($BO$15,0,0,$B$14,1)) + $B$18/($B$19*$B$19*($DN337&lt;&gt;$DO337) + $B$19*($DN337=$DO337))</f>
        <v>3.7037037037037035E-4</v>
      </c>
      <c r="EP337" s="10" cm="1">
        <f t="array" aca="1" ref="EP337" ca="1">(1-$B$18)*SUMPRODUCT(OFFSET($BO$15,0,0,$B$14,1), 1*(_xlfn._xlws.FILTER(OFFSET($O$15,0,$DN337,$B$8,1),OFFSET($M$15,0,0,$B$8,1))=EP$13), 1*(_xlfn._xlws.FILTER(OFFSET($O$15,0,$DO337,$B$8,1),OFFSET($M$15,0,0,$B$8,1))=EP$14))   /   SUM(OFFSET($BO$15,0,0,$B$14,1)) + $B$18/($B$19*$B$19*($DN337&lt;&gt;$DO337) + $B$19*($DN337=$DO337))</f>
        <v>3.7037037037037035E-4</v>
      </c>
      <c r="EQ337" s="10" cm="1">
        <f t="array" aca="1" ref="EQ337" ca="1">(1-$B$18)*SUMPRODUCT(OFFSET($BO$15,0,0,$B$14,1), 1*(_xlfn._xlws.FILTER(OFFSET($O$15,0,$DN337,$B$8,1),OFFSET($M$15,0,0,$B$8,1))=EQ$13), 1*(_xlfn._xlws.FILTER(OFFSET($O$15,0,$DO337,$B$8,1),OFFSET($M$15,0,0,$B$8,1))=EQ$14))   /   SUM(OFFSET($BO$15,0,0,$B$14,1)) + $B$18/($B$19*$B$19*($DN337&lt;&gt;$DO337) + $B$19*($DN337=$DO337))</f>
        <v>3.7037037037037035E-4</v>
      </c>
      <c r="ER337" s="10" cm="1">
        <f t="array" aca="1" ref="ER337" ca="1">(1-$B$18)*SUMPRODUCT(OFFSET($BO$15,0,0,$B$14,1), 1*(_xlfn._xlws.FILTER(OFFSET($O$15,0,$DN337,$B$8,1),OFFSET($M$15,0,0,$B$8,1))=ER$13), 1*(_xlfn._xlws.FILTER(OFFSET($O$15,0,$DO337,$B$8,1),OFFSET($M$15,0,0,$B$8,1))=ER$14))   /   SUM(OFFSET($BO$15,0,0,$B$14,1)) + $B$18/($B$19*$B$19*($DN337&lt;&gt;$DO337) + $B$19*($DN337=$DO337))</f>
        <v>0.24287037037037024</v>
      </c>
      <c r="ES337" s="10" cm="1">
        <f t="array" aca="1" ref="ES337" ca="1">(1-$B$18)*SUMPRODUCT(OFFSET($BO$15,0,0,$B$14,1), 1*(_xlfn._xlws.FILTER(OFFSET($O$15,0,$DN337,$B$8,1),OFFSET($M$15,0,0,$B$8,1))=ES$13), 1*(_xlfn._xlws.FILTER(OFFSET($O$15,0,$DO337,$B$8,1),OFFSET($M$15,0,0,$B$8,1))=ES$14))   /   SUM(OFFSET($BO$15,0,0,$B$14,1)) + $B$18/($B$19*$B$19*($DN337&lt;&gt;$DO337) + $B$19*($DN337=$DO337))</f>
        <v>0.48537037037037012</v>
      </c>
      <c r="ET337" s="10" cm="1">
        <f t="array" aca="1" ref="ET337" ca="1">(1-$B$18)*SUMPRODUCT(OFFSET($BO$15,0,0,$B$14,1), 1*(_xlfn._xlws.FILTER(OFFSET($O$15,0,$DN337,$B$8,1),OFFSET($M$15,0,0,$B$8,1))=ET$13), 1*(_xlfn._xlws.FILTER(OFFSET($O$15,0,$DO337,$B$8,1),OFFSET($M$15,0,0,$B$8,1))=ET$14))   /   SUM(OFFSET($BO$15,0,0,$B$14,1)) + $B$18/($B$19*$B$19*($DN337&lt;&gt;$DO337) + $B$19*($DN337=$DO337))</f>
        <v>0.24287037037037026</v>
      </c>
      <c r="EU337" s="10" cm="1">
        <f t="array" aca="1" ref="EU337" ca="1">(1-$B$18)*SUMPRODUCT(OFFSET($BO$15,0,0,$B$14,1), 1*(_xlfn._xlws.FILTER(OFFSET($O$15,0,$DN337,$B$8,1),OFFSET($M$15,0,0,$B$8,1))=EU$13), 1*(_xlfn._xlws.FILTER(OFFSET($O$15,0,$DO337,$B$8,1),OFFSET($M$15,0,0,$B$8,1))=EU$14))   /   SUM(OFFSET($BO$15,0,0,$B$14,1)) + $B$18/($B$19*$B$19*($DN337&lt;&gt;$DO337) + $B$19*($DN337=$DO337))</f>
        <v>3.7037037037037035E-4</v>
      </c>
      <c r="EV337" s="10" cm="1">
        <f t="array" aca="1" ref="EV337" ca="1">(1-$B$18)*SUMPRODUCT(OFFSET($BO$15,0,0,$B$14,1), 1*(_xlfn._xlws.FILTER(OFFSET($O$15,0,$DN337,$B$8,1),OFFSET($M$15,0,0,$B$8,1))=EV$13), 1*(_xlfn._xlws.FILTER(OFFSET($O$15,0,$DO337,$B$8,1),OFFSET($M$15,0,0,$B$8,1))=EV$14))   /   SUM(OFFSET($BO$15,0,0,$B$14,1)) + $B$18/($B$19*$B$19*($DN337&lt;&gt;$DO337) + $B$19*($DN337=$DO337))</f>
        <v>3.7037037037037035E-4</v>
      </c>
      <c r="EW337" s="10" cm="1">
        <f t="array" aca="1" ref="EW337" ca="1">(1-$B$18)*SUMPRODUCT(OFFSET($BO$15,0,0,$B$14,1), 1*(_xlfn._xlws.FILTER(OFFSET($O$15,0,$DN337,$B$8,1),OFFSET($M$15,0,0,$B$8,1))=EW$13), 1*(_xlfn._xlws.FILTER(OFFSET($O$15,0,$DO337,$B$8,1),OFFSET($M$15,0,0,$B$8,1))=EW$14))   /   SUM(OFFSET($BO$15,0,0,$B$14,1)) + $B$18/($B$19*$B$19*($DN337&lt;&gt;$DO337) + $B$19*($DN337=$DO337))</f>
        <v>3.7037037037037035E-4</v>
      </c>
      <c r="EX337" s="10" cm="1">
        <f t="array" aca="1" ref="EX337" ca="1">(1-$B$18)*SUMPRODUCT(OFFSET($BO$15,0,0,$B$14,1), 1*(_xlfn._xlws.FILTER(OFFSET($O$15,0,$DN337,$B$8,1),OFFSET($M$15,0,0,$B$8,1))=EX$13), 1*(_xlfn._xlws.FILTER(OFFSET($O$15,0,$DO337,$B$8,1),OFFSET($M$15,0,0,$B$8,1))=EX$14))   /   SUM(OFFSET($BO$15,0,0,$B$14,1)) + $B$18/($B$19*$B$19*($DN337&lt;&gt;$DO337) + $B$19*($DN337=$DO337))</f>
        <v>3.7037037037037035E-4</v>
      </c>
      <c r="EY337" s="10" cm="1">
        <f t="array" aca="1" ref="EY337" ca="1">(1-$B$18)*SUMPRODUCT(OFFSET($BO$15,0,0,$B$14,1), 1*(_xlfn._xlws.FILTER(OFFSET($O$15,0,$DN337,$B$8,1),OFFSET($M$15,0,0,$B$8,1))=EY$13), 1*(_xlfn._xlws.FILTER(OFFSET($O$15,0,$DO337,$B$8,1),OFFSET($M$15,0,0,$B$8,1))=EY$14))   /   SUM(OFFSET($BO$15,0,0,$B$14,1)) + $B$18/($B$19*$B$19*($DN337&lt;&gt;$DO337) + $B$19*($DN337=$DO337))</f>
        <v>3.7037037037037035E-4</v>
      </c>
      <c r="EZ337" s="10" cm="1">
        <f t="array" aca="1" ref="EZ337" ca="1">(1-$B$18)*SUMPRODUCT(OFFSET($BO$15,0,0,$B$14,1), 1*(_xlfn._xlws.FILTER(OFFSET($O$15,0,$DN337,$B$8,1),OFFSET($M$15,0,0,$B$8,1))=EZ$13), 1*(_xlfn._xlws.FILTER(OFFSET($O$15,0,$DO337,$B$8,1),OFFSET($M$15,0,0,$B$8,1))=EZ$14))   /   SUM(OFFSET($BO$15,0,0,$B$14,1)) + $B$18/($B$19*$B$19*($DN337&lt;&gt;$DO337) + $B$19*($DN337=$DO337))</f>
        <v>3.7037037037037035E-4</v>
      </c>
      <c r="FA337" s="10" cm="1">
        <f t="array" aca="1" ref="FA337" ca="1">(1-$B$18)*SUMPRODUCT(OFFSET($BO$15,0,0,$B$14,1), 1*(_xlfn._xlws.FILTER(OFFSET($O$15,0,$DN337,$B$8,1),OFFSET($M$15,0,0,$B$8,1))=FA$13), 1*(_xlfn._xlws.FILTER(OFFSET($O$15,0,$DO337,$B$8,1),OFFSET($M$15,0,0,$B$8,1))=FA$14))   /   SUM(OFFSET($BO$15,0,0,$B$14,1)) + $B$18/($B$19*$B$19*($DN337&lt;&gt;$DO337) + $B$19*($DN337=$DO337))</f>
        <v>3.7037037037037035E-4</v>
      </c>
      <c r="FB337" s="10" cm="1">
        <f t="array" aca="1" ref="FB337" ca="1">(1-$B$18)*SUMPRODUCT(OFFSET($BO$15,0,0,$B$14,1), 1*(_xlfn._xlws.FILTER(OFFSET($O$15,0,$DN337,$B$8,1),OFFSET($M$15,0,0,$B$8,1))=FB$13), 1*(_xlfn._xlws.FILTER(OFFSET($O$15,0,$DO337,$B$8,1),OFFSET($M$15,0,0,$B$8,1))=FB$14))   /   SUM(OFFSET($BO$15,0,0,$B$14,1)) + $B$18/($B$19*$B$19*($DN337&lt;&gt;$DO337) + $B$19*($DN337=$DO337))</f>
        <v>3.7037037037037035E-4</v>
      </c>
      <c r="FC337" s="10" cm="1">
        <f t="array" aca="1" ref="FC337" ca="1">(1-$B$18)*SUMPRODUCT(OFFSET($BO$15,0,0,$B$14,1), 1*(_xlfn._xlws.FILTER(OFFSET($O$15,0,$DN337,$B$8,1),OFFSET($M$15,0,0,$B$8,1))=FC$13), 1*(_xlfn._xlws.FILTER(OFFSET($O$15,0,$DO337,$B$8,1),OFFSET($M$15,0,0,$B$8,1))=FC$14))   /   SUM(OFFSET($BO$15,0,0,$B$14,1)) + $B$18/($B$19*$B$19*($DN337&lt;&gt;$DO337) + $B$19*($DN337=$DO337))</f>
        <v>3.7037037037037035E-4</v>
      </c>
      <c r="FD337" s="10" cm="1">
        <f t="array" aca="1" ref="FD337" ca="1">(1-$B$18)*SUMPRODUCT(OFFSET($BO$15,0,0,$B$14,1), 1*(_xlfn._xlws.FILTER(OFFSET($O$15,0,$DN337,$B$8,1),OFFSET($M$15,0,0,$B$8,1))=FD$13), 1*(_xlfn._xlws.FILTER(OFFSET($O$15,0,$DO337,$B$8,1),OFFSET($M$15,0,0,$B$8,1))=FD$14))   /   SUM(OFFSET($BO$15,0,0,$B$14,1)) + $B$18/($B$19*$B$19*($DN337&lt;&gt;$DO337) + $B$19*($DN337=$DO337))</f>
        <v>3.7037037037037035E-4</v>
      </c>
      <c r="FE337" s="10" cm="1">
        <f t="array" aca="1" ref="FE337" ca="1">(1-$B$18)*SUMPRODUCT(OFFSET($BO$15,0,0,$B$14,1), 1*(_xlfn._xlws.FILTER(OFFSET($O$15,0,$DN337,$B$8,1),OFFSET($M$15,0,0,$B$8,1))=FE$13), 1*(_xlfn._xlws.FILTER(OFFSET($O$15,0,$DO337,$B$8,1),OFFSET($M$15,0,0,$B$8,1))=FE$14))   /   SUM(OFFSET($BO$15,0,0,$B$14,1)) + $B$18/($B$19*$B$19*($DN337&lt;&gt;$DO337) + $B$19*($DN337=$DO337))</f>
        <v>3.7037037037037035E-4</v>
      </c>
      <c r="FF337" s="10" cm="1">
        <f t="array" aca="1" ref="FF337" ca="1">(1-$B$18)*SUMPRODUCT(OFFSET($BO$15,0,0,$B$14,1), 1*(_xlfn._xlws.FILTER(OFFSET($O$15,0,$DN337,$B$8,1),OFFSET($M$15,0,0,$B$8,1))=FF$13), 1*(_xlfn._xlws.FILTER(OFFSET($O$15,0,$DO337,$B$8,1),OFFSET($M$15,0,0,$B$8,1))=FF$14))   /   SUM(OFFSET($BO$15,0,0,$B$14,1)) + $B$18/($B$19*$B$19*($DN337&lt;&gt;$DO337) + $B$19*($DN337=$DO337))</f>
        <v>3.7037037037037035E-4</v>
      </c>
      <c r="FG337" s="10" cm="1">
        <f t="array" aca="1" ref="FG337" ca="1">(1-$B$18)*SUMPRODUCT(OFFSET($BO$15,0,0,$B$14,1), 1*(_xlfn._xlws.FILTER(OFFSET($O$15,0,$DN337,$B$8,1),OFFSET($M$15,0,0,$B$8,1))=FG$13), 1*(_xlfn._xlws.FILTER(OFFSET($O$15,0,$DO337,$B$8,1),OFFSET($M$15,0,0,$B$8,1))=FG$14))   /   SUM(OFFSET($BO$15,0,0,$B$14,1)) + $B$18/($B$19*$B$19*($DN337&lt;&gt;$DO337) + $B$19*($DN337=$DO337))</f>
        <v>3.7037037037037035E-4</v>
      </c>
      <c r="FH337" s="10" cm="1">
        <f t="array" aca="1" ref="FH337" ca="1">(1-$B$18)*SUMPRODUCT(OFFSET($BO$15,0,0,$B$14,1), 1*(_xlfn._xlws.FILTER(OFFSET($O$15,0,$DN337,$B$8,1),OFFSET($M$15,0,0,$B$8,1))=FH$13), 1*(_xlfn._xlws.FILTER(OFFSET($O$15,0,$DO337,$B$8,1),OFFSET($M$15,0,0,$B$8,1))=FH$14))   /   SUM(OFFSET($BO$15,0,0,$B$14,1)) + $B$18/($B$19*$B$19*($DN337&lt;&gt;$DO337) + $B$19*($DN337=$DO337))</f>
        <v>3.7037037037037035E-4</v>
      </c>
      <c r="FI337" s="10" cm="1">
        <f t="array" aca="1" ref="FI337" ca="1">(1-$B$18)*SUMPRODUCT(OFFSET($BO$15,0,0,$B$14,1), 1*(_xlfn._xlws.FILTER(OFFSET($O$15,0,$DN337,$B$8,1),OFFSET($M$15,0,0,$B$8,1))=FI$13), 1*(_xlfn._xlws.FILTER(OFFSET($O$15,0,$DO337,$B$8,1),OFFSET($M$15,0,0,$B$8,1))=FI$14))   /   SUM(OFFSET($BO$15,0,0,$B$14,1)) + $B$18/($B$19*$B$19*($DN337&lt;&gt;$DO337) + $B$19*($DN337=$DO337))</f>
        <v>3.7037037037037035E-4</v>
      </c>
      <c r="FJ337" s="10" cm="1">
        <f t="array" aca="1" ref="FJ337" ca="1">(1-$B$18)*SUMPRODUCT(OFFSET($BO$15,0,0,$B$14,1), 1*(_xlfn._xlws.FILTER(OFFSET($O$15,0,$DN337,$B$8,1),OFFSET($M$15,0,0,$B$8,1))=FJ$13), 1*(_xlfn._xlws.FILTER(OFFSET($O$15,0,$DO337,$B$8,1),OFFSET($M$15,0,0,$B$8,1))=FJ$14))   /   SUM(OFFSET($BO$15,0,0,$B$14,1)) + $B$18/($B$19*$B$19*($DN337&lt;&gt;$DO337) + $B$19*($DN337=$DO337))</f>
        <v>3.7037037037037035E-4</v>
      </c>
      <c r="FK337" s="10" cm="1">
        <f t="array" aca="1" ref="FK337" ca="1">(1-$B$18)*SUMPRODUCT(OFFSET($BO$15,0,0,$B$14,1), 1*(_xlfn._xlws.FILTER(OFFSET($O$15,0,$DN337,$B$8,1),OFFSET($M$15,0,0,$B$8,1))=FK$13), 1*(_xlfn._xlws.FILTER(OFFSET($O$15,0,$DO337,$B$8,1),OFFSET($M$15,0,0,$B$8,1))=FK$14))   /   SUM(OFFSET($BO$15,0,0,$B$14,1)) + $B$18/($B$19*$B$19*($DN337&lt;&gt;$DO337) + $B$19*($DN337=$DO337))</f>
        <v>3.7037037037037035E-4</v>
      </c>
      <c r="FL337" s="10" cm="1">
        <f t="array" aca="1" ref="FL337" ca="1">(1-$B$18)*SUMPRODUCT(OFFSET($BO$15,0,0,$B$14,1), 1*(_xlfn._xlws.FILTER(OFFSET($O$15,0,$DN337,$B$8,1),OFFSET($M$15,0,0,$B$8,1))=FL$13), 1*(_xlfn._xlws.FILTER(OFFSET($O$15,0,$DO337,$B$8,1),OFFSET($M$15,0,0,$B$8,1))=FL$14))   /   SUM(OFFSET($BO$15,0,0,$B$14,1)) + $B$18/($B$19*$B$19*($DN337&lt;&gt;$DO337) + $B$19*($DN337=$DO337))</f>
        <v>3.7037037037037035E-4</v>
      </c>
      <c r="FM337" s="10" cm="1">
        <f t="array" aca="1" ref="FM337" ca="1">(1-$B$18)*SUMPRODUCT(OFFSET($BO$15,0,0,$B$14,1), 1*(_xlfn._xlws.FILTER(OFFSET($O$15,0,$DN337,$B$8,1),OFFSET($M$15,0,0,$B$8,1))=FM$13), 1*(_xlfn._xlws.FILTER(OFFSET($O$15,0,$DO337,$B$8,1),OFFSET($M$15,0,0,$B$8,1))=FM$14))   /   SUM(OFFSET($BO$15,0,0,$B$14,1)) + $B$18/($B$19*$B$19*($DN337&lt;&gt;$DO337) + $B$19*($DN337=$DO337))</f>
        <v>3.7037037037037035E-4</v>
      </c>
      <c r="FN337" s="10" cm="1">
        <f t="array" aca="1" ref="FN337" ca="1">(1-$B$18)*SUMPRODUCT(OFFSET($BO$15,0,0,$B$14,1), 1*(_xlfn._xlws.FILTER(OFFSET($O$15,0,$DN337,$B$8,1),OFFSET($M$15,0,0,$B$8,1))=FN$13), 1*(_xlfn._xlws.FILTER(OFFSET($O$15,0,$DO337,$B$8,1),OFFSET($M$15,0,0,$B$8,1))=FN$14))   /   SUM(OFFSET($BO$15,0,0,$B$14,1)) + $B$18/($B$19*$B$19*($DN337&lt;&gt;$DO337) + $B$19*($DN337=$DO337))</f>
        <v>3.7037037037037035E-4</v>
      </c>
      <c r="FO337" s="10" cm="1">
        <f t="array" aca="1" ref="FO337" ca="1">(1-$B$18)*SUMPRODUCT(OFFSET($BO$15,0,0,$B$14,1), 1*(_xlfn._xlws.FILTER(OFFSET($O$15,0,$DN337,$B$8,1),OFFSET($M$15,0,0,$B$8,1))=FO$13), 1*(_xlfn._xlws.FILTER(OFFSET($O$15,0,$DO337,$B$8,1),OFFSET($M$15,0,0,$B$8,1))=FO$14))   /   SUM(OFFSET($BO$15,0,0,$B$14,1)) + $B$18/($B$19*$B$19*($DN337&lt;&gt;$DO337) + $B$19*($DN337=$DO337))</f>
        <v>3.7037037037037035E-4</v>
      </c>
      <c r="FP337" s="10" cm="1">
        <f t="array" aca="1" ref="FP337" ca="1">(1-$B$18)*SUMPRODUCT(OFFSET($BO$15,0,0,$B$14,1), 1*(_xlfn._xlws.FILTER(OFFSET($O$15,0,$DN337,$B$8,1),OFFSET($M$15,0,0,$B$8,1))=FP$13), 1*(_xlfn._xlws.FILTER(OFFSET($O$15,0,$DO337,$B$8,1),OFFSET($M$15,0,0,$B$8,1))=FP$14))   /   SUM(OFFSET($BO$15,0,0,$B$14,1)) + $B$18/($B$19*$B$19*($DN337&lt;&gt;$DO337) + $B$19*($DN337=$DO337))</f>
        <v>3.7037037037037035E-4</v>
      </c>
      <c r="FQ337" s="10" cm="1">
        <f t="array" aca="1" ref="FQ337" ca="1">(1-$B$18)*SUMPRODUCT(OFFSET($BO$15,0,0,$B$14,1), 1*(_xlfn._xlws.FILTER(OFFSET($O$15,0,$DN337,$B$8,1),OFFSET($M$15,0,0,$B$8,1))=FQ$13), 1*(_xlfn._xlws.FILTER(OFFSET($O$15,0,$DO337,$B$8,1),OFFSET($M$15,0,0,$B$8,1))=FQ$14))   /   SUM(OFFSET($BO$15,0,0,$B$14,1)) + $B$18/($B$19*$B$19*($DN337&lt;&gt;$DO337) + $B$19*($DN337=$DO337))</f>
        <v>3.7037037037037035E-4</v>
      </c>
      <c r="FR337" s="10" cm="1">
        <f t="array" aca="1" ref="FR337" ca="1">(1-$B$18)*SUMPRODUCT(OFFSET($BO$15,0,0,$B$14,1), 1*(_xlfn._xlws.FILTER(OFFSET($O$15,0,$DN337,$B$8,1),OFFSET($M$15,0,0,$B$8,1))=FR$13), 1*(_xlfn._xlws.FILTER(OFFSET($O$15,0,$DO337,$B$8,1),OFFSET($M$15,0,0,$B$8,1))=FR$14))   /   SUM(OFFSET($BO$15,0,0,$B$14,1)) + $B$18/($B$19*$B$19*($DN337&lt;&gt;$DO337) + $B$19*($DN337=$DO337))</f>
        <v>3.7037037037037035E-4</v>
      </c>
      <c r="FS337" s="10" cm="1">
        <f t="array" aca="1" ref="FS337" ca="1">(1-$B$18)*SUMPRODUCT(OFFSET($BO$15,0,0,$B$14,1), 1*(_xlfn._xlws.FILTER(OFFSET($O$15,0,$DN337,$B$8,1),OFFSET($M$15,0,0,$B$8,1))=FS$13), 1*(_xlfn._xlws.FILTER(OFFSET($O$15,0,$DO337,$B$8,1),OFFSET($M$15,0,0,$B$8,1))=FS$14))   /   SUM(OFFSET($BO$15,0,0,$B$14,1)) + $B$18/($B$19*$B$19*($DN337&lt;&gt;$DO337) + $B$19*($DN337=$DO337))</f>
        <v>3.7037037037037035E-4</v>
      </c>
      <c r="FT337" s="10" cm="1">
        <f t="array" aca="1" ref="FT337" ca="1">(1-$B$18)*SUMPRODUCT(OFFSET($BO$15,0,0,$B$14,1), 1*(_xlfn._xlws.FILTER(OFFSET($O$15,0,$DN337,$B$8,1),OFFSET($M$15,0,0,$B$8,1))=FT$13), 1*(_xlfn._xlws.FILTER(OFFSET($O$15,0,$DO337,$B$8,1),OFFSET($M$15,0,0,$B$8,1))=FT$14))   /   SUM(OFFSET($BO$15,0,0,$B$14,1)) + $B$18/($B$19*$B$19*($DN337&lt;&gt;$DO337) + $B$19*($DN337=$DO337))</f>
        <v>3.7037037037037035E-4</v>
      </c>
      <c r="FU337" s="10" cm="1">
        <f t="array" aca="1" ref="FU337" ca="1">(1-$B$18)*SUMPRODUCT(OFFSET($BO$15,0,0,$B$14,1), 1*(_xlfn._xlws.FILTER(OFFSET($O$15,0,$DN337,$B$8,1),OFFSET($M$15,0,0,$B$8,1))=FU$13), 1*(_xlfn._xlws.FILTER(OFFSET($O$15,0,$DO337,$B$8,1),OFFSET($M$15,0,0,$B$8,1))=FU$14))   /   SUM(OFFSET($BO$15,0,0,$B$14,1)) + $B$18/($B$19*$B$19*($DN337&lt;&gt;$DO337) + $B$19*($DN337=$DO337))</f>
        <v>3.7037037037037035E-4</v>
      </c>
      <c r="FV337" s="10" cm="1">
        <f t="array" aca="1" ref="FV337" ca="1">(1-$B$18)*SUMPRODUCT(OFFSET($BO$15,0,0,$B$14,1), 1*(_xlfn._xlws.FILTER(OFFSET($O$15,0,$DN337,$B$8,1),OFFSET($M$15,0,0,$B$8,1))=FV$13), 1*(_xlfn._xlws.FILTER(OFFSET($O$15,0,$DO337,$B$8,1),OFFSET($M$15,0,0,$B$8,1))=FV$14))   /   SUM(OFFSET($BO$15,0,0,$B$14,1)) + $B$18/($B$19*$B$19*($DN337&lt;&gt;$DO337) + $B$19*($DN337=$DO337))</f>
        <v>3.7037037037037035E-4</v>
      </c>
      <c r="FW337" s="10" cm="1">
        <f t="array" aca="1" ref="FW337" ca="1">(1-$B$18)*SUMPRODUCT(OFFSET($BO$15,0,0,$B$14,1), 1*(_xlfn._xlws.FILTER(OFFSET($O$15,0,$DN337,$B$8,1),OFFSET($M$15,0,0,$B$8,1))=FW$13), 1*(_xlfn._xlws.FILTER(OFFSET($O$15,0,$DO337,$B$8,1),OFFSET($M$15,0,0,$B$8,1))=FW$14))   /   SUM(OFFSET($BO$15,0,0,$B$14,1)) + $B$18/($B$19*$B$19*($DN337&lt;&gt;$DO337) + $B$19*($DN337=$DO337))</f>
        <v>3.7037037037037035E-4</v>
      </c>
      <c r="FX337" s="10" cm="1">
        <f t="array" aca="1" ref="FX337" ca="1">(1-$B$18)*SUMPRODUCT(OFFSET($BO$15,0,0,$B$14,1), 1*(_xlfn._xlws.FILTER(OFFSET($O$15,0,$DN337,$B$8,1),OFFSET($M$15,0,0,$B$8,1))=FX$13), 1*(_xlfn._xlws.FILTER(OFFSET($O$15,0,$DO337,$B$8,1),OFFSET($M$15,0,0,$B$8,1))=FX$14))   /   SUM(OFFSET($BO$15,0,0,$B$14,1)) + $B$18/($B$19*$B$19*($DN337&lt;&gt;$DO337) + $B$19*($DN337=$DO337))</f>
        <v>3.7037037037037035E-4</v>
      </c>
      <c r="FY337" s="10" cm="1">
        <f t="array" aca="1" ref="FY337" ca="1">(1-$B$18)*SUMPRODUCT(OFFSET($BO$15,0,0,$B$14,1), 1*(_xlfn._xlws.FILTER(OFFSET($O$15,0,$DN337,$B$8,1),OFFSET($M$15,0,0,$B$8,1))=FY$13), 1*(_xlfn._xlws.FILTER(OFFSET($O$15,0,$DO337,$B$8,1),OFFSET($M$15,0,0,$B$8,1))=FY$14))   /   SUM(OFFSET($BO$15,0,0,$B$14,1)) + $B$18/($B$19*$B$19*($DN337&lt;&gt;$DO337) + $B$19*($DN337=$DO337))</f>
        <v>3.7037037037037035E-4</v>
      </c>
      <c r="FZ337" s="10" cm="1">
        <f t="array" aca="1" ref="FZ337" ca="1">(1-$B$18)*SUMPRODUCT(OFFSET($BO$15,0,0,$B$14,1), 1*(_xlfn._xlws.FILTER(OFFSET($O$15,0,$DN337,$B$8,1),OFFSET($M$15,0,0,$B$8,1))=FZ$13), 1*(_xlfn._xlws.FILTER(OFFSET($O$15,0,$DO337,$B$8,1),OFFSET($M$15,0,0,$B$8,1))=FZ$14))   /   SUM(OFFSET($BO$15,0,0,$B$14,1)) + $B$18/($B$19*$B$19*($DN337&lt;&gt;$DO337) + $B$19*($DN337=$DO337))</f>
        <v>3.7037037037037035E-4</v>
      </c>
      <c r="GA337" s="10" cm="1">
        <f t="array" aca="1" ref="GA337" ca="1">(1-$B$18)*SUMPRODUCT(OFFSET($BO$15,0,0,$B$14,1), 1*(_xlfn._xlws.FILTER(OFFSET($O$15,0,$DN337,$B$8,1),OFFSET($M$15,0,0,$B$8,1))=GA$13), 1*(_xlfn._xlws.FILTER(OFFSET($O$15,0,$DO337,$B$8,1),OFFSET($M$15,0,0,$B$8,1))=GA$14))   /   SUM(OFFSET($BO$15,0,0,$B$14,1)) + $B$18/($B$19*$B$19*($DN337&lt;&gt;$DO337) + $B$19*($DN337=$DO337))</f>
        <v>3.7037037037037035E-4</v>
      </c>
    </row>
    <row r="338" spans="118:183" x14ac:dyDescent="0.2">
      <c r="DN338" cm="1">
        <f t="array" aca="1" ref="DN338" ca="1">INDEX(_xlfn.ANCHORARRAY($CP$15), 1 + INT((ROWS($DO$15:$DO338) - 1) / ROWS(_xlfn.ANCHORARRAY($CP$15))))</f>
        <v>20</v>
      </c>
      <c r="DO338" cm="1">
        <f t="array" aca="1" ref="DO338" ca="1">INDEX(_xlfn.ANCHORARRAY($CP$15),1+MOD(ROWS($DO$15:$DO338)-1,ROWS(_xlfn.ANCHORARRAY($CP$15))))</f>
        <v>0</v>
      </c>
      <c r="DP338" s="10" cm="1">
        <f t="array" aca="1" ref="DP338" ca="1">(1-$B$18)*SUMPRODUCT(OFFSET($BO$15,0,0,$B$14,1), 1*(_xlfn._xlws.FILTER(OFFSET($O$15,0,$DN338,$B$8,1),OFFSET($M$15,0,0,$B$8,1))=DP$13), 1*(_xlfn._xlws.FILTER(OFFSET($O$15,0,$DO338,$B$8,1),OFFSET($M$15,0,0,$B$8,1))=DP$14))   /   SUM(OFFSET($BO$15,0,0,$B$14,1)) + $B$18/($B$19*$B$19*($DN338&lt;&gt;$DO338) + $B$19*($DN338=$DO338))</f>
        <v>3.7037037037037035E-4</v>
      </c>
      <c r="DQ338" s="10" cm="1">
        <f t="array" aca="1" ref="DQ338" ca="1">(1-$B$18)*SUMPRODUCT(OFFSET($BO$15,0,0,$B$14,1), 1*(_xlfn._xlws.FILTER(OFFSET($O$15,0,$DN338,$B$8,1),OFFSET($M$15,0,0,$B$8,1))=DQ$13), 1*(_xlfn._xlws.FILTER(OFFSET($O$15,0,$DO338,$B$8,1),OFFSET($M$15,0,0,$B$8,1))=DQ$14))   /   SUM(OFFSET($BO$15,0,0,$B$14,1)) + $B$18/($B$19*$B$19*($DN338&lt;&gt;$DO338) + $B$19*($DN338=$DO338))</f>
        <v>3.7037037037037035E-4</v>
      </c>
      <c r="DR338" s="10" cm="1">
        <f t="array" aca="1" ref="DR338" ca="1">(1-$B$18)*SUMPRODUCT(OFFSET($BO$15,0,0,$B$14,1), 1*(_xlfn._xlws.FILTER(OFFSET($O$15,0,$DN338,$B$8,1),OFFSET($M$15,0,0,$B$8,1))=DR$13), 1*(_xlfn._xlws.FILTER(OFFSET($O$15,0,$DO338,$B$8,1),OFFSET($M$15,0,0,$B$8,1))=DR$14))   /   SUM(OFFSET($BO$15,0,0,$B$14,1)) + $B$18/($B$19*$B$19*($DN338&lt;&gt;$DO338) + $B$19*($DN338=$DO338))</f>
        <v>3.7037037037037035E-4</v>
      </c>
      <c r="DS338" s="10" cm="1">
        <f t="array" aca="1" ref="DS338" ca="1">(1-$B$18)*SUMPRODUCT(OFFSET($BO$15,0,0,$B$14,1), 1*(_xlfn._xlws.FILTER(OFFSET($O$15,0,$DN338,$B$8,1),OFFSET($M$15,0,0,$B$8,1))=DS$13), 1*(_xlfn._xlws.FILTER(OFFSET($O$15,0,$DO338,$B$8,1),OFFSET($M$15,0,0,$B$8,1))=DS$14))   /   SUM(OFFSET($BO$15,0,0,$B$14,1)) + $B$18/($B$19*$B$19*($DN338&lt;&gt;$DO338) + $B$19*($DN338=$DO338))</f>
        <v>3.7037037037037035E-4</v>
      </c>
      <c r="DT338" s="10" cm="1">
        <f t="array" aca="1" ref="DT338" ca="1">(1-$B$18)*SUMPRODUCT(OFFSET($BO$15,0,0,$B$14,1), 1*(_xlfn._xlws.FILTER(OFFSET($O$15,0,$DN338,$B$8,1),OFFSET($M$15,0,0,$B$8,1))=DT$13), 1*(_xlfn._xlws.FILTER(OFFSET($O$15,0,$DO338,$B$8,1),OFFSET($M$15,0,0,$B$8,1))=DT$14))   /   SUM(OFFSET($BO$15,0,0,$B$14,1)) + $B$18/($B$19*$B$19*($DN338&lt;&gt;$DO338) + $B$19*($DN338=$DO338))</f>
        <v>3.7037037037037035E-4</v>
      </c>
      <c r="DU338" s="10" cm="1">
        <f t="array" aca="1" ref="DU338" ca="1">(1-$B$18)*SUMPRODUCT(OFFSET($BO$15,0,0,$B$14,1), 1*(_xlfn._xlws.FILTER(OFFSET($O$15,0,$DN338,$B$8,1),OFFSET($M$15,0,0,$B$8,1))=DU$13), 1*(_xlfn._xlws.FILTER(OFFSET($O$15,0,$DO338,$B$8,1),OFFSET($M$15,0,0,$B$8,1))=DU$14))   /   SUM(OFFSET($BO$15,0,0,$B$14,1)) + $B$18/($B$19*$B$19*($DN338&lt;&gt;$DO338) + $B$19*($DN338=$DO338))</f>
        <v>3.7037037037037035E-4</v>
      </c>
      <c r="DV338" s="10" cm="1">
        <f t="array" aca="1" ref="DV338" ca="1">(1-$B$18)*SUMPRODUCT(OFFSET($BO$15,0,0,$B$14,1), 1*(_xlfn._xlws.FILTER(OFFSET($O$15,0,$DN338,$B$8,1),OFFSET($M$15,0,0,$B$8,1))=DV$13), 1*(_xlfn._xlws.FILTER(OFFSET($O$15,0,$DO338,$B$8,1),OFFSET($M$15,0,0,$B$8,1))=DV$14))   /   SUM(OFFSET($BO$15,0,0,$B$14,1)) + $B$18/($B$19*$B$19*($DN338&lt;&gt;$DO338) + $B$19*($DN338=$DO338))</f>
        <v>3.7037037037037035E-4</v>
      </c>
      <c r="DW338" s="10" cm="1">
        <f t="array" aca="1" ref="DW338" ca="1">(1-$B$18)*SUMPRODUCT(OFFSET($BO$15,0,0,$B$14,1), 1*(_xlfn._xlws.FILTER(OFFSET($O$15,0,$DN338,$B$8,1),OFFSET($M$15,0,0,$B$8,1))=DW$13), 1*(_xlfn._xlws.FILTER(OFFSET($O$15,0,$DO338,$B$8,1),OFFSET($M$15,0,0,$B$8,1))=DW$14))   /   SUM(OFFSET($BO$15,0,0,$B$14,1)) + $B$18/($B$19*$B$19*($DN338&lt;&gt;$DO338) + $B$19*($DN338=$DO338))</f>
        <v>3.7037037037037035E-4</v>
      </c>
      <c r="DX338" s="10" cm="1">
        <f t="array" aca="1" ref="DX338" ca="1">(1-$B$18)*SUMPRODUCT(OFFSET($BO$15,0,0,$B$14,1), 1*(_xlfn._xlws.FILTER(OFFSET($O$15,0,$DN338,$B$8,1),OFFSET($M$15,0,0,$B$8,1))=DX$13), 1*(_xlfn._xlws.FILTER(OFFSET($O$15,0,$DO338,$B$8,1),OFFSET($M$15,0,0,$B$8,1))=DX$14))   /   SUM(OFFSET($BO$15,0,0,$B$14,1)) + $B$18/($B$19*$B$19*($DN338&lt;&gt;$DO338) + $B$19*($DN338=$DO338))</f>
        <v>3.7037037037037035E-4</v>
      </c>
      <c r="DY338" s="10" cm="1">
        <f t="array" aca="1" ref="DY338" ca="1">(1-$B$18)*SUMPRODUCT(OFFSET($BO$15,0,0,$B$14,1), 1*(_xlfn._xlws.FILTER(OFFSET($O$15,0,$DN338,$B$8,1),OFFSET($M$15,0,0,$B$8,1))=DY$13), 1*(_xlfn._xlws.FILTER(OFFSET($O$15,0,$DO338,$B$8,1),OFFSET($M$15,0,0,$B$8,1))=DY$14))   /   SUM(OFFSET($BO$15,0,0,$B$14,1)) + $B$18/($B$19*$B$19*($DN338&lt;&gt;$DO338) + $B$19*($DN338=$DO338))</f>
        <v>3.7037037037037035E-4</v>
      </c>
      <c r="DZ338" s="10" cm="1">
        <f t="array" aca="1" ref="DZ338" ca="1">(1-$B$18)*SUMPRODUCT(OFFSET($BO$15,0,0,$B$14,1), 1*(_xlfn._xlws.FILTER(OFFSET($O$15,0,$DN338,$B$8,1),OFFSET($M$15,0,0,$B$8,1))=DZ$13), 1*(_xlfn._xlws.FILTER(OFFSET($O$15,0,$DO338,$B$8,1),OFFSET($M$15,0,0,$B$8,1))=DZ$14))   /   SUM(OFFSET($BO$15,0,0,$B$14,1)) + $B$18/($B$19*$B$19*($DN338&lt;&gt;$DO338) + $B$19*($DN338=$DO338))</f>
        <v>3.7037037037037035E-4</v>
      </c>
      <c r="EA338" s="10" cm="1">
        <f t="array" aca="1" ref="EA338" ca="1">(1-$B$18)*SUMPRODUCT(OFFSET($BO$15,0,0,$B$14,1), 1*(_xlfn._xlws.FILTER(OFFSET($O$15,0,$DN338,$B$8,1),OFFSET($M$15,0,0,$B$8,1))=EA$13), 1*(_xlfn._xlws.FILTER(OFFSET($O$15,0,$DO338,$B$8,1),OFFSET($M$15,0,0,$B$8,1))=EA$14))   /   SUM(OFFSET($BO$15,0,0,$B$14,1)) + $B$18/($B$19*$B$19*($DN338&lt;&gt;$DO338) + $B$19*($DN338=$DO338))</f>
        <v>3.7037037037037035E-4</v>
      </c>
      <c r="EB338" s="10" cm="1">
        <f t="array" aca="1" ref="EB338" ca="1">(1-$B$18)*SUMPRODUCT(OFFSET($BO$15,0,0,$B$14,1), 1*(_xlfn._xlws.FILTER(OFFSET($O$15,0,$DN338,$B$8,1),OFFSET($M$15,0,0,$B$8,1))=EB$13), 1*(_xlfn._xlws.FILTER(OFFSET($O$15,0,$DO338,$B$8,1),OFFSET($M$15,0,0,$B$8,1))=EB$14))   /   SUM(OFFSET($BO$15,0,0,$B$14,1)) + $B$18/($B$19*$B$19*($DN338&lt;&gt;$DO338) + $B$19*($DN338=$DO338))</f>
        <v>3.7037037037037035E-4</v>
      </c>
      <c r="EC338" s="10" cm="1">
        <f t="array" aca="1" ref="EC338" ca="1">(1-$B$18)*SUMPRODUCT(OFFSET($BO$15,0,0,$B$14,1), 1*(_xlfn._xlws.FILTER(OFFSET($O$15,0,$DN338,$B$8,1),OFFSET($M$15,0,0,$B$8,1))=EC$13), 1*(_xlfn._xlws.FILTER(OFFSET($O$15,0,$DO338,$B$8,1),OFFSET($M$15,0,0,$B$8,1))=EC$14))   /   SUM(OFFSET($BO$15,0,0,$B$14,1)) + $B$18/($B$19*$B$19*($DN338&lt;&gt;$DO338) + $B$19*($DN338=$DO338))</f>
        <v>3.7037037037037035E-4</v>
      </c>
      <c r="ED338" s="10" cm="1">
        <f t="array" aca="1" ref="ED338" ca="1">(1-$B$18)*SUMPRODUCT(OFFSET($BO$15,0,0,$B$14,1), 1*(_xlfn._xlws.FILTER(OFFSET($O$15,0,$DN338,$B$8,1),OFFSET($M$15,0,0,$B$8,1))=ED$13), 1*(_xlfn._xlws.FILTER(OFFSET($O$15,0,$DO338,$B$8,1),OFFSET($M$15,0,0,$B$8,1))=ED$14))   /   SUM(OFFSET($BO$15,0,0,$B$14,1)) + $B$18/($B$19*$B$19*($DN338&lt;&gt;$DO338) + $B$19*($DN338=$DO338))</f>
        <v>3.7037037037037035E-4</v>
      </c>
      <c r="EE338" s="10" cm="1">
        <f t="array" aca="1" ref="EE338" ca="1">(1-$B$18)*SUMPRODUCT(OFFSET($BO$15,0,0,$B$14,1), 1*(_xlfn._xlws.FILTER(OFFSET($O$15,0,$DN338,$B$8,1),OFFSET($M$15,0,0,$B$8,1))=EE$13), 1*(_xlfn._xlws.FILTER(OFFSET($O$15,0,$DO338,$B$8,1),OFFSET($M$15,0,0,$B$8,1))=EE$14))   /   SUM(OFFSET($BO$15,0,0,$B$14,1)) + $B$18/($B$19*$B$19*($DN338&lt;&gt;$DO338) + $B$19*($DN338=$DO338))</f>
        <v>3.7037037037037035E-4</v>
      </c>
      <c r="EF338" s="10" cm="1">
        <f t="array" aca="1" ref="EF338" ca="1">(1-$B$18)*SUMPRODUCT(OFFSET($BO$15,0,0,$B$14,1), 1*(_xlfn._xlws.FILTER(OFFSET($O$15,0,$DN338,$B$8,1),OFFSET($M$15,0,0,$B$8,1))=EF$13), 1*(_xlfn._xlws.FILTER(OFFSET($O$15,0,$DO338,$B$8,1),OFFSET($M$15,0,0,$B$8,1))=EF$14))   /   SUM(OFFSET($BO$15,0,0,$B$14,1)) + $B$18/($B$19*$B$19*($DN338&lt;&gt;$DO338) + $B$19*($DN338=$DO338))</f>
        <v>3.7037037037037035E-4</v>
      </c>
      <c r="EG338" s="10" cm="1">
        <f t="array" aca="1" ref="EG338" ca="1">(1-$B$18)*SUMPRODUCT(OFFSET($BO$15,0,0,$B$14,1), 1*(_xlfn._xlws.FILTER(OFFSET($O$15,0,$DN338,$B$8,1),OFFSET($M$15,0,0,$B$8,1))=EG$13), 1*(_xlfn._xlws.FILTER(OFFSET($O$15,0,$DO338,$B$8,1),OFFSET($M$15,0,0,$B$8,1))=EG$14))   /   SUM(OFFSET($BO$15,0,0,$B$14,1)) + $B$18/($B$19*$B$19*($DN338&lt;&gt;$DO338) + $B$19*($DN338=$DO338))</f>
        <v>3.7037037037037035E-4</v>
      </c>
      <c r="EH338" s="10" cm="1">
        <f t="array" aca="1" ref="EH338" ca="1">(1-$B$18)*SUMPRODUCT(OFFSET($BO$15,0,0,$B$14,1), 1*(_xlfn._xlws.FILTER(OFFSET($O$15,0,$DN338,$B$8,1),OFFSET($M$15,0,0,$B$8,1))=EH$13), 1*(_xlfn._xlws.FILTER(OFFSET($O$15,0,$DO338,$B$8,1),OFFSET($M$15,0,0,$B$8,1))=EH$14))   /   SUM(OFFSET($BO$15,0,0,$B$14,1)) + $B$18/($B$19*$B$19*($DN338&lt;&gt;$DO338) + $B$19*($DN338=$DO338))</f>
        <v>3.7037037037037035E-4</v>
      </c>
      <c r="EI338" s="10" cm="1">
        <f t="array" aca="1" ref="EI338" ca="1">(1-$B$18)*SUMPRODUCT(OFFSET($BO$15,0,0,$B$14,1), 1*(_xlfn._xlws.FILTER(OFFSET($O$15,0,$DN338,$B$8,1),OFFSET($M$15,0,0,$B$8,1))=EI$13), 1*(_xlfn._xlws.FILTER(OFFSET($O$15,0,$DO338,$B$8,1),OFFSET($M$15,0,0,$B$8,1))=EI$14))   /   SUM(OFFSET($BO$15,0,0,$B$14,1)) + $B$18/($B$19*$B$19*($DN338&lt;&gt;$DO338) + $B$19*($DN338=$DO338))</f>
        <v>3.7037037037037035E-4</v>
      </c>
      <c r="EJ338" s="10" cm="1">
        <f t="array" aca="1" ref="EJ338" ca="1">(1-$B$18)*SUMPRODUCT(OFFSET($BO$15,0,0,$B$14,1), 1*(_xlfn._xlws.FILTER(OFFSET($O$15,0,$DN338,$B$8,1),OFFSET($M$15,0,0,$B$8,1))=EJ$13), 1*(_xlfn._xlws.FILTER(OFFSET($O$15,0,$DO338,$B$8,1),OFFSET($M$15,0,0,$B$8,1))=EJ$14))   /   SUM(OFFSET($BO$15,0,0,$B$14,1)) + $B$18/($B$19*$B$19*($DN338&lt;&gt;$DO338) + $B$19*($DN338=$DO338))</f>
        <v>3.7037037037037035E-4</v>
      </c>
      <c r="EK338" s="10" cm="1">
        <f t="array" aca="1" ref="EK338" ca="1">(1-$B$18)*SUMPRODUCT(OFFSET($BO$15,0,0,$B$14,1), 1*(_xlfn._xlws.FILTER(OFFSET($O$15,0,$DN338,$B$8,1),OFFSET($M$15,0,0,$B$8,1))=EK$13), 1*(_xlfn._xlws.FILTER(OFFSET($O$15,0,$DO338,$B$8,1),OFFSET($M$15,0,0,$B$8,1))=EK$14))   /   SUM(OFFSET($BO$15,0,0,$B$14,1)) + $B$18/($B$19*$B$19*($DN338&lt;&gt;$DO338) + $B$19*($DN338=$DO338))</f>
        <v>3.7037037037037035E-4</v>
      </c>
      <c r="EL338" s="10" cm="1">
        <f t="array" aca="1" ref="EL338" ca="1">(1-$B$18)*SUMPRODUCT(OFFSET($BO$15,0,0,$B$14,1), 1*(_xlfn._xlws.FILTER(OFFSET($O$15,0,$DN338,$B$8,1),OFFSET($M$15,0,0,$B$8,1))=EL$13), 1*(_xlfn._xlws.FILTER(OFFSET($O$15,0,$DO338,$B$8,1),OFFSET($M$15,0,0,$B$8,1))=EL$14))   /   SUM(OFFSET($BO$15,0,0,$B$14,1)) + $B$18/($B$19*$B$19*($DN338&lt;&gt;$DO338) + $B$19*($DN338=$DO338))</f>
        <v>3.7037037037037035E-4</v>
      </c>
      <c r="EM338" s="10" cm="1">
        <f t="array" aca="1" ref="EM338" ca="1">(1-$B$18)*SUMPRODUCT(OFFSET($BO$15,0,0,$B$14,1), 1*(_xlfn._xlws.FILTER(OFFSET($O$15,0,$DN338,$B$8,1),OFFSET($M$15,0,0,$B$8,1))=EM$13), 1*(_xlfn._xlws.FILTER(OFFSET($O$15,0,$DO338,$B$8,1),OFFSET($M$15,0,0,$B$8,1))=EM$14))   /   SUM(OFFSET($BO$15,0,0,$B$14,1)) + $B$18/($B$19*$B$19*($DN338&lt;&gt;$DO338) + $B$19*($DN338=$DO338))</f>
        <v>3.7037037037037035E-4</v>
      </c>
      <c r="EN338" s="10" cm="1">
        <f t="array" aca="1" ref="EN338" ca="1">(1-$B$18)*SUMPRODUCT(OFFSET($BO$15,0,0,$B$14,1), 1*(_xlfn._xlws.FILTER(OFFSET($O$15,0,$DN338,$B$8,1),OFFSET($M$15,0,0,$B$8,1))=EN$13), 1*(_xlfn._xlws.FILTER(OFFSET($O$15,0,$DO338,$B$8,1),OFFSET($M$15,0,0,$B$8,1))=EN$14))   /   SUM(OFFSET($BO$15,0,0,$B$14,1)) + $B$18/($B$19*$B$19*($DN338&lt;&gt;$DO338) + $B$19*($DN338=$DO338))</f>
        <v>3.7037037037037035E-4</v>
      </c>
      <c r="EO338" s="10" cm="1">
        <f t="array" aca="1" ref="EO338" ca="1">(1-$B$18)*SUMPRODUCT(OFFSET($BO$15,0,0,$B$14,1), 1*(_xlfn._xlws.FILTER(OFFSET($O$15,0,$DN338,$B$8,1),OFFSET($M$15,0,0,$B$8,1))=EO$13), 1*(_xlfn._xlws.FILTER(OFFSET($O$15,0,$DO338,$B$8,1),OFFSET($M$15,0,0,$B$8,1))=EO$14))   /   SUM(OFFSET($BO$15,0,0,$B$14,1)) + $B$18/($B$19*$B$19*($DN338&lt;&gt;$DO338) + $B$19*($DN338=$DO338))</f>
        <v>3.7037037037037035E-4</v>
      </c>
      <c r="EP338" s="10" cm="1">
        <f t="array" aca="1" ref="EP338" ca="1">(1-$B$18)*SUMPRODUCT(OFFSET($BO$15,0,0,$B$14,1), 1*(_xlfn._xlws.FILTER(OFFSET($O$15,0,$DN338,$B$8,1),OFFSET($M$15,0,0,$B$8,1))=EP$13), 1*(_xlfn._xlws.FILTER(OFFSET($O$15,0,$DO338,$B$8,1),OFFSET($M$15,0,0,$B$8,1))=EP$14))   /   SUM(OFFSET($BO$15,0,0,$B$14,1)) + $B$18/($B$19*$B$19*($DN338&lt;&gt;$DO338) + $B$19*($DN338=$DO338))</f>
        <v>3.7037037037037035E-4</v>
      </c>
      <c r="EQ338" s="10" cm="1">
        <f t="array" aca="1" ref="EQ338" ca="1">(1-$B$18)*SUMPRODUCT(OFFSET($BO$15,0,0,$B$14,1), 1*(_xlfn._xlws.FILTER(OFFSET($O$15,0,$DN338,$B$8,1),OFFSET($M$15,0,0,$B$8,1))=EQ$13), 1*(_xlfn._xlws.FILTER(OFFSET($O$15,0,$DO338,$B$8,1),OFFSET($M$15,0,0,$B$8,1))=EQ$14))   /   SUM(OFFSET($BO$15,0,0,$B$14,1)) + $B$18/($B$19*$B$19*($DN338&lt;&gt;$DO338) + $B$19*($DN338=$DO338))</f>
        <v>3.7037037037037035E-4</v>
      </c>
      <c r="ER338" s="10" cm="1">
        <f t="array" aca="1" ref="ER338" ca="1">(1-$B$18)*SUMPRODUCT(OFFSET($BO$15,0,0,$B$14,1), 1*(_xlfn._xlws.FILTER(OFFSET($O$15,0,$DN338,$B$8,1),OFFSET($M$15,0,0,$B$8,1))=ER$13), 1*(_xlfn._xlws.FILTER(OFFSET($O$15,0,$DO338,$B$8,1),OFFSET($M$15,0,0,$B$8,1))=ER$14))   /   SUM(OFFSET($BO$15,0,0,$B$14,1)) + $B$18/($B$19*$B$19*($DN338&lt;&gt;$DO338) + $B$19*($DN338=$DO338))</f>
        <v>3.7037037037037035E-4</v>
      </c>
      <c r="ES338" s="10" cm="1">
        <f t="array" aca="1" ref="ES338" ca="1">(1-$B$18)*SUMPRODUCT(OFFSET($BO$15,0,0,$B$14,1), 1*(_xlfn._xlws.FILTER(OFFSET($O$15,0,$DN338,$B$8,1),OFFSET($M$15,0,0,$B$8,1))=ES$13), 1*(_xlfn._xlws.FILTER(OFFSET($O$15,0,$DO338,$B$8,1),OFFSET($M$15,0,0,$B$8,1))=ES$14))   /   SUM(OFFSET($BO$15,0,0,$B$14,1)) + $B$18/($B$19*$B$19*($DN338&lt;&gt;$DO338) + $B$19*($DN338=$DO338))</f>
        <v>3.7037037037037035E-4</v>
      </c>
      <c r="ET338" s="10" cm="1">
        <f t="array" aca="1" ref="ET338" ca="1">(1-$B$18)*SUMPRODUCT(OFFSET($BO$15,0,0,$B$14,1), 1*(_xlfn._xlws.FILTER(OFFSET($O$15,0,$DN338,$B$8,1),OFFSET($M$15,0,0,$B$8,1))=ET$13), 1*(_xlfn._xlws.FILTER(OFFSET($O$15,0,$DO338,$B$8,1),OFFSET($M$15,0,0,$B$8,1))=ET$14))   /   SUM(OFFSET($BO$15,0,0,$B$14,1)) + $B$18/($B$19*$B$19*($DN338&lt;&gt;$DO338) + $B$19*($DN338=$DO338))</f>
        <v>3.7037037037037035E-4</v>
      </c>
      <c r="EU338" s="10" cm="1">
        <f t="array" aca="1" ref="EU338" ca="1">(1-$B$18)*SUMPRODUCT(OFFSET($BO$15,0,0,$B$14,1), 1*(_xlfn._xlws.FILTER(OFFSET($O$15,0,$DN338,$B$8,1),OFFSET($M$15,0,0,$B$8,1))=EU$13), 1*(_xlfn._xlws.FILTER(OFFSET($O$15,0,$DO338,$B$8,1),OFFSET($M$15,0,0,$B$8,1))=EU$14))   /   SUM(OFFSET($BO$15,0,0,$B$14,1)) + $B$18/($B$19*$B$19*($DN338&lt;&gt;$DO338) + $B$19*($DN338=$DO338))</f>
        <v>3.7037037037037035E-4</v>
      </c>
      <c r="EV338" s="10" cm="1">
        <f t="array" aca="1" ref="EV338" ca="1">(1-$B$18)*SUMPRODUCT(OFFSET($BO$15,0,0,$B$14,1), 1*(_xlfn._xlws.FILTER(OFFSET($O$15,0,$DN338,$B$8,1),OFFSET($M$15,0,0,$B$8,1))=EV$13), 1*(_xlfn._xlws.FILTER(OFFSET($O$15,0,$DO338,$B$8,1),OFFSET($M$15,0,0,$B$8,1))=EV$14))   /   SUM(OFFSET($BO$15,0,0,$B$14,1)) + $B$18/($B$19*$B$19*($DN338&lt;&gt;$DO338) + $B$19*($DN338=$DO338))</f>
        <v>3.7037037037037035E-4</v>
      </c>
      <c r="EW338" s="10" cm="1">
        <f t="array" aca="1" ref="EW338" ca="1">(1-$B$18)*SUMPRODUCT(OFFSET($BO$15,0,0,$B$14,1), 1*(_xlfn._xlws.FILTER(OFFSET($O$15,0,$DN338,$B$8,1),OFFSET($M$15,0,0,$B$8,1))=EW$13), 1*(_xlfn._xlws.FILTER(OFFSET($O$15,0,$DO338,$B$8,1),OFFSET($M$15,0,0,$B$8,1))=EW$14))   /   SUM(OFFSET($BO$15,0,0,$B$14,1)) + $B$18/($B$19*$B$19*($DN338&lt;&gt;$DO338) + $B$19*($DN338=$DO338))</f>
        <v>3.7037037037037035E-4</v>
      </c>
      <c r="EX338" s="10" cm="1">
        <f t="array" aca="1" ref="EX338" ca="1">(1-$B$18)*SUMPRODUCT(OFFSET($BO$15,0,0,$B$14,1), 1*(_xlfn._xlws.FILTER(OFFSET($O$15,0,$DN338,$B$8,1),OFFSET($M$15,0,0,$B$8,1))=EX$13), 1*(_xlfn._xlws.FILTER(OFFSET($O$15,0,$DO338,$B$8,1),OFFSET($M$15,0,0,$B$8,1))=EX$14))   /   SUM(OFFSET($BO$15,0,0,$B$14,1)) + $B$18/($B$19*$B$19*($DN338&lt;&gt;$DO338) + $B$19*($DN338=$DO338))</f>
        <v>3.7037037037037035E-4</v>
      </c>
      <c r="EY338" s="10" cm="1">
        <f t="array" aca="1" ref="EY338" ca="1">(1-$B$18)*SUMPRODUCT(OFFSET($BO$15,0,0,$B$14,1), 1*(_xlfn._xlws.FILTER(OFFSET($O$15,0,$DN338,$B$8,1),OFFSET($M$15,0,0,$B$8,1))=EY$13), 1*(_xlfn._xlws.FILTER(OFFSET($O$15,0,$DO338,$B$8,1),OFFSET($M$15,0,0,$B$8,1))=EY$14))   /   SUM(OFFSET($BO$15,0,0,$B$14,1)) + $B$18/($B$19*$B$19*($DN338&lt;&gt;$DO338) + $B$19*($DN338=$DO338))</f>
        <v>3.7037037037037035E-4</v>
      </c>
      <c r="EZ338" s="10" cm="1">
        <f t="array" aca="1" ref="EZ338" ca="1">(1-$B$18)*SUMPRODUCT(OFFSET($BO$15,0,0,$B$14,1), 1*(_xlfn._xlws.FILTER(OFFSET($O$15,0,$DN338,$B$8,1),OFFSET($M$15,0,0,$B$8,1))=EZ$13), 1*(_xlfn._xlws.FILTER(OFFSET($O$15,0,$DO338,$B$8,1),OFFSET($M$15,0,0,$B$8,1))=EZ$14))   /   SUM(OFFSET($BO$15,0,0,$B$14,1)) + $B$18/($B$19*$B$19*($DN338&lt;&gt;$DO338) + $B$19*($DN338=$DO338))</f>
        <v>3.7037037037037035E-4</v>
      </c>
      <c r="FA338" s="10" cm="1">
        <f t="array" aca="1" ref="FA338" ca="1">(1-$B$18)*SUMPRODUCT(OFFSET($BO$15,0,0,$B$14,1), 1*(_xlfn._xlws.FILTER(OFFSET($O$15,0,$DN338,$B$8,1),OFFSET($M$15,0,0,$B$8,1))=FA$13), 1*(_xlfn._xlws.FILTER(OFFSET($O$15,0,$DO338,$B$8,1),OFFSET($M$15,0,0,$B$8,1))=FA$14))   /   SUM(OFFSET($BO$15,0,0,$B$14,1)) + $B$18/($B$19*$B$19*($DN338&lt;&gt;$DO338) + $B$19*($DN338=$DO338))</f>
        <v>3.7037037037037035E-4</v>
      </c>
      <c r="FB338" s="10" cm="1">
        <f t="array" aca="1" ref="FB338" ca="1">(1-$B$18)*SUMPRODUCT(OFFSET($BO$15,0,0,$B$14,1), 1*(_xlfn._xlws.FILTER(OFFSET($O$15,0,$DN338,$B$8,1),OFFSET($M$15,0,0,$B$8,1))=FB$13), 1*(_xlfn._xlws.FILTER(OFFSET($O$15,0,$DO338,$B$8,1),OFFSET($M$15,0,0,$B$8,1))=FB$14))   /   SUM(OFFSET($BO$15,0,0,$B$14,1)) + $B$18/($B$19*$B$19*($DN338&lt;&gt;$DO338) + $B$19*($DN338=$DO338))</f>
        <v>0.24287037037037024</v>
      </c>
      <c r="FC338" s="10" cm="1">
        <f t="array" aca="1" ref="FC338" ca="1">(1-$B$18)*SUMPRODUCT(OFFSET($BO$15,0,0,$B$14,1), 1*(_xlfn._xlws.FILTER(OFFSET($O$15,0,$DN338,$B$8,1),OFFSET($M$15,0,0,$B$8,1))=FC$13), 1*(_xlfn._xlws.FILTER(OFFSET($O$15,0,$DO338,$B$8,1),OFFSET($M$15,0,0,$B$8,1))=FC$14))   /   SUM(OFFSET($BO$15,0,0,$B$14,1)) + $B$18/($B$19*$B$19*($DN338&lt;&gt;$DO338) + $B$19*($DN338=$DO338))</f>
        <v>3.7037037037037035E-4</v>
      </c>
      <c r="FD338" s="10" cm="1">
        <f t="array" aca="1" ref="FD338" ca="1">(1-$B$18)*SUMPRODUCT(OFFSET($BO$15,0,0,$B$14,1), 1*(_xlfn._xlws.FILTER(OFFSET($O$15,0,$DN338,$B$8,1),OFFSET($M$15,0,0,$B$8,1))=FD$13), 1*(_xlfn._xlws.FILTER(OFFSET($O$15,0,$DO338,$B$8,1),OFFSET($M$15,0,0,$B$8,1))=FD$14))   /   SUM(OFFSET($BO$15,0,0,$B$14,1)) + $B$18/($B$19*$B$19*($DN338&lt;&gt;$DO338) + $B$19*($DN338=$DO338))</f>
        <v>3.7037037037037035E-4</v>
      </c>
      <c r="FE338" s="10" cm="1">
        <f t="array" aca="1" ref="FE338" ca="1">(1-$B$18)*SUMPRODUCT(OFFSET($BO$15,0,0,$B$14,1), 1*(_xlfn._xlws.FILTER(OFFSET($O$15,0,$DN338,$B$8,1),OFFSET($M$15,0,0,$B$8,1))=FE$13), 1*(_xlfn._xlws.FILTER(OFFSET($O$15,0,$DO338,$B$8,1),OFFSET($M$15,0,0,$B$8,1))=FE$14))   /   SUM(OFFSET($BO$15,0,0,$B$14,1)) + $B$18/($B$19*$B$19*($DN338&lt;&gt;$DO338) + $B$19*($DN338=$DO338))</f>
        <v>3.7037037037037035E-4</v>
      </c>
      <c r="FF338" s="10" cm="1">
        <f t="array" aca="1" ref="FF338" ca="1">(1-$B$18)*SUMPRODUCT(OFFSET($BO$15,0,0,$B$14,1), 1*(_xlfn._xlws.FILTER(OFFSET($O$15,0,$DN338,$B$8,1),OFFSET($M$15,0,0,$B$8,1))=FF$13), 1*(_xlfn._xlws.FILTER(OFFSET($O$15,0,$DO338,$B$8,1),OFFSET($M$15,0,0,$B$8,1))=FF$14))   /   SUM(OFFSET($BO$15,0,0,$B$14,1)) + $B$18/($B$19*$B$19*($DN338&lt;&gt;$DO338) + $B$19*($DN338=$DO338))</f>
        <v>3.7037037037037035E-4</v>
      </c>
      <c r="FG338" s="10" cm="1">
        <f t="array" aca="1" ref="FG338" ca="1">(1-$B$18)*SUMPRODUCT(OFFSET($BO$15,0,0,$B$14,1), 1*(_xlfn._xlws.FILTER(OFFSET($O$15,0,$DN338,$B$8,1),OFFSET($M$15,0,0,$B$8,1))=FG$13), 1*(_xlfn._xlws.FILTER(OFFSET($O$15,0,$DO338,$B$8,1),OFFSET($M$15,0,0,$B$8,1))=FG$14))   /   SUM(OFFSET($BO$15,0,0,$B$14,1)) + $B$18/($B$19*$B$19*($DN338&lt;&gt;$DO338) + $B$19*($DN338=$DO338))</f>
        <v>3.7037037037037035E-4</v>
      </c>
      <c r="FH338" s="10" cm="1">
        <f t="array" aca="1" ref="FH338" ca="1">(1-$B$18)*SUMPRODUCT(OFFSET($BO$15,0,0,$B$14,1), 1*(_xlfn._xlws.FILTER(OFFSET($O$15,0,$DN338,$B$8,1),OFFSET($M$15,0,0,$B$8,1))=FH$13), 1*(_xlfn._xlws.FILTER(OFFSET($O$15,0,$DO338,$B$8,1),OFFSET($M$15,0,0,$B$8,1))=FH$14))   /   SUM(OFFSET($BO$15,0,0,$B$14,1)) + $B$18/($B$19*$B$19*($DN338&lt;&gt;$DO338) + $B$19*($DN338=$DO338))</f>
        <v>3.7037037037037035E-4</v>
      </c>
      <c r="FI338" s="10" cm="1">
        <f t="array" aca="1" ref="FI338" ca="1">(1-$B$18)*SUMPRODUCT(OFFSET($BO$15,0,0,$B$14,1), 1*(_xlfn._xlws.FILTER(OFFSET($O$15,0,$DN338,$B$8,1),OFFSET($M$15,0,0,$B$8,1))=FI$13), 1*(_xlfn._xlws.FILTER(OFFSET($O$15,0,$DO338,$B$8,1),OFFSET($M$15,0,0,$B$8,1))=FI$14))   /   SUM(OFFSET($BO$15,0,0,$B$14,1)) + $B$18/($B$19*$B$19*($DN338&lt;&gt;$DO338) + $B$19*($DN338=$DO338))</f>
        <v>3.7037037037037035E-4</v>
      </c>
      <c r="FJ338" s="10" cm="1">
        <f t="array" aca="1" ref="FJ338" ca="1">(1-$B$18)*SUMPRODUCT(OFFSET($BO$15,0,0,$B$14,1), 1*(_xlfn._xlws.FILTER(OFFSET($O$15,0,$DN338,$B$8,1),OFFSET($M$15,0,0,$B$8,1))=FJ$13), 1*(_xlfn._xlws.FILTER(OFFSET($O$15,0,$DO338,$B$8,1),OFFSET($M$15,0,0,$B$8,1))=FJ$14))   /   SUM(OFFSET($BO$15,0,0,$B$14,1)) + $B$18/($B$19*$B$19*($DN338&lt;&gt;$DO338) + $B$19*($DN338=$DO338))</f>
        <v>0.24287037037037026</v>
      </c>
      <c r="FK338" s="10" cm="1">
        <f t="array" aca="1" ref="FK338" ca="1">(1-$B$18)*SUMPRODUCT(OFFSET($BO$15,0,0,$B$14,1), 1*(_xlfn._xlws.FILTER(OFFSET($O$15,0,$DN338,$B$8,1),OFFSET($M$15,0,0,$B$8,1))=FK$13), 1*(_xlfn._xlws.FILTER(OFFSET($O$15,0,$DO338,$B$8,1),OFFSET($M$15,0,0,$B$8,1))=FK$14))   /   SUM(OFFSET($BO$15,0,0,$B$14,1)) + $B$18/($B$19*$B$19*($DN338&lt;&gt;$DO338) + $B$19*($DN338=$DO338))</f>
        <v>3.7037037037037035E-4</v>
      </c>
      <c r="FL338" s="10" cm="1">
        <f t="array" aca="1" ref="FL338" ca="1">(1-$B$18)*SUMPRODUCT(OFFSET($BO$15,0,0,$B$14,1), 1*(_xlfn._xlws.FILTER(OFFSET($O$15,0,$DN338,$B$8,1),OFFSET($M$15,0,0,$B$8,1))=FL$13), 1*(_xlfn._xlws.FILTER(OFFSET($O$15,0,$DO338,$B$8,1),OFFSET($M$15,0,0,$B$8,1))=FL$14))   /   SUM(OFFSET($BO$15,0,0,$B$14,1)) + $B$18/($B$19*$B$19*($DN338&lt;&gt;$DO338) + $B$19*($DN338=$DO338))</f>
        <v>3.7037037037037035E-4</v>
      </c>
      <c r="FM338" s="10" cm="1">
        <f t="array" aca="1" ref="FM338" ca="1">(1-$B$18)*SUMPRODUCT(OFFSET($BO$15,0,0,$B$14,1), 1*(_xlfn._xlws.FILTER(OFFSET($O$15,0,$DN338,$B$8,1),OFFSET($M$15,0,0,$B$8,1))=FM$13), 1*(_xlfn._xlws.FILTER(OFFSET($O$15,0,$DO338,$B$8,1),OFFSET($M$15,0,0,$B$8,1))=FM$14))   /   SUM(OFFSET($BO$15,0,0,$B$14,1)) + $B$18/($B$19*$B$19*($DN338&lt;&gt;$DO338) + $B$19*($DN338=$DO338))</f>
        <v>3.7037037037037035E-4</v>
      </c>
      <c r="FN338" s="10" cm="1">
        <f t="array" aca="1" ref="FN338" ca="1">(1-$B$18)*SUMPRODUCT(OFFSET($BO$15,0,0,$B$14,1), 1*(_xlfn._xlws.FILTER(OFFSET($O$15,0,$DN338,$B$8,1),OFFSET($M$15,0,0,$B$8,1))=FN$13), 1*(_xlfn._xlws.FILTER(OFFSET($O$15,0,$DO338,$B$8,1),OFFSET($M$15,0,0,$B$8,1))=FN$14))   /   SUM(OFFSET($BO$15,0,0,$B$14,1)) + $B$18/($B$19*$B$19*($DN338&lt;&gt;$DO338) + $B$19*($DN338=$DO338))</f>
        <v>3.7037037037037035E-4</v>
      </c>
      <c r="FO338" s="10" cm="1">
        <f t="array" aca="1" ref="FO338" ca="1">(1-$B$18)*SUMPRODUCT(OFFSET($BO$15,0,0,$B$14,1), 1*(_xlfn._xlws.FILTER(OFFSET($O$15,0,$DN338,$B$8,1),OFFSET($M$15,0,0,$B$8,1))=FO$13), 1*(_xlfn._xlws.FILTER(OFFSET($O$15,0,$DO338,$B$8,1),OFFSET($M$15,0,0,$B$8,1))=FO$14))   /   SUM(OFFSET($BO$15,0,0,$B$14,1)) + $B$18/($B$19*$B$19*($DN338&lt;&gt;$DO338) + $B$19*($DN338=$DO338))</f>
        <v>3.7037037037037035E-4</v>
      </c>
      <c r="FP338" s="10" cm="1">
        <f t="array" aca="1" ref="FP338" ca="1">(1-$B$18)*SUMPRODUCT(OFFSET($BO$15,0,0,$B$14,1), 1*(_xlfn._xlws.FILTER(OFFSET($O$15,0,$DN338,$B$8,1),OFFSET($M$15,0,0,$B$8,1))=FP$13), 1*(_xlfn._xlws.FILTER(OFFSET($O$15,0,$DO338,$B$8,1),OFFSET($M$15,0,0,$B$8,1))=FP$14))   /   SUM(OFFSET($BO$15,0,0,$B$14,1)) + $B$18/($B$19*$B$19*($DN338&lt;&gt;$DO338) + $B$19*($DN338=$DO338))</f>
        <v>3.7037037037037035E-4</v>
      </c>
      <c r="FQ338" s="10" cm="1">
        <f t="array" aca="1" ref="FQ338" ca="1">(1-$B$18)*SUMPRODUCT(OFFSET($BO$15,0,0,$B$14,1), 1*(_xlfn._xlws.FILTER(OFFSET($O$15,0,$DN338,$B$8,1),OFFSET($M$15,0,0,$B$8,1))=FQ$13), 1*(_xlfn._xlws.FILTER(OFFSET($O$15,0,$DO338,$B$8,1),OFFSET($M$15,0,0,$B$8,1))=FQ$14))   /   SUM(OFFSET($BO$15,0,0,$B$14,1)) + $B$18/($B$19*$B$19*($DN338&lt;&gt;$DO338) + $B$19*($DN338=$DO338))</f>
        <v>3.7037037037037035E-4</v>
      </c>
      <c r="FR338" s="10" cm="1">
        <f t="array" aca="1" ref="FR338" ca="1">(1-$B$18)*SUMPRODUCT(OFFSET($BO$15,0,0,$B$14,1), 1*(_xlfn._xlws.FILTER(OFFSET($O$15,0,$DN338,$B$8,1),OFFSET($M$15,0,0,$B$8,1))=FR$13), 1*(_xlfn._xlws.FILTER(OFFSET($O$15,0,$DO338,$B$8,1),OFFSET($M$15,0,0,$B$8,1))=FR$14))   /   SUM(OFFSET($BO$15,0,0,$B$14,1)) + $B$18/($B$19*$B$19*($DN338&lt;&gt;$DO338) + $B$19*($DN338=$DO338))</f>
        <v>0.48537037037037012</v>
      </c>
      <c r="FS338" s="10" cm="1">
        <f t="array" aca="1" ref="FS338" ca="1">(1-$B$18)*SUMPRODUCT(OFFSET($BO$15,0,0,$B$14,1), 1*(_xlfn._xlws.FILTER(OFFSET($O$15,0,$DN338,$B$8,1),OFFSET($M$15,0,0,$B$8,1))=FS$13), 1*(_xlfn._xlws.FILTER(OFFSET($O$15,0,$DO338,$B$8,1),OFFSET($M$15,0,0,$B$8,1))=FS$14))   /   SUM(OFFSET($BO$15,0,0,$B$14,1)) + $B$18/($B$19*$B$19*($DN338&lt;&gt;$DO338) + $B$19*($DN338=$DO338))</f>
        <v>3.7037037037037035E-4</v>
      </c>
      <c r="FT338" s="10" cm="1">
        <f t="array" aca="1" ref="FT338" ca="1">(1-$B$18)*SUMPRODUCT(OFFSET($BO$15,0,0,$B$14,1), 1*(_xlfn._xlws.FILTER(OFFSET($O$15,0,$DN338,$B$8,1),OFFSET($M$15,0,0,$B$8,1))=FT$13), 1*(_xlfn._xlws.FILTER(OFFSET($O$15,0,$DO338,$B$8,1),OFFSET($M$15,0,0,$B$8,1))=FT$14))   /   SUM(OFFSET($BO$15,0,0,$B$14,1)) + $B$18/($B$19*$B$19*($DN338&lt;&gt;$DO338) + $B$19*($DN338=$DO338))</f>
        <v>3.7037037037037035E-4</v>
      </c>
      <c r="FU338" s="10" cm="1">
        <f t="array" aca="1" ref="FU338" ca="1">(1-$B$18)*SUMPRODUCT(OFFSET($BO$15,0,0,$B$14,1), 1*(_xlfn._xlws.FILTER(OFFSET($O$15,0,$DN338,$B$8,1),OFFSET($M$15,0,0,$B$8,1))=FU$13), 1*(_xlfn._xlws.FILTER(OFFSET($O$15,0,$DO338,$B$8,1),OFFSET($M$15,0,0,$B$8,1))=FU$14))   /   SUM(OFFSET($BO$15,0,0,$B$14,1)) + $B$18/($B$19*$B$19*($DN338&lt;&gt;$DO338) + $B$19*($DN338=$DO338))</f>
        <v>3.7037037037037035E-4</v>
      </c>
      <c r="FV338" s="10" cm="1">
        <f t="array" aca="1" ref="FV338" ca="1">(1-$B$18)*SUMPRODUCT(OFFSET($BO$15,0,0,$B$14,1), 1*(_xlfn._xlws.FILTER(OFFSET($O$15,0,$DN338,$B$8,1),OFFSET($M$15,0,0,$B$8,1))=FV$13), 1*(_xlfn._xlws.FILTER(OFFSET($O$15,0,$DO338,$B$8,1),OFFSET($M$15,0,0,$B$8,1))=FV$14))   /   SUM(OFFSET($BO$15,0,0,$B$14,1)) + $B$18/($B$19*$B$19*($DN338&lt;&gt;$DO338) + $B$19*($DN338=$DO338))</f>
        <v>3.7037037037037035E-4</v>
      </c>
      <c r="FW338" s="10" cm="1">
        <f t="array" aca="1" ref="FW338" ca="1">(1-$B$18)*SUMPRODUCT(OFFSET($BO$15,0,0,$B$14,1), 1*(_xlfn._xlws.FILTER(OFFSET($O$15,0,$DN338,$B$8,1),OFFSET($M$15,0,0,$B$8,1))=FW$13), 1*(_xlfn._xlws.FILTER(OFFSET($O$15,0,$DO338,$B$8,1),OFFSET($M$15,0,0,$B$8,1))=FW$14))   /   SUM(OFFSET($BO$15,0,0,$B$14,1)) + $B$18/($B$19*$B$19*($DN338&lt;&gt;$DO338) + $B$19*($DN338=$DO338))</f>
        <v>3.7037037037037035E-4</v>
      </c>
      <c r="FX338" s="10" cm="1">
        <f t="array" aca="1" ref="FX338" ca="1">(1-$B$18)*SUMPRODUCT(OFFSET($BO$15,0,0,$B$14,1), 1*(_xlfn._xlws.FILTER(OFFSET($O$15,0,$DN338,$B$8,1),OFFSET($M$15,0,0,$B$8,1))=FX$13), 1*(_xlfn._xlws.FILTER(OFFSET($O$15,0,$DO338,$B$8,1),OFFSET($M$15,0,0,$B$8,1))=FX$14))   /   SUM(OFFSET($BO$15,0,0,$B$14,1)) + $B$18/($B$19*$B$19*($DN338&lt;&gt;$DO338) + $B$19*($DN338=$DO338))</f>
        <v>3.7037037037037035E-4</v>
      </c>
      <c r="FY338" s="10" cm="1">
        <f t="array" aca="1" ref="FY338" ca="1">(1-$B$18)*SUMPRODUCT(OFFSET($BO$15,0,0,$B$14,1), 1*(_xlfn._xlws.FILTER(OFFSET($O$15,0,$DN338,$B$8,1),OFFSET($M$15,0,0,$B$8,1))=FY$13), 1*(_xlfn._xlws.FILTER(OFFSET($O$15,0,$DO338,$B$8,1),OFFSET($M$15,0,0,$B$8,1))=FY$14))   /   SUM(OFFSET($BO$15,0,0,$B$14,1)) + $B$18/($B$19*$B$19*($DN338&lt;&gt;$DO338) + $B$19*($DN338=$DO338))</f>
        <v>3.7037037037037035E-4</v>
      </c>
      <c r="FZ338" s="10" cm="1">
        <f t="array" aca="1" ref="FZ338" ca="1">(1-$B$18)*SUMPRODUCT(OFFSET($BO$15,0,0,$B$14,1), 1*(_xlfn._xlws.FILTER(OFFSET($O$15,0,$DN338,$B$8,1),OFFSET($M$15,0,0,$B$8,1))=FZ$13), 1*(_xlfn._xlws.FILTER(OFFSET($O$15,0,$DO338,$B$8,1),OFFSET($M$15,0,0,$B$8,1))=FZ$14))   /   SUM(OFFSET($BO$15,0,0,$B$14,1)) + $B$18/($B$19*$B$19*($DN338&lt;&gt;$DO338) + $B$19*($DN338=$DO338))</f>
        <v>3.7037037037037035E-4</v>
      </c>
      <c r="GA338" s="10" cm="1">
        <f t="array" aca="1" ref="GA338" ca="1">(1-$B$18)*SUMPRODUCT(OFFSET($BO$15,0,0,$B$14,1), 1*(_xlfn._xlws.FILTER(OFFSET($O$15,0,$DN338,$B$8,1),OFFSET($M$15,0,0,$B$8,1))=GA$13), 1*(_xlfn._xlws.FILTER(OFFSET($O$15,0,$DO338,$B$8,1),OFFSET($M$15,0,0,$B$8,1))=GA$14))   /   SUM(OFFSET($BO$15,0,0,$B$14,1)) + $B$18/($B$19*$B$19*($DN338&lt;&gt;$DO338) + $B$19*($DN338=$DO338))</f>
        <v>3.7037037037037035E-4</v>
      </c>
    </row>
    <row r="339" spans="118:183" x14ac:dyDescent="0.2">
      <c r="DN339" cm="1">
        <f t="array" aca="1" ref="DN339" ca="1">INDEX(_xlfn.ANCHORARRAY($CP$15), 1 + INT((ROWS($DO$15:$DO339) - 1) / ROWS(_xlfn.ANCHORARRAY($CP$15))))</f>
        <v>20</v>
      </c>
      <c r="DO339" cm="1">
        <f t="array" aca="1" ref="DO339" ca="1">INDEX(_xlfn.ANCHORARRAY($CP$15),1+MOD(ROWS($DO$15:$DO339)-1,ROWS(_xlfn.ANCHORARRAY($CP$15))))</f>
        <v>1</v>
      </c>
      <c r="DP339" s="10" cm="1">
        <f t="array" aca="1" ref="DP339" ca="1">(1-$B$18)*SUMPRODUCT(OFFSET($BO$15,0,0,$B$14,1), 1*(_xlfn._xlws.FILTER(OFFSET($O$15,0,$DN339,$B$8,1),OFFSET($M$15,0,0,$B$8,1))=DP$13), 1*(_xlfn._xlws.FILTER(OFFSET($O$15,0,$DO339,$B$8,1),OFFSET($M$15,0,0,$B$8,1))=DP$14))   /   SUM(OFFSET($BO$15,0,0,$B$14,1)) + $B$18/($B$19*$B$19*($DN339&lt;&gt;$DO339) + $B$19*($DN339=$DO339))</f>
        <v>3.7037037037037035E-4</v>
      </c>
      <c r="DQ339" s="10" cm="1">
        <f t="array" aca="1" ref="DQ339" ca="1">(1-$B$18)*SUMPRODUCT(OFFSET($BO$15,0,0,$B$14,1), 1*(_xlfn._xlws.FILTER(OFFSET($O$15,0,$DN339,$B$8,1),OFFSET($M$15,0,0,$B$8,1))=DQ$13), 1*(_xlfn._xlws.FILTER(OFFSET($O$15,0,$DO339,$B$8,1),OFFSET($M$15,0,0,$B$8,1))=DQ$14))   /   SUM(OFFSET($BO$15,0,0,$B$14,1)) + $B$18/($B$19*$B$19*($DN339&lt;&gt;$DO339) + $B$19*($DN339=$DO339))</f>
        <v>3.7037037037037035E-4</v>
      </c>
      <c r="DR339" s="10" cm="1">
        <f t="array" aca="1" ref="DR339" ca="1">(1-$B$18)*SUMPRODUCT(OFFSET($BO$15,0,0,$B$14,1), 1*(_xlfn._xlws.FILTER(OFFSET($O$15,0,$DN339,$B$8,1),OFFSET($M$15,0,0,$B$8,1))=DR$13), 1*(_xlfn._xlws.FILTER(OFFSET($O$15,0,$DO339,$B$8,1),OFFSET($M$15,0,0,$B$8,1))=DR$14))   /   SUM(OFFSET($BO$15,0,0,$B$14,1)) + $B$18/($B$19*$B$19*($DN339&lt;&gt;$DO339) + $B$19*($DN339=$DO339))</f>
        <v>3.7037037037037035E-4</v>
      </c>
      <c r="DS339" s="10" cm="1">
        <f t="array" aca="1" ref="DS339" ca="1">(1-$B$18)*SUMPRODUCT(OFFSET($BO$15,0,0,$B$14,1), 1*(_xlfn._xlws.FILTER(OFFSET($O$15,0,$DN339,$B$8,1),OFFSET($M$15,0,0,$B$8,1))=DS$13), 1*(_xlfn._xlws.FILTER(OFFSET($O$15,0,$DO339,$B$8,1),OFFSET($M$15,0,0,$B$8,1))=DS$14))   /   SUM(OFFSET($BO$15,0,0,$B$14,1)) + $B$18/($B$19*$B$19*($DN339&lt;&gt;$DO339) + $B$19*($DN339=$DO339))</f>
        <v>3.7037037037037035E-4</v>
      </c>
      <c r="DT339" s="10" cm="1">
        <f t="array" aca="1" ref="DT339" ca="1">(1-$B$18)*SUMPRODUCT(OFFSET($BO$15,0,0,$B$14,1), 1*(_xlfn._xlws.FILTER(OFFSET($O$15,0,$DN339,$B$8,1),OFFSET($M$15,0,0,$B$8,1))=DT$13), 1*(_xlfn._xlws.FILTER(OFFSET($O$15,0,$DO339,$B$8,1),OFFSET($M$15,0,0,$B$8,1))=DT$14))   /   SUM(OFFSET($BO$15,0,0,$B$14,1)) + $B$18/($B$19*$B$19*($DN339&lt;&gt;$DO339) + $B$19*($DN339=$DO339))</f>
        <v>3.7037037037037035E-4</v>
      </c>
      <c r="DU339" s="10" cm="1">
        <f t="array" aca="1" ref="DU339" ca="1">(1-$B$18)*SUMPRODUCT(OFFSET($BO$15,0,0,$B$14,1), 1*(_xlfn._xlws.FILTER(OFFSET($O$15,0,$DN339,$B$8,1),OFFSET($M$15,0,0,$B$8,1))=DU$13), 1*(_xlfn._xlws.FILTER(OFFSET($O$15,0,$DO339,$B$8,1),OFFSET($M$15,0,0,$B$8,1))=DU$14))   /   SUM(OFFSET($BO$15,0,0,$B$14,1)) + $B$18/($B$19*$B$19*($DN339&lt;&gt;$DO339) + $B$19*($DN339=$DO339))</f>
        <v>3.7037037037037035E-4</v>
      </c>
      <c r="DV339" s="10" cm="1">
        <f t="array" aca="1" ref="DV339" ca="1">(1-$B$18)*SUMPRODUCT(OFFSET($BO$15,0,0,$B$14,1), 1*(_xlfn._xlws.FILTER(OFFSET($O$15,0,$DN339,$B$8,1),OFFSET($M$15,0,0,$B$8,1))=DV$13), 1*(_xlfn._xlws.FILTER(OFFSET($O$15,0,$DO339,$B$8,1),OFFSET($M$15,0,0,$B$8,1))=DV$14))   /   SUM(OFFSET($BO$15,0,0,$B$14,1)) + $B$18/($B$19*$B$19*($DN339&lt;&gt;$DO339) + $B$19*($DN339=$DO339))</f>
        <v>3.7037037037037035E-4</v>
      </c>
      <c r="DW339" s="10" cm="1">
        <f t="array" aca="1" ref="DW339" ca="1">(1-$B$18)*SUMPRODUCT(OFFSET($BO$15,0,0,$B$14,1), 1*(_xlfn._xlws.FILTER(OFFSET($O$15,0,$DN339,$B$8,1),OFFSET($M$15,0,0,$B$8,1))=DW$13), 1*(_xlfn._xlws.FILTER(OFFSET($O$15,0,$DO339,$B$8,1),OFFSET($M$15,0,0,$B$8,1))=DW$14))   /   SUM(OFFSET($BO$15,0,0,$B$14,1)) + $B$18/($B$19*$B$19*($DN339&lt;&gt;$DO339) + $B$19*($DN339=$DO339))</f>
        <v>3.7037037037037035E-4</v>
      </c>
      <c r="DX339" s="10" cm="1">
        <f t="array" aca="1" ref="DX339" ca="1">(1-$B$18)*SUMPRODUCT(OFFSET($BO$15,0,0,$B$14,1), 1*(_xlfn._xlws.FILTER(OFFSET($O$15,0,$DN339,$B$8,1),OFFSET($M$15,0,0,$B$8,1))=DX$13), 1*(_xlfn._xlws.FILTER(OFFSET($O$15,0,$DO339,$B$8,1),OFFSET($M$15,0,0,$B$8,1))=DX$14))   /   SUM(OFFSET($BO$15,0,0,$B$14,1)) + $B$18/($B$19*$B$19*($DN339&lt;&gt;$DO339) + $B$19*($DN339=$DO339))</f>
        <v>3.7037037037037035E-4</v>
      </c>
      <c r="DY339" s="10" cm="1">
        <f t="array" aca="1" ref="DY339" ca="1">(1-$B$18)*SUMPRODUCT(OFFSET($BO$15,0,0,$B$14,1), 1*(_xlfn._xlws.FILTER(OFFSET($O$15,0,$DN339,$B$8,1),OFFSET($M$15,0,0,$B$8,1))=DY$13), 1*(_xlfn._xlws.FILTER(OFFSET($O$15,0,$DO339,$B$8,1),OFFSET($M$15,0,0,$B$8,1))=DY$14))   /   SUM(OFFSET($BO$15,0,0,$B$14,1)) + $B$18/($B$19*$B$19*($DN339&lt;&gt;$DO339) + $B$19*($DN339=$DO339))</f>
        <v>3.7037037037037035E-4</v>
      </c>
      <c r="DZ339" s="10" cm="1">
        <f t="array" aca="1" ref="DZ339" ca="1">(1-$B$18)*SUMPRODUCT(OFFSET($BO$15,0,0,$B$14,1), 1*(_xlfn._xlws.FILTER(OFFSET($O$15,0,$DN339,$B$8,1),OFFSET($M$15,0,0,$B$8,1))=DZ$13), 1*(_xlfn._xlws.FILTER(OFFSET($O$15,0,$DO339,$B$8,1),OFFSET($M$15,0,0,$B$8,1))=DZ$14))   /   SUM(OFFSET($BO$15,0,0,$B$14,1)) + $B$18/($B$19*$B$19*($DN339&lt;&gt;$DO339) + $B$19*($DN339=$DO339))</f>
        <v>3.7037037037037035E-4</v>
      </c>
      <c r="EA339" s="10" cm="1">
        <f t="array" aca="1" ref="EA339" ca="1">(1-$B$18)*SUMPRODUCT(OFFSET($BO$15,0,0,$B$14,1), 1*(_xlfn._xlws.FILTER(OFFSET($O$15,0,$DN339,$B$8,1),OFFSET($M$15,0,0,$B$8,1))=EA$13), 1*(_xlfn._xlws.FILTER(OFFSET($O$15,0,$DO339,$B$8,1),OFFSET($M$15,0,0,$B$8,1))=EA$14))   /   SUM(OFFSET($BO$15,0,0,$B$14,1)) + $B$18/($B$19*$B$19*($DN339&lt;&gt;$DO339) + $B$19*($DN339=$DO339))</f>
        <v>3.7037037037037035E-4</v>
      </c>
      <c r="EB339" s="10" cm="1">
        <f t="array" aca="1" ref="EB339" ca="1">(1-$B$18)*SUMPRODUCT(OFFSET($BO$15,0,0,$B$14,1), 1*(_xlfn._xlws.FILTER(OFFSET($O$15,0,$DN339,$B$8,1),OFFSET($M$15,0,0,$B$8,1))=EB$13), 1*(_xlfn._xlws.FILTER(OFFSET($O$15,0,$DO339,$B$8,1),OFFSET($M$15,0,0,$B$8,1))=EB$14))   /   SUM(OFFSET($BO$15,0,0,$B$14,1)) + $B$18/($B$19*$B$19*($DN339&lt;&gt;$DO339) + $B$19*($DN339=$DO339))</f>
        <v>3.7037037037037035E-4</v>
      </c>
      <c r="EC339" s="10" cm="1">
        <f t="array" aca="1" ref="EC339" ca="1">(1-$B$18)*SUMPRODUCT(OFFSET($BO$15,0,0,$B$14,1), 1*(_xlfn._xlws.FILTER(OFFSET($O$15,0,$DN339,$B$8,1),OFFSET($M$15,0,0,$B$8,1))=EC$13), 1*(_xlfn._xlws.FILTER(OFFSET($O$15,0,$DO339,$B$8,1),OFFSET($M$15,0,0,$B$8,1))=EC$14))   /   SUM(OFFSET($BO$15,0,0,$B$14,1)) + $B$18/($B$19*$B$19*($DN339&lt;&gt;$DO339) + $B$19*($DN339=$DO339))</f>
        <v>3.7037037037037035E-4</v>
      </c>
      <c r="ED339" s="10" cm="1">
        <f t="array" aca="1" ref="ED339" ca="1">(1-$B$18)*SUMPRODUCT(OFFSET($BO$15,0,0,$B$14,1), 1*(_xlfn._xlws.FILTER(OFFSET($O$15,0,$DN339,$B$8,1),OFFSET($M$15,0,0,$B$8,1))=ED$13), 1*(_xlfn._xlws.FILTER(OFFSET($O$15,0,$DO339,$B$8,1),OFFSET($M$15,0,0,$B$8,1))=ED$14))   /   SUM(OFFSET($BO$15,0,0,$B$14,1)) + $B$18/($B$19*$B$19*($DN339&lt;&gt;$DO339) + $B$19*($DN339=$DO339))</f>
        <v>3.7037037037037035E-4</v>
      </c>
      <c r="EE339" s="10" cm="1">
        <f t="array" aca="1" ref="EE339" ca="1">(1-$B$18)*SUMPRODUCT(OFFSET($BO$15,0,0,$B$14,1), 1*(_xlfn._xlws.FILTER(OFFSET($O$15,0,$DN339,$B$8,1),OFFSET($M$15,0,0,$B$8,1))=EE$13), 1*(_xlfn._xlws.FILTER(OFFSET($O$15,0,$DO339,$B$8,1),OFFSET($M$15,0,0,$B$8,1))=EE$14))   /   SUM(OFFSET($BO$15,0,0,$B$14,1)) + $B$18/($B$19*$B$19*($DN339&lt;&gt;$DO339) + $B$19*($DN339=$DO339))</f>
        <v>3.7037037037037035E-4</v>
      </c>
      <c r="EF339" s="10" cm="1">
        <f t="array" aca="1" ref="EF339" ca="1">(1-$B$18)*SUMPRODUCT(OFFSET($BO$15,0,0,$B$14,1), 1*(_xlfn._xlws.FILTER(OFFSET($O$15,0,$DN339,$B$8,1),OFFSET($M$15,0,0,$B$8,1))=EF$13), 1*(_xlfn._xlws.FILTER(OFFSET($O$15,0,$DO339,$B$8,1),OFFSET($M$15,0,0,$B$8,1))=EF$14))   /   SUM(OFFSET($BO$15,0,0,$B$14,1)) + $B$18/($B$19*$B$19*($DN339&lt;&gt;$DO339) + $B$19*($DN339=$DO339))</f>
        <v>3.7037037037037035E-4</v>
      </c>
      <c r="EG339" s="10" cm="1">
        <f t="array" aca="1" ref="EG339" ca="1">(1-$B$18)*SUMPRODUCT(OFFSET($BO$15,0,0,$B$14,1), 1*(_xlfn._xlws.FILTER(OFFSET($O$15,0,$DN339,$B$8,1),OFFSET($M$15,0,0,$B$8,1))=EG$13), 1*(_xlfn._xlws.FILTER(OFFSET($O$15,0,$DO339,$B$8,1),OFFSET($M$15,0,0,$B$8,1))=EG$14))   /   SUM(OFFSET($BO$15,0,0,$B$14,1)) + $B$18/($B$19*$B$19*($DN339&lt;&gt;$DO339) + $B$19*($DN339=$DO339))</f>
        <v>3.7037037037037035E-4</v>
      </c>
      <c r="EH339" s="10" cm="1">
        <f t="array" aca="1" ref="EH339" ca="1">(1-$B$18)*SUMPRODUCT(OFFSET($BO$15,0,0,$B$14,1), 1*(_xlfn._xlws.FILTER(OFFSET($O$15,0,$DN339,$B$8,1),OFFSET($M$15,0,0,$B$8,1))=EH$13), 1*(_xlfn._xlws.FILTER(OFFSET($O$15,0,$DO339,$B$8,1),OFFSET($M$15,0,0,$B$8,1))=EH$14))   /   SUM(OFFSET($BO$15,0,0,$B$14,1)) + $B$18/($B$19*$B$19*($DN339&lt;&gt;$DO339) + $B$19*($DN339=$DO339))</f>
        <v>3.7037037037037035E-4</v>
      </c>
      <c r="EI339" s="10" cm="1">
        <f t="array" aca="1" ref="EI339" ca="1">(1-$B$18)*SUMPRODUCT(OFFSET($BO$15,0,0,$B$14,1), 1*(_xlfn._xlws.FILTER(OFFSET($O$15,0,$DN339,$B$8,1),OFFSET($M$15,0,0,$B$8,1))=EI$13), 1*(_xlfn._xlws.FILTER(OFFSET($O$15,0,$DO339,$B$8,1),OFFSET($M$15,0,0,$B$8,1))=EI$14))   /   SUM(OFFSET($BO$15,0,0,$B$14,1)) + $B$18/($B$19*$B$19*($DN339&lt;&gt;$DO339) + $B$19*($DN339=$DO339))</f>
        <v>3.7037037037037035E-4</v>
      </c>
      <c r="EJ339" s="10" cm="1">
        <f t="array" aca="1" ref="EJ339" ca="1">(1-$B$18)*SUMPRODUCT(OFFSET($BO$15,0,0,$B$14,1), 1*(_xlfn._xlws.FILTER(OFFSET($O$15,0,$DN339,$B$8,1),OFFSET($M$15,0,0,$B$8,1))=EJ$13), 1*(_xlfn._xlws.FILTER(OFFSET($O$15,0,$DO339,$B$8,1),OFFSET($M$15,0,0,$B$8,1))=EJ$14))   /   SUM(OFFSET($BO$15,0,0,$B$14,1)) + $B$18/($B$19*$B$19*($DN339&lt;&gt;$DO339) + $B$19*($DN339=$DO339))</f>
        <v>3.7037037037037035E-4</v>
      </c>
      <c r="EK339" s="10" cm="1">
        <f t="array" aca="1" ref="EK339" ca="1">(1-$B$18)*SUMPRODUCT(OFFSET($BO$15,0,0,$B$14,1), 1*(_xlfn._xlws.FILTER(OFFSET($O$15,0,$DN339,$B$8,1),OFFSET($M$15,0,0,$B$8,1))=EK$13), 1*(_xlfn._xlws.FILTER(OFFSET($O$15,0,$DO339,$B$8,1),OFFSET($M$15,0,0,$B$8,1))=EK$14))   /   SUM(OFFSET($BO$15,0,0,$B$14,1)) + $B$18/($B$19*$B$19*($DN339&lt;&gt;$DO339) + $B$19*($DN339=$DO339))</f>
        <v>3.7037037037037035E-4</v>
      </c>
      <c r="EL339" s="10" cm="1">
        <f t="array" aca="1" ref="EL339" ca="1">(1-$B$18)*SUMPRODUCT(OFFSET($BO$15,0,0,$B$14,1), 1*(_xlfn._xlws.FILTER(OFFSET($O$15,0,$DN339,$B$8,1),OFFSET($M$15,0,0,$B$8,1))=EL$13), 1*(_xlfn._xlws.FILTER(OFFSET($O$15,0,$DO339,$B$8,1),OFFSET($M$15,0,0,$B$8,1))=EL$14))   /   SUM(OFFSET($BO$15,0,0,$B$14,1)) + $B$18/($B$19*$B$19*($DN339&lt;&gt;$DO339) + $B$19*($DN339=$DO339))</f>
        <v>3.7037037037037035E-4</v>
      </c>
      <c r="EM339" s="10" cm="1">
        <f t="array" aca="1" ref="EM339" ca="1">(1-$B$18)*SUMPRODUCT(OFFSET($BO$15,0,0,$B$14,1), 1*(_xlfn._xlws.FILTER(OFFSET($O$15,0,$DN339,$B$8,1),OFFSET($M$15,0,0,$B$8,1))=EM$13), 1*(_xlfn._xlws.FILTER(OFFSET($O$15,0,$DO339,$B$8,1),OFFSET($M$15,0,0,$B$8,1))=EM$14))   /   SUM(OFFSET($BO$15,0,0,$B$14,1)) + $B$18/($B$19*$B$19*($DN339&lt;&gt;$DO339) + $B$19*($DN339=$DO339))</f>
        <v>3.7037037037037035E-4</v>
      </c>
      <c r="EN339" s="10" cm="1">
        <f t="array" aca="1" ref="EN339" ca="1">(1-$B$18)*SUMPRODUCT(OFFSET($BO$15,0,0,$B$14,1), 1*(_xlfn._xlws.FILTER(OFFSET($O$15,0,$DN339,$B$8,1),OFFSET($M$15,0,0,$B$8,1))=EN$13), 1*(_xlfn._xlws.FILTER(OFFSET($O$15,0,$DO339,$B$8,1),OFFSET($M$15,0,0,$B$8,1))=EN$14))   /   SUM(OFFSET($BO$15,0,0,$B$14,1)) + $B$18/($B$19*$B$19*($DN339&lt;&gt;$DO339) + $B$19*($DN339=$DO339))</f>
        <v>3.7037037037037035E-4</v>
      </c>
      <c r="EO339" s="10" cm="1">
        <f t="array" aca="1" ref="EO339" ca="1">(1-$B$18)*SUMPRODUCT(OFFSET($BO$15,0,0,$B$14,1), 1*(_xlfn._xlws.FILTER(OFFSET($O$15,0,$DN339,$B$8,1),OFFSET($M$15,0,0,$B$8,1))=EO$13), 1*(_xlfn._xlws.FILTER(OFFSET($O$15,0,$DO339,$B$8,1),OFFSET($M$15,0,0,$B$8,1))=EO$14))   /   SUM(OFFSET($BO$15,0,0,$B$14,1)) + $B$18/($B$19*$B$19*($DN339&lt;&gt;$DO339) + $B$19*($DN339=$DO339))</f>
        <v>3.7037037037037035E-4</v>
      </c>
      <c r="EP339" s="10" cm="1">
        <f t="array" aca="1" ref="EP339" ca="1">(1-$B$18)*SUMPRODUCT(OFFSET($BO$15,0,0,$B$14,1), 1*(_xlfn._xlws.FILTER(OFFSET($O$15,0,$DN339,$B$8,1),OFFSET($M$15,0,0,$B$8,1))=EP$13), 1*(_xlfn._xlws.FILTER(OFFSET($O$15,0,$DO339,$B$8,1),OFFSET($M$15,0,0,$B$8,1))=EP$14))   /   SUM(OFFSET($BO$15,0,0,$B$14,1)) + $B$18/($B$19*$B$19*($DN339&lt;&gt;$DO339) + $B$19*($DN339=$DO339))</f>
        <v>3.7037037037037035E-4</v>
      </c>
      <c r="EQ339" s="10" cm="1">
        <f t="array" aca="1" ref="EQ339" ca="1">(1-$B$18)*SUMPRODUCT(OFFSET($BO$15,0,0,$B$14,1), 1*(_xlfn._xlws.FILTER(OFFSET($O$15,0,$DN339,$B$8,1),OFFSET($M$15,0,0,$B$8,1))=EQ$13), 1*(_xlfn._xlws.FILTER(OFFSET($O$15,0,$DO339,$B$8,1),OFFSET($M$15,0,0,$B$8,1))=EQ$14))   /   SUM(OFFSET($BO$15,0,0,$B$14,1)) + $B$18/($B$19*$B$19*($DN339&lt;&gt;$DO339) + $B$19*($DN339=$DO339))</f>
        <v>3.7037037037037035E-4</v>
      </c>
      <c r="ER339" s="10" cm="1">
        <f t="array" aca="1" ref="ER339" ca="1">(1-$B$18)*SUMPRODUCT(OFFSET($BO$15,0,0,$B$14,1), 1*(_xlfn._xlws.FILTER(OFFSET($O$15,0,$DN339,$B$8,1),OFFSET($M$15,0,0,$B$8,1))=ER$13), 1*(_xlfn._xlws.FILTER(OFFSET($O$15,0,$DO339,$B$8,1),OFFSET($M$15,0,0,$B$8,1))=ER$14))   /   SUM(OFFSET($BO$15,0,0,$B$14,1)) + $B$18/($B$19*$B$19*($DN339&lt;&gt;$DO339) + $B$19*($DN339=$DO339))</f>
        <v>3.7037037037037035E-4</v>
      </c>
      <c r="ES339" s="10" cm="1">
        <f t="array" aca="1" ref="ES339" ca="1">(1-$B$18)*SUMPRODUCT(OFFSET($BO$15,0,0,$B$14,1), 1*(_xlfn._xlws.FILTER(OFFSET($O$15,0,$DN339,$B$8,1),OFFSET($M$15,0,0,$B$8,1))=ES$13), 1*(_xlfn._xlws.FILTER(OFFSET($O$15,0,$DO339,$B$8,1),OFFSET($M$15,0,0,$B$8,1))=ES$14))   /   SUM(OFFSET($BO$15,0,0,$B$14,1)) + $B$18/($B$19*$B$19*($DN339&lt;&gt;$DO339) + $B$19*($DN339=$DO339))</f>
        <v>3.7037037037037035E-4</v>
      </c>
      <c r="ET339" s="10" cm="1">
        <f t="array" aca="1" ref="ET339" ca="1">(1-$B$18)*SUMPRODUCT(OFFSET($BO$15,0,0,$B$14,1), 1*(_xlfn._xlws.FILTER(OFFSET($O$15,0,$DN339,$B$8,1),OFFSET($M$15,0,0,$B$8,1))=ET$13), 1*(_xlfn._xlws.FILTER(OFFSET($O$15,0,$DO339,$B$8,1),OFFSET($M$15,0,0,$B$8,1))=ET$14))   /   SUM(OFFSET($BO$15,0,0,$B$14,1)) + $B$18/($B$19*$B$19*($DN339&lt;&gt;$DO339) + $B$19*($DN339=$DO339))</f>
        <v>3.7037037037037035E-4</v>
      </c>
      <c r="EU339" s="10" cm="1">
        <f t="array" aca="1" ref="EU339" ca="1">(1-$B$18)*SUMPRODUCT(OFFSET($BO$15,0,0,$B$14,1), 1*(_xlfn._xlws.FILTER(OFFSET($O$15,0,$DN339,$B$8,1),OFFSET($M$15,0,0,$B$8,1))=EU$13), 1*(_xlfn._xlws.FILTER(OFFSET($O$15,0,$DO339,$B$8,1),OFFSET($M$15,0,0,$B$8,1))=EU$14))   /   SUM(OFFSET($BO$15,0,0,$B$14,1)) + $B$18/($B$19*$B$19*($DN339&lt;&gt;$DO339) + $B$19*($DN339=$DO339))</f>
        <v>3.7037037037037035E-4</v>
      </c>
      <c r="EV339" s="10" cm="1">
        <f t="array" aca="1" ref="EV339" ca="1">(1-$B$18)*SUMPRODUCT(OFFSET($BO$15,0,0,$B$14,1), 1*(_xlfn._xlws.FILTER(OFFSET($O$15,0,$DN339,$B$8,1),OFFSET($M$15,0,0,$B$8,1))=EV$13), 1*(_xlfn._xlws.FILTER(OFFSET($O$15,0,$DO339,$B$8,1),OFFSET($M$15,0,0,$B$8,1))=EV$14))   /   SUM(OFFSET($BO$15,0,0,$B$14,1)) + $B$18/($B$19*$B$19*($DN339&lt;&gt;$DO339) + $B$19*($DN339=$DO339))</f>
        <v>3.7037037037037035E-4</v>
      </c>
      <c r="EW339" s="10" cm="1">
        <f t="array" aca="1" ref="EW339" ca="1">(1-$B$18)*SUMPRODUCT(OFFSET($BO$15,0,0,$B$14,1), 1*(_xlfn._xlws.FILTER(OFFSET($O$15,0,$DN339,$B$8,1),OFFSET($M$15,0,0,$B$8,1))=EW$13), 1*(_xlfn._xlws.FILTER(OFFSET($O$15,0,$DO339,$B$8,1),OFFSET($M$15,0,0,$B$8,1))=EW$14))   /   SUM(OFFSET($BO$15,0,0,$B$14,1)) + $B$18/($B$19*$B$19*($DN339&lt;&gt;$DO339) + $B$19*($DN339=$DO339))</f>
        <v>3.7037037037037035E-4</v>
      </c>
      <c r="EX339" s="10" cm="1">
        <f t="array" aca="1" ref="EX339" ca="1">(1-$B$18)*SUMPRODUCT(OFFSET($BO$15,0,0,$B$14,1), 1*(_xlfn._xlws.FILTER(OFFSET($O$15,0,$DN339,$B$8,1),OFFSET($M$15,0,0,$B$8,1))=EX$13), 1*(_xlfn._xlws.FILTER(OFFSET($O$15,0,$DO339,$B$8,1),OFFSET($M$15,0,0,$B$8,1))=EX$14))   /   SUM(OFFSET($BO$15,0,0,$B$14,1)) + $B$18/($B$19*$B$19*($DN339&lt;&gt;$DO339) + $B$19*($DN339=$DO339))</f>
        <v>3.7037037037037035E-4</v>
      </c>
      <c r="EY339" s="10" cm="1">
        <f t="array" aca="1" ref="EY339" ca="1">(1-$B$18)*SUMPRODUCT(OFFSET($BO$15,0,0,$B$14,1), 1*(_xlfn._xlws.FILTER(OFFSET($O$15,0,$DN339,$B$8,1),OFFSET($M$15,0,0,$B$8,1))=EY$13), 1*(_xlfn._xlws.FILTER(OFFSET($O$15,0,$DO339,$B$8,1),OFFSET($M$15,0,0,$B$8,1))=EY$14))   /   SUM(OFFSET($BO$15,0,0,$B$14,1)) + $B$18/($B$19*$B$19*($DN339&lt;&gt;$DO339) + $B$19*($DN339=$DO339))</f>
        <v>3.7037037037037035E-4</v>
      </c>
      <c r="EZ339" s="10" cm="1">
        <f t="array" aca="1" ref="EZ339" ca="1">(1-$B$18)*SUMPRODUCT(OFFSET($BO$15,0,0,$B$14,1), 1*(_xlfn._xlws.FILTER(OFFSET($O$15,0,$DN339,$B$8,1),OFFSET($M$15,0,0,$B$8,1))=EZ$13), 1*(_xlfn._xlws.FILTER(OFFSET($O$15,0,$DO339,$B$8,1),OFFSET($M$15,0,0,$B$8,1))=EZ$14))   /   SUM(OFFSET($BO$15,0,0,$B$14,1)) + $B$18/($B$19*$B$19*($DN339&lt;&gt;$DO339) + $B$19*($DN339=$DO339))</f>
        <v>3.7037037037037035E-4</v>
      </c>
      <c r="FA339" s="10" cm="1">
        <f t="array" aca="1" ref="FA339" ca="1">(1-$B$18)*SUMPRODUCT(OFFSET($BO$15,0,0,$B$14,1), 1*(_xlfn._xlws.FILTER(OFFSET($O$15,0,$DN339,$B$8,1),OFFSET($M$15,0,0,$B$8,1))=FA$13), 1*(_xlfn._xlws.FILTER(OFFSET($O$15,0,$DO339,$B$8,1),OFFSET($M$15,0,0,$B$8,1))=FA$14))   /   SUM(OFFSET($BO$15,0,0,$B$14,1)) + $B$18/($B$19*$B$19*($DN339&lt;&gt;$DO339) + $B$19*($DN339=$DO339))</f>
        <v>3.7037037037037035E-4</v>
      </c>
      <c r="FB339" s="10" cm="1">
        <f t="array" aca="1" ref="FB339" ca="1">(1-$B$18)*SUMPRODUCT(OFFSET($BO$15,0,0,$B$14,1), 1*(_xlfn._xlws.FILTER(OFFSET($O$15,0,$DN339,$B$8,1),OFFSET($M$15,0,0,$B$8,1))=FB$13), 1*(_xlfn._xlws.FILTER(OFFSET($O$15,0,$DO339,$B$8,1),OFFSET($M$15,0,0,$B$8,1))=FB$14))   /   SUM(OFFSET($BO$15,0,0,$B$14,1)) + $B$18/($B$19*$B$19*($DN339&lt;&gt;$DO339) + $B$19*($DN339=$DO339))</f>
        <v>0.24287037037037024</v>
      </c>
      <c r="FC339" s="10" cm="1">
        <f t="array" aca="1" ref="FC339" ca="1">(1-$B$18)*SUMPRODUCT(OFFSET($BO$15,0,0,$B$14,1), 1*(_xlfn._xlws.FILTER(OFFSET($O$15,0,$DN339,$B$8,1),OFFSET($M$15,0,0,$B$8,1))=FC$13), 1*(_xlfn._xlws.FILTER(OFFSET($O$15,0,$DO339,$B$8,1),OFFSET($M$15,0,0,$B$8,1))=FC$14))   /   SUM(OFFSET($BO$15,0,0,$B$14,1)) + $B$18/($B$19*$B$19*($DN339&lt;&gt;$DO339) + $B$19*($DN339=$DO339))</f>
        <v>3.7037037037037035E-4</v>
      </c>
      <c r="FD339" s="10" cm="1">
        <f t="array" aca="1" ref="FD339" ca="1">(1-$B$18)*SUMPRODUCT(OFFSET($BO$15,0,0,$B$14,1), 1*(_xlfn._xlws.FILTER(OFFSET($O$15,0,$DN339,$B$8,1),OFFSET($M$15,0,0,$B$8,1))=FD$13), 1*(_xlfn._xlws.FILTER(OFFSET($O$15,0,$DO339,$B$8,1),OFFSET($M$15,0,0,$B$8,1))=FD$14))   /   SUM(OFFSET($BO$15,0,0,$B$14,1)) + $B$18/($B$19*$B$19*($DN339&lt;&gt;$DO339) + $B$19*($DN339=$DO339))</f>
        <v>3.7037037037037035E-4</v>
      </c>
      <c r="FE339" s="10" cm="1">
        <f t="array" aca="1" ref="FE339" ca="1">(1-$B$18)*SUMPRODUCT(OFFSET($BO$15,0,0,$B$14,1), 1*(_xlfn._xlws.FILTER(OFFSET($O$15,0,$DN339,$B$8,1),OFFSET($M$15,0,0,$B$8,1))=FE$13), 1*(_xlfn._xlws.FILTER(OFFSET($O$15,0,$DO339,$B$8,1),OFFSET($M$15,0,0,$B$8,1))=FE$14))   /   SUM(OFFSET($BO$15,0,0,$B$14,1)) + $B$18/($B$19*$B$19*($DN339&lt;&gt;$DO339) + $B$19*($DN339=$DO339))</f>
        <v>3.7037037037037035E-4</v>
      </c>
      <c r="FF339" s="10" cm="1">
        <f t="array" aca="1" ref="FF339" ca="1">(1-$B$18)*SUMPRODUCT(OFFSET($BO$15,0,0,$B$14,1), 1*(_xlfn._xlws.FILTER(OFFSET($O$15,0,$DN339,$B$8,1),OFFSET($M$15,0,0,$B$8,1))=FF$13), 1*(_xlfn._xlws.FILTER(OFFSET($O$15,0,$DO339,$B$8,1),OFFSET($M$15,0,0,$B$8,1))=FF$14))   /   SUM(OFFSET($BO$15,0,0,$B$14,1)) + $B$18/($B$19*$B$19*($DN339&lt;&gt;$DO339) + $B$19*($DN339=$DO339))</f>
        <v>3.7037037037037035E-4</v>
      </c>
      <c r="FG339" s="10" cm="1">
        <f t="array" aca="1" ref="FG339" ca="1">(1-$B$18)*SUMPRODUCT(OFFSET($BO$15,0,0,$B$14,1), 1*(_xlfn._xlws.FILTER(OFFSET($O$15,0,$DN339,$B$8,1),OFFSET($M$15,0,0,$B$8,1))=FG$13), 1*(_xlfn._xlws.FILTER(OFFSET($O$15,0,$DO339,$B$8,1),OFFSET($M$15,0,0,$B$8,1))=FG$14))   /   SUM(OFFSET($BO$15,0,0,$B$14,1)) + $B$18/($B$19*$B$19*($DN339&lt;&gt;$DO339) + $B$19*($DN339=$DO339))</f>
        <v>3.7037037037037035E-4</v>
      </c>
      <c r="FH339" s="10" cm="1">
        <f t="array" aca="1" ref="FH339" ca="1">(1-$B$18)*SUMPRODUCT(OFFSET($BO$15,0,0,$B$14,1), 1*(_xlfn._xlws.FILTER(OFFSET($O$15,0,$DN339,$B$8,1),OFFSET($M$15,0,0,$B$8,1))=FH$13), 1*(_xlfn._xlws.FILTER(OFFSET($O$15,0,$DO339,$B$8,1),OFFSET($M$15,0,0,$B$8,1))=FH$14))   /   SUM(OFFSET($BO$15,0,0,$B$14,1)) + $B$18/($B$19*$B$19*($DN339&lt;&gt;$DO339) + $B$19*($DN339=$DO339))</f>
        <v>3.7037037037037035E-4</v>
      </c>
      <c r="FI339" s="10" cm="1">
        <f t="array" aca="1" ref="FI339" ca="1">(1-$B$18)*SUMPRODUCT(OFFSET($BO$15,0,0,$B$14,1), 1*(_xlfn._xlws.FILTER(OFFSET($O$15,0,$DN339,$B$8,1),OFFSET($M$15,0,0,$B$8,1))=FI$13), 1*(_xlfn._xlws.FILTER(OFFSET($O$15,0,$DO339,$B$8,1),OFFSET($M$15,0,0,$B$8,1))=FI$14))   /   SUM(OFFSET($BO$15,0,0,$B$14,1)) + $B$18/($B$19*$B$19*($DN339&lt;&gt;$DO339) + $B$19*($DN339=$DO339))</f>
        <v>3.7037037037037035E-4</v>
      </c>
      <c r="FJ339" s="10" cm="1">
        <f t="array" aca="1" ref="FJ339" ca="1">(1-$B$18)*SUMPRODUCT(OFFSET($BO$15,0,0,$B$14,1), 1*(_xlfn._xlws.FILTER(OFFSET($O$15,0,$DN339,$B$8,1),OFFSET($M$15,0,0,$B$8,1))=FJ$13), 1*(_xlfn._xlws.FILTER(OFFSET($O$15,0,$DO339,$B$8,1),OFFSET($M$15,0,0,$B$8,1))=FJ$14))   /   SUM(OFFSET($BO$15,0,0,$B$14,1)) + $B$18/($B$19*$B$19*($DN339&lt;&gt;$DO339) + $B$19*($DN339=$DO339))</f>
        <v>0.24287037037037026</v>
      </c>
      <c r="FK339" s="10" cm="1">
        <f t="array" aca="1" ref="FK339" ca="1">(1-$B$18)*SUMPRODUCT(OFFSET($BO$15,0,0,$B$14,1), 1*(_xlfn._xlws.FILTER(OFFSET($O$15,0,$DN339,$B$8,1),OFFSET($M$15,0,0,$B$8,1))=FK$13), 1*(_xlfn._xlws.FILTER(OFFSET($O$15,0,$DO339,$B$8,1),OFFSET($M$15,0,0,$B$8,1))=FK$14))   /   SUM(OFFSET($BO$15,0,0,$B$14,1)) + $B$18/($B$19*$B$19*($DN339&lt;&gt;$DO339) + $B$19*($DN339=$DO339))</f>
        <v>3.7037037037037035E-4</v>
      </c>
      <c r="FL339" s="10" cm="1">
        <f t="array" aca="1" ref="FL339" ca="1">(1-$B$18)*SUMPRODUCT(OFFSET($BO$15,0,0,$B$14,1), 1*(_xlfn._xlws.FILTER(OFFSET($O$15,0,$DN339,$B$8,1),OFFSET($M$15,0,0,$B$8,1))=FL$13), 1*(_xlfn._xlws.FILTER(OFFSET($O$15,0,$DO339,$B$8,1),OFFSET($M$15,0,0,$B$8,1))=FL$14))   /   SUM(OFFSET($BO$15,0,0,$B$14,1)) + $B$18/($B$19*$B$19*($DN339&lt;&gt;$DO339) + $B$19*($DN339=$DO339))</f>
        <v>3.7037037037037035E-4</v>
      </c>
      <c r="FM339" s="10" cm="1">
        <f t="array" aca="1" ref="FM339" ca="1">(1-$B$18)*SUMPRODUCT(OFFSET($BO$15,0,0,$B$14,1), 1*(_xlfn._xlws.FILTER(OFFSET($O$15,0,$DN339,$B$8,1),OFFSET($M$15,0,0,$B$8,1))=FM$13), 1*(_xlfn._xlws.FILTER(OFFSET($O$15,0,$DO339,$B$8,1),OFFSET($M$15,0,0,$B$8,1))=FM$14))   /   SUM(OFFSET($BO$15,0,0,$B$14,1)) + $B$18/($B$19*$B$19*($DN339&lt;&gt;$DO339) + $B$19*($DN339=$DO339))</f>
        <v>3.7037037037037035E-4</v>
      </c>
      <c r="FN339" s="10" cm="1">
        <f t="array" aca="1" ref="FN339" ca="1">(1-$B$18)*SUMPRODUCT(OFFSET($BO$15,0,0,$B$14,1), 1*(_xlfn._xlws.FILTER(OFFSET($O$15,0,$DN339,$B$8,1),OFFSET($M$15,0,0,$B$8,1))=FN$13), 1*(_xlfn._xlws.FILTER(OFFSET($O$15,0,$DO339,$B$8,1),OFFSET($M$15,0,0,$B$8,1))=FN$14))   /   SUM(OFFSET($BO$15,0,0,$B$14,1)) + $B$18/($B$19*$B$19*($DN339&lt;&gt;$DO339) + $B$19*($DN339=$DO339))</f>
        <v>3.7037037037037035E-4</v>
      </c>
      <c r="FO339" s="10" cm="1">
        <f t="array" aca="1" ref="FO339" ca="1">(1-$B$18)*SUMPRODUCT(OFFSET($BO$15,0,0,$B$14,1), 1*(_xlfn._xlws.FILTER(OFFSET($O$15,0,$DN339,$B$8,1),OFFSET($M$15,0,0,$B$8,1))=FO$13), 1*(_xlfn._xlws.FILTER(OFFSET($O$15,0,$DO339,$B$8,1),OFFSET($M$15,0,0,$B$8,1))=FO$14))   /   SUM(OFFSET($BO$15,0,0,$B$14,1)) + $B$18/($B$19*$B$19*($DN339&lt;&gt;$DO339) + $B$19*($DN339=$DO339))</f>
        <v>3.7037037037037035E-4</v>
      </c>
      <c r="FP339" s="10" cm="1">
        <f t="array" aca="1" ref="FP339" ca="1">(1-$B$18)*SUMPRODUCT(OFFSET($BO$15,0,0,$B$14,1), 1*(_xlfn._xlws.FILTER(OFFSET($O$15,0,$DN339,$B$8,1),OFFSET($M$15,0,0,$B$8,1))=FP$13), 1*(_xlfn._xlws.FILTER(OFFSET($O$15,0,$DO339,$B$8,1),OFFSET($M$15,0,0,$B$8,1))=FP$14))   /   SUM(OFFSET($BO$15,0,0,$B$14,1)) + $B$18/($B$19*$B$19*($DN339&lt;&gt;$DO339) + $B$19*($DN339=$DO339))</f>
        <v>3.7037037037037035E-4</v>
      </c>
      <c r="FQ339" s="10" cm="1">
        <f t="array" aca="1" ref="FQ339" ca="1">(1-$B$18)*SUMPRODUCT(OFFSET($BO$15,0,0,$B$14,1), 1*(_xlfn._xlws.FILTER(OFFSET($O$15,0,$DN339,$B$8,1),OFFSET($M$15,0,0,$B$8,1))=FQ$13), 1*(_xlfn._xlws.FILTER(OFFSET($O$15,0,$DO339,$B$8,1),OFFSET($M$15,0,0,$B$8,1))=FQ$14))   /   SUM(OFFSET($BO$15,0,0,$B$14,1)) + $B$18/($B$19*$B$19*($DN339&lt;&gt;$DO339) + $B$19*($DN339=$DO339))</f>
        <v>3.7037037037037035E-4</v>
      </c>
      <c r="FR339" s="10" cm="1">
        <f t="array" aca="1" ref="FR339" ca="1">(1-$B$18)*SUMPRODUCT(OFFSET($BO$15,0,0,$B$14,1), 1*(_xlfn._xlws.FILTER(OFFSET($O$15,0,$DN339,$B$8,1),OFFSET($M$15,0,0,$B$8,1))=FR$13), 1*(_xlfn._xlws.FILTER(OFFSET($O$15,0,$DO339,$B$8,1),OFFSET($M$15,0,0,$B$8,1))=FR$14))   /   SUM(OFFSET($BO$15,0,0,$B$14,1)) + $B$18/($B$19*$B$19*($DN339&lt;&gt;$DO339) + $B$19*($DN339=$DO339))</f>
        <v>0.48537037037037012</v>
      </c>
      <c r="FS339" s="10" cm="1">
        <f t="array" aca="1" ref="FS339" ca="1">(1-$B$18)*SUMPRODUCT(OFFSET($BO$15,0,0,$B$14,1), 1*(_xlfn._xlws.FILTER(OFFSET($O$15,0,$DN339,$B$8,1),OFFSET($M$15,0,0,$B$8,1))=FS$13), 1*(_xlfn._xlws.FILTER(OFFSET($O$15,0,$DO339,$B$8,1),OFFSET($M$15,0,0,$B$8,1))=FS$14))   /   SUM(OFFSET($BO$15,0,0,$B$14,1)) + $B$18/($B$19*$B$19*($DN339&lt;&gt;$DO339) + $B$19*($DN339=$DO339))</f>
        <v>3.7037037037037035E-4</v>
      </c>
      <c r="FT339" s="10" cm="1">
        <f t="array" aca="1" ref="FT339" ca="1">(1-$B$18)*SUMPRODUCT(OFFSET($BO$15,0,0,$B$14,1), 1*(_xlfn._xlws.FILTER(OFFSET($O$15,0,$DN339,$B$8,1),OFFSET($M$15,0,0,$B$8,1))=FT$13), 1*(_xlfn._xlws.FILTER(OFFSET($O$15,0,$DO339,$B$8,1),OFFSET($M$15,0,0,$B$8,1))=FT$14))   /   SUM(OFFSET($BO$15,0,0,$B$14,1)) + $B$18/($B$19*$B$19*($DN339&lt;&gt;$DO339) + $B$19*($DN339=$DO339))</f>
        <v>3.7037037037037035E-4</v>
      </c>
      <c r="FU339" s="10" cm="1">
        <f t="array" aca="1" ref="FU339" ca="1">(1-$B$18)*SUMPRODUCT(OFFSET($BO$15,0,0,$B$14,1), 1*(_xlfn._xlws.FILTER(OFFSET($O$15,0,$DN339,$B$8,1),OFFSET($M$15,0,0,$B$8,1))=FU$13), 1*(_xlfn._xlws.FILTER(OFFSET($O$15,0,$DO339,$B$8,1),OFFSET($M$15,0,0,$B$8,1))=FU$14))   /   SUM(OFFSET($BO$15,0,0,$B$14,1)) + $B$18/($B$19*$B$19*($DN339&lt;&gt;$DO339) + $B$19*($DN339=$DO339))</f>
        <v>3.7037037037037035E-4</v>
      </c>
      <c r="FV339" s="10" cm="1">
        <f t="array" aca="1" ref="FV339" ca="1">(1-$B$18)*SUMPRODUCT(OFFSET($BO$15,0,0,$B$14,1), 1*(_xlfn._xlws.FILTER(OFFSET($O$15,0,$DN339,$B$8,1),OFFSET($M$15,0,0,$B$8,1))=FV$13), 1*(_xlfn._xlws.FILTER(OFFSET($O$15,0,$DO339,$B$8,1),OFFSET($M$15,0,0,$B$8,1))=FV$14))   /   SUM(OFFSET($BO$15,0,0,$B$14,1)) + $B$18/($B$19*$B$19*($DN339&lt;&gt;$DO339) + $B$19*($DN339=$DO339))</f>
        <v>3.7037037037037035E-4</v>
      </c>
      <c r="FW339" s="10" cm="1">
        <f t="array" aca="1" ref="FW339" ca="1">(1-$B$18)*SUMPRODUCT(OFFSET($BO$15,0,0,$B$14,1), 1*(_xlfn._xlws.FILTER(OFFSET($O$15,0,$DN339,$B$8,1),OFFSET($M$15,0,0,$B$8,1))=FW$13), 1*(_xlfn._xlws.FILTER(OFFSET($O$15,0,$DO339,$B$8,1),OFFSET($M$15,0,0,$B$8,1))=FW$14))   /   SUM(OFFSET($BO$15,0,0,$B$14,1)) + $B$18/($B$19*$B$19*($DN339&lt;&gt;$DO339) + $B$19*($DN339=$DO339))</f>
        <v>3.7037037037037035E-4</v>
      </c>
      <c r="FX339" s="10" cm="1">
        <f t="array" aca="1" ref="FX339" ca="1">(1-$B$18)*SUMPRODUCT(OFFSET($BO$15,0,0,$B$14,1), 1*(_xlfn._xlws.FILTER(OFFSET($O$15,0,$DN339,$B$8,1),OFFSET($M$15,0,0,$B$8,1))=FX$13), 1*(_xlfn._xlws.FILTER(OFFSET($O$15,0,$DO339,$B$8,1),OFFSET($M$15,0,0,$B$8,1))=FX$14))   /   SUM(OFFSET($BO$15,0,0,$B$14,1)) + $B$18/($B$19*$B$19*($DN339&lt;&gt;$DO339) + $B$19*($DN339=$DO339))</f>
        <v>3.7037037037037035E-4</v>
      </c>
      <c r="FY339" s="10" cm="1">
        <f t="array" aca="1" ref="FY339" ca="1">(1-$B$18)*SUMPRODUCT(OFFSET($BO$15,0,0,$B$14,1), 1*(_xlfn._xlws.FILTER(OFFSET($O$15,0,$DN339,$B$8,1),OFFSET($M$15,0,0,$B$8,1))=FY$13), 1*(_xlfn._xlws.FILTER(OFFSET($O$15,0,$DO339,$B$8,1),OFFSET($M$15,0,0,$B$8,1))=FY$14))   /   SUM(OFFSET($BO$15,0,0,$B$14,1)) + $B$18/($B$19*$B$19*($DN339&lt;&gt;$DO339) + $B$19*($DN339=$DO339))</f>
        <v>3.7037037037037035E-4</v>
      </c>
      <c r="FZ339" s="10" cm="1">
        <f t="array" aca="1" ref="FZ339" ca="1">(1-$B$18)*SUMPRODUCT(OFFSET($BO$15,0,0,$B$14,1), 1*(_xlfn._xlws.FILTER(OFFSET($O$15,0,$DN339,$B$8,1),OFFSET($M$15,0,0,$B$8,1))=FZ$13), 1*(_xlfn._xlws.FILTER(OFFSET($O$15,0,$DO339,$B$8,1),OFFSET($M$15,0,0,$B$8,1))=FZ$14))   /   SUM(OFFSET($BO$15,0,0,$B$14,1)) + $B$18/($B$19*$B$19*($DN339&lt;&gt;$DO339) + $B$19*($DN339=$DO339))</f>
        <v>3.7037037037037035E-4</v>
      </c>
      <c r="GA339" s="10" cm="1">
        <f t="array" aca="1" ref="GA339" ca="1">(1-$B$18)*SUMPRODUCT(OFFSET($BO$15,0,0,$B$14,1), 1*(_xlfn._xlws.FILTER(OFFSET($O$15,0,$DN339,$B$8,1),OFFSET($M$15,0,0,$B$8,1))=GA$13), 1*(_xlfn._xlws.FILTER(OFFSET($O$15,0,$DO339,$B$8,1),OFFSET($M$15,0,0,$B$8,1))=GA$14))   /   SUM(OFFSET($BO$15,0,0,$B$14,1)) + $B$18/($B$19*$B$19*($DN339&lt;&gt;$DO339) + $B$19*($DN339=$DO339))</f>
        <v>3.7037037037037035E-4</v>
      </c>
    </row>
    <row r="340" spans="118:183" x14ac:dyDescent="0.2">
      <c r="DN340" cm="1">
        <f t="array" aca="1" ref="DN340" ca="1">INDEX(_xlfn.ANCHORARRAY($CP$15), 1 + INT((ROWS($DO$15:$DO340) - 1) / ROWS(_xlfn.ANCHORARRAY($CP$15))))</f>
        <v>20</v>
      </c>
      <c r="DO340" cm="1">
        <f t="array" aca="1" ref="DO340" ca="1">INDEX(_xlfn.ANCHORARRAY($CP$15),1+MOD(ROWS($DO$15:$DO340)-1,ROWS(_xlfn.ANCHORARRAY($CP$15))))</f>
        <v>2</v>
      </c>
      <c r="DP340" s="10" cm="1">
        <f t="array" aca="1" ref="DP340" ca="1">(1-$B$18)*SUMPRODUCT(OFFSET($BO$15,0,0,$B$14,1), 1*(_xlfn._xlws.FILTER(OFFSET($O$15,0,$DN340,$B$8,1),OFFSET($M$15,0,0,$B$8,1))=DP$13), 1*(_xlfn._xlws.FILTER(OFFSET($O$15,0,$DO340,$B$8,1),OFFSET($M$15,0,0,$B$8,1))=DP$14))   /   SUM(OFFSET($BO$15,0,0,$B$14,1)) + $B$18/($B$19*$B$19*($DN340&lt;&gt;$DO340) + $B$19*($DN340=$DO340))</f>
        <v>3.7037037037037035E-4</v>
      </c>
      <c r="DQ340" s="10" cm="1">
        <f t="array" aca="1" ref="DQ340" ca="1">(1-$B$18)*SUMPRODUCT(OFFSET($BO$15,0,0,$B$14,1), 1*(_xlfn._xlws.FILTER(OFFSET($O$15,0,$DN340,$B$8,1),OFFSET($M$15,0,0,$B$8,1))=DQ$13), 1*(_xlfn._xlws.FILTER(OFFSET($O$15,0,$DO340,$B$8,1),OFFSET($M$15,0,0,$B$8,1))=DQ$14))   /   SUM(OFFSET($BO$15,0,0,$B$14,1)) + $B$18/($B$19*$B$19*($DN340&lt;&gt;$DO340) + $B$19*($DN340=$DO340))</f>
        <v>3.7037037037037035E-4</v>
      </c>
      <c r="DR340" s="10" cm="1">
        <f t="array" aca="1" ref="DR340" ca="1">(1-$B$18)*SUMPRODUCT(OFFSET($BO$15,0,0,$B$14,1), 1*(_xlfn._xlws.FILTER(OFFSET($O$15,0,$DN340,$B$8,1),OFFSET($M$15,0,0,$B$8,1))=DR$13), 1*(_xlfn._xlws.FILTER(OFFSET($O$15,0,$DO340,$B$8,1),OFFSET($M$15,0,0,$B$8,1))=DR$14))   /   SUM(OFFSET($BO$15,0,0,$B$14,1)) + $B$18/($B$19*$B$19*($DN340&lt;&gt;$DO340) + $B$19*($DN340=$DO340))</f>
        <v>3.7037037037037035E-4</v>
      </c>
      <c r="DS340" s="10" cm="1">
        <f t="array" aca="1" ref="DS340" ca="1">(1-$B$18)*SUMPRODUCT(OFFSET($BO$15,0,0,$B$14,1), 1*(_xlfn._xlws.FILTER(OFFSET($O$15,0,$DN340,$B$8,1),OFFSET($M$15,0,0,$B$8,1))=DS$13), 1*(_xlfn._xlws.FILTER(OFFSET($O$15,0,$DO340,$B$8,1),OFFSET($M$15,0,0,$B$8,1))=DS$14))   /   SUM(OFFSET($BO$15,0,0,$B$14,1)) + $B$18/($B$19*$B$19*($DN340&lt;&gt;$DO340) + $B$19*($DN340=$DO340))</f>
        <v>3.7037037037037035E-4</v>
      </c>
      <c r="DT340" s="10" cm="1">
        <f t="array" aca="1" ref="DT340" ca="1">(1-$B$18)*SUMPRODUCT(OFFSET($BO$15,0,0,$B$14,1), 1*(_xlfn._xlws.FILTER(OFFSET($O$15,0,$DN340,$B$8,1),OFFSET($M$15,0,0,$B$8,1))=DT$13), 1*(_xlfn._xlws.FILTER(OFFSET($O$15,0,$DO340,$B$8,1),OFFSET($M$15,0,0,$B$8,1))=DT$14))   /   SUM(OFFSET($BO$15,0,0,$B$14,1)) + $B$18/($B$19*$B$19*($DN340&lt;&gt;$DO340) + $B$19*($DN340=$DO340))</f>
        <v>3.7037037037037035E-4</v>
      </c>
      <c r="DU340" s="10" cm="1">
        <f t="array" aca="1" ref="DU340" ca="1">(1-$B$18)*SUMPRODUCT(OFFSET($BO$15,0,0,$B$14,1), 1*(_xlfn._xlws.FILTER(OFFSET($O$15,0,$DN340,$B$8,1),OFFSET($M$15,0,0,$B$8,1))=DU$13), 1*(_xlfn._xlws.FILTER(OFFSET($O$15,0,$DO340,$B$8,1),OFFSET($M$15,0,0,$B$8,1))=DU$14))   /   SUM(OFFSET($BO$15,0,0,$B$14,1)) + $B$18/($B$19*$B$19*($DN340&lt;&gt;$DO340) + $B$19*($DN340=$DO340))</f>
        <v>3.7037037037037035E-4</v>
      </c>
      <c r="DV340" s="10" cm="1">
        <f t="array" aca="1" ref="DV340" ca="1">(1-$B$18)*SUMPRODUCT(OFFSET($BO$15,0,0,$B$14,1), 1*(_xlfn._xlws.FILTER(OFFSET($O$15,0,$DN340,$B$8,1),OFFSET($M$15,0,0,$B$8,1))=DV$13), 1*(_xlfn._xlws.FILTER(OFFSET($O$15,0,$DO340,$B$8,1),OFFSET($M$15,0,0,$B$8,1))=DV$14))   /   SUM(OFFSET($BO$15,0,0,$B$14,1)) + $B$18/($B$19*$B$19*($DN340&lt;&gt;$DO340) + $B$19*($DN340=$DO340))</f>
        <v>3.7037037037037035E-4</v>
      </c>
      <c r="DW340" s="10" cm="1">
        <f t="array" aca="1" ref="DW340" ca="1">(1-$B$18)*SUMPRODUCT(OFFSET($BO$15,0,0,$B$14,1), 1*(_xlfn._xlws.FILTER(OFFSET($O$15,0,$DN340,$B$8,1),OFFSET($M$15,0,0,$B$8,1))=DW$13), 1*(_xlfn._xlws.FILTER(OFFSET($O$15,0,$DO340,$B$8,1),OFFSET($M$15,0,0,$B$8,1))=DW$14))   /   SUM(OFFSET($BO$15,0,0,$B$14,1)) + $B$18/($B$19*$B$19*($DN340&lt;&gt;$DO340) + $B$19*($DN340=$DO340))</f>
        <v>3.7037037037037035E-4</v>
      </c>
      <c r="DX340" s="10" cm="1">
        <f t="array" aca="1" ref="DX340" ca="1">(1-$B$18)*SUMPRODUCT(OFFSET($BO$15,0,0,$B$14,1), 1*(_xlfn._xlws.FILTER(OFFSET($O$15,0,$DN340,$B$8,1),OFFSET($M$15,0,0,$B$8,1))=DX$13), 1*(_xlfn._xlws.FILTER(OFFSET($O$15,0,$DO340,$B$8,1),OFFSET($M$15,0,0,$B$8,1))=DX$14))   /   SUM(OFFSET($BO$15,0,0,$B$14,1)) + $B$18/($B$19*$B$19*($DN340&lt;&gt;$DO340) + $B$19*($DN340=$DO340))</f>
        <v>3.7037037037037035E-4</v>
      </c>
      <c r="DY340" s="10" cm="1">
        <f t="array" aca="1" ref="DY340" ca="1">(1-$B$18)*SUMPRODUCT(OFFSET($BO$15,0,0,$B$14,1), 1*(_xlfn._xlws.FILTER(OFFSET($O$15,0,$DN340,$B$8,1),OFFSET($M$15,0,0,$B$8,1))=DY$13), 1*(_xlfn._xlws.FILTER(OFFSET($O$15,0,$DO340,$B$8,1),OFFSET($M$15,0,0,$B$8,1))=DY$14))   /   SUM(OFFSET($BO$15,0,0,$B$14,1)) + $B$18/($B$19*$B$19*($DN340&lt;&gt;$DO340) + $B$19*($DN340=$DO340))</f>
        <v>3.7037037037037035E-4</v>
      </c>
      <c r="DZ340" s="10" cm="1">
        <f t="array" aca="1" ref="DZ340" ca="1">(1-$B$18)*SUMPRODUCT(OFFSET($BO$15,0,0,$B$14,1), 1*(_xlfn._xlws.FILTER(OFFSET($O$15,0,$DN340,$B$8,1),OFFSET($M$15,0,0,$B$8,1))=DZ$13), 1*(_xlfn._xlws.FILTER(OFFSET($O$15,0,$DO340,$B$8,1),OFFSET($M$15,0,0,$B$8,1))=DZ$14))   /   SUM(OFFSET($BO$15,0,0,$B$14,1)) + $B$18/($B$19*$B$19*($DN340&lt;&gt;$DO340) + $B$19*($DN340=$DO340))</f>
        <v>3.7037037037037035E-4</v>
      </c>
      <c r="EA340" s="10" cm="1">
        <f t="array" aca="1" ref="EA340" ca="1">(1-$B$18)*SUMPRODUCT(OFFSET($BO$15,0,0,$B$14,1), 1*(_xlfn._xlws.FILTER(OFFSET($O$15,0,$DN340,$B$8,1),OFFSET($M$15,0,0,$B$8,1))=EA$13), 1*(_xlfn._xlws.FILTER(OFFSET($O$15,0,$DO340,$B$8,1),OFFSET($M$15,0,0,$B$8,1))=EA$14))   /   SUM(OFFSET($BO$15,0,0,$B$14,1)) + $B$18/($B$19*$B$19*($DN340&lt;&gt;$DO340) + $B$19*($DN340=$DO340))</f>
        <v>3.7037037037037035E-4</v>
      </c>
      <c r="EB340" s="10" cm="1">
        <f t="array" aca="1" ref="EB340" ca="1">(1-$B$18)*SUMPRODUCT(OFFSET($BO$15,0,0,$B$14,1), 1*(_xlfn._xlws.FILTER(OFFSET($O$15,0,$DN340,$B$8,1),OFFSET($M$15,0,0,$B$8,1))=EB$13), 1*(_xlfn._xlws.FILTER(OFFSET($O$15,0,$DO340,$B$8,1),OFFSET($M$15,0,0,$B$8,1))=EB$14))   /   SUM(OFFSET($BO$15,0,0,$B$14,1)) + $B$18/($B$19*$B$19*($DN340&lt;&gt;$DO340) + $B$19*($DN340=$DO340))</f>
        <v>3.7037037037037035E-4</v>
      </c>
      <c r="EC340" s="10" cm="1">
        <f t="array" aca="1" ref="EC340" ca="1">(1-$B$18)*SUMPRODUCT(OFFSET($BO$15,0,0,$B$14,1), 1*(_xlfn._xlws.FILTER(OFFSET($O$15,0,$DN340,$B$8,1),OFFSET($M$15,0,0,$B$8,1))=EC$13), 1*(_xlfn._xlws.FILTER(OFFSET($O$15,0,$DO340,$B$8,1),OFFSET($M$15,0,0,$B$8,1))=EC$14))   /   SUM(OFFSET($BO$15,0,0,$B$14,1)) + $B$18/($B$19*$B$19*($DN340&lt;&gt;$DO340) + $B$19*($DN340=$DO340))</f>
        <v>3.7037037037037035E-4</v>
      </c>
      <c r="ED340" s="10" cm="1">
        <f t="array" aca="1" ref="ED340" ca="1">(1-$B$18)*SUMPRODUCT(OFFSET($BO$15,0,0,$B$14,1), 1*(_xlfn._xlws.FILTER(OFFSET($O$15,0,$DN340,$B$8,1),OFFSET($M$15,0,0,$B$8,1))=ED$13), 1*(_xlfn._xlws.FILTER(OFFSET($O$15,0,$DO340,$B$8,1),OFFSET($M$15,0,0,$B$8,1))=ED$14))   /   SUM(OFFSET($BO$15,0,0,$B$14,1)) + $B$18/($B$19*$B$19*($DN340&lt;&gt;$DO340) + $B$19*($DN340=$DO340))</f>
        <v>3.7037037037037035E-4</v>
      </c>
      <c r="EE340" s="10" cm="1">
        <f t="array" aca="1" ref="EE340" ca="1">(1-$B$18)*SUMPRODUCT(OFFSET($BO$15,0,0,$B$14,1), 1*(_xlfn._xlws.FILTER(OFFSET($O$15,0,$DN340,$B$8,1),OFFSET($M$15,0,0,$B$8,1))=EE$13), 1*(_xlfn._xlws.FILTER(OFFSET($O$15,0,$DO340,$B$8,1),OFFSET($M$15,0,0,$B$8,1))=EE$14))   /   SUM(OFFSET($BO$15,0,0,$B$14,1)) + $B$18/($B$19*$B$19*($DN340&lt;&gt;$DO340) + $B$19*($DN340=$DO340))</f>
        <v>3.7037037037037035E-4</v>
      </c>
      <c r="EF340" s="10" cm="1">
        <f t="array" aca="1" ref="EF340" ca="1">(1-$B$18)*SUMPRODUCT(OFFSET($BO$15,0,0,$B$14,1), 1*(_xlfn._xlws.FILTER(OFFSET($O$15,0,$DN340,$B$8,1),OFFSET($M$15,0,0,$B$8,1))=EF$13), 1*(_xlfn._xlws.FILTER(OFFSET($O$15,0,$DO340,$B$8,1),OFFSET($M$15,0,0,$B$8,1))=EF$14))   /   SUM(OFFSET($BO$15,0,0,$B$14,1)) + $B$18/($B$19*$B$19*($DN340&lt;&gt;$DO340) + $B$19*($DN340=$DO340))</f>
        <v>3.7037037037037035E-4</v>
      </c>
      <c r="EG340" s="10" cm="1">
        <f t="array" aca="1" ref="EG340" ca="1">(1-$B$18)*SUMPRODUCT(OFFSET($BO$15,0,0,$B$14,1), 1*(_xlfn._xlws.FILTER(OFFSET($O$15,0,$DN340,$B$8,1),OFFSET($M$15,0,0,$B$8,1))=EG$13), 1*(_xlfn._xlws.FILTER(OFFSET($O$15,0,$DO340,$B$8,1),OFFSET($M$15,0,0,$B$8,1))=EG$14))   /   SUM(OFFSET($BO$15,0,0,$B$14,1)) + $B$18/($B$19*$B$19*($DN340&lt;&gt;$DO340) + $B$19*($DN340=$DO340))</f>
        <v>3.7037037037037035E-4</v>
      </c>
      <c r="EH340" s="10" cm="1">
        <f t="array" aca="1" ref="EH340" ca="1">(1-$B$18)*SUMPRODUCT(OFFSET($BO$15,0,0,$B$14,1), 1*(_xlfn._xlws.FILTER(OFFSET($O$15,0,$DN340,$B$8,1),OFFSET($M$15,0,0,$B$8,1))=EH$13), 1*(_xlfn._xlws.FILTER(OFFSET($O$15,0,$DO340,$B$8,1),OFFSET($M$15,0,0,$B$8,1))=EH$14))   /   SUM(OFFSET($BO$15,0,0,$B$14,1)) + $B$18/($B$19*$B$19*($DN340&lt;&gt;$DO340) + $B$19*($DN340=$DO340))</f>
        <v>3.7037037037037035E-4</v>
      </c>
      <c r="EI340" s="10" cm="1">
        <f t="array" aca="1" ref="EI340" ca="1">(1-$B$18)*SUMPRODUCT(OFFSET($BO$15,0,0,$B$14,1), 1*(_xlfn._xlws.FILTER(OFFSET($O$15,0,$DN340,$B$8,1),OFFSET($M$15,0,0,$B$8,1))=EI$13), 1*(_xlfn._xlws.FILTER(OFFSET($O$15,0,$DO340,$B$8,1),OFFSET($M$15,0,0,$B$8,1))=EI$14))   /   SUM(OFFSET($BO$15,0,0,$B$14,1)) + $B$18/($B$19*$B$19*($DN340&lt;&gt;$DO340) + $B$19*($DN340=$DO340))</f>
        <v>3.7037037037037035E-4</v>
      </c>
      <c r="EJ340" s="10" cm="1">
        <f t="array" aca="1" ref="EJ340" ca="1">(1-$B$18)*SUMPRODUCT(OFFSET($BO$15,0,0,$B$14,1), 1*(_xlfn._xlws.FILTER(OFFSET($O$15,0,$DN340,$B$8,1),OFFSET($M$15,0,0,$B$8,1))=EJ$13), 1*(_xlfn._xlws.FILTER(OFFSET($O$15,0,$DO340,$B$8,1),OFFSET($M$15,0,0,$B$8,1))=EJ$14))   /   SUM(OFFSET($BO$15,0,0,$B$14,1)) + $B$18/($B$19*$B$19*($DN340&lt;&gt;$DO340) + $B$19*($DN340=$DO340))</f>
        <v>3.7037037037037035E-4</v>
      </c>
      <c r="EK340" s="10" cm="1">
        <f t="array" aca="1" ref="EK340" ca="1">(1-$B$18)*SUMPRODUCT(OFFSET($BO$15,0,0,$B$14,1), 1*(_xlfn._xlws.FILTER(OFFSET($O$15,0,$DN340,$B$8,1),OFFSET($M$15,0,0,$B$8,1))=EK$13), 1*(_xlfn._xlws.FILTER(OFFSET($O$15,0,$DO340,$B$8,1),OFFSET($M$15,0,0,$B$8,1))=EK$14))   /   SUM(OFFSET($BO$15,0,0,$B$14,1)) + $B$18/($B$19*$B$19*($DN340&lt;&gt;$DO340) + $B$19*($DN340=$DO340))</f>
        <v>3.7037037037037035E-4</v>
      </c>
      <c r="EL340" s="10" cm="1">
        <f t="array" aca="1" ref="EL340" ca="1">(1-$B$18)*SUMPRODUCT(OFFSET($BO$15,0,0,$B$14,1), 1*(_xlfn._xlws.FILTER(OFFSET($O$15,0,$DN340,$B$8,1),OFFSET($M$15,0,0,$B$8,1))=EL$13), 1*(_xlfn._xlws.FILTER(OFFSET($O$15,0,$DO340,$B$8,1),OFFSET($M$15,0,0,$B$8,1))=EL$14))   /   SUM(OFFSET($BO$15,0,0,$B$14,1)) + $B$18/($B$19*$B$19*($DN340&lt;&gt;$DO340) + $B$19*($DN340=$DO340))</f>
        <v>3.7037037037037035E-4</v>
      </c>
      <c r="EM340" s="10" cm="1">
        <f t="array" aca="1" ref="EM340" ca="1">(1-$B$18)*SUMPRODUCT(OFFSET($BO$15,0,0,$B$14,1), 1*(_xlfn._xlws.FILTER(OFFSET($O$15,0,$DN340,$B$8,1),OFFSET($M$15,0,0,$B$8,1))=EM$13), 1*(_xlfn._xlws.FILTER(OFFSET($O$15,0,$DO340,$B$8,1),OFFSET($M$15,0,0,$B$8,1))=EM$14))   /   SUM(OFFSET($BO$15,0,0,$B$14,1)) + $B$18/($B$19*$B$19*($DN340&lt;&gt;$DO340) + $B$19*($DN340=$DO340))</f>
        <v>3.7037037037037035E-4</v>
      </c>
      <c r="EN340" s="10" cm="1">
        <f t="array" aca="1" ref="EN340" ca="1">(1-$B$18)*SUMPRODUCT(OFFSET($BO$15,0,0,$B$14,1), 1*(_xlfn._xlws.FILTER(OFFSET($O$15,0,$DN340,$B$8,1),OFFSET($M$15,0,0,$B$8,1))=EN$13), 1*(_xlfn._xlws.FILTER(OFFSET($O$15,0,$DO340,$B$8,1),OFFSET($M$15,0,0,$B$8,1))=EN$14))   /   SUM(OFFSET($BO$15,0,0,$B$14,1)) + $B$18/($B$19*$B$19*($DN340&lt;&gt;$DO340) + $B$19*($DN340=$DO340))</f>
        <v>3.7037037037037035E-4</v>
      </c>
      <c r="EO340" s="10" cm="1">
        <f t="array" aca="1" ref="EO340" ca="1">(1-$B$18)*SUMPRODUCT(OFFSET($BO$15,0,0,$B$14,1), 1*(_xlfn._xlws.FILTER(OFFSET($O$15,0,$DN340,$B$8,1),OFFSET($M$15,0,0,$B$8,1))=EO$13), 1*(_xlfn._xlws.FILTER(OFFSET($O$15,0,$DO340,$B$8,1),OFFSET($M$15,0,0,$B$8,1))=EO$14))   /   SUM(OFFSET($BO$15,0,0,$B$14,1)) + $B$18/($B$19*$B$19*($DN340&lt;&gt;$DO340) + $B$19*($DN340=$DO340))</f>
        <v>3.7037037037037035E-4</v>
      </c>
      <c r="EP340" s="10" cm="1">
        <f t="array" aca="1" ref="EP340" ca="1">(1-$B$18)*SUMPRODUCT(OFFSET($BO$15,0,0,$B$14,1), 1*(_xlfn._xlws.FILTER(OFFSET($O$15,0,$DN340,$B$8,1),OFFSET($M$15,0,0,$B$8,1))=EP$13), 1*(_xlfn._xlws.FILTER(OFFSET($O$15,0,$DO340,$B$8,1),OFFSET($M$15,0,0,$B$8,1))=EP$14))   /   SUM(OFFSET($BO$15,0,0,$B$14,1)) + $B$18/($B$19*$B$19*($DN340&lt;&gt;$DO340) + $B$19*($DN340=$DO340))</f>
        <v>3.7037037037037035E-4</v>
      </c>
      <c r="EQ340" s="10" cm="1">
        <f t="array" aca="1" ref="EQ340" ca="1">(1-$B$18)*SUMPRODUCT(OFFSET($BO$15,0,0,$B$14,1), 1*(_xlfn._xlws.FILTER(OFFSET($O$15,0,$DN340,$B$8,1),OFFSET($M$15,0,0,$B$8,1))=EQ$13), 1*(_xlfn._xlws.FILTER(OFFSET($O$15,0,$DO340,$B$8,1),OFFSET($M$15,0,0,$B$8,1))=EQ$14))   /   SUM(OFFSET($BO$15,0,0,$B$14,1)) + $B$18/($B$19*$B$19*($DN340&lt;&gt;$DO340) + $B$19*($DN340=$DO340))</f>
        <v>3.7037037037037035E-4</v>
      </c>
      <c r="ER340" s="10" cm="1">
        <f t="array" aca="1" ref="ER340" ca="1">(1-$B$18)*SUMPRODUCT(OFFSET($BO$15,0,0,$B$14,1), 1*(_xlfn._xlws.FILTER(OFFSET($O$15,0,$DN340,$B$8,1),OFFSET($M$15,0,0,$B$8,1))=ER$13), 1*(_xlfn._xlws.FILTER(OFFSET($O$15,0,$DO340,$B$8,1),OFFSET($M$15,0,0,$B$8,1))=ER$14))   /   SUM(OFFSET($BO$15,0,0,$B$14,1)) + $B$18/($B$19*$B$19*($DN340&lt;&gt;$DO340) + $B$19*($DN340=$DO340))</f>
        <v>3.7037037037037035E-4</v>
      </c>
      <c r="ES340" s="10" cm="1">
        <f t="array" aca="1" ref="ES340" ca="1">(1-$B$18)*SUMPRODUCT(OFFSET($BO$15,0,0,$B$14,1), 1*(_xlfn._xlws.FILTER(OFFSET($O$15,0,$DN340,$B$8,1),OFFSET($M$15,0,0,$B$8,1))=ES$13), 1*(_xlfn._xlws.FILTER(OFFSET($O$15,0,$DO340,$B$8,1),OFFSET($M$15,0,0,$B$8,1))=ES$14))   /   SUM(OFFSET($BO$15,0,0,$B$14,1)) + $B$18/($B$19*$B$19*($DN340&lt;&gt;$DO340) + $B$19*($DN340=$DO340))</f>
        <v>3.7037037037037035E-4</v>
      </c>
      <c r="ET340" s="10" cm="1">
        <f t="array" aca="1" ref="ET340" ca="1">(1-$B$18)*SUMPRODUCT(OFFSET($BO$15,0,0,$B$14,1), 1*(_xlfn._xlws.FILTER(OFFSET($O$15,0,$DN340,$B$8,1),OFFSET($M$15,0,0,$B$8,1))=ET$13), 1*(_xlfn._xlws.FILTER(OFFSET($O$15,0,$DO340,$B$8,1),OFFSET($M$15,0,0,$B$8,1))=ET$14))   /   SUM(OFFSET($BO$15,0,0,$B$14,1)) + $B$18/($B$19*$B$19*($DN340&lt;&gt;$DO340) + $B$19*($DN340=$DO340))</f>
        <v>3.7037037037037035E-4</v>
      </c>
      <c r="EU340" s="10" cm="1">
        <f t="array" aca="1" ref="EU340" ca="1">(1-$B$18)*SUMPRODUCT(OFFSET($BO$15,0,0,$B$14,1), 1*(_xlfn._xlws.FILTER(OFFSET($O$15,0,$DN340,$B$8,1),OFFSET($M$15,0,0,$B$8,1))=EU$13), 1*(_xlfn._xlws.FILTER(OFFSET($O$15,0,$DO340,$B$8,1),OFFSET($M$15,0,0,$B$8,1))=EU$14))   /   SUM(OFFSET($BO$15,0,0,$B$14,1)) + $B$18/($B$19*$B$19*($DN340&lt;&gt;$DO340) + $B$19*($DN340=$DO340))</f>
        <v>3.7037037037037035E-4</v>
      </c>
      <c r="EV340" s="10" cm="1">
        <f t="array" aca="1" ref="EV340" ca="1">(1-$B$18)*SUMPRODUCT(OFFSET($BO$15,0,0,$B$14,1), 1*(_xlfn._xlws.FILTER(OFFSET($O$15,0,$DN340,$B$8,1),OFFSET($M$15,0,0,$B$8,1))=EV$13), 1*(_xlfn._xlws.FILTER(OFFSET($O$15,0,$DO340,$B$8,1),OFFSET($M$15,0,0,$B$8,1))=EV$14))   /   SUM(OFFSET($BO$15,0,0,$B$14,1)) + $B$18/($B$19*$B$19*($DN340&lt;&gt;$DO340) + $B$19*($DN340=$DO340))</f>
        <v>3.7037037037037035E-4</v>
      </c>
      <c r="EW340" s="10" cm="1">
        <f t="array" aca="1" ref="EW340" ca="1">(1-$B$18)*SUMPRODUCT(OFFSET($BO$15,0,0,$B$14,1), 1*(_xlfn._xlws.FILTER(OFFSET($O$15,0,$DN340,$B$8,1),OFFSET($M$15,0,0,$B$8,1))=EW$13), 1*(_xlfn._xlws.FILTER(OFFSET($O$15,0,$DO340,$B$8,1),OFFSET($M$15,0,0,$B$8,1))=EW$14))   /   SUM(OFFSET($BO$15,0,0,$B$14,1)) + $B$18/($B$19*$B$19*($DN340&lt;&gt;$DO340) + $B$19*($DN340=$DO340))</f>
        <v>3.7037037037037035E-4</v>
      </c>
      <c r="EX340" s="10" cm="1">
        <f t="array" aca="1" ref="EX340" ca="1">(1-$B$18)*SUMPRODUCT(OFFSET($BO$15,0,0,$B$14,1), 1*(_xlfn._xlws.FILTER(OFFSET($O$15,0,$DN340,$B$8,1),OFFSET($M$15,0,0,$B$8,1))=EX$13), 1*(_xlfn._xlws.FILTER(OFFSET($O$15,0,$DO340,$B$8,1),OFFSET($M$15,0,0,$B$8,1))=EX$14))   /   SUM(OFFSET($BO$15,0,0,$B$14,1)) + $B$18/($B$19*$B$19*($DN340&lt;&gt;$DO340) + $B$19*($DN340=$DO340))</f>
        <v>3.7037037037037035E-4</v>
      </c>
      <c r="EY340" s="10" cm="1">
        <f t="array" aca="1" ref="EY340" ca="1">(1-$B$18)*SUMPRODUCT(OFFSET($BO$15,0,0,$B$14,1), 1*(_xlfn._xlws.FILTER(OFFSET($O$15,0,$DN340,$B$8,1),OFFSET($M$15,0,0,$B$8,1))=EY$13), 1*(_xlfn._xlws.FILTER(OFFSET($O$15,0,$DO340,$B$8,1),OFFSET($M$15,0,0,$B$8,1))=EY$14))   /   SUM(OFFSET($BO$15,0,0,$B$14,1)) + $B$18/($B$19*$B$19*($DN340&lt;&gt;$DO340) + $B$19*($DN340=$DO340))</f>
        <v>3.7037037037037035E-4</v>
      </c>
      <c r="EZ340" s="10" cm="1">
        <f t="array" aca="1" ref="EZ340" ca="1">(1-$B$18)*SUMPRODUCT(OFFSET($BO$15,0,0,$B$14,1), 1*(_xlfn._xlws.FILTER(OFFSET($O$15,0,$DN340,$B$8,1),OFFSET($M$15,0,0,$B$8,1))=EZ$13), 1*(_xlfn._xlws.FILTER(OFFSET($O$15,0,$DO340,$B$8,1),OFFSET($M$15,0,0,$B$8,1))=EZ$14))   /   SUM(OFFSET($BO$15,0,0,$B$14,1)) + $B$18/($B$19*$B$19*($DN340&lt;&gt;$DO340) + $B$19*($DN340=$DO340))</f>
        <v>3.7037037037037035E-4</v>
      </c>
      <c r="FA340" s="10" cm="1">
        <f t="array" aca="1" ref="FA340" ca="1">(1-$B$18)*SUMPRODUCT(OFFSET($BO$15,0,0,$B$14,1), 1*(_xlfn._xlws.FILTER(OFFSET($O$15,0,$DN340,$B$8,1),OFFSET($M$15,0,0,$B$8,1))=FA$13), 1*(_xlfn._xlws.FILTER(OFFSET($O$15,0,$DO340,$B$8,1),OFFSET($M$15,0,0,$B$8,1))=FA$14))   /   SUM(OFFSET($BO$15,0,0,$B$14,1)) + $B$18/($B$19*$B$19*($DN340&lt;&gt;$DO340) + $B$19*($DN340=$DO340))</f>
        <v>3.7037037037037035E-4</v>
      </c>
      <c r="FB340" s="10" cm="1">
        <f t="array" aca="1" ref="FB340" ca="1">(1-$B$18)*SUMPRODUCT(OFFSET($BO$15,0,0,$B$14,1), 1*(_xlfn._xlws.FILTER(OFFSET($O$15,0,$DN340,$B$8,1),OFFSET($M$15,0,0,$B$8,1))=FB$13), 1*(_xlfn._xlws.FILTER(OFFSET($O$15,0,$DO340,$B$8,1),OFFSET($M$15,0,0,$B$8,1))=FB$14))   /   SUM(OFFSET($BO$15,0,0,$B$14,1)) + $B$18/($B$19*$B$19*($DN340&lt;&gt;$DO340) + $B$19*($DN340=$DO340))</f>
        <v>0.24287037037037024</v>
      </c>
      <c r="FC340" s="10" cm="1">
        <f t="array" aca="1" ref="FC340" ca="1">(1-$B$18)*SUMPRODUCT(OFFSET($BO$15,0,0,$B$14,1), 1*(_xlfn._xlws.FILTER(OFFSET($O$15,0,$DN340,$B$8,1),OFFSET($M$15,0,0,$B$8,1))=FC$13), 1*(_xlfn._xlws.FILTER(OFFSET($O$15,0,$DO340,$B$8,1),OFFSET($M$15,0,0,$B$8,1))=FC$14))   /   SUM(OFFSET($BO$15,0,0,$B$14,1)) + $B$18/($B$19*$B$19*($DN340&lt;&gt;$DO340) + $B$19*($DN340=$DO340))</f>
        <v>3.7037037037037035E-4</v>
      </c>
      <c r="FD340" s="10" cm="1">
        <f t="array" aca="1" ref="FD340" ca="1">(1-$B$18)*SUMPRODUCT(OFFSET($BO$15,0,0,$B$14,1), 1*(_xlfn._xlws.FILTER(OFFSET($O$15,0,$DN340,$B$8,1),OFFSET($M$15,0,0,$B$8,1))=FD$13), 1*(_xlfn._xlws.FILTER(OFFSET($O$15,0,$DO340,$B$8,1),OFFSET($M$15,0,0,$B$8,1))=FD$14))   /   SUM(OFFSET($BO$15,0,0,$B$14,1)) + $B$18/($B$19*$B$19*($DN340&lt;&gt;$DO340) + $B$19*($DN340=$DO340))</f>
        <v>3.7037037037037035E-4</v>
      </c>
      <c r="FE340" s="10" cm="1">
        <f t="array" aca="1" ref="FE340" ca="1">(1-$B$18)*SUMPRODUCT(OFFSET($BO$15,0,0,$B$14,1), 1*(_xlfn._xlws.FILTER(OFFSET($O$15,0,$DN340,$B$8,1),OFFSET($M$15,0,0,$B$8,1))=FE$13), 1*(_xlfn._xlws.FILTER(OFFSET($O$15,0,$DO340,$B$8,1),OFFSET($M$15,0,0,$B$8,1))=FE$14))   /   SUM(OFFSET($BO$15,0,0,$B$14,1)) + $B$18/($B$19*$B$19*($DN340&lt;&gt;$DO340) + $B$19*($DN340=$DO340))</f>
        <v>3.7037037037037035E-4</v>
      </c>
      <c r="FF340" s="10" cm="1">
        <f t="array" aca="1" ref="FF340" ca="1">(1-$B$18)*SUMPRODUCT(OFFSET($BO$15,0,0,$B$14,1), 1*(_xlfn._xlws.FILTER(OFFSET($O$15,0,$DN340,$B$8,1),OFFSET($M$15,0,0,$B$8,1))=FF$13), 1*(_xlfn._xlws.FILTER(OFFSET($O$15,0,$DO340,$B$8,1),OFFSET($M$15,0,0,$B$8,1))=FF$14))   /   SUM(OFFSET($BO$15,0,0,$B$14,1)) + $B$18/($B$19*$B$19*($DN340&lt;&gt;$DO340) + $B$19*($DN340=$DO340))</f>
        <v>3.7037037037037035E-4</v>
      </c>
      <c r="FG340" s="10" cm="1">
        <f t="array" aca="1" ref="FG340" ca="1">(1-$B$18)*SUMPRODUCT(OFFSET($BO$15,0,0,$B$14,1), 1*(_xlfn._xlws.FILTER(OFFSET($O$15,0,$DN340,$B$8,1),OFFSET($M$15,0,0,$B$8,1))=FG$13), 1*(_xlfn._xlws.FILTER(OFFSET($O$15,0,$DO340,$B$8,1),OFFSET($M$15,0,0,$B$8,1))=FG$14))   /   SUM(OFFSET($BO$15,0,0,$B$14,1)) + $B$18/($B$19*$B$19*($DN340&lt;&gt;$DO340) + $B$19*($DN340=$DO340))</f>
        <v>3.7037037037037035E-4</v>
      </c>
      <c r="FH340" s="10" cm="1">
        <f t="array" aca="1" ref="FH340" ca="1">(1-$B$18)*SUMPRODUCT(OFFSET($BO$15,0,0,$B$14,1), 1*(_xlfn._xlws.FILTER(OFFSET($O$15,0,$DN340,$B$8,1),OFFSET($M$15,0,0,$B$8,1))=FH$13), 1*(_xlfn._xlws.FILTER(OFFSET($O$15,0,$DO340,$B$8,1),OFFSET($M$15,0,0,$B$8,1))=FH$14))   /   SUM(OFFSET($BO$15,0,0,$B$14,1)) + $B$18/($B$19*$B$19*($DN340&lt;&gt;$DO340) + $B$19*($DN340=$DO340))</f>
        <v>3.7037037037037035E-4</v>
      </c>
      <c r="FI340" s="10" cm="1">
        <f t="array" aca="1" ref="FI340" ca="1">(1-$B$18)*SUMPRODUCT(OFFSET($BO$15,0,0,$B$14,1), 1*(_xlfn._xlws.FILTER(OFFSET($O$15,0,$DN340,$B$8,1),OFFSET($M$15,0,0,$B$8,1))=FI$13), 1*(_xlfn._xlws.FILTER(OFFSET($O$15,0,$DO340,$B$8,1),OFFSET($M$15,0,0,$B$8,1))=FI$14))   /   SUM(OFFSET($BO$15,0,0,$B$14,1)) + $B$18/($B$19*$B$19*($DN340&lt;&gt;$DO340) + $B$19*($DN340=$DO340))</f>
        <v>3.7037037037037035E-4</v>
      </c>
      <c r="FJ340" s="10" cm="1">
        <f t="array" aca="1" ref="FJ340" ca="1">(1-$B$18)*SUMPRODUCT(OFFSET($BO$15,0,0,$B$14,1), 1*(_xlfn._xlws.FILTER(OFFSET($O$15,0,$DN340,$B$8,1),OFFSET($M$15,0,0,$B$8,1))=FJ$13), 1*(_xlfn._xlws.FILTER(OFFSET($O$15,0,$DO340,$B$8,1),OFFSET($M$15,0,0,$B$8,1))=FJ$14))   /   SUM(OFFSET($BO$15,0,0,$B$14,1)) + $B$18/($B$19*$B$19*($DN340&lt;&gt;$DO340) + $B$19*($DN340=$DO340))</f>
        <v>0.24287037037037026</v>
      </c>
      <c r="FK340" s="10" cm="1">
        <f t="array" aca="1" ref="FK340" ca="1">(1-$B$18)*SUMPRODUCT(OFFSET($BO$15,0,0,$B$14,1), 1*(_xlfn._xlws.FILTER(OFFSET($O$15,0,$DN340,$B$8,1),OFFSET($M$15,0,0,$B$8,1))=FK$13), 1*(_xlfn._xlws.FILTER(OFFSET($O$15,0,$DO340,$B$8,1),OFFSET($M$15,0,0,$B$8,1))=FK$14))   /   SUM(OFFSET($BO$15,0,0,$B$14,1)) + $B$18/($B$19*$B$19*($DN340&lt;&gt;$DO340) + $B$19*($DN340=$DO340))</f>
        <v>3.7037037037037035E-4</v>
      </c>
      <c r="FL340" s="10" cm="1">
        <f t="array" aca="1" ref="FL340" ca="1">(1-$B$18)*SUMPRODUCT(OFFSET($BO$15,0,0,$B$14,1), 1*(_xlfn._xlws.FILTER(OFFSET($O$15,0,$DN340,$B$8,1),OFFSET($M$15,0,0,$B$8,1))=FL$13), 1*(_xlfn._xlws.FILTER(OFFSET($O$15,0,$DO340,$B$8,1),OFFSET($M$15,0,0,$B$8,1))=FL$14))   /   SUM(OFFSET($BO$15,0,0,$B$14,1)) + $B$18/($B$19*$B$19*($DN340&lt;&gt;$DO340) + $B$19*($DN340=$DO340))</f>
        <v>3.7037037037037035E-4</v>
      </c>
      <c r="FM340" s="10" cm="1">
        <f t="array" aca="1" ref="FM340" ca="1">(1-$B$18)*SUMPRODUCT(OFFSET($BO$15,0,0,$B$14,1), 1*(_xlfn._xlws.FILTER(OFFSET($O$15,0,$DN340,$B$8,1),OFFSET($M$15,0,0,$B$8,1))=FM$13), 1*(_xlfn._xlws.FILTER(OFFSET($O$15,0,$DO340,$B$8,1),OFFSET($M$15,0,0,$B$8,1))=FM$14))   /   SUM(OFFSET($BO$15,0,0,$B$14,1)) + $B$18/($B$19*$B$19*($DN340&lt;&gt;$DO340) + $B$19*($DN340=$DO340))</f>
        <v>3.7037037037037035E-4</v>
      </c>
      <c r="FN340" s="10" cm="1">
        <f t="array" aca="1" ref="FN340" ca="1">(1-$B$18)*SUMPRODUCT(OFFSET($BO$15,0,0,$B$14,1), 1*(_xlfn._xlws.FILTER(OFFSET($O$15,0,$DN340,$B$8,1),OFFSET($M$15,0,0,$B$8,1))=FN$13), 1*(_xlfn._xlws.FILTER(OFFSET($O$15,0,$DO340,$B$8,1),OFFSET($M$15,0,0,$B$8,1))=FN$14))   /   SUM(OFFSET($BO$15,0,0,$B$14,1)) + $B$18/($B$19*$B$19*($DN340&lt;&gt;$DO340) + $B$19*($DN340=$DO340))</f>
        <v>3.7037037037037035E-4</v>
      </c>
      <c r="FO340" s="10" cm="1">
        <f t="array" aca="1" ref="FO340" ca="1">(1-$B$18)*SUMPRODUCT(OFFSET($BO$15,0,0,$B$14,1), 1*(_xlfn._xlws.FILTER(OFFSET($O$15,0,$DN340,$B$8,1),OFFSET($M$15,0,0,$B$8,1))=FO$13), 1*(_xlfn._xlws.FILTER(OFFSET($O$15,0,$DO340,$B$8,1),OFFSET($M$15,0,0,$B$8,1))=FO$14))   /   SUM(OFFSET($BO$15,0,0,$B$14,1)) + $B$18/($B$19*$B$19*($DN340&lt;&gt;$DO340) + $B$19*($DN340=$DO340))</f>
        <v>3.7037037037037035E-4</v>
      </c>
      <c r="FP340" s="10" cm="1">
        <f t="array" aca="1" ref="FP340" ca="1">(1-$B$18)*SUMPRODUCT(OFFSET($BO$15,0,0,$B$14,1), 1*(_xlfn._xlws.FILTER(OFFSET($O$15,0,$DN340,$B$8,1),OFFSET($M$15,0,0,$B$8,1))=FP$13), 1*(_xlfn._xlws.FILTER(OFFSET($O$15,0,$DO340,$B$8,1),OFFSET($M$15,0,0,$B$8,1))=FP$14))   /   SUM(OFFSET($BO$15,0,0,$B$14,1)) + $B$18/($B$19*$B$19*($DN340&lt;&gt;$DO340) + $B$19*($DN340=$DO340))</f>
        <v>3.7037037037037035E-4</v>
      </c>
      <c r="FQ340" s="10" cm="1">
        <f t="array" aca="1" ref="FQ340" ca="1">(1-$B$18)*SUMPRODUCT(OFFSET($BO$15,0,0,$B$14,1), 1*(_xlfn._xlws.FILTER(OFFSET($O$15,0,$DN340,$B$8,1),OFFSET($M$15,0,0,$B$8,1))=FQ$13), 1*(_xlfn._xlws.FILTER(OFFSET($O$15,0,$DO340,$B$8,1),OFFSET($M$15,0,0,$B$8,1))=FQ$14))   /   SUM(OFFSET($BO$15,0,0,$B$14,1)) + $B$18/($B$19*$B$19*($DN340&lt;&gt;$DO340) + $B$19*($DN340=$DO340))</f>
        <v>3.7037037037037035E-4</v>
      </c>
      <c r="FR340" s="10" cm="1">
        <f t="array" aca="1" ref="FR340" ca="1">(1-$B$18)*SUMPRODUCT(OFFSET($BO$15,0,0,$B$14,1), 1*(_xlfn._xlws.FILTER(OFFSET($O$15,0,$DN340,$B$8,1),OFFSET($M$15,0,0,$B$8,1))=FR$13), 1*(_xlfn._xlws.FILTER(OFFSET($O$15,0,$DO340,$B$8,1),OFFSET($M$15,0,0,$B$8,1))=FR$14))   /   SUM(OFFSET($BO$15,0,0,$B$14,1)) + $B$18/($B$19*$B$19*($DN340&lt;&gt;$DO340) + $B$19*($DN340=$DO340))</f>
        <v>0.48537037037037012</v>
      </c>
      <c r="FS340" s="10" cm="1">
        <f t="array" aca="1" ref="FS340" ca="1">(1-$B$18)*SUMPRODUCT(OFFSET($BO$15,0,0,$B$14,1), 1*(_xlfn._xlws.FILTER(OFFSET($O$15,0,$DN340,$B$8,1),OFFSET($M$15,0,0,$B$8,1))=FS$13), 1*(_xlfn._xlws.FILTER(OFFSET($O$15,0,$DO340,$B$8,1),OFFSET($M$15,0,0,$B$8,1))=FS$14))   /   SUM(OFFSET($BO$15,0,0,$B$14,1)) + $B$18/($B$19*$B$19*($DN340&lt;&gt;$DO340) + $B$19*($DN340=$DO340))</f>
        <v>3.7037037037037035E-4</v>
      </c>
      <c r="FT340" s="10" cm="1">
        <f t="array" aca="1" ref="FT340" ca="1">(1-$B$18)*SUMPRODUCT(OFFSET($BO$15,0,0,$B$14,1), 1*(_xlfn._xlws.FILTER(OFFSET($O$15,0,$DN340,$B$8,1),OFFSET($M$15,0,0,$B$8,1))=FT$13), 1*(_xlfn._xlws.FILTER(OFFSET($O$15,0,$DO340,$B$8,1),OFFSET($M$15,0,0,$B$8,1))=FT$14))   /   SUM(OFFSET($BO$15,0,0,$B$14,1)) + $B$18/($B$19*$B$19*($DN340&lt;&gt;$DO340) + $B$19*($DN340=$DO340))</f>
        <v>3.7037037037037035E-4</v>
      </c>
      <c r="FU340" s="10" cm="1">
        <f t="array" aca="1" ref="FU340" ca="1">(1-$B$18)*SUMPRODUCT(OFFSET($BO$15,0,0,$B$14,1), 1*(_xlfn._xlws.FILTER(OFFSET($O$15,0,$DN340,$B$8,1),OFFSET($M$15,0,0,$B$8,1))=FU$13), 1*(_xlfn._xlws.FILTER(OFFSET($O$15,0,$DO340,$B$8,1),OFFSET($M$15,0,0,$B$8,1))=FU$14))   /   SUM(OFFSET($BO$15,0,0,$B$14,1)) + $B$18/($B$19*$B$19*($DN340&lt;&gt;$DO340) + $B$19*($DN340=$DO340))</f>
        <v>3.7037037037037035E-4</v>
      </c>
      <c r="FV340" s="10" cm="1">
        <f t="array" aca="1" ref="FV340" ca="1">(1-$B$18)*SUMPRODUCT(OFFSET($BO$15,0,0,$B$14,1), 1*(_xlfn._xlws.FILTER(OFFSET($O$15,0,$DN340,$B$8,1),OFFSET($M$15,0,0,$B$8,1))=FV$13), 1*(_xlfn._xlws.FILTER(OFFSET($O$15,0,$DO340,$B$8,1),OFFSET($M$15,0,0,$B$8,1))=FV$14))   /   SUM(OFFSET($BO$15,0,0,$B$14,1)) + $B$18/($B$19*$B$19*($DN340&lt;&gt;$DO340) + $B$19*($DN340=$DO340))</f>
        <v>3.7037037037037035E-4</v>
      </c>
      <c r="FW340" s="10" cm="1">
        <f t="array" aca="1" ref="FW340" ca="1">(1-$B$18)*SUMPRODUCT(OFFSET($BO$15,0,0,$B$14,1), 1*(_xlfn._xlws.FILTER(OFFSET($O$15,0,$DN340,$B$8,1),OFFSET($M$15,0,0,$B$8,1))=FW$13), 1*(_xlfn._xlws.FILTER(OFFSET($O$15,0,$DO340,$B$8,1),OFFSET($M$15,0,0,$B$8,1))=FW$14))   /   SUM(OFFSET($BO$15,0,0,$B$14,1)) + $B$18/($B$19*$B$19*($DN340&lt;&gt;$DO340) + $B$19*($DN340=$DO340))</f>
        <v>3.7037037037037035E-4</v>
      </c>
      <c r="FX340" s="10" cm="1">
        <f t="array" aca="1" ref="FX340" ca="1">(1-$B$18)*SUMPRODUCT(OFFSET($BO$15,0,0,$B$14,1), 1*(_xlfn._xlws.FILTER(OFFSET($O$15,0,$DN340,$B$8,1),OFFSET($M$15,0,0,$B$8,1))=FX$13), 1*(_xlfn._xlws.FILTER(OFFSET($O$15,0,$DO340,$B$8,1),OFFSET($M$15,0,0,$B$8,1))=FX$14))   /   SUM(OFFSET($BO$15,0,0,$B$14,1)) + $B$18/($B$19*$B$19*($DN340&lt;&gt;$DO340) + $B$19*($DN340=$DO340))</f>
        <v>3.7037037037037035E-4</v>
      </c>
      <c r="FY340" s="10" cm="1">
        <f t="array" aca="1" ref="FY340" ca="1">(1-$B$18)*SUMPRODUCT(OFFSET($BO$15,0,0,$B$14,1), 1*(_xlfn._xlws.FILTER(OFFSET($O$15,0,$DN340,$B$8,1),OFFSET($M$15,0,0,$B$8,1))=FY$13), 1*(_xlfn._xlws.FILTER(OFFSET($O$15,0,$DO340,$B$8,1),OFFSET($M$15,0,0,$B$8,1))=FY$14))   /   SUM(OFFSET($BO$15,0,0,$B$14,1)) + $B$18/($B$19*$B$19*($DN340&lt;&gt;$DO340) + $B$19*($DN340=$DO340))</f>
        <v>3.7037037037037035E-4</v>
      </c>
      <c r="FZ340" s="10" cm="1">
        <f t="array" aca="1" ref="FZ340" ca="1">(1-$B$18)*SUMPRODUCT(OFFSET($BO$15,0,0,$B$14,1), 1*(_xlfn._xlws.FILTER(OFFSET($O$15,0,$DN340,$B$8,1),OFFSET($M$15,0,0,$B$8,1))=FZ$13), 1*(_xlfn._xlws.FILTER(OFFSET($O$15,0,$DO340,$B$8,1),OFFSET($M$15,0,0,$B$8,1))=FZ$14))   /   SUM(OFFSET($BO$15,0,0,$B$14,1)) + $B$18/($B$19*$B$19*($DN340&lt;&gt;$DO340) + $B$19*($DN340=$DO340))</f>
        <v>3.7037037037037035E-4</v>
      </c>
      <c r="GA340" s="10" cm="1">
        <f t="array" aca="1" ref="GA340" ca="1">(1-$B$18)*SUMPRODUCT(OFFSET($BO$15,0,0,$B$14,1), 1*(_xlfn._xlws.FILTER(OFFSET($O$15,0,$DN340,$B$8,1),OFFSET($M$15,0,0,$B$8,1))=GA$13), 1*(_xlfn._xlws.FILTER(OFFSET($O$15,0,$DO340,$B$8,1),OFFSET($M$15,0,0,$B$8,1))=GA$14))   /   SUM(OFFSET($BO$15,0,0,$B$14,1)) + $B$18/($B$19*$B$19*($DN340&lt;&gt;$DO340) + $B$19*($DN340=$DO340))</f>
        <v>3.7037037037037035E-4</v>
      </c>
    </row>
    <row r="341" spans="118:183" x14ac:dyDescent="0.2">
      <c r="DN341" cm="1">
        <f t="array" aca="1" ref="DN341" ca="1">INDEX(_xlfn.ANCHORARRAY($CP$15), 1 + INT((ROWS($DO$15:$DO341) - 1) / ROWS(_xlfn.ANCHORARRAY($CP$15))))</f>
        <v>20</v>
      </c>
      <c r="DO341" cm="1">
        <f t="array" aca="1" ref="DO341" ca="1">INDEX(_xlfn.ANCHORARRAY($CP$15),1+MOD(ROWS($DO$15:$DO341)-1,ROWS(_xlfn.ANCHORARRAY($CP$15))))</f>
        <v>3</v>
      </c>
      <c r="DP341" s="10" cm="1">
        <f t="array" aca="1" ref="DP341" ca="1">(1-$B$18)*SUMPRODUCT(OFFSET($BO$15,0,0,$B$14,1), 1*(_xlfn._xlws.FILTER(OFFSET($O$15,0,$DN341,$B$8,1),OFFSET($M$15,0,0,$B$8,1))=DP$13), 1*(_xlfn._xlws.FILTER(OFFSET($O$15,0,$DO341,$B$8,1),OFFSET($M$15,0,0,$B$8,1))=DP$14))   /   SUM(OFFSET($BO$15,0,0,$B$14,1)) + $B$18/($B$19*$B$19*($DN341&lt;&gt;$DO341) + $B$19*($DN341=$DO341))</f>
        <v>3.7037037037037035E-4</v>
      </c>
      <c r="DQ341" s="10" cm="1">
        <f t="array" aca="1" ref="DQ341" ca="1">(1-$B$18)*SUMPRODUCT(OFFSET($BO$15,0,0,$B$14,1), 1*(_xlfn._xlws.FILTER(OFFSET($O$15,0,$DN341,$B$8,1),OFFSET($M$15,0,0,$B$8,1))=DQ$13), 1*(_xlfn._xlws.FILTER(OFFSET($O$15,0,$DO341,$B$8,1),OFFSET($M$15,0,0,$B$8,1))=DQ$14))   /   SUM(OFFSET($BO$15,0,0,$B$14,1)) + $B$18/($B$19*$B$19*($DN341&lt;&gt;$DO341) + $B$19*($DN341=$DO341))</f>
        <v>3.7037037037037035E-4</v>
      </c>
      <c r="DR341" s="10" cm="1">
        <f t="array" aca="1" ref="DR341" ca="1">(1-$B$18)*SUMPRODUCT(OFFSET($BO$15,0,0,$B$14,1), 1*(_xlfn._xlws.FILTER(OFFSET($O$15,0,$DN341,$B$8,1),OFFSET($M$15,0,0,$B$8,1))=DR$13), 1*(_xlfn._xlws.FILTER(OFFSET($O$15,0,$DO341,$B$8,1),OFFSET($M$15,0,0,$B$8,1))=DR$14))   /   SUM(OFFSET($BO$15,0,0,$B$14,1)) + $B$18/($B$19*$B$19*($DN341&lt;&gt;$DO341) + $B$19*($DN341=$DO341))</f>
        <v>3.7037037037037035E-4</v>
      </c>
      <c r="DS341" s="10" cm="1">
        <f t="array" aca="1" ref="DS341" ca="1">(1-$B$18)*SUMPRODUCT(OFFSET($BO$15,0,0,$B$14,1), 1*(_xlfn._xlws.FILTER(OFFSET($O$15,0,$DN341,$B$8,1),OFFSET($M$15,0,0,$B$8,1))=DS$13), 1*(_xlfn._xlws.FILTER(OFFSET($O$15,0,$DO341,$B$8,1),OFFSET($M$15,0,0,$B$8,1))=DS$14))   /   SUM(OFFSET($BO$15,0,0,$B$14,1)) + $B$18/($B$19*$B$19*($DN341&lt;&gt;$DO341) + $B$19*($DN341=$DO341))</f>
        <v>3.7037037037037035E-4</v>
      </c>
      <c r="DT341" s="10" cm="1">
        <f t="array" aca="1" ref="DT341" ca="1">(1-$B$18)*SUMPRODUCT(OFFSET($BO$15,0,0,$B$14,1), 1*(_xlfn._xlws.FILTER(OFFSET($O$15,0,$DN341,$B$8,1),OFFSET($M$15,0,0,$B$8,1))=DT$13), 1*(_xlfn._xlws.FILTER(OFFSET($O$15,0,$DO341,$B$8,1),OFFSET($M$15,0,0,$B$8,1))=DT$14))   /   SUM(OFFSET($BO$15,0,0,$B$14,1)) + $B$18/($B$19*$B$19*($DN341&lt;&gt;$DO341) + $B$19*($DN341=$DO341))</f>
        <v>3.7037037037037035E-4</v>
      </c>
      <c r="DU341" s="10" cm="1">
        <f t="array" aca="1" ref="DU341" ca="1">(1-$B$18)*SUMPRODUCT(OFFSET($BO$15,0,0,$B$14,1), 1*(_xlfn._xlws.FILTER(OFFSET($O$15,0,$DN341,$B$8,1),OFFSET($M$15,0,0,$B$8,1))=DU$13), 1*(_xlfn._xlws.FILTER(OFFSET($O$15,0,$DO341,$B$8,1),OFFSET($M$15,0,0,$B$8,1))=DU$14))   /   SUM(OFFSET($BO$15,0,0,$B$14,1)) + $B$18/($B$19*$B$19*($DN341&lt;&gt;$DO341) + $B$19*($DN341=$DO341))</f>
        <v>3.7037037037037035E-4</v>
      </c>
      <c r="DV341" s="10" cm="1">
        <f t="array" aca="1" ref="DV341" ca="1">(1-$B$18)*SUMPRODUCT(OFFSET($BO$15,0,0,$B$14,1), 1*(_xlfn._xlws.FILTER(OFFSET($O$15,0,$DN341,$B$8,1),OFFSET($M$15,0,0,$B$8,1))=DV$13), 1*(_xlfn._xlws.FILTER(OFFSET($O$15,0,$DO341,$B$8,1),OFFSET($M$15,0,0,$B$8,1))=DV$14))   /   SUM(OFFSET($BO$15,0,0,$B$14,1)) + $B$18/($B$19*$B$19*($DN341&lt;&gt;$DO341) + $B$19*($DN341=$DO341))</f>
        <v>3.7037037037037035E-4</v>
      </c>
      <c r="DW341" s="10" cm="1">
        <f t="array" aca="1" ref="DW341" ca="1">(1-$B$18)*SUMPRODUCT(OFFSET($BO$15,0,0,$B$14,1), 1*(_xlfn._xlws.FILTER(OFFSET($O$15,0,$DN341,$B$8,1),OFFSET($M$15,0,0,$B$8,1))=DW$13), 1*(_xlfn._xlws.FILTER(OFFSET($O$15,0,$DO341,$B$8,1),OFFSET($M$15,0,0,$B$8,1))=DW$14))   /   SUM(OFFSET($BO$15,0,0,$B$14,1)) + $B$18/($B$19*$B$19*($DN341&lt;&gt;$DO341) + $B$19*($DN341=$DO341))</f>
        <v>3.7037037037037035E-4</v>
      </c>
      <c r="DX341" s="10" cm="1">
        <f t="array" aca="1" ref="DX341" ca="1">(1-$B$18)*SUMPRODUCT(OFFSET($BO$15,0,0,$B$14,1), 1*(_xlfn._xlws.FILTER(OFFSET($O$15,0,$DN341,$B$8,1),OFFSET($M$15,0,0,$B$8,1))=DX$13), 1*(_xlfn._xlws.FILTER(OFFSET($O$15,0,$DO341,$B$8,1),OFFSET($M$15,0,0,$B$8,1))=DX$14))   /   SUM(OFFSET($BO$15,0,0,$B$14,1)) + $B$18/($B$19*$B$19*($DN341&lt;&gt;$DO341) + $B$19*($DN341=$DO341))</f>
        <v>3.7037037037037035E-4</v>
      </c>
      <c r="DY341" s="10" cm="1">
        <f t="array" aca="1" ref="DY341" ca="1">(1-$B$18)*SUMPRODUCT(OFFSET($BO$15,0,0,$B$14,1), 1*(_xlfn._xlws.FILTER(OFFSET($O$15,0,$DN341,$B$8,1),OFFSET($M$15,0,0,$B$8,1))=DY$13), 1*(_xlfn._xlws.FILTER(OFFSET($O$15,0,$DO341,$B$8,1),OFFSET($M$15,0,0,$B$8,1))=DY$14))   /   SUM(OFFSET($BO$15,0,0,$B$14,1)) + $B$18/($B$19*$B$19*($DN341&lt;&gt;$DO341) + $B$19*($DN341=$DO341))</f>
        <v>3.7037037037037035E-4</v>
      </c>
      <c r="DZ341" s="10" cm="1">
        <f t="array" aca="1" ref="DZ341" ca="1">(1-$B$18)*SUMPRODUCT(OFFSET($BO$15,0,0,$B$14,1), 1*(_xlfn._xlws.FILTER(OFFSET($O$15,0,$DN341,$B$8,1),OFFSET($M$15,0,0,$B$8,1))=DZ$13), 1*(_xlfn._xlws.FILTER(OFFSET($O$15,0,$DO341,$B$8,1),OFFSET($M$15,0,0,$B$8,1))=DZ$14))   /   SUM(OFFSET($BO$15,0,0,$B$14,1)) + $B$18/($B$19*$B$19*($DN341&lt;&gt;$DO341) + $B$19*($DN341=$DO341))</f>
        <v>3.7037037037037035E-4</v>
      </c>
      <c r="EA341" s="10" cm="1">
        <f t="array" aca="1" ref="EA341" ca="1">(1-$B$18)*SUMPRODUCT(OFFSET($BO$15,0,0,$B$14,1), 1*(_xlfn._xlws.FILTER(OFFSET($O$15,0,$DN341,$B$8,1),OFFSET($M$15,0,0,$B$8,1))=EA$13), 1*(_xlfn._xlws.FILTER(OFFSET($O$15,0,$DO341,$B$8,1),OFFSET($M$15,0,0,$B$8,1))=EA$14))   /   SUM(OFFSET($BO$15,0,0,$B$14,1)) + $B$18/($B$19*$B$19*($DN341&lt;&gt;$DO341) + $B$19*($DN341=$DO341))</f>
        <v>3.7037037037037035E-4</v>
      </c>
      <c r="EB341" s="10" cm="1">
        <f t="array" aca="1" ref="EB341" ca="1">(1-$B$18)*SUMPRODUCT(OFFSET($BO$15,0,0,$B$14,1), 1*(_xlfn._xlws.FILTER(OFFSET($O$15,0,$DN341,$B$8,1),OFFSET($M$15,0,0,$B$8,1))=EB$13), 1*(_xlfn._xlws.FILTER(OFFSET($O$15,0,$DO341,$B$8,1),OFFSET($M$15,0,0,$B$8,1))=EB$14))   /   SUM(OFFSET($BO$15,0,0,$B$14,1)) + $B$18/($B$19*$B$19*($DN341&lt;&gt;$DO341) + $B$19*($DN341=$DO341))</f>
        <v>3.7037037037037035E-4</v>
      </c>
      <c r="EC341" s="10" cm="1">
        <f t="array" aca="1" ref="EC341" ca="1">(1-$B$18)*SUMPRODUCT(OFFSET($BO$15,0,0,$B$14,1), 1*(_xlfn._xlws.FILTER(OFFSET($O$15,0,$DN341,$B$8,1),OFFSET($M$15,0,0,$B$8,1))=EC$13), 1*(_xlfn._xlws.FILTER(OFFSET($O$15,0,$DO341,$B$8,1),OFFSET($M$15,0,0,$B$8,1))=EC$14))   /   SUM(OFFSET($BO$15,0,0,$B$14,1)) + $B$18/($B$19*$B$19*($DN341&lt;&gt;$DO341) + $B$19*($DN341=$DO341))</f>
        <v>3.7037037037037035E-4</v>
      </c>
      <c r="ED341" s="10" cm="1">
        <f t="array" aca="1" ref="ED341" ca="1">(1-$B$18)*SUMPRODUCT(OFFSET($BO$15,0,0,$B$14,1), 1*(_xlfn._xlws.FILTER(OFFSET($O$15,0,$DN341,$B$8,1),OFFSET($M$15,0,0,$B$8,1))=ED$13), 1*(_xlfn._xlws.FILTER(OFFSET($O$15,0,$DO341,$B$8,1),OFFSET($M$15,0,0,$B$8,1))=ED$14))   /   SUM(OFFSET($BO$15,0,0,$B$14,1)) + $B$18/($B$19*$B$19*($DN341&lt;&gt;$DO341) + $B$19*($DN341=$DO341))</f>
        <v>3.7037037037037035E-4</v>
      </c>
      <c r="EE341" s="10" cm="1">
        <f t="array" aca="1" ref="EE341" ca="1">(1-$B$18)*SUMPRODUCT(OFFSET($BO$15,0,0,$B$14,1), 1*(_xlfn._xlws.FILTER(OFFSET($O$15,0,$DN341,$B$8,1),OFFSET($M$15,0,0,$B$8,1))=EE$13), 1*(_xlfn._xlws.FILTER(OFFSET($O$15,0,$DO341,$B$8,1),OFFSET($M$15,0,0,$B$8,1))=EE$14))   /   SUM(OFFSET($BO$15,0,0,$B$14,1)) + $B$18/($B$19*$B$19*($DN341&lt;&gt;$DO341) + $B$19*($DN341=$DO341))</f>
        <v>3.7037037037037035E-4</v>
      </c>
      <c r="EF341" s="10" cm="1">
        <f t="array" aca="1" ref="EF341" ca="1">(1-$B$18)*SUMPRODUCT(OFFSET($BO$15,0,0,$B$14,1), 1*(_xlfn._xlws.FILTER(OFFSET($O$15,0,$DN341,$B$8,1),OFFSET($M$15,0,0,$B$8,1))=EF$13), 1*(_xlfn._xlws.FILTER(OFFSET($O$15,0,$DO341,$B$8,1),OFFSET($M$15,0,0,$B$8,1))=EF$14))   /   SUM(OFFSET($BO$15,0,0,$B$14,1)) + $B$18/($B$19*$B$19*($DN341&lt;&gt;$DO341) + $B$19*($DN341=$DO341))</f>
        <v>3.7037037037037035E-4</v>
      </c>
      <c r="EG341" s="10" cm="1">
        <f t="array" aca="1" ref="EG341" ca="1">(1-$B$18)*SUMPRODUCT(OFFSET($BO$15,0,0,$B$14,1), 1*(_xlfn._xlws.FILTER(OFFSET($O$15,0,$DN341,$B$8,1),OFFSET($M$15,0,0,$B$8,1))=EG$13), 1*(_xlfn._xlws.FILTER(OFFSET($O$15,0,$DO341,$B$8,1),OFFSET($M$15,0,0,$B$8,1))=EG$14))   /   SUM(OFFSET($BO$15,0,0,$B$14,1)) + $B$18/($B$19*$B$19*($DN341&lt;&gt;$DO341) + $B$19*($DN341=$DO341))</f>
        <v>3.7037037037037035E-4</v>
      </c>
      <c r="EH341" s="10" cm="1">
        <f t="array" aca="1" ref="EH341" ca="1">(1-$B$18)*SUMPRODUCT(OFFSET($BO$15,0,0,$B$14,1), 1*(_xlfn._xlws.FILTER(OFFSET($O$15,0,$DN341,$B$8,1),OFFSET($M$15,0,0,$B$8,1))=EH$13), 1*(_xlfn._xlws.FILTER(OFFSET($O$15,0,$DO341,$B$8,1),OFFSET($M$15,0,0,$B$8,1))=EH$14))   /   SUM(OFFSET($BO$15,0,0,$B$14,1)) + $B$18/($B$19*$B$19*($DN341&lt;&gt;$DO341) + $B$19*($DN341=$DO341))</f>
        <v>3.7037037037037035E-4</v>
      </c>
      <c r="EI341" s="10" cm="1">
        <f t="array" aca="1" ref="EI341" ca="1">(1-$B$18)*SUMPRODUCT(OFFSET($BO$15,0,0,$B$14,1), 1*(_xlfn._xlws.FILTER(OFFSET($O$15,0,$DN341,$B$8,1),OFFSET($M$15,0,0,$B$8,1))=EI$13), 1*(_xlfn._xlws.FILTER(OFFSET($O$15,0,$DO341,$B$8,1),OFFSET($M$15,0,0,$B$8,1))=EI$14))   /   SUM(OFFSET($BO$15,0,0,$B$14,1)) + $B$18/($B$19*$B$19*($DN341&lt;&gt;$DO341) + $B$19*($DN341=$DO341))</f>
        <v>3.7037037037037035E-4</v>
      </c>
      <c r="EJ341" s="10" cm="1">
        <f t="array" aca="1" ref="EJ341" ca="1">(1-$B$18)*SUMPRODUCT(OFFSET($BO$15,0,0,$B$14,1), 1*(_xlfn._xlws.FILTER(OFFSET($O$15,0,$DN341,$B$8,1),OFFSET($M$15,0,0,$B$8,1))=EJ$13), 1*(_xlfn._xlws.FILTER(OFFSET($O$15,0,$DO341,$B$8,1),OFFSET($M$15,0,0,$B$8,1))=EJ$14))   /   SUM(OFFSET($BO$15,0,0,$B$14,1)) + $B$18/($B$19*$B$19*($DN341&lt;&gt;$DO341) + $B$19*($DN341=$DO341))</f>
        <v>3.7037037037037035E-4</v>
      </c>
      <c r="EK341" s="10" cm="1">
        <f t="array" aca="1" ref="EK341" ca="1">(1-$B$18)*SUMPRODUCT(OFFSET($BO$15,0,0,$B$14,1), 1*(_xlfn._xlws.FILTER(OFFSET($O$15,0,$DN341,$B$8,1),OFFSET($M$15,0,0,$B$8,1))=EK$13), 1*(_xlfn._xlws.FILTER(OFFSET($O$15,0,$DO341,$B$8,1),OFFSET($M$15,0,0,$B$8,1))=EK$14))   /   SUM(OFFSET($BO$15,0,0,$B$14,1)) + $B$18/($B$19*$B$19*($DN341&lt;&gt;$DO341) + $B$19*($DN341=$DO341))</f>
        <v>3.7037037037037035E-4</v>
      </c>
      <c r="EL341" s="10" cm="1">
        <f t="array" aca="1" ref="EL341" ca="1">(1-$B$18)*SUMPRODUCT(OFFSET($BO$15,0,0,$B$14,1), 1*(_xlfn._xlws.FILTER(OFFSET($O$15,0,$DN341,$B$8,1),OFFSET($M$15,0,0,$B$8,1))=EL$13), 1*(_xlfn._xlws.FILTER(OFFSET($O$15,0,$DO341,$B$8,1),OFFSET($M$15,0,0,$B$8,1))=EL$14))   /   SUM(OFFSET($BO$15,0,0,$B$14,1)) + $B$18/($B$19*$B$19*($DN341&lt;&gt;$DO341) + $B$19*($DN341=$DO341))</f>
        <v>3.7037037037037035E-4</v>
      </c>
      <c r="EM341" s="10" cm="1">
        <f t="array" aca="1" ref="EM341" ca="1">(1-$B$18)*SUMPRODUCT(OFFSET($BO$15,0,0,$B$14,1), 1*(_xlfn._xlws.FILTER(OFFSET($O$15,0,$DN341,$B$8,1),OFFSET($M$15,0,0,$B$8,1))=EM$13), 1*(_xlfn._xlws.FILTER(OFFSET($O$15,0,$DO341,$B$8,1),OFFSET($M$15,0,0,$B$8,1))=EM$14))   /   SUM(OFFSET($BO$15,0,0,$B$14,1)) + $B$18/($B$19*$B$19*($DN341&lt;&gt;$DO341) + $B$19*($DN341=$DO341))</f>
        <v>3.7037037037037035E-4</v>
      </c>
      <c r="EN341" s="10" cm="1">
        <f t="array" aca="1" ref="EN341" ca="1">(1-$B$18)*SUMPRODUCT(OFFSET($BO$15,0,0,$B$14,1), 1*(_xlfn._xlws.FILTER(OFFSET($O$15,0,$DN341,$B$8,1),OFFSET($M$15,0,0,$B$8,1))=EN$13), 1*(_xlfn._xlws.FILTER(OFFSET($O$15,0,$DO341,$B$8,1),OFFSET($M$15,0,0,$B$8,1))=EN$14))   /   SUM(OFFSET($BO$15,0,0,$B$14,1)) + $B$18/($B$19*$B$19*($DN341&lt;&gt;$DO341) + $B$19*($DN341=$DO341))</f>
        <v>3.7037037037037035E-4</v>
      </c>
      <c r="EO341" s="10" cm="1">
        <f t="array" aca="1" ref="EO341" ca="1">(1-$B$18)*SUMPRODUCT(OFFSET($BO$15,0,0,$B$14,1), 1*(_xlfn._xlws.FILTER(OFFSET($O$15,0,$DN341,$B$8,1),OFFSET($M$15,0,0,$B$8,1))=EO$13), 1*(_xlfn._xlws.FILTER(OFFSET($O$15,0,$DO341,$B$8,1),OFFSET($M$15,0,0,$B$8,1))=EO$14))   /   SUM(OFFSET($BO$15,0,0,$B$14,1)) + $B$18/($B$19*$B$19*($DN341&lt;&gt;$DO341) + $B$19*($DN341=$DO341))</f>
        <v>3.7037037037037035E-4</v>
      </c>
      <c r="EP341" s="10" cm="1">
        <f t="array" aca="1" ref="EP341" ca="1">(1-$B$18)*SUMPRODUCT(OFFSET($BO$15,0,0,$B$14,1), 1*(_xlfn._xlws.FILTER(OFFSET($O$15,0,$DN341,$B$8,1),OFFSET($M$15,0,0,$B$8,1))=EP$13), 1*(_xlfn._xlws.FILTER(OFFSET($O$15,0,$DO341,$B$8,1),OFFSET($M$15,0,0,$B$8,1))=EP$14))   /   SUM(OFFSET($BO$15,0,0,$B$14,1)) + $B$18/($B$19*$B$19*($DN341&lt;&gt;$DO341) + $B$19*($DN341=$DO341))</f>
        <v>3.7037037037037035E-4</v>
      </c>
      <c r="EQ341" s="10" cm="1">
        <f t="array" aca="1" ref="EQ341" ca="1">(1-$B$18)*SUMPRODUCT(OFFSET($BO$15,0,0,$B$14,1), 1*(_xlfn._xlws.FILTER(OFFSET($O$15,0,$DN341,$B$8,1),OFFSET($M$15,0,0,$B$8,1))=EQ$13), 1*(_xlfn._xlws.FILTER(OFFSET($O$15,0,$DO341,$B$8,1),OFFSET($M$15,0,0,$B$8,1))=EQ$14))   /   SUM(OFFSET($BO$15,0,0,$B$14,1)) + $B$18/($B$19*$B$19*($DN341&lt;&gt;$DO341) + $B$19*($DN341=$DO341))</f>
        <v>3.7037037037037035E-4</v>
      </c>
      <c r="ER341" s="10" cm="1">
        <f t="array" aca="1" ref="ER341" ca="1">(1-$B$18)*SUMPRODUCT(OFFSET($BO$15,0,0,$B$14,1), 1*(_xlfn._xlws.FILTER(OFFSET($O$15,0,$DN341,$B$8,1),OFFSET($M$15,0,0,$B$8,1))=ER$13), 1*(_xlfn._xlws.FILTER(OFFSET($O$15,0,$DO341,$B$8,1),OFFSET($M$15,0,0,$B$8,1))=ER$14))   /   SUM(OFFSET($BO$15,0,0,$B$14,1)) + $B$18/($B$19*$B$19*($DN341&lt;&gt;$DO341) + $B$19*($DN341=$DO341))</f>
        <v>3.7037037037037035E-4</v>
      </c>
      <c r="ES341" s="10" cm="1">
        <f t="array" aca="1" ref="ES341" ca="1">(1-$B$18)*SUMPRODUCT(OFFSET($BO$15,0,0,$B$14,1), 1*(_xlfn._xlws.FILTER(OFFSET($O$15,0,$DN341,$B$8,1),OFFSET($M$15,0,0,$B$8,1))=ES$13), 1*(_xlfn._xlws.FILTER(OFFSET($O$15,0,$DO341,$B$8,1),OFFSET($M$15,0,0,$B$8,1))=ES$14))   /   SUM(OFFSET($BO$15,0,0,$B$14,1)) + $B$18/($B$19*$B$19*($DN341&lt;&gt;$DO341) + $B$19*($DN341=$DO341))</f>
        <v>3.7037037037037035E-4</v>
      </c>
      <c r="ET341" s="10" cm="1">
        <f t="array" aca="1" ref="ET341" ca="1">(1-$B$18)*SUMPRODUCT(OFFSET($BO$15,0,0,$B$14,1), 1*(_xlfn._xlws.FILTER(OFFSET($O$15,0,$DN341,$B$8,1),OFFSET($M$15,0,0,$B$8,1))=ET$13), 1*(_xlfn._xlws.FILTER(OFFSET($O$15,0,$DO341,$B$8,1),OFFSET($M$15,0,0,$B$8,1))=ET$14))   /   SUM(OFFSET($BO$15,0,0,$B$14,1)) + $B$18/($B$19*$B$19*($DN341&lt;&gt;$DO341) + $B$19*($DN341=$DO341))</f>
        <v>3.7037037037037035E-4</v>
      </c>
      <c r="EU341" s="10" cm="1">
        <f t="array" aca="1" ref="EU341" ca="1">(1-$B$18)*SUMPRODUCT(OFFSET($BO$15,0,0,$B$14,1), 1*(_xlfn._xlws.FILTER(OFFSET($O$15,0,$DN341,$B$8,1),OFFSET($M$15,0,0,$B$8,1))=EU$13), 1*(_xlfn._xlws.FILTER(OFFSET($O$15,0,$DO341,$B$8,1),OFFSET($M$15,0,0,$B$8,1))=EU$14))   /   SUM(OFFSET($BO$15,0,0,$B$14,1)) + $B$18/($B$19*$B$19*($DN341&lt;&gt;$DO341) + $B$19*($DN341=$DO341))</f>
        <v>3.7037037037037035E-4</v>
      </c>
      <c r="EV341" s="10" cm="1">
        <f t="array" aca="1" ref="EV341" ca="1">(1-$B$18)*SUMPRODUCT(OFFSET($BO$15,0,0,$B$14,1), 1*(_xlfn._xlws.FILTER(OFFSET($O$15,0,$DN341,$B$8,1),OFFSET($M$15,0,0,$B$8,1))=EV$13), 1*(_xlfn._xlws.FILTER(OFFSET($O$15,0,$DO341,$B$8,1),OFFSET($M$15,0,0,$B$8,1))=EV$14))   /   SUM(OFFSET($BO$15,0,0,$B$14,1)) + $B$18/($B$19*$B$19*($DN341&lt;&gt;$DO341) + $B$19*($DN341=$DO341))</f>
        <v>3.7037037037037035E-4</v>
      </c>
      <c r="EW341" s="10" cm="1">
        <f t="array" aca="1" ref="EW341" ca="1">(1-$B$18)*SUMPRODUCT(OFFSET($BO$15,0,0,$B$14,1), 1*(_xlfn._xlws.FILTER(OFFSET($O$15,0,$DN341,$B$8,1),OFFSET($M$15,0,0,$B$8,1))=EW$13), 1*(_xlfn._xlws.FILTER(OFFSET($O$15,0,$DO341,$B$8,1),OFFSET($M$15,0,0,$B$8,1))=EW$14))   /   SUM(OFFSET($BO$15,0,0,$B$14,1)) + $B$18/($B$19*$B$19*($DN341&lt;&gt;$DO341) + $B$19*($DN341=$DO341))</f>
        <v>3.7037037037037035E-4</v>
      </c>
      <c r="EX341" s="10" cm="1">
        <f t="array" aca="1" ref="EX341" ca="1">(1-$B$18)*SUMPRODUCT(OFFSET($BO$15,0,0,$B$14,1), 1*(_xlfn._xlws.FILTER(OFFSET($O$15,0,$DN341,$B$8,1),OFFSET($M$15,0,0,$B$8,1))=EX$13), 1*(_xlfn._xlws.FILTER(OFFSET($O$15,0,$DO341,$B$8,1),OFFSET($M$15,0,0,$B$8,1))=EX$14))   /   SUM(OFFSET($BO$15,0,0,$B$14,1)) + $B$18/($B$19*$B$19*($DN341&lt;&gt;$DO341) + $B$19*($DN341=$DO341))</f>
        <v>3.7037037037037035E-4</v>
      </c>
      <c r="EY341" s="10" cm="1">
        <f t="array" aca="1" ref="EY341" ca="1">(1-$B$18)*SUMPRODUCT(OFFSET($BO$15,0,0,$B$14,1), 1*(_xlfn._xlws.FILTER(OFFSET($O$15,0,$DN341,$B$8,1),OFFSET($M$15,0,0,$B$8,1))=EY$13), 1*(_xlfn._xlws.FILTER(OFFSET($O$15,0,$DO341,$B$8,1),OFFSET($M$15,0,0,$B$8,1))=EY$14))   /   SUM(OFFSET($BO$15,0,0,$B$14,1)) + $B$18/($B$19*$B$19*($DN341&lt;&gt;$DO341) + $B$19*($DN341=$DO341))</f>
        <v>3.7037037037037035E-4</v>
      </c>
      <c r="EZ341" s="10" cm="1">
        <f t="array" aca="1" ref="EZ341" ca="1">(1-$B$18)*SUMPRODUCT(OFFSET($BO$15,0,0,$B$14,1), 1*(_xlfn._xlws.FILTER(OFFSET($O$15,0,$DN341,$B$8,1),OFFSET($M$15,0,0,$B$8,1))=EZ$13), 1*(_xlfn._xlws.FILTER(OFFSET($O$15,0,$DO341,$B$8,1),OFFSET($M$15,0,0,$B$8,1))=EZ$14))   /   SUM(OFFSET($BO$15,0,0,$B$14,1)) + $B$18/($B$19*$B$19*($DN341&lt;&gt;$DO341) + $B$19*($DN341=$DO341))</f>
        <v>3.7037037037037035E-4</v>
      </c>
      <c r="FA341" s="10" cm="1">
        <f t="array" aca="1" ref="FA341" ca="1">(1-$B$18)*SUMPRODUCT(OFFSET($BO$15,0,0,$B$14,1), 1*(_xlfn._xlws.FILTER(OFFSET($O$15,0,$DN341,$B$8,1),OFFSET($M$15,0,0,$B$8,1))=FA$13), 1*(_xlfn._xlws.FILTER(OFFSET($O$15,0,$DO341,$B$8,1),OFFSET($M$15,0,0,$B$8,1))=FA$14))   /   SUM(OFFSET($BO$15,0,0,$B$14,1)) + $B$18/($B$19*$B$19*($DN341&lt;&gt;$DO341) + $B$19*($DN341=$DO341))</f>
        <v>3.7037037037037035E-4</v>
      </c>
      <c r="FB341" s="10" cm="1">
        <f t="array" aca="1" ref="FB341" ca="1">(1-$B$18)*SUMPRODUCT(OFFSET($BO$15,0,0,$B$14,1), 1*(_xlfn._xlws.FILTER(OFFSET($O$15,0,$DN341,$B$8,1),OFFSET($M$15,0,0,$B$8,1))=FB$13), 1*(_xlfn._xlws.FILTER(OFFSET($O$15,0,$DO341,$B$8,1),OFFSET($M$15,0,0,$B$8,1))=FB$14))   /   SUM(OFFSET($BO$15,0,0,$B$14,1)) + $B$18/($B$19*$B$19*($DN341&lt;&gt;$DO341) + $B$19*($DN341=$DO341))</f>
        <v>0.24287037037037024</v>
      </c>
      <c r="FC341" s="10" cm="1">
        <f t="array" aca="1" ref="FC341" ca="1">(1-$B$18)*SUMPRODUCT(OFFSET($BO$15,0,0,$B$14,1), 1*(_xlfn._xlws.FILTER(OFFSET($O$15,0,$DN341,$B$8,1),OFFSET($M$15,0,0,$B$8,1))=FC$13), 1*(_xlfn._xlws.FILTER(OFFSET($O$15,0,$DO341,$B$8,1),OFFSET($M$15,0,0,$B$8,1))=FC$14))   /   SUM(OFFSET($BO$15,0,0,$B$14,1)) + $B$18/($B$19*$B$19*($DN341&lt;&gt;$DO341) + $B$19*($DN341=$DO341))</f>
        <v>3.7037037037037035E-4</v>
      </c>
      <c r="FD341" s="10" cm="1">
        <f t="array" aca="1" ref="FD341" ca="1">(1-$B$18)*SUMPRODUCT(OFFSET($BO$15,0,0,$B$14,1), 1*(_xlfn._xlws.FILTER(OFFSET($O$15,0,$DN341,$B$8,1),OFFSET($M$15,0,0,$B$8,1))=FD$13), 1*(_xlfn._xlws.FILTER(OFFSET($O$15,0,$DO341,$B$8,1),OFFSET($M$15,0,0,$B$8,1))=FD$14))   /   SUM(OFFSET($BO$15,0,0,$B$14,1)) + $B$18/($B$19*$B$19*($DN341&lt;&gt;$DO341) + $B$19*($DN341=$DO341))</f>
        <v>3.7037037037037035E-4</v>
      </c>
      <c r="FE341" s="10" cm="1">
        <f t="array" aca="1" ref="FE341" ca="1">(1-$B$18)*SUMPRODUCT(OFFSET($BO$15,0,0,$B$14,1), 1*(_xlfn._xlws.FILTER(OFFSET($O$15,0,$DN341,$B$8,1),OFFSET($M$15,0,0,$B$8,1))=FE$13), 1*(_xlfn._xlws.FILTER(OFFSET($O$15,0,$DO341,$B$8,1),OFFSET($M$15,0,0,$B$8,1))=FE$14))   /   SUM(OFFSET($BO$15,0,0,$B$14,1)) + $B$18/($B$19*$B$19*($DN341&lt;&gt;$DO341) + $B$19*($DN341=$DO341))</f>
        <v>3.7037037037037035E-4</v>
      </c>
      <c r="FF341" s="10" cm="1">
        <f t="array" aca="1" ref="FF341" ca="1">(1-$B$18)*SUMPRODUCT(OFFSET($BO$15,0,0,$B$14,1), 1*(_xlfn._xlws.FILTER(OFFSET($O$15,0,$DN341,$B$8,1),OFFSET($M$15,0,0,$B$8,1))=FF$13), 1*(_xlfn._xlws.FILTER(OFFSET($O$15,0,$DO341,$B$8,1),OFFSET($M$15,0,0,$B$8,1))=FF$14))   /   SUM(OFFSET($BO$15,0,0,$B$14,1)) + $B$18/($B$19*$B$19*($DN341&lt;&gt;$DO341) + $B$19*($DN341=$DO341))</f>
        <v>3.7037037037037035E-4</v>
      </c>
      <c r="FG341" s="10" cm="1">
        <f t="array" aca="1" ref="FG341" ca="1">(1-$B$18)*SUMPRODUCT(OFFSET($BO$15,0,0,$B$14,1), 1*(_xlfn._xlws.FILTER(OFFSET($O$15,0,$DN341,$B$8,1),OFFSET($M$15,0,0,$B$8,1))=FG$13), 1*(_xlfn._xlws.FILTER(OFFSET($O$15,0,$DO341,$B$8,1),OFFSET($M$15,0,0,$B$8,1))=FG$14))   /   SUM(OFFSET($BO$15,0,0,$B$14,1)) + $B$18/($B$19*$B$19*($DN341&lt;&gt;$DO341) + $B$19*($DN341=$DO341))</f>
        <v>3.7037037037037035E-4</v>
      </c>
      <c r="FH341" s="10" cm="1">
        <f t="array" aca="1" ref="FH341" ca="1">(1-$B$18)*SUMPRODUCT(OFFSET($BO$15,0,0,$B$14,1), 1*(_xlfn._xlws.FILTER(OFFSET($O$15,0,$DN341,$B$8,1),OFFSET($M$15,0,0,$B$8,1))=FH$13), 1*(_xlfn._xlws.FILTER(OFFSET($O$15,0,$DO341,$B$8,1),OFFSET($M$15,0,0,$B$8,1))=FH$14))   /   SUM(OFFSET($BO$15,0,0,$B$14,1)) + $B$18/($B$19*$B$19*($DN341&lt;&gt;$DO341) + $B$19*($DN341=$DO341))</f>
        <v>3.7037037037037035E-4</v>
      </c>
      <c r="FI341" s="10" cm="1">
        <f t="array" aca="1" ref="FI341" ca="1">(1-$B$18)*SUMPRODUCT(OFFSET($BO$15,0,0,$B$14,1), 1*(_xlfn._xlws.FILTER(OFFSET($O$15,0,$DN341,$B$8,1),OFFSET($M$15,0,0,$B$8,1))=FI$13), 1*(_xlfn._xlws.FILTER(OFFSET($O$15,0,$DO341,$B$8,1),OFFSET($M$15,0,0,$B$8,1))=FI$14))   /   SUM(OFFSET($BO$15,0,0,$B$14,1)) + $B$18/($B$19*$B$19*($DN341&lt;&gt;$DO341) + $B$19*($DN341=$DO341))</f>
        <v>3.7037037037037035E-4</v>
      </c>
      <c r="FJ341" s="10" cm="1">
        <f t="array" aca="1" ref="FJ341" ca="1">(1-$B$18)*SUMPRODUCT(OFFSET($BO$15,0,0,$B$14,1), 1*(_xlfn._xlws.FILTER(OFFSET($O$15,0,$DN341,$B$8,1),OFFSET($M$15,0,0,$B$8,1))=FJ$13), 1*(_xlfn._xlws.FILTER(OFFSET($O$15,0,$DO341,$B$8,1),OFFSET($M$15,0,0,$B$8,1))=FJ$14))   /   SUM(OFFSET($BO$15,0,0,$B$14,1)) + $B$18/($B$19*$B$19*($DN341&lt;&gt;$DO341) + $B$19*($DN341=$DO341))</f>
        <v>0.24287037037037026</v>
      </c>
      <c r="FK341" s="10" cm="1">
        <f t="array" aca="1" ref="FK341" ca="1">(1-$B$18)*SUMPRODUCT(OFFSET($BO$15,0,0,$B$14,1), 1*(_xlfn._xlws.FILTER(OFFSET($O$15,0,$DN341,$B$8,1),OFFSET($M$15,0,0,$B$8,1))=FK$13), 1*(_xlfn._xlws.FILTER(OFFSET($O$15,0,$DO341,$B$8,1),OFFSET($M$15,0,0,$B$8,1))=FK$14))   /   SUM(OFFSET($BO$15,0,0,$B$14,1)) + $B$18/($B$19*$B$19*($DN341&lt;&gt;$DO341) + $B$19*($DN341=$DO341))</f>
        <v>3.7037037037037035E-4</v>
      </c>
      <c r="FL341" s="10" cm="1">
        <f t="array" aca="1" ref="FL341" ca="1">(1-$B$18)*SUMPRODUCT(OFFSET($BO$15,0,0,$B$14,1), 1*(_xlfn._xlws.FILTER(OFFSET($O$15,0,$DN341,$B$8,1),OFFSET($M$15,0,0,$B$8,1))=FL$13), 1*(_xlfn._xlws.FILTER(OFFSET($O$15,0,$DO341,$B$8,1),OFFSET($M$15,0,0,$B$8,1))=FL$14))   /   SUM(OFFSET($BO$15,0,0,$B$14,1)) + $B$18/($B$19*$B$19*($DN341&lt;&gt;$DO341) + $B$19*($DN341=$DO341))</f>
        <v>3.7037037037037035E-4</v>
      </c>
      <c r="FM341" s="10" cm="1">
        <f t="array" aca="1" ref="FM341" ca="1">(1-$B$18)*SUMPRODUCT(OFFSET($BO$15,0,0,$B$14,1), 1*(_xlfn._xlws.FILTER(OFFSET($O$15,0,$DN341,$B$8,1),OFFSET($M$15,0,0,$B$8,1))=FM$13), 1*(_xlfn._xlws.FILTER(OFFSET($O$15,0,$DO341,$B$8,1),OFFSET($M$15,0,0,$B$8,1))=FM$14))   /   SUM(OFFSET($BO$15,0,0,$B$14,1)) + $B$18/($B$19*$B$19*($DN341&lt;&gt;$DO341) + $B$19*($DN341=$DO341))</f>
        <v>3.7037037037037035E-4</v>
      </c>
      <c r="FN341" s="10" cm="1">
        <f t="array" aca="1" ref="FN341" ca="1">(1-$B$18)*SUMPRODUCT(OFFSET($BO$15,0,0,$B$14,1), 1*(_xlfn._xlws.FILTER(OFFSET($O$15,0,$DN341,$B$8,1),OFFSET($M$15,0,0,$B$8,1))=FN$13), 1*(_xlfn._xlws.FILTER(OFFSET($O$15,0,$DO341,$B$8,1),OFFSET($M$15,0,0,$B$8,1))=FN$14))   /   SUM(OFFSET($BO$15,0,0,$B$14,1)) + $B$18/($B$19*$B$19*($DN341&lt;&gt;$DO341) + $B$19*($DN341=$DO341))</f>
        <v>3.7037037037037035E-4</v>
      </c>
      <c r="FO341" s="10" cm="1">
        <f t="array" aca="1" ref="FO341" ca="1">(1-$B$18)*SUMPRODUCT(OFFSET($BO$15,0,0,$B$14,1), 1*(_xlfn._xlws.FILTER(OFFSET($O$15,0,$DN341,$B$8,1),OFFSET($M$15,0,0,$B$8,1))=FO$13), 1*(_xlfn._xlws.FILTER(OFFSET($O$15,0,$DO341,$B$8,1),OFFSET($M$15,0,0,$B$8,1))=FO$14))   /   SUM(OFFSET($BO$15,0,0,$B$14,1)) + $B$18/($B$19*$B$19*($DN341&lt;&gt;$DO341) + $B$19*($DN341=$DO341))</f>
        <v>3.7037037037037035E-4</v>
      </c>
      <c r="FP341" s="10" cm="1">
        <f t="array" aca="1" ref="FP341" ca="1">(1-$B$18)*SUMPRODUCT(OFFSET($BO$15,0,0,$B$14,1), 1*(_xlfn._xlws.FILTER(OFFSET($O$15,0,$DN341,$B$8,1),OFFSET($M$15,0,0,$B$8,1))=FP$13), 1*(_xlfn._xlws.FILTER(OFFSET($O$15,0,$DO341,$B$8,1),OFFSET($M$15,0,0,$B$8,1))=FP$14))   /   SUM(OFFSET($BO$15,0,0,$B$14,1)) + $B$18/($B$19*$B$19*($DN341&lt;&gt;$DO341) + $B$19*($DN341=$DO341))</f>
        <v>3.7037037037037035E-4</v>
      </c>
      <c r="FQ341" s="10" cm="1">
        <f t="array" aca="1" ref="FQ341" ca="1">(1-$B$18)*SUMPRODUCT(OFFSET($BO$15,0,0,$B$14,1), 1*(_xlfn._xlws.FILTER(OFFSET($O$15,0,$DN341,$B$8,1),OFFSET($M$15,0,0,$B$8,1))=FQ$13), 1*(_xlfn._xlws.FILTER(OFFSET($O$15,0,$DO341,$B$8,1),OFFSET($M$15,0,0,$B$8,1))=FQ$14))   /   SUM(OFFSET($BO$15,0,0,$B$14,1)) + $B$18/($B$19*$B$19*($DN341&lt;&gt;$DO341) + $B$19*($DN341=$DO341))</f>
        <v>3.7037037037037035E-4</v>
      </c>
      <c r="FR341" s="10" cm="1">
        <f t="array" aca="1" ref="FR341" ca="1">(1-$B$18)*SUMPRODUCT(OFFSET($BO$15,0,0,$B$14,1), 1*(_xlfn._xlws.FILTER(OFFSET($O$15,0,$DN341,$B$8,1),OFFSET($M$15,0,0,$B$8,1))=FR$13), 1*(_xlfn._xlws.FILTER(OFFSET($O$15,0,$DO341,$B$8,1),OFFSET($M$15,0,0,$B$8,1))=FR$14))   /   SUM(OFFSET($BO$15,0,0,$B$14,1)) + $B$18/($B$19*$B$19*($DN341&lt;&gt;$DO341) + $B$19*($DN341=$DO341))</f>
        <v>0.48537037037037012</v>
      </c>
      <c r="FS341" s="10" cm="1">
        <f t="array" aca="1" ref="FS341" ca="1">(1-$B$18)*SUMPRODUCT(OFFSET($BO$15,0,0,$B$14,1), 1*(_xlfn._xlws.FILTER(OFFSET($O$15,0,$DN341,$B$8,1),OFFSET($M$15,0,0,$B$8,1))=FS$13), 1*(_xlfn._xlws.FILTER(OFFSET($O$15,0,$DO341,$B$8,1),OFFSET($M$15,0,0,$B$8,1))=FS$14))   /   SUM(OFFSET($BO$15,0,0,$B$14,1)) + $B$18/($B$19*$B$19*($DN341&lt;&gt;$DO341) + $B$19*($DN341=$DO341))</f>
        <v>3.7037037037037035E-4</v>
      </c>
      <c r="FT341" s="10" cm="1">
        <f t="array" aca="1" ref="FT341" ca="1">(1-$B$18)*SUMPRODUCT(OFFSET($BO$15,0,0,$B$14,1), 1*(_xlfn._xlws.FILTER(OFFSET($O$15,0,$DN341,$B$8,1),OFFSET($M$15,0,0,$B$8,1))=FT$13), 1*(_xlfn._xlws.FILTER(OFFSET($O$15,0,$DO341,$B$8,1),OFFSET($M$15,0,0,$B$8,1))=FT$14))   /   SUM(OFFSET($BO$15,0,0,$B$14,1)) + $B$18/($B$19*$B$19*($DN341&lt;&gt;$DO341) + $B$19*($DN341=$DO341))</f>
        <v>3.7037037037037035E-4</v>
      </c>
      <c r="FU341" s="10" cm="1">
        <f t="array" aca="1" ref="FU341" ca="1">(1-$B$18)*SUMPRODUCT(OFFSET($BO$15,0,0,$B$14,1), 1*(_xlfn._xlws.FILTER(OFFSET($O$15,0,$DN341,$B$8,1),OFFSET($M$15,0,0,$B$8,1))=FU$13), 1*(_xlfn._xlws.FILTER(OFFSET($O$15,0,$DO341,$B$8,1),OFFSET($M$15,0,0,$B$8,1))=FU$14))   /   SUM(OFFSET($BO$15,0,0,$B$14,1)) + $B$18/($B$19*$B$19*($DN341&lt;&gt;$DO341) + $B$19*($DN341=$DO341))</f>
        <v>3.7037037037037035E-4</v>
      </c>
      <c r="FV341" s="10" cm="1">
        <f t="array" aca="1" ref="FV341" ca="1">(1-$B$18)*SUMPRODUCT(OFFSET($BO$15,0,0,$B$14,1), 1*(_xlfn._xlws.FILTER(OFFSET($O$15,0,$DN341,$B$8,1),OFFSET($M$15,0,0,$B$8,1))=FV$13), 1*(_xlfn._xlws.FILTER(OFFSET($O$15,0,$DO341,$B$8,1),OFFSET($M$15,0,0,$B$8,1))=FV$14))   /   SUM(OFFSET($BO$15,0,0,$B$14,1)) + $B$18/($B$19*$B$19*($DN341&lt;&gt;$DO341) + $B$19*($DN341=$DO341))</f>
        <v>3.7037037037037035E-4</v>
      </c>
      <c r="FW341" s="10" cm="1">
        <f t="array" aca="1" ref="FW341" ca="1">(1-$B$18)*SUMPRODUCT(OFFSET($BO$15,0,0,$B$14,1), 1*(_xlfn._xlws.FILTER(OFFSET($O$15,0,$DN341,$B$8,1),OFFSET($M$15,0,0,$B$8,1))=FW$13), 1*(_xlfn._xlws.FILTER(OFFSET($O$15,0,$DO341,$B$8,1),OFFSET($M$15,0,0,$B$8,1))=FW$14))   /   SUM(OFFSET($BO$15,0,0,$B$14,1)) + $B$18/($B$19*$B$19*($DN341&lt;&gt;$DO341) + $B$19*($DN341=$DO341))</f>
        <v>3.7037037037037035E-4</v>
      </c>
      <c r="FX341" s="10" cm="1">
        <f t="array" aca="1" ref="FX341" ca="1">(1-$B$18)*SUMPRODUCT(OFFSET($BO$15,0,0,$B$14,1), 1*(_xlfn._xlws.FILTER(OFFSET($O$15,0,$DN341,$B$8,1),OFFSET($M$15,0,0,$B$8,1))=FX$13), 1*(_xlfn._xlws.FILTER(OFFSET($O$15,0,$DO341,$B$8,1),OFFSET($M$15,0,0,$B$8,1))=FX$14))   /   SUM(OFFSET($BO$15,0,0,$B$14,1)) + $B$18/($B$19*$B$19*($DN341&lt;&gt;$DO341) + $B$19*($DN341=$DO341))</f>
        <v>3.7037037037037035E-4</v>
      </c>
      <c r="FY341" s="10" cm="1">
        <f t="array" aca="1" ref="FY341" ca="1">(1-$B$18)*SUMPRODUCT(OFFSET($BO$15,0,0,$B$14,1), 1*(_xlfn._xlws.FILTER(OFFSET($O$15,0,$DN341,$B$8,1),OFFSET($M$15,0,0,$B$8,1))=FY$13), 1*(_xlfn._xlws.FILTER(OFFSET($O$15,0,$DO341,$B$8,1),OFFSET($M$15,0,0,$B$8,1))=FY$14))   /   SUM(OFFSET($BO$15,0,0,$B$14,1)) + $B$18/($B$19*$B$19*($DN341&lt;&gt;$DO341) + $B$19*($DN341=$DO341))</f>
        <v>3.7037037037037035E-4</v>
      </c>
      <c r="FZ341" s="10" cm="1">
        <f t="array" aca="1" ref="FZ341" ca="1">(1-$B$18)*SUMPRODUCT(OFFSET($BO$15,0,0,$B$14,1), 1*(_xlfn._xlws.FILTER(OFFSET($O$15,0,$DN341,$B$8,1),OFFSET($M$15,0,0,$B$8,1))=FZ$13), 1*(_xlfn._xlws.FILTER(OFFSET($O$15,0,$DO341,$B$8,1),OFFSET($M$15,0,0,$B$8,1))=FZ$14))   /   SUM(OFFSET($BO$15,0,0,$B$14,1)) + $B$18/($B$19*$B$19*($DN341&lt;&gt;$DO341) + $B$19*($DN341=$DO341))</f>
        <v>3.7037037037037035E-4</v>
      </c>
      <c r="GA341" s="10" cm="1">
        <f t="array" aca="1" ref="GA341" ca="1">(1-$B$18)*SUMPRODUCT(OFFSET($BO$15,0,0,$B$14,1), 1*(_xlfn._xlws.FILTER(OFFSET($O$15,0,$DN341,$B$8,1),OFFSET($M$15,0,0,$B$8,1))=GA$13), 1*(_xlfn._xlws.FILTER(OFFSET($O$15,0,$DO341,$B$8,1),OFFSET($M$15,0,0,$B$8,1))=GA$14))   /   SUM(OFFSET($BO$15,0,0,$B$14,1)) + $B$18/($B$19*$B$19*($DN341&lt;&gt;$DO341) + $B$19*($DN341=$DO341))</f>
        <v>3.7037037037037035E-4</v>
      </c>
    </row>
    <row r="342" spans="118:183" x14ac:dyDescent="0.2">
      <c r="DN342" cm="1">
        <f t="array" aca="1" ref="DN342" ca="1">INDEX(_xlfn.ANCHORARRAY($CP$15), 1 + INT((ROWS($DO$15:$DO342) - 1) / ROWS(_xlfn.ANCHORARRAY($CP$15))))</f>
        <v>20</v>
      </c>
      <c r="DO342" cm="1">
        <f t="array" aca="1" ref="DO342" ca="1">INDEX(_xlfn.ANCHORARRAY($CP$15),1+MOD(ROWS($DO$15:$DO342)-1,ROWS(_xlfn.ANCHORARRAY($CP$15))))</f>
        <v>4</v>
      </c>
      <c r="DP342" s="10" cm="1">
        <f t="array" aca="1" ref="DP342" ca="1">(1-$B$18)*SUMPRODUCT(OFFSET($BO$15,0,0,$B$14,1), 1*(_xlfn._xlws.FILTER(OFFSET($O$15,0,$DN342,$B$8,1),OFFSET($M$15,0,0,$B$8,1))=DP$13), 1*(_xlfn._xlws.FILTER(OFFSET($O$15,0,$DO342,$B$8,1),OFFSET($M$15,0,0,$B$8,1))=DP$14))   /   SUM(OFFSET($BO$15,0,0,$B$14,1)) + $B$18/($B$19*$B$19*($DN342&lt;&gt;$DO342) + $B$19*($DN342=$DO342))</f>
        <v>3.7037037037037035E-4</v>
      </c>
      <c r="DQ342" s="10" cm="1">
        <f t="array" aca="1" ref="DQ342" ca="1">(1-$B$18)*SUMPRODUCT(OFFSET($BO$15,0,0,$B$14,1), 1*(_xlfn._xlws.FILTER(OFFSET($O$15,0,$DN342,$B$8,1),OFFSET($M$15,0,0,$B$8,1))=DQ$13), 1*(_xlfn._xlws.FILTER(OFFSET($O$15,0,$DO342,$B$8,1),OFFSET($M$15,0,0,$B$8,1))=DQ$14))   /   SUM(OFFSET($BO$15,0,0,$B$14,1)) + $B$18/($B$19*$B$19*($DN342&lt;&gt;$DO342) + $B$19*($DN342=$DO342))</f>
        <v>3.7037037037037035E-4</v>
      </c>
      <c r="DR342" s="10" cm="1">
        <f t="array" aca="1" ref="DR342" ca="1">(1-$B$18)*SUMPRODUCT(OFFSET($BO$15,0,0,$B$14,1), 1*(_xlfn._xlws.FILTER(OFFSET($O$15,0,$DN342,$B$8,1),OFFSET($M$15,0,0,$B$8,1))=DR$13), 1*(_xlfn._xlws.FILTER(OFFSET($O$15,0,$DO342,$B$8,1),OFFSET($M$15,0,0,$B$8,1))=DR$14))   /   SUM(OFFSET($BO$15,0,0,$B$14,1)) + $B$18/($B$19*$B$19*($DN342&lt;&gt;$DO342) + $B$19*($DN342=$DO342))</f>
        <v>3.7037037037037035E-4</v>
      </c>
      <c r="DS342" s="10" cm="1">
        <f t="array" aca="1" ref="DS342" ca="1">(1-$B$18)*SUMPRODUCT(OFFSET($BO$15,0,0,$B$14,1), 1*(_xlfn._xlws.FILTER(OFFSET($O$15,0,$DN342,$B$8,1),OFFSET($M$15,0,0,$B$8,1))=DS$13), 1*(_xlfn._xlws.FILTER(OFFSET($O$15,0,$DO342,$B$8,1),OFFSET($M$15,0,0,$B$8,1))=DS$14))   /   SUM(OFFSET($BO$15,0,0,$B$14,1)) + $B$18/($B$19*$B$19*($DN342&lt;&gt;$DO342) + $B$19*($DN342=$DO342))</f>
        <v>3.7037037037037035E-4</v>
      </c>
      <c r="DT342" s="10" cm="1">
        <f t="array" aca="1" ref="DT342" ca="1">(1-$B$18)*SUMPRODUCT(OFFSET($BO$15,0,0,$B$14,1), 1*(_xlfn._xlws.FILTER(OFFSET($O$15,0,$DN342,$B$8,1),OFFSET($M$15,0,0,$B$8,1))=DT$13), 1*(_xlfn._xlws.FILTER(OFFSET($O$15,0,$DO342,$B$8,1),OFFSET($M$15,0,0,$B$8,1))=DT$14))   /   SUM(OFFSET($BO$15,0,0,$B$14,1)) + $B$18/($B$19*$B$19*($DN342&lt;&gt;$DO342) + $B$19*($DN342=$DO342))</f>
        <v>3.7037037037037035E-4</v>
      </c>
      <c r="DU342" s="10" cm="1">
        <f t="array" aca="1" ref="DU342" ca="1">(1-$B$18)*SUMPRODUCT(OFFSET($BO$15,0,0,$B$14,1), 1*(_xlfn._xlws.FILTER(OFFSET($O$15,0,$DN342,$B$8,1),OFFSET($M$15,0,0,$B$8,1))=DU$13), 1*(_xlfn._xlws.FILTER(OFFSET($O$15,0,$DO342,$B$8,1),OFFSET($M$15,0,0,$B$8,1))=DU$14))   /   SUM(OFFSET($BO$15,0,0,$B$14,1)) + $B$18/($B$19*$B$19*($DN342&lt;&gt;$DO342) + $B$19*($DN342=$DO342))</f>
        <v>3.7037037037037035E-4</v>
      </c>
      <c r="DV342" s="10" cm="1">
        <f t="array" aca="1" ref="DV342" ca="1">(1-$B$18)*SUMPRODUCT(OFFSET($BO$15,0,0,$B$14,1), 1*(_xlfn._xlws.FILTER(OFFSET($O$15,0,$DN342,$B$8,1),OFFSET($M$15,0,0,$B$8,1))=DV$13), 1*(_xlfn._xlws.FILTER(OFFSET($O$15,0,$DO342,$B$8,1),OFFSET($M$15,0,0,$B$8,1))=DV$14))   /   SUM(OFFSET($BO$15,0,0,$B$14,1)) + $B$18/($B$19*$B$19*($DN342&lt;&gt;$DO342) + $B$19*($DN342=$DO342))</f>
        <v>3.7037037037037035E-4</v>
      </c>
      <c r="DW342" s="10" cm="1">
        <f t="array" aca="1" ref="DW342" ca="1">(1-$B$18)*SUMPRODUCT(OFFSET($BO$15,0,0,$B$14,1), 1*(_xlfn._xlws.FILTER(OFFSET($O$15,0,$DN342,$B$8,1),OFFSET($M$15,0,0,$B$8,1))=DW$13), 1*(_xlfn._xlws.FILTER(OFFSET($O$15,0,$DO342,$B$8,1),OFFSET($M$15,0,0,$B$8,1))=DW$14))   /   SUM(OFFSET($BO$15,0,0,$B$14,1)) + $B$18/($B$19*$B$19*($DN342&lt;&gt;$DO342) + $B$19*($DN342=$DO342))</f>
        <v>3.7037037037037035E-4</v>
      </c>
      <c r="DX342" s="10" cm="1">
        <f t="array" aca="1" ref="DX342" ca="1">(1-$B$18)*SUMPRODUCT(OFFSET($BO$15,0,0,$B$14,1), 1*(_xlfn._xlws.FILTER(OFFSET($O$15,0,$DN342,$B$8,1),OFFSET($M$15,0,0,$B$8,1))=DX$13), 1*(_xlfn._xlws.FILTER(OFFSET($O$15,0,$DO342,$B$8,1),OFFSET($M$15,0,0,$B$8,1))=DX$14))   /   SUM(OFFSET($BO$15,0,0,$B$14,1)) + $B$18/($B$19*$B$19*($DN342&lt;&gt;$DO342) + $B$19*($DN342=$DO342))</f>
        <v>3.7037037037037035E-4</v>
      </c>
      <c r="DY342" s="10" cm="1">
        <f t="array" aca="1" ref="DY342" ca="1">(1-$B$18)*SUMPRODUCT(OFFSET($BO$15,0,0,$B$14,1), 1*(_xlfn._xlws.FILTER(OFFSET($O$15,0,$DN342,$B$8,1),OFFSET($M$15,0,0,$B$8,1))=DY$13), 1*(_xlfn._xlws.FILTER(OFFSET($O$15,0,$DO342,$B$8,1),OFFSET($M$15,0,0,$B$8,1))=DY$14))   /   SUM(OFFSET($BO$15,0,0,$B$14,1)) + $B$18/($B$19*$B$19*($DN342&lt;&gt;$DO342) + $B$19*($DN342=$DO342))</f>
        <v>3.7037037037037035E-4</v>
      </c>
      <c r="DZ342" s="10" cm="1">
        <f t="array" aca="1" ref="DZ342" ca="1">(1-$B$18)*SUMPRODUCT(OFFSET($BO$15,0,0,$B$14,1), 1*(_xlfn._xlws.FILTER(OFFSET($O$15,0,$DN342,$B$8,1),OFFSET($M$15,0,0,$B$8,1))=DZ$13), 1*(_xlfn._xlws.FILTER(OFFSET($O$15,0,$DO342,$B$8,1),OFFSET($M$15,0,0,$B$8,1))=DZ$14))   /   SUM(OFFSET($BO$15,0,0,$B$14,1)) + $B$18/($B$19*$B$19*($DN342&lt;&gt;$DO342) + $B$19*($DN342=$DO342))</f>
        <v>3.7037037037037035E-4</v>
      </c>
      <c r="EA342" s="10" cm="1">
        <f t="array" aca="1" ref="EA342" ca="1">(1-$B$18)*SUMPRODUCT(OFFSET($BO$15,0,0,$B$14,1), 1*(_xlfn._xlws.FILTER(OFFSET($O$15,0,$DN342,$B$8,1),OFFSET($M$15,0,0,$B$8,1))=EA$13), 1*(_xlfn._xlws.FILTER(OFFSET($O$15,0,$DO342,$B$8,1),OFFSET($M$15,0,0,$B$8,1))=EA$14))   /   SUM(OFFSET($BO$15,0,0,$B$14,1)) + $B$18/($B$19*$B$19*($DN342&lt;&gt;$DO342) + $B$19*($DN342=$DO342))</f>
        <v>3.7037037037037035E-4</v>
      </c>
      <c r="EB342" s="10" cm="1">
        <f t="array" aca="1" ref="EB342" ca="1">(1-$B$18)*SUMPRODUCT(OFFSET($BO$15,0,0,$B$14,1), 1*(_xlfn._xlws.FILTER(OFFSET($O$15,0,$DN342,$B$8,1),OFFSET($M$15,0,0,$B$8,1))=EB$13), 1*(_xlfn._xlws.FILTER(OFFSET($O$15,0,$DO342,$B$8,1),OFFSET($M$15,0,0,$B$8,1))=EB$14))   /   SUM(OFFSET($BO$15,0,0,$B$14,1)) + $B$18/($B$19*$B$19*($DN342&lt;&gt;$DO342) + $B$19*($DN342=$DO342))</f>
        <v>3.7037037037037035E-4</v>
      </c>
      <c r="EC342" s="10" cm="1">
        <f t="array" aca="1" ref="EC342" ca="1">(1-$B$18)*SUMPRODUCT(OFFSET($BO$15,0,0,$B$14,1), 1*(_xlfn._xlws.FILTER(OFFSET($O$15,0,$DN342,$B$8,1),OFFSET($M$15,0,0,$B$8,1))=EC$13), 1*(_xlfn._xlws.FILTER(OFFSET($O$15,0,$DO342,$B$8,1),OFFSET($M$15,0,0,$B$8,1))=EC$14))   /   SUM(OFFSET($BO$15,0,0,$B$14,1)) + $B$18/($B$19*$B$19*($DN342&lt;&gt;$DO342) + $B$19*($DN342=$DO342))</f>
        <v>3.7037037037037035E-4</v>
      </c>
      <c r="ED342" s="10" cm="1">
        <f t="array" aca="1" ref="ED342" ca="1">(1-$B$18)*SUMPRODUCT(OFFSET($BO$15,0,0,$B$14,1), 1*(_xlfn._xlws.FILTER(OFFSET($O$15,0,$DN342,$B$8,1),OFFSET($M$15,0,0,$B$8,1))=ED$13), 1*(_xlfn._xlws.FILTER(OFFSET($O$15,0,$DO342,$B$8,1),OFFSET($M$15,0,0,$B$8,1))=ED$14))   /   SUM(OFFSET($BO$15,0,0,$B$14,1)) + $B$18/($B$19*$B$19*($DN342&lt;&gt;$DO342) + $B$19*($DN342=$DO342))</f>
        <v>3.7037037037037035E-4</v>
      </c>
      <c r="EE342" s="10" cm="1">
        <f t="array" aca="1" ref="EE342" ca="1">(1-$B$18)*SUMPRODUCT(OFFSET($BO$15,0,0,$B$14,1), 1*(_xlfn._xlws.FILTER(OFFSET($O$15,0,$DN342,$B$8,1),OFFSET($M$15,0,0,$B$8,1))=EE$13), 1*(_xlfn._xlws.FILTER(OFFSET($O$15,0,$DO342,$B$8,1),OFFSET($M$15,0,0,$B$8,1))=EE$14))   /   SUM(OFFSET($BO$15,0,0,$B$14,1)) + $B$18/($B$19*$B$19*($DN342&lt;&gt;$DO342) + $B$19*($DN342=$DO342))</f>
        <v>3.7037037037037035E-4</v>
      </c>
      <c r="EF342" s="10" cm="1">
        <f t="array" aca="1" ref="EF342" ca="1">(1-$B$18)*SUMPRODUCT(OFFSET($BO$15,0,0,$B$14,1), 1*(_xlfn._xlws.FILTER(OFFSET($O$15,0,$DN342,$B$8,1),OFFSET($M$15,0,0,$B$8,1))=EF$13), 1*(_xlfn._xlws.FILTER(OFFSET($O$15,0,$DO342,$B$8,1),OFFSET($M$15,0,0,$B$8,1))=EF$14))   /   SUM(OFFSET($BO$15,0,0,$B$14,1)) + $B$18/($B$19*$B$19*($DN342&lt;&gt;$DO342) + $B$19*($DN342=$DO342))</f>
        <v>3.7037037037037035E-4</v>
      </c>
      <c r="EG342" s="10" cm="1">
        <f t="array" aca="1" ref="EG342" ca="1">(1-$B$18)*SUMPRODUCT(OFFSET($BO$15,0,0,$B$14,1), 1*(_xlfn._xlws.FILTER(OFFSET($O$15,0,$DN342,$B$8,1),OFFSET($M$15,0,0,$B$8,1))=EG$13), 1*(_xlfn._xlws.FILTER(OFFSET($O$15,0,$DO342,$B$8,1),OFFSET($M$15,0,0,$B$8,1))=EG$14))   /   SUM(OFFSET($BO$15,0,0,$B$14,1)) + $B$18/($B$19*$B$19*($DN342&lt;&gt;$DO342) + $B$19*($DN342=$DO342))</f>
        <v>3.7037037037037035E-4</v>
      </c>
      <c r="EH342" s="10" cm="1">
        <f t="array" aca="1" ref="EH342" ca="1">(1-$B$18)*SUMPRODUCT(OFFSET($BO$15,0,0,$B$14,1), 1*(_xlfn._xlws.FILTER(OFFSET($O$15,0,$DN342,$B$8,1),OFFSET($M$15,0,0,$B$8,1))=EH$13), 1*(_xlfn._xlws.FILTER(OFFSET($O$15,0,$DO342,$B$8,1),OFFSET($M$15,0,0,$B$8,1))=EH$14))   /   SUM(OFFSET($BO$15,0,0,$B$14,1)) + $B$18/($B$19*$B$19*($DN342&lt;&gt;$DO342) + $B$19*($DN342=$DO342))</f>
        <v>3.7037037037037035E-4</v>
      </c>
      <c r="EI342" s="10" cm="1">
        <f t="array" aca="1" ref="EI342" ca="1">(1-$B$18)*SUMPRODUCT(OFFSET($BO$15,0,0,$B$14,1), 1*(_xlfn._xlws.FILTER(OFFSET($O$15,0,$DN342,$B$8,1),OFFSET($M$15,0,0,$B$8,1))=EI$13), 1*(_xlfn._xlws.FILTER(OFFSET($O$15,0,$DO342,$B$8,1),OFFSET($M$15,0,0,$B$8,1))=EI$14))   /   SUM(OFFSET($BO$15,0,0,$B$14,1)) + $B$18/($B$19*$B$19*($DN342&lt;&gt;$DO342) + $B$19*($DN342=$DO342))</f>
        <v>3.7037037037037035E-4</v>
      </c>
      <c r="EJ342" s="10" cm="1">
        <f t="array" aca="1" ref="EJ342" ca="1">(1-$B$18)*SUMPRODUCT(OFFSET($BO$15,0,0,$B$14,1), 1*(_xlfn._xlws.FILTER(OFFSET($O$15,0,$DN342,$B$8,1),OFFSET($M$15,0,0,$B$8,1))=EJ$13), 1*(_xlfn._xlws.FILTER(OFFSET($O$15,0,$DO342,$B$8,1),OFFSET($M$15,0,0,$B$8,1))=EJ$14))   /   SUM(OFFSET($BO$15,0,0,$B$14,1)) + $B$18/($B$19*$B$19*($DN342&lt;&gt;$DO342) + $B$19*($DN342=$DO342))</f>
        <v>3.7037037037037035E-4</v>
      </c>
      <c r="EK342" s="10" cm="1">
        <f t="array" aca="1" ref="EK342" ca="1">(1-$B$18)*SUMPRODUCT(OFFSET($BO$15,0,0,$B$14,1), 1*(_xlfn._xlws.FILTER(OFFSET($O$15,0,$DN342,$B$8,1),OFFSET($M$15,0,0,$B$8,1))=EK$13), 1*(_xlfn._xlws.FILTER(OFFSET($O$15,0,$DO342,$B$8,1),OFFSET($M$15,0,0,$B$8,1))=EK$14))   /   SUM(OFFSET($BO$15,0,0,$B$14,1)) + $B$18/($B$19*$B$19*($DN342&lt;&gt;$DO342) + $B$19*($DN342=$DO342))</f>
        <v>3.7037037037037035E-4</v>
      </c>
      <c r="EL342" s="10" cm="1">
        <f t="array" aca="1" ref="EL342" ca="1">(1-$B$18)*SUMPRODUCT(OFFSET($BO$15,0,0,$B$14,1), 1*(_xlfn._xlws.FILTER(OFFSET($O$15,0,$DN342,$B$8,1),OFFSET($M$15,0,0,$B$8,1))=EL$13), 1*(_xlfn._xlws.FILTER(OFFSET($O$15,0,$DO342,$B$8,1),OFFSET($M$15,0,0,$B$8,1))=EL$14))   /   SUM(OFFSET($BO$15,0,0,$B$14,1)) + $B$18/($B$19*$B$19*($DN342&lt;&gt;$DO342) + $B$19*($DN342=$DO342))</f>
        <v>3.7037037037037035E-4</v>
      </c>
      <c r="EM342" s="10" cm="1">
        <f t="array" aca="1" ref="EM342" ca="1">(1-$B$18)*SUMPRODUCT(OFFSET($BO$15,0,0,$B$14,1), 1*(_xlfn._xlws.FILTER(OFFSET($O$15,0,$DN342,$B$8,1),OFFSET($M$15,0,0,$B$8,1))=EM$13), 1*(_xlfn._xlws.FILTER(OFFSET($O$15,0,$DO342,$B$8,1),OFFSET($M$15,0,0,$B$8,1))=EM$14))   /   SUM(OFFSET($BO$15,0,0,$B$14,1)) + $B$18/($B$19*$B$19*($DN342&lt;&gt;$DO342) + $B$19*($DN342=$DO342))</f>
        <v>3.7037037037037035E-4</v>
      </c>
      <c r="EN342" s="10" cm="1">
        <f t="array" aca="1" ref="EN342" ca="1">(1-$B$18)*SUMPRODUCT(OFFSET($BO$15,0,0,$B$14,1), 1*(_xlfn._xlws.FILTER(OFFSET($O$15,0,$DN342,$B$8,1),OFFSET($M$15,0,0,$B$8,1))=EN$13), 1*(_xlfn._xlws.FILTER(OFFSET($O$15,0,$DO342,$B$8,1),OFFSET($M$15,0,0,$B$8,1))=EN$14))   /   SUM(OFFSET($BO$15,0,0,$B$14,1)) + $B$18/($B$19*$B$19*($DN342&lt;&gt;$DO342) + $B$19*($DN342=$DO342))</f>
        <v>3.7037037037037035E-4</v>
      </c>
      <c r="EO342" s="10" cm="1">
        <f t="array" aca="1" ref="EO342" ca="1">(1-$B$18)*SUMPRODUCT(OFFSET($BO$15,0,0,$B$14,1), 1*(_xlfn._xlws.FILTER(OFFSET($O$15,0,$DN342,$B$8,1),OFFSET($M$15,0,0,$B$8,1))=EO$13), 1*(_xlfn._xlws.FILTER(OFFSET($O$15,0,$DO342,$B$8,1),OFFSET($M$15,0,0,$B$8,1))=EO$14))   /   SUM(OFFSET($BO$15,0,0,$B$14,1)) + $B$18/($B$19*$B$19*($DN342&lt;&gt;$DO342) + $B$19*($DN342=$DO342))</f>
        <v>3.7037037037037035E-4</v>
      </c>
      <c r="EP342" s="10" cm="1">
        <f t="array" aca="1" ref="EP342" ca="1">(1-$B$18)*SUMPRODUCT(OFFSET($BO$15,0,0,$B$14,1), 1*(_xlfn._xlws.FILTER(OFFSET($O$15,0,$DN342,$B$8,1),OFFSET($M$15,0,0,$B$8,1))=EP$13), 1*(_xlfn._xlws.FILTER(OFFSET($O$15,0,$DO342,$B$8,1),OFFSET($M$15,0,0,$B$8,1))=EP$14))   /   SUM(OFFSET($BO$15,0,0,$B$14,1)) + $B$18/($B$19*$B$19*($DN342&lt;&gt;$DO342) + $B$19*($DN342=$DO342))</f>
        <v>3.7037037037037035E-4</v>
      </c>
      <c r="EQ342" s="10" cm="1">
        <f t="array" aca="1" ref="EQ342" ca="1">(1-$B$18)*SUMPRODUCT(OFFSET($BO$15,0,0,$B$14,1), 1*(_xlfn._xlws.FILTER(OFFSET($O$15,0,$DN342,$B$8,1),OFFSET($M$15,0,0,$B$8,1))=EQ$13), 1*(_xlfn._xlws.FILTER(OFFSET($O$15,0,$DO342,$B$8,1),OFFSET($M$15,0,0,$B$8,1))=EQ$14))   /   SUM(OFFSET($BO$15,0,0,$B$14,1)) + $B$18/($B$19*$B$19*($DN342&lt;&gt;$DO342) + $B$19*($DN342=$DO342))</f>
        <v>3.7037037037037035E-4</v>
      </c>
      <c r="ER342" s="10" cm="1">
        <f t="array" aca="1" ref="ER342" ca="1">(1-$B$18)*SUMPRODUCT(OFFSET($BO$15,0,0,$B$14,1), 1*(_xlfn._xlws.FILTER(OFFSET($O$15,0,$DN342,$B$8,1),OFFSET($M$15,0,0,$B$8,1))=ER$13), 1*(_xlfn._xlws.FILTER(OFFSET($O$15,0,$DO342,$B$8,1),OFFSET($M$15,0,0,$B$8,1))=ER$14))   /   SUM(OFFSET($BO$15,0,0,$B$14,1)) + $B$18/($B$19*$B$19*($DN342&lt;&gt;$DO342) + $B$19*($DN342=$DO342))</f>
        <v>3.7037037037037035E-4</v>
      </c>
      <c r="ES342" s="10" cm="1">
        <f t="array" aca="1" ref="ES342" ca="1">(1-$B$18)*SUMPRODUCT(OFFSET($BO$15,0,0,$B$14,1), 1*(_xlfn._xlws.FILTER(OFFSET($O$15,0,$DN342,$B$8,1),OFFSET($M$15,0,0,$B$8,1))=ES$13), 1*(_xlfn._xlws.FILTER(OFFSET($O$15,0,$DO342,$B$8,1),OFFSET($M$15,0,0,$B$8,1))=ES$14))   /   SUM(OFFSET($BO$15,0,0,$B$14,1)) + $B$18/($B$19*$B$19*($DN342&lt;&gt;$DO342) + $B$19*($DN342=$DO342))</f>
        <v>3.7037037037037035E-4</v>
      </c>
      <c r="ET342" s="10" cm="1">
        <f t="array" aca="1" ref="ET342" ca="1">(1-$B$18)*SUMPRODUCT(OFFSET($BO$15,0,0,$B$14,1), 1*(_xlfn._xlws.FILTER(OFFSET($O$15,0,$DN342,$B$8,1),OFFSET($M$15,0,0,$B$8,1))=ET$13), 1*(_xlfn._xlws.FILTER(OFFSET($O$15,0,$DO342,$B$8,1),OFFSET($M$15,0,0,$B$8,1))=ET$14))   /   SUM(OFFSET($BO$15,0,0,$B$14,1)) + $B$18/($B$19*$B$19*($DN342&lt;&gt;$DO342) + $B$19*($DN342=$DO342))</f>
        <v>3.7037037037037035E-4</v>
      </c>
      <c r="EU342" s="10" cm="1">
        <f t="array" aca="1" ref="EU342" ca="1">(1-$B$18)*SUMPRODUCT(OFFSET($BO$15,0,0,$B$14,1), 1*(_xlfn._xlws.FILTER(OFFSET($O$15,0,$DN342,$B$8,1),OFFSET($M$15,0,0,$B$8,1))=EU$13), 1*(_xlfn._xlws.FILTER(OFFSET($O$15,0,$DO342,$B$8,1),OFFSET($M$15,0,0,$B$8,1))=EU$14))   /   SUM(OFFSET($BO$15,0,0,$B$14,1)) + $B$18/($B$19*$B$19*($DN342&lt;&gt;$DO342) + $B$19*($DN342=$DO342))</f>
        <v>3.7037037037037035E-4</v>
      </c>
      <c r="EV342" s="10" cm="1">
        <f t="array" aca="1" ref="EV342" ca="1">(1-$B$18)*SUMPRODUCT(OFFSET($BO$15,0,0,$B$14,1), 1*(_xlfn._xlws.FILTER(OFFSET($O$15,0,$DN342,$B$8,1),OFFSET($M$15,0,0,$B$8,1))=EV$13), 1*(_xlfn._xlws.FILTER(OFFSET($O$15,0,$DO342,$B$8,1),OFFSET($M$15,0,0,$B$8,1))=EV$14))   /   SUM(OFFSET($BO$15,0,0,$B$14,1)) + $B$18/($B$19*$B$19*($DN342&lt;&gt;$DO342) + $B$19*($DN342=$DO342))</f>
        <v>3.7037037037037035E-4</v>
      </c>
      <c r="EW342" s="10" cm="1">
        <f t="array" aca="1" ref="EW342" ca="1">(1-$B$18)*SUMPRODUCT(OFFSET($BO$15,0,0,$B$14,1), 1*(_xlfn._xlws.FILTER(OFFSET($O$15,0,$DN342,$B$8,1),OFFSET($M$15,0,0,$B$8,1))=EW$13), 1*(_xlfn._xlws.FILTER(OFFSET($O$15,0,$DO342,$B$8,1),OFFSET($M$15,0,0,$B$8,1))=EW$14))   /   SUM(OFFSET($BO$15,0,0,$B$14,1)) + $B$18/($B$19*$B$19*($DN342&lt;&gt;$DO342) + $B$19*($DN342=$DO342))</f>
        <v>3.7037037037037035E-4</v>
      </c>
      <c r="EX342" s="10" cm="1">
        <f t="array" aca="1" ref="EX342" ca="1">(1-$B$18)*SUMPRODUCT(OFFSET($BO$15,0,0,$B$14,1), 1*(_xlfn._xlws.FILTER(OFFSET($O$15,0,$DN342,$B$8,1),OFFSET($M$15,0,0,$B$8,1))=EX$13), 1*(_xlfn._xlws.FILTER(OFFSET($O$15,0,$DO342,$B$8,1),OFFSET($M$15,0,0,$B$8,1))=EX$14))   /   SUM(OFFSET($BO$15,0,0,$B$14,1)) + $B$18/($B$19*$B$19*($DN342&lt;&gt;$DO342) + $B$19*($DN342=$DO342))</f>
        <v>3.7037037037037035E-4</v>
      </c>
      <c r="EY342" s="10" cm="1">
        <f t="array" aca="1" ref="EY342" ca="1">(1-$B$18)*SUMPRODUCT(OFFSET($BO$15,0,0,$B$14,1), 1*(_xlfn._xlws.FILTER(OFFSET($O$15,0,$DN342,$B$8,1),OFFSET($M$15,0,0,$B$8,1))=EY$13), 1*(_xlfn._xlws.FILTER(OFFSET($O$15,0,$DO342,$B$8,1),OFFSET($M$15,0,0,$B$8,1))=EY$14))   /   SUM(OFFSET($BO$15,0,0,$B$14,1)) + $B$18/($B$19*$B$19*($DN342&lt;&gt;$DO342) + $B$19*($DN342=$DO342))</f>
        <v>3.7037037037037035E-4</v>
      </c>
      <c r="EZ342" s="10" cm="1">
        <f t="array" aca="1" ref="EZ342" ca="1">(1-$B$18)*SUMPRODUCT(OFFSET($BO$15,0,0,$B$14,1), 1*(_xlfn._xlws.FILTER(OFFSET($O$15,0,$DN342,$B$8,1),OFFSET($M$15,0,0,$B$8,1))=EZ$13), 1*(_xlfn._xlws.FILTER(OFFSET($O$15,0,$DO342,$B$8,1),OFFSET($M$15,0,0,$B$8,1))=EZ$14))   /   SUM(OFFSET($BO$15,0,0,$B$14,1)) + $B$18/($B$19*$B$19*($DN342&lt;&gt;$DO342) + $B$19*($DN342=$DO342))</f>
        <v>3.7037037037037035E-4</v>
      </c>
      <c r="FA342" s="10" cm="1">
        <f t="array" aca="1" ref="FA342" ca="1">(1-$B$18)*SUMPRODUCT(OFFSET($BO$15,0,0,$B$14,1), 1*(_xlfn._xlws.FILTER(OFFSET($O$15,0,$DN342,$B$8,1),OFFSET($M$15,0,0,$B$8,1))=FA$13), 1*(_xlfn._xlws.FILTER(OFFSET($O$15,0,$DO342,$B$8,1),OFFSET($M$15,0,0,$B$8,1))=FA$14))   /   SUM(OFFSET($BO$15,0,0,$B$14,1)) + $B$18/($B$19*$B$19*($DN342&lt;&gt;$DO342) + $B$19*($DN342=$DO342))</f>
        <v>3.7037037037037035E-4</v>
      </c>
      <c r="FB342" s="10" cm="1">
        <f t="array" aca="1" ref="FB342" ca="1">(1-$B$18)*SUMPRODUCT(OFFSET($BO$15,0,0,$B$14,1), 1*(_xlfn._xlws.FILTER(OFFSET($O$15,0,$DN342,$B$8,1),OFFSET($M$15,0,0,$B$8,1))=FB$13), 1*(_xlfn._xlws.FILTER(OFFSET($O$15,0,$DO342,$B$8,1),OFFSET($M$15,0,0,$B$8,1))=FB$14))   /   SUM(OFFSET($BO$15,0,0,$B$14,1)) + $B$18/($B$19*$B$19*($DN342&lt;&gt;$DO342) + $B$19*($DN342=$DO342))</f>
        <v>0.24287037037037024</v>
      </c>
      <c r="FC342" s="10" cm="1">
        <f t="array" aca="1" ref="FC342" ca="1">(1-$B$18)*SUMPRODUCT(OFFSET($BO$15,0,0,$B$14,1), 1*(_xlfn._xlws.FILTER(OFFSET($O$15,0,$DN342,$B$8,1),OFFSET($M$15,0,0,$B$8,1))=FC$13), 1*(_xlfn._xlws.FILTER(OFFSET($O$15,0,$DO342,$B$8,1),OFFSET($M$15,0,0,$B$8,1))=FC$14))   /   SUM(OFFSET($BO$15,0,0,$B$14,1)) + $B$18/($B$19*$B$19*($DN342&lt;&gt;$DO342) + $B$19*($DN342=$DO342))</f>
        <v>3.7037037037037035E-4</v>
      </c>
      <c r="FD342" s="10" cm="1">
        <f t="array" aca="1" ref="FD342" ca="1">(1-$B$18)*SUMPRODUCT(OFFSET($BO$15,0,0,$B$14,1), 1*(_xlfn._xlws.FILTER(OFFSET($O$15,0,$DN342,$B$8,1),OFFSET($M$15,0,0,$B$8,1))=FD$13), 1*(_xlfn._xlws.FILTER(OFFSET($O$15,0,$DO342,$B$8,1),OFFSET($M$15,0,0,$B$8,1))=FD$14))   /   SUM(OFFSET($BO$15,0,0,$B$14,1)) + $B$18/($B$19*$B$19*($DN342&lt;&gt;$DO342) + $B$19*($DN342=$DO342))</f>
        <v>3.7037037037037035E-4</v>
      </c>
      <c r="FE342" s="10" cm="1">
        <f t="array" aca="1" ref="FE342" ca="1">(1-$B$18)*SUMPRODUCT(OFFSET($BO$15,0,0,$B$14,1), 1*(_xlfn._xlws.FILTER(OFFSET($O$15,0,$DN342,$B$8,1),OFFSET($M$15,0,0,$B$8,1))=FE$13), 1*(_xlfn._xlws.FILTER(OFFSET($O$15,0,$DO342,$B$8,1),OFFSET($M$15,0,0,$B$8,1))=FE$14))   /   SUM(OFFSET($BO$15,0,0,$B$14,1)) + $B$18/($B$19*$B$19*($DN342&lt;&gt;$DO342) + $B$19*($DN342=$DO342))</f>
        <v>3.7037037037037035E-4</v>
      </c>
      <c r="FF342" s="10" cm="1">
        <f t="array" aca="1" ref="FF342" ca="1">(1-$B$18)*SUMPRODUCT(OFFSET($BO$15,0,0,$B$14,1), 1*(_xlfn._xlws.FILTER(OFFSET($O$15,0,$DN342,$B$8,1),OFFSET($M$15,0,0,$B$8,1))=FF$13), 1*(_xlfn._xlws.FILTER(OFFSET($O$15,0,$DO342,$B$8,1),OFFSET($M$15,0,0,$B$8,1))=FF$14))   /   SUM(OFFSET($BO$15,0,0,$B$14,1)) + $B$18/($B$19*$B$19*($DN342&lt;&gt;$DO342) + $B$19*($DN342=$DO342))</f>
        <v>3.7037037037037035E-4</v>
      </c>
      <c r="FG342" s="10" cm="1">
        <f t="array" aca="1" ref="FG342" ca="1">(1-$B$18)*SUMPRODUCT(OFFSET($BO$15,0,0,$B$14,1), 1*(_xlfn._xlws.FILTER(OFFSET($O$15,0,$DN342,$B$8,1),OFFSET($M$15,0,0,$B$8,1))=FG$13), 1*(_xlfn._xlws.FILTER(OFFSET($O$15,0,$DO342,$B$8,1),OFFSET($M$15,0,0,$B$8,1))=FG$14))   /   SUM(OFFSET($BO$15,0,0,$B$14,1)) + $B$18/($B$19*$B$19*($DN342&lt;&gt;$DO342) + $B$19*($DN342=$DO342))</f>
        <v>3.7037037037037035E-4</v>
      </c>
      <c r="FH342" s="10" cm="1">
        <f t="array" aca="1" ref="FH342" ca="1">(1-$B$18)*SUMPRODUCT(OFFSET($BO$15,0,0,$B$14,1), 1*(_xlfn._xlws.FILTER(OFFSET($O$15,0,$DN342,$B$8,1),OFFSET($M$15,0,0,$B$8,1))=FH$13), 1*(_xlfn._xlws.FILTER(OFFSET($O$15,0,$DO342,$B$8,1),OFFSET($M$15,0,0,$B$8,1))=FH$14))   /   SUM(OFFSET($BO$15,0,0,$B$14,1)) + $B$18/($B$19*$B$19*($DN342&lt;&gt;$DO342) + $B$19*($DN342=$DO342))</f>
        <v>3.7037037037037035E-4</v>
      </c>
      <c r="FI342" s="10" cm="1">
        <f t="array" aca="1" ref="FI342" ca="1">(1-$B$18)*SUMPRODUCT(OFFSET($BO$15,0,0,$B$14,1), 1*(_xlfn._xlws.FILTER(OFFSET($O$15,0,$DN342,$B$8,1),OFFSET($M$15,0,0,$B$8,1))=FI$13), 1*(_xlfn._xlws.FILTER(OFFSET($O$15,0,$DO342,$B$8,1),OFFSET($M$15,0,0,$B$8,1))=FI$14))   /   SUM(OFFSET($BO$15,0,0,$B$14,1)) + $B$18/($B$19*$B$19*($DN342&lt;&gt;$DO342) + $B$19*($DN342=$DO342))</f>
        <v>3.7037037037037035E-4</v>
      </c>
      <c r="FJ342" s="10" cm="1">
        <f t="array" aca="1" ref="FJ342" ca="1">(1-$B$18)*SUMPRODUCT(OFFSET($BO$15,0,0,$B$14,1), 1*(_xlfn._xlws.FILTER(OFFSET($O$15,0,$DN342,$B$8,1),OFFSET($M$15,0,0,$B$8,1))=FJ$13), 1*(_xlfn._xlws.FILTER(OFFSET($O$15,0,$DO342,$B$8,1),OFFSET($M$15,0,0,$B$8,1))=FJ$14))   /   SUM(OFFSET($BO$15,0,0,$B$14,1)) + $B$18/($B$19*$B$19*($DN342&lt;&gt;$DO342) + $B$19*($DN342=$DO342))</f>
        <v>0.24287037037037026</v>
      </c>
      <c r="FK342" s="10" cm="1">
        <f t="array" aca="1" ref="FK342" ca="1">(1-$B$18)*SUMPRODUCT(OFFSET($BO$15,0,0,$B$14,1), 1*(_xlfn._xlws.FILTER(OFFSET($O$15,0,$DN342,$B$8,1),OFFSET($M$15,0,0,$B$8,1))=FK$13), 1*(_xlfn._xlws.FILTER(OFFSET($O$15,0,$DO342,$B$8,1),OFFSET($M$15,0,0,$B$8,1))=FK$14))   /   SUM(OFFSET($BO$15,0,0,$B$14,1)) + $B$18/($B$19*$B$19*($DN342&lt;&gt;$DO342) + $B$19*($DN342=$DO342))</f>
        <v>3.7037037037037035E-4</v>
      </c>
      <c r="FL342" s="10" cm="1">
        <f t="array" aca="1" ref="FL342" ca="1">(1-$B$18)*SUMPRODUCT(OFFSET($BO$15,0,0,$B$14,1), 1*(_xlfn._xlws.FILTER(OFFSET($O$15,0,$DN342,$B$8,1),OFFSET($M$15,0,0,$B$8,1))=FL$13), 1*(_xlfn._xlws.FILTER(OFFSET($O$15,0,$DO342,$B$8,1),OFFSET($M$15,0,0,$B$8,1))=FL$14))   /   SUM(OFFSET($BO$15,0,0,$B$14,1)) + $B$18/($B$19*$B$19*($DN342&lt;&gt;$DO342) + $B$19*($DN342=$DO342))</f>
        <v>3.7037037037037035E-4</v>
      </c>
      <c r="FM342" s="10" cm="1">
        <f t="array" aca="1" ref="FM342" ca="1">(1-$B$18)*SUMPRODUCT(OFFSET($BO$15,0,0,$B$14,1), 1*(_xlfn._xlws.FILTER(OFFSET($O$15,0,$DN342,$B$8,1),OFFSET($M$15,0,0,$B$8,1))=FM$13), 1*(_xlfn._xlws.FILTER(OFFSET($O$15,0,$DO342,$B$8,1),OFFSET($M$15,0,0,$B$8,1))=FM$14))   /   SUM(OFFSET($BO$15,0,0,$B$14,1)) + $B$18/($B$19*$B$19*($DN342&lt;&gt;$DO342) + $B$19*($DN342=$DO342))</f>
        <v>3.7037037037037035E-4</v>
      </c>
      <c r="FN342" s="10" cm="1">
        <f t="array" aca="1" ref="FN342" ca="1">(1-$B$18)*SUMPRODUCT(OFFSET($BO$15,0,0,$B$14,1), 1*(_xlfn._xlws.FILTER(OFFSET($O$15,0,$DN342,$B$8,1),OFFSET($M$15,0,0,$B$8,1))=FN$13), 1*(_xlfn._xlws.FILTER(OFFSET($O$15,0,$DO342,$B$8,1),OFFSET($M$15,0,0,$B$8,1))=FN$14))   /   SUM(OFFSET($BO$15,0,0,$B$14,1)) + $B$18/($B$19*$B$19*($DN342&lt;&gt;$DO342) + $B$19*($DN342=$DO342))</f>
        <v>3.7037037037037035E-4</v>
      </c>
      <c r="FO342" s="10" cm="1">
        <f t="array" aca="1" ref="FO342" ca="1">(1-$B$18)*SUMPRODUCT(OFFSET($BO$15,0,0,$B$14,1), 1*(_xlfn._xlws.FILTER(OFFSET($O$15,0,$DN342,$B$8,1),OFFSET($M$15,0,0,$B$8,1))=FO$13), 1*(_xlfn._xlws.FILTER(OFFSET($O$15,0,$DO342,$B$8,1),OFFSET($M$15,0,0,$B$8,1))=FO$14))   /   SUM(OFFSET($BO$15,0,0,$B$14,1)) + $B$18/($B$19*$B$19*($DN342&lt;&gt;$DO342) + $B$19*($DN342=$DO342))</f>
        <v>3.7037037037037035E-4</v>
      </c>
      <c r="FP342" s="10" cm="1">
        <f t="array" aca="1" ref="FP342" ca="1">(1-$B$18)*SUMPRODUCT(OFFSET($BO$15,0,0,$B$14,1), 1*(_xlfn._xlws.FILTER(OFFSET($O$15,0,$DN342,$B$8,1),OFFSET($M$15,0,0,$B$8,1))=FP$13), 1*(_xlfn._xlws.FILTER(OFFSET($O$15,0,$DO342,$B$8,1),OFFSET($M$15,0,0,$B$8,1))=FP$14))   /   SUM(OFFSET($BO$15,0,0,$B$14,1)) + $B$18/($B$19*$B$19*($DN342&lt;&gt;$DO342) + $B$19*($DN342=$DO342))</f>
        <v>3.7037037037037035E-4</v>
      </c>
      <c r="FQ342" s="10" cm="1">
        <f t="array" aca="1" ref="FQ342" ca="1">(1-$B$18)*SUMPRODUCT(OFFSET($BO$15,0,0,$B$14,1), 1*(_xlfn._xlws.FILTER(OFFSET($O$15,0,$DN342,$B$8,1),OFFSET($M$15,0,0,$B$8,1))=FQ$13), 1*(_xlfn._xlws.FILTER(OFFSET($O$15,0,$DO342,$B$8,1),OFFSET($M$15,0,0,$B$8,1))=FQ$14))   /   SUM(OFFSET($BO$15,0,0,$B$14,1)) + $B$18/($B$19*$B$19*($DN342&lt;&gt;$DO342) + $B$19*($DN342=$DO342))</f>
        <v>3.7037037037037035E-4</v>
      </c>
      <c r="FR342" s="10" cm="1">
        <f t="array" aca="1" ref="FR342" ca="1">(1-$B$18)*SUMPRODUCT(OFFSET($BO$15,0,0,$B$14,1), 1*(_xlfn._xlws.FILTER(OFFSET($O$15,0,$DN342,$B$8,1),OFFSET($M$15,0,0,$B$8,1))=FR$13), 1*(_xlfn._xlws.FILTER(OFFSET($O$15,0,$DO342,$B$8,1),OFFSET($M$15,0,0,$B$8,1))=FR$14))   /   SUM(OFFSET($BO$15,0,0,$B$14,1)) + $B$18/($B$19*$B$19*($DN342&lt;&gt;$DO342) + $B$19*($DN342=$DO342))</f>
        <v>0.48537037037037012</v>
      </c>
      <c r="FS342" s="10" cm="1">
        <f t="array" aca="1" ref="FS342" ca="1">(1-$B$18)*SUMPRODUCT(OFFSET($BO$15,0,0,$B$14,1), 1*(_xlfn._xlws.FILTER(OFFSET($O$15,0,$DN342,$B$8,1),OFFSET($M$15,0,0,$B$8,1))=FS$13), 1*(_xlfn._xlws.FILTER(OFFSET($O$15,0,$DO342,$B$8,1),OFFSET($M$15,0,0,$B$8,1))=FS$14))   /   SUM(OFFSET($BO$15,0,0,$B$14,1)) + $B$18/($B$19*$B$19*($DN342&lt;&gt;$DO342) + $B$19*($DN342=$DO342))</f>
        <v>3.7037037037037035E-4</v>
      </c>
      <c r="FT342" s="10" cm="1">
        <f t="array" aca="1" ref="FT342" ca="1">(1-$B$18)*SUMPRODUCT(OFFSET($BO$15,0,0,$B$14,1), 1*(_xlfn._xlws.FILTER(OFFSET($O$15,0,$DN342,$B$8,1),OFFSET($M$15,0,0,$B$8,1))=FT$13), 1*(_xlfn._xlws.FILTER(OFFSET($O$15,0,$DO342,$B$8,1),OFFSET($M$15,0,0,$B$8,1))=FT$14))   /   SUM(OFFSET($BO$15,0,0,$B$14,1)) + $B$18/($B$19*$B$19*($DN342&lt;&gt;$DO342) + $B$19*($DN342=$DO342))</f>
        <v>3.7037037037037035E-4</v>
      </c>
      <c r="FU342" s="10" cm="1">
        <f t="array" aca="1" ref="FU342" ca="1">(1-$B$18)*SUMPRODUCT(OFFSET($BO$15,0,0,$B$14,1), 1*(_xlfn._xlws.FILTER(OFFSET($O$15,0,$DN342,$B$8,1),OFFSET($M$15,0,0,$B$8,1))=FU$13), 1*(_xlfn._xlws.FILTER(OFFSET($O$15,0,$DO342,$B$8,1),OFFSET($M$15,0,0,$B$8,1))=FU$14))   /   SUM(OFFSET($BO$15,0,0,$B$14,1)) + $B$18/($B$19*$B$19*($DN342&lt;&gt;$DO342) + $B$19*($DN342=$DO342))</f>
        <v>3.7037037037037035E-4</v>
      </c>
      <c r="FV342" s="10" cm="1">
        <f t="array" aca="1" ref="FV342" ca="1">(1-$B$18)*SUMPRODUCT(OFFSET($BO$15,0,0,$B$14,1), 1*(_xlfn._xlws.FILTER(OFFSET($O$15,0,$DN342,$B$8,1),OFFSET($M$15,0,0,$B$8,1))=FV$13), 1*(_xlfn._xlws.FILTER(OFFSET($O$15,0,$DO342,$B$8,1),OFFSET($M$15,0,0,$B$8,1))=FV$14))   /   SUM(OFFSET($BO$15,0,0,$B$14,1)) + $B$18/($B$19*$B$19*($DN342&lt;&gt;$DO342) + $B$19*($DN342=$DO342))</f>
        <v>3.7037037037037035E-4</v>
      </c>
      <c r="FW342" s="10" cm="1">
        <f t="array" aca="1" ref="FW342" ca="1">(1-$B$18)*SUMPRODUCT(OFFSET($BO$15,0,0,$B$14,1), 1*(_xlfn._xlws.FILTER(OFFSET($O$15,0,$DN342,$B$8,1),OFFSET($M$15,0,0,$B$8,1))=FW$13), 1*(_xlfn._xlws.FILTER(OFFSET($O$15,0,$DO342,$B$8,1),OFFSET($M$15,0,0,$B$8,1))=FW$14))   /   SUM(OFFSET($BO$15,0,0,$B$14,1)) + $B$18/($B$19*$B$19*($DN342&lt;&gt;$DO342) + $B$19*($DN342=$DO342))</f>
        <v>3.7037037037037035E-4</v>
      </c>
      <c r="FX342" s="10" cm="1">
        <f t="array" aca="1" ref="FX342" ca="1">(1-$B$18)*SUMPRODUCT(OFFSET($BO$15,0,0,$B$14,1), 1*(_xlfn._xlws.FILTER(OFFSET($O$15,0,$DN342,$B$8,1),OFFSET($M$15,0,0,$B$8,1))=FX$13), 1*(_xlfn._xlws.FILTER(OFFSET($O$15,0,$DO342,$B$8,1),OFFSET($M$15,0,0,$B$8,1))=FX$14))   /   SUM(OFFSET($BO$15,0,0,$B$14,1)) + $B$18/($B$19*$B$19*($DN342&lt;&gt;$DO342) + $B$19*($DN342=$DO342))</f>
        <v>3.7037037037037035E-4</v>
      </c>
      <c r="FY342" s="10" cm="1">
        <f t="array" aca="1" ref="FY342" ca="1">(1-$B$18)*SUMPRODUCT(OFFSET($BO$15,0,0,$B$14,1), 1*(_xlfn._xlws.FILTER(OFFSET($O$15,0,$DN342,$B$8,1),OFFSET($M$15,0,0,$B$8,1))=FY$13), 1*(_xlfn._xlws.FILTER(OFFSET($O$15,0,$DO342,$B$8,1),OFFSET($M$15,0,0,$B$8,1))=FY$14))   /   SUM(OFFSET($BO$15,0,0,$B$14,1)) + $B$18/($B$19*$B$19*($DN342&lt;&gt;$DO342) + $B$19*($DN342=$DO342))</f>
        <v>3.7037037037037035E-4</v>
      </c>
      <c r="FZ342" s="10" cm="1">
        <f t="array" aca="1" ref="FZ342" ca="1">(1-$B$18)*SUMPRODUCT(OFFSET($BO$15,0,0,$B$14,1), 1*(_xlfn._xlws.FILTER(OFFSET($O$15,0,$DN342,$B$8,1),OFFSET($M$15,0,0,$B$8,1))=FZ$13), 1*(_xlfn._xlws.FILTER(OFFSET($O$15,0,$DO342,$B$8,1),OFFSET($M$15,0,0,$B$8,1))=FZ$14))   /   SUM(OFFSET($BO$15,0,0,$B$14,1)) + $B$18/($B$19*$B$19*($DN342&lt;&gt;$DO342) + $B$19*($DN342=$DO342))</f>
        <v>3.7037037037037035E-4</v>
      </c>
      <c r="GA342" s="10" cm="1">
        <f t="array" aca="1" ref="GA342" ca="1">(1-$B$18)*SUMPRODUCT(OFFSET($BO$15,0,0,$B$14,1), 1*(_xlfn._xlws.FILTER(OFFSET($O$15,0,$DN342,$B$8,1),OFFSET($M$15,0,0,$B$8,1))=GA$13), 1*(_xlfn._xlws.FILTER(OFFSET($O$15,0,$DO342,$B$8,1),OFFSET($M$15,0,0,$B$8,1))=GA$14))   /   SUM(OFFSET($BO$15,0,0,$B$14,1)) + $B$18/($B$19*$B$19*($DN342&lt;&gt;$DO342) + $B$19*($DN342=$DO342))</f>
        <v>3.7037037037037035E-4</v>
      </c>
    </row>
    <row r="343" spans="118:183" x14ac:dyDescent="0.2">
      <c r="DN343" cm="1">
        <f t="array" aca="1" ref="DN343" ca="1">INDEX(_xlfn.ANCHORARRAY($CP$15), 1 + INT((ROWS($DO$15:$DO343) - 1) / ROWS(_xlfn.ANCHORARRAY($CP$15))))</f>
        <v>20</v>
      </c>
      <c r="DO343" cm="1">
        <f t="array" aca="1" ref="DO343" ca="1">INDEX(_xlfn.ANCHORARRAY($CP$15),1+MOD(ROWS($DO$15:$DO343)-1,ROWS(_xlfn.ANCHORARRAY($CP$15))))</f>
        <v>5</v>
      </c>
      <c r="DP343" s="10" cm="1">
        <f t="array" aca="1" ref="DP343" ca="1">(1-$B$18)*SUMPRODUCT(OFFSET($BO$15,0,0,$B$14,1), 1*(_xlfn._xlws.FILTER(OFFSET($O$15,0,$DN343,$B$8,1),OFFSET($M$15,0,0,$B$8,1))=DP$13), 1*(_xlfn._xlws.FILTER(OFFSET($O$15,0,$DO343,$B$8,1),OFFSET($M$15,0,0,$B$8,1))=DP$14))   /   SUM(OFFSET($BO$15,0,0,$B$14,1)) + $B$18/($B$19*$B$19*($DN343&lt;&gt;$DO343) + $B$19*($DN343=$DO343))</f>
        <v>3.7037037037037035E-4</v>
      </c>
      <c r="DQ343" s="10" cm="1">
        <f t="array" aca="1" ref="DQ343" ca="1">(1-$B$18)*SUMPRODUCT(OFFSET($BO$15,0,0,$B$14,1), 1*(_xlfn._xlws.FILTER(OFFSET($O$15,0,$DN343,$B$8,1),OFFSET($M$15,0,0,$B$8,1))=DQ$13), 1*(_xlfn._xlws.FILTER(OFFSET($O$15,0,$DO343,$B$8,1),OFFSET($M$15,0,0,$B$8,1))=DQ$14))   /   SUM(OFFSET($BO$15,0,0,$B$14,1)) + $B$18/($B$19*$B$19*($DN343&lt;&gt;$DO343) + $B$19*($DN343=$DO343))</f>
        <v>3.7037037037037035E-4</v>
      </c>
      <c r="DR343" s="10" cm="1">
        <f t="array" aca="1" ref="DR343" ca="1">(1-$B$18)*SUMPRODUCT(OFFSET($BO$15,0,0,$B$14,1), 1*(_xlfn._xlws.FILTER(OFFSET($O$15,0,$DN343,$B$8,1),OFFSET($M$15,0,0,$B$8,1))=DR$13), 1*(_xlfn._xlws.FILTER(OFFSET($O$15,0,$DO343,$B$8,1),OFFSET($M$15,0,0,$B$8,1))=DR$14))   /   SUM(OFFSET($BO$15,0,0,$B$14,1)) + $B$18/($B$19*$B$19*($DN343&lt;&gt;$DO343) + $B$19*($DN343=$DO343))</f>
        <v>3.7037037037037035E-4</v>
      </c>
      <c r="DS343" s="10" cm="1">
        <f t="array" aca="1" ref="DS343" ca="1">(1-$B$18)*SUMPRODUCT(OFFSET($BO$15,0,0,$B$14,1), 1*(_xlfn._xlws.FILTER(OFFSET($O$15,0,$DN343,$B$8,1),OFFSET($M$15,0,0,$B$8,1))=DS$13), 1*(_xlfn._xlws.FILTER(OFFSET($O$15,0,$DO343,$B$8,1),OFFSET($M$15,0,0,$B$8,1))=DS$14))   /   SUM(OFFSET($BO$15,0,0,$B$14,1)) + $B$18/($B$19*$B$19*($DN343&lt;&gt;$DO343) + $B$19*($DN343=$DO343))</f>
        <v>3.7037037037037035E-4</v>
      </c>
      <c r="DT343" s="10" cm="1">
        <f t="array" aca="1" ref="DT343" ca="1">(1-$B$18)*SUMPRODUCT(OFFSET($BO$15,0,0,$B$14,1), 1*(_xlfn._xlws.FILTER(OFFSET($O$15,0,$DN343,$B$8,1),OFFSET($M$15,0,0,$B$8,1))=DT$13), 1*(_xlfn._xlws.FILTER(OFFSET($O$15,0,$DO343,$B$8,1),OFFSET($M$15,0,0,$B$8,1))=DT$14))   /   SUM(OFFSET($BO$15,0,0,$B$14,1)) + $B$18/($B$19*$B$19*($DN343&lt;&gt;$DO343) + $B$19*($DN343=$DO343))</f>
        <v>3.7037037037037035E-4</v>
      </c>
      <c r="DU343" s="10" cm="1">
        <f t="array" aca="1" ref="DU343" ca="1">(1-$B$18)*SUMPRODUCT(OFFSET($BO$15,0,0,$B$14,1), 1*(_xlfn._xlws.FILTER(OFFSET($O$15,0,$DN343,$B$8,1),OFFSET($M$15,0,0,$B$8,1))=DU$13), 1*(_xlfn._xlws.FILTER(OFFSET($O$15,0,$DO343,$B$8,1),OFFSET($M$15,0,0,$B$8,1))=DU$14))   /   SUM(OFFSET($BO$15,0,0,$B$14,1)) + $B$18/($B$19*$B$19*($DN343&lt;&gt;$DO343) + $B$19*($DN343=$DO343))</f>
        <v>3.7037037037037035E-4</v>
      </c>
      <c r="DV343" s="10" cm="1">
        <f t="array" aca="1" ref="DV343" ca="1">(1-$B$18)*SUMPRODUCT(OFFSET($BO$15,0,0,$B$14,1), 1*(_xlfn._xlws.FILTER(OFFSET($O$15,0,$DN343,$B$8,1),OFFSET($M$15,0,0,$B$8,1))=DV$13), 1*(_xlfn._xlws.FILTER(OFFSET($O$15,0,$DO343,$B$8,1),OFFSET($M$15,0,0,$B$8,1))=DV$14))   /   SUM(OFFSET($BO$15,0,0,$B$14,1)) + $B$18/($B$19*$B$19*($DN343&lt;&gt;$DO343) + $B$19*($DN343=$DO343))</f>
        <v>3.7037037037037035E-4</v>
      </c>
      <c r="DW343" s="10" cm="1">
        <f t="array" aca="1" ref="DW343" ca="1">(1-$B$18)*SUMPRODUCT(OFFSET($BO$15,0,0,$B$14,1), 1*(_xlfn._xlws.FILTER(OFFSET($O$15,0,$DN343,$B$8,1),OFFSET($M$15,0,0,$B$8,1))=DW$13), 1*(_xlfn._xlws.FILTER(OFFSET($O$15,0,$DO343,$B$8,1),OFFSET($M$15,0,0,$B$8,1))=DW$14))   /   SUM(OFFSET($BO$15,0,0,$B$14,1)) + $B$18/($B$19*$B$19*($DN343&lt;&gt;$DO343) + $B$19*($DN343=$DO343))</f>
        <v>3.7037037037037035E-4</v>
      </c>
      <c r="DX343" s="10" cm="1">
        <f t="array" aca="1" ref="DX343" ca="1">(1-$B$18)*SUMPRODUCT(OFFSET($BO$15,0,0,$B$14,1), 1*(_xlfn._xlws.FILTER(OFFSET($O$15,0,$DN343,$B$8,1),OFFSET($M$15,0,0,$B$8,1))=DX$13), 1*(_xlfn._xlws.FILTER(OFFSET($O$15,0,$DO343,$B$8,1),OFFSET($M$15,0,0,$B$8,1))=DX$14))   /   SUM(OFFSET($BO$15,0,0,$B$14,1)) + $B$18/($B$19*$B$19*($DN343&lt;&gt;$DO343) + $B$19*($DN343=$DO343))</f>
        <v>3.7037037037037035E-4</v>
      </c>
      <c r="DY343" s="10" cm="1">
        <f t="array" aca="1" ref="DY343" ca="1">(1-$B$18)*SUMPRODUCT(OFFSET($BO$15,0,0,$B$14,1), 1*(_xlfn._xlws.FILTER(OFFSET($O$15,0,$DN343,$B$8,1),OFFSET($M$15,0,0,$B$8,1))=DY$13), 1*(_xlfn._xlws.FILTER(OFFSET($O$15,0,$DO343,$B$8,1),OFFSET($M$15,0,0,$B$8,1))=DY$14))   /   SUM(OFFSET($BO$15,0,0,$B$14,1)) + $B$18/($B$19*$B$19*($DN343&lt;&gt;$DO343) + $B$19*($DN343=$DO343))</f>
        <v>3.7037037037037035E-4</v>
      </c>
      <c r="DZ343" s="10" cm="1">
        <f t="array" aca="1" ref="DZ343" ca="1">(1-$B$18)*SUMPRODUCT(OFFSET($BO$15,0,0,$B$14,1), 1*(_xlfn._xlws.FILTER(OFFSET($O$15,0,$DN343,$B$8,1),OFFSET($M$15,0,0,$B$8,1))=DZ$13), 1*(_xlfn._xlws.FILTER(OFFSET($O$15,0,$DO343,$B$8,1),OFFSET($M$15,0,0,$B$8,1))=DZ$14))   /   SUM(OFFSET($BO$15,0,0,$B$14,1)) + $B$18/($B$19*$B$19*($DN343&lt;&gt;$DO343) + $B$19*($DN343=$DO343))</f>
        <v>3.7037037037037035E-4</v>
      </c>
      <c r="EA343" s="10" cm="1">
        <f t="array" aca="1" ref="EA343" ca="1">(1-$B$18)*SUMPRODUCT(OFFSET($BO$15,0,0,$B$14,1), 1*(_xlfn._xlws.FILTER(OFFSET($O$15,0,$DN343,$B$8,1),OFFSET($M$15,0,0,$B$8,1))=EA$13), 1*(_xlfn._xlws.FILTER(OFFSET($O$15,0,$DO343,$B$8,1),OFFSET($M$15,0,0,$B$8,1))=EA$14))   /   SUM(OFFSET($BO$15,0,0,$B$14,1)) + $B$18/($B$19*$B$19*($DN343&lt;&gt;$DO343) + $B$19*($DN343=$DO343))</f>
        <v>3.7037037037037035E-4</v>
      </c>
      <c r="EB343" s="10" cm="1">
        <f t="array" aca="1" ref="EB343" ca="1">(1-$B$18)*SUMPRODUCT(OFFSET($BO$15,0,0,$B$14,1), 1*(_xlfn._xlws.FILTER(OFFSET($O$15,0,$DN343,$B$8,1),OFFSET($M$15,0,0,$B$8,1))=EB$13), 1*(_xlfn._xlws.FILTER(OFFSET($O$15,0,$DO343,$B$8,1),OFFSET($M$15,0,0,$B$8,1))=EB$14))   /   SUM(OFFSET($BO$15,0,0,$B$14,1)) + $B$18/($B$19*$B$19*($DN343&lt;&gt;$DO343) + $B$19*($DN343=$DO343))</f>
        <v>3.7037037037037035E-4</v>
      </c>
      <c r="EC343" s="10" cm="1">
        <f t="array" aca="1" ref="EC343" ca="1">(1-$B$18)*SUMPRODUCT(OFFSET($BO$15,0,0,$B$14,1), 1*(_xlfn._xlws.FILTER(OFFSET($O$15,0,$DN343,$B$8,1),OFFSET($M$15,0,0,$B$8,1))=EC$13), 1*(_xlfn._xlws.FILTER(OFFSET($O$15,0,$DO343,$B$8,1),OFFSET($M$15,0,0,$B$8,1))=EC$14))   /   SUM(OFFSET($BO$15,0,0,$B$14,1)) + $B$18/($B$19*$B$19*($DN343&lt;&gt;$DO343) + $B$19*($DN343=$DO343))</f>
        <v>3.7037037037037035E-4</v>
      </c>
      <c r="ED343" s="10" cm="1">
        <f t="array" aca="1" ref="ED343" ca="1">(1-$B$18)*SUMPRODUCT(OFFSET($BO$15,0,0,$B$14,1), 1*(_xlfn._xlws.FILTER(OFFSET($O$15,0,$DN343,$B$8,1),OFFSET($M$15,0,0,$B$8,1))=ED$13), 1*(_xlfn._xlws.FILTER(OFFSET($O$15,0,$DO343,$B$8,1),OFFSET($M$15,0,0,$B$8,1))=ED$14))   /   SUM(OFFSET($BO$15,0,0,$B$14,1)) + $B$18/($B$19*$B$19*($DN343&lt;&gt;$DO343) + $B$19*($DN343=$DO343))</f>
        <v>3.7037037037037035E-4</v>
      </c>
      <c r="EE343" s="10" cm="1">
        <f t="array" aca="1" ref="EE343" ca="1">(1-$B$18)*SUMPRODUCT(OFFSET($BO$15,0,0,$B$14,1), 1*(_xlfn._xlws.FILTER(OFFSET($O$15,0,$DN343,$B$8,1),OFFSET($M$15,0,0,$B$8,1))=EE$13), 1*(_xlfn._xlws.FILTER(OFFSET($O$15,0,$DO343,$B$8,1),OFFSET($M$15,0,0,$B$8,1))=EE$14))   /   SUM(OFFSET($BO$15,0,0,$B$14,1)) + $B$18/($B$19*$B$19*($DN343&lt;&gt;$DO343) + $B$19*($DN343=$DO343))</f>
        <v>3.7037037037037035E-4</v>
      </c>
      <c r="EF343" s="10" cm="1">
        <f t="array" aca="1" ref="EF343" ca="1">(1-$B$18)*SUMPRODUCT(OFFSET($BO$15,0,0,$B$14,1), 1*(_xlfn._xlws.FILTER(OFFSET($O$15,0,$DN343,$B$8,1),OFFSET($M$15,0,0,$B$8,1))=EF$13), 1*(_xlfn._xlws.FILTER(OFFSET($O$15,0,$DO343,$B$8,1),OFFSET($M$15,0,0,$B$8,1))=EF$14))   /   SUM(OFFSET($BO$15,0,0,$B$14,1)) + $B$18/($B$19*$B$19*($DN343&lt;&gt;$DO343) + $B$19*($DN343=$DO343))</f>
        <v>3.7037037037037035E-4</v>
      </c>
      <c r="EG343" s="10" cm="1">
        <f t="array" aca="1" ref="EG343" ca="1">(1-$B$18)*SUMPRODUCT(OFFSET($BO$15,0,0,$B$14,1), 1*(_xlfn._xlws.FILTER(OFFSET($O$15,0,$DN343,$B$8,1),OFFSET($M$15,0,0,$B$8,1))=EG$13), 1*(_xlfn._xlws.FILTER(OFFSET($O$15,0,$DO343,$B$8,1),OFFSET($M$15,0,0,$B$8,1))=EG$14))   /   SUM(OFFSET($BO$15,0,0,$B$14,1)) + $B$18/($B$19*$B$19*($DN343&lt;&gt;$DO343) + $B$19*($DN343=$DO343))</f>
        <v>3.7037037037037035E-4</v>
      </c>
      <c r="EH343" s="10" cm="1">
        <f t="array" aca="1" ref="EH343" ca="1">(1-$B$18)*SUMPRODUCT(OFFSET($BO$15,0,0,$B$14,1), 1*(_xlfn._xlws.FILTER(OFFSET($O$15,0,$DN343,$B$8,1),OFFSET($M$15,0,0,$B$8,1))=EH$13), 1*(_xlfn._xlws.FILTER(OFFSET($O$15,0,$DO343,$B$8,1),OFFSET($M$15,0,0,$B$8,1))=EH$14))   /   SUM(OFFSET($BO$15,0,0,$B$14,1)) + $B$18/($B$19*$B$19*($DN343&lt;&gt;$DO343) + $B$19*($DN343=$DO343))</f>
        <v>3.7037037037037035E-4</v>
      </c>
      <c r="EI343" s="10" cm="1">
        <f t="array" aca="1" ref="EI343" ca="1">(1-$B$18)*SUMPRODUCT(OFFSET($BO$15,0,0,$B$14,1), 1*(_xlfn._xlws.FILTER(OFFSET($O$15,0,$DN343,$B$8,1),OFFSET($M$15,0,0,$B$8,1))=EI$13), 1*(_xlfn._xlws.FILTER(OFFSET($O$15,0,$DO343,$B$8,1),OFFSET($M$15,0,0,$B$8,1))=EI$14))   /   SUM(OFFSET($BO$15,0,0,$B$14,1)) + $B$18/($B$19*$B$19*($DN343&lt;&gt;$DO343) + $B$19*($DN343=$DO343))</f>
        <v>3.7037037037037035E-4</v>
      </c>
      <c r="EJ343" s="10" cm="1">
        <f t="array" aca="1" ref="EJ343" ca="1">(1-$B$18)*SUMPRODUCT(OFFSET($BO$15,0,0,$B$14,1), 1*(_xlfn._xlws.FILTER(OFFSET($O$15,0,$DN343,$B$8,1),OFFSET($M$15,0,0,$B$8,1))=EJ$13), 1*(_xlfn._xlws.FILTER(OFFSET($O$15,0,$DO343,$B$8,1),OFFSET($M$15,0,0,$B$8,1))=EJ$14))   /   SUM(OFFSET($BO$15,0,0,$B$14,1)) + $B$18/($B$19*$B$19*($DN343&lt;&gt;$DO343) + $B$19*($DN343=$DO343))</f>
        <v>3.7037037037037035E-4</v>
      </c>
      <c r="EK343" s="10" cm="1">
        <f t="array" aca="1" ref="EK343" ca="1">(1-$B$18)*SUMPRODUCT(OFFSET($BO$15,0,0,$B$14,1), 1*(_xlfn._xlws.FILTER(OFFSET($O$15,0,$DN343,$B$8,1),OFFSET($M$15,0,0,$B$8,1))=EK$13), 1*(_xlfn._xlws.FILTER(OFFSET($O$15,0,$DO343,$B$8,1),OFFSET($M$15,0,0,$B$8,1))=EK$14))   /   SUM(OFFSET($BO$15,0,0,$B$14,1)) + $B$18/($B$19*$B$19*($DN343&lt;&gt;$DO343) + $B$19*($DN343=$DO343))</f>
        <v>3.7037037037037035E-4</v>
      </c>
      <c r="EL343" s="10" cm="1">
        <f t="array" aca="1" ref="EL343" ca="1">(1-$B$18)*SUMPRODUCT(OFFSET($BO$15,0,0,$B$14,1), 1*(_xlfn._xlws.FILTER(OFFSET($O$15,0,$DN343,$B$8,1),OFFSET($M$15,0,0,$B$8,1))=EL$13), 1*(_xlfn._xlws.FILTER(OFFSET($O$15,0,$DO343,$B$8,1),OFFSET($M$15,0,0,$B$8,1))=EL$14))   /   SUM(OFFSET($BO$15,0,0,$B$14,1)) + $B$18/($B$19*$B$19*($DN343&lt;&gt;$DO343) + $B$19*($DN343=$DO343))</f>
        <v>3.7037037037037035E-4</v>
      </c>
      <c r="EM343" s="10" cm="1">
        <f t="array" aca="1" ref="EM343" ca="1">(1-$B$18)*SUMPRODUCT(OFFSET($BO$15,0,0,$B$14,1), 1*(_xlfn._xlws.FILTER(OFFSET($O$15,0,$DN343,$B$8,1),OFFSET($M$15,0,0,$B$8,1))=EM$13), 1*(_xlfn._xlws.FILTER(OFFSET($O$15,0,$DO343,$B$8,1),OFFSET($M$15,0,0,$B$8,1))=EM$14))   /   SUM(OFFSET($BO$15,0,0,$B$14,1)) + $B$18/($B$19*$B$19*($DN343&lt;&gt;$DO343) + $B$19*($DN343=$DO343))</f>
        <v>3.7037037037037035E-4</v>
      </c>
      <c r="EN343" s="10" cm="1">
        <f t="array" aca="1" ref="EN343" ca="1">(1-$B$18)*SUMPRODUCT(OFFSET($BO$15,0,0,$B$14,1), 1*(_xlfn._xlws.FILTER(OFFSET($O$15,0,$DN343,$B$8,1),OFFSET($M$15,0,0,$B$8,1))=EN$13), 1*(_xlfn._xlws.FILTER(OFFSET($O$15,0,$DO343,$B$8,1),OFFSET($M$15,0,0,$B$8,1))=EN$14))   /   SUM(OFFSET($BO$15,0,0,$B$14,1)) + $B$18/($B$19*$B$19*($DN343&lt;&gt;$DO343) + $B$19*($DN343=$DO343))</f>
        <v>3.7037037037037035E-4</v>
      </c>
      <c r="EO343" s="10" cm="1">
        <f t="array" aca="1" ref="EO343" ca="1">(1-$B$18)*SUMPRODUCT(OFFSET($BO$15,0,0,$B$14,1), 1*(_xlfn._xlws.FILTER(OFFSET($O$15,0,$DN343,$B$8,1),OFFSET($M$15,0,0,$B$8,1))=EO$13), 1*(_xlfn._xlws.FILTER(OFFSET($O$15,0,$DO343,$B$8,1),OFFSET($M$15,0,0,$B$8,1))=EO$14))   /   SUM(OFFSET($BO$15,0,0,$B$14,1)) + $B$18/($B$19*$B$19*($DN343&lt;&gt;$DO343) + $B$19*($DN343=$DO343))</f>
        <v>3.7037037037037035E-4</v>
      </c>
      <c r="EP343" s="10" cm="1">
        <f t="array" aca="1" ref="EP343" ca="1">(1-$B$18)*SUMPRODUCT(OFFSET($BO$15,0,0,$B$14,1), 1*(_xlfn._xlws.FILTER(OFFSET($O$15,0,$DN343,$B$8,1),OFFSET($M$15,0,0,$B$8,1))=EP$13), 1*(_xlfn._xlws.FILTER(OFFSET($O$15,0,$DO343,$B$8,1),OFFSET($M$15,0,0,$B$8,1))=EP$14))   /   SUM(OFFSET($BO$15,0,0,$B$14,1)) + $B$18/($B$19*$B$19*($DN343&lt;&gt;$DO343) + $B$19*($DN343=$DO343))</f>
        <v>3.7037037037037035E-4</v>
      </c>
      <c r="EQ343" s="10" cm="1">
        <f t="array" aca="1" ref="EQ343" ca="1">(1-$B$18)*SUMPRODUCT(OFFSET($BO$15,0,0,$B$14,1), 1*(_xlfn._xlws.FILTER(OFFSET($O$15,0,$DN343,$B$8,1),OFFSET($M$15,0,0,$B$8,1))=EQ$13), 1*(_xlfn._xlws.FILTER(OFFSET($O$15,0,$DO343,$B$8,1),OFFSET($M$15,0,0,$B$8,1))=EQ$14))   /   SUM(OFFSET($BO$15,0,0,$B$14,1)) + $B$18/($B$19*$B$19*($DN343&lt;&gt;$DO343) + $B$19*($DN343=$DO343))</f>
        <v>3.7037037037037035E-4</v>
      </c>
      <c r="ER343" s="10" cm="1">
        <f t="array" aca="1" ref="ER343" ca="1">(1-$B$18)*SUMPRODUCT(OFFSET($BO$15,0,0,$B$14,1), 1*(_xlfn._xlws.FILTER(OFFSET($O$15,0,$DN343,$B$8,1),OFFSET($M$15,0,0,$B$8,1))=ER$13), 1*(_xlfn._xlws.FILTER(OFFSET($O$15,0,$DO343,$B$8,1),OFFSET($M$15,0,0,$B$8,1))=ER$14))   /   SUM(OFFSET($BO$15,0,0,$B$14,1)) + $B$18/($B$19*$B$19*($DN343&lt;&gt;$DO343) + $B$19*($DN343=$DO343))</f>
        <v>3.7037037037037035E-4</v>
      </c>
      <c r="ES343" s="10" cm="1">
        <f t="array" aca="1" ref="ES343" ca="1">(1-$B$18)*SUMPRODUCT(OFFSET($BO$15,0,0,$B$14,1), 1*(_xlfn._xlws.FILTER(OFFSET($O$15,0,$DN343,$B$8,1),OFFSET($M$15,0,0,$B$8,1))=ES$13), 1*(_xlfn._xlws.FILTER(OFFSET($O$15,0,$DO343,$B$8,1),OFFSET($M$15,0,0,$B$8,1))=ES$14))   /   SUM(OFFSET($BO$15,0,0,$B$14,1)) + $B$18/($B$19*$B$19*($DN343&lt;&gt;$DO343) + $B$19*($DN343=$DO343))</f>
        <v>3.7037037037037035E-4</v>
      </c>
      <c r="ET343" s="10" cm="1">
        <f t="array" aca="1" ref="ET343" ca="1">(1-$B$18)*SUMPRODUCT(OFFSET($BO$15,0,0,$B$14,1), 1*(_xlfn._xlws.FILTER(OFFSET($O$15,0,$DN343,$B$8,1),OFFSET($M$15,0,0,$B$8,1))=ET$13), 1*(_xlfn._xlws.FILTER(OFFSET($O$15,0,$DO343,$B$8,1),OFFSET($M$15,0,0,$B$8,1))=ET$14))   /   SUM(OFFSET($BO$15,0,0,$B$14,1)) + $B$18/($B$19*$B$19*($DN343&lt;&gt;$DO343) + $B$19*($DN343=$DO343))</f>
        <v>3.7037037037037035E-4</v>
      </c>
      <c r="EU343" s="10" cm="1">
        <f t="array" aca="1" ref="EU343" ca="1">(1-$B$18)*SUMPRODUCT(OFFSET($BO$15,0,0,$B$14,1), 1*(_xlfn._xlws.FILTER(OFFSET($O$15,0,$DN343,$B$8,1),OFFSET($M$15,0,0,$B$8,1))=EU$13), 1*(_xlfn._xlws.FILTER(OFFSET($O$15,0,$DO343,$B$8,1),OFFSET($M$15,0,0,$B$8,1))=EU$14))   /   SUM(OFFSET($BO$15,0,0,$B$14,1)) + $B$18/($B$19*$B$19*($DN343&lt;&gt;$DO343) + $B$19*($DN343=$DO343))</f>
        <v>3.7037037037037035E-4</v>
      </c>
      <c r="EV343" s="10" cm="1">
        <f t="array" aca="1" ref="EV343" ca="1">(1-$B$18)*SUMPRODUCT(OFFSET($BO$15,0,0,$B$14,1), 1*(_xlfn._xlws.FILTER(OFFSET($O$15,0,$DN343,$B$8,1),OFFSET($M$15,0,0,$B$8,1))=EV$13), 1*(_xlfn._xlws.FILTER(OFFSET($O$15,0,$DO343,$B$8,1),OFFSET($M$15,0,0,$B$8,1))=EV$14))   /   SUM(OFFSET($BO$15,0,0,$B$14,1)) + $B$18/($B$19*$B$19*($DN343&lt;&gt;$DO343) + $B$19*($DN343=$DO343))</f>
        <v>3.7037037037037035E-4</v>
      </c>
      <c r="EW343" s="10" cm="1">
        <f t="array" aca="1" ref="EW343" ca="1">(1-$B$18)*SUMPRODUCT(OFFSET($BO$15,0,0,$B$14,1), 1*(_xlfn._xlws.FILTER(OFFSET($O$15,0,$DN343,$B$8,1),OFFSET($M$15,0,0,$B$8,1))=EW$13), 1*(_xlfn._xlws.FILTER(OFFSET($O$15,0,$DO343,$B$8,1),OFFSET($M$15,0,0,$B$8,1))=EW$14))   /   SUM(OFFSET($BO$15,0,0,$B$14,1)) + $B$18/($B$19*$B$19*($DN343&lt;&gt;$DO343) + $B$19*($DN343=$DO343))</f>
        <v>3.7037037037037035E-4</v>
      </c>
      <c r="EX343" s="10" cm="1">
        <f t="array" aca="1" ref="EX343" ca="1">(1-$B$18)*SUMPRODUCT(OFFSET($BO$15,0,0,$B$14,1), 1*(_xlfn._xlws.FILTER(OFFSET($O$15,0,$DN343,$B$8,1),OFFSET($M$15,0,0,$B$8,1))=EX$13), 1*(_xlfn._xlws.FILTER(OFFSET($O$15,0,$DO343,$B$8,1),OFFSET($M$15,0,0,$B$8,1))=EX$14))   /   SUM(OFFSET($BO$15,0,0,$B$14,1)) + $B$18/($B$19*$B$19*($DN343&lt;&gt;$DO343) + $B$19*($DN343=$DO343))</f>
        <v>3.7037037037037035E-4</v>
      </c>
      <c r="EY343" s="10" cm="1">
        <f t="array" aca="1" ref="EY343" ca="1">(1-$B$18)*SUMPRODUCT(OFFSET($BO$15,0,0,$B$14,1), 1*(_xlfn._xlws.FILTER(OFFSET($O$15,0,$DN343,$B$8,1),OFFSET($M$15,0,0,$B$8,1))=EY$13), 1*(_xlfn._xlws.FILTER(OFFSET($O$15,0,$DO343,$B$8,1),OFFSET($M$15,0,0,$B$8,1))=EY$14))   /   SUM(OFFSET($BO$15,0,0,$B$14,1)) + $B$18/($B$19*$B$19*($DN343&lt;&gt;$DO343) + $B$19*($DN343=$DO343))</f>
        <v>3.7037037037037035E-4</v>
      </c>
      <c r="EZ343" s="10" cm="1">
        <f t="array" aca="1" ref="EZ343" ca="1">(1-$B$18)*SUMPRODUCT(OFFSET($BO$15,0,0,$B$14,1), 1*(_xlfn._xlws.FILTER(OFFSET($O$15,0,$DN343,$B$8,1),OFFSET($M$15,0,0,$B$8,1))=EZ$13), 1*(_xlfn._xlws.FILTER(OFFSET($O$15,0,$DO343,$B$8,1),OFFSET($M$15,0,0,$B$8,1))=EZ$14))   /   SUM(OFFSET($BO$15,0,0,$B$14,1)) + $B$18/($B$19*$B$19*($DN343&lt;&gt;$DO343) + $B$19*($DN343=$DO343))</f>
        <v>3.7037037037037035E-4</v>
      </c>
      <c r="FA343" s="10" cm="1">
        <f t="array" aca="1" ref="FA343" ca="1">(1-$B$18)*SUMPRODUCT(OFFSET($BO$15,0,0,$B$14,1), 1*(_xlfn._xlws.FILTER(OFFSET($O$15,0,$DN343,$B$8,1),OFFSET($M$15,0,0,$B$8,1))=FA$13), 1*(_xlfn._xlws.FILTER(OFFSET($O$15,0,$DO343,$B$8,1),OFFSET($M$15,0,0,$B$8,1))=FA$14))   /   SUM(OFFSET($BO$15,0,0,$B$14,1)) + $B$18/($B$19*$B$19*($DN343&lt;&gt;$DO343) + $B$19*($DN343=$DO343))</f>
        <v>3.7037037037037035E-4</v>
      </c>
      <c r="FB343" s="10" cm="1">
        <f t="array" aca="1" ref="FB343" ca="1">(1-$B$18)*SUMPRODUCT(OFFSET($BO$15,0,0,$B$14,1), 1*(_xlfn._xlws.FILTER(OFFSET($O$15,0,$DN343,$B$8,1),OFFSET($M$15,0,0,$B$8,1))=FB$13), 1*(_xlfn._xlws.FILTER(OFFSET($O$15,0,$DO343,$B$8,1),OFFSET($M$15,0,0,$B$8,1))=FB$14))   /   SUM(OFFSET($BO$15,0,0,$B$14,1)) + $B$18/($B$19*$B$19*($DN343&lt;&gt;$DO343) + $B$19*($DN343=$DO343))</f>
        <v>0.24287037037037024</v>
      </c>
      <c r="FC343" s="10" cm="1">
        <f t="array" aca="1" ref="FC343" ca="1">(1-$B$18)*SUMPRODUCT(OFFSET($BO$15,0,0,$B$14,1), 1*(_xlfn._xlws.FILTER(OFFSET($O$15,0,$DN343,$B$8,1),OFFSET($M$15,0,0,$B$8,1))=FC$13), 1*(_xlfn._xlws.FILTER(OFFSET($O$15,0,$DO343,$B$8,1),OFFSET($M$15,0,0,$B$8,1))=FC$14))   /   SUM(OFFSET($BO$15,0,0,$B$14,1)) + $B$18/($B$19*$B$19*($DN343&lt;&gt;$DO343) + $B$19*($DN343=$DO343))</f>
        <v>3.7037037037037035E-4</v>
      </c>
      <c r="FD343" s="10" cm="1">
        <f t="array" aca="1" ref="FD343" ca="1">(1-$B$18)*SUMPRODUCT(OFFSET($BO$15,0,0,$B$14,1), 1*(_xlfn._xlws.FILTER(OFFSET($O$15,0,$DN343,$B$8,1),OFFSET($M$15,0,0,$B$8,1))=FD$13), 1*(_xlfn._xlws.FILTER(OFFSET($O$15,0,$DO343,$B$8,1),OFFSET($M$15,0,0,$B$8,1))=FD$14))   /   SUM(OFFSET($BO$15,0,0,$B$14,1)) + $B$18/($B$19*$B$19*($DN343&lt;&gt;$DO343) + $B$19*($DN343=$DO343))</f>
        <v>3.7037037037037035E-4</v>
      </c>
      <c r="FE343" s="10" cm="1">
        <f t="array" aca="1" ref="FE343" ca="1">(1-$B$18)*SUMPRODUCT(OFFSET($BO$15,0,0,$B$14,1), 1*(_xlfn._xlws.FILTER(OFFSET($O$15,0,$DN343,$B$8,1),OFFSET($M$15,0,0,$B$8,1))=FE$13), 1*(_xlfn._xlws.FILTER(OFFSET($O$15,0,$DO343,$B$8,1),OFFSET($M$15,0,0,$B$8,1))=FE$14))   /   SUM(OFFSET($BO$15,0,0,$B$14,1)) + $B$18/($B$19*$B$19*($DN343&lt;&gt;$DO343) + $B$19*($DN343=$DO343))</f>
        <v>3.7037037037037035E-4</v>
      </c>
      <c r="FF343" s="10" cm="1">
        <f t="array" aca="1" ref="FF343" ca="1">(1-$B$18)*SUMPRODUCT(OFFSET($BO$15,0,0,$B$14,1), 1*(_xlfn._xlws.FILTER(OFFSET($O$15,0,$DN343,$B$8,1),OFFSET($M$15,0,0,$B$8,1))=FF$13), 1*(_xlfn._xlws.FILTER(OFFSET($O$15,0,$DO343,$B$8,1),OFFSET($M$15,0,0,$B$8,1))=FF$14))   /   SUM(OFFSET($BO$15,0,0,$B$14,1)) + $B$18/($B$19*$B$19*($DN343&lt;&gt;$DO343) + $B$19*($DN343=$DO343))</f>
        <v>3.7037037037037035E-4</v>
      </c>
      <c r="FG343" s="10" cm="1">
        <f t="array" aca="1" ref="FG343" ca="1">(1-$B$18)*SUMPRODUCT(OFFSET($BO$15,0,0,$B$14,1), 1*(_xlfn._xlws.FILTER(OFFSET($O$15,0,$DN343,$B$8,1),OFFSET($M$15,0,0,$B$8,1))=FG$13), 1*(_xlfn._xlws.FILTER(OFFSET($O$15,0,$DO343,$B$8,1),OFFSET($M$15,0,0,$B$8,1))=FG$14))   /   SUM(OFFSET($BO$15,0,0,$B$14,1)) + $B$18/($B$19*$B$19*($DN343&lt;&gt;$DO343) + $B$19*($DN343=$DO343))</f>
        <v>3.7037037037037035E-4</v>
      </c>
      <c r="FH343" s="10" cm="1">
        <f t="array" aca="1" ref="FH343" ca="1">(1-$B$18)*SUMPRODUCT(OFFSET($BO$15,0,0,$B$14,1), 1*(_xlfn._xlws.FILTER(OFFSET($O$15,0,$DN343,$B$8,1),OFFSET($M$15,0,0,$B$8,1))=FH$13), 1*(_xlfn._xlws.FILTER(OFFSET($O$15,0,$DO343,$B$8,1),OFFSET($M$15,0,0,$B$8,1))=FH$14))   /   SUM(OFFSET($BO$15,0,0,$B$14,1)) + $B$18/($B$19*$B$19*($DN343&lt;&gt;$DO343) + $B$19*($DN343=$DO343))</f>
        <v>3.7037037037037035E-4</v>
      </c>
      <c r="FI343" s="10" cm="1">
        <f t="array" aca="1" ref="FI343" ca="1">(1-$B$18)*SUMPRODUCT(OFFSET($BO$15,0,0,$B$14,1), 1*(_xlfn._xlws.FILTER(OFFSET($O$15,0,$DN343,$B$8,1),OFFSET($M$15,0,0,$B$8,1))=FI$13), 1*(_xlfn._xlws.FILTER(OFFSET($O$15,0,$DO343,$B$8,1),OFFSET($M$15,0,0,$B$8,1))=FI$14))   /   SUM(OFFSET($BO$15,0,0,$B$14,1)) + $B$18/($B$19*$B$19*($DN343&lt;&gt;$DO343) + $B$19*($DN343=$DO343))</f>
        <v>3.7037037037037035E-4</v>
      </c>
      <c r="FJ343" s="10" cm="1">
        <f t="array" aca="1" ref="FJ343" ca="1">(1-$B$18)*SUMPRODUCT(OFFSET($BO$15,0,0,$B$14,1), 1*(_xlfn._xlws.FILTER(OFFSET($O$15,0,$DN343,$B$8,1),OFFSET($M$15,0,0,$B$8,1))=FJ$13), 1*(_xlfn._xlws.FILTER(OFFSET($O$15,0,$DO343,$B$8,1),OFFSET($M$15,0,0,$B$8,1))=FJ$14))   /   SUM(OFFSET($BO$15,0,0,$B$14,1)) + $B$18/($B$19*$B$19*($DN343&lt;&gt;$DO343) + $B$19*($DN343=$DO343))</f>
        <v>0.24287037037037026</v>
      </c>
      <c r="FK343" s="10" cm="1">
        <f t="array" aca="1" ref="FK343" ca="1">(1-$B$18)*SUMPRODUCT(OFFSET($BO$15,0,0,$B$14,1), 1*(_xlfn._xlws.FILTER(OFFSET($O$15,0,$DN343,$B$8,1),OFFSET($M$15,0,0,$B$8,1))=FK$13), 1*(_xlfn._xlws.FILTER(OFFSET($O$15,0,$DO343,$B$8,1),OFFSET($M$15,0,0,$B$8,1))=FK$14))   /   SUM(OFFSET($BO$15,0,0,$B$14,1)) + $B$18/($B$19*$B$19*($DN343&lt;&gt;$DO343) + $B$19*($DN343=$DO343))</f>
        <v>3.7037037037037035E-4</v>
      </c>
      <c r="FL343" s="10" cm="1">
        <f t="array" aca="1" ref="FL343" ca="1">(1-$B$18)*SUMPRODUCT(OFFSET($BO$15,0,0,$B$14,1), 1*(_xlfn._xlws.FILTER(OFFSET($O$15,0,$DN343,$B$8,1),OFFSET($M$15,0,0,$B$8,1))=FL$13), 1*(_xlfn._xlws.FILTER(OFFSET($O$15,0,$DO343,$B$8,1),OFFSET($M$15,0,0,$B$8,1))=FL$14))   /   SUM(OFFSET($BO$15,0,0,$B$14,1)) + $B$18/($B$19*$B$19*($DN343&lt;&gt;$DO343) + $B$19*($DN343=$DO343))</f>
        <v>3.7037037037037035E-4</v>
      </c>
      <c r="FM343" s="10" cm="1">
        <f t="array" aca="1" ref="FM343" ca="1">(1-$B$18)*SUMPRODUCT(OFFSET($BO$15,0,0,$B$14,1), 1*(_xlfn._xlws.FILTER(OFFSET($O$15,0,$DN343,$B$8,1),OFFSET($M$15,0,0,$B$8,1))=FM$13), 1*(_xlfn._xlws.FILTER(OFFSET($O$15,0,$DO343,$B$8,1),OFFSET($M$15,0,0,$B$8,1))=FM$14))   /   SUM(OFFSET($BO$15,0,0,$B$14,1)) + $B$18/($B$19*$B$19*($DN343&lt;&gt;$DO343) + $B$19*($DN343=$DO343))</f>
        <v>3.7037037037037035E-4</v>
      </c>
      <c r="FN343" s="10" cm="1">
        <f t="array" aca="1" ref="FN343" ca="1">(1-$B$18)*SUMPRODUCT(OFFSET($BO$15,0,0,$B$14,1), 1*(_xlfn._xlws.FILTER(OFFSET($O$15,0,$DN343,$B$8,1),OFFSET($M$15,0,0,$B$8,1))=FN$13), 1*(_xlfn._xlws.FILTER(OFFSET($O$15,0,$DO343,$B$8,1),OFFSET($M$15,0,0,$B$8,1))=FN$14))   /   SUM(OFFSET($BO$15,0,0,$B$14,1)) + $B$18/($B$19*$B$19*($DN343&lt;&gt;$DO343) + $B$19*($DN343=$DO343))</f>
        <v>3.7037037037037035E-4</v>
      </c>
      <c r="FO343" s="10" cm="1">
        <f t="array" aca="1" ref="FO343" ca="1">(1-$B$18)*SUMPRODUCT(OFFSET($BO$15,0,0,$B$14,1), 1*(_xlfn._xlws.FILTER(OFFSET($O$15,0,$DN343,$B$8,1),OFFSET($M$15,0,0,$B$8,1))=FO$13), 1*(_xlfn._xlws.FILTER(OFFSET($O$15,0,$DO343,$B$8,1),OFFSET($M$15,0,0,$B$8,1))=FO$14))   /   SUM(OFFSET($BO$15,0,0,$B$14,1)) + $B$18/($B$19*$B$19*($DN343&lt;&gt;$DO343) + $B$19*($DN343=$DO343))</f>
        <v>3.7037037037037035E-4</v>
      </c>
      <c r="FP343" s="10" cm="1">
        <f t="array" aca="1" ref="FP343" ca="1">(1-$B$18)*SUMPRODUCT(OFFSET($BO$15,0,0,$B$14,1), 1*(_xlfn._xlws.FILTER(OFFSET($O$15,0,$DN343,$B$8,1),OFFSET($M$15,0,0,$B$8,1))=FP$13), 1*(_xlfn._xlws.FILTER(OFFSET($O$15,0,$DO343,$B$8,1),OFFSET($M$15,0,0,$B$8,1))=FP$14))   /   SUM(OFFSET($BO$15,0,0,$B$14,1)) + $B$18/($B$19*$B$19*($DN343&lt;&gt;$DO343) + $B$19*($DN343=$DO343))</f>
        <v>3.7037037037037035E-4</v>
      </c>
      <c r="FQ343" s="10" cm="1">
        <f t="array" aca="1" ref="FQ343" ca="1">(1-$B$18)*SUMPRODUCT(OFFSET($BO$15,0,0,$B$14,1), 1*(_xlfn._xlws.FILTER(OFFSET($O$15,0,$DN343,$B$8,1),OFFSET($M$15,0,0,$B$8,1))=FQ$13), 1*(_xlfn._xlws.FILTER(OFFSET($O$15,0,$DO343,$B$8,1),OFFSET($M$15,0,0,$B$8,1))=FQ$14))   /   SUM(OFFSET($BO$15,0,0,$B$14,1)) + $B$18/($B$19*$B$19*($DN343&lt;&gt;$DO343) + $B$19*($DN343=$DO343))</f>
        <v>3.7037037037037035E-4</v>
      </c>
      <c r="FR343" s="10" cm="1">
        <f t="array" aca="1" ref="FR343" ca="1">(1-$B$18)*SUMPRODUCT(OFFSET($BO$15,0,0,$B$14,1), 1*(_xlfn._xlws.FILTER(OFFSET($O$15,0,$DN343,$B$8,1),OFFSET($M$15,0,0,$B$8,1))=FR$13), 1*(_xlfn._xlws.FILTER(OFFSET($O$15,0,$DO343,$B$8,1),OFFSET($M$15,0,0,$B$8,1))=FR$14))   /   SUM(OFFSET($BO$15,0,0,$B$14,1)) + $B$18/($B$19*$B$19*($DN343&lt;&gt;$DO343) + $B$19*($DN343=$DO343))</f>
        <v>0.48537037037037012</v>
      </c>
      <c r="FS343" s="10" cm="1">
        <f t="array" aca="1" ref="FS343" ca="1">(1-$B$18)*SUMPRODUCT(OFFSET($BO$15,0,0,$B$14,1), 1*(_xlfn._xlws.FILTER(OFFSET($O$15,0,$DN343,$B$8,1),OFFSET($M$15,0,0,$B$8,1))=FS$13), 1*(_xlfn._xlws.FILTER(OFFSET($O$15,0,$DO343,$B$8,1),OFFSET($M$15,0,0,$B$8,1))=FS$14))   /   SUM(OFFSET($BO$15,0,0,$B$14,1)) + $B$18/($B$19*$B$19*($DN343&lt;&gt;$DO343) + $B$19*($DN343=$DO343))</f>
        <v>3.7037037037037035E-4</v>
      </c>
      <c r="FT343" s="10" cm="1">
        <f t="array" aca="1" ref="FT343" ca="1">(1-$B$18)*SUMPRODUCT(OFFSET($BO$15,0,0,$B$14,1), 1*(_xlfn._xlws.FILTER(OFFSET($O$15,0,$DN343,$B$8,1),OFFSET($M$15,0,0,$B$8,1))=FT$13), 1*(_xlfn._xlws.FILTER(OFFSET($O$15,0,$DO343,$B$8,1),OFFSET($M$15,0,0,$B$8,1))=FT$14))   /   SUM(OFFSET($BO$15,0,0,$B$14,1)) + $B$18/($B$19*$B$19*($DN343&lt;&gt;$DO343) + $B$19*($DN343=$DO343))</f>
        <v>3.7037037037037035E-4</v>
      </c>
      <c r="FU343" s="10" cm="1">
        <f t="array" aca="1" ref="FU343" ca="1">(1-$B$18)*SUMPRODUCT(OFFSET($BO$15,0,0,$B$14,1), 1*(_xlfn._xlws.FILTER(OFFSET($O$15,0,$DN343,$B$8,1),OFFSET($M$15,0,0,$B$8,1))=FU$13), 1*(_xlfn._xlws.FILTER(OFFSET($O$15,0,$DO343,$B$8,1),OFFSET($M$15,0,0,$B$8,1))=FU$14))   /   SUM(OFFSET($BO$15,0,0,$B$14,1)) + $B$18/($B$19*$B$19*($DN343&lt;&gt;$DO343) + $B$19*($DN343=$DO343))</f>
        <v>3.7037037037037035E-4</v>
      </c>
      <c r="FV343" s="10" cm="1">
        <f t="array" aca="1" ref="FV343" ca="1">(1-$B$18)*SUMPRODUCT(OFFSET($BO$15,0,0,$B$14,1), 1*(_xlfn._xlws.FILTER(OFFSET($O$15,0,$DN343,$B$8,1),OFFSET($M$15,0,0,$B$8,1))=FV$13), 1*(_xlfn._xlws.FILTER(OFFSET($O$15,0,$DO343,$B$8,1),OFFSET($M$15,0,0,$B$8,1))=FV$14))   /   SUM(OFFSET($BO$15,0,0,$B$14,1)) + $B$18/($B$19*$B$19*($DN343&lt;&gt;$DO343) + $B$19*($DN343=$DO343))</f>
        <v>3.7037037037037035E-4</v>
      </c>
      <c r="FW343" s="10" cm="1">
        <f t="array" aca="1" ref="FW343" ca="1">(1-$B$18)*SUMPRODUCT(OFFSET($BO$15,0,0,$B$14,1), 1*(_xlfn._xlws.FILTER(OFFSET($O$15,0,$DN343,$B$8,1),OFFSET($M$15,0,0,$B$8,1))=FW$13), 1*(_xlfn._xlws.FILTER(OFFSET($O$15,0,$DO343,$B$8,1),OFFSET($M$15,0,0,$B$8,1))=FW$14))   /   SUM(OFFSET($BO$15,0,0,$B$14,1)) + $B$18/($B$19*$B$19*($DN343&lt;&gt;$DO343) + $B$19*($DN343=$DO343))</f>
        <v>3.7037037037037035E-4</v>
      </c>
      <c r="FX343" s="10" cm="1">
        <f t="array" aca="1" ref="FX343" ca="1">(1-$B$18)*SUMPRODUCT(OFFSET($BO$15,0,0,$B$14,1), 1*(_xlfn._xlws.FILTER(OFFSET($O$15,0,$DN343,$B$8,1),OFFSET($M$15,0,0,$B$8,1))=FX$13), 1*(_xlfn._xlws.FILTER(OFFSET($O$15,0,$DO343,$B$8,1),OFFSET($M$15,0,0,$B$8,1))=FX$14))   /   SUM(OFFSET($BO$15,0,0,$B$14,1)) + $B$18/($B$19*$B$19*($DN343&lt;&gt;$DO343) + $B$19*($DN343=$DO343))</f>
        <v>3.7037037037037035E-4</v>
      </c>
      <c r="FY343" s="10" cm="1">
        <f t="array" aca="1" ref="FY343" ca="1">(1-$B$18)*SUMPRODUCT(OFFSET($BO$15,0,0,$B$14,1), 1*(_xlfn._xlws.FILTER(OFFSET($O$15,0,$DN343,$B$8,1),OFFSET($M$15,0,0,$B$8,1))=FY$13), 1*(_xlfn._xlws.FILTER(OFFSET($O$15,0,$DO343,$B$8,1),OFFSET($M$15,0,0,$B$8,1))=FY$14))   /   SUM(OFFSET($BO$15,0,0,$B$14,1)) + $B$18/($B$19*$B$19*($DN343&lt;&gt;$DO343) + $B$19*($DN343=$DO343))</f>
        <v>3.7037037037037035E-4</v>
      </c>
      <c r="FZ343" s="10" cm="1">
        <f t="array" aca="1" ref="FZ343" ca="1">(1-$B$18)*SUMPRODUCT(OFFSET($BO$15,0,0,$B$14,1), 1*(_xlfn._xlws.FILTER(OFFSET($O$15,0,$DN343,$B$8,1),OFFSET($M$15,0,0,$B$8,1))=FZ$13), 1*(_xlfn._xlws.FILTER(OFFSET($O$15,0,$DO343,$B$8,1),OFFSET($M$15,0,0,$B$8,1))=FZ$14))   /   SUM(OFFSET($BO$15,0,0,$B$14,1)) + $B$18/($B$19*$B$19*($DN343&lt;&gt;$DO343) + $B$19*($DN343=$DO343))</f>
        <v>3.7037037037037035E-4</v>
      </c>
      <c r="GA343" s="10" cm="1">
        <f t="array" aca="1" ref="GA343" ca="1">(1-$B$18)*SUMPRODUCT(OFFSET($BO$15,0,0,$B$14,1), 1*(_xlfn._xlws.FILTER(OFFSET($O$15,0,$DN343,$B$8,1),OFFSET($M$15,0,0,$B$8,1))=GA$13), 1*(_xlfn._xlws.FILTER(OFFSET($O$15,0,$DO343,$B$8,1),OFFSET($M$15,0,0,$B$8,1))=GA$14))   /   SUM(OFFSET($BO$15,0,0,$B$14,1)) + $B$18/($B$19*$B$19*($DN343&lt;&gt;$DO343) + $B$19*($DN343=$DO343))</f>
        <v>3.7037037037037035E-4</v>
      </c>
    </row>
    <row r="344" spans="118:183" x14ac:dyDescent="0.2">
      <c r="DN344" cm="1">
        <f t="array" aca="1" ref="DN344" ca="1">INDEX(_xlfn.ANCHORARRAY($CP$15), 1 + INT((ROWS($DO$15:$DO344) - 1) / ROWS(_xlfn.ANCHORARRAY($CP$15))))</f>
        <v>20</v>
      </c>
      <c r="DO344" cm="1">
        <f t="array" aca="1" ref="DO344" ca="1">INDEX(_xlfn.ANCHORARRAY($CP$15),1+MOD(ROWS($DO$15:$DO344)-1,ROWS(_xlfn.ANCHORARRAY($CP$15))))</f>
        <v>6</v>
      </c>
      <c r="DP344" s="10" cm="1">
        <f t="array" aca="1" ref="DP344" ca="1">(1-$B$18)*SUMPRODUCT(OFFSET($BO$15,0,0,$B$14,1), 1*(_xlfn._xlws.FILTER(OFFSET($O$15,0,$DN344,$B$8,1),OFFSET($M$15,0,0,$B$8,1))=DP$13), 1*(_xlfn._xlws.FILTER(OFFSET($O$15,0,$DO344,$B$8,1),OFFSET($M$15,0,0,$B$8,1))=DP$14))   /   SUM(OFFSET($BO$15,0,0,$B$14,1)) + $B$18/($B$19*$B$19*($DN344&lt;&gt;$DO344) + $B$19*($DN344=$DO344))</f>
        <v>3.7037037037037035E-4</v>
      </c>
      <c r="DQ344" s="10" cm="1">
        <f t="array" aca="1" ref="DQ344" ca="1">(1-$B$18)*SUMPRODUCT(OFFSET($BO$15,0,0,$B$14,1), 1*(_xlfn._xlws.FILTER(OFFSET($O$15,0,$DN344,$B$8,1),OFFSET($M$15,0,0,$B$8,1))=DQ$13), 1*(_xlfn._xlws.FILTER(OFFSET($O$15,0,$DO344,$B$8,1),OFFSET($M$15,0,0,$B$8,1))=DQ$14))   /   SUM(OFFSET($BO$15,0,0,$B$14,1)) + $B$18/($B$19*$B$19*($DN344&lt;&gt;$DO344) + $B$19*($DN344=$DO344))</f>
        <v>3.7037037037037035E-4</v>
      </c>
      <c r="DR344" s="10" cm="1">
        <f t="array" aca="1" ref="DR344" ca="1">(1-$B$18)*SUMPRODUCT(OFFSET($BO$15,0,0,$B$14,1), 1*(_xlfn._xlws.FILTER(OFFSET($O$15,0,$DN344,$B$8,1),OFFSET($M$15,0,0,$B$8,1))=DR$13), 1*(_xlfn._xlws.FILTER(OFFSET($O$15,0,$DO344,$B$8,1),OFFSET($M$15,0,0,$B$8,1))=DR$14))   /   SUM(OFFSET($BO$15,0,0,$B$14,1)) + $B$18/($B$19*$B$19*($DN344&lt;&gt;$DO344) + $B$19*($DN344=$DO344))</f>
        <v>3.7037037037037035E-4</v>
      </c>
      <c r="DS344" s="10" cm="1">
        <f t="array" aca="1" ref="DS344" ca="1">(1-$B$18)*SUMPRODUCT(OFFSET($BO$15,0,0,$B$14,1), 1*(_xlfn._xlws.FILTER(OFFSET($O$15,0,$DN344,$B$8,1),OFFSET($M$15,0,0,$B$8,1))=DS$13), 1*(_xlfn._xlws.FILTER(OFFSET($O$15,0,$DO344,$B$8,1),OFFSET($M$15,0,0,$B$8,1))=DS$14))   /   SUM(OFFSET($BO$15,0,0,$B$14,1)) + $B$18/($B$19*$B$19*($DN344&lt;&gt;$DO344) + $B$19*($DN344=$DO344))</f>
        <v>3.7037037037037035E-4</v>
      </c>
      <c r="DT344" s="10" cm="1">
        <f t="array" aca="1" ref="DT344" ca="1">(1-$B$18)*SUMPRODUCT(OFFSET($BO$15,0,0,$B$14,1), 1*(_xlfn._xlws.FILTER(OFFSET($O$15,0,$DN344,$B$8,1),OFFSET($M$15,0,0,$B$8,1))=DT$13), 1*(_xlfn._xlws.FILTER(OFFSET($O$15,0,$DO344,$B$8,1),OFFSET($M$15,0,0,$B$8,1))=DT$14))   /   SUM(OFFSET($BO$15,0,0,$B$14,1)) + $B$18/($B$19*$B$19*($DN344&lt;&gt;$DO344) + $B$19*($DN344=$DO344))</f>
        <v>3.7037037037037035E-4</v>
      </c>
      <c r="DU344" s="10" cm="1">
        <f t="array" aca="1" ref="DU344" ca="1">(1-$B$18)*SUMPRODUCT(OFFSET($BO$15,0,0,$B$14,1), 1*(_xlfn._xlws.FILTER(OFFSET($O$15,0,$DN344,$B$8,1),OFFSET($M$15,0,0,$B$8,1))=DU$13), 1*(_xlfn._xlws.FILTER(OFFSET($O$15,0,$DO344,$B$8,1),OFFSET($M$15,0,0,$B$8,1))=DU$14))   /   SUM(OFFSET($BO$15,0,0,$B$14,1)) + $B$18/($B$19*$B$19*($DN344&lt;&gt;$DO344) + $B$19*($DN344=$DO344))</f>
        <v>3.7037037037037035E-4</v>
      </c>
      <c r="DV344" s="10" cm="1">
        <f t="array" aca="1" ref="DV344" ca="1">(1-$B$18)*SUMPRODUCT(OFFSET($BO$15,0,0,$B$14,1), 1*(_xlfn._xlws.FILTER(OFFSET($O$15,0,$DN344,$B$8,1),OFFSET($M$15,0,0,$B$8,1))=DV$13), 1*(_xlfn._xlws.FILTER(OFFSET($O$15,0,$DO344,$B$8,1),OFFSET($M$15,0,0,$B$8,1))=DV$14))   /   SUM(OFFSET($BO$15,0,0,$B$14,1)) + $B$18/($B$19*$B$19*($DN344&lt;&gt;$DO344) + $B$19*($DN344=$DO344))</f>
        <v>3.7037037037037035E-4</v>
      </c>
      <c r="DW344" s="10" cm="1">
        <f t="array" aca="1" ref="DW344" ca="1">(1-$B$18)*SUMPRODUCT(OFFSET($BO$15,0,0,$B$14,1), 1*(_xlfn._xlws.FILTER(OFFSET($O$15,0,$DN344,$B$8,1),OFFSET($M$15,0,0,$B$8,1))=DW$13), 1*(_xlfn._xlws.FILTER(OFFSET($O$15,0,$DO344,$B$8,1),OFFSET($M$15,0,0,$B$8,1))=DW$14))   /   SUM(OFFSET($BO$15,0,0,$B$14,1)) + $B$18/($B$19*$B$19*($DN344&lt;&gt;$DO344) + $B$19*($DN344=$DO344))</f>
        <v>3.7037037037037035E-4</v>
      </c>
      <c r="DX344" s="10" cm="1">
        <f t="array" aca="1" ref="DX344" ca="1">(1-$B$18)*SUMPRODUCT(OFFSET($BO$15,0,0,$B$14,1), 1*(_xlfn._xlws.FILTER(OFFSET($O$15,0,$DN344,$B$8,1),OFFSET($M$15,0,0,$B$8,1))=DX$13), 1*(_xlfn._xlws.FILTER(OFFSET($O$15,0,$DO344,$B$8,1),OFFSET($M$15,0,0,$B$8,1))=DX$14))   /   SUM(OFFSET($BO$15,0,0,$B$14,1)) + $B$18/($B$19*$B$19*($DN344&lt;&gt;$DO344) + $B$19*($DN344=$DO344))</f>
        <v>3.7037037037037035E-4</v>
      </c>
      <c r="DY344" s="10" cm="1">
        <f t="array" aca="1" ref="DY344" ca="1">(1-$B$18)*SUMPRODUCT(OFFSET($BO$15,0,0,$B$14,1), 1*(_xlfn._xlws.FILTER(OFFSET($O$15,0,$DN344,$B$8,1),OFFSET($M$15,0,0,$B$8,1))=DY$13), 1*(_xlfn._xlws.FILTER(OFFSET($O$15,0,$DO344,$B$8,1),OFFSET($M$15,0,0,$B$8,1))=DY$14))   /   SUM(OFFSET($BO$15,0,0,$B$14,1)) + $B$18/($B$19*$B$19*($DN344&lt;&gt;$DO344) + $B$19*($DN344=$DO344))</f>
        <v>3.7037037037037035E-4</v>
      </c>
      <c r="DZ344" s="10" cm="1">
        <f t="array" aca="1" ref="DZ344" ca="1">(1-$B$18)*SUMPRODUCT(OFFSET($BO$15,0,0,$B$14,1), 1*(_xlfn._xlws.FILTER(OFFSET($O$15,0,$DN344,$B$8,1),OFFSET($M$15,0,0,$B$8,1))=DZ$13), 1*(_xlfn._xlws.FILTER(OFFSET($O$15,0,$DO344,$B$8,1),OFFSET($M$15,0,0,$B$8,1))=DZ$14))   /   SUM(OFFSET($BO$15,0,0,$B$14,1)) + $B$18/($B$19*$B$19*($DN344&lt;&gt;$DO344) + $B$19*($DN344=$DO344))</f>
        <v>3.7037037037037035E-4</v>
      </c>
      <c r="EA344" s="10" cm="1">
        <f t="array" aca="1" ref="EA344" ca="1">(1-$B$18)*SUMPRODUCT(OFFSET($BO$15,0,0,$B$14,1), 1*(_xlfn._xlws.FILTER(OFFSET($O$15,0,$DN344,$B$8,1),OFFSET($M$15,0,0,$B$8,1))=EA$13), 1*(_xlfn._xlws.FILTER(OFFSET($O$15,0,$DO344,$B$8,1),OFFSET($M$15,0,0,$B$8,1))=EA$14))   /   SUM(OFFSET($BO$15,0,0,$B$14,1)) + $B$18/($B$19*$B$19*($DN344&lt;&gt;$DO344) + $B$19*($DN344=$DO344))</f>
        <v>3.7037037037037035E-4</v>
      </c>
      <c r="EB344" s="10" cm="1">
        <f t="array" aca="1" ref="EB344" ca="1">(1-$B$18)*SUMPRODUCT(OFFSET($BO$15,0,0,$B$14,1), 1*(_xlfn._xlws.FILTER(OFFSET($O$15,0,$DN344,$B$8,1),OFFSET($M$15,0,0,$B$8,1))=EB$13), 1*(_xlfn._xlws.FILTER(OFFSET($O$15,0,$DO344,$B$8,1),OFFSET($M$15,0,0,$B$8,1))=EB$14))   /   SUM(OFFSET($BO$15,0,0,$B$14,1)) + $B$18/($B$19*$B$19*($DN344&lt;&gt;$DO344) + $B$19*($DN344=$DO344))</f>
        <v>3.7037037037037035E-4</v>
      </c>
      <c r="EC344" s="10" cm="1">
        <f t="array" aca="1" ref="EC344" ca="1">(1-$B$18)*SUMPRODUCT(OFFSET($BO$15,0,0,$B$14,1), 1*(_xlfn._xlws.FILTER(OFFSET($O$15,0,$DN344,$B$8,1),OFFSET($M$15,0,0,$B$8,1))=EC$13), 1*(_xlfn._xlws.FILTER(OFFSET($O$15,0,$DO344,$B$8,1),OFFSET($M$15,0,0,$B$8,1))=EC$14))   /   SUM(OFFSET($BO$15,0,0,$B$14,1)) + $B$18/($B$19*$B$19*($DN344&lt;&gt;$DO344) + $B$19*($DN344=$DO344))</f>
        <v>3.7037037037037035E-4</v>
      </c>
      <c r="ED344" s="10" cm="1">
        <f t="array" aca="1" ref="ED344" ca="1">(1-$B$18)*SUMPRODUCT(OFFSET($BO$15,0,0,$B$14,1), 1*(_xlfn._xlws.FILTER(OFFSET($O$15,0,$DN344,$B$8,1),OFFSET($M$15,0,0,$B$8,1))=ED$13), 1*(_xlfn._xlws.FILTER(OFFSET($O$15,0,$DO344,$B$8,1),OFFSET($M$15,0,0,$B$8,1))=ED$14))   /   SUM(OFFSET($BO$15,0,0,$B$14,1)) + $B$18/($B$19*$B$19*($DN344&lt;&gt;$DO344) + $B$19*($DN344=$DO344))</f>
        <v>3.7037037037037035E-4</v>
      </c>
      <c r="EE344" s="10" cm="1">
        <f t="array" aca="1" ref="EE344" ca="1">(1-$B$18)*SUMPRODUCT(OFFSET($BO$15,0,0,$B$14,1), 1*(_xlfn._xlws.FILTER(OFFSET($O$15,0,$DN344,$B$8,1),OFFSET($M$15,0,0,$B$8,1))=EE$13), 1*(_xlfn._xlws.FILTER(OFFSET($O$15,0,$DO344,$B$8,1),OFFSET($M$15,0,0,$B$8,1))=EE$14))   /   SUM(OFFSET($BO$15,0,0,$B$14,1)) + $B$18/($B$19*$B$19*($DN344&lt;&gt;$DO344) + $B$19*($DN344=$DO344))</f>
        <v>3.7037037037037035E-4</v>
      </c>
      <c r="EF344" s="10" cm="1">
        <f t="array" aca="1" ref="EF344" ca="1">(1-$B$18)*SUMPRODUCT(OFFSET($BO$15,0,0,$B$14,1), 1*(_xlfn._xlws.FILTER(OFFSET($O$15,0,$DN344,$B$8,1),OFFSET($M$15,0,0,$B$8,1))=EF$13), 1*(_xlfn._xlws.FILTER(OFFSET($O$15,0,$DO344,$B$8,1),OFFSET($M$15,0,0,$B$8,1))=EF$14))   /   SUM(OFFSET($BO$15,0,0,$B$14,1)) + $B$18/($B$19*$B$19*($DN344&lt;&gt;$DO344) + $B$19*($DN344=$DO344))</f>
        <v>3.7037037037037035E-4</v>
      </c>
      <c r="EG344" s="10" cm="1">
        <f t="array" aca="1" ref="EG344" ca="1">(1-$B$18)*SUMPRODUCT(OFFSET($BO$15,0,0,$B$14,1), 1*(_xlfn._xlws.FILTER(OFFSET($O$15,0,$DN344,$B$8,1),OFFSET($M$15,0,0,$B$8,1))=EG$13), 1*(_xlfn._xlws.FILTER(OFFSET($O$15,0,$DO344,$B$8,1),OFFSET($M$15,0,0,$B$8,1))=EG$14))   /   SUM(OFFSET($BO$15,0,0,$B$14,1)) + $B$18/($B$19*$B$19*($DN344&lt;&gt;$DO344) + $B$19*($DN344=$DO344))</f>
        <v>3.7037037037037035E-4</v>
      </c>
      <c r="EH344" s="10" cm="1">
        <f t="array" aca="1" ref="EH344" ca="1">(1-$B$18)*SUMPRODUCT(OFFSET($BO$15,0,0,$B$14,1), 1*(_xlfn._xlws.FILTER(OFFSET($O$15,0,$DN344,$B$8,1),OFFSET($M$15,0,0,$B$8,1))=EH$13), 1*(_xlfn._xlws.FILTER(OFFSET($O$15,0,$DO344,$B$8,1),OFFSET($M$15,0,0,$B$8,1))=EH$14))   /   SUM(OFFSET($BO$15,0,0,$B$14,1)) + $B$18/($B$19*$B$19*($DN344&lt;&gt;$DO344) + $B$19*($DN344=$DO344))</f>
        <v>3.7037037037037035E-4</v>
      </c>
      <c r="EI344" s="10" cm="1">
        <f t="array" aca="1" ref="EI344" ca="1">(1-$B$18)*SUMPRODUCT(OFFSET($BO$15,0,0,$B$14,1), 1*(_xlfn._xlws.FILTER(OFFSET($O$15,0,$DN344,$B$8,1),OFFSET($M$15,0,0,$B$8,1))=EI$13), 1*(_xlfn._xlws.FILTER(OFFSET($O$15,0,$DO344,$B$8,1),OFFSET($M$15,0,0,$B$8,1))=EI$14))   /   SUM(OFFSET($BO$15,0,0,$B$14,1)) + $B$18/($B$19*$B$19*($DN344&lt;&gt;$DO344) + $B$19*($DN344=$DO344))</f>
        <v>3.7037037037037035E-4</v>
      </c>
      <c r="EJ344" s="10" cm="1">
        <f t="array" aca="1" ref="EJ344" ca="1">(1-$B$18)*SUMPRODUCT(OFFSET($BO$15,0,0,$B$14,1), 1*(_xlfn._xlws.FILTER(OFFSET($O$15,0,$DN344,$B$8,1),OFFSET($M$15,0,0,$B$8,1))=EJ$13), 1*(_xlfn._xlws.FILTER(OFFSET($O$15,0,$DO344,$B$8,1),OFFSET($M$15,0,0,$B$8,1))=EJ$14))   /   SUM(OFFSET($BO$15,0,0,$B$14,1)) + $B$18/($B$19*$B$19*($DN344&lt;&gt;$DO344) + $B$19*($DN344=$DO344))</f>
        <v>3.7037037037037035E-4</v>
      </c>
      <c r="EK344" s="10" cm="1">
        <f t="array" aca="1" ref="EK344" ca="1">(1-$B$18)*SUMPRODUCT(OFFSET($BO$15,0,0,$B$14,1), 1*(_xlfn._xlws.FILTER(OFFSET($O$15,0,$DN344,$B$8,1),OFFSET($M$15,0,0,$B$8,1))=EK$13), 1*(_xlfn._xlws.FILTER(OFFSET($O$15,0,$DO344,$B$8,1),OFFSET($M$15,0,0,$B$8,1))=EK$14))   /   SUM(OFFSET($BO$15,0,0,$B$14,1)) + $B$18/($B$19*$B$19*($DN344&lt;&gt;$DO344) + $B$19*($DN344=$DO344))</f>
        <v>3.7037037037037035E-4</v>
      </c>
      <c r="EL344" s="10" cm="1">
        <f t="array" aca="1" ref="EL344" ca="1">(1-$B$18)*SUMPRODUCT(OFFSET($BO$15,0,0,$B$14,1), 1*(_xlfn._xlws.FILTER(OFFSET($O$15,0,$DN344,$B$8,1),OFFSET($M$15,0,0,$B$8,1))=EL$13), 1*(_xlfn._xlws.FILTER(OFFSET($O$15,0,$DO344,$B$8,1),OFFSET($M$15,0,0,$B$8,1))=EL$14))   /   SUM(OFFSET($BO$15,0,0,$B$14,1)) + $B$18/($B$19*$B$19*($DN344&lt;&gt;$DO344) + $B$19*($DN344=$DO344))</f>
        <v>3.7037037037037035E-4</v>
      </c>
      <c r="EM344" s="10" cm="1">
        <f t="array" aca="1" ref="EM344" ca="1">(1-$B$18)*SUMPRODUCT(OFFSET($BO$15,0,0,$B$14,1), 1*(_xlfn._xlws.FILTER(OFFSET($O$15,0,$DN344,$B$8,1),OFFSET($M$15,0,0,$B$8,1))=EM$13), 1*(_xlfn._xlws.FILTER(OFFSET($O$15,0,$DO344,$B$8,1),OFFSET($M$15,0,0,$B$8,1))=EM$14))   /   SUM(OFFSET($BO$15,0,0,$B$14,1)) + $B$18/($B$19*$B$19*($DN344&lt;&gt;$DO344) + $B$19*($DN344=$DO344))</f>
        <v>3.7037037037037035E-4</v>
      </c>
      <c r="EN344" s="10" cm="1">
        <f t="array" aca="1" ref="EN344" ca="1">(1-$B$18)*SUMPRODUCT(OFFSET($BO$15,0,0,$B$14,1), 1*(_xlfn._xlws.FILTER(OFFSET($O$15,0,$DN344,$B$8,1),OFFSET($M$15,0,0,$B$8,1))=EN$13), 1*(_xlfn._xlws.FILTER(OFFSET($O$15,0,$DO344,$B$8,1),OFFSET($M$15,0,0,$B$8,1))=EN$14))   /   SUM(OFFSET($BO$15,0,0,$B$14,1)) + $B$18/($B$19*$B$19*($DN344&lt;&gt;$DO344) + $B$19*($DN344=$DO344))</f>
        <v>3.7037037037037035E-4</v>
      </c>
      <c r="EO344" s="10" cm="1">
        <f t="array" aca="1" ref="EO344" ca="1">(1-$B$18)*SUMPRODUCT(OFFSET($BO$15,0,0,$B$14,1), 1*(_xlfn._xlws.FILTER(OFFSET($O$15,0,$DN344,$B$8,1),OFFSET($M$15,0,0,$B$8,1))=EO$13), 1*(_xlfn._xlws.FILTER(OFFSET($O$15,0,$DO344,$B$8,1),OFFSET($M$15,0,0,$B$8,1))=EO$14))   /   SUM(OFFSET($BO$15,0,0,$B$14,1)) + $B$18/($B$19*$B$19*($DN344&lt;&gt;$DO344) + $B$19*($DN344=$DO344))</f>
        <v>3.7037037037037035E-4</v>
      </c>
      <c r="EP344" s="10" cm="1">
        <f t="array" aca="1" ref="EP344" ca="1">(1-$B$18)*SUMPRODUCT(OFFSET($BO$15,0,0,$B$14,1), 1*(_xlfn._xlws.FILTER(OFFSET($O$15,0,$DN344,$B$8,1),OFFSET($M$15,0,0,$B$8,1))=EP$13), 1*(_xlfn._xlws.FILTER(OFFSET($O$15,0,$DO344,$B$8,1),OFFSET($M$15,0,0,$B$8,1))=EP$14))   /   SUM(OFFSET($BO$15,0,0,$B$14,1)) + $B$18/($B$19*$B$19*($DN344&lt;&gt;$DO344) + $B$19*($DN344=$DO344))</f>
        <v>3.7037037037037035E-4</v>
      </c>
      <c r="EQ344" s="10" cm="1">
        <f t="array" aca="1" ref="EQ344" ca="1">(1-$B$18)*SUMPRODUCT(OFFSET($BO$15,0,0,$B$14,1), 1*(_xlfn._xlws.FILTER(OFFSET($O$15,0,$DN344,$B$8,1),OFFSET($M$15,0,0,$B$8,1))=EQ$13), 1*(_xlfn._xlws.FILTER(OFFSET($O$15,0,$DO344,$B$8,1),OFFSET($M$15,0,0,$B$8,1))=EQ$14))   /   SUM(OFFSET($BO$15,0,0,$B$14,1)) + $B$18/($B$19*$B$19*($DN344&lt;&gt;$DO344) + $B$19*($DN344=$DO344))</f>
        <v>3.7037037037037035E-4</v>
      </c>
      <c r="ER344" s="10" cm="1">
        <f t="array" aca="1" ref="ER344" ca="1">(1-$B$18)*SUMPRODUCT(OFFSET($BO$15,0,0,$B$14,1), 1*(_xlfn._xlws.FILTER(OFFSET($O$15,0,$DN344,$B$8,1),OFFSET($M$15,0,0,$B$8,1))=ER$13), 1*(_xlfn._xlws.FILTER(OFFSET($O$15,0,$DO344,$B$8,1),OFFSET($M$15,0,0,$B$8,1))=ER$14))   /   SUM(OFFSET($BO$15,0,0,$B$14,1)) + $B$18/($B$19*$B$19*($DN344&lt;&gt;$DO344) + $B$19*($DN344=$DO344))</f>
        <v>3.7037037037037035E-4</v>
      </c>
      <c r="ES344" s="10" cm="1">
        <f t="array" aca="1" ref="ES344" ca="1">(1-$B$18)*SUMPRODUCT(OFFSET($BO$15,0,0,$B$14,1), 1*(_xlfn._xlws.FILTER(OFFSET($O$15,0,$DN344,$B$8,1),OFFSET($M$15,0,0,$B$8,1))=ES$13), 1*(_xlfn._xlws.FILTER(OFFSET($O$15,0,$DO344,$B$8,1),OFFSET($M$15,0,0,$B$8,1))=ES$14))   /   SUM(OFFSET($BO$15,0,0,$B$14,1)) + $B$18/($B$19*$B$19*($DN344&lt;&gt;$DO344) + $B$19*($DN344=$DO344))</f>
        <v>3.7037037037037035E-4</v>
      </c>
      <c r="ET344" s="10" cm="1">
        <f t="array" aca="1" ref="ET344" ca="1">(1-$B$18)*SUMPRODUCT(OFFSET($BO$15,0,0,$B$14,1), 1*(_xlfn._xlws.FILTER(OFFSET($O$15,0,$DN344,$B$8,1),OFFSET($M$15,0,0,$B$8,1))=ET$13), 1*(_xlfn._xlws.FILTER(OFFSET($O$15,0,$DO344,$B$8,1),OFFSET($M$15,0,0,$B$8,1))=ET$14))   /   SUM(OFFSET($BO$15,0,0,$B$14,1)) + $B$18/($B$19*$B$19*($DN344&lt;&gt;$DO344) + $B$19*($DN344=$DO344))</f>
        <v>3.7037037037037035E-4</v>
      </c>
      <c r="EU344" s="10" cm="1">
        <f t="array" aca="1" ref="EU344" ca="1">(1-$B$18)*SUMPRODUCT(OFFSET($BO$15,0,0,$B$14,1), 1*(_xlfn._xlws.FILTER(OFFSET($O$15,0,$DN344,$B$8,1),OFFSET($M$15,0,0,$B$8,1))=EU$13), 1*(_xlfn._xlws.FILTER(OFFSET($O$15,0,$DO344,$B$8,1),OFFSET($M$15,0,0,$B$8,1))=EU$14))   /   SUM(OFFSET($BO$15,0,0,$B$14,1)) + $B$18/($B$19*$B$19*($DN344&lt;&gt;$DO344) + $B$19*($DN344=$DO344))</f>
        <v>3.7037037037037035E-4</v>
      </c>
      <c r="EV344" s="10" cm="1">
        <f t="array" aca="1" ref="EV344" ca="1">(1-$B$18)*SUMPRODUCT(OFFSET($BO$15,0,0,$B$14,1), 1*(_xlfn._xlws.FILTER(OFFSET($O$15,0,$DN344,$B$8,1),OFFSET($M$15,0,0,$B$8,1))=EV$13), 1*(_xlfn._xlws.FILTER(OFFSET($O$15,0,$DO344,$B$8,1),OFFSET($M$15,0,0,$B$8,1))=EV$14))   /   SUM(OFFSET($BO$15,0,0,$B$14,1)) + $B$18/($B$19*$B$19*($DN344&lt;&gt;$DO344) + $B$19*($DN344=$DO344))</f>
        <v>3.7037037037037035E-4</v>
      </c>
      <c r="EW344" s="10" cm="1">
        <f t="array" aca="1" ref="EW344" ca="1">(1-$B$18)*SUMPRODUCT(OFFSET($BO$15,0,0,$B$14,1), 1*(_xlfn._xlws.FILTER(OFFSET($O$15,0,$DN344,$B$8,1),OFFSET($M$15,0,0,$B$8,1))=EW$13), 1*(_xlfn._xlws.FILTER(OFFSET($O$15,0,$DO344,$B$8,1),OFFSET($M$15,0,0,$B$8,1))=EW$14))   /   SUM(OFFSET($BO$15,0,0,$B$14,1)) + $B$18/($B$19*$B$19*($DN344&lt;&gt;$DO344) + $B$19*($DN344=$DO344))</f>
        <v>3.7037037037037035E-4</v>
      </c>
      <c r="EX344" s="10" cm="1">
        <f t="array" aca="1" ref="EX344" ca="1">(1-$B$18)*SUMPRODUCT(OFFSET($BO$15,0,0,$B$14,1), 1*(_xlfn._xlws.FILTER(OFFSET($O$15,0,$DN344,$B$8,1),OFFSET($M$15,0,0,$B$8,1))=EX$13), 1*(_xlfn._xlws.FILTER(OFFSET($O$15,0,$DO344,$B$8,1),OFFSET($M$15,0,0,$B$8,1))=EX$14))   /   SUM(OFFSET($BO$15,0,0,$B$14,1)) + $B$18/($B$19*$B$19*($DN344&lt;&gt;$DO344) + $B$19*($DN344=$DO344))</f>
        <v>3.7037037037037035E-4</v>
      </c>
      <c r="EY344" s="10" cm="1">
        <f t="array" aca="1" ref="EY344" ca="1">(1-$B$18)*SUMPRODUCT(OFFSET($BO$15,0,0,$B$14,1), 1*(_xlfn._xlws.FILTER(OFFSET($O$15,0,$DN344,$B$8,1),OFFSET($M$15,0,0,$B$8,1))=EY$13), 1*(_xlfn._xlws.FILTER(OFFSET($O$15,0,$DO344,$B$8,1),OFFSET($M$15,0,0,$B$8,1))=EY$14))   /   SUM(OFFSET($BO$15,0,0,$B$14,1)) + $B$18/($B$19*$B$19*($DN344&lt;&gt;$DO344) + $B$19*($DN344=$DO344))</f>
        <v>3.7037037037037035E-4</v>
      </c>
      <c r="EZ344" s="10" cm="1">
        <f t="array" aca="1" ref="EZ344" ca="1">(1-$B$18)*SUMPRODUCT(OFFSET($BO$15,0,0,$B$14,1), 1*(_xlfn._xlws.FILTER(OFFSET($O$15,0,$DN344,$B$8,1),OFFSET($M$15,0,0,$B$8,1))=EZ$13), 1*(_xlfn._xlws.FILTER(OFFSET($O$15,0,$DO344,$B$8,1),OFFSET($M$15,0,0,$B$8,1))=EZ$14))   /   SUM(OFFSET($BO$15,0,0,$B$14,1)) + $B$18/($B$19*$B$19*($DN344&lt;&gt;$DO344) + $B$19*($DN344=$DO344))</f>
        <v>3.7037037037037035E-4</v>
      </c>
      <c r="FA344" s="10" cm="1">
        <f t="array" aca="1" ref="FA344" ca="1">(1-$B$18)*SUMPRODUCT(OFFSET($BO$15,0,0,$B$14,1), 1*(_xlfn._xlws.FILTER(OFFSET($O$15,0,$DN344,$B$8,1),OFFSET($M$15,0,0,$B$8,1))=FA$13), 1*(_xlfn._xlws.FILTER(OFFSET($O$15,0,$DO344,$B$8,1),OFFSET($M$15,0,0,$B$8,1))=FA$14))   /   SUM(OFFSET($BO$15,0,0,$B$14,1)) + $B$18/($B$19*$B$19*($DN344&lt;&gt;$DO344) + $B$19*($DN344=$DO344))</f>
        <v>3.7037037037037035E-4</v>
      </c>
      <c r="FB344" s="10" cm="1">
        <f t="array" aca="1" ref="FB344" ca="1">(1-$B$18)*SUMPRODUCT(OFFSET($BO$15,0,0,$B$14,1), 1*(_xlfn._xlws.FILTER(OFFSET($O$15,0,$DN344,$B$8,1),OFFSET($M$15,0,0,$B$8,1))=FB$13), 1*(_xlfn._xlws.FILTER(OFFSET($O$15,0,$DO344,$B$8,1),OFFSET($M$15,0,0,$B$8,1))=FB$14))   /   SUM(OFFSET($BO$15,0,0,$B$14,1)) + $B$18/($B$19*$B$19*($DN344&lt;&gt;$DO344) + $B$19*($DN344=$DO344))</f>
        <v>0.24287037037037024</v>
      </c>
      <c r="FC344" s="10" cm="1">
        <f t="array" aca="1" ref="FC344" ca="1">(1-$B$18)*SUMPRODUCT(OFFSET($BO$15,0,0,$B$14,1), 1*(_xlfn._xlws.FILTER(OFFSET($O$15,0,$DN344,$B$8,1),OFFSET($M$15,0,0,$B$8,1))=FC$13), 1*(_xlfn._xlws.FILTER(OFFSET($O$15,0,$DO344,$B$8,1),OFFSET($M$15,0,0,$B$8,1))=FC$14))   /   SUM(OFFSET($BO$15,0,0,$B$14,1)) + $B$18/($B$19*$B$19*($DN344&lt;&gt;$DO344) + $B$19*($DN344=$DO344))</f>
        <v>3.7037037037037035E-4</v>
      </c>
      <c r="FD344" s="10" cm="1">
        <f t="array" aca="1" ref="FD344" ca="1">(1-$B$18)*SUMPRODUCT(OFFSET($BO$15,0,0,$B$14,1), 1*(_xlfn._xlws.FILTER(OFFSET($O$15,0,$DN344,$B$8,1),OFFSET($M$15,0,0,$B$8,1))=FD$13), 1*(_xlfn._xlws.FILTER(OFFSET($O$15,0,$DO344,$B$8,1),OFFSET($M$15,0,0,$B$8,1))=FD$14))   /   SUM(OFFSET($BO$15,0,0,$B$14,1)) + $B$18/($B$19*$B$19*($DN344&lt;&gt;$DO344) + $B$19*($DN344=$DO344))</f>
        <v>3.7037037037037035E-4</v>
      </c>
      <c r="FE344" s="10" cm="1">
        <f t="array" aca="1" ref="FE344" ca="1">(1-$B$18)*SUMPRODUCT(OFFSET($BO$15,0,0,$B$14,1), 1*(_xlfn._xlws.FILTER(OFFSET($O$15,0,$DN344,$B$8,1),OFFSET($M$15,0,0,$B$8,1))=FE$13), 1*(_xlfn._xlws.FILTER(OFFSET($O$15,0,$DO344,$B$8,1),OFFSET($M$15,0,0,$B$8,1))=FE$14))   /   SUM(OFFSET($BO$15,0,0,$B$14,1)) + $B$18/($B$19*$B$19*($DN344&lt;&gt;$DO344) + $B$19*($DN344=$DO344))</f>
        <v>3.7037037037037035E-4</v>
      </c>
      <c r="FF344" s="10" cm="1">
        <f t="array" aca="1" ref="FF344" ca="1">(1-$B$18)*SUMPRODUCT(OFFSET($BO$15,0,0,$B$14,1), 1*(_xlfn._xlws.FILTER(OFFSET($O$15,0,$DN344,$B$8,1),OFFSET($M$15,0,0,$B$8,1))=FF$13), 1*(_xlfn._xlws.FILTER(OFFSET($O$15,0,$DO344,$B$8,1),OFFSET($M$15,0,0,$B$8,1))=FF$14))   /   SUM(OFFSET($BO$15,0,0,$B$14,1)) + $B$18/($B$19*$B$19*($DN344&lt;&gt;$DO344) + $B$19*($DN344=$DO344))</f>
        <v>3.7037037037037035E-4</v>
      </c>
      <c r="FG344" s="10" cm="1">
        <f t="array" aca="1" ref="FG344" ca="1">(1-$B$18)*SUMPRODUCT(OFFSET($BO$15,0,0,$B$14,1), 1*(_xlfn._xlws.FILTER(OFFSET($O$15,0,$DN344,$B$8,1),OFFSET($M$15,0,0,$B$8,1))=FG$13), 1*(_xlfn._xlws.FILTER(OFFSET($O$15,0,$DO344,$B$8,1),OFFSET($M$15,0,0,$B$8,1))=FG$14))   /   SUM(OFFSET($BO$15,0,0,$B$14,1)) + $B$18/($B$19*$B$19*($DN344&lt;&gt;$DO344) + $B$19*($DN344=$DO344))</f>
        <v>3.7037037037037035E-4</v>
      </c>
      <c r="FH344" s="10" cm="1">
        <f t="array" aca="1" ref="FH344" ca="1">(1-$B$18)*SUMPRODUCT(OFFSET($BO$15,0,0,$B$14,1), 1*(_xlfn._xlws.FILTER(OFFSET($O$15,0,$DN344,$B$8,1),OFFSET($M$15,0,0,$B$8,1))=FH$13), 1*(_xlfn._xlws.FILTER(OFFSET($O$15,0,$DO344,$B$8,1),OFFSET($M$15,0,0,$B$8,1))=FH$14))   /   SUM(OFFSET($BO$15,0,0,$B$14,1)) + $B$18/($B$19*$B$19*($DN344&lt;&gt;$DO344) + $B$19*($DN344=$DO344))</f>
        <v>3.7037037037037035E-4</v>
      </c>
      <c r="FI344" s="10" cm="1">
        <f t="array" aca="1" ref="FI344" ca="1">(1-$B$18)*SUMPRODUCT(OFFSET($BO$15,0,0,$B$14,1), 1*(_xlfn._xlws.FILTER(OFFSET($O$15,0,$DN344,$B$8,1),OFFSET($M$15,0,0,$B$8,1))=FI$13), 1*(_xlfn._xlws.FILTER(OFFSET($O$15,0,$DO344,$B$8,1),OFFSET($M$15,0,0,$B$8,1))=FI$14))   /   SUM(OFFSET($BO$15,0,0,$B$14,1)) + $B$18/($B$19*$B$19*($DN344&lt;&gt;$DO344) + $B$19*($DN344=$DO344))</f>
        <v>3.7037037037037035E-4</v>
      </c>
      <c r="FJ344" s="10" cm="1">
        <f t="array" aca="1" ref="FJ344" ca="1">(1-$B$18)*SUMPRODUCT(OFFSET($BO$15,0,0,$B$14,1), 1*(_xlfn._xlws.FILTER(OFFSET($O$15,0,$DN344,$B$8,1),OFFSET($M$15,0,0,$B$8,1))=FJ$13), 1*(_xlfn._xlws.FILTER(OFFSET($O$15,0,$DO344,$B$8,1),OFFSET($M$15,0,0,$B$8,1))=FJ$14))   /   SUM(OFFSET($BO$15,0,0,$B$14,1)) + $B$18/($B$19*$B$19*($DN344&lt;&gt;$DO344) + $B$19*($DN344=$DO344))</f>
        <v>0.24287037037037026</v>
      </c>
      <c r="FK344" s="10" cm="1">
        <f t="array" aca="1" ref="FK344" ca="1">(1-$B$18)*SUMPRODUCT(OFFSET($BO$15,0,0,$B$14,1), 1*(_xlfn._xlws.FILTER(OFFSET($O$15,0,$DN344,$B$8,1),OFFSET($M$15,0,0,$B$8,1))=FK$13), 1*(_xlfn._xlws.FILTER(OFFSET($O$15,0,$DO344,$B$8,1),OFFSET($M$15,0,0,$B$8,1))=FK$14))   /   SUM(OFFSET($BO$15,0,0,$B$14,1)) + $B$18/($B$19*$B$19*($DN344&lt;&gt;$DO344) + $B$19*($DN344=$DO344))</f>
        <v>3.7037037037037035E-4</v>
      </c>
      <c r="FL344" s="10" cm="1">
        <f t="array" aca="1" ref="FL344" ca="1">(1-$B$18)*SUMPRODUCT(OFFSET($BO$15,0,0,$B$14,1), 1*(_xlfn._xlws.FILTER(OFFSET($O$15,0,$DN344,$B$8,1),OFFSET($M$15,0,0,$B$8,1))=FL$13), 1*(_xlfn._xlws.FILTER(OFFSET($O$15,0,$DO344,$B$8,1),OFFSET($M$15,0,0,$B$8,1))=FL$14))   /   SUM(OFFSET($BO$15,0,0,$B$14,1)) + $B$18/($B$19*$B$19*($DN344&lt;&gt;$DO344) + $B$19*($DN344=$DO344))</f>
        <v>3.7037037037037035E-4</v>
      </c>
      <c r="FM344" s="10" cm="1">
        <f t="array" aca="1" ref="FM344" ca="1">(1-$B$18)*SUMPRODUCT(OFFSET($BO$15,0,0,$B$14,1), 1*(_xlfn._xlws.FILTER(OFFSET($O$15,0,$DN344,$B$8,1),OFFSET($M$15,0,0,$B$8,1))=FM$13), 1*(_xlfn._xlws.FILTER(OFFSET($O$15,0,$DO344,$B$8,1),OFFSET($M$15,0,0,$B$8,1))=FM$14))   /   SUM(OFFSET($BO$15,0,0,$B$14,1)) + $B$18/($B$19*$B$19*($DN344&lt;&gt;$DO344) + $B$19*($DN344=$DO344))</f>
        <v>3.7037037037037035E-4</v>
      </c>
      <c r="FN344" s="10" cm="1">
        <f t="array" aca="1" ref="FN344" ca="1">(1-$B$18)*SUMPRODUCT(OFFSET($BO$15,0,0,$B$14,1), 1*(_xlfn._xlws.FILTER(OFFSET($O$15,0,$DN344,$B$8,1),OFFSET($M$15,0,0,$B$8,1))=FN$13), 1*(_xlfn._xlws.FILTER(OFFSET($O$15,0,$DO344,$B$8,1),OFFSET($M$15,0,0,$B$8,1))=FN$14))   /   SUM(OFFSET($BO$15,0,0,$B$14,1)) + $B$18/($B$19*$B$19*($DN344&lt;&gt;$DO344) + $B$19*($DN344=$DO344))</f>
        <v>3.7037037037037035E-4</v>
      </c>
      <c r="FO344" s="10" cm="1">
        <f t="array" aca="1" ref="FO344" ca="1">(1-$B$18)*SUMPRODUCT(OFFSET($BO$15,0,0,$B$14,1), 1*(_xlfn._xlws.FILTER(OFFSET($O$15,0,$DN344,$B$8,1),OFFSET($M$15,0,0,$B$8,1))=FO$13), 1*(_xlfn._xlws.FILTER(OFFSET($O$15,0,$DO344,$B$8,1),OFFSET($M$15,0,0,$B$8,1))=FO$14))   /   SUM(OFFSET($BO$15,0,0,$B$14,1)) + $B$18/($B$19*$B$19*($DN344&lt;&gt;$DO344) + $B$19*($DN344=$DO344))</f>
        <v>3.7037037037037035E-4</v>
      </c>
      <c r="FP344" s="10" cm="1">
        <f t="array" aca="1" ref="FP344" ca="1">(1-$B$18)*SUMPRODUCT(OFFSET($BO$15,0,0,$B$14,1), 1*(_xlfn._xlws.FILTER(OFFSET($O$15,0,$DN344,$B$8,1),OFFSET($M$15,0,0,$B$8,1))=FP$13), 1*(_xlfn._xlws.FILTER(OFFSET($O$15,0,$DO344,$B$8,1),OFFSET($M$15,0,0,$B$8,1))=FP$14))   /   SUM(OFFSET($BO$15,0,0,$B$14,1)) + $B$18/($B$19*$B$19*($DN344&lt;&gt;$DO344) + $B$19*($DN344=$DO344))</f>
        <v>3.7037037037037035E-4</v>
      </c>
      <c r="FQ344" s="10" cm="1">
        <f t="array" aca="1" ref="FQ344" ca="1">(1-$B$18)*SUMPRODUCT(OFFSET($BO$15,0,0,$B$14,1), 1*(_xlfn._xlws.FILTER(OFFSET($O$15,0,$DN344,$B$8,1),OFFSET($M$15,0,0,$B$8,1))=FQ$13), 1*(_xlfn._xlws.FILTER(OFFSET($O$15,0,$DO344,$B$8,1),OFFSET($M$15,0,0,$B$8,1))=FQ$14))   /   SUM(OFFSET($BO$15,0,0,$B$14,1)) + $B$18/($B$19*$B$19*($DN344&lt;&gt;$DO344) + $B$19*($DN344=$DO344))</f>
        <v>3.7037037037037035E-4</v>
      </c>
      <c r="FR344" s="10" cm="1">
        <f t="array" aca="1" ref="FR344" ca="1">(1-$B$18)*SUMPRODUCT(OFFSET($BO$15,0,0,$B$14,1), 1*(_xlfn._xlws.FILTER(OFFSET($O$15,0,$DN344,$B$8,1),OFFSET($M$15,0,0,$B$8,1))=FR$13), 1*(_xlfn._xlws.FILTER(OFFSET($O$15,0,$DO344,$B$8,1),OFFSET($M$15,0,0,$B$8,1))=FR$14))   /   SUM(OFFSET($BO$15,0,0,$B$14,1)) + $B$18/($B$19*$B$19*($DN344&lt;&gt;$DO344) + $B$19*($DN344=$DO344))</f>
        <v>0.48537037037037012</v>
      </c>
      <c r="FS344" s="10" cm="1">
        <f t="array" aca="1" ref="FS344" ca="1">(1-$B$18)*SUMPRODUCT(OFFSET($BO$15,0,0,$B$14,1), 1*(_xlfn._xlws.FILTER(OFFSET($O$15,0,$DN344,$B$8,1),OFFSET($M$15,0,0,$B$8,1))=FS$13), 1*(_xlfn._xlws.FILTER(OFFSET($O$15,0,$DO344,$B$8,1),OFFSET($M$15,0,0,$B$8,1))=FS$14))   /   SUM(OFFSET($BO$15,0,0,$B$14,1)) + $B$18/($B$19*$B$19*($DN344&lt;&gt;$DO344) + $B$19*($DN344=$DO344))</f>
        <v>3.7037037037037035E-4</v>
      </c>
      <c r="FT344" s="10" cm="1">
        <f t="array" aca="1" ref="FT344" ca="1">(1-$B$18)*SUMPRODUCT(OFFSET($BO$15,0,0,$B$14,1), 1*(_xlfn._xlws.FILTER(OFFSET($O$15,0,$DN344,$B$8,1),OFFSET($M$15,0,0,$B$8,1))=FT$13), 1*(_xlfn._xlws.FILTER(OFFSET($O$15,0,$DO344,$B$8,1),OFFSET($M$15,0,0,$B$8,1))=FT$14))   /   SUM(OFFSET($BO$15,0,0,$B$14,1)) + $B$18/($B$19*$B$19*($DN344&lt;&gt;$DO344) + $B$19*($DN344=$DO344))</f>
        <v>3.7037037037037035E-4</v>
      </c>
      <c r="FU344" s="10" cm="1">
        <f t="array" aca="1" ref="FU344" ca="1">(1-$B$18)*SUMPRODUCT(OFFSET($BO$15,0,0,$B$14,1), 1*(_xlfn._xlws.FILTER(OFFSET($O$15,0,$DN344,$B$8,1),OFFSET($M$15,0,0,$B$8,1))=FU$13), 1*(_xlfn._xlws.FILTER(OFFSET($O$15,0,$DO344,$B$8,1),OFFSET($M$15,0,0,$B$8,1))=FU$14))   /   SUM(OFFSET($BO$15,0,0,$B$14,1)) + $B$18/($B$19*$B$19*($DN344&lt;&gt;$DO344) + $B$19*($DN344=$DO344))</f>
        <v>3.7037037037037035E-4</v>
      </c>
      <c r="FV344" s="10" cm="1">
        <f t="array" aca="1" ref="FV344" ca="1">(1-$B$18)*SUMPRODUCT(OFFSET($BO$15,0,0,$B$14,1), 1*(_xlfn._xlws.FILTER(OFFSET($O$15,0,$DN344,$B$8,1),OFFSET($M$15,0,0,$B$8,1))=FV$13), 1*(_xlfn._xlws.FILTER(OFFSET($O$15,0,$DO344,$B$8,1),OFFSET($M$15,0,0,$B$8,1))=FV$14))   /   SUM(OFFSET($BO$15,0,0,$B$14,1)) + $B$18/($B$19*$B$19*($DN344&lt;&gt;$DO344) + $B$19*($DN344=$DO344))</f>
        <v>3.7037037037037035E-4</v>
      </c>
      <c r="FW344" s="10" cm="1">
        <f t="array" aca="1" ref="FW344" ca="1">(1-$B$18)*SUMPRODUCT(OFFSET($BO$15,0,0,$B$14,1), 1*(_xlfn._xlws.FILTER(OFFSET($O$15,0,$DN344,$B$8,1),OFFSET($M$15,0,0,$B$8,1))=FW$13), 1*(_xlfn._xlws.FILTER(OFFSET($O$15,0,$DO344,$B$8,1),OFFSET($M$15,0,0,$B$8,1))=FW$14))   /   SUM(OFFSET($BO$15,0,0,$B$14,1)) + $B$18/($B$19*$B$19*($DN344&lt;&gt;$DO344) + $B$19*($DN344=$DO344))</f>
        <v>3.7037037037037035E-4</v>
      </c>
      <c r="FX344" s="10" cm="1">
        <f t="array" aca="1" ref="FX344" ca="1">(1-$B$18)*SUMPRODUCT(OFFSET($BO$15,0,0,$B$14,1), 1*(_xlfn._xlws.FILTER(OFFSET($O$15,0,$DN344,$B$8,1),OFFSET($M$15,0,0,$B$8,1))=FX$13), 1*(_xlfn._xlws.FILTER(OFFSET($O$15,0,$DO344,$B$8,1),OFFSET($M$15,0,0,$B$8,1))=FX$14))   /   SUM(OFFSET($BO$15,0,0,$B$14,1)) + $B$18/($B$19*$B$19*($DN344&lt;&gt;$DO344) + $B$19*($DN344=$DO344))</f>
        <v>3.7037037037037035E-4</v>
      </c>
      <c r="FY344" s="10" cm="1">
        <f t="array" aca="1" ref="FY344" ca="1">(1-$B$18)*SUMPRODUCT(OFFSET($BO$15,0,0,$B$14,1), 1*(_xlfn._xlws.FILTER(OFFSET($O$15,0,$DN344,$B$8,1),OFFSET($M$15,0,0,$B$8,1))=FY$13), 1*(_xlfn._xlws.FILTER(OFFSET($O$15,0,$DO344,$B$8,1),OFFSET($M$15,0,0,$B$8,1))=FY$14))   /   SUM(OFFSET($BO$15,0,0,$B$14,1)) + $B$18/($B$19*$B$19*($DN344&lt;&gt;$DO344) + $B$19*($DN344=$DO344))</f>
        <v>3.7037037037037035E-4</v>
      </c>
      <c r="FZ344" s="10" cm="1">
        <f t="array" aca="1" ref="FZ344" ca="1">(1-$B$18)*SUMPRODUCT(OFFSET($BO$15,0,0,$B$14,1), 1*(_xlfn._xlws.FILTER(OFFSET($O$15,0,$DN344,$B$8,1),OFFSET($M$15,0,0,$B$8,1))=FZ$13), 1*(_xlfn._xlws.FILTER(OFFSET($O$15,0,$DO344,$B$8,1),OFFSET($M$15,0,0,$B$8,1))=FZ$14))   /   SUM(OFFSET($BO$15,0,0,$B$14,1)) + $B$18/($B$19*$B$19*($DN344&lt;&gt;$DO344) + $B$19*($DN344=$DO344))</f>
        <v>3.7037037037037035E-4</v>
      </c>
      <c r="GA344" s="10" cm="1">
        <f t="array" aca="1" ref="GA344" ca="1">(1-$B$18)*SUMPRODUCT(OFFSET($BO$15,0,0,$B$14,1), 1*(_xlfn._xlws.FILTER(OFFSET($O$15,0,$DN344,$B$8,1),OFFSET($M$15,0,0,$B$8,1))=GA$13), 1*(_xlfn._xlws.FILTER(OFFSET($O$15,0,$DO344,$B$8,1),OFFSET($M$15,0,0,$B$8,1))=GA$14))   /   SUM(OFFSET($BO$15,0,0,$B$14,1)) + $B$18/($B$19*$B$19*($DN344&lt;&gt;$DO344) + $B$19*($DN344=$DO344))</f>
        <v>3.7037037037037035E-4</v>
      </c>
    </row>
    <row r="345" spans="118:183" x14ac:dyDescent="0.2">
      <c r="DN345" cm="1">
        <f t="array" aca="1" ref="DN345" ca="1">INDEX(_xlfn.ANCHORARRAY($CP$15), 1 + INT((ROWS($DO$15:$DO345) - 1) / ROWS(_xlfn.ANCHORARRAY($CP$15))))</f>
        <v>20</v>
      </c>
      <c r="DO345" cm="1">
        <f t="array" aca="1" ref="DO345" ca="1">INDEX(_xlfn.ANCHORARRAY($CP$15),1+MOD(ROWS($DO$15:$DO345)-1,ROWS(_xlfn.ANCHORARRAY($CP$15))))</f>
        <v>7</v>
      </c>
      <c r="DP345" s="10" cm="1">
        <f t="array" aca="1" ref="DP345" ca="1">(1-$B$18)*SUMPRODUCT(OFFSET($BO$15,0,0,$B$14,1), 1*(_xlfn._xlws.FILTER(OFFSET($O$15,0,$DN345,$B$8,1),OFFSET($M$15,0,0,$B$8,1))=DP$13), 1*(_xlfn._xlws.FILTER(OFFSET($O$15,0,$DO345,$B$8,1),OFFSET($M$15,0,0,$B$8,1))=DP$14))   /   SUM(OFFSET($BO$15,0,0,$B$14,1)) + $B$18/($B$19*$B$19*($DN345&lt;&gt;$DO345) + $B$19*($DN345=$DO345))</f>
        <v>3.7037037037037035E-4</v>
      </c>
      <c r="DQ345" s="10" cm="1">
        <f t="array" aca="1" ref="DQ345" ca="1">(1-$B$18)*SUMPRODUCT(OFFSET($BO$15,0,0,$B$14,1), 1*(_xlfn._xlws.FILTER(OFFSET($O$15,0,$DN345,$B$8,1),OFFSET($M$15,0,0,$B$8,1))=DQ$13), 1*(_xlfn._xlws.FILTER(OFFSET($O$15,0,$DO345,$B$8,1),OFFSET($M$15,0,0,$B$8,1))=DQ$14))   /   SUM(OFFSET($BO$15,0,0,$B$14,1)) + $B$18/($B$19*$B$19*($DN345&lt;&gt;$DO345) + $B$19*($DN345=$DO345))</f>
        <v>3.7037037037037035E-4</v>
      </c>
      <c r="DR345" s="10" cm="1">
        <f t="array" aca="1" ref="DR345" ca="1">(1-$B$18)*SUMPRODUCT(OFFSET($BO$15,0,0,$B$14,1), 1*(_xlfn._xlws.FILTER(OFFSET($O$15,0,$DN345,$B$8,1),OFFSET($M$15,0,0,$B$8,1))=DR$13), 1*(_xlfn._xlws.FILTER(OFFSET($O$15,0,$DO345,$B$8,1),OFFSET($M$15,0,0,$B$8,1))=DR$14))   /   SUM(OFFSET($BO$15,0,0,$B$14,1)) + $B$18/($B$19*$B$19*($DN345&lt;&gt;$DO345) + $B$19*($DN345=$DO345))</f>
        <v>3.7037037037037035E-4</v>
      </c>
      <c r="DS345" s="10" cm="1">
        <f t="array" aca="1" ref="DS345" ca="1">(1-$B$18)*SUMPRODUCT(OFFSET($BO$15,0,0,$B$14,1), 1*(_xlfn._xlws.FILTER(OFFSET($O$15,0,$DN345,$B$8,1),OFFSET($M$15,0,0,$B$8,1))=DS$13), 1*(_xlfn._xlws.FILTER(OFFSET($O$15,0,$DO345,$B$8,1),OFFSET($M$15,0,0,$B$8,1))=DS$14))   /   SUM(OFFSET($BO$15,0,0,$B$14,1)) + $B$18/($B$19*$B$19*($DN345&lt;&gt;$DO345) + $B$19*($DN345=$DO345))</f>
        <v>3.7037037037037035E-4</v>
      </c>
      <c r="DT345" s="10" cm="1">
        <f t="array" aca="1" ref="DT345" ca="1">(1-$B$18)*SUMPRODUCT(OFFSET($BO$15,0,0,$B$14,1), 1*(_xlfn._xlws.FILTER(OFFSET($O$15,0,$DN345,$B$8,1),OFFSET($M$15,0,0,$B$8,1))=DT$13), 1*(_xlfn._xlws.FILTER(OFFSET($O$15,0,$DO345,$B$8,1),OFFSET($M$15,0,0,$B$8,1))=DT$14))   /   SUM(OFFSET($BO$15,0,0,$B$14,1)) + $B$18/($B$19*$B$19*($DN345&lt;&gt;$DO345) + $B$19*($DN345=$DO345))</f>
        <v>3.7037037037037035E-4</v>
      </c>
      <c r="DU345" s="10" cm="1">
        <f t="array" aca="1" ref="DU345" ca="1">(1-$B$18)*SUMPRODUCT(OFFSET($BO$15,0,0,$B$14,1), 1*(_xlfn._xlws.FILTER(OFFSET($O$15,0,$DN345,$B$8,1),OFFSET($M$15,0,0,$B$8,1))=DU$13), 1*(_xlfn._xlws.FILTER(OFFSET($O$15,0,$DO345,$B$8,1),OFFSET($M$15,0,0,$B$8,1))=DU$14))   /   SUM(OFFSET($BO$15,0,0,$B$14,1)) + $B$18/($B$19*$B$19*($DN345&lt;&gt;$DO345) + $B$19*($DN345=$DO345))</f>
        <v>3.7037037037037035E-4</v>
      </c>
      <c r="DV345" s="10" cm="1">
        <f t="array" aca="1" ref="DV345" ca="1">(1-$B$18)*SUMPRODUCT(OFFSET($BO$15,0,0,$B$14,1), 1*(_xlfn._xlws.FILTER(OFFSET($O$15,0,$DN345,$B$8,1),OFFSET($M$15,0,0,$B$8,1))=DV$13), 1*(_xlfn._xlws.FILTER(OFFSET($O$15,0,$DO345,$B$8,1),OFFSET($M$15,0,0,$B$8,1))=DV$14))   /   SUM(OFFSET($BO$15,0,0,$B$14,1)) + $B$18/($B$19*$B$19*($DN345&lt;&gt;$DO345) + $B$19*($DN345=$DO345))</f>
        <v>3.7037037037037035E-4</v>
      </c>
      <c r="DW345" s="10" cm="1">
        <f t="array" aca="1" ref="DW345" ca="1">(1-$B$18)*SUMPRODUCT(OFFSET($BO$15,0,0,$B$14,1), 1*(_xlfn._xlws.FILTER(OFFSET($O$15,0,$DN345,$B$8,1),OFFSET($M$15,0,0,$B$8,1))=DW$13), 1*(_xlfn._xlws.FILTER(OFFSET($O$15,0,$DO345,$B$8,1),OFFSET($M$15,0,0,$B$8,1))=DW$14))   /   SUM(OFFSET($BO$15,0,0,$B$14,1)) + $B$18/($B$19*$B$19*($DN345&lt;&gt;$DO345) + $B$19*($DN345=$DO345))</f>
        <v>3.7037037037037035E-4</v>
      </c>
      <c r="DX345" s="10" cm="1">
        <f t="array" aca="1" ref="DX345" ca="1">(1-$B$18)*SUMPRODUCT(OFFSET($BO$15,0,0,$B$14,1), 1*(_xlfn._xlws.FILTER(OFFSET($O$15,0,$DN345,$B$8,1),OFFSET($M$15,0,0,$B$8,1))=DX$13), 1*(_xlfn._xlws.FILTER(OFFSET($O$15,0,$DO345,$B$8,1),OFFSET($M$15,0,0,$B$8,1))=DX$14))   /   SUM(OFFSET($BO$15,0,0,$B$14,1)) + $B$18/($B$19*$B$19*($DN345&lt;&gt;$DO345) + $B$19*($DN345=$DO345))</f>
        <v>3.7037037037037035E-4</v>
      </c>
      <c r="DY345" s="10" cm="1">
        <f t="array" aca="1" ref="DY345" ca="1">(1-$B$18)*SUMPRODUCT(OFFSET($BO$15,0,0,$B$14,1), 1*(_xlfn._xlws.FILTER(OFFSET($O$15,0,$DN345,$B$8,1),OFFSET($M$15,0,0,$B$8,1))=DY$13), 1*(_xlfn._xlws.FILTER(OFFSET($O$15,0,$DO345,$B$8,1),OFFSET($M$15,0,0,$B$8,1))=DY$14))   /   SUM(OFFSET($BO$15,0,0,$B$14,1)) + $B$18/($B$19*$B$19*($DN345&lt;&gt;$DO345) + $B$19*($DN345=$DO345))</f>
        <v>3.7037037037037035E-4</v>
      </c>
      <c r="DZ345" s="10" cm="1">
        <f t="array" aca="1" ref="DZ345" ca="1">(1-$B$18)*SUMPRODUCT(OFFSET($BO$15,0,0,$B$14,1), 1*(_xlfn._xlws.FILTER(OFFSET($O$15,0,$DN345,$B$8,1),OFFSET($M$15,0,0,$B$8,1))=DZ$13), 1*(_xlfn._xlws.FILTER(OFFSET($O$15,0,$DO345,$B$8,1),OFFSET($M$15,0,0,$B$8,1))=DZ$14))   /   SUM(OFFSET($BO$15,0,0,$B$14,1)) + $B$18/($B$19*$B$19*($DN345&lt;&gt;$DO345) + $B$19*($DN345=$DO345))</f>
        <v>3.7037037037037035E-4</v>
      </c>
      <c r="EA345" s="10" cm="1">
        <f t="array" aca="1" ref="EA345" ca="1">(1-$B$18)*SUMPRODUCT(OFFSET($BO$15,0,0,$B$14,1), 1*(_xlfn._xlws.FILTER(OFFSET($O$15,0,$DN345,$B$8,1),OFFSET($M$15,0,0,$B$8,1))=EA$13), 1*(_xlfn._xlws.FILTER(OFFSET($O$15,0,$DO345,$B$8,1),OFFSET($M$15,0,0,$B$8,1))=EA$14))   /   SUM(OFFSET($BO$15,0,0,$B$14,1)) + $B$18/($B$19*$B$19*($DN345&lt;&gt;$DO345) + $B$19*($DN345=$DO345))</f>
        <v>3.7037037037037035E-4</v>
      </c>
      <c r="EB345" s="10" cm="1">
        <f t="array" aca="1" ref="EB345" ca="1">(1-$B$18)*SUMPRODUCT(OFFSET($BO$15,0,0,$B$14,1), 1*(_xlfn._xlws.FILTER(OFFSET($O$15,0,$DN345,$B$8,1),OFFSET($M$15,0,0,$B$8,1))=EB$13), 1*(_xlfn._xlws.FILTER(OFFSET($O$15,0,$DO345,$B$8,1),OFFSET($M$15,0,0,$B$8,1))=EB$14))   /   SUM(OFFSET($BO$15,0,0,$B$14,1)) + $B$18/($B$19*$B$19*($DN345&lt;&gt;$DO345) + $B$19*($DN345=$DO345))</f>
        <v>3.7037037037037035E-4</v>
      </c>
      <c r="EC345" s="10" cm="1">
        <f t="array" aca="1" ref="EC345" ca="1">(1-$B$18)*SUMPRODUCT(OFFSET($BO$15,0,0,$B$14,1), 1*(_xlfn._xlws.FILTER(OFFSET($O$15,0,$DN345,$B$8,1),OFFSET($M$15,0,0,$B$8,1))=EC$13), 1*(_xlfn._xlws.FILTER(OFFSET($O$15,0,$DO345,$B$8,1),OFFSET($M$15,0,0,$B$8,1))=EC$14))   /   SUM(OFFSET($BO$15,0,0,$B$14,1)) + $B$18/($B$19*$B$19*($DN345&lt;&gt;$DO345) + $B$19*($DN345=$DO345))</f>
        <v>3.7037037037037035E-4</v>
      </c>
      <c r="ED345" s="10" cm="1">
        <f t="array" aca="1" ref="ED345" ca="1">(1-$B$18)*SUMPRODUCT(OFFSET($BO$15,0,0,$B$14,1), 1*(_xlfn._xlws.FILTER(OFFSET($O$15,0,$DN345,$B$8,1),OFFSET($M$15,0,0,$B$8,1))=ED$13), 1*(_xlfn._xlws.FILTER(OFFSET($O$15,0,$DO345,$B$8,1),OFFSET($M$15,0,0,$B$8,1))=ED$14))   /   SUM(OFFSET($BO$15,0,0,$B$14,1)) + $B$18/($B$19*$B$19*($DN345&lt;&gt;$DO345) + $B$19*($DN345=$DO345))</f>
        <v>3.7037037037037035E-4</v>
      </c>
      <c r="EE345" s="10" cm="1">
        <f t="array" aca="1" ref="EE345" ca="1">(1-$B$18)*SUMPRODUCT(OFFSET($BO$15,0,0,$B$14,1), 1*(_xlfn._xlws.FILTER(OFFSET($O$15,0,$DN345,$B$8,1),OFFSET($M$15,0,0,$B$8,1))=EE$13), 1*(_xlfn._xlws.FILTER(OFFSET($O$15,0,$DO345,$B$8,1),OFFSET($M$15,0,0,$B$8,1))=EE$14))   /   SUM(OFFSET($BO$15,0,0,$B$14,1)) + $B$18/($B$19*$B$19*($DN345&lt;&gt;$DO345) + $B$19*($DN345=$DO345))</f>
        <v>3.7037037037037035E-4</v>
      </c>
      <c r="EF345" s="10" cm="1">
        <f t="array" aca="1" ref="EF345" ca="1">(1-$B$18)*SUMPRODUCT(OFFSET($BO$15,0,0,$B$14,1), 1*(_xlfn._xlws.FILTER(OFFSET($O$15,0,$DN345,$B$8,1),OFFSET($M$15,0,0,$B$8,1))=EF$13), 1*(_xlfn._xlws.FILTER(OFFSET($O$15,0,$DO345,$B$8,1),OFFSET($M$15,0,0,$B$8,1))=EF$14))   /   SUM(OFFSET($BO$15,0,0,$B$14,1)) + $B$18/($B$19*$B$19*($DN345&lt;&gt;$DO345) + $B$19*($DN345=$DO345))</f>
        <v>3.7037037037037035E-4</v>
      </c>
      <c r="EG345" s="10" cm="1">
        <f t="array" aca="1" ref="EG345" ca="1">(1-$B$18)*SUMPRODUCT(OFFSET($BO$15,0,0,$B$14,1), 1*(_xlfn._xlws.FILTER(OFFSET($O$15,0,$DN345,$B$8,1),OFFSET($M$15,0,0,$B$8,1))=EG$13), 1*(_xlfn._xlws.FILTER(OFFSET($O$15,0,$DO345,$B$8,1),OFFSET($M$15,0,0,$B$8,1))=EG$14))   /   SUM(OFFSET($BO$15,0,0,$B$14,1)) + $B$18/($B$19*$B$19*($DN345&lt;&gt;$DO345) + $B$19*($DN345=$DO345))</f>
        <v>3.7037037037037035E-4</v>
      </c>
      <c r="EH345" s="10" cm="1">
        <f t="array" aca="1" ref="EH345" ca="1">(1-$B$18)*SUMPRODUCT(OFFSET($BO$15,0,0,$B$14,1), 1*(_xlfn._xlws.FILTER(OFFSET($O$15,0,$DN345,$B$8,1),OFFSET($M$15,0,0,$B$8,1))=EH$13), 1*(_xlfn._xlws.FILTER(OFFSET($O$15,0,$DO345,$B$8,1),OFFSET($M$15,0,0,$B$8,1))=EH$14))   /   SUM(OFFSET($BO$15,0,0,$B$14,1)) + $B$18/($B$19*$B$19*($DN345&lt;&gt;$DO345) + $B$19*($DN345=$DO345))</f>
        <v>3.7037037037037035E-4</v>
      </c>
      <c r="EI345" s="10" cm="1">
        <f t="array" aca="1" ref="EI345" ca="1">(1-$B$18)*SUMPRODUCT(OFFSET($BO$15,0,0,$B$14,1), 1*(_xlfn._xlws.FILTER(OFFSET($O$15,0,$DN345,$B$8,1),OFFSET($M$15,0,0,$B$8,1))=EI$13), 1*(_xlfn._xlws.FILTER(OFFSET($O$15,0,$DO345,$B$8,1),OFFSET($M$15,0,0,$B$8,1))=EI$14))   /   SUM(OFFSET($BO$15,0,0,$B$14,1)) + $B$18/($B$19*$B$19*($DN345&lt;&gt;$DO345) + $B$19*($DN345=$DO345))</f>
        <v>3.7037037037037035E-4</v>
      </c>
      <c r="EJ345" s="10" cm="1">
        <f t="array" aca="1" ref="EJ345" ca="1">(1-$B$18)*SUMPRODUCT(OFFSET($BO$15,0,0,$B$14,1), 1*(_xlfn._xlws.FILTER(OFFSET($O$15,0,$DN345,$B$8,1),OFFSET($M$15,0,0,$B$8,1))=EJ$13), 1*(_xlfn._xlws.FILTER(OFFSET($O$15,0,$DO345,$B$8,1),OFFSET($M$15,0,0,$B$8,1))=EJ$14))   /   SUM(OFFSET($BO$15,0,0,$B$14,1)) + $B$18/($B$19*$B$19*($DN345&lt;&gt;$DO345) + $B$19*($DN345=$DO345))</f>
        <v>3.7037037037037035E-4</v>
      </c>
      <c r="EK345" s="10" cm="1">
        <f t="array" aca="1" ref="EK345" ca="1">(1-$B$18)*SUMPRODUCT(OFFSET($BO$15,0,0,$B$14,1), 1*(_xlfn._xlws.FILTER(OFFSET($O$15,0,$DN345,$B$8,1),OFFSET($M$15,0,0,$B$8,1))=EK$13), 1*(_xlfn._xlws.FILTER(OFFSET($O$15,0,$DO345,$B$8,1),OFFSET($M$15,0,0,$B$8,1))=EK$14))   /   SUM(OFFSET($BO$15,0,0,$B$14,1)) + $B$18/($B$19*$B$19*($DN345&lt;&gt;$DO345) + $B$19*($DN345=$DO345))</f>
        <v>3.7037037037037035E-4</v>
      </c>
      <c r="EL345" s="10" cm="1">
        <f t="array" aca="1" ref="EL345" ca="1">(1-$B$18)*SUMPRODUCT(OFFSET($BO$15,0,0,$B$14,1), 1*(_xlfn._xlws.FILTER(OFFSET($O$15,0,$DN345,$B$8,1),OFFSET($M$15,0,0,$B$8,1))=EL$13), 1*(_xlfn._xlws.FILTER(OFFSET($O$15,0,$DO345,$B$8,1),OFFSET($M$15,0,0,$B$8,1))=EL$14))   /   SUM(OFFSET($BO$15,0,0,$B$14,1)) + $B$18/($B$19*$B$19*($DN345&lt;&gt;$DO345) + $B$19*($DN345=$DO345))</f>
        <v>3.7037037037037035E-4</v>
      </c>
      <c r="EM345" s="10" cm="1">
        <f t="array" aca="1" ref="EM345" ca="1">(1-$B$18)*SUMPRODUCT(OFFSET($BO$15,0,0,$B$14,1), 1*(_xlfn._xlws.FILTER(OFFSET($O$15,0,$DN345,$B$8,1),OFFSET($M$15,0,0,$B$8,1))=EM$13), 1*(_xlfn._xlws.FILTER(OFFSET($O$15,0,$DO345,$B$8,1),OFFSET($M$15,0,0,$B$8,1))=EM$14))   /   SUM(OFFSET($BO$15,0,0,$B$14,1)) + $B$18/($B$19*$B$19*($DN345&lt;&gt;$DO345) + $B$19*($DN345=$DO345))</f>
        <v>3.7037037037037035E-4</v>
      </c>
      <c r="EN345" s="10" cm="1">
        <f t="array" aca="1" ref="EN345" ca="1">(1-$B$18)*SUMPRODUCT(OFFSET($BO$15,0,0,$B$14,1), 1*(_xlfn._xlws.FILTER(OFFSET($O$15,0,$DN345,$B$8,1),OFFSET($M$15,0,0,$B$8,1))=EN$13), 1*(_xlfn._xlws.FILTER(OFFSET($O$15,0,$DO345,$B$8,1),OFFSET($M$15,0,0,$B$8,1))=EN$14))   /   SUM(OFFSET($BO$15,0,0,$B$14,1)) + $B$18/($B$19*$B$19*($DN345&lt;&gt;$DO345) + $B$19*($DN345=$DO345))</f>
        <v>3.7037037037037035E-4</v>
      </c>
      <c r="EO345" s="10" cm="1">
        <f t="array" aca="1" ref="EO345" ca="1">(1-$B$18)*SUMPRODUCT(OFFSET($BO$15,0,0,$B$14,1), 1*(_xlfn._xlws.FILTER(OFFSET($O$15,0,$DN345,$B$8,1),OFFSET($M$15,0,0,$B$8,1))=EO$13), 1*(_xlfn._xlws.FILTER(OFFSET($O$15,0,$DO345,$B$8,1),OFFSET($M$15,0,0,$B$8,1))=EO$14))   /   SUM(OFFSET($BO$15,0,0,$B$14,1)) + $B$18/($B$19*$B$19*($DN345&lt;&gt;$DO345) + $B$19*($DN345=$DO345))</f>
        <v>3.7037037037037035E-4</v>
      </c>
      <c r="EP345" s="10" cm="1">
        <f t="array" aca="1" ref="EP345" ca="1">(1-$B$18)*SUMPRODUCT(OFFSET($BO$15,0,0,$B$14,1), 1*(_xlfn._xlws.FILTER(OFFSET($O$15,0,$DN345,$B$8,1),OFFSET($M$15,0,0,$B$8,1))=EP$13), 1*(_xlfn._xlws.FILTER(OFFSET($O$15,0,$DO345,$B$8,1),OFFSET($M$15,0,0,$B$8,1))=EP$14))   /   SUM(OFFSET($BO$15,0,0,$B$14,1)) + $B$18/($B$19*$B$19*($DN345&lt;&gt;$DO345) + $B$19*($DN345=$DO345))</f>
        <v>3.7037037037037035E-4</v>
      </c>
      <c r="EQ345" s="10" cm="1">
        <f t="array" aca="1" ref="EQ345" ca="1">(1-$B$18)*SUMPRODUCT(OFFSET($BO$15,0,0,$B$14,1), 1*(_xlfn._xlws.FILTER(OFFSET($O$15,0,$DN345,$B$8,1),OFFSET($M$15,0,0,$B$8,1))=EQ$13), 1*(_xlfn._xlws.FILTER(OFFSET($O$15,0,$DO345,$B$8,1),OFFSET($M$15,0,0,$B$8,1))=EQ$14))   /   SUM(OFFSET($BO$15,0,0,$B$14,1)) + $B$18/($B$19*$B$19*($DN345&lt;&gt;$DO345) + $B$19*($DN345=$DO345))</f>
        <v>3.7037037037037035E-4</v>
      </c>
      <c r="ER345" s="10" cm="1">
        <f t="array" aca="1" ref="ER345" ca="1">(1-$B$18)*SUMPRODUCT(OFFSET($BO$15,0,0,$B$14,1), 1*(_xlfn._xlws.FILTER(OFFSET($O$15,0,$DN345,$B$8,1),OFFSET($M$15,0,0,$B$8,1))=ER$13), 1*(_xlfn._xlws.FILTER(OFFSET($O$15,0,$DO345,$B$8,1),OFFSET($M$15,0,0,$B$8,1))=ER$14))   /   SUM(OFFSET($BO$15,0,0,$B$14,1)) + $B$18/($B$19*$B$19*($DN345&lt;&gt;$DO345) + $B$19*($DN345=$DO345))</f>
        <v>3.7037037037037035E-4</v>
      </c>
      <c r="ES345" s="10" cm="1">
        <f t="array" aca="1" ref="ES345" ca="1">(1-$B$18)*SUMPRODUCT(OFFSET($BO$15,0,0,$B$14,1), 1*(_xlfn._xlws.FILTER(OFFSET($O$15,0,$DN345,$B$8,1),OFFSET($M$15,0,0,$B$8,1))=ES$13), 1*(_xlfn._xlws.FILTER(OFFSET($O$15,0,$DO345,$B$8,1),OFFSET($M$15,0,0,$B$8,1))=ES$14))   /   SUM(OFFSET($BO$15,0,0,$B$14,1)) + $B$18/($B$19*$B$19*($DN345&lt;&gt;$DO345) + $B$19*($DN345=$DO345))</f>
        <v>3.7037037037037035E-4</v>
      </c>
      <c r="ET345" s="10" cm="1">
        <f t="array" aca="1" ref="ET345" ca="1">(1-$B$18)*SUMPRODUCT(OFFSET($BO$15,0,0,$B$14,1), 1*(_xlfn._xlws.FILTER(OFFSET($O$15,0,$DN345,$B$8,1),OFFSET($M$15,0,0,$B$8,1))=ET$13), 1*(_xlfn._xlws.FILTER(OFFSET($O$15,0,$DO345,$B$8,1),OFFSET($M$15,0,0,$B$8,1))=ET$14))   /   SUM(OFFSET($BO$15,0,0,$B$14,1)) + $B$18/($B$19*$B$19*($DN345&lt;&gt;$DO345) + $B$19*($DN345=$DO345))</f>
        <v>3.7037037037037035E-4</v>
      </c>
      <c r="EU345" s="10" cm="1">
        <f t="array" aca="1" ref="EU345" ca="1">(1-$B$18)*SUMPRODUCT(OFFSET($BO$15,0,0,$B$14,1), 1*(_xlfn._xlws.FILTER(OFFSET($O$15,0,$DN345,$B$8,1),OFFSET($M$15,0,0,$B$8,1))=EU$13), 1*(_xlfn._xlws.FILTER(OFFSET($O$15,0,$DO345,$B$8,1),OFFSET($M$15,0,0,$B$8,1))=EU$14))   /   SUM(OFFSET($BO$15,0,0,$B$14,1)) + $B$18/($B$19*$B$19*($DN345&lt;&gt;$DO345) + $B$19*($DN345=$DO345))</f>
        <v>3.7037037037037035E-4</v>
      </c>
      <c r="EV345" s="10" cm="1">
        <f t="array" aca="1" ref="EV345" ca="1">(1-$B$18)*SUMPRODUCT(OFFSET($BO$15,0,0,$B$14,1), 1*(_xlfn._xlws.FILTER(OFFSET($O$15,0,$DN345,$B$8,1),OFFSET($M$15,0,0,$B$8,1))=EV$13), 1*(_xlfn._xlws.FILTER(OFFSET($O$15,0,$DO345,$B$8,1),OFFSET($M$15,0,0,$B$8,1))=EV$14))   /   SUM(OFFSET($BO$15,0,0,$B$14,1)) + $B$18/($B$19*$B$19*($DN345&lt;&gt;$DO345) + $B$19*($DN345=$DO345))</f>
        <v>3.7037037037037035E-4</v>
      </c>
      <c r="EW345" s="10" cm="1">
        <f t="array" aca="1" ref="EW345" ca="1">(1-$B$18)*SUMPRODUCT(OFFSET($BO$15,0,0,$B$14,1), 1*(_xlfn._xlws.FILTER(OFFSET($O$15,0,$DN345,$B$8,1),OFFSET($M$15,0,0,$B$8,1))=EW$13), 1*(_xlfn._xlws.FILTER(OFFSET($O$15,0,$DO345,$B$8,1),OFFSET($M$15,0,0,$B$8,1))=EW$14))   /   SUM(OFFSET($BO$15,0,0,$B$14,1)) + $B$18/($B$19*$B$19*($DN345&lt;&gt;$DO345) + $B$19*($DN345=$DO345))</f>
        <v>3.7037037037037035E-4</v>
      </c>
      <c r="EX345" s="10" cm="1">
        <f t="array" aca="1" ref="EX345" ca="1">(1-$B$18)*SUMPRODUCT(OFFSET($BO$15,0,0,$B$14,1), 1*(_xlfn._xlws.FILTER(OFFSET($O$15,0,$DN345,$B$8,1),OFFSET($M$15,0,0,$B$8,1))=EX$13), 1*(_xlfn._xlws.FILTER(OFFSET($O$15,0,$DO345,$B$8,1),OFFSET($M$15,0,0,$B$8,1))=EX$14))   /   SUM(OFFSET($BO$15,0,0,$B$14,1)) + $B$18/($B$19*$B$19*($DN345&lt;&gt;$DO345) + $B$19*($DN345=$DO345))</f>
        <v>3.7037037037037035E-4</v>
      </c>
      <c r="EY345" s="10" cm="1">
        <f t="array" aca="1" ref="EY345" ca="1">(1-$B$18)*SUMPRODUCT(OFFSET($BO$15,0,0,$B$14,1), 1*(_xlfn._xlws.FILTER(OFFSET($O$15,0,$DN345,$B$8,1),OFFSET($M$15,0,0,$B$8,1))=EY$13), 1*(_xlfn._xlws.FILTER(OFFSET($O$15,0,$DO345,$B$8,1),OFFSET($M$15,0,0,$B$8,1))=EY$14))   /   SUM(OFFSET($BO$15,0,0,$B$14,1)) + $B$18/($B$19*$B$19*($DN345&lt;&gt;$DO345) + $B$19*($DN345=$DO345))</f>
        <v>3.7037037037037035E-4</v>
      </c>
      <c r="EZ345" s="10" cm="1">
        <f t="array" aca="1" ref="EZ345" ca="1">(1-$B$18)*SUMPRODUCT(OFFSET($BO$15,0,0,$B$14,1), 1*(_xlfn._xlws.FILTER(OFFSET($O$15,0,$DN345,$B$8,1),OFFSET($M$15,0,0,$B$8,1))=EZ$13), 1*(_xlfn._xlws.FILTER(OFFSET($O$15,0,$DO345,$B$8,1),OFFSET($M$15,0,0,$B$8,1))=EZ$14))   /   SUM(OFFSET($BO$15,0,0,$B$14,1)) + $B$18/($B$19*$B$19*($DN345&lt;&gt;$DO345) + $B$19*($DN345=$DO345))</f>
        <v>3.7037037037037035E-4</v>
      </c>
      <c r="FA345" s="10" cm="1">
        <f t="array" aca="1" ref="FA345" ca="1">(1-$B$18)*SUMPRODUCT(OFFSET($BO$15,0,0,$B$14,1), 1*(_xlfn._xlws.FILTER(OFFSET($O$15,0,$DN345,$B$8,1),OFFSET($M$15,0,0,$B$8,1))=FA$13), 1*(_xlfn._xlws.FILTER(OFFSET($O$15,0,$DO345,$B$8,1),OFFSET($M$15,0,0,$B$8,1))=FA$14))   /   SUM(OFFSET($BO$15,0,0,$B$14,1)) + $B$18/($B$19*$B$19*($DN345&lt;&gt;$DO345) + $B$19*($DN345=$DO345))</f>
        <v>3.7037037037037035E-4</v>
      </c>
      <c r="FB345" s="10" cm="1">
        <f t="array" aca="1" ref="FB345" ca="1">(1-$B$18)*SUMPRODUCT(OFFSET($BO$15,0,0,$B$14,1), 1*(_xlfn._xlws.FILTER(OFFSET($O$15,0,$DN345,$B$8,1),OFFSET($M$15,0,0,$B$8,1))=FB$13), 1*(_xlfn._xlws.FILTER(OFFSET($O$15,0,$DO345,$B$8,1),OFFSET($M$15,0,0,$B$8,1))=FB$14))   /   SUM(OFFSET($BO$15,0,0,$B$14,1)) + $B$18/($B$19*$B$19*($DN345&lt;&gt;$DO345) + $B$19*($DN345=$DO345))</f>
        <v>0.24287037037037024</v>
      </c>
      <c r="FC345" s="10" cm="1">
        <f t="array" aca="1" ref="FC345" ca="1">(1-$B$18)*SUMPRODUCT(OFFSET($BO$15,0,0,$B$14,1), 1*(_xlfn._xlws.FILTER(OFFSET($O$15,0,$DN345,$B$8,1),OFFSET($M$15,0,0,$B$8,1))=FC$13), 1*(_xlfn._xlws.FILTER(OFFSET($O$15,0,$DO345,$B$8,1),OFFSET($M$15,0,0,$B$8,1))=FC$14))   /   SUM(OFFSET($BO$15,0,0,$B$14,1)) + $B$18/($B$19*$B$19*($DN345&lt;&gt;$DO345) + $B$19*($DN345=$DO345))</f>
        <v>3.7037037037037035E-4</v>
      </c>
      <c r="FD345" s="10" cm="1">
        <f t="array" aca="1" ref="FD345" ca="1">(1-$B$18)*SUMPRODUCT(OFFSET($BO$15,0,0,$B$14,1), 1*(_xlfn._xlws.FILTER(OFFSET($O$15,0,$DN345,$B$8,1),OFFSET($M$15,0,0,$B$8,1))=FD$13), 1*(_xlfn._xlws.FILTER(OFFSET($O$15,0,$DO345,$B$8,1),OFFSET($M$15,0,0,$B$8,1))=FD$14))   /   SUM(OFFSET($BO$15,0,0,$B$14,1)) + $B$18/($B$19*$B$19*($DN345&lt;&gt;$DO345) + $B$19*($DN345=$DO345))</f>
        <v>3.7037037037037035E-4</v>
      </c>
      <c r="FE345" s="10" cm="1">
        <f t="array" aca="1" ref="FE345" ca="1">(1-$B$18)*SUMPRODUCT(OFFSET($BO$15,0,0,$B$14,1), 1*(_xlfn._xlws.FILTER(OFFSET($O$15,0,$DN345,$B$8,1),OFFSET($M$15,0,0,$B$8,1))=FE$13), 1*(_xlfn._xlws.FILTER(OFFSET($O$15,0,$DO345,$B$8,1),OFFSET($M$15,0,0,$B$8,1))=FE$14))   /   SUM(OFFSET($BO$15,0,0,$B$14,1)) + $B$18/($B$19*$B$19*($DN345&lt;&gt;$DO345) + $B$19*($DN345=$DO345))</f>
        <v>3.7037037037037035E-4</v>
      </c>
      <c r="FF345" s="10" cm="1">
        <f t="array" aca="1" ref="FF345" ca="1">(1-$B$18)*SUMPRODUCT(OFFSET($BO$15,0,0,$B$14,1), 1*(_xlfn._xlws.FILTER(OFFSET($O$15,0,$DN345,$B$8,1),OFFSET($M$15,0,0,$B$8,1))=FF$13), 1*(_xlfn._xlws.FILTER(OFFSET($O$15,0,$DO345,$B$8,1),OFFSET($M$15,0,0,$B$8,1))=FF$14))   /   SUM(OFFSET($BO$15,0,0,$B$14,1)) + $B$18/($B$19*$B$19*($DN345&lt;&gt;$DO345) + $B$19*($DN345=$DO345))</f>
        <v>3.7037037037037035E-4</v>
      </c>
      <c r="FG345" s="10" cm="1">
        <f t="array" aca="1" ref="FG345" ca="1">(1-$B$18)*SUMPRODUCT(OFFSET($BO$15,0,0,$B$14,1), 1*(_xlfn._xlws.FILTER(OFFSET($O$15,0,$DN345,$B$8,1),OFFSET($M$15,0,0,$B$8,1))=FG$13), 1*(_xlfn._xlws.FILTER(OFFSET($O$15,0,$DO345,$B$8,1),OFFSET($M$15,0,0,$B$8,1))=FG$14))   /   SUM(OFFSET($BO$15,0,0,$B$14,1)) + $B$18/($B$19*$B$19*($DN345&lt;&gt;$DO345) + $B$19*($DN345=$DO345))</f>
        <v>3.7037037037037035E-4</v>
      </c>
      <c r="FH345" s="10" cm="1">
        <f t="array" aca="1" ref="FH345" ca="1">(1-$B$18)*SUMPRODUCT(OFFSET($BO$15,0,0,$B$14,1), 1*(_xlfn._xlws.FILTER(OFFSET($O$15,0,$DN345,$B$8,1),OFFSET($M$15,0,0,$B$8,1))=FH$13), 1*(_xlfn._xlws.FILTER(OFFSET($O$15,0,$DO345,$B$8,1),OFFSET($M$15,0,0,$B$8,1))=FH$14))   /   SUM(OFFSET($BO$15,0,0,$B$14,1)) + $B$18/($B$19*$B$19*($DN345&lt;&gt;$DO345) + $B$19*($DN345=$DO345))</f>
        <v>3.7037037037037035E-4</v>
      </c>
      <c r="FI345" s="10" cm="1">
        <f t="array" aca="1" ref="FI345" ca="1">(1-$B$18)*SUMPRODUCT(OFFSET($BO$15,0,0,$B$14,1), 1*(_xlfn._xlws.FILTER(OFFSET($O$15,0,$DN345,$B$8,1),OFFSET($M$15,0,0,$B$8,1))=FI$13), 1*(_xlfn._xlws.FILTER(OFFSET($O$15,0,$DO345,$B$8,1),OFFSET($M$15,0,0,$B$8,1))=FI$14))   /   SUM(OFFSET($BO$15,0,0,$B$14,1)) + $B$18/($B$19*$B$19*($DN345&lt;&gt;$DO345) + $B$19*($DN345=$DO345))</f>
        <v>3.7037037037037035E-4</v>
      </c>
      <c r="FJ345" s="10" cm="1">
        <f t="array" aca="1" ref="FJ345" ca="1">(1-$B$18)*SUMPRODUCT(OFFSET($BO$15,0,0,$B$14,1), 1*(_xlfn._xlws.FILTER(OFFSET($O$15,0,$DN345,$B$8,1),OFFSET($M$15,0,0,$B$8,1))=FJ$13), 1*(_xlfn._xlws.FILTER(OFFSET($O$15,0,$DO345,$B$8,1),OFFSET($M$15,0,0,$B$8,1))=FJ$14))   /   SUM(OFFSET($BO$15,0,0,$B$14,1)) + $B$18/($B$19*$B$19*($DN345&lt;&gt;$DO345) + $B$19*($DN345=$DO345))</f>
        <v>0.24287037037037026</v>
      </c>
      <c r="FK345" s="10" cm="1">
        <f t="array" aca="1" ref="FK345" ca="1">(1-$B$18)*SUMPRODUCT(OFFSET($BO$15,0,0,$B$14,1), 1*(_xlfn._xlws.FILTER(OFFSET($O$15,0,$DN345,$B$8,1),OFFSET($M$15,0,0,$B$8,1))=FK$13), 1*(_xlfn._xlws.FILTER(OFFSET($O$15,0,$DO345,$B$8,1),OFFSET($M$15,0,0,$B$8,1))=FK$14))   /   SUM(OFFSET($BO$15,0,0,$B$14,1)) + $B$18/($B$19*$B$19*($DN345&lt;&gt;$DO345) + $B$19*($DN345=$DO345))</f>
        <v>3.7037037037037035E-4</v>
      </c>
      <c r="FL345" s="10" cm="1">
        <f t="array" aca="1" ref="FL345" ca="1">(1-$B$18)*SUMPRODUCT(OFFSET($BO$15,0,0,$B$14,1), 1*(_xlfn._xlws.FILTER(OFFSET($O$15,0,$DN345,$B$8,1),OFFSET($M$15,0,0,$B$8,1))=FL$13), 1*(_xlfn._xlws.FILTER(OFFSET($O$15,0,$DO345,$B$8,1),OFFSET($M$15,0,0,$B$8,1))=FL$14))   /   SUM(OFFSET($BO$15,0,0,$B$14,1)) + $B$18/($B$19*$B$19*($DN345&lt;&gt;$DO345) + $B$19*($DN345=$DO345))</f>
        <v>3.7037037037037035E-4</v>
      </c>
      <c r="FM345" s="10" cm="1">
        <f t="array" aca="1" ref="FM345" ca="1">(1-$B$18)*SUMPRODUCT(OFFSET($BO$15,0,0,$B$14,1), 1*(_xlfn._xlws.FILTER(OFFSET($O$15,0,$DN345,$B$8,1),OFFSET($M$15,0,0,$B$8,1))=FM$13), 1*(_xlfn._xlws.FILTER(OFFSET($O$15,0,$DO345,$B$8,1),OFFSET($M$15,0,0,$B$8,1))=FM$14))   /   SUM(OFFSET($BO$15,0,0,$B$14,1)) + $B$18/($B$19*$B$19*($DN345&lt;&gt;$DO345) + $B$19*($DN345=$DO345))</f>
        <v>3.7037037037037035E-4</v>
      </c>
      <c r="FN345" s="10" cm="1">
        <f t="array" aca="1" ref="FN345" ca="1">(1-$B$18)*SUMPRODUCT(OFFSET($BO$15,0,0,$B$14,1), 1*(_xlfn._xlws.FILTER(OFFSET($O$15,0,$DN345,$B$8,1),OFFSET($M$15,0,0,$B$8,1))=FN$13), 1*(_xlfn._xlws.FILTER(OFFSET($O$15,0,$DO345,$B$8,1),OFFSET($M$15,0,0,$B$8,1))=FN$14))   /   SUM(OFFSET($BO$15,0,0,$B$14,1)) + $B$18/($B$19*$B$19*($DN345&lt;&gt;$DO345) + $B$19*($DN345=$DO345))</f>
        <v>3.7037037037037035E-4</v>
      </c>
      <c r="FO345" s="10" cm="1">
        <f t="array" aca="1" ref="FO345" ca="1">(1-$B$18)*SUMPRODUCT(OFFSET($BO$15,0,0,$B$14,1), 1*(_xlfn._xlws.FILTER(OFFSET($O$15,0,$DN345,$B$8,1),OFFSET($M$15,0,0,$B$8,1))=FO$13), 1*(_xlfn._xlws.FILTER(OFFSET($O$15,0,$DO345,$B$8,1),OFFSET($M$15,0,0,$B$8,1))=FO$14))   /   SUM(OFFSET($BO$15,0,0,$B$14,1)) + $B$18/($B$19*$B$19*($DN345&lt;&gt;$DO345) + $B$19*($DN345=$DO345))</f>
        <v>3.7037037037037035E-4</v>
      </c>
      <c r="FP345" s="10" cm="1">
        <f t="array" aca="1" ref="FP345" ca="1">(1-$B$18)*SUMPRODUCT(OFFSET($BO$15,0,0,$B$14,1), 1*(_xlfn._xlws.FILTER(OFFSET($O$15,0,$DN345,$B$8,1),OFFSET($M$15,0,0,$B$8,1))=FP$13), 1*(_xlfn._xlws.FILTER(OFFSET($O$15,0,$DO345,$B$8,1),OFFSET($M$15,0,0,$B$8,1))=FP$14))   /   SUM(OFFSET($BO$15,0,0,$B$14,1)) + $B$18/($B$19*$B$19*($DN345&lt;&gt;$DO345) + $B$19*($DN345=$DO345))</f>
        <v>3.7037037037037035E-4</v>
      </c>
      <c r="FQ345" s="10" cm="1">
        <f t="array" aca="1" ref="FQ345" ca="1">(1-$B$18)*SUMPRODUCT(OFFSET($BO$15,0,0,$B$14,1), 1*(_xlfn._xlws.FILTER(OFFSET($O$15,0,$DN345,$B$8,1),OFFSET($M$15,0,0,$B$8,1))=FQ$13), 1*(_xlfn._xlws.FILTER(OFFSET($O$15,0,$DO345,$B$8,1),OFFSET($M$15,0,0,$B$8,1))=FQ$14))   /   SUM(OFFSET($BO$15,0,0,$B$14,1)) + $B$18/($B$19*$B$19*($DN345&lt;&gt;$DO345) + $B$19*($DN345=$DO345))</f>
        <v>3.7037037037037035E-4</v>
      </c>
      <c r="FR345" s="10" cm="1">
        <f t="array" aca="1" ref="FR345" ca="1">(1-$B$18)*SUMPRODUCT(OFFSET($BO$15,0,0,$B$14,1), 1*(_xlfn._xlws.FILTER(OFFSET($O$15,0,$DN345,$B$8,1),OFFSET($M$15,0,0,$B$8,1))=FR$13), 1*(_xlfn._xlws.FILTER(OFFSET($O$15,0,$DO345,$B$8,1),OFFSET($M$15,0,0,$B$8,1))=FR$14))   /   SUM(OFFSET($BO$15,0,0,$B$14,1)) + $B$18/($B$19*$B$19*($DN345&lt;&gt;$DO345) + $B$19*($DN345=$DO345))</f>
        <v>0.48537037037037012</v>
      </c>
      <c r="FS345" s="10" cm="1">
        <f t="array" aca="1" ref="FS345" ca="1">(1-$B$18)*SUMPRODUCT(OFFSET($BO$15,0,0,$B$14,1), 1*(_xlfn._xlws.FILTER(OFFSET($O$15,0,$DN345,$B$8,1),OFFSET($M$15,0,0,$B$8,1))=FS$13), 1*(_xlfn._xlws.FILTER(OFFSET($O$15,0,$DO345,$B$8,1),OFFSET($M$15,0,0,$B$8,1))=FS$14))   /   SUM(OFFSET($BO$15,0,0,$B$14,1)) + $B$18/($B$19*$B$19*($DN345&lt;&gt;$DO345) + $B$19*($DN345=$DO345))</f>
        <v>3.7037037037037035E-4</v>
      </c>
      <c r="FT345" s="10" cm="1">
        <f t="array" aca="1" ref="FT345" ca="1">(1-$B$18)*SUMPRODUCT(OFFSET($BO$15,0,0,$B$14,1), 1*(_xlfn._xlws.FILTER(OFFSET($O$15,0,$DN345,$B$8,1),OFFSET($M$15,0,0,$B$8,1))=FT$13), 1*(_xlfn._xlws.FILTER(OFFSET($O$15,0,$DO345,$B$8,1),OFFSET($M$15,0,0,$B$8,1))=FT$14))   /   SUM(OFFSET($BO$15,0,0,$B$14,1)) + $B$18/($B$19*$B$19*($DN345&lt;&gt;$DO345) + $B$19*($DN345=$DO345))</f>
        <v>3.7037037037037035E-4</v>
      </c>
      <c r="FU345" s="10" cm="1">
        <f t="array" aca="1" ref="FU345" ca="1">(1-$B$18)*SUMPRODUCT(OFFSET($BO$15,0,0,$B$14,1), 1*(_xlfn._xlws.FILTER(OFFSET($O$15,0,$DN345,$B$8,1),OFFSET($M$15,0,0,$B$8,1))=FU$13), 1*(_xlfn._xlws.FILTER(OFFSET($O$15,0,$DO345,$B$8,1),OFFSET($M$15,0,0,$B$8,1))=FU$14))   /   SUM(OFFSET($BO$15,0,0,$B$14,1)) + $B$18/($B$19*$B$19*($DN345&lt;&gt;$DO345) + $B$19*($DN345=$DO345))</f>
        <v>3.7037037037037035E-4</v>
      </c>
      <c r="FV345" s="10" cm="1">
        <f t="array" aca="1" ref="FV345" ca="1">(1-$B$18)*SUMPRODUCT(OFFSET($BO$15,0,0,$B$14,1), 1*(_xlfn._xlws.FILTER(OFFSET($O$15,0,$DN345,$B$8,1),OFFSET($M$15,0,0,$B$8,1))=FV$13), 1*(_xlfn._xlws.FILTER(OFFSET($O$15,0,$DO345,$B$8,1),OFFSET($M$15,0,0,$B$8,1))=FV$14))   /   SUM(OFFSET($BO$15,0,0,$B$14,1)) + $B$18/($B$19*$B$19*($DN345&lt;&gt;$DO345) + $B$19*($DN345=$DO345))</f>
        <v>3.7037037037037035E-4</v>
      </c>
      <c r="FW345" s="10" cm="1">
        <f t="array" aca="1" ref="FW345" ca="1">(1-$B$18)*SUMPRODUCT(OFFSET($BO$15,0,0,$B$14,1), 1*(_xlfn._xlws.FILTER(OFFSET($O$15,0,$DN345,$B$8,1),OFFSET($M$15,0,0,$B$8,1))=FW$13), 1*(_xlfn._xlws.FILTER(OFFSET($O$15,0,$DO345,$B$8,1),OFFSET($M$15,0,0,$B$8,1))=FW$14))   /   SUM(OFFSET($BO$15,0,0,$B$14,1)) + $B$18/($B$19*$B$19*($DN345&lt;&gt;$DO345) + $B$19*($DN345=$DO345))</f>
        <v>3.7037037037037035E-4</v>
      </c>
      <c r="FX345" s="10" cm="1">
        <f t="array" aca="1" ref="FX345" ca="1">(1-$B$18)*SUMPRODUCT(OFFSET($BO$15,0,0,$B$14,1), 1*(_xlfn._xlws.FILTER(OFFSET($O$15,0,$DN345,$B$8,1),OFFSET($M$15,0,0,$B$8,1))=FX$13), 1*(_xlfn._xlws.FILTER(OFFSET($O$15,0,$DO345,$B$8,1),OFFSET($M$15,0,0,$B$8,1))=FX$14))   /   SUM(OFFSET($BO$15,0,0,$B$14,1)) + $B$18/($B$19*$B$19*($DN345&lt;&gt;$DO345) + $B$19*($DN345=$DO345))</f>
        <v>3.7037037037037035E-4</v>
      </c>
      <c r="FY345" s="10" cm="1">
        <f t="array" aca="1" ref="FY345" ca="1">(1-$B$18)*SUMPRODUCT(OFFSET($BO$15,0,0,$B$14,1), 1*(_xlfn._xlws.FILTER(OFFSET($O$15,0,$DN345,$B$8,1),OFFSET($M$15,0,0,$B$8,1))=FY$13), 1*(_xlfn._xlws.FILTER(OFFSET($O$15,0,$DO345,$B$8,1),OFFSET($M$15,0,0,$B$8,1))=FY$14))   /   SUM(OFFSET($BO$15,0,0,$B$14,1)) + $B$18/($B$19*$B$19*($DN345&lt;&gt;$DO345) + $B$19*($DN345=$DO345))</f>
        <v>3.7037037037037035E-4</v>
      </c>
      <c r="FZ345" s="10" cm="1">
        <f t="array" aca="1" ref="FZ345" ca="1">(1-$B$18)*SUMPRODUCT(OFFSET($BO$15,0,0,$B$14,1), 1*(_xlfn._xlws.FILTER(OFFSET($O$15,0,$DN345,$B$8,1),OFFSET($M$15,0,0,$B$8,1))=FZ$13), 1*(_xlfn._xlws.FILTER(OFFSET($O$15,0,$DO345,$B$8,1),OFFSET($M$15,0,0,$B$8,1))=FZ$14))   /   SUM(OFFSET($BO$15,0,0,$B$14,1)) + $B$18/($B$19*$B$19*($DN345&lt;&gt;$DO345) + $B$19*($DN345=$DO345))</f>
        <v>3.7037037037037035E-4</v>
      </c>
      <c r="GA345" s="10" cm="1">
        <f t="array" aca="1" ref="GA345" ca="1">(1-$B$18)*SUMPRODUCT(OFFSET($BO$15,0,0,$B$14,1), 1*(_xlfn._xlws.FILTER(OFFSET($O$15,0,$DN345,$B$8,1),OFFSET($M$15,0,0,$B$8,1))=GA$13), 1*(_xlfn._xlws.FILTER(OFFSET($O$15,0,$DO345,$B$8,1),OFFSET($M$15,0,0,$B$8,1))=GA$14))   /   SUM(OFFSET($BO$15,0,0,$B$14,1)) + $B$18/($B$19*$B$19*($DN345&lt;&gt;$DO345) + $B$19*($DN345=$DO345))</f>
        <v>3.7037037037037035E-4</v>
      </c>
    </row>
    <row r="346" spans="118:183" x14ac:dyDescent="0.2">
      <c r="DN346" cm="1">
        <f t="array" aca="1" ref="DN346" ca="1">INDEX(_xlfn.ANCHORARRAY($CP$15), 1 + INT((ROWS($DO$15:$DO346) - 1) / ROWS(_xlfn.ANCHORARRAY($CP$15))))</f>
        <v>20</v>
      </c>
      <c r="DO346" cm="1">
        <f t="array" aca="1" ref="DO346" ca="1">INDEX(_xlfn.ANCHORARRAY($CP$15),1+MOD(ROWS($DO$15:$DO346)-1,ROWS(_xlfn.ANCHORARRAY($CP$15))))</f>
        <v>8</v>
      </c>
      <c r="DP346" s="10" cm="1">
        <f t="array" aca="1" ref="DP346" ca="1">(1-$B$18)*SUMPRODUCT(OFFSET($BO$15,0,0,$B$14,1), 1*(_xlfn._xlws.FILTER(OFFSET($O$15,0,$DN346,$B$8,1),OFFSET($M$15,0,0,$B$8,1))=DP$13), 1*(_xlfn._xlws.FILTER(OFFSET($O$15,0,$DO346,$B$8,1),OFFSET($M$15,0,0,$B$8,1))=DP$14))   /   SUM(OFFSET($BO$15,0,0,$B$14,1)) + $B$18/($B$19*$B$19*($DN346&lt;&gt;$DO346) + $B$19*($DN346=$DO346))</f>
        <v>3.7037037037037035E-4</v>
      </c>
      <c r="DQ346" s="10" cm="1">
        <f t="array" aca="1" ref="DQ346" ca="1">(1-$B$18)*SUMPRODUCT(OFFSET($BO$15,0,0,$B$14,1), 1*(_xlfn._xlws.FILTER(OFFSET($O$15,0,$DN346,$B$8,1),OFFSET($M$15,0,0,$B$8,1))=DQ$13), 1*(_xlfn._xlws.FILTER(OFFSET($O$15,0,$DO346,$B$8,1),OFFSET($M$15,0,0,$B$8,1))=DQ$14))   /   SUM(OFFSET($BO$15,0,0,$B$14,1)) + $B$18/($B$19*$B$19*($DN346&lt;&gt;$DO346) + $B$19*($DN346=$DO346))</f>
        <v>3.7037037037037035E-4</v>
      </c>
      <c r="DR346" s="10" cm="1">
        <f t="array" aca="1" ref="DR346" ca="1">(1-$B$18)*SUMPRODUCT(OFFSET($BO$15,0,0,$B$14,1), 1*(_xlfn._xlws.FILTER(OFFSET($O$15,0,$DN346,$B$8,1),OFFSET($M$15,0,0,$B$8,1))=DR$13), 1*(_xlfn._xlws.FILTER(OFFSET($O$15,0,$DO346,$B$8,1),OFFSET($M$15,0,0,$B$8,1))=DR$14))   /   SUM(OFFSET($BO$15,0,0,$B$14,1)) + $B$18/($B$19*$B$19*($DN346&lt;&gt;$DO346) + $B$19*($DN346=$DO346))</f>
        <v>3.7037037037037035E-4</v>
      </c>
      <c r="DS346" s="10" cm="1">
        <f t="array" aca="1" ref="DS346" ca="1">(1-$B$18)*SUMPRODUCT(OFFSET($BO$15,0,0,$B$14,1), 1*(_xlfn._xlws.FILTER(OFFSET($O$15,0,$DN346,$B$8,1),OFFSET($M$15,0,0,$B$8,1))=DS$13), 1*(_xlfn._xlws.FILTER(OFFSET($O$15,0,$DO346,$B$8,1),OFFSET($M$15,0,0,$B$8,1))=DS$14))   /   SUM(OFFSET($BO$15,0,0,$B$14,1)) + $B$18/($B$19*$B$19*($DN346&lt;&gt;$DO346) + $B$19*($DN346=$DO346))</f>
        <v>3.7037037037037035E-4</v>
      </c>
      <c r="DT346" s="10" cm="1">
        <f t="array" aca="1" ref="DT346" ca="1">(1-$B$18)*SUMPRODUCT(OFFSET($BO$15,0,0,$B$14,1), 1*(_xlfn._xlws.FILTER(OFFSET($O$15,0,$DN346,$B$8,1),OFFSET($M$15,0,0,$B$8,1))=DT$13), 1*(_xlfn._xlws.FILTER(OFFSET($O$15,0,$DO346,$B$8,1),OFFSET($M$15,0,0,$B$8,1))=DT$14))   /   SUM(OFFSET($BO$15,0,0,$B$14,1)) + $B$18/($B$19*$B$19*($DN346&lt;&gt;$DO346) + $B$19*($DN346=$DO346))</f>
        <v>3.7037037037037035E-4</v>
      </c>
      <c r="DU346" s="10" cm="1">
        <f t="array" aca="1" ref="DU346" ca="1">(1-$B$18)*SUMPRODUCT(OFFSET($BO$15,0,0,$B$14,1), 1*(_xlfn._xlws.FILTER(OFFSET($O$15,0,$DN346,$B$8,1),OFFSET($M$15,0,0,$B$8,1))=DU$13), 1*(_xlfn._xlws.FILTER(OFFSET($O$15,0,$DO346,$B$8,1),OFFSET($M$15,0,0,$B$8,1))=DU$14))   /   SUM(OFFSET($BO$15,0,0,$B$14,1)) + $B$18/($B$19*$B$19*($DN346&lt;&gt;$DO346) + $B$19*($DN346=$DO346))</f>
        <v>3.7037037037037035E-4</v>
      </c>
      <c r="DV346" s="10" cm="1">
        <f t="array" aca="1" ref="DV346" ca="1">(1-$B$18)*SUMPRODUCT(OFFSET($BO$15,0,0,$B$14,1), 1*(_xlfn._xlws.FILTER(OFFSET($O$15,0,$DN346,$B$8,1),OFFSET($M$15,0,0,$B$8,1))=DV$13), 1*(_xlfn._xlws.FILTER(OFFSET($O$15,0,$DO346,$B$8,1),OFFSET($M$15,0,0,$B$8,1))=DV$14))   /   SUM(OFFSET($BO$15,0,0,$B$14,1)) + $B$18/($B$19*$B$19*($DN346&lt;&gt;$DO346) + $B$19*($DN346=$DO346))</f>
        <v>3.7037037037037035E-4</v>
      </c>
      <c r="DW346" s="10" cm="1">
        <f t="array" aca="1" ref="DW346" ca="1">(1-$B$18)*SUMPRODUCT(OFFSET($BO$15,0,0,$B$14,1), 1*(_xlfn._xlws.FILTER(OFFSET($O$15,0,$DN346,$B$8,1),OFFSET($M$15,0,0,$B$8,1))=DW$13), 1*(_xlfn._xlws.FILTER(OFFSET($O$15,0,$DO346,$B$8,1),OFFSET($M$15,0,0,$B$8,1))=DW$14))   /   SUM(OFFSET($BO$15,0,0,$B$14,1)) + $B$18/($B$19*$B$19*($DN346&lt;&gt;$DO346) + $B$19*($DN346=$DO346))</f>
        <v>3.7037037037037035E-4</v>
      </c>
      <c r="DX346" s="10" cm="1">
        <f t="array" aca="1" ref="DX346" ca="1">(1-$B$18)*SUMPRODUCT(OFFSET($BO$15,0,0,$B$14,1), 1*(_xlfn._xlws.FILTER(OFFSET($O$15,0,$DN346,$B$8,1),OFFSET($M$15,0,0,$B$8,1))=DX$13), 1*(_xlfn._xlws.FILTER(OFFSET($O$15,0,$DO346,$B$8,1),OFFSET($M$15,0,0,$B$8,1))=DX$14))   /   SUM(OFFSET($BO$15,0,0,$B$14,1)) + $B$18/($B$19*$B$19*($DN346&lt;&gt;$DO346) + $B$19*($DN346=$DO346))</f>
        <v>3.7037037037037035E-4</v>
      </c>
      <c r="DY346" s="10" cm="1">
        <f t="array" aca="1" ref="DY346" ca="1">(1-$B$18)*SUMPRODUCT(OFFSET($BO$15,0,0,$B$14,1), 1*(_xlfn._xlws.FILTER(OFFSET($O$15,0,$DN346,$B$8,1),OFFSET($M$15,0,0,$B$8,1))=DY$13), 1*(_xlfn._xlws.FILTER(OFFSET($O$15,0,$DO346,$B$8,1),OFFSET($M$15,0,0,$B$8,1))=DY$14))   /   SUM(OFFSET($BO$15,0,0,$B$14,1)) + $B$18/($B$19*$B$19*($DN346&lt;&gt;$DO346) + $B$19*($DN346=$DO346))</f>
        <v>3.7037037037037035E-4</v>
      </c>
      <c r="DZ346" s="10" cm="1">
        <f t="array" aca="1" ref="DZ346" ca="1">(1-$B$18)*SUMPRODUCT(OFFSET($BO$15,0,0,$B$14,1), 1*(_xlfn._xlws.FILTER(OFFSET($O$15,0,$DN346,$B$8,1),OFFSET($M$15,0,0,$B$8,1))=DZ$13), 1*(_xlfn._xlws.FILTER(OFFSET($O$15,0,$DO346,$B$8,1),OFFSET($M$15,0,0,$B$8,1))=DZ$14))   /   SUM(OFFSET($BO$15,0,0,$B$14,1)) + $B$18/($B$19*$B$19*($DN346&lt;&gt;$DO346) + $B$19*($DN346=$DO346))</f>
        <v>3.7037037037037035E-4</v>
      </c>
      <c r="EA346" s="10" cm="1">
        <f t="array" aca="1" ref="EA346" ca="1">(1-$B$18)*SUMPRODUCT(OFFSET($BO$15,0,0,$B$14,1), 1*(_xlfn._xlws.FILTER(OFFSET($O$15,0,$DN346,$B$8,1),OFFSET($M$15,0,0,$B$8,1))=EA$13), 1*(_xlfn._xlws.FILTER(OFFSET($O$15,0,$DO346,$B$8,1),OFFSET($M$15,0,0,$B$8,1))=EA$14))   /   SUM(OFFSET($BO$15,0,0,$B$14,1)) + $B$18/($B$19*$B$19*($DN346&lt;&gt;$DO346) + $B$19*($DN346=$DO346))</f>
        <v>3.7037037037037035E-4</v>
      </c>
      <c r="EB346" s="10" cm="1">
        <f t="array" aca="1" ref="EB346" ca="1">(1-$B$18)*SUMPRODUCT(OFFSET($BO$15,0,0,$B$14,1), 1*(_xlfn._xlws.FILTER(OFFSET($O$15,0,$DN346,$B$8,1),OFFSET($M$15,0,0,$B$8,1))=EB$13), 1*(_xlfn._xlws.FILTER(OFFSET($O$15,0,$DO346,$B$8,1),OFFSET($M$15,0,0,$B$8,1))=EB$14))   /   SUM(OFFSET($BO$15,0,0,$B$14,1)) + $B$18/($B$19*$B$19*($DN346&lt;&gt;$DO346) + $B$19*($DN346=$DO346))</f>
        <v>3.7037037037037035E-4</v>
      </c>
      <c r="EC346" s="10" cm="1">
        <f t="array" aca="1" ref="EC346" ca="1">(1-$B$18)*SUMPRODUCT(OFFSET($BO$15,0,0,$B$14,1), 1*(_xlfn._xlws.FILTER(OFFSET($O$15,0,$DN346,$B$8,1),OFFSET($M$15,0,0,$B$8,1))=EC$13), 1*(_xlfn._xlws.FILTER(OFFSET($O$15,0,$DO346,$B$8,1),OFFSET($M$15,0,0,$B$8,1))=EC$14))   /   SUM(OFFSET($BO$15,0,0,$B$14,1)) + $B$18/($B$19*$B$19*($DN346&lt;&gt;$DO346) + $B$19*($DN346=$DO346))</f>
        <v>3.7037037037037035E-4</v>
      </c>
      <c r="ED346" s="10" cm="1">
        <f t="array" aca="1" ref="ED346" ca="1">(1-$B$18)*SUMPRODUCT(OFFSET($BO$15,0,0,$B$14,1), 1*(_xlfn._xlws.FILTER(OFFSET($O$15,0,$DN346,$B$8,1),OFFSET($M$15,0,0,$B$8,1))=ED$13), 1*(_xlfn._xlws.FILTER(OFFSET($O$15,0,$DO346,$B$8,1),OFFSET($M$15,0,0,$B$8,1))=ED$14))   /   SUM(OFFSET($BO$15,0,0,$B$14,1)) + $B$18/($B$19*$B$19*($DN346&lt;&gt;$DO346) + $B$19*($DN346=$DO346))</f>
        <v>3.7037037037037035E-4</v>
      </c>
      <c r="EE346" s="10" cm="1">
        <f t="array" aca="1" ref="EE346" ca="1">(1-$B$18)*SUMPRODUCT(OFFSET($BO$15,0,0,$B$14,1), 1*(_xlfn._xlws.FILTER(OFFSET($O$15,0,$DN346,$B$8,1),OFFSET($M$15,0,0,$B$8,1))=EE$13), 1*(_xlfn._xlws.FILTER(OFFSET($O$15,0,$DO346,$B$8,1),OFFSET($M$15,0,0,$B$8,1))=EE$14))   /   SUM(OFFSET($BO$15,0,0,$B$14,1)) + $B$18/($B$19*$B$19*($DN346&lt;&gt;$DO346) + $B$19*($DN346=$DO346))</f>
        <v>3.7037037037037035E-4</v>
      </c>
      <c r="EF346" s="10" cm="1">
        <f t="array" aca="1" ref="EF346" ca="1">(1-$B$18)*SUMPRODUCT(OFFSET($BO$15,0,0,$B$14,1), 1*(_xlfn._xlws.FILTER(OFFSET($O$15,0,$DN346,$B$8,1),OFFSET($M$15,0,0,$B$8,1))=EF$13), 1*(_xlfn._xlws.FILTER(OFFSET($O$15,0,$DO346,$B$8,1),OFFSET($M$15,0,0,$B$8,1))=EF$14))   /   SUM(OFFSET($BO$15,0,0,$B$14,1)) + $B$18/($B$19*$B$19*($DN346&lt;&gt;$DO346) + $B$19*($DN346=$DO346))</f>
        <v>3.7037037037037035E-4</v>
      </c>
      <c r="EG346" s="10" cm="1">
        <f t="array" aca="1" ref="EG346" ca="1">(1-$B$18)*SUMPRODUCT(OFFSET($BO$15,0,0,$B$14,1), 1*(_xlfn._xlws.FILTER(OFFSET($O$15,0,$DN346,$B$8,1),OFFSET($M$15,0,0,$B$8,1))=EG$13), 1*(_xlfn._xlws.FILTER(OFFSET($O$15,0,$DO346,$B$8,1),OFFSET($M$15,0,0,$B$8,1))=EG$14))   /   SUM(OFFSET($BO$15,0,0,$B$14,1)) + $B$18/($B$19*$B$19*($DN346&lt;&gt;$DO346) + $B$19*($DN346=$DO346))</f>
        <v>3.7037037037037035E-4</v>
      </c>
      <c r="EH346" s="10" cm="1">
        <f t="array" aca="1" ref="EH346" ca="1">(1-$B$18)*SUMPRODUCT(OFFSET($BO$15,0,0,$B$14,1), 1*(_xlfn._xlws.FILTER(OFFSET($O$15,0,$DN346,$B$8,1),OFFSET($M$15,0,0,$B$8,1))=EH$13), 1*(_xlfn._xlws.FILTER(OFFSET($O$15,0,$DO346,$B$8,1),OFFSET($M$15,0,0,$B$8,1))=EH$14))   /   SUM(OFFSET($BO$15,0,0,$B$14,1)) + $B$18/($B$19*$B$19*($DN346&lt;&gt;$DO346) + $B$19*($DN346=$DO346))</f>
        <v>3.7037037037037035E-4</v>
      </c>
      <c r="EI346" s="10" cm="1">
        <f t="array" aca="1" ref="EI346" ca="1">(1-$B$18)*SUMPRODUCT(OFFSET($BO$15,0,0,$B$14,1), 1*(_xlfn._xlws.FILTER(OFFSET($O$15,0,$DN346,$B$8,1),OFFSET($M$15,0,0,$B$8,1))=EI$13), 1*(_xlfn._xlws.FILTER(OFFSET($O$15,0,$DO346,$B$8,1),OFFSET($M$15,0,0,$B$8,1))=EI$14))   /   SUM(OFFSET($BO$15,0,0,$B$14,1)) + $B$18/($B$19*$B$19*($DN346&lt;&gt;$DO346) + $B$19*($DN346=$DO346))</f>
        <v>3.7037037037037035E-4</v>
      </c>
      <c r="EJ346" s="10" cm="1">
        <f t="array" aca="1" ref="EJ346" ca="1">(1-$B$18)*SUMPRODUCT(OFFSET($BO$15,0,0,$B$14,1), 1*(_xlfn._xlws.FILTER(OFFSET($O$15,0,$DN346,$B$8,1),OFFSET($M$15,0,0,$B$8,1))=EJ$13), 1*(_xlfn._xlws.FILTER(OFFSET($O$15,0,$DO346,$B$8,1),OFFSET($M$15,0,0,$B$8,1))=EJ$14))   /   SUM(OFFSET($BO$15,0,0,$B$14,1)) + $B$18/($B$19*$B$19*($DN346&lt;&gt;$DO346) + $B$19*($DN346=$DO346))</f>
        <v>3.7037037037037035E-4</v>
      </c>
      <c r="EK346" s="10" cm="1">
        <f t="array" aca="1" ref="EK346" ca="1">(1-$B$18)*SUMPRODUCT(OFFSET($BO$15,0,0,$B$14,1), 1*(_xlfn._xlws.FILTER(OFFSET($O$15,0,$DN346,$B$8,1),OFFSET($M$15,0,0,$B$8,1))=EK$13), 1*(_xlfn._xlws.FILTER(OFFSET($O$15,0,$DO346,$B$8,1),OFFSET($M$15,0,0,$B$8,1))=EK$14))   /   SUM(OFFSET($BO$15,0,0,$B$14,1)) + $B$18/($B$19*$B$19*($DN346&lt;&gt;$DO346) + $B$19*($DN346=$DO346))</f>
        <v>3.7037037037037035E-4</v>
      </c>
      <c r="EL346" s="10" cm="1">
        <f t="array" aca="1" ref="EL346" ca="1">(1-$B$18)*SUMPRODUCT(OFFSET($BO$15,0,0,$B$14,1), 1*(_xlfn._xlws.FILTER(OFFSET($O$15,0,$DN346,$B$8,1),OFFSET($M$15,0,0,$B$8,1))=EL$13), 1*(_xlfn._xlws.FILTER(OFFSET($O$15,0,$DO346,$B$8,1),OFFSET($M$15,0,0,$B$8,1))=EL$14))   /   SUM(OFFSET($BO$15,0,0,$B$14,1)) + $B$18/($B$19*$B$19*($DN346&lt;&gt;$DO346) + $B$19*($DN346=$DO346))</f>
        <v>3.7037037037037035E-4</v>
      </c>
      <c r="EM346" s="10" cm="1">
        <f t="array" aca="1" ref="EM346" ca="1">(1-$B$18)*SUMPRODUCT(OFFSET($BO$15,0,0,$B$14,1), 1*(_xlfn._xlws.FILTER(OFFSET($O$15,0,$DN346,$B$8,1),OFFSET($M$15,0,0,$B$8,1))=EM$13), 1*(_xlfn._xlws.FILTER(OFFSET($O$15,0,$DO346,$B$8,1),OFFSET($M$15,0,0,$B$8,1))=EM$14))   /   SUM(OFFSET($BO$15,0,0,$B$14,1)) + $B$18/($B$19*$B$19*($DN346&lt;&gt;$DO346) + $B$19*($DN346=$DO346))</f>
        <v>3.7037037037037035E-4</v>
      </c>
      <c r="EN346" s="10" cm="1">
        <f t="array" aca="1" ref="EN346" ca="1">(1-$B$18)*SUMPRODUCT(OFFSET($BO$15,0,0,$B$14,1), 1*(_xlfn._xlws.FILTER(OFFSET($O$15,0,$DN346,$B$8,1),OFFSET($M$15,0,0,$B$8,1))=EN$13), 1*(_xlfn._xlws.FILTER(OFFSET($O$15,0,$DO346,$B$8,1),OFFSET($M$15,0,0,$B$8,1))=EN$14))   /   SUM(OFFSET($BO$15,0,0,$B$14,1)) + $B$18/($B$19*$B$19*($DN346&lt;&gt;$DO346) + $B$19*($DN346=$DO346))</f>
        <v>3.7037037037037035E-4</v>
      </c>
      <c r="EO346" s="10" cm="1">
        <f t="array" aca="1" ref="EO346" ca="1">(1-$B$18)*SUMPRODUCT(OFFSET($BO$15,0,0,$B$14,1), 1*(_xlfn._xlws.FILTER(OFFSET($O$15,0,$DN346,$B$8,1),OFFSET($M$15,0,0,$B$8,1))=EO$13), 1*(_xlfn._xlws.FILTER(OFFSET($O$15,0,$DO346,$B$8,1),OFFSET($M$15,0,0,$B$8,1))=EO$14))   /   SUM(OFFSET($BO$15,0,0,$B$14,1)) + $B$18/($B$19*$B$19*($DN346&lt;&gt;$DO346) + $B$19*($DN346=$DO346))</f>
        <v>3.7037037037037035E-4</v>
      </c>
      <c r="EP346" s="10" cm="1">
        <f t="array" aca="1" ref="EP346" ca="1">(1-$B$18)*SUMPRODUCT(OFFSET($BO$15,0,0,$B$14,1), 1*(_xlfn._xlws.FILTER(OFFSET($O$15,0,$DN346,$B$8,1),OFFSET($M$15,0,0,$B$8,1))=EP$13), 1*(_xlfn._xlws.FILTER(OFFSET($O$15,0,$DO346,$B$8,1),OFFSET($M$15,0,0,$B$8,1))=EP$14))   /   SUM(OFFSET($BO$15,0,0,$B$14,1)) + $B$18/($B$19*$B$19*($DN346&lt;&gt;$DO346) + $B$19*($DN346=$DO346))</f>
        <v>3.7037037037037035E-4</v>
      </c>
      <c r="EQ346" s="10" cm="1">
        <f t="array" aca="1" ref="EQ346" ca="1">(1-$B$18)*SUMPRODUCT(OFFSET($BO$15,0,0,$B$14,1), 1*(_xlfn._xlws.FILTER(OFFSET($O$15,0,$DN346,$B$8,1),OFFSET($M$15,0,0,$B$8,1))=EQ$13), 1*(_xlfn._xlws.FILTER(OFFSET($O$15,0,$DO346,$B$8,1),OFFSET($M$15,0,0,$B$8,1))=EQ$14))   /   SUM(OFFSET($BO$15,0,0,$B$14,1)) + $B$18/($B$19*$B$19*($DN346&lt;&gt;$DO346) + $B$19*($DN346=$DO346))</f>
        <v>3.7037037037037035E-4</v>
      </c>
      <c r="ER346" s="10" cm="1">
        <f t="array" aca="1" ref="ER346" ca="1">(1-$B$18)*SUMPRODUCT(OFFSET($BO$15,0,0,$B$14,1), 1*(_xlfn._xlws.FILTER(OFFSET($O$15,0,$DN346,$B$8,1),OFFSET($M$15,0,0,$B$8,1))=ER$13), 1*(_xlfn._xlws.FILTER(OFFSET($O$15,0,$DO346,$B$8,1),OFFSET($M$15,0,0,$B$8,1))=ER$14))   /   SUM(OFFSET($BO$15,0,0,$B$14,1)) + $B$18/($B$19*$B$19*($DN346&lt;&gt;$DO346) + $B$19*($DN346=$DO346))</f>
        <v>3.7037037037037035E-4</v>
      </c>
      <c r="ES346" s="10" cm="1">
        <f t="array" aca="1" ref="ES346" ca="1">(1-$B$18)*SUMPRODUCT(OFFSET($BO$15,0,0,$B$14,1), 1*(_xlfn._xlws.FILTER(OFFSET($O$15,0,$DN346,$B$8,1),OFFSET($M$15,0,0,$B$8,1))=ES$13), 1*(_xlfn._xlws.FILTER(OFFSET($O$15,0,$DO346,$B$8,1),OFFSET($M$15,0,0,$B$8,1))=ES$14))   /   SUM(OFFSET($BO$15,0,0,$B$14,1)) + $B$18/($B$19*$B$19*($DN346&lt;&gt;$DO346) + $B$19*($DN346=$DO346))</f>
        <v>3.7037037037037035E-4</v>
      </c>
      <c r="ET346" s="10" cm="1">
        <f t="array" aca="1" ref="ET346" ca="1">(1-$B$18)*SUMPRODUCT(OFFSET($BO$15,0,0,$B$14,1), 1*(_xlfn._xlws.FILTER(OFFSET($O$15,0,$DN346,$B$8,1),OFFSET($M$15,0,0,$B$8,1))=ET$13), 1*(_xlfn._xlws.FILTER(OFFSET($O$15,0,$DO346,$B$8,1),OFFSET($M$15,0,0,$B$8,1))=ET$14))   /   SUM(OFFSET($BO$15,0,0,$B$14,1)) + $B$18/($B$19*$B$19*($DN346&lt;&gt;$DO346) + $B$19*($DN346=$DO346))</f>
        <v>3.7037037037037035E-4</v>
      </c>
      <c r="EU346" s="10" cm="1">
        <f t="array" aca="1" ref="EU346" ca="1">(1-$B$18)*SUMPRODUCT(OFFSET($BO$15,0,0,$B$14,1), 1*(_xlfn._xlws.FILTER(OFFSET($O$15,0,$DN346,$B$8,1),OFFSET($M$15,0,0,$B$8,1))=EU$13), 1*(_xlfn._xlws.FILTER(OFFSET($O$15,0,$DO346,$B$8,1),OFFSET($M$15,0,0,$B$8,1))=EU$14))   /   SUM(OFFSET($BO$15,0,0,$B$14,1)) + $B$18/($B$19*$B$19*($DN346&lt;&gt;$DO346) + $B$19*($DN346=$DO346))</f>
        <v>3.7037037037037035E-4</v>
      </c>
      <c r="EV346" s="10" cm="1">
        <f t="array" aca="1" ref="EV346" ca="1">(1-$B$18)*SUMPRODUCT(OFFSET($BO$15,0,0,$B$14,1), 1*(_xlfn._xlws.FILTER(OFFSET($O$15,0,$DN346,$B$8,1),OFFSET($M$15,0,0,$B$8,1))=EV$13), 1*(_xlfn._xlws.FILTER(OFFSET($O$15,0,$DO346,$B$8,1),OFFSET($M$15,0,0,$B$8,1))=EV$14))   /   SUM(OFFSET($BO$15,0,0,$B$14,1)) + $B$18/($B$19*$B$19*($DN346&lt;&gt;$DO346) + $B$19*($DN346=$DO346))</f>
        <v>3.7037037037037035E-4</v>
      </c>
      <c r="EW346" s="10" cm="1">
        <f t="array" aca="1" ref="EW346" ca="1">(1-$B$18)*SUMPRODUCT(OFFSET($BO$15,0,0,$B$14,1), 1*(_xlfn._xlws.FILTER(OFFSET($O$15,0,$DN346,$B$8,1),OFFSET($M$15,0,0,$B$8,1))=EW$13), 1*(_xlfn._xlws.FILTER(OFFSET($O$15,0,$DO346,$B$8,1),OFFSET($M$15,0,0,$B$8,1))=EW$14))   /   SUM(OFFSET($BO$15,0,0,$B$14,1)) + $B$18/($B$19*$B$19*($DN346&lt;&gt;$DO346) + $B$19*($DN346=$DO346))</f>
        <v>3.7037037037037035E-4</v>
      </c>
      <c r="EX346" s="10" cm="1">
        <f t="array" aca="1" ref="EX346" ca="1">(1-$B$18)*SUMPRODUCT(OFFSET($BO$15,0,0,$B$14,1), 1*(_xlfn._xlws.FILTER(OFFSET($O$15,0,$DN346,$B$8,1),OFFSET($M$15,0,0,$B$8,1))=EX$13), 1*(_xlfn._xlws.FILTER(OFFSET($O$15,0,$DO346,$B$8,1),OFFSET($M$15,0,0,$B$8,1))=EX$14))   /   SUM(OFFSET($BO$15,0,0,$B$14,1)) + $B$18/($B$19*$B$19*($DN346&lt;&gt;$DO346) + $B$19*($DN346=$DO346))</f>
        <v>3.7037037037037035E-4</v>
      </c>
      <c r="EY346" s="10" cm="1">
        <f t="array" aca="1" ref="EY346" ca="1">(1-$B$18)*SUMPRODUCT(OFFSET($BO$15,0,0,$B$14,1), 1*(_xlfn._xlws.FILTER(OFFSET($O$15,0,$DN346,$B$8,1),OFFSET($M$15,0,0,$B$8,1))=EY$13), 1*(_xlfn._xlws.FILTER(OFFSET($O$15,0,$DO346,$B$8,1),OFFSET($M$15,0,0,$B$8,1))=EY$14))   /   SUM(OFFSET($BO$15,0,0,$B$14,1)) + $B$18/($B$19*$B$19*($DN346&lt;&gt;$DO346) + $B$19*($DN346=$DO346))</f>
        <v>3.7037037037037035E-4</v>
      </c>
      <c r="EZ346" s="10" cm="1">
        <f t="array" aca="1" ref="EZ346" ca="1">(1-$B$18)*SUMPRODUCT(OFFSET($BO$15,0,0,$B$14,1), 1*(_xlfn._xlws.FILTER(OFFSET($O$15,0,$DN346,$B$8,1),OFFSET($M$15,0,0,$B$8,1))=EZ$13), 1*(_xlfn._xlws.FILTER(OFFSET($O$15,0,$DO346,$B$8,1),OFFSET($M$15,0,0,$B$8,1))=EZ$14))   /   SUM(OFFSET($BO$15,0,0,$B$14,1)) + $B$18/($B$19*$B$19*($DN346&lt;&gt;$DO346) + $B$19*($DN346=$DO346))</f>
        <v>3.7037037037037035E-4</v>
      </c>
      <c r="FA346" s="10" cm="1">
        <f t="array" aca="1" ref="FA346" ca="1">(1-$B$18)*SUMPRODUCT(OFFSET($BO$15,0,0,$B$14,1), 1*(_xlfn._xlws.FILTER(OFFSET($O$15,0,$DN346,$B$8,1),OFFSET($M$15,0,0,$B$8,1))=FA$13), 1*(_xlfn._xlws.FILTER(OFFSET($O$15,0,$DO346,$B$8,1),OFFSET($M$15,0,0,$B$8,1))=FA$14))   /   SUM(OFFSET($BO$15,0,0,$B$14,1)) + $B$18/($B$19*$B$19*($DN346&lt;&gt;$DO346) + $B$19*($DN346=$DO346))</f>
        <v>3.7037037037037035E-4</v>
      </c>
      <c r="FB346" s="10" cm="1">
        <f t="array" aca="1" ref="FB346" ca="1">(1-$B$18)*SUMPRODUCT(OFFSET($BO$15,0,0,$B$14,1), 1*(_xlfn._xlws.FILTER(OFFSET($O$15,0,$DN346,$B$8,1),OFFSET($M$15,0,0,$B$8,1))=FB$13), 1*(_xlfn._xlws.FILTER(OFFSET($O$15,0,$DO346,$B$8,1),OFFSET($M$15,0,0,$B$8,1))=FB$14))   /   SUM(OFFSET($BO$15,0,0,$B$14,1)) + $B$18/($B$19*$B$19*($DN346&lt;&gt;$DO346) + $B$19*($DN346=$DO346))</f>
        <v>0.24287037037037024</v>
      </c>
      <c r="FC346" s="10" cm="1">
        <f t="array" aca="1" ref="FC346" ca="1">(1-$B$18)*SUMPRODUCT(OFFSET($BO$15,0,0,$B$14,1), 1*(_xlfn._xlws.FILTER(OFFSET($O$15,0,$DN346,$B$8,1),OFFSET($M$15,0,0,$B$8,1))=FC$13), 1*(_xlfn._xlws.FILTER(OFFSET($O$15,0,$DO346,$B$8,1),OFFSET($M$15,0,0,$B$8,1))=FC$14))   /   SUM(OFFSET($BO$15,0,0,$B$14,1)) + $B$18/($B$19*$B$19*($DN346&lt;&gt;$DO346) + $B$19*($DN346=$DO346))</f>
        <v>3.7037037037037035E-4</v>
      </c>
      <c r="FD346" s="10" cm="1">
        <f t="array" aca="1" ref="FD346" ca="1">(1-$B$18)*SUMPRODUCT(OFFSET($BO$15,0,0,$B$14,1), 1*(_xlfn._xlws.FILTER(OFFSET($O$15,0,$DN346,$B$8,1),OFFSET($M$15,0,0,$B$8,1))=FD$13), 1*(_xlfn._xlws.FILTER(OFFSET($O$15,0,$DO346,$B$8,1),OFFSET($M$15,0,0,$B$8,1))=FD$14))   /   SUM(OFFSET($BO$15,0,0,$B$14,1)) + $B$18/($B$19*$B$19*($DN346&lt;&gt;$DO346) + $B$19*($DN346=$DO346))</f>
        <v>3.7037037037037035E-4</v>
      </c>
      <c r="FE346" s="10" cm="1">
        <f t="array" aca="1" ref="FE346" ca="1">(1-$B$18)*SUMPRODUCT(OFFSET($BO$15,0,0,$B$14,1), 1*(_xlfn._xlws.FILTER(OFFSET($O$15,0,$DN346,$B$8,1),OFFSET($M$15,0,0,$B$8,1))=FE$13), 1*(_xlfn._xlws.FILTER(OFFSET($O$15,0,$DO346,$B$8,1),OFFSET($M$15,0,0,$B$8,1))=FE$14))   /   SUM(OFFSET($BO$15,0,0,$B$14,1)) + $B$18/($B$19*$B$19*($DN346&lt;&gt;$DO346) + $B$19*($DN346=$DO346))</f>
        <v>3.7037037037037035E-4</v>
      </c>
      <c r="FF346" s="10" cm="1">
        <f t="array" aca="1" ref="FF346" ca="1">(1-$B$18)*SUMPRODUCT(OFFSET($BO$15,0,0,$B$14,1), 1*(_xlfn._xlws.FILTER(OFFSET($O$15,0,$DN346,$B$8,1),OFFSET($M$15,0,0,$B$8,1))=FF$13), 1*(_xlfn._xlws.FILTER(OFFSET($O$15,0,$DO346,$B$8,1),OFFSET($M$15,0,0,$B$8,1))=FF$14))   /   SUM(OFFSET($BO$15,0,0,$B$14,1)) + $B$18/($B$19*$B$19*($DN346&lt;&gt;$DO346) + $B$19*($DN346=$DO346))</f>
        <v>3.7037037037037035E-4</v>
      </c>
      <c r="FG346" s="10" cm="1">
        <f t="array" aca="1" ref="FG346" ca="1">(1-$B$18)*SUMPRODUCT(OFFSET($BO$15,0,0,$B$14,1), 1*(_xlfn._xlws.FILTER(OFFSET($O$15,0,$DN346,$B$8,1),OFFSET($M$15,0,0,$B$8,1))=FG$13), 1*(_xlfn._xlws.FILTER(OFFSET($O$15,0,$DO346,$B$8,1),OFFSET($M$15,0,0,$B$8,1))=FG$14))   /   SUM(OFFSET($BO$15,0,0,$B$14,1)) + $B$18/($B$19*$B$19*($DN346&lt;&gt;$DO346) + $B$19*($DN346=$DO346))</f>
        <v>3.7037037037037035E-4</v>
      </c>
      <c r="FH346" s="10" cm="1">
        <f t="array" aca="1" ref="FH346" ca="1">(1-$B$18)*SUMPRODUCT(OFFSET($BO$15,0,0,$B$14,1), 1*(_xlfn._xlws.FILTER(OFFSET($O$15,0,$DN346,$B$8,1),OFFSET($M$15,0,0,$B$8,1))=FH$13), 1*(_xlfn._xlws.FILTER(OFFSET($O$15,0,$DO346,$B$8,1),OFFSET($M$15,0,0,$B$8,1))=FH$14))   /   SUM(OFFSET($BO$15,0,0,$B$14,1)) + $B$18/($B$19*$B$19*($DN346&lt;&gt;$DO346) + $B$19*($DN346=$DO346))</f>
        <v>3.7037037037037035E-4</v>
      </c>
      <c r="FI346" s="10" cm="1">
        <f t="array" aca="1" ref="FI346" ca="1">(1-$B$18)*SUMPRODUCT(OFFSET($BO$15,0,0,$B$14,1), 1*(_xlfn._xlws.FILTER(OFFSET($O$15,0,$DN346,$B$8,1),OFFSET($M$15,0,0,$B$8,1))=FI$13), 1*(_xlfn._xlws.FILTER(OFFSET($O$15,0,$DO346,$B$8,1),OFFSET($M$15,0,0,$B$8,1))=FI$14))   /   SUM(OFFSET($BO$15,0,0,$B$14,1)) + $B$18/($B$19*$B$19*($DN346&lt;&gt;$DO346) + $B$19*($DN346=$DO346))</f>
        <v>3.7037037037037035E-4</v>
      </c>
      <c r="FJ346" s="10" cm="1">
        <f t="array" aca="1" ref="FJ346" ca="1">(1-$B$18)*SUMPRODUCT(OFFSET($BO$15,0,0,$B$14,1), 1*(_xlfn._xlws.FILTER(OFFSET($O$15,0,$DN346,$B$8,1),OFFSET($M$15,0,0,$B$8,1))=FJ$13), 1*(_xlfn._xlws.FILTER(OFFSET($O$15,0,$DO346,$B$8,1),OFFSET($M$15,0,0,$B$8,1))=FJ$14))   /   SUM(OFFSET($BO$15,0,0,$B$14,1)) + $B$18/($B$19*$B$19*($DN346&lt;&gt;$DO346) + $B$19*($DN346=$DO346))</f>
        <v>0.24287037037037026</v>
      </c>
      <c r="FK346" s="10" cm="1">
        <f t="array" aca="1" ref="FK346" ca="1">(1-$B$18)*SUMPRODUCT(OFFSET($BO$15,0,0,$B$14,1), 1*(_xlfn._xlws.FILTER(OFFSET($O$15,0,$DN346,$B$8,1),OFFSET($M$15,0,0,$B$8,1))=FK$13), 1*(_xlfn._xlws.FILTER(OFFSET($O$15,0,$DO346,$B$8,1),OFFSET($M$15,0,0,$B$8,1))=FK$14))   /   SUM(OFFSET($BO$15,0,0,$B$14,1)) + $B$18/($B$19*$B$19*($DN346&lt;&gt;$DO346) + $B$19*($DN346=$DO346))</f>
        <v>3.7037037037037035E-4</v>
      </c>
      <c r="FL346" s="10" cm="1">
        <f t="array" aca="1" ref="FL346" ca="1">(1-$B$18)*SUMPRODUCT(OFFSET($BO$15,0,0,$B$14,1), 1*(_xlfn._xlws.FILTER(OFFSET($O$15,0,$DN346,$B$8,1),OFFSET($M$15,0,0,$B$8,1))=FL$13), 1*(_xlfn._xlws.FILTER(OFFSET($O$15,0,$DO346,$B$8,1),OFFSET($M$15,0,0,$B$8,1))=FL$14))   /   SUM(OFFSET($BO$15,0,0,$B$14,1)) + $B$18/($B$19*$B$19*($DN346&lt;&gt;$DO346) + $B$19*($DN346=$DO346))</f>
        <v>3.7037037037037035E-4</v>
      </c>
      <c r="FM346" s="10" cm="1">
        <f t="array" aca="1" ref="FM346" ca="1">(1-$B$18)*SUMPRODUCT(OFFSET($BO$15,0,0,$B$14,1), 1*(_xlfn._xlws.FILTER(OFFSET($O$15,0,$DN346,$B$8,1),OFFSET($M$15,0,0,$B$8,1))=FM$13), 1*(_xlfn._xlws.FILTER(OFFSET($O$15,0,$DO346,$B$8,1),OFFSET($M$15,0,0,$B$8,1))=FM$14))   /   SUM(OFFSET($BO$15,0,0,$B$14,1)) + $B$18/($B$19*$B$19*($DN346&lt;&gt;$DO346) + $B$19*($DN346=$DO346))</f>
        <v>3.7037037037037035E-4</v>
      </c>
      <c r="FN346" s="10" cm="1">
        <f t="array" aca="1" ref="FN346" ca="1">(1-$B$18)*SUMPRODUCT(OFFSET($BO$15,0,0,$B$14,1), 1*(_xlfn._xlws.FILTER(OFFSET($O$15,0,$DN346,$B$8,1),OFFSET($M$15,0,0,$B$8,1))=FN$13), 1*(_xlfn._xlws.FILTER(OFFSET($O$15,0,$DO346,$B$8,1),OFFSET($M$15,0,0,$B$8,1))=FN$14))   /   SUM(OFFSET($BO$15,0,0,$B$14,1)) + $B$18/($B$19*$B$19*($DN346&lt;&gt;$DO346) + $B$19*($DN346=$DO346))</f>
        <v>3.7037037037037035E-4</v>
      </c>
      <c r="FO346" s="10" cm="1">
        <f t="array" aca="1" ref="FO346" ca="1">(1-$B$18)*SUMPRODUCT(OFFSET($BO$15,0,0,$B$14,1), 1*(_xlfn._xlws.FILTER(OFFSET($O$15,0,$DN346,$B$8,1),OFFSET($M$15,0,0,$B$8,1))=FO$13), 1*(_xlfn._xlws.FILTER(OFFSET($O$15,0,$DO346,$B$8,1),OFFSET($M$15,0,0,$B$8,1))=FO$14))   /   SUM(OFFSET($BO$15,0,0,$B$14,1)) + $B$18/($B$19*$B$19*($DN346&lt;&gt;$DO346) + $B$19*($DN346=$DO346))</f>
        <v>3.7037037037037035E-4</v>
      </c>
      <c r="FP346" s="10" cm="1">
        <f t="array" aca="1" ref="FP346" ca="1">(1-$B$18)*SUMPRODUCT(OFFSET($BO$15,0,0,$B$14,1), 1*(_xlfn._xlws.FILTER(OFFSET($O$15,0,$DN346,$B$8,1),OFFSET($M$15,0,0,$B$8,1))=FP$13), 1*(_xlfn._xlws.FILTER(OFFSET($O$15,0,$DO346,$B$8,1),OFFSET($M$15,0,0,$B$8,1))=FP$14))   /   SUM(OFFSET($BO$15,0,0,$B$14,1)) + $B$18/($B$19*$B$19*($DN346&lt;&gt;$DO346) + $B$19*($DN346=$DO346))</f>
        <v>3.7037037037037035E-4</v>
      </c>
      <c r="FQ346" s="10" cm="1">
        <f t="array" aca="1" ref="FQ346" ca="1">(1-$B$18)*SUMPRODUCT(OFFSET($BO$15,0,0,$B$14,1), 1*(_xlfn._xlws.FILTER(OFFSET($O$15,0,$DN346,$B$8,1),OFFSET($M$15,0,0,$B$8,1))=FQ$13), 1*(_xlfn._xlws.FILTER(OFFSET($O$15,0,$DO346,$B$8,1),OFFSET($M$15,0,0,$B$8,1))=FQ$14))   /   SUM(OFFSET($BO$15,0,0,$B$14,1)) + $B$18/($B$19*$B$19*($DN346&lt;&gt;$DO346) + $B$19*($DN346=$DO346))</f>
        <v>3.7037037037037035E-4</v>
      </c>
      <c r="FR346" s="10" cm="1">
        <f t="array" aca="1" ref="FR346" ca="1">(1-$B$18)*SUMPRODUCT(OFFSET($BO$15,0,0,$B$14,1), 1*(_xlfn._xlws.FILTER(OFFSET($O$15,0,$DN346,$B$8,1),OFFSET($M$15,0,0,$B$8,1))=FR$13), 1*(_xlfn._xlws.FILTER(OFFSET($O$15,0,$DO346,$B$8,1),OFFSET($M$15,0,0,$B$8,1))=FR$14))   /   SUM(OFFSET($BO$15,0,0,$B$14,1)) + $B$18/($B$19*$B$19*($DN346&lt;&gt;$DO346) + $B$19*($DN346=$DO346))</f>
        <v>0.48537037037037012</v>
      </c>
      <c r="FS346" s="10" cm="1">
        <f t="array" aca="1" ref="FS346" ca="1">(1-$B$18)*SUMPRODUCT(OFFSET($BO$15,0,0,$B$14,1), 1*(_xlfn._xlws.FILTER(OFFSET($O$15,0,$DN346,$B$8,1),OFFSET($M$15,0,0,$B$8,1))=FS$13), 1*(_xlfn._xlws.FILTER(OFFSET($O$15,0,$DO346,$B$8,1),OFFSET($M$15,0,0,$B$8,1))=FS$14))   /   SUM(OFFSET($BO$15,0,0,$B$14,1)) + $B$18/($B$19*$B$19*($DN346&lt;&gt;$DO346) + $B$19*($DN346=$DO346))</f>
        <v>3.7037037037037035E-4</v>
      </c>
      <c r="FT346" s="10" cm="1">
        <f t="array" aca="1" ref="FT346" ca="1">(1-$B$18)*SUMPRODUCT(OFFSET($BO$15,0,0,$B$14,1), 1*(_xlfn._xlws.FILTER(OFFSET($O$15,0,$DN346,$B$8,1),OFFSET($M$15,0,0,$B$8,1))=FT$13), 1*(_xlfn._xlws.FILTER(OFFSET($O$15,0,$DO346,$B$8,1),OFFSET($M$15,0,0,$B$8,1))=FT$14))   /   SUM(OFFSET($BO$15,0,0,$B$14,1)) + $B$18/($B$19*$B$19*($DN346&lt;&gt;$DO346) + $B$19*($DN346=$DO346))</f>
        <v>3.7037037037037035E-4</v>
      </c>
      <c r="FU346" s="10" cm="1">
        <f t="array" aca="1" ref="FU346" ca="1">(1-$B$18)*SUMPRODUCT(OFFSET($BO$15,0,0,$B$14,1), 1*(_xlfn._xlws.FILTER(OFFSET($O$15,0,$DN346,$B$8,1),OFFSET($M$15,0,0,$B$8,1))=FU$13), 1*(_xlfn._xlws.FILTER(OFFSET($O$15,0,$DO346,$B$8,1),OFFSET($M$15,0,0,$B$8,1))=FU$14))   /   SUM(OFFSET($BO$15,0,0,$B$14,1)) + $B$18/($B$19*$B$19*($DN346&lt;&gt;$DO346) + $B$19*($DN346=$DO346))</f>
        <v>3.7037037037037035E-4</v>
      </c>
      <c r="FV346" s="10" cm="1">
        <f t="array" aca="1" ref="FV346" ca="1">(1-$B$18)*SUMPRODUCT(OFFSET($BO$15,0,0,$B$14,1), 1*(_xlfn._xlws.FILTER(OFFSET($O$15,0,$DN346,$B$8,1),OFFSET($M$15,0,0,$B$8,1))=FV$13), 1*(_xlfn._xlws.FILTER(OFFSET($O$15,0,$DO346,$B$8,1),OFFSET($M$15,0,0,$B$8,1))=FV$14))   /   SUM(OFFSET($BO$15,0,0,$B$14,1)) + $B$18/($B$19*$B$19*($DN346&lt;&gt;$DO346) + $B$19*($DN346=$DO346))</f>
        <v>3.7037037037037035E-4</v>
      </c>
      <c r="FW346" s="10" cm="1">
        <f t="array" aca="1" ref="FW346" ca="1">(1-$B$18)*SUMPRODUCT(OFFSET($BO$15,0,0,$B$14,1), 1*(_xlfn._xlws.FILTER(OFFSET($O$15,0,$DN346,$B$8,1),OFFSET($M$15,0,0,$B$8,1))=FW$13), 1*(_xlfn._xlws.FILTER(OFFSET($O$15,0,$DO346,$B$8,1),OFFSET($M$15,0,0,$B$8,1))=FW$14))   /   SUM(OFFSET($BO$15,0,0,$B$14,1)) + $B$18/($B$19*$B$19*($DN346&lt;&gt;$DO346) + $B$19*($DN346=$DO346))</f>
        <v>3.7037037037037035E-4</v>
      </c>
      <c r="FX346" s="10" cm="1">
        <f t="array" aca="1" ref="FX346" ca="1">(1-$B$18)*SUMPRODUCT(OFFSET($BO$15,0,0,$B$14,1), 1*(_xlfn._xlws.FILTER(OFFSET($O$15,0,$DN346,$B$8,1),OFFSET($M$15,0,0,$B$8,1))=FX$13), 1*(_xlfn._xlws.FILTER(OFFSET($O$15,0,$DO346,$B$8,1),OFFSET($M$15,0,0,$B$8,1))=FX$14))   /   SUM(OFFSET($BO$15,0,0,$B$14,1)) + $B$18/($B$19*$B$19*($DN346&lt;&gt;$DO346) + $B$19*($DN346=$DO346))</f>
        <v>3.7037037037037035E-4</v>
      </c>
      <c r="FY346" s="10" cm="1">
        <f t="array" aca="1" ref="FY346" ca="1">(1-$B$18)*SUMPRODUCT(OFFSET($BO$15,0,0,$B$14,1), 1*(_xlfn._xlws.FILTER(OFFSET($O$15,0,$DN346,$B$8,1),OFFSET($M$15,0,0,$B$8,1))=FY$13), 1*(_xlfn._xlws.FILTER(OFFSET($O$15,0,$DO346,$B$8,1),OFFSET($M$15,0,0,$B$8,1))=FY$14))   /   SUM(OFFSET($BO$15,0,0,$B$14,1)) + $B$18/($B$19*$B$19*($DN346&lt;&gt;$DO346) + $B$19*($DN346=$DO346))</f>
        <v>3.7037037037037035E-4</v>
      </c>
      <c r="FZ346" s="10" cm="1">
        <f t="array" aca="1" ref="FZ346" ca="1">(1-$B$18)*SUMPRODUCT(OFFSET($BO$15,0,0,$B$14,1), 1*(_xlfn._xlws.FILTER(OFFSET($O$15,0,$DN346,$B$8,1),OFFSET($M$15,0,0,$B$8,1))=FZ$13), 1*(_xlfn._xlws.FILTER(OFFSET($O$15,0,$DO346,$B$8,1),OFFSET($M$15,0,0,$B$8,1))=FZ$14))   /   SUM(OFFSET($BO$15,0,0,$B$14,1)) + $B$18/($B$19*$B$19*($DN346&lt;&gt;$DO346) + $B$19*($DN346=$DO346))</f>
        <v>3.7037037037037035E-4</v>
      </c>
      <c r="GA346" s="10" cm="1">
        <f t="array" aca="1" ref="GA346" ca="1">(1-$B$18)*SUMPRODUCT(OFFSET($BO$15,0,0,$B$14,1), 1*(_xlfn._xlws.FILTER(OFFSET($O$15,0,$DN346,$B$8,1),OFFSET($M$15,0,0,$B$8,1))=GA$13), 1*(_xlfn._xlws.FILTER(OFFSET($O$15,0,$DO346,$B$8,1),OFFSET($M$15,0,0,$B$8,1))=GA$14))   /   SUM(OFFSET($BO$15,0,0,$B$14,1)) + $B$18/($B$19*$B$19*($DN346&lt;&gt;$DO346) + $B$19*($DN346=$DO346))</f>
        <v>3.7037037037037035E-4</v>
      </c>
    </row>
    <row r="347" spans="118:183" x14ac:dyDescent="0.2">
      <c r="DN347" cm="1">
        <f t="array" aca="1" ref="DN347" ca="1">INDEX(_xlfn.ANCHORARRAY($CP$15), 1 + INT((ROWS($DO$15:$DO347) - 1) / ROWS(_xlfn.ANCHORARRAY($CP$15))))</f>
        <v>20</v>
      </c>
      <c r="DO347" cm="1">
        <f t="array" aca="1" ref="DO347" ca="1">INDEX(_xlfn.ANCHORARRAY($CP$15),1+MOD(ROWS($DO$15:$DO347)-1,ROWS(_xlfn.ANCHORARRAY($CP$15))))</f>
        <v>9</v>
      </c>
      <c r="DP347" s="10" cm="1">
        <f t="array" aca="1" ref="DP347" ca="1">(1-$B$18)*SUMPRODUCT(OFFSET($BO$15,0,0,$B$14,1), 1*(_xlfn._xlws.FILTER(OFFSET($O$15,0,$DN347,$B$8,1),OFFSET($M$15,0,0,$B$8,1))=DP$13), 1*(_xlfn._xlws.FILTER(OFFSET($O$15,0,$DO347,$B$8,1),OFFSET($M$15,0,0,$B$8,1))=DP$14))   /   SUM(OFFSET($BO$15,0,0,$B$14,1)) + $B$18/($B$19*$B$19*($DN347&lt;&gt;$DO347) + $B$19*($DN347=$DO347))</f>
        <v>3.7037037037037035E-4</v>
      </c>
      <c r="DQ347" s="10" cm="1">
        <f t="array" aca="1" ref="DQ347" ca="1">(1-$B$18)*SUMPRODUCT(OFFSET($BO$15,0,0,$B$14,1), 1*(_xlfn._xlws.FILTER(OFFSET($O$15,0,$DN347,$B$8,1),OFFSET($M$15,0,0,$B$8,1))=DQ$13), 1*(_xlfn._xlws.FILTER(OFFSET($O$15,0,$DO347,$B$8,1),OFFSET($M$15,0,0,$B$8,1))=DQ$14))   /   SUM(OFFSET($BO$15,0,0,$B$14,1)) + $B$18/($B$19*$B$19*($DN347&lt;&gt;$DO347) + $B$19*($DN347=$DO347))</f>
        <v>3.7037037037037035E-4</v>
      </c>
      <c r="DR347" s="10" cm="1">
        <f t="array" aca="1" ref="DR347" ca="1">(1-$B$18)*SUMPRODUCT(OFFSET($BO$15,0,0,$B$14,1), 1*(_xlfn._xlws.FILTER(OFFSET($O$15,0,$DN347,$B$8,1),OFFSET($M$15,0,0,$B$8,1))=DR$13), 1*(_xlfn._xlws.FILTER(OFFSET($O$15,0,$DO347,$B$8,1),OFFSET($M$15,0,0,$B$8,1))=DR$14))   /   SUM(OFFSET($BO$15,0,0,$B$14,1)) + $B$18/($B$19*$B$19*($DN347&lt;&gt;$DO347) + $B$19*($DN347=$DO347))</f>
        <v>3.7037037037037035E-4</v>
      </c>
      <c r="DS347" s="10" cm="1">
        <f t="array" aca="1" ref="DS347" ca="1">(1-$B$18)*SUMPRODUCT(OFFSET($BO$15,0,0,$B$14,1), 1*(_xlfn._xlws.FILTER(OFFSET($O$15,0,$DN347,$B$8,1),OFFSET($M$15,0,0,$B$8,1))=DS$13), 1*(_xlfn._xlws.FILTER(OFFSET($O$15,0,$DO347,$B$8,1),OFFSET($M$15,0,0,$B$8,1))=DS$14))   /   SUM(OFFSET($BO$15,0,0,$B$14,1)) + $B$18/($B$19*$B$19*($DN347&lt;&gt;$DO347) + $B$19*($DN347=$DO347))</f>
        <v>3.7037037037037035E-4</v>
      </c>
      <c r="DT347" s="10" cm="1">
        <f t="array" aca="1" ref="DT347" ca="1">(1-$B$18)*SUMPRODUCT(OFFSET($BO$15,0,0,$B$14,1), 1*(_xlfn._xlws.FILTER(OFFSET($O$15,0,$DN347,$B$8,1),OFFSET($M$15,0,0,$B$8,1))=DT$13), 1*(_xlfn._xlws.FILTER(OFFSET($O$15,0,$DO347,$B$8,1),OFFSET($M$15,0,0,$B$8,1))=DT$14))   /   SUM(OFFSET($BO$15,0,0,$B$14,1)) + $B$18/($B$19*$B$19*($DN347&lt;&gt;$DO347) + $B$19*($DN347=$DO347))</f>
        <v>3.7037037037037035E-4</v>
      </c>
      <c r="DU347" s="10" cm="1">
        <f t="array" aca="1" ref="DU347" ca="1">(1-$B$18)*SUMPRODUCT(OFFSET($BO$15,0,0,$B$14,1), 1*(_xlfn._xlws.FILTER(OFFSET($O$15,0,$DN347,$B$8,1),OFFSET($M$15,0,0,$B$8,1))=DU$13), 1*(_xlfn._xlws.FILTER(OFFSET($O$15,0,$DO347,$B$8,1),OFFSET($M$15,0,0,$B$8,1))=DU$14))   /   SUM(OFFSET($BO$15,0,0,$B$14,1)) + $B$18/($B$19*$B$19*($DN347&lt;&gt;$DO347) + $B$19*($DN347=$DO347))</f>
        <v>3.7037037037037035E-4</v>
      </c>
      <c r="DV347" s="10" cm="1">
        <f t="array" aca="1" ref="DV347" ca="1">(1-$B$18)*SUMPRODUCT(OFFSET($BO$15,0,0,$B$14,1), 1*(_xlfn._xlws.FILTER(OFFSET($O$15,0,$DN347,$B$8,1),OFFSET($M$15,0,0,$B$8,1))=DV$13), 1*(_xlfn._xlws.FILTER(OFFSET($O$15,0,$DO347,$B$8,1),OFFSET($M$15,0,0,$B$8,1))=DV$14))   /   SUM(OFFSET($BO$15,0,0,$B$14,1)) + $B$18/($B$19*$B$19*($DN347&lt;&gt;$DO347) + $B$19*($DN347=$DO347))</f>
        <v>3.7037037037037035E-4</v>
      </c>
      <c r="DW347" s="10" cm="1">
        <f t="array" aca="1" ref="DW347" ca="1">(1-$B$18)*SUMPRODUCT(OFFSET($BO$15,0,0,$B$14,1), 1*(_xlfn._xlws.FILTER(OFFSET($O$15,0,$DN347,$B$8,1),OFFSET($M$15,0,0,$B$8,1))=DW$13), 1*(_xlfn._xlws.FILTER(OFFSET($O$15,0,$DO347,$B$8,1),OFFSET($M$15,0,0,$B$8,1))=DW$14))   /   SUM(OFFSET($BO$15,0,0,$B$14,1)) + $B$18/($B$19*$B$19*($DN347&lt;&gt;$DO347) + $B$19*($DN347=$DO347))</f>
        <v>3.7037037037037035E-4</v>
      </c>
      <c r="DX347" s="10" cm="1">
        <f t="array" aca="1" ref="DX347" ca="1">(1-$B$18)*SUMPRODUCT(OFFSET($BO$15,0,0,$B$14,1), 1*(_xlfn._xlws.FILTER(OFFSET($O$15,0,$DN347,$B$8,1),OFFSET($M$15,0,0,$B$8,1))=DX$13), 1*(_xlfn._xlws.FILTER(OFFSET($O$15,0,$DO347,$B$8,1),OFFSET($M$15,0,0,$B$8,1))=DX$14))   /   SUM(OFFSET($BO$15,0,0,$B$14,1)) + $B$18/($B$19*$B$19*($DN347&lt;&gt;$DO347) + $B$19*($DN347=$DO347))</f>
        <v>3.7037037037037035E-4</v>
      </c>
      <c r="DY347" s="10" cm="1">
        <f t="array" aca="1" ref="DY347" ca="1">(1-$B$18)*SUMPRODUCT(OFFSET($BO$15,0,0,$B$14,1), 1*(_xlfn._xlws.FILTER(OFFSET($O$15,0,$DN347,$B$8,1),OFFSET($M$15,0,0,$B$8,1))=DY$13), 1*(_xlfn._xlws.FILTER(OFFSET($O$15,0,$DO347,$B$8,1),OFFSET($M$15,0,0,$B$8,1))=DY$14))   /   SUM(OFFSET($BO$15,0,0,$B$14,1)) + $B$18/($B$19*$B$19*($DN347&lt;&gt;$DO347) + $B$19*($DN347=$DO347))</f>
        <v>3.7037037037037035E-4</v>
      </c>
      <c r="DZ347" s="10" cm="1">
        <f t="array" aca="1" ref="DZ347" ca="1">(1-$B$18)*SUMPRODUCT(OFFSET($BO$15,0,0,$B$14,1), 1*(_xlfn._xlws.FILTER(OFFSET($O$15,0,$DN347,$B$8,1),OFFSET($M$15,0,0,$B$8,1))=DZ$13), 1*(_xlfn._xlws.FILTER(OFFSET($O$15,0,$DO347,$B$8,1),OFFSET($M$15,0,0,$B$8,1))=DZ$14))   /   SUM(OFFSET($BO$15,0,0,$B$14,1)) + $B$18/($B$19*$B$19*($DN347&lt;&gt;$DO347) + $B$19*($DN347=$DO347))</f>
        <v>3.7037037037037035E-4</v>
      </c>
      <c r="EA347" s="10" cm="1">
        <f t="array" aca="1" ref="EA347" ca="1">(1-$B$18)*SUMPRODUCT(OFFSET($BO$15,0,0,$B$14,1), 1*(_xlfn._xlws.FILTER(OFFSET($O$15,0,$DN347,$B$8,1),OFFSET($M$15,0,0,$B$8,1))=EA$13), 1*(_xlfn._xlws.FILTER(OFFSET($O$15,0,$DO347,$B$8,1),OFFSET($M$15,0,0,$B$8,1))=EA$14))   /   SUM(OFFSET($BO$15,0,0,$B$14,1)) + $B$18/($B$19*$B$19*($DN347&lt;&gt;$DO347) + $B$19*($DN347=$DO347))</f>
        <v>3.7037037037037035E-4</v>
      </c>
      <c r="EB347" s="10" cm="1">
        <f t="array" aca="1" ref="EB347" ca="1">(1-$B$18)*SUMPRODUCT(OFFSET($BO$15,0,0,$B$14,1), 1*(_xlfn._xlws.FILTER(OFFSET($O$15,0,$DN347,$B$8,1),OFFSET($M$15,0,0,$B$8,1))=EB$13), 1*(_xlfn._xlws.FILTER(OFFSET($O$15,0,$DO347,$B$8,1),OFFSET($M$15,0,0,$B$8,1))=EB$14))   /   SUM(OFFSET($BO$15,0,0,$B$14,1)) + $B$18/($B$19*$B$19*($DN347&lt;&gt;$DO347) + $B$19*($DN347=$DO347))</f>
        <v>3.7037037037037035E-4</v>
      </c>
      <c r="EC347" s="10" cm="1">
        <f t="array" aca="1" ref="EC347" ca="1">(1-$B$18)*SUMPRODUCT(OFFSET($BO$15,0,0,$B$14,1), 1*(_xlfn._xlws.FILTER(OFFSET($O$15,0,$DN347,$B$8,1),OFFSET($M$15,0,0,$B$8,1))=EC$13), 1*(_xlfn._xlws.FILTER(OFFSET($O$15,0,$DO347,$B$8,1),OFFSET($M$15,0,0,$B$8,1))=EC$14))   /   SUM(OFFSET($BO$15,0,0,$B$14,1)) + $B$18/($B$19*$B$19*($DN347&lt;&gt;$DO347) + $B$19*($DN347=$DO347))</f>
        <v>3.7037037037037035E-4</v>
      </c>
      <c r="ED347" s="10" cm="1">
        <f t="array" aca="1" ref="ED347" ca="1">(1-$B$18)*SUMPRODUCT(OFFSET($BO$15,0,0,$B$14,1), 1*(_xlfn._xlws.FILTER(OFFSET($O$15,0,$DN347,$B$8,1),OFFSET($M$15,0,0,$B$8,1))=ED$13), 1*(_xlfn._xlws.FILTER(OFFSET($O$15,0,$DO347,$B$8,1),OFFSET($M$15,0,0,$B$8,1))=ED$14))   /   SUM(OFFSET($BO$15,0,0,$B$14,1)) + $B$18/($B$19*$B$19*($DN347&lt;&gt;$DO347) + $B$19*($DN347=$DO347))</f>
        <v>3.7037037037037035E-4</v>
      </c>
      <c r="EE347" s="10" cm="1">
        <f t="array" aca="1" ref="EE347" ca="1">(1-$B$18)*SUMPRODUCT(OFFSET($BO$15,0,0,$B$14,1), 1*(_xlfn._xlws.FILTER(OFFSET($O$15,0,$DN347,$B$8,1),OFFSET($M$15,0,0,$B$8,1))=EE$13), 1*(_xlfn._xlws.FILTER(OFFSET($O$15,0,$DO347,$B$8,1),OFFSET($M$15,0,0,$B$8,1))=EE$14))   /   SUM(OFFSET($BO$15,0,0,$B$14,1)) + $B$18/($B$19*$B$19*($DN347&lt;&gt;$DO347) + $B$19*($DN347=$DO347))</f>
        <v>3.7037037037037035E-4</v>
      </c>
      <c r="EF347" s="10" cm="1">
        <f t="array" aca="1" ref="EF347" ca="1">(1-$B$18)*SUMPRODUCT(OFFSET($BO$15,0,0,$B$14,1), 1*(_xlfn._xlws.FILTER(OFFSET($O$15,0,$DN347,$B$8,1),OFFSET($M$15,0,0,$B$8,1))=EF$13), 1*(_xlfn._xlws.FILTER(OFFSET($O$15,0,$DO347,$B$8,1),OFFSET($M$15,0,0,$B$8,1))=EF$14))   /   SUM(OFFSET($BO$15,0,0,$B$14,1)) + $B$18/($B$19*$B$19*($DN347&lt;&gt;$DO347) + $B$19*($DN347=$DO347))</f>
        <v>3.7037037037037035E-4</v>
      </c>
      <c r="EG347" s="10" cm="1">
        <f t="array" aca="1" ref="EG347" ca="1">(1-$B$18)*SUMPRODUCT(OFFSET($BO$15,0,0,$B$14,1), 1*(_xlfn._xlws.FILTER(OFFSET($O$15,0,$DN347,$B$8,1),OFFSET($M$15,0,0,$B$8,1))=EG$13), 1*(_xlfn._xlws.FILTER(OFFSET($O$15,0,$DO347,$B$8,1),OFFSET($M$15,0,0,$B$8,1))=EG$14))   /   SUM(OFFSET($BO$15,0,0,$B$14,1)) + $B$18/($B$19*$B$19*($DN347&lt;&gt;$DO347) + $B$19*($DN347=$DO347))</f>
        <v>3.7037037037037035E-4</v>
      </c>
      <c r="EH347" s="10" cm="1">
        <f t="array" aca="1" ref="EH347" ca="1">(1-$B$18)*SUMPRODUCT(OFFSET($BO$15,0,0,$B$14,1), 1*(_xlfn._xlws.FILTER(OFFSET($O$15,0,$DN347,$B$8,1),OFFSET($M$15,0,0,$B$8,1))=EH$13), 1*(_xlfn._xlws.FILTER(OFFSET($O$15,0,$DO347,$B$8,1),OFFSET($M$15,0,0,$B$8,1))=EH$14))   /   SUM(OFFSET($BO$15,0,0,$B$14,1)) + $B$18/($B$19*$B$19*($DN347&lt;&gt;$DO347) + $B$19*($DN347=$DO347))</f>
        <v>3.7037037037037035E-4</v>
      </c>
      <c r="EI347" s="10" cm="1">
        <f t="array" aca="1" ref="EI347" ca="1">(1-$B$18)*SUMPRODUCT(OFFSET($BO$15,0,0,$B$14,1), 1*(_xlfn._xlws.FILTER(OFFSET($O$15,0,$DN347,$B$8,1),OFFSET($M$15,0,0,$B$8,1))=EI$13), 1*(_xlfn._xlws.FILTER(OFFSET($O$15,0,$DO347,$B$8,1),OFFSET($M$15,0,0,$B$8,1))=EI$14))   /   SUM(OFFSET($BO$15,0,0,$B$14,1)) + $B$18/($B$19*$B$19*($DN347&lt;&gt;$DO347) + $B$19*($DN347=$DO347))</f>
        <v>3.7037037037037035E-4</v>
      </c>
      <c r="EJ347" s="10" cm="1">
        <f t="array" aca="1" ref="EJ347" ca="1">(1-$B$18)*SUMPRODUCT(OFFSET($BO$15,0,0,$B$14,1), 1*(_xlfn._xlws.FILTER(OFFSET($O$15,0,$DN347,$B$8,1),OFFSET($M$15,0,0,$B$8,1))=EJ$13), 1*(_xlfn._xlws.FILTER(OFFSET($O$15,0,$DO347,$B$8,1),OFFSET($M$15,0,0,$B$8,1))=EJ$14))   /   SUM(OFFSET($BO$15,0,0,$B$14,1)) + $B$18/($B$19*$B$19*($DN347&lt;&gt;$DO347) + $B$19*($DN347=$DO347))</f>
        <v>3.7037037037037035E-4</v>
      </c>
      <c r="EK347" s="10" cm="1">
        <f t="array" aca="1" ref="EK347" ca="1">(1-$B$18)*SUMPRODUCT(OFFSET($BO$15,0,0,$B$14,1), 1*(_xlfn._xlws.FILTER(OFFSET($O$15,0,$DN347,$B$8,1),OFFSET($M$15,0,0,$B$8,1))=EK$13), 1*(_xlfn._xlws.FILTER(OFFSET($O$15,0,$DO347,$B$8,1),OFFSET($M$15,0,0,$B$8,1))=EK$14))   /   SUM(OFFSET($BO$15,0,0,$B$14,1)) + $B$18/($B$19*$B$19*($DN347&lt;&gt;$DO347) + $B$19*($DN347=$DO347))</f>
        <v>3.7037037037037035E-4</v>
      </c>
      <c r="EL347" s="10" cm="1">
        <f t="array" aca="1" ref="EL347" ca="1">(1-$B$18)*SUMPRODUCT(OFFSET($BO$15,0,0,$B$14,1), 1*(_xlfn._xlws.FILTER(OFFSET($O$15,0,$DN347,$B$8,1),OFFSET($M$15,0,0,$B$8,1))=EL$13), 1*(_xlfn._xlws.FILTER(OFFSET($O$15,0,$DO347,$B$8,1),OFFSET($M$15,0,0,$B$8,1))=EL$14))   /   SUM(OFFSET($BO$15,0,0,$B$14,1)) + $B$18/($B$19*$B$19*($DN347&lt;&gt;$DO347) + $B$19*($DN347=$DO347))</f>
        <v>3.7037037037037035E-4</v>
      </c>
      <c r="EM347" s="10" cm="1">
        <f t="array" aca="1" ref="EM347" ca="1">(1-$B$18)*SUMPRODUCT(OFFSET($BO$15,0,0,$B$14,1), 1*(_xlfn._xlws.FILTER(OFFSET($O$15,0,$DN347,$B$8,1),OFFSET($M$15,0,0,$B$8,1))=EM$13), 1*(_xlfn._xlws.FILTER(OFFSET($O$15,0,$DO347,$B$8,1),OFFSET($M$15,0,0,$B$8,1))=EM$14))   /   SUM(OFFSET($BO$15,0,0,$B$14,1)) + $B$18/($B$19*$B$19*($DN347&lt;&gt;$DO347) + $B$19*($DN347=$DO347))</f>
        <v>3.7037037037037035E-4</v>
      </c>
      <c r="EN347" s="10" cm="1">
        <f t="array" aca="1" ref="EN347" ca="1">(1-$B$18)*SUMPRODUCT(OFFSET($BO$15,0,0,$B$14,1), 1*(_xlfn._xlws.FILTER(OFFSET($O$15,0,$DN347,$B$8,1),OFFSET($M$15,0,0,$B$8,1))=EN$13), 1*(_xlfn._xlws.FILTER(OFFSET($O$15,0,$DO347,$B$8,1),OFFSET($M$15,0,0,$B$8,1))=EN$14))   /   SUM(OFFSET($BO$15,0,0,$B$14,1)) + $B$18/($B$19*$B$19*($DN347&lt;&gt;$DO347) + $B$19*($DN347=$DO347))</f>
        <v>3.7037037037037035E-4</v>
      </c>
      <c r="EO347" s="10" cm="1">
        <f t="array" aca="1" ref="EO347" ca="1">(1-$B$18)*SUMPRODUCT(OFFSET($BO$15,0,0,$B$14,1), 1*(_xlfn._xlws.FILTER(OFFSET($O$15,0,$DN347,$B$8,1),OFFSET($M$15,0,0,$B$8,1))=EO$13), 1*(_xlfn._xlws.FILTER(OFFSET($O$15,0,$DO347,$B$8,1),OFFSET($M$15,0,0,$B$8,1))=EO$14))   /   SUM(OFFSET($BO$15,0,0,$B$14,1)) + $B$18/($B$19*$B$19*($DN347&lt;&gt;$DO347) + $B$19*($DN347=$DO347))</f>
        <v>3.7037037037037035E-4</v>
      </c>
      <c r="EP347" s="10" cm="1">
        <f t="array" aca="1" ref="EP347" ca="1">(1-$B$18)*SUMPRODUCT(OFFSET($BO$15,0,0,$B$14,1), 1*(_xlfn._xlws.FILTER(OFFSET($O$15,0,$DN347,$B$8,1),OFFSET($M$15,0,0,$B$8,1))=EP$13), 1*(_xlfn._xlws.FILTER(OFFSET($O$15,0,$DO347,$B$8,1),OFFSET($M$15,0,0,$B$8,1))=EP$14))   /   SUM(OFFSET($BO$15,0,0,$B$14,1)) + $B$18/($B$19*$B$19*($DN347&lt;&gt;$DO347) + $B$19*($DN347=$DO347))</f>
        <v>3.7037037037037035E-4</v>
      </c>
      <c r="EQ347" s="10" cm="1">
        <f t="array" aca="1" ref="EQ347" ca="1">(1-$B$18)*SUMPRODUCT(OFFSET($BO$15,0,0,$B$14,1), 1*(_xlfn._xlws.FILTER(OFFSET($O$15,0,$DN347,$B$8,1),OFFSET($M$15,0,0,$B$8,1))=EQ$13), 1*(_xlfn._xlws.FILTER(OFFSET($O$15,0,$DO347,$B$8,1),OFFSET($M$15,0,0,$B$8,1))=EQ$14))   /   SUM(OFFSET($BO$15,0,0,$B$14,1)) + $B$18/($B$19*$B$19*($DN347&lt;&gt;$DO347) + $B$19*($DN347=$DO347))</f>
        <v>3.7037037037037035E-4</v>
      </c>
      <c r="ER347" s="10" cm="1">
        <f t="array" aca="1" ref="ER347" ca="1">(1-$B$18)*SUMPRODUCT(OFFSET($BO$15,0,0,$B$14,1), 1*(_xlfn._xlws.FILTER(OFFSET($O$15,0,$DN347,$B$8,1),OFFSET($M$15,0,0,$B$8,1))=ER$13), 1*(_xlfn._xlws.FILTER(OFFSET($O$15,0,$DO347,$B$8,1),OFFSET($M$15,0,0,$B$8,1))=ER$14))   /   SUM(OFFSET($BO$15,0,0,$B$14,1)) + $B$18/($B$19*$B$19*($DN347&lt;&gt;$DO347) + $B$19*($DN347=$DO347))</f>
        <v>3.7037037037037035E-4</v>
      </c>
      <c r="ES347" s="10" cm="1">
        <f t="array" aca="1" ref="ES347" ca="1">(1-$B$18)*SUMPRODUCT(OFFSET($BO$15,0,0,$B$14,1), 1*(_xlfn._xlws.FILTER(OFFSET($O$15,0,$DN347,$B$8,1),OFFSET($M$15,0,0,$B$8,1))=ES$13), 1*(_xlfn._xlws.FILTER(OFFSET($O$15,0,$DO347,$B$8,1),OFFSET($M$15,0,0,$B$8,1))=ES$14))   /   SUM(OFFSET($BO$15,0,0,$B$14,1)) + $B$18/($B$19*$B$19*($DN347&lt;&gt;$DO347) + $B$19*($DN347=$DO347))</f>
        <v>3.7037037037037035E-4</v>
      </c>
      <c r="ET347" s="10" cm="1">
        <f t="array" aca="1" ref="ET347" ca="1">(1-$B$18)*SUMPRODUCT(OFFSET($BO$15,0,0,$B$14,1), 1*(_xlfn._xlws.FILTER(OFFSET($O$15,0,$DN347,$B$8,1),OFFSET($M$15,0,0,$B$8,1))=ET$13), 1*(_xlfn._xlws.FILTER(OFFSET($O$15,0,$DO347,$B$8,1),OFFSET($M$15,0,0,$B$8,1))=ET$14))   /   SUM(OFFSET($BO$15,0,0,$B$14,1)) + $B$18/($B$19*$B$19*($DN347&lt;&gt;$DO347) + $B$19*($DN347=$DO347))</f>
        <v>3.7037037037037035E-4</v>
      </c>
      <c r="EU347" s="10" cm="1">
        <f t="array" aca="1" ref="EU347" ca="1">(1-$B$18)*SUMPRODUCT(OFFSET($BO$15,0,0,$B$14,1), 1*(_xlfn._xlws.FILTER(OFFSET($O$15,0,$DN347,$B$8,1),OFFSET($M$15,0,0,$B$8,1))=EU$13), 1*(_xlfn._xlws.FILTER(OFFSET($O$15,0,$DO347,$B$8,1),OFFSET($M$15,0,0,$B$8,1))=EU$14))   /   SUM(OFFSET($BO$15,0,0,$B$14,1)) + $B$18/($B$19*$B$19*($DN347&lt;&gt;$DO347) + $B$19*($DN347=$DO347))</f>
        <v>3.7037037037037035E-4</v>
      </c>
      <c r="EV347" s="10" cm="1">
        <f t="array" aca="1" ref="EV347" ca="1">(1-$B$18)*SUMPRODUCT(OFFSET($BO$15,0,0,$B$14,1), 1*(_xlfn._xlws.FILTER(OFFSET($O$15,0,$DN347,$B$8,1),OFFSET($M$15,0,0,$B$8,1))=EV$13), 1*(_xlfn._xlws.FILTER(OFFSET($O$15,0,$DO347,$B$8,1),OFFSET($M$15,0,0,$B$8,1))=EV$14))   /   SUM(OFFSET($BO$15,0,0,$B$14,1)) + $B$18/($B$19*$B$19*($DN347&lt;&gt;$DO347) + $B$19*($DN347=$DO347))</f>
        <v>3.7037037037037035E-4</v>
      </c>
      <c r="EW347" s="10" cm="1">
        <f t="array" aca="1" ref="EW347" ca="1">(1-$B$18)*SUMPRODUCT(OFFSET($BO$15,0,0,$B$14,1), 1*(_xlfn._xlws.FILTER(OFFSET($O$15,0,$DN347,$B$8,1),OFFSET($M$15,0,0,$B$8,1))=EW$13), 1*(_xlfn._xlws.FILTER(OFFSET($O$15,0,$DO347,$B$8,1),OFFSET($M$15,0,0,$B$8,1))=EW$14))   /   SUM(OFFSET($BO$15,0,0,$B$14,1)) + $B$18/($B$19*$B$19*($DN347&lt;&gt;$DO347) + $B$19*($DN347=$DO347))</f>
        <v>3.7037037037037035E-4</v>
      </c>
      <c r="EX347" s="10" cm="1">
        <f t="array" aca="1" ref="EX347" ca="1">(1-$B$18)*SUMPRODUCT(OFFSET($BO$15,0,0,$B$14,1), 1*(_xlfn._xlws.FILTER(OFFSET($O$15,0,$DN347,$B$8,1),OFFSET($M$15,0,0,$B$8,1))=EX$13), 1*(_xlfn._xlws.FILTER(OFFSET($O$15,0,$DO347,$B$8,1),OFFSET($M$15,0,0,$B$8,1))=EX$14))   /   SUM(OFFSET($BO$15,0,0,$B$14,1)) + $B$18/($B$19*$B$19*($DN347&lt;&gt;$DO347) + $B$19*($DN347=$DO347))</f>
        <v>3.7037037037037035E-4</v>
      </c>
      <c r="EY347" s="10" cm="1">
        <f t="array" aca="1" ref="EY347" ca="1">(1-$B$18)*SUMPRODUCT(OFFSET($BO$15,0,0,$B$14,1), 1*(_xlfn._xlws.FILTER(OFFSET($O$15,0,$DN347,$B$8,1),OFFSET($M$15,0,0,$B$8,1))=EY$13), 1*(_xlfn._xlws.FILTER(OFFSET($O$15,0,$DO347,$B$8,1),OFFSET($M$15,0,0,$B$8,1))=EY$14))   /   SUM(OFFSET($BO$15,0,0,$B$14,1)) + $B$18/($B$19*$B$19*($DN347&lt;&gt;$DO347) + $B$19*($DN347=$DO347))</f>
        <v>3.7037037037037035E-4</v>
      </c>
      <c r="EZ347" s="10" cm="1">
        <f t="array" aca="1" ref="EZ347" ca="1">(1-$B$18)*SUMPRODUCT(OFFSET($BO$15,0,0,$B$14,1), 1*(_xlfn._xlws.FILTER(OFFSET($O$15,0,$DN347,$B$8,1),OFFSET($M$15,0,0,$B$8,1))=EZ$13), 1*(_xlfn._xlws.FILTER(OFFSET($O$15,0,$DO347,$B$8,1),OFFSET($M$15,0,0,$B$8,1))=EZ$14))   /   SUM(OFFSET($BO$15,0,0,$B$14,1)) + $B$18/($B$19*$B$19*($DN347&lt;&gt;$DO347) + $B$19*($DN347=$DO347))</f>
        <v>3.7037037037037035E-4</v>
      </c>
      <c r="FA347" s="10" cm="1">
        <f t="array" aca="1" ref="FA347" ca="1">(1-$B$18)*SUMPRODUCT(OFFSET($BO$15,0,0,$B$14,1), 1*(_xlfn._xlws.FILTER(OFFSET($O$15,0,$DN347,$B$8,1),OFFSET($M$15,0,0,$B$8,1))=FA$13), 1*(_xlfn._xlws.FILTER(OFFSET($O$15,0,$DO347,$B$8,1),OFFSET($M$15,0,0,$B$8,1))=FA$14))   /   SUM(OFFSET($BO$15,0,0,$B$14,1)) + $B$18/($B$19*$B$19*($DN347&lt;&gt;$DO347) + $B$19*($DN347=$DO347))</f>
        <v>3.7037037037037035E-4</v>
      </c>
      <c r="FB347" s="10" cm="1">
        <f t="array" aca="1" ref="FB347" ca="1">(1-$B$18)*SUMPRODUCT(OFFSET($BO$15,0,0,$B$14,1), 1*(_xlfn._xlws.FILTER(OFFSET($O$15,0,$DN347,$B$8,1),OFFSET($M$15,0,0,$B$8,1))=FB$13), 1*(_xlfn._xlws.FILTER(OFFSET($O$15,0,$DO347,$B$8,1),OFFSET($M$15,0,0,$B$8,1))=FB$14))   /   SUM(OFFSET($BO$15,0,0,$B$14,1)) + $B$18/($B$19*$B$19*($DN347&lt;&gt;$DO347) + $B$19*($DN347=$DO347))</f>
        <v>0.24287037037037024</v>
      </c>
      <c r="FC347" s="10" cm="1">
        <f t="array" aca="1" ref="FC347" ca="1">(1-$B$18)*SUMPRODUCT(OFFSET($BO$15,0,0,$B$14,1), 1*(_xlfn._xlws.FILTER(OFFSET($O$15,0,$DN347,$B$8,1),OFFSET($M$15,0,0,$B$8,1))=FC$13), 1*(_xlfn._xlws.FILTER(OFFSET($O$15,0,$DO347,$B$8,1),OFFSET($M$15,0,0,$B$8,1))=FC$14))   /   SUM(OFFSET($BO$15,0,0,$B$14,1)) + $B$18/($B$19*$B$19*($DN347&lt;&gt;$DO347) + $B$19*($DN347=$DO347))</f>
        <v>3.7037037037037035E-4</v>
      </c>
      <c r="FD347" s="10" cm="1">
        <f t="array" aca="1" ref="FD347" ca="1">(1-$B$18)*SUMPRODUCT(OFFSET($BO$15,0,0,$B$14,1), 1*(_xlfn._xlws.FILTER(OFFSET($O$15,0,$DN347,$B$8,1),OFFSET($M$15,0,0,$B$8,1))=FD$13), 1*(_xlfn._xlws.FILTER(OFFSET($O$15,0,$DO347,$B$8,1),OFFSET($M$15,0,0,$B$8,1))=FD$14))   /   SUM(OFFSET($BO$15,0,0,$B$14,1)) + $B$18/($B$19*$B$19*($DN347&lt;&gt;$DO347) + $B$19*($DN347=$DO347))</f>
        <v>3.7037037037037035E-4</v>
      </c>
      <c r="FE347" s="10" cm="1">
        <f t="array" aca="1" ref="FE347" ca="1">(1-$B$18)*SUMPRODUCT(OFFSET($BO$15,0,0,$B$14,1), 1*(_xlfn._xlws.FILTER(OFFSET($O$15,0,$DN347,$B$8,1),OFFSET($M$15,0,0,$B$8,1))=FE$13), 1*(_xlfn._xlws.FILTER(OFFSET($O$15,0,$DO347,$B$8,1),OFFSET($M$15,0,0,$B$8,1))=FE$14))   /   SUM(OFFSET($BO$15,0,0,$B$14,1)) + $B$18/($B$19*$B$19*($DN347&lt;&gt;$DO347) + $B$19*($DN347=$DO347))</f>
        <v>3.7037037037037035E-4</v>
      </c>
      <c r="FF347" s="10" cm="1">
        <f t="array" aca="1" ref="FF347" ca="1">(1-$B$18)*SUMPRODUCT(OFFSET($BO$15,0,0,$B$14,1), 1*(_xlfn._xlws.FILTER(OFFSET($O$15,0,$DN347,$B$8,1),OFFSET($M$15,0,0,$B$8,1))=FF$13), 1*(_xlfn._xlws.FILTER(OFFSET($O$15,0,$DO347,$B$8,1),OFFSET($M$15,0,0,$B$8,1))=FF$14))   /   SUM(OFFSET($BO$15,0,0,$B$14,1)) + $B$18/($B$19*$B$19*($DN347&lt;&gt;$DO347) + $B$19*($DN347=$DO347))</f>
        <v>3.7037037037037035E-4</v>
      </c>
      <c r="FG347" s="10" cm="1">
        <f t="array" aca="1" ref="FG347" ca="1">(1-$B$18)*SUMPRODUCT(OFFSET($BO$15,0,0,$B$14,1), 1*(_xlfn._xlws.FILTER(OFFSET($O$15,0,$DN347,$B$8,1),OFFSET($M$15,0,0,$B$8,1))=FG$13), 1*(_xlfn._xlws.FILTER(OFFSET($O$15,0,$DO347,$B$8,1),OFFSET($M$15,0,0,$B$8,1))=FG$14))   /   SUM(OFFSET($BO$15,0,0,$B$14,1)) + $B$18/($B$19*$B$19*($DN347&lt;&gt;$DO347) + $B$19*($DN347=$DO347))</f>
        <v>3.7037037037037035E-4</v>
      </c>
      <c r="FH347" s="10" cm="1">
        <f t="array" aca="1" ref="FH347" ca="1">(1-$B$18)*SUMPRODUCT(OFFSET($BO$15,0,0,$B$14,1), 1*(_xlfn._xlws.FILTER(OFFSET($O$15,0,$DN347,$B$8,1),OFFSET($M$15,0,0,$B$8,1))=FH$13), 1*(_xlfn._xlws.FILTER(OFFSET($O$15,0,$DO347,$B$8,1),OFFSET($M$15,0,0,$B$8,1))=FH$14))   /   SUM(OFFSET($BO$15,0,0,$B$14,1)) + $B$18/($B$19*$B$19*($DN347&lt;&gt;$DO347) + $B$19*($DN347=$DO347))</f>
        <v>3.7037037037037035E-4</v>
      </c>
      <c r="FI347" s="10" cm="1">
        <f t="array" aca="1" ref="FI347" ca="1">(1-$B$18)*SUMPRODUCT(OFFSET($BO$15,0,0,$B$14,1), 1*(_xlfn._xlws.FILTER(OFFSET($O$15,0,$DN347,$B$8,1),OFFSET($M$15,0,0,$B$8,1))=FI$13), 1*(_xlfn._xlws.FILTER(OFFSET($O$15,0,$DO347,$B$8,1),OFFSET($M$15,0,0,$B$8,1))=FI$14))   /   SUM(OFFSET($BO$15,0,0,$B$14,1)) + $B$18/($B$19*$B$19*($DN347&lt;&gt;$DO347) + $B$19*($DN347=$DO347))</f>
        <v>3.7037037037037035E-4</v>
      </c>
      <c r="FJ347" s="10" cm="1">
        <f t="array" aca="1" ref="FJ347" ca="1">(1-$B$18)*SUMPRODUCT(OFFSET($BO$15,0,0,$B$14,1), 1*(_xlfn._xlws.FILTER(OFFSET($O$15,0,$DN347,$B$8,1),OFFSET($M$15,0,0,$B$8,1))=FJ$13), 1*(_xlfn._xlws.FILTER(OFFSET($O$15,0,$DO347,$B$8,1),OFFSET($M$15,0,0,$B$8,1))=FJ$14))   /   SUM(OFFSET($BO$15,0,0,$B$14,1)) + $B$18/($B$19*$B$19*($DN347&lt;&gt;$DO347) + $B$19*($DN347=$DO347))</f>
        <v>0.24287037037037026</v>
      </c>
      <c r="FK347" s="10" cm="1">
        <f t="array" aca="1" ref="FK347" ca="1">(1-$B$18)*SUMPRODUCT(OFFSET($BO$15,0,0,$B$14,1), 1*(_xlfn._xlws.FILTER(OFFSET($O$15,0,$DN347,$B$8,1),OFFSET($M$15,0,0,$B$8,1))=FK$13), 1*(_xlfn._xlws.FILTER(OFFSET($O$15,0,$DO347,$B$8,1),OFFSET($M$15,0,0,$B$8,1))=FK$14))   /   SUM(OFFSET($BO$15,0,0,$B$14,1)) + $B$18/($B$19*$B$19*($DN347&lt;&gt;$DO347) + $B$19*($DN347=$DO347))</f>
        <v>3.7037037037037035E-4</v>
      </c>
      <c r="FL347" s="10" cm="1">
        <f t="array" aca="1" ref="FL347" ca="1">(1-$B$18)*SUMPRODUCT(OFFSET($BO$15,0,0,$B$14,1), 1*(_xlfn._xlws.FILTER(OFFSET($O$15,0,$DN347,$B$8,1),OFFSET($M$15,0,0,$B$8,1))=FL$13), 1*(_xlfn._xlws.FILTER(OFFSET($O$15,0,$DO347,$B$8,1),OFFSET($M$15,0,0,$B$8,1))=FL$14))   /   SUM(OFFSET($BO$15,0,0,$B$14,1)) + $B$18/($B$19*$B$19*($DN347&lt;&gt;$DO347) + $B$19*($DN347=$DO347))</f>
        <v>3.7037037037037035E-4</v>
      </c>
      <c r="FM347" s="10" cm="1">
        <f t="array" aca="1" ref="FM347" ca="1">(1-$B$18)*SUMPRODUCT(OFFSET($BO$15,0,0,$B$14,1), 1*(_xlfn._xlws.FILTER(OFFSET($O$15,0,$DN347,$B$8,1),OFFSET($M$15,0,0,$B$8,1))=FM$13), 1*(_xlfn._xlws.FILTER(OFFSET($O$15,0,$DO347,$B$8,1),OFFSET($M$15,0,0,$B$8,1))=FM$14))   /   SUM(OFFSET($BO$15,0,0,$B$14,1)) + $B$18/($B$19*$B$19*($DN347&lt;&gt;$DO347) + $B$19*($DN347=$DO347))</f>
        <v>3.7037037037037035E-4</v>
      </c>
      <c r="FN347" s="10" cm="1">
        <f t="array" aca="1" ref="FN347" ca="1">(1-$B$18)*SUMPRODUCT(OFFSET($BO$15,0,0,$B$14,1), 1*(_xlfn._xlws.FILTER(OFFSET($O$15,0,$DN347,$B$8,1),OFFSET($M$15,0,0,$B$8,1))=FN$13), 1*(_xlfn._xlws.FILTER(OFFSET($O$15,0,$DO347,$B$8,1),OFFSET($M$15,0,0,$B$8,1))=FN$14))   /   SUM(OFFSET($BO$15,0,0,$B$14,1)) + $B$18/($B$19*$B$19*($DN347&lt;&gt;$DO347) + $B$19*($DN347=$DO347))</f>
        <v>3.7037037037037035E-4</v>
      </c>
      <c r="FO347" s="10" cm="1">
        <f t="array" aca="1" ref="FO347" ca="1">(1-$B$18)*SUMPRODUCT(OFFSET($BO$15,0,0,$B$14,1), 1*(_xlfn._xlws.FILTER(OFFSET($O$15,0,$DN347,$B$8,1),OFFSET($M$15,0,0,$B$8,1))=FO$13), 1*(_xlfn._xlws.FILTER(OFFSET($O$15,0,$DO347,$B$8,1),OFFSET($M$15,0,0,$B$8,1))=FO$14))   /   SUM(OFFSET($BO$15,0,0,$B$14,1)) + $B$18/($B$19*$B$19*($DN347&lt;&gt;$DO347) + $B$19*($DN347=$DO347))</f>
        <v>3.7037037037037035E-4</v>
      </c>
      <c r="FP347" s="10" cm="1">
        <f t="array" aca="1" ref="FP347" ca="1">(1-$B$18)*SUMPRODUCT(OFFSET($BO$15,0,0,$B$14,1), 1*(_xlfn._xlws.FILTER(OFFSET($O$15,0,$DN347,$B$8,1),OFFSET($M$15,0,0,$B$8,1))=FP$13), 1*(_xlfn._xlws.FILTER(OFFSET($O$15,0,$DO347,$B$8,1),OFFSET($M$15,0,0,$B$8,1))=FP$14))   /   SUM(OFFSET($BO$15,0,0,$B$14,1)) + $B$18/($B$19*$B$19*($DN347&lt;&gt;$DO347) + $B$19*($DN347=$DO347))</f>
        <v>3.7037037037037035E-4</v>
      </c>
      <c r="FQ347" s="10" cm="1">
        <f t="array" aca="1" ref="FQ347" ca="1">(1-$B$18)*SUMPRODUCT(OFFSET($BO$15,0,0,$B$14,1), 1*(_xlfn._xlws.FILTER(OFFSET($O$15,0,$DN347,$B$8,1),OFFSET($M$15,0,0,$B$8,1))=FQ$13), 1*(_xlfn._xlws.FILTER(OFFSET($O$15,0,$DO347,$B$8,1),OFFSET($M$15,0,0,$B$8,1))=FQ$14))   /   SUM(OFFSET($BO$15,0,0,$B$14,1)) + $B$18/($B$19*$B$19*($DN347&lt;&gt;$DO347) + $B$19*($DN347=$DO347))</f>
        <v>3.7037037037037035E-4</v>
      </c>
      <c r="FR347" s="10" cm="1">
        <f t="array" aca="1" ref="FR347" ca="1">(1-$B$18)*SUMPRODUCT(OFFSET($BO$15,0,0,$B$14,1), 1*(_xlfn._xlws.FILTER(OFFSET($O$15,0,$DN347,$B$8,1),OFFSET($M$15,0,0,$B$8,1))=FR$13), 1*(_xlfn._xlws.FILTER(OFFSET($O$15,0,$DO347,$B$8,1),OFFSET($M$15,0,0,$B$8,1))=FR$14))   /   SUM(OFFSET($BO$15,0,0,$B$14,1)) + $B$18/($B$19*$B$19*($DN347&lt;&gt;$DO347) + $B$19*($DN347=$DO347))</f>
        <v>0.48537037037037012</v>
      </c>
      <c r="FS347" s="10" cm="1">
        <f t="array" aca="1" ref="FS347" ca="1">(1-$B$18)*SUMPRODUCT(OFFSET($BO$15,0,0,$B$14,1), 1*(_xlfn._xlws.FILTER(OFFSET($O$15,0,$DN347,$B$8,1),OFFSET($M$15,0,0,$B$8,1))=FS$13), 1*(_xlfn._xlws.FILTER(OFFSET($O$15,0,$DO347,$B$8,1),OFFSET($M$15,0,0,$B$8,1))=FS$14))   /   SUM(OFFSET($BO$15,0,0,$B$14,1)) + $B$18/($B$19*$B$19*($DN347&lt;&gt;$DO347) + $B$19*($DN347=$DO347))</f>
        <v>3.7037037037037035E-4</v>
      </c>
      <c r="FT347" s="10" cm="1">
        <f t="array" aca="1" ref="FT347" ca="1">(1-$B$18)*SUMPRODUCT(OFFSET($BO$15,0,0,$B$14,1), 1*(_xlfn._xlws.FILTER(OFFSET($O$15,0,$DN347,$B$8,1),OFFSET($M$15,0,0,$B$8,1))=FT$13), 1*(_xlfn._xlws.FILTER(OFFSET($O$15,0,$DO347,$B$8,1),OFFSET($M$15,0,0,$B$8,1))=FT$14))   /   SUM(OFFSET($BO$15,0,0,$B$14,1)) + $B$18/($B$19*$B$19*($DN347&lt;&gt;$DO347) + $B$19*($DN347=$DO347))</f>
        <v>3.7037037037037035E-4</v>
      </c>
      <c r="FU347" s="10" cm="1">
        <f t="array" aca="1" ref="FU347" ca="1">(1-$B$18)*SUMPRODUCT(OFFSET($BO$15,0,0,$B$14,1), 1*(_xlfn._xlws.FILTER(OFFSET($O$15,0,$DN347,$B$8,1),OFFSET($M$15,0,0,$B$8,1))=FU$13), 1*(_xlfn._xlws.FILTER(OFFSET($O$15,0,$DO347,$B$8,1),OFFSET($M$15,0,0,$B$8,1))=FU$14))   /   SUM(OFFSET($BO$15,0,0,$B$14,1)) + $B$18/($B$19*$B$19*($DN347&lt;&gt;$DO347) + $B$19*($DN347=$DO347))</f>
        <v>3.7037037037037035E-4</v>
      </c>
      <c r="FV347" s="10" cm="1">
        <f t="array" aca="1" ref="FV347" ca="1">(1-$B$18)*SUMPRODUCT(OFFSET($BO$15,0,0,$B$14,1), 1*(_xlfn._xlws.FILTER(OFFSET($O$15,0,$DN347,$B$8,1),OFFSET($M$15,0,0,$B$8,1))=FV$13), 1*(_xlfn._xlws.FILTER(OFFSET($O$15,0,$DO347,$B$8,1),OFFSET($M$15,0,0,$B$8,1))=FV$14))   /   SUM(OFFSET($BO$15,0,0,$B$14,1)) + $B$18/($B$19*$B$19*($DN347&lt;&gt;$DO347) + $B$19*($DN347=$DO347))</f>
        <v>3.7037037037037035E-4</v>
      </c>
      <c r="FW347" s="10" cm="1">
        <f t="array" aca="1" ref="FW347" ca="1">(1-$B$18)*SUMPRODUCT(OFFSET($BO$15,0,0,$B$14,1), 1*(_xlfn._xlws.FILTER(OFFSET($O$15,0,$DN347,$B$8,1),OFFSET($M$15,0,0,$B$8,1))=FW$13), 1*(_xlfn._xlws.FILTER(OFFSET($O$15,0,$DO347,$B$8,1),OFFSET($M$15,0,0,$B$8,1))=FW$14))   /   SUM(OFFSET($BO$15,0,0,$B$14,1)) + $B$18/($B$19*$B$19*($DN347&lt;&gt;$DO347) + $B$19*($DN347=$DO347))</f>
        <v>3.7037037037037035E-4</v>
      </c>
      <c r="FX347" s="10" cm="1">
        <f t="array" aca="1" ref="FX347" ca="1">(1-$B$18)*SUMPRODUCT(OFFSET($BO$15,0,0,$B$14,1), 1*(_xlfn._xlws.FILTER(OFFSET($O$15,0,$DN347,$B$8,1),OFFSET($M$15,0,0,$B$8,1))=FX$13), 1*(_xlfn._xlws.FILTER(OFFSET($O$15,0,$DO347,$B$8,1),OFFSET($M$15,0,0,$B$8,1))=FX$14))   /   SUM(OFFSET($BO$15,0,0,$B$14,1)) + $B$18/($B$19*$B$19*($DN347&lt;&gt;$DO347) + $B$19*($DN347=$DO347))</f>
        <v>3.7037037037037035E-4</v>
      </c>
      <c r="FY347" s="10" cm="1">
        <f t="array" aca="1" ref="FY347" ca="1">(1-$B$18)*SUMPRODUCT(OFFSET($BO$15,0,0,$B$14,1), 1*(_xlfn._xlws.FILTER(OFFSET($O$15,0,$DN347,$B$8,1),OFFSET($M$15,0,0,$B$8,1))=FY$13), 1*(_xlfn._xlws.FILTER(OFFSET($O$15,0,$DO347,$B$8,1),OFFSET($M$15,0,0,$B$8,1))=FY$14))   /   SUM(OFFSET($BO$15,0,0,$B$14,1)) + $B$18/($B$19*$B$19*($DN347&lt;&gt;$DO347) + $B$19*($DN347=$DO347))</f>
        <v>3.7037037037037035E-4</v>
      </c>
      <c r="FZ347" s="10" cm="1">
        <f t="array" aca="1" ref="FZ347" ca="1">(1-$B$18)*SUMPRODUCT(OFFSET($BO$15,0,0,$B$14,1), 1*(_xlfn._xlws.FILTER(OFFSET($O$15,0,$DN347,$B$8,1),OFFSET($M$15,0,0,$B$8,1))=FZ$13), 1*(_xlfn._xlws.FILTER(OFFSET($O$15,0,$DO347,$B$8,1),OFFSET($M$15,0,0,$B$8,1))=FZ$14))   /   SUM(OFFSET($BO$15,0,0,$B$14,1)) + $B$18/($B$19*$B$19*($DN347&lt;&gt;$DO347) + $B$19*($DN347=$DO347))</f>
        <v>3.7037037037037035E-4</v>
      </c>
      <c r="GA347" s="10" cm="1">
        <f t="array" aca="1" ref="GA347" ca="1">(1-$B$18)*SUMPRODUCT(OFFSET($BO$15,0,0,$B$14,1), 1*(_xlfn._xlws.FILTER(OFFSET($O$15,0,$DN347,$B$8,1),OFFSET($M$15,0,0,$B$8,1))=GA$13), 1*(_xlfn._xlws.FILTER(OFFSET($O$15,0,$DO347,$B$8,1),OFFSET($M$15,0,0,$B$8,1))=GA$14))   /   SUM(OFFSET($BO$15,0,0,$B$14,1)) + $B$18/($B$19*$B$19*($DN347&lt;&gt;$DO347) + $B$19*($DN347=$DO347))</f>
        <v>3.7037037037037035E-4</v>
      </c>
    </row>
    <row r="348" spans="118:183" x14ac:dyDescent="0.2">
      <c r="DN348" cm="1">
        <f t="array" aca="1" ref="DN348" ca="1">INDEX(_xlfn.ANCHORARRAY($CP$15), 1 + INT((ROWS($DO$15:$DO348) - 1) / ROWS(_xlfn.ANCHORARRAY($CP$15))))</f>
        <v>20</v>
      </c>
      <c r="DO348" cm="1">
        <f t="array" aca="1" ref="DO348" ca="1">INDEX(_xlfn.ANCHORARRAY($CP$15),1+MOD(ROWS($DO$15:$DO348)-1,ROWS(_xlfn.ANCHORARRAY($CP$15))))</f>
        <v>11</v>
      </c>
      <c r="DP348" s="10" cm="1">
        <f t="array" aca="1" ref="DP348" ca="1">(1-$B$18)*SUMPRODUCT(OFFSET($BO$15,0,0,$B$14,1), 1*(_xlfn._xlws.FILTER(OFFSET($O$15,0,$DN348,$B$8,1),OFFSET($M$15,0,0,$B$8,1))=DP$13), 1*(_xlfn._xlws.FILTER(OFFSET($O$15,0,$DO348,$B$8,1),OFFSET($M$15,0,0,$B$8,1))=DP$14))   /   SUM(OFFSET($BO$15,0,0,$B$14,1)) + $B$18/($B$19*$B$19*($DN348&lt;&gt;$DO348) + $B$19*($DN348=$DO348))</f>
        <v>3.7037037037037035E-4</v>
      </c>
      <c r="DQ348" s="10" cm="1">
        <f t="array" aca="1" ref="DQ348" ca="1">(1-$B$18)*SUMPRODUCT(OFFSET($BO$15,0,0,$B$14,1), 1*(_xlfn._xlws.FILTER(OFFSET($O$15,0,$DN348,$B$8,1),OFFSET($M$15,0,0,$B$8,1))=DQ$13), 1*(_xlfn._xlws.FILTER(OFFSET($O$15,0,$DO348,$B$8,1),OFFSET($M$15,0,0,$B$8,1))=DQ$14))   /   SUM(OFFSET($BO$15,0,0,$B$14,1)) + $B$18/($B$19*$B$19*($DN348&lt;&gt;$DO348) + $B$19*($DN348=$DO348))</f>
        <v>3.7037037037037035E-4</v>
      </c>
      <c r="DR348" s="10" cm="1">
        <f t="array" aca="1" ref="DR348" ca="1">(1-$B$18)*SUMPRODUCT(OFFSET($BO$15,0,0,$B$14,1), 1*(_xlfn._xlws.FILTER(OFFSET($O$15,0,$DN348,$B$8,1),OFFSET($M$15,0,0,$B$8,1))=DR$13), 1*(_xlfn._xlws.FILTER(OFFSET($O$15,0,$DO348,$B$8,1),OFFSET($M$15,0,0,$B$8,1))=DR$14))   /   SUM(OFFSET($BO$15,0,0,$B$14,1)) + $B$18/($B$19*$B$19*($DN348&lt;&gt;$DO348) + $B$19*($DN348=$DO348))</f>
        <v>3.7037037037037035E-4</v>
      </c>
      <c r="DS348" s="10" cm="1">
        <f t="array" aca="1" ref="DS348" ca="1">(1-$B$18)*SUMPRODUCT(OFFSET($BO$15,0,0,$B$14,1), 1*(_xlfn._xlws.FILTER(OFFSET($O$15,0,$DN348,$B$8,1),OFFSET($M$15,0,0,$B$8,1))=DS$13), 1*(_xlfn._xlws.FILTER(OFFSET($O$15,0,$DO348,$B$8,1),OFFSET($M$15,0,0,$B$8,1))=DS$14))   /   SUM(OFFSET($BO$15,0,0,$B$14,1)) + $B$18/($B$19*$B$19*($DN348&lt;&gt;$DO348) + $B$19*($DN348=$DO348))</f>
        <v>3.7037037037037035E-4</v>
      </c>
      <c r="DT348" s="10" cm="1">
        <f t="array" aca="1" ref="DT348" ca="1">(1-$B$18)*SUMPRODUCT(OFFSET($BO$15,0,0,$B$14,1), 1*(_xlfn._xlws.FILTER(OFFSET($O$15,0,$DN348,$B$8,1),OFFSET($M$15,0,0,$B$8,1))=DT$13), 1*(_xlfn._xlws.FILTER(OFFSET($O$15,0,$DO348,$B$8,1),OFFSET($M$15,0,0,$B$8,1))=DT$14))   /   SUM(OFFSET($BO$15,0,0,$B$14,1)) + $B$18/($B$19*$B$19*($DN348&lt;&gt;$DO348) + $B$19*($DN348=$DO348))</f>
        <v>3.7037037037037035E-4</v>
      </c>
      <c r="DU348" s="10" cm="1">
        <f t="array" aca="1" ref="DU348" ca="1">(1-$B$18)*SUMPRODUCT(OFFSET($BO$15,0,0,$B$14,1), 1*(_xlfn._xlws.FILTER(OFFSET($O$15,0,$DN348,$B$8,1),OFFSET($M$15,0,0,$B$8,1))=DU$13), 1*(_xlfn._xlws.FILTER(OFFSET($O$15,0,$DO348,$B$8,1),OFFSET($M$15,0,0,$B$8,1))=DU$14))   /   SUM(OFFSET($BO$15,0,0,$B$14,1)) + $B$18/($B$19*$B$19*($DN348&lt;&gt;$DO348) + $B$19*($DN348=$DO348))</f>
        <v>3.7037037037037035E-4</v>
      </c>
      <c r="DV348" s="10" cm="1">
        <f t="array" aca="1" ref="DV348" ca="1">(1-$B$18)*SUMPRODUCT(OFFSET($BO$15,0,0,$B$14,1), 1*(_xlfn._xlws.FILTER(OFFSET($O$15,0,$DN348,$B$8,1),OFFSET($M$15,0,0,$B$8,1))=DV$13), 1*(_xlfn._xlws.FILTER(OFFSET($O$15,0,$DO348,$B$8,1),OFFSET($M$15,0,0,$B$8,1))=DV$14))   /   SUM(OFFSET($BO$15,0,0,$B$14,1)) + $B$18/($B$19*$B$19*($DN348&lt;&gt;$DO348) + $B$19*($DN348=$DO348))</f>
        <v>3.7037037037037035E-4</v>
      </c>
      <c r="DW348" s="10" cm="1">
        <f t="array" aca="1" ref="DW348" ca="1">(1-$B$18)*SUMPRODUCT(OFFSET($BO$15,0,0,$B$14,1), 1*(_xlfn._xlws.FILTER(OFFSET($O$15,0,$DN348,$B$8,1),OFFSET($M$15,0,0,$B$8,1))=DW$13), 1*(_xlfn._xlws.FILTER(OFFSET($O$15,0,$DO348,$B$8,1),OFFSET($M$15,0,0,$B$8,1))=DW$14))   /   SUM(OFFSET($BO$15,0,0,$B$14,1)) + $B$18/($B$19*$B$19*($DN348&lt;&gt;$DO348) + $B$19*($DN348=$DO348))</f>
        <v>3.7037037037037035E-4</v>
      </c>
      <c r="DX348" s="10" cm="1">
        <f t="array" aca="1" ref="DX348" ca="1">(1-$B$18)*SUMPRODUCT(OFFSET($BO$15,0,0,$B$14,1), 1*(_xlfn._xlws.FILTER(OFFSET($O$15,0,$DN348,$B$8,1),OFFSET($M$15,0,0,$B$8,1))=DX$13), 1*(_xlfn._xlws.FILTER(OFFSET($O$15,0,$DO348,$B$8,1),OFFSET($M$15,0,0,$B$8,1))=DX$14))   /   SUM(OFFSET($BO$15,0,0,$B$14,1)) + $B$18/($B$19*$B$19*($DN348&lt;&gt;$DO348) + $B$19*($DN348=$DO348))</f>
        <v>3.7037037037037035E-4</v>
      </c>
      <c r="DY348" s="10" cm="1">
        <f t="array" aca="1" ref="DY348" ca="1">(1-$B$18)*SUMPRODUCT(OFFSET($BO$15,0,0,$B$14,1), 1*(_xlfn._xlws.FILTER(OFFSET($O$15,0,$DN348,$B$8,1),OFFSET($M$15,0,0,$B$8,1))=DY$13), 1*(_xlfn._xlws.FILTER(OFFSET($O$15,0,$DO348,$B$8,1),OFFSET($M$15,0,0,$B$8,1))=DY$14))   /   SUM(OFFSET($BO$15,0,0,$B$14,1)) + $B$18/($B$19*$B$19*($DN348&lt;&gt;$DO348) + $B$19*($DN348=$DO348))</f>
        <v>3.7037037037037035E-4</v>
      </c>
      <c r="DZ348" s="10" cm="1">
        <f t="array" aca="1" ref="DZ348" ca="1">(1-$B$18)*SUMPRODUCT(OFFSET($BO$15,0,0,$B$14,1), 1*(_xlfn._xlws.FILTER(OFFSET($O$15,0,$DN348,$B$8,1),OFFSET($M$15,0,0,$B$8,1))=DZ$13), 1*(_xlfn._xlws.FILTER(OFFSET($O$15,0,$DO348,$B$8,1),OFFSET($M$15,0,0,$B$8,1))=DZ$14))   /   SUM(OFFSET($BO$15,0,0,$B$14,1)) + $B$18/($B$19*$B$19*($DN348&lt;&gt;$DO348) + $B$19*($DN348=$DO348))</f>
        <v>3.7037037037037035E-4</v>
      </c>
      <c r="EA348" s="10" cm="1">
        <f t="array" aca="1" ref="EA348" ca="1">(1-$B$18)*SUMPRODUCT(OFFSET($BO$15,0,0,$B$14,1), 1*(_xlfn._xlws.FILTER(OFFSET($O$15,0,$DN348,$B$8,1),OFFSET($M$15,0,0,$B$8,1))=EA$13), 1*(_xlfn._xlws.FILTER(OFFSET($O$15,0,$DO348,$B$8,1),OFFSET($M$15,0,0,$B$8,1))=EA$14))   /   SUM(OFFSET($BO$15,0,0,$B$14,1)) + $B$18/($B$19*$B$19*($DN348&lt;&gt;$DO348) + $B$19*($DN348=$DO348))</f>
        <v>3.7037037037037035E-4</v>
      </c>
      <c r="EB348" s="10" cm="1">
        <f t="array" aca="1" ref="EB348" ca="1">(1-$B$18)*SUMPRODUCT(OFFSET($BO$15,0,0,$B$14,1), 1*(_xlfn._xlws.FILTER(OFFSET($O$15,0,$DN348,$B$8,1),OFFSET($M$15,0,0,$B$8,1))=EB$13), 1*(_xlfn._xlws.FILTER(OFFSET($O$15,0,$DO348,$B$8,1),OFFSET($M$15,0,0,$B$8,1))=EB$14))   /   SUM(OFFSET($BO$15,0,0,$B$14,1)) + $B$18/($B$19*$B$19*($DN348&lt;&gt;$DO348) + $B$19*($DN348=$DO348))</f>
        <v>3.7037037037037035E-4</v>
      </c>
      <c r="EC348" s="10" cm="1">
        <f t="array" aca="1" ref="EC348" ca="1">(1-$B$18)*SUMPRODUCT(OFFSET($BO$15,0,0,$B$14,1), 1*(_xlfn._xlws.FILTER(OFFSET($O$15,0,$DN348,$B$8,1),OFFSET($M$15,0,0,$B$8,1))=EC$13), 1*(_xlfn._xlws.FILTER(OFFSET($O$15,0,$DO348,$B$8,1),OFFSET($M$15,0,0,$B$8,1))=EC$14))   /   SUM(OFFSET($BO$15,0,0,$B$14,1)) + $B$18/($B$19*$B$19*($DN348&lt;&gt;$DO348) + $B$19*($DN348=$DO348))</f>
        <v>3.7037037037037035E-4</v>
      </c>
      <c r="ED348" s="10" cm="1">
        <f t="array" aca="1" ref="ED348" ca="1">(1-$B$18)*SUMPRODUCT(OFFSET($BO$15,0,0,$B$14,1), 1*(_xlfn._xlws.FILTER(OFFSET($O$15,0,$DN348,$B$8,1),OFFSET($M$15,0,0,$B$8,1))=ED$13), 1*(_xlfn._xlws.FILTER(OFFSET($O$15,0,$DO348,$B$8,1),OFFSET($M$15,0,0,$B$8,1))=ED$14))   /   SUM(OFFSET($BO$15,0,0,$B$14,1)) + $B$18/($B$19*$B$19*($DN348&lt;&gt;$DO348) + $B$19*($DN348=$DO348))</f>
        <v>3.7037037037037035E-4</v>
      </c>
      <c r="EE348" s="10" cm="1">
        <f t="array" aca="1" ref="EE348" ca="1">(1-$B$18)*SUMPRODUCT(OFFSET($BO$15,0,0,$B$14,1), 1*(_xlfn._xlws.FILTER(OFFSET($O$15,0,$DN348,$B$8,1),OFFSET($M$15,0,0,$B$8,1))=EE$13), 1*(_xlfn._xlws.FILTER(OFFSET($O$15,0,$DO348,$B$8,1),OFFSET($M$15,0,0,$B$8,1))=EE$14))   /   SUM(OFFSET($BO$15,0,0,$B$14,1)) + $B$18/($B$19*$B$19*($DN348&lt;&gt;$DO348) + $B$19*($DN348=$DO348))</f>
        <v>3.7037037037037035E-4</v>
      </c>
      <c r="EF348" s="10" cm="1">
        <f t="array" aca="1" ref="EF348" ca="1">(1-$B$18)*SUMPRODUCT(OFFSET($BO$15,0,0,$B$14,1), 1*(_xlfn._xlws.FILTER(OFFSET($O$15,0,$DN348,$B$8,1),OFFSET($M$15,0,0,$B$8,1))=EF$13), 1*(_xlfn._xlws.FILTER(OFFSET($O$15,0,$DO348,$B$8,1),OFFSET($M$15,0,0,$B$8,1))=EF$14))   /   SUM(OFFSET($BO$15,0,0,$B$14,1)) + $B$18/($B$19*$B$19*($DN348&lt;&gt;$DO348) + $B$19*($DN348=$DO348))</f>
        <v>3.7037037037037035E-4</v>
      </c>
      <c r="EG348" s="10" cm="1">
        <f t="array" aca="1" ref="EG348" ca="1">(1-$B$18)*SUMPRODUCT(OFFSET($BO$15,0,0,$B$14,1), 1*(_xlfn._xlws.FILTER(OFFSET($O$15,0,$DN348,$B$8,1),OFFSET($M$15,0,0,$B$8,1))=EG$13), 1*(_xlfn._xlws.FILTER(OFFSET($O$15,0,$DO348,$B$8,1),OFFSET($M$15,0,0,$B$8,1))=EG$14))   /   SUM(OFFSET($BO$15,0,0,$B$14,1)) + $B$18/($B$19*$B$19*($DN348&lt;&gt;$DO348) + $B$19*($DN348=$DO348))</f>
        <v>3.7037037037037035E-4</v>
      </c>
      <c r="EH348" s="10" cm="1">
        <f t="array" aca="1" ref="EH348" ca="1">(1-$B$18)*SUMPRODUCT(OFFSET($BO$15,0,0,$B$14,1), 1*(_xlfn._xlws.FILTER(OFFSET($O$15,0,$DN348,$B$8,1),OFFSET($M$15,0,0,$B$8,1))=EH$13), 1*(_xlfn._xlws.FILTER(OFFSET($O$15,0,$DO348,$B$8,1),OFFSET($M$15,0,0,$B$8,1))=EH$14))   /   SUM(OFFSET($BO$15,0,0,$B$14,1)) + $B$18/($B$19*$B$19*($DN348&lt;&gt;$DO348) + $B$19*($DN348=$DO348))</f>
        <v>3.7037037037037035E-4</v>
      </c>
      <c r="EI348" s="10" cm="1">
        <f t="array" aca="1" ref="EI348" ca="1">(1-$B$18)*SUMPRODUCT(OFFSET($BO$15,0,0,$B$14,1), 1*(_xlfn._xlws.FILTER(OFFSET($O$15,0,$DN348,$B$8,1),OFFSET($M$15,0,0,$B$8,1))=EI$13), 1*(_xlfn._xlws.FILTER(OFFSET($O$15,0,$DO348,$B$8,1),OFFSET($M$15,0,0,$B$8,1))=EI$14))   /   SUM(OFFSET($BO$15,0,0,$B$14,1)) + $B$18/($B$19*$B$19*($DN348&lt;&gt;$DO348) + $B$19*($DN348=$DO348))</f>
        <v>3.7037037037037035E-4</v>
      </c>
      <c r="EJ348" s="10" cm="1">
        <f t="array" aca="1" ref="EJ348" ca="1">(1-$B$18)*SUMPRODUCT(OFFSET($BO$15,0,0,$B$14,1), 1*(_xlfn._xlws.FILTER(OFFSET($O$15,0,$DN348,$B$8,1),OFFSET($M$15,0,0,$B$8,1))=EJ$13), 1*(_xlfn._xlws.FILTER(OFFSET($O$15,0,$DO348,$B$8,1),OFFSET($M$15,0,0,$B$8,1))=EJ$14))   /   SUM(OFFSET($BO$15,0,0,$B$14,1)) + $B$18/($B$19*$B$19*($DN348&lt;&gt;$DO348) + $B$19*($DN348=$DO348))</f>
        <v>3.7037037037037035E-4</v>
      </c>
      <c r="EK348" s="10" cm="1">
        <f t="array" aca="1" ref="EK348" ca="1">(1-$B$18)*SUMPRODUCT(OFFSET($BO$15,0,0,$B$14,1), 1*(_xlfn._xlws.FILTER(OFFSET($O$15,0,$DN348,$B$8,1),OFFSET($M$15,0,0,$B$8,1))=EK$13), 1*(_xlfn._xlws.FILTER(OFFSET($O$15,0,$DO348,$B$8,1),OFFSET($M$15,0,0,$B$8,1))=EK$14))   /   SUM(OFFSET($BO$15,0,0,$B$14,1)) + $B$18/($B$19*$B$19*($DN348&lt;&gt;$DO348) + $B$19*($DN348=$DO348))</f>
        <v>3.7037037037037035E-4</v>
      </c>
      <c r="EL348" s="10" cm="1">
        <f t="array" aca="1" ref="EL348" ca="1">(1-$B$18)*SUMPRODUCT(OFFSET($BO$15,0,0,$B$14,1), 1*(_xlfn._xlws.FILTER(OFFSET($O$15,0,$DN348,$B$8,1),OFFSET($M$15,0,0,$B$8,1))=EL$13), 1*(_xlfn._xlws.FILTER(OFFSET($O$15,0,$DO348,$B$8,1),OFFSET($M$15,0,0,$B$8,1))=EL$14))   /   SUM(OFFSET($BO$15,0,0,$B$14,1)) + $B$18/($B$19*$B$19*($DN348&lt;&gt;$DO348) + $B$19*($DN348=$DO348))</f>
        <v>3.7037037037037035E-4</v>
      </c>
      <c r="EM348" s="10" cm="1">
        <f t="array" aca="1" ref="EM348" ca="1">(1-$B$18)*SUMPRODUCT(OFFSET($BO$15,0,0,$B$14,1), 1*(_xlfn._xlws.FILTER(OFFSET($O$15,0,$DN348,$B$8,1),OFFSET($M$15,0,0,$B$8,1))=EM$13), 1*(_xlfn._xlws.FILTER(OFFSET($O$15,0,$DO348,$B$8,1),OFFSET($M$15,0,0,$B$8,1))=EM$14))   /   SUM(OFFSET($BO$15,0,0,$B$14,1)) + $B$18/($B$19*$B$19*($DN348&lt;&gt;$DO348) + $B$19*($DN348=$DO348))</f>
        <v>3.7037037037037035E-4</v>
      </c>
      <c r="EN348" s="10" cm="1">
        <f t="array" aca="1" ref="EN348" ca="1">(1-$B$18)*SUMPRODUCT(OFFSET($BO$15,0,0,$B$14,1), 1*(_xlfn._xlws.FILTER(OFFSET($O$15,0,$DN348,$B$8,1),OFFSET($M$15,0,0,$B$8,1))=EN$13), 1*(_xlfn._xlws.FILTER(OFFSET($O$15,0,$DO348,$B$8,1),OFFSET($M$15,0,0,$B$8,1))=EN$14))   /   SUM(OFFSET($BO$15,0,0,$B$14,1)) + $B$18/($B$19*$B$19*($DN348&lt;&gt;$DO348) + $B$19*($DN348=$DO348))</f>
        <v>3.7037037037037035E-4</v>
      </c>
      <c r="EO348" s="10" cm="1">
        <f t="array" aca="1" ref="EO348" ca="1">(1-$B$18)*SUMPRODUCT(OFFSET($BO$15,0,0,$B$14,1), 1*(_xlfn._xlws.FILTER(OFFSET($O$15,0,$DN348,$B$8,1),OFFSET($M$15,0,0,$B$8,1))=EO$13), 1*(_xlfn._xlws.FILTER(OFFSET($O$15,0,$DO348,$B$8,1),OFFSET($M$15,0,0,$B$8,1))=EO$14))   /   SUM(OFFSET($BO$15,0,0,$B$14,1)) + $B$18/($B$19*$B$19*($DN348&lt;&gt;$DO348) + $B$19*($DN348=$DO348))</f>
        <v>3.7037037037037035E-4</v>
      </c>
      <c r="EP348" s="10" cm="1">
        <f t="array" aca="1" ref="EP348" ca="1">(1-$B$18)*SUMPRODUCT(OFFSET($BO$15,0,0,$B$14,1), 1*(_xlfn._xlws.FILTER(OFFSET($O$15,0,$DN348,$B$8,1),OFFSET($M$15,0,0,$B$8,1))=EP$13), 1*(_xlfn._xlws.FILTER(OFFSET($O$15,0,$DO348,$B$8,1),OFFSET($M$15,0,0,$B$8,1))=EP$14))   /   SUM(OFFSET($BO$15,0,0,$B$14,1)) + $B$18/($B$19*$B$19*($DN348&lt;&gt;$DO348) + $B$19*($DN348=$DO348))</f>
        <v>3.7037037037037035E-4</v>
      </c>
      <c r="EQ348" s="10" cm="1">
        <f t="array" aca="1" ref="EQ348" ca="1">(1-$B$18)*SUMPRODUCT(OFFSET($BO$15,0,0,$B$14,1), 1*(_xlfn._xlws.FILTER(OFFSET($O$15,0,$DN348,$B$8,1),OFFSET($M$15,0,0,$B$8,1))=EQ$13), 1*(_xlfn._xlws.FILTER(OFFSET($O$15,0,$DO348,$B$8,1),OFFSET($M$15,0,0,$B$8,1))=EQ$14))   /   SUM(OFFSET($BO$15,0,0,$B$14,1)) + $B$18/($B$19*$B$19*($DN348&lt;&gt;$DO348) + $B$19*($DN348=$DO348))</f>
        <v>3.7037037037037035E-4</v>
      </c>
      <c r="ER348" s="10" cm="1">
        <f t="array" aca="1" ref="ER348" ca="1">(1-$B$18)*SUMPRODUCT(OFFSET($BO$15,0,0,$B$14,1), 1*(_xlfn._xlws.FILTER(OFFSET($O$15,0,$DN348,$B$8,1),OFFSET($M$15,0,0,$B$8,1))=ER$13), 1*(_xlfn._xlws.FILTER(OFFSET($O$15,0,$DO348,$B$8,1),OFFSET($M$15,0,0,$B$8,1))=ER$14))   /   SUM(OFFSET($BO$15,0,0,$B$14,1)) + $B$18/($B$19*$B$19*($DN348&lt;&gt;$DO348) + $B$19*($DN348=$DO348))</f>
        <v>3.7037037037037035E-4</v>
      </c>
      <c r="ES348" s="10" cm="1">
        <f t="array" aca="1" ref="ES348" ca="1">(1-$B$18)*SUMPRODUCT(OFFSET($BO$15,0,0,$B$14,1), 1*(_xlfn._xlws.FILTER(OFFSET($O$15,0,$DN348,$B$8,1),OFFSET($M$15,0,0,$B$8,1))=ES$13), 1*(_xlfn._xlws.FILTER(OFFSET($O$15,0,$DO348,$B$8,1),OFFSET($M$15,0,0,$B$8,1))=ES$14))   /   SUM(OFFSET($BO$15,0,0,$B$14,1)) + $B$18/($B$19*$B$19*($DN348&lt;&gt;$DO348) + $B$19*($DN348=$DO348))</f>
        <v>3.7037037037037035E-4</v>
      </c>
      <c r="ET348" s="10" cm="1">
        <f t="array" aca="1" ref="ET348" ca="1">(1-$B$18)*SUMPRODUCT(OFFSET($BO$15,0,0,$B$14,1), 1*(_xlfn._xlws.FILTER(OFFSET($O$15,0,$DN348,$B$8,1),OFFSET($M$15,0,0,$B$8,1))=ET$13), 1*(_xlfn._xlws.FILTER(OFFSET($O$15,0,$DO348,$B$8,1),OFFSET($M$15,0,0,$B$8,1))=ET$14))   /   SUM(OFFSET($BO$15,0,0,$B$14,1)) + $B$18/($B$19*$B$19*($DN348&lt;&gt;$DO348) + $B$19*($DN348=$DO348))</f>
        <v>3.7037037037037035E-4</v>
      </c>
      <c r="EU348" s="10" cm="1">
        <f t="array" aca="1" ref="EU348" ca="1">(1-$B$18)*SUMPRODUCT(OFFSET($BO$15,0,0,$B$14,1), 1*(_xlfn._xlws.FILTER(OFFSET($O$15,0,$DN348,$B$8,1),OFFSET($M$15,0,0,$B$8,1))=EU$13), 1*(_xlfn._xlws.FILTER(OFFSET($O$15,0,$DO348,$B$8,1),OFFSET($M$15,0,0,$B$8,1))=EU$14))   /   SUM(OFFSET($BO$15,0,0,$B$14,1)) + $B$18/($B$19*$B$19*($DN348&lt;&gt;$DO348) + $B$19*($DN348=$DO348))</f>
        <v>3.7037037037037035E-4</v>
      </c>
      <c r="EV348" s="10" cm="1">
        <f t="array" aca="1" ref="EV348" ca="1">(1-$B$18)*SUMPRODUCT(OFFSET($BO$15,0,0,$B$14,1), 1*(_xlfn._xlws.FILTER(OFFSET($O$15,0,$DN348,$B$8,1),OFFSET($M$15,0,0,$B$8,1))=EV$13), 1*(_xlfn._xlws.FILTER(OFFSET($O$15,0,$DO348,$B$8,1),OFFSET($M$15,0,0,$B$8,1))=EV$14))   /   SUM(OFFSET($BO$15,0,0,$B$14,1)) + $B$18/($B$19*$B$19*($DN348&lt;&gt;$DO348) + $B$19*($DN348=$DO348))</f>
        <v>0.24287037037037024</v>
      </c>
      <c r="EW348" s="10" cm="1">
        <f t="array" aca="1" ref="EW348" ca="1">(1-$B$18)*SUMPRODUCT(OFFSET($BO$15,0,0,$B$14,1), 1*(_xlfn._xlws.FILTER(OFFSET($O$15,0,$DN348,$B$8,1),OFFSET($M$15,0,0,$B$8,1))=EW$13), 1*(_xlfn._xlws.FILTER(OFFSET($O$15,0,$DO348,$B$8,1),OFFSET($M$15,0,0,$B$8,1))=EW$14))   /   SUM(OFFSET($BO$15,0,0,$B$14,1)) + $B$18/($B$19*$B$19*($DN348&lt;&gt;$DO348) + $B$19*($DN348=$DO348))</f>
        <v>3.7037037037037035E-4</v>
      </c>
      <c r="EX348" s="10" cm="1">
        <f t="array" aca="1" ref="EX348" ca="1">(1-$B$18)*SUMPRODUCT(OFFSET($BO$15,0,0,$B$14,1), 1*(_xlfn._xlws.FILTER(OFFSET($O$15,0,$DN348,$B$8,1),OFFSET($M$15,0,0,$B$8,1))=EX$13), 1*(_xlfn._xlws.FILTER(OFFSET($O$15,0,$DO348,$B$8,1),OFFSET($M$15,0,0,$B$8,1))=EX$14))   /   SUM(OFFSET($BO$15,0,0,$B$14,1)) + $B$18/($B$19*$B$19*($DN348&lt;&gt;$DO348) + $B$19*($DN348=$DO348))</f>
        <v>3.7037037037037035E-4</v>
      </c>
      <c r="EY348" s="10" cm="1">
        <f t="array" aca="1" ref="EY348" ca="1">(1-$B$18)*SUMPRODUCT(OFFSET($BO$15,0,0,$B$14,1), 1*(_xlfn._xlws.FILTER(OFFSET($O$15,0,$DN348,$B$8,1),OFFSET($M$15,0,0,$B$8,1))=EY$13), 1*(_xlfn._xlws.FILTER(OFFSET($O$15,0,$DO348,$B$8,1),OFFSET($M$15,0,0,$B$8,1))=EY$14))   /   SUM(OFFSET($BO$15,0,0,$B$14,1)) + $B$18/($B$19*$B$19*($DN348&lt;&gt;$DO348) + $B$19*($DN348=$DO348))</f>
        <v>3.7037037037037035E-4</v>
      </c>
      <c r="EZ348" s="10" cm="1">
        <f t="array" aca="1" ref="EZ348" ca="1">(1-$B$18)*SUMPRODUCT(OFFSET($BO$15,0,0,$B$14,1), 1*(_xlfn._xlws.FILTER(OFFSET($O$15,0,$DN348,$B$8,1),OFFSET($M$15,0,0,$B$8,1))=EZ$13), 1*(_xlfn._xlws.FILTER(OFFSET($O$15,0,$DO348,$B$8,1),OFFSET($M$15,0,0,$B$8,1))=EZ$14))   /   SUM(OFFSET($BO$15,0,0,$B$14,1)) + $B$18/($B$19*$B$19*($DN348&lt;&gt;$DO348) + $B$19*($DN348=$DO348))</f>
        <v>3.7037037037037035E-4</v>
      </c>
      <c r="FA348" s="10" cm="1">
        <f t="array" aca="1" ref="FA348" ca="1">(1-$B$18)*SUMPRODUCT(OFFSET($BO$15,0,0,$B$14,1), 1*(_xlfn._xlws.FILTER(OFFSET($O$15,0,$DN348,$B$8,1),OFFSET($M$15,0,0,$B$8,1))=FA$13), 1*(_xlfn._xlws.FILTER(OFFSET($O$15,0,$DO348,$B$8,1),OFFSET($M$15,0,0,$B$8,1))=FA$14))   /   SUM(OFFSET($BO$15,0,0,$B$14,1)) + $B$18/($B$19*$B$19*($DN348&lt;&gt;$DO348) + $B$19*($DN348=$DO348))</f>
        <v>3.7037037037037035E-4</v>
      </c>
      <c r="FB348" s="10" cm="1">
        <f t="array" aca="1" ref="FB348" ca="1">(1-$B$18)*SUMPRODUCT(OFFSET($BO$15,0,0,$B$14,1), 1*(_xlfn._xlws.FILTER(OFFSET($O$15,0,$DN348,$B$8,1),OFFSET($M$15,0,0,$B$8,1))=FB$13), 1*(_xlfn._xlws.FILTER(OFFSET($O$15,0,$DO348,$B$8,1),OFFSET($M$15,0,0,$B$8,1))=FB$14))   /   SUM(OFFSET($BO$15,0,0,$B$14,1)) + $B$18/($B$19*$B$19*($DN348&lt;&gt;$DO348) + $B$19*($DN348=$DO348))</f>
        <v>3.7037037037037035E-4</v>
      </c>
      <c r="FC348" s="10" cm="1">
        <f t="array" aca="1" ref="FC348" ca="1">(1-$B$18)*SUMPRODUCT(OFFSET($BO$15,0,0,$B$14,1), 1*(_xlfn._xlws.FILTER(OFFSET($O$15,0,$DN348,$B$8,1),OFFSET($M$15,0,0,$B$8,1))=FC$13), 1*(_xlfn._xlws.FILTER(OFFSET($O$15,0,$DO348,$B$8,1),OFFSET($M$15,0,0,$B$8,1))=FC$14))   /   SUM(OFFSET($BO$15,0,0,$B$14,1)) + $B$18/($B$19*$B$19*($DN348&lt;&gt;$DO348) + $B$19*($DN348=$DO348))</f>
        <v>3.7037037037037035E-4</v>
      </c>
      <c r="FD348" s="10" cm="1">
        <f t="array" aca="1" ref="FD348" ca="1">(1-$B$18)*SUMPRODUCT(OFFSET($BO$15,0,0,$B$14,1), 1*(_xlfn._xlws.FILTER(OFFSET($O$15,0,$DN348,$B$8,1),OFFSET($M$15,0,0,$B$8,1))=FD$13), 1*(_xlfn._xlws.FILTER(OFFSET($O$15,0,$DO348,$B$8,1),OFFSET($M$15,0,0,$B$8,1))=FD$14))   /   SUM(OFFSET($BO$15,0,0,$B$14,1)) + $B$18/($B$19*$B$19*($DN348&lt;&gt;$DO348) + $B$19*($DN348=$DO348))</f>
        <v>0.24287037037037026</v>
      </c>
      <c r="FE348" s="10" cm="1">
        <f t="array" aca="1" ref="FE348" ca="1">(1-$B$18)*SUMPRODUCT(OFFSET($BO$15,0,0,$B$14,1), 1*(_xlfn._xlws.FILTER(OFFSET($O$15,0,$DN348,$B$8,1),OFFSET($M$15,0,0,$B$8,1))=FE$13), 1*(_xlfn._xlws.FILTER(OFFSET($O$15,0,$DO348,$B$8,1),OFFSET($M$15,0,0,$B$8,1))=FE$14))   /   SUM(OFFSET($BO$15,0,0,$B$14,1)) + $B$18/($B$19*$B$19*($DN348&lt;&gt;$DO348) + $B$19*($DN348=$DO348))</f>
        <v>3.7037037037037035E-4</v>
      </c>
      <c r="FF348" s="10" cm="1">
        <f t="array" aca="1" ref="FF348" ca="1">(1-$B$18)*SUMPRODUCT(OFFSET($BO$15,0,0,$B$14,1), 1*(_xlfn._xlws.FILTER(OFFSET($O$15,0,$DN348,$B$8,1),OFFSET($M$15,0,0,$B$8,1))=FF$13), 1*(_xlfn._xlws.FILTER(OFFSET($O$15,0,$DO348,$B$8,1),OFFSET($M$15,0,0,$B$8,1))=FF$14))   /   SUM(OFFSET($BO$15,0,0,$B$14,1)) + $B$18/($B$19*$B$19*($DN348&lt;&gt;$DO348) + $B$19*($DN348=$DO348))</f>
        <v>3.7037037037037035E-4</v>
      </c>
      <c r="FG348" s="10" cm="1">
        <f t="array" aca="1" ref="FG348" ca="1">(1-$B$18)*SUMPRODUCT(OFFSET($BO$15,0,0,$B$14,1), 1*(_xlfn._xlws.FILTER(OFFSET($O$15,0,$DN348,$B$8,1),OFFSET($M$15,0,0,$B$8,1))=FG$13), 1*(_xlfn._xlws.FILTER(OFFSET($O$15,0,$DO348,$B$8,1),OFFSET($M$15,0,0,$B$8,1))=FG$14))   /   SUM(OFFSET($BO$15,0,0,$B$14,1)) + $B$18/($B$19*$B$19*($DN348&lt;&gt;$DO348) + $B$19*($DN348=$DO348))</f>
        <v>3.7037037037037035E-4</v>
      </c>
      <c r="FH348" s="10" cm="1">
        <f t="array" aca="1" ref="FH348" ca="1">(1-$B$18)*SUMPRODUCT(OFFSET($BO$15,0,0,$B$14,1), 1*(_xlfn._xlws.FILTER(OFFSET($O$15,0,$DN348,$B$8,1),OFFSET($M$15,0,0,$B$8,1))=FH$13), 1*(_xlfn._xlws.FILTER(OFFSET($O$15,0,$DO348,$B$8,1),OFFSET($M$15,0,0,$B$8,1))=FH$14))   /   SUM(OFFSET($BO$15,0,0,$B$14,1)) + $B$18/($B$19*$B$19*($DN348&lt;&gt;$DO348) + $B$19*($DN348=$DO348))</f>
        <v>3.7037037037037035E-4</v>
      </c>
      <c r="FI348" s="10" cm="1">
        <f t="array" aca="1" ref="FI348" ca="1">(1-$B$18)*SUMPRODUCT(OFFSET($BO$15,0,0,$B$14,1), 1*(_xlfn._xlws.FILTER(OFFSET($O$15,0,$DN348,$B$8,1),OFFSET($M$15,0,0,$B$8,1))=FI$13), 1*(_xlfn._xlws.FILTER(OFFSET($O$15,0,$DO348,$B$8,1),OFFSET($M$15,0,0,$B$8,1))=FI$14))   /   SUM(OFFSET($BO$15,0,0,$B$14,1)) + $B$18/($B$19*$B$19*($DN348&lt;&gt;$DO348) + $B$19*($DN348=$DO348))</f>
        <v>3.7037037037037035E-4</v>
      </c>
      <c r="FJ348" s="10" cm="1">
        <f t="array" aca="1" ref="FJ348" ca="1">(1-$B$18)*SUMPRODUCT(OFFSET($BO$15,0,0,$B$14,1), 1*(_xlfn._xlws.FILTER(OFFSET($O$15,0,$DN348,$B$8,1),OFFSET($M$15,0,0,$B$8,1))=FJ$13), 1*(_xlfn._xlws.FILTER(OFFSET($O$15,0,$DO348,$B$8,1),OFFSET($M$15,0,0,$B$8,1))=FJ$14))   /   SUM(OFFSET($BO$15,0,0,$B$14,1)) + $B$18/($B$19*$B$19*($DN348&lt;&gt;$DO348) + $B$19*($DN348=$DO348))</f>
        <v>3.7037037037037035E-4</v>
      </c>
      <c r="FK348" s="10" cm="1">
        <f t="array" aca="1" ref="FK348" ca="1">(1-$B$18)*SUMPRODUCT(OFFSET($BO$15,0,0,$B$14,1), 1*(_xlfn._xlws.FILTER(OFFSET($O$15,0,$DN348,$B$8,1),OFFSET($M$15,0,0,$B$8,1))=FK$13), 1*(_xlfn._xlws.FILTER(OFFSET($O$15,0,$DO348,$B$8,1),OFFSET($M$15,0,0,$B$8,1))=FK$14))   /   SUM(OFFSET($BO$15,0,0,$B$14,1)) + $B$18/($B$19*$B$19*($DN348&lt;&gt;$DO348) + $B$19*($DN348=$DO348))</f>
        <v>3.7037037037037035E-4</v>
      </c>
      <c r="FL348" s="10" cm="1">
        <f t="array" aca="1" ref="FL348" ca="1">(1-$B$18)*SUMPRODUCT(OFFSET($BO$15,0,0,$B$14,1), 1*(_xlfn._xlws.FILTER(OFFSET($O$15,0,$DN348,$B$8,1),OFFSET($M$15,0,0,$B$8,1))=FL$13), 1*(_xlfn._xlws.FILTER(OFFSET($O$15,0,$DO348,$B$8,1),OFFSET($M$15,0,0,$B$8,1))=FL$14))   /   SUM(OFFSET($BO$15,0,0,$B$14,1)) + $B$18/($B$19*$B$19*($DN348&lt;&gt;$DO348) + $B$19*($DN348=$DO348))</f>
        <v>3.7037037037037035E-4</v>
      </c>
      <c r="FM348" s="10" cm="1">
        <f t="array" aca="1" ref="FM348" ca="1">(1-$B$18)*SUMPRODUCT(OFFSET($BO$15,0,0,$B$14,1), 1*(_xlfn._xlws.FILTER(OFFSET($O$15,0,$DN348,$B$8,1),OFFSET($M$15,0,0,$B$8,1))=FM$13), 1*(_xlfn._xlws.FILTER(OFFSET($O$15,0,$DO348,$B$8,1),OFFSET($M$15,0,0,$B$8,1))=FM$14))   /   SUM(OFFSET($BO$15,0,0,$B$14,1)) + $B$18/($B$19*$B$19*($DN348&lt;&gt;$DO348) + $B$19*($DN348=$DO348))</f>
        <v>3.7037037037037035E-4</v>
      </c>
      <c r="FN348" s="10" cm="1">
        <f t="array" aca="1" ref="FN348" ca="1">(1-$B$18)*SUMPRODUCT(OFFSET($BO$15,0,0,$B$14,1), 1*(_xlfn._xlws.FILTER(OFFSET($O$15,0,$DN348,$B$8,1),OFFSET($M$15,0,0,$B$8,1))=FN$13), 1*(_xlfn._xlws.FILTER(OFFSET($O$15,0,$DO348,$B$8,1),OFFSET($M$15,0,0,$B$8,1))=FN$14))   /   SUM(OFFSET($BO$15,0,0,$B$14,1)) + $B$18/($B$19*$B$19*($DN348&lt;&gt;$DO348) + $B$19*($DN348=$DO348))</f>
        <v>0.24287037037037026</v>
      </c>
      <c r="FO348" s="10" cm="1">
        <f t="array" aca="1" ref="FO348" ca="1">(1-$B$18)*SUMPRODUCT(OFFSET($BO$15,0,0,$B$14,1), 1*(_xlfn._xlws.FILTER(OFFSET($O$15,0,$DN348,$B$8,1),OFFSET($M$15,0,0,$B$8,1))=FO$13), 1*(_xlfn._xlws.FILTER(OFFSET($O$15,0,$DO348,$B$8,1),OFFSET($M$15,0,0,$B$8,1))=FO$14))   /   SUM(OFFSET($BO$15,0,0,$B$14,1)) + $B$18/($B$19*$B$19*($DN348&lt;&gt;$DO348) + $B$19*($DN348=$DO348))</f>
        <v>0.24287037037037026</v>
      </c>
      <c r="FP348" s="10" cm="1">
        <f t="array" aca="1" ref="FP348" ca="1">(1-$B$18)*SUMPRODUCT(OFFSET($BO$15,0,0,$B$14,1), 1*(_xlfn._xlws.FILTER(OFFSET($O$15,0,$DN348,$B$8,1),OFFSET($M$15,0,0,$B$8,1))=FP$13), 1*(_xlfn._xlws.FILTER(OFFSET($O$15,0,$DO348,$B$8,1),OFFSET($M$15,0,0,$B$8,1))=FP$14))   /   SUM(OFFSET($BO$15,0,0,$B$14,1)) + $B$18/($B$19*$B$19*($DN348&lt;&gt;$DO348) + $B$19*($DN348=$DO348))</f>
        <v>3.7037037037037035E-4</v>
      </c>
      <c r="FQ348" s="10" cm="1">
        <f t="array" aca="1" ref="FQ348" ca="1">(1-$B$18)*SUMPRODUCT(OFFSET($BO$15,0,0,$B$14,1), 1*(_xlfn._xlws.FILTER(OFFSET($O$15,0,$DN348,$B$8,1),OFFSET($M$15,0,0,$B$8,1))=FQ$13), 1*(_xlfn._xlws.FILTER(OFFSET($O$15,0,$DO348,$B$8,1),OFFSET($M$15,0,0,$B$8,1))=FQ$14))   /   SUM(OFFSET($BO$15,0,0,$B$14,1)) + $B$18/($B$19*$B$19*($DN348&lt;&gt;$DO348) + $B$19*($DN348=$DO348))</f>
        <v>3.7037037037037035E-4</v>
      </c>
      <c r="FR348" s="10" cm="1">
        <f t="array" aca="1" ref="FR348" ca="1">(1-$B$18)*SUMPRODUCT(OFFSET($BO$15,0,0,$B$14,1), 1*(_xlfn._xlws.FILTER(OFFSET($O$15,0,$DN348,$B$8,1),OFFSET($M$15,0,0,$B$8,1))=FR$13), 1*(_xlfn._xlws.FILTER(OFFSET($O$15,0,$DO348,$B$8,1),OFFSET($M$15,0,0,$B$8,1))=FR$14))   /   SUM(OFFSET($BO$15,0,0,$B$14,1)) + $B$18/($B$19*$B$19*($DN348&lt;&gt;$DO348) + $B$19*($DN348=$DO348))</f>
        <v>3.7037037037037035E-4</v>
      </c>
      <c r="FS348" s="10" cm="1">
        <f t="array" aca="1" ref="FS348" ca="1">(1-$B$18)*SUMPRODUCT(OFFSET($BO$15,0,0,$B$14,1), 1*(_xlfn._xlws.FILTER(OFFSET($O$15,0,$DN348,$B$8,1),OFFSET($M$15,0,0,$B$8,1))=FS$13), 1*(_xlfn._xlws.FILTER(OFFSET($O$15,0,$DO348,$B$8,1),OFFSET($M$15,0,0,$B$8,1))=FS$14))   /   SUM(OFFSET($BO$15,0,0,$B$14,1)) + $B$18/($B$19*$B$19*($DN348&lt;&gt;$DO348) + $B$19*($DN348=$DO348))</f>
        <v>3.7037037037037035E-4</v>
      </c>
      <c r="FT348" s="10" cm="1">
        <f t="array" aca="1" ref="FT348" ca="1">(1-$B$18)*SUMPRODUCT(OFFSET($BO$15,0,0,$B$14,1), 1*(_xlfn._xlws.FILTER(OFFSET($O$15,0,$DN348,$B$8,1),OFFSET($M$15,0,0,$B$8,1))=FT$13), 1*(_xlfn._xlws.FILTER(OFFSET($O$15,0,$DO348,$B$8,1),OFFSET($M$15,0,0,$B$8,1))=FT$14))   /   SUM(OFFSET($BO$15,0,0,$B$14,1)) + $B$18/($B$19*$B$19*($DN348&lt;&gt;$DO348) + $B$19*($DN348=$DO348))</f>
        <v>3.7037037037037035E-4</v>
      </c>
      <c r="FU348" s="10" cm="1">
        <f t="array" aca="1" ref="FU348" ca="1">(1-$B$18)*SUMPRODUCT(OFFSET($BO$15,0,0,$B$14,1), 1*(_xlfn._xlws.FILTER(OFFSET($O$15,0,$DN348,$B$8,1),OFFSET($M$15,0,0,$B$8,1))=FU$13), 1*(_xlfn._xlws.FILTER(OFFSET($O$15,0,$DO348,$B$8,1),OFFSET($M$15,0,0,$B$8,1))=FU$14))   /   SUM(OFFSET($BO$15,0,0,$B$14,1)) + $B$18/($B$19*$B$19*($DN348&lt;&gt;$DO348) + $B$19*($DN348=$DO348))</f>
        <v>3.7037037037037035E-4</v>
      </c>
      <c r="FV348" s="10" cm="1">
        <f t="array" aca="1" ref="FV348" ca="1">(1-$B$18)*SUMPRODUCT(OFFSET($BO$15,0,0,$B$14,1), 1*(_xlfn._xlws.FILTER(OFFSET($O$15,0,$DN348,$B$8,1),OFFSET($M$15,0,0,$B$8,1))=FV$13), 1*(_xlfn._xlws.FILTER(OFFSET($O$15,0,$DO348,$B$8,1),OFFSET($M$15,0,0,$B$8,1))=FV$14))   /   SUM(OFFSET($BO$15,0,0,$B$14,1)) + $B$18/($B$19*$B$19*($DN348&lt;&gt;$DO348) + $B$19*($DN348=$DO348))</f>
        <v>3.7037037037037035E-4</v>
      </c>
      <c r="FW348" s="10" cm="1">
        <f t="array" aca="1" ref="FW348" ca="1">(1-$B$18)*SUMPRODUCT(OFFSET($BO$15,0,0,$B$14,1), 1*(_xlfn._xlws.FILTER(OFFSET($O$15,0,$DN348,$B$8,1),OFFSET($M$15,0,0,$B$8,1))=FW$13), 1*(_xlfn._xlws.FILTER(OFFSET($O$15,0,$DO348,$B$8,1),OFFSET($M$15,0,0,$B$8,1))=FW$14))   /   SUM(OFFSET($BO$15,0,0,$B$14,1)) + $B$18/($B$19*$B$19*($DN348&lt;&gt;$DO348) + $B$19*($DN348=$DO348))</f>
        <v>3.7037037037037035E-4</v>
      </c>
      <c r="FX348" s="10" cm="1">
        <f t="array" aca="1" ref="FX348" ca="1">(1-$B$18)*SUMPRODUCT(OFFSET($BO$15,0,0,$B$14,1), 1*(_xlfn._xlws.FILTER(OFFSET($O$15,0,$DN348,$B$8,1),OFFSET($M$15,0,0,$B$8,1))=FX$13), 1*(_xlfn._xlws.FILTER(OFFSET($O$15,0,$DO348,$B$8,1),OFFSET($M$15,0,0,$B$8,1))=FX$14))   /   SUM(OFFSET($BO$15,0,0,$B$14,1)) + $B$18/($B$19*$B$19*($DN348&lt;&gt;$DO348) + $B$19*($DN348=$DO348))</f>
        <v>3.7037037037037035E-4</v>
      </c>
      <c r="FY348" s="10" cm="1">
        <f t="array" aca="1" ref="FY348" ca="1">(1-$B$18)*SUMPRODUCT(OFFSET($BO$15,0,0,$B$14,1), 1*(_xlfn._xlws.FILTER(OFFSET($O$15,0,$DN348,$B$8,1),OFFSET($M$15,0,0,$B$8,1))=FY$13), 1*(_xlfn._xlws.FILTER(OFFSET($O$15,0,$DO348,$B$8,1),OFFSET($M$15,0,0,$B$8,1))=FY$14))   /   SUM(OFFSET($BO$15,0,0,$B$14,1)) + $B$18/($B$19*$B$19*($DN348&lt;&gt;$DO348) + $B$19*($DN348=$DO348))</f>
        <v>3.7037037037037035E-4</v>
      </c>
      <c r="FZ348" s="10" cm="1">
        <f t="array" aca="1" ref="FZ348" ca="1">(1-$B$18)*SUMPRODUCT(OFFSET($BO$15,0,0,$B$14,1), 1*(_xlfn._xlws.FILTER(OFFSET($O$15,0,$DN348,$B$8,1),OFFSET($M$15,0,0,$B$8,1))=FZ$13), 1*(_xlfn._xlws.FILTER(OFFSET($O$15,0,$DO348,$B$8,1),OFFSET($M$15,0,0,$B$8,1))=FZ$14))   /   SUM(OFFSET($BO$15,0,0,$B$14,1)) + $B$18/($B$19*$B$19*($DN348&lt;&gt;$DO348) + $B$19*($DN348=$DO348))</f>
        <v>3.7037037037037035E-4</v>
      </c>
      <c r="GA348" s="10" cm="1">
        <f t="array" aca="1" ref="GA348" ca="1">(1-$B$18)*SUMPRODUCT(OFFSET($BO$15,0,0,$B$14,1), 1*(_xlfn._xlws.FILTER(OFFSET($O$15,0,$DN348,$B$8,1),OFFSET($M$15,0,0,$B$8,1))=GA$13), 1*(_xlfn._xlws.FILTER(OFFSET($O$15,0,$DO348,$B$8,1),OFFSET($M$15,0,0,$B$8,1))=GA$14))   /   SUM(OFFSET($BO$15,0,0,$B$14,1)) + $B$18/($B$19*$B$19*($DN348&lt;&gt;$DO348) + $B$19*($DN348=$DO348))</f>
        <v>3.7037037037037035E-4</v>
      </c>
    </row>
    <row r="349" spans="118:183" x14ac:dyDescent="0.2">
      <c r="DN349" cm="1">
        <f t="array" aca="1" ref="DN349" ca="1">INDEX(_xlfn.ANCHORARRAY($CP$15), 1 + INT((ROWS($DO$15:$DO349) - 1) / ROWS(_xlfn.ANCHORARRAY($CP$15))))</f>
        <v>20</v>
      </c>
      <c r="DO349" cm="1">
        <f t="array" aca="1" ref="DO349" ca="1">INDEX(_xlfn.ANCHORARRAY($CP$15),1+MOD(ROWS($DO$15:$DO349)-1,ROWS(_xlfn.ANCHORARRAY($CP$15))))</f>
        <v>12</v>
      </c>
      <c r="DP349" s="10" cm="1">
        <f t="array" aca="1" ref="DP349" ca="1">(1-$B$18)*SUMPRODUCT(OFFSET($BO$15,0,0,$B$14,1), 1*(_xlfn._xlws.FILTER(OFFSET($O$15,0,$DN349,$B$8,1),OFFSET($M$15,0,0,$B$8,1))=DP$13), 1*(_xlfn._xlws.FILTER(OFFSET($O$15,0,$DO349,$B$8,1),OFFSET($M$15,0,0,$B$8,1))=DP$14))   /   SUM(OFFSET($BO$15,0,0,$B$14,1)) + $B$18/($B$19*$B$19*($DN349&lt;&gt;$DO349) + $B$19*($DN349=$DO349))</f>
        <v>3.7037037037037035E-4</v>
      </c>
      <c r="DQ349" s="10" cm="1">
        <f t="array" aca="1" ref="DQ349" ca="1">(1-$B$18)*SUMPRODUCT(OFFSET($BO$15,0,0,$B$14,1), 1*(_xlfn._xlws.FILTER(OFFSET($O$15,0,$DN349,$B$8,1),OFFSET($M$15,0,0,$B$8,1))=DQ$13), 1*(_xlfn._xlws.FILTER(OFFSET($O$15,0,$DO349,$B$8,1),OFFSET($M$15,0,0,$B$8,1))=DQ$14))   /   SUM(OFFSET($BO$15,0,0,$B$14,1)) + $B$18/($B$19*$B$19*($DN349&lt;&gt;$DO349) + $B$19*($DN349=$DO349))</f>
        <v>3.7037037037037035E-4</v>
      </c>
      <c r="DR349" s="10" cm="1">
        <f t="array" aca="1" ref="DR349" ca="1">(1-$B$18)*SUMPRODUCT(OFFSET($BO$15,0,0,$B$14,1), 1*(_xlfn._xlws.FILTER(OFFSET($O$15,0,$DN349,$B$8,1),OFFSET($M$15,0,0,$B$8,1))=DR$13), 1*(_xlfn._xlws.FILTER(OFFSET($O$15,0,$DO349,$B$8,1),OFFSET($M$15,0,0,$B$8,1))=DR$14))   /   SUM(OFFSET($BO$15,0,0,$B$14,1)) + $B$18/($B$19*$B$19*($DN349&lt;&gt;$DO349) + $B$19*($DN349=$DO349))</f>
        <v>3.7037037037037035E-4</v>
      </c>
      <c r="DS349" s="10" cm="1">
        <f t="array" aca="1" ref="DS349" ca="1">(1-$B$18)*SUMPRODUCT(OFFSET($BO$15,0,0,$B$14,1), 1*(_xlfn._xlws.FILTER(OFFSET($O$15,0,$DN349,$B$8,1),OFFSET($M$15,0,0,$B$8,1))=DS$13), 1*(_xlfn._xlws.FILTER(OFFSET($O$15,0,$DO349,$B$8,1),OFFSET($M$15,0,0,$B$8,1))=DS$14))   /   SUM(OFFSET($BO$15,0,0,$B$14,1)) + $B$18/($B$19*$B$19*($DN349&lt;&gt;$DO349) + $B$19*($DN349=$DO349))</f>
        <v>3.7037037037037035E-4</v>
      </c>
      <c r="DT349" s="10" cm="1">
        <f t="array" aca="1" ref="DT349" ca="1">(1-$B$18)*SUMPRODUCT(OFFSET($BO$15,0,0,$B$14,1), 1*(_xlfn._xlws.FILTER(OFFSET($O$15,0,$DN349,$B$8,1),OFFSET($M$15,0,0,$B$8,1))=DT$13), 1*(_xlfn._xlws.FILTER(OFFSET($O$15,0,$DO349,$B$8,1),OFFSET($M$15,0,0,$B$8,1))=DT$14))   /   SUM(OFFSET($BO$15,0,0,$B$14,1)) + $B$18/($B$19*$B$19*($DN349&lt;&gt;$DO349) + $B$19*($DN349=$DO349))</f>
        <v>3.7037037037037035E-4</v>
      </c>
      <c r="DU349" s="10" cm="1">
        <f t="array" aca="1" ref="DU349" ca="1">(1-$B$18)*SUMPRODUCT(OFFSET($BO$15,0,0,$B$14,1), 1*(_xlfn._xlws.FILTER(OFFSET($O$15,0,$DN349,$B$8,1),OFFSET($M$15,0,0,$B$8,1))=DU$13), 1*(_xlfn._xlws.FILTER(OFFSET($O$15,0,$DO349,$B$8,1),OFFSET($M$15,0,0,$B$8,1))=DU$14))   /   SUM(OFFSET($BO$15,0,0,$B$14,1)) + $B$18/($B$19*$B$19*($DN349&lt;&gt;$DO349) + $B$19*($DN349=$DO349))</f>
        <v>3.7037037037037035E-4</v>
      </c>
      <c r="DV349" s="10" cm="1">
        <f t="array" aca="1" ref="DV349" ca="1">(1-$B$18)*SUMPRODUCT(OFFSET($BO$15,0,0,$B$14,1), 1*(_xlfn._xlws.FILTER(OFFSET($O$15,0,$DN349,$B$8,1),OFFSET($M$15,0,0,$B$8,1))=DV$13), 1*(_xlfn._xlws.FILTER(OFFSET($O$15,0,$DO349,$B$8,1),OFFSET($M$15,0,0,$B$8,1))=DV$14))   /   SUM(OFFSET($BO$15,0,0,$B$14,1)) + $B$18/($B$19*$B$19*($DN349&lt;&gt;$DO349) + $B$19*($DN349=$DO349))</f>
        <v>3.7037037037037035E-4</v>
      </c>
      <c r="DW349" s="10" cm="1">
        <f t="array" aca="1" ref="DW349" ca="1">(1-$B$18)*SUMPRODUCT(OFFSET($BO$15,0,0,$B$14,1), 1*(_xlfn._xlws.FILTER(OFFSET($O$15,0,$DN349,$B$8,1),OFFSET($M$15,0,0,$B$8,1))=DW$13), 1*(_xlfn._xlws.FILTER(OFFSET($O$15,0,$DO349,$B$8,1),OFFSET($M$15,0,0,$B$8,1))=DW$14))   /   SUM(OFFSET($BO$15,0,0,$B$14,1)) + $B$18/($B$19*$B$19*($DN349&lt;&gt;$DO349) + $B$19*($DN349=$DO349))</f>
        <v>3.7037037037037035E-4</v>
      </c>
      <c r="DX349" s="10" cm="1">
        <f t="array" aca="1" ref="DX349" ca="1">(1-$B$18)*SUMPRODUCT(OFFSET($BO$15,0,0,$B$14,1), 1*(_xlfn._xlws.FILTER(OFFSET($O$15,0,$DN349,$B$8,1),OFFSET($M$15,0,0,$B$8,1))=DX$13), 1*(_xlfn._xlws.FILTER(OFFSET($O$15,0,$DO349,$B$8,1),OFFSET($M$15,0,0,$B$8,1))=DX$14))   /   SUM(OFFSET($BO$15,0,0,$B$14,1)) + $B$18/($B$19*$B$19*($DN349&lt;&gt;$DO349) + $B$19*($DN349=$DO349))</f>
        <v>3.7037037037037035E-4</v>
      </c>
      <c r="DY349" s="10" cm="1">
        <f t="array" aca="1" ref="DY349" ca="1">(1-$B$18)*SUMPRODUCT(OFFSET($BO$15,0,0,$B$14,1), 1*(_xlfn._xlws.FILTER(OFFSET($O$15,0,$DN349,$B$8,1),OFFSET($M$15,0,0,$B$8,1))=DY$13), 1*(_xlfn._xlws.FILTER(OFFSET($O$15,0,$DO349,$B$8,1),OFFSET($M$15,0,0,$B$8,1))=DY$14))   /   SUM(OFFSET($BO$15,0,0,$B$14,1)) + $B$18/($B$19*$B$19*($DN349&lt;&gt;$DO349) + $B$19*($DN349=$DO349))</f>
        <v>3.7037037037037035E-4</v>
      </c>
      <c r="DZ349" s="10" cm="1">
        <f t="array" aca="1" ref="DZ349" ca="1">(1-$B$18)*SUMPRODUCT(OFFSET($BO$15,0,0,$B$14,1), 1*(_xlfn._xlws.FILTER(OFFSET($O$15,0,$DN349,$B$8,1),OFFSET($M$15,0,0,$B$8,1))=DZ$13), 1*(_xlfn._xlws.FILTER(OFFSET($O$15,0,$DO349,$B$8,1),OFFSET($M$15,0,0,$B$8,1))=DZ$14))   /   SUM(OFFSET($BO$15,0,0,$B$14,1)) + $B$18/($B$19*$B$19*($DN349&lt;&gt;$DO349) + $B$19*($DN349=$DO349))</f>
        <v>3.7037037037037035E-4</v>
      </c>
      <c r="EA349" s="10" cm="1">
        <f t="array" aca="1" ref="EA349" ca="1">(1-$B$18)*SUMPRODUCT(OFFSET($BO$15,0,0,$B$14,1), 1*(_xlfn._xlws.FILTER(OFFSET($O$15,0,$DN349,$B$8,1),OFFSET($M$15,0,0,$B$8,1))=EA$13), 1*(_xlfn._xlws.FILTER(OFFSET($O$15,0,$DO349,$B$8,1),OFFSET($M$15,0,0,$B$8,1))=EA$14))   /   SUM(OFFSET($BO$15,0,0,$B$14,1)) + $B$18/($B$19*$B$19*($DN349&lt;&gt;$DO349) + $B$19*($DN349=$DO349))</f>
        <v>3.7037037037037035E-4</v>
      </c>
      <c r="EB349" s="10" cm="1">
        <f t="array" aca="1" ref="EB349" ca="1">(1-$B$18)*SUMPRODUCT(OFFSET($BO$15,0,0,$B$14,1), 1*(_xlfn._xlws.FILTER(OFFSET($O$15,0,$DN349,$B$8,1),OFFSET($M$15,0,0,$B$8,1))=EB$13), 1*(_xlfn._xlws.FILTER(OFFSET($O$15,0,$DO349,$B$8,1),OFFSET($M$15,0,0,$B$8,1))=EB$14))   /   SUM(OFFSET($BO$15,0,0,$B$14,1)) + $B$18/($B$19*$B$19*($DN349&lt;&gt;$DO349) + $B$19*($DN349=$DO349))</f>
        <v>3.7037037037037035E-4</v>
      </c>
      <c r="EC349" s="10" cm="1">
        <f t="array" aca="1" ref="EC349" ca="1">(1-$B$18)*SUMPRODUCT(OFFSET($BO$15,0,0,$B$14,1), 1*(_xlfn._xlws.FILTER(OFFSET($O$15,0,$DN349,$B$8,1),OFFSET($M$15,0,0,$B$8,1))=EC$13), 1*(_xlfn._xlws.FILTER(OFFSET($O$15,0,$DO349,$B$8,1),OFFSET($M$15,0,0,$B$8,1))=EC$14))   /   SUM(OFFSET($BO$15,0,0,$B$14,1)) + $B$18/($B$19*$B$19*($DN349&lt;&gt;$DO349) + $B$19*($DN349=$DO349))</f>
        <v>3.7037037037037035E-4</v>
      </c>
      <c r="ED349" s="10" cm="1">
        <f t="array" aca="1" ref="ED349" ca="1">(1-$B$18)*SUMPRODUCT(OFFSET($BO$15,0,0,$B$14,1), 1*(_xlfn._xlws.FILTER(OFFSET($O$15,0,$DN349,$B$8,1),OFFSET($M$15,0,0,$B$8,1))=ED$13), 1*(_xlfn._xlws.FILTER(OFFSET($O$15,0,$DO349,$B$8,1),OFFSET($M$15,0,0,$B$8,1))=ED$14))   /   SUM(OFFSET($BO$15,0,0,$B$14,1)) + $B$18/($B$19*$B$19*($DN349&lt;&gt;$DO349) + $B$19*($DN349=$DO349))</f>
        <v>3.7037037037037035E-4</v>
      </c>
      <c r="EE349" s="10" cm="1">
        <f t="array" aca="1" ref="EE349" ca="1">(1-$B$18)*SUMPRODUCT(OFFSET($BO$15,0,0,$B$14,1), 1*(_xlfn._xlws.FILTER(OFFSET($O$15,0,$DN349,$B$8,1),OFFSET($M$15,0,0,$B$8,1))=EE$13), 1*(_xlfn._xlws.FILTER(OFFSET($O$15,0,$DO349,$B$8,1),OFFSET($M$15,0,0,$B$8,1))=EE$14))   /   SUM(OFFSET($BO$15,0,0,$B$14,1)) + $B$18/($B$19*$B$19*($DN349&lt;&gt;$DO349) + $B$19*($DN349=$DO349))</f>
        <v>3.7037037037037035E-4</v>
      </c>
      <c r="EF349" s="10" cm="1">
        <f t="array" aca="1" ref="EF349" ca="1">(1-$B$18)*SUMPRODUCT(OFFSET($BO$15,0,0,$B$14,1), 1*(_xlfn._xlws.FILTER(OFFSET($O$15,0,$DN349,$B$8,1),OFFSET($M$15,0,0,$B$8,1))=EF$13), 1*(_xlfn._xlws.FILTER(OFFSET($O$15,0,$DO349,$B$8,1),OFFSET($M$15,0,0,$B$8,1))=EF$14))   /   SUM(OFFSET($BO$15,0,0,$B$14,1)) + $B$18/($B$19*$B$19*($DN349&lt;&gt;$DO349) + $B$19*($DN349=$DO349))</f>
        <v>3.7037037037037035E-4</v>
      </c>
      <c r="EG349" s="10" cm="1">
        <f t="array" aca="1" ref="EG349" ca="1">(1-$B$18)*SUMPRODUCT(OFFSET($BO$15,0,0,$B$14,1), 1*(_xlfn._xlws.FILTER(OFFSET($O$15,0,$DN349,$B$8,1),OFFSET($M$15,0,0,$B$8,1))=EG$13), 1*(_xlfn._xlws.FILTER(OFFSET($O$15,0,$DO349,$B$8,1),OFFSET($M$15,0,0,$B$8,1))=EG$14))   /   SUM(OFFSET($BO$15,0,0,$B$14,1)) + $B$18/($B$19*$B$19*($DN349&lt;&gt;$DO349) + $B$19*($DN349=$DO349))</f>
        <v>3.7037037037037035E-4</v>
      </c>
      <c r="EH349" s="10" cm="1">
        <f t="array" aca="1" ref="EH349" ca="1">(1-$B$18)*SUMPRODUCT(OFFSET($BO$15,0,0,$B$14,1), 1*(_xlfn._xlws.FILTER(OFFSET($O$15,0,$DN349,$B$8,1),OFFSET($M$15,0,0,$B$8,1))=EH$13), 1*(_xlfn._xlws.FILTER(OFFSET($O$15,0,$DO349,$B$8,1),OFFSET($M$15,0,0,$B$8,1))=EH$14))   /   SUM(OFFSET($BO$15,0,0,$B$14,1)) + $B$18/($B$19*$B$19*($DN349&lt;&gt;$DO349) + $B$19*($DN349=$DO349))</f>
        <v>3.7037037037037035E-4</v>
      </c>
      <c r="EI349" s="10" cm="1">
        <f t="array" aca="1" ref="EI349" ca="1">(1-$B$18)*SUMPRODUCT(OFFSET($BO$15,0,0,$B$14,1), 1*(_xlfn._xlws.FILTER(OFFSET($O$15,0,$DN349,$B$8,1),OFFSET($M$15,0,0,$B$8,1))=EI$13), 1*(_xlfn._xlws.FILTER(OFFSET($O$15,0,$DO349,$B$8,1),OFFSET($M$15,0,0,$B$8,1))=EI$14))   /   SUM(OFFSET($BO$15,0,0,$B$14,1)) + $B$18/($B$19*$B$19*($DN349&lt;&gt;$DO349) + $B$19*($DN349=$DO349))</f>
        <v>3.7037037037037035E-4</v>
      </c>
      <c r="EJ349" s="10" cm="1">
        <f t="array" aca="1" ref="EJ349" ca="1">(1-$B$18)*SUMPRODUCT(OFFSET($BO$15,0,0,$B$14,1), 1*(_xlfn._xlws.FILTER(OFFSET($O$15,0,$DN349,$B$8,1),OFFSET($M$15,0,0,$B$8,1))=EJ$13), 1*(_xlfn._xlws.FILTER(OFFSET($O$15,0,$DO349,$B$8,1),OFFSET($M$15,0,0,$B$8,1))=EJ$14))   /   SUM(OFFSET($BO$15,0,0,$B$14,1)) + $B$18/($B$19*$B$19*($DN349&lt;&gt;$DO349) + $B$19*($DN349=$DO349))</f>
        <v>3.7037037037037035E-4</v>
      </c>
      <c r="EK349" s="10" cm="1">
        <f t="array" aca="1" ref="EK349" ca="1">(1-$B$18)*SUMPRODUCT(OFFSET($BO$15,0,0,$B$14,1), 1*(_xlfn._xlws.FILTER(OFFSET($O$15,0,$DN349,$B$8,1),OFFSET($M$15,0,0,$B$8,1))=EK$13), 1*(_xlfn._xlws.FILTER(OFFSET($O$15,0,$DO349,$B$8,1),OFFSET($M$15,0,0,$B$8,1))=EK$14))   /   SUM(OFFSET($BO$15,0,0,$B$14,1)) + $B$18/($B$19*$B$19*($DN349&lt;&gt;$DO349) + $B$19*($DN349=$DO349))</f>
        <v>3.7037037037037035E-4</v>
      </c>
      <c r="EL349" s="10" cm="1">
        <f t="array" aca="1" ref="EL349" ca="1">(1-$B$18)*SUMPRODUCT(OFFSET($BO$15,0,0,$B$14,1), 1*(_xlfn._xlws.FILTER(OFFSET($O$15,0,$DN349,$B$8,1),OFFSET($M$15,0,0,$B$8,1))=EL$13), 1*(_xlfn._xlws.FILTER(OFFSET($O$15,0,$DO349,$B$8,1),OFFSET($M$15,0,0,$B$8,1))=EL$14))   /   SUM(OFFSET($BO$15,0,0,$B$14,1)) + $B$18/($B$19*$B$19*($DN349&lt;&gt;$DO349) + $B$19*($DN349=$DO349))</f>
        <v>3.7037037037037035E-4</v>
      </c>
      <c r="EM349" s="10" cm="1">
        <f t="array" aca="1" ref="EM349" ca="1">(1-$B$18)*SUMPRODUCT(OFFSET($BO$15,0,0,$B$14,1), 1*(_xlfn._xlws.FILTER(OFFSET($O$15,0,$DN349,$B$8,1),OFFSET($M$15,0,0,$B$8,1))=EM$13), 1*(_xlfn._xlws.FILTER(OFFSET($O$15,0,$DO349,$B$8,1),OFFSET($M$15,0,0,$B$8,1))=EM$14))   /   SUM(OFFSET($BO$15,0,0,$B$14,1)) + $B$18/($B$19*$B$19*($DN349&lt;&gt;$DO349) + $B$19*($DN349=$DO349))</f>
        <v>3.7037037037037035E-4</v>
      </c>
      <c r="EN349" s="10" cm="1">
        <f t="array" aca="1" ref="EN349" ca="1">(1-$B$18)*SUMPRODUCT(OFFSET($BO$15,0,0,$B$14,1), 1*(_xlfn._xlws.FILTER(OFFSET($O$15,0,$DN349,$B$8,1),OFFSET($M$15,0,0,$B$8,1))=EN$13), 1*(_xlfn._xlws.FILTER(OFFSET($O$15,0,$DO349,$B$8,1),OFFSET($M$15,0,0,$B$8,1))=EN$14))   /   SUM(OFFSET($BO$15,0,0,$B$14,1)) + $B$18/($B$19*$B$19*($DN349&lt;&gt;$DO349) + $B$19*($DN349=$DO349))</f>
        <v>3.7037037037037035E-4</v>
      </c>
      <c r="EO349" s="10" cm="1">
        <f t="array" aca="1" ref="EO349" ca="1">(1-$B$18)*SUMPRODUCT(OFFSET($BO$15,0,0,$B$14,1), 1*(_xlfn._xlws.FILTER(OFFSET($O$15,0,$DN349,$B$8,1),OFFSET($M$15,0,0,$B$8,1))=EO$13), 1*(_xlfn._xlws.FILTER(OFFSET($O$15,0,$DO349,$B$8,1),OFFSET($M$15,0,0,$B$8,1))=EO$14))   /   SUM(OFFSET($BO$15,0,0,$B$14,1)) + $B$18/($B$19*$B$19*($DN349&lt;&gt;$DO349) + $B$19*($DN349=$DO349))</f>
        <v>3.7037037037037035E-4</v>
      </c>
      <c r="EP349" s="10" cm="1">
        <f t="array" aca="1" ref="EP349" ca="1">(1-$B$18)*SUMPRODUCT(OFFSET($BO$15,0,0,$B$14,1), 1*(_xlfn._xlws.FILTER(OFFSET($O$15,0,$DN349,$B$8,1),OFFSET($M$15,0,0,$B$8,1))=EP$13), 1*(_xlfn._xlws.FILTER(OFFSET($O$15,0,$DO349,$B$8,1),OFFSET($M$15,0,0,$B$8,1))=EP$14))   /   SUM(OFFSET($BO$15,0,0,$B$14,1)) + $B$18/($B$19*$B$19*($DN349&lt;&gt;$DO349) + $B$19*($DN349=$DO349))</f>
        <v>3.7037037037037035E-4</v>
      </c>
      <c r="EQ349" s="10" cm="1">
        <f t="array" aca="1" ref="EQ349" ca="1">(1-$B$18)*SUMPRODUCT(OFFSET($BO$15,0,0,$B$14,1), 1*(_xlfn._xlws.FILTER(OFFSET($O$15,0,$DN349,$B$8,1),OFFSET($M$15,0,0,$B$8,1))=EQ$13), 1*(_xlfn._xlws.FILTER(OFFSET($O$15,0,$DO349,$B$8,1),OFFSET($M$15,0,0,$B$8,1))=EQ$14))   /   SUM(OFFSET($BO$15,0,0,$B$14,1)) + $B$18/($B$19*$B$19*($DN349&lt;&gt;$DO349) + $B$19*($DN349=$DO349))</f>
        <v>3.7037037037037035E-4</v>
      </c>
      <c r="ER349" s="10" cm="1">
        <f t="array" aca="1" ref="ER349" ca="1">(1-$B$18)*SUMPRODUCT(OFFSET($BO$15,0,0,$B$14,1), 1*(_xlfn._xlws.FILTER(OFFSET($O$15,0,$DN349,$B$8,1),OFFSET($M$15,0,0,$B$8,1))=ER$13), 1*(_xlfn._xlws.FILTER(OFFSET($O$15,0,$DO349,$B$8,1),OFFSET($M$15,0,0,$B$8,1))=ER$14))   /   SUM(OFFSET($BO$15,0,0,$B$14,1)) + $B$18/($B$19*$B$19*($DN349&lt;&gt;$DO349) + $B$19*($DN349=$DO349))</f>
        <v>3.7037037037037035E-4</v>
      </c>
      <c r="ES349" s="10" cm="1">
        <f t="array" aca="1" ref="ES349" ca="1">(1-$B$18)*SUMPRODUCT(OFFSET($BO$15,0,0,$B$14,1), 1*(_xlfn._xlws.FILTER(OFFSET($O$15,0,$DN349,$B$8,1),OFFSET($M$15,0,0,$B$8,1))=ES$13), 1*(_xlfn._xlws.FILTER(OFFSET($O$15,0,$DO349,$B$8,1),OFFSET($M$15,0,0,$B$8,1))=ES$14))   /   SUM(OFFSET($BO$15,0,0,$B$14,1)) + $B$18/($B$19*$B$19*($DN349&lt;&gt;$DO349) + $B$19*($DN349=$DO349))</f>
        <v>3.7037037037037035E-4</v>
      </c>
      <c r="ET349" s="10" cm="1">
        <f t="array" aca="1" ref="ET349" ca="1">(1-$B$18)*SUMPRODUCT(OFFSET($BO$15,0,0,$B$14,1), 1*(_xlfn._xlws.FILTER(OFFSET($O$15,0,$DN349,$B$8,1),OFFSET($M$15,0,0,$B$8,1))=ET$13), 1*(_xlfn._xlws.FILTER(OFFSET($O$15,0,$DO349,$B$8,1),OFFSET($M$15,0,0,$B$8,1))=ET$14))   /   SUM(OFFSET($BO$15,0,0,$B$14,1)) + $B$18/($B$19*$B$19*($DN349&lt;&gt;$DO349) + $B$19*($DN349=$DO349))</f>
        <v>3.7037037037037035E-4</v>
      </c>
      <c r="EU349" s="10" cm="1">
        <f t="array" aca="1" ref="EU349" ca="1">(1-$B$18)*SUMPRODUCT(OFFSET($BO$15,0,0,$B$14,1), 1*(_xlfn._xlws.FILTER(OFFSET($O$15,0,$DN349,$B$8,1),OFFSET($M$15,0,0,$B$8,1))=EU$13), 1*(_xlfn._xlws.FILTER(OFFSET($O$15,0,$DO349,$B$8,1),OFFSET($M$15,0,0,$B$8,1))=EU$14))   /   SUM(OFFSET($BO$15,0,0,$B$14,1)) + $B$18/($B$19*$B$19*($DN349&lt;&gt;$DO349) + $B$19*($DN349=$DO349))</f>
        <v>3.7037037037037035E-4</v>
      </c>
      <c r="EV349" s="10" cm="1">
        <f t="array" aca="1" ref="EV349" ca="1">(1-$B$18)*SUMPRODUCT(OFFSET($BO$15,0,0,$B$14,1), 1*(_xlfn._xlws.FILTER(OFFSET($O$15,0,$DN349,$B$8,1),OFFSET($M$15,0,0,$B$8,1))=EV$13), 1*(_xlfn._xlws.FILTER(OFFSET($O$15,0,$DO349,$B$8,1),OFFSET($M$15,0,0,$B$8,1))=EV$14))   /   SUM(OFFSET($BO$15,0,0,$B$14,1)) + $B$18/($B$19*$B$19*($DN349&lt;&gt;$DO349) + $B$19*($DN349=$DO349))</f>
        <v>3.7037037037037035E-4</v>
      </c>
      <c r="EW349" s="10" cm="1">
        <f t="array" aca="1" ref="EW349" ca="1">(1-$B$18)*SUMPRODUCT(OFFSET($BO$15,0,0,$B$14,1), 1*(_xlfn._xlws.FILTER(OFFSET($O$15,0,$DN349,$B$8,1),OFFSET($M$15,0,0,$B$8,1))=EW$13), 1*(_xlfn._xlws.FILTER(OFFSET($O$15,0,$DO349,$B$8,1),OFFSET($M$15,0,0,$B$8,1))=EW$14))   /   SUM(OFFSET($BO$15,0,0,$B$14,1)) + $B$18/($B$19*$B$19*($DN349&lt;&gt;$DO349) + $B$19*($DN349=$DO349))</f>
        <v>0.24287037037037024</v>
      </c>
      <c r="EX349" s="10" cm="1">
        <f t="array" aca="1" ref="EX349" ca="1">(1-$B$18)*SUMPRODUCT(OFFSET($BO$15,0,0,$B$14,1), 1*(_xlfn._xlws.FILTER(OFFSET($O$15,0,$DN349,$B$8,1),OFFSET($M$15,0,0,$B$8,1))=EX$13), 1*(_xlfn._xlws.FILTER(OFFSET($O$15,0,$DO349,$B$8,1),OFFSET($M$15,0,0,$B$8,1))=EX$14))   /   SUM(OFFSET($BO$15,0,0,$B$14,1)) + $B$18/($B$19*$B$19*($DN349&lt;&gt;$DO349) + $B$19*($DN349=$DO349))</f>
        <v>3.7037037037037035E-4</v>
      </c>
      <c r="EY349" s="10" cm="1">
        <f t="array" aca="1" ref="EY349" ca="1">(1-$B$18)*SUMPRODUCT(OFFSET($BO$15,0,0,$B$14,1), 1*(_xlfn._xlws.FILTER(OFFSET($O$15,0,$DN349,$B$8,1),OFFSET($M$15,0,0,$B$8,1))=EY$13), 1*(_xlfn._xlws.FILTER(OFFSET($O$15,0,$DO349,$B$8,1),OFFSET($M$15,0,0,$B$8,1))=EY$14))   /   SUM(OFFSET($BO$15,0,0,$B$14,1)) + $B$18/($B$19*$B$19*($DN349&lt;&gt;$DO349) + $B$19*($DN349=$DO349))</f>
        <v>3.7037037037037035E-4</v>
      </c>
      <c r="EZ349" s="10" cm="1">
        <f t="array" aca="1" ref="EZ349" ca="1">(1-$B$18)*SUMPRODUCT(OFFSET($BO$15,0,0,$B$14,1), 1*(_xlfn._xlws.FILTER(OFFSET($O$15,0,$DN349,$B$8,1),OFFSET($M$15,0,0,$B$8,1))=EZ$13), 1*(_xlfn._xlws.FILTER(OFFSET($O$15,0,$DO349,$B$8,1),OFFSET($M$15,0,0,$B$8,1))=EZ$14))   /   SUM(OFFSET($BO$15,0,0,$B$14,1)) + $B$18/($B$19*$B$19*($DN349&lt;&gt;$DO349) + $B$19*($DN349=$DO349))</f>
        <v>3.7037037037037035E-4</v>
      </c>
      <c r="FA349" s="10" cm="1">
        <f t="array" aca="1" ref="FA349" ca="1">(1-$B$18)*SUMPRODUCT(OFFSET($BO$15,0,0,$B$14,1), 1*(_xlfn._xlws.FILTER(OFFSET($O$15,0,$DN349,$B$8,1),OFFSET($M$15,0,0,$B$8,1))=FA$13), 1*(_xlfn._xlws.FILTER(OFFSET($O$15,0,$DO349,$B$8,1),OFFSET($M$15,0,0,$B$8,1))=FA$14))   /   SUM(OFFSET($BO$15,0,0,$B$14,1)) + $B$18/($B$19*$B$19*($DN349&lt;&gt;$DO349) + $B$19*($DN349=$DO349))</f>
        <v>3.7037037037037035E-4</v>
      </c>
      <c r="FB349" s="10" cm="1">
        <f t="array" aca="1" ref="FB349" ca="1">(1-$B$18)*SUMPRODUCT(OFFSET($BO$15,0,0,$B$14,1), 1*(_xlfn._xlws.FILTER(OFFSET($O$15,0,$DN349,$B$8,1),OFFSET($M$15,0,0,$B$8,1))=FB$13), 1*(_xlfn._xlws.FILTER(OFFSET($O$15,0,$DO349,$B$8,1),OFFSET($M$15,0,0,$B$8,1))=FB$14))   /   SUM(OFFSET($BO$15,0,0,$B$14,1)) + $B$18/($B$19*$B$19*($DN349&lt;&gt;$DO349) + $B$19*($DN349=$DO349))</f>
        <v>3.7037037037037035E-4</v>
      </c>
      <c r="FC349" s="10" cm="1">
        <f t="array" aca="1" ref="FC349" ca="1">(1-$B$18)*SUMPRODUCT(OFFSET($BO$15,0,0,$B$14,1), 1*(_xlfn._xlws.FILTER(OFFSET($O$15,0,$DN349,$B$8,1),OFFSET($M$15,0,0,$B$8,1))=FC$13), 1*(_xlfn._xlws.FILTER(OFFSET($O$15,0,$DO349,$B$8,1),OFFSET($M$15,0,0,$B$8,1))=FC$14))   /   SUM(OFFSET($BO$15,0,0,$B$14,1)) + $B$18/($B$19*$B$19*($DN349&lt;&gt;$DO349) + $B$19*($DN349=$DO349))</f>
        <v>3.7037037037037035E-4</v>
      </c>
      <c r="FD349" s="10" cm="1">
        <f t="array" aca="1" ref="FD349" ca="1">(1-$B$18)*SUMPRODUCT(OFFSET($BO$15,0,0,$B$14,1), 1*(_xlfn._xlws.FILTER(OFFSET($O$15,0,$DN349,$B$8,1),OFFSET($M$15,0,0,$B$8,1))=FD$13), 1*(_xlfn._xlws.FILTER(OFFSET($O$15,0,$DO349,$B$8,1),OFFSET($M$15,0,0,$B$8,1))=FD$14))   /   SUM(OFFSET($BO$15,0,0,$B$14,1)) + $B$18/($B$19*$B$19*($DN349&lt;&gt;$DO349) + $B$19*($DN349=$DO349))</f>
        <v>3.7037037037037035E-4</v>
      </c>
      <c r="FE349" s="10" cm="1">
        <f t="array" aca="1" ref="FE349" ca="1">(1-$B$18)*SUMPRODUCT(OFFSET($BO$15,0,0,$B$14,1), 1*(_xlfn._xlws.FILTER(OFFSET($O$15,0,$DN349,$B$8,1),OFFSET($M$15,0,0,$B$8,1))=FE$13), 1*(_xlfn._xlws.FILTER(OFFSET($O$15,0,$DO349,$B$8,1),OFFSET($M$15,0,0,$B$8,1))=FE$14))   /   SUM(OFFSET($BO$15,0,0,$B$14,1)) + $B$18/($B$19*$B$19*($DN349&lt;&gt;$DO349) + $B$19*($DN349=$DO349))</f>
        <v>0.24287037037037026</v>
      </c>
      <c r="FF349" s="10" cm="1">
        <f t="array" aca="1" ref="FF349" ca="1">(1-$B$18)*SUMPRODUCT(OFFSET($BO$15,0,0,$B$14,1), 1*(_xlfn._xlws.FILTER(OFFSET($O$15,0,$DN349,$B$8,1),OFFSET($M$15,0,0,$B$8,1))=FF$13), 1*(_xlfn._xlws.FILTER(OFFSET($O$15,0,$DO349,$B$8,1),OFFSET($M$15,0,0,$B$8,1))=FF$14))   /   SUM(OFFSET($BO$15,0,0,$B$14,1)) + $B$18/($B$19*$B$19*($DN349&lt;&gt;$DO349) + $B$19*($DN349=$DO349))</f>
        <v>3.7037037037037035E-4</v>
      </c>
      <c r="FG349" s="10" cm="1">
        <f t="array" aca="1" ref="FG349" ca="1">(1-$B$18)*SUMPRODUCT(OFFSET($BO$15,0,0,$B$14,1), 1*(_xlfn._xlws.FILTER(OFFSET($O$15,0,$DN349,$B$8,1),OFFSET($M$15,0,0,$B$8,1))=FG$13), 1*(_xlfn._xlws.FILTER(OFFSET($O$15,0,$DO349,$B$8,1),OFFSET($M$15,0,0,$B$8,1))=FG$14))   /   SUM(OFFSET($BO$15,0,0,$B$14,1)) + $B$18/($B$19*$B$19*($DN349&lt;&gt;$DO349) + $B$19*($DN349=$DO349))</f>
        <v>3.7037037037037035E-4</v>
      </c>
      <c r="FH349" s="10" cm="1">
        <f t="array" aca="1" ref="FH349" ca="1">(1-$B$18)*SUMPRODUCT(OFFSET($BO$15,0,0,$B$14,1), 1*(_xlfn._xlws.FILTER(OFFSET($O$15,0,$DN349,$B$8,1),OFFSET($M$15,0,0,$B$8,1))=FH$13), 1*(_xlfn._xlws.FILTER(OFFSET($O$15,0,$DO349,$B$8,1),OFFSET($M$15,0,0,$B$8,1))=FH$14))   /   SUM(OFFSET($BO$15,0,0,$B$14,1)) + $B$18/($B$19*$B$19*($DN349&lt;&gt;$DO349) + $B$19*($DN349=$DO349))</f>
        <v>3.7037037037037035E-4</v>
      </c>
      <c r="FI349" s="10" cm="1">
        <f t="array" aca="1" ref="FI349" ca="1">(1-$B$18)*SUMPRODUCT(OFFSET($BO$15,0,0,$B$14,1), 1*(_xlfn._xlws.FILTER(OFFSET($O$15,0,$DN349,$B$8,1),OFFSET($M$15,0,0,$B$8,1))=FI$13), 1*(_xlfn._xlws.FILTER(OFFSET($O$15,0,$DO349,$B$8,1),OFFSET($M$15,0,0,$B$8,1))=FI$14))   /   SUM(OFFSET($BO$15,0,0,$B$14,1)) + $B$18/($B$19*$B$19*($DN349&lt;&gt;$DO349) + $B$19*($DN349=$DO349))</f>
        <v>3.7037037037037035E-4</v>
      </c>
      <c r="FJ349" s="10" cm="1">
        <f t="array" aca="1" ref="FJ349" ca="1">(1-$B$18)*SUMPRODUCT(OFFSET($BO$15,0,0,$B$14,1), 1*(_xlfn._xlws.FILTER(OFFSET($O$15,0,$DN349,$B$8,1),OFFSET($M$15,0,0,$B$8,1))=FJ$13), 1*(_xlfn._xlws.FILTER(OFFSET($O$15,0,$DO349,$B$8,1),OFFSET($M$15,0,0,$B$8,1))=FJ$14))   /   SUM(OFFSET($BO$15,0,0,$B$14,1)) + $B$18/($B$19*$B$19*($DN349&lt;&gt;$DO349) + $B$19*($DN349=$DO349))</f>
        <v>3.7037037037037035E-4</v>
      </c>
      <c r="FK349" s="10" cm="1">
        <f t="array" aca="1" ref="FK349" ca="1">(1-$B$18)*SUMPRODUCT(OFFSET($BO$15,0,0,$B$14,1), 1*(_xlfn._xlws.FILTER(OFFSET($O$15,0,$DN349,$B$8,1),OFFSET($M$15,0,0,$B$8,1))=FK$13), 1*(_xlfn._xlws.FILTER(OFFSET($O$15,0,$DO349,$B$8,1),OFFSET($M$15,0,0,$B$8,1))=FK$14))   /   SUM(OFFSET($BO$15,0,0,$B$14,1)) + $B$18/($B$19*$B$19*($DN349&lt;&gt;$DO349) + $B$19*($DN349=$DO349))</f>
        <v>3.7037037037037035E-4</v>
      </c>
      <c r="FL349" s="10" cm="1">
        <f t="array" aca="1" ref="FL349" ca="1">(1-$B$18)*SUMPRODUCT(OFFSET($BO$15,0,0,$B$14,1), 1*(_xlfn._xlws.FILTER(OFFSET($O$15,0,$DN349,$B$8,1),OFFSET($M$15,0,0,$B$8,1))=FL$13), 1*(_xlfn._xlws.FILTER(OFFSET($O$15,0,$DO349,$B$8,1),OFFSET($M$15,0,0,$B$8,1))=FL$14))   /   SUM(OFFSET($BO$15,0,0,$B$14,1)) + $B$18/($B$19*$B$19*($DN349&lt;&gt;$DO349) + $B$19*($DN349=$DO349))</f>
        <v>3.7037037037037035E-4</v>
      </c>
      <c r="FM349" s="10" cm="1">
        <f t="array" aca="1" ref="FM349" ca="1">(1-$B$18)*SUMPRODUCT(OFFSET($BO$15,0,0,$B$14,1), 1*(_xlfn._xlws.FILTER(OFFSET($O$15,0,$DN349,$B$8,1),OFFSET($M$15,0,0,$B$8,1))=FM$13), 1*(_xlfn._xlws.FILTER(OFFSET($O$15,0,$DO349,$B$8,1),OFFSET($M$15,0,0,$B$8,1))=FM$14))   /   SUM(OFFSET($BO$15,0,0,$B$14,1)) + $B$18/($B$19*$B$19*($DN349&lt;&gt;$DO349) + $B$19*($DN349=$DO349))</f>
        <v>0.48537037037037012</v>
      </c>
      <c r="FN349" s="10" cm="1">
        <f t="array" aca="1" ref="FN349" ca="1">(1-$B$18)*SUMPRODUCT(OFFSET($BO$15,0,0,$B$14,1), 1*(_xlfn._xlws.FILTER(OFFSET($O$15,0,$DN349,$B$8,1),OFFSET($M$15,0,0,$B$8,1))=FN$13), 1*(_xlfn._xlws.FILTER(OFFSET($O$15,0,$DO349,$B$8,1),OFFSET($M$15,0,0,$B$8,1))=FN$14))   /   SUM(OFFSET($BO$15,0,0,$B$14,1)) + $B$18/($B$19*$B$19*($DN349&lt;&gt;$DO349) + $B$19*($DN349=$DO349))</f>
        <v>3.7037037037037035E-4</v>
      </c>
      <c r="FO349" s="10" cm="1">
        <f t="array" aca="1" ref="FO349" ca="1">(1-$B$18)*SUMPRODUCT(OFFSET($BO$15,0,0,$B$14,1), 1*(_xlfn._xlws.FILTER(OFFSET($O$15,0,$DN349,$B$8,1),OFFSET($M$15,0,0,$B$8,1))=FO$13), 1*(_xlfn._xlws.FILTER(OFFSET($O$15,0,$DO349,$B$8,1),OFFSET($M$15,0,0,$B$8,1))=FO$14))   /   SUM(OFFSET($BO$15,0,0,$B$14,1)) + $B$18/($B$19*$B$19*($DN349&lt;&gt;$DO349) + $B$19*($DN349=$DO349))</f>
        <v>3.7037037037037035E-4</v>
      </c>
      <c r="FP349" s="10" cm="1">
        <f t="array" aca="1" ref="FP349" ca="1">(1-$B$18)*SUMPRODUCT(OFFSET($BO$15,0,0,$B$14,1), 1*(_xlfn._xlws.FILTER(OFFSET($O$15,0,$DN349,$B$8,1),OFFSET($M$15,0,0,$B$8,1))=FP$13), 1*(_xlfn._xlws.FILTER(OFFSET($O$15,0,$DO349,$B$8,1),OFFSET($M$15,0,0,$B$8,1))=FP$14))   /   SUM(OFFSET($BO$15,0,0,$B$14,1)) + $B$18/($B$19*$B$19*($DN349&lt;&gt;$DO349) + $B$19*($DN349=$DO349))</f>
        <v>3.7037037037037035E-4</v>
      </c>
      <c r="FQ349" s="10" cm="1">
        <f t="array" aca="1" ref="FQ349" ca="1">(1-$B$18)*SUMPRODUCT(OFFSET($BO$15,0,0,$B$14,1), 1*(_xlfn._xlws.FILTER(OFFSET($O$15,0,$DN349,$B$8,1),OFFSET($M$15,0,0,$B$8,1))=FQ$13), 1*(_xlfn._xlws.FILTER(OFFSET($O$15,0,$DO349,$B$8,1),OFFSET($M$15,0,0,$B$8,1))=FQ$14))   /   SUM(OFFSET($BO$15,0,0,$B$14,1)) + $B$18/($B$19*$B$19*($DN349&lt;&gt;$DO349) + $B$19*($DN349=$DO349))</f>
        <v>3.7037037037037035E-4</v>
      </c>
      <c r="FR349" s="10" cm="1">
        <f t="array" aca="1" ref="FR349" ca="1">(1-$B$18)*SUMPRODUCT(OFFSET($BO$15,0,0,$B$14,1), 1*(_xlfn._xlws.FILTER(OFFSET($O$15,0,$DN349,$B$8,1),OFFSET($M$15,0,0,$B$8,1))=FR$13), 1*(_xlfn._xlws.FILTER(OFFSET($O$15,0,$DO349,$B$8,1),OFFSET($M$15,0,0,$B$8,1))=FR$14))   /   SUM(OFFSET($BO$15,0,0,$B$14,1)) + $B$18/($B$19*$B$19*($DN349&lt;&gt;$DO349) + $B$19*($DN349=$DO349))</f>
        <v>3.7037037037037035E-4</v>
      </c>
      <c r="FS349" s="10" cm="1">
        <f t="array" aca="1" ref="FS349" ca="1">(1-$B$18)*SUMPRODUCT(OFFSET($BO$15,0,0,$B$14,1), 1*(_xlfn._xlws.FILTER(OFFSET($O$15,0,$DN349,$B$8,1),OFFSET($M$15,0,0,$B$8,1))=FS$13), 1*(_xlfn._xlws.FILTER(OFFSET($O$15,0,$DO349,$B$8,1),OFFSET($M$15,0,0,$B$8,1))=FS$14))   /   SUM(OFFSET($BO$15,0,0,$B$14,1)) + $B$18/($B$19*$B$19*($DN349&lt;&gt;$DO349) + $B$19*($DN349=$DO349))</f>
        <v>3.7037037037037035E-4</v>
      </c>
      <c r="FT349" s="10" cm="1">
        <f t="array" aca="1" ref="FT349" ca="1">(1-$B$18)*SUMPRODUCT(OFFSET($BO$15,0,0,$B$14,1), 1*(_xlfn._xlws.FILTER(OFFSET($O$15,0,$DN349,$B$8,1),OFFSET($M$15,0,0,$B$8,1))=FT$13), 1*(_xlfn._xlws.FILTER(OFFSET($O$15,0,$DO349,$B$8,1),OFFSET($M$15,0,0,$B$8,1))=FT$14))   /   SUM(OFFSET($BO$15,0,0,$B$14,1)) + $B$18/($B$19*$B$19*($DN349&lt;&gt;$DO349) + $B$19*($DN349=$DO349))</f>
        <v>3.7037037037037035E-4</v>
      </c>
      <c r="FU349" s="10" cm="1">
        <f t="array" aca="1" ref="FU349" ca="1">(1-$B$18)*SUMPRODUCT(OFFSET($BO$15,0,0,$B$14,1), 1*(_xlfn._xlws.FILTER(OFFSET($O$15,0,$DN349,$B$8,1),OFFSET($M$15,0,0,$B$8,1))=FU$13), 1*(_xlfn._xlws.FILTER(OFFSET($O$15,0,$DO349,$B$8,1),OFFSET($M$15,0,0,$B$8,1))=FU$14))   /   SUM(OFFSET($BO$15,0,0,$B$14,1)) + $B$18/($B$19*$B$19*($DN349&lt;&gt;$DO349) + $B$19*($DN349=$DO349))</f>
        <v>3.7037037037037035E-4</v>
      </c>
      <c r="FV349" s="10" cm="1">
        <f t="array" aca="1" ref="FV349" ca="1">(1-$B$18)*SUMPRODUCT(OFFSET($BO$15,0,0,$B$14,1), 1*(_xlfn._xlws.FILTER(OFFSET($O$15,0,$DN349,$B$8,1),OFFSET($M$15,0,0,$B$8,1))=FV$13), 1*(_xlfn._xlws.FILTER(OFFSET($O$15,0,$DO349,$B$8,1),OFFSET($M$15,0,0,$B$8,1))=FV$14))   /   SUM(OFFSET($BO$15,0,0,$B$14,1)) + $B$18/($B$19*$B$19*($DN349&lt;&gt;$DO349) + $B$19*($DN349=$DO349))</f>
        <v>3.7037037037037035E-4</v>
      </c>
      <c r="FW349" s="10" cm="1">
        <f t="array" aca="1" ref="FW349" ca="1">(1-$B$18)*SUMPRODUCT(OFFSET($BO$15,0,0,$B$14,1), 1*(_xlfn._xlws.FILTER(OFFSET($O$15,0,$DN349,$B$8,1),OFFSET($M$15,0,0,$B$8,1))=FW$13), 1*(_xlfn._xlws.FILTER(OFFSET($O$15,0,$DO349,$B$8,1),OFFSET($M$15,0,0,$B$8,1))=FW$14))   /   SUM(OFFSET($BO$15,0,0,$B$14,1)) + $B$18/($B$19*$B$19*($DN349&lt;&gt;$DO349) + $B$19*($DN349=$DO349))</f>
        <v>3.7037037037037035E-4</v>
      </c>
      <c r="FX349" s="10" cm="1">
        <f t="array" aca="1" ref="FX349" ca="1">(1-$B$18)*SUMPRODUCT(OFFSET($BO$15,0,0,$B$14,1), 1*(_xlfn._xlws.FILTER(OFFSET($O$15,0,$DN349,$B$8,1),OFFSET($M$15,0,0,$B$8,1))=FX$13), 1*(_xlfn._xlws.FILTER(OFFSET($O$15,0,$DO349,$B$8,1),OFFSET($M$15,0,0,$B$8,1))=FX$14))   /   SUM(OFFSET($BO$15,0,0,$B$14,1)) + $B$18/($B$19*$B$19*($DN349&lt;&gt;$DO349) + $B$19*($DN349=$DO349))</f>
        <v>3.7037037037037035E-4</v>
      </c>
      <c r="FY349" s="10" cm="1">
        <f t="array" aca="1" ref="FY349" ca="1">(1-$B$18)*SUMPRODUCT(OFFSET($BO$15,0,0,$B$14,1), 1*(_xlfn._xlws.FILTER(OFFSET($O$15,0,$DN349,$B$8,1),OFFSET($M$15,0,0,$B$8,1))=FY$13), 1*(_xlfn._xlws.FILTER(OFFSET($O$15,0,$DO349,$B$8,1),OFFSET($M$15,0,0,$B$8,1))=FY$14))   /   SUM(OFFSET($BO$15,0,0,$B$14,1)) + $B$18/($B$19*$B$19*($DN349&lt;&gt;$DO349) + $B$19*($DN349=$DO349))</f>
        <v>3.7037037037037035E-4</v>
      </c>
      <c r="FZ349" s="10" cm="1">
        <f t="array" aca="1" ref="FZ349" ca="1">(1-$B$18)*SUMPRODUCT(OFFSET($BO$15,0,0,$B$14,1), 1*(_xlfn._xlws.FILTER(OFFSET($O$15,0,$DN349,$B$8,1),OFFSET($M$15,0,0,$B$8,1))=FZ$13), 1*(_xlfn._xlws.FILTER(OFFSET($O$15,0,$DO349,$B$8,1),OFFSET($M$15,0,0,$B$8,1))=FZ$14))   /   SUM(OFFSET($BO$15,0,0,$B$14,1)) + $B$18/($B$19*$B$19*($DN349&lt;&gt;$DO349) + $B$19*($DN349=$DO349))</f>
        <v>3.7037037037037035E-4</v>
      </c>
      <c r="GA349" s="10" cm="1">
        <f t="array" aca="1" ref="GA349" ca="1">(1-$B$18)*SUMPRODUCT(OFFSET($BO$15,0,0,$B$14,1), 1*(_xlfn._xlws.FILTER(OFFSET($O$15,0,$DN349,$B$8,1),OFFSET($M$15,0,0,$B$8,1))=GA$13), 1*(_xlfn._xlws.FILTER(OFFSET($O$15,0,$DO349,$B$8,1),OFFSET($M$15,0,0,$B$8,1))=GA$14))   /   SUM(OFFSET($BO$15,0,0,$B$14,1)) + $B$18/($B$19*$B$19*($DN349&lt;&gt;$DO349) + $B$19*($DN349=$DO349))</f>
        <v>3.7037037037037035E-4</v>
      </c>
    </row>
    <row r="350" spans="118:183" x14ac:dyDescent="0.2">
      <c r="DN350" cm="1">
        <f t="array" aca="1" ref="DN350" ca="1">INDEX(_xlfn.ANCHORARRAY($CP$15), 1 + INT((ROWS($DO$15:$DO350) - 1) / ROWS(_xlfn.ANCHORARRAY($CP$15))))</f>
        <v>20</v>
      </c>
      <c r="DO350" cm="1">
        <f t="array" aca="1" ref="DO350" ca="1">INDEX(_xlfn.ANCHORARRAY($CP$15),1+MOD(ROWS($DO$15:$DO350)-1,ROWS(_xlfn.ANCHORARRAY($CP$15))))</f>
        <v>13</v>
      </c>
      <c r="DP350" s="10" cm="1">
        <f t="array" aca="1" ref="DP350" ca="1">(1-$B$18)*SUMPRODUCT(OFFSET($BO$15,0,0,$B$14,1), 1*(_xlfn._xlws.FILTER(OFFSET($O$15,0,$DN350,$B$8,1),OFFSET($M$15,0,0,$B$8,1))=DP$13), 1*(_xlfn._xlws.FILTER(OFFSET($O$15,0,$DO350,$B$8,1),OFFSET($M$15,0,0,$B$8,1))=DP$14))   /   SUM(OFFSET($BO$15,0,0,$B$14,1)) + $B$18/($B$19*$B$19*($DN350&lt;&gt;$DO350) + $B$19*($DN350=$DO350))</f>
        <v>3.7037037037037035E-4</v>
      </c>
      <c r="DQ350" s="10" cm="1">
        <f t="array" aca="1" ref="DQ350" ca="1">(1-$B$18)*SUMPRODUCT(OFFSET($BO$15,0,0,$B$14,1), 1*(_xlfn._xlws.FILTER(OFFSET($O$15,0,$DN350,$B$8,1),OFFSET($M$15,0,0,$B$8,1))=DQ$13), 1*(_xlfn._xlws.FILTER(OFFSET($O$15,0,$DO350,$B$8,1),OFFSET($M$15,0,0,$B$8,1))=DQ$14))   /   SUM(OFFSET($BO$15,0,0,$B$14,1)) + $B$18/($B$19*$B$19*($DN350&lt;&gt;$DO350) + $B$19*($DN350=$DO350))</f>
        <v>3.7037037037037035E-4</v>
      </c>
      <c r="DR350" s="10" cm="1">
        <f t="array" aca="1" ref="DR350" ca="1">(1-$B$18)*SUMPRODUCT(OFFSET($BO$15,0,0,$B$14,1), 1*(_xlfn._xlws.FILTER(OFFSET($O$15,0,$DN350,$B$8,1),OFFSET($M$15,0,0,$B$8,1))=DR$13), 1*(_xlfn._xlws.FILTER(OFFSET($O$15,0,$DO350,$B$8,1),OFFSET($M$15,0,0,$B$8,1))=DR$14))   /   SUM(OFFSET($BO$15,0,0,$B$14,1)) + $B$18/($B$19*$B$19*($DN350&lt;&gt;$DO350) + $B$19*($DN350=$DO350))</f>
        <v>3.7037037037037035E-4</v>
      </c>
      <c r="DS350" s="10" cm="1">
        <f t="array" aca="1" ref="DS350" ca="1">(1-$B$18)*SUMPRODUCT(OFFSET($BO$15,0,0,$B$14,1), 1*(_xlfn._xlws.FILTER(OFFSET($O$15,0,$DN350,$B$8,1),OFFSET($M$15,0,0,$B$8,1))=DS$13), 1*(_xlfn._xlws.FILTER(OFFSET($O$15,0,$DO350,$B$8,1),OFFSET($M$15,0,0,$B$8,1))=DS$14))   /   SUM(OFFSET($BO$15,0,0,$B$14,1)) + $B$18/($B$19*$B$19*($DN350&lt;&gt;$DO350) + $B$19*($DN350=$DO350))</f>
        <v>3.7037037037037035E-4</v>
      </c>
      <c r="DT350" s="10" cm="1">
        <f t="array" aca="1" ref="DT350" ca="1">(1-$B$18)*SUMPRODUCT(OFFSET($BO$15,0,0,$B$14,1), 1*(_xlfn._xlws.FILTER(OFFSET($O$15,0,$DN350,$B$8,1),OFFSET($M$15,0,0,$B$8,1))=DT$13), 1*(_xlfn._xlws.FILTER(OFFSET($O$15,0,$DO350,$B$8,1),OFFSET($M$15,0,0,$B$8,1))=DT$14))   /   SUM(OFFSET($BO$15,0,0,$B$14,1)) + $B$18/($B$19*$B$19*($DN350&lt;&gt;$DO350) + $B$19*($DN350=$DO350))</f>
        <v>3.7037037037037035E-4</v>
      </c>
      <c r="DU350" s="10" cm="1">
        <f t="array" aca="1" ref="DU350" ca="1">(1-$B$18)*SUMPRODUCT(OFFSET($BO$15,0,0,$B$14,1), 1*(_xlfn._xlws.FILTER(OFFSET($O$15,0,$DN350,$B$8,1),OFFSET($M$15,0,0,$B$8,1))=DU$13), 1*(_xlfn._xlws.FILTER(OFFSET($O$15,0,$DO350,$B$8,1),OFFSET($M$15,0,0,$B$8,1))=DU$14))   /   SUM(OFFSET($BO$15,0,0,$B$14,1)) + $B$18/($B$19*$B$19*($DN350&lt;&gt;$DO350) + $B$19*($DN350=$DO350))</f>
        <v>3.7037037037037035E-4</v>
      </c>
      <c r="DV350" s="10" cm="1">
        <f t="array" aca="1" ref="DV350" ca="1">(1-$B$18)*SUMPRODUCT(OFFSET($BO$15,0,0,$B$14,1), 1*(_xlfn._xlws.FILTER(OFFSET($O$15,0,$DN350,$B$8,1),OFFSET($M$15,0,0,$B$8,1))=DV$13), 1*(_xlfn._xlws.FILTER(OFFSET($O$15,0,$DO350,$B$8,1),OFFSET($M$15,0,0,$B$8,1))=DV$14))   /   SUM(OFFSET($BO$15,0,0,$B$14,1)) + $B$18/($B$19*$B$19*($DN350&lt;&gt;$DO350) + $B$19*($DN350=$DO350))</f>
        <v>3.7037037037037035E-4</v>
      </c>
      <c r="DW350" s="10" cm="1">
        <f t="array" aca="1" ref="DW350" ca="1">(1-$B$18)*SUMPRODUCT(OFFSET($BO$15,0,0,$B$14,1), 1*(_xlfn._xlws.FILTER(OFFSET($O$15,0,$DN350,$B$8,1),OFFSET($M$15,0,0,$B$8,1))=DW$13), 1*(_xlfn._xlws.FILTER(OFFSET($O$15,0,$DO350,$B$8,1),OFFSET($M$15,0,0,$B$8,1))=DW$14))   /   SUM(OFFSET($BO$15,0,0,$B$14,1)) + $B$18/($B$19*$B$19*($DN350&lt;&gt;$DO350) + $B$19*($DN350=$DO350))</f>
        <v>3.7037037037037035E-4</v>
      </c>
      <c r="DX350" s="10" cm="1">
        <f t="array" aca="1" ref="DX350" ca="1">(1-$B$18)*SUMPRODUCT(OFFSET($BO$15,0,0,$B$14,1), 1*(_xlfn._xlws.FILTER(OFFSET($O$15,0,$DN350,$B$8,1),OFFSET($M$15,0,0,$B$8,1))=DX$13), 1*(_xlfn._xlws.FILTER(OFFSET($O$15,0,$DO350,$B$8,1),OFFSET($M$15,0,0,$B$8,1))=DX$14))   /   SUM(OFFSET($BO$15,0,0,$B$14,1)) + $B$18/($B$19*$B$19*($DN350&lt;&gt;$DO350) + $B$19*($DN350=$DO350))</f>
        <v>3.7037037037037035E-4</v>
      </c>
      <c r="DY350" s="10" cm="1">
        <f t="array" aca="1" ref="DY350" ca="1">(1-$B$18)*SUMPRODUCT(OFFSET($BO$15,0,0,$B$14,1), 1*(_xlfn._xlws.FILTER(OFFSET($O$15,0,$DN350,$B$8,1),OFFSET($M$15,0,0,$B$8,1))=DY$13), 1*(_xlfn._xlws.FILTER(OFFSET($O$15,0,$DO350,$B$8,1),OFFSET($M$15,0,0,$B$8,1))=DY$14))   /   SUM(OFFSET($BO$15,0,0,$B$14,1)) + $B$18/($B$19*$B$19*($DN350&lt;&gt;$DO350) + $B$19*($DN350=$DO350))</f>
        <v>3.7037037037037035E-4</v>
      </c>
      <c r="DZ350" s="10" cm="1">
        <f t="array" aca="1" ref="DZ350" ca="1">(1-$B$18)*SUMPRODUCT(OFFSET($BO$15,0,0,$B$14,1), 1*(_xlfn._xlws.FILTER(OFFSET($O$15,0,$DN350,$B$8,1),OFFSET($M$15,0,0,$B$8,1))=DZ$13), 1*(_xlfn._xlws.FILTER(OFFSET($O$15,0,$DO350,$B$8,1),OFFSET($M$15,0,0,$B$8,1))=DZ$14))   /   SUM(OFFSET($BO$15,0,0,$B$14,1)) + $B$18/($B$19*$B$19*($DN350&lt;&gt;$DO350) + $B$19*($DN350=$DO350))</f>
        <v>3.7037037037037035E-4</v>
      </c>
      <c r="EA350" s="10" cm="1">
        <f t="array" aca="1" ref="EA350" ca="1">(1-$B$18)*SUMPRODUCT(OFFSET($BO$15,0,0,$B$14,1), 1*(_xlfn._xlws.FILTER(OFFSET($O$15,0,$DN350,$B$8,1),OFFSET($M$15,0,0,$B$8,1))=EA$13), 1*(_xlfn._xlws.FILTER(OFFSET($O$15,0,$DO350,$B$8,1),OFFSET($M$15,0,0,$B$8,1))=EA$14))   /   SUM(OFFSET($BO$15,0,0,$B$14,1)) + $B$18/($B$19*$B$19*($DN350&lt;&gt;$DO350) + $B$19*($DN350=$DO350))</f>
        <v>3.7037037037037035E-4</v>
      </c>
      <c r="EB350" s="10" cm="1">
        <f t="array" aca="1" ref="EB350" ca="1">(1-$B$18)*SUMPRODUCT(OFFSET($BO$15,0,0,$B$14,1), 1*(_xlfn._xlws.FILTER(OFFSET($O$15,0,$DN350,$B$8,1),OFFSET($M$15,0,0,$B$8,1))=EB$13), 1*(_xlfn._xlws.FILTER(OFFSET($O$15,0,$DO350,$B$8,1),OFFSET($M$15,0,0,$B$8,1))=EB$14))   /   SUM(OFFSET($BO$15,0,0,$B$14,1)) + $B$18/($B$19*$B$19*($DN350&lt;&gt;$DO350) + $B$19*($DN350=$DO350))</f>
        <v>3.7037037037037035E-4</v>
      </c>
      <c r="EC350" s="10" cm="1">
        <f t="array" aca="1" ref="EC350" ca="1">(1-$B$18)*SUMPRODUCT(OFFSET($BO$15,0,0,$B$14,1), 1*(_xlfn._xlws.FILTER(OFFSET($O$15,0,$DN350,$B$8,1),OFFSET($M$15,0,0,$B$8,1))=EC$13), 1*(_xlfn._xlws.FILTER(OFFSET($O$15,0,$DO350,$B$8,1),OFFSET($M$15,0,0,$B$8,1))=EC$14))   /   SUM(OFFSET($BO$15,0,0,$B$14,1)) + $B$18/($B$19*$B$19*($DN350&lt;&gt;$DO350) + $B$19*($DN350=$DO350))</f>
        <v>3.7037037037037035E-4</v>
      </c>
      <c r="ED350" s="10" cm="1">
        <f t="array" aca="1" ref="ED350" ca="1">(1-$B$18)*SUMPRODUCT(OFFSET($BO$15,0,0,$B$14,1), 1*(_xlfn._xlws.FILTER(OFFSET($O$15,0,$DN350,$B$8,1),OFFSET($M$15,0,0,$B$8,1))=ED$13), 1*(_xlfn._xlws.FILTER(OFFSET($O$15,0,$DO350,$B$8,1),OFFSET($M$15,0,0,$B$8,1))=ED$14))   /   SUM(OFFSET($BO$15,0,0,$B$14,1)) + $B$18/($B$19*$B$19*($DN350&lt;&gt;$DO350) + $B$19*($DN350=$DO350))</f>
        <v>3.7037037037037035E-4</v>
      </c>
      <c r="EE350" s="10" cm="1">
        <f t="array" aca="1" ref="EE350" ca="1">(1-$B$18)*SUMPRODUCT(OFFSET($BO$15,0,0,$B$14,1), 1*(_xlfn._xlws.FILTER(OFFSET($O$15,0,$DN350,$B$8,1),OFFSET($M$15,0,0,$B$8,1))=EE$13), 1*(_xlfn._xlws.FILTER(OFFSET($O$15,0,$DO350,$B$8,1),OFFSET($M$15,0,0,$B$8,1))=EE$14))   /   SUM(OFFSET($BO$15,0,0,$B$14,1)) + $B$18/($B$19*$B$19*($DN350&lt;&gt;$DO350) + $B$19*($DN350=$DO350))</f>
        <v>3.7037037037037035E-4</v>
      </c>
      <c r="EF350" s="10" cm="1">
        <f t="array" aca="1" ref="EF350" ca="1">(1-$B$18)*SUMPRODUCT(OFFSET($BO$15,0,0,$B$14,1), 1*(_xlfn._xlws.FILTER(OFFSET($O$15,0,$DN350,$B$8,1),OFFSET($M$15,0,0,$B$8,1))=EF$13), 1*(_xlfn._xlws.FILTER(OFFSET($O$15,0,$DO350,$B$8,1),OFFSET($M$15,0,0,$B$8,1))=EF$14))   /   SUM(OFFSET($BO$15,0,0,$B$14,1)) + $B$18/($B$19*$B$19*($DN350&lt;&gt;$DO350) + $B$19*($DN350=$DO350))</f>
        <v>3.7037037037037035E-4</v>
      </c>
      <c r="EG350" s="10" cm="1">
        <f t="array" aca="1" ref="EG350" ca="1">(1-$B$18)*SUMPRODUCT(OFFSET($BO$15,0,0,$B$14,1), 1*(_xlfn._xlws.FILTER(OFFSET($O$15,0,$DN350,$B$8,1),OFFSET($M$15,0,0,$B$8,1))=EG$13), 1*(_xlfn._xlws.FILTER(OFFSET($O$15,0,$DO350,$B$8,1),OFFSET($M$15,0,0,$B$8,1))=EG$14))   /   SUM(OFFSET($BO$15,0,0,$B$14,1)) + $B$18/($B$19*$B$19*($DN350&lt;&gt;$DO350) + $B$19*($DN350=$DO350))</f>
        <v>3.7037037037037035E-4</v>
      </c>
      <c r="EH350" s="10" cm="1">
        <f t="array" aca="1" ref="EH350" ca="1">(1-$B$18)*SUMPRODUCT(OFFSET($BO$15,0,0,$B$14,1), 1*(_xlfn._xlws.FILTER(OFFSET($O$15,0,$DN350,$B$8,1),OFFSET($M$15,0,0,$B$8,1))=EH$13), 1*(_xlfn._xlws.FILTER(OFFSET($O$15,0,$DO350,$B$8,1),OFFSET($M$15,0,0,$B$8,1))=EH$14))   /   SUM(OFFSET($BO$15,0,0,$B$14,1)) + $B$18/($B$19*$B$19*($DN350&lt;&gt;$DO350) + $B$19*($DN350=$DO350))</f>
        <v>3.7037037037037035E-4</v>
      </c>
      <c r="EI350" s="10" cm="1">
        <f t="array" aca="1" ref="EI350" ca="1">(1-$B$18)*SUMPRODUCT(OFFSET($BO$15,0,0,$B$14,1), 1*(_xlfn._xlws.FILTER(OFFSET($O$15,0,$DN350,$B$8,1),OFFSET($M$15,0,0,$B$8,1))=EI$13), 1*(_xlfn._xlws.FILTER(OFFSET($O$15,0,$DO350,$B$8,1),OFFSET($M$15,0,0,$B$8,1))=EI$14))   /   SUM(OFFSET($BO$15,0,0,$B$14,1)) + $B$18/($B$19*$B$19*($DN350&lt;&gt;$DO350) + $B$19*($DN350=$DO350))</f>
        <v>3.7037037037037035E-4</v>
      </c>
      <c r="EJ350" s="10" cm="1">
        <f t="array" aca="1" ref="EJ350" ca="1">(1-$B$18)*SUMPRODUCT(OFFSET($BO$15,0,0,$B$14,1), 1*(_xlfn._xlws.FILTER(OFFSET($O$15,0,$DN350,$B$8,1),OFFSET($M$15,0,0,$B$8,1))=EJ$13), 1*(_xlfn._xlws.FILTER(OFFSET($O$15,0,$DO350,$B$8,1),OFFSET($M$15,0,0,$B$8,1))=EJ$14))   /   SUM(OFFSET($BO$15,0,0,$B$14,1)) + $B$18/($B$19*$B$19*($DN350&lt;&gt;$DO350) + $B$19*($DN350=$DO350))</f>
        <v>3.7037037037037035E-4</v>
      </c>
      <c r="EK350" s="10" cm="1">
        <f t="array" aca="1" ref="EK350" ca="1">(1-$B$18)*SUMPRODUCT(OFFSET($BO$15,0,0,$B$14,1), 1*(_xlfn._xlws.FILTER(OFFSET($O$15,0,$DN350,$B$8,1),OFFSET($M$15,0,0,$B$8,1))=EK$13), 1*(_xlfn._xlws.FILTER(OFFSET($O$15,0,$DO350,$B$8,1),OFFSET($M$15,0,0,$B$8,1))=EK$14))   /   SUM(OFFSET($BO$15,0,0,$B$14,1)) + $B$18/($B$19*$B$19*($DN350&lt;&gt;$DO350) + $B$19*($DN350=$DO350))</f>
        <v>3.7037037037037035E-4</v>
      </c>
      <c r="EL350" s="10" cm="1">
        <f t="array" aca="1" ref="EL350" ca="1">(1-$B$18)*SUMPRODUCT(OFFSET($BO$15,0,0,$B$14,1), 1*(_xlfn._xlws.FILTER(OFFSET($O$15,0,$DN350,$B$8,1),OFFSET($M$15,0,0,$B$8,1))=EL$13), 1*(_xlfn._xlws.FILTER(OFFSET($O$15,0,$DO350,$B$8,1),OFFSET($M$15,0,0,$B$8,1))=EL$14))   /   SUM(OFFSET($BO$15,0,0,$B$14,1)) + $B$18/($B$19*$B$19*($DN350&lt;&gt;$DO350) + $B$19*($DN350=$DO350))</f>
        <v>3.7037037037037035E-4</v>
      </c>
      <c r="EM350" s="10" cm="1">
        <f t="array" aca="1" ref="EM350" ca="1">(1-$B$18)*SUMPRODUCT(OFFSET($BO$15,0,0,$B$14,1), 1*(_xlfn._xlws.FILTER(OFFSET($O$15,0,$DN350,$B$8,1),OFFSET($M$15,0,0,$B$8,1))=EM$13), 1*(_xlfn._xlws.FILTER(OFFSET($O$15,0,$DO350,$B$8,1),OFFSET($M$15,0,0,$B$8,1))=EM$14))   /   SUM(OFFSET($BO$15,0,0,$B$14,1)) + $B$18/($B$19*$B$19*($DN350&lt;&gt;$DO350) + $B$19*($DN350=$DO350))</f>
        <v>3.7037037037037035E-4</v>
      </c>
      <c r="EN350" s="10" cm="1">
        <f t="array" aca="1" ref="EN350" ca="1">(1-$B$18)*SUMPRODUCT(OFFSET($BO$15,0,0,$B$14,1), 1*(_xlfn._xlws.FILTER(OFFSET($O$15,0,$DN350,$B$8,1),OFFSET($M$15,0,0,$B$8,1))=EN$13), 1*(_xlfn._xlws.FILTER(OFFSET($O$15,0,$DO350,$B$8,1),OFFSET($M$15,0,0,$B$8,1))=EN$14))   /   SUM(OFFSET($BO$15,0,0,$B$14,1)) + $B$18/($B$19*$B$19*($DN350&lt;&gt;$DO350) + $B$19*($DN350=$DO350))</f>
        <v>3.7037037037037035E-4</v>
      </c>
      <c r="EO350" s="10" cm="1">
        <f t="array" aca="1" ref="EO350" ca="1">(1-$B$18)*SUMPRODUCT(OFFSET($BO$15,0,0,$B$14,1), 1*(_xlfn._xlws.FILTER(OFFSET($O$15,0,$DN350,$B$8,1),OFFSET($M$15,0,0,$B$8,1))=EO$13), 1*(_xlfn._xlws.FILTER(OFFSET($O$15,0,$DO350,$B$8,1),OFFSET($M$15,0,0,$B$8,1))=EO$14))   /   SUM(OFFSET($BO$15,0,0,$B$14,1)) + $B$18/($B$19*$B$19*($DN350&lt;&gt;$DO350) + $B$19*($DN350=$DO350))</f>
        <v>3.7037037037037035E-4</v>
      </c>
      <c r="EP350" s="10" cm="1">
        <f t="array" aca="1" ref="EP350" ca="1">(1-$B$18)*SUMPRODUCT(OFFSET($BO$15,0,0,$B$14,1), 1*(_xlfn._xlws.FILTER(OFFSET($O$15,0,$DN350,$B$8,1),OFFSET($M$15,0,0,$B$8,1))=EP$13), 1*(_xlfn._xlws.FILTER(OFFSET($O$15,0,$DO350,$B$8,1),OFFSET($M$15,0,0,$B$8,1))=EP$14))   /   SUM(OFFSET($BO$15,0,0,$B$14,1)) + $B$18/($B$19*$B$19*($DN350&lt;&gt;$DO350) + $B$19*($DN350=$DO350))</f>
        <v>3.7037037037037035E-4</v>
      </c>
      <c r="EQ350" s="10" cm="1">
        <f t="array" aca="1" ref="EQ350" ca="1">(1-$B$18)*SUMPRODUCT(OFFSET($BO$15,0,0,$B$14,1), 1*(_xlfn._xlws.FILTER(OFFSET($O$15,0,$DN350,$B$8,1),OFFSET($M$15,0,0,$B$8,1))=EQ$13), 1*(_xlfn._xlws.FILTER(OFFSET($O$15,0,$DO350,$B$8,1),OFFSET($M$15,0,0,$B$8,1))=EQ$14))   /   SUM(OFFSET($BO$15,0,0,$B$14,1)) + $B$18/($B$19*$B$19*($DN350&lt;&gt;$DO350) + $B$19*($DN350=$DO350))</f>
        <v>3.7037037037037035E-4</v>
      </c>
      <c r="ER350" s="10" cm="1">
        <f t="array" aca="1" ref="ER350" ca="1">(1-$B$18)*SUMPRODUCT(OFFSET($BO$15,0,0,$B$14,1), 1*(_xlfn._xlws.FILTER(OFFSET($O$15,0,$DN350,$B$8,1),OFFSET($M$15,0,0,$B$8,1))=ER$13), 1*(_xlfn._xlws.FILTER(OFFSET($O$15,0,$DO350,$B$8,1),OFFSET($M$15,0,0,$B$8,1))=ER$14))   /   SUM(OFFSET($BO$15,0,0,$B$14,1)) + $B$18/($B$19*$B$19*($DN350&lt;&gt;$DO350) + $B$19*($DN350=$DO350))</f>
        <v>3.7037037037037035E-4</v>
      </c>
      <c r="ES350" s="10" cm="1">
        <f t="array" aca="1" ref="ES350" ca="1">(1-$B$18)*SUMPRODUCT(OFFSET($BO$15,0,0,$B$14,1), 1*(_xlfn._xlws.FILTER(OFFSET($O$15,0,$DN350,$B$8,1),OFFSET($M$15,0,0,$B$8,1))=ES$13), 1*(_xlfn._xlws.FILTER(OFFSET($O$15,0,$DO350,$B$8,1),OFFSET($M$15,0,0,$B$8,1))=ES$14))   /   SUM(OFFSET($BO$15,0,0,$B$14,1)) + $B$18/($B$19*$B$19*($DN350&lt;&gt;$DO350) + $B$19*($DN350=$DO350))</f>
        <v>3.7037037037037035E-4</v>
      </c>
      <c r="ET350" s="10" cm="1">
        <f t="array" aca="1" ref="ET350" ca="1">(1-$B$18)*SUMPRODUCT(OFFSET($BO$15,0,0,$B$14,1), 1*(_xlfn._xlws.FILTER(OFFSET($O$15,0,$DN350,$B$8,1),OFFSET($M$15,0,0,$B$8,1))=ET$13), 1*(_xlfn._xlws.FILTER(OFFSET($O$15,0,$DO350,$B$8,1),OFFSET($M$15,0,0,$B$8,1))=ET$14))   /   SUM(OFFSET($BO$15,0,0,$B$14,1)) + $B$18/($B$19*$B$19*($DN350&lt;&gt;$DO350) + $B$19*($DN350=$DO350))</f>
        <v>3.7037037037037035E-4</v>
      </c>
      <c r="EU350" s="10" cm="1">
        <f t="array" aca="1" ref="EU350" ca="1">(1-$B$18)*SUMPRODUCT(OFFSET($BO$15,0,0,$B$14,1), 1*(_xlfn._xlws.FILTER(OFFSET($O$15,0,$DN350,$B$8,1),OFFSET($M$15,0,0,$B$8,1))=EU$13), 1*(_xlfn._xlws.FILTER(OFFSET($O$15,0,$DO350,$B$8,1),OFFSET($M$15,0,0,$B$8,1))=EU$14))   /   SUM(OFFSET($BO$15,0,0,$B$14,1)) + $B$18/($B$19*$B$19*($DN350&lt;&gt;$DO350) + $B$19*($DN350=$DO350))</f>
        <v>3.7037037037037035E-4</v>
      </c>
      <c r="EV350" s="10" cm="1">
        <f t="array" aca="1" ref="EV350" ca="1">(1-$B$18)*SUMPRODUCT(OFFSET($BO$15,0,0,$B$14,1), 1*(_xlfn._xlws.FILTER(OFFSET($O$15,0,$DN350,$B$8,1),OFFSET($M$15,0,0,$B$8,1))=EV$13), 1*(_xlfn._xlws.FILTER(OFFSET($O$15,0,$DO350,$B$8,1),OFFSET($M$15,0,0,$B$8,1))=EV$14))   /   SUM(OFFSET($BO$15,0,0,$B$14,1)) + $B$18/($B$19*$B$19*($DN350&lt;&gt;$DO350) + $B$19*($DN350=$DO350))</f>
        <v>3.7037037037037035E-4</v>
      </c>
      <c r="EW350" s="10" cm="1">
        <f t="array" aca="1" ref="EW350" ca="1">(1-$B$18)*SUMPRODUCT(OFFSET($BO$15,0,0,$B$14,1), 1*(_xlfn._xlws.FILTER(OFFSET($O$15,0,$DN350,$B$8,1),OFFSET($M$15,0,0,$B$8,1))=EW$13), 1*(_xlfn._xlws.FILTER(OFFSET($O$15,0,$DO350,$B$8,1),OFFSET($M$15,0,0,$B$8,1))=EW$14))   /   SUM(OFFSET($BO$15,0,0,$B$14,1)) + $B$18/($B$19*$B$19*($DN350&lt;&gt;$DO350) + $B$19*($DN350=$DO350))</f>
        <v>0.24287037037037024</v>
      </c>
      <c r="EX350" s="10" cm="1">
        <f t="array" aca="1" ref="EX350" ca="1">(1-$B$18)*SUMPRODUCT(OFFSET($BO$15,0,0,$B$14,1), 1*(_xlfn._xlws.FILTER(OFFSET($O$15,0,$DN350,$B$8,1),OFFSET($M$15,0,0,$B$8,1))=EX$13), 1*(_xlfn._xlws.FILTER(OFFSET($O$15,0,$DO350,$B$8,1),OFFSET($M$15,0,0,$B$8,1))=EX$14))   /   SUM(OFFSET($BO$15,0,0,$B$14,1)) + $B$18/($B$19*$B$19*($DN350&lt;&gt;$DO350) + $B$19*($DN350=$DO350))</f>
        <v>3.7037037037037035E-4</v>
      </c>
      <c r="EY350" s="10" cm="1">
        <f t="array" aca="1" ref="EY350" ca="1">(1-$B$18)*SUMPRODUCT(OFFSET($BO$15,0,0,$B$14,1), 1*(_xlfn._xlws.FILTER(OFFSET($O$15,0,$DN350,$B$8,1),OFFSET($M$15,0,0,$B$8,1))=EY$13), 1*(_xlfn._xlws.FILTER(OFFSET($O$15,0,$DO350,$B$8,1),OFFSET($M$15,0,0,$B$8,1))=EY$14))   /   SUM(OFFSET($BO$15,0,0,$B$14,1)) + $B$18/($B$19*$B$19*($DN350&lt;&gt;$DO350) + $B$19*($DN350=$DO350))</f>
        <v>3.7037037037037035E-4</v>
      </c>
      <c r="EZ350" s="10" cm="1">
        <f t="array" aca="1" ref="EZ350" ca="1">(1-$B$18)*SUMPRODUCT(OFFSET($BO$15,0,0,$B$14,1), 1*(_xlfn._xlws.FILTER(OFFSET($O$15,0,$DN350,$B$8,1),OFFSET($M$15,0,0,$B$8,1))=EZ$13), 1*(_xlfn._xlws.FILTER(OFFSET($O$15,0,$DO350,$B$8,1),OFFSET($M$15,0,0,$B$8,1))=EZ$14))   /   SUM(OFFSET($BO$15,0,0,$B$14,1)) + $B$18/($B$19*$B$19*($DN350&lt;&gt;$DO350) + $B$19*($DN350=$DO350))</f>
        <v>3.7037037037037035E-4</v>
      </c>
      <c r="FA350" s="10" cm="1">
        <f t="array" aca="1" ref="FA350" ca="1">(1-$B$18)*SUMPRODUCT(OFFSET($BO$15,0,0,$B$14,1), 1*(_xlfn._xlws.FILTER(OFFSET($O$15,0,$DN350,$B$8,1),OFFSET($M$15,0,0,$B$8,1))=FA$13), 1*(_xlfn._xlws.FILTER(OFFSET($O$15,0,$DO350,$B$8,1),OFFSET($M$15,0,0,$B$8,1))=FA$14))   /   SUM(OFFSET($BO$15,0,0,$B$14,1)) + $B$18/($B$19*$B$19*($DN350&lt;&gt;$DO350) + $B$19*($DN350=$DO350))</f>
        <v>3.7037037037037035E-4</v>
      </c>
      <c r="FB350" s="10" cm="1">
        <f t="array" aca="1" ref="FB350" ca="1">(1-$B$18)*SUMPRODUCT(OFFSET($BO$15,0,0,$B$14,1), 1*(_xlfn._xlws.FILTER(OFFSET($O$15,0,$DN350,$B$8,1),OFFSET($M$15,0,0,$B$8,1))=FB$13), 1*(_xlfn._xlws.FILTER(OFFSET($O$15,0,$DO350,$B$8,1),OFFSET($M$15,0,0,$B$8,1))=FB$14))   /   SUM(OFFSET($BO$15,0,0,$B$14,1)) + $B$18/($B$19*$B$19*($DN350&lt;&gt;$DO350) + $B$19*($DN350=$DO350))</f>
        <v>3.7037037037037035E-4</v>
      </c>
      <c r="FC350" s="10" cm="1">
        <f t="array" aca="1" ref="FC350" ca="1">(1-$B$18)*SUMPRODUCT(OFFSET($BO$15,0,0,$B$14,1), 1*(_xlfn._xlws.FILTER(OFFSET($O$15,0,$DN350,$B$8,1),OFFSET($M$15,0,0,$B$8,1))=FC$13), 1*(_xlfn._xlws.FILTER(OFFSET($O$15,0,$DO350,$B$8,1),OFFSET($M$15,0,0,$B$8,1))=FC$14))   /   SUM(OFFSET($BO$15,0,0,$B$14,1)) + $B$18/($B$19*$B$19*($DN350&lt;&gt;$DO350) + $B$19*($DN350=$DO350))</f>
        <v>3.7037037037037035E-4</v>
      </c>
      <c r="FD350" s="10" cm="1">
        <f t="array" aca="1" ref="FD350" ca="1">(1-$B$18)*SUMPRODUCT(OFFSET($BO$15,0,0,$B$14,1), 1*(_xlfn._xlws.FILTER(OFFSET($O$15,0,$DN350,$B$8,1),OFFSET($M$15,0,0,$B$8,1))=FD$13), 1*(_xlfn._xlws.FILTER(OFFSET($O$15,0,$DO350,$B$8,1),OFFSET($M$15,0,0,$B$8,1))=FD$14))   /   SUM(OFFSET($BO$15,0,0,$B$14,1)) + $B$18/($B$19*$B$19*($DN350&lt;&gt;$DO350) + $B$19*($DN350=$DO350))</f>
        <v>3.7037037037037035E-4</v>
      </c>
      <c r="FE350" s="10" cm="1">
        <f t="array" aca="1" ref="FE350" ca="1">(1-$B$18)*SUMPRODUCT(OFFSET($BO$15,0,0,$B$14,1), 1*(_xlfn._xlws.FILTER(OFFSET($O$15,0,$DN350,$B$8,1),OFFSET($M$15,0,0,$B$8,1))=FE$13), 1*(_xlfn._xlws.FILTER(OFFSET($O$15,0,$DO350,$B$8,1),OFFSET($M$15,0,0,$B$8,1))=FE$14))   /   SUM(OFFSET($BO$15,0,0,$B$14,1)) + $B$18/($B$19*$B$19*($DN350&lt;&gt;$DO350) + $B$19*($DN350=$DO350))</f>
        <v>0.24287037037037026</v>
      </c>
      <c r="FF350" s="10" cm="1">
        <f t="array" aca="1" ref="FF350" ca="1">(1-$B$18)*SUMPRODUCT(OFFSET($BO$15,0,0,$B$14,1), 1*(_xlfn._xlws.FILTER(OFFSET($O$15,0,$DN350,$B$8,1),OFFSET($M$15,0,0,$B$8,1))=FF$13), 1*(_xlfn._xlws.FILTER(OFFSET($O$15,0,$DO350,$B$8,1),OFFSET($M$15,0,0,$B$8,1))=FF$14))   /   SUM(OFFSET($BO$15,0,0,$B$14,1)) + $B$18/($B$19*$B$19*($DN350&lt;&gt;$DO350) + $B$19*($DN350=$DO350))</f>
        <v>3.7037037037037035E-4</v>
      </c>
      <c r="FG350" s="10" cm="1">
        <f t="array" aca="1" ref="FG350" ca="1">(1-$B$18)*SUMPRODUCT(OFFSET($BO$15,0,0,$B$14,1), 1*(_xlfn._xlws.FILTER(OFFSET($O$15,0,$DN350,$B$8,1),OFFSET($M$15,0,0,$B$8,1))=FG$13), 1*(_xlfn._xlws.FILTER(OFFSET($O$15,0,$DO350,$B$8,1),OFFSET($M$15,0,0,$B$8,1))=FG$14))   /   SUM(OFFSET($BO$15,0,0,$B$14,1)) + $B$18/($B$19*$B$19*($DN350&lt;&gt;$DO350) + $B$19*($DN350=$DO350))</f>
        <v>3.7037037037037035E-4</v>
      </c>
      <c r="FH350" s="10" cm="1">
        <f t="array" aca="1" ref="FH350" ca="1">(1-$B$18)*SUMPRODUCT(OFFSET($BO$15,0,0,$B$14,1), 1*(_xlfn._xlws.FILTER(OFFSET($O$15,0,$DN350,$B$8,1),OFFSET($M$15,0,0,$B$8,1))=FH$13), 1*(_xlfn._xlws.FILTER(OFFSET($O$15,0,$DO350,$B$8,1),OFFSET($M$15,0,0,$B$8,1))=FH$14))   /   SUM(OFFSET($BO$15,0,0,$B$14,1)) + $B$18/($B$19*$B$19*($DN350&lt;&gt;$DO350) + $B$19*($DN350=$DO350))</f>
        <v>3.7037037037037035E-4</v>
      </c>
      <c r="FI350" s="10" cm="1">
        <f t="array" aca="1" ref="FI350" ca="1">(1-$B$18)*SUMPRODUCT(OFFSET($BO$15,0,0,$B$14,1), 1*(_xlfn._xlws.FILTER(OFFSET($O$15,0,$DN350,$B$8,1),OFFSET($M$15,0,0,$B$8,1))=FI$13), 1*(_xlfn._xlws.FILTER(OFFSET($O$15,0,$DO350,$B$8,1),OFFSET($M$15,0,0,$B$8,1))=FI$14))   /   SUM(OFFSET($BO$15,0,0,$B$14,1)) + $B$18/($B$19*$B$19*($DN350&lt;&gt;$DO350) + $B$19*($DN350=$DO350))</f>
        <v>3.7037037037037035E-4</v>
      </c>
      <c r="FJ350" s="10" cm="1">
        <f t="array" aca="1" ref="FJ350" ca="1">(1-$B$18)*SUMPRODUCT(OFFSET($BO$15,0,0,$B$14,1), 1*(_xlfn._xlws.FILTER(OFFSET($O$15,0,$DN350,$B$8,1),OFFSET($M$15,0,0,$B$8,1))=FJ$13), 1*(_xlfn._xlws.FILTER(OFFSET($O$15,0,$DO350,$B$8,1),OFFSET($M$15,0,0,$B$8,1))=FJ$14))   /   SUM(OFFSET($BO$15,0,0,$B$14,1)) + $B$18/($B$19*$B$19*($DN350&lt;&gt;$DO350) + $B$19*($DN350=$DO350))</f>
        <v>3.7037037037037035E-4</v>
      </c>
      <c r="FK350" s="10" cm="1">
        <f t="array" aca="1" ref="FK350" ca="1">(1-$B$18)*SUMPRODUCT(OFFSET($BO$15,0,0,$B$14,1), 1*(_xlfn._xlws.FILTER(OFFSET($O$15,0,$DN350,$B$8,1),OFFSET($M$15,0,0,$B$8,1))=FK$13), 1*(_xlfn._xlws.FILTER(OFFSET($O$15,0,$DO350,$B$8,1),OFFSET($M$15,0,0,$B$8,1))=FK$14))   /   SUM(OFFSET($BO$15,0,0,$B$14,1)) + $B$18/($B$19*$B$19*($DN350&lt;&gt;$DO350) + $B$19*($DN350=$DO350))</f>
        <v>3.7037037037037035E-4</v>
      </c>
      <c r="FL350" s="10" cm="1">
        <f t="array" aca="1" ref="FL350" ca="1">(1-$B$18)*SUMPRODUCT(OFFSET($BO$15,0,0,$B$14,1), 1*(_xlfn._xlws.FILTER(OFFSET($O$15,0,$DN350,$B$8,1),OFFSET($M$15,0,0,$B$8,1))=FL$13), 1*(_xlfn._xlws.FILTER(OFFSET($O$15,0,$DO350,$B$8,1),OFFSET($M$15,0,0,$B$8,1))=FL$14))   /   SUM(OFFSET($BO$15,0,0,$B$14,1)) + $B$18/($B$19*$B$19*($DN350&lt;&gt;$DO350) + $B$19*($DN350=$DO350))</f>
        <v>3.7037037037037035E-4</v>
      </c>
      <c r="FM350" s="10" cm="1">
        <f t="array" aca="1" ref="FM350" ca="1">(1-$B$18)*SUMPRODUCT(OFFSET($BO$15,0,0,$B$14,1), 1*(_xlfn._xlws.FILTER(OFFSET($O$15,0,$DN350,$B$8,1),OFFSET($M$15,0,0,$B$8,1))=FM$13), 1*(_xlfn._xlws.FILTER(OFFSET($O$15,0,$DO350,$B$8,1),OFFSET($M$15,0,0,$B$8,1))=FM$14))   /   SUM(OFFSET($BO$15,0,0,$B$14,1)) + $B$18/($B$19*$B$19*($DN350&lt;&gt;$DO350) + $B$19*($DN350=$DO350))</f>
        <v>0.48537037037037012</v>
      </c>
      <c r="FN350" s="10" cm="1">
        <f t="array" aca="1" ref="FN350" ca="1">(1-$B$18)*SUMPRODUCT(OFFSET($BO$15,0,0,$B$14,1), 1*(_xlfn._xlws.FILTER(OFFSET($O$15,0,$DN350,$B$8,1),OFFSET($M$15,0,0,$B$8,1))=FN$13), 1*(_xlfn._xlws.FILTER(OFFSET($O$15,0,$DO350,$B$8,1),OFFSET($M$15,0,0,$B$8,1))=FN$14))   /   SUM(OFFSET($BO$15,0,0,$B$14,1)) + $B$18/($B$19*$B$19*($DN350&lt;&gt;$DO350) + $B$19*($DN350=$DO350))</f>
        <v>3.7037037037037035E-4</v>
      </c>
      <c r="FO350" s="10" cm="1">
        <f t="array" aca="1" ref="FO350" ca="1">(1-$B$18)*SUMPRODUCT(OFFSET($BO$15,0,0,$B$14,1), 1*(_xlfn._xlws.FILTER(OFFSET($O$15,0,$DN350,$B$8,1),OFFSET($M$15,0,0,$B$8,1))=FO$13), 1*(_xlfn._xlws.FILTER(OFFSET($O$15,0,$DO350,$B$8,1),OFFSET($M$15,0,0,$B$8,1))=FO$14))   /   SUM(OFFSET($BO$15,0,0,$B$14,1)) + $B$18/($B$19*$B$19*($DN350&lt;&gt;$DO350) + $B$19*($DN350=$DO350))</f>
        <v>3.7037037037037035E-4</v>
      </c>
      <c r="FP350" s="10" cm="1">
        <f t="array" aca="1" ref="FP350" ca="1">(1-$B$18)*SUMPRODUCT(OFFSET($BO$15,0,0,$B$14,1), 1*(_xlfn._xlws.FILTER(OFFSET($O$15,0,$DN350,$B$8,1),OFFSET($M$15,0,0,$B$8,1))=FP$13), 1*(_xlfn._xlws.FILTER(OFFSET($O$15,0,$DO350,$B$8,1),OFFSET($M$15,0,0,$B$8,1))=FP$14))   /   SUM(OFFSET($BO$15,0,0,$B$14,1)) + $B$18/($B$19*$B$19*($DN350&lt;&gt;$DO350) + $B$19*($DN350=$DO350))</f>
        <v>3.7037037037037035E-4</v>
      </c>
      <c r="FQ350" s="10" cm="1">
        <f t="array" aca="1" ref="FQ350" ca="1">(1-$B$18)*SUMPRODUCT(OFFSET($BO$15,0,0,$B$14,1), 1*(_xlfn._xlws.FILTER(OFFSET($O$15,0,$DN350,$B$8,1),OFFSET($M$15,0,0,$B$8,1))=FQ$13), 1*(_xlfn._xlws.FILTER(OFFSET($O$15,0,$DO350,$B$8,1),OFFSET($M$15,0,0,$B$8,1))=FQ$14))   /   SUM(OFFSET($BO$15,0,0,$B$14,1)) + $B$18/($B$19*$B$19*($DN350&lt;&gt;$DO350) + $B$19*($DN350=$DO350))</f>
        <v>3.7037037037037035E-4</v>
      </c>
      <c r="FR350" s="10" cm="1">
        <f t="array" aca="1" ref="FR350" ca="1">(1-$B$18)*SUMPRODUCT(OFFSET($BO$15,0,0,$B$14,1), 1*(_xlfn._xlws.FILTER(OFFSET($O$15,0,$DN350,$B$8,1),OFFSET($M$15,0,0,$B$8,1))=FR$13), 1*(_xlfn._xlws.FILTER(OFFSET($O$15,0,$DO350,$B$8,1),OFFSET($M$15,0,0,$B$8,1))=FR$14))   /   SUM(OFFSET($BO$15,0,0,$B$14,1)) + $B$18/($B$19*$B$19*($DN350&lt;&gt;$DO350) + $B$19*($DN350=$DO350))</f>
        <v>3.7037037037037035E-4</v>
      </c>
      <c r="FS350" s="10" cm="1">
        <f t="array" aca="1" ref="FS350" ca="1">(1-$B$18)*SUMPRODUCT(OFFSET($BO$15,0,0,$B$14,1), 1*(_xlfn._xlws.FILTER(OFFSET($O$15,0,$DN350,$B$8,1),OFFSET($M$15,0,0,$B$8,1))=FS$13), 1*(_xlfn._xlws.FILTER(OFFSET($O$15,0,$DO350,$B$8,1),OFFSET($M$15,0,0,$B$8,1))=FS$14))   /   SUM(OFFSET($BO$15,0,0,$B$14,1)) + $B$18/($B$19*$B$19*($DN350&lt;&gt;$DO350) + $B$19*($DN350=$DO350))</f>
        <v>3.7037037037037035E-4</v>
      </c>
      <c r="FT350" s="10" cm="1">
        <f t="array" aca="1" ref="FT350" ca="1">(1-$B$18)*SUMPRODUCT(OFFSET($BO$15,0,0,$B$14,1), 1*(_xlfn._xlws.FILTER(OFFSET($O$15,0,$DN350,$B$8,1),OFFSET($M$15,0,0,$B$8,1))=FT$13), 1*(_xlfn._xlws.FILTER(OFFSET($O$15,0,$DO350,$B$8,1),OFFSET($M$15,0,0,$B$8,1))=FT$14))   /   SUM(OFFSET($BO$15,0,0,$B$14,1)) + $B$18/($B$19*$B$19*($DN350&lt;&gt;$DO350) + $B$19*($DN350=$DO350))</f>
        <v>3.7037037037037035E-4</v>
      </c>
      <c r="FU350" s="10" cm="1">
        <f t="array" aca="1" ref="FU350" ca="1">(1-$B$18)*SUMPRODUCT(OFFSET($BO$15,0,0,$B$14,1), 1*(_xlfn._xlws.FILTER(OFFSET($O$15,0,$DN350,$B$8,1),OFFSET($M$15,0,0,$B$8,1))=FU$13), 1*(_xlfn._xlws.FILTER(OFFSET($O$15,0,$DO350,$B$8,1),OFFSET($M$15,0,0,$B$8,1))=FU$14))   /   SUM(OFFSET($BO$15,0,0,$B$14,1)) + $B$18/($B$19*$B$19*($DN350&lt;&gt;$DO350) + $B$19*($DN350=$DO350))</f>
        <v>3.7037037037037035E-4</v>
      </c>
      <c r="FV350" s="10" cm="1">
        <f t="array" aca="1" ref="FV350" ca="1">(1-$B$18)*SUMPRODUCT(OFFSET($BO$15,0,0,$B$14,1), 1*(_xlfn._xlws.FILTER(OFFSET($O$15,0,$DN350,$B$8,1),OFFSET($M$15,0,0,$B$8,1))=FV$13), 1*(_xlfn._xlws.FILTER(OFFSET($O$15,0,$DO350,$B$8,1),OFFSET($M$15,0,0,$B$8,1))=FV$14))   /   SUM(OFFSET($BO$15,0,0,$B$14,1)) + $B$18/($B$19*$B$19*($DN350&lt;&gt;$DO350) + $B$19*($DN350=$DO350))</f>
        <v>3.7037037037037035E-4</v>
      </c>
      <c r="FW350" s="10" cm="1">
        <f t="array" aca="1" ref="FW350" ca="1">(1-$B$18)*SUMPRODUCT(OFFSET($BO$15,0,0,$B$14,1), 1*(_xlfn._xlws.FILTER(OFFSET($O$15,0,$DN350,$B$8,1),OFFSET($M$15,0,0,$B$8,1))=FW$13), 1*(_xlfn._xlws.FILTER(OFFSET($O$15,0,$DO350,$B$8,1),OFFSET($M$15,0,0,$B$8,1))=FW$14))   /   SUM(OFFSET($BO$15,0,0,$B$14,1)) + $B$18/($B$19*$B$19*($DN350&lt;&gt;$DO350) + $B$19*($DN350=$DO350))</f>
        <v>3.7037037037037035E-4</v>
      </c>
      <c r="FX350" s="10" cm="1">
        <f t="array" aca="1" ref="FX350" ca="1">(1-$B$18)*SUMPRODUCT(OFFSET($BO$15,0,0,$B$14,1), 1*(_xlfn._xlws.FILTER(OFFSET($O$15,0,$DN350,$B$8,1),OFFSET($M$15,0,0,$B$8,1))=FX$13), 1*(_xlfn._xlws.FILTER(OFFSET($O$15,0,$DO350,$B$8,1),OFFSET($M$15,0,0,$B$8,1))=FX$14))   /   SUM(OFFSET($BO$15,0,0,$B$14,1)) + $B$18/($B$19*$B$19*($DN350&lt;&gt;$DO350) + $B$19*($DN350=$DO350))</f>
        <v>3.7037037037037035E-4</v>
      </c>
      <c r="FY350" s="10" cm="1">
        <f t="array" aca="1" ref="FY350" ca="1">(1-$B$18)*SUMPRODUCT(OFFSET($BO$15,0,0,$B$14,1), 1*(_xlfn._xlws.FILTER(OFFSET($O$15,0,$DN350,$B$8,1),OFFSET($M$15,0,0,$B$8,1))=FY$13), 1*(_xlfn._xlws.FILTER(OFFSET($O$15,0,$DO350,$B$8,1),OFFSET($M$15,0,0,$B$8,1))=FY$14))   /   SUM(OFFSET($BO$15,0,0,$B$14,1)) + $B$18/($B$19*$B$19*($DN350&lt;&gt;$DO350) + $B$19*($DN350=$DO350))</f>
        <v>3.7037037037037035E-4</v>
      </c>
      <c r="FZ350" s="10" cm="1">
        <f t="array" aca="1" ref="FZ350" ca="1">(1-$B$18)*SUMPRODUCT(OFFSET($BO$15,0,0,$B$14,1), 1*(_xlfn._xlws.FILTER(OFFSET($O$15,0,$DN350,$B$8,1),OFFSET($M$15,0,0,$B$8,1))=FZ$13), 1*(_xlfn._xlws.FILTER(OFFSET($O$15,0,$DO350,$B$8,1),OFFSET($M$15,0,0,$B$8,1))=FZ$14))   /   SUM(OFFSET($BO$15,0,0,$B$14,1)) + $B$18/($B$19*$B$19*($DN350&lt;&gt;$DO350) + $B$19*($DN350=$DO350))</f>
        <v>3.7037037037037035E-4</v>
      </c>
      <c r="GA350" s="10" cm="1">
        <f t="array" aca="1" ref="GA350" ca="1">(1-$B$18)*SUMPRODUCT(OFFSET($BO$15,0,0,$B$14,1), 1*(_xlfn._xlws.FILTER(OFFSET($O$15,0,$DN350,$B$8,1),OFFSET($M$15,0,0,$B$8,1))=GA$13), 1*(_xlfn._xlws.FILTER(OFFSET($O$15,0,$DO350,$B$8,1),OFFSET($M$15,0,0,$B$8,1))=GA$14))   /   SUM(OFFSET($BO$15,0,0,$B$14,1)) + $B$18/($B$19*$B$19*($DN350&lt;&gt;$DO350) + $B$19*($DN350=$DO350))</f>
        <v>3.7037037037037035E-4</v>
      </c>
    </row>
    <row r="351" spans="118:183" x14ac:dyDescent="0.2">
      <c r="DN351" cm="1">
        <f t="array" aca="1" ref="DN351" ca="1">INDEX(_xlfn.ANCHORARRAY($CP$15), 1 + INT((ROWS($DO$15:$DO351) - 1) / ROWS(_xlfn.ANCHORARRAY($CP$15))))</f>
        <v>20</v>
      </c>
      <c r="DO351" cm="1">
        <f t="array" aca="1" ref="DO351" ca="1">INDEX(_xlfn.ANCHORARRAY($CP$15),1+MOD(ROWS($DO$15:$DO351)-1,ROWS(_xlfn.ANCHORARRAY($CP$15))))</f>
        <v>14</v>
      </c>
      <c r="DP351" s="10" cm="1">
        <f t="array" aca="1" ref="DP351" ca="1">(1-$B$18)*SUMPRODUCT(OFFSET($BO$15,0,0,$B$14,1), 1*(_xlfn._xlws.FILTER(OFFSET($O$15,0,$DN351,$B$8,1),OFFSET($M$15,0,0,$B$8,1))=DP$13), 1*(_xlfn._xlws.FILTER(OFFSET($O$15,0,$DO351,$B$8,1),OFFSET($M$15,0,0,$B$8,1))=DP$14))   /   SUM(OFFSET($BO$15,0,0,$B$14,1)) + $B$18/($B$19*$B$19*($DN351&lt;&gt;$DO351) + $B$19*($DN351=$DO351))</f>
        <v>3.7037037037037035E-4</v>
      </c>
      <c r="DQ351" s="10" cm="1">
        <f t="array" aca="1" ref="DQ351" ca="1">(1-$B$18)*SUMPRODUCT(OFFSET($BO$15,0,0,$B$14,1), 1*(_xlfn._xlws.FILTER(OFFSET($O$15,0,$DN351,$B$8,1),OFFSET($M$15,0,0,$B$8,1))=DQ$13), 1*(_xlfn._xlws.FILTER(OFFSET($O$15,0,$DO351,$B$8,1),OFFSET($M$15,0,0,$B$8,1))=DQ$14))   /   SUM(OFFSET($BO$15,0,0,$B$14,1)) + $B$18/($B$19*$B$19*($DN351&lt;&gt;$DO351) + $B$19*($DN351=$DO351))</f>
        <v>3.7037037037037035E-4</v>
      </c>
      <c r="DR351" s="10" cm="1">
        <f t="array" aca="1" ref="DR351" ca="1">(1-$B$18)*SUMPRODUCT(OFFSET($BO$15,0,0,$B$14,1), 1*(_xlfn._xlws.FILTER(OFFSET($O$15,0,$DN351,$B$8,1),OFFSET($M$15,0,0,$B$8,1))=DR$13), 1*(_xlfn._xlws.FILTER(OFFSET($O$15,0,$DO351,$B$8,1),OFFSET($M$15,0,0,$B$8,1))=DR$14))   /   SUM(OFFSET($BO$15,0,0,$B$14,1)) + $B$18/($B$19*$B$19*($DN351&lt;&gt;$DO351) + $B$19*($DN351=$DO351))</f>
        <v>3.7037037037037035E-4</v>
      </c>
      <c r="DS351" s="10" cm="1">
        <f t="array" aca="1" ref="DS351" ca="1">(1-$B$18)*SUMPRODUCT(OFFSET($BO$15,0,0,$B$14,1), 1*(_xlfn._xlws.FILTER(OFFSET($O$15,0,$DN351,$B$8,1),OFFSET($M$15,0,0,$B$8,1))=DS$13), 1*(_xlfn._xlws.FILTER(OFFSET($O$15,0,$DO351,$B$8,1),OFFSET($M$15,0,0,$B$8,1))=DS$14))   /   SUM(OFFSET($BO$15,0,0,$B$14,1)) + $B$18/($B$19*$B$19*($DN351&lt;&gt;$DO351) + $B$19*($DN351=$DO351))</f>
        <v>3.7037037037037035E-4</v>
      </c>
      <c r="DT351" s="10" cm="1">
        <f t="array" aca="1" ref="DT351" ca="1">(1-$B$18)*SUMPRODUCT(OFFSET($BO$15,0,0,$B$14,1), 1*(_xlfn._xlws.FILTER(OFFSET($O$15,0,$DN351,$B$8,1),OFFSET($M$15,0,0,$B$8,1))=DT$13), 1*(_xlfn._xlws.FILTER(OFFSET($O$15,0,$DO351,$B$8,1),OFFSET($M$15,0,0,$B$8,1))=DT$14))   /   SUM(OFFSET($BO$15,0,0,$B$14,1)) + $B$18/($B$19*$B$19*($DN351&lt;&gt;$DO351) + $B$19*($DN351=$DO351))</f>
        <v>3.7037037037037035E-4</v>
      </c>
      <c r="DU351" s="10" cm="1">
        <f t="array" aca="1" ref="DU351" ca="1">(1-$B$18)*SUMPRODUCT(OFFSET($BO$15,0,0,$B$14,1), 1*(_xlfn._xlws.FILTER(OFFSET($O$15,0,$DN351,$B$8,1),OFFSET($M$15,0,0,$B$8,1))=DU$13), 1*(_xlfn._xlws.FILTER(OFFSET($O$15,0,$DO351,$B$8,1),OFFSET($M$15,0,0,$B$8,1))=DU$14))   /   SUM(OFFSET($BO$15,0,0,$B$14,1)) + $B$18/($B$19*$B$19*($DN351&lt;&gt;$DO351) + $B$19*($DN351=$DO351))</f>
        <v>3.7037037037037035E-4</v>
      </c>
      <c r="DV351" s="10" cm="1">
        <f t="array" aca="1" ref="DV351" ca="1">(1-$B$18)*SUMPRODUCT(OFFSET($BO$15,0,0,$B$14,1), 1*(_xlfn._xlws.FILTER(OFFSET($O$15,0,$DN351,$B$8,1),OFFSET($M$15,0,0,$B$8,1))=DV$13), 1*(_xlfn._xlws.FILTER(OFFSET($O$15,0,$DO351,$B$8,1),OFFSET($M$15,0,0,$B$8,1))=DV$14))   /   SUM(OFFSET($BO$15,0,0,$B$14,1)) + $B$18/($B$19*$B$19*($DN351&lt;&gt;$DO351) + $B$19*($DN351=$DO351))</f>
        <v>3.7037037037037035E-4</v>
      </c>
      <c r="DW351" s="10" cm="1">
        <f t="array" aca="1" ref="DW351" ca="1">(1-$B$18)*SUMPRODUCT(OFFSET($BO$15,0,0,$B$14,1), 1*(_xlfn._xlws.FILTER(OFFSET($O$15,0,$DN351,$B$8,1),OFFSET($M$15,0,0,$B$8,1))=DW$13), 1*(_xlfn._xlws.FILTER(OFFSET($O$15,0,$DO351,$B$8,1),OFFSET($M$15,0,0,$B$8,1))=DW$14))   /   SUM(OFFSET($BO$15,0,0,$B$14,1)) + $B$18/($B$19*$B$19*($DN351&lt;&gt;$DO351) + $B$19*($DN351=$DO351))</f>
        <v>3.7037037037037035E-4</v>
      </c>
      <c r="DX351" s="10" cm="1">
        <f t="array" aca="1" ref="DX351" ca="1">(1-$B$18)*SUMPRODUCT(OFFSET($BO$15,0,0,$B$14,1), 1*(_xlfn._xlws.FILTER(OFFSET($O$15,0,$DN351,$B$8,1),OFFSET($M$15,0,0,$B$8,1))=DX$13), 1*(_xlfn._xlws.FILTER(OFFSET($O$15,0,$DO351,$B$8,1),OFFSET($M$15,0,0,$B$8,1))=DX$14))   /   SUM(OFFSET($BO$15,0,0,$B$14,1)) + $B$18/($B$19*$B$19*($DN351&lt;&gt;$DO351) + $B$19*($DN351=$DO351))</f>
        <v>3.7037037037037035E-4</v>
      </c>
      <c r="DY351" s="10" cm="1">
        <f t="array" aca="1" ref="DY351" ca="1">(1-$B$18)*SUMPRODUCT(OFFSET($BO$15,0,0,$B$14,1), 1*(_xlfn._xlws.FILTER(OFFSET($O$15,0,$DN351,$B$8,1),OFFSET($M$15,0,0,$B$8,1))=DY$13), 1*(_xlfn._xlws.FILTER(OFFSET($O$15,0,$DO351,$B$8,1),OFFSET($M$15,0,0,$B$8,1))=DY$14))   /   SUM(OFFSET($BO$15,0,0,$B$14,1)) + $B$18/($B$19*$B$19*($DN351&lt;&gt;$DO351) + $B$19*($DN351=$DO351))</f>
        <v>3.7037037037037035E-4</v>
      </c>
      <c r="DZ351" s="10" cm="1">
        <f t="array" aca="1" ref="DZ351" ca="1">(1-$B$18)*SUMPRODUCT(OFFSET($BO$15,0,0,$B$14,1), 1*(_xlfn._xlws.FILTER(OFFSET($O$15,0,$DN351,$B$8,1),OFFSET($M$15,0,0,$B$8,1))=DZ$13), 1*(_xlfn._xlws.FILTER(OFFSET($O$15,0,$DO351,$B$8,1),OFFSET($M$15,0,0,$B$8,1))=DZ$14))   /   SUM(OFFSET($BO$15,0,0,$B$14,1)) + $B$18/($B$19*$B$19*($DN351&lt;&gt;$DO351) + $B$19*($DN351=$DO351))</f>
        <v>3.7037037037037035E-4</v>
      </c>
      <c r="EA351" s="10" cm="1">
        <f t="array" aca="1" ref="EA351" ca="1">(1-$B$18)*SUMPRODUCT(OFFSET($BO$15,0,0,$B$14,1), 1*(_xlfn._xlws.FILTER(OFFSET($O$15,0,$DN351,$B$8,1),OFFSET($M$15,0,0,$B$8,1))=EA$13), 1*(_xlfn._xlws.FILTER(OFFSET($O$15,0,$DO351,$B$8,1),OFFSET($M$15,0,0,$B$8,1))=EA$14))   /   SUM(OFFSET($BO$15,0,0,$B$14,1)) + $B$18/($B$19*$B$19*($DN351&lt;&gt;$DO351) + $B$19*($DN351=$DO351))</f>
        <v>3.7037037037037035E-4</v>
      </c>
      <c r="EB351" s="10" cm="1">
        <f t="array" aca="1" ref="EB351" ca="1">(1-$B$18)*SUMPRODUCT(OFFSET($BO$15,0,0,$B$14,1), 1*(_xlfn._xlws.FILTER(OFFSET($O$15,0,$DN351,$B$8,1),OFFSET($M$15,0,0,$B$8,1))=EB$13), 1*(_xlfn._xlws.FILTER(OFFSET($O$15,0,$DO351,$B$8,1),OFFSET($M$15,0,0,$B$8,1))=EB$14))   /   SUM(OFFSET($BO$15,0,0,$B$14,1)) + $B$18/($B$19*$B$19*($DN351&lt;&gt;$DO351) + $B$19*($DN351=$DO351))</f>
        <v>3.7037037037037035E-4</v>
      </c>
      <c r="EC351" s="10" cm="1">
        <f t="array" aca="1" ref="EC351" ca="1">(1-$B$18)*SUMPRODUCT(OFFSET($BO$15,0,0,$B$14,1), 1*(_xlfn._xlws.FILTER(OFFSET($O$15,0,$DN351,$B$8,1),OFFSET($M$15,0,0,$B$8,1))=EC$13), 1*(_xlfn._xlws.FILTER(OFFSET($O$15,0,$DO351,$B$8,1),OFFSET($M$15,0,0,$B$8,1))=EC$14))   /   SUM(OFFSET($BO$15,0,0,$B$14,1)) + $B$18/($B$19*$B$19*($DN351&lt;&gt;$DO351) + $B$19*($DN351=$DO351))</f>
        <v>3.7037037037037035E-4</v>
      </c>
      <c r="ED351" s="10" cm="1">
        <f t="array" aca="1" ref="ED351" ca="1">(1-$B$18)*SUMPRODUCT(OFFSET($BO$15,0,0,$B$14,1), 1*(_xlfn._xlws.FILTER(OFFSET($O$15,0,$DN351,$B$8,1),OFFSET($M$15,0,0,$B$8,1))=ED$13), 1*(_xlfn._xlws.FILTER(OFFSET($O$15,0,$DO351,$B$8,1),OFFSET($M$15,0,0,$B$8,1))=ED$14))   /   SUM(OFFSET($BO$15,0,0,$B$14,1)) + $B$18/($B$19*$B$19*($DN351&lt;&gt;$DO351) + $B$19*($DN351=$DO351))</f>
        <v>3.7037037037037035E-4</v>
      </c>
      <c r="EE351" s="10" cm="1">
        <f t="array" aca="1" ref="EE351" ca="1">(1-$B$18)*SUMPRODUCT(OFFSET($BO$15,0,0,$B$14,1), 1*(_xlfn._xlws.FILTER(OFFSET($O$15,0,$DN351,$B$8,1),OFFSET($M$15,0,0,$B$8,1))=EE$13), 1*(_xlfn._xlws.FILTER(OFFSET($O$15,0,$DO351,$B$8,1),OFFSET($M$15,0,0,$B$8,1))=EE$14))   /   SUM(OFFSET($BO$15,0,0,$B$14,1)) + $B$18/($B$19*$B$19*($DN351&lt;&gt;$DO351) + $B$19*($DN351=$DO351))</f>
        <v>3.7037037037037035E-4</v>
      </c>
      <c r="EF351" s="10" cm="1">
        <f t="array" aca="1" ref="EF351" ca="1">(1-$B$18)*SUMPRODUCT(OFFSET($BO$15,0,0,$B$14,1), 1*(_xlfn._xlws.FILTER(OFFSET($O$15,0,$DN351,$B$8,1),OFFSET($M$15,0,0,$B$8,1))=EF$13), 1*(_xlfn._xlws.FILTER(OFFSET($O$15,0,$DO351,$B$8,1),OFFSET($M$15,0,0,$B$8,1))=EF$14))   /   SUM(OFFSET($BO$15,0,0,$B$14,1)) + $B$18/($B$19*$B$19*($DN351&lt;&gt;$DO351) + $B$19*($DN351=$DO351))</f>
        <v>3.7037037037037035E-4</v>
      </c>
      <c r="EG351" s="10" cm="1">
        <f t="array" aca="1" ref="EG351" ca="1">(1-$B$18)*SUMPRODUCT(OFFSET($BO$15,0,0,$B$14,1), 1*(_xlfn._xlws.FILTER(OFFSET($O$15,0,$DN351,$B$8,1),OFFSET($M$15,0,0,$B$8,1))=EG$13), 1*(_xlfn._xlws.FILTER(OFFSET($O$15,0,$DO351,$B$8,1),OFFSET($M$15,0,0,$B$8,1))=EG$14))   /   SUM(OFFSET($BO$15,0,0,$B$14,1)) + $B$18/($B$19*$B$19*($DN351&lt;&gt;$DO351) + $B$19*($DN351=$DO351))</f>
        <v>3.7037037037037035E-4</v>
      </c>
      <c r="EH351" s="10" cm="1">
        <f t="array" aca="1" ref="EH351" ca="1">(1-$B$18)*SUMPRODUCT(OFFSET($BO$15,0,0,$B$14,1), 1*(_xlfn._xlws.FILTER(OFFSET($O$15,0,$DN351,$B$8,1),OFFSET($M$15,0,0,$B$8,1))=EH$13), 1*(_xlfn._xlws.FILTER(OFFSET($O$15,0,$DO351,$B$8,1),OFFSET($M$15,0,0,$B$8,1))=EH$14))   /   SUM(OFFSET($BO$15,0,0,$B$14,1)) + $B$18/($B$19*$B$19*($DN351&lt;&gt;$DO351) + $B$19*($DN351=$DO351))</f>
        <v>3.7037037037037035E-4</v>
      </c>
      <c r="EI351" s="10" cm="1">
        <f t="array" aca="1" ref="EI351" ca="1">(1-$B$18)*SUMPRODUCT(OFFSET($BO$15,0,0,$B$14,1), 1*(_xlfn._xlws.FILTER(OFFSET($O$15,0,$DN351,$B$8,1),OFFSET($M$15,0,0,$B$8,1))=EI$13), 1*(_xlfn._xlws.FILTER(OFFSET($O$15,0,$DO351,$B$8,1),OFFSET($M$15,0,0,$B$8,1))=EI$14))   /   SUM(OFFSET($BO$15,0,0,$B$14,1)) + $B$18/($B$19*$B$19*($DN351&lt;&gt;$DO351) + $B$19*($DN351=$DO351))</f>
        <v>3.7037037037037035E-4</v>
      </c>
      <c r="EJ351" s="10" cm="1">
        <f t="array" aca="1" ref="EJ351" ca="1">(1-$B$18)*SUMPRODUCT(OFFSET($BO$15,0,0,$B$14,1), 1*(_xlfn._xlws.FILTER(OFFSET($O$15,0,$DN351,$B$8,1),OFFSET($M$15,0,0,$B$8,1))=EJ$13), 1*(_xlfn._xlws.FILTER(OFFSET($O$15,0,$DO351,$B$8,1),OFFSET($M$15,0,0,$B$8,1))=EJ$14))   /   SUM(OFFSET($BO$15,0,0,$B$14,1)) + $B$18/($B$19*$B$19*($DN351&lt;&gt;$DO351) + $B$19*($DN351=$DO351))</f>
        <v>3.7037037037037035E-4</v>
      </c>
      <c r="EK351" s="10" cm="1">
        <f t="array" aca="1" ref="EK351" ca="1">(1-$B$18)*SUMPRODUCT(OFFSET($BO$15,0,0,$B$14,1), 1*(_xlfn._xlws.FILTER(OFFSET($O$15,0,$DN351,$B$8,1),OFFSET($M$15,0,0,$B$8,1))=EK$13), 1*(_xlfn._xlws.FILTER(OFFSET($O$15,0,$DO351,$B$8,1),OFFSET($M$15,0,0,$B$8,1))=EK$14))   /   SUM(OFFSET($BO$15,0,0,$B$14,1)) + $B$18/($B$19*$B$19*($DN351&lt;&gt;$DO351) + $B$19*($DN351=$DO351))</f>
        <v>3.7037037037037035E-4</v>
      </c>
      <c r="EL351" s="10" cm="1">
        <f t="array" aca="1" ref="EL351" ca="1">(1-$B$18)*SUMPRODUCT(OFFSET($BO$15,0,0,$B$14,1), 1*(_xlfn._xlws.FILTER(OFFSET($O$15,0,$DN351,$B$8,1),OFFSET($M$15,0,0,$B$8,1))=EL$13), 1*(_xlfn._xlws.FILTER(OFFSET($O$15,0,$DO351,$B$8,1),OFFSET($M$15,0,0,$B$8,1))=EL$14))   /   SUM(OFFSET($BO$15,0,0,$B$14,1)) + $B$18/($B$19*$B$19*($DN351&lt;&gt;$DO351) + $B$19*($DN351=$DO351))</f>
        <v>3.7037037037037035E-4</v>
      </c>
      <c r="EM351" s="10" cm="1">
        <f t="array" aca="1" ref="EM351" ca="1">(1-$B$18)*SUMPRODUCT(OFFSET($BO$15,0,0,$B$14,1), 1*(_xlfn._xlws.FILTER(OFFSET($O$15,0,$DN351,$B$8,1),OFFSET($M$15,0,0,$B$8,1))=EM$13), 1*(_xlfn._xlws.FILTER(OFFSET($O$15,0,$DO351,$B$8,1),OFFSET($M$15,0,0,$B$8,1))=EM$14))   /   SUM(OFFSET($BO$15,0,0,$B$14,1)) + $B$18/($B$19*$B$19*($DN351&lt;&gt;$DO351) + $B$19*($DN351=$DO351))</f>
        <v>3.7037037037037035E-4</v>
      </c>
      <c r="EN351" s="10" cm="1">
        <f t="array" aca="1" ref="EN351" ca="1">(1-$B$18)*SUMPRODUCT(OFFSET($BO$15,0,0,$B$14,1), 1*(_xlfn._xlws.FILTER(OFFSET($O$15,0,$DN351,$B$8,1),OFFSET($M$15,0,0,$B$8,1))=EN$13), 1*(_xlfn._xlws.FILTER(OFFSET($O$15,0,$DO351,$B$8,1),OFFSET($M$15,0,0,$B$8,1))=EN$14))   /   SUM(OFFSET($BO$15,0,0,$B$14,1)) + $B$18/($B$19*$B$19*($DN351&lt;&gt;$DO351) + $B$19*($DN351=$DO351))</f>
        <v>3.7037037037037035E-4</v>
      </c>
      <c r="EO351" s="10" cm="1">
        <f t="array" aca="1" ref="EO351" ca="1">(1-$B$18)*SUMPRODUCT(OFFSET($BO$15,0,0,$B$14,1), 1*(_xlfn._xlws.FILTER(OFFSET($O$15,0,$DN351,$B$8,1),OFFSET($M$15,0,0,$B$8,1))=EO$13), 1*(_xlfn._xlws.FILTER(OFFSET($O$15,0,$DO351,$B$8,1),OFFSET($M$15,0,0,$B$8,1))=EO$14))   /   SUM(OFFSET($BO$15,0,0,$B$14,1)) + $B$18/($B$19*$B$19*($DN351&lt;&gt;$DO351) + $B$19*($DN351=$DO351))</f>
        <v>3.7037037037037035E-4</v>
      </c>
      <c r="EP351" s="10" cm="1">
        <f t="array" aca="1" ref="EP351" ca="1">(1-$B$18)*SUMPRODUCT(OFFSET($BO$15,0,0,$B$14,1), 1*(_xlfn._xlws.FILTER(OFFSET($O$15,0,$DN351,$B$8,1),OFFSET($M$15,0,0,$B$8,1))=EP$13), 1*(_xlfn._xlws.FILTER(OFFSET($O$15,0,$DO351,$B$8,1),OFFSET($M$15,0,0,$B$8,1))=EP$14))   /   SUM(OFFSET($BO$15,0,0,$B$14,1)) + $B$18/($B$19*$B$19*($DN351&lt;&gt;$DO351) + $B$19*($DN351=$DO351))</f>
        <v>3.7037037037037035E-4</v>
      </c>
      <c r="EQ351" s="10" cm="1">
        <f t="array" aca="1" ref="EQ351" ca="1">(1-$B$18)*SUMPRODUCT(OFFSET($BO$15,0,0,$B$14,1), 1*(_xlfn._xlws.FILTER(OFFSET($O$15,0,$DN351,$B$8,1),OFFSET($M$15,0,0,$B$8,1))=EQ$13), 1*(_xlfn._xlws.FILTER(OFFSET($O$15,0,$DO351,$B$8,1),OFFSET($M$15,0,0,$B$8,1))=EQ$14))   /   SUM(OFFSET($BO$15,0,0,$B$14,1)) + $B$18/($B$19*$B$19*($DN351&lt;&gt;$DO351) + $B$19*($DN351=$DO351))</f>
        <v>3.7037037037037035E-4</v>
      </c>
      <c r="ER351" s="10" cm="1">
        <f t="array" aca="1" ref="ER351" ca="1">(1-$B$18)*SUMPRODUCT(OFFSET($BO$15,0,0,$B$14,1), 1*(_xlfn._xlws.FILTER(OFFSET($O$15,0,$DN351,$B$8,1),OFFSET($M$15,0,0,$B$8,1))=ER$13), 1*(_xlfn._xlws.FILTER(OFFSET($O$15,0,$DO351,$B$8,1),OFFSET($M$15,0,0,$B$8,1))=ER$14))   /   SUM(OFFSET($BO$15,0,0,$B$14,1)) + $B$18/($B$19*$B$19*($DN351&lt;&gt;$DO351) + $B$19*($DN351=$DO351))</f>
        <v>3.7037037037037035E-4</v>
      </c>
      <c r="ES351" s="10" cm="1">
        <f t="array" aca="1" ref="ES351" ca="1">(1-$B$18)*SUMPRODUCT(OFFSET($BO$15,0,0,$B$14,1), 1*(_xlfn._xlws.FILTER(OFFSET($O$15,0,$DN351,$B$8,1),OFFSET($M$15,0,0,$B$8,1))=ES$13), 1*(_xlfn._xlws.FILTER(OFFSET($O$15,0,$DO351,$B$8,1),OFFSET($M$15,0,0,$B$8,1))=ES$14))   /   SUM(OFFSET($BO$15,0,0,$B$14,1)) + $B$18/($B$19*$B$19*($DN351&lt;&gt;$DO351) + $B$19*($DN351=$DO351))</f>
        <v>3.7037037037037035E-4</v>
      </c>
      <c r="ET351" s="10" cm="1">
        <f t="array" aca="1" ref="ET351" ca="1">(1-$B$18)*SUMPRODUCT(OFFSET($BO$15,0,0,$B$14,1), 1*(_xlfn._xlws.FILTER(OFFSET($O$15,0,$DN351,$B$8,1),OFFSET($M$15,0,0,$B$8,1))=ET$13), 1*(_xlfn._xlws.FILTER(OFFSET($O$15,0,$DO351,$B$8,1),OFFSET($M$15,0,0,$B$8,1))=ET$14))   /   SUM(OFFSET($BO$15,0,0,$B$14,1)) + $B$18/($B$19*$B$19*($DN351&lt;&gt;$DO351) + $B$19*($DN351=$DO351))</f>
        <v>3.7037037037037035E-4</v>
      </c>
      <c r="EU351" s="10" cm="1">
        <f t="array" aca="1" ref="EU351" ca="1">(1-$B$18)*SUMPRODUCT(OFFSET($BO$15,0,0,$B$14,1), 1*(_xlfn._xlws.FILTER(OFFSET($O$15,0,$DN351,$B$8,1),OFFSET($M$15,0,0,$B$8,1))=EU$13), 1*(_xlfn._xlws.FILTER(OFFSET($O$15,0,$DO351,$B$8,1),OFFSET($M$15,0,0,$B$8,1))=EU$14))   /   SUM(OFFSET($BO$15,0,0,$B$14,1)) + $B$18/($B$19*$B$19*($DN351&lt;&gt;$DO351) + $B$19*($DN351=$DO351))</f>
        <v>3.7037037037037035E-4</v>
      </c>
      <c r="EV351" s="10" cm="1">
        <f t="array" aca="1" ref="EV351" ca="1">(1-$B$18)*SUMPRODUCT(OFFSET($BO$15,0,0,$B$14,1), 1*(_xlfn._xlws.FILTER(OFFSET($O$15,0,$DN351,$B$8,1),OFFSET($M$15,0,0,$B$8,1))=EV$13), 1*(_xlfn._xlws.FILTER(OFFSET($O$15,0,$DO351,$B$8,1),OFFSET($M$15,0,0,$B$8,1))=EV$14))   /   SUM(OFFSET($BO$15,0,0,$B$14,1)) + $B$18/($B$19*$B$19*($DN351&lt;&gt;$DO351) + $B$19*($DN351=$DO351))</f>
        <v>3.7037037037037035E-4</v>
      </c>
      <c r="EW351" s="10" cm="1">
        <f t="array" aca="1" ref="EW351" ca="1">(1-$B$18)*SUMPRODUCT(OFFSET($BO$15,0,0,$B$14,1), 1*(_xlfn._xlws.FILTER(OFFSET($O$15,0,$DN351,$B$8,1),OFFSET($M$15,0,0,$B$8,1))=EW$13), 1*(_xlfn._xlws.FILTER(OFFSET($O$15,0,$DO351,$B$8,1),OFFSET($M$15,0,0,$B$8,1))=EW$14))   /   SUM(OFFSET($BO$15,0,0,$B$14,1)) + $B$18/($B$19*$B$19*($DN351&lt;&gt;$DO351) + $B$19*($DN351=$DO351))</f>
        <v>3.7037037037037035E-4</v>
      </c>
      <c r="EX351" s="10" cm="1">
        <f t="array" aca="1" ref="EX351" ca="1">(1-$B$18)*SUMPRODUCT(OFFSET($BO$15,0,0,$B$14,1), 1*(_xlfn._xlws.FILTER(OFFSET($O$15,0,$DN351,$B$8,1),OFFSET($M$15,0,0,$B$8,1))=EX$13), 1*(_xlfn._xlws.FILTER(OFFSET($O$15,0,$DO351,$B$8,1),OFFSET($M$15,0,0,$B$8,1))=EX$14))   /   SUM(OFFSET($BO$15,0,0,$B$14,1)) + $B$18/($B$19*$B$19*($DN351&lt;&gt;$DO351) + $B$19*($DN351=$DO351))</f>
        <v>0.24287037037037024</v>
      </c>
      <c r="EY351" s="10" cm="1">
        <f t="array" aca="1" ref="EY351" ca="1">(1-$B$18)*SUMPRODUCT(OFFSET($BO$15,0,0,$B$14,1), 1*(_xlfn._xlws.FILTER(OFFSET($O$15,0,$DN351,$B$8,1),OFFSET($M$15,0,0,$B$8,1))=EY$13), 1*(_xlfn._xlws.FILTER(OFFSET($O$15,0,$DO351,$B$8,1),OFFSET($M$15,0,0,$B$8,1))=EY$14))   /   SUM(OFFSET($BO$15,0,0,$B$14,1)) + $B$18/($B$19*$B$19*($DN351&lt;&gt;$DO351) + $B$19*($DN351=$DO351))</f>
        <v>3.7037037037037035E-4</v>
      </c>
      <c r="EZ351" s="10" cm="1">
        <f t="array" aca="1" ref="EZ351" ca="1">(1-$B$18)*SUMPRODUCT(OFFSET($BO$15,0,0,$B$14,1), 1*(_xlfn._xlws.FILTER(OFFSET($O$15,0,$DN351,$B$8,1),OFFSET($M$15,0,0,$B$8,1))=EZ$13), 1*(_xlfn._xlws.FILTER(OFFSET($O$15,0,$DO351,$B$8,1),OFFSET($M$15,0,0,$B$8,1))=EZ$14))   /   SUM(OFFSET($BO$15,0,0,$B$14,1)) + $B$18/($B$19*$B$19*($DN351&lt;&gt;$DO351) + $B$19*($DN351=$DO351))</f>
        <v>3.7037037037037035E-4</v>
      </c>
      <c r="FA351" s="10" cm="1">
        <f t="array" aca="1" ref="FA351" ca="1">(1-$B$18)*SUMPRODUCT(OFFSET($BO$15,0,0,$B$14,1), 1*(_xlfn._xlws.FILTER(OFFSET($O$15,0,$DN351,$B$8,1),OFFSET($M$15,0,0,$B$8,1))=FA$13), 1*(_xlfn._xlws.FILTER(OFFSET($O$15,0,$DO351,$B$8,1),OFFSET($M$15,0,0,$B$8,1))=FA$14))   /   SUM(OFFSET($BO$15,0,0,$B$14,1)) + $B$18/($B$19*$B$19*($DN351&lt;&gt;$DO351) + $B$19*($DN351=$DO351))</f>
        <v>3.7037037037037035E-4</v>
      </c>
      <c r="FB351" s="10" cm="1">
        <f t="array" aca="1" ref="FB351" ca="1">(1-$B$18)*SUMPRODUCT(OFFSET($BO$15,0,0,$B$14,1), 1*(_xlfn._xlws.FILTER(OFFSET($O$15,0,$DN351,$B$8,1),OFFSET($M$15,0,0,$B$8,1))=FB$13), 1*(_xlfn._xlws.FILTER(OFFSET($O$15,0,$DO351,$B$8,1),OFFSET($M$15,0,0,$B$8,1))=FB$14))   /   SUM(OFFSET($BO$15,0,0,$B$14,1)) + $B$18/($B$19*$B$19*($DN351&lt;&gt;$DO351) + $B$19*($DN351=$DO351))</f>
        <v>3.7037037037037035E-4</v>
      </c>
      <c r="FC351" s="10" cm="1">
        <f t="array" aca="1" ref="FC351" ca="1">(1-$B$18)*SUMPRODUCT(OFFSET($BO$15,0,0,$B$14,1), 1*(_xlfn._xlws.FILTER(OFFSET($O$15,0,$DN351,$B$8,1),OFFSET($M$15,0,0,$B$8,1))=FC$13), 1*(_xlfn._xlws.FILTER(OFFSET($O$15,0,$DO351,$B$8,1),OFFSET($M$15,0,0,$B$8,1))=FC$14))   /   SUM(OFFSET($BO$15,0,0,$B$14,1)) + $B$18/($B$19*$B$19*($DN351&lt;&gt;$DO351) + $B$19*($DN351=$DO351))</f>
        <v>3.7037037037037035E-4</v>
      </c>
      <c r="FD351" s="10" cm="1">
        <f t="array" aca="1" ref="FD351" ca="1">(1-$B$18)*SUMPRODUCT(OFFSET($BO$15,0,0,$B$14,1), 1*(_xlfn._xlws.FILTER(OFFSET($O$15,0,$DN351,$B$8,1),OFFSET($M$15,0,0,$B$8,1))=FD$13), 1*(_xlfn._xlws.FILTER(OFFSET($O$15,0,$DO351,$B$8,1),OFFSET($M$15,0,0,$B$8,1))=FD$14))   /   SUM(OFFSET($BO$15,0,0,$B$14,1)) + $B$18/($B$19*$B$19*($DN351&lt;&gt;$DO351) + $B$19*($DN351=$DO351))</f>
        <v>3.7037037037037035E-4</v>
      </c>
      <c r="FE351" s="10" cm="1">
        <f t="array" aca="1" ref="FE351" ca="1">(1-$B$18)*SUMPRODUCT(OFFSET($BO$15,0,0,$B$14,1), 1*(_xlfn._xlws.FILTER(OFFSET($O$15,0,$DN351,$B$8,1),OFFSET($M$15,0,0,$B$8,1))=FE$13), 1*(_xlfn._xlws.FILTER(OFFSET($O$15,0,$DO351,$B$8,1),OFFSET($M$15,0,0,$B$8,1))=FE$14))   /   SUM(OFFSET($BO$15,0,0,$B$14,1)) + $B$18/($B$19*$B$19*($DN351&lt;&gt;$DO351) + $B$19*($DN351=$DO351))</f>
        <v>3.7037037037037035E-4</v>
      </c>
      <c r="FF351" s="10" cm="1">
        <f t="array" aca="1" ref="FF351" ca="1">(1-$B$18)*SUMPRODUCT(OFFSET($BO$15,0,0,$B$14,1), 1*(_xlfn._xlws.FILTER(OFFSET($O$15,0,$DN351,$B$8,1),OFFSET($M$15,0,0,$B$8,1))=FF$13), 1*(_xlfn._xlws.FILTER(OFFSET($O$15,0,$DO351,$B$8,1),OFFSET($M$15,0,0,$B$8,1))=FF$14))   /   SUM(OFFSET($BO$15,0,0,$B$14,1)) + $B$18/($B$19*$B$19*($DN351&lt;&gt;$DO351) + $B$19*($DN351=$DO351))</f>
        <v>0.24287037037037026</v>
      </c>
      <c r="FG351" s="10" cm="1">
        <f t="array" aca="1" ref="FG351" ca="1">(1-$B$18)*SUMPRODUCT(OFFSET($BO$15,0,0,$B$14,1), 1*(_xlfn._xlws.FILTER(OFFSET($O$15,0,$DN351,$B$8,1),OFFSET($M$15,0,0,$B$8,1))=FG$13), 1*(_xlfn._xlws.FILTER(OFFSET($O$15,0,$DO351,$B$8,1),OFFSET($M$15,0,0,$B$8,1))=FG$14))   /   SUM(OFFSET($BO$15,0,0,$B$14,1)) + $B$18/($B$19*$B$19*($DN351&lt;&gt;$DO351) + $B$19*($DN351=$DO351))</f>
        <v>3.7037037037037035E-4</v>
      </c>
      <c r="FH351" s="10" cm="1">
        <f t="array" aca="1" ref="FH351" ca="1">(1-$B$18)*SUMPRODUCT(OFFSET($BO$15,0,0,$B$14,1), 1*(_xlfn._xlws.FILTER(OFFSET($O$15,0,$DN351,$B$8,1),OFFSET($M$15,0,0,$B$8,1))=FH$13), 1*(_xlfn._xlws.FILTER(OFFSET($O$15,0,$DO351,$B$8,1),OFFSET($M$15,0,0,$B$8,1))=FH$14))   /   SUM(OFFSET($BO$15,0,0,$B$14,1)) + $B$18/($B$19*$B$19*($DN351&lt;&gt;$DO351) + $B$19*($DN351=$DO351))</f>
        <v>3.7037037037037035E-4</v>
      </c>
      <c r="FI351" s="10" cm="1">
        <f t="array" aca="1" ref="FI351" ca="1">(1-$B$18)*SUMPRODUCT(OFFSET($BO$15,0,0,$B$14,1), 1*(_xlfn._xlws.FILTER(OFFSET($O$15,0,$DN351,$B$8,1),OFFSET($M$15,0,0,$B$8,1))=FI$13), 1*(_xlfn._xlws.FILTER(OFFSET($O$15,0,$DO351,$B$8,1),OFFSET($M$15,0,0,$B$8,1))=FI$14))   /   SUM(OFFSET($BO$15,0,0,$B$14,1)) + $B$18/($B$19*$B$19*($DN351&lt;&gt;$DO351) + $B$19*($DN351=$DO351))</f>
        <v>3.7037037037037035E-4</v>
      </c>
      <c r="FJ351" s="10" cm="1">
        <f t="array" aca="1" ref="FJ351" ca="1">(1-$B$18)*SUMPRODUCT(OFFSET($BO$15,0,0,$B$14,1), 1*(_xlfn._xlws.FILTER(OFFSET($O$15,0,$DN351,$B$8,1),OFFSET($M$15,0,0,$B$8,1))=FJ$13), 1*(_xlfn._xlws.FILTER(OFFSET($O$15,0,$DO351,$B$8,1),OFFSET($M$15,0,0,$B$8,1))=FJ$14))   /   SUM(OFFSET($BO$15,0,0,$B$14,1)) + $B$18/($B$19*$B$19*($DN351&lt;&gt;$DO351) + $B$19*($DN351=$DO351))</f>
        <v>3.7037037037037035E-4</v>
      </c>
      <c r="FK351" s="10" cm="1">
        <f t="array" aca="1" ref="FK351" ca="1">(1-$B$18)*SUMPRODUCT(OFFSET($BO$15,0,0,$B$14,1), 1*(_xlfn._xlws.FILTER(OFFSET($O$15,0,$DN351,$B$8,1),OFFSET($M$15,0,0,$B$8,1))=FK$13), 1*(_xlfn._xlws.FILTER(OFFSET($O$15,0,$DO351,$B$8,1),OFFSET($M$15,0,0,$B$8,1))=FK$14))   /   SUM(OFFSET($BO$15,0,0,$B$14,1)) + $B$18/($B$19*$B$19*($DN351&lt;&gt;$DO351) + $B$19*($DN351=$DO351))</f>
        <v>3.7037037037037035E-4</v>
      </c>
      <c r="FL351" s="10" cm="1">
        <f t="array" aca="1" ref="FL351" ca="1">(1-$B$18)*SUMPRODUCT(OFFSET($BO$15,0,0,$B$14,1), 1*(_xlfn._xlws.FILTER(OFFSET($O$15,0,$DN351,$B$8,1),OFFSET($M$15,0,0,$B$8,1))=FL$13), 1*(_xlfn._xlws.FILTER(OFFSET($O$15,0,$DO351,$B$8,1),OFFSET($M$15,0,0,$B$8,1))=FL$14))   /   SUM(OFFSET($BO$15,0,0,$B$14,1)) + $B$18/($B$19*$B$19*($DN351&lt;&gt;$DO351) + $B$19*($DN351=$DO351))</f>
        <v>3.7037037037037035E-4</v>
      </c>
      <c r="FM351" s="10" cm="1">
        <f t="array" aca="1" ref="FM351" ca="1">(1-$B$18)*SUMPRODUCT(OFFSET($BO$15,0,0,$B$14,1), 1*(_xlfn._xlws.FILTER(OFFSET($O$15,0,$DN351,$B$8,1),OFFSET($M$15,0,0,$B$8,1))=FM$13), 1*(_xlfn._xlws.FILTER(OFFSET($O$15,0,$DO351,$B$8,1),OFFSET($M$15,0,0,$B$8,1))=FM$14))   /   SUM(OFFSET($BO$15,0,0,$B$14,1)) + $B$18/($B$19*$B$19*($DN351&lt;&gt;$DO351) + $B$19*($DN351=$DO351))</f>
        <v>3.7037037037037035E-4</v>
      </c>
      <c r="FN351" s="10" cm="1">
        <f t="array" aca="1" ref="FN351" ca="1">(1-$B$18)*SUMPRODUCT(OFFSET($BO$15,0,0,$B$14,1), 1*(_xlfn._xlws.FILTER(OFFSET($O$15,0,$DN351,$B$8,1),OFFSET($M$15,0,0,$B$8,1))=FN$13), 1*(_xlfn._xlws.FILTER(OFFSET($O$15,0,$DO351,$B$8,1),OFFSET($M$15,0,0,$B$8,1))=FN$14))   /   SUM(OFFSET($BO$15,0,0,$B$14,1)) + $B$18/($B$19*$B$19*($DN351&lt;&gt;$DO351) + $B$19*($DN351=$DO351))</f>
        <v>0.48537037037037012</v>
      </c>
      <c r="FO351" s="10" cm="1">
        <f t="array" aca="1" ref="FO351" ca="1">(1-$B$18)*SUMPRODUCT(OFFSET($BO$15,0,0,$B$14,1), 1*(_xlfn._xlws.FILTER(OFFSET($O$15,0,$DN351,$B$8,1),OFFSET($M$15,0,0,$B$8,1))=FO$13), 1*(_xlfn._xlws.FILTER(OFFSET($O$15,0,$DO351,$B$8,1),OFFSET($M$15,0,0,$B$8,1))=FO$14))   /   SUM(OFFSET($BO$15,0,0,$B$14,1)) + $B$18/($B$19*$B$19*($DN351&lt;&gt;$DO351) + $B$19*($DN351=$DO351))</f>
        <v>3.7037037037037035E-4</v>
      </c>
      <c r="FP351" s="10" cm="1">
        <f t="array" aca="1" ref="FP351" ca="1">(1-$B$18)*SUMPRODUCT(OFFSET($BO$15,0,0,$B$14,1), 1*(_xlfn._xlws.FILTER(OFFSET($O$15,0,$DN351,$B$8,1),OFFSET($M$15,0,0,$B$8,1))=FP$13), 1*(_xlfn._xlws.FILTER(OFFSET($O$15,0,$DO351,$B$8,1),OFFSET($M$15,0,0,$B$8,1))=FP$14))   /   SUM(OFFSET($BO$15,0,0,$B$14,1)) + $B$18/($B$19*$B$19*($DN351&lt;&gt;$DO351) + $B$19*($DN351=$DO351))</f>
        <v>3.7037037037037035E-4</v>
      </c>
      <c r="FQ351" s="10" cm="1">
        <f t="array" aca="1" ref="FQ351" ca="1">(1-$B$18)*SUMPRODUCT(OFFSET($BO$15,0,0,$B$14,1), 1*(_xlfn._xlws.FILTER(OFFSET($O$15,0,$DN351,$B$8,1),OFFSET($M$15,0,0,$B$8,1))=FQ$13), 1*(_xlfn._xlws.FILTER(OFFSET($O$15,0,$DO351,$B$8,1),OFFSET($M$15,0,0,$B$8,1))=FQ$14))   /   SUM(OFFSET($BO$15,0,0,$B$14,1)) + $B$18/($B$19*$B$19*($DN351&lt;&gt;$DO351) + $B$19*($DN351=$DO351))</f>
        <v>3.7037037037037035E-4</v>
      </c>
      <c r="FR351" s="10" cm="1">
        <f t="array" aca="1" ref="FR351" ca="1">(1-$B$18)*SUMPRODUCT(OFFSET($BO$15,0,0,$B$14,1), 1*(_xlfn._xlws.FILTER(OFFSET($O$15,0,$DN351,$B$8,1),OFFSET($M$15,0,0,$B$8,1))=FR$13), 1*(_xlfn._xlws.FILTER(OFFSET($O$15,0,$DO351,$B$8,1),OFFSET($M$15,0,0,$B$8,1))=FR$14))   /   SUM(OFFSET($BO$15,0,0,$B$14,1)) + $B$18/($B$19*$B$19*($DN351&lt;&gt;$DO351) + $B$19*($DN351=$DO351))</f>
        <v>3.7037037037037035E-4</v>
      </c>
      <c r="FS351" s="10" cm="1">
        <f t="array" aca="1" ref="FS351" ca="1">(1-$B$18)*SUMPRODUCT(OFFSET($BO$15,0,0,$B$14,1), 1*(_xlfn._xlws.FILTER(OFFSET($O$15,0,$DN351,$B$8,1),OFFSET($M$15,0,0,$B$8,1))=FS$13), 1*(_xlfn._xlws.FILTER(OFFSET($O$15,0,$DO351,$B$8,1),OFFSET($M$15,0,0,$B$8,1))=FS$14))   /   SUM(OFFSET($BO$15,0,0,$B$14,1)) + $B$18/($B$19*$B$19*($DN351&lt;&gt;$DO351) + $B$19*($DN351=$DO351))</f>
        <v>3.7037037037037035E-4</v>
      </c>
      <c r="FT351" s="10" cm="1">
        <f t="array" aca="1" ref="FT351" ca="1">(1-$B$18)*SUMPRODUCT(OFFSET($BO$15,0,0,$B$14,1), 1*(_xlfn._xlws.FILTER(OFFSET($O$15,0,$DN351,$B$8,1),OFFSET($M$15,0,0,$B$8,1))=FT$13), 1*(_xlfn._xlws.FILTER(OFFSET($O$15,0,$DO351,$B$8,1),OFFSET($M$15,0,0,$B$8,1))=FT$14))   /   SUM(OFFSET($BO$15,0,0,$B$14,1)) + $B$18/($B$19*$B$19*($DN351&lt;&gt;$DO351) + $B$19*($DN351=$DO351))</f>
        <v>3.7037037037037035E-4</v>
      </c>
      <c r="FU351" s="10" cm="1">
        <f t="array" aca="1" ref="FU351" ca="1">(1-$B$18)*SUMPRODUCT(OFFSET($BO$15,0,0,$B$14,1), 1*(_xlfn._xlws.FILTER(OFFSET($O$15,0,$DN351,$B$8,1),OFFSET($M$15,0,0,$B$8,1))=FU$13), 1*(_xlfn._xlws.FILTER(OFFSET($O$15,0,$DO351,$B$8,1),OFFSET($M$15,0,0,$B$8,1))=FU$14))   /   SUM(OFFSET($BO$15,0,0,$B$14,1)) + $B$18/($B$19*$B$19*($DN351&lt;&gt;$DO351) + $B$19*($DN351=$DO351))</f>
        <v>3.7037037037037035E-4</v>
      </c>
      <c r="FV351" s="10" cm="1">
        <f t="array" aca="1" ref="FV351" ca="1">(1-$B$18)*SUMPRODUCT(OFFSET($BO$15,0,0,$B$14,1), 1*(_xlfn._xlws.FILTER(OFFSET($O$15,0,$DN351,$B$8,1),OFFSET($M$15,0,0,$B$8,1))=FV$13), 1*(_xlfn._xlws.FILTER(OFFSET($O$15,0,$DO351,$B$8,1),OFFSET($M$15,0,0,$B$8,1))=FV$14))   /   SUM(OFFSET($BO$15,0,0,$B$14,1)) + $B$18/($B$19*$B$19*($DN351&lt;&gt;$DO351) + $B$19*($DN351=$DO351))</f>
        <v>3.7037037037037035E-4</v>
      </c>
      <c r="FW351" s="10" cm="1">
        <f t="array" aca="1" ref="FW351" ca="1">(1-$B$18)*SUMPRODUCT(OFFSET($BO$15,0,0,$B$14,1), 1*(_xlfn._xlws.FILTER(OFFSET($O$15,0,$DN351,$B$8,1),OFFSET($M$15,0,0,$B$8,1))=FW$13), 1*(_xlfn._xlws.FILTER(OFFSET($O$15,0,$DO351,$B$8,1),OFFSET($M$15,0,0,$B$8,1))=FW$14))   /   SUM(OFFSET($BO$15,0,0,$B$14,1)) + $B$18/($B$19*$B$19*($DN351&lt;&gt;$DO351) + $B$19*($DN351=$DO351))</f>
        <v>3.7037037037037035E-4</v>
      </c>
      <c r="FX351" s="10" cm="1">
        <f t="array" aca="1" ref="FX351" ca="1">(1-$B$18)*SUMPRODUCT(OFFSET($BO$15,0,0,$B$14,1), 1*(_xlfn._xlws.FILTER(OFFSET($O$15,0,$DN351,$B$8,1),OFFSET($M$15,0,0,$B$8,1))=FX$13), 1*(_xlfn._xlws.FILTER(OFFSET($O$15,0,$DO351,$B$8,1),OFFSET($M$15,0,0,$B$8,1))=FX$14))   /   SUM(OFFSET($BO$15,0,0,$B$14,1)) + $B$18/($B$19*$B$19*($DN351&lt;&gt;$DO351) + $B$19*($DN351=$DO351))</f>
        <v>3.7037037037037035E-4</v>
      </c>
      <c r="FY351" s="10" cm="1">
        <f t="array" aca="1" ref="FY351" ca="1">(1-$B$18)*SUMPRODUCT(OFFSET($BO$15,0,0,$B$14,1), 1*(_xlfn._xlws.FILTER(OFFSET($O$15,0,$DN351,$B$8,1),OFFSET($M$15,0,0,$B$8,1))=FY$13), 1*(_xlfn._xlws.FILTER(OFFSET($O$15,0,$DO351,$B$8,1),OFFSET($M$15,0,0,$B$8,1))=FY$14))   /   SUM(OFFSET($BO$15,0,0,$B$14,1)) + $B$18/($B$19*$B$19*($DN351&lt;&gt;$DO351) + $B$19*($DN351=$DO351))</f>
        <v>3.7037037037037035E-4</v>
      </c>
      <c r="FZ351" s="10" cm="1">
        <f t="array" aca="1" ref="FZ351" ca="1">(1-$B$18)*SUMPRODUCT(OFFSET($BO$15,0,0,$B$14,1), 1*(_xlfn._xlws.FILTER(OFFSET($O$15,0,$DN351,$B$8,1),OFFSET($M$15,0,0,$B$8,1))=FZ$13), 1*(_xlfn._xlws.FILTER(OFFSET($O$15,0,$DO351,$B$8,1),OFFSET($M$15,0,0,$B$8,1))=FZ$14))   /   SUM(OFFSET($BO$15,0,0,$B$14,1)) + $B$18/($B$19*$B$19*($DN351&lt;&gt;$DO351) + $B$19*($DN351=$DO351))</f>
        <v>3.7037037037037035E-4</v>
      </c>
      <c r="GA351" s="10" cm="1">
        <f t="array" aca="1" ref="GA351" ca="1">(1-$B$18)*SUMPRODUCT(OFFSET($BO$15,0,0,$B$14,1), 1*(_xlfn._xlws.FILTER(OFFSET($O$15,0,$DN351,$B$8,1),OFFSET($M$15,0,0,$B$8,1))=GA$13), 1*(_xlfn._xlws.FILTER(OFFSET($O$15,0,$DO351,$B$8,1),OFFSET($M$15,0,0,$B$8,1))=GA$14))   /   SUM(OFFSET($BO$15,0,0,$B$14,1)) + $B$18/($B$19*$B$19*($DN351&lt;&gt;$DO351) + $B$19*($DN351=$DO351))</f>
        <v>3.7037037037037035E-4</v>
      </c>
    </row>
    <row r="352" spans="118:183" x14ac:dyDescent="0.2">
      <c r="DN352" cm="1">
        <f t="array" aca="1" ref="DN352" ca="1">INDEX(_xlfn.ANCHORARRAY($CP$15), 1 + INT((ROWS($DO$15:$DO352) - 1) / ROWS(_xlfn.ANCHORARRAY($CP$15))))</f>
        <v>20</v>
      </c>
      <c r="DO352" cm="1">
        <f t="array" aca="1" ref="DO352" ca="1">INDEX(_xlfn.ANCHORARRAY($CP$15),1+MOD(ROWS($DO$15:$DO352)-1,ROWS(_xlfn.ANCHORARRAY($CP$15))))</f>
        <v>15</v>
      </c>
      <c r="DP352" s="10" cm="1">
        <f t="array" aca="1" ref="DP352" ca="1">(1-$B$18)*SUMPRODUCT(OFFSET($BO$15,0,0,$B$14,1), 1*(_xlfn._xlws.FILTER(OFFSET($O$15,0,$DN352,$B$8,1),OFFSET($M$15,0,0,$B$8,1))=DP$13), 1*(_xlfn._xlws.FILTER(OFFSET($O$15,0,$DO352,$B$8,1),OFFSET($M$15,0,0,$B$8,1))=DP$14))   /   SUM(OFFSET($BO$15,0,0,$B$14,1)) + $B$18/($B$19*$B$19*($DN352&lt;&gt;$DO352) + $B$19*($DN352=$DO352))</f>
        <v>3.7037037037037035E-4</v>
      </c>
      <c r="DQ352" s="10" cm="1">
        <f t="array" aca="1" ref="DQ352" ca="1">(1-$B$18)*SUMPRODUCT(OFFSET($BO$15,0,0,$B$14,1), 1*(_xlfn._xlws.FILTER(OFFSET($O$15,0,$DN352,$B$8,1),OFFSET($M$15,0,0,$B$8,1))=DQ$13), 1*(_xlfn._xlws.FILTER(OFFSET($O$15,0,$DO352,$B$8,1),OFFSET($M$15,0,0,$B$8,1))=DQ$14))   /   SUM(OFFSET($BO$15,0,0,$B$14,1)) + $B$18/($B$19*$B$19*($DN352&lt;&gt;$DO352) + $B$19*($DN352=$DO352))</f>
        <v>3.7037037037037035E-4</v>
      </c>
      <c r="DR352" s="10" cm="1">
        <f t="array" aca="1" ref="DR352" ca="1">(1-$B$18)*SUMPRODUCT(OFFSET($BO$15,0,0,$B$14,1), 1*(_xlfn._xlws.FILTER(OFFSET($O$15,0,$DN352,$B$8,1),OFFSET($M$15,0,0,$B$8,1))=DR$13), 1*(_xlfn._xlws.FILTER(OFFSET($O$15,0,$DO352,$B$8,1),OFFSET($M$15,0,0,$B$8,1))=DR$14))   /   SUM(OFFSET($BO$15,0,0,$B$14,1)) + $B$18/($B$19*$B$19*($DN352&lt;&gt;$DO352) + $B$19*($DN352=$DO352))</f>
        <v>3.7037037037037035E-4</v>
      </c>
      <c r="DS352" s="10" cm="1">
        <f t="array" aca="1" ref="DS352" ca="1">(1-$B$18)*SUMPRODUCT(OFFSET($BO$15,0,0,$B$14,1), 1*(_xlfn._xlws.FILTER(OFFSET($O$15,0,$DN352,$B$8,1),OFFSET($M$15,0,0,$B$8,1))=DS$13), 1*(_xlfn._xlws.FILTER(OFFSET($O$15,0,$DO352,$B$8,1),OFFSET($M$15,0,0,$B$8,1))=DS$14))   /   SUM(OFFSET($BO$15,0,0,$B$14,1)) + $B$18/($B$19*$B$19*($DN352&lt;&gt;$DO352) + $B$19*($DN352=$DO352))</f>
        <v>3.7037037037037035E-4</v>
      </c>
      <c r="DT352" s="10" cm="1">
        <f t="array" aca="1" ref="DT352" ca="1">(1-$B$18)*SUMPRODUCT(OFFSET($BO$15,0,0,$B$14,1), 1*(_xlfn._xlws.FILTER(OFFSET($O$15,0,$DN352,$B$8,1),OFFSET($M$15,0,0,$B$8,1))=DT$13), 1*(_xlfn._xlws.FILTER(OFFSET($O$15,0,$DO352,$B$8,1),OFFSET($M$15,0,0,$B$8,1))=DT$14))   /   SUM(OFFSET($BO$15,0,0,$B$14,1)) + $B$18/($B$19*$B$19*($DN352&lt;&gt;$DO352) + $B$19*($DN352=$DO352))</f>
        <v>3.7037037037037035E-4</v>
      </c>
      <c r="DU352" s="10" cm="1">
        <f t="array" aca="1" ref="DU352" ca="1">(1-$B$18)*SUMPRODUCT(OFFSET($BO$15,0,0,$B$14,1), 1*(_xlfn._xlws.FILTER(OFFSET($O$15,0,$DN352,$B$8,1),OFFSET($M$15,0,0,$B$8,1))=DU$13), 1*(_xlfn._xlws.FILTER(OFFSET($O$15,0,$DO352,$B$8,1),OFFSET($M$15,0,0,$B$8,1))=DU$14))   /   SUM(OFFSET($BO$15,0,0,$B$14,1)) + $B$18/($B$19*$B$19*($DN352&lt;&gt;$DO352) + $B$19*($DN352=$DO352))</f>
        <v>3.7037037037037035E-4</v>
      </c>
      <c r="DV352" s="10" cm="1">
        <f t="array" aca="1" ref="DV352" ca="1">(1-$B$18)*SUMPRODUCT(OFFSET($BO$15,0,0,$B$14,1), 1*(_xlfn._xlws.FILTER(OFFSET($O$15,0,$DN352,$B$8,1),OFFSET($M$15,0,0,$B$8,1))=DV$13), 1*(_xlfn._xlws.FILTER(OFFSET($O$15,0,$DO352,$B$8,1),OFFSET($M$15,0,0,$B$8,1))=DV$14))   /   SUM(OFFSET($BO$15,0,0,$B$14,1)) + $B$18/($B$19*$B$19*($DN352&lt;&gt;$DO352) + $B$19*($DN352=$DO352))</f>
        <v>3.7037037037037035E-4</v>
      </c>
      <c r="DW352" s="10" cm="1">
        <f t="array" aca="1" ref="DW352" ca="1">(1-$B$18)*SUMPRODUCT(OFFSET($BO$15,0,0,$B$14,1), 1*(_xlfn._xlws.FILTER(OFFSET($O$15,0,$DN352,$B$8,1),OFFSET($M$15,0,0,$B$8,1))=DW$13), 1*(_xlfn._xlws.FILTER(OFFSET($O$15,0,$DO352,$B$8,1),OFFSET($M$15,0,0,$B$8,1))=DW$14))   /   SUM(OFFSET($BO$15,0,0,$B$14,1)) + $B$18/($B$19*$B$19*($DN352&lt;&gt;$DO352) + $B$19*($DN352=$DO352))</f>
        <v>3.7037037037037035E-4</v>
      </c>
      <c r="DX352" s="10" cm="1">
        <f t="array" aca="1" ref="DX352" ca="1">(1-$B$18)*SUMPRODUCT(OFFSET($BO$15,0,0,$B$14,1), 1*(_xlfn._xlws.FILTER(OFFSET($O$15,0,$DN352,$B$8,1),OFFSET($M$15,0,0,$B$8,1))=DX$13), 1*(_xlfn._xlws.FILTER(OFFSET($O$15,0,$DO352,$B$8,1),OFFSET($M$15,0,0,$B$8,1))=DX$14))   /   SUM(OFFSET($BO$15,0,0,$B$14,1)) + $B$18/($B$19*$B$19*($DN352&lt;&gt;$DO352) + $B$19*($DN352=$DO352))</f>
        <v>3.7037037037037035E-4</v>
      </c>
      <c r="DY352" s="10" cm="1">
        <f t="array" aca="1" ref="DY352" ca="1">(1-$B$18)*SUMPRODUCT(OFFSET($BO$15,0,0,$B$14,1), 1*(_xlfn._xlws.FILTER(OFFSET($O$15,0,$DN352,$B$8,1),OFFSET($M$15,0,0,$B$8,1))=DY$13), 1*(_xlfn._xlws.FILTER(OFFSET($O$15,0,$DO352,$B$8,1),OFFSET($M$15,0,0,$B$8,1))=DY$14))   /   SUM(OFFSET($BO$15,0,0,$B$14,1)) + $B$18/($B$19*$B$19*($DN352&lt;&gt;$DO352) + $B$19*($DN352=$DO352))</f>
        <v>3.7037037037037035E-4</v>
      </c>
      <c r="DZ352" s="10" cm="1">
        <f t="array" aca="1" ref="DZ352" ca="1">(1-$B$18)*SUMPRODUCT(OFFSET($BO$15,0,0,$B$14,1), 1*(_xlfn._xlws.FILTER(OFFSET($O$15,0,$DN352,$B$8,1),OFFSET($M$15,0,0,$B$8,1))=DZ$13), 1*(_xlfn._xlws.FILTER(OFFSET($O$15,0,$DO352,$B$8,1),OFFSET($M$15,0,0,$B$8,1))=DZ$14))   /   SUM(OFFSET($BO$15,0,0,$B$14,1)) + $B$18/($B$19*$B$19*($DN352&lt;&gt;$DO352) + $B$19*($DN352=$DO352))</f>
        <v>3.7037037037037035E-4</v>
      </c>
      <c r="EA352" s="10" cm="1">
        <f t="array" aca="1" ref="EA352" ca="1">(1-$B$18)*SUMPRODUCT(OFFSET($BO$15,0,0,$B$14,1), 1*(_xlfn._xlws.FILTER(OFFSET($O$15,0,$DN352,$B$8,1),OFFSET($M$15,0,0,$B$8,1))=EA$13), 1*(_xlfn._xlws.FILTER(OFFSET($O$15,0,$DO352,$B$8,1),OFFSET($M$15,0,0,$B$8,1))=EA$14))   /   SUM(OFFSET($BO$15,0,0,$B$14,1)) + $B$18/($B$19*$B$19*($DN352&lt;&gt;$DO352) + $B$19*($DN352=$DO352))</f>
        <v>3.7037037037037035E-4</v>
      </c>
      <c r="EB352" s="10" cm="1">
        <f t="array" aca="1" ref="EB352" ca="1">(1-$B$18)*SUMPRODUCT(OFFSET($BO$15,0,0,$B$14,1), 1*(_xlfn._xlws.FILTER(OFFSET($O$15,0,$DN352,$B$8,1),OFFSET($M$15,0,0,$B$8,1))=EB$13), 1*(_xlfn._xlws.FILTER(OFFSET($O$15,0,$DO352,$B$8,1),OFFSET($M$15,0,0,$B$8,1))=EB$14))   /   SUM(OFFSET($BO$15,0,0,$B$14,1)) + $B$18/($B$19*$B$19*($DN352&lt;&gt;$DO352) + $B$19*($DN352=$DO352))</f>
        <v>3.7037037037037035E-4</v>
      </c>
      <c r="EC352" s="10" cm="1">
        <f t="array" aca="1" ref="EC352" ca="1">(1-$B$18)*SUMPRODUCT(OFFSET($BO$15,0,0,$B$14,1), 1*(_xlfn._xlws.FILTER(OFFSET($O$15,0,$DN352,$B$8,1),OFFSET($M$15,0,0,$B$8,1))=EC$13), 1*(_xlfn._xlws.FILTER(OFFSET($O$15,0,$DO352,$B$8,1),OFFSET($M$15,0,0,$B$8,1))=EC$14))   /   SUM(OFFSET($BO$15,0,0,$B$14,1)) + $B$18/($B$19*$B$19*($DN352&lt;&gt;$DO352) + $B$19*($DN352=$DO352))</f>
        <v>3.7037037037037035E-4</v>
      </c>
      <c r="ED352" s="10" cm="1">
        <f t="array" aca="1" ref="ED352" ca="1">(1-$B$18)*SUMPRODUCT(OFFSET($BO$15,0,0,$B$14,1), 1*(_xlfn._xlws.FILTER(OFFSET($O$15,0,$DN352,$B$8,1),OFFSET($M$15,0,0,$B$8,1))=ED$13), 1*(_xlfn._xlws.FILTER(OFFSET($O$15,0,$DO352,$B$8,1),OFFSET($M$15,0,0,$B$8,1))=ED$14))   /   SUM(OFFSET($BO$15,0,0,$B$14,1)) + $B$18/($B$19*$B$19*($DN352&lt;&gt;$DO352) + $B$19*($DN352=$DO352))</f>
        <v>3.7037037037037035E-4</v>
      </c>
      <c r="EE352" s="10" cm="1">
        <f t="array" aca="1" ref="EE352" ca="1">(1-$B$18)*SUMPRODUCT(OFFSET($BO$15,0,0,$B$14,1), 1*(_xlfn._xlws.FILTER(OFFSET($O$15,0,$DN352,$B$8,1),OFFSET($M$15,0,0,$B$8,1))=EE$13), 1*(_xlfn._xlws.FILTER(OFFSET($O$15,0,$DO352,$B$8,1),OFFSET($M$15,0,0,$B$8,1))=EE$14))   /   SUM(OFFSET($BO$15,0,0,$B$14,1)) + $B$18/($B$19*$B$19*($DN352&lt;&gt;$DO352) + $B$19*($DN352=$DO352))</f>
        <v>3.7037037037037035E-4</v>
      </c>
      <c r="EF352" s="10" cm="1">
        <f t="array" aca="1" ref="EF352" ca="1">(1-$B$18)*SUMPRODUCT(OFFSET($BO$15,0,0,$B$14,1), 1*(_xlfn._xlws.FILTER(OFFSET($O$15,0,$DN352,$B$8,1),OFFSET($M$15,0,0,$B$8,1))=EF$13), 1*(_xlfn._xlws.FILTER(OFFSET($O$15,0,$DO352,$B$8,1),OFFSET($M$15,0,0,$B$8,1))=EF$14))   /   SUM(OFFSET($BO$15,0,0,$B$14,1)) + $B$18/($B$19*$B$19*($DN352&lt;&gt;$DO352) + $B$19*($DN352=$DO352))</f>
        <v>3.7037037037037035E-4</v>
      </c>
      <c r="EG352" s="10" cm="1">
        <f t="array" aca="1" ref="EG352" ca="1">(1-$B$18)*SUMPRODUCT(OFFSET($BO$15,0,0,$B$14,1), 1*(_xlfn._xlws.FILTER(OFFSET($O$15,0,$DN352,$B$8,1),OFFSET($M$15,0,0,$B$8,1))=EG$13), 1*(_xlfn._xlws.FILTER(OFFSET($O$15,0,$DO352,$B$8,1),OFFSET($M$15,0,0,$B$8,1))=EG$14))   /   SUM(OFFSET($BO$15,0,0,$B$14,1)) + $B$18/($B$19*$B$19*($DN352&lt;&gt;$DO352) + $B$19*($DN352=$DO352))</f>
        <v>3.7037037037037035E-4</v>
      </c>
      <c r="EH352" s="10" cm="1">
        <f t="array" aca="1" ref="EH352" ca="1">(1-$B$18)*SUMPRODUCT(OFFSET($BO$15,0,0,$B$14,1), 1*(_xlfn._xlws.FILTER(OFFSET($O$15,0,$DN352,$B$8,1),OFFSET($M$15,0,0,$B$8,1))=EH$13), 1*(_xlfn._xlws.FILTER(OFFSET($O$15,0,$DO352,$B$8,1),OFFSET($M$15,0,0,$B$8,1))=EH$14))   /   SUM(OFFSET($BO$15,0,0,$B$14,1)) + $B$18/($B$19*$B$19*($DN352&lt;&gt;$DO352) + $B$19*($DN352=$DO352))</f>
        <v>3.7037037037037035E-4</v>
      </c>
      <c r="EI352" s="10" cm="1">
        <f t="array" aca="1" ref="EI352" ca="1">(1-$B$18)*SUMPRODUCT(OFFSET($BO$15,0,0,$B$14,1), 1*(_xlfn._xlws.FILTER(OFFSET($O$15,0,$DN352,$B$8,1),OFFSET($M$15,0,0,$B$8,1))=EI$13), 1*(_xlfn._xlws.FILTER(OFFSET($O$15,0,$DO352,$B$8,1),OFFSET($M$15,0,0,$B$8,1))=EI$14))   /   SUM(OFFSET($BO$15,0,0,$B$14,1)) + $B$18/($B$19*$B$19*($DN352&lt;&gt;$DO352) + $B$19*($DN352=$DO352))</f>
        <v>3.7037037037037035E-4</v>
      </c>
      <c r="EJ352" s="10" cm="1">
        <f t="array" aca="1" ref="EJ352" ca="1">(1-$B$18)*SUMPRODUCT(OFFSET($BO$15,0,0,$B$14,1), 1*(_xlfn._xlws.FILTER(OFFSET($O$15,0,$DN352,$B$8,1),OFFSET($M$15,0,0,$B$8,1))=EJ$13), 1*(_xlfn._xlws.FILTER(OFFSET($O$15,0,$DO352,$B$8,1),OFFSET($M$15,0,0,$B$8,1))=EJ$14))   /   SUM(OFFSET($BO$15,0,0,$B$14,1)) + $B$18/($B$19*$B$19*($DN352&lt;&gt;$DO352) + $B$19*($DN352=$DO352))</f>
        <v>3.7037037037037035E-4</v>
      </c>
      <c r="EK352" s="10" cm="1">
        <f t="array" aca="1" ref="EK352" ca="1">(1-$B$18)*SUMPRODUCT(OFFSET($BO$15,0,0,$B$14,1), 1*(_xlfn._xlws.FILTER(OFFSET($O$15,0,$DN352,$B$8,1),OFFSET($M$15,0,0,$B$8,1))=EK$13), 1*(_xlfn._xlws.FILTER(OFFSET($O$15,0,$DO352,$B$8,1),OFFSET($M$15,0,0,$B$8,1))=EK$14))   /   SUM(OFFSET($BO$15,0,0,$B$14,1)) + $B$18/($B$19*$B$19*($DN352&lt;&gt;$DO352) + $B$19*($DN352=$DO352))</f>
        <v>3.7037037037037035E-4</v>
      </c>
      <c r="EL352" s="10" cm="1">
        <f t="array" aca="1" ref="EL352" ca="1">(1-$B$18)*SUMPRODUCT(OFFSET($BO$15,0,0,$B$14,1), 1*(_xlfn._xlws.FILTER(OFFSET($O$15,0,$DN352,$B$8,1),OFFSET($M$15,0,0,$B$8,1))=EL$13), 1*(_xlfn._xlws.FILTER(OFFSET($O$15,0,$DO352,$B$8,1),OFFSET($M$15,0,0,$B$8,1))=EL$14))   /   SUM(OFFSET($BO$15,0,0,$B$14,1)) + $B$18/($B$19*$B$19*($DN352&lt;&gt;$DO352) + $B$19*($DN352=$DO352))</f>
        <v>3.7037037037037035E-4</v>
      </c>
      <c r="EM352" s="10" cm="1">
        <f t="array" aca="1" ref="EM352" ca="1">(1-$B$18)*SUMPRODUCT(OFFSET($BO$15,0,0,$B$14,1), 1*(_xlfn._xlws.FILTER(OFFSET($O$15,0,$DN352,$B$8,1),OFFSET($M$15,0,0,$B$8,1))=EM$13), 1*(_xlfn._xlws.FILTER(OFFSET($O$15,0,$DO352,$B$8,1),OFFSET($M$15,0,0,$B$8,1))=EM$14))   /   SUM(OFFSET($BO$15,0,0,$B$14,1)) + $B$18/($B$19*$B$19*($DN352&lt;&gt;$DO352) + $B$19*($DN352=$DO352))</f>
        <v>3.7037037037037035E-4</v>
      </c>
      <c r="EN352" s="10" cm="1">
        <f t="array" aca="1" ref="EN352" ca="1">(1-$B$18)*SUMPRODUCT(OFFSET($BO$15,0,0,$B$14,1), 1*(_xlfn._xlws.FILTER(OFFSET($O$15,0,$DN352,$B$8,1),OFFSET($M$15,0,0,$B$8,1))=EN$13), 1*(_xlfn._xlws.FILTER(OFFSET($O$15,0,$DO352,$B$8,1),OFFSET($M$15,0,0,$B$8,1))=EN$14))   /   SUM(OFFSET($BO$15,0,0,$B$14,1)) + $B$18/($B$19*$B$19*($DN352&lt;&gt;$DO352) + $B$19*($DN352=$DO352))</f>
        <v>3.7037037037037035E-4</v>
      </c>
      <c r="EO352" s="10" cm="1">
        <f t="array" aca="1" ref="EO352" ca="1">(1-$B$18)*SUMPRODUCT(OFFSET($BO$15,0,0,$B$14,1), 1*(_xlfn._xlws.FILTER(OFFSET($O$15,0,$DN352,$B$8,1),OFFSET($M$15,0,0,$B$8,1))=EO$13), 1*(_xlfn._xlws.FILTER(OFFSET($O$15,0,$DO352,$B$8,1),OFFSET($M$15,0,0,$B$8,1))=EO$14))   /   SUM(OFFSET($BO$15,0,0,$B$14,1)) + $B$18/($B$19*$B$19*($DN352&lt;&gt;$DO352) + $B$19*($DN352=$DO352))</f>
        <v>3.7037037037037035E-4</v>
      </c>
      <c r="EP352" s="10" cm="1">
        <f t="array" aca="1" ref="EP352" ca="1">(1-$B$18)*SUMPRODUCT(OFFSET($BO$15,0,0,$B$14,1), 1*(_xlfn._xlws.FILTER(OFFSET($O$15,0,$DN352,$B$8,1),OFFSET($M$15,0,0,$B$8,1))=EP$13), 1*(_xlfn._xlws.FILTER(OFFSET($O$15,0,$DO352,$B$8,1),OFFSET($M$15,0,0,$B$8,1))=EP$14))   /   SUM(OFFSET($BO$15,0,0,$B$14,1)) + $B$18/($B$19*$B$19*($DN352&lt;&gt;$DO352) + $B$19*($DN352=$DO352))</f>
        <v>3.7037037037037035E-4</v>
      </c>
      <c r="EQ352" s="10" cm="1">
        <f t="array" aca="1" ref="EQ352" ca="1">(1-$B$18)*SUMPRODUCT(OFFSET($BO$15,0,0,$B$14,1), 1*(_xlfn._xlws.FILTER(OFFSET($O$15,0,$DN352,$B$8,1),OFFSET($M$15,0,0,$B$8,1))=EQ$13), 1*(_xlfn._xlws.FILTER(OFFSET($O$15,0,$DO352,$B$8,1),OFFSET($M$15,0,0,$B$8,1))=EQ$14))   /   SUM(OFFSET($BO$15,0,0,$B$14,1)) + $B$18/($B$19*$B$19*($DN352&lt;&gt;$DO352) + $B$19*($DN352=$DO352))</f>
        <v>3.7037037037037035E-4</v>
      </c>
      <c r="ER352" s="10" cm="1">
        <f t="array" aca="1" ref="ER352" ca="1">(1-$B$18)*SUMPRODUCT(OFFSET($BO$15,0,0,$B$14,1), 1*(_xlfn._xlws.FILTER(OFFSET($O$15,0,$DN352,$B$8,1),OFFSET($M$15,0,0,$B$8,1))=ER$13), 1*(_xlfn._xlws.FILTER(OFFSET($O$15,0,$DO352,$B$8,1),OFFSET($M$15,0,0,$B$8,1))=ER$14))   /   SUM(OFFSET($BO$15,0,0,$B$14,1)) + $B$18/($B$19*$B$19*($DN352&lt;&gt;$DO352) + $B$19*($DN352=$DO352))</f>
        <v>3.7037037037037035E-4</v>
      </c>
      <c r="ES352" s="10" cm="1">
        <f t="array" aca="1" ref="ES352" ca="1">(1-$B$18)*SUMPRODUCT(OFFSET($BO$15,0,0,$B$14,1), 1*(_xlfn._xlws.FILTER(OFFSET($O$15,0,$DN352,$B$8,1),OFFSET($M$15,0,0,$B$8,1))=ES$13), 1*(_xlfn._xlws.FILTER(OFFSET($O$15,0,$DO352,$B$8,1),OFFSET($M$15,0,0,$B$8,1))=ES$14))   /   SUM(OFFSET($BO$15,0,0,$B$14,1)) + $B$18/($B$19*$B$19*($DN352&lt;&gt;$DO352) + $B$19*($DN352=$DO352))</f>
        <v>3.7037037037037035E-4</v>
      </c>
      <c r="ET352" s="10" cm="1">
        <f t="array" aca="1" ref="ET352" ca="1">(1-$B$18)*SUMPRODUCT(OFFSET($BO$15,0,0,$B$14,1), 1*(_xlfn._xlws.FILTER(OFFSET($O$15,0,$DN352,$B$8,1),OFFSET($M$15,0,0,$B$8,1))=ET$13), 1*(_xlfn._xlws.FILTER(OFFSET($O$15,0,$DO352,$B$8,1),OFFSET($M$15,0,0,$B$8,1))=ET$14))   /   SUM(OFFSET($BO$15,0,0,$B$14,1)) + $B$18/($B$19*$B$19*($DN352&lt;&gt;$DO352) + $B$19*($DN352=$DO352))</f>
        <v>3.7037037037037035E-4</v>
      </c>
      <c r="EU352" s="10" cm="1">
        <f t="array" aca="1" ref="EU352" ca="1">(1-$B$18)*SUMPRODUCT(OFFSET($BO$15,0,0,$B$14,1), 1*(_xlfn._xlws.FILTER(OFFSET($O$15,0,$DN352,$B$8,1),OFFSET($M$15,0,0,$B$8,1))=EU$13), 1*(_xlfn._xlws.FILTER(OFFSET($O$15,0,$DO352,$B$8,1),OFFSET($M$15,0,0,$B$8,1))=EU$14))   /   SUM(OFFSET($BO$15,0,0,$B$14,1)) + $B$18/($B$19*$B$19*($DN352&lt;&gt;$DO352) + $B$19*($DN352=$DO352))</f>
        <v>3.7037037037037035E-4</v>
      </c>
      <c r="EV352" s="10" cm="1">
        <f t="array" aca="1" ref="EV352" ca="1">(1-$B$18)*SUMPRODUCT(OFFSET($BO$15,0,0,$B$14,1), 1*(_xlfn._xlws.FILTER(OFFSET($O$15,0,$DN352,$B$8,1),OFFSET($M$15,0,0,$B$8,1))=EV$13), 1*(_xlfn._xlws.FILTER(OFFSET($O$15,0,$DO352,$B$8,1),OFFSET($M$15,0,0,$B$8,1))=EV$14))   /   SUM(OFFSET($BO$15,0,0,$B$14,1)) + $B$18/($B$19*$B$19*($DN352&lt;&gt;$DO352) + $B$19*($DN352=$DO352))</f>
        <v>3.7037037037037035E-4</v>
      </c>
      <c r="EW352" s="10" cm="1">
        <f t="array" aca="1" ref="EW352" ca="1">(1-$B$18)*SUMPRODUCT(OFFSET($BO$15,0,0,$B$14,1), 1*(_xlfn._xlws.FILTER(OFFSET($O$15,0,$DN352,$B$8,1),OFFSET($M$15,0,0,$B$8,1))=EW$13), 1*(_xlfn._xlws.FILTER(OFFSET($O$15,0,$DO352,$B$8,1),OFFSET($M$15,0,0,$B$8,1))=EW$14))   /   SUM(OFFSET($BO$15,0,0,$B$14,1)) + $B$18/($B$19*$B$19*($DN352&lt;&gt;$DO352) + $B$19*($DN352=$DO352))</f>
        <v>3.7037037037037035E-4</v>
      </c>
      <c r="EX352" s="10" cm="1">
        <f t="array" aca="1" ref="EX352" ca="1">(1-$B$18)*SUMPRODUCT(OFFSET($BO$15,0,0,$B$14,1), 1*(_xlfn._xlws.FILTER(OFFSET($O$15,0,$DN352,$B$8,1),OFFSET($M$15,0,0,$B$8,1))=EX$13), 1*(_xlfn._xlws.FILTER(OFFSET($O$15,0,$DO352,$B$8,1),OFFSET($M$15,0,0,$B$8,1))=EX$14))   /   SUM(OFFSET($BO$15,0,0,$B$14,1)) + $B$18/($B$19*$B$19*($DN352&lt;&gt;$DO352) + $B$19*($DN352=$DO352))</f>
        <v>0.24287037037037024</v>
      </c>
      <c r="EY352" s="10" cm="1">
        <f t="array" aca="1" ref="EY352" ca="1">(1-$B$18)*SUMPRODUCT(OFFSET($BO$15,0,0,$B$14,1), 1*(_xlfn._xlws.FILTER(OFFSET($O$15,0,$DN352,$B$8,1),OFFSET($M$15,0,0,$B$8,1))=EY$13), 1*(_xlfn._xlws.FILTER(OFFSET($O$15,0,$DO352,$B$8,1),OFFSET($M$15,0,0,$B$8,1))=EY$14))   /   SUM(OFFSET($BO$15,0,0,$B$14,1)) + $B$18/($B$19*$B$19*($DN352&lt;&gt;$DO352) + $B$19*($DN352=$DO352))</f>
        <v>3.7037037037037035E-4</v>
      </c>
      <c r="EZ352" s="10" cm="1">
        <f t="array" aca="1" ref="EZ352" ca="1">(1-$B$18)*SUMPRODUCT(OFFSET($BO$15,0,0,$B$14,1), 1*(_xlfn._xlws.FILTER(OFFSET($O$15,0,$DN352,$B$8,1),OFFSET($M$15,0,0,$B$8,1))=EZ$13), 1*(_xlfn._xlws.FILTER(OFFSET($O$15,0,$DO352,$B$8,1),OFFSET($M$15,0,0,$B$8,1))=EZ$14))   /   SUM(OFFSET($BO$15,0,0,$B$14,1)) + $B$18/($B$19*$B$19*($DN352&lt;&gt;$DO352) + $B$19*($DN352=$DO352))</f>
        <v>3.7037037037037035E-4</v>
      </c>
      <c r="FA352" s="10" cm="1">
        <f t="array" aca="1" ref="FA352" ca="1">(1-$B$18)*SUMPRODUCT(OFFSET($BO$15,0,0,$B$14,1), 1*(_xlfn._xlws.FILTER(OFFSET($O$15,0,$DN352,$B$8,1),OFFSET($M$15,0,0,$B$8,1))=FA$13), 1*(_xlfn._xlws.FILTER(OFFSET($O$15,0,$DO352,$B$8,1),OFFSET($M$15,0,0,$B$8,1))=FA$14))   /   SUM(OFFSET($BO$15,0,0,$B$14,1)) + $B$18/($B$19*$B$19*($DN352&lt;&gt;$DO352) + $B$19*($DN352=$DO352))</f>
        <v>3.7037037037037035E-4</v>
      </c>
      <c r="FB352" s="10" cm="1">
        <f t="array" aca="1" ref="FB352" ca="1">(1-$B$18)*SUMPRODUCT(OFFSET($BO$15,0,0,$B$14,1), 1*(_xlfn._xlws.FILTER(OFFSET($O$15,0,$DN352,$B$8,1),OFFSET($M$15,0,0,$B$8,1))=FB$13), 1*(_xlfn._xlws.FILTER(OFFSET($O$15,0,$DO352,$B$8,1),OFFSET($M$15,0,0,$B$8,1))=FB$14))   /   SUM(OFFSET($BO$15,0,0,$B$14,1)) + $B$18/($B$19*$B$19*($DN352&lt;&gt;$DO352) + $B$19*($DN352=$DO352))</f>
        <v>3.7037037037037035E-4</v>
      </c>
      <c r="FC352" s="10" cm="1">
        <f t="array" aca="1" ref="FC352" ca="1">(1-$B$18)*SUMPRODUCT(OFFSET($BO$15,0,0,$B$14,1), 1*(_xlfn._xlws.FILTER(OFFSET($O$15,0,$DN352,$B$8,1),OFFSET($M$15,0,0,$B$8,1))=FC$13), 1*(_xlfn._xlws.FILTER(OFFSET($O$15,0,$DO352,$B$8,1),OFFSET($M$15,0,0,$B$8,1))=FC$14))   /   SUM(OFFSET($BO$15,0,0,$B$14,1)) + $B$18/($B$19*$B$19*($DN352&lt;&gt;$DO352) + $B$19*($DN352=$DO352))</f>
        <v>3.7037037037037035E-4</v>
      </c>
      <c r="FD352" s="10" cm="1">
        <f t="array" aca="1" ref="FD352" ca="1">(1-$B$18)*SUMPRODUCT(OFFSET($BO$15,0,0,$B$14,1), 1*(_xlfn._xlws.FILTER(OFFSET($O$15,0,$DN352,$B$8,1),OFFSET($M$15,0,0,$B$8,1))=FD$13), 1*(_xlfn._xlws.FILTER(OFFSET($O$15,0,$DO352,$B$8,1),OFFSET($M$15,0,0,$B$8,1))=FD$14))   /   SUM(OFFSET($BO$15,0,0,$B$14,1)) + $B$18/($B$19*$B$19*($DN352&lt;&gt;$DO352) + $B$19*($DN352=$DO352))</f>
        <v>3.7037037037037035E-4</v>
      </c>
      <c r="FE352" s="10" cm="1">
        <f t="array" aca="1" ref="FE352" ca="1">(1-$B$18)*SUMPRODUCT(OFFSET($BO$15,0,0,$B$14,1), 1*(_xlfn._xlws.FILTER(OFFSET($O$15,0,$DN352,$B$8,1),OFFSET($M$15,0,0,$B$8,1))=FE$13), 1*(_xlfn._xlws.FILTER(OFFSET($O$15,0,$DO352,$B$8,1),OFFSET($M$15,0,0,$B$8,1))=FE$14))   /   SUM(OFFSET($BO$15,0,0,$B$14,1)) + $B$18/($B$19*$B$19*($DN352&lt;&gt;$DO352) + $B$19*($DN352=$DO352))</f>
        <v>3.7037037037037035E-4</v>
      </c>
      <c r="FF352" s="10" cm="1">
        <f t="array" aca="1" ref="FF352" ca="1">(1-$B$18)*SUMPRODUCT(OFFSET($BO$15,0,0,$B$14,1), 1*(_xlfn._xlws.FILTER(OFFSET($O$15,0,$DN352,$B$8,1),OFFSET($M$15,0,0,$B$8,1))=FF$13), 1*(_xlfn._xlws.FILTER(OFFSET($O$15,0,$DO352,$B$8,1),OFFSET($M$15,0,0,$B$8,1))=FF$14))   /   SUM(OFFSET($BO$15,0,0,$B$14,1)) + $B$18/($B$19*$B$19*($DN352&lt;&gt;$DO352) + $B$19*($DN352=$DO352))</f>
        <v>0.24287037037037026</v>
      </c>
      <c r="FG352" s="10" cm="1">
        <f t="array" aca="1" ref="FG352" ca="1">(1-$B$18)*SUMPRODUCT(OFFSET($BO$15,0,0,$B$14,1), 1*(_xlfn._xlws.FILTER(OFFSET($O$15,0,$DN352,$B$8,1),OFFSET($M$15,0,0,$B$8,1))=FG$13), 1*(_xlfn._xlws.FILTER(OFFSET($O$15,0,$DO352,$B$8,1),OFFSET($M$15,0,0,$B$8,1))=FG$14))   /   SUM(OFFSET($BO$15,0,0,$B$14,1)) + $B$18/($B$19*$B$19*($DN352&lt;&gt;$DO352) + $B$19*($DN352=$DO352))</f>
        <v>3.7037037037037035E-4</v>
      </c>
      <c r="FH352" s="10" cm="1">
        <f t="array" aca="1" ref="FH352" ca="1">(1-$B$18)*SUMPRODUCT(OFFSET($BO$15,0,0,$B$14,1), 1*(_xlfn._xlws.FILTER(OFFSET($O$15,0,$DN352,$B$8,1),OFFSET($M$15,0,0,$B$8,1))=FH$13), 1*(_xlfn._xlws.FILTER(OFFSET($O$15,0,$DO352,$B$8,1),OFFSET($M$15,0,0,$B$8,1))=FH$14))   /   SUM(OFFSET($BO$15,0,0,$B$14,1)) + $B$18/($B$19*$B$19*($DN352&lt;&gt;$DO352) + $B$19*($DN352=$DO352))</f>
        <v>3.7037037037037035E-4</v>
      </c>
      <c r="FI352" s="10" cm="1">
        <f t="array" aca="1" ref="FI352" ca="1">(1-$B$18)*SUMPRODUCT(OFFSET($BO$15,0,0,$B$14,1), 1*(_xlfn._xlws.FILTER(OFFSET($O$15,0,$DN352,$B$8,1),OFFSET($M$15,0,0,$B$8,1))=FI$13), 1*(_xlfn._xlws.FILTER(OFFSET($O$15,0,$DO352,$B$8,1),OFFSET($M$15,0,0,$B$8,1))=FI$14))   /   SUM(OFFSET($BO$15,0,0,$B$14,1)) + $B$18/($B$19*$B$19*($DN352&lt;&gt;$DO352) + $B$19*($DN352=$DO352))</f>
        <v>3.7037037037037035E-4</v>
      </c>
      <c r="FJ352" s="10" cm="1">
        <f t="array" aca="1" ref="FJ352" ca="1">(1-$B$18)*SUMPRODUCT(OFFSET($BO$15,0,0,$B$14,1), 1*(_xlfn._xlws.FILTER(OFFSET($O$15,0,$DN352,$B$8,1),OFFSET($M$15,0,0,$B$8,1))=FJ$13), 1*(_xlfn._xlws.FILTER(OFFSET($O$15,0,$DO352,$B$8,1),OFFSET($M$15,0,0,$B$8,1))=FJ$14))   /   SUM(OFFSET($BO$15,0,0,$B$14,1)) + $B$18/($B$19*$B$19*($DN352&lt;&gt;$DO352) + $B$19*($DN352=$DO352))</f>
        <v>3.7037037037037035E-4</v>
      </c>
      <c r="FK352" s="10" cm="1">
        <f t="array" aca="1" ref="FK352" ca="1">(1-$B$18)*SUMPRODUCT(OFFSET($BO$15,0,0,$B$14,1), 1*(_xlfn._xlws.FILTER(OFFSET($O$15,0,$DN352,$B$8,1),OFFSET($M$15,0,0,$B$8,1))=FK$13), 1*(_xlfn._xlws.FILTER(OFFSET($O$15,0,$DO352,$B$8,1),OFFSET($M$15,0,0,$B$8,1))=FK$14))   /   SUM(OFFSET($BO$15,0,0,$B$14,1)) + $B$18/($B$19*$B$19*($DN352&lt;&gt;$DO352) + $B$19*($DN352=$DO352))</f>
        <v>3.7037037037037035E-4</v>
      </c>
      <c r="FL352" s="10" cm="1">
        <f t="array" aca="1" ref="FL352" ca="1">(1-$B$18)*SUMPRODUCT(OFFSET($BO$15,0,0,$B$14,1), 1*(_xlfn._xlws.FILTER(OFFSET($O$15,0,$DN352,$B$8,1),OFFSET($M$15,0,0,$B$8,1))=FL$13), 1*(_xlfn._xlws.FILTER(OFFSET($O$15,0,$DO352,$B$8,1),OFFSET($M$15,0,0,$B$8,1))=FL$14))   /   SUM(OFFSET($BO$15,0,0,$B$14,1)) + $B$18/($B$19*$B$19*($DN352&lt;&gt;$DO352) + $B$19*($DN352=$DO352))</f>
        <v>3.7037037037037035E-4</v>
      </c>
      <c r="FM352" s="10" cm="1">
        <f t="array" aca="1" ref="FM352" ca="1">(1-$B$18)*SUMPRODUCT(OFFSET($BO$15,0,0,$B$14,1), 1*(_xlfn._xlws.FILTER(OFFSET($O$15,0,$DN352,$B$8,1),OFFSET($M$15,0,0,$B$8,1))=FM$13), 1*(_xlfn._xlws.FILTER(OFFSET($O$15,0,$DO352,$B$8,1),OFFSET($M$15,0,0,$B$8,1))=FM$14))   /   SUM(OFFSET($BO$15,0,0,$B$14,1)) + $B$18/($B$19*$B$19*($DN352&lt;&gt;$DO352) + $B$19*($DN352=$DO352))</f>
        <v>3.7037037037037035E-4</v>
      </c>
      <c r="FN352" s="10" cm="1">
        <f t="array" aca="1" ref="FN352" ca="1">(1-$B$18)*SUMPRODUCT(OFFSET($BO$15,0,0,$B$14,1), 1*(_xlfn._xlws.FILTER(OFFSET($O$15,0,$DN352,$B$8,1),OFFSET($M$15,0,0,$B$8,1))=FN$13), 1*(_xlfn._xlws.FILTER(OFFSET($O$15,0,$DO352,$B$8,1),OFFSET($M$15,0,0,$B$8,1))=FN$14))   /   SUM(OFFSET($BO$15,0,0,$B$14,1)) + $B$18/($B$19*$B$19*($DN352&lt;&gt;$DO352) + $B$19*($DN352=$DO352))</f>
        <v>0.48537037037037012</v>
      </c>
      <c r="FO352" s="10" cm="1">
        <f t="array" aca="1" ref="FO352" ca="1">(1-$B$18)*SUMPRODUCT(OFFSET($BO$15,0,0,$B$14,1), 1*(_xlfn._xlws.FILTER(OFFSET($O$15,0,$DN352,$B$8,1),OFFSET($M$15,0,0,$B$8,1))=FO$13), 1*(_xlfn._xlws.FILTER(OFFSET($O$15,0,$DO352,$B$8,1),OFFSET($M$15,0,0,$B$8,1))=FO$14))   /   SUM(OFFSET($BO$15,0,0,$B$14,1)) + $B$18/($B$19*$B$19*($DN352&lt;&gt;$DO352) + $B$19*($DN352=$DO352))</f>
        <v>3.7037037037037035E-4</v>
      </c>
      <c r="FP352" s="10" cm="1">
        <f t="array" aca="1" ref="FP352" ca="1">(1-$B$18)*SUMPRODUCT(OFFSET($BO$15,0,0,$B$14,1), 1*(_xlfn._xlws.FILTER(OFFSET($O$15,0,$DN352,$B$8,1),OFFSET($M$15,0,0,$B$8,1))=FP$13), 1*(_xlfn._xlws.FILTER(OFFSET($O$15,0,$DO352,$B$8,1),OFFSET($M$15,0,0,$B$8,1))=FP$14))   /   SUM(OFFSET($BO$15,0,0,$B$14,1)) + $B$18/($B$19*$B$19*($DN352&lt;&gt;$DO352) + $B$19*($DN352=$DO352))</f>
        <v>3.7037037037037035E-4</v>
      </c>
      <c r="FQ352" s="10" cm="1">
        <f t="array" aca="1" ref="FQ352" ca="1">(1-$B$18)*SUMPRODUCT(OFFSET($BO$15,0,0,$B$14,1), 1*(_xlfn._xlws.FILTER(OFFSET($O$15,0,$DN352,$B$8,1),OFFSET($M$15,0,0,$B$8,1))=FQ$13), 1*(_xlfn._xlws.FILTER(OFFSET($O$15,0,$DO352,$B$8,1),OFFSET($M$15,0,0,$B$8,1))=FQ$14))   /   SUM(OFFSET($BO$15,0,0,$B$14,1)) + $B$18/($B$19*$B$19*($DN352&lt;&gt;$DO352) + $B$19*($DN352=$DO352))</f>
        <v>3.7037037037037035E-4</v>
      </c>
      <c r="FR352" s="10" cm="1">
        <f t="array" aca="1" ref="FR352" ca="1">(1-$B$18)*SUMPRODUCT(OFFSET($BO$15,0,0,$B$14,1), 1*(_xlfn._xlws.FILTER(OFFSET($O$15,0,$DN352,$B$8,1),OFFSET($M$15,0,0,$B$8,1))=FR$13), 1*(_xlfn._xlws.FILTER(OFFSET($O$15,0,$DO352,$B$8,1),OFFSET($M$15,0,0,$B$8,1))=FR$14))   /   SUM(OFFSET($BO$15,0,0,$B$14,1)) + $B$18/($B$19*$B$19*($DN352&lt;&gt;$DO352) + $B$19*($DN352=$DO352))</f>
        <v>3.7037037037037035E-4</v>
      </c>
      <c r="FS352" s="10" cm="1">
        <f t="array" aca="1" ref="FS352" ca="1">(1-$B$18)*SUMPRODUCT(OFFSET($BO$15,0,0,$B$14,1), 1*(_xlfn._xlws.FILTER(OFFSET($O$15,0,$DN352,$B$8,1),OFFSET($M$15,0,0,$B$8,1))=FS$13), 1*(_xlfn._xlws.FILTER(OFFSET($O$15,0,$DO352,$B$8,1),OFFSET($M$15,0,0,$B$8,1))=FS$14))   /   SUM(OFFSET($BO$15,0,0,$B$14,1)) + $B$18/($B$19*$B$19*($DN352&lt;&gt;$DO352) + $B$19*($DN352=$DO352))</f>
        <v>3.7037037037037035E-4</v>
      </c>
      <c r="FT352" s="10" cm="1">
        <f t="array" aca="1" ref="FT352" ca="1">(1-$B$18)*SUMPRODUCT(OFFSET($BO$15,0,0,$B$14,1), 1*(_xlfn._xlws.FILTER(OFFSET($O$15,0,$DN352,$B$8,1),OFFSET($M$15,0,0,$B$8,1))=FT$13), 1*(_xlfn._xlws.FILTER(OFFSET($O$15,0,$DO352,$B$8,1),OFFSET($M$15,0,0,$B$8,1))=FT$14))   /   SUM(OFFSET($BO$15,0,0,$B$14,1)) + $B$18/($B$19*$B$19*($DN352&lt;&gt;$DO352) + $B$19*($DN352=$DO352))</f>
        <v>3.7037037037037035E-4</v>
      </c>
      <c r="FU352" s="10" cm="1">
        <f t="array" aca="1" ref="FU352" ca="1">(1-$B$18)*SUMPRODUCT(OFFSET($BO$15,0,0,$B$14,1), 1*(_xlfn._xlws.FILTER(OFFSET($O$15,0,$DN352,$B$8,1),OFFSET($M$15,0,0,$B$8,1))=FU$13), 1*(_xlfn._xlws.FILTER(OFFSET($O$15,0,$DO352,$B$8,1),OFFSET($M$15,0,0,$B$8,1))=FU$14))   /   SUM(OFFSET($BO$15,0,0,$B$14,1)) + $B$18/($B$19*$B$19*($DN352&lt;&gt;$DO352) + $B$19*($DN352=$DO352))</f>
        <v>3.7037037037037035E-4</v>
      </c>
      <c r="FV352" s="10" cm="1">
        <f t="array" aca="1" ref="FV352" ca="1">(1-$B$18)*SUMPRODUCT(OFFSET($BO$15,0,0,$B$14,1), 1*(_xlfn._xlws.FILTER(OFFSET($O$15,0,$DN352,$B$8,1),OFFSET($M$15,0,0,$B$8,1))=FV$13), 1*(_xlfn._xlws.FILTER(OFFSET($O$15,0,$DO352,$B$8,1),OFFSET($M$15,0,0,$B$8,1))=FV$14))   /   SUM(OFFSET($BO$15,0,0,$B$14,1)) + $B$18/($B$19*$B$19*($DN352&lt;&gt;$DO352) + $B$19*($DN352=$DO352))</f>
        <v>3.7037037037037035E-4</v>
      </c>
      <c r="FW352" s="10" cm="1">
        <f t="array" aca="1" ref="FW352" ca="1">(1-$B$18)*SUMPRODUCT(OFFSET($BO$15,0,0,$B$14,1), 1*(_xlfn._xlws.FILTER(OFFSET($O$15,0,$DN352,$B$8,1),OFFSET($M$15,0,0,$B$8,1))=FW$13), 1*(_xlfn._xlws.FILTER(OFFSET($O$15,0,$DO352,$B$8,1),OFFSET($M$15,0,0,$B$8,1))=FW$14))   /   SUM(OFFSET($BO$15,0,0,$B$14,1)) + $B$18/($B$19*$B$19*($DN352&lt;&gt;$DO352) + $B$19*($DN352=$DO352))</f>
        <v>3.7037037037037035E-4</v>
      </c>
      <c r="FX352" s="10" cm="1">
        <f t="array" aca="1" ref="FX352" ca="1">(1-$B$18)*SUMPRODUCT(OFFSET($BO$15,0,0,$B$14,1), 1*(_xlfn._xlws.FILTER(OFFSET($O$15,0,$DN352,$B$8,1),OFFSET($M$15,0,0,$B$8,1))=FX$13), 1*(_xlfn._xlws.FILTER(OFFSET($O$15,0,$DO352,$B$8,1),OFFSET($M$15,0,0,$B$8,1))=FX$14))   /   SUM(OFFSET($BO$15,0,0,$B$14,1)) + $B$18/($B$19*$B$19*($DN352&lt;&gt;$DO352) + $B$19*($DN352=$DO352))</f>
        <v>3.7037037037037035E-4</v>
      </c>
      <c r="FY352" s="10" cm="1">
        <f t="array" aca="1" ref="FY352" ca="1">(1-$B$18)*SUMPRODUCT(OFFSET($BO$15,0,0,$B$14,1), 1*(_xlfn._xlws.FILTER(OFFSET($O$15,0,$DN352,$B$8,1),OFFSET($M$15,0,0,$B$8,1))=FY$13), 1*(_xlfn._xlws.FILTER(OFFSET($O$15,0,$DO352,$B$8,1),OFFSET($M$15,0,0,$B$8,1))=FY$14))   /   SUM(OFFSET($BO$15,0,0,$B$14,1)) + $B$18/($B$19*$B$19*($DN352&lt;&gt;$DO352) + $B$19*($DN352=$DO352))</f>
        <v>3.7037037037037035E-4</v>
      </c>
      <c r="FZ352" s="10" cm="1">
        <f t="array" aca="1" ref="FZ352" ca="1">(1-$B$18)*SUMPRODUCT(OFFSET($BO$15,0,0,$B$14,1), 1*(_xlfn._xlws.FILTER(OFFSET($O$15,0,$DN352,$B$8,1),OFFSET($M$15,0,0,$B$8,1))=FZ$13), 1*(_xlfn._xlws.FILTER(OFFSET($O$15,0,$DO352,$B$8,1),OFFSET($M$15,0,0,$B$8,1))=FZ$14))   /   SUM(OFFSET($BO$15,0,0,$B$14,1)) + $B$18/($B$19*$B$19*($DN352&lt;&gt;$DO352) + $B$19*($DN352=$DO352))</f>
        <v>3.7037037037037035E-4</v>
      </c>
      <c r="GA352" s="10" cm="1">
        <f t="array" aca="1" ref="GA352" ca="1">(1-$B$18)*SUMPRODUCT(OFFSET($BO$15,0,0,$B$14,1), 1*(_xlfn._xlws.FILTER(OFFSET($O$15,0,$DN352,$B$8,1),OFFSET($M$15,0,0,$B$8,1))=GA$13), 1*(_xlfn._xlws.FILTER(OFFSET($O$15,0,$DO352,$B$8,1),OFFSET($M$15,0,0,$B$8,1))=GA$14))   /   SUM(OFFSET($BO$15,0,0,$B$14,1)) + $B$18/($B$19*$B$19*($DN352&lt;&gt;$DO352) + $B$19*($DN352=$DO352))</f>
        <v>3.7037037037037035E-4</v>
      </c>
    </row>
    <row r="353" spans="118:183" x14ac:dyDescent="0.2">
      <c r="DN353" cm="1">
        <f t="array" aca="1" ref="DN353" ca="1">INDEX(_xlfn.ANCHORARRAY($CP$15), 1 + INT((ROWS($DO$15:$DO353) - 1) / ROWS(_xlfn.ANCHORARRAY($CP$15))))</f>
        <v>20</v>
      </c>
      <c r="DO353" cm="1">
        <f t="array" aca="1" ref="DO353" ca="1">INDEX(_xlfn.ANCHORARRAY($CP$15),1+MOD(ROWS($DO$15:$DO353)-1,ROWS(_xlfn.ANCHORARRAY($CP$15))))</f>
        <v>18</v>
      </c>
      <c r="DP353" s="10" cm="1">
        <f t="array" aca="1" ref="DP353" ca="1">(1-$B$18)*SUMPRODUCT(OFFSET($BO$15,0,0,$B$14,1), 1*(_xlfn._xlws.FILTER(OFFSET($O$15,0,$DN353,$B$8,1),OFFSET($M$15,0,0,$B$8,1))=DP$13), 1*(_xlfn._xlws.FILTER(OFFSET($O$15,0,$DO353,$B$8,1),OFFSET($M$15,0,0,$B$8,1))=DP$14))   /   SUM(OFFSET($BO$15,0,0,$B$14,1)) + $B$18/($B$19*$B$19*($DN353&lt;&gt;$DO353) + $B$19*($DN353=$DO353))</f>
        <v>3.7037037037037035E-4</v>
      </c>
      <c r="DQ353" s="10" cm="1">
        <f t="array" aca="1" ref="DQ353" ca="1">(1-$B$18)*SUMPRODUCT(OFFSET($BO$15,0,0,$B$14,1), 1*(_xlfn._xlws.FILTER(OFFSET($O$15,0,$DN353,$B$8,1),OFFSET($M$15,0,0,$B$8,1))=DQ$13), 1*(_xlfn._xlws.FILTER(OFFSET($O$15,0,$DO353,$B$8,1),OFFSET($M$15,0,0,$B$8,1))=DQ$14))   /   SUM(OFFSET($BO$15,0,0,$B$14,1)) + $B$18/($B$19*$B$19*($DN353&lt;&gt;$DO353) + $B$19*($DN353=$DO353))</f>
        <v>3.7037037037037035E-4</v>
      </c>
      <c r="DR353" s="10" cm="1">
        <f t="array" aca="1" ref="DR353" ca="1">(1-$B$18)*SUMPRODUCT(OFFSET($BO$15,0,0,$B$14,1), 1*(_xlfn._xlws.FILTER(OFFSET($O$15,0,$DN353,$B$8,1),OFFSET($M$15,0,0,$B$8,1))=DR$13), 1*(_xlfn._xlws.FILTER(OFFSET($O$15,0,$DO353,$B$8,1),OFFSET($M$15,0,0,$B$8,1))=DR$14))   /   SUM(OFFSET($BO$15,0,0,$B$14,1)) + $B$18/($B$19*$B$19*($DN353&lt;&gt;$DO353) + $B$19*($DN353=$DO353))</f>
        <v>3.7037037037037035E-4</v>
      </c>
      <c r="DS353" s="10" cm="1">
        <f t="array" aca="1" ref="DS353" ca="1">(1-$B$18)*SUMPRODUCT(OFFSET($BO$15,0,0,$B$14,1), 1*(_xlfn._xlws.FILTER(OFFSET($O$15,0,$DN353,$B$8,1),OFFSET($M$15,0,0,$B$8,1))=DS$13), 1*(_xlfn._xlws.FILTER(OFFSET($O$15,0,$DO353,$B$8,1),OFFSET($M$15,0,0,$B$8,1))=DS$14))   /   SUM(OFFSET($BO$15,0,0,$B$14,1)) + $B$18/($B$19*$B$19*($DN353&lt;&gt;$DO353) + $B$19*($DN353=$DO353))</f>
        <v>3.7037037037037035E-4</v>
      </c>
      <c r="DT353" s="10" cm="1">
        <f t="array" aca="1" ref="DT353" ca="1">(1-$B$18)*SUMPRODUCT(OFFSET($BO$15,0,0,$B$14,1), 1*(_xlfn._xlws.FILTER(OFFSET($O$15,0,$DN353,$B$8,1),OFFSET($M$15,0,0,$B$8,1))=DT$13), 1*(_xlfn._xlws.FILTER(OFFSET($O$15,0,$DO353,$B$8,1),OFFSET($M$15,0,0,$B$8,1))=DT$14))   /   SUM(OFFSET($BO$15,0,0,$B$14,1)) + $B$18/($B$19*$B$19*($DN353&lt;&gt;$DO353) + $B$19*($DN353=$DO353))</f>
        <v>3.7037037037037035E-4</v>
      </c>
      <c r="DU353" s="10" cm="1">
        <f t="array" aca="1" ref="DU353" ca="1">(1-$B$18)*SUMPRODUCT(OFFSET($BO$15,0,0,$B$14,1), 1*(_xlfn._xlws.FILTER(OFFSET($O$15,0,$DN353,$B$8,1),OFFSET($M$15,0,0,$B$8,1))=DU$13), 1*(_xlfn._xlws.FILTER(OFFSET($O$15,0,$DO353,$B$8,1),OFFSET($M$15,0,0,$B$8,1))=DU$14))   /   SUM(OFFSET($BO$15,0,0,$B$14,1)) + $B$18/($B$19*$B$19*($DN353&lt;&gt;$DO353) + $B$19*($DN353=$DO353))</f>
        <v>3.7037037037037035E-4</v>
      </c>
      <c r="DV353" s="10" cm="1">
        <f t="array" aca="1" ref="DV353" ca="1">(1-$B$18)*SUMPRODUCT(OFFSET($BO$15,0,0,$B$14,1), 1*(_xlfn._xlws.FILTER(OFFSET($O$15,0,$DN353,$B$8,1),OFFSET($M$15,0,0,$B$8,1))=DV$13), 1*(_xlfn._xlws.FILTER(OFFSET($O$15,0,$DO353,$B$8,1),OFFSET($M$15,0,0,$B$8,1))=DV$14))   /   SUM(OFFSET($BO$15,0,0,$B$14,1)) + $B$18/($B$19*$B$19*($DN353&lt;&gt;$DO353) + $B$19*($DN353=$DO353))</f>
        <v>3.7037037037037035E-4</v>
      </c>
      <c r="DW353" s="10" cm="1">
        <f t="array" aca="1" ref="DW353" ca="1">(1-$B$18)*SUMPRODUCT(OFFSET($BO$15,0,0,$B$14,1), 1*(_xlfn._xlws.FILTER(OFFSET($O$15,0,$DN353,$B$8,1),OFFSET($M$15,0,0,$B$8,1))=DW$13), 1*(_xlfn._xlws.FILTER(OFFSET($O$15,0,$DO353,$B$8,1),OFFSET($M$15,0,0,$B$8,1))=DW$14))   /   SUM(OFFSET($BO$15,0,0,$B$14,1)) + $B$18/($B$19*$B$19*($DN353&lt;&gt;$DO353) + $B$19*($DN353=$DO353))</f>
        <v>3.7037037037037035E-4</v>
      </c>
      <c r="DX353" s="10" cm="1">
        <f t="array" aca="1" ref="DX353" ca="1">(1-$B$18)*SUMPRODUCT(OFFSET($BO$15,0,0,$B$14,1), 1*(_xlfn._xlws.FILTER(OFFSET($O$15,0,$DN353,$B$8,1),OFFSET($M$15,0,0,$B$8,1))=DX$13), 1*(_xlfn._xlws.FILTER(OFFSET($O$15,0,$DO353,$B$8,1),OFFSET($M$15,0,0,$B$8,1))=DX$14))   /   SUM(OFFSET($BO$15,0,0,$B$14,1)) + $B$18/($B$19*$B$19*($DN353&lt;&gt;$DO353) + $B$19*($DN353=$DO353))</f>
        <v>3.7037037037037035E-4</v>
      </c>
      <c r="DY353" s="10" cm="1">
        <f t="array" aca="1" ref="DY353" ca="1">(1-$B$18)*SUMPRODUCT(OFFSET($BO$15,0,0,$B$14,1), 1*(_xlfn._xlws.FILTER(OFFSET($O$15,0,$DN353,$B$8,1),OFFSET($M$15,0,0,$B$8,1))=DY$13), 1*(_xlfn._xlws.FILTER(OFFSET($O$15,0,$DO353,$B$8,1),OFFSET($M$15,0,0,$B$8,1))=DY$14))   /   SUM(OFFSET($BO$15,0,0,$B$14,1)) + $B$18/($B$19*$B$19*($DN353&lt;&gt;$DO353) + $B$19*($DN353=$DO353))</f>
        <v>3.7037037037037035E-4</v>
      </c>
      <c r="DZ353" s="10" cm="1">
        <f t="array" aca="1" ref="DZ353" ca="1">(1-$B$18)*SUMPRODUCT(OFFSET($BO$15,0,0,$B$14,1), 1*(_xlfn._xlws.FILTER(OFFSET($O$15,0,$DN353,$B$8,1),OFFSET($M$15,0,0,$B$8,1))=DZ$13), 1*(_xlfn._xlws.FILTER(OFFSET($O$15,0,$DO353,$B$8,1),OFFSET($M$15,0,0,$B$8,1))=DZ$14))   /   SUM(OFFSET($BO$15,0,0,$B$14,1)) + $B$18/($B$19*$B$19*($DN353&lt;&gt;$DO353) + $B$19*($DN353=$DO353))</f>
        <v>3.7037037037037035E-4</v>
      </c>
      <c r="EA353" s="10" cm="1">
        <f t="array" aca="1" ref="EA353" ca="1">(1-$B$18)*SUMPRODUCT(OFFSET($BO$15,0,0,$B$14,1), 1*(_xlfn._xlws.FILTER(OFFSET($O$15,0,$DN353,$B$8,1),OFFSET($M$15,0,0,$B$8,1))=EA$13), 1*(_xlfn._xlws.FILTER(OFFSET($O$15,0,$DO353,$B$8,1),OFFSET($M$15,0,0,$B$8,1))=EA$14))   /   SUM(OFFSET($BO$15,0,0,$B$14,1)) + $B$18/($B$19*$B$19*($DN353&lt;&gt;$DO353) + $B$19*($DN353=$DO353))</f>
        <v>3.7037037037037035E-4</v>
      </c>
      <c r="EB353" s="10" cm="1">
        <f t="array" aca="1" ref="EB353" ca="1">(1-$B$18)*SUMPRODUCT(OFFSET($BO$15,0,0,$B$14,1), 1*(_xlfn._xlws.FILTER(OFFSET($O$15,0,$DN353,$B$8,1),OFFSET($M$15,0,0,$B$8,1))=EB$13), 1*(_xlfn._xlws.FILTER(OFFSET($O$15,0,$DO353,$B$8,1),OFFSET($M$15,0,0,$B$8,1))=EB$14))   /   SUM(OFFSET($BO$15,0,0,$B$14,1)) + $B$18/($B$19*$B$19*($DN353&lt;&gt;$DO353) + $B$19*($DN353=$DO353))</f>
        <v>3.7037037037037035E-4</v>
      </c>
      <c r="EC353" s="10" cm="1">
        <f t="array" aca="1" ref="EC353" ca="1">(1-$B$18)*SUMPRODUCT(OFFSET($BO$15,0,0,$B$14,1), 1*(_xlfn._xlws.FILTER(OFFSET($O$15,0,$DN353,$B$8,1),OFFSET($M$15,0,0,$B$8,1))=EC$13), 1*(_xlfn._xlws.FILTER(OFFSET($O$15,0,$DO353,$B$8,1),OFFSET($M$15,0,0,$B$8,1))=EC$14))   /   SUM(OFFSET($BO$15,0,0,$B$14,1)) + $B$18/($B$19*$B$19*($DN353&lt;&gt;$DO353) + $B$19*($DN353=$DO353))</f>
        <v>3.7037037037037035E-4</v>
      </c>
      <c r="ED353" s="10" cm="1">
        <f t="array" aca="1" ref="ED353" ca="1">(1-$B$18)*SUMPRODUCT(OFFSET($BO$15,0,0,$B$14,1), 1*(_xlfn._xlws.FILTER(OFFSET($O$15,0,$DN353,$B$8,1),OFFSET($M$15,0,0,$B$8,1))=ED$13), 1*(_xlfn._xlws.FILTER(OFFSET($O$15,0,$DO353,$B$8,1),OFFSET($M$15,0,0,$B$8,1))=ED$14))   /   SUM(OFFSET($BO$15,0,0,$B$14,1)) + $B$18/($B$19*$B$19*($DN353&lt;&gt;$DO353) + $B$19*($DN353=$DO353))</f>
        <v>3.7037037037037035E-4</v>
      </c>
      <c r="EE353" s="10" cm="1">
        <f t="array" aca="1" ref="EE353" ca="1">(1-$B$18)*SUMPRODUCT(OFFSET($BO$15,0,0,$B$14,1), 1*(_xlfn._xlws.FILTER(OFFSET($O$15,0,$DN353,$B$8,1),OFFSET($M$15,0,0,$B$8,1))=EE$13), 1*(_xlfn._xlws.FILTER(OFFSET($O$15,0,$DO353,$B$8,1),OFFSET($M$15,0,0,$B$8,1))=EE$14))   /   SUM(OFFSET($BO$15,0,0,$B$14,1)) + $B$18/($B$19*$B$19*($DN353&lt;&gt;$DO353) + $B$19*($DN353=$DO353))</f>
        <v>3.7037037037037035E-4</v>
      </c>
      <c r="EF353" s="10" cm="1">
        <f t="array" aca="1" ref="EF353" ca="1">(1-$B$18)*SUMPRODUCT(OFFSET($BO$15,0,0,$B$14,1), 1*(_xlfn._xlws.FILTER(OFFSET($O$15,0,$DN353,$B$8,1),OFFSET($M$15,0,0,$B$8,1))=EF$13), 1*(_xlfn._xlws.FILTER(OFFSET($O$15,0,$DO353,$B$8,1),OFFSET($M$15,0,0,$B$8,1))=EF$14))   /   SUM(OFFSET($BO$15,0,0,$B$14,1)) + $B$18/($B$19*$B$19*($DN353&lt;&gt;$DO353) + $B$19*($DN353=$DO353))</f>
        <v>3.7037037037037035E-4</v>
      </c>
      <c r="EG353" s="10" cm="1">
        <f t="array" aca="1" ref="EG353" ca="1">(1-$B$18)*SUMPRODUCT(OFFSET($BO$15,0,0,$B$14,1), 1*(_xlfn._xlws.FILTER(OFFSET($O$15,0,$DN353,$B$8,1),OFFSET($M$15,0,0,$B$8,1))=EG$13), 1*(_xlfn._xlws.FILTER(OFFSET($O$15,0,$DO353,$B$8,1),OFFSET($M$15,0,0,$B$8,1))=EG$14))   /   SUM(OFFSET($BO$15,0,0,$B$14,1)) + $B$18/($B$19*$B$19*($DN353&lt;&gt;$DO353) + $B$19*($DN353=$DO353))</f>
        <v>3.7037037037037035E-4</v>
      </c>
      <c r="EH353" s="10" cm="1">
        <f t="array" aca="1" ref="EH353" ca="1">(1-$B$18)*SUMPRODUCT(OFFSET($BO$15,0,0,$B$14,1), 1*(_xlfn._xlws.FILTER(OFFSET($O$15,0,$DN353,$B$8,1),OFFSET($M$15,0,0,$B$8,1))=EH$13), 1*(_xlfn._xlws.FILTER(OFFSET($O$15,0,$DO353,$B$8,1),OFFSET($M$15,0,0,$B$8,1))=EH$14))   /   SUM(OFFSET($BO$15,0,0,$B$14,1)) + $B$18/($B$19*$B$19*($DN353&lt;&gt;$DO353) + $B$19*($DN353=$DO353))</f>
        <v>3.7037037037037035E-4</v>
      </c>
      <c r="EI353" s="10" cm="1">
        <f t="array" aca="1" ref="EI353" ca="1">(1-$B$18)*SUMPRODUCT(OFFSET($BO$15,0,0,$B$14,1), 1*(_xlfn._xlws.FILTER(OFFSET($O$15,0,$DN353,$B$8,1),OFFSET($M$15,0,0,$B$8,1))=EI$13), 1*(_xlfn._xlws.FILTER(OFFSET($O$15,0,$DO353,$B$8,1),OFFSET($M$15,0,0,$B$8,1))=EI$14))   /   SUM(OFFSET($BO$15,0,0,$B$14,1)) + $B$18/($B$19*$B$19*($DN353&lt;&gt;$DO353) + $B$19*($DN353=$DO353))</f>
        <v>3.7037037037037035E-4</v>
      </c>
      <c r="EJ353" s="10" cm="1">
        <f t="array" aca="1" ref="EJ353" ca="1">(1-$B$18)*SUMPRODUCT(OFFSET($BO$15,0,0,$B$14,1), 1*(_xlfn._xlws.FILTER(OFFSET($O$15,0,$DN353,$B$8,1),OFFSET($M$15,0,0,$B$8,1))=EJ$13), 1*(_xlfn._xlws.FILTER(OFFSET($O$15,0,$DO353,$B$8,1),OFFSET($M$15,0,0,$B$8,1))=EJ$14))   /   SUM(OFFSET($BO$15,0,0,$B$14,1)) + $B$18/($B$19*$B$19*($DN353&lt;&gt;$DO353) + $B$19*($DN353=$DO353))</f>
        <v>3.7037037037037035E-4</v>
      </c>
      <c r="EK353" s="10" cm="1">
        <f t="array" aca="1" ref="EK353" ca="1">(1-$B$18)*SUMPRODUCT(OFFSET($BO$15,0,0,$B$14,1), 1*(_xlfn._xlws.FILTER(OFFSET($O$15,0,$DN353,$B$8,1),OFFSET($M$15,0,0,$B$8,1))=EK$13), 1*(_xlfn._xlws.FILTER(OFFSET($O$15,0,$DO353,$B$8,1),OFFSET($M$15,0,0,$B$8,1))=EK$14))   /   SUM(OFFSET($BO$15,0,0,$B$14,1)) + $B$18/($B$19*$B$19*($DN353&lt;&gt;$DO353) + $B$19*($DN353=$DO353))</f>
        <v>3.7037037037037035E-4</v>
      </c>
      <c r="EL353" s="10" cm="1">
        <f t="array" aca="1" ref="EL353" ca="1">(1-$B$18)*SUMPRODUCT(OFFSET($BO$15,0,0,$B$14,1), 1*(_xlfn._xlws.FILTER(OFFSET($O$15,0,$DN353,$B$8,1),OFFSET($M$15,0,0,$B$8,1))=EL$13), 1*(_xlfn._xlws.FILTER(OFFSET($O$15,0,$DO353,$B$8,1),OFFSET($M$15,0,0,$B$8,1))=EL$14))   /   SUM(OFFSET($BO$15,0,0,$B$14,1)) + $B$18/($B$19*$B$19*($DN353&lt;&gt;$DO353) + $B$19*($DN353=$DO353))</f>
        <v>3.7037037037037035E-4</v>
      </c>
      <c r="EM353" s="10" cm="1">
        <f t="array" aca="1" ref="EM353" ca="1">(1-$B$18)*SUMPRODUCT(OFFSET($BO$15,0,0,$B$14,1), 1*(_xlfn._xlws.FILTER(OFFSET($O$15,0,$DN353,$B$8,1),OFFSET($M$15,0,0,$B$8,1))=EM$13), 1*(_xlfn._xlws.FILTER(OFFSET($O$15,0,$DO353,$B$8,1),OFFSET($M$15,0,0,$B$8,1))=EM$14))   /   SUM(OFFSET($BO$15,0,0,$B$14,1)) + $B$18/($B$19*$B$19*($DN353&lt;&gt;$DO353) + $B$19*($DN353=$DO353))</f>
        <v>3.7037037037037035E-4</v>
      </c>
      <c r="EN353" s="10" cm="1">
        <f t="array" aca="1" ref="EN353" ca="1">(1-$B$18)*SUMPRODUCT(OFFSET($BO$15,0,0,$B$14,1), 1*(_xlfn._xlws.FILTER(OFFSET($O$15,0,$DN353,$B$8,1),OFFSET($M$15,0,0,$B$8,1))=EN$13), 1*(_xlfn._xlws.FILTER(OFFSET($O$15,0,$DO353,$B$8,1),OFFSET($M$15,0,0,$B$8,1))=EN$14))   /   SUM(OFFSET($BO$15,0,0,$B$14,1)) + $B$18/($B$19*$B$19*($DN353&lt;&gt;$DO353) + $B$19*($DN353=$DO353))</f>
        <v>3.7037037037037035E-4</v>
      </c>
      <c r="EO353" s="10" cm="1">
        <f t="array" aca="1" ref="EO353" ca="1">(1-$B$18)*SUMPRODUCT(OFFSET($BO$15,0,0,$B$14,1), 1*(_xlfn._xlws.FILTER(OFFSET($O$15,0,$DN353,$B$8,1),OFFSET($M$15,0,0,$B$8,1))=EO$13), 1*(_xlfn._xlws.FILTER(OFFSET($O$15,0,$DO353,$B$8,1),OFFSET($M$15,0,0,$B$8,1))=EO$14))   /   SUM(OFFSET($BO$15,0,0,$B$14,1)) + $B$18/($B$19*$B$19*($DN353&lt;&gt;$DO353) + $B$19*($DN353=$DO353))</f>
        <v>3.7037037037037035E-4</v>
      </c>
      <c r="EP353" s="10" cm="1">
        <f t="array" aca="1" ref="EP353" ca="1">(1-$B$18)*SUMPRODUCT(OFFSET($BO$15,0,0,$B$14,1), 1*(_xlfn._xlws.FILTER(OFFSET($O$15,0,$DN353,$B$8,1),OFFSET($M$15,0,0,$B$8,1))=EP$13), 1*(_xlfn._xlws.FILTER(OFFSET($O$15,0,$DO353,$B$8,1),OFFSET($M$15,0,0,$B$8,1))=EP$14))   /   SUM(OFFSET($BO$15,0,0,$B$14,1)) + $B$18/($B$19*$B$19*($DN353&lt;&gt;$DO353) + $B$19*($DN353=$DO353))</f>
        <v>3.7037037037037035E-4</v>
      </c>
      <c r="EQ353" s="10" cm="1">
        <f t="array" aca="1" ref="EQ353" ca="1">(1-$B$18)*SUMPRODUCT(OFFSET($BO$15,0,0,$B$14,1), 1*(_xlfn._xlws.FILTER(OFFSET($O$15,0,$DN353,$B$8,1),OFFSET($M$15,0,0,$B$8,1))=EQ$13), 1*(_xlfn._xlws.FILTER(OFFSET($O$15,0,$DO353,$B$8,1),OFFSET($M$15,0,0,$B$8,1))=EQ$14))   /   SUM(OFFSET($BO$15,0,0,$B$14,1)) + $B$18/($B$19*$B$19*($DN353&lt;&gt;$DO353) + $B$19*($DN353=$DO353))</f>
        <v>3.7037037037037035E-4</v>
      </c>
      <c r="ER353" s="10" cm="1">
        <f t="array" aca="1" ref="ER353" ca="1">(1-$B$18)*SUMPRODUCT(OFFSET($BO$15,0,0,$B$14,1), 1*(_xlfn._xlws.FILTER(OFFSET($O$15,0,$DN353,$B$8,1),OFFSET($M$15,0,0,$B$8,1))=ER$13), 1*(_xlfn._xlws.FILTER(OFFSET($O$15,0,$DO353,$B$8,1),OFFSET($M$15,0,0,$B$8,1))=ER$14))   /   SUM(OFFSET($BO$15,0,0,$B$14,1)) + $B$18/($B$19*$B$19*($DN353&lt;&gt;$DO353) + $B$19*($DN353=$DO353))</f>
        <v>3.7037037037037035E-4</v>
      </c>
      <c r="ES353" s="10" cm="1">
        <f t="array" aca="1" ref="ES353" ca="1">(1-$B$18)*SUMPRODUCT(OFFSET($BO$15,0,0,$B$14,1), 1*(_xlfn._xlws.FILTER(OFFSET($O$15,0,$DN353,$B$8,1),OFFSET($M$15,0,0,$B$8,1))=ES$13), 1*(_xlfn._xlws.FILTER(OFFSET($O$15,0,$DO353,$B$8,1),OFFSET($M$15,0,0,$B$8,1))=ES$14))   /   SUM(OFFSET($BO$15,0,0,$B$14,1)) + $B$18/($B$19*$B$19*($DN353&lt;&gt;$DO353) + $B$19*($DN353=$DO353))</f>
        <v>3.7037037037037035E-4</v>
      </c>
      <c r="ET353" s="10" cm="1">
        <f t="array" aca="1" ref="ET353" ca="1">(1-$B$18)*SUMPRODUCT(OFFSET($BO$15,0,0,$B$14,1), 1*(_xlfn._xlws.FILTER(OFFSET($O$15,0,$DN353,$B$8,1),OFFSET($M$15,0,0,$B$8,1))=ET$13), 1*(_xlfn._xlws.FILTER(OFFSET($O$15,0,$DO353,$B$8,1),OFFSET($M$15,0,0,$B$8,1))=ET$14))   /   SUM(OFFSET($BO$15,0,0,$B$14,1)) + $B$18/($B$19*$B$19*($DN353&lt;&gt;$DO353) + $B$19*($DN353=$DO353))</f>
        <v>3.7037037037037035E-4</v>
      </c>
      <c r="EU353" s="10" cm="1">
        <f t="array" aca="1" ref="EU353" ca="1">(1-$B$18)*SUMPRODUCT(OFFSET($BO$15,0,0,$B$14,1), 1*(_xlfn._xlws.FILTER(OFFSET($O$15,0,$DN353,$B$8,1),OFFSET($M$15,0,0,$B$8,1))=EU$13), 1*(_xlfn._xlws.FILTER(OFFSET($O$15,0,$DO353,$B$8,1),OFFSET($M$15,0,0,$B$8,1))=EU$14))   /   SUM(OFFSET($BO$15,0,0,$B$14,1)) + $B$18/($B$19*$B$19*($DN353&lt;&gt;$DO353) + $B$19*($DN353=$DO353))</f>
        <v>3.7037037037037035E-4</v>
      </c>
      <c r="EV353" s="10" cm="1">
        <f t="array" aca="1" ref="EV353" ca="1">(1-$B$18)*SUMPRODUCT(OFFSET($BO$15,0,0,$B$14,1), 1*(_xlfn._xlws.FILTER(OFFSET($O$15,0,$DN353,$B$8,1),OFFSET($M$15,0,0,$B$8,1))=EV$13), 1*(_xlfn._xlws.FILTER(OFFSET($O$15,0,$DO353,$B$8,1),OFFSET($M$15,0,0,$B$8,1))=EV$14))   /   SUM(OFFSET($BO$15,0,0,$B$14,1)) + $B$18/($B$19*$B$19*($DN353&lt;&gt;$DO353) + $B$19*($DN353=$DO353))</f>
        <v>3.7037037037037035E-4</v>
      </c>
      <c r="EW353" s="10" cm="1">
        <f t="array" aca="1" ref="EW353" ca="1">(1-$B$18)*SUMPRODUCT(OFFSET($BO$15,0,0,$B$14,1), 1*(_xlfn._xlws.FILTER(OFFSET($O$15,0,$DN353,$B$8,1),OFFSET($M$15,0,0,$B$8,1))=EW$13), 1*(_xlfn._xlws.FILTER(OFFSET($O$15,0,$DO353,$B$8,1),OFFSET($M$15,0,0,$B$8,1))=EW$14))   /   SUM(OFFSET($BO$15,0,0,$B$14,1)) + $B$18/($B$19*$B$19*($DN353&lt;&gt;$DO353) + $B$19*($DN353=$DO353))</f>
        <v>3.7037037037037035E-4</v>
      </c>
      <c r="EX353" s="10" cm="1">
        <f t="array" aca="1" ref="EX353" ca="1">(1-$B$18)*SUMPRODUCT(OFFSET($BO$15,0,0,$B$14,1), 1*(_xlfn._xlws.FILTER(OFFSET($O$15,0,$DN353,$B$8,1),OFFSET($M$15,0,0,$B$8,1))=EX$13), 1*(_xlfn._xlws.FILTER(OFFSET($O$15,0,$DO353,$B$8,1),OFFSET($M$15,0,0,$B$8,1))=EX$14))   /   SUM(OFFSET($BO$15,0,0,$B$14,1)) + $B$18/($B$19*$B$19*($DN353&lt;&gt;$DO353) + $B$19*($DN353=$DO353))</f>
        <v>3.7037037037037035E-4</v>
      </c>
      <c r="EY353" s="10" cm="1">
        <f t="array" aca="1" ref="EY353" ca="1">(1-$B$18)*SUMPRODUCT(OFFSET($BO$15,0,0,$B$14,1), 1*(_xlfn._xlws.FILTER(OFFSET($O$15,0,$DN353,$B$8,1),OFFSET($M$15,0,0,$B$8,1))=EY$13), 1*(_xlfn._xlws.FILTER(OFFSET($O$15,0,$DO353,$B$8,1),OFFSET($M$15,0,0,$B$8,1))=EY$14))   /   SUM(OFFSET($BO$15,0,0,$B$14,1)) + $B$18/($B$19*$B$19*($DN353&lt;&gt;$DO353) + $B$19*($DN353=$DO353))</f>
        <v>0.24287037037037024</v>
      </c>
      <c r="EZ353" s="10" cm="1">
        <f t="array" aca="1" ref="EZ353" ca="1">(1-$B$18)*SUMPRODUCT(OFFSET($BO$15,0,0,$B$14,1), 1*(_xlfn._xlws.FILTER(OFFSET($O$15,0,$DN353,$B$8,1),OFFSET($M$15,0,0,$B$8,1))=EZ$13), 1*(_xlfn._xlws.FILTER(OFFSET($O$15,0,$DO353,$B$8,1),OFFSET($M$15,0,0,$B$8,1))=EZ$14))   /   SUM(OFFSET($BO$15,0,0,$B$14,1)) + $B$18/($B$19*$B$19*($DN353&lt;&gt;$DO353) + $B$19*($DN353=$DO353))</f>
        <v>3.7037037037037035E-4</v>
      </c>
      <c r="FA353" s="10" cm="1">
        <f t="array" aca="1" ref="FA353" ca="1">(1-$B$18)*SUMPRODUCT(OFFSET($BO$15,0,0,$B$14,1), 1*(_xlfn._xlws.FILTER(OFFSET($O$15,0,$DN353,$B$8,1),OFFSET($M$15,0,0,$B$8,1))=FA$13), 1*(_xlfn._xlws.FILTER(OFFSET($O$15,0,$DO353,$B$8,1),OFFSET($M$15,0,0,$B$8,1))=FA$14))   /   SUM(OFFSET($BO$15,0,0,$B$14,1)) + $B$18/($B$19*$B$19*($DN353&lt;&gt;$DO353) + $B$19*($DN353=$DO353))</f>
        <v>3.7037037037037035E-4</v>
      </c>
      <c r="FB353" s="10" cm="1">
        <f t="array" aca="1" ref="FB353" ca="1">(1-$B$18)*SUMPRODUCT(OFFSET($BO$15,0,0,$B$14,1), 1*(_xlfn._xlws.FILTER(OFFSET($O$15,0,$DN353,$B$8,1),OFFSET($M$15,0,0,$B$8,1))=FB$13), 1*(_xlfn._xlws.FILTER(OFFSET($O$15,0,$DO353,$B$8,1),OFFSET($M$15,0,0,$B$8,1))=FB$14))   /   SUM(OFFSET($BO$15,0,0,$B$14,1)) + $B$18/($B$19*$B$19*($DN353&lt;&gt;$DO353) + $B$19*($DN353=$DO353))</f>
        <v>3.7037037037037035E-4</v>
      </c>
      <c r="FC353" s="10" cm="1">
        <f t="array" aca="1" ref="FC353" ca="1">(1-$B$18)*SUMPRODUCT(OFFSET($BO$15,0,0,$B$14,1), 1*(_xlfn._xlws.FILTER(OFFSET($O$15,0,$DN353,$B$8,1),OFFSET($M$15,0,0,$B$8,1))=FC$13), 1*(_xlfn._xlws.FILTER(OFFSET($O$15,0,$DO353,$B$8,1),OFFSET($M$15,0,0,$B$8,1))=FC$14))   /   SUM(OFFSET($BO$15,0,0,$B$14,1)) + $B$18/($B$19*$B$19*($DN353&lt;&gt;$DO353) + $B$19*($DN353=$DO353))</f>
        <v>3.7037037037037035E-4</v>
      </c>
      <c r="FD353" s="10" cm="1">
        <f t="array" aca="1" ref="FD353" ca="1">(1-$B$18)*SUMPRODUCT(OFFSET($BO$15,0,0,$B$14,1), 1*(_xlfn._xlws.FILTER(OFFSET($O$15,0,$DN353,$B$8,1),OFFSET($M$15,0,0,$B$8,1))=FD$13), 1*(_xlfn._xlws.FILTER(OFFSET($O$15,0,$DO353,$B$8,1),OFFSET($M$15,0,0,$B$8,1))=FD$14))   /   SUM(OFFSET($BO$15,0,0,$B$14,1)) + $B$18/($B$19*$B$19*($DN353&lt;&gt;$DO353) + $B$19*($DN353=$DO353))</f>
        <v>3.7037037037037035E-4</v>
      </c>
      <c r="FE353" s="10" cm="1">
        <f t="array" aca="1" ref="FE353" ca="1">(1-$B$18)*SUMPRODUCT(OFFSET($BO$15,0,0,$B$14,1), 1*(_xlfn._xlws.FILTER(OFFSET($O$15,0,$DN353,$B$8,1),OFFSET($M$15,0,0,$B$8,1))=FE$13), 1*(_xlfn._xlws.FILTER(OFFSET($O$15,0,$DO353,$B$8,1),OFFSET($M$15,0,0,$B$8,1))=FE$14))   /   SUM(OFFSET($BO$15,0,0,$B$14,1)) + $B$18/($B$19*$B$19*($DN353&lt;&gt;$DO353) + $B$19*($DN353=$DO353))</f>
        <v>3.7037037037037035E-4</v>
      </c>
      <c r="FF353" s="10" cm="1">
        <f t="array" aca="1" ref="FF353" ca="1">(1-$B$18)*SUMPRODUCT(OFFSET($BO$15,0,0,$B$14,1), 1*(_xlfn._xlws.FILTER(OFFSET($O$15,0,$DN353,$B$8,1),OFFSET($M$15,0,0,$B$8,1))=FF$13), 1*(_xlfn._xlws.FILTER(OFFSET($O$15,0,$DO353,$B$8,1),OFFSET($M$15,0,0,$B$8,1))=FF$14))   /   SUM(OFFSET($BO$15,0,0,$B$14,1)) + $B$18/($B$19*$B$19*($DN353&lt;&gt;$DO353) + $B$19*($DN353=$DO353))</f>
        <v>3.7037037037037035E-4</v>
      </c>
      <c r="FG353" s="10" cm="1">
        <f t="array" aca="1" ref="FG353" ca="1">(1-$B$18)*SUMPRODUCT(OFFSET($BO$15,0,0,$B$14,1), 1*(_xlfn._xlws.FILTER(OFFSET($O$15,0,$DN353,$B$8,1),OFFSET($M$15,0,0,$B$8,1))=FG$13), 1*(_xlfn._xlws.FILTER(OFFSET($O$15,0,$DO353,$B$8,1),OFFSET($M$15,0,0,$B$8,1))=FG$14))   /   SUM(OFFSET($BO$15,0,0,$B$14,1)) + $B$18/($B$19*$B$19*($DN353&lt;&gt;$DO353) + $B$19*($DN353=$DO353))</f>
        <v>0.24287037037037026</v>
      </c>
      <c r="FH353" s="10" cm="1">
        <f t="array" aca="1" ref="FH353" ca="1">(1-$B$18)*SUMPRODUCT(OFFSET($BO$15,0,0,$B$14,1), 1*(_xlfn._xlws.FILTER(OFFSET($O$15,0,$DN353,$B$8,1),OFFSET($M$15,0,0,$B$8,1))=FH$13), 1*(_xlfn._xlws.FILTER(OFFSET($O$15,0,$DO353,$B$8,1),OFFSET($M$15,0,0,$B$8,1))=FH$14))   /   SUM(OFFSET($BO$15,0,0,$B$14,1)) + $B$18/($B$19*$B$19*($DN353&lt;&gt;$DO353) + $B$19*($DN353=$DO353))</f>
        <v>3.7037037037037035E-4</v>
      </c>
      <c r="FI353" s="10" cm="1">
        <f t="array" aca="1" ref="FI353" ca="1">(1-$B$18)*SUMPRODUCT(OFFSET($BO$15,0,0,$B$14,1), 1*(_xlfn._xlws.FILTER(OFFSET($O$15,0,$DN353,$B$8,1),OFFSET($M$15,0,0,$B$8,1))=FI$13), 1*(_xlfn._xlws.FILTER(OFFSET($O$15,0,$DO353,$B$8,1),OFFSET($M$15,0,0,$B$8,1))=FI$14))   /   SUM(OFFSET($BO$15,0,0,$B$14,1)) + $B$18/($B$19*$B$19*($DN353&lt;&gt;$DO353) + $B$19*($DN353=$DO353))</f>
        <v>3.7037037037037035E-4</v>
      </c>
      <c r="FJ353" s="10" cm="1">
        <f t="array" aca="1" ref="FJ353" ca="1">(1-$B$18)*SUMPRODUCT(OFFSET($BO$15,0,0,$B$14,1), 1*(_xlfn._xlws.FILTER(OFFSET($O$15,0,$DN353,$B$8,1),OFFSET($M$15,0,0,$B$8,1))=FJ$13), 1*(_xlfn._xlws.FILTER(OFFSET($O$15,0,$DO353,$B$8,1),OFFSET($M$15,0,0,$B$8,1))=FJ$14))   /   SUM(OFFSET($BO$15,0,0,$B$14,1)) + $B$18/($B$19*$B$19*($DN353&lt;&gt;$DO353) + $B$19*($DN353=$DO353))</f>
        <v>3.7037037037037035E-4</v>
      </c>
      <c r="FK353" s="10" cm="1">
        <f t="array" aca="1" ref="FK353" ca="1">(1-$B$18)*SUMPRODUCT(OFFSET($BO$15,0,0,$B$14,1), 1*(_xlfn._xlws.FILTER(OFFSET($O$15,0,$DN353,$B$8,1),OFFSET($M$15,0,0,$B$8,1))=FK$13), 1*(_xlfn._xlws.FILTER(OFFSET($O$15,0,$DO353,$B$8,1),OFFSET($M$15,0,0,$B$8,1))=FK$14))   /   SUM(OFFSET($BO$15,0,0,$B$14,1)) + $B$18/($B$19*$B$19*($DN353&lt;&gt;$DO353) + $B$19*($DN353=$DO353))</f>
        <v>3.7037037037037035E-4</v>
      </c>
      <c r="FL353" s="10" cm="1">
        <f t="array" aca="1" ref="FL353" ca="1">(1-$B$18)*SUMPRODUCT(OFFSET($BO$15,0,0,$B$14,1), 1*(_xlfn._xlws.FILTER(OFFSET($O$15,0,$DN353,$B$8,1),OFFSET($M$15,0,0,$B$8,1))=FL$13), 1*(_xlfn._xlws.FILTER(OFFSET($O$15,0,$DO353,$B$8,1),OFFSET($M$15,0,0,$B$8,1))=FL$14))   /   SUM(OFFSET($BO$15,0,0,$B$14,1)) + $B$18/($B$19*$B$19*($DN353&lt;&gt;$DO353) + $B$19*($DN353=$DO353))</f>
        <v>3.7037037037037035E-4</v>
      </c>
      <c r="FM353" s="10" cm="1">
        <f t="array" aca="1" ref="FM353" ca="1">(1-$B$18)*SUMPRODUCT(OFFSET($BO$15,0,0,$B$14,1), 1*(_xlfn._xlws.FILTER(OFFSET($O$15,0,$DN353,$B$8,1),OFFSET($M$15,0,0,$B$8,1))=FM$13), 1*(_xlfn._xlws.FILTER(OFFSET($O$15,0,$DO353,$B$8,1),OFFSET($M$15,0,0,$B$8,1))=FM$14))   /   SUM(OFFSET($BO$15,0,0,$B$14,1)) + $B$18/($B$19*$B$19*($DN353&lt;&gt;$DO353) + $B$19*($DN353=$DO353))</f>
        <v>3.7037037037037035E-4</v>
      </c>
      <c r="FN353" s="10" cm="1">
        <f t="array" aca="1" ref="FN353" ca="1">(1-$B$18)*SUMPRODUCT(OFFSET($BO$15,0,0,$B$14,1), 1*(_xlfn._xlws.FILTER(OFFSET($O$15,0,$DN353,$B$8,1),OFFSET($M$15,0,0,$B$8,1))=FN$13), 1*(_xlfn._xlws.FILTER(OFFSET($O$15,0,$DO353,$B$8,1),OFFSET($M$15,0,0,$B$8,1))=FN$14))   /   SUM(OFFSET($BO$15,0,0,$B$14,1)) + $B$18/($B$19*$B$19*($DN353&lt;&gt;$DO353) + $B$19*($DN353=$DO353))</f>
        <v>3.7037037037037035E-4</v>
      </c>
      <c r="FO353" s="10" cm="1">
        <f t="array" aca="1" ref="FO353" ca="1">(1-$B$18)*SUMPRODUCT(OFFSET($BO$15,0,0,$B$14,1), 1*(_xlfn._xlws.FILTER(OFFSET($O$15,0,$DN353,$B$8,1),OFFSET($M$15,0,0,$B$8,1))=FO$13), 1*(_xlfn._xlws.FILTER(OFFSET($O$15,0,$DO353,$B$8,1),OFFSET($M$15,0,0,$B$8,1))=FO$14))   /   SUM(OFFSET($BO$15,0,0,$B$14,1)) + $B$18/($B$19*$B$19*($DN353&lt;&gt;$DO353) + $B$19*($DN353=$DO353))</f>
        <v>0.48537037037037012</v>
      </c>
      <c r="FP353" s="10" cm="1">
        <f t="array" aca="1" ref="FP353" ca="1">(1-$B$18)*SUMPRODUCT(OFFSET($BO$15,0,0,$B$14,1), 1*(_xlfn._xlws.FILTER(OFFSET($O$15,0,$DN353,$B$8,1),OFFSET($M$15,0,0,$B$8,1))=FP$13), 1*(_xlfn._xlws.FILTER(OFFSET($O$15,0,$DO353,$B$8,1),OFFSET($M$15,0,0,$B$8,1))=FP$14))   /   SUM(OFFSET($BO$15,0,0,$B$14,1)) + $B$18/($B$19*$B$19*($DN353&lt;&gt;$DO353) + $B$19*($DN353=$DO353))</f>
        <v>3.7037037037037035E-4</v>
      </c>
      <c r="FQ353" s="10" cm="1">
        <f t="array" aca="1" ref="FQ353" ca="1">(1-$B$18)*SUMPRODUCT(OFFSET($BO$15,0,0,$B$14,1), 1*(_xlfn._xlws.FILTER(OFFSET($O$15,0,$DN353,$B$8,1),OFFSET($M$15,0,0,$B$8,1))=FQ$13), 1*(_xlfn._xlws.FILTER(OFFSET($O$15,0,$DO353,$B$8,1),OFFSET($M$15,0,0,$B$8,1))=FQ$14))   /   SUM(OFFSET($BO$15,0,0,$B$14,1)) + $B$18/($B$19*$B$19*($DN353&lt;&gt;$DO353) + $B$19*($DN353=$DO353))</f>
        <v>3.7037037037037035E-4</v>
      </c>
      <c r="FR353" s="10" cm="1">
        <f t="array" aca="1" ref="FR353" ca="1">(1-$B$18)*SUMPRODUCT(OFFSET($BO$15,0,0,$B$14,1), 1*(_xlfn._xlws.FILTER(OFFSET($O$15,0,$DN353,$B$8,1),OFFSET($M$15,0,0,$B$8,1))=FR$13), 1*(_xlfn._xlws.FILTER(OFFSET($O$15,0,$DO353,$B$8,1),OFFSET($M$15,0,0,$B$8,1))=FR$14))   /   SUM(OFFSET($BO$15,0,0,$B$14,1)) + $B$18/($B$19*$B$19*($DN353&lt;&gt;$DO353) + $B$19*($DN353=$DO353))</f>
        <v>3.7037037037037035E-4</v>
      </c>
      <c r="FS353" s="10" cm="1">
        <f t="array" aca="1" ref="FS353" ca="1">(1-$B$18)*SUMPRODUCT(OFFSET($BO$15,0,0,$B$14,1), 1*(_xlfn._xlws.FILTER(OFFSET($O$15,0,$DN353,$B$8,1),OFFSET($M$15,0,0,$B$8,1))=FS$13), 1*(_xlfn._xlws.FILTER(OFFSET($O$15,0,$DO353,$B$8,1),OFFSET($M$15,0,0,$B$8,1))=FS$14))   /   SUM(OFFSET($BO$15,0,0,$B$14,1)) + $B$18/($B$19*$B$19*($DN353&lt;&gt;$DO353) + $B$19*($DN353=$DO353))</f>
        <v>3.7037037037037035E-4</v>
      </c>
      <c r="FT353" s="10" cm="1">
        <f t="array" aca="1" ref="FT353" ca="1">(1-$B$18)*SUMPRODUCT(OFFSET($BO$15,0,0,$B$14,1), 1*(_xlfn._xlws.FILTER(OFFSET($O$15,0,$DN353,$B$8,1),OFFSET($M$15,0,0,$B$8,1))=FT$13), 1*(_xlfn._xlws.FILTER(OFFSET($O$15,0,$DO353,$B$8,1),OFFSET($M$15,0,0,$B$8,1))=FT$14))   /   SUM(OFFSET($BO$15,0,0,$B$14,1)) + $B$18/($B$19*$B$19*($DN353&lt;&gt;$DO353) + $B$19*($DN353=$DO353))</f>
        <v>3.7037037037037035E-4</v>
      </c>
      <c r="FU353" s="10" cm="1">
        <f t="array" aca="1" ref="FU353" ca="1">(1-$B$18)*SUMPRODUCT(OFFSET($BO$15,0,0,$B$14,1), 1*(_xlfn._xlws.FILTER(OFFSET($O$15,0,$DN353,$B$8,1),OFFSET($M$15,0,0,$B$8,1))=FU$13), 1*(_xlfn._xlws.FILTER(OFFSET($O$15,0,$DO353,$B$8,1),OFFSET($M$15,0,0,$B$8,1))=FU$14))   /   SUM(OFFSET($BO$15,0,0,$B$14,1)) + $B$18/($B$19*$B$19*($DN353&lt;&gt;$DO353) + $B$19*($DN353=$DO353))</f>
        <v>3.7037037037037035E-4</v>
      </c>
      <c r="FV353" s="10" cm="1">
        <f t="array" aca="1" ref="FV353" ca="1">(1-$B$18)*SUMPRODUCT(OFFSET($BO$15,0,0,$B$14,1), 1*(_xlfn._xlws.FILTER(OFFSET($O$15,0,$DN353,$B$8,1),OFFSET($M$15,0,0,$B$8,1))=FV$13), 1*(_xlfn._xlws.FILTER(OFFSET($O$15,0,$DO353,$B$8,1),OFFSET($M$15,0,0,$B$8,1))=FV$14))   /   SUM(OFFSET($BO$15,0,0,$B$14,1)) + $B$18/($B$19*$B$19*($DN353&lt;&gt;$DO353) + $B$19*($DN353=$DO353))</f>
        <v>3.7037037037037035E-4</v>
      </c>
      <c r="FW353" s="10" cm="1">
        <f t="array" aca="1" ref="FW353" ca="1">(1-$B$18)*SUMPRODUCT(OFFSET($BO$15,0,0,$B$14,1), 1*(_xlfn._xlws.FILTER(OFFSET($O$15,0,$DN353,$B$8,1),OFFSET($M$15,0,0,$B$8,1))=FW$13), 1*(_xlfn._xlws.FILTER(OFFSET($O$15,0,$DO353,$B$8,1),OFFSET($M$15,0,0,$B$8,1))=FW$14))   /   SUM(OFFSET($BO$15,0,0,$B$14,1)) + $B$18/($B$19*$B$19*($DN353&lt;&gt;$DO353) + $B$19*($DN353=$DO353))</f>
        <v>3.7037037037037035E-4</v>
      </c>
      <c r="FX353" s="10" cm="1">
        <f t="array" aca="1" ref="FX353" ca="1">(1-$B$18)*SUMPRODUCT(OFFSET($BO$15,0,0,$B$14,1), 1*(_xlfn._xlws.FILTER(OFFSET($O$15,0,$DN353,$B$8,1),OFFSET($M$15,0,0,$B$8,1))=FX$13), 1*(_xlfn._xlws.FILTER(OFFSET($O$15,0,$DO353,$B$8,1),OFFSET($M$15,0,0,$B$8,1))=FX$14))   /   SUM(OFFSET($BO$15,0,0,$B$14,1)) + $B$18/($B$19*$B$19*($DN353&lt;&gt;$DO353) + $B$19*($DN353=$DO353))</f>
        <v>3.7037037037037035E-4</v>
      </c>
      <c r="FY353" s="10" cm="1">
        <f t="array" aca="1" ref="FY353" ca="1">(1-$B$18)*SUMPRODUCT(OFFSET($BO$15,0,0,$B$14,1), 1*(_xlfn._xlws.FILTER(OFFSET($O$15,0,$DN353,$B$8,1),OFFSET($M$15,0,0,$B$8,1))=FY$13), 1*(_xlfn._xlws.FILTER(OFFSET($O$15,0,$DO353,$B$8,1),OFFSET($M$15,0,0,$B$8,1))=FY$14))   /   SUM(OFFSET($BO$15,0,0,$B$14,1)) + $B$18/($B$19*$B$19*($DN353&lt;&gt;$DO353) + $B$19*($DN353=$DO353))</f>
        <v>3.7037037037037035E-4</v>
      </c>
      <c r="FZ353" s="10" cm="1">
        <f t="array" aca="1" ref="FZ353" ca="1">(1-$B$18)*SUMPRODUCT(OFFSET($BO$15,0,0,$B$14,1), 1*(_xlfn._xlws.FILTER(OFFSET($O$15,0,$DN353,$B$8,1),OFFSET($M$15,0,0,$B$8,1))=FZ$13), 1*(_xlfn._xlws.FILTER(OFFSET($O$15,0,$DO353,$B$8,1),OFFSET($M$15,0,0,$B$8,1))=FZ$14))   /   SUM(OFFSET($BO$15,0,0,$B$14,1)) + $B$18/($B$19*$B$19*($DN353&lt;&gt;$DO353) + $B$19*($DN353=$DO353))</f>
        <v>3.7037037037037035E-4</v>
      </c>
      <c r="GA353" s="10" cm="1">
        <f t="array" aca="1" ref="GA353" ca="1">(1-$B$18)*SUMPRODUCT(OFFSET($BO$15,0,0,$B$14,1), 1*(_xlfn._xlws.FILTER(OFFSET($O$15,0,$DN353,$B$8,1),OFFSET($M$15,0,0,$B$8,1))=GA$13), 1*(_xlfn._xlws.FILTER(OFFSET($O$15,0,$DO353,$B$8,1),OFFSET($M$15,0,0,$B$8,1))=GA$14))   /   SUM(OFFSET($BO$15,0,0,$B$14,1)) + $B$18/($B$19*$B$19*($DN353&lt;&gt;$DO353) + $B$19*($DN353=$DO353))</f>
        <v>3.7037037037037035E-4</v>
      </c>
    </row>
    <row r="354" spans="118:183" x14ac:dyDescent="0.2">
      <c r="DN354" cm="1">
        <f t="array" aca="1" ref="DN354" ca="1">INDEX(_xlfn.ANCHORARRAY($CP$15), 1 + INT((ROWS($DO$15:$DO354) - 1) / ROWS(_xlfn.ANCHORARRAY($CP$15))))</f>
        <v>20</v>
      </c>
      <c r="DO354" cm="1">
        <f t="array" aca="1" ref="DO354" ca="1">INDEX(_xlfn.ANCHORARRAY($CP$15),1+MOD(ROWS($DO$15:$DO354)-1,ROWS(_xlfn.ANCHORARRAY($CP$15))))</f>
        <v>19</v>
      </c>
      <c r="DP354" s="10" cm="1">
        <f t="array" aca="1" ref="DP354" ca="1">(1-$B$18)*SUMPRODUCT(OFFSET($BO$15,0,0,$B$14,1), 1*(_xlfn._xlws.FILTER(OFFSET($O$15,0,$DN354,$B$8,1),OFFSET($M$15,0,0,$B$8,1))=DP$13), 1*(_xlfn._xlws.FILTER(OFFSET($O$15,0,$DO354,$B$8,1),OFFSET($M$15,0,0,$B$8,1))=DP$14))   /   SUM(OFFSET($BO$15,0,0,$B$14,1)) + $B$18/($B$19*$B$19*($DN354&lt;&gt;$DO354) + $B$19*($DN354=$DO354))</f>
        <v>3.7037037037037035E-4</v>
      </c>
      <c r="DQ354" s="10" cm="1">
        <f t="array" aca="1" ref="DQ354" ca="1">(1-$B$18)*SUMPRODUCT(OFFSET($BO$15,0,0,$B$14,1), 1*(_xlfn._xlws.FILTER(OFFSET($O$15,0,$DN354,$B$8,1),OFFSET($M$15,0,0,$B$8,1))=DQ$13), 1*(_xlfn._xlws.FILTER(OFFSET($O$15,0,$DO354,$B$8,1),OFFSET($M$15,0,0,$B$8,1))=DQ$14))   /   SUM(OFFSET($BO$15,0,0,$B$14,1)) + $B$18/($B$19*$B$19*($DN354&lt;&gt;$DO354) + $B$19*($DN354=$DO354))</f>
        <v>3.7037037037037035E-4</v>
      </c>
      <c r="DR354" s="10" cm="1">
        <f t="array" aca="1" ref="DR354" ca="1">(1-$B$18)*SUMPRODUCT(OFFSET($BO$15,0,0,$B$14,1), 1*(_xlfn._xlws.FILTER(OFFSET($O$15,0,$DN354,$B$8,1),OFFSET($M$15,0,0,$B$8,1))=DR$13), 1*(_xlfn._xlws.FILTER(OFFSET($O$15,0,$DO354,$B$8,1),OFFSET($M$15,0,0,$B$8,1))=DR$14))   /   SUM(OFFSET($BO$15,0,0,$B$14,1)) + $B$18/($B$19*$B$19*($DN354&lt;&gt;$DO354) + $B$19*($DN354=$DO354))</f>
        <v>3.7037037037037035E-4</v>
      </c>
      <c r="DS354" s="10" cm="1">
        <f t="array" aca="1" ref="DS354" ca="1">(1-$B$18)*SUMPRODUCT(OFFSET($BO$15,0,0,$B$14,1), 1*(_xlfn._xlws.FILTER(OFFSET($O$15,0,$DN354,$B$8,1),OFFSET($M$15,0,0,$B$8,1))=DS$13), 1*(_xlfn._xlws.FILTER(OFFSET($O$15,0,$DO354,$B$8,1),OFFSET($M$15,0,0,$B$8,1))=DS$14))   /   SUM(OFFSET($BO$15,0,0,$B$14,1)) + $B$18/($B$19*$B$19*($DN354&lt;&gt;$DO354) + $B$19*($DN354=$DO354))</f>
        <v>3.7037037037037035E-4</v>
      </c>
      <c r="DT354" s="10" cm="1">
        <f t="array" aca="1" ref="DT354" ca="1">(1-$B$18)*SUMPRODUCT(OFFSET($BO$15,0,0,$B$14,1), 1*(_xlfn._xlws.FILTER(OFFSET($O$15,0,$DN354,$B$8,1),OFFSET($M$15,0,0,$B$8,1))=DT$13), 1*(_xlfn._xlws.FILTER(OFFSET($O$15,0,$DO354,$B$8,1),OFFSET($M$15,0,0,$B$8,1))=DT$14))   /   SUM(OFFSET($BO$15,0,0,$B$14,1)) + $B$18/($B$19*$B$19*($DN354&lt;&gt;$DO354) + $B$19*($DN354=$DO354))</f>
        <v>3.7037037037037035E-4</v>
      </c>
      <c r="DU354" s="10" cm="1">
        <f t="array" aca="1" ref="DU354" ca="1">(1-$B$18)*SUMPRODUCT(OFFSET($BO$15,0,0,$B$14,1), 1*(_xlfn._xlws.FILTER(OFFSET($O$15,0,$DN354,$B$8,1),OFFSET($M$15,0,0,$B$8,1))=DU$13), 1*(_xlfn._xlws.FILTER(OFFSET($O$15,0,$DO354,$B$8,1),OFFSET($M$15,0,0,$B$8,1))=DU$14))   /   SUM(OFFSET($BO$15,0,0,$B$14,1)) + $B$18/($B$19*$B$19*($DN354&lt;&gt;$DO354) + $B$19*($DN354=$DO354))</f>
        <v>3.7037037037037035E-4</v>
      </c>
      <c r="DV354" s="10" cm="1">
        <f t="array" aca="1" ref="DV354" ca="1">(1-$B$18)*SUMPRODUCT(OFFSET($BO$15,0,0,$B$14,1), 1*(_xlfn._xlws.FILTER(OFFSET($O$15,0,$DN354,$B$8,1),OFFSET($M$15,0,0,$B$8,1))=DV$13), 1*(_xlfn._xlws.FILTER(OFFSET($O$15,0,$DO354,$B$8,1),OFFSET($M$15,0,0,$B$8,1))=DV$14))   /   SUM(OFFSET($BO$15,0,0,$B$14,1)) + $B$18/($B$19*$B$19*($DN354&lt;&gt;$DO354) + $B$19*($DN354=$DO354))</f>
        <v>3.7037037037037035E-4</v>
      </c>
      <c r="DW354" s="10" cm="1">
        <f t="array" aca="1" ref="DW354" ca="1">(1-$B$18)*SUMPRODUCT(OFFSET($BO$15,0,0,$B$14,1), 1*(_xlfn._xlws.FILTER(OFFSET($O$15,0,$DN354,$B$8,1),OFFSET($M$15,0,0,$B$8,1))=DW$13), 1*(_xlfn._xlws.FILTER(OFFSET($O$15,0,$DO354,$B$8,1),OFFSET($M$15,0,0,$B$8,1))=DW$14))   /   SUM(OFFSET($BO$15,0,0,$B$14,1)) + $B$18/($B$19*$B$19*($DN354&lt;&gt;$DO354) + $B$19*($DN354=$DO354))</f>
        <v>3.7037037037037035E-4</v>
      </c>
      <c r="DX354" s="10" cm="1">
        <f t="array" aca="1" ref="DX354" ca="1">(1-$B$18)*SUMPRODUCT(OFFSET($BO$15,0,0,$B$14,1), 1*(_xlfn._xlws.FILTER(OFFSET($O$15,0,$DN354,$B$8,1),OFFSET($M$15,0,0,$B$8,1))=DX$13), 1*(_xlfn._xlws.FILTER(OFFSET($O$15,0,$DO354,$B$8,1),OFFSET($M$15,0,0,$B$8,1))=DX$14))   /   SUM(OFFSET($BO$15,0,0,$B$14,1)) + $B$18/($B$19*$B$19*($DN354&lt;&gt;$DO354) + $B$19*($DN354=$DO354))</f>
        <v>3.7037037037037035E-4</v>
      </c>
      <c r="DY354" s="10" cm="1">
        <f t="array" aca="1" ref="DY354" ca="1">(1-$B$18)*SUMPRODUCT(OFFSET($BO$15,0,0,$B$14,1), 1*(_xlfn._xlws.FILTER(OFFSET($O$15,0,$DN354,$B$8,1),OFFSET($M$15,0,0,$B$8,1))=DY$13), 1*(_xlfn._xlws.FILTER(OFFSET($O$15,0,$DO354,$B$8,1),OFFSET($M$15,0,0,$B$8,1))=DY$14))   /   SUM(OFFSET($BO$15,0,0,$B$14,1)) + $B$18/($B$19*$B$19*($DN354&lt;&gt;$DO354) + $B$19*($DN354=$DO354))</f>
        <v>3.7037037037037035E-4</v>
      </c>
      <c r="DZ354" s="10" cm="1">
        <f t="array" aca="1" ref="DZ354" ca="1">(1-$B$18)*SUMPRODUCT(OFFSET($BO$15,0,0,$B$14,1), 1*(_xlfn._xlws.FILTER(OFFSET($O$15,0,$DN354,$B$8,1),OFFSET($M$15,0,0,$B$8,1))=DZ$13), 1*(_xlfn._xlws.FILTER(OFFSET($O$15,0,$DO354,$B$8,1),OFFSET($M$15,0,0,$B$8,1))=DZ$14))   /   SUM(OFFSET($BO$15,0,0,$B$14,1)) + $B$18/($B$19*$B$19*($DN354&lt;&gt;$DO354) + $B$19*($DN354=$DO354))</f>
        <v>3.7037037037037035E-4</v>
      </c>
      <c r="EA354" s="10" cm="1">
        <f t="array" aca="1" ref="EA354" ca="1">(1-$B$18)*SUMPRODUCT(OFFSET($BO$15,0,0,$B$14,1), 1*(_xlfn._xlws.FILTER(OFFSET($O$15,0,$DN354,$B$8,1),OFFSET($M$15,0,0,$B$8,1))=EA$13), 1*(_xlfn._xlws.FILTER(OFFSET($O$15,0,$DO354,$B$8,1),OFFSET($M$15,0,0,$B$8,1))=EA$14))   /   SUM(OFFSET($BO$15,0,0,$B$14,1)) + $B$18/($B$19*$B$19*($DN354&lt;&gt;$DO354) + $B$19*($DN354=$DO354))</f>
        <v>3.7037037037037035E-4</v>
      </c>
      <c r="EB354" s="10" cm="1">
        <f t="array" aca="1" ref="EB354" ca="1">(1-$B$18)*SUMPRODUCT(OFFSET($BO$15,0,0,$B$14,1), 1*(_xlfn._xlws.FILTER(OFFSET($O$15,0,$DN354,$B$8,1),OFFSET($M$15,0,0,$B$8,1))=EB$13), 1*(_xlfn._xlws.FILTER(OFFSET($O$15,0,$DO354,$B$8,1),OFFSET($M$15,0,0,$B$8,1))=EB$14))   /   SUM(OFFSET($BO$15,0,0,$B$14,1)) + $B$18/($B$19*$B$19*($DN354&lt;&gt;$DO354) + $B$19*($DN354=$DO354))</f>
        <v>3.7037037037037035E-4</v>
      </c>
      <c r="EC354" s="10" cm="1">
        <f t="array" aca="1" ref="EC354" ca="1">(1-$B$18)*SUMPRODUCT(OFFSET($BO$15,0,0,$B$14,1), 1*(_xlfn._xlws.FILTER(OFFSET($O$15,0,$DN354,$B$8,1),OFFSET($M$15,0,0,$B$8,1))=EC$13), 1*(_xlfn._xlws.FILTER(OFFSET($O$15,0,$DO354,$B$8,1),OFFSET($M$15,0,0,$B$8,1))=EC$14))   /   SUM(OFFSET($BO$15,0,0,$B$14,1)) + $B$18/($B$19*$B$19*($DN354&lt;&gt;$DO354) + $B$19*($DN354=$DO354))</f>
        <v>3.7037037037037035E-4</v>
      </c>
      <c r="ED354" s="10" cm="1">
        <f t="array" aca="1" ref="ED354" ca="1">(1-$B$18)*SUMPRODUCT(OFFSET($BO$15,0,0,$B$14,1), 1*(_xlfn._xlws.FILTER(OFFSET($O$15,0,$DN354,$B$8,1),OFFSET($M$15,0,0,$B$8,1))=ED$13), 1*(_xlfn._xlws.FILTER(OFFSET($O$15,0,$DO354,$B$8,1),OFFSET($M$15,0,0,$B$8,1))=ED$14))   /   SUM(OFFSET($BO$15,0,0,$B$14,1)) + $B$18/($B$19*$B$19*($DN354&lt;&gt;$DO354) + $B$19*($DN354=$DO354))</f>
        <v>3.7037037037037035E-4</v>
      </c>
      <c r="EE354" s="10" cm="1">
        <f t="array" aca="1" ref="EE354" ca="1">(1-$B$18)*SUMPRODUCT(OFFSET($BO$15,0,0,$B$14,1), 1*(_xlfn._xlws.FILTER(OFFSET($O$15,0,$DN354,$B$8,1),OFFSET($M$15,0,0,$B$8,1))=EE$13), 1*(_xlfn._xlws.FILTER(OFFSET($O$15,0,$DO354,$B$8,1),OFFSET($M$15,0,0,$B$8,1))=EE$14))   /   SUM(OFFSET($BO$15,0,0,$B$14,1)) + $B$18/($B$19*$B$19*($DN354&lt;&gt;$DO354) + $B$19*($DN354=$DO354))</f>
        <v>3.7037037037037035E-4</v>
      </c>
      <c r="EF354" s="10" cm="1">
        <f t="array" aca="1" ref="EF354" ca="1">(1-$B$18)*SUMPRODUCT(OFFSET($BO$15,0,0,$B$14,1), 1*(_xlfn._xlws.FILTER(OFFSET($O$15,0,$DN354,$B$8,1),OFFSET($M$15,0,0,$B$8,1))=EF$13), 1*(_xlfn._xlws.FILTER(OFFSET($O$15,0,$DO354,$B$8,1),OFFSET($M$15,0,0,$B$8,1))=EF$14))   /   SUM(OFFSET($BO$15,0,0,$B$14,1)) + $B$18/($B$19*$B$19*($DN354&lt;&gt;$DO354) + $B$19*($DN354=$DO354))</f>
        <v>3.7037037037037035E-4</v>
      </c>
      <c r="EG354" s="10" cm="1">
        <f t="array" aca="1" ref="EG354" ca="1">(1-$B$18)*SUMPRODUCT(OFFSET($BO$15,0,0,$B$14,1), 1*(_xlfn._xlws.FILTER(OFFSET($O$15,0,$DN354,$B$8,1),OFFSET($M$15,0,0,$B$8,1))=EG$13), 1*(_xlfn._xlws.FILTER(OFFSET($O$15,0,$DO354,$B$8,1),OFFSET($M$15,0,0,$B$8,1))=EG$14))   /   SUM(OFFSET($BO$15,0,0,$B$14,1)) + $B$18/($B$19*$B$19*($DN354&lt;&gt;$DO354) + $B$19*($DN354=$DO354))</f>
        <v>3.7037037037037035E-4</v>
      </c>
      <c r="EH354" s="10" cm="1">
        <f t="array" aca="1" ref="EH354" ca="1">(1-$B$18)*SUMPRODUCT(OFFSET($BO$15,0,0,$B$14,1), 1*(_xlfn._xlws.FILTER(OFFSET($O$15,0,$DN354,$B$8,1),OFFSET($M$15,0,0,$B$8,1))=EH$13), 1*(_xlfn._xlws.FILTER(OFFSET($O$15,0,$DO354,$B$8,1),OFFSET($M$15,0,0,$B$8,1))=EH$14))   /   SUM(OFFSET($BO$15,0,0,$B$14,1)) + $B$18/($B$19*$B$19*($DN354&lt;&gt;$DO354) + $B$19*($DN354=$DO354))</f>
        <v>3.7037037037037035E-4</v>
      </c>
      <c r="EI354" s="10" cm="1">
        <f t="array" aca="1" ref="EI354" ca="1">(1-$B$18)*SUMPRODUCT(OFFSET($BO$15,0,0,$B$14,1), 1*(_xlfn._xlws.FILTER(OFFSET($O$15,0,$DN354,$B$8,1),OFFSET($M$15,0,0,$B$8,1))=EI$13), 1*(_xlfn._xlws.FILTER(OFFSET($O$15,0,$DO354,$B$8,1),OFFSET($M$15,0,0,$B$8,1))=EI$14))   /   SUM(OFFSET($BO$15,0,0,$B$14,1)) + $B$18/($B$19*$B$19*($DN354&lt;&gt;$DO354) + $B$19*($DN354=$DO354))</f>
        <v>3.7037037037037035E-4</v>
      </c>
      <c r="EJ354" s="10" cm="1">
        <f t="array" aca="1" ref="EJ354" ca="1">(1-$B$18)*SUMPRODUCT(OFFSET($BO$15,0,0,$B$14,1), 1*(_xlfn._xlws.FILTER(OFFSET($O$15,0,$DN354,$B$8,1),OFFSET($M$15,0,0,$B$8,1))=EJ$13), 1*(_xlfn._xlws.FILTER(OFFSET($O$15,0,$DO354,$B$8,1),OFFSET($M$15,0,0,$B$8,1))=EJ$14))   /   SUM(OFFSET($BO$15,0,0,$B$14,1)) + $B$18/($B$19*$B$19*($DN354&lt;&gt;$DO354) + $B$19*($DN354=$DO354))</f>
        <v>3.7037037037037035E-4</v>
      </c>
      <c r="EK354" s="10" cm="1">
        <f t="array" aca="1" ref="EK354" ca="1">(1-$B$18)*SUMPRODUCT(OFFSET($BO$15,0,0,$B$14,1), 1*(_xlfn._xlws.FILTER(OFFSET($O$15,0,$DN354,$B$8,1),OFFSET($M$15,0,0,$B$8,1))=EK$13), 1*(_xlfn._xlws.FILTER(OFFSET($O$15,0,$DO354,$B$8,1),OFFSET($M$15,0,0,$B$8,1))=EK$14))   /   SUM(OFFSET($BO$15,0,0,$B$14,1)) + $B$18/($B$19*$B$19*($DN354&lt;&gt;$DO354) + $B$19*($DN354=$DO354))</f>
        <v>3.7037037037037035E-4</v>
      </c>
      <c r="EL354" s="10" cm="1">
        <f t="array" aca="1" ref="EL354" ca="1">(1-$B$18)*SUMPRODUCT(OFFSET($BO$15,0,0,$B$14,1), 1*(_xlfn._xlws.FILTER(OFFSET($O$15,0,$DN354,$B$8,1),OFFSET($M$15,0,0,$B$8,1))=EL$13), 1*(_xlfn._xlws.FILTER(OFFSET($O$15,0,$DO354,$B$8,1),OFFSET($M$15,0,0,$B$8,1))=EL$14))   /   SUM(OFFSET($BO$15,0,0,$B$14,1)) + $B$18/($B$19*$B$19*($DN354&lt;&gt;$DO354) + $B$19*($DN354=$DO354))</f>
        <v>3.7037037037037035E-4</v>
      </c>
      <c r="EM354" s="10" cm="1">
        <f t="array" aca="1" ref="EM354" ca="1">(1-$B$18)*SUMPRODUCT(OFFSET($BO$15,0,0,$B$14,1), 1*(_xlfn._xlws.FILTER(OFFSET($O$15,0,$DN354,$B$8,1),OFFSET($M$15,0,0,$B$8,1))=EM$13), 1*(_xlfn._xlws.FILTER(OFFSET($O$15,0,$DO354,$B$8,1),OFFSET($M$15,0,0,$B$8,1))=EM$14))   /   SUM(OFFSET($BO$15,0,0,$B$14,1)) + $B$18/($B$19*$B$19*($DN354&lt;&gt;$DO354) + $B$19*($DN354=$DO354))</f>
        <v>3.7037037037037035E-4</v>
      </c>
      <c r="EN354" s="10" cm="1">
        <f t="array" aca="1" ref="EN354" ca="1">(1-$B$18)*SUMPRODUCT(OFFSET($BO$15,0,0,$B$14,1), 1*(_xlfn._xlws.FILTER(OFFSET($O$15,0,$DN354,$B$8,1),OFFSET($M$15,0,0,$B$8,1))=EN$13), 1*(_xlfn._xlws.FILTER(OFFSET($O$15,0,$DO354,$B$8,1),OFFSET($M$15,0,0,$B$8,1))=EN$14))   /   SUM(OFFSET($BO$15,0,0,$B$14,1)) + $B$18/($B$19*$B$19*($DN354&lt;&gt;$DO354) + $B$19*($DN354=$DO354))</f>
        <v>3.7037037037037035E-4</v>
      </c>
      <c r="EO354" s="10" cm="1">
        <f t="array" aca="1" ref="EO354" ca="1">(1-$B$18)*SUMPRODUCT(OFFSET($BO$15,0,0,$B$14,1), 1*(_xlfn._xlws.FILTER(OFFSET($O$15,0,$DN354,$B$8,1),OFFSET($M$15,0,0,$B$8,1))=EO$13), 1*(_xlfn._xlws.FILTER(OFFSET($O$15,0,$DO354,$B$8,1),OFFSET($M$15,0,0,$B$8,1))=EO$14))   /   SUM(OFFSET($BO$15,0,0,$B$14,1)) + $B$18/($B$19*$B$19*($DN354&lt;&gt;$DO354) + $B$19*($DN354=$DO354))</f>
        <v>3.7037037037037035E-4</v>
      </c>
      <c r="EP354" s="10" cm="1">
        <f t="array" aca="1" ref="EP354" ca="1">(1-$B$18)*SUMPRODUCT(OFFSET($BO$15,0,0,$B$14,1), 1*(_xlfn._xlws.FILTER(OFFSET($O$15,0,$DN354,$B$8,1),OFFSET($M$15,0,0,$B$8,1))=EP$13), 1*(_xlfn._xlws.FILTER(OFFSET($O$15,0,$DO354,$B$8,1),OFFSET($M$15,0,0,$B$8,1))=EP$14))   /   SUM(OFFSET($BO$15,0,0,$B$14,1)) + $B$18/($B$19*$B$19*($DN354&lt;&gt;$DO354) + $B$19*($DN354=$DO354))</f>
        <v>3.7037037037037035E-4</v>
      </c>
      <c r="EQ354" s="10" cm="1">
        <f t="array" aca="1" ref="EQ354" ca="1">(1-$B$18)*SUMPRODUCT(OFFSET($BO$15,0,0,$B$14,1), 1*(_xlfn._xlws.FILTER(OFFSET($O$15,0,$DN354,$B$8,1),OFFSET($M$15,0,0,$B$8,1))=EQ$13), 1*(_xlfn._xlws.FILTER(OFFSET($O$15,0,$DO354,$B$8,1),OFFSET($M$15,0,0,$B$8,1))=EQ$14))   /   SUM(OFFSET($BO$15,0,0,$B$14,1)) + $B$18/($B$19*$B$19*($DN354&lt;&gt;$DO354) + $B$19*($DN354=$DO354))</f>
        <v>3.7037037037037035E-4</v>
      </c>
      <c r="ER354" s="10" cm="1">
        <f t="array" aca="1" ref="ER354" ca="1">(1-$B$18)*SUMPRODUCT(OFFSET($BO$15,0,0,$B$14,1), 1*(_xlfn._xlws.FILTER(OFFSET($O$15,0,$DN354,$B$8,1),OFFSET($M$15,0,0,$B$8,1))=ER$13), 1*(_xlfn._xlws.FILTER(OFFSET($O$15,0,$DO354,$B$8,1),OFFSET($M$15,0,0,$B$8,1))=ER$14))   /   SUM(OFFSET($BO$15,0,0,$B$14,1)) + $B$18/($B$19*$B$19*($DN354&lt;&gt;$DO354) + $B$19*($DN354=$DO354))</f>
        <v>3.7037037037037035E-4</v>
      </c>
      <c r="ES354" s="10" cm="1">
        <f t="array" aca="1" ref="ES354" ca="1">(1-$B$18)*SUMPRODUCT(OFFSET($BO$15,0,0,$B$14,1), 1*(_xlfn._xlws.FILTER(OFFSET($O$15,0,$DN354,$B$8,1),OFFSET($M$15,0,0,$B$8,1))=ES$13), 1*(_xlfn._xlws.FILTER(OFFSET($O$15,0,$DO354,$B$8,1),OFFSET($M$15,0,0,$B$8,1))=ES$14))   /   SUM(OFFSET($BO$15,0,0,$B$14,1)) + $B$18/($B$19*$B$19*($DN354&lt;&gt;$DO354) + $B$19*($DN354=$DO354))</f>
        <v>3.7037037037037035E-4</v>
      </c>
      <c r="ET354" s="10" cm="1">
        <f t="array" aca="1" ref="ET354" ca="1">(1-$B$18)*SUMPRODUCT(OFFSET($BO$15,0,0,$B$14,1), 1*(_xlfn._xlws.FILTER(OFFSET($O$15,0,$DN354,$B$8,1),OFFSET($M$15,0,0,$B$8,1))=ET$13), 1*(_xlfn._xlws.FILTER(OFFSET($O$15,0,$DO354,$B$8,1),OFFSET($M$15,0,0,$B$8,1))=ET$14))   /   SUM(OFFSET($BO$15,0,0,$B$14,1)) + $B$18/($B$19*$B$19*($DN354&lt;&gt;$DO354) + $B$19*($DN354=$DO354))</f>
        <v>3.7037037037037035E-4</v>
      </c>
      <c r="EU354" s="10" cm="1">
        <f t="array" aca="1" ref="EU354" ca="1">(1-$B$18)*SUMPRODUCT(OFFSET($BO$15,0,0,$B$14,1), 1*(_xlfn._xlws.FILTER(OFFSET($O$15,0,$DN354,$B$8,1),OFFSET($M$15,0,0,$B$8,1))=EU$13), 1*(_xlfn._xlws.FILTER(OFFSET($O$15,0,$DO354,$B$8,1),OFFSET($M$15,0,0,$B$8,1))=EU$14))   /   SUM(OFFSET($BO$15,0,0,$B$14,1)) + $B$18/($B$19*$B$19*($DN354&lt;&gt;$DO354) + $B$19*($DN354=$DO354))</f>
        <v>3.7037037037037035E-4</v>
      </c>
      <c r="EV354" s="10" cm="1">
        <f t="array" aca="1" ref="EV354" ca="1">(1-$B$18)*SUMPRODUCT(OFFSET($BO$15,0,0,$B$14,1), 1*(_xlfn._xlws.FILTER(OFFSET($O$15,0,$DN354,$B$8,1),OFFSET($M$15,0,0,$B$8,1))=EV$13), 1*(_xlfn._xlws.FILTER(OFFSET($O$15,0,$DO354,$B$8,1),OFFSET($M$15,0,0,$B$8,1))=EV$14))   /   SUM(OFFSET($BO$15,0,0,$B$14,1)) + $B$18/($B$19*$B$19*($DN354&lt;&gt;$DO354) + $B$19*($DN354=$DO354))</f>
        <v>3.7037037037037035E-4</v>
      </c>
      <c r="EW354" s="10" cm="1">
        <f t="array" aca="1" ref="EW354" ca="1">(1-$B$18)*SUMPRODUCT(OFFSET($BO$15,0,0,$B$14,1), 1*(_xlfn._xlws.FILTER(OFFSET($O$15,0,$DN354,$B$8,1),OFFSET($M$15,0,0,$B$8,1))=EW$13), 1*(_xlfn._xlws.FILTER(OFFSET($O$15,0,$DO354,$B$8,1),OFFSET($M$15,0,0,$B$8,1))=EW$14))   /   SUM(OFFSET($BO$15,0,0,$B$14,1)) + $B$18/($B$19*$B$19*($DN354&lt;&gt;$DO354) + $B$19*($DN354=$DO354))</f>
        <v>3.7037037037037035E-4</v>
      </c>
      <c r="EX354" s="10" cm="1">
        <f t="array" aca="1" ref="EX354" ca="1">(1-$B$18)*SUMPRODUCT(OFFSET($BO$15,0,0,$B$14,1), 1*(_xlfn._xlws.FILTER(OFFSET($O$15,0,$DN354,$B$8,1),OFFSET($M$15,0,0,$B$8,1))=EX$13), 1*(_xlfn._xlws.FILTER(OFFSET($O$15,0,$DO354,$B$8,1),OFFSET($M$15,0,0,$B$8,1))=EX$14))   /   SUM(OFFSET($BO$15,0,0,$B$14,1)) + $B$18/($B$19*$B$19*($DN354&lt;&gt;$DO354) + $B$19*($DN354=$DO354))</f>
        <v>3.7037037037037035E-4</v>
      </c>
      <c r="EY354" s="10" cm="1">
        <f t="array" aca="1" ref="EY354" ca="1">(1-$B$18)*SUMPRODUCT(OFFSET($BO$15,0,0,$B$14,1), 1*(_xlfn._xlws.FILTER(OFFSET($O$15,0,$DN354,$B$8,1),OFFSET($M$15,0,0,$B$8,1))=EY$13), 1*(_xlfn._xlws.FILTER(OFFSET($O$15,0,$DO354,$B$8,1),OFFSET($M$15,0,0,$B$8,1))=EY$14))   /   SUM(OFFSET($BO$15,0,0,$B$14,1)) + $B$18/($B$19*$B$19*($DN354&lt;&gt;$DO354) + $B$19*($DN354=$DO354))</f>
        <v>0.24287037037037024</v>
      </c>
      <c r="EZ354" s="10" cm="1">
        <f t="array" aca="1" ref="EZ354" ca="1">(1-$B$18)*SUMPRODUCT(OFFSET($BO$15,0,0,$B$14,1), 1*(_xlfn._xlws.FILTER(OFFSET($O$15,0,$DN354,$B$8,1),OFFSET($M$15,0,0,$B$8,1))=EZ$13), 1*(_xlfn._xlws.FILTER(OFFSET($O$15,0,$DO354,$B$8,1),OFFSET($M$15,0,0,$B$8,1))=EZ$14))   /   SUM(OFFSET($BO$15,0,0,$B$14,1)) + $B$18/($B$19*$B$19*($DN354&lt;&gt;$DO354) + $B$19*($DN354=$DO354))</f>
        <v>3.7037037037037035E-4</v>
      </c>
      <c r="FA354" s="10" cm="1">
        <f t="array" aca="1" ref="FA354" ca="1">(1-$B$18)*SUMPRODUCT(OFFSET($BO$15,0,0,$B$14,1), 1*(_xlfn._xlws.FILTER(OFFSET($O$15,0,$DN354,$B$8,1),OFFSET($M$15,0,0,$B$8,1))=FA$13), 1*(_xlfn._xlws.FILTER(OFFSET($O$15,0,$DO354,$B$8,1),OFFSET($M$15,0,0,$B$8,1))=FA$14))   /   SUM(OFFSET($BO$15,0,0,$B$14,1)) + $B$18/($B$19*$B$19*($DN354&lt;&gt;$DO354) + $B$19*($DN354=$DO354))</f>
        <v>3.7037037037037035E-4</v>
      </c>
      <c r="FB354" s="10" cm="1">
        <f t="array" aca="1" ref="FB354" ca="1">(1-$B$18)*SUMPRODUCT(OFFSET($BO$15,0,0,$B$14,1), 1*(_xlfn._xlws.FILTER(OFFSET($O$15,0,$DN354,$B$8,1),OFFSET($M$15,0,0,$B$8,1))=FB$13), 1*(_xlfn._xlws.FILTER(OFFSET($O$15,0,$DO354,$B$8,1),OFFSET($M$15,0,0,$B$8,1))=FB$14))   /   SUM(OFFSET($BO$15,0,0,$B$14,1)) + $B$18/($B$19*$B$19*($DN354&lt;&gt;$DO354) + $B$19*($DN354=$DO354))</f>
        <v>3.7037037037037035E-4</v>
      </c>
      <c r="FC354" s="10" cm="1">
        <f t="array" aca="1" ref="FC354" ca="1">(1-$B$18)*SUMPRODUCT(OFFSET($BO$15,0,0,$B$14,1), 1*(_xlfn._xlws.FILTER(OFFSET($O$15,0,$DN354,$B$8,1),OFFSET($M$15,0,0,$B$8,1))=FC$13), 1*(_xlfn._xlws.FILTER(OFFSET($O$15,0,$DO354,$B$8,1),OFFSET($M$15,0,0,$B$8,1))=FC$14))   /   SUM(OFFSET($BO$15,0,0,$B$14,1)) + $B$18/($B$19*$B$19*($DN354&lt;&gt;$DO354) + $B$19*($DN354=$DO354))</f>
        <v>3.7037037037037035E-4</v>
      </c>
      <c r="FD354" s="10" cm="1">
        <f t="array" aca="1" ref="FD354" ca="1">(1-$B$18)*SUMPRODUCT(OFFSET($BO$15,0,0,$B$14,1), 1*(_xlfn._xlws.FILTER(OFFSET($O$15,0,$DN354,$B$8,1),OFFSET($M$15,0,0,$B$8,1))=FD$13), 1*(_xlfn._xlws.FILTER(OFFSET($O$15,0,$DO354,$B$8,1),OFFSET($M$15,0,0,$B$8,1))=FD$14))   /   SUM(OFFSET($BO$15,0,0,$B$14,1)) + $B$18/($B$19*$B$19*($DN354&lt;&gt;$DO354) + $B$19*($DN354=$DO354))</f>
        <v>3.7037037037037035E-4</v>
      </c>
      <c r="FE354" s="10" cm="1">
        <f t="array" aca="1" ref="FE354" ca="1">(1-$B$18)*SUMPRODUCT(OFFSET($BO$15,0,0,$B$14,1), 1*(_xlfn._xlws.FILTER(OFFSET($O$15,0,$DN354,$B$8,1),OFFSET($M$15,0,0,$B$8,1))=FE$13), 1*(_xlfn._xlws.FILTER(OFFSET($O$15,0,$DO354,$B$8,1),OFFSET($M$15,0,0,$B$8,1))=FE$14))   /   SUM(OFFSET($BO$15,0,0,$B$14,1)) + $B$18/($B$19*$B$19*($DN354&lt;&gt;$DO354) + $B$19*($DN354=$DO354))</f>
        <v>3.7037037037037035E-4</v>
      </c>
      <c r="FF354" s="10" cm="1">
        <f t="array" aca="1" ref="FF354" ca="1">(1-$B$18)*SUMPRODUCT(OFFSET($BO$15,0,0,$B$14,1), 1*(_xlfn._xlws.FILTER(OFFSET($O$15,0,$DN354,$B$8,1),OFFSET($M$15,0,0,$B$8,1))=FF$13), 1*(_xlfn._xlws.FILTER(OFFSET($O$15,0,$DO354,$B$8,1),OFFSET($M$15,0,0,$B$8,1))=FF$14))   /   SUM(OFFSET($BO$15,0,0,$B$14,1)) + $B$18/($B$19*$B$19*($DN354&lt;&gt;$DO354) + $B$19*($DN354=$DO354))</f>
        <v>3.7037037037037035E-4</v>
      </c>
      <c r="FG354" s="10" cm="1">
        <f t="array" aca="1" ref="FG354" ca="1">(1-$B$18)*SUMPRODUCT(OFFSET($BO$15,0,0,$B$14,1), 1*(_xlfn._xlws.FILTER(OFFSET($O$15,0,$DN354,$B$8,1),OFFSET($M$15,0,0,$B$8,1))=FG$13), 1*(_xlfn._xlws.FILTER(OFFSET($O$15,0,$DO354,$B$8,1),OFFSET($M$15,0,0,$B$8,1))=FG$14))   /   SUM(OFFSET($BO$15,0,0,$B$14,1)) + $B$18/($B$19*$B$19*($DN354&lt;&gt;$DO354) + $B$19*($DN354=$DO354))</f>
        <v>0.24287037037037026</v>
      </c>
      <c r="FH354" s="10" cm="1">
        <f t="array" aca="1" ref="FH354" ca="1">(1-$B$18)*SUMPRODUCT(OFFSET($BO$15,0,0,$B$14,1), 1*(_xlfn._xlws.FILTER(OFFSET($O$15,0,$DN354,$B$8,1),OFFSET($M$15,0,0,$B$8,1))=FH$13), 1*(_xlfn._xlws.FILTER(OFFSET($O$15,0,$DO354,$B$8,1),OFFSET($M$15,0,0,$B$8,1))=FH$14))   /   SUM(OFFSET($BO$15,0,0,$B$14,1)) + $B$18/($B$19*$B$19*($DN354&lt;&gt;$DO354) + $B$19*($DN354=$DO354))</f>
        <v>3.7037037037037035E-4</v>
      </c>
      <c r="FI354" s="10" cm="1">
        <f t="array" aca="1" ref="FI354" ca="1">(1-$B$18)*SUMPRODUCT(OFFSET($BO$15,0,0,$B$14,1), 1*(_xlfn._xlws.FILTER(OFFSET($O$15,0,$DN354,$B$8,1),OFFSET($M$15,0,0,$B$8,1))=FI$13), 1*(_xlfn._xlws.FILTER(OFFSET($O$15,0,$DO354,$B$8,1),OFFSET($M$15,0,0,$B$8,1))=FI$14))   /   SUM(OFFSET($BO$15,0,0,$B$14,1)) + $B$18/($B$19*$B$19*($DN354&lt;&gt;$DO354) + $B$19*($DN354=$DO354))</f>
        <v>3.7037037037037035E-4</v>
      </c>
      <c r="FJ354" s="10" cm="1">
        <f t="array" aca="1" ref="FJ354" ca="1">(1-$B$18)*SUMPRODUCT(OFFSET($BO$15,0,0,$B$14,1), 1*(_xlfn._xlws.FILTER(OFFSET($O$15,0,$DN354,$B$8,1),OFFSET($M$15,0,0,$B$8,1))=FJ$13), 1*(_xlfn._xlws.FILTER(OFFSET($O$15,0,$DO354,$B$8,1),OFFSET($M$15,0,0,$B$8,1))=FJ$14))   /   SUM(OFFSET($BO$15,0,0,$B$14,1)) + $B$18/($B$19*$B$19*($DN354&lt;&gt;$DO354) + $B$19*($DN354=$DO354))</f>
        <v>3.7037037037037035E-4</v>
      </c>
      <c r="FK354" s="10" cm="1">
        <f t="array" aca="1" ref="FK354" ca="1">(1-$B$18)*SUMPRODUCT(OFFSET($BO$15,0,0,$B$14,1), 1*(_xlfn._xlws.FILTER(OFFSET($O$15,0,$DN354,$B$8,1),OFFSET($M$15,0,0,$B$8,1))=FK$13), 1*(_xlfn._xlws.FILTER(OFFSET($O$15,0,$DO354,$B$8,1),OFFSET($M$15,0,0,$B$8,1))=FK$14))   /   SUM(OFFSET($BO$15,0,0,$B$14,1)) + $B$18/($B$19*$B$19*($DN354&lt;&gt;$DO354) + $B$19*($DN354=$DO354))</f>
        <v>3.7037037037037035E-4</v>
      </c>
      <c r="FL354" s="10" cm="1">
        <f t="array" aca="1" ref="FL354" ca="1">(1-$B$18)*SUMPRODUCT(OFFSET($BO$15,0,0,$B$14,1), 1*(_xlfn._xlws.FILTER(OFFSET($O$15,0,$DN354,$B$8,1),OFFSET($M$15,0,0,$B$8,1))=FL$13), 1*(_xlfn._xlws.FILTER(OFFSET($O$15,0,$DO354,$B$8,1),OFFSET($M$15,0,0,$B$8,1))=FL$14))   /   SUM(OFFSET($BO$15,0,0,$B$14,1)) + $B$18/($B$19*$B$19*($DN354&lt;&gt;$DO354) + $B$19*($DN354=$DO354))</f>
        <v>3.7037037037037035E-4</v>
      </c>
      <c r="FM354" s="10" cm="1">
        <f t="array" aca="1" ref="FM354" ca="1">(1-$B$18)*SUMPRODUCT(OFFSET($BO$15,0,0,$B$14,1), 1*(_xlfn._xlws.FILTER(OFFSET($O$15,0,$DN354,$B$8,1),OFFSET($M$15,0,0,$B$8,1))=FM$13), 1*(_xlfn._xlws.FILTER(OFFSET($O$15,0,$DO354,$B$8,1),OFFSET($M$15,0,0,$B$8,1))=FM$14))   /   SUM(OFFSET($BO$15,0,0,$B$14,1)) + $B$18/($B$19*$B$19*($DN354&lt;&gt;$DO354) + $B$19*($DN354=$DO354))</f>
        <v>3.7037037037037035E-4</v>
      </c>
      <c r="FN354" s="10" cm="1">
        <f t="array" aca="1" ref="FN354" ca="1">(1-$B$18)*SUMPRODUCT(OFFSET($BO$15,0,0,$B$14,1), 1*(_xlfn._xlws.FILTER(OFFSET($O$15,0,$DN354,$B$8,1),OFFSET($M$15,0,0,$B$8,1))=FN$13), 1*(_xlfn._xlws.FILTER(OFFSET($O$15,0,$DO354,$B$8,1),OFFSET($M$15,0,0,$B$8,1))=FN$14))   /   SUM(OFFSET($BO$15,0,0,$B$14,1)) + $B$18/($B$19*$B$19*($DN354&lt;&gt;$DO354) + $B$19*($DN354=$DO354))</f>
        <v>3.7037037037037035E-4</v>
      </c>
      <c r="FO354" s="10" cm="1">
        <f t="array" aca="1" ref="FO354" ca="1">(1-$B$18)*SUMPRODUCT(OFFSET($BO$15,0,0,$B$14,1), 1*(_xlfn._xlws.FILTER(OFFSET($O$15,0,$DN354,$B$8,1),OFFSET($M$15,0,0,$B$8,1))=FO$13), 1*(_xlfn._xlws.FILTER(OFFSET($O$15,0,$DO354,$B$8,1),OFFSET($M$15,0,0,$B$8,1))=FO$14))   /   SUM(OFFSET($BO$15,0,0,$B$14,1)) + $B$18/($B$19*$B$19*($DN354&lt;&gt;$DO354) + $B$19*($DN354=$DO354))</f>
        <v>0.48537037037037012</v>
      </c>
      <c r="FP354" s="10" cm="1">
        <f t="array" aca="1" ref="FP354" ca="1">(1-$B$18)*SUMPRODUCT(OFFSET($BO$15,0,0,$B$14,1), 1*(_xlfn._xlws.FILTER(OFFSET($O$15,0,$DN354,$B$8,1),OFFSET($M$15,0,0,$B$8,1))=FP$13), 1*(_xlfn._xlws.FILTER(OFFSET($O$15,0,$DO354,$B$8,1),OFFSET($M$15,0,0,$B$8,1))=FP$14))   /   SUM(OFFSET($BO$15,0,0,$B$14,1)) + $B$18/($B$19*$B$19*($DN354&lt;&gt;$DO354) + $B$19*($DN354=$DO354))</f>
        <v>3.7037037037037035E-4</v>
      </c>
      <c r="FQ354" s="10" cm="1">
        <f t="array" aca="1" ref="FQ354" ca="1">(1-$B$18)*SUMPRODUCT(OFFSET($BO$15,0,0,$B$14,1), 1*(_xlfn._xlws.FILTER(OFFSET($O$15,0,$DN354,$B$8,1),OFFSET($M$15,0,0,$B$8,1))=FQ$13), 1*(_xlfn._xlws.FILTER(OFFSET($O$15,0,$DO354,$B$8,1),OFFSET($M$15,0,0,$B$8,1))=FQ$14))   /   SUM(OFFSET($BO$15,0,0,$B$14,1)) + $B$18/($B$19*$B$19*($DN354&lt;&gt;$DO354) + $B$19*($DN354=$DO354))</f>
        <v>3.7037037037037035E-4</v>
      </c>
      <c r="FR354" s="10" cm="1">
        <f t="array" aca="1" ref="FR354" ca="1">(1-$B$18)*SUMPRODUCT(OFFSET($BO$15,0,0,$B$14,1), 1*(_xlfn._xlws.FILTER(OFFSET($O$15,0,$DN354,$B$8,1),OFFSET($M$15,0,0,$B$8,1))=FR$13), 1*(_xlfn._xlws.FILTER(OFFSET($O$15,0,$DO354,$B$8,1),OFFSET($M$15,0,0,$B$8,1))=FR$14))   /   SUM(OFFSET($BO$15,0,0,$B$14,1)) + $B$18/($B$19*$B$19*($DN354&lt;&gt;$DO354) + $B$19*($DN354=$DO354))</f>
        <v>3.7037037037037035E-4</v>
      </c>
      <c r="FS354" s="10" cm="1">
        <f t="array" aca="1" ref="FS354" ca="1">(1-$B$18)*SUMPRODUCT(OFFSET($BO$15,0,0,$B$14,1), 1*(_xlfn._xlws.FILTER(OFFSET($O$15,0,$DN354,$B$8,1),OFFSET($M$15,0,0,$B$8,1))=FS$13), 1*(_xlfn._xlws.FILTER(OFFSET($O$15,0,$DO354,$B$8,1),OFFSET($M$15,0,0,$B$8,1))=FS$14))   /   SUM(OFFSET($BO$15,0,0,$B$14,1)) + $B$18/($B$19*$B$19*($DN354&lt;&gt;$DO354) + $B$19*($DN354=$DO354))</f>
        <v>3.7037037037037035E-4</v>
      </c>
      <c r="FT354" s="10" cm="1">
        <f t="array" aca="1" ref="FT354" ca="1">(1-$B$18)*SUMPRODUCT(OFFSET($BO$15,0,0,$B$14,1), 1*(_xlfn._xlws.FILTER(OFFSET($O$15,0,$DN354,$B$8,1),OFFSET($M$15,0,0,$B$8,1))=FT$13), 1*(_xlfn._xlws.FILTER(OFFSET($O$15,0,$DO354,$B$8,1),OFFSET($M$15,0,0,$B$8,1))=FT$14))   /   SUM(OFFSET($BO$15,0,0,$B$14,1)) + $B$18/($B$19*$B$19*($DN354&lt;&gt;$DO354) + $B$19*($DN354=$DO354))</f>
        <v>3.7037037037037035E-4</v>
      </c>
      <c r="FU354" s="10" cm="1">
        <f t="array" aca="1" ref="FU354" ca="1">(1-$B$18)*SUMPRODUCT(OFFSET($BO$15,0,0,$B$14,1), 1*(_xlfn._xlws.FILTER(OFFSET($O$15,0,$DN354,$B$8,1),OFFSET($M$15,0,0,$B$8,1))=FU$13), 1*(_xlfn._xlws.FILTER(OFFSET($O$15,0,$DO354,$B$8,1),OFFSET($M$15,0,0,$B$8,1))=FU$14))   /   SUM(OFFSET($BO$15,0,0,$B$14,1)) + $B$18/($B$19*$B$19*($DN354&lt;&gt;$DO354) + $B$19*($DN354=$DO354))</f>
        <v>3.7037037037037035E-4</v>
      </c>
      <c r="FV354" s="10" cm="1">
        <f t="array" aca="1" ref="FV354" ca="1">(1-$B$18)*SUMPRODUCT(OFFSET($BO$15,0,0,$B$14,1), 1*(_xlfn._xlws.FILTER(OFFSET($O$15,0,$DN354,$B$8,1),OFFSET($M$15,0,0,$B$8,1))=FV$13), 1*(_xlfn._xlws.FILTER(OFFSET($O$15,0,$DO354,$B$8,1),OFFSET($M$15,0,0,$B$8,1))=FV$14))   /   SUM(OFFSET($BO$15,0,0,$B$14,1)) + $B$18/($B$19*$B$19*($DN354&lt;&gt;$DO354) + $B$19*($DN354=$DO354))</f>
        <v>3.7037037037037035E-4</v>
      </c>
      <c r="FW354" s="10" cm="1">
        <f t="array" aca="1" ref="FW354" ca="1">(1-$B$18)*SUMPRODUCT(OFFSET($BO$15,0,0,$B$14,1), 1*(_xlfn._xlws.FILTER(OFFSET($O$15,0,$DN354,$B$8,1),OFFSET($M$15,0,0,$B$8,1))=FW$13), 1*(_xlfn._xlws.FILTER(OFFSET($O$15,0,$DO354,$B$8,1),OFFSET($M$15,0,0,$B$8,1))=FW$14))   /   SUM(OFFSET($BO$15,0,0,$B$14,1)) + $B$18/($B$19*$B$19*($DN354&lt;&gt;$DO354) + $B$19*($DN354=$DO354))</f>
        <v>3.7037037037037035E-4</v>
      </c>
      <c r="FX354" s="10" cm="1">
        <f t="array" aca="1" ref="FX354" ca="1">(1-$B$18)*SUMPRODUCT(OFFSET($BO$15,0,0,$B$14,1), 1*(_xlfn._xlws.FILTER(OFFSET($O$15,0,$DN354,$B$8,1),OFFSET($M$15,0,0,$B$8,1))=FX$13), 1*(_xlfn._xlws.FILTER(OFFSET($O$15,0,$DO354,$B$8,1),OFFSET($M$15,0,0,$B$8,1))=FX$14))   /   SUM(OFFSET($BO$15,0,0,$B$14,1)) + $B$18/($B$19*$B$19*($DN354&lt;&gt;$DO354) + $B$19*($DN354=$DO354))</f>
        <v>3.7037037037037035E-4</v>
      </c>
      <c r="FY354" s="10" cm="1">
        <f t="array" aca="1" ref="FY354" ca="1">(1-$B$18)*SUMPRODUCT(OFFSET($BO$15,0,0,$B$14,1), 1*(_xlfn._xlws.FILTER(OFFSET($O$15,0,$DN354,$B$8,1),OFFSET($M$15,0,0,$B$8,1))=FY$13), 1*(_xlfn._xlws.FILTER(OFFSET($O$15,0,$DO354,$B$8,1),OFFSET($M$15,0,0,$B$8,1))=FY$14))   /   SUM(OFFSET($BO$15,0,0,$B$14,1)) + $B$18/($B$19*$B$19*($DN354&lt;&gt;$DO354) + $B$19*($DN354=$DO354))</f>
        <v>3.7037037037037035E-4</v>
      </c>
      <c r="FZ354" s="10" cm="1">
        <f t="array" aca="1" ref="FZ354" ca="1">(1-$B$18)*SUMPRODUCT(OFFSET($BO$15,0,0,$B$14,1), 1*(_xlfn._xlws.FILTER(OFFSET($O$15,0,$DN354,$B$8,1),OFFSET($M$15,0,0,$B$8,1))=FZ$13), 1*(_xlfn._xlws.FILTER(OFFSET($O$15,0,$DO354,$B$8,1),OFFSET($M$15,0,0,$B$8,1))=FZ$14))   /   SUM(OFFSET($BO$15,0,0,$B$14,1)) + $B$18/($B$19*$B$19*($DN354&lt;&gt;$DO354) + $B$19*($DN354=$DO354))</f>
        <v>3.7037037037037035E-4</v>
      </c>
      <c r="GA354" s="10" cm="1">
        <f t="array" aca="1" ref="GA354" ca="1">(1-$B$18)*SUMPRODUCT(OFFSET($BO$15,0,0,$B$14,1), 1*(_xlfn._xlws.FILTER(OFFSET($O$15,0,$DN354,$B$8,1),OFFSET($M$15,0,0,$B$8,1))=GA$13), 1*(_xlfn._xlws.FILTER(OFFSET($O$15,0,$DO354,$B$8,1),OFFSET($M$15,0,0,$B$8,1))=GA$14))   /   SUM(OFFSET($BO$15,0,0,$B$14,1)) + $B$18/($B$19*$B$19*($DN354&lt;&gt;$DO354) + $B$19*($DN354=$DO354))</f>
        <v>3.7037037037037035E-4</v>
      </c>
    </row>
    <row r="355" spans="118:183" x14ac:dyDescent="0.2">
      <c r="DN355" cm="1">
        <f t="array" aca="1" ref="DN355" ca="1">INDEX(_xlfn.ANCHORARRAY($CP$15), 1 + INT((ROWS($DO$15:$DO355) - 1) / ROWS(_xlfn.ANCHORARRAY($CP$15))))</f>
        <v>20</v>
      </c>
      <c r="DO355" cm="1">
        <f t="array" aca="1" ref="DO355" ca="1">INDEX(_xlfn.ANCHORARRAY($CP$15),1+MOD(ROWS($DO$15:$DO355)-1,ROWS(_xlfn.ANCHORARRAY($CP$15))))</f>
        <v>20</v>
      </c>
      <c r="DP355" s="10" cm="1">
        <f t="array" aca="1" ref="DP355" ca="1">(1-$B$18)*SUMPRODUCT(OFFSET($BO$15,0,0,$B$14,1), 1*(_xlfn._xlws.FILTER(OFFSET($O$15,0,$DN355,$B$8,1),OFFSET($M$15,0,0,$B$8,1))=DP$13), 1*(_xlfn._xlws.FILTER(OFFSET($O$15,0,$DO355,$B$8,1),OFFSET($M$15,0,0,$B$8,1))=DP$14))   /   SUM(OFFSET($BO$15,0,0,$B$14,1)) + $B$18/($B$19*$B$19*($DN355&lt;&gt;$DO355) + $B$19*($DN355=$DO355))</f>
        <v>3.3333333333333331E-3</v>
      </c>
      <c r="DQ355" s="10" cm="1">
        <f t="array" aca="1" ref="DQ355" ca="1">(1-$B$18)*SUMPRODUCT(OFFSET($BO$15,0,0,$B$14,1), 1*(_xlfn._xlws.FILTER(OFFSET($O$15,0,$DN355,$B$8,1),OFFSET($M$15,0,0,$B$8,1))=DQ$13), 1*(_xlfn._xlws.FILTER(OFFSET($O$15,0,$DO355,$B$8,1),OFFSET($M$15,0,0,$B$8,1))=DQ$14))   /   SUM(OFFSET($BO$15,0,0,$B$14,1)) + $B$18/($B$19*$B$19*($DN355&lt;&gt;$DO355) + $B$19*($DN355=$DO355))</f>
        <v>3.3333333333333331E-3</v>
      </c>
      <c r="DR355" s="10" cm="1">
        <f t="array" aca="1" ref="DR355" ca="1">(1-$B$18)*SUMPRODUCT(OFFSET($BO$15,0,0,$B$14,1), 1*(_xlfn._xlws.FILTER(OFFSET($O$15,0,$DN355,$B$8,1),OFFSET($M$15,0,0,$B$8,1))=DR$13), 1*(_xlfn._xlws.FILTER(OFFSET($O$15,0,$DO355,$B$8,1),OFFSET($M$15,0,0,$B$8,1))=DR$14))   /   SUM(OFFSET($BO$15,0,0,$B$14,1)) + $B$18/($B$19*$B$19*($DN355&lt;&gt;$DO355) + $B$19*($DN355=$DO355))</f>
        <v>3.3333333333333331E-3</v>
      </c>
      <c r="DS355" s="10" cm="1">
        <f t="array" aca="1" ref="DS355" ca="1">(1-$B$18)*SUMPRODUCT(OFFSET($BO$15,0,0,$B$14,1), 1*(_xlfn._xlws.FILTER(OFFSET($O$15,0,$DN355,$B$8,1),OFFSET($M$15,0,0,$B$8,1))=DS$13), 1*(_xlfn._xlws.FILTER(OFFSET($O$15,0,$DO355,$B$8,1),OFFSET($M$15,0,0,$B$8,1))=DS$14))   /   SUM(OFFSET($BO$15,0,0,$B$14,1)) + $B$18/($B$19*$B$19*($DN355&lt;&gt;$DO355) + $B$19*($DN355=$DO355))</f>
        <v>3.3333333333333331E-3</v>
      </c>
      <c r="DT355" s="10" cm="1">
        <f t="array" aca="1" ref="DT355" ca="1">(1-$B$18)*SUMPRODUCT(OFFSET($BO$15,0,0,$B$14,1), 1*(_xlfn._xlws.FILTER(OFFSET($O$15,0,$DN355,$B$8,1),OFFSET($M$15,0,0,$B$8,1))=DT$13), 1*(_xlfn._xlws.FILTER(OFFSET($O$15,0,$DO355,$B$8,1),OFFSET($M$15,0,0,$B$8,1))=DT$14))   /   SUM(OFFSET($BO$15,0,0,$B$14,1)) + $B$18/($B$19*$B$19*($DN355&lt;&gt;$DO355) + $B$19*($DN355=$DO355))</f>
        <v>3.3333333333333331E-3</v>
      </c>
      <c r="DU355" s="10" cm="1">
        <f t="array" aca="1" ref="DU355" ca="1">(1-$B$18)*SUMPRODUCT(OFFSET($BO$15,0,0,$B$14,1), 1*(_xlfn._xlws.FILTER(OFFSET($O$15,0,$DN355,$B$8,1),OFFSET($M$15,0,0,$B$8,1))=DU$13), 1*(_xlfn._xlws.FILTER(OFFSET($O$15,0,$DO355,$B$8,1),OFFSET($M$15,0,0,$B$8,1))=DU$14))   /   SUM(OFFSET($BO$15,0,0,$B$14,1)) + $B$18/($B$19*$B$19*($DN355&lt;&gt;$DO355) + $B$19*($DN355=$DO355))</f>
        <v>3.3333333333333331E-3</v>
      </c>
      <c r="DV355" s="10" cm="1">
        <f t="array" aca="1" ref="DV355" ca="1">(1-$B$18)*SUMPRODUCT(OFFSET($BO$15,0,0,$B$14,1), 1*(_xlfn._xlws.FILTER(OFFSET($O$15,0,$DN355,$B$8,1),OFFSET($M$15,0,0,$B$8,1))=DV$13), 1*(_xlfn._xlws.FILTER(OFFSET($O$15,0,$DO355,$B$8,1),OFFSET($M$15,0,0,$B$8,1))=DV$14))   /   SUM(OFFSET($BO$15,0,0,$B$14,1)) + $B$18/($B$19*$B$19*($DN355&lt;&gt;$DO355) + $B$19*($DN355=$DO355))</f>
        <v>3.3333333333333331E-3</v>
      </c>
      <c r="DW355" s="10" cm="1">
        <f t="array" aca="1" ref="DW355" ca="1">(1-$B$18)*SUMPRODUCT(OFFSET($BO$15,0,0,$B$14,1), 1*(_xlfn._xlws.FILTER(OFFSET($O$15,0,$DN355,$B$8,1),OFFSET($M$15,0,0,$B$8,1))=DW$13), 1*(_xlfn._xlws.FILTER(OFFSET($O$15,0,$DO355,$B$8,1),OFFSET($M$15,0,0,$B$8,1))=DW$14))   /   SUM(OFFSET($BO$15,0,0,$B$14,1)) + $B$18/($B$19*$B$19*($DN355&lt;&gt;$DO355) + $B$19*($DN355=$DO355))</f>
        <v>3.3333333333333331E-3</v>
      </c>
      <c r="DX355" s="10" cm="1">
        <f t="array" aca="1" ref="DX355" ca="1">(1-$B$18)*SUMPRODUCT(OFFSET($BO$15,0,0,$B$14,1), 1*(_xlfn._xlws.FILTER(OFFSET($O$15,0,$DN355,$B$8,1),OFFSET($M$15,0,0,$B$8,1))=DX$13), 1*(_xlfn._xlws.FILTER(OFFSET($O$15,0,$DO355,$B$8,1),OFFSET($M$15,0,0,$B$8,1))=DX$14))   /   SUM(OFFSET($BO$15,0,0,$B$14,1)) + $B$18/($B$19*$B$19*($DN355&lt;&gt;$DO355) + $B$19*($DN355=$DO355))</f>
        <v>3.3333333333333331E-3</v>
      </c>
      <c r="DY355" s="10" cm="1">
        <f t="array" aca="1" ref="DY355" ca="1">(1-$B$18)*SUMPRODUCT(OFFSET($BO$15,0,0,$B$14,1), 1*(_xlfn._xlws.FILTER(OFFSET($O$15,0,$DN355,$B$8,1),OFFSET($M$15,0,0,$B$8,1))=DY$13), 1*(_xlfn._xlws.FILTER(OFFSET($O$15,0,$DO355,$B$8,1),OFFSET($M$15,0,0,$B$8,1))=DY$14))   /   SUM(OFFSET($BO$15,0,0,$B$14,1)) + $B$18/($B$19*$B$19*($DN355&lt;&gt;$DO355) + $B$19*($DN355=$DO355))</f>
        <v>3.3333333333333331E-3</v>
      </c>
      <c r="DZ355" s="10" cm="1">
        <f t="array" aca="1" ref="DZ355" ca="1">(1-$B$18)*SUMPRODUCT(OFFSET($BO$15,0,0,$B$14,1), 1*(_xlfn._xlws.FILTER(OFFSET($O$15,0,$DN355,$B$8,1),OFFSET($M$15,0,0,$B$8,1))=DZ$13), 1*(_xlfn._xlws.FILTER(OFFSET($O$15,0,$DO355,$B$8,1),OFFSET($M$15,0,0,$B$8,1))=DZ$14))   /   SUM(OFFSET($BO$15,0,0,$B$14,1)) + $B$18/($B$19*$B$19*($DN355&lt;&gt;$DO355) + $B$19*($DN355=$DO355))</f>
        <v>3.3333333333333331E-3</v>
      </c>
      <c r="EA355" s="10" cm="1">
        <f t="array" aca="1" ref="EA355" ca="1">(1-$B$18)*SUMPRODUCT(OFFSET($BO$15,0,0,$B$14,1), 1*(_xlfn._xlws.FILTER(OFFSET($O$15,0,$DN355,$B$8,1),OFFSET($M$15,0,0,$B$8,1))=EA$13), 1*(_xlfn._xlws.FILTER(OFFSET($O$15,0,$DO355,$B$8,1),OFFSET($M$15,0,0,$B$8,1))=EA$14))   /   SUM(OFFSET($BO$15,0,0,$B$14,1)) + $B$18/($B$19*$B$19*($DN355&lt;&gt;$DO355) + $B$19*($DN355=$DO355))</f>
        <v>3.3333333333333331E-3</v>
      </c>
      <c r="EB355" s="10" cm="1">
        <f t="array" aca="1" ref="EB355" ca="1">(1-$B$18)*SUMPRODUCT(OFFSET($BO$15,0,0,$B$14,1), 1*(_xlfn._xlws.FILTER(OFFSET($O$15,0,$DN355,$B$8,1),OFFSET($M$15,0,0,$B$8,1))=EB$13), 1*(_xlfn._xlws.FILTER(OFFSET($O$15,0,$DO355,$B$8,1),OFFSET($M$15,0,0,$B$8,1))=EB$14))   /   SUM(OFFSET($BO$15,0,0,$B$14,1)) + $B$18/($B$19*$B$19*($DN355&lt;&gt;$DO355) + $B$19*($DN355=$DO355))</f>
        <v>3.3333333333333331E-3</v>
      </c>
      <c r="EC355" s="10" cm="1">
        <f t="array" aca="1" ref="EC355" ca="1">(1-$B$18)*SUMPRODUCT(OFFSET($BO$15,0,0,$B$14,1), 1*(_xlfn._xlws.FILTER(OFFSET($O$15,0,$DN355,$B$8,1),OFFSET($M$15,0,0,$B$8,1))=EC$13), 1*(_xlfn._xlws.FILTER(OFFSET($O$15,0,$DO355,$B$8,1),OFFSET($M$15,0,0,$B$8,1))=EC$14))   /   SUM(OFFSET($BO$15,0,0,$B$14,1)) + $B$18/($B$19*$B$19*($DN355&lt;&gt;$DO355) + $B$19*($DN355=$DO355))</f>
        <v>3.3333333333333331E-3</v>
      </c>
      <c r="ED355" s="10" cm="1">
        <f t="array" aca="1" ref="ED355" ca="1">(1-$B$18)*SUMPRODUCT(OFFSET($BO$15,0,0,$B$14,1), 1*(_xlfn._xlws.FILTER(OFFSET($O$15,0,$DN355,$B$8,1),OFFSET($M$15,0,0,$B$8,1))=ED$13), 1*(_xlfn._xlws.FILTER(OFFSET($O$15,0,$DO355,$B$8,1),OFFSET($M$15,0,0,$B$8,1))=ED$14))   /   SUM(OFFSET($BO$15,0,0,$B$14,1)) + $B$18/($B$19*$B$19*($DN355&lt;&gt;$DO355) + $B$19*($DN355=$DO355))</f>
        <v>3.3333333333333331E-3</v>
      </c>
      <c r="EE355" s="10" cm="1">
        <f t="array" aca="1" ref="EE355" ca="1">(1-$B$18)*SUMPRODUCT(OFFSET($BO$15,0,0,$B$14,1), 1*(_xlfn._xlws.FILTER(OFFSET($O$15,0,$DN355,$B$8,1),OFFSET($M$15,0,0,$B$8,1))=EE$13), 1*(_xlfn._xlws.FILTER(OFFSET($O$15,0,$DO355,$B$8,1),OFFSET($M$15,0,0,$B$8,1))=EE$14))   /   SUM(OFFSET($BO$15,0,0,$B$14,1)) + $B$18/($B$19*$B$19*($DN355&lt;&gt;$DO355) + $B$19*($DN355=$DO355))</f>
        <v>3.3333333333333331E-3</v>
      </c>
      <c r="EF355" s="10" cm="1">
        <f t="array" aca="1" ref="EF355" ca="1">(1-$B$18)*SUMPRODUCT(OFFSET($BO$15,0,0,$B$14,1), 1*(_xlfn._xlws.FILTER(OFFSET($O$15,0,$DN355,$B$8,1),OFFSET($M$15,0,0,$B$8,1))=EF$13), 1*(_xlfn._xlws.FILTER(OFFSET($O$15,0,$DO355,$B$8,1),OFFSET($M$15,0,0,$B$8,1))=EF$14))   /   SUM(OFFSET($BO$15,0,0,$B$14,1)) + $B$18/($B$19*$B$19*($DN355&lt;&gt;$DO355) + $B$19*($DN355=$DO355))</f>
        <v>3.3333333333333331E-3</v>
      </c>
      <c r="EG355" s="10" cm="1">
        <f t="array" aca="1" ref="EG355" ca="1">(1-$B$18)*SUMPRODUCT(OFFSET($BO$15,0,0,$B$14,1), 1*(_xlfn._xlws.FILTER(OFFSET($O$15,0,$DN355,$B$8,1),OFFSET($M$15,0,0,$B$8,1))=EG$13), 1*(_xlfn._xlws.FILTER(OFFSET($O$15,0,$DO355,$B$8,1),OFFSET($M$15,0,0,$B$8,1))=EG$14))   /   SUM(OFFSET($BO$15,0,0,$B$14,1)) + $B$18/($B$19*$B$19*($DN355&lt;&gt;$DO355) + $B$19*($DN355=$DO355))</f>
        <v>3.3333333333333331E-3</v>
      </c>
      <c r="EH355" s="10" cm="1">
        <f t="array" aca="1" ref="EH355" ca="1">(1-$B$18)*SUMPRODUCT(OFFSET($BO$15,0,0,$B$14,1), 1*(_xlfn._xlws.FILTER(OFFSET($O$15,0,$DN355,$B$8,1),OFFSET($M$15,0,0,$B$8,1))=EH$13), 1*(_xlfn._xlws.FILTER(OFFSET($O$15,0,$DO355,$B$8,1),OFFSET($M$15,0,0,$B$8,1))=EH$14))   /   SUM(OFFSET($BO$15,0,0,$B$14,1)) + $B$18/($B$19*$B$19*($DN355&lt;&gt;$DO355) + $B$19*($DN355=$DO355))</f>
        <v>3.3333333333333331E-3</v>
      </c>
      <c r="EI355" s="10" cm="1">
        <f t="array" aca="1" ref="EI355" ca="1">(1-$B$18)*SUMPRODUCT(OFFSET($BO$15,0,0,$B$14,1), 1*(_xlfn._xlws.FILTER(OFFSET($O$15,0,$DN355,$B$8,1),OFFSET($M$15,0,0,$B$8,1))=EI$13), 1*(_xlfn._xlws.FILTER(OFFSET($O$15,0,$DO355,$B$8,1),OFFSET($M$15,0,0,$B$8,1))=EI$14))   /   SUM(OFFSET($BO$15,0,0,$B$14,1)) + $B$18/($B$19*$B$19*($DN355&lt;&gt;$DO355) + $B$19*($DN355=$DO355))</f>
        <v>3.3333333333333331E-3</v>
      </c>
      <c r="EJ355" s="10" cm="1">
        <f t="array" aca="1" ref="EJ355" ca="1">(1-$B$18)*SUMPRODUCT(OFFSET($BO$15,0,0,$B$14,1), 1*(_xlfn._xlws.FILTER(OFFSET($O$15,0,$DN355,$B$8,1),OFFSET($M$15,0,0,$B$8,1))=EJ$13), 1*(_xlfn._xlws.FILTER(OFFSET($O$15,0,$DO355,$B$8,1),OFFSET($M$15,0,0,$B$8,1))=EJ$14))   /   SUM(OFFSET($BO$15,0,0,$B$14,1)) + $B$18/($B$19*$B$19*($DN355&lt;&gt;$DO355) + $B$19*($DN355=$DO355))</f>
        <v>3.3333333333333331E-3</v>
      </c>
      <c r="EK355" s="10" cm="1">
        <f t="array" aca="1" ref="EK355" ca="1">(1-$B$18)*SUMPRODUCT(OFFSET($BO$15,0,0,$B$14,1), 1*(_xlfn._xlws.FILTER(OFFSET($O$15,0,$DN355,$B$8,1),OFFSET($M$15,0,0,$B$8,1))=EK$13), 1*(_xlfn._xlws.FILTER(OFFSET($O$15,0,$DO355,$B$8,1),OFFSET($M$15,0,0,$B$8,1))=EK$14))   /   SUM(OFFSET($BO$15,0,0,$B$14,1)) + $B$18/($B$19*$B$19*($DN355&lt;&gt;$DO355) + $B$19*($DN355=$DO355))</f>
        <v>3.3333333333333331E-3</v>
      </c>
      <c r="EL355" s="10" cm="1">
        <f t="array" aca="1" ref="EL355" ca="1">(1-$B$18)*SUMPRODUCT(OFFSET($BO$15,0,0,$B$14,1), 1*(_xlfn._xlws.FILTER(OFFSET($O$15,0,$DN355,$B$8,1),OFFSET($M$15,0,0,$B$8,1))=EL$13), 1*(_xlfn._xlws.FILTER(OFFSET($O$15,0,$DO355,$B$8,1),OFFSET($M$15,0,0,$B$8,1))=EL$14))   /   SUM(OFFSET($BO$15,0,0,$B$14,1)) + $B$18/($B$19*$B$19*($DN355&lt;&gt;$DO355) + $B$19*($DN355=$DO355))</f>
        <v>3.3333333333333331E-3</v>
      </c>
      <c r="EM355" s="10" cm="1">
        <f t="array" aca="1" ref="EM355" ca="1">(1-$B$18)*SUMPRODUCT(OFFSET($BO$15,0,0,$B$14,1), 1*(_xlfn._xlws.FILTER(OFFSET($O$15,0,$DN355,$B$8,1),OFFSET($M$15,0,0,$B$8,1))=EM$13), 1*(_xlfn._xlws.FILTER(OFFSET($O$15,0,$DO355,$B$8,1),OFFSET($M$15,0,0,$B$8,1))=EM$14))   /   SUM(OFFSET($BO$15,0,0,$B$14,1)) + $B$18/($B$19*$B$19*($DN355&lt;&gt;$DO355) + $B$19*($DN355=$DO355))</f>
        <v>3.3333333333333331E-3</v>
      </c>
      <c r="EN355" s="10" cm="1">
        <f t="array" aca="1" ref="EN355" ca="1">(1-$B$18)*SUMPRODUCT(OFFSET($BO$15,0,0,$B$14,1), 1*(_xlfn._xlws.FILTER(OFFSET($O$15,0,$DN355,$B$8,1),OFFSET($M$15,0,0,$B$8,1))=EN$13), 1*(_xlfn._xlws.FILTER(OFFSET($O$15,0,$DO355,$B$8,1),OFFSET($M$15,0,0,$B$8,1))=EN$14))   /   SUM(OFFSET($BO$15,0,0,$B$14,1)) + $B$18/($B$19*$B$19*($DN355&lt;&gt;$DO355) + $B$19*($DN355=$DO355))</f>
        <v>3.3333333333333331E-3</v>
      </c>
      <c r="EO355" s="10" cm="1">
        <f t="array" aca="1" ref="EO355" ca="1">(1-$B$18)*SUMPRODUCT(OFFSET($BO$15,0,0,$B$14,1), 1*(_xlfn._xlws.FILTER(OFFSET($O$15,0,$DN355,$B$8,1),OFFSET($M$15,0,0,$B$8,1))=EO$13), 1*(_xlfn._xlws.FILTER(OFFSET($O$15,0,$DO355,$B$8,1),OFFSET($M$15,0,0,$B$8,1))=EO$14))   /   SUM(OFFSET($BO$15,0,0,$B$14,1)) + $B$18/($B$19*$B$19*($DN355&lt;&gt;$DO355) + $B$19*($DN355=$DO355))</f>
        <v>3.3333333333333331E-3</v>
      </c>
      <c r="EP355" s="10" cm="1">
        <f t="array" aca="1" ref="EP355" ca="1">(1-$B$18)*SUMPRODUCT(OFFSET($BO$15,0,0,$B$14,1), 1*(_xlfn._xlws.FILTER(OFFSET($O$15,0,$DN355,$B$8,1),OFFSET($M$15,0,0,$B$8,1))=EP$13), 1*(_xlfn._xlws.FILTER(OFFSET($O$15,0,$DO355,$B$8,1),OFFSET($M$15,0,0,$B$8,1))=EP$14))   /   SUM(OFFSET($BO$15,0,0,$B$14,1)) + $B$18/($B$19*$B$19*($DN355&lt;&gt;$DO355) + $B$19*($DN355=$DO355))</f>
        <v>3.3333333333333331E-3</v>
      </c>
      <c r="EQ355" s="10" cm="1">
        <f t="array" aca="1" ref="EQ355" ca="1">(1-$B$18)*SUMPRODUCT(OFFSET($BO$15,0,0,$B$14,1), 1*(_xlfn._xlws.FILTER(OFFSET($O$15,0,$DN355,$B$8,1),OFFSET($M$15,0,0,$B$8,1))=EQ$13), 1*(_xlfn._xlws.FILTER(OFFSET($O$15,0,$DO355,$B$8,1),OFFSET($M$15,0,0,$B$8,1))=EQ$14))   /   SUM(OFFSET($BO$15,0,0,$B$14,1)) + $B$18/($B$19*$B$19*($DN355&lt;&gt;$DO355) + $B$19*($DN355=$DO355))</f>
        <v>3.3333333333333331E-3</v>
      </c>
      <c r="ER355" s="10" cm="1">
        <f t="array" aca="1" ref="ER355" ca="1">(1-$B$18)*SUMPRODUCT(OFFSET($BO$15,0,0,$B$14,1), 1*(_xlfn._xlws.FILTER(OFFSET($O$15,0,$DN355,$B$8,1),OFFSET($M$15,0,0,$B$8,1))=ER$13), 1*(_xlfn._xlws.FILTER(OFFSET($O$15,0,$DO355,$B$8,1),OFFSET($M$15,0,0,$B$8,1))=ER$14))   /   SUM(OFFSET($BO$15,0,0,$B$14,1)) + $B$18/($B$19*$B$19*($DN355&lt;&gt;$DO355) + $B$19*($DN355=$DO355))</f>
        <v>3.3333333333333331E-3</v>
      </c>
      <c r="ES355" s="10" cm="1">
        <f t="array" aca="1" ref="ES355" ca="1">(1-$B$18)*SUMPRODUCT(OFFSET($BO$15,0,0,$B$14,1), 1*(_xlfn._xlws.FILTER(OFFSET($O$15,0,$DN355,$B$8,1),OFFSET($M$15,0,0,$B$8,1))=ES$13), 1*(_xlfn._xlws.FILTER(OFFSET($O$15,0,$DO355,$B$8,1),OFFSET($M$15,0,0,$B$8,1))=ES$14))   /   SUM(OFFSET($BO$15,0,0,$B$14,1)) + $B$18/($B$19*$B$19*($DN355&lt;&gt;$DO355) + $B$19*($DN355=$DO355))</f>
        <v>3.3333333333333331E-3</v>
      </c>
      <c r="ET355" s="10" cm="1">
        <f t="array" aca="1" ref="ET355" ca="1">(1-$B$18)*SUMPRODUCT(OFFSET($BO$15,0,0,$B$14,1), 1*(_xlfn._xlws.FILTER(OFFSET($O$15,0,$DN355,$B$8,1),OFFSET($M$15,0,0,$B$8,1))=ET$13), 1*(_xlfn._xlws.FILTER(OFFSET($O$15,0,$DO355,$B$8,1),OFFSET($M$15,0,0,$B$8,1))=ET$14))   /   SUM(OFFSET($BO$15,0,0,$B$14,1)) + $B$18/($B$19*$B$19*($DN355&lt;&gt;$DO355) + $B$19*($DN355=$DO355))</f>
        <v>3.3333333333333331E-3</v>
      </c>
      <c r="EU355" s="10" cm="1">
        <f t="array" aca="1" ref="EU355" ca="1">(1-$B$18)*SUMPRODUCT(OFFSET($BO$15,0,0,$B$14,1), 1*(_xlfn._xlws.FILTER(OFFSET($O$15,0,$DN355,$B$8,1),OFFSET($M$15,0,0,$B$8,1))=EU$13), 1*(_xlfn._xlws.FILTER(OFFSET($O$15,0,$DO355,$B$8,1),OFFSET($M$15,0,0,$B$8,1))=EU$14))   /   SUM(OFFSET($BO$15,0,0,$B$14,1)) + $B$18/($B$19*$B$19*($DN355&lt;&gt;$DO355) + $B$19*($DN355=$DO355))</f>
        <v>3.3333333333333331E-3</v>
      </c>
      <c r="EV355" s="10" cm="1">
        <f t="array" aca="1" ref="EV355" ca="1">(1-$B$18)*SUMPRODUCT(OFFSET($BO$15,0,0,$B$14,1), 1*(_xlfn._xlws.FILTER(OFFSET($O$15,0,$DN355,$B$8,1),OFFSET($M$15,0,0,$B$8,1))=EV$13), 1*(_xlfn._xlws.FILTER(OFFSET($O$15,0,$DO355,$B$8,1),OFFSET($M$15,0,0,$B$8,1))=EV$14))   /   SUM(OFFSET($BO$15,0,0,$B$14,1)) + $B$18/($B$19*$B$19*($DN355&lt;&gt;$DO355) + $B$19*($DN355=$DO355))</f>
        <v>3.3333333333333331E-3</v>
      </c>
      <c r="EW355" s="10" cm="1">
        <f t="array" aca="1" ref="EW355" ca="1">(1-$B$18)*SUMPRODUCT(OFFSET($BO$15,0,0,$B$14,1), 1*(_xlfn._xlws.FILTER(OFFSET($O$15,0,$DN355,$B$8,1),OFFSET($M$15,0,0,$B$8,1))=EW$13), 1*(_xlfn._xlws.FILTER(OFFSET($O$15,0,$DO355,$B$8,1),OFFSET($M$15,0,0,$B$8,1))=EW$14))   /   SUM(OFFSET($BO$15,0,0,$B$14,1)) + $B$18/($B$19*$B$19*($DN355&lt;&gt;$DO355) + $B$19*($DN355=$DO355))</f>
        <v>3.3333333333333331E-3</v>
      </c>
      <c r="EX355" s="10" cm="1">
        <f t="array" aca="1" ref="EX355" ca="1">(1-$B$18)*SUMPRODUCT(OFFSET($BO$15,0,0,$B$14,1), 1*(_xlfn._xlws.FILTER(OFFSET($O$15,0,$DN355,$B$8,1),OFFSET($M$15,0,0,$B$8,1))=EX$13), 1*(_xlfn._xlws.FILTER(OFFSET($O$15,0,$DO355,$B$8,1),OFFSET($M$15,0,0,$B$8,1))=EX$14))   /   SUM(OFFSET($BO$15,0,0,$B$14,1)) + $B$18/($B$19*$B$19*($DN355&lt;&gt;$DO355) + $B$19*($DN355=$DO355))</f>
        <v>3.3333333333333331E-3</v>
      </c>
      <c r="EY355" s="10" cm="1">
        <f t="array" aca="1" ref="EY355" ca="1">(1-$B$18)*SUMPRODUCT(OFFSET($BO$15,0,0,$B$14,1), 1*(_xlfn._xlws.FILTER(OFFSET($O$15,0,$DN355,$B$8,1),OFFSET($M$15,0,0,$B$8,1))=EY$13), 1*(_xlfn._xlws.FILTER(OFFSET($O$15,0,$DO355,$B$8,1),OFFSET($M$15,0,0,$B$8,1))=EY$14))   /   SUM(OFFSET($BO$15,0,0,$B$14,1)) + $B$18/($B$19*$B$19*($DN355&lt;&gt;$DO355) + $B$19*($DN355=$DO355))</f>
        <v>3.3333333333333331E-3</v>
      </c>
      <c r="EZ355" s="10" cm="1">
        <f t="array" aca="1" ref="EZ355" ca="1">(1-$B$18)*SUMPRODUCT(OFFSET($BO$15,0,0,$B$14,1), 1*(_xlfn._xlws.FILTER(OFFSET($O$15,0,$DN355,$B$8,1),OFFSET($M$15,0,0,$B$8,1))=EZ$13), 1*(_xlfn._xlws.FILTER(OFFSET($O$15,0,$DO355,$B$8,1),OFFSET($M$15,0,0,$B$8,1))=EZ$14))   /   SUM(OFFSET($BO$15,0,0,$B$14,1)) + $B$18/($B$19*$B$19*($DN355&lt;&gt;$DO355) + $B$19*($DN355=$DO355))</f>
        <v>0.24583333333333318</v>
      </c>
      <c r="FA355" s="10" cm="1">
        <f t="array" aca="1" ref="FA355" ca="1">(1-$B$18)*SUMPRODUCT(OFFSET($BO$15,0,0,$B$14,1), 1*(_xlfn._xlws.FILTER(OFFSET($O$15,0,$DN355,$B$8,1),OFFSET($M$15,0,0,$B$8,1))=FA$13), 1*(_xlfn._xlws.FILTER(OFFSET($O$15,0,$DO355,$B$8,1),OFFSET($M$15,0,0,$B$8,1))=FA$14))   /   SUM(OFFSET($BO$15,0,0,$B$14,1)) + $B$18/($B$19*$B$19*($DN355&lt;&gt;$DO355) + $B$19*($DN355=$DO355))</f>
        <v>3.3333333333333331E-3</v>
      </c>
      <c r="FB355" s="10" cm="1">
        <f t="array" aca="1" ref="FB355" ca="1">(1-$B$18)*SUMPRODUCT(OFFSET($BO$15,0,0,$B$14,1), 1*(_xlfn._xlws.FILTER(OFFSET($O$15,0,$DN355,$B$8,1),OFFSET($M$15,0,0,$B$8,1))=FB$13), 1*(_xlfn._xlws.FILTER(OFFSET($O$15,0,$DO355,$B$8,1),OFFSET($M$15,0,0,$B$8,1))=FB$14))   /   SUM(OFFSET($BO$15,0,0,$B$14,1)) + $B$18/($B$19*$B$19*($DN355&lt;&gt;$DO355) + $B$19*($DN355=$DO355))</f>
        <v>3.3333333333333331E-3</v>
      </c>
      <c r="FC355" s="10" cm="1">
        <f t="array" aca="1" ref="FC355" ca="1">(1-$B$18)*SUMPRODUCT(OFFSET($BO$15,0,0,$B$14,1), 1*(_xlfn._xlws.FILTER(OFFSET($O$15,0,$DN355,$B$8,1),OFFSET($M$15,0,0,$B$8,1))=FC$13), 1*(_xlfn._xlws.FILTER(OFFSET($O$15,0,$DO355,$B$8,1),OFFSET($M$15,0,0,$B$8,1))=FC$14))   /   SUM(OFFSET($BO$15,0,0,$B$14,1)) + $B$18/($B$19*$B$19*($DN355&lt;&gt;$DO355) + $B$19*($DN355=$DO355))</f>
        <v>3.3333333333333331E-3</v>
      </c>
      <c r="FD355" s="10" cm="1">
        <f t="array" aca="1" ref="FD355" ca="1">(1-$B$18)*SUMPRODUCT(OFFSET($BO$15,0,0,$B$14,1), 1*(_xlfn._xlws.FILTER(OFFSET($O$15,0,$DN355,$B$8,1),OFFSET($M$15,0,0,$B$8,1))=FD$13), 1*(_xlfn._xlws.FILTER(OFFSET($O$15,0,$DO355,$B$8,1),OFFSET($M$15,0,0,$B$8,1))=FD$14))   /   SUM(OFFSET($BO$15,0,0,$B$14,1)) + $B$18/($B$19*$B$19*($DN355&lt;&gt;$DO355) + $B$19*($DN355=$DO355))</f>
        <v>3.3333333333333331E-3</v>
      </c>
      <c r="FE355" s="10" cm="1">
        <f t="array" aca="1" ref="FE355" ca="1">(1-$B$18)*SUMPRODUCT(OFFSET($BO$15,0,0,$B$14,1), 1*(_xlfn._xlws.FILTER(OFFSET($O$15,0,$DN355,$B$8,1),OFFSET($M$15,0,0,$B$8,1))=FE$13), 1*(_xlfn._xlws.FILTER(OFFSET($O$15,0,$DO355,$B$8,1),OFFSET($M$15,0,0,$B$8,1))=FE$14))   /   SUM(OFFSET($BO$15,0,0,$B$14,1)) + $B$18/($B$19*$B$19*($DN355&lt;&gt;$DO355) + $B$19*($DN355=$DO355))</f>
        <v>3.3333333333333331E-3</v>
      </c>
      <c r="FF355" s="10" cm="1">
        <f t="array" aca="1" ref="FF355" ca="1">(1-$B$18)*SUMPRODUCT(OFFSET($BO$15,0,0,$B$14,1), 1*(_xlfn._xlws.FILTER(OFFSET($O$15,0,$DN355,$B$8,1),OFFSET($M$15,0,0,$B$8,1))=FF$13), 1*(_xlfn._xlws.FILTER(OFFSET($O$15,0,$DO355,$B$8,1),OFFSET($M$15,0,0,$B$8,1))=FF$14))   /   SUM(OFFSET($BO$15,0,0,$B$14,1)) + $B$18/($B$19*$B$19*($DN355&lt;&gt;$DO355) + $B$19*($DN355=$DO355))</f>
        <v>3.3333333333333331E-3</v>
      </c>
      <c r="FG355" s="10" cm="1">
        <f t="array" aca="1" ref="FG355" ca="1">(1-$B$18)*SUMPRODUCT(OFFSET($BO$15,0,0,$B$14,1), 1*(_xlfn._xlws.FILTER(OFFSET($O$15,0,$DN355,$B$8,1),OFFSET($M$15,0,0,$B$8,1))=FG$13), 1*(_xlfn._xlws.FILTER(OFFSET($O$15,0,$DO355,$B$8,1),OFFSET($M$15,0,0,$B$8,1))=FG$14))   /   SUM(OFFSET($BO$15,0,0,$B$14,1)) + $B$18/($B$19*$B$19*($DN355&lt;&gt;$DO355) + $B$19*($DN355=$DO355))</f>
        <v>3.3333333333333331E-3</v>
      </c>
      <c r="FH355" s="10" cm="1">
        <f t="array" aca="1" ref="FH355" ca="1">(1-$B$18)*SUMPRODUCT(OFFSET($BO$15,0,0,$B$14,1), 1*(_xlfn._xlws.FILTER(OFFSET($O$15,0,$DN355,$B$8,1),OFFSET($M$15,0,0,$B$8,1))=FH$13), 1*(_xlfn._xlws.FILTER(OFFSET($O$15,0,$DO355,$B$8,1),OFFSET($M$15,0,0,$B$8,1))=FH$14))   /   SUM(OFFSET($BO$15,0,0,$B$14,1)) + $B$18/($B$19*$B$19*($DN355&lt;&gt;$DO355) + $B$19*($DN355=$DO355))</f>
        <v>3.3333333333333331E-3</v>
      </c>
      <c r="FI355" s="10" cm="1">
        <f t="array" aca="1" ref="FI355" ca="1">(1-$B$18)*SUMPRODUCT(OFFSET($BO$15,0,0,$B$14,1), 1*(_xlfn._xlws.FILTER(OFFSET($O$15,0,$DN355,$B$8,1),OFFSET($M$15,0,0,$B$8,1))=FI$13), 1*(_xlfn._xlws.FILTER(OFFSET($O$15,0,$DO355,$B$8,1),OFFSET($M$15,0,0,$B$8,1))=FI$14))   /   SUM(OFFSET($BO$15,0,0,$B$14,1)) + $B$18/($B$19*$B$19*($DN355&lt;&gt;$DO355) + $B$19*($DN355=$DO355))</f>
        <v>0.24583333333333321</v>
      </c>
      <c r="FJ355" s="10" cm="1">
        <f t="array" aca="1" ref="FJ355" ca="1">(1-$B$18)*SUMPRODUCT(OFFSET($BO$15,0,0,$B$14,1), 1*(_xlfn._xlws.FILTER(OFFSET($O$15,0,$DN355,$B$8,1),OFFSET($M$15,0,0,$B$8,1))=FJ$13), 1*(_xlfn._xlws.FILTER(OFFSET($O$15,0,$DO355,$B$8,1),OFFSET($M$15,0,0,$B$8,1))=FJ$14))   /   SUM(OFFSET($BO$15,0,0,$B$14,1)) + $B$18/($B$19*$B$19*($DN355&lt;&gt;$DO355) + $B$19*($DN355=$DO355))</f>
        <v>3.3333333333333331E-3</v>
      </c>
      <c r="FK355" s="10" cm="1">
        <f t="array" aca="1" ref="FK355" ca="1">(1-$B$18)*SUMPRODUCT(OFFSET($BO$15,0,0,$B$14,1), 1*(_xlfn._xlws.FILTER(OFFSET($O$15,0,$DN355,$B$8,1),OFFSET($M$15,0,0,$B$8,1))=FK$13), 1*(_xlfn._xlws.FILTER(OFFSET($O$15,0,$DO355,$B$8,1),OFFSET($M$15,0,0,$B$8,1))=FK$14))   /   SUM(OFFSET($BO$15,0,0,$B$14,1)) + $B$18/($B$19*$B$19*($DN355&lt;&gt;$DO355) + $B$19*($DN355=$DO355))</f>
        <v>3.3333333333333331E-3</v>
      </c>
      <c r="FL355" s="10" cm="1">
        <f t="array" aca="1" ref="FL355" ca="1">(1-$B$18)*SUMPRODUCT(OFFSET($BO$15,0,0,$B$14,1), 1*(_xlfn._xlws.FILTER(OFFSET($O$15,0,$DN355,$B$8,1),OFFSET($M$15,0,0,$B$8,1))=FL$13), 1*(_xlfn._xlws.FILTER(OFFSET($O$15,0,$DO355,$B$8,1),OFFSET($M$15,0,0,$B$8,1))=FL$14))   /   SUM(OFFSET($BO$15,0,0,$B$14,1)) + $B$18/($B$19*$B$19*($DN355&lt;&gt;$DO355) + $B$19*($DN355=$DO355))</f>
        <v>3.3333333333333331E-3</v>
      </c>
      <c r="FM355" s="10" cm="1">
        <f t="array" aca="1" ref="FM355" ca="1">(1-$B$18)*SUMPRODUCT(OFFSET($BO$15,0,0,$B$14,1), 1*(_xlfn._xlws.FILTER(OFFSET($O$15,0,$DN355,$B$8,1),OFFSET($M$15,0,0,$B$8,1))=FM$13), 1*(_xlfn._xlws.FILTER(OFFSET($O$15,0,$DO355,$B$8,1),OFFSET($M$15,0,0,$B$8,1))=FM$14))   /   SUM(OFFSET($BO$15,0,0,$B$14,1)) + $B$18/($B$19*$B$19*($DN355&lt;&gt;$DO355) + $B$19*($DN355=$DO355))</f>
        <v>3.3333333333333331E-3</v>
      </c>
      <c r="FN355" s="10" cm="1">
        <f t="array" aca="1" ref="FN355" ca="1">(1-$B$18)*SUMPRODUCT(OFFSET($BO$15,0,0,$B$14,1), 1*(_xlfn._xlws.FILTER(OFFSET($O$15,0,$DN355,$B$8,1),OFFSET($M$15,0,0,$B$8,1))=FN$13), 1*(_xlfn._xlws.FILTER(OFFSET($O$15,0,$DO355,$B$8,1),OFFSET($M$15,0,0,$B$8,1))=FN$14))   /   SUM(OFFSET($BO$15,0,0,$B$14,1)) + $B$18/($B$19*$B$19*($DN355&lt;&gt;$DO355) + $B$19*($DN355=$DO355))</f>
        <v>3.3333333333333331E-3</v>
      </c>
      <c r="FO355" s="10" cm="1">
        <f t="array" aca="1" ref="FO355" ca="1">(1-$B$18)*SUMPRODUCT(OFFSET($BO$15,0,0,$B$14,1), 1*(_xlfn._xlws.FILTER(OFFSET($O$15,0,$DN355,$B$8,1),OFFSET($M$15,0,0,$B$8,1))=FO$13), 1*(_xlfn._xlws.FILTER(OFFSET($O$15,0,$DO355,$B$8,1),OFFSET($M$15,0,0,$B$8,1))=FO$14))   /   SUM(OFFSET($BO$15,0,0,$B$14,1)) + $B$18/($B$19*$B$19*($DN355&lt;&gt;$DO355) + $B$19*($DN355=$DO355))</f>
        <v>3.3333333333333331E-3</v>
      </c>
      <c r="FP355" s="10" cm="1">
        <f t="array" aca="1" ref="FP355" ca="1">(1-$B$18)*SUMPRODUCT(OFFSET($BO$15,0,0,$B$14,1), 1*(_xlfn._xlws.FILTER(OFFSET($O$15,0,$DN355,$B$8,1),OFFSET($M$15,0,0,$B$8,1))=FP$13), 1*(_xlfn._xlws.FILTER(OFFSET($O$15,0,$DO355,$B$8,1),OFFSET($M$15,0,0,$B$8,1))=FP$14))   /   SUM(OFFSET($BO$15,0,0,$B$14,1)) + $B$18/($B$19*$B$19*($DN355&lt;&gt;$DO355) + $B$19*($DN355=$DO355))</f>
        <v>3.3333333333333331E-3</v>
      </c>
      <c r="FQ355" s="10" cm="1">
        <f t="array" aca="1" ref="FQ355" ca="1">(1-$B$18)*SUMPRODUCT(OFFSET($BO$15,0,0,$B$14,1), 1*(_xlfn._xlws.FILTER(OFFSET($O$15,0,$DN355,$B$8,1),OFFSET($M$15,0,0,$B$8,1))=FQ$13), 1*(_xlfn._xlws.FILTER(OFFSET($O$15,0,$DO355,$B$8,1),OFFSET($M$15,0,0,$B$8,1))=FQ$14))   /   SUM(OFFSET($BO$15,0,0,$B$14,1)) + $B$18/($B$19*$B$19*($DN355&lt;&gt;$DO355) + $B$19*($DN355=$DO355))</f>
        <v>3.3333333333333331E-3</v>
      </c>
      <c r="FR355" s="10" cm="1">
        <f t="array" aca="1" ref="FR355" ca="1">(1-$B$18)*SUMPRODUCT(OFFSET($BO$15,0,0,$B$14,1), 1*(_xlfn._xlws.FILTER(OFFSET($O$15,0,$DN355,$B$8,1),OFFSET($M$15,0,0,$B$8,1))=FR$13), 1*(_xlfn._xlws.FILTER(OFFSET($O$15,0,$DO355,$B$8,1),OFFSET($M$15,0,0,$B$8,1))=FR$14))   /   SUM(OFFSET($BO$15,0,0,$B$14,1)) + $B$18/($B$19*$B$19*($DN355&lt;&gt;$DO355) + $B$19*($DN355=$DO355))</f>
        <v>0.48833333333333312</v>
      </c>
      <c r="FS355" s="10" cm="1">
        <f t="array" aca="1" ref="FS355" ca="1">(1-$B$18)*SUMPRODUCT(OFFSET($BO$15,0,0,$B$14,1), 1*(_xlfn._xlws.FILTER(OFFSET($O$15,0,$DN355,$B$8,1),OFFSET($M$15,0,0,$B$8,1))=FS$13), 1*(_xlfn._xlws.FILTER(OFFSET($O$15,0,$DO355,$B$8,1),OFFSET($M$15,0,0,$B$8,1))=FS$14))   /   SUM(OFFSET($BO$15,0,0,$B$14,1)) + $B$18/($B$19*$B$19*($DN355&lt;&gt;$DO355) + $B$19*($DN355=$DO355))</f>
        <v>3.3333333333333331E-3</v>
      </c>
      <c r="FT355" s="10" cm="1">
        <f t="array" aca="1" ref="FT355" ca="1">(1-$B$18)*SUMPRODUCT(OFFSET($BO$15,0,0,$B$14,1), 1*(_xlfn._xlws.FILTER(OFFSET($O$15,0,$DN355,$B$8,1),OFFSET($M$15,0,0,$B$8,1))=FT$13), 1*(_xlfn._xlws.FILTER(OFFSET($O$15,0,$DO355,$B$8,1),OFFSET($M$15,0,0,$B$8,1))=FT$14))   /   SUM(OFFSET($BO$15,0,0,$B$14,1)) + $B$18/($B$19*$B$19*($DN355&lt;&gt;$DO355) + $B$19*($DN355=$DO355))</f>
        <v>3.3333333333333331E-3</v>
      </c>
      <c r="FU355" s="10" cm="1">
        <f t="array" aca="1" ref="FU355" ca="1">(1-$B$18)*SUMPRODUCT(OFFSET($BO$15,0,0,$B$14,1), 1*(_xlfn._xlws.FILTER(OFFSET($O$15,0,$DN355,$B$8,1),OFFSET($M$15,0,0,$B$8,1))=FU$13), 1*(_xlfn._xlws.FILTER(OFFSET($O$15,0,$DO355,$B$8,1),OFFSET($M$15,0,0,$B$8,1))=FU$14))   /   SUM(OFFSET($BO$15,0,0,$B$14,1)) + $B$18/($B$19*$B$19*($DN355&lt;&gt;$DO355) + $B$19*($DN355=$DO355))</f>
        <v>3.3333333333333331E-3</v>
      </c>
      <c r="FV355" s="10" cm="1">
        <f t="array" aca="1" ref="FV355" ca="1">(1-$B$18)*SUMPRODUCT(OFFSET($BO$15,0,0,$B$14,1), 1*(_xlfn._xlws.FILTER(OFFSET($O$15,0,$DN355,$B$8,1),OFFSET($M$15,0,0,$B$8,1))=FV$13), 1*(_xlfn._xlws.FILTER(OFFSET($O$15,0,$DO355,$B$8,1),OFFSET($M$15,0,0,$B$8,1))=FV$14))   /   SUM(OFFSET($BO$15,0,0,$B$14,1)) + $B$18/($B$19*$B$19*($DN355&lt;&gt;$DO355) + $B$19*($DN355=$DO355))</f>
        <v>3.3333333333333331E-3</v>
      </c>
      <c r="FW355" s="10" cm="1">
        <f t="array" aca="1" ref="FW355" ca="1">(1-$B$18)*SUMPRODUCT(OFFSET($BO$15,0,0,$B$14,1), 1*(_xlfn._xlws.FILTER(OFFSET($O$15,0,$DN355,$B$8,1),OFFSET($M$15,0,0,$B$8,1))=FW$13), 1*(_xlfn._xlws.FILTER(OFFSET($O$15,0,$DO355,$B$8,1),OFFSET($M$15,0,0,$B$8,1))=FW$14))   /   SUM(OFFSET($BO$15,0,0,$B$14,1)) + $B$18/($B$19*$B$19*($DN355&lt;&gt;$DO355) + $B$19*($DN355=$DO355))</f>
        <v>3.3333333333333331E-3</v>
      </c>
      <c r="FX355" s="10" cm="1">
        <f t="array" aca="1" ref="FX355" ca="1">(1-$B$18)*SUMPRODUCT(OFFSET($BO$15,0,0,$B$14,1), 1*(_xlfn._xlws.FILTER(OFFSET($O$15,0,$DN355,$B$8,1),OFFSET($M$15,0,0,$B$8,1))=FX$13), 1*(_xlfn._xlws.FILTER(OFFSET($O$15,0,$DO355,$B$8,1),OFFSET($M$15,0,0,$B$8,1))=FX$14))   /   SUM(OFFSET($BO$15,0,0,$B$14,1)) + $B$18/($B$19*$B$19*($DN355&lt;&gt;$DO355) + $B$19*($DN355=$DO355))</f>
        <v>3.3333333333333331E-3</v>
      </c>
      <c r="FY355" s="10" cm="1">
        <f t="array" aca="1" ref="FY355" ca="1">(1-$B$18)*SUMPRODUCT(OFFSET($BO$15,0,0,$B$14,1), 1*(_xlfn._xlws.FILTER(OFFSET($O$15,0,$DN355,$B$8,1),OFFSET($M$15,0,0,$B$8,1))=FY$13), 1*(_xlfn._xlws.FILTER(OFFSET($O$15,0,$DO355,$B$8,1),OFFSET($M$15,0,0,$B$8,1))=FY$14))   /   SUM(OFFSET($BO$15,0,0,$B$14,1)) + $B$18/($B$19*$B$19*($DN355&lt;&gt;$DO355) + $B$19*($DN355=$DO355))</f>
        <v>3.3333333333333331E-3</v>
      </c>
      <c r="FZ355" s="10" cm="1">
        <f t="array" aca="1" ref="FZ355" ca="1">(1-$B$18)*SUMPRODUCT(OFFSET($BO$15,0,0,$B$14,1), 1*(_xlfn._xlws.FILTER(OFFSET($O$15,0,$DN355,$B$8,1),OFFSET($M$15,0,0,$B$8,1))=FZ$13), 1*(_xlfn._xlws.FILTER(OFFSET($O$15,0,$DO355,$B$8,1),OFFSET($M$15,0,0,$B$8,1))=FZ$14))   /   SUM(OFFSET($BO$15,0,0,$B$14,1)) + $B$18/($B$19*$B$19*($DN355&lt;&gt;$DO355) + $B$19*($DN355=$DO355))</f>
        <v>3.3333333333333331E-3</v>
      </c>
      <c r="GA355" s="10" cm="1">
        <f t="array" aca="1" ref="GA355" ca="1">(1-$B$18)*SUMPRODUCT(OFFSET($BO$15,0,0,$B$14,1), 1*(_xlfn._xlws.FILTER(OFFSET($O$15,0,$DN355,$B$8,1),OFFSET($M$15,0,0,$B$8,1))=GA$13), 1*(_xlfn._xlws.FILTER(OFFSET($O$15,0,$DO355,$B$8,1),OFFSET($M$15,0,0,$B$8,1))=GA$14))   /   SUM(OFFSET($BO$15,0,0,$B$14,1)) + $B$18/($B$19*$B$19*($DN355&lt;&gt;$DO355) + $B$19*($DN355=$DO355))</f>
        <v>3.3333333333333331E-3</v>
      </c>
    </row>
    <row r="356" spans="118:183" x14ac:dyDescent="0.2">
      <c r="DN356" cm="1">
        <f t="array" aca="1" ref="DN356" ca="1">INDEX(_xlfn.ANCHORARRAY($CP$15), 1 + INT((ROWS($DO$15:$DO356) - 1) / ROWS(_xlfn.ANCHORARRAY($CP$15))))</f>
        <v>20</v>
      </c>
      <c r="DO356" cm="1">
        <f t="array" aca="1" ref="DO356" ca="1">INDEX(_xlfn.ANCHORARRAY($CP$15),1+MOD(ROWS($DO$15:$DO356)-1,ROWS(_xlfn.ANCHORARRAY($CP$15))))</f>
        <v>21</v>
      </c>
      <c r="DP356" s="10" cm="1">
        <f t="array" aca="1" ref="DP356" ca="1">(1-$B$18)*SUMPRODUCT(OFFSET($BO$15,0,0,$B$14,1), 1*(_xlfn._xlws.FILTER(OFFSET($O$15,0,$DN356,$B$8,1),OFFSET($M$15,0,0,$B$8,1))=DP$13), 1*(_xlfn._xlws.FILTER(OFFSET($O$15,0,$DO356,$B$8,1),OFFSET($M$15,0,0,$B$8,1))=DP$14))   /   SUM(OFFSET($BO$15,0,0,$B$14,1)) + $B$18/($B$19*$B$19*($DN356&lt;&gt;$DO356) + $B$19*($DN356=$DO356))</f>
        <v>3.7037037037037035E-4</v>
      </c>
      <c r="DQ356" s="10" cm="1">
        <f t="array" aca="1" ref="DQ356" ca="1">(1-$B$18)*SUMPRODUCT(OFFSET($BO$15,0,0,$B$14,1), 1*(_xlfn._xlws.FILTER(OFFSET($O$15,0,$DN356,$B$8,1),OFFSET($M$15,0,0,$B$8,1))=DQ$13), 1*(_xlfn._xlws.FILTER(OFFSET($O$15,0,$DO356,$B$8,1),OFFSET($M$15,0,0,$B$8,1))=DQ$14))   /   SUM(OFFSET($BO$15,0,0,$B$14,1)) + $B$18/($B$19*$B$19*($DN356&lt;&gt;$DO356) + $B$19*($DN356=$DO356))</f>
        <v>3.7037037037037035E-4</v>
      </c>
      <c r="DR356" s="10" cm="1">
        <f t="array" aca="1" ref="DR356" ca="1">(1-$B$18)*SUMPRODUCT(OFFSET($BO$15,0,0,$B$14,1), 1*(_xlfn._xlws.FILTER(OFFSET($O$15,0,$DN356,$B$8,1),OFFSET($M$15,0,0,$B$8,1))=DR$13), 1*(_xlfn._xlws.FILTER(OFFSET($O$15,0,$DO356,$B$8,1),OFFSET($M$15,0,0,$B$8,1))=DR$14))   /   SUM(OFFSET($BO$15,0,0,$B$14,1)) + $B$18/($B$19*$B$19*($DN356&lt;&gt;$DO356) + $B$19*($DN356=$DO356))</f>
        <v>3.7037037037037035E-4</v>
      </c>
      <c r="DS356" s="10" cm="1">
        <f t="array" aca="1" ref="DS356" ca="1">(1-$B$18)*SUMPRODUCT(OFFSET($BO$15,0,0,$B$14,1), 1*(_xlfn._xlws.FILTER(OFFSET($O$15,0,$DN356,$B$8,1),OFFSET($M$15,0,0,$B$8,1))=DS$13), 1*(_xlfn._xlws.FILTER(OFFSET($O$15,0,$DO356,$B$8,1),OFFSET($M$15,0,0,$B$8,1))=DS$14))   /   SUM(OFFSET($BO$15,0,0,$B$14,1)) + $B$18/($B$19*$B$19*($DN356&lt;&gt;$DO356) + $B$19*($DN356=$DO356))</f>
        <v>3.7037037037037035E-4</v>
      </c>
      <c r="DT356" s="10" cm="1">
        <f t="array" aca="1" ref="DT356" ca="1">(1-$B$18)*SUMPRODUCT(OFFSET($BO$15,0,0,$B$14,1), 1*(_xlfn._xlws.FILTER(OFFSET($O$15,0,$DN356,$B$8,1),OFFSET($M$15,0,0,$B$8,1))=DT$13), 1*(_xlfn._xlws.FILTER(OFFSET($O$15,0,$DO356,$B$8,1),OFFSET($M$15,0,0,$B$8,1))=DT$14))   /   SUM(OFFSET($BO$15,0,0,$B$14,1)) + $B$18/($B$19*$B$19*($DN356&lt;&gt;$DO356) + $B$19*($DN356=$DO356))</f>
        <v>3.7037037037037035E-4</v>
      </c>
      <c r="DU356" s="10" cm="1">
        <f t="array" aca="1" ref="DU356" ca="1">(1-$B$18)*SUMPRODUCT(OFFSET($BO$15,0,0,$B$14,1), 1*(_xlfn._xlws.FILTER(OFFSET($O$15,0,$DN356,$B$8,1),OFFSET($M$15,0,0,$B$8,1))=DU$13), 1*(_xlfn._xlws.FILTER(OFFSET($O$15,0,$DO356,$B$8,1),OFFSET($M$15,0,0,$B$8,1))=DU$14))   /   SUM(OFFSET($BO$15,0,0,$B$14,1)) + $B$18/($B$19*$B$19*($DN356&lt;&gt;$DO356) + $B$19*($DN356=$DO356))</f>
        <v>3.7037037037037035E-4</v>
      </c>
      <c r="DV356" s="10" cm="1">
        <f t="array" aca="1" ref="DV356" ca="1">(1-$B$18)*SUMPRODUCT(OFFSET($BO$15,0,0,$B$14,1), 1*(_xlfn._xlws.FILTER(OFFSET($O$15,0,$DN356,$B$8,1),OFFSET($M$15,0,0,$B$8,1))=DV$13), 1*(_xlfn._xlws.FILTER(OFFSET($O$15,0,$DO356,$B$8,1),OFFSET($M$15,0,0,$B$8,1))=DV$14))   /   SUM(OFFSET($BO$15,0,0,$B$14,1)) + $B$18/($B$19*$B$19*($DN356&lt;&gt;$DO356) + $B$19*($DN356=$DO356))</f>
        <v>3.7037037037037035E-4</v>
      </c>
      <c r="DW356" s="10" cm="1">
        <f t="array" aca="1" ref="DW356" ca="1">(1-$B$18)*SUMPRODUCT(OFFSET($BO$15,0,0,$B$14,1), 1*(_xlfn._xlws.FILTER(OFFSET($O$15,0,$DN356,$B$8,1),OFFSET($M$15,0,0,$B$8,1))=DW$13), 1*(_xlfn._xlws.FILTER(OFFSET($O$15,0,$DO356,$B$8,1),OFFSET($M$15,0,0,$B$8,1))=DW$14))   /   SUM(OFFSET($BO$15,0,0,$B$14,1)) + $B$18/($B$19*$B$19*($DN356&lt;&gt;$DO356) + $B$19*($DN356=$DO356))</f>
        <v>3.7037037037037035E-4</v>
      </c>
      <c r="DX356" s="10" cm="1">
        <f t="array" aca="1" ref="DX356" ca="1">(1-$B$18)*SUMPRODUCT(OFFSET($BO$15,0,0,$B$14,1), 1*(_xlfn._xlws.FILTER(OFFSET($O$15,0,$DN356,$B$8,1),OFFSET($M$15,0,0,$B$8,1))=DX$13), 1*(_xlfn._xlws.FILTER(OFFSET($O$15,0,$DO356,$B$8,1),OFFSET($M$15,0,0,$B$8,1))=DX$14))   /   SUM(OFFSET($BO$15,0,0,$B$14,1)) + $B$18/($B$19*$B$19*($DN356&lt;&gt;$DO356) + $B$19*($DN356=$DO356))</f>
        <v>3.7037037037037035E-4</v>
      </c>
      <c r="DY356" s="10" cm="1">
        <f t="array" aca="1" ref="DY356" ca="1">(1-$B$18)*SUMPRODUCT(OFFSET($BO$15,0,0,$B$14,1), 1*(_xlfn._xlws.FILTER(OFFSET($O$15,0,$DN356,$B$8,1),OFFSET($M$15,0,0,$B$8,1))=DY$13), 1*(_xlfn._xlws.FILTER(OFFSET($O$15,0,$DO356,$B$8,1),OFFSET($M$15,0,0,$B$8,1))=DY$14))   /   SUM(OFFSET($BO$15,0,0,$B$14,1)) + $B$18/($B$19*$B$19*($DN356&lt;&gt;$DO356) + $B$19*($DN356=$DO356))</f>
        <v>3.7037037037037035E-4</v>
      </c>
      <c r="DZ356" s="10" cm="1">
        <f t="array" aca="1" ref="DZ356" ca="1">(1-$B$18)*SUMPRODUCT(OFFSET($BO$15,0,0,$B$14,1), 1*(_xlfn._xlws.FILTER(OFFSET($O$15,0,$DN356,$B$8,1),OFFSET($M$15,0,0,$B$8,1))=DZ$13), 1*(_xlfn._xlws.FILTER(OFFSET($O$15,0,$DO356,$B$8,1),OFFSET($M$15,0,0,$B$8,1))=DZ$14))   /   SUM(OFFSET($BO$15,0,0,$B$14,1)) + $B$18/($B$19*$B$19*($DN356&lt;&gt;$DO356) + $B$19*($DN356=$DO356))</f>
        <v>3.7037037037037035E-4</v>
      </c>
      <c r="EA356" s="10" cm="1">
        <f t="array" aca="1" ref="EA356" ca="1">(1-$B$18)*SUMPRODUCT(OFFSET($BO$15,0,0,$B$14,1), 1*(_xlfn._xlws.FILTER(OFFSET($O$15,0,$DN356,$B$8,1),OFFSET($M$15,0,0,$B$8,1))=EA$13), 1*(_xlfn._xlws.FILTER(OFFSET($O$15,0,$DO356,$B$8,1),OFFSET($M$15,0,0,$B$8,1))=EA$14))   /   SUM(OFFSET($BO$15,0,0,$B$14,1)) + $B$18/($B$19*$B$19*($DN356&lt;&gt;$DO356) + $B$19*($DN356=$DO356))</f>
        <v>3.7037037037037035E-4</v>
      </c>
      <c r="EB356" s="10" cm="1">
        <f t="array" aca="1" ref="EB356" ca="1">(1-$B$18)*SUMPRODUCT(OFFSET($BO$15,0,0,$B$14,1), 1*(_xlfn._xlws.FILTER(OFFSET($O$15,0,$DN356,$B$8,1),OFFSET($M$15,0,0,$B$8,1))=EB$13), 1*(_xlfn._xlws.FILTER(OFFSET($O$15,0,$DO356,$B$8,1),OFFSET($M$15,0,0,$B$8,1))=EB$14))   /   SUM(OFFSET($BO$15,0,0,$B$14,1)) + $B$18/($B$19*$B$19*($DN356&lt;&gt;$DO356) + $B$19*($DN356=$DO356))</f>
        <v>3.7037037037037035E-4</v>
      </c>
      <c r="EC356" s="10" cm="1">
        <f t="array" aca="1" ref="EC356" ca="1">(1-$B$18)*SUMPRODUCT(OFFSET($BO$15,0,0,$B$14,1), 1*(_xlfn._xlws.FILTER(OFFSET($O$15,0,$DN356,$B$8,1),OFFSET($M$15,0,0,$B$8,1))=EC$13), 1*(_xlfn._xlws.FILTER(OFFSET($O$15,0,$DO356,$B$8,1),OFFSET($M$15,0,0,$B$8,1))=EC$14))   /   SUM(OFFSET($BO$15,0,0,$B$14,1)) + $B$18/($B$19*$B$19*($DN356&lt;&gt;$DO356) + $B$19*($DN356=$DO356))</f>
        <v>3.7037037037037035E-4</v>
      </c>
      <c r="ED356" s="10" cm="1">
        <f t="array" aca="1" ref="ED356" ca="1">(1-$B$18)*SUMPRODUCT(OFFSET($BO$15,0,0,$B$14,1), 1*(_xlfn._xlws.FILTER(OFFSET($O$15,0,$DN356,$B$8,1),OFFSET($M$15,0,0,$B$8,1))=ED$13), 1*(_xlfn._xlws.FILTER(OFFSET($O$15,0,$DO356,$B$8,1),OFFSET($M$15,0,0,$B$8,1))=ED$14))   /   SUM(OFFSET($BO$15,0,0,$B$14,1)) + $B$18/($B$19*$B$19*($DN356&lt;&gt;$DO356) + $B$19*($DN356=$DO356))</f>
        <v>3.7037037037037035E-4</v>
      </c>
      <c r="EE356" s="10" cm="1">
        <f t="array" aca="1" ref="EE356" ca="1">(1-$B$18)*SUMPRODUCT(OFFSET($BO$15,0,0,$B$14,1), 1*(_xlfn._xlws.FILTER(OFFSET($O$15,0,$DN356,$B$8,1),OFFSET($M$15,0,0,$B$8,1))=EE$13), 1*(_xlfn._xlws.FILTER(OFFSET($O$15,0,$DO356,$B$8,1),OFFSET($M$15,0,0,$B$8,1))=EE$14))   /   SUM(OFFSET($BO$15,0,0,$B$14,1)) + $B$18/($B$19*$B$19*($DN356&lt;&gt;$DO356) + $B$19*($DN356=$DO356))</f>
        <v>3.7037037037037035E-4</v>
      </c>
      <c r="EF356" s="10" cm="1">
        <f t="array" aca="1" ref="EF356" ca="1">(1-$B$18)*SUMPRODUCT(OFFSET($BO$15,0,0,$B$14,1), 1*(_xlfn._xlws.FILTER(OFFSET($O$15,0,$DN356,$B$8,1),OFFSET($M$15,0,0,$B$8,1))=EF$13), 1*(_xlfn._xlws.FILTER(OFFSET($O$15,0,$DO356,$B$8,1),OFFSET($M$15,0,0,$B$8,1))=EF$14))   /   SUM(OFFSET($BO$15,0,0,$B$14,1)) + $B$18/($B$19*$B$19*($DN356&lt;&gt;$DO356) + $B$19*($DN356=$DO356))</f>
        <v>3.7037037037037035E-4</v>
      </c>
      <c r="EG356" s="10" cm="1">
        <f t="array" aca="1" ref="EG356" ca="1">(1-$B$18)*SUMPRODUCT(OFFSET($BO$15,0,0,$B$14,1), 1*(_xlfn._xlws.FILTER(OFFSET($O$15,0,$DN356,$B$8,1),OFFSET($M$15,0,0,$B$8,1))=EG$13), 1*(_xlfn._xlws.FILTER(OFFSET($O$15,0,$DO356,$B$8,1),OFFSET($M$15,0,0,$B$8,1))=EG$14))   /   SUM(OFFSET($BO$15,0,0,$B$14,1)) + $B$18/($B$19*$B$19*($DN356&lt;&gt;$DO356) + $B$19*($DN356=$DO356))</f>
        <v>3.7037037037037035E-4</v>
      </c>
      <c r="EH356" s="10" cm="1">
        <f t="array" aca="1" ref="EH356" ca="1">(1-$B$18)*SUMPRODUCT(OFFSET($BO$15,0,0,$B$14,1), 1*(_xlfn._xlws.FILTER(OFFSET($O$15,0,$DN356,$B$8,1),OFFSET($M$15,0,0,$B$8,1))=EH$13), 1*(_xlfn._xlws.FILTER(OFFSET($O$15,0,$DO356,$B$8,1),OFFSET($M$15,0,0,$B$8,1))=EH$14))   /   SUM(OFFSET($BO$15,0,0,$B$14,1)) + $B$18/($B$19*$B$19*($DN356&lt;&gt;$DO356) + $B$19*($DN356=$DO356))</f>
        <v>3.7037037037037035E-4</v>
      </c>
      <c r="EI356" s="10" cm="1">
        <f t="array" aca="1" ref="EI356" ca="1">(1-$B$18)*SUMPRODUCT(OFFSET($BO$15,0,0,$B$14,1), 1*(_xlfn._xlws.FILTER(OFFSET($O$15,0,$DN356,$B$8,1),OFFSET($M$15,0,0,$B$8,1))=EI$13), 1*(_xlfn._xlws.FILTER(OFFSET($O$15,0,$DO356,$B$8,1),OFFSET($M$15,0,0,$B$8,1))=EI$14))   /   SUM(OFFSET($BO$15,0,0,$B$14,1)) + $B$18/($B$19*$B$19*($DN356&lt;&gt;$DO356) + $B$19*($DN356=$DO356))</f>
        <v>3.7037037037037035E-4</v>
      </c>
      <c r="EJ356" s="10" cm="1">
        <f t="array" aca="1" ref="EJ356" ca="1">(1-$B$18)*SUMPRODUCT(OFFSET($BO$15,0,0,$B$14,1), 1*(_xlfn._xlws.FILTER(OFFSET($O$15,0,$DN356,$B$8,1),OFFSET($M$15,0,0,$B$8,1))=EJ$13), 1*(_xlfn._xlws.FILTER(OFFSET($O$15,0,$DO356,$B$8,1),OFFSET($M$15,0,0,$B$8,1))=EJ$14))   /   SUM(OFFSET($BO$15,0,0,$B$14,1)) + $B$18/($B$19*$B$19*($DN356&lt;&gt;$DO356) + $B$19*($DN356=$DO356))</f>
        <v>3.7037037037037035E-4</v>
      </c>
      <c r="EK356" s="10" cm="1">
        <f t="array" aca="1" ref="EK356" ca="1">(1-$B$18)*SUMPRODUCT(OFFSET($BO$15,0,0,$B$14,1), 1*(_xlfn._xlws.FILTER(OFFSET($O$15,0,$DN356,$B$8,1),OFFSET($M$15,0,0,$B$8,1))=EK$13), 1*(_xlfn._xlws.FILTER(OFFSET($O$15,0,$DO356,$B$8,1),OFFSET($M$15,0,0,$B$8,1))=EK$14))   /   SUM(OFFSET($BO$15,0,0,$B$14,1)) + $B$18/($B$19*$B$19*($DN356&lt;&gt;$DO356) + $B$19*($DN356=$DO356))</f>
        <v>3.7037037037037035E-4</v>
      </c>
      <c r="EL356" s="10" cm="1">
        <f t="array" aca="1" ref="EL356" ca="1">(1-$B$18)*SUMPRODUCT(OFFSET($BO$15,0,0,$B$14,1), 1*(_xlfn._xlws.FILTER(OFFSET($O$15,0,$DN356,$B$8,1),OFFSET($M$15,0,0,$B$8,1))=EL$13), 1*(_xlfn._xlws.FILTER(OFFSET($O$15,0,$DO356,$B$8,1),OFFSET($M$15,0,0,$B$8,1))=EL$14))   /   SUM(OFFSET($BO$15,0,0,$B$14,1)) + $B$18/($B$19*$B$19*($DN356&lt;&gt;$DO356) + $B$19*($DN356=$DO356))</f>
        <v>3.7037037037037035E-4</v>
      </c>
      <c r="EM356" s="10" cm="1">
        <f t="array" aca="1" ref="EM356" ca="1">(1-$B$18)*SUMPRODUCT(OFFSET($BO$15,0,0,$B$14,1), 1*(_xlfn._xlws.FILTER(OFFSET($O$15,0,$DN356,$B$8,1),OFFSET($M$15,0,0,$B$8,1))=EM$13), 1*(_xlfn._xlws.FILTER(OFFSET($O$15,0,$DO356,$B$8,1),OFFSET($M$15,0,0,$B$8,1))=EM$14))   /   SUM(OFFSET($BO$15,0,0,$B$14,1)) + $B$18/($B$19*$B$19*($DN356&lt;&gt;$DO356) + $B$19*($DN356=$DO356))</f>
        <v>3.7037037037037035E-4</v>
      </c>
      <c r="EN356" s="10" cm="1">
        <f t="array" aca="1" ref="EN356" ca="1">(1-$B$18)*SUMPRODUCT(OFFSET($BO$15,0,0,$B$14,1), 1*(_xlfn._xlws.FILTER(OFFSET($O$15,0,$DN356,$B$8,1),OFFSET($M$15,0,0,$B$8,1))=EN$13), 1*(_xlfn._xlws.FILTER(OFFSET($O$15,0,$DO356,$B$8,1),OFFSET($M$15,0,0,$B$8,1))=EN$14))   /   SUM(OFFSET($BO$15,0,0,$B$14,1)) + $B$18/($B$19*$B$19*($DN356&lt;&gt;$DO356) + $B$19*($DN356=$DO356))</f>
        <v>3.7037037037037035E-4</v>
      </c>
      <c r="EO356" s="10" cm="1">
        <f t="array" aca="1" ref="EO356" ca="1">(1-$B$18)*SUMPRODUCT(OFFSET($BO$15,0,0,$B$14,1), 1*(_xlfn._xlws.FILTER(OFFSET($O$15,0,$DN356,$B$8,1),OFFSET($M$15,0,0,$B$8,1))=EO$13), 1*(_xlfn._xlws.FILTER(OFFSET($O$15,0,$DO356,$B$8,1),OFFSET($M$15,0,0,$B$8,1))=EO$14))   /   SUM(OFFSET($BO$15,0,0,$B$14,1)) + $B$18/($B$19*$B$19*($DN356&lt;&gt;$DO356) + $B$19*($DN356=$DO356))</f>
        <v>3.7037037037037035E-4</v>
      </c>
      <c r="EP356" s="10" cm="1">
        <f t="array" aca="1" ref="EP356" ca="1">(1-$B$18)*SUMPRODUCT(OFFSET($BO$15,0,0,$B$14,1), 1*(_xlfn._xlws.FILTER(OFFSET($O$15,0,$DN356,$B$8,1),OFFSET($M$15,0,0,$B$8,1))=EP$13), 1*(_xlfn._xlws.FILTER(OFFSET($O$15,0,$DO356,$B$8,1),OFFSET($M$15,0,0,$B$8,1))=EP$14))   /   SUM(OFFSET($BO$15,0,0,$B$14,1)) + $B$18/($B$19*$B$19*($DN356&lt;&gt;$DO356) + $B$19*($DN356=$DO356))</f>
        <v>3.7037037037037035E-4</v>
      </c>
      <c r="EQ356" s="10" cm="1">
        <f t="array" aca="1" ref="EQ356" ca="1">(1-$B$18)*SUMPRODUCT(OFFSET($BO$15,0,0,$B$14,1), 1*(_xlfn._xlws.FILTER(OFFSET($O$15,0,$DN356,$B$8,1),OFFSET($M$15,0,0,$B$8,1))=EQ$13), 1*(_xlfn._xlws.FILTER(OFFSET($O$15,0,$DO356,$B$8,1),OFFSET($M$15,0,0,$B$8,1))=EQ$14))   /   SUM(OFFSET($BO$15,0,0,$B$14,1)) + $B$18/($B$19*$B$19*($DN356&lt;&gt;$DO356) + $B$19*($DN356=$DO356))</f>
        <v>3.7037037037037035E-4</v>
      </c>
      <c r="ER356" s="10" cm="1">
        <f t="array" aca="1" ref="ER356" ca="1">(1-$B$18)*SUMPRODUCT(OFFSET($BO$15,0,0,$B$14,1), 1*(_xlfn._xlws.FILTER(OFFSET($O$15,0,$DN356,$B$8,1),OFFSET($M$15,0,0,$B$8,1))=ER$13), 1*(_xlfn._xlws.FILTER(OFFSET($O$15,0,$DO356,$B$8,1),OFFSET($M$15,0,0,$B$8,1))=ER$14))   /   SUM(OFFSET($BO$15,0,0,$B$14,1)) + $B$18/($B$19*$B$19*($DN356&lt;&gt;$DO356) + $B$19*($DN356=$DO356))</f>
        <v>3.7037037037037035E-4</v>
      </c>
      <c r="ES356" s="10" cm="1">
        <f t="array" aca="1" ref="ES356" ca="1">(1-$B$18)*SUMPRODUCT(OFFSET($BO$15,0,0,$B$14,1), 1*(_xlfn._xlws.FILTER(OFFSET($O$15,0,$DN356,$B$8,1),OFFSET($M$15,0,0,$B$8,1))=ES$13), 1*(_xlfn._xlws.FILTER(OFFSET($O$15,0,$DO356,$B$8,1),OFFSET($M$15,0,0,$B$8,1))=ES$14))   /   SUM(OFFSET($BO$15,0,0,$B$14,1)) + $B$18/($B$19*$B$19*($DN356&lt;&gt;$DO356) + $B$19*($DN356=$DO356))</f>
        <v>3.7037037037037035E-4</v>
      </c>
      <c r="ET356" s="10" cm="1">
        <f t="array" aca="1" ref="ET356" ca="1">(1-$B$18)*SUMPRODUCT(OFFSET($BO$15,0,0,$B$14,1), 1*(_xlfn._xlws.FILTER(OFFSET($O$15,0,$DN356,$B$8,1),OFFSET($M$15,0,0,$B$8,1))=ET$13), 1*(_xlfn._xlws.FILTER(OFFSET($O$15,0,$DO356,$B$8,1),OFFSET($M$15,0,0,$B$8,1))=ET$14))   /   SUM(OFFSET($BO$15,0,0,$B$14,1)) + $B$18/($B$19*$B$19*($DN356&lt;&gt;$DO356) + $B$19*($DN356=$DO356))</f>
        <v>3.7037037037037035E-4</v>
      </c>
      <c r="EU356" s="10" cm="1">
        <f t="array" aca="1" ref="EU356" ca="1">(1-$B$18)*SUMPRODUCT(OFFSET($BO$15,0,0,$B$14,1), 1*(_xlfn._xlws.FILTER(OFFSET($O$15,0,$DN356,$B$8,1),OFFSET($M$15,0,0,$B$8,1))=EU$13), 1*(_xlfn._xlws.FILTER(OFFSET($O$15,0,$DO356,$B$8,1),OFFSET($M$15,0,0,$B$8,1))=EU$14))   /   SUM(OFFSET($BO$15,0,0,$B$14,1)) + $B$18/($B$19*$B$19*($DN356&lt;&gt;$DO356) + $B$19*($DN356=$DO356))</f>
        <v>3.7037037037037035E-4</v>
      </c>
      <c r="EV356" s="10" cm="1">
        <f t="array" aca="1" ref="EV356" ca="1">(1-$B$18)*SUMPRODUCT(OFFSET($BO$15,0,0,$B$14,1), 1*(_xlfn._xlws.FILTER(OFFSET($O$15,0,$DN356,$B$8,1),OFFSET($M$15,0,0,$B$8,1))=EV$13), 1*(_xlfn._xlws.FILTER(OFFSET($O$15,0,$DO356,$B$8,1),OFFSET($M$15,0,0,$B$8,1))=EV$14))   /   SUM(OFFSET($BO$15,0,0,$B$14,1)) + $B$18/($B$19*$B$19*($DN356&lt;&gt;$DO356) + $B$19*($DN356=$DO356))</f>
        <v>3.7037037037037035E-4</v>
      </c>
      <c r="EW356" s="10" cm="1">
        <f t="array" aca="1" ref="EW356" ca="1">(1-$B$18)*SUMPRODUCT(OFFSET($BO$15,0,0,$B$14,1), 1*(_xlfn._xlws.FILTER(OFFSET($O$15,0,$DN356,$B$8,1),OFFSET($M$15,0,0,$B$8,1))=EW$13), 1*(_xlfn._xlws.FILTER(OFFSET($O$15,0,$DO356,$B$8,1),OFFSET($M$15,0,0,$B$8,1))=EW$14))   /   SUM(OFFSET($BO$15,0,0,$B$14,1)) + $B$18/($B$19*$B$19*($DN356&lt;&gt;$DO356) + $B$19*($DN356=$DO356))</f>
        <v>3.7037037037037035E-4</v>
      </c>
      <c r="EX356" s="10" cm="1">
        <f t="array" aca="1" ref="EX356" ca="1">(1-$B$18)*SUMPRODUCT(OFFSET($BO$15,0,0,$B$14,1), 1*(_xlfn._xlws.FILTER(OFFSET($O$15,0,$DN356,$B$8,1),OFFSET($M$15,0,0,$B$8,1))=EX$13), 1*(_xlfn._xlws.FILTER(OFFSET($O$15,0,$DO356,$B$8,1),OFFSET($M$15,0,0,$B$8,1))=EX$14))   /   SUM(OFFSET($BO$15,0,0,$B$14,1)) + $B$18/($B$19*$B$19*($DN356&lt;&gt;$DO356) + $B$19*($DN356=$DO356))</f>
        <v>3.7037037037037035E-4</v>
      </c>
      <c r="EY356" s="10" cm="1">
        <f t="array" aca="1" ref="EY356" ca="1">(1-$B$18)*SUMPRODUCT(OFFSET($BO$15,0,0,$B$14,1), 1*(_xlfn._xlws.FILTER(OFFSET($O$15,0,$DN356,$B$8,1),OFFSET($M$15,0,0,$B$8,1))=EY$13), 1*(_xlfn._xlws.FILTER(OFFSET($O$15,0,$DO356,$B$8,1),OFFSET($M$15,0,0,$B$8,1))=EY$14))   /   SUM(OFFSET($BO$15,0,0,$B$14,1)) + $B$18/($B$19*$B$19*($DN356&lt;&gt;$DO356) + $B$19*($DN356=$DO356))</f>
        <v>3.7037037037037035E-4</v>
      </c>
      <c r="EZ356" s="10" cm="1">
        <f t="array" aca="1" ref="EZ356" ca="1">(1-$B$18)*SUMPRODUCT(OFFSET($BO$15,0,0,$B$14,1), 1*(_xlfn._xlws.FILTER(OFFSET($O$15,0,$DN356,$B$8,1),OFFSET($M$15,0,0,$B$8,1))=EZ$13), 1*(_xlfn._xlws.FILTER(OFFSET($O$15,0,$DO356,$B$8,1),OFFSET($M$15,0,0,$B$8,1))=EZ$14))   /   SUM(OFFSET($BO$15,0,0,$B$14,1)) + $B$18/($B$19*$B$19*($DN356&lt;&gt;$DO356) + $B$19*($DN356=$DO356))</f>
        <v>0.24287037037037024</v>
      </c>
      <c r="FA356" s="10" cm="1">
        <f t="array" aca="1" ref="FA356" ca="1">(1-$B$18)*SUMPRODUCT(OFFSET($BO$15,0,0,$B$14,1), 1*(_xlfn._xlws.FILTER(OFFSET($O$15,0,$DN356,$B$8,1),OFFSET($M$15,0,0,$B$8,1))=FA$13), 1*(_xlfn._xlws.FILTER(OFFSET($O$15,0,$DO356,$B$8,1),OFFSET($M$15,0,0,$B$8,1))=FA$14))   /   SUM(OFFSET($BO$15,0,0,$B$14,1)) + $B$18/($B$19*$B$19*($DN356&lt;&gt;$DO356) + $B$19*($DN356=$DO356))</f>
        <v>3.7037037037037035E-4</v>
      </c>
      <c r="FB356" s="10" cm="1">
        <f t="array" aca="1" ref="FB356" ca="1">(1-$B$18)*SUMPRODUCT(OFFSET($BO$15,0,0,$B$14,1), 1*(_xlfn._xlws.FILTER(OFFSET($O$15,0,$DN356,$B$8,1),OFFSET($M$15,0,0,$B$8,1))=FB$13), 1*(_xlfn._xlws.FILTER(OFFSET($O$15,0,$DO356,$B$8,1),OFFSET($M$15,0,0,$B$8,1))=FB$14))   /   SUM(OFFSET($BO$15,0,0,$B$14,1)) + $B$18/($B$19*$B$19*($DN356&lt;&gt;$DO356) + $B$19*($DN356=$DO356))</f>
        <v>3.7037037037037035E-4</v>
      </c>
      <c r="FC356" s="10" cm="1">
        <f t="array" aca="1" ref="FC356" ca="1">(1-$B$18)*SUMPRODUCT(OFFSET($BO$15,0,0,$B$14,1), 1*(_xlfn._xlws.FILTER(OFFSET($O$15,0,$DN356,$B$8,1),OFFSET($M$15,0,0,$B$8,1))=FC$13), 1*(_xlfn._xlws.FILTER(OFFSET($O$15,0,$DO356,$B$8,1),OFFSET($M$15,0,0,$B$8,1))=FC$14))   /   SUM(OFFSET($BO$15,0,0,$B$14,1)) + $B$18/($B$19*$B$19*($DN356&lt;&gt;$DO356) + $B$19*($DN356=$DO356))</f>
        <v>3.7037037037037035E-4</v>
      </c>
      <c r="FD356" s="10" cm="1">
        <f t="array" aca="1" ref="FD356" ca="1">(1-$B$18)*SUMPRODUCT(OFFSET($BO$15,0,0,$B$14,1), 1*(_xlfn._xlws.FILTER(OFFSET($O$15,0,$DN356,$B$8,1),OFFSET($M$15,0,0,$B$8,1))=FD$13), 1*(_xlfn._xlws.FILTER(OFFSET($O$15,0,$DO356,$B$8,1),OFFSET($M$15,0,0,$B$8,1))=FD$14))   /   SUM(OFFSET($BO$15,0,0,$B$14,1)) + $B$18/($B$19*$B$19*($DN356&lt;&gt;$DO356) + $B$19*($DN356=$DO356))</f>
        <v>3.7037037037037035E-4</v>
      </c>
      <c r="FE356" s="10" cm="1">
        <f t="array" aca="1" ref="FE356" ca="1">(1-$B$18)*SUMPRODUCT(OFFSET($BO$15,0,0,$B$14,1), 1*(_xlfn._xlws.FILTER(OFFSET($O$15,0,$DN356,$B$8,1),OFFSET($M$15,0,0,$B$8,1))=FE$13), 1*(_xlfn._xlws.FILTER(OFFSET($O$15,0,$DO356,$B$8,1),OFFSET($M$15,0,0,$B$8,1))=FE$14))   /   SUM(OFFSET($BO$15,0,0,$B$14,1)) + $B$18/($B$19*$B$19*($DN356&lt;&gt;$DO356) + $B$19*($DN356=$DO356))</f>
        <v>3.7037037037037035E-4</v>
      </c>
      <c r="FF356" s="10" cm="1">
        <f t="array" aca="1" ref="FF356" ca="1">(1-$B$18)*SUMPRODUCT(OFFSET($BO$15,0,0,$B$14,1), 1*(_xlfn._xlws.FILTER(OFFSET($O$15,0,$DN356,$B$8,1),OFFSET($M$15,0,0,$B$8,1))=FF$13), 1*(_xlfn._xlws.FILTER(OFFSET($O$15,0,$DO356,$B$8,1),OFFSET($M$15,0,0,$B$8,1))=FF$14))   /   SUM(OFFSET($BO$15,0,0,$B$14,1)) + $B$18/($B$19*$B$19*($DN356&lt;&gt;$DO356) + $B$19*($DN356=$DO356))</f>
        <v>3.7037037037037035E-4</v>
      </c>
      <c r="FG356" s="10" cm="1">
        <f t="array" aca="1" ref="FG356" ca="1">(1-$B$18)*SUMPRODUCT(OFFSET($BO$15,0,0,$B$14,1), 1*(_xlfn._xlws.FILTER(OFFSET($O$15,0,$DN356,$B$8,1),OFFSET($M$15,0,0,$B$8,1))=FG$13), 1*(_xlfn._xlws.FILTER(OFFSET($O$15,0,$DO356,$B$8,1),OFFSET($M$15,0,0,$B$8,1))=FG$14))   /   SUM(OFFSET($BO$15,0,0,$B$14,1)) + $B$18/($B$19*$B$19*($DN356&lt;&gt;$DO356) + $B$19*($DN356=$DO356))</f>
        <v>3.7037037037037035E-4</v>
      </c>
      <c r="FH356" s="10" cm="1">
        <f t="array" aca="1" ref="FH356" ca="1">(1-$B$18)*SUMPRODUCT(OFFSET($BO$15,0,0,$B$14,1), 1*(_xlfn._xlws.FILTER(OFFSET($O$15,0,$DN356,$B$8,1),OFFSET($M$15,0,0,$B$8,1))=FH$13), 1*(_xlfn._xlws.FILTER(OFFSET($O$15,0,$DO356,$B$8,1),OFFSET($M$15,0,0,$B$8,1))=FH$14))   /   SUM(OFFSET($BO$15,0,0,$B$14,1)) + $B$18/($B$19*$B$19*($DN356&lt;&gt;$DO356) + $B$19*($DN356=$DO356))</f>
        <v>3.7037037037037035E-4</v>
      </c>
      <c r="FI356" s="10" cm="1">
        <f t="array" aca="1" ref="FI356" ca="1">(1-$B$18)*SUMPRODUCT(OFFSET($BO$15,0,0,$B$14,1), 1*(_xlfn._xlws.FILTER(OFFSET($O$15,0,$DN356,$B$8,1),OFFSET($M$15,0,0,$B$8,1))=FI$13), 1*(_xlfn._xlws.FILTER(OFFSET($O$15,0,$DO356,$B$8,1),OFFSET($M$15,0,0,$B$8,1))=FI$14))   /   SUM(OFFSET($BO$15,0,0,$B$14,1)) + $B$18/($B$19*$B$19*($DN356&lt;&gt;$DO356) + $B$19*($DN356=$DO356))</f>
        <v>3.7037037037037035E-4</v>
      </c>
      <c r="FJ356" s="10" cm="1">
        <f t="array" aca="1" ref="FJ356" ca="1">(1-$B$18)*SUMPRODUCT(OFFSET($BO$15,0,0,$B$14,1), 1*(_xlfn._xlws.FILTER(OFFSET($O$15,0,$DN356,$B$8,1),OFFSET($M$15,0,0,$B$8,1))=FJ$13), 1*(_xlfn._xlws.FILTER(OFFSET($O$15,0,$DO356,$B$8,1),OFFSET($M$15,0,0,$B$8,1))=FJ$14))   /   SUM(OFFSET($BO$15,0,0,$B$14,1)) + $B$18/($B$19*$B$19*($DN356&lt;&gt;$DO356) + $B$19*($DN356=$DO356))</f>
        <v>0.24287037037037026</v>
      </c>
      <c r="FK356" s="10" cm="1">
        <f t="array" aca="1" ref="FK356" ca="1">(1-$B$18)*SUMPRODUCT(OFFSET($BO$15,0,0,$B$14,1), 1*(_xlfn._xlws.FILTER(OFFSET($O$15,0,$DN356,$B$8,1),OFFSET($M$15,0,0,$B$8,1))=FK$13), 1*(_xlfn._xlws.FILTER(OFFSET($O$15,0,$DO356,$B$8,1),OFFSET($M$15,0,0,$B$8,1))=FK$14))   /   SUM(OFFSET($BO$15,0,0,$B$14,1)) + $B$18/($B$19*$B$19*($DN356&lt;&gt;$DO356) + $B$19*($DN356=$DO356))</f>
        <v>3.7037037037037035E-4</v>
      </c>
      <c r="FL356" s="10" cm="1">
        <f t="array" aca="1" ref="FL356" ca="1">(1-$B$18)*SUMPRODUCT(OFFSET($BO$15,0,0,$B$14,1), 1*(_xlfn._xlws.FILTER(OFFSET($O$15,0,$DN356,$B$8,1),OFFSET($M$15,0,0,$B$8,1))=FL$13), 1*(_xlfn._xlws.FILTER(OFFSET($O$15,0,$DO356,$B$8,1),OFFSET($M$15,0,0,$B$8,1))=FL$14))   /   SUM(OFFSET($BO$15,0,0,$B$14,1)) + $B$18/($B$19*$B$19*($DN356&lt;&gt;$DO356) + $B$19*($DN356=$DO356))</f>
        <v>3.7037037037037035E-4</v>
      </c>
      <c r="FM356" s="10" cm="1">
        <f t="array" aca="1" ref="FM356" ca="1">(1-$B$18)*SUMPRODUCT(OFFSET($BO$15,0,0,$B$14,1), 1*(_xlfn._xlws.FILTER(OFFSET($O$15,0,$DN356,$B$8,1),OFFSET($M$15,0,0,$B$8,1))=FM$13), 1*(_xlfn._xlws.FILTER(OFFSET($O$15,0,$DO356,$B$8,1),OFFSET($M$15,0,0,$B$8,1))=FM$14))   /   SUM(OFFSET($BO$15,0,0,$B$14,1)) + $B$18/($B$19*$B$19*($DN356&lt;&gt;$DO356) + $B$19*($DN356=$DO356))</f>
        <v>3.7037037037037035E-4</v>
      </c>
      <c r="FN356" s="10" cm="1">
        <f t="array" aca="1" ref="FN356" ca="1">(1-$B$18)*SUMPRODUCT(OFFSET($BO$15,0,0,$B$14,1), 1*(_xlfn._xlws.FILTER(OFFSET($O$15,0,$DN356,$B$8,1),OFFSET($M$15,0,0,$B$8,1))=FN$13), 1*(_xlfn._xlws.FILTER(OFFSET($O$15,0,$DO356,$B$8,1),OFFSET($M$15,0,0,$B$8,1))=FN$14))   /   SUM(OFFSET($BO$15,0,0,$B$14,1)) + $B$18/($B$19*$B$19*($DN356&lt;&gt;$DO356) + $B$19*($DN356=$DO356))</f>
        <v>3.7037037037037035E-4</v>
      </c>
      <c r="FO356" s="10" cm="1">
        <f t="array" aca="1" ref="FO356" ca="1">(1-$B$18)*SUMPRODUCT(OFFSET($BO$15,0,0,$B$14,1), 1*(_xlfn._xlws.FILTER(OFFSET($O$15,0,$DN356,$B$8,1),OFFSET($M$15,0,0,$B$8,1))=FO$13), 1*(_xlfn._xlws.FILTER(OFFSET($O$15,0,$DO356,$B$8,1),OFFSET($M$15,0,0,$B$8,1))=FO$14))   /   SUM(OFFSET($BO$15,0,0,$B$14,1)) + $B$18/($B$19*$B$19*($DN356&lt;&gt;$DO356) + $B$19*($DN356=$DO356))</f>
        <v>3.7037037037037035E-4</v>
      </c>
      <c r="FP356" s="10" cm="1">
        <f t="array" aca="1" ref="FP356" ca="1">(1-$B$18)*SUMPRODUCT(OFFSET($BO$15,0,0,$B$14,1), 1*(_xlfn._xlws.FILTER(OFFSET($O$15,0,$DN356,$B$8,1),OFFSET($M$15,0,0,$B$8,1))=FP$13), 1*(_xlfn._xlws.FILTER(OFFSET($O$15,0,$DO356,$B$8,1),OFFSET($M$15,0,0,$B$8,1))=FP$14))   /   SUM(OFFSET($BO$15,0,0,$B$14,1)) + $B$18/($B$19*$B$19*($DN356&lt;&gt;$DO356) + $B$19*($DN356=$DO356))</f>
        <v>3.7037037037037035E-4</v>
      </c>
      <c r="FQ356" s="10" cm="1">
        <f t="array" aca="1" ref="FQ356" ca="1">(1-$B$18)*SUMPRODUCT(OFFSET($BO$15,0,0,$B$14,1), 1*(_xlfn._xlws.FILTER(OFFSET($O$15,0,$DN356,$B$8,1),OFFSET($M$15,0,0,$B$8,1))=FQ$13), 1*(_xlfn._xlws.FILTER(OFFSET($O$15,0,$DO356,$B$8,1),OFFSET($M$15,0,0,$B$8,1))=FQ$14))   /   SUM(OFFSET($BO$15,0,0,$B$14,1)) + $B$18/($B$19*$B$19*($DN356&lt;&gt;$DO356) + $B$19*($DN356=$DO356))</f>
        <v>0.48537037037037012</v>
      </c>
      <c r="FR356" s="10" cm="1">
        <f t="array" aca="1" ref="FR356" ca="1">(1-$B$18)*SUMPRODUCT(OFFSET($BO$15,0,0,$B$14,1), 1*(_xlfn._xlws.FILTER(OFFSET($O$15,0,$DN356,$B$8,1),OFFSET($M$15,0,0,$B$8,1))=FR$13), 1*(_xlfn._xlws.FILTER(OFFSET($O$15,0,$DO356,$B$8,1),OFFSET($M$15,0,0,$B$8,1))=FR$14))   /   SUM(OFFSET($BO$15,0,0,$B$14,1)) + $B$18/($B$19*$B$19*($DN356&lt;&gt;$DO356) + $B$19*($DN356=$DO356))</f>
        <v>3.7037037037037035E-4</v>
      </c>
      <c r="FS356" s="10" cm="1">
        <f t="array" aca="1" ref="FS356" ca="1">(1-$B$18)*SUMPRODUCT(OFFSET($BO$15,0,0,$B$14,1), 1*(_xlfn._xlws.FILTER(OFFSET($O$15,0,$DN356,$B$8,1),OFFSET($M$15,0,0,$B$8,1))=FS$13), 1*(_xlfn._xlws.FILTER(OFFSET($O$15,0,$DO356,$B$8,1),OFFSET($M$15,0,0,$B$8,1))=FS$14))   /   SUM(OFFSET($BO$15,0,0,$B$14,1)) + $B$18/($B$19*$B$19*($DN356&lt;&gt;$DO356) + $B$19*($DN356=$DO356))</f>
        <v>3.7037037037037035E-4</v>
      </c>
      <c r="FT356" s="10" cm="1">
        <f t="array" aca="1" ref="FT356" ca="1">(1-$B$18)*SUMPRODUCT(OFFSET($BO$15,0,0,$B$14,1), 1*(_xlfn._xlws.FILTER(OFFSET($O$15,0,$DN356,$B$8,1),OFFSET($M$15,0,0,$B$8,1))=FT$13), 1*(_xlfn._xlws.FILTER(OFFSET($O$15,0,$DO356,$B$8,1),OFFSET($M$15,0,0,$B$8,1))=FT$14))   /   SUM(OFFSET($BO$15,0,0,$B$14,1)) + $B$18/($B$19*$B$19*($DN356&lt;&gt;$DO356) + $B$19*($DN356=$DO356))</f>
        <v>3.7037037037037035E-4</v>
      </c>
      <c r="FU356" s="10" cm="1">
        <f t="array" aca="1" ref="FU356" ca="1">(1-$B$18)*SUMPRODUCT(OFFSET($BO$15,0,0,$B$14,1), 1*(_xlfn._xlws.FILTER(OFFSET($O$15,0,$DN356,$B$8,1),OFFSET($M$15,0,0,$B$8,1))=FU$13), 1*(_xlfn._xlws.FILTER(OFFSET($O$15,0,$DO356,$B$8,1),OFFSET($M$15,0,0,$B$8,1))=FU$14))   /   SUM(OFFSET($BO$15,0,0,$B$14,1)) + $B$18/($B$19*$B$19*($DN356&lt;&gt;$DO356) + $B$19*($DN356=$DO356))</f>
        <v>3.7037037037037035E-4</v>
      </c>
      <c r="FV356" s="10" cm="1">
        <f t="array" aca="1" ref="FV356" ca="1">(1-$B$18)*SUMPRODUCT(OFFSET($BO$15,0,0,$B$14,1), 1*(_xlfn._xlws.FILTER(OFFSET($O$15,0,$DN356,$B$8,1),OFFSET($M$15,0,0,$B$8,1))=FV$13), 1*(_xlfn._xlws.FILTER(OFFSET($O$15,0,$DO356,$B$8,1),OFFSET($M$15,0,0,$B$8,1))=FV$14))   /   SUM(OFFSET($BO$15,0,0,$B$14,1)) + $B$18/($B$19*$B$19*($DN356&lt;&gt;$DO356) + $B$19*($DN356=$DO356))</f>
        <v>3.7037037037037035E-4</v>
      </c>
      <c r="FW356" s="10" cm="1">
        <f t="array" aca="1" ref="FW356" ca="1">(1-$B$18)*SUMPRODUCT(OFFSET($BO$15,0,0,$B$14,1), 1*(_xlfn._xlws.FILTER(OFFSET($O$15,0,$DN356,$B$8,1),OFFSET($M$15,0,0,$B$8,1))=FW$13), 1*(_xlfn._xlws.FILTER(OFFSET($O$15,0,$DO356,$B$8,1),OFFSET($M$15,0,0,$B$8,1))=FW$14))   /   SUM(OFFSET($BO$15,0,0,$B$14,1)) + $B$18/($B$19*$B$19*($DN356&lt;&gt;$DO356) + $B$19*($DN356=$DO356))</f>
        <v>3.7037037037037035E-4</v>
      </c>
      <c r="FX356" s="10" cm="1">
        <f t="array" aca="1" ref="FX356" ca="1">(1-$B$18)*SUMPRODUCT(OFFSET($BO$15,0,0,$B$14,1), 1*(_xlfn._xlws.FILTER(OFFSET($O$15,0,$DN356,$B$8,1),OFFSET($M$15,0,0,$B$8,1))=FX$13), 1*(_xlfn._xlws.FILTER(OFFSET($O$15,0,$DO356,$B$8,1),OFFSET($M$15,0,0,$B$8,1))=FX$14))   /   SUM(OFFSET($BO$15,0,0,$B$14,1)) + $B$18/($B$19*$B$19*($DN356&lt;&gt;$DO356) + $B$19*($DN356=$DO356))</f>
        <v>3.7037037037037035E-4</v>
      </c>
      <c r="FY356" s="10" cm="1">
        <f t="array" aca="1" ref="FY356" ca="1">(1-$B$18)*SUMPRODUCT(OFFSET($BO$15,0,0,$B$14,1), 1*(_xlfn._xlws.FILTER(OFFSET($O$15,0,$DN356,$B$8,1),OFFSET($M$15,0,0,$B$8,1))=FY$13), 1*(_xlfn._xlws.FILTER(OFFSET($O$15,0,$DO356,$B$8,1),OFFSET($M$15,0,0,$B$8,1))=FY$14))   /   SUM(OFFSET($BO$15,0,0,$B$14,1)) + $B$18/($B$19*$B$19*($DN356&lt;&gt;$DO356) + $B$19*($DN356=$DO356))</f>
        <v>3.7037037037037035E-4</v>
      </c>
      <c r="FZ356" s="10" cm="1">
        <f t="array" aca="1" ref="FZ356" ca="1">(1-$B$18)*SUMPRODUCT(OFFSET($BO$15,0,0,$B$14,1), 1*(_xlfn._xlws.FILTER(OFFSET($O$15,0,$DN356,$B$8,1),OFFSET($M$15,0,0,$B$8,1))=FZ$13), 1*(_xlfn._xlws.FILTER(OFFSET($O$15,0,$DO356,$B$8,1),OFFSET($M$15,0,0,$B$8,1))=FZ$14))   /   SUM(OFFSET($BO$15,0,0,$B$14,1)) + $B$18/($B$19*$B$19*($DN356&lt;&gt;$DO356) + $B$19*($DN356=$DO356))</f>
        <v>3.7037037037037035E-4</v>
      </c>
      <c r="GA356" s="10" cm="1">
        <f t="array" aca="1" ref="GA356" ca="1">(1-$B$18)*SUMPRODUCT(OFFSET($BO$15,0,0,$B$14,1), 1*(_xlfn._xlws.FILTER(OFFSET($O$15,0,$DN356,$B$8,1),OFFSET($M$15,0,0,$B$8,1))=GA$13), 1*(_xlfn._xlws.FILTER(OFFSET($O$15,0,$DO356,$B$8,1),OFFSET($M$15,0,0,$B$8,1))=GA$14))   /   SUM(OFFSET($BO$15,0,0,$B$14,1)) + $B$18/($B$19*$B$19*($DN356&lt;&gt;$DO356) + $B$19*($DN356=$DO356))</f>
        <v>3.7037037037037035E-4</v>
      </c>
    </row>
    <row r="357" spans="118:183" x14ac:dyDescent="0.2">
      <c r="DN357" cm="1">
        <f t="array" aca="1" ref="DN357" ca="1">INDEX(_xlfn.ANCHORARRAY($CP$15), 1 + INT((ROWS($DO$15:$DO357) - 1) / ROWS(_xlfn.ANCHORARRAY($CP$15))))</f>
        <v>21</v>
      </c>
      <c r="DO357" cm="1">
        <f t="array" aca="1" ref="DO357" ca="1">INDEX(_xlfn.ANCHORARRAY($CP$15),1+MOD(ROWS($DO$15:$DO357)-1,ROWS(_xlfn.ANCHORARRAY($CP$15))))</f>
        <v>0</v>
      </c>
      <c r="DP357" s="10" cm="1">
        <f t="array" aca="1" ref="DP357" ca="1">(1-$B$18)*SUMPRODUCT(OFFSET($BO$15,0,0,$B$14,1), 1*(_xlfn._xlws.FILTER(OFFSET($O$15,0,$DN357,$B$8,1),OFFSET($M$15,0,0,$B$8,1))=DP$13), 1*(_xlfn._xlws.FILTER(OFFSET($O$15,0,$DO357,$B$8,1),OFFSET($M$15,0,0,$B$8,1))=DP$14))   /   SUM(OFFSET($BO$15,0,0,$B$14,1)) + $B$18/($B$19*$B$19*($DN357&lt;&gt;$DO357) + $B$19*($DN357=$DO357))</f>
        <v>3.7037037037037035E-4</v>
      </c>
      <c r="DQ357" s="10" cm="1">
        <f t="array" aca="1" ref="DQ357" ca="1">(1-$B$18)*SUMPRODUCT(OFFSET($BO$15,0,0,$B$14,1), 1*(_xlfn._xlws.FILTER(OFFSET($O$15,0,$DN357,$B$8,1),OFFSET($M$15,0,0,$B$8,1))=DQ$13), 1*(_xlfn._xlws.FILTER(OFFSET($O$15,0,$DO357,$B$8,1),OFFSET($M$15,0,0,$B$8,1))=DQ$14))   /   SUM(OFFSET($BO$15,0,0,$B$14,1)) + $B$18/($B$19*$B$19*($DN357&lt;&gt;$DO357) + $B$19*($DN357=$DO357))</f>
        <v>3.7037037037037035E-4</v>
      </c>
      <c r="DR357" s="10" cm="1">
        <f t="array" aca="1" ref="DR357" ca="1">(1-$B$18)*SUMPRODUCT(OFFSET($BO$15,0,0,$B$14,1), 1*(_xlfn._xlws.FILTER(OFFSET($O$15,0,$DN357,$B$8,1),OFFSET($M$15,0,0,$B$8,1))=DR$13), 1*(_xlfn._xlws.FILTER(OFFSET($O$15,0,$DO357,$B$8,1),OFFSET($M$15,0,0,$B$8,1))=DR$14))   /   SUM(OFFSET($BO$15,0,0,$B$14,1)) + $B$18/($B$19*$B$19*($DN357&lt;&gt;$DO357) + $B$19*($DN357=$DO357))</f>
        <v>3.7037037037037035E-4</v>
      </c>
      <c r="DS357" s="10" cm="1">
        <f t="array" aca="1" ref="DS357" ca="1">(1-$B$18)*SUMPRODUCT(OFFSET($BO$15,0,0,$B$14,1), 1*(_xlfn._xlws.FILTER(OFFSET($O$15,0,$DN357,$B$8,1),OFFSET($M$15,0,0,$B$8,1))=DS$13), 1*(_xlfn._xlws.FILTER(OFFSET($O$15,0,$DO357,$B$8,1),OFFSET($M$15,0,0,$B$8,1))=DS$14))   /   SUM(OFFSET($BO$15,0,0,$B$14,1)) + $B$18/($B$19*$B$19*($DN357&lt;&gt;$DO357) + $B$19*($DN357=$DO357))</f>
        <v>3.7037037037037035E-4</v>
      </c>
      <c r="DT357" s="10" cm="1">
        <f t="array" aca="1" ref="DT357" ca="1">(1-$B$18)*SUMPRODUCT(OFFSET($BO$15,0,0,$B$14,1), 1*(_xlfn._xlws.FILTER(OFFSET($O$15,0,$DN357,$B$8,1),OFFSET($M$15,0,0,$B$8,1))=DT$13), 1*(_xlfn._xlws.FILTER(OFFSET($O$15,0,$DO357,$B$8,1),OFFSET($M$15,0,0,$B$8,1))=DT$14))   /   SUM(OFFSET($BO$15,0,0,$B$14,1)) + $B$18/($B$19*$B$19*($DN357&lt;&gt;$DO357) + $B$19*($DN357=$DO357))</f>
        <v>3.7037037037037035E-4</v>
      </c>
      <c r="DU357" s="10" cm="1">
        <f t="array" aca="1" ref="DU357" ca="1">(1-$B$18)*SUMPRODUCT(OFFSET($BO$15,0,0,$B$14,1), 1*(_xlfn._xlws.FILTER(OFFSET($O$15,0,$DN357,$B$8,1),OFFSET($M$15,0,0,$B$8,1))=DU$13), 1*(_xlfn._xlws.FILTER(OFFSET($O$15,0,$DO357,$B$8,1),OFFSET($M$15,0,0,$B$8,1))=DU$14))   /   SUM(OFFSET($BO$15,0,0,$B$14,1)) + $B$18/($B$19*$B$19*($DN357&lt;&gt;$DO357) + $B$19*($DN357=$DO357))</f>
        <v>3.7037037037037035E-4</v>
      </c>
      <c r="DV357" s="10" cm="1">
        <f t="array" aca="1" ref="DV357" ca="1">(1-$B$18)*SUMPRODUCT(OFFSET($BO$15,0,0,$B$14,1), 1*(_xlfn._xlws.FILTER(OFFSET($O$15,0,$DN357,$B$8,1),OFFSET($M$15,0,0,$B$8,1))=DV$13), 1*(_xlfn._xlws.FILTER(OFFSET($O$15,0,$DO357,$B$8,1),OFFSET($M$15,0,0,$B$8,1))=DV$14))   /   SUM(OFFSET($BO$15,0,0,$B$14,1)) + $B$18/($B$19*$B$19*($DN357&lt;&gt;$DO357) + $B$19*($DN357=$DO357))</f>
        <v>3.7037037037037035E-4</v>
      </c>
      <c r="DW357" s="10" cm="1">
        <f t="array" aca="1" ref="DW357" ca="1">(1-$B$18)*SUMPRODUCT(OFFSET($BO$15,0,0,$B$14,1), 1*(_xlfn._xlws.FILTER(OFFSET($O$15,0,$DN357,$B$8,1),OFFSET($M$15,0,0,$B$8,1))=DW$13), 1*(_xlfn._xlws.FILTER(OFFSET($O$15,0,$DO357,$B$8,1),OFFSET($M$15,0,0,$B$8,1))=DW$14))   /   SUM(OFFSET($BO$15,0,0,$B$14,1)) + $B$18/($B$19*$B$19*($DN357&lt;&gt;$DO357) + $B$19*($DN357=$DO357))</f>
        <v>3.7037037037037035E-4</v>
      </c>
      <c r="DX357" s="10" cm="1">
        <f t="array" aca="1" ref="DX357" ca="1">(1-$B$18)*SUMPRODUCT(OFFSET($BO$15,0,0,$B$14,1), 1*(_xlfn._xlws.FILTER(OFFSET($O$15,0,$DN357,$B$8,1),OFFSET($M$15,0,0,$B$8,1))=DX$13), 1*(_xlfn._xlws.FILTER(OFFSET($O$15,0,$DO357,$B$8,1),OFFSET($M$15,0,0,$B$8,1))=DX$14))   /   SUM(OFFSET($BO$15,0,0,$B$14,1)) + $B$18/($B$19*$B$19*($DN357&lt;&gt;$DO357) + $B$19*($DN357=$DO357))</f>
        <v>3.7037037037037035E-4</v>
      </c>
      <c r="DY357" s="10" cm="1">
        <f t="array" aca="1" ref="DY357" ca="1">(1-$B$18)*SUMPRODUCT(OFFSET($BO$15,0,0,$B$14,1), 1*(_xlfn._xlws.FILTER(OFFSET($O$15,0,$DN357,$B$8,1),OFFSET($M$15,0,0,$B$8,1))=DY$13), 1*(_xlfn._xlws.FILTER(OFFSET($O$15,0,$DO357,$B$8,1),OFFSET($M$15,0,0,$B$8,1))=DY$14))   /   SUM(OFFSET($BO$15,0,0,$B$14,1)) + $B$18/($B$19*$B$19*($DN357&lt;&gt;$DO357) + $B$19*($DN357=$DO357))</f>
        <v>3.7037037037037035E-4</v>
      </c>
      <c r="DZ357" s="10" cm="1">
        <f t="array" aca="1" ref="DZ357" ca="1">(1-$B$18)*SUMPRODUCT(OFFSET($BO$15,0,0,$B$14,1), 1*(_xlfn._xlws.FILTER(OFFSET($O$15,0,$DN357,$B$8,1),OFFSET($M$15,0,0,$B$8,1))=DZ$13), 1*(_xlfn._xlws.FILTER(OFFSET($O$15,0,$DO357,$B$8,1),OFFSET($M$15,0,0,$B$8,1))=DZ$14))   /   SUM(OFFSET($BO$15,0,0,$B$14,1)) + $B$18/($B$19*$B$19*($DN357&lt;&gt;$DO357) + $B$19*($DN357=$DO357))</f>
        <v>3.7037037037037035E-4</v>
      </c>
      <c r="EA357" s="10" cm="1">
        <f t="array" aca="1" ref="EA357" ca="1">(1-$B$18)*SUMPRODUCT(OFFSET($BO$15,0,0,$B$14,1), 1*(_xlfn._xlws.FILTER(OFFSET($O$15,0,$DN357,$B$8,1),OFFSET($M$15,0,0,$B$8,1))=EA$13), 1*(_xlfn._xlws.FILTER(OFFSET($O$15,0,$DO357,$B$8,1),OFFSET($M$15,0,0,$B$8,1))=EA$14))   /   SUM(OFFSET($BO$15,0,0,$B$14,1)) + $B$18/($B$19*$B$19*($DN357&lt;&gt;$DO357) + $B$19*($DN357=$DO357))</f>
        <v>3.7037037037037035E-4</v>
      </c>
      <c r="EB357" s="10" cm="1">
        <f t="array" aca="1" ref="EB357" ca="1">(1-$B$18)*SUMPRODUCT(OFFSET($BO$15,0,0,$B$14,1), 1*(_xlfn._xlws.FILTER(OFFSET($O$15,0,$DN357,$B$8,1),OFFSET($M$15,0,0,$B$8,1))=EB$13), 1*(_xlfn._xlws.FILTER(OFFSET($O$15,0,$DO357,$B$8,1),OFFSET($M$15,0,0,$B$8,1))=EB$14))   /   SUM(OFFSET($BO$15,0,0,$B$14,1)) + $B$18/($B$19*$B$19*($DN357&lt;&gt;$DO357) + $B$19*($DN357=$DO357))</f>
        <v>3.7037037037037035E-4</v>
      </c>
      <c r="EC357" s="10" cm="1">
        <f t="array" aca="1" ref="EC357" ca="1">(1-$B$18)*SUMPRODUCT(OFFSET($BO$15,0,0,$B$14,1), 1*(_xlfn._xlws.FILTER(OFFSET($O$15,0,$DN357,$B$8,1),OFFSET($M$15,0,0,$B$8,1))=EC$13), 1*(_xlfn._xlws.FILTER(OFFSET($O$15,0,$DO357,$B$8,1),OFFSET($M$15,0,0,$B$8,1))=EC$14))   /   SUM(OFFSET($BO$15,0,0,$B$14,1)) + $B$18/($B$19*$B$19*($DN357&lt;&gt;$DO357) + $B$19*($DN357=$DO357))</f>
        <v>3.7037037037037035E-4</v>
      </c>
      <c r="ED357" s="10" cm="1">
        <f t="array" aca="1" ref="ED357" ca="1">(1-$B$18)*SUMPRODUCT(OFFSET($BO$15,0,0,$B$14,1), 1*(_xlfn._xlws.FILTER(OFFSET($O$15,0,$DN357,$B$8,1),OFFSET($M$15,0,0,$B$8,1))=ED$13), 1*(_xlfn._xlws.FILTER(OFFSET($O$15,0,$DO357,$B$8,1),OFFSET($M$15,0,0,$B$8,1))=ED$14))   /   SUM(OFFSET($BO$15,0,0,$B$14,1)) + $B$18/($B$19*$B$19*($DN357&lt;&gt;$DO357) + $B$19*($DN357=$DO357))</f>
        <v>3.7037037037037035E-4</v>
      </c>
      <c r="EE357" s="10" cm="1">
        <f t="array" aca="1" ref="EE357" ca="1">(1-$B$18)*SUMPRODUCT(OFFSET($BO$15,0,0,$B$14,1), 1*(_xlfn._xlws.FILTER(OFFSET($O$15,0,$DN357,$B$8,1),OFFSET($M$15,0,0,$B$8,1))=EE$13), 1*(_xlfn._xlws.FILTER(OFFSET($O$15,0,$DO357,$B$8,1),OFFSET($M$15,0,0,$B$8,1))=EE$14))   /   SUM(OFFSET($BO$15,0,0,$B$14,1)) + $B$18/($B$19*$B$19*($DN357&lt;&gt;$DO357) + $B$19*($DN357=$DO357))</f>
        <v>3.7037037037037035E-4</v>
      </c>
      <c r="EF357" s="10" cm="1">
        <f t="array" aca="1" ref="EF357" ca="1">(1-$B$18)*SUMPRODUCT(OFFSET($BO$15,0,0,$B$14,1), 1*(_xlfn._xlws.FILTER(OFFSET($O$15,0,$DN357,$B$8,1),OFFSET($M$15,0,0,$B$8,1))=EF$13), 1*(_xlfn._xlws.FILTER(OFFSET($O$15,0,$DO357,$B$8,1),OFFSET($M$15,0,0,$B$8,1))=EF$14))   /   SUM(OFFSET($BO$15,0,0,$B$14,1)) + $B$18/($B$19*$B$19*($DN357&lt;&gt;$DO357) + $B$19*($DN357=$DO357))</f>
        <v>3.7037037037037035E-4</v>
      </c>
      <c r="EG357" s="10" cm="1">
        <f t="array" aca="1" ref="EG357" ca="1">(1-$B$18)*SUMPRODUCT(OFFSET($BO$15,0,0,$B$14,1), 1*(_xlfn._xlws.FILTER(OFFSET($O$15,0,$DN357,$B$8,1),OFFSET($M$15,0,0,$B$8,1))=EG$13), 1*(_xlfn._xlws.FILTER(OFFSET($O$15,0,$DO357,$B$8,1),OFFSET($M$15,0,0,$B$8,1))=EG$14))   /   SUM(OFFSET($BO$15,0,0,$B$14,1)) + $B$18/($B$19*$B$19*($DN357&lt;&gt;$DO357) + $B$19*($DN357=$DO357))</f>
        <v>3.7037037037037035E-4</v>
      </c>
      <c r="EH357" s="10" cm="1">
        <f t="array" aca="1" ref="EH357" ca="1">(1-$B$18)*SUMPRODUCT(OFFSET($BO$15,0,0,$B$14,1), 1*(_xlfn._xlws.FILTER(OFFSET($O$15,0,$DN357,$B$8,1),OFFSET($M$15,0,0,$B$8,1))=EH$13), 1*(_xlfn._xlws.FILTER(OFFSET($O$15,0,$DO357,$B$8,1),OFFSET($M$15,0,0,$B$8,1))=EH$14))   /   SUM(OFFSET($BO$15,0,0,$B$14,1)) + $B$18/($B$19*$B$19*($DN357&lt;&gt;$DO357) + $B$19*($DN357=$DO357))</f>
        <v>3.7037037037037035E-4</v>
      </c>
      <c r="EI357" s="10" cm="1">
        <f t="array" aca="1" ref="EI357" ca="1">(1-$B$18)*SUMPRODUCT(OFFSET($BO$15,0,0,$B$14,1), 1*(_xlfn._xlws.FILTER(OFFSET($O$15,0,$DN357,$B$8,1),OFFSET($M$15,0,0,$B$8,1))=EI$13), 1*(_xlfn._xlws.FILTER(OFFSET($O$15,0,$DO357,$B$8,1),OFFSET($M$15,0,0,$B$8,1))=EI$14))   /   SUM(OFFSET($BO$15,0,0,$B$14,1)) + $B$18/($B$19*$B$19*($DN357&lt;&gt;$DO357) + $B$19*($DN357=$DO357))</f>
        <v>3.7037037037037035E-4</v>
      </c>
      <c r="EJ357" s="10" cm="1">
        <f t="array" aca="1" ref="EJ357" ca="1">(1-$B$18)*SUMPRODUCT(OFFSET($BO$15,0,0,$B$14,1), 1*(_xlfn._xlws.FILTER(OFFSET($O$15,0,$DN357,$B$8,1),OFFSET($M$15,0,0,$B$8,1))=EJ$13), 1*(_xlfn._xlws.FILTER(OFFSET($O$15,0,$DO357,$B$8,1),OFFSET($M$15,0,0,$B$8,1))=EJ$14))   /   SUM(OFFSET($BO$15,0,0,$B$14,1)) + $B$18/($B$19*$B$19*($DN357&lt;&gt;$DO357) + $B$19*($DN357=$DO357))</f>
        <v>3.7037037037037035E-4</v>
      </c>
      <c r="EK357" s="10" cm="1">
        <f t="array" aca="1" ref="EK357" ca="1">(1-$B$18)*SUMPRODUCT(OFFSET($BO$15,0,0,$B$14,1), 1*(_xlfn._xlws.FILTER(OFFSET($O$15,0,$DN357,$B$8,1),OFFSET($M$15,0,0,$B$8,1))=EK$13), 1*(_xlfn._xlws.FILTER(OFFSET($O$15,0,$DO357,$B$8,1),OFFSET($M$15,0,0,$B$8,1))=EK$14))   /   SUM(OFFSET($BO$15,0,0,$B$14,1)) + $B$18/($B$19*$B$19*($DN357&lt;&gt;$DO357) + $B$19*($DN357=$DO357))</f>
        <v>3.7037037037037035E-4</v>
      </c>
      <c r="EL357" s="10" cm="1">
        <f t="array" aca="1" ref="EL357" ca="1">(1-$B$18)*SUMPRODUCT(OFFSET($BO$15,0,0,$B$14,1), 1*(_xlfn._xlws.FILTER(OFFSET($O$15,0,$DN357,$B$8,1),OFFSET($M$15,0,0,$B$8,1))=EL$13), 1*(_xlfn._xlws.FILTER(OFFSET($O$15,0,$DO357,$B$8,1),OFFSET($M$15,0,0,$B$8,1))=EL$14))   /   SUM(OFFSET($BO$15,0,0,$B$14,1)) + $B$18/($B$19*$B$19*($DN357&lt;&gt;$DO357) + $B$19*($DN357=$DO357))</f>
        <v>3.7037037037037035E-4</v>
      </c>
      <c r="EM357" s="10" cm="1">
        <f t="array" aca="1" ref="EM357" ca="1">(1-$B$18)*SUMPRODUCT(OFFSET($BO$15,0,0,$B$14,1), 1*(_xlfn._xlws.FILTER(OFFSET($O$15,0,$DN357,$B$8,1),OFFSET($M$15,0,0,$B$8,1))=EM$13), 1*(_xlfn._xlws.FILTER(OFFSET($O$15,0,$DO357,$B$8,1),OFFSET($M$15,0,0,$B$8,1))=EM$14))   /   SUM(OFFSET($BO$15,0,0,$B$14,1)) + $B$18/($B$19*$B$19*($DN357&lt;&gt;$DO357) + $B$19*($DN357=$DO357))</f>
        <v>3.7037037037037035E-4</v>
      </c>
      <c r="EN357" s="10" cm="1">
        <f t="array" aca="1" ref="EN357" ca="1">(1-$B$18)*SUMPRODUCT(OFFSET($BO$15,0,0,$B$14,1), 1*(_xlfn._xlws.FILTER(OFFSET($O$15,0,$DN357,$B$8,1),OFFSET($M$15,0,0,$B$8,1))=EN$13), 1*(_xlfn._xlws.FILTER(OFFSET($O$15,0,$DO357,$B$8,1),OFFSET($M$15,0,0,$B$8,1))=EN$14))   /   SUM(OFFSET($BO$15,0,0,$B$14,1)) + $B$18/($B$19*$B$19*($DN357&lt;&gt;$DO357) + $B$19*($DN357=$DO357))</f>
        <v>3.7037037037037035E-4</v>
      </c>
      <c r="EO357" s="10" cm="1">
        <f t="array" aca="1" ref="EO357" ca="1">(1-$B$18)*SUMPRODUCT(OFFSET($BO$15,0,0,$B$14,1), 1*(_xlfn._xlws.FILTER(OFFSET($O$15,0,$DN357,$B$8,1),OFFSET($M$15,0,0,$B$8,1))=EO$13), 1*(_xlfn._xlws.FILTER(OFFSET($O$15,0,$DO357,$B$8,1),OFFSET($M$15,0,0,$B$8,1))=EO$14))   /   SUM(OFFSET($BO$15,0,0,$B$14,1)) + $B$18/($B$19*$B$19*($DN357&lt;&gt;$DO357) + $B$19*($DN357=$DO357))</f>
        <v>3.7037037037037035E-4</v>
      </c>
      <c r="EP357" s="10" cm="1">
        <f t="array" aca="1" ref="EP357" ca="1">(1-$B$18)*SUMPRODUCT(OFFSET($BO$15,0,0,$B$14,1), 1*(_xlfn._xlws.FILTER(OFFSET($O$15,0,$DN357,$B$8,1),OFFSET($M$15,0,0,$B$8,1))=EP$13), 1*(_xlfn._xlws.FILTER(OFFSET($O$15,0,$DO357,$B$8,1),OFFSET($M$15,0,0,$B$8,1))=EP$14))   /   SUM(OFFSET($BO$15,0,0,$B$14,1)) + $B$18/($B$19*$B$19*($DN357&lt;&gt;$DO357) + $B$19*($DN357=$DO357))</f>
        <v>3.7037037037037035E-4</v>
      </c>
      <c r="EQ357" s="10" cm="1">
        <f t="array" aca="1" ref="EQ357" ca="1">(1-$B$18)*SUMPRODUCT(OFFSET($BO$15,0,0,$B$14,1), 1*(_xlfn._xlws.FILTER(OFFSET($O$15,0,$DN357,$B$8,1),OFFSET($M$15,0,0,$B$8,1))=EQ$13), 1*(_xlfn._xlws.FILTER(OFFSET($O$15,0,$DO357,$B$8,1),OFFSET($M$15,0,0,$B$8,1))=EQ$14))   /   SUM(OFFSET($BO$15,0,0,$B$14,1)) + $B$18/($B$19*$B$19*($DN357&lt;&gt;$DO357) + $B$19*($DN357=$DO357))</f>
        <v>3.7037037037037035E-4</v>
      </c>
      <c r="ER357" s="10" cm="1">
        <f t="array" aca="1" ref="ER357" ca="1">(1-$B$18)*SUMPRODUCT(OFFSET($BO$15,0,0,$B$14,1), 1*(_xlfn._xlws.FILTER(OFFSET($O$15,0,$DN357,$B$8,1),OFFSET($M$15,0,0,$B$8,1))=ER$13), 1*(_xlfn._xlws.FILTER(OFFSET($O$15,0,$DO357,$B$8,1),OFFSET($M$15,0,0,$B$8,1))=ER$14))   /   SUM(OFFSET($BO$15,0,0,$B$14,1)) + $B$18/($B$19*$B$19*($DN357&lt;&gt;$DO357) + $B$19*($DN357=$DO357))</f>
        <v>3.7037037037037035E-4</v>
      </c>
      <c r="ES357" s="10" cm="1">
        <f t="array" aca="1" ref="ES357" ca="1">(1-$B$18)*SUMPRODUCT(OFFSET($BO$15,0,0,$B$14,1), 1*(_xlfn._xlws.FILTER(OFFSET($O$15,0,$DN357,$B$8,1),OFFSET($M$15,0,0,$B$8,1))=ES$13), 1*(_xlfn._xlws.FILTER(OFFSET($O$15,0,$DO357,$B$8,1),OFFSET($M$15,0,0,$B$8,1))=ES$14))   /   SUM(OFFSET($BO$15,0,0,$B$14,1)) + $B$18/($B$19*$B$19*($DN357&lt;&gt;$DO357) + $B$19*($DN357=$DO357))</f>
        <v>3.7037037037037035E-4</v>
      </c>
      <c r="ET357" s="10" cm="1">
        <f t="array" aca="1" ref="ET357" ca="1">(1-$B$18)*SUMPRODUCT(OFFSET($BO$15,0,0,$B$14,1), 1*(_xlfn._xlws.FILTER(OFFSET($O$15,0,$DN357,$B$8,1),OFFSET($M$15,0,0,$B$8,1))=ET$13), 1*(_xlfn._xlws.FILTER(OFFSET($O$15,0,$DO357,$B$8,1),OFFSET($M$15,0,0,$B$8,1))=ET$14))   /   SUM(OFFSET($BO$15,0,0,$B$14,1)) + $B$18/($B$19*$B$19*($DN357&lt;&gt;$DO357) + $B$19*($DN357=$DO357))</f>
        <v>3.7037037037037035E-4</v>
      </c>
      <c r="EU357" s="10" cm="1">
        <f t="array" aca="1" ref="EU357" ca="1">(1-$B$18)*SUMPRODUCT(OFFSET($BO$15,0,0,$B$14,1), 1*(_xlfn._xlws.FILTER(OFFSET($O$15,0,$DN357,$B$8,1),OFFSET($M$15,0,0,$B$8,1))=EU$13), 1*(_xlfn._xlws.FILTER(OFFSET($O$15,0,$DO357,$B$8,1),OFFSET($M$15,0,0,$B$8,1))=EU$14))   /   SUM(OFFSET($BO$15,0,0,$B$14,1)) + $B$18/($B$19*$B$19*($DN357&lt;&gt;$DO357) + $B$19*($DN357=$DO357))</f>
        <v>3.7037037037037035E-4</v>
      </c>
      <c r="EV357" s="10" cm="1">
        <f t="array" aca="1" ref="EV357" ca="1">(1-$B$18)*SUMPRODUCT(OFFSET($BO$15,0,0,$B$14,1), 1*(_xlfn._xlws.FILTER(OFFSET($O$15,0,$DN357,$B$8,1),OFFSET($M$15,0,0,$B$8,1))=EV$13), 1*(_xlfn._xlws.FILTER(OFFSET($O$15,0,$DO357,$B$8,1),OFFSET($M$15,0,0,$B$8,1))=EV$14))   /   SUM(OFFSET($BO$15,0,0,$B$14,1)) + $B$18/($B$19*$B$19*($DN357&lt;&gt;$DO357) + $B$19*($DN357=$DO357))</f>
        <v>3.7037037037037035E-4</v>
      </c>
      <c r="EW357" s="10" cm="1">
        <f t="array" aca="1" ref="EW357" ca="1">(1-$B$18)*SUMPRODUCT(OFFSET($BO$15,0,0,$B$14,1), 1*(_xlfn._xlws.FILTER(OFFSET($O$15,0,$DN357,$B$8,1),OFFSET($M$15,0,0,$B$8,1))=EW$13), 1*(_xlfn._xlws.FILTER(OFFSET($O$15,0,$DO357,$B$8,1),OFFSET($M$15,0,0,$B$8,1))=EW$14))   /   SUM(OFFSET($BO$15,0,0,$B$14,1)) + $B$18/($B$19*$B$19*($DN357&lt;&gt;$DO357) + $B$19*($DN357=$DO357))</f>
        <v>3.7037037037037035E-4</v>
      </c>
      <c r="EX357" s="10" cm="1">
        <f t="array" aca="1" ref="EX357" ca="1">(1-$B$18)*SUMPRODUCT(OFFSET($BO$15,0,0,$B$14,1), 1*(_xlfn._xlws.FILTER(OFFSET($O$15,0,$DN357,$B$8,1),OFFSET($M$15,0,0,$B$8,1))=EX$13), 1*(_xlfn._xlws.FILTER(OFFSET($O$15,0,$DO357,$B$8,1),OFFSET($M$15,0,0,$B$8,1))=EX$14))   /   SUM(OFFSET($BO$15,0,0,$B$14,1)) + $B$18/($B$19*$B$19*($DN357&lt;&gt;$DO357) + $B$19*($DN357=$DO357))</f>
        <v>3.7037037037037035E-4</v>
      </c>
      <c r="EY357" s="10" cm="1">
        <f t="array" aca="1" ref="EY357" ca="1">(1-$B$18)*SUMPRODUCT(OFFSET($BO$15,0,0,$B$14,1), 1*(_xlfn._xlws.FILTER(OFFSET($O$15,0,$DN357,$B$8,1),OFFSET($M$15,0,0,$B$8,1))=EY$13), 1*(_xlfn._xlws.FILTER(OFFSET($O$15,0,$DO357,$B$8,1),OFFSET($M$15,0,0,$B$8,1))=EY$14))   /   SUM(OFFSET($BO$15,0,0,$B$14,1)) + $B$18/($B$19*$B$19*($DN357&lt;&gt;$DO357) + $B$19*($DN357=$DO357))</f>
        <v>3.7037037037037035E-4</v>
      </c>
      <c r="EZ357" s="10" cm="1">
        <f t="array" aca="1" ref="EZ357" ca="1">(1-$B$18)*SUMPRODUCT(OFFSET($BO$15,0,0,$B$14,1), 1*(_xlfn._xlws.FILTER(OFFSET($O$15,0,$DN357,$B$8,1),OFFSET($M$15,0,0,$B$8,1))=EZ$13), 1*(_xlfn._xlws.FILTER(OFFSET($O$15,0,$DO357,$B$8,1),OFFSET($M$15,0,0,$B$8,1))=EZ$14))   /   SUM(OFFSET($BO$15,0,0,$B$14,1)) + $B$18/($B$19*$B$19*($DN357&lt;&gt;$DO357) + $B$19*($DN357=$DO357))</f>
        <v>3.7037037037037035E-4</v>
      </c>
      <c r="FA357" s="10" cm="1">
        <f t="array" aca="1" ref="FA357" ca="1">(1-$B$18)*SUMPRODUCT(OFFSET($BO$15,0,0,$B$14,1), 1*(_xlfn._xlws.FILTER(OFFSET($O$15,0,$DN357,$B$8,1),OFFSET($M$15,0,0,$B$8,1))=FA$13), 1*(_xlfn._xlws.FILTER(OFFSET($O$15,0,$DO357,$B$8,1),OFFSET($M$15,0,0,$B$8,1))=FA$14))   /   SUM(OFFSET($BO$15,0,0,$B$14,1)) + $B$18/($B$19*$B$19*($DN357&lt;&gt;$DO357) + $B$19*($DN357=$DO357))</f>
        <v>3.7037037037037035E-4</v>
      </c>
      <c r="FB357" s="10" cm="1">
        <f t="array" aca="1" ref="FB357" ca="1">(1-$B$18)*SUMPRODUCT(OFFSET($BO$15,0,0,$B$14,1), 1*(_xlfn._xlws.FILTER(OFFSET($O$15,0,$DN357,$B$8,1),OFFSET($M$15,0,0,$B$8,1))=FB$13), 1*(_xlfn._xlws.FILTER(OFFSET($O$15,0,$DO357,$B$8,1),OFFSET($M$15,0,0,$B$8,1))=FB$14))   /   SUM(OFFSET($BO$15,0,0,$B$14,1)) + $B$18/($B$19*$B$19*($DN357&lt;&gt;$DO357) + $B$19*($DN357=$DO357))</f>
        <v>0.24287037037037024</v>
      </c>
      <c r="FC357" s="10" cm="1">
        <f t="array" aca="1" ref="FC357" ca="1">(1-$B$18)*SUMPRODUCT(OFFSET($BO$15,0,0,$B$14,1), 1*(_xlfn._xlws.FILTER(OFFSET($O$15,0,$DN357,$B$8,1),OFFSET($M$15,0,0,$B$8,1))=FC$13), 1*(_xlfn._xlws.FILTER(OFFSET($O$15,0,$DO357,$B$8,1),OFFSET($M$15,0,0,$B$8,1))=FC$14))   /   SUM(OFFSET($BO$15,0,0,$B$14,1)) + $B$18/($B$19*$B$19*($DN357&lt;&gt;$DO357) + $B$19*($DN357=$DO357))</f>
        <v>3.7037037037037035E-4</v>
      </c>
      <c r="FD357" s="10" cm="1">
        <f t="array" aca="1" ref="FD357" ca="1">(1-$B$18)*SUMPRODUCT(OFFSET($BO$15,0,0,$B$14,1), 1*(_xlfn._xlws.FILTER(OFFSET($O$15,0,$DN357,$B$8,1),OFFSET($M$15,0,0,$B$8,1))=FD$13), 1*(_xlfn._xlws.FILTER(OFFSET($O$15,0,$DO357,$B$8,1),OFFSET($M$15,0,0,$B$8,1))=FD$14))   /   SUM(OFFSET($BO$15,0,0,$B$14,1)) + $B$18/($B$19*$B$19*($DN357&lt;&gt;$DO357) + $B$19*($DN357=$DO357))</f>
        <v>3.7037037037037035E-4</v>
      </c>
      <c r="FE357" s="10" cm="1">
        <f t="array" aca="1" ref="FE357" ca="1">(1-$B$18)*SUMPRODUCT(OFFSET($BO$15,0,0,$B$14,1), 1*(_xlfn._xlws.FILTER(OFFSET($O$15,0,$DN357,$B$8,1),OFFSET($M$15,0,0,$B$8,1))=FE$13), 1*(_xlfn._xlws.FILTER(OFFSET($O$15,0,$DO357,$B$8,1),OFFSET($M$15,0,0,$B$8,1))=FE$14))   /   SUM(OFFSET($BO$15,0,0,$B$14,1)) + $B$18/($B$19*$B$19*($DN357&lt;&gt;$DO357) + $B$19*($DN357=$DO357))</f>
        <v>3.7037037037037035E-4</v>
      </c>
      <c r="FF357" s="10" cm="1">
        <f t="array" aca="1" ref="FF357" ca="1">(1-$B$18)*SUMPRODUCT(OFFSET($BO$15,0,0,$B$14,1), 1*(_xlfn._xlws.FILTER(OFFSET($O$15,0,$DN357,$B$8,1),OFFSET($M$15,0,0,$B$8,1))=FF$13), 1*(_xlfn._xlws.FILTER(OFFSET($O$15,0,$DO357,$B$8,1),OFFSET($M$15,0,0,$B$8,1))=FF$14))   /   SUM(OFFSET($BO$15,0,0,$B$14,1)) + $B$18/($B$19*$B$19*($DN357&lt;&gt;$DO357) + $B$19*($DN357=$DO357))</f>
        <v>3.7037037037037035E-4</v>
      </c>
      <c r="FG357" s="10" cm="1">
        <f t="array" aca="1" ref="FG357" ca="1">(1-$B$18)*SUMPRODUCT(OFFSET($BO$15,0,0,$B$14,1), 1*(_xlfn._xlws.FILTER(OFFSET($O$15,0,$DN357,$B$8,1),OFFSET($M$15,0,0,$B$8,1))=FG$13), 1*(_xlfn._xlws.FILTER(OFFSET($O$15,0,$DO357,$B$8,1),OFFSET($M$15,0,0,$B$8,1))=FG$14))   /   SUM(OFFSET($BO$15,0,0,$B$14,1)) + $B$18/($B$19*$B$19*($DN357&lt;&gt;$DO357) + $B$19*($DN357=$DO357))</f>
        <v>3.7037037037037035E-4</v>
      </c>
      <c r="FH357" s="10" cm="1">
        <f t="array" aca="1" ref="FH357" ca="1">(1-$B$18)*SUMPRODUCT(OFFSET($BO$15,0,0,$B$14,1), 1*(_xlfn._xlws.FILTER(OFFSET($O$15,0,$DN357,$B$8,1),OFFSET($M$15,0,0,$B$8,1))=FH$13), 1*(_xlfn._xlws.FILTER(OFFSET($O$15,0,$DO357,$B$8,1),OFFSET($M$15,0,0,$B$8,1))=FH$14))   /   SUM(OFFSET($BO$15,0,0,$B$14,1)) + $B$18/($B$19*$B$19*($DN357&lt;&gt;$DO357) + $B$19*($DN357=$DO357))</f>
        <v>3.7037037037037035E-4</v>
      </c>
      <c r="FI357" s="10" cm="1">
        <f t="array" aca="1" ref="FI357" ca="1">(1-$B$18)*SUMPRODUCT(OFFSET($BO$15,0,0,$B$14,1), 1*(_xlfn._xlws.FILTER(OFFSET($O$15,0,$DN357,$B$8,1),OFFSET($M$15,0,0,$B$8,1))=FI$13), 1*(_xlfn._xlws.FILTER(OFFSET($O$15,0,$DO357,$B$8,1),OFFSET($M$15,0,0,$B$8,1))=FI$14))   /   SUM(OFFSET($BO$15,0,0,$B$14,1)) + $B$18/($B$19*$B$19*($DN357&lt;&gt;$DO357) + $B$19*($DN357=$DO357))</f>
        <v>3.7037037037037035E-4</v>
      </c>
      <c r="FJ357" s="10" cm="1">
        <f t="array" aca="1" ref="FJ357" ca="1">(1-$B$18)*SUMPRODUCT(OFFSET($BO$15,0,0,$B$14,1), 1*(_xlfn._xlws.FILTER(OFFSET($O$15,0,$DN357,$B$8,1),OFFSET($M$15,0,0,$B$8,1))=FJ$13), 1*(_xlfn._xlws.FILTER(OFFSET($O$15,0,$DO357,$B$8,1),OFFSET($M$15,0,0,$B$8,1))=FJ$14))   /   SUM(OFFSET($BO$15,0,0,$B$14,1)) + $B$18/($B$19*$B$19*($DN357&lt;&gt;$DO357) + $B$19*($DN357=$DO357))</f>
        <v>0.48537037037037012</v>
      </c>
      <c r="FK357" s="10" cm="1">
        <f t="array" aca="1" ref="FK357" ca="1">(1-$B$18)*SUMPRODUCT(OFFSET($BO$15,0,0,$B$14,1), 1*(_xlfn._xlws.FILTER(OFFSET($O$15,0,$DN357,$B$8,1),OFFSET($M$15,0,0,$B$8,1))=FK$13), 1*(_xlfn._xlws.FILTER(OFFSET($O$15,0,$DO357,$B$8,1),OFFSET($M$15,0,0,$B$8,1))=FK$14))   /   SUM(OFFSET($BO$15,0,0,$B$14,1)) + $B$18/($B$19*$B$19*($DN357&lt;&gt;$DO357) + $B$19*($DN357=$DO357))</f>
        <v>3.7037037037037035E-4</v>
      </c>
      <c r="FL357" s="10" cm="1">
        <f t="array" aca="1" ref="FL357" ca="1">(1-$B$18)*SUMPRODUCT(OFFSET($BO$15,0,0,$B$14,1), 1*(_xlfn._xlws.FILTER(OFFSET($O$15,0,$DN357,$B$8,1),OFFSET($M$15,0,0,$B$8,1))=FL$13), 1*(_xlfn._xlws.FILTER(OFFSET($O$15,0,$DO357,$B$8,1),OFFSET($M$15,0,0,$B$8,1))=FL$14))   /   SUM(OFFSET($BO$15,0,0,$B$14,1)) + $B$18/($B$19*$B$19*($DN357&lt;&gt;$DO357) + $B$19*($DN357=$DO357))</f>
        <v>3.7037037037037035E-4</v>
      </c>
      <c r="FM357" s="10" cm="1">
        <f t="array" aca="1" ref="FM357" ca="1">(1-$B$18)*SUMPRODUCT(OFFSET($BO$15,0,0,$B$14,1), 1*(_xlfn._xlws.FILTER(OFFSET($O$15,0,$DN357,$B$8,1),OFFSET($M$15,0,0,$B$8,1))=FM$13), 1*(_xlfn._xlws.FILTER(OFFSET($O$15,0,$DO357,$B$8,1),OFFSET($M$15,0,0,$B$8,1))=FM$14))   /   SUM(OFFSET($BO$15,0,0,$B$14,1)) + $B$18/($B$19*$B$19*($DN357&lt;&gt;$DO357) + $B$19*($DN357=$DO357))</f>
        <v>3.7037037037037035E-4</v>
      </c>
      <c r="FN357" s="10" cm="1">
        <f t="array" aca="1" ref="FN357" ca="1">(1-$B$18)*SUMPRODUCT(OFFSET($BO$15,0,0,$B$14,1), 1*(_xlfn._xlws.FILTER(OFFSET($O$15,0,$DN357,$B$8,1),OFFSET($M$15,0,0,$B$8,1))=FN$13), 1*(_xlfn._xlws.FILTER(OFFSET($O$15,0,$DO357,$B$8,1),OFFSET($M$15,0,0,$B$8,1))=FN$14))   /   SUM(OFFSET($BO$15,0,0,$B$14,1)) + $B$18/($B$19*$B$19*($DN357&lt;&gt;$DO357) + $B$19*($DN357=$DO357))</f>
        <v>3.7037037037037035E-4</v>
      </c>
      <c r="FO357" s="10" cm="1">
        <f t="array" aca="1" ref="FO357" ca="1">(1-$B$18)*SUMPRODUCT(OFFSET($BO$15,0,0,$B$14,1), 1*(_xlfn._xlws.FILTER(OFFSET($O$15,0,$DN357,$B$8,1),OFFSET($M$15,0,0,$B$8,1))=FO$13), 1*(_xlfn._xlws.FILTER(OFFSET($O$15,0,$DO357,$B$8,1),OFFSET($M$15,0,0,$B$8,1))=FO$14))   /   SUM(OFFSET($BO$15,0,0,$B$14,1)) + $B$18/($B$19*$B$19*($DN357&lt;&gt;$DO357) + $B$19*($DN357=$DO357))</f>
        <v>3.7037037037037035E-4</v>
      </c>
      <c r="FP357" s="10" cm="1">
        <f t="array" aca="1" ref="FP357" ca="1">(1-$B$18)*SUMPRODUCT(OFFSET($BO$15,0,0,$B$14,1), 1*(_xlfn._xlws.FILTER(OFFSET($O$15,0,$DN357,$B$8,1),OFFSET($M$15,0,0,$B$8,1))=FP$13), 1*(_xlfn._xlws.FILTER(OFFSET($O$15,0,$DO357,$B$8,1),OFFSET($M$15,0,0,$B$8,1))=FP$14))   /   SUM(OFFSET($BO$15,0,0,$B$14,1)) + $B$18/($B$19*$B$19*($DN357&lt;&gt;$DO357) + $B$19*($DN357=$DO357))</f>
        <v>3.7037037037037035E-4</v>
      </c>
      <c r="FQ357" s="10" cm="1">
        <f t="array" aca="1" ref="FQ357" ca="1">(1-$B$18)*SUMPRODUCT(OFFSET($BO$15,0,0,$B$14,1), 1*(_xlfn._xlws.FILTER(OFFSET($O$15,0,$DN357,$B$8,1),OFFSET($M$15,0,0,$B$8,1))=FQ$13), 1*(_xlfn._xlws.FILTER(OFFSET($O$15,0,$DO357,$B$8,1),OFFSET($M$15,0,0,$B$8,1))=FQ$14))   /   SUM(OFFSET($BO$15,0,0,$B$14,1)) + $B$18/($B$19*$B$19*($DN357&lt;&gt;$DO357) + $B$19*($DN357=$DO357))</f>
        <v>3.7037037037037035E-4</v>
      </c>
      <c r="FR357" s="10" cm="1">
        <f t="array" aca="1" ref="FR357" ca="1">(1-$B$18)*SUMPRODUCT(OFFSET($BO$15,0,0,$B$14,1), 1*(_xlfn._xlws.FILTER(OFFSET($O$15,0,$DN357,$B$8,1),OFFSET($M$15,0,0,$B$8,1))=FR$13), 1*(_xlfn._xlws.FILTER(OFFSET($O$15,0,$DO357,$B$8,1),OFFSET($M$15,0,0,$B$8,1))=FR$14))   /   SUM(OFFSET($BO$15,0,0,$B$14,1)) + $B$18/($B$19*$B$19*($DN357&lt;&gt;$DO357) + $B$19*($DN357=$DO357))</f>
        <v>0.24287037037037026</v>
      </c>
      <c r="FS357" s="10" cm="1">
        <f t="array" aca="1" ref="FS357" ca="1">(1-$B$18)*SUMPRODUCT(OFFSET($BO$15,0,0,$B$14,1), 1*(_xlfn._xlws.FILTER(OFFSET($O$15,0,$DN357,$B$8,1),OFFSET($M$15,0,0,$B$8,1))=FS$13), 1*(_xlfn._xlws.FILTER(OFFSET($O$15,0,$DO357,$B$8,1),OFFSET($M$15,0,0,$B$8,1))=FS$14))   /   SUM(OFFSET($BO$15,0,0,$B$14,1)) + $B$18/($B$19*$B$19*($DN357&lt;&gt;$DO357) + $B$19*($DN357=$DO357))</f>
        <v>3.7037037037037035E-4</v>
      </c>
      <c r="FT357" s="10" cm="1">
        <f t="array" aca="1" ref="FT357" ca="1">(1-$B$18)*SUMPRODUCT(OFFSET($BO$15,0,0,$B$14,1), 1*(_xlfn._xlws.FILTER(OFFSET($O$15,0,$DN357,$B$8,1),OFFSET($M$15,0,0,$B$8,1))=FT$13), 1*(_xlfn._xlws.FILTER(OFFSET($O$15,0,$DO357,$B$8,1),OFFSET($M$15,0,0,$B$8,1))=FT$14))   /   SUM(OFFSET($BO$15,0,0,$B$14,1)) + $B$18/($B$19*$B$19*($DN357&lt;&gt;$DO357) + $B$19*($DN357=$DO357))</f>
        <v>3.7037037037037035E-4</v>
      </c>
      <c r="FU357" s="10" cm="1">
        <f t="array" aca="1" ref="FU357" ca="1">(1-$B$18)*SUMPRODUCT(OFFSET($BO$15,0,0,$B$14,1), 1*(_xlfn._xlws.FILTER(OFFSET($O$15,0,$DN357,$B$8,1),OFFSET($M$15,0,0,$B$8,1))=FU$13), 1*(_xlfn._xlws.FILTER(OFFSET($O$15,0,$DO357,$B$8,1),OFFSET($M$15,0,0,$B$8,1))=FU$14))   /   SUM(OFFSET($BO$15,0,0,$B$14,1)) + $B$18/($B$19*$B$19*($DN357&lt;&gt;$DO357) + $B$19*($DN357=$DO357))</f>
        <v>3.7037037037037035E-4</v>
      </c>
      <c r="FV357" s="10" cm="1">
        <f t="array" aca="1" ref="FV357" ca="1">(1-$B$18)*SUMPRODUCT(OFFSET($BO$15,0,0,$B$14,1), 1*(_xlfn._xlws.FILTER(OFFSET($O$15,0,$DN357,$B$8,1),OFFSET($M$15,0,0,$B$8,1))=FV$13), 1*(_xlfn._xlws.FILTER(OFFSET($O$15,0,$DO357,$B$8,1),OFFSET($M$15,0,0,$B$8,1))=FV$14))   /   SUM(OFFSET($BO$15,0,0,$B$14,1)) + $B$18/($B$19*$B$19*($DN357&lt;&gt;$DO357) + $B$19*($DN357=$DO357))</f>
        <v>3.7037037037037035E-4</v>
      </c>
      <c r="FW357" s="10" cm="1">
        <f t="array" aca="1" ref="FW357" ca="1">(1-$B$18)*SUMPRODUCT(OFFSET($BO$15,0,0,$B$14,1), 1*(_xlfn._xlws.FILTER(OFFSET($O$15,0,$DN357,$B$8,1),OFFSET($M$15,0,0,$B$8,1))=FW$13), 1*(_xlfn._xlws.FILTER(OFFSET($O$15,0,$DO357,$B$8,1),OFFSET($M$15,0,0,$B$8,1))=FW$14))   /   SUM(OFFSET($BO$15,0,0,$B$14,1)) + $B$18/($B$19*$B$19*($DN357&lt;&gt;$DO357) + $B$19*($DN357=$DO357))</f>
        <v>3.7037037037037035E-4</v>
      </c>
      <c r="FX357" s="10" cm="1">
        <f t="array" aca="1" ref="FX357" ca="1">(1-$B$18)*SUMPRODUCT(OFFSET($BO$15,0,0,$B$14,1), 1*(_xlfn._xlws.FILTER(OFFSET($O$15,0,$DN357,$B$8,1),OFFSET($M$15,0,0,$B$8,1))=FX$13), 1*(_xlfn._xlws.FILTER(OFFSET($O$15,0,$DO357,$B$8,1),OFFSET($M$15,0,0,$B$8,1))=FX$14))   /   SUM(OFFSET($BO$15,0,0,$B$14,1)) + $B$18/($B$19*$B$19*($DN357&lt;&gt;$DO357) + $B$19*($DN357=$DO357))</f>
        <v>3.7037037037037035E-4</v>
      </c>
      <c r="FY357" s="10" cm="1">
        <f t="array" aca="1" ref="FY357" ca="1">(1-$B$18)*SUMPRODUCT(OFFSET($BO$15,0,0,$B$14,1), 1*(_xlfn._xlws.FILTER(OFFSET($O$15,0,$DN357,$B$8,1),OFFSET($M$15,0,0,$B$8,1))=FY$13), 1*(_xlfn._xlws.FILTER(OFFSET($O$15,0,$DO357,$B$8,1),OFFSET($M$15,0,0,$B$8,1))=FY$14))   /   SUM(OFFSET($BO$15,0,0,$B$14,1)) + $B$18/($B$19*$B$19*($DN357&lt;&gt;$DO357) + $B$19*($DN357=$DO357))</f>
        <v>3.7037037037037035E-4</v>
      </c>
      <c r="FZ357" s="10" cm="1">
        <f t="array" aca="1" ref="FZ357" ca="1">(1-$B$18)*SUMPRODUCT(OFFSET($BO$15,0,0,$B$14,1), 1*(_xlfn._xlws.FILTER(OFFSET($O$15,0,$DN357,$B$8,1),OFFSET($M$15,0,0,$B$8,1))=FZ$13), 1*(_xlfn._xlws.FILTER(OFFSET($O$15,0,$DO357,$B$8,1),OFFSET($M$15,0,0,$B$8,1))=FZ$14))   /   SUM(OFFSET($BO$15,0,0,$B$14,1)) + $B$18/($B$19*$B$19*($DN357&lt;&gt;$DO357) + $B$19*($DN357=$DO357))</f>
        <v>3.7037037037037035E-4</v>
      </c>
      <c r="GA357" s="10" cm="1">
        <f t="array" aca="1" ref="GA357" ca="1">(1-$B$18)*SUMPRODUCT(OFFSET($BO$15,0,0,$B$14,1), 1*(_xlfn._xlws.FILTER(OFFSET($O$15,0,$DN357,$B$8,1),OFFSET($M$15,0,0,$B$8,1))=GA$13), 1*(_xlfn._xlws.FILTER(OFFSET($O$15,0,$DO357,$B$8,1),OFFSET($M$15,0,0,$B$8,1))=GA$14))   /   SUM(OFFSET($BO$15,0,0,$B$14,1)) + $B$18/($B$19*$B$19*($DN357&lt;&gt;$DO357) + $B$19*($DN357=$DO357))</f>
        <v>3.7037037037037035E-4</v>
      </c>
    </row>
    <row r="358" spans="118:183" x14ac:dyDescent="0.2">
      <c r="DN358" cm="1">
        <f t="array" aca="1" ref="DN358" ca="1">INDEX(_xlfn.ANCHORARRAY($CP$15), 1 + INT((ROWS($DO$15:$DO358) - 1) / ROWS(_xlfn.ANCHORARRAY($CP$15))))</f>
        <v>21</v>
      </c>
      <c r="DO358" cm="1">
        <f t="array" aca="1" ref="DO358" ca="1">INDEX(_xlfn.ANCHORARRAY($CP$15),1+MOD(ROWS($DO$15:$DO358)-1,ROWS(_xlfn.ANCHORARRAY($CP$15))))</f>
        <v>1</v>
      </c>
      <c r="DP358" s="10" cm="1">
        <f t="array" aca="1" ref="DP358" ca="1">(1-$B$18)*SUMPRODUCT(OFFSET($BO$15,0,0,$B$14,1), 1*(_xlfn._xlws.FILTER(OFFSET($O$15,0,$DN358,$B$8,1),OFFSET($M$15,0,0,$B$8,1))=DP$13), 1*(_xlfn._xlws.FILTER(OFFSET($O$15,0,$DO358,$B$8,1),OFFSET($M$15,0,0,$B$8,1))=DP$14))   /   SUM(OFFSET($BO$15,0,0,$B$14,1)) + $B$18/($B$19*$B$19*($DN358&lt;&gt;$DO358) + $B$19*($DN358=$DO358))</f>
        <v>3.7037037037037035E-4</v>
      </c>
      <c r="DQ358" s="10" cm="1">
        <f t="array" aca="1" ref="DQ358" ca="1">(1-$B$18)*SUMPRODUCT(OFFSET($BO$15,0,0,$B$14,1), 1*(_xlfn._xlws.FILTER(OFFSET($O$15,0,$DN358,$B$8,1),OFFSET($M$15,0,0,$B$8,1))=DQ$13), 1*(_xlfn._xlws.FILTER(OFFSET($O$15,0,$DO358,$B$8,1),OFFSET($M$15,0,0,$B$8,1))=DQ$14))   /   SUM(OFFSET($BO$15,0,0,$B$14,1)) + $B$18/($B$19*$B$19*($DN358&lt;&gt;$DO358) + $B$19*($DN358=$DO358))</f>
        <v>3.7037037037037035E-4</v>
      </c>
      <c r="DR358" s="10" cm="1">
        <f t="array" aca="1" ref="DR358" ca="1">(1-$B$18)*SUMPRODUCT(OFFSET($BO$15,0,0,$B$14,1), 1*(_xlfn._xlws.FILTER(OFFSET($O$15,0,$DN358,$B$8,1),OFFSET($M$15,0,0,$B$8,1))=DR$13), 1*(_xlfn._xlws.FILTER(OFFSET($O$15,0,$DO358,$B$8,1),OFFSET($M$15,0,0,$B$8,1))=DR$14))   /   SUM(OFFSET($BO$15,0,0,$B$14,1)) + $B$18/($B$19*$B$19*($DN358&lt;&gt;$DO358) + $B$19*($DN358=$DO358))</f>
        <v>3.7037037037037035E-4</v>
      </c>
      <c r="DS358" s="10" cm="1">
        <f t="array" aca="1" ref="DS358" ca="1">(1-$B$18)*SUMPRODUCT(OFFSET($BO$15,0,0,$B$14,1), 1*(_xlfn._xlws.FILTER(OFFSET($O$15,0,$DN358,$B$8,1),OFFSET($M$15,0,0,$B$8,1))=DS$13), 1*(_xlfn._xlws.FILTER(OFFSET($O$15,0,$DO358,$B$8,1),OFFSET($M$15,0,0,$B$8,1))=DS$14))   /   SUM(OFFSET($BO$15,0,0,$B$14,1)) + $B$18/($B$19*$B$19*($DN358&lt;&gt;$DO358) + $B$19*($DN358=$DO358))</f>
        <v>3.7037037037037035E-4</v>
      </c>
      <c r="DT358" s="10" cm="1">
        <f t="array" aca="1" ref="DT358" ca="1">(1-$B$18)*SUMPRODUCT(OFFSET($BO$15,0,0,$B$14,1), 1*(_xlfn._xlws.FILTER(OFFSET($O$15,0,$DN358,$B$8,1),OFFSET($M$15,0,0,$B$8,1))=DT$13), 1*(_xlfn._xlws.FILTER(OFFSET($O$15,0,$DO358,$B$8,1),OFFSET($M$15,0,0,$B$8,1))=DT$14))   /   SUM(OFFSET($BO$15,0,0,$B$14,1)) + $B$18/($B$19*$B$19*($DN358&lt;&gt;$DO358) + $B$19*($DN358=$DO358))</f>
        <v>3.7037037037037035E-4</v>
      </c>
      <c r="DU358" s="10" cm="1">
        <f t="array" aca="1" ref="DU358" ca="1">(1-$B$18)*SUMPRODUCT(OFFSET($BO$15,0,0,$B$14,1), 1*(_xlfn._xlws.FILTER(OFFSET($O$15,0,$DN358,$B$8,1),OFFSET($M$15,0,0,$B$8,1))=DU$13), 1*(_xlfn._xlws.FILTER(OFFSET($O$15,0,$DO358,$B$8,1),OFFSET($M$15,0,0,$B$8,1))=DU$14))   /   SUM(OFFSET($BO$15,0,0,$B$14,1)) + $B$18/($B$19*$B$19*($DN358&lt;&gt;$DO358) + $B$19*($DN358=$DO358))</f>
        <v>3.7037037037037035E-4</v>
      </c>
      <c r="DV358" s="10" cm="1">
        <f t="array" aca="1" ref="DV358" ca="1">(1-$B$18)*SUMPRODUCT(OFFSET($BO$15,0,0,$B$14,1), 1*(_xlfn._xlws.FILTER(OFFSET($O$15,0,$DN358,$B$8,1),OFFSET($M$15,0,0,$B$8,1))=DV$13), 1*(_xlfn._xlws.FILTER(OFFSET($O$15,0,$DO358,$B$8,1),OFFSET($M$15,0,0,$B$8,1))=DV$14))   /   SUM(OFFSET($BO$15,0,0,$B$14,1)) + $B$18/($B$19*$B$19*($DN358&lt;&gt;$DO358) + $B$19*($DN358=$DO358))</f>
        <v>3.7037037037037035E-4</v>
      </c>
      <c r="DW358" s="10" cm="1">
        <f t="array" aca="1" ref="DW358" ca="1">(1-$B$18)*SUMPRODUCT(OFFSET($BO$15,0,0,$B$14,1), 1*(_xlfn._xlws.FILTER(OFFSET($O$15,0,$DN358,$B$8,1),OFFSET($M$15,0,0,$B$8,1))=DW$13), 1*(_xlfn._xlws.FILTER(OFFSET($O$15,0,$DO358,$B$8,1),OFFSET($M$15,0,0,$B$8,1))=DW$14))   /   SUM(OFFSET($BO$15,0,0,$B$14,1)) + $B$18/($B$19*$B$19*($DN358&lt;&gt;$DO358) + $B$19*($DN358=$DO358))</f>
        <v>3.7037037037037035E-4</v>
      </c>
      <c r="DX358" s="10" cm="1">
        <f t="array" aca="1" ref="DX358" ca="1">(1-$B$18)*SUMPRODUCT(OFFSET($BO$15,0,0,$B$14,1), 1*(_xlfn._xlws.FILTER(OFFSET($O$15,0,$DN358,$B$8,1),OFFSET($M$15,0,0,$B$8,1))=DX$13), 1*(_xlfn._xlws.FILTER(OFFSET($O$15,0,$DO358,$B$8,1),OFFSET($M$15,0,0,$B$8,1))=DX$14))   /   SUM(OFFSET($BO$15,0,0,$B$14,1)) + $B$18/($B$19*$B$19*($DN358&lt;&gt;$DO358) + $B$19*($DN358=$DO358))</f>
        <v>3.7037037037037035E-4</v>
      </c>
      <c r="DY358" s="10" cm="1">
        <f t="array" aca="1" ref="DY358" ca="1">(1-$B$18)*SUMPRODUCT(OFFSET($BO$15,0,0,$B$14,1), 1*(_xlfn._xlws.FILTER(OFFSET($O$15,0,$DN358,$B$8,1),OFFSET($M$15,0,0,$B$8,1))=DY$13), 1*(_xlfn._xlws.FILTER(OFFSET($O$15,0,$DO358,$B$8,1),OFFSET($M$15,0,0,$B$8,1))=DY$14))   /   SUM(OFFSET($BO$15,0,0,$B$14,1)) + $B$18/($B$19*$B$19*($DN358&lt;&gt;$DO358) + $B$19*($DN358=$DO358))</f>
        <v>3.7037037037037035E-4</v>
      </c>
      <c r="DZ358" s="10" cm="1">
        <f t="array" aca="1" ref="DZ358" ca="1">(1-$B$18)*SUMPRODUCT(OFFSET($BO$15,0,0,$B$14,1), 1*(_xlfn._xlws.FILTER(OFFSET($O$15,0,$DN358,$B$8,1),OFFSET($M$15,0,0,$B$8,1))=DZ$13), 1*(_xlfn._xlws.FILTER(OFFSET($O$15,0,$DO358,$B$8,1),OFFSET($M$15,0,0,$B$8,1))=DZ$14))   /   SUM(OFFSET($BO$15,0,0,$B$14,1)) + $B$18/($B$19*$B$19*($DN358&lt;&gt;$DO358) + $B$19*($DN358=$DO358))</f>
        <v>3.7037037037037035E-4</v>
      </c>
      <c r="EA358" s="10" cm="1">
        <f t="array" aca="1" ref="EA358" ca="1">(1-$B$18)*SUMPRODUCT(OFFSET($BO$15,0,0,$B$14,1), 1*(_xlfn._xlws.FILTER(OFFSET($O$15,0,$DN358,$B$8,1),OFFSET($M$15,0,0,$B$8,1))=EA$13), 1*(_xlfn._xlws.FILTER(OFFSET($O$15,0,$DO358,$B$8,1),OFFSET($M$15,0,0,$B$8,1))=EA$14))   /   SUM(OFFSET($BO$15,0,0,$B$14,1)) + $B$18/($B$19*$B$19*($DN358&lt;&gt;$DO358) + $B$19*($DN358=$DO358))</f>
        <v>3.7037037037037035E-4</v>
      </c>
      <c r="EB358" s="10" cm="1">
        <f t="array" aca="1" ref="EB358" ca="1">(1-$B$18)*SUMPRODUCT(OFFSET($BO$15,0,0,$B$14,1), 1*(_xlfn._xlws.FILTER(OFFSET($O$15,0,$DN358,$B$8,1),OFFSET($M$15,0,0,$B$8,1))=EB$13), 1*(_xlfn._xlws.FILTER(OFFSET($O$15,0,$DO358,$B$8,1),OFFSET($M$15,0,0,$B$8,1))=EB$14))   /   SUM(OFFSET($BO$15,0,0,$B$14,1)) + $B$18/($B$19*$B$19*($DN358&lt;&gt;$DO358) + $B$19*($DN358=$DO358))</f>
        <v>3.7037037037037035E-4</v>
      </c>
      <c r="EC358" s="10" cm="1">
        <f t="array" aca="1" ref="EC358" ca="1">(1-$B$18)*SUMPRODUCT(OFFSET($BO$15,0,0,$B$14,1), 1*(_xlfn._xlws.FILTER(OFFSET($O$15,0,$DN358,$B$8,1),OFFSET($M$15,0,0,$B$8,1))=EC$13), 1*(_xlfn._xlws.FILTER(OFFSET($O$15,0,$DO358,$B$8,1),OFFSET($M$15,0,0,$B$8,1))=EC$14))   /   SUM(OFFSET($BO$15,0,0,$B$14,1)) + $B$18/($B$19*$B$19*($DN358&lt;&gt;$DO358) + $B$19*($DN358=$DO358))</f>
        <v>3.7037037037037035E-4</v>
      </c>
      <c r="ED358" s="10" cm="1">
        <f t="array" aca="1" ref="ED358" ca="1">(1-$B$18)*SUMPRODUCT(OFFSET($BO$15,0,0,$B$14,1), 1*(_xlfn._xlws.FILTER(OFFSET($O$15,0,$DN358,$B$8,1),OFFSET($M$15,0,0,$B$8,1))=ED$13), 1*(_xlfn._xlws.FILTER(OFFSET($O$15,0,$DO358,$B$8,1),OFFSET($M$15,0,0,$B$8,1))=ED$14))   /   SUM(OFFSET($BO$15,0,0,$B$14,1)) + $B$18/($B$19*$B$19*($DN358&lt;&gt;$DO358) + $B$19*($DN358=$DO358))</f>
        <v>3.7037037037037035E-4</v>
      </c>
      <c r="EE358" s="10" cm="1">
        <f t="array" aca="1" ref="EE358" ca="1">(1-$B$18)*SUMPRODUCT(OFFSET($BO$15,0,0,$B$14,1), 1*(_xlfn._xlws.FILTER(OFFSET($O$15,0,$DN358,$B$8,1),OFFSET($M$15,0,0,$B$8,1))=EE$13), 1*(_xlfn._xlws.FILTER(OFFSET($O$15,0,$DO358,$B$8,1),OFFSET($M$15,0,0,$B$8,1))=EE$14))   /   SUM(OFFSET($BO$15,0,0,$B$14,1)) + $B$18/($B$19*$B$19*($DN358&lt;&gt;$DO358) + $B$19*($DN358=$DO358))</f>
        <v>3.7037037037037035E-4</v>
      </c>
      <c r="EF358" s="10" cm="1">
        <f t="array" aca="1" ref="EF358" ca="1">(1-$B$18)*SUMPRODUCT(OFFSET($BO$15,0,0,$B$14,1), 1*(_xlfn._xlws.FILTER(OFFSET($O$15,0,$DN358,$B$8,1),OFFSET($M$15,0,0,$B$8,1))=EF$13), 1*(_xlfn._xlws.FILTER(OFFSET($O$15,0,$DO358,$B$8,1),OFFSET($M$15,0,0,$B$8,1))=EF$14))   /   SUM(OFFSET($BO$15,0,0,$B$14,1)) + $B$18/($B$19*$B$19*($DN358&lt;&gt;$DO358) + $B$19*($DN358=$DO358))</f>
        <v>3.7037037037037035E-4</v>
      </c>
      <c r="EG358" s="10" cm="1">
        <f t="array" aca="1" ref="EG358" ca="1">(1-$B$18)*SUMPRODUCT(OFFSET($BO$15,0,0,$B$14,1), 1*(_xlfn._xlws.FILTER(OFFSET($O$15,0,$DN358,$B$8,1),OFFSET($M$15,0,0,$B$8,1))=EG$13), 1*(_xlfn._xlws.FILTER(OFFSET($O$15,0,$DO358,$B$8,1),OFFSET($M$15,0,0,$B$8,1))=EG$14))   /   SUM(OFFSET($BO$15,0,0,$B$14,1)) + $B$18/($B$19*$B$19*($DN358&lt;&gt;$DO358) + $B$19*($DN358=$DO358))</f>
        <v>3.7037037037037035E-4</v>
      </c>
      <c r="EH358" s="10" cm="1">
        <f t="array" aca="1" ref="EH358" ca="1">(1-$B$18)*SUMPRODUCT(OFFSET($BO$15,0,0,$B$14,1), 1*(_xlfn._xlws.FILTER(OFFSET($O$15,0,$DN358,$B$8,1),OFFSET($M$15,0,0,$B$8,1))=EH$13), 1*(_xlfn._xlws.FILTER(OFFSET($O$15,0,$DO358,$B$8,1),OFFSET($M$15,0,0,$B$8,1))=EH$14))   /   SUM(OFFSET($BO$15,0,0,$B$14,1)) + $B$18/($B$19*$B$19*($DN358&lt;&gt;$DO358) + $B$19*($DN358=$DO358))</f>
        <v>3.7037037037037035E-4</v>
      </c>
      <c r="EI358" s="10" cm="1">
        <f t="array" aca="1" ref="EI358" ca="1">(1-$B$18)*SUMPRODUCT(OFFSET($BO$15,0,0,$B$14,1), 1*(_xlfn._xlws.FILTER(OFFSET($O$15,0,$DN358,$B$8,1),OFFSET($M$15,0,0,$B$8,1))=EI$13), 1*(_xlfn._xlws.FILTER(OFFSET($O$15,0,$DO358,$B$8,1),OFFSET($M$15,0,0,$B$8,1))=EI$14))   /   SUM(OFFSET($BO$15,0,0,$B$14,1)) + $B$18/($B$19*$B$19*($DN358&lt;&gt;$DO358) + $B$19*($DN358=$DO358))</f>
        <v>3.7037037037037035E-4</v>
      </c>
      <c r="EJ358" s="10" cm="1">
        <f t="array" aca="1" ref="EJ358" ca="1">(1-$B$18)*SUMPRODUCT(OFFSET($BO$15,0,0,$B$14,1), 1*(_xlfn._xlws.FILTER(OFFSET($O$15,0,$DN358,$B$8,1),OFFSET($M$15,0,0,$B$8,1))=EJ$13), 1*(_xlfn._xlws.FILTER(OFFSET($O$15,0,$DO358,$B$8,1),OFFSET($M$15,0,0,$B$8,1))=EJ$14))   /   SUM(OFFSET($BO$15,0,0,$B$14,1)) + $B$18/($B$19*$B$19*($DN358&lt;&gt;$DO358) + $B$19*($DN358=$DO358))</f>
        <v>3.7037037037037035E-4</v>
      </c>
      <c r="EK358" s="10" cm="1">
        <f t="array" aca="1" ref="EK358" ca="1">(1-$B$18)*SUMPRODUCT(OFFSET($BO$15,0,0,$B$14,1), 1*(_xlfn._xlws.FILTER(OFFSET($O$15,0,$DN358,$B$8,1),OFFSET($M$15,0,0,$B$8,1))=EK$13), 1*(_xlfn._xlws.FILTER(OFFSET($O$15,0,$DO358,$B$8,1),OFFSET($M$15,0,0,$B$8,1))=EK$14))   /   SUM(OFFSET($BO$15,0,0,$B$14,1)) + $B$18/($B$19*$B$19*($DN358&lt;&gt;$DO358) + $B$19*($DN358=$DO358))</f>
        <v>3.7037037037037035E-4</v>
      </c>
      <c r="EL358" s="10" cm="1">
        <f t="array" aca="1" ref="EL358" ca="1">(1-$B$18)*SUMPRODUCT(OFFSET($BO$15,0,0,$B$14,1), 1*(_xlfn._xlws.FILTER(OFFSET($O$15,0,$DN358,$B$8,1),OFFSET($M$15,0,0,$B$8,1))=EL$13), 1*(_xlfn._xlws.FILTER(OFFSET($O$15,0,$DO358,$B$8,1),OFFSET($M$15,0,0,$B$8,1))=EL$14))   /   SUM(OFFSET($BO$15,0,0,$B$14,1)) + $B$18/($B$19*$B$19*($DN358&lt;&gt;$DO358) + $B$19*($DN358=$DO358))</f>
        <v>3.7037037037037035E-4</v>
      </c>
      <c r="EM358" s="10" cm="1">
        <f t="array" aca="1" ref="EM358" ca="1">(1-$B$18)*SUMPRODUCT(OFFSET($BO$15,0,0,$B$14,1), 1*(_xlfn._xlws.FILTER(OFFSET($O$15,0,$DN358,$B$8,1),OFFSET($M$15,0,0,$B$8,1))=EM$13), 1*(_xlfn._xlws.FILTER(OFFSET($O$15,0,$DO358,$B$8,1),OFFSET($M$15,0,0,$B$8,1))=EM$14))   /   SUM(OFFSET($BO$15,0,0,$B$14,1)) + $B$18/($B$19*$B$19*($DN358&lt;&gt;$DO358) + $B$19*($DN358=$DO358))</f>
        <v>3.7037037037037035E-4</v>
      </c>
      <c r="EN358" s="10" cm="1">
        <f t="array" aca="1" ref="EN358" ca="1">(1-$B$18)*SUMPRODUCT(OFFSET($BO$15,0,0,$B$14,1), 1*(_xlfn._xlws.FILTER(OFFSET($O$15,0,$DN358,$B$8,1),OFFSET($M$15,0,0,$B$8,1))=EN$13), 1*(_xlfn._xlws.FILTER(OFFSET($O$15,0,$DO358,$B$8,1),OFFSET($M$15,0,0,$B$8,1))=EN$14))   /   SUM(OFFSET($BO$15,0,0,$B$14,1)) + $B$18/($B$19*$B$19*($DN358&lt;&gt;$DO358) + $B$19*($DN358=$DO358))</f>
        <v>3.7037037037037035E-4</v>
      </c>
      <c r="EO358" s="10" cm="1">
        <f t="array" aca="1" ref="EO358" ca="1">(1-$B$18)*SUMPRODUCT(OFFSET($BO$15,0,0,$B$14,1), 1*(_xlfn._xlws.FILTER(OFFSET($O$15,0,$DN358,$B$8,1),OFFSET($M$15,0,0,$B$8,1))=EO$13), 1*(_xlfn._xlws.FILTER(OFFSET($O$15,0,$DO358,$B$8,1),OFFSET($M$15,0,0,$B$8,1))=EO$14))   /   SUM(OFFSET($BO$15,0,0,$B$14,1)) + $B$18/($B$19*$B$19*($DN358&lt;&gt;$DO358) + $B$19*($DN358=$DO358))</f>
        <v>3.7037037037037035E-4</v>
      </c>
      <c r="EP358" s="10" cm="1">
        <f t="array" aca="1" ref="EP358" ca="1">(1-$B$18)*SUMPRODUCT(OFFSET($BO$15,0,0,$B$14,1), 1*(_xlfn._xlws.FILTER(OFFSET($O$15,0,$DN358,$B$8,1),OFFSET($M$15,0,0,$B$8,1))=EP$13), 1*(_xlfn._xlws.FILTER(OFFSET($O$15,0,$DO358,$B$8,1),OFFSET($M$15,0,0,$B$8,1))=EP$14))   /   SUM(OFFSET($BO$15,0,0,$B$14,1)) + $B$18/($B$19*$B$19*($DN358&lt;&gt;$DO358) + $B$19*($DN358=$DO358))</f>
        <v>3.7037037037037035E-4</v>
      </c>
      <c r="EQ358" s="10" cm="1">
        <f t="array" aca="1" ref="EQ358" ca="1">(1-$B$18)*SUMPRODUCT(OFFSET($BO$15,0,0,$B$14,1), 1*(_xlfn._xlws.FILTER(OFFSET($O$15,0,$DN358,$B$8,1),OFFSET($M$15,0,0,$B$8,1))=EQ$13), 1*(_xlfn._xlws.FILTER(OFFSET($O$15,0,$DO358,$B$8,1),OFFSET($M$15,0,0,$B$8,1))=EQ$14))   /   SUM(OFFSET($BO$15,0,0,$B$14,1)) + $B$18/($B$19*$B$19*($DN358&lt;&gt;$DO358) + $B$19*($DN358=$DO358))</f>
        <v>3.7037037037037035E-4</v>
      </c>
      <c r="ER358" s="10" cm="1">
        <f t="array" aca="1" ref="ER358" ca="1">(1-$B$18)*SUMPRODUCT(OFFSET($BO$15,0,0,$B$14,1), 1*(_xlfn._xlws.FILTER(OFFSET($O$15,0,$DN358,$B$8,1),OFFSET($M$15,0,0,$B$8,1))=ER$13), 1*(_xlfn._xlws.FILTER(OFFSET($O$15,0,$DO358,$B$8,1),OFFSET($M$15,0,0,$B$8,1))=ER$14))   /   SUM(OFFSET($BO$15,0,0,$B$14,1)) + $B$18/($B$19*$B$19*($DN358&lt;&gt;$DO358) + $B$19*($DN358=$DO358))</f>
        <v>3.7037037037037035E-4</v>
      </c>
      <c r="ES358" s="10" cm="1">
        <f t="array" aca="1" ref="ES358" ca="1">(1-$B$18)*SUMPRODUCT(OFFSET($BO$15,0,0,$B$14,1), 1*(_xlfn._xlws.FILTER(OFFSET($O$15,0,$DN358,$B$8,1),OFFSET($M$15,0,0,$B$8,1))=ES$13), 1*(_xlfn._xlws.FILTER(OFFSET($O$15,0,$DO358,$B$8,1),OFFSET($M$15,0,0,$B$8,1))=ES$14))   /   SUM(OFFSET($BO$15,0,0,$B$14,1)) + $B$18/($B$19*$B$19*($DN358&lt;&gt;$DO358) + $B$19*($DN358=$DO358))</f>
        <v>3.7037037037037035E-4</v>
      </c>
      <c r="ET358" s="10" cm="1">
        <f t="array" aca="1" ref="ET358" ca="1">(1-$B$18)*SUMPRODUCT(OFFSET($BO$15,0,0,$B$14,1), 1*(_xlfn._xlws.FILTER(OFFSET($O$15,0,$DN358,$B$8,1),OFFSET($M$15,0,0,$B$8,1))=ET$13), 1*(_xlfn._xlws.FILTER(OFFSET($O$15,0,$DO358,$B$8,1),OFFSET($M$15,0,0,$B$8,1))=ET$14))   /   SUM(OFFSET($BO$15,0,0,$B$14,1)) + $B$18/($B$19*$B$19*($DN358&lt;&gt;$DO358) + $B$19*($DN358=$DO358))</f>
        <v>3.7037037037037035E-4</v>
      </c>
      <c r="EU358" s="10" cm="1">
        <f t="array" aca="1" ref="EU358" ca="1">(1-$B$18)*SUMPRODUCT(OFFSET($BO$15,0,0,$B$14,1), 1*(_xlfn._xlws.FILTER(OFFSET($O$15,0,$DN358,$B$8,1),OFFSET($M$15,0,0,$B$8,1))=EU$13), 1*(_xlfn._xlws.FILTER(OFFSET($O$15,0,$DO358,$B$8,1),OFFSET($M$15,0,0,$B$8,1))=EU$14))   /   SUM(OFFSET($BO$15,0,0,$B$14,1)) + $B$18/($B$19*$B$19*($DN358&lt;&gt;$DO358) + $B$19*($DN358=$DO358))</f>
        <v>3.7037037037037035E-4</v>
      </c>
      <c r="EV358" s="10" cm="1">
        <f t="array" aca="1" ref="EV358" ca="1">(1-$B$18)*SUMPRODUCT(OFFSET($BO$15,0,0,$B$14,1), 1*(_xlfn._xlws.FILTER(OFFSET($O$15,0,$DN358,$B$8,1),OFFSET($M$15,0,0,$B$8,1))=EV$13), 1*(_xlfn._xlws.FILTER(OFFSET($O$15,0,$DO358,$B$8,1),OFFSET($M$15,0,0,$B$8,1))=EV$14))   /   SUM(OFFSET($BO$15,0,0,$B$14,1)) + $B$18/($B$19*$B$19*($DN358&lt;&gt;$DO358) + $B$19*($DN358=$DO358))</f>
        <v>3.7037037037037035E-4</v>
      </c>
      <c r="EW358" s="10" cm="1">
        <f t="array" aca="1" ref="EW358" ca="1">(1-$B$18)*SUMPRODUCT(OFFSET($BO$15,0,0,$B$14,1), 1*(_xlfn._xlws.FILTER(OFFSET($O$15,0,$DN358,$B$8,1),OFFSET($M$15,0,0,$B$8,1))=EW$13), 1*(_xlfn._xlws.FILTER(OFFSET($O$15,0,$DO358,$B$8,1),OFFSET($M$15,0,0,$B$8,1))=EW$14))   /   SUM(OFFSET($BO$15,0,0,$B$14,1)) + $B$18/($B$19*$B$19*($DN358&lt;&gt;$DO358) + $B$19*($DN358=$DO358))</f>
        <v>3.7037037037037035E-4</v>
      </c>
      <c r="EX358" s="10" cm="1">
        <f t="array" aca="1" ref="EX358" ca="1">(1-$B$18)*SUMPRODUCT(OFFSET($BO$15,0,0,$B$14,1), 1*(_xlfn._xlws.FILTER(OFFSET($O$15,0,$DN358,$B$8,1),OFFSET($M$15,0,0,$B$8,1))=EX$13), 1*(_xlfn._xlws.FILTER(OFFSET($O$15,0,$DO358,$B$8,1),OFFSET($M$15,0,0,$B$8,1))=EX$14))   /   SUM(OFFSET($BO$15,0,0,$B$14,1)) + $B$18/($B$19*$B$19*($DN358&lt;&gt;$DO358) + $B$19*($DN358=$DO358))</f>
        <v>3.7037037037037035E-4</v>
      </c>
      <c r="EY358" s="10" cm="1">
        <f t="array" aca="1" ref="EY358" ca="1">(1-$B$18)*SUMPRODUCT(OFFSET($BO$15,0,0,$B$14,1), 1*(_xlfn._xlws.FILTER(OFFSET($O$15,0,$DN358,$B$8,1),OFFSET($M$15,0,0,$B$8,1))=EY$13), 1*(_xlfn._xlws.FILTER(OFFSET($O$15,0,$DO358,$B$8,1),OFFSET($M$15,0,0,$B$8,1))=EY$14))   /   SUM(OFFSET($BO$15,0,0,$B$14,1)) + $B$18/($B$19*$B$19*($DN358&lt;&gt;$DO358) + $B$19*($DN358=$DO358))</f>
        <v>3.7037037037037035E-4</v>
      </c>
      <c r="EZ358" s="10" cm="1">
        <f t="array" aca="1" ref="EZ358" ca="1">(1-$B$18)*SUMPRODUCT(OFFSET($BO$15,0,0,$B$14,1), 1*(_xlfn._xlws.FILTER(OFFSET($O$15,0,$DN358,$B$8,1),OFFSET($M$15,0,0,$B$8,1))=EZ$13), 1*(_xlfn._xlws.FILTER(OFFSET($O$15,0,$DO358,$B$8,1),OFFSET($M$15,0,0,$B$8,1))=EZ$14))   /   SUM(OFFSET($BO$15,0,0,$B$14,1)) + $B$18/($B$19*$B$19*($DN358&lt;&gt;$DO358) + $B$19*($DN358=$DO358))</f>
        <v>3.7037037037037035E-4</v>
      </c>
      <c r="FA358" s="10" cm="1">
        <f t="array" aca="1" ref="FA358" ca="1">(1-$B$18)*SUMPRODUCT(OFFSET($BO$15,0,0,$B$14,1), 1*(_xlfn._xlws.FILTER(OFFSET($O$15,0,$DN358,$B$8,1),OFFSET($M$15,0,0,$B$8,1))=FA$13), 1*(_xlfn._xlws.FILTER(OFFSET($O$15,0,$DO358,$B$8,1),OFFSET($M$15,0,0,$B$8,1))=FA$14))   /   SUM(OFFSET($BO$15,0,0,$B$14,1)) + $B$18/($B$19*$B$19*($DN358&lt;&gt;$DO358) + $B$19*($DN358=$DO358))</f>
        <v>3.7037037037037035E-4</v>
      </c>
      <c r="FB358" s="10" cm="1">
        <f t="array" aca="1" ref="FB358" ca="1">(1-$B$18)*SUMPRODUCT(OFFSET($BO$15,0,0,$B$14,1), 1*(_xlfn._xlws.FILTER(OFFSET($O$15,0,$DN358,$B$8,1),OFFSET($M$15,0,0,$B$8,1))=FB$13), 1*(_xlfn._xlws.FILTER(OFFSET($O$15,0,$DO358,$B$8,1),OFFSET($M$15,0,0,$B$8,1))=FB$14))   /   SUM(OFFSET($BO$15,0,0,$B$14,1)) + $B$18/($B$19*$B$19*($DN358&lt;&gt;$DO358) + $B$19*($DN358=$DO358))</f>
        <v>0.24287037037037024</v>
      </c>
      <c r="FC358" s="10" cm="1">
        <f t="array" aca="1" ref="FC358" ca="1">(1-$B$18)*SUMPRODUCT(OFFSET($BO$15,0,0,$B$14,1), 1*(_xlfn._xlws.FILTER(OFFSET($O$15,0,$DN358,$B$8,1),OFFSET($M$15,0,0,$B$8,1))=FC$13), 1*(_xlfn._xlws.FILTER(OFFSET($O$15,0,$DO358,$B$8,1),OFFSET($M$15,0,0,$B$8,1))=FC$14))   /   SUM(OFFSET($BO$15,0,0,$B$14,1)) + $B$18/($B$19*$B$19*($DN358&lt;&gt;$DO358) + $B$19*($DN358=$DO358))</f>
        <v>3.7037037037037035E-4</v>
      </c>
      <c r="FD358" s="10" cm="1">
        <f t="array" aca="1" ref="FD358" ca="1">(1-$B$18)*SUMPRODUCT(OFFSET($BO$15,0,0,$B$14,1), 1*(_xlfn._xlws.FILTER(OFFSET($O$15,0,$DN358,$B$8,1),OFFSET($M$15,0,0,$B$8,1))=FD$13), 1*(_xlfn._xlws.FILTER(OFFSET($O$15,0,$DO358,$B$8,1),OFFSET($M$15,0,0,$B$8,1))=FD$14))   /   SUM(OFFSET($BO$15,0,0,$B$14,1)) + $B$18/($B$19*$B$19*($DN358&lt;&gt;$DO358) + $B$19*($DN358=$DO358))</f>
        <v>3.7037037037037035E-4</v>
      </c>
      <c r="FE358" s="10" cm="1">
        <f t="array" aca="1" ref="FE358" ca="1">(1-$B$18)*SUMPRODUCT(OFFSET($BO$15,0,0,$B$14,1), 1*(_xlfn._xlws.FILTER(OFFSET($O$15,0,$DN358,$B$8,1),OFFSET($M$15,0,0,$B$8,1))=FE$13), 1*(_xlfn._xlws.FILTER(OFFSET($O$15,0,$DO358,$B$8,1),OFFSET($M$15,0,0,$B$8,1))=FE$14))   /   SUM(OFFSET($BO$15,0,0,$B$14,1)) + $B$18/($B$19*$B$19*($DN358&lt;&gt;$DO358) + $B$19*($DN358=$DO358))</f>
        <v>3.7037037037037035E-4</v>
      </c>
      <c r="FF358" s="10" cm="1">
        <f t="array" aca="1" ref="FF358" ca="1">(1-$B$18)*SUMPRODUCT(OFFSET($BO$15,0,0,$B$14,1), 1*(_xlfn._xlws.FILTER(OFFSET($O$15,0,$DN358,$B$8,1),OFFSET($M$15,0,0,$B$8,1))=FF$13), 1*(_xlfn._xlws.FILTER(OFFSET($O$15,0,$DO358,$B$8,1),OFFSET($M$15,0,0,$B$8,1))=FF$14))   /   SUM(OFFSET($BO$15,0,0,$B$14,1)) + $B$18/($B$19*$B$19*($DN358&lt;&gt;$DO358) + $B$19*($DN358=$DO358))</f>
        <v>3.7037037037037035E-4</v>
      </c>
      <c r="FG358" s="10" cm="1">
        <f t="array" aca="1" ref="FG358" ca="1">(1-$B$18)*SUMPRODUCT(OFFSET($BO$15,0,0,$B$14,1), 1*(_xlfn._xlws.FILTER(OFFSET($O$15,0,$DN358,$B$8,1),OFFSET($M$15,0,0,$B$8,1))=FG$13), 1*(_xlfn._xlws.FILTER(OFFSET($O$15,0,$DO358,$B$8,1),OFFSET($M$15,0,0,$B$8,1))=FG$14))   /   SUM(OFFSET($BO$15,0,0,$B$14,1)) + $B$18/($B$19*$B$19*($DN358&lt;&gt;$DO358) + $B$19*($DN358=$DO358))</f>
        <v>3.7037037037037035E-4</v>
      </c>
      <c r="FH358" s="10" cm="1">
        <f t="array" aca="1" ref="FH358" ca="1">(1-$B$18)*SUMPRODUCT(OFFSET($BO$15,0,0,$B$14,1), 1*(_xlfn._xlws.FILTER(OFFSET($O$15,0,$DN358,$B$8,1),OFFSET($M$15,0,0,$B$8,1))=FH$13), 1*(_xlfn._xlws.FILTER(OFFSET($O$15,0,$DO358,$B$8,1),OFFSET($M$15,0,0,$B$8,1))=FH$14))   /   SUM(OFFSET($BO$15,0,0,$B$14,1)) + $B$18/($B$19*$B$19*($DN358&lt;&gt;$DO358) + $B$19*($DN358=$DO358))</f>
        <v>3.7037037037037035E-4</v>
      </c>
      <c r="FI358" s="10" cm="1">
        <f t="array" aca="1" ref="FI358" ca="1">(1-$B$18)*SUMPRODUCT(OFFSET($BO$15,0,0,$B$14,1), 1*(_xlfn._xlws.FILTER(OFFSET($O$15,0,$DN358,$B$8,1),OFFSET($M$15,0,0,$B$8,1))=FI$13), 1*(_xlfn._xlws.FILTER(OFFSET($O$15,0,$DO358,$B$8,1),OFFSET($M$15,0,0,$B$8,1))=FI$14))   /   SUM(OFFSET($BO$15,0,0,$B$14,1)) + $B$18/($B$19*$B$19*($DN358&lt;&gt;$DO358) + $B$19*($DN358=$DO358))</f>
        <v>3.7037037037037035E-4</v>
      </c>
      <c r="FJ358" s="10" cm="1">
        <f t="array" aca="1" ref="FJ358" ca="1">(1-$B$18)*SUMPRODUCT(OFFSET($BO$15,0,0,$B$14,1), 1*(_xlfn._xlws.FILTER(OFFSET($O$15,0,$DN358,$B$8,1),OFFSET($M$15,0,0,$B$8,1))=FJ$13), 1*(_xlfn._xlws.FILTER(OFFSET($O$15,0,$DO358,$B$8,1),OFFSET($M$15,0,0,$B$8,1))=FJ$14))   /   SUM(OFFSET($BO$15,0,0,$B$14,1)) + $B$18/($B$19*$B$19*($DN358&lt;&gt;$DO358) + $B$19*($DN358=$DO358))</f>
        <v>0.48537037037037012</v>
      </c>
      <c r="FK358" s="10" cm="1">
        <f t="array" aca="1" ref="FK358" ca="1">(1-$B$18)*SUMPRODUCT(OFFSET($BO$15,0,0,$B$14,1), 1*(_xlfn._xlws.FILTER(OFFSET($O$15,0,$DN358,$B$8,1),OFFSET($M$15,0,0,$B$8,1))=FK$13), 1*(_xlfn._xlws.FILTER(OFFSET($O$15,0,$DO358,$B$8,1),OFFSET($M$15,0,0,$B$8,1))=FK$14))   /   SUM(OFFSET($BO$15,0,0,$B$14,1)) + $B$18/($B$19*$B$19*($DN358&lt;&gt;$DO358) + $B$19*($DN358=$DO358))</f>
        <v>3.7037037037037035E-4</v>
      </c>
      <c r="FL358" s="10" cm="1">
        <f t="array" aca="1" ref="FL358" ca="1">(1-$B$18)*SUMPRODUCT(OFFSET($BO$15,0,0,$B$14,1), 1*(_xlfn._xlws.FILTER(OFFSET($O$15,0,$DN358,$B$8,1),OFFSET($M$15,0,0,$B$8,1))=FL$13), 1*(_xlfn._xlws.FILTER(OFFSET($O$15,0,$DO358,$B$8,1),OFFSET($M$15,0,0,$B$8,1))=FL$14))   /   SUM(OFFSET($BO$15,0,0,$B$14,1)) + $B$18/($B$19*$B$19*($DN358&lt;&gt;$DO358) + $B$19*($DN358=$DO358))</f>
        <v>3.7037037037037035E-4</v>
      </c>
      <c r="FM358" s="10" cm="1">
        <f t="array" aca="1" ref="FM358" ca="1">(1-$B$18)*SUMPRODUCT(OFFSET($BO$15,0,0,$B$14,1), 1*(_xlfn._xlws.FILTER(OFFSET($O$15,0,$DN358,$B$8,1),OFFSET($M$15,0,0,$B$8,1))=FM$13), 1*(_xlfn._xlws.FILTER(OFFSET($O$15,0,$DO358,$B$8,1),OFFSET($M$15,0,0,$B$8,1))=FM$14))   /   SUM(OFFSET($BO$15,0,0,$B$14,1)) + $B$18/($B$19*$B$19*($DN358&lt;&gt;$DO358) + $B$19*($DN358=$DO358))</f>
        <v>3.7037037037037035E-4</v>
      </c>
      <c r="FN358" s="10" cm="1">
        <f t="array" aca="1" ref="FN358" ca="1">(1-$B$18)*SUMPRODUCT(OFFSET($BO$15,0,0,$B$14,1), 1*(_xlfn._xlws.FILTER(OFFSET($O$15,0,$DN358,$B$8,1),OFFSET($M$15,0,0,$B$8,1))=FN$13), 1*(_xlfn._xlws.FILTER(OFFSET($O$15,0,$DO358,$B$8,1),OFFSET($M$15,0,0,$B$8,1))=FN$14))   /   SUM(OFFSET($BO$15,0,0,$B$14,1)) + $B$18/($B$19*$B$19*($DN358&lt;&gt;$DO358) + $B$19*($DN358=$DO358))</f>
        <v>3.7037037037037035E-4</v>
      </c>
      <c r="FO358" s="10" cm="1">
        <f t="array" aca="1" ref="FO358" ca="1">(1-$B$18)*SUMPRODUCT(OFFSET($BO$15,0,0,$B$14,1), 1*(_xlfn._xlws.FILTER(OFFSET($O$15,0,$DN358,$B$8,1),OFFSET($M$15,0,0,$B$8,1))=FO$13), 1*(_xlfn._xlws.FILTER(OFFSET($O$15,0,$DO358,$B$8,1),OFFSET($M$15,0,0,$B$8,1))=FO$14))   /   SUM(OFFSET($BO$15,0,0,$B$14,1)) + $B$18/($B$19*$B$19*($DN358&lt;&gt;$DO358) + $B$19*($DN358=$DO358))</f>
        <v>3.7037037037037035E-4</v>
      </c>
      <c r="FP358" s="10" cm="1">
        <f t="array" aca="1" ref="FP358" ca="1">(1-$B$18)*SUMPRODUCT(OFFSET($BO$15,0,0,$B$14,1), 1*(_xlfn._xlws.FILTER(OFFSET($O$15,0,$DN358,$B$8,1),OFFSET($M$15,0,0,$B$8,1))=FP$13), 1*(_xlfn._xlws.FILTER(OFFSET($O$15,0,$DO358,$B$8,1),OFFSET($M$15,0,0,$B$8,1))=FP$14))   /   SUM(OFFSET($BO$15,0,0,$B$14,1)) + $B$18/($B$19*$B$19*($DN358&lt;&gt;$DO358) + $B$19*($DN358=$DO358))</f>
        <v>3.7037037037037035E-4</v>
      </c>
      <c r="FQ358" s="10" cm="1">
        <f t="array" aca="1" ref="FQ358" ca="1">(1-$B$18)*SUMPRODUCT(OFFSET($BO$15,0,0,$B$14,1), 1*(_xlfn._xlws.FILTER(OFFSET($O$15,0,$DN358,$B$8,1),OFFSET($M$15,0,0,$B$8,1))=FQ$13), 1*(_xlfn._xlws.FILTER(OFFSET($O$15,0,$DO358,$B$8,1),OFFSET($M$15,0,0,$B$8,1))=FQ$14))   /   SUM(OFFSET($BO$15,0,0,$B$14,1)) + $B$18/($B$19*$B$19*($DN358&lt;&gt;$DO358) + $B$19*($DN358=$DO358))</f>
        <v>3.7037037037037035E-4</v>
      </c>
      <c r="FR358" s="10" cm="1">
        <f t="array" aca="1" ref="FR358" ca="1">(1-$B$18)*SUMPRODUCT(OFFSET($BO$15,0,0,$B$14,1), 1*(_xlfn._xlws.FILTER(OFFSET($O$15,0,$DN358,$B$8,1),OFFSET($M$15,0,0,$B$8,1))=FR$13), 1*(_xlfn._xlws.FILTER(OFFSET($O$15,0,$DO358,$B$8,1),OFFSET($M$15,0,0,$B$8,1))=FR$14))   /   SUM(OFFSET($BO$15,0,0,$B$14,1)) + $B$18/($B$19*$B$19*($DN358&lt;&gt;$DO358) + $B$19*($DN358=$DO358))</f>
        <v>0.24287037037037026</v>
      </c>
      <c r="FS358" s="10" cm="1">
        <f t="array" aca="1" ref="FS358" ca="1">(1-$B$18)*SUMPRODUCT(OFFSET($BO$15,0,0,$B$14,1), 1*(_xlfn._xlws.FILTER(OFFSET($O$15,0,$DN358,$B$8,1),OFFSET($M$15,0,0,$B$8,1))=FS$13), 1*(_xlfn._xlws.FILTER(OFFSET($O$15,0,$DO358,$B$8,1),OFFSET($M$15,0,0,$B$8,1))=FS$14))   /   SUM(OFFSET($BO$15,0,0,$B$14,1)) + $B$18/($B$19*$B$19*($DN358&lt;&gt;$DO358) + $B$19*($DN358=$DO358))</f>
        <v>3.7037037037037035E-4</v>
      </c>
      <c r="FT358" s="10" cm="1">
        <f t="array" aca="1" ref="FT358" ca="1">(1-$B$18)*SUMPRODUCT(OFFSET($BO$15,0,0,$B$14,1), 1*(_xlfn._xlws.FILTER(OFFSET($O$15,0,$DN358,$B$8,1),OFFSET($M$15,0,0,$B$8,1))=FT$13), 1*(_xlfn._xlws.FILTER(OFFSET($O$15,0,$DO358,$B$8,1),OFFSET($M$15,0,0,$B$8,1))=FT$14))   /   SUM(OFFSET($BO$15,0,0,$B$14,1)) + $B$18/($B$19*$B$19*($DN358&lt;&gt;$DO358) + $B$19*($DN358=$DO358))</f>
        <v>3.7037037037037035E-4</v>
      </c>
      <c r="FU358" s="10" cm="1">
        <f t="array" aca="1" ref="FU358" ca="1">(1-$B$18)*SUMPRODUCT(OFFSET($BO$15,0,0,$B$14,1), 1*(_xlfn._xlws.FILTER(OFFSET($O$15,0,$DN358,$B$8,1),OFFSET($M$15,0,0,$B$8,1))=FU$13), 1*(_xlfn._xlws.FILTER(OFFSET($O$15,0,$DO358,$B$8,1),OFFSET($M$15,0,0,$B$8,1))=FU$14))   /   SUM(OFFSET($BO$15,0,0,$B$14,1)) + $B$18/($B$19*$B$19*($DN358&lt;&gt;$DO358) + $B$19*($DN358=$DO358))</f>
        <v>3.7037037037037035E-4</v>
      </c>
      <c r="FV358" s="10" cm="1">
        <f t="array" aca="1" ref="FV358" ca="1">(1-$B$18)*SUMPRODUCT(OFFSET($BO$15,0,0,$B$14,1), 1*(_xlfn._xlws.FILTER(OFFSET($O$15,0,$DN358,$B$8,1),OFFSET($M$15,0,0,$B$8,1))=FV$13), 1*(_xlfn._xlws.FILTER(OFFSET($O$15,0,$DO358,$B$8,1),OFFSET($M$15,0,0,$B$8,1))=FV$14))   /   SUM(OFFSET($BO$15,0,0,$B$14,1)) + $B$18/($B$19*$B$19*($DN358&lt;&gt;$DO358) + $B$19*($DN358=$DO358))</f>
        <v>3.7037037037037035E-4</v>
      </c>
      <c r="FW358" s="10" cm="1">
        <f t="array" aca="1" ref="FW358" ca="1">(1-$B$18)*SUMPRODUCT(OFFSET($BO$15,0,0,$B$14,1), 1*(_xlfn._xlws.FILTER(OFFSET($O$15,0,$DN358,$B$8,1),OFFSET($M$15,0,0,$B$8,1))=FW$13), 1*(_xlfn._xlws.FILTER(OFFSET($O$15,0,$DO358,$B$8,1),OFFSET($M$15,0,0,$B$8,1))=FW$14))   /   SUM(OFFSET($BO$15,0,0,$B$14,1)) + $B$18/($B$19*$B$19*($DN358&lt;&gt;$DO358) + $B$19*($DN358=$DO358))</f>
        <v>3.7037037037037035E-4</v>
      </c>
      <c r="FX358" s="10" cm="1">
        <f t="array" aca="1" ref="FX358" ca="1">(1-$B$18)*SUMPRODUCT(OFFSET($BO$15,0,0,$B$14,1), 1*(_xlfn._xlws.FILTER(OFFSET($O$15,0,$DN358,$B$8,1),OFFSET($M$15,0,0,$B$8,1))=FX$13), 1*(_xlfn._xlws.FILTER(OFFSET($O$15,0,$DO358,$B$8,1),OFFSET($M$15,0,0,$B$8,1))=FX$14))   /   SUM(OFFSET($BO$15,0,0,$B$14,1)) + $B$18/($B$19*$B$19*($DN358&lt;&gt;$DO358) + $B$19*($DN358=$DO358))</f>
        <v>3.7037037037037035E-4</v>
      </c>
      <c r="FY358" s="10" cm="1">
        <f t="array" aca="1" ref="FY358" ca="1">(1-$B$18)*SUMPRODUCT(OFFSET($BO$15,0,0,$B$14,1), 1*(_xlfn._xlws.FILTER(OFFSET($O$15,0,$DN358,$B$8,1),OFFSET($M$15,0,0,$B$8,1))=FY$13), 1*(_xlfn._xlws.FILTER(OFFSET($O$15,0,$DO358,$B$8,1),OFFSET($M$15,0,0,$B$8,1))=FY$14))   /   SUM(OFFSET($BO$15,0,0,$B$14,1)) + $B$18/($B$19*$B$19*($DN358&lt;&gt;$DO358) + $B$19*($DN358=$DO358))</f>
        <v>3.7037037037037035E-4</v>
      </c>
      <c r="FZ358" s="10" cm="1">
        <f t="array" aca="1" ref="FZ358" ca="1">(1-$B$18)*SUMPRODUCT(OFFSET($BO$15,0,0,$B$14,1), 1*(_xlfn._xlws.FILTER(OFFSET($O$15,0,$DN358,$B$8,1),OFFSET($M$15,0,0,$B$8,1))=FZ$13), 1*(_xlfn._xlws.FILTER(OFFSET($O$15,0,$DO358,$B$8,1),OFFSET($M$15,0,0,$B$8,1))=FZ$14))   /   SUM(OFFSET($BO$15,0,0,$B$14,1)) + $B$18/($B$19*$B$19*($DN358&lt;&gt;$DO358) + $B$19*($DN358=$DO358))</f>
        <v>3.7037037037037035E-4</v>
      </c>
      <c r="GA358" s="10" cm="1">
        <f t="array" aca="1" ref="GA358" ca="1">(1-$B$18)*SUMPRODUCT(OFFSET($BO$15,0,0,$B$14,1), 1*(_xlfn._xlws.FILTER(OFFSET($O$15,0,$DN358,$B$8,1),OFFSET($M$15,0,0,$B$8,1))=GA$13), 1*(_xlfn._xlws.FILTER(OFFSET($O$15,0,$DO358,$B$8,1),OFFSET($M$15,0,0,$B$8,1))=GA$14))   /   SUM(OFFSET($BO$15,0,0,$B$14,1)) + $B$18/($B$19*$B$19*($DN358&lt;&gt;$DO358) + $B$19*($DN358=$DO358))</f>
        <v>3.7037037037037035E-4</v>
      </c>
    </row>
    <row r="359" spans="118:183" x14ac:dyDescent="0.2">
      <c r="DN359" cm="1">
        <f t="array" aca="1" ref="DN359" ca="1">INDEX(_xlfn.ANCHORARRAY($CP$15), 1 + INT((ROWS($DO$15:$DO359) - 1) / ROWS(_xlfn.ANCHORARRAY($CP$15))))</f>
        <v>21</v>
      </c>
      <c r="DO359" cm="1">
        <f t="array" aca="1" ref="DO359" ca="1">INDEX(_xlfn.ANCHORARRAY($CP$15),1+MOD(ROWS($DO$15:$DO359)-1,ROWS(_xlfn.ANCHORARRAY($CP$15))))</f>
        <v>2</v>
      </c>
      <c r="DP359" s="10" cm="1">
        <f t="array" aca="1" ref="DP359" ca="1">(1-$B$18)*SUMPRODUCT(OFFSET($BO$15,0,0,$B$14,1), 1*(_xlfn._xlws.FILTER(OFFSET($O$15,0,$DN359,$B$8,1),OFFSET($M$15,0,0,$B$8,1))=DP$13), 1*(_xlfn._xlws.FILTER(OFFSET($O$15,0,$DO359,$B$8,1),OFFSET($M$15,0,0,$B$8,1))=DP$14))   /   SUM(OFFSET($BO$15,0,0,$B$14,1)) + $B$18/($B$19*$B$19*($DN359&lt;&gt;$DO359) + $B$19*($DN359=$DO359))</f>
        <v>3.7037037037037035E-4</v>
      </c>
      <c r="DQ359" s="10" cm="1">
        <f t="array" aca="1" ref="DQ359" ca="1">(1-$B$18)*SUMPRODUCT(OFFSET($BO$15,0,0,$B$14,1), 1*(_xlfn._xlws.FILTER(OFFSET($O$15,0,$DN359,$B$8,1),OFFSET($M$15,0,0,$B$8,1))=DQ$13), 1*(_xlfn._xlws.FILTER(OFFSET($O$15,0,$DO359,$B$8,1),OFFSET($M$15,0,0,$B$8,1))=DQ$14))   /   SUM(OFFSET($BO$15,0,0,$B$14,1)) + $B$18/($B$19*$B$19*($DN359&lt;&gt;$DO359) + $B$19*($DN359=$DO359))</f>
        <v>3.7037037037037035E-4</v>
      </c>
      <c r="DR359" s="10" cm="1">
        <f t="array" aca="1" ref="DR359" ca="1">(1-$B$18)*SUMPRODUCT(OFFSET($BO$15,0,0,$B$14,1), 1*(_xlfn._xlws.FILTER(OFFSET($O$15,0,$DN359,$B$8,1),OFFSET($M$15,0,0,$B$8,1))=DR$13), 1*(_xlfn._xlws.FILTER(OFFSET($O$15,0,$DO359,$B$8,1),OFFSET($M$15,0,0,$B$8,1))=DR$14))   /   SUM(OFFSET($BO$15,0,0,$B$14,1)) + $B$18/($B$19*$B$19*($DN359&lt;&gt;$DO359) + $B$19*($DN359=$DO359))</f>
        <v>3.7037037037037035E-4</v>
      </c>
      <c r="DS359" s="10" cm="1">
        <f t="array" aca="1" ref="DS359" ca="1">(1-$B$18)*SUMPRODUCT(OFFSET($BO$15,0,0,$B$14,1), 1*(_xlfn._xlws.FILTER(OFFSET($O$15,0,$DN359,$B$8,1),OFFSET($M$15,0,0,$B$8,1))=DS$13), 1*(_xlfn._xlws.FILTER(OFFSET($O$15,0,$DO359,$B$8,1),OFFSET($M$15,0,0,$B$8,1))=DS$14))   /   SUM(OFFSET($BO$15,0,0,$B$14,1)) + $B$18/($B$19*$B$19*($DN359&lt;&gt;$DO359) + $B$19*($DN359=$DO359))</f>
        <v>3.7037037037037035E-4</v>
      </c>
      <c r="DT359" s="10" cm="1">
        <f t="array" aca="1" ref="DT359" ca="1">(1-$B$18)*SUMPRODUCT(OFFSET($BO$15,0,0,$B$14,1), 1*(_xlfn._xlws.FILTER(OFFSET($O$15,0,$DN359,$B$8,1),OFFSET($M$15,0,0,$B$8,1))=DT$13), 1*(_xlfn._xlws.FILTER(OFFSET($O$15,0,$DO359,$B$8,1),OFFSET($M$15,0,0,$B$8,1))=DT$14))   /   SUM(OFFSET($BO$15,0,0,$B$14,1)) + $B$18/($B$19*$B$19*($DN359&lt;&gt;$DO359) + $B$19*($DN359=$DO359))</f>
        <v>3.7037037037037035E-4</v>
      </c>
      <c r="DU359" s="10" cm="1">
        <f t="array" aca="1" ref="DU359" ca="1">(1-$B$18)*SUMPRODUCT(OFFSET($BO$15,0,0,$B$14,1), 1*(_xlfn._xlws.FILTER(OFFSET($O$15,0,$DN359,$B$8,1),OFFSET($M$15,0,0,$B$8,1))=DU$13), 1*(_xlfn._xlws.FILTER(OFFSET($O$15,0,$DO359,$B$8,1),OFFSET($M$15,0,0,$B$8,1))=DU$14))   /   SUM(OFFSET($BO$15,0,0,$B$14,1)) + $B$18/($B$19*$B$19*($DN359&lt;&gt;$DO359) + $B$19*($DN359=$DO359))</f>
        <v>3.7037037037037035E-4</v>
      </c>
      <c r="DV359" s="10" cm="1">
        <f t="array" aca="1" ref="DV359" ca="1">(1-$B$18)*SUMPRODUCT(OFFSET($BO$15,0,0,$B$14,1), 1*(_xlfn._xlws.FILTER(OFFSET($O$15,0,$DN359,$B$8,1),OFFSET($M$15,0,0,$B$8,1))=DV$13), 1*(_xlfn._xlws.FILTER(OFFSET($O$15,0,$DO359,$B$8,1),OFFSET($M$15,0,0,$B$8,1))=DV$14))   /   SUM(OFFSET($BO$15,0,0,$B$14,1)) + $B$18/($B$19*$B$19*($DN359&lt;&gt;$DO359) + $B$19*($DN359=$DO359))</f>
        <v>3.7037037037037035E-4</v>
      </c>
      <c r="DW359" s="10" cm="1">
        <f t="array" aca="1" ref="DW359" ca="1">(1-$B$18)*SUMPRODUCT(OFFSET($BO$15,0,0,$B$14,1), 1*(_xlfn._xlws.FILTER(OFFSET($O$15,0,$DN359,$B$8,1),OFFSET($M$15,0,0,$B$8,1))=DW$13), 1*(_xlfn._xlws.FILTER(OFFSET($O$15,0,$DO359,$B$8,1),OFFSET($M$15,0,0,$B$8,1))=DW$14))   /   SUM(OFFSET($BO$15,0,0,$B$14,1)) + $B$18/($B$19*$B$19*($DN359&lt;&gt;$DO359) + $B$19*($DN359=$DO359))</f>
        <v>3.7037037037037035E-4</v>
      </c>
      <c r="DX359" s="10" cm="1">
        <f t="array" aca="1" ref="DX359" ca="1">(1-$B$18)*SUMPRODUCT(OFFSET($BO$15,0,0,$B$14,1), 1*(_xlfn._xlws.FILTER(OFFSET($O$15,0,$DN359,$B$8,1),OFFSET($M$15,0,0,$B$8,1))=DX$13), 1*(_xlfn._xlws.FILTER(OFFSET($O$15,0,$DO359,$B$8,1),OFFSET($M$15,0,0,$B$8,1))=DX$14))   /   SUM(OFFSET($BO$15,0,0,$B$14,1)) + $B$18/($B$19*$B$19*($DN359&lt;&gt;$DO359) + $B$19*($DN359=$DO359))</f>
        <v>3.7037037037037035E-4</v>
      </c>
      <c r="DY359" s="10" cm="1">
        <f t="array" aca="1" ref="DY359" ca="1">(1-$B$18)*SUMPRODUCT(OFFSET($BO$15,0,0,$B$14,1), 1*(_xlfn._xlws.FILTER(OFFSET($O$15,0,$DN359,$B$8,1),OFFSET($M$15,0,0,$B$8,1))=DY$13), 1*(_xlfn._xlws.FILTER(OFFSET($O$15,0,$DO359,$B$8,1),OFFSET($M$15,0,0,$B$8,1))=DY$14))   /   SUM(OFFSET($BO$15,0,0,$B$14,1)) + $B$18/($B$19*$B$19*($DN359&lt;&gt;$DO359) + $B$19*($DN359=$DO359))</f>
        <v>3.7037037037037035E-4</v>
      </c>
      <c r="DZ359" s="10" cm="1">
        <f t="array" aca="1" ref="DZ359" ca="1">(1-$B$18)*SUMPRODUCT(OFFSET($BO$15,0,0,$B$14,1), 1*(_xlfn._xlws.FILTER(OFFSET($O$15,0,$DN359,$B$8,1),OFFSET($M$15,0,0,$B$8,1))=DZ$13), 1*(_xlfn._xlws.FILTER(OFFSET($O$15,0,$DO359,$B$8,1),OFFSET($M$15,0,0,$B$8,1))=DZ$14))   /   SUM(OFFSET($BO$15,0,0,$B$14,1)) + $B$18/($B$19*$B$19*($DN359&lt;&gt;$DO359) + $B$19*($DN359=$DO359))</f>
        <v>3.7037037037037035E-4</v>
      </c>
      <c r="EA359" s="10" cm="1">
        <f t="array" aca="1" ref="EA359" ca="1">(1-$B$18)*SUMPRODUCT(OFFSET($BO$15,0,0,$B$14,1), 1*(_xlfn._xlws.FILTER(OFFSET($O$15,0,$DN359,$B$8,1),OFFSET($M$15,0,0,$B$8,1))=EA$13), 1*(_xlfn._xlws.FILTER(OFFSET($O$15,0,$DO359,$B$8,1),OFFSET($M$15,0,0,$B$8,1))=EA$14))   /   SUM(OFFSET($BO$15,0,0,$B$14,1)) + $B$18/($B$19*$B$19*($DN359&lt;&gt;$DO359) + $B$19*($DN359=$DO359))</f>
        <v>3.7037037037037035E-4</v>
      </c>
      <c r="EB359" s="10" cm="1">
        <f t="array" aca="1" ref="EB359" ca="1">(1-$B$18)*SUMPRODUCT(OFFSET($BO$15,0,0,$B$14,1), 1*(_xlfn._xlws.FILTER(OFFSET($O$15,0,$DN359,$B$8,1),OFFSET($M$15,0,0,$B$8,1))=EB$13), 1*(_xlfn._xlws.FILTER(OFFSET($O$15,0,$DO359,$B$8,1),OFFSET($M$15,0,0,$B$8,1))=EB$14))   /   SUM(OFFSET($BO$15,0,0,$B$14,1)) + $B$18/($B$19*$B$19*($DN359&lt;&gt;$DO359) + $B$19*($DN359=$DO359))</f>
        <v>3.7037037037037035E-4</v>
      </c>
      <c r="EC359" s="10" cm="1">
        <f t="array" aca="1" ref="EC359" ca="1">(1-$B$18)*SUMPRODUCT(OFFSET($BO$15,0,0,$B$14,1), 1*(_xlfn._xlws.FILTER(OFFSET($O$15,0,$DN359,$B$8,1),OFFSET($M$15,0,0,$B$8,1))=EC$13), 1*(_xlfn._xlws.FILTER(OFFSET($O$15,0,$DO359,$B$8,1),OFFSET($M$15,0,0,$B$8,1))=EC$14))   /   SUM(OFFSET($BO$15,0,0,$B$14,1)) + $B$18/($B$19*$B$19*($DN359&lt;&gt;$DO359) + $B$19*($DN359=$DO359))</f>
        <v>3.7037037037037035E-4</v>
      </c>
      <c r="ED359" s="10" cm="1">
        <f t="array" aca="1" ref="ED359" ca="1">(1-$B$18)*SUMPRODUCT(OFFSET($BO$15,0,0,$B$14,1), 1*(_xlfn._xlws.FILTER(OFFSET($O$15,0,$DN359,$B$8,1),OFFSET($M$15,0,0,$B$8,1))=ED$13), 1*(_xlfn._xlws.FILTER(OFFSET($O$15,0,$DO359,$B$8,1),OFFSET($M$15,0,0,$B$8,1))=ED$14))   /   SUM(OFFSET($BO$15,0,0,$B$14,1)) + $B$18/($B$19*$B$19*($DN359&lt;&gt;$DO359) + $B$19*($DN359=$DO359))</f>
        <v>3.7037037037037035E-4</v>
      </c>
      <c r="EE359" s="10" cm="1">
        <f t="array" aca="1" ref="EE359" ca="1">(1-$B$18)*SUMPRODUCT(OFFSET($BO$15,0,0,$B$14,1), 1*(_xlfn._xlws.FILTER(OFFSET($O$15,0,$DN359,$B$8,1),OFFSET($M$15,0,0,$B$8,1))=EE$13), 1*(_xlfn._xlws.FILTER(OFFSET($O$15,0,$DO359,$B$8,1),OFFSET($M$15,0,0,$B$8,1))=EE$14))   /   SUM(OFFSET($BO$15,0,0,$B$14,1)) + $B$18/($B$19*$B$19*($DN359&lt;&gt;$DO359) + $B$19*($DN359=$DO359))</f>
        <v>3.7037037037037035E-4</v>
      </c>
      <c r="EF359" s="10" cm="1">
        <f t="array" aca="1" ref="EF359" ca="1">(1-$B$18)*SUMPRODUCT(OFFSET($BO$15,0,0,$B$14,1), 1*(_xlfn._xlws.FILTER(OFFSET($O$15,0,$DN359,$B$8,1),OFFSET($M$15,0,0,$B$8,1))=EF$13), 1*(_xlfn._xlws.FILTER(OFFSET($O$15,0,$DO359,$B$8,1),OFFSET($M$15,0,0,$B$8,1))=EF$14))   /   SUM(OFFSET($BO$15,0,0,$B$14,1)) + $B$18/($B$19*$B$19*($DN359&lt;&gt;$DO359) + $B$19*($DN359=$DO359))</f>
        <v>3.7037037037037035E-4</v>
      </c>
      <c r="EG359" s="10" cm="1">
        <f t="array" aca="1" ref="EG359" ca="1">(1-$B$18)*SUMPRODUCT(OFFSET($BO$15,0,0,$B$14,1), 1*(_xlfn._xlws.FILTER(OFFSET($O$15,0,$DN359,$B$8,1),OFFSET($M$15,0,0,$B$8,1))=EG$13), 1*(_xlfn._xlws.FILTER(OFFSET($O$15,0,$DO359,$B$8,1),OFFSET($M$15,0,0,$B$8,1))=EG$14))   /   SUM(OFFSET($BO$15,0,0,$B$14,1)) + $B$18/($B$19*$B$19*($DN359&lt;&gt;$DO359) + $B$19*($DN359=$DO359))</f>
        <v>3.7037037037037035E-4</v>
      </c>
      <c r="EH359" s="10" cm="1">
        <f t="array" aca="1" ref="EH359" ca="1">(1-$B$18)*SUMPRODUCT(OFFSET($BO$15,0,0,$B$14,1), 1*(_xlfn._xlws.FILTER(OFFSET($O$15,0,$DN359,$B$8,1),OFFSET($M$15,0,0,$B$8,1))=EH$13), 1*(_xlfn._xlws.FILTER(OFFSET($O$15,0,$DO359,$B$8,1),OFFSET($M$15,0,0,$B$8,1))=EH$14))   /   SUM(OFFSET($BO$15,0,0,$B$14,1)) + $B$18/($B$19*$B$19*($DN359&lt;&gt;$DO359) + $B$19*($DN359=$DO359))</f>
        <v>3.7037037037037035E-4</v>
      </c>
      <c r="EI359" s="10" cm="1">
        <f t="array" aca="1" ref="EI359" ca="1">(1-$B$18)*SUMPRODUCT(OFFSET($BO$15,0,0,$B$14,1), 1*(_xlfn._xlws.FILTER(OFFSET($O$15,0,$DN359,$B$8,1),OFFSET($M$15,0,0,$B$8,1))=EI$13), 1*(_xlfn._xlws.FILTER(OFFSET($O$15,0,$DO359,$B$8,1),OFFSET($M$15,0,0,$B$8,1))=EI$14))   /   SUM(OFFSET($BO$15,0,0,$B$14,1)) + $B$18/($B$19*$B$19*($DN359&lt;&gt;$DO359) + $B$19*($DN359=$DO359))</f>
        <v>3.7037037037037035E-4</v>
      </c>
      <c r="EJ359" s="10" cm="1">
        <f t="array" aca="1" ref="EJ359" ca="1">(1-$B$18)*SUMPRODUCT(OFFSET($BO$15,0,0,$B$14,1), 1*(_xlfn._xlws.FILTER(OFFSET($O$15,0,$DN359,$B$8,1),OFFSET($M$15,0,0,$B$8,1))=EJ$13), 1*(_xlfn._xlws.FILTER(OFFSET($O$15,0,$DO359,$B$8,1),OFFSET($M$15,0,0,$B$8,1))=EJ$14))   /   SUM(OFFSET($BO$15,0,0,$B$14,1)) + $B$18/($B$19*$B$19*($DN359&lt;&gt;$DO359) + $B$19*($DN359=$DO359))</f>
        <v>3.7037037037037035E-4</v>
      </c>
      <c r="EK359" s="10" cm="1">
        <f t="array" aca="1" ref="EK359" ca="1">(1-$B$18)*SUMPRODUCT(OFFSET($BO$15,0,0,$B$14,1), 1*(_xlfn._xlws.FILTER(OFFSET($O$15,0,$DN359,$B$8,1),OFFSET($M$15,0,0,$B$8,1))=EK$13), 1*(_xlfn._xlws.FILTER(OFFSET($O$15,0,$DO359,$B$8,1),OFFSET($M$15,0,0,$B$8,1))=EK$14))   /   SUM(OFFSET($BO$15,0,0,$B$14,1)) + $B$18/($B$19*$B$19*($DN359&lt;&gt;$DO359) + $B$19*($DN359=$DO359))</f>
        <v>3.7037037037037035E-4</v>
      </c>
      <c r="EL359" s="10" cm="1">
        <f t="array" aca="1" ref="EL359" ca="1">(1-$B$18)*SUMPRODUCT(OFFSET($BO$15,0,0,$B$14,1), 1*(_xlfn._xlws.FILTER(OFFSET($O$15,0,$DN359,$B$8,1),OFFSET($M$15,0,0,$B$8,1))=EL$13), 1*(_xlfn._xlws.FILTER(OFFSET($O$15,0,$DO359,$B$8,1),OFFSET($M$15,0,0,$B$8,1))=EL$14))   /   SUM(OFFSET($BO$15,0,0,$B$14,1)) + $B$18/($B$19*$B$19*($DN359&lt;&gt;$DO359) + $B$19*($DN359=$DO359))</f>
        <v>3.7037037037037035E-4</v>
      </c>
      <c r="EM359" s="10" cm="1">
        <f t="array" aca="1" ref="EM359" ca="1">(1-$B$18)*SUMPRODUCT(OFFSET($BO$15,0,0,$B$14,1), 1*(_xlfn._xlws.FILTER(OFFSET($O$15,0,$DN359,$B$8,1),OFFSET($M$15,0,0,$B$8,1))=EM$13), 1*(_xlfn._xlws.FILTER(OFFSET($O$15,0,$DO359,$B$8,1),OFFSET($M$15,0,0,$B$8,1))=EM$14))   /   SUM(OFFSET($BO$15,0,0,$B$14,1)) + $B$18/($B$19*$B$19*($DN359&lt;&gt;$DO359) + $B$19*($DN359=$DO359))</f>
        <v>3.7037037037037035E-4</v>
      </c>
      <c r="EN359" s="10" cm="1">
        <f t="array" aca="1" ref="EN359" ca="1">(1-$B$18)*SUMPRODUCT(OFFSET($BO$15,0,0,$B$14,1), 1*(_xlfn._xlws.FILTER(OFFSET($O$15,0,$DN359,$B$8,1),OFFSET($M$15,0,0,$B$8,1))=EN$13), 1*(_xlfn._xlws.FILTER(OFFSET($O$15,0,$DO359,$B$8,1),OFFSET($M$15,0,0,$B$8,1))=EN$14))   /   SUM(OFFSET($BO$15,0,0,$B$14,1)) + $B$18/($B$19*$B$19*($DN359&lt;&gt;$DO359) + $B$19*($DN359=$DO359))</f>
        <v>3.7037037037037035E-4</v>
      </c>
      <c r="EO359" s="10" cm="1">
        <f t="array" aca="1" ref="EO359" ca="1">(1-$B$18)*SUMPRODUCT(OFFSET($BO$15,0,0,$B$14,1), 1*(_xlfn._xlws.FILTER(OFFSET($O$15,0,$DN359,$B$8,1),OFFSET($M$15,0,0,$B$8,1))=EO$13), 1*(_xlfn._xlws.FILTER(OFFSET($O$15,0,$DO359,$B$8,1),OFFSET($M$15,0,0,$B$8,1))=EO$14))   /   SUM(OFFSET($BO$15,0,0,$B$14,1)) + $B$18/($B$19*$B$19*($DN359&lt;&gt;$DO359) + $B$19*($DN359=$DO359))</f>
        <v>3.7037037037037035E-4</v>
      </c>
      <c r="EP359" s="10" cm="1">
        <f t="array" aca="1" ref="EP359" ca="1">(1-$B$18)*SUMPRODUCT(OFFSET($BO$15,0,0,$B$14,1), 1*(_xlfn._xlws.FILTER(OFFSET($O$15,0,$DN359,$B$8,1),OFFSET($M$15,0,0,$B$8,1))=EP$13), 1*(_xlfn._xlws.FILTER(OFFSET($O$15,0,$DO359,$B$8,1),OFFSET($M$15,0,0,$B$8,1))=EP$14))   /   SUM(OFFSET($BO$15,0,0,$B$14,1)) + $B$18/($B$19*$B$19*($DN359&lt;&gt;$DO359) + $B$19*($DN359=$DO359))</f>
        <v>3.7037037037037035E-4</v>
      </c>
      <c r="EQ359" s="10" cm="1">
        <f t="array" aca="1" ref="EQ359" ca="1">(1-$B$18)*SUMPRODUCT(OFFSET($BO$15,0,0,$B$14,1), 1*(_xlfn._xlws.FILTER(OFFSET($O$15,0,$DN359,$B$8,1),OFFSET($M$15,0,0,$B$8,1))=EQ$13), 1*(_xlfn._xlws.FILTER(OFFSET($O$15,0,$DO359,$B$8,1),OFFSET($M$15,0,0,$B$8,1))=EQ$14))   /   SUM(OFFSET($BO$15,0,0,$B$14,1)) + $B$18/($B$19*$B$19*($DN359&lt;&gt;$DO359) + $B$19*($DN359=$DO359))</f>
        <v>3.7037037037037035E-4</v>
      </c>
      <c r="ER359" s="10" cm="1">
        <f t="array" aca="1" ref="ER359" ca="1">(1-$B$18)*SUMPRODUCT(OFFSET($BO$15,0,0,$B$14,1), 1*(_xlfn._xlws.FILTER(OFFSET($O$15,0,$DN359,$B$8,1),OFFSET($M$15,0,0,$B$8,1))=ER$13), 1*(_xlfn._xlws.FILTER(OFFSET($O$15,0,$DO359,$B$8,1),OFFSET($M$15,0,0,$B$8,1))=ER$14))   /   SUM(OFFSET($BO$15,0,0,$B$14,1)) + $B$18/($B$19*$B$19*($DN359&lt;&gt;$DO359) + $B$19*($DN359=$DO359))</f>
        <v>3.7037037037037035E-4</v>
      </c>
      <c r="ES359" s="10" cm="1">
        <f t="array" aca="1" ref="ES359" ca="1">(1-$B$18)*SUMPRODUCT(OFFSET($BO$15,0,0,$B$14,1), 1*(_xlfn._xlws.FILTER(OFFSET($O$15,0,$DN359,$B$8,1),OFFSET($M$15,0,0,$B$8,1))=ES$13), 1*(_xlfn._xlws.FILTER(OFFSET($O$15,0,$DO359,$B$8,1),OFFSET($M$15,0,0,$B$8,1))=ES$14))   /   SUM(OFFSET($BO$15,0,0,$B$14,1)) + $B$18/($B$19*$B$19*($DN359&lt;&gt;$DO359) + $B$19*($DN359=$DO359))</f>
        <v>3.7037037037037035E-4</v>
      </c>
      <c r="ET359" s="10" cm="1">
        <f t="array" aca="1" ref="ET359" ca="1">(1-$B$18)*SUMPRODUCT(OFFSET($BO$15,0,0,$B$14,1), 1*(_xlfn._xlws.FILTER(OFFSET($O$15,0,$DN359,$B$8,1),OFFSET($M$15,0,0,$B$8,1))=ET$13), 1*(_xlfn._xlws.FILTER(OFFSET($O$15,0,$DO359,$B$8,1),OFFSET($M$15,0,0,$B$8,1))=ET$14))   /   SUM(OFFSET($BO$15,0,0,$B$14,1)) + $B$18/($B$19*$B$19*($DN359&lt;&gt;$DO359) + $B$19*($DN359=$DO359))</f>
        <v>3.7037037037037035E-4</v>
      </c>
      <c r="EU359" s="10" cm="1">
        <f t="array" aca="1" ref="EU359" ca="1">(1-$B$18)*SUMPRODUCT(OFFSET($BO$15,0,0,$B$14,1), 1*(_xlfn._xlws.FILTER(OFFSET($O$15,0,$DN359,$B$8,1),OFFSET($M$15,0,0,$B$8,1))=EU$13), 1*(_xlfn._xlws.FILTER(OFFSET($O$15,0,$DO359,$B$8,1),OFFSET($M$15,0,0,$B$8,1))=EU$14))   /   SUM(OFFSET($BO$15,0,0,$B$14,1)) + $B$18/($B$19*$B$19*($DN359&lt;&gt;$DO359) + $B$19*($DN359=$DO359))</f>
        <v>3.7037037037037035E-4</v>
      </c>
      <c r="EV359" s="10" cm="1">
        <f t="array" aca="1" ref="EV359" ca="1">(1-$B$18)*SUMPRODUCT(OFFSET($BO$15,0,0,$B$14,1), 1*(_xlfn._xlws.FILTER(OFFSET($O$15,0,$DN359,$B$8,1),OFFSET($M$15,0,0,$B$8,1))=EV$13), 1*(_xlfn._xlws.FILTER(OFFSET($O$15,0,$DO359,$B$8,1),OFFSET($M$15,0,0,$B$8,1))=EV$14))   /   SUM(OFFSET($BO$15,0,0,$B$14,1)) + $B$18/($B$19*$B$19*($DN359&lt;&gt;$DO359) + $B$19*($DN359=$DO359))</f>
        <v>3.7037037037037035E-4</v>
      </c>
      <c r="EW359" s="10" cm="1">
        <f t="array" aca="1" ref="EW359" ca="1">(1-$B$18)*SUMPRODUCT(OFFSET($BO$15,0,0,$B$14,1), 1*(_xlfn._xlws.FILTER(OFFSET($O$15,0,$DN359,$B$8,1),OFFSET($M$15,0,0,$B$8,1))=EW$13), 1*(_xlfn._xlws.FILTER(OFFSET($O$15,0,$DO359,$B$8,1),OFFSET($M$15,0,0,$B$8,1))=EW$14))   /   SUM(OFFSET($BO$15,0,0,$B$14,1)) + $B$18/($B$19*$B$19*($DN359&lt;&gt;$DO359) + $B$19*($DN359=$DO359))</f>
        <v>3.7037037037037035E-4</v>
      </c>
      <c r="EX359" s="10" cm="1">
        <f t="array" aca="1" ref="EX359" ca="1">(1-$B$18)*SUMPRODUCT(OFFSET($BO$15,0,0,$B$14,1), 1*(_xlfn._xlws.FILTER(OFFSET($O$15,0,$DN359,$B$8,1),OFFSET($M$15,0,0,$B$8,1))=EX$13), 1*(_xlfn._xlws.FILTER(OFFSET($O$15,0,$DO359,$B$8,1),OFFSET($M$15,0,0,$B$8,1))=EX$14))   /   SUM(OFFSET($BO$15,0,0,$B$14,1)) + $B$18/($B$19*$B$19*($DN359&lt;&gt;$DO359) + $B$19*($DN359=$DO359))</f>
        <v>3.7037037037037035E-4</v>
      </c>
      <c r="EY359" s="10" cm="1">
        <f t="array" aca="1" ref="EY359" ca="1">(1-$B$18)*SUMPRODUCT(OFFSET($BO$15,0,0,$B$14,1), 1*(_xlfn._xlws.FILTER(OFFSET($O$15,0,$DN359,$B$8,1),OFFSET($M$15,0,0,$B$8,1))=EY$13), 1*(_xlfn._xlws.FILTER(OFFSET($O$15,0,$DO359,$B$8,1),OFFSET($M$15,0,0,$B$8,1))=EY$14))   /   SUM(OFFSET($BO$15,0,0,$B$14,1)) + $B$18/($B$19*$B$19*($DN359&lt;&gt;$DO359) + $B$19*($DN359=$DO359))</f>
        <v>3.7037037037037035E-4</v>
      </c>
      <c r="EZ359" s="10" cm="1">
        <f t="array" aca="1" ref="EZ359" ca="1">(1-$B$18)*SUMPRODUCT(OFFSET($BO$15,0,0,$B$14,1), 1*(_xlfn._xlws.FILTER(OFFSET($O$15,0,$DN359,$B$8,1),OFFSET($M$15,0,0,$B$8,1))=EZ$13), 1*(_xlfn._xlws.FILTER(OFFSET($O$15,0,$DO359,$B$8,1),OFFSET($M$15,0,0,$B$8,1))=EZ$14))   /   SUM(OFFSET($BO$15,0,0,$B$14,1)) + $B$18/($B$19*$B$19*($DN359&lt;&gt;$DO359) + $B$19*($DN359=$DO359))</f>
        <v>3.7037037037037035E-4</v>
      </c>
      <c r="FA359" s="10" cm="1">
        <f t="array" aca="1" ref="FA359" ca="1">(1-$B$18)*SUMPRODUCT(OFFSET($BO$15,0,0,$B$14,1), 1*(_xlfn._xlws.FILTER(OFFSET($O$15,0,$DN359,$B$8,1),OFFSET($M$15,0,0,$B$8,1))=FA$13), 1*(_xlfn._xlws.FILTER(OFFSET($O$15,0,$DO359,$B$8,1),OFFSET($M$15,0,0,$B$8,1))=FA$14))   /   SUM(OFFSET($BO$15,0,0,$B$14,1)) + $B$18/($B$19*$B$19*($DN359&lt;&gt;$DO359) + $B$19*($DN359=$DO359))</f>
        <v>3.7037037037037035E-4</v>
      </c>
      <c r="FB359" s="10" cm="1">
        <f t="array" aca="1" ref="FB359" ca="1">(1-$B$18)*SUMPRODUCT(OFFSET($BO$15,0,0,$B$14,1), 1*(_xlfn._xlws.FILTER(OFFSET($O$15,0,$DN359,$B$8,1),OFFSET($M$15,0,0,$B$8,1))=FB$13), 1*(_xlfn._xlws.FILTER(OFFSET($O$15,0,$DO359,$B$8,1),OFFSET($M$15,0,0,$B$8,1))=FB$14))   /   SUM(OFFSET($BO$15,0,0,$B$14,1)) + $B$18/($B$19*$B$19*($DN359&lt;&gt;$DO359) + $B$19*($DN359=$DO359))</f>
        <v>0.24287037037037024</v>
      </c>
      <c r="FC359" s="10" cm="1">
        <f t="array" aca="1" ref="FC359" ca="1">(1-$B$18)*SUMPRODUCT(OFFSET($BO$15,0,0,$B$14,1), 1*(_xlfn._xlws.FILTER(OFFSET($O$15,0,$DN359,$B$8,1),OFFSET($M$15,0,0,$B$8,1))=FC$13), 1*(_xlfn._xlws.FILTER(OFFSET($O$15,0,$DO359,$B$8,1),OFFSET($M$15,0,0,$B$8,1))=FC$14))   /   SUM(OFFSET($BO$15,0,0,$B$14,1)) + $B$18/($B$19*$B$19*($DN359&lt;&gt;$DO359) + $B$19*($DN359=$DO359))</f>
        <v>3.7037037037037035E-4</v>
      </c>
      <c r="FD359" s="10" cm="1">
        <f t="array" aca="1" ref="FD359" ca="1">(1-$B$18)*SUMPRODUCT(OFFSET($BO$15,0,0,$B$14,1), 1*(_xlfn._xlws.FILTER(OFFSET($O$15,0,$DN359,$B$8,1),OFFSET($M$15,0,0,$B$8,1))=FD$13), 1*(_xlfn._xlws.FILTER(OFFSET($O$15,0,$DO359,$B$8,1),OFFSET($M$15,0,0,$B$8,1))=FD$14))   /   SUM(OFFSET($BO$15,0,0,$B$14,1)) + $B$18/($B$19*$B$19*($DN359&lt;&gt;$DO359) + $B$19*($DN359=$DO359))</f>
        <v>3.7037037037037035E-4</v>
      </c>
      <c r="FE359" s="10" cm="1">
        <f t="array" aca="1" ref="FE359" ca="1">(1-$B$18)*SUMPRODUCT(OFFSET($BO$15,0,0,$B$14,1), 1*(_xlfn._xlws.FILTER(OFFSET($O$15,0,$DN359,$B$8,1),OFFSET($M$15,0,0,$B$8,1))=FE$13), 1*(_xlfn._xlws.FILTER(OFFSET($O$15,0,$DO359,$B$8,1),OFFSET($M$15,0,0,$B$8,1))=FE$14))   /   SUM(OFFSET($BO$15,0,0,$B$14,1)) + $B$18/($B$19*$B$19*($DN359&lt;&gt;$DO359) + $B$19*($DN359=$DO359))</f>
        <v>3.7037037037037035E-4</v>
      </c>
      <c r="FF359" s="10" cm="1">
        <f t="array" aca="1" ref="FF359" ca="1">(1-$B$18)*SUMPRODUCT(OFFSET($BO$15,0,0,$B$14,1), 1*(_xlfn._xlws.FILTER(OFFSET($O$15,0,$DN359,$B$8,1),OFFSET($M$15,0,0,$B$8,1))=FF$13), 1*(_xlfn._xlws.FILTER(OFFSET($O$15,0,$DO359,$B$8,1),OFFSET($M$15,0,0,$B$8,1))=FF$14))   /   SUM(OFFSET($BO$15,0,0,$B$14,1)) + $B$18/($B$19*$B$19*($DN359&lt;&gt;$DO359) + $B$19*($DN359=$DO359))</f>
        <v>3.7037037037037035E-4</v>
      </c>
      <c r="FG359" s="10" cm="1">
        <f t="array" aca="1" ref="FG359" ca="1">(1-$B$18)*SUMPRODUCT(OFFSET($BO$15,0,0,$B$14,1), 1*(_xlfn._xlws.FILTER(OFFSET($O$15,0,$DN359,$B$8,1),OFFSET($M$15,0,0,$B$8,1))=FG$13), 1*(_xlfn._xlws.FILTER(OFFSET($O$15,0,$DO359,$B$8,1),OFFSET($M$15,0,0,$B$8,1))=FG$14))   /   SUM(OFFSET($BO$15,0,0,$B$14,1)) + $B$18/($B$19*$B$19*($DN359&lt;&gt;$DO359) + $B$19*($DN359=$DO359))</f>
        <v>3.7037037037037035E-4</v>
      </c>
      <c r="FH359" s="10" cm="1">
        <f t="array" aca="1" ref="FH359" ca="1">(1-$B$18)*SUMPRODUCT(OFFSET($BO$15,0,0,$B$14,1), 1*(_xlfn._xlws.FILTER(OFFSET($O$15,0,$DN359,$B$8,1),OFFSET($M$15,0,0,$B$8,1))=FH$13), 1*(_xlfn._xlws.FILTER(OFFSET($O$15,0,$DO359,$B$8,1),OFFSET($M$15,0,0,$B$8,1))=FH$14))   /   SUM(OFFSET($BO$15,0,0,$B$14,1)) + $B$18/($B$19*$B$19*($DN359&lt;&gt;$DO359) + $B$19*($DN359=$DO359))</f>
        <v>3.7037037037037035E-4</v>
      </c>
      <c r="FI359" s="10" cm="1">
        <f t="array" aca="1" ref="FI359" ca="1">(1-$B$18)*SUMPRODUCT(OFFSET($BO$15,0,0,$B$14,1), 1*(_xlfn._xlws.FILTER(OFFSET($O$15,0,$DN359,$B$8,1),OFFSET($M$15,0,0,$B$8,1))=FI$13), 1*(_xlfn._xlws.FILTER(OFFSET($O$15,0,$DO359,$B$8,1),OFFSET($M$15,0,0,$B$8,1))=FI$14))   /   SUM(OFFSET($BO$15,0,0,$B$14,1)) + $B$18/($B$19*$B$19*($DN359&lt;&gt;$DO359) + $B$19*($DN359=$DO359))</f>
        <v>3.7037037037037035E-4</v>
      </c>
      <c r="FJ359" s="10" cm="1">
        <f t="array" aca="1" ref="FJ359" ca="1">(1-$B$18)*SUMPRODUCT(OFFSET($BO$15,0,0,$B$14,1), 1*(_xlfn._xlws.FILTER(OFFSET($O$15,0,$DN359,$B$8,1),OFFSET($M$15,0,0,$B$8,1))=FJ$13), 1*(_xlfn._xlws.FILTER(OFFSET($O$15,0,$DO359,$B$8,1),OFFSET($M$15,0,0,$B$8,1))=FJ$14))   /   SUM(OFFSET($BO$15,0,0,$B$14,1)) + $B$18/($B$19*$B$19*($DN359&lt;&gt;$DO359) + $B$19*($DN359=$DO359))</f>
        <v>0.48537037037037012</v>
      </c>
      <c r="FK359" s="10" cm="1">
        <f t="array" aca="1" ref="FK359" ca="1">(1-$B$18)*SUMPRODUCT(OFFSET($BO$15,0,0,$B$14,1), 1*(_xlfn._xlws.FILTER(OFFSET($O$15,0,$DN359,$B$8,1),OFFSET($M$15,0,0,$B$8,1))=FK$13), 1*(_xlfn._xlws.FILTER(OFFSET($O$15,0,$DO359,$B$8,1),OFFSET($M$15,0,0,$B$8,1))=FK$14))   /   SUM(OFFSET($BO$15,0,0,$B$14,1)) + $B$18/($B$19*$B$19*($DN359&lt;&gt;$DO359) + $B$19*($DN359=$DO359))</f>
        <v>3.7037037037037035E-4</v>
      </c>
      <c r="FL359" s="10" cm="1">
        <f t="array" aca="1" ref="FL359" ca="1">(1-$B$18)*SUMPRODUCT(OFFSET($BO$15,0,0,$B$14,1), 1*(_xlfn._xlws.FILTER(OFFSET($O$15,0,$DN359,$B$8,1),OFFSET($M$15,0,0,$B$8,1))=FL$13), 1*(_xlfn._xlws.FILTER(OFFSET($O$15,0,$DO359,$B$8,1),OFFSET($M$15,0,0,$B$8,1))=FL$14))   /   SUM(OFFSET($BO$15,0,0,$B$14,1)) + $B$18/($B$19*$B$19*($DN359&lt;&gt;$DO359) + $B$19*($DN359=$DO359))</f>
        <v>3.7037037037037035E-4</v>
      </c>
      <c r="FM359" s="10" cm="1">
        <f t="array" aca="1" ref="FM359" ca="1">(1-$B$18)*SUMPRODUCT(OFFSET($BO$15,0,0,$B$14,1), 1*(_xlfn._xlws.FILTER(OFFSET($O$15,0,$DN359,$B$8,1),OFFSET($M$15,0,0,$B$8,1))=FM$13), 1*(_xlfn._xlws.FILTER(OFFSET($O$15,0,$DO359,$B$8,1),OFFSET($M$15,0,0,$B$8,1))=FM$14))   /   SUM(OFFSET($BO$15,0,0,$B$14,1)) + $B$18/($B$19*$B$19*($DN359&lt;&gt;$DO359) + $B$19*($DN359=$DO359))</f>
        <v>3.7037037037037035E-4</v>
      </c>
      <c r="FN359" s="10" cm="1">
        <f t="array" aca="1" ref="FN359" ca="1">(1-$B$18)*SUMPRODUCT(OFFSET($BO$15,0,0,$B$14,1), 1*(_xlfn._xlws.FILTER(OFFSET($O$15,0,$DN359,$B$8,1),OFFSET($M$15,0,0,$B$8,1))=FN$13), 1*(_xlfn._xlws.FILTER(OFFSET($O$15,0,$DO359,$B$8,1),OFFSET($M$15,0,0,$B$8,1))=FN$14))   /   SUM(OFFSET($BO$15,0,0,$B$14,1)) + $B$18/($B$19*$B$19*($DN359&lt;&gt;$DO359) + $B$19*($DN359=$DO359))</f>
        <v>3.7037037037037035E-4</v>
      </c>
      <c r="FO359" s="10" cm="1">
        <f t="array" aca="1" ref="FO359" ca="1">(1-$B$18)*SUMPRODUCT(OFFSET($BO$15,0,0,$B$14,1), 1*(_xlfn._xlws.FILTER(OFFSET($O$15,0,$DN359,$B$8,1),OFFSET($M$15,0,0,$B$8,1))=FO$13), 1*(_xlfn._xlws.FILTER(OFFSET($O$15,0,$DO359,$B$8,1),OFFSET($M$15,0,0,$B$8,1))=FO$14))   /   SUM(OFFSET($BO$15,0,0,$B$14,1)) + $B$18/($B$19*$B$19*($DN359&lt;&gt;$DO359) + $B$19*($DN359=$DO359))</f>
        <v>3.7037037037037035E-4</v>
      </c>
      <c r="FP359" s="10" cm="1">
        <f t="array" aca="1" ref="FP359" ca="1">(1-$B$18)*SUMPRODUCT(OFFSET($BO$15,0,0,$B$14,1), 1*(_xlfn._xlws.FILTER(OFFSET($O$15,0,$DN359,$B$8,1),OFFSET($M$15,0,0,$B$8,1))=FP$13), 1*(_xlfn._xlws.FILTER(OFFSET($O$15,0,$DO359,$B$8,1),OFFSET($M$15,0,0,$B$8,1))=FP$14))   /   SUM(OFFSET($BO$15,0,0,$B$14,1)) + $B$18/($B$19*$B$19*($DN359&lt;&gt;$DO359) + $B$19*($DN359=$DO359))</f>
        <v>3.7037037037037035E-4</v>
      </c>
      <c r="FQ359" s="10" cm="1">
        <f t="array" aca="1" ref="FQ359" ca="1">(1-$B$18)*SUMPRODUCT(OFFSET($BO$15,0,0,$B$14,1), 1*(_xlfn._xlws.FILTER(OFFSET($O$15,0,$DN359,$B$8,1),OFFSET($M$15,0,0,$B$8,1))=FQ$13), 1*(_xlfn._xlws.FILTER(OFFSET($O$15,0,$DO359,$B$8,1),OFFSET($M$15,0,0,$B$8,1))=FQ$14))   /   SUM(OFFSET($BO$15,0,0,$B$14,1)) + $B$18/($B$19*$B$19*($DN359&lt;&gt;$DO359) + $B$19*($DN359=$DO359))</f>
        <v>3.7037037037037035E-4</v>
      </c>
      <c r="FR359" s="10" cm="1">
        <f t="array" aca="1" ref="FR359" ca="1">(1-$B$18)*SUMPRODUCT(OFFSET($BO$15,0,0,$B$14,1), 1*(_xlfn._xlws.FILTER(OFFSET($O$15,0,$DN359,$B$8,1),OFFSET($M$15,0,0,$B$8,1))=FR$13), 1*(_xlfn._xlws.FILTER(OFFSET($O$15,0,$DO359,$B$8,1),OFFSET($M$15,0,0,$B$8,1))=FR$14))   /   SUM(OFFSET($BO$15,0,0,$B$14,1)) + $B$18/($B$19*$B$19*($DN359&lt;&gt;$DO359) + $B$19*($DN359=$DO359))</f>
        <v>0.24287037037037026</v>
      </c>
      <c r="FS359" s="10" cm="1">
        <f t="array" aca="1" ref="FS359" ca="1">(1-$B$18)*SUMPRODUCT(OFFSET($BO$15,0,0,$B$14,1), 1*(_xlfn._xlws.FILTER(OFFSET($O$15,0,$DN359,$B$8,1),OFFSET($M$15,0,0,$B$8,1))=FS$13), 1*(_xlfn._xlws.FILTER(OFFSET($O$15,0,$DO359,$B$8,1),OFFSET($M$15,0,0,$B$8,1))=FS$14))   /   SUM(OFFSET($BO$15,0,0,$B$14,1)) + $B$18/($B$19*$B$19*($DN359&lt;&gt;$DO359) + $B$19*($DN359=$DO359))</f>
        <v>3.7037037037037035E-4</v>
      </c>
      <c r="FT359" s="10" cm="1">
        <f t="array" aca="1" ref="FT359" ca="1">(1-$B$18)*SUMPRODUCT(OFFSET($BO$15,0,0,$B$14,1), 1*(_xlfn._xlws.FILTER(OFFSET($O$15,0,$DN359,$B$8,1),OFFSET($M$15,0,0,$B$8,1))=FT$13), 1*(_xlfn._xlws.FILTER(OFFSET($O$15,0,$DO359,$B$8,1),OFFSET($M$15,0,0,$B$8,1))=FT$14))   /   SUM(OFFSET($BO$15,0,0,$B$14,1)) + $B$18/($B$19*$B$19*($DN359&lt;&gt;$DO359) + $B$19*($DN359=$DO359))</f>
        <v>3.7037037037037035E-4</v>
      </c>
      <c r="FU359" s="10" cm="1">
        <f t="array" aca="1" ref="FU359" ca="1">(1-$B$18)*SUMPRODUCT(OFFSET($BO$15,0,0,$B$14,1), 1*(_xlfn._xlws.FILTER(OFFSET($O$15,0,$DN359,$B$8,1),OFFSET($M$15,0,0,$B$8,1))=FU$13), 1*(_xlfn._xlws.FILTER(OFFSET($O$15,0,$DO359,$B$8,1),OFFSET($M$15,0,0,$B$8,1))=FU$14))   /   SUM(OFFSET($BO$15,0,0,$B$14,1)) + $B$18/($B$19*$B$19*($DN359&lt;&gt;$DO359) + $B$19*($DN359=$DO359))</f>
        <v>3.7037037037037035E-4</v>
      </c>
      <c r="FV359" s="10" cm="1">
        <f t="array" aca="1" ref="FV359" ca="1">(1-$B$18)*SUMPRODUCT(OFFSET($BO$15,0,0,$B$14,1), 1*(_xlfn._xlws.FILTER(OFFSET($O$15,0,$DN359,$B$8,1),OFFSET($M$15,0,0,$B$8,1))=FV$13), 1*(_xlfn._xlws.FILTER(OFFSET($O$15,0,$DO359,$B$8,1),OFFSET($M$15,0,0,$B$8,1))=FV$14))   /   SUM(OFFSET($BO$15,0,0,$B$14,1)) + $B$18/($B$19*$B$19*($DN359&lt;&gt;$DO359) + $B$19*($DN359=$DO359))</f>
        <v>3.7037037037037035E-4</v>
      </c>
      <c r="FW359" s="10" cm="1">
        <f t="array" aca="1" ref="FW359" ca="1">(1-$B$18)*SUMPRODUCT(OFFSET($BO$15,0,0,$B$14,1), 1*(_xlfn._xlws.FILTER(OFFSET($O$15,0,$DN359,$B$8,1),OFFSET($M$15,0,0,$B$8,1))=FW$13), 1*(_xlfn._xlws.FILTER(OFFSET($O$15,0,$DO359,$B$8,1),OFFSET($M$15,0,0,$B$8,1))=FW$14))   /   SUM(OFFSET($BO$15,0,0,$B$14,1)) + $B$18/($B$19*$B$19*($DN359&lt;&gt;$DO359) + $B$19*($DN359=$DO359))</f>
        <v>3.7037037037037035E-4</v>
      </c>
      <c r="FX359" s="10" cm="1">
        <f t="array" aca="1" ref="FX359" ca="1">(1-$B$18)*SUMPRODUCT(OFFSET($BO$15,0,0,$B$14,1), 1*(_xlfn._xlws.FILTER(OFFSET($O$15,0,$DN359,$B$8,1),OFFSET($M$15,0,0,$B$8,1))=FX$13), 1*(_xlfn._xlws.FILTER(OFFSET($O$15,0,$DO359,$B$8,1),OFFSET($M$15,0,0,$B$8,1))=FX$14))   /   SUM(OFFSET($BO$15,0,0,$B$14,1)) + $B$18/($B$19*$B$19*($DN359&lt;&gt;$DO359) + $B$19*($DN359=$DO359))</f>
        <v>3.7037037037037035E-4</v>
      </c>
      <c r="FY359" s="10" cm="1">
        <f t="array" aca="1" ref="FY359" ca="1">(1-$B$18)*SUMPRODUCT(OFFSET($BO$15,0,0,$B$14,1), 1*(_xlfn._xlws.FILTER(OFFSET($O$15,0,$DN359,$B$8,1),OFFSET($M$15,0,0,$B$8,1))=FY$13), 1*(_xlfn._xlws.FILTER(OFFSET($O$15,0,$DO359,$B$8,1),OFFSET($M$15,0,0,$B$8,1))=FY$14))   /   SUM(OFFSET($BO$15,0,0,$B$14,1)) + $B$18/($B$19*$B$19*($DN359&lt;&gt;$DO359) + $B$19*($DN359=$DO359))</f>
        <v>3.7037037037037035E-4</v>
      </c>
      <c r="FZ359" s="10" cm="1">
        <f t="array" aca="1" ref="FZ359" ca="1">(1-$B$18)*SUMPRODUCT(OFFSET($BO$15,0,0,$B$14,1), 1*(_xlfn._xlws.FILTER(OFFSET($O$15,0,$DN359,$B$8,1),OFFSET($M$15,0,0,$B$8,1))=FZ$13), 1*(_xlfn._xlws.FILTER(OFFSET($O$15,0,$DO359,$B$8,1),OFFSET($M$15,0,0,$B$8,1))=FZ$14))   /   SUM(OFFSET($BO$15,0,0,$B$14,1)) + $B$18/($B$19*$B$19*($DN359&lt;&gt;$DO359) + $B$19*($DN359=$DO359))</f>
        <v>3.7037037037037035E-4</v>
      </c>
      <c r="GA359" s="10" cm="1">
        <f t="array" aca="1" ref="GA359" ca="1">(1-$B$18)*SUMPRODUCT(OFFSET($BO$15,0,0,$B$14,1), 1*(_xlfn._xlws.FILTER(OFFSET($O$15,0,$DN359,$B$8,1),OFFSET($M$15,0,0,$B$8,1))=GA$13), 1*(_xlfn._xlws.FILTER(OFFSET($O$15,0,$DO359,$B$8,1),OFFSET($M$15,0,0,$B$8,1))=GA$14))   /   SUM(OFFSET($BO$15,0,0,$B$14,1)) + $B$18/($B$19*$B$19*($DN359&lt;&gt;$DO359) + $B$19*($DN359=$DO359))</f>
        <v>3.7037037037037035E-4</v>
      </c>
    </row>
    <row r="360" spans="118:183" x14ac:dyDescent="0.2">
      <c r="DN360" cm="1">
        <f t="array" aca="1" ref="DN360" ca="1">INDEX(_xlfn.ANCHORARRAY($CP$15), 1 + INT((ROWS($DO$15:$DO360) - 1) / ROWS(_xlfn.ANCHORARRAY($CP$15))))</f>
        <v>21</v>
      </c>
      <c r="DO360" cm="1">
        <f t="array" aca="1" ref="DO360" ca="1">INDEX(_xlfn.ANCHORARRAY($CP$15),1+MOD(ROWS($DO$15:$DO360)-1,ROWS(_xlfn.ANCHORARRAY($CP$15))))</f>
        <v>3</v>
      </c>
      <c r="DP360" s="10" cm="1">
        <f t="array" aca="1" ref="DP360" ca="1">(1-$B$18)*SUMPRODUCT(OFFSET($BO$15,0,0,$B$14,1), 1*(_xlfn._xlws.FILTER(OFFSET($O$15,0,$DN360,$B$8,1),OFFSET($M$15,0,0,$B$8,1))=DP$13), 1*(_xlfn._xlws.FILTER(OFFSET($O$15,0,$DO360,$B$8,1),OFFSET($M$15,0,0,$B$8,1))=DP$14))   /   SUM(OFFSET($BO$15,0,0,$B$14,1)) + $B$18/($B$19*$B$19*($DN360&lt;&gt;$DO360) + $B$19*($DN360=$DO360))</f>
        <v>3.7037037037037035E-4</v>
      </c>
      <c r="DQ360" s="10" cm="1">
        <f t="array" aca="1" ref="DQ360" ca="1">(1-$B$18)*SUMPRODUCT(OFFSET($BO$15,0,0,$B$14,1), 1*(_xlfn._xlws.FILTER(OFFSET($O$15,0,$DN360,$B$8,1),OFFSET($M$15,0,0,$B$8,1))=DQ$13), 1*(_xlfn._xlws.FILTER(OFFSET($O$15,0,$DO360,$B$8,1),OFFSET($M$15,0,0,$B$8,1))=DQ$14))   /   SUM(OFFSET($BO$15,0,0,$B$14,1)) + $B$18/($B$19*$B$19*($DN360&lt;&gt;$DO360) + $B$19*($DN360=$DO360))</f>
        <v>3.7037037037037035E-4</v>
      </c>
      <c r="DR360" s="10" cm="1">
        <f t="array" aca="1" ref="DR360" ca="1">(1-$B$18)*SUMPRODUCT(OFFSET($BO$15,0,0,$B$14,1), 1*(_xlfn._xlws.FILTER(OFFSET($O$15,0,$DN360,$B$8,1),OFFSET($M$15,0,0,$B$8,1))=DR$13), 1*(_xlfn._xlws.FILTER(OFFSET($O$15,0,$DO360,$B$8,1),OFFSET($M$15,0,0,$B$8,1))=DR$14))   /   SUM(OFFSET($BO$15,0,0,$B$14,1)) + $B$18/($B$19*$B$19*($DN360&lt;&gt;$DO360) + $B$19*($DN360=$DO360))</f>
        <v>3.7037037037037035E-4</v>
      </c>
      <c r="DS360" s="10" cm="1">
        <f t="array" aca="1" ref="DS360" ca="1">(1-$B$18)*SUMPRODUCT(OFFSET($BO$15,0,0,$B$14,1), 1*(_xlfn._xlws.FILTER(OFFSET($O$15,0,$DN360,$B$8,1),OFFSET($M$15,0,0,$B$8,1))=DS$13), 1*(_xlfn._xlws.FILTER(OFFSET($O$15,0,$DO360,$B$8,1),OFFSET($M$15,0,0,$B$8,1))=DS$14))   /   SUM(OFFSET($BO$15,0,0,$B$14,1)) + $B$18/($B$19*$B$19*($DN360&lt;&gt;$DO360) + $B$19*($DN360=$DO360))</f>
        <v>3.7037037037037035E-4</v>
      </c>
      <c r="DT360" s="10" cm="1">
        <f t="array" aca="1" ref="DT360" ca="1">(1-$B$18)*SUMPRODUCT(OFFSET($BO$15,0,0,$B$14,1), 1*(_xlfn._xlws.FILTER(OFFSET($O$15,0,$DN360,$B$8,1),OFFSET($M$15,0,0,$B$8,1))=DT$13), 1*(_xlfn._xlws.FILTER(OFFSET($O$15,0,$DO360,$B$8,1),OFFSET($M$15,0,0,$B$8,1))=DT$14))   /   SUM(OFFSET($BO$15,0,0,$B$14,1)) + $B$18/($B$19*$B$19*($DN360&lt;&gt;$DO360) + $B$19*($DN360=$DO360))</f>
        <v>3.7037037037037035E-4</v>
      </c>
      <c r="DU360" s="10" cm="1">
        <f t="array" aca="1" ref="DU360" ca="1">(1-$B$18)*SUMPRODUCT(OFFSET($BO$15,0,0,$B$14,1), 1*(_xlfn._xlws.FILTER(OFFSET($O$15,0,$DN360,$B$8,1),OFFSET($M$15,0,0,$B$8,1))=DU$13), 1*(_xlfn._xlws.FILTER(OFFSET($O$15,0,$DO360,$B$8,1),OFFSET($M$15,0,0,$B$8,1))=DU$14))   /   SUM(OFFSET($BO$15,0,0,$B$14,1)) + $B$18/($B$19*$B$19*($DN360&lt;&gt;$DO360) + $B$19*($DN360=$DO360))</f>
        <v>3.7037037037037035E-4</v>
      </c>
      <c r="DV360" s="10" cm="1">
        <f t="array" aca="1" ref="DV360" ca="1">(1-$B$18)*SUMPRODUCT(OFFSET($BO$15,0,0,$B$14,1), 1*(_xlfn._xlws.FILTER(OFFSET($O$15,0,$DN360,$B$8,1),OFFSET($M$15,0,0,$B$8,1))=DV$13), 1*(_xlfn._xlws.FILTER(OFFSET($O$15,0,$DO360,$B$8,1),OFFSET($M$15,0,0,$B$8,1))=DV$14))   /   SUM(OFFSET($BO$15,0,0,$B$14,1)) + $B$18/($B$19*$B$19*($DN360&lt;&gt;$DO360) + $B$19*($DN360=$DO360))</f>
        <v>3.7037037037037035E-4</v>
      </c>
      <c r="DW360" s="10" cm="1">
        <f t="array" aca="1" ref="DW360" ca="1">(1-$B$18)*SUMPRODUCT(OFFSET($BO$15,0,0,$B$14,1), 1*(_xlfn._xlws.FILTER(OFFSET($O$15,0,$DN360,$B$8,1),OFFSET($M$15,0,0,$B$8,1))=DW$13), 1*(_xlfn._xlws.FILTER(OFFSET($O$15,0,$DO360,$B$8,1),OFFSET($M$15,0,0,$B$8,1))=DW$14))   /   SUM(OFFSET($BO$15,0,0,$B$14,1)) + $B$18/($B$19*$B$19*($DN360&lt;&gt;$DO360) + $B$19*($DN360=$DO360))</f>
        <v>3.7037037037037035E-4</v>
      </c>
      <c r="DX360" s="10" cm="1">
        <f t="array" aca="1" ref="DX360" ca="1">(1-$B$18)*SUMPRODUCT(OFFSET($BO$15,0,0,$B$14,1), 1*(_xlfn._xlws.FILTER(OFFSET($O$15,0,$DN360,$B$8,1),OFFSET($M$15,0,0,$B$8,1))=DX$13), 1*(_xlfn._xlws.FILTER(OFFSET($O$15,0,$DO360,$B$8,1),OFFSET($M$15,0,0,$B$8,1))=DX$14))   /   SUM(OFFSET($BO$15,0,0,$B$14,1)) + $B$18/($B$19*$B$19*($DN360&lt;&gt;$DO360) + $B$19*($DN360=$DO360))</f>
        <v>3.7037037037037035E-4</v>
      </c>
      <c r="DY360" s="10" cm="1">
        <f t="array" aca="1" ref="DY360" ca="1">(1-$B$18)*SUMPRODUCT(OFFSET($BO$15,0,0,$B$14,1), 1*(_xlfn._xlws.FILTER(OFFSET($O$15,0,$DN360,$B$8,1),OFFSET($M$15,0,0,$B$8,1))=DY$13), 1*(_xlfn._xlws.FILTER(OFFSET($O$15,0,$DO360,$B$8,1),OFFSET($M$15,0,0,$B$8,1))=DY$14))   /   SUM(OFFSET($BO$15,0,0,$B$14,1)) + $B$18/($B$19*$B$19*($DN360&lt;&gt;$DO360) + $B$19*($DN360=$DO360))</f>
        <v>3.7037037037037035E-4</v>
      </c>
      <c r="DZ360" s="10" cm="1">
        <f t="array" aca="1" ref="DZ360" ca="1">(1-$B$18)*SUMPRODUCT(OFFSET($BO$15,0,0,$B$14,1), 1*(_xlfn._xlws.FILTER(OFFSET($O$15,0,$DN360,$B$8,1),OFFSET($M$15,0,0,$B$8,1))=DZ$13), 1*(_xlfn._xlws.FILTER(OFFSET($O$15,0,$DO360,$B$8,1),OFFSET($M$15,0,0,$B$8,1))=DZ$14))   /   SUM(OFFSET($BO$15,0,0,$B$14,1)) + $B$18/($B$19*$B$19*($DN360&lt;&gt;$DO360) + $B$19*($DN360=$DO360))</f>
        <v>3.7037037037037035E-4</v>
      </c>
      <c r="EA360" s="10" cm="1">
        <f t="array" aca="1" ref="EA360" ca="1">(1-$B$18)*SUMPRODUCT(OFFSET($BO$15,0,0,$B$14,1), 1*(_xlfn._xlws.FILTER(OFFSET($O$15,0,$DN360,$B$8,1),OFFSET($M$15,0,0,$B$8,1))=EA$13), 1*(_xlfn._xlws.FILTER(OFFSET($O$15,0,$DO360,$B$8,1),OFFSET($M$15,0,0,$B$8,1))=EA$14))   /   SUM(OFFSET($BO$15,0,0,$B$14,1)) + $B$18/($B$19*$B$19*($DN360&lt;&gt;$DO360) + $B$19*($DN360=$DO360))</f>
        <v>3.7037037037037035E-4</v>
      </c>
      <c r="EB360" s="10" cm="1">
        <f t="array" aca="1" ref="EB360" ca="1">(1-$B$18)*SUMPRODUCT(OFFSET($BO$15,0,0,$B$14,1), 1*(_xlfn._xlws.FILTER(OFFSET($O$15,0,$DN360,$B$8,1),OFFSET($M$15,0,0,$B$8,1))=EB$13), 1*(_xlfn._xlws.FILTER(OFFSET($O$15,0,$DO360,$B$8,1),OFFSET($M$15,0,0,$B$8,1))=EB$14))   /   SUM(OFFSET($BO$15,0,0,$B$14,1)) + $B$18/($B$19*$B$19*($DN360&lt;&gt;$DO360) + $B$19*($DN360=$DO360))</f>
        <v>3.7037037037037035E-4</v>
      </c>
      <c r="EC360" s="10" cm="1">
        <f t="array" aca="1" ref="EC360" ca="1">(1-$B$18)*SUMPRODUCT(OFFSET($BO$15,0,0,$B$14,1), 1*(_xlfn._xlws.FILTER(OFFSET($O$15,0,$DN360,$B$8,1),OFFSET($M$15,0,0,$B$8,1))=EC$13), 1*(_xlfn._xlws.FILTER(OFFSET($O$15,0,$DO360,$B$8,1),OFFSET($M$15,0,0,$B$8,1))=EC$14))   /   SUM(OFFSET($BO$15,0,0,$B$14,1)) + $B$18/($B$19*$B$19*($DN360&lt;&gt;$DO360) + $B$19*($DN360=$DO360))</f>
        <v>3.7037037037037035E-4</v>
      </c>
      <c r="ED360" s="10" cm="1">
        <f t="array" aca="1" ref="ED360" ca="1">(1-$B$18)*SUMPRODUCT(OFFSET($BO$15,0,0,$B$14,1), 1*(_xlfn._xlws.FILTER(OFFSET($O$15,0,$DN360,$B$8,1),OFFSET($M$15,0,0,$B$8,1))=ED$13), 1*(_xlfn._xlws.FILTER(OFFSET($O$15,0,$DO360,$B$8,1),OFFSET($M$15,0,0,$B$8,1))=ED$14))   /   SUM(OFFSET($BO$15,0,0,$B$14,1)) + $B$18/($B$19*$B$19*($DN360&lt;&gt;$DO360) + $B$19*($DN360=$DO360))</f>
        <v>3.7037037037037035E-4</v>
      </c>
      <c r="EE360" s="10" cm="1">
        <f t="array" aca="1" ref="EE360" ca="1">(1-$B$18)*SUMPRODUCT(OFFSET($BO$15,0,0,$B$14,1), 1*(_xlfn._xlws.FILTER(OFFSET($O$15,0,$DN360,$B$8,1),OFFSET($M$15,0,0,$B$8,1))=EE$13), 1*(_xlfn._xlws.FILTER(OFFSET($O$15,0,$DO360,$B$8,1),OFFSET($M$15,0,0,$B$8,1))=EE$14))   /   SUM(OFFSET($BO$15,0,0,$B$14,1)) + $B$18/($B$19*$B$19*($DN360&lt;&gt;$DO360) + $B$19*($DN360=$DO360))</f>
        <v>3.7037037037037035E-4</v>
      </c>
      <c r="EF360" s="10" cm="1">
        <f t="array" aca="1" ref="EF360" ca="1">(1-$B$18)*SUMPRODUCT(OFFSET($BO$15,0,0,$B$14,1), 1*(_xlfn._xlws.FILTER(OFFSET($O$15,0,$DN360,$B$8,1),OFFSET($M$15,0,0,$B$8,1))=EF$13), 1*(_xlfn._xlws.FILTER(OFFSET($O$15,0,$DO360,$B$8,1),OFFSET($M$15,0,0,$B$8,1))=EF$14))   /   SUM(OFFSET($BO$15,0,0,$B$14,1)) + $B$18/($B$19*$B$19*($DN360&lt;&gt;$DO360) + $B$19*($DN360=$DO360))</f>
        <v>3.7037037037037035E-4</v>
      </c>
      <c r="EG360" s="10" cm="1">
        <f t="array" aca="1" ref="EG360" ca="1">(1-$B$18)*SUMPRODUCT(OFFSET($BO$15,0,0,$B$14,1), 1*(_xlfn._xlws.FILTER(OFFSET($O$15,0,$DN360,$B$8,1),OFFSET($M$15,0,0,$B$8,1))=EG$13), 1*(_xlfn._xlws.FILTER(OFFSET($O$15,0,$DO360,$B$8,1),OFFSET($M$15,0,0,$B$8,1))=EG$14))   /   SUM(OFFSET($BO$15,0,0,$B$14,1)) + $B$18/($B$19*$B$19*($DN360&lt;&gt;$DO360) + $B$19*($DN360=$DO360))</f>
        <v>3.7037037037037035E-4</v>
      </c>
      <c r="EH360" s="10" cm="1">
        <f t="array" aca="1" ref="EH360" ca="1">(1-$B$18)*SUMPRODUCT(OFFSET($BO$15,0,0,$B$14,1), 1*(_xlfn._xlws.FILTER(OFFSET($O$15,0,$DN360,$B$8,1),OFFSET($M$15,0,0,$B$8,1))=EH$13), 1*(_xlfn._xlws.FILTER(OFFSET($O$15,0,$DO360,$B$8,1),OFFSET($M$15,0,0,$B$8,1))=EH$14))   /   SUM(OFFSET($BO$15,0,0,$B$14,1)) + $B$18/($B$19*$B$19*($DN360&lt;&gt;$DO360) + $B$19*($DN360=$DO360))</f>
        <v>3.7037037037037035E-4</v>
      </c>
      <c r="EI360" s="10" cm="1">
        <f t="array" aca="1" ref="EI360" ca="1">(1-$B$18)*SUMPRODUCT(OFFSET($BO$15,0,0,$B$14,1), 1*(_xlfn._xlws.FILTER(OFFSET($O$15,0,$DN360,$B$8,1),OFFSET($M$15,0,0,$B$8,1))=EI$13), 1*(_xlfn._xlws.FILTER(OFFSET($O$15,0,$DO360,$B$8,1),OFFSET($M$15,0,0,$B$8,1))=EI$14))   /   SUM(OFFSET($BO$15,0,0,$B$14,1)) + $B$18/($B$19*$B$19*($DN360&lt;&gt;$DO360) + $B$19*($DN360=$DO360))</f>
        <v>3.7037037037037035E-4</v>
      </c>
      <c r="EJ360" s="10" cm="1">
        <f t="array" aca="1" ref="EJ360" ca="1">(1-$B$18)*SUMPRODUCT(OFFSET($BO$15,0,0,$B$14,1), 1*(_xlfn._xlws.FILTER(OFFSET($O$15,0,$DN360,$B$8,1),OFFSET($M$15,0,0,$B$8,1))=EJ$13), 1*(_xlfn._xlws.FILTER(OFFSET($O$15,0,$DO360,$B$8,1),OFFSET($M$15,0,0,$B$8,1))=EJ$14))   /   SUM(OFFSET($BO$15,0,0,$B$14,1)) + $B$18/($B$19*$B$19*($DN360&lt;&gt;$DO360) + $B$19*($DN360=$DO360))</f>
        <v>3.7037037037037035E-4</v>
      </c>
      <c r="EK360" s="10" cm="1">
        <f t="array" aca="1" ref="EK360" ca="1">(1-$B$18)*SUMPRODUCT(OFFSET($BO$15,0,0,$B$14,1), 1*(_xlfn._xlws.FILTER(OFFSET($O$15,0,$DN360,$B$8,1),OFFSET($M$15,0,0,$B$8,1))=EK$13), 1*(_xlfn._xlws.FILTER(OFFSET($O$15,0,$DO360,$B$8,1),OFFSET($M$15,0,0,$B$8,1))=EK$14))   /   SUM(OFFSET($BO$15,0,0,$B$14,1)) + $B$18/($B$19*$B$19*($DN360&lt;&gt;$DO360) + $B$19*($DN360=$DO360))</f>
        <v>3.7037037037037035E-4</v>
      </c>
      <c r="EL360" s="10" cm="1">
        <f t="array" aca="1" ref="EL360" ca="1">(1-$B$18)*SUMPRODUCT(OFFSET($BO$15,0,0,$B$14,1), 1*(_xlfn._xlws.FILTER(OFFSET($O$15,0,$DN360,$B$8,1),OFFSET($M$15,0,0,$B$8,1))=EL$13), 1*(_xlfn._xlws.FILTER(OFFSET($O$15,0,$DO360,$B$8,1),OFFSET($M$15,0,0,$B$8,1))=EL$14))   /   SUM(OFFSET($BO$15,0,0,$B$14,1)) + $B$18/($B$19*$B$19*($DN360&lt;&gt;$DO360) + $B$19*($DN360=$DO360))</f>
        <v>3.7037037037037035E-4</v>
      </c>
      <c r="EM360" s="10" cm="1">
        <f t="array" aca="1" ref="EM360" ca="1">(1-$B$18)*SUMPRODUCT(OFFSET($BO$15,0,0,$B$14,1), 1*(_xlfn._xlws.FILTER(OFFSET($O$15,0,$DN360,$B$8,1),OFFSET($M$15,0,0,$B$8,1))=EM$13), 1*(_xlfn._xlws.FILTER(OFFSET($O$15,0,$DO360,$B$8,1),OFFSET($M$15,0,0,$B$8,1))=EM$14))   /   SUM(OFFSET($BO$15,0,0,$B$14,1)) + $B$18/($B$19*$B$19*($DN360&lt;&gt;$DO360) + $B$19*($DN360=$DO360))</f>
        <v>3.7037037037037035E-4</v>
      </c>
      <c r="EN360" s="10" cm="1">
        <f t="array" aca="1" ref="EN360" ca="1">(1-$B$18)*SUMPRODUCT(OFFSET($BO$15,0,0,$B$14,1), 1*(_xlfn._xlws.FILTER(OFFSET($O$15,0,$DN360,$B$8,1),OFFSET($M$15,0,0,$B$8,1))=EN$13), 1*(_xlfn._xlws.FILTER(OFFSET($O$15,0,$DO360,$B$8,1),OFFSET($M$15,0,0,$B$8,1))=EN$14))   /   SUM(OFFSET($BO$15,0,0,$B$14,1)) + $B$18/($B$19*$B$19*($DN360&lt;&gt;$DO360) + $B$19*($DN360=$DO360))</f>
        <v>3.7037037037037035E-4</v>
      </c>
      <c r="EO360" s="10" cm="1">
        <f t="array" aca="1" ref="EO360" ca="1">(1-$B$18)*SUMPRODUCT(OFFSET($BO$15,0,0,$B$14,1), 1*(_xlfn._xlws.FILTER(OFFSET($O$15,0,$DN360,$B$8,1),OFFSET($M$15,0,0,$B$8,1))=EO$13), 1*(_xlfn._xlws.FILTER(OFFSET($O$15,0,$DO360,$B$8,1),OFFSET($M$15,0,0,$B$8,1))=EO$14))   /   SUM(OFFSET($BO$15,0,0,$B$14,1)) + $B$18/($B$19*$B$19*($DN360&lt;&gt;$DO360) + $B$19*($DN360=$DO360))</f>
        <v>3.7037037037037035E-4</v>
      </c>
      <c r="EP360" s="10" cm="1">
        <f t="array" aca="1" ref="EP360" ca="1">(1-$B$18)*SUMPRODUCT(OFFSET($BO$15,0,0,$B$14,1), 1*(_xlfn._xlws.FILTER(OFFSET($O$15,0,$DN360,$B$8,1),OFFSET($M$15,0,0,$B$8,1))=EP$13), 1*(_xlfn._xlws.FILTER(OFFSET($O$15,0,$DO360,$B$8,1),OFFSET($M$15,0,0,$B$8,1))=EP$14))   /   SUM(OFFSET($BO$15,0,0,$B$14,1)) + $B$18/($B$19*$B$19*($DN360&lt;&gt;$DO360) + $B$19*($DN360=$DO360))</f>
        <v>3.7037037037037035E-4</v>
      </c>
      <c r="EQ360" s="10" cm="1">
        <f t="array" aca="1" ref="EQ360" ca="1">(1-$B$18)*SUMPRODUCT(OFFSET($BO$15,0,0,$B$14,1), 1*(_xlfn._xlws.FILTER(OFFSET($O$15,0,$DN360,$B$8,1),OFFSET($M$15,0,0,$B$8,1))=EQ$13), 1*(_xlfn._xlws.FILTER(OFFSET($O$15,0,$DO360,$B$8,1),OFFSET($M$15,0,0,$B$8,1))=EQ$14))   /   SUM(OFFSET($BO$15,0,0,$B$14,1)) + $B$18/($B$19*$B$19*($DN360&lt;&gt;$DO360) + $B$19*($DN360=$DO360))</f>
        <v>3.7037037037037035E-4</v>
      </c>
      <c r="ER360" s="10" cm="1">
        <f t="array" aca="1" ref="ER360" ca="1">(1-$B$18)*SUMPRODUCT(OFFSET($BO$15,0,0,$B$14,1), 1*(_xlfn._xlws.FILTER(OFFSET($O$15,0,$DN360,$B$8,1),OFFSET($M$15,0,0,$B$8,1))=ER$13), 1*(_xlfn._xlws.FILTER(OFFSET($O$15,0,$DO360,$B$8,1),OFFSET($M$15,0,0,$B$8,1))=ER$14))   /   SUM(OFFSET($BO$15,0,0,$B$14,1)) + $B$18/($B$19*$B$19*($DN360&lt;&gt;$DO360) + $B$19*($DN360=$DO360))</f>
        <v>3.7037037037037035E-4</v>
      </c>
      <c r="ES360" s="10" cm="1">
        <f t="array" aca="1" ref="ES360" ca="1">(1-$B$18)*SUMPRODUCT(OFFSET($BO$15,0,0,$B$14,1), 1*(_xlfn._xlws.FILTER(OFFSET($O$15,0,$DN360,$B$8,1),OFFSET($M$15,0,0,$B$8,1))=ES$13), 1*(_xlfn._xlws.FILTER(OFFSET($O$15,0,$DO360,$B$8,1),OFFSET($M$15,0,0,$B$8,1))=ES$14))   /   SUM(OFFSET($BO$15,0,0,$B$14,1)) + $B$18/($B$19*$B$19*($DN360&lt;&gt;$DO360) + $B$19*($DN360=$DO360))</f>
        <v>3.7037037037037035E-4</v>
      </c>
      <c r="ET360" s="10" cm="1">
        <f t="array" aca="1" ref="ET360" ca="1">(1-$B$18)*SUMPRODUCT(OFFSET($BO$15,0,0,$B$14,1), 1*(_xlfn._xlws.FILTER(OFFSET($O$15,0,$DN360,$B$8,1),OFFSET($M$15,0,0,$B$8,1))=ET$13), 1*(_xlfn._xlws.FILTER(OFFSET($O$15,0,$DO360,$B$8,1),OFFSET($M$15,0,0,$B$8,1))=ET$14))   /   SUM(OFFSET($BO$15,0,0,$B$14,1)) + $B$18/($B$19*$B$19*($DN360&lt;&gt;$DO360) + $B$19*($DN360=$DO360))</f>
        <v>3.7037037037037035E-4</v>
      </c>
      <c r="EU360" s="10" cm="1">
        <f t="array" aca="1" ref="EU360" ca="1">(1-$B$18)*SUMPRODUCT(OFFSET($BO$15,0,0,$B$14,1), 1*(_xlfn._xlws.FILTER(OFFSET($O$15,0,$DN360,$B$8,1),OFFSET($M$15,0,0,$B$8,1))=EU$13), 1*(_xlfn._xlws.FILTER(OFFSET($O$15,0,$DO360,$B$8,1),OFFSET($M$15,0,0,$B$8,1))=EU$14))   /   SUM(OFFSET($BO$15,0,0,$B$14,1)) + $B$18/($B$19*$B$19*($DN360&lt;&gt;$DO360) + $B$19*($DN360=$DO360))</f>
        <v>3.7037037037037035E-4</v>
      </c>
      <c r="EV360" s="10" cm="1">
        <f t="array" aca="1" ref="EV360" ca="1">(1-$B$18)*SUMPRODUCT(OFFSET($BO$15,0,0,$B$14,1), 1*(_xlfn._xlws.FILTER(OFFSET($O$15,0,$DN360,$B$8,1),OFFSET($M$15,0,0,$B$8,1))=EV$13), 1*(_xlfn._xlws.FILTER(OFFSET($O$15,0,$DO360,$B$8,1),OFFSET($M$15,0,0,$B$8,1))=EV$14))   /   SUM(OFFSET($BO$15,0,0,$B$14,1)) + $B$18/($B$19*$B$19*($DN360&lt;&gt;$DO360) + $B$19*($DN360=$DO360))</f>
        <v>3.7037037037037035E-4</v>
      </c>
      <c r="EW360" s="10" cm="1">
        <f t="array" aca="1" ref="EW360" ca="1">(1-$B$18)*SUMPRODUCT(OFFSET($BO$15,0,0,$B$14,1), 1*(_xlfn._xlws.FILTER(OFFSET($O$15,0,$DN360,$B$8,1),OFFSET($M$15,0,0,$B$8,1))=EW$13), 1*(_xlfn._xlws.FILTER(OFFSET($O$15,0,$DO360,$B$8,1),OFFSET($M$15,0,0,$B$8,1))=EW$14))   /   SUM(OFFSET($BO$15,0,0,$B$14,1)) + $B$18/($B$19*$B$19*($DN360&lt;&gt;$DO360) + $B$19*($DN360=$DO360))</f>
        <v>3.7037037037037035E-4</v>
      </c>
      <c r="EX360" s="10" cm="1">
        <f t="array" aca="1" ref="EX360" ca="1">(1-$B$18)*SUMPRODUCT(OFFSET($BO$15,0,0,$B$14,1), 1*(_xlfn._xlws.FILTER(OFFSET($O$15,0,$DN360,$B$8,1),OFFSET($M$15,0,0,$B$8,1))=EX$13), 1*(_xlfn._xlws.FILTER(OFFSET($O$15,0,$DO360,$B$8,1),OFFSET($M$15,0,0,$B$8,1))=EX$14))   /   SUM(OFFSET($BO$15,0,0,$B$14,1)) + $B$18/($B$19*$B$19*($DN360&lt;&gt;$DO360) + $B$19*($DN360=$DO360))</f>
        <v>3.7037037037037035E-4</v>
      </c>
      <c r="EY360" s="10" cm="1">
        <f t="array" aca="1" ref="EY360" ca="1">(1-$B$18)*SUMPRODUCT(OFFSET($BO$15,0,0,$B$14,1), 1*(_xlfn._xlws.FILTER(OFFSET($O$15,0,$DN360,$B$8,1),OFFSET($M$15,0,0,$B$8,1))=EY$13), 1*(_xlfn._xlws.FILTER(OFFSET($O$15,0,$DO360,$B$8,1),OFFSET($M$15,0,0,$B$8,1))=EY$14))   /   SUM(OFFSET($BO$15,0,0,$B$14,1)) + $B$18/($B$19*$B$19*($DN360&lt;&gt;$DO360) + $B$19*($DN360=$DO360))</f>
        <v>3.7037037037037035E-4</v>
      </c>
      <c r="EZ360" s="10" cm="1">
        <f t="array" aca="1" ref="EZ360" ca="1">(1-$B$18)*SUMPRODUCT(OFFSET($BO$15,0,0,$B$14,1), 1*(_xlfn._xlws.FILTER(OFFSET($O$15,0,$DN360,$B$8,1),OFFSET($M$15,0,0,$B$8,1))=EZ$13), 1*(_xlfn._xlws.FILTER(OFFSET($O$15,0,$DO360,$B$8,1),OFFSET($M$15,0,0,$B$8,1))=EZ$14))   /   SUM(OFFSET($BO$15,0,0,$B$14,1)) + $B$18/($B$19*$B$19*($DN360&lt;&gt;$DO360) + $B$19*($DN360=$DO360))</f>
        <v>3.7037037037037035E-4</v>
      </c>
      <c r="FA360" s="10" cm="1">
        <f t="array" aca="1" ref="FA360" ca="1">(1-$B$18)*SUMPRODUCT(OFFSET($BO$15,0,0,$B$14,1), 1*(_xlfn._xlws.FILTER(OFFSET($O$15,0,$DN360,$B$8,1),OFFSET($M$15,0,0,$B$8,1))=FA$13), 1*(_xlfn._xlws.FILTER(OFFSET($O$15,0,$DO360,$B$8,1),OFFSET($M$15,0,0,$B$8,1))=FA$14))   /   SUM(OFFSET($BO$15,0,0,$B$14,1)) + $B$18/($B$19*$B$19*($DN360&lt;&gt;$DO360) + $B$19*($DN360=$DO360))</f>
        <v>3.7037037037037035E-4</v>
      </c>
      <c r="FB360" s="10" cm="1">
        <f t="array" aca="1" ref="FB360" ca="1">(1-$B$18)*SUMPRODUCT(OFFSET($BO$15,0,0,$B$14,1), 1*(_xlfn._xlws.FILTER(OFFSET($O$15,0,$DN360,$B$8,1),OFFSET($M$15,0,0,$B$8,1))=FB$13), 1*(_xlfn._xlws.FILTER(OFFSET($O$15,0,$DO360,$B$8,1),OFFSET($M$15,0,0,$B$8,1))=FB$14))   /   SUM(OFFSET($BO$15,0,0,$B$14,1)) + $B$18/($B$19*$B$19*($DN360&lt;&gt;$DO360) + $B$19*($DN360=$DO360))</f>
        <v>0.24287037037037024</v>
      </c>
      <c r="FC360" s="10" cm="1">
        <f t="array" aca="1" ref="FC360" ca="1">(1-$B$18)*SUMPRODUCT(OFFSET($BO$15,0,0,$B$14,1), 1*(_xlfn._xlws.FILTER(OFFSET($O$15,0,$DN360,$B$8,1),OFFSET($M$15,0,0,$B$8,1))=FC$13), 1*(_xlfn._xlws.FILTER(OFFSET($O$15,0,$DO360,$B$8,1),OFFSET($M$15,0,0,$B$8,1))=FC$14))   /   SUM(OFFSET($BO$15,0,0,$B$14,1)) + $B$18/($B$19*$B$19*($DN360&lt;&gt;$DO360) + $B$19*($DN360=$DO360))</f>
        <v>3.7037037037037035E-4</v>
      </c>
      <c r="FD360" s="10" cm="1">
        <f t="array" aca="1" ref="FD360" ca="1">(1-$B$18)*SUMPRODUCT(OFFSET($BO$15,0,0,$B$14,1), 1*(_xlfn._xlws.FILTER(OFFSET($O$15,0,$DN360,$B$8,1),OFFSET($M$15,0,0,$B$8,1))=FD$13), 1*(_xlfn._xlws.FILTER(OFFSET($O$15,0,$DO360,$B$8,1),OFFSET($M$15,0,0,$B$8,1))=FD$14))   /   SUM(OFFSET($BO$15,0,0,$B$14,1)) + $B$18/($B$19*$B$19*($DN360&lt;&gt;$DO360) + $B$19*($DN360=$DO360))</f>
        <v>3.7037037037037035E-4</v>
      </c>
      <c r="FE360" s="10" cm="1">
        <f t="array" aca="1" ref="FE360" ca="1">(1-$B$18)*SUMPRODUCT(OFFSET($BO$15,0,0,$B$14,1), 1*(_xlfn._xlws.FILTER(OFFSET($O$15,0,$DN360,$B$8,1),OFFSET($M$15,0,0,$B$8,1))=FE$13), 1*(_xlfn._xlws.FILTER(OFFSET($O$15,0,$DO360,$B$8,1),OFFSET($M$15,0,0,$B$8,1))=FE$14))   /   SUM(OFFSET($BO$15,0,0,$B$14,1)) + $B$18/($B$19*$B$19*($DN360&lt;&gt;$DO360) + $B$19*($DN360=$DO360))</f>
        <v>3.7037037037037035E-4</v>
      </c>
      <c r="FF360" s="10" cm="1">
        <f t="array" aca="1" ref="FF360" ca="1">(1-$B$18)*SUMPRODUCT(OFFSET($BO$15,0,0,$B$14,1), 1*(_xlfn._xlws.FILTER(OFFSET($O$15,0,$DN360,$B$8,1),OFFSET($M$15,0,0,$B$8,1))=FF$13), 1*(_xlfn._xlws.FILTER(OFFSET($O$15,0,$DO360,$B$8,1),OFFSET($M$15,0,0,$B$8,1))=FF$14))   /   SUM(OFFSET($BO$15,0,0,$B$14,1)) + $B$18/($B$19*$B$19*($DN360&lt;&gt;$DO360) + $B$19*($DN360=$DO360))</f>
        <v>3.7037037037037035E-4</v>
      </c>
      <c r="FG360" s="10" cm="1">
        <f t="array" aca="1" ref="FG360" ca="1">(1-$B$18)*SUMPRODUCT(OFFSET($BO$15,0,0,$B$14,1), 1*(_xlfn._xlws.FILTER(OFFSET($O$15,0,$DN360,$B$8,1),OFFSET($M$15,0,0,$B$8,1))=FG$13), 1*(_xlfn._xlws.FILTER(OFFSET($O$15,0,$DO360,$B$8,1),OFFSET($M$15,0,0,$B$8,1))=FG$14))   /   SUM(OFFSET($BO$15,0,0,$B$14,1)) + $B$18/($B$19*$B$19*($DN360&lt;&gt;$DO360) + $B$19*($DN360=$DO360))</f>
        <v>3.7037037037037035E-4</v>
      </c>
      <c r="FH360" s="10" cm="1">
        <f t="array" aca="1" ref="FH360" ca="1">(1-$B$18)*SUMPRODUCT(OFFSET($BO$15,0,0,$B$14,1), 1*(_xlfn._xlws.FILTER(OFFSET($O$15,0,$DN360,$B$8,1),OFFSET($M$15,0,0,$B$8,1))=FH$13), 1*(_xlfn._xlws.FILTER(OFFSET($O$15,0,$DO360,$B$8,1),OFFSET($M$15,0,0,$B$8,1))=FH$14))   /   SUM(OFFSET($BO$15,0,0,$B$14,1)) + $B$18/($B$19*$B$19*($DN360&lt;&gt;$DO360) + $B$19*($DN360=$DO360))</f>
        <v>3.7037037037037035E-4</v>
      </c>
      <c r="FI360" s="10" cm="1">
        <f t="array" aca="1" ref="FI360" ca="1">(1-$B$18)*SUMPRODUCT(OFFSET($BO$15,0,0,$B$14,1), 1*(_xlfn._xlws.FILTER(OFFSET($O$15,0,$DN360,$B$8,1),OFFSET($M$15,0,0,$B$8,1))=FI$13), 1*(_xlfn._xlws.FILTER(OFFSET($O$15,0,$DO360,$B$8,1),OFFSET($M$15,0,0,$B$8,1))=FI$14))   /   SUM(OFFSET($BO$15,0,0,$B$14,1)) + $B$18/($B$19*$B$19*($DN360&lt;&gt;$DO360) + $B$19*($DN360=$DO360))</f>
        <v>3.7037037037037035E-4</v>
      </c>
      <c r="FJ360" s="10" cm="1">
        <f t="array" aca="1" ref="FJ360" ca="1">(1-$B$18)*SUMPRODUCT(OFFSET($BO$15,0,0,$B$14,1), 1*(_xlfn._xlws.FILTER(OFFSET($O$15,0,$DN360,$B$8,1),OFFSET($M$15,0,0,$B$8,1))=FJ$13), 1*(_xlfn._xlws.FILTER(OFFSET($O$15,0,$DO360,$B$8,1),OFFSET($M$15,0,0,$B$8,1))=FJ$14))   /   SUM(OFFSET($BO$15,0,0,$B$14,1)) + $B$18/($B$19*$B$19*($DN360&lt;&gt;$DO360) + $B$19*($DN360=$DO360))</f>
        <v>0.48537037037037012</v>
      </c>
      <c r="FK360" s="10" cm="1">
        <f t="array" aca="1" ref="FK360" ca="1">(1-$B$18)*SUMPRODUCT(OFFSET($BO$15,0,0,$B$14,1), 1*(_xlfn._xlws.FILTER(OFFSET($O$15,0,$DN360,$B$8,1),OFFSET($M$15,0,0,$B$8,1))=FK$13), 1*(_xlfn._xlws.FILTER(OFFSET($O$15,0,$DO360,$B$8,1),OFFSET($M$15,0,0,$B$8,1))=FK$14))   /   SUM(OFFSET($BO$15,0,0,$B$14,1)) + $B$18/($B$19*$B$19*($DN360&lt;&gt;$DO360) + $B$19*($DN360=$DO360))</f>
        <v>3.7037037037037035E-4</v>
      </c>
      <c r="FL360" s="10" cm="1">
        <f t="array" aca="1" ref="FL360" ca="1">(1-$B$18)*SUMPRODUCT(OFFSET($BO$15,0,0,$B$14,1), 1*(_xlfn._xlws.FILTER(OFFSET($O$15,0,$DN360,$B$8,1),OFFSET($M$15,0,0,$B$8,1))=FL$13), 1*(_xlfn._xlws.FILTER(OFFSET($O$15,0,$DO360,$B$8,1),OFFSET($M$15,0,0,$B$8,1))=FL$14))   /   SUM(OFFSET($BO$15,0,0,$B$14,1)) + $B$18/($B$19*$B$19*($DN360&lt;&gt;$DO360) + $B$19*($DN360=$DO360))</f>
        <v>3.7037037037037035E-4</v>
      </c>
      <c r="FM360" s="10" cm="1">
        <f t="array" aca="1" ref="FM360" ca="1">(1-$B$18)*SUMPRODUCT(OFFSET($BO$15,0,0,$B$14,1), 1*(_xlfn._xlws.FILTER(OFFSET($O$15,0,$DN360,$B$8,1),OFFSET($M$15,0,0,$B$8,1))=FM$13), 1*(_xlfn._xlws.FILTER(OFFSET($O$15,0,$DO360,$B$8,1),OFFSET($M$15,0,0,$B$8,1))=FM$14))   /   SUM(OFFSET($BO$15,0,0,$B$14,1)) + $B$18/($B$19*$B$19*($DN360&lt;&gt;$DO360) + $B$19*($DN360=$DO360))</f>
        <v>3.7037037037037035E-4</v>
      </c>
      <c r="FN360" s="10" cm="1">
        <f t="array" aca="1" ref="FN360" ca="1">(1-$B$18)*SUMPRODUCT(OFFSET($BO$15,0,0,$B$14,1), 1*(_xlfn._xlws.FILTER(OFFSET($O$15,0,$DN360,$B$8,1),OFFSET($M$15,0,0,$B$8,1))=FN$13), 1*(_xlfn._xlws.FILTER(OFFSET($O$15,0,$DO360,$B$8,1),OFFSET($M$15,0,0,$B$8,1))=FN$14))   /   SUM(OFFSET($BO$15,0,0,$B$14,1)) + $B$18/($B$19*$B$19*($DN360&lt;&gt;$DO360) + $B$19*($DN360=$DO360))</f>
        <v>3.7037037037037035E-4</v>
      </c>
      <c r="FO360" s="10" cm="1">
        <f t="array" aca="1" ref="FO360" ca="1">(1-$B$18)*SUMPRODUCT(OFFSET($BO$15,0,0,$B$14,1), 1*(_xlfn._xlws.FILTER(OFFSET($O$15,0,$DN360,$B$8,1),OFFSET($M$15,0,0,$B$8,1))=FO$13), 1*(_xlfn._xlws.FILTER(OFFSET($O$15,0,$DO360,$B$8,1),OFFSET($M$15,0,0,$B$8,1))=FO$14))   /   SUM(OFFSET($BO$15,0,0,$B$14,1)) + $B$18/($B$19*$B$19*($DN360&lt;&gt;$DO360) + $B$19*($DN360=$DO360))</f>
        <v>3.7037037037037035E-4</v>
      </c>
      <c r="FP360" s="10" cm="1">
        <f t="array" aca="1" ref="FP360" ca="1">(1-$B$18)*SUMPRODUCT(OFFSET($BO$15,0,0,$B$14,1), 1*(_xlfn._xlws.FILTER(OFFSET($O$15,0,$DN360,$B$8,1),OFFSET($M$15,0,0,$B$8,1))=FP$13), 1*(_xlfn._xlws.FILTER(OFFSET($O$15,0,$DO360,$B$8,1),OFFSET($M$15,0,0,$B$8,1))=FP$14))   /   SUM(OFFSET($BO$15,0,0,$B$14,1)) + $B$18/($B$19*$B$19*($DN360&lt;&gt;$DO360) + $B$19*($DN360=$DO360))</f>
        <v>3.7037037037037035E-4</v>
      </c>
      <c r="FQ360" s="10" cm="1">
        <f t="array" aca="1" ref="FQ360" ca="1">(1-$B$18)*SUMPRODUCT(OFFSET($BO$15,0,0,$B$14,1), 1*(_xlfn._xlws.FILTER(OFFSET($O$15,0,$DN360,$B$8,1),OFFSET($M$15,0,0,$B$8,1))=FQ$13), 1*(_xlfn._xlws.FILTER(OFFSET($O$15,0,$DO360,$B$8,1),OFFSET($M$15,0,0,$B$8,1))=FQ$14))   /   SUM(OFFSET($BO$15,0,0,$B$14,1)) + $B$18/($B$19*$B$19*($DN360&lt;&gt;$DO360) + $B$19*($DN360=$DO360))</f>
        <v>3.7037037037037035E-4</v>
      </c>
      <c r="FR360" s="10" cm="1">
        <f t="array" aca="1" ref="FR360" ca="1">(1-$B$18)*SUMPRODUCT(OFFSET($BO$15,0,0,$B$14,1), 1*(_xlfn._xlws.FILTER(OFFSET($O$15,0,$DN360,$B$8,1),OFFSET($M$15,0,0,$B$8,1))=FR$13), 1*(_xlfn._xlws.FILTER(OFFSET($O$15,0,$DO360,$B$8,1),OFFSET($M$15,0,0,$B$8,1))=FR$14))   /   SUM(OFFSET($BO$15,0,0,$B$14,1)) + $B$18/($B$19*$B$19*($DN360&lt;&gt;$DO360) + $B$19*($DN360=$DO360))</f>
        <v>0.24287037037037026</v>
      </c>
      <c r="FS360" s="10" cm="1">
        <f t="array" aca="1" ref="FS360" ca="1">(1-$B$18)*SUMPRODUCT(OFFSET($BO$15,0,0,$B$14,1), 1*(_xlfn._xlws.FILTER(OFFSET($O$15,0,$DN360,$B$8,1),OFFSET($M$15,0,0,$B$8,1))=FS$13), 1*(_xlfn._xlws.FILTER(OFFSET($O$15,0,$DO360,$B$8,1),OFFSET($M$15,0,0,$B$8,1))=FS$14))   /   SUM(OFFSET($BO$15,0,0,$B$14,1)) + $B$18/($B$19*$B$19*($DN360&lt;&gt;$DO360) + $B$19*($DN360=$DO360))</f>
        <v>3.7037037037037035E-4</v>
      </c>
      <c r="FT360" s="10" cm="1">
        <f t="array" aca="1" ref="FT360" ca="1">(1-$B$18)*SUMPRODUCT(OFFSET($BO$15,0,0,$B$14,1), 1*(_xlfn._xlws.FILTER(OFFSET($O$15,0,$DN360,$B$8,1),OFFSET($M$15,0,0,$B$8,1))=FT$13), 1*(_xlfn._xlws.FILTER(OFFSET($O$15,0,$DO360,$B$8,1),OFFSET($M$15,0,0,$B$8,1))=FT$14))   /   SUM(OFFSET($BO$15,0,0,$B$14,1)) + $B$18/($B$19*$B$19*($DN360&lt;&gt;$DO360) + $B$19*($DN360=$DO360))</f>
        <v>3.7037037037037035E-4</v>
      </c>
      <c r="FU360" s="10" cm="1">
        <f t="array" aca="1" ref="FU360" ca="1">(1-$B$18)*SUMPRODUCT(OFFSET($BO$15,0,0,$B$14,1), 1*(_xlfn._xlws.FILTER(OFFSET($O$15,0,$DN360,$B$8,1),OFFSET($M$15,0,0,$B$8,1))=FU$13), 1*(_xlfn._xlws.FILTER(OFFSET($O$15,0,$DO360,$B$8,1),OFFSET($M$15,0,0,$B$8,1))=FU$14))   /   SUM(OFFSET($BO$15,0,0,$B$14,1)) + $B$18/($B$19*$B$19*($DN360&lt;&gt;$DO360) + $B$19*($DN360=$DO360))</f>
        <v>3.7037037037037035E-4</v>
      </c>
      <c r="FV360" s="10" cm="1">
        <f t="array" aca="1" ref="FV360" ca="1">(1-$B$18)*SUMPRODUCT(OFFSET($BO$15,0,0,$B$14,1), 1*(_xlfn._xlws.FILTER(OFFSET($O$15,0,$DN360,$B$8,1),OFFSET($M$15,0,0,$B$8,1))=FV$13), 1*(_xlfn._xlws.FILTER(OFFSET($O$15,0,$DO360,$B$8,1),OFFSET($M$15,0,0,$B$8,1))=FV$14))   /   SUM(OFFSET($BO$15,0,0,$B$14,1)) + $B$18/($B$19*$B$19*($DN360&lt;&gt;$DO360) + $B$19*($DN360=$DO360))</f>
        <v>3.7037037037037035E-4</v>
      </c>
      <c r="FW360" s="10" cm="1">
        <f t="array" aca="1" ref="FW360" ca="1">(1-$B$18)*SUMPRODUCT(OFFSET($BO$15,0,0,$B$14,1), 1*(_xlfn._xlws.FILTER(OFFSET($O$15,0,$DN360,$B$8,1),OFFSET($M$15,0,0,$B$8,1))=FW$13), 1*(_xlfn._xlws.FILTER(OFFSET($O$15,0,$DO360,$B$8,1),OFFSET($M$15,0,0,$B$8,1))=FW$14))   /   SUM(OFFSET($BO$15,0,0,$B$14,1)) + $B$18/($B$19*$B$19*($DN360&lt;&gt;$DO360) + $B$19*($DN360=$DO360))</f>
        <v>3.7037037037037035E-4</v>
      </c>
      <c r="FX360" s="10" cm="1">
        <f t="array" aca="1" ref="FX360" ca="1">(1-$B$18)*SUMPRODUCT(OFFSET($BO$15,0,0,$B$14,1), 1*(_xlfn._xlws.FILTER(OFFSET($O$15,0,$DN360,$B$8,1),OFFSET($M$15,0,0,$B$8,1))=FX$13), 1*(_xlfn._xlws.FILTER(OFFSET($O$15,0,$DO360,$B$8,1),OFFSET($M$15,0,0,$B$8,1))=FX$14))   /   SUM(OFFSET($BO$15,0,0,$B$14,1)) + $B$18/($B$19*$B$19*($DN360&lt;&gt;$DO360) + $B$19*($DN360=$DO360))</f>
        <v>3.7037037037037035E-4</v>
      </c>
      <c r="FY360" s="10" cm="1">
        <f t="array" aca="1" ref="FY360" ca="1">(1-$B$18)*SUMPRODUCT(OFFSET($BO$15,0,0,$B$14,1), 1*(_xlfn._xlws.FILTER(OFFSET($O$15,0,$DN360,$B$8,1),OFFSET($M$15,0,0,$B$8,1))=FY$13), 1*(_xlfn._xlws.FILTER(OFFSET($O$15,0,$DO360,$B$8,1),OFFSET($M$15,0,0,$B$8,1))=FY$14))   /   SUM(OFFSET($BO$15,0,0,$B$14,1)) + $B$18/($B$19*$B$19*($DN360&lt;&gt;$DO360) + $B$19*($DN360=$DO360))</f>
        <v>3.7037037037037035E-4</v>
      </c>
      <c r="FZ360" s="10" cm="1">
        <f t="array" aca="1" ref="FZ360" ca="1">(1-$B$18)*SUMPRODUCT(OFFSET($BO$15,0,0,$B$14,1), 1*(_xlfn._xlws.FILTER(OFFSET($O$15,0,$DN360,$B$8,1),OFFSET($M$15,0,0,$B$8,1))=FZ$13), 1*(_xlfn._xlws.FILTER(OFFSET($O$15,0,$DO360,$B$8,1),OFFSET($M$15,0,0,$B$8,1))=FZ$14))   /   SUM(OFFSET($BO$15,0,0,$B$14,1)) + $B$18/($B$19*$B$19*($DN360&lt;&gt;$DO360) + $B$19*($DN360=$DO360))</f>
        <v>3.7037037037037035E-4</v>
      </c>
      <c r="GA360" s="10" cm="1">
        <f t="array" aca="1" ref="GA360" ca="1">(1-$B$18)*SUMPRODUCT(OFFSET($BO$15,0,0,$B$14,1), 1*(_xlfn._xlws.FILTER(OFFSET($O$15,0,$DN360,$B$8,1),OFFSET($M$15,0,0,$B$8,1))=GA$13), 1*(_xlfn._xlws.FILTER(OFFSET($O$15,0,$DO360,$B$8,1),OFFSET($M$15,0,0,$B$8,1))=GA$14))   /   SUM(OFFSET($BO$15,0,0,$B$14,1)) + $B$18/($B$19*$B$19*($DN360&lt;&gt;$DO360) + $B$19*($DN360=$DO360))</f>
        <v>3.7037037037037035E-4</v>
      </c>
    </row>
    <row r="361" spans="118:183" x14ac:dyDescent="0.2">
      <c r="DN361" cm="1">
        <f t="array" aca="1" ref="DN361" ca="1">INDEX(_xlfn.ANCHORARRAY($CP$15), 1 + INT((ROWS($DO$15:$DO361) - 1) / ROWS(_xlfn.ANCHORARRAY($CP$15))))</f>
        <v>21</v>
      </c>
      <c r="DO361" cm="1">
        <f t="array" aca="1" ref="DO361" ca="1">INDEX(_xlfn.ANCHORARRAY($CP$15),1+MOD(ROWS($DO$15:$DO361)-1,ROWS(_xlfn.ANCHORARRAY($CP$15))))</f>
        <v>4</v>
      </c>
      <c r="DP361" s="10" cm="1">
        <f t="array" aca="1" ref="DP361" ca="1">(1-$B$18)*SUMPRODUCT(OFFSET($BO$15,0,0,$B$14,1), 1*(_xlfn._xlws.FILTER(OFFSET($O$15,0,$DN361,$B$8,1),OFFSET($M$15,0,0,$B$8,1))=DP$13), 1*(_xlfn._xlws.FILTER(OFFSET($O$15,0,$DO361,$B$8,1),OFFSET($M$15,0,0,$B$8,1))=DP$14))   /   SUM(OFFSET($BO$15,0,0,$B$14,1)) + $B$18/($B$19*$B$19*($DN361&lt;&gt;$DO361) + $B$19*($DN361=$DO361))</f>
        <v>3.7037037037037035E-4</v>
      </c>
      <c r="DQ361" s="10" cm="1">
        <f t="array" aca="1" ref="DQ361" ca="1">(1-$B$18)*SUMPRODUCT(OFFSET($BO$15,0,0,$B$14,1), 1*(_xlfn._xlws.FILTER(OFFSET($O$15,0,$DN361,$B$8,1),OFFSET($M$15,0,0,$B$8,1))=DQ$13), 1*(_xlfn._xlws.FILTER(OFFSET($O$15,0,$DO361,$B$8,1),OFFSET($M$15,0,0,$B$8,1))=DQ$14))   /   SUM(OFFSET($BO$15,0,0,$B$14,1)) + $B$18/($B$19*$B$19*($DN361&lt;&gt;$DO361) + $B$19*($DN361=$DO361))</f>
        <v>3.7037037037037035E-4</v>
      </c>
      <c r="DR361" s="10" cm="1">
        <f t="array" aca="1" ref="DR361" ca="1">(1-$B$18)*SUMPRODUCT(OFFSET($BO$15,0,0,$B$14,1), 1*(_xlfn._xlws.FILTER(OFFSET($O$15,0,$DN361,$B$8,1),OFFSET($M$15,0,0,$B$8,1))=DR$13), 1*(_xlfn._xlws.FILTER(OFFSET($O$15,0,$DO361,$B$8,1),OFFSET($M$15,0,0,$B$8,1))=DR$14))   /   SUM(OFFSET($BO$15,0,0,$B$14,1)) + $B$18/($B$19*$B$19*($DN361&lt;&gt;$DO361) + $B$19*($DN361=$DO361))</f>
        <v>3.7037037037037035E-4</v>
      </c>
      <c r="DS361" s="10" cm="1">
        <f t="array" aca="1" ref="DS361" ca="1">(1-$B$18)*SUMPRODUCT(OFFSET($BO$15,0,0,$B$14,1), 1*(_xlfn._xlws.FILTER(OFFSET($O$15,0,$DN361,$B$8,1),OFFSET($M$15,0,0,$B$8,1))=DS$13), 1*(_xlfn._xlws.FILTER(OFFSET($O$15,0,$DO361,$B$8,1),OFFSET($M$15,0,0,$B$8,1))=DS$14))   /   SUM(OFFSET($BO$15,0,0,$B$14,1)) + $B$18/($B$19*$B$19*($DN361&lt;&gt;$DO361) + $B$19*($DN361=$DO361))</f>
        <v>3.7037037037037035E-4</v>
      </c>
      <c r="DT361" s="10" cm="1">
        <f t="array" aca="1" ref="DT361" ca="1">(1-$B$18)*SUMPRODUCT(OFFSET($BO$15,0,0,$B$14,1), 1*(_xlfn._xlws.FILTER(OFFSET($O$15,0,$DN361,$B$8,1),OFFSET($M$15,0,0,$B$8,1))=DT$13), 1*(_xlfn._xlws.FILTER(OFFSET($O$15,0,$DO361,$B$8,1),OFFSET($M$15,0,0,$B$8,1))=DT$14))   /   SUM(OFFSET($BO$15,0,0,$B$14,1)) + $B$18/($B$19*$B$19*($DN361&lt;&gt;$DO361) + $B$19*($DN361=$DO361))</f>
        <v>3.7037037037037035E-4</v>
      </c>
      <c r="DU361" s="10" cm="1">
        <f t="array" aca="1" ref="DU361" ca="1">(1-$B$18)*SUMPRODUCT(OFFSET($BO$15,0,0,$B$14,1), 1*(_xlfn._xlws.FILTER(OFFSET($O$15,0,$DN361,$B$8,1),OFFSET($M$15,0,0,$B$8,1))=DU$13), 1*(_xlfn._xlws.FILTER(OFFSET($O$15,0,$DO361,$B$8,1),OFFSET($M$15,0,0,$B$8,1))=DU$14))   /   SUM(OFFSET($BO$15,0,0,$B$14,1)) + $B$18/($B$19*$B$19*($DN361&lt;&gt;$DO361) + $B$19*($DN361=$DO361))</f>
        <v>3.7037037037037035E-4</v>
      </c>
      <c r="DV361" s="10" cm="1">
        <f t="array" aca="1" ref="DV361" ca="1">(1-$B$18)*SUMPRODUCT(OFFSET($BO$15,0,0,$B$14,1), 1*(_xlfn._xlws.FILTER(OFFSET($O$15,0,$DN361,$B$8,1),OFFSET($M$15,0,0,$B$8,1))=DV$13), 1*(_xlfn._xlws.FILTER(OFFSET($O$15,0,$DO361,$B$8,1),OFFSET($M$15,0,0,$B$8,1))=DV$14))   /   SUM(OFFSET($BO$15,0,0,$B$14,1)) + $B$18/($B$19*$B$19*($DN361&lt;&gt;$DO361) + $B$19*($DN361=$DO361))</f>
        <v>3.7037037037037035E-4</v>
      </c>
      <c r="DW361" s="10" cm="1">
        <f t="array" aca="1" ref="DW361" ca="1">(1-$B$18)*SUMPRODUCT(OFFSET($BO$15,0,0,$B$14,1), 1*(_xlfn._xlws.FILTER(OFFSET($O$15,0,$DN361,$B$8,1),OFFSET($M$15,0,0,$B$8,1))=DW$13), 1*(_xlfn._xlws.FILTER(OFFSET($O$15,0,$DO361,$B$8,1),OFFSET($M$15,0,0,$B$8,1))=DW$14))   /   SUM(OFFSET($BO$15,0,0,$B$14,1)) + $B$18/($B$19*$B$19*($DN361&lt;&gt;$DO361) + $B$19*($DN361=$DO361))</f>
        <v>3.7037037037037035E-4</v>
      </c>
      <c r="DX361" s="10" cm="1">
        <f t="array" aca="1" ref="DX361" ca="1">(1-$B$18)*SUMPRODUCT(OFFSET($BO$15,0,0,$B$14,1), 1*(_xlfn._xlws.FILTER(OFFSET($O$15,0,$DN361,$B$8,1),OFFSET($M$15,0,0,$B$8,1))=DX$13), 1*(_xlfn._xlws.FILTER(OFFSET($O$15,0,$DO361,$B$8,1),OFFSET($M$15,0,0,$B$8,1))=DX$14))   /   SUM(OFFSET($BO$15,0,0,$B$14,1)) + $B$18/($B$19*$B$19*($DN361&lt;&gt;$DO361) + $B$19*($DN361=$DO361))</f>
        <v>3.7037037037037035E-4</v>
      </c>
      <c r="DY361" s="10" cm="1">
        <f t="array" aca="1" ref="DY361" ca="1">(1-$B$18)*SUMPRODUCT(OFFSET($BO$15,0,0,$B$14,1), 1*(_xlfn._xlws.FILTER(OFFSET($O$15,0,$DN361,$B$8,1),OFFSET($M$15,0,0,$B$8,1))=DY$13), 1*(_xlfn._xlws.FILTER(OFFSET($O$15,0,$DO361,$B$8,1),OFFSET($M$15,0,0,$B$8,1))=DY$14))   /   SUM(OFFSET($BO$15,0,0,$B$14,1)) + $B$18/($B$19*$B$19*($DN361&lt;&gt;$DO361) + $B$19*($DN361=$DO361))</f>
        <v>3.7037037037037035E-4</v>
      </c>
      <c r="DZ361" s="10" cm="1">
        <f t="array" aca="1" ref="DZ361" ca="1">(1-$B$18)*SUMPRODUCT(OFFSET($BO$15,0,0,$B$14,1), 1*(_xlfn._xlws.FILTER(OFFSET($O$15,0,$DN361,$B$8,1),OFFSET($M$15,0,0,$B$8,1))=DZ$13), 1*(_xlfn._xlws.FILTER(OFFSET($O$15,0,$DO361,$B$8,1),OFFSET($M$15,0,0,$B$8,1))=DZ$14))   /   SUM(OFFSET($BO$15,0,0,$B$14,1)) + $B$18/($B$19*$B$19*($DN361&lt;&gt;$DO361) + $B$19*($DN361=$DO361))</f>
        <v>3.7037037037037035E-4</v>
      </c>
      <c r="EA361" s="10" cm="1">
        <f t="array" aca="1" ref="EA361" ca="1">(1-$B$18)*SUMPRODUCT(OFFSET($BO$15,0,0,$B$14,1), 1*(_xlfn._xlws.FILTER(OFFSET($O$15,0,$DN361,$B$8,1),OFFSET($M$15,0,0,$B$8,1))=EA$13), 1*(_xlfn._xlws.FILTER(OFFSET($O$15,0,$DO361,$B$8,1),OFFSET($M$15,0,0,$B$8,1))=EA$14))   /   SUM(OFFSET($BO$15,0,0,$B$14,1)) + $B$18/($B$19*$B$19*($DN361&lt;&gt;$DO361) + $B$19*($DN361=$DO361))</f>
        <v>3.7037037037037035E-4</v>
      </c>
      <c r="EB361" s="10" cm="1">
        <f t="array" aca="1" ref="EB361" ca="1">(1-$B$18)*SUMPRODUCT(OFFSET($BO$15,0,0,$B$14,1), 1*(_xlfn._xlws.FILTER(OFFSET($O$15,0,$DN361,$B$8,1),OFFSET($M$15,0,0,$B$8,1))=EB$13), 1*(_xlfn._xlws.FILTER(OFFSET($O$15,0,$DO361,$B$8,1),OFFSET($M$15,0,0,$B$8,1))=EB$14))   /   SUM(OFFSET($BO$15,0,0,$B$14,1)) + $B$18/($B$19*$B$19*($DN361&lt;&gt;$DO361) + $B$19*($DN361=$DO361))</f>
        <v>3.7037037037037035E-4</v>
      </c>
      <c r="EC361" s="10" cm="1">
        <f t="array" aca="1" ref="EC361" ca="1">(1-$B$18)*SUMPRODUCT(OFFSET($BO$15,0,0,$B$14,1), 1*(_xlfn._xlws.FILTER(OFFSET($O$15,0,$DN361,$B$8,1),OFFSET($M$15,0,0,$B$8,1))=EC$13), 1*(_xlfn._xlws.FILTER(OFFSET($O$15,0,$DO361,$B$8,1),OFFSET($M$15,0,0,$B$8,1))=EC$14))   /   SUM(OFFSET($BO$15,0,0,$B$14,1)) + $B$18/($B$19*$B$19*($DN361&lt;&gt;$DO361) + $B$19*($DN361=$DO361))</f>
        <v>3.7037037037037035E-4</v>
      </c>
      <c r="ED361" s="10" cm="1">
        <f t="array" aca="1" ref="ED361" ca="1">(1-$B$18)*SUMPRODUCT(OFFSET($BO$15,0,0,$B$14,1), 1*(_xlfn._xlws.FILTER(OFFSET($O$15,0,$DN361,$B$8,1),OFFSET($M$15,0,0,$B$8,1))=ED$13), 1*(_xlfn._xlws.FILTER(OFFSET($O$15,0,$DO361,$B$8,1),OFFSET($M$15,0,0,$B$8,1))=ED$14))   /   SUM(OFFSET($BO$15,0,0,$B$14,1)) + $B$18/($B$19*$B$19*($DN361&lt;&gt;$DO361) + $B$19*($DN361=$DO361))</f>
        <v>3.7037037037037035E-4</v>
      </c>
      <c r="EE361" s="10" cm="1">
        <f t="array" aca="1" ref="EE361" ca="1">(1-$B$18)*SUMPRODUCT(OFFSET($BO$15,0,0,$B$14,1), 1*(_xlfn._xlws.FILTER(OFFSET($O$15,0,$DN361,$B$8,1),OFFSET($M$15,0,0,$B$8,1))=EE$13), 1*(_xlfn._xlws.FILTER(OFFSET($O$15,0,$DO361,$B$8,1),OFFSET($M$15,0,0,$B$8,1))=EE$14))   /   SUM(OFFSET($BO$15,0,0,$B$14,1)) + $B$18/($B$19*$B$19*($DN361&lt;&gt;$DO361) + $B$19*($DN361=$DO361))</f>
        <v>3.7037037037037035E-4</v>
      </c>
      <c r="EF361" s="10" cm="1">
        <f t="array" aca="1" ref="EF361" ca="1">(1-$B$18)*SUMPRODUCT(OFFSET($BO$15,0,0,$B$14,1), 1*(_xlfn._xlws.FILTER(OFFSET($O$15,0,$DN361,$B$8,1),OFFSET($M$15,0,0,$B$8,1))=EF$13), 1*(_xlfn._xlws.FILTER(OFFSET($O$15,0,$DO361,$B$8,1),OFFSET($M$15,0,0,$B$8,1))=EF$14))   /   SUM(OFFSET($BO$15,0,0,$B$14,1)) + $B$18/($B$19*$B$19*($DN361&lt;&gt;$DO361) + $B$19*($DN361=$DO361))</f>
        <v>3.7037037037037035E-4</v>
      </c>
      <c r="EG361" s="10" cm="1">
        <f t="array" aca="1" ref="EG361" ca="1">(1-$B$18)*SUMPRODUCT(OFFSET($BO$15,0,0,$B$14,1), 1*(_xlfn._xlws.FILTER(OFFSET($O$15,0,$DN361,$B$8,1),OFFSET($M$15,0,0,$B$8,1))=EG$13), 1*(_xlfn._xlws.FILTER(OFFSET($O$15,0,$DO361,$B$8,1),OFFSET($M$15,0,0,$B$8,1))=EG$14))   /   SUM(OFFSET($BO$15,0,0,$B$14,1)) + $B$18/($B$19*$B$19*($DN361&lt;&gt;$DO361) + $B$19*($DN361=$DO361))</f>
        <v>3.7037037037037035E-4</v>
      </c>
      <c r="EH361" s="10" cm="1">
        <f t="array" aca="1" ref="EH361" ca="1">(1-$B$18)*SUMPRODUCT(OFFSET($BO$15,0,0,$B$14,1), 1*(_xlfn._xlws.FILTER(OFFSET($O$15,0,$DN361,$B$8,1),OFFSET($M$15,0,0,$B$8,1))=EH$13), 1*(_xlfn._xlws.FILTER(OFFSET($O$15,0,$DO361,$B$8,1),OFFSET($M$15,0,0,$B$8,1))=EH$14))   /   SUM(OFFSET($BO$15,0,0,$B$14,1)) + $B$18/($B$19*$B$19*($DN361&lt;&gt;$DO361) + $B$19*($DN361=$DO361))</f>
        <v>3.7037037037037035E-4</v>
      </c>
      <c r="EI361" s="10" cm="1">
        <f t="array" aca="1" ref="EI361" ca="1">(1-$B$18)*SUMPRODUCT(OFFSET($BO$15,0,0,$B$14,1), 1*(_xlfn._xlws.FILTER(OFFSET($O$15,0,$DN361,$B$8,1),OFFSET($M$15,0,0,$B$8,1))=EI$13), 1*(_xlfn._xlws.FILTER(OFFSET($O$15,0,$DO361,$B$8,1),OFFSET($M$15,0,0,$B$8,1))=EI$14))   /   SUM(OFFSET($BO$15,0,0,$B$14,1)) + $B$18/($B$19*$B$19*($DN361&lt;&gt;$DO361) + $B$19*($DN361=$DO361))</f>
        <v>3.7037037037037035E-4</v>
      </c>
      <c r="EJ361" s="10" cm="1">
        <f t="array" aca="1" ref="EJ361" ca="1">(1-$B$18)*SUMPRODUCT(OFFSET($BO$15,0,0,$B$14,1), 1*(_xlfn._xlws.FILTER(OFFSET($O$15,0,$DN361,$B$8,1),OFFSET($M$15,0,0,$B$8,1))=EJ$13), 1*(_xlfn._xlws.FILTER(OFFSET($O$15,0,$DO361,$B$8,1),OFFSET($M$15,0,0,$B$8,1))=EJ$14))   /   SUM(OFFSET($BO$15,0,0,$B$14,1)) + $B$18/($B$19*$B$19*($DN361&lt;&gt;$DO361) + $B$19*($DN361=$DO361))</f>
        <v>3.7037037037037035E-4</v>
      </c>
      <c r="EK361" s="10" cm="1">
        <f t="array" aca="1" ref="EK361" ca="1">(1-$B$18)*SUMPRODUCT(OFFSET($BO$15,0,0,$B$14,1), 1*(_xlfn._xlws.FILTER(OFFSET($O$15,0,$DN361,$B$8,1),OFFSET($M$15,0,0,$B$8,1))=EK$13), 1*(_xlfn._xlws.FILTER(OFFSET($O$15,0,$DO361,$B$8,1),OFFSET($M$15,0,0,$B$8,1))=EK$14))   /   SUM(OFFSET($BO$15,0,0,$B$14,1)) + $B$18/($B$19*$B$19*($DN361&lt;&gt;$DO361) + $B$19*($DN361=$DO361))</f>
        <v>3.7037037037037035E-4</v>
      </c>
      <c r="EL361" s="10" cm="1">
        <f t="array" aca="1" ref="EL361" ca="1">(1-$B$18)*SUMPRODUCT(OFFSET($BO$15,0,0,$B$14,1), 1*(_xlfn._xlws.FILTER(OFFSET($O$15,0,$DN361,$B$8,1),OFFSET($M$15,0,0,$B$8,1))=EL$13), 1*(_xlfn._xlws.FILTER(OFFSET($O$15,0,$DO361,$B$8,1),OFFSET($M$15,0,0,$B$8,1))=EL$14))   /   SUM(OFFSET($BO$15,0,0,$B$14,1)) + $B$18/($B$19*$B$19*($DN361&lt;&gt;$DO361) + $B$19*($DN361=$DO361))</f>
        <v>3.7037037037037035E-4</v>
      </c>
      <c r="EM361" s="10" cm="1">
        <f t="array" aca="1" ref="EM361" ca="1">(1-$B$18)*SUMPRODUCT(OFFSET($BO$15,0,0,$B$14,1), 1*(_xlfn._xlws.FILTER(OFFSET($O$15,0,$DN361,$B$8,1),OFFSET($M$15,0,0,$B$8,1))=EM$13), 1*(_xlfn._xlws.FILTER(OFFSET($O$15,0,$DO361,$B$8,1),OFFSET($M$15,0,0,$B$8,1))=EM$14))   /   SUM(OFFSET($BO$15,0,0,$B$14,1)) + $B$18/($B$19*$B$19*($DN361&lt;&gt;$DO361) + $B$19*($DN361=$DO361))</f>
        <v>3.7037037037037035E-4</v>
      </c>
      <c r="EN361" s="10" cm="1">
        <f t="array" aca="1" ref="EN361" ca="1">(1-$B$18)*SUMPRODUCT(OFFSET($BO$15,0,0,$B$14,1), 1*(_xlfn._xlws.FILTER(OFFSET($O$15,0,$DN361,$B$8,1),OFFSET($M$15,0,0,$B$8,1))=EN$13), 1*(_xlfn._xlws.FILTER(OFFSET($O$15,0,$DO361,$B$8,1),OFFSET($M$15,0,0,$B$8,1))=EN$14))   /   SUM(OFFSET($BO$15,0,0,$B$14,1)) + $B$18/($B$19*$B$19*($DN361&lt;&gt;$DO361) + $B$19*($DN361=$DO361))</f>
        <v>3.7037037037037035E-4</v>
      </c>
      <c r="EO361" s="10" cm="1">
        <f t="array" aca="1" ref="EO361" ca="1">(1-$B$18)*SUMPRODUCT(OFFSET($BO$15,0,0,$B$14,1), 1*(_xlfn._xlws.FILTER(OFFSET($O$15,0,$DN361,$B$8,1),OFFSET($M$15,0,0,$B$8,1))=EO$13), 1*(_xlfn._xlws.FILTER(OFFSET($O$15,0,$DO361,$B$8,1),OFFSET($M$15,0,0,$B$8,1))=EO$14))   /   SUM(OFFSET($BO$15,0,0,$B$14,1)) + $B$18/($B$19*$B$19*($DN361&lt;&gt;$DO361) + $B$19*($DN361=$DO361))</f>
        <v>3.7037037037037035E-4</v>
      </c>
      <c r="EP361" s="10" cm="1">
        <f t="array" aca="1" ref="EP361" ca="1">(1-$B$18)*SUMPRODUCT(OFFSET($BO$15,0,0,$B$14,1), 1*(_xlfn._xlws.FILTER(OFFSET($O$15,0,$DN361,$B$8,1),OFFSET($M$15,0,0,$B$8,1))=EP$13), 1*(_xlfn._xlws.FILTER(OFFSET($O$15,0,$DO361,$B$8,1),OFFSET($M$15,0,0,$B$8,1))=EP$14))   /   SUM(OFFSET($BO$15,0,0,$B$14,1)) + $B$18/($B$19*$B$19*($DN361&lt;&gt;$DO361) + $B$19*($DN361=$DO361))</f>
        <v>3.7037037037037035E-4</v>
      </c>
      <c r="EQ361" s="10" cm="1">
        <f t="array" aca="1" ref="EQ361" ca="1">(1-$B$18)*SUMPRODUCT(OFFSET($BO$15,0,0,$B$14,1), 1*(_xlfn._xlws.FILTER(OFFSET($O$15,0,$DN361,$B$8,1),OFFSET($M$15,0,0,$B$8,1))=EQ$13), 1*(_xlfn._xlws.FILTER(OFFSET($O$15,0,$DO361,$B$8,1),OFFSET($M$15,0,0,$B$8,1))=EQ$14))   /   SUM(OFFSET($BO$15,0,0,$B$14,1)) + $B$18/($B$19*$B$19*($DN361&lt;&gt;$DO361) + $B$19*($DN361=$DO361))</f>
        <v>3.7037037037037035E-4</v>
      </c>
      <c r="ER361" s="10" cm="1">
        <f t="array" aca="1" ref="ER361" ca="1">(1-$B$18)*SUMPRODUCT(OFFSET($BO$15,0,0,$B$14,1), 1*(_xlfn._xlws.FILTER(OFFSET($O$15,0,$DN361,$B$8,1),OFFSET($M$15,0,0,$B$8,1))=ER$13), 1*(_xlfn._xlws.FILTER(OFFSET($O$15,0,$DO361,$B$8,1),OFFSET($M$15,0,0,$B$8,1))=ER$14))   /   SUM(OFFSET($BO$15,0,0,$B$14,1)) + $B$18/($B$19*$B$19*($DN361&lt;&gt;$DO361) + $B$19*($DN361=$DO361))</f>
        <v>3.7037037037037035E-4</v>
      </c>
      <c r="ES361" s="10" cm="1">
        <f t="array" aca="1" ref="ES361" ca="1">(1-$B$18)*SUMPRODUCT(OFFSET($BO$15,0,0,$B$14,1), 1*(_xlfn._xlws.FILTER(OFFSET($O$15,0,$DN361,$B$8,1),OFFSET($M$15,0,0,$B$8,1))=ES$13), 1*(_xlfn._xlws.FILTER(OFFSET($O$15,0,$DO361,$B$8,1),OFFSET($M$15,0,0,$B$8,1))=ES$14))   /   SUM(OFFSET($BO$15,0,0,$B$14,1)) + $B$18/($B$19*$B$19*($DN361&lt;&gt;$DO361) + $B$19*($DN361=$DO361))</f>
        <v>3.7037037037037035E-4</v>
      </c>
      <c r="ET361" s="10" cm="1">
        <f t="array" aca="1" ref="ET361" ca="1">(1-$B$18)*SUMPRODUCT(OFFSET($BO$15,0,0,$B$14,1), 1*(_xlfn._xlws.FILTER(OFFSET($O$15,0,$DN361,$B$8,1),OFFSET($M$15,0,0,$B$8,1))=ET$13), 1*(_xlfn._xlws.FILTER(OFFSET($O$15,0,$DO361,$B$8,1),OFFSET($M$15,0,0,$B$8,1))=ET$14))   /   SUM(OFFSET($BO$15,0,0,$B$14,1)) + $B$18/($B$19*$B$19*($DN361&lt;&gt;$DO361) + $B$19*($DN361=$DO361))</f>
        <v>3.7037037037037035E-4</v>
      </c>
      <c r="EU361" s="10" cm="1">
        <f t="array" aca="1" ref="EU361" ca="1">(1-$B$18)*SUMPRODUCT(OFFSET($BO$15,0,0,$B$14,1), 1*(_xlfn._xlws.FILTER(OFFSET($O$15,0,$DN361,$B$8,1),OFFSET($M$15,0,0,$B$8,1))=EU$13), 1*(_xlfn._xlws.FILTER(OFFSET($O$15,0,$DO361,$B$8,1),OFFSET($M$15,0,0,$B$8,1))=EU$14))   /   SUM(OFFSET($BO$15,0,0,$B$14,1)) + $B$18/($B$19*$B$19*($DN361&lt;&gt;$DO361) + $B$19*($DN361=$DO361))</f>
        <v>3.7037037037037035E-4</v>
      </c>
      <c r="EV361" s="10" cm="1">
        <f t="array" aca="1" ref="EV361" ca="1">(1-$B$18)*SUMPRODUCT(OFFSET($BO$15,0,0,$B$14,1), 1*(_xlfn._xlws.FILTER(OFFSET($O$15,0,$DN361,$B$8,1),OFFSET($M$15,0,0,$B$8,1))=EV$13), 1*(_xlfn._xlws.FILTER(OFFSET($O$15,0,$DO361,$B$8,1),OFFSET($M$15,0,0,$B$8,1))=EV$14))   /   SUM(OFFSET($BO$15,0,0,$B$14,1)) + $B$18/($B$19*$B$19*($DN361&lt;&gt;$DO361) + $B$19*($DN361=$DO361))</f>
        <v>3.7037037037037035E-4</v>
      </c>
      <c r="EW361" s="10" cm="1">
        <f t="array" aca="1" ref="EW361" ca="1">(1-$B$18)*SUMPRODUCT(OFFSET($BO$15,0,0,$B$14,1), 1*(_xlfn._xlws.FILTER(OFFSET($O$15,0,$DN361,$B$8,1),OFFSET($M$15,0,0,$B$8,1))=EW$13), 1*(_xlfn._xlws.FILTER(OFFSET($O$15,0,$DO361,$B$8,1),OFFSET($M$15,0,0,$B$8,1))=EW$14))   /   SUM(OFFSET($BO$15,0,0,$B$14,1)) + $B$18/($B$19*$B$19*($DN361&lt;&gt;$DO361) + $B$19*($DN361=$DO361))</f>
        <v>3.7037037037037035E-4</v>
      </c>
      <c r="EX361" s="10" cm="1">
        <f t="array" aca="1" ref="EX361" ca="1">(1-$B$18)*SUMPRODUCT(OFFSET($BO$15,0,0,$B$14,1), 1*(_xlfn._xlws.FILTER(OFFSET($O$15,0,$DN361,$B$8,1),OFFSET($M$15,0,0,$B$8,1))=EX$13), 1*(_xlfn._xlws.FILTER(OFFSET($O$15,0,$DO361,$B$8,1),OFFSET($M$15,0,0,$B$8,1))=EX$14))   /   SUM(OFFSET($BO$15,0,0,$B$14,1)) + $B$18/($B$19*$B$19*($DN361&lt;&gt;$DO361) + $B$19*($DN361=$DO361))</f>
        <v>3.7037037037037035E-4</v>
      </c>
      <c r="EY361" s="10" cm="1">
        <f t="array" aca="1" ref="EY361" ca="1">(1-$B$18)*SUMPRODUCT(OFFSET($BO$15,0,0,$B$14,1), 1*(_xlfn._xlws.FILTER(OFFSET($O$15,0,$DN361,$B$8,1),OFFSET($M$15,0,0,$B$8,1))=EY$13), 1*(_xlfn._xlws.FILTER(OFFSET($O$15,0,$DO361,$B$8,1),OFFSET($M$15,0,0,$B$8,1))=EY$14))   /   SUM(OFFSET($BO$15,0,0,$B$14,1)) + $B$18/($B$19*$B$19*($DN361&lt;&gt;$DO361) + $B$19*($DN361=$DO361))</f>
        <v>3.7037037037037035E-4</v>
      </c>
      <c r="EZ361" s="10" cm="1">
        <f t="array" aca="1" ref="EZ361" ca="1">(1-$B$18)*SUMPRODUCT(OFFSET($BO$15,0,0,$B$14,1), 1*(_xlfn._xlws.FILTER(OFFSET($O$15,0,$DN361,$B$8,1),OFFSET($M$15,0,0,$B$8,1))=EZ$13), 1*(_xlfn._xlws.FILTER(OFFSET($O$15,0,$DO361,$B$8,1),OFFSET($M$15,0,0,$B$8,1))=EZ$14))   /   SUM(OFFSET($BO$15,0,0,$B$14,1)) + $B$18/($B$19*$B$19*($DN361&lt;&gt;$DO361) + $B$19*($DN361=$DO361))</f>
        <v>3.7037037037037035E-4</v>
      </c>
      <c r="FA361" s="10" cm="1">
        <f t="array" aca="1" ref="FA361" ca="1">(1-$B$18)*SUMPRODUCT(OFFSET($BO$15,0,0,$B$14,1), 1*(_xlfn._xlws.FILTER(OFFSET($O$15,0,$DN361,$B$8,1),OFFSET($M$15,0,0,$B$8,1))=FA$13), 1*(_xlfn._xlws.FILTER(OFFSET($O$15,0,$DO361,$B$8,1),OFFSET($M$15,0,0,$B$8,1))=FA$14))   /   SUM(OFFSET($BO$15,0,0,$B$14,1)) + $B$18/($B$19*$B$19*($DN361&lt;&gt;$DO361) + $B$19*($DN361=$DO361))</f>
        <v>3.7037037037037035E-4</v>
      </c>
      <c r="FB361" s="10" cm="1">
        <f t="array" aca="1" ref="FB361" ca="1">(1-$B$18)*SUMPRODUCT(OFFSET($BO$15,0,0,$B$14,1), 1*(_xlfn._xlws.FILTER(OFFSET($O$15,0,$DN361,$B$8,1),OFFSET($M$15,0,0,$B$8,1))=FB$13), 1*(_xlfn._xlws.FILTER(OFFSET($O$15,0,$DO361,$B$8,1),OFFSET($M$15,0,0,$B$8,1))=FB$14))   /   SUM(OFFSET($BO$15,0,0,$B$14,1)) + $B$18/($B$19*$B$19*($DN361&lt;&gt;$DO361) + $B$19*($DN361=$DO361))</f>
        <v>0.24287037037037024</v>
      </c>
      <c r="FC361" s="10" cm="1">
        <f t="array" aca="1" ref="FC361" ca="1">(1-$B$18)*SUMPRODUCT(OFFSET($BO$15,0,0,$B$14,1), 1*(_xlfn._xlws.FILTER(OFFSET($O$15,0,$DN361,$B$8,1),OFFSET($M$15,0,0,$B$8,1))=FC$13), 1*(_xlfn._xlws.FILTER(OFFSET($O$15,0,$DO361,$B$8,1),OFFSET($M$15,0,0,$B$8,1))=FC$14))   /   SUM(OFFSET($BO$15,0,0,$B$14,1)) + $B$18/($B$19*$B$19*($DN361&lt;&gt;$DO361) + $B$19*($DN361=$DO361))</f>
        <v>3.7037037037037035E-4</v>
      </c>
      <c r="FD361" s="10" cm="1">
        <f t="array" aca="1" ref="FD361" ca="1">(1-$B$18)*SUMPRODUCT(OFFSET($BO$15,0,0,$B$14,1), 1*(_xlfn._xlws.FILTER(OFFSET($O$15,0,$DN361,$B$8,1),OFFSET($M$15,0,0,$B$8,1))=FD$13), 1*(_xlfn._xlws.FILTER(OFFSET($O$15,0,$DO361,$B$8,1),OFFSET($M$15,0,0,$B$8,1))=FD$14))   /   SUM(OFFSET($BO$15,0,0,$B$14,1)) + $B$18/($B$19*$B$19*($DN361&lt;&gt;$DO361) + $B$19*($DN361=$DO361))</f>
        <v>3.7037037037037035E-4</v>
      </c>
      <c r="FE361" s="10" cm="1">
        <f t="array" aca="1" ref="FE361" ca="1">(1-$B$18)*SUMPRODUCT(OFFSET($BO$15,0,0,$B$14,1), 1*(_xlfn._xlws.FILTER(OFFSET($O$15,0,$DN361,$B$8,1),OFFSET($M$15,0,0,$B$8,1))=FE$13), 1*(_xlfn._xlws.FILTER(OFFSET($O$15,0,$DO361,$B$8,1),OFFSET($M$15,0,0,$B$8,1))=FE$14))   /   SUM(OFFSET($BO$15,0,0,$B$14,1)) + $B$18/($B$19*$B$19*($DN361&lt;&gt;$DO361) + $B$19*($DN361=$DO361))</f>
        <v>3.7037037037037035E-4</v>
      </c>
      <c r="FF361" s="10" cm="1">
        <f t="array" aca="1" ref="FF361" ca="1">(1-$B$18)*SUMPRODUCT(OFFSET($BO$15,0,0,$B$14,1), 1*(_xlfn._xlws.FILTER(OFFSET($O$15,0,$DN361,$B$8,1),OFFSET($M$15,0,0,$B$8,1))=FF$13), 1*(_xlfn._xlws.FILTER(OFFSET($O$15,0,$DO361,$B$8,1),OFFSET($M$15,0,0,$B$8,1))=FF$14))   /   SUM(OFFSET($BO$15,0,0,$B$14,1)) + $B$18/($B$19*$B$19*($DN361&lt;&gt;$DO361) + $B$19*($DN361=$DO361))</f>
        <v>3.7037037037037035E-4</v>
      </c>
      <c r="FG361" s="10" cm="1">
        <f t="array" aca="1" ref="FG361" ca="1">(1-$B$18)*SUMPRODUCT(OFFSET($BO$15,0,0,$B$14,1), 1*(_xlfn._xlws.FILTER(OFFSET($O$15,0,$DN361,$B$8,1),OFFSET($M$15,0,0,$B$8,1))=FG$13), 1*(_xlfn._xlws.FILTER(OFFSET($O$15,0,$DO361,$B$8,1),OFFSET($M$15,0,0,$B$8,1))=FG$14))   /   SUM(OFFSET($BO$15,0,0,$B$14,1)) + $B$18/($B$19*$B$19*($DN361&lt;&gt;$DO361) + $B$19*($DN361=$DO361))</f>
        <v>3.7037037037037035E-4</v>
      </c>
      <c r="FH361" s="10" cm="1">
        <f t="array" aca="1" ref="FH361" ca="1">(1-$B$18)*SUMPRODUCT(OFFSET($BO$15,0,0,$B$14,1), 1*(_xlfn._xlws.FILTER(OFFSET($O$15,0,$DN361,$B$8,1),OFFSET($M$15,0,0,$B$8,1))=FH$13), 1*(_xlfn._xlws.FILTER(OFFSET($O$15,0,$DO361,$B$8,1),OFFSET($M$15,0,0,$B$8,1))=FH$14))   /   SUM(OFFSET($BO$15,0,0,$B$14,1)) + $B$18/($B$19*$B$19*($DN361&lt;&gt;$DO361) + $B$19*($DN361=$DO361))</f>
        <v>3.7037037037037035E-4</v>
      </c>
      <c r="FI361" s="10" cm="1">
        <f t="array" aca="1" ref="FI361" ca="1">(1-$B$18)*SUMPRODUCT(OFFSET($BO$15,0,0,$B$14,1), 1*(_xlfn._xlws.FILTER(OFFSET($O$15,0,$DN361,$B$8,1),OFFSET($M$15,0,0,$B$8,1))=FI$13), 1*(_xlfn._xlws.FILTER(OFFSET($O$15,0,$DO361,$B$8,1),OFFSET($M$15,0,0,$B$8,1))=FI$14))   /   SUM(OFFSET($BO$15,0,0,$B$14,1)) + $B$18/($B$19*$B$19*($DN361&lt;&gt;$DO361) + $B$19*($DN361=$DO361))</f>
        <v>3.7037037037037035E-4</v>
      </c>
      <c r="FJ361" s="10" cm="1">
        <f t="array" aca="1" ref="FJ361" ca="1">(1-$B$18)*SUMPRODUCT(OFFSET($BO$15,0,0,$B$14,1), 1*(_xlfn._xlws.FILTER(OFFSET($O$15,0,$DN361,$B$8,1),OFFSET($M$15,0,0,$B$8,1))=FJ$13), 1*(_xlfn._xlws.FILTER(OFFSET($O$15,0,$DO361,$B$8,1),OFFSET($M$15,0,0,$B$8,1))=FJ$14))   /   SUM(OFFSET($BO$15,0,0,$B$14,1)) + $B$18/($B$19*$B$19*($DN361&lt;&gt;$DO361) + $B$19*($DN361=$DO361))</f>
        <v>0.48537037037037012</v>
      </c>
      <c r="FK361" s="10" cm="1">
        <f t="array" aca="1" ref="FK361" ca="1">(1-$B$18)*SUMPRODUCT(OFFSET($BO$15,0,0,$B$14,1), 1*(_xlfn._xlws.FILTER(OFFSET($O$15,0,$DN361,$B$8,1),OFFSET($M$15,0,0,$B$8,1))=FK$13), 1*(_xlfn._xlws.FILTER(OFFSET($O$15,0,$DO361,$B$8,1),OFFSET($M$15,0,0,$B$8,1))=FK$14))   /   SUM(OFFSET($BO$15,0,0,$B$14,1)) + $B$18/($B$19*$B$19*($DN361&lt;&gt;$DO361) + $B$19*($DN361=$DO361))</f>
        <v>3.7037037037037035E-4</v>
      </c>
      <c r="FL361" s="10" cm="1">
        <f t="array" aca="1" ref="FL361" ca="1">(1-$B$18)*SUMPRODUCT(OFFSET($BO$15,0,0,$B$14,1), 1*(_xlfn._xlws.FILTER(OFFSET($O$15,0,$DN361,$B$8,1),OFFSET($M$15,0,0,$B$8,1))=FL$13), 1*(_xlfn._xlws.FILTER(OFFSET($O$15,0,$DO361,$B$8,1),OFFSET($M$15,0,0,$B$8,1))=FL$14))   /   SUM(OFFSET($BO$15,0,0,$B$14,1)) + $B$18/($B$19*$B$19*($DN361&lt;&gt;$DO361) + $B$19*($DN361=$DO361))</f>
        <v>3.7037037037037035E-4</v>
      </c>
      <c r="FM361" s="10" cm="1">
        <f t="array" aca="1" ref="FM361" ca="1">(1-$B$18)*SUMPRODUCT(OFFSET($BO$15,0,0,$B$14,1), 1*(_xlfn._xlws.FILTER(OFFSET($O$15,0,$DN361,$B$8,1),OFFSET($M$15,0,0,$B$8,1))=FM$13), 1*(_xlfn._xlws.FILTER(OFFSET($O$15,0,$DO361,$B$8,1),OFFSET($M$15,0,0,$B$8,1))=FM$14))   /   SUM(OFFSET($BO$15,0,0,$B$14,1)) + $B$18/($B$19*$B$19*($DN361&lt;&gt;$DO361) + $B$19*($DN361=$DO361))</f>
        <v>3.7037037037037035E-4</v>
      </c>
      <c r="FN361" s="10" cm="1">
        <f t="array" aca="1" ref="FN361" ca="1">(1-$B$18)*SUMPRODUCT(OFFSET($BO$15,0,0,$B$14,1), 1*(_xlfn._xlws.FILTER(OFFSET($O$15,0,$DN361,$B$8,1),OFFSET($M$15,0,0,$B$8,1))=FN$13), 1*(_xlfn._xlws.FILTER(OFFSET($O$15,0,$DO361,$B$8,1),OFFSET($M$15,0,0,$B$8,1))=FN$14))   /   SUM(OFFSET($BO$15,0,0,$B$14,1)) + $B$18/($B$19*$B$19*($DN361&lt;&gt;$DO361) + $B$19*($DN361=$DO361))</f>
        <v>3.7037037037037035E-4</v>
      </c>
      <c r="FO361" s="10" cm="1">
        <f t="array" aca="1" ref="FO361" ca="1">(1-$B$18)*SUMPRODUCT(OFFSET($BO$15,0,0,$B$14,1), 1*(_xlfn._xlws.FILTER(OFFSET($O$15,0,$DN361,$B$8,1),OFFSET($M$15,0,0,$B$8,1))=FO$13), 1*(_xlfn._xlws.FILTER(OFFSET($O$15,0,$DO361,$B$8,1),OFFSET($M$15,0,0,$B$8,1))=FO$14))   /   SUM(OFFSET($BO$15,0,0,$B$14,1)) + $B$18/($B$19*$B$19*($DN361&lt;&gt;$DO361) + $B$19*($DN361=$DO361))</f>
        <v>3.7037037037037035E-4</v>
      </c>
      <c r="FP361" s="10" cm="1">
        <f t="array" aca="1" ref="FP361" ca="1">(1-$B$18)*SUMPRODUCT(OFFSET($BO$15,0,0,$B$14,1), 1*(_xlfn._xlws.FILTER(OFFSET($O$15,0,$DN361,$B$8,1),OFFSET($M$15,0,0,$B$8,1))=FP$13), 1*(_xlfn._xlws.FILTER(OFFSET($O$15,0,$DO361,$B$8,1),OFFSET($M$15,0,0,$B$8,1))=FP$14))   /   SUM(OFFSET($BO$15,0,0,$B$14,1)) + $B$18/($B$19*$B$19*($DN361&lt;&gt;$DO361) + $B$19*($DN361=$DO361))</f>
        <v>3.7037037037037035E-4</v>
      </c>
      <c r="FQ361" s="10" cm="1">
        <f t="array" aca="1" ref="FQ361" ca="1">(1-$B$18)*SUMPRODUCT(OFFSET($BO$15,0,0,$B$14,1), 1*(_xlfn._xlws.FILTER(OFFSET($O$15,0,$DN361,$B$8,1),OFFSET($M$15,0,0,$B$8,1))=FQ$13), 1*(_xlfn._xlws.FILTER(OFFSET($O$15,0,$DO361,$B$8,1),OFFSET($M$15,0,0,$B$8,1))=FQ$14))   /   SUM(OFFSET($BO$15,0,0,$B$14,1)) + $B$18/($B$19*$B$19*($DN361&lt;&gt;$DO361) + $B$19*($DN361=$DO361))</f>
        <v>3.7037037037037035E-4</v>
      </c>
      <c r="FR361" s="10" cm="1">
        <f t="array" aca="1" ref="FR361" ca="1">(1-$B$18)*SUMPRODUCT(OFFSET($BO$15,0,0,$B$14,1), 1*(_xlfn._xlws.FILTER(OFFSET($O$15,0,$DN361,$B$8,1),OFFSET($M$15,0,0,$B$8,1))=FR$13), 1*(_xlfn._xlws.FILTER(OFFSET($O$15,0,$DO361,$B$8,1),OFFSET($M$15,0,0,$B$8,1))=FR$14))   /   SUM(OFFSET($BO$15,0,0,$B$14,1)) + $B$18/($B$19*$B$19*($DN361&lt;&gt;$DO361) + $B$19*($DN361=$DO361))</f>
        <v>0.24287037037037026</v>
      </c>
      <c r="FS361" s="10" cm="1">
        <f t="array" aca="1" ref="FS361" ca="1">(1-$B$18)*SUMPRODUCT(OFFSET($BO$15,0,0,$B$14,1), 1*(_xlfn._xlws.FILTER(OFFSET($O$15,0,$DN361,$B$8,1),OFFSET($M$15,0,0,$B$8,1))=FS$13), 1*(_xlfn._xlws.FILTER(OFFSET($O$15,0,$DO361,$B$8,1),OFFSET($M$15,0,0,$B$8,1))=FS$14))   /   SUM(OFFSET($BO$15,0,0,$B$14,1)) + $B$18/($B$19*$B$19*($DN361&lt;&gt;$DO361) + $B$19*($DN361=$DO361))</f>
        <v>3.7037037037037035E-4</v>
      </c>
      <c r="FT361" s="10" cm="1">
        <f t="array" aca="1" ref="FT361" ca="1">(1-$B$18)*SUMPRODUCT(OFFSET($BO$15,0,0,$B$14,1), 1*(_xlfn._xlws.FILTER(OFFSET($O$15,0,$DN361,$B$8,1),OFFSET($M$15,0,0,$B$8,1))=FT$13), 1*(_xlfn._xlws.FILTER(OFFSET($O$15,0,$DO361,$B$8,1),OFFSET($M$15,0,0,$B$8,1))=FT$14))   /   SUM(OFFSET($BO$15,0,0,$B$14,1)) + $B$18/($B$19*$B$19*($DN361&lt;&gt;$DO361) + $B$19*($DN361=$DO361))</f>
        <v>3.7037037037037035E-4</v>
      </c>
      <c r="FU361" s="10" cm="1">
        <f t="array" aca="1" ref="FU361" ca="1">(1-$B$18)*SUMPRODUCT(OFFSET($BO$15,0,0,$B$14,1), 1*(_xlfn._xlws.FILTER(OFFSET($O$15,0,$DN361,$B$8,1),OFFSET($M$15,0,0,$B$8,1))=FU$13), 1*(_xlfn._xlws.FILTER(OFFSET($O$15,0,$DO361,$B$8,1),OFFSET($M$15,0,0,$B$8,1))=FU$14))   /   SUM(OFFSET($BO$15,0,0,$B$14,1)) + $B$18/($B$19*$B$19*($DN361&lt;&gt;$DO361) + $B$19*($DN361=$DO361))</f>
        <v>3.7037037037037035E-4</v>
      </c>
      <c r="FV361" s="10" cm="1">
        <f t="array" aca="1" ref="FV361" ca="1">(1-$B$18)*SUMPRODUCT(OFFSET($BO$15,0,0,$B$14,1), 1*(_xlfn._xlws.FILTER(OFFSET($O$15,0,$DN361,$B$8,1),OFFSET($M$15,0,0,$B$8,1))=FV$13), 1*(_xlfn._xlws.FILTER(OFFSET($O$15,0,$DO361,$B$8,1),OFFSET($M$15,0,0,$B$8,1))=FV$14))   /   SUM(OFFSET($BO$15,0,0,$B$14,1)) + $B$18/($B$19*$B$19*($DN361&lt;&gt;$DO361) + $B$19*($DN361=$DO361))</f>
        <v>3.7037037037037035E-4</v>
      </c>
      <c r="FW361" s="10" cm="1">
        <f t="array" aca="1" ref="FW361" ca="1">(1-$B$18)*SUMPRODUCT(OFFSET($BO$15,0,0,$B$14,1), 1*(_xlfn._xlws.FILTER(OFFSET($O$15,0,$DN361,$B$8,1),OFFSET($M$15,0,0,$B$8,1))=FW$13), 1*(_xlfn._xlws.FILTER(OFFSET($O$15,0,$DO361,$B$8,1),OFFSET($M$15,0,0,$B$8,1))=FW$14))   /   SUM(OFFSET($BO$15,0,0,$B$14,1)) + $B$18/($B$19*$B$19*($DN361&lt;&gt;$DO361) + $B$19*($DN361=$DO361))</f>
        <v>3.7037037037037035E-4</v>
      </c>
      <c r="FX361" s="10" cm="1">
        <f t="array" aca="1" ref="FX361" ca="1">(1-$B$18)*SUMPRODUCT(OFFSET($BO$15,0,0,$B$14,1), 1*(_xlfn._xlws.FILTER(OFFSET($O$15,0,$DN361,$B$8,1),OFFSET($M$15,0,0,$B$8,1))=FX$13), 1*(_xlfn._xlws.FILTER(OFFSET($O$15,0,$DO361,$B$8,1),OFFSET($M$15,0,0,$B$8,1))=FX$14))   /   SUM(OFFSET($BO$15,0,0,$B$14,1)) + $B$18/($B$19*$B$19*($DN361&lt;&gt;$DO361) + $B$19*($DN361=$DO361))</f>
        <v>3.7037037037037035E-4</v>
      </c>
      <c r="FY361" s="10" cm="1">
        <f t="array" aca="1" ref="FY361" ca="1">(1-$B$18)*SUMPRODUCT(OFFSET($BO$15,0,0,$B$14,1), 1*(_xlfn._xlws.FILTER(OFFSET($O$15,0,$DN361,$B$8,1),OFFSET($M$15,0,0,$B$8,1))=FY$13), 1*(_xlfn._xlws.FILTER(OFFSET($O$15,0,$DO361,$B$8,1),OFFSET($M$15,0,0,$B$8,1))=FY$14))   /   SUM(OFFSET($BO$15,0,0,$B$14,1)) + $B$18/($B$19*$B$19*($DN361&lt;&gt;$DO361) + $B$19*($DN361=$DO361))</f>
        <v>3.7037037037037035E-4</v>
      </c>
      <c r="FZ361" s="10" cm="1">
        <f t="array" aca="1" ref="FZ361" ca="1">(1-$B$18)*SUMPRODUCT(OFFSET($BO$15,0,0,$B$14,1), 1*(_xlfn._xlws.FILTER(OFFSET($O$15,0,$DN361,$B$8,1),OFFSET($M$15,0,0,$B$8,1))=FZ$13), 1*(_xlfn._xlws.FILTER(OFFSET($O$15,0,$DO361,$B$8,1),OFFSET($M$15,0,0,$B$8,1))=FZ$14))   /   SUM(OFFSET($BO$15,0,0,$B$14,1)) + $B$18/($B$19*$B$19*($DN361&lt;&gt;$DO361) + $B$19*($DN361=$DO361))</f>
        <v>3.7037037037037035E-4</v>
      </c>
      <c r="GA361" s="10" cm="1">
        <f t="array" aca="1" ref="GA361" ca="1">(1-$B$18)*SUMPRODUCT(OFFSET($BO$15,0,0,$B$14,1), 1*(_xlfn._xlws.FILTER(OFFSET($O$15,0,$DN361,$B$8,1),OFFSET($M$15,0,0,$B$8,1))=GA$13), 1*(_xlfn._xlws.FILTER(OFFSET($O$15,0,$DO361,$B$8,1),OFFSET($M$15,0,0,$B$8,1))=GA$14))   /   SUM(OFFSET($BO$15,0,0,$B$14,1)) + $B$18/($B$19*$B$19*($DN361&lt;&gt;$DO361) + $B$19*($DN361=$DO361))</f>
        <v>3.7037037037037035E-4</v>
      </c>
    </row>
    <row r="362" spans="118:183" x14ac:dyDescent="0.2">
      <c r="DN362" cm="1">
        <f t="array" aca="1" ref="DN362" ca="1">INDEX(_xlfn.ANCHORARRAY($CP$15), 1 + INT((ROWS($DO$15:$DO362) - 1) / ROWS(_xlfn.ANCHORARRAY($CP$15))))</f>
        <v>21</v>
      </c>
      <c r="DO362" cm="1">
        <f t="array" aca="1" ref="DO362" ca="1">INDEX(_xlfn.ANCHORARRAY($CP$15),1+MOD(ROWS($DO$15:$DO362)-1,ROWS(_xlfn.ANCHORARRAY($CP$15))))</f>
        <v>5</v>
      </c>
      <c r="DP362" s="10" cm="1">
        <f t="array" aca="1" ref="DP362" ca="1">(1-$B$18)*SUMPRODUCT(OFFSET($BO$15,0,0,$B$14,1), 1*(_xlfn._xlws.FILTER(OFFSET($O$15,0,$DN362,$B$8,1),OFFSET($M$15,0,0,$B$8,1))=DP$13), 1*(_xlfn._xlws.FILTER(OFFSET($O$15,0,$DO362,$B$8,1),OFFSET($M$15,0,0,$B$8,1))=DP$14))   /   SUM(OFFSET($BO$15,0,0,$B$14,1)) + $B$18/($B$19*$B$19*($DN362&lt;&gt;$DO362) + $B$19*($DN362=$DO362))</f>
        <v>3.7037037037037035E-4</v>
      </c>
      <c r="DQ362" s="10" cm="1">
        <f t="array" aca="1" ref="DQ362" ca="1">(1-$B$18)*SUMPRODUCT(OFFSET($BO$15,0,0,$B$14,1), 1*(_xlfn._xlws.FILTER(OFFSET($O$15,0,$DN362,$B$8,1),OFFSET($M$15,0,0,$B$8,1))=DQ$13), 1*(_xlfn._xlws.FILTER(OFFSET($O$15,0,$DO362,$B$8,1),OFFSET($M$15,0,0,$B$8,1))=DQ$14))   /   SUM(OFFSET($BO$15,0,0,$B$14,1)) + $B$18/($B$19*$B$19*($DN362&lt;&gt;$DO362) + $B$19*($DN362=$DO362))</f>
        <v>3.7037037037037035E-4</v>
      </c>
      <c r="DR362" s="10" cm="1">
        <f t="array" aca="1" ref="DR362" ca="1">(1-$B$18)*SUMPRODUCT(OFFSET($BO$15,0,0,$B$14,1), 1*(_xlfn._xlws.FILTER(OFFSET($O$15,0,$DN362,$B$8,1),OFFSET($M$15,0,0,$B$8,1))=DR$13), 1*(_xlfn._xlws.FILTER(OFFSET($O$15,0,$DO362,$B$8,1),OFFSET($M$15,0,0,$B$8,1))=DR$14))   /   SUM(OFFSET($BO$15,0,0,$B$14,1)) + $B$18/($B$19*$B$19*($DN362&lt;&gt;$DO362) + $B$19*($DN362=$DO362))</f>
        <v>3.7037037037037035E-4</v>
      </c>
      <c r="DS362" s="10" cm="1">
        <f t="array" aca="1" ref="DS362" ca="1">(1-$B$18)*SUMPRODUCT(OFFSET($BO$15,0,0,$B$14,1), 1*(_xlfn._xlws.FILTER(OFFSET($O$15,0,$DN362,$B$8,1),OFFSET($M$15,0,0,$B$8,1))=DS$13), 1*(_xlfn._xlws.FILTER(OFFSET($O$15,0,$DO362,$B$8,1),OFFSET($M$15,0,0,$B$8,1))=DS$14))   /   SUM(OFFSET($BO$15,0,0,$B$14,1)) + $B$18/($B$19*$B$19*($DN362&lt;&gt;$DO362) + $B$19*($DN362=$DO362))</f>
        <v>3.7037037037037035E-4</v>
      </c>
      <c r="DT362" s="10" cm="1">
        <f t="array" aca="1" ref="DT362" ca="1">(1-$B$18)*SUMPRODUCT(OFFSET($BO$15,0,0,$B$14,1), 1*(_xlfn._xlws.FILTER(OFFSET($O$15,0,$DN362,$B$8,1),OFFSET($M$15,0,0,$B$8,1))=DT$13), 1*(_xlfn._xlws.FILTER(OFFSET($O$15,0,$DO362,$B$8,1),OFFSET($M$15,0,0,$B$8,1))=DT$14))   /   SUM(OFFSET($BO$15,0,0,$B$14,1)) + $B$18/($B$19*$B$19*($DN362&lt;&gt;$DO362) + $B$19*($DN362=$DO362))</f>
        <v>3.7037037037037035E-4</v>
      </c>
      <c r="DU362" s="10" cm="1">
        <f t="array" aca="1" ref="DU362" ca="1">(1-$B$18)*SUMPRODUCT(OFFSET($BO$15,0,0,$B$14,1), 1*(_xlfn._xlws.FILTER(OFFSET($O$15,0,$DN362,$B$8,1),OFFSET($M$15,0,0,$B$8,1))=DU$13), 1*(_xlfn._xlws.FILTER(OFFSET($O$15,0,$DO362,$B$8,1),OFFSET($M$15,0,0,$B$8,1))=DU$14))   /   SUM(OFFSET($BO$15,0,0,$B$14,1)) + $B$18/($B$19*$B$19*($DN362&lt;&gt;$DO362) + $B$19*($DN362=$DO362))</f>
        <v>3.7037037037037035E-4</v>
      </c>
      <c r="DV362" s="10" cm="1">
        <f t="array" aca="1" ref="DV362" ca="1">(1-$B$18)*SUMPRODUCT(OFFSET($BO$15,0,0,$B$14,1), 1*(_xlfn._xlws.FILTER(OFFSET($O$15,0,$DN362,$B$8,1),OFFSET($M$15,0,0,$B$8,1))=DV$13), 1*(_xlfn._xlws.FILTER(OFFSET($O$15,0,$DO362,$B$8,1),OFFSET($M$15,0,0,$B$8,1))=DV$14))   /   SUM(OFFSET($BO$15,0,0,$B$14,1)) + $B$18/($B$19*$B$19*($DN362&lt;&gt;$DO362) + $B$19*($DN362=$DO362))</f>
        <v>3.7037037037037035E-4</v>
      </c>
      <c r="DW362" s="10" cm="1">
        <f t="array" aca="1" ref="DW362" ca="1">(1-$B$18)*SUMPRODUCT(OFFSET($BO$15,0,0,$B$14,1), 1*(_xlfn._xlws.FILTER(OFFSET($O$15,0,$DN362,$B$8,1),OFFSET($M$15,0,0,$B$8,1))=DW$13), 1*(_xlfn._xlws.FILTER(OFFSET($O$15,0,$DO362,$B$8,1),OFFSET($M$15,0,0,$B$8,1))=DW$14))   /   SUM(OFFSET($BO$15,0,0,$B$14,1)) + $B$18/($B$19*$B$19*($DN362&lt;&gt;$DO362) + $B$19*($DN362=$DO362))</f>
        <v>3.7037037037037035E-4</v>
      </c>
      <c r="DX362" s="10" cm="1">
        <f t="array" aca="1" ref="DX362" ca="1">(1-$B$18)*SUMPRODUCT(OFFSET($BO$15,0,0,$B$14,1), 1*(_xlfn._xlws.FILTER(OFFSET($O$15,0,$DN362,$B$8,1),OFFSET($M$15,0,0,$B$8,1))=DX$13), 1*(_xlfn._xlws.FILTER(OFFSET($O$15,0,$DO362,$B$8,1),OFFSET($M$15,0,0,$B$8,1))=DX$14))   /   SUM(OFFSET($BO$15,0,0,$B$14,1)) + $B$18/($B$19*$B$19*($DN362&lt;&gt;$DO362) + $B$19*($DN362=$DO362))</f>
        <v>3.7037037037037035E-4</v>
      </c>
      <c r="DY362" s="10" cm="1">
        <f t="array" aca="1" ref="DY362" ca="1">(1-$B$18)*SUMPRODUCT(OFFSET($BO$15,0,0,$B$14,1), 1*(_xlfn._xlws.FILTER(OFFSET($O$15,0,$DN362,$B$8,1),OFFSET($M$15,0,0,$B$8,1))=DY$13), 1*(_xlfn._xlws.FILTER(OFFSET($O$15,0,$DO362,$B$8,1),OFFSET($M$15,0,0,$B$8,1))=DY$14))   /   SUM(OFFSET($BO$15,0,0,$B$14,1)) + $B$18/($B$19*$B$19*($DN362&lt;&gt;$DO362) + $B$19*($DN362=$DO362))</f>
        <v>3.7037037037037035E-4</v>
      </c>
      <c r="DZ362" s="10" cm="1">
        <f t="array" aca="1" ref="DZ362" ca="1">(1-$B$18)*SUMPRODUCT(OFFSET($BO$15,0,0,$B$14,1), 1*(_xlfn._xlws.FILTER(OFFSET($O$15,0,$DN362,$B$8,1),OFFSET($M$15,0,0,$B$8,1))=DZ$13), 1*(_xlfn._xlws.FILTER(OFFSET($O$15,0,$DO362,$B$8,1),OFFSET($M$15,0,0,$B$8,1))=DZ$14))   /   SUM(OFFSET($BO$15,0,0,$B$14,1)) + $B$18/($B$19*$B$19*($DN362&lt;&gt;$DO362) + $B$19*($DN362=$DO362))</f>
        <v>3.7037037037037035E-4</v>
      </c>
      <c r="EA362" s="10" cm="1">
        <f t="array" aca="1" ref="EA362" ca="1">(1-$B$18)*SUMPRODUCT(OFFSET($BO$15,0,0,$B$14,1), 1*(_xlfn._xlws.FILTER(OFFSET($O$15,0,$DN362,$B$8,1),OFFSET($M$15,0,0,$B$8,1))=EA$13), 1*(_xlfn._xlws.FILTER(OFFSET($O$15,0,$DO362,$B$8,1),OFFSET($M$15,0,0,$B$8,1))=EA$14))   /   SUM(OFFSET($BO$15,0,0,$B$14,1)) + $B$18/($B$19*$B$19*($DN362&lt;&gt;$DO362) + $B$19*($DN362=$DO362))</f>
        <v>3.7037037037037035E-4</v>
      </c>
      <c r="EB362" s="10" cm="1">
        <f t="array" aca="1" ref="EB362" ca="1">(1-$B$18)*SUMPRODUCT(OFFSET($BO$15,0,0,$B$14,1), 1*(_xlfn._xlws.FILTER(OFFSET($O$15,0,$DN362,$B$8,1),OFFSET($M$15,0,0,$B$8,1))=EB$13), 1*(_xlfn._xlws.FILTER(OFFSET($O$15,0,$DO362,$B$8,1),OFFSET($M$15,0,0,$B$8,1))=EB$14))   /   SUM(OFFSET($BO$15,0,0,$B$14,1)) + $B$18/($B$19*$B$19*($DN362&lt;&gt;$DO362) + $B$19*($DN362=$DO362))</f>
        <v>3.7037037037037035E-4</v>
      </c>
      <c r="EC362" s="10" cm="1">
        <f t="array" aca="1" ref="EC362" ca="1">(1-$B$18)*SUMPRODUCT(OFFSET($BO$15,0,0,$B$14,1), 1*(_xlfn._xlws.FILTER(OFFSET($O$15,0,$DN362,$B$8,1),OFFSET($M$15,0,0,$B$8,1))=EC$13), 1*(_xlfn._xlws.FILTER(OFFSET($O$15,0,$DO362,$B$8,1),OFFSET($M$15,0,0,$B$8,1))=EC$14))   /   SUM(OFFSET($BO$15,0,0,$B$14,1)) + $B$18/($B$19*$B$19*($DN362&lt;&gt;$DO362) + $B$19*($DN362=$DO362))</f>
        <v>3.7037037037037035E-4</v>
      </c>
      <c r="ED362" s="10" cm="1">
        <f t="array" aca="1" ref="ED362" ca="1">(1-$B$18)*SUMPRODUCT(OFFSET($BO$15,0,0,$B$14,1), 1*(_xlfn._xlws.FILTER(OFFSET($O$15,0,$DN362,$B$8,1),OFFSET($M$15,0,0,$B$8,1))=ED$13), 1*(_xlfn._xlws.FILTER(OFFSET($O$15,0,$DO362,$B$8,1),OFFSET($M$15,0,0,$B$8,1))=ED$14))   /   SUM(OFFSET($BO$15,0,0,$B$14,1)) + $B$18/($B$19*$B$19*($DN362&lt;&gt;$DO362) + $B$19*($DN362=$DO362))</f>
        <v>3.7037037037037035E-4</v>
      </c>
      <c r="EE362" s="10" cm="1">
        <f t="array" aca="1" ref="EE362" ca="1">(1-$B$18)*SUMPRODUCT(OFFSET($BO$15,0,0,$B$14,1), 1*(_xlfn._xlws.FILTER(OFFSET($O$15,0,$DN362,$B$8,1),OFFSET($M$15,0,0,$B$8,1))=EE$13), 1*(_xlfn._xlws.FILTER(OFFSET($O$15,0,$DO362,$B$8,1),OFFSET($M$15,0,0,$B$8,1))=EE$14))   /   SUM(OFFSET($BO$15,0,0,$B$14,1)) + $B$18/($B$19*$B$19*($DN362&lt;&gt;$DO362) + $B$19*($DN362=$DO362))</f>
        <v>3.7037037037037035E-4</v>
      </c>
      <c r="EF362" s="10" cm="1">
        <f t="array" aca="1" ref="EF362" ca="1">(1-$B$18)*SUMPRODUCT(OFFSET($BO$15,0,0,$B$14,1), 1*(_xlfn._xlws.FILTER(OFFSET($O$15,0,$DN362,$B$8,1),OFFSET($M$15,0,0,$B$8,1))=EF$13), 1*(_xlfn._xlws.FILTER(OFFSET($O$15,0,$DO362,$B$8,1),OFFSET($M$15,0,0,$B$8,1))=EF$14))   /   SUM(OFFSET($BO$15,0,0,$B$14,1)) + $B$18/($B$19*$B$19*($DN362&lt;&gt;$DO362) + $B$19*($DN362=$DO362))</f>
        <v>3.7037037037037035E-4</v>
      </c>
      <c r="EG362" s="10" cm="1">
        <f t="array" aca="1" ref="EG362" ca="1">(1-$B$18)*SUMPRODUCT(OFFSET($BO$15,0,0,$B$14,1), 1*(_xlfn._xlws.FILTER(OFFSET($O$15,0,$DN362,$B$8,1),OFFSET($M$15,0,0,$B$8,1))=EG$13), 1*(_xlfn._xlws.FILTER(OFFSET($O$15,0,$DO362,$B$8,1),OFFSET($M$15,0,0,$B$8,1))=EG$14))   /   SUM(OFFSET($BO$15,0,0,$B$14,1)) + $B$18/($B$19*$B$19*($DN362&lt;&gt;$DO362) + $B$19*($DN362=$DO362))</f>
        <v>3.7037037037037035E-4</v>
      </c>
      <c r="EH362" s="10" cm="1">
        <f t="array" aca="1" ref="EH362" ca="1">(1-$B$18)*SUMPRODUCT(OFFSET($BO$15,0,0,$B$14,1), 1*(_xlfn._xlws.FILTER(OFFSET($O$15,0,$DN362,$B$8,1),OFFSET($M$15,0,0,$B$8,1))=EH$13), 1*(_xlfn._xlws.FILTER(OFFSET($O$15,0,$DO362,$B$8,1),OFFSET($M$15,0,0,$B$8,1))=EH$14))   /   SUM(OFFSET($BO$15,0,0,$B$14,1)) + $B$18/($B$19*$B$19*($DN362&lt;&gt;$DO362) + $B$19*($DN362=$DO362))</f>
        <v>3.7037037037037035E-4</v>
      </c>
      <c r="EI362" s="10" cm="1">
        <f t="array" aca="1" ref="EI362" ca="1">(1-$B$18)*SUMPRODUCT(OFFSET($BO$15,0,0,$B$14,1), 1*(_xlfn._xlws.FILTER(OFFSET($O$15,0,$DN362,$B$8,1),OFFSET($M$15,0,0,$B$8,1))=EI$13), 1*(_xlfn._xlws.FILTER(OFFSET($O$15,0,$DO362,$B$8,1),OFFSET($M$15,0,0,$B$8,1))=EI$14))   /   SUM(OFFSET($BO$15,0,0,$B$14,1)) + $B$18/($B$19*$B$19*($DN362&lt;&gt;$DO362) + $B$19*($DN362=$DO362))</f>
        <v>3.7037037037037035E-4</v>
      </c>
      <c r="EJ362" s="10" cm="1">
        <f t="array" aca="1" ref="EJ362" ca="1">(1-$B$18)*SUMPRODUCT(OFFSET($BO$15,0,0,$B$14,1), 1*(_xlfn._xlws.FILTER(OFFSET($O$15,0,$DN362,$B$8,1),OFFSET($M$15,0,0,$B$8,1))=EJ$13), 1*(_xlfn._xlws.FILTER(OFFSET($O$15,0,$DO362,$B$8,1),OFFSET($M$15,0,0,$B$8,1))=EJ$14))   /   SUM(OFFSET($BO$15,0,0,$B$14,1)) + $B$18/($B$19*$B$19*($DN362&lt;&gt;$DO362) + $B$19*($DN362=$DO362))</f>
        <v>3.7037037037037035E-4</v>
      </c>
      <c r="EK362" s="10" cm="1">
        <f t="array" aca="1" ref="EK362" ca="1">(1-$B$18)*SUMPRODUCT(OFFSET($BO$15,0,0,$B$14,1), 1*(_xlfn._xlws.FILTER(OFFSET($O$15,0,$DN362,$B$8,1),OFFSET($M$15,0,0,$B$8,1))=EK$13), 1*(_xlfn._xlws.FILTER(OFFSET($O$15,0,$DO362,$B$8,1),OFFSET($M$15,0,0,$B$8,1))=EK$14))   /   SUM(OFFSET($BO$15,0,0,$B$14,1)) + $B$18/($B$19*$B$19*($DN362&lt;&gt;$DO362) + $B$19*($DN362=$DO362))</f>
        <v>3.7037037037037035E-4</v>
      </c>
      <c r="EL362" s="10" cm="1">
        <f t="array" aca="1" ref="EL362" ca="1">(1-$B$18)*SUMPRODUCT(OFFSET($BO$15,0,0,$B$14,1), 1*(_xlfn._xlws.FILTER(OFFSET($O$15,0,$DN362,$B$8,1),OFFSET($M$15,0,0,$B$8,1))=EL$13), 1*(_xlfn._xlws.FILTER(OFFSET($O$15,0,$DO362,$B$8,1),OFFSET($M$15,0,0,$B$8,1))=EL$14))   /   SUM(OFFSET($BO$15,0,0,$B$14,1)) + $B$18/($B$19*$B$19*($DN362&lt;&gt;$DO362) + $B$19*($DN362=$DO362))</f>
        <v>3.7037037037037035E-4</v>
      </c>
      <c r="EM362" s="10" cm="1">
        <f t="array" aca="1" ref="EM362" ca="1">(1-$B$18)*SUMPRODUCT(OFFSET($BO$15,0,0,$B$14,1), 1*(_xlfn._xlws.FILTER(OFFSET($O$15,0,$DN362,$B$8,1),OFFSET($M$15,0,0,$B$8,1))=EM$13), 1*(_xlfn._xlws.FILTER(OFFSET($O$15,0,$DO362,$B$8,1),OFFSET($M$15,0,0,$B$8,1))=EM$14))   /   SUM(OFFSET($BO$15,0,0,$B$14,1)) + $B$18/($B$19*$B$19*($DN362&lt;&gt;$DO362) + $B$19*($DN362=$DO362))</f>
        <v>3.7037037037037035E-4</v>
      </c>
      <c r="EN362" s="10" cm="1">
        <f t="array" aca="1" ref="EN362" ca="1">(1-$B$18)*SUMPRODUCT(OFFSET($BO$15,0,0,$B$14,1), 1*(_xlfn._xlws.FILTER(OFFSET($O$15,0,$DN362,$B$8,1),OFFSET($M$15,0,0,$B$8,1))=EN$13), 1*(_xlfn._xlws.FILTER(OFFSET($O$15,0,$DO362,$B$8,1),OFFSET($M$15,0,0,$B$8,1))=EN$14))   /   SUM(OFFSET($BO$15,0,0,$B$14,1)) + $B$18/($B$19*$B$19*($DN362&lt;&gt;$DO362) + $B$19*($DN362=$DO362))</f>
        <v>3.7037037037037035E-4</v>
      </c>
      <c r="EO362" s="10" cm="1">
        <f t="array" aca="1" ref="EO362" ca="1">(1-$B$18)*SUMPRODUCT(OFFSET($BO$15,0,0,$B$14,1), 1*(_xlfn._xlws.FILTER(OFFSET($O$15,0,$DN362,$B$8,1),OFFSET($M$15,0,0,$B$8,1))=EO$13), 1*(_xlfn._xlws.FILTER(OFFSET($O$15,0,$DO362,$B$8,1),OFFSET($M$15,0,0,$B$8,1))=EO$14))   /   SUM(OFFSET($BO$15,0,0,$B$14,1)) + $B$18/($B$19*$B$19*($DN362&lt;&gt;$DO362) + $B$19*($DN362=$DO362))</f>
        <v>3.7037037037037035E-4</v>
      </c>
      <c r="EP362" s="10" cm="1">
        <f t="array" aca="1" ref="EP362" ca="1">(1-$B$18)*SUMPRODUCT(OFFSET($BO$15,0,0,$B$14,1), 1*(_xlfn._xlws.FILTER(OFFSET($O$15,0,$DN362,$B$8,1),OFFSET($M$15,0,0,$B$8,1))=EP$13), 1*(_xlfn._xlws.FILTER(OFFSET($O$15,0,$DO362,$B$8,1),OFFSET($M$15,0,0,$B$8,1))=EP$14))   /   SUM(OFFSET($BO$15,0,0,$B$14,1)) + $B$18/($B$19*$B$19*($DN362&lt;&gt;$DO362) + $B$19*($DN362=$DO362))</f>
        <v>3.7037037037037035E-4</v>
      </c>
      <c r="EQ362" s="10" cm="1">
        <f t="array" aca="1" ref="EQ362" ca="1">(1-$B$18)*SUMPRODUCT(OFFSET($BO$15,0,0,$B$14,1), 1*(_xlfn._xlws.FILTER(OFFSET($O$15,0,$DN362,$B$8,1),OFFSET($M$15,0,0,$B$8,1))=EQ$13), 1*(_xlfn._xlws.FILTER(OFFSET($O$15,0,$DO362,$B$8,1),OFFSET($M$15,0,0,$B$8,1))=EQ$14))   /   SUM(OFFSET($BO$15,0,0,$B$14,1)) + $B$18/($B$19*$B$19*($DN362&lt;&gt;$DO362) + $B$19*($DN362=$DO362))</f>
        <v>3.7037037037037035E-4</v>
      </c>
      <c r="ER362" s="10" cm="1">
        <f t="array" aca="1" ref="ER362" ca="1">(1-$B$18)*SUMPRODUCT(OFFSET($BO$15,0,0,$B$14,1), 1*(_xlfn._xlws.FILTER(OFFSET($O$15,0,$DN362,$B$8,1),OFFSET($M$15,0,0,$B$8,1))=ER$13), 1*(_xlfn._xlws.FILTER(OFFSET($O$15,0,$DO362,$B$8,1),OFFSET($M$15,0,0,$B$8,1))=ER$14))   /   SUM(OFFSET($BO$15,0,0,$B$14,1)) + $B$18/($B$19*$B$19*($DN362&lt;&gt;$DO362) + $B$19*($DN362=$DO362))</f>
        <v>3.7037037037037035E-4</v>
      </c>
      <c r="ES362" s="10" cm="1">
        <f t="array" aca="1" ref="ES362" ca="1">(1-$B$18)*SUMPRODUCT(OFFSET($BO$15,0,0,$B$14,1), 1*(_xlfn._xlws.FILTER(OFFSET($O$15,0,$DN362,$B$8,1),OFFSET($M$15,0,0,$B$8,1))=ES$13), 1*(_xlfn._xlws.FILTER(OFFSET($O$15,0,$DO362,$B$8,1),OFFSET($M$15,0,0,$B$8,1))=ES$14))   /   SUM(OFFSET($BO$15,0,0,$B$14,1)) + $B$18/($B$19*$B$19*($DN362&lt;&gt;$DO362) + $B$19*($DN362=$DO362))</f>
        <v>3.7037037037037035E-4</v>
      </c>
      <c r="ET362" s="10" cm="1">
        <f t="array" aca="1" ref="ET362" ca="1">(1-$B$18)*SUMPRODUCT(OFFSET($BO$15,0,0,$B$14,1), 1*(_xlfn._xlws.FILTER(OFFSET($O$15,0,$DN362,$B$8,1),OFFSET($M$15,0,0,$B$8,1))=ET$13), 1*(_xlfn._xlws.FILTER(OFFSET($O$15,0,$DO362,$B$8,1),OFFSET($M$15,0,0,$B$8,1))=ET$14))   /   SUM(OFFSET($BO$15,0,0,$B$14,1)) + $B$18/($B$19*$B$19*($DN362&lt;&gt;$DO362) + $B$19*($DN362=$DO362))</f>
        <v>3.7037037037037035E-4</v>
      </c>
      <c r="EU362" s="10" cm="1">
        <f t="array" aca="1" ref="EU362" ca="1">(1-$B$18)*SUMPRODUCT(OFFSET($BO$15,0,0,$B$14,1), 1*(_xlfn._xlws.FILTER(OFFSET($O$15,0,$DN362,$B$8,1),OFFSET($M$15,0,0,$B$8,1))=EU$13), 1*(_xlfn._xlws.FILTER(OFFSET($O$15,0,$DO362,$B$8,1),OFFSET($M$15,0,0,$B$8,1))=EU$14))   /   SUM(OFFSET($BO$15,0,0,$B$14,1)) + $B$18/($B$19*$B$19*($DN362&lt;&gt;$DO362) + $B$19*($DN362=$DO362))</f>
        <v>3.7037037037037035E-4</v>
      </c>
      <c r="EV362" s="10" cm="1">
        <f t="array" aca="1" ref="EV362" ca="1">(1-$B$18)*SUMPRODUCT(OFFSET($BO$15,0,0,$B$14,1), 1*(_xlfn._xlws.FILTER(OFFSET($O$15,0,$DN362,$B$8,1),OFFSET($M$15,0,0,$B$8,1))=EV$13), 1*(_xlfn._xlws.FILTER(OFFSET($O$15,0,$DO362,$B$8,1),OFFSET($M$15,0,0,$B$8,1))=EV$14))   /   SUM(OFFSET($BO$15,0,0,$B$14,1)) + $B$18/($B$19*$B$19*($DN362&lt;&gt;$DO362) + $B$19*($DN362=$DO362))</f>
        <v>3.7037037037037035E-4</v>
      </c>
      <c r="EW362" s="10" cm="1">
        <f t="array" aca="1" ref="EW362" ca="1">(1-$B$18)*SUMPRODUCT(OFFSET($BO$15,0,0,$B$14,1), 1*(_xlfn._xlws.FILTER(OFFSET($O$15,0,$DN362,$B$8,1),OFFSET($M$15,0,0,$B$8,1))=EW$13), 1*(_xlfn._xlws.FILTER(OFFSET($O$15,0,$DO362,$B$8,1),OFFSET($M$15,0,0,$B$8,1))=EW$14))   /   SUM(OFFSET($BO$15,0,0,$B$14,1)) + $B$18/($B$19*$B$19*($DN362&lt;&gt;$DO362) + $B$19*($DN362=$DO362))</f>
        <v>3.7037037037037035E-4</v>
      </c>
      <c r="EX362" s="10" cm="1">
        <f t="array" aca="1" ref="EX362" ca="1">(1-$B$18)*SUMPRODUCT(OFFSET($BO$15,0,0,$B$14,1), 1*(_xlfn._xlws.FILTER(OFFSET($O$15,0,$DN362,$B$8,1),OFFSET($M$15,0,0,$B$8,1))=EX$13), 1*(_xlfn._xlws.FILTER(OFFSET($O$15,0,$DO362,$B$8,1),OFFSET($M$15,0,0,$B$8,1))=EX$14))   /   SUM(OFFSET($BO$15,0,0,$B$14,1)) + $B$18/($B$19*$B$19*($DN362&lt;&gt;$DO362) + $B$19*($DN362=$DO362))</f>
        <v>3.7037037037037035E-4</v>
      </c>
      <c r="EY362" s="10" cm="1">
        <f t="array" aca="1" ref="EY362" ca="1">(1-$B$18)*SUMPRODUCT(OFFSET($BO$15,0,0,$B$14,1), 1*(_xlfn._xlws.FILTER(OFFSET($O$15,0,$DN362,$B$8,1),OFFSET($M$15,0,0,$B$8,1))=EY$13), 1*(_xlfn._xlws.FILTER(OFFSET($O$15,0,$DO362,$B$8,1),OFFSET($M$15,0,0,$B$8,1))=EY$14))   /   SUM(OFFSET($BO$15,0,0,$B$14,1)) + $B$18/($B$19*$B$19*($DN362&lt;&gt;$DO362) + $B$19*($DN362=$DO362))</f>
        <v>3.7037037037037035E-4</v>
      </c>
      <c r="EZ362" s="10" cm="1">
        <f t="array" aca="1" ref="EZ362" ca="1">(1-$B$18)*SUMPRODUCT(OFFSET($BO$15,0,0,$B$14,1), 1*(_xlfn._xlws.FILTER(OFFSET($O$15,0,$DN362,$B$8,1),OFFSET($M$15,0,0,$B$8,1))=EZ$13), 1*(_xlfn._xlws.FILTER(OFFSET($O$15,0,$DO362,$B$8,1),OFFSET($M$15,0,0,$B$8,1))=EZ$14))   /   SUM(OFFSET($BO$15,0,0,$B$14,1)) + $B$18/($B$19*$B$19*($DN362&lt;&gt;$DO362) + $B$19*($DN362=$DO362))</f>
        <v>3.7037037037037035E-4</v>
      </c>
      <c r="FA362" s="10" cm="1">
        <f t="array" aca="1" ref="FA362" ca="1">(1-$B$18)*SUMPRODUCT(OFFSET($BO$15,0,0,$B$14,1), 1*(_xlfn._xlws.FILTER(OFFSET($O$15,0,$DN362,$B$8,1),OFFSET($M$15,0,0,$B$8,1))=FA$13), 1*(_xlfn._xlws.FILTER(OFFSET($O$15,0,$DO362,$B$8,1),OFFSET($M$15,0,0,$B$8,1))=FA$14))   /   SUM(OFFSET($BO$15,0,0,$B$14,1)) + $B$18/($B$19*$B$19*($DN362&lt;&gt;$DO362) + $B$19*($DN362=$DO362))</f>
        <v>3.7037037037037035E-4</v>
      </c>
      <c r="FB362" s="10" cm="1">
        <f t="array" aca="1" ref="FB362" ca="1">(1-$B$18)*SUMPRODUCT(OFFSET($BO$15,0,0,$B$14,1), 1*(_xlfn._xlws.FILTER(OFFSET($O$15,0,$DN362,$B$8,1),OFFSET($M$15,0,0,$B$8,1))=FB$13), 1*(_xlfn._xlws.FILTER(OFFSET($O$15,0,$DO362,$B$8,1),OFFSET($M$15,0,0,$B$8,1))=FB$14))   /   SUM(OFFSET($BO$15,0,0,$B$14,1)) + $B$18/($B$19*$B$19*($DN362&lt;&gt;$DO362) + $B$19*($DN362=$DO362))</f>
        <v>0.24287037037037024</v>
      </c>
      <c r="FC362" s="10" cm="1">
        <f t="array" aca="1" ref="FC362" ca="1">(1-$B$18)*SUMPRODUCT(OFFSET($BO$15,0,0,$B$14,1), 1*(_xlfn._xlws.FILTER(OFFSET($O$15,0,$DN362,$B$8,1),OFFSET($M$15,0,0,$B$8,1))=FC$13), 1*(_xlfn._xlws.FILTER(OFFSET($O$15,0,$DO362,$B$8,1),OFFSET($M$15,0,0,$B$8,1))=FC$14))   /   SUM(OFFSET($BO$15,0,0,$B$14,1)) + $B$18/($B$19*$B$19*($DN362&lt;&gt;$DO362) + $B$19*($DN362=$DO362))</f>
        <v>3.7037037037037035E-4</v>
      </c>
      <c r="FD362" s="10" cm="1">
        <f t="array" aca="1" ref="FD362" ca="1">(1-$B$18)*SUMPRODUCT(OFFSET($BO$15,0,0,$B$14,1), 1*(_xlfn._xlws.FILTER(OFFSET($O$15,0,$DN362,$B$8,1),OFFSET($M$15,0,0,$B$8,1))=FD$13), 1*(_xlfn._xlws.FILTER(OFFSET($O$15,0,$DO362,$B$8,1),OFFSET($M$15,0,0,$B$8,1))=FD$14))   /   SUM(OFFSET($BO$15,0,0,$B$14,1)) + $B$18/($B$19*$B$19*($DN362&lt;&gt;$DO362) + $B$19*($DN362=$DO362))</f>
        <v>3.7037037037037035E-4</v>
      </c>
      <c r="FE362" s="10" cm="1">
        <f t="array" aca="1" ref="FE362" ca="1">(1-$B$18)*SUMPRODUCT(OFFSET($BO$15,0,0,$B$14,1), 1*(_xlfn._xlws.FILTER(OFFSET($O$15,0,$DN362,$B$8,1),OFFSET($M$15,0,0,$B$8,1))=FE$13), 1*(_xlfn._xlws.FILTER(OFFSET($O$15,0,$DO362,$B$8,1),OFFSET($M$15,0,0,$B$8,1))=FE$14))   /   SUM(OFFSET($BO$15,0,0,$B$14,1)) + $B$18/($B$19*$B$19*($DN362&lt;&gt;$DO362) + $B$19*($DN362=$DO362))</f>
        <v>3.7037037037037035E-4</v>
      </c>
      <c r="FF362" s="10" cm="1">
        <f t="array" aca="1" ref="FF362" ca="1">(1-$B$18)*SUMPRODUCT(OFFSET($BO$15,0,0,$B$14,1), 1*(_xlfn._xlws.FILTER(OFFSET($O$15,0,$DN362,$B$8,1),OFFSET($M$15,0,0,$B$8,1))=FF$13), 1*(_xlfn._xlws.FILTER(OFFSET($O$15,0,$DO362,$B$8,1),OFFSET($M$15,0,0,$B$8,1))=FF$14))   /   SUM(OFFSET($BO$15,0,0,$B$14,1)) + $B$18/($B$19*$B$19*($DN362&lt;&gt;$DO362) + $B$19*($DN362=$DO362))</f>
        <v>3.7037037037037035E-4</v>
      </c>
      <c r="FG362" s="10" cm="1">
        <f t="array" aca="1" ref="FG362" ca="1">(1-$B$18)*SUMPRODUCT(OFFSET($BO$15,0,0,$B$14,1), 1*(_xlfn._xlws.FILTER(OFFSET($O$15,0,$DN362,$B$8,1),OFFSET($M$15,0,0,$B$8,1))=FG$13), 1*(_xlfn._xlws.FILTER(OFFSET($O$15,0,$DO362,$B$8,1),OFFSET($M$15,0,0,$B$8,1))=FG$14))   /   SUM(OFFSET($BO$15,0,0,$B$14,1)) + $B$18/($B$19*$B$19*($DN362&lt;&gt;$DO362) + $B$19*($DN362=$DO362))</f>
        <v>3.7037037037037035E-4</v>
      </c>
      <c r="FH362" s="10" cm="1">
        <f t="array" aca="1" ref="FH362" ca="1">(1-$B$18)*SUMPRODUCT(OFFSET($BO$15,0,0,$B$14,1), 1*(_xlfn._xlws.FILTER(OFFSET($O$15,0,$DN362,$B$8,1),OFFSET($M$15,0,0,$B$8,1))=FH$13), 1*(_xlfn._xlws.FILTER(OFFSET($O$15,0,$DO362,$B$8,1),OFFSET($M$15,0,0,$B$8,1))=FH$14))   /   SUM(OFFSET($BO$15,0,0,$B$14,1)) + $B$18/($B$19*$B$19*($DN362&lt;&gt;$DO362) + $B$19*($DN362=$DO362))</f>
        <v>3.7037037037037035E-4</v>
      </c>
      <c r="FI362" s="10" cm="1">
        <f t="array" aca="1" ref="FI362" ca="1">(1-$B$18)*SUMPRODUCT(OFFSET($BO$15,0,0,$B$14,1), 1*(_xlfn._xlws.FILTER(OFFSET($O$15,0,$DN362,$B$8,1),OFFSET($M$15,0,0,$B$8,1))=FI$13), 1*(_xlfn._xlws.FILTER(OFFSET($O$15,0,$DO362,$B$8,1),OFFSET($M$15,0,0,$B$8,1))=FI$14))   /   SUM(OFFSET($BO$15,0,0,$B$14,1)) + $B$18/($B$19*$B$19*($DN362&lt;&gt;$DO362) + $B$19*($DN362=$DO362))</f>
        <v>3.7037037037037035E-4</v>
      </c>
      <c r="FJ362" s="10" cm="1">
        <f t="array" aca="1" ref="FJ362" ca="1">(1-$B$18)*SUMPRODUCT(OFFSET($BO$15,0,0,$B$14,1), 1*(_xlfn._xlws.FILTER(OFFSET($O$15,0,$DN362,$B$8,1),OFFSET($M$15,0,0,$B$8,1))=FJ$13), 1*(_xlfn._xlws.FILTER(OFFSET($O$15,0,$DO362,$B$8,1),OFFSET($M$15,0,0,$B$8,1))=FJ$14))   /   SUM(OFFSET($BO$15,0,0,$B$14,1)) + $B$18/($B$19*$B$19*($DN362&lt;&gt;$DO362) + $B$19*($DN362=$DO362))</f>
        <v>0.48537037037037012</v>
      </c>
      <c r="FK362" s="10" cm="1">
        <f t="array" aca="1" ref="FK362" ca="1">(1-$B$18)*SUMPRODUCT(OFFSET($BO$15,0,0,$B$14,1), 1*(_xlfn._xlws.FILTER(OFFSET($O$15,0,$DN362,$B$8,1),OFFSET($M$15,0,0,$B$8,1))=FK$13), 1*(_xlfn._xlws.FILTER(OFFSET($O$15,0,$DO362,$B$8,1),OFFSET($M$15,0,0,$B$8,1))=FK$14))   /   SUM(OFFSET($BO$15,0,0,$B$14,1)) + $B$18/($B$19*$B$19*($DN362&lt;&gt;$DO362) + $B$19*($DN362=$DO362))</f>
        <v>3.7037037037037035E-4</v>
      </c>
      <c r="FL362" s="10" cm="1">
        <f t="array" aca="1" ref="FL362" ca="1">(1-$B$18)*SUMPRODUCT(OFFSET($BO$15,0,0,$B$14,1), 1*(_xlfn._xlws.FILTER(OFFSET($O$15,0,$DN362,$B$8,1),OFFSET($M$15,0,0,$B$8,1))=FL$13), 1*(_xlfn._xlws.FILTER(OFFSET($O$15,0,$DO362,$B$8,1),OFFSET($M$15,0,0,$B$8,1))=FL$14))   /   SUM(OFFSET($BO$15,0,0,$B$14,1)) + $B$18/($B$19*$B$19*($DN362&lt;&gt;$DO362) + $B$19*($DN362=$DO362))</f>
        <v>3.7037037037037035E-4</v>
      </c>
      <c r="FM362" s="10" cm="1">
        <f t="array" aca="1" ref="FM362" ca="1">(1-$B$18)*SUMPRODUCT(OFFSET($BO$15,0,0,$B$14,1), 1*(_xlfn._xlws.FILTER(OFFSET($O$15,0,$DN362,$B$8,1),OFFSET($M$15,0,0,$B$8,1))=FM$13), 1*(_xlfn._xlws.FILTER(OFFSET($O$15,0,$DO362,$B$8,1),OFFSET($M$15,0,0,$B$8,1))=FM$14))   /   SUM(OFFSET($BO$15,0,0,$B$14,1)) + $B$18/($B$19*$B$19*($DN362&lt;&gt;$DO362) + $B$19*($DN362=$DO362))</f>
        <v>3.7037037037037035E-4</v>
      </c>
      <c r="FN362" s="10" cm="1">
        <f t="array" aca="1" ref="FN362" ca="1">(1-$B$18)*SUMPRODUCT(OFFSET($BO$15,0,0,$B$14,1), 1*(_xlfn._xlws.FILTER(OFFSET($O$15,0,$DN362,$B$8,1),OFFSET($M$15,0,0,$B$8,1))=FN$13), 1*(_xlfn._xlws.FILTER(OFFSET($O$15,0,$DO362,$B$8,1),OFFSET($M$15,0,0,$B$8,1))=FN$14))   /   SUM(OFFSET($BO$15,0,0,$B$14,1)) + $B$18/($B$19*$B$19*($DN362&lt;&gt;$DO362) + $B$19*($DN362=$DO362))</f>
        <v>3.7037037037037035E-4</v>
      </c>
      <c r="FO362" s="10" cm="1">
        <f t="array" aca="1" ref="FO362" ca="1">(1-$B$18)*SUMPRODUCT(OFFSET($BO$15,0,0,$B$14,1), 1*(_xlfn._xlws.FILTER(OFFSET($O$15,0,$DN362,$B$8,1),OFFSET($M$15,0,0,$B$8,1))=FO$13), 1*(_xlfn._xlws.FILTER(OFFSET($O$15,0,$DO362,$B$8,1),OFFSET($M$15,0,0,$B$8,1))=FO$14))   /   SUM(OFFSET($BO$15,0,0,$B$14,1)) + $B$18/($B$19*$B$19*($DN362&lt;&gt;$DO362) + $B$19*($DN362=$DO362))</f>
        <v>3.7037037037037035E-4</v>
      </c>
      <c r="FP362" s="10" cm="1">
        <f t="array" aca="1" ref="FP362" ca="1">(1-$B$18)*SUMPRODUCT(OFFSET($BO$15,0,0,$B$14,1), 1*(_xlfn._xlws.FILTER(OFFSET($O$15,0,$DN362,$B$8,1),OFFSET($M$15,0,0,$B$8,1))=FP$13), 1*(_xlfn._xlws.FILTER(OFFSET($O$15,0,$DO362,$B$8,1),OFFSET($M$15,0,0,$B$8,1))=FP$14))   /   SUM(OFFSET($BO$15,0,0,$B$14,1)) + $B$18/($B$19*$B$19*($DN362&lt;&gt;$DO362) + $B$19*($DN362=$DO362))</f>
        <v>3.7037037037037035E-4</v>
      </c>
      <c r="FQ362" s="10" cm="1">
        <f t="array" aca="1" ref="FQ362" ca="1">(1-$B$18)*SUMPRODUCT(OFFSET($BO$15,0,0,$B$14,1), 1*(_xlfn._xlws.FILTER(OFFSET($O$15,0,$DN362,$B$8,1),OFFSET($M$15,0,0,$B$8,1))=FQ$13), 1*(_xlfn._xlws.FILTER(OFFSET($O$15,0,$DO362,$B$8,1),OFFSET($M$15,0,0,$B$8,1))=FQ$14))   /   SUM(OFFSET($BO$15,0,0,$B$14,1)) + $B$18/($B$19*$B$19*($DN362&lt;&gt;$DO362) + $B$19*($DN362=$DO362))</f>
        <v>3.7037037037037035E-4</v>
      </c>
      <c r="FR362" s="10" cm="1">
        <f t="array" aca="1" ref="FR362" ca="1">(1-$B$18)*SUMPRODUCT(OFFSET($BO$15,0,0,$B$14,1), 1*(_xlfn._xlws.FILTER(OFFSET($O$15,0,$DN362,$B$8,1),OFFSET($M$15,0,0,$B$8,1))=FR$13), 1*(_xlfn._xlws.FILTER(OFFSET($O$15,0,$DO362,$B$8,1),OFFSET($M$15,0,0,$B$8,1))=FR$14))   /   SUM(OFFSET($BO$15,0,0,$B$14,1)) + $B$18/($B$19*$B$19*($DN362&lt;&gt;$DO362) + $B$19*($DN362=$DO362))</f>
        <v>0.24287037037037026</v>
      </c>
      <c r="FS362" s="10" cm="1">
        <f t="array" aca="1" ref="FS362" ca="1">(1-$B$18)*SUMPRODUCT(OFFSET($BO$15,0,0,$B$14,1), 1*(_xlfn._xlws.FILTER(OFFSET($O$15,0,$DN362,$B$8,1),OFFSET($M$15,0,0,$B$8,1))=FS$13), 1*(_xlfn._xlws.FILTER(OFFSET($O$15,0,$DO362,$B$8,1),OFFSET($M$15,0,0,$B$8,1))=FS$14))   /   SUM(OFFSET($BO$15,0,0,$B$14,1)) + $B$18/($B$19*$B$19*($DN362&lt;&gt;$DO362) + $B$19*($DN362=$DO362))</f>
        <v>3.7037037037037035E-4</v>
      </c>
      <c r="FT362" s="10" cm="1">
        <f t="array" aca="1" ref="FT362" ca="1">(1-$B$18)*SUMPRODUCT(OFFSET($BO$15,0,0,$B$14,1), 1*(_xlfn._xlws.FILTER(OFFSET($O$15,0,$DN362,$B$8,1),OFFSET($M$15,0,0,$B$8,1))=FT$13), 1*(_xlfn._xlws.FILTER(OFFSET($O$15,0,$DO362,$B$8,1),OFFSET($M$15,0,0,$B$8,1))=FT$14))   /   SUM(OFFSET($BO$15,0,0,$B$14,1)) + $B$18/($B$19*$B$19*($DN362&lt;&gt;$DO362) + $B$19*($DN362=$DO362))</f>
        <v>3.7037037037037035E-4</v>
      </c>
      <c r="FU362" s="10" cm="1">
        <f t="array" aca="1" ref="FU362" ca="1">(1-$B$18)*SUMPRODUCT(OFFSET($BO$15,0,0,$B$14,1), 1*(_xlfn._xlws.FILTER(OFFSET($O$15,0,$DN362,$B$8,1),OFFSET($M$15,0,0,$B$8,1))=FU$13), 1*(_xlfn._xlws.FILTER(OFFSET($O$15,0,$DO362,$B$8,1),OFFSET($M$15,0,0,$B$8,1))=FU$14))   /   SUM(OFFSET($BO$15,0,0,$B$14,1)) + $B$18/($B$19*$B$19*($DN362&lt;&gt;$DO362) + $B$19*($DN362=$DO362))</f>
        <v>3.7037037037037035E-4</v>
      </c>
      <c r="FV362" s="10" cm="1">
        <f t="array" aca="1" ref="FV362" ca="1">(1-$B$18)*SUMPRODUCT(OFFSET($BO$15,0,0,$B$14,1), 1*(_xlfn._xlws.FILTER(OFFSET($O$15,0,$DN362,$B$8,1),OFFSET($M$15,0,0,$B$8,1))=FV$13), 1*(_xlfn._xlws.FILTER(OFFSET($O$15,0,$DO362,$B$8,1),OFFSET($M$15,0,0,$B$8,1))=FV$14))   /   SUM(OFFSET($BO$15,0,0,$B$14,1)) + $B$18/($B$19*$B$19*($DN362&lt;&gt;$DO362) + $B$19*($DN362=$DO362))</f>
        <v>3.7037037037037035E-4</v>
      </c>
      <c r="FW362" s="10" cm="1">
        <f t="array" aca="1" ref="FW362" ca="1">(1-$B$18)*SUMPRODUCT(OFFSET($BO$15,0,0,$B$14,1), 1*(_xlfn._xlws.FILTER(OFFSET($O$15,0,$DN362,$B$8,1),OFFSET($M$15,0,0,$B$8,1))=FW$13), 1*(_xlfn._xlws.FILTER(OFFSET($O$15,0,$DO362,$B$8,1),OFFSET($M$15,0,0,$B$8,1))=FW$14))   /   SUM(OFFSET($BO$15,0,0,$B$14,1)) + $B$18/($B$19*$B$19*($DN362&lt;&gt;$DO362) + $B$19*($DN362=$DO362))</f>
        <v>3.7037037037037035E-4</v>
      </c>
      <c r="FX362" s="10" cm="1">
        <f t="array" aca="1" ref="FX362" ca="1">(1-$B$18)*SUMPRODUCT(OFFSET($BO$15,0,0,$B$14,1), 1*(_xlfn._xlws.FILTER(OFFSET($O$15,0,$DN362,$B$8,1),OFFSET($M$15,0,0,$B$8,1))=FX$13), 1*(_xlfn._xlws.FILTER(OFFSET($O$15,0,$DO362,$B$8,1),OFFSET($M$15,0,0,$B$8,1))=FX$14))   /   SUM(OFFSET($BO$15,0,0,$B$14,1)) + $B$18/($B$19*$B$19*($DN362&lt;&gt;$DO362) + $B$19*($DN362=$DO362))</f>
        <v>3.7037037037037035E-4</v>
      </c>
      <c r="FY362" s="10" cm="1">
        <f t="array" aca="1" ref="FY362" ca="1">(1-$B$18)*SUMPRODUCT(OFFSET($BO$15,0,0,$B$14,1), 1*(_xlfn._xlws.FILTER(OFFSET($O$15,0,$DN362,$B$8,1),OFFSET($M$15,0,0,$B$8,1))=FY$13), 1*(_xlfn._xlws.FILTER(OFFSET($O$15,0,$DO362,$B$8,1),OFFSET($M$15,0,0,$B$8,1))=FY$14))   /   SUM(OFFSET($BO$15,0,0,$B$14,1)) + $B$18/($B$19*$B$19*($DN362&lt;&gt;$DO362) + $B$19*($DN362=$DO362))</f>
        <v>3.7037037037037035E-4</v>
      </c>
      <c r="FZ362" s="10" cm="1">
        <f t="array" aca="1" ref="FZ362" ca="1">(1-$B$18)*SUMPRODUCT(OFFSET($BO$15,0,0,$B$14,1), 1*(_xlfn._xlws.FILTER(OFFSET($O$15,0,$DN362,$B$8,1),OFFSET($M$15,0,0,$B$8,1))=FZ$13), 1*(_xlfn._xlws.FILTER(OFFSET($O$15,0,$DO362,$B$8,1),OFFSET($M$15,0,0,$B$8,1))=FZ$14))   /   SUM(OFFSET($BO$15,0,0,$B$14,1)) + $B$18/($B$19*$B$19*($DN362&lt;&gt;$DO362) + $B$19*($DN362=$DO362))</f>
        <v>3.7037037037037035E-4</v>
      </c>
      <c r="GA362" s="10" cm="1">
        <f t="array" aca="1" ref="GA362" ca="1">(1-$B$18)*SUMPRODUCT(OFFSET($BO$15,0,0,$B$14,1), 1*(_xlfn._xlws.FILTER(OFFSET($O$15,0,$DN362,$B$8,1),OFFSET($M$15,0,0,$B$8,1))=GA$13), 1*(_xlfn._xlws.FILTER(OFFSET($O$15,0,$DO362,$B$8,1),OFFSET($M$15,0,0,$B$8,1))=GA$14))   /   SUM(OFFSET($BO$15,0,0,$B$14,1)) + $B$18/($B$19*$B$19*($DN362&lt;&gt;$DO362) + $B$19*($DN362=$DO362))</f>
        <v>3.7037037037037035E-4</v>
      </c>
    </row>
    <row r="363" spans="118:183" x14ac:dyDescent="0.2">
      <c r="DN363" cm="1">
        <f t="array" aca="1" ref="DN363" ca="1">INDEX(_xlfn.ANCHORARRAY($CP$15), 1 + INT((ROWS($DO$15:$DO363) - 1) / ROWS(_xlfn.ANCHORARRAY($CP$15))))</f>
        <v>21</v>
      </c>
      <c r="DO363" cm="1">
        <f t="array" aca="1" ref="DO363" ca="1">INDEX(_xlfn.ANCHORARRAY($CP$15),1+MOD(ROWS($DO$15:$DO363)-1,ROWS(_xlfn.ANCHORARRAY($CP$15))))</f>
        <v>6</v>
      </c>
      <c r="DP363" s="10" cm="1">
        <f t="array" aca="1" ref="DP363" ca="1">(1-$B$18)*SUMPRODUCT(OFFSET($BO$15,0,0,$B$14,1), 1*(_xlfn._xlws.FILTER(OFFSET($O$15,0,$DN363,$B$8,1),OFFSET($M$15,0,0,$B$8,1))=DP$13), 1*(_xlfn._xlws.FILTER(OFFSET($O$15,0,$DO363,$B$8,1),OFFSET($M$15,0,0,$B$8,1))=DP$14))   /   SUM(OFFSET($BO$15,0,0,$B$14,1)) + $B$18/($B$19*$B$19*($DN363&lt;&gt;$DO363) + $B$19*($DN363=$DO363))</f>
        <v>3.7037037037037035E-4</v>
      </c>
      <c r="DQ363" s="10" cm="1">
        <f t="array" aca="1" ref="DQ363" ca="1">(1-$B$18)*SUMPRODUCT(OFFSET($BO$15,0,0,$B$14,1), 1*(_xlfn._xlws.FILTER(OFFSET($O$15,0,$DN363,$B$8,1),OFFSET($M$15,0,0,$B$8,1))=DQ$13), 1*(_xlfn._xlws.FILTER(OFFSET($O$15,0,$DO363,$B$8,1),OFFSET($M$15,0,0,$B$8,1))=DQ$14))   /   SUM(OFFSET($BO$15,0,0,$B$14,1)) + $B$18/($B$19*$B$19*($DN363&lt;&gt;$DO363) + $B$19*($DN363=$DO363))</f>
        <v>3.7037037037037035E-4</v>
      </c>
      <c r="DR363" s="10" cm="1">
        <f t="array" aca="1" ref="DR363" ca="1">(1-$B$18)*SUMPRODUCT(OFFSET($BO$15,0,0,$B$14,1), 1*(_xlfn._xlws.FILTER(OFFSET($O$15,0,$DN363,$B$8,1),OFFSET($M$15,0,0,$B$8,1))=DR$13), 1*(_xlfn._xlws.FILTER(OFFSET($O$15,0,$DO363,$B$8,1),OFFSET($M$15,0,0,$B$8,1))=DR$14))   /   SUM(OFFSET($BO$15,0,0,$B$14,1)) + $B$18/($B$19*$B$19*($DN363&lt;&gt;$DO363) + $B$19*($DN363=$DO363))</f>
        <v>3.7037037037037035E-4</v>
      </c>
      <c r="DS363" s="10" cm="1">
        <f t="array" aca="1" ref="DS363" ca="1">(1-$B$18)*SUMPRODUCT(OFFSET($BO$15,0,0,$B$14,1), 1*(_xlfn._xlws.FILTER(OFFSET($O$15,0,$DN363,$B$8,1),OFFSET($M$15,0,0,$B$8,1))=DS$13), 1*(_xlfn._xlws.FILTER(OFFSET($O$15,0,$DO363,$B$8,1),OFFSET($M$15,0,0,$B$8,1))=DS$14))   /   SUM(OFFSET($BO$15,0,0,$B$14,1)) + $B$18/($B$19*$B$19*($DN363&lt;&gt;$DO363) + $B$19*($DN363=$DO363))</f>
        <v>3.7037037037037035E-4</v>
      </c>
      <c r="DT363" s="10" cm="1">
        <f t="array" aca="1" ref="DT363" ca="1">(1-$B$18)*SUMPRODUCT(OFFSET($BO$15,0,0,$B$14,1), 1*(_xlfn._xlws.FILTER(OFFSET($O$15,0,$DN363,$B$8,1),OFFSET($M$15,0,0,$B$8,1))=DT$13), 1*(_xlfn._xlws.FILTER(OFFSET($O$15,0,$DO363,$B$8,1),OFFSET($M$15,0,0,$B$8,1))=DT$14))   /   SUM(OFFSET($BO$15,0,0,$B$14,1)) + $B$18/($B$19*$B$19*($DN363&lt;&gt;$DO363) + $B$19*($DN363=$DO363))</f>
        <v>3.7037037037037035E-4</v>
      </c>
      <c r="DU363" s="10" cm="1">
        <f t="array" aca="1" ref="DU363" ca="1">(1-$B$18)*SUMPRODUCT(OFFSET($BO$15,0,0,$B$14,1), 1*(_xlfn._xlws.FILTER(OFFSET($O$15,0,$DN363,$B$8,1),OFFSET($M$15,0,0,$B$8,1))=DU$13), 1*(_xlfn._xlws.FILTER(OFFSET($O$15,0,$DO363,$B$8,1),OFFSET($M$15,0,0,$B$8,1))=DU$14))   /   SUM(OFFSET($BO$15,0,0,$B$14,1)) + $B$18/($B$19*$B$19*($DN363&lt;&gt;$DO363) + $B$19*($DN363=$DO363))</f>
        <v>3.7037037037037035E-4</v>
      </c>
      <c r="DV363" s="10" cm="1">
        <f t="array" aca="1" ref="DV363" ca="1">(1-$B$18)*SUMPRODUCT(OFFSET($BO$15,0,0,$B$14,1), 1*(_xlfn._xlws.FILTER(OFFSET($O$15,0,$DN363,$B$8,1),OFFSET($M$15,0,0,$B$8,1))=DV$13), 1*(_xlfn._xlws.FILTER(OFFSET($O$15,0,$DO363,$B$8,1),OFFSET($M$15,0,0,$B$8,1))=DV$14))   /   SUM(OFFSET($BO$15,0,0,$B$14,1)) + $B$18/($B$19*$B$19*($DN363&lt;&gt;$DO363) + $B$19*($DN363=$DO363))</f>
        <v>3.7037037037037035E-4</v>
      </c>
      <c r="DW363" s="10" cm="1">
        <f t="array" aca="1" ref="DW363" ca="1">(1-$B$18)*SUMPRODUCT(OFFSET($BO$15,0,0,$B$14,1), 1*(_xlfn._xlws.FILTER(OFFSET($O$15,0,$DN363,$B$8,1),OFFSET($M$15,0,0,$B$8,1))=DW$13), 1*(_xlfn._xlws.FILTER(OFFSET($O$15,0,$DO363,$B$8,1),OFFSET($M$15,0,0,$B$8,1))=DW$14))   /   SUM(OFFSET($BO$15,0,0,$B$14,1)) + $B$18/($B$19*$B$19*($DN363&lt;&gt;$DO363) + $B$19*($DN363=$DO363))</f>
        <v>3.7037037037037035E-4</v>
      </c>
      <c r="DX363" s="10" cm="1">
        <f t="array" aca="1" ref="DX363" ca="1">(1-$B$18)*SUMPRODUCT(OFFSET($BO$15,0,0,$B$14,1), 1*(_xlfn._xlws.FILTER(OFFSET($O$15,0,$DN363,$B$8,1),OFFSET($M$15,0,0,$B$8,1))=DX$13), 1*(_xlfn._xlws.FILTER(OFFSET($O$15,0,$DO363,$B$8,1),OFFSET($M$15,0,0,$B$8,1))=DX$14))   /   SUM(OFFSET($BO$15,0,0,$B$14,1)) + $B$18/($B$19*$B$19*($DN363&lt;&gt;$DO363) + $B$19*($DN363=$DO363))</f>
        <v>3.7037037037037035E-4</v>
      </c>
      <c r="DY363" s="10" cm="1">
        <f t="array" aca="1" ref="DY363" ca="1">(1-$B$18)*SUMPRODUCT(OFFSET($BO$15,0,0,$B$14,1), 1*(_xlfn._xlws.FILTER(OFFSET($O$15,0,$DN363,$B$8,1),OFFSET($M$15,0,0,$B$8,1))=DY$13), 1*(_xlfn._xlws.FILTER(OFFSET($O$15,0,$DO363,$B$8,1),OFFSET($M$15,0,0,$B$8,1))=DY$14))   /   SUM(OFFSET($BO$15,0,0,$B$14,1)) + $B$18/($B$19*$B$19*($DN363&lt;&gt;$DO363) + $B$19*($DN363=$DO363))</f>
        <v>3.7037037037037035E-4</v>
      </c>
      <c r="DZ363" s="10" cm="1">
        <f t="array" aca="1" ref="DZ363" ca="1">(1-$B$18)*SUMPRODUCT(OFFSET($BO$15,0,0,$B$14,1), 1*(_xlfn._xlws.FILTER(OFFSET($O$15,0,$DN363,$B$8,1),OFFSET($M$15,0,0,$B$8,1))=DZ$13), 1*(_xlfn._xlws.FILTER(OFFSET($O$15,0,$DO363,$B$8,1),OFFSET($M$15,0,0,$B$8,1))=DZ$14))   /   SUM(OFFSET($BO$15,0,0,$B$14,1)) + $B$18/($B$19*$B$19*($DN363&lt;&gt;$DO363) + $B$19*($DN363=$DO363))</f>
        <v>3.7037037037037035E-4</v>
      </c>
      <c r="EA363" s="10" cm="1">
        <f t="array" aca="1" ref="EA363" ca="1">(1-$B$18)*SUMPRODUCT(OFFSET($BO$15,0,0,$B$14,1), 1*(_xlfn._xlws.FILTER(OFFSET($O$15,0,$DN363,$B$8,1),OFFSET($M$15,0,0,$B$8,1))=EA$13), 1*(_xlfn._xlws.FILTER(OFFSET($O$15,0,$DO363,$B$8,1),OFFSET($M$15,0,0,$B$8,1))=EA$14))   /   SUM(OFFSET($BO$15,0,0,$B$14,1)) + $B$18/($B$19*$B$19*($DN363&lt;&gt;$DO363) + $B$19*($DN363=$DO363))</f>
        <v>3.7037037037037035E-4</v>
      </c>
      <c r="EB363" s="10" cm="1">
        <f t="array" aca="1" ref="EB363" ca="1">(1-$B$18)*SUMPRODUCT(OFFSET($BO$15,0,0,$B$14,1), 1*(_xlfn._xlws.FILTER(OFFSET($O$15,0,$DN363,$B$8,1),OFFSET($M$15,0,0,$B$8,1))=EB$13), 1*(_xlfn._xlws.FILTER(OFFSET($O$15,0,$DO363,$B$8,1),OFFSET($M$15,0,0,$B$8,1))=EB$14))   /   SUM(OFFSET($BO$15,0,0,$B$14,1)) + $B$18/($B$19*$B$19*($DN363&lt;&gt;$DO363) + $B$19*($DN363=$DO363))</f>
        <v>3.7037037037037035E-4</v>
      </c>
      <c r="EC363" s="10" cm="1">
        <f t="array" aca="1" ref="EC363" ca="1">(1-$B$18)*SUMPRODUCT(OFFSET($BO$15,0,0,$B$14,1), 1*(_xlfn._xlws.FILTER(OFFSET($O$15,0,$DN363,$B$8,1),OFFSET($M$15,0,0,$B$8,1))=EC$13), 1*(_xlfn._xlws.FILTER(OFFSET($O$15,0,$DO363,$B$8,1),OFFSET($M$15,0,0,$B$8,1))=EC$14))   /   SUM(OFFSET($BO$15,0,0,$B$14,1)) + $B$18/($B$19*$B$19*($DN363&lt;&gt;$DO363) + $B$19*($DN363=$DO363))</f>
        <v>3.7037037037037035E-4</v>
      </c>
      <c r="ED363" s="10" cm="1">
        <f t="array" aca="1" ref="ED363" ca="1">(1-$B$18)*SUMPRODUCT(OFFSET($BO$15,0,0,$B$14,1), 1*(_xlfn._xlws.FILTER(OFFSET($O$15,0,$DN363,$B$8,1),OFFSET($M$15,0,0,$B$8,1))=ED$13), 1*(_xlfn._xlws.FILTER(OFFSET($O$15,0,$DO363,$B$8,1),OFFSET($M$15,0,0,$B$8,1))=ED$14))   /   SUM(OFFSET($BO$15,0,0,$B$14,1)) + $B$18/($B$19*$B$19*($DN363&lt;&gt;$DO363) + $B$19*($DN363=$DO363))</f>
        <v>3.7037037037037035E-4</v>
      </c>
      <c r="EE363" s="10" cm="1">
        <f t="array" aca="1" ref="EE363" ca="1">(1-$B$18)*SUMPRODUCT(OFFSET($BO$15,0,0,$B$14,1), 1*(_xlfn._xlws.FILTER(OFFSET($O$15,0,$DN363,$B$8,1),OFFSET($M$15,0,0,$B$8,1))=EE$13), 1*(_xlfn._xlws.FILTER(OFFSET($O$15,0,$DO363,$B$8,1),OFFSET($M$15,0,0,$B$8,1))=EE$14))   /   SUM(OFFSET($BO$15,0,0,$B$14,1)) + $B$18/($B$19*$B$19*($DN363&lt;&gt;$DO363) + $B$19*($DN363=$DO363))</f>
        <v>3.7037037037037035E-4</v>
      </c>
      <c r="EF363" s="10" cm="1">
        <f t="array" aca="1" ref="EF363" ca="1">(1-$B$18)*SUMPRODUCT(OFFSET($BO$15,0,0,$B$14,1), 1*(_xlfn._xlws.FILTER(OFFSET($O$15,0,$DN363,$B$8,1),OFFSET($M$15,0,0,$B$8,1))=EF$13), 1*(_xlfn._xlws.FILTER(OFFSET($O$15,0,$DO363,$B$8,1),OFFSET($M$15,0,0,$B$8,1))=EF$14))   /   SUM(OFFSET($BO$15,0,0,$B$14,1)) + $B$18/($B$19*$B$19*($DN363&lt;&gt;$DO363) + $B$19*($DN363=$DO363))</f>
        <v>3.7037037037037035E-4</v>
      </c>
      <c r="EG363" s="10" cm="1">
        <f t="array" aca="1" ref="EG363" ca="1">(1-$B$18)*SUMPRODUCT(OFFSET($BO$15,0,0,$B$14,1), 1*(_xlfn._xlws.FILTER(OFFSET($O$15,0,$DN363,$B$8,1),OFFSET($M$15,0,0,$B$8,1))=EG$13), 1*(_xlfn._xlws.FILTER(OFFSET($O$15,0,$DO363,$B$8,1),OFFSET($M$15,0,0,$B$8,1))=EG$14))   /   SUM(OFFSET($BO$15,0,0,$B$14,1)) + $B$18/($B$19*$B$19*($DN363&lt;&gt;$DO363) + $B$19*($DN363=$DO363))</f>
        <v>3.7037037037037035E-4</v>
      </c>
      <c r="EH363" s="10" cm="1">
        <f t="array" aca="1" ref="EH363" ca="1">(1-$B$18)*SUMPRODUCT(OFFSET($BO$15,0,0,$B$14,1), 1*(_xlfn._xlws.FILTER(OFFSET($O$15,0,$DN363,$B$8,1),OFFSET($M$15,0,0,$B$8,1))=EH$13), 1*(_xlfn._xlws.FILTER(OFFSET($O$15,0,$DO363,$B$8,1),OFFSET($M$15,0,0,$B$8,1))=EH$14))   /   SUM(OFFSET($BO$15,0,0,$B$14,1)) + $B$18/($B$19*$B$19*($DN363&lt;&gt;$DO363) + $B$19*($DN363=$DO363))</f>
        <v>3.7037037037037035E-4</v>
      </c>
      <c r="EI363" s="10" cm="1">
        <f t="array" aca="1" ref="EI363" ca="1">(1-$B$18)*SUMPRODUCT(OFFSET($BO$15,0,0,$B$14,1), 1*(_xlfn._xlws.FILTER(OFFSET($O$15,0,$DN363,$B$8,1),OFFSET($M$15,0,0,$B$8,1))=EI$13), 1*(_xlfn._xlws.FILTER(OFFSET($O$15,0,$DO363,$B$8,1),OFFSET($M$15,0,0,$B$8,1))=EI$14))   /   SUM(OFFSET($BO$15,0,0,$B$14,1)) + $B$18/($B$19*$B$19*($DN363&lt;&gt;$DO363) + $B$19*($DN363=$DO363))</f>
        <v>3.7037037037037035E-4</v>
      </c>
      <c r="EJ363" s="10" cm="1">
        <f t="array" aca="1" ref="EJ363" ca="1">(1-$B$18)*SUMPRODUCT(OFFSET($BO$15,0,0,$B$14,1), 1*(_xlfn._xlws.FILTER(OFFSET($O$15,0,$DN363,$B$8,1),OFFSET($M$15,0,0,$B$8,1))=EJ$13), 1*(_xlfn._xlws.FILTER(OFFSET($O$15,0,$DO363,$B$8,1),OFFSET($M$15,0,0,$B$8,1))=EJ$14))   /   SUM(OFFSET($BO$15,0,0,$B$14,1)) + $B$18/($B$19*$B$19*($DN363&lt;&gt;$DO363) + $B$19*($DN363=$DO363))</f>
        <v>3.7037037037037035E-4</v>
      </c>
      <c r="EK363" s="10" cm="1">
        <f t="array" aca="1" ref="EK363" ca="1">(1-$B$18)*SUMPRODUCT(OFFSET($BO$15,0,0,$B$14,1), 1*(_xlfn._xlws.FILTER(OFFSET($O$15,0,$DN363,$B$8,1),OFFSET($M$15,0,0,$B$8,1))=EK$13), 1*(_xlfn._xlws.FILTER(OFFSET($O$15,0,$DO363,$B$8,1),OFFSET($M$15,0,0,$B$8,1))=EK$14))   /   SUM(OFFSET($BO$15,0,0,$B$14,1)) + $B$18/($B$19*$B$19*($DN363&lt;&gt;$DO363) + $B$19*($DN363=$DO363))</f>
        <v>3.7037037037037035E-4</v>
      </c>
      <c r="EL363" s="10" cm="1">
        <f t="array" aca="1" ref="EL363" ca="1">(1-$B$18)*SUMPRODUCT(OFFSET($BO$15,0,0,$B$14,1), 1*(_xlfn._xlws.FILTER(OFFSET($O$15,0,$DN363,$B$8,1),OFFSET($M$15,0,0,$B$8,1))=EL$13), 1*(_xlfn._xlws.FILTER(OFFSET($O$15,0,$DO363,$B$8,1),OFFSET($M$15,0,0,$B$8,1))=EL$14))   /   SUM(OFFSET($BO$15,0,0,$B$14,1)) + $B$18/($B$19*$B$19*($DN363&lt;&gt;$DO363) + $B$19*($DN363=$DO363))</f>
        <v>3.7037037037037035E-4</v>
      </c>
      <c r="EM363" s="10" cm="1">
        <f t="array" aca="1" ref="EM363" ca="1">(1-$B$18)*SUMPRODUCT(OFFSET($BO$15,0,0,$B$14,1), 1*(_xlfn._xlws.FILTER(OFFSET($O$15,0,$DN363,$B$8,1),OFFSET($M$15,0,0,$B$8,1))=EM$13), 1*(_xlfn._xlws.FILTER(OFFSET($O$15,0,$DO363,$B$8,1),OFFSET($M$15,0,0,$B$8,1))=EM$14))   /   SUM(OFFSET($BO$15,0,0,$B$14,1)) + $B$18/($B$19*$B$19*($DN363&lt;&gt;$DO363) + $B$19*($DN363=$DO363))</f>
        <v>3.7037037037037035E-4</v>
      </c>
      <c r="EN363" s="10" cm="1">
        <f t="array" aca="1" ref="EN363" ca="1">(1-$B$18)*SUMPRODUCT(OFFSET($BO$15,0,0,$B$14,1), 1*(_xlfn._xlws.FILTER(OFFSET($O$15,0,$DN363,$B$8,1),OFFSET($M$15,0,0,$B$8,1))=EN$13), 1*(_xlfn._xlws.FILTER(OFFSET($O$15,0,$DO363,$B$8,1),OFFSET($M$15,0,0,$B$8,1))=EN$14))   /   SUM(OFFSET($BO$15,0,0,$B$14,1)) + $B$18/($B$19*$B$19*($DN363&lt;&gt;$DO363) + $B$19*($DN363=$DO363))</f>
        <v>3.7037037037037035E-4</v>
      </c>
      <c r="EO363" s="10" cm="1">
        <f t="array" aca="1" ref="EO363" ca="1">(1-$B$18)*SUMPRODUCT(OFFSET($BO$15,0,0,$B$14,1), 1*(_xlfn._xlws.FILTER(OFFSET($O$15,0,$DN363,$B$8,1),OFFSET($M$15,0,0,$B$8,1))=EO$13), 1*(_xlfn._xlws.FILTER(OFFSET($O$15,0,$DO363,$B$8,1),OFFSET($M$15,0,0,$B$8,1))=EO$14))   /   SUM(OFFSET($BO$15,0,0,$B$14,1)) + $B$18/($B$19*$B$19*($DN363&lt;&gt;$DO363) + $B$19*($DN363=$DO363))</f>
        <v>3.7037037037037035E-4</v>
      </c>
      <c r="EP363" s="10" cm="1">
        <f t="array" aca="1" ref="EP363" ca="1">(1-$B$18)*SUMPRODUCT(OFFSET($BO$15,0,0,$B$14,1), 1*(_xlfn._xlws.FILTER(OFFSET($O$15,0,$DN363,$B$8,1),OFFSET($M$15,0,0,$B$8,1))=EP$13), 1*(_xlfn._xlws.FILTER(OFFSET($O$15,0,$DO363,$B$8,1),OFFSET($M$15,0,0,$B$8,1))=EP$14))   /   SUM(OFFSET($BO$15,0,0,$B$14,1)) + $B$18/($B$19*$B$19*($DN363&lt;&gt;$DO363) + $B$19*($DN363=$DO363))</f>
        <v>3.7037037037037035E-4</v>
      </c>
      <c r="EQ363" s="10" cm="1">
        <f t="array" aca="1" ref="EQ363" ca="1">(1-$B$18)*SUMPRODUCT(OFFSET($BO$15,0,0,$B$14,1), 1*(_xlfn._xlws.FILTER(OFFSET($O$15,0,$DN363,$B$8,1),OFFSET($M$15,0,0,$B$8,1))=EQ$13), 1*(_xlfn._xlws.FILTER(OFFSET($O$15,0,$DO363,$B$8,1),OFFSET($M$15,0,0,$B$8,1))=EQ$14))   /   SUM(OFFSET($BO$15,0,0,$B$14,1)) + $B$18/($B$19*$B$19*($DN363&lt;&gt;$DO363) + $B$19*($DN363=$DO363))</f>
        <v>3.7037037037037035E-4</v>
      </c>
      <c r="ER363" s="10" cm="1">
        <f t="array" aca="1" ref="ER363" ca="1">(1-$B$18)*SUMPRODUCT(OFFSET($BO$15,0,0,$B$14,1), 1*(_xlfn._xlws.FILTER(OFFSET($O$15,0,$DN363,$B$8,1),OFFSET($M$15,0,0,$B$8,1))=ER$13), 1*(_xlfn._xlws.FILTER(OFFSET($O$15,0,$DO363,$B$8,1),OFFSET($M$15,0,0,$B$8,1))=ER$14))   /   SUM(OFFSET($BO$15,0,0,$B$14,1)) + $B$18/($B$19*$B$19*($DN363&lt;&gt;$DO363) + $B$19*($DN363=$DO363))</f>
        <v>3.7037037037037035E-4</v>
      </c>
      <c r="ES363" s="10" cm="1">
        <f t="array" aca="1" ref="ES363" ca="1">(1-$B$18)*SUMPRODUCT(OFFSET($BO$15,0,0,$B$14,1), 1*(_xlfn._xlws.FILTER(OFFSET($O$15,0,$DN363,$B$8,1),OFFSET($M$15,0,0,$B$8,1))=ES$13), 1*(_xlfn._xlws.FILTER(OFFSET($O$15,0,$DO363,$B$8,1),OFFSET($M$15,0,0,$B$8,1))=ES$14))   /   SUM(OFFSET($BO$15,0,0,$B$14,1)) + $B$18/($B$19*$B$19*($DN363&lt;&gt;$DO363) + $B$19*($DN363=$DO363))</f>
        <v>3.7037037037037035E-4</v>
      </c>
      <c r="ET363" s="10" cm="1">
        <f t="array" aca="1" ref="ET363" ca="1">(1-$B$18)*SUMPRODUCT(OFFSET($BO$15,0,0,$B$14,1), 1*(_xlfn._xlws.FILTER(OFFSET($O$15,0,$DN363,$B$8,1),OFFSET($M$15,0,0,$B$8,1))=ET$13), 1*(_xlfn._xlws.FILTER(OFFSET($O$15,0,$DO363,$B$8,1),OFFSET($M$15,0,0,$B$8,1))=ET$14))   /   SUM(OFFSET($BO$15,0,0,$B$14,1)) + $B$18/($B$19*$B$19*($DN363&lt;&gt;$DO363) + $B$19*($DN363=$DO363))</f>
        <v>3.7037037037037035E-4</v>
      </c>
      <c r="EU363" s="10" cm="1">
        <f t="array" aca="1" ref="EU363" ca="1">(1-$B$18)*SUMPRODUCT(OFFSET($BO$15,0,0,$B$14,1), 1*(_xlfn._xlws.FILTER(OFFSET($O$15,0,$DN363,$B$8,1),OFFSET($M$15,0,0,$B$8,1))=EU$13), 1*(_xlfn._xlws.FILTER(OFFSET($O$15,0,$DO363,$B$8,1),OFFSET($M$15,0,0,$B$8,1))=EU$14))   /   SUM(OFFSET($BO$15,0,0,$B$14,1)) + $B$18/($B$19*$B$19*($DN363&lt;&gt;$DO363) + $B$19*($DN363=$DO363))</f>
        <v>3.7037037037037035E-4</v>
      </c>
      <c r="EV363" s="10" cm="1">
        <f t="array" aca="1" ref="EV363" ca="1">(1-$B$18)*SUMPRODUCT(OFFSET($BO$15,0,0,$B$14,1), 1*(_xlfn._xlws.FILTER(OFFSET($O$15,0,$DN363,$B$8,1),OFFSET($M$15,0,0,$B$8,1))=EV$13), 1*(_xlfn._xlws.FILTER(OFFSET($O$15,0,$DO363,$B$8,1),OFFSET($M$15,0,0,$B$8,1))=EV$14))   /   SUM(OFFSET($BO$15,0,0,$B$14,1)) + $B$18/($B$19*$B$19*($DN363&lt;&gt;$DO363) + $B$19*($DN363=$DO363))</f>
        <v>3.7037037037037035E-4</v>
      </c>
      <c r="EW363" s="10" cm="1">
        <f t="array" aca="1" ref="EW363" ca="1">(1-$B$18)*SUMPRODUCT(OFFSET($BO$15,0,0,$B$14,1), 1*(_xlfn._xlws.FILTER(OFFSET($O$15,0,$DN363,$B$8,1),OFFSET($M$15,0,0,$B$8,1))=EW$13), 1*(_xlfn._xlws.FILTER(OFFSET($O$15,0,$DO363,$B$8,1),OFFSET($M$15,0,0,$B$8,1))=EW$14))   /   SUM(OFFSET($BO$15,0,0,$B$14,1)) + $B$18/($B$19*$B$19*($DN363&lt;&gt;$DO363) + $B$19*($DN363=$DO363))</f>
        <v>3.7037037037037035E-4</v>
      </c>
      <c r="EX363" s="10" cm="1">
        <f t="array" aca="1" ref="EX363" ca="1">(1-$B$18)*SUMPRODUCT(OFFSET($BO$15,0,0,$B$14,1), 1*(_xlfn._xlws.FILTER(OFFSET($O$15,0,$DN363,$B$8,1),OFFSET($M$15,0,0,$B$8,1))=EX$13), 1*(_xlfn._xlws.FILTER(OFFSET($O$15,0,$DO363,$B$8,1),OFFSET($M$15,0,0,$B$8,1))=EX$14))   /   SUM(OFFSET($BO$15,0,0,$B$14,1)) + $B$18/($B$19*$B$19*($DN363&lt;&gt;$DO363) + $B$19*($DN363=$DO363))</f>
        <v>3.7037037037037035E-4</v>
      </c>
      <c r="EY363" s="10" cm="1">
        <f t="array" aca="1" ref="EY363" ca="1">(1-$B$18)*SUMPRODUCT(OFFSET($BO$15,0,0,$B$14,1), 1*(_xlfn._xlws.FILTER(OFFSET($O$15,0,$DN363,$B$8,1),OFFSET($M$15,0,0,$B$8,1))=EY$13), 1*(_xlfn._xlws.FILTER(OFFSET($O$15,0,$DO363,$B$8,1),OFFSET($M$15,0,0,$B$8,1))=EY$14))   /   SUM(OFFSET($BO$15,0,0,$B$14,1)) + $B$18/($B$19*$B$19*($DN363&lt;&gt;$DO363) + $B$19*($DN363=$DO363))</f>
        <v>3.7037037037037035E-4</v>
      </c>
      <c r="EZ363" s="10" cm="1">
        <f t="array" aca="1" ref="EZ363" ca="1">(1-$B$18)*SUMPRODUCT(OFFSET($BO$15,0,0,$B$14,1), 1*(_xlfn._xlws.FILTER(OFFSET($O$15,0,$DN363,$B$8,1),OFFSET($M$15,0,0,$B$8,1))=EZ$13), 1*(_xlfn._xlws.FILTER(OFFSET($O$15,0,$DO363,$B$8,1),OFFSET($M$15,0,0,$B$8,1))=EZ$14))   /   SUM(OFFSET($BO$15,0,0,$B$14,1)) + $B$18/($B$19*$B$19*($DN363&lt;&gt;$DO363) + $B$19*($DN363=$DO363))</f>
        <v>3.7037037037037035E-4</v>
      </c>
      <c r="FA363" s="10" cm="1">
        <f t="array" aca="1" ref="FA363" ca="1">(1-$B$18)*SUMPRODUCT(OFFSET($BO$15,0,0,$B$14,1), 1*(_xlfn._xlws.FILTER(OFFSET($O$15,0,$DN363,$B$8,1),OFFSET($M$15,0,0,$B$8,1))=FA$13), 1*(_xlfn._xlws.FILTER(OFFSET($O$15,0,$DO363,$B$8,1),OFFSET($M$15,0,0,$B$8,1))=FA$14))   /   SUM(OFFSET($BO$15,0,0,$B$14,1)) + $B$18/($B$19*$B$19*($DN363&lt;&gt;$DO363) + $B$19*($DN363=$DO363))</f>
        <v>3.7037037037037035E-4</v>
      </c>
      <c r="FB363" s="10" cm="1">
        <f t="array" aca="1" ref="FB363" ca="1">(1-$B$18)*SUMPRODUCT(OFFSET($BO$15,0,0,$B$14,1), 1*(_xlfn._xlws.FILTER(OFFSET($O$15,0,$DN363,$B$8,1),OFFSET($M$15,0,0,$B$8,1))=FB$13), 1*(_xlfn._xlws.FILTER(OFFSET($O$15,0,$DO363,$B$8,1),OFFSET($M$15,0,0,$B$8,1))=FB$14))   /   SUM(OFFSET($BO$15,0,0,$B$14,1)) + $B$18/($B$19*$B$19*($DN363&lt;&gt;$DO363) + $B$19*($DN363=$DO363))</f>
        <v>0.24287037037037024</v>
      </c>
      <c r="FC363" s="10" cm="1">
        <f t="array" aca="1" ref="FC363" ca="1">(1-$B$18)*SUMPRODUCT(OFFSET($BO$15,0,0,$B$14,1), 1*(_xlfn._xlws.FILTER(OFFSET($O$15,0,$DN363,$B$8,1),OFFSET($M$15,0,0,$B$8,1))=FC$13), 1*(_xlfn._xlws.FILTER(OFFSET($O$15,0,$DO363,$B$8,1),OFFSET($M$15,0,0,$B$8,1))=FC$14))   /   SUM(OFFSET($BO$15,0,0,$B$14,1)) + $B$18/($B$19*$B$19*($DN363&lt;&gt;$DO363) + $B$19*($DN363=$DO363))</f>
        <v>3.7037037037037035E-4</v>
      </c>
      <c r="FD363" s="10" cm="1">
        <f t="array" aca="1" ref="FD363" ca="1">(1-$B$18)*SUMPRODUCT(OFFSET($BO$15,0,0,$B$14,1), 1*(_xlfn._xlws.FILTER(OFFSET($O$15,0,$DN363,$B$8,1),OFFSET($M$15,0,0,$B$8,1))=FD$13), 1*(_xlfn._xlws.FILTER(OFFSET($O$15,0,$DO363,$B$8,1),OFFSET($M$15,0,0,$B$8,1))=FD$14))   /   SUM(OFFSET($BO$15,0,0,$B$14,1)) + $B$18/($B$19*$B$19*($DN363&lt;&gt;$DO363) + $B$19*($DN363=$DO363))</f>
        <v>3.7037037037037035E-4</v>
      </c>
      <c r="FE363" s="10" cm="1">
        <f t="array" aca="1" ref="FE363" ca="1">(1-$B$18)*SUMPRODUCT(OFFSET($BO$15,0,0,$B$14,1), 1*(_xlfn._xlws.FILTER(OFFSET($O$15,0,$DN363,$B$8,1),OFFSET($M$15,0,0,$B$8,1))=FE$13), 1*(_xlfn._xlws.FILTER(OFFSET($O$15,0,$DO363,$B$8,1),OFFSET($M$15,0,0,$B$8,1))=FE$14))   /   SUM(OFFSET($BO$15,0,0,$B$14,1)) + $B$18/($B$19*$B$19*($DN363&lt;&gt;$DO363) + $B$19*($DN363=$DO363))</f>
        <v>3.7037037037037035E-4</v>
      </c>
      <c r="FF363" s="10" cm="1">
        <f t="array" aca="1" ref="FF363" ca="1">(1-$B$18)*SUMPRODUCT(OFFSET($BO$15,0,0,$B$14,1), 1*(_xlfn._xlws.FILTER(OFFSET($O$15,0,$DN363,$B$8,1),OFFSET($M$15,0,0,$B$8,1))=FF$13), 1*(_xlfn._xlws.FILTER(OFFSET($O$15,0,$DO363,$B$8,1),OFFSET($M$15,0,0,$B$8,1))=FF$14))   /   SUM(OFFSET($BO$15,0,0,$B$14,1)) + $B$18/($B$19*$B$19*($DN363&lt;&gt;$DO363) + $B$19*($DN363=$DO363))</f>
        <v>3.7037037037037035E-4</v>
      </c>
      <c r="FG363" s="10" cm="1">
        <f t="array" aca="1" ref="FG363" ca="1">(1-$B$18)*SUMPRODUCT(OFFSET($BO$15,0,0,$B$14,1), 1*(_xlfn._xlws.FILTER(OFFSET($O$15,0,$DN363,$B$8,1),OFFSET($M$15,0,0,$B$8,1))=FG$13), 1*(_xlfn._xlws.FILTER(OFFSET($O$15,0,$DO363,$B$8,1),OFFSET($M$15,0,0,$B$8,1))=FG$14))   /   SUM(OFFSET($BO$15,0,0,$B$14,1)) + $B$18/($B$19*$B$19*($DN363&lt;&gt;$DO363) + $B$19*($DN363=$DO363))</f>
        <v>3.7037037037037035E-4</v>
      </c>
      <c r="FH363" s="10" cm="1">
        <f t="array" aca="1" ref="FH363" ca="1">(1-$B$18)*SUMPRODUCT(OFFSET($BO$15,0,0,$B$14,1), 1*(_xlfn._xlws.FILTER(OFFSET($O$15,0,$DN363,$B$8,1),OFFSET($M$15,0,0,$B$8,1))=FH$13), 1*(_xlfn._xlws.FILTER(OFFSET($O$15,0,$DO363,$B$8,1),OFFSET($M$15,0,0,$B$8,1))=FH$14))   /   SUM(OFFSET($BO$15,0,0,$B$14,1)) + $B$18/($B$19*$B$19*($DN363&lt;&gt;$DO363) + $B$19*($DN363=$DO363))</f>
        <v>3.7037037037037035E-4</v>
      </c>
      <c r="FI363" s="10" cm="1">
        <f t="array" aca="1" ref="FI363" ca="1">(1-$B$18)*SUMPRODUCT(OFFSET($BO$15,0,0,$B$14,1), 1*(_xlfn._xlws.FILTER(OFFSET($O$15,0,$DN363,$B$8,1),OFFSET($M$15,0,0,$B$8,1))=FI$13), 1*(_xlfn._xlws.FILTER(OFFSET($O$15,0,$DO363,$B$8,1),OFFSET($M$15,0,0,$B$8,1))=FI$14))   /   SUM(OFFSET($BO$15,0,0,$B$14,1)) + $B$18/($B$19*$B$19*($DN363&lt;&gt;$DO363) + $B$19*($DN363=$DO363))</f>
        <v>3.7037037037037035E-4</v>
      </c>
      <c r="FJ363" s="10" cm="1">
        <f t="array" aca="1" ref="FJ363" ca="1">(1-$B$18)*SUMPRODUCT(OFFSET($BO$15,0,0,$B$14,1), 1*(_xlfn._xlws.FILTER(OFFSET($O$15,0,$DN363,$B$8,1),OFFSET($M$15,0,0,$B$8,1))=FJ$13), 1*(_xlfn._xlws.FILTER(OFFSET($O$15,0,$DO363,$B$8,1),OFFSET($M$15,0,0,$B$8,1))=FJ$14))   /   SUM(OFFSET($BO$15,0,0,$B$14,1)) + $B$18/($B$19*$B$19*($DN363&lt;&gt;$DO363) + $B$19*($DN363=$DO363))</f>
        <v>0.48537037037037012</v>
      </c>
      <c r="FK363" s="10" cm="1">
        <f t="array" aca="1" ref="FK363" ca="1">(1-$B$18)*SUMPRODUCT(OFFSET($BO$15,0,0,$B$14,1), 1*(_xlfn._xlws.FILTER(OFFSET($O$15,0,$DN363,$B$8,1),OFFSET($M$15,0,0,$B$8,1))=FK$13), 1*(_xlfn._xlws.FILTER(OFFSET($O$15,0,$DO363,$B$8,1),OFFSET($M$15,0,0,$B$8,1))=FK$14))   /   SUM(OFFSET($BO$15,0,0,$B$14,1)) + $B$18/($B$19*$B$19*($DN363&lt;&gt;$DO363) + $B$19*($DN363=$DO363))</f>
        <v>3.7037037037037035E-4</v>
      </c>
      <c r="FL363" s="10" cm="1">
        <f t="array" aca="1" ref="FL363" ca="1">(1-$B$18)*SUMPRODUCT(OFFSET($BO$15,0,0,$B$14,1), 1*(_xlfn._xlws.FILTER(OFFSET($O$15,0,$DN363,$B$8,1),OFFSET($M$15,0,0,$B$8,1))=FL$13), 1*(_xlfn._xlws.FILTER(OFFSET($O$15,0,$DO363,$B$8,1),OFFSET($M$15,0,0,$B$8,1))=FL$14))   /   SUM(OFFSET($BO$15,0,0,$B$14,1)) + $B$18/($B$19*$B$19*($DN363&lt;&gt;$DO363) + $B$19*($DN363=$DO363))</f>
        <v>3.7037037037037035E-4</v>
      </c>
      <c r="FM363" s="10" cm="1">
        <f t="array" aca="1" ref="FM363" ca="1">(1-$B$18)*SUMPRODUCT(OFFSET($BO$15,0,0,$B$14,1), 1*(_xlfn._xlws.FILTER(OFFSET($O$15,0,$DN363,$B$8,1),OFFSET($M$15,0,0,$B$8,1))=FM$13), 1*(_xlfn._xlws.FILTER(OFFSET($O$15,0,$DO363,$B$8,1),OFFSET($M$15,0,0,$B$8,1))=FM$14))   /   SUM(OFFSET($BO$15,0,0,$B$14,1)) + $B$18/($B$19*$B$19*($DN363&lt;&gt;$DO363) + $B$19*($DN363=$DO363))</f>
        <v>3.7037037037037035E-4</v>
      </c>
      <c r="FN363" s="10" cm="1">
        <f t="array" aca="1" ref="FN363" ca="1">(1-$B$18)*SUMPRODUCT(OFFSET($BO$15,0,0,$B$14,1), 1*(_xlfn._xlws.FILTER(OFFSET($O$15,0,$DN363,$B$8,1),OFFSET($M$15,0,0,$B$8,1))=FN$13), 1*(_xlfn._xlws.FILTER(OFFSET($O$15,0,$DO363,$B$8,1),OFFSET($M$15,0,0,$B$8,1))=FN$14))   /   SUM(OFFSET($BO$15,0,0,$B$14,1)) + $B$18/($B$19*$B$19*($DN363&lt;&gt;$DO363) + $B$19*($DN363=$DO363))</f>
        <v>3.7037037037037035E-4</v>
      </c>
      <c r="FO363" s="10" cm="1">
        <f t="array" aca="1" ref="FO363" ca="1">(1-$B$18)*SUMPRODUCT(OFFSET($BO$15,0,0,$B$14,1), 1*(_xlfn._xlws.FILTER(OFFSET($O$15,0,$DN363,$B$8,1),OFFSET($M$15,0,0,$B$8,1))=FO$13), 1*(_xlfn._xlws.FILTER(OFFSET($O$15,0,$DO363,$B$8,1),OFFSET($M$15,0,0,$B$8,1))=FO$14))   /   SUM(OFFSET($BO$15,0,0,$B$14,1)) + $B$18/($B$19*$B$19*($DN363&lt;&gt;$DO363) + $B$19*($DN363=$DO363))</f>
        <v>3.7037037037037035E-4</v>
      </c>
      <c r="FP363" s="10" cm="1">
        <f t="array" aca="1" ref="FP363" ca="1">(1-$B$18)*SUMPRODUCT(OFFSET($BO$15,0,0,$B$14,1), 1*(_xlfn._xlws.FILTER(OFFSET($O$15,0,$DN363,$B$8,1),OFFSET($M$15,0,0,$B$8,1))=FP$13), 1*(_xlfn._xlws.FILTER(OFFSET($O$15,0,$DO363,$B$8,1),OFFSET($M$15,0,0,$B$8,1))=FP$14))   /   SUM(OFFSET($BO$15,0,0,$B$14,1)) + $B$18/($B$19*$B$19*($DN363&lt;&gt;$DO363) + $B$19*($DN363=$DO363))</f>
        <v>3.7037037037037035E-4</v>
      </c>
      <c r="FQ363" s="10" cm="1">
        <f t="array" aca="1" ref="FQ363" ca="1">(1-$B$18)*SUMPRODUCT(OFFSET($BO$15,0,0,$B$14,1), 1*(_xlfn._xlws.FILTER(OFFSET($O$15,0,$DN363,$B$8,1),OFFSET($M$15,0,0,$B$8,1))=FQ$13), 1*(_xlfn._xlws.FILTER(OFFSET($O$15,0,$DO363,$B$8,1),OFFSET($M$15,0,0,$B$8,1))=FQ$14))   /   SUM(OFFSET($BO$15,0,0,$B$14,1)) + $B$18/($B$19*$B$19*($DN363&lt;&gt;$DO363) + $B$19*($DN363=$DO363))</f>
        <v>3.7037037037037035E-4</v>
      </c>
      <c r="FR363" s="10" cm="1">
        <f t="array" aca="1" ref="FR363" ca="1">(1-$B$18)*SUMPRODUCT(OFFSET($BO$15,0,0,$B$14,1), 1*(_xlfn._xlws.FILTER(OFFSET($O$15,0,$DN363,$B$8,1),OFFSET($M$15,0,0,$B$8,1))=FR$13), 1*(_xlfn._xlws.FILTER(OFFSET($O$15,0,$DO363,$B$8,1),OFFSET($M$15,0,0,$B$8,1))=FR$14))   /   SUM(OFFSET($BO$15,0,0,$B$14,1)) + $B$18/($B$19*$B$19*($DN363&lt;&gt;$DO363) + $B$19*($DN363=$DO363))</f>
        <v>0.24287037037037026</v>
      </c>
      <c r="FS363" s="10" cm="1">
        <f t="array" aca="1" ref="FS363" ca="1">(1-$B$18)*SUMPRODUCT(OFFSET($BO$15,0,0,$B$14,1), 1*(_xlfn._xlws.FILTER(OFFSET($O$15,0,$DN363,$B$8,1),OFFSET($M$15,0,0,$B$8,1))=FS$13), 1*(_xlfn._xlws.FILTER(OFFSET($O$15,0,$DO363,$B$8,1),OFFSET($M$15,0,0,$B$8,1))=FS$14))   /   SUM(OFFSET($BO$15,0,0,$B$14,1)) + $B$18/($B$19*$B$19*($DN363&lt;&gt;$DO363) + $B$19*($DN363=$DO363))</f>
        <v>3.7037037037037035E-4</v>
      </c>
      <c r="FT363" s="10" cm="1">
        <f t="array" aca="1" ref="FT363" ca="1">(1-$B$18)*SUMPRODUCT(OFFSET($BO$15,0,0,$B$14,1), 1*(_xlfn._xlws.FILTER(OFFSET($O$15,0,$DN363,$B$8,1),OFFSET($M$15,0,0,$B$8,1))=FT$13), 1*(_xlfn._xlws.FILTER(OFFSET($O$15,0,$DO363,$B$8,1),OFFSET($M$15,0,0,$B$8,1))=FT$14))   /   SUM(OFFSET($BO$15,0,0,$B$14,1)) + $B$18/($B$19*$B$19*($DN363&lt;&gt;$DO363) + $B$19*($DN363=$DO363))</f>
        <v>3.7037037037037035E-4</v>
      </c>
      <c r="FU363" s="10" cm="1">
        <f t="array" aca="1" ref="FU363" ca="1">(1-$B$18)*SUMPRODUCT(OFFSET($BO$15,0,0,$B$14,1), 1*(_xlfn._xlws.FILTER(OFFSET($O$15,0,$DN363,$B$8,1),OFFSET($M$15,0,0,$B$8,1))=FU$13), 1*(_xlfn._xlws.FILTER(OFFSET($O$15,0,$DO363,$B$8,1),OFFSET($M$15,0,0,$B$8,1))=FU$14))   /   SUM(OFFSET($BO$15,0,0,$B$14,1)) + $B$18/($B$19*$B$19*($DN363&lt;&gt;$DO363) + $B$19*($DN363=$DO363))</f>
        <v>3.7037037037037035E-4</v>
      </c>
      <c r="FV363" s="10" cm="1">
        <f t="array" aca="1" ref="FV363" ca="1">(1-$B$18)*SUMPRODUCT(OFFSET($BO$15,0,0,$B$14,1), 1*(_xlfn._xlws.FILTER(OFFSET($O$15,0,$DN363,$B$8,1),OFFSET($M$15,0,0,$B$8,1))=FV$13), 1*(_xlfn._xlws.FILTER(OFFSET($O$15,0,$DO363,$B$8,1),OFFSET($M$15,0,0,$B$8,1))=FV$14))   /   SUM(OFFSET($BO$15,0,0,$B$14,1)) + $B$18/($B$19*$B$19*($DN363&lt;&gt;$DO363) + $B$19*($DN363=$DO363))</f>
        <v>3.7037037037037035E-4</v>
      </c>
      <c r="FW363" s="10" cm="1">
        <f t="array" aca="1" ref="FW363" ca="1">(1-$B$18)*SUMPRODUCT(OFFSET($BO$15,0,0,$B$14,1), 1*(_xlfn._xlws.FILTER(OFFSET($O$15,0,$DN363,$B$8,1),OFFSET($M$15,0,0,$B$8,1))=FW$13), 1*(_xlfn._xlws.FILTER(OFFSET($O$15,0,$DO363,$B$8,1),OFFSET($M$15,0,0,$B$8,1))=FW$14))   /   SUM(OFFSET($BO$15,0,0,$B$14,1)) + $B$18/($B$19*$B$19*($DN363&lt;&gt;$DO363) + $B$19*($DN363=$DO363))</f>
        <v>3.7037037037037035E-4</v>
      </c>
      <c r="FX363" s="10" cm="1">
        <f t="array" aca="1" ref="FX363" ca="1">(1-$B$18)*SUMPRODUCT(OFFSET($BO$15,0,0,$B$14,1), 1*(_xlfn._xlws.FILTER(OFFSET($O$15,0,$DN363,$B$8,1),OFFSET($M$15,0,0,$B$8,1))=FX$13), 1*(_xlfn._xlws.FILTER(OFFSET($O$15,0,$DO363,$B$8,1),OFFSET($M$15,0,0,$B$8,1))=FX$14))   /   SUM(OFFSET($BO$15,0,0,$B$14,1)) + $B$18/($B$19*$B$19*($DN363&lt;&gt;$DO363) + $B$19*($DN363=$DO363))</f>
        <v>3.7037037037037035E-4</v>
      </c>
      <c r="FY363" s="10" cm="1">
        <f t="array" aca="1" ref="FY363" ca="1">(1-$B$18)*SUMPRODUCT(OFFSET($BO$15,0,0,$B$14,1), 1*(_xlfn._xlws.FILTER(OFFSET($O$15,0,$DN363,$B$8,1),OFFSET($M$15,0,0,$B$8,1))=FY$13), 1*(_xlfn._xlws.FILTER(OFFSET($O$15,0,$DO363,$B$8,1),OFFSET($M$15,0,0,$B$8,1))=FY$14))   /   SUM(OFFSET($BO$15,0,0,$B$14,1)) + $B$18/($B$19*$B$19*($DN363&lt;&gt;$DO363) + $B$19*($DN363=$DO363))</f>
        <v>3.7037037037037035E-4</v>
      </c>
      <c r="FZ363" s="10" cm="1">
        <f t="array" aca="1" ref="FZ363" ca="1">(1-$B$18)*SUMPRODUCT(OFFSET($BO$15,0,0,$B$14,1), 1*(_xlfn._xlws.FILTER(OFFSET($O$15,0,$DN363,$B$8,1),OFFSET($M$15,0,0,$B$8,1))=FZ$13), 1*(_xlfn._xlws.FILTER(OFFSET($O$15,0,$DO363,$B$8,1),OFFSET($M$15,0,0,$B$8,1))=FZ$14))   /   SUM(OFFSET($BO$15,0,0,$B$14,1)) + $B$18/($B$19*$B$19*($DN363&lt;&gt;$DO363) + $B$19*($DN363=$DO363))</f>
        <v>3.7037037037037035E-4</v>
      </c>
      <c r="GA363" s="10" cm="1">
        <f t="array" aca="1" ref="GA363" ca="1">(1-$B$18)*SUMPRODUCT(OFFSET($BO$15,0,0,$B$14,1), 1*(_xlfn._xlws.FILTER(OFFSET($O$15,0,$DN363,$B$8,1),OFFSET($M$15,0,0,$B$8,1))=GA$13), 1*(_xlfn._xlws.FILTER(OFFSET($O$15,0,$DO363,$B$8,1),OFFSET($M$15,0,0,$B$8,1))=GA$14))   /   SUM(OFFSET($BO$15,0,0,$B$14,1)) + $B$18/($B$19*$B$19*($DN363&lt;&gt;$DO363) + $B$19*($DN363=$DO363))</f>
        <v>3.7037037037037035E-4</v>
      </c>
    </row>
    <row r="364" spans="118:183" x14ac:dyDescent="0.2">
      <c r="DN364" cm="1">
        <f t="array" aca="1" ref="DN364" ca="1">INDEX(_xlfn.ANCHORARRAY($CP$15), 1 + INT((ROWS($DO$15:$DO364) - 1) / ROWS(_xlfn.ANCHORARRAY($CP$15))))</f>
        <v>21</v>
      </c>
      <c r="DO364" cm="1">
        <f t="array" aca="1" ref="DO364" ca="1">INDEX(_xlfn.ANCHORARRAY($CP$15),1+MOD(ROWS($DO$15:$DO364)-1,ROWS(_xlfn.ANCHORARRAY($CP$15))))</f>
        <v>7</v>
      </c>
      <c r="DP364" s="10" cm="1">
        <f t="array" aca="1" ref="DP364" ca="1">(1-$B$18)*SUMPRODUCT(OFFSET($BO$15,0,0,$B$14,1), 1*(_xlfn._xlws.FILTER(OFFSET($O$15,0,$DN364,$B$8,1),OFFSET($M$15,0,0,$B$8,1))=DP$13), 1*(_xlfn._xlws.FILTER(OFFSET($O$15,0,$DO364,$B$8,1),OFFSET($M$15,0,0,$B$8,1))=DP$14))   /   SUM(OFFSET($BO$15,0,0,$B$14,1)) + $B$18/($B$19*$B$19*($DN364&lt;&gt;$DO364) + $B$19*($DN364=$DO364))</f>
        <v>3.7037037037037035E-4</v>
      </c>
      <c r="DQ364" s="10" cm="1">
        <f t="array" aca="1" ref="DQ364" ca="1">(1-$B$18)*SUMPRODUCT(OFFSET($BO$15,0,0,$B$14,1), 1*(_xlfn._xlws.FILTER(OFFSET($O$15,0,$DN364,$B$8,1),OFFSET($M$15,0,0,$B$8,1))=DQ$13), 1*(_xlfn._xlws.FILTER(OFFSET($O$15,0,$DO364,$B$8,1),OFFSET($M$15,0,0,$B$8,1))=DQ$14))   /   SUM(OFFSET($BO$15,0,0,$B$14,1)) + $B$18/($B$19*$B$19*($DN364&lt;&gt;$DO364) + $B$19*($DN364=$DO364))</f>
        <v>3.7037037037037035E-4</v>
      </c>
      <c r="DR364" s="10" cm="1">
        <f t="array" aca="1" ref="DR364" ca="1">(1-$B$18)*SUMPRODUCT(OFFSET($BO$15,0,0,$B$14,1), 1*(_xlfn._xlws.FILTER(OFFSET($O$15,0,$DN364,$B$8,1),OFFSET($M$15,0,0,$B$8,1))=DR$13), 1*(_xlfn._xlws.FILTER(OFFSET($O$15,0,$DO364,$B$8,1),OFFSET($M$15,0,0,$B$8,1))=DR$14))   /   SUM(OFFSET($BO$15,0,0,$B$14,1)) + $B$18/($B$19*$B$19*($DN364&lt;&gt;$DO364) + $B$19*($DN364=$DO364))</f>
        <v>3.7037037037037035E-4</v>
      </c>
      <c r="DS364" s="10" cm="1">
        <f t="array" aca="1" ref="DS364" ca="1">(1-$B$18)*SUMPRODUCT(OFFSET($BO$15,0,0,$B$14,1), 1*(_xlfn._xlws.FILTER(OFFSET($O$15,0,$DN364,$B$8,1),OFFSET($M$15,0,0,$B$8,1))=DS$13), 1*(_xlfn._xlws.FILTER(OFFSET($O$15,0,$DO364,$B$8,1),OFFSET($M$15,0,0,$B$8,1))=DS$14))   /   SUM(OFFSET($BO$15,0,0,$B$14,1)) + $B$18/($B$19*$B$19*($DN364&lt;&gt;$DO364) + $B$19*($DN364=$DO364))</f>
        <v>3.7037037037037035E-4</v>
      </c>
      <c r="DT364" s="10" cm="1">
        <f t="array" aca="1" ref="DT364" ca="1">(1-$B$18)*SUMPRODUCT(OFFSET($BO$15,0,0,$B$14,1), 1*(_xlfn._xlws.FILTER(OFFSET($O$15,0,$DN364,$B$8,1),OFFSET($M$15,0,0,$B$8,1))=DT$13), 1*(_xlfn._xlws.FILTER(OFFSET($O$15,0,$DO364,$B$8,1),OFFSET($M$15,0,0,$B$8,1))=DT$14))   /   SUM(OFFSET($BO$15,0,0,$B$14,1)) + $B$18/($B$19*$B$19*($DN364&lt;&gt;$DO364) + $B$19*($DN364=$DO364))</f>
        <v>3.7037037037037035E-4</v>
      </c>
      <c r="DU364" s="10" cm="1">
        <f t="array" aca="1" ref="DU364" ca="1">(1-$B$18)*SUMPRODUCT(OFFSET($BO$15,0,0,$B$14,1), 1*(_xlfn._xlws.FILTER(OFFSET($O$15,0,$DN364,$B$8,1),OFFSET($M$15,0,0,$B$8,1))=DU$13), 1*(_xlfn._xlws.FILTER(OFFSET($O$15,0,$DO364,$B$8,1),OFFSET($M$15,0,0,$B$8,1))=DU$14))   /   SUM(OFFSET($BO$15,0,0,$B$14,1)) + $B$18/($B$19*$B$19*($DN364&lt;&gt;$DO364) + $B$19*($DN364=$DO364))</f>
        <v>3.7037037037037035E-4</v>
      </c>
      <c r="DV364" s="10" cm="1">
        <f t="array" aca="1" ref="DV364" ca="1">(1-$B$18)*SUMPRODUCT(OFFSET($BO$15,0,0,$B$14,1), 1*(_xlfn._xlws.FILTER(OFFSET($O$15,0,$DN364,$B$8,1),OFFSET($M$15,0,0,$B$8,1))=DV$13), 1*(_xlfn._xlws.FILTER(OFFSET($O$15,0,$DO364,$B$8,1),OFFSET($M$15,0,0,$B$8,1))=DV$14))   /   SUM(OFFSET($BO$15,0,0,$B$14,1)) + $B$18/($B$19*$B$19*($DN364&lt;&gt;$DO364) + $B$19*($DN364=$DO364))</f>
        <v>3.7037037037037035E-4</v>
      </c>
      <c r="DW364" s="10" cm="1">
        <f t="array" aca="1" ref="DW364" ca="1">(1-$B$18)*SUMPRODUCT(OFFSET($BO$15,0,0,$B$14,1), 1*(_xlfn._xlws.FILTER(OFFSET($O$15,0,$DN364,$B$8,1),OFFSET($M$15,0,0,$B$8,1))=DW$13), 1*(_xlfn._xlws.FILTER(OFFSET($O$15,0,$DO364,$B$8,1),OFFSET($M$15,0,0,$B$8,1))=DW$14))   /   SUM(OFFSET($BO$15,0,0,$B$14,1)) + $B$18/($B$19*$B$19*($DN364&lt;&gt;$DO364) + $B$19*($DN364=$DO364))</f>
        <v>3.7037037037037035E-4</v>
      </c>
      <c r="DX364" s="10" cm="1">
        <f t="array" aca="1" ref="DX364" ca="1">(1-$B$18)*SUMPRODUCT(OFFSET($BO$15,0,0,$B$14,1), 1*(_xlfn._xlws.FILTER(OFFSET($O$15,0,$DN364,$B$8,1),OFFSET($M$15,0,0,$B$8,1))=DX$13), 1*(_xlfn._xlws.FILTER(OFFSET($O$15,0,$DO364,$B$8,1),OFFSET($M$15,0,0,$B$8,1))=DX$14))   /   SUM(OFFSET($BO$15,0,0,$B$14,1)) + $B$18/($B$19*$B$19*($DN364&lt;&gt;$DO364) + $B$19*($DN364=$DO364))</f>
        <v>3.7037037037037035E-4</v>
      </c>
      <c r="DY364" s="10" cm="1">
        <f t="array" aca="1" ref="DY364" ca="1">(1-$B$18)*SUMPRODUCT(OFFSET($BO$15,0,0,$B$14,1), 1*(_xlfn._xlws.FILTER(OFFSET($O$15,0,$DN364,$B$8,1),OFFSET($M$15,0,0,$B$8,1))=DY$13), 1*(_xlfn._xlws.FILTER(OFFSET($O$15,0,$DO364,$B$8,1),OFFSET($M$15,0,0,$B$8,1))=DY$14))   /   SUM(OFFSET($BO$15,0,0,$B$14,1)) + $B$18/($B$19*$B$19*($DN364&lt;&gt;$DO364) + $B$19*($DN364=$DO364))</f>
        <v>3.7037037037037035E-4</v>
      </c>
      <c r="DZ364" s="10" cm="1">
        <f t="array" aca="1" ref="DZ364" ca="1">(1-$B$18)*SUMPRODUCT(OFFSET($BO$15,0,0,$B$14,1), 1*(_xlfn._xlws.FILTER(OFFSET($O$15,0,$DN364,$B$8,1),OFFSET($M$15,0,0,$B$8,1))=DZ$13), 1*(_xlfn._xlws.FILTER(OFFSET($O$15,0,$DO364,$B$8,1),OFFSET($M$15,0,0,$B$8,1))=DZ$14))   /   SUM(OFFSET($BO$15,0,0,$B$14,1)) + $B$18/($B$19*$B$19*($DN364&lt;&gt;$DO364) + $B$19*($DN364=$DO364))</f>
        <v>3.7037037037037035E-4</v>
      </c>
      <c r="EA364" s="10" cm="1">
        <f t="array" aca="1" ref="EA364" ca="1">(1-$B$18)*SUMPRODUCT(OFFSET($BO$15,0,0,$B$14,1), 1*(_xlfn._xlws.FILTER(OFFSET($O$15,0,$DN364,$B$8,1),OFFSET($M$15,0,0,$B$8,1))=EA$13), 1*(_xlfn._xlws.FILTER(OFFSET($O$15,0,$DO364,$B$8,1),OFFSET($M$15,0,0,$B$8,1))=EA$14))   /   SUM(OFFSET($BO$15,0,0,$B$14,1)) + $B$18/($B$19*$B$19*($DN364&lt;&gt;$DO364) + $B$19*($DN364=$DO364))</f>
        <v>3.7037037037037035E-4</v>
      </c>
      <c r="EB364" s="10" cm="1">
        <f t="array" aca="1" ref="EB364" ca="1">(1-$B$18)*SUMPRODUCT(OFFSET($BO$15,0,0,$B$14,1), 1*(_xlfn._xlws.FILTER(OFFSET($O$15,0,$DN364,$B$8,1),OFFSET($M$15,0,0,$B$8,1))=EB$13), 1*(_xlfn._xlws.FILTER(OFFSET($O$15,0,$DO364,$B$8,1),OFFSET($M$15,0,0,$B$8,1))=EB$14))   /   SUM(OFFSET($BO$15,0,0,$B$14,1)) + $B$18/($B$19*$B$19*($DN364&lt;&gt;$DO364) + $B$19*($DN364=$DO364))</f>
        <v>3.7037037037037035E-4</v>
      </c>
      <c r="EC364" s="10" cm="1">
        <f t="array" aca="1" ref="EC364" ca="1">(1-$B$18)*SUMPRODUCT(OFFSET($BO$15,0,0,$B$14,1), 1*(_xlfn._xlws.FILTER(OFFSET($O$15,0,$DN364,$B$8,1),OFFSET($M$15,0,0,$B$8,1))=EC$13), 1*(_xlfn._xlws.FILTER(OFFSET($O$15,0,$DO364,$B$8,1),OFFSET($M$15,0,0,$B$8,1))=EC$14))   /   SUM(OFFSET($BO$15,0,0,$B$14,1)) + $B$18/($B$19*$B$19*($DN364&lt;&gt;$DO364) + $B$19*($DN364=$DO364))</f>
        <v>3.7037037037037035E-4</v>
      </c>
      <c r="ED364" s="10" cm="1">
        <f t="array" aca="1" ref="ED364" ca="1">(1-$B$18)*SUMPRODUCT(OFFSET($BO$15,0,0,$B$14,1), 1*(_xlfn._xlws.FILTER(OFFSET($O$15,0,$DN364,$B$8,1),OFFSET($M$15,0,0,$B$8,1))=ED$13), 1*(_xlfn._xlws.FILTER(OFFSET($O$15,0,$DO364,$B$8,1),OFFSET($M$15,0,0,$B$8,1))=ED$14))   /   SUM(OFFSET($BO$15,0,0,$B$14,1)) + $B$18/($B$19*$B$19*($DN364&lt;&gt;$DO364) + $B$19*($DN364=$DO364))</f>
        <v>3.7037037037037035E-4</v>
      </c>
      <c r="EE364" s="10" cm="1">
        <f t="array" aca="1" ref="EE364" ca="1">(1-$B$18)*SUMPRODUCT(OFFSET($BO$15,0,0,$B$14,1), 1*(_xlfn._xlws.FILTER(OFFSET($O$15,0,$DN364,$B$8,1),OFFSET($M$15,0,0,$B$8,1))=EE$13), 1*(_xlfn._xlws.FILTER(OFFSET($O$15,0,$DO364,$B$8,1),OFFSET($M$15,0,0,$B$8,1))=EE$14))   /   SUM(OFFSET($BO$15,0,0,$B$14,1)) + $B$18/($B$19*$B$19*($DN364&lt;&gt;$DO364) + $B$19*($DN364=$DO364))</f>
        <v>3.7037037037037035E-4</v>
      </c>
      <c r="EF364" s="10" cm="1">
        <f t="array" aca="1" ref="EF364" ca="1">(1-$B$18)*SUMPRODUCT(OFFSET($BO$15,0,0,$B$14,1), 1*(_xlfn._xlws.FILTER(OFFSET($O$15,0,$DN364,$B$8,1),OFFSET($M$15,0,0,$B$8,1))=EF$13), 1*(_xlfn._xlws.FILTER(OFFSET($O$15,0,$DO364,$B$8,1),OFFSET($M$15,0,0,$B$8,1))=EF$14))   /   SUM(OFFSET($BO$15,0,0,$B$14,1)) + $B$18/($B$19*$B$19*($DN364&lt;&gt;$DO364) + $B$19*($DN364=$DO364))</f>
        <v>3.7037037037037035E-4</v>
      </c>
      <c r="EG364" s="10" cm="1">
        <f t="array" aca="1" ref="EG364" ca="1">(1-$B$18)*SUMPRODUCT(OFFSET($BO$15,0,0,$B$14,1), 1*(_xlfn._xlws.FILTER(OFFSET($O$15,0,$DN364,$B$8,1),OFFSET($M$15,0,0,$B$8,1))=EG$13), 1*(_xlfn._xlws.FILTER(OFFSET($O$15,0,$DO364,$B$8,1),OFFSET($M$15,0,0,$B$8,1))=EG$14))   /   SUM(OFFSET($BO$15,0,0,$B$14,1)) + $B$18/($B$19*$B$19*($DN364&lt;&gt;$DO364) + $B$19*($DN364=$DO364))</f>
        <v>3.7037037037037035E-4</v>
      </c>
      <c r="EH364" s="10" cm="1">
        <f t="array" aca="1" ref="EH364" ca="1">(1-$B$18)*SUMPRODUCT(OFFSET($BO$15,0,0,$B$14,1), 1*(_xlfn._xlws.FILTER(OFFSET($O$15,0,$DN364,$B$8,1),OFFSET($M$15,0,0,$B$8,1))=EH$13), 1*(_xlfn._xlws.FILTER(OFFSET($O$15,0,$DO364,$B$8,1),OFFSET($M$15,0,0,$B$8,1))=EH$14))   /   SUM(OFFSET($BO$15,0,0,$B$14,1)) + $B$18/($B$19*$B$19*($DN364&lt;&gt;$DO364) + $B$19*($DN364=$DO364))</f>
        <v>3.7037037037037035E-4</v>
      </c>
      <c r="EI364" s="10" cm="1">
        <f t="array" aca="1" ref="EI364" ca="1">(1-$B$18)*SUMPRODUCT(OFFSET($BO$15,0,0,$B$14,1), 1*(_xlfn._xlws.FILTER(OFFSET($O$15,0,$DN364,$B$8,1),OFFSET($M$15,0,0,$B$8,1))=EI$13), 1*(_xlfn._xlws.FILTER(OFFSET($O$15,0,$DO364,$B$8,1),OFFSET($M$15,0,0,$B$8,1))=EI$14))   /   SUM(OFFSET($BO$15,0,0,$B$14,1)) + $B$18/($B$19*$B$19*($DN364&lt;&gt;$DO364) + $B$19*($DN364=$DO364))</f>
        <v>3.7037037037037035E-4</v>
      </c>
      <c r="EJ364" s="10" cm="1">
        <f t="array" aca="1" ref="EJ364" ca="1">(1-$B$18)*SUMPRODUCT(OFFSET($BO$15,0,0,$B$14,1), 1*(_xlfn._xlws.FILTER(OFFSET($O$15,0,$DN364,$B$8,1),OFFSET($M$15,0,0,$B$8,1))=EJ$13), 1*(_xlfn._xlws.FILTER(OFFSET($O$15,0,$DO364,$B$8,1),OFFSET($M$15,0,0,$B$8,1))=EJ$14))   /   SUM(OFFSET($BO$15,0,0,$B$14,1)) + $B$18/($B$19*$B$19*($DN364&lt;&gt;$DO364) + $B$19*($DN364=$DO364))</f>
        <v>3.7037037037037035E-4</v>
      </c>
      <c r="EK364" s="10" cm="1">
        <f t="array" aca="1" ref="EK364" ca="1">(1-$B$18)*SUMPRODUCT(OFFSET($BO$15,0,0,$B$14,1), 1*(_xlfn._xlws.FILTER(OFFSET($O$15,0,$DN364,$B$8,1),OFFSET($M$15,0,0,$B$8,1))=EK$13), 1*(_xlfn._xlws.FILTER(OFFSET($O$15,0,$DO364,$B$8,1),OFFSET($M$15,0,0,$B$8,1))=EK$14))   /   SUM(OFFSET($BO$15,0,0,$B$14,1)) + $B$18/($B$19*$B$19*($DN364&lt;&gt;$DO364) + $B$19*($DN364=$DO364))</f>
        <v>3.7037037037037035E-4</v>
      </c>
      <c r="EL364" s="10" cm="1">
        <f t="array" aca="1" ref="EL364" ca="1">(1-$B$18)*SUMPRODUCT(OFFSET($BO$15,0,0,$B$14,1), 1*(_xlfn._xlws.FILTER(OFFSET($O$15,0,$DN364,$B$8,1),OFFSET($M$15,0,0,$B$8,1))=EL$13), 1*(_xlfn._xlws.FILTER(OFFSET($O$15,0,$DO364,$B$8,1),OFFSET($M$15,0,0,$B$8,1))=EL$14))   /   SUM(OFFSET($BO$15,0,0,$B$14,1)) + $B$18/($B$19*$B$19*($DN364&lt;&gt;$DO364) + $B$19*($DN364=$DO364))</f>
        <v>3.7037037037037035E-4</v>
      </c>
      <c r="EM364" s="10" cm="1">
        <f t="array" aca="1" ref="EM364" ca="1">(1-$B$18)*SUMPRODUCT(OFFSET($BO$15,0,0,$B$14,1), 1*(_xlfn._xlws.FILTER(OFFSET($O$15,0,$DN364,$B$8,1),OFFSET($M$15,0,0,$B$8,1))=EM$13), 1*(_xlfn._xlws.FILTER(OFFSET($O$15,0,$DO364,$B$8,1),OFFSET($M$15,0,0,$B$8,1))=EM$14))   /   SUM(OFFSET($BO$15,0,0,$B$14,1)) + $B$18/($B$19*$B$19*($DN364&lt;&gt;$DO364) + $B$19*($DN364=$DO364))</f>
        <v>3.7037037037037035E-4</v>
      </c>
      <c r="EN364" s="10" cm="1">
        <f t="array" aca="1" ref="EN364" ca="1">(1-$B$18)*SUMPRODUCT(OFFSET($BO$15,0,0,$B$14,1), 1*(_xlfn._xlws.FILTER(OFFSET($O$15,0,$DN364,$B$8,1),OFFSET($M$15,0,0,$B$8,1))=EN$13), 1*(_xlfn._xlws.FILTER(OFFSET($O$15,0,$DO364,$B$8,1),OFFSET($M$15,0,0,$B$8,1))=EN$14))   /   SUM(OFFSET($BO$15,0,0,$B$14,1)) + $B$18/($B$19*$B$19*($DN364&lt;&gt;$DO364) + $B$19*($DN364=$DO364))</f>
        <v>3.7037037037037035E-4</v>
      </c>
      <c r="EO364" s="10" cm="1">
        <f t="array" aca="1" ref="EO364" ca="1">(1-$B$18)*SUMPRODUCT(OFFSET($BO$15,0,0,$B$14,1), 1*(_xlfn._xlws.FILTER(OFFSET($O$15,0,$DN364,$B$8,1),OFFSET($M$15,0,0,$B$8,1))=EO$13), 1*(_xlfn._xlws.FILTER(OFFSET($O$15,0,$DO364,$B$8,1),OFFSET($M$15,0,0,$B$8,1))=EO$14))   /   SUM(OFFSET($BO$15,0,0,$B$14,1)) + $B$18/($B$19*$B$19*($DN364&lt;&gt;$DO364) + $B$19*($DN364=$DO364))</f>
        <v>3.7037037037037035E-4</v>
      </c>
      <c r="EP364" s="10" cm="1">
        <f t="array" aca="1" ref="EP364" ca="1">(1-$B$18)*SUMPRODUCT(OFFSET($BO$15,0,0,$B$14,1), 1*(_xlfn._xlws.FILTER(OFFSET($O$15,0,$DN364,$B$8,1),OFFSET($M$15,0,0,$B$8,1))=EP$13), 1*(_xlfn._xlws.FILTER(OFFSET($O$15,0,$DO364,$B$8,1),OFFSET($M$15,0,0,$B$8,1))=EP$14))   /   SUM(OFFSET($BO$15,0,0,$B$14,1)) + $B$18/($B$19*$B$19*($DN364&lt;&gt;$DO364) + $B$19*($DN364=$DO364))</f>
        <v>3.7037037037037035E-4</v>
      </c>
      <c r="EQ364" s="10" cm="1">
        <f t="array" aca="1" ref="EQ364" ca="1">(1-$B$18)*SUMPRODUCT(OFFSET($BO$15,0,0,$B$14,1), 1*(_xlfn._xlws.FILTER(OFFSET($O$15,0,$DN364,$B$8,1),OFFSET($M$15,0,0,$B$8,1))=EQ$13), 1*(_xlfn._xlws.FILTER(OFFSET($O$15,0,$DO364,$B$8,1),OFFSET($M$15,0,0,$B$8,1))=EQ$14))   /   SUM(OFFSET($BO$15,0,0,$B$14,1)) + $B$18/($B$19*$B$19*($DN364&lt;&gt;$DO364) + $B$19*($DN364=$DO364))</f>
        <v>3.7037037037037035E-4</v>
      </c>
      <c r="ER364" s="10" cm="1">
        <f t="array" aca="1" ref="ER364" ca="1">(1-$B$18)*SUMPRODUCT(OFFSET($BO$15,0,0,$B$14,1), 1*(_xlfn._xlws.FILTER(OFFSET($O$15,0,$DN364,$B$8,1),OFFSET($M$15,0,0,$B$8,1))=ER$13), 1*(_xlfn._xlws.FILTER(OFFSET($O$15,0,$DO364,$B$8,1),OFFSET($M$15,0,0,$B$8,1))=ER$14))   /   SUM(OFFSET($BO$15,0,0,$B$14,1)) + $B$18/($B$19*$B$19*($DN364&lt;&gt;$DO364) + $B$19*($DN364=$DO364))</f>
        <v>3.7037037037037035E-4</v>
      </c>
      <c r="ES364" s="10" cm="1">
        <f t="array" aca="1" ref="ES364" ca="1">(1-$B$18)*SUMPRODUCT(OFFSET($BO$15,0,0,$B$14,1), 1*(_xlfn._xlws.FILTER(OFFSET($O$15,0,$DN364,$B$8,1),OFFSET($M$15,0,0,$B$8,1))=ES$13), 1*(_xlfn._xlws.FILTER(OFFSET($O$15,0,$DO364,$B$8,1),OFFSET($M$15,0,0,$B$8,1))=ES$14))   /   SUM(OFFSET($BO$15,0,0,$B$14,1)) + $B$18/($B$19*$B$19*($DN364&lt;&gt;$DO364) + $B$19*($DN364=$DO364))</f>
        <v>3.7037037037037035E-4</v>
      </c>
      <c r="ET364" s="10" cm="1">
        <f t="array" aca="1" ref="ET364" ca="1">(1-$B$18)*SUMPRODUCT(OFFSET($BO$15,0,0,$B$14,1), 1*(_xlfn._xlws.FILTER(OFFSET($O$15,0,$DN364,$B$8,1),OFFSET($M$15,0,0,$B$8,1))=ET$13), 1*(_xlfn._xlws.FILTER(OFFSET($O$15,0,$DO364,$B$8,1),OFFSET($M$15,0,0,$B$8,1))=ET$14))   /   SUM(OFFSET($BO$15,0,0,$B$14,1)) + $B$18/($B$19*$B$19*($DN364&lt;&gt;$DO364) + $B$19*($DN364=$DO364))</f>
        <v>3.7037037037037035E-4</v>
      </c>
      <c r="EU364" s="10" cm="1">
        <f t="array" aca="1" ref="EU364" ca="1">(1-$B$18)*SUMPRODUCT(OFFSET($BO$15,0,0,$B$14,1), 1*(_xlfn._xlws.FILTER(OFFSET($O$15,0,$DN364,$B$8,1),OFFSET($M$15,0,0,$B$8,1))=EU$13), 1*(_xlfn._xlws.FILTER(OFFSET($O$15,0,$DO364,$B$8,1),OFFSET($M$15,0,0,$B$8,1))=EU$14))   /   SUM(OFFSET($BO$15,0,0,$B$14,1)) + $B$18/($B$19*$B$19*($DN364&lt;&gt;$DO364) + $B$19*($DN364=$DO364))</f>
        <v>3.7037037037037035E-4</v>
      </c>
      <c r="EV364" s="10" cm="1">
        <f t="array" aca="1" ref="EV364" ca="1">(1-$B$18)*SUMPRODUCT(OFFSET($BO$15,0,0,$B$14,1), 1*(_xlfn._xlws.FILTER(OFFSET($O$15,0,$DN364,$B$8,1),OFFSET($M$15,0,0,$B$8,1))=EV$13), 1*(_xlfn._xlws.FILTER(OFFSET($O$15,0,$DO364,$B$8,1),OFFSET($M$15,0,0,$B$8,1))=EV$14))   /   SUM(OFFSET($BO$15,0,0,$B$14,1)) + $B$18/($B$19*$B$19*($DN364&lt;&gt;$DO364) + $B$19*($DN364=$DO364))</f>
        <v>3.7037037037037035E-4</v>
      </c>
      <c r="EW364" s="10" cm="1">
        <f t="array" aca="1" ref="EW364" ca="1">(1-$B$18)*SUMPRODUCT(OFFSET($BO$15,0,0,$B$14,1), 1*(_xlfn._xlws.FILTER(OFFSET($O$15,0,$DN364,$B$8,1),OFFSET($M$15,0,0,$B$8,1))=EW$13), 1*(_xlfn._xlws.FILTER(OFFSET($O$15,0,$DO364,$B$8,1),OFFSET($M$15,0,0,$B$8,1))=EW$14))   /   SUM(OFFSET($BO$15,0,0,$B$14,1)) + $B$18/($B$19*$B$19*($DN364&lt;&gt;$DO364) + $B$19*($DN364=$DO364))</f>
        <v>3.7037037037037035E-4</v>
      </c>
      <c r="EX364" s="10" cm="1">
        <f t="array" aca="1" ref="EX364" ca="1">(1-$B$18)*SUMPRODUCT(OFFSET($BO$15,0,0,$B$14,1), 1*(_xlfn._xlws.FILTER(OFFSET($O$15,0,$DN364,$B$8,1),OFFSET($M$15,0,0,$B$8,1))=EX$13), 1*(_xlfn._xlws.FILTER(OFFSET($O$15,0,$DO364,$B$8,1),OFFSET($M$15,0,0,$B$8,1))=EX$14))   /   SUM(OFFSET($BO$15,0,0,$B$14,1)) + $B$18/($B$19*$B$19*($DN364&lt;&gt;$DO364) + $B$19*($DN364=$DO364))</f>
        <v>3.7037037037037035E-4</v>
      </c>
      <c r="EY364" s="10" cm="1">
        <f t="array" aca="1" ref="EY364" ca="1">(1-$B$18)*SUMPRODUCT(OFFSET($BO$15,0,0,$B$14,1), 1*(_xlfn._xlws.FILTER(OFFSET($O$15,0,$DN364,$B$8,1),OFFSET($M$15,0,0,$B$8,1))=EY$13), 1*(_xlfn._xlws.FILTER(OFFSET($O$15,0,$DO364,$B$8,1),OFFSET($M$15,0,0,$B$8,1))=EY$14))   /   SUM(OFFSET($BO$15,0,0,$B$14,1)) + $B$18/($B$19*$B$19*($DN364&lt;&gt;$DO364) + $B$19*($DN364=$DO364))</f>
        <v>3.7037037037037035E-4</v>
      </c>
      <c r="EZ364" s="10" cm="1">
        <f t="array" aca="1" ref="EZ364" ca="1">(1-$B$18)*SUMPRODUCT(OFFSET($BO$15,0,0,$B$14,1), 1*(_xlfn._xlws.FILTER(OFFSET($O$15,0,$DN364,$B$8,1),OFFSET($M$15,0,0,$B$8,1))=EZ$13), 1*(_xlfn._xlws.FILTER(OFFSET($O$15,0,$DO364,$B$8,1),OFFSET($M$15,0,0,$B$8,1))=EZ$14))   /   SUM(OFFSET($BO$15,0,0,$B$14,1)) + $B$18/($B$19*$B$19*($DN364&lt;&gt;$DO364) + $B$19*($DN364=$DO364))</f>
        <v>3.7037037037037035E-4</v>
      </c>
      <c r="FA364" s="10" cm="1">
        <f t="array" aca="1" ref="FA364" ca="1">(1-$B$18)*SUMPRODUCT(OFFSET($BO$15,0,0,$B$14,1), 1*(_xlfn._xlws.FILTER(OFFSET($O$15,0,$DN364,$B$8,1),OFFSET($M$15,0,0,$B$8,1))=FA$13), 1*(_xlfn._xlws.FILTER(OFFSET($O$15,0,$DO364,$B$8,1),OFFSET($M$15,0,0,$B$8,1))=FA$14))   /   SUM(OFFSET($BO$15,0,0,$B$14,1)) + $B$18/($B$19*$B$19*($DN364&lt;&gt;$DO364) + $B$19*($DN364=$DO364))</f>
        <v>3.7037037037037035E-4</v>
      </c>
      <c r="FB364" s="10" cm="1">
        <f t="array" aca="1" ref="FB364" ca="1">(1-$B$18)*SUMPRODUCT(OFFSET($BO$15,0,0,$B$14,1), 1*(_xlfn._xlws.FILTER(OFFSET($O$15,0,$DN364,$B$8,1),OFFSET($M$15,0,0,$B$8,1))=FB$13), 1*(_xlfn._xlws.FILTER(OFFSET($O$15,0,$DO364,$B$8,1),OFFSET($M$15,0,0,$B$8,1))=FB$14))   /   SUM(OFFSET($BO$15,0,0,$B$14,1)) + $B$18/($B$19*$B$19*($DN364&lt;&gt;$DO364) + $B$19*($DN364=$DO364))</f>
        <v>0.24287037037037024</v>
      </c>
      <c r="FC364" s="10" cm="1">
        <f t="array" aca="1" ref="FC364" ca="1">(1-$B$18)*SUMPRODUCT(OFFSET($BO$15,0,0,$B$14,1), 1*(_xlfn._xlws.FILTER(OFFSET($O$15,0,$DN364,$B$8,1),OFFSET($M$15,0,0,$B$8,1))=FC$13), 1*(_xlfn._xlws.FILTER(OFFSET($O$15,0,$DO364,$B$8,1),OFFSET($M$15,0,0,$B$8,1))=FC$14))   /   SUM(OFFSET($BO$15,0,0,$B$14,1)) + $B$18/($B$19*$B$19*($DN364&lt;&gt;$DO364) + $B$19*($DN364=$DO364))</f>
        <v>3.7037037037037035E-4</v>
      </c>
      <c r="FD364" s="10" cm="1">
        <f t="array" aca="1" ref="FD364" ca="1">(1-$B$18)*SUMPRODUCT(OFFSET($BO$15,0,0,$B$14,1), 1*(_xlfn._xlws.FILTER(OFFSET($O$15,0,$DN364,$B$8,1),OFFSET($M$15,0,0,$B$8,1))=FD$13), 1*(_xlfn._xlws.FILTER(OFFSET($O$15,0,$DO364,$B$8,1),OFFSET($M$15,0,0,$B$8,1))=FD$14))   /   SUM(OFFSET($BO$15,0,0,$B$14,1)) + $B$18/($B$19*$B$19*($DN364&lt;&gt;$DO364) + $B$19*($DN364=$DO364))</f>
        <v>3.7037037037037035E-4</v>
      </c>
      <c r="FE364" s="10" cm="1">
        <f t="array" aca="1" ref="FE364" ca="1">(1-$B$18)*SUMPRODUCT(OFFSET($BO$15,0,0,$B$14,1), 1*(_xlfn._xlws.FILTER(OFFSET($O$15,0,$DN364,$B$8,1),OFFSET($M$15,0,0,$B$8,1))=FE$13), 1*(_xlfn._xlws.FILTER(OFFSET($O$15,0,$DO364,$B$8,1),OFFSET($M$15,0,0,$B$8,1))=FE$14))   /   SUM(OFFSET($BO$15,0,0,$B$14,1)) + $B$18/($B$19*$B$19*($DN364&lt;&gt;$DO364) + $B$19*($DN364=$DO364))</f>
        <v>3.7037037037037035E-4</v>
      </c>
      <c r="FF364" s="10" cm="1">
        <f t="array" aca="1" ref="FF364" ca="1">(1-$B$18)*SUMPRODUCT(OFFSET($BO$15,0,0,$B$14,1), 1*(_xlfn._xlws.FILTER(OFFSET($O$15,0,$DN364,$B$8,1),OFFSET($M$15,0,0,$B$8,1))=FF$13), 1*(_xlfn._xlws.FILTER(OFFSET($O$15,0,$DO364,$B$8,1),OFFSET($M$15,0,0,$B$8,1))=FF$14))   /   SUM(OFFSET($BO$15,0,0,$B$14,1)) + $B$18/($B$19*$B$19*($DN364&lt;&gt;$DO364) + $B$19*($DN364=$DO364))</f>
        <v>3.7037037037037035E-4</v>
      </c>
      <c r="FG364" s="10" cm="1">
        <f t="array" aca="1" ref="FG364" ca="1">(1-$B$18)*SUMPRODUCT(OFFSET($BO$15,0,0,$B$14,1), 1*(_xlfn._xlws.FILTER(OFFSET($O$15,0,$DN364,$B$8,1),OFFSET($M$15,0,0,$B$8,1))=FG$13), 1*(_xlfn._xlws.FILTER(OFFSET($O$15,0,$DO364,$B$8,1),OFFSET($M$15,0,0,$B$8,1))=FG$14))   /   SUM(OFFSET($BO$15,0,0,$B$14,1)) + $B$18/($B$19*$B$19*($DN364&lt;&gt;$DO364) + $B$19*($DN364=$DO364))</f>
        <v>3.7037037037037035E-4</v>
      </c>
      <c r="FH364" s="10" cm="1">
        <f t="array" aca="1" ref="FH364" ca="1">(1-$B$18)*SUMPRODUCT(OFFSET($BO$15,0,0,$B$14,1), 1*(_xlfn._xlws.FILTER(OFFSET($O$15,0,$DN364,$B$8,1),OFFSET($M$15,0,0,$B$8,1))=FH$13), 1*(_xlfn._xlws.FILTER(OFFSET($O$15,0,$DO364,$B$8,1),OFFSET($M$15,0,0,$B$8,1))=FH$14))   /   SUM(OFFSET($BO$15,0,0,$B$14,1)) + $B$18/($B$19*$B$19*($DN364&lt;&gt;$DO364) + $B$19*($DN364=$DO364))</f>
        <v>3.7037037037037035E-4</v>
      </c>
      <c r="FI364" s="10" cm="1">
        <f t="array" aca="1" ref="FI364" ca="1">(1-$B$18)*SUMPRODUCT(OFFSET($BO$15,0,0,$B$14,1), 1*(_xlfn._xlws.FILTER(OFFSET($O$15,0,$DN364,$B$8,1),OFFSET($M$15,0,0,$B$8,1))=FI$13), 1*(_xlfn._xlws.FILTER(OFFSET($O$15,0,$DO364,$B$8,1),OFFSET($M$15,0,0,$B$8,1))=FI$14))   /   SUM(OFFSET($BO$15,0,0,$B$14,1)) + $B$18/($B$19*$B$19*($DN364&lt;&gt;$DO364) + $B$19*($DN364=$DO364))</f>
        <v>3.7037037037037035E-4</v>
      </c>
      <c r="FJ364" s="10" cm="1">
        <f t="array" aca="1" ref="FJ364" ca="1">(1-$B$18)*SUMPRODUCT(OFFSET($BO$15,0,0,$B$14,1), 1*(_xlfn._xlws.FILTER(OFFSET($O$15,0,$DN364,$B$8,1),OFFSET($M$15,0,0,$B$8,1))=FJ$13), 1*(_xlfn._xlws.FILTER(OFFSET($O$15,0,$DO364,$B$8,1),OFFSET($M$15,0,0,$B$8,1))=FJ$14))   /   SUM(OFFSET($BO$15,0,0,$B$14,1)) + $B$18/($B$19*$B$19*($DN364&lt;&gt;$DO364) + $B$19*($DN364=$DO364))</f>
        <v>0.48537037037037012</v>
      </c>
      <c r="FK364" s="10" cm="1">
        <f t="array" aca="1" ref="FK364" ca="1">(1-$B$18)*SUMPRODUCT(OFFSET($BO$15,0,0,$B$14,1), 1*(_xlfn._xlws.FILTER(OFFSET($O$15,0,$DN364,$B$8,1),OFFSET($M$15,0,0,$B$8,1))=FK$13), 1*(_xlfn._xlws.FILTER(OFFSET($O$15,0,$DO364,$B$8,1),OFFSET($M$15,0,0,$B$8,1))=FK$14))   /   SUM(OFFSET($BO$15,0,0,$B$14,1)) + $B$18/($B$19*$B$19*($DN364&lt;&gt;$DO364) + $B$19*($DN364=$DO364))</f>
        <v>3.7037037037037035E-4</v>
      </c>
      <c r="FL364" s="10" cm="1">
        <f t="array" aca="1" ref="FL364" ca="1">(1-$B$18)*SUMPRODUCT(OFFSET($BO$15,0,0,$B$14,1), 1*(_xlfn._xlws.FILTER(OFFSET($O$15,0,$DN364,$B$8,1),OFFSET($M$15,0,0,$B$8,1))=FL$13), 1*(_xlfn._xlws.FILTER(OFFSET($O$15,0,$DO364,$B$8,1),OFFSET($M$15,0,0,$B$8,1))=FL$14))   /   SUM(OFFSET($BO$15,0,0,$B$14,1)) + $B$18/($B$19*$B$19*($DN364&lt;&gt;$DO364) + $B$19*($DN364=$DO364))</f>
        <v>3.7037037037037035E-4</v>
      </c>
      <c r="FM364" s="10" cm="1">
        <f t="array" aca="1" ref="FM364" ca="1">(1-$B$18)*SUMPRODUCT(OFFSET($BO$15,0,0,$B$14,1), 1*(_xlfn._xlws.FILTER(OFFSET($O$15,0,$DN364,$B$8,1),OFFSET($M$15,0,0,$B$8,1))=FM$13), 1*(_xlfn._xlws.FILTER(OFFSET($O$15,0,$DO364,$B$8,1),OFFSET($M$15,0,0,$B$8,1))=FM$14))   /   SUM(OFFSET($BO$15,0,0,$B$14,1)) + $B$18/($B$19*$B$19*($DN364&lt;&gt;$DO364) + $B$19*($DN364=$DO364))</f>
        <v>3.7037037037037035E-4</v>
      </c>
      <c r="FN364" s="10" cm="1">
        <f t="array" aca="1" ref="FN364" ca="1">(1-$B$18)*SUMPRODUCT(OFFSET($BO$15,0,0,$B$14,1), 1*(_xlfn._xlws.FILTER(OFFSET($O$15,0,$DN364,$B$8,1),OFFSET($M$15,0,0,$B$8,1))=FN$13), 1*(_xlfn._xlws.FILTER(OFFSET($O$15,0,$DO364,$B$8,1),OFFSET($M$15,0,0,$B$8,1))=FN$14))   /   SUM(OFFSET($BO$15,0,0,$B$14,1)) + $B$18/($B$19*$B$19*($DN364&lt;&gt;$DO364) + $B$19*($DN364=$DO364))</f>
        <v>3.7037037037037035E-4</v>
      </c>
      <c r="FO364" s="10" cm="1">
        <f t="array" aca="1" ref="FO364" ca="1">(1-$B$18)*SUMPRODUCT(OFFSET($BO$15,0,0,$B$14,1), 1*(_xlfn._xlws.FILTER(OFFSET($O$15,0,$DN364,$B$8,1),OFFSET($M$15,0,0,$B$8,1))=FO$13), 1*(_xlfn._xlws.FILTER(OFFSET($O$15,0,$DO364,$B$8,1),OFFSET($M$15,0,0,$B$8,1))=FO$14))   /   SUM(OFFSET($BO$15,0,0,$B$14,1)) + $B$18/($B$19*$B$19*($DN364&lt;&gt;$DO364) + $B$19*($DN364=$DO364))</f>
        <v>3.7037037037037035E-4</v>
      </c>
      <c r="FP364" s="10" cm="1">
        <f t="array" aca="1" ref="FP364" ca="1">(1-$B$18)*SUMPRODUCT(OFFSET($BO$15,0,0,$B$14,1), 1*(_xlfn._xlws.FILTER(OFFSET($O$15,0,$DN364,$B$8,1),OFFSET($M$15,0,0,$B$8,1))=FP$13), 1*(_xlfn._xlws.FILTER(OFFSET($O$15,0,$DO364,$B$8,1),OFFSET($M$15,0,0,$B$8,1))=FP$14))   /   SUM(OFFSET($BO$15,0,0,$B$14,1)) + $B$18/($B$19*$B$19*($DN364&lt;&gt;$DO364) + $B$19*($DN364=$DO364))</f>
        <v>3.7037037037037035E-4</v>
      </c>
      <c r="FQ364" s="10" cm="1">
        <f t="array" aca="1" ref="FQ364" ca="1">(1-$B$18)*SUMPRODUCT(OFFSET($BO$15,0,0,$B$14,1), 1*(_xlfn._xlws.FILTER(OFFSET($O$15,0,$DN364,$B$8,1),OFFSET($M$15,0,0,$B$8,1))=FQ$13), 1*(_xlfn._xlws.FILTER(OFFSET($O$15,0,$DO364,$B$8,1),OFFSET($M$15,0,0,$B$8,1))=FQ$14))   /   SUM(OFFSET($BO$15,0,0,$B$14,1)) + $B$18/($B$19*$B$19*($DN364&lt;&gt;$DO364) + $B$19*($DN364=$DO364))</f>
        <v>3.7037037037037035E-4</v>
      </c>
      <c r="FR364" s="10" cm="1">
        <f t="array" aca="1" ref="FR364" ca="1">(1-$B$18)*SUMPRODUCT(OFFSET($BO$15,0,0,$B$14,1), 1*(_xlfn._xlws.FILTER(OFFSET($O$15,0,$DN364,$B$8,1),OFFSET($M$15,0,0,$B$8,1))=FR$13), 1*(_xlfn._xlws.FILTER(OFFSET($O$15,0,$DO364,$B$8,1),OFFSET($M$15,0,0,$B$8,1))=FR$14))   /   SUM(OFFSET($BO$15,0,0,$B$14,1)) + $B$18/($B$19*$B$19*($DN364&lt;&gt;$DO364) + $B$19*($DN364=$DO364))</f>
        <v>0.24287037037037026</v>
      </c>
      <c r="FS364" s="10" cm="1">
        <f t="array" aca="1" ref="FS364" ca="1">(1-$B$18)*SUMPRODUCT(OFFSET($BO$15,0,0,$B$14,1), 1*(_xlfn._xlws.FILTER(OFFSET($O$15,0,$DN364,$B$8,1),OFFSET($M$15,0,0,$B$8,1))=FS$13), 1*(_xlfn._xlws.FILTER(OFFSET($O$15,0,$DO364,$B$8,1),OFFSET($M$15,0,0,$B$8,1))=FS$14))   /   SUM(OFFSET($BO$15,0,0,$B$14,1)) + $B$18/($B$19*$B$19*($DN364&lt;&gt;$DO364) + $B$19*($DN364=$DO364))</f>
        <v>3.7037037037037035E-4</v>
      </c>
      <c r="FT364" s="10" cm="1">
        <f t="array" aca="1" ref="FT364" ca="1">(1-$B$18)*SUMPRODUCT(OFFSET($BO$15,0,0,$B$14,1), 1*(_xlfn._xlws.FILTER(OFFSET($O$15,0,$DN364,$B$8,1),OFFSET($M$15,0,0,$B$8,1))=FT$13), 1*(_xlfn._xlws.FILTER(OFFSET($O$15,0,$DO364,$B$8,1),OFFSET($M$15,0,0,$B$8,1))=FT$14))   /   SUM(OFFSET($BO$15,0,0,$B$14,1)) + $B$18/($B$19*$B$19*($DN364&lt;&gt;$DO364) + $B$19*($DN364=$DO364))</f>
        <v>3.7037037037037035E-4</v>
      </c>
      <c r="FU364" s="10" cm="1">
        <f t="array" aca="1" ref="FU364" ca="1">(1-$B$18)*SUMPRODUCT(OFFSET($BO$15,0,0,$B$14,1), 1*(_xlfn._xlws.FILTER(OFFSET($O$15,0,$DN364,$B$8,1),OFFSET($M$15,0,0,$B$8,1))=FU$13), 1*(_xlfn._xlws.FILTER(OFFSET($O$15,0,$DO364,$B$8,1),OFFSET($M$15,0,0,$B$8,1))=FU$14))   /   SUM(OFFSET($BO$15,0,0,$B$14,1)) + $B$18/($B$19*$B$19*($DN364&lt;&gt;$DO364) + $B$19*($DN364=$DO364))</f>
        <v>3.7037037037037035E-4</v>
      </c>
      <c r="FV364" s="10" cm="1">
        <f t="array" aca="1" ref="FV364" ca="1">(1-$B$18)*SUMPRODUCT(OFFSET($BO$15,0,0,$B$14,1), 1*(_xlfn._xlws.FILTER(OFFSET($O$15,0,$DN364,$B$8,1),OFFSET($M$15,0,0,$B$8,1))=FV$13), 1*(_xlfn._xlws.FILTER(OFFSET($O$15,0,$DO364,$B$8,1),OFFSET($M$15,0,0,$B$8,1))=FV$14))   /   SUM(OFFSET($BO$15,0,0,$B$14,1)) + $B$18/($B$19*$B$19*($DN364&lt;&gt;$DO364) + $B$19*($DN364=$DO364))</f>
        <v>3.7037037037037035E-4</v>
      </c>
      <c r="FW364" s="10" cm="1">
        <f t="array" aca="1" ref="FW364" ca="1">(1-$B$18)*SUMPRODUCT(OFFSET($BO$15,0,0,$B$14,1), 1*(_xlfn._xlws.FILTER(OFFSET($O$15,0,$DN364,$B$8,1),OFFSET($M$15,0,0,$B$8,1))=FW$13), 1*(_xlfn._xlws.FILTER(OFFSET($O$15,0,$DO364,$B$8,1),OFFSET($M$15,0,0,$B$8,1))=FW$14))   /   SUM(OFFSET($BO$15,0,0,$B$14,1)) + $B$18/($B$19*$B$19*($DN364&lt;&gt;$DO364) + $B$19*($DN364=$DO364))</f>
        <v>3.7037037037037035E-4</v>
      </c>
      <c r="FX364" s="10" cm="1">
        <f t="array" aca="1" ref="FX364" ca="1">(1-$B$18)*SUMPRODUCT(OFFSET($BO$15,0,0,$B$14,1), 1*(_xlfn._xlws.FILTER(OFFSET($O$15,0,$DN364,$B$8,1),OFFSET($M$15,0,0,$B$8,1))=FX$13), 1*(_xlfn._xlws.FILTER(OFFSET($O$15,0,$DO364,$B$8,1),OFFSET($M$15,0,0,$B$8,1))=FX$14))   /   SUM(OFFSET($BO$15,0,0,$B$14,1)) + $B$18/($B$19*$B$19*($DN364&lt;&gt;$DO364) + $B$19*($DN364=$DO364))</f>
        <v>3.7037037037037035E-4</v>
      </c>
      <c r="FY364" s="10" cm="1">
        <f t="array" aca="1" ref="FY364" ca="1">(1-$B$18)*SUMPRODUCT(OFFSET($BO$15,0,0,$B$14,1), 1*(_xlfn._xlws.FILTER(OFFSET($O$15,0,$DN364,$B$8,1),OFFSET($M$15,0,0,$B$8,1))=FY$13), 1*(_xlfn._xlws.FILTER(OFFSET($O$15,0,$DO364,$B$8,1),OFFSET($M$15,0,0,$B$8,1))=FY$14))   /   SUM(OFFSET($BO$15,0,0,$B$14,1)) + $B$18/($B$19*$B$19*($DN364&lt;&gt;$DO364) + $B$19*($DN364=$DO364))</f>
        <v>3.7037037037037035E-4</v>
      </c>
      <c r="FZ364" s="10" cm="1">
        <f t="array" aca="1" ref="FZ364" ca="1">(1-$B$18)*SUMPRODUCT(OFFSET($BO$15,0,0,$B$14,1), 1*(_xlfn._xlws.FILTER(OFFSET($O$15,0,$DN364,$B$8,1),OFFSET($M$15,0,0,$B$8,1))=FZ$13), 1*(_xlfn._xlws.FILTER(OFFSET($O$15,0,$DO364,$B$8,1),OFFSET($M$15,0,0,$B$8,1))=FZ$14))   /   SUM(OFFSET($BO$15,0,0,$B$14,1)) + $B$18/($B$19*$B$19*($DN364&lt;&gt;$DO364) + $B$19*($DN364=$DO364))</f>
        <v>3.7037037037037035E-4</v>
      </c>
      <c r="GA364" s="10" cm="1">
        <f t="array" aca="1" ref="GA364" ca="1">(1-$B$18)*SUMPRODUCT(OFFSET($BO$15,0,0,$B$14,1), 1*(_xlfn._xlws.FILTER(OFFSET($O$15,0,$DN364,$B$8,1),OFFSET($M$15,0,0,$B$8,1))=GA$13), 1*(_xlfn._xlws.FILTER(OFFSET($O$15,0,$DO364,$B$8,1),OFFSET($M$15,0,0,$B$8,1))=GA$14))   /   SUM(OFFSET($BO$15,0,0,$B$14,1)) + $B$18/($B$19*$B$19*($DN364&lt;&gt;$DO364) + $B$19*($DN364=$DO364))</f>
        <v>3.7037037037037035E-4</v>
      </c>
    </row>
    <row r="365" spans="118:183" x14ac:dyDescent="0.2">
      <c r="DN365" cm="1">
        <f t="array" aca="1" ref="DN365" ca="1">INDEX(_xlfn.ANCHORARRAY($CP$15), 1 + INT((ROWS($DO$15:$DO365) - 1) / ROWS(_xlfn.ANCHORARRAY($CP$15))))</f>
        <v>21</v>
      </c>
      <c r="DO365" cm="1">
        <f t="array" aca="1" ref="DO365" ca="1">INDEX(_xlfn.ANCHORARRAY($CP$15),1+MOD(ROWS($DO$15:$DO365)-1,ROWS(_xlfn.ANCHORARRAY($CP$15))))</f>
        <v>8</v>
      </c>
      <c r="DP365" s="10" cm="1">
        <f t="array" aca="1" ref="DP365" ca="1">(1-$B$18)*SUMPRODUCT(OFFSET($BO$15,0,0,$B$14,1), 1*(_xlfn._xlws.FILTER(OFFSET($O$15,0,$DN365,$B$8,1),OFFSET($M$15,0,0,$B$8,1))=DP$13), 1*(_xlfn._xlws.FILTER(OFFSET($O$15,0,$DO365,$B$8,1),OFFSET($M$15,0,0,$B$8,1))=DP$14))   /   SUM(OFFSET($BO$15,0,0,$B$14,1)) + $B$18/($B$19*$B$19*($DN365&lt;&gt;$DO365) + $B$19*($DN365=$DO365))</f>
        <v>3.7037037037037035E-4</v>
      </c>
      <c r="DQ365" s="10" cm="1">
        <f t="array" aca="1" ref="DQ365" ca="1">(1-$B$18)*SUMPRODUCT(OFFSET($BO$15,0,0,$B$14,1), 1*(_xlfn._xlws.FILTER(OFFSET($O$15,0,$DN365,$B$8,1),OFFSET($M$15,0,0,$B$8,1))=DQ$13), 1*(_xlfn._xlws.FILTER(OFFSET($O$15,0,$DO365,$B$8,1),OFFSET($M$15,0,0,$B$8,1))=DQ$14))   /   SUM(OFFSET($BO$15,0,0,$B$14,1)) + $B$18/($B$19*$B$19*($DN365&lt;&gt;$DO365) + $B$19*($DN365=$DO365))</f>
        <v>3.7037037037037035E-4</v>
      </c>
      <c r="DR365" s="10" cm="1">
        <f t="array" aca="1" ref="DR365" ca="1">(1-$B$18)*SUMPRODUCT(OFFSET($BO$15,0,0,$B$14,1), 1*(_xlfn._xlws.FILTER(OFFSET($O$15,0,$DN365,$B$8,1),OFFSET($M$15,0,0,$B$8,1))=DR$13), 1*(_xlfn._xlws.FILTER(OFFSET($O$15,0,$DO365,$B$8,1),OFFSET($M$15,0,0,$B$8,1))=DR$14))   /   SUM(OFFSET($BO$15,0,0,$B$14,1)) + $B$18/($B$19*$B$19*($DN365&lt;&gt;$DO365) + $B$19*($DN365=$DO365))</f>
        <v>3.7037037037037035E-4</v>
      </c>
      <c r="DS365" s="10" cm="1">
        <f t="array" aca="1" ref="DS365" ca="1">(1-$B$18)*SUMPRODUCT(OFFSET($BO$15,0,0,$B$14,1), 1*(_xlfn._xlws.FILTER(OFFSET($O$15,0,$DN365,$B$8,1),OFFSET($M$15,0,0,$B$8,1))=DS$13), 1*(_xlfn._xlws.FILTER(OFFSET($O$15,0,$DO365,$B$8,1),OFFSET($M$15,0,0,$B$8,1))=DS$14))   /   SUM(OFFSET($BO$15,0,0,$B$14,1)) + $B$18/($B$19*$B$19*($DN365&lt;&gt;$DO365) + $B$19*($DN365=$DO365))</f>
        <v>3.7037037037037035E-4</v>
      </c>
      <c r="DT365" s="10" cm="1">
        <f t="array" aca="1" ref="DT365" ca="1">(1-$B$18)*SUMPRODUCT(OFFSET($BO$15,0,0,$B$14,1), 1*(_xlfn._xlws.FILTER(OFFSET($O$15,0,$DN365,$B$8,1),OFFSET($M$15,0,0,$B$8,1))=DT$13), 1*(_xlfn._xlws.FILTER(OFFSET($O$15,0,$DO365,$B$8,1),OFFSET($M$15,0,0,$B$8,1))=DT$14))   /   SUM(OFFSET($BO$15,0,0,$B$14,1)) + $B$18/($B$19*$B$19*($DN365&lt;&gt;$DO365) + $B$19*($DN365=$DO365))</f>
        <v>3.7037037037037035E-4</v>
      </c>
      <c r="DU365" s="10" cm="1">
        <f t="array" aca="1" ref="DU365" ca="1">(1-$B$18)*SUMPRODUCT(OFFSET($BO$15,0,0,$B$14,1), 1*(_xlfn._xlws.FILTER(OFFSET($O$15,0,$DN365,$B$8,1),OFFSET($M$15,0,0,$B$8,1))=DU$13), 1*(_xlfn._xlws.FILTER(OFFSET($O$15,0,$DO365,$B$8,1),OFFSET($M$15,0,0,$B$8,1))=DU$14))   /   SUM(OFFSET($BO$15,0,0,$B$14,1)) + $B$18/($B$19*$B$19*($DN365&lt;&gt;$DO365) + $B$19*($DN365=$DO365))</f>
        <v>3.7037037037037035E-4</v>
      </c>
      <c r="DV365" s="10" cm="1">
        <f t="array" aca="1" ref="DV365" ca="1">(1-$B$18)*SUMPRODUCT(OFFSET($BO$15,0,0,$B$14,1), 1*(_xlfn._xlws.FILTER(OFFSET($O$15,0,$DN365,$B$8,1),OFFSET($M$15,0,0,$B$8,1))=DV$13), 1*(_xlfn._xlws.FILTER(OFFSET($O$15,0,$DO365,$B$8,1),OFFSET($M$15,0,0,$B$8,1))=DV$14))   /   SUM(OFFSET($BO$15,0,0,$B$14,1)) + $B$18/($B$19*$B$19*($DN365&lt;&gt;$DO365) + $B$19*($DN365=$DO365))</f>
        <v>3.7037037037037035E-4</v>
      </c>
      <c r="DW365" s="10" cm="1">
        <f t="array" aca="1" ref="DW365" ca="1">(1-$B$18)*SUMPRODUCT(OFFSET($BO$15,0,0,$B$14,1), 1*(_xlfn._xlws.FILTER(OFFSET($O$15,0,$DN365,$B$8,1),OFFSET($M$15,0,0,$B$8,1))=DW$13), 1*(_xlfn._xlws.FILTER(OFFSET($O$15,0,$DO365,$B$8,1),OFFSET($M$15,0,0,$B$8,1))=DW$14))   /   SUM(OFFSET($BO$15,0,0,$B$14,1)) + $B$18/($B$19*$B$19*($DN365&lt;&gt;$DO365) + $B$19*($DN365=$DO365))</f>
        <v>3.7037037037037035E-4</v>
      </c>
      <c r="DX365" s="10" cm="1">
        <f t="array" aca="1" ref="DX365" ca="1">(1-$B$18)*SUMPRODUCT(OFFSET($BO$15,0,0,$B$14,1), 1*(_xlfn._xlws.FILTER(OFFSET($O$15,0,$DN365,$B$8,1),OFFSET($M$15,0,0,$B$8,1))=DX$13), 1*(_xlfn._xlws.FILTER(OFFSET($O$15,0,$DO365,$B$8,1),OFFSET($M$15,0,0,$B$8,1))=DX$14))   /   SUM(OFFSET($BO$15,0,0,$B$14,1)) + $B$18/($B$19*$B$19*($DN365&lt;&gt;$DO365) + $B$19*($DN365=$DO365))</f>
        <v>3.7037037037037035E-4</v>
      </c>
      <c r="DY365" s="10" cm="1">
        <f t="array" aca="1" ref="DY365" ca="1">(1-$B$18)*SUMPRODUCT(OFFSET($BO$15,0,0,$B$14,1), 1*(_xlfn._xlws.FILTER(OFFSET($O$15,0,$DN365,$B$8,1),OFFSET($M$15,0,0,$B$8,1))=DY$13), 1*(_xlfn._xlws.FILTER(OFFSET($O$15,0,$DO365,$B$8,1),OFFSET($M$15,0,0,$B$8,1))=DY$14))   /   SUM(OFFSET($BO$15,0,0,$B$14,1)) + $B$18/($B$19*$B$19*($DN365&lt;&gt;$DO365) + $B$19*($DN365=$DO365))</f>
        <v>3.7037037037037035E-4</v>
      </c>
      <c r="DZ365" s="10" cm="1">
        <f t="array" aca="1" ref="DZ365" ca="1">(1-$B$18)*SUMPRODUCT(OFFSET($BO$15,0,0,$B$14,1), 1*(_xlfn._xlws.FILTER(OFFSET($O$15,0,$DN365,$B$8,1),OFFSET($M$15,0,0,$B$8,1))=DZ$13), 1*(_xlfn._xlws.FILTER(OFFSET($O$15,0,$DO365,$B$8,1),OFFSET($M$15,0,0,$B$8,1))=DZ$14))   /   SUM(OFFSET($BO$15,0,0,$B$14,1)) + $B$18/($B$19*$B$19*($DN365&lt;&gt;$DO365) + $B$19*($DN365=$DO365))</f>
        <v>3.7037037037037035E-4</v>
      </c>
      <c r="EA365" s="10" cm="1">
        <f t="array" aca="1" ref="EA365" ca="1">(1-$B$18)*SUMPRODUCT(OFFSET($BO$15,0,0,$B$14,1), 1*(_xlfn._xlws.FILTER(OFFSET($O$15,0,$DN365,$B$8,1),OFFSET($M$15,0,0,$B$8,1))=EA$13), 1*(_xlfn._xlws.FILTER(OFFSET($O$15,0,$DO365,$B$8,1),OFFSET($M$15,0,0,$B$8,1))=EA$14))   /   SUM(OFFSET($BO$15,0,0,$B$14,1)) + $B$18/($B$19*$B$19*($DN365&lt;&gt;$DO365) + $B$19*($DN365=$DO365))</f>
        <v>3.7037037037037035E-4</v>
      </c>
      <c r="EB365" s="10" cm="1">
        <f t="array" aca="1" ref="EB365" ca="1">(1-$B$18)*SUMPRODUCT(OFFSET($BO$15,0,0,$B$14,1), 1*(_xlfn._xlws.FILTER(OFFSET($O$15,0,$DN365,$B$8,1),OFFSET($M$15,0,0,$B$8,1))=EB$13), 1*(_xlfn._xlws.FILTER(OFFSET($O$15,0,$DO365,$B$8,1),OFFSET($M$15,0,0,$B$8,1))=EB$14))   /   SUM(OFFSET($BO$15,0,0,$B$14,1)) + $B$18/($B$19*$B$19*($DN365&lt;&gt;$DO365) + $B$19*($DN365=$DO365))</f>
        <v>3.7037037037037035E-4</v>
      </c>
      <c r="EC365" s="10" cm="1">
        <f t="array" aca="1" ref="EC365" ca="1">(1-$B$18)*SUMPRODUCT(OFFSET($BO$15,0,0,$B$14,1), 1*(_xlfn._xlws.FILTER(OFFSET($O$15,0,$DN365,$B$8,1),OFFSET($M$15,0,0,$B$8,1))=EC$13), 1*(_xlfn._xlws.FILTER(OFFSET($O$15,0,$DO365,$B$8,1),OFFSET($M$15,0,0,$B$8,1))=EC$14))   /   SUM(OFFSET($BO$15,0,0,$B$14,1)) + $B$18/($B$19*$B$19*($DN365&lt;&gt;$DO365) + $B$19*($DN365=$DO365))</f>
        <v>3.7037037037037035E-4</v>
      </c>
      <c r="ED365" s="10" cm="1">
        <f t="array" aca="1" ref="ED365" ca="1">(1-$B$18)*SUMPRODUCT(OFFSET($BO$15,0,0,$B$14,1), 1*(_xlfn._xlws.FILTER(OFFSET($O$15,0,$DN365,$B$8,1),OFFSET($M$15,0,0,$B$8,1))=ED$13), 1*(_xlfn._xlws.FILTER(OFFSET($O$15,0,$DO365,$B$8,1),OFFSET($M$15,0,0,$B$8,1))=ED$14))   /   SUM(OFFSET($BO$15,0,0,$B$14,1)) + $B$18/($B$19*$B$19*($DN365&lt;&gt;$DO365) + $B$19*($DN365=$DO365))</f>
        <v>3.7037037037037035E-4</v>
      </c>
      <c r="EE365" s="10" cm="1">
        <f t="array" aca="1" ref="EE365" ca="1">(1-$B$18)*SUMPRODUCT(OFFSET($BO$15,0,0,$B$14,1), 1*(_xlfn._xlws.FILTER(OFFSET($O$15,0,$DN365,$B$8,1),OFFSET($M$15,0,0,$B$8,1))=EE$13), 1*(_xlfn._xlws.FILTER(OFFSET($O$15,0,$DO365,$B$8,1),OFFSET($M$15,0,0,$B$8,1))=EE$14))   /   SUM(OFFSET($BO$15,0,0,$B$14,1)) + $B$18/($B$19*$B$19*($DN365&lt;&gt;$DO365) + $B$19*($DN365=$DO365))</f>
        <v>3.7037037037037035E-4</v>
      </c>
      <c r="EF365" s="10" cm="1">
        <f t="array" aca="1" ref="EF365" ca="1">(1-$B$18)*SUMPRODUCT(OFFSET($BO$15,0,0,$B$14,1), 1*(_xlfn._xlws.FILTER(OFFSET($O$15,0,$DN365,$B$8,1),OFFSET($M$15,0,0,$B$8,1))=EF$13), 1*(_xlfn._xlws.FILTER(OFFSET($O$15,0,$DO365,$B$8,1),OFFSET($M$15,0,0,$B$8,1))=EF$14))   /   SUM(OFFSET($BO$15,0,0,$B$14,1)) + $B$18/($B$19*$B$19*($DN365&lt;&gt;$DO365) + $B$19*($DN365=$DO365))</f>
        <v>3.7037037037037035E-4</v>
      </c>
      <c r="EG365" s="10" cm="1">
        <f t="array" aca="1" ref="EG365" ca="1">(1-$B$18)*SUMPRODUCT(OFFSET($BO$15,0,0,$B$14,1), 1*(_xlfn._xlws.FILTER(OFFSET($O$15,0,$DN365,$B$8,1),OFFSET($M$15,0,0,$B$8,1))=EG$13), 1*(_xlfn._xlws.FILTER(OFFSET($O$15,0,$DO365,$B$8,1),OFFSET($M$15,0,0,$B$8,1))=EG$14))   /   SUM(OFFSET($BO$15,0,0,$B$14,1)) + $B$18/($B$19*$B$19*($DN365&lt;&gt;$DO365) + $B$19*($DN365=$DO365))</f>
        <v>3.7037037037037035E-4</v>
      </c>
      <c r="EH365" s="10" cm="1">
        <f t="array" aca="1" ref="EH365" ca="1">(1-$B$18)*SUMPRODUCT(OFFSET($BO$15,0,0,$B$14,1), 1*(_xlfn._xlws.FILTER(OFFSET($O$15,0,$DN365,$B$8,1),OFFSET($M$15,0,0,$B$8,1))=EH$13), 1*(_xlfn._xlws.FILTER(OFFSET($O$15,0,$DO365,$B$8,1),OFFSET($M$15,0,0,$B$8,1))=EH$14))   /   SUM(OFFSET($BO$15,0,0,$B$14,1)) + $B$18/($B$19*$B$19*($DN365&lt;&gt;$DO365) + $B$19*($DN365=$DO365))</f>
        <v>3.7037037037037035E-4</v>
      </c>
      <c r="EI365" s="10" cm="1">
        <f t="array" aca="1" ref="EI365" ca="1">(1-$B$18)*SUMPRODUCT(OFFSET($BO$15,0,0,$B$14,1), 1*(_xlfn._xlws.FILTER(OFFSET($O$15,0,$DN365,$B$8,1),OFFSET($M$15,0,0,$B$8,1))=EI$13), 1*(_xlfn._xlws.FILTER(OFFSET($O$15,0,$DO365,$B$8,1),OFFSET($M$15,0,0,$B$8,1))=EI$14))   /   SUM(OFFSET($BO$15,0,0,$B$14,1)) + $B$18/($B$19*$B$19*($DN365&lt;&gt;$DO365) + $B$19*($DN365=$DO365))</f>
        <v>3.7037037037037035E-4</v>
      </c>
      <c r="EJ365" s="10" cm="1">
        <f t="array" aca="1" ref="EJ365" ca="1">(1-$B$18)*SUMPRODUCT(OFFSET($BO$15,0,0,$B$14,1), 1*(_xlfn._xlws.FILTER(OFFSET($O$15,0,$DN365,$B$8,1),OFFSET($M$15,0,0,$B$8,1))=EJ$13), 1*(_xlfn._xlws.FILTER(OFFSET($O$15,0,$DO365,$B$8,1),OFFSET($M$15,0,0,$B$8,1))=EJ$14))   /   SUM(OFFSET($BO$15,0,0,$B$14,1)) + $B$18/($B$19*$B$19*($DN365&lt;&gt;$DO365) + $B$19*($DN365=$DO365))</f>
        <v>3.7037037037037035E-4</v>
      </c>
      <c r="EK365" s="10" cm="1">
        <f t="array" aca="1" ref="EK365" ca="1">(1-$B$18)*SUMPRODUCT(OFFSET($BO$15,0,0,$B$14,1), 1*(_xlfn._xlws.FILTER(OFFSET($O$15,0,$DN365,$B$8,1),OFFSET($M$15,0,0,$B$8,1))=EK$13), 1*(_xlfn._xlws.FILTER(OFFSET($O$15,0,$DO365,$B$8,1),OFFSET($M$15,0,0,$B$8,1))=EK$14))   /   SUM(OFFSET($BO$15,0,0,$B$14,1)) + $B$18/($B$19*$B$19*($DN365&lt;&gt;$DO365) + $B$19*($DN365=$DO365))</f>
        <v>3.7037037037037035E-4</v>
      </c>
      <c r="EL365" s="10" cm="1">
        <f t="array" aca="1" ref="EL365" ca="1">(1-$B$18)*SUMPRODUCT(OFFSET($BO$15,0,0,$B$14,1), 1*(_xlfn._xlws.FILTER(OFFSET($O$15,0,$DN365,$B$8,1),OFFSET($M$15,0,0,$B$8,1))=EL$13), 1*(_xlfn._xlws.FILTER(OFFSET($O$15,0,$DO365,$B$8,1),OFFSET($M$15,0,0,$B$8,1))=EL$14))   /   SUM(OFFSET($BO$15,0,0,$B$14,1)) + $B$18/($B$19*$B$19*($DN365&lt;&gt;$DO365) + $B$19*($DN365=$DO365))</f>
        <v>3.7037037037037035E-4</v>
      </c>
      <c r="EM365" s="10" cm="1">
        <f t="array" aca="1" ref="EM365" ca="1">(1-$B$18)*SUMPRODUCT(OFFSET($BO$15,0,0,$B$14,1), 1*(_xlfn._xlws.FILTER(OFFSET($O$15,0,$DN365,$B$8,1),OFFSET($M$15,0,0,$B$8,1))=EM$13), 1*(_xlfn._xlws.FILTER(OFFSET($O$15,0,$DO365,$B$8,1),OFFSET($M$15,0,0,$B$8,1))=EM$14))   /   SUM(OFFSET($BO$15,0,0,$B$14,1)) + $B$18/($B$19*$B$19*($DN365&lt;&gt;$DO365) + $B$19*($DN365=$DO365))</f>
        <v>3.7037037037037035E-4</v>
      </c>
      <c r="EN365" s="10" cm="1">
        <f t="array" aca="1" ref="EN365" ca="1">(1-$B$18)*SUMPRODUCT(OFFSET($BO$15,0,0,$B$14,1), 1*(_xlfn._xlws.FILTER(OFFSET($O$15,0,$DN365,$B$8,1),OFFSET($M$15,0,0,$B$8,1))=EN$13), 1*(_xlfn._xlws.FILTER(OFFSET($O$15,0,$DO365,$B$8,1),OFFSET($M$15,0,0,$B$8,1))=EN$14))   /   SUM(OFFSET($BO$15,0,0,$B$14,1)) + $B$18/($B$19*$B$19*($DN365&lt;&gt;$DO365) + $B$19*($DN365=$DO365))</f>
        <v>3.7037037037037035E-4</v>
      </c>
      <c r="EO365" s="10" cm="1">
        <f t="array" aca="1" ref="EO365" ca="1">(1-$B$18)*SUMPRODUCT(OFFSET($BO$15,0,0,$B$14,1), 1*(_xlfn._xlws.FILTER(OFFSET($O$15,0,$DN365,$B$8,1),OFFSET($M$15,0,0,$B$8,1))=EO$13), 1*(_xlfn._xlws.FILTER(OFFSET($O$15,0,$DO365,$B$8,1),OFFSET($M$15,0,0,$B$8,1))=EO$14))   /   SUM(OFFSET($BO$15,0,0,$B$14,1)) + $B$18/($B$19*$B$19*($DN365&lt;&gt;$DO365) + $B$19*($DN365=$DO365))</f>
        <v>3.7037037037037035E-4</v>
      </c>
      <c r="EP365" s="10" cm="1">
        <f t="array" aca="1" ref="EP365" ca="1">(1-$B$18)*SUMPRODUCT(OFFSET($BO$15,0,0,$B$14,1), 1*(_xlfn._xlws.FILTER(OFFSET($O$15,0,$DN365,$B$8,1),OFFSET($M$15,0,0,$B$8,1))=EP$13), 1*(_xlfn._xlws.FILTER(OFFSET($O$15,0,$DO365,$B$8,1),OFFSET($M$15,0,0,$B$8,1))=EP$14))   /   SUM(OFFSET($BO$15,0,0,$B$14,1)) + $B$18/($B$19*$B$19*($DN365&lt;&gt;$DO365) + $B$19*($DN365=$DO365))</f>
        <v>3.7037037037037035E-4</v>
      </c>
      <c r="EQ365" s="10" cm="1">
        <f t="array" aca="1" ref="EQ365" ca="1">(1-$B$18)*SUMPRODUCT(OFFSET($BO$15,0,0,$B$14,1), 1*(_xlfn._xlws.FILTER(OFFSET($O$15,0,$DN365,$B$8,1),OFFSET($M$15,0,0,$B$8,1))=EQ$13), 1*(_xlfn._xlws.FILTER(OFFSET($O$15,0,$DO365,$B$8,1),OFFSET($M$15,0,0,$B$8,1))=EQ$14))   /   SUM(OFFSET($BO$15,0,0,$B$14,1)) + $B$18/($B$19*$B$19*($DN365&lt;&gt;$DO365) + $B$19*($DN365=$DO365))</f>
        <v>3.7037037037037035E-4</v>
      </c>
      <c r="ER365" s="10" cm="1">
        <f t="array" aca="1" ref="ER365" ca="1">(1-$B$18)*SUMPRODUCT(OFFSET($BO$15,0,0,$B$14,1), 1*(_xlfn._xlws.FILTER(OFFSET($O$15,0,$DN365,$B$8,1),OFFSET($M$15,0,0,$B$8,1))=ER$13), 1*(_xlfn._xlws.FILTER(OFFSET($O$15,0,$DO365,$B$8,1),OFFSET($M$15,0,0,$B$8,1))=ER$14))   /   SUM(OFFSET($BO$15,0,0,$B$14,1)) + $B$18/($B$19*$B$19*($DN365&lt;&gt;$DO365) + $B$19*($DN365=$DO365))</f>
        <v>3.7037037037037035E-4</v>
      </c>
      <c r="ES365" s="10" cm="1">
        <f t="array" aca="1" ref="ES365" ca="1">(1-$B$18)*SUMPRODUCT(OFFSET($BO$15,0,0,$B$14,1), 1*(_xlfn._xlws.FILTER(OFFSET($O$15,0,$DN365,$B$8,1),OFFSET($M$15,0,0,$B$8,1))=ES$13), 1*(_xlfn._xlws.FILTER(OFFSET($O$15,0,$DO365,$B$8,1),OFFSET($M$15,0,0,$B$8,1))=ES$14))   /   SUM(OFFSET($BO$15,0,0,$B$14,1)) + $B$18/($B$19*$B$19*($DN365&lt;&gt;$DO365) + $B$19*($DN365=$DO365))</f>
        <v>3.7037037037037035E-4</v>
      </c>
      <c r="ET365" s="10" cm="1">
        <f t="array" aca="1" ref="ET365" ca="1">(1-$B$18)*SUMPRODUCT(OFFSET($BO$15,0,0,$B$14,1), 1*(_xlfn._xlws.FILTER(OFFSET($O$15,0,$DN365,$B$8,1),OFFSET($M$15,0,0,$B$8,1))=ET$13), 1*(_xlfn._xlws.FILTER(OFFSET($O$15,0,$DO365,$B$8,1),OFFSET($M$15,0,0,$B$8,1))=ET$14))   /   SUM(OFFSET($BO$15,0,0,$B$14,1)) + $B$18/($B$19*$B$19*($DN365&lt;&gt;$DO365) + $B$19*($DN365=$DO365))</f>
        <v>3.7037037037037035E-4</v>
      </c>
      <c r="EU365" s="10" cm="1">
        <f t="array" aca="1" ref="EU365" ca="1">(1-$B$18)*SUMPRODUCT(OFFSET($BO$15,0,0,$B$14,1), 1*(_xlfn._xlws.FILTER(OFFSET($O$15,0,$DN365,$B$8,1),OFFSET($M$15,0,0,$B$8,1))=EU$13), 1*(_xlfn._xlws.FILTER(OFFSET($O$15,0,$DO365,$B$8,1),OFFSET($M$15,0,0,$B$8,1))=EU$14))   /   SUM(OFFSET($BO$15,0,0,$B$14,1)) + $B$18/($B$19*$B$19*($DN365&lt;&gt;$DO365) + $B$19*($DN365=$DO365))</f>
        <v>3.7037037037037035E-4</v>
      </c>
      <c r="EV365" s="10" cm="1">
        <f t="array" aca="1" ref="EV365" ca="1">(1-$B$18)*SUMPRODUCT(OFFSET($BO$15,0,0,$B$14,1), 1*(_xlfn._xlws.FILTER(OFFSET($O$15,0,$DN365,$B$8,1),OFFSET($M$15,0,0,$B$8,1))=EV$13), 1*(_xlfn._xlws.FILTER(OFFSET($O$15,0,$DO365,$B$8,1),OFFSET($M$15,0,0,$B$8,1))=EV$14))   /   SUM(OFFSET($BO$15,0,0,$B$14,1)) + $B$18/($B$19*$B$19*($DN365&lt;&gt;$DO365) + $B$19*($DN365=$DO365))</f>
        <v>3.7037037037037035E-4</v>
      </c>
      <c r="EW365" s="10" cm="1">
        <f t="array" aca="1" ref="EW365" ca="1">(1-$B$18)*SUMPRODUCT(OFFSET($BO$15,0,0,$B$14,1), 1*(_xlfn._xlws.FILTER(OFFSET($O$15,0,$DN365,$B$8,1),OFFSET($M$15,0,0,$B$8,1))=EW$13), 1*(_xlfn._xlws.FILTER(OFFSET($O$15,0,$DO365,$B$8,1),OFFSET($M$15,0,0,$B$8,1))=EW$14))   /   SUM(OFFSET($BO$15,0,0,$B$14,1)) + $B$18/($B$19*$B$19*($DN365&lt;&gt;$DO365) + $B$19*($DN365=$DO365))</f>
        <v>3.7037037037037035E-4</v>
      </c>
      <c r="EX365" s="10" cm="1">
        <f t="array" aca="1" ref="EX365" ca="1">(1-$B$18)*SUMPRODUCT(OFFSET($BO$15,0,0,$B$14,1), 1*(_xlfn._xlws.FILTER(OFFSET($O$15,0,$DN365,$B$8,1),OFFSET($M$15,0,0,$B$8,1))=EX$13), 1*(_xlfn._xlws.FILTER(OFFSET($O$15,0,$DO365,$B$8,1),OFFSET($M$15,0,0,$B$8,1))=EX$14))   /   SUM(OFFSET($BO$15,0,0,$B$14,1)) + $B$18/($B$19*$B$19*($DN365&lt;&gt;$DO365) + $B$19*($DN365=$DO365))</f>
        <v>3.7037037037037035E-4</v>
      </c>
      <c r="EY365" s="10" cm="1">
        <f t="array" aca="1" ref="EY365" ca="1">(1-$B$18)*SUMPRODUCT(OFFSET($BO$15,0,0,$B$14,1), 1*(_xlfn._xlws.FILTER(OFFSET($O$15,0,$DN365,$B$8,1),OFFSET($M$15,0,0,$B$8,1))=EY$13), 1*(_xlfn._xlws.FILTER(OFFSET($O$15,0,$DO365,$B$8,1),OFFSET($M$15,0,0,$B$8,1))=EY$14))   /   SUM(OFFSET($BO$15,0,0,$B$14,1)) + $B$18/($B$19*$B$19*($DN365&lt;&gt;$DO365) + $B$19*($DN365=$DO365))</f>
        <v>3.7037037037037035E-4</v>
      </c>
      <c r="EZ365" s="10" cm="1">
        <f t="array" aca="1" ref="EZ365" ca="1">(1-$B$18)*SUMPRODUCT(OFFSET($BO$15,0,0,$B$14,1), 1*(_xlfn._xlws.FILTER(OFFSET($O$15,0,$DN365,$B$8,1),OFFSET($M$15,0,0,$B$8,1))=EZ$13), 1*(_xlfn._xlws.FILTER(OFFSET($O$15,0,$DO365,$B$8,1),OFFSET($M$15,0,0,$B$8,1))=EZ$14))   /   SUM(OFFSET($BO$15,0,0,$B$14,1)) + $B$18/($B$19*$B$19*($DN365&lt;&gt;$DO365) + $B$19*($DN365=$DO365))</f>
        <v>3.7037037037037035E-4</v>
      </c>
      <c r="FA365" s="10" cm="1">
        <f t="array" aca="1" ref="FA365" ca="1">(1-$B$18)*SUMPRODUCT(OFFSET($BO$15,0,0,$B$14,1), 1*(_xlfn._xlws.FILTER(OFFSET($O$15,0,$DN365,$B$8,1),OFFSET($M$15,0,0,$B$8,1))=FA$13), 1*(_xlfn._xlws.FILTER(OFFSET($O$15,0,$DO365,$B$8,1),OFFSET($M$15,0,0,$B$8,1))=FA$14))   /   SUM(OFFSET($BO$15,0,0,$B$14,1)) + $B$18/($B$19*$B$19*($DN365&lt;&gt;$DO365) + $B$19*($DN365=$DO365))</f>
        <v>3.7037037037037035E-4</v>
      </c>
      <c r="FB365" s="10" cm="1">
        <f t="array" aca="1" ref="FB365" ca="1">(1-$B$18)*SUMPRODUCT(OFFSET($BO$15,0,0,$B$14,1), 1*(_xlfn._xlws.FILTER(OFFSET($O$15,0,$DN365,$B$8,1),OFFSET($M$15,0,0,$B$8,1))=FB$13), 1*(_xlfn._xlws.FILTER(OFFSET($O$15,0,$DO365,$B$8,1),OFFSET($M$15,0,0,$B$8,1))=FB$14))   /   SUM(OFFSET($BO$15,0,0,$B$14,1)) + $B$18/($B$19*$B$19*($DN365&lt;&gt;$DO365) + $B$19*($DN365=$DO365))</f>
        <v>0.24287037037037024</v>
      </c>
      <c r="FC365" s="10" cm="1">
        <f t="array" aca="1" ref="FC365" ca="1">(1-$B$18)*SUMPRODUCT(OFFSET($BO$15,0,0,$B$14,1), 1*(_xlfn._xlws.FILTER(OFFSET($O$15,0,$DN365,$B$8,1),OFFSET($M$15,0,0,$B$8,1))=FC$13), 1*(_xlfn._xlws.FILTER(OFFSET($O$15,0,$DO365,$B$8,1),OFFSET($M$15,0,0,$B$8,1))=FC$14))   /   SUM(OFFSET($BO$15,0,0,$B$14,1)) + $B$18/($B$19*$B$19*($DN365&lt;&gt;$DO365) + $B$19*($DN365=$DO365))</f>
        <v>3.7037037037037035E-4</v>
      </c>
      <c r="FD365" s="10" cm="1">
        <f t="array" aca="1" ref="FD365" ca="1">(1-$B$18)*SUMPRODUCT(OFFSET($BO$15,0,0,$B$14,1), 1*(_xlfn._xlws.FILTER(OFFSET($O$15,0,$DN365,$B$8,1),OFFSET($M$15,0,0,$B$8,1))=FD$13), 1*(_xlfn._xlws.FILTER(OFFSET($O$15,0,$DO365,$B$8,1),OFFSET($M$15,0,0,$B$8,1))=FD$14))   /   SUM(OFFSET($BO$15,0,0,$B$14,1)) + $B$18/($B$19*$B$19*($DN365&lt;&gt;$DO365) + $B$19*($DN365=$DO365))</f>
        <v>3.7037037037037035E-4</v>
      </c>
      <c r="FE365" s="10" cm="1">
        <f t="array" aca="1" ref="FE365" ca="1">(1-$B$18)*SUMPRODUCT(OFFSET($BO$15,0,0,$B$14,1), 1*(_xlfn._xlws.FILTER(OFFSET($O$15,0,$DN365,$B$8,1),OFFSET($M$15,0,0,$B$8,1))=FE$13), 1*(_xlfn._xlws.FILTER(OFFSET($O$15,0,$DO365,$B$8,1),OFFSET($M$15,0,0,$B$8,1))=FE$14))   /   SUM(OFFSET($BO$15,0,0,$B$14,1)) + $B$18/($B$19*$B$19*($DN365&lt;&gt;$DO365) + $B$19*($DN365=$DO365))</f>
        <v>3.7037037037037035E-4</v>
      </c>
      <c r="FF365" s="10" cm="1">
        <f t="array" aca="1" ref="FF365" ca="1">(1-$B$18)*SUMPRODUCT(OFFSET($BO$15,0,0,$B$14,1), 1*(_xlfn._xlws.FILTER(OFFSET($O$15,0,$DN365,$B$8,1),OFFSET($M$15,0,0,$B$8,1))=FF$13), 1*(_xlfn._xlws.FILTER(OFFSET($O$15,0,$DO365,$B$8,1),OFFSET($M$15,0,0,$B$8,1))=FF$14))   /   SUM(OFFSET($BO$15,0,0,$B$14,1)) + $B$18/($B$19*$B$19*($DN365&lt;&gt;$DO365) + $B$19*($DN365=$DO365))</f>
        <v>3.7037037037037035E-4</v>
      </c>
      <c r="FG365" s="10" cm="1">
        <f t="array" aca="1" ref="FG365" ca="1">(1-$B$18)*SUMPRODUCT(OFFSET($BO$15,0,0,$B$14,1), 1*(_xlfn._xlws.FILTER(OFFSET($O$15,0,$DN365,$B$8,1),OFFSET($M$15,0,0,$B$8,1))=FG$13), 1*(_xlfn._xlws.FILTER(OFFSET($O$15,0,$DO365,$B$8,1),OFFSET($M$15,0,0,$B$8,1))=FG$14))   /   SUM(OFFSET($BO$15,0,0,$B$14,1)) + $B$18/($B$19*$B$19*($DN365&lt;&gt;$DO365) + $B$19*($DN365=$DO365))</f>
        <v>3.7037037037037035E-4</v>
      </c>
      <c r="FH365" s="10" cm="1">
        <f t="array" aca="1" ref="FH365" ca="1">(1-$B$18)*SUMPRODUCT(OFFSET($BO$15,0,0,$B$14,1), 1*(_xlfn._xlws.FILTER(OFFSET($O$15,0,$DN365,$B$8,1),OFFSET($M$15,0,0,$B$8,1))=FH$13), 1*(_xlfn._xlws.FILTER(OFFSET($O$15,0,$DO365,$B$8,1),OFFSET($M$15,0,0,$B$8,1))=FH$14))   /   SUM(OFFSET($BO$15,0,0,$B$14,1)) + $B$18/($B$19*$B$19*($DN365&lt;&gt;$DO365) + $B$19*($DN365=$DO365))</f>
        <v>3.7037037037037035E-4</v>
      </c>
      <c r="FI365" s="10" cm="1">
        <f t="array" aca="1" ref="FI365" ca="1">(1-$B$18)*SUMPRODUCT(OFFSET($BO$15,0,0,$B$14,1), 1*(_xlfn._xlws.FILTER(OFFSET($O$15,0,$DN365,$B$8,1),OFFSET($M$15,0,0,$B$8,1))=FI$13), 1*(_xlfn._xlws.FILTER(OFFSET($O$15,0,$DO365,$B$8,1),OFFSET($M$15,0,0,$B$8,1))=FI$14))   /   SUM(OFFSET($BO$15,0,0,$B$14,1)) + $B$18/($B$19*$B$19*($DN365&lt;&gt;$DO365) + $B$19*($DN365=$DO365))</f>
        <v>3.7037037037037035E-4</v>
      </c>
      <c r="FJ365" s="10" cm="1">
        <f t="array" aca="1" ref="FJ365" ca="1">(1-$B$18)*SUMPRODUCT(OFFSET($BO$15,0,0,$B$14,1), 1*(_xlfn._xlws.FILTER(OFFSET($O$15,0,$DN365,$B$8,1),OFFSET($M$15,0,0,$B$8,1))=FJ$13), 1*(_xlfn._xlws.FILTER(OFFSET($O$15,0,$DO365,$B$8,1),OFFSET($M$15,0,0,$B$8,1))=FJ$14))   /   SUM(OFFSET($BO$15,0,0,$B$14,1)) + $B$18/($B$19*$B$19*($DN365&lt;&gt;$DO365) + $B$19*($DN365=$DO365))</f>
        <v>0.48537037037037012</v>
      </c>
      <c r="FK365" s="10" cm="1">
        <f t="array" aca="1" ref="FK365" ca="1">(1-$B$18)*SUMPRODUCT(OFFSET($BO$15,0,0,$B$14,1), 1*(_xlfn._xlws.FILTER(OFFSET($O$15,0,$DN365,$B$8,1),OFFSET($M$15,0,0,$B$8,1))=FK$13), 1*(_xlfn._xlws.FILTER(OFFSET($O$15,0,$DO365,$B$8,1),OFFSET($M$15,0,0,$B$8,1))=FK$14))   /   SUM(OFFSET($BO$15,0,0,$B$14,1)) + $B$18/($B$19*$B$19*($DN365&lt;&gt;$DO365) + $B$19*($DN365=$DO365))</f>
        <v>3.7037037037037035E-4</v>
      </c>
      <c r="FL365" s="10" cm="1">
        <f t="array" aca="1" ref="FL365" ca="1">(1-$B$18)*SUMPRODUCT(OFFSET($BO$15,0,0,$B$14,1), 1*(_xlfn._xlws.FILTER(OFFSET($O$15,0,$DN365,$B$8,1),OFFSET($M$15,0,0,$B$8,1))=FL$13), 1*(_xlfn._xlws.FILTER(OFFSET($O$15,0,$DO365,$B$8,1),OFFSET($M$15,0,0,$B$8,1))=FL$14))   /   SUM(OFFSET($BO$15,0,0,$B$14,1)) + $B$18/($B$19*$B$19*($DN365&lt;&gt;$DO365) + $B$19*($DN365=$DO365))</f>
        <v>3.7037037037037035E-4</v>
      </c>
      <c r="FM365" s="10" cm="1">
        <f t="array" aca="1" ref="FM365" ca="1">(1-$B$18)*SUMPRODUCT(OFFSET($BO$15,0,0,$B$14,1), 1*(_xlfn._xlws.FILTER(OFFSET($O$15,0,$DN365,$B$8,1),OFFSET($M$15,0,0,$B$8,1))=FM$13), 1*(_xlfn._xlws.FILTER(OFFSET($O$15,0,$DO365,$B$8,1),OFFSET($M$15,0,0,$B$8,1))=FM$14))   /   SUM(OFFSET($BO$15,0,0,$B$14,1)) + $B$18/($B$19*$B$19*($DN365&lt;&gt;$DO365) + $B$19*($DN365=$DO365))</f>
        <v>3.7037037037037035E-4</v>
      </c>
      <c r="FN365" s="10" cm="1">
        <f t="array" aca="1" ref="FN365" ca="1">(1-$B$18)*SUMPRODUCT(OFFSET($BO$15,0,0,$B$14,1), 1*(_xlfn._xlws.FILTER(OFFSET($O$15,0,$DN365,$B$8,1),OFFSET($M$15,0,0,$B$8,1))=FN$13), 1*(_xlfn._xlws.FILTER(OFFSET($O$15,0,$DO365,$B$8,1),OFFSET($M$15,0,0,$B$8,1))=FN$14))   /   SUM(OFFSET($BO$15,0,0,$B$14,1)) + $B$18/($B$19*$B$19*($DN365&lt;&gt;$DO365) + $B$19*($DN365=$DO365))</f>
        <v>3.7037037037037035E-4</v>
      </c>
      <c r="FO365" s="10" cm="1">
        <f t="array" aca="1" ref="FO365" ca="1">(1-$B$18)*SUMPRODUCT(OFFSET($BO$15,0,0,$B$14,1), 1*(_xlfn._xlws.FILTER(OFFSET($O$15,0,$DN365,$B$8,1),OFFSET($M$15,0,0,$B$8,1))=FO$13), 1*(_xlfn._xlws.FILTER(OFFSET($O$15,0,$DO365,$B$8,1),OFFSET($M$15,0,0,$B$8,1))=FO$14))   /   SUM(OFFSET($BO$15,0,0,$B$14,1)) + $B$18/($B$19*$B$19*($DN365&lt;&gt;$DO365) + $B$19*($DN365=$DO365))</f>
        <v>3.7037037037037035E-4</v>
      </c>
      <c r="FP365" s="10" cm="1">
        <f t="array" aca="1" ref="FP365" ca="1">(1-$B$18)*SUMPRODUCT(OFFSET($BO$15,0,0,$B$14,1), 1*(_xlfn._xlws.FILTER(OFFSET($O$15,0,$DN365,$B$8,1),OFFSET($M$15,0,0,$B$8,1))=FP$13), 1*(_xlfn._xlws.FILTER(OFFSET($O$15,0,$DO365,$B$8,1),OFFSET($M$15,0,0,$B$8,1))=FP$14))   /   SUM(OFFSET($BO$15,0,0,$B$14,1)) + $B$18/($B$19*$B$19*($DN365&lt;&gt;$DO365) + $B$19*($DN365=$DO365))</f>
        <v>3.7037037037037035E-4</v>
      </c>
      <c r="FQ365" s="10" cm="1">
        <f t="array" aca="1" ref="FQ365" ca="1">(1-$B$18)*SUMPRODUCT(OFFSET($BO$15,0,0,$B$14,1), 1*(_xlfn._xlws.FILTER(OFFSET($O$15,0,$DN365,$B$8,1),OFFSET($M$15,0,0,$B$8,1))=FQ$13), 1*(_xlfn._xlws.FILTER(OFFSET($O$15,0,$DO365,$B$8,1),OFFSET($M$15,0,0,$B$8,1))=FQ$14))   /   SUM(OFFSET($BO$15,0,0,$B$14,1)) + $B$18/($B$19*$B$19*($DN365&lt;&gt;$DO365) + $B$19*($DN365=$DO365))</f>
        <v>3.7037037037037035E-4</v>
      </c>
      <c r="FR365" s="10" cm="1">
        <f t="array" aca="1" ref="FR365" ca="1">(1-$B$18)*SUMPRODUCT(OFFSET($BO$15,0,0,$B$14,1), 1*(_xlfn._xlws.FILTER(OFFSET($O$15,0,$DN365,$B$8,1),OFFSET($M$15,0,0,$B$8,1))=FR$13), 1*(_xlfn._xlws.FILTER(OFFSET($O$15,0,$DO365,$B$8,1),OFFSET($M$15,0,0,$B$8,1))=FR$14))   /   SUM(OFFSET($BO$15,0,0,$B$14,1)) + $B$18/($B$19*$B$19*($DN365&lt;&gt;$DO365) + $B$19*($DN365=$DO365))</f>
        <v>0.24287037037037026</v>
      </c>
      <c r="FS365" s="10" cm="1">
        <f t="array" aca="1" ref="FS365" ca="1">(1-$B$18)*SUMPRODUCT(OFFSET($BO$15,0,0,$B$14,1), 1*(_xlfn._xlws.FILTER(OFFSET($O$15,0,$DN365,$B$8,1),OFFSET($M$15,0,0,$B$8,1))=FS$13), 1*(_xlfn._xlws.FILTER(OFFSET($O$15,0,$DO365,$B$8,1),OFFSET($M$15,0,0,$B$8,1))=FS$14))   /   SUM(OFFSET($BO$15,0,0,$B$14,1)) + $B$18/($B$19*$B$19*($DN365&lt;&gt;$DO365) + $B$19*($DN365=$DO365))</f>
        <v>3.7037037037037035E-4</v>
      </c>
      <c r="FT365" s="10" cm="1">
        <f t="array" aca="1" ref="FT365" ca="1">(1-$B$18)*SUMPRODUCT(OFFSET($BO$15,0,0,$B$14,1), 1*(_xlfn._xlws.FILTER(OFFSET($O$15,0,$DN365,$B$8,1),OFFSET($M$15,0,0,$B$8,1))=FT$13), 1*(_xlfn._xlws.FILTER(OFFSET($O$15,0,$DO365,$B$8,1),OFFSET($M$15,0,0,$B$8,1))=FT$14))   /   SUM(OFFSET($BO$15,0,0,$B$14,1)) + $B$18/($B$19*$B$19*($DN365&lt;&gt;$DO365) + $B$19*($DN365=$DO365))</f>
        <v>3.7037037037037035E-4</v>
      </c>
      <c r="FU365" s="10" cm="1">
        <f t="array" aca="1" ref="FU365" ca="1">(1-$B$18)*SUMPRODUCT(OFFSET($BO$15,0,0,$B$14,1), 1*(_xlfn._xlws.FILTER(OFFSET($O$15,0,$DN365,$B$8,1),OFFSET($M$15,0,0,$B$8,1))=FU$13), 1*(_xlfn._xlws.FILTER(OFFSET($O$15,0,$DO365,$B$8,1),OFFSET($M$15,0,0,$B$8,1))=FU$14))   /   SUM(OFFSET($BO$15,0,0,$B$14,1)) + $B$18/($B$19*$B$19*($DN365&lt;&gt;$DO365) + $B$19*($DN365=$DO365))</f>
        <v>3.7037037037037035E-4</v>
      </c>
      <c r="FV365" s="10" cm="1">
        <f t="array" aca="1" ref="FV365" ca="1">(1-$B$18)*SUMPRODUCT(OFFSET($BO$15,0,0,$B$14,1), 1*(_xlfn._xlws.FILTER(OFFSET($O$15,0,$DN365,$B$8,1),OFFSET($M$15,0,0,$B$8,1))=FV$13), 1*(_xlfn._xlws.FILTER(OFFSET($O$15,0,$DO365,$B$8,1),OFFSET($M$15,0,0,$B$8,1))=FV$14))   /   SUM(OFFSET($BO$15,0,0,$B$14,1)) + $B$18/($B$19*$B$19*($DN365&lt;&gt;$DO365) + $B$19*($DN365=$DO365))</f>
        <v>3.7037037037037035E-4</v>
      </c>
      <c r="FW365" s="10" cm="1">
        <f t="array" aca="1" ref="FW365" ca="1">(1-$B$18)*SUMPRODUCT(OFFSET($BO$15,0,0,$B$14,1), 1*(_xlfn._xlws.FILTER(OFFSET($O$15,0,$DN365,$B$8,1),OFFSET($M$15,0,0,$B$8,1))=FW$13), 1*(_xlfn._xlws.FILTER(OFFSET($O$15,0,$DO365,$B$8,1),OFFSET($M$15,0,0,$B$8,1))=FW$14))   /   SUM(OFFSET($BO$15,0,0,$B$14,1)) + $B$18/($B$19*$B$19*($DN365&lt;&gt;$DO365) + $B$19*($DN365=$DO365))</f>
        <v>3.7037037037037035E-4</v>
      </c>
      <c r="FX365" s="10" cm="1">
        <f t="array" aca="1" ref="FX365" ca="1">(1-$B$18)*SUMPRODUCT(OFFSET($BO$15,0,0,$B$14,1), 1*(_xlfn._xlws.FILTER(OFFSET($O$15,0,$DN365,$B$8,1),OFFSET($M$15,0,0,$B$8,1))=FX$13), 1*(_xlfn._xlws.FILTER(OFFSET($O$15,0,$DO365,$B$8,1),OFFSET($M$15,0,0,$B$8,1))=FX$14))   /   SUM(OFFSET($BO$15,0,0,$B$14,1)) + $B$18/($B$19*$B$19*($DN365&lt;&gt;$DO365) + $B$19*($DN365=$DO365))</f>
        <v>3.7037037037037035E-4</v>
      </c>
      <c r="FY365" s="10" cm="1">
        <f t="array" aca="1" ref="FY365" ca="1">(1-$B$18)*SUMPRODUCT(OFFSET($BO$15,0,0,$B$14,1), 1*(_xlfn._xlws.FILTER(OFFSET($O$15,0,$DN365,$B$8,1),OFFSET($M$15,0,0,$B$8,1))=FY$13), 1*(_xlfn._xlws.FILTER(OFFSET($O$15,0,$DO365,$B$8,1),OFFSET($M$15,0,0,$B$8,1))=FY$14))   /   SUM(OFFSET($BO$15,0,0,$B$14,1)) + $B$18/($B$19*$B$19*($DN365&lt;&gt;$DO365) + $B$19*($DN365=$DO365))</f>
        <v>3.7037037037037035E-4</v>
      </c>
      <c r="FZ365" s="10" cm="1">
        <f t="array" aca="1" ref="FZ365" ca="1">(1-$B$18)*SUMPRODUCT(OFFSET($BO$15,0,0,$B$14,1), 1*(_xlfn._xlws.FILTER(OFFSET($O$15,0,$DN365,$B$8,1),OFFSET($M$15,0,0,$B$8,1))=FZ$13), 1*(_xlfn._xlws.FILTER(OFFSET($O$15,0,$DO365,$B$8,1),OFFSET($M$15,0,0,$B$8,1))=FZ$14))   /   SUM(OFFSET($BO$15,0,0,$B$14,1)) + $B$18/($B$19*$B$19*($DN365&lt;&gt;$DO365) + $B$19*($DN365=$DO365))</f>
        <v>3.7037037037037035E-4</v>
      </c>
      <c r="GA365" s="10" cm="1">
        <f t="array" aca="1" ref="GA365" ca="1">(1-$B$18)*SUMPRODUCT(OFFSET($BO$15,0,0,$B$14,1), 1*(_xlfn._xlws.FILTER(OFFSET($O$15,0,$DN365,$B$8,1),OFFSET($M$15,0,0,$B$8,1))=GA$13), 1*(_xlfn._xlws.FILTER(OFFSET($O$15,0,$DO365,$B$8,1),OFFSET($M$15,0,0,$B$8,1))=GA$14))   /   SUM(OFFSET($BO$15,0,0,$B$14,1)) + $B$18/($B$19*$B$19*($DN365&lt;&gt;$DO365) + $B$19*($DN365=$DO365))</f>
        <v>3.7037037037037035E-4</v>
      </c>
    </row>
    <row r="366" spans="118:183" x14ac:dyDescent="0.2">
      <c r="DN366" cm="1">
        <f t="array" aca="1" ref="DN366" ca="1">INDEX(_xlfn.ANCHORARRAY($CP$15), 1 + INT((ROWS($DO$15:$DO366) - 1) / ROWS(_xlfn.ANCHORARRAY($CP$15))))</f>
        <v>21</v>
      </c>
      <c r="DO366" cm="1">
        <f t="array" aca="1" ref="DO366" ca="1">INDEX(_xlfn.ANCHORARRAY($CP$15),1+MOD(ROWS($DO$15:$DO366)-1,ROWS(_xlfn.ANCHORARRAY($CP$15))))</f>
        <v>9</v>
      </c>
      <c r="DP366" s="10" cm="1">
        <f t="array" aca="1" ref="DP366" ca="1">(1-$B$18)*SUMPRODUCT(OFFSET($BO$15,0,0,$B$14,1), 1*(_xlfn._xlws.FILTER(OFFSET($O$15,0,$DN366,$B$8,1),OFFSET($M$15,0,0,$B$8,1))=DP$13), 1*(_xlfn._xlws.FILTER(OFFSET($O$15,0,$DO366,$B$8,1),OFFSET($M$15,0,0,$B$8,1))=DP$14))   /   SUM(OFFSET($BO$15,0,0,$B$14,1)) + $B$18/($B$19*$B$19*($DN366&lt;&gt;$DO366) + $B$19*($DN366=$DO366))</f>
        <v>3.7037037037037035E-4</v>
      </c>
      <c r="DQ366" s="10" cm="1">
        <f t="array" aca="1" ref="DQ366" ca="1">(1-$B$18)*SUMPRODUCT(OFFSET($BO$15,0,0,$B$14,1), 1*(_xlfn._xlws.FILTER(OFFSET($O$15,0,$DN366,$B$8,1),OFFSET($M$15,0,0,$B$8,1))=DQ$13), 1*(_xlfn._xlws.FILTER(OFFSET($O$15,0,$DO366,$B$8,1),OFFSET($M$15,0,0,$B$8,1))=DQ$14))   /   SUM(OFFSET($BO$15,0,0,$B$14,1)) + $B$18/($B$19*$B$19*($DN366&lt;&gt;$DO366) + $B$19*($DN366=$DO366))</f>
        <v>3.7037037037037035E-4</v>
      </c>
      <c r="DR366" s="10" cm="1">
        <f t="array" aca="1" ref="DR366" ca="1">(1-$B$18)*SUMPRODUCT(OFFSET($BO$15,0,0,$B$14,1), 1*(_xlfn._xlws.FILTER(OFFSET($O$15,0,$DN366,$B$8,1),OFFSET($M$15,0,0,$B$8,1))=DR$13), 1*(_xlfn._xlws.FILTER(OFFSET($O$15,0,$DO366,$B$8,1),OFFSET($M$15,0,0,$B$8,1))=DR$14))   /   SUM(OFFSET($BO$15,0,0,$B$14,1)) + $B$18/($B$19*$B$19*($DN366&lt;&gt;$DO366) + $B$19*($DN366=$DO366))</f>
        <v>3.7037037037037035E-4</v>
      </c>
      <c r="DS366" s="10" cm="1">
        <f t="array" aca="1" ref="DS366" ca="1">(1-$B$18)*SUMPRODUCT(OFFSET($BO$15,0,0,$B$14,1), 1*(_xlfn._xlws.FILTER(OFFSET($O$15,0,$DN366,$B$8,1),OFFSET($M$15,0,0,$B$8,1))=DS$13), 1*(_xlfn._xlws.FILTER(OFFSET($O$15,0,$DO366,$B$8,1),OFFSET($M$15,0,0,$B$8,1))=DS$14))   /   SUM(OFFSET($BO$15,0,0,$B$14,1)) + $B$18/($B$19*$B$19*($DN366&lt;&gt;$DO366) + $B$19*($DN366=$DO366))</f>
        <v>3.7037037037037035E-4</v>
      </c>
      <c r="DT366" s="10" cm="1">
        <f t="array" aca="1" ref="DT366" ca="1">(1-$B$18)*SUMPRODUCT(OFFSET($BO$15,0,0,$B$14,1), 1*(_xlfn._xlws.FILTER(OFFSET($O$15,0,$DN366,$B$8,1),OFFSET($M$15,0,0,$B$8,1))=DT$13), 1*(_xlfn._xlws.FILTER(OFFSET($O$15,0,$DO366,$B$8,1),OFFSET($M$15,0,0,$B$8,1))=DT$14))   /   SUM(OFFSET($BO$15,0,0,$B$14,1)) + $B$18/($B$19*$B$19*($DN366&lt;&gt;$DO366) + $B$19*($DN366=$DO366))</f>
        <v>3.7037037037037035E-4</v>
      </c>
      <c r="DU366" s="10" cm="1">
        <f t="array" aca="1" ref="DU366" ca="1">(1-$B$18)*SUMPRODUCT(OFFSET($BO$15,0,0,$B$14,1), 1*(_xlfn._xlws.FILTER(OFFSET($O$15,0,$DN366,$B$8,1),OFFSET($M$15,0,0,$B$8,1))=DU$13), 1*(_xlfn._xlws.FILTER(OFFSET($O$15,0,$DO366,$B$8,1),OFFSET($M$15,0,0,$B$8,1))=DU$14))   /   SUM(OFFSET($BO$15,0,0,$B$14,1)) + $B$18/($B$19*$B$19*($DN366&lt;&gt;$DO366) + $B$19*($DN366=$DO366))</f>
        <v>3.7037037037037035E-4</v>
      </c>
      <c r="DV366" s="10" cm="1">
        <f t="array" aca="1" ref="DV366" ca="1">(1-$B$18)*SUMPRODUCT(OFFSET($BO$15,0,0,$B$14,1), 1*(_xlfn._xlws.FILTER(OFFSET($O$15,0,$DN366,$B$8,1),OFFSET($M$15,0,0,$B$8,1))=DV$13), 1*(_xlfn._xlws.FILTER(OFFSET($O$15,0,$DO366,$B$8,1),OFFSET($M$15,0,0,$B$8,1))=DV$14))   /   SUM(OFFSET($BO$15,0,0,$B$14,1)) + $B$18/($B$19*$B$19*($DN366&lt;&gt;$DO366) + $B$19*($DN366=$DO366))</f>
        <v>3.7037037037037035E-4</v>
      </c>
      <c r="DW366" s="10" cm="1">
        <f t="array" aca="1" ref="DW366" ca="1">(1-$B$18)*SUMPRODUCT(OFFSET($BO$15,0,0,$B$14,1), 1*(_xlfn._xlws.FILTER(OFFSET($O$15,0,$DN366,$B$8,1),OFFSET($M$15,0,0,$B$8,1))=DW$13), 1*(_xlfn._xlws.FILTER(OFFSET($O$15,0,$DO366,$B$8,1),OFFSET($M$15,0,0,$B$8,1))=DW$14))   /   SUM(OFFSET($BO$15,0,0,$B$14,1)) + $B$18/($B$19*$B$19*($DN366&lt;&gt;$DO366) + $B$19*($DN366=$DO366))</f>
        <v>3.7037037037037035E-4</v>
      </c>
      <c r="DX366" s="10" cm="1">
        <f t="array" aca="1" ref="DX366" ca="1">(1-$B$18)*SUMPRODUCT(OFFSET($BO$15,0,0,$B$14,1), 1*(_xlfn._xlws.FILTER(OFFSET($O$15,0,$DN366,$B$8,1),OFFSET($M$15,0,0,$B$8,1))=DX$13), 1*(_xlfn._xlws.FILTER(OFFSET($O$15,0,$DO366,$B$8,1),OFFSET($M$15,0,0,$B$8,1))=DX$14))   /   SUM(OFFSET($BO$15,0,0,$B$14,1)) + $B$18/($B$19*$B$19*($DN366&lt;&gt;$DO366) + $B$19*($DN366=$DO366))</f>
        <v>3.7037037037037035E-4</v>
      </c>
      <c r="DY366" s="10" cm="1">
        <f t="array" aca="1" ref="DY366" ca="1">(1-$B$18)*SUMPRODUCT(OFFSET($BO$15,0,0,$B$14,1), 1*(_xlfn._xlws.FILTER(OFFSET($O$15,0,$DN366,$B$8,1),OFFSET($M$15,0,0,$B$8,1))=DY$13), 1*(_xlfn._xlws.FILTER(OFFSET($O$15,0,$DO366,$B$8,1),OFFSET($M$15,0,0,$B$8,1))=DY$14))   /   SUM(OFFSET($BO$15,0,0,$B$14,1)) + $B$18/($B$19*$B$19*($DN366&lt;&gt;$DO366) + $B$19*($DN366=$DO366))</f>
        <v>3.7037037037037035E-4</v>
      </c>
      <c r="DZ366" s="10" cm="1">
        <f t="array" aca="1" ref="DZ366" ca="1">(1-$B$18)*SUMPRODUCT(OFFSET($BO$15,0,0,$B$14,1), 1*(_xlfn._xlws.FILTER(OFFSET($O$15,0,$DN366,$B$8,1),OFFSET($M$15,0,0,$B$8,1))=DZ$13), 1*(_xlfn._xlws.FILTER(OFFSET($O$15,0,$DO366,$B$8,1),OFFSET($M$15,0,0,$B$8,1))=DZ$14))   /   SUM(OFFSET($BO$15,0,0,$B$14,1)) + $B$18/($B$19*$B$19*($DN366&lt;&gt;$DO366) + $B$19*($DN366=$DO366))</f>
        <v>3.7037037037037035E-4</v>
      </c>
      <c r="EA366" s="10" cm="1">
        <f t="array" aca="1" ref="EA366" ca="1">(1-$B$18)*SUMPRODUCT(OFFSET($BO$15,0,0,$B$14,1), 1*(_xlfn._xlws.FILTER(OFFSET($O$15,0,$DN366,$B$8,1),OFFSET($M$15,0,0,$B$8,1))=EA$13), 1*(_xlfn._xlws.FILTER(OFFSET($O$15,0,$DO366,$B$8,1),OFFSET($M$15,0,0,$B$8,1))=EA$14))   /   SUM(OFFSET($BO$15,0,0,$B$14,1)) + $B$18/($B$19*$B$19*($DN366&lt;&gt;$DO366) + $B$19*($DN366=$DO366))</f>
        <v>3.7037037037037035E-4</v>
      </c>
      <c r="EB366" s="10" cm="1">
        <f t="array" aca="1" ref="EB366" ca="1">(1-$B$18)*SUMPRODUCT(OFFSET($BO$15,0,0,$B$14,1), 1*(_xlfn._xlws.FILTER(OFFSET($O$15,0,$DN366,$B$8,1),OFFSET($M$15,0,0,$B$8,1))=EB$13), 1*(_xlfn._xlws.FILTER(OFFSET($O$15,0,$DO366,$B$8,1),OFFSET($M$15,0,0,$B$8,1))=EB$14))   /   SUM(OFFSET($BO$15,0,0,$B$14,1)) + $B$18/($B$19*$B$19*($DN366&lt;&gt;$DO366) + $B$19*($DN366=$DO366))</f>
        <v>3.7037037037037035E-4</v>
      </c>
      <c r="EC366" s="10" cm="1">
        <f t="array" aca="1" ref="EC366" ca="1">(1-$B$18)*SUMPRODUCT(OFFSET($BO$15,0,0,$B$14,1), 1*(_xlfn._xlws.FILTER(OFFSET($O$15,0,$DN366,$B$8,1),OFFSET($M$15,0,0,$B$8,1))=EC$13), 1*(_xlfn._xlws.FILTER(OFFSET($O$15,0,$DO366,$B$8,1),OFFSET($M$15,0,0,$B$8,1))=EC$14))   /   SUM(OFFSET($BO$15,0,0,$B$14,1)) + $B$18/($B$19*$B$19*($DN366&lt;&gt;$DO366) + $B$19*($DN366=$DO366))</f>
        <v>3.7037037037037035E-4</v>
      </c>
      <c r="ED366" s="10" cm="1">
        <f t="array" aca="1" ref="ED366" ca="1">(1-$B$18)*SUMPRODUCT(OFFSET($BO$15,0,0,$B$14,1), 1*(_xlfn._xlws.FILTER(OFFSET($O$15,0,$DN366,$B$8,1),OFFSET($M$15,0,0,$B$8,1))=ED$13), 1*(_xlfn._xlws.FILTER(OFFSET($O$15,0,$DO366,$B$8,1),OFFSET($M$15,0,0,$B$8,1))=ED$14))   /   SUM(OFFSET($BO$15,0,0,$B$14,1)) + $B$18/($B$19*$B$19*($DN366&lt;&gt;$DO366) + $B$19*($DN366=$DO366))</f>
        <v>3.7037037037037035E-4</v>
      </c>
      <c r="EE366" s="10" cm="1">
        <f t="array" aca="1" ref="EE366" ca="1">(1-$B$18)*SUMPRODUCT(OFFSET($BO$15,0,0,$B$14,1), 1*(_xlfn._xlws.FILTER(OFFSET($O$15,0,$DN366,$B$8,1),OFFSET($M$15,0,0,$B$8,1))=EE$13), 1*(_xlfn._xlws.FILTER(OFFSET($O$15,0,$DO366,$B$8,1),OFFSET($M$15,0,0,$B$8,1))=EE$14))   /   SUM(OFFSET($BO$15,0,0,$B$14,1)) + $B$18/($B$19*$B$19*($DN366&lt;&gt;$DO366) + $B$19*($DN366=$DO366))</f>
        <v>3.7037037037037035E-4</v>
      </c>
      <c r="EF366" s="10" cm="1">
        <f t="array" aca="1" ref="EF366" ca="1">(1-$B$18)*SUMPRODUCT(OFFSET($BO$15,0,0,$B$14,1), 1*(_xlfn._xlws.FILTER(OFFSET($O$15,0,$DN366,$B$8,1),OFFSET($M$15,0,0,$B$8,1))=EF$13), 1*(_xlfn._xlws.FILTER(OFFSET($O$15,0,$DO366,$B$8,1),OFFSET($M$15,0,0,$B$8,1))=EF$14))   /   SUM(OFFSET($BO$15,0,0,$B$14,1)) + $B$18/($B$19*$B$19*($DN366&lt;&gt;$DO366) + $B$19*($DN366=$DO366))</f>
        <v>3.7037037037037035E-4</v>
      </c>
      <c r="EG366" s="10" cm="1">
        <f t="array" aca="1" ref="EG366" ca="1">(1-$B$18)*SUMPRODUCT(OFFSET($BO$15,0,0,$B$14,1), 1*(_xlfn._xlws.FILTER(OFFSET($O$15,0,$DN366,$B$8,1),OFFSET($M$15,0,0,$B$8,1))=EG$13), 1*(_xlfn._xlws.FILTER(OFFSET($O$15,0,$DO366,$B$8,1),OFFSET($M$15,0,0,$B$8,1))=EG$14))   /   SUM(OFFSET($BO$15,0,0,$B$14,1)) + $B$18/($B$19*$B$19*($DN366&lt;&gt;$DO366) + $B$19*($DN366=$DO366))</f>
        <v>3.7037037037037035E-4</v>
      </c>
      <c r="EH366" s="10" cm="1">
        <f t="array" aca="1" ref="EH366" ca="1">(1-$B$18)*SUMPRODUCT(OFFSET($BO$15,0,0,$B$14,1), 1*(_xlfn._xlws.FILTER(OFFSET($O$15,0,$DN366,$B$8,1),OFFSET($M$15,0,0,$B$8,1))=EH$13), 1*(_xlfn._xlws.FILTER(OFFSET($O$15,0,$DO366,$B$8,1),OFFSET($M$15,0,0,$B$8,1))=EH$14))   /   SUM(OFFSET($BO$15,0,0,$B$14,1)) + $B$18/($B$19*$B$19*($DN366&lt;&gt;$DO366) + $B$19*($DN366=$DO366))</f>
        <v>3.7037037037037035E-4</v>
      </c>
      <c r="EI366" s="10" cm="1">
        <f t="array" aca="1" ref="EI366" ca="1">(1-$B$18)*SUMPRODUCT(OFFSET($BO$15,0,0,$B$14,1), 1*(_xlfn._xlws.FILTER(OFFSET($O$15,0,$DN366,$B$8,1),OFFSET($M$15,0,0,$B$8,1))=EI$13), 1*(_xlfn._xlws.FILTER(OFFSET($O$15,0,$DO366,$B$8,1),OFFSET($M$15,0,0,$B$8,1))=EI$14))   /   SUM(OFFSET($BO$15,0,0,$B$14,1)) + $B$18/($B$19*$B$19*($DN366&lt;&gt;$DO366) + $B$19*($DN366=$DO366))</f>
        <v>3.7037037037037035E-4</v>
      </c>
      <c r="EJ366" s="10" cm="1">
        <f t="array" aca="1" ref="EJ366" ca="1">(1-$B$18)*SUMPRODUCT(OFFSET($BO$15,0,0,$B$14,1), 1*(_xlfn._xlws.FILTER(OFFSET($O$15,0,$DN366,$B$8,1),OFFSET($M$15,0,0,$B$8,1))=EJ$13), 1*(_xlfn._xlws.FILTER(OFFSET($O$15,0,$DO366,$B$8,1),OFFSET($M$15,0,0,$B$8,1))=EJ$14))   /   SUM(OFFSET($BO$15,0,0,$B$14,1)) + $B$18/($B$19*$B$19*($DN366&lt;&gt;$DO366) + $B$19*($DN366=$DO366))</f>
        <v>3.7037037037037035E-4</v>
      </c>
      <c r="EK366" s="10" cm="1">
        <f t="array" aca="1" ref="EK366" ca="1">(1-$B$18)*SUMPRODUCT(OFFSET($BO$15,0,0,$B$14,1), 1*(_xlfn._xlws.FILTER(OFFSET($O$15,0,$DN366,$B$8,1),OFFSET($M$15,0,0,$B$8,1))=EK$13), 1*(_xlfn._xlws.FILTER(OFFSET($O$15,0,$DO366,$B$8,1),OFFSET($M$15,0,0,$B$8,1))=EK$14))   /   SUM(OFFSET($BO$15,0,0,$B$14,1)) + $B$18/($B$19*$B$19*($DN366&lt;&gt;$DO366) + $B$19*($DN366=$DO366))</f>
        <v>3.7037037037037035E-4</v>
      </c>
      <c r="EL366" s="10" cm="1">
        <f t="array" aca="1" ref="EL366" ca="1">(1-$B$18)*SUMPRODUCT(OFFSET($BO$15,0,0,$B$14,1), 1*(_xlfn._xlws.FILTER(OFFSET($O$15,0,$DN366,$B$8,1),OFFSET($M$15,0,0,$B$8,1))=EL$13), 1*(_xlfn._xlws.FILTER(OFFSET($O$15,0,$DO366,$B$8,1),OFFSET($M$15,0,0,$B$8,1))=EL$14))   /   SUM(OFFSET($BO$15,0,0,$B$14,1)) + $B$18/($B$19*$B$19*($DN366&lt;&gt;$DO366) + $B$19*($DN366=$DO366))</f>
        <v>3.7037037037037035E-4</v>
      </c>
      <c r="EM366" s="10" cm="1">
        <f t="array" aca="1" ref="EM366" ca="1">(1-$B$18)*SUMPRODUCT(OFFSET($BO$15,0,0,$B$14,1), 1*(_xlfn._xlws.FILTER(OFFSET($O$15,0,$DN366,$B$8,1),OFFSET($M$15,0,0,$B$8,1))=EM$13), 1*(_xlfn._xlws.FILTER(OFFSET($O$15,0,$DO366,$B$8,1),OFFSET($M$15,0,0,$B$8,1))=EM$14))   /   SUM(OFFSET($BO$15,0,0,$B$14,1)) + $B$18/($B$19*$B$19*($DN366&lt;&gt;$DO366) + $B$19*($DN366=$DO366))</f>
        <v>3.7037037037037035E-4</v>
      </c>
      <c r="EN366" s="10" cm="1">
        <f t="array" aca="1" ref="EN366" ca="1">(1-$B$18)*SUMPRODUCT(OFFSET($BO$15,0,0,$B$14,1), 1*(_xlfn._xlws.FILTER(OFFSET($O$15,0,$DN366,$B$8,1),OFFSET($M$15,0,0,$B$8,1))=EN$13), 1*(_xlfn._xlws.FILTER(OFFSET($O$15,0,$DO366,$B$8,1),OFFSET($M$15,0,0,$B$8,1))=EN$14))   /   SUM(OFFSET($BO$15,0,0,$B$14,1)) + $B$18/($B$19*$B$19*($DN366&lt;&gt;$DO366) + $B$19*($DN366=$DO366))</f>
        <v>3.7037037037037035E-4</v>
      </c>
      <c r="EO366" s="10" cm="1">
        <f t="array" aca="1" ref="EO366" ca="1">(1-$B$18)*SUMPRODUCT(OFFSET($BO$15,0,0,$B$14,1), 1*(_xlfn._xlws.FILTER(OFFSET($O$15,0,$DN366,$B$8,1),OFFSET($M$15,0,0,$B$8,1))=EO$13), 1*(_xlfn._xlws.FILTER(OFFSET($O$15,0,$DO366,$B$8,1),OFFSET($M$15,0,0,$B$8,1))=EO$14))   /   SUM(OFFSET($BO$15,0,0,$B$14,1)) + $B$18/($B$19*$B$19*($DN366&lt;&gt;$DO366) + $B$19*($DN366=$DO366))</f>
        <v>3.7037037037037035E-4</v>
      </c>
      <c r="EP366" s="10" cm="1">
        <f t="array" aca="1" ref="EP366" ca="1">(1-$B$18)*SUMPRODUCT(OFFSET($BO$15,0,0,$B$14,1), 1*(_xlfn._xlws.FILTER(OFFSET($O$15,0,$DN366,$B$8,1),OFFSET($M$15,0,0,$B$8,1))=EP$13), 1*(_xlfn._xlws.FILTER(OFFSET($O$15,0,$DO366,$B$8,1),OFFSET($M$15,0,0,$B$8,1))=EP$14))   /   SUM(OFFSET($BO$15,0,0,$B$14,1)) + $B$18/($B$19*$B$19*($DN366&lt;&gt;$DO366) + $B$19*($DN366=$DO366))</f>
        <v>3.7037037037037035E-4</v>
      </c>
      <c r="EQ366" s="10" cm="1">
        <f t="array" aca="1" ref="EQ366" ca="1">(1-$B$18)*SUMPRODUCT(OFFSET($BO$15,0,0,$B$14,1), 1*(_xlfn._xlws.FILTER(OFFSET($O$15,0,$DN366,$B$8,1),OFFSET($M$15,0,0,$B$8,1))=EQ$13), 1*(_xlfn._xlws.FILTER(OFFSET($O$15,0,$DO366,$B$8,1),OFFSET($M$15,0,0,$B$8,1))=EQ$14))   /   SUM(OFFSET($BO$15,0,0,$B$14,1)) + $B$18/($B$19*$B$19*($DN366&lt;&gt;$DO366) + $B$19*($DN366=$DO366))</f>
        <v>3.7037037037037035E-4</v>
      </c>
      <c r="ER366" s="10" cm="1">
        <f t="array" aca="1" ref="ER366" ca="1">(1-$B$18)*SUMPRODUCT(OFFSET($BO$15,0,0,$B$14,1), 1*(_xlfn._xlws.FILTER(OFFSET($O$15,0,$DN366,$B$8,1),OFFSET($M$15,0,0,$B$8,1))=ER$13), 1*(_xlfn._xlws.FILTER(OFFSET($O$15,0,$DO366,$B$8,1),OFFSET($M$15,0,0,$B$8,1))=ER$14))   /   SUM(OFFSET($BO$15,0,0,$B$14,1)) + $B$18/($B$19*$B$19*($DN366&lt;&gt;$DO366) + $B$19*($DN366=$DO366))</f>
        <v>3.7037037037037035E-4</v>
      </c>
      <c r="ES366" s="10" cm="1">
        <f t="array" aca="1" ref="ES366" ca="1">(1-$B$18)*SUMPRODUCT(OFFSET($BO$15,0,0,$B$14,1), 1*(_xlfn._xlws.FILTER(OFFSET($O$15,0,$DN366,$B$8,1),OFFSET($M$15,0,0,$B$8,1))=ES$13), 1*(_xlfn._xlws.FILTER(OFFSET($O$15,0,$DO366,$B$8,1),OFFSET($M$15,0,0,$B$8,1))=ES$14))   /   SUM(OFFSET($BO$15,0,0,$B$14,1)) + $B$18/($B$19*$B$19*($DN366&lt;&gt;$DO366) + $B$19*($DN366=$DO366))</f>
        <v>3.7037037037037035E-4</v>
      </c>
      <c r="ET366" s="10" cm="1">
        <f t="array" aca="1" ref="ET366" ca="1">(1-$B$18)*SUMPRODUCT(OFFSET($BO$15,0,0,$B$14,1), 1*(_xlfn._xlws.FILTER(OFFSET($O$15,0,$DN366,$B$8,1),OFFSET($M$15,0,0,$B$8,1))=ET$13), 1*(_xlfn._xlws.FILTER(OFFSET($O$15,0,$DO366,$B$8,1),OFFSET($M$15,0,0,$B$8,1))=ET$14))   /   SUM(OFFSET($BO$15,0,0,$B$14,1)) + $B$18/($B$19*$B$19*($DN366&lt;&gt;$DO366) + $B$19*($DN366=$DO366))</f>
        <v>3.7037037037037035E-4</v>
      </c>
      <c r="EU366" s="10" cm="1">
        <f t="array" aca="1" ref="EU366" ca="1">(1-$B$18)*SUMPRODUCT(OFFSET($BO$15,0,0,$B$14,1), 1*(_xlfn._xlws.FILTER(OFFSET($O$15,0,$DN366,$B$8,1),OFFSET($M$15,0,0,$B$8,1))=EU$13), 1*(_xlfn._xlws.FILTER(OFFSET($O$15,0,$DO366,$B$8,1),OFFSET($M$15,0,0,$B$8,1))=EU$14))   /   SUM(OFFSET($BO$15,0,0,$B$14,1)) + $B$18/($B$19*$B$19*($DN366&lt;&gt;$DO366) + $B$19*($DN366=$DO366))</f>
        <v>3.7037037037037035E-4</v>
      </c>
      <c r="EV366" s="10" cm="1">
        <f t="array" aca="1" ref="EV366" ca="1">(1-$B$18)*SUMPRODUCT(OFFSET($BO$15,0,0,$B$14,1), 1*(_xlfn._xlws.FILTER(OFFSET($O$15,0,$DN366,$B$8,1),OFFSET($M$15,0,0,$B$8,1))=EV$13), 1*(_xlfn._xlws.FILTER(OFFSET($O$15,0,$DO366,$B$8,1),OFFSET($M$15,0,0,$B$8,1))=EV$14))   /   SUM(OFFSET($BO$15,0,0,$B$14,1)) + $B$18/($B$19*$B$19*($DN366&lt;&gt;$DO366) + $B$19*($DN366=$DO366))</f>
        <v>3.7037037037037035E-4</v>
      </c>
      <c r="EW366" s="10" cm="1">
        <f t="array" aca="1" ref="EW366" ca="1">(1-$B$18)*SUMPRODUCT(OFFSET($BO$15,0,0,$B$14,1), 1*(_xlfn._xlws.FILTER(OFFSET($O$15,0,$DN366,$B$8,1),OFFSET($M$15,0,0,$B$8,1))=EW$13), 1*(_xlfn._xlws.FILTER(OFFSET($O$15,0,$DO366,$B$8,1),OFFSET($M$15,0,0,$B$8,1))=EW$14))   /   SUM(OFFSET($BO$15,0,0,$B$14,1)) + $B$18/($B$19*$B$19*($DN366&lt;&gt;$DO366) + $B$19*($DN366=$DO366))</f>
        <v>3.7037037037037035E-4</v>
      </c>
      <c r="EX366" s="10" cm="1">
        <f t="array" aca="1" ref="EX366" ca="1">(1-$B$18)*SUMPRODUCT(OFFSET($BO$15,0,0,$B$14,1), 1*(_xlfn._xlws.FILTER(OFFSET($O$15,0,$DN366,$B$8,1),OFFSET($M$15,0,0,$B$8,1))=EX$13), 1*(_xlfn._xlws.FILTER(OFFSET($O$15,0,$DO366,$B$8,1),OFFSET($M$15,0,0,$B$8,1))=EX$14))   /   SUM(OFFSET($BO$15,0,0,$B$14,1)) + $B$18/($B$19*$B$19*($DN366&lt;&gt;$DO366) + $B$19*($DN366=$DO366))</f>
        <v>3.7037037037037035E-4</v>
      </c>
      <c r="EY366" s="10" cm="1">
        <f t="array" aca="1" ref="EY366" ca="1">(1-$B$18)*SUMPRODUCT(OFFSET($BO$15,0,0,$B$14,1), 1*(_xlfn._xlws.FILTER(OFFSET($O$15,0,$DN366,$B$8,1),OFFSET($M$15,0,0,$B$8,1))=EY$13), 1*(_xlfn._xlws.FILTER(OFFSET($O$15,0,$DO366,$B$8,1),OFFSET($M$15,0,0,$B$8,1))=EY$14))   /   SUM(OFFSET($BO$15,0,0,$B$14,1)) + $B$18/($B$19*$B$19*($DN366&lt;&gt;$DO366) + $B$19*($DN366=$DO366))</f>
        <v>3.7037037037037035E-4</v>
      </c>
      <c r="EZ366" s="10" cm="1">
        <f t="array" aca="1" ref="EZ366" ca="1">(1-$B$18)*SUMPRODUCT(OFFSET($BO$15,0,0,$B$14,1), 1*(_xlfn._xlws.FILTER(OFFSET($O$15,0,$DN366,$B$8,1),OFFSET($M$15,0,0,$B$8,1))=EZ$13), 1*(_xlfn._xlws.FILTER(OFFSET($O$15,0,$DO366,$B$8,1),OFFSET($M$15,0,0,$B$8,1))=EZ$14))   /   SUM(OFFSET($BO$15,0,0,$B$14,1)) + $B$18/($B$19*$B$19*($DN366&lt;&gt;$DO366) + $B$19*($DN366=$DO366))</f>
        <v>3.7037037037037035E-4</v>
      </c>
      <c r="FA366" s="10" cm="1">
        <f t="array" aca="1" ref="FA366" ca="1">(1-$B$18)*SUMPRODUCT(OFFSET($BO$15,0,0,$B$14,1), 1*(_xlfn._xlws.FILTER(OFFSET($O$15,0,$DN366,$B$8,1),OFFSET($M$15,0,0,$B$8,1))=FA$13), 1*(_xlfn._xlws.FILTER(OFFSET($O$15,0,$DO366,$B$8,1),OFFSET($M$15,0,0,$B$8,1))=FA$14))   /   SUM(OFFSET($BO$15,0,0,$B$14,1)) + $B$18/($B$19*$B$19*($DN366&lt;&gt;$DO366) + $B$19*($DN366=$DO366))</f>
        <v>3.7037037037037035E-4</v>
      </c>
      <c r="FB366" s="10" cm="1">
        <f t="array" aca="1" ref="FB366" ca="1">(1-$B$18)*SUMPRODUCT(OFFSET($BO$15,0,0,$B$14,1), 1*(_xlfn._xlws.FILTER(OFFSET($O$15,0,$DN366,$B$8,1),OFFSET($M$15,0,0,$B$8,1))=FB$13), 1*(_xlfn._xlws.FILTER(OFFSET($O$15,0,$DO366,$B$8,1),OFFSET($M$15,0,0,$B$8,1))=FB$14))   /   SUM(OFFSET($BO$15,0,0,$B$14,1)) + $B$18/($B$19*$B$19*($DN366&lt;&gt;$DO366) + $B$19*($DN366=$DO366))</f>
        <v>0.24287037037037024</v>
      </c>
      <c r="FC366" s="10" cm="1">
        <f t="array" aca="1" ref="FC366" ca="1">(1-$B$18)*SUMPRODUCT(OFFSET($BO$15,0,0,$B$14,1), 1*(_xlfn._xlws.FILTER(OFFSET($O$15,0,$DN366,$B$8,1),OFFSET($M$15,0,0,$B$8,1))=FC$13), 1*(_xlfn._xlws.FILTER(OFFSET($O$15,0,$DO366,$B$8,1),OFFSET($M$15,0,0,$B$8,1))=FC$14))   /   SUM(OFFSET($BO$15,0,0,$B$14,1)) + $B$18/($B$19*$B$19*($DN366&lt;&gt;$DO366) + $B$19*($DN366=$DO366))</f>
        <v>3.7037037037037035E-4</v>
      </c>
      <c r="FD366" s="10" cm="1">
        <f t="array" aca="1" ref="FD366" ca="1">(1-$B$18)*SUMPRODUCT(OFFSET($BO$15,0,0,$B$14,1), 1*(_xlfn._xlws.FILTER(OFFSET($O$15,0,$DN366,$B$8,1),OFFSET($M$15,0,0,$B$8,1))=FD$13), 1*(_xlfn._xlws.FILTER(OFFSET($O$15,0,$DO366,$B$8,1),OFFSET($M$15,0,0,$B$8,1))=FD$14))   /   SUM(OFFSET($BO$15,0,0,$B$14,1)) + $B$18/($B$19*$B$19*($DN366&lt;&gt;$DO366) + $B$19*($DN366=$DO366))</f>
        <v>3.7037037037037035E-4</v>
      </c>
      <c r="FE366" s="10" cm="1">
        <f t="array" aca="1" ref="FE366" ca="1">(1-$B$18)*SUMPRODUCT(OFFSET($BO$15,0,0,$B$14,1), 1*(_xlfn._xlws.FILTER(OFFSET($O$15,0,$DN366,$B$8,1),OFFSET($M$15,0,0,$B$8,1))=FE$13), 1*(_xlfn._xlws.FILTER(OFFSET($O$15,0,$DO366,$B$8,1),OFFSET($M$15,0,0,$B$8,1))=FE$14))   /   SUM(OFFSET($BO$15,0,0,$B$14,1)) + $B$18/($B$19*$B$19*($DN366&lt;&gt;$DO366) + $B$19*($DN366=$DO366))</f>
        <v>3.7037037037037035E-4</v>
      </c>
      <c r="FF366" s="10" cm="1">
        <f t="array" aca="1" ref="FF366" ca="1">(1-$B$18)*SUMPRODUCT(OFFSET($BO$15,0,0,$B$14,1), 1*(_xlfn._xlws.FILTER(OFFSET($O$15,0,$DN366,$B$8,1),OFFSET($M$15,0,0,$B$8,1))=FF$13), 1*(_xlfn._xlws.FILTER(OFFSET($O$15,0,$DO366,$B$8,1),OFFSET($M$15,0,0,$B$8,1))=FF$14))   /   SUM(OFFSET($BO$15,0,0,$B$14,1)) + $B$18/($B$19*$B$19*($DN366&lt;&gt;$DO366) + $B$19*($DN366=$DO366))</f>
        <v>3.7037037037037035E-4</v>
      </c>
      <c r="FG366" s="10" cm="1">
        <f t="array" aca="1" ref="FG366" ca="1">(1-$B$18)*SUMPRODUCT(OFFSET($BO$15,0,0,$B$14,1), 1*(_xlfn._xlws.FILTER(OFFSET($O$15,0,$DN366,$B$8,1),OFFSET($M$15,0,0,$B$8,1))=FG$13), 1*(_xlfn._xlws.FILTER(OFFSET($O$15,0,$DO366,$B$8,1),OFFSET($M$15,0,0,$B$8,1))=FG$14))   /   SUM(OFFSET($BO$15,0,0,$B$14,1)) + $B$18/($B$19*$B$19*($DN366&lt;&gt;$DO366) + $B$19*($DN366=$DO366))</f>
        <v>3.7037037037037035E-4</v>
      </c>
      <c r="FH366" s="10" cm="1">
        <f t="array" aca="1" ref="FH366" ca="1">(1-$B$18)*SUMPRODUCT(OFFSET($BO$15,0,0,$B$14,1), 1*(_xlfn._xlws.FILTER(OFFSET($O$15,0,$DN366,$B$8,1),OFFSET($M$15,0,0,$B$8,1))=FH$13), 1*(_xlfn._xlws.FILTER(OFFSET($O$15,0,$DO366,$B$8,1),OFFSET($M$15,0,0,$B$8,1))=FH$14))   /   SUM(OFFSET($BO$15,0,0,$B$14,1)) + $B$18/($B$19*$B$19*($DN366&lt;&gt;$DO366) + $B$19*($DN366=$DO366))</f>
        <v>3.7037037037037035E-4</v>
      </c>
      <c r="FI366" s="10" cm="1">
        <f t="array" aca="1" ref="FI366" ca="1">(1-$B$18)*SUMPRODUCT(OFFSET($BO$15,0,0,$B$14,1), 1*(_xlfn._xlws.FILTER(OFFSET($O$15,0,$DN366,$B$8,1),OFFSET($M$15,0,0,$B$8,1))=FI$13), 1*(_xlfn._xlws.FILTER(OFFSET($O$15,0,$DO366,$B$8,1),OFFSET($M$15,0,0,$B$8,1))=FI$14))   /   SUM(OFFSET($BO$15,0,0,$B$14,1)) + $B$18/($B$19*$B$19*($DN366&lt;&gt;$DO366) + $B$19*($DN366=$DO366))</f>
        <v>3.7037037037037035E-4</v>
      </c>
      <c r="FJ366" s="10" cm="1">
        <f t="array" aca="1" ref="FJ366" ca="1">(1-$B$18)*SUMPRODUCT(OFFSET($BO$15,0,0,$B$14,1), 1*(_xlfn._xlws.FILTER(OFFSET($O$15,0,$DN366,$B$8,1),OFFSET($M$15,0,0,$B$8,1))=FJ$13), 1*(_xlfn._xlws.FILTER(OFFSET($O$15,0,$DO366,$B$8,1),OFFSET($M$15,0,0,$B$8,1))=FJ$14))   /   SUM(OFFSET($BO$15,0,0,$B$14,1)) + $B$18/($B$19*$B$19*($DN366&lt;&gt;$DO366) + $B$19*($DN366=$DO366))</f>
        <v>0.48537037037037012</v>
      </c>
      <c r="FK366" s="10" cm="1">
        <f t="array" aca="1" ref="FK366" ca="1">(1-$B$18)*SUMPRODUCT(OFFSET($BO$15,0,0,$B$14,1), 1*(_xlfn._xlws.FILTER(OFFSET($O$15,0,$DN366,$B$8,1),OFFSET($M$15,0,0,$B$8,1))=FK$13), 1*(_xlfn._xlws.FILTER(OFFSET($O$15,0,$DO366,$B$8,1),OFFSET($M$15,0,0,$B$8,1))=FK$14))   /   SUM(OFFSET($BO$15,0,0,$B$14,1)) + $B$18/($B$19*$B$19*($DN366&lt;&gt;$DO366) + $B$19*($DN366=$DO366))</f>
        <v>3.7037037037037035E-4</v>
      </c>
      <c r="FL366" s="10" cm="1">
        <f t="array" aca="1" ref="FL366" ca="1">(1-$B$18)*SUMPRODUCT(OFFSET($BO$15,0,0,$B$14,1), 1*(_xlfn._xlws.FILTER(OFFSET($O$15,0,$DN366,$B$8,1),OFFSET($M$15,0,0,$B$8,1))=FL$13), 1*(_xlfn._xlws.FILTER(OFFSET($O$15,0,$DO366,$B$8,1),OFFSET($M$15,0,0,$B$8,1))=FL$14))   /   SUM(OFFSET($BO$15,0,0,$B$14,1)) + $B$18/($B$19*$B$19*($DN366&lt;&gt;$DO366) + $B$19*($DN366=$DO366))</f>
        <v>3.7037037037037035E-4</v>
      </c>
      <c r="FM366" s="10" cm="1">
        <f t="array" aca="1" ref="FM366" ca="1">(1-$B$18)*SUMPRODUCT(OFFSET($BO$15,0,0,$B$14,1), 1*(_xlfn._xlws.FILTER(OFFSET($O$15,0,$DN366,$B$8,1),OFFSET($M$15,0,0,$B$8,1))=FM$13), 1*(_xlfn._xlws.FILTER(OFFSET($O$15,0,$DO366,$B$8,1),OFFSET($M$15,0,0,$B$8,1))=FM$14))   /   SUM(OFFSET($BO$15,0,0,$B$14,1)) + $B$18/($B$19*$B$19*($DN366&lt;&gt;$DO366) + $B$19*($DN366=$DO366))</f>
        <v>3.7037037037037035E-4</v>
      </c>
      <c r="FN366" s="10" cm="1">
        <f t="array" aca="1" ref="FN366" ca="1">(1-$B$18)*SUMPRODUCT(OFFSET($BO$15,0,0,$B$14,1), 1*(_xlfn._xlws.FILTER(OFFSET($O$15,0,$DN366,$B$8,1),OFFSET($M$15,0,0,$B$8,1))=FN$13), 1*(_xlfn._xlws.FILTER(OFFSET($O$15,0,$DO366,$B$8,1),OFFSET($M$15,0,0,$B$8,1))=FN$14))   /   SUM(OFFSET($BO$15,0,0,$B$14,1)) + $B$18/($B$19*$B$19*($DN366&lt;&gt;$DO366) + $B$19*($DN366=$DO366))</f>
        <v>3.7037037037037035E-4</v>
      </c>
      <c r="FO366" s="10" cm="1">
        <f t="array" aca="1" ref="FO366" ca="1">(1-$B$18)*SUMPRODUCT(OFFSET($BO$15,0,0,$B$14,1), 1*(_xlfn._xlws.FILTER(OFFSET($O$15,0,$DN366,$B$8,1),OFFSET($M$15,0,0,$B$8,1))=FO$13), 1*(_xlfn._xlws.FILTER(OFFSET($O$15,0,$DO366,$B$8,1),OFFSET($M$15,0,0,$B$8,1))=FO$14))   /   SUM(OFFSET($BO$15,0,0,$B$14,1)) + $B$18/($B$19*$B$19*($DN366&lt;&gt;$DO366) + $B$19*($DN366=$DO366))</f>
        <v>3.7037037037037035E-4</v>
      </c>
      <c r="FP366" s="10" cm="1">
        <f t="array" aca="1" ref="FP366" ca="1">(1-$B$18)*SUMPRODUCT(OFFSET($BO$15,0,0,$B$14,1), 1*(_xlfn._xlws.FILTER(OFFSET($O$15,0,$DN366,$B$8,1),OFFSET($M$15,0,0,$B$8,1))=FP$13), 1*(_xlfn._xlws.FILTER(OFFSET($O$15,0,$DO366,$B$8,1),OFFSET($M$15,0,0,$B$8,1))=FP$14))   /   SUM(OFFSET($BO$15,0,0,$B$14,1)) + $B$18/($B$19*$B$19*($DN366&lt;&gt;$DO366) + $B$19*($DN366=$DO366))</f>
        <v>3.7037037037037035E-4</v>
      </c>
      <c r="FQ366" s="10" cm="1">
        <f t="array" aca="1" ref="FQ366" ca="1">(1-$B$18)*SUMPRODUCT(OFFSET($BO$15,0,0,$B$14,1), 1*(_xlfn._xlws.FILTER(OFFSET($O$15,0,$DN366,$B$8,1),OFFSET($M$15,0,0,$B$8,1))=FQ$13), 1*(_xlfn._xlws.FILTER(OFFSET($O$15,0,$DO366,$B$8,1),OFFSET($M$15,0,0,$B$8,1))=FQ$14))   /   SUM(OFFSET($BO$15,0,0,$B$14,1)) + $B$18/($B$19*$B$19*($DN366&lt;&gt;$DO366) + $B$19*($DN366=$DO366))</f>
        <v>3.7037037037037035E-4</v>
      </c>
      <c r="FR366" s="10" cm="1">
        <f t="array" aca="1" ref="FR366" ca="1">(1-$B$18)*SUMPRODUCT(OFFSET($BO$15,0,0,$B$14,1), 1*(_xlfn._xlws.FILTER(OFFSET($O$15,0,$DN366,$B$8,1),OFFSET($M$15,0,0,$B$8,1))=FR$13), 1*(_xlfn._xlws.FILTER(OFFSET($O$15,0,$DO366,$B$8,1),OFFSET($M$15,0,0,$B$8,1))=FR$14))   /   SUM(OFFSET($BO$15,0,0,$B$14,1)) + $B$18/($B$19*$B$19*($DN366&lt;&gt;$DO366) + $B$19*($DN366=$DO366))</f>
        <v>0.24287037037037026</v>
      </c>
      <c r="FS366" s="10" cm="1">
        <f t="array" aca="1" ref="FS366" ca="1">(1-$B$18)*SUMPRODUCT(OFFSET($BO$15,0,0,$B$14,1), 1*(_xlfn._xlws.FILTER(OFFSET($O$15,0,$DN366,$B$8,1),OFFSET($M$15,0,0,$B$8,1))=FS$13), 1*(_xlfn._xlws.FILTER(OFFSET($O$15,0,$DO366,$B$8,1),OFFSET($M$15,0,0,$B$8,1))=FS$14))   /   SUM(OFFSET($BO$15,0,0,$B$14,1)) + $B$18/($B$19*$B$19*($DN366&lt;&gt;$DO366) + $B$19*($DN366=$DO366))</f>
        <v>3.7037037037037035E-4</v>
      </c>
      <c r="FT366" s="10" cm="1">
        <f t="array" aca="1" ref="FT366" ca="1">(1-$B$18)*SUMPRODUCT(OFFSET($BO$15,0,0,$B$14,1), 1*(_xlfn._xlws.FILTER(OFFSET($O$15,0,$DN366,$B$8,1),OFFSET($M$15,0,0,$B$8,1))=FT$13), 1*(_xlfn._xlws.FILTER(OFFSET($O$15,0,$DO366,$B$8,1),OFFSET($M$15,0,0,$B$8,1))=FT$14))   /   SUM(OFFSET($BO$15,0,0,$B$14,1)) + $B$18/($B$19*$B$19*($DN366&lt;&gt;$DO366) + $B$19*($DN366=$DO366))</f>
        <v>3.7037037037037035E-4</v>
      </c>
      <c r="FU366" s="10" cm="1">
        <f t="array" aca="1" ref="FU366" ca="1">(1-$B$18)*SUMPRODUCT(OFFSET($BO$15,0,0,$B$14,1), 1*(_xlfn._xlws.FILTER(OFFSET($O$15,0,$DN366,$B$8,1),OFFSET($M$15,0,0,$B$8,1))=FU$13), 1*(_xlfn._xlws.FILTER(OFFSET($O$15,0,$DO366,$B$8,1),OFFSET($M$15,0,0,$B$8,1))=FU$14))   /   SUM(OFFSET($BO$15,0,0,$B$14,1)) + $B$18/($B$19*$B$19*($DN366&lt;&gt;$DO366) + $B$19*($DN366=$DO366))</f>
        <v>3.7037037037037035E-4</v>
      </c>
      <c r="FV366" s="10" cm="1">
        <f t="array" aca="1" ref="FV366" ca="1">(1-$B$18)*SUMPRODUCT(OFFSET($BO$15,0,0,$B$14,1), 1*(_xlfn._xlws.FILTER(OFFSET($O$15,0,$DN366,$B$8,1),OFFSET($M$15,0,0,$B$8,1))=FV$13), 1*(_xlfn._xlws.FILTER(OFFSET($O$15,0,$DO366,$B$8,1),OFFSET($M$15,0,0,$B$8,1))=FV$14))   /   SUM(OFFSET($BO$15,0,0,$B$14,1)) + $B$18/($B$19*$B$19*($DN366&lt;&gt;$DO366) + $B$19*($DN366=$DO366))</f>
        <v>3.7037037037037035E-4</v>
      </c>
      <c r="FW366" s="10" cm="1">
        <f t="array" aca="1" ref="FW366" ca="1">(1-$B$18)*SUMPRODUCT(OFFSET($BO$15,0,0,$B$14,1), 1*(_xlfn._xlws.FILTER(OFFSET($O$15,0,$DN366,$B$8,1),OFFSET($M$15,0,0,$B$8,1))=FW$13), 1*(_xlfn._xlws.FILTER(OFFSET($O$15,0,$DO366,$B$8,1),OFFSET($M$15,0,0,$B$8,1))=FW$14))   /   SUM(OFFSET($BO$15,0,0,$B$14,1)) + $B$18/($B$19*$B$19*($DN366&lt;&gt;$DO366) + $B$19*($DN366=$DO366))</f>
        <v>3.7037037037037035E-4</v>
      </c>
      <c r="FX366" s="10" cm="1">
        <f t="array" aca="1" ref="FX366" ca="1">(1-$B$18)*SUMPRODUCT(OFFSET($BO$15,0,0,$B$14,1), 1*(_xlfn._xlws.FILTER(OFFSET($O$15,0,$DN366,$B$8,1),OFFSET($M$15,0,0,$B$8,1))=FX$13), 1*(_xlfn._xlws.FILTER(OFFSET($O$15,0,$DO366,$B$8,1),OFFSET($M$15,0,0,$B$8,1))=FX$14))   /   SUM(OFFSET($BO$15,0,0,$B$14,1)) + $B$18/($B$19*$B$19*($DN366&lt;&gt;$DO366) + $B$19*($DN366=$DO366))</f>
        <v>3.7037037037037035E-4</v>
      </c>
      <c r="FY366" s="10" cm="1">
        <f t="array" aca="1" ref="FY366" ca="1">(1-$B$18)*SUMPRODUCT(OFFSET($BO$15,0,0,$B$14,1), 1*(_xlfn._xlws.FILTER(OFFSET($O$15,0,$DN366,$B$8,1),OFFSET($M$15,0,0,$B$8,1))=FY$13), 1*(_xlfn._xlws.FILTER(OFFSET($O$15,0,$DO366,$B$8,1),OFFSET($M$15,0,0,$B$8,1))=FY$14))   /   SUM(OFFSET($BO$15,0,0,$B$14,1)) + $B$18/($B$19*$B$19*($DN366&lt;&gt;$DO366) + $B$19*($DN366=$DO366))</f>
        <v>3.7037037037037035E-4</v>
      </c>
      <c r="FZ366" s="10" cm="1">
        <f t="array" aca="1" ref="FZ366" ca="1">(1-$B$18)*SUMPRODUCT(OFFSET($BO$15,0,0,$B$14,1), 1*(_xlfn._xlws.FILTER(OFFSET($O$15,0,$DN366,$B$8,1),OFFSET($M$15,0,0,$B$8,1))=FZ$13), 1*(_xlfn._xlws.FILTER(OFFSET($O$15,0,$DO366,$B$8,1),OFFSET($M$15,0,0,$B$8,1))=FZ$14))   /   SUM(OFFSET($BO$15,0,0,$B$14,1)) + $B$18/($B$19*$B$19*($DN366&lt;&gt;$DO366) + $B$19*($DN366=$DO366))</f>
        <v>3.7037037037037035E-4</v>
      </c>
      <c r="GA366" s="10" cm="1">
        <f t="array" aca="1" ref="GA366" ca="1">(1-$B$18)*SUMPRODUCT(OFFSET($BO$15,0,0,$B$14,1), 1*(_xlfn._xlws.FILTER(OFFSET($O$15,0,$DN366,$B$8,1),OFFSET($M$15,0,0,$B$8,1))=GA$13), 1*(_xlfn._xlws.FILTER(OFFSET($O$15,0,$DO366,$B$8,1),OFFSET($M$15,0,0,$B$8,1))=GA$14))   /   SUM(OFFSET($BO$15,0,0,$B$14,1)) + $B$18/($B$19*$B$19*($DN366&lt;&gt;$DO366) + $B$19*($DN366=$DO366))</f>
        <v>3.7037037037037035E-4</v>
      </c>
    </row>
    <row r="367" spans="118:183" x14ac:dyDescent="0.2">
      <c r="DN367" cm="1">
        <f t="array" aca="1" ref="DN367" ca="1">INDEX(_xlfn.ANCHORARRAY($CP$15), 1 + INT((ROWS($DO$15:$DO367) - 1) / ROWS(_xlfn.ANCHORARRAY($CP$15))))</f>
        <v>21</v>
      </c>
      <c r="DO367" cm="1">
        <f t="array" aca="1" ref="DO367" ca="1">INDEX(_xlfn.ANCHORARRAY($CP$15),1+MOD(ROWS($DO$15:$DO367)-1,ROWS(_xlfn.ANCHORARRAY($CP$15))))</f>
        <v>11</v>
      </c>
      <c r="DP367" s="10" cm="1">
        <f t="array" aca="1" ref="DP367" ca="1">(1-$B$18)*SUMPRODUCT(OFFSET($BO$15,0,0,$B$14,1), 1*(_xlfn._xlws.FILTER(OFFSET($O$15,0,$DN367,$B$8,1),OFFSET($M$15,0,0,$B$8,1))=DP$13), 1*(_xlfn._xlws.FILTER(OFFSET($O$15,0,$DO367,$B$8,1),OFFSET($M$15,0,0,$B$8,1))=DP$14))   /   SUM(OFFSET($BO$15,0,0,$B$14,1)) + $B$18/($B$19*$B$19*($DN367&lt;&gt;$DO367) + $B$19*($DN367=$DO367))</f>
        <v>3.7037037037037035E-4</v>
      </c>
      <c r="DQ367" s="10" cm="1">
        <f t="array" aca="1" ref="DQ367" ca="1">(1-$B$18)*SUMPRODUCT(OFFSET($BO$15,0,0,$B$14,1), 1*(_xlfn._xlws.FILTER(OFFSET($O$15,0,$DN367,$B$8,1),OFFSET($M$15,0,0,$B$8,1))=DQ$13), 1*(_xlfn._xlws.FILTER(OFFSET($O$15,0,$DO367,$B$8,1),OFFSET($M$15,0,0,$B$8,1))=DQ$14))   /   SUM(OFFSET($BO$15,0,0,$B$14,1)) + $B$18/($B$19*$B$19*($DN367&lt;&gt;$DO367) + $B$19*($DN367=$DO367))</f>
        <v>3.7037037037037035E-4</v>
      </c>
      <c r="DR367" s="10" cm="1">
        <f t="array" aca="1" ref="DR367" ca="1">(1-$B$18)*SUMPRODUCT(OFFSET($BO$15,0,0,$B$14,1), 1*(_xlfn._xlws.FILTER(OFFSET($O$15,0,$DN367,$B$8,1),OFFSET($M$15,0,0,$B$8,1))=DR$13), 1*(_xlfn._xlws.FILTER(OFFSET($O$15,0,$DO367,$B$8,1),OFFSET($M$15,0,0,$B$8,1))=DR$14))   /   SUM(OFFSET($BO$15,0,0,$B$14,1)) + $B$18/($B$19*$B$19*($DN367&lt;&gt;$DO367) + $B$19*($DN367=$DO367))</f>
        <v>3.7037037037037035E-4</v>
      </c>
      <c r="DS367" s="10" cm="1">
        <f t="array" aca="1" ref="DS367" ca="1">(1-$B$18)*SUMPRODUCT(OFFSET($BO$15,0,0,$B$14,1), 1*(_xlfn._xlws.FILTER(OFFSET($O$15,0,$DN367,$B$8,1),OFFSET($M$15,0,0,$B$8,1))=DS$13), 1*(_xlfn._xlws.FILTER(OFFSET($O$15,0,$DO367,$B$8,1),OFFSET($M$15,0,0,$B$8,1))=DS$14))   /   SUM(OFFSET($BO$15,0,0,$B$14,1)) + $B$18/($B$19*$B$19*($DN367&lt;&gt;$DO367) + $B$19*($DN367=$DO367))</f>
        <v>3.7037037037037035E-4</v>
      </c>
      <c r="DT367" s="10" cm="1">
        <f t="array" aca="1" ref="DT367" ca="1">(1-$B$18)*SUMPRODUCT(OFFSET($BO$15,0,0,$B$14,1), 1*(_xlfn._xlws.FILTER(OFFSET($O$15,0,$DN367,$B$8,1),OFFSET($M$15,0,0,$B$8,1))=DT$13), 1*(_xlfn._xlws.FILTER(OFFSET($O$15,0,$DO367,$B$8,1),OFFSET($M$15,0,0,$B$8,1))=DT$14))   /   SUM(OFFSET($BO$15,0,0,$B$14,1)) + $B$18/($B$19*$B$19*($DN367&lt;&gt;$DO367) + $B$19*($DN367=$DO367))</f>
        <v>3.7037037037037035E-4</v>
      </c>
      <c r="DU367" s="10" cm="1">
        <f t="array" aca="1" ref="DU367" ca="1">(1-$B$18)*SUMPRODUCT(OFFSET($BO$15,0,0,$B$14,1), 1*(_xlfn._xlws.FILTER(OFFSET($O$15,0,$DN367,$B$8,1),OFFSET($M$15,0,0,$B$8,1))=DU$13), 1*(_xlfn._xlws.FILTER(OFFSET($O$15,0,$DO367,$B$8,1),OFFSET($M$15,0,0,$B$8,1))=DU$14))   /   SUM(OFFSET($BO$15,0,0,$B$14,1)) + $B$18/($B$19*$B$19*($DN367&lt;&gt;$DO367) + $B$19*($DN367=$DO367))</f>
        <v>3.7037037037037035E-4</v>
      </c>
      <c r="DV367" s="10" cm="1">
        <f t="array" aca="1" ref="DV367" ca="1">(1-$B$18)*SUMPRODUCT(OFFSET($BO$15,0,0,$B$14,1), 1*(_xlfn._xlws.FILTER(OFFSET($O$15,0,$DN367,$B$8,1),OFFSET($M$15,0,0,$B$8,1))=DV$13), 1*(_xlfn._xlws.FILTER(OFFSET($O$15,0,$DO367,$B$8,1),OFFSET($M$15,0,0,$B$8,1))=DV$14))   /   SUM(OFFSET($BO$15,0,0,$B$14,1)) + $B$18/($B$19*$B$19*($DN367&lt;&gt;$DO367) + $B$19*($DN367=$DO367))</f>
        <v>3.7037037037037035E-4</v>
      </c>
      <c r="DW367" s="10" cm="1">
        <f t="array" aca="1" ref="DW367" ca="1">(1-$B$18)*SUMPRODUCT(OFFSET($BO$15,0,0,$B$14,1), 1*(_xlfn._xlws.FILTER(OFFSET($O$15,0,$DN367,$B$8,1),OFFSET($M$15,0,0,$B$8,1))=DW$13), 1*(_xlfn._xlws.FILTER(OFFSET($O$15,0,$DO367,$B$8,1),OFFSET($M$15,0,0,$B$8,1))=DW$14))   /   SUM(OFFSET($BO$15,0,0,$B$14,1)) + $B$18/($B$19*$B$19*($DN367&lt;&gt;$DO367) + $B$19*($DN367=$DO367))</f>
        <v>3.7037037037037035E-4</v>
      </c>
      <c r="DX367" s="10" cm="1">
        <f t="array" aca="1" ref="DX367" ca="1">(1-$B$18)*SUMPRODUCT(OFFSET($BO$15,0,0,$B$14,1), 1*(_xlfn._xlws.FILTER(OFFSET($O$15,0,$DN367,$B$8,1),OFFSET($M$15,0,0,$B$8,1))=DX$13), 1*(_xlfn._xlws.FILTER(OFFSET($O$15,0,$DO367,$B$8,1),OFFSET($M$15,0,0,$B$8,1))=DX$14))   /   SUM(OFFSET($BO$15,0,0,$B$14,1)) + $B$18/($B$19*$B$19*($DN367&lt;&gt;$DO367) + $B$19*($DN367=$DO367))</f>
        <v>3.7037037037037035E-4</v>
      </c>
      <c r="DY367" s="10" cm="1">
        <f t="array" aca="1" ref="DY367" ca="1">(1-$B$18)*SUMPRODUCT(OFFSET($BO$15,0,0,$B$14,1), 1*(_xlfn._xlws.FILTER(OFFSET($O$15,0,$DN367,$B$8,1),OFFSET($M$15,0,0,$B$8,1))=DY$13), 1*(_xlfn._xlws.FILTER(OFFSET($O$15,0,$DO367,$B$8,1),OFFSET($M$15,0,0,$B$8,1))=DY$14))   /   SUM(OFFSET($BO$15,0,0,$B$14,1)) + $B$18/($B$19*$B$19*($DN367&lt;&gt;$DO367) + $B$19*($DN367=$DO367))</f>
        <v>3.7037037037037035E-4</v>
      </c>
      <c r="DZ367" s="10" cm="1">
        <f t="array" aca="1" ref="DZ367" ca="1">(1-$B$18)*SUMPRODUCT(OFFSET($BO$15,0,0,$B$14,1), 1*(_xlfn._xlws.FILTER(OFFSET($O$15,0,$DN367,$B$8,1),OFFSET($M$15,0,0,$B$8,1))=DZ$13), 1*(_xlfn._xlws.FILTER(OFFSET($O$15,0,$DO367,$B$8,1),OFFSET($M$15,0,0,$B$8,1))=DZ$14))   /   SUM(OFFSET($BO$15,0,0,$B$14,1)) + $B$18/($B$19*$B$19*($DN367&lt;&gt;$DO367) + $B$19*($DN367=$DO367))</f>
        <v>3.7037037037037035E-4</v>
      </c>
      <c r="EA367" s="10" cm="1">
        <f t="array" aca="1" ref="EA367" ca="1">(1-$B$18)*SUMPRODUCT(OFFSET($BO$15,0,0,$B$14,1), 1*(_xlfn._xlws.FILTER(OFFSET($O$15,0,$DN367,$B$8,1),OFFSET($M$15,0,0,$B$8,1))=EA$13), 1*(_xlfn._xlws.FILTER(OFFSET($O$15,0,$DO367,$B$8,1),OFFSET($M$15,0,0,$B$8,1))=EA$14))   /   SUM(OFFSET($BO$15,0,0,$B$14,1)) + $B$18/($B$19*$B$19*($DN367&lt;&gt;$DO367) + $B$19*($DN367=$DO367))</f>
        <v>3.7037037037037035E-4</v>
      </c>
      <c r="EB367" s="10" cm="1">
        <f t="array" aca="1" ref="EB367" ca="1">(1-$B$18)*SUMPRODUCT(OFFSET($BO$15,0,0,$B$14,1), 1*(_xlfn._xlws.FILTER(OFFSET($O$15,0,$DN367,$B$8,1),OFFSET($M$15,0,0,$B$8,1))=EB$13), 1*(_xlfn._xlws.FILTER(OFFSET($O$15,0,$DO367,$B$8,1),OFFSET($M$15,0,0,$B$8,1))=EB$14))   /   SUM(OFFSET($BO$15,0,0,$B$14,1)) + $B$18/($B$19*$B$19*($DN367&lt;&gt;$DO367) + $B$19*($DN367=$DO367))</f>
        <v>3.7037037037037035E-4</v>
      </c>
      <c r="EC367" s="10" cm="1">
        <f t="array" aca="1" ref="EC367" ca="1">(1-$B$18)*SUMPRODUCT(OFFSET($BO$15,0,0,$B$14,1), 1*(_xlfn._xlws.FILTER(OFFSET($O$15,0,$DN367,$B$8,1),OFFSET($M$15,0,0,$B$8,1))=EC$13), 1*(_xlfn._xlws.FILTER(OFFSET($O$15,0,$DO367,$B$8,1),OFFSET($M$15,0,0,$B$8,1))=EC$14))   /   SUM(OFFSET($BO$15,0,0,$B$14,1)) + $B$18/($B$19*$B$19*($DN367&lt;&gt;$DO367) + $B$19*($DN367=$DO367))</f>
        <v>3.7037037037037035E-4</v>
      </c>
      <c r="ED367" s="10" cm="1">
        <f t="array" aca="1" ref="ED367" ca="1">(1-$B$18)*SUMPRODUCT(OFFSET($BO$15,0,0,$B$14,1), 1*(_xlfn._xlws.FILTER(OFFSET($O$15,0,$DN367,$B$8,1),OFFSET($M$15,0,0,$B$8,1))=ED$13), 1*(_xlfn._xlws.FILTER(OFFSET($O$15,0,$DO367,$B$8,1),OFFSET($M$15,0,0,$B$8,1))=ED$14))   /   SUM(OFFSET($BO$15,0,0,$B$14,1)) + $B$18/($B$19*$B$19*($DN367&lt;&gt;$DO367) + $B$19*($DN367=$DO367))</f>
        <v>3.7037037037037035E-4</v>
      </c>
      <c r="EE367" s="10" cm="1">
        <f t="array" aca="1" ref="EE367" ca="1">(1-$B$18)*SUMPRODUCT(OFFSET($BO$15,0,0,$B$14,1), 1*(_xlfn._xlws.FILTER(OFFSET($O$15,0,$DN367,$B$8,1),OFFSET($M$15,0,0,$B$8,1))=EE$13), 1*(_xlfn._xlws.FILTER(OFFSET($O$15,0,$DO367,$B$8,1),OFFSET($M$15,0,0,$B$8,1))=EE$14))   /   SUM(OFFSET($BO$15,0,0,$B$14,1)) + $B$18/($B$19*$B$19*($DN367&lt;&gt;$DO367) + $B$19*($DN367=$DO367))</f>
        <v>3.7037037037037035E-4</v>
      </c>
      <c r="EF367" s="10" cm="1">
        <f t="array" aca="1" ref="EF367" ca="1">(1-$B$18)*SUMPRODUCT(OFFSET($BO$15,0,0,$B$14,1), 1*(_xlfn._xlws.FILTER(OFFSET($O$15,0,$DN367,$B$8,1),OFFSET($M$15,0,0,$B$8,1))=EF$13), 1*(_xlfn._xlws.FILTER(OFFSET($O$15,0,$DO367,$B$8,1),OFFSET($M$15,0,0,$B$8,1))=EF$14))   /   SUM(OFFSET($BO$15,0,0,$B$14,1)) + $B$18/($B$19*$B$19*($DN367&lt;&gt;$DO367) + $B$19*($DN367=$DO367))</f>
        <v>3.7037037037037035E-4</v>
      </c>
      <c r="EG367" s="10" cm="1">
        <f t="array" aca="1" ref="EG367" ca="1">(1-$B$18)*SUMPRODUCT(OFFSET($BO$15,0,0,$B$14,1), 1*(_xlfn._xlws.FILTER(OFFSET($O$15,0,$DN367,$B$8,1),OFFSET($M$15,0,0,$B$8,1))=EG$13), 1*(_xlfn._xlws.FILTER(OFFSET($O$15,0,$DO367,$B$8,1),OFFSET($M$15,0,0,$B$8,1))=EG$14))   /   SUM(OFFSET($BO$15,0,0,$B$14,1)) + $B$18/($B$19*$B$19*($DN367&lt;&gt;$DO367) + $B$19*($DN367=$DO367))</f>
        <v>3.7037037037037035E-4</v>
      </c>
      <c r="EH367" s="10" cm="1">
        <f t="array" aca="1" ref="EH367" ca="1">(1-$B$18)*SUMPRODUCT(OFFSET($BO$15,0,0,$B$14,1), 1*(_xlfn._xlws.FILTER(OFFSET($O$15,0,$DN367,$B$8,1),OFFSET($M$15,0,0,$B$8,1))=EH$13), 1*(_xlfn._xlws.FILTER(OFFSET($O$15,0,$DO367,$B$8,1),OFFSET($M$15,0,0,$B$8,1))=EH$14))   /   SUM(OFFSET($BO$15,0,0,$B$14,1)) + $B$18/($B$19*$B$19*($DN367&lt;&gt;$DO367) + $B$19*($DN367=$DO367))</f>
        <v>3.7037037037037035E-4</v>
      </c>
      <c r="EI367" s="10" cm="1">
        <f t="array" aca="1" ref="EI367" ca="1">(1-$B$18)*SUMPRODUCT(OFFSET($BO$15,0,0,$B$14,1), 1*(_xlfn._xlws.FILTER(OFFSET($O$15,0,$DN367,$B$8,1),OFFSET($M$15,0,0,$B$8,1))=EI$13), 1*(_xlfn._xlws.FILTER(OFFSET($O$15,0,$DO367,$B$8,1),OFFSET($M$15,0,0,$B$8,1))=EI$14))   /   SUM(OFFSET($BO$15,0,0,$B$14,1)) + $B$18/($B$19*$B$19*($DN367&lt;&gt;$DO367) + $B$19*($DN367=$DO367))</f>
        <v>3.7037037037037035E-4</v>
      </c>
      <c r="EJ367" s="10" cm="1">
        <f t="array" aca="1" ref="EJ367" ca="1">(1-$B$18)*SUMPRODUCT(OFFSET($BO$15,0,0,$B$14,1), 1*(_xlfn._xlws.FILTER(OFFSET($O$15,0,$DN367,$B$8,1),OFFSET($M$15,0,0,$B$8,1))=EJ$13), 1*(_xlfn._xlws.FILTER(OFFSET($O$15,0,$DO367,$B$8,1),OFFSET($M$15,0,0,$B$8,1))=EJ$14))   /   SUM(OFFSET($BO$15,0,0,$B$14,1)) + $B$18/($B$19*$B$19*($DN367&lt;&gt;$DO367) + $B$19*($DN367=$DO367))</f>
        <v>3.7037037037037035E-4</v>
      </c>
      <c r="EK367" s="10" cm="1">
        <f t="array" aca="1" ref="EK367" ca="1">(1-$B$18)*SUMPRODUCT(OFFSET($BO$15,0,0,$B$14,1), 1*(_xlfn._xlws.FILTER(OFFSET($O$15,0,$DN367,$B$8,1),OFFSET($M$15,0,0,$B$8,1))=EK$13), 1*(_xlfn._xlws.FILTER(OFFSET($O$15,0,$DO367,$B$8,1),OFFSET($M$15,0,0,$B$8,1))=EK$14))   /   SUM(OFFSET($BO$15,0,0,$B$14,1)) + $B$18/($B$19*$B$19*($DN367&lt;&gt;$DO367) + $B$19*($DN367=$DO367))</f>
        <v>3.7037037037037035E-4</v>
      </c>
      <c r="EL367" s="10" cm="1">
        <f t="array" aca="1" ref="EL367" ca="1">(1-$B$18)*SUMPRODUCT(OFFSET($BO$15,0,0,$B$14,1), 1*(_xlfn._xlws.FILTER(OFFSET($O$15,0,$DN367,$B$8,1),OFFSET($M$15,0,0,$B$8,1))=EL$13), 1*(_xlfn._xlws.FILTER(OFFSET($O$15,0,$DO367,$B$8,1),OFFSET($M$15,0,0,$B$8,1))=EL$14))   /   SUM(OFFSET($BO$15,0,0,$B$14,1)) + $B$18/($B$19*$B$19*($DN367&lt;&gt;$DO367) + $B$19*($DN367=$DO367))</f>
        <v>3.7037037037037035E-4</v>
      </c>
      <c r="EM367" s="10" cm="1">
        <f t="array" aca="1" ref="EM367" ca="1">(1-$B$18)*SUMPRODUCT(OFFSET($BO$15,0,0,$B$14,1), 1*(_xlfn._xlws.FILTER(OFFSET($O$15,0,$DN367,$B$8,1),OFFSET($M$15,0,0,$B$8,1))=EM$13), 1*(_xlfn._xlws.FILTER(OFFSET($O$15,0,$DO367,$B$8,1),OFFSET($M$15,0,0,$B$8,1))=EM$14))   /   SUM(OFFSET($BO$15,0,0,$B$14,1)) + $B$18/($B$19*$B$19*($DN367&lt;&gt;$DO367) + $B$19*($DN367=$DO367))</f>
        <v>3.7037037037037035E-4</v>
      </c>
      <c r="EN367" s="10" cm="1">
        <f t="array" aca="1" ref="EN367" ca="1">(1-$B$18)*SUMPRODUCT(OFFSET($BO$15,0,0,$B$14,1), 1*(_xlfn._xlws.FILTER(OFFSET($O$15,0,$DN367,$B$8,1),OFFSET($M$15,0,0,$B$8,1))=EN$13), 1*(_xlfn._xlws.FILTER(OFFSET($O$15,0,$DO367,$B$8,1),OFFSET($M$15,0,0,$B$8,1))=EN$14))   /   SUM(OFFSET($BO$15,0,0,$B$14,1)) + $B$18/($B$19*$B$19*($DN367&lt;&gt;$DO367) + $B$19*($DN367=$DO367))</f>
        <v>3.7037037037037035E-4</v>
      </c>
      <c r="EO367" s="10" cm="1">
        <f t="array" aca="1" ref="EO367" ca="1">(1-$B$18)*SUMPRODUCT(OFFSET($BO$15,0,0,$B$14,1), 1*(_xlfn._xlws.FILTER(OFFSET($O$15,0,$DN367,$B$8,1),OFFSET($M$15,0,0,$B$8,1))=EO$13), 1*(_xlfn._xlws.FILTER(OFFSET($O$15,0,$DO367,$B$8,1),OFFSET($M$15,0,0,$B$8,1))=EO$14))   /   SUM(OFFSET($BO$15,0,0,$B$14,1)) + $B$18/($B$19*$B$19*($DN367&lt;&gt;$DO367) + $B$19*($DN367=$DO367))</f>
        <v>3.7037037037037035E-4</v>
      </c>
      <c r="EP367" s="10" cm="1">
        <f t="array" aca="1" ref="EP367" ca="1">(1-$B$18)*SUMPRODUCT(OFFSET($BO$15,0,0,$B$14,1), 1*(_xlfn._xlws.FILTER(OFFSET($O$15,0,$DN367,$B$8,1),OFFSET($M$15,0,0,$B$8,1))=EP$13), 1*(_xlfn._xlws.FILTER(OFFSET($O$15,0,$DO367,$B$8,1),OFFSET($M$15,0,0,$B$8,1))=EP$14))   /   SUM(OFFSET($BO$15,0,0,$B$14,1)) + $B$18/($B$19*$B$19*($DN367&lt;&gt;$DO367) + $B$19*($DN367=$DO367))</f>
        <v>3.7037037037037035E-4</v>
      </c>
      <c r="EQ367" s="10" cm="1">
        <f t="array" aca="1" ref="EQ367" ca="1">(1-$B$18)*SUMPRODUCT(OFFSET($BO$15,0,0,$B$14,1), 1*(_xlfn._xlws.FILTER(OFFSET($O$15,0,$DN367,$B$8,1),OFFSET($M$15,0,0,$B$8,1))=EQ$13), 1*(_xlfn._xlws.FILTER(OFFSET($O$15,0,$DO367,$B$8,1),OFFSET($M$15,0,0,$B$8,1))=EQ$14))   /   SUM(OFFSET($BO$15,0,0,$B$14,1)) + $B$18/($B$19*$B$19*($DN367&lt;&gt;$DO367) + $B$19*($DN367=$DO367))</f>
        <v>3.7037037037037035E-4</v>
      </c>
      <c r="ER367" s="10" cm="1">
        <f t="array" aca="1" ref="ER367" ca="1">(1-$B$18)*SUMPRODUCT(OFFSET($BO$15,0,0,$B$14,1), 1*(_xlfn._xlws.FILTER(OFFSET($O$15,0,$DN367,$B$8,1),OFFSET($M$15,0,0,$B$8,1))=ER$13), 1*(_xlfn._xlws.FILTER(OFFSET($O$15,0,$DO367,$B$8,1),OFFSET($M$15,0,0,$B$8,1))=ER$14))   /   SUM(OFFSET($BO$15,0,0,$B$14,1)) + $B$18/($B$19*$B$19*($DN367&lt;&gt;$DO367) + $B$19*($DN367=$DO367))</f>
        <v>3.7037037037037035E-4</v>
      </c>
      <c r="ES367" s="10" cm="1">
        <f t="array" aca="1" ref="ES367" ca="1">(1-$B$18)*SUMPRODUCT(OFFSET($BO$15,0,0,$B$14,1), 1*(_xlfn._xlws.FILTER(OFFSET($O$15,0,$DN367,$B$8,1),OFFSET($M$15,0,0,$B$8,1))=ES$13), 1*(_xlfn._xlws.FILTER(OFFSET($O$15,0,$DO367,$B$8,1),OFFSET($M$15,0,0,$B$8,1))=ES$14))   /   SUM(OFFSET($BO$15,0,0,$B$14,1)) + $B$18/($B$19*$B$19*($DN367&lt;&gt;$DO367) + $B$19*($DN367=$DO367))</f>
        <v>3.7037037037037035E-4</v>
      </c>
      <c r="ET367" s="10" cm="1">
        <f t="array" aca="1" ref="ET367" ca="1">(1-$B$18)*SUMPRODUCT(OFFSET($BO$15,0,0,$B$14,1), 1*(_xlfn._xlws.FILTER(OFFSET($O$15,0,$DN367,$B$8,1),OFFSET($M$15,0,0,$B$8,1))=ET$13), 1*(_xlfn._xlws.FILTER(OFFSET($O$15,0,$DO367,$B$8,1),OFFSET($M$15,0,0,$B$8,1))=ET$14))   /   SUM(OFFSET($BO$15,0,0,$B$14,1)) + $B$18/($B$19*$B$19*($DN367&lt;&gt;$DO367) + $B$19*($DN367=$DO367))</f>
        <v>3.7037037037037035E-4</v>
      </c>
      <c r="EU367" s="10" cm="1">
        <f t="array" aca="1" ref="EU367" ca="1">(1-$B$18)*SUMPRODUCT(OFFSET($BO$15,0,0,$B$14,1), 1*(_xlfn._xlws.FILTER(OFFSET($O$15,0,$DN367,$B$8,1),OFFSET($M$15,0,0,$B$8,1))=EU$13), 1*(_xlfn._xlws.FILTER(OFFSET($O$15,0,$DO367,$B$8,1),OFFSET($M$15,0,0,$B$8,1))=EU$14))   /   SUM(OFFSET($BO$15,0,0,$B$14,1)) + $B$18/($B$19*$B$19*($DN367&lt;&gt;$DO367) + $B$19*($DN367=$DO367))</f>
        <v>3.7037037037037035E-4</v>
      </c>
      <c r="EV367" s="10" cm="1">
        <f t="array" aca="1" ref="EV367" ca="1">(1-$B$18)*SUMPRODUCT(OFFSET($BO$15,0,0,$B$14,1), 1*(_xlfn._xlws.FILTER(OFFSET($O$15,0,$DN367,$B$8,1),OFFSET($M$15,0,0,$B$8,1))=EV$13), 1*(_xlfn._xlws.FILTER(OFFSET($O$15,0,$DO367,$B$8,1),OFFSET($M$15,0,0,$B$8,1))=EV$14))   /   SUM(OFFSET($BO$15,0,0,$B$14,1)) + $B$18/($B$19*$B$19*($DN367&lt;&gt;$DO367) + $B$19*($DN367=$DO367))</f>
        <v>0.24287037037037024</v>
      </c>
      <c r="EW367" s="10" cm="1">
        <f t="array" aca="1" ref="EW367" ca="1">(1-$B$18)*SUMPRODUCT(OFFSET($BO$15,0,0,$B$14,1), 1*(_xlfn._xlws.FILTER(OFFSET($O$15,0,$DN367,$B$8,1),OFFSET($M$15,0,0,$B$8,1))=EW$13), 1*(_xlfn._xlws.FILTER(OFFSET($O$15,0,$DO367,$B$8,1),OFFSET($M$15,0,0,$B$8,1))=EW$14))   /   SUM(OFFSET($BO$15,0,0,$B$14,1)) + $B$18/($B$19*$B$19*($DN367&lt;&gt;$DO367) + $B$19*($DN367=$DO367))</f>
        <v>3.7037037037037035E-4</v>
      </c>
      <c r="EX367" s="10" cm="1">
        <f t="array" aca="1" ref="EX367" ca="1">(1-$B$18)*SUMPRODUCT(OFFSET($BO$15,0,0,$B$14,1), 1*(_xlfn._xlws.FILTER(OFFSET($O$15,0,$DN367,$B$8,1),OFFSET($M$15,0,0,$B$8,1))=EX$13), 1*(_xlfn._xlws.FILTER(OFFSET($O$15,0,$DO367,$B$8,1),OFFSET($M$15,0,0,$B$8,1))=EX$14))   /   SUM(OFFSET($BO$15,0,0,$B$14,1)) + $B$18/($B$19*$B$19*($DN367&lt;&gt;$DO367) + $B$19*($DN367=$DO367))</f>
        <v>3.7037037037037035E-4</v>
      </c>
      <c r="EY367" s="10" cm="1">
        <f t="array" aca="1" ref="EY367" ca="1">(1-$B$18)*SUMPRODUCT(OFFSET($BO$15,0,0,$B$14,1), 1*(_xlfn._xlws.FILTER(OFFSET($O$15,0,$DN367,$B$8,1),OFFSET($M$15,0,0,$B$8,1))=EY$13), 1*(_xlfn._xlws.FILTER(OFFSET($O$15,0,$DO367,$B$8,1),OFFSET($M$15,0,0,$B$8,1))=EY$14))   /   SUM(OFFSET($BO$15,0,0,$B$14,1)) + $B$18/($B$19*$B$19*($DN367&lt;&gt;$DO367) + $B$19*($DN367=$DO367))</f>
        <v>3.7037037037037035E-4</v>
      </c>
      <c r="EZ367" s="10" cm="1">
        <f t="array" aca="1" ref="EZ367" ca="1">(1-$B$18)*SUMPRODUCT(OFFSET($BO$15,0,0,$B$14,1), 1*(_xlfn._xlws.FILTER(OFFSET($O$15,0,$DN367,$B$8,1),OFFSET($M$15,0,0,$B$8,1))=EZ$13), 1*(_xlfn._xlws.FILTER(OFFSET($O$15,0,$DO367,$B$8,1),OFFSET($M$15,0,0,$B$8,1))=EZ$14))   /   SUM(OFFSET($BO$15,0,0,$B$14,1)) + $B$18/($B$19*$B$19*($DN367&lt;&gt;$DO367) + $B$19*($DN367=$DO367))</f>
        <v>3.7037037037037035E-4</v>
      </c>
      <c r="FA367" s="10" cm="1">
        <f t="array" aca="1" ref="FA367" ca="1">(1-$B$18)*SUMPRODUCT(OFFSET($BO$15,0,0,$B$14,1), 1*(_xlfn._xlws.FILTER(OFFSET($O$15,0,$DN367,$B$8,1),OFFSET($M$15,0,0,$B$8,1))=FA$13), 1*(_xlfn._xlws.FILTER(OFFSET($O$15,0,$DO367,$B$8,1),OFFSET($M$15,0,0,$B$8,1))=FA$14))   /   SUM(OFFSET($BO$15,0,0,$B$14,1)) + $B$18/($B$19*$B$19*($DN367&lt;&gt;$DO367) + $B$19*($DN367=$DO367))</f>
        <v>3.7037037037037035E-4</v>
      </c>
      <c r="FB367" s="10" cm="1">
        <f t="array" aca="1" ref="FB367" ca="1">(1-$B$18)*SUMPRODUCT(OFFSET($BO$15,0,0,$B$14,1), 1*(_xlfn._xlws.FILTER(OFFSET($O$15,0,$DN367,$B$8,1),OFFSET($M$15,0,0,$B$8,1))=FB$13), 1*(_xlfn._xlws.FILTER(OFFSET($O$15,0,$DO367,$B$8,1),OFFSET($M$15,0,0,$B$8,1))=FB$14))   /   SUM(OFFSET($BO$15,0,0,$B$14,1)) + $B$18/($B$19*$B$19*($DN367&lt;&gt;$DO367) + $B$19*($DN367=$DO367))</f>
        <v>3.7037037037037035E-4</v>
      </c>
      <c r="FC367" s="10" cm="1">
        <f t="array" aca="1" ref="FC367" ca="1">(1-$B$18)*SUMPRODUCT(OFFSET($BO$15,0,0,$B$14,1), 1*(_xlfn._xlws.FILTER(OFFSET($O$15,0,$DN367,$B$8,1),OFFSET($M$15,0,0,$B$8,1))=FC$13), 1*(_xlfn._xlws.FILTER(OFFSET($O$15,0,$DO367,$B$8,1),OFFSET($M$15,0,0,$B$8,1))=FC$14))   /   SUM(OFFSET($BO$15,0,0,$B$14,1)) + $B$18/($B$19*$B$19*($DN367&lt;&gt;$DO367) + $B$19*($DN367=$DO367))</f>
        <v>3.7037037037037035E-4</v>
      </c>
      <c r="FD367" s="10" cm="1">
        <f t="array" aca="1" ref="FD367" ca="1">(1-$B$18)*SUMPRODUCT(OFFSET($BO$15,0,0,$B$14,1), 1*(_xlfn._xlws.FILTER(OFFSET($O$15,0,$DN367,$B$8,1),OFFSET($M$15,0,0,$B$8,1))=FD$13), 1*(_xlfn._xlws.FILTER(OFFSET($O$15,0,$DO367,$B$8,1),OFFSET($M$15,0,0,$B$8,1))=FD$14))   /   SUM(OFFSET($BO$15,0,0,$B$14,1)) + $B$18/($B$19*$B$19*($DN367&lt;&gt;$DO367) + $B$19*($DN367=$DO367))</f>
        <v>3.7037037037037035E-4</v>
      </c>
      <c r="FE367" s="10" cm="1">
        <f t="array" aca="1" ref="FE367" ca="1">(1-$B$18)*SUMPRODUCT(OFFSET($BO$15,0,0,$B$14,1), 1*(_xlfn._xlws.FILTER(OFFSET($O$15,0,$DN367,$B$8,1),OFFSET($M$15,0,0,$B$8,1))=FE$13), 1*(_xlfn._xlws.FILTER(OFFSET($O$15,0,$DO367,$B$8,1),OFFSET($M$15,0,0,$B$8,1))=FE$14))   /   SUM(OFFSET($BO$15,0,0,$B$14,1)) + $B$18/($B$19*$B$19*($DN367&lt;&gt;$DO367) + $B$19*($DN367=$DO367))</f>
        <v>3.7037037037037035E-4</v>
      </c>
      <c r="FF367" s="10" cm="1">
        <f t="array" aca="1" ref="FF367" ca="1">(1-$B$18)*SUMPRODUCT(OFFSET($BO$15,0,0,$B$14,1), 1*(_xlfn._xlws.FILTER(OFFSET($O$15,0,$DN367,$B$8,1),OFFSET($M$15,0,0,$B$8,1))=FF$13), 1*(_xlfn._xlws.FILTER(OFFSET($O$15,0,$DO367,$B$8,1),OFFSET($M$15,0,0,$B$8,1))=FF$14))   /   SUM(OFFSET($BO$15,0,0,$B$14,1)) + $B$18/($B$19*$B$19*($DN367&lt;&gt;$DO367) + $B$19*($DN367=$DO367))</f>
        <v>0.24287037037037026</v>
      </c>
      <c r="FG367" s="10" cm="1">
        <f t="array" aca="1" ref="FG367" ca="1">(1-$B$18)*SUMPRODUCT(OFFSET($BO$15,0,0,$B$14,1), 1*(_xlfn._xlws.FILTER(OFFSET($O$15,0,$DN367,$B$8,1),OFFSET($M$15,0,0,$B$8,1))=FG$13), 1*(_xlfn._xlws.FILTER(OFFSET($O$15,0,$DO367,$B$8,1),OFFSET($M$15,0,0,$B$8,1))=FG$14))   /   SUM(OFFSET($BO$15,0,0,$B$14,1)) + $B$18/($B$19*$B$19*($DN367&lt;&gt;$DO367) + $B$19*($DN367=$DO367))</f>
        <v>0.24287037037037026</v>
      </c>
      <c r="FH367" s="10" cm="1">
        <f t="array" aca="1" ref="FH367" ca="1">(1-$B$18)*SUMPRODUCT(OFFSET($BO$15,0,0,$B$14,1), 1*(_xlfn._xlws.FILTER(OFFSET($O$15,0,$DN367,$B$8,1),OFFSET($M$15,0,0,$B$8,1))=FH$13), 1*(_xlfn._xlws.FILTER(OFFSET($O$15,0,$DO367,$B$8,1),OFFSET($M$15,0,0,$B$8,1))=FH$14))   /   SUM(OFFSET($BO$15,0,0,$B$14,1)) + $B$18/($B$19*$B$19*($DN367&lt;&gt;$DO367) + $B$19*($DN367=$DO367))</f>
        <v>3.7037037037037035E-4</v>
      </c>
      <c r="FI367" s="10" cm="1">
        <f t="array" aca="1" ref="FI367" ca="1">(1-$B$18)*SUMPRODUCT(OFFSET($BO$15,0,0,$B$14,1), 1*(_xlfn._xlws.FILTER(OFFSET($O$15,0,$DN367,$B$8,1),OFFSET($M$15,0,0,$B$8,1))=FI$13), 1*(_xlfn._xlws.FILTER(OFFSET($O$15,0,$DO367,$B$8,1),OFFSET($M$15,0,0,$B$8,1))=FI$14))   /   SUM(OFFSET($BO$15,0,0,$B$14,1)) + $B$18/($B$19*$B$19*($DN367&lt;&gt;$DO367) + $B$19*($DN367=$DO367))</f>
        <v>3.7037037037037035E-4</v>
      </c>
      <c r="FJ367" s="10" cm="1">
        <f t="array" aca="1" ref="FJ367" ca="1">(1-$B$18)*SUMPRODUCT(OFFSET($BO$15,0,0,$B$14,1), 1*(_xlfn._xlws.FILTER(OFFSET($O$15,0,$DN367,$B$8,1),OFFSET($M$15,0,0,$B$8,1))=FJ$13), 1*(_xlfn._xlws.FILTER(OFFSET($O$15,0,$DO367,$B$8,1),OFFSET($M$15,0,0,$B$8,1))=FJ$14))   /   SUM(OFFSET($BO$15,0,0,$B$14,1)) + $B$18/($B$19*$B$19*($DN367&lt;&gt;$DO367) + $B$19*($DN367=$DO367))</f>
        <v>3.7037037037037035E-4</v>
      </c>
      <c r="FK367" s="10" cm="1">
        <f t="array" aca="1" ref="FK367" ca="1">(1-$B$18)*SUMPRODUCT(OFFSET($BO$15,0,0,$B$14,1), 1*(_xlfn._xlws.FILTER(OFFSET($O$15,0,$DN367,$B$8,1),OFFSET($M$15,0,0,$B$8,1))=FK$13), 1*(_xlfn._xlws.FILTER(OFFSET($O$15,0,$DO367,$B$8,1),OFFSET($M$15,0,0,$B$8,1))=FK$14))   /   SUM(OFFSET($BO$15,0,0,$B$14,1)) + $B$18/($B$19*$B$19*($DN367&lt;&gt;$DO367) + $B$19*($DN367=$DO367))</f>
        <v>3.7037037037037035E-4</v>
      </c>
      <c r="FL367" s="10" cm="1">
        <f t="array" aca="1" ref="FL367" ca="1">(1-$B$18)*SUMPRODUCT(OFFSET($BO$15,0,0,$B$14,1), 1*(_xlfn._xlws.FILTER(OFFSET($O$15,0,$DN367,$B$8,1),OFFSET($M$15,0,0,$B$8,1))=FL$13), 1*(_xlfn._xlws.FILTER(OFFSET($O$15,0,$DO367,$B$8,1),OFFSET($M$15,0,0,$B$8,1))=FL$14))   /   SUM(OFFSET($BO$15,0,0,$B$14,1)) + $B$18/($B$19*$B$19*($DN367&lt;&gt;$DO367) + $B$19*($DN367=$DO367))</f>
        <v>0.24287037037037026</v>
      </c>
      <c r="FM367" s="10" cm="1">
        <f t="array" aca="1" ref="FM367" ca="1">(1-$B$18)*SUMPRODUCT(OFFSET($BO$15,0,0,$B$14,1), 1*(_xlfn._xlws.FILTER(OFFSET($O$15,0,$DN367,$B$8,1),OFFSET($M$15,0,0,$B$8,1))=FM$13), 1*(_xlfn._xlws.FILTER(OFFSET($O$15,0,$DO367,$B$8,1),OFFSET($M$15,0,0,$B$8,1))=FM$14))   /   SUM(OFFSET($BO$15,0,0,$B$14,1)) + $B$18/($B$19*$B$19*($DN367&lt;&gt;$DO367) + $B$19*($DN367=$DO367))</f>
        <v>3.7037037037037035E-4</v>
      </c>
      <c r="FN367" s="10" cm="1">
        <f t="array" aca="1" ref="FN367" ca="1">(1-$B$18)*SUMPRODUCT(OFFSET($BO$15,0,0,$B$14,1), 1*(_xlfn._xlws.FILTER(OFFSET($O$15,0,$DN367,$B$8,1),OFFSET($M$15,0,0,$B$8,1))=FN$13), 1*(_xlfn._xlws.FILTER(OFFSET($O$15,0,$DO367,$B$8,1),OFFSET($M$15,0,0,$B$8,1))=FN$14))   /   SUM(OFFSET($BO$15,0,0,$B$14,1)) + $B$18/($B$19*$B$19*($DN367&lt;&gt;$DO367) + $B$19*($DN367=$DO367))</f>
        <v>3.7037037037037035E-4</v>
      </c>
      <c r="FO367" s="10" cm="1">
        <f t="array" aca="1" ref="FO367" ca="1">(1-$B$18)*SUMPRODUCT(OFFSET($BO$15,0,0,$B$14,1), 1*(_xlfn._xlws.FILTER(OFFSET($O$15,0,$DN367,$B$8,1),OFFSET($M$15,0,0,$B$8,1))=FO$13), 1*(_xlfn._xlws.FILTER(OFFSET($O$15,0,$DO367,$B$8,1),OFFSET($M$15,0,0,$B$8,1))=FO$14))   /   SUM(OFFSET($BO$15,0,0,$B$14,1)) + $B$18/($B$19*$B$19*($DN367&lt;&gt;$DO367) + $B$19*($DN367=$DO367))</f>
        <v>3.7037037037037035E-4</v>
      </c>
      <c r="FP367" s="10" cm="1">
        <f t="array" aca="1" ref="FP367" ca="1">(1-$B$18)*SUMPRODUCT(OFFSET($BO$15,0,0,$B$14,1), 1*(_xlfn._xlws.FILTER(OFFSET($O$15,0,$DN367,$B$8,1),OFFSET($M$15,0,0,$B$8,1))=FP$13), 1*(_xlfn._xlws.FILTER(OFFSET($O$15,0,$DO367,$B$8,1),OFFSET($M$15,0,0,$B$8,1))=FP$14))   /   SUM(OFFSET($BO$15,0,0,$B$14,1)) + $B$18/($B$19*$B$19*($DN367&lt;&gt;$DO367) + $B$19*($DN367=$DO367))</f>
        <v>3.7037037037037035E-4</v>
      </c>
      <c r="FQ367" s="10" cm="1">
        <f t="array" aca="1" ref="FQ367" ca="1">(1-$B$18)*SUMPRODUCT(OFFSET($BO$15,0,0,$B$14,1), 1*(_xlfn._xlws.FILTER(OFFSET($O$15,0,$DN367,$B$8,1),OFFSET($M$15,0,0,$B$8,1))=FQ$13), 1*(_xlfn._xlws.FILTER(OFFSET($O$15,0,$DO367,$B$8,1),OFFSET($M$15,0,0,$B$8,1))=FQ$14))   /   SUM(OFFSET($BO$15,0,0,$B$14,1)) + $B$18/($B$19*$B$19*($DN367&lt;&gt;$DO367) + $B$19*($DN367=$DO367))</f>
        <v>3.7037037037037035E-4</v>
      </c>
      <c r="FR367" s="10" cm="1">
        <f t="array" aca="1" ref="FR367" ca="1">(1-$B$18)*SUMPRODUCT(OFFSET($BO$15,0,0,$B$14,1), 1*(_xlfn._xlws.FILTER(OFFSET($O$15,0,$DN367,$B$8,1),OFFSET($M$15,0,0,$B$8,1))=FR$13), 1*(_xlfn._xlws.FILTER(OFFSET($O$15,0,$DO367,$B$8,1),OFFSET($M$15,0,0,$B$8,1))=FR$14))   /   SUM(OFFSET($BO$15,0,0,$B$14,1)) + $B$18/($B$19*$B$19*($DN367&lt;&gt;$DO367) + $B$19*($DN367=$DO367))</f>
        <v>3.7037037037037035E-4</v>
      </c>
      <c r="FS367" s="10" cm="1">
        <f t="array" aca="1" ref="FS367" ca="1">(1-$B$18)*SUMPRODUCT(OFFSET($BO$15,0,0,$B$14,1), 1*(_xlfn._xlws.FILTER(OFFSET($O$15,0,$DN367,$B$8,1),OFFSET($M$15,0,0,$B$8,1))=FS$13), 1*(_xlfn._xlws.FILTER(OFFSET($O$15,0,$DO367,$B$8,1),OFFSET($M$15,0,0,$B$8,1))=FS$14))   /   SUM(OFFSET($BO$15,0,0,$B$14,1)) + $B$18/($B$19*$B$19*($DN367&lt;&gt;$DO367) + $B$19*($DN367=$DO367))</f>
        <v>3.7037037037037035E-4</v>
      </c>
      <c r="FT367" s="10" cm="1">
        <f t="array" aca="1" ref="FT367" ca="1">(1-$B$18)*SUMPRODUCT(OFFSET($BO$15,0,0,$B$14,1), 1*(_xlfn._xlws.FILTER(OFFSET($O$15,0,$DN367,$B$8,1),OFFSET($M$15,0,0,$B$8,1))=FT$13), 1*(_xlfn._xlws.FILTER(OFFSET($O$15,0,$DO367,$B$8,1),OFFSET($M$15,0,0,$B$8,1))=FT$14))   /   SUM(OFFSET($BO$15,0,0,$B$14,1)) + $B$18/($B$19*$B$19*($DN367&lt;&gt;$DO367) + $B$19*($DN367=$DO367))</f>
        <v>3.7037037037037035E-4</v>
      </c>
      <c r="FU367" s="10" cm="1">
        <f t="array" aca="1" ref="FU367" ca="1">(1-$B$18)*SUMPRODUCT(OFFSET($BO$15,0,0,$B$14,1), 1*(_xlfn._xlws.FILTER(OFFSET($O$15,0,$DN367,$B$8,1),OFFSET($M$15,0,0,$B$8,1))=FU$13), 1*(_xlfn._xlws.FILTER(OFFSET($O$15,0,$DO367,$B$8,1),OFFSET($M$15,0,0,$B$8,1))=FU$14))   /   SUM(OFFSET($BO$15,0,0,$B$14,1)) + $B$18/($B$19*$B$19*($DN367&lt;&gt;$DO367) + $B$19*($DN367=$DO367))</f>
        <v>3.7037037037037035E-4</v>
      </c>
      <c r="FV367" s="10" cm="1">
        <f t="array" aca="1" ref="FV367" ca="1">(1-$B$18)*SUMPRODUCT(OFFSET($BO$15,0,0,$B$14,1), 1*(_xlfn._xlws.FILTER(OFFSET($O$15,0,$DN367,$B$8,1),OFFSET($M$15,0,0,$B$8,1))=FV$13), 1*(_xlfn._xlws.FILTER(OFFSET($O$15,0,$DO367,$B$8,1),OFFSET($M$15,0,0,$B$8,1))=FV$14))   /   SUM(OFFSET($BO$15,0,0,$B$14,1)) + $B$18/($B$19*$B$19*($DN367&lt;&gt;$DO367) + $B$19*($DN367=$DO367))</f>
        <v>3.7037037037037035E-4</v>
      </c>
      <c r="FW367" s="10" cm="1">
        <f t="array" aca="1" ref="FW367" ca="1">(1-$B$18)*SUMPRODUCT(OFFSET($BO$15,0,0,$B$14,1), 1*(_xlfn._xlws.FILTER(OFFSET($O$15,0,$DN367,$B$8,1),OFFSET($M$15,0,0,$B$8,1))=FW$13), 1*(_xlfn._xlws.FILTER(OFFSET($O$15,0,$DO367,$B$8,1),OFFSET($M$15,0,0,$B$8,1))=FW$14))   /   SUM(OFFSET($BO$15,0,0,$B$14,1)) + $B$18/($B$19*$B$19*($DN367&lt;&gt;$DO367) + $B$19*($DN367=$DO367))</f>
        <v>3.7037037037037035E-4</v>
      </c>
      <c r="FX367" s="10" cm="1">
        <f t="array" aca="1" ref="FX367" ca="1">(1-$B$18)*SUMPRODUCT(OFFSET($BO$15,0,0,$B$14,1), 1*(_xlfn._xlws.FILTER(OFFSET($O$15,0,$DN367,$B$8,1),OFFSET($M$15,0,0,$B$8,1))=FX$13), 1*(_xlfn._xlws.FILTER(OFFSET($O$15,0,$DO367,$B$8,1),OFFSET($M$15,0,0,$B$8,1))=FX$14))   /   SUM(OFFSET($BO$15,0,0,$B$14,1)) + $B$18/($B$19*$B$19*($DN367&lt;&gt;$DO367) + $B$19*($DN367=$DO367))</f>
        <v>3.7037037037037035E-4</v>
      </c>
      <c r="FY367" s="10" cm="1">
        <f t="array" aca="1" ref="FY367" ca="1">(1-$B$18)*SUMPRODUCT(OFFSET($BO$15,0,0,$B$14,1), 1*(_xlfn._xlws.FILTER(OFFSET($O$15,0,$DN367,$B$8,1),OFFSET($M$15,0,0,$B$8,1))=FY$13), 1*(_xlfn._xlws.FILTER(OFFSET($O$15,0,$DO367,$B$8,1),OFFSET($M$15,0,0,$B$8,1))=FY$14))   /   SUM(OFFSET($BO$15,0,0,$B$14,1)) + $B$18/($B$19*$B$19*($DN367&lt;&gt;$DO367) + $B$19*($DN367=$DO367))</f>
        <v>3.7037037037037035E-4</v>
      </c>
      <c r="FZ367" s="10" cm="1">
        <f t="array" aca="1" ref="FZ367" ca="1">(1-$B$18)*SUMPRODUCT(OFFSET($BO$15,0,0,$B$14,1), 1*(_xlfn._xlws.FILTER(OFFSET($O$15,0,$DN367,$B$8,1),OFFSET($M$15,0,0,$B$8,1))=FZ$13), 1*(_xlfn._xlws.FILTER(OFFSET($O$15,0,$DO367,$B$8,1),OFFSET($M$15,0,0,$B$8,1))=FZ$14))   /   SUM(OFFSET($BO$15,0,0,$B$14,1)) + $B$18/($B$19*$B$19*($DN367&lt;&gt;$DO367) + $B$19*($DN367=$DO367))</f>
        <v>3.7037037037037035E-4</v>
      </c>
      <c r="GA367" s="10" cm="1">
        <f t="array" aca="1" ref="GA367" ca="1">(1-$B$18)*SUMPRODUCT(OFFSET($BO$15,0,0,$B$14,1), 1*(_xlfn._xlws.FILTER(OFFSET($O$15,0,$DN367,$B$8,1),OFFSET($M$15,0,0,$B$8,1))=GA$13), 1*(_xlfn._xlws.FILTER(OFFSET($O$15,0,$DO367,$B$8,1),OFFSET($M$15,0,0,$B$8,1))=GA$14))   /   SUM(OFFSET($BO$15,0,0,$B$14,1)) + $B$18/($B$19*$B$19*($DN367&lt;&gt;$DO367) + $B$19*($DN367=$DO367))</f>
        <v>3.7037037037037035E-4</v>
      </c>
    </row>
    <row r="368" spans="118:183" x14ac:dyDescent="0.2">
      <c r="DN368" cm="1">
        <f t="array" aca="1" ref="DN368" ca="1">INDEX(_xlfn.ANCHORARRAY($CP$15), 1 + INT((ROWS($DO$15:$DO368) - 1) / ROWS(_xlfn.ANCHORARRAY($CP$15))))</f>
        <v>21</v>
      </c>
      <c r="DO368" cm="1">
        <f t="array" aca="1" ref="DO368" ca="1">INDEX(_xlfn.ANCHORARRAY($CP$15),1+MOD(ROWS($DO$15:$DO368)-1,ROWS(_xlfn.ANCHORARRAY($CP$15))))</f>
        <v>12</v>
      </c>
      <c r="DP368" s="10" cm="1">
        <f t="array" aca="1" ref="DP368" ca="1">(1-$B$18)*SUMPRODUCT(OFFSET($BO$15,0,0,$B$14,1), 1*(_xlfn._xlws.FILTER(OFFSET($O$15,0,$DN368,$B$8,1),OFFSET($M$15,0,0,$B$8,1))=DP$13), 1*(_xlfn._xlws.FILTER(OFFSET($O$15,0,$DO368,$B$8,1),OFFSET($M$15,0,0,$B$8,1))=DP$14))   /   SUM(OFFSET($BO$15,0,0,$B$14,1)) + $B$18/($B$19*$B$19*($DN368&lt;&gt;$DO368) + $B$19*($DN368=$DO368))</f>
        <v>3.7037037037037035E-4</v>
      </c>
      <c r="DQ368" s="10" cm="1">
        <f t="array" aca="1" ref="DQ368" ca="1">(1-$B$18)*SUMPRODUCT(OFFSET($BO$15,0,0,$B$14,1), 1*(_xlfn._xlws.FILTER(OFFSET($O$15,0,$DN368,$B$8,1),OFFSET($M$15,0,0,$B$8,1))=DQ$13), 1*(_xlfn._xlws.FILTER(OFFSET($O$15,0,$DO368,$B$8,1),OFFSET($M$15,0,0,$B$8,1))=DQ$14))   /   SUM(OFFSET($BO$15,0,0,$B$14,1)) + $B$18/($B$19*$B$19*($DN368&lt;&gt;$DO368) + $B$19*($DN368=$DO368))</f>
        <v>3.7037037037037035E-4</v>
      </c>
      <c r="DR368" s="10" cm="1">
        <f t="array" aca="1" ref="DR368" ca="1">(1-$B$18)*SUMPRODUCT(OFFSET($BO$15,0,0,$B$14,1), 1*(_xlfn._xlws.FILTER(OFFSET($O$15,0,$DN368,$B$8,1),OFFSET($M$15,0,0,$B$8,1))=DR$13), 1*(_xlfn._xlws.FILTER(OFFSET($O$15,0,$DO368,$B$8,1),OFFSET($M$15,0,0,$B$8,1))=DR$14))   /   SUM(OFFSET($BO$15,0,0,$B$14,1)) + $B$18/($B$19*$B$19*($DN368&lt;&gt;$DO368) + $B$19*($DN368=$DO368))</f>
        <v>3.7037037037037035E-4</v>
      </c>
      <c r="DS368" s="10" cm="1">
        <f t="array" aca="1" ref="DS368" ca="1">(1-$B$18)*SUMPRODUCT(OFFSET($BO$15,0,0,$B$14,1), 1*(_xlfn._xlws.FILTER(OFFSET($O$15,0,$DN368,$B$8,1),OFFSET($M$15,0,0,$B$8,1))=DS$13), 1*(_xlfn._xlws.FILTER(OFFSET($O$15,0,$DO368,$B$8,1),OFFSET($M$15,0,0,$B$8,1))=DS$14))   /   SUM(OFFSET($BO$15,0,0,$B$14,1)) + $B$18/($B$19*$B$19*($DN368&lt;&gt;$DO368) + $B$19*($DN368=$DO368))</f>
        <v>3.7037037037037035E-4</v>
      </c>
      <c r="DT368" s="10" cm="1">
        <f t="array" aca="1" ref="DT368" ca="1">(1-$B$18)*SUMPRODUCT(OFFSET($BO$15,0,0,$B$14,1), 1*(_xlfn._xlws.FILTER(OFFSET($O$15,0,$DN368,$B$8,1),OFFSET($M$15,0,0,$B$8,1))=DT$13), 1*(_xlfn._xlws.FILTER(OFFSET($O$15,0,$DO368,$B$8,1),OFFSET($M$15,0,0,$B$8,1))=DT$14))   /   SUM(OFFSET($BO$15,0,0,$B$14,1)) + $B$18/($B$19*$B$19*($DN368&lt;&gt;$DO368) + $B$19*($DN368=$DO368))</f>
        <v>3.7037037037037035E-4</v>
      </c>
      <c r="DU368" s="10" cm="1">
        <f t="array" aca="1" ref="DU368" ca="1">(1-$B$18)*SUMPRODUCT(OFFSET($BO$15,0,0,$B$14,1), 1*(_xlfn._xlws.FILTER(OFFSET($O$15,0,$DN368,$B$8,1),OFFSET($M$15,0,0,$B$8,1))=DU$13), 1*(_xlfn._xlws.FILTER(OFFSET($O$15,0,$DO368,$B$8,1),OFFSET($M$15,0,0,$B$8,1))=DU$14))   /   SUM(OFFSET($BO$15,0,0,$B$14,1)) + $B$18/($B$19*$B$19*($DN368&lt;&gt;$DO368) + $B$19*($DN368=$DO368))</f>
        <v>3.7037037037037035E-4</v>
      </c>
      <c r="DV368" s="10" cm="1">
        <f t="array" aca="1" ref="DV368" ca="1">(1-$B$18)*SUMPRODUCT(OFFSET($BO$15,0,0,$B$14,1), 1*(_xlfn._xlws.FILTER(OFFSET($O$15,0,$DN368,$B$8,1),OFFSET($M$15,0,0,$B$8,1))=DV$13), 1*(_xlfn._xlws.FILTER(OFFSET($O$15,0,$DO368,$B$8,1),OFFSET($M$15,0,0,$B$8,1))=DV$14))   /   SUM(OFFSET($BO$15,0,0,$B$14,1)) + $B$18/($B$19*$B$19*($DN368&lt;&gt;$DO368) + $B$19*($DN368=$DO368))</f>
        <v>3.7037037037037035E-4</v>
      </c>
      <c r="DW368" s="10" cm="1">
        <f t="array" aca="1" ref="DW368" ca="1">(1-$B$18)*SUMPRODUCT(OFFSET($BO$15,0,0,$B$14,1), 1*(_xlfn._xlws.FILTER(OFFSET($O$15,0,$DN368,$B$8,1),OFFSET($M$15,0,0,$B$8,1))=DW$13), 1*(_xlfn._xlws.FILTER(OFFSET($O$15,0,$DO368,$B$8,1),OFFSET($M$15,0,0,$B$8,1))=DW$14))   /   SUM(OFFSET($BO$15,0,0,$B$14,1)) + $B$18/($B$19*$B$19*($DN368&lt;&gt;$DO368) + $B$19*($DN368=$DO368))</f>
        <v>3.7037037037037035E-4</v>
      </c>
      <c r="DX368" s="10" cm="1">
        <f t="array" aca="1" ref="DX368" ca="1">(1-$B$18)*SUMPRODUCT(OFFSET($BO$15,0,0,$B$14,1), 1*(_xlfn._xlws.FILTER(OFFSET($O$15,0,$DN368,$B$8,1),OFFSET($M$15,0,0,$B$8,1))=DX$13), 1*(_xlfn._xlws.FILTER(OFFSET($O$15,0,$DO368,$B$8,1),OFFSET($M$15,0,0,$B$8,1))=DX$14))   /   SUM(OFFSET($BO$15,0,0,$B$14,1)) + $B$18/($B$19*$B$19*($DN368&lt;&gt;$DO368) + $B$19*($DN368=$DO368))</f>
        <v>3.7037037037037035E-4</v>
      </c>
      <c r="DY368" s="10" cm="1">
        <f t="array" aca="1" ref="DY368" ca="1">(1-$B$18)*SUMPRODUCT(OFFSET($BO$15,0,0,$B$14,1), 1*(_xlfn._xlws.FILTER(OFFSET($O$15,0,$DN368,$B$8,1),OFFSET($M$15,0,0,$B$8,1))=DY$13), 1*(_xlfn._xlws.FILTER(OFFSET($O$15,0,$DO368,$B$8,1),OFFSET($M$15,0,0,$B$8,1))=DY$14))   /   SUM(OFFSET($BO$15,0,0,$B$14,1)) + $B$18/($B$19*$B$19*($DN368&lt;&gt;$DO368) + $B$19*($DN368=$DO368))</f>
        <v>3.7037037037037035E-4</v>
      </c>
      <c r="DZ368" s="10" cm="1">
        <f t="array" aca="1" ref="DZ368" ca="1">(1-$B$18)*SUMPRODUCT(OFFSET($BO$15,0,0,$B$14,1), 1*(_xlfn._xlws.FILTER(OFFSET($O$15,0,$DN368,$B$8,1),OFFSET($M$15,0,0,$B$8,1))=DZ$13), 1*(_xlfn._xlws.FILTER(OFFSET($O$15,0,$DO368,$B$8,1),OFFSET($M$15,0,0,$B$8,1))=DZ$14))   /   SUM(OFFSET($BO$15,0,0,$B$14,1)) + $B$18/($B$19*$B$19*($DN368&lt;&gt;$DO368) + $B$19*($DN368=$DO368))</f>
        <v>3.7037037037037035E-4</v>
      </c>
      <c r="EA368" s="10" cm="1">
        <f t="array" aca="1" ref="EA368" ca="1">(1-$B$18)*SUMPRODUCT(OFFSET($BO$15,0,0,$B$14,1), 1*(_xlfn._xlws.FILTER(OFFSET($O$15,0,$DN368,$B$8,1),OFFSET($M$15,0,0,$B$8,1))=EA$13), 1*(_xlfn._xlws.FILTER(OFFSET($O$15,0,$DO368,$B$8,1),OFFSET($M$15,0,0,$B$8,1))=EA$14))   /   SUM(OFFSET($BO$15,0,0,$B$14,1)) + $B$18/($B$19*$B$19*($DN368&lt;&gt;$DO368) + $B$19*($DN368=$DO368))</f>
        <v>3.7037037037037035E-4</v>
      </c>
      <c r="EB368" s="10" cm="1">
        <f t="array" aca="1" ref="EB368" ca="1">(1-$B$18)*SUMPRODUCT(OFFSET($BO$15,0,0,$B$14,1), 1*(_xlfn._xlws.FILTER(OFFSET($O$15,0,$DN368,$B$8,1),OFFSET($M$15,0,0,$B$8,1))=EB$13), 1*(_xlfn._xlws.FILTER(OFFSET($O$15,0,$DO368,$B$8,1),OFFSET($M$15,0,0,$B$8,1))=EB$14))   /   SUM(OFFSET($BO$15,0,0,$B$14,1)) + $B$18/($B$19*$B$19*($DN368&lt;&gt;$DO368) + $B$19*($DN368=$DO368))</f>
        <v>3.7037037037037035E-4</v>
      </c>
      <c r="EC368" s="10" cm="1">
        <f t="array" aca="1" ref="EC368" ca="1">(1-$B$18)*SUMPRODUCT(OFFSET($BO$15,0,0,$B$14,1), 1*(_xlfn._xlws.FILTER(OFFSET($O$15,0,$DN368,$B$8,1),OFFSET($M$15,0,0,$B$8,1))=EC$13), 1*(_xlfn._xlws.FILTER(OFFSET($O$15,0,$DO368,$B$8,1),OFFSET($M$15,0,0,$B$8,1))=EC$14))   /   SUM(OFFSET($BO$15,0,0,$B$14,1)) + $B$18/($B$19*$B$19*($DN368&lt;&gt;$DO368) + $B$19*($DN368=$DO368))</f>
        <v>3.7037037037037035E-4</v>
      </c>
      <c r="ED368" s="10" cm="1">
        <f t="array" aca="1" ref="ED368" ca="1">(1-$B$18)*SUMPRODUCT(OFFSET($BO$15,0,0,$B$14,1), 1*(_xlfn._xlws.FILTER(OFFSET($O$15,0,$DN368,$B$8,1),OFFSET($M$15,0,0,$B$8,1))=ED$13), 1*(_xlfn._xlws.FILTER(OFFSET($O$15,0,$DO368,$B$8,1),OFFSET($M$15,0,0,$B$8,1))=ED$14))   /   SUM(OFFSET($BO$15,0,0,$B$14,1)) + $B$18/($B$19*$B$19*($DN368&lt;&gt;$DO368) + $B$19*($DN368=$DO368))</f>
        <v>3.7037037037037035E-4</v>
      </c>
      <c r="EE368" s="10" cm="1">
        <f t="array" aca="1" ref="EE368" ca="1">(1-$B$18)*SUMPRODUCT(OFFSET($BO$15,0,0,$B$14,1), 1*(_xlfn._xlws.FILTER(OFFSET($O$15,0,$DN368,$B$8,1),OFFSET($M$15,0,0,$B$8,1))=EE$13), 1*(_xlfn._xlws.FILTER(OFFSET($O$15,0,$DO368,$B$8,1),OFFSET($M$15,0,0,$B$8,1))=EE$14))   /   SUM(OFFSET($BO$15,0,0,$B$14,1)) + $B$18/($B$19*$B$19*($DN368&lt;&gt;$DO368) + $B$19*($DN368=$DO368))</f>
        <v>3.7037037037037035E-4</v>
      </c>
      <c r="EF368" s="10" cm="1">
        <f t="array" aca="1" ref="EF368" ca="1">(1-$B$18)*SUMPRODUCT(OFFSET($BO$15,0,0,$B$14,1), 1*(_xlfn._xlws.FILTER(OFFSET($O$15,0,$DN368,$B$8,1),OFFSET($M$15,0,0,$B$8,1))=EF$13), 1*(_xlfn._xlws.FILTER(OFFSET($O$15,0,$DO368,$B$8,1),OFFSET($M$15,0,0,$B$8,1))=EF$14))   /   SUM(OFFSET($BO$15,0,0,$B$14,1)) + $B$18/($B$19*$B$19*($DN368&lt;&gt;$DO368) + $B$19*($DN368=$DO368))</f>
        <v>3.7037037037037035E-4</v>
      </c>
      <c r="EG368" s="10" cm="1">
        <f t="array" aca="1" ref="EG368" ca="1">(1-$B$18)*SUMPRODUCT(OFFSET($BO$15,0,0,$B$14,1), 1*(_xlfn._xlws.FILTER(OFFSET($O$15,0,$DN368,$B$8,1),OFFSET($M$15,0,0,$B$8,1))=EG$13), 1*(_xlfn._xlws.FILTER(OFFSET($O$15,0,$DO368,$B$8,1),OFFSET($M$15,0,0,$B$8,1))=EG$14))   /   SUM(OFFSET($BO$15,0,0,$B$14,1)) + $B$18/($B$19*$B$19*($DN368&lt;&gt;$DO368) + $B$19*($DN368=$DO368))</f>
        <v>3.7037037037037035E-4</v>
      </c>
      <c r="EH368" s="10" cm="1">
        <f t="array" aca="1" ref="EH368" ca="1">(1-$B$18)*SUMPRODUCT(OFFSET($BO$15,0,0,$B$14,1), 1*(_xlfn._xlws.FILTER(OFFSET($O$15,0,$DN368,$B$8,1),OFFSET($M$15,0,0,$B$8,1))=EH$13), 1*(_xlfn._xlws.FILTER(OFFSET($O$15,0,$DO368,$B$8,1),OFFSET($M$15,0,0,$B$8,1))=EH$14))   /   SUM(OFFSET($BO$15,0,0,$B$14,1)) + $B$18/($B$19*$B$19*($DN368&lt;&gt;$DO368) + $B$19*($DN368=$DO368))</f>
        <v>3.7037037037037035E-4</v>
      </c>
      <c r="EI368" s="10" cm="1">
        <f t="array" aca="1" ref="EI368" ca="1">(1-$B$18)*SUMPRODUCT(OFFSET($BO$15,0,0,$B$14,1), 1*(_xlfn._xlws.FILTER(OFFSET($O$15,0,$DN368,$B$8,1),OFFSET($M$15,0,0,$B$8,1))=EI$13), 1*(_xlfn._xlws.FILTER(OFFSET($O$15,0,$DO368,$B$8,1),OFFSET($M$15,0,0,$B$8,1))=EI$14))   /   SUM(OFFSET($BO$15,0,0,$B$14,1)) + $B$18/($B$19*$B$19*($DN368&lt;&gt;$DO368) + $B$19*($DN368=$DO368))</f>
        <v>3.7037037037037035E-4</v>
      </c>
      <c r="EJ368" s="10" cm="1">
        <f t="array" aca="1" ref="EJ368" ca="1">(1-$B$18)*SUMPRODUCT(OFFSET($BO$15,0,0,$B$14,1), 1*(_xlfn._xlws.FILTER(OFFSET($O$15,0,$DN368,$B$8,1),OFFSET($M$15,0,0,$B$8,1))=EJ$13), 1*(_xlfn._xlws.FILTER(OFFSET($O$15,0,$DO368,$B$8,1),OFFSET($M$15,0,0,$B$8,1))=EJ$14))   /   SUM(OFFSET($BO$15,0,0,$B$14,1)) + $B$18/($B$19*$B$19*($DN368&lt;&gt;$DO368) + $B$19*($DN368=$DO368))</f>
        <v>3.7037037037037035E-4</v>
      </c>
      <c r="EK368" s="10" cm="1">
        <f t="array" aca="1" ref="EK368" ca="1">(1-$B$18)*SUMPRODUCT(OFFSET($BO$15,0,0,$B$14,1), 1*(_xlfn._xlws.FILTER(OFFSET($O$15,0,$DN368,$B$8,1),OFFSET($M$15,0,0,$B$8,1))=EK$13), 1*(_xlfn._xlws.FILTER(OFFSET($O$15,0,$DO368,$B$8,1),OFFSET($M$15,0,0,$B$8,1))=EK$14))   /   SUM(OFFSET($BO$15,0,0,$B$14,1)) + $B$18/($B$19*$B$19*($DN368&lt;&gt;$DO368) + $B$19*($DN368=$DO368))</f>
        <v>3.7037037037037035E-4</v>
      </c>
      <c r="EL368" s="10" cm="1">
        <f t="array" aca="1" ref="EL368" ca="1">(1-$B$18)*SUMPRODUCT(OFFSET($BO$15,0,0,$B$14,1), 1*(_xlfn._xlws.FILTER(OFFSET($O$15,0,$DN368,$B$8,1),OFFSET($M$15,0,0,$B$8,1))=EL$13), 1*(_xlfn._xlws.FILTER(OFFSET($O$15,0,$DO368,$B$8,1),OFFSET($M$15,0,0,$B$8,1))=EL$14))   /   SUM(OFFSET($BO$15,0,0,$B$14,1)) + $B$18/($B$19*$B$19*($DN368&lt;&gt;$DO368) + $B$19*($DN368=$DO368))</f>
        <v>3.7037037037037035E-4</v>
      </c>
      <c r="EM368" s="10" cm="1">
        <f t="array" aca="1" ref="EM368" ca="1">(1-$B$18)*SUMPRODUCT(OFFSET($BO$15,0,0,$B$14,1), 1*(_xlfn._xlws.FILTER(OFFSET($O$15,0,$DN368,$B$8,1),OFFSET($M$15,0,0,$B$8,1))=EM$13), 1*(_xlfn._xlws.FILTER(OFFSET($O$15,0,$DO368,$B$8,1),OFFSET($M$15,0,0,$B$8,1))=EM$14))   /   SUM(OFFSET($BO$15,0,0,$B$14,1)) + $B$18/($B$19*$B$19*($DN368&lt;&gt;$DO368) + $B$19*($DN368=$DO368))</f>
        <v>3.7037037037037035E-4</v>
      </c>
      <c r="EN368" s="10" cm="1">
        <f t="array" aca="1" ref="EN368" ca="1">(1-$B$18)*SUMPRODUCT(OFFSET($BO$15,0,0,$B$14,1), 1*(_xlfn._xlws.FILTER(OFFSET($O$15,0,$DN368,$B$8,1),OFFSET($M$15,0,0,$B$8,1))=EN$13), 1*(_xlfn._xlws.FILTER(OFFSET($O$15,0,$DO368,$B$8,1),OFFSET($M$15,0,0,$B$8,1))=EN$14))   /   SUM(OFFSET($BO$15,0,0,$B$14,1)) + $B$18/($B$19*$B$19*($DN368&lt;&gt;$DO368) + $B$19*($DN368=$DO368))</f>
        <v>3.7037037037037035E-4</v>
      </c>
      <c r="EO368" s="10" cm="1">
        <f t="array" aca="1" ref="EO368" ca="1">(1-$B$18)*SUMPRODUCT(OFFSET($BO$15,0,0,$B$14,1), 1*(_xlfn._xlws.FILTER(OFFSET($O$15,0,$DN368,$B$8,1),OFFSET($M$15,0,0,$B$8,1))=EO$13), 1*(_xlfn._xlws.FILTER(OFFSET($O$15,0,$DO368,$B$8,1),OFFSET($M$15,0,0,$B$8,1))=EO$14))   /   SUM(OFFSET($BO$15,0,0,$B$14,1)) + $B$18/($B$19*$B$19*($DN368&lt;&gt;$DO368) + $B$19*($DN368=$DO368))</f>
        <v>3.7037037037037035E-4</v>
      </c>
      <c r="EP368" s="10" cm="1">
        <f t="array" aca="1" ref="EP368" ca="1">(1-$B$18)*SUMPRODUCT(OFFSET($BO$15,0,0,$B$14,1), 1*(_xlfn._xlws.FILTER(OFFSET($O$15,0,$DN368,$B$8,1),OFFSET($M$15,0,0,$B$8,1))=EP$13), 1*(_xlfn._xlws.FILTER(OFFSET($O$15,0,$DO368,$B$8,1),OFFSET($M$15,0,0,$B$8,1))=EP$14))   /   SUM(OFFSET($BO$15,0,0,$B$14,1)) + $B$18/($B$19*$B$19*($DN368&lt;&gt;$DO368) + $B$19*($DN368=$DO368))</f>
        <v>3.7037037037037035E-4</v>
      </c>
      <c r="EQ368" s="10" cm="1">
        <f t="array" aca="1" ref="EQ368" ca="1">(1-$B$18)*SUMPRODUCT(OFFSET($BO$15,0,0,$B$14,1), 1*(_xlfn._xlws.FILTER(OFFSET($O$15,0,$DN368,$B$8,1),OFFSET($M$15,0,0,$B$8,1))=EQ$13), 1*(_xlfn._xlws.FILTER(OFFSET($O$15,0,$DO368,$B$8,1),OFFSET($M$15,0,0,$B$8,1))=EQ$14))   /   SUM(OFFSET($BO$15,0,0,$B$14,1)) + $B$18/($B$19*$B$19*($DN368&lt;&gt;$DO368) + $B$19*($DN368=$DO368))</f>
        <v>3.7037037037037035E-4</v>
      </c>
      <c r="ER368" s="10" cm="1">
        <f t="array" aca="1" ref="ER368" ca="1">(1-$B$18)*SUMPRODUCT(OFFSET($BO$15,0,0,$B$14,1), 1*(_xlfn._xlws.FILTER(OFFSET($O$15,0,$DN368,$B$8,1),OFFSET($M$15,0,0,$B$8,1))=ER$13), 1*(_xlfn._xlws.FILTER(OFFSET($O$15,0,$DO368,$B$8,1),OFFSET($M$15,0,0,$B$8,1))=ER$14))   /   SUM(OFFSET($BO$15,0,0,$B$14,1)) + $B$18/($B$19*$B$19*($DN368&lt;&gt;$DO368) + $B$19*($DN368=$DO368))</f>
        <v>3.7037037037037035E-4</v>
      </c>
      <c r="ES368" s="10" cm="1">
        <f t="array" aca="1" ref="ES368" ca="1">(1-$B$18)*SUMPRODUCT(OFFSET($BO$15,0,0,$B$14,1), 1*(_xlfn._xlws.FILTER(OFFSET($O$15,0,$DN368,$B$8,1),OFFSET($M$15,0,0,$B$8,1))=ES$13), 1*(_xlfn._xlws.FILTER(OFFSET($O$15,0,$DO368,$B$8,1),OFFSET($M$15,0,0,$B$8,1))=ES$14))   /   SUM(OFFSET($BO$15,0,0,$B$14,1)) + $B$18/($B$19*$B$19*($DN368&lt;&gt;$DO368) + $B$19*($DN368=$DO368))</f>
        <v>3.7037037037037035E-4</v>
      </c>
      <c r="ET368" s="10" cm="1">
        <f t="array" aca="1" ref="ET368" ca="1">(1-$B$18)*SUMPRODUCT(OFFSET($BO$15,0,0,$B$14,1), 1*(_xlfn._xlws.FILTER(OFFSET($O$15,0,$DN368,$B$8,1),OFFSET($M$15,0,0,$B$8,1))=ET$13), 1*(_xlfn._xlws.FILTER(OFFSET($O$15,0,$DO368,$B$8,1),OFFSET($M$15,0,0,$B$8,1))=ET$14))   /   SUM(OFFSET($BO$15,0,0,$B$14,1)) + $B$18/($B$19*$B$19*($DN368&lt;&gt;$DO368) + $B$19*($DN368=$DO368))</f>
        <v>3.7037037037037035E-4</v>
      </c>
      <c r="EU368" s="10" cm="1">
        <f t="array" aca="1" ref="EU368" ca="1">(1-$B$18)*SUMPRODUCT(OFFSET($BO$15,0,0,$B$14,1), 1*(_xlfn._xlws.FILTER(OFFSET($O$15,0,$DN368,$B$8,1),OFFSET($M$15,0,0,$B$8,1))=EU$13), 1*(_xlfn._xlws.FILTER(OFFSET($O$15,0,$DO368,$B$8,1),OFFSET($M$15,0,0,$B$8,1))=EU$14))   /   SUM(OFFSET($BO$15,0,0,$B$14,1)) + $B$18/($B$19*$B$19*($DN368&lt;&gt;$DO368) + $B$19*($DN368=$DO368))</f>
        <v>3.7037037037037035E-4</v>
      </c>
      <c r="EV368" s="10" cm="1">
        <f t="array" aca="1" ref="EV368" ca="1">(1-$B$18)*SUMPRODUCT(OFFSET($BO$15,0,0,$B$14,1), 1*(_xlfn._xlws.FILTER(OFFSET($O$15,0,$DN368,$B$8,1),OFFSET($M$15,0,0,$B$8,1))=EV$13), 1*(_xlfn._xlws.FILTER(OFFSET($O$15,0,$DO368,$B$8,1),OFFSET($M$15,0,0,$B$8,1))=EV$14))   /   SUM(OFFSET($BO$15,0,0,$B$14,1)) + $B$18/($B$19*$B$19*($DN368&lt;&gt;$DO368) + $B$19*($DN368=$DO368))</f>
        <v>3.7037037037037035E-4</v>
      </c>
      <c r="EW368" s="10" cm="1">
        <f t="array" aca="1" ref="EW368" ca="1">(1-$B$18)*SUMPRODUCT(OFFSET($BO$15,0,0,$B$14,1), 1*(_xlfn._xlws.FILTER(OFFSET($O$15,0,$DN368,$B$8,1),OFFSET($M$15,0,0,$B$8,1))=EW$13), 1*(_xlfn._xlws.FILTER(OFFSET($O$15,0,$DO368,$B$8,1),OFFSET($M$15,0,0,$B$8,1))=EW$14))   /   SUM(OFFSET($BO$15,0,0,$B$14,1)) + $B$18/($B$19*$B$19*($DN368&lt;&gt;$DO368) + $B$19*($DN368=$DO368))</f>
        <v>0.24287037037037024</v>
      </c>
      <c r="EX368" s="10" cm="1">
        <f t="array" aca="1" ref="EX368" ca="1">(1-$B$18)*SUMPRODUCT(OFFSET($BO$15,0,0,$B$14,1), 1*(_xlfn._xlws.FILTER(OFFSET($O$15,0,$DN368,$B$8,1),OFFSET($M$15,0,0,$B$8,1))=EX$13), 1*(_xlfn._xlws.FILTER(OFFSET($O$15,0,$DO368,$B$8,1),OFFSET($M$15,0,0,$B$8,1))=EX$14))   /   SUM(OFFSET($BO$15,0,0,$B$14,1)) + $B$18/($B$19*$B$19*($DN368&lt;&gt;$DO368) + $B$19*($DN368=$DO368))</f>
        <v>3.7037037037037035E-4</v>
      </c>
      <c r="EY368" s="10" cm="1">
        <f t="array" aca="1" ref="EY368" ca="1">(1-$B$18)*SUMPRODUCT(OFFSET($BO$15,0,0,$B$14,1), 1*(_xlfn._xlws.FILTER(OFFSET($O$15,0,$DN368,$B$8,1),OFFSET($M$15,0,0,$B$8,1))=EY$13), 1*(_xlfn._xlws.FILTER(OFFSET($O$15,0,$DO368,$B$8,1),OFFSET($M$15,0,0,$B$8,1))=EY$14))   /   SUM(OFFSET($BO$15,0,0,$B$14,1)) + $B$18/($B$19*$B$19*($DN368&lt;&gt;$DO368) + $B$19*($DN368=$DO368))</f>
        <v>3.7037037037037035E-4</v>
      </c>
      <c r="EZ368" s="10" cm="1">
        <f t="array" aca="1" ref="EZ368" ca="1">(1-$B$18)*SUMPRODUCT(OFFSET($BO$15,0,0,$B$14,1), 1*(_xlfn._xlws.FILTER(OFFSET($O$15,0,$DN368,$B$8,1),OFFSET($M$15,0,0,$B$8,1))=EZ$13), 1*(_xlfn._xlws.FILTER(OFFSET($O$15,0,$DO368,$B$8,1),OFFSET($M$15,0,0,$B$8,1))=EZ$14))   /   SUM(OFFSET($BO$15,0,0,$B$14,1)) + $B$18/($B$19*$B$19*($DN368&lt;&gt;$DO368) + $B$19*($DN368=$DO368))</f>
        <v>3.7037037037037035E-4</v>
      </c>
      <c r="FA368" s="10" cm="1">
        <f t="array" aca="1" ref="FA368" ca="1">(1-$B$18)*SUMPRODUCT(OFFSET($BO$15,0,0,$B$14,1), 1*(_xlfn._xlws.FILTER(OFFSET($O$15,0,$DN368,$B$8,1),OFFSET($M$15,0,0,$B$8,1))=FA$13), 1*(_xlfn._xlws.FILTER(OFFSET($O$15,0,$DO368,$B$8,1),OFFSET($M$15,0,0,$B$8,1))=FA$14))   /   SUM(OFFSET($BO$15,0,0,$B$14,1)) + $B$18/($B$19*$B$19*($DN368&lt;&gt;$DO368) + $B$19*($DN368=$DO368))</f>
        <v>3.7037037037037035E-4</v>
      </c>
      <c r="FB368" s="10" cm="1">
        <f t="array" aca="1" ref="FB368" ca="1">(1-$B$18)*SUMPRODUCT(OFFSET($BO$15,0,0,$B$14,1), 1*(_xlfn._xlws.FILTER(OFFSET($O$15,0,$DN368,$B$8,1),OFFSET($M$15,0,0,$B$8,1))=FB$13), 1*(_xlfn._xlws.FILTER(OFFSET($O$15,0,$DO368,$B$8,1),OFFSET($M$15,0,0,$B$8,1))=FB$14))   /   SUM(OFFSET($BO$15,0,0,$B$14,1)) + $B$18/($B$19*$B$19*($DN368&lt;&gt;$DO368) + $B$19*($DN368=$DO368))</f>
        <v>3.7037037037037035E-4</v>
      </c>
      <c r="FC368" s="10" cm="1">
        <f t="array" aca="1" ref="FC368" ca="1">(1-$B$18)*SUMPRODUCT(OFFSET($BO$15,0,0,$B$14,1), 1*(_xlfn._xlws.FILTER(OFFSET($O$15,0,$DN368,$B$8,1),OFFSET($M$15,0,0,$B$8,1))=FC$13), 1*(_xlfn._xlws.FILTER(OFFSET($O$15,0,$DO368,$B$8,1),OFFSET($M$15,0,0,$B$8,1))=FC$14))   /   SUM(OFFSET($BO$15,0,0,$B$14,1)) + $B$18/($B$19*$B$19*($DN368&lt;&gt;$DO368) + $B$19*($DN368=$DO368))</f>
        <v>3.7037037037037035E-4</v>
      </c>
      <c r="FD368" s="10" cm="1">
        <f t="array" aca="1" ref="FD368" ca="1">(1-$B$18)*SUMPRODUCT(OFFSET($BO$15,0,0,$B$14,1), 1*(_xlfn._xlws.FILTER(OFFSET($O$15,0,$DN368,$B$8,1),OFFSET($M$15,0,0,$B$8,1))=FD$13), 1*(_xlfn._xlws.FILTER(OFFSET($O$15,0,$DO368,$B$8,1),OFFSET($M$15,0,0,$B$8,1))=FD$14))   /   SUM(OFFSET($BO$15,0,0,$B$14,1)) + $B$18/($B$19*$B$19*($DN368&lt;&gt;$DO368) + $B$19*($DN368=$DO368))</f>
        <v>3.7037037037037035E-4</v>
      </c>
      <c r="FE368" s="10" cm="1">
        <f t="array" aca="1" ref="FE368" ca="1">(1-$B$18)*SUMPRODUCT(OFFSET($BO$15,0,0,$B$14,1), 1*(_xlfn._xlws.FILTER(OFFSET($O$15,0,$DN368,$B$8,1),OFFSET($M$15,0,0,$B$8,1))=FE$13), 1*(_xlfn._xlws.FILTER(OFFSET($O$15,0,$DO368,$B$8,1),OFFSET($M$15,0,0,$B$8,1))=FE$14))   /   SUM(OFFSET($BO$15,0,0,$B$14,1)) + $B$18/($B$19*$B$19*($DN368&lt;&gt;$DO368) + $B$19*($DN368=$DO368))</f>
        <v>0.48537037037037012</v>
      </c>
      <c r="FF368" s="10" cm="1">
        <f t="array" aca="1" ref="FF368" ca="1">(1-$B$18)*SUMPRODUCT(OFFSET($BO$15,0,0,$B$14,1), 1*(_xlfn._xlws.FILTER(OFFSET($O$15,0,$DN368,$B$8,1),OFFSET($M$15,0,0,$B$8,1))=FF$13), 1*(_xlfn._xlws.FILTER(OFFSET($O$15,0,$DO368,$B$8,1),OFFSET($M$15,0,0,$B$8,1))=FF$14))   /   SUM(OFFSET($BO$15,0,0,$B$14,1)) + $B$18/($B$19*$B$19*($DN368&lt;&gt;$DO368) + $B$19*($DN368=$DO368))</f>
        <v>3.7037037037037035E-4</v>
      </c>
      <c r="FG368" s="10" cm="1">
        <f t="array" aca="1" ref="FG368" ca="1">(1-$B$18)*SUMPRODUCT(OFFSET($BO$15,0,0,$B$14,1), 1*(_xlfn._xlws.FILTER(OFFSET($O$15,0,$DN368,$B$8,1),OFFSET($M$15,0,0,$B$8,1))=FG$13), 1*(_xlfn._xlws.FILTER(OFFSET($O$15,0,$DO368,$B$8,1),OFFSET($M$15,0,0,$B$8,1))=FG$14))   /   SUM(OFFSET($BO$15,0,0,$B$14,1)) + $B$18/($B$19*$B$19*($DN368&lt;&gt;$DO368) + $B$19*($DN368=$DO368))</f>
        <v>3.7037037037037035E-4</v>
      </c>
      <c r="FH368" s="10" cm="1">
        <f t="array" aca="1" ref="FH368" ca="1">(1-$B$18)*SUMPRODUCT(OFFSET($BO$15,0,0,$B$14,1), 1*(_xlfn._xlws.FILTER(OFFSET($O$15,0,$DN368,$B$8,1),OFFSET($M$15,0,0,$B$8,1))=FH$13), 1*(_xlfn._xlws.FILTER(OFFSET($O$15,0,$DO368,$B$8,1),OFFSET($M$15,0,0,$B$8,1))=FH$14))   /   SUM(OFFSET($BO$15,0,0,$B$14,1)) + $B$18/($B$19*$B$19*($DN368&lt;&gt;$DO368) + $B$19*($DN368=$DO368))</f>
        <v>3.7037037037037035E-4</v>
      </c>
      <c r="FI368" s="10" cm="1">
        <f t="array" aca="1" ref="FI368" ca="1">(1-$B$18)*SUMPRODUCT(OFFSET($BO$15,0,0,$B$14,1), 1*(_xlfn._xlws.FILTER(OFFSET($O$15,0,$DN368,$B$8,1),OFFSET($M$15,0,0,$B$8,1))=FI$13), 1*(_xlfn._xlws.FILTER(OFFSET($O$15,0,$DO368,$B$8,1),OFFSET($M$15,0,0,$B$8,1))=FI$14))   /   SUM(OFFSET($BO$15,0,0,$B$14,1)) + $B$18/($B$19*$B$19*($DN368&lt;&gt;$DO368) + $B$19*($DN368=$DO368))</f>
        <v>3.7037037037037035E-4</v>
      </c>
      <c r="FJ368" s="10" cm="1">
        <f t="array" aca="1" ref="FJ368" ca="1">(1-$B$18)*SUMPRODUCT(OFFSET($BO$15,0,0,$B$14,1), 1*(_xlfn._xlws.FILTER(OFFSET($O$15,0,$DN368,$B$8,1),OFFSET($M$15,0,0,$B$8,1))=FJ$13), 1*(_xlfn._xlws.FILTER(OFFSET($O$15,0,$DO368,$B$8,1),OFFSET($M$15,0,0,$B$8,1))=FJ$14))   /   SUM(OFFSET($BO$15,0,0,$B$14,1)) + $B$18/($B$19*$B$19*($DN368&lt;&gt;$DO368) + $B$19*($DN368=$DO368))</f>
        <v>3.7037037037037035E-4</v>
      </c>
      <c r="FK368" s="10" cm="1">
        <f t="array" aca="1" ref="FK368" ca="1">(1-$B$18)*SUMPRODUCT(OFFSET($BO$15,0,0,$B$14,1), 1*(_xlfn._xlws.FILTER(OFFSET($O$15,0,$DN368,$B$8,1),OFFSET($M$15,0,0,$B$8,1))=FK$13), 1*(_xlfn._xlws.FILTER(OFFSET($O$15,0,$DO368,$B$8,1),OFFSET($M$15,0,0,$B$8,1))=FK$14))   /   SUM(OFFSET($BO$15,0,0,$B$14,1)) + $B$18/($B$19*$B$19*($DN368&lt;&gt;$DO368) + $B$19*($DN368=$DO368))</f>
        <v>3.7037037037037035E-4</v>
      </c>
      <c r="FL368" s="10" cm="1">
        <f t="array" aca="1" ref="FL368" ca="1">(1-$B$18)*SUMPRODUCT(OFFSET($BO$15,0,0,$B$14,1), 1*(_xlfn._xlws.FILTER(OFFSET($O$15,0,$DN368,$B$8,1),OFFSET($M$15,0,0,$B$8,1))=FL$13), 1*(_xlfn._xlws.FILTER(OFFSET($O$15,0,$DO368,$B$8,1),OFFSET($M$15,0,0,$B$8,1))=FL$14))   /   SUM(OFFSET($BO$15,0,0,$B$14,1)) + $B$18/($B$19*$B$19*($DN368&lt;&gt;$DO368) + $B$19*($DN368=$DO368))</f>
        <v>3.7037037037037035E-4</v>
      </c>
      <c r="FM368" s="10" cm="1">
        <f t="array" aca="1" ref="FM368" ca="1">(1-$B$18)*SUMPRODUCT(OFFSET($BO$15,0,0,$B$14,1), 1*(_xlfn._xlws.FILTER(OFFSET($O$15,0,$DN368,$B$8,1),OFFSET($M$15,0,0,$B$8,1))=FM$13), 1*(_xlfn._xlws.FILTER(OFFSET($O$15,0,$DO368,$B$8,1),OFFSET($M$15,0,0,$B$8,1))=FM$14))   /   SUM(OFFSET($BO$15,0,0,$B$14,1)) + $B$18/($B$19*$B$19*($DN368&lt;&gt;$DO368) + $B$19*($DN368=$DO368))</f>
        <v>0.24287037037037026</v>
      </c>
      <c r="FN368" s="10" cm="1">
        <f t="array" aca="1" ref="FN368" ca="1">(1-$B$18)*SUMPRODUCT(OFFSET($BO$15,0,0,$B$14,1), 1*(_xlfn._xlws.FILTER(OFFSET($O$15,0,$DN368,$B$8,1),OFFSET($M$15,0,0,$B$8,1))=FN$13), 1*(_xlfn._xlws.FILTER(OFFSET($O$15,0,$DO368,$B$8,1),OFFSET($M$15,0,0,$B$8,1))=FN$14))   /   SUM(OFFSET($BO$15,0,0,$B$14,1)) + $B$18/($B$19*$B$19*($DN368&lt;&gt;$DO368) + $B$19*($DN368=$DO368))</f>
        <v>3.7037037037037035E-4</v>
      </c>
      <c r="FO368" s="10" cm="1">
        <f t="array" aca="1" ref="FO368" ca="1">(1-$B$18)*SUMPRODUCT(OFFSET($BO$15,0,0,$B$14,1), 1*(_xlfn._xlws.FILTER(OFFSET($O$15,0,$DN368,$B$8,1),OFFSET($M$15,0,0,$B$8,1))=FO$13), 1*(_xlfn._xlws.FILTER(OFFSET($O$15,0,$DO368,$B$8,1),OFFSET($M$15,0,0,$B$8,1))=FO$14))   /   SUM(OFFSET($BO$15,0,0,$B$14,1)) + $B$18/($B$19*$B$19*($DN368&lt;&gt;$DO368) + $B$19*($DN368=$DO368))</f>
        <v>3.7037037037037035E-4</v>
      </c>
      <c r="FP368" s="10" cm="1">
        <f t="array" aca="1" ref="FP368" ca="1">(1-$B$18)*SUMPRODUCT(OFFSET($BO$15,0,0,$B$14,1), 1*(_xlfn._xlws.FILTER(OFFSET($O$15,0,$DN368,$B$8,1),OFFSET($M$15,0,0,$B$8,1))=FP$13), 1*(_xlfn._xlws.FILTER(OFFSET($O$15,0,$DO368,$B$8,1),OFFSET($M$15,0,0,$B$8,1))=FP$14))   /   SUM(OFFSET($BO$15,0,0,$B$14,1)) + $B$18/($B$19*$B$19*($DN368&lt;&gt;$DO368) + $B$19*($DN368=$DO368))</f>
        <v>3.7037037037037035E-4</v>
      </c>
      <c r="FQ368" s="10" cm="1">
        <f t="array" aca="1" ref="FQ368" ca="1">(1-$B$18)*SUMPRODUCT(OFFSET($BO$15,0,0,$B$14,1), 1*(_xlfn._xlws.FILTER(OFFSET($O$15,0,$DN368,$B$8,1),OFFSET($M$15,0,0,$B$8,1))=FQ$13), 1*(_xlfn._xlws.FILTER(OFFSET($O$15,0,$DO368,$B$8,1),OFFSET($M$15,0,0,$B$8,1))=FQ$14))   /   SUM(OFFSET($BO$15,0,0,$B$14,1)) + $B$18/($B$19*$B$19*($DN368&lt;&gt;$DO368) + $B$19*($DN368=$DO368))</f>
        <v>3.7037037037037035E-4</v>
      </c>
      <c r="FR368" s="10" cm="1">
        <f t="array" aca="1" ref="FR368" ca="1">(1-$B$18)*SUMPRODUCT(OFFSET($BO$15,0,0,$B$14,1), 1*(_xlfn._xlws.FILTER(OFFSET($O$15,0,$DN368,$B$8,1),OFFSET($M$15,0,0,$B$8,1))=FR$13), 1*(_xlfn._xlws.FILTER(OFFSET($O$15,0,$DO368,$B$8,1),OFFSET($M$15,0,0,$B$8,1))=FR$14))   /   SUM(OFFSET($BO$15,0,0,$B$14,1)) + $B$18/($B$19*$B$19*($DN368&lt;&gt;$DO368) + $B$19*($DN368=$DO368))</f>
        <v>3.7037037037037035E-4</v>
      </c>
      <c r="FS368" s="10" cm="1">
        <f t="array" aca="1" ref="FS368" ca="1">(1-$B$18)*SUMPRODUCT(OFFSET($BO$15,0,0,$B$14,1), 1*(_xlfn._xlws.FILTER(OFFSET($O$15,0,$DN368,$B$8,1),OFFSET($M$15,0,0,$B$8,1))=FS$13), 1*(_xlfn._xlws.FILTER(OFFSET($O$15,0,$DO368,$B$8,1),OFFSET($M$15,0,0,$B$8,1))=FS$14))   /   SUM(OFFSET($BO$15,0,0,$B$14,1)) + $B$18/($B$19*$B$19*($DN368&lt;&gt;$DO368) + $B$19*($DN368=$DO368))</f>
        <v>3.7037037037037035E-4</v>
      </c>
      <c r="FT368" s="10" cm="1">
        <f t="array" aca="1" ref="FT368" ca="1">(1-$B$18)*SUMPRODUCT(OFFSET($BO$15,0,0,$B$14,1), 1*(_xlfn._xlws.FILTER(OFFSET($O$15,0,$DN368,$B$8,1),OFFSET($M$15,0,0,$B$8,1))=FT$13), 1*(_xlfn._xlws.FILTER(OFFSET($O$15,0,$DO368,$B$8,1),OFFSET($M$15,0,0,$B$8,1))=FT$14))   /   SUM(OFFSET($BO$15,0,0,$B$14,1)) + $B$18/($B$19*$B$19*($DN368&lt;&gt;$DO368) + $B$19*($DN368=$DO368))</f>
        <v>3.7037037037037035E-4</v>
      </c>
      <c r="FU368" s="10" cm="1">
        <f t="array" aca="1" ref="FU368" ca="1">(1-$B$18)*SUMPRODUCT(OFFSET($BO$15,0,0,$B$14,1), 1*(_xlfn._xlws.FILTER(OFFSET($O$15,0,$DN368,$B$8,1),OFFSET($M$15,0,0,$B$8,1))=FU$13), 1*(_xlfn._xlws.FILTER(OFFSET($O$15,0,$DO368,$B$8,1),OFFSET($M$15,0,0,$B$8,1))=FU$14))   /   SUM(OFFSET($BO$15,0,0,$B$14,1)) + $B$18/($B$19*$B$19*($DN368&lt;&gt;$DO368) + $B$19*($DN368=$DO368))</f>
        <v>3.7037037037037035E-4</v>
      </c>
      <c r="FV368" s="10" cm="1">
        <f t="array" aca="1" ref="FV368" ca="1">(1-$B$18)*SUMPRODUCT(OFFSET($BO$15,0,0,$B$14,1), 1*(_xlfn._xlws.FILTER(OFFSET($O$15,0,$DN368,$B$8,1),OFFSET($M$15,0,0,$B$8,1))=FV$13), 1*(_xlfn._xlws.FILTER(OFFSET($O$15,0,$DO368,$B$8,1),OFFSET($M$15,0,0,$B$8,1))=FV$14))   /   SUM(OFFSET($BO$15,0,0,$B$14,1)) + $B$18/($B$19*$B$19*($DN368&lt;&gt;$DO368) + $B$19*($DN368=$DO368))</f>
        <v>3.7037037037037035E-4</v>
      </c>
      <c r="FW368" s="10" cm="1">
        <f t="array" aca="1" ref="FW368" ca="1">(1-$B$18)*SUMPRODUCT(OFFSET($BO$15,0,0,$B$14,1), 1*(_xlfn._xlws.FILTER(OFFSET($O$15,0,$DN368,$B$8,1),OFFSET($M$15,0,0,$B$8,1))=FW$13), 1*(_xlfn._xlws.FILTER(OFFSET($O$15,0,$DO368,$B$8,1),OFFSET($M$15,0,0,$B$8,1))=FW$14))   /   SUM(OFFSET($BO$15,0,0,$B$14,1)) + $B$18/($B$19*$B$19*($DN368&lt;&gt;$DO368) + $B$19*($DN368=$DO368))</f>
        <v>3.7037037037037035E-4</v>
      </c>
      <c r="FX368" s="10" cm="1">
        <f t="array" aca="1" ref="FX368" ca="1">(1-$B$18)*SUMPRODUCT(OFFSET($BO$15,0,0,$B$14,1), 1*(_xlfn._xlws.FILTER(OFFSET($O$15,0,$DN368,$B$8,1),OFFSET($M$15,0,0,$B$8,1))=FX$13), 1*(_xlfn._xlws.FILTER(OFFSET($O$15,0,$DO368,$B$8,1),OFFSET($M$15,0,0,$B$8,1))=FX$14))   /   SUM(OFFSET($BO$15,0,0,$B$14,1)) + $B$18/($B$19*$B$19*($DN368&lt;&gt;$DO368) + $B$19*($DN368=$DO368))</f>
        <v>3.7037037037037035E-4</v>
      </c>
      <c r="FY368" s="10" cm="1">
        <f t="array" aca="1" ref="FY368" ca="1">(1-$B$18)*SUMPRODUCT(OFFSET($BO$15,0,0,$B$14,1), 1*(_xlfn._xlws.FILTER(OFFSET($O$15,0,$DN368,$B$8,1),OFFSET($M$15,0,0,$B$8,1))=FY$13), 1*(_xlfn._xlws.FILTER(OFFSET($O$15,0,$DO368,$B$8,1),OFFSET($M$15,0,0,$B$8,1))=FY$14))   /   SUM(OFFSET($BO$15,0,0,$B$14,1)) + $B$18/($B$19*$B$19*($DN368&lt;&gt;$DO368) + $B$19*($DN368=$DO368))</f>
        <v>3.7037037037037035E-4</v>
      </c>
      <c r="FZ368" s="10" cm="1">
        <f t="array" aca="1" ref="FZ368" ca="1">(1-$B$18)*SUMPRODUCT(OFFSET($BO$15,0,0,$B$14,1), 1*(_xlfn._xlws.FILTER(OFFSET($O$15,0,$DN368,$B$8,1),OFFSET($M$15,0,0,$B$8,1))=FZ$13), 1*(_xlfn._xlws.FILTER(OFFSET($O$15,0,$DO368,$B$8,1),OFFSET($M$15,0,0,$B$8,1))=FZ$14))   /   SUM(OFFSET($BO$15,0,0,$B$14,1)) + $B$18/($B$19*$B$19*($DN368&lt;&gt;$DO368) + $B$19*($DN368=$DO368))</f>
        <v>3.7037037037037035E-4</v>
      </c>
      <c r="GA368" s="10" cm="1">
        <f t="array" aca="1" ref="GA368" ca="1">(1-$B$18)*SUMPRODUCT(OFFSET($BO$15,0,0,$B$14,1), 1*(_xlfn._xlws.FILTER(OFFSET($O$15,0,$DN368,$B$8,1),OFFSET($M$15,0,0,$B$8,1))=GA$13), 1*(_xlfn._xlws.FILTER(OFFSET($O$15,0,$DO368,$B$8,1),OFFSET($M$15,0,0,$B$8,1))=GA$14))   /   SUM(OFFSET($BO$15,0,0,$B$14,1)) + $B$18/($B$19*$B$19*($DN368&lt;&gt;$DO368) + $B$19*($DN368=$DO368))</f>
        <v>3.7037037037037035E-4</v>
      </c>
    </row>
    <row r="369" spans="118:183" x14ac:dyDescent="0.2">
      <c r="DN369" cm="1">
        <f t="array" aca="1" ref="DN369" ca="1">INDEX(_xlfn.ANCHORARRAY($CP$15), 1 + INT((ROWS($DO$15:$DO369) - 1) / ROWS(_xlfn.ANCHORARRAY($CP$15))))</f>
        <v>21</v>
      </c>
      <c r="DO369" cm="1">
        <f t="array" aca="1" ref="DO369" ca="1">INDEX(_xlfn.ANCHORARRAY($CP$15),1+MOD(ROWS($DO$15:$DO369)-1,ROWS(_xlfn.ANCHORARRAY($CP$15))))</f>
        <v>13</v>
      </c>
      <c r="DP369" s="10" cm="1">
        <f t="array" aca="1" ref="DP369" ca="1">(1-$B$18)*SUMPRODUCT(OFFSET($BO$15,0,0,$B$14,1), 1*(_xlfn._xlws.FILTER(OFFSET($O$15,0,$DN369,$B$8,1),OFFSET($M$15,0,0,$B$8,1))=DP$13), 1*(_xlfn._xlws.FILTER(OFFSET($O$15,0,$DO369,$B$8,1),OFFSET($M$15,0,0,$B$8,1))=DP$14))   /   SUM(OFFSET($BO$15,0,0,$B$14,1)) + $B$18/($B$19*$B$19*($DN369&lt;&gt;$DO369) + $B$19*($DN369=$DO369))</f>
        <v>3.7037037037037035E-4</v>
      </c>
      <c r="DQ369" s="10" cm="1">
        <f t="array" aca="1" ref="DQ369" ca="1">(1-$B$18)*SUMPRODUCT(OFFSET($BO$15,0,0,$B$14,1), 1*(_xlfn._xlws.FILTER(OFFSET($O$15,0,$DN369,$B$8,1),OFFSET($M$15,0,0,$B$8,1))=DQ$13), 1*(_xlfn._xlws.FILTER(OFFSET($O$15,0,$DO369,$B$8,1),OFFSET($M$15,0,0,$B$8,1))=DQ$14))   /   SUM(OFFSET($BO$15,0,0,$B$14,1)) + $B$18/($B$19*$B$19*($DN369&lt;&gt;$DO369) + $B$19*($DN369=$DO369))</f>
        <v>3.7037037037037035E-4</v>
      </c>
      <c r="DR369" s="10" cm="1">
        <f t="array" aca="1" ref="DR369" ca="1">(1-$B$18)*SUMPRODUCT(OFFSET($BO$15,0,0,$B$14,1), 1*(_xlfn._xlws.FILTER(OFFSET($O$15,0,$DN369,$B$8,1),OFFSET($M$15,0,0,$B$8,1))=DR$13), 1*(_xlfn._xlws.FILTER(OFFSET($O$15,0,$DO369,$B$8,1),OFFSET($M$15,0,0,$B$8,1))=DR$14))   /   SUM(OFFSET($BO$15,0,0,$B$14,1)) + $B$18/($B$19*$B$19*($DN369&lt;&gt;$DO369) + $B$19*($DN369=$DO369))</f>
        <v>3.7037037037037035E-4</v>
      </c>
      <c r="DS369" s="10" cm="1">
        <f t="array" aca="1" ref="DS369" ca="1">(1-$B$18)*SUMPRODUCT(OFFSET($BO$15,0,0,$B$14,1), 1*(_xlfn._xlws.FILTER(OFFSET($O$15,0,$DN369,$B$8,1),OFFSET($M$15,0,0,$B$8,1))=DS$13), 1*(_xlfn._xlws.FILTER(OFFSET($O$15,0,$DO369,$B$8,1),OFFSET($M$15,0,0,$B$8,1))=DS$14))   /   SUM(OFFSET($BO$15,0,0,$B$14,1)) + $B$18/($B$19*$B$19*($DN369&lt;&gt;$DO369) + $B$19*($DN369=$DO369))</f>
        <v>3.7037037037037035E-4</v>
      </c>
      <c r="DT369" s="10" cm="1">
        <f t="array" aca="1" ref="DT369" ca="1">(1-$B$18)*SUMPRODUCT(OFFSET($BO$15,0,0,$B$14,1), 1*(_xlfn._xlws.FILTER(OFFSET($O$15,0,$DN369,$B$8,1),OFFSET($M$15,0,0,$B$8,1))=DT$13), 1*(_xlfn._xlws.FILTER(OFFSET($O$15,0,$DO369,$B$8,1),OFFSET($M$15,0,0,$B$8,1))=DT$14))   /   SUM(OFFSET($BO$15,0,0,$B$14,1)) + $B$18/($B$19*$B$19*($DN369&lt;&gt;$DO369) + $B$19*($DN369=$DO369))</f>
        <v>3.7037037037037035E-4</v>
      </c>
      <c r="DU369" s="10" cm="1">
        <f t="array" aca="1" ref="DU369" ca="1">(1-$B$18)*SUMPRODUCT(OFFSET($BO$15,0,0,$B$14,1), 1*(_xlfn._xlws.FILTER(OFFSET($O$15,0,$DN369,$B$8,1),OFFSET($M$15,0,0,$B$8,1))=DU$13), 1*(_xlfn._xlws.FILTER(OFFSET($O$15,0,$DO369,$B$8,1),OFFSET($M$15,0,0,$B$8,1))=DU$14))   /   SUM(OFFSET($BO$15,0,0,$B$14,1)) + $B$18/($B$19*$B$19*($DN369&lt;&gt;$DO369) + $B$19*($DN369=$DO369))</f>
        <v>3.7037037037037035E-4</v>
      </c>
      <c r="DV369" s="10" cm="1">
        <f t="array" aca="1" ref="DV369" ca="1">(1-$B$18)*SUMPRODUCT(OFFSET($BO$15,0,0,$B$14,1), 1*(_xlfn._xlws.FILTER(OFFSET($O$15,0,$DN369,$B$8,1),OFFSET($M$15,0,0,$B$8,1))=DV$13), 1*(_xlfn._xlws.FILTER(OFFSET($O$15,0,$DO369,$B$8,1),OFFSET($M$15,0,0,$B$8,1))=DV$14))   /   SUM(OFFSET($BO$15,0,0,$B$14,1)) + $B$18/($B$19*$B$19*($DN369&lt;&gt;$DO369) + $B$19*($DN369=$DO369))</f>
        <v>3.7037037037037035E-4</v>
      </c>
      <c r="DW369" s="10" cm="1">
        <f t="array" aca="1" ref="DW369" ca="1">(1-$B$18)*SUMPRODUCT(OFFSET($BO$15,0,0,$B$14,1), 1*(_xlfn._xlws.FILTER(OFFSET($O$15,0,$DN369,$B$8,1),OFFSET($M$15,0,0,$B$8,1))=DW$13), 1*(_xlfn._xlws.FILTER(OFFSET($O$15,0,$DO369,$B$8,1),OFFSET($M$15,0,0,$B$8,1))=DW$14))   /   SUM(OFFSET($BO$15,0,0,$B$14,1)) + $B$18/($B$19*$B$19*($DN369&lt;&gt;$DO369) + $B$19*($DN369=$DO369))</f>
        <v>3.7037037037037035E-4</v>
      </c>
      <c r="DX369" s="10" cm="1">
        <f t="array" aca="1" ref="DX369" ca="1">(1-$B$18)*SUMPRODUCT(OFFSET($BO$15,0,0,$B$14,1), 1*(_xlfn._xlws.FILTER(OFFSET($O$15,0,$DN369,$B$8,1),OFFSET($M$15,0,0,$B$8,1))=DX$13), 1*(_xlfn._xlws.FILTER(OFFSET($O$15,0,$DO369,$B$8,1),OFFSET($M$15,0,0,$B$8,1))=DX$14))   /   SUM(OFFSET($BO$15,0,0,$B$14,1)) + $B$18/($B$19*$B$19*($DN369&lt;&gt;$DO369) + $B$19*($DN369=$DO369))</f>
        <v>3.7037037037037035E-4</v>
      </c>
      <c r="DY369" s="10" cm="1">
        <f t="array" aca="1" ref="DY369" ca="1">(1-$B$18)*SUMPRODUCT(OFFSET($BO$15,0,0,$B$14,1), 1*(_xlfn._xlws.FILTER(OFFSET($O$15,0,$DN369,$B$8,1),OFFSET($M$15,0,0,$B$8,1))=DY$13), 1*(_xlfn._xlws.FILTER(OFFSET($O$15,0,$DO369,$B$8,1),OFFSET($M$15,0,0,$B$8,1))=DY$14))   /   SUM(OFFSET($BO$15,0,0,$B$14,1)) + $B$18/($B$19*$B$19*($DN369&lt;&gt;$DO369) + $B$19*($DN369=$DO369))</f>
        <v>3.7037037037037035E-4</v>
      </c>
      <c r="DZ369" s="10" cm="1">
        <f t="array" aca="1" ref="DZ369" ca="1">(1-$B$18)*SUMPRODUCT(OFFSET($BO$15,0,0,$B$14,1), 1*(_xlfn._xlws.FILTER(OFFSET($O$15,0,$DN369,$B$8,1),OFFSET($M$15,0,0,$B$8,1))=DZ$13), 1*(_xlfn._xlws.FILTER(OFFSET($O$15,0,$DO369,$B$8,1),OFFSET($M$15,0,0,$B$8,1))=DZ$14))   /   SUM(OFFSET($BO$15,0,0,$B$14,1)) + $B$18/($B$19*$B$19*($DN369&lt;&gt;$DO369) + $B$19*($DN369=$DO369))</f>
        <v>3.7037037037037035E-4</v>
      </c>
      <c r="EA369" s="10" cm="1">
        <f t="array" aca="1" ref="EA369" ca="1">(1-$B$18)*SUMPRODUCT(OFFSET($BO$15,0,0,$B$14,1), 1*(_xlfn._xlws.FILTER(OFFSET($O$15,0,$DN369,$B$8,1),OFFSET($M$15,0,0,$B$8,1))=EA$13), 1*(_xlfn._xlws.FILTER(OFFSET($O$15,0,$DO369,$B$8,1),OFFSET($M$15,0,0,$B$8,1))=EA$14))   /   SUM(OFFSET($BO$15,0,0,$B$14,1)) + $B$18/($B$19*$B$19*($DN369&lt;&gt;$DO369) + $B$19*($DN369=$DO369))</f>
        <v>3.7037037037037035E-4</v>
      </c>
      <c r="EB369" s="10" cm="1">
        <f t="array" aca="1" ref="EB369" ca="1">(1-$B$18)*SUMPRODUCT(OFFSET($BO$15,0,0,$B$14,1), 1*(_xlfn._xlws.FILTER(OFFSET($O$15,0,$DN369,$B$8,1),OFFSET($M$15,0,0,$B$8,1))=EB$13), 1*(_xlfn._xlws.FILTER(OFFSET($O$15,0,$DO369,$B$8,1),OFFSET($M$15,0,0,$B$8,1))=EB$14))   /   SUM(OFFSET($BO$15,0,0,$B$14,1)) + $B$18/($B$19*$B$19*($DN369&lt;&gt;$DO369) + $B$19*($DN369=$DO369))</f>
        <v>3.7037037037037035E-4</v>
      </c>
      <c r="EC369" s="10" cm="1">
        <f t="array" aca="1" ref="EC369" ca="1">(1-$B$18)*SUMPRODUCT(OFFSET($BO$15,0,0,$B$14,1), 1*(_xlfn._xlws.FILTER(OFFSET($O$15,0,$DN369,$B$8,1),OFFSET($M$15,0,0,$B$8,1))=EC$13), 1*(_xlfn._xlws.FILTER(OFFSET($O$15,0,$DO369,$B$8,1),OFFSET($M$15,0,0,$B$8,1))=EC$14))   /   SUM(OFFSET($BO$15,0,0,$B$14,1)) + $B$18/($B$19*$B$19*($DN369&lt;&gt;$DO369) + $B$19*($DN369=$DO369))</f>
        <v>3.7037037037037035E-4</v>
      </c>
      <c r="ED369" s="10" cm="1">
        <f t="array" aca="1" ref="ED369" ca="1">(1-$B$18)*SUMPRODUCT(OFFSET($BO$15,0,0,$B$14,1), 1*(_xlfn._xlws.FILTER(OFFSET($O$15,0,$DN369,$B$8,1),OFFSET($M$15,0,0,$B$8,1))=ED$13), 1*(_xlfn._xlws.FILTER(OFFSET($O$15,0,$DO369,$B$8,1),OFFSET($M$15,0,0,$B$8,1))=ED$14))   /   SUM(OFFSET($BO$15,0,0,$B$14,1)) + $B$18/($B$19*$B$19*($DN369&lt;&gt;$DO369) + $B$19*($DN369=$DO369))</f>
        <v>3.7037037037037035E-4</v>
      </c>
      <c r="EE369" s="10" cm="1">
        <f t="array" aca="1" ref="EE369" ca="1">(1-$B$18)*SUMPRODUCT(OFFSET($BO$15,0,0,$B$14,1), 1*(_xlfn._xlws.FILTER(OFFSET($O$15,0,$DN369,$B$8,1),OFFSET($M$15,0,0,$B$8,1))=EE$13), 1*(_xlfn._xlws.FILTER(OFFSET($O$15,0,$DO369,$B$8,1),OFFSET($M$15,0,0,$B$8,1))=EE$14))   /   SUM(OFFSET($BO$15,0,0,$B$14,1)) + $B$18/($B$19*$B$19*($DN369&lt;&gt;$DO369) + $B$19*($DN369=$DO369))</f>
        <v>3.7037037037037035E-4</v>
      </c>
      <c r="EF369" s="10" cm="1">
        <f t="array" aca="1" ref="EF369" ca="1">(1-$B$18)*SUMPRODUCT(OFFSET($BO$15,0,0,$B$14,1), 1*(_xlfn._xlws.FILTER(OFFSET($O$15,0,$DN369,$B$8,1),OFFSET($M$15,0,0,$B$8,1))=EF$13), 1*(_xlfn._xlws.FILTER(OFFSET($O$15,0,$DO369,$B$8,1),OFFSET($M$15,0,0,$B$8,1))=EF$14))   /   SUM(OFFSET($BO$15,0,0,$B$14,1)) + $B$18/($B$19*$B$19*($DN369&lt;&gt;$DO369) + $B$19*($DN369=$DO369))</f>
        <v>3.7037037037037035E-4</v>
      </c>
      <c r="EG369" s="10" cm="1">
        <f t="array" aca="1" ref="EG369" ca="1">(1-$B$18)*SUMPRODUCT(OFFSET($BO$15,0,0,$B$14,1), 1*(_xlfn._xlws.FILTER(OFFSET($O$15,0,$DN369,$B$8,1),OFFSET($M$15,0,0,$B$8,1))=EG$13), 1*(_xlfn._xlws.FILTER(OFFSET($O$15,0,$DO369,$B$8,1),OFFSET($M$15,0,0,$B$8,1))=EG$14))   /   SUM(OFFSET($BO$15,0,0,$B$14,1)) + $B$18/($B$19*$B$19*($DN369&lt;&gt;$DO369) + $B$19*($DN369=$DO369))</f>
        <v>3.7037037037037035E-4</v>
      </c>
      <c r="EH369" s="10" cm="1">
        <f t="array" aca="1" ref="EH369" ca="1">(1-$B$18)*SUMPRODUCT(OFFSET($BO$15,0,0,$B$14,1), 1*(_xlfn._xlws.FILTER(OFFSET($O$15,0,$DN369,$B$8,1),OFFSET($M$15,0,0,$B$8,1))=EH$13), 1*(_xlfn._xlws.FILTER(OFFSET($O$15,0,$DO369,$B$8,1),OFFSET($M$15,0,0,$B$8,1))=EH$14))   /   SUM(OFFSET($BO$15,0,0,$B$14,1)) + $B$18/($B$19*$B$19*($DN369&lt;&gt;$DO369) + $B$19*($DN369=$DO369))</f>
        <v>3.7037037037037035E-4</v>
      </c>
      <c r="EI369" s="10" cm="1">
        <f t="array" aca="1" ref="EI369" ca="1">(1-$B$18)*SUMPRODUCT(OFFSET($BO$15,0,0,$B$14,1), 1*(_xlfn._xlws.FILTER(OFFSET($O$15,0,$DN369,$B$8,1),OFFSET($M$15,0,0,$B$8,1))=EI$13), 1*(_xlfn._xlws.FILTER(OFFSET($O$15,0,$DO369,$B$8,1),OFFSET($M$15,0,0,$B$8,1))=EI$14))   /   SUM(OFFSET($BO$15,0,0,$B$14,1)) + $B$18/($B$19*$B$19*($DN369&lt;&gt;$DO369) + $B$19*($DN369=$DO369))</f>
        <v>3.7037037037037035E-4</v>
      </c>
      <c r="EJ369" s="10" cm="1">
        <f t="array" aca="1" ref="EJ369" ca="1">(1-$B$18)*SUMPRODUCT(OFFSET($BO$15,0,0,$B$14,1), 1*(_xlfn._xlws.FILTER(OFFSET($O$15,0,$DN369,$B$8,1),OFFSET($M$15,0,0,$B$8,1))=EJ$13), 1*(_xlfn._xlws.FILTER(OFFSET($O$15,0,$DO369,$B$8,1),OFFSET($M$15,0,0,$B$8,1))=EJ$14))   /   SUM(OFFSET($BO$15,0,0,$B$14,1)) + $B$18/($B$19*$B$19*($DN369&lt;&gt;$DO369) + $B$19*($DN369=$DO369))</f>
        <v>3.7037037037037035E-4</v>
      </c>
      <c r="EK369" s="10" cm="1">
        <f t="array" aca="1" ref="EK369" ca="1">(1-$B$18)*SUMPRODUCT(OFFSET($BO$15,0,0,$B$14,1), 1*(_xlfn._xlws.FILTER(OFFSET($O$15,0,$DN369,$B$8,1),OFFSET($M$15,0,0,$B$8,1))=EK$13), 1*(_xlfn._xlws.FILTER(OFFSET($O$15,0,$DO369,$B$8,1),OFFSET($M$15,0,0,$B$8,1))=EK$14))   /   SUM(OFFSET($BO$15,0,0,$B$14,1)) + $B$18/($B$19*$B$19*($DN369&lt;&gt;$DO369) + $B$19*($DN369=$DO369))</f>
        <v>3.7037037037037035E-4</v>
      </c>
      <c r="EL369" s="10" cm="1">
        <f t="array" aca="1" ref="EL369" ca="1">(1-$B$18)*SUMPRODUCT(OFFSET($BO$15,0,0,$B$14,1), 1*(_xlfn._xlws.FILTER(OFFSET($O$15,0,$DN369,$B$8,1),OFFSET($M$15,0,0,$B$8,1))=EL$13), 1*(_xlfn._xlws.FILTER(OFFSET($O$15,0,$DO369,$B$8,1),OFFSET($M$15,0,0,$B$8,1))=EL$14))   /   SUM(OFFSET($BO$15,0,0,$B$14,1)) + $B$18/($B$19*$B$19*($DN369&lt;&gt;$DO369) + $B$19*($DN369=$DO369))</f>
        <v>3.7037037037037035E-4</v>
      </c>
      <c r="EM369" s="10" cm="1">
        <f t="array" aca="1" ref="EM369" ca="1">(1-$B$18)*SUMPRODUCT(OFFSET($BO$15,0,0,$B$14,1), 1*(_xlfn._xlws.FILTER(OFFSET($O$15,0,$DN369,$B$8,1),OFFSET($M$15,0,0,$B$8,1))=EM$13), 1*(_xlfn._xlws.FILTER(OFFSET($O$15,0,$DO369,$B$8,1),OFFSET($M$15,0,0,$B$8,1))=EM$14))   /   SUM(OFFSET($BO$15,0,0,$B$14,1)) + $B$18/($B$19*$B$19*($DN369&lt;&gt;$DO369) + $B$19*($DN369=$DO369))</f>
        <v>3.7037037037037035E-4</v>
      </c>
      <c r="EN369" s="10" cm="1">
        <f t="array" aca="1" ref="EN369" ca="1">(1-$B$18)*SUMPRODUCT(OFFSET($BO$15,0,0,$B$14,1), 1*(_xlfn._xlws.FILTER(OFFSET($O$15,0,$DN369,$B$8,1),OFFSET($M$15,0,0,$B$8,1))=EN$13), 1*(_xlfn._xlws.FILTER(OFFSET($O$15,0,$DO369,$B$8,1),OFFSET($M$15,0,0,$B$8,1))=EN$14))   /   SUM(OFFSET($BO$15,0,0,$B$14,1)) + $B$18/($B$19*$B$19*($DN369&lt;&gt;$DO369) + $B$19*($DN369=$DO369))</f>
        <v>3.7037037037037035E-4</v>
      </c>
      <c r="EO369" s="10" cm="1">
        <f t="array" aca="1" ref="EO369" ca="1">(1-$B$18)*SUMPRODUCT(OFFSET($BO$15,0,0,$B$14,1), 1*(_xlfn._xlws.FILTER(OFFSET($O$15,0,$DN369,$B$8,1),OFFSET($M$15,0,0,$B$8,1))=EO$13), 1*(_xlfn._xlws.FILTER(OFFSET($O$15,0,$DO369,$B$8,1),OFFSET($M$15,0,0,$B$8,1))=EO$14))   /   SUM(OFFSET($BO$15,0,0,$B$14,1)) + $B$18/($B$19*$B$19*($DN369&lt;&gt;$DO369) + $B$19*($DN369=$DO369))</f>
        <v>3.7037037037037035E-4</v>
      </c>
      <c r="EP369" s="10" cm="1">
        <f t="array" aca="1" ref="EP369" ca="1">(1-$B$18)*SUMPRODUCT(OFFSET($BO$15,0,0,$B$14,1), 1*(_xlfn._xlws.FILTER(OFFSET($O$15,0,$DN369,$B$8,1),OFFSET($M$15,0,0,$B$8,1))=EP$13), 1*(_xlfn._xlws.FILTER(OFFSET($O$15,0,$DO369,$B$8,1),OFFSET($M$15,0,0,$B$8,1))=EP$14))   /   SUM(OFFSET($BO$15,0,0,$B$14,1)) + $B$18/($B$19*$B$19*($DN369&lt;&gt;$DO369) + $B$19*($DN369=$DO369))</f>
        <v>3.7037037037037035E-4</v>
      </c>
      <c r="EQ369" s="10" cm="1">
        <f t="array" aca="1" ref="EQ369" ca="1">(1-$B$18)*SUMPRODUCT(OFFSET($BO$15,0,0,$B$14,1), 1*(_xlfn._xlws.FILTER(OFFSET($O$15,0,$DN369,$B$8,1),OFFSET($M$15,0,0,$B$8,1))=EQ$13), 1*(_xlfn._xlws.FILTER(OFFSET($O$15,0,$DO369,$B$8,1),OFFSET($M$15,0,0,$B$8,1))=EQ$14))   /   SUM(OFFSET($BO$15,0,0,$B$14,1)) + $B$18/($B$19*$B$19*($DN369&lt;&gt;$DO369) + $B$19*($DN369=$DO369))</f>
        <v>3.7037037037037035E-4</v>
      </c>
      <c r="ER369" s="10" cm="1">
        <f t="array" aca="1" ref="ER369" ca="1">(1-$B$18)*SUMPRODUCT(OFFSET($BO$15,0,0,$B$14,1), 1*(_xlfn._xlws.FILTER(OFFSET($O$15,0,$DN369,$B$8,1),OFFSET($M$15,0,0,$B$8,1))=ER$13), 1*(_xlfn._xlws.FILTER(OFFSET($O$15,0,$DO369,$B$8,1),OFFSET($M$15,0,0,$B$8,1))=ER$14))   /   SUM(OFFSET($BO$15,0,0,$B$14,1)) + $B$18/($B$19*$B$19*($DN369&lt;&gt;$DO369) + $B$19*($DN369=$DO369))</f>
        <v>3.7037037037037035E-4</v>
      </c>
      <c r="ES369" s="10" cm="1">
        <f t="array" aca="1" ref="ES369" ca="1">(1-$B$18)*SUMPRODUCT(OFFSET($BO$15,0,0,$B$14,1), 1*(_xlfn._xlws.FILTER(OFFSET($O$15,0,$DN369,$B$8,1),OFFSET($M$15,0,0,$B$8,1))=ES$13), 1*(_xlfn._xlws.FILTER(OFFSET($O$15,0,$DO369,$B$8,1),OFFSET($M$15,0,0,$B$8,1))=ES$14))   /   SUM(OFFSET($BO$15,0,0,$B$14,1)) + $B$18/($B$19*$B$19*($DN369&lt;&gt;$DO369) + $B$19*($DN369=$DO369))</f>
        <v>3.7037037037037035E-4</v>
      </c>
      <c r="ET369" s="10" cm="1">
        <f t="array" aca="1" ref="ET369" ca="1">(1-$B$18)*SUMPRODUCT(OFFSET($BO$15,0,0,$B$14,1), 1*(_xlfn._xlws.FILTER(OFFSET($O$15,0,$DN369,$B$8,1),OFFSET($M$15,0,0,$B$8,1))=ET$13), 1*(_xlfn._xlws.FILTER(OFFSET($O$15,0,$DO369,$B$8,1),OFFSET($M$15,0,0,$B$8,1))=ET$14))   /   SUM(OFFSET($BO$15,0,0,$B$14,1)) + $B$18/($B$19*$B$19*($DN369&lt;&gt;$DO369) + $B$19*($DN369=$DO369))</f>
        <v>3.7037037037037035E-4</v>
      </c>
      <c r="EU369" s="10" cm="1">
        <f t="array" aca="1" ref="EU369" ca="1">(1-$B$18)*SUMPRODUCT(OFFSET($BO$15,0,0,$B$14,1), 1*(_xlfn._xlws.FILTER(OFFSET($O$15,0,$DN369,$B$8,1),OFFSET($M$15,0,0,$B$8,1))=EU$13), 1*(_xlfn._xlws.FILTER(OFFSET($O$15,0,$DO369,$B$8,1),OFFSET($M$15,0,0,$B$8,1))=EU$14))   /   SUM(OFFSET($BO$15,0,0,$B$14,1)) + $B$18/($B$19*$B$19*($DN369&lt;&gt;$DO369) + $B$19*($DN369=$DO369))</f>
        <v>3.7037037037037035E-4</v>
      </c>
      <c r="EV369" s="10" cm="1">
        <f t="array" aca="1" ref="EV369" ca="1">(1-$B$18)*SUMPRODUCT(OFFSET($BO$15,0,0,$B$14,1), 1*(_xlfn._xlws.FILTER(OFFSET($O$15,0,$DN369,$B$8,1),OFFSET($M$15,0,0,$B$8,1))=EV$13), 1*(_xlfn._xlws.FILTER(OFFSET($O$15,0,$DO369,$B$8,1),OFFSET($M$15,0,0,$B$8,1))=EV$14))   /   SUM(OFFSET($BO$15,0,0,$B$14,1)) + $B$18/($B$19*$B$19*($DN369&lt;&gt;$DO369) + $B$19*($DN369=$DO369))</f>
        <v>3.7037037037037035E-4</v>
      </c>
      <c r="EW369" s="10" cm="1">
        <f t="array" aca="1" ref="EW369" ca="1">(1-$B$18)*SUMPRODUCT(OFFSET($BO$15,0,0,$B$14,1), 1*(_xlfn._xlws.FILTER(OFFSET($O$15,0,$DN369,$B$8,1),OFFSET($M$15,0,0,$B$8,1))=EW$13), 1*(_xlfn._xlws.FILTER(OFFSET($O$15,0,$DO369,$B$8,1),OFFSET($M$15,0,0,$B$8,1))=EW$14))   /   SUM(OFFSET($BO$15,0,0,$B$14,1)) + $B$18/($B$19*$B$19*($DN369&lt;&gt;$DO369) + $B$19*($DN369=$DO369))</f>
        <v>0.24287037037037024</v>
      </c>
      <c r="EX369" s="10" cm="1">
        <f t="array" aca="1" ref="EX369" ca="1">(1-$B$18)*SUMPRODUCT(OFFSET($BO$15,0,0,$B$14,1), 1*(_xlfn._xlws.FILTER(OFFSET($O$15,0,$DN369,$B$8,1),OFFSET($M$15,0,0,$B$8,1))=EX$13), 1*(_xlfn._xlws.FILTER(OFFSET($O$15,0,$DO369,$B$8,1),OFFSET($M$15,0,0,$B$8,1))=EX$14))   /   SUM(OFFSET($BO$15,0,0,$B$14,1)) + $B$18/($B$19*$B$19*($DN369&lt;&gt;$DO369) + $B$19*($DN369=$DO369))</f>
        <v>3.7037037037037035E-4</v>
      </c>
      <c r="EY369" s="10" cm="1">
        <f t="array" aca="1" ref="EY369" ca="1">(1-$B$18)*SUMPRODUCT(OFFSET($BO$15,0,0,$B$14,1), 1*(_xlfn._xlws.FILTER(OFFSET($O$15,0,$DN369,$B$8,1),OFFSET($M$15,0,0,$B$8,1))=EY$13), 1*(_xlfn._xlws.FILTER(OFFSET($O$15,0,$DO369,$B$8,1),OFFSET($M$15,0,0,$B$8,1))=EY$14))   /   SUM(OFFSET($BO$15,0,0,$B$14,1)) + $B$18/($B$19*$B$19*($DN369&lt;&gt;$DO369) + $B$19*($DN369=$DO369))</f>
        <v>3.7037037037037035E-4</v>
      </c>
      <c r="EZ369" s="10" cm="1">
        <f t="array" aca="1" ref="EZ369" ca="1">(1-$B$18)*SUMPRODUCT(OFFSET($BO$15,0,0,$B$14,1), 1*(_xlfn._xlws.FILTER(OFFSET($O$15,0,$DN369,$B$8,1),OFFSET($M$15,0,0,$B$8,1))=EZ$13), 1*(_xlfn._xlws.FILTER(OFFSET($O$15,0,$DO369,$B$8,1),OFFSET($M$15,0,0,$B$8,1))=EZ$14))   /   SUM(OFFSET($BO$15,0,0,$B$14,1)) + $B$18/($B$19*$B$19*($DN369&lt;&gt;$DO369) + $B$19*($DN369=$DO369))</f>
        <v>3.7037037037037035E-4</v>
      </c>
      <c r="FA369" s="10" cm="1">
        <f t="array" aca="1" ref="FA369" ca="1">(1-$B$18)*SUMPRODUCT(OFFSET($BO$15,0,0,$B$14,1), 1*(_xlfn._xlws.FILTER(OFFSET($O$15,0,$DN369,$B$8,1),OFFSET($M$15,0,0,$B$8,1))=FA$13), 1*(_xlfn._xlws.FILTER(OFFSET($O$15,0,$DO369,$B$8,1),OFFSET($M$15,0,0,$B$8,1))=FA$14))   /   SUM(OFFSET($BO$15,0,0,$B$14,1)) + $B$18/($B$19*$B$19*($DN369&lt;&gt;$DO369) + $B$19*($DN369=$DO369))</f>
        <v>3.7037037037037035E-4</v>
      </c>
      <c r="FB369" s="10" cm="1">
        <f t="array" aca="1" ref="FB369" ca="1">(1-$B$18)*SUMPRODUCT(OFFSET($BO$15,0,0,$B$14,1), 1*(_xlfn._xlws.FILTER(OFFSET($O$15,0,$DN369,$B$8,1),OFFSET($M$15,0,0,$B$8,1))=FB$13), 1*(_xlfn._xlws.FILTER(OFFSET($O$15,0,$DO369,$B$8,1),OFFSET($M$15,0,0,$B$8,1))=FB$14))   /   SUM(OFFSET($BO$15,0,0,$B$14,1)) + $B$18/($B$19*$B$19*($DN369&lt;&gt;$DO369) + $B$19*($DN369=$DO369))</f>
        <v>3.7037037037037035E-4</v>
      </c>
      <c r="FC369" s="10" cm="1">
        <f t="array" aca="1" ref="FC369" ca="1">(1-$B$18)*SUMPRODUCT(OFFSET($BO$15,0,0,$B$14,1), 1*(_xlfn._xlws.FILTER(OFFSET($O$15,0,$DN369,$B$8,1),OFFSET($M$15,0,0,$B$8,1))=FC$13), 1*(_xlfn._xlws.FILTER(OFFSET($O$15,0,$DO369,$B$8,1),OFFSET($M$15,0,0,$B$8,1))=FC$14))   /   SUM(OFFSET($BO$15,0,0,$B$14,1)) + $B$18/($B$19*$B$19*($DN369&lt;&gt;$DO369) + $B$19*($DN369=$DO369))</f>
        <v>3.7037037037037035E-4</v>
      </c>
      <c r="FD369" s="10" cm="1">
        <f t="array" aca="1" ref="FD369" ca="1">(1-$B$18)*SUMPRODUCT(OFFSET($BO$15,0,0,$B$14,1), 1*(_xlfn._xlws.FILTER(OFFSET($O$15,0,$DN369,$B$8,1),OFFSET($M$15,0,0,$B$8,1))=FD$13), 1*(_xlfn._xlws.FILTER(OFFSET($O$15,0,$DO369,$B$8,1),OFFSET($M$15,0,0,$B$8,1))=FD$14))   /   SUM(OFFSET($BO$15,0,0,$B$14,1)) + $B$18/($B$19*$B$19*($DN369&lt;&gt;$DO369) + $B$19*($DN369=$DO369))</f>
        <v>3.7037037037037035E-4</v>
      </c>
      <c r="FE369" s="10" cm="1">
        <f t="array" aca="1" ref="FE369" ca="1">(1-$B$18)*SUMPRODUCT(OFFSET($BO$15,0,0,$B$14,1), 1*(_xlfn._xlws.FILTER(OFFSET($O$15,0,$DN369,$B$8,1),OFFSET($M$15,0,0,$B$8,1))=FE$13), 1*(_xlfn._xlws.FILTER(OFFSET($O$15,0,$DO369,$B$8,1),OFFSET($M$15,0,0,$B$8,1))=FE$14))   /   SUM(OFFSET($BO$15,0,0,$B$14,1)) + $B$18/($B$19*$B$19*($DN369&lt;&gt;$DO369) + $B$19*($DN369=$DO369))</f>
        <v>0.48537037037037012</v>
      </c>
      <c r="FF369" s="10" cm="1">
        <f t="array" aca="1" ref="FF369" ca="1">(1-$B$18)*SUMPRODUCT(OFFSET($BO$15,0,0,$B$14,1), 1*(_xlfn._xlws.FILTER(OFFSET($O$15,0,$DN369,$B$8,1),OFFSET($M$15,0,0,$B$8,1))=FF$13), 1*(_xlfn._xlws.FILTER(OFFSET($O$15,0,$DO369,$B$8,1),OFFSET($M$15,0,0,$B$8,1))=FF$14))   /   SUM(OFFSET($BO$15,0,0,$B$14,1)) + $B$18/($B$19*$B$19*($DN369&lt;&gt;$DO369) + $B$19*($DN369=$DO369))</f>
        <v>3.7037037037037035E-4</v>
      </c>
      <c r="FG369" s="10" cm="1">
        <f t="array" aca="1" ref="FG369" ca="1">(1-$B$18)*SUMPRODUCT(OFFSET($BO$15,0,0,$B$14,1), 1*(_xlfn._xlws.FILTER(OFFSET($O$15,0,$DN369,$B$8,1),OFFSET($M$15,0,0,$B$8,1))=FG$13), 1*(_xlfn._xlws.FILTER(OFFSET($O$15,0,$DO369,$B$8,1),OFFSET($M$15,0,0,$B$8,1))=FG$14))   /   SUM(OFFSET($BO$15,0,0,$B$14,1)) + $B$18/($B$19*$B$19*($DN369&lt;&gt;$DO369) + $B$19*($DN369=$DO369))</f>
        <v>3.7037037037037035E-4</v>
      </c>
      <c r="FH369" s="10" cm="1">
        <f t="array" aca="1" ref="FH369" ca="1">(1-$B$18)*SUMPRODUCT(OFFSET($BO$15,0,0,$B$14,1), 1*(_xlfn._xlws.FILTER(OFFSET($O$15,0,$DN369,$B$8,1),OFFSET($M$15,0,0,$B$8,1))=FH$13), 1*(_xlfn._xlws.FILTER(OFFSET($O$15,0,$DO369,$B$8,1),OFFSET($M$15,0,0,$B$8,1))=FH$14))   /   SUM(OFFSET($BO$15,0,0,$B$14,1)) + $B$18/($B$19*$B$19*($DN369&lt;&gt;$DO369) + $B$19*($DN369=$DO369))</f>
        <v>3.7037037037037035E-4</v>
      </c>
      <c r="FI369" s="10" cm="1">
        <f t="array" aca="1" ref="FI369" ca="1">(1-$B$18)*SUMPRODUCT(OFFSET($BO$15,0,0,$B$14,1), 1*(_xlfn._xlws.FILTER(OFFSET($O$15,0,$DN369,$B$8,1),OFFSET($M$15,0,0,$B$8,1))=FI$13), 1*(_xlfn._xlws.FILTER(OFFSET($O$15,0,$DO369,$B$8,1),OFFSET($M$15,0,0,$B$8,1))=FI$14))   /   SUM(OFFSET($BO$15,0,0,$B$14,1)) + $B$18/($B$19*$B$19*($DN369&lt;&gt;$DO369) + $B$19*($DN369=$DO369))</f>
        <v>3.7037037037037035E-4</v>
      </c>
      <c r="FJ369" s="10" cm="1">
        <f t="array" aca="1" ref="FJ369" ca="1">(1-$B$18)*SUMPRODUCT(OFFSET($BO$15,0,0,$B$14,1), 1*(_xlfn._xlws.FILTER(OFFSET($O$15,0,$DN369,$B$8,1),OFFSET($M$15,0,0,$B$8,1))=FJ$13), 1*(_xlfn._xlws.FILTER(OFFSET($O$15,0,$DO369,$B$8,1),OFFSET($M$15,0,0,$B$8,1))=FJ$14))   /   SUM(OFFSET($BO$15,0,0,$B$14,1)) + $B$18/($B$19*$B$19*($DN369&lt;&gt;$DO369) + $B$19*($DN369=$DO369))</f>
        <v>3.7037037037037035E-4</v>
      </c>
      <c r="FK369" s="10" cm="1">
        <f t="array" aca="1" ref="FK369" ca="1">(1-$B$18)*SUMPRODUCT(OFFSET($BO$15,0,0,$B$14,1), 1*(_xlfn._xlws.FILTER(OFFSET($O$15,0,$DN369,$B$8,1),OFFSET($M$15,0,0,$B$8,1))=FK$13), 1*(_xlfn._xlws.FILTER(OFFSET($O$15,0,$DO369,$B$8,1),OFFSET($M$15,0,0,$B$8,1))=FK$14))   /   SUM(OFFSET($BO$15,0,0,$B$14,1)) + $B$18/($B$19*$B$19*($DN369&lt;&gt;$DO369) + $B$19*($DN369=$DO369))</f>
        <v>3.7037037037037035E-4</v>
      </c>
      <c r="FL369" s="10" cm="1">
        <f t="array" aca="1" ref="FL369" ca="1">(1-$B$18)*SUMPRODUCT(OFFSET($BO$15,0,0,$B$14,1), 1*(_xlfn._xlws.FILTER(OFFSET($O$15,0,$DN369,$B$8,1),OFFSET($M$15,0,0,$B$8,1))=FL$13), 1*(_xlfn._xlws.FILTER(OFFSET($O$15,0,$DO369,$B$8,1),OFFSET($M$15,0,0,$B$8,1))=FL$14))   /   SUM(OFFSET($BO$15,0,0,$B$14,1)) + $B$18/($B$19*$B$19*($DN369&lt;&gt;$DO369) + $B$19*($DN369=$DO369))</f>
        <v>3.7037037037037035E-4</v>
      </c>
      <c r="FM369" s="10" cm="1">
        <f t="array" aca="1" ref="FM369" ca="1">(1-$B$18)*SUMPRODUCT(OFFSET($BO$15,0,0,$B$14,1), 1*(_xlfn._xlws.FILTER(OFFSET($O$15,0,$DN369,$B$8,1),OFFSET($M$15,0,0,$B$8,1))=FM$13), 1*(_xlfn._xlws.FILTER(OFFSET($O$15,0,$DO369,$B$8,1),OFFSET($M$15,0,0,$B$8,1))=FM$14))   /   SUM(OFFSET($BO$15,0,0,$B$14,1)) + $B$18/($B$19*$B$19*($DN369&lt;&gt;$DO369) + $B$19*($DN369=$DO369))</f>
        <v>0.24287037037037026</v>
      </c>
      <c r="FN369" s="10" cm="1">
        <f t="array" aca="1" ref="FN369" ca="1">(1-$B$18)*SUMPRODUCT(OFFSET($BO$15,0,0,$B$14,1), 1*(_xlfn._xlws.FILTER(OFFSET($O$15,0,$DN369,$B$8,1),OFFSET($M$15,0,0,$B$8,1))=FN$13), 1*(_xlfn._xlws.FILTER(OFFSET($O$15,0,$DO369,$B$8,1),OFFSET($M$15,0,0,$B$8,1))=FN$14))   /   SUM(OFFSET($BO$15,0,0,$B$14,1)) + $B$18/($B$19*$B$19*($DN369&lt;&gt;$DO369) + $B$19*($DN369=$DO369))</f>
        <v>3.7037037037037035E-4</v>
      </c>
      <c r="FO369" s="10" cm="1">
        <f t="array" aca="1" ref="FO369" ca="1">(1-$B$18)*SUMPRODUCT(OFFSET($BO$15,0,0,$B$14,1), 1*(_xlfn._xlws.FILTER(OFFSET($O$15,0,$DN369,$B$8,1),OFFSET($M$15,0,0,$B$8,1))=FO$13), 1*(_xlfn._xlws.FILTER(OFFSET($O$15,0,$DO369,$B$8,1),OFFSET($M$15,0,0,$B$8,1))=FO$14))   /   SUM(OFFSET($BO$15,0,0,$B$14,1)) + $B$18/($B$19*$B$19*($DN369&lt;&gt;$DO369) + $B$19*($DN369=$DO369))</f>
        <v>3.7037037037037035E-4</v>
      </c>
      <c r="FP369" s="10" cm="1">
        <f t="array" aca="1" ref="FP369" ca="1">(1-$B$18)*SUMPRODUCT(OFFSET($BO$15,0,0,$B$14,1), 1*(_xlfn._xlws.FILTER(OFFSET($O$15,0,$DN369,$B$8,1),OFFSET($M$15,0,0,$B$8,1))=FP$13), 1*(_xlfn._xlws.FILTER(OFFSET($O$15,0,$DO369,$B$8,1),OFFSET($M$15,0,0,$B$8,1))=FP$14))   /   SUM(OFFSET($BO$15,0,0,$B$14,1)) + $B$18/($B$19*$B$19*($DN369&lt;&gt;$DO369) + $B$19*($DN369=$DO369))</f>
        <v>3.7037037037037035E-4</v>
      </c>
      <c r="FQ369" s="10" cm="1">
        <f t="array" aca="1" ref="FQ369" ca="1">(1-$B$18)*SUMPRODUCT(OFFSET($BO$15,0,0,$B$14,1), 1*(_xlfn._xlws.FILTER(OFFSET($O$15,0,$DN369,$B$8,1),OFFSET($M$15,0,0,$B$8,1))=FQ$13), 1*(_xlfn._xlws.FILTER(OFFSET($O$15,0,$DO369,$B$8,1),OFFSET($M$15,0,0,$B$8,1))=FQ$14))   /   SUM(OFFSET($BO$15,0,0,$B$14,1)) + $B$18/($B$19*$B$19*($DN369&lt;&gt;$DO369) + $B$19*($DN369=$DO369))</f>
        <v>3.7037037037037035E-4</v>
      </c>
      <c r="FR369" s="10" cm="1">
        <f t="array" aca="1" ref="FR369" ca="1">(1-$B$18)*SUMPRODUCT(OFFSET($BO$15,0,0,$B$14,1), 1*(_xlfn._xlws.FILTER(OFFSET($O$15,0,$DN369,$B$8,1),OFFSET($M$15,0,0,$B$8,1))=FR$13), 1*(_xlfn._xlws.FILTER(OFFSET($O$15,0,$DO369,$B$8,1),OFFSET($M$15,0,0,$B$8,1))=FR$14))   /   SUM(OFFSET($BO$15,0,0,$B$14,1)) + $B$18/($B$19*$B$19*($DN369&lt;&gt;$DO369) + $B$19*($DN369=$DO369))</f>
        <v>3.7037037037037035E-4</v>
      </c>
      <c r="FS369" s="10" cm="1">
        <f t="array" aca="1" ref="FS369" ca="1">(1-$B$18)*SUMPRODUCT(OFFSET($BO$15,0,0,$B$14,1), 1*(_xlfn._xlws.FILTER(OFFSET($O$15,0,$DN369,$B$8,1),OFFSET($M$15,0,0,$B$8,1))=FS$13), 1*(_xlfn._xlws.FILTER(OFFSET($O$15,0,$DO369,$B$8,1),OFFSET($M$15,0,0,$B$8,1))=FS$14))   /   SUM(OFFSET($BO$15,0,0,$B$14,1)) + $B$18/($B$19*$B$19*($DN369&lt;&gt;$DO369) + $B$19*($DN369=$DO369))</f>
        <v>3.7037037037037035E-4</v>
      </c>
      <c r="FT369" s="10" cm="1">
        <f t="array" aca="1" ref="FT369" ca="1">(1-$B$18)*SUMPRODUCT(OFFSET($BO$15,0,0,$B$14,1), 1*(_xlfn._xlws.FILTER(OFFSET($O$15,0,$DN369,$B$8,1),OFFSET($M$15,0,0,$B$8,1))=FT$13), 1*(_xlfn._xlws.FILTER(OFFSET($O$15,0,$DO369,$B$8,1),OFFSET($M$15,0,0,$B$8,1))=FT$14))   /   SUM(OFFSET($BO$15,0,0,$B$14,1)) + $B$18/($B$19*$B$19*($DN369&lt;&gt;$DO369) + $B$19*($DN369=$DO369))</f>
        <v>3.7037037037037035E-4</v>
      </c>
      <c r="FU369" s="10" cm="1">
        <f t="array" aca="1" ref="FU369" ca="1">(1-$B$18)*SUMPRODUCT(OFFSET($BO$15,0,0,$B$14,1), 1*(_xlfn._xlws.FILTER(OFFSET($O$15,0,$DN369,$B$8,1),OFFSET($M$15,0,0,$B$8,1))=FU$13), 1*(_xlfn._xlws.FILTER(OFFSET($O$15,0,$DO369,$B$8,1),OFFSET($M$15,0,0,$B$8,1))=FU$14))   /   SUM(OFFSET($BO$15,0,0,$B$14,1)) + $B$18/($B$19*$B$19*($DN369&lt;&gt;$DO369) + $B$19*($DN369=$DO369))</f>
        <v>3.7037037037037035E-4</v>
      </c>
      <c r="FV369" s="10" cm="1">
        <f t="array" aca="1" ref="FV369" ca="1">(1-$B$18)*SUMPRODUCT(OFFSET($BO$15,0,0,$B$14,1), 1*(_xlfn._xlws.FILTER(OFFSET($O$15,0,$DN369,$B$8,1),OFFSET($M$15,0,0,$B$8,1))=FV$13), 1*(_xlfn._xlws.FILTER(OFFSET($O$15,0,$DO369,$B$8,1),OFFSET($M$15,0,0,$B$8,1))=FV$14))   /   SUM(OFFSET($BO$15,0,0,$B$14,1)) + $B$18/($B$19*$B$19*($DN369&lt;&gt;$DO369) + $B$19*($DN369=$DO369))</f>
        <v>3.7037037037037035E-4</v>
      </c>
      <c r="FW369" s="10" cm="1">
        <f t="array" aca="1" ref="FW369" ca="1">(1-$B$18)*SUMPRODUCT(OFFSET($BO$15,0,0,$B$14,1), 1*(_xlfn._xlws.FILTER(OFFSET($O$15,0,$DN369,$B$8,1),OFFSET($M$15,0,0,$B$8,1))=FW$13), 1*(_xlfn._xlws.FILTER(OFFSET($O$15,0,$DO369,$B$8,1),OFFSET($M$15,0,0,$B$8,1))=FW$14))   /   SUM(OFFSET($BO$15,0,0,$B$14,1)) + $B$18/($B$19*$B$19*($DN369&lt;&gt;$DO369) + $B$19*($DN369=$DO369))</f>
        <v>3.7037037037037035E-4</v>
      </c>
      <c r="FX369" s="10" cm="1">
        <f t="array" aca="1" ref="FX369" ca="1">(1-$B$18)*SUMPRODUCT(OFFSET($BO$15,0,0,$B$14,1), 1*(_xlfn._xlws.FILTER(OFFSET($O$15,0,$DN369,$B$8,1),OFFSET($M$15,0,0,$B$8,1))=FX$13), 1*(_xlfn._xlws.FILTER(OFFSET($O$15,0,$DO369,$B$8,1),OFFSET($M$15,0,0,$B$8,1))=FX$14))   /   SUM(OFFSET($BO$15,0,0,$B$14,1)) + $B$18/($B$19*$B$19*($DN369&lt;&gt;$DO369) + $B$19*($DN369=$DO369))</f>
        <v>3.7037037037037035E-4</v>
      </c>
      <c r="FY369" s="10" cm="1">
        <f t="array" aca="1" ref="FY369" ca="1">(1-$B$18)*SUMPRODUCT(OFFSET($BO$15,0,0,$B$14,1), 1*(_xlfn._xlws.FILTER(OFFSET($O$15,0,$DN369,$B$8,1),OFFSET($M$15,0,0,$B$8,1))=FY$13), 1*(_xlfn._xlws.FILTER(OFFSET($O$15,0,$DO369,$B$8,1),OFFSET($M$15,0,0,$B$8,1))=FY$14))   /   SUM(OFFSET($BO$15,0,0,$B$14,1)) + $B$18/($B$19*$B$19*($DN369&lt;&gt;$DO369) + $B$19*($DN369=$DO369))</f>
        <v>3.7037037037037035E-4</v>
      </c>
      <c r="FZ369" s="10" cm="1">
        <f t="array" aca="1" ref="FZ369" ca="1">(1-$B$18)*SUMPRODUCT(OFFSET($BO$15,0,0,$B$14,1), 1*(_xlfn._xlws.FILTER(OFFSET($O$15,0,$DN369,$B$8,1),OFFSET($M$15,0,0,$B$8,1))=FZ$13), 1*(_xlfn._xlws.FILTER(OFFSET($O$15,0,$DO369,$B$8,1),OFFSET($M$15,0,0,$B$8,1))=FZ$14))   /   SUM(OFFSET($BO$15,0,0,$B$14,1)) + $B$18/($B$19*$B$19*($DN369&lt;&gt;$DO369) + $B$19*($DN369=$DO369))</f>
        <v>3.7037037037037035E-4</v>
      </c>
      <c r="GA369" s="10" cm="1">
        <f t="array" aca="1" ref="GA369" ca="1">(1-$B$18)*SUMPRODUCT(OFFSET($BO$15,0,0,$B$14,1), 1*(_xlfn._xlws.FILTER(OFFSET($O$15,0,$DN369,$B$8,1),OFFSET($M$15,0,0,$B$8,1))=GA$13), 1*(_xlfn._xlws.FILTER(OFFSET($O$15,0,$DO369,$B$8,1),OFFSET($M$15,0,0,$B$8,1))=GA$14))   /   SUM(OFFSET($BO$15,0,0,$B$14,1)) + $B$18/($B$19*$B$19*($DN369&lt;&gt;$DO369) + $B$19*($DN369=$DO369))</f>
        <v>3.7037037037037035E-4</v>
      </c>
    </row>
    <row r="370" spans="118:183" x14ac:dyDescent="0.2">
      <c r="DN370" cm="1">
        <f t="array" aca="1" ref="DN370" ca="1">INDEX(_xlfn.ANCHORARRAY($CP$15), 1 + INT((ROWS($DO$15:$DO370) - 1) / ROWS(_xlfn.ANCHORARRAY($CP$15))))</f>
        <v>21</v>
      </c>
      <c r="DO370" cm="1">
        <f t="array" aca="1" ref="DO370" ca="1">INDEX(_xlfn.ANCHORARRAY($CP$15),1+MOD(ROWS($DO$15:$DO370)-1,ROWS(_xlfn.ANCHORARRAY($CP$15))))</f>
        <v>14</v>
      </c>
      <c r="DP370" s="10" cm="1">
        <f t="array" aca="1" ref="DP370" ca="1">(1-$B$18)*SUMPRODUCT(OFFSET($BO$15,0,0,$B$14,1), 1*(_xlfn._xlws.FILTER(OFFSET($O$15,0,$DN370,$B$8,1),OFFSET($M$15,0,0,$B$8,1))=DP$13), 1*(_xlfn._xlws.FILTER(OFFSET($O$15,0,$DO370,$B$8,1),OFFSET($M$15,0,0,$B$8,1))=DP$14))   /   SUM(OFFSET($BO$15,0,0,$B$14,1)) + $B$18/($B$19*$B$19*($DN370&lt;&gt;$DO370) + $B$19*($DN370=$DO370))</f>
        <v>3.7037037037037035E-4</v>
      </c>
      <c r="DQ370" s="10" cm="1">
        <f t="array" aca="1" ref="DQ370" ca="1">(1-$B$18)*SUMPRODUCT(OFFSET($BO$15,0,0,$B$14,1), 1*(_xlfn._xlws.FILTER(OFFSET($O$15,0,$DN370,$B$8,1),OFFSET($M$15,0,0,$B$8,1))=DQ$13), 1*(_xlfn._xlws.FILTER(OFFSET($O$15,0,$DO370,$B$8,1),OFFSET($M$15,0,0,$B$8,1))=DQ$14))   /   SUM(OFFSET($BO$15,0,0,$B$14,1)) + $B$18/($B$19*$B$19*($DN370&lt;&gt;$DO370) + $B$19*($DN370=$DO370))</f>
        <v>3.7037037037037035E-4</v>
      </c>
      <c r="DR370" s="10" cm="1">
        <f t="array" aca="1" ref="DR370" ca="1">(1-$B$18)*SUMPRODUCT(OFFSET($BO$15,0,0,$B$14,1), 1*(_xlfn._xlws.FILTER(OFFSET($O$15,0,$DN370,$B$8,1),OFFSET($M$15,0,0,$B$8,1))=DR$13), 1*(_xlfn._xlws.FILTER(OFFSET($O$15,0,$DO370,$B$8,1),OFFSET($M$15,0,0,$B$8,1))=DR$14))   /   SUM(OFFSET($BO$15,0,0,$B$14,1)) + $B$18/($B$19*$B$19*($DN370&lt;&gt;$DO370) + $B$19*($DN370=$DO370))</f>
        <v>3.7037037037037035E-4</v>
      </c>
      <c r="DS370" s="10" cm="1">
        <f t="array" aca="1" ref="DS370" ca="1">(1-$B$18)*SUMPRODUCT(OFFSET($BO$15,0,0,$B$14,1), 1*(_xlfn._xlws.FILTER(OFFSET($O$15,0,$DN370,$B$8,1),OFFSET($M$15,0,0,$B$8,1))=DS$13), 1*(_xlfn._xlws.FILTER(OFFSET($O$15,0,$DO370,$B$8,1),OFFSET($M$15,0,0,$B$8,1))=DS$14))   /   SUM(OFFSET($BO$15,0,0,$B$14,1)) + $B$18/($B$19*$B$19*($DN370&lt;&gt;$DO370) + $B$19*($DN370=$DO370))</f>
        <v>3.7037037037037035E-4</v>
      </c>
      <c r="DT370" s="10" cm="1">
        <f t="array" aca="1" ref="DT370" ca="1">(1-$B$18)*SUMPRODUCT(OFFSET($BO$15,0,0,$B$14,1), 1*(_xlfn._xlws.FILTER(OFFSET($O$15,0,$DN370,$B$8,1),OFFSET($M$15,0,0,$B$8,1))=DT$13), 1*(_xlfn._xlws.FILTER(OFFSET($O$15,0,$DO370,$B$8,1),OFFSET($M$15,0,0,$B$8,1))=DT$14))   /   SUM(OFFSET($BO$15,0,0,$B$14,1)) + $B$18/($B$19*$B$19*($DN370&lt;&gt;$DO370) + $B$19*($DN370=$DO370))</f>
        <v>3.7037037037037035E-4</v>
      </c>
      <c r="DU370" s="10" cm="1">
        <f t="array" aca="1" ref="DU370" ca="1">(1-$B$18)*SUMPRODUCT(OFFSET($BO$15,0,0,$B$14,1), 1*(_xlfn._xlws.FILTER(OFFSET($O$15,0,$DN370,$B$8,1),OFFSET($M$15,0,0,$B$8,1))=DU$13), 1*(_xlfn._xlws.FILTER(OFFSET($O$15,0,$DO370,$B$8,1),OFFSET($M$15,0,0,$B$8,1))=DU$14))   /   SUM(OFFSET($BO$15,0,0,$B$14,1)) + $B$18/($B$19*$B$19*($DN370&lt;&gt;$DO370) + $B$19*($DN370=$DO370))</f>
        <v>3.7037037037037035E-4</v>
      </c>
      <c r="DV370" s="10" cm="1">
        <f t="array" aca="1" ref="DV370" ca="1">(1-$B$18)*SUMPRODUCT(OFFSET($BO$15,0,0,$B$14,1), 1*(_xlfn._xlws.FILTER(OFFSET($O$15,0,$DN370,$B$8,1),OFFSET($M$15,0,0,$B$8,1))=DV$13), 1*(_xlfn._xlws.FILTER(OFFSET($O$15,0,$DO370,$B$8,1),OFFSET($M$15,0,0,$B$8,1))=DV$14))   /   SUM(OFFSET($BO$15,0,0,$B$14,1)) + $B$18/($B$19*$B$19*($DN370&lt;&gt;$DO370) + $B$19*($DN370=$DO370))</f>
        <v>3.7037037037037035E-4</v>
      </c>
      <c r="DW370" s="10" cm="1">
        <f t="array" aca="1" ref="DW370" ca="1">(1-$B$18)*SUMPRODUCT(OFFSET($BO$15,0,0,$B$14,1), 1*(_xlfn._xlws.FILTER(OFFSET($O$15,0,$DN370,$B$8,1),OFFSET($M$15,0,0,$B$8,1))=DW$13), 1*(_xlfn._xlws.FILTER(OFFSET($O$15,0,$DO370,$B$8,1),OFFSET($M$15,0,0,$B$8,1))=DW$14))   /   SUM(OFFSET($BO$15,0,0,$B$14,1)) + $B$18/($B$19*$B$19*($DN370&lt;&gt;$DO370) + $B$19*($DN370=$DO370))</f>
        <v>3.7037037037037035E-4</v>
      </c>
      <c r="DX370" s="10" cm="1">
        <f t="array" aca="1" ref="DX370" ca="1">(1-$B$18)*SUMPRODUCT(OFFSET($BO$15,0,0,$B$14,1), 1*(_xlfn._xlws.FILTER(OFFSET($O$15,0,$DN370,$B$8,1),OFFSET($M$15,0,0,$B$8,1))=DX$13), 1*(_xlfn._xlws.FILTER(OFFSET($O$15,0,$DO370,$B$8,1),OFFSET($M$15,0,0,$B$8,1))=DX$14))   /   SUM(OFFSET($BO$15,0,0,$B$14,1)) + $B$18/($B$19*$B$19*($DN370&lt;&gt;$DO370) + $B$19*($DN370=$DO370))</f>
        <v>3.7037037037037035E-4</v>
      </c>
      <c r="DY370" s="10" cm="1">
        <f t="array" aca="1" ref="DY370" ca="1">(1-$B$18)*SUMPRODUCT(OFFSET($BO$15,0,0,$B$14,1), 1*(_xlfn._xlws.FILTER(OFFSET($O$15,0,$DN370,$B$8,1),OFFSET($M$15,0,0,$B$8,1))=DY$13), 1*(_xlfn._xlws.FILTER(OFFSET($O$15,0,$DO370,$B$8,1),OFFSET($M$15,0,0,$B$8,1))=DY$14))   /   SUM(OFFSET($BO$15,0,0,$B$14,1)) + $B$18/($B$19*$B$19*($DN370&lt;&gt;$DO370) + $B$19*($DN370=$DO370))</f>
        <v>3.7037037037037035E-4</v>
      </c>
      <c r="DZ370" s="10" cm="1">
        <f t="array" aca="1" ref="DZ370" ca="1">(1-$B$18)*SUMPRODUCT(OFFSET($BO$15,0,0,$B$14,1), 1*(_xlfn._xlws.FILTER(OFFSET($O$15,0,$DN370,$B$8,1),OFFSET($M$15,0,0,$B$8,1))=DZ$13), 1*(_xlfn._xlws.FILTER(OFFSET($O$15,0,$DO370,$B$8,1),OFFSET($M$15,0,0,$B$8,1))=DZ$14))   /   SUM(OFFSET($BO$15,0,0,$B$14,1)) + $B$18/($B$19*$B$19*($DN370&lt;&gt;$DO370) + $B$19*($DN370=$DO370))</f>
        <v>3.7037037037037035E-4</v>
      </c>
      <c r="EA370" s="10" cm="1">
        <f t="array" aca="1" ref="EA370" ca="1">(1-$B$18)*SUMPRODUCT(OFFSET($BO$15,0,0,$B$14,1), 1*(_xlfn._xlws.FILTER(OFFSET($O$15,0,$DN370,$B$8,1),OFFSET($M$15,0,0,$B$8,1))=EA$13), 1*(_xlfn._xlws.FILTER(OFFSET($O$15,0,$DO370,$B$8,1),OFFSET($M$15,0,0,$B$8,1))=EA$14))   /   SUM(OFFSET($BO$15,0,0,$B$14,1)) + $B$18/($B$19*$B$19*($DN370&lt;&gt;$DO370) + $B$19*($DN370=$DO370))</f>
        <v>3.7037037037037035E-4</v>
      </c>
      <c r="EB370" s="10" cm="1">
        <f t="array" aca="1" ref="EB370" ca="1">(1-$B$18)*SUMPRODUCT(OFFSET($BO$15,0,0,$B$14,1), 1*(_xlfn._xlws.FILTER(OFFSET($O$15,0,$DN370,$B$8,1),OFFSET($M$15,0,0,$B$8,1))=EB$13), 1*(_xlfn._xlws.FILTER(OFFSET($O$15,0,$DO370,$B$8,1),OFFSET($M$15,0,0,$B$8,1))=EB$14))   /   SUM(OFFSET($BO$15,0,0,$B$14,1)) + $B$18/($B$19*$B$19*($DN370&lt;&gt;$DO370) + $B$19*($DN370=$DO370))</f>
        <v>3.7037037037037035E-4</v>
      </c>
      <c r="EC370" s="10" cm="1">
        <f t="array" aca="1" ref="EC370" ca="1">(1-$B$18)*SUMPRODUCT(OFFSET($BO$15,0,0,$B$14,1), 1*(_xlfn._xlws.FILTER(OFFSET($O$15,0,$DN370,$B$8,1),OFFSET($M$15,0,0,$B$8,1))=EC$13), 1*(_xlfn._xlws.FILTER(OFFSET($O$15,0,$DO370,$B$8,1),OFFSET($M$15,0,0,$B$8,1))=EC$14))   /   SUM(OFFSET($BO$15,0,0,$B$14,1)) + $B$18/($B$19*$B$19*($DN370&lt;&gt;$DO370) + $B$19*($DN370=$DO370))</f>
        <v>3.7037037037037035E-4</v>
      </c>
      <c r="ED370" s="10" cm="1">
        <f t="array" aca="1" ref="ED370" ca="1">(1-$B$18)*SUMPRODUCT(OFFSET($BO$15,0,0,$B$14,1), 1*(_xlfn._xlws.FILTER(OFFSET($O$15,0,$DN370,$B$8,1),OFFSET($M$15,0,0,$B$8,1))=ED$13), 1*(_xlfn._xlws.FILTER(OFFSET($O$15,0,$DO370,$B$8,1),OFFSET($M$15,0,0,$B$8,1))=ED$14))   /   SUM(OFFSET($BO$15,0,0,$B$14,1)) + $B$18/($B$19*$B$19*($DN370&lt;&gt;$DO370) + $B$19*($DN370=$DO370))</f>
        <v>3.7037037037037035E-4</v>
      </c>
      <c r="EE370" s="10" cm="1">
        <f t="array" aca="1" ref="EE370" ca="1">(1-$B$18)*SUMPRODUCT(OFFSET($BO$15,0,0,$B$14,1), 1*(_xlfn._xlws.FILTER(OFFSET($O$15,0,$DN370,$B$8,1),OFFSET($M$15,0,0,$B$8,1))=EE$13), 1*(_xlfn._xlws.FILTER(OFFSET($O$15,0,$DO370,$B$8,1),OFFSET($M$15,0,0,$B$8,1))=EE$14))   /   SUM(OFFSET($BO$15,0,0,$B$14,1)) + $B$18/($B$19*$B$19*($DN370&lt;&gt;$DO370) + $B$19*($DN370=$DO370))</f>
        <v>3.7037037037037035E-4</v>
      </c>
      <c r="EF370" s="10" cm="1">
        <f t="array" aca="1" ref="EF370" ca="1">(1-$B$18)*SUMPRODUCT(OFFSET($BO$15,0,0,$B$14,1), 1*(_xlfn._xlws.FILTER(OFFSET($O$15,0,$DN370,$B$8,1),OFFSET($M$15,0,0,$B$8,1))=EF$13), 1*(_xlfn._xlws.FILTER(OFFSET($O$15,0,$DO370,$B$8,1),OFFSET($M$15,0,0,$B$8,1))=EF$14))   /   SUM(OFFSET($BO$15,0,0,$B$14,1)) + $B$18/($B$19*$B$19*($DN370&lt;&gt;$DO370) + $B$19*($DN370=$DO370))</f>
        <v>3.7037037037037035E-4</v>
      </c>
      <c r="EG370" s="10" cm="1">
        <f t="array" aca="1" ref="EG370" ca="1">(1-$B$18)*SUMPRODUCT(OFFSET($BO$15,0,0,$B$14,1), 1*(_xlfn._xlws.FILTER(OFFSET($O$15,0,$DN370,$B$8,1),OFFSET($M$15,0,0,$B$8,1))=EG$13), 1*(_xlfn._xlws.FILTER(OFFSET($O$15,0,$DO370,$B$8,1),OFFSET($M$15,0,0,$B$8,1))=EG$14))   /   SUM(OFFSET($BO$15,0,0,$B$14,1)) + $B$18/($B$19*$B$19*($DN370&lt;&gt;$DO370) + $B$19*($DN370=$DO370))</f>
        <v>3.7037037037037035E-4</v>
      </c>
      <c r="EH370" s="10" cm="1">
        <f t="array" aca="1" ref="EH370" ca="1">(1-$B$18)*SUMPRODUCT(OFFSET($BO$15,0,0,$B$14,1), 1*(_xlfn._xlws.FILTER(OFFSET($O$15,0,$DN370,$B$8,1),OFFSET($M$15,0,0,$B$8,1))=EH$13), 1*(_xlfn._xlws.FILTER(OFFSET($O$15,0,$DO370,$B$8,1),OFFSET($M$15,0,0,$B$8,1))=EH$14))   /   SUM(OFFSET($BO$15,0,0,$B$14,1)) + $B$18/($B$19*$B$19*($DN370&lt;&gt;$DO370) + $B$19*($DN370=$DO370))</f>
        <v>3.7037037037037035E-4</v>
      </c>
      <c r="EI370" s="10" cm="1">
        <f t="array" aca="1" ref="EI370" ca="1">(1-$B$18)*SUMPRODUCT(OFFSET($BO$15,0,0,$B$14,1), 1*(_xlfn._xlws.FILTER(OFFSET($O$15,0,$DN370,$B$8,1),OFFSET($M$15,0,0,$B$8,1))=EI$13), 1*(_xlfn._xlws.FILTER(OFFSET($O$15,0,$DO370,$B$8,1),OFFSET($M$15,0,0,$B$8,1))=EI$14))   /   SUM(OFFSET($BO$15,0,0,$B$14,1)) + $B$18/($B$19*$B$19*($DN370&lt;&gt;$DO370) + $B$19*($DN370=$DO370))</f>
        <v>3.7037037037037035E-4</v>
      </c>
      <c r="EJ370" s="10" cm="1">
        <f t="array" aca="1" ref="EJ370" ca="1">(1-$B$18)*SUMPRODUCT(OFFSET($BO$15,0,0,$B$14,1), 1*(_xlfn._xlws.FILTER(OFFSET($O$15,0,$DN370,$B$8,1),OFFSET($M$15,0,0,$B$8,1))=EJ$13), 1*(_xlfn._xlws.FILTER(OFFSET($O$15,0,$DO370,$B$8,1),OFFSET($M$15,0,0,$B$8,1))=EJ$14))   /   SUM(OFFSET($BO$15,0,0,$B$14,1)) + $B$18/($B$19*$B$19*($DN370&lt;&gt;$DO370) + $B$19*($DN370=$DO370))</f>
        <v>3.7037037037037035E-4</v>
      </c>
      <c r="EK370" s="10" cm="1">
        <f t="array" aca="1" ref="EK370" ca="1">(1-$B$18)*SUMPRODUCT(OFFSET($BO$15,0,0,$B$14,1), 1*(_xlfn._xlws.FILTER(OFFSET($O$15,0,$DN370,$B$8,1),OFFSET($M$15,0,0,$B$8,1))=EK$13), 1*(_xlfn._xlws.FILTER(OFFSET($O$15,0,$DO370,$B$8,1),OFFSET($M$15,0,0,$B$8,1))=EK$14))   /   SUM(OFFSET($BO$15,0,0,$B$14,1)) + $B$18/($B$19*$B$19*($DN370&lt;&gt;$DO370) + $B$19*($DN370=$DO370))</f>
        <v>3.7037037037037035E-4</v>
      </c>
      <c r="EL370" s="10" cm="1">
        <f t="array" aca="1" ref="EL370" ca="1">(1-$B$18)*SUMPRODUCT(OFFSET($BO$15,0,0,$B$14,1), 1*(_xlfn._xlws.FILTER(OFFSET($O$15,0,$DN370,$B$8,1),OFFSET($M$15,0,0,$B$8,1))=EL$13), 1*(_xlfn._xlws.FILTER(OFFSET($O$15,0,$DO370,$B$8,1),OFFSET($M$15,0,0,$B$8,1))=EL$14))   /   SUM(OFFSET($BO$15,0,0,$B$14,1)) + $B$18/($B$19*$B$19*($DN370&lt;&gt;$DO370) + $B$19*($DN370=$DO370))</f>
        <v>3.7037037037037035E-4</v>
      </c>
      <c r="EM370" s="10" cm="1">
        <f t="array" aca="1" ref="EM370" ca="1">(1-$B$18)*SUMPRODUCT(OFFSET($BO$15,0,0,$B$14,1), 1*(_xlfn._xlws.FILTER(OFFSET($O$15,0,$DN370,$B$8,1),OFFSET($M$15,0,0,$B$8,1))=EM$13), 1*(_xlfn._xlws.FILTER(OFFSET($O$15,0,$DO370,$B$8,1),OFFSET($M$15,0,0,$B$8,1))=EM$14))   /   SUM(OFFSET($BO$15,0,0,$B$14,1)) + $B$18/($B$19*$B$19*($DN370&lt;&gt;$DO370) + $B$19*($DN370=$DO370))</f>
        <v>3.7037037037037035E-4</v>
      </c>
      <c r="EN370" s="10" cm="1">
        <f t="array" aca="1" ref="EN370" ca="1">(1-$B$18)*SUMPRODUCT(OFFSET($BO$15,0,0,$B$14,1), 1*(_xlfn._xlws.FILTER(OFFSET($O$15,0,$DN370,$B$8,1),OFFSET($M$15,0,0,$B$8,1))=EN$13), 1*(_xlfn._xlws.FILTER(OFFSET($O$15,0,$DO370,$B$8,1),OFFSET($M$15,0,0,$B$8,1))=EN$14))   /   SUM(OFFSET($BO$15,0,0,$B$14,1)) + $B$18/($B$19*$B$19*($DN370&lt;&gt;$DO370) + $B$19*($DN370=$DO370))</f>
        <v>3.7037037037037035E-4</v>
      </c>
      <c r="EO370" s="10" cm="1">
        <f t="array" aca="1" ref="EO370" ca="1">(1-$B$18)*SUMPRODUCT(OFFSET($BO$15,0,0,$B$14,1), 1*(_xlfn._xlws.FILTER(OFFSET($O$15,0,$DN370,$B$8,1),OFFSET($M$15,0,0,$B$8,1))=EO$13), 1*(_xlfn._xlws.FILTER(OFFSET($O$15,0,$DO370,$B$8,1),OFFSET($M$15,0,0,$B$8,1))=EO$14))   /   SUM(OFFSET($BO$15,0,0,$B$14,1)) + $B$18/($B$19*$B$19*($DN370&lt;&gt;$DO370) + $B$19*($DN370=$DO370))</f>
        <v>3.7037037037037035E-4</v>
      </c>
      <c r="EP370" s="10" cm="1">
        <f t="array" aca="1" ref="EP370" ca="1">(1-$B$18)*SUMPRODUCT(OFFSET($BO$15,0,0,$B$14,1), 1*(_xlfn._xlws.FILTER(OFFSET($O$15,0,$DN370,$B$8,1),OFFSET($M$15,0,0,$B$8,1))=EP$13), 1*(_xlfn._xlws.FILTER(OFFSET($O$15,0,$DO370,$B$8,1),OFFSET($M$15,0,0,$B$8,1))=EP$14))   /   SUM(OFFSET($BO$15,0,0,$B$14,1)) + $B$18/($B$19*$B$19*($DN370&lt;&gt;$DO370) + $B$19*($DN370=$DO370))</f>
        <v>3.7037037037037035E-4</v>
      </c>
      <c r="EQ370" s="10" cm="1">
        <f t="array" aca="1" ref="EQ370" ca="1">(1-$B$18)*SUMPRODUCT(OFFSET($BO$15,0,0,$B$14,1), 1*(_xlfn._xlws.FILTER(OFFSET($O$15,0,$DN370,$B$8,1),OFFSET($M$15,0,0,$B$8,1))=EQ$13), 1*(_xlfn._xlws.FILTER(OFFSET($O$15,0,$DO370,$B$8,1),OFFSET($M$15,0,0,$B$8,1))=EQ$14))   /   SUM(OFFSET($BO$15,0,0,$B$14,1)) + $B$18/($B$19*$B$19*($DN370&lt;&gt;$DO370) + $B$19*($DN370=$DO370))</f>
        <v>3.7037037037037035E-4</v>
      </c>
      <c r="ER370" s="10" cm="1">
        <f t="array" aca="1" ref="ER370" ca="1">(1-$B$18)*SUMPRODUCT(OFFSET($BO$15,0,0,$B$14,1), 1*(_xlfn._xlws.FILTER(OFFSET($O$15,0,$DN370,$B$8,1),OFFSET($M$15,0,0,$B$8,1))=ER$13), 1*(_xlfn._xlws.FILTER(OFFSET($O$15,0,$DO370,$B$8,1),OFFSET($M$15,0,0,$B$8,1))=ER$14))   /   SUM(OFFSET($BO$15,0,0,$B$14,1)) + $B$18/($B$19*$B$19*($DN370&lt;&gt;$DO370) + $B$19*($DN370=$DO370))</f>
        <v>3.7037037037037035E-4</v>
      </c>
      <c r="ES370" s="10" cm="1">
        <f t="array" aca="1" ref="ES370" ca="1">(1-$B$18)*SUMPRODUCT(OFFSET($BO$15,0,0,$B$14,1), 1*(_xlfn._xlws.FILTER(OFFSET($O$15,0,$DN370,$B$8,1),OFFSET($M$15,0,0,$B$8,1))=ES$13), 1*(_xlfn._xlws.FILTER(OFFSET($O$15,0,$DO370,$B$8,1),OFFSET($M$15,0,0,$B$8,1))=ES$14))   /   SUM(OFFSET($BO$15,0,0,$B$14,1)) + $B$18/($B$19*$B$19*($DN370&lt;&gt;$DO370) + $B$19*($DN370=$DO370))</f>
        <v>3.7037037037037035E-4</v>
      </c>
      <c r="ET370" s="10" cm="1">
        <f t="array" aca="1" ref="ET370" ca="1">(1-$B$18)*SUMPRODUCT(OFFSET($BO$15,0,0,$B$14,1), 1*(_xlfn._xlws.FILTER(OFFSET($O$15,0,$DN370,$B$8,1),OFFSET($M$15,0,0,$B$8,1))=ET$13), 1*(_xlfn._xlws.FILTER(OFFSET($O$15,0,$DO370,$B$8,1),OFFSET($M$15,0,0,$B$8,1))=ET$14))   /   SUM(OFFSET($BO$15,0,0,$B$14,1)) + $B$18/($B$19*$B$19*($DN370&lt;&gt;$DO370) + $B$19*($DN370=$DO370))</f>
        <v>3.7037037037037035E-4</v>
      </c>
      <c r="EU370" s="10" cm="1">
        <f t="array" aca="1" ref="EU370" ca="1">(1-$B$18)*SUMPRODUCT(OFFSET($BO$15,0,0,$B$14,1), 1*(_xlfn._xlws.FILTER(OFFSET($O$15,0,$DN370,$B$8,1),OFFSET($M$15,0,0,$B$8,1))=EU$13), 1*(_xlfn._xlws.FILTER(OFFSET($O$15,0,$DO370,$B$8,1),OFFSET($M$15,0,0,$B$8,1))=EU$14))   /   SUM(OFFSET($BO$15,0,0,$B$14,1)) + $B$18/($B$19*$B$19*($DN370&lt;&gt;$DO370) + $B$19*($DN370=$DO370))</f>
        <v>3.7037037037037035E-4</v>
      </c>
      <c r="EV370" s="10" cm="1">
        <f t="array" aca="1" ref="EV370" ca="1">(1-$B$18)*SUMPRODUCT(OFFSET($BO$15,0,0,$B$14,1), 1*(_xlfn._xlws.FILTER(OFFSET($O$15,0,$DN370,$B$8,1),OFFSET($M$15,0,0,$B$8,1))=EV$13), 1*(_xlfn._xlws.FILTER(OFFSET($O$15,0,$DO370,$B$8,1),OFFSET($M$15,0,0,$B$8,1))=EV$14))   /   SUM(OFFSET($BO$15,0,0,$B$14,1)) + $B$18/($B$19*$B$19*($DN370&lt;&gt;$DO370) + $B$19*($DN370=$DO370))</f>
        <v>3.7037037037037035E-4</v>
      </c>
      <c r="EW370" s="10" cm="1">
        <f t="array" aca="1" ref="EW370" ca="1">(1-$B$18)*SUMPRODUCT(OFFSET($BO$15,0,0,$B$14,1), 1*(_xlfn._xlws.FILTER(OFFSET($O$15,0,$DN370,$B$8,1),OFFSET($M$15,0,0,$B$8,1))=EW$13), 1*(_xlfn._xlws.FILTER(OFFSET($O$15,0,$DO370,$B$8,1),OFFSET($M$15,0,0,$B$8,1))=EW$14))   /   SUM(OFFSET($BO$15,0,0,$B$14,1)) + $B$18/($B$19*$B$19*($DN370&lt;&gt;$DO370) + $B$19*($DN370=$DO370))</f>
        <v>3.7037037037037035E-4</v>
      </c>
      <c r="EX370" s="10" cm="1">
        <f t="array" aca="1" ref="EX370" ca="1">(1-$B$18)*SUMPRODUCT(OFFSET($BO$15,0,0,$B$14,1), 1*(_xlfn._xlws.FILTER(OFFSET($O$15,0,$DN370,$B$8,1),OFFSET($M$15,0,0,$B$8,1))=EX$13), 1*(_xlfn._xlws.FILTER(OFFSET($O$15,0,$DO370,$B$8,1),OFFSET($M$15,0,0,$B$8,1))=EX$14))   /   SUM(OFFSET($BO$15,0,0,$B$14,1)) + $B$18/($B$19*$B$19*($DN370&lt;&gt;$DO370) + $B$19*($DN370=$DO370))</f>
        <v>0.24287037037037024</v>
      </c>
      <c r="EY370" s="10" cm="1">
        <f t="array" aca="1" ref="EY370" ca="1">(1-$B$18)*SUMPRODUCT(OFFSET($BO$15,0,0,$B$14,1), 1*(_xlfn._xlws.FILTER(OFFSET($O$15,0,$DN370,$B$8,1),OFFSET($M$15,0,0,$B$8,1))=EY$13), 1*(_xlfn._xlws.FILTER(OFFSET($O$15,0,$DO370,$B$8,1),OFFSET($M$15,0,0,$B$8,1))=EY$14))   /   SUM(OFFSET($BO$15,0,0,$B$14,1)) + $B$18/($B$19*$B$19*($DN370&lt;&gt;$DO370) + $B$19*($DN370=$DO370))</f>
        <v>3.7037037037037035E-4</v>
      </c>
      <c r="EZ370" s="10" cm="1">
        <f t="array" aca="1" ref="EZ370" ca="1">(1-$B$18)*SUMPRODUCT(OFFSET($BO$15,0,0,$B$14,1), 1*(_xlfn._xlws.FILTER(OFFSET($O$15,0,$DN370,$B$8,1),OFFSET($M$15,0,0,$B$8,1))=EZ$13), 1*(_xlfn._xlws.FILTER(OFFSET($O$15,0,$DO370,$B$8,1),OFFSET($M$15,0,0,$B$8,1))=EZ$14))   /   SUM(OFFSET($BO$15,0,0,$B$14,1)) + $B$18/($B$19*$B$19*($DN370&lt;&gt;$DO370) + $B$19*($DN370=$DO370))</f>
        <v>3.7037037037037035E-4</v>
      </c>
      <c r="FA370" s="10" cm="1">
        <f t="array" aca="1" ref="FA370" ca="1">(1-$B$18)*SUMPRODUCT(OFFSET($BO$15,0,0,$B$14,1), 1*(_xlfn._xlws.FILTER(OFFSET($O$15,0,$DN370,$B$8,1),OFFSET($M$15,0,0,$B$8,1))=FA$13), 1*(_xlfn._xlws.FILTER(OFFSET($O$15,0,$DO370,$B$8,1),OFFSET($M$15,0,0,$B$8,1))=FA$14))   /   SUM(OFFSET($BO$15,0,0,$B$14,1)) + $B$18/($B$19*$B$19*($DN370&lt;&gt;$DO370) + $B$19*($DN370=$DO370))</f>
        <v>3.7037037037037035E-4</v>
      </c>
      <c r="FB370" s="10" cm="1">
        <f t="array" aca="1" ref="FB370" ca="1">(1-$B$18)*SUMPRODUCT(OFFSET($BO$15,0,0,$B$14,1), 1*(_xlfn._xlws.FILTER(OFFSET($O$15,0,$DN370,$B$8,1),OFFSET($M$15,0,0,$B$8,1))=FB$13), 1*(_xlfn._xlws.FILTER(OFFSET($O$15,0,$DO370,$B$8,1),OFFSET($M$15,0,0,$B$8,1))=FB$14))   /   SUM(OFFSET($BO$15,0,0,$B$14,1)) + $B$18/($B$19*$B$19*($DN370&lt;&gt;$DO370) + $B$19*($DN370=$DO370))</f>
        <v>3.7037037037037035E-4</v>
      </c>
      <c r="FC370" s="10" cm="1">
        <f t="array" aca="1" ref="FC370" ca="1">(1-$B$18)*SUMPRODUCT(OFFSET($BO$15,0,0,$B$14,1), 1*(_xlfn._xlws.FILTER(OFFSET($O$15,0,$DN370,$B$8,1),OFFSET($M$15,0,0,$B$8,1))=FC$13), 1*(_xlfn._xlws.FILTER(OFFSET($O$15,0,$DO370,$B$8,1),OFFSET($M$15,0,0,$B$8,1))=FC$14))   /   SUM(OFFSET($BO$15,0,0,$B$14,1)) + $B$18/($B$19*$B$19*($DN370&lt;&gt;$DO370) + $B$19*($DN370=$DO370))</f>
        <v>3.7037037037037035E-4</v>
      </c>
      <c r="FD370" s="10" cm="1">
        <f t="array" aca="1" ref="FD370" ca="1">(1-$B$18)*SUMPRODUCT(OFFSET($BO$15,0,0,$B$14,1), 1*(_xlfn._xlws.FILTER(OFFSET($O$15,0,$DN370,$B$8,1),OFFSET($M$15,0,0,$B$8,1))=FD$13), 1*(_xlfn._xlws.FILTER(OFFSET($O$15,0,$DO370,$B$8,1),OFFSET($M$15,0,0,$B$8,1))=FD$14))   /   SUM(OFFSET($BO$15,0,0,$B$14,1)) + $B$18/($B$19*$B$19*($DN370&lt;&gt;$DO370) + $B$19*($DN370=$DO370))</f>
        <v>3.7037037037037035E-4</v>
      </c>
      <c r="FE370" s="10" cm="1">
        <f t="array" aca="1" ref="FE370" ca="1">(1-$B$18)*SUMPRODUCT(OFFSET($BO$15,0,0,$B$14,1), 1*(_xlfn._xlws.FILTER(OFFSET($O$15,0,$DN370,$B$8,1),OFFSET($M$15,0,0,$B$8,1))=FE$13), 1*(_xlfn._xlws.FILTER(OFFSET($O$15,0,$DO370,$B$8,1),OFFSET($M$15,0,0,$B$8,1))=FE$14))   /   SUM(OFFSET($BO$15,0,0,$B$14,1)) + $B$18/($B$19*$B$19*($DN370&lt;&gt;$DO370) + $B$19*($DN370=$DO370))</f>
        <v>3.7037037037037035E-4</v>
      </c>
      <c r="FF370" s="10" cm="1">
        <f t="array" aca="1" ref="FF370" ca="1">(1-$B$18)*SUMPRODUCT(OFFSET($BO$15,0,0,$B$14,1), 1*(_xlfn._xlws.FILTER(OFFSET($O$15,0,$DN370,$B$8,1),OFFSET($M$15,0,0,$B$8,1))=FF$13), 1*(_xlfn._xlws.FILTER(OFFSET($O$15,0,$DO370,$B$8,1),OFFSET($M$15,0,0,$B$8,1))=FF$14))   /   SUM(OFFSET($BO$15,0,0,$B$14,1)) + $B$18/($B$19*$B$19*($DN370&lt;&gt;$DO370) + $B$19*($DN370=$DO370))</f>
        <v>0.48537037037037012</v>
      </c>
      <c r="FG370" s="10" cm="1">
        <f t="array" aca="1" ref="FG370" ca="1">(1-$B$18)*SUMPRODUCT(OFFSET($BO$15,0,0,$B$14,1), 1*(_xlfn._xlws.FILTER(OFFSET($O$15,0,$DN370,$B$8,1),OFFSET($M$15,0,0,$B$8,1))=FG$13), 1*(_xlfn._xlws.FILTER(OFFSET($O$15,0,$DO370,$B$8,1),OFFSET($M$15,0,0,$B$8,1))=FG$14))   /   SUM(OFFSET($BO$15,0,0,$B$14,1)) + $B$18/($B$19*$B$19*($DN370&lt;&gt;$DO370) + $B$19*($DN370=$DO370))</f>
        <v>3.7037037037037035E-4</v>
      </c>
      <c r="FH370" s="10" cm="1">
        <f t="array" aca="1" ref="FH370" ca="1">(1-$B$18)*SUMPRODUCT(OFFSET($BO$15,0,0,$B$14,1), 1*(_xlfn._xlws.FILTER(OFFSET($O$15,0,$DN370,$B$8,1),OFFSET($M$15,0,0,$B$8,1))=FH$13), 1*(_xlfn._xlws.FILTER(OFFSET($O$15,0,$DO370,$B$8,1),OFFSET($M$15,0,0,$B$8,1))=FH$14))   /   SUM(OFFSET($BO$15,0,0,$B$14,1)) + $B$18/($B$19*$B$19*($DN370&lt;&gt;$DO370) + $B$19*($DN370=$DO370))</f>
        <v>3.7037037037037035E-4</v>
      </c>
      <c r="FI370" s="10" cm="1">
        <f t="array" aca="1" ref="FI370" ca="1">(1-$B$18)*SUMPRODUCT(OFFSET($BO$15,0,0,$B$14,1), 1*(_xlfn._xlws.FILTER(OFFSET($O$15,0,$DN370,$B$8,1),OFFSET($M$15,0,0,$B$8,1))=FI$13), 1*(_xlfn._xlws.FILTER(OFFSET($O$15,0,$DO370,$B$8,1),OFFSET($M$15,0,0,$B$8,1))=FI$14))   /   SUM(OFFSET($BO$15,0,0,$B$14,1)) + $B$18/($B$19*$B$19*($DN370&lt;&gt;$DO370) + $B$19*($DN370=$DO370))</f>
        <v>3.7037037037037035E-4</v>
      </c>
      <c r="FJ370" s="10" cm="1">
        <f t="array" aca="1" ref="FJ370" ca="1">(1-$B$18)*SUMPRODUCT(OFFSET($BO$15,0,0,$B$14,1), 1*(_xlfn._xlws.FILTER(OFFSET($O$15,0,$DN370,$B$8,1),OFFSET($M$15,0,0,$B$8,1))=FJ$13), 1*(_xlfn._xlws.FILTER(OFFSET($O$15,0,$DO370,$B$8,1),OFFSET($M$15,0,0,$B$8,1))=FJ$14))   /   SUM(OFFSET($BO$15,0,0,$B$14,1)) + $B$18/($B$19*$B$19*($DN370&lt;&gt;$DO370) + $B$19*($DN370=$DO370))</f>
        <v>3.7037037037037035E-4</v>
      </c>
      <c r="FK370" s="10" cm="1">
        <f t="array" aca="1" ref="FK370" ca="1">(1-$B$18)*SUMPRODUCT(OFFSET($BO$15,0,0,$B$14,1), 1*(_xlfn._xlws.FILTER(OFFSET($O$15,0,$DN370,$B$8,1),OFFSET($M$15,0,0,$B$8,1))=FK$13), 1*(_xlfn._xlws.FILTER(OFFSET($O$15,0,$DO370,$B$8,1),OFFSET($M$15,0,0,$B$8,1))=FK$14))   /   SUM(OFFSET($BO$15,0,0,$B$14,1)) + $B$18/($B$19*$B$19*($DN370&lt;&gt;$DO370) + $B$19*($DN370=$DO370))</f>
        <v>3.7037037037037035E-4</v>
      </c>
      <c r="FL370" s="10" cm="1">
        <f t="array" aca="1" ref="FL370" ca="1">(1-$B$18)*SUMPRODUCT(OFFSET($BO$15,0,0,$B$14,1), 1*(_xlfn._xlws.FILTER(OFFSET($O$15,0,$DN370,$B$8,1),OFFSET($M$15,0,0,$B$8,1))=FL$13), 1*(_xlfn._xlws.FILTER(OFFSET($O$15,0,$DO370,$B$8,1),OFFSET($M$15,0,0,$B$8,1))=FL$14))   /   SUM(OFFSET($BO$15,0,0,$B$14,1)) + $B$18/($B$19*$B$19*($DN370&lt;&gt;$DO370) + $B$19*($DN370=$DO370))</f>
        <v>3.7037037037037035E-4</v>
      </c>
      <c r="FM370" s="10" cm="1">
        <f t="array" aca="1" ref="FM370" ca="1">(1-$B$18)*SUMPRODUCT(OFFSET($BO$15,0,0,$B$14,1), 1*(_xlfn._xlws.FILTER(OFFSET($O$15,0,$DN370,$B$8,1),OFFSET($M$15,0,0,$B$8,1))=FM$13), 1*(_xlfn._xlws.FILTER(OFFSET($O$15,0,$DO370,$B$8,1),OFFSET($M$15,0,0,$B$8,1))=FM$14))   /   SUM(OFFSET($BO$15,0,0,$B$14,1)) + $B$18/($B$19*$B$19*($DN370&lt;&gt;$DO370) + $B$19*($DN370=$DO370))</f>
        <v>3.7037037037037035E-4</v>
      </c>
      <c r="FN370" s="10" cm="1">
        <f t="array" aca="1" ref="FN370" ca="1">(1-$B$18)*SUMPRODUCT(OFFSET($BO$15,0,0,$B$14,1), 1*(_xlfn._xlws.FILTER(OFFSET($O$15,0,$DN370,$B$8,1),OFFSET($M$15,0,0,$B$8,1))=FN$13), 1*(_xlfn._xlws.FILTER(OFFSET($O$15,0,$DO370,$B$8,1),OFFSET($M$15,0,0,$B$8,1))=FN$14))   /   SUM(OFFSET($BO$15,0,0,$B$14,1)) + $B$18/($B$19*$B$19*($DN370&lt;&gt;$DO370) + $B$19*($DN370=$DO370))</f>
        <v>0.24287037037037026</v>
      </c>
      <c r="FO370" s="10" cm="1">
        <f t="array" aca="1" ref="FO370" ca="1">(1-$B$18)*SUMPRODUCT(OFFSET($BO$15,0,0,$B$14,1), 1*(_xlfn._xlws.FILTER(OFFSET($O$15,0,$DN370,$B$8,1),OFFSET($M$15,0,0,$B$8,1))=FO$13), 1*(_xlfn._xlws.FILTER(OFFSET($O$15,0,$DO370,$B$8,1),OFFSET($M$15,0,0,$B$8,1))=FO$14))   /   SUM(OFFSET($BO$15,0,0,$B$14,1)) + $B$18/($B$19*$B$19*($DN370&lt;&gt;$DO370) + $B$19*($DN370=$DO370))</f>
        <v>3.7037037037037035E-4</v>
      </c>
      <c r="FP370" s="10" cm="1">
        <f t="array" aca="1" ref="FP370" ca="1">(1-$B$18)*SUMPRODUCT(OFFSET($BO$15,0,0,$B$14,1), 1*(_xlfn._xlws.FILTER(OFFSET($O$15,0,$DN370,$B$8,1),OFFSET($M$15,0,0,$B$8,1))=FP$13), 1*(_xlfn._xlws.FILTER(OFFSET($O$15,0,$DO370,$B$8,1),OFFSET($M$15,0,0,$B$8,1))=FP$14))   /   SUM(OFFSET($BO$15,0,0,$B$14,1)) + $B$18/($B$19*$B$19*($DN370&lt;&gt;$DO370) + $B$19*($DN370=$DO370))</f>
        <v>3.7037037037037035E-4</v>
      </c>
      <c r="FQ370" s="10" cm="1">
        <f t="array" aca="1" ref="FQ370" ca="1">(1-$B$18)*SUMPRODUCT(OFFSET($BO$15,0,0,$B$14,1), 1*(_xlfn._xlws.FILTER(OFFSET($O$15,0,$DN370,$B$8,1),OFFSET($M$15,0,0,$B$8,1))=FQ$13), 1*(_xlfn._xlws.FILTER(OFFSET($O$15,0,$DO370,$B$8,1),OFFSET($M$15,0,0,$B$8,1))=FQ$14))   /   SUM(OFFSET($BO$15,0,0,$B$14,1)) + $B$18/($B$19*$B$19*($DN370&lt;&gt;$DO370) + $B$19*($DN370=$DO370))</f>
        <v>3.7037037037037035E-4</v>
      </c>
      <c r="FR370" s="10" cm="1">
        <f t="array" aca="1" ref="FR370" ca="1">(1-$B$18)*SUMPRODUCT(OFFSET($BO$15,0,0,$B$14,1), 1*(_xlfn._xlws.FILTER(OFFSET($O$15,0,$DN370,$B$8,1),OFFSET($M$15,0,0,$B$8,1))=FR$13), 1*(_xlfn._xlws.FILTER(OFFSET($O$15,0,$DO370,$B$8,1),OFFSET($M$15,0,0,$B$8,1))=FR$14))   /   SUM(OFFSET($BO$15,0,0,$B$14,1)) + $B$18/($B$19*$B$19*($DN370&lt;&gt;$DO370) + $B$19*($DN370=$DO370))</f>
        <v>3.7037037037037035E-4</v>
      </c>
      <c r="FS370" s="10" cm="1">
        <f t="array" aca="1" ref="FS370" ca="1">(1-$B$18)*SUMPRODUCT(OFFSET($BO$15,0,0,$B$14,1), 1*(_xlfn._xlws.FILTER(OFFSET($O$15,0,$DN370,$B$8,1),OFFSET($M$15,0,0,$B$8,1))=FS$13), 1*(_xlfn._xlws.FILTER(OFFSET($O$15,0,$DO370,$B$8,1),OFFSET($M$15,0,0,$B$8,1))=FS$14))   /   SUM(OFFSET($BO$15,0,0,$B$14,1)) + $B$18/($B$19*$B$19*($DN370&lt;&gt;$DO370) + $B$19*($DN370=$DO370))</f>
        <v>3.7037037037037035E-4</v>
      </c>
      <c r="FT370" s="10" cm="1">
        <f t="array" aca="1" ref="FT370" ca="1">(1-$B$18)*SUMPRODUCT(OFFSET($BO$15,0,0,$B$14,1), 1*(_xlfn._xlws.FILTER(OFFSET($O$15,0,$DN370,$B$8,1),OFFSET($M$15,0,0,$B$8,1))=FT$13), 1*(_xlfn._xlws.FILTER(OFFSET($O$15,0,$DO370,$B$8,1),OFFSET($M$15,0,0,$B$8,1))=FT$14))   /   SUM(OFFSET($BO$15,0,0,$B$14,1)) + $B$18/($B$19*$B$19*($DN370&lt;&gt;$DO370) + $B$19*($DN370=$DO370))</f>
        <v>3.7037037037037035E-4</v>
      </c>
      <c r="FU370" s="10" cm="1">
        <f t="array" aca="1" ref="FU370" ca="1">(1-$B$18)*SUMPRODUCT(OFFSET($BO$15,0,0,$B$14,1), 1*(_xlfn._xlws.FILTER(OFFSET($O$15,0,$DN370,$B$8,1),OFFSET($M$15,0,0,$B$8,1))=FU$13), 1*(_xlfn._xlws.FILTER(OFFSET($O$15,0,$DO370,$B$8,1),OFFSET($M$15,0,0,$B$8,1))=FU$14))   /   SUM(OFFSET($BO$15,0,0,$B$14,1)) + $B$18/($B$19*$B$19*($DN370&lt;&gt;$DO370) + $B$19*($DN370=$DO370))</f>
        <v>3.7037037037037035E-4</v>
      </c>
      <c r="FV370" s="10" cm="1">
        <f t="array" aca="1" ref="FV370" ca="1">(1-$B$18)*SUMPRODUCT(OFFSET($BO$15,0,0,$B$14,1), 1*(_xlfn._xlws.FILTER(OFFSET($O$15,0,$DN370,$B$8,1),OFFSET($M$15,0,0,$B$8,1))=FV$13), 1*(_xlfn._xlws.FILTER(OFFSET($O$15,0,$DO370,$B$8,1),OFFSET($M$15,0,0,$B$8,1))=FV$14))   /   SUM(OFFSET($BO$15,0,0,$B$14,1)) + $B$18/($B$19*$B$19*($DN370&lt;&gt;$DO370) + $B$19*($DN370=$DO370))</f>
        <v>3.7037037037037035E-4</v>
      </c>
      <c r="FW370" s="10" cm="1">
        <f t="array" aca="1" ref="FW370" ca="1">(1-$B$18)*SUMPRODUCT(OFFSET($BO$15,0,0,$B$14,1), 1*(_xlfn._xlws.FILTER(OFFSET($O$15,0,$DN370,$B$8,1),OFFSET($M$15,0,0,$B$8,1))=FW$13), 1*(_xlfn._xlws.FILTER(OFFSET($O$15,0,$DO370,$B$8,1),OFFSET($M$15,0,0,$B$8,1))=FW$14))   /   SUM(OFFSET($BO$15,0,0,$B$14,1)) + $B$18/($B$19*$B$19*($DN370&lt;&gt;$DO370) + $B$19*($DN370=$DO370))</f>
        <v>3.7037037037037035E-4</v>
      </c>
      <c r="FX370" s="10" cm="1">
        <f t="array" aca="1" ref="FX370" ca="1">(1-$B$18)*SUMPRODUCT(OFFSET($BO$15,0,0,$B$14,1), 1*(_xlfn._xlws.FILTER(OFFSET($O$15,0,$DN370,$B$8,1),OFFSET($M$15,0,0,$B$8,1))=FX$13), 1*(_xlfn._xlws.FILTER(OFFSET($O$15,0,$DO370,$B$8,1),OFFSET($M$15,0,0,$B$8,1))=FX$14))   /   SUM(OFFSET($BO$15,0,0,$B$14,1)) + $B$18/($B$19*$B$19*($DN370&lt;&gt;$DO370) + $B$19*($DN370=$DO370))</f>
        <v>3.7037037037037035E-4</v>
      </c>
      <c r="FY370" s="10" cm="1">
        <f t="array" aca="1" ref="FY370" ca="1">(1-$B$18)*SUMPRODUCT(OFFSET($BO$15,0,0,$B$14,1), 1*(_xlfn._xlws.FILTER(OFFSET($O$15,0,$DN370,$B$8,1),OFFSET($M$15,0,0,$B$8,1))=FY$13), 1*(_xlfn._xlws.FILTER(OFFSET($O$15,0,$DO370,$B$8,1),OFFSET($M$15,0,0,$B$8,1))=FY$14))   /   SUM(OFFSET($BO$15,0,0,$B$14,1)) + $B$18/($B$19*$B$19*($DN370&lt;&gt;$DO370) + $B$19*($DN370=$DO370))</f>
        <v>3.7037037037037035E-4</v>
      </c>
      <c r="FZ370" s="10" cm="1">
        <f t="array" aca="1" ref="FZ370" ca="1">(1-$B$18)*SUMPRODUCT(OFFSET($BO$15,0,0,$B$14,1), 1*(_xlfn._xlws.FILTER(OFFSET($O$15,0,$DN370,$B$8,1),OFFSET($M$15,0,0,$B$8,1))=FZ$13), 1*(_xlfn._xlws.FILTER(OFFSET($O$15,0,$DO370,$B$8,1),OFFSET($M$15,0,0,$B$8,1))=FZ$14))   /   SUM(OFFSET($BO$15,0,0,$B$14,1)) + $B$18/($B$19*$B$19*($DN370&lt;&gt;$DO370) + $B$19*($DN370=$DO370))</f>
        <v>3.7037037037037035E-4</v>
      </c>
      <c r="GA370" s="10" cm="1">
        <f t="array" aca="1" ref="GA370" ca="1">(1-$B$18)*SUMPRODUCT(OFFSET($BO$15,0,0,$B$14,1), 1*(_xlfn._xlws.FILTER(OFFSET($O$15,0,$DN370,$B$8,1),OFFSET($M$15,0,0,$B$8,1))=GA$13), 1*(_xlfn._xlws.FILTER(OFFSET($O$15,0,$DO370,$B$8,1),OFFSET($M$15,0,0,$B$8,1))=GA$14))   /   SUM(OFFSET($BO$15,0,0,$B$14,1)) + $B$18/($B$19*$B$19*($DN370&lt;&gt;$DO370) + $B$19*($DN370=$DO370))</f>
        <v>3.7037037037037035E-4</v>
      </c>
    </row>
    <row r="371" spans="118:183" x14ac:dyDescent="0.2">
      <c r="DN371" cm="1">
        <f t="array" aca="1" ref="DN371" ca="1">INDEX(_xlfn.ANCHORARRAY($CP$15), 1 + INT((ROWS($DO$15:$DO371) - 1) / ROWS(_xlfn.ANCHORARRAY($CP$15))))</f>
        <v>21</v>
      </c>
      <c r="DO371" cm="1">
        <f t="array" aca="1" ref="DO371" ca="1">INDEX(_xlfn.ANCHORARRAY($CP$15),1+MOD(ROWS($DO$15:$DO371)-1,ROWS(_xlfn.ANCHORARRAY($CP$15))))</f>
        <v>15</v>
      </c>
      <c r="DP371" s="10" cm="1">
        <f t="array" aca="1" ref="DP371" ca="1">(1-$B$18)*SUMPRODUCT(OFFSET($BO$15,0,0,$B$14,1), 1*(_xlfn._xlws.FILTER(OFFSET($O$15,0,$DN371,$B$8,1),OFFSET($M$15,0,0,$B$8,1))=DP$13), 1*(_xlfn._xlws.FILTER(OFFSET($O$15,0,$DO371,$B$8,1),OFFSET($M$15,0,0,$B$8,1))=DP$14))   /   SUM(OFFSET($BO$15,0,0,$B$14,1)) + $B$18/($B$19*$B$19*($DN371&lt;&gt;$DO371) + $B$19*($DN371=$DO371))</f>
        <v>3.7037037037037035E-4</v>
      </c>
      <c r="DQ371" s="10" cm="1">
        <f t="array" aca="1" ref="DQ371" ca="1">(1-$B$18)*SUMPRODUCT(OFFSET($BO$15,0,0,$B$14,1), 1*(_xlfn._xlws.FILTER(OFFSET($O$15,0,$DN371,$B$8,1),OFFSET($M$15,0,0,$B$8,1))=DQ$13), 1*(_xlfn._xlws.FILTER(OFFSET($O$15,0,$DO371,$B$8,1),OFFSET($M$15,0,0,$B$8,1))=DQ$14))   /   SUM(OFFSET($BO$15,0,0,$B$14,1)) + $B$18/($B$19*$B$19*($DN371&lt;&gt;$DO371) + $B$19*($DN371=$DO371))</f>
        <v>3.7037037037037035E-4</v>
      </c>
      <c r="DR371" s="10" cm="1">
        <f t="array" aca="1" ref="DR371" ca="1">(1-$B$18)*SUMPRODUCT(OFFSET($BO$15,0,0,$B$14,1), 1*(_xlfn._xlws.FILTER(OFFSET($O$15,0,$DN371,$B$8,1),OFFSET($M$15,0,0,$B$8,1))=DR$13), 1*(_xlfn._xlws.FILTER(OFFSET($O$15,0,$DO371,$B$8,1),OFFSET($M$15,0,0,$B$8,1))=DR$14))   /   SUM(OFFSET($BO$15,0,0,$B$14,1)) + $B$18/($B$19*$B$19*($DN371&lt;&gt;$DO371) + $B$19*($DN371=$DO371))</f>
        <v>3.7037037037037035E-4</v>
      </c>
      <c r="DS371" s="10" cm="1">
        <f t="array" aca="1" ref="DS371" ca="1">(1-$B$18)*SUMPRODUCT(OFFSET($BO$15,0,0,$B$14,1), 1*(_xlfn._xlws.FILTER(OFFSET($O$15,0,$DN371,$B$8,1),OFFSET($M$15,0,0,$B$8,1))=DS$13), 1*(_xlfn._xlws.FILTER(OFFSET($O$15,0,$DO371,$B$8,1),OFFSET($M$15,0,0,$B$8,1))=DS$14))   /   SUM(OFFSET($BO$15,0,0,$B$14,1)) + $B$18/($B$19*$B$19*($DN371&lt;&gt;$DO371) + $B$19*($DN371=$DO371))</f>
        <v>3.7037037037037035E-4</v>
      </c>
      <c r="DT371" s="10" cm="1">
        <f t="array" aca="1" ref="DT371" ca="1">(1-$B$18)*SUMPRODUCT(OFFSET($BO$15,0,0,$B$14,1), 1*(_xlfn._xlws.FILTER(OFFSET($O$15,0,$DN371,$B$8,1),OFFSET($M$15,0,0,$B$8,1))=DT$13), 1*(_xlfn._xlws.FILTER(OFFSET($O$15,0,$DO371,$B$8,1),OFFSET($M$15,0,0,$B$8,1))=DT$14))   /   SUM(OFFSET($BO$15,0,0,$B$14,1)) + $B$18/($B$19*$B$19*($DN371&lt;&gt;$DO371) + $B$19*($DN371=$DO371))</f>
        <v>3.7037037037037035E-4</v>
      </c>
      <c r="DU371" s="10" cm="1">
        <f t="array" aca="1" ref="DU371" ca="1">(1-$B$18)*SUMPRODUCT(OFFSET($BO$15,0,0,$B$14,1), 1*(_xlfn._xlws.FILTER(OFFSET($O$15,0,$DN371,$B$8,1),OFFSET($M$15,0,0,$B$8,1))=DU$13), 1*(_xlfn._xlws.FILTER(OFFSET($O$15,0,$DO371,$B$8,1),OFFSET($M$15,0,0,$B$8,1))=DU$14))   /   SUM(OFFSET($BO$15,0,0,$B$14,1)) + $B$18/($B$19*$B$19*($DN371&lt;&gt;$DO371) + $B$19*($DN371=$DO371))</f>
        <v>3.7037037037037035E-4</v>
      </c>
      <c r="DV371" s="10" cm="1">
        <f t="array" aca="1" ref="DV371" ca="1">(1-$B$18)*SUMPRODUCT(OFFSET($BO$15,0,0,$B$14,1), 1*(_xlfn._xlws.FILTER(OFFSET($O$15,0,$DN371,$B$8,1),OFFSET($M$15,0,0,$B$8,1))=DV$13), 1*(_xlfn._xlws.FILTER(OFFSET($O$15,0,$DO371,$B$8,1),OFFSET($M$15,0,0,$B$8,1))=DV$14))   /   SUM(OFFSET($BO$15,0,0,$B$14,1)) + $B$18/($B$19*$B$19*($DN371&lt;&gt;$DO371) + $B$19*($DN371=$DO371))</f>
        <v>3.7037037037037035E-4</v>
      </c>
      <c r="DW371" s="10" cm="1">
        <f t="array" aca="1" ref="DW371" ca="1">(1-$B$18)*SUMPRODUCT(OFFSET($BO$15,0,0,$B$14,1), 1*(_xlfn._xlws.FILTER(OFFSET($O$15,0,$DN371,$B$8,1),OFFSET($M$15,0,0,$B$8,1))=DW$13), 1*(_xlfn._xlws.FILTER(OFFSET($O$15,0,$DO371,$B$8,1),OFFSET($M$15,0,0,$B$8,1))=DW$14))   /   SUM(OFFSET($BO$15,0,0,$B$14,1)) + $B$18/($B$19*$B$19*($DN371&lt;&gt;$DO371) + $B$19*($DN371=$DO371))</f>
        <v>3.7037037037037035E-4</v>
      </c>
      <c r="DX371" s="10" cm="1">
        <f t="array" aca="1" ref="DX371" ca="1">(1-$B$18)*SUMPRODUCT(OFFSET($BO$15,0,0,$B$14,1), 1*(_xlfn._xlws.FILTER(OFFSET($O$15,0,$DN371,$B$8,1),OFFSET($M$15,0,0,$B$8,1))=DX$13), 1*(_xlfn._xlws.FILTER(OFFSET($O$15,0,$DO371,$B$8,1),OFFSET($M$15,0,0,$B$8,1))=DX$14))   /   SUM(OFFSET($BO$15,0,0,$B$14,1)) + $B$18/($B$19*$B$19*($DN371&lt;&gt;$DO371) + $B$19*($DN371=$DO371))</f>
        <v>3.7037037037037035E-4</v>
      </c>
      <c r="DY371" s="10" cm="1">
        <f t="array" aca="1" ref="DY371" ca="1">(1-$B$18)*SUMPRODUCT(OFFSET($BO$15,0,0,$B$14,1), 1*(_xlfn._xlws.FILTER(OFFSET($O$15,0,$DN371,$B$8,1),OFFSET($M$15,0,0,$B$8,1))=DY$13), 1*(_xlfn._xlws.FILTER(OFFSET($O$15,0,$DO371,$B$8,1),OFFSET($M$15,0,0,$B$8,1))=DY$14))   /   SUM(OFFSET($BO$15,0,0,$B$14,1)) + $B$18/($B$19*$B$19*($DN371&lt;&gt;$DO371) + $B$19*($DN371=$DO371))</f>
        <v>3.7037037037037035E-4</v>
      </c>
      <c r="DZ371" s="10" cm="1">
        <f t="array" aca="1" ref="DZ371" ca="1">(1-$B$18)*SUMPRODUCT(OFFSET($BO$15,0,0,$B$14,1), 1*(_xlfn._xlws.FILTER(OFFSET($O$15,0,$DN371,$B$8,1),OFFSET($M$15,0,0,$B$8,1))=DZ$13), 1*(_xlfn._xlws.FILTER(OFFSET($O$15,0,$DO371,$B$8,1),OFFSET($M$15,0,0,$B$8,1))=DZ$14))   /   SUM(OFFSET($BO$15,0,0,$B$14,1)) + $B$18/($B$19*$B$19*($DN371&lt;&gt;$DO371) + $B$19*($DN371=$DO371))</f>
        <v>3.7037037037037035E-4</v>
      </c>
      <c r="EA371" s="10" cm="1">
        <f t="array" aca="1" ref="EA371" ca="1">(1-$B$18)*SUMPRODUCT(OFFSET($BO$15,0,0,$B$14,1), 1*(_xlfn._xlws.FILTER(OFFSET($O$15,0,$DN371,$B$8,1),OFFSET($M$15,0,0,$B$8,1))=EA$13), 1*(_xlfn._xlws.FILTER(OFFSET($O$15,0,$DO371,$B$8,1),OFFSET($M$15,0,0,$B$8,1))=EA$14))   /   SUM(OFFSET($BO$15,0,0,$B$14,1)) + $B$18/($B$19*$B$19*($DN371&lt;&gt;$DO371) + $B$19*($DN371=$DO371))</f>
        <v>3.7037037037037035E-4</v>
      </c>
      <c r="EB371" s="10" cm="1">
        <f t="array" aca="1" ref="EB371" ca="1">(1-$B$18)*SUMPRODUCT(OFFSET($BO$15,0,0,$B$14,1), 1*(_xlfn._xlws.FILTER(OFFSET($O$15,0,$DN371,$B$8,1),OFFSET($M$15,0,0,$B$8,1))=EB$13), 1*(_xlfn._xlws.FILTER(OFFSET($O$15,0,$DO371,$B$8,1),OFFSET($M$15,0,0,$B$8,1))=EB$14))   /   SUM(OFFSET($BO$15,0,0,$B$14,1)) + $B$18/($B$19*$B$19*($DN371&lt;&gt;$DO371) + $B$19*($DN371=$DO371))</f>
        <v>3.7037037037037035E-4</v>
      </c>
      <c r="EC371" s="10" cm="1">
        <f t="array" aca="1" ref="EC371" ca="1">(1-$B$18)*SUMPRODUCT(OFFSET($BO$15,0,0,$B$14,1), 1*(_xlfn._xlws.FILTER(OFFSET($O$15,0,$DN371,$B$8,1),OFFSET($M$15,0,0,$B$8,1))=EC$13), 1*(_xlfn._xlws.FILTER(OFFSET($O$15,0,$DO371,$B$8,1),OFFSET($M$15,0,0,$B$8,1))=EC$14))   /   SUM(OFFSET($BO$15,0,0,$B$14,1)) + $B$18/($B$19*$B$19*($DN371&lt;&gt;$DO371) + $B$19*($DN371=$DO371))</f>
        <v>3.7037037037037035E-4</v>
      </c>
      <c r="ED371" s="10" cm="1">
        <f t="array" aca="1" ref="ED371" ca="1">(1-$B$18)*SUMPRODUCT(OFFSET($BO$15,0,0,$B$14,1), 1*(_xlfn._xlws.FILTER(OFFSET($O$15,0,$DN371,$B$8,1),OFFSET($M$15,0,0,$B$8,1))=ED$13), 1*(_xlfn._xlws.FILTER(OFFSET($O$15,0,$DO371,$B$8,1),OFFSET($M$15,0,0,$B$8,1))=ED$14))   /   SUM(OFFSET($BO$15,0,0,$B$14,1)) + $B$18/($B$19*$B$19*($DN371&lt;&gt;$DO371) + $B$19*($DN371=$DO371))</f>
        <v>3.7037037037037035E-4</v>
      </c>
      <c r="EE371" s="10" cm="1">
        <f t="array" aca="1" ref="EE371" ca="1">(1-$B$18)*SUMPRODUCT(OFFSET($BO$15,0,0,$B$14,1), 1*(_xlfn._xlws.FILTER(OFFSET($O$15,0,$DN371,$B$8,1),OFFSET($M$15,0,0,$B$8,1))=EE$13), 1*(_xlfn._xlws.FILTER(OFFSET($O$15,0,$DO371,$B$8,1),OFFSET($M$15,0,0,$B$8,1))=EE$14))   /   SUM(OFFSET($BO$15,0,0,$B$14,1)) + $B$18/($B$19*$B$19*($DN371&lt;&gt;$DO371) + $B$19*($DN371=$DO371))</f>
        <v>3.7037037037037035E-4</v>
      </c>
      <c r="EF371" s="10" cm="1">
        <f t="array" aca="1" ref="EF371" ca="1">(1-$B$18)*SUMPRODUCT(OFFSET($BO$15,0,0,$B$14,1), 1*(_xlfn._xlws.FILTER(OFFSET($O$15,0,$DN371,$B$8,1),OFFSET($M$15,0,0,$B$8,1))=EF$13), 1*(_xlfn._xlws.FILTER(OFFSET($O$15,0,$DO371,$B$8,1),OFFSET($M$15,0,0,$B$8,1))=EF$14))   /   SUM(OFFSET($BO$15,0,0,$B$14,1)) + $B$18/($B$19*$B$19*($DN371&lt;&gt;$DO371) + $B$19*($DN371=$DO371))</f>
        <v>3.7037037037037035E-4</v>
      </c>
      <c r="EG371" s="10" cm="1">
        <f t="array" aca="1" ref="EG371" ca="1">(1-$B$18)*SUMPRODUCT(OFFSET($BO$15,0,0,$B$14,1), 1*(_xlfn._xlws.FILTER(OFFSET($O$15,0,$DN371,$B$8,1),OFFSET($M$15,0,0,$B$8,1))=EG$13), 1*(_xlfn._xlws.FILTER(OFFSET($O$15,0,$DO371,$B$8,1),OFFSET($M$15,0,0,$B$8,1))=EG$14))   /   SUM(OFFSET($BO$15,0,0,$B$14,1)) + $B$18/($B$19*$B$19*($DN371&lt;&gt;$DO371) + $B$19*($DN371=$DO371))</f>
        <v>3.7037037037037035E-4</v>
      </c>
      <c r="EH371" s="10" cm="1">
        <f t="array" aca="1" ref="EH371" ca="1">(1-$B$18)*SUMPRODUCT(OFFSET($BO$15,0,0,$B$14,1), 1*(_xlfn._xlws.FILTER(OFFSET($O$15,0,$DN371,$B$8,1),OFFSET($M$15,0,0,$B$8,1))=EH$13), 1*(_xlfn._xlws.FILTER(OFFSET($O$15,0,$DO371,$B$8,1),OFFSET($M$15,0,0,$B$8,1))=EH$14))   /   SUM(OFFSET($BO$15,0,0,$B$14,1)) + $B$18/($B$19*$B$19*($DN371&lt;&gt;$DO371) + $B$19*($DN371=$DO371))</f>
        <v>3.7037037037037035E-4</v>
      </c>
      <c r="EI371" s="10" cm="1">
        <f t="array" aca="1" ref="EI371" ca="1">(1-$B$18)*SUMPRODUCT(OFFSET($BO$15,0,0,$B$14,1), 1*(_xlfn._xlws.FILTER(OFFSET($O$15,0,$DN371,$B$8,1),OFFSET($M$15,0,0,$B$8,1))=EI$13), 1*(_xlfn._xlws.FILTER(OFFSET($O$15,0,$DO371,$B$8,1),OFFSET($M$15,0,0,$B$8,1))=EI$14))   /   SUM(OFFSET($BO$15,0,0,$B$14,1)) + $B$18/($B$19*$B$19*($DN371&lt;&gt;$DO371) + $B$19*($DN371=$DO371))</f>
        <v>3.7037037037037035E-4</v>
      </c>
      <c r="EJ371" s="10" cm="1">
        <f t="array" aca="1" ref="EJ371" ca="1">(1-$B$18)*SUMPRODUCT(OFFSET($BO$15,0,0,$B$14,1), 1*(_xlfn._xlws.FILTER(OFFSET($O$15,0,$DN371,$B$8,1),OFFSET($M$15,0,0,$B$8,1))=EJ$13), 1*(_xlfn._xlws.FILTER(OFFSET($O$15,0,$DO371,$B$8,1),OFFSET($M$15,0,0,$B$8,1))=EJ$14))   /   SUM(OFFSET($BO$15,0,0,$B$14,1)) + $B$18/($B$19*$B$19*($DN371&lt;&gt;$DO371) + $B$19*($DN371=$DO371))</f>
        <v>3.7037037037037035E-4</v>
      </c>
      <c r="EK371" s="10" cm="1">
        <f t="array" aca="1" ref="EK371" ca="1">(1-$B$18)*SUMPRODUCT(OFFSET($BO$15,0,0,$B$14,1), 1*(_xlfn._xlws.FILTER(OFFSET($O$15,0,$DN371,$B$8,1),OFFSET($M$15,0,0,$B$8,1))=EK$13), 1*(_xlfn._xlws.FILTER(OFFSET($O$15,0,$DO371,$B$8,1),OFFSET($M$15,0,0,$B$8,1))=EK$14))   /   SUM(OFFSET($BO$15,0,0,$B$14,1)) + $B$18/($B$19*$B$19*($DN371&lt;&gt;$DO371) + $B$19*($DN371=$DO371))</f>
        <v>3.7037037037037035E-4</v>
      </c>
      <c r="EL371" s="10" cm="1">
        <f t="array" aca="1" ref="EL371" ca="1">(1-$B$18)*SUMPRODUCT(OFFSET($BO$15,0,0,$B$14,1), 1*(_xlfn._xlws.FILTER(OFFSET($O$15,0,$DN371,$B$8,1),OFFSET($M$15,0,0,$B$8,1))=EL$13), 1*(_xlfn._xlws.FILTER(OFFSET($O$15,0,$DO371,$B$8,1),OFFSET($M$15,0,0,$B$8,1))=EL$14))   /   SUM(OFFSET($BO$15,0,0,$B$14,1)) + $B$18/($B$19*$B$19*($DN371&lt;&gt;$DO371) + $B$19*($DN371=$DO371))</f>
        <v>3.7037037037037035E-4</v>
      </c>
      <c r="EM371" s="10" cm="1">
        <f t="array" aca="1" ref="EM371" ca="1">(1-$B$18)*SUMPRODUCT(OFFSET($BO$15,0,0,$B$14,1), 1*(_xlfn._xlws.FILTER(OFFSET($O$15,0,$DN371,$B$8,1),OFFSET($M$15,0,0,$B$8,1))=EM$13), 1*(_xlfn._xlws.FILTER(OFFSET($O$15,0,$DO371,$B$8,1),OFFSET($M$15,0,0,$B$8,1))=EM$14))   /   SUM(OFFSET($BO$15,0,0,$B$14,1)) + $B$18/($B$19*$B$19*($DN371&lt;&gt;$DO371) + $B$19*($DN371=$DO371))</f>
        <v>3.7037037037037035E-4</v>
      </c>
      <c r="EN371" s="10" cm="1">
        <f t="array" aca="1" ref="EN371" ca="1">(1-$B$18)*SUMPRODUCT(OFFSET($BO$15,0,0,$B$14,1), 1*(_xlfn._xlws.FILTER(OFFSET($O$15,0,$DN371,$B$8,1),OFFSET($M$15,0,0,$B$8,1))=EN$13), 1*(_xlfn._xlws.FILTER(OFFSET($O$15,0,$DO371,$B$8,1),OFFSET($M$15,0,0,$B$8,1))=EN$14))   /   SUM(OFFSET($BO$15,0,0,$B$14,1)) + $B$18/($B$19*$B$19*($DN371&lt;&gt;$DO371) + $B$19*($DN371=$DO371))</f>
        <v>3.7037037037037035E-4</v>
      </c>
      <c r="EO371" s="10" cm="1">
        <f t="array" aca="1" ref="EO371" ca="1">(1-$B$18)*SUMPRODUCT(OFFSET($BO$15,0,0,$B$14,1), 1*(_xlfn._xlws.FILTER(OFFSET($O$15,0,$DN371,$B$8,1),OFFSET($M$15,0,0,$B$8,1))=EO$13), 1*(_xlfn._xlws.FILTER(OFFSET($O$15,0,$DO371,$B$8,1),OFFSET($M$15,0,0,$B$8,1))=EO$14))   /   SUM(OFFSET($BO$15,0,0,$B$14,1)) + $B$18/($B$19*$B$19*($DN371&lt;&gt;$DO371) + $B$19*($DN371=$DO371))</f>
        <v>3.7037037037037035E-4</v>
      </c>
      <c r="EP371" s="10" cm="1">
        <f t="array" aca="1" ref="EP371" ca="1">(1-$B$18)*SUMPRODUCT(OFFSET($BO$15,0,0,$B$14,1), 1*(_xlfn._xlws.FILTER(OFFSET($O$15,0,$DN371,$B$8,1),OFFSET($M$15,0,0,$B$8,1))=EP$13), 1*(_xlfn._xlws.FILTER(OFFSET($O$15,0,$DO371,$B$8,1),OFFSET($M$15,0,0,$B$8,1))=EP$14))   /   SUM(OFFSET($BO$15,0,0,$B$14,1)) + $B$18/($B$19*$B$19*($DN371&lt;&gt;$DO371) + $B$19*($DN371=$DO371))</f>
        <v>3.7037037037037035E-4</v>
      </c>
      <c r="EQ371" s="10" cm="1">
        <f t="array" aca="1" ref="EQ371" ca="1">(1-$B$18)*SUMPRODUCT(OFFSET($BO$15,0,0,$B$14,1), 1*(_xlfn._xlws.FILTER(OFFSET($O$15,0,$DN371,$B$8,1),OFFSET($M$15,0,0,$B$8,1))=EQ$13), 1*(_xlfn._xlws.FILTER(OFFSET($O$15,0,$DO371,$B$8,1),OFFSET($M$15,0,0,$B$8,1))=EQ$14))   /   SUM(OFFSET($BO$15,0,0,$B$14,1)) + $B$18/($B$19*$B$19*($DN371&lt;&gt;$DO371) + $B$19*($DN371=$DO371))</f>
        <v>3.7037037037037035E-4</v>
      </c>
      <c r="ER371" s="10" cm="1">
        <f t="array" aca="1" ref="ER371" ca="1">(1-$B$18)*SUMPRODUCT(OFFSET($BO$15,0,0,$B$14,1), 1*(_xlfn._xlws.FILTER(OFFSET($O$15,0,$DN371,$B$8,1),OFFSET($M$15,0,0,$B$8,1))=ER$13), 1*(_xlfn._xlws.FILTER(OFFSET($O$15,0,$DO371,$B$8,1),OFFSET($M$15,0,0,$B$8,1))=ER$14))   /   SUM(OFFSET($BO$15,0,0,$B$14,1)) + $B$18/($B$19*$B$19*($DN371&lt;&gt;$DO371) + $B$19*($DN371=$DO371))</f>
        <v>3.7037037037037035E-4</v>
      </c>
      <c r="ES371" s="10" cm="1">
        <f t="array" aca="1" ref="ES371" ca="1">(1-$B$18)*SUMPRODUCT(OFFSET($BO$15,0,0,$B$14,1), 1*(_xlfn._xlws.FILTER(OFFSET($O$15,0,$DN371,$B$8,1),OFFSET($M$15,0,0,$B$8,1))=ES$13), 1*(_xlfn._xlws.FILTER(OFFSET($O$15,0,$DO371,$B$8,1),OFFSET($M$15,0,0,$B$8,1))=ES$14))   /   SUM(OFFSET($BO$15,0,0,$B$14,1)) + $B$18/($B$19*$B$19*($DN371&lt;&gt;$DO371) + $B$19*($DN371=$DO371))</f>
        <v>3.7037037037037035E-4</v>
      </c>
      <c r="ET371" s="10" cm="1">
        <f t="array" aca="1" ref="ET371" ca="1">(1-$B$18)*SUMPRODUCT(OFFSET($BO$15,0,0,$B$14,1), 1*(_xlfn._xlws.FILTER(OFFSET($O$15,0,$DN371,$B$8,1),OFFSET($M$15,0,0,$B$8,1))=ET$13), 1*(_xlfn._xlws.FILTER(OFFSET($O$15,0,$DO371,$B$8,1),OFFSET($M$15,0,0,$B$8,1))=ET$14))   /   SUM(OFFSET($BO$15,0,0,$B$14,1)) + $B$18/($B$19*$B$19*($DN371&lt;&gt;$DO371) + $B$19*($DN371=$DO371))</f>
        <v>3.7037037037037035E-4</v>
      </c>
      <c r="EU371" s="10" cm="1">
        <f t="array" aca="1" ref="EU371" ca="1">(1-$B$18)*SUMPRODUCT(OFFSET($BO$15,0,0,$B$14,1), 1*(_xlfn._xlws.FILTER(OFFSET($O$15,0,$DN371,$B$8,1),OFFSET($M$15,0,0,$B$8,1))=EU$13), 1*(_xlfn._xlws.FILTER(OFFSET($O$15,0,$DO371,$B$8,1),OFFSET($M$15,0,0,$B$8,1))=EU$14))   /   SUM(OFFSET($BO$15,0,0,$B$14,1)) + $B$18/($B$19*$B$19*($DN371&lt;&gt;$DO371) + $B$19*($DN371=$DO371))</f>
        <v>3.7037037037037035E-4</v>
      </c>
      <c r="EV371" s="10" cm="1">
        <f t="array" aca="1" ref="EV371" ca="1">(1-$B$18)*SUMPRODUCT(OFFSET($BO$15,0,0,$B$14,1), 1*(_xlfn._xlws.FILTER(OFFSET($O$15,0,$DN371,$B$8,1),OFFSET($M$15,0,0,$B$8,1))=EV$13), 1*(_xlfn._xlws.FILTER(OFFSET($O$15,0,$DO371,$B$8,1),OFFSET($M$15,0,0,$B$8,1))=EV$14))   /   SUM(OFFSET($BO$15,0,0,$B$14,1)) + $B$18/($B$19*$B$19*($DN371&lt;&gt;$DO371) + $B$19*($DN371=$DO371))</f>
        <v>3.7037037037037035E-4</v>
      </c>
      <c r="EW371" s="10" cm="1">
        <f t="array" aca="1" ref="EW371" ca="1">(1-$B$18)*SUMPRODUCT(OFFSET($BO$15,0,0,$B$14,1), 1*(_xlfn._xlws.FILTER(OFFSET($O$15,0,$DN371,$B$8,1),OFFSET($M$15,0,0,$B$8,1))=EW$13), 1*(_xlfn._xlws.FILTER(OFFSET($O$15,0,$DO371,$B$8,1),OFFSET($M$15,0,0,$B$8,1))=EW$14))   /   SUM(OFFSET($BO$15,0,0,$B$14,1)) + $B$18/($B$19*$B$19*($DN371&lt;&gt;$DO371) + $B$19*($DN371=$DO371))</f>
        <v>3.7037037037037035E-4</v>
      </c>
      <c r="EX371" s="10" cm="1">
        <f t="array" aca="1" ref="EX371" ca="1">(1-$B$18)*SUMPRODUCT(OFFSET($BO$15,0,0,$B$14,1), 1*(_xlfn._xlws.FILTER(OFFSET($O$15,0,$DN371,$B$8,1),OFFSET($M$15,0,0,$B$8,1))=EX$13), 1*(_xlfn._xlws.FILTER(OFFSET($O$15,0,$DO371,$B$8,1),OFFSET($M$15,0,0,$B$8,1))=EX$14))   /   SUM(OFFSET($BO$15,0,0,$B$14,1)) + $B$18/($B$19*$B$19*($DN371&lt;&gt;$DO371) + $B$19*($DN371=$DO371))</f>
        <v>0.24287037037037024</v>
      </c>
      <c r="EY371" s="10" cm="1">
        <f t="array" aca="1" ref="EY371" ca="1">(1-$B$18)*SUMPRODUCT(OFFSET($BO$15,0,0,$B$14,1), 1*(_xlfn._xlws.FILTER(OFFSET($O$15,0,$DN371,$B$8,1),OFFSET($M$15,0,0,$B$8,1))=EY$13), 1*(_xlfn._xlws.FILTER(OFFSET($O$15,0,$DO371,$B$8,1),OFFSET($M$15,0,0,$B$8,1))=EY$14))   /   SUM(OFFSET($BO$15,0,0,$B$14,1)) + $B$18/($B$19*$B$19*($DN371&lt;&gt;$DO371) + $B$19*($DN371=$DO371))</f>
        <v>3.7037037037037035E-4</v>
      </c>
      <c r="EZ371" s="10" cm="1">
        <f t="array" aca="1" ref="EZ371" ca="1">(1-$B$18)*SUMPRODUCT(OFFSET($BO$15,0,0,$B$14,1), 1*(_xlfn._xlws.FILTER(OFFSET($O$15,0,$DN371,$B$8,1),OFFSET($M$15,0,0,$B$8,1))=EZ$13), 1*(_xlfn._xlws.FILTER(OFFSET($O$15,0,$DO371,$B$8,1),OFFSET($M$15,0,0,$B$8,1))=EZ$14))   /   SUM(OFFSET($BO$15,0,0,$B$14,1)) + $B$18/($B$19*$B$19*($DN371&lt;&gt;$DO371) + $B$19*($DN371=$DO371))</f>
        <v>3.7037037037037035E-4</v>
      </c>
      <c r="FA371" s="10" cm="1">
        <f t="array" aca="1" ref="FA371" ca="1">(1-$B$18)*SUMPRODUCT(OFFSET($BO$15,0,0,$B$14,1), 1*(_xlfn._xlws.FILTER(OFFSET($O$15,0,$DN371,$B$8,1),OFFSET($M$15,0,0,$B$8,1))=FA$13), 1*(_xlfn._xlws.FILTER(OFFSET($O$15,0,$DO371,$B$8,1),OFFSET($M$15,0,0,$B$8,1))=FA$14))   /   SUM(OFFSET($BO$15,0,0,$B$14,1)) + $B$18/($B$19*$B$19*($DN371&lt;&gt;$DO371) + $B$19*($DN371=$DO371))</f>
        <v>3.7037037037037035E-4</v>
      </c>
      <c r="FB371" s="10" cm="1">
        <f t="array" aca="1" ref="FB371" ca="1">(1-$B$18)*SUMPRODUCT(OFFSET($BO$15,0,0,$B$14,1), 1*(_xlfn._xlws.FILTER(OFFSET($O$15,0,$DN371,$B$8,1),OFFSET($M$15,0,0,$B$8,1))=FB$13), 1*(_xlfn._xlws.FILTER(OFFSET($O$15,0,$DO371,$B$8,1),OFFSET($M$15,0,0,$B$8,1))=FB$14))   /   SUM(OFFSET($BO$15,0,0,$B$14,1)) + $B$18/($B$19*$B$19*($DN371&lt;&gt;$DO371) + $B$19*($DN371=$DO371))</f>
        <v>3.7037037037037035E-4</v>
      </c>
      <c r="FC371" s="10" cm="1">
        <f t="array" aca="1" ref="FC371" ca="1">(1-$B$18)*SUMPRODUCT(OFFSET($BO$15,0,0,$B$14,1), 1*(_xlfn._xlws.FILTER(OFFSET($O$15,0,$DN371,$B$8,1),OFFSET($M$15,0,0,$B$8,1))=FC$13), 1*(_xlfn._xlws.FILTER(OFFSET($O$15,0,$DO371,$B$8,1),OFFSET($M$15,0,0,$B$8,1))=FC$14))   /   SUM(OFFSET($BO$15,0,0,$B$14,1)) + $B$18/($B$19*$B$19*($DN371&lt;&gt;$DO371) + $B$19*($DN371=$DO371))</f>
        <v>3.7037037037037035E-4</v>
      </c>
      <c r="FD371" s="10" cm="1">
        <f t="array" aca="1" ref="FD371" ca="1">(1-$B$18)*SUMPRODUCT(OFFSET($BO$15,0,0,$B$14,1), 1*(_xlfn._xlws.FILTER(OFFSET($O$15,0,$DN371,$B$8,1),OFFSET($M$15,0,0,$B$8,1))=FD$13), 1*(_xlfn._xlws.FILTER(OFFSET($O$15,0,$DO371,$B$8,1),OFFSET($M$15,0,0,$B$8,1))=FD$14))   /   SUM(OFFSET($BO$15,0,0,$B$14,1)) + $B$18/($B$19*$B$19*($DN371&lt;&gt;$DO371) + $B$19*($DN371=$DO371))</f>
        <v>3.7037037037037035E-4</v>
      </c>
      <c r="FE371" s="10" cm="1">
        <f t="array" aca="1" ref="FE371" ca="1">(1-$B$18)*SUMPRODUCT(OFFSET($BO$15,0,0,$B$14,1), 1*(_xlfn._xlws.FILTER(OFFSET($O$15,0,$DN371,$B$8,1),OFFSET($M$15,0,0,$B$8,1))=FE$13), 1*(_xlfn._xlws.FILTER(OFFSET($O$15,0,$DO371,$B$8,1),OFFSET($M$15,0,0,$B$8,1))=FE$14))   /   SUM(OFFSET($BO$15,0,0,$B$14,1)) + $B$18/($B$19*$B$19*($DN371&lt;&gt;$DO371) + $B$19*($DN371=$DO371))</f>
        <v>3.7037037037037035E-4</v>
      </c>
      <c r="FF371" s="10" cm="1">
        <f t="array" aca="1" ref="FF371" ca="1">(1-$B$18)*SUMPRODUCT(OFFSET($BO$15,0,0,$B$14,1), 1*(_xlfn._xlws.FILTER(OFFSET($O$15,0,$DN371,$B$8,1),OFFSET($M$15,0,0,$B$8,1))=FF$13), 1*(_xlfn._xlws.FILTER(OFFSET($O$15,0,$DO371,$B$8,1),OFFSET($M$15,0,0,$B$8,1))=FF$14))   /   SUM(OFFSET($BO$15,0,0,$B$14,1)) + $B$18/($B$19*$B$19*($DN371&lt;&gt;$DO371) + $B$19*($DN371=$DO371))</f>
        <v>0.48537037037037012</v>
      </c>
      <c r="FG371" s="10" cm="1">
        <f t="array" aca="1" ref="FG371" ca="1">(1-$B$18)*SUMPRODUCT(OFFSET($BO$15,0,0,$B$14,1), 1*(_xlfn._xlws.FILTER(OFFSET($O$15,0,$DN371,$B$8,1),OFFSET($M$15,0,0,$B$8,1))=FG$13), 1*(_xlfn._xlws.FILTER(OFFSET($O$15,0,$DO371,$B$8,1),OFFSET($M$15,0,0,$B$8,1))=FG$14))   /   SUM(OFFSET($BO$15,0,0,$B$14,1)) + $B$18/($B$19*$B$19*($DN371&lt;&gt;$DO371) + $B$19*($DN371=$DO371))</f>
        <v>3.7037037037037035E-4</v>
      </c>
      <c r="FH371" s="10" cm="1">
        <f t="array" aca="1" ref="FH371" ca="1">(1-$B$18)*SUMPRODUCT(OFFSET($BO$15,0,0,$B$14,1), 1*(_xlfn._xlws.FILTER(OFFSET($O$15,0,$DN371,$B$8,1),OFFSET($M$15,0,0,$B$8,1))=FH$13), 1*(_xlfn._xlws.FILTER(OFFSET($O$15,0,$DO371,$B$8,1),OFFSET($M$15,0,0,$B$8,1))=FH$14))   /   SUM(OFFSET($BO$15,0,0,$B$14,1)) + $B$18/($B$19*$B$19*($DN371&lt;&gt;$DO371) + $B$19*($DN371=$DO371))</f>
        <v>3.7037037037037035E-4</v>
      </c>
      <c r="FI371" s="10" cm="1">
        <f t="array" aca="1" ref="FI371" ca="1">(1-$B$18)*SUMPRODUCT(OFFSET($BO$15,0,0,$B$14,1), 1*(_xlfn._xlws.FILTER(OFFSET($O$15,0,$DN371,$B$8,1),OFFSET($M$15,0,0,$B$8,1))=FI$13), 1*(_xlfn._xlws.FILTER(OFFSET($O$15,0,$DO371,$B$8,1),OFFSET($M$15,0,0,$B$8,1))=FI$14))   /   SUM(OFFSET($BO$15,0,0,$B$14,1)) + $B$18/($B$19*$B$19*($DN371&lt;&gt;$DO371) + $B$19*($DN371=$DO371))</f>
        <v>3.7037037037037035E-4</v>
      </c>
      <c r="FJ371" s="10" cm="1">
        <f t="array" aca="1" ref="FJ371" ca="1">(1-$B$18)*SUMPRODUCT(OFFSET($BO$15,0,0,$B$14,1), 1*(_xlfn._xlws.FILTER(OFFSET($O$15,0,$DN371,$B$8,1),OFFSET($M$15,0,0,$B$8,1))=FJ$13), 1*(_xlfn._xlws.FILTER(OFFSET($O$15,0,$DO371,$B$8,1),OFFSET($M$15,0,0,$B$8,1))=FJ$14))   /   SUM(OFFSET($BO$15,0,0,$B$14,1)) + $B$18/($B$19*$B$19*($DN371&lt;&gt;$DO371) + $B$19*($DN371=$DO371))</f>
        <v>3.7037037037037035E-4</v>
      </c>
      <c r="FK371" s="10" cm="1">
        <f t="array" aca="1" ref="FK371" ca="1">(1-$B$18)*SUMPRODUCT(OFFSET($BO$15,0,0,$B$14,1), 1*(_xlfn._xlws.FILTER(OFFSET($O$15,0,$DN371,$B$8,1),OFFSET($M$15,0,0,$B$8,1))=FK$13), 1*(_xlfn._xlws.FILTER(OFFSET($O$15,0,$DO371,$B$8,1),OFFSET($M$15,0,0,$B$8,1))=FK$14))   /   SUM(OFFSET($BO$15,0,0,$B$14,1)) + $B$18/($B$19*$B$19*($DN371&lt;&gt;$DO371) + $B$19*($DN371=$DO371))</f>
        <v>3.7037037037037035E-4</v>
      </c>
      <c r="FL371" s="10" cm="1">
        <f t="array" aca="1" ref="FL371" ca="1">(1-$B$18)*SUMPRODUCT(OFFSET($BO$15,0,0,$B$14,1), 1*(_xlfn._xlws.FILTER(OFFSET($O$15,0,$DN371,$B$8,1),OFFSET($M$15,0,0,$B$8,1))=FL$13), 1*(_xlfn._xlws.FILTER(OFFSET($O$15,0,$DO371,$B$8,1),OFFSET($M$15,0,0,$B$8,1))=FL$14))   /   SUM(OFFSET($BO$15,0,0,$B$14,1)) + $B$18/($B$19*$B$19*($DN371&lt;&gt;$DO371) + $B$19*($DN371=$DO371))</f>
        <v>3.7037037037037035E-4</v>
      </c>
      <c r="FM371" s="10" cm="1">
        <f t="array" aca="1" ref="FM371" ca="1">(1-$B$18)*SUMPRODUCT(OFFSET($BO$15,0,0,$B$14,1), 1*(_xlfn._xlws.FILTER(OFFSET($O$15,0,$DN371,$B$8,1),OFFSET($M$15,0,0,$B$8,1))=FM$13), 1*(_xlfn._xlws.FILTER(OFFSET($O$15,0,$DO371,$B$8,1),OFFSET($M$15,0,0,$B$8,1))=FM$14))   /   SUM(OFFSET($BO$15,0,0,$B$14,1)) + $B$18/($B$19*$B$19*($DN371&lt;&gt;$DO371) + $B$19*($DN371=$DO371))</f>
        <v>3.7037037037037035E-4</v>
      </c>
      <c r="FN371" s="10" cm="1">
        <f t="array" aca="1" ref="FN371" ca="1">(1-$B$18)*SUMPRODUCT(OFFSET($BO$15,0,0,$B$14,1), 1*(_xlfn._xlws.FILTER(OFFSET($O$15,0,$DN371,$B$8,1),OFFSET($M$15,0,0,$B$8,1))=FN$13), 1*(_xlfn._xlws.FILTER(OFFSET($O$15,0,$DO371,$B$8,1),OFFSET($M$15,0,0,$B$8,1))=FN$14))   /   SUM(OFFSET($BO$15,0,0,$B$14,1)) + $B$18/($B$19*$B$19*($DN371&lt;&gt;$DO371) + $B$19*($DN371=$DO371))</f>
        <v>0.24287037037037026</v>
      </c>
      <c r="FO371" s="10" cm="1">
        <f t="array" aca="1" ref="FO371" ca="1">(1-$B$18)*SUMPRODUCT(OFFSET($BO$15,0,0,$B$14,1), 1*(_xlfn._xlws.FILTER(OFFSET($O$15,0,$DN371,$B$8,1),OFFSET($M$15,0,0,$B$8,1))=FO$13), 1*(_xlfn._xlws.FILTER(OFFSET($O$15,0,$DO371,$B$8,1),OFFSET($M$15,0,0,$B$8,1))=FO$14))   /   SUM(OFFSET($BO$15,0,0,$B$14,1)) + $B$18/($B$19*$B$19*($DN371&lt;&gt;$DO371) + $B$19*($DN371=$DO371))</f>
        <v>3.7037037037037035E-4</v>
      </c>
      <c r="FP371" s="10" cm="1">
        <f t="array" aca="1" ref="FP371" ca="1">(1-$B$18)*SUMPRODUCT(OFFSET($BO$15,0,0,$B$14,1), 1*(_xlfn._xlws.FILTER(OFFSET($O$15,0,$DN371,$B$8,1),OFFSET($M$15,0,0,$B$8,1))=FP$13), 1*(_xlfn._xlws.FILTER(OFFSET($O$15,0,$DO371,$B$8,1),OFFSET($M$15,0,0,$B$8,1))=FP$14))   /   SUM(OFFSET($BO$15,0,0,$B$14,1)) + $B$18/($B$19*$B$19*($DN371&lt;&gt;$DO371) + $B$19*($DN371=$DO371))</f>
        <v>3.7037037037037035E-4</v>
      </c>
      <c r="FQ371" s="10" cm="1">
        <f t="array" aca="1" ref="FQ371" ca="1">(1-$B$18)*SUMPRODUCT(OFFSET($BO$15,0,0,$B$14,1), 1*(_xlfn._xlws.FILTER(OFFSET($O$15,0,$DN371,$B$8,1),OFFSET($M$15,0,0,$B$8,1))=FQ$13), 1*(_xlfn._xlws.FILTER(OFFSET($O$15,0,$DO371,$B$8,1),OFFSET($M$15,0,0,$B$8,1))=FQ$14))   /   SUM(OFFSET($BO$15,0,0,$B$14,1)) + $B$18/($B$19*$B$19*($DN371&lt;&gt;$DO371) + $B$19*($DN371=$DO371))</f>
        <v>3.7037037037037035E-4</v>
      </c>
      <c r="FR371" s="10" cm="1">
        <f t="array" aca="1" ref="FR371" ca="1">(1-$B$18)*SUMPRODUCT(OFFSET($BO$15,0,0,$B$14,1), 1*(_xlfn._xlws.FILTER(OFFSET($O$15,0,$DN371,$B$8,1),OFFSET($M$15,0,0,$B$8,1))=FR$13), 1*(_xlfn._xlws.FILTER(OFFSET($O$15,0,$DO371,$B$8,1),OFFSET($M$15,0,0,$B$8,1))=FR$14))   /   SUM(OFFSET($BO$15,0,0,$B$14,1)) + $B$18/($B$19*$B$19*($DN371&lt;&gt;$DO371) + $B$19*($DN371=$DO371))</f>
        <v>3.7037037037037035E-4</v>
      </c>
      <c r="FS371" s="10" cm="1">
        <f t="array" aca="1" ref="FS371" ca="1">(1-$B$18)*SUMPRODUCT(OFFSET($BO$15,0,0,$B$14,1), 1*(_xlfn._xlws.FILTER(OFFSET($O$15,0,$DN371,$B$8,1),OFFSET($M$15,0,0,$B$8,1))=FS$13), 1*(_xlfn._xlws.FILTER(OFFSET($O$15,0,$DO371,$B$8,1),OFFSET($M$15,0,0,$B$8,1))=FS$14))   /   SUM(OFFSET($BO$15,0,0,$B$14,1)) + $B$18/($B$19*$B$19*($DN371&lt;&gt;$DO371) + $B$19*($DN371=$DO371))</f>
        <v>3.7037037037037035E-4</v>
      </c>
      <c r="FT371" s="10" cm="1">
        <f t="array" aca="1" ref="FT371" ca="1">(1-$B$18)*SUMPRODUCT(OFFSET($BO$15,0,0,$B$14,1), 1*(_xlfn._xlws.FILTER(OFFSET($O$15,0,$DN371,$B$8,1),OFFSET($M$15,0,0,$B$8,1))=FT$13), 1*(_xlfn._xlws.FILTER(OFFSET($O$15,0,$DO371,$B$8,1),OFFSET($M$15,0,0,$B$8,1))=FT$14))   /   SUM(OFFSET($BO$15,0,0,$B$14,1)) + $B$18/($B$19*$B$19*($DN371&lt;&gt;$DO371) + $B$19*($DN371=$DO371))</f>
        <v>3.7037037037037035E-4</v>
      </c>
      <c r="FU371" s="10" cm="1">
        <f t="array" aca="1" ref="FU371" ca="1">(1-$B$18)*SUMPRODUCT(OFFSET($BO$15,0,0,$B$14,1), 1*(_xlfn._xlws.FILTER(OFFSET($O$15,0,$DN371,$B$8,1),OFFSET($M$15,0,0,$B$8,1))=FU$13), 1*(_xlfn._xlws.FILTER(OFFSET($O$15,0,$DO371,$B$8,1),OFFSET($M$15,0,0,$B$8,1))=FU$14))   /   SUM(OFFSET($BO$15,0,0,$B$14,1)) + $B$18/($B$19*$B$19*($DN371&lt;&gt;$DO371) + $B$19*($DN371=$DO371))</f>
        <v>3.7037037037037035E-4</v>
      </c>
      <c r="FV371" s="10" cm="1">
        <f t="array" aca="1" ref="FV371" ca="1">(1-$B$18)*SUMPRODUCT(OFFSET($BO$15,0,0,$B$14,1), 1*(_xlfn._xlws.FILTER(OFFSET($O$15,0,$DN371,$B$8,1),OFFSET($M$15,0,0,$B$8,1))=FV$13), 1*(_xlfn._xlws.FILTER(OFFSET($O$15,0,$DO371,$B$8,1),OFFSET($M$15,0,0,$B$8,1))=FV$14))   /   SUM(OFFSET($BO$15,0,0,$B$14,1)) + $B$18/($B$19*$B$19*($DN371&lt;&gt;$DO371) + $B$19*($DN371=$DO371))</f>
        <v>3.7037037037037035E-4</v>
      </c>
      <c r="FW371" s="10" cm="1">
        <f t="array" aca="1" ref="FW371" ca="1">(1-$B$18)*SUMPRODUCT(OFFSET($BO$15,0,0,$B$14,1), 1*(_xlfn._xlws.FILTER(OFFSET($O$15,0,$DN371,$B$8,1),OFFSET($M$15,0,0,$B$8,1))=FW$13), 1*(_xlfn._xlws.FILTER(OFFSET($O$15,0,$DO371,$B$8,1),OFFSET($M$15,0,0,$B$8,1))=FW$14))   /   SUM(OFFSET($BO$15,0,0,$B$14,1)) + $B$18/($B$19*$B$19*($DN371&lt;&gt;$DO371) + $B$19*($DN371=$DO371))</f>
        <v>3.7037037037037035E-4</v>
      </c>
      <c r="FX371" s="10" cm="1">
        <f t="array" aca="1" ref="FX371" ca="1">(1-$B$18)*SUMPRODUCT(OFFSET($BO$15,0,0,$B$14,1), 1*(_xlfn._xlws.FILTER(OFFSET($O$15,0,$DN371,$B$8,1),OFFSET($M$15,0,0,$B$8,1))=FX$13), 1*(_xlfn._xlws.FILTER(OFFSET($O$15,0,$DO371,$B$8,1),OFFSET($M$15,0,0,$B$8,1))=FX$14))   /   SUM(OFFSET($BO$15,0,0,$B$14,1)) + $B$18/($B$19*$B$19*($DN371&lt;&gt;$DO371) + $B$19*($DN371=$DO371))</f>
        <v>3.7037037037037035E-4</v>
      </c>
      <c r="FY371" s="10" cm="1">
        <f t="array" aca="1" ref="FY371" ca="1">(1-$B$18)*SUMPRODUCT(OFFSET($BO$15,0,0,$B$14,1), 1*(_xlfn._xlws.FILTER(OFFSET($O$15,0,$DN371,$B$8,1),OFFSET($M$15,0,0,$B$8,1))=FY$13), 1*(_xlfn._xlws.FILTER(OFFSET($O$15,0,$DO371,$B$8,1),OFFSET($M$15,0,0,$B$8,1))=FY$14))   /   SUM(OFFSET($BO$15,0,0,$B$14,1)) + $B$18/($B$19*$B$19*($DN371&lt;&gt;$DO371) + $B$19*($DN371=$DO371))</f>
        <v>3.7037037037037035E-4</v>
      </c>
      <c r="FZ371" s="10" cm="1">
        <f t="array" aca="1" ref="FZ371" ca="1">(1-$B$18)*SUMPRODUCT(OFFSET($BO$15,0,0,$B$14,1), 1*(_xlfn._xlws.FILTER(OFFSET($O$15,0,$DN371,$B$8,1),OFFSET($M$15,0,0,$B$8,1))=FZ$13), 1*(_xlfn._xlws.FILTER(OFFSET($O$15,0,$DO371,$B$8,1),OFFSET($M$15,0,0,$B$8,1))=FZ$14))   /   SUM(OFFSET($BO$15,0,0,$B$14,1)) + $B$18/($B$19*$B$19*($DN371&lt;&gt;$DO371) + $B$19*($DN371=$DO371))</f>
        <v>3.7037037037037035E-4</v>
      </c>
      <c r="GA371" s="10" cm="1">
        <f t="array" aca="1" ref="GA371" ca="1">(1-$B$18)*SUMPRODUCT(OFFSET($BO$15,0,0,$B$14,1), 1*(_xlfn._xlws.FILTER(OFFSET($O$15,0,$DN371,$B$8,1),OFFSET($M$15,0,0,$B$8,1))=GA$13), 1*(_xlfn._xlws.FILTER(OFFSET($O$15,0,$DO371,$B$8,1),OFFSET($M$15,0,0,$B$8,1))=GA$14))   /   SUM(OFFSET($BO$15,0,0,$B$14,1)) + $B$18/($B$19*$B$19*($DN371&lt;&gt;$DO371) + $B$19*($DN371=$DO371))</f>
        <v>3.7037037037037035E-4</v>
      </c>
    </row>
    <row r="372" spans="118:183" x14ac:dyDescent="0.2">
      <c r="DN372" cm="1">
        <f t="array" aca="1" ref="DN372" ca="1">INDEX(_xlfn.ANCHORARRAY($CP$15), 1 + INT((ROWS($DO$15:$DO372) - 1) / ROWS(_xlfn.ANCHORARRAY($CP$15))))</f>
        <v>21</v>
      </c>
      <c r="DO372" cm="1">
        <f t="array" aca="1" ref="DO372" ca="1">INDEX(_xlfn.ANCHORARRAY($CP$15),1+MOD(ROWS($DO$15:$DO372)-1,ROWS(_xlfn.ANCHORARRAY($CP$15))))</f>
        <v>18</v>
      </c>
      <c r="DP372" s="10" cm="1">
        <f t="array" aca="1" ref="DP372" ca="1">(1-$B$18)*SUMPRODUCT(OFFSET($BO$15,0,0,$B$14,1), 1*(_xlfn._xlws.FILTER(OFFSET($O$15,0,$DN372,$B$8,1),OFFSET($M$15,0,0,$B$8,1))=DP$13), 1*(_xlfn._xlws.FILTER(OFFSET($O$15,0,$DO372,$B$8,1),OFFSET($M$15,0,0,$B$8,1))=DP$14))   /   SUM(OFFSET($BO$15,0,0,$B$14,1)) + $B$18/($B$19*$B$19*($DN372&lt;&gt;$DO372) + $B$19*($DN372=$DO372))</f>
        <v>3.7037037037037035E-4</v>
      </c>
      <c r="DQ372" s="10" cm="1">
        <f t="array" aca="1" ref="DQ372" ca="1">(1-$B$18)*SUMPRODUCT(OFFSET($BO$15,0,0,$B$14,1), 1*(_xlfn._xlws.FILTER(OFFSET($O$15,0,$DN372,$B$8,1),OFFSET($M$15,0,0,$B$8,1))=DQ$13), 1*(_xlfn._xlws.FILTER(OFFSET($O$15,0,$DO372,$B$8,1),OFFSET($M$15,0,0,$B$8,1))=DQ$14))   /   SUM(OFFSET($BO$15,0,0,$B$14,1)) + $B$18/($B$19*$B$19*($DN372&lt;&gt;$DO372) + $B$19*($DN372=$DO372))</f>
        <v>3.7037037037037035E-4</v>
      </c>
      <c r="DR372" s="10" cm="1">
        <f t="array" aca="1" ref="DR372" ca="1">(1-$B$18)*SUMPRODUCT(OFFSET($BO$15,0,0,$B$14,1), 1*(_xlfn._xlws.FILTER(OFFSET($O$15,0,$DN372,$B$8,1),OFFSET($M$15,0,0,$B$8,1))=DR$13), 1*(_xlfn._xlws.FILTER(OFFSET($O$15,0,$DO372,$B$8,1),OFFSET($M$15,0,0,$B$8,1))=DR$14))   /   SUM(OFFSET($BO$15,0,0,$B$14,1)) + $B$18/($B$19*$B$19*($DN372&lt;&gt;$DO372) + $B$19*($DN372=$DO372))</f>
        <v>3.7037037037037035E-4</v>
      </c>
      <c r="DS372" s="10" cm="1">
        <f t="array" aca="1" ref="DS372" ca="1">(1-$B$18)*SUMPRODUCT(OFFSET($BO$15,0,0,$B$14,1), 1*(_xlfn._xlws.FILTER(OFFSET($O$15,0,$DN372,$B$8,1),OFFSET($M$15,0,0,$B$8,1))=DS$13), 1*(_xlfn._xlws.FILTER(OFFSET($O$15,0,$DO372,$B$8,1),OFFSET($M$15,0,0,$B$8,1))=DS$14))   /   SUM(OFFSET($BO$15,0,0,$B$14,1)) + $B$18/($B$19*$B$19*($DN372&lt;&gt;$DO372) + $B$19*($DN372=$DO372))</f>
        <v>3.7037037037037035E-4</v>
      </c>
      <c r="DT372" s="10" cm="1">
        <f t="array" aca="1" ref="DT372" ca="1">(1-$B$18)*SUMPRODUCT(OFFSET($BO$15,0,0,$B$14,1), 1*(_xlfn._xlws.FILTER(OFFSET($O$15,0,$DN372,$B$8,1),OFFSET($M$15,0,0,$B$8,1))=DT$13), 1*(_xlfn._xlws.FILTER(OFFSET($O$15,0,$DO372,$B$8,1),OFFSET($M$15,0,0,$B$8,1))=DT$14))   /   SUM(OFFSET($BO$15,0,0,$B$14,1)) + $B$18/($B$19*$B$19*($DN372&lt;&gt;$DO372) + $B$19*($DN372=$DO372))</f>
        <v>3.7037037037037035E-4</v>
      </c>
      <c r="DU372" s="10" cm="1">
        <f t="array" aca="1" ref="DU372" ca="1">(1-$B$18)*SUMPRODUCT(OFFSET($BO$15,0,0,$B$14,1), 1*(_xlfn._xlws.FILTER(OFFSET($O$15,0,$DN372,$B$8,1),OFFSET($M$15,0,0,$B$8,1))=DU$13), 1*(_xlfn._xlws.FILTER(OFFSET($O$15,0,$DO372,$B$8,1),OFFSET($M$15,0,0,$B$8,1))=DU$14))   /   SUM(OFFSET($BO$15,0,0,$B$14,1)) + $B$18/($B$19*$B$19*($DN372&lt;&gt;$DO372) + $B$19*($DN372=$DO372))</f>
        <v>3.7037037037037035E-4</v>
      </c>
      <c r="DV372" s="10" cm="1">
        <f t="array" aca="1" ref="DV372" ca="1">(1-$B$18)*SUMPRODUCT(OFFSET($BO$15,0,0,$B$14,1), 1*(_xlfn._xlws.FILTER(OFFSET($O$15,0,$DN372,$B$8,1),OFFSET($M$15,0,0,$B$8,1))=DV$13), 1*(_xlfn._xlws.FILTER(OFFSET($O$15,0,$DO372,$B$8,1),OFFSET($M$15,0,0,$B$8,1))=DV$14))   /   SUM(OFFSET($BO$15,0,0,$B$14,1)) + $B$18/($B$19*$B$19*($DN372&lt;&gt;$DO372) + $B$19*($DN372=$DO372))</f>
        <v>3.7037037037037035E-4</v>
      </c>
      <c r="DW372" s="10" cm="1">
        <f t="array" aca="1" ref="DW372" ca="1">(1-$B$18)*SUMPRODUCT(OFFSET($BO$15,0,0,$B$14,1), 1*(_xlfn._xlws.FILTER(OFFSET($O$15,0,$DN372,$B$8,1),OFFSET($M$15,0,0,$B$8,1))=DW$13), 1*(_xlfn._xlws.FILTER(OFFSET($O$15,0,$DO372,$B$8,1),OFFSET($M$15,0,0,$B$8,1))=DW$14))   /   SUM(OFFSET($BO$15,0,0,$B$14,1)) + $B$18/($B$19*$B$19*($DN372&lt;&gt;$DO372) + $B$19*($DN372=$DO372))</f>
        <v>3.7037037037037035E-4</v>
      </c>
      <c r="DX372" s="10" cm="1">
        <f t="array" aca="1" ref="DX372" ca="1">(1-$B$18)*SUMPRODUCT(OFFSET($BO$15,0,0,$B$14,1), 1*(_xlfn._xlws.FILTER(OFFSET($O$15,0,$DN372,$B$8,1),OFFSET($M$15,0,0,$B$8,1))=DX$13), 1*(_xlfn._xlws.FILTER(OFFSET($O$15,0,$DO372,$B$8,1),OFFSET($M$15,0,0,$B$8,1))=DX$14))   /   SUM(OFFSET($BO$15,0,0,$B$14,1)) + $B$18/($B$19*$B$19*($DN372&lt;&gt;$DO372) + $B$19*($DN372=$DO372))</f>
        <v>3.7037037037037035E-4</v>
      </c>
      <c r="DY372" s="10" cm="1">
        <f t="array" aca="1" ref="DY372" ca="1">(1-$B$18)*SUMPRODUCT(OFFSET($BO$15,0,0,$B$14,1), 1*(_xlfn._xlws.FILTER(OFFSET($O$15,0,$DN372,$B$8,1),OFFSET($M$15,0,0,$B$8,1))=DY$13), 1*(_xlfn._xlws.FILTER(OFFSET($O$15,0,$DO372,$B$8,1),OFFSET($M$15,0,0,$B$8,1))=DY$14))   /   SUM(OFFSET($BO$15,0,0,$B$14,1)) + $B$18/($B$19*$B$19*($DN372&lt;&gt;$DO372) + $B$19*($DN372=$DO372))</f>
        <v>3.7037037037037035E-4</v>
      </c>
      <c r="DZ372" s="10" cm="1">
        <f t="array" aca="1" ref="DZ372" ca="1">(1-$B$18)*SUMPRODUCT(OFFSET($BO$15,0,0,$B$14,1), 1*(_xlfn._xlws.FILTER(OFFSET($O$15,0,$DN372,$B$8,1),OFFSET($M$15,0,0,$B$8,1))=DZ$13), 1*(_xlfn._xlws.FILTER(OFFSET($O$15,0,$DO372,$B$8,1),OFFSET($M$15,0,0,$B$8,1))=DZ$14))   /   SUM(OFFSET($BO$15,0,0,$B$14,1)) + $B$18/($B$19*$B$19*($DN372&lt;&gt;$DO372) + $B$19*($DN372=$DO372))</f>
        <v>3.7037037037037035E-4</v>
      </c>
      <c r="EA372" s="10" cm="1">
        <f t="array" aca="1" ref="EA372" ca="1">(1-$B$18)*SUMPRODUCT(OFFSET($BO$15,0,0,$B$14,1), 1*(_xlfn._xlws.FILTER(OFFSET($O$15,0,$DN372,$B$8,1),OFFSET($M$15,0,0,$B$8,1))=EA$13), 1*(_xlfn._xlws.FILTER(OFFSET($O$15,0,$DO372,$B$8,1),OFFSET($M$15,0,0,$B$8,1))=EA$14))   /   SUM(OFFSET($BO$15,0,0,$B$14,1)) + $B$18/($B$19*$B$19*($DN372&lt;&gt;$DO372) + $B$19*($DN372=$DO372))</f>
        <v>3.7037037037037035E-4</v>
      </c>
      <c r="EB372" s="10" cm="1">
        <f t="array" aca="1" ref="EB372" ca="1">(1-$B$18)*SUMPRODUCT(OFFSET($BO$15,0,0,$B$14,1), 1*(_xlfn._xlws.FILTER(OFFSET($O$15,0,$DN372,$B$8,1),OFFSET($M$15,0,0,$B$8,1))=EB$13), 1*(_xlfn._xlws.FILTER(OFFSET($O$15,0,$DO372,$B$8,1),OFFSET($M$15,0,0,$B$8,1))=EB$14))   /   SUM(OFFSET($BO$15,0,0,$B$14,1)) + $B$18/($B$19*$B$19*($DN372&lt;&gt;$DO372) + $B$19*($DN372=$DO372))</f>
        <v>3.7037037037037035E-4</v>
      </c>
      <c r="EC372" s="10" cm="1">
        <f t="array" aca="1" ref="EC372" ca="1">(1-$B$18)*SUMPRODUCT(OFFSET($BO$15,0,0,$B$14,1), 1*(_xlfn._xlws.FILTER(OFFSET($O$15,0,$DN372,$B$8,1),OFFSET($M$15,0,0,$B$8,1))=EC$13), 1*(_xlfn._xlws.FILTER(OFFSET($O$15,0,$DO372,$B$8,1),OFFSET($M$15,0,0,$B$8,1))=EC$14))   /   SUM(OFFSET($BO$15,0,0,$B$14,1)) + $B$18/($B$19*$B$19*($DN372&lt;&gt;$DO372) + $B$19*($DN372=$DO372))</f>
        <v>3.7037037037037035E-4</v>
      </c>
      <c r="ED372" s="10" cm="1">
        <f t="array" aca="1" ref="ED372" ca="1">(1-$B$18)*SUMPRODUCT(OFFSET($BO$15,0,0,$B$14,1), 1*(_xlfn._xlws.FILTER(OFFSET($O$15,0,$DN372,$B$8,1),OFFSET($M$15,0,0,$B$8,1))=ED$13), 1*(_xlfn._xlws.FILTER(OFFSET($O$15,0,$DO372,$B$8,1),OFFSET($M$15,0,0,$B$8,1))=ED$14))   /   SUM(OFFSET($BO$15,0,0,$B$14,1)) + $B$18/($B$19*$B$19*($DN372&lt;&gt;$DO372) + $B$19*($DN372=$DO372))</f>
        <v>3.7037037037037035E-4</v>
      </c>
      <c r="EE372" s="10" cm="1">
        <f t="array" aca="1" ref="EE372" ca="1">(1-$B$18)*SUMPRODUCT(OFFSET($BO$15,0,0,$B$14,1), 1*(_xlfn._xlws.FILTER(OFFSET($O$15,0,$DN372,$B$8,1),OFFSET($M$15,0,0,$B$8,1))=EE$13), 1*(_xlfn._xlws.FILTER(OFFSET($O$15,0,$DO372,$B$8,1),OFFSET($M$15,0,0,$B$8,1))=EE$14))   /   SUM(OFFSET($BO$15,0,0,$B$14,1)) + $B$18/($B$19*$B$19*($DN372&lt;&gt;$DO372) + $B$19*($DN372=$DO372))</f>
        <v>3.7037037037037035E-4</v>
      </c>
      <c r="EF372" s="10" cm="1">
        <f t="array" aca="1" ref="EF372" ca="1">(1-$B$18)*SUMPRODUCT(OFFSET($BO$15,0,0,$B$14,1), 1*(_xlfn._xlws.FILTER(OFFSET($O$15,0,$DN372,$B$8,1),OFFSET($M$15,0,0,$B$8,1))=EF$13), 1*(_xlfn._xlws.FILTER(OFFSET($O$15,0,$DO372,$B$8,1),OFFSET($M$15,0,0,$B$8,1))=EF$14))   /   SUM(OFFSET($BO$15,0,0,$B$14,1)) + $B$18/($B$19*$B$19*($DN372&lt;&gt;$DO372) + $B$19*($DN372=$DO372))</f>
        <v>3.7037037037037035E-4</v>
      </c>
      <c r="EG372" s="10" cm="1">
        <f t="array" aca="1" ref="EG372" ca="1">(1-$B$18)*SUMPRODUCT(OFFSET($BO$15,0,0,$B$14,1), 1*(_xlfn._xlws.FILTER(OFFSET($O$15,0,$DN372,$B$8,1),OFFSET($M$15,0,0,$B$8,1))=EG$13), 1*(_xlfn._xlws.FILTER(OFFSET($O$15,0,$DO372,$B$8,1),OFFSET($M$15,0,0,$B$8,1))=EG$14))   /   SUM(OFFSET($BO$15,0,0,$B$14,1)) + $B$18/($B$19*$B$19*($DN372&lt;&gt;$DO372) + $B$19*($DN372=$DO372))</f>
        <v>3.7037037037037035E-4</v>
      </c>
      <c r="EH372" s="10" cm="1">
        <f t="array" aca="1" ref="EH372" ca="1">(1-$B$18)*SUMPRODUCT(OFFSET($BO$15,0,0,$B$14,1), 1*(_xlfn._xlws.FILTER(OFFSET($O$15,0,$DN372,$B$8,1),OFFSET($M$15,0,0,$B$8,1))=EH$13), 1*(_xlfn._xlws.FILTER(OFFSET($O$15,0,$DO372,$B$8,1),OFFSET($M$15,0,0,$B$8,1))=EH$14))   /   SUM(OFFSET($BO$15,0,0,$B$14,1)) + $B$18/($B$19*$B$19*($DN372&lt;&gt;$DO372) + $B$19*($DN372=$DO372))</f>
        <v>3.7037037037037035E-4</v>
      </c>
      <c r="EI372" s="10" cm="1">
        <f t="array" aca="1" ref="EI372" ca="1">(1-$B$18)*SUMPRODUCT(OFFSET($BO$15,0,0,$B$14,1), 1*(_xlfn._xlws.FILTER(OFFSET($O$15,0,$DN372,$B$8,1),OFFSET($M$15,0,0,$B$8,1))=EI$13), 1*(_xlfn._xlws.FILTER(OFFSET($O$15,0,$DO372,$B$8,1),OFFSET($M$15,0,0,$B$8,1))=EI$14))   /   SUM(OFFSET($BO$15,0,0,$B$14,1)) + $B$18/($B$19*$B$19*($DN372&lt;&gt;$DO372) + $B$19*($DN372=$DO372))</f>
        <v>3.7037037037037035E-4</v>
      </c>
      <c r="EJ372" s="10" cm="1">
        <f t="array" aca="1" ref="EJ372" ca="1">(1-$B$18)*SUMPRODUCT(OFFSET($BO$15,0,0,$B$14,1), 1*(_xlfn._xlws.FILTER(OFFSET($O$15,0,$DN372,$B$8,1),OFFSET($M$15,0,0,$B$8,1))=EJ$13), 1*(_xlfn._xlws.FILTER(OFFSET($O$15,0,$DO372,$B$8,1),OFFSET($M$15,0,0,$B$8,1))=EJ$14))   /   SUM(OFFSET($BO$15,0,0,$B$14,1)) + $B$18/($B$19*$B$19*($DN372&lt;&gt;$DO372) + $B$19*($DN372=$DO372))</f>
        <v>3.7037037037037035E-4</v>
      </c>
      <c r="EK372" s="10" cm="1">
        <f t="array" aca="1" ref="EK372" ca="1">(1-$B$18)*SUMPRODUCT(OFFSET($BO$15,0,0,$B$14,1), 1*(_xlfn._xlws.FILTER(OFFSET($O$15,0,$DN372,$B$8,1),OFFSET($M$15,0,0,$B$8,1))=EK$13), 1*(_xlfn._xlws.FILTER(OFFSET($O$15,0,$DO372,$B$8,1),OFFSET($M$15,0,0,$B$8,1))=EK$14))   /   SUM(OFFSET($BO$15,0,0,$B$14,1)) + $B$18/($B$19*$B$19*($DN372&lt;&gt;$DO372) + $B$19*($DN372=$DO372))</f>
        <v>3.7037037037037035E-4</v>
      </c>
      <c r="EL372" s="10" cm="1">
        <f t="array" aca="1" ref="EL372" ca="1">(1-$B$18)*SUMPRODUCT(OFFSET($BO$15,0,0,$B$14,1), 1*(_xlfn._xlws.FILTER(OFFSET($O$15,0,$DN372,$B$8,1),OFFSET($M$15,0,0,$B$8,1))=EL$13), 1*(_xlfn._xlws.FILTER(OFFSET($O$15,0,$DO372,$B$8,1),OFFSET($M$15,0,0,$B$8,1))=EL$14))   /   SUM(OFFSET($BO$15,0,0,$B$14,1)) + $B$18/($B$19*$B$19*($DN372&lt;&gt;$DO372) + $B$19*($DN372=$DO372))</f>
        <v>3.7037037037037035E-4</v>
      </c>
      <c r="EM372" s="10" cm="1">
        <f t="array" aca="1" ref="EM372" ca="1">(1-$B$18)*SUMPRODUCT(OFFSET($BO$15,0,0,$B$14,1), 1*(_xlfn._xlws.FILTER(OFFSET($O$15,0,$DN372,$B$8,1),OFFSET($M$15,0,0,$B$8,1))=EM$13), 1*(_xlfn._xlws.FILTER(OFFSET($O$15,0,$DO372,$B$8,1),OFFSET($M$15,0,0,$B$8,1))=EM$14))   /   SUM(OFFSET($BO$15,0,0,$B$14,1)) + $B$18/($B$19*$B$19*($DN372&lt;&gt;$DO372) + $B$19*($DN372=$DO372))</f>
        <v>3.7037037037037035E-4</v>
      </c>
      <c r="EN372" s="10" cm="1">
        <f t="array" aca="1" ref="EN372" ca="1">(1-$B$18)*SUMPRODUCT(OFFSET($BO$15,0,0,$B$14,1), 1*(_xlfn._xlws.FILTER(OFFSET($O$15,0,$DN372,$B$8,1),OFFSET($M$15,0,0,$B$8,1))=EN$13), 1*(_xlfn._xlws.FILTER(OFFSET($O$15,0,$DO372,$B$8,1),OFFSET($M$15,0,0,$B$8,1))=EN$14))   /   SUM(OFFSET($BO$15,0,0,$B$14,1)) + $B$18/($B$19*$B$19*($DN372&lt;&gt;$DO372) + $B$19*($DN372=$DO372))</f>
        <v>3.7037037037037035E-4</v>
      </c>
      <c r="EO372" s="10" cm="1">
        <f t="array" aca="1" ref="EO372" ca="1">(1-$B$18)*SUMPRODUCT(OFFSET($BO$15,0,0,$B$14,1), 1*(_xlfn._xlws.FILTER(OFFSET($O$15,0,$DN372,$B$8,1),OFFSET($M$15,0,0,$B$8,1))=EO$13), 1*(_xlfn._xlws.FILTER(OFFSET($O$15,0,$DO372,$B$8,1),OFFSET($M$15,0,0,$B$8,1))=EO$14))   /   SUM(OFFSET($BO$15,0,0,$B$14,1)) + $B$18/($B$19*$B$19*($DN372&lt;&gt;$DO372) + $B$19*($DN372=$DO372))</f>
        <v>3.7037037037037035E-4</v>
      </c>
      <c r="EP372" s="10" cm="1">
        <f t="array" aca="1" ref="EP372" ca="1">(1-$B$18)*SUMPRODUCT(OFFSET($BO$15,0,0,$B$14,1), 1*(_xlfn._xlws.FILTER(OFFSET($O$15,0,$DN372,$B$8,1),OFFSET($M$15,0,0,$B$8,1))=EP$13), 1*(_xlfn._xlws.FILTER(OFFSET($O$15,0,$DO372,$B$8,1),OFFSET($M$15,0,0,$B$8,1))=EP$14))   /   SUM(OFFSET($BO$15,0,0,$B$14,1)) + $B$18/($B$19*$B$19*($DN372&lt;&gt;$DO372) + $B$19*($DN372=$DO372))</f>
        <v>3.7037037037037035E-4</v>
      </c>
      <c r="EQ372" s="10" cm="1">
        <f t="array" aca="1" ref="EQ372" ca="1">(1-$B$18)*SUMPRODUCT(OFFSET($BO$15,0,0,$B$14,1), 1*(_xlfn._xlws.FILTER(OFFSET($O$15,0,$DN372,$B$8,1),OFFSET($M$15,0,0,$B$8,1))=EQ$13), 1*(_xlfn._xlws.FILTER(OFFSET($O$15,0,$DO372,$B$8,1),OFFSET($M$15,0,0,$B$8,1))=EQ$14))   /   SUM(OFFSET($BO$15,0,0,$B$14,1)) + $B$18/($B$19*$B$19*($DN372&lt;&gt;$DO372) + $B$19*($DN372=$DO372))</f>
        <v>3.7037037037037035E-4</v>
      </c>
      <c r="ER372" s="10" cm="1">
        <f t="array" aca="1" ref="ER372" ca="1">(1-$B$18)*SUMPRODUCT(OFFSET($BO$15,0,0,$B$14,1), 1*(_xlfn._xlws.FILTER(OFFSET($O$15,0,$DN372,$B$8,1),OFFSET($M$15,0,0,$B$8,1))=ER$13), 1*(_xlfn._xlws.FILTER(OFFSET($O$15,0,$DO372,$B$8,1),OFFSET($M$15,0,0,$B$8,1))=ER$14))   /   SUM(OFFSET($BO$15,0,0,$B$14,1)) + $B$18/($B$19*$B$19*($DN372&lt;&gt;$DO372) + $B$19*($DN372=$DO372))</f>
        <v>3.7037037037037035E-4</v>
      </c>
      <c r="ES372" s="10" cm="1">
        <f t="array" aca="1" ref="ES372" ca="1">(1-$B$18)*SUMPRODUCT(OFFSET($BO$15,0,0,$B$14,1), 1*(_xlfn._xlws.FILTER(OFFSET($O$15,0,$DN372,$B$8,1),OFFSET($M$15,0,0,$B$8,1))=ES$13), 1*(_xlfn._xlws.FILTER(OFFSET($O$15,0,$DO372,$B$8,1),OFFSET($M$15,0,0,$B$8,1))=ES$14))   /   SUM(OFFSET($BO$15,0,0,$B$14,1)) + $B$18/($B$19*$B$19*($DN372&lt;&gt;$DO372) + $B$19*($DN372=$DO372))</f>
        <v>3.7037037037037035E-4</v>
      </c>
      <c r="ET372" s="10" cm="1">
        <f t="array" aca="1" ref="ET372" ca="1">(1-$B$18)*SUMPRODUCT(OFFSET($BO$15,0,0,$B$14,1), 1*(_xlfn._xlws.FILTER(OFFSET($O$15,0,$DN372,$B$8,1),OFFSET($M$15,0,0,$B$8,1))=ET$13), 1*(_xlfn._xlws.FILTER(OFFSET($O$15,0,$DO372,$B$8,1),OFFSET($M$15,0,0,$B$8,1))=ET$14))   /   SUM(OFFSET($BO$15,0,0,$B$14,1)) + $B$18/($B$19*$B$19*($DN372&lt;&gt;$DO372) + $B$19*($DN372=$DO372))</f>
        <v>3.7037037037037035E-4</v>
      </c>
      <c r="EU372" s="10" cm="1">
        <f t="array" aca="1" ref="EU372" ca="1">(1-$B$18)*SUMPRODUCT(OFFSET($BO$15,0,0,$B$14,1), 1*(_xlfn._xlws.FILTER(OFFSET($O$15,0,$DN372,$B$8,1),OFFSET($M$15,0,0,$B$8,1))=EU$13), 1*(_xlfn._xlws.FILTER(OFFSET($O$15,0,$DO372,$B$8,1),OFFSET($M$15,0,0,$B$8,1))=EU$14))   /   SUM(OFFSET($BO$15,0,0,$B$14,1)) + $B$18/($B$19*$B$19*($DN372&lt;&gt;$DO372) + $B$19*($DN372=$DO372))</f>
        <v>3.7037037037037035E-4</v>
      </c>
      <c r="EV372" s="10" cm="1">
        <f t="array" aca="1" ref="EV372" ca="1">(1-$B$18)*SUMPRODUCT(OFFSET($BO$15,0,0,$B$14,1), 1*(_xlfn._xlws.FILTER(OFFSET($O$15,0,$DN372,$B$8,1),OFFSET($M$15,0,0,$B$8,1))=EV$13), 1*(_xlfn._xlws.FILTER(OFFSET($O$15,0,$DO372,$B$8,1),OFFSET($M$15,0,0,$B$8,1))=EV$14))   /   SUM(OFFSET($BO$15,0,0,$B$14,1)) + $B$18/($B$19*$B$19*($DN372&lt;&gt;$DO372) + $B$19*($DN372=$DO372))</f>
        <v>3.7037037037037035E-4</v>
      </c>
      <c r="EW372" s="10" cm="1">
        <f t="array" aca="1" ref="EW372" ca="1">(1-$B$18)*SUMPRODUCT(OFFSET($BO$15,0,0,$B$14,1), 1*(_xlfn._xlws.FILTER(OFFSET($O$15,0,$DN372,$B$8,1),OFFSET($M$15,0,0,$B$8,1))=EW$13), 1*(_xlfn._xlws.FILTER(OFFSET($O$15,0,$DO372,$B$8,1),OFFSET($M$15,0,0,$B$8,1))=EW$14))   /   SUM(OFFSET($BO$15,0,0,$B$14,1)) + $B$18/($B$19*$B$19*($DN372&lt;&gt;$DO372) + $B$19*($DN372=$DO372))</f>
        <v>3.7037037037037035E-4</v>
      </c>
      <c r="EX372" s="10" cm="1">
        <f t="array" aca="1" ref="EX372" ca="1">(1-$B$18)*SUMPRODUCT(OFFSET($BO$15,0,0,$B$14,1), 1*(_xlfn._xlws.FILTER(OFFSET($O$15,0,$DN372,$B$8,1),OFFSET($M$15,0,0,$B$8,1))=EX$13), 1*(_xlfn._xlws.FILTER(OFFSET($O$15,0,$DO372,$B$8,1),OFFSET($M$15,0,0,$B$8,1))=EX$14))   /   SUM(OFFSET($BO$15,0,0,$B$14,1)) + $B$18/($B$19*$B$19*($DN372&lt;&gt;$DO372) + $B$19*($DN372=$DO372))</f>
        <v>3.7037037037037035E-4</v>
      </c>
      <c r="EY372" s="10" cm="1">
        <f t="array" aca="1" ref="EY372" ca="1">(1-$B$18)*SUMPRODUCT(OFFSET($BO$15,0,0,$B$14,1), 1*(_xlfn._xlws.FILTER(OFFSET($O$15,0,$DN372,$B$8,1),OFFSET($M$15,0,0,$B$8,1))=EY$13), 1*(_xlfn._xlws.FILTER(OFFSET($O$15,0,$DO372,$B$8,1),OFFSET($M$15,0,0,$B$8,1))=EY$14))   /   SUM(OFFSET($BO$15,0,0,$B$14,1)) + $B$18/($B$19*$B$19*($DN372&lt;&gt;$DO372) + $B$19*($DN372=$DO372))</f>
        <v>0.24287037037037024</v>
      </c>
      <c r="EZ372" s="10" cm="1">
        <f t="array" aca="1" ref="EZ372" ca="1">(1-$B$18)*SUMPRODUCT(OFFSET($BO$15,0,0,$B$14,1), 1*(_xlfn._xlws.FILTER(OFFSET($O$15,0,$DN372,$B$8,1),OFFSET($M$15,0,0,$B$8,1))=EZ$13), 1*(_xlfn._xlws.FILTER(OFFSET($O$15,0,$DO372,$B$8,1),OFFSET($M$15,0,0,$B$8,1))=EZ$14))   /   SUM(OFFSET($BO$15,0,0,$B$14,1)) + $B$18/($B$19*$B$19*($DN372&lt;&gt;$DO372) + $B$19*($DN372=$DO372))</f>
        <v>3.7037037037037035E-4</v>
      </c>
      <c r="FA372" s="10" cm="1">
        <f t="array" aca="1" ref="FA372" ca="1">(1-$B$18)*SUMPRODUCT(OFFSET($BO$15,0,0,$B$14,1), 1*(_xlfn._xlws.FILTER(OFFSET($O$15,0,$DN372,$B$8,1),OFFSET($M$15,0,0,$B$8,1))=FA$13), 1*(_xlfn._xlws.FILTER(OFFSET($O$15,0,$DO372,$B$8,1),OFFSET($M$15,0,0,$B$8,1))=FA$14))   /   SUM(OFFSET($BO$15,0,0,$B$14,1)) + $B$18/($B$19*$B$19*($DN372&lt;&gt;$DO372) + $B$19*($DN372=$DO372))</f>
        <v>3.7037037037037035E-4</v>
      </c>
      <c r="FB372" s="10" cm="1">
        <f t="array" aca="1" ref="FB372" ca="1">(1-$B$18)*SUMPRODUCT(OFFSET($BO$15,0,0,$B$14,1), 1*(_xlfn._xlws.FILTER(OFFSET($O$15,0,$DN372,$B$8,1),OFFSET($M$15,0,0,$B$8,1))=FB$13), 1*(_xlfn._xlws.FILTER(OFFSET($O$15,0,$DO372,$B$8,1),OFFSET($M$15,0,0,$B$8,1))=FB$14))   /   SUM(OFFSET($BO$15,0,0,$B$14,1)) + $B$18/($B$19*$B$19*($DN372&lt;&gt;$DO372) + $B$19*($DN372=$DO372))</f>
        <v>3.7037037037037035E-4</v>
      </c>
      <c r="FC372" s="10" cm="1">
        <f t="array" aca="1" ref="FC372" ca="1">(1-$B$18)*SUMPRODUCT(OFFSET($BO$15,0,0,$B$14,1), 1*(_xlfn._xlws.FILTER(OFFSET($O$15,0,$DN372,$B$8,1),OFFSET($M$15,0,0,$B$8,1))=FC$13), 1*(_xlfn._xlws.FILTER(OFFSET($O$15,0,$DO372,$B$8,1),OFFSET($M$15,0,0,$B$8,1))=FC$14))   /   SUM(OFFSET($BO$15,0,0,$B$14,1)) + $B$18/($B$19*$B$19*($DN372&lt;&gt;$DO372) + $B$19*($DN372=$DO372))</f>
        <v>3.7037037037037035E-4</v>
      </c>
      <c r="FD372" s="10" cm="1">
        <f t="array" aca="1" ref="FD372" ca="1">(1-$B$18)*SUMPRODUCT(OFFSET($BO$15,0,0,$B$14,1), 1*(_xlfn._xlws.FILTER(OFFSET($O$15,0,$DN372,$B$8,1),OFFSET($M$15,0,0,$B$8,1))=FD$13), 1*(_xlfn._xlws.FILTER(OFFSET($O$15,0,$DO372,$B$8,1),OFFSET($M$15,0,0,$B$8,1))=FD$14))   /   SUM(OFFSET($BO$15,0,0,$B$14,1)) + $B$18/($B$19*$B$19*($DN372&lt;&gt;$DO372) + $B$19*($DN372=$DO372))</f>
        <v>3.7037037037037035E-4</v>
      </c>
      <c r="FE372" s="10" cm="1">
        <f t="array" aca="1" ref="FE372" ca="1">(1-$B$18)*SUMPRODUCT(OFFSET($BO$15,0,0,$B$14,1), 1*(_xlfn._xlws.FILTER(OFFSET($O$15,0,$DN372,$B$8,1),OFFSET($M$15,0,0,$B$8,1))=FE$13), 1*(_xlfn._xlws.FILTER(OFFSET($O$15,0,$DO372,$B$8,1),OFFSET($M$15,0,0,$B$8,1))=FE$14))   /   SUM(OFFSET($BO$15,0,0,$B$14,1)) + $B$18/($B$19*$B$19*($DN372&lt;&gt;$DO372) + $B$19*($DN372=$DO372))</f>
        <v>3.7037037037037035E-4</v>
      </c>
      <c r="FF372" s="10" cm="1">
        <f t="array" aca="1" ref="FF372" ca="1">(1-$B$18)*SUMPRODUCT(OFFSET($BO$15,0,0,$B$14,1), 1*(_xlfn._xlws.FILTER(OFFSET($O$15,0,$DN372,$B$8,1),OFFSET($M$15,0,0,$B$8,1))=FF$13), 1*(_xlfn._xlws.FILTER(OFFSET($O$15,0,$DO372,$B$8,1),OFFSET($M$15,0,0,$B$8,1))=FF$14))   /   SUM(OFFSET($BO$15,0,0,$B$14,1)) + $B$18/($B$19*$B$19*($DN372&lt;&gt;$DO372) + $B$19*($DN372=$DO372))</f>
        <v>3.7037037037037035E-4</v>
      </c>
      <c r="FG372" s="10" cm="1">
        <f t="array" aca="1" ref="FG372" ca="1">(1-$B$18)*SUMPRODUCT(OFFSET($BO$15,0,0,$B$14,1), 1*(_xlfn._xlws.FILTER(OFFSET($O$15,0,$DN372,$B$8,1),OFFSET($M$15,0,0,$B$8,1))=FG$13), 1*(_xlfn._xlws.FILTER(OFFSET($O$15,0,$DO372,$B$8,1),OFFSET($M$15,0,0,$B$8,1))=FG$14))   /   SUM(OFFSET($BO$15,0,0,$B$14,1)) + $B$18/($B$19*$B$19*($DN372&lt;&gt;$DO372) + $B$19*($DN372=$DO372))</f>
        <v>0.48537037037037012</v>
      </c>
      <c r="FH372" s="10" cm="1">
        <f t="array" aca="1" ref="FH372" ca="1">(1-$B$18)*SUMPRODUCT(OFFSET($BO$15,0,0,$B$14,1), 1*(_xlfn._xlws.FILTER(OFFSET($O$15,0,$DN372,$B$8,1),OFFSET($M$15,0,0,$B$8,1))=FH$13), 1*(_xlfn._xlws.FILTER(OFFSET($O$15,0,$DO372,$B$8,1),OFFSET($M$15,0,0,$B$8,1))=FH$14))   /   SUM(OFFSET($BO$15,0,0,$B$14,1)) + $B$18/($B$19*$B$19*($DN372&lt;&gt;$DO372) + $B$19*($DN372=$DO372))</f>
        <v>3.7037037037037035E-4</v>
      </c>
      <c r="FI372" s="10" cm="1">
        <f t="array" aca="1" ref="FI372" ca="1">(1-$B$18)*SUMPRODUCT(OFFSET($BO$15,0,0,$B$14,1), 1*(_xlfn._xlws.FILTER(OFFSET($O$15,0,$DN372,$B$8,1),OFFSET($M$15,0,0,$B$8,1))=FI$13), 1*(_xlfn._xlws.FILTER(OFFSET($O$15,0,$DO372,$B$8,1),OFFSET($M$15,0,0,$B$8,1))=FI$14))   /   SUM(OFFSET($BO$15,0,0,$B$14,1)) + $B$18/($B$19*$B$19*($DN372&lt;&gt;$DO372) + $B$19*($DN372=$DO372))</f>
        <v>3.7037037037037035E-4</v>
      </c>
      <c r="FJ372" s="10" cm="1">
        <f t="array" aca="1" ref="FJ372" ca="1">(1-$B$18)*SUMPRODUCT(OFFSET($BO$15,0,0,$B$14,1), 1*(_xlfn._xlws.FILTER(OFFSET($O$15,0,$DN372,$B$8,1),OFFSET($M$15,0,0,$B$8,1))=FJ$13), 1*(_xlfn._xlws.FILTER(OFFSET($O$15,0,$DO372,$B$8,1),OFFSET($M$15,0,0,$B$8,1))=FJ$14))   /   SUM(OFFSET($BO$15,0,0,$B$14,1)) + $B$18/($B$19*$B$19*($DN372&lt;&gt;$DO372) + $B$19*($DN372=$DO372))</f>
        <v>3.7037037037037035E-4</v>
      </c>
      <c r="FK372" s="10" cm="1">
        <f t="array" aca="1" ref="FK372" ca="1">(1-$B$18)*SUMPRODUCT(OFFSET($BO$15,0,0,$B$14,1), 1*(_xlfn._xlws.FILTER(OFFSET($O$15,0,$DN372,$B$8,1),OFFSET($M$15,0,0,$B$8,1))=FK$13), 1*(_xlfn._xlws.FILTER(OFFSET($O$15,0,$DO372,$B$8,1),OFFSET($M$15,0,0,$B$8,1))=FK$14))   /   SUM(OFFSET($BO$15,0,0,$B$14,1)) + $B$18/($B$19*$B$19*($DN372&lt;&gt;$DO372) + $B$19*($DN372=$DO372))</f>
        <v>3.7037037037037035E-4</v>
      </c>
      <c r="FL372" s="10" cm="1">
        <f t="array" aca="1" ref="FL372" ca="1">(1-$B$18)*SUMPRODUCT(OFFSET($BO$15,0,0,$B$14,1), 1*(_xlfn._xlws.FILTER(OFFSET($O$15,0,$DN372,$B$8,1),OFFSET($M$15,0,0,$B$8,1))=FL$13), 1*(_xlfn._xlws.FILTER(OFFSET($O$15,0,$DO372,$B$8,1),OFFSET($M$15,0,0,$B$8,1))=FL$14))   /   SUM(OFFSET($BO$15,0,0,$B$14,1)) + $B$18/($B$19*$B$19*($DN372&lt;&gt;$DO372) + $B$19*($DN372=$DO372))</f>
        <v>3.7037037037037035E-4</v>
      </c>
      <c r="FM372" s="10" cm="1">
        <f t="array" aca="1" ref="FM372" ca="1">(1-$B$18)*SUMPRODUCT(OFFSET($BO$15,0,0,$B$14,1), 1*(_xlfn._xlws.FILTER(OFFSET($O$15,0,$DN372,$B$8,1),OFFSET($M$15,0,0,$B$8,1))=FM$13), 1*(_xlfn._xlws.FILTER(OFFSET($O$15,0,$DO372,$B$8,1),OFFSET($M$15,0,0,$B$8,1))=FM$14))   /   SUM(OFFSET($BO$15,0,0,$B$14,1)) + $B$18/($B$19*$B$19*($DN372&lt;&gt;$DO372) + $B$19*($DN372=$DO372))</f>
        <v>3.7037037037037035E-4</v>
      </c>
      <c r="FN372" s="10" cm="1">
        <f t="array" aca="1" ref="FN372" ca="1">(1-$B$18)*SUMPRODUCT(OFFSET($BO$15,0,0,$B$14,1), 1*(_xlfn._xlws.FILTER(OFFSET($O$15,0,$DN372,$B$8,1),OFFSET($M$15,0,0,$B$8,1))=FN$13), 1*(_xlfn._xlws.FILTER(OFFSET($O$15,0,$DO372,$B$8,1),OFFSET($M$15,0,0,$B$8,1))=FN$14))   /   SUM(OFFSET($BO$15,0,0,$B$14,1)) + $B$18/($B$19*$B$19*($DN372&lt;&gt;$DO372) + $B$19*($DN372=$DO372))</f>
        <v>3.7037037037037035E-4</v>
      </c>
      <c r="FO372" s="10" cm="1">
        <f t="array" aca="1" ref="FO372" ca="1">(1-$B$18)*SUMPRODUCT(OFFSET($BO$15,0,0,$B$14,1), 1*(_xlfn._xlws.FILTER(OFFSET($O$15,0,$DN372,$B$8,1),OFFSET($M$15,0,0,$B$8,1))=FO$13), 1*(_xlfn._xlws.FILTER(OFFSET($O$15,0,$DO372,$B$8,1),OFFSET($M$15,0,0,$B$8,1))=FO$14))   /   SUM(OFFSET($BO$15,0,0,$B$14,1)) + $B$18/($B$19*$B$19*($DN372&lt;&gt;$DO372) + $B$19*($DN372=$DO372))</f>
        <v>0.24287037037037026</v>
      </c>
      <c r="FP372" s="10" cm="1">
        <f t="array" aca="1" ref="FP372" ca="1">(1-$B$18)*SUMPRODUCT(OFFSET($BO$15,0,0,$B$14,1), 1*(_xlfn._xlws.FILTER(OFFSET($O$15,0,$DN372,$B$8,1),OFFSET($M$15,0,0,$B$8,1))=FP$13), 1*(_xlfn._xlws.FILTER(OFFSET($O$15,0,$DO372,$B$8,1),OFFSET($M$15,0,0,$B$8,1))=FP$14))   /   SUM(OFFSET($BO$15,0,0,$B$14,1)) + $B$18/($B$19*$B$19*($DN372&lt;&gt;$DO372) + $B$19*($DN372=$DO372))</f>
        <v>3.7037037037037035E-4</v>
      </c>
      <c r="FQ372" s="10" cm="1">
        <f t="array" aca="1" ref="FQ372" ca="1">(1-$B$18)*SUMPRODUCT(OFFSET($BO$15,0,0,$B$14,1), 1*(_xlfn._xlws.FILTER(OFFSET($O$15,0,$DN372,$B$8,1),OFFSET($M$15,0,0,$B$8,1))=FQ$13), 1*(_xlfn._xlws.FILTER(OFFSET($O$15,0,$DO372,$B$8,1),OFFSET($M$15,0,0,$B$8,1))=FQ$14))   /   SUM(OFFSET($BO$15,0,0,$B$14,1)) + $B$18/($B$19*$B$19*($DN372&lt;&gt;$DO372) + $B$19*($DN372=$DO372))</f>
        <v>3.7037037037037035E-4</v>
      </c>
      <c r="FR372" s="10" cm="1">
        <f t="array" aca="1" ref="FR372" ca="1">(1-$B$18)*SUMPRODUCT(OFFSET($BO$15,0,0,$B$14,1), 1*(_xlfn._xlws.FILTER(OFFSET($O$15,0,$DN372,$B$8,1),OFFSET($M$15,0,0,$B$8,1))=FR$13), 1*(_xlfn._xlws.FILTER(OFFSET($O$15,0,$DO372,$B$8,1),OFFSET($M$15,0,0,$B$8,1))=FR$14))   /   SUM(OFFSET($BO$15,0,0,$B$14,1)) + $B$18/($B$19*$B$19*($DN372&lt;&gt;$DO372) + $B$19*($DN372=$DO372))</f>
        <v>3.7037037037037035E-4</v>
      </c>
      <c r="FS372" s="10" cm="1">
        <f t="array" aca="1" ref="FS372" ca="1">(1-$B$18)*SUMPRODUCT(OFFSET($BO$15,0,0,$B$14,1), 1*(_xlfn._xlws.FILTER(OFFSET($O$15,0,$DN372,$B$8,1),OFFSET($M$15,0,0,$B$8,1))=FS$13), 1*(_xlfn._xlws.FILTER(OFFSET($O$15,0,$DO372,$B$8,1),OFFSET($M$15,0,0,$B$8,1))=FS$14))   /   SUM(OFFSET($BO$15,0,0,$B$14,1)) + $B$18/($B$19*$B$19*($DN372&lt;&gt;$DO372) + $B$19*($DN372=$DO372))</f>
        <v>3.7037037037037035E-4</v>
      </c>
      <c r="FT372" s="10" cm="1">
        <f t="array" aca="1" ref="FT372" ca="1">(1-$B$18)*SUMPRODUCT(OFFSET($BO$15,0,0,$B$14,1), 1*(_xlfn._xlws.FILTER(OFFSET($O$15,0,$DN372,$B$8,1),OFFSET($M$15,0,0,$B$8,1))=FT$13), 1*(_xlfn._xlws.FILTER(OFFSET($O$15,0,$DO372,$B$8,1),OFFSET($M$15,0,0,$B$8,1))=FT$14))   /   SUM(OFFSET($BO$15,0,0,$B$14,1)) + $B$18/($B$19*$B$19*($DN372&lt;&gt;$DO372) + $B$19*($DN372=$DO372))</f>
        <v>3.7037037037037035E-4</v>
      </c>
      <c r="FU372" s="10" cm="1">
        <f t="array" aca="1" ref="FU372" ca="1">(1-$B$18)*SUMPRODUCT(OFFSET($BO$15,0,0,$B$14,1), 1*(_xlfn._xlws.FILTER(OFFSET($O$15,0,$DN372,$B$8,1),OFFSET($M$15,0,0,$B$8,1))=FU$13), 1*(_xlfn._xlws.FILTER(OFFSET($O$15,0,$DO372,$B$8,1),OFFSET($M$15,0,0,$B$8,1))=FU$14))   /   SUM(OFFSET($BO$15,0,0,$B$14,1)) + $B$18/($B$19*$B$19*($DN372&lt;&gt;$DO372) + $B$19*($DN372=$DO372))</f>
        <v>3.7037037037037035E-4</v>
      </c>
      <c r="FV372" s="10" cm="1">
        <f t="array" aca="1" ref="FV372" ca="1">(1-$B$18)*SUMPRODUCT(OFFSET($BO$15,0,0,$B$14,1), 1*(_xlfn._xlws.FILTER(OFFSET($O$15,0,$DN372,$B$8,1),OFFSET($M$15,0,0,$B$8,1))=FV$13), 1*(_xlfn._xlws.FILTER(OFFSET($O$15,0,$DO372,$B$8,1),OFFSET($M$15,0,0,$B$8,1))=FV$14))   /   SUM(OFFSET($BO$15,0,0,$B$14,1)) + $B$18/($B$19*$B$19*($DN372&lt;&gt;$DO372) + $B$19*($DN372=$DO372))</f>
        <v>3.7037037037037035E-4</v>
      </c>
      <c r="FW372" s="10" cm="1">
        <f t="array" aca="1" ref="FW372" ca="1">(1-$B$18)*SUMPRODUCT(OFFSET($BO$15,0,0,$B$14,1), 1*(_xlfn._xlws.FILTER(OFFSET($O$15,0,$DN372,$B$8,1),OFFSET($M$15,0,0,$B$8,1))=FW$13), 1*(_xlfn._xlws.FILTER(OFFSET($O$15,0,$DO372,$B$8,1),OFFSET($M$15,0,0,$B$8,1))=FW$14))   /   SUM(OFFSET($BO$15,0,0,$B$14,1)) + $B$18/($B$19*$B$19*($DN372&lt;&gt;$DO372) + $B$19*($DN372=$DO372))</f>
        <v>3.7037037037037035E-4</v>
      </c>
      <c r="FX372" s="10" cm="1">
        <f t="array" aca="1" ref="FX372" ca="1">(1-$B$18)*SUMPRODUCT(OFFSET($BO$15,0,0,$B$14,1), 1*(_xlfn._xlws.FILTER(OFFSET($O$15,0,$DN372,$B$8,1),OFFSET($M$15,0,0,$B$8,1))=FX$13), 1*(_xlfn._xlws.FILTER(OFFSET($O$15,0,$DO372,$B$8,1),OFFSET($M$15,0,0,$B$8,1))=FX$14))   /   SUM(OFFSET($BO$15,0,0,$B$14,1)) + $B$18/($B$19*$B$19*($DN372&lt;&gt;$DO372) + $B$19*($DN372=$DO372))</f>
        <v>3.7037037037037035E-4</v>
      </c>
      <c r="FY372" s="10" cm="1">
        <f t="array" aca="1" ref="FY372" ca="1">(1-$B$18)*SUMPRODUCT(OFFSET($BO$15,0,0,$B$14,1), 1*(_xlfn._xlws.FILTER(OFFSET($O$15,0,$DN372,$B$8,1),OFFSET($M$15,0,0,$B$8,1))=FY$13), 1*(_xlfn._xlws.FILTER(OFFSET($O$15,0,$DO372,$B$8,1),OFFSET($M$15,0,0,$B$8,1))=FY$14))   /   SUM(OFFSET($BO$15,0,0,$B$14,1)) + $B$18/($B$19*$B$19*($DN372&lt;&gt;$DO372) + $B$19*($DN372=$DO372))</f>
        <v>3.7037037037037035E-4</v>
      </c>
      <c r="FZ372" s="10" cm="1">
        <f t="array" aca="1" ref="FZ372" ca="1">(1-$B$18)*SUMPRODUCT(OFFSET($BO$15,0,0,$B$14,1), 1*(_xlfn._xlws.FILTER(OFFSET($O$15,0,$DN372,$B$8,1),OFFSET($M$15,0,0,$B$8,1))=FZ$13), 1*(_xlfn._xlws.FILTER(OFFSET($O$15,0,$DO372,$B$8,1),OFFSET($M$15,0,0,$B$8,1))=FZ$14))   /   SUM(OFFSET($BO$15,0,0,$B$14,1)) + $B$18/($B$19*$B$19*($DN372&lt;&gt;$DO372) + $B$19*($DN372=$DO372))</f>
        <v>3.7037037037037035E-4</v>
      </c>
      <c r="GA372" s="10" cm="1">
        <f t="array" aca="1" ref="GA372" ca="1">(1-$B$18)*SUMPRODUCT(OFFSET($BO$15,0,0,$B$14,1), 1*(_xlfn._xlws.FILTER(OFFSET($O$15,0,$DN372,$B$8,1),OFFSET($M$15,0,0,$B$8,1))=GA$13), 1*(_xlfn._xlws.FILTER(OFFSET($O$15,0,$DO372,$B$8,1),OFFSET($M$15,0,0,$B$8,1))=GA$14))   /   SUM(OFFSET($BO$15,0,0,$B$14,1)) + $B$18/($B$19*$B$19*($DN372&lt;&gt;$DO372) + $B$19*($DN372=$DO372))</f>
        <v>3.7037037037037035E-4</v>
      </c>
    </row>
    <row r="373" spans="118:183" x14ac:dyDescent="0.2">
      <c r="DN373" cm="1">
        <f t="array" aca="1" ref="DN373" ca="1">INDEX(_xlfn.ANCHORARRAY($CP$15), 1 + INT((ROWS($DO$15:$DO373) - 1) / ROWS(_xlfn.ANCHORARRAY($CP$15))))</f>
        <v>21</v>
      </c>
      <c r="DO373" cm="1">
        <f t="array" aca="1" ref="DO373" ca="1">INDEX(_xlfn.ANCHORARRAY($CP$15),1+MOD(ROWS($DO$15:$DO373)-1,ROWS(_xlfn.ANCHORARRAY($CP$15))))</f>
        <v>19</v>
      </c>
      <c r="DP373" s="10" cm="1">
        <f t="array" aca="1" ref="DP373" ca="1">(1-$B$18)*SUMPRODUCT(OFFSET($BO$15,0,0,$B$14,1), 1*(_xlfn._xlws.FILTER(OFFSET($O$15,0,$DN373,$B$8,1),OFFSET($M$15,0,0,$B$8,1))=DP$13), 1*(_xlfn._xlws.FILTER(OFFSET($O$15,0,$DO373,$B$8,1),OFFSET($M$15,0,0,$B$8,1))=DP$14))   /   SUM(OFFSET($BO$15,0,0,$B$14,1)) + $B$18/($B$19*$B$19*($DN373&lt;&gt;$DO373) + $B$19*($DN373=$DO373))</f>
        <v>3.7037037037037035E-4</v>
      </c>
      <c r="DQ373" s="10" cm="1">
        <f t="array" aca="1" ref="DQ373" ca="1">(1-$B$18)*SUMPRODUCT(OFFSET($BO$15,0,0,$B$14,1), 1*(_xlfn._xlws.FILTER(OFFSET($O$15,0,$DN373,$B$8,1),OFFSET($M$15,0,0,$B$8,1))=DQ$13), 1*(_xlfn._xlws.FILTER(OFFSET($O$15,0,$DO373,$B$8,1),OFFSET($M$15,0,0,$B$8,1))=DQ$14))   /   SUM(OFFSET($BO$15,0,0,$B$14,1)) + $B$18/($B$19*$B$19*($DN373&lt;&gt;$DO373) + $B$19*($DN373=$DO373))</f>
        <v>3.7037037037037035E-4</v>
      </c>
      <c r="DR373" s="10" cm="1">
        <f t="array" aca="1" ref="DR373" ca="1">(1-$B$18)*SUMPRODUCT(OFFSET($BO$15,0,0,$B$14,1), 1*(_xlfn._xlws.FILTER(OFFSET($O$15,0,$DN373,$B$8,1),OFFSET($M$15,0,0,$B$8,1))=DR$13), 1*(_xlfn._xlws.FILTER(OFFSET($O$15,0,$DO373,$B$8,1),OFFSET($M$15,0,0,$B$8,1))=DR$14))   /   SUM(OFFSET($BO$15,0,0,$B$14,1)) + $B$18/($B$19*$B$19*($DN373&lt;&gt;$DO373) + $B$19*($DN373=$DO373))</f>
        <v>3.7037037037037035E-4</v>
      </c>
      <c r="DS373" s="10" cm="1">
        <f t="array" aca="1" ref="DS373" ca="1">(1-$B$18)*SUMPRODUCT(OFFSET($BO$15,0,0,$B$14,1), 1*(_xlfn._xlws.FILTER(OFFSET($O$15,0,$DN373,$B$8,1),OFFSET($M$15,0,0,$B$8,1))=DS$13), 1*(_xlfn._xlws.FILTER(OFFSET($O$15,0,$DO373,$B$8,1),OFFSET($M$15,0,0,$B$8,1))=DS$14))   /   SUM(OFFSET($BO$15,0,0,$B$14,1)) + $B$18/($B$19*$B$19*($DN373&lt;&gt;$DO373) + $B$19*($DN373=$DO373))</f>
        <v>3.7037037037037035E-4</v>
      </c>
      <c r="DT373" s="10" cm="1">
        <f t="array" aca="1" ref="DT373" ca="1">(1-$B$18)*SUMPRODUCT(OFFSET($BO$15,0,0,$B$14,1), 1*(_xlfn._xlws.FILTER(OFFSET($O$15,0,$DN373,$B$8,1),OFFSET($M$15,0,0,$B$8,1))=DT$13), 1*(_xlfn._xlws.FILTER(OFFSET($O$15,0,$DO373,$B$8,1),OFFSET($M$15,0,0,$B$8,1))=DT$14))   /   SUM(OFFSET($BO$15,0,0,$B$14,1)) + $B$18/($B$19*$B$19*($DN373&lt;&gt;$DO373) + $B$19*($DN373=$DO373))</f>
        <v>3.7037037037037035E-4</v>
      </c>
      <c r="DU373" s="10" cm="1">
        <f t="array" aca="1" ref="DU373" ca="1">(1-$B$18)*SUMPRODUCT(OFFSET($BO$15,0,0,$B$14,1), 1*(_xlfn._xlws.FILTER(OFFSET($O$15,0,$DN373,$B$8,1),OFFSET($M$15,0,0,$B$8,1))=DU$13), 1*(_xlfn._xlws.FILTER(OFFSET($O$15,0,$DO373,$B$8,1),OFFSET($M$15,0,0,$B$8,1))=DU$14))   /   SUM(OFFSET($BO$15,0,0,$B$14,1)) + $B$18/($B$19*$B$19*($DN373&lt;&gt;$DO373) + $B$19*($DN373=$DO373))</f>
        <v>3.7037037037037035E-4</v>
      </c>
      <c r="DV373" s="10" cm="1">
        <f t="array" aca="1" ref="DV373" ca="1">(1-$B$18)*SUMPRODUCT(OFFSET($BO$15,0,0,$B$14,1), 1*(_xlfn._xlws.FILTER(OFFSET($O$15,0,$DN373,$B$8,1),OFFSET($M$15,0,0,$B$8,1))=DV$13), 1*(_xlfn._xlws.FILTER(OFFSET($O$15,0,$DO373,$B$8,1),OFFSET($M$15,0,0,$B$8,1))=DV$14))   /   SUM(OFFSET($BO$15,0,0,$B$14,1)) + $B$18/($B$19*$B$19*($DN373&lt;&gt;$DO373) + $B$19*($DN373=$DO373))</f>
        <v>3.7037037037037035E-4</v>
      </c>
      <c r="DW373" s="10" cm="1">
        <f t="array" aca="1" ref="DW373" ca="1">(1-$B$18)*SUMPRODUCT(OFFSET($BO$15,0,0,$B$14,1), 1*(_xlfn._xlws.FILTER(OFFSET($O$15,0,$DN373,$B$8,1),OFFSET($M$15,0,0,$B$8,1))=DW$13), 1*(_xlfn._xlws.FILTER(OFFSET($O$15,0,$DO373,$B$8,1),OFFSET($M$15,0,0,$B$8,1))=DW$14))   /   SUM(OFFSET($BO$15,0,0,$B$14,1)) + $B$18/($B$19*$B$19*($DN373&lt;&gt;$DO373) + $B$19*($DN373=$DO373))</f>
        <v>3.7037037037037035E-4</v>
      </c>
      <c r="DX373" s="10" cm="1">
        <f t="array" aca="1" ref="DX373" ca="1">(1-$B$18)*SUMPRODUCT(OFFSET($BO$15,0,0,$B$14,1), 1*(_xlfn._xlws.FILTER(OFFSET($O$15,0,$DN373,$B$8,1),OFFSET($M$15,0,0,$B$8,1))=DX$13), 1*(_xlfn._xlws.FILTER(OFFSET($O$15,0,$DO373,$B$8,1),OFFSET($M$15,0,0,$B$8,1))=DX$14))   /   SUM(OFFSET($BO$15,0,0,$B$14,1)) + $B$18/($B$19*$B$19*($DN373&lt;&gt;$DO373) + $B$19*($DN373=$DO373))</f>
        <v>3.7037037037037035E-4</v>
      </c>
      <c r="DY373" s="10" cm="1">
        <f t="array" aca="1" ref="DY373" ca="1">(1-$B$18)*SUMPRODUCT(OFFSET($BO$15,0,0,$B$14,1), 1*(_xlfn._xlws.FILTER(OFFSET($O$15,0,$DN373,$B$8,1),OFFSET($M$15,0,0,$B$8,1))=DY$13), 1*(_xlfn._xlws.FILTER(OFFSET($O$15,0,$DO373,$B$8,1),OFFSET($M$15,0,0,$B$8,1))=DY$14))   /   SUM(OFFSET($BO$15,0,0,$B$14,1)) + $B$18/($B$19*$B$19*($DN373&lt;&gt;$DO373) + $B$19*($DN373=$DO373))</f>
        <v>3.7037037037037035E-4</v>
      </c>
      <c r="DZ373" s="10" cm="1">
        <f t="array" aca="1" ref="DZ373" ca="1">(1-$B$18)*SUMPRODUCT(OFFSET($BO$15,0,0,$B$14,1), 1*(_xlfn._xlws.FILTER(OFFSET($O$15,0,$DN373,$B$8,1),OFFSET($M$15,0,0,$B$8,1))=DZ$13), 1*(_xlfn._xlws.FILTER(OFFSET($O$15,0,$DO373,$B$8,1),OFFSET($M$15,0,0,$B$8,1))=DZ$14))   /   SUM(OFFSET($BO$15,0,0,$B$14,1)) + $B$18/($B$19*$B$19*($DN373&lt;&gt;$DO373) + $B$19*($DN373=$DO373))</f>
        <v>3.7037037037037035E-4</v>
      </c>
      <c r="EA373" s="10" cm="1">
        <f t="array" aca="1" ref="EA373" ca="1">(1-$B$18)*SUMPRODUCT(OFFSET($BO$15,0,0,$B$14,1), 1*(_xlfn._xlws.FILTER(OFFSET($O$15,0,$DN373,$B$8,1),OFFSET($M$15,0,0,$B$8,1))=EA$13), 1*(_xlfn._xlws.FILTER(OFFSET($O$15,0,$DO373,$B$8,1),OFFSET($M$15,0,0,$B$8,1))=EA$14))   /   SUM(OFFSET($BO$15,0,0,$B$14,1)) + $B$18/($B$19*$B$19*($DN373&lt;&gt;$DO373) + $B$19*($DN373=$DO373))</f>
        <v>3.7037037037037035E-4</v>
      </c>
      <c r="EB373" s="10" cm="1">
        <f t="array" aca="1" ref="EB373" ca="1">(1-$B$18)*SUMPRODUCT(OFFSET($BO$15,0,0,$B$14,1), 1*(_xlfn._xlws.FILTER(OFFSET($O$15,0,$DN373,$B$8,1),OFFSET($M$15,0,0,$B$8,1))=EB$13), 1*(_xlfn._xlws.FILTER(OFFSET($O$15,0,$DO373,$B$8,1),OFFSET($M$15,0,0,$B$8,1))=EB$14))   /   SUM(OFFSET($BO$15,0,0,$B$14,1)) + $B$18/($B$19*$B$19*($DN373&lt;&gt;$DO373) + $B$19*($DN373=$DO373))</f>
        <v>3.7037037037037035E-4</v>
      </c>
      <c r="EC373" s="10" cm="1">
        <f t="array" aca="1" ref="EC373" ca="1">(1-$B$18)*SUMPRODUCT(OFFSET($BO$15,0,0,$B$14,1), 1*(_xlfn._xlws.FILTER(OFFSET($O$15,0,$DN373,$B$8,1),OFFSET($M$15,0,0,$B$8,1))=EC$13), 1*(_xlfn._xlws.FILTER(OFFSET($O$15,0,$DO373,$B$8,1),OFFSET($M$15,0,0,$B$8,1))=EC$14))   /   SUM(OFFSET($BO$15,0,0,$B$14,1)) + $B$18/($B$19*$B$19*($DN373&lt;&gt;$DO373) + $B$19*($DN373=$DO373))</f>
        <v>3.7037037037037035E-4</v>
      </c>
      <c r="ED373" s="10" cm="1">
        <f t="array" aca="1" ref="ED373" ca="1">(1-$B$18)*SUMPRODUCT(OFFSET($BO$15,0,0,$B$14,1), 1*(_xlfn._xlws.FILTER(OFFSET($O$15,0,$DN373,$B$8,1),OFFSET($M$15,0,0,$B$8,1))=ED$13), 1*(_xlfn._xlws.FILTER(OFFSET($O$15,0,$DO373,$B$8,1),OFFSET($M$15,0,0,$B$8,1))=ED$14))   /   SUM(OFFSET($BO$15,0,0,$B$14,1)) + $B$18/($B$19*$B$19*($DN373&lt;&gt;$DO373) + $B$19*($DN373=$DO373))</f>
        <v>3.7037037037037035E-4</v>
      </c>
      <c r="EE373" s="10" cm="1">
        <f t="array" aca="1" ref="EE373" ca="1">(1-$B$18)*SUMPRODUCT(OFFSET($BO$15,0,0,$B$14,1), 1*(_xlfn._xlws.FILTER(OFFSET($O$15,0,$DN373,$B$8,1),OFFSET($M$15,0,0,$B$8,1))=EE$13), 1*(_xlfn._xlws.FILTER(OFFSET($O$15,0,$DO373,$B$8,1),OFFSET($M$15,0,0,$B$8,1))=EE$14))   /   SUM(OFFSET($BO$15,0,0,$B$14,1)) + $B$18/($B$19*$B$19*($DN373&lt;&gt;$DO373) + $B$19*($DN373=$DO373))</f>
        <v>3.7037037037037035E-4</v>
      </c>
      <c r="EF373" s="10" cm="1">
        <f t="array" aca="1" ref="EF373" ca="1">(1-$B$18)*SUMPRODUCT(OFFSET($BO$15,0,0,$B$14,1), 1*(_xlfn._xlws.FILTER(OFFSET($O$15,0,$DN373,$B$8,1),OFFSET($M$15,0,0,$B$8,1))=EF$13), 1*(_xlfn._xlws.FILTER(OFFSET($O$15,0,$DO373,$B$8,1),OFFSET($M$15,0,0,$B$8,1))=EF$14))   /   SUM(OFFSET($BO$15,0,0,$B$14,1)) + $B$18/($B$19*$B$19*($DN373&lt;&gt;$DO373) + $B$19*($DN373=$DO373))</f>
        <v>3.7037037037037035E-4</v>
      </c>
      <c r="EG373" s="10" cm="1">
        <f t="array" aca="1" ref="EG373" ca="1">(1-$B$18)*SUMPRODUCT(OFFSET($BO$15,0,0,$B$14,1), 1*(_xlfn._xlws.FILTER(OFFSET($O$15,0,$DN373,$B$8,1),OFFSET($M$15,0,0,$B$8,1))=EG$13), 1*(_xlfn._xlws.FILTER(OFFSET($O$15,0,$DO373,$B$8,1),OFFSET($M$15,0,0,$B$8,1))=EG$14))   /   SUM(OFFSET($BO$15,0,0,$B$14,1)) + $B$18/($B$19*$B$19*($DN373&lt;&gt;$DO373) + $B$19*($DN373=$DO373))</f>
        <v>3.7037037037037035E-4</v>
      </c>
      <c r="EH373" s="10" cm="1">
        <f t="array" aca="1" ref="EH373" ca="1">(1-$B$18)*SUMPRODUCT(OFFSET($BO$15,0,0,$B$14,1), 1*(_xlfn._xlws.FILTER(OFFSET($O$15,0,$DN373,$B$8,1),OFFSET($M$15,0,0,$B$8,1))=EH$13), 1*(_xlfn._xlws.FILTER(OFFSET($O$15,0,$DO373,$B$8,1),OFFSET($M$15,0,0,$B$8,1))=EH$14))   /   SUM(OFFSET($BO$15,0,0,$B$14,1)) + $B$18/($B$19*$B$19*($DN373&lt;&gt;$DO373) + $B$19*($DN373=$DO373))</f>
        <v>3.7037037037037035E-4</v>
      </c>
      <c r="EI373" s="10" cm="1">
        <f t="array" aca="1" ref="EI373" ca="1">(1-$B$18)*SUMPRODUCT(OFFSET($BO$15,0,0,$B$14,1), 1*(_xlfn._xlws.FILTER(OFFSET($O$15,0,$DN373,$B$8,1),OFFSET($M$15,0,0,$B$8,1))=EI$13), 1*(_xlfn._xlws.FILTER(OFFSET($O$15,0,$DO373,$B$8,1),OFFSET($M$15,0,0,$B$8,1))=EI$14))   /   SUM(OFFSET($BO$15,0,0,$B$14,1)) + $B$18/($B$19*$B$19*($DN373&lt;&gt;$DO373) + $B$19*($DN373=$DO373))</f>
        <v>3.7037037037037035E-4</v>
      </c>
      <c r="EJ373" s="10" cm="1">
        <f t="array" aca="1" ref="EJ373" ca="1">(1-$B$18)*SUMPRODUCT(OFFSET($BO$15,0,0,$B$14,1), 1*(_xlfn._xlws.FILTER(OFFSET($O$15,0,$DN373,$B$8,1),OFFSET($M$15,0,0,$B$8,1))=EJ$13), 1*(_xlfn._xlws.FILTER(OFFSET($O$15,0,$DO373,$B$8,1),OFFSET($M$15,0,0,$B$8,1))=EJ$14))   /   SUM(OFFSET($BO$15,0,0,$B$14,1)) + $B$18/($B$19*$B$19*($DN373&lt;&gt;$DO373) + $B$19*($DN373=$DO373))</f>
        <v>3.7037037037037035E-4</v>
      </c>
      <c r="EK373" s="10" cm="1">
        <f t="array" aca="1" ref="EK373" ca="1">(1-$B$18)*SUMPRODUCT(OFFSET($BO$15,0,0,$B$14,1), 1*(_xlfn._xlws.FILTER(OFFSET($O$15,0,$DN373,$B$8,1),OFFSET($M$15,0,0,$B$8,1))=EK$13), 1*(_xlfn._xlws.FILTER(OFFSET($O$15,0,$DO373,$B$8,1),OFFSET($M$15,0,0,$B$8,1))=EK$14))   /   SUM(OFFSET($BO$15,0,0,$B$14,1)) + $B$18/($B$19*$B$19*($DN373&lt;&gt;$DO373) + $B$19*($DN373=$DO373))</f>
        <v>3.7037037037037035E-4</v>
      </c>
      <c r="EL373" s="10" cm="1">
        <f t="array" aca="1" ref="EL373" ca="1">(1-$B$18)*SUMPRODUCT(OFFSET($BO$15,0,0,$B$14,1), 1*(_xlfn._xlws.FILTER(OFFSET($O$15,0,$DN373,$B$8,1),OFFSET($M$15,0,0,$B$8,1))=EL$13), 1*(_xlfn._xlws.FILTER(OFFSET($O$15,0,$DO373,$B$8,1),OFFSET($M$15,0,0,$B$8,1))=EL$14))   /   SUM(OFFSET($BO$15,0,0,$B$14,1)) + $B$18/($B$19*$B$19*($DN373&lt;&gt;$DO373) + $B$19*($DN373=$DO373))</f>
        <v>3.7037037037037035E-4</v>
      </c>
      <c r="EM373" s="10" cm="1">
        <f t="array" aca="1" ref="EM373" ca="1">(1-$B$18)*SUMPRODUCT(OFFSET($BO$15,0,0,$B$14,1), 1*(_xlfn._xlws.FILTER(OFFSET($O$15,0,$DN373,$B$8,1),OFFSET($M$15,0,0,$B$8,1))=EM$13), 1*(_xlfn._xlws.FILTER(OFFSET($O$15,0,$DO373,$B$8,1),OFFSET($M$15,0,0,$B$8,1))=EM$14))   /   SUM(OFFSET($BO$15,0,0,$B$14,1)) + $B$18/($B$19*$B$19*($DN373&lt;&gt;$DO373) + $B$19*($DN373=$DO373))</f>
        <v>3.7037037037037035E-4</v>
      </c>
      <c r="EN373" s="10" cm="1">
        <f t="array" aca="1" ref="EN373" ca="1">(1-$B$18)*SUMPRODUCT(OFFSET($BO$15,0,0,$B$14,1), 1*(_xlfn._xlws.FILTER(OFFSET($O$15,0,$DN373,$B$8,1),OFFSET($M$15,0,0,$B$8,1))=EN$13), 1*(_xlfn._xlws.FILTER(OFFSET($O$15,0,$DO373,$B$8,1),OFFSET($M$15,0,0,$B$8,1))=EN$14))   /   SUM(OFFSET($BO$15,0,0,$B$14,1)) + $B$18/($B$19*$B$19*($DN373&lt;&gt;$DO373) + $B$19*($DN373=$DO373))</f>
        <v>3.7037037037037035E-4</v>
      </c>
      <c r="EO373" s="10" cm="1">
        <f t="array" aca="1" ref="EO373" ca="1">(1-$B$18)*SUMPRODUCT(OFFSET($BO$15,0,0,$B$14,1), 1*(_xlfn._xlws.FILTER(OFFSET($O$15,0,$DN373,$B$8,1),OFFSET($M$15,0,0,$B$8,1))=EO$13), 1*(_xlfn._xlws.FILTER(OFFSET($O$15,0,$DO373,$B$8,1),OFFSET($M$15,0,0,$B$8,1))=EO$14))   /   SUM(OFFSET($BO$15,0,0,$B$14,1)) + $B$18/($B$19*$B$19*($DN373&lt;&gt;$DO373) + $B$19*($DN373=$DO373))</f>
        <v>3.7037037037037035E-4</v>
      </c>
      <c r="EP373" s="10" cm="1">
        <f t="array" aca="1" ref="EP373" ca="1">(1-$B$18)*SUMPRODUCT(OFFSET($BO$15,0,0,$B$14,1), 1*(_xlfn._xlws.FILTER(OFFSET($O$15,0,$DN373,$B$8,1),OFFSET($M$15,0,0,$B$8,1))=EP$13), 1*(_xlfn._xlws.FILTER(OFFSET($O$15,0,$DO373,$B$8,1),OFFSET($M$15,0,0,$B$8,1))=EP$14))   /   SUM(OFFSET($BO$15,0,0,$B$14,1)) + $B$18/($B$19*$B$19*($DN373&lt;&gt;$DO373) + $B$19*($DN373=$DO373))</f>
        <v>3.7037037037037035E-4</v>
      </c>
      <c r="EQ373" s="10" cm="1">
        <f t="array" aca="1" ref="EQ373" ca="1">(1-$B$18)*SUMPRODUCT(OFFSET($BO$15,0,0,$B$14,1), 1*(_xlfn._xlws.FILTER(OFFSET($O$15,0,$DN373,$B$8,1),OFFSET($M$15,0,0,$B$8,1))=EQ$13), 1*(_xlfn._xlws.FILTER(OFFSET($O$15,0,$DO373,$B$8,1),OFFSET($M$15,0,0,$B$8,1))=EQ$14))   /   SUM(OFFSET($BO$15,0,0,$B$14,1)) + $B$18/($B$19*$B$19*($DN373&lt;&gt;$DO373) + $B$19*($DN373=$DO373))</f>
        <v>3.7037037037037035E-4</v>
      </c>
      <c r="ER373" s="10" cm="1">
        <f t="array" aca="1" ref="ER373" ca="1">(1-$B$18)*SUMPRODUCT(OFFSET($BO$15,0,0,$B$14,1), 1*(_xlfn._xlws.FILTER(OFFSET($O$15,0,$DN373,$B$8,1),OFFSET($M$15,0,0,$B$8,1))=ER$13), 1*(_xlfn._xlws.FILTER(OFFSET($O$15,0,$DO373,$B$8,1),OFFSET($M$15,0,0,$B$8,1))=ER$14))   /   SUM(OFFSET($BO$15,0,0,$B$14,1)) + $B$18/($B$19*$B$19*($DN373&lt;&gt;$DO373) + $B$19*($DN373=$DO373))</f>
        <v>3.7037037037037035E-4</v>
      </c>
      <c r="ES373" s="10" cm="1">
        <f t="array" aca="1" ref="ES373" ca="1">(1-$B$18)*SUMPRODUCT(OFFSET($BO$15,0,0,$B$14,1), 1*(_xlfn._xlws.FILTER(OFFSET($O$15,0,$DN373,$B$8,1),OFFSET($M$15,0,0,$B$8,1))=ES$13), 1*(_xlfn._xlws.FILTER(OFFSET($O$15,0,$DO373,$B$8,1),OFFSET($M$15,0,0,$B$8,1))=ES$14))   /   SUM(OFFSET($BO$15,0,0,$B$14,1)) + $B$18/($B$19*$B$19*($DN373&lt;&gt;$DO373) + $B$19*($DN373=$DO373))</f>
        <v>3.7037037037037035E-4</v>
      </c>
      <c r="ET373" s="10" cm="1">
        <f t="array" aca="1" ref="ET373" ca="1">(1-$B$18)*SUMPRODUCT(OFFSET($BO$15,0,0,$B$14,1), 1*(_xlfn._xlws.FILTER(OFFSET($O$15,0,$DN373,$B$8,1),OFFSET($M$15,0,0,$B$8,1))=ET$13), 1*(_xlfn._xlws.FILTER(OFFSET($O$15,0,$DO373,$B$8,1),OFFSET($M$15,0,0,$B$8,1))=ET$14))   /   SUM(OFFSET($BO$15,0,0,$B$14,1)) + $B$18/($B$19*$B$19*($DN373&lt;&gt;$DO373) + $B$19*($DN373=$DO373))</f>
        <v>3.7037037037037035E-4</v>
      </c>
      <c r="EU373" s="10" cm="1">
        <f t="array" aca="1" ref="EU373" ca="1">(1-$B$18)*SUMPRODUCT(OFFSET($BO$15,0,0,$B$14,1), 1*(_xlfn._xlws.FILTER(OFFSET($O$15,0,$DN373,$B$8,1),OFFSET($M$15,0,0,$B$8,1))=EU$13), 1*(_xlfn._xlws.FILTER(OFFSET($O$15,0,$DO373,$B$8,1),OFFSET($M$15,0,0,$B$8,1))=EU$14))   /   SUM(OFFSET($BO$15,0,0,$B$14,1)) + $B$18/($B$19*$B$19*($DN373&lt;&gt;$DO373) + $B$19*($DN373=$DO373))</f>
        <v>3.7037037037037035E-4</v>
      </c>
      <c r="EV373" s="10" cm="1">
        <f t="array" aca="1" ref="EV373" ca="1">(1-$B$18)*SUMPRODUCT(OFFSET($BO$15,0,0,$B$14,1), 1*(_xlfn._xlws.FILTER(OFFSET($O$15,0,$DN373,$B$8,1),OFFSET($M$15,0,0,$B$8,1))=EV$13), 1*(_xlfn._xlws.FILTER(OFFSET($O$15,0,$DO373,$B$8,1),OFFSET($M$15,0,0,$B$8,1))=EV$14))   /   SUM(OFFSET($BO$15,0,0,$B$14,1)) + $B$18/($B$19*$B$19*($DN373&lt;&gt;$DO373) + $B$19*($DN373=$DO373))</f>
        <v>3.7037037037037035E-4</v>
      </c>
      <c r="EW373" s="10" cm="1">
        <f t="array" aca="1" ref="EW373" ca="1">(1-$B$18)*SUMPRODUCT(OFFSET($BO$15,0,0,$B$14,1), 1*(_xlfn._xlws.FILTER(OFFSET($O$15,0,$DN373,$B$8,1),OFFSET($M$15,0,0,$B$8,1))=EW$13), 1*(_xlfn._xlws.FILTER(OFFSET($O$15,0,$DO373,$B$8,1),OFFSET($M$15,0,0,$B$8,1))=EW$14))   /   SUM(OFFSET($BO$15,0,0,$B$14,1)) + $B$18/($B$19*$B$19*($DN373&lt;&gt;$DO373) + $B$19*($DN373=$DO373))</f>
        <v>3.7037037037037035E-4</v>
      </c>
      <c r="EX373" s="10" cm="1">
        <f t="array" aca="1" ref="EX373" ca="1">(1-$B$18)*SUMPRODUCT(OFFSET($BO$15,0,0,$B$14,1), 1*(_xlfn._xlws.FILTER(OFFSET($O$15,0,$DN373,$B$8,1),OFFSET($M$15,0,0,$B$8,1))=EX$13), 1*(_xlfn._xlws.FILTER(OFFSET($O$15,0,$DO373,$B$8,1),OFFSET($M$15,0,0,$B$8,1))=EX$14))   /   SUM(OFFSET($BO$15,0,0,$B$14,1)) + $B$18/($B$19*$B$19*($DN373&lt;&gt;$DO373) + $B$19*($DN373=$DO373))</f>
        <v>3.7037037037037035E-4</v>
      </c>
      <c r="EY373" s="10" cm="1">
        <f t="array" aca="1" ref="EY373" ca="1">(1-$B$18)*SUMPRODUCT(OFFSET($BO$15,0,0,$B$14,1), 1*(_xlfn._xlws.FILTER(OFFSET($O$15,0,$DN373,$B$8,1),OFFSET($M$15,0,0,$B$8,1))=EY$13), 1*(_xlfn._xlws.FILTER(OFFSET($O$15,0,$DO373,$B$8,1),OFFSET($M$15,0,0,$B$8,1))=EY$14))   /   SUM(OFFSET($BO$15,0,0,$B$14,1)) + $B$18/($B$19*$B$19*($DN373&lt;&gt;$DO373) + $B$19*($DN373=$DO373))</f>
        <v>0.24287037037037024</v>
      </c>
      <c r="EZ373" s="10" cm="1">
        <f t="array" aca="1" ref="EZ373" ca="1">(1-$B$18)*SUMPRODUCT(OFFSET($BO$15,0,0,$B$14,1), 1*(_xlfn._xlws.FILTER(OFFSET($O$15,0,$DN373,$B$8,1),OFFSET($M$15,0,0,$B$8,1))=EZ$13), 1*(_xlfn._xlws.FILTER(OFFSET($O$15,0,$DO373,$B$8,1),OFFSET($M$15,0,0,$B$8,1))=EZ$14))   /   SUM(OFFSET($BO$15,0,0,$B$14,1)) + $B$18/($B$19*$B$19*($DN373&lt;&gt;$DO373) + $B$19*($DN373=$DO373))</f>
        <v>3.7037037037037035E-4</v>
      </c>
      <c r="FA373" s="10" cm="1">
        <f t="array" aca="1" ref="FA373" ca="1">(1-$B$18)*SUMPRODUCT(OFFSET($BO$15,0,0,$B$14,1), 1*(_xlfn._xlws.FILTER(OFFSET($O$15,0,$DN373,$B$8,1),OFFSET($M$15,0,0,$B$8,1))=FA$13), 1*(_xlfn._xlws.FILTER(OFFSET($O$15,0,$DO373,$B$8,1),OFFSET($M$15,0,0,$B$8,1))=FA$14))   /   SUM(OFFSET($BO$15,0,0,$B$14,1)) + $B$18/($B$19*$B$19*($DN373&lt;&gt;$DO373) + $B$19*($DN373=$DO373))</f>
        <v>3.7037037037037035E-4</v>
      </c>
      <c r="FB373" s="10" cm="1">
        <f t="array" aca="1" ref="FB373" ca="1">(1-$B$18)*SUMPRODUCT(OFFSET($BO$15,0,0,$B$14,1), 1*(_xlfn._xlws.FILTER(OFFSET($O$15,0,$DN373,$B$8,1),OFFSET($M$15,0,0,$B$8,1))=FB$13), 1*(_xlfn._xlws.FILTER(OFFSET($O$15,0,$DO373,$B$8,1),OFFSET($M$15,0,0,$B$8,1))=FB$14))   /   SUM(OFFSET($BO$15,0,0,$B$14,1)) + $B$18/($B$19*$B$19*($DN373&lt;&gt;$DO373) + $B$19*($DN373=$DO373))</f>
        <v>3.7037037037037035E-4</v>
      </c>
      <c r="FC373" s="10" cm="1">
        <f t="array" aca="1" ref="FC373" ca="1">(1-$B$18)*SUMPRODUCT(OFFSET($BO$15,0,0,$B$14,1), 1*(_xlfn._xlws.FILTER(OFFSET($O$15,0,$DN373,$B$8,1),OFFSET($M$15,0,0,$B$8,1))=FC$13), 1*(_xlfn._xlws.FILTER(OFFSET($O$15,0,$DO373,$B$8,1),OFFSET($M$15,0,0,$B$8,1))=FC$14))   /   SUM(OFFSET($BO$15,0,0,$B$14,1)) + $B$18/($B$19*$B$19*($DN373&lt;&gt;$DO373) + $B$19*($DN373=$DO373))</f>
        <v>3.7037037037037035E-4</v>
      </c>
      <c r="FD373" s="10" cm="1">
        <f t="array" aca="1" ref="FD373" ca="1">(1-$B$18)*SUMPRODUCT(OFFSET($BO$15,0,0,$B$14,1), 1*(_xlfn._xlws.FILTER(OFFSET($O$15,0,$DN373,$B$8,1),OFFSET($M$15,0,0,$B$8,1))=FD$13), 1*(_xlfn._xlws.FILTER(OFFSET($O$15,0,$DO373,$B$8,1),OFFSET($M$15,0,0,$B$8,1))=FD$14))   /   SUM(OFFSET($BO$15,0,0,$B$14,1)) + $B$18/($B$19*$B$19*($DN373&lt;&gt;$DO373) + $B$19*($DN373=$DO373))</f>
        <v>3.7037037037037035E-4</v>
      </c>
      <c r="FE373" s="10" cm="1">
        <f t="array" aca="1" ref="FE373" ca="1">(1-$B$18)*SUMPRODUCT(OFFSET($BO$15,0,0,$B$14,1), 1*(_xlfn._xlws.FILTER(OFFSET($O$15,0,$DN373,$B$8,1),OFFSET($M$15,0,0,$B$8,1))=FE$13), 1*(_xlfn._xlws.FILTER(OFFSET($O$15,0,$DO373,$B$8,1),OFFSET($M$15,0,0,$B$8,1))=FE$14))   /   SUM(OFFSET($BO$15,0,0,$B$14,1)) + $B$18/($B$19*$B$19*($DN373&lt;&gt;$DO373) + $B$19*($DN373=$DO373))</f>
        <v>3.7037037037037035E-4</v>
      </c>
      <c r="FF373" s="10" cm="1">
        <f t="array" aca="1" ref="FF373" ca="1">(1-$B$18)*SUMPRODUCT(OFFSET($BO$15,0,0,$B$14,1), 1*(_xlfn._xlws.FILTER(OFFSET($O$15,0,$DN373,$B$8,1),OFFSET($M$15,0,0,$B$8,1))=FF$13), 1*(_xlfn._xlws.FILTER(OFFSET($O$15,0,$DO373,$B$8,1),OFFSET($M$15,0,0,$B$8,1))=FF$14))   /   SUM(OFFSET($BO$15,0,0,$B$14,1)) + $B$18/($B$19*$B$19*($DN373&lt;&gt;$DO373) + $B$19*($DN373=$DO373))</f>
        <v>3.7037037037037035E-4</v>
      </c>
      <c r="FG373" s="10" cm="1">
        <f t="array" aca="1" ref="FG373" ca="1">(1-$B$18)*SUMPRODUCT(OFFSET($BO$15,0,0,$B$14,1), 1*(_xlfn._xlws.FILTER(OFFSET($O$15,0,$DN373,$B$8,1),OFFSET($M$15,0,0,$B$8,1))=FG$13), 1*(_xlfn._xlws.FILTER(OFFSET($O$15,0,$DO373,$B$8,1),OFFSET($M$15,0,0,$B$8,1))=FG$14))   /   SUM(OFFSET($BO$15,0,0,$B$14,1)) + $B$18/($B$19*$B$19*($DN373&lt;&gt;$DO373) + $B$19*($DN373=$DO373))</f>
        <v>0.48537037037037012</v>
      </c>
      <c r="FH373" s="10" cm="1">
        <f t="array" aca="1" ref="FH373" ca="1">(1-$B$18)*SUMPRODUCT(OFFSET($BO$15,0,0,$B$14,1), 1*(_xlfn._xlws.FILTER(OFFSET($O$15,0,$DN373,$B$8,1),OFFSET($M$15,0,0,$B$8,1))=FH$13), 1*(_xlfn._xlws.FILTER(OFFSET($O$15,0,$DO373,$B$8,1),OFFSET($M$15,0,0,$B$8,1))=FH$14))   /   SUM(OFFSET($BO$15,0,0,$B$14,1)) + $B$18/($B$19*$B$19*($DN373&lt;&gt;$DO373) + $B$19*($DN373=$DO373))</f>
        <v>3.7037037037037035E-4</v>
      </c>
      <c r="FI373" s="10" cm="1">
        <f t="array" aca="1" ref="FI373" ca="1">(1-$B$18)*SUMPRODUCT(OFFSET($BO$15,0,0,$B$14,1), 1*(_xlfn._xlws.FILTER(OFFSET($O$15,0,$DN373,$B$8,1),OFFSET($M$15,0,0,$B$8,1))=FI$13), 1*(_xlfn._xlws.FILTER(OFFSET($O$15,0,$DO373,$B$8,1),OFFSET($M$15,0,0,$B$8,1))=FI$14))   /   SUM(OFFSET($BO$15,0,0,$B$14,1)) + $B$18/($B$19*$B$19*($DN373&lt;&gt;$DO373) + $B$19*($DN373=$DO373))</f>
        <v>3.7037037037037035E-4</v>
      </c>
      <c r="FJ373" s="10" cm="1">
        <f t="array" aca="1" ref="FJ373" ca="1">(1-$B$18)*SUMPRODUCT(OFFSET($BO$15,0,0,$B$14,1), 1*(_xlfn._xlws.FILTER(OFFSET($O$15,0,$DN373,$B$8,1),OFFSET($M$15,0,0,$B$8,1))=FJ$13), 1*(_xlfn._xlws.FILTER(OFFSET($O$15,0,$DO373,$B$8,1),OFFSET($M$15,0,0,$B$8,1))=FJ$14))   /   SUM(OFFSET($BO$15,0,0,$B$14,1)) + $B$18/($B$19*$B$19*($DN373&lt;&gt;$DO373) + $B$19*($DN373=$DO373))</f>
        <v>3.7037037037037035E-4</v>
      </c>
      <c r="FK373" s="10" cm="1">
        <f t="array" aca="1" ref="FK373" ca="1">(1-$B$18)*SUMPRODUCT(OFFSET($BO$15,0,0,$B$14,1), 1*(_xlfn._xlws.FILTER(OFFSET($O$15,0,$DN373,$B$8,1),OFFSET($M$15,0,0,$B$8,1))=FK$13), 1*(_xlfn._xlws.FILTER(OFFSET($O$15,0,$DO373,$B$8,1),OFFSET($M$15,0,0,$B$8,1))=FK$14))   /   SUM(OFFSET($BO$15,0,0,$B$14,1)) + $B$18/($B$19*$B$19*($DN373&lt;&gt;$DO373) + $B$19*($DN373=$DO373))</f>
        <v>3.7037037037037035E-4</v>
      </c>
      <c r="FL373" s="10" cm="1">
        <f t="array" aca="1" ref="FL373" ca="1">(1-$B$18)*SUMPRODUCT(OFFSET($BO$15,0,0,$B$14,1), 1*(_xlfn._xlws.FILTER(OFFSET($O$15,0,$DN373,$B$8,1),OFFSET($M$15,0,0,$B$8,1))=FL$13), 1*(_xlfn._xlws.FILTER(OFFSET($O$15,0,$DO373,$B$8,1),OFFSET($M$15,0,0,$B$8,1))=FL$14))   /   SUM(OFFSET($BO$15,0,0,$B$14,1)) + $B$18/($B$19*$B$19*($DN373&lt;&gt;$DO373) + $B$19*($DN373=$DO373))</f>
        <v>3.7037037037037035E-4</v>
      </c>
      <c r="FM373" s="10" cm="1">
        <f t="array" aca="1" ref="FM373" ca="1">(1-$B$18)*SUMPRODUCT(OFFSET($BO$15,0,0,$B$14,1), 1*(_xlfn._xlws.FILTER(OFFSET($O$15,0,$DN373,$B$8,1),OFFSET($M$15,0,0,$B$8,1))=FM$13), 1*(_xlfn._xlws.FILTER(OFFSET($O$15,0,$DO373,$B$8,1),OFFSET($M$15,0,0,$B$8,1))=FM$14))   /   SUM(OFFSET($BO$15,0,0,$B$14,1)) + $B$18/($B$19*$B$19*($DN373&lt;&gt;$DO373) + $B$19*($DN373=$DO373))</f>
        <v>3.7037037037037035E-4</v>
      </c>
      <c r="FN373" s="10" cm="1">
        <f t="array" aca="1" ref="FN373" ca="1">(1-$B$18)*SUMPRODUCT(OFFSET($BO$15,0,0,$B$14,1), 1*(_xlfn._xlws.FILTER(OFFSET($O$15,0,$DN373,$B$8,1),OFFSET($M$15,0,0,$B$8,1))=FN$13), 1*(_xlfn._xlws.FILTER(OFFSET($O$15,0,$DO373,$B$8,1),OFFSET($M$15,0,0,$B$8,1))=FN$14))   /   SUM(OFFSET($BO$15,0,0,$B$14,1)) + $B$18/($B$19*$B$19*($DN373&lt;&gt;$DO373) + $B$19*($DN373=$DO373))</f>
        <v>3.7037037037037035E-4</v>
      </c>
      <c r="FO373" s="10" cm="1">
        <f t="array" aca="1" ref="FO373" ca="1">(1-$B$18)*SUMPRODUCT(OFFSET($BO$15,0,0,$B$14,1), 1*(_xlfn._xlws.FILTER(OFFSET($O$15,0,$DN373,$B$8,1),OFFSET($M$15,0,0,$B$8,1))=FO$13), 1*(_xlfn._xlws.FILTER(OFFSET($O$15,0,$DO373,$B$8,1),OFFSET($M$15,0,0,$B$8,1))=FO$14))   /   SUM(OFFSET($BO$15,0,0,$B$14,1)) + $B$18/($B$19*$B$19*($DN373&lt;&gt;$DO373) + $B$19*($DN373=$DO373))</f>
        <v>0.24287037037037026</v>
      </c>
      <c r="FP373" s="10" cm="1">
        <f t="array" aca="1" ref="FP373" ca="1">(1-$B$18)*SUMPRODUCT(OFFSET($BO$15,0,0,$B$14,1), 1*(_xlfn._xlws.FILTER(OFFSET($O$15,0,$DN373,$B$8,1),OFFSET($M$15,0,0,$B$8,1))=FP$13), 1*(_xlfn._xlws.FILTER(OFFSET($O$15,0,$DO373,$B$8,1),OFFSET($M$15,0,0,$B$8,1))=FP$14))   /   SUM(OFFSET($BO$15,0,0,$B$14,1)) + $B$18/($B$19*$B$19*($DN373&lt;&gt;$DO373) + $B$19*($DN373=$DO373))</f>
        <v>3.7037037037037035E-4</v>
      </c>
      <c r="FQ373" s="10" cm="1">
        <f t="array" aca="1" ref="FQ373" ca="1">(1-$B$18)*SUMPRODUCT(OFFSET($BO$15,0,0,$B$14,1), 1*(_xlfn._xlws.FILTER(OFFSET($O$15,0,$DN373,$B$8,1),OFFSET($M$15,0,0,$B$8,1))=FQ$13), 1*(_xlfn._xlws.FILTER(OFFSET($O$15,0,$DO373,$B$8,1),OFFSET($M$15,0,0,$B$8,1))=FQ$14))   /   SUM(OFFSET($BO$15,0,0,$B$14,1)) + $B$18/($B$19*$B$19*($DN373&lt;&gt;$DO373) + $B$19*($DN373=$DO373))</f>
        <v>3.7037037037037035E-4</v>
      </c>
      <c r="FR373" s="10" cm="1">
        <f t="array" aca="1" ref="FR373" ca="1">(1-$B$18)*SUMPRODUCT(OFFSET($BO$15,0,0,$B$14,1), 1*(_xlfn._xlws.FILTER(OFFSET($O$15,0,$DN373,$B$8,1),OFFSET($M$15,0,0,$B$8,1))=FR$13), 1*(_xlfn._xlws.FILTER(OFFSET($O$15,0,$DO373,$B$8,1),OFFSET($M$15,0,0,$B$8,1))=FR$14))   /   SUM(OFFSET($BO$15,0,0,$B$14,1)) + $B$18/($B$19*$B$19*($DN373&lt;&gt;$DO373) + $B$19*($DN373=$DO373))</f>
        <v>3.7037037037037035E-4</v>
      </c>
      <c r="FS373" s="10" cm="1">
        <f t="array" aca="1" ref="FS373" ca="1">(1-$B$18)*SUMPRODUCT(OFFSET($BO$15,0,0,$B$14,1), 1*(_xlfn._xlws.FILTER(OFFSET($O$15,0,$DN373,$B$8,1),OFFSET($M$15,0,0,$B$8,1))=FS$13), 1*(_xlfn._xlws.FILTER(OFFSET($O$15,0,$DO373,$B$8,1),OFFSET($M$15,0,0,$B$8,1))=FS$14))   /   SUM(OFFSET($BO$15,0,0,$B$14,1)) + $B$18/($B$19*$B$19*($DN373&lt;&gt;$DO373) + $B$19*($DN373=$DO373))</f>
        <v>3.7037037037037035E-4</v>
      </c>
      <c r="FT373" s="10" cm="1">
        <f t="array" aca="1" ref="FT373" ca="1">(1-$B$18)*SUMPRODUCT(OFFSET($BO$15,0,0,$B$14,1), 1*(_xlfn._xlws.FILTER(OFFSET($O$15,0,$DN373,$B$8,1),OFFSET($M$15,0,0,$B$8,1))=FT$13), 1*(_xlfn._xlws.FILTER(OFFSET($O$15,0,$DO373,$B$8,1),OFFSET($M$15,0,0,$B$8,1))=FT$14))   /   SUM(OFFSET($BO$15,0,0,$B$14,1)) + $B$18/($B$19*$B$19*($DN373&lt;&gt;$DO373) + $B$19*($DN373=$DO373))</f>
        <v>3.7037037037037035E-4</v>
      </c>
      <c r="FU373" s="10" cm="1">
        <f t="array" aca="1" ref="FU373" ca="1">(1-$B$18)*SUMPRODUCT(OFFSET($BO$15,0,0,$B$14,1), 1*(_xlfn._xlws.FILTER(OFFSET($O$15,0,$DN373,$B$8,1),OFFSET($M$15,0,0,$B$8,1))=FU$13), 1*(_xlfn._xlws.FILTER(OFFSET($O$15,0,$DO373,$B$8,1),OFFSET($M$15,0,0,$B$8,1))=FU$14))   /   SUM(OFFSET($BO$15,0,0,$B$14,1)) + $B$18/($B$19*$B$19*($DN373&lt;&gt;$DO373) + $B$19*($DN373=$DO373))</f>
        <v>3.7037037037037035E-4</v>
      </c>
      <c r="FV373" s="10" cm="1">
        <f t="array" aca="1" ref="FV373" ca="1">(1-$B$18)*SUMPRODUCT(OFFSET($BO$15,0,0,$B$14,1), 1*(_xlfn._xlws.FILTER(OFFSET($O$15,0,$DN373,$B$8,1),OFFSET($M$15,0,0,$B$8,1))=FV$13), 1*(_xlfn._xlws.FILTER(OFFSET($O$15,0,$DO373,$B$8,1),OFFSET($M$15,0,0,$B$8,1))=FV$14))   /   SUM(OFFSET($BO$15,0,0,$B$14,1)) + $B$18/($B$19*$B$19*($DN373&lt;&gt;$DO373) + $B$19*($DN373=$DO373))</f>
        <v>3.7037037037037035E-4</v>
      </c>
      <c r="FW373" s="10" cm="1">
        <f t="array" aca="1" ref="FW373" ca="1">(1-$B$18)*SUMPRODUCT(OFFSET($BO$15,0,0,$B$14,1), 1*(_xlfn._xlws.FILTER(OFFSET($O$15,0,$DN373,$B$8,1),OFFSET($M$15,0,0,$B$8,1))=FW$13), 1*(_xlfn._xlws.FILTER(OFFSET($O$15,0,$DO373,$B$8,1),OFFSET($M$15,0,0,$B$8,1))=FW$14))   /   SUM(OFFSET($BO$15,0,0,$B$14,1)) + $B$18/($B$19*$B$19*($DN373&lt;&gt;$DO373) + $B$19*($DN373=$DO373))</f>
        <v>3.7037037037037035E-4</v>
      </c>
      <c r="FX373" s="10" cm="1">
        <f t="array" aca="1" ref="FX373" ca="1">(1-$B$18)*SUMPRODUCT(OFFSET($BO$15,0,0,$B$14,1), 1*(_xlfn._xlws.FILTER(OFFSET($O$15,0,$DN373,$B$8,1),OFFSET($M$15,0,0,$B$8,1))=FX$13), 1*(_xlfn._xlws.FILTER(OFFSET($O$15,0,$DO373,$B$8,1),OFFSET($M$15,0,0,$B$8,1))=FX$14))   /   SUM(OFFSET($BO$15,0,0,$B$14,1)) + $B$18/($B$19*$B$19*($DN373&lt;&gt;$DO373) + $B$19*($DN373=$DO373))</f>
        <v>3.7037037037037035E-4</v>
      </c>
      <c r="FY373" s="10" cm="1">
        <f t="array" aca="1" ref="FY373" ca="1">(1-$B$18)*SUMPRODUCT(OFFSET($BO$15,0,0,$B$14,1), 1*(_xlfn._xlws.FILTER(OFFSET($O$15,0,$DN373,$B$8,1),OFFSET($M$15,0,0,$B$8,1))=FY$13), 1*(_xlfn._xlws.FILTER(OFFSET($O$15,0,$DO373,$B$8,1),OFFSET($M$15,0,0,$B$8,1))=FY$14))   /   SUM(OFFSET($BO$15,0,0,$B$14,1)) + $B$18/($B$19*$B$19*($DN373&lt;&gt;$DO373) + $B$19*($DN373=$DO373))</f>
        <v>3.7037037037037035E-4</v>
      </c>
      <c r="FZ373" s="10" cm="1">
        <f t="array" aca="1" ref="FZ373" ca="1">(1-$B$18)*SUMPRODUCT(OFFSET($BO$15,0,0,$B$14,1), 1*(_xlfn._xlws.FILTER(OFFSET($O$15,0,$DN373,$B$8,1),OFFSET($M$15,0,0,$B$8,1))=FZ$13), 1*(_xlfn._xlws.FILTER(OFFSET($O$15,0,$DO373,$B$8,1),OFFSET($M$15,0,0,$B$8,1))=FZ$14))   /   SUM(OFFSET($BO$15,0,0,$B$14,1)) + $B$18/($B$19*$B$19*($DN373&lt;&gt;$DO373) + $B$19*($DN373=$DO373))</f>
        <v>3.7037037037037035E-4</v>
      </c>
      <c r="GA373" s="10" cm="1">
        <f t="array" aca="1" ref="GA373" ca="1">(1-$B$18)*SUMPRODUCT(OFFSET($BO$15,0,0,$B$14,1), 1*(_xlfn._xlws.FILTER(OFFSET($O$15,0,$DN373,$B$8,1),OFFSET($M$15,0,0,$B$8,1))=GA$13), 1*(_xlfn._xlws.FILTER(OFFSET($O$15,0,$DO373,$B$8,1),OFFSET($M$15,0,0,$B$8,1))=GA$14))   /   SUM(OFFSET($BO$15,0,0,$B$14,1)) + $B$18/($B$19*$B$19*($DN373&lt;&gt;$DO373) + $B$19*($DN373=$DO373))</f>
        <v>3.7037037037037035E-4</v>
      </c>
    </row>
    <row r="374" spans="118:183" x14ac:dyDescent="0.2">
      <c r="DN374" cm="1">
        <f t="array" aca="1" ref="DN374" ca="1">INDEX(_xlfn.ANCHORARRAY($CP$15), 1 + INT((ROWS($DO$15:$DO374) - 1) / ROWS(_xlfn.ANCHORARRAY($CP$15))))</f>
        <v>21</v>
      </c>
      <c r="DO374" cm="1">
        <f t="array" aca="1" ref="DO374" ca="1">INDEX(_xlfn.ANCHORARRAY($CP$15),1+MOD(ROWS($DO$15:$DO374)-1,ROWS(_xlfn.ANCHORARRAY($CP$15))))</f>
        <v>20</v>
      </c>
      <c r="DP374" s="10" cm="1">
        <f t="array" aca="1" ref="DP374" ca="1">(1-$B$18)*SUMPRODUCT(OFFSET($BO$15,0,0,$B$14,1), 1*(_xlfn._xlws.FILTER(OFFSET($O$15,0,$DN374,$B$8,1),OFFSET($M$15,0,0,$B$8,1))=DP$13), 1*(_xlfn._xlws.FILTER(OFFSET($O$15,0,$DO374,$B$8,1),OFFSET($M$15,0,0,$B$8,1))=DP$14))   /   SUM(OFFSET($BO$15,0,0,$B$14,1)) + $B$18/($B$19*$B$19*($DN374&lt;&gt;$DO374) + $B$19*($DN374=$DO374))</f>
        <v>3.7037037037037035E-4</v>
      </c>
      <c r="DQ374" s="10" cm="1">
        <f t="array" aca="1" ref="DQ374" ca="1">(1-$B$18)*SUMPRODUCT(OFFSET($BO$15,0,0,$B$14,1), 1*(_xlfn._xlws.FILTER(OFFSET($O$15,0,$DN374,$B$8,1),OFFSET($M$15,0,0,$B$8,1))=DQ$13), 1*(_xlfn._xlws.FILTER(OFFSET($O$15,0,$DO374,$B$8,1),OFFSET($M$15,0,0,$B$8,1))=DQ$14))   /   SUM(OFFSET($BO$15,0,0,$B$14,1)) + $B$18/($B$19*$B$19*($DN374&lt;&gt;$DO374) + $B$19*($DN374=$DO374))</f>
        <v>3.7037037037037035E-4</v>
      </c>
      <c r="DR374" s="10" cm="1">
        <f t="array" aca="1" ref="DR374" ca="1">(1-$B$18)*SUMPRODUCT(OFFSET($BO$15,0,0,$B$14,1), 1*(_xlfn._xlws.FILTER(OFFSET($O$15,0,$DN374,$B$8,1),OFFSET($M$15,0,0,$B$8,1))=DR$13), 1*(_xlfn._xlws.FILTER(OFFSET($O$15,0,$DO374,$B$8,1),OFFSET($M$15,0,0,$B$8,1))=DR$14))   /   SUM(OFFSET($BO$15,0,0,$B$14,1)) + $B$18/($B$19*$B$19*($DN374&lt;&gt;$DO374) + $B$19*($DN374=$DO374))</f>
        <v>3.7037037037037035E-4</v>
      </c>
      <c r="DS374" s="10" cm="1">
        <f t="array" aca="1" ref="DS374" ca="1">(1-$B$18)*SUMPRODUCT(OFFSET($BO$15,0,0,$B$14,1), 1*(_xlfn._xlws.FILTER(OFFSET($O$15,0,$DN374,$B$8,1),OFFSET($M$15,0,0,$B$8,1))=DS$13), 1*(_xlfn._xlws.FILTER(OFFSET($O$15,0,$DO374,$B$8,1),OFFSET($M$15,0,0,$B$8,1))=DS$14))   /   SUM(OFFSET($BO$15,0,0,$B$14,1)) + $B$18/($B$19*$B$19*($DN374&lt;&gt;$DO374) + $B$19*($DN374=$DO374))</f>
        <v>3.7037037037037035E-4</v>
      </c>
      <c r="DT374" s="10" cm="1">
        <f t="array" aca="1" ref="DT374" ca="1">(1-$B$18)*SUMPRODUCT(OFFSET($BO$15,0,0,$B$14,1), 1*(_xlfn._xlws.FILTER(OFFSET($O$15,0,$DN374,$B$8,1),OFFSET($M$15,0,0,$B$8,1))=DT$13), 1*(_xlfn._xlws.FILTER(OFFSET($O$15,0,$DO374,$B$8,1),OFFSET($M$15,0,0,$B$8,1))=DT$14))   /   SUM(OFFSET($BO$15,0,0,$B$14,1)) + $B$18/($B$19*$B$19*($DN374&lt;&gt;$DO374) + $B$19*($DN374=$DO374))</f>
        <v>3.7037037037037035E-4</v>
      </c>
      <c r="DU374" s="10" cm="1">
        <f t="array" aca="1" ref="DU374" ca="1">(1-$B$18)*SUMPRODUCT(OFFSET($BO$15,0,0,$B$14,1), 1*(_xlfn._xlws.FILTER(OFFSET($O$15,0,$DN374,$B$8,1),OFFSET($M$15,0,0,$B$8,1))=DU$13), 1*(_xlfn._xlws.FILTER(OFFSET($O$15,0,$DO374,$B$8,1),OFFSET($M$15,0,0,$B$8,1))=DU$14))   /   SUM(OFFSET($BO$15,0,0,$B$14,1)) + $B$18/($B$19*$B$19*($DN374&lt;&gt;$DO374) + $B$19*($DN374=$DO374))</f>
        <v>3.7037037037037035E-4</v>
      </c>
      <c r="DV374" s="10" cm="1">
        <f t="array" aca="1" ref="DV374" ca="1">(1-$B$18)*SUMPRODUCT(OFFSET($BO$15,0,0,$B$14,1), 1*(_xlfn._xlws.FILTER(OFFSET($O$15,0,$DN374,$B$8,1),OFFSET($M$15,0,0,$B$8,1))=DV$13), 1*(_xlfn._xlws.FILTER(OFFSET($O$15,0,$DO374,$B$8,1),OFFSET($M$15,0,0,$B$8,1))=DV$14))   /   SUM(OFFSET($BO$15,0,0,$B$14,1)) + $B$18/($B$19*$B$19*($DN374&lt;&gt;$DO374) + $B$19*($DN374=$DO374))</f>
        <v>3.7037037037037035E-4</v>
      </c>
      <c r="DW374" s="10" cm="1">
        <f t="array" aca="1" ref="DW374" ca="1">(1-$B$18)*SUMPRODUCT(OFFSET($BO$15,0,0,$B$14,1), 1*(_xlfn._xlws.FILTER(OFFSET($O$15,0,$DN374,$B$8,1),OFFSET($M$15,0,0,$B$8,1))=DW$13), 1*(_xlfn._xlws.FILTER(OFFSET($O$15,0,$DO374,$B$8,1),OFFSET($M$15,0,0,$B$8,1))=DW$14))   /   SUM(OFFSET($BO$15,0,0,$B$14,1)) + $B$18/($B$19*$B$19*($DN374&lt;&gt;$DO374) + $B$19*($DN374=$DO374))</f>
        <v>3.7037037037037035E-4</v>
      </c>
      <c r="DX374" s="10" cm="1">
        <f t="array" aca="1" ref="DX374" ca="1">(1-$B$18)*SUMPRODUCT(OFFSET($BO$15,0,0,$B$14,1), 1*(_xlfn._xlws.FILTER(OFFSET($O$15,0,$DN374,$B$8,1),OFFSET($M$15,0,0,$B$8,1))=DX$13), 1*(_xlfn._xlws.FILTER(OFFSET($O$15,0,$DO374,$B$8,1),OFFSET($M$15,0,0,$B$8,1))=DX$14))   /   SUM(OFFSET($BO$15,0,0,$B$14,1)) + $B$18/($B$19*$B$19*($DN374&lt;&gt;$DO374) + $B$19*($DN374=$DO374))</f>
        <v>3.7037037037037035E-4</v>
      </c>
      <c r="DY374" s="10" cm="1">
        <f t="array" aca="1" ref="DY374" ca="1">(1-$B$18)*SUMPRODUCT(OFFSET($BO$15,0,0,$B$14,1), 1*(_xlfn._xlws.FILTER(OFFSET($O$15,0,$DN374,$B$8,1),OFFSET($M$15,0,0,$B$8,1))=DY$13), 1*(_xlfn._xlws.FILTER(OFFSET($O$15,0,$DO374,$B$8,1),OFFSET($M$15,0,0,$B$8,1))=DY$14))   /   SUM(OFFSET($BO$15,0,0,$B$14,1)) + $B$18/($B$19*$B$19*($DN374&lt;&gt;$DO374) + $B$19*($DN374=$DO374))</f>
        <v>3.7037037037037035E-4</v>
      </c>
      <c r="DZ374" s="10" cm="1">
        <f t="array" aca="1" ref="DZ374" ca="1">(1-$B$18)*SUMPRODUCT(OFFSET($BO$15,0,0,$B$14,1), 1*(_xlfn._xlws.FILTER(OFFSET($O$15,0,$DN374,$B$8,1),OFFSET($M$15,0,0,$B$8,1))=DZ$13), 1*(_xlfn._xlws.FILTER(OFFSET($O$15,0,$DO374,$B$8,1),OFFSET($M$15,0,0,$B$8,1))=DZ$14))   /   SUM(OFFSET($BO$15,0,0,$B$14,1)) + $B$18/($B$19*$B$19*($DN374&lt;&gt;$DO374) + $B$19*($DN374=$DO374))</f>
        <v>3.7037037037037035E-4</v>
      </c>
      <c r="EA374" s="10" cm="1">
        <f t="array" aca="1" ref="EA374" ca="1">(1-$B$18)*SUMPRODUCT(OFFSET($BO$15,0,0,$B$14,1), 1*(_xlfn._xlws.FILTER(OFFSET($O$15,0,$DN374,$B$8,1),OFFSET($M$15,0,0,$B$8,1))=EA$13), 1*(_xlfn._xlws.FILTER(OFFSET($O$15,0,$DO374,$B$8,1),OFFSET($M$15,0,0,$B$8,1))=EA$14))   /   SUM(OFFSET($BO$15,0,0,$B$14,1)) + $B$18/($B$19*$B$19*($DN374&lt;&gt;$DO374) + $B$19*($DN374=$DO374))</f>
        <v>3.7037037037037035E-4</v>
      </c>
      <c r="EB374" s="10" cm="1">
        <f t="array" aca="1" ref="EB374" ca="1">(1-$B$18)*SUMPRODUCT(OFFSET($BO$15,0,0,$B$14,1), 1*(_xlfn._xlws.FILTER(OFFSET($O$15,0,$DN374,$B$8,1),OFFSET($M$15,0,0,$B$8,1))=EB$13), 1*(_xlfn._xlws.FILTER(OFFSET($O$15,0,$DO374,$B$8,1),OFFSET($M$15,0,0,$B$8,1))=EB$14))   /   SUM(OFFSET($BO$15,0,0,$B$14,1)) + $B$18/($B$19*$B$19*($DN374&lt;&gt;$DO374) + $B$19*($DN374=$DO374))</f>
        <v>3.7037037037037035E-4</v>
      </c>
      <c r="EC374" s="10" cm="1">
        <f t="array" aca="1" ref="EC374" ca="1">(1-$B$18)*SUMPRODUCT(OFFSET($BO$15,0,0,$B$14,1), 1*(_xlfn._xlws.FILTER(OFFSET($O$15,0,$DN374,$B$8,1),OFFSET($M$15,0,0,$B$8,1))=EC$13), 1*(_xlfn._xlws.FILTER(OFFSET($O$15,0,$DO374,$B$8,1),OFFSET($M$15,0,0,$B$8,1))=EC$14))   /   SUM(OFFSET($BO$15,0,0,$B$14,1)) + $B$18/($B$19*$B$19*($DN374&lt;&gt;$DO374) + $B$19*($DN374=$DO374))</f>
        <v>3.7037037037037035E-4</v>
      </c>
      <c r="ED374" s="10" cm="1">
        <f t="array" aca="1" ref="ED374" ca="1">(1-$B$18)*SUMPRODUCT(OFFSET($BO$15,0,0,$B$14,1), 1*(_xlfn._xlws.FILTER(OFFSET($O$15,0,$DN374,$B$8,1),OFFSET($M$15,0,0,$B$8,1))=ED$13), 1*(_xlfn._xlws.FILTER(OFFSET($O$15,0,$DO374,$B$8,1),OFFSET($M$15,0,0,$B$8,1))=ED$14))   /   SUM(OFFSET($BO$15,0,0,$B$14,1)) + $B$18/($B$19*$B$19*($DN374&lt;&gt;$DO374) + $B$19*($DN374=$DO374))</f>
        <v>3.7037037037037035E-4</v>
      </c>
      <c r="EE374" s="10" cm="1">
        <f t="array" aca="1" ref="EE374" ca="1">(1-$B$18)*SUMPRODUCT(OFFSET($BO$15,0,0,$B$14,1), 1*(_xlfn._xlws.FILTER(OFFSET($O$15,0,$DN374,$B$8,1),OFFSET($M$15,0,0,$B$8,1))=EE$13), 1*(_xlfn._xlws.FILTER(OFFSET($O$15,0,$DO374,$B$8,1),OFFSET($M$15,0,0,$B$8,1))=EE$14))   /   SUM(OFFSET($BO$15,0,0,$B$14,1)) + $B$18/($B$19*$B$19*($DN374&lt;&gt;$DO374) + $B$19*($DN374=$DO374))</f>
        <v>3.7037037037037035E-4</v>
      </c>
      <c r="EF374" s="10" cm="1">
        <f t="array" aca="1" ref="EF374" ca="1">(1-$B$18)*SUMPRODUCT(OFFSET($BO$15,0,0,$B$14,1), 1*(_xlfn._xlws.FILTER(OFFSET($O$15,0,$DN374,$B$8,1),OFFSET($M$15,0,0,$B$8,1))=EF$13), 1*(_xlfn._xlws.FILTER(OFFSET($O$15,0,$DO374,$B$8,1),OFFSET($M$15,0,0,$B$8,1))=EF$14))   /   SUM(OFFSET($BO$15,0,0,$B$14,1)) + $B$18/($B$19*$B$19*($DN374&lt;&gt;$DO374) + $B$19*($DN374=$DO374))</f>
        <v>3.7037037037037035E-4</v>
      </c>
      <c r="EG374" s="10" cm="1">
        <f t="array" aca="1" ref="EG374" ca="1">(1-$B$18)*SUMPRODUCT(OFFSET($BO$15,0,0,$B$14,1), 1*(_xlfn._xlws.FILTER(OFFSET($O$15,0,$DN374,$B$8,1),OFFSET($M$15,0,0,$B$8,1))=EG$13), 1*(_xlfn._xlws.FILTER(OFFSET($O$15,0,$DO374,$B$8,1),OFFSET($M$15,0,0,$B$8,1))=EG$14))   /   SUM(OFFSET($BO$15,0,0,$B$14,1)) + $B$18/($B$19*$B$19*($DN374&lt;&gt;$DO374) + $B$19*($DN374=$DO374))</f>
        <v>3.7037037037037035E-4</v>
      </c>
      <c r="EH374" s="10" cm="1">
        <f t="array" aca="1" ref="EH374" ca="1">(1-$B$18)*SUMPRODUCT(OFFSET($BO$15,0,0,$B$14,1), 1*(_xlfn._xlws.FILTER(OFFSET($O$15,0,$DN374,$B$8,1),OFFSET($M$15,0,0,$B$8,1))=EH$13), 1*(_xlfn._xlws.FILTER(OFFSET($O$15,0,$DO374,$B$8,1),OFFSET($M$15,0,0,$B$8,1))=EH$14))   /   SUM(OFFSET($BO$15,0,0,$B$14,1)) + $B$18/($B$19*$B$19*($DN374&lt;&gt;$DO374) + $B$19*($DN374=$DO374))</f>
        <v>3.7037037037037035E-4</v>
      </c>
      <c r="EI374" s="10" cm="1">
        <f t="array" aca="1" ref="EI374" ca="1">(1-$B$18)*SUMPRODUCT(OFFSET($BO$15,0,0,$B$14,1), 1*(_xlfn._xlws.FILTER(OFFSET($O$15,0,$DN374,$B$8,1),OFFSET($M$15,0,0,$B$8,1))=EI$13), 1*(_xlfn._xlws.FILTER(OFFSET($O$15,0,$DO374,$B$8,1),OFFSET($M$15,0,0,$B$8,1))=EI$14))   /   SUM(OFFSET($BO$15,0,0,$B$14,1)) + $B$18/($B$19*$B$19*($DN374&lt;&gt;$DO374) + $B$19*($DN374=$DO374))</f>
        <v>3.7037037037037035E-4</v>
      </c>
      <c r="EJ374" s="10" cm="1">
        <f t="array" aca="1" ref="EJ374" ca="1">(1-$B$18)*SUMPRODUCT(OFFSET($BO$15,0,0,$B$14,1), 1*(_xlfn._xlws.FILTER(OFFSET($O$15,0,$DN374,$B$8,1),OFFSET($M$15,0,0,$B$8,1))=EJ$13), 1*(_xlfn._xlws.FILTER(OFFSET($O$15,0,$DO374,$B$8,1),OFFSET($M$15,0,0,$B$8,1))=EJ$14))   /   SUM(OFFSET($BO$15,0,0,$B$14,1)) + $B$18/($B$19*$B$19*($DN374&lt;&gt;$DO374) + $B$19*($DN374=$DO374))</f>
        <v>3.7037037037037035E-4</v>
      </c>
      <c r="EK374" s="10" cm="1">
        <f t="array" aca="1" ref="EK374" ca="1">(1-$B$18)*SUMPRODUCT(OFFSET($BO$15,0,0,$B$14,1), 1*(_xlfn._xlws.FILTER(OFFSET($O$15,0,$DN374,$B$8,1),OFFSET($M$15,0,0,$B$8,1))=EK$13), 1*(_xlfn._xlws.FILTER(OFFSET($O$15,0,$DO374,$B$8,1),OFFSET($M$15,0,0,$B$8,1))=EK$14))   /   SUM(OFFSET($BO$15,0,0,$B$14,1)) + $B$18/($B$19*$B$19*($DN374&lt;&gt;$DO374) + $B$19*($DN374=$DO374))</f>
        <v>3.7037037037037035E-4</v>
      </c>
      <c r="EL374" s="10" cm="1">
        <f t="array" aca="1" ref="EL374" ca="1">(1-$B$18)*SUMPRODUCT(OFFSET($BO$15,0,0,$B$14,1), 1*(_xlfn._xlws.FILTER(OFFSET($O$15,0,$DN374,$B$8,1),OFFSET($M$15,0,0,$B$8,1))=EL$13), 1*(_xlfn._xlws.FILTER(OFFSET($O$15,0,$DO374,$B$8,1),OFFSET($M$15,0,0,$B$8,1))=EL$14))   /   SUM(OFFSET($BO$15,0,0,$B$14,1)) + $B$18/($B$19*$B$19*($DN374&lt;&gt;$DO374) + $B$19*($DN374=$DO374))</f>
        <v>3.7037037037037035E-4</v>
      </c>
      <c r="EM374" s="10" cm="1">
        <f t="array" aca="1" ref="EM374" ca="1">(1-$B$18)*SUMPRODUCT(OFFSET($BO$15,0,0,$B$14,1), 1*(_xlfn._xlws.FILTER(OFFSET($O$15,0,$DN374,$B$8,1),OFFSET($M$15,0,0,$B$8,1))=EM$13), 1*(_xlfn._xlws.FILTER(OFFSET($O$15,0,$DO374,$B$8,1),OFFSET($M$15,0,0,$B$8,1))=EM$14))   /   SUM(OFFSET($BO$15,0,0,$B$14,1)) + $B$18/($B$19*$B$19*($DN374&lt;&gt;$DO374) + $B$19*($DN374=$DO374))</f>
        <v>3.7037037037037035E-4</v>
      </c>
      <c r="EN374" s="10" cm="1">
        <f t="array" aca="1" ref="EN374" ca="1">(1-$B$18)*SUMPRODUCT(OFFSET($BO$15,0,0,$B$14,1), 1*(_xlfn._xlws.FILTER(OFFSET($O$15,0,$DN374,$B$8,1),OFFSET($M$15,0,0,$B$8,1))=EN$13), 1*(_xlfn._xlws.FILTER(OFFSET($O$15,0,$DO374,$B$8,1),OFFSET($M$15,0,0,$B$8,1))=EN$14))   /   SUM(OFFSET($BO$15,0,0,$B$14,1)) + $B$18/($B$19*$B$19*($DN374&lt;&gt;$DO374) + $B$19*($DN374=$DO374))</f>
        <v>3.7037037037037035E-4</v>
      </c>
      <c r="EO374" s="10" cm="1">
        <f t="array" aca="1" ref="EO374" ca="1">(1-$B$18)*SUMPRODUCT(OFFSET($BO$15,0,0,$B$14,1), 1*(_xlfn._xlws.FILTER(OFFSET($O$15,0,$DN374,$B$8,1),OFFSET($M$15,0,0,$B$8,1))=EO$13), 1*(_xlfn._xlws.FILTER(OFFSET($O$15,0,$DO374,$B$8,1),OFFSET($M$15,0,0,$B$8,1))=EO$14))   /   SUM(OFFSET($BO$15,0,0,$B$14,1)) + $B$18/($B$19*$B$19*($DN374&lt;&gt;$DO374) + $B$19*($DN374=$DO374))</f>
        <v>3.7037037037037035E-4</v>
      </c>
      <c r="EP374" s="10" cm="1">
        <f t="array" aca="1" ref="EP374" ca="1">(1-$B$18)*SUMPRODUCT(OFFSET($BO$15,0,0,$B$14,1), 1*(_xlfn._xlws.FILTER(OFFSET($O$15,0,$DN374,$B$8,1),OFFSET($M$15,0,0,$B$8,1))=EP$13), 1*(_xlfn._xlws.FILTER(OFFSET($O$15,0,$DO374,$B$8,1),OFFSET($M$15,0,0,$B$8,1))=EP$14))   /   SUM(OFFSET($BO$15,0,0,$B$14,1)) + $B$18/($B$19*$B$19*($DN374&lt;&gt;$DO374) + $B$19*($DN374=$DO374))</f>
        <v>3.7037037037037035E-4</v>
      </c>
      <c r="EQ374" s="10" cm="1">
        <f t="array" aca="1" ref="EQ374" ca="1">(1-$B$18)*SUMPRODUCT(OFFSET($BO$15,0,0,$B$14,1), 1*(_xlfn._xlws.FILTER(OFFSET($O$15,0,$DN374,$B$8,1),OFFSET($M$15,0,0,$B$8,1))=EQ$13), 1*(_xlfn._xlws.FILTER(OFFSET($O$15,0,$DO374,$B$8,1),OFFSET($M$15,0,0,$B$8,1))=EQ$14))   /   SUM(OFFSET($BO$15,0,0,$B$14,1)) + $B$18/($B$19*$B$19*($DN374&lt;&gt;$DO374) + $B$19*($DN374=$DO374))</f>
        <v>3.7037037037037035E-4</v>
      </c>
      <c r="ER374" s="10" cm="1">
        <f t="array" aca="1" ref="ER374" ca="1">(1-$B$18)*SUMPRODUCT(OFFSET($BO$15,0,0,$B$14,1), 1*(_xlfn._xlws.FILTER(OFFSET($O$15,0,$DN374,$B$8,1),OFFSET($M$15,0,0,$B$8,1))=ER$13), 1*(_xlfn._xlws.FILTER(OFFSET($O$15,0,$DO374,$B$8,1),OFFSET($M$15,0,0,$B$8,1))=ER$14))   /   SUM(OFFSET($BO$15,0,0,$B$14,1)) + $B$18/($B$19*$B$19*($DN374&lt;&gt;$DO374) + $B$19*($DN374=$DO374))</f>
        <v>3.7037037037037035E-4</v>
      </c>
      <c r="ES374" s="10" cm="1">
        <f t="array" aca="1" ref="ES374" ca="1">(1-$B$18)*SUMPRODUCT(OFFSET($BO$15,0,0,$B$14,1), 1*(_xlfn._xlws.FILTER(OFFSET($O$15,0,$DN374,$B$8,1),OFFSET($M$15,0,0,$B$8,1))=ES$13), 1*(_xlfn._xlws.FILTER(OFFSET($O$15,0,$DO374,$B$8,1),OFFSET($M$15,0,0,$B$8,1))=ES$14))   /   SUM(OFFSET($BO$15,0,0,$B$14,1)) + $B$18/($B$19*$B$19*($DN374&lt;&gt;$DO374) + $B$19*($DN374=$DO374))</f>
        <v>3.7037037037037035E-4</v>
      </c>
      <c r="ET374" s="10" cm="1">
        <f t="array" aca="1" ref="ET374" ca="1">(1-$B$18)*SUMPRODUCT(OFFSET($BO$15,0,0,$B$14,1), 1*(_xlfn._xlws.FILTER(OFFSET($O$15,0,$DN374,$B$8,1),OFFSET($M$15,0,0,$B$8,1))=ET$13), 1*(_xlfn._xlws.FILTER(OFFSET($O$15,0,$DO374,$B$8,1),OFFSET($M$15,0,0,$B$8,1))=ET$14))   /   SUM(OFFSET($BO$15,0,0,$B$14,1)) + $B$18/($B$19*$B$19*($DN374&lt;&gt;$DO374) + $B$19*($DN374=$DO374))</f>
        <v>3.7037037037037035E-4</v>
      </c>
      <c r="EU374" s="10" cm="1">
        <f t="array" aca="1" ref="EU374" ca="1">(1-$B$18)*SUMPRODUCT(OFFSET($BO$15,0,0,$B$14,1), 1*(_xlfn._xlws.FILTER(OFFSET($O$15,0,$DN374,$B$8,1),OFFSET($M$15,0,0,$B$8,1))=EU$13), 1*(_xlfn._xlws.FILTER(OFFSET($O$15,0,$DO374,$B$8,1),OFFSET($M$15,0,0,$B$8,1))=EU$14))   /   SUM(OFFSET($BO$15,0,0,$B$14,1)) + $B$18/($B$19*$B$19*($DN374&lt;&gt;$DO374) + $B$19*($DN374=$DO374))</f>
        <v>3.7037037037037035E-4</v>
      </c>
      <c r="EV374" s="10" cm="1">
        <f t="array" aca="1" ref="EV374" ca="1">(1-$B$18)*SUMPRODUCT(OFFSET($BO$15,0,0,$B$14,1), 1*(_xlfn._xlws.FILTER(OFFSET($O$15,0,$DN374,$B$8,1),OFFSET($M$15,0,0,$B$8,1))=EV$13), 1*(_xlfn._xlws.FILTER(OFFSET($O$15,0,$DO374,$B$8,1),OFFSET($M$15,0,0,$B$8,1))=EV$14))   /   SUM(OFFSET($BO$15,0,0,$B$14,1)) + $B$18/($B$19*$B$19*($DN374&lt;&gt;$DO374) + $B$19*($DN374=$DO374))</f>
        <v>3.7037037037037035E-4</v>
      </c>
      <c r="EW374" s="10" cm="1">
        <f t="array" aca="1" ref="EW374" ca="1">(1-$B$18)*SUMPRODUCT(OFFSET($BO$15,0,0,$B$14,1), 1*(_xlfn._xlws.FILTER(OFFSET($O$15,0,$DN374,$B$8,1),OFFSET($M$15,0,0,$B$8,1))=EW$13), 1*(_xlfn._xlws.FILTER(OFFSET($O$15,0,$DO374,$B$8,1),OFFSET($M$15,0,0,$B$8,1))=EW$14))   /   SUM(OFFSET($BO$15,0,0,$B$14,1)) + $B$18/($B$19*$B$19*($DN374&lt;&gt;$DO374) + $B$19*($DN374=$DO374))</f>
        <v>3.7037037037037035E-4</v>
      </c>
      <c r="EX374" s="10" cm="1">
        <f t="array" aca="1" ref="EX374" ca="1">(1-$B$18)*SUMPRODUCT(OFFSET($BO$15,0,0,$B$14,1), 1*(_xlfn._xlws.FILTER(OFFSET($O$15,0,$DN374,$B$8,1),OFFSET($M$15,0,0,$B$8,1))=EX$13), 1*(_xlfn._xlws.FILTER(OFFSET($O$15,0,$DO374,$B$8,1),OFFSET($M$15,0,0,$B$8,1))=EX$14))   /   SUM(OFFSET($BO$15,0,0,$B$14,1)) + $B$18/($B$19*$B$19*($DN374&lt;&gt;$DO374) + $B$19*($DN374=$DO374))</f>
        <v>3.7037037037037035E-4</v>
      </c>
      <c r="EY374" s="10" cm="1">
        <f t="array" aca="1" ref="EY374" ca="1">(1-$B$18)*SUMPRODUCT(OFFSET($BO$15,0,0,$B$14,1), 1*(_xlfn._xlws.FILTER(OFFSET($O$15,0,$DN374,$B$8,1),OFFSET($M$15,0,0,$B$8,1))=EY$13), 1*(_xlfn._xlws.FILTER(OFFSET($O$15,0,$DO374,$B$8,1),OFFSET($M$15,0,0,$B$8,1))=EY$14))   /   SUM(OFFSET($BO$15,0,0,$B$14,1)) + $B$18/($B$19*$B$19*($DN374&lt;&gt;$DO374) + $B$19*($DN374=$DO374))</f>
        <v>3.7037037037037035E-4</v>
      </c>
      <c r="EZ374" s="10" cm="1">
        <f t="array" aca="1" ref="EZ374" ca="1">(1-$B$18)*SUMPRODUCT(OFFSET($BO$15,0,0,$B$14,1), 1*(_xlfn._xlws.FILTER(OFFSET($O$15,0,$DN374,$B$8,1),OFFSET($M$15,0,0,$B$8,1))=EZ$13), 1*(_xlfn._xlws.FILTER(OFFSET($O$15,0,$DO374,$B$8,1),OFFSET($M$15,0,0,$B$8,1))=EZ$14))   /   SUM(OFFSET($BO$15,0,0,$B$14,1)) + $B$18/($B$19*$B$19*($DN374&lt;&gt;$DO374) + $B$19*($DN374=$DO374))</f>
        <v>0.24287037037037024</v>
      </c>
      <c r="FA374" s="10" cm="1">
        <f t="array" aca="1" ref="FA374" ca="1">(1-$B$18)*SUMPRODUCT(OFFSET($BO$15,0,0,$B$14,1), 1*(_xlfn._xlws.FILTER(OFFSET($O$15,0,$DN374,$B$8,1),OFFSET($M$15,0,0,$B$8,1))=FA$13), 1*(_xlfn._xlws.FILTER(OFFSET($O$15,0,$DO374,$B$8,1),OFFSET($M$15,0,0,$B$8,1))=FA$14))   /   SUM(OFFSET($BO$15,0,0,$B$14,1)) + $B$18/($B$19*$B$19*($DN374&lt;&gt;$DO374) + $B$19*($DN374=$DO374))</f>
        <v>3.7037037037037035E-4</v>
      </c>
      <c r="FB374" s="10" cm="1">
        <f t="array" aca="1" ref="FB374" ca="1">(1-$B$18)*SUMPRODUCT(OFFSET($BO$15,0,0,$B$14,1), 1*(_xlfn._xlws.FILTER(OFFSET($O$15,0,$DN374,$B$8,1),OFFSET($M$15,0,0,$B$8,1))=FB$13), 1*(_xlfn._xlws.FILTER(OFFSET($O$15,0,$DO374,$B$8,1),OFFSET($M$15,0,0,$B$8,1))=FB$14))   /   SUM(OFFSET($BO$15,0,0,$B$14,1)) + $B$18/($B$19*$B$19*($DN374&lt;&gt;$DO374) + $B$19*($DN374=$DO374))</f>
        <v>3.7037037037037035E-4</v>
      </c>
      <c r="FC374" s="10" cm="1">
        <f t="array" aca="1" ref="FC374" ca="1">(1-$B$18)*SUMPRODUCT(OFFSET($BO$15,0,0,$B$14,1), 1*(_xlfn._xlws.FILTER(OFFSET($O$15,0,$DN374,$B$8,1),OFFSET($M$15,0,0,$B$8,1))=FC$13), 1*(_xlfn._xlws.FILTER(OFFSET($O$15,0,$DO374,$B$8,1),OFFSET($M$15,0,0,$B$8,1))=FC$14))   /   SUM(OFFSET($BO$15,0,0,$B$14,1)) + $B$18/($B$19*$B$19*($DN374&lt;&gt;$DO374) + $B$19*($DN374=$DO374))</f>
        <v>3.7037037037037035E-4</v>
      </c>
      <c r="FD374" s="10" cm="1">
        <f t="array" aca="1" ref="FD374" ca="1">(1-$B$18)*SUMPRODUCT(OFFSET($BO$15,0,0,$B$14,1), 1*(_xlfn._xlws.FILTER(OFFSET($O$15,0,$DN374,$B$8,1),OFFSET($M$15,0,0,$B$8,1))=FD$13), 1*(_xlfn._xlws.FILTER(OFFSET($O$15,0,$DO374,$B$8,1),OFFSET($M$15,0,0,$B$8,1))=FD$14))   /   SUM(OFFSET($BO$15,0,0,$B$14,1)) + $B$18/($B$19*$B$19*($DN374&lt;&gt;$DO374) + $B$19*($DN374=$DO374))</f>
        <v>3.7037037037037035E-4</v>
      </c>
      <c r="FE374" s="10" cm="1">
        <f t="array" aca="1" ref="FE374" ca="1">(1-$B$18)*SUMPRODUCT(OFFSET($BO$15,0,0,$B$14,1), 1*(_xlfn._xlws.FILTER(OFFSET($O$15,0,$DN374,$B$8,1),OFFSET($M$15,0,0,$B$8,1))=FE$13), 1*(_xlfn._xlws.FILTER(OFFSET($O$15,0,$DO374,$B$8,1),OFFSET($M$15,0,0,$B$8,1))=FE$14))   /   SUM(OFFSET($BO$15,0,0,$B$14,1)) + $B$18/($B$19*$B$19*($DN374&lt;&gt;$DO374) + $B$19*($DN374=$DO374))</f>
        <v>3.7037037037037035E-4</v>
      </c>
      <c r="FF374" s="10" cm="1">
        <f t="array" aca="1" ref="FF374" ca="1">(1-$B$18)*SUMPRODUCT(OFFSET($BO$15,0,0,$B$14,1), 1*(_xlfn._xlws.FILTER(OFFSET($O$15,0,$DN374,$B$8,1),OFFSET($M$15,0,0,$B$8,1))=FF$13), 1*(_xlfn._xlws.FILTER(OFFSET($O$15,0,$DO374,$B$8,1),OFFSET($M$15,0,0,$B$8,1))=FF$14))   /   SUM(OFFSET($BO$15,0,0,$B$14,1)) + $B$18/($B$19*$B$19*($DN374&lt;&gt;$DO374) + $B$19*($DN374=$DO374))</f>
        <v>3.7037037037037035E-4</v>
      </c>
      <c r="FG374" s="10" cm="1">
        <f t="array" aca="1" ref="FG374" ca="1">(1-$B$18)*SUMPRODUCT(OFFSET($BO$15,0,0,$B$14,1), 1*(_xlfn._xlws.FILTER(OFFSET($O$15,0,$DN374,$B$8,1),OFFSET($M$15,0,0,$B$8,1))=FG$13), 1*(_xlfn._xlws.FILTER(OFFSET($O$15,0,$DO374,$B$8,1),OFFSET($M$15,0,0,$B$8,1))=FG$14))   /   SUM(OFFSET($BO$15,0,0,$B$14,1)) + $B$18/($B$19*$B$19*($DN374&lt;&gt;$DO374) + $B$19*($DN374=$DO374))</f>
        <v>3.7037037037037035E-4</v>
      </c>
      <c r="FH374" s="10" cm="1">
        <f t="array" aca="1" ref="FH374" ca="1">(1-$B$18)*SUMPRODUCT(OFFSET($BO$15,0,0,$B$14,1), 1*(_xlfn._xlws.FILTER(OFFSET($O$15,0,$DN374,$B$8,1),OFFSET($M$15,0,0,$B$8,1))=FH$13), 1*(_xlfn._xlws.FILTER(OFFSET($O$15,0,$DO374,$B$8,1),OFFSET($M$15,0,0,$B$8,1))=FH$14))   /   SUM(OFFSET($BO$15,0,0,$B$14,1)) + $B$18/($B$19*$B$19*($DN374&lt;&gt;$DO374) + $B$19*($DN374=$DO374))</f>
        <v>3.7037037037037035E-4</v>
      </c>
      <c r="FI374" s="10" cm="1">
        <f t="array" aca="1" ref="FI374" ca="1">(1-$B$18)*SUMPRODUCT(OFFSET($BO$15,0,0,$B$14,1), 1*(_xlfn._xlws.FILTER(OFFSET($O$15,0,$DN374,$B$8,1),OFFSET($M$15,0,0,$B$8,1))=FI$13), 1*(_xlfn._xlws.FILTER(OFFSET($O$15,0,$DO374,$B$8,1),OFFSET($M$15,0,0,$B$8,1))=FI$14))   /   SUM(OFFSET($BO$15,0,0,$B$14,1)) + $B$18/($B$19*$B$19*($DN374&lt;&gt;$DO374) + $B$19*($DN374=$DO374))</f>
        <v>3.7037037037037035E-4</v>
      </c>
      <c r="FJ374" s="10" cm="1">
        <f t="array" aca="1" ref="FJ374" ca="1">(1-$B$18)*SUMPRODUCT(OFFSET($BO$15,0,0,$B$14,1), 1*(_xlfn._xlws.FILTER(OFFSET($O$15,0,$DN374,$B$8,1),OFFSET($M$15,0,0,$B$8,1))=FJ$13), 1*(_xlfn._xlws.FILTER(OFFSET($O$15,0,$DO374,$B$8,1),OFFSET($M$15,0,0,$B$8,1))=FJ$14))   /   SUM(OFFSET($BO$15,0,0,$B$14,1)) + $B$18/($B$19*$B$19*($DN374&lt;&gt;$DO374) + $B$19*($DN374=$DO374))</f>
        <v>0.48537037037037012</v>
      </c>
      <c r="FK374" s="10" cm="1">
        <f t="array" aca="1" ref="FK374" ca="1">(1-$B$18)*SUMPRODUCT(OFFSET($BO$15,0,0,$B$14,1), 1*(_xlfn._xlws.FILTER(OFFSET($O$15,0,$DN374,$B$8,1),OFFSET($M$15,0,0,$B$8,1))=FK$13), 1*(_xlfn._xlws.FILTER(OFFSET($O$15,0,$DO374,$B$8,1),OFFSET($M$15,0,0,$B$8,1))=FK$14))   /   SUM(OFFSET($BO$15,0,0,$B$14,1)) + $B$18/($B$19*$B$19*($DN374&lt;&gt;$DO374) + $B$19*($DN374=$DO374))</f>
        <v>3.7037037037037035E-4</v>
      </c>
      <c r="FL374" s="10" cm="1">
        <f t="array" aca="1" ref="FL374" ca="1">(1-$B$18)*SUMPRODUCT(OFFSET($BO$15,0,0,$B$14,1), 1*(_xlfn._xlws.FILTER(OFFSET($O$15,0,$DN374,$B$8,1),OFFSET($M$15,0,0,$B$8,1))=FL$13), 1*(_xlfn._xlws.FILTER(OFFSET($O$15,0,$DO374,$B$8,1),OFFSET($M$15,0,0,$B$8,1))=FL$14))   /   SUM(OFFSET($BO$15,0,0,$B$14,1)) + $B$18/($B$19*$B$19*($DN374&lt;&gt;$DO374) + $B$19*($DN374=$DO374))</f>
        <v>3.7037037037037035E-4</v>
      </c>
      <c r="FM374" s="10" cm="1">
        <f t="array" aca="1" ref="FM374" ca="1">(1-$B$18)*SUMPRODUCT(OFFSET($BO$15,0,0,$B$14,1), 1*(_xlfn._xlws.FILTER(OFFSET($O$15,0,$DN374,$B$8,1),OFFSET($M$15,0,0,$B$8,1))=FM$13), 1*(_xlfn._xlws.FILTER(OFFSET($O$15,0,$DO374,$B$8,1),OFFSET($M$15,0,0,$B$8,1))=FM$14))   /   SUM(OFFSET($BO$15,0,0,$B$14,1)) + $B$18/($B$19*$B$19*($DN374&lt;&gt;$DO374) + $B$19*($DN374=$DO374))</f>
        <v>3.7037037037037035E-4</v>
      </c>
      <c r="FN374" s="10" cm="1">
        <f t="array" aca="1" ref="FN374" ca="1">(1-$B$18)*SUMPRODUCT(OFFSET($BO$15,0,0,$B$14,1), 1*(_xlfn._xlws.FILTER(OFFSET($O$15,0,$DN374,$B$8,1),OFFSET($M$15,0,0,$B$8,1))=FN$13), 1*(_xlfn._xlws.FILTER(OFFSET($O$15,0,$DO374,$B$8,1),OFFSET($M$15,0,0,$B$8,1))=FN$14))   /   SUM(OFFSET($BO$15,0,0,$B$14,1)) + $B$18/($B$19*$B$19*($DN374&lt;&gt;$DO374) + $B$19*($DN374=$DO374))</f>
        <v>3.7037037037037035E-4</v>
      </c>
      <c r="FO374" s="10" cm="1">
        <f t="array" aca="1" ref="FO374" ca="1">(1-$B$18)*SUMPRODUCT(OFFSET($BO$15,0,0,$B$14,1), 1*(_xlfn._xlws.FILTER(OFFSET($O$15,0,$DN374,$B$8,1),OFFSET($M$15,0,0,$B$8,1))=FO$13), 1*(_xlfn._xlws.FILTER(OFFSET($O$15,0,$DO374,$B$8,1),OFFSET($M$15,0,0,$B$8,1))=FO$14))   /   SUM(OFFSET($BO$15,0,0,$B$14,1)) + $B$18/($B$19*$B$19*($DN374&lt;&gt;$DO374) + $B$19*($DN374=$DO374))</f>
        <v>3.7037037037037035E-4</v>
      </c>
      <c r="FP374" s="10" cm="1">
        <f t="array" aca="1" ref="FP374" ca="1">(1-$B$18)*SUMPRODUCT(OFFSET($BO$15,0,0,$B$14,1), 1*(_xlfn._xlws.FILTER(OFFSET($O$15,0,$DN374,$B$8,1),OFFSET($M$15,0,0,$B$8,1))=FP$13), 1*(_xlfn._xlws.FILTER(OFFSET($O$15,0,$DO374,$B$8,1),OFFSET($M$15,0,0,$B$8,1))=FP$14))   /   SUM(OFFSET($BO$15,0,0,$B$14,1)) + $B$18/($B$19*$B$19*($DN374&lt;&gt;$DO374) + $B$19*($DN374=$DO374))</f>
        <v>3.7037037037037035E-4</v>
      </c>
      <c r="FQ374" s="10" cm="1">
        <f t="array" aca="1" ref="FQ374" ca="1">(1-$B$18)*SUMPRODUCT(OFFSET($BO$15,0,0,$B$14,1), 1*(_xlfn._xlws.FILTER(OFFSET($O$15,0,$DN374,$B$8,1),OFFSET($M$15,0,0,$B$8,1))=FQ$13), 1*(_xlfn._xlws.FILTER(OFFSET($O$15,0,$DO374,$B$8,1),OFFSET($M$15,0,0,$B$8,1))=FQ$14))   /   SUM(OFFSET($BO$15,0,0,$B$14,1)) + $B$18/($B$19*$B$19*($DN374&lt;&gt;$DO374) + $B$19*($DN374=$DO374))</f>
        <v>0.24287037037037026</v>
      </c>
      <c r="FR374" s="10" cm="1">
        <f t="array" aca="1" ref="FR374" ca="1">(1-$B$18)*SUMPRODUCT(OFFSET($BO$15,0,0,$B$14,1), 1*(_xlfn._xlws.FILTER(OFFSET($O$15,0,$DN374,$B$8,1),OFFSET($M$15,0,0,$B$8,1))=FR$13), 1*(_xlfn._xlws.FILTER(OFFSET($O$15,0,$DO374,$B$8,1),OFFSET($M$15,0,0,$B$8,1))=FR$14))   /   SUM(OFFSET($BO$15,0,0,$B$14,1)) + $B$18/($B$19*$B$19*($DN374&lt;&gt;$DO374) + $B$19*($DN374=$DO374))</f>
        <v>3.7037037037037035E-4</v>
      </c>
      <c r="FS374" s="10" cm="1">
        <f t="array" aca="1" ref="FS374" ca="1">(1-$B$18)*SUMPRODUCT(OFFSET($BO$15,0,0,$B$14,1), 1*(_xlfn._xlws.FILTER(OFFSET($O$15,0,$DN374,$B$8,1),OFFSET($M$15,0,0,$B$8,1))=FS$13), 1*(_xlfn._xlws.FILTER(OFFSET($O$15,0,$DO374,$B$8,1),OFFSET($M$15,0,0,$B$8,1))=FS$14))   /   SUM(OFFSET($BO$15,0,0,$B$14,1)) + $B$18/($B$19*$B$19*($DN374&lt;&gt;$DO374) + $B$19*($DN374=$DO374))</f>
        <v>3.7037037037037035E-4</v>
      </c>
      <c r="FT374" s="10" cm="1">
        <f t="array" aca="1" ref="FT374" ca="1">(1-$B$18)*SUMPRODUCT(OFFSET($BO$15,0,0,$B$14,1), 1*(_xlfn._xlws.FILTER(OFFSET($O$15,0,$DN374,$B$8,1),OFFSET($M$15,0,0,$B$8,1))=FT$13), 1*(_xlfn._xlws.FILTER(OFFSET($O$15,0,$DO374,$B$8,1),OFFSET($M$15,0,0,$B$8,1))=FT$14))   /   SUM(OFFSET($BO$15,0,0,$B$14,1)) + $B$18/($B$19*$B$19*($DN374&lt;&gt;$DO374) + $B$19*($DN374=$DO374))</f>
        <v>3.7037037037037035E-4</v>
      </c>
      <c r="FU374" s="10" cm="1">
        <f t="array" aca="1" ref="FU374" ca="1">(1-$B$18)*SUMPRODUCT(OFFSET($BO$15,0,0,$B$14,1), 1*(_xlfn._xlws.FILTER(OFFSET($O$15,0,$DN374,$B$8,1),OFFSET($M$15,0,0,$B$8,1))=FU$13), 1*(_xlfn._xlws.FILTER(OFFSET($O$15,0,$DO374,$B$8,1),OFFSET($M$15,0,0,$B$8,1))=FU$14))   /   SUM(OFFSET($BO$15,0,0,$B$14,1)) + $B$18/($B$19*$B$19*($DN374&lt;&gt;$DO374) + $B$19*($DN374=$DO374))</f>
        <v>3.7037037037037035E-4</v>
      </c>
      <c r="FV374" s="10" cm="1">
        <f t="array" aca="1" ref="FV374" ca="1">(1-$B$18)*SUMPRODUCT(OFFSET($BO$15,0,0,$B$14,1), 1*(_xlfn._xlws.FILTER(OFFSET($O$15,0,$DN374,$B$8,1),OFFSET($M$15,0,0,$B$8,1))=FV$13), 1*(_xlfn._xlws.FILTER(OFFSET($O$15,0,$DO374,$B$8,1),OFFSET($M$15,0,0,$B$8,1))=FV$14))   /   SUM(OFFSET($BO$15,0,0,$B$14,1)) + $B$18/($B$19*$B$19*($DN374&lt;&gt;$DO374) + $B$19*($DN374=$DO374))</f>
        <v>3.7037037037037035E-4</v>
      </c>
      <c r="FW374" s="10" cm="1">
        <f t="array" aca="1" ref="FW374" ca="1">(1-$B$18)*SUMPRODUCT(OFFSET($BO$15,0,0,$B$14,1), 1*(_xlfn._xlws.FILTER(OFFSET($O$15,0,$DN374,$B$8,1),OFFSET($M$15,0,0,$B$8,1))=FW$13), 1*(_xlfn._xlws.FILTER(OFFSET($O$15,0,$DO374,$B$8,1),OFFSET($M$15,0,0,$B$8,1))=FW$14))   /   SUM(OFFSET($BO$15,0,0,$B$14,1)) + $B$18/($B$19*$B$19*($DN374&lt;&gt;$DO374) + $B$19*($DN374=$DO374))</f>
        <v>3.7037037037037035E-4</v>
      </c>
      <c r="FX374" s="10" cm="1">
        <f t="array" aca="1" ref="FX374" ca="1">(1-$B$18)*SUMPRODUCT(OFFSET($BO$15,0,0,$B$14,1), 1*(_xlfn._xlws.FILTER(OFFSET($O$15,0,$DN374,$B$8,1),OFFSET($M$15,0,0,$B$8,1))=FX$13), 1*(_xlfn._xlws.FILTER(OFFSET($O$15,0,$DO374,$B$8,1),OFFSET($M$15,0,0,$B$8,1))=FX$14))   /   SUM(OFFSET($BO$15,0,0,$B$14,1)) + $B$18/($B$19*$B$19*($DN374&lt;&gt;$DO374) + $B$19*($DN374=$DO374))</f>
        <v>3.7037037037037035E-4</v>
      </c>
      <c r="FY374" s="10" cm="1">
        <f t="array" aca="1" ref="FY374" ca="1">(1-$B$18)*SUMPRODUCT(OFFSET($BO$15,0,0,$B$14,1), 1*(_xlfn._xlws.FILTER(OFFSET($O$15,0,$DN374,$B$8,1),OFFSET($M$15,0,0,$B$8,1))=FY$13), 1*(_xlfn._xlws.FILTER(OFFSET($O$15,0,$DO374,$B$8,1),OFFSET($M$15,0,0,$B$8,1))=FY$14))   /   SUM(OFFSET($BO$15,0,0,$B$14,1)) + $B$18/($B$19*$B$19*($DN374&lt;&gt;$DO374) + $B$19*($DN374=$DO374))</f>
        <v>3.7037037037037035E-4</v>
      </c>
      <c r="FZ374" s="10" cm="1">
        <f t="array" aca="1" ref="FZ374" ca="1">(1-$B$18)*SUMPRODUCT(OFFSET($BO$15,0,0,$B$14,1), 1*(_xlfn._xlws.FILTER(OFFSET($O$15,0,$DN374,$B$8,1),OFFSET($M$15,0,0,$B$8,1))=FZ$13), 1*(_xlfn._xlws.FILTER(OFFSET($O$15,0,$DO374,$B$8,1),OFFSET($M$15,0,0,$B$8,1))=FZ$14))   /   SUM(OFFSET($BO$15,0,0,$B$14,1)) + $B$18/($B$19*$B$19*($DN374&lt;&gt;$DO374) + $B$19*($DN374=$DO374))</f>
        <v>3.7037037037037035E-4</v>
      </c>
      <c r="GA374" s="10" cm="1">
        <f t="array" aca="1" ref="GA374" ca="1">(1-$B$18)*SUMPRODUCT(OFFSET($BO$15,0,0,$B$14,1), 1*(_xlfn._xlws.FILTER(OFFSET($O$15,0,$DN374,$B$8,1),OFFSET($M$15,0,0,$B$8,1))=GA$13), 1*(_xlfn._xlws.FILTER(OFFSET($O$15,0,$DO374,$B$8,1),OFFSET($M$15,0,0,$B$8,1))=GA$14))   /   SUM(OFFSET($BO$15,0,0,$B$14,1)) + $B$18/($B$19*$B$19*($DN374&lt;&gt;$DO374) + $B$19*($DN374=$DO374))</f>
        <v>3.7037037037037035E-4</v>
      </c>
    </row>
    <row r="375" spans="118:183" x14ac:dyDescent="0.2">
      <c r="DN375" cm="1">
        <f t="array" aca="1" ref="DN375" ca="1">INDEX(_xlfn.ANCHORARRAY($CP$15), 1 + INT((ROWS($DO$15:$DO375) - 1) / ROWS(_xlfn.ANCHORARRAY($CP$15))))</f>
        <v>21</v>
      </c>
      <c r="DO375" cm="1">
        <f t="array" aca="1" ref="DO375" ca="1">INDEX(_xlfn.ANCHORARRAY($CP$15),1+MOD(ROWS($DO$15:$DO375)-1,ROWS(_xlfn.ANCHORARRAY($CP$15))))</f>
        <v>21</v>
      </c>
      <c r="DP375" s="10" cm="1">
        <f t="array" aca="1" ref="DP375" ca="1">(1-$B$18)*SUMPRODUCT(OFFSET($BO$15,0,0,$B$14,1), 1*(_xlfn._xlws.FILTER(OFFSET($O$15,0,$DN375,$B$8,1),OFFSET($M$15,0,0,$B$8,1))=DP$13), 1*(_xlfn._xlws.FILTER(OFFSET($O$15,0,$DO375,$B$8,1),OFFSET($M$15,0,0,$B$8,1))=DP$14))   /   SUM(OFFSET($BO$15,0,0,$B$14,1)) + $B$18/($B$19*$B$19*($DN375&lt;&gt;$DO375) + $B$19*($DN375=$DO375))</f>
        <v>3.3333333333333331E-3</v>
      </c>
      <c r="DQ375" s="10" cm="1">
        <f t="array" aca="1" ref="DQ375" ca="1">(1-$B$18)*SUMPRODUCT(OFFSET($BO$15,0,0,$B$14,1), 1*(_xlfn._xlws.FILTER(OFFSET($O$15,0,$DN375,$B$8,1),OFFSET($M$15,0,0,$B$8,1))=DQ$13), 1*(_xlfn._xlws.FILTER(OFFSET($O$15,0,$DO375,$B$8,1),OFFSET($M$15,0,0,$B$8,1))=DQ$14))   /   SUM(OFFSET($BO$15,0,0,$B$14,1)) + $B$18/($B$19*$B$19*($DN375&lt;&gt;$DO375) + $B$19*($DN375=$DO375))</f>
        <v>3.3333333333333331E-3</v>
      </c>
      <c r="DR375" s="10" cm="1">
        <f t="array" aca="1" ref="DR375" ca="1">(1-$B$18)*SUMPRODUCT(OFFSET($BO$15,0,0,$B$14,1), 1*(_xlfn._xlws.FILTER(OFFSET($O$15,0,$DN375,$B$8,1),OFFSET($M$15,0,0,$B$8,1))=DR$13), 1*(_xlfn._xlws.FILTER(OFFSET($O$15,0,$DO375,$B$8,1),OFFSET($M$15,0,0,$B$8,1))=DR$14))   /   SUM(OFFSET($BO$15,0,0,$B$14,1)) + $B$18/($B$19*$B$19*($DN375&lt;&gt;$DO375) + $B$19*($DN375=$DO375))</f>
        <v>3.3333333333333331E-3</v>
      </c>
      <c r="DS375" s="10" cm="1">
        <f t="array" aca="1" ref="DS375" ca="1">(1-$B$18)*SUMPRODUCT(OFFSET($BO$15,0,0,$B$14,1), 1*(_xlfn._xlws.FILTER(OFFSET($O$15,0,$DN375,$B$8,1),OFFSET($M$15,0,0,$B$8,1))=DS$13), 1*(_xlfn._xlws.FILTER(OFFSET($O$15,0,$DO375,$B$8,1),OFFSET($M$15,0,0,$B$8,1))=DS$14))   /   SUM(OFFSET($BO$15,0,0,$B$14,1)) + $B$18/($B$19*$B$19*($DN375&lt;&gt;$DO375) + $B$19*($DN375=$DO375))</f>
        <v>3.3333333333333331E-3</v>
      </c>
      <c r="DT375" s="10" cm="1">
        <f t="array" aca="1" ref="DT375" ca="1">(1-$B$18)*SUMPRODUCT(OFFSET($BO$15,0,0,$B$14,1), 1*(_xlfn._xlws.FILTER(OFFSET($O$15,0,$DN375,$B$8,1),OFFSET($M$15,0,0,$B$8,1))=DT$13), 1*(_xlfn._xlws.FILTER(OFFSET($O$15,0,$DO375,$B$8,1),OFFSET($M$15,0,0,$B$8,1))=DT$14))   /   SUM(OFFSET($BO$15,0,0,$B$14,1)) + $B$18/($B$19*$B$19*($DN375&lt;&gt;$DO375) + $B$19*($DN375=$DO375))</f>
        <v>3.3333333333333331E-3</v>
      </c>
      <c r="DU375" s="10" cm="1">
        <f t="array" aca="1" ref="DU375" ca="1">(1-$B$18)*SUMPRODUCT(OFFSET($BO$15,0,0,$B$14,1), 1*(_xlfn._xlws.FILTER(OFFSET($O$15,0,$DN375,$B$8,1),OFFSET($M$15,0,0,$B$8,1))=DU$13), 1*(_xlfn._xlws.FILTER(OFFSET($O$15,0,$DO375,$B$8,1),OFFSET($M$15,0,0,$B$8,1))=DU$14))   /   SUM(OFFSET($BO$15,0,0,$B$14,1)) + $B$18/($B$19*$B$19*($DN375&lt;&gt;$DO375) + $B$19*($DN375=$DO375))</f>
        <v>3.3333333333333331E-3</v>
      </c>
      <c r="DV375" s="10" cm="1">
        <f t="array" aca="1" ref="DV375" ca="1">(1-$B$18)*SUMPRODUCT(OFFSET($BO$15,0,0,$B$14,1), 1*(_xlfn._xlws.FILTER(OFFSET($O$15,0,$DN375,$B$8,1),OFFSET($M$15,0,0,$B$8,1))=DV$13), 1*(_xlfn._xlws.FILTER(OFFSET($O$15,0,$DO375,$B$8,1),OFFSET($M$15,0,0,$B$8,1))=DV$14))   /   SUM(OFFSET($BO$15,0,0,$B$14,1)) + $B$18/($B$19*$B$19*($DN375&lt;&gt;$DO375) + $B$19*($DN375=$DO375))</f>
        <v>3.3333333333333331E-3</v>
      </c>
      <c r="DW375" s="10" cm="1">
        <f t="array" aca="1" ref="DW375" ca="1">(1-$B$18)*SUMPRODUCT(OFFSET($BO$15,0,0,$B$14,1), 1*(_xlfn._xlws.FILTER(OFFSET($O$15,0,$DN375,$B$8,1),OFFSET($M$15,0,0,$B$8,1))=DW$13), 1*(_xlfn._xlws.FILTER(OFFSET($O$15,0,$DO375,$B$8,1),OFFSET($M$15,0,0,$B$8,1))=DW$14))   /   SUM(OFFSET($BO$15,0,0,$B$14,1)) + $B$18/($B$19*$B$19*($DN375&lt;&gt;$DO375) + $B$19*($DN375=$DO375))</f>
        <v>3.3333333333333331E-3</v>
      </c>
      <c r="DX375" s="10" cm="1">
        <f t="array" aca="1" ref="DX375" ca="1">(1-$B$18)*SUMPRODUCT(OFFSET($BO$15,0,0,$B$14,1), 1*(_xlfn._xlws.FILTER(OFFSET($O$15,0,$DN375,$B$8,1),OFFSET($M$15,0,0,$B$8,1))=DX$13), 1*(_xlfn._xlws.FILTER(OFFSET($O$15,0,$DO375,$B$8,1),OFFSET($M$15,0,0,$B$8,1))=DX$14))   /   SUM(OFFSET($BO$15,0,0,$B$14,1)) + $B$18/($B$19*$B$19*($DN375&lt;&gt;$DO375) + $B$19*($DN375=$DO375))</f>
        <v>3.3333333333333331E-3</v>
      </c>
      <c r="DY375" s="10" cm="1">
        <f t="array" aca="1" ref="DY375" ca="1">(1-$B$18)*SUMPRODUCT(OFFSET($BO$15,0,0,$B$14,1), 1*(_xlfn._xlws.FILTER(OFFSET($O$15,0,$DN375,$B$8,1),OFFSET($M$15,0,0,$B$8,1))=DY$13), 1*(_xlfn._xlws.FILTER(OFFSET($O$15,0,$DO375,$B$8,1),OFFSET($M$15,0,0,$B$8,1))=DY$14))   /   SUM(OFFSET($BO$15,0,0,$B$14,1)) + $B$18/($B$19*$B$19*($DN375&lt;&gt;$DO375) + $B$19*($DN375=$DO375))</f>
        <v>3.3333333333333331E-3</v>
      </c>
      <c r="DZ375" s="10" cm="1">
        <f t="array" aca="1" ref="DZ375" ca="1">(1-$B$18)*SUMPRODUCT(OFFSET($BO$15,0,0,$B$14,1), 1*(_xlfn._xlws.FILTER(OFFSET($O$15,0,$DN375,$B$8,1),OFFSET($M$15,0,0,$B$8,1))=DZ$13), 1*(_xlfn._xlws.FILTER(OFFSET($O$15,0,$DO375,$B$8,1),OFFSET($M$15,0,0,$B$8,1))=DZ$14))   /   SUM(OFFSET($BO$15,0,0,$B$14,1)) + $B$18/($B$19*$B$19*($DN375&lt;&gt;$DO375) + $B$19*($DN375=$DO375))</f>
        <v>3.3333333333333331E-3</v>
      </c>
      <c r="EA375" s="10" cm="1">
        <f t="array" aca="1" ref="EA375" ca="1">(1-$B$18)*SUMPRODUCT(OFFSET($BO$15,0,0,$B$14,1), 1*(_xlfn._xlws.FILTER(OFFSET($O$15,0,$DN375,$B$8,1),OFFSET($M$15,0,0,$B$8,1))=EA$13), 1*(_xlfn._xlws.FILTER(OFFSET($O$15,0,$DO375,$B$8,1),OFFSET($M$15,0,0,$B$8,1))=EA$14))   /   SUM(OFFSET($BO$15,0,0,$B$14,1)) + $B$18/($B$19*$B$19*($DN375&lt;&gt;$DO375) + $B$19*($DN375=$DO375))</f>
        <v>3.3333333333333331E-3</v>
      </c>
      <c r="EB375" s="10" cm="1">
        <f t="array" aca="1" ref="EB375" ca="1">(1-$B$18)*SUMPRODUCT(OFFSET($BO$15,0,0,$B$14,1), 1*(_xlfn._xlws.FILTER(OFFSET($O$15,0,$DN375,$B$8,1),OFFSET($M$15,0,0,$B$8,1))=EB$13), 1*(_xlfn._xlws.FILTER(OFFSET($O$15,0,$DO375,$B$8,1),OFFSET($M$15,0,0,$B$8,1))=EB$14))   /   SUM(OFFSET($BO$15,0,0,$B$14,1)) + $B$18/($B$19*$B$19*($DN375&lt;&gt;$DO375) + $B$19*($DN375=$DO375))</f>
        <v>3.3333333333333331E-3</v>
      </c>
      <c r="EC375" s="10" cm="1">
        <f t="array" aca="1" ref="EC375" ca="1">(1-$B$18)*SUMPRODUCT(OFFSET($BO$15,0,0,$B$14,1), 1*(_xlfn._xlws.FILTER(OFFSET($O$15,0,$DN375,$B$8,1),OFFSET($M$15,0,0,$B$8,1))=EC$13), 1*(_xlfn._xlws.FILTER(OFFSET($O$15,0,$DO375,$B$8,1),OFFSET($M$15,0,0,$B$8,1))=EC$14))   /   SUM(OFFSET($BO$15,0,0,$B$14,1)) + $B$18/($B$19*$B$19*($DN375&lt;&gt;$DO375) + $B$19*($DN375=$DO375))</f>
        <v>3.3333333333333331E-3</v>
      </c>
      <c r="ED375" s="10" cm="1">
        <f t="array" aca="1" ref="ED375" ca="1">(1-$B$18)*SUMPRODUCT(OFFSET($BO$15,0,0,$B$14,1), 1*(_xlfn._xlws.FILTER(OFFSET($O$15,0,$DN375,$B$8,1),OFFSET($M$15,0,0,$B$8,1))=ED$13), 1*(_xlfn._xlws.FILTER(OFFSET($O$15,0,$DO375,$B$8,1),OFFSET($M$15,0,0,$B$8,1))=ED$14))   /   SUM(OFFSET($BO$15,0,0,$B$14,1)) + $B$18/($B$19*$B$19*($DN375&lt;&gt;$DO375) + $B$19*($DN375=$DO375))</f>
        <v>3.3333333333333331E-3</v>
      </c>
      <c r="EE375" s="10" cm="1">
        <f t="array" aca="1" ref="EE375" ca="1">(1-$B$18)*SUMPRODUCT(OFFSET($BO$15,0,0,$B$14,1), 1*(_xlfn._xlws.FILTER(OFFSET($O$15,0,$DN375,$B$8,1),OFFSET($M$15,0,0,$B$8,1))=EE$13), 1*(_xlfn._xlws.FILTER(OFFSET($O$15,0,$DO375,$B$8,1),OFFSET($M$15,0,0,$B$8,1))=EE$14))   /   SUM(OFFSET($BO$15,0,0,$B$14,1)) + $B$18/($B$19*$B$19*($DN375&lt;&gt;$DO375) + $B$19*($DN375=$DO375))</f>
        <v>3.3333333333333331E-3</v>
      </c>
      <c r="EF375" s="10" cm="1">
        <f t="array" aca="1" ref="EF375" ca="1">(1-$B$18)*SUMPRODUCT(OFFSET($BO$15,0,0,$B$14,1), 1*(_xlfn._xlws.FILTER(OFFSET($O$15,0,$DN375,$B$8,1),OFFSET($M$15,0,0,$B$8,1))=EF$13), 1*(_xlfn._xlws.FILTER(OFFSET($O$15,0,$DO375,$B$8,1),OFFSET($M$15,0,0,$B$8,1))=EF$14))   /   SUM(OFFSET($BO$15,0,0,$B$14,1)) + $B$18/($B$19*$B$19*($DN375&lt;&gt;$DO375) + $B$19*($DN375=$DO375))</f>
        <v>3.3333333333333331E-3</v>
      </c>
      <c r="EG375" s="10" cm="1">
        <f t="array" aca="1" ref="EG375" ca="1">(1-$B$18)*SUMPRODUCT(OFFSET($BO$15,0,0,$B$14,1), 1*(_xlfn._xlws.FILTER(OFFSET($O$15,0,$DN375,$B$8,1),OFFSET($M$15,0,0,$B$8,1))=EG$13), 1*(_xlfn._xlws.FILTER(OFFSET($O$15,0,$DO375,$B$8,1),OFFSET($M$15,0,0,$B$8,1))=EG$14))   /   SUM(OFFSET($BO$15,0,0,$B$14,1)) + $B$18/($B$19*$B$19*($DN375&lt;&gt;$DO375) + $B$19*($DN375=$DO375))</f>
        <v>3.3333333333333331E-3</v>
      </c>
      <c r="EH375" s="10" cm="1">
        <f t="array" aca="1" ref="EH375" ca="1">(1-$B$18)*SUMPRODUCT(OFFSET($BO$15,0,0,$B$14,1), 1*(_xlfn._xlws.FILTER(OFFSET($O$15,0,$DN375,$B$8,1),OFFSET($M$15,0,0,$B$8,1))=EH$13), 1*(_xlfn._xlws.FILTER(OFFSET($O$15,0,$DO375,$B$8,1),OFFSET($M$15,0,0,$B$8,1))=EH$14))   /   SUM(OFFSET($BO$15,0,0,$B$14,1)) + $B$18/($B$19*$B$19*($DN375&lt;&gt;$DO375) + $B$19*($DN375=$DO375))</f>
        <v>3.3333333333333331E-3</v>
      </c>
      <c r="EI375" s="10" cm="1">
        <f t="array" aca="1" ref="EI375" ca="1">(1-$B$18)*SUMPRODUCT(OFFSET($BO$15,0,0,$B$14,1), 1*(_xlfn._xlws.FILTER(OFFSET($O$15,0,$DN375,$B$8,1),OFFSET($M$15,0,0,$B$8,1))=EI$13), 1*(_xlfn._xlws.FILTER(OFFSET($O$15,0,$DO375,$B$8,1),OFFSET($M$15,0,0,$B$8,1))=EI$14))   /   SUM(OFFSET($BO$15,0,0,$B$14,1)) + $B$18/($B$19*$B$19*($DN375&lt;&gt;$DO375) + $B$19*($DN375=$DO375))</f>
        <v>3.3333333333333331E-3</v>
      </c>
      <c r="EJ375" s="10" cm="1">
        <f t="array" aca="1" ref="EJ375" ca="1">(1-$B$18)*SUMPRODUCT(OFFSET($BO$15,0,0,$B$14,1), 1*(_xlfn._xlws.FILTER(OFFSET($O$15,0,$DN375,$B$8,1),OFFSET($M$15,0,0,$B$8,1))=EJ$13), 1*(_xlfn._xlws.FILTER(OFFSET($O$15,0,$DO375,$B$8,1),OFFSET($M$15,0,0,$B$8,1))=EJ$14))   /   SUM(OFFSET($BO$15,0,0,$B$14,1)) + $B$18/($B$19*$B$19*($DN375&lt;&gt;$DO375) + $B$19*($DN375=$DO375))</f>
        <v>3.3333333333333331E-3</v>
      </c>
      <c r="EK375" s="10" cm="1">
        <f t="array" aca="1" ref="EK375" ca="1">(1-$B$18)*SUMPRODUCT(OFFSET($BO$15,0,0,$B$14,1), 1*(_xlfn._xlws.FILTER(OFFSET($O$15,0,$DN375,$B$8,1),OFFSET($M$15,0,0,$B$8,1))=EK$13), 1*(_xlfn._xlws.FILTER(OFFSET($O$15,0,$DO375,$B$8,1),OFFSET($M$15,0,0,$B$8,1))=EK$14))   /   SUM(OFFSET($BO$15,0,0,$B$14,1)) + $B$18/($B$19*$B$19*($DN375&lt;&gt;$DO375) + $B$19*($DN375=$DO375))</f>
        <v>3.3333333333333331E-3</v>
      </c>
      <c r="EL375" s="10" cm="1">
        <f t="array" aca="1" ref="EL375" ca="1">(1-$B$18)*SUMPRODUCT(OFFSET($BO$15,0,0,$B$14,1), 1*(_xlfn._xlws.FILTER(OFFSET($O$15,0,$DN375,$B$8,1),OFFSET($M$15,0,0,$B$8,1))=EL$13), 1*(_xlfn._xlws.FILTER(OFFSET($O$15,0,$DO375,$B$8,1),OFFSET($M$15,0,0,$B$8,1))=EL$14))   /   SUM(OFFSET($BO$15,0,0,$B$14,1)) + $B$18/($B$19*$B$19*($DN375&lt;&gt;$DO375) + $B$19*($DN375=$DO375))</f>
        <v>3.3333333333333331E-3</v>
      </c>
      <c r="EM375" s="10" cm="1">
        <f t="array" aca="1" ref="EM375" ca="1">(1-$B$18)*SUMPRODUCT(OFFSET($BO$15,0,0,$B$14,1), 1*(_xlfn._xlws.FILTER(OFFSET($O$15,0,$DN375,$B$8,1),OFFSET($M$15,0,0,$B$8,1))=EM$13), 1*(_xlfn._xlws.FILTER(OFFSET($O$15,0,$DO375,$B$8,1),OFFSET($M$15,0,0,$B$8,1))=EM$14))   /   SUM(OFFSET($BO$15,0,0,$B$14,1)) + $B$18/($B$19*$B$19*($DN375&lt;&gt;$DO375) + $B$19*($DN375=$DO375))</f>
        <v>3.3333333333333331E-3</v>
      </c>
      <c r="EN375" s="10" cm="1">
        <f t="array" aca="1" ref="EN375" ca="1">(1-$B$18)*SUMPRODUCT(OFFSET($BO$15,0,0,$B$14,1), 1*(_xlfn._xlws.FILTER(OFFSET($O$15,0,$DN375,$B$8,1),OFFSET($M$15,0,0,$B$8,1))=EN$13), 1*(_xlfn._xlws.FILTER(OFFSET($O$15,0,$DO375,$B$8,1),OFFSET($M$15,0,0,$B$8,1))=EN$14))   /   SUM(OFFSET($BO$15,0,0,$B$14,1)) + $B$18/($B$19*$B$19*($DN375&lt;&gt;$DO375) + $B$19*($DN375=$DO375))</f>
        <v>3.3333333333333331E-3</v>
      </c>
      <c r="EO375" s="10" cm="1">
        <f t="array" aca="1" ref="EO375" ca="1">(1-$B$18)*SUMPRODUCT(OFFSET($BO$15,0,0,$B$14,1), 1*(_xlfn._xlws.FILTER(OFFSET($O$15,0,$DN375,$B$8,1),OFFSET($M$15,0,0,$B$8,1))=EO$13), 1*(_xlfn._xlws.FILTER(OFFSET($O$15,0,$DO375,$B$8,1),OFFSET($M$15,0,0,$B$8,1))=EO$14))   /   SUM(OFFSET($BO$15,0,0,$B$14,1)) + $B$18/($B$19*$B$19*($DN375&lt;&gt;$DO375) + $B$19*($DN375=$DO375))</f>
        <v>3.3333333333333331E-3</v>
      </c>
      <c r="EP375" s="10" cm="1">
        <f t="array" aca="1" ref="EP375" ca="1">(1-$B$18)*SUMPRODUCT(OFFSET($BO$15,0,0,$B$14,1), 1*(_xlfn._xlws.FILTER(OFFSET($O$15,0,$DN375,$B$8,1),OFFSET($M$15,0,0,$B$8,1))=EP$13), 1*(_xlfn._xlws.FILTER(OFFSET($O$15,0,$DO375,$B$8,1),OFFSET($M$15,0,0,$B$8,1))=EP$14))   /   SUM(OFFSET($BO$15,0,0,$B$14,1)) + $B$18/($B$19*$B$19*($DN375&lt;&gt;$DO375) + $B$19*($DN375=$DO375))</f>
        <v>3.3333333333333331E-3</v>
      </c>
      <c r="EQ375" s="10" cm="1">
        <f t="array" aca="1" ref="EQ375" ca="1">(1-$B$18)*SUMPRODUCT(OFFSET($BO$15,0,0,$B$14,1), 1*(_xlfn._xlws.FILTER(OFFSET($O$15,0,$DN375,$B$8,1),OFFSET($M$15,0,0,$B$8,1))=EQ$13), 1*(_xlfn._xlws.FILTER(OFFSET($O$15,0,$DO375,$B$8,1),OFFSET($M$15,0,0,$B$8,1))=EQ$14))   /   SUM(OFFSET($BO$15,0,0,$B$14,1)) + $B$18/($B$19*$B$19*($DN375&lt;&gt;$DO375) + $B$19*($DN375=$DO375))</f>
        <v>3.3333333333333331E-3</v>
      </c>
      <c r="ER375" s="10" cm="1">
        <f t="array" aca="1" ref="ER375" ca="1">(1-$B$18)*SUMPRODUCT(OFFSET($BO$15,0,0,$B$14,1), 1*(_xlfn._xlws.FILTER(OFFSET($O$15,0,$DN375,$B$8,1),OFFSET($M$15,0,0,$B$8,1))=ER$13), 1*(_xlfn._xlws.FILTER(OFFSET($O$15,0,$DO375,$B$8,1),OFFSET($M$15,0,0,$B$8,1))=ER$14))   /   SUM(OFFSET($BO$15,0,0,$B$14,1)) + $B$18/($B$19*$B$19*($DN375&lt;&gt;$DO375) + $B$19*($DN375=$DO375))</f>
        <v>3.3333333333333331E-3</v>
      </c>
      <c r="ES375" s="10" cm="1">
        <f t="array" aca="1" ref="ES375" ca="1">(1-$B$18)*SUMPRODUCT(OFFSET($BO$15,0,0,$B$14,1), 1*(_xlfn._xlws.FILTER(OFFSET($O$15,0,$DN375,$B$8,1),OFFSET($M$15,0,0,$B$8,1))=ES$13), 1*(_xlfn._xlws.FILTER(OFFSET($O$15,0,$DO375,$B$8,1),OFFSET($M$15,0,0,$B$8,1))=ES$14))   /   SUM(OFFSET($BO$15,0,0,$B$14,1)) + $B$18/($B$19*$B$19*($DN375&lt;&gt;$DO375) + $B$19*($DN375=$DO375))</f>
        <v>3.3333333333333331E-3</v>
      </c>
      <c r="ET375" s="10" cm="1">
        <f t="array" aca="1" ref="ET375" ca="1">(1-$B$18)*SUMPRODUCT(OFFSET($BO$15,0,0,$B$14,1), 1*(_xlfn._xlws.FILTER(OFFSET($O$15,0,$DN375,$B$8,1),OFFSET($M$15,0,0,$B$8,1))=ET$13), 1*(_xlfn._xlws.FILTER(OFFSET($O$15,0,$DO375,$B$8,1),OFFSET($M$15,0,0,$B$8,1))=ET$14))   /   SUM(OFFSET($BO$15,0,0,$B$14,1)) + $B$18/($B$19*$B$19*($DN375&lt;&gt;$DO375) + $B$19*($DN375=$DO375))</f>
        <v>3.3333333333333331E-3</v>
      </c>
      <c r="EU375" s="10" cm="1">
        <f t="array" aca="1" ref="EU375" ca="1">(1-$B$18)*SUMPRODUCT(OFFSET($BO$15,0,0,$B$14,1), 1*(_xlfn._xlws.FILTER(OFFSET($O$15,0,$DN375,$B$8,1),OFFSET($M$15,0,0,$B$8,1))=EU$13), 1*(_xlfn._xlws.FILTER(OFFSET($O$15,0,$DO375,$B$8,1),OFFSET($M$15,0,0,$B$8,1))=EU$14))   /   SUM(OFFSET($BO$15,0,0,$B$14,1)) + $B$18/($B$19*$B$19*($DN375&lt;&gt;$DO375) + $B$19*($DN375=$DO375))</f>
        <v>3.3333333333333331E-3</v>
      </c>
      <c r="EV375" s="10" cm="1">
        <f t="array" aca="1" ref="EV375" ca="1">(1-$B$18)*SUMPRODUCT(OFFSET($BO$15,0,0,$B$14,1), 1*(_xlfn._xlws.FILTER(OFFSET($O$15,0,$DN375,$B$8,1),OFFSET($M$15,0,0,$B$8,1))=EV$13), 1*(_xlfn._xlws.FILTER(OFFSET($O$15,0,$DO375,$B$8,1),OFFSET($M$15,0,0,$B$8,1))=EV$14))   /   SUM(OFFSET($BO$15,0,0,$B$14,1)) + $B$18/($B$19*$B$19*($DN375&lt;&gt;$DO375) + $B$19*($DN375=$DO375))</f>
        <v>3.3333333333333331E-3</v>
      </c>
      <c r="EW375" s="10" cm="1">
        <f t="array" aca="1" ref="EW375" ca="1">(1-$B$18)*SUMPRODUCT(OFFSET($BO$15,0,0,$B$14,1), 1*(_xlfn._xlws.FILTER(OFFSET($O$15,0,$DN375,$B$8,1),OFFSET($M$15,0,0,$B$8,1))=EW$13), 1*(_xlfn._xlws.FILTER(OFFSET($O$15,0,$DO375,$B$8,1),OFFSET($M$15,0,0,$B$8,1))=EW$14))   /   SUM(OFFSET($BO$15,0,0,$B$14,1)) + $B$18/($B$19*$B$19*($DN375&lt;&gt;$DO375) + $B$19*($DN375=$DO375))</f>
        <v>3.3333333333333331E-3</v>
      </c>
      <c r="EX375" s="10" cm="1">
        <f t="array" aca="1" ref="EX375" ca="1">(1-$B$18)*SUMPRODUCT(OFFSET($BO$15,0,0,$B$14,1), 1*(_xlfn._xlws.FILTER(OFFSET($O$15,0,$DN375,$B$8,1),OFFSET($M$15,0,0,$B$8,1))=EX$13), 1*(_xlfn._xlws.FILTER(OFFSET($O$15,0,$DO375,$B$8,1),OFFSET($M$15,0,0,$B$8,1))=EX$14))   /   SUM(OFFSET($BO$15,0,0,$B$14,1)) + $B$18/($B$19*$B$19*($DN375&lt;&gt;$DO375) + $B$19*($DN375=$DO375))</f>
        <v>3.3333333333333331E-3</v>
      </c>
      <c r="EY375" s="10" cm="1">
        <f t="array" aca="1" ref="EY375" ca="1">(1-$B$18)*SUMPRODUCT(OFFSET($BO$15,0,0,$B$14,1), 1*(_xlfn._xlws.FILTER(OFFSET($O$15,0,$DN375,$B$8,1),OFFSET($M$15,0,0,$B$8,1))=EY$13), 1*(_xlfn._xlws.FILTER(OFFSET($O$15,0,$DO375,$B$8,1),OFFSET($M$15,0,0,$B$8,1))=EY$14))   /   SUM(OFFSET($BO$15,0,0,$B$14,1)) + $B$18/($B$19*$B$19*($DN375&lt;&gt;$DO375) + $B$19*($DN375=$DO375))</f>
        <v>3.3333333333333331E-3</v>
      </c>
      <c r="EZ375" s="10" cm="1">
        <f t="array" aca="1" ref="EZ375" ca="1">(1-$B$18)*SUMPRODUCT(OFFSET($BO$15,0,0,$B$14,1), 1*(_xlfn._xlws.FILTER(OFFSET($O$15,0,$DN375,$B$8,1),OFFSET($M$15,0,0,$B$8,1))=EZ$13), 1*(_xlfn._xlws.FILTER(OFFSET($O$15,0,$DO375,$B$8,1),OFFSET($M$15,0,0,$B$8,1))=EZ$14))   /   SUM(OFFSET($BO$15,0,0,$B$14,1)) + $B$18/($B$19*$B$19*($DN375&lt;&gt;$DO375) + $B$19*($DN375=$DO375))</f>
        <v>0.24583333333333318</v>
      </c>
      <c r="FA375" s="10" cm="1">
        <f t="array" aca="1" ref="FA375" ca="1">(1-$B$18)*SUMPRODUCT(OFFSET($BO$15,0,0,$B$14,1), 1*(_xlfn._xlws.FILTER(OFFSET($O$15,0,$DN375,$B$8,1),OFFSET($M$15,0,0,$B$8,1))=FA$13), 1*(_xlfn._xlws.FILTER(OFFSET($O$15,0,$DO375,$B$8,1),OFFSET($M$15,0,0,$B$8,1))=FA$14))   /   SUM(OFFSET($BO$15,0,0,$B$14,1)) + $B$18/($B$19*$B$19*($DN375&lt;&gt;$DO375) + $B$19*($DN375=$DO375))</f>
        <v>3.3333333333333331E-3</v>
      </c>
      <c r="FB375" s="10" cm="1">
        <f t="array" aca="1" ref="FB375" ca="1">(1-$B$18)*SUMPRODUCT(OFFSET($BO$15,0,0,$B$14,1), 1*(_xlfn._xlws.FILTER(OFFSET($O$15,0,$DN375,$B$8,1),OFFSET($M$15,0,0,$B$8,1))=FB$13), 1*(_xlfn._xlws.FILTER(OFFSET($O$15,0,$DO375,$B$8,1),OFFSET($M$15,0,0,$B$8,1))=FB$14))   /   SUM(OFFSET($BO$15,0,0,$B$14,1)) + $B$18/($B$19*$B$19*($DN375&lt;&gt;$DO375) + $B$19*($DN375=$DO375))</f>
        <v>3.3333333333333331E-3</v>
      </c>
      <c r="FC375" s="10" cm="1">
        <f t="array" aca="1" ref="FC375" ca="1">(1-$B$18)*SUMPRODUCT(OFFSET($BO$15,0,0,$B$14,1), 1*(_xlfn._xlws.FILTER(OFFSET($O$15,0,$DN375,$B$8,1),OFFSET($M$15,0,0,$B$8,1))=FC$13), 1*(_xlfn._xlws.FILTER(OFFSET($O$15,0,$DO375,$B$8,1),OFFSET($M$15,0,0,$B$8,1))=FC$14))   /   SUM(OFFSET($BO$15,0,0,$B$14,1)) + $B$18/($B$19*$B$19*($DN375&lt;&gt;$DO375) + $B$19*($DN375=$DO375))</f>
        <v>3.3333333333333331E-3</v>
      </c>
      <c r="FD375" s="10" cm="1">
        <f t="array" aca="1" ref="FD375" ca="1">(1-$B$18)*SUMPRODUCT(OFFSET($BO$15,0,0,$B$14,1), 1*(_xlfn._xlws.FILTER(OFFSET($O$15,0,$DN375,$B$8,1),OFFSET($M$15,0,0,$B$8,1))=FD$13), 1*(_xlfn._xlws.FILTER(OFFSET($O$15,0,$DO375,$B$8,1),OFFSET($M$15,0,0,$B$8,1))=FD$14))   /   SUM(OFFSET($BO$15,0,0,$B$14,1)) + $B$18/($B$19*$B$19*($DN375&lt;&gt;$DO375) + $B$19*($DN375=$DO375))</f>
        <v>3.3333333333333331E-3</v>
      </c>
      <c r="FE375" s="10" cm="1">
        <f t="array" aca="1" ref="FE375" ca="1">(1-$B$18)*SUMPRODUCT(OFFSET($BO$15,0,0,$B$14,1), 1*(_xlfn._xlws.FILTER(OFFSET($O$15,0,$DN375,$B$8,1),OFFSET($M$15,0,0,$B$8,1))=FE$13), 1*(_xlfn._xlws.FILTER(OFFSET($O$15,0,$DO375,$B$8,1),OFFSET($M$15,0,0,$B$8,1))=FE$14))   /   SUM(OFFSET($BO$15,0,0,$B$14,1)) + $B$18/($B$19*$B$19*($DN375&lt;&gt;$DO375) + $B$19*($DN375=$DO375))</f>
        <v>3.3333333333333331E-3</v>
      </c>
      <c r="FF375" s="10" cm="1">
        <f t="array" aca="1" ref="FF375" ca="1">(1-$B$18)*SUMPRODUCT(OFFSET($BO$15,0,0,$B$14,1), 1*(_xlfn._xlws.FILTER(OFFSET($O$15,0,$DN375,$B$8,1),OFFSET($M$15,0,0,$B$8,1))=FF$13), 1*(_xlfn._xlws.FILTER(OFFSET($O$15,0,$DO375,$B$8,1),OFFSET($M$15,0,0,$B$8,1))=FF$14))   /   SUM(OFFSET($BO$15,0,0,$B$14,1)) + $B$18/($B$19*$B$19*($DN375&lt;&gt;$DO375) + $B$19*($DN375=$DO375))</f>
        <v>3.3333333333333331E-3</v>
      </c>
      <c r="FG375" s="10" cm="1">
        <f t="array" aca="1" ref="FG375" ca="1">(1-$B$18)*SUMPRODUCT(OFFSET($BO$15,0,0,$B$14,1), 1*(_xlfn._xlws.FILTER(OFFSET($O$15,0,$DN375,$B$8,1),OFFSET($M$15,0,0,$B$8,1))=FG$13), 1*(_xlfn._xlws.FILTER(OFFSET($O$15,0,$DO375,$B$8,1),OFFSET($M$15,0,0,$B$8,1))=FG$14))   /   SUM(OFFSET($BO$15,0,0,$B$14,1)) + $B$18/($B$19*$B$19*($DN375&lt;&gt;$DO375) + $B$19*($DN375=$DO375))</f>
        <v>3.3333333333333331E-3</v>
      </c>
      <c r="FH375" s="10" cm="1">
        <f t="array" aca="1" ref="FH375" ca="1">(1-$B$18)*SUMPRODUCT(OFFSET($BO$15,0,0,$B$14,1), 1*(_xlfn._xlws.FILTER(OFFSET($O$15,0,$DN375,$B$8,1),OFFSET($M$15,0,0,$B$8,1))=FH$13), 1*(_xlfn._xlws.FILTER(OFFSET($O$15,0,$DO375,$B$8,1),OFFSET($M$15,0,0,$B$8,1))=FH$14))   /   SUM(OFFSET($BO$15,0,0,$B$14,1)) + $B$18/($B$19*$B$19*($DN375&lt;&gt;$DO375) + $B$19*($DN375=$DO375))</f>
        <v>3.3333333333333331E-3</v>
      </c>
      <c r="FI375" s="10" cm="1">
        <f t="array" aca="1" ref="FI375" ca="1">(1-$B$18)*SUMPRODUCT(OFFSET($BO$15,0,0,$B$14,1), 1*(_xlfn._xlws.FILTER(OFFSET($O$15,0,$DN375,$B$8,1),OFFSET($M$15,0,0,$B$8,1))=FI$13), 1*(_xlfn._xlws.FILTER(OFFSET($O$15,0,$DO375,$B$8,1),OFFSET($M$15,0,0,$B$8,1))=FI$14))   /   SUM(OFFSET($BO$15,0,0,$B$14,1)) + $B$18/($B$19*$B$19*($DN375&lt;&gt;$DO375) + $B$19*($DN375=$DO375))</f>
        <v>0.48833333333333312</v>
      </c>
      <c r="FJ375" s="10" cm="1">
        <f t="array" aca="1" ref="FJ375" ca="1">(1-$B$18)*SUMPRODUCT(OFFSET($BO$15,0,0,$B$14,1), 1*(_xlfn._xlws.FILTER(OFFSET($O$15,0,$DN375,$B$8,1),OFFSET($M$15,0,0,$B$8,1))=FJ$13), 1*(_xlfn._xlws.FILTER(OFFSET($O$15,0,$DO375,$B$8,1),OFFSET($M$15,0,0,$B$8,1))=FJ$14))   /   SUM(OFFSET($BO$15,0,0,$B$14,1)) + $B$18/($B$19*$B$19*($DN375&lt;&gt;$DO375) + $B$19*($DN375=$DO375))</f>
        <v>3.3333333333333331E-3</v>
      </c>
      <c r="FK375" s="10" cm="1">
        <f t="array" aca="1" ref="FK375" ca="1">(1-$B$18)*SUMPRODUCT(OFFSET($BO$15,0,0,$B$14,1), 1*(_xlfn._xlws.FILTER(OFFSET($O$15,0,$DN375,$B$8,1),OFFSET($M$15,0,0,$B$8,1))=FK$13), 1*(_xlfn._xlws.FILTER(OFFSET($O$15,0,$DO375,$B$8,1),OFFSET($M$15,0,0,$B$8,1))=FK$14))   /   SUM(OFFSET($BO$15,0,0,$B$14,1)) + $B$18/($B$19*$B$19*($DN375&lt;&gt;$DO375) + $B$19*($DN375=$DO375))</f>
        <v>3.3333333333333331E-3</v>
      </c>
      <c r="FL375" s="10" cm="1">
        <f t="array" aca="1" ref="FL375" ca="1">(1-$B$18)*SUMPRODUCT(OFFSET($BO$15,0,0,$B$14,1), 1*(_xlfn._xlws.FILTER(OFFSET($O$15,0,$DN375,$B$8,1),OFFSET($M$15,0,0,$B$8,1))=FL$13), 1*(_xlfn._xlws.FILTER(OFFSET($O$15,0,$DO375,$B$8,1),OFFSET($M$15,0,0,$B$8,1))=FL$14))   /   SUM(OFFSET($BO$15,0,0,$B$14,1)) + $B$18/($B$19*$B$19*($DN375&lt;&gt;$DO375) + $B$19*($DN375=$DO375))</f>
        <v>3.3333333333333331E-3</v>
      </c>
      <c r="FM375" s="10" cm="1">
        <f t="array" aca="1" ref="FM375" ca="1">(1-$B$18)*SUMPRODUCT(OFFSET($BO$15,0,0,$B$14,1), 1*(_xlfn._xlws.FILTER(OFFSET($O$15,0,$DN375,$B$8,1),OFFSET($M$15,0,0,$B$8,1))=FM$13), 1*(_xlfn._xlws.FILTER(OFFSET($O$15,0,$DO375,$B$8,1),OFFSET($M$15,0,0,$B$8,1))=FM$14))   /   SUM(OFFSET($BO$15,0,0,$B$14,1)) + $B$18/($B$19*$B$19*($DN375&lt;&gt;$DO375) + $B$19*($DN375=$DO375))</f>
        <v>3.3333333333333331E-3</v>
      </c>
      <c r="FN375" s="10" cm="1">
        <f t="array" aca="1" ref="FN375" ca="1">(1-$B$18)*SUMPRODUCT(OFFSET($BO$15,0,0,$B$14,1), 1*(_xlfn._xlws.FILTER(OFFSET($O$15,0,$DN375,$B$8,1),OFFSET($M$15,0,0,$B$8,1))=FN$13), 1*(_xlfn._xlws.FILTER(OFFSET($O$15,0,$DO375,$B$8,1),OFFSET($M$15,0,0,$B$8,1))=FN$14))   /   SUM(OFFSET($BO$15,0,0,$B$14,1)) + $B$18/($B$19*$B$19*($DN375&lt;&gt;$DO375) + $B$19*($DN375=$DO375))</f>
        <v>3.3333333333333331E-3</v>
      </c>
      <c r="FO375" s="10" cm="1">
        <f t="array" aca="1" ref="FO375" ca="1">(1-$B$18)*SUMPRODUCT(OFFSET($BO$15,0,0,$B$14,1), 1*(_xlfn._xlws.FILTER(OFFSET($O$15,0,$DN375,$B$8,1),OFFSET($M$15,0,0,$B$8,1))=FO$13), 1*(_xlfn._xlws.FILTER(OFFSET($O$15,0,$DO375,$B$8,1),OFFSET($M$15,0,0,$B$8,1))=FO$14))   /   SUM(OFFSET($BO$15,0,0,$B$14,1)) + $B$18/($B$19*$B$19*($DN375&lt;&gt;$DO375) + $B$19*($DN375=$DO375))</f>
        <v>3.3333333333333331E-3</v>
      </c>
      <c r="FP375" s="10" cm="1">
        <f t="array" aca="1" ref="FP375" ca="1">(1-$B$18)*SUMPRODUCT(OFFSET($BO$15,0,0,$B$14,1), 1*(_xlfn._xlws.FILTER(OFFSET($O$15,0,$DN375,$B$8,1),OFFSET($M$15,0,0,$B$8,1))=FP$13), 1*(_xlfn._xlws.FILTER(OFFSET($O$15,0,$DO375,$B$8,1),OFFSET($M$15,0,0,$B$8,1))=FP$14))   /   SUM(OFFSET($BO$15,0,0,$B$14,1)) + $B$18/($B$19*$B$19*($DN375&lt;&gt;$DO375) + $B$19*($DN375=$DO375))</f>
        <v>3.3333333333333331E-3</v>
      </c>
      <c r="FQ375" s="10" cm="1">
        <f t="array" aca="1" ref="FQ375" ca="1">(1-$B$18)*SUMPRODUCT(OFFSET($BO$15,0,0,$B$14,1), 1*(_xlfn._xlws.FILTER(OFFSET($O$15,0,$DN375,$B$8,1),OFFSET($M$15,0,0,$B$8,1))=FQ$13), 1*(_xlfn._xlws.FILTER(OFFSET($O$15,0,$DO375,$B$8,1),OFFSET($M$15,0,0,$B$8,1))=FQ$14))   /   SUM(OFFSET($BO$15,0,0,$B$14,1)) + $B$18/($B$19*$B$19*($DN375&lt;&gt;$DO375) + $B$19*($DN375=$DO375))</f>
        <v>3.3333333333333331E-3</v>
      </c>
      <c r="FR375" s="10" cm="1">
        <f t="array" aca="1" ref="FR375" ca="1">(1-$B$18)*SUMPRODUCT(OFFSET($BO$15,0,0,$B$14,1), 1*(_xlfn._xlws.FILTER(OFFSET($O$15,0,$DN375,$B$8,1),OFFSET($M$15,0,0,$B$8,1))=FR$13), 1*(_xlfn._xlws.FILTER(OFFSET($O$15,0,$DO375,$B$8,1),OFFSET($M$15,0,0,$B$8,1))=FR$14))   /   SUM(OFFSET($BO$15,0,0,$B$14,1)) + $B$18/($B$19*$B$19*($DN375&lt;&gt;$DO375) + $B$19*($DN375=$DO375))</f>
        <v>0.24583333333333321</v>
      </c>
      <c r="FS375" s="10" cm="1">
        <f t="array" aca="1" ref="FS375" ca="1">(1-$B$18)*SUMPRODUCT(OFFSET($BO$15,0,0,$B$14,1), 1*(_xlfn._xlws.FILTER(OFFSET($O$15,0,$DN375,$B$8,1),OFFSET($M$15,0,0,$B$8,1))=FS$13), 1*(_xlfn._xlws.FILTER(OFFSET($O$15,0,$DO375,$B$8,1),OFFSET($M$15,0,0,$B$8,1))=FS$14))   /   SUM(OFFSET($BO$15,0,0,$B$14,1)) + $B$18/($B$19*$B$19*($DN375&lt;&gt;$DO375) + $B$19*($DN375=$DO375))</f>
        <v>3.3333333333333331E-3</v>
      </c>
      <c r="FT375" s="10" cm="1">
        <f t="array" aca="1" ref="FT375" ca="1">(1-$B$18)*SUMPRODUCT(OFFSET($BO$15,0,0,$B$14,1), 1*(_xlfn._xlws.FILTER(OFFSET($O$15,0,$DN375,$B$8,1),OFFSET($M$15,0,0,$B$8,1))=FT$13), 1*(_xlfn._xlws.FILTER(OFFSET($O$15,0,$DO375,$B$8,1),OFFSET($M$15,0,0,$B$8,1))=FT$14))   /   SUM(OFFSET($BO$15,0,0,$B$14,1)) + $B$18/($B$19*$B$19*($DN375&lt;&gt;$DO375) + $B$19*($DN375=$DO375))</f>
        <v>3.3333333333333331E-3</v>
      </c>
      <c r="FU375" s="10" cm="1">
        <f t="array" aca="1" ref="FU375" ca="1">(1-$B$18)*SUMPRODUCT(OFFSET($BO$15,0,0,$B$14,1), 1*(_xlfn._xlws.FILTER(OFFSET($O$15,0,$DN375,$B$8,1),OFFSET($M$15,0,0,$B$8,1))=FU$13), 1*(_xlfn._xlws.FILTER(OFFSET($O$15,0,$DO375,$B$8,1),OFFSET($M$15,0,0,$B$8,1))=FU$14))   /   SUM(OFFSET($BO$15,0,0,$B$14,1)) + $B$18/($B$19*$B$19*($DN375&lt;&gt;$DO375) + $B$19*($DN375=$DO375))</f>
        <v>3.3333333333333331E-3</v>
      </c>
      <c r="FV375" s="10" cm="1">
        <f t="array" aca="1" ref="FV375" ca="1">(1-$B$18)*SUMPRODUCT(OFFSET($BO$15,0,0,$B$14,1), 1*(_xlfn._xlws.FILTER(OFFSET($O$15,0,$DN375,$B$8,1),OFFSET($M$15,0,0,$B$8,1))=FV$13), 1*(_xlfn._xlws.FILTER(OFFSET($O$15,0,$DO375,$B$8,1),OFFSET($M$15,0,0,$B$8,1))=FV$14))   /   SUM(OFFSET($BO$15,0,0,$B$14,1)) + $B$18/($B$19*$B$19*($DN375&lt;&gt;$DO375) + $B$19*($DN375=$DO375))</f>
        <v>3.3333333333333331E-3</v>
      </c>
      <c r="FW375" s="10" cm="1">
        <f t="array" aca="1" ref="FW375" ca="1">(1-$B$18)*SUMPRODUCT(OFFSET($BO$15,0,0,$B$14,1), 1*(_xlfn._xlws.FILTER(OFFSET($O$15,0,$DN375,$B$8,1),OFFSET($M$15,0,0,$B$8,1))=FW$13), 1*(_xlfn._xlws.FILTER(OFFSET($O$15,0,$DO375,$B$8,1),OFFSET($M$15,0,0,$B$8,1))=FW$14))   /   SUM(OFFSET($BO$15,0,0,$B$14,1)) + $B$18/($B$19*$B$19*($DN375&lt;&gt;$DO375) + $B$19*($DN375=$DO375))</f>
        <v>3.3333333333333331E-3</v>
      </c>
      <c r="FX375" s="10" cm="1">
        <f t="array" aca="1" ref="FX375" ca="1">(1-$B$18)*SUMPRODUCT(OFFSET($BO$15,0,0,$B$14,1), 1*(_xlfn._xlws.FILTER(OFFSET($O$15,0,$DN375,$B$8,1),OFFSET($M$15,0,0,$B$8,1))=FX$13), 1*(_xlfn._xlws.FILTER(OFFSET($O$15,0,$DO375,$B$8,1),OFFSET($M$15,0,0,$B$8,1))=FX$14))   /   SUM(OFFSET($BO$15,0,0,$B$14,1)) + $B$18/($B$19*$B$19*($DN375&lt;&gt;$DO375) + $B$19*($DN375=$DO375))</f>
        <v>3.3333333333333331E-3</v>
      </c>
      <c r="FY375" s="10" cm="1">
        <f t="array" aca="1" ref="FY375" ca="1">(1-$B$18)*SUMPRODUCT(OFFSET($BO$15,0,0,$B$14,1), 1*(_xlfn._xlws.FILTER(OFFSET($O$15,0,$DN375,$B$8,1),OFFSET($M$15,0,0,$B$8,1))=FY$13), 1*(_xlfn._xlws.FILTER(OFFSET($O$15,0,$DO375,$B$8,1),OFFSET($M$15,0,0,$B$8,1))=FY$14))   /   SUM(OFFSET($BO$15,0,0,$B$14,1)) + $B$18/($B$19*$B$19*($DN375&lt;&gt;$DO375) + $B$19*($DN375=$DO375))</f>
        <v>3.3333333333333331E-3</v>
      </c>
      <c r="FZ375" s="10" cm="1">
        <f t="array" aca="1" ref="FZ375" ca="1">(1-$B$18)*SUMPRODUCT(OFFSET($BO$15,0,0,$B$14,1), 1*(_xlfn._xlws.FILTER(OFFSET($O$15,0,$DN375,$B$8,1),OFFSET($M$15,0,0,$B$8,1))=FZ$13), 1*(_xlfn._xlws.FILTER(OFFSET($O$15,0,$DO375,$B$8,1),OFFSET($M$15,0,0,$B$8,1))=FZ$14))   /   SUM(OFFSET($BO$15,0,0,$B$14,1)) + $B$18/($B$19*$B$19*($DN375&lt;&gt;$DO375) + $B$19*($DN375=$DO375))</f>
        <v>3.3333333333333331E-3</v>
      </c>
      <c r="GA375" s="10" cm="1">
        <f t="array" aca="1" ref="GA375" ca="1">(1-$B$18)*SUMPRODUCT(OFFSET($BO$15,0,0,$B$14,1), 1*(_xlfn._xlws.FILTER(OFFSET($O$15,0,$DN375,$B$8,1),OFFSET($M$15,0,0,$B$8,1))=GA$13), 1*(_xlfn._xlws.FILTER(OFFSET($O$15,0,$DO375,$B$8,1),OFFSET($M$15,0,0,$B$8,1))=GA$14))   /   SUM(OFFSET($BO$15,0,0,$B$14,1)) + $B$18/($B$19*$B$19*($DN375&lt;&gt;$DO375) + $B$19*($DN375=$DO375))</f>
        <v>3.3333333333333331E-3</v>
      </c>
    </row>
  </sheetData>
  <conditionalFormatting sqref="K15:K37">
    <cfRule type="cellIs" dxfId="34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33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AJ9">
    <cfRule type="cellIs" dxfId="32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AJ13">
    <cfRule type="cellIs" dxfId="31" priority="9" operator="equal">
      <formula>FALSE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AJ37">
    <cfRule type="expression" dxfId="30" priority="1">
      <formula>AND($M15, O$13)</formula>
    </cfRule>
    <cfRule type="expression" dxfId="29" priority="2" stopIfTrue="1">
      <formula>NOT(AND($M15, O$13))</formula>
    </cfRule>
  </conditionalFormatting>
  <conditionalFormatting sqref="P11:AJ11">
    <cfRule type="expression" dxfId="28" priority="13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F81D-5AF6-504B-8C21-121ED681DDCC}">
  <dimension ref="A1:FT141"/>
  <sheetViews>
    <sheetView topLeftCell="DL1" zoomScale="75" zoomScaleNormal="25" workbookViewId="0">
      <selection activeCell="EF15" sqref="EF15"/>
    </sheetView>
  </sheetViews>
  <sheetFormatPr baseColWidth="10" defaultRowHeight="16" x14ac:dyDescent="0.2"/>
  <cols>
    <col min="1" max="1" width="22.83203125" customWidth="1"/>
  </cols>
  <sheetData>
    <row r="1" spans="1:176" x14ac:dyDescent="0.2">
      <c r="A1" s="5" t="s">
        <v>21</v>
      </c>
      <c r="B1" s="5">
        <v>0.4</v>
      </c>
      <c r="E1" s="2" t="s">
        <v>28</v>
      </c>
      <c r="F1" s="2" t="s">
        <v>43</v>
      </c>
      <c r="L1" t="s">
        <v>56</v>
      </c>
      <c r="M1" t="s">
        <v>0</v>
      </c>
      <c r="N1" t="s">
        <v>1</v>
      </c>
      <c r="O1" t="s">
        <v>2</v>
      </c>
      <c r="P1" t="s">
        <v>3</v>
      </c>
    </row>
    <row r="2" spans="1:176" x14ac:dyDescent="0.2">
      <c r="A2" s="5" t="s">
        <v>22</v>
      </c>
      <c r="B2" s="5">
        <v>0.2</v>
      </c>
      <c r="L2" t="s">
        <v>57</v>
      </c>
      <c r="M2">
        <v>4</v>
      </c>
    </row>
    <row r="3" spans="1:176" x14ac:dyDescent="0.2">
      <c r="A3" s="5" t="s">
        <v>24</v>
      </c>
      <c r="B3" s="5">
        <v>0.2</v>
      </c>
    </row>
    <row r="4" spans="1:176" x14ac:dyDescent="0.2">
      <c r="A4" s="5" t="s">
        <v>23</v>
      </c>
      <c r="B4" s="5">
        <v>0.8</v>
      </c>
    </row>
    <row r="5" spans="1:176" x14ac:dyDescent="0.2">
      <c r="A5" s="5" t="s">
        <v>25</v>
      </c>
      <c r="B5" s="5">
        <v>0.2</v>
      </c>
    </row>
    <row r="7" spans="1:176" x14ac:dyDescent="0.2">
      <c r="AL7" s="4"/>
    </row>
    <row r="8" spans="1:176" x14ac:dyDescent="0.2">
      <c r="A8" s="5" t="s">
        <v>31</v>
      </c>
      <c r="B8" s="5">
        <v>23</v>
      </c>
      <c r="AK8" s="4"/>
      <c r="AL8" s="7"/>
    </row>
    <row r="9" spans="1:176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AK9" s="4"/>
      <c r="CR9" t="str" cm="1">
        <f t="array" aca="1" ref="CR9:CU9" ca="1">OFFSET($M$1,0,0,1,$M$2)</f>
        <v>A</v>
      </c>
      <c r="CS9" t="str">
        <f ca="1"/>
        <v>B</v>
      </c>
      <c r="CT9" t="str">
        <f ca="1"/>
        <v>C</v>
      </c>
      <c r="CU9" t="str">
        <f ca="1"/>
        <v>D</v>
      </c>
      <c r="CZ9" s="13"/>
      <c r="DA9" s="9"/>
      <c r="DB9" s="9"/>
      <c r="DC9" s="9"/>
    </row>
    <row r="10" spans="1:176" x14ac:dyDescent="0.2">
      <c r="N10" s="8" t="s">
        <v>15</v>
      </c>
      <c r="O10" s="17" cm="1">
        <f t="array" aca="1" ref="O10" ca="1">1-SUMPRODUCT(OFFSET($AO$15,0,0,$B$14,1),1*(_xlfn._xlws.FILTER(OFFSET(O$15,0,0,$B$8,1),OFFSET($M$15,0,0,$B$8,1))&lt;&gt;"-"))/SUM(OFFSET($AO$15,0,0,$B$14,1))</f>
        <v>0</v>
      </c>
      <c r="P10" s="17" cm="1">
        <f t="array" aca="1" ref="P10" ca="1">1-SUMPRODUCT(OFFSET($AO$15,0,0,$B$14,1),1*(_xlfn._xlws.FILTER(OFFSET(P$15,0,0,$B$8,1),OFFSET($M$15,0,0,$B$8,1))&lt;&gt;"-"))/SUM(OFFSET($AO$15,0,0,$B$14,1))</f>
        <v>0</v>
      </c>
      <c r="Q10" s="17" cm="1">
        <f t="array" aca="1" ref="Q10" ca="1">1-SUMPRODUCT(OFFSET($AO$15,0,0,$B$14,1),1*(_xlfn._xlws.FILTER(OFFSET(Q$15,0,0,$B$8,1),OFFSET($M$15,0,0,$B$8,1))&lt;&gt;"-"))/SUM(OFFSET($AO$15,0,0,$B$14,1))</f>
        <v>0</v>
      </c>
      <c r="R10" s="17" cm="1">
        <f t="array" aca="1" ref="R10" ca="1">1-SUMPRODUCT(OFFSET($AO$15,0,0,$B$14,1),1*(_xlfn._xlws.FILTER(OFFSET(R$15,0,0,$B$8,1),OFFSET($M$15,0,0,$B$8,1))&lt;&gt;"-"))/SUM(OFFSET($AO$15,0,0,$B$14,1))</f>
        <v>0</v>
      </c>
      <c r="S10" s="17" cm="1">
        <f t="array" aca="1" ref="S10" ca="1">1-SUMPRODUCT(OFFSET($AO$15,0,0,$B$14,1),1*(_xlfn._xlws.FILTER(OFFSET(S$15,0,0,$B$8,1),OFFSET($M$15,0,0,$B$8,1))&lt;&gt;"-"))/SUM(OFFSET($AO$15,0,0,$B$14,1))</f>
        <v>0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76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B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</v>
      </c>
      <c r="CR11" s="1" cm="1">
        <f t="array" aca="1" ref="CR11:CU11" ca="1">(1-$CQ$11)*OFFSET($CR$10,0,0,1,$M$2)</f>
        <v>0.25</v>
      </c>
      <c r="CS11">
        <f ca="1"/>
        <v>0.25</v>
      </c>
      <c r="CT11">
        <f ca="1"/>
        <v>0.25</v>
      </c>
      <c r="CU11">
        <f ca="1"/>
        <v>0.25</v>
      </c>
      <c r="DH11" s="13" t="s">
        <v>48</v>
      </c>
      <c r="EF11" s="13" t="s">
        <v>48</v>
      </c>
      <c r="FB11" s="13" t="s">
        <v>48</v>
      </c>
    </row>
    <row r="12" spans="1:176" x14ac:dyDescent="0.2">
      <c r="N12" s="8" t="s">
        <v>20</v>
      </c>
      <c r="O12" s="12">
        <f t="shared" ref="O12:S12" ca="1" si="1">COUNTIF(OFFSET(O15,0,0,$B$8,1), "-") / COUNTA(OFFSET(O15,0,0,$B$8,1))</f>
        <v>4.3478260869565216E-2</v>
      </c>
      <c r="P12" s="9">
        <f t="shared" ca="1" si="1"/>
        <v>8.6956521739130432E-2</v>
      </c>
      <c r="Q12" s="9">
        <f t="shared" ca="1" si="1"/>
        <v>8.6956521739130432E-2</v>
      </c>
      <c r="R12" s="9">
        <f t="shared" ca="1" si="1"/>
        <v>4.3478260869565216E-2</v>
      </c>
      <c r="S12" s="9">
        <f t="shared" ca="1" si="1"/>
        <v>4.3478260869565216E-2</v>
      </c>
      <c r="AK12" s="7"/>
      <c r="CQ12" s="2"/>
      <c r="DF12" s="4" t="s">
        <v>50</v>
      </c>
      <c r="DG12" s="4"/>
      <c r="ED12" s="4" t="s">
        <v>62</v>
      </c>
      <c r="EE12" s="4"/>
      <c r="EZ12" s="4" t="s">
        <v>63</v>
      </c>
      <c r="FA12" s="4"/>
    </row>
    <row r="13" spans="1:176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B</v>
      </c>
      <c r="DM13" t="str" cm="1">
        <f t="array" aca="1" ref="DM13" ca="1">INDEX(_xlfn.ANCHORARRAY($CR$14), 1 + INT((COLUMNS($DH$13:DM$13) - 1) / COLUMNS(_xlfn.ANCHORARRAY($CR$14))))</f>
        <v>B</v>
      </c>
      <c r="DN13" t="str" cm="1">
        <f t="array" aca="1" ref="DN13" ca="1">INDEX(_xlfn.ANCHORARRAY($CR$14), 1 + INT((COLUMNS($DH$13:DN$13) - 1) / COLUMNS(_xlfn.ANCHORARRAY($CR$14))))</f>
        <v>B</v>
      </c>
      <c r="DO13" t="str" cm="1">
        <f t="array" aca="1" ref="DO13" ca="1">INDEX(_xlfn.ANCHORARRAY($CR$14), 1 + INT((COLUMNS($DH$13:DO$13) - 1) / COLUMNS(_xlfn.ANCHORARRAY($CR$14))))</f>
        <v>B</v>
      </c>
      <c r="DP13" t="str" cm="1">
        <f t="array" aca="1" ref="DP13" ca="1">INDEX(_xlfn.ANCHORARRAY($CR$14), 1 + INT((COLUMNS($DH$13:DP$13) - 1) / COLUMNS(_xlfn.ANCHORARRAY($CR$14))))</f>
        <v>C</v>
      </c>
      <c r="DQ13" t="str" cm="1">
        <f t="array" aca="1" ref="DQ13" ca="1">INDEX(_xlfn.ANCHORARRAY($CR$14), 1 + INT((COLUMNS($DH$13:DQ$13) - 1) / COLUMNS(_xlfn.ANCHORARRAY($CR$14))))</f>
        <v>C</v>
      </c>
      <c r="DR13" t="str" cm="1">
        <f t="array" aca="1" ref="DR13" ca="1">INDEX(_xlfn.ANCHORARRAY($CR$14), 1 + INT((COLUMNS($DH$13:DR$13) - 1) / COLUMNS(_xlfn.ANCHORARRAY($CR$14))))</f>
        <v>C</v>
      </c>
      <c r="DS13" t="str" cm="1">
        <f t="array" aca="1" ref="DS13" ca="1">INDEX(_xlfn.ANCHORARRAY($CR$14), 1 + INT((COLUMNS($DH$13:DS$13) - 1) / COLUMNS(_xlfn.ANCHORARRAY($CR$14))))</f>
        <v>C</v>
      </c>
      <c r="DT13" t="str" cm="1">
        <f t="array" aca="1" ref="DT13" ca="1">INDEX(_xlfn.ANCHORARRAY($CR$14), 1 + INT((COLUMNS($DH$13:DT$13) - 1) / COLUMNS(_xlfn.ANCHORARRAY($CR$14))))</f>
        <v>D</v>
      </c>
      <c r="DU13" t="str" cm="1">
        <f t="array" aca="1" ref="DU13" ca="1">INDEX(_xlfn.ANCHORARRAY($CR$14), 1 + INT((COLUMNS($DH$13:DU$13) - 1) / COLUMNS(_xlfn.ANCHORARRAY($CR$14))))</f>
        <v>D</v>
      </c>
      <c r="DV13" t="str" cm="1">
        <f t="array" aca="1" ref="DV13" ca="1">INDEX(_xlfn.ANCHORARRAY($CR$14), 1 + INT((COLUMNS($DH$13:DV$13) - 1) / COLUMNS(_xlfn.ANCHORARRAY($CR$14))))</f>
        <v>D</v>
      </c>
      <c r="DW13" t="str" cm="1">
        <f t="array" aca="1" ref="DW13" ca="1">INDEX(_xlfn.ANCHORARRAY($CR$14), 1 + INT((COLUMNS($DH$13:DW$13) - 1) / COLUMNS(_xlfn.ANCHORARRAY($CR$14))))</f>
        <v>D</v>
      </c>
      <c r="ED13" s="8"/>
      <c r="EE13" s="4" t="s">
        <v>54</v>
      </c>
      <c r="EF13" t="str" cm="1">
        <f t="array" aca="1" ref="EF13" ca="1">INDEX(_xlfn.ANCHORARRAY($CR$14), 1 + INT((COLUMNS($EF$13:EF$13) - 1) / COLUMNS(_xlfn.ANCHORARRAY($CR$14))))</f>
        <v>A</v>
      </c>
      <c r="EG13" t="str" cm="1">
        <f t="array" aca="1" ref="EG13" ca="1">INDEX(_xlfn.ANCHORARRAY($CR$14), 1 + INT((COLUMNS($EF$13:EG$13) - 1) / COLUMNS(_xlfn.ANCHORARRAY($CR$14))))</f>
        <v>A</v>
      </c>
      <c r="EH13" t="str" cm="1">
        <f t="array" aca="1" ref="EH13" ca="1">INDEX(_xlfn.ANCHORARRAY($CR$14), 1 + INT((COLUMNS($EF$13:EH$13) - 1) / COLUMNS(_xlfn.ANCHORARRAY($CR$14))))</f>
        <v>A</v>
      </c>
      <c r="EI13" t="str" cm="1">
        <f t="array" aca="1" ref="EI13" ca="1">INDEX(_xlfn.ANCHORARRAY($CR$14), 1 + INT((COLUMNS($EF$13:EI$13) - 1) / COLUMNS(_xlfn.ANCHORARRAY($CR$14))))</f>
        <v>A</v>
      </c>
      <c r="EJ13" t="str" cm="1">
        <f t="array" aca="1" ref="EJ13" ca="1">INDEX(_xlfn.ANCHORARRAY($CR$14), 1 + INT((COLUMNS($EF$13:EJ$13) - 1) / COLUMNS(_xlfn.ANCHORARRAY($CR$14))))</f>
        <v>B</v>
      </c>
      <c r="EK13" t="str" cm="1">
        <f t="array" aca="1" ref="EK13" ca="1">INDEX(_xlfn.ANCHORARRAY($CR$14), 1 + INT((COLUMNS($EF$13:EK$13) - 1) / COLUMNS(_xlfn.ANCHORARRAY($CR$14))))</f>
        <v>B</v>
      </c>
      <c r="EL13" t="str" cm="1">
        <f t="array" aca="1" ref="EL13" ca="1">INDEX(_xlfn.ANCHORARRAY($CR$14), 1 + INT((COLUMNS($EF$13:EL$13) - 1) / COLUMNS(_xlfn.ANCHORARRAY($CR$14))))</f>
        <v>B</v>
      </c>
      <c r="EM13" t="str" cm="1">
        <f t="array" aca="1" ref="EM13" ca="1">INDEX(_xlfn.ANCHORARRAY($CR$14), 1 + INT((COLUMNS($EF$13:EM$13) - 1) / COLUMNS(_xlfn.ANCHORARRAY($CR$14))))</f>
        <v>B</v>
      </c>
      <c r="EN13" t="str" cm="1">
        <f t="array" aca="1" ref="EN13" ca="1">INDEX(_xlfn.ANCHORARRAY($CR$14), 1 + INT((COLUMNS($EF$13:EN$13) - 1) / COLUMNS(_xlfn.ANCHORARRAY($CR$14))))</f>
        <v>C</v>
      </c>
      <c r="EO13" t="str" cm="1">
        <f t="array" aca="1" ref="EO13" ca="1">INDEX(_xlfn.ANCHORARRAY($CR$14), 1 + INT((COLUMNS($EF$13:EO$13) - 1) / COLUMNS(_xlfn.ANCHORARRAY($CR$14))))</f>
        <v>C</v>
      </c>
      <c r="EP13" t="str" cm="1">
        <f t="array" aca="1" ref="EP13" ca="1">INDEX(_xlfn.ANCHORARRAY($CR$14), 1 + INT((COLUMNS($EF$13:EP$13) - 1) / COLUMNS(_xlfn.ANCHORARRAY($CR$14))))</f>
        <v>C</v>
      </c>
      <c r="EQ13" t="str" cm="1">
        <f t="array" aca="1" ref="EQ13" ca="1">INDEX(_xlfn.ANCHORARRAY($CR$14), 1 + INT((COLUMNS($EF$13:EQ$13) - 1) / COLUMNS(_xlfn.ANCHORARRAY($CR$14))))</f>
        <v>C</v>
      </c>
      <c r="ER13" t="str" cm="1">
        <f t="array" aca="1" ref="ER13" ca="1">INDEX(_xlfn.ANCHORARRAY($CR$14), 1 + INT((COLUMNS($EF$13:ER$13) - 1) / COLUMNS(_xlfn.ANCHORARRAY($CR$14))))</f>
        <v>D</v>
      </c>
      <c r="ES13" t="str" cm="1">
        <f t="array" aca="1" ref="ES13" ca="1">INDEX(_xlfn.ANCHORARRAY($CR$14), 1 + INT((COLUMNS($EF$13:ES$13) - 1) / COLUMNS(_xlfn.ANCHORARRAY($CR$14))))</f>
        <v>D</v>
      </c>
      <c r="ET13" t="str" cm="1">
        <f t="array" aca="1" ref="ET13" ca="1">INDEX(_xlfn.ANCHORARRAY($CR$14), 1 + INT((COLUMNS($EF$13:ET$13) - 1) / COLUMNS(_xlfn.ANCHORARRAY($CR$14))))</f>
        <v>D</v>
      </c>
      <c r="EU13" t="str" cm="1">
        <f t="array" aca="1" ref="EU13" ca="1">INDEX(_xlfn.ANCHORARRAY($CR$14), 1 + INT((COLUMNS($EF$13:EU$13) - 1) / COLUMNS(_xlfn.ANCHORARRAY($CR$14))))</f>
        <v>D</v>
      </c>
      <c r="EZ13" s="8"/>
      <c r="FA13" s="4" t="s">
        <v>54</v>
      </c>
      <c r="FB13" t="str" cm="1">
        <f t="array" aca="1" ref="FB13" ca="1">INDEX(_xlfn.ANCHORARRAY($CR$14), 1 + INT((COLUMNS($FB$13:FB$13) - 1) / COLUMNS(_xlfn.ANCHORARRAY($CR$14))))</f>
        <v>A</v>
      </c>
      <c r="FC13" t="str" cm="1">
        <f t="array" aca="1" ref="FC13" ca="1">INDEX(_xlfn.ANCHORARRAY($CR$14), 1 + INT((COLUMNS($FB$13:FC$13) - 1) / COLUMNS(_xlfn.ANCHORARRAY($CR$14))))</f>
        <v>A</v>
      </c>
      <c r="FD13" t="str" cm="1">
        <f t="array" aca="1" ref="FD13" ca="1">INDEX(_xlfn.ANCHORARRAY($CR$14), 1 + INT((COLUMNS($FB$13:FD$13) - 1) / COLUMNS(_xlfn.ANCHORARRAY($CR$14))))</f>
        <v>A</v>
      </c>
      <c r="FE13" t="str" cm="1">
        <f t="array" aca="1" ref="FE13" ca="1">INDEX(_xlfn.ANCHORARRAY($CR$14), 1 + INT((COLUMNS($FB$13:FE$13) - 1) / COLUMNS(_xlfn.ANCHORARRAY($CR$14))))</f>
        <v>A</v>
      </c>
      <c r="FF13" t="str" cm="1">
        <f t="array" aca="1" ref="FF13" ca="1">INDEX(_xlfn.ANCHORARRAY($CR$14), 1 + INT((COLUMNS($FB$13:FF$13) - 1) / COLUMNS(_xlfn.ANCHORARRAY($CR$14))))</f>
        <v>B</v>
      </c>
      <c r="FG13" t="str" cm="1">
        <f t="array" aca="1" ref="FG13" ca="1">INDEX(_xlfn.ANCHORARRAY($CR$14), 1 + INT((COLUMNS($FB$13:FG$13) - 1) / COLUMNS(_xlfn.ANCHORARRAY($CR$14))))</f>
        <v>B</v>
      </c>
      <c r="FH13" t="str" cm="1">
        <f t="array" aca="1" ref="FH13" ca="1">INDEX(_xlfn.ANCHORARRAY($CR$14), 1 + INT((COLUMNS($FB$13:FH$13) - 1) / COLUMNS(_xlfn.ANCHORARRAY($CR$14))))</f>
        <v>B</v>
      </c>
      <c r="FI13" t="str" cm="1">
        <f t="array" aca="1" ref="FI13" ca="1">INDEX(_xlfn.ANCHORARRAY($CR$14), 1 + INT((COLUMNS($FB$13:FI$13) - 1) / COLUMNS(_xlfn.ANCHORARRAY($CR$14))))</f>
        <v>B</v>
      </c>
      <c r="FJ13" t="str" cm="1">
        <f t="array" aca="1" ref="FJ13" ca="1">INDEX(_xlfn.ANCHORARRAY($CR$14), 1 + INT((COLUMNS($FB$13:FJ$13) - 1) / COLUMNS(_xlfn.ANCHORARRAY($CR$14))))</f>
        <v>C</v>
      </c>
      <c r="FK13" t="str" cm="1">
        <f t="array" aca="1" ref="FK13" ca="1">INDEX(_xlfn.ANCHORARRAY($CR$14), 1 + INT((COLUMNS($FB$13:FK$13) - 1) / COLUMNS(_xlfn.ANCHORARRAY($CR$14))))</f>
        <v>C</v>
      </c>
      <c r="FL13" t="str" cm="1">
        <f t="array" aca="1" ref="FL13" ca="1">INDEX(_xlfn.ANCHORARRAY($CR$14), 1 + INT((COLUMNS($FB$13:FL$13) - 1) / COLUMNS(_xlfn.ANCHORARRAY($CR$14))))</f>
        <v>C</v>
      </c>
      <c r="FM13" t="str" cm="1">
        <f t="array" aca="1" ref="FM13" ca="1">INDEX(_xlfn.ANCHORARRAY($CR$14), 1 + INT((COLUMNS($FB$13:FM$13) - 1) / COLUMNS(_xlfn.ANCHORARRAY($CR$14))))</f>
        <v>C</v>
      </c>
      <c r="FN13" t="str" cm="1">
        <f t="array" aca="1" ref="FN13" ca="1">INDEX(_xlfn.ANCHORARRAY($CR$14), 1 + INT((COLUMNS($FB$13:FN$13) - 1) / COLUMNS(_xlfn.ANCHORARRAY($CR$14))))</f>
        <v>D</v>
      </c>
      <c r="FO13" t="str" cm="1">
        <f t="array" aca="1" ref="FO13" ca="1">INDEX(_xlfn.ANCHORARRAY($CR$14), 1 + INT((COLUMNS($FB$13:FO$13) - 1) / COLUMNS(_xlfn.ANCHORARRAY($CR$14))))</f>
        <v>D</v>
      </c>
      <c r="FP13" t="str" cm="1">
        <f t="array" aca="1" ref="FP13" ca="1">INDEX(_xlfn.ANCHORARRAY($CR$14), 1 + INT((COLUMNS($FB$13:FP$13) - 1) / COLUMNS(_xlfn.ANCHORARRAY($CR$14))))</f>
        <v>D</v>
      </c>
      <c r="FQ13" t="str" cm="1">
        <f t="array" aca="1" ref="FQ13" ca="1">INDEX(_xlfn.ANCHORARRAY($CR$14), 1 + INT((COLUMNS($FB$13:FQ$13) - 1) / COLUMNS(_xlfn.ANCHORARRAY($CR$14))))</f>
        <v>D</v>
      </c>
    </row>
    <row r="14" spans="1:176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B</v>
      </c>
      <c r="CT14" s="9" t="str">
        <f ca="1"/>
        <v>C</v>
      </c>
      <c r="CU14" s="9" t="str">
        <f ca="1"/>
        <v>D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B</v>
      </c>
      <c r="DB14" s="9" t="str">
        <f ca="1"/>
        <v>C</v>
      </c>
      <c r="DC14" s="9" t="str">
        <f ca="1"/>
        <v>D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B</v>
      </c>
      <c r="DJ14" s="15" t="str" cm="1">
        <f t="array" aca="1" ref="DJ14" ca="1">INDEX(_xlfn.ANCHORARRAY($CR$14), 1 + MOD(COLUMNS($DH$14:DJ$14) - 1, COLUMNS(_xlfn.ANCHORARRAY($CR$14))))</f>
        <v>C</v>
      </c>
      <c r="DK14" s="15" t="str" cm="1">
        <f t="array" aca="1" ref="DK14" ca="1">INDEX(_xlfn.ANCHORARRAY($CR$14), 1 + MOD(COLUMNS($DH$14:DK$14) - 1, COLUMNS(_xlfn.ANCHORARRAY($CR$14))))</f>
        <v>D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B</v>
      </c>
      <c r="DN14" s="15" t="str" cm="1">
        <f t="array" aca="1" ref="DN14" ca="1">INDEX(_xlfn.ANCHORARRAY($CR$14), 1 + MOD(COLUMNS($DH$14:DN$14) - 1, COLUMNS(_xlfn.ANCHORARRAY($CR$14))))</f>
        <v>C</v>
      </c>
      <c r="DO14" s="15" t="str" cm="1">
        <f t="array" aca="1" ref="DO14" ca="1">INDEX(_xlfn.ANCHORARRAY($CR$14), 1 + MOD(COLUMNS($DH$14:DO$14) - 1, COLUMNS(_xlfn.ANCHORARRAY($CR$14))))</f>
        <v>D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B</v>
      </c>
      <c r="DR14" s="15" t="str" cm="1">
        <f t="array" aca="1" ref="DR14" ca="1">INDEX(_xlfn.ANCHORARRAY($CR$14), 1 + MOD(COLUMNS($DH$14:DR$14) - 1, COLUMNS(_xlfn.ANCHORARRAY($CR$14))))</f>
        <v>C</v>
      </c>
      <c r="DS14" s="15" t="str" cm="1">
        <f t="array" aca="1" ref="DS14" ca="1">INDEX(_xlfn.ANCHORARRAY($CR$14), 1 + MOD(COLUMNS($DH$14:DS$14) - 1, COLUMNS(_xlfn.ANCHORARRAY($CR$14))))</f>
        <v>D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B</v>
      </c>
      <c r="DV14" s="15" t="str" cm="1">
        <f t="array" aca="1" ref="DV14" ca="1">INDEX(_xlfn.ANCHORARRAY($CR$14), 1 + MOD(COLUMNS($DH$14:DV$14) - 1, COLUMNS(_xlfn.ANCHORARRAY($CR$14))))</f>
        <v>C</v>
      </c>
      <c r="DW14" s="15" t="str" cm="1">
        <f t="array" aca="1" ref="DW14" ca="1">INDEX(_xlfn.ANCHORARRAY($CR$14), 1 + MOD(COLUMNS($DH$14:DW$14) - 1, COLUMNS(_xlfn.ANCHORARRAY($CR$14))))</f>
        <v>D</v>
      </c>
      <c r="EC14" s="4" t="s">
        <v>46</v>
      </c>
      <c r="ED14" s="4" t="s">
        <v>53</v>
      </c>
      <c r="EE14" s="4" t="s">
        <v>55</v>
      </c>
      <c r="EF14" s="15" t="str" cm="1">
        <f t="array" aca="1" ref="EF14" ca="1">INDEX(_xlfn.ANCHORARRAY($CR$14), 1 + MOD(COLUMNS($EF$14:EF$14) - 1, COLUMNS(_xlfn.ANCHORARRAY($CR$14))))</f>
        <v>A</v>
      </c>
      <c r="EG14" s="15" t="str" cm="1">
        <f t="array" aca="1" ref="EG14" ca="1">INDEX(_xlfn.ANCHORARRAY($CR$14), 1 + MOD(COLUMNS($EF$14:EG$14) - 1, COLUMNS(_xlfn.ANCHORARRAY($CR$14))))</f>
        <v>B</v>
      </c>
      <c r="EH14" s="15" t="str" cm="1">
        <f t="array" aca="1" ref="EH14" ca="1">INDEX(_xlfn.ANCHORARRAY($CR$14), 1 + MOD(COLUMNS($EF$14:EH$14) - 1, COLUMNS(_xlfn.ANCHORARRAY($CR$14))))</f>
        <v>C</v>
      </c>
      <c r="EI14" s="15" t="str" cm="1">
        <f t="array" aca="1" ref="EI14" ca="1">INDEX(_xlfn.ANCHORARRAY($CR$14), 1 + MOD(COLUMNS($EF$14:EI$14) - 1, COLUMNS(_xlfn.ANCHORARRAY($CR$14))))</f>
        <v>D</v>
      </c>
      <c r="EJ14" s="15" t="str" cm="1">
        <f t="array" aca="1" ref="EJ14" ca="1">INDEX(_xlfn.ANCHORARRAY($CR$14), 1 + MOD(COLUMNS($EF$14:EJ$14) - 1, COLUMNS(_xlfn.ANCHORARRAY($CR$14))))</f>
        <v>A</v>
      </c>
      <c r="EK14" s="15" t="str" cm="1">
        <f t="array" aca="1" ref="EK14" ca="1">INDEX(_xlfn.ANCHORARRAY($CR$14), 1 + MOD(COLUMNS($EF$14:EK$14) - 1, COLUMNS(_xlfn.ANCHORARRAY($CR$14))))</f>
        <v>B</v>
      </c>
      <c r="EL14" s="15" t="str" cm="1">
        <f t="array" aca="1" ref="EL14" ca="1">INDEX(_xlfn.ANCHORARRAY($CR$14), 1 + MOD(COLUMNS($EF$14:EL$14) - 1, COLUMNS(_xlfn.ANCHORARRAY($CR$14))))</f>
        <v>C</v>
      </c>
      <c r="EM14" s="15" t="str" cm="1">
        <f t="array" aca="1" ref="EM14" ca="1">INDEX(_xlfn.ANCHORARRAY($CR$14), 1 + MOD(COLUMNS($EF$14:EM$14) - 1, COLUMNS(_xlfn.ANCHORARRAY($CR$14))))</f>
        <v>D</v>
      </c>
      <c r="EN14" s="15" t="str" cm="1">
        <f t="array" aca="1" ref="EN14" ca="1">INDEX(_xlfn.ANCHORARRAY($CR$14), 1 + MOD(COLUMNS($EF$14:EN$14) - 1, COLUMNS(_xlfn.ANCHORARRAY($CR$14))))</f>
        <v>A</v>
      </c>
      <c r="EO14" s="15" t="str" cm="1">
        <f t="array" aca="1" ref="EO14" ca="1">INDEX(_xlfn.ANCHORARRAY($CR$14), 1 + MOD(COLUMNS($EF$14:EO$14) - 1, COLUMNS(_xlfn.ANCHORARRAY($CR$14))))</f>
        <v>B</v>
      </c>
      <c r="EP14" s="15" t="str" cm="1">
        <f t="array" aca="1" ref="EP14" ca="1">INDEX(_xlfn.ANCHORARRAY($CR$14), 1 + MOD(COLUMNS($EF$14:EP$14) - 1, COLUMNS(_xlfn.ANCHORARRAY($CR$14))))</f>
        <v>C</v>
      </c>
      <c r="EQ14" s="15" t="str" cm="1">
        <f t="array" aca="1" ref="EQ14" ca="1">INDEX(_xlfn.ANCHORARRAY($CR$14), 1 + MOD(COLUMNS($EF$14:EQ$14) - 1, COLUMNS(_xlfn.ANCHORARRAY($CR$14))))</f>
        <v>D</v>
      </c>
      <c r="ER14" s="15" t="str" cm="1">
        <f t="array" aca="1" ref="ER14" ca="1">INDEX(_xlfn.ANCHORARRAY($CR$14), 1 + MOD(COLUMNS($EF$14:ER$14) - 1, COLUMNS(_xlfn.ANCHORARRAY($CR$14))))</f>
        <v>A</v>
      </c>
      <c r="ES14" s="15" t="str" cm="1">
        <f t="array" aca="1" ref="ES14" ca="1">INDEX(_xlfn.ANCHORARRAY($CR$14), 1 + MOD(COLUMNS($EF$14:ES$14) - 1, COLUMNS(_xlfn.ANCHORARRAY($CR$14))))</f>
        <v>B</v>
      </c>
      <c r="ET14" s="15" t="str" cm="1">
        <f t="array" aca="1" ref="ET14" ca="1">INDEX(_xlfn.ANCHORARRAY($CR$14), 1 + MOD(COLUMNS($EF$14:ET$14) - 1, COLUMNS(_xlfn.ANCHORARRAY($CR$14))))</f>
        <v>C</v>
      </c>
      <c r="EU14" s="15" t="str" cm="1">
        <f t="array" aca="1" ref="EU14" ca="1">INDEX(_xlfn.ANCHORARRAY($CR$14), 1 + MOD(COLUMNS($EF$14:EU$14) - 1, COLUMNS(_xlfn.ANCHORARRAY($CR$14))))</f>
        <v>D</v>
      </c>
      <c r="EY14" s="4" t="s">
        <v>46</v>
      </c>
      <c r="EZ14" s="4" t="s">
        <v>53</v>
      </c>
      <c r="FA14" s="4" t="s">
        <v>55</v>
      </c>
      <c r="FB14" s="15" t="str" cm="1">
        <f t="array" aca="1" ref="FB14" ca="1">INDEX(_xlfn.ANCHORARRAY($CR$14), 1 + MOD(COLUMNS($FB$14:FB$14) - 1, COLUMNS(_xlfn.ANCHORARRAY($CR$14))))</f>
        <v>A</v>
      </c>
      <c r="FC14" s="15" t="str" cm="1">
        <f t="array" aca="1" ref="FC14" ca="1">INDEX(_xlfn.ANCHORARRAY($CR$14), 1 + MOD(COLUMNS($FB$14:FC$14) - 1, COLUMNS(_xlfn.ANCHORARRAY($CR$14))))</f>
        <v>B</v>
      </c>
      <c r="FD14" s="15" t="str" cm="1">
        <f t="array" aca="1" ref="FD14" ca="1">INDEX(_xlfn.ANCHORARRAY($CR$14), 1 + MOD(COLUMNS($FB$14:FD$14) - 1, COLUMNS(_xlfn.ANCHORARRAY($CR$14))))</f>
        <v>C</v>
      </c>
      <c r="FE14" s="15" t="str" cm="1">
        <f t="array" aca="1" ref="FE14" ca="1">INDEX(_xlfn.ANCHORARRAY($CR$14), 1 + MOD(COLUMNS($FB$14:FE$14) - 1, COLUMNS(_xlfn.ANCHORARRAY($CR$14))))</f>
        <v>D</v>
      </c>
      <c r="FF14" s="15" t="str" cm="1">
        <f t="array" aca="1" ref="FF14" ca="1">INDEX(_xlfn.ANCHORARRAY($CR$14), 1 + MOD(COLUMNS($FB$14:FF$14) - 1, COLUMNS(_xlfn.ANCHORARRAY($CR$14))))</f>
        <v>A</v>
      </c>
      <c r="FG14" s="15" t="str" cm="1">
        <f t="array" aca="1" ref="FG14" ca="1">INDEX(_xlfn.ANCHORARRAY($CR$14), 1 + MOD(COLUMNS($FB$14:FG$14) - 1, COLUMNS(_xlfn.ANCHORARRAY($CR$14))))</f>
        <v>B</v>
      </c>
      <c r="FH14" s="15" t="str" cm="1">
        <f t="array" aca="1" ref="FH14" ca="1">INDEX(_xlfn.ANCHORARRAY($CR$14), 1 + MOD(COLUMNS($FB$14:FH$14) - 1, COLUMNS(_xlfn.ANCHORARRAY($CR$14))))</f>
        <v>C</v>
      </c>
      <c r="FI14" s="15" t="str" cm="1">
        <f t="array" aca="1" ref="FI14" ca="1">INDEX(_xlfn.ANCHORARRAY($CR$14), 1 + MOD(COLUMNS($FB$14:FI$14) - 1, COLUMNS(_xlfn.ANCHORARRAY($CR$14))))</f>
        <v>D</v>
      </c>
      <c r="FJ14" s="15" t="str" cm="1">
        <f t="array" aca="1" ref="FJ14" ca="1">INDEX(_xlfn.ANCHORARRAY($CR$14), 1 + MOD(COLUMNS($FB$14:FJ$14) - 1, COLUMNS(_xlfn.ANCHORARRAY($CR$14))))</f>
        <v>A</v>
      </c>
      <c r="FK14" s="15" t="str" cm="1">
        <f t="array" aca="1" ref="FK14" ca="1">INDEX(_xlfn.ANCHORARRAY($CR$14), 1 + MOD(COLUMNS($FB$14:FK$14) - 1, COLUMNS(_xlfn.ANCHORARRAY($CR$14))))</f>
        <v>B</v>
      </c>
      <c r="FL14" s="15" t="str" cm="1">
        <f t="array" aca="1" ref="FL14" ca="1">INDEX(_xlfn.ANCHORARRAY($CR$14), 1 + MOD(COLUMNS($FB$14:FL$14) - 1, COLUMNS(_xlfn.ANCHORARRAY($CR$14))))</f>
        <v>C</v>
      </c>
      <c r="FM14" s="15" t="str" cm="1">
        <f t="array" aca="1" ref="FM14" ca="1">INDEX(_xlfn.ANCHORARRAY($CR$14), 1 + MOD(COLUMNS($FB$14:FM$14) - 1, COLUMNS(_xlfn.ANCHORARRAY($CR$14))))</f>
        <v>D</v>
      </c>
      <c r="FN14" s="15" t="str" cm="1">
        <f t="array" aca="1" ref="FN14" ca="1">INDEX(_xlfn.ANCHORARRAY($CR$14), 1 + MOD(COLUMNS($FB$14:FN$14) - 1, COLUMNS(_xlfn.ANCHORARRAY($CR$14))))</f>
        <v>A</v>
      </c>
      <c r="FO14" s="15" t="str" cm="1">
        <f t="array" aca="1" ref="FO14" ca="1">INDEX(_xlfn.ANCHORARRAY($CR$14), 1 + MOD(COLUMNS($FB$14:FO$14) - 1, COLUMNS(_xlfn.ANCHORARRAY($CR$14))))</f>
        <v>B</v>
      </c>
      <c r="FP14" s="15" t="str" cm="1">
        <f t="array" aca="1" ref="FP14" ca="1">INDEX(_xlfn.ANCHORARRAY($CR$14), 1 + MOD(COLUMNS($FB$14:FP$14) - 1, COLUMNS(_xlfn.ANCHORARRAY($CR$14))))</f>
        <v>C</v>
      </c>
      <c r="FQ14" s="15" t="str" cm="1">
        <f t="array" aca="1" ref="FQ14" ca="1">INDEX(_xlfn.ANCHORARRAY($CR$14), 1 + MOD(COLUMNS($FB$14:FQ$14) - 1, COLUMNS(_xlfn.ANCHORARRAY($CR$14))))</f>
        <v>D</v>
      </c>
      <c r="FT14" t="s">
        <v>64</v>
      </c>
    </row>
    <row r="15" spans="1:176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</v>
      </c>
      <c r="H15" s="10" cm="1">
        <f t="array" aca="1" ref="H15:H19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t="shared" ref="K15:K37" ca="1" si="3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4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1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5">COUNTIF(AQ15:BJ15,"&gt;="&amp;$B$4)</f>
        <v>5</v>
      </c>
      <c r="AO15" s="14">
        <f t="shared" ref="AO15:AO34" ca="1" si="6">1/AN15</f>
        <v>0.2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0.8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0.8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0.8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0.6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0.4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0.4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0.4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0.6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0.6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0.4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0.4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0.4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0.4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0.6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0.6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0.8</v>
      </c>
      <c r="BN15">
        <f t="shared" ref="BN15:BN34" ca="1" si="7">COUNTIF(BQ15:CJ15,"&gt;="&amp;$B$4)</f>
        <v>5</v>
      </c>
      <c r="BO15" s="14">
        <f t="shared" ref="BO15:BO34" ca="1" si="8">1/BN15</f>
        <v>0.2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0.8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0.8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0.8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0.6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0.4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0.4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0.4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0.6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0.6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0.4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0.4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0.4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0.4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0.4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0.4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0.6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0.6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0.6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0.8</v>
      </c>
      <c r="CP15" cm="1">
        <f t="array" aca="1" ref="CP15:CP19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6.0000000000000001E-3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0.4573861386138614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0.17887128712871286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0.17887128712871286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0.17887128712871286</v>
      </c>
      <c r="CX15" s="10" cm="1">
        <f t="array" aca="1" ref="CX15" ca="1">SUM(OFFSET($CR15,0,0,1,$M$2)*LN(OFFSET($CR15,0,0,1,$M$2)/OFFSET($CR$11,0,0,1,$M$2)))+IF($CQ$11&gt;0,OFFSET($O$10,0,$CP15,1,1)*LN(OFFSET($O$10,0,$CP15,1,1)/$CQ$11),0)</f>
        <v>9.6636563759746691E-2</v>
      </c>
      <c r="CY15" cm="1">
        <f t="array" aca="1" ref="CY15:CY19" ca="1">TRANSPOSE(_xlfn._xlws.FILTER(OFFSET($O$14,0,0,1,$B$9),OFFSET($O$9,0,0,1,$B$9)))</f>
        <v>0</v>
      </c>
      <c r="CZ15" s="10">
        <f ca="1">CR15*LN(CR15/CR$10) + (1 - CR15)*LN((1-CR15)/(1-CR$10))</f>
        <v>0.10066121648548645</v>
      </c>
      <c r="DA15" s="10">
        <f t="shared" ref="DA15:DC19" ca="1" si="9">CS15*LN(CS15/CS$10) + (1 - CS15)*LN((1-CS15)/(1-CS$10))</f>
        <v>1.4514623457421966E-2</v>
      </c>
      <c r="DB15" s="10">
        <f t="shared" ca="1" si="9"/>
        <v>1.4514623457421966E-2</v>
      </c>
      <c r="DC15" s="10">
        <f t="shared" ca="1" si="9"/>
        <v>1.4514623457421966E-2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$B$18/($B$19*$B$19*($DF15&lt;&gt;$DG15) + $B$19*($DF15=$DG15))</f>
        <v>0.4573861386138614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$B$18/($B$19*$B$19*($DF15&lt;&gt;$DG15) + $B$19*($DF15=$DG15))</f>
        <v>6.0000000000000001E-3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$B$18/($B$19*$B$19*($DF15&lt;&gt;$DG15) + $B$19*($DF15=$DG15))</f>
        <v>6.0000000000000001E-3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$B$18/($B$19*$B$19*($DF15&lt;&gt;$DG15) + $B$19*($DF15=$DG15))</f>
        <v>6.0000000000000001E-3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$B$18/($B$19*$B$19*($DF15&lt;&gt;$DG15) + $B$19*($DF15=$DG15))</f>
        <v>6.0000000000000001E-3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$B$18/($B$19*$B$19*($DF15&lt;&gt;$DG15) + $B$19*($DF15=$DG15))</f>
        <v>0.17887128712871286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$B$18/($B$19*$B$19*($DF15&lt;&gt;$DG15) + $B$19*($DF15=$DG15))</f>
        <v>6.0000000000000001E-3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$B$18/($B$19*$B$19*($DF15&lt;&gt;$DG15) + $B$19*($DF15=$DG15))</f>
        <v>6.0000000000000001E-3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$B$18/($B$19*$B$19*($DF15&lt;&gt;$DG15) + $B$19*($DF15=$DG15))</f>
        <v>6.0000000000000001E-3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$B$18/($B$19*$B$19*($DF15&lt;&gt;$DG15) + $B$19*($DF15=$DG15))</f>
        <v>6.0000000000000001E-3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$B$18/($B$19*$B$19*($DF15&lt;&gt;$DG15) + $B$19*($DF15=$DG15))</f>
        <v>0.17887128712871286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$B$18/($B$19*$B$19*($DF15&lt;&gt;$DG15) + $B$19*($DF15=$DG15))</f>
        <v>6.0000000000000001E-3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$B$18/($B$19*$B$19*($DF15&lt;&gt;$DG15) + $B$19*($DF15=$DG15))</f>
        <v>6.0000000000000001E-3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$B$18/($B$19*$B$19*($DF15&lt;&gt;$DG15) + $B$19*($DF15=$DG15))</f>
        <v>6.0000000000000001E-3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$B$18/($B$19*$B$19*($DF15&lt;&gt;$DG15) + $B$19*($DF15=$DG15))</f>
        <v>6.0000000000000001E-3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$B$18/($B$19*$B$19*($DF15&lt;&gt;$DG15) + $B$19*($DF15=$DG15))</f>
        <v>0.17887128712871286</v>
      </c>
      <c r="ED15" cm="1">
        <f t="array" aca="1" ref="ED15" ca="1">INDEX(_xlfn.ANCHORARRAY($CP$15), 1 + INT((ROWS($DG$15:$DG15) - 1) / ROWS(_xlfn.ANCHORARRAY($CP$15))))</f>
        <v>0</v>
      </c>
      <c r="EE15" cm="1">
        <f t="array" aca="1" ref="EE15" ca="1">INDEX(_xlfn.ANCHORARRAY($CP$15),1+MOD(ROWS($DG$15:$DG15)-1,ROWS(_xlfn.ANCHORARRAY($CP$15))))</f>
        <v>0</v>
      </c>
      <c r="EF15" s="10" cm="1">
        <f t="array" aca="1" ref="EF15" ca="1">DH15-_xlfn.XLOOKUP(EF$13,_xlfn.ANCHORARRAY( $CR$14), _xlfn.XLOOKUP($ED15,_xlfn.ANCHORARRAY( $CP$15), $CR$15:$CU$19)) * _xlfn.XLOOKUP(EF$14,_xlfn.ANCHORARRAY( $CR$14), _xlfn.XLOOKUP($EE15,_xlfn.ANCHORARRAY( $CP$15), $CR$15:$CU$19))</f>
        <v>0.24818405881776295</v>
      </c>
      <c r="EG15" s="10" cm="1">
        <f t="array" aca="1" ref="EG15" ca="1">DI15-_xlfn.XLOOKUP(EG$13,_xlfn.ANCHORARRAY( $CR$14), _xlfn.XLOOKUP($ED15,_xlfn.ANCHORARRAY( $CP$15), $CR$15:$CU$19)) * _xlfn.XLOOKUP(EG$14,_xlfn.ANCHORARRAY( $CR$14), _xlfn.XLOOKUP($EE15,_xlfn.ANCHORARRAY( $CP$15), $CR$15:$CU$19))</f>
        <v>-7.5813247328693253E-2</v>
      </c>
      <c r="EH15" s="10" cm="1">
        <f t="array" aca="1" ref="EH15" ca="1">DJ15-_xlfn.XLOOKUP(EH$13,_xlfn.ANCHORARRAY( $CR$14), _xlfn.XLOOKUP($ED15,_xlfn.ANCHORARRAY( $CP$15), $CR$15:$CU$19)) * _xlfn.XLOOKUP(EH$14,_xlfn.ANCHORARRAY( $CR$14), _xlfn.XLOOKUP($EE15,_xlfn.ANCHORARRAY( $CP$15), $CR$15:$CU$19))</f>
        <v>-7.5813247328693253E-2</v>
      </c>
      <c r="EI15" s="10" cm="1">
        <f t="array" aca="1" ref="EI15" ca="1">DK15-_xlfn.XLOOKUP(EI$13,_xlfn.ANCHORARRAY( $CR$14), _xlfn.XLOOKUP($ED15,_xlfn.ANCHORARRAY( $CP$15), $CR$15:$CU$19)) * _xlfn.XLOOKUP(EI$14,_xlfn.ANCHORARRAY( $CR$14), _xlfn.XLOOKUP($EE15,_xlfn.ANCHORARRAY( $CP$15), $CR$15:$CU$19))</f>
        <v>-7.5813247328693253E-2</v>
      </c>
      <c r="EJ15" s="10" cm="1">
        <f t="array" aca="1" ref="EJ15" ca="1">DL15-_xlfn.XLOOKUP(EJ$13,_xlfn.ANCHORARRAY( $CR$14), _xlfn.XLOOKUP($ED15,_xlfn.ANCHORARRAY( $CP$15), $CR$15:$CU$19)) * _xlfn.XLOOKUP(EJ$14,_xlfn.ANCHORARRAY( $CR$14), _xlfn.XLOOKUP($EE15,_xlfn.ANCHORARRAY( $CP$15), $CR$15:$CU$19))</f>
        <v>-7.5813247328693253E-2</v>
      </c>
      <c r="EK15" s="10" cm="1">
        <f t="array" aca="1" ref="EK15" ca="1">DM15-_xlfn.XLOOKUP(EK$13,_xlfn.ANCHORARRAY( $CR$14), _xlfn.XLOOKUP($ED15,_xlfn.ANCHORARRAY( $CP$15), $CR$15:$CU$19)) * _xlfn.XLOOKUP(EK$14,_xlfn.ANCHORARRAY( $CR$14), _xlfn.XLOOKUP($EE15,_xlfn.ANCHORARRAY( $CP$15), $CR$15:$CU$19))</f>
        <v>0.14687634976963043</v>
      </c>
      <c r="EL15" s="10" cm="1">
        <f t="array" aca="1" ref="EL15" ca="1">DN15-_xlfn.XLOOKUP(EL$13,_xlfn.ANCHORARRAY( $CR$14), _xlfn.XLOOKUP($ED15,_xlfn.ANCHORARRAY( $CP$15), $CR$15:$CU$19)) * _xlfn.XLOOKUP(EL$14,_xlfn.ANCHORARRAY( $CR$14), _xlfn.XLOOKUP($EE15,_xlfn.ANCHORARRAY( $CP$15), $CR$15:$CU$19))</f>
        <v>-2.599493735908244E-2</v>
      </c>
      <c r="EM15" s="10" cm="1">
        <f t="array" aca="1" ref="EM15" ca="1">DO15-_xlfn.XLOOKUP(EM$13,_xlfn.ANCHORARRAY( $CR$14), _xlfn.XLOOKUP($ED15,_xlfn.ANCHORARRAY( $CP$15), $CR$15:$CU$19)) * _xlfn.XLOOKUP(EM$14,_xlfn.ANCHORARRAY( $CR$14), _xlfn.XLOOKUP($EE15,_xlfn.ANCHORARRAY( $CP$15), $CR$15:$CU$19))</f>
        <v>-2.599493735908244E-2</v>
      </c>
      <c r="EN15" s="10" cm="1">
        <f t="array" aca="1" ref="EN15" ca="1">DP15-_xlfn.XLOOKUP(EN$13,_xlfn.ANCHORARRAY( $CR$14), _xlfn.XLOOKUP($ED15,_xlfn.ANCHORARRAY( $CP$15), $CR$15:$CU$19)) * _xlfn.XLOOKUP(EN$14,_xlfn.ANCHORARRAY( $CR$14), _xlfn.XLOOKUP($EE15,_xlfn.ANCHORARRAY( $CP$15), $CR$15:$CU$19))</f>
        <v>-7.5813247328693253E-2</v>
      </c>
      <c r="EO15" s="10" cm="1">
        <f t="array" aca="1" ref="EO15" ca="1">DQ15-_xlfn.XLOOKUP(EO$13,_xlfn.ANCHORARRAY( $CR$14), _xlfn.XLOOKUP($ED15,_xlfn.ANCHORARRAY( $CP$15), $CR$15:$CU$19)) * _xlfn.XLOOKUP(EO$14,_xlfn.ANCHORARRAY( $CR$14), _xlfn.XLOOKUP($EE15,_xlfn.ANCHORARRAY( $CP$15), $CR$15:$CU$19))</f>
        <v>-2.599493735908244E-2</v>
      </c>
      <c r="EP15" s="10" cm="1">
        <f t="array" aca="1" ref="EP15" ca="1">DR15-_xlfn.XLOOKUP(EP$13,_xlfn.ANCHORARRAY( $CR$14), _xlfn.XLOOKUP($ED15,_xlfn.ANCHORARRAY( $CP$15), $CR$15:$CU$19)) * _xlfn.XLOOKUP(EP$14,_xlfn.ANCHORARRAY( $CR$14), _xlfn.XLOOKUP($EE15,_xlfn.ANCHORARRAY( $CP$15), $CR$15:$CU$19))</f>
        <v>0.14687634976963043</v>
      </c>
      <c r="EQ15" s="10" cm="1">
        <f t="array" aca="1" ref="EQ15" ca="1">DS15-_xlfn.XLOOKUP(EQ$13,_xlfn.ANCHORARRAY( $CR$14), _xlfn.XLOOKUP($ED15,_xlfn.ANCHORARRAY( $CP$15), $CR$15:$CU$19)) * _xlfn.XLOOKUP(EQ$14,_xlfn.ANCHORARRAY( $CR$14), _xlfn.XLOOKUP($EE15,_xlfn.ANCHORARRAY( $CP$15), $CR$15:$CU$19))</f>
        <v>-2.599493735908244E-2</v>
      </c>
      <c r="ER15" s="10" cm="1">
        <f t="array" aca="1" ref="ER15" ca="1">DT15-_xlfn.XLOOKUP(ER$13,_xlfn.ANCHORARRAY( $CR$14), _xlfn.XLOOKUP($ED15,_xlfn.ANCHORARRAY( $CP$15), $CR$15:$CU$19)) * _xlfn.XLOOKUP(ER$14,_xlfn.ANCHORARRAY( $CR$14), _xlfn.XLOOKUP($EE15,_xlfn.ANCHORARRAY( $CP$15), $CR$15:$CU$19))</f>
        <v>-7.5813247328693253E-2</v>
      </c>
      <c r="ES15" s="10" cm="1">
        <f t="array" aca="1" ref="ES15" ca="1">DU15-_xlfn.XLOOKUP(ES$13,_xlfn.ANCHORARRAY( $CR$14), _xlfn.XLOOKUP($ED15,_xlfn.ANCHORARRAY( $CP$15), $CR$15:$CU$19)) * _xlfn.XLOOKUP(ES$14,_xlfn.ANCHORARRAY( $CR$14), _xlfn.XLOOKUP($EE15,_xlfn.ANCHORARRAY( $CP$15), $CR$15:$CU$19))</f>
        <v>-2.599493735908244E-2</v>
      </c>
      <c r="ET15" s="10" cm="1">
        <f t="array" aca="1" ref="ET15" ca="1">DV15-_xlfn.XLOOKUP(ET$13,_xlfn.ANCHORARRAY( $CR$14), _xlfn.XLOOKUP($ED15,_xlfn.ANCHORARRAY( $CP$15), $CR$15:$CU$19)) * _xlfn.XLOOKUP(ET$14,_xlfn.ANCHORARRAY( $CR$14), _xlfn.XLOOKUP($EE15,_xlfn.ANCHORARRAY( $CP$15), $CR$15:$CU$19))</f>
        <v>-2.599493735908244E-2</v>
      </c>
      <c r="EU15" s="10" cm="1">
        <f t="array" aca="1" ref="EU15" ca="1">DW15-_xlfn.XLOOKUP(EU$13,_xlfn.ANCHORARRAY( $CR$14), _xlfn.XLOOKUP($ED15,_xlfn.ANCHORARRAY( $CP$15), $CR$15:$CU$19)) * _xlfn.XLOOKUP(EU$14,_xlfn.ANCHORARRAY( $CR$14), _xlfn.XLOOKUP($EE15,_xlfn.ANCHORARRAY( $CP$15), $CR$15:$CU$19))</f>
        <v>0.14687634976963043</v>
      </c>
      <c r="EZ15" cm="1">
        <f t="array" aca="1" ref="EZ15" ca="1">INDEX(_xlfn.ANCHORARRAY($CP$15), 1 + INT((ROWS($DG$15:$DG15) - 1) / ROWS(_xlfn.ANCHORARRAY($CP$15))))</f>
        <v>0</v>
      </c>
      <c r="FA15" cm="1">
        <f t="array" aca="1" ref="FA15" ca="1">INDEX(_xlfn.ANCHORARRAY($CP$15),1+MOD(ROWS($DG$15:$DG15)-1,ROWS(_xlfn.ANCHORARRAY($CP$15))))</f>
        <v>0</v>
      </c>
      <c r="FB15" s="10" cm="1">
        <f t="array" aca="1" ref="FB15" ca="1">EF15 * _xlfn.XLOOKUP(FB$13,_xlfn.ANCHORARRAY( $CZ$29), _xlfn.XLOOKUP($EZ15,_xlfn.ANCHORARRAY( $CY$30), $CZ$30:$DC$34)) * _xlfn.XLOOKUP(FB$14,_xlfn.ANCHORARRAY( $CZ$29), _xlfn.XLOOKUP($FA15,_xlfn.ANCHORARRAY( $CY$30), $CZ$30:$DC$34))</f>
        <v>0.21361346145666871</v>
      </c>
      <c r="FC15" s="10" cm="1">
        <f t="array" aca="1" ref="FC15" ca="1">EG15 * _xlfn.XLOOKUP(FC$13,_xlfn.ANCHORARRAY( $CZ$29), _xlfn.XLOOKUP($EZ15,_xlfn.ANCHORARRAY( $CY$30), $CZ$30:$DC$34)) * _xlfn.XLOOKUP(FC$14,_xlfn.ANCHORARRAY( $CZ$29), _xlfn.XLOOKUP($FA15,_xlfn.ANCHORARRAY( $CY$30), $CZ$30:$DC$34))</f>
        <v>2.9920653767729892E-2</v>
      </c>
      <c r="FD15" s="10" cm="1">
        <f t="array" aca="1" ref="FD15" ca="1">EH15 * _xlfn.XLOOKUP(FD$13,_xlfn.ANCHORARRAY( $CZ$29), _xlfn.XLOOKUP($EZ15,_xlfn.ANCHORARRAY( $CY$30), $CZ$30:$DC$34)) * _xlfn.XLOOKUP(FD$14,_xlfn.ANCHORARRAY( $CZ$29), _xlfn.XLOOKUP($FA15,_xlfn.ANCHORARRAY( $CY$30), $CZ$30:$DC$34))</f>
        <v>2.9920653767729892E-2</v>
      </c>
      <c r="FE15" s="10" cm="1">
        <f t="array" aca="1" ref="FE15" ca="1">EI15 * _xlfn.XLOOKUP(FE$13,_xlfn.ANCHORARRAY( $CZ$29), _xlfn.XLOOKUP($EZ15,_xlfn.ANCHORARRAY( $CY$30), $CZ$30:$DC$34)) * _xlfn.XLOOKUP(FE$14,_xlfn.ANCHORARRAY( $CZ$29), _xlfn.XLOOKUP($FA15,_xlfn.ANCHORARRAY( $CY$30), $CZ$30:$DC$34))</f>
        <v>2.9920653767729892E-2</v>
      </c>
      <c r="FF15" s="10" cm="1">
        <f t="array" aca="1" ref="FF15" ca="1">EJ15 * _xlfn.XLOOKUP(FF$13,_xlfn.ANCHORARRAY( $CZ$29), _xlfn.XLOOKUP($EZ15,_xlfn.ANCHORARRAY( $CY$30), $CZ$30:$DC$34)) * _xlfn.XLOOKUP(FF$14,_xlfn.ANCHORARRAY( $CZ$29), _xlfn.XLOOKUP($FA15,_xlfn.ANCHORARRAY( $CY$30), $CZ$30:$DC$34))</f>
        <v>2.9920653767729892E-2</v>
      </c>
      <c r="FG15" s="10" cm="1">
        <f t="array" aca="1" ref="FG15" ca="1">EK15 * _xlfn.XLOOKUP(FG$13,_xlfn.ANCHORARRAY( $CZ$29), _xlfn.XLOOKUP($EZ15,_xlfn.ANCHORARRAY( $CY$30), $CZ$30:$DC$34)) * _xlfn.XLOOKUP(FG$14,_xlfn.ANCHORARRAY( $CZ$29), _xlfn.XLOOKUP($FA15,_xlfn.ANCHORARRAY( $CY$30), $CZ$30:$DC$34))</f>
        <v>2.6579640014224658E-2</v>
      </c>
      <c r="FH15" s="10" cm="1">
        <f t="array" aca="1" ref="FH15" ca="1">EL15 * _xlfn.XLOOKUP(FH$13,_xlfn.ANCHORARRAY( $CZ$29), _xlfn.XLOOKUP($EZ15,_xlfn.ANCHORARRAY( $CY$30), $CZ$30:$DC$34)) * _xlfn.XLOOKUP(FH$14,_xlfn.ANCHORARRAY( $CZ$29), _xlfn.XLOOKUP($FA15,_xlfn.ANCHORARRAY( $CY$30), $CZ$30:$DC$34))</f>
        <v>-4.7042024007298393E-3</v>
      </c>
      <c r="FI15" s="10" cm="1">
        <f t="array" aca="1" ref="FI15" ca="1">EM15 * _xlfn.XLOOKUP(FI$13,_xlfn.ANCHORARRAY( $CZ$29), _xlfn.XLOOKUP($EZ15,_xlfn.ANCHORARRAY( $CY$30), $CZ$30:$DC$34)) * _xlfn.XLOOKUP(FI$14,_xlfn.ANCHORARRAY( $CZ$29), _xlfn.XLOOKUP($FA15,_xlfn.ANCHORARRAY( $CY$30), $CZ$30:$DC$34))</f>
        <v>-4.7042024007298393E-3</v>
      </c>
      <c r="FJ15" s="10" cm="1">
        <f t="array" aca="1" ref="FJ15" ca="1">EN15 * _xlfn.XLOOKUP(FJ$13,_xlfn.ANCHORARRAY( $CZ$29), _xlfn.XLOOKUP($EZ15,_xlfn.ANCHORARRAY( $CY$30), $CZ$30:$DC$34)) * _xlfn.XLOOKUP(FJ$14,_xlfn.ANCHORARRAY( $CZ$29), _xlfn.XLOOKUP($FA15,_xlfn.ANCHORARRAY( $CY$30), $CZ$30:$DC$34))</f>
        <v>2.9920653767729892E-2</v>
      </c>
      <c r="FK15" s="10" cm="1">
        <f t="array" aca="1" ref="FK15" ca="1">EO15 * _xlfn.XLOOKUP(FK$13,_xlfn.ANCHORARRAY( $CZ$29), _xlfn.XLOOKUP($EZ15,_xlfn.ANCHORARRAY( $CY$30), $CZ$30:$DC$34)) * _xlfn.XLOOKUP(FK$14,_xlfn.ANCHORARRAY( $CZ$29), _xlfn.XLOOKUP($FA15,_xlfn.ANCHORARRAY( $CY$30), $CZ$30:$DC$34))</f>
        <v>-4.7042024007298393E-3</v>
      </c>
      <c r="FL15" s="10" cm="1">
        <f t="array" aca="1" ref="FL15" ca="1">EP15 * _xlfn.XLOOKUP(FL$13,_xlfn.ANCHORARRAY( $CZ$29), _xlfn.XLOOKUP($EZ15,_xlfn.ANCHORARRAY( $CY$30), $CZ$30:$DC$34)) * _xlfn.XLOOKUP(FL$14,_xlfn.ANCHORARRAY( $CZ$29), _xlfn.XLOOKUP($FA15,_xlfn.ANCHORARRAY( $CY$30), $CZ$30:$DC$34))</f>
        <v>2.6579640014224658E-2</v>
      </c>
      <c r="FM15" s="10" cm="1">
        <f t="array" aca="1" ref="FM15" ca="1">EQ15 * _xlfn.XLOOKUP(FM$13,_xlfn.ANCHORARRAY( $CZ$29), _xlfn.XLOOKUP($EZ15,_xlfn.ANCHORARRAY( $CY$30), $CZ$30:$DC$34)) * _xlfn.XLOOKUP(FM$14,_xlfn.ANCHORARRAY( $CZ$29), _xlfn.XLOOKUP($FA15,_xlfn.ANCHORARRAY( $CY$30), $CZ$30:$DC$34))</f>
        <v>-4.7042024007298393E-3</v>
      </c>
      <c r="FN15" s="10" cm="1">
        <f t="array" aca="1" ref="FN15" ca="1">ER15 * _xlfn.XLOOKUP(FN$13,_xlfn.ANCHORARRAY( $CZ$29), _xlfn.XLOOKUP($EZ15,_xlfn.ANCHORARRAY( $CY$30), $CZ$30:$DC$34)) * _xlfn.XLOOKUP(FN$14,_xlfn.ANCHORARRAY( $CZ$29), _xlfn.XLOOKUP($FA15,_xlfn.ANCHORARRAY( $CY$30), $CZ$30:$DC$34))</f>
        <v>2.9920653767729892E-2</v>
      </c>
      <c r="FO15" s="10" cm="1">
        <f t="array" aca="1" ref="FO15" ca="1">ES15 * _xlfn.XLOOKUP(FO$13,_xlfn.ANCHORARRAY( $CZ$29), _xlfn.XLOOKUP($EZ15,_xlfn.ANCHORARRAY( $CY$30), $CZ$30:$DC$34)) * _xlfn.XLOOKUP(FO$14,_xlfn.ANCHORARRAY( $CZ$29), _xlfn.XLOOKUP($FA15,_xlfn.ANCHORARRAY( $CY$30), $CZ$30:$DC$34))</f>
        <v>-4.7042024007298393E-3</v>
      </c>
      <c r="FP15" s="10" cm="1">
        <f t="array" aca="1" ref="FP15" ca="1">ET15 * _xlfn.XLOOKUP(FP$13,_xlfn.ANCHORARRAY( $CZ$29), _xlfn.XLOOKUP($EZ15,_xlfn.ANCHORARRAY( $CY$30), $CZ$30:$DC$34)) * _xlfn.XLOOKUP(FP$14,_xlfn.ANCHORARRAY( $CZ$29), _xlfn.XLOOKUP($FA15,_xlfn.ANCHORARRAY( $CY$30), $CZ$30:$DC$34))</f>
        <v>-4.7042024007298393E-3</v>
      </c>
      <c r="FQ15" s="10" cm="1">
        <f t="array" aca="1" ref="FQ15" ca="1">EU15 * _xlfn.XLOOKUP(FQ$13,_xlfn.ANCHORARRAY( $CZ$29), _xlfn.XLOOKUP($EZ15,_xlfn.ANCHORARRAY( $CY$30), $CZ$30:$DC$34)) * _xlfn.XLOOKUP(FQ$14,_xlfn.ANCHORARRAY( $CZ$29), _xlfn.XLOOKUP($FA15,_xlfn.ANCHORARRAY( $CY$30), $CZ$30:$DC$34))</f>
        <v>2.6579640014224658E-2</v>
      </c>
      <c r="FT15" cm="1">
        <f t="array" aca="1" ref="FT15" ca="1">SQRT(SUM((FB15:FQ15)^2))</f>
        <v>0.23076913346036856</v>
      </c>
    </row>
    <row r="16" spans="1:176" x14ac:dyDescent="0.2">
      <c r="A16" t="s">
        <v>39</v>
      </c>
      <c r="B16">
        <f ca="1">COUNTIF(OFFSET($O$9,0,0,1,$B$9),TRUE)</f>
        <v>5</v>
      </c>
      <c r="D16" s="10">
        <f ca="1"/>
        <v>1</v>
      </c>
      <c r="F16" s="10">
        <f ca="1"/>
        <v>0.25</v>
      </c>
      <c r="H16" s="10">
        <f ca="1"/>
        <v>1</v>
      </c>
      <c r="J16" cm="1">
        <f t="array" aca="1" ref="J16" ca="1">SUMPRODUCT((O16:AJ16=$O$11:$AJ$11)*(O$13:AJ$13=TRUE))  / COUNTIF(O$13:AJ$13,TRUE)</f>
        <v>0.8</v>
      </c>
      <c r="K16" t="b">
        <f t="shared" ca="1" si="3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4"/>
        <v>1</v>
      </c>
      <c r="N16" s="2">
        <v>1</v>
      </c>
      <c r="O16" s="12" t="s">
        <v>1</v>
      </c>
      <c r="P16" s="9" t="s">
        <v>1</v>
      </c>
      <c r="Q16" s="9" t="s">
        <v>2</v>
      </c>
      <c r="R16" s="9" t="s">
        <v>3</v>
      </c>
      <c r="S16" s="9" t="s">
        <v>3</v>
      </c>
      <c r="AK16" s="7"/>
      <c r="AN16">
        <f t="shared" ca="1" si="5"/>
        <v>4</v>
      </c>
      <c r="AO16" s="14">
        <f t="shared" ca="1" si="6"/>
        <v>0.25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0.8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0.8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0.8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0.4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0.6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0.4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0.4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0.6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0.6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0.4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0.4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0.4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0.4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0.4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0.6</v>
      </c>
      <c r="BN16">
        <f t="shared" ca="1" si="7"/>
        <v>4</v>
      </c>
      <c r="BO16" s="14">
        <f t="shared" ca="1" si="8"/>
        <v>0.25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0.8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0.8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0.8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0.4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0.6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0.4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0.4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0.4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0.4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0.6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0.6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0.4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0.4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0.4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0.4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0.4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0.4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0.4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0.6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6.0000000000000001E-3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6.0000000000000001E-3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0.47659405940594063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0.31332673267326733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0.19807920792079209</v>
      </c>
      <c r="CX16" s="10" cm="1">
        <f t="array" aca="1" ref="CX16" ca="1">SUM(OFFSET($CR16,0,0,1,$M$2)*LN(OFFSET($CR16,0,0,1,$M$2)/OFFSET($CR$11,0,0,1,$M$2)))+IF($CQ$11&gt;0,OFFSET($O$10,0,$CP16,1,1)*LN(OFFSET($O$10,0,$CP16,1,1)/$CQ$11),0)</f>
        <v>0.30975530008632118</v>
      </c>
      <c r="CY16">
        <f ca="1"/>
        <v>1</v>
      </c>
      <c r="CZ16" s="10">
        <f t="shared" ref="CZ16:CZ19" ca="1" si="10">CR16*LN(CR16/CR$10) + (1 - CR16)*LN((1-CR16)/(1-CR$10))</f>
        <v>0.2575958074336554</v>
      </c>
      <c r="DA16" s="10">
        <f t="shared" ca="1" si="9"/>
        <v>0.11922305889149576</v>
      </c>
      <c r="DB16" s="10">
        <f t="shared" ca="1" si="9"/>
        <v>1.017004321504883E-2</v>
      </c>
      <c r="DC16" s="10">
        <f t="shared" ca="1" si="9"/>
        <v>7.5662414272796991E-3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$B$18/($B$19*$B$19*($DF16&lt;&gt;$DG16) + $B$19*($DF16=$DG16))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$B$18/($B$19*$B$19*($DF16&lt;&gt;$DG16) + $B$19*($DF16=$DG16))</f>
        <v>0.32773465346534647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$B$18/($B$19*$B$19*($DF16&lt;&gt;$DG16) + $B$19*($DF16=$DG16))</f>
        <v>7.8031683168316837E-2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$B$18/($B$19*$B$19*($DF16&lt;&gt;$DG16) + $B$19*($DF16=$DG16))</f>
        <v>4.921980198019802E-2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$B$18/($B$19*$B$19*($DF16&lt;&gt;$DG16) + $B$19*($DF16=$DG16))</f>
        <v>1.1999999999999999E-3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$B$18/($B$19*$B$19*($DF16&lt;&gt;$DG16) + $B$19*($DF16=$DG16))</f>
        <v>4.921980198019802E-2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$B$18/($B$19*$B$19*($DF16&lt;&gt;$DG16) + $B$19*($DF16=$DG16))</f>
        <v>7.8031683168316837E-2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$B$18/($B$19*$B$19*($DF16&lt;&gt;$DG16) + $B$19*($DF16=$DG16))</f>
        <v>4.921980198019802E-2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$B$18/($B$19*$B$19*($DF16&lt;&gt;$DG16) + $B$19*($DF16=$DG16))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$B$18/($B$19*$B$19*($DF16&lt;&gt;$DG16) + $B$19*($DF16=$DG16))</f>
        <v>4.921980198019802E-2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$B$18/($B$19*$B$19*($DF16&lt;&gt;$DG16) + $B$19*($DF16=$DG16))</f>
        <v>7.8031683168316837E-2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$B$18/($B$19*$B$19*($DF16&lt;&gt;$DG16) + $B$19*($DF16=$DG16))</f>
        <v>4.921980198019802E-2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$B$18/($B$19*$B$19*($DF16&lt;&gt;$DG16) + $B$19*($DF16=$DG16))</f>
        <v>1.1999999999999999E-3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$B$18/($B$19*$B$19*($DF16&lt;&gt;$DG16) + $B$19*($DF16=$DG16))</f>
        <v>4.921980198019802E-2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$B$18/($B$19*$B$19*($DF16&lt;&gt;$DG16) + $B$19*($DF16=$DG16))</f>
        <v>7.8031683168316837E-2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$B$18/($B$19*$B$19*($DF16&lt;&gt;$DG16) + $B$19*($DF16=$DG16))</f>
        <v>4.921980198019802E-2</v>
      </c>
      <c r="ED16" cm="1">
        <f t="array" aca="1" ref="ED16" ca="1">INDEX(_xlfn.ANCHORARRAY($CP$15), 1 + INT((ROWS($DG$15:$DG16) - 1) / ROWS(_xlfn.ANCHORARRAY($CP$15))))</f>
        <v>0</v>
      </c>
      <c r="EE16" cm="1">
        <f t="array" aca="1" ref="EE16" ca="1">INDEX(_xlfn.ANCHORARRAY($CP$15),1+MOD(ROWS($DG$15:$DG16)-1,ROWS(_xlfn.ANCHORARRAY($CP$15))))</f>
        <v>1</v>
      </c>
      <c r="EF16" s="10" cm="1">
        <f t="array" aca="1" ref="EF16" ca="1">DH16-_xlfn.XLOOKUP(EF$13,_xlfn.ANCHORARRAY( $CR$14), _xlfn.XLOOKUP($ED16,_xlfn.ANCHORARRAY( $CP$15), $CR$15:$CU$19)) * _xlfn.XLOOKUP(EF$14,_xlfn.ANCHORARRAY( $CR$14), _xlfn.XLOOKUP($EE16,_xlfn.ANCHORARRAY( $CP$15), $CR$15:$CU$19))</f>
        <v>-1.5443168316831687E-3</v>
      </c>
      <c r="EG16" s="10" cm="1">
        <f t="array" aca="1" ref="EG16" ca="1">DI16-_xlfn.XLOOKUP(EG$13,_xlfn.ANCHORARRAY( $CR$14), _xlfn.XLOOKUP($ED16,_xlfn.ANCHORARRAY( $CP$15), $CR$15:$CU$19)) * _xlfn.XLOOKUP(EG$14,_xlfn.ANCHORARRAY( $CR$14), _xlfn.XLOOKUP($EE16,_xlfn.ANCHORARRAY( $CP$15), $CR$15:$CU$19))</f>
        <v>0.10974713694735802</v>
      </c>
      <c r="EH16" s="10" cm="1">
        <f t="array" aca="1" ref="EH16" ca="1">DJ16-_xlfn.XLOOKUP(EH$13,_xlfn.ANCHORARRAY( $CR$14), _xlfn.XLOOKUP($ED16,_xlfn.ANCHORARRAY( $CP$15), $CR$15:$CU$19)) * _xlfn.XLOOKUP(EH$14,_xlfn.ANCHORARRAY( $CR$14), _xlfn.XLOOKUP($EE16,_xlfn.ANCHORARRAY( $CP$15), $CR$15:$CU$19))</f>
        <v>-6.5279621213606517E-2</v>
      </c>
      <c r="EI16" s="10" cm="1">
        <f t="array" aca="1" ref="EI16" ca="1">DK16-_xlfn.XLOOKUP(EI$13,_xlfn.ANCHORARRAY( $CR$14), _xlfn.XLOOKUP($ED16,_xlfn.ANCHORARRAY( $CP$15), $CR$15:$CU$19)) * _xlfn.XLOOKUP(EI$14,_xlfn.ANCHORARRAY( $CR$14), _xlfn.XLOOKUP($EE16,_xlfn.ANCHORARRAY( $CP$15), $CR$15:$CU$19))</f>
        <v>-4.1378882070385266E-2</v>
      </c>
      <c r="EJ16" s="10" cm="1">
        <f t="array" aca="1" ref="EJ16" ca="1">DL16-_xlfn.XLOOKUP(EJ$13,_xlfn.ANCHORARRAY( $CR$14), _xlfn.XLOOKUP($ED16,_xlfn.ANCHORARRAY( $CP$15), $CR$15:$CU$19)) * _xlfn.XLOOKUP(EJ$14,_xlfn.ANCHORARRAY( $CR$14), _xlfn.XLOOKUP($EE16,_xlfn.ANCHORARRAY( $CP$15), $CR$15:$CU$19))</f>
        <v>1.2677227722772259E-4</v>
      </c>
      <c r="EK16" s="10" cm="1">
        <f t="array" aca="1" ref="EK16" ca="1">DM16-_xlfn.XLOOKUP(EK$13,_xlfn.ANCHORARRAY( $CR$14), _xlfn.XLOOKUP($ED16,_xlfn.ANCHORARRAY( $CP$15), $CR$15:$CU$19)) * _xlfn.XLOOKUP(EK$14,_xlfn.ANCHORARRAY( $CR$14), _xlfn.XLOOKUP($EE16,_xlfn.ANCHORARRAY( $CP$15), $CR$15:$CU$19))</f>
        <v>-3.6029190863640821E-2</v>
      </c>
      <c r="EL16" s="10" cm="1">
        <f t="array" aca="1" ref="EL16" ca="1">DN16-_xlfn.XLOOKUP(EL$13,_xlfn.ANCHORARRAY( $CR$14), _xlfn.XLOOKUP($ED16,_xlfn.ANCHORARRAY( $CP$15), $CR$15:$CU$19)) * _xlfn.XLOOKUP(EL$14,_xlfn.ANCHORARRAY( $CR$14), _xlfn.XLOOKUP($EE16,_xlfn.ANCHORARRAY( $CP$15), $CR$15:$CU$19))</f>
        <v>2.1986527203215381E-2</v>
      </c>
      <c r="EM16" s="10" cm="1">
        <f t="array" aca="1" ref="EM16" ca="1">DO16-_xlfn.XLOOKUP(EM$13,_xlfn.ANCHORARRAY( $CR$14), _xlfn.XLOOKUP($ED16,_xlfn.ANCHORARRAY( $CP$15), $CR$15:$CU$19)) * _xlfn.XLOOKUP(EM$14,_xlfn.ANCHORARRAY( $CR$14), _xlfn.XLOOKUP($EE16,_xlfn.ANCHORARRAY( $CP$15), $CR$15:$CU$19))</f>
        <v>1.3789119105970006E-2</v>
      </c>
      <c r="EN16" s="10" cm="1">
        <f t="array" aca="1" ref="EN16" ca="1">DP16-_xlfn.XLOOKUP(EN$13,_xlfn.ANCHORARRAY( $CR$14), _xlfn.XLOOKUP($ED16,_xlfn.ANCHORARRAY( $CP$15), $CR$15:$CU$19)) * _xlfn.XLOOKUP(EN$14,_xlfn.ANCHORARRAY( $CR$14), _xlfn.XLOOKUP($EE16,_xlfn.ANCHORARRAY( $CP$15), $CR$15:$CU$19))</f>
        <v>1.2677227722772259E-4</v>
      </c>
      <c r="EO16" s="10" cm="1">
        <f t="array" aca="1" ref="EO16" ca="1">DQ16-_xlfn.XLOOKUP(EO$13,_xlfn.ANCHORARRAY( $CR$14), _xlfn.XLOOKUP($ED16,_xlfn.ANCHORARRAY( $CP$15), $CR$15:$CU$19)) * _xlfn.XLOOKUP(EO$14,_xlfn.ANCHORARRAY( $CR$14), _xlfn.XLOOKUP($EE16,_xlfn.ANCHORARRAY( $CP$15), $CR$15:$CU$19))</f>
        <v>-3.6029190863640821E-2</v>
      </c>
      <c r="EP16" s="10" cm="1">
        <f t="array" aca="1" ref="EP16" ca="1">DR16-_xlfn.XLOOKUP(EP$13,_xlfn.ANCHORARRAY( $CR$14), _xlfn.XLOOKUP($ED16,_xlfn.ANCHORARRAY( $CP$15), $CR$15:$CU$19)) * _xlfn.XLOOKUP(EP$14,_xlfn.ANCHORARRAY( $CR$14), _xlfn.XLOOKUP($EE16,_xlfn.ANCHORARRAY( $CP$15), $CR$15:$CU$19))</f>
        <v>2.1986527203215381E-2</v>
      </c>
      <c r="EQ16" s="10" cm="1">
        <f t="array" aca="1" ref="EQ16" ca="1">DS16-_xlfn.XLOOKUP(EQ$13,_xlfn.ANCHORARRAY( $CR$14), _xlfn.XLOOKUP($ED16,_xlfn.ANCHORARRAY( $CP$15), $CR$15:$CU$19)) * _xlfn.XLOOKUP(EQ$14,_xlfn.ANCHORARRAY( $CR$14), _xlfn.XLOOKUP($EE16,_xlfn.ANCHORARRAY( $CP$15), $CR$15:$CU$19))</f>
        <v>1.3789119105970006E-2</v>
      </c>
      <c r="ER16" s="10" cm="1">
        <f t="array" aca="1" ref="ER16" ca="1">DT16-_xlfn.XLOOKUP(ER$13,_xlfn.ANCHORARRAY( $CR$14), _xlfn.XLOOKUP($ED16,_xlfn.ANCHORARRAY( $CP$15), $CR$15:$CU$19)) * _xlfn.XLOOKUP(ER$14,_xlfn.ANCHORARRAY( $CR$14), _xlfn.XLOOKUP($EE16,_xlfn.ANCHORARRAY( $CP$15), $CR$15:$CU$19))</f>
        <v>1.2677227722772259E-4</v>
      </c>
      <c r="ES16" s="10" cm="1">
        <f t="array" aca="1" ref="ES16" ca="1">DU16-_xlfn.XLOOKUP(ES$13,_xlfn.ANCHORARRAY( $CR$14), _xlfn.XLOOKUP($ED16,_xlfn.ANCHORARRAY( $CP$15), $CR$15:$CU$19)) * _xlfn.XLOOKUP(ES$14,_xlfn.ANCHORARRAY( $CR$14), _xlfn.XLOOKUP($EE16,_xlfn.ANCHORARRAY( $CP$15), $CR$15:$CU$19))</f>
        <v>-3.6029190863640821E-2</v>
      </c>
      <c r="ET16" s="10" cm="1">
        <f t="array" aca="1" ref="ET16" ca="1">DV16-_xlfn.XLOOKUP(ET$13,_xlfn.ANCHORARRAY( $CR$14), _xlfn.XLOOKUP($ED16,_xlfn.ANCHORARRAY( $CP$15), $CR$15:$CU$19)) * _xlfn.XLOOKUP(ET$14,_xlfn.ANCHORARRAY( $CR$14), _xlfn.XLOOKUP($EE16,_xlfn.ANCHORARRAY( $CP$15), $CR$15:$CU$19))</f>
        <v>2.1986527203215381E-2</v>
      </c>
      <c r="EU16" s="10" cm="1">
        <f t="array" aca="1" ref="EU16" ca="1">DW16-_xlfn.XLOOKUP(EU$13,_xlfn.ANCHORARRAY( $CR$14), _xlfn.XLOOKUP($ED16,_xlfn.ANCHORARRAY( $CP$15), $CR$15:$CU$19)) * _xlfn.XLOOKUP(EU$14,_xlfn.ANCHORARRAY( $CR$14), _xlfn.XLOOKUP($EE16,_xlfn.ANCHORARRAY( $CP$15), $CR$15:$CU$19))</f>
        <v>1.3789119105970006E-2</v>
      </c>
      <c r="EZ16" cm="1">
        <f t="array" aca="1" ref="EZ16" ca="1">INDEX(_xlfn.ANCHORARRAY($CP$15), 1 + INT((ROWS($DG$15:$DG16) - 1) / ROWS(_xlfn.ANCHORARRAY($CP$15))))</f>
        <v>0</v>
      </c>
      <c r="FA16" cm="1">
        <f t="array" aca="1" ref="FA16" ca="1">INDEX(_xlfn.ANCHORARRAY($CP$15),1+MOD(ROWS($DG$15:$DG16)-1,ROWS(_xlfn.ANCHORARRAY($CP$15))))</f>
        <v>1</v>
      </c>
      <c r="FB16" s="10" cm="1">
        <f t="array" aca="1" ref="FB16" ca="1">EF16 * _xlfn.XLOOKUP(FB$13,_xlfn.ANCHORARRAY( $CZ$29), _xlfn.XLOOKUP($EZ16,_xlfn.ANCHORARRAY( $CY$30), $CZ$30:$DC$34)) * _xlfn.XLOOKUP(FB$14,_xlfn.ANCHORARRAY( $CZ$29), _xlfn.XLOOKUP($FA16,_xlfn.ANCHORARRAY( $CY$30), $CZ$30:$DC$34))</f>
        <v>5.7471959119188374E-3</v>
      </c>
      <c r="FC16" s="10" cm="1">
        <f t="array" aca="1" ref="FC16" ca="1">EG16 * _xlfn.XLOOKUP(FC$13,_xlfn.ANCHORARRAY( $CZ$29), _xlfn.XLOOKUP($EZ16,_xlfn.ANCHORARRAY( $CY$30), $CZ$30:$DC$34)) * _xlfn.XLOOKUP(FC$14,_xlfn.ANCHORARRAY( $CZ$29), _xlfn.XLOOKUP($FA16,_xlfn.ANCHORARRAY( $CY$30), $CZ$30:$DC$34))</f>
        <v>0.10231800823628442</v>
      </c>
      <c r="FD16" s="10" cm="1">
        <f t="array" aca="1" ref="FD16" ca="1">EH16 * _xlfn.XLOOKUP(FD$13,_xlfn.ANCHORARRAY( $CZ$29), _xlfn.XLOOKUP($EZ16,_xlfn.ANCHORARRAY( $CY$30), $CZ$30:$DC$34)) * _xlfn.XLOOKUP(FD$14,_xlfn.ANCHORARRAY( $CZ$29), _xlfn.XLOOKUP($FA16,_xlfn.ANCHORARRAY( $CY$30), $CZ$30:$DC$34))</f>
        <v>-1.9016691020563685E-2</v>
      </c>
      <c r="FE16" s="10" cm="1">
        <f t="array" aca="1" ref="FE16" ca="1">EI16 * _xlfn.XLOOKUP(FE$13,_xlfn.ANCHORARRAY( $CZ$29), _xlfn.XLOOKUP($EZ16,_xlfn.ANCHORARRAY( $CY$30), $CZ$30:$DC$34)) * _xlfn.XLOOKUP(FE$14,_xlfn.ANCHORARRAY( $CZ$29), _xlfn.XLOOKUP($FA16,_xlfn.ANCHORARRAY( $CY$30), $CZ$30:$DC$34))</f>
        <v>1.1506338509959878E-2</v>
      </c>
      <c r="FF16" s="10" cm="1">
        <f t="array" aca="1" ref="FF16" ca="1">EJ16 * _xlfn.XLOOKUP(FF$13,_xlfn.ANCHORARRAY( $CZ$29), _xlfn.XLOOKUP($EZ16,_xlfn.ANCHORARRAY( $CY$30), $CZ$30:$DC$34)) * _xlfn.XLOOKUP(FF$14,_xlfn.ANCHORARRAY( $CZ$29), _xlfn.XLOOKUP($FA16,_xlfn.ANCHORARRAY( $CY$30), $CZ$30:$DC$34))</f>
        <v>2.163291944727391E-4</v>
      </c>
      <c r="FG16" s="10" cm="1">
        <f t="array" aca="1" ref="FG16" ca="1">EK16 * _xlfn.XLOOKUP(FG$13,_xlfn.ANCHORARRAY( $CZ$29), _xlfn.XLOOKUP($EZ16,_xlfn.ANCHORARRAY( $CY$30), $CZ$30:$DC$34)) * _xlfn.XLOOKUP(FG$14,_xlfn.ANCHORARRAY( $CZ$29), _xlfn.XLOOKUP($FA16,_xlfn.ANCHORARRAY( $CY$30), $CZ$30:$DC$34))</f>
        <v>1.540226643170323E-2</v>
      </c>
      <c r="FH16" s="10" cm="1">
        <f t="array" aca="1" ref="FH16" ca="1">EL16 * _xlfn.XLOOKUP(FH$13,_xlfn.ANCHORARRAY( $CZ$29), _xlfn.XLOOKUP($EZ16,_xlfn.ANCHORARRAY( $CY$30), $CZ$30:$DC$34)) * _xlfn.XLOOKUP(FH$14,_xlfn.ANCHORARRAY( $CZ$29), _xlfn.XLOOKUP($FA16,_xlfn.ANCHORARRAY( $CY$30), $CZ$30:$DC$34))</f>
        <v>-2.9368732701000517E-3</v>
      </c>
      <c r="FI16" s="10" cm="1">
        <f t="array" aca="1" ref="FI16" ca="1">EM16 * _xlfn.XLOOKUP(FI$13,_xlfn.ANCHORARRAY( $CZ$29), _xlfn.XLOOKUP($EZ16,_xlfn.ANCHORARRAY( $CY$30), $CZ$30:$DC$34)) * _xlfn.XLOOKUP(FI$14,_xlfn.ANCHORARRAY( $CZ$29), _xlfn.XLOOKUP($FA16,_xlfn.ANCHORARRAY( $CY$30), $CZ$30:$DC$34))</f>
        <v>1.7581914384037791E-3</v>
      </c>
      <c r="FJ16" s="10" cm="1">
        <f t="array" aca="1" ref="FJ16" ca="1">EN16 * _xlfn.XLOOKUP(FJ$13,_xlfn.ANCHORARRAY( $CZ$29), _xlfn.XLOOKUP($EZ16,_xlfn.ANCHORARRAY( $CY$30), $CZ$30:$DC$34)) * _xlfn.XLOOKUP(FJ$14,_xlfn.ANCHORARRAY( $CZ$29), _xlfn.XLOOKUP($FA16,_xlfn.ANCHORARRAY( $CY$30), $CZ$30:$DC$34))</f>
        <v>2.163291944727391E-4</v>
      </c>
      <c r="FK16" s="10" cm="1">
        <f t="array" aca="1" ref="FK16" ca="1">EO16 * _xlfn.XLOOKUP(FK$13,_xlfn.ANCHORARRAY( $CZ$29), _xlfn.XLOOKUP($EZ16,_xlfn.ANCHORARRAY( $CY$30), $CZ$30:$DC$34)) * _xlfn.XLOOKUP(FK$14,_xlfn.ANCHORARRAY( $CZ$29), _xlfn.XLOOKUP($FA16,_xlfn.ANCHORARRAY( $CY$30), $CZ$30:$DC$34))</f>
        <v>1.540226643170323E-2</v>
      </c>
      <c r="FL16" s="10" cm="1">
        <f t="array" aca="1" ref="FL16" ca="1">EP16 * _xlfn.XLOOKUP(FL$13,_xlfn.ANCHORARRAY( $CZ$29), _xlfn.XLOOKUP($EZ16,_xlfn.ANCHORARRAY( $CY$30), $CZ$30:$DC$34)) * _xlfn.XLOOKUP(FL$14,_xlfn.ANCHORARRAY( $CZ$29), _xlfn.XLOOKUP($FA16,_xlfn.ANCHORARRAY( $CY$30), $CZ$30:$DC$34))</f>
        <v>-2.9368732701000517E-3</v>
      </c>
      <c r="FM16" s="10" cm="1">
        <f t="array" aca="1" ref="FM16" ca="1">EQ16 * _xlfn.XLOOKUP(FM$13,_xlfn.ANCHORARRAY( $CZ$29), _xlfn.XLOOKUP($EZ16,_xlfn.ANCHORARRAY( $CY$30), $CZ$30:$DC$34)) * _xlfn.XLOOKUP(FM$14,_xlfn.ANCHORARRAY( $CZ$29), _xlfn.XLOOKUP($FA16,_xlfn.ANCHORARRAY( $CY$30), $CZ$30:$DC$34))</f>
        <v>1.7581914384037791E-3</v>
      </c>
      <c r="FN16" s="10" cm="1">
        <f t="array" aca="1" ref="FN16" ca="1">ER16 * _xlfn.XLOOKUP(FN$13,_xlfn.ANCHORARRAY( $CZ$29), _xlfn.XLOOKUP($EZ16,_xlfn.ANCHORARRAY( $CY$30), $CZ$30:$DC$34)) * _xlfn.XLOOKUP(FN$14,_xlfn.ANCHORARRAY( $CZ$29), _xlfn.XLOOKUP($FA16,_xlfn.ANCHORARRAY( $CY$30), $CZ$30:$DC$34))</f>
        <v>2.163291944727391E-4</v>
      </c>
      <c r="FO16" s="10" cm="1">
        <f t="array" aca="1" ref="FO16" ca="1">ES16 * _xlfn.XLOOKUP(FO$13,_xlfn.ANCHORARRAY( $CZ$29), _xlfn.XLOOKUP($EZ16,_xlfn.ANCHORARRAY( $CY$30), $CZ$30:$DC$34)) * _xlfn.XLOOKUP(FO$14,_xlfn.ANCHORARRAY( $CZ$29), _xlfn.XLOOKUP($FA16,_xlfn.ANCHORARRAY( $CY$30), $CZ$30:$DC$34))</f>
        <v>1.540226643170323E-2</v>
      </c>
      <c r="FP16" s="10" cm="1">
        <f t="array" aca="1" ref="FP16" ca="1">ET16 * _xlfn.XLOOKUP(FP$13,_xlfn.ANCHORARRAY( $CZ$29), _xlfn.XLOOKUP($EZ16,_xlfn.ANCHORARRAY( $CY$30), $CZ$30:$DC$34)) * _xlfn.XLOOKUP(FP$14,_xlfn.ANCHORARRAY( $CZ$29), _xlfn.XLOOKUP($FA16,_xlfn.ANCHORARRAY( $CY$30), $CZ$30:$DC$34))</f>
        <v>-2.9368732701000517E-3</v>
      </c>
      <c r="FQ16" s="10" cm="1">
        <f t="array" aca="1" ref="FQ16" ca="1">EU16 * _xlfn.XLOOKUP(FQ$13,_xlfn.ANCHORARRAY( $CZ$29), _xlfn.XLOOKUP($EZ16,_xlfn.ANCHORARRAY( $CY$30), $CZ$30:$DC$34)) * _xlfn.XLOOKUP(FQ$14,_xlfn.ANCHORARRAY( $CZ$29), _xlfn.XLOOKUP($FA16,_xlfn.ANCHORARRAY( $CY$30), $CZ$30:$DC$34))</f>
        <v>1.7581914384037791E-3</v>
      </c>
      <c r="FT16" cm="1">
        <f t="array" aca="1" ref="FT16" ca="1">SQRT(SUM((FB16:FQ16)^2))</f>
        <v>0.10836519112447729</v>
      </c>
    </row>
    <row r="17" spans="1:176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0.8</v>
      </c>
      <c r="K17" t="b">
        <f t="shared" ca="1" si="3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4"/>
        <v>1</v>
      </c>
      <c r="N17" s="2">
        <v>2</v>
      </c>
      <c r="O17" s="12" t="s">
        <v>2</v>
      </c>
      <c r="P17" s="9" t="s">
        <v>1</v>
      </c>
      <c r="Q17" s="9" t="s">
        <v>2</v>
      </c>
      <c r="R17" s="9" t="s">
        <v>3</v>
      </c>
      <c r="S17" s="9" t="s">
        <v>3</v>
      </c>
      <c r="AK17" s="7"/>
      <c r="AN17">
        <f t="shared" ca="1" si="5"/>
        <v>4</v>
      </c>
      <c r="AO17" s="14">
        <f t="shared" ca="1" si="6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0.8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0.8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0.8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0.4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0.6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0.4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0.4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0.4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0.4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0.6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0.6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0.4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0.4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0.4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0.4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0.6</v>
      </c>
      <c r="BN17">
        <f t="shared" ca="1" si="7"/>
        <v>4</v>
      </c>
      <c r="BO17" s="14">
        <f t="shared" ca="1" si="8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0.8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0.8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0.8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0.4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0.4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0.6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0.4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0.4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0.4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0.4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0.4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0.6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0.6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0.4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0.4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0.4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0.4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0.4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0.6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6.0000000000000001E-3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0.15966336633663367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0.15966336633663367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0.47659405940594063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0.19807920792079209</v>
      </c>
      <c r="CX17" s="10" cm="1">
        <f t="array" aca="1" ref="CX17" ca="1">SUM(OFFSET($CR17,0,0,1,$M$2)*LN(OFFSET($CR17,0,0,1,$M$2)/OFFSET($CR$11,0,0,1,$M$2)))+IF($CQ$11&gt;0,OFFSET($O$10,0,$CP17,1,1)*LN(OFFSET($O$10,0,$CP17,1,1)/$CQ$11),0)</f>
        <v>0.1182048827563579</v>
      </c>
      <c r="CY17">
        <f ca="1"/>
        <v>2</v>
      </c>
      <c r="CZ17" s="10">
        <f t="shared" ca="1" si="10"/>
        <v>2.3978966575370589E-2</v>
      </c>
      <c r="DA17" s="10">
        <f t="shared" ca="1" si="9"/>
        <v>2.3978966575370589E-2</v>
      </c>
      <c r="DB17" s="10">
        <f t="shared" ca="1" si="9"/>
        <v>0.11922305889149576</v>
      </c>
      <c r="DC17" s="10">
        <f t="shared" ca="1" si="9"/>
        <v>7.5662414272796991E-3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$B$18/($B$19*$B$19*($DF17&lt;&gt;$DG17) + $B$19*($DF17=$DG17))</f>
        <v>3.9615841584158415E-2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$B$18/($B$19*$B$19*($DF17&lt;&gt;$DG17) + $B$19*($DF17=$DG17))</f>
        <v>3.9615841584158415E-2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$B$18/($B$19*$B$19*($DF17&lt;&gt;$DG17) + $B$19*($DF17=$DG17))</f>
        <v>0.32773465346534647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$B$18/($B$19*$B$19*($DF17&lt;&gt;$DG17) + $B$19*($DF17=$DG17))</f>
        <v>4.921980198019802E-2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$B$18/($B$19*$B$19*($DF17&lt;&gt;$DG17) + $B$19*($DF17=$DG17))</f>
        <v>3.9615841584158415E-2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$B$18/($B$19*$B$19*($DF17&lt;&gt;$DG17) + $B$19*($DF17=$DG17))</f>
        <v>3.9615841584158415E-2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$B$18/($B$19*$B$19*($DF17&lt;&gt;$DG17) + $B$19*($DF17=$DG17))</f>
        <v>4.921980198019802E-2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$B$18/($B$19*$B$19*($DF17&lt;&gt;$DG17) + $B$19*($DF17=$DG17))</f>
        <v>4.921980198019802E-2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$B$18/($B$19*$B$19*($DF17&lt;&gt;$DG17) + $B$19*($DF17=$DG17))</f>
        <v>3.9615841584158415E-2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$B$18/($B$19*$B$19*($DF17&lt;&gt;$DG17) + $B$19*($DF17=$DG17))</f>
        <v>3.9615841584158415E-2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$B$18/($B$19*$B$19*($DF17&lt;&gt;$DG17) + $B$19*($DF17=$DG17))</f>
        <v>4.921980198019802E-2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$B$18/($B$19*$B$19*($DF17&lt;&gt;$DG17) + $B$19*($DF17=$DG17))</f>
        <v>4.921980198019802E-2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$B$18/($B$19*$B$19*($DF17&lt;&gt;$DG17) + $B$19*($DF17=$DG17))</f>
        <v>3.9615841584158415E-2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$B$18/($B$19*$B$19*($DF17&lt;&gt;$DG17) + $B$19*($DF17=$DG17))</f>
        <v>3.9615841584158415E-2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$B$18/($B$19*$B$19*($DF17&lt;&gt;$DG17) + $B$19*($DF17=$DG17))</f>
        <v>4.921980198019802E-2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$B$18/($B$19*$B$19*($DF17&lt;&gt;$DG17) + $B$19*($DF17=$DG17))</f>
        <v>4.921980198019802E-2</v>
      </c>
      <c r="ED17" cm="1">
        <f t="array" aca="1" ref="ED17" ca="1">INDEX(_xlfn.ANCHORARRAY($CP$15), 1 + INT((ROWS($DG$15:$DG17) - 1) / ROWS(_xlfn.ANCHORARRAY($CP$15))))</f>
        <v>0</v>
      </c>
      <c r="EE17" cm="1">
        <f t="array" aca="1" ref="EE17" ca="1">INDEX(_xlfn.ANCHORARRAY($CP$15),1+MOD(ROWS($DG$15:$DG17)-1,ROWS(_xlfn.ANCHORARRAY($CP$15))))</f>
        <v>2</v>
      </c>
      <c r="EF17" s="10" cm="1">
        <f t="array" aca="1" ref="EF17" ca="1">DH17-_xlfn.XLOOKUP(EF$13,_xlfn.ANCHORARRAY( $CR$14), _xlfn.XLOOKUP($ED17,_xlfn.ANCHORARRAY( $CP$15), $CR$15:$CU$19)) * _xlfn.XLOOKUP(EF$14,_xlfn.ANCHORARRAY( $CR$14), _xlfn.XLOOKUP($EE17,_xlfn.ANCHORARRAY( $CP$15), $CR$15:$CU$19))</f>
        <v>-3.3411969022644844E-2</v>
      </c>
      <c r="EG17" s="10" cm="1">
        <f t="array" aca="1" ref="EG17" ca="1">DI17-_xlfn.XLOOKUP(EG$13,_xlfn.ANCHORARRAY( $CR$14), _xlfn.XLOOKUP($ED17,_xlfn.ANCHORARRAY( $CP$15), $CR$15:$CU$19)) * _xlfn.XLOOKUP(EG$14,_xlfn.ANCHORARRAY( $CR$14), _xlfn.XLOOKUP($EE17,_xlfn.ANCHORARRAY( $CP$15), $CR$15:$CU$19))</f>
        <v>-3.3411969022644844E-2</v>
      </c>
      <c r="EH17" s="10" cm="1">
        <f t="array" aca="1" ref="EH17" ca="1">DJ17-_xlfn.XLOOKUP(EH$13,_xlfn.ANCHORARRAY( $CR$14), _xlfn.XLOOKUP($ED17,_xlfn.ANCHORARRAY( $CP$15), $CR$15:$CU$19)) * _xlfn.XLOOKUP(EH$14,_xlfn.ANCHORARRAY( $CR$14), _xlfn.XLOOKUP($EE17,_xlfn.ANCHORARRAY( $CP$15), $CR$15:$CU$19))</f>
        <v>0.10974713694735802</v>
      </c>
      <c r="EI17" s="10" cm="1">
        <f t="array" aca="1" ref="EI17" ca="1">DK17-_xlfn.XLOOKUP(EI$13,_xlfn.ANCHORARRAY( $CR$14), _xlfn.XLOOKUP($ED17,_xlfn.ANCHORARRAY( $CP$15), $CR$15:$CU$19)) * _xlfn.XLOOKUP(EI$14,_xlfn.ANCHORARRAY( $CR$14), _xlfn.XLOOKUP($EE17,_xlfn.ANCHORARRAY( $CP$15), $CR$15:$CU$19))</f>
        <v>-4.1378882070385266E-2</v>
      </c>
      <c r="EJ17" s="10" cm="1">
        <f t="array" aca="1" ref="EJ17" ca="1">DL17-_xlfn.XLOOKUP(EJ$13,_xlfn.ANCHORARRAY( $CR$14), _xlfn.XLOOKUP($ED17,_xlfn.ANCHORARRAY( $CP$15), $CR$15:$CU$19)) * _xlfn.XLOOKUP(EJ$14,_xlfn.ANCHORARRAY( $CR$14), _xlfn.XLOOKUP($EE17,_xlfn.ANCHORARRAY( $CP$15), $CR$15:$CU$19))</f>
        <v>1.1056649740221546E-2</v>
      </c>
      <c r="EK17" s="10" cm="1">
        <f t="array" aca="1" ref="EK17" ca="1">DM17-_xlfn.XLOOKUP(EK$13,_xlfn.ANCHORARRAY( $CR$14), _xlfn.XLOOKUP($ED17,_xlfn.ANCHORARRAY( $CP$15), $CR$15:$CU$19)) * _xlfn.XLOOKUP(EK$14,_xlfn.ANCHORARRAY( $CR$14), _xlfn.XLOOKUP($EE17,_xlfn.ANCHORARRAY( $CP$15), $CR$15:$CU$19))</f>
        <v>1.1056649740221546E-2</v>
      </c>
      <c r="EL17" s="10" cm="1">
        <f t="array" aca="1" ref="EL17" ca="1">DN17-_xlfn.XLOOKUP(EL$13,_xlfn.ANCHORARRAY( $CR$14), _xlfn.XLOOKUP($ED17,_xlfn.ANCHORARRAY( $CP$15), $CR$15:$CU$19)) * _xlfn.XLOOKUP(EL$14,_xlfn.ANCHORARRAY( $CR$14), _xlfn.XLOOKUP($EE17,_xlfn.ANCHORARRAY( $CP$15), $CR$15:$CU$19))</f>
        <v>-3.6029190863640821E-2</v>
      </c>
      <c r="EM17" s="10" cm="1">
        <f t="array" aca="1" ref="EM17" ca="1">DO17-_xlfn.XLOOKUP(EM$13,_xlfn.ANCHORARRAY( $CR$14), _xlfn.XLOOKUP($ED17,_xlfn.ANCHORARRAY( $CP$15), $CR$15:$CU$19)) * _xlfn.XLOOKUP(EM$14,_xlfn.ANCHORARRAY( $CR$14), _xlfn.XLOOKUP($EE17,_xlfn.ANCHORARRAY( $CP$15), $CR$15:$CU$19))</f>
        <v>1.3789119105970006E-2</v>
      </c>
      <c r="EN17" s="10" cm="1">
        <f t="array" aca="1" ref="EN17" ca="1">DP17-_xlfn.XLOOKUP(EN$13,_xlfn.ANCHORARRAY( $CR$14), _xlfn.XLOOKUP($ED17,_xlfn.ANCHORARRAY( $CP$15), $CR$15:$CU$19)) * _xlfn.XLOOKUP(EN$14,_xlfn.ANCHORARRAY( $CR$14), _xlfn.XLOOKUP($EE17,_xlfn.ANCHORARRAY( $CP$15), $CR$15:$CU$19))</f>
        <v>1.1056649740221546E-2</v>
      </c>
      <c r="EO17" s="10" cm="1">
        <f t="array" aca="1" ref="EO17" ca="1">DQ17-_xlfn.XLOOKUP(EO$13,_xlfn.ANCHORARRAY( $CR$14), _xlfn.XLOOKUP($ED17,_xlfn.ANCHORARRAY( $CP$15), $CR$15:$CU$19)) * _xlfn.XLOOKUP(EO$14,_xlfn.ANCHORARRAY( $CR$14), _xlfn.XLOOKUP($EE17,_xlfn.ANCHORARRAY( $CP$15), $CR$15:$CU$19))</f>
        <v>1.1056649740221546E-2</v>
      </c>
      <c r="EP17" s="10" cm="1">
        <f t="array" aca="1" ref="EP17" ca="1">DR17-_xlfn.XLOOKUP(EP$13,_xlfn.ANCHORARRAY( $CR$14), _xlfn.XLOOKUP($ED17,_xlfn.ANCHORARRAY( $CP$15), $CR$15:$CU$19)) * _xlfn.XLOOKUP(EP$14,_xlfn.ANCHORARRAY( $CR$14), _xlfn.XLOOKUP($EE17,_xlfn.ANCHORARRAY( $CP$15), $CR$15:$CU$19))</f>
        <v>-3.6029190863640821E-2</v>
      </c>
      <c r="EQ17" s="10" cm="1">
        <f t="array" aca="1" ref="EQ17" ca="1">DS17-_xlfn.XLOOKUP(EQ$13,_xlfn.ANCHORARRAY( $CR$14), _xlfn.XLOOKUP($ED17,_xlfn.ANCHORARRAY( $CP$15), $CR$15:$CU$19)) * _xlfn.XLOOKUP(EQ$14,_xlfn.ANCHORARRAY( $CR$14), _xlfn.XLOOKUP($EE17,_xlfn.ANCHORARRAY( $CP$15), $CR$15:$CU$19))</f>
        <v>1.3789119105970006E-2</v>
      </c>
      <c r="ER17" s="10" cm="1">
        <f t="array" aca="1" ref="ER17" ca="1">DT17-_xlfn.XLOOKUP(ER$13,_xlfn.ANCHORARRAY( $CR$14), _xlfn.XLOOKUP($ED17,_xlfn.ANCHORARRAY( $CP$15), $CR$15:$CU$19)) * _xlfn.XLOOKUP(ER$14,_xlfn.ANCHORARRAY( $CR$14), _xlfn.XLOOKUP($EE17,_xlfn.ANCHORARRAY( $CP$15), $CR$15:$CU$19))</f>
        <v>1.1056649740221546E-2</v>
      </c>
      <c r="ES17" s="10" cm="1">
        <f t="array" aca="1" ref="ES17" ca="1">DU17-_xlfn.XLOOKUP(ES$13,_xlfn.ANCHORARRAY( $CR$14), _xlfn.XLOOKUP($ED17,_xlfn.ANCHORARRAY( $CP$15), $CR$15:$CU$19)) * _xlfn.XLOOKUP(ES$14,_xlfn.ANCHORARRAY( $CR$14), _xlfn.XLOOKUP($EE17,_xlfn.ANCHORARRAY( $CP$15), $CR$15:$CU$19))</f>
        <v>1.1056649740221546E-2</v>
      </c>
      <c r="ET17" s="10" cm="1">
        <f t="array" aca="1" ref="ET17" ca="1">DV17-_xlfn.XLOOKUP(ET$13,_xlfn.ANCHORARRAY( $CR$14), _xlfn.XLOOKUP($ED17,_xlfn.ANCHORARRAY( $CP$15), $CR$15:$CU$19)) * _xlfn.XLOOKUP(ET$14,_xlfn.ANCHORARRAY( $CR$14), _xlfn.XLOOKUP($EE17,_xlfn.ANCHORARRAY( $CP$15), $CR$15:$CU$19))</f>
        <v>-3.6029190863640821E-2</v>
      </c>
      <c r="EU17" s="10" cm="1">
        <f t="array" aca="1" ref="EU17" ca="1">DW17-_xlfn.XLOOKUP(EU$13,_xlfn.ANCHORARRAY( $CR$14), _xlfn.XLOOKUP($ED17,_xlfn.ANCHORARRAY( $CP$15), $CR$15:$CU$19)) * _xlfn.XLOOKUP(EU$14,_xlfn.ANCHORARRAY( $CR$14), _xlfn.XLOOKUP($EE17,_xlfn.ANCHORARRAY( $CP$15), $CR$15:$CU$19))</f>
        <v>1.3789119105970006E-2</v>
      </c>
      <c r="EZ17" cm="1">
        <f t="array" aca="1" ref="EZ17" ca="1">INDEX(_xlfn.ANCHORARRAY($CP$15), 1 + INT((ROWS($DG$15:$DG17) - 1) / ROWS(_xlfn.ANCHORARRAY($CP$15))))</f>
        <v>0</v>
      </c>
      <c r="FA17" cm="1">
        <f t="array" aca="1" ref="FA17" ca="1">INDEX(_xlfn.ANCHORARRAY($CP$15),1+MOD(ROWS($DG$15:$DG17)-1,ROWS(_xlfn.ANCHORARRAY($CP$15))))</f>
        <v>2</v>
      </c>
      <c r="FB17" s="10" cm="1">
        <f t="array" aca="1" ref="FB17" ca="1">EF17 * _xlfn.XLOOKUP(FB$13,_xlfn.ANCHORARRAY( $CZ$29), _xlfn.XLOOKUP($EZ17,_xlfn.ANCHORARRAY( $CY$30), $CZ$30:$DC$34)) * _xlfn.XLOOKUP(FB$14,_xlfn.ANCHORARRAY( $CZ$29), _xlfn.XLOOKUP($FA17,_xlfn.ANCHORARRAY( $CY$30), $CZ$30:$DC$34))</f>
        <v>1.7424507584920257E-2</v>
      </c>
      <c r="FC17" s="10" cm="1">
        <f t="array" aca="1" ref="FC17" ca="1">EG17 * _xlfn.XLOOKUP(FC$13,_xlfn.ANCHORARRAY( $CZ$29), _xlfn.XLOOKUP($EZ17,_xlfn.ANCHORARRAY( $CY$30), $CZ$30:$DC$34)) * _xlfn.XLOOKUP(FC$14,_xlfn.ANCHORARRAY( $CZ$29), _xlfn.XLOOKUP($FA17,_xlfn.ANCHORARRAY( $CY$30), $CZ$30:$DC$34))</f>
        <v>1.7424507584920257E-2</v>
      </c>
      <c r="FD17" s="10" cm="1">
        <f t="array" aca="1" ref="FD17" ca="1">EH17 * _xlfn.XLOOKUP(FD$13,_xlfn.ANCHORARRAY( $CZ$29), _xlfn.XLOOKUP($EZ17,_xlfn.ANCHORARRAY( $CY$30), $CZ$30:$DC$34)) * _xlfn.XLOOKUP(FD$14,_xlfn.ANCHORARRAY( $CZ$29), _xlfn.XLOOKUP($FA17,_xlfn.ANCHORARRAY( $CY$30), $CZ$30:$DC$34))</f>
        <v>0.10231800823628442</v>
      </c>
      <c r="FE17" s="10" cm="1">
        <f t="array" aca="1" ref="FE17" ca="1">EI17 * _xlfn.XLOOKUP(FE$13,_xlfn.ANCHORARRAY( $CZ$29), _xlfn.XLOOKUP($EZ17,_xlfn.ANCHORARRAY( $CY$30), $CZ$30:$DC$34)) * _xlfn.XLOOKUP(FE$14,_xlfn.ANCHORARRAY( $CZ$29), _xlfn.XLOOKUP($FA17,_xlfn.ANCHORARRAY( $CY$30), $CZ$30:$DC$34))</f>
        <v>1.1506338509959878E-2</v>
      </c>
      <c r="FF17" s="10" cm="1">
        <f t="array" aca="1" ref="FF17" ca="1">EJ17 * _xlfn.XLOOKUP(FF$13,_xlfn.ANCHORARRAY( $CZ$29), _xlfn.XLOOKUP($EZ17,_xlfn.ANCHORARRAY( $CY$30), $CZ$30:$DC$34)) * _xlfn.XLOOKUP(FF$14,_xlfn.ANCHORARRAY( $CZ$29), _xlfn.XLOOKUP($FA17,_xlfn.ANCHORARRAY( $CY$30), $CZ$30:$DC$34))</f>
        <v>2.6439500145374996E-3</v>
      </c>
      <c r="FG17" s="10" cm="1">
        <f t="array" aca="1" ref="FG17" ca="1">EK17 * _xlfn.XLOOKUP(FG$13,_xlfn.ANCHORARRAY( $CZ$29), _xlfn.XLOOKUP($EZ17,_xlfn.ANCHORARRAY( $CY$30), $CZ$30:$DC$34)) * _xlfn.XLOOKUP(FG$14,_xlfn.ANCHORARRAY( $CZ$29), _xlfn.XLOOKUP($FA17,_xlfn.ANCHORARRAY( $CY$30), $CZ$30:$DC$34))</f>
        <v>2.6439500145374996E-3</v>
      </c>
      <c r="FH17" s="10" cm="1">
        <f t="array" aca="1" ref="FH17" ca="1">EL17 * _xlfn.XLOOKUP(FH$13,_xlfn.ANCHORARRAY( $CZ$29), _xlfn.XLOOKUP($EZ17,_xlfn.ANCHORARRAY( $CY$30), $CZ$30:$DC$34)) * _xlfn.XLOOKUP(FH$14,_xlfn.ANCHORARRAY( $CZ$29), _xlfn.XLOOKUP($FA17,_xlfn.ANCHORARRAY( $CY$30), $CZ$30:$DC$34))</f>
        <v>1.540226643170323E-2</v>
      </c>
      <c r="FI17" s="10" cm="1">
        <f t="array" aca="1" ref="FI17" ca="1">EM17 * _xlfn.XLOOKUP(FI$13,_xlfn.ANCHORARRAY( $CZ$29), _xlfn.XLOOKUP($EZ17,_xlfn.ANCHORARRAY( $CY$30), $CZ$30:$DC$34)) * _xlfn.XLOOKUP(FI$14,_xlfn.ANCHORARRAY( $CZ$29), _xlfn.XLOOKUP($FA17,_xlfn.ANCHORARRAY( $CY$30), $CZ$30:$DC$34))</f>
        <v>1.7581914384037791E-3</v>
      </c>
      <c r="FJ17" s="10" cm="1">
        <f t="array" aca="1" ref="FJ17" ca="1">EN17 * _xlfn.XLOOKUP(FJ$13,_xlfn.ANCHORARRAY( $CZ$29), _xlfn.XLOOKUP($EZ17,_xlfn.ANCHORARRAY( $CY$30), $CZ$30:$DC$34)) * _xlfn.XLOOKUP(FJ$14,_xlfn.ANCHORARRAY( $CZ$29), _xlfn.XLOOKUP($FA17,_xlfn.ANCHORARRAY( $CY$30), $CZ$30:$DC$34))</f>
        <v>2.6439500145374996E-3</v>
      </c>
      <c r="FK17" s="10" cm="1">
        <f t="array" aca="1" ref="FK17" ca="1">EO17 * _xlfn.XLOOKUP(FK$13,_xlfn.ANCHORARRAY( $CZ$29), _xlfn.XLOOKUP($EZ17,_xlfn.ANCHORARRAY( $CY$30), $CZ$30:$DC$34)) * _xlfn.XLOOKUP(FK$14,_xlfn.ANCHORARRAY( $CZ$29), _xlfn.XLOOKUP($FA17,_xlfn.ANCHORARRAY( $CY$30), $CZ$30:$DC$34))</f>
        <v>2.6439500145374996E-3</v>
      </c>
      <c r="FL17" s="10" cm="1">
        <f t="array" aca="1" ref="FL17" ca="1">EP17 * _xlfn.XLOOKUP(FL$13,_xlfn.ANCHORARRAY( $CZ$29), _xlfn.XLOOKUP($EZ17,_xlfn.ANCHORARRAY( $CY$30), $CZ$30:$DC$34)) * _xlfn.XLOOKUP(FL$14,_xlfn.ANCHORARRAY( $CZ$29), _xlfn.XLOOKUP($FA17,_xlfn.ANCHORARRAY( $CY$30), $CZ$30:$DC$34))</f>
        <v>1.540226643170323E-2</v>
      </c>
      <c r="FM17" s="10" cm="1">
        <f t="array" aca="1" ref="FM17" ca="1">EQ17 * _xlfn.XLOOKUP(FM$13,_xlfn.ANCHORARRAY( $CZ$29), _xlfn.XLOOKUP($EZ17,_xlfn.ANCHORARRAY( $CY$30), $CZ$30:$DC$34)) * _xlfn.XLOOKUP(FM$14,_xlfn.ANCHORARRAY( $CZ$29), _xlfn.XLOOKUP($FA17,_xlfn.ANCHORARRAY( $CY$30), $CZ$30:$DC$34))</f>
        <v>1.7581914384037791E-3</v>
      </c>
      <c r="FN17" s="10" cm="1">
        <f t="array" aca="1" ref="FN17" ca="1">ER17 * _xlfn.XLOOKUP(FN$13,_xlfn.ANCHORARRAY( $CZ$29), _xlfn.XLOOKUP($EZ17,_xlfn.ANCHORARRAY( $CY$30), $CZ$30:$DC$34)) * _xlfn.XLOOKUP(FN$14,_xlfn.ANCHORARRAY( $CZ$29), _xlfn.XLOOKUP($FA17,_xlfn.ANCHORARRAY( $CY$30), $CZ$30:$DC$34))</f>
        <v>2.6439500145374996E-3</v>
      </c>
      <c r="FO17" s="10" cm="1">
        <f t="array" aca="1" ref="FO17" ca="1">ES17 * _xlfn.XLOOKUP(FO$13,_xlfn.ANCHORARRAY( $CZ$29), _xlfn.XLOOKUP($EZ17,_xlfn.ANCHORARRAY( $CY$30), $CZ$30:$DC$34)) * _xlfn.XLOOKUP(FO$14,_xlfn.ANCHORARRAY( $CZ$29), _xlfn.XLOOKUP($FA17,_xlfn.ANCHORARRAY( $CY$30), $CZ$30:$DC$34))</f>
        <v>2.6439500145374996E-3</v>
      </c>
      <c r="FP17" s="10" cm="1">
        <f t="array" aca="1" ref="FP17" ca="1">ET17 * _xlfn.XLOOKUP(FP$13,_xlfn.ANCHORARRAY( $CZ$29), _xlfn.XLOOKUP($EZ17,_xlfn.ANCHORARRAY( $CY$30), $CZ$30:$DC$34)) * _xlfn.XLOOKUP(FP$14,_xlfn.ANCHORARRAY( $CZ$29), _xlfn.XLOOKUP($FA17,_xlfn.ANCHORARRAY( $CY$30), $CZ$30:$DC$34))</f>
        <v>1.540226643170323E-2</v>
      </c>
      <c r="FQ17" s="10" cm="1">
        <f t="array" aca="1" ref="FQ17" ca="1">EU17 * _xlfn.XLOOKUP(FQ$13,_xlfn.ANCHORARRAY( $CZ$29), _xlfn.XLOOKUP($EZ17,_xlfn.ANCHORARRAY( $CY$30), $CZ$30:$DC$34)) * _xlfn.XLOOKUP(FQ$14,_xlfn.ANCHORARRAY( $CZ$29), _xlfn.XLOOKUP($FA17,_xlfn.ANCHORARRAY( $CY$30), $CZ$30:$DC$34))</f>
        <v>1.7581914384037791E-3</v>
      </c>
      <c r="FT17" cm="1">
        <f t="array" aca="1" ref="FT17" ca="1">SQRT(SUM((FB17:FQ17)^2))</f>
        <v>0.10941436623989569</v>
      </c>
    </row>
    <row r="18" spans="1:176" x14ac:dyDescent="0.2">
      <c r="A18" t="s">
        <v>47</v>
      </c>
      <c r="B18">
        <v>0.03</v>
      </c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0.8</v>
      </c>
      <c r="K18" t="b">
        <f t="shared" ca="1" si="3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4"/>
        <v>1</v>
      </c>
      <c r="N18" s="2">
        <v>3</v>
      </c>
      <c r="O18" s="12" t="s">
        <v>3</v>
      </c>
      <c r="P18" s="9" t="s">
        <v>1</v>
      </c>
      <c r="Q18" s="9" t="s">
        <v>2</v>
      </c>
      <c r="R18" s="9" t="s">
        <v>3</v>
      </c>
      <c r="S18" s="9" t="s">
        <v>3</v>
      </c>
      <c r="AK18" s="7"/>
      <c r="AN18">
        <f t="shared" ca="1" si="5"/>
        <v>4</v>
      </c>
      <c r="AO18" s="14">
        <f t="shared" ca="1" si="6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0.8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0.8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0.8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0.4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0.4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0.4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0.6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0.4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0.4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0.4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0.4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0.4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0.6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0.6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0.4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0.4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0.6</v>
      </c>
      <c r="BN18">
        <f t="shared" ca="1" si="7"/>
        <v>4</v>
      </c>
      <c r="BO18" s="14">
        <f t="shared" ca="1" si="8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0.8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0.8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0.8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0.4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0.4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0.4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0.6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0.4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0.4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0.4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0.4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0.4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0.4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0.6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0.6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0.4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0.4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0.4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0.6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6.0000000000000001E-3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0.16606600660066007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0.13405280528052804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6.0000000000000001E-3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0.68788118811881216</v>
      </c>
      <c r="CX18" s="10" cm="1">
        <f t="array" aca="1" ref="CX18" ca="1">SUM(OFFSET($CR18,0,0,1,$M$2)*LN(OFFSET($CR18,0,0,1,$M$2)/OFFSET($CR$11,0,0,1,$M$2)))+IF($CQ$11&gt;0,OFFSET($O$10,0,$CP18,1,1)*LN(OFFSET($O$10,0,$CP18,1,1)/$CQ$11),0)</f>
        <v>0.52238542980103952</v>
      </c>
      <c r="CY18">
        <f ca="1"/>
        <v>3</v>
      </c>
      <c r="CZ18" s="10">
        <f t="shared" ca="1" si="10"/>
        <v>2.0531044353408232E-2</v>
      </c>
      <c r="DA18" s="10">
        <f t="shared" ca="1" si="9"/>
        <v>4.0935191667382381E-2</v>
      </c>
      <c r="DB18" s="10">
        <f t="shared" ca="1" si="9"/>
        <v>0.2575958074336554</v>
      </c>
      <c r="DC18" s="10">
        <f t="shared" ca="1" si="9"/>
        <v>0.42261131312343025</v>
      </c>
      <c r="DF18" cm="1">
        <f t="array" aca="1" ref="DF18" ca="1">INDEX(_xlfn.ANCHORARRAY($CP$15), 1 + INT((ROWS($DG$15:$DG18) - 1) / ROWS(_xlfn.ANCHORARRAY($CP$15))))</f>
        <v>0</v>
      </c>
      <c r="DG18" cm="1">
        <f t="array" aca="1" ref="DG18" ca="1">INDEX(_xlfn.ANCHORARRAY($CP$15),1+MOD(ROWS($DG$15:$DG18)-1,ROWS(_xlfn.ANCHORARRAY($CP$15))))</f>
        <v>3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$B$18/($B$19*$B$19*($DF18&lt;&gt;$DG18) + $B$19*($DF18=$DG18))</f>
        <v>0.16126600660066007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$B$18/($B$19*$B$19*($DF18&lt;&gt;$DG18) + $B$19*($DF18=$DG18))</f>
        <v>0.12925280528052804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$B$18/($B$19*$B$19*($DF18&lt;&gt;$DG18) + $B$19*($DF18=$DG18))</f>
        <v>1.1999999999999999E-3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$B$18/($B$19*$B$19*($DF18&lt;&gt;$DG18) + $B$19*($DF18=$DG18))</f>
        <v>0.16446732673267328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$B$18/($B$19*$B$19*($DF18&lt;&gt;$DG18) + $B$19*($DF18=$DG18))</f>
        <v>1.1999999999999999E-3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$B$18/($B$19*$B$19*($DF18&lt;&gt;$DG18) + $B$19*($DF18=$DG18))</f>
        <v>1.1999999999999999E-3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$B$18/($B$19*$B$19*($DF18&lt;&gt;$DG18) + $B$19*($DF18=$DG18))</f>
        <v>1.1999999999999999E-3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$B$18/($B$19*$B$19*($DF18&lt;&gt;$DG18) + $B$19*($DF18=$DG18))</f>
        <v>0.17407128712871286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$B$18/($B$19*$B$19*($DF18&lt;&gt;$DG18) + $B$19*($DF18=$DG18))</f>
        <v>1.1999999999999999E-3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$B$18/($B$19*$B$19*($DF18&lt;&gt;$DG18) + $B$19*($DF18=$DG18))</f>
        <v>1.1999999999999999E-3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$B$18/($B$19*$B$19*($DF18&lt;&gt;$DG18) + $B$19*($DF18=$DG18))</f>
        <v>1.1999999999999999E-3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$B$18/($B$19*$B$19*($DF18&lt;&gt;$DG18) + $B$19*($DF18=$DG18))</f>
        <v>0.17407128712871286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$B$18/($B$19*$B$19*($DF18&lt;&gt;$DG18) + $B$19*($DF18=$DG18))</f>
        <v>1.1999999999999999E-3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$B$18/($B$19*$B$19*($DF18&lt;&gt;$DG18) + $B$19*($DF18=$DG18))</f>
        <v>1.1999999999999999E-3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$B$18/($B$19*$B$19*($DF18&lt;&gt;$DG18) + $B$19*($DF18=$DG18))</f>
        <v>1.1999999999999999E-3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$B$18/($B$19*$B$19*($DF18&lt;&gt;$DG18) + $B$19*($DF18=$DG18))</f>
        <v>0.17407128712871286</v>
      </c>
      <c r="ED18" cm="1">
        <f t="array" aca="1" ref="ED18" ca="1">INDEX(_xlfn.ANCHORARRAY($CP$15), 1 + INT((ROWS($DG$15:$DG18) - 1) / ROWS(_xlfn.ANCHORARRAY($CP$15))))</f>
        <v>0</v>
      </c>
      <c r="EE18" cm="1">
        <f t="array" aca="1" ref="EE18" ca="1">INDEX(_xlfn.ANCHORARRAY($CP$15),1+MOD(ROWS($DG$15:$DG18)-1,ROWS(_xlfn.ANCHORARRAY($CP$15))))</f>
        <v>3</v>
      </c>
      <c r="EF18" s="10" cm="1">
        <f t="array" aca="1" ref="EF18" ca="1">DH18-_xlfn.XLOOKUP(EF$13,_xlfn.ANCHORARRAY( $CR$14), _xlfn.XLOOKUP($ED18,_xlfn.ANCHORARRAY( $CP$15), $CR$15:$CU$19)) * _xlfn.XLOOKUP(EF$14,_xlfn.ANCHORARRAY( $CR$14), _xlfn.XLOOKUP($EE18,_xlfn.ANCHORARRAY( $CP$15), $CR$15:$CU$19))</f>
        <v>8.5309717086560141E-2</v>
      </c>
      <c r="EG18" s="10" cm="1">
        <f t="array" aca="1" ref="EG18" ca="1">DI18-_xlfn.XLOOKUP(EG$13,_xlfn.ANCHORARRAY( $CR$14), _xlfn.XLOOKUP($ED18,_xlfn.ANCHORARRAY( $CP$15), $CR$15:$CU$19)) * _xlfn.XLOOKUP(EG$14,_xlfn.ANCHORARRAY( $CR$14), _xlfn.XLOOKUP($EE18,_xlfn.ANCHORARRAY( $CP$15), $CR$15:$CU$19))</f>
        <v>6.7938910302911465E-2</v>
      </c>
      <c r="EH18" s="10" cm="1">
        <f t="array" aca="1" ref="EH18" ca="1">DJ18-_xlfn.XLOOKUP(EH$13,_xlfn.ANCHORARRAY( $CR$14), _xlfn.XLOOKUP($ED18,_xlfn.ANCHORARRAY( $CP$15), $CR$15:$CU$19)) * _xlfn.XLOOKUP(EH$14,_xlfn.ANCHORARRAY( $CR$14), _xlfn.XLOOKUP($EE18,_xlfn.ANCHORARRAY( $CP$15), $CR$15:$CU$19))</f>
        <v>-1.5443168316831687E-3</v>
      </c>
      <c r="EI18" s="10" cm="1">
        <f t="array" aca="1" ref="EI18" ca="1">DK18-_xlfn.XLOOKUP(EI$13,_xlfn.ANCHORARRAY( $CR$14), _xlfn.XLOOKUP($ED18,_xlfn.ANCHORARRAY( $CP$15), $CR$15:$CU$19)) * _xlfn.XLOOKUP(EI$14,_xlfn.ANCHORARRAY( $CR$14), _xlfn.XLOOKUP($EE18,_xlfn.ANCHORARRAY( $CP$15), $CR$15:$CU$19))</f>
        <v>-0.15015999372610539</v>
      </c>
      <c r="EJ18" s="10" cm="1">
        <f t="array" aca="1" ref="EJ18" ca="1">DL18-_xlfn.XLOOKUP(EJ$13,_xlfn.ANCHORARRAY( $CR$14), _xlfn.XLOOKUP($ED18,_xlfn.ANCHORARRAY( $CP$15), $CR$15:$CU$19)) * _xlfn.XLOOKUP(EJ$14,_xlfn.ANCHORARRAY( $CR$14), _xlfn.XLOOKUP($EE18,_xlfn.ANCHORARRAY( $CP$15), $CR$15:$CU$19))</f>
        <v>-2.8504440348985392E-2</v>
      </c>
      <c r="EK18" s="10" cm="1">
        <f t="array" aca="1" ref="EK18" ca="1">DM18-_xlfn.XLOOKUP(EK$13,_xlfn.ANCHORARRAY( $CR$14), _xlfn.XLOOKUP($ED18,_xlfn.ANCHORARRAY( $CP$15), $CR$15:$CU$19)) * _xlfn.XLOOKUP(EK$14,_xlfn.ANCHORARRAY( $CR$14), _xlfn.XLOOKUP($EE18,_xlfn.ANCHORARRAY( $CP$15), $CR$15:$CU$19))</f>
        <v>-2.2778197823742768E-2</v>
      </c>
      <c r="EL18" s="10" cm="1">
        <f t="array" aca="1" ref="EL18" ca="1">DN18-_xlfn.XLOOKUP(EL$13,_xlfn.ANCHORARRAY( $CR$14), _xlfn.XLOOKUP($ED18,_xlfn.ANCHORARRAY( $CP$15), $CR$15:$CU$19)) * _xlfn.XLOOKUP(EL$14,_xlfn.ANCHORARRAY( $CR$14), _xlfn.XLOOKUP($EE18,_xlfn.ANCHORARRAY( $CP$15), $CR$15:$CU$19))</f>
        <v>1.2677227722772259E-4</v>
      </c>
      <c r="EM18" s="10" cm="1">
        <f t="array" aca="1" ref="EM18" ca="1">DO18-_xlfn.XLOOKUP(EM$13,_xlfn.ANCHORARRAY( $CR$14), _xlfn.XLOOKUP($ED18,_xlfn.ANCHORARRAY( $CP$15), $CR$15:$CU$19)) * _xlfn.XLOOKUP(EM$14,_xlfn.ANCHORARRAY( $CR$14), _xlfn.XLOOKUP($EE18,_xlfn.ANCHORARRAY( $CP$15), $CR$15:$CU$19))</f>
        <v>5.1029093618272667E-2</v>
      </c>
      <c r="EN18" s="10" cm="1">
        <f t="array" aca="1" ref="EN18" ca="1">DP18-_xlfn.XLOOKUP(EN$13,_xlfn.ANCHORARRAY( $CR$14), _xlfn.XLOOKUP($ED18,_xlfn.ANCHORARRAY( $CP$15), $CR$15:$CU$19)) * _xlfn.XLOOKUP(EN$14,_xlfn.ANCHORARRAY( $CR$14), _xlfn.XLOOKUP($EE18,_xlfn.ANCHORARRAY( $CP$15), $CR$15:$CU$19))</f>
        <v>-2.8504440348985392E-2</v>
      </c>
      <c r="EO18" s="10" cm="1">
        <f t="array" aca="1" ref="EO18" ca="1">DQ18-_xlfn.XLOOKUP(EO$13,_xlfn.ANCHORARRAY( $CR$14), _xlfn.XLOOKUP($ED18,_xlfn.ANCHORARRAY( $CP$15), $CR$15:$CU$19)) * _xlfn.XLOOKUP(EO$14,_xlfn.ANCHORARRAY( $CR$14), _xlfn.XLOOKUP($EE18,_xlfn.ANCHORARRAY( $CP$15), $CR$15:$CU$19))</f>
        <v>-2.2778197823742768E-2</v>
      </c>
      <c r="EP18" s="10" cm="1">
        <f t="array" aca="1" ref="EP18" ca="1">DR18-_xlfn.XLOOKUP(EP$13,_xlfn.ANCHORARRAY( $CR$14), _xlfn.XLOOKUP($ED18,_xlfn.ANCHORARRAY( $CP$15), $CR$15:$CU$19)) * _xlfn.XLOOKUP(EP$14,_xlfn.ANCHORARRAY( $CR$14), _xlfn.XLOOKUP($EE18,_xlfn.ANCHORARRAY( $CP$15), $CR$15:$CU$19))</f>
        <v>1.2677227722772259E-4</v>
      </c>
      <c r="EQ18" s="10" cm="1">
        <f t="array" aca="1" ref="EQ18" ca="1">DS18-_xlfn.XLOOKUP(EQ$13,_xlfn.ANCHORARRAY( $CR$14), _xlfn.XLOOKUP($ED18,_xlfn.ANCHORARRAY( $CP$15), $CR$15:$CU$19)) * _xlfn.XLOOKUP(EQ$14,_xlfn.ANCHORARRAY( $CR$14), _xlfn.XLOOKUP($EE18,_xlfn.ANCHORARRAY( $CP$15), $CR$15:$CU$19))</f>
        <v>5.1029093618272667E-2</v>
      </c>
      <c r="ER18" s="10" cm="1">
        <f t="array" aca="1" ref="ER18" ca="1">DT18-_xlfn.XLOOKUP(ER$13,_xlfn.ANCHORARRAY( $CR$14), _xlfn.XLOOKUP($ED18,_xlfn.ANCHORARRAY( $CP$15), $CR$15:$CU$19)) * _xlfn.XLOOKUP(ER$14,_xlfn.ANCHORARRAY( $CR$14), _xlfn.XLOOKUP($EE18,_xlfn.ANCHORARRAY( $CP$15), $CR$15:$CU$19))</f>
        <v>-2.8504440348985392E-2</v>
      </c>
      <c r="ES18" s="10" cm="1">
        <f t="array" aca="1" ref="ES18" ca="1">DU18-_xlfn.XLOOKUP(ES$13,_xlfn.ANCHORARRAY( $CR$14), _xlfn.XLOOKUP($ED18,_xlfn.ANCHORARRAY( $CP$15), $CR$15:$CU$19)) * _xlfn.XLOOKUP(ES$14,_xlfn.ANCHORARRAY( $CR$14), _xlfn.XLOOKUP($EE18,_xlfn.ANCHORARRAY( $CP$15), $CR$15:$CU$19))</f>
        <v>-2.2778197823742768E-2</v>
      </c>
      <c r="ET18" s="10" cm="1">
        <f t="array" aca="1" ref="ET18" ca="1">DV18-_xlfn.XLOOKUP(ET$13,_xlfn.ANCHORARRAY( $CR$14), _xlfn.XLOOKUP($ED18,_xlfn.ANCHORARRAY( $CP$15), $CR$15:$CU$19)) * _xlfn.XLOOKUP(ET$14,_xlfn.ANCHORARRAY( $CR$14), _xlfn.XLOOKUP($EE18,_xlfn.ANCHORARRAY( $CP$15), $CR$15:$CU$19))</f>
        <v>1.2677227722772259E-4</v>
      </c>
      <c r="EU18" s="10" cm="1">
        <f t="array" aca="1" ref="EU18" ca="1">DW18-_xlfn.XLOOKUP(EU$13,_xlfn.ANCHORARRAY( $CR$14), _xlfn.XLOOKUP($ED18,_xlfn.ANCHORARRAY( $CP$15), $CR$15:$CU$19)) * _xlfn.XLOOKUP(EU$14,_xlfn.ANCHORARRAY( $CR$14), _xlfn.XLOOKUP($EE18,_xlfn.ANCHORARRAY( $CP$15), $CR$15:$CU$19))</f>
        <v>5.1029093618272667E-2</v>
      </c>
      <c r="EZ18" cm="1">
        <f t="array" aca="1" ref="EZ18" ca="1">INDEX(_xlfn.ANCHORARRAY($CP$15), 1 + INT((ROWS($DG$15:$DG18) - 1) / ROWS(_xlfn.ANCHORARRAY($CP$15))))</f>
        <v>0</v>
      </c>
      <c r="FA18" cm="1">
        <f t="array" aca="1" ref="FA18" ca="1">INDEX(_xlfn.ANCHORARRAY($CP$15),1+MOD(ROWS($DG$15:$DG18)-1,ROWS(_xlfn.ANCHORARRAY($CP$15))))</f>
        <v>3</v>
      </c>
      <c r="FB18" s="10" cm="1">
        <f t="array" aca="1" ref="FB18" ca="1">EF18 * _xlfn.XLOOKUP(FB$13,_xlfn.ANCHORARRAY( $CZ$29), _xlfn.XLOOKUP($EZ18,_xlfn.ANCHORARRAY( $CY$30), $CZ$30:$DC$34)) * _xlfn.XLOOKUP(FB$14,_xlfn.ANCHORARRAY( $CZ$29), _xlfn.XLOOKUP($FA18,_xlfn.ANCHORARRAY( $CY$30), $CZ$30:$DC$34))</f>
        <v>-4.0772295172873334E-2</v>
      </c>
      <c r="FC18" s="10" cm="1">
        <f t="array" aca="1" ref="FC18" ca="1">EG18 * _xlfn.XLOOKUP(FC$13,_xlfn.ANCHORARRAY( $CZ$29), _xlfn.XLOOKUP($EZ18,_xlfn.ANCHORARRAY( $CY$30), $CZ$30:$DC$34)) * _xlfn.XLOOKUP(FC$14,_xlfn.ANCHORARRAY( $CZ$29), _xlfn.XLOOKUP($FA18,_xlfn.ANCHORARRAY( $CY$30), $CZ$30:$DC$34))</f>
        <v>-4.8342462193379267E-2</v>
      </c>
      <c r="FD18" s="10" cm="1">
        <f t="array" aca="1" ref="FD18" ca="1">EH18 * _xlfn.XLOOKUP(FD$13,_xlfn.ANCHORARRAY( $CZ$29), _xlfn.XLOOKUP($EZ18,_xlfn.ANCHORARRAY( $CY$30), $CZ$30:$DC$34)) * _xlfn.XLOOKUP(FD$14,_xlfn.ANCHORARRAY( $CZ$29), _xlfn.XLOOKUP($FA18,_xlfn.ANCHORARRAY( $CY$30), $CZ$30:$DC$34))</f>
        <v>5.7471959119188374E-3</v>
      </c>
      <c r="FE18" s="10" cm="1">
        <f t="array" aca="1" ref="FE18" ca="1">EI18 * _xlfn.XLOOKUP(FE$13,_xlfn.ANCHORARRAY( $CZ$29), _xlfn.XLOOKUP($EZ18,_xlfn.ANCHORARRAY( $CY$30), $CZ$30:$DC$34)) * _xlfn.XLOOKUP(FE$14,_xlfn.ANCHORARRAY( $CZ$29), _xlfn.XLOOKUP($FA18,_xlfn.ANCHORARRAY( $CY$30), $CZ$30:$DC$34))</f>
        <v>-0.26313451287477069</v>
      </c>
      <c r="FF18" s="10" cm="1">
        <f t="array" aca="1" ref="FF18" ca="1">EJ18 * _xlfn.XLOOKUP(FF$13,_xlfn.ANCHORARRAY( $CZ$29), _xlfn.XLOOKUP($EZ18,_xlfn.ANCHORARRAY( $CY$30), $CZ$30:$DC$34)) * _xlfn.XLOOKUP(FF$14,_xlfn.ANCHORARRAY( $CZ$29), _xlfn.XLOOKUP($FA18,_xlfn.ANCHORARRAY( $CY$30), $CZ$30:$DC$34))</f>
        <v>-6.2466967179800933E-3</v>
      </c>
      <c r="FG18" s="10" cm="1">
        <f t="array" aca="1" ref="FG18" ca="1">EK18 * _xlfn.XLOOKUP(FG$13,_xlfn.ANCHORARRAY( $CZ$29), _xlfn.XLOOKUP($EZ18,_xlfn.ANCHORARRAY( $CY$30), $CZ$30:$DC$34)) * _xlfn.XLOOKUP(FG$14,_xlfn.ANCHORARRAY( $CZ$29), _xlfn.XLOOKUP($FA18,_xlfn.ANCHORARRAY( $CY$30), $CZ$30:$DC$34))</f>
        <v>-7.4319160362725277E-3</v>
      </c>
      <c r="FH18" s="10" cm="1">
        <f t="array" aca="1" ref="FH18" ca="1">EL18 * _xlfn.XLOOKUP(FH$13,_xlfn.ANCHORARRAY( $CZ$29), _xlfn.XLOOKUP($EZ18,_xlfn.ANCHORARRAY( $CY$30), $CZ$30:$DC$34)) * _xlfn.XLOOKUP(FH$14,_xlfn.ANCHORARRAY( $CZ$29), _xlfn.XLOOKUP($FA18,_xlfn.ANCHORARRAY( $CY$30), $CZ$30:$DC$34))</f>
        <v>2.163291944727391E-4</v>
      </c>
      <c r="FI18" s="10" cm="1">
        <f t="array" aca="1" ref="FI18" ca="1">EM18 * _xlfn.XLOOKUP(FI$13,_xlfn.ANCHORARRAY( $CZ$29), _xlfn.XLOOKUP($EZ18,_xlfn.ANCHORARRAY( $CY$30), $CZ$30:$DC$34)) * _xlfn.XLOOKUP(FI$14,_xlfn.ANCHORARRAY( $CZ$29), _xlfn.XLOOKUP($FA18,_xlfn.ANCHORARRAY( $CY$30), $CZ$30:$DC$34))</f>
        <v>-4.1002720398777795E-2</v>
      </c>
      <c r="FJ18" s="10" cm="1">
        <f t="array" aca="1" ref="FJ18" ca="1">EN18 * _xlfn.XLOOKUP(FJ$13,_xlfn.ANCHORARRAY( $CZ$29), _xlfn.XLOOKUP($EZ18,_xlfn.ANCHORARRAY( $CY$30), $CZ$30:$DC$34)) * _xlfn.XLOOKUP(FJ$14,_xlfn.ANCHORARRAY( $CZ$29), _xlfn.XLOOKUP($FA18,_xlfn.ANCHORARRAY( $CY$30), $CZ$30:$DC$34))</f>
        <v>-6.2466967179800933E-3</v>
      </c>
      <c r="FK18" s="10" cm="1">
        <f t="array" aca="1" ref="FK18" ca="1">EO18 * _xlfn.XLOOKUP(FK$13,_xlfn.ANCHORARRAY( $CZ$29), _xlfn.XLOOKUP($EZ18,_xlfn.ANCHORARRAY( $CY$30), $CZ$30:$DC$34)) * _xlfn.XLOOKUP(FK$14,_xlfn.ANCHORARRAY( $CZ$29), _xlfn.XLOOKUP($FA18,_xlfn.ANCHORARRAY( $CY$30), $CZ$30:$DC$34))</f>
        <v>-7.4319160362725277E-3</v>
      </c>
      <c r="FL18" s="10" cm="1">
        <f t="array" aca="1" ref="FL18" ca="1">EP18 * _xlfn.XLOOKUP(FL$13,_xlfn.ANCHORARRAY( $CZ$29), _xlfn.XLOOKUP($EZ18,_xlfn.ANCHORARRAY( $CY$30), $CZ$30:$DC$34)) * _xlfn.XLOOKUP(FL$14,_xlfn.ANCHORARRAY( $CZ$29), _xlfn.XLOOKUP($FA18,_xlfn.ANCHORARRAY( $CY$30), $CZ$30:$DC$34))</f>
        <v>2.163291944727391E-4</v>
      </c>
      <c r="FM18" s="10" cm="1">
        <f t="array" aca="1" ref="FM18" ca="1">EQ18 * _xlfn.XLOOKUP(FM$13,_xlfn.ANCHORARRAY( $CZ$29), _xlfn.XLOOKUP($EZ18,_xlfn.ANCHORARRAY( $CY$30), $CZ$30:$DC$34)) * _xlfn.XLOOKUP(FM$14,_xlfn.ANCHORARRAY( $CZ$29), _xlfn.XLOOKUP($FA18,_xlfn.ANCHORARRAY( $CY$30), $CZ$30:$DC$34))</f>
        <v>-4.1002720398777795E-2</v>
      </c>
      <c r="FN18" s="10" cm="1">
        <f t="array" aca="1" ref="FN18" ca="1">ER18 * _xlfn.XLOOKUP(FN$13,_xlfn.ANCHORARRAY( $CZ$29), _xlfn.XLOOKUP($EZ18,_xlfn.ANCHORARRAY( $CY$30), $CZ$30:$DC$34)) * _xlfn.XLOOKUP(FN$14,_xlfn.ANCHORARRAY( $CZ$29), _xlfn.XLOOKUP($FA18,_xlfn.ANCHORARRAY( $CY$30), $CZ$30:$DC$34))</f>
        <v>-6.2466967179800933E-3</v>
      </c>
      <c r="FO18" s="10" cm="1">
        <f t="array" aca="1" ref="FO18" ca="1">ES18 * _xlfn.XLOOKUP(FO$13,_xlfn.ANCHORARRAY( $CZ$29), _xlfn.XLOOKUP($EZ18,_xlfn.ANCHORARRAY( $CY$30), $CZ$30:$DC$34)) * _xlfn.XLOOKUP(FO$14,_xlfn.ANCHORARRAY( $CZ$29), _xlfn.XLOOKUP($FA18,_xlfn.ANCHORARRAY( $CY$30), $CZ$30:$DC$34))</f>
        <v>-7.4319160362725277E-3</v>
      </c>
      <c r="FP18" s="10" cm="1">
        <f t="array" aca="1" ref="FP18" ca="1">ET18 * _xlfn.XLOOKUP(FP$13,_xlfn.ANCHORARRAY( $CZ$29), _xlfn.XLOOKUP($EZ18,_xlfn.ANCHORARRAY( $CY$30), $CZ$30:$DC$34)) * _xlfn.XLOOKUP(FP$14,_xlfn.ANCHORARRAY( $CZ$29), _xlfn.XLOOKUP($FA18,_xlfn.ANCHORARRAY( $CY$30), $CZ$30:$DC$34))</f>
        <v>2.163291944727391E-4</v>
      </c>
      <c r="FQ18" s="10" cm="1">
        <f t="array" aca="1" ref="FQ18" ca="1">EU18 * _xlfn.XLOOKUP(FQ$13,_xlfn.ANCHORARRAY( $CZ$29), _xlfn.XLOOKUP($EZ18,_xlfn.ANCHORARRAY( $CY$30), $CZ$30:$DC$34)) * _xlfn.XLOOKUP(FQ$14,_xlfn.ANCHORARRAY( $CZ$29), _xlfn.XLOOKUP($FA18,_xlfn.ANCHORARRAY( $CY$30), $CZ$30:$DC$34))</f>
        <v>-4.1002720398777795E-2</v>
      </c>
      <c r="FT18" cm="1">
        <f t="array" aca="1" ref="FT18" ca="1">SQRT(SUM((FB18:FQ18)^2))</f>
        <v>0.28035468473722203</v>
      </c>
    </row>
    <row r="19" spans="1:176" x14ac:dyDescent="0.2">
      <c r="A19" t="s">
        <v>49</v>
      </c>
      <c r="B19">
        <v>5</v>
      </c>
      <c r="D19" s="10">
        <f ca="1"/>
        <v>4</v>
      </c>
      <c r="F19" s="10">
        <f ca="1"/>
        <v>0.25</v>
      </c>
      <c r="H19" s="10">
        <f ca="1"/>
        <v>4</v>
      </c>
      <c r="J19" cm="1">
        <f t="array" aca="1" ref="J19" ca="1">SUMPRODUCT((O19:AJ19=$O$11:$AJ$11)*(O$13:AJ$13=TRUE))  / COUNTIF(O$13:AJ$13,TRUE)</f>
        <v>0.6</v>
      </c>
      <c r="K19" t="b">
        <f t="shared" ca="1" si="3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4"/>
        <v>1</v>
      </c>
      <c r="N19" s="2">
        <v>4</v>
      </c>
      <c r="O19" s="12" t="s">
        <v>0</v>
      </c>
      <c r="P19" s="9" t="s">
        <v>3</v>
      </c>
      <c r="Q19" s="9" t="s">
        <v>3</v>
      </c>
      <c r="R19" s="9" t="s">
        <v>3</v>
      </c>
      <c r="S19" s="9" t="s">
        <v>3</v>
      </c>
      <c r="AK19" s="7"/>
      <c r="AN19">
        <f t="shared" ca="1" si="5"/>
        <v>4</v>
      </c>
      <c r="AO19" s="14">
        <f t="shared" ca="1" si="6"/>
        <v>0.25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0.6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0.4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0.4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0.4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0.8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0.8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0.8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0.6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0.6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0.4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0.4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0.4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0.4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0.4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0.4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0.2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0.2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0.4</v>
      </c>
      <c r="BN19">
        <f t="shared" ca="1" si="7"/>
        <v>4</v>
      </c>
      <c r="BO19" s="14">
        <f t="shared" ca="1" si="8"/>
        <v>0.25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0.6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0.4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0.4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0.4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0.8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0.8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0.8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0.6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0.6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0.4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0.4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0.4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0.4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0.4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0.4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0.2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0.2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0.2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0.4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6.0000000000000001E-3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6.0000000000000001E-3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0.10203960396039605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0.13405280528052804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0.75190759075907609</v>
      </c>
      <c r="CX19" s="10" cm="1">
        <f t="array" aca="1" ref="CX19" ca="1">SUM(OFFSET($CR19,0,0,1,$M$2)*LN(OFFSET($CR19,0,0,1,$M$2)/OFFSET($CR$11,0,0,1,$M$2)))+IF($CQ$11&gt;0,OFFSET($O$10,0,$CP19,1,1)*LN(OFFSET($O$10,0,$CP19,1,1)/$CQ$11),0)</f>
        <v>0.63060370099597862</v>
      </c>
      <c r="CY19">
        <f ca="1"/>
        <v>4</v>
      </c>
      <c r="CZ19" s="10">
        <f t="shared" ca="1" si="10"/>
        <v>0.2575958074336554</v>
      </c>
      <c r="DA19" s="10">
        <f t="shared" ca="1" si="9"/>
        <v>7.0242566736721135E-2</v>
      </c>
      <c r="DB19" s="10">
        <f t="shared" ca="1" si="9"/>
        <v>4.0935191667382381E-2</v>
      </c>
      <c r="DC19" s="10">
        <f t="shared" ca="1" si="9"/>
        <v>0.55350726990097898</v>
      </c>
      <c r="DF19" cm="1">
        <f t="array" aca="1" ref="DF19" ca="1">INDEX(_xlfn.ANCHORARRAY($CP$15), 1 + INT((ROWS($DG$15:$DG19) - 1) / ROWS(_xlfn.ANCHORARRAY($CP$15))))</f>
        <v>0</v>
      </c>
      <c r="DG19" cm="1">
        <f t="array" aca="1" ref="DG19" ca="1">INDEX(_xlfn.ANCHORARRAY($CP$15),1+MOD(ROWS($DG$15:$DG19)-1,ROWS(_xlfn.ANCHORARRAY($CP$15))))</f>
        <v>4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$B$18/($B$19*$B$19*($DF19&lt;&gt;$DG19) + $B$19*($DF19=$DG19))</f>
        <v>1.1999999999999999E-3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$B$18/($B$19*$B$19*($DF19&lt;&gt;$DG19) + $B$19*($DF19=$DG19))</f>
        <v>9.7239603960396048E-2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$B$18/($B$19*$B$19*($DF19&lt;&gt;$DG19) + $B$19*($DF19=$DG19))</f>
        <v>0.12925280528052804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$B$18/($B$19*$B$19*($DF19&lt;&gt;$DG19) + $B$19*($DF19=$DG19))</f>
        <v>0.2284937293729373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$B$18/($B$19*$B$19*($DF19&lt;&gt;$DG19) + $B$19*($DF19=$DG19))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$B$18/($B$19*$B$19*($DF19&lt;&gt;$DG19) + $B$19*($DF19=$DG19))</f>
        <v>1.1999999999999999E-3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$B$18/($B$19*$B$19*($DF19&lt;&gt;$DG19) + $B$19*($DF19=$DG19))</f>
        <v>1.1999999999999999E-3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$B$18/($B$19*$B$19*($DF19&lt;&gt;$DG19) + $B$19*($DF19=$DG19))</f>
        <v>0.17407128712871286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$B$18/($B$19*$B$19*($DF19&lt;&gt;$DG19) + $B$19*($DF19=$DG19))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$B$18/($B$19*$B$19*($DF19&lt;&gt;$DG19) + $B$19*($DF19=$DG19))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$B$18/($B$19*$B$19*($DF19&lt;&gt;$DG19) + $B$19*($DF19=$DG19))</f>
        <v>1.1999999999999999E-3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$B$18/($B$19*$B$19*($DF19&lt;&gt;$DG19) + $B$19*($DF19=$DG19))</f>
        <v>0.17407128712871286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$B$18/($B$19*$B$19*($DF19&lt;&gt;$DG19) + $B$19*($DF19=$DG19))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$B$18/($B$19*$B$19*($DF19&lt;&gt;$DG19) + $B$19*($DF19=$DG19))</f>
        <v>1.1999999999999999E-3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$B$18/($B$19*$B$19*($DF19&lt;&gt;$DG19) + $B$19*($DF19=$DG19))</f>
        <v>1.1999999999999999E-3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$B$18/($B$19*$B$19*($DF19&lt;&gt;$DG19) + $B$19*($DF19=$DG19))</f>
        <v>0.17407128712871286</v>
      </c>
      <c r="ED19" cm="1">
        <f t="array" aca="1" ref="ED19" ca="1">INDEX(_xlfn.ANCHORARRAY($CP$15), 1 + INT((ROWS($DG$15:$DG19) - 1) / ROWS(_xlfn.ANCHORARRAY($CP$15))))</f>
        <v>0</v>
      </c>
      <c r="EE19" cm="1">
        <f t="array" aca="1" ref="EE19" ca="1">INDEX(_xlfn.ANCHORARRAY($CP$15),1+MOD(ROWS($DG$15:$DG19)-1,ROWS(_xlfn.ANCHORARRAY($CP$15))))</f>
        <v>4</v>
      </c>
      <c r="EF19" s="10" cm="1">
        <f t="array" aca="1" ref="EF19" ca="1">DH19-_xlfn.XLOOKUP(EF$13,_xlfn.ANCHORARRAY( $CR$14), _xlfn.XLOOKUP($ED19,_xlfn.ANCHORARRAY( $CP$15), $CR$15:$CU$19)) * _xlfn.XLOOKUP(EF$14,_xlfn.ANCHORARRAY( $CR$14), _xlfn.XLOOKUP($EE19,_xlfn.ANCHORARRAY( $CP$15), $CR$15:$CU$19))</f>
        <v>-1.5443168316831687E-3</v>
      </c>
      <c r="EG19" s="10" cm="1">
        <f t="array" aca="1" ref="EG19" ca="1">DI19-_xlfn.XLOOKUP(EG$13,_xlfn.ANCHORARRAY( $CR$14), _xlfn.XLOOKUP($ED19,_xlfn.ANCHORARRAY( $CP$15), $CR$15:$CU$19)) * _xlfn.XLOOKUP(EG$14,_xlfn.ANCHORARRAY( $CR$14), _xlfn.XLOOKUP($EE19,_xlfn.ANCHORARRAY( $CP$15), $CR$15:$CU$19))</f>
        <v>5.0568103519262823E-2</v>
      </c>
      <c r="EH19" s="10" cm="1">
        <f t="array" aca="1" ref="EH19" ca="1">DJ19-_xlfn.XLOOKUP(EH$13,_xlfn.ANCHORARRAY( $CR$14), _xlfn.XLOOKUP($ED19,_xlfn.ANCHORARRAY( $CP$15), $CR$15:$CU$19)) * _xlfn.XLOOKUP(EH$14,_xlfn.ANCHORARRAY( $CR$14), _xlfn.XLOOKUP($EE19,_xlfn.ANCHORARRAY( $CP$15), $CR$15:$CU$19))</f>
        <v>6.7938910302911465E-2</v>
      </c>
      <c r="EI19" s="10" cm="1">
        <f t="array" aca="1" ref="EI19" ca="1">DK19-_xlfn.XLOOKUP(EI$13,_xlfn.ANCHORARRAY( $CR$14), _xlfn.XLOOKUP($ED19,_xlfn.ANCHORARRAY( $CP$15), $CR$15:$CU$19)) * _xlfn.XLOOKUP(EI$14,_xlfn.ANCHORARRAY( $CR$14), _xlfn.XLOOKUP($EE19,_xlfn.ANCHORARRAY( $CP$15), $CR$15:$CU$19))</f>
        <v>-0.11541838015880804</v>
      </c>
      <c r="EJ19" s="10" cm="1">
        <f t="array" aca="1" ref="EJ19" ca="1">DL19-_xlfn.XLOOKUP(EJ$13,_xlfn.ANCHORARRAY( $CR$14), _xlfn.XLOOKUP($ED19,_xlfn.ANCHORARRAY( $CP$15), $CR$15:$CU$19)) * _xlfn.XLOOKUP(EJ$14,_xlfn.ANCHORARRAY( $CR$14), _xlfn.XLOOKUP($EE19,_xlfn.ANCHORARRAY( $CP$15), $CR$15:$CU$19))</f>
        <v>1.2677227722772259E-4</v>
      </c>
      <c r="EK19" s="10" cm="1">
        <f t="array" aca="1" ref="EK19" ca="1">DM19-_xlfn.XLOOKUP(EK$13,_xlfn.ANCHORARRAY( $CR$14), _xlfn.XLOOKUP($ED19,_xlfn.ANCHORARRAY( $CP$15), $CR$15:$CU$19)) * _xlfn.XLOOKUP(EK$14,_xlfn.ANCHORARRAY( $CR$14), _xlfn.XLOOKUP($EE19,_xlfn.ANCHORARRAY( $CP$15), $CR$15:$CU$19))</f>
        <v>-1.7051955298500149E-2</v>
      </c>
      <c r="EL19" s="10" cm="1">
        <f t="array" aca="1" ref="EL19" ca="1">DN19-_xlfn.XLOOKUP(EL$13,_xlfn.ANCHORARRAY( $CR$14), _xlfn.XLOOKUP($ED19,_xlfn.ANCHORARRAY( $CP$15), $CR$15:$CU$19)) * _xlfn.XLOOKUP(EL$14,_xlfn.ANCHORARRAY( $CR$14), _xlfn.XLOOKUP($EE19,_xlfn.ANCHORARRAY( $CP$15), $CR$15:$CU$19))</f>
        <v>-2.2778197823742768E-2</v>
      </c>
      <c r="EM19" s="10" cm="1">
        <f t="array" aca="1" ref="EM19" ca="1">DO19-_xlfn.XLOOKUP(EM$13,_xlfn.ANCHORARRAY( $CR$14), _xlfn.XLOOKUP($ED19,_xlfn.ANCHORARRAY( $CP$15), $CR$15:$CU$19)) * _xlfn.XLOOKUP(EM$14,_xlfn.ANCHORARRAY( $CR$14), _xlfn.XLOOKUP($EE19,_xlfn.ANCHORARRAY( $CP$15), $CR$15:$CU$19))</f>
        <v>3.9576608567787441E-2</v>
      </c>
      <c r="EN19" s="10" cm="1">
        <f t="array" aca="1" ref="EN19" ca="1">DP19-_xlfn.XLOOKUP(EN$13,_xlfn.ANCHORARRAY( $CR$14), _xlfn.XLOOKUP($ED19,_xlfn.ANCHORARRAY( $CP$15), $CR$15:$CU$19)) * _xlfn.XLOOKUP(EN$14,_xlfn.ANCHORARRAY( $CR$14), _xlfn.XLOOKUP($EE19,_xlfn.ANCHORARRAY( $CP$15), $CR$15:$CU$19))</f>
        <v>1.2677227722772259E-4</v>
      </c>
      <c r="EO19" s="10" cm="1">
        <f t="array" aca="1" ref="EO19" ca="1">DQ19-_xlfn.XLOOKUP(EO$13,_xlfn.ANCHORARRAY( $CR$14), _xlfn.XLOOKUP($ED19,_xlfn.ANCHORARRAY( $CP$15), $CR$15:$CU$19)) * _xlfn.XLOOKUP(EO$14,_xlfn.ANCHORARRAY( $CR$14), _xlfn.XLOOKUP($EE19,_xlfn.ANCHORARRAY( $CP$15), $CR$15:$CU$19))</f>
        <v>-1.7051955298500149E-2</v>
      </c>
      <c r="EP19" s="10" cm="1">
        <f t="array" aca="1" ref="EP19" ca="1">DR19-_xlfn.XLOOKUP(EP$13,_xlfn.ANCHORARRAY( $CR$14), _xlfn.XLOOKUP($ED19,_xlfn.ANCHORARRAY( $CP$15), $CR$15:$CU$19)) * _xlfn.XLOOKUP(EP$14,_xlfn.ANCHORARRAY( $CR$14), _xlfn.XLOOKUP($EE19,_xlfn.ANCHORARRAY( $CP$15), $CR$15:$CU$19))</f>
        <v>-2.2778197823742768E-2</v>
      </c>
      <c r="EQ19" s="10" cm="1">
        <f t="array" aca="1" ref="EQ19" ca="1">DS19-_xlfn.XLOOKUP(EQ$13,_xlfn.ANCHORARRAY( $CR$14), _xlfn.XLOOKUP($ED19,_xlfn.ANCHORARRAY( $CP$15), $CR$15:$CU$19)) * _xlfn.XLOOKUP(EQ$14,_xlfn.ANCHORARRAY( $CR$14), _xlfn.XLOOKUP($EE19,_xlfn.ANCHORARRAY( $CP$15), $CR$15:$CU$19))</f>
        <v>3.9576608567787441E-2</v>
      </c>
      <c r="ER19" s="10" cm="1">
        <f t="array" aca="1" ref="ER19" ca="1">DT19-_xlfn.XLOOKUP(ER$13,_xlfn.ANCHORARRAY( $CR$14), _xlfn.XLOOKUP($ED19,_xlfn.ANCHORARRAY( $CP$15), $CR$15:$CU$19)) * _xlfn.XLOOKUP(ER$14,_xlfn.ANCHORARRAY( $CR$14), _xlfn.XLOOKUP($EE19,_xlfn.ANCHORARRAY( $CP$15), $CR$15:$CU$19))</f>
        <v>1.2677227722772259E-4</v>
      </c>
      <c r="ES19" s="10" cm="1">
        <f t="array" aca="1" ref="ES19" ca="1">DU19-_xlfn.XLOOKUP(ES$13,_xlfn.ANCHORARRAY( $CR$14), _xlfn.XLOOKUP($ED19,_xlfn.ANCHORARRAY( $CP$15), $CR$15:$CU$19)) * _xlfn.XLOOKUP(ES$14,_xlfn.ANCHORARRAY( $CR$14), _xlfn.XLOOKUP($EE19,_xlfn.ANCHORARRAY( $CP$15), $CR$15:$CU$19))</f>
        <v>-1.7051955298500149E-2</v>
      </c>
      <c r="ET19" s="10" cm="1">
        <f t="array" aca="1" ref="ET19" ca="1">DV19-_xlfn.XLOOKUP(ET$13,_xlfn.ANCHORARRAY( $CR$14), _xlfn.XLOOKUP($ED19,_xlfn.ANCHORARRAY( $CP$15), $CR$15:$CU$19)) * _xlfn.XLOOKUP(ET$14,_xlfn.ANCHORARRAY( $CR$14), _xlfn.XLOOKUP($EE19,_xlfn.ANCHORARRAY( $CP$15), $CR$15:$CU$19))</f>
        <v>-2.2778197823742768E-2</v>
      </c>
      <c r="EU19" s="10" cm="1">
        <f t="array" aca="1" ref="EU19" ca="1">DW19-_xlfn.XLOOKUP(EU$13,_xlfn.ANCHORARRAY( $CR$14), _xlfn.XLOOKUP($ED19,_xlfn.ANCHORARRAY( $CP$15), $CR$15:$CU$19)) * _xlfn.XLOOKUP(EU$14,_xlfn.ANCHORARRAY( $CR$14), _xlfn.XLOOKUP($EE19,_xlfn.ANCHORARRAY( $CP$15), $CR$15:$CU$19))</f>
        <v>3.9576608567787441E-2</v>
      </c>
      <c r="EZ19" cm="1">
        <f t="array" aca="1" ref="EZ19" ca="1">INDEX(_xlfn.ANCHORARRAY($CP$15), 1 + INT((ROWS($DG$15:$DG19) - 1) / ROWS(_xlfn.ANCHORARRAY($CP$15))))</f>
        <v>0</v>
      </c>
      <c r="FA19" cm="1">
        <f t="array" aca="1" ref="FA19" ca="1">INDEX(_xlfn.ANCHORARRAY($CP$15),1+MOD(ROWS($DG$15:$DG19)-1,ROWS(_xlfn.ANCHORARRAY($CP$15))))</f>
        <v>4</v>
      </c>
      <c r="FB19" s="10" cm="1">
        <f t="array" aca="1" ref="FB19" ca="1">EF19 * _xlfn.XLOOKUP(FB$13,_xlfn.ANCHORARRAY( $CZ$29), _xlfn.XLOOKUP($EZ19,_xlfn.ANCHORARRAY( $CY$30), $CZ$30:$DC$34)) * _xlfn.XLOOKUP(FB$14,_xlfn.ANCHORARRAY( $CZ$29), _xlfn.XLOOKUP($FA19,_xlfn.ANCHORARRAY( $CY$30), $CZ$30:$DC$34))</f>
        <v>5.7471959119188374E-3</v>
      </c>
      <c r="FC19" s="10" cm="1">
        <f t="array" aca="1" ref="FC19" ca="1">EG19 * _xlfn.XLOOKUP(FC$13,_xlfn.ANCHORARRAY( $CZ$29), _xlfn.XLOOKUP($EZ19,_xlfn.ANCHORARRAY( $CY$30), $CZ$30:$DC$34)) * _xlfn.XLOOKUP(FC$14,_xlfn.ANCHORARRAY( $CZ$29), _xlfn.XLOOKUP($FA19,_xlfn.ANCHORARRAY( $CY$30), $CZ$30:$DC$34))</f>
        <v>-5.0486808628784345E-2</v>
      </c>
      <c r="FD19" s="10" cm="1">
        <f t="array" aca="1" ref="FD19" ca="1">EH19 * _xlfn.XLOOKUP(FD$13,_xlfn.ANCHORARRAY( $CZ$29), _xlfn.XLOOKUP($EZ19,_xlfn.ANCHORARRAY( $CY$30), $CZ$30:$DC$34)) * _xlfn.XLOOKUP(FD$14,_xlfn.ANCHORARRAY( $CZ$29), _xlfn.XLOOKUP($FA19,_xlfn.ANCHORARRAY( $CY$30), $CZ$30:$DC$34))</f>
        <v>-4.8342462193379267E-2</v>
      </c>
      <c r="FE19" s="10" cm="1">
        <f t="array" aca="1" ref="FE19" ca="1">EI19 * _xlfn.XLOOKUP(FE$13,_xlfn.ANCHORARRAY( $CZ$29), _xlfn.XLOOKUP($EZ19,_xlfn.ANCHORARRAY( $CY$30), $CZ$30:$DC$34)) * _xlfn.XLOOKUP(FE$14,_xlfn.ANCHORARRAY( $CZ$29), _xlfn.XLOOKUP($FA19,_xlfn.ANCHORARRAY( $CY$30), $CZ$30:$DC$34))</f>
        <v>-0.23636773093366664</v>
      </c>
      <c r="FF19" s="10" cm="1">
        <f t="array" aca="1" ref="FF19" ca="1">EJ19 * _xlfn.XLOOKUP(FF$13,_xlfn.ANCHORARRAY( $CZ$29), _xlfn.XLOOKUP($EZ19,_xlfn.ANCHORARRAY( $CY$30), $CZ$30:$DC$34)) * _xlfn.XLOOKUP(FF$14,_xlfn.ANCHORARRAY( $CZ$29), _xlfn.XLOOKUP($FA19,_xlfn.ANCHORARRAY( $CY$30), $CZ$30:$DC$34))</f>
        <v>2.163291944727391E-4</v>
      </c>
      <c r="FG19" s="10" cm="1">
        <f t="array" aca="1" ref="FG19" ca="1">EK19 * _xlfn.XLOOKUP(FG$13,_xlfn.ANCHORARRAY( $CZ$29), _xlfn.XLOOKUP($EZ19,_xlfn.ANCHORARRAY( $CY$30), $CZ$30:$DC$34)) * _xlfn.XLOOKUP(FG$14,_xlfn.ANCHORARRAY( $CZ$29), _xlfn.XLOOKUP($FA19,_xlfn.ANCHORARRAY( $CY$30), $CZ$30:$DC$34))</f>
        <v>-7.8063259778479548E-3</v>
      </c>
      <c r="FH19" s="10" cm="1">
        <f t="array" aca="1" ref="FH19" ca="1">EL19 * _xlfn.XLOOKUP(FH$13,_xlfn.ANCHORARRAY( $CZ$29), _xlfn.XLOOKUP($EZ19,_xlfn.ANCHORARRAY( $CY$30), $CZ$30:$DC$34)) * _xlfn.XLOOKUP(FH$14,_xlfn.ANCHORARRAY( $CZ$29), _xlfn.XLOOKUP($FA19,_xlfn.ANCHORARRAY( $CY$30), $CZ$30:$DC$34))</f>
        <v>-7.4319160362725277E-3</v>
      </c>
      <c r="FI19" s="10" cm="1">
        <f t="array" aca="1" ref="FI19" ca="1">EM19 * _xlfn.XLOOKUP(FI$13,_xlfn.ANCHORARRAY( $CZ$29), _xlfn.XLOOKUP($EZ19,_xlfn.ANCHORARRAY( $CY$30), $CZ$30:$DC$34)) * _xlfn.XLOOKUP(FI$14,_xlfn.ANCHORARRAY( $CZ$29), _xlfn.XLOOKUP($FA19,_xlfn.ANCHORARRAY( $CY$30), $CZ$30:$DC$34))</f>
        <v>-3.7164049628332002E-2</v>
      </c>
      <c r="FJ19" s="10" cm="1">
        <f t="array" aca="1" ref="FJ19" ca="1">EN19 * _xlfn.XLOOKUP(FJ$13,_xlfn.ANCHORARRAY( $CZ$29), _xlfn.XLOOKUP($EZ19,_xlfn.ANCHORARRAY( $CY$30), $CZ$30:$DC$34)) * _xlfn.XLOOKUP(FJ$14,_xlfn.ANCHORARRAY( $CZ$29), _xlfn.XLOOKUP($FA19,_xlfn.ANCHORARRAY( $CY$30), $CZ$30:$DC$34))</f>
        <v>2.163291944727391E-4</v>
      </c>
      <c r="FK19" s="10" cm="1">
        <f t="array" aca="1" ref="FK19" ca="1">EO19 * _xlfn.XLOOKUP(FK$13,_xlfn.ANCHORARRAY( $CZ$29), _xlfn.XLOOKUP($EZ19,_xlfn.ANCHORARRAY( $CY$30), $CZ$30:$DC$34)) * _xlfn.XLOOKUP(FK$14,_xlfn.ANCHORARRAY( $CZ$29), _xlfn.XLOOKUP($FA19,_xlfn.ANCHORARRAY( $CY$30), $CZ$30:$DC$34))</f>
        <v>-7.8063259778479548E-3</v>
      </c>
      <c r="FL19" s="10" cm="1">
        <f t="array" aca="1" ref="FL19" ca="1">EP19 * _xlfn.XLOOKUP(FL$13,_xlfn.ANCHORARRAY( $CZ$29), _xlfn.XLOOKUP($EZ19,_xlfn.ANCHORARRAY( $CY$30), $CZ$30:$DC$34)) * _xlfn.XLOOKUP(FL$14,_xlfn.ANCHORARRAY( $CZ$29), _xlfn.XLOOKUP($FA19,_xlfn.ANCHORARRAY( $CY$30), $CZ$30:$DC$34))</f>
        <v>-7.4319160362725277E-3</v>
      </c>
      <c r="FM19" s="10" cm="1">
        <f t="array" aca="1" ref="FM19" ca="1">EQ19 * _xlfn.XLOOKUP(FM$13,_xlfn.ANCHORARRAY( $CZ$29), _xlfn.XLOOKUP($EZ19,_xlfn.ANCHORARRAY( $CY$30), $CZ$30:$DC$34)) * _xlfn.XLOOKUP(FM$14,_xlfn.ANCHORARRAY( $CZ$29), _xlfn.XLOOKUP($FA19,_xlfn.ANCHORARRAY( $CY$30), $CZ$30:$DC$34))</f>
        <v>-3.7164049628332002E-2</v>
      </c>
      <c r="FN19" s="10" cm="1">
        <f t="array" aca="1" ref="FN19" ca="1">ER19 * _xlfn.XLOOKUP(FN$13,_xlfn.ANCHORARRAY( $CZ$29), _xlfn.XLOOKUP($EZ19,_xlfn.ANCHORARRAY( $CY$30), $CZ$30:$DC$34)) * _xlfn.XLOOKUP(FN$14,_xlfn.ANCHORARRAY( $CZ$29), _xlfn.XLOOKUP($FA19,_xlfn.ANCHORARRAY( $CY$30), $CZ$30:$DC$34))</f>
        <v>2.163291944727391E-4</v>
      </c>
      <c r="FO19" s="10" cm="1">
        <f t="array" aca="1" ref="FO19" ca="1">ES19 * _xlfn.XLOOKUP(FO$13,_xlfn.ANCHORARRAY( $CZ$29), _xlfn.XLOOKUP($EZ19,_xlfn.ANCHORARRAY( $CY$30), $CZ$30:$DC$34)) * _xlfn.XLOOKUP(FO$14,_xlfn.ANCHORARRAY( $CZ$29), _xlfn.XLOOKUP($FA19,_xlfn.ANCHORARRAY( $CY$30), $CZ$30:$DC$34))</f>
        <v>-7.8063259778479548E-3</v>
      </c>
      <c r="FP19" s="10" cm="1">
        <f t="array" aca="1" ref="FP19" ca="1">ET19 * _xlfn.XLOOKUP(FP$13,_xlfn.ANCHORARRAY( $CZ$29), _xlfn.XLOOKUP($EZ19,_xlfn.ANCHORARRAY( $CY$30), $CZ$30:$DC$34)) * _xlfn.XLOOKUP(FP$14,_xlfn.ANCHORARRAY( $CZ$29), _xlfn.XLOOKUP($FA19,_xlfn.ANCHORARRAY( $CY$30), $CZ$30:$DC$34))</f>
        <v>-7.4319160362725277E-3</v>
      </c>
      <c r="FQ19" s="10" cm="1">
        <f t="array" aca="1" ref="FQ19" ca="1">EU19 * _xlfn.XLOOKUP(FQ$13,_xlfn.ANCHORARRAY( $CZ$29), _xlfn.XLOOKUP($EZ19,_xlfn.ANCHORARRAY( $CY$30), $CZ$30:$DC$34)) * _xlfn.XLOOKUP(FQ$14,_xlfn.ANCHORARRAY( $CZ$29), _xlfn.XLOOKUP($FA19,_xlfn.ANCHORARRAY( $CY$30), $CZ$30:$DC$34))</f>
        <v>-3.7164049628332002E-2</v>
      </c>
      <c r="FT19" cm="1">
        <f t="array" aca="1" ref="FT19" ca="1">SQRT(SUM((FB19:FQ19)^2))</f>
        <v>0.25550108108780756</v>
      </c>
    </row>
    <row r="20" spans="1:176" x14ac:dyDescent="0.2">
      <c r="D20" s="10">
        <f ca="1"/>
        <v>5</v>
      </c>
      <c r="F20" s="10">
        <f ca="1"/>
        <v>0.25</v>
      </c>
      <c r="H20" s="10"/>
      <c r="J20" cm="1">
        <f t="array" aca="1" ref="J20" ca="1">SUMPRODUCT((O20:AJ20=$O$11:$AJ$11)*(O$13:AJ$13=TRUE))  / COUNTIF(O$13:AJ$13,TRUE)</f>
        <v>0.4</v>
      </c>
      <c r="K20" t="b">
        <f t="shared" ca="1" si="3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4"/>
        <v>1</v>
      </c>
      <c r="N20" s="2">
        <v>5</v>
      </c>
      <c r="O20" s="12" t="s">
        <v>1</v>
      </c>
      <c r="P20" s="9" t="s">
        <v>3</v>
      </c>
      <c r="Q20" s="9" t="s">
        <v>3</v>
      </c>
      <c r="R20" s="9" t="s">
        <v>3</v>
      </c>
      <c r="S20" s="9" t="s">
        <v>3</v>
      </c>
      <c r="AK20" s="7"/>
      <c r="AN20">
        <f t="shared" ca="1" si="5"/>
        <v>4</v>
      </c>
      <c r="AO20" s="14">
        <f t="shared" ca="1" si="6"/>
        <v>0.25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0.4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0.6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0.4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0.8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0.8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0.8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0.4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0.6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0.6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0.4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0.4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0.2</v>
      </c>
      <c r="BN20">
        <f t="shared" ca="1" si="7"/>
        <v>4</v>
      </c>
      <c r="BO20" s="14">
        <f t="shared" ca="1" si="8"/>
        <v>0.25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0.4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0.6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0.4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0.4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0.8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0.8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0.8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0.4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0.4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0.6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0.6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0.4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0.4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0.4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0.4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0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0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0.2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0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$B$18/($B$19*$B$19*($DF20&lt;&gt;$DG20) + $B$19*($DF20=$DG20))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$B$18/($B$19*$B$19*($DF20&lt;&gt;$DG20) + $B$19*($DF20=$DG20))</f>
        <v>1.1999999999999999E-3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$B$18/($B$19*$B$19*($DF20&lt;&gt;$DG20) + $B$19*($DF20=$DG20))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$B$18/($B$19*$B$19*($DF20&lt;&gt;$DG20) + $B$19*($DF20=$DG20))</f>
        <v>1.1999999999999999E-3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$B$18/($B$19*$B$19*($DF20&lt;&gt;$DG20) + $B$19*($DF20=$DG20))</f>
        <v>0.32773465346534647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$B$18/($B$19*$B$19*($DF20&lt;&gt;$DG20) + $B$19*($DF20=$DG20))</f>
        <v>4.921980198019802E-2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$B$18/($B$19*$B$19*($DF20&lt;&gt;$DG20) + $B$19*($DF20=$DG20))</f>
        <v>4.921980198019802E-2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$B$18/($B$19*$B$19*($DF20&lt;&gt;$DG20) + $B$19*($DF20=$DG20))</f>
        <v>4.921980198019802E-2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$B$18/($B$19*$B$19*($DF20&lt;&gt;$DG20) + $B$19*($DF20=$DG20))</f>
        <v>7.8031683168316837E-2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$B$18/($B$19*$B$19*($DF20&lt;&gt;$DG20) + $B$19*($DF20=$DG20))</f>
        <v>7.8031683168316837E-2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$B$18/($B$19*$B$19*($DF20&lt;&gt;$DG20) + $B$19*($DF20=$DG20))</f>
        <v>7.8031683168316837E-2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$B$18/($B$19*$B$19*($DF20&lt;&gt;$DG20) + $B$19*($DF20=$DG20))</f>
        <v>7.8031683168316837E-2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$B$18/($B$19*$B$19*($DF20&lt;&gt;$DG20) + $B$19*($DF20=$DG20))</f>
        <v>4.921980198019802E-2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$B$18/($B$19*$B$19*($DF20&lt;&gt;$DG20) + $B$19*($DF20=$DG20))</f>
        <v>4.921980198019802E-2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$B$18/($B$19*$B$19*($DF20&lt;&gt;$DG20) + $B$19*($DF20=$DG20))</f>
        <v>4.921980198019802E-2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$B$18/($B$19*$B$19*($DF20&lt;&gt;$DG20) + $B$19*($DF20=$DG20))</f>
        <v>4.921980198019802E-2</v>
      </c>
      <c r="ED20" cm="1">
        <f t="array" aca="1" ref="ED20" ca="1">INDEX(_xlfn.ANCHORARRAY($CP$15), 1 + INT((ROWS($DG$15:$DG20) - 1) / ROWS(_xlfn.ANCHORARRAY($CP$15))))</f>
        <v>1</v>
      </c>
      <c r="EE20" cm="1">
        <f t="array" aca="1" ref="EE20" ca="1">INDEX(_xlfn.ANCHORARRAY($CP$15),1+MOD(ROWS($DG$15:$DG20)-1,ROWS(_xlfn.ANCHORARRAY($CP$15))))</f>
        <v>0</v>
      </c>
      <c r="EF20" s="10" cm="1">
        <f t="array" aca="1" ref="EF20" ca="1">DH20-_xlfn.XLOOKUP(EF$13,_xlfn.ANCHORARRAY( $CR$14), _xlfn.XLOOKUP($ED20,_xlfn.ANCHORARRAY( $CP$15), $CR$15:$CU$19)) * _xlfn.XLOOKUP(EF$14,_xlfn.ANCHORARRAY( $CR$14), _xlfn.XLOOKUP($EE20,_xlfn.ANCHORARRAY( $CP$15), $CR$15:$CU$19))</f>
        <v>-1.5443168316831687E-3</v>
      </c>
      <c r="EG20" s="10" cm="1">
        <f t="array" aca="1" ref="EG20" ca="1">DI20-_xlfn.XLOOKUP(EG$13,_xlfn.ANCHORARRAY( $CR$14), _xlfn.XLOOKUP($ED20,_xlfn.ANCHORARRAY( $CP$15), $CR$15:$CU$19)) * _xlfn.XLOOKUP(EG$14,_xlfn.ANCHORARRAY( $CR$14), _xlfn.XLOOKUP($EE20,_xlfn.ANCHORARRAY( $CP$15), $CR$15:$CU$19))</f>
        <v>1.2677227722772259E-4</v>
      </c>
      <c r="EH20" s="10" cm="1">
        <f t="array" aca="1" ref="EH20" ca="1">DJ20-_xlfn.XLOOKUP(EH$13,_xlfn.ANCHORARRAY( $CR$14), _xlfn.XLOOKUP($ED20,_xlfn.ANCHORARRAY( $CP$15), $CR$15:$CU$19)) * _xlfn.XLOOKUP(EH$14,_xlfn.ANCHORARRAY( $CR$14), _xlfn.XLOOKUP($EE20,_xlfn.ANCHORARRAY( $CP$15), $CR$15:$CU$19))</f>
        <v>1.2677227722772259E-4</v>
      </c>
      <c r="EI20" s="10" cm="1">
        <f t="array" aca="1" ref="EI20" ca="1">DK20-_xlfn.XLOOKUP(EI$13,_xlfn.ANCHORARRAY( $CR$14), _xlfn.XLOOKUP($ED20,_xlfn.ANCHORARRAY( $CP$15), $CR$15:$CU$19)) * _xlfn.XLOOKUP(EI$14,_xlfn.ANCHORARRAY( $CR$14), _xlfn.XLOOKUP($EE20,_xlfn.ANCHORARRAY( $CP$15), $CR$15:$CU$19))</f>
        <v>1.2677227722772259E-4</v>
      </c>
      <c r="EJ20" s="10" cm="1">
        <f t="array" aca="1" ref="EJ20" ca="1">DL20-_xlfn.XLOOKUP(EJ$13,_xlfn.ANCHORARRAY( $CR$14), _xlfn.XLOOKUP($ED20,_xlfn.ANCHORARRAY( $CP$15), $CR$15:$CU$19)) * _xlfn.XLOOKUP(EJ$14,_xlfn.ANCHORARRAY( $CR$14), _xlfn.XLOOKUP($EE20,_xlfn.ANCHORARRAY( $CP$15), $CR$15:$CU$19))</f>
        <v>0.10974713694735802</v>
      </c>
      <c r="EK20" s="10" cm="1">
        <f t="array" aca="1" ref="EK20" ca="1">DM20-_xlfn.XLOOKUP(EK$13,_xlfn.ANCHORARRAY( $CR$14), _xlfn.XLOOKUP($ED20,_xlfn.ANCHORARRAY( $CP$15), $CR$15:$CU$19)) * _xlfn.XLOOKUP(EK$14,_xlfn.ANCHORARRAY( $CR$14), _xlfn.XLOOKUP($EE20,_xlfn.ANCHORARRAY( $CP$15), $CR$15:$CU$19))</f>
        <v>-3.6029190863640821E-2</v>
      </c>
      <c r="EL20" s="10" cm="1">
        <f t="array" aca="1" ref="EL20" ca="1">DN20-_xlfn.XLOOKUP(EL$13,_xlfn.ANCHORARRAY( $CR$14), _xlfn.XLOOKUP($ED20,_xlfn.ANCHORARRAY( $CP$15), $CR$15:$CU$19)) * _xlfn.XLOOKUP(EL$14,_xlfn.ANCHORARRAY( $CR$14), _xlfn.XLOOKUP($EE20,_xlfn.ANCHORARRAY( $CP$15), $CR$15:$CU$19))</f>
        <v>-3.6029190863640821E-2</v>
      </c>
      <c r="EM20" s="10" cm="1">
        <f t="array" aca="1" ref="EM20" ca="1">DO20-_xlfn.XLOOKUP(EM$13,_xlfn.ANCHORARRAY( $CR$14), _xlfn.XLOOKUP($ED20,_xlfn.ANCHORARRAY( $CP$15), $CR$15:$CU$19)) * _xlfn.XLOOKUP(EM$14,_xlfn.ANCHORARRAY( $CR$14), _xlfn.XLOOKUP($EE20,_xlfn.ANCHORARRAY( $CP$15), $CR$15:$CU$19))</f>
        <v>-3.6029190863640821E-2</v>
      </c>
      <c r="EN20" s="10" cm="1">
        <f t="array" aca="1" ref="EN20" ca="1">DP20-_xlfn.XLOOKUP(EN$13,_xlfn.ANCHORARRAY( $CR$14), _xlfn.XLOOKUP($ED20,_xlfn.ANCHORARRAY( $CP$15), $CR$15:$CU$19)) * _xlfn.XLOOKUP(EN$14,_xlfn.ANCHORARRAY( $CR$14), _xlfn.XLOOKUP($EE20,_xlfn.ANCHORARRAY( $CP$15), $CR$15:$CU$19))</f>
        <v>-6.5279621213606517E-2</v>
      </c>
      <c r="EO20" s="10" cm="1">
        <f t="array" aca="1" ref="EO20" ca="1">DQ20-_xlfn.XLOOKUP(EO$13,_xlfn.ANCHORARRAY( $CR$14), _xlfn.XLOOKUP($ED20,_xlfn.ANCHORARRAY( $CP$15), $CR$15:$CU$19)) * _xlfn.XLOOKUP(EO$14,_xlfn.ANCHORARRAY( $CR$14), _xlfn.XLOOKUP($EE20,_xlfn.ANCHORARRAY( $CP$15), $CR$15:$CU$19))</f>
        <v>2.1986527203215381E-2</v>
      </c>
      <c r="EP20" s="10" cm="1">
        <f t="array" aca="1" ref="EP20" ca="1">DR20-_xlfn.XLOOKUP(EP$13,_xlfn.ANCHORARRAY( $CR$14), _xlfn.XLOOKUP($ED20,_xlfn.ANCHORARRAY( $CP$15), $CR$15:$CU$19)) * _xlfn.XLOOKUP(EP$14,_xlfn.ANCHORARRAY( $CR$14), _xlfn.XLOOKUP($EE20,_xlfn.ANCHORARRAY( $CP$15), $CR$15:$CU$19))</f>
        <v>2.1986527203215381E-2</v>
      </c>
      <c r="EQ20" s="10" cm="1">
        <f t="array" aca="1" ref="EQ20" ca="1">DS20-_xlfn.XLOOKUP(EQ$13,_xlfn.ANCHORARRAY( $CR$14), _xlfn.XLOOKUP($ED20,_xlfn.ANCHORARRAY( $CP$15), $CR$15:$CU$19)) * _xlfn.XLOOKUP(EQ$14,_xlfn.ANCHORARRAY( $CR$14), _xlfn.XLOOKUP($EE20,_xlfn.ANCHORARRAY( $CP$15), $CR$15:$CU$19))</f>
        <v>2.1986527203215381E-2</v>
      </c>
      <c r="ER20" s="10" cm="1">
        <f t="array" aca="1" ref="ER20" ca="1">DT20-_xlfn.XLOOKUP(ER$13,_xlfn.ANCHORARRAY( $CR$14), _xlfn.XLOOKUP($ED20,_xlfn.ANCHORARRAY( $CP$15), $CR$15:$CU$19)) * _xlfn.XLOOKUP(ER$14,_xlfn.ANCHORARRAY( $CR$14), _xlfn.XLOOKUP($EE20,_xlfn.ANCHORARRAY( $CP$15), $CR$15:$CU$19))</f>
        <v>-4.1378882070385266E-2</v>
      </c>
      <c r="ES20" s="10" cm="1">
        <f t="array" aca="1" ref="ES20" ca="1">DU20-_xlfn.XLOOKUP(ES$13,_xlfn.ANCHORARRAY( $CR$14), _xlfn.XLOOKUP($ED20,_xlfn.ANCHORARRAY( $CP$15), $CR$15:$CU$19)) * _xlfn.XLOOKUP(ES$14,_xlfn.ANCHORARRAY( $CR$14), _xlfn.XLOOKUP($EE20,_xlfn.ANCHORARRAY( $CP$15), $CR$15:$CU$19))</f>
        <v>1.3789119105970006E-2</v>
      </c>
      <c r="ET20" s="10" cm="1">
        <f t="array" aca="1" ref="ET20" ca="1">DV20-_xlfn.XLOOKUP(ET$13,_xlfn.ANCHORARRAY( $CR$14), _xlfn.XLOOKUP($ED20,_xlfn.ANCHORARRAY( $CP$15), $CR$15:$CU$19)) * _xlfn.XLOOKUP(ET$14,_xlfn.ANCHORARRAY( $CR$14), _xlfn.XLOOKUP($EE20,_xlfn.ANCHORARRAY( $CP$15), $CR$15:$CU$19))</f>
        <v>1.3789119105970006E-2</v>
      </c>
      <c r="EU20" s="10" cm="1">
        <f t="array" aca="1" ref="EU20" ca="1">DW20-_xlfn.XLOOKUP(EU$13,_xlfn.ANCHORARRAY( $CR$14), _xlfn.XLOOKUP($ED20,_xlfn.ANCHORARRAY( $CP$15), $CR$15:$CU$19)) * _xlfn.XLOOKUP(EU$14,_xlfn.ANCHORARRAY( $CR$14), _xlfn.XLOOKUP($EE20,_xlfn.ANCHORARRAY( $CP$15), $CR$15:$CU$19))</f>
        <v>1.3789119105970006E-2</v>
      </c>
      <c r="EZ20" cm="1">
        <f t="array" aca="1" ref="EZ20" ca="1">INDEX(_xlfn.ANCHORARRAY($CP$15), 1 + INT((ROWS($DG$15:$DG20) - 1) / ROWS(_xlfn.ANCHORARRAY($CP$15))))</f>
        <v>1</v>
      </c>
      <c r="FA20" cm="1">
        <f t="array" aca="1" ref="FA20" ca="1">INDEX(_xlfn.ANCHORARRAY($CP$15),1+MOD(ROWS($DG$15:$DG20)-1,ROWS(_xlfn.ANCHORARRAY($CP$15))))</f>
        <v>0</v>
      </c>
      <c r="FB20" s="10" cm="1">
        <f t="array" aca="1" ref="FB20" ca="1">EF20 * _xlfn.XLOOKUP(FB$13,_xlfn.ANCHORARRAY( $CZ$29), _xlfn.XLOOKUP($EZ20,_xlfn.ANCHORARRAY( $CY$30), $CZ$30:$DC$34)) * _xlfn.XLOOKUP(FB$14,_xlfn.ANCHORARRAY( $CZ$29), _xlfn.XLOOKUP($FA20,_xlfn.ANCHORARRAY( $CY$30), $CZ$30:$DC$34))</f>
        <v>5.7471959119188374E-3</v>
      </c>
      <c r="FC20" s="10" cm="1">
        <f t="array" aca="1" ref="FC20" ca="1">EG20 * _xlfn.XLOOKUP(FC$13,_xlfn.ANCHORARRAY( $CZ$29), _xlfn.XLOOKUP($EZ20,_xlfn.ANCHORARRAY( $CY$30), $CZ$30:$DC$34)) * _xlfn.XLOOKUP(FC$14,_xlfn.ANCHORARRAY( $CZ$29), _xlfn.XLOOKUP($FA20,_xlfn.ANCHORARRAY( $CY$30), $CZ$30:$DC$34))</f>
        <v>2.163291944727391E-4</v>
      </c>
      <c r="FD20" s="10" cm="1">
        <f t="array" aca="1" ref="FD20" ca="1">EH20 * _xlfn.XLOOKUP(FD$13,_xlfn.ANCHORARRAY( $CZ$29), _xlfn.XLOOKUP($EZ20,_xlfn.ANCHORARRAY( $CY$30), $CZ$30:$DC$34)) * _xlfn.XLOOKUP(FD$14,_xlfn.ANCHORARRAY( $CZ$29), _xlfn.XLOOKUP($FA20,_xlfn.ANCHORARRAY( $CY$30), $CZ$30:$DC$34))</f>
        <v>2.163291944727391E-4</v>
      </c>
      <c r="FE20" s="10" cm="1">
        <f t="array" aca="1" ref="FE20" ca="1">EI20 * _xlfn.XLOOKUP(FE$13,_xlfn.ANCHORARRAY( $CZ$29), _xlfn.XLOOKUP($EZ20,_xlfn.ANCHORARRAY( $CY$30), $CZ$30:$DC$34)) * _xlfn.XLOOKUP(FE$14,_xlfn.ANCHORARRAY( $CZ$29), _xlfn.XLOOKUP($FA20,_xlfn.ANCHORARRAY( $CY$30), $CZ$30:$DC$34))</f>
        <v>2.163291944727391E-4</v>
      </c>
      <c r="FF20" s="10" cm="1">
        <f t="array" aca="1" ref="FF20" ca="1">EJ20 * _xlfn.XLOOKUP(FF$13,_xlfn.ANCHORARRAY( $CZ$29), _xlfn.XLOOKUP($EZ20,_xlfn.ANCHORARRAY( $CY$30), $CZ$30:$DC$34)) * _xlfn.XLOOKUP(FF$14,_xlfn.ANCHORARRAY( $CZ$29), _xlfn.XLOOKUP($FA20,_xlfn.ANCHORARRAY( $CY$30), $CZ$30:$DC$34))</f>
        <v>0.10231800823628442</v>
      </c>
      <c r="FG20" s="10" cm="1">
        <f t="array" aca="1" ref="FG20" ca="1">EK20 * _xlfn.XLOOKUP(FG$13,_xlfn.ANCHORARRAY( $CZ$29), _xlfn.XLOOKUP($EZ20,_xlfn.ANCHORARRAY( $CY$30), $CZ$30:$DC$34)) * _xlfn.XLOOKUP(FG$14,_xlfn.ANCHORARRAY( $CZ$29), _xlfn.XLOOKUP($FA20,_xlfn.ANCHORARRAY( $CY$30), $CZ$30:$DC$34))</f>
        <v>1.5402266431703228E-2</v>
      </c>
      <c r="FH20" s="10" cm="1">
        <f t="array" aca="1" ref="FH20" ca="1">EL20 * _xlfn.XLOOKUP(FH$13,_xlfn.ANCHORARRAY( $CZ$29), _xlfn.XLOOKUP($EZ20,_xlfn.ANCHORARRAY( $CY$30), $CZ$30:$DC$34)) * _xlfn.XLOOKUP(FH$14,_xlfn.ANCHORARRAY( $CZ$29), _xlfn.XLOOKUP($FA20,_xlfn.ANCHORARRAY( $CY$30), $CZ$30:$DC$34))</f>
        <v>1.5402266431703228E-2</v>
      </c>
      <c r="FI20" s="10" cm="1">
        <f t="array" aca="1" ref="FI20" ca="1">EM20 * _xlfn.XLOOKUP(FI$13,_xlfn.ANCHORARRAY( $CZ$29), _xlfn.XLOOKUP($EZ20,_xlfn.ANCHORARRAY( $CY$30), $CZ$30:$DC$34)) * _xlfn.XLOOKUP(FI$14,_xlfn.ANCHORARRAY( $CZ$29), _xlfn.XLOOKUP($FA20,_xlfn.ANCHORARRAY( $CY$30), $CZ$30:$DC$34))</f>
        <v>1.5402266431703228E-2</v>
      </c>
      <c r="FJ20" s="10" cm="1">
        <f t="array" aca="1" ref="FJ20" ca="1">EN20 * _xlfn.XLOOKUP(FJ$13,_xlfn.ANCHORARRAY( $CZ$29), _xlfn.XLOOKUP($EZ20,_xlfn.ANCHORARRAY( $CY$30), $CZ$30:$DC$34)) * _xlfn.XLOOKUP(FJ$14,_xlfn.ANCHORARRAY( $CZ$29), _xlfn.XLOOKUP($FA20,_xlfn.ANCHORARRAY( $CY$30), $CZ$30:$DC$34))</f>
        <v>-1.9016691020563685E-2</v>
      </c>
      <c r="FK20" s="10" cm="1">
        <f t="array" aca="1" ref="FK20" ca="1">EO20 * _xlfn.XLOOKUP(FK$13,_xlfn.ANCHORARRAY( $CZ$29), _xlfn.XLOOKUP($EZ20,_xlfn.ANCHORARRAY( $CY$30), $CZ$30:$DC$34)) * _xlfn.XLOOKUP(FK$14,_xlfn.ANCHORARRAY( $CZ$29), _xlfn.XLOOKUP($FA20,_xlfn.ANCHORARRAY( $CY$30), $CZ$30:$DC$34))</f>
        <v>-2.9368732701000517E-3</v>
      </c>
      <c r="FL20" s="10" cm="1">
        <f t="array" aca="1" ref="FL20" ca="1">EP20 * _xlfn.XLOOKUP(FL$13,_xlfn.ANCHORARRAY( $CZ$29), _xlfn.XLOOKUP($EZ20,_xlfn.ANCHORARRAY( $CY$30), $CZ$30:$DC$34)) * _xlfn.XLOOKUP(FL$14,_xlfn.ANCHORARRAY( $CZ$29), _xlfn.XLOOKUP($FA20,_xlfn.ANCHORARRAY( $CY$30), $CZ$30:$DC$34))</f>
        <v>-2.9368732701000517E-3</v>
      </c>
      <c r="FM20" s="10" cm="1">
        <f t="array" aca="1" ref="FM20" ca="1">EQ20 * _xlfn.XLOOKUP(FM$13,_xlfn.ANCHORARRAY( $CZ$29), _xlfn.XLOOKUP($EZ20,_xlfn.ANCHORARRAY( $CY$30), $CZ$30:$DC$34)) * _xlfn.XLOOKUP(FM$14,_xlfn.ANCHORARRAY( $CZ$29), _xlfn.XLOOKUP($FA20,_xlfn.ANCHORARRAY( $CY$30), $CZ$30:$DC$34))</f>
        <v>-2.9368732701000517E-3</v>
      </c>
      <c r="FN20" s="10" cm="1">
        <f t="array" aca="1" ref="FN20" ca="1">ER20 * _xlfn.XLOOKUP(FN$13,_xlfn.ANCHORARRAY( $CZ$29), _xlfn.XLOOKUP($EZ20,_xlfn.ANCHORARRAY( $CY$30), $CZ$30:$DC$34)) * _xlfn.XLOOKUP(FN$14,_xlfn.ANCHORARRAY( $CZ$29), _xlfn.XLOOKUP($FA20,_xlfn.ANCHORARRAY( $CY$30), $CZ$30:$DC$34))</f>
        <v>1.1506338509959878E-2</v>
      </c>
      <c r="FO20" s="10" cm="1">
        <f t="array" aca="1" ref="FO20" ca="1">ES20 * _xlfn.XLOOKUP(FO$13,_xlfn.ANCHORARRAY( $CZ$29), _xlfn.XLOOKUP($EZ20,_xlfn.ANCHORARRAY( $CY$30), $CZ$30:$DC$34)) * _xlfn.XLOOKUP(FO$14,_xlfn.ANCHORARRAY( $CZ$29), _xlfn.XLOOKUP($FA20,_xlfn.ANCHORARRAY( $CY$30), $CZ$30:$DC$34))</f>
        <v>1.7581914384037791E-3</v>
      </c>
      <c r="FP20" s="10" cm="1">
        <f t="array" aca="1" ref="FP20" ca="1">ET20 * _xlfn.XLOOKUP(FP$13,_xlfn.ANCHORARRAY( $CZ$29), _xlfn.XLOOKUP($EZ20,_xlfn.ANCHORARRAY( $CY$30), $CZ$30:$DC$34)) * _xlfn.XLOOKUP(FP$14,_xlfn.ANCHORARRAY( $CZ$29), _xlfn.XLOOKUP($FA20,_xlfn.ANCHORARRAY( $CY$30), $CZ$30:$DC$34))</f>
        <v>1.7581914384037791E-3</v>
      </c>
      <c r="FQ20" s="10" cm="1">
        <f t="array" aca="1" ref="FQ20" ca="1">EU20 * _xlfn.XLOOKUP(FQ$13,_xlfn.ANCHORARRAY( $CZ$29), _xlfn.XLOOKUP($EZ20,_xlfn.ANCHORARRAY( $CY$30), $CZ$30:$DC$34)) * _xlfn.XLOOKUP(FQ$14,_xlfn.ANCHORARRAY( $CZ$29), _xlfn.XLOOKUP($FA20,_xlfn.ANCHORARRAY( $CY$30), $CZ$30:$DC$34))</f>
        <v>1.7581914384037791E-3</v>
      </c>
      <c r="FT20" cm="1">
        <f t="array" aca="1" ref="FT20" ca="1">SQRT(SUM((FB20:FQ20)^2))</f>
        <v>0.1083651911244773</v>
      </c>
    </row>
    <row r="21" spans="1:176" x14ac:dyDescent="0.2">
      <c r="D21" s="10">
        <f ca="1"/>
        <v>6</v>
      </c>
      <c r="F21" s="10">
        <f ca="1"/>
        <v>0.25</v>
      </c>
      <c r="H21" s="10"/>
      <c r="J21" cm="1">
        <f t="array" aca="1" ref="J21" ca="1">SUMPRODUCT((O21:AJ21=$O$11:$AJ$11)*(O$13:AJ$13=TRUE))  / COUNTIF(O$13:AJ$13,TRUE)</f>
        <v>0.4</v>
      </c>
      <c r="K21" t="b">
        <f t="shared" ca="1" si="3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4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3</v>
      </c>
      <c r="S21" s="9" t="s">
        <v>3</v>
      </c>
      <c r="AK21" s="7"/>
      <c r="AN21">
        <f t="shared" ca="1" si="5"/>
        <v>4</v>
      </c>
      <c r="AO21" s="14">
        <f t="shared" ca="1" si="6"/>
        <v>0.25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0.4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0.4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0.6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0.4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0.8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0.8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0.8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0.4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0.4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0.4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0.6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0.6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0.4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0.4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0.2</v>
      </c>
      <c r="BN21">
        <f t="shared" ca="1" si="7"/>
        <v>4</v>
      </c>
      <c r="BO21" s="14">
        <f t="shared" ca="1" si="8"/>
        <v>0.25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0.4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0.4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0.6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0.4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0.8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0.8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0.8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0.4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0.4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0.4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0.4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0.6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0.6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0.4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0.4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0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0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0.2</v>
      </c>
      <c r="DF21" cm="1">
        <f t="array" aca="1" ref="DF21" ca="1">INDEX(_xlfn.ANCHORARRAY($CP$15), 1 + INT((ROWS($DG$15:$DG21) - 1) / ROWS(_xlfn.ANCHORARRAY($CP$15))))</f>
        <v>1</v>
      </c>
      <c r="DG21" cm="1">
        <f t="array" aca="1" ref="DG21" ca="1">INDEX(_xlfn.ANCHORARRAY($CP$15),1+MOD(ROWS($DG$15:$DG21)-1,ROWS(_xlfn.ANCHORARRAY($CP$15))))</f>
        <v>1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$B$18/($B$19*$B$19*($DF21&lt;&gt;$DG21) + $B$19*($DF21=$DG21))</f>
        <v>6.0000000000000001E-3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$B$18/($B$19*$B$19*($DF21&lt;&gt;$DG21) + $B$19*($DF21=$DG21))</f>
        <v>6.0000000000000001E-3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$B$18/($B$19*$B$19*($DF21&lt;&gt;$DG21) + $B$19*($DF21=$DG21))</f>
        <v>6.0000000000000001E-3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$B$18/($B$19*$B$19*($DF21&lt;&gt;$DG21) + $B$19*($DF21=$DG21))</f>
        <v>6.0000000000000001E-3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$B$18/($B$19*$B$19*($DF21&lt;&gt;$DG21) + $B$19*($DF21=$DG21))</f>
        <v>6.0000000000000001E-3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$B$18/($B$19*$B$19*($DF21&lt;&gt;$DG21) + $B$19*($DF21=$DG21))</f>
        <v>0.47659405940594063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$B$18/($B$19*$B$19*($DF21&lt;&gt;$DG21) + $B$19*($DF21=$DG21))</f>
        <v>6.0000000000000001E-3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$B$18/($B$19*$B$19*($DF21&lt;&gt;$DG21) + $B$19*($DF21=$DG21))</f>
        <v>6.0000000000000001E-3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$B$18/($B$19*$B$19*($DF21&lt;&gt;$DG21) + $B$19*($DF21=$DG21))</f>
        <v>6.0000000000000001E-3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$B$18/($B$19*$B$19*($DF21&lt;&gt;$DG21) + $B$19*($DF21=$DG21))</f>
        <v>6.0000000000000001E-3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$B$18/($B$19*$B$19*($DF21&lt;&gt;$DG21) + $B$19*($DF21=$DG21))</f>
        <v>0.31332673267326733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$B$18/($B$19*$B$19*($DF21&lt;&gt;$DG21) + $B$19*($DF21=$DG21))</f>
        <v>6.0000000000000001E-3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$B$18/($B$19*$B$19*($DF21&lt;&gt;$DG21) + $B$19*($DF21=$DG21))</f>
        <v>6.0000000000000001E-3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$B$18/($B$19*$B$19*($DF21&lt;&gt;$DG21) + $B$19*($DF21=$DG21))</f>
        <v>6.0000000000000001E-3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$B$18/($B$19*$B$19*($DF21&lt;&gt;$DG21) + $B$19*($DF21=$DG21))</f>
        <v>6.0000000000000001E-3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$B$18/($B$19*$B$19*($DF21&lt;&gt;$DG21) + $B$19*($DF21=$DG21))</f>
        <v>0.19807920792079209</v>
      </c>
      <c r="ED21" cm="1">
        <f t="array" aca="1" ref="ED21" ca="1">INDEX(_xlfn.ANCHORARRAY($CP$15), 1 + INT((ROWS($DG$15:$DG21) - 1) / ROWS(_xlfn.ANCHORARRAY($CP$15))))</f>
        <v>1</v>
      </c>
      <c r="EE21" cm="1">
        <f t="array" aca="1" ref="EE21" ca="1">INDEX(_xlfn.ANCHORARRAY($CP$15),1+MOD(ROWS($DG$15:$DG21)-1,ROWS(_xlfn.ANCHORARRAY($CP$15))))</f>
        <v>1</v>
      </c>
      <c r="EF21" s="10" cm="1">
        <f t="array" aca="1" ref="EF21" ca="1">DH21-_xlfn.XLOOKUP(EF$13,_xlfn.ANCHORARRAY( $CR$14), _xlfn.XLOOKUP($ED21,_xlfn.ANCHORARRAY( $CP$15), $CR$15:$CU$19)) * _xlfn.XLOOKUP(EF$14,_xlfn.ANCHORARRAY( $CR$14), _xlfn.XLOOKUP($EE21,_xlfn.ANCHORARRAY( $CP$15), $CR$15:$CU$19))</f>
        <v>5.9640000000000006E-3</v>
      </c>
      <c r="EG21" s="10" cm="1">
        <f t="array" aca="1" ref="EG21" ca="1">DI21-_xlfn.XLOOKUP(EG$13,_xlfn.ANCHORARRAY( $CR$14), _xlfn.XLOOKUP($ED21,_xlfn.ANCHORARRAY( $CP$15), $CR$15:$CU$19)) * _xlfn.XLOOKUP(EG$14,_xlfn.ANCHORARRAY( $CR$14), _xlfn.XLOOKUP($EE21,_xlfn.ANCHORARRAY( $CP$15), $CR$15:$CU$19))</f>
        <v>3.1404356435643563E-3</v>
      </c>
      <c r="EH21" s="10" cm="1">
        <f t="array" aca="1" ref="EH21" ca="1">DJ21-_xlfn.XLOOKUP(EH$13,_xlfn.ANCHORARRAY( $CR$14), _xlfn.XLOOKUP($ED21,_xlfn.ANCHORARRAY( $CP$15), $CR$15:$CU$19)) * _xlfn.XLOOKUP(EH$14,_xlfn.ANCHORARRAY( $CR$14), _xlfn.XLOOKUP($EE21,_xlfn.ANCHORARRAY( $CP$15), $CR$15:$CU$19))</f>
        <v>4.1200396039603963E-3</v>
      </c>
      <c r="EI21" s="10" cm="1">
        <f t="array" aca="1" ref="EI21" ca="1">DK21-_xlfn.XLOOKUP(EI$13,_xlfn.ANCHORARRAY( $CR$14), _xlfn.XLOOKUP($ED21,_xlfn.ANCHORARRAY( $CP$15), $CR$15:$CU$19)) * _xlfn.XLOOKUP(EI$14,_xlfn.ANCHORARRAY( $CR$14), _xlfn.XLOOKUP($EE21,_xlfn.ANCHORARRAY( $CP$15), $CR$15:$CU$19))</f>
        <v>4.8115247524752481E-3</v>
      </c>
      <c r="EJ21" s="10" cm="1">
        <f t="array" aca="1" ref="EJ21" ca="1">DL21-_xlfn.XLOOKUP(EJ$13,_xlfn.ANCHORARRAY( $CR$14), _xlfn.XLOOKUP($ED21,_xlfn.ANCHORARRAY( $CP$15), $CR$15:$CU$19)) * _xlfn.XLOOKUP(EJ$14,_xlfn.ANCHORARRAY( $CR$14), _xlfn.XLOOKUP($EE21,_xlfn.ANCHORARRAY( $CP$15), $CR$15:$CU$19))</f>
        <v>3.1404356435643563E-3</v>
      </c>
      <c r="EK21" s="10" cm="1">
        <f t="array" aca="1" ref="EK21" ca="1">DM21-_xlfn.XLOOKUP(EK$13,_xlfn.ANCHORARRAY( $CR$14), _xlfn.XLOOKUP($ED21,_xlfn.ANCHORARRAY( $CP$15), $CR$15:$CU$19)) * _xlfn.XLOOKUP(EK$14,_xlfn.ANCHORARRAY( $CR$14), _xlfn.XLOOKUP($EE21,_xlfn.ANCHORARRAY( $CP$15), $CR$15:$CU$19))</f>
        <v>0.24945216194490735</v>
      </c>
      <c r="EL21" s="10" cm="1">
        <f t="array" aca="1" ref="EL21" ca="1">DN21-_xlfn.XLOOKUP(EL$13,_xlfn.ANCHORARRAY( $CR$14), _xlfn.XLOOKUP($ED21,_xlfn.ANCHORARRAY( $CP$15), $CR$15:$CU$19)) * _xlfn.XLOOKUP(EL$14,_xlfn.ANCHORARRAY( $CR$14), _xlfn.XLOOKUP($EE21,_xlfn.ANCHORARRAY( $CP$15), $CR$15:$CU$19))</f>
        <v>-0.14332965944515244</v>
      </c>
      <c r="EM21" s="10" cm="1">
        <f t="array" aca="1" ref="EM21" ca="1">DO21-_xlfn.XLOOKUP(EM$13,_xlfn.ANCHORARRAY( $CR$14), _xlfn.XLOOKUP($ED21,_xlfn.ANCHORARRAY( $CP$15), $CR$15:$CU$19)) * _xlfn.XLOOKUP(EM$14,_xlfn.ANCHORARRAY( $CR$14), _xlfn.XLOOKUP($EE21,_xlfn.ANCHORARRAY( $CP$15), $CR$15:$CU$19))</f>
        <v>-8.8403373786883649E-2</v>
      </c>
      <c r="EN21" s="10" cm="1">
        <f t="array" aca="1" ref="EN21" ca="1">DP21-_xlfn.XLOOKUP(EN$13,_xlfn.ANCHORARRAY( $CR$14), _xlfn.XLOOKUP($ED21,_xlfn.ANCHORARRAY( $CP$15), $CR$15:$CU$19)) * _xlfn.XLOOKUP(EN$14,_xlfn.ANCHORARRAY( $CR$14), _xlfn.XLOOKUP($EE21,_xlfn.ANCHORARRAY( $CP$15), $CR$15:$CU$19))</f>
        <v>4.1200396039603963E-3</v>
      </c>
      <c r="EO21" s="10" cm="1">
        <f t="array" aca="1" ref="EO21" ca="1">DQ21-_xlfn.XLOOKUP(EO$13,_xlfn.ANCHORARRAY( $CR$14), _xlfn.XLOOKUP($ED21,_xlfn.ANCHORARRAY( $CP$15), $CR$15:$CU$19)) * _xlfn.XLOOKUP(EO$14,_xlfn.ANCHORARRAY( $CR$14), _xlfn.XLOOKUP($EE21,_xlfn.ANCHORARRAY( $CP$15), $CR$15:$CU$19))</f>
        <v>-0.14332965944515244</v>
      </c>
      <c r="EP21" s="10" cm="1">
        <f t="array" aca="1" ref="EP21" ca="1">DR21-_xlfn.XLOOKUP(EP$13,_xlfn.ANCHORARRAY( $CR$14), _xlfn.XLOOKUP($ED21,_xlfn.ANCHORARRAY( $CP$15), $CR$15:$CU$19)) * _xlfn.XLOOKUP(EP$14,_xlfn.ANCHORARRAY( $CR$14), _xlfn.XLOOKUP($EE21,_xlfn.ANCHORARRAY( $CP$15), $CR$15:$CU$19))</f>
        <v>0.2151530912655622</v>
      </c>
      <c r="EQ21" s="10" cm="1">
        <f t="array" aca="1" ref="EQ21" ca="1">DS21-_xlfn.XLOOKUP(EQ$13,_xlfn.ANCHORARRAY( $CR$14), _xlfn.XLOOKUP($ED21,_xlfn.ANCHORARRAY( $CP$15), $CR$15:$CU$19)) * _xlfn.XLOOKUP(EQ$14,_xlfn.ANCHORARRAY( $CR$14), _xlfn.XLOOKUP($EE21,_xlfn.ANCHORARRAY( $CP$15), $CR$15:$CU$19))</f>
        <v>-5.6063511028330563E-2</v>
      </c>
      <c r="ER21" s="10" cm="1">
        <f t="array" aca="1" ref="ER21" ca="1">DT21-_xlfn.XLOOKUP(ER$13,_xlfn.ANCHORARRAY( $CR$14), _xlfn.XLOOKUP($ED21,_xlfn.ANCHORARRAY( $CP$15), $CR$15:$CU$19)) * _xlfn.XLOOKUP(ER$14,_xlfn.ANCHORARRAY( $CR$14), _xlfn.XLOOKUP($EE21,_xlfn.ANCHORARRAY( $CP$15), $CR$15:$CU$19))</f>
        <v>4.8115247524752481E-3</v>
      </c>
      <c r="ES21" s="10" cm="1">
        <f t="array" aca="1" ref="ES21" ca="1">DU21-_xlfn.XLOOKUP(ES$13,_xlfn.ANCHORARRAY( $CR$14), _xlfn.XLOOKUP($ED21,_xlfn.ANCHORARRAY( $CP$15), $CR$15:$CU$19)) * _xlfn.XLOOKUP(ES$14,_xlfn.ANCHORARRAY( $CR$14), _xlfn.XLOOKUP($EE21,_xlfn.ANCHORARRAY( $CP$15), $CR$15:$CU$19))</f>
        <v>-8.8403373786883649E-2</v>
      </c>
      <c r="ET21" s="10" cm="1">
        <f t="array" aca="1" ref="ET21" ca="1">DV21-_xlfn.XLOOKUP(ET$13,_xlfn.ANCHORARRAY( $CR$14), _xlfn.XLOOKUP($ED21,_xlfn.ANCHORARRAY( $CP$15), $CR$15:$CU$19)) * _xlfn.XLOOKUP(ET$14,_xlfn.ANCHORARRAY( $CR$14), _xlfn.XLOOKUP($EE21,_xlfn.ANCHORARRAY( $CP$15), $CR$15:$CU$19))</f>
        <v>-5.6063511028330563E-2</v>
      </c>
      <c r="EU21" s="10" cm="1">
        <f t="array" aca="1" ref="EU21" ca="1">DW21-_xlfn.XLOOKUP(EU$13,_xlfn.ANCHORARRAY( $CR$14), _xlfn.XLOOKUP($ED21,_xlfn.ANCHORARRAY( $CP$15), $CR$15:$CU$19)) * _xlfn.XLOOKUP(EU$14,_xlfn.ANCHORARRAY( $CR$14), _xlfn.XLOOKUP($EE21,_xlfn.ANCHORARRAY( $CP$15), $CR$15:$CU$19))</f>
        <v>0.15884383531026369</v>
      </c>
      <c r="EZ21" cm="1">
        <f t="array" aca="1" ref="EZ21" ca="1">INDEX(_xlfn.ANCHORARRAY($CP$15), 1 + INT((ROWS($DG$15:$DG21) - 1) / ROWS(_xlfn.ANCHORARRAY($CP$15))))</f>
        <v>1</v>
      </c>
      <c r="FA21" cm="1">
        <f t="array" aca="1" ref="FA21" ca="1">INDEX(_xlfn.ANCHORARRAY($CP$15),1+MOD(ROWS($DG$15:$DG21)-1,ROWS(_xlfn.ANCHORARRAY($CP$15))))</f>
        <v>1</v>
      </c>
      <c r="FB21" s="10" cm="1">
        <f t="array" aca="1" ref="FB21" ca="1">EF21 * _xlfn.XLOOKUP(FB$13,_xlfn.ANCHORARRAY( $CZ$29), _xlfn.XLOOKUP($EZ21,_xlfn.ANCHORARRAY( $CY$30), $CZ$30:$DC$34)) * _xlfn.XLOOKUP(FB$14,_xlfn.ANCHORARRAY( $CZ$29), _xlfn.XLOOKUP($FA21,_xlfn.ANCHORARRAY( $CY$30), $CZ$30:$DC$34))</f>
        <v>9.5967038681566474E-2</v>
      </c>
      <c r="FC21" s="10" cm="1">
        <f t="array" aca="1" ref="FC21" ca="1">EG21 * _xlfn.XLOOKUP(FC$13,_xlfn.ANCHORARRAY( $CZ$29), _xlfn.XLOOKUP($EZ21,_xlfn.ANCHORARRAY( $CY$30), $CZ$30:$DC$34)) * _xlfn.XLOOKUP(FC$14,_xlfn.ANCHORARRAY( $CZ$29), _xlfn.XLOOKUP($FA21,_xlfn.ANCHORARRAY( $CY$30), $CZ$30:$DC$34))</f>
        <v>-1.2659415028359671E-2</v>
      </c>
      <c r="FD21" s="10" cm="1">
        <f t="array" aca="1" ref="FD21" ca="1">EH21 * _xlfn.XLOOKUP(FD$13,_xlfn.ANCHORARRAY( $CZ$29), _xlfn.XLOOKUP($EZ21,_xlfn.ANCHORARRAY( $CY$30), $CZ$30:$DC$34)) * _xlfn.XLOOKUP(FD$14,_xlfn.ANCHORARRAY( $CZ$29), _xlfn.XLOOKUP($FA21,_xlfn.ANCHORARRAY( $CY$30), $CZ$30:$DC$34))</f>
        <v>-5.1894768302001137E-3</v>
      </c>
      <c r="FE21" s="10" cm="1">
        <f t="array" aca="1" ref="FE21" ca="1">EI21 * _xlfn.XLOOKUP(FE$13,_xlfn.ANCHORARRAY( $CZ$29), _xlfn.XLOOKUP($EZ21,_xlfn.ANCHORARRAY( $CY$30), $CZ$30:$DC$34)) * _xlfn.XLOOKUP(FE$14,_xlfn.ANCHORARRAY( $CZ$29), _xlfn.XLOOKUP($FA21,_xlfn.ANCHORARRAY( $CY$30), $CZ$30:$DC$34))</f>
        <v>5.78503485313645E-3</v>
      </c>
      <c r="FF21" s="10" cm="1">
        <f t="array" aca="1" ref="FF21" ca="1">EJ21 * _xlfn.XLOOKUP(FF$13,_xlfn.ANCHORARRAY( $CZ$29), _xlfn.XLOOKUP($EZ21,_xlfn.ANCHORARRAY( $CY$30), $CZ$30:$DC$34)) * _xlfn.XLOOKUP(FF$14,_xlfn.ANCHORARRAY( $CZ$29), _xlfn.XLOOKUP($FA21,_xlfn.ANCHORARRAY( $CY$30), $CZ$30:$DC$34))</f>
        <v>-1.2659415028359671E-2</v>
      </c>
      <c r="FG21" s="10" cm="1">
        <f t="array" aca="1" ref="FG21" ca="1">EK21 * _xlfn.XLOOKUP(FG$13,_xlfn.ANCHORARRAY( $CZ$29), _xlfn.XLOOKUP($EZ21,_xlfn.ANCHORARRAY( $CY$30), $CZ$30:$DC$34)) * _xlfn.XLOOKUP(FG$14,_xlfn.ANCHORARRAY( $CZ$29), _xlfn.XLOOKUP($FA21,_xlfn.ANCHORARRAY( $CY$30), $CZ$30:$DC$34))</f>
        <v>0.25191283396724573</v>
      </c>
      <c r="FH21" s="10" cm="1">
        <f t="array" aca="1" ref="FH21" ca="1">EL21 * _xlfn.XLOOKUP(FH$13,_xlfn.ANCHORARRAY( $CZ$29), _xlfn.XLOOKUP($EZ21,_xlfn.ANCHORARRAY( $CY$30), $CZ$30:$DC$34)) * _xlfn.XLOOKUP(FH$14,_xlfn.ANCHORARRAY( $CZ$29), _xlfn.XLOOKUP($FA21,_xlfn.ANCHORARRAY( $CY$30), $CZ$30:$DC$34))</f>
        <v>-4.5226974562219122E-2</v>
      </c>
      <c r="FI21" s="10" cm="1">
        <f t="array" aca="1" ref="FI21" ca="1">EM21 * _xlfn.XLOOKUP(FI$13,_xlfn.ANCHORARRAY( $CZ$29), _xlfn.XLOOKUP($EZ21,_xlfn.ANCHORARRAY( $CY$30), $CZ$30:$DC$34)) * _xlfn.XLOOKUP(FI$14,_xlfn.ANCHORARRAY( $CZ$29), _xlfn.XLOOKUP($FA21,_xlfn.ANCHORARRAY( $CY$30), $CZ$30:$DC$34))</f>
        <v>2.6627560264758304E-2</v>
      </c>
      <c r="FJ21" s="10" cm="1">
        <f t="array" aca="1" ref="FJ21" ca="1">EN21 * _xlfn.XLOOKUP(FJ$13,_xlfn.ANCHORARRAY( $CZ$29), _xlfn.XLOOKUP($EZ21,_xlfn.ANCHORARRAY( $CY$30), $CZ$30:$DC$34)) * _xlfn.XLOOKUP(FJ$14,_xlfn.ANCHORARRAY( $CZ$29), _xlfn.XLOOKUP($FA21,_xlfn.ANCHORARRAY( $CY$30), $CZ$30:$DC$34))</f>
        <v>-5.1894768302001128E-3</v>
      </c>
      <c r="FK21" s="10" cm="1">
        <f t="array" aca="1" ref="FK21" ca="1">EO21 * _xlfn.XLOOKUP(FK$13,_xlfn.ANCHORARRAY( $CZ$29), _xlfn.XLOOKUP($EZ21,_xlfn.ANCHORARRAY( $CY$30), $CZ$30:$DC$34)) * _xlfn.XLOOKUP(FK$14,_xlfn.ANCHORARRAY( $CZ$29), _xlfn.XLOOKUP($FA21,_xlfn.ANCHORARRAY( $CY$30), $CZ$30:$DC$34))</f>
        <v>-4.5226974562219122E-2</v>
      </c>
      <c r="FL21" s="10" cm="1">
        <f t="array" aca="1" ref="FL21" ca="1">EP21 * _xlfn.XLOOKUP(FL$13,_xlfn.ANCHORARRAY( $CZ$29), _xlfn.XLOOKUP($EZ21,_xlfn.ANCHORARRAY( $CY$30), $CZ$30:$DC$34)) * _xlfn.XLOOKUP(FL$14,_xlfn.ANCHORARRAY( $CZ$29), _xlfn.XLOOKUP($FA21,_xlfn.ANCHORARRAY( $CY$30), $CZ$30:$DC$34))</f>
        <v>2.1213264374715598E-2</v>
      </c>
      <c r="FM21" s="10" cm="1">
        <f t="array" aca="1" ref="FM21" ca="1">EQ21 * _xlfn.XLOOKUP(FM$13,_xlfn.ANCHORARRAY( $CZ$29), _xlfn.XLOOKUP($EZ21,_xlfn.ANCHORARRAY( $CY$30), $CZ$30:$DC$34)) * _xlfn.XLOOKUP(FM$14,_xlfn.ANCHORARRAY( $CZ$29), _xlfn.XLOOKUP($FA21,_xlfn.ANCHORARRAY( $CY$30), $CZ$30:$DC$34))</f>
        <v>5.2764432980073866E-3</v>
      </c>
      <c r="FN21" s="10" cm="1">
        <f t="array" aca="1" ref="FN21" ca="1">ER21 * _xlfn.XLOOKUP(FN$13,_xlfn.ANCHORARRAY( $CZ$29), _xlfn.XLOOKUP($EZ21,_xlfn.ANCHORARRAY( $CY$30), $CZ$30:$DC$34)) * _xlfn.XLOOKUP(FN$14,_xlfn.ANCHORARRAY( $CZ$29), _xlfn.XLOOKUP($FA21,_xlfn.ANCHORARRAY( $CY$30), $CZ$30:$DC$34))</f>
        <v>5.78503485313645E-3</v>
      </c>
      <c r="FO21" s="10" cm="1">
        <f t="array" aca="1" ref="FO21" ca="1">ES21 * _xlfn.XLOOKUP(FO$13,_xlfn.ANCHORARRAY( $CZ$29), _xlfn.XLOOKUP($EZ21,_xlfn.ANCHORARRAY( $CY$30), $CZ$30:$DC$34)) * _xlfn.XLOOKUP(FO$14,_xlfn.ANCHORARRAY( $CZ$29), _xlfn.XLOOKUP($FA21,_xlfn.ANCHORARRAY( $CY$30), $CZ$30:$DC$34))</f>
        <v>2.6627560264758304E-2</v>
      </c>
      <c r="FP21" s="10" cm="1">
        <f t="array" aca="1" ref="FP21" ca="1">ET21 * _xlfn.XLOOKUP(FP$13,_xlfn.ANCHORARRAY( $CZ$29), _xlfn.XLOOKUP($EZ21,_xlfn.ANCHORARRAY( $CY$30), $CZ$30:$DC$34)) * _xlfn.XLOOKUP(FP$14,_xlfn.ANCHORARRAY( $CZ$29), _xlfn.XLOOKUP($FA21,_xlfn.ANCHORARRAY( $CY$30), $CZ$30:$DC$34))</f>
        <v>5.2764432980073857E-3</v>
      </c>
      <c r="FQ21" s="10" cm="1">
        <f t="array" aca="1" ref="FQ21" ca="1">EU21 * _xlfn.XLOOKUP(FQ$13,_xlfn.ANCHORARRAY( $CZ$29), _xlfn.XLOOKUP($EZ21,_xlfn.ANCHORARRAY( $CY$30), $CZ$30:$DC$34)) * _xlfn.XLOOKUP(FQ$14,_xlfn.ANCHORARRAY( $CZ$29), _xlfn.XLOOKUP($FA21,_xlfn.ANCHORARRAY( $CY$30), $CZ$30:$DC$34))</f>
        <v>1.4270277439247202E-2</v>
      </c>
      <c r="FT21" cm="1">
        <f t="array" aca="1" ref="FT21" ca="1">SQRT(SUM((FB21:FQ21)^2))</f>
        <v>0.281654756933509</v>
      </c>
    </row>
    <row r="22" spans="1:176" x14ac:dyDescent="0.2">
      <c r="D22" s="10">
        <f ca="1"/>
        <v>7</v>
      </c>
      <c r="F22" s="10">
        <f ca="1"/>
        <v>0.25</v>
      </c>
      <c r="H22" s="10"/>
      <c r="J22" cm="1">
        <f t="array" aca="1" ref="J22" ca="1">SUMPRODUCT((O22:AJ22=$O$11:$AJ$11)*(O$13:AJ$13=TRUE))  / COUNTIF(O$13:AJ$13,TRUE)</f>
        <v>0.4</v>
      </c>
      <c r="K22" t="b">
        <f t="shared" ca="1" si="3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4"/>
        <v>1</v>
      </c>
      <c r="N22" s="2">
        <v>7</v>
      </c>
      <c r="O22" s="12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AK22" s="7"/>
      <c r="AN22">
        <f t="shared" ca="1" si="5"/>
        <v>4</v>
      </c>
      <c r="AO22" s="14">
        <f t="shared" ca="1" si="6"/>
        <v>0.25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0.4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0.6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0.8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0.8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0.8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0.4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0.4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0.4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0.4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0.4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0.6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0.6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0.2</v>
      </c>
      <c r="BN22">
        <f t="shared" ca="1" si="7"/>
        <v>4</v>
      </c>
      <c r="BO22" s="14">
        <f t="shared" ca="1" si="8"/>
        <v>0.25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0.4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0.4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0.4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0.6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0.8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0.8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0.8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0.4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0.4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0.4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0.4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0.4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0.4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0.6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0.6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0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0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0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0.2</v>
      </c>
      <c r="DF22" cm="1">
        <f t="array" aca="1" ref="DF22" ca="1">INDEX(_xlfn.ANCHORARRAY($CP$15), 1 + INT((ROWS($DG$15:$DG22) - 1) / ROWS(_xlfn.ANCHORARRAY($CP$15))))</f>
        <v>1</v>
      </c>
      <c r="DG22" cm="1">
        <f t="array" aca="1" ref="DG22" ca="1">INDEX(_xlfn.ANCHORARRAY($CP$15),1+MOD(ROWS($DG$15:$DG22)-1,ROWS(_xlfn.ANCHORARRAY($CP$15))))</f>
        <v>2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$B$18/($B$19*$B$19*($DF22&lt;&gt;$DG22) + $B$19*($DF22=$DG22))</f>
        <v>1.1999999999999999E-3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$B$18/($B$19*$B$19*($DF22&lt;&gt;$DG22) + $B$19*($DF22=$DG22))</f>
        <v>1.1999999999999999E-3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$B$18/($B$19*$B$19*($DF22&lt;&gt;$DG22) + $B$19*($DF22=$DG22))</f>
        <v>1.1999999999999999E-3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$B$18/($B$19*$B$19*($DF22&lt;&gt;$DG22) + $B$19*($DF22=$DG22))</f>
        <v>1.1999999999999999E-3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$B$18/($B$19*$B$19*($DF22&lt;&gt;$DG22) + $B$19*($DF22=$DG22))</f>
        <v>1.1999999999999999E-3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$B$18/($B$19*$B$19*($DF22&lt;&gt;$DG22) + $B$19*($DF22=$DG22))</f>
        <v>1.1999999999999999E-3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$B$18/($B$19*$B$19*($DF22&lt;&gt;$DG22) + $B$19*($DF22=$DG22))</f>
        <v>0.4717940594059406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$B$18/($B$19*$B$19*($DF22&lt;&gt;$DG22) + $B$19*($DF22=$DG22))</f>
        <v>1.1999999999999999E-3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$B$18/($B$19*$B$19*($DF22&lt;&gt;$DG22) + $B$19*($DF22=$DG22))</f>
        <v>0.15486336633663367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$B$18/($B$19*$B$19*($DF22&lt;&gt;$DG22) + $B$19*($DF22=$DG22))</f>
        <v>0.15486336633663367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$B$18/($B$19*$B$19*($DF22&lt;&gt;$DG22) + $B$19*($DF22=$DG22))</f>
        <v>1.1999999999999999E-3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$B$18/($B$19*$B$19*($DF22&lt;&gt;$DG22) + $B$19*($DF22=$DG22))</f>
        <v>1.1999999999999999E-3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$B$18/($B$19*$B$19*($DF22&lt;&gt;$DG22) + $B$19*($DF22=$DG22))</f>
        <v>1.1999999999999999E-3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$B$18/($B$19*$B$19*($DF22&lt;&gt;$DG22) + $B$19*($DF22=$DG22))</f>
        <v>1.1999999999999999E-3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$B$18/($B$19*$B$19*($DF22&lt;&gt;$DG22) + $B$19*($DF22=$DG22))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$B$18/($B$19*$B$19*($DF22&lt;&gt;$DG22) + $B$19*($DF22=$DG22))</f>
        <v>0.19327920792079209</v>
      </c>
      <c r="ED22" cm="1">
        <f t="array" aca="1" ref="ED22" ca="1">INDEX(_xlfn.ANCHORARRAY($CP$15), 1 + INT((ROWS($DG$15:$DG22) - 1) / ROWS(_xlfn.ANCHORARRAY($CP$15))))</f>
        <v>1</v>
      </c>
      <c r="EE22" cm="1">
        <f t="array" aca="1" ref="EE22" ca="1">INDEX(_xlfn.ANCHORARRAY($CP$15),1+MOD(ROWS($DG$15:$DG22)-1,ROWS(_xlfn.ANCHORARRAY($CP$15))))</f>
        <v>2</v>
      </c>
      <c r="EF22" s="10" cm="1">
        <f t="array" aca="1" ref="EF22" ca="1">DH22-_xlfn.XLOOKUP(EF$13,_xlfn.ANCHORARRAY( $CR$14), _xlfn.XLOOKUP($ED22,_xlfn.ANCHORARRAY( $CP$15), $CR$15:$CU$19)) * _xlfn.XLOOKUP(EF$14,_xlfn.ANCHORARRAY( $CR$14), _xlfn.XLOOKUP($EE22,_xlfn.ANCHORARRAY( $CP$15), $CR$15:$CU$19))</f>
        <v>2.4201980198019786E-4</v>
      </c>
      <c r="EG22" s="10" cm="1">
        <f t="array" aca="1" ref="EG22" ca="1">DI22-_xlfn.XLOOKUP(EG$13,_xlfn.ANCHORARRAY( $CR$14), _xlfn.XLOOKUP($ED22,_xlfn.ANCHORARRAY( $CP$15), $CR$15:$CU$19)) * _xlfn.XLOOKUP(EG$14,_xlfn.ANCHORARRAY( $CR$14), _xlfn.XLOOKUP($EE22,_xlfn.ANCHORARRAY( $CP$15), $CR$15:$CU$19))</f>
        <v>2.4201980198019786E-4</v>
      </c>
      <c r="EH22" s="10" cm="1">
        <f t="array" aca="1" ref="EH22" ca="1">DJ22-_xlfn.XLOOKUP(EH$13,_xlfn.ANCHORARRAY( $CR$14), _xlfn.XLOOKUP($ED22,_xlfn.ANCHORARRAY( $CP$15), $CR$15:$CU$19)) * _xlfn.XLOOKUP(EH$14,_xlfn.ANCHORARRAY( $CR$14), _xlfn.XLOOKUP($EE22,_xlfn.ANCHORARRAY( $CP$15), $CR$15:$CU$19))</f>
        <v>-1.6595643564356439E-3</v>
      </c>
      <c r="EI22" s="10" cm="1">
        <f t="array" aca="1" ref="EI22" ca="1">DK22-_xlfn.XLOOKUP(EI$13,_xlfn.ANCHORARRAY( $CR$14), _xlfn.XLOOKUP($ED22,_xlfn.ANCHORARRAY( $CP$15), $CR$15:$CU$19)) * _xlfn.XLOOKUP(EI$14,_xlfn.ANCHORARRAY( $CR$14), _xlfn.XLOOKUP($EE22,_xlfn.ANCHORARRAY( $CP$15), $CR$15:$CU$19))</f>
        <v>1.1524752475247429E-5</v>
      </c>
      <c r="EJ22" s="10" cm="1">
        <f t="array" aca="1" ref="EJ22" ca="1">DL22-_xlfn.XLOOKUP(EJ$13,_xlfn.ANCHORARRAY( $CR$14), _xlfn.XLOOKUP($ED22,_xlfn.ANCHORARRAY( $CP$15), $CR$15:$CU$19)) * _xlfn.XLOOKUP(EJ$14,_xlfn.ANCHORARRAY( $CR$14), _xlfn.XLOOKUP($EE22,_xlfn.ANCHORARRAY( $CP$15), $CR$15:$CU$19))</f>
        <v>-7.4894611900794036E-2</v>
      </c>
      <c r="EK22" s="10" cm="1">
        <f t="array" aca="1" ref="EK22" ca="1">DM22-_xlfn.XLOOKUP(EK$13,_xlfn.ANCHORARRAY( $CR$14), _xlfn.XLOOKUP($ED22,_xlfn.ANCHORARRAY( $CP$15), $CR$15:$CU$19)) * _xlfn.XLOOKUP(EK$14,_xlfn.ANCHORARRAY( $CR$14), _xlfn.XLOOKUP($EE22,_xlfn.ANCHORARRAY( $CP$15), $CR$15:$CU$19))</f>
        <v>-7.4894611900794036E-2</v>
      </c>
      <c r="EL22" s="10" cm="1">
        <f t="array" aca="1" ref="EL22" ca="1">DN22-_xlfn.XLOOKUP(EL$13,_xlfn.ANCHORARRAY( $CR$14), _xlfn.XLOOKUP($ED22,_xlfn.ANCHORARRAY( $CP$15), $CR$15:$CU$19)) * _xlfn.XLOOKUP(EL$14,_xlfn.ANCHORARRAY( $CR$14), _xlfn.XLOOKUP($EE22,_xlfn.ANCHORARRAY( $CP$15), $CR$15:$CU$19))</f>
        <v>0.24465216194490733</v>
      </c>
      <c r="EM22" s="10" cm="1">
        <f t="array" aca="1" ref="EM22" ca="1">DO22-_xlfn.XLOOKUP(EM$13,_xlfn.ANCHORARRAY( $CR$14), _xlfn.XLOOKUP($ED22,_xlfn.ANCHORARRAY( $CP$15), $CR$15:$CU$19)) * _xlfn.XLOOKUP(EM$14,_xlfn.ANCHORARRAY( $CR$14), _xlfn.XLOOKUP($EE22,_xlfn.ANCHORARRAY( $CP$15), $CR$15:$CU$19))</f>
        <v>-9.3203373786883648E-2</v>
      </c>
      <c r="EN22" s="10" cm="1">
        <f t="array" aca="1" ref="EN22" ca="1">DP22-_xlfn.XLOOKUP(EN$13,_xlfn.ANCHORARRAY( $CR$14), _xlfn.XLOOKUP($ED22,_xlfn.ANCHORARRAY( $CP$15), $CR$15:$CU$19)) * _xlfn.XLOOKUP(EN$14,_xlfn.ANCHORARRAY( $CR$14), _xlfn.XLOOKUP($EE22,_xlfn.ANCHORARRAY( $CP$15), $CR$15:$CU$19))</f>
        <v>0.1048365654347613</v>
      </c>
      <c r="EO22" s="10" cm="1">
        <f t="array" aca="1" ref="EO22" ca="1">DQ22-_xlfn.XLOOKUP(EO$13,_xlfn.ANCHORARRAY( $CR$14), _xlfn.XLOOKUP($ED22,_xlfn.ANCHORARRAY( $CP$15), $CR$15:$CU$19)) * _xlfn.XLOOKUP(EO$14,_xlfn.ANCHORARRAY( $CR$14), _xlfn.XLOOKUP($EE22,_xlfn.ANCHORARRAY( $CP$15), $CR$15:$CU$19))</f>
        <v>0.1048365654347613</v>
      </c>
      <c r="EP22" s="10" cm="1">
        <f t="array" aca="1" ref="EP22" ca="1">DR22-_xlfn.XLOOKUP(EP$13,_xlfn.ANCHORARRAY( $CR$14), _xlfn.XLOOKUP($ED22,_xlfn.ANCHORARRAY( $CP$15), $CR$15:$CU$19)) * _xlfn.XLOOKUP(EP$14,_xlfn.ANCHORARRAY( $CR$14), _xlfn.XLOOKUP($EE22,_xlfn.ANCHORARRAY( $CP$15), $CR$15:$CU$19))</f>
        <v>-0.14812965944515244</v>
      </c>
      <c r="EQ22" s="10" cm="1">
        <f t="array" aca="1" ref="EQ22" ca="1">DS22-_xlfn.XLOOKUP(EQ$13,_xlfn.ANCHORARRAY( $CR$14), _xlfn.XLOOKUP($ED22,_xlfn.ANCHORARRAY( $CP$15), $CR$15:$CU$19)) * _xlfn.XLOOKUP(EQ$14,_xlfn.ANCHORARRAY( $CR$14), _xlfn.XLOOKUP($EE22,_xlfn.ANCHORARRAY( $CP$15), $CR$15:$CU$19))</f>
        <v>-6.0863511028330562E-2</v>
      </c>
      <c r="ER22" s="10" cm="1">
        <f t="array" aca="1" ref="ER22" ca="1">DT22-_xlfn.XLOOKUP(ER$13,_xlfn.ANCHORARRAY( $CR$14), _xlfn.XLOOKUP($ED22,_xlfn.ANCHORARRAY( $CP$15), $CR$15:$CU$19)) * _xlfn.XLOOKUP(ER$14,_xlfn.ANCHORARRAY( $CR$14), _xlfn.XLOOKUP($EE22,_xlfn.ANCHORARRAY( $CP$15), $CR$15:$CU$19))</f>
        <v>-3.0425993137927654E-2</v>
      </c>
      <c r="ES22" s="10" cm="1">
        <f t="array" aca="1" ref="ES22" ca="1">DU22-_xlfn.XLOOKUP(ES$13,_xlfn.ANCHORARRAY( $CR$14), _xlfn.XLOOKUP($ED22,_xlfn.ANCHORARRAY( $CP$15), $CR$15:$CU$19)) * _xlfn.XLOOKUP(ES$14,_xlfn.ANCHORARRAY( $CR$14), _xlfn.XLOOKUP($EE22,_xlfn.ANCHORARRAY( $CP$15), $CR$15:$CU$19))</f>
        <v>-3.0425993137927654E-2</v>
      </c>
      <c r="ET22" s="10" cm="1">
        <f t="array" aca="1" ref="ET22" ca="1">DV22-_xlfn.XLOOKUP(ET$13,_xlfn.ANCHORARRAY( $CR$14), _xlfn.XLOOKUP($ED22,_xlfn.ANCHORARRAY( $CP$15), $CR$15:$CU$19)) * _xlfn.XLOOKUP(ET$14,_xlfn.ANCHORARRAY( $CR$14), _xlfn.XLOOKUP($EE22,_xlfn.ANCHORARRAY( $CP$15), $CR$15:$CU$19))</f>
        <v>-9.3203373786883648E-2</v>
      </c>
      <c r="EU22" s="10" cm="1">
        <f t="array" aca="1" ref="EU22" ca="1">DW22-_xlfn.XLOOKUP(EU$13,_xlfn.ANCHORARRAY( $CR$14), _xlfn.XLOOKUP($ED22,_xlfn.ANCHORARRAY( $CP$15), $CR$15:$CU$19)) * _xlfn.XLOOKUP(EU$14,_xlfn.ANCHORARRAY( $CR$14), _xlfn.XLOOKUP($EE22,_xlfn.ANCHORARRAY( $CP$15), $CR$15:$CU$19))</f>
        <v>0.15404383531026372</v>
      </c>
      <c r="EZ22" cm="1">
        <f t="array" aca="1" ref="EZ22" ca="1">INDEX(_xlfn.ANCHORARRAY($CP$15), 1 + INT((ROWS($DG$15:$DG22) - 1) / ROWS(_xlfn.ANCHORARRAY($CP$15))))</f>
        <v>1</v>
      </c>
      <c r="FA22" cm="1">
        <f t="array" aca="1" ref="FA22" ca="1">INDEX(_xlfn.ANCHORARRAY($CP$15),1+MOD(ROWS($DG$15:$DG22)-1,ROWS(_xlfn.ANCHORARRAY($CP$15))))</f>
        <v>2</v>
      </c>
      <c r="FB22" s="10" cm="1">
        <f t="array" aca="1" ref="FB22" ca="1">EF22 * _xlfn.XLOOKUP(FB$13,_xlfn.ANCHORARRAY( $CZ$29), _xlfn.XLOOKUP($EZ22,_xlfn.ANCHORARRAY( $CY$30), $CZ$30:$DC$34)) * _xlfn.XLOOKUP(FB$14,_xlfn.ANCHORARRAY( $CZ$29), _xlfn.XLOOKUP($FA22,_xlfn.ANCHORARRAY( $CY$30), $CZ$30:$DC$34))</f>
        <v>5.4572544928273184E-4</v>
      </c>
      <c r="FC22" s="10" cm="1">
        <f t="array" aca="1" ref="FC22" ca="1">EG22 * _xlfn.XLOOKUP(FC$13,_xlfn.ANCHORARRAY( $CZ$29), _xlfn.XLOOKUP($EZ22,_xlfn.ANCHORARRAY( $CY$30), $CZ$30:$DC$34)) * _xlfn.XLOOKUP(FC$14,_xlfn.ANCHORARRAY( $CZ$29), _xlfn.XLOOKUP($FA22,_xlfn.ANCHORARRAY( $CY$30), $CZ$30:$DC$34))</f>
        <v>5.4572544928273184E-4</v>
      </c>
      <c r="FD22" s="10" cm="1">
        <f t="array" aca="1" ref="FD22" ca="1">EH22 * _xlfn.XLOOKUP(FD$13,_xlfn.ANCHORARRAY( $CZ$29), _xlfn.XLOOKUP($EZ22,_xlfn.ANCHORARRAY( $CY$30), $CZ$30:$DC$34)) * _xlfn.XLOOKUP(FD$14,_xlfn.ANCHORARRAY( $CZ$29), _xlfn.XLOOKUP($FA22,_xlfn.ANCHORARRAY( $CY$30), $CZ$30:$DC$34))</f>
        <v>6.6898724695871646E-3</v>
      </c>
      <c r="FE22" s="10" cm="1">
        <f t="array" aca="1" ref="FE22" ca="1">EI22 * _xlfn.XLOOKUP(FE$13,_xlfn.ANCHORARRAY( $CZ$29), _xlfn.XLOOKUP($EZ22,_xlfn.ANCHORARRAY( $CY$30), $CZ$30:$DC$34)) * _xlfn.XLOOKUP(FE$14,_xlfn.ANCHORARRAY( $CZ$29), _xlfn.XLOOKUP($FA22,_xlfn.ANCHORARRAY( $CY$30), $CZ$30:$DC$34))</f>
        <v>1.3856541984695926E-5</v>
      </c>
      <c r="FF22" s="10" cm="1">
        <f t="array" aca="1" ref="FF22" ca="1">EJ22 * _xlfn.XLOOKUP(FF$13,_xlfn.ANCHORARRAY( $CZ$29), _xlfn.XLOOKUP($EZ22,_xlfn.ANCHORARRAY( $CY$30), $CZ$30:$DC$34)) * _xlfn.XLOOKUP(FF$14,_xlfn.ANCHORARRAY( $CZ$29), _xlfn.XLOOKUP($FA22,_xlfn.ANCHORARRAY( $CY$30), $CZ$30:$DC$34))</f>
        <v>4.2307090714612534E-2</v>
      </c>
      <c r="FG22" s="10" cm="1">
        <f t="array" aca="1" ref="FG22" ca="1">EK22 * _xlfn.XLOOKUP(FG$13,_xlfn.ANCHORARRAY( $CZ$29), _xlfn.XLOOKUP($EZ22,_xlfn.ANCHORARRAY( $CY$30), $CZ$30:$DC$34)) * _xlfn.XLOOKUP(FG$14,_xlfn.ANCHORARRAY( $CZ$29), _xlfn.XLOOKUP($FA22,_xlfn.ANCHORARRAY( $CY$30), $CZ$30:$DC$34))</f>
        <v>4.2307090714612534E-2</v>
      </c>
      <c r="FH22" s="10" cm="1">
        <f t="array" aca="1" ref="FH22" ca="1">EL22 * _xlfn.XLOOKUP(FH$13,_xlfn.ANCHORARRAY( $CZ$29), _xlfn.XLOOKUP($EZ22,_xlfn.ANCHORARRAY( $CY$30), $CZ$30:$DC$34)) * _xlfn.XLOOKUP(FH$14,_xlfn.ANCHORARRAY( $CZ$29), _xlfn.XLOOKUP($FA22,_xlfn.ANCHORARRAY( $CY$30), $CZ$30:$DC$34))</f>
        <v>0.24706548530682468</v>
      </c>
      <c r="FI22" s="10" cm="1">
        <f t="array" aca="1" ref="FI22" ca="1">EM22 * _xlfn.XLOOKUP(FI$13,_xlfn.ANCHORARRAY( $CZ$29), _xlfn.XLOOKUP($EZ22,_xlfn.ANCHORARRAY( $CY$30), $CZ$30:$DC$34)) * _xlfn.XLOOKUP(FI$14,_xlfn.ANCHORARRAY( $CZ$29), _xlfn.XLOOKUP($FA22,_xlfn.ANCHORARRAY( $CY$30), $CZ$30:$DC$34))</f>
        <v>2.8073345462718734E-2</v>
      </c>
      <c r="FJ22" s="10" cm="1">
        <f t="array" aca="1" ref="FJ22" ca="1">EN22 * _xlfn.XLOOKUP(FJ$13,_xlfn.ANCHORARRAY( $CZ$29), _xlfn.XLOOKUP($EZ22,_xlfn.ANCHORARRAY( $CY$30), $CZ$30:$DC$34)) * _xlfn.XLOOKUP(FJ$14,_xlfn.ANCHORARRAY( $CZ$29), _xlfn.XLOOKUP($FA22,_xlfn.ANCHORARRAY( $CY$30), $CZ$30:$DC$34))</f>
        <v>-1.8504349304905267E-2</v>
      </c>
      <c r="FK22" s="10" cm="1">
        <f t="array" aca="1" ref="FK22" ca="1">EO22 * _xlfn.XLOOKUP(FK$13,_xlfn.ANCHORARRAY( $CZ$29), _xlfn.XLOOKUP($EZ22,_xlfn.ANCHORARRAY( $CY$30), $CZ$30:$DC$34)) * _xlfn.XLOOKUP(FK$14,_xlfn.ANCHORARRAY( $CZ$29), _xlfn.XLOOKUP($FA22,_xlfn.ANCHORARRAY( $CY$30), $CZ$30:$DC$34))</f>
        <v>-1.8504349304905267E-2</v>
      </c>
      <c r="FL22" s="10" cm="1">
        <f t="array" aca="1" ref="FL22" ca="1">EP22 * _xlfn.XLOOKUP(FL$13,_xlfn.ANCHORARRAY( $CZ$29), _xlfn.XLOOKUP($EZ22,_xlfn.ANCHORARRAY( $CY$30), $CZ$30:$DC$34)) * _xlfn.XLOOKUP(FL$14,_xlfn.ANCHORARRAY( $CZ$29), _xlfn.XLOOKUP($FA22,_xlfn.ANCHORARRAY( $CY$30), $CZ$30:$DC$34))</f>
        <v>-4.6741591137316234E-2</v>
      </c>
      <c r="FM22" s="10" cm="1">
        <f t="array" aca="1" ref="FM22" ca="1">EQ22 * _xlfn.XLOOKUP(FM$13,_xlfn.ANCHORARRAY( $CZ$29), _xlfn.XLOOKUP($EZ22,_xlfn.ANCHORARRAY( $CY$30), $CZ$30:$DC$34)) * _xlfn.XLOOKUP(FM$14,_xlfn.ANCHORARRAY( $CZ$29), _xlfn.XLOOKUP($FA22,_xlfn.ANCHORARRAY( $CY$30), $CZ$30:$DC$34))</f>
        <v>5.7281975204219789E-3</v>
      </c>
      <c r="FN22" s="10" cm="1">
        <f t="array" aca="1" ref="FN22" ca="1">ER22 * _xlfn.XLOOKUP(FN$13,_xlfn.ANCHORARRAY( $CZ$29), _xlfn.XLOOKUP($EZ22,_xlfn.ANCHORARRAY( $CY$30), $CZ$30:$DC$34)) * _xlfn.XLOOKUP(FN$14,_xlfn.ANCHORARRAY( $CZ$29), _xlfn.XLOOKUP($FA22,_xlfn.ANCHORARRAY( $CY$30), $CZ$30:$DC$34))</f>
        <v>-5.1263336064070299E-3</v>
      </c>
      <c r="FO22" s="10" cm="1">
        <f t="array" aca="1" ref="FO22" ca="1">ES22 * _xlfn.XLOOKUP(FO$13,_xlfn.ANCHORARRAY( $CZ$29), _xlfn.XLOOKUP($EZ22,_xlfn.ANCHORARRAY( $CY$30), $CZ$30:$DC$34)) * _xlfn.XLOOKUP(FO$14,_xlfn.ANCHORARRAY( $CZ$29), _xlfn.XLOOKUP($FA22,_xlfn.ANCHORARRAY( $CY$30), $CZ$30:$DC$34))</f>
        <v>-5.1263336064070299E-3</v>
      </c>
      <c r="FP22" s="10" cm="1">
        <f t="array" aca="1" ref="FP22" ca="1">ET22 * _xlfn.XLOOKUP(FP$13,_xlfn.ANCHORARRAY( $CZ$29), _xlfn.XLOOKUP($EZ22,_xlfn.ANCHORARRAY( $CY$30), $CZ$30:$DC$34)) * _xlfn.XLOOKUP(FP$14,_xlfn.ANCHORARRAY( $CZ$29), _xlfn.XLOOKUP($FA22,_xlfn.ANCHORARRAY( $CY$30), $CZ$30:$DC$34))</f>
        <v>2.8073345462718738E-2</v>
      </c>
      <c r="FQ22" s="10" cm="1">
        <f t="array" aca="1" ref="FQ22" ca="1">EU22 * _xlfn.XLOOKUP(FQ$13,_xlfn.ANCHORARRAY( $CZ$29), _xlfn.XLOOKUP($EZ22,_xlfn.ANCHORARRAY( $CY$30), $CZ$30:$DC$34)) * _xlfn.XLOOKUP(FQ$14,_xlfn.ANCHORARRAY( $CZ$29), _xlfn.XLOOKUP($FA22,_xlfn.ANCHORARRAY( $CY$30), $CZ$30:$DC$34))</f>
        <v>1.3839053076182732E-2</v>
      </c>
      <c r="FT22" cm="1">
        <f t="array" aca="1" ref="FT22" ca="1">SQRT(SUM((FB22:FQ22)^2))</f>
        <v>0.26341829474489759</v>
      </c>
    </row>
    <row r="23" spans="1:176" x14ac:dyDescent="0.2">
      <c r="D23" s="10">
        <f ca="1"/>
        <v>8</v>
      </c>
      <c r="F23" s="10">
        <f ca="1"/>
        <v>0.2</v>
      </c>
      <c r="H23" s="10"/>
      <c r="J23" cm="1">
        <f t="array" aca="1" ref="J23" ca="1">SUMPRODUCT((O23:AJ23=$O$11:$AJ$11)*(O$13:AJ$13=TRUE))  / COUNTIF(O$13:AJ$13,TRUE)</f>
        <v>0.6</v>
      </c>
      <c r="K23" t="b">
        <f t="shared" ca="1" si="3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4"/>
        <v>1</v>
      </c>
      <c r="N23" s="2">
        <v>8</v>
      </c>
      <c r="O23" s="12" t="s">
        <v>0</v>
      </c>
      <c r="P23" s="9" t="s">
        <v>2</v>
      </c>
      <c r="Q23" s="9" t="s">
        <v>0</v>
      </c>
      <c r="R23" s="9" t="s">
        <v>3</v>
      </c>
      <c r="S23" s="9" t="s">
        <v>3</v>
      </c>
      <c r="AK23" s="7"/>
      <c r="AN23">
        <f t="shared" ca="1" si="5"/>
        <v>5</v>
      </c>
      <c r="AO23" s="14">
        <f t="shared" ca="1" si="6"/>
        <v>0.2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0.6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0.4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0.4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0.4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0.6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0.4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0.4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0.4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0.8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0.8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0.6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0.8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0.6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0.8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0.6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0.2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0.2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0.2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0.4</v>
      </c>
      <c r="BN23">
        <f t="shared" ca="1" si="7"/>
        <v>5</v>
      </c>
      <c r="BO23" s="14">
        <f t="shared" ca="1" si="8"/>
        <v>0.2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0.6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0.4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0.4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0.4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0.6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0.4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0.4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0.4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0.8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0.8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0.6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0.8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0.6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0.8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0.6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0.2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0.2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0.2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0.4</v>
      </c>
      <c r="DF23" cm="1">
        <f t="array" aca="1" ref="DF23" ca="1">INDEX(_xlfn.ANCHORARRAY($CP$15), 1 + INT((ROWS($DG$15:$DG23) - 1) / ROWS(_xlfn.ANCHORARRAY($CP$15))))</f>
        <v>1</v>
      </c>
      <c r="DG23" cm="1">
        <f t="array" aca="1" ref="DG23" ca="1">INDEX(_xlfn.ANCHORARRAY($CP$15),1+MOD(ROWS($DG$15:$DG23)-1,ROWS(_xlfn.ANCHORARRAY($CP$15))))</f>
        <v>3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$B$18/($B$19*$B$19*($DF23&lt;&gt;$DG23) + $B$19*($DF23=$DG23))</f>
        <v>1.1999999999999999E-3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$B$18/($B$19*$B$19*($DF23&lt;&gt;$DG23) + $B$19*($DF23=$DG23))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$B$18/($B$19*$B$19*($DF23&lt;&gt;$DG23) + $B$19*($DF23=$DG23))</f>
        <v>1.1999999999999999E-3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$B$18/($B$19*$B$19*($DF23&lt;&gt;$DG23) + $B$19*($DF23=$DG23))</f>
        <v>1.1999999999999999E-3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$B$18/($B$19*$B$19*($DF23&lt;&gt;$DG23) + $B$19*($DF23=$DG23))</f>
        <v>0.16126600660066007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$B$18/($B$19*$B$19*($DF23&lt;&gt;$DG23) + $B$19*($DF23=$DG23))</f>
        <v>0.12925280528052804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$B$18/($B$19*$B$19*($DF23&lt;&gt;$DG23) + $B$19*($DF23=$DG23))</f>
        <v>1.1999999999999999E-3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$B$18/($B$19*$B$19*($DF23&lt;&gt;$DG23) + $B$19*($DF23=$DG23))</f>
        <v>0.18367524752475248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$B$18/($B$19*$B$19*($DF23&lt;&gt;$DG23) + $B$19*($DF23=$DG23))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$B$18/($B$19*$B$19*($DF23&lt;&gt;$DG23) + $B$19*($DF23=$DG23))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$B$18/($B$19*$B$19*($DF23&lt;&gt;$DG23) + $B$19*($DF23=$DG23))</f>
        <v>1.1999999999999999E-3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$B$18/($B$19*$B$19*($DF23&lt;&gt;$DG23) + $B$19*($DF23=$DG23))</f>
        <v>0.3085267326732673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$B$18/($B$19*$B$19*($DF23&lt;&gt;$DG23) + $B$19*($DF23=$DG23))</f>
        <v>1.1999999999999999E-3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$B$18/($B$19*$B$19*($DF23&lt;&gt;$DG23) + $B$19*($DF23=$DG23))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$B$18/($B$19*$B$19*($DF23&lt;&gt;$DG23) + $B$19*($DF23=$DG23))</f>
        <v>1.1999999999999999E-3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$B$18/($B$19*$B$19*($DF23&lt;&gt;$DG23) + $B$19*($DF23=$DG23))</f>
        <v>0.19327920792079209</v>
      </c>
      <c r="ED23" cm="1">
        <f t="array" aca="1" ref="ED23" ca="1">INDEX(_xlfn.ANCHORARRAY($CP$15), 1 + INT((ROWS($DG$15:$DG23) - 1) / ROWS(_xlfn.ANCHORARRAY($CP$15))))</f>
        <v>1</v>
      </c>
      <c r="EE23" cm="1">
        <f t="array" aca="1" ref="EE23" ca="1">INDEX(_xlfn.ANCHORARRAY($CP$15),1+MOD(ROWS($DG$15:$DG23)-1,ROWS(_xlfn.ANCHORARRAY($CP$15))))</f>
        <v>3</v>
      </c>
      <c r="EF23" s="10" cm="1">
        <f t="array" aca="1" ref="EF23" ca="1">DH23-_xlfn.XLOOKUP(EF$13,_xlfn.ANCHORARRAY( $CR$14), _xlfn.XLOOKUP($ED23,_xlfn.ANCHORARRAY( $CP$15), $CR$15:$CU$19)) * _xlfn.XLOOKUP(EF$14,_xlfn.ANCHORARRAY( $CR$14), _xlfn.XLOOKUP($EE23,_xlfn.ANCHORARRAY( $CP$15), $CR$15:$CU$19))</f>
        <v>2.0360396039603951E-4</v>
      </c>
      <c r="EG23" s="10" cm="1">
        <f t="array" aca="1" ref="EG23" ca="1">DI23-_xlfn.XLOOKUP(EG$13,_xlfn.ANCHORARRAY( $CR$14), _xlfn.XLOOKUP($ED23,_xlfn.ANCHORARRAY( $CP$15), $CR$15:$CU$19)) * _xlfn.XLOOKUP(EG$14,_xlfn.ANCHORARRAY( $CR$14), _xlfn.XLOOKUP($EE23,_xlfn.ANCHORARRAY( $CP$15), $CR$15:$CU$19))</f>
        <v>3.9568316831683158E-4</v>
      </c>
      <c r="EH23" s="10" cm="1">
        <f t="array" aca="1" ref="EH23" ca="1">DJ23-_xlfn.XLOOKUP(EH$13,_xlfn.ANCHORARRAY( $CR$14), _xlfn.XLOOKUP($ED23,_xlfn.ANCHORARRAY( $CP$15), $CR$15:$CU$19)) * _xlfn.XLOOKUP(EH$14,_xlfn.ANCHORARRAY( $CR$14), _xlfn.XLOOKUP($EE23,_xlfn.ANCHORARRAY( $CP$15), $CR$15:$CU$19))</f>
        <v>1.1639999999999999E-3</v>
      </c>
      <c r="EI23" s="10" cm="1">
        <f t="array" aca="1" ref="EI23" ca="1">DK23-_xlfn.XLOOKUP(EI$13,_xlfn.ANCHORARRAY( $CR$14), _xlfn.XLOOKUP($ED23,_xlfn.ANCHORARRAY( $CP$15), $CR$15:$CU$19)) * _xlfn.XLOOKUP(EI$14,_xlfn.ANCHORARRAY( $CR$14), _xlfn.XLOOKUP($EE23,_xlfn.ANCHORARRAY( $CP$15), $CR$15:$CU$19))</f>
        <v>-2.9272871287128735E-3</v>
      </c>
      <c r="EJ23" s="10" cm="1">
        <f t="array" aca="1" ref="EJ23" ca="1">DL23-_xlfn.XLOOKUP(EJ$13,_xlfn.ANCHORARRAY( $CR$14), _xlfn.XLOOKUP($ED23,_xlfn.ANCHORARRAY( $CP$15), $CR$15:$CU$19)) * _xlfn.XLOOKUP(EJ$14,_xlfn.ANCHORARRAY( $CR$14), _xlfn.XLOOKUP($EE23,_xlfn.ANCHORARRAY( $CP$15), $CR$15:$CU$19))</f>
        <v>8.2119934385517748E-2</v>
      </c>
      <c r="EK23" s="10" cm="1">
        <f t="array" aca="1" ref="EK23" ca="1">DM23-_xlfn.XLOOKUP(EK$13,_xlfn.ANCHORARRAY( $CR$14), _xlfn.XLOOKUP($ED23,_xlfn.ANCHORARRAY( $CP$15), $CR$15:$CU$19)) * _xlfn.XLOOKUP(EK$14,_xlfn.ANCHORARRAY( $CR$14), _xlfn.XLOOKUP($EE23,_xlfn.ANCHORARRAY( $CP$15), $CR$15:$CU$19))</f>
        <v>6.5364034637127075E-2</v>
      </c>
      <c r="EL23" s="10" cm="1">
        <f t="array" aca="1" ref="EL23" ca="1">DN23-_xlfn.XLOOKUP(EL$13,_xlfn.ANCHORARRAY( $CR$14), _xlfn.XLOOKUP($ED23,_xlfn.ANCHORARRAY( $CP$15), $CR$15:$CU$19)) * _xlfn.XLOOKUP(EL$14,_xlfn.ANCHORARRAY( $CR$14), _xlfn.XLOOKUP($EE23,_xlfn.ANCHORARRAY( $CP$15), $CR$15:$CU$19))</f>
        <v>-1.6595643564356439E-3</v>
      </c>
      <c r="EM23" s="10" cm="1">
        <f t="array" aca="1" ref="EM23" ca="1">DO23-_xlfn.XLOOKUP(EM$13,_xlfn.ANCHORARRAY( $CR$14), _xlfn.XLOOKUP($ED23,_xlfn.ANCHORARRAY( $CP$15), $CR$15:$CU$19)) * _xlfn.XLOOKUP(EM$14,_xlfn.ANCHORARRAY( $CR$14), _xlfn.XLOOKUP($EE23,_xlfn.ANCHORARRAY( $CP$15), $CR$15:$CU$19))</f>
        <v>-0.1441648403097737</v>
      </c>
      <c r="EN23" s="10" cm="1">
        <f t="array" aca="1" ref="EN23" ca="1">DP23-_xlfn.XLOOKUP(EN$13,_xlfn.ANCHORARRAY( $CR$14), _xlfn.XLOOKUP($ED23,_xlfn.ANCHORARRAY( $CP$15), $CR$15:$CU$19)) * _xlfn.XLOOKUP(EN$14,_xlfn.ANCHORARRAY( $CR$14), _xlfn.XLOOKUP($EE23,_xlfn.ANCHORARRAY( $CP$15), $CR$15:$CU$19))</f>
        <v>-5.0832919256282062E-2</v>
      </c>
      <c r="EO23" s="10" cm="1">
        <f t="array" aca="1" ref="EO23" ca="1">DQ23-_xlfn.XLOOKUP(EO$13,_xlfn.ANCHORARRAY( $CR$14), _xlfn.XLOOKUP($ED23,_xlfn.ANCHORARRAY( $CP$15), $CR$15:$CU$19)) * _xlfn.XLOOKUP(EO$14,_xlfn.ANCHORARRAY( $CR$14), _xlfn.XLOOKUP($EE23,_xlfn.ANCHORARRAY( $CP$15), $CR$15:$CU$19))</f>
        <v>-4.0802327484233569E-2</v>
      </c>
      <c r="EP23" s="10" cm="1">
        <f t="array" aca="1" ref="EP23" ca="1">DR23-_xlfn.XLOOKUP(EP$13,_xlfn.ANCHORARRAY( $CR$14), _xlfn.XLOOKUP($ED23,_xlfn.ANCHORARRAY( $CP$15), $CR$15:$CU$19)) * _xlfn.XLOOKUP(EP$14,_xlfn.ANCHORARRAY( $CR$14), _xlfn.XLOOKUP($EE23,_xlfn.ANCHORARRAY( $CP$15), $CR$15:$CU$19))</f>
        <v>-6.7996039603960418E-4</v>
      </c>
      <c r="EQ23" s="10" cm="1">
        <f t="array" aca="1" ref="EQ23" ca="1">DS23-_xlfn.XLOOKUP(EQ$13,_xlfn.ANCHORARRAY( $CR$14), _xlfn.XLOOKUP($ED23,_xlfn.ANCHORARRAY( $CP$15), $CR$15:$CU$19)) * _xlfn.XLOOKUP(EQ$14,_xlfn.ANCHORARRAY( $CR$14), _xlfn.XLOOKUP($EE23,_xlfn.ANCHORARRAY( $CP$15), $CR$15:$CU$19))</f>
        <v>9.2995167532594736E-2</v>
      </c>
      <c r="ER23" s="10" cm="1">
        <f t="array" aca="1" ref="ER23" ca="1">DT23-_xlfn.XLOOKUP(ER$13,_xlfn.ANCHORARRAY( $CR$14), _xlfn.XLOOKUP($ED23,_xlfn.ANCHORARRAY( $CP$15), $CR$15:$CU$19)) * _xlfn.XLOOKUP(ER$14,_xlfn.ANCHORARRAY( $CR$14), _xlfn.XLOOKUP($EE23,_xlfn.ANCHORARRAY( $CP$15), $CR$15:$CU$19))</f>
        <v>-3.1694223050027774E-2</v>
      </c>
      <c r="ES23" s="10" cm="1">
        <f t="array" aca="1" ref="ES23" ca="1">DU23-_xlfn.XLOOKUP(ES$13,_xlfn.ANCHORARRAY( $CR$14), _xlfn.XLOOKUP($ED23,_xlfn.ANCHORARRAY( $CP$15), $CR$15:$CU$19)) * _xlfn.XLOOKUP(ES$14,_xlfn.ANCHORARRAY( $CR$14), _xlfn.XLOOKUP($EE23,_xlfn.ANCHORARRAY( $CP$15), $CR$15:$CU$19))</f>
        <v>-2.5353073489527169E-2</v>
      </c>
      <c r="ET23" s="10" cm="1">
        <f t="array" aca="1" ref="ET23" ca="1">DV23-_xlfn.XLOOKUP(ET$13,_xlfn.ANCHORARRAY( $CR$14), _xlfn.XLOOKUP($ED23,_xlfn.ANCHORARRAY( $CP$15), $CR$15:$CU$19)) * _xlfn.XLOOKUP(ET$14,_xlfn.ANCHORARRAY( $CR$14), _xlfn.XLOOKUP($EE23,_xlfn.ANCHORARRAY( $CP$15), $CR$15:$CU$19))</f>
        <v>1.1524752475247429E-5</v>
      </c>
      <c r="EU23" s="10" cm="1">
        <f t="array" aca="1" ref="EU23" ca="1">DW23-_xlfn.XLOOKUP(EU$13,_xlfn.ANCHORARRAY( $CR$14), _xlfn.XLOOKUP($ED23,_xlfn.ANCHORARRAY( $CP$15), $CR$15:$CU$19)) * _xlfn.XLOOKUP(EU$14,_xlfn.ANCHORARRAY( $CR$14), _xlfn.XLOOKUP($EE23,_xlfn.ANCHORARRAY( $CP$15), $CR$15:$CU$19))</f>
        <v>5.7024247034604403E-2</v>
      </c>
      <c r="EZ23" cm="1">
        <f t="array" aca="1" ref="EZ23" ca="1">INDEX(_xlfn.ANCHORARRAY($CP$15), 1 + INT((ROWS($DG$15:$DG23) - 1) / ROWS(_xlfn.ANCHORARRAY($CP$15))))</f>
        <v>1</v>
      </c>
      <c r="FA23" cm="1">
        <f t="array" aca="1" ref="FA23" ca="1">INDEX(_xlfn.ANCHORARRAY($CP$15),1+MOD(ROWS($DG$15:$DG23)-1,ROWS(_xlfn.ANCHORARRAY($CP$15))))</f>
        <v>3</v>
      </c>
      <c r="FB23" s="10" cm="1">
        <f t="array" aca="1" ref="FB23" ca="1">EF23 * _xlfn.XLOOKUP(FB$13,_xlfn.ANCHORARRAY( $CZ$29), _xlfn.XLOOKUP($EZ23,_xlfn.ANCHORARRAY( $CY$30), $CZ$30:$DC$34)) * _xlfn.XLOOKUP(FB$14,_xlfn.ANCHORARRAY( $CZ$29), _xlfn.XLOOKUP($FA23,_xlfn.ANCHORARRAY( $CY$30), $CZ$30:$DC$34))</f>
        <v>4.2074381591077802E-4</v>
      </c>
      <c r="FC23" s="10" cm="1">
        <f t="array" aca="1" ref="FC23" ca="1">EG23 * _xlfn.XLOOKUP(FC$13,_xlfn.ANCHORARRAY( $CZ$29), _xlfn.XLOOKUP($EZ23,_xlfn.ANCHORARRAY( $CY$30), $CZ$30:$DC$34)) * _xlfn.XLOOKUP(FC$14,_xlfn.ANCHORARRAY( $CZ$29), _xlfn.XLOOKUP($FA23,_xlfn.ANCHORARRAY( $CY$30), $CZ$30:$DC$34))</f>
        <v>1.2173700924209105E-3</v>
      </c>
      <c r="FD23" s="10" cm="1">
        <f t="array" aca="1" ref="FD23" ca="1">EH23 * _xlfn.XLOOKUP(FD$13,_xlfn.ANCHORARRAY( $CZ$29), _xlfn.XLOOKUP($EZ23,_xlfn.ANCHORARRAY( $CY$30), $CZ$30:$DC$34)) * _xlfn.XLOOKUP(FD$14,_xlfn.ANCHORARRAY( $CZ$29), _xlfn.XLOOKUP($FA23,_xlfn.ANCHORARRAY( $CY$30), $CZ$30:$DC$34))</f>
        <v>1.8729985416724236E-2</v>
      </c>
      <c r="FE23" s="10" cm="1">
        <f t="array" aca="1" ref="FE23" ca="1">EI23 * _xlfn.XLOOKUP(FE$13,_xlfn.ANCHORARRAY( $CZ$29), _xlfn.XLOOKUP($EZ23,_xlfn.ANCHORARRAY( $CY$30), $CZ$30:$DC$34)) * _xlfn.XLOOKUP(FE$14,_xlfn.ANCHORARRAY( $CZ$29), _xlfn.XLOOKUP($FA23,_xlfn.ANCHORARRAY( $CY$30), $CZ$30:$DC$34))</f>
        <v>2.217960246888492E-2</v>
      </c>
      <c r="FF23" s="10" cm="1">
        <f t="array" aca="1" ref="FF23" ca="1">EJ23 * _xlfn.XLOOKUP(FF$13,_xlfn.ANCHORARRAY( $CZ$29), _xlfn.XLOOKUP($EZ23,_xlfn.ANCHORARRAY( $CY$30), $CZ$30:$DC$34)) * _xlfn.XLOOKUP(FF$14,_xlfn.ANCHORARRAY( $CZ$29), _xlfn.XLOOKUP($FA23,_xlfn.ANCHORARRAY( $CY$30), $CZ$30:$DC$34))</f>
        <v>-4.2512769198243289E-2</v>
      </c>
      <c r="FG23" s="10" cm="1">
        <f t="array" aca="1" ref="FG23" ca="1">EK23 * _xlfn.XLOOKUP(FG$13,_xlfn.ANCHORARRAY( $CZ$29), _xlfn.XLOOKUP($EZ23,_xlfn.ANCHORARRAY( $CY$30), $CZ$30:$DC$34)) * _xlfn.XLOOKUP(FG$14,_xlfn.ANCHORARRAY( $CZ$29), _xlfn.XLOOKUP($FA23,_xlfn.ANCHORARRAY( $CY$30), $CZ$30:$DC$34))</f>
        <v>-5.0379422431346174E-2</v>
      </c>
      <c r="FH23" s="10" cm="1">
        <f t="array" aca="1" ref="FH23" ca="1">EL23 * _xlfn.XLOOKUP(FH$13,_xlfn.ANCHORARRAY( $CZ$29), _xlfn.XLOOKUP($EZ23,_xlfn.ANCHORARRAY( $CY$30), $CZ$30:$DC$34)) * _xlfn.XLOOKUP(FH$14,_xlfn.ANCHORARRAY( $CZ$29), _xlfn.XLOOKUP($FA23,_xlfn.ANCHORARRAY( $CY$30), $CZ$30:$DC$34))</f>
        <v>6.6898724695871638E-3</v>
      </c>
      <c r="FI23" s="10" cm="1">
        <f t="array" aca="1" ref="FI23" ca="1">EM23 * _xlfn.XLOOKUP(FI$13,_xlfn.ANCHORARRAY( $CZ$29), _xlfn.XLOOKUP($EZ23,_xlfn.ANCHORARRAY( $CY$30), $CZ$30:$DC$34)) * _xlfn.XLOOKUP(FI$14,_xlfn.ANCHORARRAY( $CZ$29), _xlfn.XLOOKUP($FA23,_xlfn.ANCHORARRAY( $CY$30), $CZ$30:$DC$34))</f>
        <v>-0.27364471902044796</v>
      </c>
      <c r="FJ23" s="10" cm="1">
        <f t="array" aca="1" ref="FJ23" ca="1">EN23 * _xlfn.XLOOKUP(FJ$13,_xlfn.ANCHORARRAY( $CZ$29), _xlfn.XLOOKUP($EZ23,_xlfn.ANCHORARRAY( $CY$30), $CZ$30:$DC$34)) * _xlfn.XLOOKUP(FJ$14,_xlfn.ANCHORARRAY( $CZ$29), _xlfn.XLOOKUP($FA23,_xlfn.ANCHORARRAY( $CY$30), $CZ$30:$DC$34))</f>
        <v>8.2226972234581506E-3</v>
      </c>
      <c r="FK23" s="10" cm="1">
        <f t="array" aca="1" ref="FK23" ca="1">EO23 * _xlfn.XLOOKUP(FK$13,_xlfn.ANCHORARRAY( $CZ$29), _xlfn.XLOOKUP($EZ23,_xlfn.ANCHORARRAY( $CY$30), $CZ$30:$DC$34)) * _xlfn.XLOOKUP(FK$14,_xlfn.ANCHORARRAY( $CZ$29), _xlfn.XLOOKUP($FA23,_xlfn.ANCHORARRAY( $CY$30), $CZ$30:$DC$34))</f>
        <v>9.8264741591708119E-3</v>
      </c>
      <c r="FL23" s="10" cm="1">
        <f t="array" aca="1" ref="FL23" ca="1">EP23 * _xlfn.XLOOKUP(FL$13,_xlfn.ANCHORARRAY( $CZ$29), _xlfn.XLOOKUP($EZ23,_xlfn.ANCHORARRAY( $CY$30), $CZ$30:$DC$34)) * _xlfn.XLOOKUP(FL$14,_xlfn.ANCHORARRAY( $CZ$29), _xlfn.XLOOKUP($FA23,_xlfn.ANCHORARRAY( $CY$30), $CZ$30:$DC$34))</f>
        <v>8.5645747611486729E-4</v>
      </c>
      <c r="FM23" s="10" cm="1">
        <f t="array" aca="1" ref="FM23" ca="1">EQ23 * _xlfn.XLOOKUP(FM$13,_xlfn.ANCHORARRAY( $CZ$29), _xlfn.XLOOKUP($EZ23,_xlfn.ANCHORARRAY( $CY$30), $CZ$30:$DC$34)) * _xlfn.XLOOKUP(FM$14,_xlfn.ANCHORARRAY( $CZ$29), _xlfn.XLOOKUP($FA23,_xlfn.ANCHORARRAY( $CY$30), $CZ$30:$DC$34))</f>
        <v>5.5155210134714833E-2</v>
      </c>
      <c r="FN23" s="10" cm="1">
        <f t="array" aca="1" ref="FN23" ca="1">ER23 * _xlfn.XLOOKUP(FN$13,_xlfn.ANCHORARRAY( $CZ$29), _xlfn.XLOOKUP($EZ23,_xlfn.ANCHORARRAY( $CY$30), $CZ$30:$DC$34)) * _xlfn.XLOOKUP(FN$14,_xlfn.ANCHORARRAY( $CZ$29), _xlfn.XLOOKUP($FA23,_xlfn.ANCHORARRAY( $CY$30), $CZ$30:$DC$34))</f>
        <v>-4.8938474393968598E-3</v>
      </c>
      <c r="FO23" s="10" cm="1">
        <f t="array" aca="1" ref="FO23" ca="1">ES23 * _xlfn.XLOOKUP(FO$13,_xlfn.ANCHORARRAY( $CZ$29), _xlfn.XLOOKUP($EZ23,_xlfn.ANCHORARRAY( $CY$30), $CZ$30:$DC$34)) * _xlfn.XLOOKUP(FO$14,_xlfn.ANCHORARRAY( $CZ$29), _xlfn.XLOOKUP($FA23,_xlfn.ANCHORARRAY( $CY$30), $CZ$30:$DC$34))</f>
        <v>-5.8283344267315105E-3</v>
      </c>
      <c r="FP23" s="10" cm="1">
        <f t="array" aca="1" ref="FP23" ca="1">ET23 * _xlfn.XLOOKUP(FP$13,_xlfn.ANCHORARRAY( $CZ$29), _xlfn.XLOOKUP($EZ23,_xlfn.ANCHORARRAY( $CY$30), $CZ$30:$DC$34)) * _xlfn.XLOOKUP(FP$14,_xlfn.ANCHORARRAY( $CZ$29), _xlfn.XLOOKUP($FA23,_xlfn.ANCHORARRAY( $CY$30), $CZ$30:$DC$34))</f>
        <v>1.3856541984695924E-5</v>
      </c>
      <c r="FQ23" s="10" cm="1">
        <f t="array" aca="1" ref="FQ23" ca="1">EU23 * _xlfn.XLOOKUP(FQ$13,_xlfn.ANCHORARRAY( $CZ$29), _xlfn.XLOOKUP($EZ23,_xlfn.ANCHORARRAY( $CY$30), $CZ$30:$DC$34)) * _xlfn.XLOOKUP(FQ$14,_xlfn.ANCHORARRAY( $CZ$29), _xlfn.XLOOKUP($FA23,_xlfn.ANCHORARRAY( $CY$30), $CZ$30:$DC$34))</f>
        <v>-3.2283959270593014E-2</v>
      </c>
      <c r="FT23" cm="1">
        <f t="array" aca="1" ref="FT23" ca="1">SQRT(SUM((FB23:FQ23)^2))</f>
        <v>0.29055669160618008</v>
      </c>
    </row>
    <row r="24" spans="1:176" x14ac:dyDescent="0.2">
      <c r="D24" s="10">
        <f ca="1"/>
        <v>9</v>
      </c>
      <c r="F24" s="10">
        <f ca="1"/>
        <v>0.2</v>
      </c>
      <c r="H24" s="10"/>
      <c r="J24" cm="1">
        <f t="array" aca="1" ref="J24" ca="1">SUMPRODUCT((O24:AJ24=$O$11:$AJ$11)*(O$13:AJ$13=TRUE))  / COUNTIF(O$13:AJ$13,TRUE)</f>
        <v>0.6</v>
      </c>
      <c r="K24" t="b">
        <f t="shared" ca="1" si="3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4"/>
        <v>1</v>
      </c>
      <c r="N24" s="2">
        <v>9</v>
      </c>
      <c r="O24" s="12" t="s">
        <v>0</v>
      </c>
      <c r="P24" s="9" t="s">
        <v>2</v>
      </c>
      <c r="Q24" s="9" t="s">
        <v>1</v>
      </c>
      <c r="R24" s="9" t="s">
        <v>3</v>
      </c>
      <c r="S24" s="9" t="s">
        <v>3</v>
      </c>
      <c r="AK24" s="7"/>
      <c r="AN24">
        <f t="shared" ca="1" si="5"/>
        <v>5</v>
      </c>
      <c r="AO24" s="14">
        <f t="shared" ca="1" si="6"/>
        <v>0.2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0.6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0.4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0.4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0.6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0.4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0.4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0.8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0.6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0.8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0.6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0.8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0.6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0.2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0.2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0.2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0.4</v>
      </c>
      <c r="BN24">
        <f t="shared" ca="1" si="7"/>
        <v>5</v>
      </c>
      <c r="BO24" s="14">
        <f t="shared" ca="1" si="8"/>
        <v>0.2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0.6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0.4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0.4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0.4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0.6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0.4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0.4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0.4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0.8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0.6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0.8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0.6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0.8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0.6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0.8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0.2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0.2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0.2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0.4</v>
      </c>
      <c r="DF24" cm="1">
        <f t="array" aca="1" ref="DF24" ca="1">INDEX(_xlfn.ANCHORARRAY($CP$15), 1 + INT((ROWS($DG$15:$DG24) - 1) / ROWS(_xlfn.ANCHORARRAY($CP$15))))</f>
        <v>1</v>
      </c>
      <c r="DG24" cm="1">
        <f t="array" aca="1" ref="DG24" ca="1">INDEX(_xlfn.ANCHORARRAY($CP$15),1+MOD(ROWS($DG$15:$DG24)-1,ROWS(_xlfn.ANCHORARRAY($CP$15))))</f>
        <v>4</v>
      </c>
      <c r="DH24" s="10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$B$18/($B$19*$B$19*($DF24&lt;&gt;$DG24) + $B$19*($DF24=$DG24))</f>
        <v>1.1999999999999999E-3</v>
      </c>
      <c r="DI24" s="10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$B$18/($B$19*$B$19*($DF24&lt;&gt;$DG24) + $B$19*($DF24=$DG24))</f>
        <v>1.1999999999999999E-3</v>
      </c>
      <c r="DJ24" s="10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$B$18/($B$19*$B$19*($DF24&lt;&gt;$DG24) + $B$19*($DF24=$DG24))</f>
        <v>1.1999999999999999E-3</v>
      </c>
      <c r="DK24" s="10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$B$18/($B$19*$B$19*($DF24&lt;&gt;$DG24) + $B$19*($DF24=$DG24))</f>
        <v>1.1999999999999999E-3</v>
      </c>
      <c r="DL24" s="10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$B$18/($B$19*$B$19*($DF24&lt;&gt;$DG24) + $B$19*($DF24=$DG24))</f>
        <v>1.1999999999999999E-3</v>
      </c>
      <c r="DM24" s="10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$B$18/($B$19*$B$19*($DF24&lt;&gt;$DG24) + $B$19*($DF24=$DG24))</f>
        <v>9.7239603960396048E-2</v>
      </c>
      <c r="DN24" s="10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$B$18/($B$19*$B$19*($DF24&lt;&gt;$DG24) + $B$19*($DF24=$DG24))</f>
        <v>0.12925280528052804</v>
      </c>
      <c r="DO24" s="10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$B$18/($B$19*$B$19*($DF24&lt;&gt;$DG24) + $B$19*($DF24=$DG24))</f>
        <v>0.2477016501650165</v>
      </c>
      <c r="DP24" s="10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$B$18/($B$19*$B$19*($DF24&lt;&gt;$DG24) + $B$19*($DF24=$DG24))</f>
        <v>1.1999999999999999E-3</v>
      </c>
      <c r="DQ24" s="10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$B$18/($B$19*$B$19*($DF24&lt;&gt;$DG24) + $B$19*($DF24=$DG24))</f>
        <v>1.1999999999999999E-3</v>
      </c>
      <c r="DR24" s="10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$B$18/($B$19*$B$19*($DF24&lt;&gt;$DG24) + $B$19*($DF24=$DG24))</f>
        <v>1.1999999999999999E-3</v>
      </c>
      <c r="DS24" s="10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$B$18/($B$19*$B$19*($DF24&lt;&gt;$DG24) + $B$19*($DF24=$DG24))</f>
        <v>0.3085267326732673</v>
      </c>
      <c r="DT24" s="10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$B$18/($B$19*$B$19*($DF24&lt;&gt;$DG24) + $B$19*($DF24=$DG24))</f>
        <v>1.1999999999999999E-3</v>
      </c>
      <c r="DU24" s="10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$B$18/($B$19*$B$19*($DF24&lt;&gt;$DG24) + $B$19*($DF24=$DG24))</f>
        <v>1.1999999999999999E-3</v>
      </c>
      <c r="DV24" s="10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$B$18/($B$19*$B$19*($DF24&lt;&gt;$DG24) + $B$19*($DF24=$DG24))</f>
        <v>1.1999999999999999E-3</v>
      </c>
      <c r="DW24" s="10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$B$18/($B$19*$B$19*($DF24&lt;&gt;$DG24) + $B$19*($DF24=$DG24))</f>
        <v>0.19327920792079209</v>
      </c>
      <c r="ED24" cm="1">
        <f t="array" aca="1" ref="ED24" ca="1">INDEX(_xlfn.ANCHORARRAY($CP$15), 1 + INT((ROWS($DG$15:$DG24) - 1) / ROWS(_xlfn.ANCHORARRAY($CP$15))))</f>
        <v>1</v>
      </c>
      <c r="EE24" cm="1">
        <f t="array" aca="1" ref="EE24" ca="1">INDEX(_xlfn.ANCHORARRAY($CP$15),1+MOD(ROWS($DG$15:$DG24)-1,ROWS(_xlfn.ANCHORARRAY($CP$15))))</f>
        <v>4</v>
      </c>
      <c r="EF24" s="10" cm="1">
        <f t="array" aca="1" ref="EF24" ca="1">DH24-_xlfn.XLOOKUP(EF$13,_xlfn.ANCHORARRAY( $CR$14), _xlfn.XLOOKUP($ED24,_xlfn.ANCHORARRAY( $CP$15), $CR$15:$CU$19)) * _xlfn.XLOOKUP(EF$14,_xlfn.ANCHORARRAY( $CR$14), _xlfn.XLOOKUP($EE24,_xlfn.ANCHORARRAY( $CP$15), $CR$15:$CU$19))</f>
        <v>1.1639999999999999E-3</v>
      </c>
      <c r="EG24" s="10" cm="1">
        <f t="array" aca="1" ref="EG24" ca="1">DI24-_xlfn.XLOOKUP(EG$13,_xlfn.ANCHORARRAY( $CR$14), _xlfn.XLOOKUP($ED24,_xlfn.ANCHORARRAY( $CP$15), $CR$15:$CU$19)) * _xlfn.XLOOKUP(EG$14,_xlfn.ANCHORARRAY( $CR$14), _xlfn.XLOOKUP($EE24,_xlfn.ANCHORARRAY( $CP$15), $CR$15:$CU$19))</f>
        <v>5.8776237623762355E-4</v>
      </c>
      <c r="EH24" s="10" cm="1">
        <f t="array" aca="1" ref="EH24" ca="1">DJ24-_xlfn.XLOOKUP(EH$13,_xlfn.ANCHORARRAY( $CR$14), _xlfn.XLOOKUP($ED24,_xlfn.ANCHORARRAY( $CP$15), $CR$15:$CU$19)) * _xlfn.XLOOKUP(EH$14,_xlfn.ANCHORARRAY( $CR$14), _xlfn.XLOOKUP($EE24,_xlfn.ANCHORARRAY( $CP$15), $CR$15:$CU$19))</f>
        <v>3.9568316831683158E-4</v>
      </c>
      <c r="EI24" s="10" cm="1">
        <f t="array" aca="1" ref="EI24" ca="1">DK24-_xlfn.XLOOKUP(EI$13,_xlfn.ANCHORARRAY( $CR$14), _xlfn.XLOOKUP($ED24,_xlfn.ANCHORARRAY( $CP$15), $CR$15:$CU$19)) * _xlfn.XLOOKUP(EI$14,_xlfn.ANCHORARRAY( $CR$14), _xlfn.XLOOKUP($EE24,_xlfn.ANCHORARRAY( $CP$15), $CR$15:$CU$19))</f>
        <v>-3.3114455445544567E-3</v>
      </c>
      <c r="EJ24" s="10" cm="1">
        <f t="array" aca="1" ref="EJ24" ca="1">DL24-_xlfn.XLOOKUP(EJ$13,_xlfn.ANCHORARRAY( $CR$14), _xlfn.XLOOKUP($ED24,_xlfn.ANCHORARRAY( $CP$15), $CR$15:$CU$19)) * _xlfn.XLOOKUP(EJ$14,_xlfn.ANCHORARRAY( $CR$14), _xlfn.XLOOKUP($EE24,_xlfn.ANCHORARRAY( $CP$15), $CR$15:$CU$19))</f>
        <v>-1.6595643564356439E-3</v>
      </c>
      <c r="EK24" s="10" cm="1">
        <f t="array" aca="1" ref="EK24" ca="1">DM24-_xlfn.XLOOKUP(EK$13,_xlfn.ANCHORARRAY( $CR$14), _xlfn.XLOOKUP($ED24,_xlfn.ANCHORARRAY( $CP$15), $CR$15:$CU$19)) * _xlfn.XLOOKUP(EK$14,_xlfn.ANCHORARRAY( $CR$14), _xlfn.XLOOKUP($EE24,_xlfn.ANCHORARRAY( $CP$15), $CR$15:$CU$19))</f>
        <v>4.8608134888736401E-2</v>
      </c>
      <c r="EL24" s="10" cm="1">
        <f t="array" aca="1" ref="EL24" ca="1">DN24-_xlfn.XLOOKUP(EL$13,_xlfn.ANCHORARRAY( $CR$14), _xlfn.XLOOKUP($ED24,_xlfn.ANCHORARRAY( $CP$15), $CR$15:$CU$19)) * _xlfn.XLOOKUP(EL$14,_xlfn.ANCHORARRAY( $CR$14), _xlfn.XLOOKUP($EE24,_xlfn.ANCHORARRAY( $CP$15), $CR$15:$CU$19))</f>
        <v>6.5364034637127075E-2</v>
      </c>
      <c r="EM24" s="10" cm="1">
        <f t="array" aca="1" ref="EM24" ca="1">DO24-_xlfn.XLOOKUP(EM$13,_xlfn.ANCHORARRAY( $CR$14), _xlfn.XLOOKUP($ED24,_xlfn.ANCHORARRAY( $CP$15), $CR$15:$CU$19)) * _xlfn.XLOOKUP(EM$14,_xlfn.ANCHORARRAY( $CR$14), _xlfn.XLOOKUP($EE24,_xlfn.ANCHORARRAY( $CP$15), $CR$15:$CU$19))</f>
        <v>-0.11065304081299232</v>
      </c>
      <c r="EN24" s="10" cm="1">
        <f t="array" aca="1" ref="EN24" ca="1">DP24-_xlfn.XLOOKUP(EN$13,_xlfn.ANCHORARRAY( $CR$14), _xlfn.XLOOKUP($ED24,_xlfn.ANCHORARRAY( $CP$15), $CR$15:$CU$19)) * _xlfn.XLOOKUP(EN$14,_xlfn.ANCHORARRAY( $CR$14), _xlfn.XLOOKUP($EE24,_xlfn.ANCHORARRAY( $CP$15), $CR$15:$CU$19))</f>
        <v>-6.7996039603960418E-4</v>
      </c>
      <c r="EO24" s="10" cm="1">
        <f t="array" aca="1" ref="EO24" ca="1">DQ24-_xlfn.XLOOKUP(EO$13,_xlfn.ANCHORARRAY( $CR$14), _xlfn.XLOOKUP($ED24,_xlfn.ANCHORARRAY( $CP$15), $CR$15:$CU$19)) * _xlfn.XLOOKUP(EO$14,_xlfn.ANCHORARRAY( $CR$14), _xlfn.XLOOKUP($EE24,_xlfn.ANCHORARRAY( $CP$15), $CR$15:$CU$19))</f>
        <v>-3.0771735712185083E-2</v>
      </c>
      <c r="EP24" s="10" cm="1">
        <f t="array" aca="1" ref="EP24" ca="1">DR24-_xlfn.XLOOKUP(EP$13,_xlfn.ANCHORARRAY( $CR$14), _xlfn.XLOOKUP($ED24,_xlfn.ANCHORARRAY( $CP$15), $CR$15:$CU$19)) * _xlfn.XLOOKUP(EP$14,_xlfn.ANCHORARRAY( $CR$14), _xlfn.XLOOKUP($EE24,_xlfn.ANCHORARRAY( $CP$15), $CR$15:$CU$19))</f>
        <v>-4.0802327484233569E-2</v>
      </c>
      <c r="EQ24" s="10" cm="1">
        <f t="array" aca="1" ref="EQ24" ca="1">DS24-_xlfn.XLOOKUP(EQ$13,_xlfn.ANCHORARRAY( $CR$14), _xlfn.XLOOKUP($ED24,_xlfn.ANCHORARRAY( $CP$15), $CR$15:$CU$19)) * _xlfn.XLOOKUP(EQ$14,_xlfn.ANCHORARRAY( $CR$14), _xlfn.XLOOKUP($EE24,_xlfn.ANCHORARRAY( $CP$15), $CR$15:$CU$19))</f>
        <v>7.2933983988497764E-2</v>
      </c>
      <c r="ER24" s="10" cm="1">
        <f t="array" aca="1" ref="ER24" ca="1">DT24-_xlfn.XLOOKUP(ER$13,_xlfn.ANCHORARRAY( $CR$14), _xlfn.XLOOKUP($ED24,_xlfn.ANCHORARRAY( $CP$15), $CR$15:$CU$19)) * _xlfn.XLOOKUP(ER$14,_xlfn.ANCHORARRAY( $CR$14), _xlfn.XLOOKUP($EE24,_xlfn.ANCHORARRAY( $CP$15), $CR$15:$CU$19))</f>
        <v>1.1524752475247429E-5</v>
      </c>
      <c r="ES24" s="10" cm="1">
        <f t="array" aca="1" ref="ES24" ca="1">DU24-_xlfn.XLOOKUP(ES$13,_xlfn.ANCHORARRAY( $CR$14), _xlfn.XLOOKUP($ED24,_xlfn.ANCHORARRAY( $CP$15), $CR$15:$CU$19)) * _xlfn.XLOOKUP(ES$14,_xlfn.ANCHORARRAY( $CR$14), _xlfn.XLOOKUP($EE24,_xlfn.ANCHORARRAY( $CP$15), $CR$15:$CU$19))</f>
        <v>-1.9011923929026567E-2</v>
      </c>
      <c r="ET24" s="10" cm="1">
        <f t="array" aca="1" ref="ET24" ca="1">DV24-_xlfn.XLOOKUP(ET$13,_xlfn.ANCHORARRAY( $CR$14), _xlfn.XLOOKUP($ED24,_xlfn.ANCHORARRAY( $CP$15), $CR$15:$CU$19)) * _xlfn.XLOOKUP(ET$14,_xlfn.ANCHORARRAY( $CR$14), _xlfn.XLOOKUP($EE24,_xlfn.ANCHORARRAY( $CP$15), $CR$15:$CU$19))</f>
        <v>-2.5353073489527169E-2</v>
      </c>
      <c r="EU24" s="10" cm="1">
        <f t="array" aca="1" ref="EU24" ca="1">DW24-_xlfn.XLOOKUP(EU$13,_xlfn.ANCHORARRAY( $CR$14), _xlfn.XLOOKUP($ED24,_xlfn.ANCHORARRAY( $CP$15), $CR$15:$CU$19)) * _xlfn.XLOOKUP(EU$14,_xlfn.ANCHORARRAY( $CR$14), _xlfn.XLOOKUP($EE24,_xlfn.ANCHORARRAY( $CP$15), $CR$15:$CU$19))</f>
        <v>4.4341947913603214E-2</v>
      </c>
      <c r="EZ24" cm="1">
        <f t="array" aca="1" ref="EZ24" ca="1">INDEX(_xlfn.ANCHORARRAY($CP$15), 1 + INT((ROWS($DG$15:$DG24) - 1) / ROWS(_xlfn.ANCHORARRAY($CP$15))))</f>
        <v>1</v>
      </c>
      <c r="FA24" cm="1">
        <f t="array" aca="1" ref="FA24" ca="1">INDEX(_xlfn.ANCHORARRAY($CP$15),1+MOD(ROWS($DG$15:$DG24)-1,ROWS(_xlfn.ANCHORARRAY($CP$15))))</f>
        <v>4</v>
      </c>
      <c r="FB24" s="10" cm="1">
        <f t="array" aca="1" ref="FB24" ca="1">EF24 * _xlfn.XLOOKUP(FB$13,_xlfn.ANCHORARRAY( $CZ$29), _xlfn.XLOOKUP($EZ24,_xlfn.ANCHORARRAY( $CY$30), $CZ$30:$DC$34)) * _xlfn.XLOOKUP(FB$14,_xlfn.ANCHORARRAY( $CZ$29), _xlfn.XLOOKUP($FA24,_xlfn.ANCHORARRAY( $CY$30), $CZ$30:$DC$34))</f>
        <v>1.8729985416724236E-2</v>
      </c>
      <c r="FC24" s="10" cm="1">
        <f t="array" aca="1" ref="FC24" ca="1">EG24 * _xlfn.XLOOKUP(FC$13,_xlfn.ANCHORARRAY( $CZ$29), _xlfn.XLOOKUP($EZ24,_xlfn.ANCHORARRAY( $CY$30), $CZ$30:$DC$34)) * _xlfn.XLOOKUP(FC$14,_xlfn.ANCHORARRAY( $CZ$29), _xlfn.XLOOKUP($FA24,_xlfn.ANCHORARRAY( $CY$30), $CZ$30:$DC$34))</f>
        <v>2.5372770853556367E-3</v>
      </c>
      <c r="FD24" s="10" cm="1">
        <f t="array" aca="1" ref="FD24" ca="1">EH24 * _xlfn.XLOOKUP(FD$13,_xlfn.ANCHORARRAY( $CZ$29), _xlfn.XLOOKUP($EZ24,_xlfn.ANCHORARRAY( $CY$30), $CZ$30:$DC$34)) * _xlfn.XLOOKUP(FD$14,_xlfn.ANCHORARRAY( $CZ$29), _xlfn.XLOOKUP($FA24,_xlfn.ANCHORARRAY( $CY$30), $CZ$30:$DC$34))</f>
        <v>1.2173700924209105E-3</v>
      </c>
      <c r="FE24" s="10" cm="1">
        <f t="array" aca="1" ref="FE24" ca="1">EI24 * _xlfn.XLOOKUP(FE$13,_xlfn.ANCHORARRAY( $CZ$29), _xlfn.XLOOKUP($EZ24,_xlfn.ANCHORARRAY( $CY$30), $CZ$30:$DC$34)) * _xlfn.XLOOKUP(FE$14,_xlfn.ANCHORARRAY( $CZ$29), _xlfn.XLOOKUP($FA24,_xlfn.ANCHORARRAY( $CY$30), $CZ$30:$DC$34))</f>
        <v>2.9322141887059616E-2</v>
      </c>
      <c r="FF24" s="10" cm="1">
        <f t="array" aca="1" ref="FF24" ca="1">EJ24 * _xlfn.XLOOKUP(FF$13,_xlfn.ANCHORARRAY( $CZ$29), _xlfn.XLOOKUP($EZ24,_xlfn.ANCHORARRAY( $CY$30), $CZ$30:$DC$34)) * _xlfn.XLOOKUP(FF$14,_xlfn.ANCHORARRAY( $CZ$29), _xlfn.XLOOKUP($FA24,_xlfn.ANCHORARRAY( $CY$30), $CZ$30:$DC$34))</f>
        <v>6.6898724695871638E-3</v>
      </c>
      <c r="FG24" s="10" cm="1">
        <f t="array" aca="1" ref="FG24" ca="1">EK24 * _xlfn.XLOOKUP(FG$13,_xlfn.ANCHORARRAY( $CZ$29), _xlfn.XLOOKUP($EZ24,_xlfn.ANCHORARRAY( $CY$30), $CZ$30:$DC$34)) * _xlfn.XLOOKUP(FG$14,_xlfn.ANCHORARRAY( $CZ$29), _xlfn.XLOOKUP($FA24,_xlfn.ANCHORARRAY( $CY$30), $CZ$30:$DC$34))</f>
        <v>-5.256714049698151E-2</v>
      </c>
      <c r="FH24" s="10" cm="1">
        <f t="array" aca="1" ref="FH24" ca="1">EL24 * _xlfn.XLOOKUP(FH$13,_xlfn.ANCHORARRAY( $CZ$29), _xlfn.XLOOKUP($EZ24,_xlfn.ANCHORARRAY( $CY$30), $CZ$30:$DC$34)) * _xlfn.XLOOKUP(FH$14,_xlfn.ANCHORARRAY( $CZ$29), _xlfn.XLOOKUP($FA24,_xlfn.ANCHORARRAY( $CY$30), $CZ$30:$DC$34))</f>
        <v>-5.0379422431346174E-2</v>
      </c>
      <c r="FI24" s="10" cm="1">
        <f t="array" aca="1" ref="FI24" ca="1">EM24 * _xlfn.XLOOKUP(FI$13,_xlfn.ANCHORARRAY( $CZ$29), _xlfn.XLOOKUP($EZ24,_xlfn.ANCHORARRAY( $CY$30), $CZ$30:$DC$34)) * _xlfn.XLOOKUP(FI$14,_xlfn.ANCHORARRAY( $CZ$29), _xlfn.XLOOKUP($FA24,_xlfn.ANCHORARRAY( $CY$30), $CZ$30:$DC$34))</f>
        <v>-0.24545998743616959</v>
      </c>
      <c r="FJ24" s="10" cm="1">
        <f t="array" aca="1" ref="FJ24" ca="1">EN24 * _xlfn.XLOOKUP(FJ$13,_xlfn.ANCHORARRAY( $CZ$29), _xlfn.XLOOKUP($EZ24,_xlfn.ANCHORARRAY( $CY$30), $CZ$30:$DC$34)) * _xlfn.XLOOKUP(FJ$14,_xlfn.ANCHORARRAY( $CZ$29), _xlfn.XLOOKUP($FA24,_xlfn.ANCHORARRAY( $CY$30), $CZ$30:$DC$34))</f>
        <v>8.5645747611486729E-4</v>
      </c>
      <c r="FK24" s="10" cm="1">
        <f t="array" aca="1" ref="FK24" ca="1">EO24 * _xlfn.XLOOKUP(FK$13,_xlfn.ANCHORARRAY( $CZ$29), _xlfn.XLOOKUP($EZ24,_xlfn.ANCHORARRAY( $CY$30), $CZ$30:$DC$34)) * _xlfn.XLOOKUP(FK$14,_xlfn.ANCHORARRAY( $CZ$29), _xlfn.XLOOKUP($FA24,_xlfn.ANCHORARRAY( $CY$30), $CZ$30:$DC$34))</f>
        <v>1.0398144204594133E-2</v>
      </c>
      <c r="FL24" s="10" cm="1">
        <f t="array" aca="1" ref="FL24" ca="1">EP24 * _xlfn.XLOOKUP(FL$13,_xlfn.ANCHORARRAY( $CZ$29), _xlfn.XLOOKUP($EZ24,_xlfn.ANCHORARRAY( $CY$30), $CZ$30:$DC$34)) * _xlfn.XLOOKUP(FL$14,_xlfn.ANCHORARRAY( $CZ$29), _xlfn.XLOOKUP($FA24,_xlfn.ANCHORARRAY( $CY$30), $CZ$30:$DC$34))</f>
        <v>9.8264741591708119E-3</v>
      </c>
      <c r="FM24" s="10" cm="1">
        <f t="array" aca="1" ref="FM24" ca="1">EQ24 * _xlfn.XLOOKUP(FM$13,_xlfn.ANCHORARRAY( $CZ$29), _xlfn.XLOOKUP($EZ24,_xlfn.ANCHORARRAY( $CY$30), $CZ$30:$DC$34)) * _xlfn.XLOOKUP(FM$14,_xlfn.ANCHORARRAY( $CZ$29), _xlfn.XLOOKUP($FA24,_xlfn.ANCHORARRAY( $CY$30), $CZ$30:$DC$34))</f>
        <v>5.0552860896193569E-2</v>
      </c>
      <c r="FN24" s="10" cm="1">
        <f t="array" aca="1" ref="FN24" ca="1">ER24 * _xlfn.XLOOKUP(FN$13,_xlfn.ANCHORARRAY( $CZ$29), _xlfn.XLOOKUP($EZ24,_xlfn.ANCHORARRAY( $CY$30), $CZ$30:$DC$34)) * _xlfn.XLOOKUP(FN$14,_xlfn.ANCHORARRAY( $CZ$29), _xlfn.XLOOKUP($FA24,_xlfn.ANCHORARRAY( $CY$30), $CZ$30:$DC$34))</f>
        <v>1.3856541984695924E-5</v>
      </c>
      <c r="FO24" s="10" cm="1">
        <f t="array" aca="1" ref="FO24" ca="1">ES24 * _xlfn.XLOOKUP(FO$13,_xlfn.ANCHORARRAY( $CZ$29), _xlfn.XLOOKUP($EZ24,_xlfn.ANCHORARRAY( $CY$30), $CZ$30:$DC$34)) * _xlfn.XLOOKUP(FO$14,_xlfn.ANCHORARRAY( $CZ$29), _xlfn.XLOOKUP($FA24,_xlfn.ANCHORARRAY( $CY$30), $CZ$30:$DC$34))</f>
        <v>-6.1324071187985364E-3</v>
      </c>
      <c r="FP24" s="10" cm="1">
        <f t="array" aca="1" ref="FP24" ca="1">ET24 * _xlfn.XLOOKUP(FP$13,_xlfn.ANCHORARRAY( $CZ$29), _xlfn.XLOOKUP($EZ24,_xlfn.ANCHORARRAY( $CY$30), $CZ$30:$DC$34)) * _xlfn.XLOOKUP(FP$14,_xlfn.ANCHORARRAY( $CZ$29), _xlfn.XLOOKUP($FA24,_xlfn.ANCHORARRAY( $CY$30), $CZ$30:$DC$34))</f>
        <v>-5.8283344267315105E-3</v>
      </c>
      <c r="FQ24" s="10" cm="1">
        <f t="array" aca="1" ref="FQ24" ca="1">EU24 * _xlfn.XLOOKUP(FQ$13,_xlfn.ANCHORARRAY( $CZ$29), _xlfn.XLOOKUP($EZ24,_xlfn.ANCHORARRAY( $CY$30), $CZ$30:$DC$34)) * _xlfn.XLOOKUP(FQ$14,_xlfn.ANCHORARRAY( $CZ$29), _xlfn.XLOOKUP($FA24,_xlfn.ANCHORARRAY( $CY$30), $CZ$30:$DC$34))</f>
        <v>-2.9338076543202935E-2</v>
      </c>
      <c r="FT24" cm="1">
        <f t="array" aca="1" ref="FT24" ca="1">SQRT(SUM((FB24:FQ24)^2))</f>
        <v>0.26553450906029602</v>
      </c>
    </row>
    <row r="25" spans="1:176" x14ac:dyDescent="0.2">
      <c r="D25" s="10">
        <f ca="1"/>
        <v>10</v>
      </c>
      <c r="F25" s="10">
        <f ca="1"/>
        <v>0.2</v>
      </c>
      <c r="H25" s="10"/>
      <c r="J25" cm="1">
        <f t="array" aca="1" ref="J25" ca="1">SUMPRODUCT((O25:AJ25=$O$11:$AJ$11)*(O$13:AJ$13=TRUE))  / COUNTIF(O$13:AJ$13,TRUE)</f>
        <v>0.4</v>
      </c>
      <c r="K25" t="b">
        <f t="shared" ca="1" si="3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4"/>
        <v>1</v>
      </c>
      <c r="N25" s="2">
        <v>10</v>
      </c>
      <c r="O25" s="12" t="s">
        <v>1</v>
      </c>
      <c r="P25" s="9" t="s">
        <v>2</v>
      </c>
      <c r="Q25" s="9" t="s">
        <v>0</v>
      </c>
      <c r="R25" s="9" t="s">
        <v>3</v>
      </c>
      <c r="S25" s="9" t="s">
        <v>3</v>
      </c>
      <c r="AK25" s="7"/>
      <c r="AN25">
        <f t="shared" ca="1" si="5"/>
        <v>5</v>
      </c>
      <c r="AO25" s="14">
        <f t="shared" ca="1" si="6"/>
        <v>0.2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0.4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0.6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0.4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0.4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0.4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0.6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0.4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0.4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0.8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0.6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0.8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0.8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0.6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0.8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0.6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0.2</v>
      </c>
      <c r="BN25">
        <f t="shared" ca="1" si="7"/>
        <v>5</v>
      </c>
      <c r="BO25" s="14">
        <f t="shared" ca="1" si="8"/>
        <v>0.2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0.4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0.6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0.4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0.4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0.4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0.6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0.4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0.4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0.8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0.6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0.8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0.8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0.6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0.8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0.6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0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0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0.2</v>
      </c>
      <c r="DF25" cm="1">
        <f t="array" aca="1" ref="DF25" ca="1">INDEX(_xlfn.ANCHORARRAY($CP$15), 1 + INT((ROWS($DG$15:$DG25) - 1) / ROWS(_xlfn.ANCHORARRAY($CP$15))))</f>
        <v>2</v>
      </c>
      <c r="DG25" cm="1">
        <f t="array" aca="1" ref="DG25" ca="1">INDEX(_xlfn.ANCHORARRAY($CP$15),1+MOD(ROWS($DG$15:$DG25)-1,ROWS(_xlfn.ANCHORARRAY($CP$15))))</f>
        <v>0</v>
      </c>
      <c r="DH25" s="10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$B$18/($B$19*$B$19*($DF25&lt;&gt;$DG25) + $B$19*($DF25=$DG25))</f>
        <v>3.9615841584158415E-2</v>
      </c>
      <c r="DI25" s="10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$B$18/($B$19*$B$19*($DF25&lt;&gt;$DG25) + $B$19*($DF25=$DG25))</f>
        <v>3.9615841584158415E-2</v>
      </c>
      <c r="DJ25" s="10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$B$18/($B$19*$B$19*($DF25&lt;&gt;$DG25) + $B$19*($DF25=$DG25))</f>
        <v>3.9615841584158415E-2</v>
      </c>
      <c r="DK25" s="10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$B$18/($B$19*$B$19*($DF25&lt;&gt;$DG25) + $B$19*($DF25=$DG25))</f>
        <v>3.9615841584158415E-2</v>
      </c>
      <c r="DL25" s="10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$B$18/($B$19*$B$19*($DF25&lt;&gt;$DG25) + $B$19*($DF25=$DG25))</f>
        <v>3.9615841584158415E-2</v>
      </c>
      <c r="DM25" s="10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$B$18/($B$19*$B$19*($DF25&lt;&gt;$DG25) + $B$19*($DF25=$DG25))</f>
        <v>3.9615841584158415E-2</v>
      </c>
      <c r="DN25" s="10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$B$18/($B$19*$B$19*($DF25&lt;&gt;$DG25) + $B$19*($DF25=$DG25))</f>
        <v>3.9615841584158415E-2</v>
      </c>
      <c r="DO25" s="10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$B$18/($B$19*$B$19*($DF25&lt;&gt;$DG25) + $B$19*($DF25=$DG25))</f>
        <v>3.9615841584158415E-2</v>
      </c>
      <c r="DP25" s="10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$B$18/($B$19*$B$19*($DF25&lt;&gt;$DG25) + $B$19*($DF25=$DG25))</f>
        <v>0.32773465346534647</v>
      </c>
      <c r="DQ25" s="10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$B$18/($B$19*$B$19*($DF25&lt;&gt;$DG25) + $B$19*($DF25=$DG25))</f>
        <v>4.921980198019802E-2</v>
      </c>
      <c r="DR25" s="10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$B$18/($B$19*$B$19*($DF25&lt;&gt;$DG25) + $B$19*($DF25=$DG25))</f>
        <v>4.921980198019802E-2</v>
      </c>
      <c r="DS25" s="10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$B$18/($B$19*$B$19*($DF25&lt;&gt;$DG25) + $B$19*($DF25=$DG25))</f>
        <v>4.921980198019802E-2</v>
      </c>
      <c r="DT25" s="10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$B$18/($B$19*$B$19*($DF25&lt;&gt;$DG25) + $B$19*($DF25=$DG25))</f>
        <v>4.921980198019802E-2</v>
      </c>
      <c r="DU25" s="10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$B$18/($B$19*$B$19*($DF25&lt;&gt;$DG25) + $B$19*($DF25=$DG25))</f>
        <v>4.921980198019802E-2</v>
      </c>
      <c r="DV25" s="10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$B$18/($B$19*$B$19*($DF25&lt;&gt;$DG25) + $B$19*($DF25=$DG25))</f>
        <v>4.921980198019802E-2</v>
      </c>
      <c r="DW25" s="10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$B$18/($B$19*$B$19*($DF25&lt;&gt;$DG25) + $B$19*($DF25=$DG25))</f>
        <v>4.921980198019802E-2</v>
      </c>
      <c r="ED25" cm="1">
        <f t="array" aca="1" ref="ED25" ca="1">INDEX(_xlfn.ANCHORARRAY($CP$15), 1 + INT((ROWS($DG$15:$DG25) - 1) / ROWS(_xlfn.ANCHORARRAY($CP$15))))</f>
        <v>2</v>
      </c>
      <c r="EE25" cm="1">
        <f t="array" aca="1" ref="EE25" ca="1">INDEX(_xlfn.ANCHORARRAY($CP$15),1+MOD(ROWS($DG$15:$DG25)-1,ROWS(_xlfn.ANCHORARRAY($CP$15))))</f>
        <v>0</v>
      </c>
      <c r="EF25" s="10" cm="1">
        <f t="array" aca="1" ref="EF25" ca="1">DH25-_xlfn.XLOOKUP(EF$13,_xlfn.ANCHORARRAY( $CR$14), _xlfn.XLOOKUP($ED25,_xlfn.ANCHORARRAY( $CP$15), $CR$15:$CU$19)) * _xlfn.XLOOKUP(EF$14,_xlfn.ANCHORARRAY( $CR$14), _xlfn.XLOOKUP($EE25,_xlfn.ANCHORARRAY( $CP$15), $CR$15:$CU$19))</f>
        <v>-3.3411969022644844E-2</v>
      </c>
      <c r="EG25" s="10" cm="1">
        <f t="array" aca="1" ref="EG25" ca="1">DI25-_xlfn.XLOOKUP(EG$13,_xlfn.ANCHORARRAY( $CR$14), _xlfn.XLOOKUP($ED25,_xlfn.ANCHORARRAY( $CP$15), $CR$15:$CU$19)) * _xlfn.XLOOKUP(EG$14,_xlfn.ANCHORARRAY( $CR$14), _xlfn.XLOOKUP($EE25,_xlfn.ANCHORARRAY( $CP$15), $CR$15:$CU$19))</f>
        <v>1.1056649740221546E-2</v>
      </c>
      <c r="EH25" s="10" cm="1">
        <f t="array" aca="1" ref="EH25" ca="1">DJ25-_xlfn.XLOOKUP(EH$13,_xlfn.ANCHORARRAY( $CR$14), _xlfn.XLOOKUP($ED25,_xlfn.ANCHORARRAY( $CP$15), $CR$15:$CU$19)) * _xlfn.XLOOKUP(EH$14,_xlfn.ANCHORARRAY( $CR$14), _xlfn.XLOOKUP($EE25,_xlfn.ANCHORARRAY( $CP$15), $CR$15:$CU$19))</f>
        <v>1.1056649740221546E-2</v>
      </c>
      <c r="EI25" s="10" cm="1">
        <f t="array" aca="1" ref="EI25" ca="1">DK25-_xlfn.XLOOKUP(EI$13,_xlfn.ANCHORARRAY( $CR$14), _xlfn.XLOOKUP($ED25,_xlfn.ANCHORARRAY( $CP$15), $CR$15:$CU$19)) * _xlfn.XLOOKUP(EI$14,_xlfn.ANCHORARRAY( $CR$14), _xlfn.XLOOKUP($EE25,_xlfn.ANCHORARRAY( $CP$15), $CR$15:$CU$19))</f>
        <v>1.1056649740221546E-2</v>
      </c>
      <c r="EJ25" s="10" cm="1">
        <f t="array" aca="1" ref="EJ25" ca="1">DL25-_xlfn.XLOOKUP(EJ$13,_xlfn.ANCHORARRAY( $CR$14), _xlfn.XLOOKUP($ED25,_xlfn.ANCHORARRAY( $CP$15), $CR$15:$CU$19)) * _xlfn.XLOOKUP(EJ$14,_xlfn.ANCHORARRAY( $CR$14), _xlfn.XLOOKUP($EE25,_xlfn.ANCHORARRAY( $CP$15), $CR$15:$CU$19))</f>
        <v>-3.3411969022644844E-2</v>
      </c>
      <c r="EK25" s="10" cm="1">
        <f t="array" aca="1" ref="EK25" ca="1">DM25-_xlfn.XLOOKUP(EK$13,_xlfn.ANCHORARRAY( $CR$14), _xlfn.XLOOKUP($ED25,_xlfn.ANCHORARRAY( $CP$15), $CR$15:$CU$19)) * _xlfn.XLOOKUP(EK$14,_xlfn.ANCHORARRAY( $CR$14), _xlfn.XLOOKUP($EE25,_xlfn.ANCHORARRAY( $CP$15), $CR$15:$CU$19))</f>
        <v>1.1056649740221546E-2</v>
      </c>
      <c r="EL25" s="10" cm="1">
        <f t="array" aca="1" ref="EL25" ca="1">DN25-_xlfn.XLOOKUP(EL$13,_xlfn.ANCHORARRAY( $CR$14), _xlfn.XLOOKUP($ED25,_xlfn.ANCHORARRAY( $CP$15), $CR$15:$CU$19)) * _xlfn.XLOOKUP(EL$14,_xlfn.ANCHORARRAY( $CR$14), _xlfn.XLOOKUP($EE25,_xlfn.ANCHORARRAY( $CP$15), $CR$15:$CU$19))</f>
        <v>1.1056649740221546E-2</v>
      </c>
      <c r="EM25" s="10" cm="1">
        <f t="array" aca="1" ref="EM25" ca="1">DO25-_xlfn.XLOOKUP(EM$13,_xlfn.ANCHORARRAY( $CR$14), _xlfn.XLOOKUP($ED25,_xlfn.ANCHORARRAY( $CP$15), $CR$15:$CU$19)) * _xlfn.XLOOKUP(EM$14,_xlfn.ANCHORARRAY( $CR$14), _xlfn.XLOOKUP($EE25,_xlfn.ANCHORARRAY( $CP$15), $CR$15:$CU$19))</f>
        <v>1.1056649740221546E-2</v>
      </c>
      <c r="EN25" s="10" cm="1">
        <f t="array" aca="1" ref="EN25" ca="1">DP25-_xlfn.XLOOKUP(EN$13,_xlfn.ANCHORARRAY( $CR$14), _xlfn.XLOOKUP($ED25,_xlfn.ANCHORARRAY( $CP$15), $CR$15:$CU$19)) * _xlfn.XLOOKUP(EN$14,_xlfn.ANCHORARRAY( $CR$14), _xlfn.XLOOKUP($EE25,_xlfn.ANCHORARRAY( $CP$15), $CR$15:$CU$19))</f>
        <v>0.10974713694735802</v>
      </c>
      <c r="EO25" s="10" cm="1">
        <f t="array" aca="1" ref="EO25" ca="1">DQ25-_xlfn.XLOOKUP(EO$13,_xlfn.ANCHORARRAY( $CR$14), _xlfn.XLOOKUP($ED25,_xlfn.ANCHORARRAY( $CP$15), $CR$15:$CU$19)) * _xlfn.XLOOKUP(EO$14,_xlfn.ANCHORARRAY( $CR$14), _xlfn.XLOOKUP($EE25,_xlfn.ANCHORARRAY( $CP$15), $CR$15:$CU$19))</f>
        <v>-3.6029190863640821E-2</v>
      </c>
      <c r="EP25" s="10" cm="1">
        <f t="array" aca="1" ref="EP25" ca="1">DR25-_xlfn.XLOOKUP(EP$13,_xlfn.ANCHORARRAY( $CR$14), _xlfn.XLOOKUP($ED25,_xlfn.ANCHORARRAY( $CP$15), $CR$15:$CU$19)) * _xlfn.XLOOKUP(EP$14,_xlfn.ANCHORARRAY( $CR$14), _xlfn.XLOOKUP($EE25,_xlfn.ANCHORARRAY( $CP$15), $CR$15:$CU$19))</f>
        <v>-3.6029190863640821E-2</v>
      </c>
      <c r="EQ25" s="10" cm="1">
        <f t="array" aca="1" ref="EQ25" ca="1">DS25-_xlfn.XLOOKUP(EQ$13,_xlfn.ANCHORARRAY( $CR$14), _xlfn.XLOOKUP($ED25,_xlfn.ANCHORARRAY( $CP$15), $CR$15:$CU$19)) * _xlfn.XLOOKUP(EQ$14,_xlfn.ANCHORARRAY( $CR$14), _xlfn.XLOOKUP($EE25,_xlfn.ANCHORARRAY( $CP$15), $CR$15:$CU$19))</f>
        <v>-3.6029190863640821E-2</v>
      </c>
      <c r="ER25" s="10" cm="1">
        <f t="array" aca="1" ref="ER25" ca="1">DT25-_xlfn.XLOOKUP(ER$13,_xlfn.ANCHORARRAY( $CR$14), _xlfn.XLOOKUP($ED25,_xlfn.ANCHORARRAY( $CP$15), $CR$15:$CU$19)) * _xlfn.XLOOKUP(ER$14,_xlfn.ANCHORARRAY( $CR$14), _xlfn.XLOOKUP($EE25,_xlfn.ANCHORARRAY( $CP$15), $CR$15:$CU$19))</f>
        <v>-4.1378882070385266E-2</v>
      </c>
      <c r="ES25" s="10" cm="1">
        <f t="array" aca="1" ref="ES25" ca="1">DU25-_xlfn.XLOOKUP(ES$13,_xlfn.ANCHORARRAY( $CR$14), _xlfn.XLOOKUP($ED25,_xlfn.ANCHORARRAY( $CP$15), $CR$15:$CU$19)) * _xlfn.XLOOKUP(ES$14,_xlfn.ANCHORARRAY( $CR$14), _xlfn.XLOOKUP($EE25,_xlfn.ANCHORARRAY( $CP$15), $CR$15:$CU$19))</f>
        <v>1.3789119105970006E-2</v>
      </c>
      <c r="ET25" s="10" cm="1">
        <f t="array" aca="1" ref="ET25" ca="1">DV25-_xlfn.XLOOKUP(ET$13,_xlfn.ANCHORARRAY( $CR$14), _xlfn.XLOOKUP($ED25,_xlfn.ANCHORARRAY( $CP$15), $CR$15:$CU$19)) * _xlfn.XLOOKUP(ET$14,_xlfn.ANCHORARRAY( $CR$14), _xlfn.XLOOKUP($EE25,_xlfn.ANCHORARRAY( $CP$15), $CR$15:$CU$19))</f>
        <v>1.3789119105970006E-2</v>
      </c>
      <c r="EU25" s="10" cm="1">
        <f t="array" aca="1" ref="EU25" ca="1">DW25-_xlfn.XLOOKUP(EU$13,_xlfn.ANCHORARRAY( $CR$14), _xlfn.XLOOKUP($ED25,_xlfn.ANCHORARRAY( $CP$15), $CR$15:$CU$19)) * _xlfn.XLOOKUP(EU$14,_xlfn.ANCHORARRAY( $CR$14), _xlfn.XLOOKUP($EE25,_xlfn.ANCHORARRAY( $CP$15), $CR$15:$CU$19))</f>
        <v>1.3789119105970006E-2</v>
      </c>
      <c r="EZ25" cm="1">
        <f t="array" aca="1" ref="EZ25" ca="1">INDEX(_xlfn.ANCHORARRAY($CP$15), 1 + INT((ROWS($DG$15:$DG25) - 1) / ROWS(_xlfn.ANCHORARRAY($CP$15))))</f>
        <v>2</v>
      </c>
      <c r="FA25" cm="1">
        <f t="array" aca="1" ref="FA25" ca="1">INDEX(_xlfn.ANCHORARRAY($CP$15),1+MOD(ROWS($DG$15:$DG25)-1,ROWS(_xlfn.ANCHORARRAY($CP$15))))</f>
        <v>0</v>
      </c>
      <c r="FB25" s="10" cm="1">
        <f t="array" aca="1" ref="FB25" ca="1">EF25 * _xlfn.XLOOKUP(FB$13,_xlfn.ANCHORARRAY( $CZ$29), _xlfn.XLOOKUP($EZ25,_xlfn.ANCHORARRAY( $CY$30), $CZ$30:$DC$34)) * _xlfn.XLOOKUP(FB$14,_xlfn.ANCHORARRAY( $CZ$29), _xlfn.XLOOKUP($FA25,_xlfn.ANCHORARRAY( $CY$30), $CZ$30:$DC$34))</f>
        <v>1.7424507584920257E-2</v>
      </c>
      <c r="FC25" s="10" cm="1">
        <f t="array" aca="1" ref="FC25" ca="1">EG25 * _xlfn.XLOOKUP(FC$13,_xlfn.ANCHORARRAY( $CZ$29), _xlfn.XLOOKUP($EZ25,_xlfn.ANCHORARRAY( $CY$30), $CZ$30:$DC$34)) * _xlfn.XLOOKUP(FC$14,_xlfn.ANCHORARRAY( $CZ$29), _xlfn.XLOOKUP($FA25,_xlfn.ANCHORARRAY( $CY$30), $CZ$30:$DC$34))</f>
        <v>2.6439500145374996E-3</v>
      </c>
      <c r="FD25" s="10" cm="1">
        <f t="array" aca="1" ref="FD25" ca="1">EH25 * _xlfn.XLOOKUP(FD$13,_xlfn.ANCHORARRAY( $CZ$29), _xlfn.XLOOKUP($EZ25,_xlfn.ANCHORARRAY( $CY$30), $CZ$30:$DC$34)) * _xlfn.XLOOKUP(FD$14,_xlfn.ANCHORARRAY( $CZ$29), _xlfn.XLOOKUP($FA25,_xlfn.ANCHORARRAY( $CY$30), $CZ$30:$DC$34))</f>
        <v>2.6439500145374996E-3</v>
      </c>
      <c r="FE25" s="10" cm="1">
        <f t="array" aca="1" ref="FE25" ca="1">EI25 * _xlfn.XLOOKUP(FE$13,_xlfn.ANCHORARRAY( $CZ$29), _xlfn.XLOOKUP($EZ25,_xlfn.ANCHORARRAY( $CY$30), $CZ$30:$DC$34)) * _xlfn.XLOOKUP(FE$14,_xlfn.ANCHORARRAY( $CZ$29), _xlfn.XLOOKUP($FA25,_xlfn.ANCHORARRAY( $CY$30), $CZ$30:$DC$34))</f>
        <v>2.6439500145374996E-3</v>
      </c>
      <c r="FF25" s="10" cm="1">
        <f t="array" aca="1" ref="FF25" ca="1">EJ25 * _xlfn.XLOOKUP(FF$13,_xlfn.ANCHORARRAY( $CZ$29), _xlfn.XLOOKUP($EZ25,_xlfn.ANCHORARRAY( $CY$30), $CZ$30:$DC$34)) * _xlfn.XLOOKUP(FF$14,_xlfn.ANCHORARRAY( $CZ$29), _xlfn.XLOOKUP($FA25,_xlfn.ANCHORARRAY( $CY$30), $CZ$30:$DC$34))</f>
        <v>1.7424507584920257E-2</v>
      </c>
      <c r="FG25" s="10" cm="1">
        <f t="array" aca="1" ref="FG25" ca="1">EK25 * _xlfn.XLOOKUP(FG$13,_xlfn.ANCHORARRAY( $CZ$29), _xlfn.XLOOKUP($EZ25,_xlfn.ANCHORARRAY( $CY$30), $CZ$30:$DC$34)) * _xlfn.XLOOKUP(FG$14,_xlfn.ANCHORARRAY( $CZ$29), _xlfn.XLOOKUP($FA25,_xlfn.ANCHORARRAY( $CY$30), $CZ$30:$DC$34))</f>
        <v>2.6439500145374996E-3</v>
      </c>
      <c r="FH25" s="10" cm="1">
        <f t="array" aca="1" ref="FH25" ca="1">EL25 * _xlfn.XLOOKUP(FH$13,_xlfn.ANCHORARRAY( $CZ$29), _xlfn.XLOOKUP($EZ25,_xlfn.ANCHORARRAY( $CY$30), $CZ$30:$DC$34)) * _xlfn.XLOOKUP(FH$14,_xlfn.ANCHORARRAY( $CZ$29), _xlfn.XLOOKUP($FA25,_xlfn.ANCHORARRAY( $CY$30), $CZ$30:$DC$34))</f>
        <v>2.6439500145374996E-3</v>
      </c>
      <c r="FI25" s="10" cm="1">
        <f t="array" aca="1" ref="FI25" ca="1">EM25 * _xlfn.XLOOKUP(FI$13,_xlfn.ANCHORARRAY( $CZ$29), _xlfn.XLOOKUP($EZ25,_xlfn.ANCHORARRAY( $CY$30), $CZ$30:$DC$34)) * _xlfn.XLOOKUP(FI$14,_xlfn.ANCHORARRAY( $CZ$29), _xlfn.XLOOKUP($FA25,_xlfn.ANCHORARRAY( $CY$30), $CZ$30:$DC$34))</f>
        <v>2.6439500145374996E-3</v>
      </c>
      <c r="FJ25" s="10" cm="1">
        <f t="array" aca="1" ref="FJ25" ca="1">EN25 * _xlfn.XLOOKUP(FJ$13,_xlfn.ANCHORARRAY( $CZ$29), _xlfn.XLOOKUP($EZ25,_xlfn.ANCHORARRAY( $CY$30), $CZ$30:$DC$34)) * _xlfn.XLOOKUP(FJ$14,_xlfn.ANCHORARRAY( $CZ$29), _xlfn.XLOOKUP($FA25,_xlfn.ANCHORARRAY( $CY$30), $CZ$30:$DC$34))</f>
        <v>0.10231800823628442</v>
      </c>
      <c r="FK25" s="10" cm="1">
        <f t="array" aca="1" ref="FK25" ca="1">EO25 * _xlfn.XLOOKUP(FK$13,_xlfn.ANCHORARRAY( $CZ$29), _xlfn.XLOOKUP($EZ25,_xlfn.ANCHORARRAY( $CY$30), $CZ$30:$DC$34)) * _xlfn.XLOOKUP(FK$14,_xlfn.ANCHORARRAY( $CZ$29), _xlfn.XLOOKUP($FA25,_xlfn.ANCHORARRAY( $CY$30), $CZ$30:$DC$34))</f>
        <v>1.5402266431703228E-2</v>
      </c>
      <c r="FL25" s="10" cm="1">
        <f t="array" aca="1" ref="FL25" ca="1">EP25 * _xlfn.XLOOKUP(FL$13,_xlfn.ANCHORARRAY( $CZ$29), _xlfn.XLOOKUP($EZ25,_xlfn.ANCHORARRAY( $CY$30), $CZ$30:$DC$34)) * _xlfn.XLOOKUP(FL$14,_xlfn.ANCHORARRAY( $CZ$29), _xlfn.XLOOKUP($FA25,_xlfn.ANCHORARRAY( $CY$30), $CZ$30:$DC$34))</f>
        <v>1.5402266431703228E-2</v>
      </c>
      <c r="FM25" s="10" cm="1">
        <f t="array" aca="1" ref="FM25" ca="1">EQ25 * _xlfn.XLOOKUP(FM$13,_xlfn.ANCHORARRAY( $CZ$29), _xlfn.XLOOKUP($EZ25,_xlfn.ANCHORARRAY( $CY$30), $CZ$30:$DC$34)) * _xlfn.XLOOKUP(FM$14,_xlfn.ANCHORARRAY( $CZ$29), _xlfn.XLOOKUP($FA25,_xlfn.ANCHORARRAY( $CY$30), $CZ$30:$DC$34))</f>
        <v>1.5402266431703228E-2</v>
      </c>
      <c r="FN25" s="10" cm="1">
        <f t="array" aca="1" ref="FN25" ca="1">ER25 * _xlfn.XLOOKUP(FN$13,_xlfn.ANCHORARRAY( $CZ$29), _xlfn.XLOOKUP($EZ25,_xlfn.ANCHORARRAY( $CY$30), $CZ$30:$DC$34)) * _xlfn.XLOOKUP(FN$14,_xlfn.ANCHORARRAY( $CZ$29), _xlfn.XLOOKUP($FA25,_xlfn.ANCHORARRAY( $CY$30), $CZ$30:$DC$34))</f>
        <v>1.1506338509959878E-2</v>
      </c>
      <c r="FO25" s="10" cm="1">
        <f t="array" aca="1" ref="FO25" ca="1">ES25 * _xlfn.XLOOKUP(FO$13,_xlfn.ANCHORARRAY( $CZ$29), _xlfn.XLOOKUP($EZ25,_xlfn.ANCHORARRAY( $CY$30), $CZ$30:$DC$34)) * _xlfn.XLOOKUP(FO$14,_xlfn.ANCHORARRAY( $CZ$29), _xlfn.XLOOKUP($FA25,_xlfn.ANCHORARRAY( $CY$30), $CZ$30:$DC$34))</f>
        <v>1.7581914384037791E-3</v>
      </c>
      <c r="FP25" s="10" cm="1">
        <f t="array" aca="1" ref="FP25" ca="1">ET25 * _xlfn.XLOOKUP(FP$13,_xlfn.ANCHORARRAY( $CZ$29), _xlfn.XLOOKUP($EZ25,_xlfn.ANCHORARRAY( $CY$30), $CZ$30:$DC$34)) * _xlfn.XLOOKUP(FP$14,_xlfn.ANCHORARRAY( $CZ$29), _xlfn.XLOOKUP($FA25,_xlfn.ANCHORARRAY( $CY$30), $CZ$30:$DC$34))</f>
        <v>1.7581914384037791E-3</v>
      </c>
      <c r="FQ25" s="10" cm="1">
        <f t="array" aca="1" ref="FQ25" ca="1">EU25 * _xlfn.XLOOKUP(FQ$13,_xlfn.ANCHORARRAY( $CZ$29), _xlfn.XLOOKUP($EZ25,_xlfn.ANCHORARRAY( $CY$30), $CZ$30:$DC$34)) * _xlfn.XLOOKUP(FQ$14,_xlfn.ANCHORARRAY( $CZ$29), _xlfn.XLOOKUP($FA25,_xlfn.ANCHORARRAY( $CY$30), $CZ$30:$DC$34))</f>
        <v>1.7581914384037791E-3</v>
      </c>
      <c r="FT25" cm="1">
        <f t="array" aca="1" ref="FT25" ca="1">SQRT(SUM((FB25:FQ25)^2))</f>
        <v>0.10941436623989569</v>
      </c>
    </row>
    <row r="26" spans="1:176" x14ac:dyDescent="0.2">
      <c r="D26" s="10">
        <f ca="1"/>
        <v>11</v>
      </c>
      <c r="F26" s="10">
        <f ca="1"/>
        <v>0.2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3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4"/>
        <v>1</v>
      </c>
      <c r="N26" s="2">
        <v>11</v>
      </c>
      <c r="O26" s="12" t="s">
        <v>1</v>
      </c>
      <c r="P26" s="9" t="s">
        <v>2</v>
      </c>
      <c r="Q26" s="9" t="s">
        <v>1</v>
      </c>
      <c r="R26" s="9" t="s">
        <v>3</v>
      </c>
      <c r="S26" s="9" t="s">
        <v>3</v>
      </c>
      <c r="AK26" s="7"/>
      <c r="AN26">
        <f t="shared" ca="1" si="5"/>
        <v>5</v>
      </c>
      <c r="AO26" s="14">
        <f t="shared" ca="1" si="6"/>
        <v>0.2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0.6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0.4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0.4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0.4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0.6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0.6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0.8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0.8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0.6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0.8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0.6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0.8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0.2</v>
      </c>
      <c r="BN26">
        <f t="shared" ca="1" si="7"/>
        <v>5</v>
      </c>
      <c r="BO26" s="14">
        <f t="shared" ca="1" si="8"/>
        <v>0.2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0.4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0.6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0.4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0.4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0.4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0.6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0.4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0.4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0.6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0.8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0.8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0.6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0.8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0.6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0.8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0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0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0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0.2</v>
      </c>
      <c r="DF26" cm="1">
        <f t="array" aca="1" ref="DF26" ca="1">INDEX(_xlfn.ANCHORARRAY($CP$15), 1 + INT((ROWS($DG$15:$DG26) - 1) / ROWS(_xlfn.ANCHORARRAY($CP$15))))</f>
        <v>2</v>
      </c>
      <c r="DG26" cm="1">
        <f t="array" aca="1" ref="DG26" ca="1">INDEX(_xlfn.ANCHORARRAY($CP$15),1+MOD(ROWS($DG$15:$DG26)-1,ROWS(_xlfn.ANCHORARRAY($CP$15))))</f>
        <v>1</v>
      </c>
      <c r="DH26" s="10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$B$18/($B$19*$B$19*($DF26&lt;&gt;$DG26) + $B$19*($DF26=$DG26))</f>
        <v>1.1999999999999999E-3</v>
      </c>
      <c r="DI26" s="10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$B$18/($B$19*$B$19*($DF26&lt;&gt;$DG26) + $B$19*($DF26=$DG26))</f>
        <v>1.1999999999999999E-3</v>
      </c>
      <c r="DJ26" s="10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$B$18/($B$19*$B$19*($DF26&lt;&gt;$DG26) + $B$19*($DF26=$DG26))</f>
        <v>0.15486336633663367</v>
      </c>
      <c r="DK26" s="10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$B$18/($B$19*$B$19*($DF26&lt;&gt;$DG26) + $B$19*($DF26=$DG26))</f>
        <v>1.1999999999999999E-3</v>
      </c>
      <c r="DL26" s="10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$B$18/($B$19*$B$19*($DF26&lt;&gt;$DG26) + $B$19*($DF26=$DG26))</f>
        <v>1.1999999999999999E-3</v>
      </c>
      <c r="DM26" s="10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$B$18/($B$19*$B$19*($DF26&lt;&gt;$DG26) + $B$19*($DF26=$DG26))</f>
        <v>1.1999999999999999E-3</v>
      </c>
      <c r="DN26" s="10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$B$18/($B$19*$B$19*($DF26&lt;&gt;$DG26) + $B$19*($DF26=$DG26))</f>
        <v>0.15486336633663367</v>
      </c>
      <c r="DO26" s="10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$B$18/($B$19*$B$19*($DF26&lt;&gt;$DG26) + $B$19*($DF26=$DG26))</f>
        <v>1.1999999999999999E-3</v>
      </c>
      <c r="DP26" s="10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$B$18/($B$19*$B$19*($DF26&lt;&gt;$DG26) + $B$19*($DF26=$DG26))</f>
        <v>1.1999999999999999E-3</v>
      </c>
      <c r="DQ26" s="10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$B$18/($B$19*$B$19*($DF26&lt;&gt;$DG26) + $B$19*($DF26=$DG26))</f>
        <v>0.4717940594059406</v>
      </c>
      <c r="DR26" s="10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$B$18/($B$19*$B$19*($DF26&lt;&gt;$DG26) + $B$19*($DF26=$DG26))</f>
        <v>1.1999999999999999E-3</v>
      </c>
      <c r="DS26" s="10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$B$18/($B$19*$B$19*($DF26&lt;&gt;$DG26) + $B$19*($DF26=$DG26))</f>
        <v>1.1999999999999999E-3</v>
      </c>
      <c r="DT26" s="10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$B$18/($B$19*$B$19*($DF26&lt;&gt;$DG26) + $B$19*($DF26=$DG26))</f>
        <v>1.1999999999999999E-3</v>
      </c>
      <c r="DU26" s="10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$B$18/($B$19*$B$19*($DF26&lt;&gt;$DG26) + $B$19*($DF26=$DG26))</f>
        <v>1.1999999999999999E-3</v>
      </c>
      <c r="DV26" s="10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$B$18/($B$19*$B$19*($DF26&lt;&gt;$DG26) + $B$19*($DF26=$DG26))</f>
        <v>1.1999999999999999E-3</v>
      </c>
      <c r="DW26" s="10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$B$18/($B$19*$B$19*($DF26&lt;&gt;$DG26) + $B$19*($DF26=$DG26))</f>
        <v>0.19327920792079209</v>
      </c>
      <c r="ED26" cm="1">
        <f t="array" aca="1" ref="ED26" ca="1">INDEX(_xlfn.ANCHORARRAY($CP$15), 1 + INT((ROWS($DG$15:$DG26) - 1) / ROWS(_xlfn.ANCHORARRAY($CP$15))))</f>
        <v>2</v>
      </c>
      <c r="EE26" cm="1">
        <f t="array" aca="1" ref="EE26" ca="1">INDEX(_xlfn.ANCHORARRAY($CP$15),1+MOD(ROWS($DG$15:$DG26)-1,ROWS(_xlfn.ANCHORARRAY($CP$15))))</f>
        <v>1</v>
      </c>
      <c r="EF26" s="10" cm="1">
        <f t="array" aca="1" ref="EF26" ca="1">DH26-_xlfn.XLOOKUP(EF$13,_xlfn.ANCHORARRAY( $CR$14), _xlfn.XLOOKUP($ED26,_xlfn.ANCHORARRAY( $CP$15), $CR$15:$CU$19)) * _xlfn.XLOOKUP(EF$14,_xlfn.ANCHORARRAY( $CR$14), _xlfn.XLOOKUP($EE26,_xlfn.ANCHORARRAY( $CP$15), $CR$15:$CU$19))</f>
        <v>2.4201980198019786E-4</v>
      </c>
      <c r="EG26" s="10" cm="1">
        <f t="array" aca="1" ref="EG26" ca="1">DI26-_xlfn.XLOOKUP(EG$13,_xlfn.ANCHORARRAY( $CR$14), _xlfn.XLOOKUP($ED26,_xlfn.ANCHORARRAY( $CP$15), $CR$15:$CU$19)) * _xlfn.XLOOKUP(EG$14,_xlfn.ANCHORARRAY( $CR$14), _xlfn.XLOOKUP($EE26,_xlfn.ANCHORARRAY( $CP$15), $CR$15:$CU$19))</f>
        <v>-7.4894611900794036E-2</v>
      </c>
      <c r="EH26" s="10" cm="1">
        <f t="array" aca="1" ref="EH26" ca="1">DJ26-_xlfn.XLOOKUP(EH$13,_xlfn.ANCHORARRAY( $CR$14), _xlfn.XLOOKUP($ED26,_xlfn.ANCHORARRAY( $CP$15), $CR$15:$CU$19)) * _xlfn.XLOOKUP(EH$14,_xlfn.ANCHORARRAY( $CR$14), _xlfn.XLOOKUP($EE26,_xlfn.ANCHORARRAY( $CP$15), $CR$15:$CU$19))</f>
        <v>0.1048365654347613</v>
      </c>
      <c r="EI26" s="10" cm="1">
        <f t="array" aca="1" ref="EI26" ca="1">DK26-_xlfn.XLOOKUP(EI$13,_xlfn.ANCHORARRAY( $CR$14), _xlfn.XLOOKUP($ED26,_xlfn.ANCHORARRAY( $CP$15), $CR$15:$CU$19)) * _xlfn.XLOOKUP(EI$14,_xlfn.ANCHORARRAY( $CR$14), _xlfn.XLOOKUP($EE26,_xlfn.ANCHORARRAY( $CP$15), $CR$15:$CU$19))</f>
        <v>-3.0425993137927654E-2</v>
      </c>
      <c r="EJ26" s="10" cm="1">
        <f t="array" aca="1" ref="EJ26" ca="1">DL26-_xlfn.XLOOKUP(EJ$13,_xlfn.ANCHORARRAY( $CR$14), _xlfn.XLOOKUP($ED26,_xlfn.ANCHORARRAY( $CP$15), $CR$15:$CU$19)) * _xlfn.XLOOKUP(EJ$14,_xlfn.ANCHORARRAY( $CR$14), _xlfn.XLOOKUP($EE26,_xlfn.ANCHORARRAY( $CP$15), $CR$15:$CU$19))</f>
        <v>2.4201980198019786E-4</v>
      </c>
      <c r="EK26" s="10" cm="1">
        <f t="array" aca="1" ref="EK26" ca="1">DM26-_xlfn.XLOOKUP(EK$13,_xlfn.ANCHORARRAY( $CR$14), _xlfn.XLOOKUP($ED26,_xlfn.ANCHORARRAY( $CP$15), $CR$15:$CU$19)) * _xlfn.XLOOKUP(EK$14,_xlfn.ANCHORARRAY( $CR$14), _xlfn.XLOOKUP($EE26,_xlfn.ANCHORARRAY( $CP$15), $CR$15:$CU$19))</f>
        <v>-7.4894611900794036E-2</v>
      </c>
      <c r="EL26" s="10" cm="1">
        <f t="array" aca="1" ref="EL26" ca="1">DN26-_xlfn.XLOOKUP(EL$13,_xlfn.ANCHORARRAY( $CR$14), _xlfn.XLOOKUP($ED26,_xlfn.ANCHORARRAY( $CP$15), $CR$15:$CU$19)) * _xlfn.XLOOKUP(EL$14,_xlfn.ANCHORARRAY( $CR$14), _xlfn.XLOOKUP($EE26,_xlfn.ANCHORARRAY( $CP$15), $CR$15:$CU$19))</f>
        <v>0.1048365654347613</v>
      </c>
      <c r="EM26" s="10" cm="1">
        <f t="array" aca="1" ref="EM26" ca="1">DO26-_xlfn.XLOOKUP(EM$13,_xlfn.ANCHORARRAY( $CR$14), _xlfn.XLOOKUP($ED26,_xlfn.ANCHORARRAY( $CP$15), $CR$15:$CU$19)) * _xlfn.XLOOKUP(EM$14,_xlfn.ANCHORARRAY( $CR$14), _xlfn.XLOOKUP($EE26,_xlfn.ANCHORARRAY( $CP$15), $CR$15:$CU$19))</f>
        <v>-3.0425993137927654E-2</v>
      </c>
      <c r="EN26" s="10" cm="1">
        <f t="array" aca="1" ref="EN26" ca="1">DP26-_xlfn.XLOOKUP(EN$13,_xlfn.ANCHORARRAY( $CR$14), _xlfn.XLOOKUP($ED26,_xlfn.ANCHORARRAY( $CP$15), $CR$15:$CU$19)) * _xlfn.XLOOKUP(EN$14,_xlfn.ANCHORARRAY( $CR$14), _xlfn.XLOOKUP($EE26,_xlfn.ANCHORARRAY( $CP$15), $CR$15:$CU$19))</f>
        <v>-1.6595643564356439E-3</v>
      </c>
      <c r="EO26" s="10" cm="1">
        <f t="array" aca="1" ref="EO26" ca="1">DQ26-_xlfn.XLOOKUP(EO$13,_xlfn.ANCHORARRAY( $CR$14), _xlfn.XLOOKUP($ED26,_xlfn.ANCHORARRAY( $CP$15), $CR$15:$CU$19)) * _xlfn.XLOOKUP(EO$14,_xlfn.ANCHORARRAY( $CR$14), _xlfn.XLOOKUP($EE26,_xlfn.ANCHORARRAY( $CP$15), $CR$15:$CU$19))</f>
        <v>0.24465216194490733</v>
      </c>
      <c r="EP26" s="10" cm="1">
        <f t="array" aca="1" ref="EP26" ca="1">DR26-_xlfn.XLOOKUP(EP$13,_xlfn.ANCHORARRAY( $CR$14), _xlfn.XLOOKUP($ED26,_xlfn.ANCHORARRAY( $CP$15), $CR$15:$CU$19)) * _xlfn.XLOOKUP(EP$14,_xlfn.ANCHORARRAY( $CR$14), _xlfn.XLOOKUP($EE26,_xlfn.ANCHORARRAY( $CP$15), $CR$15:$CU$19))</f>
        <v>-0.14812965944515244</v>
      </c>
      <c r="EQ26" s="10" cm="1">
        <f t="array" aca="1" ref="EQ26" ca="1">DS26-_xlfn.XLOOKUP(EQ$13,_xlfn.ANCHORARRAY( $CR$14), _xlfn.XLOOKUP($ED26,_xlfn.ANCHORARRAY( $CP$15), $CR$15:$CU$19)) * _xlfn.XLOOKUP(EQ$14,_xlfn.ANCHORARRAY( $CR$14), _xlfn.XLOOKUP($EE26,_xlfn.ANCHORARRAY( $CP$15), $CR$15:$CU$19))</f>
        <v>-9.3203373786883648E-2</v>
      </c>
      <c r="ER26" s="10" cm="1">
        <f t="array" aca="1" ref="ER26" ca="1">DT26-_xlfn.XLOOKUP(ER$13,_xlfn.ANCHORARRAY( $CR$14), _xlfn.XLOOKUP($ED26,_xlfn.ANCHORARRAY( $CP$15), $CR$15:$CU$19)) * _xlfn.XLOOKUP(ER$14,_xlfn.ANCHORARRAY( $CR$14), _xlfn.XLOOKUP($EE26,_xlfn.ANCHORARRAY( $CP$15), $CR$15:$CU$19))</f>
        <v>1.1524752475247429E-5</v>
      </c>
      <c r="ES26" s="10" cm="1">
        <f t="array" aca="1" ref="ES26" ca="1">DU26-_xlfn.XLOOKUP(ES$13,_xlfn.ANCHORARRAY( $CR$14), _xlfn.XLOOKUP($ED26,_xlfn.ANCHORARRAY( $CP$15), $CR$15:$CU$19)) * _xlfn.XLOOKUP(ES$14,_xlfn.ANCHORARRAY( $CR$14), _xlfn.XLOOKUP($EE26,_xlfn.ANCHORARRAY( $CP$15), $CR$15:$CU$19))</f>
        <v>-9.3203373786883648E-2</v>
      </c>
      <c r="ET26" s="10" cm="1">
        <f t="array" aca="1" ref="ET26" ca="1">DV26-_xlfn.XLOOKUP(ET$13,_xlfn.ANCHORARRAY( $CR$14), _xlfn.XLOOKUP($ED26,_xlfn.ANCHORARRAY( $CP$15), $CR$15:$CU$19)) * _xlfn.XLOOKUP(ET$14,_xlfn.ANCHORARRAY( $CR$14), _xlfn.XLOOKUP($EE26,_xlfn.ANCHORARRAY( $CP$15), $CR$15:$CU$19))</f>
        <v>-6.0863511028330562E-2</v>
      </c>
      <c r="EU26" s="10" cm="1">
        <f t="array" aca="1" ref="EU26" ca="1">DW26-_xlfn.XLOOKUP(EU$13,_xlfn.ANCHORARRAY( $CR$14), _xlfn.XLOOKUP($ED26,_xlfn.ANCHORARRAY( $CP$15), $CR$15:$CU$19)) * _xlfn.XLOOKUP(EU$14,_xlfn.ANCHORARRAY( $CR$14), _xlfn.XLOOKUP($EE26,_xlfn.ANCHORARRAY( $CP$15), $CR$15:$CU$19))</f>
        <v>0.15404383531026372</v>
      </c>
      <c r="EZ26" cm="1">
        <f t="array" aca="1" ref="EZ26" ca="1">INDEX(_xlfn.ANCHORARRAY($CP$15), 1 + INT((ROWS($DG$15:$DG26) - 1) / ROWS(_xlfn.ANCHORARRAY($CP$15))))</f>
        <v>2</v>
      </c>
      <c r="FA26" cm="1">
        <f t="array" aca="1" ref="FA26" ca="1">INDEX(_xlfn.ANCHORARRAY($CP$15),1+MOD(ROWS($DG$15:$DG26)-1,ROWS(_xlfn.ANCHORARRAY($CP$15))))</f>
        <v>1</v>
      </c>
      <c r="FB26" s="10" cm="1">
        <f t="array" aca="1" ref="FB26" ca="1">EF26 * _xlfn.XLOOKUP(FB$13,_xlfn.ANCHORARRAY( $CZ$29), _xlfn.XLOOKUP($EZ26,_xlfn.ANCHORARRAY( $CY$30), $CZ$30:$DC$34)) * _xlfn.XLOOKUP(FB$14,_xlfn.ANCHORARRAY( $CZ$29), _xlfn.XLOOKUP($FA26,_xlfn.ANCHORARRAY( $CY$30), $CZ$30:$DC$34))</f>
        <v>5.4572544928273173E-4</v>
      </c>
      <c r="FC26" s="10" cm="1">
        <f t="array" aca="1" ref="FC26" ca="1">EG26 * _xlfn.XLOOKUP(FC$13,_xlfn.ANCHORARRAY( $CZ$29), _xlfn.XLOOKUP($EZ26,_xlfn.ANCHORARRAY( $CY$30), $CZ$30:$DC$34)) * _xlfn.XLOOKUP(FC$14,_xlfn.ANCHORARRAY( $CZ$29), _xlfn.XLOOKUP($FA26,_xlfn.ANCHORARRAY( $CY$30), $CZ$30:$DC$34))</f>
        <v>4.2307090714612534E-2</v>
      </c>
      <c r="FD26" s="10" cm="1">
        <f t="array" aca="1" ref="FD26" ca="1">EH26 * _xlfn.XLOOKUP(FD$13,_xlfn.ANCHORARRAY( $CZ$29), _xlfn.XLOOKUP($EZ26,_xlfn.ANCHORARRAY( $CY$30), $CZ$30:$DC$34)) * _xlfn.XLOOKUP(FD$14,_xlfn.ANCHORARRAY( $CZ$29), _xlfn.XLOOKUP($FA26,_xlfn.ANCHORARRAY( $CY$30), $CZ$30:$DC$34))</f>
        <v>-1.8504349304905267E-2</v>
      </c>
      <c r="FE26" s="10" cm="1">
        <f t="array" aca="1" ref="FE26" ca="1">EI26 * _xlfn.XLOOKUP(FE$13,_xlfn.ANCHORARRAY( $CZ$29), _xlfn.XLOOKUP($EZ26,_xlfn.ANCHORARRAY( $CY$30), $CZ$30:$DC$34)) * _xlfn.XLOOKUP(FE$14,_xlfn.ANCHORARRAY( $CZ$29), _xlfn.XLOOKUP($FA26,_xlfn.ANCHORARRAY( $CY$30), $CZ$30:$DC$34))</f>
        <v>-5.1263336064070299E-3</v>
      </c>
      <c r="FF26" s="10" cm="1">
        <f t="array" aca="1" ref="FF26" ca="1">EJ26 * _xlfn.XLOOKUP(FF$13,_xlfn.ANCHORARRAY( $CZ$29), _xlfn.XLOOKUP($EZ26,_xlfn.ANCHORARRAY( $CY$30), $CZ$30:$DC$34)) * _xlfn.XLOOKUP(FF$14,_xlfn.ANCHORARRAY( $CZ$29), _xlfn.XLOOKUP($FA26,_xlfn.ANCHORARRAY( $CY$30), $CZ$30:$DC$34))</f>
        <v>5.4572544928273173E-4</v>
      </c>
      <c r="FG26" s="10" cm="1">
        <f t="array" aca="1" ref="FG26" ca="1">EK26 * _xlfn.XLOOKUP(FG$13,_xlfn.ANCHORARRAY( $CZ$29), _xlfn.XLOOKUP($EZ26,_xlfn.ANCHORARRAY( $CY$30), $CZ$30:$DC$34)) * _xlfn.XLOOKUP(FG$14,_xlfn.ANCHORARRAY( $CZ$29), _xlfn.XLOOKUP($FA26,_xlfn.ANCHORARRAY( $CY$30), $CZ$30:$DC$34))</f>
        <v>4.2307090714612534E-2</v>
      </c>
      <c r="FH26" s="10" cm="1">
        <f t="array" aca="1" ref="FH26" ca="1">EL26 * _xlfn.XLOOKUP(FH$13,_xlfn.ANCHORARRAY( $CZ$29), _xlfn.XLOOKUP($EZ26,_xlfn.ANCHORARRAY( $CY$30), $CZ$30:$DC$34)) * _xlfn.XLOOKUP(FH$14,_xlfn.ANCHORARRAY( $CZ$29), _xlfn.XLOOKUP($FA26,_xlfn.ANCHORARRAY( $CY$30), $CZ$30:$DC$34))</f>
        <v>-1.8504349304905267E-2</v>
      </c>
      <c r="FI26" s="10" cm="1">
        <f t="array" aca="1" ref="FI26" ca="1">EM26 * _xlfn.XLOOKUP(FI$13,_xlfn.ANCHORARRAY( $CZ$29), _xlfn.XLOOKUP($EZ26,_xlfn.ANCHORARRAY( $CY$30), $CZ$30:$DC$34)) * _xlfn.XLOOKUP(FI$14,_xlfn.ANCHORARRAY( $CZ$29), _xlfn.XLOOKUP($FA26,_xlfn.ANCHORARRAY( $CY$30), $CZ$30:$DC$34))</f>
        <v>-5.1263336064070299E-3</v>
      </c>
      <c r="FJ26" s="10" cm="1">
        <f t="array" aca="1" ref="FJ26" ca="1">EN26 * _xlfn.XLOOKUP(FJ$13,_xlfn.ANCHORARRAY( $CZ$29), _xlfn.XLOOKUP($EZ26,_xlfn.ANCHORARRAY( $CY$30), $CZ$30:$DC$34)) * _xlfn.XLOOKUP(FJ$14,_xlfn.ANCHORARRAY( $CZ$29), _xlfn.XLOOKUP($FA26,_xlfn.ANCHORARRAY( $CY$30), $CZ$30:$DC$34))</f>
        <v>6.6898724695871638E-3</v>
      </c>
      <c r="FK26" s="10" cm="1">
        <f t="array" aca="1" ref="FK26" ca="1">EO26 * _xlfn.XLOOKUP(FK$13,_xlfn.ANCHORARRAY( $CZ$29), _xlfn.XLOOKUP($EZ26,_xlfn.ANCHORARRAY( $CY$30), $CZ$30:$DC$34)) * _xlfn.XLOOKUP(FK$14,_xlfn.ANCHORARRAY( $CZ$29), _xlfn.XLOOKUP($FA26,_xlfn.ANCHORARRAY( $CY$30), $CZ$30:$DC$34))</f>
        <v>0.24706548530682468</v>
      </c>
      <c r="FL26" s="10" cm="1">
        <f t="array" aca="1" ref="FL26" ca="1">EP26 * _xlfn.XLOOKUP(FL$13,_xlfn.ANCHORARRAY( $CZ$29), _xlfn.XLOOKUP($EZ26,_xlfn.ANCHORARRAY( $CY$30), $CZ$30:$DC$34)) * _xlfn.XLOOKUP(FL$14,_xlfn.ANCHORARRAY( $CZ$29), _xlfn.XLOOKUP($FA26,_xlfn.ANCHORARRAY( $CY$30), $CZ$30:$DC$34))</f>
        <v>-4.6741591137316227E-2</v>
      </c>
      <c r="FM26" s="10" cm="1">
        <f t="array" aca="1" ref="FM26" ca="1">EQ26 * _xlfn.XLOOKUP(FM$13,_xlfn.ANCHORARRAY( $CZ$29), _xlfn.XLOOKUP($EZ26,_xlfn.ANCHORARRAY( $CY$30), $CZ$30:$DC$34)) * _xlfn.XLOOKUP(FM$14,_xlfn.ANCHORARRAY( $CZ$29), _xlfn.XLOOKUP($FA26,_xlfn.ANCHORARRAY( $CY$30), $CZ$30:$DC$34))</f>
        <v>2.8073345462718734E-2</v>
      </c>
      <c r="FN26" s="10" cm="1">
        <f t="array" aca="1" ref="FN26" ca="1">ER26 * _xlfn.XLOOKUP(FN$13,_xlfn.ANCHORARRAY( $CZ$29), _xlfn.XLOOKUP($EZ26,_xlfn.ANCHORARRAY( $CY$30), $CZ$30:$DC$34)) * _xlfn.XLOOKUP(FN$14,_xlfn.ANCHORARRAY( $CZ$29), _xlfn.XLOOKUP($FA26,_xlfn.ANCHORARRAY( $CY$30), $CZ$30:$DC$34))</f>
        <v>1.3856541984695924E-5</v>
      </c>
      <c r="FO26" s="10" cm="1">
        <f t="array" aca="1" ref="FO26" ca="1">ES26 * _xlfn.XLOOKUP(FO$13,_xlfn.ANCHORARRAY( $CZ$29), _xlfn.XLOOKUP($EZ26,_xlfn.ANCHORARRAY( $CY$30), $CZ$30:$DC$34)) * _xlfn.XLOOKUP(FO$14,_xlfn.ANCHORARRAY( $CZ$29), _xlfn.XLOOKUP($FA26,_xlfn.ANCHORARRAY( $CY$30), $CZ$30:$DC$34))</f>
        <v>2.8073345462718738E-2</v>
      </c>
      <c r="FP26" s="10" cm="1">
        <f t="array" aca="1" ref="FP26" ca="1">ET26 * _xlfn.XLOOKUP(FP$13,_xlfn.ANCHORARRAY( $CZ$29), _xlfn.XLOOKUP($EZ26,_xlfn.ANCHORARRAY( $CY$30), $CZ$30:$DC$34)) * _xlfn.XLOOKUP(FP$14,_xlfn.ANCHORARRAY( $CZ$29), _xlfn.XLOOKUP($FA26,_xlfn.ANCHORARRAY( $CY$30), $CZ$30:$DC$34))</f>
        <v>5.7281975204219798E-3</v>
      </c>
      <c r="FQ26" s="10" cm="1">
        <f t="array" aca="1" ref="FQ26" ca="1">EU26 * _xlfn.XLOOKUP(FQ$13,_xlfn.ANCHORARRAY( $CZ$29), _xlfn.XLOOKUP($EZ26,_xlfn.ANCHORARRAY( $CY$30), $CZ$30:$DC$34)) * _xlfn.XLOOKUP(FQ$14,_xlfn.ANCHORARRAY( $CZ$29), _xlfn.XLOOKUP($FA26,_xlfn.ANCHORARRAY( $CY$30), $CZ$30:$DC$34))</f>
        <v>1.3839053076182732E-2</v>
      </c>
      <c r="FT26" cm="1">
        <f t="array" aca="1" ref="FT26" ca="1">SQRT(SUM((FB26:FQ26)^2))</f>
        <v>0.26341829474489764</v>
      </c>
    </row>
    <row r="27" spans="1:176" x14ac:dyDescent="0.2">
      <c r="D27" s="10">
        <f ca="1"/>
        <v>12</v>
      </c>
      <c r="F27" s="10">
        <f ca="1"/>
        <v>0.2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3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4"/>
        <v>1</v>
      </c>
      <c r="N27" s="2">
        <v>12</v>
      </c>
      <c r="O27" s="12" t="s">
        <v>2</v>
      </c>
      <c r="P27" s="9" t="s">
        <v>2</v>
      </c>
      <c r="Q27" s="9" t="s">
        <v>0</v>
      </c>
      <c r="R27" s="9" t="s">
        <v>3</v>
      </c>
      <c r="S27" s="9" t="s">
        <v>3</v>
      </c>
      <c r="AK27" s="7"/>
      <c r="AN27">
        <f t="shared" ca="1" si="5"/>
        <v>5</v>
      </c>
      <c r="AO27" s="14">
        <f t="shared" ca="1" si="6"/>
        <v>0.2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0.4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0.6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0.4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0.6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0.4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0.8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0.6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0.8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0.6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0.8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0.6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0.2</v>
      </c>
      <c r="BN27">
        <f t="shared" ca="1" si="7"/>
        <v>5</v>
      </c>
      <c r="BO27" s="14">
        <f t="shared" ca="1" si="8"/>
        <v>0.2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0.4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0.4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0.6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0.4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0.4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0.4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0.6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0.4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0.8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0.6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0.8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0.6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0.8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0.8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0.6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0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0.2</v>
      </c>
      <c r="DF27" cm="1">
        <f t="array" aca="1" ref="DF27" ca="1">INDEX(_xlfn.ANCHORARRAY($CP$15), 1 + INT((ROWS($DG$15:$DG27) - 1) / ROWS(_xlfn.ANCHORARRAY($CP$15))))</f>
        <v>2</v>
      </c>
      <c r="DG27" cm="1">
        <f t="array" aca="1" ref="DG27" ca="1">INDEX(_xlfn.ANCHORARRAY($CP$15),1+MOD(ROWS($DG$15:$DG27)-1,ROWS(_xlfn.ANCHORARRAY($CP$15))))</f>
        <v>2</v>
      </c>
      <c r="DH27" s="10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$B$18/($B$19*$B$19*($DF27&lt;&gt;$DG27) + $B$19*($DF27=$DG27))</f>
        <v>0.15966336633663367</v>
      </c>
      <c r="DI27" s="10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$B$18/($B$19*$B$19*($DF27&lt;&gt;$DG27) + $B$19*($DF27=$DG27))</f>
        <v>6.0000000000000001E-3</v>
      </c>
      <c r="DJ27" s="10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$B$18/($B$19*$B$19*($DF27&lt;&gt;$DG27) + $B$19*($DF27=$DG27))</f>
        <v>6.0000000000000001E-3</v>
      </c>
      <c r="DK27" s="10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$B$18/($B$19*$B$19*($DF27&lt;&gt;$DG27) + $B$19*($DF27=$DG27))</f>
        <v>6.0000000000000001E-3</v>
      </c>
      <c r="DL27" s="10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$B$18/($B$19*$B$19*($DF27&lt;&gt;$DG27) + $B$19*($DF27=$DG27))</f>
        <v>6.0000000000000001E-3</v>
      </c>
      <c r="DM27" s="10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$B$18/($B$19*$B$19*($DF27&lt;&gt;$DG27) + $B$19*($DF27=$DG27))</f>
        <v>0.15966336633663367</v>
      </c>
      <c r="DN27" s="10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$B$18/($B$19*$B$19*($DF27&lt;&gt;$DG27) + $B$19*($DF27=$DG27))</f>
        <v>6.0000000000000001E-3</v>
      </c>
      <c r="DO27" s="10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$B$18/($B$19*$B$19*($DF27&lt;&gt;$DG27) + $B$19*($DF27=$DG27))</f>
        <v>6.0000000000000001E-3</v>
      </c>
      <c r="DP27" s="10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$B$18/($B$19*$B$19*($DF27&lt;&gt;$DG27) + $B$19*($DF27=$DG27))</f>
        <v>6.0000000000000001E-3</v>
      </c>
      <c r="DQ27" s="10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$B$18/($B$19*$B$19*($DF27&lt;&gt;$DG27) + $B$19*($DF27=$DG27))</f>
        <v>6.0000000000000001E-3</v>
      </c>
      <c r="DR27" s="10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$B$18/($B$19*$B$19*($DF27&lt;&gt;$DG27) + $B$19*($DF27=$DG27))</f>
        <v>0.47659405940594063</v>
      </c>
      <c r="DS27" s="10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$B$18/($B$19*$B$19*($DF27&lt;&gt;$DG27) + $B$19*($DF27=$DG27))</f>
        <v>6.0000000000000001E-3</v>
      </c>
      <c r="DT27" s="10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$B$18/($B$19*$B$19*($DF27&lt;&gt;$DG27) + $B$19*($DF27=$DG27))</f>
        <v>6.0000000000000001E-3</v>
      </c>
      <c r="DU27" s="10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$B$18/($B$19*$B$19*($DF27&lt;&gt;$DG27) + $B$19*($DF27=$DG27))</f>
        <v>6.0000000000000001E-3</v>
      </c>
      <c r="DV27" s="10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$B$18/($B$19*$B$19*($DF27&lt;&gt;$DG27) + $B$19*($DF27=$DG27))</f>
        <v>6.0000000000000001E-3</v>
      </c>
      <c r="DW27" s="10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$B$18/($B$19*$B$19*($DF27&lt;&gt;$DG27) + $B$19*($DF27=$DG27))</f>
        <v>0.19807920792079209</v>
      </c>
      <c r="ED27" cm="1">
        <f t="array" aca="1" ref="ED27" ca="1">INDEX(_xlfn.ANCHORARRAY($CP$15), 1 + INT((ROWS($DG$15:$DG27) - 1) / ROWS(_xlfn.ANCHORARRAY($CP$15))))</f>
        <v>2</v>
      </c>
      <c r="EE27" cm="1">
        <f t="array" aca="1" ref="EE27" ca="1">INDEX(_xlfn.ANCHORARRAY($CP$15),1+MOD(ROWS($DG$15:$DG27)-1,ROWS(_xlfn.ANCHORARRAY($CP$15))))</f>
        <v>2</v>
      </c>
      <c r="EF27" s="10" cm="1">
        <f t="array" aca="1" ref="EF27" ca="1">DH27-_xlfn.XLOOKUP(EF$13,_xlfn.ANCHORARRAY( $CR$14), _xlfn.XLOOKUP($ED27,_xlfn.ANCHORARRAY( $CP$15), $CR$15:$CU$19)) * _xlfn.XLOOKUP(EF$14,_xlfn.ANCHORARRAY( $CR$14), _xlfn.XLOOKUP($EE27,_xlfn.ANCHORARRAY( $CP$15), $CR$15:$CU$19))</f>
        <v>0.13417097578668757</v>
      </c>
      <c r="EG27" s="10" cm="1">
        <f t="array" aca="1" ref="EG27" ca="1">DI27-_xlfn.XLOOKUP(EG$13,_xlfn.ANCHORARRAY( $CR$14), _xlfn.XLOOKUP($ED27,_xlfn.ANCHORARRAY( $CP$15), $CR$15:$CU$19)) * _xlfn.XLOOKUP(EG$14,_xlfn.ANCHORARRAY( $CR$14), _xlfn.XLOOKUP($EE27,_xlfn.ANCHORARRAY( $CP$15), $CR$15:$CU$19))</f>
        <v>-1.9492390549946087E-2</v>
      </c>
      <c r="EH27" s="10" cm="1">
        <f t="array" aca="1" ref="EH27" ca="1">DJ27-_xlfn.XLOOKUP(EH$13,_xlfn.ANCHORARRAY( $CR$14), _xlfn.XLOOKUP($ED27,_xlfn.ANCHORARRAY( $CP$15), $CR$15:$CU$19)) * _xlfn.XLOOKUP(EH$14,_xlfn.ANCHORARRAY( $CR$14), _xlfn.XLOOKUP($EE27,_xlfn.ANCHORARRAY( $CP$15), $CR$15:$CU$19))</f>
        <v>-7.0094611900794038E-2</v>
      </c>
      <c r="EI27" s="10" cm="1">
        <f t="array" aca="1" ref="EI27" ca="1">DK27-_xlfn.XLOOKUP(EI$13,_xlfn.ANCHORARRAY( $CR$14), _xlfn.XLOOKUP($ED27,_xlfn.ANCHORARRAY( $CP$15), $CR$15:$CU$19)) * _xlfn.XLOOKUP(EI$14,_xlfn.ANCHORARRAY( $CR$14), _xlfn.XLOOKUP($EE27,_xlfn.ANCHORARRAY( $CP$15), $CR$15:$CU$19))</f>
        <v>-2.5625993137927655E-2</v>
      </c>
      <c r="EJ27" s="10" cm="1">
        <f t="array" aca="1" ref="EJ27" ca="1">DL27-_xlfn.XLOOKUP(EJ$13,_xlfn.ANCHORARRAY( $CR$14), _xlfn.XLOOKUP($ED27,_xlfn.ANCHORARRAY( $CP$15), $CR$15:$CU$19)) * _xlfn.XLOOKUP(EJ$14,_xlfn.ANCHORARRAY( $CR$14), _xlfn.XLOOKUP($EE27,_xlfn.ANCHORARRAY( $CP$15), $CR$15:$CU$19))</f>
        <v>-1.9492390549946087E-2</v>
      </c>
      <c r="EK27" s="10" cm="1">
        <f t="array" aca="1" ref="EK27" ca="1">DM27-_xlfn.XLOOKUP(EK$13,_xlfn.ANCHORARRAY( $CR$14), _xlfn.XLOOKUP($ED27,_xlfn.ANCHORARRAY( $CP$15), $CR$15:$CU$19)) * _xlfn.XLOOKUP(EK$14,_xlfn.ANCHORARRAY( $CR$14), _xlfn.XLOOKUP($EE27,_xlfn.ANCHORARRAY( $CP$15), $CR$15:$CU$19))</f>
        <v>0.13417097578668757</v>
      </c>
      <c r="EL27" s="10" cm="1">
        <f t="array" aca="1" ref="EL27" ca="1">DN27-_xlfn.XLOOKUP(EL$13,_xlfn.ANCHORARRAY( $CR$14), _xlfn.XLOOKUP($ED27,_xlfn.ANCHORARRAY( $CP$15), $CR$15:$CU$19)) * _xlfn.XLOOKUP(EL$14,_xlfn.ANCHORARRAY( $CR$14), _xlfn.XLOOKUP($EE27,_xlfn.ANCHORARRAY( $CP$15), $CR$15:$CU$19))</f>
        <v>-7.0094611900794038E-2</v>
      </c>
      <c r="EM27" s="10" cm="1">
        <f t="array" aca="1" ref="EM27" ca="1">DO27-_xlfn.XLOOKUP(EM$13,_xlfn.ANCHORARRAY( $CR$14), _xlfn.XLOOKUP($ED27,_xlfn.ANCHORARRAY( $CP$15), $CR$15:$CU$19)) * _xlfn.XLOOKUP(EM$14,_xlfn.ANCHORARRAY( $CR$14), _xlfn.XLOOKUP($EE27,_xlfn.ANCHORARRAY( $CP$15), $CR$15:$CU$19))</f>
        <v>-2.5625993137927655E-2</v>
      </c>
      <c r="EN27" s="10" cm="1">
        <f t="array" aca="1" ref="EN27" ca="1">DP27-_xlfn.XLOOKUP(EN$13,_xlfn.ANCHORARRAY( $CR$14), _xlfn.XLOOKUP($ED27,_xlfn.ANCHORARRAY( $CP$15), $CR$15:$CU$19)) * _xlfn.XLOOKUP(EN$14,_xlfn.ANCHORARRAY( $CR$14), _xlfn.XLOOKUP($EE27,_xlfn.ANCHORARRAY( $CP$15), $CR$15:$CU$19))</f>
        <v>-7.0094611900794038E-2</v>
      </c>
      <c r="EO27" s="10" cm="1">
        <f t="array" aca="1" ref="EO27" ca="1">DQ27-_xlfn.XLOOKUP(EO$13,_xlfn.ANCHORARRAY( $CR$14), _xlfn.XLOOKUP($ED27,_xlfn.ANCHORARRAY( $CP$15), $CR$15:$CU$19)) * _xlfn.XLOOKUP(EO$14,_xlfn.ANCHORARRAY( $CR$14), _xlfn.XLOOKUP($EE27,_xlfn.ANCHORARRAY( $CP$15), $CR$15:$CU$19))</f>
        <v>-7.0094611900794038E-2</v>
      </c>
      <c r="EP27" s="10" cm="1">
        <f t="array" aca="1" ref="EP27" ca="1">DR27-_xlfn.XLOOKUP(EP$13,_xlfn.ANCHORARRAY( $CR$14), _xlfn.XLOOKUP($ED27,_xlfn.ANCHORARRAY( $CP$15), $CR$15:$CU$19)) * _xlfn.XLOOKUP(EP$14,_xlfn.ANCHORARRAY( $CR$14), _xlfn.XLOOKUP($EE27,_xlfn.ANCHORARRAY( $CP$15), $CR$15:$CU$19))</f>
        <v>0.24945216194490735</v>
      </c>
      <c r="EQ27" s="10" cm="1">
        <f t="array" aca="1" ref="EQ27" ca="1">DS27-_xlfn.XLOOKUP(EQ$13,_xlfn.ANCHORARRAY( $CR$14), _xlfn.XLOOKUP($ED27,_xlfn.ANCHORARRAY( $CP$15), $CR$15:$CU$19)) * _xlfn.XLOOKUP(EQ$14,_xlfn.ANCHORARRAY( $CR$14), _xlfn.XLOOKUP($EE27,_xlfn.ANCHORARRAY( $CP$15), $CR$15:$CU$19))</f>
        <v>-8.8403373786883649E-2</v>
      </c>
      <c r="ER27" s="10" cm="1">
        <f t="array" aca="1" ref="ER27" ca="1">DT27-_xlfn.XLOOKUP(ER$13,_xlfn.ANCHORARRAY( $CR$14), _xlfn.XLOOKUP($ED27,_xlfn.ANCHORARRAY( $CP$15), $CR$15:$CU$19)) * _xlfn.XLOOKUP(ER$14,_xlfn.ANCHORARRAY( $CR$14), _xlfn.XLOOKUP($EE27,_xlfn.ANCHORARRAY( $CP$15), $CR$15:$CU$19))</f>
        <v>-2.5625993137927655E-2</v>
      </c>
      <c r="ES27" s="10" cm="1">
        <f t="array" aca="1" ref="ES27" ca="1">DU27-_xlfn.XLOOKUP(ES$13,_xlfn.ANCHORARRAY( $CR$14), _xlfn.XLOOKUP($ED27,_xlfn.ANCHORARRAY( $CP$15), $CR$15:$CU$19)) * _xlfn.XLOOKUP(ES$14,_xlfn.ANCHORARRAY( $CR$14), _xlfn.XLOOKUP($EE27,_xlfn.ANCHORARRAY( $CP$15), $CR$15:$CU$19))</f>
        <v>-2.5625993137927655E-2</v>
      </c>
      <c r="ET27" s="10" cm="1">
        <f t="array" aca="1" ref="ET27" ca="1">DV27-_xlfn.XLOOKUP(ET$13,_xlfn.ANCHORARRAY( $CR$14), _xlfn.XLOOKUP($ED27,_xlfn.ANCHORARRAY( $CP$15), $CR$15:$CU$19)) * _xlfn.XLOOKUP(ET$14,_xlfn.ANCHORARRAY( $CR$14), _xlfn.XLOOKUP($EE27,_xlfn.ANCHORARRAY( $CP$15), $CR$15:$CU$19))</f>
        <v>-8.8403373786883649E-2</v>
      </c>
      <c r="EU27" s="10" cm="1">
        <f t="array" aca="1" ref="EU27" ca="1">DW27-_xlfn.XLOOKUP(EU$13,_xlfn.ANCHORARRAY( $CR$14), _xlfn.XLOOKUP($ED27,_xlfn.ANCHORARRAY( $CP$15), $CR$15:$CU$19)) * _xlfn.XLOOKUP(EU$14,_xlfn.ANCHORARRAY( $CR$14), _xlfn.XLOOKUP($EE27,_xlfn.ANCHORARRAY( $CP$15), $CR$15:$CU$19))</f>
        <v>0.15884383531026369</v>
      </c>
      <c r="EZ27" cm="1">
        <f t="array" aca="1" ref="EZ27" ca="1">INDEX(_xlfn.ANCHORARRAY($CP$15), 1 + INT((ROWS($DG$15:$DG27) - 1) / ROWS(_xlfn.ANCHORARRAY($CP$15))))</f>
        <v>2</v>
      </c>
      <c r="FA27" cm="1">
        <f t="array" aca="1" ref="FA27" ca="1">INDEX(_xlfn.ANCHORARRAY($CP$15),1+MOD(ROWS($DG$15:$DG27)-1,ROWS(_xlfn.ANCHORARRAY($CP$15))))</f>
        <v>2</v>
      </c>
      <c r="FB27" s="10" cm="1">
        <f t="array" aca="1" ref="FB27" ca="1">EF27 * _xlfn.XLOOKUP(FB$13,_xlfn.ANCHORARRAY( $CZ$29), _xlfn.XLOOKUP($EZ27,_xlfn.ANCHORARRAY( $CY$30), $CZ$30:$DC$34)) * _xlfn.XLOOKUP(FB$14,_xlfn.ANCHORARRAY( $CZ$29), _xlfn.XLOOKUP($FA27,_xlfn.ANCHORARRAY( $CY$30), $CZ$30:$DC$34))</f>
        <v>4.2395594635125385E-2</v>
      </c>
      <c r="FC27" s="10" cm="1">
        <f t="array" aca="1" ref="FC27" ca="1">EG27 * _xlfn.XLOOKUP(FC$13,_xlfn.ANCHORARRAY( $CZ$29), _xlfn.XLOOKUP($EZ27,_xlfn.ANCHORARRAY( $CY$30), $CZ$30:$DC$34)) * _xlfn.XLOOKUP(FC$14,_xlfn.ANCHORARRAY( $CZ$29), _xlfn.XLOOKUP($FA27,_xlfn.ANCHORARRAY( $CY$30), $CZ$30:$DC$34))</f>
        <v>-6.1592418433246386E-3</v>
      </c>
      <c r="FD27" s="10" cm="1">
        <f t="array" aca="1" ref="FD27" ca="1">EH27 * _xlfn.XLOOKUP(FD$13,_xlfn.ANCHORARRAY( $CZ$29), _xlfn.XLOOKUP($EZ27,_xlfn.ANCHORARRAY( $CY$30), $CZ$30:$DC$34)) * _xlfn.XLOOKUP(FD$14,_xlfn.ANCHORARRAY( $CZ$29), _xlfn.XLOOKUP($FA27,_xlfn.ANCHORARRAY( $CY$30), $CZ$30:$DC$34))</f>
        <v>3.9595626828543756E-2</v>
      </c>
      <c r="FE27" s="10" cm="1">
        <f t="array" aca="1" ref="FE27" ca="1">EI27 * _xlfn.XLOOKUP(FE$13,_xlfn.ANCHORARRAY( $CZ$29), _xlfn.XLOOKUP($EZ27,_xlfn.ANCHORARRAY( $CY$30), $CZ$30:$DC$34)) * _xlfn.XLOOKUP(FE$14,_xlfn.ANCHORARRAY( $CZ$29), _xlfn.XLOOKUP($FA27,_xlfn.ANCHORARRAY( $CY$30), $CZ$30:$DC$34))</f>
        <v>-4.3176040047402066E-3</v>
      </c>
      <c r="FF27" s="10" cm="1">
        <f t="array" aca="1" ref="FF27" ca="1">EJ27 * _xlfn.XLOOKUP(FF$13,_xlfn.ANCHORARRAY( $CZ$29), _xlfn.XLOOKUP($EZ27,_xlfn.ANCHORARRAY( $CY$30), $CZ$30:$DC$34)) * _xlfn.XLOOKUP(FF$14,_xlfn.ANCHORARRAY( $CZ$29), _xlfn.XLOOKUP($FA27,_xlfn.ANCHORARRAY( $CY$30), $CZ$30:$DC$34))</f>
        <v>-6.1592418433246386E-3</v>
      </c>
      <c r="FG27" s="10" cm="1">
        <f t="array" aca="1" ref="FG27" ca="1">EK27 * _xlfn.XLOOKUP(FG$13,_xlfn.ANCHORARRAY( $CZ$29), _xlfn.XLOOKUP($EZ27,_xlfn.ANCHORARRAY( $CY$30), $CZ$30:$DC$34)) * _xlfn.XLOOKUP(FG$14,_xlfn.ANCHORARRAY( $CZ$29), _xlfn.XLOOKUP($FA27,_xlfn.ANCHORARRAY( $CY$30), $CZ$30:$DC$34))</f>
        <v>4.2395594635125385E-2</v>
      </c>
      <c r="FH27" s="10" cm="1">
        <f t="array" aca="1" ref="FH27" ca="1">EL27 * _xlfn.XLOOKUP(FH$13,_xlfn.ANCHORARRAY( $CZ$29), _xlfn.XLOOKUP($EZ27,_xlfn.ANCHORARRAY( $CY$30), $CZ$30:$DC$34)) * _xlfn.XLOOKUP(FH$14,_xlfn.ANCHORARRAY( $CZ$29), _xlfn.XLOOKUP($FA27,_xlfn.ANCHORARRAY( $CY$30), $CZ$30:$DC$34))</f>
        <v>3.9595626828543756E-2</v>
      </c>
      <c r="FI27" s="10" cm="1">
        <f t="array" aca="1" ref="FI27" ca="1">EM27 * _xlfn.XLOOKUP(FI$13,_xlfn.ANCHORARRAY( $CZ$29), _xlfn.XLOOKUP($EZ27,_xlfn.ANCHORARRAY( $CY$30), $CZ$30:$DC$34)) * _xlfn.XLOOKUP(FI$14,_xlfn.ANCHORARRAY( $CZ$29), _xlfn.XLOOKUP($FA27,_xlfn.ANCHORARRAY( $CY$30), $CZ$30:$DC$34))</f>
        <v>-4.3176040047402066E-3</v>
      </c>
      <c r="FJ27" s="10" cm="1">
        <f t="array" aca="1" ref="FJ27" ca="1">EN27 * _xlfn.XLOOKUP(FJ$13,_xlfn.ANCHORARRAY( $CZ$29), _xlfn.XLOOKUP($EZ27,_xlfn.ANCHORARRAY( $CY$30), $CZ$30:$DC$34)) * _xlfn.XLOOKUP(FJ$14,_xlfn.ANCHORARRAY( $CZ$29), _xlfn.XLOOKUP($FA27,_xlfn.ANCHORARRAY( $CY$30), $CZ$30:$DC$34))</f>
        <v>3.9595626828543749E-2</v>
      </c>
      <c r="FK27" s="10" cm="1">
        <f t="array" aca="1" ref="FK27" ca="1">EO27 * _xlfn.XLOOKUP(FK$13,_xlfn.ANCHORARRAY( $CZ$29), _xlfn.XLOOKUP($EZ27,_xlfn.ANCHORARRAY( $CY$30), $CZ$30:$DC$34)) * _xlfn.XLOOKUP(FK$14,_xlfn.ANCHORARRAY( $CZ$29), _xlfn.XLOOKUP($FA27,_xlfn.ANCHORARRAY( $CY$30), $CZ$30:$DC$34))</f>
        <v>3.9595626828543749E-2</v>
      </c>
      <c r="FL27" s="10" cm="1">
        <f t="array" aca="1" ref="FL27" ca="1">EP27 * _xlfn.XLOOKUP(FL$13,_xlfn.ANCHORARRAY( $CZ$29), _xlfn.XLOOKUP($EZ27,_xlfn.ANCHORARRAY( $CY$30), $CZ$30:$DC$34)) * _xlfn.XLOOKUP(FL$14,_xlfn.ANCHORARRAY( $CZ$29), _xlfn.XLOOKUP($FA27,_xlfn.ANCHORARRAY( $CY$30), $CZ$30:$DC$34))</f>
        <v>0.25191283396724573</v>
      </c>
      <c r="FM27" s="10" cm="1">
        <f t="array" aca="1" ref="FM27" ca="1">EQ27 * _xlfn.XLOOKUP(FM$13,_xlfn.ANCHORARRAY( $CZ$29), _xlfn.XLOOKUP($EZ27,_xlfn.ANCHORARRAY( $CY$30), $CZ$30:$DC$34)) * _xlfn.XLOOKUP(FM$14,_xlfn.ANCHORARRAY( $CZ$29), _xlfn.XLOOKUP($FA27,_xlfn.ANCHORARRAY( $CY$30), $CZ$30:$DC$34))</f>
        <v>2.6627560264758304E-2</v>
      </c>
      <c r="FN27" s="10" cm="1">
        <f t="array" aca="1" ref="FN27" ca="1">ER27 * _xlfn.XLOOKUP(FN$13,_xlfn.ANCHORARRAY( $CZ$29), _xlfn.XLOOKUP($EZ27,_xlfn.ANCHORARRAY( $CY$30), $CZ$30:$DC$34)) * _xlfn.XLOOKUP(FN$14,_xlfn.ANCHORARRAY( $CZ$29), _xlfn.XLOOKUP($FA27,_xlfn.ANCHORARRAY( $CY$30), $CZ$30:$DC$34))</f>
        <v>-4.3176040047402057E-3</v>
      </c>
      <c r="FO27" s="10" cm="1">
        <f t="array" aca="1" ref="FO27" ca="1">ES27 * _xlfn.XLOOKUP(FO$13,_xlfn.ANCHORARRAY( $CZ$29), _xlfn.XLOOKUP($EZ27,_xlfn.ANCHORARRAY( $CY$30), $CZ$30:$DC$34)) * _xlfn.XLOOKUP(FO$14,_xlfn.ANCHORARRAY( $CZ$29), _xlfn.XLOOKUP($FA27,_xlfn.ANCHORARRAY( $CY$30), $CZ$30:$DC$34))</f>
        <v>-4.3176040047402057E-3</v>
      </c>
      <c r="FP27" s="10" cm="1">
        <f t="array" aca="1" ref="FP27" ca="1">ET27 * _xlfn.XLOOKUP(FP$13,_xlfn.ANCHORARRAY( $CZ$29), _xlfn.XLOOKUP($EZ27,_xlfn.ANCHORARRAY( $CY$30), $CZ$30:$DC$34)) * _xlfn.XLOOKUP(FP$14,_xlfn.ANCHORARRAY( $CZ$29), _xlfn.XLOOKUP($FA27,_xlfn.ANCHORARRAY( $CY$30), $CZ$30:$DC$34))</f>
        <v>2.6627560264758304E-2</v>
      </c>
      <c r="FQ27" s="10" cm="1">
        <f t="array" aca="1" ref="FQ27" ca="1">EU27 * _xlfn.XLOOKUP(FQ$13,_xlfn.ANCHORARRAY( $CZ$29), _xlfn.XLOOKUP($EZ27,_xlfn.ANCHORARRAY( $CY$30), $CZ$30:$DC$34)) * _xlfn.XLOOKUP(FQ$14,_xlfn.ANCHORARRAY( $CZ$29), _xlfn.XLOOKUP($FA27,_xlfn.ANCHORARRAY( $CY$30), $CZ$30:$DC$34))</f>
        <v>1.4270277439247202E-2</v>
      </c>
      <c r="FT27" cm="1">
        <f t="array" aca="1" ref="FT27" ca="1">SQRT(SUM((FB27:FQ27)^2))</f>
        <v>0.2740405764647964</v>
      </c>
    </row>
    <row r="28" spans="1:176" x14ac:dyDescent="0.2">
      <c r="D28" s="10">
        <f ca="1"/>
        <v>13</v>
      </c>
      <c r="F28" s="10">
        <f ca="1"/>
        <v>0.2</v>
      </c>
      <c r="H28" s="10"/>
      <c r="J28" cm="1">
        <f t="array" aca="1" ref="J28" ca="1">SUMPRODUCT((O28:AJ28=$O$11:$AJ$11)*(O$13:AJ$13=TRUE))  / COUNTIF(O$13:AJ$13,TRUE)</f>
        <v>0.4</v>
      </c>
      <c r="K28" t="b">
        <f t="shared" ca="1" si="3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4"/>
        <v>1</v>
      </c>
      <c r="N28" s="2">
        <v>13</v>
      </c>
      <c r="O28" s="12" t="s">
        <v>2</v>
      </c>
      <c r="P28" s="9" t="s">
        <v>2</v>
      </c>
      <c r="Q28" s="9" t="s">
        <v>1</v>
      </c>
      <c r="R28" s="9" t="s">
        <v>3</v>
      </c>
      <c r="S28" s="9" t="s">
        <v>3</v>
      </c>
      <c r="AK28" s="7"/>
      <c r="AN28">
        <f t="shared" ca="1" si="5"/>
        <v>5</v>
      </c>
      <c r="AO28" s="14">
        <f t="shared" ca="1" si="6"/>
        <v>0.2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0.4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0.4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0.6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0.4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0.4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0.4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0.6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0.4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0.6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0.8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0.6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0.8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0.8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0.6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0.8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0.2</v>
      </c>
      <c r="BN28">
        <f t="shared" ca="1" si="7"/>
        <v>5</v>
      </c>
      <c r="BO28" s="14">
        <f t="shared" ca="1" si="8"/>
        <v>0.2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0.4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0.4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0.6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0.4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0.4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0.4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0.6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0.4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0.6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0.8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0.6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0.8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0.8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0.6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0.8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0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0.2</v>
      </c>
      <c r="CY28" s="4" t="s">
        <v>61</v>
      </c>
      <c r="CZ28" s="13" t="s">
        <v>48</v>
      </c>
      <c r="DF28" cm="1">
        <f t="array" aca="1" ref="DF28" ca="1">INDEX(_xlfn.ANCHORARRAY($CP$15), 1 + INT((ROWS($DG$15:$DG28) - 1) / ROWS(_xlfn.ANCHORARRAY($CP$15))))</f>
        <v>2</v>
      </c>
      <c r="DG28" cm="1">
        <f t="array" aca="1" ref="DG28" ca="1">INDEX(_xlfn.ANCHORARRAY($CP$15),1+MOD(ROWS($DG$15:$DG28)-1,ROWS(_xlfn.ANCHORARRAY($CP$15))))</f>
        <v>3</v>
      </c>
      <c r="DH28" s="10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$B$18/($B$19*$B$19*($DF28&lt;&gt;$DG28) + $B$19*($DF28=$DG28))</f>
        <v>1.1999999999999999E-3</v>
      </c>
      <c r="DI28" s="10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$B$18/($B$19*$B$19*($DF28&lt;&gt;$DG28) + $B$19*($DF28=$DG28))</f>
        <v>1.1999999999999999E-3</v>
      </c>
      <c r="DJ28" s="10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$B$18/($B$19*$B$19*($DF28&lt;&gt;$DG28) + $B$19*($DF28=$DG28))</f>
        <v>1.1999999999999999E-3</v>
      </c>
      <c r="DK28" s="10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$B$18/($B$19*$B$19*($DF28&lt;&gt;$DG28) + $B$19*($DF28=$DG28))</f>
        <v>0.15486336633663367</v>
      </c>
      <c r="DL28" s="10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$B$18/($B$19*$B$19*($DF28&lt;&gt;$DG28) + $B$19*($DF28=$DG28))</f>
        <v>1.1999999999999999E-3</v>
      </c>
      <c r="DM28" s="10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$B$18/($B$19*$B$19*($DF28&lt;&gt;$DG28) + $B$19*($DF28=$DG28))</f>
        <v>1.1999999999999999E-3</v>
      </c>
      <c r="DN28" s="10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$B$18/($B$19*$B$19*($DF28&lt;&gt;$DG28) + $B$19*($DF28=$DG28))</f>
        <v>1.1999999999999999E-3</v>
      </c>
      <c r="DO28" s="10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$B$18/($B$19*$B$19*($DF28&lt;&gt;$DG28) + $B$19*($DF28=$DG28))</f>
        <v>0.15486336633663367</v>
      </c>
      <c r="DP28" s="10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$B$18/($B$19*$B$19*($DF28&lt;&gt;$DG28) + $B$19*($DF28=$DG28))</f>
        <v>0.16126600660066007</v>
      </c>
      <c r="DQ28" s="10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$B$18/($B$19*$B$19*($DF28&lt;&gt;$DG28) + $B$19*($DF28=$DG28))</f>
        <v>0.12925280528052804</v>
      </c>
      <c r="DR28" s="10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$B$18/($B$19*$B$19*($DF28&lt;&gt;$DG28) + $B$19*($DF28=$DG28))</f>
        <v>1.1999999999999999E-3</v>
      </c>
      <c r="DS28" s="10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$B$18/($B$19*$B$19*($DF28&lt;&gt;$DG28) + $B$19*($DF28=$DG28))</f>
        <v>0.18367524752475248</v>
      </c>
      <c r="DT28" s="10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$B$18/($B$19*$B$19*($DF28&lt;&gt;$DG28) + $B$19*($DF28=$DG28))</f>
        <v>1.1999999999999999E-3</v>
      </c>
      <c r="DU28" s="10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$B$18/($B$19*$B$19*($DF28&lt;&gt;$DG28) + $B$19*($DF28=$DG28))</f>
        <v>1.1999999999999999E-3</v>
      </c>
      <c r="DV28" s="10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$B$18/($B$19*$B$19*($DF28&lt;&gt;$DG28) + $B$19*($DF28=$DG28))</f>
        <v>1.1999999999999999E-3</v>
      </c>
      <c r="DW28" s="10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$B$18/($B$19*$B$19*($DF28&lt;&gt;$DG28) + $B$19*($DF28=$DG28))</f>
        <v>0.19327920792079209</v>
      </c>
      <c r="ED28" cm="1">
        <f t="array" aca="1" ref="ED28" ca="1">INDEX(_xlfn.ANCHORARRAY($CP$15), 1 + INT((ROWS($DG$15:$DG28) - 1) / ROWS(_xlfn.ANCHORARRAY($CP$15))))</f>
        <v>2</v>
      </c>
      <c r="EE28" cm="1">
        <f t="array" aca="1" ref="EE28" ca="1">INDEX(_xlfn.ANCHORARRAY($CP$15),1+MOD(ROWS($DG$15:$DG28)-1,ROWS(_xlfn.ANCHORARRAY($CP$15))))</f>
        <v>3</v>
      </c>
      <c r="EF28" s="10" cm="1">
        <f t="array" aca="1" ref="EF28" ca="1">DH28-_xlfn.XLOOKUP(EF$13,_xlfn.ANCHORARRAY( $CR$14), _xlfn.XLOOKUP($ED28,_xlfn.ANCHORARRAY( $CP$15), $CR$15:$CU$19)) * _xlfn.XLOOKUP(EF$14,_xlfn.ANCHORARRAY( $CR$14), _xlfn.XLOOKUP($EE28,_xlfn.ANCHORARRAY( $CP$15), $CR$15:$CU$19))</f>
        <v>-2.5314657647943013E-2</v>
      </c>
      <c r="EG28" s="10" cm="1">
        <f t="array" aca="1" ref="EG28" ca="1">DI28-_xlfn.XLOOKUP(EG$13,_xlfn.ANCHORARRAY( $CR$14), _xlfn.XLOOKUP($ED28,_xlfn.ANCHORARRAY( $CP$15), $CR$15:$CU$19)) * _xlfn.XLOOKUP(EG$14,_xlfn.ANCHORARRAY( $CR$14), _xlfn.XLOOKUP($EE28,_xlfn.ANCHORARRAY( $CP$15), $CR$15:$CU$19))</f>
        <v>-2.0203322157958368E-2</v>
      </c>
      <c r="EH28" s="10" cm="1">
        <f t="array" aca="1" ref="EH28" ca="1">DJ28-_xlfn.XLOOKUP(EH$13,_xlfn.ANCHORARRAY( $CR$14), _xlfn.XLOOKUP($ED28,_xlfn.ANCHORARRAY( $CP$15), $CR$15:$CU$19)) * _xlfn.XLOOKUP(EH$14,_xlfn.ANCHORARRAY( $CR$14), _xlfn.XLOOKUP($EE28,_xlfn.ANCHORARRAY( $CP$15), $CR$15:$CU$19))</f>
        <v>2.4201980198019786E-4</v>
      </c>
      <c r="EI28" s="10" cm="1">
        <f t="array" aca="1" ref="EI28" ca="1">DK28-_xlfn.XLOOKUP(EI$13,_xlfn.ANCHORARRAY( $CR$14), _xlfn.XLOOKUP($ED28,_xlfn.ANCHORARRAY( $CP$15), $CR$15:$CU$19)) * _xlfn.XLOOKUP(EI$14,_xlfn.ANCHORARRAY( $CR$14), _xlfn.XLOOKUP($EE28,_xlfn.ANCHORARRAY( $CP$15), $CR$15:$CU$19))</f>
        <v>4.5033940201940945E-2</v>
      </c>
      <c r="EJ28" s="10" cm="1">
        <f t="array" aca="1" ref="EJ28" ca="1">DL28-_xlfn.XLOOKUP(EJ$13,_xlfn.ANCHORARRAY( $CR$14), _xlfn.XLOOKUP($ED28,_xlfn.ANCHORARRAY( $CP$15), $CR$15:$CU$19)) * _xlfn.XLOOKUP(EJ$14,_xlfn.ANCHORARRAY( $CR$14), _xlfn.XLOOKUP($EE28,_xlfn.ANCHORARRAY( $CP$15), $CR$15:$CU$19))</f>
        <v>-2.5314657647943013E-2</v>
      </c>
      <c r="EK28" s="10" cm="1">
        <f t="array" aca="1" ref="EK28" ca="1">DM28-_xlfn.XLOOKUP(EK$13,_xlfn.ANCHORARRAY( $CR$14), _xlfn.XLOOKUP($ED28,_xlfn.ANCHORARRAY( $CP$15), $CR$15:$CU$19)) * _xlfn.XLOOKUP(EK$14,_xlfn.ANCHORARRAY( $CR$14), _xlfn.XLOOKUP($EE28,_xlfn.ANCHORARRAY( $CP$15), $CR$15:$CU$19))</f>
        <v>-2.0203322157958368E-2</v>
      </c>
      <c r="EL28" s="10" cm="1">
        <f t="array" aca="1" ref="EL28" ca="1">DN28-_xlfn.XLOOKUP(EL$13,_xlfn.ANCHORARRAY( $CR$14), _xlfn.XLOOKUP($ED28,_xlfn.ANCHORARRAY( $CP$15), $CR$15:$CU$19)) * _xlfn.XLOOKUP(EL$14,_xlfn.ANCHORARRAY( $CR$14), _xlfn.XLOOKUP($EE28,_xlfn.ANCHORARRAY( $CP$15), $CR$15:$CU$19))</f>
        <v>2.4201980198019786E-4</v>
      </c>
      <c r="EM28" s="10" cm="1">
        <f t="array" aca="1" ref="EM28" ca="1">DO28-_xlfn.XLOOKUP(EM$13,_xlfn.ANCHORARRAY( $CR$14), _xlfn.XLOOKUP($ED28,_xlfn.ANCHORARRAY( $CP$15), $CR$15:$CU$19)) * _xlfn.XLOOKUP(EM$14,_xlfn.ANCHORARRAY( $CR$14), _xlfn.XLOOKUP($EE28,_xlfn.ANCHORARRAY( $CP$15), $CR$15:$CU$19))</f>
        <v>4.5033940201940945E-2</v>
      </c>
      <c r="EN28" s="10" cm="1">
        <f t="array" aca="1" ref="EN28" ca="1">DP28-_xlfn.XLOOKUP(EN$13,_xlfn.ANCHORARRAY( $CR$14), _xlfn.XLOOKUP($ED28,_xlfn.ANCHORARRAY( $CP$15), $CR$15:$CU$19)) * _xlfn.XLOOKUP(EN$14,_xlfn.ANCHORARRAY( $CR$14), _xlfn.XLOOKUP($EE28,_xlfn.ANCHORARRAY( $CP$15), $CR$15:$CU$19))</f>
        <v>8.2119934385517748E-2</v>
      </c>
      <c r="EO28" s="10" cm="1">
        <f t="array" aca="1" ref="EO28" ca="1">DQ28-_xlfn.XLOOKUP(EO$13,_xlfn.ANCHORARRAY( $CR$14), _xlfn.XLOOKUP($ED28,_xlfn.ANCHORARRAY( $CP$15), $CR$15:$CU$19)) * _xlfn.XLOOKUP(EO$14,_xlfn.ANCHORARRAY( $CR$14), _xlfn.XLOOKUP($EE28,_xlfn.ANCHORARRAY( $CP$15), $CR$15:$CU$19))</f>
        <v>6.5364034637127075E-2</v>
      </c>
      <c r="EP28" s="10" cm="1">
        <f t="array" aca="1" ref="EP28" ca="1">DR28-_xlfn.XLOOKUP(EP$13,_xlfn.ANCHORARRAY( $CR$14), _xlfn.XLOOKUP($ED28,_xlfn.ANCHORARRAY( $CP$15), $CR$15:$CU$19)) * _xlfn.XLOOKUP(EP$14,_xlfn.ANCHORARRAY( $CR$14), _xlfn.XLOOKUP($EE28,_xlfn.ANCHORARRAY( $CP$15), $CR$15:$CU$19))</f>
        <v>-1.6595643564356439E-3</v>
      </c>
      <c r="EQ28" s="10" cm="1">
        <f t="array" aca="1" ref="EQ28" ca="1">DS28-_xlfn.XLOOKUP(EQ$13,_xlfn.ANCHORARRAY( $CR$14), _xlfn.XLOOKUP($ED28,_xlfn.ANCHORARRAY( $CP$15), $CR$15:$CU$19)) * _xlfn.XLOOKUP(EQ$14,_xlfn.ANCHORARRAY( $CR$14), _xlfn.XLOOKUP($EE28,_xlfn.ANCHORARRAY( $CP$15), $CR$15:$CU$19))</f>
        <v>-0.1441648403097737</v>
      </c>
      <c r="ER28" s="10" cm="1">
        <f t="array" aca="1" ref="ER28" ca="1">DT28-_xlfn.XLOOKUP(ER$13,_xlfn.ANCHORARRAY( $CR$14), _xlfn.XLOOKUP($ED28,_xlfn.ANCHORARRAY( $CP$15), $CR$15:$CU$19)) * _xlfn.XLOOKUP(ER$14,_xlfn.ANCHORARRAY( $CR$14), _xlfn.XLOOKUP($EE28,_xlfn.ANCHORARRAY( $CP$15), $CR$15:$CU$19))</f>
        <v>-3.1694223050027774E-2</v>
      </c>
      <c r="ES28" s="10" cm="1">
        <f t="array" aca="1" ref="ES28" ca="1">DU28-_xlfn.XLOOKUP(ES$13,_xlfn.ANCHORARRAY( $CR$14), _xlfn.XLOOKUP($ED28,_xlfn.ANCHORARRAY( $CP$15), $CR$15:$CU$19)) * _xlfn.XLOOKUP(ES$14,_xlfn.ANCHORARRAY( $CR$14), _xlfn.XLOOKUP($EE28,_xlfn.ANCHORARRAY( $CP$15), $CR$15:$CU$19))</f>
        <v>-2.5353073489527169E-2</v>
      </c>
      <c r="ET28" s="10" cm="1">
        <f t="array" aca="1" ref="ET28" ca="1">DV28-_xlfn.XLOOKUP(ET$13,_xlfn.ANCHORARRAY( $CR$14), _xlfn.XLOOKUP($ED28,_xlfn.ANCHORARRAY( $CP$15), $CR$15:$CU$19)) * _xlfn.XLOOKUP(ET$14,_xlfn.ANCHORARRAY( $CR$14), _xlfn.XLOOKUP($EE28,_xlfn.ANCHORARRAY( $CP$15), $CR$15:$CU$19))</f>
        <v>1.1524752475247429E-5</v>
      </c>
      <c r="EU28" s="10" cm="1">
        <f t="array" aca="1" ref="EU28" ca="1">DW28-_xlfn.XLOOKUP(EU$13,_xlfn.ANCHORARRAY( $CR$14), _xlfn.XLOOKUP($ED28,_xlfn.ANCHORARRAY( $CP$15), $CR$15:$CU$19)) * _xlfn.XLOOKUP(EU$14,_xlfn.ANCHORARRAY( $CR$14), _xlfn.XLOOKUP($EE28,_xlfn.ANCHORARRAY( $CP$15), $CR$15:$CU$19))</f>
        <v>5.7024247034604403E-2</v>
      </c>
      <c r="EZ28" cm="1">
        <f t="array" aca="1" ref="EZ28" ca="1">INDEX(_xlfn.ANCHORARRAY($CP$15), 1 + INT((ROWS($DG$15:$DG28) - 1) / ROWS(_xlfn.ANCHORARRAY($CP$15))))</f>
        <v>2</v>
      </c>
      <c r="FA28" cm="1">
        <f t="array" aca="1" ref="FA28" ca="1">INDEX(_xlfn.ANCHORARRAY($CP$15),1+MOD(ROWS($DG$15:$DG28)-1,ROWS(_xlfn.ANCHORARRAY($CP$15))))</f>
        <v>3</v>
      </c>
      <c r="FB28" s="10" cm="1">
        <f t="array" aca="1" ref="FB28" ca="1">EF28 * _xlfn.XLOOKUP(FB$13,_xlfn.ANCHORARRAY( $CZ$29), _xlfn.XLOOKUP($EZ28,_xlfn.ANCHORARRAY( $CY$30), $CZ$30:$DC$34)) * _xlfn.XLOOKUP(FB$14,_xlfn.ANCHORARRAY( $CZ$29), _xlfn.XLOOKUP($FA28,_xlfn.ANCHORARRAY( $CY$30), $CZ$30:$DC$34))</f>
        <v>-7.3306489977776751E-3</v>
      </c>
      <c r="FC28" s="10" cm="1">
        <f t="array" aca="1" ref="FC28" ca="1">EG28 * _xlfn.XLOOKUP(FC$13,_xlfn.ANCHORARRAY( $CZ$29), _xlfn.XLOOKUP($EZ28,_xlfn.ANCHORARRAY( $CY$30), $CZ$30:$DC$34)) * _xlfn.XLOOKUP(FC$14,_xlfn.ANCHORARRAY( $CZ$29), _xlfn.XLOOKUP($FA28,_xlfn.ANCHORARRAY( $CY$30), $CZ$30:$DC$34))</f>
        <v>-8.7103716870554401E-3</v>
      </c>
      <c r="FD28" s="10" cm="1">
        <f t="array" aca="1" ref="FD28" ca="1">EH28 * _xlfn.XLOOKUP(FD$13,_xlfn.ANCHORARRAY( $CZ$29), _xlfn.XLOOKUP($EZ28,_xlfn.ANCHORARRAY( $CY$30), $CZ$30:$DC$34)) * _xlfn.XLOOKUP(FD$14,_xlfn.ANCHORARRAY( $CZ$29), _xlfn.XLOOKUP($FA28,_xlfn.ANCHORARRAY( $CY$30), $CZ$30:$DC$34))</f>
        <v>5.4572544928273173E-4</v>
      </c>
      <c r="FE28" s="10" cm="1">
        <f t="array" aca="1" ref="FE28" ca="1">EI28 * _xlfn.XLOOKUP(FE$13,_xlfn.ANCHORARRAY( $CZ$29), _xlfn.XLOOKUP($EZ28,_xlfn.ANCHORARRAY( $CY$30), $CZ$30:$DC$34)) * _xlfn.XLOOKUP(FE$14,_xlfn.ANCHORARRAY( $CZ$29), _xlfn.XLOOKUP($FA28,_xlfn.ANCHORARRAY( $CY$30), $CZ$30:$DC$34))</f>
        <v>-4.7815337820670448E-2</v>
      </c>
      <c r="FF28" s="10" cm="1">
        <f t="array" aca="1" ref="FF28" ca="1">EJ28 * _xlfn.XLOOKUP(FF$13,_xlfn.ANCHORARRAY( $CZ$29), _xlfn.XLOOKUP($EZ28,_xlfn.ANCHORARRAY( $CY$30), $CZ$30:$DC$34)) * _xlfn.XLOOKUP(FF$14,_xlfn.ANCHORARRAY( $CZ$29), _xlfn.XLOOKUP($FA28,_xlfn.ANCHORARRAY( $CY$30), $CZ$30:$DC$34))</f>
        <v>-7.3306489977776751E-3</v>
      </c>
      <c r="FG28" s="10" cm="1">
        <f t="array" aca="1" ref="FG28" ca="1">EK28 * _xlfn.XLOOKUP(FG$13,_xlfn.ANCHORARRAY( $CZ$29), _xlfn.XLOOKUP($EZ28,_xlfn.ANCHORARRAY( $CY$30), $CZ$30:$DC$34)) * _xlfn.XLOOKUP(FG$14,_xlfn.ANCHORARRAY( $CZ$29), _xlfn.XLOOKUP($FA28,_xlfn.ANCHORARRAY( $CY$30), $CZ$30:$DC$34))</f>
        <v>-8.7103716870554401E-3</v>
      </c>
      <c r="FH28" s="10" cm="1">
        <f t="array" aca="1" ref="FH28" ca="1">EL28 * _xlfn.XLOOKUP(FH$13,_xlfn.ANCHORARRAY( $CZ$29), _xlfn.XLOOKUP($EZ28,_xlfn.ANCHORARRAY( $CY$30), $CZ$30:$DC$34)) * _xlfn.XLOOKUP(FH$14,_xlfn.ANCHORARRAY( $CZ$29), _xlfn.XLOOKUP($FA28,_xlfn.ANCHORARRAY( $CY$30), $CZ$30:$DC$34))</f>
        <v>5.4572544928273173E-4</v>
      </c>
      <c r="FI28" s="10" cm="1">
        <f t="array" aca="1" ref="FI28" ca="1">EM28 * _xlfn.XLOOKUP(FI$13,_xlfn.ANCHORARRAY( $CZ$29), _xlfn.XLOOKUP($EZ28,_xlfn.ANCHORARRAY( $CY$30), $CZ$30:$DC$34)) * _xlfn.XLOOKUP(FI$14,_xlfn.ANCHORARRAY( $CZ$29), _xlfn.XLOOKUP($FA28,_xlfn.ANCHORARRAY( $CY$30), $CZ$30:$DC$34))</f>
        <v>-4.7815337820670448E-2</v>
      </c>
      <c r="FJ28" s="10" cm="1">
        <f t="array" aca="1" ref="FJ28" ca="1">EN28 * _xlfn.XLOOKUP(FJ$13,_xlfn.ANCHORARRAY( $CZ$29), _xlfn.XLOOKUP($EZ28,_xlfn.ANCHORARRAY( $CY$30), $CZ$30:$DC$34)) * _xlfn.XLOOKUP(FJ$14,_xlfn.ANCHORARRAY( $CZ$29), _xlfn.XLOOKUP($FA28,_xlfn.ANCHORARRAY( $CY$30), $CZ$30:$DC$34))</f>
        <v>-4.2512769198243289E-2</v>
      </c>
      <c r="FK28" s="10" cm="1">
        <f t="array" aca="1" ref="FK28" ca="1">EO28 * _xlfn.XLOOKUP(FK$13,_xlfn.ANCHORARRAY( $CZ$29), _xlfn.XLOOKUP($EZ28,_xlfn.ANCHORARRAY( $CY$30), $CZ$30:$DC$34)) * _xlfn.XLOOKUP(FK$14,_xlfn.ANCHORARRAY( $CZ$29), _xlfn.XLOOKUP($FA28,_xlfn.ANCHORARRAY( $CY$30), $CZ$30:$DC$34))</f>
        <v>-5.0379422431346174E-2</v>
      </c>
      <c r="FL28" s="10" cm="1">
        <f t="array" aca="1" ref="FL28" ca="1">EP28 * _xlfn.XLOOKUP(FL$13,_xlfn.ANCHORARRAY( $CZ$29), _xlfn.XLOOKUP($EZ28,_xlfn.ANCHORARRAY( $CY$30), $CZ$30:$DC$34)) * _xlfn.XLOOKUP(FL$14,_xlfn.ANCHORARRAY( $CZ$29), _xlfn.XLOOKUP($FA28,_xlfn.ANCHORARRAY( $CY$30), $CZ$30:$DC$34))</f>
        <v>6.6898724695871638E-3</v>
      </c>
      <c r="FM28" s="10" cm="1">
        <f t="array" aca="1" ref="FM28" ca="1">EQ28 * _xlfn.XLOOKUP(FM$13,_xlfn.ANCHORARRAY( $CZ$29), _xlfn.XLOOKUP($EZ28,_xlfn.ANCHORARRAY( $CY$30), $CZ$30:$DC$34)) * _xlfn.XLOOKUP(FM$14,_xlfn.ANCHORARRAY( $CZ$29), _xlfn.XLOOKUP($FA28,_xlfn.ANCHORARRAY( $CY$30), $CZ$30:$DC$34))</f>
        <v>-0.27364471902044796</v>
      </c>
      <c r="FN28" s="10" cm="1">
        <f t="array" aca="1" ref="FN28" ca="1">ER28 * _xlfn.XLOOKUP(FN$13,_xlfn.ANCHORARRAY( $CZ$29), _xlfn.XLOOKUP($EZ28,_xlfn.ANCHORARRAY( $CY$30), $CZ$30:$DC$34)) * _xlfn.XLOOKUP(FN$14,_xlfn.ANCHORARRAY( $CZ$29), _xlfn.XLOOKUP($FA28,_xlfn.ANCHORARRAY( $CY$30), $CZ$30:$DC$34))</f>
        <v>-4.8938474393968598E-3</v>
      </c>
      <c r="FO28" s="10" cm="1">
        <f t="array" aca="1" ref="FO28" ca="1">ES28 * _xlfn.XLOOKUP(FO$13,_xlfn.ANCHORARRAY( $CZ$29), _xlfn.XLOOKUP($EZ28,_xlfn.ANCHORARRAY( $CY$30), $CZ$30:$DC$34)) * _xlfn.XLOOKUP(FO$14,_xlfn.ANCHORARRAY( $CZ$29), _xlfn.XLOOKUP($FA28,_xlfn.ANCHORARRAY( $CY$30), $CZ$30:$DC$34))</f>
        <v>-5.8283344267315105E-3</v>
      </c>
      <c r="FP28" s="10" cm="1">
        <f t="array" aca="1" ref="FP28" ca="1">ET28 * _xlfn.XLOOKUP(FP$13,_xlfn.ANCHORARRAY( $CZ$29), _xlfn.XLOOKUP($EZ28,_xlfn.ANCHORARRAY( $CY$30), $CZ$30:$DC$34)) * _xlfn.XLOOKUP(FP$14,_xlfn.ANCHORARRAY( $CZ$29), _xlfn.XLOOKUP($FA28,_xlfn.ANCHORARRAY( $CY$30), $CZ$30:$DC$34))</f>
        <v>1.3856541984695924E-5</v>
      </c>
      <c r="FQ28" s="10" cm="1">
        <f t="array" aca="1" ref="FQ28" ca="1">EU28 * _xlfn.XLOOKUP(FQ$13,_xlfn.ANCHORARRAY( $CZ$29), _xlfn.XLOOKUP($EZ28,_xlfn.ANCHORARRAY( $CY$30), $CZ$30:$DC$34)) * _xlfn.XLOOKUP(FQ$14,_xlfn.ANCHORARRAY( $CZ$29), _xlfn.XLOOKUP($FA28,_xlfn.ANCHORARRAY( $CY$30), $CZ$30:$DC$34))</f>
        <v>-3.2283959270593014E-2</v>
      </c>
      <c r="FT28" cm="1">
        <f t="array" aca="1" ref="FT28" ca="1">SQRT(SUM((FB28:FQ28)^2))</f>
        <v>0.29189759935232351</v>
      </c>
    </row>
    <row r="29" spans="1:176" x14ac:dyDescent="0.2">
      <c r="D29" s="10">
        <f ca="1"/>
        <v>14</v>
      </c>
      <c r="F29" s="10">
        <f ca="1"/>
        <v>0.2</v>
      </c>
      <c r="H29" s="10"/>
      <c r="J29" cm="1">
        <f t="array" aca="1" ref="J29" ca="1">SUMPRODUCT((O29:AJ29=$O$11:$AJ$11)*(O$13:AJ$13=TRUE))  / COUNTIF(O$13:AJ$13,TRUE)</f>
        <v>0.4</v>
      </c>
      <c r="K29" t="b">
        <f t="shared" ca="1" si="3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4"/>
        <v>1</v>
      </c>
      <c r="N29" s="2">
        <v>14</v>
      </c>
      <c r="O29" s="12" t="s">
        <v>3</v>
      </c>
      <c r="P29" s="9" t="s">
        <v>2</v>
      </c>
      <c r="Q29" s="9" t="s">
        <v>0</v>
      </c>
      <c r="R29" s="9" t="s">
        <v>3</v>
      </c>
      <c r="S29" s="9" t="s">
        <v>3</v>
      </c>
      <c r="AK29" s="7"/>
      <c r="AN29">
        <f t="shared" ca="1" si="5"/>
        <v>5</v>
      </c>
      <c r="AO29" s="14">
        <f t="shared" ca="1" si="6"/>
        <v>0.2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0.4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0.4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0.4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0.6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0.4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0.4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0.6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0.8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0.6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0.8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0.6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0.6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0.2</v>
      </c>
      <c r="BN29">
        <f t="shared" ca="1" si="7"/>
        <v>5</v>
      </c>
      <c r="BO29" s="14">
        <f t="shared" ca="1" si="8"/>
        <v>0.2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0.4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0.4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0.4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0.6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0.4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0.4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0.4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0.6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0.8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0.6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0.8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0.6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0.8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0.6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0.8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0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0.2</v>
      </c>
      <c r="CQ29" s="1"/>
      <c r="CX29" s="13"/>
      <c r="CY29" s="4" t="s">
        <v>46</v>
      </c>
      <c r="CZ29" s="9" t="str" cm="1">
        <f t="array" aca="1" ref="CZ29:DC29" ca="1">OFFSET($M$1,0,0,1,$M$2)</f>
        <v>A</v>
      </c>
      <c r="DA29" s="9" t="str">
        <f ca="1"/>
        <v>B</v>
      </c>
      <c r="DB29" s="9" t="str">
        <f ca="1"/>
        <v>C</v>
      </c>
      <c r="DC29" s="9" t="str">
        <f ca="1"/>
        <v>D</v>
      </c>
      <c r="DF29" cm="1">
        <f t="array" aca="1" ref="DF29" ca="1">INDEX(_xlfn.ANCHORARRAY($CP$15), 1 + INT((ROWS($DG$15:$DG29) - 1) / ROWS(_xlfn.ANCHORARRAY($CP$15))))</f>
        <v>2</v>
      </c>
      <c r="DG29" cm="1">
        <f t="array" aca="1" ref="DG29" ca="1">INDEX(_xlfn.ANCHORARRAY($CP$15),1+MOD(ROWS($DG$15:$DG29)-1,ROWS(_xlfn.ANCHORARRAY($CP$15))))</f>
        <v>4</v>
      </c>
      <c r="DH29" s="10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$B$18/($B$19*$B$19*($DF29&lt;&gt;$DG29) + $B$19*($DF29=$DG29))</f>
        <v>1.1999999999999999E-3</v>
      </c>
      <c r="DI29" s="10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$B$18/($B$19*$B$19*($DF29&lt;&gt;$DG29) + $B$19*($DF29=$DG29))</f>
        <v>1.1999999999999999E-3</v>
      </c>
      <c r="DJ29" s="10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$B$18/($B$19*$B$19*($DF29&lt;&gt;$DG29) + $B$19*($DF29=$DG29))</f>
        <v>1.1999999999999999E-3</v>
      </c>
      <c r="DK29" s="10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$B$18/($B$19*$B$19*($DF29&lt;&gt;$DG29) + $B$19*($DF29=$DG29))</f>
        <v>0.15486336633663367</v>
      </c>
      <c r="DL29" s="10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$B$18/($B$19*$B$19*($DF29&lt;&gt;$DG29) + $B$19*($DF29=$DG29))</f>
        <v>1.1999999999999999E-3</v>
      </c>
      <c r="DM29" s="10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$B$18/($B$19*$B$19*($DF29&lt;&gt;$DG29) + $B$19*($DF29=$DG29))</f>
        <v>1.1999999999999999E-3</v>
      </c>
      <c r="DN29" s="10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$B$18/($B$19*$B$19*($DF29&lt;&gt;$DG29) + $B$19*($DF29=$DG29))</f>
        <v>1.1999999999999999E-3</v>
      </c>
      <c r="DO29" s="10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$B$18/($B$19*$B$19*($DF29&lt;&gt;$DG29) + $B$19*($DF29=$DG29))</f>
        <v>0.15486336633663367</v>
      </c>
      <c r="DP29" s="10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$B$18/($B$19*$B$19*($DF29&lt;&gt;$DG29) + $B$19*($DF29=$DG29))</f>
        <v>1.1999999999999999E-3</v>
      </c>
      <c r="DQ29" s="10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$B$18/($B$19*$B$19*($DF29&lt;&gt;$DG29) + $B$19*($DF29=$DG29))</f>
        <v>9.7239603960396048E-2</v>
      </c>
      <c r="DR29" s="10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$B$18/($B$19*$B$19*($DF29&lt;&gt;$DG29) + $B$19*($DF29=$DG29))</f>
        <v>0.12925280528052804</v>
      </c>
      <c r="DS29" s="10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$B$18/($B$19*$B$19*($DF29&lt;&gt;$DG29) + $B$19*($DF29=$DG29))</f>
        <v>0.2477016501650165</v>
      </c>
      <c r="DT29" s="10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$B$18/($B$19*$B$19*($DF29&lt;&gt;$DG29) + $B$19*($DF29=$DG29))</f>
        <v>1.1999999999999999E-3</v>
      </c>
      <c r="DU29" s="10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$B$18/($B$19*$B$19*($DF29&lt;&gt;$DG29) + $B$19*($DF29=$DG29))</f>
        <v>1.1999999999999999E-3</v>
      </c>
      <c r="DV29" s="10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$B$18/($B$19*$B$19*($DF29&lt;&gt;$DG29) + $B$19*($DF29=$DG29))</f>
        <v>1.1999999999999999E-3</v>
      </c>
      <c r="DW29" s="10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$B$18/($B$19*$B$19*($DF29&lt;&gt;$DG29) + $B$19*($DF29=$DG29))</f>
        <v>0.19327920792079209</v>
      </c>
      <c r="ED29" cm="1">
        <f t="array" aca="1" ref="ED29" ca="1">INDEX(_xlfn.ANCHORARRAY($CP$15), 1 + INT((ROWS($DG$15:$DG29) - 1) / ROWS(_xlfn.ANCHORARRAY($CP$15))))</f>
        <v>2</v>
      </c>
      <c r="EE29" cm="1">
        <f t="array" aca="1" ref="EE29" ca="1">INDEX(_xlfn.ANCHORARRAY($CP$15),1+MOD(ROWS($DG$15:$DG29)-1,ROWS(_xlfn.ANCHORARRAY($CP$15))))</f>
        <v>4</v>
      </c>
      <c r="EF29" s="10" cm="1">
        <f t="array" aca="1" ref="EF29" ca="1">DH29-_xlfn.XLOOKUP(EF$13,_xlfn.ANCHORARRAY( $CR$14), _xlfn.XLOOKUP($ED29,_xlfn.ANCHORARRAY( $CP$15), $CR$15:$CU$19)) * _xlfn.XLOOKUP(EF$14,_xlfn.ANCHORARRAY( $CR$14), _xlfn.XLOOKUP($EE29,_xlfn.ANCHORARRAY( $CP$15), $CR$15:$CU$19))</f>
        <v>2.4201980198019786E-4</v>
      </c>
      <c r="EG29" s="10" cm="1">
        <f t="array" aca="1" ref="EG29" ca="1">DI29-_xlfn.XLOOKUP(EG$13,_xlfn.ANCHORARRAY( $CR$14), _xlfn.XLOOKUP($ED29,_xlfn.ANCHORARRAY( $CP$15), $CR$15:$CU$19)) * _xlfn.XLOOKUP(EG$14,_xlfn.ANCHORARRAY( $CR$14), _xlfn.XLOOKUP($EE29,_xlfn.ANCHORARRAY( $CP$15), $CR$15:$CU$19))</f>
        <v>-1.509198666797373E-2</v>
      </c>
      <c r="EH29" s="10" cm="1">
        <f t="array" aca="1" ref="EH29" ca="1">DJ29-_xlfn.XLOOKUP(EH$13,_xlfn.ANCHORARRAY( $CR$14), _xlfn.XLOOKUP($ED29,_xlfn.ANCHORARRAY( $CP$15), $CR$15:$CU$19)) * _xlfn.XLOOKUP(EH$14,_xlfn.ANCHORARRAY( $CR$14), _xlfn.XLOOKUP($EE29,_xlfn.ANCHORARRAY( $CP$15), $CR$15:$CU$19))</f>
        <v>-2.0203322157958368E-2</v>
      </c>
      <c r="EI29" s="10" cm="1">
        <f t="array" aca="1" ref="EI29" ca="1">DK29-_xlfn.XLOOKUP(EI$13,_xlfn.ANCHORARRAY( $CR$14), _xlfn.XLOOKUP($ED29,_xlfn.ANCHORARRAY( $CP$15), $CR$15:$CU$19)) * _xlfn.XLOOKUP(EI$14,_xlfn.ANCHORARRAY( $CR$14), _xlfn.XLOOKUP($EE29,_xlfn.ANCHORARRAY( $CP$15), $CR$15:$CU$19))</f>
        <v>3.4811269221971669E-2</v>
      </c>
      <c r="EJ29" s="10" cm="1">
        <f t="array" aca="1" ref="EJ29" ca="1">DL29-_xlfn.XLOOKUP(EJ$13,_xlfn.ANCHORARRAY( $CR$14), _xlfn.XLOOKUP($ED29,_xlfn.ANCHORARRAY( $CP$15), $CR$15:$CU$19)) * _xlfn.XLOOKUP(EJ$14,_xlfn.ANCHORARRAY( $CR$14), _xlfn.XLOOKUP($EE29,_xlfn.ANCHORARRAY( $CP$15), $CR$15:$CU$19))</f>
        <v>2.4201980198019786E-4</v>
      </c>
      <c r="EK29" s="10" cm="1">
        <f t="array" aca="1" ref="EK29" ca="1">DM29-_xlfn.XLOOKUP(EK$13,_xlfn.ANCHORARRAY( $CR$14), _xlfn.XLOOKUP($ED29,_xlfn.ANCHORARRAY( $CP$15), $CR$15:$CU$19)) * _xlfn.XLOOKUP(EK$14,_xlfn.ANCHORARRAY( $CR$14), _xlfn.XLOOKUP($EE29,_xlfn.ANCHORARRAY( $CP$15), $CR$15:$CU$19))</f>
        <v>-1.509198666797373E-2</v>
      </c>
      <c r="EL29" s="10" cm="1">
        <f t="array" aca="1" ref="EL29" ca="1">DN29-_xlfn.XLOOKUP(EL$13,_xlfn.ANCHORARRAY( $CR$14), _xlfn.XLOOKUP($ED29,_xlfn.ANCHORARRAY( $CP$15), $CR$15:$CU$19)) * _xlfn.XLOOKUP(EL$14,_xlfn.ANCHORARRAY( $CR$14), _xlfn.XLOOKUP($EE29,_xlfn.ANCHORARRAY( $CP$15), $CR$15:$CU$19))</f>
        <v>-2.0203322157958368E-2</v>
      </c>
      <c r="EM29" s="10" cm="1">
        <f t="array" aca="1" ref="EM29" ca="1">DO29-_xlfn.XLOOKUP(EM$13,_xlfn.ANCHORARRAY( $CR$14), _xlfn.XLOOKUP($ED29,_xlfn.ANCHORARRAY( $CP$15), $CR$15:$CU$19)) * _xlfn.XLOOKUP(EM$14,_xlfn.ANCHORARRAY( $CR$14), _xlfn.XLOOKUP($EE29,_xlfn.ANCHORARRAY( $CP$15), $CR$15:$CU$19))</f>
        <v>3.4811269221971669E-2</v>
      </c>
      <c r="EN29" s="10" cm="1">
        <f t="array" aca="1" ref="EN29" ca="1">DP29-_xlfn.XLOOKUP(EN$13,_xlfn.ANCHORARRAY( $CR$14), _xlfn.XLOOKUP($ED29,_xlfn.ANCHORARRAY( $CP$15), $CR$15:$CU$19)) * _xlfn.XLOOKUP(EN$14,_xlfn.ANCHORARRAY( $CR$14), _xlfn.XLOOKUP($EE29,_xlfn.ANCHORARRAY( $CP$15), $CR$15:$CU$19))</f>
        <v>-1.6595643564356439E-3</v>
      </c>
      <c r="EO29" s="10" cm="1">
        <f t="array" aca="1" ref="EO29" ca="1">DQ29-_xlfn.XLOOKUP(EO$13,_xlfn.ANCHORARRAY( $CR$14), _xlfn.XLOOKUP($ED29,_xlfn.ANCHORARRAY( $CP$15), $CR$15:$CU$19)) * _xlfn.XLOOKUP(EO$14,_xlfn.ANCHORARRAY( $CR$14), _xlfn.XLOOKUP($EE29,_xlfn.ANCHORARRAY( $CP$15), $CR$15:$CU$19))</f>
        <v>4.8608134888736401E-2</v>
      </c>
      <c r="EP29" s="10" cm="1">
        <f t="array" aca="1" ref="EP29" ca="1">DR29-_xlfn.XLOOKUP(EP$13,_xlfn.ANCHORARRAY( $CR$14), _xlfn.XLOOKUP($ED29,_xlfn.ANCHORARRAY( $CP$15), $CR$15:$CU$19)) * _xlfn.XLOOKUP(EP$14,_xlfn.ANCHORARRAY( $CR$14), _xlfn.XLOOKUP($EE29,_xlfn.ANCHORARRAY( $CP$15), $CR$15:$CU$19))</f>
        <v>6.5364034637127075E-2</v>
      </c>
      <c r="EQ29" s="10" cm="1">
        <f t="array" aca="1" ref="EQ29" ca="1">DS29-_xlfn.XLOOKUP(EQ$13,_xlfn.ANCHORARRAY( $CR$14), _xlfn.XLOOKUP($ED29,_xlfn.ANCHORARRAY( $CP$15), $CR$15:$CU$19)) * _xlfn.XLOOKUP(EQ$14,_xlfn.ANCHORARRAY( $CR$14), _xlfn.XLOOKUP($EE29,_xlfn.ANCHORARRAY( $CP$15), $CR$15:$CU$19))</f>
        <v>-0.11065304081299232</v>
      </c>
      <c r="ER29" s="10" cm="1">
        <f t="array" aca="1" ref="ER29" ca="1">DT29-_xlfn.XLOOKUP(ER$13,_xlfn.ANCHORARRAY( $CR$14), _xlfn.XLOOKUP($ED29,_xlfn.ANCHORARRAY( $CP$15), $CR$15:$CU$19)) * _xlfn.XLOOKUP(ER$14,_xlfn.ANCHORARRAY( $CR$14), _xlfn.XLOOKUP($EE29,_xlfn.ANCHORARRAY( $CP$15), $CR$15:$CU$19))</f>
        <v>1.1524752475247429E-5</v>
      </c>
      <c r="ES29" s="10" cm="1">
        <f t="array" aca="1" ref="ES29" ca="1">DU29-_xlfn.XLOOKUP(ES$13,_xlfn.ANCHORARRAY( $CR$14), _xlfn.XLOOKUP($ED29,_xlfn.ANCHORARRAY( $CP$15), $CR$15:$CU$19)) * _xlfn.XLOOKUP(ES$14,_xlfn.ANCHORARRAY( $CR$14), _xlfn.XLOOKUP($EE29,_xlfn.ANCHORARRAY( $CP$15), $CR$15:$CU$19))</f>
        <v>-1.9011923929026567E-2</v>
      </c>
      <c r="ET29" s="10" cm="1">
        <f t="array" aca="1" ref="ET29" ca="1">DV29-_xlfn.XLOOKUP(ET$13,_xlfn.ANCHORARRAY( $CR$14), _xlfn.XLOOKUP($ED29,_xlfn.ANCHORARRAY( $CP$15), $CR$15:$CU$19)) * _xlfn.XLOOKUP(ET$14,_xlfn.ANCHORARRAY( $CR$14), _xlfn.XLOOKUP($EE29,_xlfn.ANCHORARRAY( $CP$15), $CR$15:$CU$19))</f>
        <v>-2.5353073489527169E-2</v>
      </c>
      <c r="EU29" s="10" cm="1">
        <f t="array" aca="1" ref="EU29" ca="1">DW29-_xlfn.XLOOKUP(EU$13,_xlfn.ANCHORARRAY( $CR$14), _xlfn.XLOOKUP($ED29,_xlfn.ANCHORARRAY( $CP$15), $CR$15:$CU$19)) * _xlfn.XLOOKUP(EU$14,_xlfn.ANCHORARRAY( $CR$14), _xlfn.XLOOKUP($EE29,_xlfn.ANCHORARRAY( $CP$15), $CR$15:$CU$19))</f>
        <v>4.4341947913603214E-2</v>
      </c>
      <c r="EZ29" cm="1">
        <f t="array" aca="1" ref="EZ29" ca="1">INDEX(_xlfn.ANCHORARRAY($CP$15), 1 + INT((ROWS($DG$15:$DG29) - 1) / ROWS(_xlfn.ANCHORARRAY($CP$15))))</f>
        <v>2</v>
      </c>
      <c r="FA29" cm="1">
        <f t="array" aca="1" ref="FA29" ca="1">INDEX(_xlfn.ANCHORARRAY($CP$15),1+MOD(ROWS($DG$15:$DG29)-1,ROWS(_xlfn.ANCHORARRAY($CP$15))))</f>
        <v>4</v>
      </c>
      <c r="FB29" s="10" cm="1">
        <f t="array" aca="1" ref="FB29" ca="1">EF29 * _xlfn.XLOOKUP(FB$13,_xlfn.ANCHORARRAY( $CZ$29), _xlfn.XLOOKUP($EZ29,_xlfn.ANCHORARRAY( $CY$30), $CZ$30:$DC$34)) * _xlfn.XLOOKUP(FB$14,_xlfn.ANCHORARRAY( $CZ$29), _xlfn.XLOOKUP($FA29,_xlfn.ANCHORARRAY( $CY$30), $CZ$30:$DC$34))</f>
        <v>5.4572544928273173E-4</v>
      </c>
      <c r="FC29" s="10" cm="1">
        <f t="array" aca="1" ref="FC29" ca="1">EG29 * _xlfn.XLOOKUP(FC$13,_xlfn.ANCHORARRAY( $CZ$29), _xlfn.XLOOKUP($EZ29,_xlfn.ANCHORARRAY( $CY$30), $CZ$30:$DC$34)) * _xlfn.XLOOKUP(FC$14,_xlfn.ANCHORARRAY( $CZ$29), _xlfn.XLOOKUP($FA29,_xlfn.ANCHORARRAY( $CY$30), $CZ$30:$DC$34))</f>
        <v>-9.1295921054930316E-3</v>
      </c>
      <c r="FD29" s="10" cm="1">
        <f t="array" aca="1" ref="FD29" ca="1">EH29 * _xlfn.XLOOKUP(FD$13,_xlfn.ANCHORARRAY( $CZ$29), _xlfn.XLOOKUP($EZ29,_xlfn.ANCHORARRAY( $CY$30), $CZ$30:$DC$34)) * _xlfn.XLOOKUP(FD$14,_xlfn.ANCHORARRAY( $CZ$29), _xlfn.XLOOKUP($FA29,_xlfn.ANCHORARRAY( $CY$30), $CZ$30:$DC$34))</f>
        <v>-8.7103716870554401E-3</v>
      </c>
      <c r="FE29" s="10" cm="1">
        <f t="array" aca="1" ref="FE29" ca="1">EI29 * _xlfn.XLOOKUP(FE$13,_xlfn.ANCHORARRAY( $CZ$29), _xlfn.XLOOKUP($EZ29,_xlfn.ANCHORARRAY( $CY$30), $CZ$30:$DC$34)) * _xlfn.XLOOKUP(FE$14,_xlfn.ANCHORARRAY( $CZ$29), _xlfn.XLOOKUP($FA29,_xlfn.ANCHORARRAY( $CY$30), $CZ$30:$DC$34))</f>
        <v>-4.3195328203658429E-2</v>
      </c>
      <c r="FF29" s="10" cm="1">
        <f t="array" aca="1" ref="FF29" ca="1">EJ29 * _xlfn.XLOOKUP(FF$13,_xlfn.ANCHORARRAY( $CZ$29), _xlfn.XLOOKUP($EZ29,_xlfn.ANCHORARRAY( $CY$30), $CZ$30:$DC$34)) * _xlfn.XLOOKUP(FF$14,_xlfn.ANCHORARRAY( $CZ$29), _xlfn.XLOOKUP($FA29,_xlfn.ANCHORARRAY( $CY$30), $CZ$30:$DC$34))</f>
        <v>5.4572544928273173E-4</v>
      </c>
      <c r="FG29" s="10" cm="1">
        <f t="array" aca="1" ref="FG29" ca="1">EK29 * _xlfn.XLOOKUP(FG$13,_xlfn.ANCHORARRAY( $CZ$29), _xlfn.XLOOKUP($EZ29,_xlfn.ANCHORARRAY( $CY$30), $CZ$30:$DC$34)) * _xlfn.XLOOKUP(FG$14,_xlfn.ANCHORARRAY( $CZ$29), _xlfn.XLOOKUP($FA29,_xlfn.ANCHORARRAY( $CY$30), $CZ$30:$DC$34))</f>
        <v>-9.1295921054930316E-3</v>
      </c>
      <c r="FH29" s="10" cm="1">
        <f t="array" aca="1" ref="FH29" ca="1">EL29 * _xlfn.XLOOKUP(FH$13,_xlfn.ANCHORARRAY( $CZ$29), _xlfn.XLOOKUP($EZ29,_xlfn.ANCHORARRAY( $CY$30), $CZ$30:$DC$34)) * _xlfn.XLOOKUP(FH$14,_xlfn.ANCHORARRAY( $CZ$29), _xlfn.XLOOKUP($FA29,_xlfn.ANCHORARRAY( $CY$30), $CZ$30:$DC$34))</f>
        <v>-8.7103716870554401E-3</v>
      </c>
      <c r="FI29" s="10" cm="1">
        <f t="array" aca="1" ref="FI29" ca="1">EM29 * _xlfn.XLOOKUP(FI$13,_xlfn.ANCHORARRAY( $CZ$29), _xlfn.XLOOKUP($EZ29,_xlfn.ANCHORARRAY( $CY$30), $CZ$30:$DC$34)) * _xlfn.XLOOKUP(FI$14,_xlfn.ANCHORARRAY( $CZ$29), _xlfn.XLOOKUP($FA29,_xlfn.ANCHORARRAY( $CY$30), $CZ$30:$DC$34))</f>
        <v>-4.3195328203658429E-2</v>
      </c>
      <c r="FJ29" s="10" cm="1">
        <f t="array" aca="1" ref="FJ29" ca="1">EN29 * _xlfn.XLOOKUP(FJ$13,_xlfn.ANCHORARRAY( $CZ$29), _xlfn.XLOOKUP($EZ29,_xlfn.ANCHORARRAY( $CY$30), $CZ$30:$DC$34)) * _xlfn.XLOOKUP(FJ$14,_xlfn.ANCHORARRAY( $CZ$29), _xlfn.XLOOKUP($FA29,_xlfn.ANCHORARRAY( $CY$30), $CZ$30:$DC$34))</f>
        <v>6.6898724695871638E-3</v>
      </c>
      <c r="FK29" s="10" cm="1">
        <f t="array" aca="1" ref="FK29" ca="1">EO29 * _xlfn.XLOOKUP(FK$13,_xlfn.ANCHORARRAY( $CZ$29), _xlfn.XLOOKUP($EZ29,_xlfn.ANCHORARRAY( $CY$30), $CZ$30:$DC$34)) * _xlfn.XLOOKUP(FK$14,_xlfn.ANCHORARRAY( $CZ$29), _xlfn.XLOOKUP($FA29,_xlfn.ANCHORARRAY( $CY$30), $CZ$30:$DC$34))</f>
        <v>-5.256714049698151E-2</v>
      </c>
      <c r="FL29" s="10" cm="1">
        <f t="array" aca="1" ref="FL29" ca="1">EP29 * _xlfn.XLOOKUP(FL$13,_xlfn.ANCHORARRAY( $CZ$29), _xlfn.XLOOKUP($EZ29,_xlfn.ANCHORARRAY( $CY$30), $CZ$30:$DC$34)) * _xlfn.XLOOKUP(FL$14,_xlfn.ANCHORARRAY( $CZ$29), _xlfn.XLOOKUP($FA29,_xlfn.ANCHORARRAY( $CY$30), $CZ$30:$DC$34))</f>
        <v>-5.0379422431346174E-2</v>
      </c>
      <c r="FM29" s="10" cm="1">
        <f t="array" aca="1" ref="FM29" ca="1">EQ29 * _xlfn.XLOOKUP(FM$13,_xlfn.ANCHORARRAY( $CZ$29), _xlfn.XLOOKUP($EZ29,_xlfn.ANCHORARRAY( $CY$30), $CZ$30:$DC$34)) * _xlfn.XLOOKUP(FM$14,_xlfn.ANCHORARRAY( $CZ$29), _xlfn.XLOOKUP($FA29,_xlfn.ANCHORARRAY( $CY$30), $CZ$30:$DC$34))</f>
        <v>-0.24545998743616959</v>
      </c>
      <c r="FN29" s="10" cm="1">
        <f t="array" aca="1" ref="FN29" ca="1">ER29 * _xlfn.XLOOKUP(FN$13,_xlfn.ANCHORARRAY( $CZ$29), _xlfn.XLOOKUP($EZ29,_xlfn.ANCHORARRAY( $CY$30), $CZ$30:$DC$34)) * _xlfn.XLOOKUP(FN$14,_xlfn.ANCHORARRAY( $CZ$29), _xlfn.XLOOKUP($FA29,_xlfn.ANCHORARRAY( $CY$30), $CZ$30:$DC$34))</f>
        <v>1.3856541984695924E-5</v>
      </c>
      <c r="FO29" s="10" cm="1">
        <f t="array" aca="1" ref="FO29" ca="1">ES29 * _xlfn.XLOOKUP(FO$13,_xlfn.ANCHORARRAY( $CZ$29), _xlfn.XLOOKUP($EZ29,_xlfn.ANCHORARRAY( $CY$30), $CZ$30:$DC$34)) * _xlfn.XLOOKUP(FO$14,_xlfn.ANCHORARRAY( $CZ$29), _xlfn.XLOOKUP($FA29,_xlfn.ANCHORARRAY( $CY$30), $CZ$30:$DC$34))</f>
        <v>-6.1324071187985364E-3</v>
      </c>
      <c r="FP29" s="10" cm="1">
        <f t="array" aca="1" ref="FP29" ca="1">ET29 * _xlfn.XLOOKUP(FP$13,_xlfn.ANCHORARRAY( $CZ$29), _xlfn.XLOOKUP($EZ29,_xlfn.ANCHORARRAY( $CY$30), $CZ$30:$DC$34)) * _xlfn.XLOOKUP(FP$14,_xlfn.ANCHORARRAY( $CZ$29), _xlfn.XLOOKUP($FA29,_xlfn.ANCHORARRAY( $CY$30), $CZ$30:$DC$34))</f>
        <v>-5.8283344267315105E-3</v>
      </c>
      <c r="FQ29" s="10" cm="1">
        <f t="array" aca="1" ref="FQ29" ca="1">EU29 * _xlfn.XLOOKUP(FQ$13,_xlfn.ANCHORARRAY( $CZ$29), _xlfn.XLOOKUP($EZ29,_xlfn.ANCHORARRAY( $CY$30), $CZ$30:$DC$34)) * _xlfn.XLOOKUP(FQ$14,_xlfn.ANCHORARRAY( $CZ$29), _xlfn.XLOOKUP($FA29,_xlfn.ANCHORARRAY( $CY$30), $CZ$30:$DC$34))</f>
        <v>-2.9338076543202935E-2</v>
      </c>
      <c r="FT29" cm="1">
        <f t="array" aca="1" ref="FT29" ca="1">SQRT(SUM((FB29:FQ29)^2))</f>
        <v>0.26566851066798003</v>
      </c>
    </row>
    <row r="30" spans="1:176" x14ac:dyDescent="0.2">
      <c r="D30" s="10">
        <f ca="1"/>
        <v>15</v>
      </c>
      <c r="F30" s="10">
        <f ca="1"/>
        <v>0.2</v>
      </c>
      <c r="H30" s="10"/>
      <c r="J30" cm="1">
        <f t="array" aca="1" ref="J30" ca="1">SUMPRODUCT((O30:AJ30=$O$11:$AJ$11)*(O$13:AJ$13=TRUE))  / COUNTIF(O$13:AJ$13,TRUE)</f>
        <v>0.4</v>
      </c>
      <c r="K30" t="b">
        <f t="shared" ca="1" si="3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4"/>
        <v>1</v>
      </c>
      <c r="N30" s="2">
        <v>15</v>
      </c>
      <c r="O30" s="12" t="s">
        <v>3</v>
      </c>
      <c r="P30" s="9" t="s">
        <v>2</v>
      </c>
      <c r="Q30" s="9" t="s">
        <v>1</v>
      </c>
      <c r="R30" s="9" t="s">
        <v>3</v>
      </c>
      <c r="S30" s="9" t="s">
        <v>3</v>
      </c>
      <c r="AN30">
        <f t="shared" ca="1" si="5"/>
        <v>5</v>
      </c>
      <c r="AO30" s="14">
        <f t="shared" ca="1" si="6"/>
        <v>0.2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0.4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0.4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0.6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0.4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0.4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0.4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0.6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0.6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0.6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0.8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0.6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0.8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0.2</v>
      </c>
      <c r="BN30">
        <f t="shared" ca="1" si="7"/>
        <v>5</v>
      </c>
      <c r="BO30" s="14">
        <f t="shared" ca="1" si="8"/>
        <v>0.2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0.4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0.4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0.4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0.6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0.4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0.4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0.4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0.6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0.6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0.8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0.6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0.8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0.6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0.8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0.8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0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0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0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0.2</v>
      </c>
      <c r="CY30" cm="1">
        <f t="array" aca="1" ref="CY30:CY34" ca="1">TRANSPOSE(_xlfn._xlws.FILTER(OFFSET($O$14,0,0,1,$B$9),OFFSET($O$9,0,0,1,$B$9)))</f>
        <v>0</v>
      </c>
      <c r="CZ30" s="10">
        <f ca="1">LN((CR15*(1-CR$10))/((1-CR15)*CR$10))</f>
        <v>0.92774231893008852</v>
      </c>
      <c r="DA30" s="10">
        <f t="shared" ref="DA30:DC34" ca="1" si="11">LN((CS15*(1-CS$10))/((1-CS15)*CS$10))</f>
        <v>-0.4254011033540529</v>
      </c>
      <c r="DB30" s="10">
        <f t="shared" ca="1" si="11"/>
        <v>-0.4254011033540529</v>
      </c>
      <c r="DC30" s="10">
        <f t="shared" ca="1" si="11"/>
        <v>-0.4254011033540529</v>
      </c>
      <c r="DF30" cm="1">
        <f t="array" aca="1" ref="DF30" ca="1">INDEX(_xlfn.ANCHORARRAY($CP$15), 1 + INT((ROWS($DG$15:$DG30) - 1) / ROWS(_xlfn.ANCHORARRAY($CP$15))))</f>
        <v>3</v>
      </c>
      <c r="DG30" cm="1">
        <f t="array" aca="1" ref="DG30" ca="1">INDEX(_xlfn.ANCHORARRAY($CP$15),1+MOD(ROWS($DG$15:$DG30)-1,ROWS(_xlfn.ANCHORARRAY($CP$15))))</f>
        <v>0</v>
      </c>
      <c r="DH30" s="10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$B$18/($B$19*$B$19*($DF30&lt;&gt;$DG30) + $B$19*($DF30=$DG30))</f>
        <v>0.16126600660066007</v>
      </c>
      <c r="DI30" s="10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$B$18/($B$19*$B$19*($DF30&lt;&gt;$DG30) + $B$19*($DF30=$DG30))</f>
        <v>1.1999999999999999E-3</v>
      </c>
      <c r="DJ30" s="10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$B$18/($B$19*$B$19*($DF30&lt;&gt;$DG30) + $B$19*($DF30=$DG30))</f>
        <v>1.1999999999999999E-3</v>
      </c>
      <c r="DK30" s="10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$B$18/($B$19*$B$19*($DF30&lt;&gt;$DG30) + $B$19*($DF30=$DG30))</f>
        <v>1.1999999999999999E-3</v>
      </c>
      <c r="DL30" s="10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$B$18/($B$19*$B$19*($DF30&lt;&gt;$DG30) + $B$19*($DF30=$DG30))</f>
        <v>0.12925280528052804</v>
      </c>
      <c r="DM30" s="10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$B$18/($B$19*$B$19*($DF30&lt;&gt;$DG30) + $B$19*($DF30=$DG30))</f>
        <v>1.1999999999999999E-3</v>
      </c>
      <c r="DN30" s="10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$B$18/($B$19*$B$19*($DF30&lt;&gt;$DG30) + $B$19*($DF30=$DG30))</f>
        <v>1.1999999999999999E-3</v>
      </c>
      <c r="DO30" s="10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$B$18/($B$19*$B$19*($DF30&lt;&gt;$DG30) + $B$19*($DF30=$DG30))</f>
        <v>1.1999999999999999E-3</v>
      </c>
      <c r="DP30" s="10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$B$18/($B$19*$B$19*($DF30&lt;&gt;$DG30) + $B$19*($DF30=$DG30))</f>
        <v>1.1999999999999999E-3</v>
      </c>
      <c r="DQ30" s="10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$B$18/($B$19*$B$19*($DF30&lt;&gt;$DG30) + $B$19*($DF30=$DG30))</f>
        <v>1.1999999999999999E-3</v>
      </c>
      <c r="DR30" s="10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$B$18/($B$19*$B$19*($DF30&lt;&gt;$DG30) + $B$19*($DF30=$DG30))</f>
        <v>1.1999999999999999E-3</v>
      </c>
      <c r="DS30" s="10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$B$18/($B$19*$B$19*($DF30&lt;&gt;$DG30) + $B$19*($DF30=$DG30))</f>
        <v>1.1999999999999999E-3</v>
      </c>
      <c r="DT30" s="10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$B$18/($B$19*$B$19*($DF30&lt;&gt;$DG30) + $B$19*($DF30=$DG30))</f>
        <v>0.16446732673267328</v>
      </c>
      <c r="DU30" s="10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$B$18/($B$19*$B$19*($DF30&lt;&gt;$DG30) + $B$19*($DF30=$DG30))</f>
        <v>0.17407128712871286</v>
      </c>
      <c r="DV30" s="10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$B$18/($B$19*$B$19*($DF30&lt;&gt;$DG30) + $B$19*($DF30=$DG30))</f>
        <v>0.17407128712871286</v>
      </c>
      <c r="DW30" s="10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$B$18/($B$19*$B$19*($DF30&lt;&gt;$DG30) + $B$19*($DF30=$DG30))</f>
        <v>0.17407128712871286</v>
      </c>
      <c r="ED30" cm="1">
        <f t="array" aca="1" ref="ED30" ca="1">INDEX(_xlfn.ANCHORARRAY($CP$15), 1 + INT((ROWS($DG$15:$DG30) - 1) / ROWS(_xlfn.ANCHORARRAY($CP$15))))</f>
        <v>3</v>
      </c>
      <c r="EE30" cm="1">
        <f t="array" aca="1" ref="EE30" ca="1">INDEX(_xlfn.ANCHORARRAY($CP$15),1+MOD(ROWS($DG$15:$DG30)-1,ROWS(_xlfn.ANCHORARRAY($CP$15))))</f>
        <v>0</v>
      </c>
      <c r="EF30" s="10" cm="1">
        <f t="array" aca="1" ref="EF30" ca="1">DH30-_xlfn.XLOOKUP(EF$13,_xlfn.ANCHORARRAY( $CR$14), _xlfn.XLOOKUP($ED30,_xlfn.ANCHORARRAY( $CP$15), $CR$15:$CU$19)) * _xlfn.XLOOKUP(EF$14,_xlfn.ANCHORARRAY( $CR$14), _xlfn.XLOOKUP($EE30,_xlfn.ANCHORARRAY( $CP$15), $CR$15:$CU$19))</f>
        <v>8.5309717086560141E-2</v>
      </c>
      <c r="EG30" s="10" cm="1">
        <f t="array" aca="1" ref="EG30" ca="1">DI30-_xlfn.XLOOKUP(EG$13,_xlfn.ANCHORARRAY( $CR$14), _xlfn.XLOOKUP($ED30,_xlfn.ANCHORARRAY( $CP$15), $CR$15:$CU$19)) * _xlfn.XLOOKUP(EG$14,_xlfn.ANCHORARRAY( $CR$14), _xlfn.XLOOKUP($EE30,_xlfn.ANCHORARRAY( $CP$15), $CR$15:$CU$19))</f>
        <v>-2.8504440348985392E-2</v>
      </c>
      <c r="EH30" s="10" cm="1">
        <f t="array" aca="1" ref="EH30" ca="1">DJ30-_xlfn.XLOOKUP(EH$13,_xlfn.ANCHORARRAY( $CR$14), _xlfn.XLOOKUP($ED30,_xlfn.ANCHORARRAY( $CP$15), $CR$15:$CU$19)) * _xlfn.XLOOKUP(EH$14,_xlfn.ANCHORARRAY( $CR$14), _xlfn.XLOOKUP($EE30,_xlfn.ANCHORARRAY( $CP$15), $CR$15:$CU$19))</f>
        <v>-2.8504440348985392E-2</v>
      </c>
      <c r="EI30" s="10" cm="1">
        <f t="array" aca="1" ref="EI30" ca="1">DK30-_xlfn.XLOOKUP(EI$13,_xlfn.ANCHORARRAY( $CR$14), _xlfn.XLOOKUP($ED30,_xlfn.ANCHORARRAY( $CP$15), $CR$15:$CU$19)) * _xlfn.XLOOKUP(EI$14,_xlfn.ANCHORARRAY( $CR$14), _xlfn.XLOOKUP($EE30,_xlfn.ANCHORARRAY( $CP$15), $CR$15:$CU$19))</f>
        <v>-2.8504440348985392E-2</v>
      </c>
      <c r="EJ30" s="10" cm="1">
        <f t="array" aca="1" ref="EJ30" ca="1">DL30-_xlfn.XLOOKUP(EJ$13,_xlfn.ANCHORARRAY( $CR$14), _xlfn.XLOOKUP($ED30,_xlfn.ANCHORARRAY( $CP$15), $CR$15:$CU$19)) * _xlfn.XLOOKUP(EJ$14,_xlfn.ANCHORARRAY( $CR$14), _xlfn.XLOOKUP($EE30,_xlfn.ANCHORARRAY( $CP$15), $CR$15:$CU$19))</f>
        <v>6.7938910302911465E-2</v>
      </c>
      <c r="EK30" s="10" cm="1">
        <f t="array" aca="1" ref="EK30" ca="1">DM30-_xlfn.XLOOKUP(EK$13,_xlfn.ANCHORARRAY( $CR$14), _xlfn.XLOOKUP($ED30,_xlfn.ANCHORARRAY( $CP$15), $CR$15:$CU$19)) * _xlfn.XLOOKUP(EK$14,_xlfn.ANCHORARRAY( $CR$14), _xlfn.XLOOKUP($EE30,_xlfn.ANCHORARRAY( $CP$15), $CR$15:$CU$19))</f>
        <v>-2.2778197823742768E-2</v>
      </c>
      <c r="EL30" s="10" cm="1">
        <f t="array" aca="1" ref="EL30" ca="1">DN30-_xlfn.XLOOKUP(EL$13,_xlfn.ANCHORARRAY( $CR$14), _xlfn.XLOOKUP($ED30,_xlfn.ANCHORARRAY( $CP$15), $CR$15:$CU$19)) * _xlfn.XLOOKUP(EL$14,_xlfn.ANCHORARRAY( $CR$14), _xlfn.XLOOKUP($EE30,_xlfn.ANCHORARRAY( $CP$15), $CR$15:$CU$19))</f>
        <v>-2.2778197823742768E-2</v>
      </c>
      <c r="EM30" s="10" cm="1">
        <f t="array" aca="1" ref="EM30" ca="1">DO30-_xlfn.XLOOKUP(EM$13,_xlfn.ANCHORARRAY( $CR$14), _xlfn.XLOOKUP($ED30,_xlfn.ANCHORARRAY( $CP$15), $CR$15:$CU$19)) * _xlfn.XLOOKUP(EM$14,_xlfn.ANCHORARRAY( $CR$14), _xlfn.XLOOKUP($EE30,_xlfn.ANCHORARRAY( $CP$15), $CR$15:$CU$19))</f>
        <v>-2.2778197823742768E-2</v>
      </c>
      <c r="EN30" s="10" cm="1">
        <f t="array" aca="1" ref="EN30" ca="1">DP30-_xlfn.XLOOKUP(EN$13,_xlfn.ANCHORARRAY( $CR$14), _xlfn.XLOOKUP($ED30,_xlfn.ANCHORARRAY( $CP$15), $CR$15:$CU$19)) * _xlfn.XLOOKUP(EN$14,_xlfn.ANCHORARRAY( $CR$14), _xlfn.XLOOKUP($EE30,_xlfn.ANCHORARRAY( $CP$15), $CR$15:$CU$19))</f>
        <v>-1.5443168316831687E-3</v>
      </c>
      <c r="EO30" s="10" cm="1">
        <f t="array" aca="1" ref="EO30" ca="1">DQ30-_xlfn.XLOOKUP(EO$13,_xlfn.ANCHORARRAY( $CR$14), _xlfn.XLOOKUP($ED30,_xlfn.ANCHORARRAY( $CP$15), $CR$15:$CU$19)) * _xlfn.XLOOKUP(EO$14,_xlfn.ANCHORARRAY( $CR$14), _xlfn.XLOOKUP($EE30,_xlfn.ANCHORARRAY( $CP$15), $CR$15:$CU$19))</f>
        <v>1.2677227722772259E-4</v>
      </c>
      <c r="EP30" s="10" cm="1">
        <f t="array" aca="1" ref="EP30" ca="1">DR30-_xlfn.XLOOKUP(EP$13,_xlfn.ANCHORARRAY( $CR$14), _xlfn.XLOOKUP($ED30,_xlfn.ANCHORARRAY( $CP$15), $CR$15:$CU$19)) * _xlfn.XLOOKUP(EP$14,_xlfn.ANCHORARRAY( $CR$14), _xlfn.XLOOKUP($EE30,_xlfn.ANCHORARRAY( $CP$15), $CR$15:$CU$19))</f>
        <v>1.2677227722772259E-4</v>
      </c>
      <c r="EQ30" s="10" cm="1">
        <f t="array" aca="1" ref="EQ30" ca="1">DS30-_xlfn.XLOOKUP(EQ$13,_xlfn.ANCHORARRAY( $CR$14), _xlfn.XLOOKUP($ED30,_xlfn.ANCHORARRAY( $CP$15), $CR$15:$CU$19)) * _xlfn.XLOOKUP(EQ$14,_xlfn.ANCHORARRAY( $CR$14), _xlfn.XLOOKUP($EE30,_xlfn.ANCHORARRAY( $CP$15), $CR$15:$CU$19))</f>
        <v>1.2677227722772259E-4</v>
      </c>
      <c r="ER30" s="10" cm="1">
        <f t="array" aca="1" ref="ER30" ca="1">DT30-_xlfn.XLOOKUP(ER$13,_xlfn.ANCHORARRAY( $CR$14), _xlfn.XLOOKUP($ED30,_xlfn.ANCHORARRAY( $CP$15), $CR$15:$CU$19)) * _xlfn.XLOOKUP(ER$14,_xlfn.ANCHORARRAY( $CR$14), _xlfn.XLOOKUP($EE30,_xlfn.ANCHORARRAY( $CP$15), $CR$15:$CU$19))</f>
        <v>-0.15015999372610539</v>
      </c>
      <c r="ES30" s="10" cm="1">
        <f t="array" aca="1" ref="ES30" ca="1">DU30-_xlfn.XLOOKUP(ES$13,_xlfn.ANCHORARRAY( $CR$14), _xlfn.XLOOKUP($ED30,_xlfn.ANCHORARRAY( $CP$15), $CR$15:$CU$19)) * _xlfn.XLOOKUP(ES$14,_xlfn.ANCHORARRAY( $CR$14), _xlfn.XLOOKUP($EE30,_xlfn.ANCHORARRAY( $CP$15), $CR$15:$CU$19))</f>
        <v>5.1029093618272667E-2</v>
      </c>
      <c r="ET30" s="10" cm="1">
        <f t="array" aca="1" ref="ET30" ca="1">DV30-_xlfn.XLOOKUP(ET$13,_xlfn.ANCHORARRAY( $CR$14), _xlfn.XLOOKUP($ED30,_xlfn.ANCHORARRAY( $CP$15), $CR$15:$CU$19)) * _xlfn.XLOOKUP(ET$14,_xlfn.ANCHORARRAY( $CR$14), _xlfn.XLOOKUP($EE30,_xlfn.ANCHORARRAY( $CP$15), $CR$15:$CU$19))</f>
        <v>5.1029093618272667E-2</v>
      </c>
      <c r="EU30" s="10" cm="1">
        <f t="array" aca="1" ref="EU30" ca="1">DW30-_xlfn.XLOOKUP(EU$13,_xlfn.ANCHORARRAY( $CR$14), _xlfn.XLOOKUP($ED30,_xlfn.ANCHORARRAY( $CP$15), $CR$15:$CU$19)) * _xlfn.XLOOKUP(EU$14,_xlfn.ANCHORARRAY( $CR$14), _xlfn.XLOOKUP($EE30,_xlfn.ANCHORARRAY( $CP$15), $CR$15:$CU$19))</f>
        <v>5.1029093618272667E-2</v>
      </c>
      <c r="EZ30" cm="1">
        <f t="array" aca="1" ref="EZ30" ca="1">INDEX(_xlfn.ANCHORARRAY($CP$15), 1 + INT((ROWS($DG$15:$DG30) - 1) / ROWS(_xlfn.ANCHORARRAY($CP$15))))</f>
        <v>3</v>
      </c>
      <c r="FA30" cm="1">
        <f t="array" aca="1" ref="FA30" ca="1">INDEX(_xlfn.ANCHORARRAY($CP$15),1+MOD(ROWS($DG$15:$DG30)-1,ROWS(_xlfn.ANCHORARRAY($CP$15))))</f>
        <v>0</v>
      </c>
      <c r="FB30" s="10" cm="1">
        <f t="array" aca="1" ref="FB30" ca="1">EF30 * _xlfn.XLOOKUP(FB$13,_xlfn.ANCHORARRAY( $CZ$29), _xlfn.XLOOKUP($EZ30,_xlfn.ANCHORARRAY( $CY$30), $CZ$30:$DC$34)) * _xlfn.XLOOKUP(FB$14,_xlfn.ANCHORARRAY( $CZ$29), _xlfn.XLOOKUP($FA30,_xlfn.ANCHORARRAY( $CY$30), $CZ$30:$DC$34))</f>
        <v>-4.0772295172873334E-2</v>
      </c>
      <c r="FC30" s="10" cm="1">
        <f t="array" aca="1" ref="FC30" ca="1">EG30 * _xlfn.XLOOKUP(FC$13,_xlfn.ANCHORARRAY( $CZ$29), _xlfn.XLOOKUP($EZ30,_xlfn.ANCHORARRAY( $CY$30), $CZ$30:$DC$34)) * _xlfn.XLOOKUP(FC$14,_xlfn.ANCHORARRAY( $CZ$29), _xlfn.XLOOKUP($FA30,_xlfn.ANCHORARRAY( $CY$30), $CZ$30:$DC$34))</f>
        <v>-6.2466967179800933E-3</v>
      </c>
      <c r="FD30" s="10" cm="1">
        <f t="array" aca="1" ref="FD30" ca="1">EH30 * _xlfn.XLOOKUP(FD$13,_xlfn.ANCHORARRAY( $CZ$29), _xlfn.XLOOKUP($EZ30,_xlfn.ANCHORARRAY( $CY$30), $CZ$30:$DC$34)) * _xlfn.XLOOKUP(FD$14,_xlfn.ANCHORARRAY( $CZ$29), _xlfn.XLOOKUP($FA30,_xlfn.ANCHORARRAY( $CY$30), $CZ$30:$DC$34))</f>
        <v>-6.2466967179800933E-3</v>
      </c>
      <c r="FE30" s="10" cm="1">
        <f t="array" aca="1" ref="FE30" ca="1">EI30 * _xlfn.XLOOKUP(FE$13,_xlfn.ANCHORARRAY( $CZ$29), _xlfn.XLOOKUP($EZ30,_xlfn.ANCHORARRAY( $CY$30), $CZ$30:$DC$34)) * _xlfn.XLOOKUP(FE$14,_xlfn.ANCHORARRAY( $CZ$29), _xlfn.XLOOKUP($FA30,_xlfn.ANCHORARRAY( $CY$30), $CZ$30:$DC$34))</f>
        <v>-6.2466967179800933E-3</v>
      </c>
      <c r="FF30" s="10" cm="1">
        <f t="array" aca="1" ref="FF30" ca="1">EJ30 * _xlfn.XLOOKUP(FF$13,_xlfn.ANCHORARRAY( $CZ$29), _xlfn.XLOOKUP($EZ30,_xlfn.ANCHORARRAY( $CY$30), $CZ$30:$DC$34)) * _xlfn.XLOOKUP(FF$14,_xlfn.ANCHORARRAY( $CZ$29), _xlfn.XLOOKUP($FA30,_xlfn.ANCHORARRAY( $CY$30), $CZ$30:$DC$34))</f>
        <v>-4.834246219337926E-2</v>
      </c>
      <c r="FG30" s="10" cm="1">
        <f t="array" aca="1" ref="FG30" ca="1">EK30 * _xlfn.XLOOKUP(FG$13,_xlfn.ANCHORARRAY( $CZ$29), _xlfn.XLOOKUP($EZ30,_xlfn.ANCHORARRAY( $CY$30), $CZ$30:$DC$34)) * _xlfn.XLOOKUP(FG$14,_xlfn.ANCHORARRAY( $CZ$29), _xlfn.XLOOKUP($FA30,_xlfn.ANCHORARRAY( $CY$30), $CZ$30:$DC$34))</f>
        <v>-7.4319160362725286E-3</v>
      </c>
      <c r="FH30" s="10" cm="1">
        <f t="array" aca="1" ref="FH30" ca="1">EL30 * _xlfn.XLOOKUP(FH$13,_xlfn.ANCHORARRAY( $CZ$29), _xlfn.XLOOKUP($EZ30,_xlfn.ANCHORARRAY( $CY$30), $CZ$30:$DC$34)) * _xlfn.XLOOKUP(FH$14,_xlfn.ANCHORARRAY( $CZ$29), _xlfn.XLOOKUP($FA30,_xlfn.ANCHORARRAY( $CY$30), $CZ$30:$DC$34))</f>
        <v>-7.4319160362725286E-3</v>
      </c>
      <c r="FI30" s="10" cm="1">
        <f t="array" aca="1" ref="FI30" ca="1">EM30 * _xlfn.XLOOKUP(FI$13,_xlfn.ANCHORARRAY( $CZ$29), _xlfn.XLOOKUP($EZ30,_xlfn.ANCHORARRAY( $CY$30), $CZ$30:$DC$34)) * _xlfn.XLOOKUP(FI$14,_xlfn.ANCHORARRAY( $CZ$29), _xlfn.XLOOKUP($FA30,_xlfn.ANCHORARRAY( $CY$30), $CZ$30:$DC$34))</f>
        <v>-7.4319160362725286E-3</v>
      </c>
      <c r="FJ30" s="10" cm="1">
        <f t="array" aca="1" ref="FJ30" ca="1">EN30 * _xlfn.XLOOKUP(FJ$13,_xlfn.ANCHORARRAY( $CZ$29), _xlfn.XLOOKUP($EZ30,_xlfn.ANCHORARRAY( $CY$30), $CZ$30:$DC$34)) * _xlfn.XLOOKUP(FJ$14,_xlfn.ANCHORARRAY( $CZ$29), _xlfn.XLOOKUP($FA30,_xlfn.ANCHORARRAY( $CY$30), $CZ$30:$DC$34))</f>
        <v>5.7471959119188374E-3</v>
      </c>
      <c r="FK30" s="10" cm="1">
        <f t="array" aca="1" ref="FK30" ca="1">EO30 * _xlfn.XLOOKUP(FK$13,_xlfn.ANCHORARRAY( $CZ$29), _xlfn.XLOOKUP($EZ30,_xlfn.ANCHORARRAY( $CY$30), $CZ$30:$DC$34)) * _xlfn.XLOOKUP(FK$14,_xlfn.ANCHORARRAY( $CZ$29), _xlfn.XLOOKUP($FA30,_xlfn.ANCHORARRAY( $CY$30), $CZ$30:$DC$34))</f>
        <v>2.163291944727391E-4</v>
      </c>
      <c r="FL30" s="10" cm="1">
        <f t="array" aca="1" ref="FL30" ca="1">EP30 * _xlfn.XLOOKUP(FL$13,_xlfn.ANCHORARRAY( $CZ$29), _xlfn.XLOOKUP($EZ30,_xlfn.ANCHORARRAY( $CY$30), $CZ$30:$DC$34)) * _xlfn.XLOOKUP(FL$14,_xlfn.ANCHORARRAY( $CZ$29), _xlfn.XLOOKUP($FA30,_xlfn.ANCHORARRAY( $CY$30), $CZ$30:$DC$34))</f>
        <v>2.163291944727391E-4</v>
      </c>
      <c r="FM30" s="10" cm="1">
        <f t="array" aca="1" ref="FM30" ca="1">EQ30 * _xlfn.XLOOKUP(FM$13,_xlfn.ANCHORARRAY( $CZ$29), _xlfn.XLOOKUP($EZ30,_xlfn.ANCHORARRAY( $CY$30), $CZ$30:$DC$34)) * _xlfn.XLOOKUP(FM$14,_xlfn.ANCHORARRAY( $CZ$29), _xlfn.XLOOKUP($FA30,_xlfn.ANCHORARRAY( $CY$30), $CZ$30:$DC$34))</f>
        <v>2.163291944727391E-4</v>
      </c>
      <c r="FN30" s="10" cm="1">
        <f t="array" aca="1" ref="FN30" ca="1">ER30 * _xlfn.XLOOKUP(FN$13,_xlfn.ANCHORARRAY( $CZ$29), _xlfn.XLOOKUP($EZ30,_xlfn.ANCHORARRAY( $CY$30), $CZ$30:$DC$34)) * _xlfn.XLOOKUP(FN$14,_xlfn.ANCHORARRAY( $CZ$29), _xlfn.XLOOKUP($FA30,_xlfn.ANCHORARRAY( $CY$30), $CZ$30:$DC$34))</f>
        <v>-0.26313451287477069</v>
      </c>
      <c r="FO30" s="10" cm="1">
        <f t="array" aca="1" ref="FO30" ca="1">ES30 * _xlfn.XLOOKUP(FO$13,_xlfn.ANCHORARRAY( $CZ$29), _xlfn.XLOOKUP($EZ30,_xlfn.ANCHORARRAY( $CY$30), $CZ$30:$DC$34)) * _xlfn.XLOOKUP(FO$14,_xlfn.ANCHORARRAY( $CZ$29), _xlfn.XLOOKUP($FA30,_xlfn.ANCHORARRAY( $CY$30), $CZ$30:$DC$34))</f>
        <v>-4.1002720398777802E-2</v>
      </c>
      <c r="FP30" s="10" cm="1">
        <f t="array" aca="1" ref="FP30" ca="1">ET30 * _xlfn.XLOOKUP(FP$13,_xlfn.ANCHORARRAY( $CZ$29), _xlfn.XLOOKUP($EZ30,_xlfn.ANCHORARRAY( $CY$30), $CZ$30:$DC$34)) * _xlfn.XLOOKUP(FP$14,_xlfn.ANCHORARRAY( $CZ$29), _xlfn.XLOOKUP($FA30,_xlfn.ANCHORARRAY( $CY$30), $CZ$30:$DC$34))</f>
        <v>-4.1002720398777802E-2</v>
      </c>
      <c r="FQ30" s="10" cm="1">
        <f t="array" aca="1" ref="FQ30" ca="1">EU30 * _xlfn.XLOOKUP(FQ$13,_xlfn.ANCHORARRAY( $CZ$29), _xlfn.XLOOKUP($EZ30,_xlfn.ANCHORARRAY( $CY$30), $CZ$30:$DC$34)) * _xlfn.XLOOKUP(FQ$14,_xlfn.ANCHORARRAY( $CZ$29), _xlfn.XLOOKUP($FA30,_xlfn.ANCHORARRAY( $CY$30), $CZ$30:$DC$34))</f>
        <v>-4.1002720398777802E-2</v>
      </c>
      <c r="FT30" cm="1">
        <f t="array" aca="1" ref="FT30" ca="1">SQRT(SUM((FB30:FQ30)^2))</f>
        <v>0.28035468473722197</v>
      </c>
    </row>
    <row r="31" spans="1:176" x14ac:dyDescent="0.2">
      <c r="D31" s="10">
        <f ca="1"/>
        <v>16</v>
      </c>
      <c r="F31" s="10">
        <f ca="1"/>
        <v>0.5</v>
      </c>
      <c r="H31" s="10"/>
      <c r="J31" cm="1">
        <f t="array" aca="1" ref="J31" ca="1">SUMPRODUCT((O31:AJ31=$O$11:$AJ$11)*(O$13:AJ$13=TRUE))  / COUNTIF(O$13:AJ$13,TRUE)</f>
        <v>0.6</v>
      </c>
      <c r="K31" t="b">
        <f t="shared" ca="1" si="3"/>
        <v>1</v>
      </c>
      <c r="L31" cm="1">
        <f t="array" aca="1" ref="L31" ca="1">SUM(
   1*(_xlfn._xlws.FILTER(OFFSET($O31,0,0,1,$B$9),OFFSET($O$13,0,0,1,$B$9)) = "-")
) / $B$13</f>
        <v>0</v>
      </c>
      <c r="M31" t="b">
        <f t="shared" ca="1" si="4"/>
        <v>1</v>
      </c>
      <c r="N31" s="2">
        <v>16</v>
      </c>
      <c r="O31" s="12" t="s">
        <v>0</v>
      </c>
      <c r="P31" s="9" t="s">
        <v>1</v>
      </c>
      <c r="Q31" s="9" t="s">
        <v>2</v>
      </c>
      <c r="R31" s="9" t="s">
        <v>0</v>
      </c>
      <c r="S31" s="9" t="s">
        <v>1</v>
      </c>
      <c r="AN31">
        <f t="shared" ca="1" si="5"/>
        <v>2</v>
      </c>
      <c r="AO31" s="14">
        <f t="shared" ca="1" si="6"/>
        <v>0.5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0.6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0.4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0.4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0.2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0.2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0.2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0.8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0.6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0.6</v>
      </c>
      <c r="BN31">
        <f t="shared" ca="1" si="7"/>
        <v>2</v>
      </c>
      <c r="BO31" s="14">
        <f t="shared" ca="1" si="8"/>
        <v>0.5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0.6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0.4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0.4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0.4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0.2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0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0.2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0.2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0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0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0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0.8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0.6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0.6</v>
      </c>
      <c r="CY31">
        <f ca="1"/>
        <v>1</v>
      </c>
      <c r="CZ31" s="10">
        <f t="shared" ref="CZ31:CZ34" ca="1" si="12">LN((CR16*(1-CR$10))/((1-CR16)*CR$10))</f>
        <v>-4.0113654487604089</v>
      </c>
      <c r="DA31" s="10">
        <f t="shared" ca="1" si="11"/>
        <v>1.0049200486876475</v>
      </c>
      <c r="DB31" s="10">
        <f t="shared" ca="1" si="11"/>
        <v>0.3140002234247159</v>
      </c>
      <c r="DC31" s="10">
        <f t="shared" ca="1" si="11"/>
        <v>-0.29973056062364628</v>
      </c>
      <c r="DF31" cm="1">
        <f t="array" aca="1" ref="DF31" ca="1">INDEX(_xlfn.ANCHORARRAY($CP$15), 1 + INT((ROWS($DG$15:$DG31) - 1) / ROWS(_xlfn.ANCHORARRAY($CP$15))))</f>
        <v>3</v>
      </c>
      <c r="DG31" cm="1">
        <f t="array" aca="1" ref="DG31" ca="1">INDEX(_xlfn.ANCHORARRAY($CP$15),1+MOD(ROWS($DG$15:$DG31)-1,ROWS(_xlfn.ANCHORARRAY($CP$15))))</f>
        <v>1</v>
      </c>
      <c r="DH31" s="10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$B$18/($B$19*$B$19*($DF31&lt;&gt;$DG31) + $B$19*($DF31=$DG31))</f>
        <v>1.1999999999999999E-3</v>
      </c>
      <c r="DI31" s="10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$B$18/($B$19*$B$19*($DF31&lt;&gt;$DG31) + $B$19*($DF31=$DG31))</f>
        <v>0.16126600660066007</v>
      </c>
      <c r="DJ31" s="10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$B$18/($B$19*$B$19*($DF31&lt;&gt;$DG31) + $B$19*($DF31=$DG31))</f>
        <v>1.1999999999999999E-3</v>
      </c>
      <c r="DK31" s="10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$B$18/($B$19*$B$19*($DF31&lt;&gt;$DG31) + $B$19*($DF31=$DG31))</f>
        <v>1.1999999999999999E-3</v>
      </c>
      <c r="DL31" s="10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$B$18/($B$19*$B$19*($DF31&lt;&gt;$DG31) + $B$19*($DF31=$DG31))</f>
        <v>1.1999999999999999E-3</v>
      </c>
      <c r="DM31" s="10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$B$18/($B$19*$B$19*($DF31&lt;&gt;$DG31) + $B$19*($DF31=$DG31))</f>
        <v>0.12925280528052804</v>
      </c>
      <c r="DN31" s="10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$B$18/($B$19*$B$19*($DF31&lt;&gt;$DG31) + $B$19*($DF31=$DG31))</f>
        <v>1.1999999999999999E-3</v>
      </c>
      <c r="DO31" s="10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$B$18/($B$19*$B$19*($DF31&lt;&gt;$DG31) + $B$19*($DF31=$DG31))</f>
        <v>1.1999999999999999E-3</v>
      </c>
      <c r="DP31" s="10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$B$18/($B$19*$B$19*($DF31&lt;&gt;$DG31) + $B$19*($DF31=$DG31))</f>
        <v>1.1999999999999999E-3</v>
      </c>
      <c r="DQ31" s="10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$B$18/($B$19*$B$19*($DF31&lt;&gt;$DG31) + $B$19*($DF31=$DG31))</f>
        <v>1.1999999999999999E-3</v>
      </c>
      <c r="DR31" s="10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$B$18/($B$19*$B$19*($DF31&lt;&gt;$DG31) + $B$19*($DF31=$DG31))</f>
        <v>1.1999999999999999E-3</v>
      </c>
      <c r="DS31" s="10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$B$18/($B$19*$B$19*($DF31&lt;&gt;$DG31) + $B$19*($DF31=$DG31))</f>
        <v>1.1999999999999999E-3</v>
      </c>
      <c r="DT31" s="10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$B$18/($B$19*$B$19*($DF31&lt;&gt;$DG31) + $B$19*($DF31=$DG31))</f>
        <v>1.1999999999999999E-3</v>
      </c>
      <c r="DU31" s="10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$B$18/($B$19*$B$19*($DF31&lt;&gt;$DG31) + $B$19*($DF31=$DG31))</f>
        <v>0.18367524752475248</v>
      </c>
      <c r="DV31" s="10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$B$18/($B$19*$B$19*($DF31&lt;&gt;$DG31) + $B$19*($DF31=$DG31))</f>
        <v>0.3085267326732673</v>
      </c>
      <c r="DW31" s="10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$B$18/($B$19*$B$19*($DF31&lt;&gt;$DG31) + $B$19*($DF31=$DG31))</f>
        <v>0.19327920792079209</v>
      </c>
      <c r="ED31" cm="1">
        <f t="array" aca="1" ref="ED31" ca="1">INDEX(_xlfn.ANCHORARRAY($CP$15), 1 + INT((ROWS($DG$15:$DG31) - 1) / ROWS(_xlfn.ANCHORARRAY($CP$15))))</f>
        <v>3</v>
      </c>
      <c r="EE31" cm="1">
        <f t="array" aca="1" ref="EE31" ca="1">INDEX(_xlfn.ANCHORARRAY($CP$15),1+MOD(ROWS($DG$15:$DG31)-1,ROWS(_xlfn.ANCHORARRAY($CP$15))))</f>
        <v>1</v>
      </c>
      <c r="EF31" s="10" cm="1">
        <f t="array" aca="1" ref="EF31" ca="1">DH31-_xlfn.XLOOKUP(EF$13,_xlfn.ANCHORARRAY( $CR$14), _xlfn.XLOOKUP($ED31,_xlfn.ANCHORARRAY( $CP$15), $CR$15:$CU$19)) * _xlfn.XLOOKUP(EF$14,_xlfn.ANCHORARRAY( $CR$14), _xlfn.XLOOKUP($EE31,_xlfn.ANCHORARRAY( $CP$15), $CR$15:$CU$19))</f>
        <v>2.0360396039603951E-4</v>
      </c>
      <c r="EG31" s="10" cm="1">
        <f t="array" aca="1" ref="EG31" ca="1">DI31-_xlfn.XLOOKUP(EG$13,_xlfn.ANCHORARRAY( $CR$14), _xlfn.XLOOKUP($ED31,_xlfn.ANCHORARRAY( $CP$15), $CR$15:$CU$19)) * _xlfn.XLOOKUP(EG$14,_xlfn.ANCHORARRAY( $CR$14), _xlfn.XLOOKUP($EE31,_xlfn.ANCHORARRAY( $CP$15), $CR$15:$CU$19))</f>
        <v>8.2119934385517748E-2</v>
      </c>
      <c r="EH31" s="10" cm="1">
        <f t="array" aca="1" ref="EH31" ca="1">DJ31-_xlfn.XLOOKUP(EH$13,_xlfn.ANCHORARRAY( $CR$14), _xlfn.XLOOKUP($ED31,_xlfn.ANCHORARRAY( $CP$15), $CR$15:$CU$19)) * _xlfn.XLOOKUP(EH$14,_xlfn.ANCHORARRAY( $CR$14), _xlfn.XLOOKUP($EE31,_xlfn.ANCHORARRAY( $CP$15), $CR$15:$CU$19))</f>
        <v>-5.0832919256282062E-2</v>
      </c>
      <c r="EI31" s="10" cm="1">
        <f t="array" aca="1" ref="EI31" ca="1">DK31-_xlfn.XLOOKUP(EI$13,_xlfn.ANCHORARRAY( $CR$14), _xlfn.XLOOKUP($ED31,_xlfn.ANCHORARRAY( $CP$15), $CR$15:$CU$19)) * _xlfn.XLOOKUP(EI$14,_xlfn.ANCHORARRAY( $CR$14), _xlfn.XLOOKUP($EE31,_xlfn.ANCHORARRAY( $CP$15), $CR$15:$CU$19))</f>
        <v>-3.1694223050027774E-2</v>
      </c>
      <c r="EJ31" s="10" cm="1">
        <f t="array" aca="1" ref="EJ31" ca="1">DL31-_xlfn.XLOOKUP(EJ$13,_xlfn.ANCHORARRAY( $CR$14), _xlfn.XLOOKUP($ED31,_xlfn.ANCHORARRAY( $CP$15), $CR$15:$CU$19)) * _xlfn.XLOOKUP(EJ$14,_xlfn.ANCHORARRAY( $CR$14), _xlfn.XLOOKUP($EE31,_xlfn.ANCHORARRAY( $CP$15), $CR$15:$CU$19))</f>
        <v>3.9568316831683158E-4</v>
      </c>
      <c r="EK31" s="10" cm="1">
        <f t="array" aca="1" ref="EK31" ca="1">DM31-_xlfn.XLOOKUP(EK$13,_xlfn.ANCHORARRAY( $CR$14), _xlfn.XLOOKUP($ED31,_xlfn.ANCHORARRAY( $CP$15), $CR$15:$CU$19)) * _xlfn.XLOOKUP(EK$14,_xlfn.ANCHORARRAY( $CR$14), _xlfn.XLOOKUP($EE31,_xlfn.ANCHORARRAY( $CP$15), $CR$15:$CU$19))</f>
        <v>6.5364034637127075E-2</v>
      </c>
      <c r="EL31" s="10" cm="1">
        <f t="array" aca="1" ref="EL31" ca="1">DN31-_xlfn.XLOOKUP(EL$13,_xlfn.ANCHORARRAY( $CR$14), _xlfn.XLOOKUP($ED31,_xlfn.ANCHORARRAY( $CP$15), $CR$15:$CU$19)) * _xlfn.XLOOKUP(EL$14,_xlfn.ANCHORARRAY( $CR$14), _xlfn.XLOOKUP($EE31,_xlfn.ANCHORARRAY( $CP$15), $CR$15:$CU$19))</f>
        <v>-4.0802327484233569E-2</v>
      </c>
      <c r="EM31" s="10" cm="1">
        <f t="array" aca="1" ref="EM31" ca="1">DO31-_xlfn.XLOOKUP(EM$13,_xlfn.ANCHORARRAY( $CR$14), _xlfn.XLOOKUP($ED31,_xlfn.ANCHORARRAY( $CP$15), $CR$15:$CU$19)) * _xlfn.XLOOKUP(EM$14,_xlfn.ANCHORARRAY( $CR$14), _xlfn.XLOOKUP($EE31,_xlfn.ANCHORARRAY( $CP$15), $CR$15:$CU$19))</f>
        <v>-2.5353073489527169E-2</v>
      </c>
      <c r="EN31" s="10" cm="1">
        <f t="array" aca="1" ref="EN31" ca="1">DP31-_xlfn.XLOOKUP(EN$13,_xlfn.ANCHORARRAY( $CR$14), _xlfn.XLOOKUP($ED31,_xlfn.ANCHORARRAY( $CP$15), $CR$15:$CU$19)) * _xlfn.XLOOKUP(EN$14,_xlfn.ANCHORARRAY( $CR$14), _xlfn.XLOOKUP($EE31,_xlfn.ANCHORARRAY( $CP$15), $CR$15:$CU$19))</f>
        <v>1.1639999999999999E-3</v>
      </c>
      <c r="EO31" s="10" cm="1">
        <f t="array" aca="1" ref="EO31" ca="1">DQ31-_xlfn.XLOOKUP(EO$13,_xlfn.ANCHORARRAY( $CR$14), _xlfn.XLOOKUP($ED31,_xlfn.ANCHORARRAY( $CP$15), $CR$15:$CU$19)) * _xlfn.XLOOKUP(EO$14,_xlfn.ANCHORARRAY( $CR$14), _xlfn.XLOOKUP($EE31,_xlfn.ANCHORARRAY( $CP$15), $CR$15:$CU$19))</f>
        <v>-1.6595643564356439E-3</v>
      </c>
      <c r="EP31" s="10" cm="1">
        <f t="array" aca="1" ref="EP31" ca="1">DR31-_xlfn.XLOOKUP(EP$13,_xlfn.ANCHORARRAY( $CR$14), _xlfn.XLOOKUP($ED31,_xlfn.ANCHORARRAY( $CP$15), $CR$15:$CU$19)) * _xlfn.XLOOKUP(EP$14,_xlfn.ANCHORARRAY( $CR$14), _xlfn.XLOOKUP($EE31,_xlfn.ANCHORARRAY( $CP$15), $CR$15:$CU$19))</f>
        <v>-6.7996039603960418E-4</v>
      </c>
      <c r="EQ31" s="10" cm="1">
        <f t="array" aca="1" ref="EQ31" ca="1">DS31-_xlfn.XLOOKUP(EQ$13,_xlfn.ANCHORARRAY( $CR$14), _xlfn.XLOOKUP($ED31,_xlfn.ANCHORARRAY( $CP$15), $CR$15:$CU$19)) * _xlfn.XLOOKUP(EQ$14,_xlfn.ANCHORARRAY( $CR$14), _xlfn.XLOOKUP($EE31,_xlfn.ANCHORARRAY( $CP$15), $CR$15:$CU$19))</f>
        <v>1.1524752475247429E-5</v>
      </c>
      <c r="ER31" s="10" cm="1">
        <f t="array" aca="1" ref="ER31" ca="1">DT31-_xlfn.XLOOKUP(ER$13,_xlfn.ANCHORARRAY( $CR$14), _xlfn.XLOOKUP($ED31,_xlfn.ANCHORARRAY( $CP$15), $CR$15:$CU$19)) * _xlfn.XLOOKUP(ER$14,_xlfn.ANCHORARRAY( $CR$14), _xlfn.XLOOKUP($EE31,_xlfn.ANCHORARRAY( $CP$15), $CR$15:$CU$19))</f>
        <v>-2.9272871287128735E-3</v>
      </c>
      <c r="ES31" s="10" cm="1">
        <f t="array" aca="1" ref="ES31" ca="1">DU31-_xlfn.XLOOKUP(ES$13,_xlfn.ANCHORARRAY( $CR$14), _xlfn.XLOOKUP($ED31,_xlfn.ANCHORARRAY( $CP$15), $CR$15:$CU$19)) * _xlfn.XLOOKUP(ES$14,_xlfn.ANCHORARRAY( $CR$14), _xlfn.XLOOKUP($EE31,_xlfn.ANCHORARRAY( $CP$15), $CR$15:$CU$19))</f>
        <v>-0.1441648403097737</v>
      </c>
      <c r="ET31" s="10" cm="1">
        <f t="array" aca="1" ref="ET31" ca="1">DV31-_xlfn.XLOOKUP(ET$13,_xlfn.ANCHORARRAY( $CR$14), _xlfn.XLOOKUP($ED31,_xlfn.ANCHORARRAY( $CP$15), $CR$15:$CU$19)) * _xlfn.XLOOKUP(ET$14,_xlfn.ANCHORARRAY( $CR$14), _xlfn.XLOOKUP($EE31,_xlfn.ANCHORARRAY( $CP$15), $CR$15:$CU$19))</f>
        <v>9.2995167532594736E-2</v>
      </c>
      <c r="EU31" s="10" cm="1">
        <f t="array" aca="1" ref="EU31" ca="1">DW31-_xlfn.XLOOKUP(EU$13,_xlfn.ANCHORARRAY( $CR$14), _xlfn.XLOOKUP($ED31,_xlfn.ANCHORARRAY( $CP$15), $CR$15:$CU$19)) * _xlfn.XLOOKUP(EU$14,_xlfn.ANCHORARRAY( $CR$14), _xlfn.XLOOKUP($EE31,_xlfn.ANCHORARRAY( $CP$15), $CR$15:$CU$19))</f>
        <v>5.7024247034604403E-2</v>
      </c>
      <c r="EZ31" cm="1">
        <f t="array" aca="1" ref="EZ31" ca="1">INDEX(_xlfn.ANCHORARRAY($CP$15), 1 + INT((ROWS($DG$15:$DG31) - 1) / ROWS(_xlfn.ANCHORARRAY($CP$15))))</f>
        <v>3</v>
      </c>
      <c r="FA31" cm="1">
        <f t="array" aca="1" ref="FA31" ca="1">INDEX(_xlfn.ANCHORARRAY($CP$15),1+MOD(ROWS($DG$15:$DG31)-1,ROWS(_xlfn.ANCHORARRAY($CP$15))))</f>
        <v>1</v>
      </c>
      <c r="FB31" s="10" cm="1">
        <f t="array" aca="1" ref="FB31" ca="1">EF31 * _xlfn.XLOOKUP(FB$13,_xlfn.ANCHORARRAY( $CZ$29), _xlfn.XLOOKUP($EZ31,_xlfn.ANCHORARRAY( $CY$30), $CZ$30:$DC$34)) * _xlfn.XLOOKUP(FB$14,_xlfn.ANCHORARRAY( $CZ$29), _xlfn.XLOOKUP($FA31,_xlfn.ANCHORARRAY( $CY$30), $CZ$30:$DC$34))</f>
        <v>4.2074381591077797E-4</v>
      </c>
      <c r="FC31" s="10" cm="1">
        <f t="array" aca="1" ref="FC31" ca="1">EG31 * _xlfn.XLOOKUP(FC$13,_xlfn.ANCHORARRAY( $CZ$29), _xlfn.XLOOKUP($EZ31,_xlfn.ANCHORARRAY( $CY$30), $CZ$30:$DC$34)) * _xlfn.XLOOKUP(FC$14,_xlfn.ANCHORARRAY( $CZ$29), _xlfn.XLOOKUP($FA31,_xlfn.ANCHORARRAY( $CY$30), $CZ$30:$DC$34))</f>
        <v>-4.2512769198243282E-2</v>
      </c>
      <c r="FD31" s="10" cm="1">
        <f t="array" aca="1" ref="FD31" ca="1">EH31 * _xlfn.XLOOKUP(FD$13,_xlfn.ANCHORARRAY( $CZ$29), _xlfn.XLOOKUP($EZ31,_xlfn.ANCHORARRAY( $CY$30), $CZ$30:$DC$34)) * _xlfn.XLOOKUP(FD$14,_xlfn.ANCHORARRAY( $CZ$29), _xlfn.XLOOKUP($FA31,_xlfn.ANCHORARRAY( $CY$30), $CZ$30:$DC$34))</f>
        <v>8.2226972234581523E-3</v>
      </c>
      <c r="FE31" s="10" cm="1">
        <f t="array" aca="1" ref="FE31" ca="1">EI31 * _xlfn.XLOOKUP(FE$13,_xlfn.ANCHORARRAY( $CZ$29), _xlfn.XLOOKUP($EZ31,_xlfn.ANCHORARRAY( $CY$30), $CZ$30:$DC$34)) * _xlfn.XLOOKUP(FE$14,_xlfn.ANCHORARRAY( $CZ$29), _xlfn.XLOOKUP($FA31,_xlfn.ANCHORARRAY( $CY$30), $CZ$30:$DC$34))</f>
        <v>-4.8938474393968598E-3</v>
      </c>
      <c r="FF31" s="10" cm="1">
        <f t="array" aca="1" ref="FF31" ca="1">EJ31 * _xlfn.XLOOKUP(FF$13,_xlfn.ANCHORARRAY( $CZ$29), _xlfn.XLOOKUP($EZ31,_xlfn.ANCHORARRAY( $CY$30), $CZ$30:$DC$34)) * _xlfn.XLOOKUP(FF$14,_xlfn.ANCHORARRAY( $CZ$29), _xlfn.XLOOKUP($FA31,_xlfn.ANCHORARRAY( $CY$30), $CZ$30:$DC$34))</f>
        <v>1.2173700924209105E-3</v>
      </c>
      <c r="FG31" s="10" cm="1">
        <f t="array" aca="1" ref="FG31" ca="1">EK31 * _xlfn.XLOOKUP(FG$13,_xlfn.ANCHORARRAY( $CZ$29), _xlfn.XLOOKUP($EZ31,_xlfn.ANCHORARRAY( $CY$30), $CZ$30:$DC$34)) * _xlfn.XLOOKUP(FG$14,_xlfn.ANCHORARRAY( $CZ$29), _xlfn.XLOOKUP($FA31,_xlfn.ANCHORARRAY( $CY$30), $CZ$30:$DC$34))</f>
        <v>-5.0379422431346181E-2</v>
      </c>
      <c r="FH31" s="10" cm="1">
        <f t="array" aca="1" ref="FH31" ca="1">EL31 * _xlfn.XLOOKUP(FH$13,_xlfn.ANCHORARRAY( $CZ$29), _xlfn.XLOOKUP($EZ31,_xlfn.ANCHORARRAY( $CY$30), $CZ$30:$DC$34)) * _xlfn.XLOOKUP(FH$14,_xlfn.ANCHORARRAY( $CZ$29), _xlfn.XLOOKUP($FA31,_xlfn.ANCHORARRAY( $CY$30), $CZ$30:$DC$34))</f>
        <v>9.8264741591708102E-3</v>
      </c>
      <c r="FI31" s="10" cm="1">
        <f t="array" aca="1" ref="FI31" ca="1">EM31 * _xlfn.XLOOKUP(FI$13,_xlfn.ANCHORARRAY( $CZ$29), _xlfn.XLOOKUP($EZ31,_xlfn.ANCHORARRAY( $CY$30), $CZ$30:$DC$34)) * _xlfn.XLOOKUP(FI$14,_xlfn.ANCHORARRAY( $CZ$29), _xlfn.XLOOKUP($FA31,_xlfn.ANCHORARRAY( $CY$30), $CZ$30:$DC$34))</f>
        <v>-5.8283344267315105E-3</v>
      </c>
      <c r="FJ31" s="10" cm="1">
        <f t="array" aca="1" ref="FJ31" ca="1">EN31 * _xlfn.XLOOKUP(FJ$13,_xlfn.ANCHORARRAY( $CZ$29), _xlfn.XLOOKUP($EZ31,_xlfn.ANCHORARRAY( $CY$30), $CZ$30:$DC$34)) * _xlfn.XLOOKUP(FJ$14,_xlfn.ANCHORARRAY( $CZ$29), _xlfn.XLOOKUP($FA31,_xlfn.ANCHORARRAY( $CY$30), $CZ$30:$DC$34))</f>
        <v>1.8729985416724236E-2</v>
      </c>
      <c r="FK31" s="10" cm="1">
        <f t="array" aca="1" ref="FK31" ca="1">EO31 * _xlfn.XLOOKUP(FK$13,_xlfn.ANCHORARRAY( $CZ$29), _xlfn.XLOOKUP($EZ31,_xlfn.ANCHORARRAY( $CY$30), $CZ$30:$DC$34)) * _xlfn.XLOOKUP(FK$14,_xlfn.ANCHORARRAY( $CZ$29), _xlfn.XLOOKUP($FA31,_xlfn.ANCHORARRAY( $CY$30), $CZ$30:$DC$34))</f>
        <v>6.6898724695871646E-3</v>
      </c>
      <c r="FL31" s="10" cm="1">
        <f t="array" aca="1" ref="FL31" ca="1">EP31 * _xlfn.XLOOKUP(FL$13,_xlfn.ANCHORARRAY( $CZ$29), _xlfn.XLOOKUP($EZ31,_xlfn.ANCHORARRAY( $CY$30), $CZ$30:$DC$34)) * _xlfn.XLOOKUP(FL$14,_xlfn.ANCHORARRAY( $CZ$29), _xlfn.XLOOKUP($FA31,_xlfn.ANCHORARRAY( $CY$30), $CZ$30:$DC$34))</f>
        <v>8.564574761148674E-4</v>
      </c>
      <c r="FM31" s="10" cm="1">
        <f t="array" aca="1" ref="FM31" ca="1">EQ31 * _xlfn.XLOOKUP(FM$13,_xlfn.ANCHORARRAY( $CZ$29), _xlfn.XLOOKUP($EZ31,_xlfn.ANCHORARRAY( $CY$30), $CZ$30:$DC$34)) * _xlfn.XLOOKUP(FM$14,_xlfn.ANCHORARRAY( $CZ$29), _xlfn.XLOOKUP($FA31,_xlfn.ANCHORARRAY( $CY$30), $CZ$30:$DC$34))</f>
        <v>1.3856541984695926E-5</v>
      </c>
      <c r="FN31" s="10" cm="1">
        <f t="array" aca="1" ref="FN31" ca="1">ER31 * _xlfn.XLOOKUP(FN$13,_xlfn.ANCHORARRAY( $CZ$29), _xlfn.XLOOKUP($EZ31,_xlfn.ANCHORARRAY( $CY$30), $CZ$30:$DC$34)) * _xlfn.XLOOKUP(FN$14,_xlfn.ANCHORARRAY( $CZ$29), _xlfn.XLOOKUP($FA31,_xlfn.ANCHORARRAY( $CY$30), $CZ$30:$DC$34))</f>
        <v>2.217960246888492E-2</v>
      </c>
      <c r="FO31" s="10" cm="1">
        <f t="array" aca="1" ref="FO31" ca="1">ES31 * _xlfn.XLOOKUP(FO$13,_xlfn.ANCHORARRAY( $CZ$29), _xlfn.XLOOKUP($EZ31,_xlfn.ANCHORARRAY( $CY$30), $CZ$30:$DC$34)) * _xlfn.XLOOKUP(FO$14,_xlfn.ANCHORARRAY( $CZ$29), _xlfn.XLOOKUP($FA31,_xlfn.ANCHORARRAY( $CY$30), $CZ$30:$DC$34))</f>
        <v>-0.27364471902044796</v>
      </c>
      <c r="FP31" s="10" cm="1">
        <f t="array" aca="1" ref="FP31" ca="1">ET31 * _xlfn.XLOOKUP(FP$13,_xlfn.ANCHORARRAY( $CZ$29), _xlfn.XLOOKUP($EZ31,_xlfn.ANCHORARRAY( $CY$30), $CZ$30:$DC$34)) * _xlfn.XLOOKUP(FP$14,_xlfn.ANCHORARRAY( $CZ$29), _xlfn.XLOOKUP($FA31,_xlfn.ANCHORARRAY( $CY$30), $CZ$30:$DC$34))</f>
        <v>5.5155210134714833E-2</v>
      </c>
      <c r="FQ31" s="10" cm="1">
        <f t="array" aca="1" ref="FQ31" ca="1">EU31 * _xlfn.XLOOKUP(FQ$13,_xlfn.ANCHORARRAY( $CZ$29), _xlfn.XLOOKUP($EZ31,_xlfn.ANCHORARRAY( $CY$30), $CZ$30:$DC$34)) * _xlfn.XLOOKUP(FQ$14,_xlfn.ANCHORARRAY( $CZ$29), _xlfn.XLOOKUP($FA31,_xlfn.ANCHORARRAY( $CY$30), $CZ$30:$DC$34))</f>
        <v>-3.2283959270593014E-2</v>
      </c>
      <c r="FT31" cm="1">
        <f t="array" aca="1" ref="FT31" ca="1">SQRT(SUM((FB31:FQ31)^2))</f>
        <v>0.29055669160618008</v>
      </c>
    </row>
    <row r="32" spans="1:176" x14ac:dyDescent="0.2">
      <c r="D32" s="10">
        <f ca="1"/>
        <v>17</v>
      </c>
      <c r="F32" s="10">
        <f ca="1"/>
        <v>0.33333333333333331</v>
      </c>
      <c r="H32" s="10"/>
      <c r="J32" cm="1">
        <f t="array" aca="1" ref="J32" ca="1">SUMPRODUCT((O32:AJ32=$O$11:$AJ$11)*(O$13:AJ$13=TRUE))  / COUNTIF(O$13:AJ$13,TRUE)</f>
        <v>0.6</v>
      </c>
      <c r="K32" t="b">
        <f t="shared" ca="1" si="3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4"/>
        <v>1</v>
      </c>
      <c r="N32" s="2">
        <v>17</v>
      </c>
      <c r="O32" s="12" t="s">
        <v>0</v>
      </c>
      <c r="P32" s="9" t="s">
        <v>1</v>
      </c>
      <c r="Q32" s="9" t="s">
        <v>2</v>
      </c>
      <c r="R32" s="9" t="s">
        <v>0</v>
      </c>
      <c r="S32" s="9" t="s">
        <v>2</v>
      </c>
      <c r="AN32">
        <f t="shared" ca="1" si="5"/>
        <v>3</v>
      </c>
      <c r="AO32" s="14">
        <f t="shared" ca="1" si="6"/>
        <v>0.33333333333333331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0.4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0.4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0.4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0.2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0.2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0.2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0.8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0.6</v>
      </c>
      <c r="BN32">
        <f t="shared" ca="1" si="7"/>
        <v>3</v>
      </c>
      <c r="BO32" s="14">
        <f t="shared" ca="1" si="8"/>
        <v>0.33333333333333331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0.6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0.4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0.4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0.4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0.2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0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0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0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0.2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0.2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0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0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0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0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0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0.8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0.8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0.6</v>
      </c>
      <c r="CT32" s="1"/>
      <c r="CY32">
        <f ca="1"/>
        <v>2</v>
      </c>
      <c r="CZ32" s="10">
        <f t="shared" ca="1" si="12"/>
        <v>-0.56212263884611091</v>
      </c>
      <c r="DA32" s="10">
        <f t="shared" ca="1" si="11"/>
        <v>-0.56212263884611091</v>
      </c>
      <c r="DB32" s="10">
        <f t="shared" ca="1" si="11"/>
        <v>1.0049200486876475</v>
      </c>
      <c r="DC32" s="10">
        <f t="shared" ca="1" si="11"/>
        <v>-0.29973056062364628</v>
      </c>
      <c r="DF32" cm="1">
        <f t="array" aca="1" ref="DF32" ca="1">INDEX(_xlfn.ANCHORARRAY($CP$15), 1 + INT((ROWS($DG$15:$DG32) - 1) / ROWS(_xlfn.ANCHORARRAY($CP$15))))</f>
        <v>3</v>
      </c>
      <c r="DG32" cm="1">
        <f t="array" aca="1" ref="DG32" ca="1">INDEX(_xlfn.ANCHORARRAY($CP$15),1+MOD(ROWS($DG$15:$DG32)-1,ROWS(_xlfn.ANCHORARRAY($CP$15))))</f>
        <v>2</v>
      </c>
      <c r="DH32" s="10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$B$18/($B$19*$B$19*($DF32&lt;&gt;$DG32) + $B$19*($DF32=$DG32))</f>
        <v>1.1999999999999999E-3</v>
      </c>
      <c r="DI32" s="10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$B$18/($B$19*$B$19*($DF32&lt;&gt;$DG32) + $B$19*($DF32=$DG32))</f>
        <v>1.1999999999999999E-3</v>
      </c>
      <c r="DJ32" s="10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$B$18/($B$19*$B$19*($DF32&lt;&gt;$DG32) + $B$19*($DF32=$DG32))</f>
        <v>0.16126600660066007</v>
      </c>
      <c r="DK32" s="10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$B$18/($B$19*$B$19*($DF32&lt;&gt;$DG32) + $B$19*($DF32=$DG32))</f>
        <v>1.1999999999999999E-3</v>
      </c>
      <c r="DL32" s="10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$B$18/($B$19*$B$19*($DF32&lt;&gt;$DG32) + $B$19*($DF32=$DG32))</f>
        <v>1.1999999999999999E-3</v>
      </c>
      <c r="DM32" s="10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$B$18/($B$19*$B$19*($DF32&lt;&gt;$DG32) + $B$19*($DF32=$DG32))</f>
        <v>1.1999999999999999E-3</v>
      </c>
      <c r="DN32" s="10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$B$18/($B$19*$B$19*($DF32&lt;&gt;$DG32) + $B$19*($DF32=$DG32))</f>
        <v>0.12925280528052804</v>
      </c>
      <c r="DO32" s="10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$B$18/($B$19*$B$19*($DF32&lt;&gt;$DG32) + $B$19*($DF32=$DG32))</f>
        <v>1.1999999999999999E-3</v>
      </c>
      <c r="DP32" s="10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$B$18/($B$19*$B$19*($DF32&lt;&gt;$DG32) + $B$19*($DF32=$DG32))</f>
        <v>1.1999999999999999E-3</v>
      </c>
      <c r="DQ32" s="10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$B$18/($B$19*$B$19*($DF32&lt;&gt;$DG32) + $B$19*($DF32=$DG32))</f>
        <v>1.1999999999999999E-3</v>
      </c>
      <c r="DR32" s="10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$B$18/($B$19*$B$19*($DF32&lt;&gt;$DG32) + $B$19*($DF32=$DG32))</f>
        <v>1.1999999999999999E-3</v>
      </c>
      <c r="DS32" s="10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$B$18/($B$19*$B$19*($DF32&lt;&gt;$DG32) + $B$19*($DF32=$DG32))</f>
        <v>1.1999999999999999E-3</v>
      </c>
      <c r="DT32" s="10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$B$18/($B$19*$B$19*($DF32&lt;&gt;$DG32) + $B$19*($DF32=$DG32))</f>
        <v>0.15486336633663367</v>
      </c>
      <c r="DU32" s="10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$B$18/($B$19*$B$19*($DF32&lt;&gt;$DG32) + $B$19*($DF32=$DG32))</f>
        <v>0.15486336633663367</v>
      </c>
      <c r="DV32" s="10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$B$18/($B$19*$B$19*($DF32&lt;&gt;$DG32) + $B$19*($DF32=$DG32))</f>
        <v>0.18367524752475248</v>
      </c>
      <c r="DW32" s="10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$B$18/($B$19*$B$19*($DF32&lt;&gt;$DG32) + $B$19*($DF32=$DG32))</f>
        <v>0.19327920792079209</v>
      </c>
      <c r="ED32" cm="1">
        <f t="array" aca="1" ref="ED32" ca="1">INDEX(_xlfn.ANCHORARRAY($CP$15), 1 + INT((ROWS($DG$15:$DG32) - 1) / ROWS(_xlfn.ANCHORARRAY($CP$15))))</f>
        <v>3</v>
      </c>
      <c r="EE32" cm="1">
        <f t="array" aca="1" ref="EE32" ca="1">INDEX(_xlfn.ANCHORARRAY($CP$15),1+MOD(ROWS($DG$15:$DG32)-1,ROWS(_xlfn.ANCHORARRAY($CP$15))))</f>
        <v>2</v>
      </c>
      <c r="EF32" s="10" cm="1">
        <f t="array" aca="1" ref="EF32" ca="1">DH32-_xlfn.XLOOKUP(EF$13,_xlfn.ANCHORARRAY( $CR$14), _xlfn.XLOOKUP($ED32,_xlfn.ANCHORARRAY( $CP$15), $CR$15:$CU$19)) * _xlfn.XLOOKUP(EF$14,_xlfn.ANCHORARRAY( $CR$14), _xlfn.XLOOKUP($EE32,_xlfn.ANCHORARRAY( $CP$15), $CR$15:$CU$19))</f>
        <v>-2.5314657647943013E-2</v>
      </c>
      <c r="EG32" s="10" cm="1">
        <f t="array" aca="1" ref="EG32" ca="1">DI32-_xlfn.XLOOKUP(EG$13,_xlfn.ANCHORARRAY( $CR$14), _xlfn.XLOOKUP($ED32,_xlfn.ANCHORARRAY( $CP$15), $CR$15:$CU$19)) * _xlfn.XLOOKUP(EG$14,_xlfn.ANCHORARRAY( $CR$14), _xlfn.XLOOKUP($EE32,_xlfn.ANCHORARRAY( $CP$15), $CR$15:$CU$19))</f>
        <v>-2.5314657647943013E-2</v>
      </c>
      <c r="EH32" s="10" cm="1">
        <f t="array" aca="1" ref="EH32" ca="1">DJ32-_xlfn.XLOOKUP(EH$13,_xlfn.ANCHORARRAY( $CR$14), _xlfn.XLOOKUP($ED32,_xlfn.ANCHORARRAY( $CP$15), $CR$15:$CU$19)) * _xlfn.XLOOKUP(EH$14,_xlfn.ANCHORARRAY( $CR$14), _xlfn.XLOOKUP($EE32,_xlfn.ANCHORARRAY( $CP$15), $CR$15:$CU$19))</f>
        <v>8.2119934385517748E-2</v>
      </c>
      <c r="EI32" s="10" cm="1">
        <f t="array" aca="1" ref="EI32" ca="1">DK32-_xlfn.XLOOKUP(EI$13,_xlfn.ANCHORARRAY( $CR$14), _xlfn.XLOOKUP($ED32,_xlfn.ANCHORARRAY( $CP$15), $CR$15:$CU$19)) * _xlfn.XLOOKUP(EI$14,_xlfn.ANCHORARRAY( $CR$14), _xlfn.XLOOKUP($EE32,_xlfn.ANCHORARRAY( $CP$15), $CR$15:$CU$19))</f>
        <v>-3.1694223050027774E-2</v>
      </c>
      <c r="EJ32" s="10" cm="1">
        <f t="array" aca="1" ref="EJ32" ca="1">DL32-_xlfn.XLOOKUP(EJ$13,_xlfn.ANCHORARRAY( $CR$14), _xlfn.XLOOKUP($ED32,_xlfn.ANCHORARRAY( $CP$15), $CR$15:$CU$19)) * _xlfn.XLOOKUP(EJ$14,_xlfn.ANCHORARRAY( $CR$14), _xlfn.XLOOKUP($EE32,_xlfn.ANCHORARRAY( $CP$15), $CR$15:$CU$19))</f>
        <v>-2.0203322157958368E-2</v>
      </c>
      <c r="EK32" s="10" cm="1">
        <f t="array" aca="1" ref="EK32" ca="1">DM32-_xlfn.XLOOKUP(EK$13,_xlfn.ANCHORARRAY( $CR$14), _xlfn.XLOOKUP($ED32,_xlfn.ANCHORARRAY( $CP$15), $CR$15:$CU$19)) * _xlfn.XLOOKUP(EK$14,_xlfn.ANCHORARRAY( $CR$14), _xlfn.XLOOKUP($EE32,_xlfn.ANCHORARRAY( $CP$15), $CR$15:$CU$19))</f>
        <v>-2.0203322157958368E-2</v>
      </c>
      <c r="EL32" s="10" cm="1">
        <f t="array" aca="1" ref="EL32" ca="1">DN32-_xlfn.XLOOKUP(EL$13,_xlfn.ANCHORARRAY( $CR$14), _xlfn.XLOOKUP($ED32,_xlfn.ANCHORARRAY( $CP$15), $CR$15:$CU$19)) * _xlfn.XLOOKUP(EL$14,_xlfn.ANCHORARRAY( $CR$14), _xlfn.XLOOKUP($EE32,_xlfn.ANCHORARRAY( $CP$15), $CR$15:$CU$19))</f>
        <v>6.5364034637127075E-2</v>
      </c>
      <c r="EM32" s="10" cm="1">
        <f t="array" aca="1" ref="EM32" ca="1">DO32-_xlfn.XLOOKUP(EM$13,_xlfn.ANCHORARRAY( $CR$14), _xlfn.XLOOKUP($ED32,_xlfn.ANCHORARRAY( $CP$15), $CR$15:$CU$19)) * _xlfn.XLOOKUP(EM$14,_xlfn.ANCHORARRAY( $CR$14), _xlfn.XLOOKUP($EE32,_xlfn.ANCHORARRAY( $CP$15), $CR$15:$CU$19))</f>
        <v>-2.5353073489527169E-2</v>
      </c>
      <c r="EN32" s="10" cm="1">
        <f t="array" aca="1" ref="EN32" ca="1">DP32-_xlfn.XLOOKUP(EN$13,_xlfn.ANCHORARRAY( $CR$14), _xlfn.XLOOKUP($ED32,_xlfn.ANCHORARRAY( $CP$15), $CR$15:$CU$19)) * _xlfn.XLOOKUP(EN$14,_xlfn.ANCHORARRAY( $CR$14), _xlfn.XLOOKUP($EE32,_xlfn.ANCHORARRAY( $CP$15), $CR$15:$CU$19))</f>
        <v>2.4201980198019786E-4</v>
      </c>
      <c r="EO32" s="10" cm="1">
        <f t="array" aca="1" ref="EO32" ca="1">DQ32-_xlfn.XLOOKUP(EO$13,_xlfn.ANCHORARRAY( $CR$14), _xlfn.XLOOKUP($ED32,_xlfn.ANCHORARRAY( $CP$15), $CR$15:$CU$19)) * _xlfn.XLOOKUP(EO$14,_xlfn.ANCHORARRAY( $CR$14), _xlfn.XLOOKUP($EE32,_xlfn.ANCHORARRAY( $CP$15), $CR$15:$CU$19))</f>
        <v>2.4201980198019786E-4</v>
      </c>
      <c r="EP32" s="10" cm="1">
        <f t="array" aca="1" ref="EP32" ca="1">DR32-_xlfn.XLOOKUP(EP$13,_xlfn.ANCHORARRAY( $CR$14), _xlfn.XLOOKUP($ED32,_xlfn.ANCHORARRAY( $CP$15), $CR$15:$CU$19)) * _xlfn.XLOOKUP(EP$14,_xlfn.ANCHORARRAY( $CR$14), _xlfn.XLOOKUP($EE32,_xlfn.ANCHORARRAY( $CP$15), $CR$15:$CU$19))</f>
        <v>-1.6595643564356439E-3</v>
      </c>
      <c r="EQ32" s="10" cm="1">
        <f t="array" aca="1" ref="EQ32" ca="1">DS32-_xlfn.XLOOKUP(EQ$13,_xlfn.ANCHORARRAY( $CR$14), _xlfn.XLOOKUP($ED32,_xlfn.ANCHORARRAY( $CP$15), $CR$15:$CU$19)) * _xlfn.XLOOKUP(EQ$14,_xlfn.ANCHORARRAY( $CR$14), _xlfn.XLOOKUP($EE32,_xlfn.ANCHORARRAY( $CP$15), $CR$15:$CU$19))</f>
        <v>1.1524752475247429E-5</v>
      </c>
      <c r="ER32" s="10" cm="1">
        <f t="array" aca="1" ref="ER32" ca="1">DT32-_xlfn.XLOOKUP(ER$13,_xlfn.ANCHORARRAY( $CR$14), _xlfn.XLOOKUP($ED32,_xlfn.ANCHORARRAY( $CP$15), $CR$15:$CU$19)) * _xlfn.XLOOKUP(ER$14,_xlfn.ANCHORARRAY( $CR$14), _xlfn.XLOOKUP($EE32,_xlfn.ANCHORARRAY( $CP$15), $CR$15:$CU$19))</f>
        <v>4.5033940201940945E-2</v>
      </c>
      <c r="ES32" s="10" cm="1">
        <f t="array" aca="1" ref="ES32" ca="1">DU32-_xlfn.XLOOKUP(ES$13,_xlfn.ANCHORARRAY( $CR$14), _xlfn.XLOOKUP($ED32,_xlfn.ANCHORARRAY( $CP$15), $CR$15:$CU$19)) * _xlfn.XLOOKUP(ES$14,_xlfn.ANCHORARRAY( $CR$14), _xlfn.XLOOKUP($EE32,_xlfn.ANCHORARRAY( $CP$15), $CR$15:$CU$19))</f>
        <v>4.5033940201940945E-2</v>
      </c>
      <c r="ET32" s="10" cm="1">
        <f t="array" aca="1" ref="ET32" ca="1">DV32-_xlfn.XLOOKUP(ET$13,_xlfn.ANCHORARRAY( $CR$14), _xlfn.XLOOKUP($ED32,_xlfn.ANCHORARRAY( $CP$15), $CR$15:$CU$19)) * _xlfn.XLOOKUP(ET$14,_xlfn.ANCHORARRAY( $CR$14), _xlfn.XLOOKUP($EE32,_xlfn.ANCHORARRAY( $CP$15), $CR$15:$CU$19))</f>
        <v>-0.1441648403097737</v>
      </c>
      <c r="EU32" s="10" cm="1">
        <f t="array" aca="1" ref="EU32" ca="1">DW32-_xlfn.XLOOKUP(EU$13,_xlfn.ANCHORARRAY( $CR$14), _xlfn.XLOOKUP($ED32,_xlfn.ANCHORARRAY( $CP$15), $CR$15:$CU$19)) * _xlfn.XLOOKUP(EU$14,_xlfn.ANCHORARRAY( $CR$14), _xlfn.XLOOKUP($EE32,_xlfn.ANCHORARRAY( $CP$15), $CR$15:$CU$19))</f>
        <v>5.7024247034604403E-2</v>
      </c>
      <c r="EZ32" cm="1">
        <f t="array" aca="1" ref="EZ32" ca="1">INDEX(_xlfn.ANCHORARRAY($CP$15), 1 + INT((ROWS($DG$15:$DG32) - 1) / ROWS(_xlfn.ANCHORARRAY($CP$15))))</f>
        <v>3</v>
      </c>
      <c r="FA32" cm="1">
        <f t="array" aca="1" ref="FA32" ca="1">INDEX(_xlfn.ANCHORARRAY($CP$15),1+MOD(ROWS($DG$15:$DG32)-1,ROWS(_xlfn.ANCHORARRAY($CP$15))))</f>
        <v>2</v>
      </c>
      <c r="FB32" s="10" cm="1">
        <f t="array" aca="1" ref="FB32" ca="1">EF32 * _xlfn.XLOOKUP(FB$13,_xlfn.ANCHORARRAY( $CZ$29), _xlfn.XLOOKUP($EZ32,_xlfn.ANCHORARRAY( $CY$30), $CZ$30:$DC$34)) * _xlfn.XLOOKUP(FB$14,_xlfn.ANCHORARRAY( $CZ$29), _xlfn.XLOOKUP($FA32,_xlfn.ANCHORARRAY( $CY$30), $CZ$30:$DC$34))</f>
        <v>-7.330648997777676E-3</v>
      </c>
      <c r="FC32" s="10" cm="1">
        <f t="array" aca="1" ref="FC32" ca="1">EG32 * _xlfn.XLOOKUP(FC$13,_xlfn.ANCHORARRAY( $CZ$29), _xlfn.XLOOKUP($EZ32,_xlfn.ANCHORARRAY( $CY$30), $CZ$30:$DC$34)) * _xlfn.XLOOKUP(FC$14,_xlfn.ANCHORARRAY( $CZ$29), _xlfn.XLOOKUP($FA32,_xlfn.ANCHORARRAY( $CY$30), $CZ$30:$DC$34))</f>
        <v>-7.330648997777676E-3</v>
      </c>
      <c r="FD32" s="10" cm="1">
        <f t="array" aca="1" ref="FD32" ca="1">EH32 * _xlfn.XLOOKUP(FD$13,_xlfn.ANCHORARRAY( $CZ$29), _xlfn.XLOOKUP($EZ32,_xlfn.ANCHORARRAY( $CY$30), $CZ$30:$DC$34)) * _xlfn.XLOOKUP(FD$14,_xlfn.ANCHORARRAY( $CZ$29), _xlfn.XLOOKUP($FA32,_xlfn.ANCHORARRAY( $CY$30), $CZ$30:$DC$34))</f>
        <v>-4.2512769198243282E-2</v>
      </c>
      <c r="FE32" s="10" cm="1">
        <f t="array" aca="1" ref="FE32" ca="1">EI32 * _xlfn.XLOOKUP(FE$13,_xlfn.ANCHORARRAY( $CZ$29), _xlfn.XLOOKUP($EZ32,_xlfn.ANCHORARRAY( $CY$30), $CZ$30:$DC$34)) * _xlfn.XLOOKUP(FE$14,_xlfn.ANCHORARRAY( $CZ$29), _xlfn.XLOOKUP($FA32,_xlfn.ANCHORARRAY( $CY$30), $CZ$30:$DC$34))</f>
        <v>-4.8938474393968598E-3</v>
      </c>
      <c r="FF32" s="10" cm="1">
        <f t="array" aca="1" ref="FF32" ca="1">EJ32 * _xlfn.XLOOKUP(FF$13,_xlfn.ANCHORARRAY( $CZ$29), _xlfn.XLOOKUP($EZ32,_xlfn.ANCHORARRAY( $CY$30), $CZ$30:$DC$34)) * _xlfn.XLOOKUP(FF$14,_xlfn.ANCHORARRAY( $CZ$29), _xlfn.XLOOKUP($FA32,_xlfn.ANCHORARRAY( $CY$30), $CZ$30:$DC$34))</f>
        <v>-8.7103716870554383E-3</v>
      </c>
      <c r="FG32" s="10" cm="1">
        <f t="array" aca="1" ref="FG32" ca="1">EK32 * _xlfn.XLOOKUP(FG$13,_xlfn.ANCHORARRAY( $CZ$29), _xlfn.XLOOKUP($EZ32,_xlfn.ANCHORARRAY( $CY$30), $CZ$30:$DC$34)) * _xlfn.XLOOKUP(FG$14,_xlfn.ANCHORARRAY( $CZ$29), _xlfn.XLOOKUP($FA32,_xlfn.ANCHORARRAY( $CY$30), $CZ$30:$DC$34))</f>
        <v>-8.7103716870554383E-3</v>
      </c>
      <c r="FH32" s="10" cm="1">
        <f t="array" aca="1" ref="FH32" ca="1">EL32 * _xlfn.XLOOKUP(FH$13,_xlfn.ANCHORARRAY( $CZ$29), _xlfn.XLOOKUP($EZ32,_xlfn.ANCHORARRAY( $CY$30), $CZ$30:$DC$34)) * _xlfn.XLOOKUP(FH$14,_xlfn.ANCHORARRAY( $CZ$29), _xlfn.XLOOKUP($FA32,_xlfn.ANCHORARRAY( $CY$30), $CZ$30:$DC$34))</f>
        <v>-5.0379422431346181E-2</v>
      </c>
      <c r="FI32" s="10" cm="1">
        <f t="array" aca="1" ref="FI32" ca="1">EM32 * _xlfn.XLOOKUP(FI$13,_xlfn.ANCHORARRAY( $CZ$29), _xlfn.XLOOKUP($EZ32,_xlfn.ANCHORARRAY( $CY$30), $CZ$30:$DC$34)) * _xlfn.XLOOKUP(FI$14,_xlfn.ANCHORARRAY( $CZ$29), _xlfn.XLOOKUP($FA32,_xlfn.ANCHORARRAY( $CY$30), $CZ$30:$DC$34))</f>
        <v>-5.8283344267315105E-3</v>
      </c>
      <c r="FJ32" s="10" cm="1">
        <f t="array" aca="1" ref="FJ32" ca="1">EN32 * _xlfn.XLOOKUP(FJ$13,_xlfn.ANCHORARRAY( $CZ$29), _xlfn.XLOOKUP($EZ32,_xlfn.ANCHORARRAY( $CY$30), $CZ$30:$DC$34)) * _xlfn.XLOOKUP(FJ$14,_xlfn.ANCHORARRAY( $CZ$29), _xlfn.XLOOKUP($FA32,_xlfn.ANCHORARRAY( $CY$30), $CZ$30:$DC$34))</f>
        <v>5.4572544928273184E-4</v>
      </c>
      <c r="FK32" s="10" cm="1">
        <f t="array" aca="1" ref="FK32" ca="1">EO32 * _xlfn.XLOOKUP(FK$13,_xlfn.ANCHORARRAY( $CZ$29), _xlfn.XLOOKUP($EZ32,_xlfn.ANCHORARRAY( $CY$30), $CZ$30:$DC$34)) * _xlfn.XLOOKUP(FK$14,_xlfn.ANCHORARRAY( $CZ$29), _xlfn.XLOOKUP($FA32,_xlfn.ANCHORARRAY( $CY$30), $CZ$30:$DC$34))</f>
        <v>5.4572544928273184E-4</v>
      </c>
      <c r="FL32" s="10" cm="1">
        <f t="array" aca="1" ref="FL32" ca="1">EP32 * _xlfn.XLOOKUP(FL$13,_xlfn.ANCHORARRAY( $CZ$29), _xlfn.XLOOKUP($EZ32,_xlfn.ANCHORARRAY( $CY$30), $CZ$30:$DC$34)) * _xlfn.XLOOKUP(FL$14,_xlfn.ANCHORARRAY( $CZ$29), _xlfn.XLOOKUP($FA32,_xlfn.ANCHORARRAY( $CY$30), $CZ$30:$DC$34))</f>
        <v>6.6898724695871646E-3</v>
      </c>
      <c r="FM32" s="10" cm="1">
        <f t="array" aca="1" ref="FM32" ca="1">EQ32 * _xlfn.XLOOKUP(FM$13,_xlfn.ANCHORARRAY( $CZ$29), _xlfn.XLOOKUP($EZ32,_xlfn.ANCHORARRAY( $CY$30), $CZ$30:$DC$34)) * _xlfn.XLOOKUP(FM$14,_xlfn.ANCHORARRAY( $CZ$29), _xlfn.XLOOKUP($FA32,_xlfn.ANCHORARRAY( $CY$30), $CZ$30:$DC$34))</f>
        <v>1.3856541984695926E-5</v>
      </c>
      <c r="FN32" s="10" cm="1">
        <f t="array" aca="1" ref="FN32" ca="1">ER32 * _xlfn.XLOOKUP(FN$13,_xlfn.ANCHORARRAY( $CZ$29), _xlfn.XLOOKUP($EZ32,_xlfn.ANCHORARRAY( $CY$30), $CZ$30:$DC$34)) * _xlfn.XLOOKUP(FN$14,_xlfn.ANCHORARRAY( $CZ$29), _xlfn.XLOOKUP($FA32,_xlfn.ANCHORARRAY( $CY$30), $CZ$30:$DC$34))</f>
        <v>-4.7815337820670448E-2</v>
      </c>
      <c r="FO32" s="10" cm="1">
        <f t="array" aca="1" ref="FO32" ca="1">ES32 * _xlfn.XLOOKUP(FO$13,_xlfn.ANCHORARRAY( $CZ$29), _xlfn.XLOOKUP($EZ32,_xlfn.ANCHORARRAY( $CY$30), $CZ$30:$DC$34)) * _xlfn.XLOOKUP(FO$14,_xlfn.ANCHORARRAY( $CZ$29), _xlfn.XLOOKUP($FA32,_xlfn.ANCHORARRAY( $CY$30), $CZ$30:$DC$34))</f>
        <v>-4.7815337820670448E-2</v>
      </c>
      <c r="FP32" s="10" cm="1">
        <f t="array" aca="1" ref="FP32" ca="1">ET32 * _xlfn.XLOOKUP(FP$13,_xlfn.ANCHORARRAY( $CZ$29), _xlfn.XLOOKUP($EZ32,_xlfn.ANCHORARRAY( $CY$30), $CZ$30:$DC$34)) * _xlfn.XLOOKUP(FP$14,_xlfn.ANCHORARRAY( $CZ$29), _xlfn.XLOOKUP($FA32,_xlfn.ANCHORARRAY( $CY$30), $CZ$30:$DC$34))</f>
        <v>-0.27364471902044796</v>
      </c>
      <c r="FQ32" s="10" cm="1">
        <f t="array" aca="1" ref="FQ32" ca="1">EU32 * _xlfn.XLOOKUP(FQ$13,_xlfn.ANCHORARRAY( $CZ$29), _xlfn.XLOOKUP($EZ32,_xlfn.ANCHORARRAY( $CY$30), $CZ$30:$DC$34)) * _xlfn.XLOOKUP(FQ$14,_xlfn.ANCHORARRAY( $CZ$29), _xlfn.XLOOKUP($FA32,_xlfn.ANCHORARRAY( $CY$30), $CZ$30:$DC$34))</f>
        <v>-3.2283959270593014E-2</v>
      </c>
      <c r="FT32" cm="1">
        <f t="array" aca="1" ref="FT32" ca="1">SQRT(SUM((FB32:FQ32)^2))</f>
        <v>0.29189759935232351</v>
      </c>
    </row>
    <row r="33" spans="4:176" x14ac:dyDescent="0.2">
      <c r="D33" s="10">
        <f ca="1"/>
        <v>18</v>
      </c>
      <c r="F33" s="10">
        <f ca="1"/>
        <v>0.33333333333333331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3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4"/>
        <v>1</v>
      </c>
      <c r="N33" s="2">
        <v>18</v>
      </c>
      <c r="O33" s="12" t="s">
        <v>0</v>
      </c>
      <c r="P33" s="9" t="s">
        <v>1</v>
      </c>
      <c r="Q33" s="9" t="s">
        <v>2</v>
      </c>
      <c r="R33" s="9" t="s">
        <v>1</v>
      </c>
      <c r="S33" s="9" t="s">
        <v>2</v>
      </c>
      <c r="AN33">
        <f t="shared" ca="1" si="5"/>
        <v>3</v>
      </c>
      <c r="AO33" s="14">
        <f t="shared" ca="1" si="6"/>
        <v>0.33333333333333331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0.6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0.4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0.2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0.2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0.6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0.8</v>
      </c>
      <c r="BN33">
        <f t="shared" ca="1" si="7"/>
        <v>3</v>
      </c>
      <c r="BO33" s="14">
        <f t="shared" ca="1" si="8"/>
        <v>0.33333333333333331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0.6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0.4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0.4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0.4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0.2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0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0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0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0.2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0.2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0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0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0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0.6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0.8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0.8</v>
      </c>
      <c r="CY33">
        <f ca="1"/>
        <v>3</v>
      </c>
      <c r="CZ33" s="10">
        <f t="shared" ca="1" si="12"/>
        <v>-0.51515662650633598</v>
      </c>
      <c r="DA33" s="10">
        <f t="shared" ca="1" si="11"/>
        <v>-0.76697785037701038</v>
      </c>
      <c r="DB33" s="10">
        <f t="shared" ca="1" si="11"/>
        <v>-4.0113654487604089</v>
      </c>
      <c r="DC33" s="10">
        <f t="shared" ca="1" si="11"/>
        <v>1.8888444973684742</v>
      </c>
      <c r="DF33" cm="1">
        <f t="array" aca="1" ref="DF33" ca="1">INDEX(_xlfn.ANCHORARRAY($CP$15), 1 + INT((ROWS($DG$15:$DG33) - 1) / ROWS(_xlfn.ANCHORARRAY($CP$15))))</f>
        <v>3</v>
      </c>
      <c r="DG33" cm="1">
        <f t="array" aca="1" ref="DG33" ca="1">INDEX(_xlfn.ANCHORARRAY($CP$15),1+MOD(ROWS($DG$15:$DG33)-1,ROWS(_xlfn.ANCHORARRAY($CP$15))))</f>
        <v>3</v>
      </c>
      <c r="DH33" s="10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$B$18/($B$19*$B$19*($DF33&lt;&gt;$DG33) + $B$19*($DF33=$DG33))</f>
        <v>0.16606600660066007</v>
      </c>
      <c r="DI33" s="10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$B$18/($B$19*$B$19*($DF33&lt;&gt;$DG33) + $B$19*($DF33=$DG33))</f>
        <v>6.0000000000000001E-3</v>
      </c>
      <c r="DJ33" s="10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$B$18/($B$19*$B$19*($DF33&lt;&gt;$DG33) + $B$19*($DF33=$DG33))</f>
        <v>6.0000000000000001E-3</v>
      </c>
      <c r="DK33" s="10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$B$18/($B$19*$B$19*($DF33&lt;&gt;$DG33) + $B$19*($DF33=$DG33))</f>
        <v>6.0000000000000001E-3</v>
      </c>
      <c r="DL33" s="10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$B$18/($B$19*$B$19*($DF33&lt;&gt;$DG33) + $B$19*($DF33=$DG33))</f>
        <v>6.0000000000000001E-3</v>
      </c>
      <c r="DM33" s="10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$B$18/($B$19*$B$19*($DF33&lt;&gt;$DG33) + $B$19*($DF33=$DG33))</f>
        <v>0.13405280528052804</v>
      </c>
      <c r="DN33" s="10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$B$18/($B$19*$B$19*($DF33&lt;&gt;$DG33) + $B$19*($DF33=$DG33))</f>
        <v>6.0000000000000001E-3</v>
      </c>
      <c r="DO33" s="10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$B$18/($B$19*$B$19*($DF33&lt;&gt;$DG33) + $B$19*($DF33=$DG33))</f>
        <v>6.0000000000000001E-3</v>
      </c>
      <c r="DP33" s="10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$B$18/($B$19*$B$19*($DF33&lt;&gt;$DG33) + $B$19*($DF33=$DG33))</f>
        <v>6.0000000000000001E-3</v>
      </c>
      <c r="DQ33" s="10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$B$18/($B$19*$B$19*($DF33&lt;&gt;$DG33) + $B$19*($DF33=$DG33))</f>
        <v>6.0000000000000001E-3</v>
      </c>
      <c r="DR33" s="10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$B$18/($B$19*$B$19*($DF33&lt;&gt;$DG33) + $B$19*($DF33=$DG33))</f>
        <v>6.0000000000000001E-3</v>
      </c>
      <c r="DS33" s="10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$B$18/($B$19*$B$19*($DF33&lt;&gt;$DG33) + $B$19*($DF33=$DG33))</f>
        <v>6.0000000000000001E-3</v>
      </c>
      <c r="DT33" s="10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$B$18/($B$19*$B$19*($DF33&lt;&gt;$DG33) + $B$19*($DF33=$DG33))</f>
        <v>6.0000000000000001E-3</v>
      </c>
      <c r="DU33" s="10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$B$18/($B$19*$B$19*($DF33&lt;&gt;$DG33) + $B$19*($DF33=$DG33))</f>
        <v>6.0000000000000001E-3</v>
      </c>
      <c r="DV33" s="10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$B$18/($B$19*$B$19*($DF33&lt;&gt;$DG33) + $B$19*($DF33=$DG33))</f>
        <v>6.0000000000000001E-3</v>
      </c>
      <c r="DW33" s="10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$B$18/($B$19*$B$19*($DF33&lt;&gt;$DG33) + $B$19*($DF33=$DG33))</f>
        <v>0.68788118811881216</v>
      </c>
      <c r="ED33" cm="1">
        <f t="array" aca="1" ref="ED33" ca="1">INDEX(_xlfn.ANCHORARRAY($CP$15), 1 + INT((ROWS($DG$15:$DG33) - 1) / ROWS(_xlfn.ANCHORARRAY($CP$15))))</f>
        <v>3</v>
      </c>
      <c r="EE33" cm="1">
        <f t="array" aca="1" ref="EE33" ca="1">INDEX(_xlfn.ANCHORARRAY($CP$15),1+MOD(ROWS($DG$15:$DG33)-1,ROWS(_xlfn.ANCHORARRAY($CP$15))))</f>
        <v>3</v>
      </c>
      <c r="EF33" s="10" cm="1">
        <f t="array" aca="1" ref="EF33" ca="1">DH33-_xlfn.XLOOKUP(EF$13,_xlfn.ANCHORARRAY( $CR$14), _xlfn.XLOOKUP($ED33,_xlfn.ANCHORARRAY( $CP$15), $CR$15:$CU$19)) * _xlfn.XLOOKUP(EF$14,_xlfn.ANCHORARRAY( $CR$14), _xlfn.XLOOKUP($EE33,_xlfn.ANCHORARRAY( $CP$15), $CR$15:$CU$19))</f>
        <v>0.13848808805236959</v>
      </c>
      <c r="EG33" s="10" cm="1">
        <f t="array" aca="1" ref="EG33" ca="1">DI33-_xlfn.XLOOKUP(EG$13,_xlfn.ANCHORARRAY( $CR$14), _xlfn.XLOOKUP($ED33,_xlfn.ANCHORARRAY( $CP$15), $CR$15:$CU$19)) * _xlfn.XLOOKUP(EG$14,_xlfn.ANCHORARRAY( $CR$14), _xlfn.XLOOKUP($EE33,_xlfn.ANCHORARRAY( $CP$15), $CR$15:$CU$19))</f>
        <v>-1.6261614046553172E-2</v>
      </c>
      <c r="EH33" s="10" cm="1">
        <f t="array" aca="1" ref="EH33" ca="1">DJ33-_xlfn.XLOOKUP(EH$13,_xlfn.ANCHORARRAY( $CR$14), _xlfn.XLOOKUP($ED33,_xlfn.ANCHORARRAY( $CP$15), $CR$15:$CU$19)) * _xlfn.XLOOKUP(EH$14,_xlfn.ANCHORARRAY( $CR$14), _xlfn.XLOOKUP($EE33,_xlfn.ANCHORARRAY( $CP$15), $CR$15:$CU$19))</f>
        <v>5.0036039603960393E-3</v>
      </c>
      <c r="EI33" s="10" cm="1">
        <f t="array" aca="1" ref="EI33" ca="1">DK33-_xlfn.XLOOKUP(EI$13,_xlfn.ANCHORARRAY( $CR$14), _xlfn.XLOOKUP($ED33,_xlfn.ANCHORARRAY( $CP$15), $CR$15:$CU$19)) * _xlfn.XLOOKUP(EI$14,_xlfn.ANCHORARRAY( $CR$14), _xlfn.XLOOKUP($EE33,_xlfn.ANCHORARRAY( $CP$15), $CR$15:$CU$19))</f>
        <v>-0.10823368192660854</v>
      </c>
      <c r="EJ33" s="10" cm="1">
        <f t="array" aca="1" ref="EJ33" ca="1">DL33-_xlfn.XLOOKUP(EJ$13,_xlfn.ANCHORARRAY( $CR$14), _xlfn.XLOOKUP($ED33,_xlfn.ANCHORARRAY( $CP$15), $CR$15:$CU$19)) * _xlfn.XLOOKUP(EJ$14,_xlfn.ANCHORARRAY( $CR$14), _xlfn.XLOOKUP($EE33,_xlfn.ANCHORARRAY( $CP$15), $CR$15:$CU$19))</f>
        <v>-1.6261614046553172E-2</v>
      </c>
      <c r="EK33" s="10" cm="1">
        <f t="array" aca="1" ref="EK33" ca="1">DM33-_xlfn.XLOOKUP(EK$13,_xlfn.ANCHORARRAY( $CR$14), _xlfn.XLOOKUP($ED33,_xlfn.ANCHORARRAY( $CP$15), $CR$15:$CU$19)) * _xlfn.XLOOKUP(EK$14,_xlfn.ANCHORARRAY( $CR$14), _xlfn.XLOOKUP($EE33,_xlfn.ANCHORARRAY( $CP$15), $CR$15:$CU$19))</f>
        <v>0.11608265067694887</v>
      </c>
      <c r="EL33" s="10" cm="1">
        <f t="array" aca="1" ref="EL33" ca="1">DN33-_xlfn.XLOOKUP(EL$13,_xlfn.ANCHORARRAY( $CR$14), _xlfn.XLOOKUP($ED33,_xlfn.ANCHORARRAY( $CP$15), $CR$15:$CU$19)) * _xlfn.XLOOKUP(EL$14,_xlfn.ANCHORARRAY( $CR$14), _xlfn.XLOOKUP($EE33,_xlfn.ANCHORARRAY( $CP$15), $CR$15:$CU$19))</f>
        <v>5.1956831683168322E-3</v>
      </c>
      <c r="EM33" s="10" cm="1">
        <f t="array" aca="1" ref="EM33" ca="1">DO33-_xlfn.XLOOKUP(EM$13,_xlfn.ANCHORARRAY( $CR$14), _xlfn.XLOOKUP($ED33,_xlfn.ANCHORARRAY( $CP$15), $CR$15:$CU$19)) * _xlfn.XLOOKUP(EM$14,_xlfn.ANCHORARRAY( $CR$14), _xlfn.XLOOKUP($EE33,_xlfn.ANCHORARRAY( $CP$15), $CR$15:$CU$19))</f>
        <v>-8.6212402967029395E-2</v>
      </c>
      <c r="EN33" s="10" cm="1">
        <f t="array" aca="1" ref="EN33" ca="1">DP33-_xlfn.XLOOKUP(EN$13,_xlfn.ANCHORARRAY( $CR$14), _xlfn.XLOOKUP($ED33,_xlfn.ANCHORARRAY( $CP$15), $CR$15:$CU$19)) * _xlfn.XLOOKUP(EN$14,_xlfn.ANCHORARRAY( $CR$14), _xlfn.XLOOKUP($EE33,_xlfn.ANCHORARRAY( $CP$15), $CR$15:$CU$19))</f>
        <v>5.0036039603960393E-3</v>
      </c>
      <c r="EO33" s="10" cm="1">
        <f t="array" aca="1" ref="EO33" ca="1">DQ33-_xlfn.XLOOKUP(EO$13,_xlfn.ANCHORARRAY( $CR$14), _xlfn.XLOOKUP($ED33,_xlfn.ANCHORARRAY( $CP$15), $CR$15:$CU$19)) * _xlfn.XLOOKUP(EO$14,_xlfn.ANCHORARRAY( $CR$14), _xlfn.XLOOKUP($EE33,_xlfn.ANCHORARRAY( $CP$15), $CR$15:$CU$19))</f>
        <v>5.1956831683168322E-3</v>
      </c>
      <c r="EP33" s="10" cm="1">
        <f t="array" aca="1" ref="EP33" ca="1">DR33-_xlfn.XLOOKUP(EP$13,_xlfn.ANCHORARRAY( $CR$14), _xlfn.XLOOKUP($ED33,_xlfn.ANCHORARRAY( $CP$15), $CR$15:$CU$19)) * _xlfn.XLOOKUP(EP$14,_xlfn.ANCHORARRAY( $CR$14), _xlfn.XLOOKUP($EE33,_xlfn.ANCHORARRAY( $CP$15), $CR$15:$CU$19))</f>
        <v>5.9640000000000006E-3</v>
      </c>
      <c r="EQ33" s="10" cm="1">
        <f t="array" aca="1" ref="EQ33" ca="1">DS33-_xlfn.XLOOKUP(EQ$13,_xlfn.ANCHORARRAY( $CR$14), _xlfn.XLOOKUP($ED33,_xlfn.ANCHORARRAY( $CP$15), $CR$15:$CU$19)) * _xlfn.XLOOKUP(EQ$14,_xlfn.ANCHORARRAY( $CR$14), _xlfn.XLOOKUP($EE33,_xlfn.ANCHORARRAY( $CP$15), $CR$15:$CU$19))</f>
        <v>1.872712871287127E-3</v>
      </c>
      <c r="ER33" s="10" cm="1">
        <f t="array" aca="1" ref="ER33" ca="1">DT33-_xlfn.XLOOKUP(ER$13,_xlfn.ANCHORARRAY( $CR$14), _xlfn.XLOOKUP($ED33,_xlfn.ANCHORARRAY( $CP$15), $CR$15:$CU$19)) * _xlfn.XLOOKUP(ER$14,_xlfn.ANCHORARRAY( $CR$14), _xlfn.XLOOKUP($EE33,_xlfn.ANCHORARRAY( $CP$15), $CR$15:$CU$19))</f>
        <v>-0.10823368192660854</v>
      </c>
      <c r="ES33" s="10" cm="1">
        <f t="array" aca="1" ref="ES33" ca="1">DU33-_xlfn.XLOOKUP(ES$13,_xlfn.ANCHORARRAY( $CR$14), _xlfn.XLOOKUP($ED33,_xlfn.ANCHORARRAY( $CP$15), $CR$15:$CU$19)) * _xlfn.XLOOKUP(ES$14,_xlfn.ANCHORARRAY( $CR$14), _xlfn.XLOOKUP($EE33,_xlfn.ANCHORARRAY( $CP$15), $CR$15:$CU$19))</f>
        <v>-8.6212402967029395E-2</v>
      </c>
      <c r="ET33" s="10" cm="1">
        <f t="array" aca="1" ref="ET33" ca="1">DV33-_xlfn.XLOOKUP(ET$13,_xlfn.ANCHORARRAY( $CR$14), _xlfn.XLOOKUP($ED33,_xlfn.ANCHORARRAY( $CP$15), $CR$15:$CU$19)) * _xlfn.XLOOKUP(ET$14,_xlfn.ANCHORARRAY( $CR$14), _xlfn.XLOOKUP($EE33,_xlfn.ANCHORARRAY( $CP$15), $CR$15:$CU$19))</f>
        <v>1.872712871287127E-3</v>
      </c>
      <c r="EU33" s="10" cm="1">
        <f t="array" aca="1" ref="EU33" ca="1">DW33-_xlfn.XLOOKUP(EU$13,_xlfn.ANCHORARRAY( $CR$14), _xlfn.XLOOKUP($ED33,_xlfn.ANCHORARRAY( $CP$15), $CR$15:$CU$19)) * _xlfn.XLOOKUP(EU$14,_xlfn.ANCHORARRAY( $CR$14), _xlfn.XLOOKUP($EE33,_xlfn.ANCHORARRAY( $CP$15), $CR$15:$CU$19))</f>
        <v>0.21470065915106351</v>
      </c>
      <c r="EZ33" cm="1">
        <f t="array" aca="1" ref="EZ33" ca="1">INDEX(_xlfn.ANCHORARRAY($CP$15), 1 + INT((ROWS($DG$15:$DG33) - 1) / ROWS(_xlfn.ANCHORARRAY($CP$15))))</f>
        <v>3</v>
      </c>
      <c r="FA33" cm="1">
        <f t="array" aca="1" ref="FA33" ca="1">INDEX(_xlfn.ANCHORARRAY($CP$15),1+MOD(ROWS($DG$15:$DG33)-1,ROWS(_xlfn.ANCHORARRAY($CP$15))))</f>
        <v>3</v>
      </c>
      <c r="FB33" s="10" cm="1">
        <f t="array" aca="1" ref="FB33" ca="1">EF33 * _xlfn.XLOOKUP(FB$13,_xlfn.ANCHORARRAY( $CZ$29), _xlfn.XLOOKUP($EZ33,_xlfn.ANCHORARRAY( $CY$30), $CZ$30:$DC$34)) * _xlfn.XLOOKUP(FB$14,_xlfn.ANCHORARRAY( $CZ$29), _xlfn.XLOOKUP($FA33,_xlfn.ANCHORARRAY( $CY$30), $CZ$30:$DC$34))</f>
        <v>3.6752848183623267E-2</v>
      </c>
      <c r="FC33" s="10" cm="1">
        <f t="array" aca="1" ref="FC33" ca="1">EG33 * _xlfn.XLOOKUP(FC$13,_xlfn.ANCHORARRAY( $CZ$29), _xlfn.XLOOKUP($EZ33,_xlfn.ANCHORARRAY( $CY$30), $CZ$30:$DC$34)) * _xlfn.XLOOKUP(FC$14,_xlfn.ANCHORARRAY( $CZ$29), _xlfn.XLOOKUP($FA33,_xlfn.ANCHORARRAY( $CY$30), $CZ$30:$DC$34))</f>
        <v>-6.425186851747324E-3</v>
      </c>
      <c r="FD33" s="10" cm="1">
        <f t="array" aca="1" ref="FD33" ca="1">EH33 * _xlfn.XLOOKUP(FD$13,_xlfn.ANCHORARRAY( $CZ$29), _xlfn.XLOOKUP($EZ33,_xlfn.ANCHORARRAY( $CY$30), $CZ$30:$DC$34)) * _xlfn.XLOOKUP(FD$14,_xlfn.ANCHORARRAY( $CZ$29), _xlfn.XLOOKUP($FA33,_xlfn.ANCHORARRAY( $CY$30), $CZ$30:$DC$34))</f>
        <v>1.0339854978794714E-2</v>
      </c>
      <c r="FE33" s="10" cm="1">
        <f t="array" aca="1" ref="FE33" ca="1">EI33 * _xlfn.XLOOKUP(FE$13,_xlfn.ANCHORARRAY( $CZ$29), _xlfn.XLOOKUP($EZ33,_xlfn.ANCHORARRAY( $CY$30), $CZ$30:$DC$34)) * _xlfn.XLOOKUP(FE$14,_xlfn.ANCHORARRAY( $CZ$29), _xlfn.XLOOKUP($FA33,_xlfn.ANCHORARRAY( $CY$30), $CZ$30:$DC$34))</f>
        <v>0.10531686637612672</v>
      </c>
      <c r="FF33" s="10" cm="1">
        <f t="array" aca="1" ref="FF33" ca="1">EJ33 * _xlfn.XLOOKUP(FF$13,_xlfn.ANCHORARRAY( $CZ$29), _xlfn.XLOOKUP($EZ33,_xlfn.ANCHORARRAY( $CY$30), $CZ$30:$DC$34)) * _xlfn.XLOOKUP(FF$14,_xlfn.ANCHORARRAY( $CZ$29), _xlfn.XLOOKUP($FA33,_xlfn.ANCHORARRAY( $CY$30), $CZ$30:$DC$34))</f>
        <v>-6.425186851747324E-3</v>
      </c>
      <c r="FG33" s="10" cm="1">
        <f t="array" aca="1" ref="FG33" ca="1">EK33 * _xlfn.XLOOKUP(FG$13,_xlfn.ANCHORARRAY( $CZ$29), _xlfn.XLOOKUP($EZ33,_xlfn.ANCHORARRAY( $CY$30), $CZ$30:$DC$34)) * _xlfn.XLOOKUP(FG$14,_xlfn.ANCHORARRAY( $CZ$29), _xlfn.XLOOKUP($FA33,_xlfn.ANCHORARRAY( $CY$30), $CZ$30:$DC$34))</f>
        <v>6.828620234026396E-2</v>
      </c>
      <c r="FH33" s="10" cm="1">
        <f t="array" aca="1" ref="FH33" ca="1">EL33 * _xlfn.XLOOKUP(FH$13,_xlfn.ANCHORARRAY( $CZ$29), _xlfn.XLOOKUP($EZ33,_xlfn.ANCHORARRAY( $CY$30), $CZ$30:$DC$34)) * _xlfn.XLOOKUP(FH$14,_xlfn.ANCHORARRAY( $CZ$29), _xlfn.XLOOKUP($FA33,_xlfn.ANCHORARRAY( $CY$30), $CZ$30:$DC$34))</f>
        <v>1.5985186647461888E-2</v>
      </c>
      <c r="FI33" s="10" cm="1">
        <f t="array" aca="1" ref="FI33" ca="1">EM33 * _xlfn.XLOOKUP(FI$13,_xlfn.ANCHORARRAY( $CZ$29), _xlfn.XLOOKUP($EZ33,_xlfn.ANCHORARRAY( $CY$30), $CZ$30:$DC$34)) * _xlfn.XLOOKUP(FI$14,_xlfn.ANCHORARRAY( $CZ$29), _xlfn.XLOOKUP($FA33,_xlfn.ANCHORARRAY( $CY$30), $CZ$30:$DC$34))</f>
        <v>0.12489607131704114</v>
      </c>
      <c r="FJ33" s="10" cm="1">
        <f t="array" aca="1" ref="FJ33" ca="1">EN33 * _xlfn.XLOOKUP(FJ$13,_xlfn.ANCHORARRAY( $CZ$29), _xlfn.XLOOKUP($EZ33,_xlfn.ANCHORARRAY( $CY$30), $CZ$30:$DC$34)) * _xlfn.XLOOKUP(FJ$14,_xlfn.ANCHORARRAY( $CZ$29), _xlfn.XLOOKUP($FA33,_xlfn.ANCHORARRAY( $CY$30), $CZ$30:$DC$34))</f>
        <v>1.0339854978794714E-2</v>
      </c>
      <c r="FK33" s="10" cm="1">
        <f t="array" aca="1" ref="FK33" ca="1">EO33 * _xlfn.XLOOKUP(FK$13,_xlfn.ANCHORARRAY( $CZ$29), _xlfn.XLOOKUP($EZ33,_xlfn.ANCHORARRAY( $CY$30), $CZ$30:$DC$34)) * _xlfn.XLOOKUP(FK$14,_xlfn.ANCHORARRAY( $CZ$29), _xlfn.XLOOKUP($FA33,_xlfn.ANCHORARRAY( $CY$30), $CZ$30:$DC$34))</f>
        <v>1.5985186647461888E-2</v>
      </c>
      <c r="FL33" s="10" cm="1">
        <f t="array" aca="1" ref="FL33" ca="1">EP33 * _xlfn.XLOOKUP(FL$13,_xlfn.ANCHORARRAY( $CZ$29), _xlfn.XLOOKUP($EZ33,_xlfn.ANCHORARRAY( $CY$30), $CZ$30:$DC$34)) * _xlfn.XLOOKUP(FL$14,_xlfn.ANCHORARRAY( $CZ$29), _xlfn.XLOOKUP($FA33,_xlfn.ANCHORARRAY( $CY$30), $CZ$30:$DC$34))</f>
        <v>9.5967038681566474E-2</v>
      </c>
      <c r="FM33" s="10" cm="1">
        <f t="array" aca="1" ref="FM33" ca="1">EQ33 * _xlfn.XLOOKUP(FM$13,_xlfn.ANCHORARRAY( $CZ$29), _xlfn.XLOOKUP($EZ33,_xlfn.ANCHORARRAY( $CY$30), $CZ$30:$DC$34)) * _xlfn.XLOOKUP(FM$14,_xlfn.ANCHORARRAY( $CZ$29), _xlfn.XLOOKUP($FA33,_xlfn.ANCHORARRAY( $CY$30), $CZ$30:$DC$34))</f>
        <v>-1.4189256194275654E-2</v>
      </c>
      <c r="FN33" s="10" cm="1">
        <f t="array" aca="1" ref="FN33" ca="1">ER33 * _xlfn.XLOOKUP(FN$13,_xlfn.ANCHORARRAY( $CZ$29), _xlfn.XLOOKUP($EZ33,_xlfn.ANCHORARRAY( $CY$30), $CZ$30:$DC$34)) * _xlfn.XLOOKUP(FN$14,_xlfn.ANCHORARRAY( $CZ$29), _xlfn.XLOOKUP($FA33,_xlfn.ANCHORARRAY( $CY$30), $CZ$30:$DC$34))</f>
        <v>0.10531686637612672</v>
      </c>
      <c r="FO33" s="10" cm="1">
        <f t="array" aca="1" ref="FO33" ca="1">ES33 * _xlfn.XLOOKUP(FO$13,_xlfn.ANCHORARRAY( $CZ$29), _xlfn.XLOOKUP($EZ33,_xlfn.ANCHORARRAY( $CY$30), $CZ$30:$DC$34)) * _xlfn.XLOOKUP(FO$14,_xlfn.ANCHORARRAY( $CZ$29), _xlfn.XLOOKUP($FA33,_xlfn.ANCHORARRAY( $CY$30), $CZ$30:$DC$34))</f>
        <v>0.12489607131704114</v>
      </c>
      <c r="FP33" s="10" cm="1">
        <f t="array" aca="1" ref="FP33" ca="1">ET33 * _xlfn.XLOOKUP(FP$13,_xlfn.ANCHORARRAY( $CZ$29), _xlfn.XLOOKUP($EZ33,_xlfn.ANCHORARRAY( $CY$30), $CZ$30:$DC$34)) * _xlfn.XLOOKUP(FP$14,_xlfn.ANCHORARRAY( $CZ$29), _xlfn.XLOOKUP($FA33,_xlfn.ANCHORARRAY( $CY$30), $CZ$30:$DC$34))</f>
        <v>-1.4189256194275652E-2</v>
      </c>
      <c r="FQ33" s="10" cm="1">
        <f t="array" aca="1" ref="FQ33" ca="1">EU33 * _xlfn.XLOOKUP(FQ$13,_xlfn.ANCHORARRAY( $CZ$29), _xlfn.XLOOKUP($EZ33,_xlfn.ANCHORARRAY( $CY$30), $CZ$30:$DC$34)) * _xlfn.XLOOKUP(FQ$14,_xlfn.ANCHORARRAY( $CZ$29), _xlfn.XLOOKUP($FA33,_xlfn.ANCHORARRAY( $CY$30), $CZ$30:$DC$34))</f>
        <v>0.76599474169120252</v>
      </c>
      <c r="FT33" cm="1">
        <f t="array" aca="1" ref="FT33" ca="1">SQRT(SUM((FB33:FQ33)^2))</f>
        <v>0.81028565929560215</v>
      </c>
    </row>
    <row r="34" spans="4:176" x14ac:dyDescent="0.2">
      <c r="D34" s="10">
        <f ca="1"/>
        <v>19</v>
      </c>
      <c r="F34" s="10">
        <f ca="1"/>
        <v>0.33333333333333331</v>
      </c>
      <c r="J34" cm="1">
        <f t="array" aca="1" ref="J34" ca="1">SUMPRODUCT((O34:AJ34=$O$11:$AJ$11)*(O$13:AJ$13=TRUE))  / COUNTIF(O$13:AJ$13,TRUE)</f>
        <v>0.8</v>
      </c>
      <c r="K34" t="b">
        <f t="shared" ca="1" si="3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4"/>
        <v>1</v>
      </c>
      <c r="N34" s="2">
        <v>19</v>
      </c>
      <c r="O34" s="12" t="s">
        <v>0</v>
      </c>
      <c r="P34" s="9" t="s">
        <v>1</v>
      </c>
      <c r="Q34" s="9" t="s">
        <v>2</v>
      </c>
      <c r="R34" s="9" t="s">
        <v>1</v>
      </c>
      <c r="S34" s="9" t="s">
        <v>3</v>
      </c>
      <c r="AN34">
        <f t="shared" ca="1" si="5"/>
        <v>3</v>
      </c>
      <c r="AO34" s="14">
        <f t="shared" ca="1" si="6"/>
        <v>0.33333333333333331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0.8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0.6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0.6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0.4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0.2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0.4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0.2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0.2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0.2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0.2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0.6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0.6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7"/>
        <v>3</v>
      </c>
      <c r="BO34" s="14">
        <f t="shared" ca="1" si="8"/>
        <v>0.33333333333333331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0.8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0.6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0.6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0.6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0.4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0.2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0.2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0.2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0.4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0.4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0.2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0.2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0.2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0.2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0.2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0.2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0.6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0.6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0.8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  <c r="CY34">
        <f ca="1"/>
        <v>4</v>
      </c>
      <c r="CZ34" s="10">
        <f t="shared" ca="1" si="12"/>
        <v>-4.0113654487604089</v>
      </c>
      <c r="DA34" s="10">
        <f t="shared" ca="1" si="11"/>
        <v>-1.0761526642088537</v>
      </c>
      <c r="DB34" s="10">
        <f t="shared" ca="1" si="11"/>
        <v>-0.76697785037701038</v>
      </c>
      <c r="DC34" s="10">
        <f t="shared" ca="1" si="11"/>
        <v>2.2074244257710052</v>
      </c>
      <c r="DF34" cm="1">
        <f t="array" aca="1" ref="DF34" ca="1">INDEX(_xlfn.ANCHORARRAY($CP$15), 1 + INT((ROWS($DG$15:$DG34) - 1) / ROWS(_xlfn.ANCHORARRAY($CP$15))))</f>
        <v>3</v>
      </c>
      <c r="DG34" cm="1">
        <f t="array" aca="1" ref="DG34" ca="1">INDEX(_xlfn.ANCHORARRAY($CP$15),1+MOD(ROWS($DG$15:$DG34)-1,ROWS(_xlfn.ANCHORARRAY($CP$15))))</f>
        <v>4</v>
      </c>
      <c r="DH34" s="10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$B$18/($B$19*$B$19*($DF34&lt;&gt;$DG34) + $B$19*($DF34=$DG34))</f>
        <v>1.1999999999999999E-3</v>
      </c>
      <c r="DI34" s="10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$B$18/($B$19*$B$19*($DF34&lt;&gt;$DG34) + $B$19*($DF34=$DG34))</f>
        <v>9.7239603960396048E-2</v>
      </c>
      <c r="DJ34" s="10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$B$18/($B$19*$B$19*($DF34&lt;&gt;$DG34) + $B$19*($DF34=$DG34))</f>
        <v>6.5226402640264025E-2</v>
      </c>
      <c r="DK34" s="10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$B$18/($B$19*$B$19*($DF34&lt;&gt;$DG34) + $B$19*($DF34=$DG34))</f>
        <v>1.1999999999999999E-3</v>
      </c>
      <c r="DL34" s="10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$B$18/($B$19*$B$19*($DF34&lt;&gt;$DG34) + $B$19*($DF34=$DG34))</f>
        <v>1.1999999999999999E-3</v>
      </c>
      <c r="DM34" s="10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$B$18/($B$19*$B$19*($DF34&lt;&gt;$DG34) + $B$19*($DF34=$DG34))</f>
        <v>1.1999999999999999E-3</v>
      </c>
      <c r="DN34" s="10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$B$18/($B$19*$B$19*($DF34&lt;&gt;$DG34) + $B$19*($DF34=$DG34))</f>
        <v>6.5226402640264025E-2</v>
      </c>
      <c r="DO34" s="10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$B$18/($B$19*$B$19*($DF34&lt;&gt;$DG34) + $B$19*($DF34=$DG34))</f>
        <v>6.5226402640264025E-2</v>
      </c>
      <c r="DP34" s="10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$B$18/($B$19*$B$19*($DF34&lt;&gt;$DG34) + $B$19*($DF34=$DG34))</f>
        <v>1.1999999999999999E-3</v>
      </c>
      <c r="DQ34" s="10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$B$18/($B$19*$B$19*($DF34&lt;&gt;$DG34) + $B$19*($DF34=$DG34))</f>
        <v>1.1999999999999999E-3</v>
      </c>
      <c r="DR34" s="10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$B$18/($B$19*$B$19*($DF34&lt;&gt;$DG34) + $B$19*($DF34=$DG34))</f>
        <v>1.1999999999999999E-3</v>
      </c>
      <c r="DS34" s="10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$B$18/($B$19*$B$19*($DF34&lt;&gt;$DG34) + $B$19*($DF34=$DG34))</f>
        <v>1.1999999999999999E-3</v>
      </c>
      <c r="DT34" s="10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$B$18/($B$19*$B$19*($DF34&lt;&gt;$DG34) + $B$19*($DF34=$DG34))</f>
        <v>1.1999999999999999E-3</v>
      </c>
      <c r="DU34" s="10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$B$18/($B$19*$B$19*($DF34&lt;&gt;$DG34) + $B$19*($DF34=$DG34))</f>
        <v>1.1999999999999999E-3</v>
      </c>
      <c r="DV34" s="10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$B$18/($B$19*$B$19*($DF34&lt;&gt;$DG34) + $B$19*($DF34=$DG34))</f>
        <v>1.1999999999999999E-3</v>
      </c>
      <c r="DW34" s="10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$B$18/($B$19*$B$19*($DF34&lt;&gt;$DG34) + $B$19*($DF34=$DG34))</f>
        <v>0.68308118811881213</v>
      </c>
      <c r="ED34" cm="1">
        <f t="array" aca="1" ref="ED34" ca="1">INDEX(_xlfn.ANCHORARRAY($CP$15), 1 + INT((ROWS($DG$15:$DG34) - 1) / ROWS(_xlfn.ANCHORARRAY($CP$15))))</f>
        <v>3</v>
      </c>
      <c r="EE34" cm="1">
        <f t="array" aca="1" ref="EE34" ca="1">INDEX(_xlfn.ANCHORARRAY($CP$15),1+MOD(ROWS($DG$15:$DG34)-1,ROWS(_xlfn.ANCHORARRAY($CP$15))))</f>
        <v>4</v>
      </c>
      <c r="EF34" s="10" cm="1">
        <f t="array" aca="1" ref="EF34" ca="1">DH34-_xlfn.XLOOKUP(EF$13,_xlfn.ANCHORARRAY( $CR$14), _xlfn.XLOOKUP($ED34,_xlfn.ANCHORARRAY( $CP$15), $CR$15:$CU$19)) * _xlfn.XLOOKUP(EF$14,_xlfn.ANCHORARRAY( $CR$14), _xlfn.XLOOKUP($EE34,_xlfn.ANCHORARRAY( $CP$15), $CR$15:$CU$19))</f>
        <v>2.0360396039603951E-4</v>
      </c>
      <c r="EG34" s="10" cm="1">
        <f t="array" aca="1" ref="EG34" ca="1">DI34-_xlfn.XLOOKUP(EG$13,_xlfn.ANCHORARRAY( $CR$14), _xlfn.XLOOKUP($ED34,_xlfn.ANCHORARRAY( $CP$15), $CR$15:$CU$19)) * _xlfn.XLOOKUP(EG$14,_xlfn.ANCHORARRAY( $CR$14), _xlfn.XLOOKUP($EE34,_xlfn.ANCHORARRAY( $CP$15), $CR$15:$CU$19))</f>
        <v>8.0294294415580184E-2</v>
      </c>
      <c r="EH34" s="10" cm="1">
        <f t="array" aca="1" ref="EH34" ca="1">DJ34-_xlfn.XLOOKUP(EH$13,_xlfn.ANCHORARRAY( $CR$14), _xlfn.XLOOKUP($ED34,_xlfn.ANCHORARRAY( $CP$15), $CR$15:$CU$19)) * _xlfn.XLOOKUP(EH$14,_xlfn.ANCHORARRAY( $CR$14), _xlfn.XLOOKUP($EE34,_xlfn.ANCHORARRAY( $CP$15), $CR$15:$CU$19))</f>
        <v>4.2964788593710855E-2</v>
      </c>
      <c r="EI34" s="10" cm="1">
        <f t="array" aca="1" ref="EI34" ca="1">DK34-_xlfn.XLOOKUP(EI$13,_xlfn.ANCHORARRAY( $CR$14), _xlfn.XLOOKUP($ED34,_xlfn.ANCHORARRAY( $CP$15), $CR$15:$CU$19)) * _xlfn.XLOOKUP(EI$14,_xlfn.ANCHORARRAY( $CR$14), _xlfn.XLOOKUP($EE34,_xlfn.ANCHORARRAY( $CP$15), $CR$15:$CU$19))</f>
        <v>-0.12366629093008313</v>
      </c>
      <c r="EJ34" s="10" cm="1">
        <f t="array" aca="1" ref="EJ34" ca="1">DL34-_xlfn.XLOOKUP(EJ$13,_xlfn.ANCHORARRAY( $CR$14), _xlfn.XLOOKUP($ED34,_xlfn.ANCHORARRAY( $CP$15), $CR$15:$CU$19)) * _xlfn.XLOOKUP(EJ$14,_xlfn.ANCHORARRAY( $CR$14), _xlfn.XLOOKUP($EE34,_xlfn.ANCHORARRAY( $CP$15), $CR$15:$CU$19))</f>
        <v>3.9568316831683158E-4</v>
      </c>
      <c r="EK34" s="10" cm="1">
        <f t="array" aca="1" ref="EK34" ca="1">DM34-_xlfn.XLOOKUP(EK$13,_xlfn.ANCHORARRAY( $CR$14), _xlfn.XLOOKUP($ED34,_xlfn.ANCHORARRAY( $CP$15), $CR$15:$CU$19)) * _xlfn.XLOOKUP(EK$14,_xlfn.ANCHORARRAY( $CR$14), _xlfn.XLOOKUP($EE34,_xlfn.ANCHORARRAY( $CP$15), $CR$15:$CU$19))</f>
        <v>-1.247869516060517E-2</v>
      </c>
      <c r="EL34" s="10" cm="1">
        <f t="array" aca="1" ref="EL34" ca="1">DN34-_xlfn.XLOOKUP(EL$13,_xlfn.ANCHORARRAY( $CR$14), _xlfn.XLOOKUP($ED34,_xlfn.ANCHORARRAY( $CP$15), $CR$15:$CU$19)) * _xlfn.XLOOKUP(EL$14,_xlfn.ANCHORARRAY( $CR$14), _xlfn.XLOOKUP($EE34,_xlfn.ANCHORARRAY( $CP$15), $CR$15:$CU$19))</f>
        <v>4.7256248036684857E-2</v>
      </c>
      <c r="EM34" s="10" cm="1">
        <f t="array" aca="1" ref="EM34" ca="1">DO34-_xlfn.XLOOKUP(EM$13,_xlfn.ANCHORARRAY( $CR$14), _xlfn.XLOOKUP($ED34,_xlfn.ANCHORARRAY( $CP$15), $CR$15:$CU$19)) * _xlfn.XLOOKUP(EM$14,_xlfn.ANCHORARRAY( $CR$14), _xlfn.XLOOKUP($EE34,_xlfn.ANCHORARRAY( $CP$15), $CR$15:$CU$19))</f>
        <v>-3.5568919212713365E-2</v>
      </c>
      <c r="EN34" s="10" cm="1">
        <f t="array" aca="1" ref="EN34" ca="1">DP34-_xlfn.XLOOKUP(EN$13,_xlfn.ANCHORARRAY( $CR$14), _xlfn.XLOOKUP($ED34,_xlfn.ANCHORARRAY( $CP$15), $CR$15:$CU$19)) * _xlfn.XLOOKUP(EN$14,_xlfn.ANCHORARRAY( $CR$14), _xlfn.XLOOKUP($EE34,_xlfn.ANCHORARRAY( $CP$15), $CR$15:$CU$19))</f>
        <v>1.1639999999999999E-3</v>
      </c>
      <c r="EO34" s="10" cm="1">
        <f t="array" aca="1" ref="EO34" ca="1">DQ34-_xlfn.XLOOKUP(EO$13,_xlfn.ANCHORARRAY( $CR$14), _xlfn.XLOOKUP($ED34,_xlfn.ANCHORARRAY( $CP$15), $CR$15:$CU$19)) * _xlfn.XLOOKUP(EO$14,_xlfn.ANCHORARRAY( $CR$14), _xlfn.XLOOKUP($EE34,_xlfn.ANCHORARRAY( $CP$15), $CR$15:$CU$19))</f>
        <v>5.8776237623762355E-4</v>
      </c>
      <c r="EP34" s="10" cm="1">
        <f t="array" aca="1" ref="EP34" ca="1">DR34-_xlfn.XLOOKUP(EP$13,_xlfn.ANCHORARRAY( $CR$14), _xlfn.XLOOKUP($ED34,_xlfn.ANCHORARRAY( $CP$15), $CR$15:$CU$19)) * _xlfn.XLOOKUP(EP$14,_xlfn.ANCHORARRAY( $CR$14), _xlfn.XLOOKUP($EE34,_xlfn.ANCHORARRAY( $CP$15), $CR$15:$CU$19))</f>
        <v>3.9568316831683158E-4</v>
      </c>
      <c r="EQ34" s="10" cm="1">
        <f t="array" aca="1" ref="EQ34" ca="1">DS34-_xlfn.XLOOKUP(EQ$13,_xlfn.ANCHORARRAY( $CR$14), _xlfn.XLOOKUP($ED34,_xlfn.ANCHORARRAY( $CP$15), $CR$15:$CU$19)) * _xlfn.XLOOKUP(EQ$14,_xlfn.ANCHORARRAY( $CR$14), _xlfn.XLOOKUP($EE34,_xlfn.ANCHORARRAY( $CP$15), $CR$15:$CU$19))</f>
        <v>-3.3114455445544567E-3</v>
      </c>
      <c r="ER34" s="10" cm="1">
        <f t="array" aca="1" ref="ER34" ca="1">DT34-_xlfn.XLOOKUP(ER$13,_xlfn.ANCHORARRAY( $CR$14), _xlfn.XLOOKUP($ED34,_xlfn.ANCHORARRAY( $CP$15), $CR$15:$CU$19)) * _xlfn.XLOOKUP(ER$14,_xlfn.ANCHORARRAY( $CR$14), _xlfn.XLOOKUP($EE34,_xlfn.ANCHORARRAY( $CP$15), $CR$15:$CU$19))</f>
        <v>-2.9272871287128735E-3</v>
      </c>
      <c r="ES34" s="10" cm="1">
        <f t="array" aca="1" ref="ES34" ca="1">DU34-_xlfn.XLOOKUP(ES$13,_xlfn.ANCHORARRAY( $CR$14), _xlfn.XLOOKUP($ED34,_xlfn.ANCHORARRAY( $CP$15), $CR$15:$CU$19)) * _xlfn.XLOOKUP(ES$14,_xlfn.ANCHORARRAY( $CR$14), _xlfn.XLOOKUP($EE34,_xlfn.ANCHORARRAY( $CP$15), $CR$15:$CU$19))</f>
        <v>-6.8991124007450277E-2</v>
      </c>
      <c r="ET34" s="10" cm="1">
        <f t="array" aca="1" ref="ET34" ca="1">DV34-_xlfn.XLOOKUP(ET$13,_xlfn.ANCHORARRAY( $CR$14), _xlfn.XLOOKUP($ED34,_xlfn.ANCHORARRAY( $CP$15), $CR$15:$CU$19)) * _xlfn.XLOOKUP(ET$14,_xlfn.ANCHORARRAY( $CR$14), _xlfn.XLOOKUP($EE34,_xlfn.ANCHORARRAY( $CP$15), $CR$15:$CU$19))</f>
        <v>-9.1012402967029393E-2</v>
      </c>
      <c r="EU34" s="10" cm="1">
        <f t="array" aca="1" ref="EU34" ca="1">DW34-_xlfn.XLOOKUP(EU$13,_xlfn.ANCHORARRAY( $CR$14), _xlfn.XLOOKUP($ED34,_xlfn.ANCHORARRAY( $CP$15), $CR$15:$CU$19)) * _xlfn.XLOOKUP(EU$14,_xlfn.ANCHORARRAY( $CR$14), _xlfn.XLOOKUP($EE34,_xlfn.ANCHORARRAY( $CP$15), $CR$15:$CU$19))</f>
        <v>0.16585810123190525</v>
      </c>
      <c r="EZ34" cm="1">
        <f t="array" aca="1" ref="EZ34" ca="1">INDEX(_xlfn.ANCHORARRAY($CP$15), 1 + INT((ROWS($DG$15:$DG34) - 1) / ROWS(_xlfn.ANCHORARRAY($CP$15))))</f>
        <v>3</v>
      </c>
      <c r="FA34" cm="1">
        <f t="array" aca="1" ref="FA34" ca="1">INDEX(_xlfn.ANCHORARRAY($CP$15),1+MOD(ROWS($DG$15:$DG34)-1,ROWS(_xlfn.ANCHORARRAY($CP$15))))</f>
        <v>4</v>
      </c>
      <c r="FB34" s="10" cm="1">
        <f t="array" aca="1" ref="FB34" ca="1">EF34 * _xlfn.XLOOKUP(FB$13,_xlfn.ANCHORARRAY( $CZ$29), _xlfn.XLOOKUP($EZ34,_xlfn.ANCHORARRAY( $CY$30), $CZ$30:$DC$34)) * _xlfn.XLOOKUP(FB$14,_xlfn.ANCHORARRAY( $CZ$29), _xlfn.XLOOKUP($FA34,_xlfn.ANCHORARRAY( $CY$30), $CZ$30:$DC$34))</f>
        <v>4.2074381591077797E-4</v>
      </c>
      <c r="FC34" s="10" cm="1">
        <f t="array" aca="1" ref="FC34" ca="1">EG34 * _xlfn.XLOOKUP(FC$13,_xlfn.ANCHORARRAY( $CZ$29), _xlfn.XLOOKUP($EZ34,_xlfn.ANCHORARRAY( $CY$30), $CZ$30:$DC$34)) * _xlfn.XLOOKUP(FC$14,_xlfn.ANCHORARRAY( $CZ$29), _xlfn.XLOOKUP($FA34,_xlfn.ANCHORARRAY( $CY$30), $CZ$30:$DC$34))</f>
        <v>4.45141271379665E-2</v>
      </c>
      <c r="FD34" s="10" cm="1">
        <f t="array" aca="1" ref="FD34" ca="1">EH34 * _xlfn.XLOOKUP(FD$13,_xlfn.ANCHORARRAY( $CZ$29), _xlfn.XLOOKUP($EZ34,_xlfn.ANCHORARRAY( $CY$30), $CZ$30:$DC$34)) * _xlfn.XLOOKUP(FD$14,_xlfn.ANCHORARRAY( $CZ$29), _xlfn.XLOOKUP($FA34,_xlfn.ANCHORARRAY( $CY$30), $CZ$30:$DC$34))</f>
        <v>1.6975977536432041E-2</v>
      </c>
      <c r="FE34" s="10" cm="1">
        <f t="array" aca="1" ref="FE34" ca="1">EI34 * _xlfn.XLOOKUP(FE$13,_xlfn.ANCHORARRAY( $CZ$29), _xlfn.XLOOKUP($EZ34,_xlfn.ANCHORARRAY( $CY$30), $CZ$30:$DC$34)) * _xlfn.XLOOKUP(FE$14,_xlfn.ANCHORARRAY( $CZ$29), _xlfn.XLOOKUP($FA34,_xlfn.ANCHORARRAY( $CY$30), $CZ$30:$DC$34))</f>
        <v>0.14062951201927207</v>
      </c>
      <c r="FF34" s="10" cm="1">
        <f t="array" aca="1" ref="FF34" ca="1">EJ34 * _xlfn.XLOOKUP(FF$13,_xlfn.ANCHORARRAY( $CZ$29), _xlfn.XLOOKUP($EZ34,_xlfn.ANCHORARRAY( $CY$30), $CZ$30:$DC$34)) * _xlfn.XLOOKUP(FF$14,_xlfn.ANCHORARRAY( $CZ$29), _xlfn.XLOOKUP($FA34,_xlfn.ANCHORARRAY( $CY$30), $CZ$30:$DC$34))</f>
        <v>1.2173700924209105E-3</v>
      </c>
      <c r="FG34" s="10" cm="1">
        <f t="array" aca="1" ref="FG34" ca="1">EK34 * _xlfn.XLOOKUP(FG$13,_xlfn.ANCHORARRAY( $CZ$29), _xlfn.XLOOKUP($EZ34,_xlfn.ANCHORARRAY( $CY$30), $CZ$30:$DC$34)) * _xlfn.XLOOKUP(FG$14,_xlfn.ANCHORARRAY( $CZ$29), _xlfn.XLOOKUP($FA34,_xlfn.ANCHORARRAY( $CY$30), $CZ$30:$DC$34))</f>
        <v>-1.0299731013064204E-2</v>
      </c>
      <c r="FH34" s="10" cm="1">
        <f t="array" aca="1" ref="FH34" ca="1">EL34 * _xlfn.XLOOKUP(FH$13,_xlfn.ANCHORARRAY( $CZ$29), _xlfn.XLOOKUP($EZ34,_xlfn.ANCHORARRAY( $CY$30), $CZ$30:$DC$34)) * _xlfn.XLOOKUP(FH$14,_xlfn.ANCHORARRAY( $CZ$29), _xlfn.XLOOKUP($FA34,_xlfn.ANCHORARRAY( $CY$30), $CZ$30:$DC$34))</f>
        <v>2.7798725274245966E-2</v>
      </c>
      <c r="FI34" s="10" cm="1">
        <f t="array" aca="1" ref="FI34" ca="1">EM34 * _xlfn.XLOOKUP(FI$13,_xlfn.ANCHORARRAY( $CZ$29), _xlfn.XLOOKUP($EZ34,_xlfn.ANCHORARRAY( $CY$30), $CZ$30:$DC$34)) * _xlfn.XLOOKUP(FI$14,_xlfn.ANCHORARRAY( $CZ$29), _xlfn.XLOOKUP($FA34,_xlfn.ANCHORARRAY( $CY$30), $CZ$30:$DC$34))</f>
        <v>6.02198036263E-2</v>
      </c>
      <c r="FJ34" s="10" cm="1">
        <f t="array" aca="1" ref="FJ34" ca="1">EN34 * _xlfn.XLOOKUP(FJ$13,_xlfn.ANCHORARRAY( $CZ$29), _xlfn.XLOOKUP($EZ34,_xlfn.ANCHORARRAY( $CY$30), $CZ$30:$DC$34)) * _xlfn.XLOOKUP(FJ$14,_xlfn.ANCHORARRAY( $CZ$29), _xlfn.XLOOKUP($FA34,_xlfn.ANCHORARRAY( $CY$30), $CZ$30:$DC$34))</f>
        <v>1.8729985416724236E-2</v>
      </c>
      <c r="FK34" s="10" cm="1">
        <f t="array" aca="1" ref="FK34" ca="1">EO34 * _xlfn.XLOOKUP(FK$13,_xlfn.ANCHORARRAY( $CZ$29), _xlfn.XLOOKUP($EZ34,_xlfn.ANCHORARRAY( $CY$30), $CZ$30:$DC$34)) * _xlfn.XLOOKUP(FK$14,_xlfn.ANCHORARRAY( $CZ$29), _xlfn.XLOOKUP($FA34,_xlfn.ANCHORARRAY( $CY$30), $CZ$30:$DC$34))</f>
        <v>2.5372770853556367E-3</v>
      </c>
      <c r="FL34" s="10" cm="1">
        <f t="array" aca="1" ref="FL34" ca="1">EP34 * _xlfn.XLOOKUP(FL$13,_xlfn.ANCHORARRAY( $CZ$29), _xlfn.XLOOKUP($EZ34,_xlfn.ANCHORARRAY( $CY$30), $CZ$30:$DC$34)) * _xlfn.XLOOKUP(FL$14,_xlfn.ANCHORARRAY( $CZ$29), _xlfn.XLOOKUP($FA34,_xlfn.ANCHORARRAY( $CY$30), $CZ$30:$DC$34))</f>
        <v>1.2173700924209105E-3</v>
      </c>
      <c r="FM34" s="10" cm="1">
        <f t="array" aca="1" ref="FM34" ca="1">EQ34 * _xlfn.XLOOKUP(FM$13,_xlfn.ANCHORARRAY( $CZ$29), _xlfn.XLOOKUP($EZ34,_xlfn.ANCHORARRAY( $CY$30), $CZ$30:$DC$34)) * _xlfn.XLOOKUP(FM$14,_xlfn.ANCHORARRAY( $CZ$29), _xlfn.XLOOKUP($FA34,_xlfn.ANCHORARRAY( $CY$30), $CZ$30:$DC$34))</f>
        <v>2.9322141887059616E-2</v>
      </c>
      <c r="FN34" s="10" cm="1">
        <f t="array" aca="1" ref="FN34" ca="1">ER34 * _xlfn.XLOOKUP(FN$13,_xlfn.ANCHORARRAY( $CZ$29), _xlfn.XLOOKUP($EZ34,_xlfn.ANCHORARRAY( $CY$30), $CZ$30:$DC$34)) * _xlfn.XLOOKUP(FN$14,_xlfn.ANCHORARRAY( $CZ$29), _xlfn.XLOOKUP($FA34,_xlfn.ANCHORARRAY( $CY$30), $CZ$30:$DC$34))</f>
        <v>2.217960246888492E-2</v>
      </c>
      <c r="FO34" s="10" cm="1">
        <f t="array" aca="1" ref="FO34" ca="1">ES34 * _xlfn.XLOOKUP(FO$13,_xlfn.ANCHORARRAY( $CZ$29), _xlfn.XLOOKUP($EZ34,_xlfn.ANCHORARRAY( $CY$30), $CZ$30:$DC$34)) * _xlfn.XLOOKUP(FO$14,_xlfn.ANCHORARRAY( $CZ$29), _xlfn.XLOOKUP($FA34,_xlfn.ANCHORARRAY( $CY$30), $CZ$30:$DC$34))</f>
        <v>0.14023722553297857</v>
      </c>
      <c r="FP34" s="10" cm="1">
        <f t="array" aca="1" ref="FP34" ca="1">ET34 * _xlfn.XLOOKUP(FP$13,_xlfn.ANCHORARRAY( $CZ$29), _xlfn.XLOOKUP($EZ34,_xlfn.ANCHORARRAY( $CY$30), $CZ$30:$DC$34)) * _xlfn.XLOOKUP(FP$14,_xlfn.ANCHORARRAY( $CZ$29), _xlfn.XLOOKUP($FA34,_xlfn.ANCHORARRAY( $CY$30), $CZ$30:$DC$34))</f>
        <v>0.13184984040002412</v>
      </c>
      <c r="FQ34" s="10" cm="1">
        <f t="array" aca="1" ref="FQ34" ca="1">EU34 * _xlfn.XLOOKUP(FQ$13,_xlfn.ANCHORARRAY( $CZ$29), _xlfn.XLOOKUP($EZ34,_xlfn.ANCHORARRAY( $CY$30), $CZ$30:$DC$34)) * _xlfn.XLOOKUP(FQ$14,_xlfn.ANCHORARRAY( $CZ$29), _xlfn.XLOOKUP($FA34,_xlfn.ANCHORARRAY( $CY$30), $CZ$30:$DC$34))</f>
        <v>0.69154228139013607</v>
      </c>
      <c r="FT34" cm="1">
        <f t="array" aca="1" ref="FT34" ca="1">SQRT(SUM((FB34:FQ34)^2))</f>
        <v>0.73725526787335527</v>
      </c>
    </row>
    <row r="35" spans="4:176" x14ac:dyDescent="0.2">
      <c r="J35" cm="1">
        <f t="array" aca="1" ref="J35" ca="1">SUMPRODUCT((O35:AJ35=$O$11:$AJ$11)*(O$13:AJ$13=TRUE))  / COUNTIF(O$13:AJ$13,TRUE)</f>
        <v>0</v>
      </c>
      <c r="K35" t="b">
        <f t="shared" ca="1" si="3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4"/>
        <v>0</v>
      </c>
      <c r="N35" s="2">
        <v>20</v>
      </c>
      <c r="O35" s="12" t="s">
        <v>3</v>
      </c>
      <c r="P35" s="12" t="s">
        <v>3</v>
      </c>
      <c r="Q35" s="12" t="s">
        <v>3</v>
      </c>
      <c r="R35" s="12" t="s">
        <v>0</v>
      </c>
      <c r="S35" s="12" t="s">
        <v>0</v>
      </c>
      <c r="DF35" cm="1">
        <f t="array" aca="1" ref="DF35" ca="1">INDEX(_xlfn.ANCHORARRAY($CP$15), 1 + INT((ROWS($DG$15:$DG35) - 1) / ROWS(_xlfn.ANCHORARRAY($CP$15))))</f>
        <v>4</v>
      </c>
      <c r="DG35" cm="1">
        <f t="array" aca="1" ref="DG35" ca="1">INDEX(_xlfn.ANCHORARRAY($CP$15),1+MOD(ROWS($DG$15:$DG35)-1,ROWS(_xlfn.ANCHORARRAY($CP$15))))</f>
        <v>0</v>
      </c>
      <c r="DH35" s="10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$B$18/($B$19*$B$19*($DF35&lt;&gt;$DG35) + $B$19*($DF35=$DG35))</f>
        <v>1.1999999999999999E-3</v>
      </c>
      <c r="DI35" s="10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$B$18/($B$19*$B$19*($DF35&lt;&gt;$DG35) + $B$19*($DF35=$DG35))</f>
        <v>1.1999999999999999E-3</v>
      </c>
      <c r="DJ35" s="10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$B$18/($B$19*$B$19*($DF35&lt;&gt;$DG35) + $B$19*($DF35=$DG35))</f>
        <v>1.1999999999999999E-3</v>
      </c>
      <c r="DK35" s="10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$B$18/($B$19*$B$19*($DF35&lt;&gt;$DG35) + $B$19*($DF35=$DG35))</f>
        <v>1.1999999999999999E-3</v>
      </c>
      <c r="DL35" s="10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$B$18/($B$19*$B$19*($DF35&lt;&gt;$DG35) + $B$19*($DF35=$DG35))</f>
        <v>9.7239603960396048E-2</v>
      </c>
      <c r="DM35" s="10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$B$18/($B$19*$B$19*($DF35&lt;&gt;$DG35) + $B$19*($DF35=$DG35))</f>
        <v>1.1999999999999999E-3</v>
      </c>
      <c r="DN35" s="10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$B$18/($B$19*$B$19*($DF35&lt;&gt;$DG35) + $B$19*($DF35=$DG35))</f>
        <v>1.1999999999999999E-3</v>
      </c>
      <c r="DO35" s="10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$B$18/($B$19*$B$19*($DF35&lt;&gt;$DG35) + $B$19*($DF35=$DG35))</f>
        <v>1.1999999999999999E-3</v>
      </c>
      <c r="DP35" s="10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$B$18/($B$19*$B$19*($DF35&lt;&gt;$DG35) + $B$19*($DF35=$DG35))</f>
        <v>0.12925280528052804</v>
      </c>
      <c r="DQ35" s="10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$B$18/($B$19*$B$19*($DF35&lt;&gt;$DG35) + $B$19*($DF35=$DG35))</f>
        <v>1.1999999999999999E-3</v>
      </c>
      <c r="DR35" s="10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$B$18/($B$19*$B$19*($DF35&lt;&gt;$DG35) + $B$19*($DF35=$DG35))</f>
        <v>1.1999999999999999E-3</v>
      </c>
      <c r="DS35" s="10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$B$18/($B$19*$B$19*($DF35&lt;&gt;$DG35) + $B$19*($DF35=$DG35))</f>
        <v>1.1999999999999999E-3</v>
      </c>
      <c r="DT35" s="10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$B$18/($B$19*$B$19*($DF35&lt;&gt;$DG35) + $B$19*($DF35=$DG35))</f>
        <v>0.2284937293729373</v>
      </c>
      <c r="DU35" s="10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$B$18/($B$19*$B$19*($DF35&lt;&gt;$DG35) + $B$19*($DF35=$DG35))</f>
        <v>0.17407128712871286</v>
      </c>
      <c r="DV35" s="10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$B$18/($B$19*$B$19*($DF35&lt;&gt;$DG35) + $B$19*($DF35=$DG35))</f>
        <v>0.17407128712871286</v>
      </c>
      <c r="DW35" s="10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$B$18/($B$19*$B$19*($DF35&lt;&gt;$DG35) + $B$19*($DF35=$DG35))</f>
        <v>0.17407128712871286</v>
      </c>
      <c r="ED35" cm="1">
        <f t="array" aca="1" ref="ED35" ca="1">INDEX(_xlfn.ANCHORARRAY($CP$15), 1 + INT((ROWS($DG$15:$DG35) - 1) / ROWS(_xlfn.ANCHORARRAY($CP$15))))</f>
        <v>4</v>
      </c>
      <c r="EE35" cm="1">
        <f t="array" aca="1" ref="EE35" ca="1">INDEX(_xlfn.ANCHORARRAY($CP$15),1+MOD(ROWS($DG$15:$DG35)-1,ROWS(_xlfn.ANCHORARRAY($CP$15))))</f>
        <v>0</v>
      </c>
      <c r="EF35" s="10" cm="1">
        <f t="array" aca="1" ref="EF35" ca="1">DH35-_xlfn.XLOOKUP(EF$13,_xlfn.ANCHORARRAY( $CR$14), _xlfn.XLOOKUP($ED35,_xlfn.ANCHORARRAY( $CP$15), $CR$15:$CU$19)) * _xlfn.XLOOKUP(EF$14,_xlfn.ANCHORARRAY( $CR$14), _xlfn.XLOOKUP($EE35,_xlfn.ANCHORARRAY( $CP$15), $CR$15:$CU$19))</f>
        <v>-1.5443168316831687E-3</v>
      </c>
      <c r="EG35" s="10" cm="1">
        <f t="array" aca="1" ref="EG35" ca="1">DI35-_xlfn.XLOOKUP(EG$13,_xlfn.ANCHORARRAY( $CR$14), _xlfn.XLOOKUP($ED35,_xlfn.ANCHORARRAY( $CP$15), $CR$15:$CU$19)) * _xlfn.XLOOKUP(EG$14,_xlfn.ANCHORARRAY( $CR$14), _xlfn.XLOOKUP($EE35,_xlfn.ANCHORARRAY( $CP$15), $CR$15:$CU$19))</f>
        <v>1.2677227722772259E-4</v>
      </c>
      <c r="EH35" s="10" cm="1">
        <f t="array" aca="1" ref="EH35" ca="1">DJ35-_xlfn.XLOOKUP(EH$13,_xlfn.ANCHORARRAY( $CR$14), _xlfn.XLOOKUP($ED35,_xlfn.ANCHORARRAY( $CP$15), $CR$15:$CU$19)) * _xlfn.XLOOKUP(EH$14,_xlfn.ANCHORARRAY( $CR$14), _xlfn.XLOOKUP($EE35,_xlfn.ANCHORARRAY( $CP$15), $CR$15:$CU$19))</f>
        <v>1.2677227722772259E-4</v>
      </c>
      <c r="EI35" s="10" cm="1">
        <f t="array" aca="1" ref="EI35" ca="1">DK35-_xlfn.XLOOKUP(EI$13,_xlfn.ANCHORARRAY( $CR$14), _xlfn.XLOOKUP($ED35,_xlfn.ANCHORARRAY( $CP$15), $CR$15:$CU$19)) * _xlfn.XLOOKUP(EI$14,_xlfn.ANCHORARRAY( $CR$14), _xlfn.XLOOKUP($EE35,_xlfn.ANCHORARRAY( $CP$15), $CR$15:$CU$19))</f>
        <v>1.2677227722772259E-4</v>
      </c>
      <c r="EJ35" s="10" cm="1">
        <f t="array" aca="1" ref="EJ35" ca="1">DL35-_xlfn.XLOOKUP(EJ$13,_xlfn.ANCHORARRAY( $CR$14), _xlfn.XLOOKUP($ED35,_xlfn.ANCHORARRAY( $CP$15), $CR$15:$CU$19)) * _xlfn.XLOOKUP(EJ$14,_xlfn.ANCHORARRAY( $CR$14), _xlfn.XLOOKUP($EE35,_xlfn.ANCHORARRAY( $CP$15), $CR$15:$CU$19))</f>
        <v>5.0568103519262823E-2</v>
      </c>
      <c r="EK35" s="10" cm="1">
        <f t="array" aca="1" ref="EK35" ca="1">DM35-_xlfn.XLOOKUP(EK$13,_xlfn.ANCHORARRAY( $CR$14), _xlfn.XLOOKUP($ED35,_xlfn.ANCHORARRAY( $CP$15), $CR$15:$CU$19)) * _xlfn.XLOOKUP(EK$14,_xlfn.ANCHORARRAY( $CR$14), _xlfn.XLOOKUP($EE35,_xlfn.ANCHORARRAY( $CP$15), $CR$15:$CU$19))</f>
        <v>-1.7051955298500149E-2</v>
      </c>
      <c r="EL35" s="10" cm="1">
        <f t="array" aca="1" ref="EL35" ca="1">DN35-_xlfn.XLOOKUP(EL$13,_xlfn.ANCHORARRAY( $CR$14), _xlfn.XLOOKUP($ED35,_xlfn.ANCHORARRAY( $CP$15), $CR$15:$CU$19)) * _xlfn.XLOOKUP(EL$14,_xlfn.ANCHORARRAY( $CR$14), _xlfn.XLOOKUP($EE35,_xlfn.ANCHORARRAY( $CP$15), $CR$15:$CU$19))</f>
        <v>-1.7051955298500149E-2</v>
      </c>
      <c r="EM35" s="10" cm="1">
        <f t="array" aca="1" ref="EM35" ca="1">DO35-_xlfn.XLOOKUP(EM$13,_xlfn.ANCHORARRAY( $CR$14), _xlfn.XLOOKUP($ED35,_xlfn.ANCHORARRAY( $CP$15), $CR$15:$CU$19)) * _xlfn.XLOOKUP(EM$14,_xlfn.ANCHORARRAY( $CR$14), _xlfn.XLOOKUP($EE35,_xlfn.ANCHORARRAY( $CP$15), $CR$15:$CU$19))</f>
        <v>-1.7051955298500149E-2</v>
      </c>
      <c r="EN35" s="10" cm="1">
        <f t="array" aca="1" ref="EN35" ca="1">DP35-_xlfn.XLOOKUP(EN$13,_xlfn.ANCHORARRAY( $CR$14), _xlfn.XLOOKUP($ED35,_xlfn.ANCHORARRAY( $CP$15), $CR$15:$CU$19)) * _xlfn.XLOOKUP(EN$14,_xlfn.ANCHORARRAY( $CR$14), _xlfn.XLOOKUP($EE35,_xlfn.ANCHORARRAY( $CP$15), $CR$15:$CU$19))</f>
        <v>6.7938910302911465E-2</v>
      </c>
      <c r="EO35" s="10" cm="1">
        <f t="array" aca="1" ref="EO35" ca="1">DQ35-_xlfn.XLOOKUP(EO$13,_xlfn.ANCHORARRAY( $CR$14), _xlfn.XLOOKUP($ED35,_xlfn.ANCHORARRAY( $CP$15), $CR$15:$CU$19)) * _xlfn.XLOOKUP(EO$14,_xlfn.ANCHORARRAY( $CR$14), _xlfn.XLOOKUP($EE35,_xlfn.ANCHORARRAY( $CP$15), $CR$15:$CU$19))</f>
        <v>-2.2778197823742768E-2</v>
      </c>
      <c r="EP35" s="10" cm="1">
        <f t="array" aca="1" ref="EP35" ca="1">DR35-_xlfn.XLOOKUP(EP$13,_xlfn.ANCHORARRAY( $CR$14), _xlfn.XLOOKUP($ED35,_xlfn.ANCHORARRAY( $CP$15), $CR$15:$CU$19)) * _xlfn.XLOOKUP(EP$14,_xlfn.ANCHORARRAY( $CR$14), _xlfn.XLOOKUP($EE35,_xlfn.ANCHORARRAY( $CP$15), $CR$15:$CU$19))</f>
        <v>-2.2778197823742768E-2</v>
      </c>
      <c r="EQ35" s="10" cm="1">
        <f t="array" aca="1" ref="EQ35" ca="1">DS35-_xlfn.XLOOKUP(EQ$13,_xlfn.ANCHORARRAY( $CR$14), _xlfn.XLOOKUP($ED35,_xlfn.ANCHORARRAY( $CP$15), $CR$15:$CU$19)) * _xlfn.XLOOKUP(EQ$14,_xlfn.ANCHORARRAY( $CR$14), _xlfn.XLOOKUP($EE35,_xlfn.ANCHORARRAY( $CP$15), $CR$15:$CU$19))</f>
        <v>-2.2778197823742768E-2</v>
      </c>
      <c r="ER35" s="10" cm="1">
        <f t="array" aca="1" ref="ER35" ca="1">DT35-_xlfn.XLOOKUP(ER$13,_xlfn.ANCHORARRAY( $CR$14), _xlfn.XLOOKUP($ED35,_xlfn.ANCHORARRAY( $CP$15), $CR$15:$CU$19)) * _xlfn.XLOOKUP(ER$14,_xlfn.ANCHORARRAY( $CR$14), _xlfn.XLOOKUP($EE35,_xlfn.ANCHORARRAY( $CP$15), $CR$15:$CU$19))</f>
        <v>-0.11541838015880804</v>
      </c>
      <c r="ES35" s="10" cm="1">
        <f t="array" aca="1" ref="ES35" ca="1">DU35-_xlfn.XLOOKUP(ES$13,_xlfn.ANCHORARRAY( $CR$14), _xlfn.XLOOKUP($ED35,_xlfn.ANCHORARRAY( $CP$15), $CR$15:$CU$19)) * _xlfn.XLOOKUP(ES$14,_xlfn.ANCHORARRAY( $CR$14), _xlfn.XLOOKUP($EE35,_xlfn.ANCHORARRAY( $CP$15), $CR$15:$CU$19))</f>
        <v>3.9576608567787441E-2</v>
      </c>
      <c r="ET35" s="10" cm="1">
        <f t="array" aca="1" ref="ET35" ca="1">DV35-_xlfn.XLOOKUP(ET$13,_xlfn.ANCHORARRAY( $CR$14), _xlfn.XLOOKUP($ED35,_xlfn.ANCHORARRAY( $CP$15), $CR$15:$CU$19)) * _xlfn.XLOOKUP(ET$14,_xlfn.ANCHORARRAY( $CR$14), _xlfn.XLOOKUP($EE35,_xlfn.ANCHORARRAY( $CP$15), $CR$15:$CU$19))</f>
        <v>3.9576608567787441E-2</v>
      </c>
      <c r="EU35" s="10" cm="1">
        <f t="array" aca="1" ref="EU35" ca="1">DW35-_xlfn.XLOOKUP(EU$13,_xlfn.ANCHORARRAY( $CR$14), _xlfn.XLOOKUP($ED35,_xlfn.ANCHORARRAY( $CP$15), $CR$15:$CU$19)) * _xlfn.XLOOKUP(EU$14,_xlfn.ANCHORARRAY( $CR$14), _xlfn.XLOOKUP($EE35,_xlfn.ANCHORARRAY( $CP$15), $CR$15:$CU$19))</f>
        <v>3.9576608567787441E-2</v>
      </c>
      <c r="EZ35" cm="1">
        <f t="array" aca="1" ref="EZ35" ca="1">INDEX(_xlfn.ANCHORARRAY($CP$15), 1 + INT((ROWS($DG$15:$DG35) - 1) / ROWS(_xlfn.ANCHORARRAY($CP$15))))</f>
        <v>4</v>
      </c>
      <c r="FA35" cm="1">
        <f t="array" aca="1" ref="FA35" ca="1">INDEX(_xlfn.ANCHORARRAY($CP$15),1+MOD(ROWS($DG$15:$DG35)-1,ROWS(_xlfn.ANCHORARRAY($CP$15))))</f>
        <v>0</v>
      </c>
      <c r="FB35" s="10" cm="1">
        <f t="array" aca="1" ref="FB35" ca="1">EF35 * _xlfn.XLOOKUP(FB$13,_xlfn.ANCHORARRAY( $CZ$29), _xlfn.XLOOKUP($EZ35,_xlfn.ANCHORARRAY( $CY$30), $CZ$30:$DC$34)) * _xlfn.XLOOKUP(FB$14,_xlfn.ANCHORARRAY( $CZ$29), _xlfn.XLOOKUP($FA35,_xlfn.ANCHORARRAY( $CY$30), $CZ$30:$DC$34))</f>
        <v>5.7471959119188374E-3</v>
      </c>
      <c r="FC35" s="10" cm="1">
        <f t="array" aca="1" ref="FC35" ca="1">EG35 * _xlfn.XLOOKUP(FC$13,_xlfn.ANCHORARRAY( $CZ$29), _xlfn.XLOOKUP($EZ35,_xlfn.ANCHORARRAY( $CY$30), $CZ$30:$DC$34)) * _xlfn.XLOOKUP(FC$14,_xlfn.ANCHORARRAY( $CZ$29), _xlfn.XLOOKUP($FA35,_xlfn.ANCHORARRAY( $CY$30), $CZ$30:$DC$34))</f>
        <v>2.163291944727391E-4</v>
      </c>
      <c r="FD35" s="10" cm="1">
        <f t="array" aca="1" ref="FD35" ca="1">EH35 * _xlfn.XLOOKUP(FD$13,_xlfn.ANCHORARRAY( $CZ$29), _xlfn.XLOOKUP($EZ35,_xlfn.ANCHORARRAY( $CY$30), $CZ$30:$DC$34)) * _xlfn.XLOOKUP(FD$14,_xlfn.ANCHORARRAY( $CZ$29), _xlfn.XLOOKUP($FA35,_xlfn.ANCHORARRAY( $CY$30), $CZ$30:$DC$34))</f>
        <v>2.163291944727391E-4</v>
      </c>
      <c r="FE35" s="10" cm="1">
        <f t="array" aca="1" ref="FE35" ca="1">EI35 * _xlfn.XLOOKUP(FE$13,_xlfn.ANCHORARRAY( $CZ$29), _xlfn.XLOOKUP($EZ35,_xlfn.ANCHORARRAY( $CY$30), $CZ$30:$DC$34)) * _xlfn.XLOOKUP(FE$14,_xlfn.ANCHORARRAY( $CZ$29), _xlfn.XLOOKUP($FA35,_xlfn.ANCHORARRAY( $CY$30), $CZ$30:$DC$34))</f>
        <v>2.163291944727391E-4</v>
      </c>
      <c r="FF35" s="10" cm="1">
        <f t="array" aca="1" ref="FF35" ca="1">EJ35 * _xlfn.XLOOKUP(FF$13,_xlfn.ANCHORARRAY( $CZ$29), _xlfn.XLOOKUP($EZ35,_xlfn.ANCHORARRAY( $CY$30), $CZ$30:$DC$34)) * _xlfn.XLOOKUP(FF$14,_xlfn.ANCHORARRAY( $CZ$29), _xlfn.XLOOKUP($FA35,_xlfn.ANCHORARRAY( $CY$30), $CZ$30:$DC$34))</f>
        <v>-5.0486808628784345E-2</v>
      </c>
      <c r="FG35" s="10" cm="1">
        <f t="array" aca="1" ref="FG35" ca="1">EK35 * _xlfn.XLOOKUP(FG$13,_xlfn.ANCHORARRAY( $CZ$29), _xlfn.XLOOKUP($EZ35,_xlfn.ANCHORARRAY( $CY$30), $CZ$30:$DC$34)) * _xlfn.XLOOKUP(FG$14,_xlfn.ANCHORARRAY( $CZ$29), _xlfn.XLOOKUP($FA35,_xlfn.ANCHORARRAY( $CY$30), $CZ$30:$DC$34))</f>
        <v>-7.8063259778479556E-3</v>
      </c>
      <c r="FH35" s="10" cm="1">
        <f t="array" aca="1" ref="FH35" ca="1">EL35 * _xlfn.XLOOKUP(FH$13,_xlfn.ANCHORARRAY( $CZ$29), _xlfn.XLOOKUP($EZ35,_xlfn.ANCHORARRAY( $CY$30), $CZ$30:$DC$34)) * _xlfn.XLOOKUP(FH$14,_xlfn.ANCHORARRAY( $CZ$29), _xlfn.XLOOKUP($FA35,_xlfn.ANCHORARRAY( $CY$30), $CZ$30:$DC$34))</f>
        <v>-7.8063259778479556E-3</v>
      </c>
      <c r="FI35" s="10" cm="1">
        <f t="array" aca="1" ref="FI35" ca="1">EM35 * _xlfn.XLOOKUP(FI$13,_xlfn.ANCHORARRAY( $CZ$29), _xlfn.XLOOKUP($EZ35,_xlfn.ANCHORARRAY( $CY$30), $CZ$30:$DC$34)) * _xlfn.XLOOKUP(FI$14,_xlfn.ANCHORARRAY( $CZ$29), _xlfn.XLOOKUP($FA35,_xlfn.ANCHORARRAY( $CY$30), $CZ$30:$DC$34))</f>
        <v>-7.8063259778479556E-3</v>
      </c>
      <c r="FJ35" s="10" cm="1">
        <f t="array" aca="1" ref="FJ35" ca="1">EN35 * _xlfn.XLOOKUP(FJ$13,_xlfn.ANCHORARRAY( $CZ$29), _xlfn.XLOOKUP($EZ35,_xlfn.ANCHORARRAY( $CY$30), $CZ$30:$DC$34)) * _xlfn.XLOOKUP(FJ$14,_xlfn.ANCHORARRAY( $CZ$29), _xlfn.XLOOKUP($FA35,_xlfn.ANCHORARRAY( $CY$30), $CZ$30:$DC$34))</f>
        <v>-4.834246219337926E-2</v>
      </c>
      <c r="FK35" s="10" cm="1">
        <f t="array" aca="1" ref="FK35" ca="1">EO35 * _xlfn.XLOOKUP(FK$13,_xlfn.ANCHORARRAY( $CZ$29), _xlfn.XLOOKUP($EZ35,_xlfn.ANCHORARRAY( $CY$30), $CZ$30:$DC$34)) * _xlfn.XLOOKUP(FK$14,_xlfn.ANCHORARRAY( $CZ$29), _xlfn.XLOOKUP($FA35,_xlfn.ANCHORARRAY( $CY$30), $CZ$30:$DC$34))</f>
        <v>-7.4319160362725286E-3</v>
      </c>
      <c r="FL35" s="10" cm="1">
        <f t="array" aca="1" ref="FL35" ca="1">EP35 * _xlfn.XLOOKUP(FL$13,_xlfn.ANCHORARRAY( $CZ$29), _xlfn.XLOOKUP($EZ35,_xlfn.ANCHORARRAY( $CY$30), $CZ$30:$DC$34)) * _xlfn.XLOOKUP(FL$14,_xlfn.ANCHORARRAY( $CZ$29), _xlfn.XLOOKUP($FA35,_xlfn.ANCHORARRAY( $CY$30), $CZ$30:$DC$34))</f>
        <v>-7.4319160362725286E-3</v>
      </c>
      <c r="FM35" s="10" cm="1">
        <f t="array" aca="1" ref="FM35" ca="1">EQ35 * _xlfn.XLOOKUP(FM$13,_xlfn.ANCHORARRAY( $CZ$29), _xlfn.XLOOKUP($EZ35,_xlfn.ANCHORARRAY( $CY$30), $CZ$30:$DC$34)) * _xlfn.XLOOKUP(FM$14,_xlfn.ANCHORARRAY( $CZ$29), _xlfn.XLOOKUP($FA35,_xlfn.ANCHORARRAY( $CY$30), $CZ$30:$DC$34))</f>
        <v>-7.4319160362725286E-3</v>
      </c>
      <c r="FN35" s="10" cm="1">
        <f t="array" aca="1" ref="FN35" ca="1">ER35 * _xlfn.XLOOKUP(FN$13,_xlfn.ANCHORARRAY( $CZ$29), _xlfn.XLOOKUP($EZ35,_xlfn.ANCHORARRAY( $CY$30), $CZ$30:$DC$34)) * _xlfn.XLOOKUP(FN$14,_xlfn.ANCHORARRAY( $CZ$29), _xlfn.XLOOKUP($FA35,_xlfn.ANCHORARRAY( $CY$30), $CZ$30:$DC$34))</f>
        <v>-0.23636773093366667</v>
      </c>
      <c r="FO35" s="10" cm="1">
        <f t="array" aca="1" ref="FO35" ca="1">ES35 * _xlfn.XLOOKUP(FO$13,_xlfn.ANCHORARRAY( $CZ$29), _xlfn.XLOOKUP($EZ35,_xlfn.ANCHORARRAY( $CY$30), $CZ$30:$DC$34)) * _xlfn.XLOOKUP(FO$14,_xlfn.ANCHORARRAY( $CZ$29), _xlfn.XLOOKUP($FA35,_xlfn.ANCHORARRAY( $CY$30), $CZ$30:$DC$34))</f>
        <v>-3.7164049628332002E-2</v>
      </c>
      <c r="FP35" s="10" cm="1">
        <f t="array" aca="1" ref="FP35" ca="1">ET35 * _xlfn.XLOOKUP(FP$13,_xlfn.ANCHORARRAY( $CZ$29), _xlfn.XLOOKUP($EZ35,_xlfn.ANCHORARRAY( $CY$30), $CZ$30:$DC$34)) * _xlfn.XLOOKUP(FP$14,_xlfn.ANCHORARRAY( $CZ$29), _xlfn.XLOOKUP($FA35,_xlfn.ANCHORARRAY( $CY$30), $CZ$30:$DC$34))</f>
        <v>-3.7164049628332002E-2</v>
      </c>
      <c r="FQ35" s="10" cm="1">
        <f t="array" aca="1" ref="FQ35" ca="1">EU35 * _xlfn.XLOOKUP(FQ$13,_xlfn.ANCHORARRAY( $CZ$29), _xlfn.XLOOKUP($EZ35,_xlfn.ANCHORARRAY( $CY$30), $CZ$30:$DC$34)) * _xlfn.XLOOKUP(FQ$14,_xlfn.ANCHORARRAY( $CZ$29), _xlfn.XLOOKUP($FA35,_xlfn.ANCHORARRAY( $CY$30), $CZ$30:$DC$34))</f>
        <v>-3.7164049628332002E-2</v>
      </c>
      <c r="FT35" cm="1">
        <f t="array" aca="1" ref="FT35" ca="1">SQRT(SUM((FB35:FQ35)^2))</f>
        <v>0.25550108108780756</v>
      </c>
    </row>
    <row r="36" spans="4:176" x14ac:dyDescent="0.2">
      <c r="J36" cm="1">
        <f t="array" aca="1" ref="J36" ca="1">SUMPRODUCT((O36:AJ36=$O$11:$AJ$11)*(O$13:AJ$13=TRUE))  / COUNTIF(O$13:AJ$13,TRUE)</f>
        <v>0.2</v>
      </c>
      <c r="K36" t="b">
        <f t="shared" ca="1" si="3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4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cm="1">
        <f t="array" aca="1" ref="DF36" ca="1">INDEX(_xlfn.ANCHORARRAY($CP$15), 1 + INT((ROWS($DG$15:$DG36) - 1) / ROWS(_xlfn.ANCHORARRAY($CP$15))))</f>
        <v>4</v>
      </c>
      <c r="DG36" cm="1">
        <f t="array" aca="1" ref="DG36" ca="1">INDEX(_xlfn.ANCHORARRAY($CP$15),1+MOD(ROWS($DG$15:$DG36)-1,ROWS(_xlfn.ANCHORARRAY($CP$15))))</f>
        <v>1</v>
      </c>
      <c r="DH36" s="10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$B$18/($B$19*$B$19*($DF36&lt;&gt;$DG36) + $B$19*($DF36=$DG36))</f>
        <v>1.1999999999999999E-3</v>
      </c>
      <c r="DI36" s="10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$B$18/($B$19*$B$19*($DF36&lt;&gt;$DG36) + $B$19*($DF36=$DG36))</f>
        <v>1.1999999999999999E-3</v>
      </c>
      <c r="DJ36" s="10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$B$18/($B$19*$B$19*($DF36&lt;&gt;$DG36) + $B$19*($DF36=$DG36))</f>
        <v>1.1999999999999999E-3</v>
      </c>
      <c r="DK36" s="10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$B$18/($B$19*$B$19*($DF36&lt;&gt;$DG36) + $B$19*($DF36=$DG36))</f>
        <v>1.1999999999999999E-3</v>
      </c>
      <c r="DL36" s="10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$B$18/($B$19*$B$19*($DF36&lt;&gt;$DG36) + $B$19*($DF36=$DG36))</f>
        <v>1.1999999999999999E-3</v>
      </c>
      <c r="DM36" s="10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$B$18/($B$19*$B$19*($DF36&lt;&gt;$DG36) + $B$19*($DF36=$DG36))</f>
        <v>9.7239603960396048E-2</v>
      </c>
      <c r="DN36" s="10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$B$18/($B$19*$B$19*($DF36&lt;&gt;$DG36) + $B$19*($DF36=$DG36))</f>
        <v>1.1999999999999999E-3</v>
      </c>
      <c r="DO36" s="10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$B$18/($B$19*$B$19*($DF36&lt;&gt;$DG36) + $B$19*($DF36=$DG36))</f>
        <v>1.1999999999999999E-3</v>
      </c>
      <c r="DP36" s="10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$B$18/($B$19*$B$19*($DF36&lt;&gt;$DG36) + $B$19*($DF36=$DG36))</f>
        <v>1.1999999999999999E-3</v>
      </c>
      <c r="DQ36" s="10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$B$18/($B$19*$B$19*($DF36&lt;&gt;$DG36) + $B$19*($DF36=$DG36))</f>
        <v>0.12925280528052804</v>
      </c>
      <c r="DR36" s="10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$B$18/($B$19*$B$19*($DF36&lt;&gt;$DG36) + $B$19*($DF36=$DG36))</f>
        <v>1.1999999999999999E-3</v>
      </c>
      <c r="DS36" s="10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$B$18/($B$19*$B$19*($DF36&lt;&gt;$DG36) + $B$19*($DF36=$DG36))</f>
        <v>1.1999999999999999E-3</v>
      </c>
      <c r="DT36" s="10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$B$18/($B$19*$B$19*($DF36&lt;&gt;$DG36) + $B$19*($DF36=$DG36))</f>
        <v>1.1999999999999999E-3</v>
      </c>
      <c r="DU36" s="10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$B$18/($B$19*$B$19*($DF36&lt;&gt;$DG36) + $B$19*($DF36=$DG36))</f>
        <v>0.2477016501650165</v>
      </c>
      <c r="DV36" s="10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$B$18/($B$19*$B$19*($DF36&lt;&gt;$DG36) + $B$19*($DF36=$DG36))</f>
        <v>0.3085267326732673</v>
      </c>
      <c r="DW36" s="10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$B$18/($B$19*$B$19*($DF36&lt;&gt;$DG36) + $B$19*($DF36=$DG36))</f>
        <v>0.19327920792079209</v>
      </c>
      <c r="ED36" cm="1">
        <f t="array" aca="1" ref="ED36" ca="1">INDEX(_xlfn.ANCHORARRAY($CP$15), 1 + INT((ROWS($DG$15:$DG36) - 1) / ROWS(_xlfn.ANCHORARRAY($CP$15))))</f>
        <v>4</v>
      </c>
      <c r="EE36" cm="1">
        <f t="array" aca="1" ref="EE36" ca="1">INDEX(_xlfn.ANCHORARRAY($CP$15),1+MOD(ROWS($DG$15:$DG36)-1,ROWS(_xlfn.ANCHORARRAY($CP$15))))</f>
        <v>1</v>
      </c>
      <c r="EF36" s="10" cm="1">
        <f t="array" aca="1" ref="EF36" ca="1">DH36-_xlfn.XLOOKUP(EF$13,_xlfn.ANCHORARRAY( $CR$14), _xlfn.XLOOKUP($ED36,_xlfn.ANCHORARRAY( $CP$15), $CR$15:$CU$19)) * _xlfn.XLOOKUP(EF$14,_xlfn.ANCHORARRAY( $CR$14), _xlfn.XLOOKUP($EE36,_xlfn.ANCHORARRAY( $CP$15), $CR$15:$CU$19))</f>
        <v>1.1639999999999999E-3</v>
      </c>
      <c r="EG36" s="10" cm="1">
        <f t="array" aca="1" ref="EG36" ca="1">DI36-_xlfn.XLOOKUP(EG$13,_xlfn.ANCHORARRAY( $CR$14), _xlfn.XLOOKUP($ED36,_xlfn.ANCHORARRAY( $CP$15), $CR$15:$CU$19)) * _xlfn.XLOOKUP(EG$14,_xlfn.ANCHORARRAY( $CR$14), _xlfn.XLOOKUP($EE36,_xlfn.ANCHORARRAY( $CP$15), $CR$15:$CU$19))</f>
        <v>-1.6595643564356439E-3</v>
      </c>
      <c r="EH36" s="10" cm="1">
        <f t="array" aca="1" ref="EH36" ca="1">DJ36-_xlfn.XLOOKUP(EH$13,_xlfn.ANCHORARRAY( $CR$14), _xlfn.XLOOKUP($ED36,_xlfn.ANCHORARRAY( $CP$15), $CR$15:$CU$19)) * _xlfn.XLOOKUP(EH$14,_xlfn.ANCHORARRAY( $CR$14), _xlfn.XLOOKUP($EE36,_xlfn.ANCHORARRAY( $CP$15), $CR$15:$CU$19))</f>
        <v>-6.7996039603960418E-4</v>
      </c>
      <c r="EI36" s="10" cm="1">
        <f t="array" aca="1" ref="EI36" ca="1">DK36-_xlfn.XLOOKUP(EI$13,_xlfn.ANCHORARRAY( $CR$14), _xlfn.XLOOKUP($ED36,_xlfn.ANCHORARRAY( $CP$15), $CR$15:$CU$19)) * _xlfn.XLOOKUP(EI$14,_xlfn.ANCHORARRAY( $CR$14), _xlfn.XLOOKUP($EE36,_xlfn.ANCHORARRAY( $CP$15), $CR$15:$CU$19))</f>
        <v>1.1524752475247429E-5</v>
      </c>
      <c r="EJ36" s="10" cm="1">
        <f t="array" aca="1" ref="EJ36" ca="1">DL36-_xlfn.XLOOKUP(EJ$13,_xlfn.ANCHORARRAY( $CR$14), _xlfn.XLOOKUP($ED36,_xlfn.ANCHORARRAY( $CP$15), $CR$15:$CU$19)) * _xlfn.XLOOKUP(EJ$14,_xlfn.ANCHORARRAY( $CR$14), _xlfn.XLOOKUP($EE36,_xlfn.ANCHORARRAY( $CP$15), $CR$15:$CU$19))</f>
        <v>5.8776237623762355E-4</v>
      </c>
      <c r="EK36" s="10" cm="1">
        <f t="array" aca="1" ref="EK36" ca="1">DM36-_xlfn.XLOOKUP(EK$13,_xlfn.ANCHORARRAY( $CR$14), _xlfn.XLOOKUP($ED36,_xlfn.ANCHORARRAY( $CP$15), $CR$15:$CU$19)) * _xlfn.XLOOKUP(EK$14,_xlfn.ANCHORARRAY( $CR$14), _xlfn.XLOOKUP($EE36,_xlfn.ANCHORARRAY( $CP$15), $CR$15:$CU$19))</f>
        <v>4.8608134888736401E-2</v>
      </c>
      <c r="EL36" s="10" cm="1">
        <f t="array" aca="1" ref="EL36" ca="1">DN36-_xlfn.XLOOKUP(EL$13,_xlfn.ANCHORARRAY( $CR$14), _xlfn.XLOOKUP($ED36,_xlfn.ANCHORARRAY( $CP$15), $CR$15:$CU$19)) * _xlfn.XLOOKUP(EL$14,_xlfn.ANCHORARRAY( $CR$14), _xlfn.XLOOKUP($EE36,_xlfn.ANCHORARRAY( $CP$15), $CR$15:$CU$19))</f>
        <v>-3.0771735712185083E-2</v>
      </c>
      <c r="EM36" s="10" cm="1">
        <f t="array" aca="1" ref="EM36" ca="1">DO36-_xlfn.XLOOKUP(EM$13,_xlfn.ANCHORARRAY( $CR$14), _xlfn.XLOOKUP($ED36,_xlfn.ANCHORARRAY( $CP$15), $CR$15:$CU$19)) * _xlfn.XLOOKUP(EM$14,_xlfn.ANCHORARRAY( $CR$14), _xlfn.XLOOKUP($EE36,_xlfn.ANCHORARRAY( $CP$15), $CR$15:$CU$19))</f>
        <v>-1.9011923929026567E-2</v>
      </c>
      <c r="EN36" s="10" cm="1">
        <f t="array" aca="1" ref="EN36" ca="1">DP36-_xlfn.XLOOKUP(EN$13,_xlfn.ANCHORARRAY( $CR$14), _xlfn.XLOOKUP($ED36,_xlfn.ANCHORARRAY( $CP$15), $CR$15:$CU$19)) * _xlfn.XLOOKUP(EN$14,_xlfn.ANCHORARRAY( $CR$14), _xlfn.XLOOKUP($EE36,_xlfn.ANCHORARRAY( $CP$15), $CR$15:$CU$19))</f>
        <v>3.9568316831683158E-4</v>
      </c>
      <c r="EO36" s="10" cm="1">
        <f t="array" aca="1" ref="EO36" ca="1">DQ36-_xlfn.XLOOKUP(EO$13,_xlfn.ANCHORARRAY( $CR$14), _xlfn.XLOOKUP($ED36,_xlfn.ANCHORARRAY( $CP$15), $CR$15:$CU$19)) * _xlfn.XLOOKUP(EO$14,_xlfn.ANCHORARRAY( $CR$14), _xlfn.XLOOKUP($EE36,_xlfn.ANCHORARRAY( $CP$15), $CR$15:$CU$19))</f>
        <v>6.5364034637127075E-2</v>
      </c>
      <c r="EP36" s="10" cm="1">
        <f t="array" aca="1" ref="EP36" ca="1">DR36-_xlfn.XLOOKUP(EP$13,_xlfn.ANCHORARRAY( $CR$14), _xlfn.XLOOKUP($ED36,_xlfn.ANCHORARRAY( $CP$15), $CR$15:$CU$19)) * _xlfn.XLOOKUP(EP$14,_xlfn.ANCHORARRAY( $CR$14), _xlfn.XLOOKUP($EE36,_xlfn.ANCHORARRAY( $CP$15), $CR$15:$CU$19))</f>
        <v>-4.0802327484233569E-2</v>
      </c>
      <c r="EQ36" s="10" cm="1">
        <f t="array" aca="1" ref="EQ36" ca="1">DS36-_xlfn.XLOOKUP(EQ$13,_xlfn.ANCHORARRAY( $CR$14), _xlfn.XLOOKUP($ED36,_xlfn.ANCHORARRAY( $CP$15), $CR$15:$CU$19)) * _xlfn.XLOOKUP(EQ$14,_xlfn.ANCHORARRAY( $CR$14), _xlfn.XLOOKUP($EE36,_xlfn.ANCHORARRAY( $CP$15), $CR$15:$CU$19))</f>
        <v>-2.5353073489527169E-2</v>
      </c>
      <c r="ER36" s="10" cm="1">
        <f t="array" aca="1" ref="ER36" ca="1">DT36-_xlfn.XLOOKUP(ER$13,_xlfn.ANCHORARRAY( $CR$14), _xlfn.XLOOKUP($ED36,_xlfn.ANCHORARRAY( $CP$15), $CR$15:$CU$19)) * _xlfn.XLOOKUP(ER$14,_xlfn.ANCHORARRAY( $CR$14), _xlfn.XLOOKUP($EE36,_xlfn.ANCHORARRAY( $CP$15), $CR$15:$CU$19))</f>
        <v>-3.3114455445544567E-3</v>
      </c>
      <c r="ES36" s="10" cm="1">
        <f t="array" aca="1" ref="ES36" ca="1">DU36-_xlfn.XLOOKUP(ES$13,_xlfn.ANCHORARRAY( $CR$14), _xlfn.XLOOKUP($ED36,_xlfn.ANCHORARRAY( $CP$15), $CR$15:$CU$19)) * _xlfn.XLOOKUP(ES$14,_xlfn.ANCHORARRAY( $CR$14), _xlfn.XLOOKUP($EE36,_xlfn.ANCHORARRAY( $CP$15), $CR$15:$CU$19))</f>
        <v>-0.11065304081299232</v>
      </c>
      <c r="ET36" s="10" cm="1">
        <f t="array" aca="1" ref="ET36" ca="1">DV36-_xlfn.XLOOKUP(ET$13,_xlfn.ANCHORARRAY( $CR$14), _xlfn.XLOOKUP($ED36,_xlfn.ANCHORARRAY( $CP$15), $CR$15:$CU$19)) * _xlfn.XLOOKUP(ET$14,_xlfn.ANCHORARRAY( $CR$14), _xlfn.XLOOKUP($EE36,_xlfn.ANCHORARRAY( $CP$15), $CR$15:$CU$19))</f>
        <v>7.2933983988497764E-2</v>
      </c>
      <c r="EU36" s="10" cm="1">
        <f t="array" aca="1" ref="EU36" ca="1">DW36-_xlfn.XLOOKUP(EU$13,_xlfn.ANCHORARRAY( $CR$14), _xlfn.XLOOKUP($ED36,_xlfn.ANCHORARRAY( $CP$15), $CR$15:$CU$19)) * _xlfn.XLOOKUP(EU$14,_xlfn.ANCHORARRAY( $CR$14), _xlfn.XLOOKUP($EE36,_xlfn.ANCHORARRAY( $CP$15), $CR$15:$CU$19))</f>
        <v>4.4341947913603214E-2</v>
      </c>
      <c r="EZ36" cm="1">
        <f t="array" aca="1" ref="EZ36" ca="1">INDEX(_xlfn.ANCHORARRAY($CP$15), 1 + INT((ROWS($DG$15:$DG36) - 1) / ROWS(_xlfn.ANCHORARRAY($CP$15))))</f>
        <v>4</v>
      </c>
      <c r="FA36" cm="1">
        <f t="array" aca="1" ref="FA36" ca="1">INDEX(_xlfn.ANCHORARRAY($CP$15),1+MOD(ROWS($DG$15:$DG36)-1,ROWS(_xlfn.ANCHORARRAY($CP$15))))</f>
        <v>1</v>
      </c>
      <c r="FB36" s="10" cm="1">
        <f t="array" aca="1" ref="FB36" ca="1">EF36 * _xlfn.XLOOKUP(FB$13,_xlfn.ANCHORARRAY( $CZ$29), _xlfn.XLOOKUP($EZ36,_xlfn.ANCHORARRAY( $CY$30), $CZ$30:$DC$34)) * _xlfn.XLOOKUP(FB$14,_xlfn.ANCHORARRAY( $CZ$29), _xlfn.XLOOKUP($FA36,_xlfn.ANCHORARRAY( $CY$30), $CZ$30:$DC$34))</f>
        <v>1.8729985416724236E-2</v>
      </c>
      <c r="FC36" s="10" cm="1">
        <f t="array" aca="1" ref="FC36" ca="1">EG36 * _xlfn.XLOOKUP(FC$13,_xlfn.ANCHORARRAY( $CZ$29), _xlfn.XLOOKUP($EZ36,_xlfn.ANCHORARRAY( $CY$30), $CZ$30:$DC$34)) * _xlfn.XLOOKUP(FC$14,_xlfn.ANCHORARRAY( $CZ$29), _xlfn.XLOOKUP($FA36,_xlfn.ANCHORARRAY( $CY$30), $CZ$30:$DC$34))</f>
        <v>6.6898724695871646E-3</v>
      </c>
      <c r="FD36" s="10" cm="1">
        <f t="array" aca="1" ref="FD36" ca="1">EH36 * _xlfn.XLOOKUP(FD$13,_xlfn.ANCHORARRAY( $CZ$29), _xlfn.XLOOKUP($EZ36,_xlfn.ANCHORARRAY( $CY$30), $CZ$30:$DC$34)) * _xlfn.XLOOKUP(FD$14,_xlfn.ANCHORARRAY( $CZ$29), _xlfn.XLOOKUP($FA36,_xlfn.ANCHORARRAY( $CY$30), $CZ$30:$DC$34))</f>
        <v>8.564574761148674E-4</v>
      </c>
      <c r="FE36" s="10" cm="1">
        <f t="array" aca="1" ref="FE36" ca="1">EI36 * _xlfn.XLOOKUP(FE$13,_xlfn.ANCHORARRAY( $CZ$29), _xlfn.XLOOKUP($EZ36,_xlfn.ANCHORARRAY( $CY$30), $CZ$30:$DC$34)) * _xlfn.XLOOKUP(FE$14,_xlfn.ANCHORARRAY( $CZ$29), _xlfn.XLOOKUP($FA36,_xlfn.ANCHORARRAY( $CY$30), $CZ$30:$DC$34))</f>
        <v>1.3856541984695926E-5</v>
      </c>
      <c r="FF36" s="10" cm="1">
        <f t="array" aca="1" ref="FF36" ca="1">EJ36 * _xlfn.XLOOKUP(FF$13,_xlfn.ANCHORARRAY( $CZ$29), _xlfn.XLOOKUP($EZ36,_xlfn.ANCHORARRAY( $CY$30), $CZ$30:$DC$34)) * _xlfn.XLOOKUP(FF$14,_xlfn.ANCHORARRAY( $CZ$29), _xlfn.XLOOKUP($FA36,_xlfn.ANCHORARRAY( $CY$30), $CZ$30:$DC$34))</f>
        <v>2.5372770853556372E-3</v>
      </c>
      <c r="FG36" s="10" cm="1">
        <f t="array" aca="1" ref="FG36" ca="1">EK36 * _xlfn.XLOOKUP(FG$13,_xlfn.ANCHORARRAY( $CZ$29), _xlfn.XLOOKUP($EZ36,_xlfn.ANCHORARRAY( $CY$30), $CZ$30:$DC$34)) * _xlfn.XLOOKUP(FG$14,_xlfn.ANCHORARRAY( $CZ$29), _xlfn.XLOOKUP($FA36,_xlfn.ANCHORARRAY( $CY$30), $CZ$30:$DC$34))</f>
        <v>-5.256714049698151E-2</v>
      </c>
      <c r="FH36" s="10" cm="1">
        <f t="array" aca="1" ref="FH36" ca="1">EL36 * _xlfn.XLOOKUP(FH$13,_xlfn.ANCHORARRAY( $CZ$29), _xlfn.XLOOKUP($EZ36,_xlfn.ANCHORARRAY( $CY$30), $CZ$30:$DC$34)) * _xlfn.XLOOKUP(FH$14,_xlfn.ANCHORARRAY( $CZ$29), _xlfn.XLOOKUP($FA36,_xlfn.ANCHORARRAY( $CY$30), $CZ$30:$DC$34))</f>
        <v>1.0398144204594133E-2</v>
      </c>
      <c r="FI36" s="10" cm="1">
        <f t="array" aca="1" ref="FI36" ca="1">EM36 * _xlfn.XLOOKUP(FI$13,_xlfn.ANCHORARRAY( $CZ$29), _xlfn.XLOOKUP($EZ36,_xlfn.ANCHORARRAY( $CY$30), $CZ$30:$DC$34)) * _xlfn.XLOOKUP(FI$14,_xlfn.ANCHORARRAY( $CZ$29), _xlfn.XLOOKUP($FA36,_xlfn.ANCHORARRAY( $CY$30), $CZ$30:$DC$34))</f>
        <v>-6.1324071187985364E-3</v>
      </c>
      <c r="FJ36" s="10" cm="1">
        <f t="array" aca="1" ref="FJ36" ca="1">EN36 * _xlfn.XLOOKUP(FJ$13,_xlfn.ANCHORARRAY( $CZ$29), _xlfn.XLOOKUP($EZ36,_xlfn.ANCHORARRAY( $CY$30), $CZ$30:$DC$34)) * _xlfn.XLOOKUP(FJ$14,_xlfn.ANCHORARRAY( $CZ$29), _xlfn.XLOOKUP($FA36,_xlfn.ANCHORARRAY( $CY$30), $CZ$30:$DC$34))</f>
        <v>1.2173700924209105E-3</v>
      </c>
      <c r="FK36" s="10" cm="1">
        <f t="array" aca="1" ref="FK36" ca="1">EO36 * _xlfn.XLOOKUP(FK$13,_xlfn.ANCHORARRAY( $CZ$29), _xlfn.XLOOKUP($EZ36,_xlfn.ANCHORARRAY( $CY$30), $CZ$30:$DC$34)) * _xlfn.XLOOKUP(FK$14,_xlfn.ANCHORARRAY( $CZ$29), _xlfn.XLOOKUP($FA36,_xlfn.ANCHORARRAY( $CY$30), $CZ$30:$DC$34))</f>
        <v>-5.0379422431346181E-2</v>
      </c>
      <c r="FL36" s="10" cm="1">
        <f t="array" aca="1" ref="FL36" ca="1">EP36 * _xlfn.XLOOKUP(FL$13,_xlfn.ANCHORARRAY( $CZ$29), _xlfn.XLOOKUP($EZ36,_xlfn.ANCHORARRAY( $CY$30), $CZ$30:$DC$34)) * _xlfn.XLOOKUP(FL$14,_xlfn.ANCHORARRAY( $CZ$29), _xlfn.XLOOKUP($FA36,_xlfn.ANCHORARRAY( $CY$30), $CZ$30:$DC$34))</f>
        <v>9.8264741591708102E-3</v>
      </c>
      <c r="FM36" s="10" cm="1">
        <f t="array" aca="1" ref="FM36" ca="1">EQ36 * _xlfn.XLOOKUP(FM$13,_xlfn.ANCHORARRAY( $CZ$29), _xlfn.XLOOKUP($EZ36,_xlfn.ANCHORARRAY( $CY$30), $CZ$30:$DC$34)) * _xlfn.XLOOKUP(FM$14,_xlfn.ANCHORARRAY( $CZ$29), _xlfn.XLOOKUP($FA36,_xlfn.ANCHORARRAY( $CY$30), $CZ$30:$DC$34))</f>
        <v>-5.8283344267315105E-3</v>
      </c>
      <c r="FN36" s="10" cm="1">
        <f t="array" aca="1" ref="FN36" ca="1">ER36 * _xlfn.XLOOKUP(FN$13,_xlfn.ANCHORARRAY( $CZ$29), _xlfn.XLOOKUP($EZ36,_xlfn.ANCHORARRAY( $CY$30), $CZ$30:$DC$34)) * _xlfn.XLOOKUP(FN$14,_xlfn.ANCHORARRAY( $CZ$29), _xlfn.XLOOKUP($FA36,_xlfn.ANCHORARRAY( $CY$30), $CZ$30:$DC$34))</f>
        <v>2.932214188705962E-2</v>
      </c>
      <c r="FO36" s="10" cm="1">
        <f t="array" aca="1" ref="FO36" ca="1">ES36 * _xlfn.XLOOKUP(FO$13,_xlfn.ANCHORARRAY( $CZ$29), _xlfn.XLOOKUP($EZ36,_xlfn.ANCHORARRAY( $CY$30), $CZ$30:$DC$34)) * _xlfn.XLOOKUP(FO$14,_xlfn.ANCHORARRAY( $CZ$29), _xlfn.XLOOKUP($FA36,_xlfn.ANCHORARRAY( $CY$30), $CZ$30:$DC$34))</f>
        <v>-0.24545998743616959</v>
      </c>
      <c r="FP36" s="10" cm="1">
        <f t="array" aca="1" ref="FP36" ca="1">ET36 * _xlfn.XLOOKUP(FP$13,_xlfn.ANCHORARRAY( $CZ$29), _xlfn.XLOOKUP($EZ36,_xlfn.ANCHORARRAY( $CY$30), $CZ$30:$DC$34)) * _xlfn.XLOOKUP(FP$14,_xlfn.ANCHORARRAY( $CZ$29), _xlfn.XLOOKUP($FA36,_xlfn.ANCHORARRAY( $CY$30), $CZ$30:$DC$34))</f>
        <v>5.0552860896193569E-2</v>
      </c>
      <c r="FQ36" s="10" cm="1">
        <f t="array" aca="1" ref="FQ36" ca="1">EU36 * _xlfn.XLOOKUP(FQ$13,_xlfn.ANCHORARRAY( $CZ$29), _xlfn.XLOOKUP($EZ36,_xlfn.ANCHORARRAY( $CY$30), $CZ$30:$DC$34)) * _xlfn.XLOOKUP(FQ$14,_xlfn.ANCHORARRAY( $CZ$29), _xlfn.XLOOKUP($FA36,_xlfn.ANCHORARRAY( $CY$30), $CZ$30:$DC$34))</f>
        <v>-2.9338076543202939E-2</v>
      </c>
      <c r="FT36" cm="1">
        <f t="array" aca="1" ref="FT36" ca="1">SQRT(SUM((FB36:FQ36)^2))</f>
        <v>0.26553450906029602</v>
      </c>
    </row>
    <row r="37" spans="4:176" x14ac:dyDescent="0.2">
      <c r="J37" cm="1">
        <f t="array" aca="1" ref="J37" ca="1">SUMPRODUCT((O37:AJ37=$O$11:$AJ$11)*(O$13:AJ$13=TRUE))  / COUNTIF(O$13:AJ$13,TRUE)</f>
        <v>0.4</v>
      </c>
      <c r="K37" t="b">
        <f t="shared" ca="1" si="3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4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cm="1">
        <f t="array" aca="1" ref="DF37" ca="1">INDEX(_xlfn.ANCHORARRAY($CP$15), 1 + INT((ROWS($DG$15:$DG37) - 1) / ROWS(_xlfn.ANCHORARRAY($CP$15))))</f>
        <v>4</v>
      </c>
      <c r="DG37" cm="1">
        <f t="array" aca="1" ref="DG37" ca="1">INDEX(_xlfn.ANCHORARRAY($CP$15),1+MOD(ROWS($DG$15:$DG37)-1,ROWS(_xlfn.ANCHORARRAY($CP$15))))</f>
        <v>2</v>
      </c>
      <c r="DH37" s="10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$B$18/($B$19*$B$19*($DF37&lt;&gt;$DG37) + $B$19*($DF37=$DG37))</f>
        <v>1.1999999999999999E-3</v>
      </c>
      <c r="DI37" s="10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$B$18/($B$19*$B$19*($DF37&lt;&gt;$DG37) + $B$19*($DF37=$DG37))</f>
        <v>1.1999999999999999E-3</v>
      </c>
      <c r="DJ37" s="10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$B$18/($B$19*$B$19*($DF37&lt;&gt;$DG37) + $B$19*($DF37=$DG37))</f>
        <v>1.1999999999999999E-3</v>
      </c>
      <c r="DK37" s="10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$B$18/($B$19*$B$19*($DF37&lt;&gt;$DG37) + $B$19*($DF37=$DG37))</f>
        <v>1.1999999999999999E-3</v>
      </c>
      <c r="DL37" s="10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$B$18/($B$19*$B$19*($DF37&lt;&gt;$DG37) + $B$19*($DF37=$DG37))</f>
        <v>1.1999999999999999E-3</v>
      </c>
      <c r="DM37" s="10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$B$18/($B$19*$B$19*($DF37&lt;&gt;$DG37) + $B$19*($DF37=$DG37))</f>
        <v>1.1999999999999999E-3</v>
      </c>
      <c r="DN37" s="10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$B$18/($B$19*$B$19*($DF37&lt;&gt;$DG37) + $B$19*($DF37=$DG37))</f>
        <v>9.7239603960396048E-2</v>
      </c>
      <c r="DO37" s="10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$B$18/($B$19*$B$19*($DF37&lt;&gt;$DG37) + $B$19*($DF37=$DG37))</f>
        <v>1.1999999999999999E-3</v>
      </c>
      <c r="DP37" s="10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$B$18/($B$19*$B$19*($DF37&lt;&gt;$DG37) + $B$19*($DF37=$DG37))</f>
        <v>1.1999999999999999E-3</v>
      </c>
      <c r="DQ37" s="10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$B$18/($B$19*$B$19*($DF37&lt;&gt;$DG37) + $B$19*($DF37=$DG37))</f>
        <v>1.1999999999999999E-3</v>
      </c>
      <c r="DR37" s="10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$B$18/($B$19*$B$19*($DF37&lt;&gt;$DG37) + $B$19*($DF37=$DG37))</f>
        <v>0.12925280528052804</v>
      </c>
      <c r="DS37" s="10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$B$18/($B$19*$B$19*($DF37&lt;&gt;$DG37) + $B$19*($DF37=$DG37))</f>
        <v>1.1999999999999999E-3</v>
      </c>
      <c r="DT37" s="10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$B$18/($B$19*$B$19*($DF37&lt;&gt;$DG37) + $B$19*($DF37=$DG37))</f>
        <v>0.15486336633663367</v>
      </c>
      <c r="DU37" s="10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$B$18/($B$19*$B$19*($DF37&lt;&gt;$DG37) + $B$19*($DF37=$DG37))</f>
        <v>0.15486336633663367</v>
      </c>
      <c r="DV37" s="10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$B$18/($B$19*$B$19*($DF37&lt;&gt;$DG37) + $B$19*($DF37=$DG37))</f>
        <v>0.2477016501650165</v>
      </c>
      <c r="DW37" s="10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$B$18/($B$19*$B$19*($DF37&lt;&gt;$DG37) + $B$19*($DF37=$DG37))</f>
        <v>0.19327920792079209</v>
      </c>
      <c r="ED37" cm="1">
        <f t="array" aca="1" ref="ED37" ca="1">INDEX(_xlfn.ANCHORARRAY($CP$15), 1 + INT((ROWS($DG$15:$DG37) - 1) / ROWS(_xlfn.ANCHORARRAY($CP$15))))</f>
        <v>4</v>
      </c>
      <c r="EE37" cm="1">
        <f t="array" aca="1" ref="EE37" ca="1">INDEX(_xlfn.ANCHORARRAY($CP$15),1+MOD(ROWS($DG$15:$DG37)-1,ROWS(_xlfn.ANCHORARRAY($CP$15))))</f>
        <v>2</v>
      </c>
      <c r="EF37" s="10" cm="1">
        <f t="array" aca="1" ref="EF37" ca="1">DH37-_xlfn.XLOOKUP(EF$13,_xlfn.ANCHORARRAY( $CR$14), _xlfn.XLOOKUP($ED37,_xlfn.ANCHORARRAY( $CP$15), $CR$15:$CU$19)) * _xlfn.XLOOKUP(EF$14,_xlfn.ANCHORARRAY( $CR$14), _xlfn.XLOOKUP($EE37,_xlfn.ANCHORARRAY( $CP$15), $CR$15:$CU$19))</f>
        <v>2.4201980198019786E-4</v>
      </c>
      <c r="EG37" s="10" cm="1">
        <f t="array" aca="1" ref="EG37" ca="1">DI37-_xlfn.XLOOKUP(EG$13,_xlfn.ANCHORARRAY( $CR$14), _xlfn.XLOOKUP($ED37,_xlfn.ANCHORARRAY( $CP$15), $CR$15:$CU$19)) * _xlfn.XLOOKUP(EG$14,_xlfn.ANCHORARRAY( $CR$14), _xlfn.XLOOKUP($EE37,_xlfn.ANCHORARRAY( $CP$15), $CR$15:$CU$19))</f>
        <v>2.4201980198019786E-4</v>
      </c>
      <c r="EH37" s="10" cm="1">
        <f t="array" aca="1" ref="EH37" ca="1">DJ37-_xlfn.XLOOKUP(EH$13,_xlfn.ANCHORARRAY( $CR$14), _xlfn.XLOOKUP($ED37,_xlfn.ANCHORARRAY( $CP$15), $CR$15:$CU$19)) * _xlfn.XLOOKUP(EH$14,_xlfn.ANCHORARRAY( $CR$14), _xlfn.XLOOKUP($EE37,_xlfn.ANCHORARRAY( $CP$15), $CR$15:$CU$19))</f>
        <v>-1.6595643564356439E-3</v>
      </c>
      <c r="EI37" s="10" cm="1">
        <f t="array" aca="1" ref="EI37" ca="1">DK37-_xlfn.XLOOKUP(EI$13,_xlfn.ANCHORARRAY( $CR$14), _xlfn.XLOOKUP($ED37,_xlfn.ANCHORARRAY( $CP$15), $CR$15:$CU$19)) * _xlfn.XLOOKUP(EI$14,_xlfn.ANCHORARRAY( $CR$14), _xlfn.XLOOKUP($EE37,_xlfn.ANCHORARRAY( $CP$15), $CR$15:$CU$19))</f>
        <v>1.1524752475247429E-5</v>
      </c>
      <c r="EJ37" s="10" cm="1">
        <f t="array" aca="1" ref="EJ37" ca="1">DL37-_xlfn.XLOOKUP(EJ$13,_xlfn.ANCHORARRAY( $CR$14), _xlfn.XLOOKUP($ED37,_xlfn.ANCHORARRAY( $CP$15), $CR$15:$CU$19)) * _xlfn.XLOOKUP(EJ$14,_xlfn.ANCHORARRAY( $CR$14), _xlfn.XLOOKUP($EE37,_xlfn.ANCHORARRAY( $CP$15), $CR$15:$CU$19))</f>
        <v>-1.509198666797373E-2</v>
      </c>
      <c r="EK37" s="10" cm="1">
        <f t="array" aca="1" ref="EK37" ca="1">DM37-_xlfn.XLOOKUP(EK$13,_xlfn.ANCHORARRAY( $CR$14), _xlfn.XLOOKUP($ED37,_xlfn.ANCHORARRAY( $CP$15), $CR$15:$CU$19)) * _xlfn.XLOOKUP(EK$14,_xlfn.ANCHORARRAY( $CR$14), _xlfn.XLOOKUP($EE37,_xlfn.ANCHORARRAY( $CP$15), $CR$15:$CU$19))</f>
        <v>-1.509198666797373E-2</v>
      </c>
      <c r="EL37" s="10" cm="1">
        <f t="array" aca="1" ref="EL37" ca="1">DN37-_xlfn.XLOOKUP(EL$13,_xlfn.ANCHORARRAY( $CR$14), _xlfn.XLOOKUP($ED37,_xlfn.ANCHORARRAY( $CP$15), $CR$15:$CU$19)) * _xlfn.XLOOKUP(EL$14,_xlfn.ANCHORARRAY( $CR$14), _xlfn.XLOOKUP($EE37,_xlfn.ANCHORARRAY( $CP$15), $CR$15:$CU$19))</f>
        <v>4.8608134888736401E-2</v>
      </c>
      <c r="EM37" s="10" cm="1">
        <f t="array" aca="1" ref="EM37" ca="1">DO37-_xlfn.XLOOKUP(EM$13,_xlfn.ANCHORARRAY( $CR$14), _xlfn.XLOOKUP($ED37,_xlfn.ANCHORARRAY( $CP$15), $CR$15:$CU$19)) * _xlfn.XLOOKUP(EM$14,_xlfn.ANCHORARRAY( $CR$14), _xlfn.XLOOKUP($EE37,_xlfn.ANCHORARRAY( $CP$15), $CR$15:$CU$19))</f>
        <v>-1.9011923929026567E-2</v>
      </c>
      <c r="EN37" s="10" cm="1">
        <f t="array" aca="1" ref="EN37" ca="1">DP37-_xlfn.XLOOKUP(EN$13,_xlfn.ANCHORARRAY( $CR$14), _xlfn.XLOOKUP($ED37,_xlfn.ANCHORARRAY( $CP$15), $CR$15:$CU$19)) * _xlfn.XLOOKUP(EN$14,_xlfn.ANCHORARRAY( $CR$14), _xlfn.XLOOKUP($EE37,_xlfn.ANCHORARRAY( $CP$15), $CR$15:$CU$19))</f>
        <v>-2.0203322157958368E-2</v>
      </c>
      <c r="EO37" s="10" cm="1">
        <f t="array" aca="1" ref="EO37" ca="1">DQ37-_xlfn.XLOOKUP(EO$13,_xlfn.ANCHORARRAY( $CR$14), _xlfn.XLOOKUP($ED37,_xlfn.ANCHORARRAY( $CP$15), $CR$15:$CU$19)) * _xlfn.XLOOKUP(EO$14,_xlfn.ANCHORARRAY( $CR$14), _xlfn.XLOOKUP($EE37,_xlfn.ANCHORARRAY( $CP$15), $CR$15:$CU$19))</f>
        <v>-2.0203322157958368E-2</v>
      </c>
      <c r="EP37" s="10" cm="1">
        <f t="array" aca="1" ref="EP37" ca="1">DR37-_xlfn.XLOOKUP(EP$13,_xlfn.ANCHORARRAY( $CR$14), _xlfn.XLOOKUP($ED37,_xlfn.ANCHORARRAY( $CP$15), $CR$15:$CU$19)) * _xlfn.XLOOKUP(EP$14,_xlfn.ANCHORARRAY( $CR$14), _xlfn.XLOOKUP($EE37,_xlfn.ANCHORARRAY( $CP$15), $CR$15:$CU$19))</f>
        <v>6.5364034637127075E-2</v>
      </c>
      <c r="EQ37" s="10" cm="1">
        <f t="array" aca="1" ref="EQ37" ca="1">DS37-_xlfn.XLOOKUP(EQ$13,_xlfn.ANCHORARRAY( $CR$14), _xlfn.XLOOKUP($ED37,_xlfn.ANCHORARRAY( $CP$15), $CR$15:$CU$19)) * _xlfn.XLOOKUP(EQ$14,_xlfn.ANCHORARRAY( $CR$14), _xlfn.XLOOKUP($EE37,_xlfn.ANCHORARRAY( $CP$15), $CR$15:$CU$19))</f>
        <v>-2.5353073489527169E-2</v>
      </c>
      <c r="ER37" s="10" cm="1">
        <f t="array" aca="1" ref="ER37" ca="1">DT37-_xlfn.XLOOKUP(ER$13,_xlfn.ANCHORARRAY( $CR$14), _xlfn.XLOOKUP($ED37,_xlfn.ANCHORARRAY( $CP$15), $CR$15:$CU$19)) * _xlfn.XLOOKUP(ER$14,_xlfn.ANCHORARRAY( $CR$14), _xlfn.XLOOKUP($EE37,_xlfn.ANCHORARRAY( $CP$15), $CR$15:$CU$19))</f>
        <v>3.4811269221971669E-2</v>
      </c>
      <c r="ES37" s="10" cm="1">
        <f t="array" aca="1" ref="ES37" ca="1">DU37-_xlfn.XLOOKUP(ES$13,_xlfn.ANCHORARRAY( $CR$14), _xlfn.XLOOKUP($ED37,_xlfn.ANCHORARRAY( $CP$15), $CR$15:$CU$19)) * _xlfn.XLOOKUP(ES$14,_xlfn.ANCHORARRAY( $CR$14), _xlfn.XLOOKUP($EE37,_xlfn.ANCHORARRAY( $CP$15), $CR$15:$CU$19))</f>
        <v>3.4811269221971669E-2</v>
      </c>
      <c r="ET37" s="10" cm="1">
        <f t="array" aca="1" ref="ET37" ca="1">DV37-_xlfn.XLOOKUP(ET$13,_xlfn.ANCHORARRAY( $CR$14), _xlfn.XLOOKUP($ED37,_xlfn.ANCHORARRAY( $CP$15), $CR$15:$CU$19)) * _xlfn.XLOOKUP(ET$14,_xlfn.ANCHORARRAY( $CR$14), _xlfn.XLOOKUP($EE37,_xlfn.ANCHORARRAY( $CP$15), $CR$15:$CU$19))</f>
        <v>-0.11065304081299232</v>
      </c>
      <c r="EU37" s="10" cm="1">
        <f t="array" aca="1" ref="EU37" ca="1">DW37-_xlfn.XLOOKUP(EU$13,_xlfn.ANCHORARRAY( $CR$14), _xlfn.XLOOKUP($ED37,_xlfn.ANCHORARRAY( $CP$15), $CR$15:$CU$19)) * _xlfn.XLOOKUP(EU$14,_xlfn.ANCHORARRAY( $CR$14), _xlfn.XLOOKUP($EE37,_xlfn.ANCHORARRAY( $CP$15), $CR$15:$CU$19))</f>
        <v>4.4341947913603214E-2</v>
      </c>
      <c r="EZ37" cm="1">
        <f t="array" aca="1" ref="EZ37" ca="1">INDEX(_xlfn.ANCHORARRAY($CP$15), 1 + INT((ROWS($DG$15:$DG37) - 1) / ROWS(_xlfn.ANCHORARRAY($CP$15))))</f>
        <v>4</v>
      </c>
      <c r="FA37" cm="1">
        <f t="array" aca="1" ref="FA37" ca="1">INDEX(_xlfn.ANCHORARRAY($CP$15),1+MOD(ROWS($DG$15:$DG37)-1,ROWS(_xlfn.ANCHORARRAY($CP$15))))</f>
        <v>2</v>
      </c>
      <c r="FB37" s="10" cm="1">
        <f t="array" aca="1" ref="FB37" ca="1">EF37 * _xlfn.XLOOKUP(FB$13,_xlfn.ANCHORARRAY( $CZ$29), _xlfn.XLOOKUP($EZ37,_xlfn.ANCHORARRAY( $CY$30), $CZ$30:$DC$34)) * _xlfn.XLOOKUP(FB$14,_xlfn.ANCHORARRAY( $CZ$29), _xlfn.XLOOKUP($FA37,_xlfn.ANCHORARRAY( $CY$30), $CZ$30:$DC$34))</f>
        <v>5.4572544928273184E-4</v>
      </c>
      <c r="FC37" s="10" cm="1">
        <f t="array" aca="1" ref="FC37" ca="1">EG37 * _xlfn.XLOOKUP(FC$13,_xlfn.ANCHORARRAY( $CZ$29), _xlfn.XLOOKUP($EZ37,_xlfn.ANCHORARRAY( $CY$30), $CZ$30:$DC$34)) * _xlfn.XLOOKUP(FC$14,_xlfn.ANCHORARRAY( $CZ$29), _xlfn.XLOOKUP($FA37,_xlfn.ANCHORARRAY( $CY$30), $CZ$30:$DC$34))</f>
        <v>5.4572544928273184E-4</v>
      </c>
      <c r="FD37" s="10" cm="1">
        <f t="array" aca="1" ref="FD37" ca="1">EH37 * _xlfn.XLOOKUP(FD$13,_xlfn.ANCHORARRAY( $CZ$29), _xlfn.XLOOKUP($EZ37,_xlfn.ANCHORARRAY( $CY$30), $CZ$30:$DC$34)) * _xlfn.XLOOKUP(FD$14,_xlfn.ANCHORARRAY( $CZ$29), _xlfn.XLOOKUP($FA37,_xlfn.ANCHORARRAY( $CY$30), $CZ$30:$DC$34))</f>
        <v>6.6898724695871646E-3</v>
      </c>
      <c r="FE37" s="10" cm="1">
        <f t="array" aca="1" ref="FE37" ca="1">EI37 * _xlfn.XLOOKUP(FE$13,_xlfn.ANCHORARRAY( $CZ$29), _xlfn.XLOOKUP($EZ37,_xlfn.ANCHORARRAY( $CY$30), $CZ$30:$DC$34)) * _xlfn.XLOOKUP(FE$14,_xlfn.ANCHORARRAY( $CZ$29), _xlfn.XLOOKUP($FA37,_xlfn.ANCHORARRAY( $CY$30), $CZ$30:$DC$34))</f>
        <v>1.3856541984695926E-5</v>
      </c>
      <c r="FF37" s="10" cm="1">
        <f t="array" aca="1" ref="FF37" ca="1">EJ37 * _xlfn.XLOOKUP(FF$13,_xlfn.ANCHORARRAY( $CZ$29), _xlfn.XLOOKUP($EZ37,_xlfn.ANCHORARRAY( $CY$30), $CZ$30:$DC$34)) * _xlfn.XLOOKUP(FF$14,_xlfn.ANCHORARRAY( $CZ$29), _xlfn.XLOOKUP($FA37,_xlfn.ANCHORARRAY( $CY$30), $CZ$30:$DC$34))</f>
        <v>-9.1295921054930299E-3</v>
      </c>
      <c r="FG37" s="10" cm="1">
        <f t="array" aca="1" ref="FG37" ca="1">EK37 * _xlfn.XLOOKUP(FG$13,_xlfn.ANCHORARRAY( $CZ$29), _xlfn.XLOOKUP($EZ37,_xlfn.ANCHORARRAY( $CY$30), $CZ$30:$DC$34)) * _xlfn.XLOOKUP(FG$14,_xlfn.ANCHORARRAY( $CZ$29), _xlfn.XLOOKUP($FA37,_xlfn.ANCHORARRAY( $CY$30), $CZ$30:$DC$34))</f>
        <v>-9.1295921054930299E-3</v>
      </c>
      <c r="FH37" s="10" cm="1">
        <f t="array" aca="1" ref="FH37" ca="1">EL37 * _xlfn.XLOOKUP(FH$13,_xlfn.ANCHORARRAY( $CZ$29), _xlfn.XLOOKUP($EZ37,_xlfn.ANCHORARRAY( $CY$30), $CZ$30:$DC$34)) * _xlfn.XLOOKUP(FH$14,_xlfn.ANCHORARRAY( $CZ$29), _xlfn.XLOOKUP($FA37,_xlfn.ANCHORARRAY( $CY$30), $CZ$30:$DC$34))</f>
        <v>-5.256714049698151E-2</v>
      </c>
      <c r="FI37" s="10" cm="1">
        <f t="array" aca="1" ref="FI37" ca="1">EM37 * _xlfn.XLOOKUP(FI$13,_xlfn.ANCHORARRAY( $CZ$29), _xlfn.XLOOKUP($EZ37,_xlfn.ANCHORARRAY( $CY$30), $CZ$30:$DC$34)) * _xlfn.XLOOKUP(FI$14,_xlfn.ANCHORARRAY( $CZ$29), _xlfn.XLOOKUP($FA37,_xlfn.ANCHORARRAY( $CY$30), $CZ$30:$DC$34))</f>
        <v>-6.1324071187985364E-3</v>
      </c>
      <c r="FJ37" s="10" cm="1">
        <f t="array" aca="1" ref="FJ37" ca="1">EN37 * _xlfn.XLOOKUP(FJ$13,_xlfn.ANCHORARRAY( $CZ$29), _xlfn.XLOOKUP($EZ37,_xlfn.ANCHORARRAY( $CY$30), $CZ$30:$DC$34)) * _xlfn.XLOOKUP(FJ$14,_xlfn.ANCHORARRAY( $CZ$29), _xlfn.XLOOKUP($FA37,_xlfn.ANCHORARRAY( $CY$30), $CZ$30:$DC$34))</f>
        <v>-8.7103716870554383E-3</v>
      </c>
      <c r="FK37" s="10" cm="1">
        <f t="array" aca="1" ref="FK37" ca="1">EO37 * _xlfn.XLOOKUP(FK$13,_xlfn.ANCHORARRAY( $CZ$29), _xlfn.XLOOKUP($EZ37,_xlfn.ANCHORARRAY( $CY$30), $CZ$30:$DC$34)) * _xlfn.XLOOKUP(FK$14,_xlfn.ANCHORARRAY( $CZ$29), _xlfn.XLOOKUP($FA37,_xlfn.ANCHORARRAY( $CY$30), $CZ$30:$DC$34))</f>
        <v>-8.7103716870554383E-3</v>
      </c>
      <c r="FL37" s="10" cm="1">
        <f t="array" aca="1" ref="FL37" ca="1">EP37 * _xlfn.XLOOKUP(FL$13,_xlfn.ANCHORARRAY( $CZ$29), _xlfn.XLOOKUP($EZ37,_xlfn.ANCHORARRAY( $CY$30), $CZ$30:$DC$34)) * _xlfn.XLOOKUP(FL$14,_xlfn.ANCHORARRAY( $CZ$29), _xlfn.XLOOKUP($FA37,_xlfn.ANCHORARRAY( $CY$30), $CZ$30:$DC$34))</f>
        <v>-5.0379422431346181E-2</v>
      </c>
      <c r="FM37" s="10" cm="1">
        <f t="array" aca="1" ref="FM37" ca="1">EQ37 * _xlfn.XLOOKUP(FM$13,_xlfn.ANCHORARRAY( $CZ$29), _xlfn.XLOOKUP($EZ37,_xlfn.ANCHORARRAY( $CY$30), $CZ$30:$DC$34)) * _xlfn.XLOOKUP(FM$14,_xlfn.ANCHORARRAY( $CZ$29), _xlfn.XLOOKUP($FA37,_xlfn.ANCHORARRAY( $CY$30), $CZ$30:$DC$34))</f>
        <v>-5.8283344267315105E-3</v>
      </c>
      <c r="FN37" s="10" cm="1">
        <f t="array" aca="1" ref="FN37" ca="1">ER37 * _xlfn.XLOOKUP(FN$13,_xlfn.ANCHORARRAY( $CZ$29), _xlfn.XLOOKUP($EZ37,_xlfn.ANCHORARRAY( $CY$30), $CZ$30:$DC$34)) * _xlfn.XLOOKUP(FN$14,_xlfn.ANCHORARRAY( $CZ$29), _xlfn.XLOOKUP($FA37,_xlfn.ANCHORARRAY( $CY$30), $CZ$30:$DC$34))</f>
        <v>-4.3195328203658422E-2</v>
      </c>
      <c r="FO37" s="10" cm="1">
        <f t="array" aca="1" ref="FO37" ca="1">ES37 * _xlfn.XLOOKUP(FO$13,_xlfn.ANCHORARRAY( $CZ$29), _xlfn.XLOOKUP($EZ37,_xlfn.ANCHORARRAY( $CY$30), $CZ$30:$DC$34)) * _xlfn.XLOOKUP(FO$14,_xlfn.ANCHORARRAY( $CZ$29), _xlfn.XLOOKUP($FA37,_xlfn.ANCHORARRAY( $CY$30), $CZ$30:$DC$34))</f>
        <v>-4.3195328203658422E-2</v>
      </c>
      <c r="FP37" s="10" cm="1">
        <f t="array" aca="1" ref="FP37" ca="1">ET37 * _xlfn.XLOOKUP(FP$13,_xlfn.ANCHORARRAY( $CZ$29), _xlfn.XLOOKUP($EZ37,_xlfn.ANCHORARRAY( $CY$30), $CZ$30:$DC$34)) * _xlfn.XLOOKUP(FP$14,_xlfn.ANCHORARRAY( $CZ$29), _xlfn.XLOOKUP($FA37,_xlfn.ANCHORARRAY( $CY$30), $CZ$30:$DC$34))</f>
        <v>-0.24545998743616959</v>
      </c>
      <c r="FQ37" s="10" cm="1">
        <f t="array" aca="1" ref="FQ37" ca="1">EU37 * _xlfn.XLOOKUP(FQ$13,_xlfn.ANCHORARRAY( $CZ$29), _xlfn.XLOOKUP($EZ37,_xlfn.ANCHORARRAY( $CY$30), $CZ$30:$DC$34)) * _xlfn.XLOOKUP(FQ$14,_xlfn.ANCHORARRAY( $CZ$29), _xlfn.XLOOKUP($FA37,_xlfn.ANCHORARRAY( $CY$30), $CZ$30:$DC$34))</f>
        <v>-2.9338076543202939E-2</v>
      </c>
      <c r="FT37" cm="1">
        <f t="array" aca="1" ref="FT37" ca="1">SQRT(SUM((FB37:FQ37)^2))</f>
        <v>0.26566851066798003</v>
      </c>
    </row>
    <row r="38" spans="4:176" x14ac:dyDescent="0.2">
      <c r="AK38" s="8"/>
      <c r="AL38" s="8"/>
      <c r="AM38" s="3"/>
      <c r="DF38" cm="1">
        <f t="array" aca="1" ref="DF38" ca="1">INDEX(_xlfn.ANCHORARRAY($CP$15), 1 + INT((ROWS($DG$15:$DG38) - 1) / ROWS(_xlfn.ANCHORARRAY($CP$15))))</f>
        <v>4</v>
      </c>
      <c r="DG38" cm="1">
        <f t="array" aca="1" ref="DG38" ca="1">INDEX(_xlfn.ANCHORARRAY($CP$15),1+MOD(ROWS($DG$15:$DG38)-1,ROWS(_xlfn.ANCHORARRAY($CP$15))))</f>
        <v>3</v>
      </c>
      <c r="DH38" s="10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$B$18/($B$19*$B$19*($DF38&lt;&gt;$DG38) + $B$19*($DF38=$DG38))</f>
        <v>1.1999999999999999E-3</v>
      </c>
      <c r="DI38" s="10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$B$18/($B$19*$B$19*($DF38&lt;&gt;$DG38) + $B$19*($DF38=$DG38))</f>
        <v>1.1999999999999999E-3</v>
      </c>
      <c r="DJ38" s="10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$B$18/($B$19*$B$19*($DF38&lt;&gt;$DG38) + $B$19*($DF38=$DG38))</f>
        <v>1.1999999999999999E-3</v>
      </c>
      <c r="DK38" s="10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$B$18/($B$19*$B$19*($DF38&lt;&gt;$DG38) + $B$19*($DF38=$DG38))</f>
        <v>1.1999999999999999E-3</v>
      </c>
      <c r="DL38" s="10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$B$18/($B$19*$B$19*($DF38&lt;&gt;$DG38) + $B$19*($DF38=$DG38))</f>
        <v>9.7239603960396048E-2</v>
      </c>
      <c r="DM38" s="10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$B$18/($B$19*$B$19*($DF38&lt;&gt;$DG38) + $B$19*($DF38=$DG38))</f>
        <v>1.1999999999999999E-3</v>
      </c>
      <c r="DN38" s="10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$B$18/($B$19*$B$19*($DF38&lt;&gt;$DG38) + $B$19*($DF38=$DG38))</f>
        <v>1.1999999999999999E-3</v>
      </c>
      <c r="DO38" s="10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$B$18/($B$19*$B$19*($DF38&lt;&gt;$DG38) + $B$19*($DF38=$DG38))</f>
        <v>1.1999999999999999E-3</v>
      </c>
      <c r="DP38" s="10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$B$18/($B$19*$B$19*($DF38&lt;&gt;$DG38) + $B$19*($DF38=$DG38))</f>
        <v>6.5226402640264025E-2</v>
      </c>
      <c r="DQ38" s="10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$B$18/($B$19*$B$19*($DF38&lt;&gt;$DG38) + $B$19*($DF38=$DG38))</f>
        <v>6.5226402640264025E-2</v>
      </c>
      <c r="DR38" s="10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$B$18/($B$19*$B$19*($DF38&lt;&gt;$DG38) + $B$19*($DF38=$DG38))</f>
        <v>1.1999999999999999E-3</v>
      </c>
      <c r="DS38" s="10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$B$18/($B$19*$B$19*($DF38&lt;&gt;$DG38) + $B$19*($DF38=$DG38))</f>
        <v>1.1999999999999999E-3</v>
      </c>
      <c r="DT38" s="10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$B$18/($B$19*$B$19*($DF38&lt;&gt;$DG38) + $B$19*($DF38=$DG38))</f>
        <v>1.1999999999999999E-3</v>
      </c>
      <c r="DU38" s="10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$B$18/($B$19*$B$19*($DF38&lt;&gt;$DG38) + $B$19*($DF38=$DG38))</f>
        <v>6.5226402640264025E-2</v>
      </c>
      <c r="DV38" s="10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$B$18/($B$19*$B$19*($DF38&lt;&gt;$DG38) + $B$19*($DF38=$DG38))</f>
        <v>1.1999999999999999E-3</v>
      </c>
      <c r="DW38" s="10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$B$18/($B$19*$B$19*($DF38&lt;&gt;$DG38) + $B$19*($DF38=$DG38))</f>
        <v>0.68308118811881213</v>
      </c>
      <c r="ED38" cm="1">
        <f t="array" aca="1" ref="ED38" ca="1">INDEX(_xlfn.ANCHORARRAY($CP$15), 1 + INT((ROWS($DG$15:$DG38) - 1) / ROWS(_xlfn.ANCHORARRAY($CP$15))))</f>
        <v>4</v>
      </c>
      <c r="EE38" cm="1">
        <f t="array" aca="1" ref="EE38" ca="1">INDEX(_xlfn.ANCHORARRAY($CP$15),1+MOD(ROWS($DG$15:$DG38)-1,ROWS(_xlfn.ANCHORARRAY($CP$15))))</f>
        <v>3</v>
      </c>
      <c r="EF38" s="10" cm="1">
        <f t="array" aca="1" ref="EF38" ca="1">DH38-_xlfn.XLOOKUP(EF$13,_xlfn.ANCHORARRAY( $CR$14), _xlfn.XLOOKUP($ED38,_xlfn.ANCHORARRAY( $CP$15), $CR$15:$CU$19)) * _xlfn.XLOOKUP(EF$14,_xlfn.ANCHORARRAY( $CR$14), _xlfn.XLOOKUP($EE38,_xlfn.ANCHORARRAY( $CP$15), $CR$15:$CU$19))</f>
        <v>2.0360396039603951E-4</v>
      </c>
      <c r="EG38" s="10" cm="1">
        <f t="array" aca="1" ref="EG38" ca="1">DI38-_xlfn.XLOOKUP(EG$13,_xlfn.ANCHORARRAY( $CR$14), _xlfn.XLOOKUP($ED38,_xlfn.ANCHORARRAY( $CP$15), $CR$15:$CU$19)) * _xlfn.XLOOKUP(EG$14,_xlfn.ANCHORARRAY( $CR$14), _xlfn.XLOOKUP($EE38,_xlfn.ANCHORARRAY( $CP$15), $CR$15:$CU$19))</f>
        <v>3.9568316831683158E-4</v>
      </c>
      <c r="EH38" s="10" cm="1">
        <f t="array" aca="1" ref="EH38" ca="1">DJ38-_xlfn.XLOOKUP(EH$13,_xlfn.ANCHORARRAY( $CR$14), _xlfn.XLOOKUP($ED38,_xlfn.ANCHORARRAY( $CP$15), $CR$15:$CU$19)) * _xlfn.XLOOKUP(EH$14,_xlfn.ANCHORARRAY( $CR$14), _xlfn.XLOOKUP($EE38,_xlfn.ANCHORARRAY( $CP$15), $CR$15:$CU$19))</f>
        <v>1.1639999999999999E-3</v>
      </c>
      <c r="EI38" s="10" cm="1">
        <f t="array" aca="1" ref="EI38" ca="1">DK38-_xlfn.XLOOKUP(EI$13,_xlfn.ANCHORARRAY( $CR$14), _xlfn.XLOOKUP($ED38,_xlfn.ANCHORARRAY( $CP$15), $CR$15:$CU$19)) * _xlfn.XLOOKUP(EI$14,_xlfn.ANCHORARRAY( $CR$14), _xlfn.XLOOKUP($EE38,_xlfn.ANCHORARRAY( $CP$15), $CR$15:$CU$19))</f>
        <v>-2.9272871287128735E-3</v>
      </c>
      <c r="EJ38" s="10" cm="1">
        <f t="array" aca="1" ref="EJ38" ca="1">DL38-_xlfn.XLOOKUP(EJ$13,_xlfn.ANCHORARRAY( $CR$14), _xlfn.XLOOKUP($ED38,_xlfn.ANCHORARRAY( $CP$15), $CR$15:$CU$19)) * _xlfn.XLOOKUP(EJ$14,_xlfn.ANCHORARRAY( $CR$14), _xlfn.XLOOKUP($EE38,_xlfn.ANCHORARRAY( $CP$15), $CR$15:$CU$19))</f>
        <v>8.0294294415580184E-2</v>
      </c>
      <c r="EK38" s="10" cm="1">
        <f t="array" aca="1" ref="EK38" ca="1">DM38-_xlfn.XLOOKUP(EK$13,_xlfn.ANCHORARRAY( $CR$14), _xlfn.XLOOKUP($ED38,_xlfn.ANCHORARRAY( $CP$15), $CR$15:$CU$19)) * _xlfn.XLOOKUP(EK$14,_xlfn.ANCHORARRAY( $CR$14), _xlfn.XLOOKUP($EE38,_xlfn.ANCHORARRAY( $CP$15), $CR$15:$CU$19))</f>
        <v>-1.247869516060517E-2</v>
      </c>
      <c r="EL38" s="10" cm="1">
        <f t="array" aca="1" ref="EL38" ca="1">DN38-_xlfn.XLOOKUP(EL$13,_xlfn.ANCHORARRAY( $CR$14), _xlfn.XLOOKUP($ED38,_xlfn.ANCHORARRAY( $CP$15), $CR$15:$CU$19)) * _xlfn.XLOOKUP(EL$14,_xlfn.ANCHORARRAY( $CR$14), _xlfn.XLOOKUP($EE38,_xlfn.ANCHORARRAY( $CP$15), $CR$15:$CU$19))</f>
        <v>5.8776237623762355E-4</v>
      </c>
      <c r="EM38" s="10" cm="1">
        <f t="array" aca="1" ref="EM38" ca="1">DO38-_xlfn.XLOOKUP(EM$13,_xlfn.ANCHORARRAY( $CR$14), _xlfn.XLOOKUP($ED38,_xlfn.ANCHORARRAY( $CP$15), $CR$15:$CU$19)) * _xlfn.XLOOKUP(EM$14,_xlfn.ANCHORARRAY( $CR$14), _xlfn.XLOOKUP($EE38,_xlfn.ANCHORARRAY( $CP$15), $CR$15:$CU$19))</f>
        <v>-6.8991124007450277E-2</v>
      </c>
      <c r="EN38" s="10" cm="1">
        <f t="array" aca="1" ref="EN38" ca="1">DP38-_xlfn.XLOOKUP(EN$13,_xlfn.ANCHORARRAY( $CR$14), _xlfn.XLOOKUP($ED38,_xlfn.ANCHORARRAY( $CP$15), $CR$15:$CU$19)) * _xlfn.XLOOKUP(EN$14,_xlfn.ANCHORARRAY( $CR$14), _xlfn.XLOOKUP($EE38,_xlfn.ANCHORARRAY( $CP$15), $CR$15:$CU$19))</f>
        <v>4.2964788593710855E-2</v>
      </c>
      <c r="EO38" s="10" cm="1">
        <f t="array" aca="1" ref="EO38" ca="1">DQ38-_xlfn.XLOOKUP(EO$13,_xlfn.ANCHORARRAY( $CR$14), _xlfn.XLOOKUP($ED38,_xlfn.ANCHORARRAY( $CP$15), $CR$15:$CU$19)) * _xlfn.XLOOKUP(EO$14,_xlfn.ANCHORARRAY( $CR$14), _xlfn.XLOOKUP($EE38,_xlfn.ANCHORARRAY( $CP$15), $CR$15:$CU$19))</f>
        <v>4.7256248036684857E-2</v>
      </c>
      <c r="EP38" s="10" cm="1">
        <f t="array" aca="1" ref="EP38" ca="1">DR38-_xlfn.XLOOKUP(EP$13,_xlfn.ANCHORARRAY( $CR$14), _xlfn.XLOOKUP($ED38,_xlfn.ANCHORARRAY( $CP$15), $CR$15:$CU$19)) * _xlfn.XLOOKUP(EP$14,_xlfn.ANCHORARRAY( $CR$14), _xlfn.XLOOKUP($EE38,_xlfn.ANCHORARRAY( $CP$15), $CR$15:$CU$19))</f>
        <v>3.9568316831683158E-4</v>
      </c>
      <c r="EQ38" s="10" cm="1">
        <f t="array" aca="1" ref="EQ38" ca="1">DS38-_xlfn.XLOOKUP(EQ$13,_xlfn.ANCHORARRAY( $CR$14), _xlfn.XLOOKUP($ED38,_xlfn.ANCHORARRAY( $CP$15), $CR$15:$CU$19)) * _xlfn.XLOOKUP(EQ$14,_xlfn.ANCHORARRAY( $CR$14), _xlfn.XLOOKUP($EE38,_xlfn.ANCHORARRAY( $CP$15), $CR$15:$CU$19))</f>
        <v>-9.1012402967029393E-2</v>
      </c>
      <c r="ER38" s="10" cm="1">
        <f t="array" aca="1" ref="ER38" ca="1">DT38-_xlfn.XLOOKUP(ER$13,_xlfn.ANCHORARRAY( $CR$14), _xlfn.XLOOKUP($ED38,_xlfn.ANCHORARRAY( $CP$15), $CR$15:$CU$19)) * _xlfn.XLOOKUP(ER$14,_xlfn.ANCHORARRAY( $CR$14), _xlfn.XLOOKUP($EE38,_xlfn.ANCHORARRAY( $CP$15), $CR$15:$CU$19))</f>
        <v>-0.12366629093008313</v>
      </c>
      <c r="ES38" s="10" cm="1">
        <f t="array" aca="1" ref="ES38" ca="1">DU38-_xlfn.XLOOKUP(ES$13,_xlfn.ANCHORARRAY( $CR$14), _xlfn.XLOOKUP($ED38,_xlfn.ANCHORARRAY( $CP$15), $CR$15:$CU$19)) * _xlfn.XLOOKUP(ES$14,_xlfn.ANCHORARRAY( $CR$14), _xlfn.XLOOKUP($EE38,_xlfn.ANCHORARRAY( $CP$15), $CR$15:$CU$19))</f>
        <v>-3.5568919212713365E-2</v>
      </c>
      <c r="ET38" s="10" cm="1">
        <f t="array" aca="1" ref="ET38" ca="1">DV38-_xlfn.XLOOKUP(ET$13,_xlfn.ANCHORARRAY( $CR$14), _xlfn.XLOOKUP($ED38,_xlfn.ANCHORARRAY( $CP$15), $CR$15:$CU$19)) * _xlfn.XLOOKUP(ET$14,_xlfn.ANCHORARRAY( $CR$14), _xlfn.XLOOKUP($EE38,_xlfn.ANCHORARRAY( $CP$15), $CR$15:$CU$19))</f>
        <v>-3.3114455445544567E-3</v>
      </c>
      <c r="EU38" s="10" cm="1">
        <f t="array" aca="1" ref="EU38" ca="1">DW38-_xlfn.XLOOKUP(EU$13,_xlfn.ANCHORARRAY( $CR$14), _xlfn.XLOOKUP($ED38,_xlfn.ANCHORARRAY( $CP$15), $CR$15:$CU$19)) * _xlfn.XLOOKUP(EU$14,_xlfn.ANCHORARRAY( $CR$14), _xlfn.XLOOKUP($EE38,_xlfn.ANCHORARRAY( $CP$15), $CR$15:$CU$19))</f>
        <v>0.16585810123190525</v>
      </c>
      <c r="EZ38" cm="1">
        <f t="array" aca="1" ref="EZ38" ca="1">INDEX(_xlfn.ANCHORARRAY($CP$15), 1 + INT((ROWS($DG$15:$DG38) - 1) / ROWS(_xlfn.ANCHORARRAY($CP$15))))</f>
        <v>4</v>
      </c>
      <c r="FA38" cm="1">
        <f t="array" aca="1" ref="FA38" ca="1">INDEX(_xlfn.ANCHORARRAY($CP$15),1+MOD(ROWS($DG$15:$DG38)-1,ROWS(_xlfn.ANCHORARRAY($CP$15))))</f>
        <v>3</v>
      </c>
      <c r="FB38" s="10" cm="1">
        <f t="array" aca="1" ref="FB38" ca="1">EF38 * _xlfn.XLOOKUP(FB$13,_xlfn.ANCHORARRAY( $CZ$29), _xlfn.XLOOKUP($EZ38,_xlfn.ANCHORARRAY( $CY$30), $CZ$30:$DC$34)) * _xlfn.XLOOKUP(FB$14,_xlfn.ANCHORARRAY( $CZ$29), _xlfn.XLOOKUP($FA38,_xlfn.ANCHORARRAY( $CY$30), $CZ$30:$DC$34))</f>
        <v>4.2074381591077802E-4</v>
      </c>
      <c r="FC38" s="10" cm="1">
        <f t="array" aca="1" ref="FC38" ca="1">EG38 * _xlfn.XLOOKUP(FC$13,_xlfn.ANCHORARRAY( $CZ$29), _xlfn.XLOOKUP($EZ38,_xlfn.ANCHORARRAY( $CY$30), $CZ$30:$DC$34)) * _xlfn.XLOOKUP(FC$14,_xlfn.ANCHORARRAY( $CZ$29), _xlfn.XLOOKUP($FA38,_xlfn.ANCHORARRAY( $CY$30), $CZ$30:$DC$34))</f>
        <v>1.2173700924209105E-3</v>
      </c>
      <c r="FD38" s="10" cm="1">
        <f t="array" aca="1" ref="FD38" ca="1">EH38 * _xlfn.XLOOKUP(FD$13,_xlfn.ANCHORARRAY( $CZ$29), _xlfn.XLOOKUP($EZ38,_xlfn.ANCHORARRAY( $CY$30), $CZ$30:$DC$34)) * _xlfn.XLOOKUP(FD$14,_xlfn.ANCHORARRAY( $CZ$29), _xlfn.XLOOKUP($FA38,_xlfn.ANCHORARRAY( $CY$30), $CZ$30:$DC$34))</f>
        <v>1.8729985416724236E-2</v>
      </c>
      <c r="FE38" s="10" cm="1">
        <f t="array" aca="1" ref="FE38" ca="1">EI38 * _xlfn.XLOOKUP(FE$13,_xlfn.ANCHORARRAY( $CZ$29), _xlfn.XLOOKUP($EZ38,_xlfn.ANCHORARRAY( $CY$30), $CZ$30:$DC$34)) * _xlfn.XLOOKUP(FE$14,_xlfn.ANCHORARRAY( $CZ$29), _xlfn.XLOOKUP($FA38,_xlfn.ANCHORARRAY( $CY$30), $CZ$30:$DC$34))</f>
        <v>2.217960246888492E-2</v>
      </c>
      <c r="FF38" s="10" cm="1">
        <f t="array" aca="1" ref="FF38" ca="1">EJ38 * _xlfn.XLOOKUP(FF$13,_xlfn.ANCHORARRAY( $CZ$29), _xlfn.XLOOKUP($EZ38,_xlfn.ANCHORARRAY( $CY$30), $CZ$30:$DC$34)) * _xlfn.XLOOKUP(FF$14,_xlfn.ANCHORARRAY( $CZ$29), _xlfn.XLOOKUP($FA38,_xlfn.ANCHORARRAY( $CY$30), $CZ$30:$DC$34))</f>
        <v>4.45141271379665E-2</v>
      </c>
      <c r="FG38" s="10" cm="1">
        <f t="array" aca="1" ref="FG38" ca="1">EK38 * _xlfn.XLOOKUP(FG$13,_xlfn.ANCHORARRAY( $CZ$29), _xlfn.XLOOKUP($EZ38,_xlfn.ANCHORARRAY( $CY$30), $CZ$30:$DC$34)) * _xlfn.XLOOKUP(FG$14,_xlfn.ANCHORARRAY( $CZ$29), _xlfn.XLOOKUP($FA38,_xlfn.ANCHORARRAY( $CY$30), $CZ$30:$DC$34))</f>
        <v>-1.0299731013064202E-2</v>
      </c>
      <c r="FH38" s="10" cm="1">
        <f t="array" aca="1" ref="FH38" ca="1">EL38 * _xlfn.XLOOKUP(FH$13,_xlfn.ANCHORARRAY( $CZ$29), _xlfn.XLOOKUP($EZ38,_xlfn.ANCHORARRAY( $CY$30), $CZ$30:$DC$34)) * _xlfn.XLOOKUP(FH$14,_xlfn.ANCHORARRAY( $CZ$29), _xlfn.XLOOKUP($FA38,_xlfn.ANCHORARRAY( $CY$30), $CZ$30:$DC$34))</f>
        <v>2.5372770853556372E-3</v>
      </c>
      <c r="FI38" s="10" cm="1">
        <f t="array" aca="1" ref="FI38" ca="1">EM38 * _xlfn.XLOOKUP(FI$13,_xlfn.ANCHORARRAY( $CZ$29), _xlfn.XLOOKUP($EZ38,_xlfn.ANCHORARRAY( $CY$30), $CZ$30:$DC$34)) * _xlfn.XLOOKUP(FI$14,_xlfn.ANCHORARRAY( $CZ$29), _xlfn.XLOOKUP($FA38,_xlfn.ANCHORARRAY( $CY$30), $CZ$30:$DC$34))</f>
        <v>0.14023722553297857</v>
      </c>
      <c r="FJ38" s="10" cm="1">
        <f t="array" aca="1" ref="FJ38" ca="1">EN38 * _xlfn.XLOOKUP(FJ$13,_xlfn.ANCHORARRAY( $CZ$29), _xlfn.XLOOKUP($EZ38,_xlfn.ANCHORARRAY( $CY$30), $CZ$30:$DC$34)) * _xlfn.XLOOKUP(FJ$14,_xlfn.ANCHORARRAY( $CZ$29), _xlfn.XLOOKUP($FA38,_xlfn.ANCHORARRAY( $CY$30), $CZ$30:$DC$34))</f>
        <v>1.6975977536432041E-2</v>
      </c>
      <c r="FK38" s="10" cm="1">
        <f t="array" aca="1" ref="FK38" ca="1">EO38 * _xlfn.XLOOKUP(FK$13,_xlfn.ANCHORARRAY( $CZ$29), _xlfn.XLOOKUP($EZ38,_xlfn.ANCHORARRAY( $CY$30), $CZ$30:$DC$34)) * _xlfn.XLOOKUP(FK$14,_xlfn.ANCHORARRAY( $CZ$29), _xlfn.XLOOKUP($FA38,_xlfn.ANCHORARRAY( $CY$30), $CZ$30:$DC$34))</f>
        <v>2.7798725274245966E-2</v>
      </c>
      <c r="FL38" s="10" cm="1">
        <f t="array" aca="1" ref="FL38" ca="1">EP38 * _xlfn.XLOOKUP(FL$13,_xlfn.ANCHORARRAY( $CZ$29), _xlfn.XLOOKUP($EZ38,_xlfn.ANCHORARRAY( $CY$30), $CZ$30:$DC$34)) * _xlfn.XLOOKUP(FL$14,_xlfn.ANCHORARRAY( $CZ$29), _xlfn.XLOOKUP($FA38,_xlfn.ANCHORARRAY( $CY$30), $CZ$30:$DC$34))</f>
        <v>1.2173700924209105E-3</v>
      </c>
      <c r="FM38" s="10" cm="1">
        <f t="array" aca="1" ref="FM38" ca="1">EQ38 * _xlfn.XLOOKUP(FM$13,_xlfn.ANCHORARRAY( $CZ$29), _xlfn.XLOOKUP($EZ38,_xlfn.ANCHORARRAY( $CY$30), $CZ$30:$DC$34)) * _xlfn.XLOOKUP(FM$14,_xlfn.ANCHORARRAY( $CZ$29), _xlfn.XLOOKUP($FA38,_xlfn.ANCHORARRAY( $CY$30), $CZ$30:$DC$34))</f>
        <v>0.13184984040002412</v>
      </c>
      <c r="FN38" s="10" cm="1">
        <f t="array" aca="1" ref="FN38" ca="1">ER38 * _xlfn.XLOOKUP(FN$13,_xlfn.ANCHORARRAY( $CZ$29), _xlfn.XLOOKUP($EZ38,_xlfn.ANCHORARRAY( $CY$30), $CZ$30:$DC$34)) * _xlfn.XLOOKUP(FN$14,_xlfn.ANCHORARRAY( $CZ$29), _xlfn.XLOOKUP($FA38,_xlfn.ANCHORARRAY( $CY$30), $CZ$30:$DC$34))</f>
        <v>0.14062951201927207</v>
      </c>
      <c r="FO38" s="10" cm="1">
        <f t="array" aca="1" ref="FO38" ca="1">ES38 * _xlfn.XLOOKUP(FO$13,_xlfn.ANCHORARRAY( $CZ$29), _xlfn.XLOOKUP($EZ38,_xlfn.ANCHORARRAY( $CY$30), $CZ$30:$DC$34)) * _xlfn.XLOOKUP(FO$14,_xlfn.ANCHORARRAY( $CZ$29), _xlfn.XLOOKUP($FA38,_xlfn.ANCHORARRAY( $CY$30), $CZ$30:$DC$34))</f>
        <v>6.0219803626299993E-2</v>
      </c>
      <c r="FP38" s="10" cm="1">
        <f t="array" aca="1" ref="FP38" ca="1">ET38 * _xlfn.XLOOKUP(FP$13,_xlfn.ANCHORARRAY( $CZ$29), _xlfn.XLOOKUP($EZ38,_xlfn.ANCHORARRAY( $CY$30), $CZ$30:$DC$34)) * _xlfn.XLOOKUP(FP$14,_xlfn.ANCHORARRAY( $CZ$29), _xlfn.XLOOKUP($FA38,_xlfn.ANCHORARRAY( $CY$30), $CZ$30:$DC$34))</f>
        <v>2.932214188705962E-2</v>
      </c>
      <c r="FQ38" s="10" cm="1">
        <f t="array" aca="1" ref="FQ38" ca="1">EU38 * _xlfn.XLOOKUP(FQ$13,_xlfn.ANCHORARRAY( $CZ$29), _xlfn.XLOOKUP($EZ38,_xlfn.ANCHORARRAY( $CY$30), $CZ$30:$DC$34)) * _xlfn.XLOOKUP(FQ$14,_xlfn.ANCHORARRAY( $CZ$29), _xlfn.XLOOKUP($FA38,_xlfn.ANCHORARRAY( $CY$30), $CZ$30:$DC$34))</f>
        <v>0.69154228139013607</v>
      </c>
      <c r="FT38" cm="1">
        <f t="array" aca="1" ref="FT38" ca="1">SQRT(SUM((FB38:FQ38)^2))</f>
        <v>0.73725526787335527</v>
      </c>
    </row>
    <row r="39" spans="4:176" x14ac:dyDescent="0.2">
      <c r="AK39" s="8"/>
      <c r="AL39" s="8"/>
      <c r="DF39" cm="1">
        <f t="array" aca="1" ref="DF39" ca="1">INDEX(_xlfn.ANCHORARRAY($CP$15), 1 + INT((ROWS($DG$15:$DG39) - 1) / ROWS(_xlfn.ANCHORARRAY($CP$15))))</f>
        <v>4</v>
      </c>
      <c r="DG39" cm="1">
        <f t="array" aca="1" ref="DG39" ca="1">INDEX(_xlfn.ANCHORARRAY($CP$15),1+MOD(ROWS($DG$15:$DG39)-1,ROWS(_xlfn.ANCHORARRAY($CP$15))))</f>
        <v>4</v>
      </c>
      <c r="DH39" s="10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$B$18/($B$19*$B$19*($DF39&lt;&gt;$DG39) + $B$19*($DF39=$DG39))</f>
        <v>6.0000000000000001E-3</v>
      </c>
      <c r="DI39" s="10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$B$18/($B$19*$B$19*($DF39&lt;&gt;$DG39) + $B$19*($DF39=$DG39))</f>
        <v>6.0000000000000001E-3</v>
      </c>
      <c r="DJ39" s="10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$B$18/($B$19*$B$19*($DF39&lt;&gt;$DG39) + $B$19*($DF39=$DG39))</f>
        <v>6.0000000000000001E-3</v>
      </c>
      <c r="DK39" s="10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$B$18/($B$19*$B$19*($DF39&lt;&gt;$DG39) + $B$19*($DF39=$DG39))</f>
        <v>6.0000000000000001E-3</v>
      </c>
      <c r="DL39" s="10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$B$18/($B$19*$B$19*($DF39&lt;&gt;$DG39) + $B$19*($DF39=$DG39))</f>
        <v>6.0000000000000001E-3</v>
      </c>
      <c r="DM39" s="10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$B$18/($B$19*$B$19*($DF39&lt;&gt;$DG39) + $B$19*($DF39=$DG39))</f>
        <v>0.10203960396039605</v>
      </c>
      <c r="DN39" s="10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$B$18/($B$19*$B$19*($DF39&lt;&gt;$DG39) + $B$19*($DF39=$DG39))</f>
        <v>6.0000000000000001E-3</v>
      </c>
      <c r="DO39" s="10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$B$18/($B$19*$B$19*($DF39&lt;&gt;$DG39) + $B$19*($DF39=$DG39))</f>
        <v>6.0000000000000001E-3</v>
      </c>
      <c r="DP39" s="10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$B$18/($B$19*$B$19*($DF39&lt;&gt;$DG39) + $B$19*($DF39=$DG39))</f>
        <v>6.0000000000000001E-3</v>
      </c>
      <c r="DQ39" s="10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$B$18/($B$19*$B$19*($DF39&lt;&gt;$DG39) + $B$19*($DF39=$DG39))</f>
        <v>6.0000000000000001E-3</v>
      </c>
      <c r="DR39" s="10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$B$18/($B$19*$B$19*($DF39&lt;&gt;$DG39) + $B$19*($DF39=$DG39))</f>
        <v>0.13405280528052804</v>
      </c>
      <c r="DS39" s="10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$B$18/($B$19*$B$19*($DF39&lt;&gt;$DG39) + $B$19*($DF39=$DG39))</f>
        <v>6.0000000000000001E-3</v>
      </c>
      <c r="DT39" s="10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$B$18/($B$19*$B$19*($DF39&lt;&gt;$DG39) + $B$19*($DF39=$DG39))</f>
        <v>6.0000000000000001E-3</v>
      </c>
      <c r="DU39" s="10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$B$18/($B$19*$B$19*($DF39&lt;&gt;$DG39) + $B$19*($DF39=$DG39))</f>
        <v>6.0000000000000001E-3</v>
      </c>
      <c r="DV39" s="10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$B$18/($B$19*$B$19*($DF39&lt;&gt;$DG39) + $B$19*($DF39=$DG39))</f>
        <v>6.0000000000000001E-3</v>
      </c>
      <c r="DW39" s="10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$B$18/($B$19*$B$19*($DF39&lt;&gt;$DG39) + $B$19*($DF39=$DG39))</f>
        <v>0.75190759075907609</v>
      </c>
      <c r="ED39" cm="1">
        <f t="array" aca="1" ref="ED39" ca="1">INDEX(_xlfn.ANCHORARRAY($CP$15), 1 + INT((ROWS($DG$15:$DG39) - 1) / ROWS(_xlfn.ANCHORARRAY($CP$15))))</f>
        <v>4</v>
      </c>
      <c r="EE39" cm="1">
        <f t="array" aca="1" ref="EE39" ca="1">INDEX(_xlfn.ANCHORARRAY($CP$15),1+MOD(ROWS($DG$15:$DG39)-1,ROWS(_xlfn.ANCHORARRAY($CP$15))))</f>
        <v>4</v>
      </c>
      <c r="EF39" s="10" cm="1">
        <f t="array" aca="1" ref="EF39" ca="1">DH39-_xlfn.XLOOKUP(EF$13,_xlfn.ANCHORARRAY( $CR$14), _xlfn.XLOOKUP($ED39,_xlfn.ANCHORARRAY( $CP$15), $CR$15:$CU$19)) * _xlfn.XLOOKUP(EF$14,_xlfn.ANCHORARRAY( $CR$14), _xlfn.XLOOKUP($EE39,_xlfn.ANCHORARRAY( $CP$15), $CR$15:$CU$19))</f>
        <v>5.9640000000000006E-3</v>
      </c>
      <c r="EG39" s="10" cm="1">
        <f t="array" aca="1" ref="EG39" ca="1">DI39-_xlfn.XLOOKUP(EG$13,_xlfn.ANCHORARRAY( $CR$14), _xlfn.XLOOKUP($ED39,_xlfn.ANCHORARRAY( $CP$15), $CR$15:$CU$19)) * _xlfn.XLOOKUP(EG$14,_xlfn.ANCHORARRAY( $CR$14), _xlfn.XLOOKUP($EE39,_xlfn.ANCHORARRAY( $CP$15), $CR$15:$CU$19))</f>
        <v>5.3877623762376235E-3</v>
      </c>
      <c r="EH39" s="10" cm="1">
        <f t="array" aca="1" ref="EH39" ca="1">DJ39-_xlfn.XLOOKUP(EH$13,_xlfn.ANCHORARRAY( $CR$14), _xlfn.XLOOKUP($ED39,_xlfn.ANCHORARRAY( $CP$15), $CR$15:$CU$19)) * _xlfn.XLOOKUP(EH$14,_xlfn.ANCHORARRAY( $CR$14), _xlfn.XLOOKUP($EE39,_xlfn.ANCHORARRAY( $CP$15), $CR$15:$CU$19))</f>
        <v>5.1956831683168322E-3</v>
      </c>
      <c r="EI39" s="10" cm="1">
        <f t="array" aca="1" ref="EI39" ca="1">DK39-_xlfn.XLOOKUP(EI$13,_xlfn.ANCHORARRAY( $CR$14), _xlfn.XLOOKUP($ED39,_xlfn.ANCHORARRAY( $CP$15), $CR$15:$CU$19)) * _xlfn.XLOOKUP(EI$14,_xlfn.ANCHORARRAY( $CR$14), _xlfn.XLOOKUP($EE39,_xlfn.ANCHORARRAY( $CP$15), $CR$15:$CU$19))</f>
        <v>1.4885544554455437E-3</v>
      </c>
      <c r="EJ39" s="10" cm="1">
        <f t="array" aca="1" ref="EJ39" ca="1">DL39-_xlfn.XLOOKUP(EJ$13,_xlfn.ANCHORARRAY( $CR$14), _xlfn.XLOOKUP($ED39,_xlfn.ANCHORARRAY( $CP$15), $CR$15:$CU$19)) * _xlfn.XLOOKUP(EJ$14,_xlfn.ANCHORARRAY( $CR$14), _xlfn.XLOOKUP($EE39,_xlfn.ANCHORARRAY( $CP$15), $CR$15:$CU$19))</f>
        <v>5.3877623762376235E-3</v>
      </c>
      <c r="EK39" s="10" cm="1">
        <f t="array" aca="1" ref="EK39" ca="1">DM39-_xlfn.XLOOKUP(EK$13,_xlfn.ANCHORARRAY( $CR$14), _xlfn.XLOOKUP($ED39,_xlfn.ANCHORARRAY( $CP$15), $CR$15:$CU$19)) * _xlfn.XLOOKUP(EK$14,_xlfn.ANCHORARRAY( $CR$14), _xlfn.XLOOKUP($EE39,_xlfn.ANCHORARRAY( $CP$15), $CR$15:$CU$19))</f>
        <v>9.162752318400158E-2</v>
      </c>
      <c r="EL39" s="10" cm="1">
        <f t="array" aca="1" ref="EL39" ca="1">DN39-_xlfn.XLOOKUP(EL$13,_xlfn.ANCHORARRAY( $CR$14), _xlfn.XLOOKUP($ED39,_xlfn.ANCHORARRAY( $CP$15), $CR$15:$CU$19)) * _xlfn.XLOOKUP(EL$14,_xlfn.ANCHORARRAY( $CR$14), _xlfn.XLOOKUP($EE39,_xlfn.ANCHORARRAY( $CP$15), $CR$15:$CU$19))</f>
        <v>-7.6786951606051691E-3</v>
      </c>
      <c r="EM39" s="10" cm="1">
        <f t="array" aca="1" ref="EM39" ca="1">DO39-_xlfn.XLOOKUP(EM$13,_xlfn.ANCHORARRAY( $CR$14), _xlfn.XLOOKUP($ED39,_xlfn.ANCHORARRAY( $CP$15), $CR$15:$CU$19)) * _xlfn.XLOOKUP(EM$14,_xlfn.ANCHORARRAY( $CR$14), _xlfn.XLOOKUP($EE39,_xlfn.ANCHORARRAY( $CP$15), $CR$15:$CU$19))</f>
        <v>-7.0724352775871663E-2</v>
      </c>
      <c r="EN39" s="10" cm="1">
        <f t="array" aca="1" ref="EN39" ca="1">DP39-_xlfn.XLOOKUP(EN$13,_xlfn.ANCHORARRAY( $CR$14), _xlfn.XLOOKUP($ED39,_xlfn.ANCHORARRAY( $CP$15), $CR$15:$CU$19)) * _xlfn.XLOOKUP(EN$14,_xlfn.ANCHORARRAY( $CR$14), _xlfn.XLOOKUP($EE39,_xlfn.ANCHORARRAY( $CP$15), $CR$15:$CU$19))</f>
        <v>5.1956831683168322E-3</v>
      </c>
      <c r="EO39" s="10" cm="1">
        <f t="array" aca="1" ref="EO39" ca="1">DQ39-_xlfn.XLOOKUP(EO$13,_xlfn.ANCHORARRAY( $CR$14), _xlfn.XLOOKUP($ED39,_xlfn.ANCHORARRAY( $CP$15), $CR$15:$CU$19)) * _xlfn.XLOOKUP(EO$14,_xlfn.ANCHORARRAY( $CR$14), _xlfn.XLOOKUP($EE39,_xlfn.ANCHORARRAY( $CP$15), $CR$15:$CU$19))</f>
        <v>-7.6786951606051691E-3</v>
      </c>
      <c r="EP39" s="10" cm="1">
        <f t="array" aca="1" ref="EP39" ca="1">DR39-_xlfn.XLOOKUP(EP$13,_xlfn.ANCHORARRAY( $CR$14), _xlfn.XLOOKUP($ED39,_xlfn.ANCHORARRAY( $CP$15), $CR$15:$CU$19)) * _xlfn.XLOOKUP(EP$14,_xlfn.ANCHORARRAY( $CR$14), _xlfn.XLOOKUP($EE39,_xlfn.ANCHORARRAY( $CP$15), $CR$15:$CU$19))</f>
        <v>0.11608265067694887</v>
      </c>
      <c r="EQ39" s="10" cm="1">
        <f t="array" aca="1" ref="EQ39" ca="1">DS39-_xlfn.XLOOKUP(EQ$13,_xlfn.ANCHORARRAY( $CR$14), _xlfn.XLOOKUP($ED39,_xlfn.ANCHORARRAY( $CP$15), $CR$15:$CU$19)) * _xlfn.XLOOKUP(EQ$14,_xlfn.ANCHORARRAY( $CR$14), _xlfn.XLOOKUP($EE39,_xlfn.ANCHORARRAY( $CP$15), $CR$15:$CU$19))</f>
        <v>-9.4795321852977385E-2</v>
      </c>
      <c r="ER39" s="10" cm="1">
        <f t="array" aca="1" ref="ER39" ca="1">DT39-_xlfn.XLOOKUP(ER$13,_xlfn.ANCHORARRAY( $CR$14), _xlfn.XLOOKUP($ED39,_xlfn.ANCHORARRAY( $CP$15), $CR$15:$CU$19)) * _xlfn.XLOOKUP(ER$14,_xlfn.ANCHORARRAY( $CR$14), _xlfn.XLOOKUP($EE39,_xlfn.ANCHORARRAY( $CP$15), $CR$15:$CU$19))</f>
        <v>1.4885544554455437E-3</v>
      </c>
      <c r="ES39" s="10" cm="1">
        <f t="array" aca="1" ref="ES39" ca="1">DU39-_xlfn.XLOOKUP(ES$13,_xlfn.ANCHORARRAY( $CR$14), _xlfn.XLOOKUP($ED39,_xlfn.ANCHORARRAY( $CP$15), $CR$15:$CU$19)) * _xlfn.XLOOKUP(ES$14,_xlfn.ANCHORARRAY( $CR$14), _xlfn.XLOOKUP($EE39,_xlfn.ANCHORARRAY( $CP$15), $CR$15:$CU$19))</f>
        <v>-7.0724352775871663E-2</v>
      </c>
      <c r="ET39" s="10" cm="1">
        <f t="array" aca="1" ref="ET39" ca="1">DV39-_xlfn.XLOOKUP(ET$13,_xlfn.ANCHORARRAY( $CR$14), _xlfn.XLOOKUP($ED39,_xlfn.ANCHORARRAY( $CP$15), $CR$15:$CU$19)) * _xlfn.XLOOKUP(ET$14,_xlfn.ANCHORARRAY( $CR$14), _xlfn.XLOOKUP($EE39,_xlfn.ANCHORARRAY( $CP$15), $CR$15:$CU$19))</f>
        <v>-9.4795321852977385E-2</v>
      </c>
      <c r="EU39" s="10" cm="1">
        <f t="array" aca="1" ref="EU39" ca="1">DW39-_xlfn.XLOOKUP(EU$13,_xlfn.ANCHORARRAY( $CR$14), _xlfn.XLOOKUP($ED39,_xlfn.ANCHORARRAY( $CP$15), $CR$15:$CU$19)) * _xlfn.XLOOKUP(EU$14,_xlfn.ANCHORARRAY( $CR$14), _xlfn.XLOOKUP($EE39,_xlfn.ANCHORARRAY( $CP$15), $CR$15:$CU$19))</f>
        <v>0.1865425657179578</v>
      </c>
      <c r="EZ39" cm="1">
        <f t="array" aca="1" ref="EZ39" ca="1">INDEX(_xlfn.ANCHORARRAY($CP$15), 1 + INT((ROWS($DG$15:$DG39) - 1) / ROWS(_xlfn.ANCHORARRAY($CP$15))))</f>
        <v>4</v>
      </c>
      <c r="FA39" cm="1">
        <f t="array" aca="1" ref="FA39" ca="1">INDEX(_xlfn.ANCHORARRAY($CP$15),1+MOD(ROWS($DG$15:$DG39)-1,ROWS(_xlfn.ANCHORARRAY($CP$15))))</f>
        <v>4</v>
      </c>
      <c r="FB39" s="10" cm="1">
        <f t="array" aca="1" ref="FB39" ca="1">EF39 * _xlfn.XLOOKUP(FB$13,_xlfn.ANCHORARRAY( $CZ$29), _xlfn.XLOOKUP($EZ39,_xlfn.ANCHORARRAY( $CY$30), $CZ$30:$DC$34)) * _xlfn.XLOOKUP(FB$14,_xlfn.ANCHORARRAY( $CZ$29), _xlfn.XLOOKUP($FA39,_xlfn.ANCHORARRAY( $CY$30), $CZ$30:$DC$34))</f>
        <v>9.5967038681566474E-2</v>
      </c>
      <c r="FC39" s="10" cm="1">
        <f t="array" aca="1" ref="FC39" ca="1">EG39 * _xlfn.XLOOKUP(FC$13,_xlfn.ANCHORARRAY( $CZ$29), _xlfn.XLOOKUP($EZ39,_xlfn.ANCHORARRAY( $CY$30), $CZ$30:$DC$34)) * _xlfn.XLOOKUP(FC$14,_xlfn.ANCHORARRAY( $CZ$29), _xlfn.XLOOKUP($FA39,_xlfn.ANCHORARRAY( $CY$30), $CZ$30:$DC$34))</f>
        <v>2.3258116836390154E-2</v>
      </c>
      <c r="FD39" s="10" cm="1">
        <f t="array" aca="1" ref="FD39" ca="1">EH39 * _xlfn.XLOOKUP(FD$13,_xlfn.ANCHORARRAY( $CZ$29), _xlfn.XLOOKUP($EZ39,_xlfn.ANCHORARRAY( $CY$30), $CZ$30:$DC$34)) * _xlfn.XLOOKUP(FD$14,_xlfn.ANCHORARRAY( $CZ$29), _xlfn.XLOOKUP($FA39,_xlfn.ANCHORARRAY( $CY$30), $CZ$30:$DC$34))</f>
        <v>1.5985186647461888E-2</v>
      </c>
      <c r="FE39" s="10" cm="1">
        <f t="array" aca="1" ref="FE39" ca="1">EI39 * _xlfn.XLOOKUP(FE$13,_xlfn.ANCHORARRAY( $CZ$29), _xlfn.XLOOKUP($EZ39,_xlfn.ANCHORARRAY( $CY$30), $CZ$30:$DC$34)) * _xlfn.XLOOKUP(FE$14,_xlfn.ANCHORARRAY( $CZ$29), _xlfn.XLOOKUP($FA39,_xlfn.ANCHORARRAY( $CY$30), $CZ$30:$DC$34))</f>
        <v>-1.3180831259920847E-2</v>
      </c>
      <c r="FF39" s="10" cm="1">
        <f t="array" aca="1" ref="FF39" ca="1">EJ39 * _xlfn.XLOOKUP(FF$13,_xlfn.ANCHORARRAY( $CZ$29), _xlfn.XLOOKUP($EZ39,_xlfn.ANCHORARRAY( $CY$30), $CZ$30:$DC$34)) * _xlfn.XLOOKUP(FF$14,_xlfn.ANCHORARRAY( $CZ$29), _xlfn.XLOOKUP($FA39,_xlfn.ANCHORARRAY( $CY$30), $CZ$30:$DC$34))</f>
        <v>2.3258116836390157E-2</v>
      </c>
      <c r="FG39" s="10" cm="1">
        <f t="array" aca="1" ref="FG39" ca="1">EK39 * _xlfn.XLOOKUP(FG$13,_xlfn.ANCHORARRAY( $CZ$29), _xlfn.XLOOKUP($EZ39,_xlfn.ANCHORARRAY( $CY$30), $CZ$30:$DC$34)) * _xlfn.XLOOKUP(FG$14,_xlfn.ANCHORARRAY( $CZ$29), _xlfn.XLOOKUP($FA39,_xlfn.ANCHORARRAY( $CY$30), $CZ$30:$DC$34))</f>
        <v>0.10611425211704402</v>
      </c>
      <c r="FH39" s="10" cm="1">
        <f t="array" aca="1" ref="FH39" ca="1">EL39 * _xlfn.XLOOKUP(FH$13,_xlfn.ANCHORARRAY( $CZ$29), _xlfn.XLOOKUP($EZ39,_xlfn.ANCHORARRAY( $CY$30), $CZ$30:$DC$34)) * _xlfn.XLOOKUP(FH$14,_xlfn.ANCHORARRAY( $CZ$29), _xlfn.XLOOKUP($FA39,_xlfn.ANCHORARRAY( $CY$30), $CZ$30:$DC$34))</f>
        <v>-6.3378817791166853E-3</v>
      </c>
      <c r="FI39" s="10" cm="1">
        <f t="array" aca="1" ref="FI39" ca="1">EM39 * _xlfn.XLOOKUP(FI$13,_xlfn.ANCHORARRAY( $CZ$29), _xlfn.XLOOKUP($EZ39,_xlfn.ANCHORARRAY( $CY$30), $CZ$30:$DC$34)) * _xlfn.XLOOKUP(FI$14,_xlfn.ANCHORARRAY( $CZ$29), _xlfn.XLOOKUP($FA39,_xlfn.ANCHORARRAY( $CY$30), $CZ$30:$DC$34))</f>
        <v>0.16800751599649014</v>
      </c>
      <c r="FJ39" s="10" cm="1">
        <f t="array" aca="1" ref="FJ39" ca="1">EN39 * _xlfn.XLOOKUP(FJ$13,_xlfn.ANCHORARRAY( $CZ$29), _xlfn.XLOOKUP($EZ39,_xlfn.ANCHORARRAY( $CY$30), $CZ$30:$DC$34)) * _xlfn.XLOOKUP(FJ$14,_xlfn.ANCHORARRAY( $CZ$29), _xlfn.XLOOKUP($FA39,_xlfn.ANCHORARRAY( $CY$30), $CZ$30:$DC$34))</f>
        <v>1.5985186647461888E-2</v>
      </c>
      <c r="FK39" s="10" cm="1">
        <f t="array" aca="1" ref="FK39" ca="1">EO39 * _xlfn.XLOOKUP(FK$13,_xlfn.ANCHORARRAY( $CZ$29), _xlfn.XLOOKUP($EZ39,_xlfn.ANCHORARRAY( $CY$30), $CZ$30:$DC$34)) * _xlfn.XLOOKUP(FK$14,_xlfn.ANCHORARRAY( $CZ$29), _xlfn.XLOOKUP($FA39,_xlfn.ANCHORARRAY( $CY$30), $CZ$30:$DC$34))</f>
        <v>-6.3378817791166862E-3</v>
      </c>
      <c r="FL39" s="10" cm="1">
        <f t="array" aca="1" ref="FL39" ca="1">EP39 * _xlfn.XLOOKUP(FL$13,_xlfn.ANCHORARRAY( $CZ$29), _xlfn.XLOOKUP($EZ39,_xlfn.ANCHORARRAY( $CY$30), $CZ$30:$DC$34)) * _xlfn.XLOOKUP(FL$14,_xlfn.ANCHORARRAY( $CZ$29), _xlfn.XLOOKUP($FA39,_xlfn.ANCHORARRAY( $CY$30), $CZ$30:$DC$34))</f>
        <v>6.828620234026396E-2</v>
      </c>
      <c r="FM39" s="10" cm="1">
        <f t="array" aca="1" ref="FM39" ca="1">EQ39 * _xlfn.XLOOKUP(FM$13,_xlfn.ANCHORARRAY( $CZ$29), _xlfn.XLOOKUP($EZ39,_xlfn.ANCHORARRAY( $CY$30), $CZ$30:$DC$34)) * _xlfn.XLOOKUP(FM$14,_xlfn.ANCHORARRAY( $CZ$29), _xlfn.XLOOKUP($FA39,_xlfn.ANCHORARRAY( $CY$30), $CZ$30:$DC$34))</f>
        <v>0.16049280644540356</v>
      </c>
      <c r="FN39" s="10" cm="1">
        <f t="array" aca="1" ref="FN39" ca="1">ER39 * _xlfn.XLOOKUP(FN$13,_xlfn.ANCHORARRAY( $CZ$29), _xlfn.XLOOKUP($EZ39,_xlfn.ANCHORARRAY( $CY$30), $CZ$30:$DC$34)) * _xlfn.XLOOKUP(FN$14,_xlfn.ANCHORARRAY( $CZ$29), _xlfn.XLOOKUP($FA39,_xlfn.ANCHORARRAY( $CY$30), $CZ$30:$DC$34))</f>
        <v>-1.3180831259920847E-2</v>
      </c>
      <c r="FO39" s="10" cm="1">
        <f t="array" aca="1" ref="FO39" ca="1">ES39 * _xlfn.XLOOKUP(FO$13,_xlfn.ANCHORARRAY( $CZ$29), _xlfn.XLOOKUP($EZ39,_xlfn.ANCHORARRAY( $CY$30), $CZ$30:$DC$34)) * _xlfn.XLOOKUP(FO$14,_xlfn.ANCHORARRAY( $CZ$29), _xlfn.XLOOKUP($FA39,_xlfn.ANCHORARRAY( $CY$30), $CZ$30:$DC$34))</f>
        <v>0.16800751599649016</v>
      </c>
      <c r="FP39" s="10" cm="1">
        <f t="array" aca="1" ref="FP39" ca="1">ET39 * _xlfn.XLOOKUP(FP$13,_xlfn.ANCHORARRAY( $CZ$29), _xlfn.XLOOKUP($EZ39,_xlfn.ANCHORARRAY( $CY$30), $CZ$30:$DC$34)) * _xlfn.XLOOKUP(FP$14,_xlfn.ANCHORARRAY( $CZ$29), _xlfn.XLOOKUP($FA39,_xlfn.ANCHORARRAY( $CY$30), $CZ$30:$DC$34))</f>
        <v>0.16049280644540359</v>
      </c>
      <c r="FQ39" s="10" cm="1">
        <f t="array" aca="1" ref="FQ39" ca="1">EU39 * _xlfn.XLOOKUP(FQ$13,_xlfn.ANCHORARRAY( $CZ$29), _xlfn.XLOOKUP($EZ39,_xlfn.ANCHORARRAY( $CY$30), $CZ$30:$DC$34)) * _xlfn.XLOOKUP(FQ$14,_xlfn.ANCHORARRAY( $CZ$29), _xlfn.XLOOKUP($FA39,_xlfn.ANCHORARRAY( $CY$30), $CZ$30:$DC$34))</f>
        <v>0.90897017499465549</v>
      </c>
      <c r="FT39" cm="1">
        <f t="array" aca="1" ref="FT39" ca="1">SQRT(SUM((FB39:FQ39)^2))</f>
        <v>0.98048424907173304</v>
      </c>
    </row>
    <row r="40" spans="4:176" x14ac:dyDescent="0.2">
      <c r="AK40" s="7"/>
      <c r="AL40" s="2"/>
    </row>
    <row r="41" spans="4:176" x14ac:dyDescent="0.2">
      <c r="AK41" s="2"/>
      <c r="AL41" s="2"/>
    </row>
    <row r="42" spans="4:176" x14ac:dyDescent="0.2">
      <c r="AK42" s="2"/>
      <c r="AL42" s="2"/>
    </row>
    <row r="43" spans="4:176" x14ac:dyDescent="0.2">
      <c r="AK43" s="2"/>
      <c r="AL43" s="2"/>
    </row>
    <row r="44" spans="4:176" x14ac:dyDescent="0.2">
      <c r="AK44" s="2"/>
      <c r="AL44" s="2"/>
    </row>
    <row r="45" spans="4:176" x14ac:dyDescent="0.2">
      <c r="AK45" s="2"/>
      <c r="AL45" s="2"/>
    </row>
    <row r="46" spans="4:176" x14ac:dyDescent="0.2">
      <c r="AK46" s="2"/>
      <c r="AL46" s="2"/>
    </row>
    <row r="47" spans="4:176" x14ac:dyDescent="0.2">
      <c r="AK47" s="2"/>
      <c r="AL47" s="2"/>
    </row>
    <row r="48" spans="4:176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27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26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25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24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23" priority="9" stopIfTrue="1">
      <formula>AND($M15, O$13)</formula>
    </cfRule>
    <cfRule type="expression" dxfId="22" priority="10" stopIfTrue="1">
      <formula>NOT(AND($M15, O$13))</formula>
    </cfRule>
  </conditionalFormatting>
  <conditionalFormatting sqref="P11:S11">
    <cfRule type="expression" dxfId="21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388D-D9A6-1E45-A70E-35F6690D103B}">
  <dimension ref="A1:DW141"/>
  <sheetViews>
    <sheetView tabSelected="1" topLeftCell="CT1" zoomScale="42" zoomScaleNormal="25" workbookViewId="0">
      <selection activeCell="ED29" sqref="ED29"/>
    </sheetView>
  </sheetViews>
  <sheetFormatPr baseColWidth="10" defaultRowHeight="16" x14ac:dyDescent="0.2"/>
  <cols>
    <col min="1" max="1" width="22.83203125" customWidth="1"/>
  </cols>
  <sheetData>
    <row r="1" spans="1:127" x14ac:dyDescent="0.2">
      <c r="A1" s="5" t="s">
        <v>21</v>
      </c>
      <c r="B1" s="5">
        <v>0.4</v>
      </c>
      <c r="E1" s="2" t="s">
        <v>28</v>
      </c>
      <c r="F1" s="2" t="s">
        <v>44</v>
      </c>
      <c r="L1" t="s">
        <v>56</v>
      </c>
      <c r="M1" t="s">
        <v>0</v>
      </c>
      <c r="N1" t="s">
        <v>2</v>
      </c>
      <c r="O1" t="s">
        <v>3</v>
      </c>
      <c r="P1" t="s">
        <v>4</v>
      </c>
    </row>
    <row r="2" spans="1:127" x14ac:dyDescent="0.2">
      <c r="A2" s="5" t="s">
        <v>22</v>
      </c>
      <c r="B2" s="5">
        <v>0.6</v>
      </c>
      <c r="L2" t="s">
        <v>57</v>
      </c>
      <c r="M2">
        <v>4</v>
      </c>
    </row>
    <row r="3" spans="1:127" x14ac:dyDescent="0.2">
      <c r="A3" s="5" t="s">
        <v>24</v>
      </c>
      <c r="B3" s="5">
        <v>0.2</v>
      </c>
    </row>
    <row r="4" spans="1:127" x14ac:dyDescent="0.2">
      <c r="A4" s="5" t="s">
        <v>23</v>
      </c>
      <c r="B4" s="5">
        <v>0.8</v>
      </c>
    </row>
    <row r="5" spans="1:127" x14ac:dyDescent="0.2">
      <c r="A5" s="5" t="s">
        <v>25</v>
      </c>
      <c r="B5" s="5">
        <v>0.2</v>
      </c>
    </row>
    <row r="7" spans="1:127" x14ac:dyDescent="0.2">
      <c r="AL7" s="4"/>
    </row>
    <row r="8" spans="1:127" x14ac:dyDescent="0.2">
      <c r="A8" s="5" t="s">
        <v>31</v>
      </c>
      <c r="B8" s="5">
        <v>23</v>
      </c>
      <c r="AK8" s="4"/>
      <c r="AL8" s="7"/>
    </row>
    <row r="9" spans="1:127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AK9" s="4"/>
      <c r="CR9" t="str" cm="1">
        <f t="array" aca="1" ref="CR9:CU9" ca="1">OFFSET($M$1,0,0,1,$M$2)</f>
        <v>A</v>
      </c>
      <c r="CS9" t="str">
        <f ca="1"/>
        <v>C</v>
      </c>
      <c r="CT9" t="str">
        <f ca="1"/>
        <v>D</v>
      </c>
      <c r="CU9" t="str">
        <f ca="1"/>
        <v>E</v>
      </c>
      <c r="CZ9" s="13"/>
      <c r="DA9" s="9"/>
      <c r="DB9" s="9"/>
      <c r="DC9" s="9"/>
    </row>
    <row r="10" spans="1:127" x14ac:dyDescent="0.2">
      <c r="N10" s="8" t="s">
        <v>15</v>
      </c>
      <c r="O10" s="9" cm="1">
        <f t="array" aca="1" ref="O10" ca="1">1-SUMPRODUCT(OFFSET($AO$15,0,0,$B$14,1),1*(_xlfn._xlws.FILTER(OFFSET(O$15,0,0,$B$8,1),OFFSET($M$15,0,0,$B$8,1))&lt;&gt;"-"))/SUM(OFFSET($AO$15,0,0,$B$14,1))</f>
        <v>9.2735703245749646E-2</v>
      </c>
      <c r="P10" s="9" cm="1">
        <f t="array" aca="1" ref="P10" ca="1">1-SUMPRODUCT(OFFSET($AO$15,0,0,$B$14,1),1*(_xlfn._xlws.FILTER(OFFSET(P$15,0,0,$B$8,1),OFFSET($M$15,0,0,$B$8,1))&lt;&gt;"-"))/SUM(OFFSET($AO$15,0,0,$B$14,1))</f>
        <v>0.18547140649149918</v>
      </c>
      <c r="Q10" s="9" cm="1">
        <f t="array" aca="1" ref="Q10" ca="1">1-SUMPRODUCT(OFFSET($AO$15,0,0,$B$14,1),1*(_xlfn._xlws.FILTER(OFFSET(Q$15,0,0,$B$8,1),OFFSET($M$15,0,0,$B$8,1))&lt;&gt;"-"))/SUM(OFFSET($AO$15,0,0,$B$14,1))</f>
        <v>9.2735703245749646E-2</v>
      </c>
      <c r="R10" s="9" cm="1">
        <f t="array" aca="1" ref="R10" ca="1">1-SUMPRODUCT(OFFSET($AO$15,0,0,$B$14,1),1*(_xlfn._xlws.FILTER(OFFSET(R$15,0,0,$B$8,1),OFFSET($M$15,0,0,$B$8,1))&lt;&gt;"-"))/SUM(OFFSET($AO$15,0,0,$B$14,1))</f>
        <v>0.1854714064914994</v>
      </c>
      <c r="S10" s="9" cm="1">
        <f t="array" aca="1" ref="S10" ca="1">1-SUMPRODUCT(OFFSET($AO$15,0,0,$B$14,1),1*(_xlfn._xlws.FILTER(OFFSET(S$15,0,0,$B$8,1),OFFSET($M$15,0,0,$B$8,1))&lt;&gt;"-"))/SUM(OFFSET($AO$15,0,0,$B$14,1))</f>
        <v>0.1854714064914994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27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E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0.08</v>
      </c>
      <c r="CR11" cm="1">
        <f t="array" aca="1" ref="CR11:CU11" ca="1">(1-$CQ$11)*OFFSET($CR$10,0,0,1,$M$2)</f>
        <v>0.23</v>
      </c>
      <c r="CS11">
        <f ca="1"/>
        <v>0.23</v>
      </c>
      <c r="CT11">
        <f ca="1"/>
        <v>0.23</v>
      </c>
      <c r="CU11">
        <f ca="1"/>
        <v>0.23</v>
      </c>
      <c r="DH11" s="13" t="s">
        <v>48</v>
      </c>
    </row>
    <row r="12" spans="1:127" x14ac:dyDescent="0.2">
      <c r="N12" s="8" t="s">
        <v>20</v>
      </c>
      <c r="O12" s="12">
        <f t="shared" ref="O12:S12" ca="1" si="1">COUNTIF(OFFSET(O15,0,0,$B$8,1), "-") / COUNTA(OFFSET(O15,0,0,$B$8,1))</f>
        <v>8.6956521739130432E-2</v>
      </c>
      <c r="P12" s="9">
        <f t="shared" ca="1" si="1"/>
        <v>0.17391304347826086</v>
      </c>
      <c r="Q12" s="9">
        <f t="shared" ca="1" si="1"/>
        <v>0.13043478260869565</v>
      </c>
      <c r="R12" s="9">
        <f t="shared" ca="1" si="1"/>
        <v>0.13043478260869565</v>
      </c>
      <c r="S12" s="9">
        <f t="shared" ca="1" si="1"/>
        <v>0.13043478260869565</v>
      </c>
      <c r="AK12" s="7"/>
      <c r="CQ12" s="2"/>
      <c r="DF12" s="4" t="s">
        <v>50</v>
      </c>
      <c r="DG12" s="4"/>
    </row>
    <row r="13" spans="1:127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C</v>
      </c>
      <c r="DM13" t="str" cm="1">
        <f t="array" aca="1" ref="DM13" ca="1">INDEX(_xlfn.ANCHORARRAY($CR$14), 1 + INT((COLUMNS($DH$13:DM$13) - 1) / COLUMNS(_xlfn.ANCHORARRAY($CR$14))))</f>
        <v>C</v>
      </c>
      <c r="DN13" t="str" cm="1">
        <f t="array" aca="1" ref="DN13" ca="1">INDEX(_xlfn.ANCHORARRAY($CR$14), 1 + INT((COLUMNS($DH$13:DN$13) - 1) / COLUMNS(_xlfn.ANCHORARRAY($CR$14))))</f>
        <v>C</v>
      </c>
      <c r="DO13" t="str" cm="1">
        <f t="array" aca="1" ref="DO13" ca="1">INDEX(_xlfn.ANCHORARRAY($CR$14), 1 + INT((COLUMNS($DH$13:DO$13) - 1) / COLUMNS(_xlfn.ANCHORARRAY($CR$14))))</f>
        <v>C</v>
      </c>
      <c r="DP13" t="str" cm="1">
        <f t="array" aca="1" ref="DP13" ca="1">INDEX(_xlfn.ANCHORARRAY($CR$14), 1 + INT((COLUMNS($DH$13:DP$13) - 1) / COLUMNS(_xlfn.ANCHORARRAY($CR$14))))</f>
        <v>D</v>
      </c>
      <c r="DQ13" t="str" cm="1">
        <f t="array" aca="1" ref="DQ13" ca="1">INDEX(_xlfn.ANCHORARRAY($CR$14), 1 + INT((COLUMNS($DH$13:DQ$13) - 1) / COLUMNS(_xlfn.ANCHORARRAY($CR$14))))</f>
        <v>D</v>
      </c>
      <c r="DR13" t="str" cm="1">
        <f t="array" aca="1" ref="DR13" ca="1">INDEX(_xlfn.ANCHORARRAY($CR$14), 1 + INT((COLUMNS($DH$13:DR$13) - 1) / COLUMNS(_xlfn.ANCHORARRAY($CR$14))))</f>
        <v>D</v>
      </c>
      <c r="DS13" t="str" cm="1">
        <f t="array" aca="1" ref="DS13" ca="1">INDEX(_xlfn.ANCHORARRAY($CR$14), 1 + INT((COLUMNS($DH$13:DS$13) - 1) / COLUMNS(_xlfn.ANCHORARRAY($CR$14))))</f>
        <v>D</v>
      </c>
      <c r="DT13" t="str" cm="1">
        <f t="array" aca="1" ref="DT13" ca="1">INDEX(_xlfn.ANCHORARRAY($CR$14), 1 + INT((COLUMNS($DH$13:DT$13) - 1) / COLUMNS(_xlfn.ANCHORARRAY($CR$14))))</f>
        <v>E</v>
      </c>
      <c r="DU13" t="str" cm="1">
        <f t="array" aca="1" ref="DU13" ca="1">INDEX(_xlfn.ANCHORARRAY($CR$14), 1 + INT((COLUMNS($DH$13:DU$13) - 1) / COLUMNS(_xlfn.ANCHORARRAY($CR$14))))</f>
        <v>E</v>
      </c>
      <c r="DV13" t="str" cm="1">
        <f t="array" aca="1" ref="DV13" ca="1">INDEX(_xlfn.ANCHORARRAY($CR$14), 1 + INT((COLUMNS($DH$13:DV$13) - 1) / COLUMNS(_xlfn.ANCHORARRAY($CR$14))))</f>
        <v>E</v>
      </c>
      <c r="DW13" t="str" cm="1">
        <f t="array" aca="1" ref="DW13" ca="1">INDEX(_xlfn.ANCHORARRAY($CR$14), 1 + INT((COLUMNS($DH$13:DW$13) - 1) / COLUMNS(_xlfn.ANCHORARRAY($CR$14))))</f>
        <v>E</v>
      </c>
    </row>
    <row r="14" spans="1:127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C</v>
      </c>
      <c r="CT14" s="9" t="str">
        <f ca="1"/>
        <v>D</v>
      </c>
      <c r="CU14" s="9" t="str">
        <f ca="1"/>
        <v>E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C</v>
      </c>
      <c r="DB14" s="9" t="str">
        <f ca="1"/>
        <v>D</v>
      </c>
      <c r="DC14" s="9" t="str">
        <f ca="1"/>
        <v>E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C</v>
      </c>
      <c r="DJ14" s="15" t="str" cm="1">
        <f t="array" aca="1" ref="DJ14" ca="1">INDEX(_xlfn.ANCHORARRAY($CR$14), 1 + MOD(COLUMNS($DH$14:DJ$14) - 1, COLUMNS(_xlfn.ANCHORARRAY($CR$14))))</f>
        <v>D</v>
      </c>
      <c r="DK14" s="15" t="str" cm="1">
        <f t="array" aca="1" ref="DK14" ca="1">INDEX(_xlfn.ANCHORARRAY($CR$14), 1 + MOD(COLUMNS($DH$14:DK$14) - 1, COLUMNS(_xlfn.ANCHORARRAY($CR$14))))</f>
        <v>E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C</v>
      </c>
      <c r="DN14" s="15" t="str" cm="1">
        <f t="array" aca="1" ref="DN14" ca="1">INDEX(_xlfn.ANCHORARRAY($CR$14), 1 + MOD(COLUMNS($DH$14:DN$14) - 1, COLUMNS(_xlfn.ANCHORARRAY($CR$14))))</f>
        <v>D</v>
      </c>
      <c r="DO14" s="15" t="str" cm="1">
        <f t="array" aca="1" ref="DO14" ca="1">INDEX(_xlfn.ANCHORARRAY($CR$14), 1 + MOD(COLUMNS($DH$14:DO$14) - 1, COLUMNS(_xlfn.ANCHORARRAY($CR$14))))</f>
        <v>E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C</v>
      </c>
      <c r="DR14" s="15" t="str" cm="1">
        <f t="array" aca="1" ref="DR14" ca="1">INDEX(_xlfn.ANCHORARRAY($CR$14), 1 + MOD(COLUMNS($DH$14:DR$14) - 1, COLUMNS(_xlfn.ANCHORARRAY($CR$14))))</f>
        <v>D</v>
      </c>
      <c r="DS14" s="15" t="str" cm="1">
        <f t="array" aca="1" ref="DS14" ca="1">INDEX(_xlfn.ANCHORARRAY($CR$14), 1 + MOD(COLUMNS($DH$14:DS$14) - 1, COLUMNS(_xlfn.ANCHORARRAY($CR$14))))</f>
        <v>E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C</v>
      </c>
      <c r="DV14" s="15" t="str" cm="1">
        <f t="array" aca="1" ref="DV14" ca="1">INDEX(_xlfn.ANCHORARRAY($CR$14), 1 + MOD(COLUMNS($DH$14:DV$14) - 1, COLUMNS(_xlfn.ANCHORARRAY($CR$14))))</f>
        <v>D</v>
      </c>
      <c r="DW14" s="15" t="str" cm="1">
        <f t="array" aca="1" ref="DW14" ca="1">INDEX(_xlfn.ANCHORARRAY($CR$14), 1 + MOD(COLUMNS($DH$14:DW$14) - 1, COLUMNS(_xlfn.ANCHORARRAY($CR$14))))</f>
        <v>E</v>
      </c>
    </row>
    <row r="15" spans="1:127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</v>
      </c>
      <c r="H15" s="10" cm="1">
        <f t="array" aca="1" ref="H15:H19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ca="1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3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4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4">COUNTIF(AQ15:BJ15,"&gt;="&amp;$B$4)</f>
        <v>5</v>
      </c>
      <c r="AO15" s="14">
        <f t="shared" ref="AO15:AO34" ca="1" si="5">1/AN15</f>
        <v>0.2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
) / $B$13)</f>
        <v>0.8</v>
      </c>
      <c r="AS15" cm="1">
        <f t="array" aca="1" ref="AS15" ca="1">IF($AP15=AS$14, 1, SUMPRODUCT(
    --(OFFSET($O$13,0,0,1,$B$9)=TRUE),
    --(INDEX(OFFSET($O$15,0,0,$B$8,$B$9), 1+$AP15, 0) = INDEX(OFFSET($O$15,0,0,$B$8,$B$9), 1+AS$14, 0))
) / $B$13)</f>
        <v>0.8</v>
      </c>
      <c r="AT15" cm="1">
        <f t="array" aca="1" ref="AT15" ca="1">IF($AP15=AT$14, 1, SUMPRODUCT(
    --(OFFSET($O$13,0,0,1,$B$9)=TRUE),
    --(INDEX(OFFSET($O$15,0,0,$B$8,$B$9), 1+$AP15, 0) = INDEX(OFFSET($O$15,0,0,$B$8,$B$9), 1+AT$14, 0))
) / $B$13)</f>
        <v>0.8</v>
      </c>
      <c r="AU15" cm="1">
        <f t="array" aca="1" ref="AU15" ca="1">IF($AP15=AU$14, 1, SUMPRODUCT(
    --(OFFSET($O$13,0,0,1,$B$9)=TRUE),
    --(INDEX(OFFSET($O$15,0,0,$B$8,$B$9), 1+$AP15, 0) = INDEX(OFFSET($O$15,0,0,$B$8,$B$9), 1+AU$14, 0))
) / $B$13)</f>
        <v>0.2</v>
      </c>
      <c r="AV15" cm="1">
        <f t="array" aca="1" ref="AV15" ca="1">IF($AP15=AV$14, 1, SUMPRODUCT(
    --(OFFSET($O$13,0,0,1,$B$9)=TRUE),
    --(INDEX(OFFSET($O$15,0,0,$B$8,$B$9), 1+$AP15, 0) = INDEX(OFFSET($O$15,0,0,$B$8,$B$9), 1+AV$14, 0))
) / $B$13)</f>
        <v>0.4</v>
      </c>
      <c r="AW15" cm="1">
        <f t="array" aca="1" ref="AW15" ca="1">IF($AP15=AW$14, 1, SUMPRODUCT(
    --(OFFSET($O$13,0,0,1,$B$9)=TRUE),
    --(INDEX(OFFSET($O$15,0,0,$B$8,$B$9), 1+$AP15, 0) = INDEX(OFFSET($O$15,0,0,$B$8,$B$9), 1+AW$14, 0))
) / $B$13)</f>
        <v>0.4</v>
      </c>
      <c r="AX15" cm="1">
        <f t="array" aca="1" ref="AX15" ca="1">IF($AP15=AX$14, 1, SUMPRODUCT(
    --(OFFSET($O$13,0,0,1,$B$9)=TRUE),
    --(INDEX(OFFSET($O$15,0,0,$B$8,$B$9), 1+$AP15, 0) = INDEX(OFFSET($O$15,0,0,$B$8,$B$9), 1+AX$14, 0))
) / $B$13)</f>
        <v>0.4</v>
      </c>
      <c r="AY15" cm="1">
        <f t="array" aca="1" ref="AY15" ca="1">IF($AP15=AY$14, 1, SUMPRODUCT(
    --(OFFSET($O$13,0,0,1,$B$9)=TRUE),
    --(INDEX(OFFSET($O$15,0,0,$B$8,$B$9), 1+$AP15, 0) = INDEX(OFFSET($O$15,0,0,$B$8,$B$9), 1+AY$14, 0))
) / $B$13)</f>
        <v>0.4</v>
      </c>
      <c r="AZ15" cm="1">
        <f t="array" aca="1" ref="AZ15" ca="1">IF($AP15=AZ$14, 1, SUMPRODUCT(
    --(OFFSET($O$13,0,0,1,$B$9)=TRUE),
    --(INDEX(OFFSET($O$15,0,0,$B$8,$B$9), 1+$AP15, 0) = INDEX(OFFSET($O$15,0,0,$B$8,$B$9), 1+AZ$14, 0))
) / $B$13)</f>
        <v>0.6</v>
      </c>
      <c r="BA15" cm="1">
        <f t="array" aca="1" ref="BA15" ca="1">IF($AP15=BA$14, 1, SUMPRODUCT(
    --(OFFSET($O$13,0,0,1,$B$9)=TRUE),
    --(INDEX(OFFSET($O$15,0,0,$B$8,$B$9), 1+$AP15, 0) = INDEX(OFFSET($O$15,0,0,$B$8,$B$9), 1+BA$14, 0))
) / $B$13)</f>
        <v>0.2</v>
      </c>
      <c r="BB15" cm="1">
        <f t="array" aca="1" ref="BB15" ca="1">IF($AP15=BB$14, 1, SUMPRODUCT(
    --(OFFSET($O$13,0,0,1,$B$9)=TRUE),
    --(INDEX(OFFSET($O$15,0,0,$B$8,$B$9), 1+$AP15, 0) = INDEX(OFFSET($O$15,0,0,$B$8,$B$9), 1+BB$14, 0))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
) / $B$13)</f>
        <v>0.4</v>
      </c>
      <c r="BD15" cm="1">
        <f t="array" aca="1" ref="BD15" ca="1">IF($AP15=BD$14, 1, SUMPRODUCT(
    --(OFFSET($O$13,0,0,1,$B$9)=TRUE),
    --(INDEX(OFFSET($O$15,0,0,$B$8,$B$9), 1+$AP15, 0) = INDEX(OFFSET($O$15,0,0,$B$8,$B$9), 1+BD$14, 0))
) / $B$13)</f>
        <v>0.2</v>
      </c>
      <c r="BE15" cm="1">
        <f t="array" aca="1" ref="BE15" ca="1">IF($AP15=BE$14, 1, SUMPRODUCT(
    --(OFFSET($O$13,0,0,1,$B$9)=TRUE),
    --(INDEX(OFFSET($O$15,0,0,$B$8,$B$9), 1+$AP15, 0) = INDEX(OFFSET($O$15,0,0,$B$8,$B$9), 1+BE$14, 0))
) / $B$13)</f>
        <v>0.4</v>
      </c>
      <c r="BF15" cm="1">
        <f t="array" aca="1" ref="BF15" ca="1">IF($AP15=BF$14, 1, SUMPRODUCT(
    --(OFFSET($O$13,0,0,1,$B$9)=TRUE),
    --(INDEX(OFFSET($O$15,0,0,$B$8,$B$9), 1+$AP15, 0) = INDEX(OFFSET($O$15,0,0,$B$8,$B$9), 1+BF$14, 0))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
) / $B$13)</f>
        <v>0.4</v>
      </c>
      <c r="BH15" cm="1">
        <f t="array" aca="1" ref="BH15" ca="1">IF($AP15=BH$14, 1, SUMPRODUCT(
    --(OFFSET($O$13,0,0,1,$B$9)=TRUE),
    --(INDEX(OFFSET($O$15,0,0,$B$8,$B$9), 1+$AP15, 0) = INDEX(OFFSET($O$15,0,0,$B$8,$B$9), 1+BH$14, 0))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
) / $B$13)</f>
        <v>0.6</v>
      </c>
      <c r="BJ15" cm="1">
        <f t="array" aca="1" ref="BJ15" ca="1">IF($AP15=BJ$14, 1, SUMPRODUCT(
    --(OFFSET($O$13,0,0,1,$B$9)=TRUE),
    --(INDEX(OFFSET($O$15,0,0,$B$8,$B$9), 1+$AP15, 0) = INDEX(OFFSET($O$15,0,0,$B$8,$B$9), 1+BJ$14, 0))
) / $B$13)</f>
        <v>0.8</v>
      </c>
      <c r="BN15">
        <f t="shared" ref="BN15:BN34" ca="1" si="6">COUNTIF(BQ15:CJ15,"&gt;="&amp;$B$4)</f>
        <v>5</v>
      </c>
      <c r="BO15" s="14">
        <f t="shared" ref="BO15:BO34" ca="1" si="7">1/BN15</f>
        <v>0.2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
) / $B$16)</f>
        <v>0.8</v>
      </c>
      <c r="BS15" cm="1">
        <f t="array" aca="1" ref="BS15" ca="1">IF($BP15=BS$14, 1, SUMPRODUCT(
    --(OFFSET($O$9,0,0,1,$B$9)=TRUE),
    --(INDEX(OFFSET($O$15,0,0,$B$8,$B$9), 1+$BP15, 0) = INDEX(OFFSET($O$15,0,0,$B$8,$B$9), 1+BS$14, 0))
) / $B$16)</f>
        <v>0.8</v>
      </c>
      <c r="BT15" cm="1">
        <f t="array" aca="1" ref="BT15" ca="1">IF($BP15=BT$14, 1, SUMPRODUCT(
    --(OFFSET($O$9,0,0,1,$B$9)=TRUE),
    --(INDEX(OFFSET($O$15,0,0,$B$8,$B$9), 1+$BP15, 0) = INDEX(OFFSET($O$15,0,0,$B$8,$B$9), 1+BT$14, 0))
) / $B$16)</f>
        <v>0.8</v>
      </c>
      <c r="BU15" cm="1">
        <f t="array" aca="1" ref="BU15" ca="1">IF($BP15=BU$14, 1, SUMPRODUCT(
    --(OFFSET($O$9,0,0,1,$B$9)=TRUE),
    --(INDEX(OFFSET($O$15,0,0,$B$8,$B$9), 1+$BP15, 0) = INDEX(OFFSET($O$15,0,0,$B$8,$B$9), 1+BU$14, 0))
) / $B$16)</f>
        <v>0.2</v>
      </c>
      <c r="BV15" cm="1">
        <f t="array" aca="1" ref="BV15" ca="1">IF($BP15=BV$14, 1, SUMPRODUCT(
    --(OFFSET($O$9,0,0,1,$B$9)=TRUE),
    --(INDEX(OFFSET($O$15,0,0,$B$8,$B$9), 1+$BP15, 0) = INDEX(OFFSET($O$15,0,0,$B$8,$B$9), 1+BV$14, 0))
) / $B$16)</f>
        <v>0.4</v>
      </c>
      <c r="BW15" cm="1">
        <f t="array" aca="1" ref="BW15" ca="1">IF($BP15=BW$14, 1, SUMPRODUCT(
    --(OFFSET($O$9,0,0,1,$B$9)=TRUE),
    --(INDEX(OFFSET($O$15,0,0,$B$8,$B$9), 1+$BP15, 0) = INDEX(OFFSET($O$15,0,0,$B$8,$B$9), 1+BW$14, 0))
) / $B$16)</f>
        <v>0.4</v>
      </c>
      <c r="BX15" cm="1">
        <f t="array" aca="1" ref="BX15" ca="1">IF($BP15=BX$14, 1, SUMPRODUCT(
    --(OFFSET($O$9,0,0,1,$B$9)=TRUE),
    --(INDEX(OFFSET($O$15,0,0,$B$8,$B$9), 1+$BP15, 0) = INDEX(OFFSET($O$15,0,0,$B$8,$B$9), 1+BX$14, 0))
) / $B$16)</f>
        <v>0.4</v>
      </c>
      <c r="BY15" cm="1">
        <f t="array" aca="1" ref="BY15" ca="1">IF($BP15=BY$14, 1, SUMPRODUCT(
    --(OFFSET($O$9,0,0,1,$B$9)=TRUE),
    --(INDEX(OFFSET($O$15,0,0,$B$8,$B$9), 1+$BP15, 0) = INDEX(OFFSET($O$15,0,0,$B$8,$B$9), 1+BY$14, 0))
) / $B$16)</f>
        <v>0.4</v>
      </c>
      <c r="BZ15" cm="1">
        <f t="array" aca="1" ref="BZ15" ca="1">IF($BP15=BZ$14, 1, SUMPRODUCT(
    --(OFFSET($O$9,0,0,1,$B$9)=TRUE),
    --(INDEX(OFFSET($O$15,0,0,$B$8,$B$9), 1+$BP15, 0) = INDEX(OFFSET($O$15,0,0,$B$8,$B$9), 1+BZ$14, 0))
) / $B$16)</f>
        <v>0.6</v>
      </c>
      <c r="CA15" cm="1">
        <f t="array" aca="1" ref="CA15" ca="1">IF($BP15=CA$14, 1, SUMPRODUCT(
    --(OFFSET($O$9,0,0,1,$B$9)=TRUE),
    --(INDEX(OFFSET($O$15,0,0,$B$8,$B$9), 1+$BP15, 0) = INDEX(OFFSET($O$15,0,0,$B$8,$B$9), 1+CA$14, 0))
) / $B$16)</f>
        <v>0.2</v>
      </c>
      <c r="CB15" cm="1">
        <f t="array" aca="1" ref="CB15" ca="1">IF($BP15=CB$14, 1, SUMPRODUCT(
    --(OFFSET($O$9,0,0,1,$B$9)=TRUE),
    --(INDEX(OFFSET($O$15,0,0,$B$8,$B$9), 1+$BP15, 0) = INDEX(OFFSET($O$15,0,0,$B$8,$B$9), 1+CB$14, 0))
) / $B$16)</f>
        <v>0.4</v>
      </c>
      <c r="CC15" cm="1">
        <f t="array" aca="1" ref="CC15" ca="1">IF($BP15=CC$14, 1, SUMPRODUCT(
    --(OFFSET($O$9,0,0,1,$B$9)=TRUE),
    --(INDEX(OFFSET($O$15,0,0,$B$8,$B$9), 1+$BP15, 0) = INDEX(OFFSET($O$15,0,0,$B$8,$B$9), 1+CC$14, 0))
) / $B$16)</f>
        <v>0.4</v>
      </c>
      <c r="CD15" cm="1">
        <f t="array" aca="1" ref="CD15" ca="1">IF($BP15=CD$14, 1, SUMPRODUCT(
    --(OFFSET($O$9,0,0,1,$B$9)=TRUE),
    --(INDEX(OFFSET($O$15,0,0,$B$8,$B$9), 1+$BP15, 0) = INDEX(OFFSET($O$15,0,0,$B$8,$B$9), 1+CD$14, 0))
) / $B$16)</f>
        <v>0.2</v>
      </c>
      <c r="CE15" cm="1">
        <f t="array" aca="1" ref="CE15" ca="1">IF($BP15=CE$14, 1, SUMPRODUCT(
    --(OFFSET($O$9,0,0,1,$B$9)=TRUE),
    --(INDEX(OFFSET($O$15,0,0,$B$8,$B$9), 1+$BP15, 0) = INDEX(OFFSET($O$15,0,0,$B$8,$B$9), 1+CE$14, 0))
) / $B$16)</f>
        <v>0.4</v>
      </c>
      <c r="CF15" cm="1">
        <f t="array" aca="1" ref="CF15" ca="1">IF($BP15=CF$14, 1, SUMPRODUCT(
    --(OFFSET($O$9,0,0,1,$B$9)=TRUE),
    --(INDEX(OFFSET($O$15,0,0,$B$8,$B$9), 1+$BP15, 0) = INDEX(OFFSET($O$15,0,0,$B$8,$B$9), 1+CF$14, 0))
) / $B$16)</f>
        <v>0.4</v>
      </c>
      <c r="CG15" cm="1">
        <f t="array" aca="1" ref="CG15" ca="1">IF($BP15=CG$14, 1, SUMPRODUCT(
    --(OFFSET($O$9,0,0,1,$B$9)=TRUE),
    --(INDEX(OFFSET($O$15,0,0,$B$8,$B$9), 1+$BP15, 0) = INDEX(OFFSET($O$15,0,0,$B$8,$B$9), 1+CG$14, 0))
) / $B$16)</f>
        <v>0.4</v>
      </c>
      <c r="CH15" cm="1">
        <f t="array" aca="1" ref="CH15" ca="1">IF($BP15=CH$14, 1, SUMPRODUCT(
    --(OFFSET($O$9,0,0,1,$B$9)=TRUE),
    --(INDEX(OFFSET($O$15,0,0,$B$8,$B$9), 1+$BP15, 0) = INDEX(OFFSET($O$15,0,0,$B$8,$B$9), 1+CH$14, 0))
) / $B$16)</f>
        <v>0.6</v>
      </c>
      <c r="CI15" cm="1">
        <f t="array" aca="1" ref="CI15" ca="1">IF($BP15=CI$14, 1, SUMPRODUCT(
    --(OFFSET($O$9,0,0,1,$B$9)=TRUE),
    --(INDEX(OFFSET($O$15,0,0,$B$8,$B$9), 1+$BP15, 0) = INDEX(OFFSET($O$15,0,0,$B$8,$B$9), 1+CI$14, 0))
) / $B$16)</f>
        <v>0.6</v>
      </c>
      <c r="CJ15" cm="1">
        <f t="array" aca="1" ref="CJ15" ca="1">IF($BP15=CJ$14, 1, SUMPRODUCT(
    --(OFFSET($O$9,0,0,1,$B$9)=TRUE),
    --(INDEX(OFFSET($O$15,0,0,$B$8,$B$9), 1+$BP15, 0) = INDEX(OFFSET($O$15,0,0,$B$8,$B$9), 1+CJ$14, 0))
) / $B$16)</f>
        <v>0.8</v>
      </c>
      <c r="CP15" cm="1">
        <f t="array" aca="1" ref="CP15:CP19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9.5953632148377113E-2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0.35382071097372486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0.19340340030911896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0.11844204018547136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0.2383802163833075</v>
      </c>
      <c r="CX15" s="10" cm="1">
        <f t="array" aca="1" ref="CX15" ca="1">SUM(OFFSET($CR15,0,0,1,$M$2)*LN(OFFSET($CR15,0,0,1,$M$2)/OFFSET($CR$11,0,0,1,$M$2)))+IF($CQ$11&gt;0,OFFSET($O$10,0,$CP15,1,1)*LN(OFFSET($O$10,0,$CP15,1,1)/$CQ$11),0)</f>
        <v>6.2503348114084228E-2</v>
      </c>
      <c r="CY15" cm="1">
        <f t="array" aca="1" ref="CY15:CY19" ca="1">TRANSPOSE(_xlfn._xlws.FILTER(OFFSET($O$14,0,0,1,$B$9),OFFSET($O$9,0,0,1,$B$9)))</f>
        <v>0</v>
      </c>
      <c r="CZ15" s="10">
        <f ca="1">CR15*LN(CR15/CR$10) + (1 - CR15)*LN((1-CR15)/(1-CR$10))</f>
        <v>2.6614074324327552E-2</v>
      </c>
      <c r="DA15" s="10">
        <f t="shared" ref="DA15:DC19" ca="1" si="8">CS15*LN(CS15/CS$10) + (1 - CS15)*LN((1-CS15)/(1-CS$10))</f>
        <v>9.0369566176630861E-3</v>
      </c>
      <c r="DB15" s="10">
        <f t="shared" ca="1" si="8"/>
        <v>5.3994624000507738E-2</v>
      </c>
      <c r="DC15" s="10">
        <f t="shared" ca="1" si="8"/>
        <v>3.6387411524682438E-4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 $B$18/($B$19*$B$19*($DF15&lt;&gt;$DG15) + $B$19*($DF15=$DG15))</f>
        <v>0.35382071097372486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 $B$18/($B$19*$B$19*($DF15&lt;&gt;$DG15) + $B$19*($DF15=$DG15))</f>
        <v>6.0000000000000001E-3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 $B$18/($B$19*$B$19*($DF15&lt;&gt;$DG15) + $B$19*($DF15=$DG15))</f>
        <v>6.0000000000000001E-3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 $B$18/($B$19*$B$19*($DF15&lt;&gt;$DG15) + $B$19*($DF15=$DG15))</f>
        <v>6.0000000000000001E-3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 $B$18/($B$19*$B$19*($DF15&lt;&gt;$DG15) + $B$19*($DF15=$DG15))</f>
        <v>6.0000000000000001E-3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 $B$18/($B$19*$B$19*($DF15&lt;&gt;$DG15) + $B$19*($DF15=$DG15))</f>
        <v>0.19340340030911896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 $B$18/($B$19*$B$19*($DF15&lt;&gt;$DG15) + $B$19*($DF15=$DG15))</f>
        <v>6.0000000000000001E-3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 $B$18/($B$19*$B$19*($DF15&lt;&gt;$DG15) + $B$19*($DF15=$DG15))</f>
        <v>6.0000000000000001E-3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 $B$18/($B$19*$B$19*($DF15&lt;&gt;$DG15) + $B$19*($DF15=$DG15))</f>
        <v>6.0000000000000001E-3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 $B$18/($B$19*$B$19*($DF15&lt;&gt;$DG15) + $B$19*($DF15=$DG15))</f>
        <v>6.0000000000000001E-3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 $B$18/($B$19*$B$19*($DF15&lt;&gt;$DG15) + $B$19*($DF15=$DG15))</f>
        <v>0.11844204018547136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 $B$18/($B$19*$B$19*($DF15&lt;&gt;$DG15) + $B$19*($DF15=$DG15))</f>
        <v>6.0000000000000001E-3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 $B$18/($B$19*$B$19*($DF15&lt;&gt;$DG15) + $B$19*($DF15=$DG15))</f>
        <v>6.0000000000000001E-3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 $B$18/($B$19*$B$19*($DF15&lt;&gt;$DG15) + $B$19*($DF15=$DG15))</f>
        <v>6.0000000000000001E-3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 $B$18/($B$19*$B$19*($DF15&lt;&gt;$DG15) + $B$19*($DF15=$DG15))</f>
        <v>6.0000000000000001E-3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 $B$18/($B$19*$B$19*($DF15&lt;&gt;$DG15) + $B$19*($DF15=$DG15))</f>
        <v>0.2383802163833075</v>
      </c>
    </row>
    <row r="16" spans="1:127" x14ac:dyDescent="0.2">
      <c r="A16" t="s">
        <v>39</v>
      </c>
      <c r="B16">
        <f ca="1">COUNTIF(OFFSET($O$9,0,0,1,$B$9),TRUE)</f>
        <v>5</v>
      </c>
      <c r="D16" s="10">
        <f ca="1"/>
        <v>1</v>
      </c>
      <c r="F16" s="10">
        <f ca="1"/>
        <v>0.25</v>
      </c>
      <c r="H16" s="10">
        <f ca="1"/>
        <v>1</v>
      </c>
      <c r="J16" cm="1">
        <f t="array" aca="1" ref="J16" ca="1">SUMPRODUCT((O16:AJ16=$O$11:$AJ$11)*(O$13:AJ$13=TRUE))  / COUNTIF(O$13:AJ$13,TRUE)</f>
        <v>0.8</v>
      </c>
      <c r="K16" t="b">
        <f t="shared" ref="K16:K37" ca="1" si="9">J16&gt;=$B$3</f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3"/>
        <v>1</v>
      </c>
      <c r="N16" s="2">
        <v>1</v>
      </c>
      <c r="O16" s="12" t="s">
        <v>4</v>
      </c>
      <c r="P16" s="9" t="s">
        <v>4</v>
      </c>
      <c r="Q16" s="9" t="s">
        <v>2</v>
      </c>
      <c r="R16" s="9" t="s">
        <v>3</v>
      </c>
      <c r="S16" s="9" t="s">
        <v>3</v>
      </c>
      <c r="AK16" s="7"/>
      <c r="AN16">
        <f t="shared" ca="1" si="4"/>
        <v>4</v>
      </c>
      <c r="AO16" s="14">
        <f t="shared" ca="1" si="5"/>
        <v>0.25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
) / $B$13)</f>
        <v>0.8</v>
      </c>
      <c r="AR16" cm="1">
        <f t="array" aca="1" ref="AR16" ca="1">IF($AP16=AR$14, 1, SUMPRODUCT(
    --(OFFSET($O$13,0,0,1,$B$9)=TRUE),
    --(INDEX(OFFSET($O$15,0,0,$B$8,$B$9), 1+$AP16, 0) = INDEX(OFFSET($O$15,0,0,$B$8,$B$9), 1+AR$14, 0))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
) / $B$13)</f>
        <v>0.8</v>
      </c>
      <c r="AT16" cm="1">
        <f t="array" aca="1" ref="AT16" ca="1">IF($AP16=AT$14, 1, SUMPRODUCT(
    --(OFFSET($O$13,0,0,1,$B$9)=TRUE),
    --(INDEX(OFFSET($O$15,0,0,$B$8,$B$9), 1+$AP16, 0) = INDEX(OFFSET($O$15,0,0,$B$8,$B$9), 1+AT$14, 0))
) / $B$13)</f>
        <v>0.8</v>
      </c>
      <c r="AU16" cm="1">
        <f t="array" aca="1" ref="AU16" ca="1">IF($AP16=AU$14, 1, SUMPRODUCT(
    --(OFFSET($O$13,0,0,1,$B$9)=TRUE),
    --(INDEX(OFFSET($O$15,0,0,$B$8,$B$9), 1+$AP16, 0) = INDEX(OFFSET($O$15,0,0,$B$8,$B$9), 1+AU$14, 0))
) / $B$13)</f>
        <v>0</v>
      </c>
      <c r="AV16" cm="1">
        <f t="array" aca="1" ref="AV16" ca="1">IF($AP16=AV$14, 1, SUMPRODUCT(
    --(OFFSET($O$13,0,0,1,$B$9)=TRUE),
    --(INDEX(OFFSET($O$15,0,0,$B$8,$B$9), 1+$AP16, 0) = INDEX(OFFSET($O$15,0,0,$B$8,$B$9), 1+AV$14, 0))
) / $B$13)</f>
        <v>0.6</v>
      </c>
      <c r="AW16" cm="1">
        <f t="array" aca="1" ref="AW16" ca="1">IF($AP16=AW$14, 1, SUMPRODUCT(
    --(OFFSET($O$13,0,0,1,$B$9)=TRUE),
    --(INDEX(OFFSET($O$15,0,0,$B$8,$B$9), 1+$AP16, 0) = INDEX(OFFSET($O$15,0,0,$B$8,$B$9), 1+AW$14, 0))
) / $B$13)</f>
        <v>0.4</v>
      </c>
      <c r="AX16" cm="1">
        <f t="array" aca="1" ref="AX16" ca="1">IF($AP16=AX$14, 1, SUMPRODUCT(
    --(OFFSET($O$13,0,0,1,$B$9)=TRUE),
    --(INDEX(OFFSET($O$15,0,0,$B$8,$B$9), 1+$AP16, 0) = INDEX(OFFSET($O$15,0,0,$B$8,$B$9), 1+AX$14, 0))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
) / $B$13)</f>
        <v>0.2</v>
      </c>
      <c r="AZ16" cm="1">
        <f t="array" aca="1" ref="AZ16" ca="1">IF($AP16=AZ$14, 1, SUMPRODUCT(
    --(OFFSET($O$13,0,0,1,$B$9)=TRUE),
    --(INDEX(OFFSET($O$15,0,0,$B$8,$B$9), 1+$AP16, 0) = INDEX(OFFSET($O$15,0,0,$B$8,$B$9), 1+AZ$14, 0))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
) / $B$13)</f>
        <v>0.4</v>
      </c>
      <c r="BB16" cm="1">
        <f t="array" aca="1" ref="BB16" ca="1">IF($AP16=BB$14, 1, SUMPRODUCT(
    --(OFFSET($O$13,0,0,1,$B$9)=TRUE),
    --(INDEX(OFFSET($O$15,0,0,$B$8,$B$9), 1+$AP16, 0) = INDEX(OFFSET($O$15,0,0,$B$8,$B$9), 1+BB$14, 0))
) / $B$13)</f>
        <v>0.6</v>
      </c>
      <c r="BC16" cm="1">
        <f t="array" aca="1" ref="BC16" ca="1">IF($AP16=BC$14, 1, SUMPRODUCT(
    --(OFFSET($O$13,0,0,1,$B$9)=TRUE),
    --(INDEX(OFFSET($O$15,0,0,$B$8,$B$9), 1+$AP16, 0) = INDEX(OFFSET($O$15,0,0,$B$8,$B$9), 1+BC$14, 0))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
) / $B$13)</f>
        <v>0.2</v>
      </c>
      <c r="BE16" cm="1">
        <f t="array" aca="1" ref="BE16" ca="1">IF($AP16=BE$14, 1, SUMPRODUCT(
    --(OFFSET($O$13,0,0,1,$B$9)=TRUE),
    --(INDEX(OFFSET($O$15,0,0,$B$8,$B$9), 1+$AP16, 0) = INDEX(OFFSET($O$15,0,0,$B$8,$B$9), 1+BE$14, 0))
) / $B$13)</f>
        <v>0.4</v>
      </c>
      <c r="BF16" cm="1">
        <f t="array" aca="1" ref="BF16" ca="1">IF($AP16=BF$14, 1, SUMPRODUCT(
    --(OFFSET($O$13,0,0,1,$B$9)=TRUE),
    --(INDEX(OFFSET($O$15,0,0,$B$8,$B$9), 1+$AP16, 0) = INDEX(OFFSET($O$15,0,0,$B$8,$B$9), 1+BF$14, 0))
) / $B$13)</f>
        <v>0.4</v>
      </c>
      <c r="BG16" cm="1">
        <f t="array" aca="1" ref="BG16" ca="1">IF($AP16=BG$14, 1, SUMPRODUCT(
    --(OFFSET($O$13,0,0,1,$B$9)=TRUE),
    --(INDEX(OFFSET($O$15,0,0,$B$8,$B$9), 1+$AP16, 0) = INDEX(OFFSET($O$15,0,0,$B$8,$B$9), 1+BG$14, 0))
) / $B$13)</f>
        <v>0.4</v>
      </c>
      <c r="BH16" cm="1">
        <f t="array" aca="1" ref="BH16" ca="1">IF($AP16=BH$14, 1, SUMPRODUCT(
    --(OFFSET($O$13,0,0,1,$B$9)=TRUE),
    --(INDEX(OFFSET($O$15,0,0,$B$8,$B$9), 1+$AP16, 0) = INDEX(OFFSET($O$15,0,0,$B$8,$B$9), 1+BH$14, 0))
) / $B$13)</f>
        <v>0.4</v>
      </c>
      <c r="BI16" cm="1">
        <f t="array" aca="1" ref="BI16" ca="1">IF($AP16=BI$14, 1, SUMPRODUCT(
    --(OFFSET($O$13,0,0,1,$B$9)=TRUE),
    --(INDEX(OFFSET($O$15,0,0,$B$8,$B$9), 1+$AP16, 0) = INDEX(OFFSET($O$15,0,0,$B$8,$B$9), 1+BI$14, 0))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
) / $B$13)</f>
        <v>0.6</v>
      </c>
      <c r="BN16">
        <f t="shared" ca="1" si="6"/>
        <v>4</v>
      </c>
      <c r="BO16" s="14">
        <f t="shared" ca="1" si="7"/>
        <v>0.25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
) / $B$16)</f>
        <v>0.8</v>
      </c>
      <c r="BR16" cm="1">
        <f t="array" aca="1" ref="BR16" ca="1">IF($BP16=BR$14, 1, SUMPRODUCT(
    --(OFFSET($O$9,0,0,1,$B$9)=TRUE),
    --(INDEX(OFFSET($O$15,0,0,$B$8,$B$9), 1+$BP16, 0) = INDEX(OFFSET($O$15,0,0,$B$8,$B$9), 1+BR$14, 0))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
) / $B$16)</f>
        <v>0.8</v>
      </c>
      <c r="BT16" cm="1">
        <f t="array" aca="1" ref="BT16" ca="1">IF($BP16=BT$14, 1, SUMPRODUCT(
    --(OFFSET($O$9,0,0,1,$B$9)=TRUE),
    --(INDEX(OFFSET($O$15,0,0,$B$8,$B$9), 1+$BP16, 0) = INDEX(OFFSET($O$15,0,0,$B$8,$B$9), 1+BT$14, 0))
) / $B$16)</f>
        <v>0.8</v>
      </c>
      <c r="BU16" cm="1">
        <f t="array" aca="1" ref="BU16" ca="1">IF($BP16=BU$14, 1, SUMPRODUCT(
    --(OFFSET($O$9,0,0,1,$B$9)=TRUE),
    --(INDEX(OFFSET($O$15,0,0,$B$8,$B$9), 1+$BP16, 0) = INDEX(OFFSET($O$15,0,0,$B$8,$B$9), 1+BU$14, 0))
) / $B$16)</f>
        <v>0</v>
      </c>
      <c r="BV16" cm="1">
        <f t="array" aca="1" ref="BV16" ca="1">IF($BP16=BV$14, 1, SUMPRODUCT(
    --(OFFSET($O$9,0,0,1,$B$9)=TRUE),
    --(INDEX(OFFSET($O$15,0,0,$B$8,$B$9), 1+$BP16, 0) = INDEX(OFFSET($O$15,0,0,$B$8,$B$9), 1+BV$14, 0))
) / $B$16)</f>
        <v>0.6</v>
      </c>
      <c r="BW16" cm="1">
        <f t="array" aca="1" ref="BW16" ca="1">IF($BP16=BW$14, 1, SUMPRODUCT(
    --(OFFSET($O$9,0,0,1,$B$9)=TRUE),
    --(INDEX(OFFSET($O$15,0,0,$B$8,$B$9), 1+$BP16, 0) = INDEX(OFFSET($O$15,0,0,$B$8,$B$9), 1+BW$14, 0))
) / $B$16)</f>
        <v>0.4</v>
      </c>
      <c r="BX16" cm="1">
        <f t="array" aca="1" ref="BX16" ca="1">IF($BP16=BX$14, 1, SUMPRODUCT(
    --(OFFSET($O$9,0,0,1,$B$9)=TRUE),
    --(INDEX(OFFSET($O$15,0,0,$B$8,$B$9), 1+$BP16, 0) = INDEX(OFFSET($O$15,0,0,$B$8,$B$9), 1+BX$14, 0))
) / $B$16)</f>
        <v>0.4</v>
      </c>
      <c r="BY16" cm="1">
        <f t="array" aca="1" ref="BY16" ca="1">IF($BP16=BY$14, 1, SUMPRODUCT(
    --(OFFSET($O$9,0,0,1,$B$9)=TRUE),
    --(INDEX(OFFSET($O$15,0,0,$B$8,$B$9), 1+$BP16, 0) = INDEX(OFFSET($O$15,0,0,$B$8,$B$9), 1+BY$14, 0))
) / $B$16)</f>
        <v>0.2</v>
      </c>
      <c r="BZ16" cm="1">
        <f t="array" aca="1" ref="BZ16" ca="1">IF($BP16=BZ$14, 1, SUMPRODUCT(
    --(OFFSET($O$9,0,0,1,$B$9)=TRUE),
    --(INDEX(OFFSET($O$15,0,0,$B$8,$B$9), 1+$BP16, 0) = INDEX(OFFSET($O$15,0,0,$B$8,$B$9), 1+BZ$14, 0))
) / $B$16)</f>
        <v>0.4</v>
      </c>
      <c r="CA16" cm="1">
        <f t="array" aca="1" ref="CA16" ca="1">IF($BP16=CA$14, 1, SUMPRODUCT(
    --(OFFSET($O$9,0,0,1,$B$9)=TRUE),
    --(INDEX(OFFSET($O$15,0,0,$B$8,$B$9), 1+$BP16, 0) = INDEX(OFFSET($O$15,0,0,$B$8,$B$9), 1+CA$14, 0))
) / $B$16)</f>
        <v>0.4</v>
      </c>
      <c r="CB16" cm="1">
        <f t="array" aca="1" ref="CB16" ca="1">IF($BP16=CB$14, 1, SUMPRODUCT(
    --(OFFSET($O$9,0,0,1,$B$9)=TRUE),
    --(INDEX(OFFSET($O$15,0,0,$B$8,$B$9), 1+$BP16, 0) = INDEX(OFFSET($O$15,0,0,$B$8,$B$9), 1+CB$14, 0))
) / $B$16)</f>
        <v>0.6</v>
      </c>
      <c r="CC16" cm="1">
        <f t="array" aca="1" ref="CC16" ca="1">IF($BP16=CC$14, 1, SUMPRODUCT(
    --(OFFSET($O$9,0,0,1,$B$9)=TRUE),
    --(INDEX(OFFSET($O$15,0,0,$B$8,$B$9), 1+$BP16, 0) = INDEX(OFFSET($O$15,0,0,$B$8,$B$9), 1+CC$14, 0))
) / $B$16)</f>
        <v>0.4</v>
      </c>
      <c r="CD16" cm="1">
        <f t="array" aca="1" ref="CD16" ca="1">IF($BP16=CD$14, 1, SUMPRODUCT(
    --(OFFSET($O$9,0,0,1,$B$9)=TRUE),
    --(INDEX(OFFSET($O$15,0,0,$B$8,$B$9), 1+$BP16, 0) = INDEX(OFFSET($O$15,0,0,$B$8,$B$9), 1+CD$14, 0))
) / $B$16)</f>
        <v>0.2</v>
      </c>
      <c r="CE16" cm="1">
        <f t="array" aca="1" ref="CE16" ca="1">IF($BP16=CE$14, 1, SUMPRODUCT(
    --(OFFSET($O$9,0,0,1,$B$9)=TRUE),
    --(INDEX(OFFSET($O$15,0,0,$B$8,$B$9), 1+$BP16, 0) = INDEX(OFFSET($O$15,0,0,$B$8,$B$9), 1+CE$14, 0))
) / $B$16)</f>
        <v>0.4</v>
      </c>
      <c r="CF16" cm="1">
        <f t="array" aca="1" ref="CF16" ca="1">IF($BP16=CF$14, 1, SUMPRODUCT(
    --(OFFSET($O$9,0,0,1,$B$9)=TRUE),
    --(INDEX(OFFSET($O$15,0,0,$B$8,$B$9), 1+$BP16, 0) = INDEX(OFFSET($O$15,0,0,$B$8,$B$9), 1+CF$14, 0))
) / $B$16)</f>
        <v>0.4</v>
      </c>
      <c r="CG16" cm="1">
        <f t="array" aca="1" ref="CG16" ca="1">IF($BP16=CG$14, 1, SUMPRODUCT(
    --(OFFSET($O$9,0,0,1,$B$9)=TRUE),
    --(INDEX(OFFSET($O$15,0,0,$B$8,$B$9), 1+$BP16, 0) = INDEX(OFFSET($O$15,0,0,$B$8,$B$9), 1+CG$14, 0))
) / $B$16)</f>
        <v>0.4</v>
      </c>
      <c r="CH16" cm="1">
        <f t="array" aca="1" ref="CH16" ca="1">IF($BP16=CH$14, 1, SUMPRODUCT(
    --(OFFSET($O$9,0,0,1,$B$9)=TRUE),
    --(INDEX(OFFSET($O$15,0,0,$B$8,$B$9), 1+$BP16, 0) = INDEX(OFFSET($O$15,0,0,$B$8,$B$9), 1+CH$14, 0))
) / $B$16)</f>
        <v>0.4</v>
      </c>
      <c r="CI16" cm="1">
        <f t="array" aca="1" ref="CI16" ca="1">IF($BP16=CI$14, 1, SUMPRODUCT(
    --(OFFSET($O$9,0,0,1,$B$9)=TRUE),
    --(INDEX(OFFSET($O$15,0,0,$B$8,$B$9), 1+$BP16, 0) = INDEX(OFFSET($O$15,0,0,$B$8,$B$9), 1+CI$14, 0))
) / $B$16)</f>
        <v>0.4</v>
      </c>
      <c r="CJ16" cm="1">
        <f t="array" aca="1" ref="CJ16" ca="1">IF($BP16=CJ$14, 1, SUMPRODUCT(
    --(OFFSET($O$9,0,0,1,$B$9)=TRUE),
    --(INDEX(OFFSET($O$15,0,0,$B$8,$B$9), 1+$BP16, 0) = INDEX(OFFSET($O$15,0,0,$B$8,$B$9), 1+CJ$14, 0))
) / $B$16)</f>
        <v>0.6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0.18590726429675422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6.0000000000000001E-3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0.33582998454404939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0.18590726429675419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0.28635548686244205</v>
      </c>
      <c r="CX16" s="10" cm="1">
        <f t="array" aca="1" ref="CX16" ca="1">SUM(OFFSET($CR16,0,0,1,$M$2)*LN(OFFSET($CR16,0,0,1,$M$2)/OFFSET($CR$11,0,0,1,$M$2)))+IF($CQ$11&gt;0,OFFSET($O$10,0,$CP16,1,1)*LN(OFFSET($O$10,0,$CP16,1,1)/$CQ$11),0)</f>
        <v>0.28438972619717895</v>
      </c>
      <c r="CY16">
        <f ca="1"/>
        <v>1</v>
      </c>
      <c r="CZ16" s="10">
        <f t="shared" ref="CZ16:CZ19" ca="1" si="10">CR16*LN(CR16/CR$10) + (1 - CR16)*LN((1-CR16)/(1-CR$10))</f>
        <v>0.2575958074336554</v>
      </c>
      <c r="DA16" s="10">
        <f t="shared" ca="1" si="8"/>
        <v>1.8398312774486586E-2</v>
      </c>
      <c r="DB16" s="10">
        <f t="shared" ca="1" si="8"/>
        <v>1.1688343934529152E-2</v>
      </c>
      <c r="DC16" s="10">
        <f t="shared" ca="1" si="8"/>
        <v>3.41962083068343E-3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 $B$18/($B$19*$B$19*($DF16&lt;&gt;$DG16) + $B$19*($DF16=$DG16))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 $B$18/($B$19*$B$19*($DF16&lt;&gt;$DG16) + $B$19*($DF16=$DG16))</f>
        <v>0.13613044822256568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 $B$18/($B$19*$B$19*($DF16&lt;&gt;$DG16) + $B$19*($DF16=$DG16))</f>
        <v>9.1153632148377114E-2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 $B$18/($B$19*$B$19*($DF16&lt;&gt;$DG16) + $B$19*($DF16=$DG16))</f>
        <v>0.12413663060278204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 $B$18/($B$19*$B$19*($DF16&lt;&gt;$DG16) + $B$19*($DF16=$DG16))</f>
        <v>1.1999999999999999E-3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 $B$18/($B$19*$B$19*($DF16&lt;&gt;$DG16) + $B$19*($DF16=$DG16))</f>
        <v>4.6176816074188554E-2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 $B$18/($B$19*$B$19*($DF16&lt;&gt;$DG16) + $B$19*($DF16=$DG16))</f>
        <v>3.1184544049459036E-2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 $B$18/($B$19*$B$19*($DF16&lt;&gt;$DG16) + $B$19*($DF16=$DG16))</f>
        <v>2.3688408037094277E-2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 $B$18/($B$19*$B$19*($DF16&lt;&gt;$DG16) + $B$19*($DF16=$DG16))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 $B$18/($B$19*$B$19*($DF16&lt;&gt;$DG16) + $B$19*($DF16=$DG16))</f>
        <v>6.1169088098918072E-2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 $B$18/($B$19*$B$19*($DF16&lt;&gt;$DG16) + $B$19*($DF16=$DG16))</f>
        <v>3.1184544049459036E-2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 $B$18/($B$19*$B$19*($DF16&lt;&gt;$DG16) + $B$19*($DF16=$DG16))</f>
        <v>2.3688408037094277E-2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 $B$18/($B$19*$B$19*($DF16&lt;&gt;$DG16) + $B$19*($DF16=$DG16))</f>
        <v>1.1999999999999999E-3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 $B$18/($B$19*$B$19*($DF16&lt;&gt;$DG16) + $B$19*($DF16=$DG16))</f>
        <v>9.1153632148377114E-2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 $B$18/($B$19*$B$19*($DF16&lt;&gt;$DG16) + $B$19*($DF16=$DG16))</f>
        <v>3.1184544049459036E-2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 $B$18/($B$19*$B$19*($DF16&lt;&gt;$DG16) + $B$19*($DF16=$DG16))</f>
        <v>2.3688408037094277E-2</v>
      </c>
    </row>
    <row r="17" spans="1:127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0.8</v>
      </c>
      <c r="K17" t="b">
        <f t="shared" ca="1" si="9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3"/>
        <v>1</v>
      </c>
      <c r="N17" s="2">
        <v>2</v>
      </c>
      <c r="O17" s="12" t="s">
        <v>2</v>
      </c>
      <c r="P17" s="9" t="s">
        <v>4</v>
      </c>
      <c r="Q17" s="9" t="s">
        <v>2</v>
      </c>
      <c r="R17" s="9" t="s">
        <v>3</v>
      </c>
      <c r="S17" s="9" t="s">
        <v>3</v>
      </c>
      <c r="AK17" s="7"/>
      <c r="AN17">
        <f t="shared" ca="1" si="4"/>
        <v>4</v>
      </c>
      <c r="AO17" s="14">
        <f t="shared" ca="1" si="5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
) / $B$13)</f>
        <v>0.8</v>
      </c>
      <c r="AR17" cm="1">
        <f t="array" aca="1" ref="AR17" ca="1">IF($AP17=AR$14, 1, SUMPRODUCT(
    --(OFFSET($O$13,0,0,1,$B$9)=TRUE),
    --(INDEX(OFFSET($O$15,0,0,$B$8,$B$9), 1+$AP17, 0) = INDEX(OFFSET($O$15,0,0,$B$8,$B$9), 1+AR$14, 0))
) / $B$13)</f>
        <v>0.8</v>
      </c>
      <c r="AS17" cm="1">
        <f t="array" aca="1" ref="AS17" ca="1">IF($AP17=AS$14, 1, SUMPRODUCT(
    --(OFFSET($O$13,0,0,1,$B$9)=TRUE),
    --(INDEX(OFFSET($O$15,0,0,$B$8,$B$9), 1+$AP17, 0) = INDEX(OFFSET($O$15,0,0,$B$8,$B$9), 1+AS$14, 0))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
) / $B$13)</f>
        <v>0.8</v>
      </c>
      <c r="AU17" cm="1">
        <f t="array" aca="1" ref="AU17" ca="1">IF($AP17=AU$14, 1, SUMPRODUCT(
    --(OFFSET($O$13,0,0,1,$B$9)=TRUE),
    --(INDEX(OFFSET($O$15,0,0,$B$8,$B$9), 1+$AP17, 0) = INDEX(OFFSET($O$15,0,0,$B$8,$B$9), 1+AU$14, 0))
) / $B$13)</f>
        <v>0</v>
      </c>
      <c r="AV17" cm="1">
        <f t="array" aca="1" ref="AV17" ca="1">IF($AP17=AV$14, 1, SUMPRODUCT(
    --(OFFSET($O$13,0,0,1,$B$9)=TRUE),
    --(INDEX(OFFSET($O$15,0,0,$B$8,$B$9), 1+$AP17, 0) = INDEX(OFFSET($O$15,0,0,$B$8,$B$9), 1+AV$14, 0))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
) / $B$13)</f>
        <v>0.6</v>
      </c>
      <c r="AX17" cm="1">
        <f t="array" aca="1" ref="AX17" ca="1">IF($AP17=AX$14, 1, SUMPRODUCT(
    --(OFFSET($O$13,0,0,1,$B$9)=TRUE),
    --(INDEX(OFFSET($O$15,0,0,$B$8,$B$9), 1+$AP17, 0) = INDEX(OFFSET($O$15,0,0,$B$8,$B$9), 1+AX$14, 0))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
) / $B$13)</f>
        <v>0.2</v>
      </c>
      <c r="AZ17" cm="1">
        <f t="array" aca="1" ref="AZ17" ca="1">IF($AP17=AZ$14, 1, SUMPRODUCT(
    --(OFFSET($O$13,0,0,1,$B$9)=TRUE),
    --(INDEX(OFFSET($O$15,0,0,$B$8,$B$9), 1+$AP17, 0) = INDEX(OFFSET($O$15,0,0,$B$8,$B$9), 1+AZ$14, 0))
) / $B$13)</f>
        <v>0.4</v>
      </c>
      <c r="BA17" cm="1">
        <f t="array" aca="1" ref="BA17" ca="1">IF($AP17=BA$14, 1, SUMPRODUCT(
    --(OFFSET($O$13,0,0,1,$B$9)=TRUE),
    --(INDEX(OFFSET($O$15,0,0,$B$8,$B$9), 1+$AP17, 0) = INDEX(OFFSET($O$15,0,0,$B$8,$B$9), 1+BA$14, 0))
) / $B$13)</f>
        <v>0.2</v>
      </c>
      <c r="BB17" cm="1">
        <f t="array" aca="1" ref="BB17" ca="1">IF($AP17=BB$14, 1, SUMPRODUCT(
    --(OFFSET($O$13,0,0,1,$B$9)=TRUE),
    --(INDEX(OFFSET($O$15,0,0,$B$8,$B$9), 1+$AP17, 0) = INDEX(OFFSET($O$15,0,0,$B$8,$B$9), 1+BB$14, 0))
) / $B$13)</f>
        <v>0.4</v>
      </c>
      <c r="BC17" cm="1">
        <f t="array" aca="1" ref="BC17" ca="1">IF($AP17=BC$14, 1, SUMPRODUCT(
    --(OFFSET($O$13,0,0,1,$B$9)=TRUE),
    --(INDEX(OFFSET($O$15,0,0,$B$8,$B$9), 1+$AP17, 0) = INDEX(OFFSET($O$15,0,0,$B$8,$B$9), 1+BC$14, 0))
) / $B$13)</f>
        <v>0.6</v>
      </c>
      <c r="BD17" cm="1">
        <f t="array" aca="1" ref="BD17" ca="1">IF($AP17=BD$14, 1, SUMPRODUCT(
    --(OFFSET($O$13,0,0,1,$B$9)=TRUE),
    --(INDEX(OFFSET($O$15,0,0,$B$8,$B$9), 1+$AP17, 0) = INDEX(OFFSET($O$15,0,0,$B$8,$B$9), 1+BD$14, 0))
) / $B$13)</f>
        <v>0.4</v>
      </c>
      <c r="BE17" cm="1">
        <f t="array" aca="1" ref="BE17" ca="1">IF($AP17=BE$14, 1, SUMPRODUCT(
    --(OFFSET($O$13,0,0,1,$B$9)=TRUE),
    --(INDEX(OFFSET($O$15,0,0,$B$8,$B$9), 1+$AP17, 0) = INDEX(OFFSET($O$15,0,0,$B$8,$B$9), 1+BE$14, 0))
) / $B$13)</f>
        <v>0.4</v>
      </c>
      <c r="BF17" cm="1">
        <f t="array" aca="1" ref="BF17" ca="1">IF($AP17=BF$14, 1, SUMPRODUCT(
    --(OFFSET($O$13,0,0,1,$B$9)=TRUE),
    --(INDEX(OFFSET($O$15,0,0,$B$8,$B$9), 1+$AP17, 0) = INDEX(OFFSET($O$15,0,0,$B$8,$B$9), 1+BF$14, 0))
) / $B$13)</f>
        <v>0.4</v>
      </c>
      <c r="BG17" cm="1">
        <f t="array" aca="1" ref="BG17" ca="1">IF($AP17=BG$14, 1, SUMPRODUCT(
    --(OFFSET($O$13,0,0,1,$B$9)=TRUE),
    --(INDEX(OFFSET($O$15,0,0,$B$8,$B$9), 1+$AP17, 0) = INDEX(OFFSET($O$15,0,0,$B$8,$B$9), 1+BG$14, 0))
) / $B$13)</f>
        <v>0.4</v>
      </c>
      <c r="BH17" cm="1">
        <f t="array" aca="1" ref="BH17" ca="1">IF($AP17=BH$14, 1, SUMPRODUCT(
    --(OFFSET($O$13,0,0,1,$B$9)=TRUE),
    --(INDEX(OFFSET($O$15,0,0,$B$8,$B$9), 1+$AP17, 0) = INDEX(OFFSET($O$15,0,0,$B$8,$B$9), 1+BH$14, 0))
) / $B$13)</f>
        <v>0.4</v>
      </c>
      <c r="BI17" cm="1">
        <f t="array" aca="1" ref="BI17" ca="1">IF($AP17=BI$14, 1, SUMPRODUCT(
    --(OFFSET($O$13,0,0,1,$B$9)=TRUE),
    --(INDEX(OFFSET($O$15,0,0,$B$8,$B$9), 1+$AP17, 0) = INDEX(OFFSET($O$15,0,0,$B$8,$B$9), 1+BI$14, 0))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
) / $B$13)</f>
        <v>0.6</v>
      </c>
      <c r="BN17">
        <f t="shared" ca="1" si="6"/>
        <v>4</v>
      </c>
      <c r="BO17" s="14">
        <f t="shared" ca="1" si="7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
) / $B$16)</f>
        <v>0.8</v>
      </c>
      <c r="BR17" cm="1">
        <f t="array" aca="1" ref="BR17" ca="1">IF($BP17=BR$14, 1, SUMPRODUCT(
    --(OFFSET($O$9,0,0,1,$B$9)=TRUE),
    --(INDEX(OFFSET($O$15,0,0,$B$8,$B$9), 1+$BP17, 0) = INDEX(OFFSET($O$15,0,0,$B$8,$B$9), 1+BR$14, 0))
) / $B$16)</f>
        <v>0.8</v>
      </c>
      <c r="BS17" cm="1">
        <f t="array" aca="1" ref="BS17" ca="1">IF($BP17=BS$14, 1, SUMPRODUCT(
    --(OFFSET($O$9,0,0,1,$B$9)=TRUE),
    --(INDEX(OFFSET($O$15,0,0,$B$8,$B$9), 1+$BP17, 0) = INDEX(OFFSET($O$15,0,0,$B$8,$B$9), 1+BS$14, 0))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
) / $B$16)</f>
        <v>0.8</v>
      </c>
      <c r="BU17" cm="1">
        <f t="array" aca="1" ref="BU17" ca="1">IF($BP17=BU$14, 1, SUMPRODUCT(
    --(OFFSET($O$9,0,0,1,$B$9)=TRUE),
    --(INDEX(OFFSET($O$15,0,0,$B$8,$B$9), 1+$BP17, 0) = INDEX(OFFSET($O$15,0,0,$B$8,$B$9), 1+BU$14, 0))
) / $B$16)</f>
        <v>0</v>
      </c>
      <c r="BV17" cm="1">
        <f t="array" aca="1" ref="BV17" ca="1">IF($BP17=BV$14, 1, SUMPRODUCT(
    --(OFFSET($O$9,0,0,1,$B$9)=TRUE),
    --(INDEX(OFFSET($O$15,0,0,$B$8,$B$9), 1+$BP17, 0) = INDEX(OFFSET($O$15,0,0,$B$8,$B$9), 1+BV$14, 0))
) / $B$16)</f>
        <v>0.4</v>
      </c>
      <c r="BW17" cm="1">
        <f t="array" aca="1" ref="BW17" ca="1">IF($BP17=BW$14, 1, SUMPRODUCT(
    --(OFFSET($O$9,0,0,1,$B$9)=TRUE),
    --(INDEX(OFFSET($O$15,0,0,$B$8,$B$9), 1+$BP17, 0) = INDEX(OFFSET($O$15,0,0,$B$8,$B$9), 1+BW$14, 0))
) / $B$16)</f>
        <v>0.6</v>
      </c>
      <c r="BX17" cm="1">
        <f t="array" aca="1" ref="BX17" ca="1">IF($BP17=BX$14, 1, SUMPRODUCT(
    --(OFFSET($O$9,0,0,1,$B$9)=TRUE),
    --(INDEX(OFFSET($O$15,0,0,$B$8,$B$9), 1+$BP17, 0) = INDEX(OFFSET($O$15,0,0,$B$8,$B$9), 1+BX$14, 0))
) / $B$16)</f>
        <v>0.4</v>
      </c>
      <c r="BY17" cm="1">
        <f t="array" aca="1" ref="BY17" ca="1">IF($BP17=BY$14, 1, SUMPRODUCT(
    --(OFFSET($O$9,0,0,1,$B$9)=TRUE),
    --(INDEX(OFFSET($O$15,0,0,$B$8,$B$9), 1+$BP17, 0) = INDEX(OFFSET($O$15,0,0,$B$8,$B$9), 1+BY$14, 0))
) / $B$16)</f>
        <v>0.2</v>
      </c>
      <c r="BZ17" cm="1">
        <f t="array" aca="1" ref="BZ17" ca="1">IF($BP17=BZ$14, 1, SUMPRODUCT(
    --(OFFSET($O$9,0,0,1,$B$9)=TRUE),
    --(INDEX(OFFSET($O$15,0,0,$B$8,$B$9), 1+$BP17, 0) = INDEX(OFFSET($O$15,0,0,$B$8,$B$9), 1+BZ$14, 0))
) / $B$16)</f>
        <v>0.4</v>
      </c>
      <c r="CA17" cm="1">
        <f t="array" aca="1" ref="CA17" ca="1">IF($BP17=CA$14, 1, SUMPRODUCT(
    --(OFFSET($O$9,0,0,1,$B$9)=TRUE),
    --(INDEX(OFFSET($O$15,0,0,$B$8,$B$9), 1+$BP17, 0) = INDEX(OFFSET($O$15,0,0,$B$8,$B$9), 1+CA$14, 0))
) / $B$16)</f>
        <v>0.2</v>
      </c>
      <c r="CB17" cm="1">
        <f t="array" aca="1" ref="CB17" ca="1">IF($BP17=CB$14, 1, SUMPRODUCT(
    --(OFFSET($O$9,0,0,1,$B$9)=TRUE),
    --(INDEX(OFFSET($O$15,0,0,$B$8,$B$9), 1+$BP17, 0) = INDEX(OFFSET($O$15,0,0,$B$8,$B$9), 1+CB$14, 0))
) / $B$16)</f>
        <v>0.4</v>
      </c>
      <c r="CC17" cm="1">
        <f t="array" aca="1" ref="CC17" ca="1">IF($BP17=CC$14, 1, SUMPRODUCT(
    --(OFFSET($O$9,0,0,1,$B$9)=TRUE),
    --(INDEX(OFFSET($O$15,0,0,$B$8,$B$9), 1+$BP17, 0) = INDEX(OFFSET($O$15,0,0,$B$8,$B$9), 1+CC$14, 0))
) / $B$16)</f>
        <v>0.6</v>
      </c>
      <c r="CD17" cm="1">
        <f t="array" aca="1" ref="CD17" ca="1">IF($BP17=CD$14, 1, SUMPRODUCT(
    --(OFFSET($O$9,0,0,1,$B$9)=TRUE),
    --(INDEX(OFFSET($O$15,0,0,$B$8,$B$9), 1+$BP17, 0) = INDEX(OFFSET($O$15,0,0,$B$8,$B$9), 1+CD$14, 0))
) / $B$16)</f>
        <v>0.4</v>
      </c>
      <c r="CE17" cm="1">
        <f t="array" aca="1" ref="CE17" ca="1">IF($BP17=CE$14, 1, SUMPRODUCT(
    --(OFFSET($O$9,0,0,1,$B$9)=TRUE),
    --(INDEX(OFFSET($O$15,0,0,$B$8,$B$9), 1+$BP17, 0) = INDEX(OFFSET($O$15,0,0,$B$8,$B$9), 1+CE$14, 0))
) / $B$16)</f>
        <v>0.4</v>
      </c>
      <c r="CF17" cm="1">
        <f t="array" aca="1" ref="CF17" ca="1">IF($BP17=CF$14, 1, SUMPRODUCT(
    --(OFFSET($O$9,0,0,1,$B$9)=TRUE),
    --(INDEX(OFFSET($O$15,0,0,$B$8,$B$9), 1+$BP17, 0) = INDEX(OFFSET($O$15,0,0,$B$8,$B$9), 1+CF$14, 0))
) / $B$16)</f>
        <v>0.4</v>
      </c>
      <c r="CG17" cm="1">
        <f t="array" aca="1" ref="CG17" ca="1">IF($BP17=CG$14, 1, SUMPRODUCT(
    --(OFFSET($O$9,0,0,1,$B$9)=TRUE),
    --(INDEX(OFFSET($O$15,0,0,$B$8,$B$9), 1+$BP17, 0) = INDEX(OFFSET($O$15,0,0,$B$8,$B$9), 1+CG$14, 0))
) / $B$16)</f>
        <v>0.4</v>
      </c>
      <c r="CH17" cm="1">
        <f t="array" aca="1" ref="CH17" ca="1">IF($BP17=CH$14, 1, SUMPRODUCT(
    --(OFFSET($O$9,0,0,1,$B$9)=TRUE),
    --(INDEX(OFFSET($O$15,0,0,$B$8,$B$9), 1+$BP17, 0) = INDEX(OFFSET($O$15,0,0,$B$8,$B$9), 1+CH$14, 0))
) / $B$16)</f>
        <v>0.4</v>
      </c>
      <c r="CI17" cm="1">
        <f t="array" aca="1" ref="CI17" ca="1">IF($BP17=CI$14, 1, SUMPRODUCT(
    --(OFFSET($O$9,0,0,1,$B$9)=TRUE),
    --(INDEX(OFFSET($O$15,0,0,$B$8,$B$9), 1+$BP17, 0) = INDEX(OFFSET($O$15,0,0,$B$8,$B$9), 1+CI$14, 0))
) / $B$16)</f>
        <v>0.4</v>
      </c>
      <c r="CJ17" cm="1">
        <f t="array" aca="1" ref="CJ17" ca="1">IF($BP17=CJ$14, 1, SUMPRODUCT(
    --(OFFSET($O$9,0,0,1,$B$9)=TRUE),
    --(INDEX(OFFSET($O$15,0,0,$B$8,$B$9), 1+$BP17, 0) = INDEX(OFFSET($O$15,0,0,$B$8,$B$9), 1+CJ$14, 0))
) / $B$16)</f>
        <v>0.6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9.5953632148377113E-2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0.1709149922720247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0.28635548686244205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0.18590726429675419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0.26086862442040182</v>
      </c>
      <c r="CX17" s="10" cm="1">
        <f t="array" aca="1" ref="CX17" ca="1">SUM(OFFSET($CR17,0,0,1,$M$2)*LN(OFFSET($CR17,0,0,1,$M$2)/OFFSET($CR$11,0,0,1,$M$2)))+IF($CQ$11&gt;0,OFFSET($O$10,0,$CP17,1,1)*LN(OFFSET($O$10,0,$CP17,1,1)/$CQ$11),0)</f>
        <v>1.8995105705086005E-2</v>
      </c>
      <c r="CY17">
        <f ca="1"/>
        <v>2</v>
      </c>
      <c r="CZ17" s="10">
        <f t="shared" ca="1" si="10"/>
        <v>1.8117296067727745E-2</v>
      </c>
      <c r="DA17" s="10">
        <f t="shared" ca="1" si="8"/>
        <v>3.41962083068343E-3</v>
      </c>
      <c r="DB17" s="10">
        <f t="shared" ca="1" si="8"/>
        <v>1.1688343934529152E-2</v>
      </c>
      <c r="DC17" s="10">
        <f t="shared" ca="1" si="8"/>
        <v>3.120373736219817E-4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 $B$18/($B$19*$B$19*($DF17&lt;&gt;$DG17) + $B$19*($DF17=$DG17))</f>
        <v>1.1999999999999999E-3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 $B$18/($B$19*$B$19*($DF17&lt;&gt;$DG17) + $B$19*($DF17=$DG17))</f>
        <v>0.12413663060278204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 $B$18/($B$19*$B$19*($DF17&lt;&gt;$DG17) + $B$19*($DF17=$DG17))</f>
        <v>9.1153632148377114E-2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 $B$18/($B$19*$B$19*($DF17&lt;&gt;$DG17) + $B$19*($DF17=$DG17))</f>
        <v>4.6176816074188554E-2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 $B$18/($B$19*$B$19*($DF17&lt;&gt;$DG17) + $B$19*($DF17=$DG17))</f>
        <v>4.6176816074188554E-2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 $B$18/($B$19*$B$19*($DF17&lt;&gt;$DG17) + $B$19*($DF17=$DG17))</f>
        <v>2.3688408037094277E-2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 $B$18/($B$19*$B$19*($DF17&lt;&gt;$DG17) + $B$19*($DF17=$DG17))</f>
        <v>3.1184544049459036E-2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 $B$18/($B$19*$B$19*($DF17&lt;&gt;$DG17) + $B$19*($DF17=$DG17))</f>
        <v>9.1153632148377114E-2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 $B$18/($B$19*$B$19*($DF17&lt;&gt;$DG17) + $B$19*($DF17=$DG17))</f>
        <v>3.1184544049459036E-2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 $B$18/($B$19*$B$19*($DF17&lt;&gt;$DG17) + $B$19*($DF17=$DG17))</f>
        <v>2.3688408037094277E-2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 $B$18/($B$19*$B$19*($DF17&lt;&gt;$DG17) + $B$19*($DF17=$DG17))</f>
        <v>3.1184544049459036E-2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 $B$18/($B$19*$B$19*($DF17&lt;&gt;$DG17) + $B$19*($DF17=$DG17))</f>
        <v>3.1184544049459036E-2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 $B$18/($B$19*$B$19*($DF17&lt;&gt;$DG17) + $B$19*($DF17=$DG17))</f>
        <v>9.1153632148377114E-2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 $B$18/($B$19*$B$19*($DF17&lt;&gt;$DG17) + $B$19*($DF17=$DG17))</f>
        <v>2.3688408037094277E-2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 $B$18/($B$19*$B$19*($DF17&lt;&gt;$DG17) + $B$19*($DF17=$DG17))</f>
        <v>3.1184544049459036E-2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 $B$18/($B$19*$B$19*($DF17&lt;&gt;$DG17) + $B$19*($DF17=$DG17))</f>
        <v>9.1153632148377114E-2</v>
      </c>
    </row>
    <row r="18" spans="1:127" x14ac:dyDescent="0.2">
      <c r="A18" t="s">
        <v>47</v>
      </c>
      <c r="B18">
        <v>0.03</v>
      </c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0.8</v>
      </c>
      <c r="K18" t="b">
        <f t="shared" ca="1" si="9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3"/>
        <v>1</v>
      </c>
      <c r="N18" s="2">
        <v>3</v>
      </c>
      <c r="O18" s="12" t="s">
        <v>3</v>
      </c>
      <c r="P18" s="9" t="s">
        <v>4</v>
      </c>
      <c r="Q18" s="9" t="s">
        <v>2</v>
      </c>
      <c r="R18" s="9" t="s">
        <v>3</v>
      </c>
      <c r="S18" s="9" t="s">
        <v>3</v>
      </c>
      <c r="AK18" s="7"/>
      <c r="AN18">
        <f t="shared" ca="1" si="4"/>
        <v>4</v>
      </c>
      <c r="AO18" s="14">
        <f t="shared" ca="1" si="5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
) / $B$13)</f>
        <v>0.8</v>
      </c>
      <c r="AR18" cm="1">
        <f t="array" aca="1" ref="AR18" ca="1">IF($AP18=AR$14, 1, SUMPRODUCT(
    --(OFFSET($O$13,0,0,1,$B$9)=TRUE),
    --(INDEX(OFFSET($O$15,0,0,$B$8,$B$9), 1+$AP18, 0) = INDEX(OFFSET($O$15,0,0,$B$8,$B$9), 1+AR$14, 0))
) / $B$13)</f>
        <v>0.8</v>
      </c>
      <c r="AS18" cm="1">
        <f t="array" aca="1" ref="AS18" ca="1">IF($AP18=AS$14, 1, SUMPRODUCT(
    --(OFFSET($O$13,0,0,1,$B$9)=TRUE),
    --(INDEX(OFFSET($O$15,0,0,$B$8,$B$9), 1+$AP18, 0) = INDEX(OFFSET($O$15,0,0,$B$8,$B$9), 1+AS$14, 0))
) / $B$13)</f>
        <v>0.8</v>
      </c>
      <c r="AT18" cm="1">
        <f t="array" aca="1" ref="AT18" ca="1">IF($AP18=AT$14, 1, SUMPRODUCT(
    --(OFFSET($O$13,0,0,1,$B$9)=TRUE),
    --(INDEX(OFFSET($O$15,0,0,$B$8,$B$9), 1+$AP18, 0) = INDEX(OFFSET($O$15,0,0,$B$8,$B$9), 1+AT$14, 0))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
) / $B$13)</f>
        <v>0</v>
      </c>
      <c r="AV18" cm="1">
        <f t="array" aca="1" ref="AV18" ca="1">IF($AP18=AV$14, 1, SUMPRODUCT(
    --(OFFSET($O$13,0,0,1,$B$9)=TRUE),
    --(INDEX(OFFSET($O$15,0,0,$B$8,$B$9), 1+$AP18, 0) = INDEX(OFFSET($O$15,0,0,$B$8,$B$9), 1+AV$14, 0))
) / $B$13)</f>
        <v>0.4</v>
      </c>
      <c r="AW18" cm="1">
        <f t="array" aca="1" ref="AW18" ca="1">IF($AP18=AW$14, 1, SUMPRODUCT(
    --(OFFSET($O$13,0,0,1,$B$9)=TRUE),
    --(INDEX(OFFSET($O$15,0,0,$B$8,$B$9), 1+$AP18, 0) = INDEX(OFFSET($O$15,0,0,$B$8,$B$9), 1+AW$14, 0))
) / $B$13)</f>
        <v>0.4</v>
      </c>
      <c r="AX18" cm="1">
        <f t="array" aca="1" ref="AX18" ca="1">IF($AP18=AX$14, 1, SUMPRODUCT(
    --(OFFSET($O$13,0,0,1,$B$9)=TRUE),
    --(INDEX(OFFSET($O$15,0,0,$B$8,$B$9), 1+$AP18, 0) = INDEX(OFFSET($O$15,0,0,$B$8,$B$9), 1+AX$14, 0))
) / $B$13)</f>
        <v>0.6</v>
      </c>
      <c r="AY18" cm="1">
        <f t="array" aca="1" ref="AY18" ca="1">IF($AP18=AY$14, 1, SUMPRODUCT(
    --(OFFSET($O$13,0,0,1,$B$9)=TRUE),
    --(INDEX(OFFSET($O$15,0,0,$B$8,$B$9), 1+$AP18, 0) = INDEX(OFFSET($O$15,0,0,$B$8,$B$9), 1+AY$14, 0))
) / $B$13)</f>
        <v>0.2</v>
      </c>
      <c r="AZ18" cm="1">
        <f t="array" aca="1" ref="AZ18" ca="1">IF($AP18=AZ$14, 1, SUMPRODUCT(
    --(OFFSET($O$13,0,0,1,$B$9)=TRUE),
    --(INDEX(OFFSET($O$15,0,0,$B$8,$B$9), 1+$AP18, 0) = INDEX(OFFSET($O$15,0,0,$B$8,$B$9), 1+AZ$14, 0))
) / $B$13)</f>
        <v>0.4</v>
      </c>
      <c r="BA18" cm="1">
        <f t="array" aca="1" ref="BA18" ca="1">IF($AP18=BA$14, 1, SUMPRODUCT(
    --(OFFSET($O$13,0,0,1,$B$9)=TRUE),
    --(INDEX(OFFSET($O$15,0,0,$B$8,$B$9), 1+$AP18, 0) = INDEX(OFFSET($O$15,0,0,$B$8,$B$9), 1+BA$14, 0))
) / $B$13)</f>
        <v>0.2</v>
      </c>
      <c r="BB18" cm="1">
        <f t="array" aca="1" ref="BB18" ca="1">IF($AP18=BB$14, 1, SUMPRODUCT(
    --(OFFSET($O$13,0,0,1,$B$9)=TRUE),
    --(INDEX(OFFSET($O$15,0,0,$B$8,$B$9), 1+$AP18, 0) = INDEX(OFFSET($O$15,0,0,$B$8,$B$9), 1+BB$14, 0))
) / $B$13)</f>
        <v>0.4</v>
      </c>
      <c r="BC18" cm="1">
        <f t="array" aca="1" ref="BC18" ca="1">IF($AP18=BC$14, 1, SUMPRODUCT(
    --(OFFSET($O$13,0,0,1,$B$9)=TRUE),
    --(INDEX(OFFSET($O$15,0,0,$B$8,$B$9), 1+$AP18, 0) = INDEX(OFFSET($O$15,0,0,$B$8,$B$9), 1+BC$14, 0))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
) / $B$13)</f>
        <v>0.2</v>
      </c>
      <c r="BE18" cm="1">
        <f t="array" aca="1" ref="BE18" ca="1">IF($AP18=BE$14, 1, SUMPRODUCT(
    --(OFFSET($O$13,0,0,1,$B$9)=TRUE),
    --(INDEX(OFFSET($O$15,0,0,$B$8,$B$9), 1+$AP18, 0) = INDEX(OFFSET($O$15,0,0,$B$8,$B$9), 1+BE$14, 0))
) / $B$13)</f>
        <v>0.6</v>
      </c>
      <c r="BF18" cm="1">
        <f t="array" aca="1" ref="BF18" ca="1">IF($AP18=BF$14, 1, SUMPRODUCT(
    --(OFFSET($O$13,0,0,1,$B$9)=TRUE),
    --(INDEX(OFFSET($O$15,0,0,$B$8,$B$9), 1+$AP18, 0) = INDEX(OFFSET($O$15,0,0,$B$8,$B$9), 1+BF$14, 0))
) / $B$13)</f>
        <v>0.6</v>
      </c>
      <c r="BG18" cm="1">
        <f t="array" aca="1" ref="BG18" ca="1">IF($AP18=BG$14, 1, SUMPRODUCT(
    --(OFFSET($O$13,0,0,1,$B$9)=TRUE),
    --(INDEX(OFFSET($O$15,0,0,$B$8,$B$9), 1+$AP18, 0) = INDEX(OFFSET($O$15,0,0,$B$8,$B$9), 1+BG$14, 0))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
) / $B$13)</f>
        <v>0.4</v>
      </c>
      <c r="BI18" cm="1">
        <f t="array" aca="1" ref="BI18" ca="1">IF($AP18=BI$14, 1, SUMPRODUCT(
    --(OFFSET($O$13,0,0,1,$B$9)=TRUE),
    --(INDEX(OFFSET($O$15,0,0,$B$8,$B$9), 1+$AP18, 0) = INDEX(OFFSET($O$15,0,0,$B$8,$B$9), 1+BI$14, 0))
) / $B$13)</f>
        <v>0.4</v>
      </c>
      <c r="BJ18" cm="1">
        <f t="array" aca="1" ref="BJ18" ca="1">IF($AP18=BJ$14, 1, SUMPRODUCT(
    --(OFFSET($O$13,0,0,1,$B$9)=TRUE),
    --(INDEX(OFFSET($O$15,0,0,$B$8,$B$9), 1+$AP18, 0) = INDEX(OFFSET($O$15,0,0,$B$8,$B$9), 1+BJ$14, 0))
) / $B$13)</f>
        <v>0.6</v>
      </c>
      <c r="BN18">
        <f t="shared" ca="1" si="6"/>
        <v>4</v>
      </c>
      <c r="BO18" s="14">
        <f t="shared" ca="1" si="7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
) / $B$16)</f>
        <v>0.8</v>
      </c>
      <c r="BR18" cm="1">
        <f t="array" aca="1" ref="BR18" ca="1">IF($BP18=BR$14, 1, SUMPRODUCT(
    --(OFFSET($O$9,0,0,1,$B$9)=TRUE),
    --(INDEX(OFFSET($O$15,0,0,$B$8,$B$9), 1+$BP18, 0) = INDEX(OFFSET($O$15,0,0,$B$8,$B$9), 1+BR$14, 0))
) / $B$16)</f>
        <v>0.8</v>
      </c>
      <c r="BS18" cm="1">
        <f t="array" aca="1" ref="BS18" ca="1">IF($BP18=BS$14, 1, SUMPRODUCT(
    --(OFFSET($O$9,0,0,1,$B$9)=TRUE),
    --(INDEX(OFFSET($O$15,0,0,$B$8,$B$9), 1+$BP18, 0) = INDEX(OFFSET($O$15,0,0,$B$8,$B$9), 1+BS$14, 0))
) / $B$16)</f>
        <v>0.8</v>
      </c>
      <c r="BT18" cm="1">
        <f t="array" aca="1" ref="BT18" ca="1">IF($BP18=BT$14, 1, SUMPRODUCT(
    --(OFFSET($O$9,0,0,1,$B$9)=TRUE),
    --(INDEX(OFFSET($O$15,0,0,$B$8,$B$9), 1+$BP18, 0) = INDEX(OFFSET($O$15,0,0,$B$8,$B$9), 1+BT$14, 0))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
) / $B$16)</f>
        <v>0</v>
      </c>
      <c r="BV18" cm="1">
        <f t="array" aca="1" ref="BV18" ca="1">IF($BP18=BV$14, 1, SUMPRODUCT(
    --(OFFSET($O$9,0,0,1,$B$9)=TRUE),
    --(INDEX(OFFSET($O$15,0,0,$B$8,$B$9), 1+$BP18, 0) = INDEX(OFFSET($O$15,0,0,$B$8,$B$9), 1+BV$14, 0))
) / $B$16)</f>
        <v>0.4</v>
      </c>
      <c r="BW18" cm="1">
        <f t="array" aca="1" ref="BW18" ca="1">IF($BP18=BW$14, 1, SUMPRODUCT(
    --(OFFSET($O$9,0,0,1,$B$9)=TRUE),
    --(INDEX(OFFSET($O$15,0,0,$B$8,$B$9), 1+$BP18, 0) = INDEX(OFFSET($O$15,0,0,$B$8,$B$9), 1+BW$14, 0))
) / $B$16)</f>
        <v>0.4</v>
      </c>
      <c r="BX18" cm="1">
        <f t="array" aca="1" ref="BX18" ca="1">IF($BP18=BX$14, 1, SUMPRODUCT(
    --(OFFSET($O$9,0,0,1,$B$9)=TRUE),
    --(INDEX(OFFSET($O$15,0,0,$B$8,$B$9), 1+$BP18, 0) = INDEX(OFFSET($O$15,0,0,$B$8,$B$9), 1+BX$14, 0))
) / $B$16)</f>
        <v>0.6</v>
      </c>
      <c r="BY18" cm="1">
        <f t="array" aca="1" ref="BY18" ca="1">IF($BP18=BY$14, 1, SUMPRODUCT(
    --(OFFSET($O$9,0,0,1,$B$9)=TRUE),
    --(INDEX(OFFSET($O$15,0,0,$B$8,$B$9), 1+$BP18, 0) = INDEX(OFFSET($O$15,0,0,$B$8,$B$9), 1+BY$14, 0))
) / $B$16)</f>
        <v>0.2</v>
      </c>
      <c r="BZ18" cm="1">
        <f t="array" aca="1" ref="BZ18" ca="1">IF($BP18=BZ$14, 1, SUMPRODUCT(
    --(OFFSET($O$9,0,0,1,$B$9)=TRUE),
    --(INDEX(OFFSET($O$15,0,0,$B$8,$B$9), 1+$BP18, 0) = INDEX(OFFSET($O$15,0,0,$B$8,$B$9), 1+BZ$14, 0))
) / $B$16)</f>
        <v>0.4</v>
      </c>
      <c r="CA18" cm="1">
        <f t="array" aca="1" ref="CA18" ca="1">IF($BP18=CA$14, 1, SUMPRODUCT(
    --(OFFSET($O$9,0,0,1,$B$9)=TRUE),
    --(INDEX(OFFSET($O$15,0,0,$B$8,$B$9), 1+$BP18, 0) = INDEX(OFFSET($O$15,0,0,$B$8,$B$9), 1+CA$14, 0))
) / $B$16)</f>
        <v>0.2</v>
      </c>
      <c r="CB18" cm="1">
        <f t="array" aca="1" ref="CB18" ca="1">IF($BP18=CB$14, 1, SUMPRODUCT(
    --(OFFSET($O$9,0,0,1,$B$9)=TRUE),
    --(INDEX(OFFSET($O$15,0,0,$B$8,$B$9), 1+$BP18, 0) = INDEX(OFFSET($O$15,0,0,$B$8,$B$9), 1+CB$14, 0))
) / $B$16)</f>
        <v>0.4</v>
      </c>
      <c r="CC18" cm="1">
        <f t="array" aca="1" ref="CC18" ca="1">IF($BP18=CC$14, 1, SUMPRODUCT(
    --(OFFSET($O$9,0,0,1,$B$9)=TRUE),
    --(INDEX(OFFSET($O$15,0,0,$B$8,$B$9), 1+$BP18, 0) = INDEX(OFFSET($O$15,0,0,$B$8,$B$9), 1+CC$14, 0))
) / $B$16)</f>
        <v>0.4</v>
      </c>
      <c r="CD18" cm="1">
        <f t="array" aca="1" ref="CD18" ca="1">IF($BP18=CD$14, 1, SUMPRODUCT(
    --(OFFSET($O$9,0,0,1,$B$9)=TRUE),
    --(INDEX(OFFSET($O$15,0,0,$B$8,$B$9), 1+$BP18, 0) = INDEX(OFFSET($O$15,0,0,$B$8,$B$9), 1+CD$14, 0))
) / $B$16)</f>
        <v>0.2</v>
      </c>
      <c r="CE18" cm="1">
        <f t="array" aca="1" ref="CE18" ca="1">IF($BP18=CE$14, 1, SUMPRODUCT(
    --(OFFSET($O$9,0,0,1,$B$9)=TRUE),
    --(INDEX(OFFSET($O$15,0,0,$B$8,$B$9), 1+$BP18, 0) = INDEX(OFFSET($O$15,0,0,$B$8,$B$9), 1+CE$14, 0))
) / $B$16)</f>
        <v>0.6</v>
      </c>
      <c r="CF18" cm="1">
        <f t="array" aca="1" ref="CF18" ca="1">IF($BP18=CF$14, 1, SUMPRODUCT(
    --(OFFSET($O$9,0,0,1,$B$9)=TRUE),
    --(INDEX(OFFSET($O$15,0,0,$B$8,$B$9), 1+$BP18, 0) = INDEX(OFFSET($O$15,0,0,$B$8,$B$9), 1+CF$14, 0))
) / $B$16)</f>
        <v>0.6</v>
      </c>
      <c r="CG18" cm="1">
        <f t="array" aca="1" ref="CG18" ca="1">IF($BP18=CG$14, 1, SUMPRODUCT(
    --(OFFSET($O$9,0,0,1,$B$9)=TRUE),
    --(INDEX(OFFSET($O$15,0,0,$B$8,$B$9), 1+$BP18, 0) = INDEX(OFFSET($O$15,0,0,$B$8,$B$9), 1+CG$14, 0))
) / $B$16)</f>
        <v>0.4</v>
      </c>
      <c r="CH18" cm="1">
        <f t="array" aca="1" ref="CH18" ca="1">IF($BP18=CH$14, 1, SUMPRODUCT(
    --(OFFSET($O$9,0,0,1,$B$9)=TRUE),
    --(INDEX(OFFSET($O$15,0,0,$B$8,$B$9), 1+$BP18, 0) = INDEX(OFFSET($O$15,0,0,$B$8,$B$9), 1+CH$14, 0))
) / $B$16)</f>
        <v>0.4</v>
      </c>
      <c r="CI18" cm="1">
        <f t="array" aca="1" ref="CI18" ca="1">IF($BP18=CI$14, 1, SUMPRODUCT(
    --(OFFSET($O$9,0,0,1,$B$9)=TRUE),
    --(INDEX(OFFSET($O$15,0,0,$B$8,$B$9), 1+$BP18, 0) = INDEX(OFFSET($O$15,0,0,$B$8,$B$9), 1+CI$14, 0))
) / $B$16)</f>
        <v>0.4</v>
      </c>
      <c r="CJ18" cm="1">
        <f t="array" aca="1" ref="CJ18" ca="1">IF($BP18=CJ$14, 1, SUMPRODUCT(
    --(OFFSET($O$9,0,0,1,$B$9)=TRUE),
    --(INDEX(OFFSET($O$15,0,0,$B$8,$B$9), 1+$BP18, 0) = INDEX(OFFSET($O$15,0,0,$B$8,$B$9), 1+CJ$14, 0))
) / $B$16)</f>
        <v>0.6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0.18590726429675422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0.14093044822256567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6.0000000000000001E-3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0.60119319938176174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6.5969088098918077E-2</v>
      </c>
      <c r="CX18" s="10" cm="1">
        <f t="array" aca="1" ref="CX18" ca="1">SUM(OFFSET($CR18,0,0,1,$M$2)*LN(OFFSET($CR18,0,0,1,$M$2)/OFFSET($CR$11,0,0,1,$M$2)))+IF($CQ$11&gt;0,OFFSET($O$10,0,$CP18,1,1)*LN(OFFSET($O$10,0,$CP18,1,1)/$CQ$11),0)</f>
        <v>0.5603109995466613</v>
      </c>
      <c r="CY18">
        <f ca="1"/>
        <v>3</v>
      </c>
      <c r="CZ18" s="10">
        <f t="shared" ca="1" si="10"/>
        <v>3.58610649248116E-2</v>
      </c>
      <c r="DA18" s="10">
        <f t="shared" ca="1" si="8"/>
        <v>0.2575958074336554</v>
      </c>
      <c r="DB18" s="10">
        <f t="shared" ca="1" si="8"/>
        <v>0.27563540994312502</v>
      </c>
      <c r="DC18" s="10">
        <f t="shared" ca="1" si="8"/>
        <v>0.11707136938462609</v>
      </c>
      <c r="DF18" cm="1">
        <f t="array" aca="1" ref="DF18" ca="1">INDEX(_xlfn.ANCHORARRAY($CP$15), 1 + INT((ROWS($DG$15:$DG18) - 1) / ROWS(_xlfn.ANCHORARRAY($CP$15))))</f>
        <v>0</v>
      </c>
      <c r="DG18" cm="1">
        <f t="array" aca="1" ref="DG18" ca="1">INDEX(_xlfn.ANCHORARRAY($CP$15),1+MOD(ROWS($DG$15:$DG18)-1,ROWS(_xlfn.ANCHORARRAY($CP$15))))</f>
        <v>3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 $B$18/($B$19*$B$19*($DF18&lt;&gt;$DG18) + $B$19*($DF18=$DG18))</f>
        <v>4.6176816074188554E-2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 $B$18/($B$19*$B$19*($DF18&lt;&gt;$DG18) + $B$19*($DF18=$DG18))</f>
        <v>1.1999999999999999E-3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 $B$18/($B$19*$B$19*($DF18&lt;&gt;$DG18) + $B$19*($DF18=$DG18))</f>
        <v>6.4167542503863972E-2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 $B$18/($B$19*$B$19*($DF18&lt;&gt;$DG18) + $B$19*($DF18=$DG18))</f>
        <v>6.1169088098918072E-2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 $B$18/($B$19*$B$19*($DF18&lt;&gt;$DG18) + $B$19*($DF18=$DG18))</f>
        <v>1.1999999999999999E-3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 $B$18/($B$19*$B$19*($DF18&lt;&gt;$DG18) + $B$19*($DF18=$DG18))</f>
        <v>1.1999999999999999E-3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 $B$18/($B$19*$B$19*($DF18&lt;&gt;$DG18) + $B$19*($DF18=$DG18))</f>
        <v>0.18860340030911896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 $B$18/($B$19*$B$19*($DF18&lt;&gt;$DG18) + $B$19*($DF18=$DG18))</f>
        <v>1.1999999999999999E-3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 $B$18/($B$19*$B$19*($DF18&lt;&gt;$DG18) + $B$19*($DF18=$DG18))</f>
        <v>1.1999999999999999E-3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 $B$18/($B$19*$B$19*($DF18&lt;&gt;$DG18) + $B$19*($DF18=$DG18))</f>
        <v>1.1999999999999999E-3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 $B$18/($B$19*$B$19*($DF18&lt;&gt;$DG18) + $B$19*($DF18=$DG18))</f>
        <v>0.11364204018547136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 $B$18/($B$19*$B$19*($DF18&lt;&gt;$DG18) + $B$19*($DF18=$DG18))</f>
        <v>1.1999999999999999E-3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 $B$18/($B$19*$B$19*($DF18&lt;&gt;$DG18) + $B$19*($DF18=$DG18))</f>
        <v>1.1999999999999999E-3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 $B$18/($B$19*$B$19*($DF18&lt;&gt;$DG18) + $B$19*($DF18=$DG18))</f>
        <v>1.1999999999999999E-3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 $B$18/($B$19*$B$19*($DF18&lt;&gt;$DG18) + $B$19*($DF18=$DG18))</f>
        <v>0.2335802163833075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 $B$18/($B$19*$B$19*($DF18&lt;&gt;$DG18) + $B$19*($DF18=$DG18))</f>
        <v>1.1999999999999999E-3</v>
      </c>
    </row>
    <row r="19" spans="1:127" x14ac:dyDescent="0.2">
      <c r="A19" t="s">
        <v>49</v>
      </c>
      <c r="B19">
        <v>5</v>
      </c>
      <c r="D19" s="10">
        <f ca="1"/>
        <v>4</v>
      </c>
      <c r="F19" s="10">
        <f ca="1"/>
        <v>1</v>
      </c>
      <c r="H19" s="10">
        <f ca="1"/>
        <v>4</v>
      </c>
      <c r="J19" cm="1">
        <f t="array" aca="1" ref="J19" ca="1">SUMPRODUCT((O19:AJ19=$O$11:$AJ$11)*(O$13:AJ$13=TRUE))  / COUNTIF(O$13:AJ$13,TRUE)</f>
        <v>0.2</v>
      </c>
      <c r="K19" t="b">
        <f t="shared" ca="1" si="9"/>
        <v>1</v>
      </c>
      <c r="L19" cm="1">
        <f t="array" aca="1" ref="L19" ca="1">SUM(
   1*(_xlfn._xlws.FILTER(OFFSET($O19,0,0,1,$B$9),OFFSET($O$13,0,0,1,$B$9)) = "-")
) / $B$13</f>
        <v>0.4</v>
      </c>
      <c r="M19" t="b">
        <f t="shared" ca="1" si="3"/>
        <v>1</v>
      </c>
      <c r="N19" s="2">
        <v>4</v>
      </c>
      <c r="O19" s="12" t="s">
        <v>0</v>
      </c>
      <c r="P19" s="9" t="s">
        <v>3</v>
      </c>
      <c r="Q19" s="9" t="s">
        <v>3</v>
      </c>
      <c r="R19" s="9" t="s">
        <v>5</v>
      </c>
      <c r="S19" s="9" t="s">
        <v>5</v>
      </c>
      <c r="AK19" s="7"/>
      <c r="AN19">
        <f t="shared" ca="1" si="4"/>
        <v>1</v>
      </c>
      <c r="AO19" s="14">
        <f t="shared" ca="1" si="5"/>
        <v>1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
) / $B$13)</f>
        <v>0.2</v>
      </c>
      <c r="AR19" cm="1">
        <f t="array" aca="1" ref="AR19" ca="1">IF($AP19=AR$14, 1, SUMPRODUCT(
    --(OFFSET($O$13,0,0,1,$B$9)=TRUE),
    --(INDEX(OFFSET($O$15,0,0,$B$8,$B$9), 1+$AP19, 0) = INDEX(OFFSET($O$15,0,0,$B$8,$B$9), 1+AR$14, 0))
) / $B$13)</f>
        <v>0</v>
      </c>
      <c r="AS19" cm="1">
        <f t="array" aca="1" ref="AS19" ca="1">IF($AP19=AS$14, 1, SUMPRODUCT(
    --(OFFSET($O$13,0,0,1,$B$9)=TRUE),
    --(INDEX(OFFSET($O$15,0,0,$B$8,$B$9), 1+$AP19, 0) = INDEX(OFFSET($O$15,0,0,$B$8,$B$9), 1+AS$14, 0))
) / $B$13)</f>
        <v>0</v>
      </c>
      <c r="AT19" cm="1">
        <f t="array" aca="1" ref="AT19" ca="1">IF($AP19=AT$14, 1, SUMPRODUCT(
    --(OFFSET($O$13,0,0,1,$B$9)=TRUE),
    --(INDEX(OFFSET($O$15,0,0,$B$8,$B$9), 1+$AP19, 0) = INDEX(OFFSET($O$15,0,0,$B$8,$B$9), 1+AT$14, 0))
) / $B$13)</f>
        <v>0</v>
      </c>
      <c r="AU19" cm="1">
        <f t="array" aca="1" ref="AU19" ca="1">IF($AP19=AU$14, 1, SUMPRODUCT(
    --(OFFSET($O$13,0,0,1,$B$9)=TRUE),
    --(INDEX(OFFSET($O$15,0,0,$B$8,$B$9), 1+$AP19, 0) = INDEX(OFFSET($O$15,0,0,$B$8,$B$9), 1+AU$14, 0))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
) / $B$13)</f>
        <v>0.4</v>
      </c>
      <c r="AW19" cm="1">
        <f t="array" aca="1" ref="AW19" ca="1">IF($AP19=AW$14, 1, SUMPRODUCT(
    --(OFFSET($O$13,0,0,1,$B$9)=TRUE),
    --(INDEX(OFFSET($O$15,0,0,$B$8,$B$9), 1+$AP19, 0) = INDEX(OFFSET($O$15,0,0,$B$8,$B$9), 1+AW$14, 0))
) / $B$13)</f>
        <v>0.4</v>
      </c>
      <c r="AX19" cm="1">
        <f t="array" aca="1" ref="AX19" ca="1">IF($AP19=AX$14, 1, SUMPRODUCT(
    --(OFFSET($O$13,0,0,1,$B$9)=TRUE),
    --(INDEX(OFFSET($O$15,0,0,$B$8,$B$9), 1+$AP19, 0) = INDEX(OFFSET($O$15,0,0,$B$8,$B$9), 1+AX$14, 0))
) / $B$13)</f>
        <v>0.4</v>
      </c>
      <c r="AY19" cm="1">
        <f t="array" aca="1" ref="AY19" ca="1">IF($AP19=AY$14, 1, SUMPRODUCT(
    --(OFFSET($O$13,0,0,1,$B$9)=TRUE),
    --(INDEX(OFFSET($O$15,0,0,$B$8,$B$9), 1+$AP19, 0) = INDEX(OFFSET($O$15,0,0,$B$8,$B$9), 1+AY$14, 0))
) / $B$13)</f>
        <v>0.4</v>
      </c>
      <c r="AZ19" cm="1">
        <f t="array" aca="1" ref="AZ19" ca="1">IF($AP19=AZ$14, 1, SUMPRODUCT(
    --(OFFSET($O$13,0,0,1,$B$9)=TRUE),
    --(INDEX(OFFSET($O$15,0,0,$B$8,$B$9), 1+$AP19, 0) = INDEX(OFFSET($O$15,0,0,$B$8,$B$9), 1+AZ$14, 0))
) / $B$13)</f>
        <v>0.2</v>
      </c>
      <c r="BA19" cm="1">
        <f t="array" aca="1" ref="BA19" ca="1">IF($AP19=BA$14, 1, SUMPRODUCT(
    --(OFFSET($O$13,0,0,1,$B$9)=TRUE),
    --(INDEX(OFFSET($O$15,0,0,$B$8,$B$9), 1+$AP19, 0) = INDEX(OFFSET($O$15,0,0,$B$8,$B$9), 1+BA$14, 0))
) / $B$13)</f>
        <v>0</v>
      </c>
      <c r="BB19" cm="1">
        <f t="array" aca="1" ref="BB19" ca="1">IF($AP19=BB$14, 1, SUMPRODUCT(
    --(OFFSET($O$13,0,0,1,$B$9)=TRUE),
    --(INDEX(OFFSET($O$15,0,0,$B$8,$B$9), 1+$AP19, 0) = INDEX(OFFSET($O$15,0,0,$B$8,$B$9), 1+BB$14, 0))
) / $B$13)</f>
        <v>0</v>
      </c>
      <c r="BC19" cm="1">
        <f t="array" aca="1" ref="BC19" ca="1">IF($AP19=BC$14, 1, SUMPRODUCT(
    --(OFFSET($O$13,0,0,1,$B$9)=TRUE),
    --(INDEX(OFFSET($O$15,0,0,$B$8,$B$9), 1+$AP19, 0) = INDEX(OFFSET($O$15,0,0,$B$8,$B$9), 1+BC$14, 0))
) / $B$13)</f>
        <v>0</v>
      </c>
      <c r="BD19" cm="1">
        <f t="array" aca="1" ref="BD19" ca="1">IF($AP19=BD$14, 1, SUMPRODUCT(
    --(OFFSET($O$13,0,0,1,$B$9)=TRUE),
    --(INDEX(OFFSET($O$15,0,0,$B$8,$B$9), 1+$AP19, 0) = INDEX(OFFSET($O$15,0,0,$B$8,$B$9), 1+BD$14, 0))
) / $B$13)</f>
        <v>0.2</v>
      </c>
      <c r="BE19" cm="1">
        <f t="array" aca="1" ref="BE19" ca="1">IF($AP19=BE$14, 1, SUMPRODUCT(
    --(OFFSET($O$13,0,0,1,$B$9)=TRUE),
    --(INDEX(OFFSET($O$15,0,0,$B$8,$B$9), 1+$AP19, 0) = INDEX(OFFSET($O$15,0,0,$B$8,$B$9), 1+BE$14, 0))
) / $B$13)</f>
        <v>0</v>
      </c>
      <c r="BF19" cm="1">
        <f t="array" aca="1" ref="BF19" ca="1">IF($AP19=BF$14, 1, SUMPRODUCT(
    --(OFFSET($O$13,0,0,1,$B$9)=TRUE),
    --(INDEX(OFFSET($O$15,0,0,$B$8,$B$9), 1+$AP19, 0) = INDEX(OFFSET($O$15,0,0,$B$8,$B$9), 1+BF$14, 0))
) / $B$13)</f>
        <v>0</v>
      </c>
      <c r="BG19" cm="1">
        <f t="array" aca="1" ref="BG19" ca="1">IF($AP19=BG$14, 1, SUMPRODUCT(
    --(OFFSET($O$13,0,0,1,$B$9)=TRUE),
    --(INDEX(OFFSET($O$15,0,0,$B$8,$B$9), 1+$AP19, 0) = INDEX(OFFSET($O$15,0,0,$B$8,$B$9), 1+BG$14, 0))
) / $B$13)</f>
        <v>0</v>
      </c>
      <c r="BH19" cm="1">
        <f t="array" aca="1" ref="BH19" ca="1">IF($AP19=BH$14, 1, SUMPRODUCT(
    --(OFFSET($O$13,0,0,1,$B$9)=TRUE),
    --(INDEX(OFFSET($O$15,0,0,$B$8,$B$9), 1+$AP19, 0) = INDEX(OFFSET($O$15,0,0,$B$8,$B$9), 1+BH$14, 0))
) / $B$13)</f>
        <v>0.2</v>
      </c>
      <c r="BI19" cm="1">
        <f t="array" aca="1" ref="BI19" ca="1">IF($AP19=BI$14, 1, SUMPRODUCT(
    --(OFFSET($O$13,0,0,1,$B$9)=TRUE),
    --(INDEX(OFFSET($O$15,0,0,$B$8,$B$9), 1+$AP19, 0) = INDEX(OFFSET($O$15,0,0,$B$8,$B$9), 1+BI$14, 0))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
) / $B$13)</f>
        <v>0.2</v>
      </c>
      <c r="BN19">
        <f t="shared" ca="1" si="6"/>
        <v>1</v>
      </c>
      <c r="BO19" s="14">
        <f t="shared" ca="1" si="7"/>
        <v>1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
) / $B$16)</f>
        <v>0.2</v>
      </c>
      <c r="BR19" cm="1">
        <f t="array" aca="1" ref="BR19" ca="1">IF($BP19=BR$14, 1, SUMPRODUCT(
    --(OFFSET($O$9,0,0,1,$B$9)=TRUE),
    --(INDEX(OFFSET($O$15,0,0,$B$8,$B$9), 1+$BP19, 0) = INDEX(OFFSET($O$15,0,0,$B$8,$B$9), 1+BR$14, 0))
) / $B$16)</f>
        <v>0</v>
      </c>
      <c r="BS19" cm="1">
        <f t="array" aca="1" ref="BS19" ca="1">IF($BP19=BS$14, 1, SUMPRODUCT(
    --(OFFSET($O$9,0,0,1,$B$9)=TRUE),
    --(INDEX(OFFSET($O$15,0,0,$B$8,$B$9), 1+$BP19, 0) = INDEX(OFFSET($O$15,0,0,$B$8,$B$9), 1+BS$14, 0))
) / $B$16)</f>
        <v>0</v>
      </c>
      <c r="BT19" cm="1">
        <f t="array" aca="1" ref="BT19" ca="1">IF($BP19=BT$14, 1, SUMPRODUCT(
    --(OFFSET($O$9,0,0,1,$B$9)=TRUE),
    --(INDEX(OFFSET($O$15,0,0,$B$8,$B$9), 1+$BP19, 0) = INDEX(OFFSET($O$15,0,0,$B$8,$B$9), 1+BT$14, 0))
) / $B$16)</f>
        <v>0</v>
      </c>
      <c r="BU19" cm="1">
        <f t="array" aca="1" ref="BU19" ca="1">IF($BP19=BU$14, 1, SUMPRODUCT(
    --(OFFSET($O$9,0,0,1,$B$9)=TRUE),
    --(INDEX(OFFSET($O$15,0,0,$B$8,$B$9), 1+$BP19, 0) = INDEX(OFFSET($O$15,0,0,$B$8,$B$9), 1+BU$14, 0))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
) / $B$16)</f>
        <v>0.4</v>
      </c>
      <c r="BW19" cm="1">
        <f t="array" aca="1" ref="BW19" ca="1">IF($BP19=BW$14, 1, SUMPRODUCT(
    --(OFFSET($O$9,0,0,1,$B$9)=TRUE),
    --(INDEX(OFFSET($O$15,0,0,$B$8,$B$9), 1+$BP19, 0) = INDEX(OFFSET($O$15,0,0,$B$8,$B$9), 1+BW$14, 0))
) / $B$16)</f>
        <v>0.4</v>
      </c>
      <c r="BX19" cm="1">
        <f t="array" aca="1" ref="BX19" ca="1">IF($BP19=BX$14, 1, SUMPRODUCT(
    --(OFFSET($O$9,0,0,1,$B$9)=TRUE),
    --(INDEX(OFFSET($O$15,0,0,$B$8,$B$9), 1+$BP19, 0) = INDEX(OFFSET($O$15,0,0,$B$8,$B$9), 1+BX$14, 0))
) / $B$16)</f>
        <v>0.4</v>
      </c>
      <c r="BY19" cm="1">
        <f t="array" aca="1" ref="BY19" ca="1">IF($BP19=BY$14, 1, SUMPRODUCT(
    --(OFFSET($O$9,0,0,1,$B$9)=TRUE),
    --(INDEX(OFFSET($O$15,0,0,$B$8,$B$9), 1+$BP19, 0) = INDEX(OFFSET($O$15,0,0,$B$8,$B$9), 1+BY$14, 0))
) / $B$16)</f>
        <v>0.4</v>
      </c>
      <c r="BZ19" cm="1">
        <f t="array" aca="1" ref="BZ19" ca="1">IF($BP19=BZ$14, 1, SUMPRODUCT(
    --(OFFSET($O$9,0,0,1,$B$9)=TRUE),
    --(INDEX(OFFSET($O$15,0,0,$B$8,$B$9), 1+$BP19, 0) = INDEX(OFFSET($O$15,0,0,$B$8,$B$9), 1+BZ$14, 0))
) / $B$16)</f>
        <v>0.2</v>
      </c>
      <c r="CA19" cm="1">
        <f t="array" aca="1" ref="CA19" ca="1">IF($BP19=CA$14, 1, SUMPRODUCT(
    --(OFFSET($O$9,0,0,1,$B$9)=TRUE),
    --(INDEX(OFFSET($O$15,0,0,$B$8,$B$9), 1+$BP19, 0) = INDEX(OFFSET($O$15,0,0,$B$8,$B$9), 1+CA$14, 0))
) / $B$16)</f>
        <v>0</v>
      </c>
      <c r="CB19" cm="1">
        <f t="array" aca="1" ref="CB19" ca="1">IF($BP19=CB$14, 1, SUMPRODUCT(
    --(OFFSET($O$9,0,0,1,$B$9)=TRUE),
    --(INDEX(OFFSET($O$15,0,0,$B$8,$B$9), 1+$BP19, 0) = INDEX(OFFSET($O$15,0,0,$B$8,$B$9), 1+CB$14, 0))
) / $B$16)</f>
        <v>0</v>
      </c>
      <c r="CC19" cm="1">
        <f t="array" aca="1" ref="CC19" ca="1">IF($BP19=CC$14, 1, SUMPRODUCT(
    --(OFFSET($O$9,0,0,1,$B$9)=TRUE),
    --(INDEX(OFFSET($O$15,0,0,$B$8,$B$9), 1+$BP19, 0) = INDEX(OFFSET($O$15,0,0,$B$8,$B$9), 1+CC$14, 0))
) / $B$16)</f>
        <v>0</v>
      </c>
      <c r="CD19" cm="1">
        <f t="array" aca="1" ref="CD19" ca="1">IF($BP19=CD$14, 1, SUMPRODUCT(
    --(OFFSET($O$9,0,0,1,$B$9)=TRUE),
    --(INDEX(OFFSET($O$15,0,0,$B$8,$B$9), 1+$BP19, 0) = INDEX(OFFSET($O$15,0,0,$B$8,$B$9), 1+CD$14, 0))
) / $B$16)</f>
        <v>0.2</v>
      </c>
      <c r="CE19" cm="1">
        <f t="array" aca="1" ref="CE19" ca="1">IF($BP19=CE$14, 1, SUMPRODUCT(
    --(OFFSET($O$9,0,0,1,$B$9)=TRUE),
    --(INDEX(OFFSET($O$15,0,0,$B$8,$B$9), 1+$BP19, 0) = INDEX(OFFSET($O$15,0,0,$B$8,$B$9), 1+CE$14, 0))
) / $B$16)</f>
        <v>0</v>
      </c>
      <c r="CF19" cm="1">
        <f t="array" aca="1" ref="CF19" ca="1">IF($BP19=CF$14, 1, SUMPRODUCT(
    --(OFFSET($O$9,0,0,1,$B$9)=TRUE),
    --(INDEX(OFFSET($O$15,0,0,$B$8,$B$9), 1+$BP19, 0) = INDEX(OFFSET($O$15,0,0,$B$8,$B$9), 1+CF$14, 0))
) / $B$16)</f>
        <v>0</v>
      </c>
      <c r="CG19" cm="1">
        <f t="array" aca="1" ref="CG19" ca="1">IF($BP19=CG$14, 1, SUMPRODUCT(
    --(OFFSET($O$9,0,0,1,$B$9)=TRUE),
    --(INDEX(OFFSET($O$15,0,0,$B$8,$B$9), 1+$BP19, 0) = INDEX(OFFSET($O$15,0,0,$B$8,$B$9), 1+CG$14, 0))
) / $B$16)</f>
        <v>0</v>
      </c>
      <c r="CH19" cm="1">
        <f t="array" aca="1" ref="CH19" ca="1">IF($BP19=CH$14, 1, SUMPRODUCT(
    --(OFFSET($O$9,0,0,1,$B$9)=TRUE),
    --(INDEX(OFFSET($O$15,0,0,$B$8,$B$9), 1+$BP19, 0) = INDEX(OFFSET($O$15,0,0,$B$8,$B$9), 1+CH$14, 0))
) / $B$16)</f>
        <v>0.2</v>
      </c>
      <c r="CI19" cm="1">
        <f t="array" aca="1" ref="CI19" ca="1">IF($BP19=CI$14, 1, SUMPRODUCT(
    --(OFFSET($O$9,0,0,1,$B$9)=TRUE),
    --(INDEX(OFFSET($O$15,0,0,$B$8,$B$9), 1+$BP19, 0) = INDEX(OFFSET($O$15,0,0,$B$8,$B$9), 1+CI$14, 0))
) / $B$16)</f>
        <v>0.2</v>
      </c>
      <c r="CJ19" cm="1">
        <f t="array" aca="1" ref="CJ19" ca="1">IF($BP19=CJ$14, 1, SUMPRODUCT(
    --(OFFSET($O$9,0,0,1,$B$9)=TRUE),
    --(INDEX(OFFSET($O$15,0,0,$B$8,$B$9), 1+$BP19, 0) = INDEX(OFFSET($O$15,0,0,$B$8,$B$9), 1+CJ$14, 0))
) / $B$16)</f>
        <v>0.2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0.18590726429675422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6.0000000000000001E-3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8.0961360123647588E-2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0.54122411128284365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0.18590726429675422</v>
      </c>
      <c r="CX19" s="10" cm="1">
        <f t="array" aca="1" ref="CX19" ca="1">SUM(OFFSET($CR19,0,0,1,$M$2)*LN(OFFSET($CR19,0,0,1,$M$2)/OFFSET($CR$11,0,0,1,$M$2)))+IF($CQ$11&gt;0,OFFSET($O$10,0,$CP19,1,1)*LN(OFFSET($O$10,0,$CP19,1,1)/$CQ$11),0)</f>
        <v>0.47313571503202179</v>
      </c>
      <c r="CY19">
        <f ca="1"/>
        <v>4</v>
      </c>
      <c r="CZ19" s="10">
        <f t="shared" ca="1" si="10"/>
        <v>0.2575958074336554</v>
      </c>
      <c r="DA19" s="10">
        <f t="shared" ca="1" si="8"/>
        <v>9.5516126572291582E-2</v>
      </c>
      <c r="DB19" s="10">
        <f t="shared" ca="1" si="8"/>
        <v>0.19253306741929693</v>
      </c>
      <c r="DC19" s="10">
        <f t="shared" ca="1" si="8"/>
        <v>1.168834393452918E-2</v>
      </c>
      <c r="DF19" cm="1">
        <f t="array" aca="1" ref="DF19" ca="1">INDEX(_xlfn.ANCHORARRAY($CP$15), 1 + INT((ROWS($DG$15:$DG19) - 1) / ROWS(_xlfn.ANCHORARRAY($CP$15))))</f>
        <v>0</v>
      </c>
      <c r="DG19" cm="1">
        <f t="array" aca="1" ref="DG19" ca="1">INDEX(_xlfn.ANCHORARRAY($CP$15),1+MOD(ROWS($DG$15:$DG19)-1,ROWS(_xlfn.ANCHORARRAY($CP$15))))</f>
        <v>4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 $B$18/($B$19*$B$19*($DF19&lt;&gt;$DG19) + $B$19*($DF19=$DG19))</f>
        <v>1.1999999999999999E-3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 $B$18/($B$19*$B$19*($DF19&lt;&gt;$DG19) + $B$19*($DF19=$DG19))</f>
        <v>7.616136012364759E-2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 $B$18/($B$19*$B$19*($DF19&lt;&gt;$DG19) + $B$19*($DF19=$DG19))</f>
        <v>0.18410571870170012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 $B$18/($B$19*$B$19*($DF19&lt;&gt;$DG19) + $B$19*($DF19=$DG19))</f>
        <v>1.1999999999999999E-3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 $B$18/($B$19*$B$19*($DF19&lt;&gt;$DG19) + $B$19*($DF19=$DG19))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 $B$18/($B$19*$B$19*($DF19&lt;&gt;$DG19) + $B$19*($DF19=$DG19))</f>
        <v>1.1999999999999999E-3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 $B$18/($B$19*$B$19*($DF19&lt;&gt;$DG19) + $B$19*($DF19=$DG19))</f>
        <v>9.8649768160741877E-2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 $B$18/($B$19*$B$19*($DF19&lt;&gt;$DG19) + $B$19*($DF19=$DG19))</f>
        <v>1.1999999999999999E-3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 $B$18/($B$19*$B$19*($DF19&lt;&gt;$DG19) + $B$19*($DF19=$DG19))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 $B$18/($B$19*$B$19*($DF19&lt;&gt;$DG19) + $B$19*($DF19=$DG19))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 $B$18/($B$19*$B$19*($DF19&lt;&gt;$DG19) + $B$19*($DF19=$DG19))</f>
        <v>0.11364204018547136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 $B$18/($B$19*$B$19*($DF19&lt;&gt;$DG19) + $B$19*($DF19=$DG19))</f>
        <v>1.1999999999999999E-3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 $B$18/($B$19*$B$19*($DF19&lt;&gt;$DG19) + $B$19*($DF19=$DG19))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 $B$18/($B$19*$B$19*($DF19&lt;&gt;$DG19) + $B$19*($DF19=$DG19))</f>
        <v>1.1999999999999999E-3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 $B$18/($B$19*$B$19*($DF19&lt;&gt;$DG19) + $B$19*($DF19=$DG19))</f>
        <v>0.14362658423493041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 $B$18/($B$19*$B$19*($DF19&lt;&gt;$DG19) + $B$19*($DF19=$DG19))</f>
        <v>9.1153632148377114E-2</v>
      </c>
    </row>
    <row r="20" spans="1:127" x14ac:dyDescent="0.2">
      <c r="D20" s="10">
        <f ca="1"/>
        <v>5</v>
      </c>
      <c r="F20" s="10">
        <f ca="1"/>
        <v>0.33333333333333331</v>
      </c>
      <c r="H20" s="10"/>
      <c r="J20" cm="1">
        <f t="array" aca="1" ref="J20" ca="1">SUMPRODUCT((O20:AJ20=$O$11:$AJ$11)*(O$13:AJ$13=TRUE))  / COUNTIF(O$13:AJ$13,TRUE)</f>
        <v>0.4</v>
      </c>
      <c r="K20" t="b">
        <f t="shared" ca="1" si="9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3"/>
        <v>1</v>
      </c>
      <c r="N20" s="2">
        <v>5</v>
      </c>
      <c r="O20" s="12" t="s">
        <v>4</v>
      </c>
      <c r="P20" s="9" t="s">
        <v>3</v>
      </c>
      <c r="Q20" s="9" t="s">
        <v>3</v>
      </c>
      <c r="R20" s="9" t="s">
        <v>3</v>
      </c>
      <c r="S20" s="9" t="s">
        <v>3</v>
      </c>
      <c r="AK20" s="7"/>
      <c r="AN20">
        <f t="shared" ca="1" si="4"/>
        <v>3</v>
      </c>
      <c r="AO20" s="14">
        <f t="shared" ca="1" si="5"/>
        <v>0.33333333333333331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
) / $B$13)</f>
        <v>0.4</v>
      </c>
      <c r="AR20" cm="1">
        <f t="array" aca="1" ref="AR20" ca="1">IF($AP20=AR$14, 1, SUMPRODUCT(
    --(OFFSET($O$13,0,0,1,$B$9)=TRUE),
    --(INDEX(OFFSET($O$15,0,0,$B$8,$B$9), 1+$AP20, 0) = INDEX(OFFSET($O$15,0,0,$B$8,$B$9), 1+AR$14, 0))
) / $B$13)</f>
        <v>0.6</v>
      </c>
      <c r="AS20" cm="1">
        <f t="array" aca="1" ref="AS20" ca="1">IF($AP20=AS$14, 1, SUMPRODUCT(
    --(OFFSET($O$13,0,0,1,$B$9)=TRUE),
    --(INDEX(OFFSET($O$15,0,0,$B$8,$B$9), 1+$AP20, 0) = INDEX(OFFSET($O$15,0,0,$B$8,$B$9), 1+AS$14, 0))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
) / $B$13)</f>
        <v>0.4</v>
      </c>
      <c r="AU20" cm="1">
        <f t="array" aca="1" ref="AU20" ca="1">IF($AP20=AU$14, 1, SUMPRODUCT(
    --(OFFSET($O$13,0,0,1,$B$9)=TRUE),
    --(INDEX(OFFSET($O$15,0,0,$B$8,$B$9), 1+$AP20, 0) = INDEX(OFFSET($O$15,0,0,$B$8,$B$9), 1+AU$14, 0))
) / $B$13)</f>
        <v>0.4</v>
      </c>
      <c r="AV20" cm="1">
        <f t="array" aca="1" ref="AV20" ca="1">IF($AP20=AV$14, 1, SUMPRODUCT(
    --(OFFSET($O$13,0,0,1,$B$9)=TRUE),
    --(INDEX(OFFSET($O$15,0,0,$B$8,$B$9), 1+$AP20, 0) = INDEX(OFFSET($O$15,0,0,$B$8,$B$9), 1+AV$14, 0))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
) / $B$13)</f>
        <v>0.8</v>
      </c>
      <c r="AX20" cm="1">
        <f t="array" aca="1" ref="AX20" ca="1">IF($AP20=AX$14, 1, SUMPRODUCT(
    --(OFFSET($O$13,0,0,1,$B$9)=TRUE),
    --(INDEX(OFFSET($O$15,0,0,$B$8,$B$9), 1+$AP20, 0) = INDEX(OFFSET($O$15,0,0,$B$8,$B$9), 1+AX$14, 0))
) / $B$13)</f>
        <v>0.8</v>
      </c>
      <c r="AY20" cm="1">
        <f t="array" aca="1" ref="AY20" ca="1">IF($AP20=AY$14, 1, SUMPRODUCT(
    --(OFFSET($O$13,0,0,1,$B$9)=TRUE),
    --(INDEX(OFFSET($O$15,0,0,$B$8,$B$9), 1+$AP20, 0) = INDEX(OFFSET($O$15,0,0,$B$8,$B$9), 1+AY$14, 0))
) / $B$13)</f>
        <v>0.2</v>
      </c>
      <c r="AZ20" cm="1">
        <f t="array" aca="1" ref="AZ20" ca="1">IF($AP20=AZ$14, 1, SUMPRODUCT(
    --(OFFSET($O$13,0,0,1,$B$9)=TRUE),
    --(INDEX(OFFSET($O$15,0,0,$B$8,$B$9), 1+$AP20, 0) = INDEX(OFFSET($O$15,0,0,$B$8,$B$9), 1+AZ$14, 0))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
) / $B$13)</f>
        <v>0.4</v>
      </c>
      <c r="BB20" cm="1">
        <f t="array" aca="1" ref="BB20" ca="1">IF($AP20=BB$14, 1, SUMPRODUCT(
    --(OFFSET($O$13,0,0,1,$B$9)=TRUE),
    --(INDEX(OFFSET($O$15,0,0,$B$8,$B$9), 1+$AP20, 0) = INDEX(OFFSET($O$15,0,0,$B$8,$B$9), 1+BB$14, 0))
) / $B$13)</f>
        <v>0.6</v>
      </c>
      <c r="BC20" cm="1">
        <f t="array" aca="1" ref="BC20" ca="1">IF($AP20=BC$14, 1, SUMPRODUCT(
    --(OFFSET($O$13,0,0,1,$B$9)=TRUE),
    --(INDEX(OFFSET($O$15,0,0,$B$8,$B$9), 1+$AP20, 0) = INDEX(OFFSET($O$15,0,0,$B$8,$B$9), 1+BC$14, 0))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
) / $B$13)</f>
        <v>0.2</v>
      </c>
      <c r="BE20" cm="1">
        <f t="array" aca="1" ref="BE20" ca="1">IF($AP20=BE$14, 1, SUMPRODUCT(
    --(OFFSET($O$13,0,0,1,$B$9)=TRUE),
    --(INDEX(OFFSET($O$15,0,0,$B$8,$B$9), 1+$AP20, 0) = INDEX(OFFSET($O$15,0,0,$B$8,$B$9), 1+BE$14, 0))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
) / $B$13)</f>
        <v>0.4</v>
      </c>
      <c r="BG20" cm="1">
        <f t="array" aca="1" ref="BG20" ca="1">IF($AP20=BG$14, 1, SUMPRODUCT(
    --(OFFSET($O$13,0,0,1,$B$9)=TRUE),
    --(INDEX(OFFSET($O$15,0,0,$B$8,$B$9), 1+$AP20, 0) = INDEX(OFFSET($O$15,0,0,$B$8,$B$9), 1+BG$14, 0))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
) / $B$13)</f>
        <v>0</v>
      </c>
      <c r="BI20" cm="1">
        <f t="array" aca="1" ref="BI20" ca="1">IF($AP20=BI$14, 1, SUMPRODUCT(
    --(OFFSET($O$13,0,0,1,$B$9)=TRUE),
    --(INDEX(OFFSET($O$15,0,0,$B$8,$B$9), 1+$AP20, 0) = INDEX(OFFSET($O$15,0,0,$B$8,$B$9), 1+BI$14, 0))
) / $B$13)</f>
        <v>0</v>
      </c>
      <c r="BJ20" cm="1">
        <f t="array" aca="1" ref="BJ20" ca="1">IF($AP20=BJ$14, 1, SUMPRODUCT(
    --(OFFSET($O$13,0,0,1,$B$9)=TRUE),
    --(INDEX(OFFSET($O$15,0,0,$B$8,$B$9), 1+$AP20, 0) = INDEX(OFFSET($O$15,0,0,$B$8,$B$9), 1+BJ$14, 0))
) / $B$13)</f>
        <v>0.2</v>
      </c>
      <c r="BN20">
        <f t="shared" ca="1" si="6"/>
        <v>3</v>
      </c>
      <c r="BO20" s="14">
        <f t="shared" ca="1" si="7"/>
        <v>0.33333333333333331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
) / $B$16)</f>
        <v>0.4</v>
      </c>
      <c r="BR20" cm="1">
        <f t="array" aca="1" ref="BR20" ca="1">IF($BP20=BR$14, 1, SUMPRODUCT(
    --(OFFSET($O$9,0,0,1,$B$9)=TRUE),
    --(INDEX(OFFSET($O$15,0,0,$B$8,$B$9), 1+$BP20, 0) = INDEX(OFFSET($O$15,0,0,$B$8,$B$9), 1+BR$14, 0))
) / $B$16)</f>
        <v>0.6</v>
      </c>
      <c r="BS20" cm="1">
        <f t="array" aca="1" ref="BS20" ca="1">IF($BP20=BS$14, 1, SUMPRODUCT(
    --(OFFSET($O$9,0,0,1,$B$9)=TRUE),
    --(INDEX(OFFSET($O$15,0,0,$B$8,$B$9), 1+$BP20, 0) = INDEX(OFFSET($O$15,0,0,$B$8,$B$9), 1+BS$14, 0))
) / $B$16)</f>
        <v>0.4</v>
      </c>
      <c r="BT20" cm="1">
        <f t="array" aca="1" ref="BT20" ca="1">IF($BP20=BT$14, 1, SUMPRODUCT(
    --(OFFSET($O$9,0,0,1,$B$9)=TRUE),
    --(INDEX(OFFSET($O$15,0,0,$B$8,$B$9), 1+$BP20, 0) = INDEX(OFFSET($O$15,0,0,$B$8,$B$9), 1+BT$14, 0))
) / $B$16)</f>
        <v>0.4</v>
      </c>
      <c r="BU20" cm="1">
        <f t="array" aca="1" ref="BU20" ca="1">IF($BP20=BU$14, 1, SUMPRODUCT(
    --(OFFSET($O$9,0,0,1,$B$9)=TRUE),
    --(INDEX(OFFSET($O$15,0,0,$B$8,$B$9), 1+$BP20, 0) = INDEX(OFFSET($O$15,0,0,$B$8,$B$9), 1+BU$14, 0))
) / $B$16)</f>
        <v>0.4</v>
      </c>
      <c r="BV20" cm="1">
        <f t="array" aca="1" ref="BV20" ca="1">IF($BP20=BV$14, 1, SUMPRODUCT(
    --(OFFSET($O$9,0,0,1,$B$9)=TRUE),
    --(INDEX(OFFSET($O$15,0,0,$B$8,$B$9), 1+$BP20, 0) = INDEX(OFFSET($O$15,0,0,$B$8,$B$9), 1+BV$14, 0))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
) / $B$16)</f>
        <v>0.8</v>
      </c>
      <c r="BX20" cm="1">
        <f t="array" aca="1" ref="BX20" ca="1">IF($BP20=BX$14, 1, SUMPRODUCT(
    --(OFFSET($O$9,0,0,1,$B$9)=TRUE),
    --(INDEX(OFFSET($O$15,0,0,$B$8,$B$9), 1+$BP20, 0) = INDEX(OFFSET($O$15,0,0,$B$8,$B$9), 1+BX$14, 0))
) / $B$16)</f>
        <v>0.8</v>
      </c>
      <c r="BY20" cm="1">
        <f t="array" aca="1" ref="BY20" ca="1">IF($BP20=BY$14, 1, SUMPRODUCT(
    --(OFFSET($O$9,0,0,1,$B$9)=TRUE),
    --(INDEX(OFFSET($O$15,0,0,$B$8,$B$9), 1+$BP20, 0) = INDEX(OFFSET($O$15,0,0,$B$8,$B$9), 1+BY$14, 0))
) / $B$16)</f>
        <v>0.2</v>
      </c>
      <c r="BZ20" cm="1">
        <f t="array" aca="1" ref="BZ20" ca="1">IF($BP20=BZ$14, 1, SUMPRODUCT(
    --(OFFSET($O$9,0,0,1,$B$9)=TRUE),
    --(INDEX(OFFSET($O$15,0,0,$B$8,$B$9), 1+$BP20, 0) = INDEX(OFFSET($O$15,0,0,$B$8,$B$9), 1+BZ$14, 0))
) / $B$16)</f>
        <v>0.4</v>
      </c>
      <c r="CA20" cm="1">
        <f t="array" aca="1" ref="CA20" ca="1">IF($BP20=CA$14, 1, SUMPRODUCT(
    --(OFFSET($O$9,0,0,1,$B$9)=TRUE),
    --(INDEX(OFFSET($O$15,0,0,$B$8,$B$9), 1+$BP20, 0) = INDEX(OFFSET($O$15,0,0,$B$8,$B$9), 1+CA$14, 0))
) / $B$16)</f>
        <v>0.4</v>
      </c>
      <c r="CB20" cm="1">
        <f t="array" aca="1" ref="CB20" ca="1">IF($BP20=CB$14, 1, SUMPRODUCT(
    --(OFFSET($O$9,0,0,1,$B$9)=TRUE),
    --(INDEX(OFFSET($O$15,0,0,$B$8,$B$9), 1+$BP20, 0) = INDEX(OFFSET($O$15,0,0,$B$8,$B$9), 1+CB$14, 0))
) / $B$16)</f>
        <v>0.6</v>
      </c>
      <c r="CC20" cm="1">
        <f t="array" aca="1" ref="CC20" ca="1">IF($BP20=CC$14, 1, SUMPRODUCT(
    --(OFFSET($O$9,0,0,1,$B$9)=TRUE),
    --(INDEX(OFFSET($O$15,0,0,$B$8,$B$9), 1+$BP20, 0) = INDEX(OFFSET($O$15,0,0,$B$8,$B$9), 1+CC$14, 0))
) / $B$16)</f>
        <v>0.4</v>
      </c>
      <c r="CD20" cm="1">
        <f t="array" aca="1" ref="CD20" ca="1">IF($BP20=CD$14, 1, SUMPRODUCT(
    --(OFFSET($O$9,0,0,1,$B$9)=TRUE),
    --(INDEX(OFFSET($O$15,0,0,$B$8,$B$9), 1+$BP20, 0) = INDEX(OFFSET($O$15,0,0,$B$8,$B$9), 1+CD$14, 0))
) / $B$16)</f>
        <v>0.2</v>
      </c>
      <c r="CE20" cm="1">
        <f t="array" aca="1" ref="CE20" ca="1">IF($BP20=CE$14, 1, SUMPRODUCT(
    --(OFFSET($O$9,0,0,1,$B$9)=TRUE),
    --(INDEX(OFFSET($O$15,0,0,$B$8,$B$9), 1+$BP20, 0) = INDEX(OFFSET($O$15,0,0,$B$8,$B$9), 1+CE$14, 0))
) / $B$16)</f>
        <v>0.4</v>
      </c>
      <c r="CF20" cm="1">
        <f t="array" aca="1" ref="CF20" ca="1">IF($BP20=CF$14, 1, SUMPRODUCT(
    --(OFFSET($O$9,0,0,1,$B$9)=TRUE),
    --(INDEX(OFFSET($O$15,0,0,$B$8,$B$9), 1+$BP20, 0) = INDEX(OFFSET($O$15,0,0,$B$8,$B$9), 1+CF$14, 0))
) / $B$16)</f>
        <v>0.4</v>
      </c>
      <c r="CG20" cm="1">
        <f t="array" aca="1" ref="CG20" ca="1">IF($BP20=CG$14, 1, SUMPRODUCT(
    --(OFFSET($O$9,0,0,1,$B$9)=TRUE),
    --(INDEX(OFFSET($O$15,0,0,$B$8,$B$9), 1+$BP20, 0) = INDEX(OFFSET($O$15,0,0,$B$8,$B$9), 1+CG$14, 0))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
) / $B$16)</f>
        <v>0</v>
      </c>
      <c r="CI20" cm="1">
        <f t="array" aca="1" ref="CI20" ca="1">IF($BP20=CI$14, 1, SUMPRODUCT(
    --(OFFSET($O$9,0,0,1,$B$9)=TRUE),
    --(INDEX(OFFSET($O$15,0,0,$B$8,$B$9), 1+$BP20, 0) = INDEX(OFFSET($O$15,0,0,$B$8,$B$9), 1+CI$14, 0))
) / $B$16)</f>
        <v>0</v>
      </c>
      <c r="CJ20" cm="1">
        <f t="array" aca="1" ref="CJ20" ca="1">IF($BP20=CJ$14, 1, SUMPRODUCT(
    --(OFFSET($O$9,0,0,1,$B$9)=TRUE),
    --(INDEX(OFFSET($O$15,0,0,$B$8,$B$9), 1+$BP20, 0) = INDEX(OFFSET($O$15,0,0,$B$8,$B$9), 1+CJ$14, 0))
) / $B$16)</f>
        <v>0.2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0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 $B$18/($B$19*$B$19*($DF20&lt;&gt;$DG20) + $B$19*($DF20=$DG20))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 $B$18/($B$19*$B$19*($DF20&lt;&gt;$DG20) + $B$19*($DF20=$DG20))</f>
        <v>1.1999999999999999E-3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 $B$18/($B$19*$B$19*($DF20&lt;&gt;$DG20) + $B$19*($DF20=$DG20))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 $B$18/($B$19*$B$19*($DF20&lt;&gt;$DG20) + $B$19*($DF20=$DG20))</f>
        <v>1.1999999999999999E-3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 $B$18/($B$19*$B$19*($DF20&lt;&gt;$DG20) + $B$19*($DF20=$DG20))</f>
        <v>0.13613044822256568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 $B$18/($B$19*$B$19*($DF20&lt;&gt;$DG20) + $B$19*($DF20=$DG20))</f>
        <v>4.6176816074188554E-2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 $B$18/($B$19*$B$19*($DF20&lt;&gt;$DG20) + $B$19*($DF20=$DG20))</f>
        <v>6.1169088098918072E-2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 $B$18/($B$19*$B$19*($DF20&lt;&gt;$DG20) + $B$19*($DF20=$DG20))</f>
        <v>9.1153632148377114E-2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 $B$18/($B$19*$B$19*($DF20&lt;&gt;$DG20) + $B$19*($DF20=$DG20))</f>
        <v>9.1153632148377114E-2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 $B$18/($B$19*$B$19*($DF20&lt;&gt;$DG20) + $B$19*($DF20=$DG20))</f>
        <v>3.1184544049459036E-2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 $B$18/($B$19*$B$19*($DF20&lt;&gt;$DG20) + $B$19*($DF20=$DG20))</f>
        <v>3.1184544049459036E-2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 $B$18/($B$19*$B$19*($DF20&lt;&gt;$DG20) + $B$19*($DF20=$DG20))</f>
        <v>3.1184544049459036E-2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 $B$18/($B$19*$B$19*($DF20&lt;&gt;$DG20) + $B$19*($DF20=$DG20))</f>
        <v>0.12413663060278204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 $B$18/($B$19*$B$19*($DF20&lt;&gt;$DG20) + $B$19*($DF20=$DG20))</f>
        <v>2.3688408037094277E-2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 $B$18/($B$19*$B$19*($DF20&lt;&gt;$DG20) + $B$19*($DF20=$DG20))</f>
        <v>2.3688408037094277E-2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 $B$18/($B$19*$B$19*($DF20&lt;&gt;$DG20) + $B$19*($DF20=$DG20))</f>
        <v>2.3688408037094277E-2</v>
      </c>
    </row>
    <row r="21" spans="1:127" x14ac:dyDescent="0.2">
      <c r="D21" s="10">
        <f ca="1"/>
        <v>6</v>
      </c>
      <c r="F21" s="10">
        <f ca="1"/>
        <v>0.33333333333333331</v>
      </c>
      <c r="H21" s="10"/>
      <c r="J21" cm="1">
        <f t="array" aca="1" ref="J21" ca="1">SUMPRODUCT((O21:AJ21=$O$11:$AJ$11)*(O$13:AJ$13=TRUE))  / COUNTIF(O$13:AJ$13,TRUE)</f>
        <v>0.4</v>
      </c>
      <c r="K21" t="b">
        <f t="shared" ca="1" si="9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3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3</v>
      </c>
      <c r="S21" s="9" t="s">
        <v>3</v>
      </c>
      <c r="AK21" s="7"/>
      <c r="AN21">
        <f t="shared" ca="1" si="4"/>
        <v>3</v>
      </c>
      <c r="AO21" s="14">
        <f t="shared" ca="1" si="5"/>
        <v>0.33333333333333331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
) / $B$13)</f>
        <v>0.4</v>
      </c>
      <c r="AR21" cm="1">
        <f t="array" aca="1" ref="AR21" ca="1">IF($AP21=AR$14, 1, SUMPRODUCT(
    --(OFFSET($O$13,0,0,1,$B$9)=TRUE),
    --(INDEX(OFFSET($O$15,0,0,$B$8,$B$9), 1+$AP21, 0) = INDEX(OFFSET($O$15,0,0,$B$8,$B$9), 1+AR$14, 0))
) / $B$13)</f>
        <v>0.4</v>
      </c>
      <c r="AS21" cm="1">
        <f t="array" aca="1" ref="AS21" ca="1">IF($AP21=AS$14, 1, SUMPRODUCT(
    --(OFFSET($O$13,0,0,1,$B$9)=TRUE),
    --(INDEX(OFFSET($O$15,0,0,$B$8,$B$9), 1+$AP21, 0) = INDEX(OFFSET($O$15,0,0,$B$8,$B$9), 1+AS$14, 0))
) / $B$13)</f>
        <v>0.6</v>
      </c>
      <c r="AT21" cm="1">
        <f t="array" aca="1" ref="AT21" ca="1">IF($AP21=AT$14, 1, SUMPRODUCT(
    --(OFFSET($O$13,0,0,1,$B$9)=TRUE),
    --(INDEX(OFFSET($O$15,0,0,$B$8,$B$9), 1+$AP21, 0) = INDEX(OFFSET($O$15,0,0,$B$8,$B$9), 1+AT$14, 0))
) / $B$13)</f>
        <v>0.4</v>
      </c>
      <c r="AU21" cm="1">
        <f t="array" aca="1" ref="AU21" ca="1">IF($AP21=AU$14, 1, SUMPRODUCT(
    --(OFFSET($O$13,0,0,1,$B$9)=TRUE),
    --(INDEX(OFFSET($O$15,0,0,$B$8,$B$9), 1+$AP21, 0) = INDEX(OFFSET($O$15,0,0,$B$8,$B$9), 1+AU$14, 0))
) / $B$13)</f>
        <v>0.4</v>
      </c>
      <c r="AV21" cm="1">
        <f t="array" aca="1" ref="AV21" ca="1">IF($AP21=AV$14, 1, SUMPRODUCT(
    --(OFFSET($O$13,0,0,1,$B$9)=TRUE),
    --(INDEX(OFFSET($O$15,0,0,$B$8,$B$9), 1+$AP21, 0) = INDEX(OFFSET($O$15,0,0,$B$8,$B$9), 1+AV$14, 0))
) / $B$13)</f>
        <v>0.8</v>
      </c>
      <c r="AW21" cm="1">
        <f t="array" aca="1" ref="AW21" ca="1">IF($AP21=AW$14, 1, SUMPRODUCT(
    --(OFFSET($O$13,0,0,1,$B$9)=TRUE),
    --(INDEX(OFFSET($O$15,0,0,$B$8,$B$9), 1+$AP21, 0) = INDEX(OFFSET($O$15,0,0,$B$8,$B$9), 1+AW$14, 0))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
) / $B$13)</f>
        <v>0.8</v>
      </c>
      <c r="AY21" cm="1">
        <f t="array" aca="1" ref="AY21" ca="1">IF($AP21=AY$14, 1, SUMPRODUCT(
    --(OFFSET($O$13,0,0,1,$B$9)=TRUE),
    --(INDEX(OFFSET($O$15,0,0,$B$8,$B$9), 1+$AP21, 0) = INDEX(OFFSET($O$15,0,0,$B$8,$B$9), 1+AY$14, 0))
) / $B$13)</f>
        <v>0.2</v>
      </c>
      <c r="AZ21" cm="1">
        <f t="array" aca="1" ref="AZ21" ca="1">IF($AP21=AZ$14, 1, SUMPRODUCT(
    --(OFFSET($O$13,0,0,1,$B$9)=TRUE),
    --(INDEX(OFFSET($O$15,0,0,$B$8,$B$9), 1+$AP21, 0) = INDEX(OFFSET($O$15,0,0,$B$8,$B$9), 1+AZ$14, 0))
) / $B$13)</f>
        <v>0.4</v>
      </c>
      <c r="BA21" cm="1">
        <f t="array" aca="1" ref="BA21" ca="1">IF($AP21=BA$14, 1, SUMPRODUCT(
    --(OFFSET($O$13,0,0,1,$B$9)=TRUE),
    --(INDEX(OFFSET($O$15,0,0,$B$8,$B$9), 1+$AP21, 0) = INDEX(OFFSET($O$15,0,0,$B$8,$B$9), 1+BA$14, 0))
) / $B$13)</f>
        <v>0.2</v>
      </c>
      <c r="BB21" cm="1">
        <f t="array" aca="1" ref="BB21" ca="1">IF($AP21=BB$14, 1, SUMPRODUCT(
    --(OFFSET($O$13,0,0,1,$B$9)=TRUE),
    --(INDEX(OFFSET($O$15,0,0,$B$8,$B$9), 1+$AP21, 0) = INDEX(OFFSET($O$15,0,0,$B$8,$B$9), 1+BB$14, 0))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
) / $B$13)</f>
        <v>0.6</v>
      </c>
      <c r="BD21" cm="1">
        <f t="array" aca="1" ref="BD21" ca="1">IF($AP21=BD$14, 1, SUMPRODUCT(
    --(OFFSET($O$13,0,0,1,$B$9)=TRUE),
    --(INDEX(OFFSET($O$15,0,0,$B$8,$B$9), 1+$AP21, 0) = INDEX(OFFSET($O$15,0,0,$B$8,$B$9), 1+BD$14, 0))
) / $B$13)</f>
        <v>0.4</v>
      </c>
      <c r="BE21" cm="1">
        <f t="array" aca="1" ref="BE21" ca="1">IF($AP21=BE$14, 1, SUMPRODUCT(
    --(OFFSET($O$13,0,0,1,$B$9)=TRUE),
    --(INDEX(OFFSET($O$15,0,0,$B$8,$B$9), 1+$AP21, 0) = INDEX(OFFSET($O$15,0,0,$B$8,$B$9), 1+BE$14, 0))
) / $B$13)</f>
        <v>0.4</v>
      </c>
      <c r="BF21" cm="1">
        <f t="array" aca="1" ref="BF21" ca="1">IF($AP21=BF$14, 1, SUMPRODUCT(
    --(OFFSET($O$13,0,0,1,$B$9)=TRUE),
    --(INDEX(OFFSET($O$15,0,0,$B$8,$B$9), 1+$AP21, 0) = INDEX(OFFSET($O$15,0,0,$B$8,$B$9), 1+BF$14, 0))
) / $B$13)</f>
        <v>0.4</v>
      </c>
      <c r="BG21" cm="1">
        <f t="array" aca="1" ref="BG21" ca="1">IF($AP21=BG$14, 1, SUMPRODUCT(
    --(OFFSET($O$13,0,0,1,$B$9)=TRUE),
    --(INDEX(OFFSET($O$15,0,0,$B$8,$B$9), 1+$AP21, 0) = INDEX(OFFSET($O$15,0,0,$B$8,$B$9), 1+BG$14, 0))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
) / $B$13)</f>
        <v>0</v>
      </c>
      <c r="BI21" cm="1">
        <f t="array" aca="1" ref="BI21" ca="1">IF($AP21=BI$14, 1, SUMPRODUCT(
    --(OFFSET($O$13,0,0,1,$B$9)=TRUE),
    --(INDEX(OFFSET($O$15,0,0,$B$8,$B$9), 1+$AP21, 0) = INDEX(OFFSET($O$15,0,0,$B$8,$B$9), 1+BI$14, 0))
) / $B$13)</f>
        <v>0</v>
      </c>
      <c r="BJ21" cm="1">
        <f t="array" aca="1" ref="BJ21" ca="1">IF($AP21=BJ$14, 1, SUMPRODUCT(
    --(OFFSET($O$13,0,0,1,$B$9)=TRUE),
    --(INDEX(OFFSET($O$15,0,0,$B$8,$B$9), 1+$AP21, 0) = INDEX(OFFSET($O$15,0,0,$B$8,$B$9), 1+BJ$14, 0))
) / $B$13)</f>
        <v>0.2</v>
      </c>
      <c r="BN21">
        <f t="shared" ca="1" si="6"/>
        <v>3</v>
      </c>
      <c r="BO21" s="14">
        <f t="shared" ca="1" si="7"/>
        <v>0.33333333333333331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
) / $B$16)</f>
        <v>0.4</v>
      </c>
      <c r="BR21" cm="1">
        <f t="array" aca="1" ref="BR21" ca="1">IF($BP21=BR$14, 1, SUMPRODUCT(
    --(OFFSET($O$9,0,0,1,$B$9)=TRUE),
    --(INDEX(OFFSET($O$15,0,0,$B$8,$B$9), 1+$BP21, 0) = INDEX(OFFSET($O$15,0,0,$B$8,$B$9), 1+BR$14, 0))
) / $B$16)</f>
        <v>0.4</v>
      </c>
      <c r="BS21" cm="1">
        <f t="array" aca="1" ref="BS21" ca="1">IF($BP21=BS$14, 1, SUMPRODUCT(
    --(OFFSET($O$9,0,0,1,$B$9)=TRUE),
    --(INDEX(OFFSET($O$15,0,0,$B$8,$B$9), 1+$BP21, 0) = INDEX(OFFSET($O$15,0,0,$B$8,$B$9), 1+BS$14, 0))
) / $B$16)</f>
        <v>0.6</v>
      </c>
      <c r="BT21" cm="1">
        <f t="array" aca="1" ref="BT21" ca="1">IF($BP21=BT$14, 1, SUMPRODUCT(
    --(OFFSET($O$9,0,0,1,$B$9)=TRUE),
    --(INDEX(OFFSET($O$15,0,0,$B$8,$B$9), 1+$BP21, 0) = INDEX(OFFSET($O$15,0,0,$B$8,$B$9), 1+BT$14, 0))
) / $B$16)</f>
        <v>0.4</v>
      </c>
      <c r="BU21" cm="1">
        <f t="array" aca="1" ref="BU21" ca="1">IF($BP21=BU$14, 1, SUMPRODUCT(
    --(OFFSET($O$9,0,0,1,$B$9)=TRUE),
    --(INDEX(OFFSET($O$15,0,0,$B$8,$B$9), 1+$BP21, 0) = INDEX(OFFSET($O$15,0,0,$B$8,$B$9), 1+BU$14, 0))
) / $B$16)</f>
        <v>0.4</v>
      </c>
      <c r="BV21" cm="1">
        <f t="array" aca="1" ref="BV21" ca="1">IF($BP21=BV$14, 1, SUMPRODUCT(
    --(OFFSET($O$9,0,0,1,$B$9)=TRUE),
    --(INDEX(OFFSET($O$15,0,0,$B$8,$B$9), 1+$BP21, 0) = INDEX(OFFSET($O$15,0,0,$B$8,$B$9), 1+BV$14, 0))
) / $B$16)</f>
        <v>0.8</v>
      </c>
      <c r="BW21" cm="1">
        <f t="array" aca="1" ref="BW21" ca="1">IF($BP21=BW$14, 1, SUMPRODUCT(
    --(OFFSET($O$9,0,0,1,$B$9)=TRUE),
    --(INDEX(OFFSET($O$15,0,0,$B$8,$B$9), 1+$BP21, 0) = INDEX(OFFSET($O$15,0,0,$B$8,$B$9), 1+BW$14, 0))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
) / $B$16)</f>
        <v>0.8</v>
      </c>
      <c r="BY21" cm="1">
        <f t="array" aca="1" ref="BY21" ca="1">IF($BP21=BY$14, 1, SUMPRODUCT(
    --(OFFSET($O$9,0,0,1,$B$9)=TRUE),
    --(INDEX(OFFSET($O$15,0,0,$B$8,$B$9), 1+$BP21, 0) = INDEX(OFFSET($O$15,0,0,$B$8,$B$9), 1+BY$14, 0))
) / $B$16)</f>
        <v>0.2</v>
      </c>
      <c r="BZ21" cm="1">
        <f t="array" aca="1" ref="BZ21" ca="1">IF($BP21=BZ$14, 1, SUMPRODUCT(
    --(OFFSET($O$9,0,0,1,$B$9)=TRUE),
    --(INDEX(OFFSET($O$15,0,0,$B$8,$B$9), 1+$BP21, 0) = INDEX(OFFSET($O$15,0,0,$B$8,$B$9), 1+BZ$14, 0))
) / $B$16)</f>
        <v>0.4</v>
      </c>
      <c r="CA21" cm="1">
        <f t="array" aca="1" ref="CA21" ca="1">IF($BP21=CA$14, 1, SUMPRODUCT(
    --(OFFSET($O$9,0,0,1,$B$9)=TRUE),
    --(INDEX(OFFSET($O$15,0,0,$B$8,$B$9), 1+$BP21, 0) = INDEX(OFFSET($O$15,0,0,$B$8,$B$9), 1+CA$14, 0))
) / $B$16)</f>
        <v>0.2</v>
      </c>
      <c r="CB21" cm="1">
        <f t="array" aca="1" ref="CB21" ca="1">IF($BP21=CB$14, 1, SUMPRODUCT(
    --(OFFSET($O$9,0,0,1,$B$9)=TRUE),
    --(INDEX(OFFSET($O$15,0,0,$B$8,$B$9), 1+$BP21, 0) = INDEX(OFFSET($O$15,0,0,$B$8,$B$9), 1+CB$14, 0))
) / $B$16)</f>
        <v>0.4</v>
      </c>
      <c r="CC21" cm="1">
        <f t="array" aca="1" ref="CC21" ca="1">IF($BP21=CC$14, 1, SUMPRODUCT(
    --(OFFSET($O$9,0,0,1,$B$9)=TRUE),
    --(INDEX(OFFSET($O$15,0,0,$B$8,$B$9), 1+$BP21, 0) = INDEX(OFFSET($O$15,0,0,$B$8,$B$9), 1+CC$14, 0))
) / $B$16)</f>
        <v>0.6</v>
      </c>
      <c r="CD21" cm="1">
        <f t="array" aca="1" ref="CD21" ca="1">IF($BP21=CD$14, 1, SUMPRODUCT(
    --(OFFSET($O$9,0,0,1,$B$9)=TRUE),
    --(INDEX(OFFSET($O$15,0,0,$B$8,$B$9), 1+$BP21, 0) = INDEX(OFFSET($O$15,0,0,$B$8,$B$9), 1+CD$14, 0))
) / $B$16)</f>
        <v>0.4</v>
      </c>
      <c r="CE21" cm="1">
        <f t="array" aca="1" ref="CE21" ca="1">IF($BP21=CE$14, 1, SUMPRODUCT(
    --(OFFSET($O$9,0,0,1,$B$9)=TRUE),
    --(INDEX(OFFSET($O$15,0,0,$B$8,$B$9), 1+$BP21, 0) = INDEX(OFFSET($O$15,0,0,$B$8,$B$9), 1+CE$14, 0))
) / $B$16)</f>
        <v>0.4</v>
      </c>
      <c r="CF21" cm="1">
        <f t="array" aca="1" ref="CF21" ca="1">IF($BP21=CF$14, 1, SUMPRODUCT(
    --(OFFSET($O$9,0,0,1,$B$9)=TRUE),
    --(INDEX(OFFSET($O$15,0,0,$B$8,$B$9), 1+$BP21, 0) = INDEX(OFFSET($O$15,0,0,$B$8,$B$9), 1+CF$14, 0))
) / $B$16)</f>
        <v>0.4</v>
      </c>
      <c r="CG21" cm="1">
        <f t="array" aca="1" ref="CG21" ca="1">IF($BP21=CG$14, 1, SUMPRODUCT(
    --(OFFSET($O$9,0,0,1,$B$9)=TRUE),
    --(INDEX(OFFSET($O$15,0,0,$B$8,$B$9), 1+$BP21, 0) = INDEX(OFFSET($O$15,0,0,$B$8,$B$9), 1+CG$14, 0))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
) / $B$16)</f>
        <v>0</v>
      </c>
      <c r="CI21" cm="1">
        <f t="array" aca="1" ref="CI21" ca="1">IF($BP21=CI$14, 1, SUMPRODUCT(
    --(OFFSET($O$9,0,0,1,$B$9)=TRUE),
    --(INDEX(OFFSET($O$15,0,0,$B$8,$B$9), 1+$BP21, 0) = INDEX(OFFSET($O$15,0,0,$B$8,$B$9), 1+CI$14, 0))
) / $B$16)</f>
        <v>0</v>
      </c>
      <c r="CJ21" cm="1">
        <f t="array" aca="1" ref="CJ21" ca="1">IF($BP21=CJ$14, 1, SUMPRODUCT(
    --(OFFSET($O$9,0,0,1,$B$9)=TRUE),
    --(INDEX(OFFSET($O$15,0,0,$B$8,$B$9), 1+$BP21, 0) = INDEX(OFFSET($O$15,0,0,$B$8,$B$9), 1+CJ$14, 0))
) / $B$16)</f>
        <v>0.2</v>
      </c>
      <c r="DF21" cm="1">
        <f t="array" aca="1" ref="DF21" ca="1">INDEX(_xlfn.ANCHORARRAY($CP$15), 1 + INT((ROWS($DG$15:$DG21) - 1) / ROWS(_xlfn.ANCHORARRAY($CP$15))))</f>
        <v>1</v>
      </c>
      <c r="DG21" cm="1">
        <f t="array" aca="1" ref="DG21" ca="1">INDEX(_xlfn.ANCHORARRAY($CP$15),1+MOD(ROWS($DG$15:$DG21)-1,ROWS(_xlfn.ANCHORARRAY($CP$15))))</f>
        <v>1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 $B$18/($B$19*$B$19*($DF21&lt;&gt;$DG21) + $B$19*($DF21=$DG21))</f>
        <v>6.0000000000000001E-3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 $B$18/($B$19*$B$19*($DF21&lt;&gt;$DG21) + $B$19*($DF21=$DG21))</f>
        <v>6.0000000000000001E-3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 $B$18/($B$19*$B$19*($DF21&lt;&gt;$DG21) + $B$19*($DF21=$DG21))</f>
        <v>6.0000000000000001E-3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 $B$18/($B$19*$B$19*($DF21&lt;&gt;$DG21) + $B$19*($DF21=$DG21))</f>
        <v>6.0000000000000001E-3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 $B$18/($B$19*$B$19*($DF21&lt;&gt;$DG21) + $B$19*($DF21=$DG21))</f>
        <v>6.0000000000000001E-3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 $B$18/($B$19*$B$19*($DF21&lt;&gt;$DG21) + $B$19*($DF21=$DG21))</f>
        <v>0.33582998454404939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 $B$18/($B$19*$B$19*($DF21&lt;&gt;$DG21) + $B$19*($DF21=$DG21))</f>
        <v>6.0000000000000001E-3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 $B$18/($B$19*$B$19*($DF21&lt;&gt;$DG21) + $B$19*($DF21=$DG21))</f>
        <v>6.0000000000000001E-3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 $B$18/($B$19*$B$19*($DF21&lt;&gt;$DG21) + $B$19*($DF21=$DG21))</f>
        <v>6.0000000000000001E-3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 $B$18/($B$19*$B$19*($DF21&lt;&gt;$DG21) + $B$19*($DF21=$DG21))</f>
        <v>6.0000000000000001E-3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 $B$18/($B$19*$B$19*($DF21&lt;&gt;$DG21) + $B$19*($DF21=$DG21))</f>
        <v>0.18590726429675419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 $B$18/($B$19*$B$19*($DF21&lt;&gt;$DG21) + $B$19*($DF21=$DG21))</f>
        <v>6.0000000000000001E-3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 $B$18/($B$19*$B$19*($DF21&lt;&gt;$DG21) + $B$19*($DF21=$DG21))</f>
        <v>6.0000000000000001E-3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 $B$18/($B$19*$B$19*($DF21&lt;&gt;$DG21) + $B$19*($DF21=$DG21))</f>
        <v>6.0000000000000001E-3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 $B$18/($B$19*$B$19*($DF21&lt;&gt;$DG21) + $B$19*($DF21=$DG21))</f>
        <v>6.0000000000000001E-3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 $B$18/($B$19*$B$19*($DF21&lt;&gt;$DG21) + $B$19*($DF21=$DG21))</f>
        <v>0.28635548686244205</v>
      </c>
    </row>
    <row r="22" spans="1:127" x14ac:dyDescent="0.2">
      <c r="D22" s="10">
        <f ca="1"/>
        <v>7</v>
      </c>
      <c r="F22" s="10">
        <f ca="1"/>
        <v>0.33333333333333331</v>
      </c>
      <c r="H22" s="10"/>
      <c r="J22" cm="1">
        <f t="array" aca="1" ref="J22" ca="1">SUMPRODUCT((O22:AJ22=$O$11:$AJ$11)*(O$13:AJ$13=TRUE))  / COUNTIF(O$13:AJ$13,TRUE)</f>
        <v>0.4</v>
      </c>
      <c r="K22" t="b">
        <f t="shared" ca="1" si="9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3"/>
        <v>1</v>
      </c>
      <c r="N22" s="2">
        <v>7</v>
      </c>
      <c r="O22" s="12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AK22" s="7"/>
      <c r="AN22">
        <f t="shared" ca="1" si="4"/>
        <v>3</v>
      </c>
      <c r="AO22" s="14">
        <f t="shared" ca="1" si="5"/>
        <v>0.33333333333333331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
) / $B$13)</f>
        <v>0.4</v>
      </c>
      <c r="AR22" cm="1">
        <f t="array" aca="1" ref="AR22" ca="1">IF($AP22=AR$14, 1, SUMPRODUCT(
    --(OFFSET($O$13,0,0,1,$B$9)=TRUE),
    --(INDEX(OFFSET($O$15,0,0,$B$8,$B$9), 1+$AP22, 0) = INDEX(OFFSET($O$15,0,0,$B$8,$B$9), 1+AR$14, 0))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
) / $B$13)</f>
        <v>0.6</v>
      </c>
      <c r="AU22" cm="1">
        <f t="array" aca="1" ref="AU22" ca="1">IF($AP22=AU$14, 1, SUMPRODUCT(
    --(OFFSET($O$13,0,0,1,$B$9)=TRUE),
    --(INDEX(OFFSET($O$15,0,0,$B$8,$B$9), 1+$AP22, 0) = INDEX(OFFSET($O$15,0,0,$B$8,$B$9), 1+AU$14, 0))
) / $B$13)</f>
        <v>0.4</v>
      </c>
      <c r="AV22" cm="1">
        <f t="array" aca="1" ref="AV22" ca="1">IF($AP22=AV$14, 1, SUMPRODUCT(
    --(OFFSET($O$13,0,0,1,$B$9)=TRUE),
    --(INDEX(OFFSET($O$15,0,0,$B$8,$B$9), 1+$AP22, 0) = INDEX(OFFSET($O$15,0,0,$B$8,$B$9), 1+AV$14, 0))
) / $B$13)</f>
        <v>0.8</v>
      </c>
      <c r="AW22" cm="1">
        <f t="array" aca="1" ref="AW22" ca="1">IF($AP22=AW$14, 1, SUMPRODUCT(
    --(OFFSET($O$13,0,0,1,$B$9)=TRUE),
    --(INDEX(OFFSET($O$15,0,0,$B$8,$B$9), 1+$AP22, 0) = INDEX(OFFSET($O$15,0,0,$B$8,$B$9), 1+AW$14, 0))
) / $B$13)</f>
        <v>0.8</v>
      </c>
      <c r="AX22" cm="1">
        <f t="array" aca="1" ref="AX22" ca="1">IF($AP22=AX$14, 1, SUMPRODUCT(
    --(OFFSET($O$13,0,0,1,$B$9)=TRUE),
    --(INDEX(OFFSET($O$15,0,0,$B$8,$B$9), 1+$AP22, 0) = INDEX(OFFSET($O$15,0,0,$B$8,$B$9), 1+AX$14, 0))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
) / $B$13)</f>
        <v>0.2</v>
      </c>
      <c r="AZ22" cm="1">
        <f t="array" aca="1" ref="AZ22" ca="1">IF($AP22=AZ$14, 1, SUMPRODUCT(
    --(OFFSET($O$13,0,0,1,$B$9)=TRUE),
    --(INDEX(OFFSET($O$15,0,0,$B$8,$B$9), 1+$AP22, 0) = INDEX(OFFSET($O$15,0,0,$B$8,$B$9), 1+AZ$14, 0))
) / $B$13)</f>
        <v>0.4</v>
      </c>
      <c r="BA22" cm="1">
        <f t="array" aca="1" ref="BA22" ca="1">IF($AP22=BA$14, 1, SUMPRODUCT(
    --(OFFSET($O$13,0,0,1,$B$9)=TRUE),
    --(INDEX(OFFSET($O$15,0,0,$B$8,$B$9), 1+$AP22, 0) = INDEX(OFFSET($O$15,0,0,$B$8,$B$9), 1+BA$14, 0))
) / $B$13)</f>
        <v>0.2</v>
      </c>
      <c r="BB22" cm="1">
        <f t="array" aca="1" ref="BB22" ca="1">IF($AP22=BB$14, 1, SUMPRODUCT(
    --(OFFSET($O$13,0,0,1,$B$9)=TRUE),
    --(INDEX(OFFSET($O$15,0,0,$B$8,$B$9), 1+$AP22, 0) = INDEX(OFFSET($O$15,0,0,$B$8,$B$9), 1+BB$14, 0))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
) / $B$13)</f>
        <v>0.4</v>
      </c>
      <c r="BD22" cm="1">
        <f t="array" aca="1" ref="BD22" ca="1">IF($AP22=BD$14, 1, SUMPRODUCT(
    --(OFFSET($O$13,0,0,1,$B$9)=TRUE),
    --(INDEX(OFFSET($O$15,0,0,$B$8,$B$9), 1+$AP22, 0) = INDEX(OFFSET($O$15,0,0,$B$8,$B$9), 1+BD$14, 0))
) / $B$13)</f>
        <v>0.2</v>
      </c>
      <c r="BE22" cm="1">
        <f t="array" aca="1" ref="BE22" ca="1">IF($AP22=BE$14, 1, SUMPRODUCT(
    --(OFFSET($O$13,0,0,1,$B$9)=TRUE),
    --(INDEX(OFFSET($O$15,0,0,$B$8,$B$9), 1+$AP22, 0) = INDEX(OFFSET($O$15,0,0,$B$8,$B$9), 1+BE$14, 0))
) / $B$13)</f>
        <v>0.6</v>
      </c>
      <c r="BF22" cm="1">
        <f t="array" aca="1" ref="BF22" ca="1">IF($AP22=BF$14, 1, SUMPRODUCT(
    --(OFFSET($O$13,0,0,1,$B$9)=TRUE),
    --(INDEX(OFFSET($O$15,0,0,$B$8,$B$9), 1+$AP22, 0) = INDEX(OFFSET($O$15,0,0,$B$8,$B$9), 1+BF$14, 0))
) / $B$13)</f>
        <v>0.6</v>
      </c>
      <c r="BG22" cm="1">
        <f t="array" aca="1" ref="BG22" ca="1">IF($AP22=BG$14, 1, SUMPRODUCT(
    --(OFFSET($O$13,0,0,1,$B$9)=TRUE),
    --(INDEX(OFFSET($O$15,0,0,$B$8,$B$9), 1+$AP22, 0) = INDEX(OFFSET($O$15,0,0,$B$8,$B$9), 1+BG$14, 0))
) / $B$13)</f>
        <v>0</v>
      </c>
      <c r="BH22" cm="1">
        <f t="array" aca="1" ref="BH22" ca="1">IF($AP22=BH$14, 1, SUMPRODUCT(
    --(OFFSET($O$13,0,0,1,$B$9)=TRUE),
    --(INDEX(OFFSET($O$15,0,0,$B$8,$B$9), 1+$AP22, 0) = INDEX(OFFSET($O$15,0,0,$B$8,$B$9), 1+BH$14, 0))
) / $B$13)</f>
        <v>0</v>
      </c>
      <c r="BI22" cm="1">
        <f t="array" aca="1" ref="BI22" ca="1">IF($AP22=BI$14, 1, SUMPRODUCT(
    --(OFFSET($O$13,0,0,1,$B$9)=TRUE),
    --(INDEX(OFFSET($O$15,0,0,$B$8,$B$9), 1+$AP22, 0) = INDEX(OFFSET($O$15,0,0,$B$8,$B$9), 1+BI$14, 0))
) / $B$13)</f>
        <v>0</v>
      </c>
      <c r="BJ22" cm="1">
        <f t="array" aca="1" ref="BJ22" ca="1">IF($AP22=BJ$14, 1, SUMPRODUCT(
    --(OFFSET($O$13,0,0,1,$B$9)=TRUE),
    --(INDEX(OFFSET($O$15,0,0,$B$8,$B$9), 1+$AP22, 0) = INDEX(OFFSET($O$15,0,0,$B$8,$B$9), 1+BJ$14, 0))
) / $B$13)</f>
        <v>0.2</v>
      </c>
      <c r="BN22">
        <f t="shared" ca="1" si="6"/>
        <v>3</v>
      </c>
      <c r="BO22" s="14">
        <f t="shared" ca="1" si="7"/>
        <v>0.33333333333333331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
) / $B$16)</f>
        <v>0.4</v>
      </c>
      <c r="BR22" cm="1">
        <f t="array" aca="1" ref="BR22" ca="1">IF($BP22=BR$14, 1, SUMPRODUCT(
    --(OFFSET($O$9,0,0,1,$B$9)=TRUE),
    --(INDEX(OFFSET($O$15,0,0,$B$8,$B$9), 1+$BP22, 0) = INDEX(OFFSET($O$15,0,0,$B$8,$B$9), 1+BR$14, 0))
) / $B$16)</f>
        <v>0.4</v>
      </c>
      <c r="BS22" cm="1">
        <f t="array" aca="1" ref="BS22" ca="1">IF($BP22=BS$14, 1, SUMPRODUCT(
    --(OFFSET($O$9,0,0,1,$B$9)=TRUE),
    --(INDEX(OFFSET($O$15,0,0,$B$8,$B$9), 1+$BP22, 0) = INDEX(OFFSET($O$15,0,0,$B$8,$B$9), 1+BS$14, 0))
) / $B$16)</f>
        <v>0.4</v>
      </c>
      <c r="BT22" cm="1">
        <f t="array" aca="1" ref="BT22" ca="1">IF($BP22=BT$14, 1, SUMPRODUCT(
    --(OFFSET($O$9,0,0,1,$B$9)=TRUE),
    --(INDEX(OFFSET($O$15,0,0,$B$8,$B$9), 1+$BP22, 0) = INDEX(OFFSET($O$15,0,0,$B$8,$B$9), 1+BT$14, 0))
) / $B$16)</f>
        <v>0.6</v>
      </c>
      <c r="BU22" cm="1">
        <f t="array" aca="1" ref="BU22" ca="1">IF($BP22=BU$14, 1, SUMPRODUCT(
    --(OFFSET($O$9,0,0,1,$B$9)=TRUE),
    --(INDEX(OFFSET($O$15,0,0,$B$8,$B$9), 1+$BP22, 0) = INDEX(OFFSET($O$15,0,0,$B$8,$B$9), 1+BU$14, 0))
) / $B$16)</f>
        <v>0.4</v>
      </c>
      <c r="BV22" cm="1">
        <f t="array" aca="1" ref="BV22" ca="1">IF($BP22=BV$14, 1, SUMPRODUCT(
    --(OFFSET($O$9,0,0,1,$B$9)=TRUE),
    --(INDEX(OFFSET($O$15,0,0,$B$8,$B$9), 1+$BP22, 0) = INDEX(OFFSET($O$15,0,0,$B$8,$B$9), 1+BV$14, 0))
) / $B$16)</f>
        <v>0.8</v>
      </c>
      <c r="BW22" cm="1">
        <f t="array" aca="1" ref="BW22" ca="1">IF($BP22=BW$14, 1, SUMPRODUCT(
    --(OFFSET($O$9,0,0,1,$B$9)=TRUE),
    --(INDEX(OFFSET($O$15,0,0,$B$8,$B$9), 1+$BP22, 0) = INDEX(OFFSET($O$15,0,0,$B$8,$B$9), 1+BW$14, 0))
) / $B$16)</f>
        <v>0.8</v>
      </c>
      <c r="BX22" cm="1">
        <f t="array" aca="1" ref="BX22" ca="1">IF($BP22=BX$14, 1, SUMPRODUCT(
    --(OFFSET($O$9,0,0,1,$B$9)=TRUE),
    --(INDEX(OFFSET($O$15,0,0,$B$8,$B$9), 1+$BP22, 0) = INDEX(OFFSET($O$15,0,0,$B$8,$B$9), 1+BX$14, 0))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
) / $B$16)</f>
        <v>0.2</v>
      </c>
      <c r="BZ22" cm="1">
        <f t="array" aca="1" ref="BZ22" ca="1">IF($BP22=BZ$14, 1, SUMPRODUCT(
    --(OFFSET($O$9,0,0,1,$B$9)=TRUE),
    --(INDEX(OFFSET($O$15,0,0,$B$8,$B$9), 1+$BP22, 0) = INDEX(OFFSET($O$15,0,0,$B$8,$B$9), 1+BZ$14, 0))
) / $B$16)</f>
        <v>0.4</v>
      </c>
      <c r="CA22" cm="1">
        <f t="array" aca="1" ref="CA22" ca="1">IF($BP22=CA$14, 1, SUMPRODUCT(
    --(OFFSET($O$9,0,0,1,$B$9)=TRUE),
    --(INDEX(OFFSET($O$15,0,0,$B$8,$B$9), 1+$BP22, 0) = INDEX(OFFSET($O$15,0,0,$B$8,$B$9), 1+CA$14, 0))
) / $B$16)</f>
        <v>0.2</v>
      </c>
      <c r="CB22" cm="1">
        <f t="array" aca="1" ref="CB22" ca="1">IF($BP22=CB$14, 1, SUMPRODUCT(
    --(OFFSET($O$9,0,0,1,$B$9)=TRUE),
    --(INDEX(OFFSET($O$15,0,0,$B$8,$B$9), 1+$BP22, 0) = INDEX(OFFSET($O$15,0,0,$B$8,$B$9), 1+CB$14, 0))
) / $B$16)</f>
        <v>0.4</v>
      </c>
      <c r="CC22" cm="1">
        <f t="array" aca="1" ref="CC22" ca="1">IF($BP22=CC$14, 1, SUMPRODUCT(
    --(OFFSET($O$9,0,0,1,$B$9)=TRUE),
    --(INDEX(OFFSET($O$15,0,0,$B$8,$B$9), 1+$BP22, 0) = INDEX(OFFSET($O$15,0,0,$B$8,$B$9), 1+CC$14, 0))
) / $B$16)</f>
        <v>0.4</v>
      </c>
      <c r="CD22" cm="1">
        <f t="array" aca="1" ref="CD22" ca="1">IF($BP22=CD$14, 1, SUMPRODUCT(
    --(OFFSET($O$9,0,0,1,$B$9)=TRUE),
    --(INDEX(OFFSET($O$15,0,0,$B$8,$B$9), 1+$BP22, 0) = INDEX(OFFSET($O$15,0,0,$B$8,$B$9), 1+CD$14, 0))
) / $B$16)</f>
        <v>0.2</v>
      </c>
      <c r="CE22" cm="1">
        <f t="array" aca="1" ref="CE22" ca="1">IF($BP22=CE$14, 1, SUMPRODUCT(
    --(OFFSET($O$9,0,0,1,$B$9)=TRUE),
    --(INDEX(OFFSET($O$15,0,0,$B$8,$B$9), 1+$BP22, 0) = INDEX(OFFSET($O$15,0,0,$B$8,$B$9), 1+CE$14, 0))
) / $B$16)</f>
        <v>0.6</v>
      </c>
      <c r="CF22" cm="1">
        <f t="array" aca="1" ref="CF22" ca="1">IF($BP22=CF$14, 1, SUMPRODUCT(
    --(OFFSET($O$9,0,0,1,$B$9)=TRUE),
    --(INDEX(OFFSET($O$15,0,0,$B$8,$B$9), 1+$BP22, 0) = INDEX(OFFSET($O$15,0,0,$B$8,$B$9), 1+CF$14, 0))
) / $B$16)</f>
        <v>0.6</v>
      </c>
      <c r="CG22" cm="1">
        <f t="array" aca="1" ref="CG22" ca="1">IF($BP22=CG$14, 1, SUMPRODUCT(
    --(OFFSET($O$9,0,0,1,$B$9)=TRUE),
    --(INDEX(OFFSET($O$15,0,0,$B$8,$B$9), 1+$BP22, 0) = INDEX(OFFSET($O$15,0,0,$B$8,$B$9), 1+CG$14, 0))
) / $B$16)</f>
        <v>0</v>
      </c>
      <c r="CH22" cm="1">
        <f t="array" aca="1" ref="CH22" ca="1">IF($BP22=CH$14, 1, SUMPRODUCT(
    --(OFFSET($O$9,0,0,1,$B$9)=TRUE),
    --(INDEX(OFFSET($O$15,0,0,$B$8,$B$9), 1+$BP22, 0) = INDEX(OFFSET($O$15,0,0,$B$8,$B$9), 1+CH$14, 0))
) / $B$16)</f>
        <v>0</v>
      </c>
      <c r="CI22" cm="1">
        <f t="array" aca="1" ref="CI22" ca="1">IF($BP22=CI$14, 1, SUMPRODUCT(
    --(OFFSET($O$9,0,0,1,$B$9)=TRUE),
    --(INDEX(OFFSET($O$15,0,0,$B$8,$B$9), 1+$BP22, 0) = INDEX(OFFSET($O$15,0,0,$B$8,$B$9), 1+CI$14, 0))
) / $B$16)</f>
        <v>0</v>
      </c>
      <c r="CJ22" cm="1">
        <f t="array" aca="1" ref="CJ22" ca="1">IF($BP22=CJ$14, 1, SUMPRODUCT(
    --(OFFSET($O$9,0,0,1,$B$9)=TRUE),
    --(INDEX(OFFSET($O$15,0,0,$B$8,$B$9), 1+$BP22, 0) = INDEX(OFFSET($O$15,0,0,$B$8,$B$9), 1+CJ$14, 0))
) / $B$16)</f>
        <v>0.2</v>
      </c>
      <c r="DF22" cm="1">
        <f t="array" aca="1" ref="DF22" ca="1">INDEX(_xlfn.ANCHORARRAY($CP$15), 1 + INT((ROWS($DG$15:$DG22) - 1) / ROWS(_xlfn.ANCHORARRAY($CP$15))))</f>
        <v>1</v>
      </c>
      <c r="DG22" cm="1">
        <f t="array" aca="1" ref="DG22" ca="1">INDEX(_xlfn.ANCHORARRAY($CP$15),1+MOD(ROWS($DG$15:$DG22)-1,ROWS(_xlfn.ANCHORARRAY($CP$15))))</f>
        <v>2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 $B$18/($B$19*$B$19*($DF22&lt;&gt;$DG22) + $B$19*($DF22=$DG22))</f>
        <v>1.1999999999999999E-3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 $B$18/($B$19*$B$19*($DF22&lt;&gt;$DG22) + $B$19*($DF22=$DG22))</f>
        <v>1.1999999999999999E-3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 $B$18/($B$19*$B$19*($DF22&lt;&gt;$DG22) + $B$19*($DF22=$DG22))</f>
        <v>1.1999999999999999E-3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 $B$18/($B$19*$B$19*($DF22&lt;&gt;$DG22) + $B$19*($DF22=$DG22))</f>
        <v>1.1999999999999999E-3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 $B$18/($B$19*$B$19*($DF22&lt;&gt;$DG22) + $B$19*($DF22=$DG22))</f>
        <v>0.1661149922720247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 $B$18/($B$19*$B$19*($DF22&lt;&gt;$DG22) + $B$19*($DF22=$DG22))</f>
        <v>1.1999999999999999E-3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 $B$18/($B$19*$B$19*($DF22&lt;&gt;$DG22) + $B$19*($DF22=$DG22))</f>
        <v>1.1999999999999999E-3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 $B$18/($B$19*$B$19*($DF22&lt;&gt;$DG22) + $B$19*($DF22=$DG22))</f>
        <v>7.616136012364759E-2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 $B$18/($B$19*$B$19*($DF22&lt;&gt;$DG22) + $B$19*($DF22=$DG22))</f>
        <v>1.1999999999999999E-3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 $B$18/($B$19*$B$19*($DF22&lt;&gt;$DG22) + $B$19*($DF22=$DG22))</f>
        <v>1.1999999999999999E-3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 $B$18/($B$19*$B$19*($DF22&lt;&gt;$DG22) + $B$19*($DF22=$DG22))</f>
        <v>0.18110726429675419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 $B$18/($B$19*$B$19*($DF22&lt;&gt;$DG22) + $B$19*($DF22=$DG22))</f>
        <v>1.1999999999999999E-3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 $B$18/($B$19*$B$19*($DF22&lt;&gt;$DG22) + $B$19*($DF22=$DG22))</f>
        <v>1.1999999999999999E-3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 $B$18/($B$19*$B$19*($DF22&lt;&gt;$DG22) + $B$19*($DF22=$DG22))</f>
        <v>0.28155548686244203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 $B$18/($B$19*$B$19*($DF22&lt;&gt;$DG22) + $B$19*($DF22=$DG22))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 $B$18/($B$19*$B$19*($DF22&lt;&gt;$DG22) + $B$19*($DF22=$DG22))</f>
        <v>1.1999999999999999E-3</v>
      </c>
    </row>
    <row r="23" spans="1:127" x14ac:dyDescent="0.2">
      <c r="D23" s="10">
        <f ca="1"/>
        <v>8</v>
      </c>
      <c r="F23" s="10">
        <f ca="1"/>
        <v>1</v>
      </c>
      <c r="H23" s="10"/>
      <c r="J23" cm="1">
        <f t="array" aca="1" ref="J23" ca="1">SUMPRODUCT((O23:AJ23=$O$11:$AJ$11)*(O$13:AJ$13=TRUE))  / COUNTIF(O$13:AJ$13,TRUE)</f>
        <v>0.4</v>
      </c>
      <c r="K23" t="b">
        <f t="shared" ca="1" si="9"/>
        <v>1</v>
      </c>
      <c r="L23" cm="1">
        <f t="array" aca="1" ref="L23" ca="1">SUM(
   1*(_xlfn._xlws.FILTER(OFFSET($O23,0,0,1,$B$9),OFFSET($O$13,0,0,1,$B$9)) = "-")
) / $B$13</f>
        <v>0.4</v>
      </c>
      <c r="M23" t="b">
        <f t="shared" ca="1" si="3"/>
        <v>1</v>
      </c>
      <c r="N23" s="2">
        <v>8</v>
      </c>
      <c r="O23" s="12" t="s">
        <v>0</v>
      </c>
      <c r="P23" s="9" t="s">
        <v>2</v>
      </c>
      <c r="Q23" s="9" t="s">
        <v>5</v>
      </c>
      <c r="R23" s="9" t="s">
        <v>5</v>
      </c>
      <c r="S23" s="9" t="s">
        <v>3</v>
      </c>
      <c r="AK23" s="7"/>
      <c r="AN23">
        <f t="shared" ca="1" si="4"/>
        <v>1</v>
      </c>
      <c r="AO23" s="14">
        <f t="shared" ca="1" si="5"/>
        <v>1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
) / $B$13)</f>
        <v>0.4</v>
      </c>
      <c r="AR23" cm="1">
        <f t="array" aca="1" ref="AR23" ca="1">IF($AP23=AR$14, 1, SUMPRODUCT(
    --(OFFSET($O$13,0,0,1,$B$9)=TRUE),
    --(INDEX(OFFSET($O$15,0,0,$B$8,$B$9), 1+$AP23, 0) = INDEX(OFFSET($O$15,0,0,$B$8,$B$9), 1+AR$14, 0))
) / $B$13)</f>
        <v>0.2</v>
      </c>
      <c r="AS23" cm="1">
        <f t="array" aca="1" ref="AS23" ca="1">IF($AP23=AS$14, 1, SUMPRODUCT(
    --(OFFSET($O$13,0,0,1,$B$9)=TRUE),
    --(INDEX(OFFSET($O$15,0,0,$B$8,$B$9), 1+$AP23, 0) = INDEX(OFFSET($O$15,0,0,$B$8,$B$9), 1+AS$14, 0))
) / $B$13)</f>
        <v>0.2</v>
      </c>
      <c r="AT23" cm="1">
        <f t="array" aca="1" ref="AT23" ca="1">IF($AP23=AT$14, 1, SUMPRODUCT(
    --(OFFSET($O$13,0,0,1,$B$9)=TRUE),
    --(INDEX(OFFSET($O$15,0,0,$B$8,$B$9), 1+$AP23, 0) = INDEX(OFFSET($O$15,0,0,$B$8,$B$9), 1+AT$14, 0))
) / $B$13)</f>
        <v>0.2</v>
      </c>
      <c r="AU23" cm="1">
        <f t="array" aca="1" ref="AU23" ca="1">IF($AP23=AU$14, 1, SUMPRODUCT(
    --(OFFSET($O$13,0,0,1,$B$9)=TRUE),
    --(INDEX(OFFSET($O$15,0,0,$B$8,$B$9), 1+$AP23, 0) = INDEX(OFFSET($O$15,0,0,$B$8,$B$9), 1+AU$14, 0))
) / $B$13)</f>
        <v>0.4</v>
      </c>
      <c r="AV23" cm="1">
        <f t="array" aca="1" ref="AV23" ca="1">IF($AP23=AV$14, 1, SUMPRODUCT(
    --(OFFSET($O$13,0,0,1,$B$9)=TRUE),
    --(INDEX(OFFSET($O$15,0,0,$B$8,$B$9), 1+$AP23, 0) = INDEX(OFFSET($O$15,0,0,$B$8,$B$9), 1+AV$14, 0))
) / $B$13)</f>
        <v>0.2</v>
      </c>
      <c r="AW23" cm="1">
        <f t="array" aca="1" ref="AW23" ca="1">IF($AP23=AW$14, 1, SUMPRODUCT(
    --(OFFSET($O$13,0,0,1,$B$9)=TRUE),
    --(INDEX(OFFSET($O$15,0,0,$B$8,$B$9), 1+$AP23, 0) = INDEX(OFFSET($O$15,0,0,$B$8,$B$9), 1+AW$14, 0))
) / $B$13)</f>
        <v>0.2</v>
      </c>
      <c r="AX23" cm="1">
        <f t="array" aca="1" ref="AX23" ca="1">IF($AP23=AX$14, 1, SUMPRODUCT(
    --(OFFSET($O$13,0,0,1,$B$9)=TRUE),
    --(INDEX(OFFSET($O$15,0,0,$B$8,$B$9), 1+$AP23, 0) = INDEX(OFFSET($O$15,0,0,$B$8,$B$9), 1+AX$14, 0))
) / $B$13)</f>
        <v>0.2</v>
      </c>
      <c r="AY23" cm="1">
        <f t="array" aca="1" ref="AY23" ca="1">IF($AP23=AY$14, 1, SUMPRODUCT(
    --(OFFSET($O$13,0,0,1,$B$9)=TRUE),
    --(INDEX(OFFSET($O$15,0,0,$B$8,$B$9), 1+$AP23, 0) = INDEX(OFFSET($O$15,0,0,$B$8,$B$9), 1+AY$14, 0))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
) / $B$13)</f>
        <v>0.6</v>
      </c>
      <c r="BA23" cm="1">
        <f t="array" aca="1" ref="BA23" ca="1">IF($AP23=BA$14, 1, SUMPRODUCT(
    --(OFFSET($O$13,0,0,1,$B$9)=TRUE),
    --(INDEX(OFFSET($O$15,0,0,$B$8,$B$9), 1+$AP23, 0) = INDEX(OFFSET($O$15,0,0,$B$8,$B$9), 1+BA$14, 0))
) / $B$13)</f>
        <v>0.2</v>
      </c>
      <c r="BB23" cm="1">
        <f t="array" aca="1" ref="BB23" ca="1">IF($AP23=BB$14, 1, SUMPRODUCT(
    --(OFFSET($O$13,0,0,1,$B$9)=TRUE),
    --(INDEX(OFFSET($O$15,0,0,$B$8,$B$9), 1+$AP23, 0) = INDEX(OFFSET($O$15,0,0,$B$8,$B$9), 1+BB$14, 0))
) / $B$13)</f>
        <v>0.2</v>
      </c>
      <c r="BC23" cm="1">
        <f t="array" aca="1" ref="BC23" ca="1">IF($AP23=BC$14, 1, SUMPRODUCT(
    --(OFFSET($O$13,0,0,1,$B$9)=TRUE),
    --(INDEX(OFFSET($O$15,0,0,$B$8,$B$9), 1+$AP23, 0) = INDEX(OFFSET($O$15,0,0,$B$8,$B$9), 1+BC$14, 0))
) / $B$13)</f>
        <v>0.4</v>
      </c>
      <c r="BD23" cm="1">
        <f t="array" aca="1" ref="BD23" ca="1">IF($AP23=BD$14, 1, SUMPRODUCT(
    --(OFFSET($O$13,0,0,1,$B$9)=TRUE),
    --(INDEX(OFFSET($O$15,0,0,$B$8,$B$9), 1+$AP23, 0) = INDEX(OFFSET($O$15,0,0,$B$8,$B$9), 1+BD$14, 0))
) / $B$13)</f>
        <v>0</v>
      </c>
      <c r="BE23" cm="1">
        <f t="array" aca="1" ref="BE23" ca="1">IF($AP23=BE$14, 1, SUMPRODUCT(
    --(OFFSET($O$13,0,0,1,$B$9)=TRUE),
    --(INDEX(OFFSET($O$15,0,0,$B$8,$B$9), 1+$AP23, 0) = INDEX(OFFSET($O$15,0,0,$B$8,$B$9), 1+BE$14, 0))
) / $B$13)</f>
        <v>0.4</v>
      </c>
      <c r="BF23" cm="1">
        <f t="array" aca="1" ref="BF23" ca="1">IF($AP23=BF$14, 1, SUMPRODUCT(
    --(OFFSET($O$13,0,0,1,$B$9)=TRUE),
    --(INDEX(OFFSET($O$15,0,0,$B$8,$B$9), 1+$AP23, 0) = INDEX(OFFSET($O$15,0,0,$B$8,$B$9), 1+BF$14, 0))
) / $B$13)</f>
        <v>0.4</v>
      </c>
      <c r="BG23" cm="1">
        <f t="array" aca="1" ref="BG23" ca="1">IF($AP23=BG$14, 1, SUMPRODUCT(
    --(OFFSET($O$13,0,0,1,$B$9)=TRUE),
    --(INDEX(OFFSET($O$15,0,0,$B$8,$B$9), 1+$AP23, 0) = INDEX(OFFSET($O$15,0,0,$B$8,$B$9), 1+BG$14, 0))
) / $B$13)</f>
        <v>0</v>
      </c>
      <c r="BH23" cm="1">
        <f t="array" aca="1" ref="BH23" ca="1">IF($AP23=BH$14, 1, SUMPRODUCT(
    --(OFFSET($O$13,0,0,1,$B$9)=TRUE),
    --(INDEX(OFFSET($O$15,0,0,$B$8,$B$9), 1+$AP23, 0) = INDEX(OFFSET($O$15,0,0,$B$8,$B$9), 1+BH$14, 0))
) / $B$13)</f>
        <v>0.2</v>
      </c>
      <c r="BI23" cm="1">
        <f t="array" aca="1" ref="BI23" ca="1">IF($AP23=BI$14, 1, SUMPRODUCT(
    --(OFFSET($O$13,0,0,1,$B$9)=TRUE),
    --(INDEX(OFFSET($O$15,0,0,$B$8,$B$9), 1+$AP23, 0) = INDEX(OFFSET($O$15,0,0,$B$8,$B$9), 1+BI$14, 0))
) / $B$13)</f>
        <v>0.2</v>
      </c>
      <c r="BJ23" cm="1">
        <f t="array" aca="1" ref="BJ23" ca="1">IF($AP23=BJ$14, 1, SUMPRODUCT(
    --(OFFSET($O$13,0,0,1,$B$9)=TRUE),
    --(INDEX(OFFSET($O$15,0,0,$B$8,$B$9), 1+$AP23, 0) = INDEX(OFFSET($O$15,0,0,$B$8,$B$9), 1+BJ$14, 0))
) / $B$13)</f>
        <v>0.4</v>
      </c>
      <c r="BN23">
        <f t="shared" ca="1" si="6"/>
        <v>1</v>
      </c>
      <c r="BO23" s="14">
        <f t="shared" ca="1" si="7"/>
        <v>1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
) / $B$16)</f>
        <v>0.4</v>
      </c>
      <c r="BR23" cm="1">
        <f t="array" aca="1" ref="BR23" ca="1">IF($BP23=BR$14, 1, SUMPRODUCT(
    --(OFFSET($O$9,0,0,1,$B$9)=TRUE),
    --(INDEX(OFFSET($O$15,0,0,$B$8,$B$9), 1+$BP23, 0) = INDEX(OFFSET($O$15,0,0,$B$8,$B$9), 1+BR$14, 0))
) / $B$16)</f>
        <v>0.2</v>
      </c>
      <c r="BS23" cm="1">
        <f t="array" aca="1" ref="BS23" ca="1">IF($BP23=BS$14, 1, SUMPRODUCT(
    --(OFFSET($O$9,0,0,1,$B$9)=TRUE),
    --(INDEX(OFFSET($O$15,0,0,$B$8,$B$9), 1+$BP23, 0) = INDEX(OFFSET($O$15,0,0,$B$8,$B$9), 1+BS$14, 0))
) / $B$16)</f>
        <v>0.2</v>
      </c>
      <c r="BT23" cm="1">
        <f t="array" aca="1" ref="BT23" ca="1">IF($BP23=BT$14, 1, SUMPRODUCT(
    --(OFFSET($O$9,0,0,1,$B$9)=TRUE),
    --(INDEX(OFFSET($O$15,0,0,$B$8,$B$9), 1+$BP23, 0) = INDEX(OFFSET($O$15,0,0,$B$8,$B$9), 1+BT$14, 0))
) / $B$16)</f>
        <v>0.2</v>
      </c>
      <c r="BU23" cm="1">
        <f t="array" aca="1" ref="BU23" ca="1">IF($BP23=BU$14, 1, SUMPRODUCT(
    --(OFFSET($O$9,0,0,1,$B$9)=TRUE),
    --(INDEX(OFFSET($O$15,0,0,$B$8,$B$9), 1+$BP23, 0) = INDEX(OFFSET($O$15,0,0,$B$8,$B$9), 1+BU$14, 0))
) / $B$16)</f>
        <v>0.4</v>
      </c>
      <c r="BV23" cm="1">
        <f t="array" aca="1" ref="BV23" ca="1">IF($BP23=BV$14, 1, SUMPRODUCT(
    --(OFFSET($O$9,0,0,1,$B$9)=TRUE),
    --(INDEX(OFFSET($O$15,0,0,$B$8,$B$9), 1+$BP23, 0) = INDEX(OFFSET($O$15,0,0,$B$8,$B$9), 1+BV$14, 0))
) / $B$16)</f>
        <v>0.2</v>
      </c>
      <c r="BW23" cm="1">
        <f t="array" aca="1" ref="BW23" ca="1">IF($BP23=BW$14, 1, SUMPRODUCT(
    --(OFFSET($O$9,0,0,1,$B$9)=TRUE),
    --(INDEX(OFFSET($O$15,0,0,$B$8,$B$9), 1+$BP23, 0) = INDEX(OFFSET($O$15,0,0,$B$8,$B$9), 1+BW$14, 0))
) / $B$16)</f>
        <v>0.2</v>
      </c>
      <c r="BX23" cm="1">
        <f t="array" aca="1" ref="BX23" ca="1">IF($BP23=BX$14, 1, SUMPRODUCT(
    --(OFFSET($O$9,0,0,1,$B$9)=TRUE),
    --(INDEX(OFFSET($O$15,0,0,$B$8,$B$9), 1+$BP23, 0) = INDEX(OFFSET($O$15,0,0,$B$8,$B$9), 1+BX$14, 0))
) / $B$16)</f>
        <v>0.2</v>
      </c>
      <c r="BY23" cm="1">
        <f t="array" aca="1" ref="BY23" ca="1">IF($BP23=BY$14, 1, SUMPRODUCT(
    --(OFFSET($O$9,0,0,1,$B$9)=TRUE),
    --(INDEX(OFFSET($O$15,0,0,$B$8,$B$9), 1+$BP23, 0) = INDEX(OFFSET($O$15,0,0,$B$8,$B$9), 1+BY$14, 0))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
) / $B$16)</f>
        <v>0.6</v>
      </c>
      <c r="CA23" cm="1">
        <f t="array" aca="1" ref="CA23" ca="1">IF($BP23=CA$14, 1, SUMPRODUCT(
    --(OFFSET($O$9,0,0,1,$B$9)=TRUE),
    --(INDEX(OFFSET($O$15,0,0,$B$8,$B$9), 1+$BP23, 0) = INDEX(OFFSET($O$15,0,0,$B$8,$B$9), 1+CA$14, 0))
) / $B$16)</f>
        <v>0.2</v>
      </c>
      <c r="CB23" cm="1">
        <f t="array" aca="1" ref="CB23" ca="1">IF($BP23=CB$14, 1, SUMPRODUCT(
    --(OFFSET($O$9,0,0,1,$B$9)=TRUE),
    --(INDEX(OFFSET($O$15,0,0,$B$8,$B$9), 1+$BP23, 0) = INDEX(OFFSET($O$15,0,0,$B$8,$B$9), 1+CB$14, 0))
) / $B$16)</f>
        <v>0.2</v>
      </c>
      <c r="CC23" cm="1">
        <f t="array" aca="1" ref="CC23" ca="1">IF($BP23=CC$14, 1, SUMPRODUCT(
    --(OFFSET($O$9,0,0,1,$B$9)=TRUE),
    --(INDEX(OFFSET($O$15,0,0,$B$8,$B$9), 1+$BP23, 0) = INDEX(OFFSET($O$15,0,0,$B$8,$B$9), 1+CC$14, 0))
) / $B$16)</f>
        <v>0.4</v>
      </c>
      <c r="CD23" cm="1">
        <f t="array" aca="1" ref="CD23" ca="1">IF($BP23=CD$14, 1, SUMPRODUCT(
    --(OFFSET($O$9,0,0,1,$B$9)=TRUE),
    --(INDEX(OFFSET($O$15,0,0,$B$8,$B$9), 1+$BP23, 0) = INDEX(OFFSET($O$15,0,0,$B$8,$B$9), 1+CD$14, 0))
) / $B$16)</f>
        <v>0</v>
      </c>
      <c r="CE23" cm="1">
        <f t="array" aca="1" ref="CE23" ca="1">IF($BP23=CE$14, 1, SUMPRODUCT(
    --(OFFSET($O$9,0,0,1,$B$9)=TRUE),
    --(INDEX(OFFSET($O$15,0,0,$B$8,$B$9), 1+$BP23, 0) = INDEX(OFFSET($O$15,0,0,$B$8,$B$9), 1+CE$14, 0))
) / $B$16)</f>
        <v>0.4</v>
      </c>
      <c r="CF23" cm="1">
        <f t="array" aca="1" ref="CF23" ca="1">IF($BP23=CF$14, 1, SUMPRODUCT(
    --(OFFSET($O$9,0,0,1,$B$9)=TRUE),
    --(INDEX(OFFSET($O$15,0,0,$B$8,$B$9), 1+$BP23, 0) = INDEX(OFFSET($O$15,0,0,$B$8,$B$9), 1+CF$14, 0))
) / $B$16)</f>
        <v>0.4</v>
      </c>
      <c r="CG23" cm="1">
        <f t="array" aca="1" ref="CG23" ca="1">IF($BP23=CG$14, 1, SUMPRODUCT(
    --(OFFSET($O$9,0,0,1,$B$9)=TRUE),
    --(INDEX(OFFSET($O$15,0,0,$B$8,$B$9), 1+$BP23, 0) = INDEX(OFFSET($O$15,0,0,$B$8,$B$9), 1+CG$14, 0))
) / $B$16)</f>
        <v>0</v>
      </c>
      <c r="CH23" cm="1">
        <f t="array" aca="1" ref="CH23" ca="1">IF($BP23=CH$14, 1, SUMPRODUCT(
    --(OFFSET($O$9,0,0,1,$B$9)=TRUE),
    --(INDEX(OFFSET($O$15,0,0,$B$8,$B$9), 1+$BP23, 0) = INDEX(OFFSET($O$15,0,0,$B$8,$B$9), 1+CH$14, 0))
) / $B$16)</f>
        <v>0.2</v>
      </c>
      <c r="CI23" cm="1">
        <f t="array" aca="1" ref="CI23" ca="1">IF($BP23=CI$14, 1, SUMPRODUCT(
    --(OFFSET($O$9,0,0,1,$B$9)=TRUE),
    --(INDEX(OFFSET($O$15,0,0,$B$8,$B$9), 1+$BP23, 0) = INDEX(OFFSET($O$15,0,0,$B$8,$B$9), 1+CI$14, 0))
) / $B$16)</f>
        <v>0.2</v>
      </c>
      <c r="CJ23" cm="1">
        <f t="array" aca="1" ref="CJ23" ca="1">IF($BP23=CJ$14, 1, SUMPRODUCT(
    --(OFFSET($O$9,0,0,1,$B$9)=TRUE),
    --(INDEX(OFFSET($O$15,0,0,$B$8,$B$9), 1+$BP23, 0) = INDEX(OFFSET($O$15,0,0,$B$8,$B$9), 1+CJ$14, 0))
) / $B$16)</f>
        <v>0.4</v>
      </c>
      <c r="DF23" cm="1">
        <f t="array" aca="1" ref="DF23" ca="1">INDEX(_xlfn.ANCHORARRAY($CP$15), 1 + INT((ROWS($DG$15:$DG23) - 1) / ROWS(_xlfn.ANCHORARRAY($CP$15))))</f>
        <v>1</v>
      </c>
      <c r="DG23" cm="1">
        <f t="array" aca="1" ref="DG23" ca="1">INDEX(_xlfn.ANCHORARRAY($CP$15),1+MOD(ROWS($DG$15:$DG23)-1,ROWS(_xlfn.ANCHORARRAY($CP$15))))</f>
        <v>3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 $B$18/($B$19*$B$19*($DF23&lt;&gt;$DG23) + $B$19*($DF23=$DG23))</f>
        <v>1.1999999999999999E-3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 $B$18/($B$19*$B$19*($DF23&lt;&gt;$DG23) + $B$19*($DF23=$DG23))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 $B$18/($B$19*$B$19*($DF23&lt;&gt;$DG23) + $B$19*($DF23=$DG23))</f>
        <v>1.1999999999999999E-3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 $B$18/($B$19*$B$19*($DF23&lt;&gt;$DG23) + $B$19*($DF23=$DG23))</f>
        <v>1.1999999999999999E-3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 $B$18/($B$19*$B$19*($DF23&lt;&gt;$DG23) + $B$19*($DF23=$DG23))</f>
        <v>1.1999999999999999E-3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 $B$18/($B$19*$B$19*($DF23&lt;&gt;$DG23) + $B$19*($DF23=$DG23))</f>
        <v>1.1999999999999999E-3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 $B$18/($B$19*$B$19*($DF23&lt;&gt;$DG23) + $B$19*($DF23=$DG23))</f>
        <v>0.24107635239567232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 $B$18/($B$19*$B$19*($DF23&lt;&gt;$DG23) + $B$19*($DF23=$DG23))</f>
        <v>1.1999999999999999E-3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 $B$18/($B$19*$B$19*($DF23&lt;&gt;$DG23) + $B$19*($DF23=$DG23))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 $B$18/($B$19*$B$19*($DF23&lt;&gt;$DG23) + $B$19*($DF23=$DG23))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 $B$18/($B$19*$B$19*($DF23&lt;&gt;$DG23) + $B$19*($DF23=$DG23))</f>
        <v>9.1153632148377114E-2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 $B$18/($B$19*$B$19*($DF23&lt;&gt;$DG23) + $B$19*($DF23=$DG23))</f>
        <v>1.1999999999999999E-3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 $B$18/($B$19*$B$19*($DF23&lt;&gt;$DG23) + $B$19*($DF23=$DG23))</f>
        <v>0.13613044822256568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 $B$18/($B$19*$B$19*($DF23&lt;&gt;$DG23) + $B$19*($DF23=$DG23))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 $B$18/($B$19*$B$19*($DF23&lt;&gt;$DG23) + $B$19*($DF23=$DG23))</f>
        <v>8.665595054095826E-2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 $B$18/($B$19*$B$19*($DF23&lt;&gt;$DG23) + $B$19*($DF23=$DG23))</f>
        <v>6.1169088098918072E-2</v>
      </c>
    </row>
    <row r="24" spans="1:127" x14ac:dyDescent="0.2">
      <c r="D24" s="10">
        <f ca="1"/>
        <v>9</v>
      </c>
      <c r="F24" s="10">
        <f ca="1"/>
        <v>0.5</v>
      </c>
      <c r="H24" s="10"/>
      <c r="J24" cm="1">
        <f t="array" aca="1" ref="J24" ca="1">SUMPRODUCT((O24:AJ24=$O$11:$AJ$11)*(O$13:AJ$13=TRUE))  / COUNTIF(O$13:AJ$13,TRUE)</f>
        <v>0.6</v>
      </c>
      <c r="K24" t="b">
        <f t="shared" ca="1" si="9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3"/>
        <v>1</v>
      </c>
      <c r="N24" s="2">
        <v>9</v>
      </c>
      <c r="O24" s="12" t="s">
        <v>0</v>
      </c>
      <c r="P24" s="9" t="s">
        <v>2</v>
      </c>
      <c r="Q24" s="9" t="s">
        <v>4</v>
      </c>
      <c r="R24" s="9" t="s">
        <v>3</v>
      </c>
      <c r="S24" s="9" t="s">
        <v>3</v>
      </c>
      <c r="AK24" s="7"/>
      <c r="AN24">
        <f t="shared" ca="1" si="4"/>
        <v>2</v>
      </c>
      <c r="AO24" s="14">
        <f t="shared" ca="1" si="5"/>
        <v>0.5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
) / $B$13)</f>
        <v>0.6</v>
      </c>
      <c r="AR24" cm="1">
        <f t="array" aca="1" ref="AR24" ca="1">IF($AP24=AR$14, 1, SUMPRODUCT(
    --(OFFSET($O$13,0,0,1,$B$9)=TRUE),
    --(INDEX(OFFSET($O$15,0,0,$B$8,$B$9), 1+$AP24, 0) = INDEX(OFFSET($O$15,0,0,$B$8,$B$9), 1+AR$14, 0))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
) / $B$13)</f>
        <v>0.4</v>
      </c>
      <c r="AT24" cm="1">
        <f t="array" aca="1" ref="AT24" ca="1">IF($AP24=AT$14, 1, SUMPRODUCT(
    --(OFFSET($O$13,0,0,1,$B$9)=TRUE),
    --(INDEX(OFFSET($O$15,0,0,$B$8,$B$9), 1+$AP24, 0) = INDEX(OFFSET($O$15,0,0,$B$8,$B$9), 1+AT$14, 0))
) / $B$13)</f>
        <v>0.4</v>
      </c>
      <c r="AU24" cm="1">
        <f t="array" aca="1" ref="AU24" ca="1">IF($AP24=AU$14, 1, SUMPRODUCT(
    --(OFFSET($O$13,0,0,1,$B$9)=TRUE),
    --(INDEX(OFFSET($O$15,0,0,$B$8,$B$9), 1+$AP24, 0) = INDEX(OFFSET($O$15,0,0,$B$8,$B$9), 1+AU$14, 0))
) / $B$13)</f>
        <v>0.2</v>
      </c>
      <c r="AV24" cm="1">
        <f t="array" aca="1" ref="AV24" ca="1">IF($AP24=AV$14, 1, SUMPRODUCT(
    --(OFFSET($O$13,0,0,1,$B$9)=TRUE),
    --(INDEX(OFFSET($O$15,0,0,$B$8,$B$9), 1+$AP24, 0) = INDEX(OFFSET($O$15,0,0,$B$8,$B$9), 1+AV$14, 0))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
) / $B$13)</f>
        <v>0.4</v>
      </c>
      <c r="AX24" cm="1">
        <f t="array" aca="1" ref="AX24" ca="1">IF($AP24=AX$14, 1, SUMPRODUCT(
    --(OFFSET($O$13,0,0,1,$B$9)=TRUE),
    --(INDEX(OFFSET($O$15,0,0,$B$8,$B$9), 1+$AP24, 0) = INDEX(OFFSET($O$15,0,0,$B$8,$B$9), 1+AX$14, 0))
) / $B$13)</f>
        <v>0.4</v>
      </c>
      <c r="AY24" cm="1">
        <f t="array" aca="1" ref="AY24" ca="1">IF($AP24=AY$14, 1, SUMPRODUCT(
    --(OFFSET($O$13,0,0,1,$B$9)=TRUE),
    --(INDEX(OFFSET($O$15,0,0,$B$8,$B$9), 1+$AP24, 0) = INDEX(OFFSET($O$15,0,0,$B$8,$B$9), 1+AY$14, 0))
) / $B$13)</f>
        <v>0.6</v>
      </c>
      <c r="AZ24" cm="1">
        <f t="array" aca="1" ref="AZ24" ca="1">IF($AP24=AZ$14, 1, SUMPRODUCT(
    --(OFFSET($O$13,0,0,1,$B$9)=TRUE),
    --(INDEX(OFFSET($O$15,0,0,$B$8,$B$9), 1+$AP24, 0) = INDEX(OFFSET($O$15,0,0,$B$8,$B$9), 1+AZ$14, 0))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
) / $B$13)</f>
        <v>0.4</v>
      </c>
      <c r="BB24" cm="1">
        <f t="array" aca="1" ref="BB24" ca="1">IF($AP24=BB$14, 1, SUMPRODUCT(
    --(OFFSET($O$13,0,0,1,$B$9)=TRUE),
    --(INDEX(OFFSET($O$15,0,0,$B$8,$B$9), 1+$AP24, 0) = INDEX(OFFSET($O$15,0,0,$B$8,$B$9), 1+BB$14, 0))
) / $B$13)</f>
        <v>0.6</v>
      </c>
      <c r="BC24" cm="1">
        <f t="array" aca="1" ref="BC24" ca="1">IF($AP24=BC$14, 1, SUMPRODUCT(
    --(OFFSET($O$13,0,0,1,$B$9)=TRUE),
    --(INDEX(OFFSET($O$15,0,0,$B$8,$B$9), 1+$AP24, 0) = INDEX(OFFSET($O$15,0,0,$B$8,$B$9), 1+BC$14, 0))
) / $B$13)</f>
        <v>0.6</v>
      </c>
      <c r="BD24" cm="1">
        <f t="array" aca="1" ref="BD24" ca="1">IF($AP24=BD$14, 1, SUMPRODUCT(
    --(OFFSET($O$13,0,0,1,$B$9)=TRUE),
    --(INDEX(OFFSET($O$15,0,0,$B$8,$B$9), 1+$AP24, 0) = INDEX(OFFSET($O$15,0,0,$B$8,$B$9), 1+BD$14, 0))
) / $B$13)</f>
        <v>0.4</v>
      </c>
      <c r="BE24" cm="1">
        <f t="array" aca="1" ref="BE24" ca="1">IF($AP24=BE$14, 1, SUMPRODUCT(
    --(OFFSET($O$13,0,0,1,$B$9)=TRUE),
    --(INDEX(OFFSET($O$15,0,0,$B$8,$B$9), 1+$AP24, 0) = INDEX(OFFSET($O$15,0,0,$B$8,$B$9), 1+BE$14, 0))
) / $B$13)</f>
        <v>0.6</v>
      </c>
      <c r="BF24" cm="1">
        <f t="array" aca="1" ref="BF24" ca="1">IF($AP24=BF$14, 1, SUMPRODUCT(
    --(OFFSET($O$13,0,0,1,$B$9)=TRUE),
    --(INDEX(OFFSET($O$15,0,0,$B$8,$B$9), 1+$AP24, 0) = INDEX(OFFSET($O$15,0,0,$B$8,$B$9), 1+BF$14, 0))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
) / $B$13)</f>
        <v>0</v>
      </c>
      <c r="BH24" cm="1">
        <f t="array" aca="1" ref="BH24" ca="1">IF($AP24=BH$14, 1, SUMPRODUCT(
    --(OFFSET($O$13,0,0,1,$B$9)=TRUE),
    --(INDEX(OFFSET($O$15,0,0,$B$8,$B$9), 1+$AP24, 0) = INDEX(OFFSET($O$15,0,0,$B$8,$B$9), 1+BH$14, 0))
) / $B$13)</f>
        <v>0.2</v>
      </c>
      <c r="BI24" cm="1">
        <f t="array" aca="1" ref="BI24" ca="1">IF($AP24=BI$14, 1, SUMPRODUCT(
    --(OFFSET($O$13,0,0,1,$B$9)=TRUE),
    --(INDEX(OFFSET($O$15,0,0,$B$8,$B$9), 1+$AP24, 0) = INDEX(OFFSET($O$15,0,0,$B$8,$B$9), 1+BI$14, 0))
) / $B$13)</f>
        <v>0.2</v>
      </c>
      <c r="BJ24" cm="1">
        <f t="array" aca="1" ref="BJ24" ca="1">IF($AP24=BJ$14, 1, SUMPRODUCT(
    --(OFFSET($O$13,0,0,1,$B$9)=TRUE),
    --(INDEX(OFFSET($O$15,0,0,$B$8,$B$9), 1+$AP24, 0) = INDEX(OFFSET($O$15,0,0,$B$8,$B$9), 1+BJ$14, 0))
) / $B$13)</f>
        <v>0.4</v>
      </c>
      <c r="BN24">
        <f t="shared" ca="1" si="6"/>
        <v>2</v>
      </c>
      <c r="BO24" s="14">
        <f t="shared" ca="1" si="7"/>
        <v>0.5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
) / $B$16)</f>
        <v>0.6</v>
      </c>
      <c r="BR24" cm="1">
        <f t="array" aca="1" ref="BR24" ca="1">IF($BP24=BR$14, 1, SUMPRODUCT(
    --(OFFSET($O$9,0,0,1,$B$9)=TRUE),
    --(INDEX(OFFSET($O$15,0,0,$B$8,$B$9), 1+$BP24, 0) = INDEX(OFFSET($O$15,0,0,$B$8,$B$9), 1+BR$14, 0))
) / $B$16)</f>
        <v>0.4</v>
      </c>
      <c r="BS24" cm="1">
        <f t="array" aca="1" ref="BS24" ca="1">IF($BP24=BS$14, 1, SUMPRODUCT(
    --(OFFSET($O$9,0,0,1,$B$9)=TRUE),
    --(INDEX(OFFSET($O$15,0,0,$B$8,$B$9), 1+$BP24, 0) = INDEX(OFFSET($O$15,0,0,$B$8,$B$9), 1+BS$14, 0))
) / $B$16)</f>
        <v>0.4</v>
      </c>
      <c r="BT24" cm="1">
        <f t="array" aca="1" ref="BT24" ca="1">IF($BP24=BT$14, 1, SUMPRODUCT(
    --(OFFSET($O$9,0,0,1,$B$9)=TRUE),
    --(INDEX(OFFSET($O$15,0,0,$B$8,$B$9), 1+$BP24, 0) = INDEX(OFFSET($O$15,0,0,$B$8,$B$9), 1+BT$14, 0))
) / $B$16)</f>
        <v>0.4</v>
      </c>
      <c r="BU24" cm="1">
        <f t="array" aca="1" ref="BU24" ca="1">IF($BP24=BU$14, 1, SUMPRODUCT(
    --(OFFSET($O$9,0,0,1,$B$9)=TRUE),
    --(INDEX(OFFSET($O$15,0,0,$B$8,$B$9), 1+$BP24, 0) = INDEX(OFFSET($O$15,0,0,$B$8,$B$9), 1+BU$14, 0))
) / $B$16)</f>
        <v>0.2</v>
      </c>
      <c r="BV24" cm="1">
        <f t="array" aca="1" ref="BV24" ca="1">IF($BP24=BV$14, 1, SUMPRODUCT(
    --(OFFSET($O$9,0,0,1,$B$9)=TRUE),
    --(INDEX(OFFSET($O$15,0,0,$B$8,$B$9), 1+$BP24, 0) = INDEX(OFFSET($O$15,0,0,$B$8,$B$9), 1+BV$14, 0))
) / $B$16)</f>
        <v>0.4</v>
      </c>
      <c r="BW24" cm="1">
        <f t="array" aca="1" ref="BW24" ca="1">IF($BP24=BW$14, 1, SUMPRODUCT(
    --(OFFSET($O$9,0,0,1,$B$9)=TRUE),
    --(INDEX(OFFSET($O$15,0,0,$B$8,$B$9), 1+$BP24, 0) = INDEX(OFFSET($O$15,0,0,$B$8,$B$9), 1+BW$14, 0))
) / $B$16)</f>
        <v>0.4</v>
      </c>
      <c r="BX24" cm="1">
        <f t="array" aca="1" ref="BX24" ca="1">IF($BP24=BX$14, 1, SUMPRODUCT(
    --(OFFSET($O$9,0,0,1,$B$9)=TRUE),
    --(INDEX(OFFSET($O$15,0,0,$B$8,$B$9), 1+$BP24, 0) = INDEX(OFFSET($O$15,0,0,$B$8,$B$9), 1+BX$14, 0))
) / $B$16)</f>
        <v>0.4</v>
      </c>
      <c r="BY24" cm="1">
        <f t="array" aca="1" ref="BY24" ca="1">IF($BP24=BY$14, 1, SUMPRODUCT(
    --(OFFSET($O$9,0,0,1,$B$9)=TRUE),
    --(INDEX(OFFSET($O$15,0,0,$B$8,$B$9), 1+$BP24, 0) = INDEX(OFFSET($O$15,0,0,$B$8,$B$9), 1+BY$14, 0))
) / $B$16)</f>
        <v>0.6</v>
      </c>
      <c r="BZ24" cm="1">
        <f t="array" aca="1" ref="BZ24" ca="1">IF($BP24=BZ$14, 1, SUMPRODUCT(
    --(OFFSET($O$9,0,0,1,$B$9)=TRUE),
    --(INDEX(OFFSET($O$15,0,0,$B$8,$B$9), 1+$BP24, 0) = INDEX(OFFSET($O$15,0,0,$B$8,$B$9), 1+BZ$14, 0))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
) / $B$16)</f>
        <v>0.4</v>
      </c>
      <c r="CB24" cm="1">
        <f t="array" aca="1" ref="CB24" ca="1">IF($BP24=CB$14, 1, SUMPRODUCT(
    --(OFFSET($O$9,0,0,1,$B$9)=TRUE),
    --(INDEX(OFFSET($O$15,0,0,$B$8,$B$9), 1+$BP24, 0) = INDEX(OFFSET($O$15,0,0,$B$8,$B$9), 1+CB$14, 0))
) / $B$16)</f>
        <v>0.6</v>
      </c>
      <c r="CC24" cm="1">
        <f t="array" aca="1" ref="CC24" ca="1">IF($BP24=CC$14, 1, SUMPRODUCT(
    --(OFFSET($O$9,0,0,1,$B$9)=TRUE),
    --(INDEX(OFFSET($O$15,0,0,$B$8,$B$9), 1+$BP24, 0) = INDEX(OFFSET($O$15,0,0,$B$8,$B$9), 1+CC$14, 0))
) / $B$16)</f>
        <v>0.6</v>
      </c>
      <c r="CD24" cm="1">
        <f t="array" aca="1" ref="CD24" ca="1">IF($BP24=CD$14, 1, SUMPRODUCT(
    --(OFFSET($O$9,0,0,1,$B$9)=TRUE),
    --(INDEX(OFFSET($O$15,0,0,$B$8,$B$9), 1+$BP24, 0) = INDEX(OFFSET($O$15,0,0,$B$8,$B$9), 1+CD$14, 0))
) / $B$16)</f>
        <v>0.4</v>
      </c>
      <c r="CE24" cm="1">
        <f t="array" aca="1" ref="CE24" ca="1">IF($BP24=CE$14, 1, SUMPRODUCT(
    --(OFFSET($O$9,0,0,1,$B$9)=TRUE),
    --(INDEX(OFFSET($O$15,0,0,$B$8,$B$9), 1+$BP24, 0) = INDEX(OFFSET($O$15,0,0,$B$8,$B$9), 1+CE$14, 0))
) / $B$16)</f>
        <v>0.6</v>
      </c>
      <c r="CF24" cm="1">
        <f t="array" aca="1" ref="CF24" ca="1">IF($BP24=CF$14, 1, SUMPRODUCT(
    --(OFFSET($O$9,0,0,1,$B$9)=TRUE),
    --(INDEX(OFFSET($O$15,0,0,$B$8,$B$9), 1+$BP24, 0) = INDEX(OFFSET($O$15,0,0,$B$8,$B$9), 1+CF$14, 0))
) / $B$16)</f>
        <v>0.8</v>
      </c>
      <c r="CG24" cm="1">
        <f t="array" aca="1" ref="CG24" ca="1">IF($BP24=CG$14, 1, SUMPRODUCT(
    --(OFFSET($O$9,0,0,1,$B$9)=TRUE),
    --(INDEX(OFFSET($O$15,0,0,$B$8,$B$9), 1+$BP24, 0) = INDEX(OFFSET($O$15,0,0,$B$8,$B$9), 1+CG$14, 0))
) / $B$16)</f>
        <v>0</v>
      </c>
      <c r="CH24" cm="1">
        <f t="array" aca="1" ref="CH24" ca="1">IF($BP24=CH$14, 1, SUMPRODUCT(
    --(OFFSET($O$9,0,0,1,$B$9)=TRUE),
    --(INDEX(OFFSET($O$15,0,0,$B$8,$B$9), 1+$BP24, 0) = INDEX(OFFSET($O$15,0,0,$B$8,$B$9), 1+CH$14, 0))
) / $B$16)</f>
        <v>0.2</v>
      </c>
      <c r="CI24" cm="1">
        <f t="array" aca="1" ref="CI24" ca="1">IF($BP24=CI$14, 1, SUMPRODUCT(
    --(OFFSET($O$9,0,0,1,$B$9)=TRUE),
    --(INDEX(OFFSET($O$15,0,0,$B$8,$B$9), 1+$BP24, 0) = INDEX(OFFSET($O$15,0,0,$B$8,$B$9), 1+CI$14, 0))
) / $B$16)</f>
        <v>0.2</v>
      </c>
      <c r="CJ24" cm="1">
        <f t="array" aca="1" ref="CJ24" ca="1">IF($BP24=CJ$14, 1, SUMPRODUCT(
    --(OFFSET($O$9,0,0,1,$B$9)=TRUE),
    --(INDEX(OFFSET($O$15,0,0,$B$8,$B$9), 1+$BP24, 0) = INDEX(OFFSET($O$15,0,0,$B$8,$B$9), 1+CJ$14, 0))
) / $B$16)</f>
        <v>0.4</v>
      </c>
      <c r="DF24" cm="1">
        <f t="array" aca="1" ref="DF24" ca="1">INDEX(_xlfn.ANCHORARRAY($CP$15), 1 + INT((ROWS($DG$15:$DG24) - 1) / ROWS(_xlfn.ANCHORARRAY($CP$15))))</f>
        <v>1</v>
      </c>
      <c r="DG24" cm="1">
        <f t="array" aca="1" ref="DG24" ca="1">INDEX(_xlfn.ANCHORARRAY($CP$15),1+MOD(ROWS($DG$15:$DG24)-1,ROWS(_xlfn.ANCHORARRAY($CP$15))))</f>
        <v>4</v>
      </c>
      <c r="DH24" s="10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 $B$18/($B$19*$B$19*($DF24&lt;&gt;$DG24) + $B$19*($DF24=$DG24))</f>
        <v>1.1999999999999999E-3</v>
      </c>
      <c r="DI24" s="10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 $B$18/($B$19*$B$19*($DF24&lt;&gt;$DG24) + $B$19*($DF24=$DG24))</f>
        <v>1.1999999999999999E-3</v>
      </c>
      <c r="DJ24" s="10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 $B$18/($B$19*$B$19*($DF24&lt;&gt;$DG24) + $B$19*($DF24=$DG24))</f>
        <v>1.1999999999999999E-3</v>
      </c>
      <c r="DK24" s="10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 $B$18/($B$19*$B$19*($DF24&lt;&gt;$DG24) + $B$19*($DF24=$DG24))</f>
        <v>1.1999999999999999E-3</v>
      </c>
      <c r="DL24" s="10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 $B$18/($B$19*$B$19*($DF24&lt;&gt;$DG24) + $B$19*($DF24=$DG24))</f>
        <v>1.1999999999999999E-3</v>
      </c>
      <c r="DM24" s="10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 $B$18/($B$19*$B$19*($DF24&lt;&gt;$DG24) + $B$19*($DF24=$DG24))</f>
        <v>1.1999999999999999E-3</v>
      </c>
      <c r="DN24" s="10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 $B$18/($B$19*$B$19*($DF24&lt;&gt;$DG24) + $B$19*($DF24=$DG24))</f>
        <v>0.24107635239567232</v>
      </c>
      <c r="DO24" s="10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 $B$18/($B$19*$B$19*($DF24&lt;&gt;$DG24) + $B$19*($DF24=$DG24))</f>
        <v>9.1153632148377114E-2</v>
      </c>
      <c r="DP24" s="10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 $B$18/($B$19*$B$19*($DF24&lt;&gt;$DG24) + $B$19*($DF24=$DG24))</f>
        <v>1.1999999999999999E-3</v>
      </c>
      <c r="DQ24" s="10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 $B$18/($B$19*$B$19*($DF24&lt;&gt;$DG24) + $B$19*($DF24=$DG24))</f>
        <v>1.1999999999999999E-3</v>
      </c>
      <c r="DR24" s="10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 $B$18/($B$19*$B$19*($DF24&lt;&gt;$DG24) + $B$19*($DF24=$DG24))</f>
        <v>9.1153632148377114E-2</v>
      </c>
      <c r="DS24" s="10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 $B$18/($B$19*$B$19*($DF24&lt;&gt;$DG24) + $B$19*($DF24=$DG24))</f>
        <v>1.1999999999999999E-3</v>
      </c>
      <c r="DT24" s="10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 $B$18/($B$19*$B$19*($DF24&lt;&gt;$DG24) + $B$19*($DF24=$DG24))</f>
        <v>1.1999999999999999E-3</v>
      </c>
      <c r="DU24" s="10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 $B$18/($B$19*$B$19*($DF24&lt;&gt;$DG24) + $B$19*($DF24=$DG24))</f>
        <v>7.616136012364759E-2</v>
      </c>
      <c r="DV24" s="10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 $B$18/($B$19*$B$19*($DF24&lt;&gt;$DG24) + $B$19*($DF24=$DG24))</f>
        <v>0.1166404945904173</v>
      </c>
      <c r="DW24" s="10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 $B$18/($B$19*$B$19*($DF24&lt;&gt;$DG24) + $B$19*($DF24=$DG24))</f>
        <v>9.1153632148377114E-2</v>
      </c>
    </row>
    <row r="25" spans="1:127" x14ac:dyDescent="0.2">
      <c r="D25" s="10">
        <f ca="1"/>
        <v>10</v>
      </c>
      <c r="F25" s="10">
        <f ca="1"/>
        <v>1</v>
      </c>
      <c r="H25" s="10"/>
      <c r="J25" cm="1">
        <f t="array" aca="1" ref="J25" ca="1">SUMPRODUCT((O25:AJ25=$O$11:$AJ$11)*(O$13:AJ$13=TRUE))  / COUNTIF(O$13:AJ$13,TRUE)</f>
        <v>0.2</v>
      </c>
      <c r="K25" t="b">
        <f t="shared" ca="1" si="9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3"/>
        <v>1</v>
      </c>
      <c r="N25" s="2">
        <v>10</v>
      </c>
      <c r="O25" s="12" t="s">
        <v>4</v>
      </c>
      <c r="P25" s="9" t="s">
        <v>2</v>
      </c>
      <c r="Q25" s="9" t="s">
        <v>0</v>
      </c>
      <c r="R25" s="9" t="s">
        <v>3</v>
      </c>
      <c r="S25" s="9" t="s">
        <v>4</v>
      </c>
      <c r="AK25" s="7"/>
      <c r="AN25">
        <f t="shared" ca="1" si="4"/>
        <v>1</v>
      </c>
      <c r="AO25" s="14">
        <f t="shared" ca="1" si="5"/>
        <v>1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
) / $B$13)</f>
        <v>0.2</v>
      </c>
      <c r="AR25" cm="1">
        <f t="array" aca="1" ref="AR25" ca="1">IF($AP25=AR$14, 1, SUMPRODUCT(
    --(OFFSET($O$13,0,0,1,$B$9)=TRUE),
    --(INDEX(OFFSET($O$15,0,0,$B$8,$B$9), 1+$AP25, 0) = INDEX(OFFSET($O$15,0,0,$B$8,$B$9), 1+AR$14, 0))
) / $B$13)</f>
        <v>0.4</v>
      </c>
      <c r="AS25" cm="1">
        <f t="array" aca="1" ref="AS25" ca="1">IF($AP25=AS$14, 1, SUMPRODUCT(
    --(OFFSET($O$13,0,0,1,$B$9)=TRUE),
    --(INDEX(OFFSET($O$15,0,0,$B$8,$B$9), 1+$AP25, 0) = INDEX(OFFSET($O$15,0,0,$B$8,$B$9), 1+AS$14, 0))
) / $B$13)</f>
        <v>0.2</v>
      </c>
      <c r="AT25" cm="1">
        <f t="array" aca="1" ref="AT25" ca="1">IF($AP25=AT$14, 1, SUMPRODUCT(
    --(OFFSET($O$13,0,0,1,$B$9)=TRUE),
    --(INDEX(OFFSET($O$15,0,0,$B$8,$B$9), 1+$AP25, 0) = INDEX(OFFSET($O$15,0,0,$B$8,$B$9), 1+AT$14, 0))
) / $B$13)</f>
        <v>0.2</v>
      </c>
      <c r="AU25" cm="1">
        <f t="array" aca="1" ref="AU25" ca="1">IF($AP25=AU$14, 1, SUMPRODUCT(
    --(OFFSET($O$13,0,0,1,$B$9)=TRUE),
    --(INDEX(OFFSET($O$15,0,0,$B$8,$B$9), 1+$AP25, 0) = INDEX(OFFSET($O$15,0,0,$B$8,$B$9), 1+AU$14, 0))
) / $B$13)</f>
        <v>0</v>
      </c>
      <c r="AV25" cm="1">
        <f t="array" aca="1" ref="AV25" ca="1">IF($AP25=AV$14, 1, SUMPRODUCT(
    --(OFFSET($O$13,0,0,1,$B$9)=TRUE),
    --(INDEX(OFFSET($O$15,0,0,$B$8,$B$9), 1+$AP25, 0) = INDEX(OFFSET($O$15,0,0,$B$8,$B$9), 1+AV$14, 0))
) / $B$13)</f>
        <v>0.4</v>
      </c>
      <c r="AW25" cm="1">
        <f t="array" aca="1" ref="AW25" ca="1">IF($AP25=AW$14, 1, SUMPRODUCT(
    --(OFFSET($O$13,0,0,1,$B$9)=TRUE),
    --(INDEX(OFFSET($O$15,0,0,$B$8,$B$9), 1+$AP25, 0) = INDEX(OFFSET($O$15,0,0,$B$8,$B$9), 1+AW$14, 0))
) / $B$13)</f>
        <v>0.2</v>
      </c>
      <c r="AX25" cm="1">
        <f t="array" aca="1" ref="AX25" ca="1">IF($AP25=AX$14, 1, SUMPRODUCT(
    --(OFFSET($O$13,0,0,1,$B$9)=TRUE),
    --(INDEX(OFFSET($O$15,0,0,$B$8,$B$9), 1+$AP25, 0) = INDEX(OFFSET($O$15,0,0,$B$8,$B$9), 1+AX$14, 0))
) / $B$13)</f>
        <v>0.2</v>
      </c>
      <c r="AY25" cm="1">
        <f t="array" aca="1" ref="AY25" ca="1">IF($AP25=AY$14, 1, SUMPRODUCT(
    --(OFFSET($O$13,0,0,1,$B$9)=TRUE),
    --(INDEX(OFFSET($O$15,0,0,$B$8,$B$9), 1+$AP25, 0) = INDEX(OFFSET($O$15,0,0,$B$8,$B$9), 1+AY$14, 0))
) / $B$13)</f>
        <v>0.2</v>
      </c>
      <c r="AZ25" cm="1">
        <f t="array" aca="1" ref="AZ25" ca="1">IF($AP25=AZ$14, 1, SUMPRODUCT(
    --(OFFSET($O$13,0,0,1,$B$9)=TRUE),
    --(INDEX(OFFSET($O$15,0,0,$B$8,$B$9), 1+$AP25, 0) = INDEX(OFFSET($O$15,0,0,$B$8,$B$9), 1+AZ$14, 0))
) / $B$13)</f>
        <v>0.4</v>
      </c>
      <c r="BA25" cm="1">
        <f t="array" aca="1" ref="BA25" ca="1">IF($AP25=BA$14, 1, SUMPRODUCT(
    --(OFFSET($O$13,0,0,1,$B$9)=TRUE),
    --(INDEX(OFFSET($O$15,0,0,$B$8,$B$9), 1+$AP25, 0) = INDEX(OFFSET($O$15,0,0,$B$8,$B$9), 1+BA$14, 0))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
) / $B$13)</f>
        <v>0.4</v>
      </c>
      <c r="BC25" cm="1">
        <f t="array" aca="1" ref="BC25" ca="1">IF($AP25=BC$14, 1, SUMPRODUCT(
    --(OFFSET($O$13,0,0,1,$B$9)=TRUE),
    --(INDEX(OFFSET($O$15,0,0,$B$8,$B$9), 1+$AP25, 0) = INDEX(OFFSET($O$15,0,0,$B$8,$B$9), 1+BC$14, 0))
) / $B$13)</f>
        <v>0.6</v>
      </c>
      <c r="BD25" cm="1">
        <f t="array" aca="1" ref="BD25" ca="1">IF($AP25=BD$14, 1, SUMPRODUCT(
    --(OFFSET($O$13,0,0,1,$B$9)=TRUE),
    --(INDEX(OFFSET($O$15,0,0,$B$8,$B$9), 1+$AP25, 0) = INDEX(OFFSET($O$15,0,0,$B$8,$B$9), 1+BD$14, 0))
) / $B$13)</f>
        <v>0.2</v>
      </c>
      <c r="BE25" cm="1">
        <f t="array" aca="1" ref="BE25" ca="1">IF($AP25=BE$14, 1, SUMPRODUCT(
    --(OFFSET($O$13,0,0,1,$B$9)=TRUE),
    --(INDEX(OFFSET($O$15,0,0,$B$8,$B$9), 1+$AP25, 0) = INDEX(OFFSET($O$15,0,0,$B$8,$B$9), 1+BE$14, 0))
) / $B$13)</f>
        <v>0.6</v>
      </c>
      <c r="BF25" cm="1">
        <f t="array" aca="1" ref="BF25" ca="1">IF($AP25=BF$14, 1, SUMPRODUCT(
    --(OFFSET($O$13,0,0,1,$B$9)=TRUE),
    --(INDEX(OFFSET($O$15,0,0,$B$8,$B$9), 1+$AP25, 0) = INDEX(OFFSET($O$15,0,0,$B$8,$B$9), 1+BF$14, 0))
) / $B$13)</f>
        <v>0.4</v>
      </c>
      <c r="BG25" cm="1">
        <f t="array" aca="1" ref="BG25" ca="1">IF($AP25=BG$14, 1, SUMPRODUCT(
    --(OFFSET($O$13,0,0,1,$B$9)=TRUE),
    --(INDEX(OFFSET($O$15,0,0,$B$8,$B$9), 1+$AP25, 0) = INDEX(OFFSET($O$15,0,0,$B$8,$B$9), 1+BG$14, 0))
) / $B$13)</f>
        <v>0.2</v>
      </c>
      <c r="BH25" cm="1">
        <f t="array" aca="1" ref="BH25" ca="1">IF($AP25=BH$14, 1, SUMPRODUCT(
    --(OFFSET($O$13,0,0,1,$B$9)=TRUE),
    --(INDEX(OFFSET($O$15,0,0,$B$8,$B$9), 1+$AP25, 0) = INDEX(OFFSET($O$15,0,0,$B$8,$B$9), 1+BH$14, 0))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
) / $B$13)</f>
        <v>0</v>
      </c>
      <c r="BJ25" cm="1">
        <f t="array" aca="1" ref="BJ25" ca="1">IF($AP25=BJ$14, 1, SUMPRODUCT(
    --(OFFSET($O$13,0,0,1,$B$9)=TRUE),
    --(INDEX(OFFSET($O$15,0,0,$B$8,$B$9), 1+$AP25, 0) = INDEX(OFFSET($O$15,0,0,$B$8,$B$9), 1+BJ$14, 0))
) / $B$13)</f>
        <v>0</v>
      </c>
      <c r="BN25">
        <f t="shared" ca="1" si="6"/>
        <v>1</v>
      </c>
      <c r="BO25" s="14">
        <f t="shared" ca="1" si="7"/>
        <v>1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
) / $B$16)</f>
        <v>0.2</v>
      </c>
      <c r="BR25" cm="1">
        <f t="array" aca="1" ref="BR25" ca="1">IF($BP25=BR$14, 1, SUMPRODUCT(
    --(OFFSET($O$9,0,0,1,$B$9)=TRUE),
    --(INDEX(OFFSET($O$15,0,0,$B$8,$B$9), 1+$BP25, 0) = INDEX(OFFSET($O$15,0,0,$B$8,$B$9), 1+BR$14, 0))
) / $B$16)</f>
        <v>0.4</v>
      </c>
      <c r="BS25" cm="1">
        <f t="array" aca="1" ref="BS25" ca="1">IF($BP25=BS$14, 1, SUMPRODUCT(
    --(OFFSET($O$9,0,0,1,$B$9)=TRUE),
    --(INDEX(OFFSET($O$15,0,0,$B$8,$B$9), 1+$BP25, 0) = INDEX(OFFSET($O$15,0,0,$B$8,$B$9), 1+BS$14, 0))
) / $B$16)</f>
        <v>0.2</v>
      </c>
      <c r="BT25" cm="1">
        <f t="array" aca="1" ref="BT25" ca="1">IF($BP25=BT$14, 1, SUMPRODUCT(
    --(OFFSET($O$9,0,0,1,$B$9)=TRUE),
    --(INDEX(OFFSET($O$15,0,0,$B$8,$B$9), 1+$BP25, 0) = INDEX(OFFSET($O$15,0,0,$B$8,$B$9), 1+BT$14, 0))
) / $B$16)</f>
        <v>0.2</v>
      </c>
      <c r="BU25" cm="1">
        <f t="array" aca="1" ref="BU25" ca="1">IF($BP25=BU$14, 1, SUMPRODUCT(
    --(OFFSET($O$9,0,0,1,$B$9)=TRUE),
    --(INDEX(OFFSET($O$15,0,0,$B$8,$B$9), 1+$BP25, 0) = INDEX(OFFSET($O$15,0,0,$B$8,$B$9), 1+BU$14, 0))
) / $B$16)</f>
        <v>0</v>
      </c>
      <c r="BV25" cm="1">
        <f t="array" aca="1" ref="BV25" ca="1">IF($BP25=BV$14, 1, SUMPRODUCT(
    --(OFFSET($O$9,0,0,1,$B$9)=TRUE),
    --(INDEX(OFFSET($O$15,0,0,$B$8,$B$9), 1+$BP25, 0) = INDEX(OFFSET($O$15,0,0,$B$8,$B$9), 1+BV$14, 0))
) / $B$16)</f>
        <v>0.4</v>
      </c>
      <c r="BW25" cm="1">
        <f t="array" aca="1" ref="BW25" ca="1">IF($BP25=BW$14, 1, SUMPRODUCT(
    --(OFFSET($O$9,0,0,1,$B$9)=TRUE),
    --(INDEX(OFFSET($O$15,0,0,$B$8,$B$9), 1+$BP25, 0) = INDEX(OFFSET($O$15,0,0,$B$8,$B$9), 1+BW$14, 0))
) / $B$16)</f>
        <v>0.2</v>
      </c>
      <c r="BX25" cm="1">
        <f t="array" aca="1" ref="BX25" ca="1">IF($BP25=BX$14, 1, SUMPRODUCT(
    --(OFFSET($O$9,0,0,1,$B$9)=TRUE),
    --(INDEX(OFFSET($O$15,0,0,$B$8,$B$9), 1+$BP25, 0) = INDEX(OFFSET($O$15,0,0,$B$8,$B$9), 1+BX$14, 0))
) / $B$16)</f>
        <v>0.2</v>
      </c>
      <c r="BY25" cm="1">
        <f t="array" aca="1" ref="BY25" ca="1">IF($BP25=BY$14, 1, SUMPRODUCT(
    --(OFFSET($O$9,0,0,1,$B$9)=TRUE),
    --(INDEX(OFFSET($O$15,0,0,$B$8,$B$9), 1+$BP25, 0) = INDEX(OFFSET($O$15,0,0,$B$8,$B$9), 1+BY$14, 0))
) / $B$16)</f>
        <v>0.2</v>
      </c>
      <c r="BZ25" cm="1">
        <f t="array" aca="1" ref="BZ25" ca="1">IF($BP25=BZ$14, 1, SUMPRODUCT(
    --(OFFSET($O$9,0,0,1,$B$9)=TRUE),
    --(INDEX(OFFSET($O$15,0,0,$B$8,$B$9), 1+$BP25, 0) = INDEX(OFFSET($O$15,0,0,$B$8,$B$9), 1+BZ$14, 0))
) / $B$16)</f>
        <v>0.4</v>
      </c>
      <c r="CA25" cm="1">
        <f t="array" aca="1" ref="CA25" ca="1">IF($BP25=CA$14, 1, SUMPRODUCT(
    --(OFFSET($O$9,0,0,1,$B$9)=TRUE),
    --(INDEX(OFFSET($O$15,0,0,$B$8,$B$9), 1+$BP25, 0) = INDEX(OFFSET($O$15,0,0,$B$8,$B$9), 1+CA$14, 0))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
) / $B$16)</f>
        <v>0.4</v>
      </c>
      <c r="CC25" cm="1">
        <f t="array" aca="1" ref="CC25" ca="1">IF($BP25=CC$14, 1, SUMPRODUCT(
    --(OFFSET($O$9,0,0,1,$B$9)=TRUE),
    --(INDEX(OFFSET($O$15,0,0,$B$8,$B$9), 1+$BP25, 0) = INDEX(OFFSET($O$15,0,0,$B$8,$B$9), 1+CC$14, 0))
) / $B$16)</f>
        <v>0.6</v>
      </c>
      <c r="CD25" cm="1">
        <f t="array" aca="1" ref="CD25" ca="1">IF($BP25=CD$14, 1, SUMPRODUCT(
    --(OFFSET($O$9,0,0,1,$B$9)=TRUE),
    --(INDEX(OFFSET($O$15,0,0,$B$8,$B$9), 1+$BP25, 0) = INDEX(OFFSET($O$15,0,0,$B$8,$B$9), 1+CD$14, 0))
) / $B$16)</f>
        <v>0.2</v>
      </c>
      <c r="CE25" cm="1">
        <f t="array" aca="1" ref="CE25" ca="1">IF($BP25=CE$14, 1, SUMPRODUCT(
    --(OFFSET($O$9,0,0,1,$B$9)=TRUE),
    --(INDEX(OFFSET($O$15,0,0,$B$8,$B$9), 1+$BP25, 0) = INDEX(OFFSET($O$15,0,0,$B$8,$B$9), 1+CE$14, 0))
) / $B$16)</f>
        <v>0.6</v>
      </c>
      <c r="CF25" cm="1">
        <f t="array" aca="1" ref="CF25" ca="1">IF($BP25=CF$14, 1, SUMPRODUCT(
    --(OFFSET($O$9,0,0,1,$B$9)=TRUE),
    --(INDEX(OFFSET($O$15,0,0,$B$8,$B$9), 1+$BP25, 0) = INDEX(OFFSET($O$15,0,0,$B$8,$B$9), 1+CF$14, 0))
) / $B$16)</f>
        <v>0.4</v>
      </c>
      <c r="CG25" cm="1">
        <f t="array" aca="1" ref="CG25" ca="1">IF($BP25=CG$14, 1, SUMPRODUCT(
    --(OFFSET($O$9,0,0,1,$B$9)=TRUE),
    --(INDEX(OFFSET($O$15,0,0,$B$8,$B$9), 1+$BP25, 0) = INDEX(OFFSET($O$15,0,0,$B$8,$B$9), 1+CG$14, 0))
) / $B$16)</f>
        <v>0.2</v>
      </c>
      <c r="CH25" cm="1">
        <f t="array" aca="1" ref="CH25" ca="1">IF($BP25=CH$14, 1, SUMPRODUCT(
    --(OFFSET($O$9,0,0,1,$B$9)=TRUE),
    --(INDEX(OFFSET($O$15,0,0,$B$8,$B$9), 1+$BP25, 0) = INDEX(OFFSET($O$15,0,0,$B$8,$B$9), 1+CH$14, 0))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
) / $B$16)</f>
        <v>0</v>
      </c>
      <c r="CJ25" cm="1">
        <f t="array" aca="1" ref="CJ25" ca="1">IF($BP25=CJ$14, 1, SUMPRODUCT(
    --(OFFSET($O$9,0,0,1,$B$9)=TRUE),
    --(INDEX(OFFSET($O$15,0,0,$B$8,$B$9), 1+$BP25, 0) = INDEX(OFFSET($O$15,0,0,$B$8,$B$9), 1+CJ$14, 0))
) / $B$16)</f>
        <v>0</v>
      </c>
      <c r="DF25" cm="1">
        <f t="array" aca="1" ref="DF25" ca="1">INDEX(_xlfn.ANCHORARRAY($CP$15), 1 + INT((ROWS($DG$15:$DG25) - 1) / ROWS(_xlfn.ANCHORARRAY($CP$15))))</f>
        <v>2</v>
      </c>
      <c r="DG25" cm="1">
        <f t="array" aca="1" ref="DG25" ca="1">INDEX(_xlfn.ANCHORARRAY($CP$15),1+MOD(ROWS($DG$15:$DG25)-1,ROWS(_xlfn.ANCHORARRAY($CP$15))))</f>
        <v>0</v>
      </c>
      <c r="DH25" s="10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 $B$18/($B$19*$B$19*($DF25&lt;&gt;$DG25) + $B$19*($DF25=$DG25))</f>
        <v>1.1999999999999999E-3</v>
      </c>
      <c r="DI25" s="10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 $B$18/($B$19*$B$19*($DF25&lt;&gt;$DG25) + $B$19*($DF25=$DG25))</f>
        <v>4.6176816074188554E-2</v>
      </c>
      <c r="DJ25" s="10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 $B$18/($B$19*$B$19*($DF25&lt;&gt;$DG25) + $B$19*($DF25=$DG25))</f>
        <v>3.1184544049459036E-2</v>
      </c>
      <c r="DK25" s="10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 $B$18/($B$19*$B$19*($DF25&lt;&gt;$DG25) + $B$19*($DF25=$DG25))</f>
        <v>9.1153632148377114E-2</v>
      </c>
      <c r="DL25" s="10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 $B$18/($B$19*$B$19*($DF25&lt;&gt;$DG25) + $B$19*($DF25=$DG25))</f>
        <v>0.12413663060278204</v>
      </c>
      <c r="DM25" s="10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 $B$18/($B$19*$B$19*($DF25&lt;&gt;$DG25) + $B$19*($DF25=$DG25))</f>
        <v>2.3688408037094277E-2</v>
      </c>
      <c r="DN25" s="10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 $B$18/($B$19*$B$19*($DF25&lt;&gt;$DG25) + $B$19*($DF25=$DG25))</f>
        <v>2.3688408037094277E-2</v>
      </c>
      <c r="DO25" s="10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 $B$18/($B$19*$B$19*($DF25&lt;&gt;$DG25) + $B$19*($DF25=$DG25))</f>
        <v>2.3688408037094277E-2</v>
      </c>
      <c r="DP25" s="10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 $B$18/($B$19*$B$19*($DF25&lt;&gt;$DG25) + $B$19*($DF25=$DG25))</f>
        <v>9.1153632148377114E-2</v>
      </c>
      <c r="DQ25" s="10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 $B$18/($B$19*$B$19*($DF25&lt;&gt;$DG25) + $B$19*($DF25=$DG25))</f>
        <v>3.1184544049459036E-2</v>
      </c>
      <c r="DR25" s="10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 $B$18/($B$19*$B$19*($DF25&lt;&gt;$DG25) + $B$19*($DF25=$DG25))</f>
        <v>3.1184544049459036E-2</v>
      </c>
      <c r="DS25" s="10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 $B$18/($B$19*$B$19*($DF25&lt;&gt;$DG25) + $B$19*($DF25=$DG25))</f>
        <v>3.1184544049459036E-2</v>
      </c>
      <c r="DT25" s="10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 $B$18/($B$19*$B$19*($DF25&lt;&gt;$DG25) + $B$19*($DF25=$DG25))</f>
        <v>4.6176816074188554E-2</v>
      </c>
      <c r="DU25" s="10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 $B$18/($B$19*$B$19*($DF25&lt;&gt;$DG25) + $B$19*($DF25=$DG25))</f>
        <v>9.1153632148377114E-2</v>
      </c>
      <c r="DV25" s="10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 $B$18/($B$19*$B$19*($DF25&lt;&gt;$DG25) + $B$19*($DF25=$DG25))</f>
        <v>3.1184544049459036E-2</v>
      </c>
      <c r="DW25" s="10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 $B$18/($B$19*$B$19*($DF25&lt;&gt;$DG25) + $B$19*($DF25=$DG25))</f>
        <v>9.1153632148377114E-2</v>
      </c>
    </row>
    <row r="26" spans="1:127" x14ac:dyDescent="0.2">
      <c r="D26" s="10">
        <f ca="1"/>
        <v>11</v>
      </c>
      <c r="F26" s="10">
        <f ca="1"/>
        <v>1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9"/>
        <v>1</v>
      </c>
      <c r="L26" cm="1">
        <f t="array" aca="1" ref="L26" ca="1">SUM(
   1*(_xlfn._xlws.FILTER(OFFSET($O26,0,0,1,$B$9),OFFSET($O$13,0,0,1,$B$9)) = "-")
) / $B$13</f>
        <v>0.2</v>
      </c>
      <c r="M26" t="b">
        <f t="shared" ca="1" si="3"/>
        <v>1</v>
      </c>
      <c r="N26" s="2">
        <v>11</v>
      </c>
      <c r="O26" s="12" t="s">
        <v>4</v>
      </c>
      <c r="P26" s="9" t="s">
        <v>5</v>
      </c>
      <c r="Q26" s="9" t="s">
        <v>4</v>
      </c>
      <c r="R26" s="9" t="s">
        <v>3</v>
      </c>
      <c r="S26" s="9" t="s">
        <v>3</v>
      </c>
      <c r="AK26" s="7"/>
      <c r="AN26">
        <f t="shared" ca="1" si="4"/>
        <v>1</v>
      </c>
      <c r="AO26" s="14">
        <f t="shared" ca="1" si="5"/>
        <v>1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
) / $B$13)</f>
        <v>0.6</v>
      </c>
      <c r="AS26" cm="1">
        <f t="array" aca="1" ref="AS26" ca="1">IF($AP26=AS$14, 1, SUMPRODUCT(
    --(OFFSET($O$13,0,0,1,$B$9)=TRUE),
    --(INDEX(OFFSET($O$15,0,0,$B$8,$B$9), 1+$AP26, 0) = INDEX(OFFSET($O$15,0,0,$B$8,$B$9), 1+AS$14, 0))
) / $B$13)</f>
        <v>0.4</v>
      </c>
      <c r="AT26" cm="1">
        <f t="array" aca="1" ref="AT26" ca="1">IF($AP26=AT$14, 1, SUMPRODUCT(
    --(OFFSET($O$13,0,0,1,$B$9)=TRUE),
    --(INDEX(OFFSET($O$15,0,0,$B$8,$B$9), 1+$AP26, 0) = INDEX(OFFSET($O$15,0,0,$B$8,$B$9), 1+AT$14, 0))
) / $B$13)</f>
        <v>0.4</v>
      </c>
      <c r="AU26" cm="1">
        <f t="array" aca="1" ref="AU26" ca="1">IF($AP26=AU$14, 1, SUMPRODUCT(
    --(OFFSET($O$13,0,0,1,$B$9)=TRUE),
    --(INDEX(OFFSET($O$15,0,0,$B$8,$B$9), 1+$AP26, 0) = INDEX(OFFSET($O$15,0,0,$B$8,$B$9), 1+AU$14, 0))
) / $B$13)</f>
        <v>0</v>
      </c>
      <c r="AV26" cm="1">
        <f t="array" aca="1" ref="AV26" ca="1">IF($AP26=AV$14, 1, SUMPRODUCT(
    --(OFFSET($O$13,0,0,1,$B$9)=TRUE),
    --(INDEX(OFFSET($O$15,0,0,$B$8,$B$9), 1+$AP26, 0) = INDEX(OFFSET($O$15,0,0,$B$8,$B$9), 1+AV$14, 0))
) / $B$13)</f>
        <v>0.6</v>
      </c>
      <c r="AW26" cm="1">
        <f t="array" aca="1" ref="AW26" ca="1">IF($AP26=AW$14, 1, SUMPRODUCT(
    --(OFFSET($O$13,0,0,1,$B$9)=TRUE),
    --(INDEX(OFFSET($O$15,0,0,$B$8,$B$9), 1+$AP26, 0) = INDEX(OFFSET($O$15,0,0,$B$8,$B$9), 1+AW$14, 0))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
) / $B$13)</f>
        <v>0.2</v>
      </c>
      <c r="AZ26" cm="1">
        <f t="array" aca="1" ref="AZ26" ca="1">IF($AP26=AZ$14, 1, SUMPRODUCT(
    --(OFFSET($O$13,0,0,1,$B$9)=TRUE),
    --(INDEX(OFFSET($O$15,0,0,$B$8,$B$9), 1+$AP26, 0) = INDEX(OFFSET($O$15,0,0,$B$8,$B$9), 1+AZ$14, 0))
) / $B$13)</f>
        <v>0.6</v>
      </c>
      <c r="BA26" cm="1">
        <f t="array" aca="1" ref="BA26" ca="1">IF($AP26=BA$14, 1, SUMPRODUCT(
    --(OFFSET($O$13,0,0,1,$B$9)=TRUE),
    --(INDEX(OFFSET($O$15,0,0,$B$8,$B$9), 1+$AP26, 0) = INDEX(OFFSET($O$15,0,0,$B$8,$B$9), 1+BA$14, 0))
) / $B$13)</f>
        <v>0.4</v>
      </c>
      <c r="BB26" cm="1">
        <f t="array" aca="1" ref="BB26" ca="1">IF($AP26=BB$14, 1, SUMPRODUCT(
    --(OFFSET($O$13,0,0,1,$B$9)=TRUE),
    --(INDEX(OFFSET($O$15,0,0,$B$8,$B$9), 1+$AP26, 0) = INDEX(OFFSET($O$15,0,0,$B$8,$B$9), 1+BB$14, 0))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
) / $B$13)</f>
        <v>0.4</v>
      </c>
      <c r="BD26" cm="1">
        <f t="array" aca="1" ref="BD26" ca="1">IF($AP26=BD$14, 1, SUMPRODUCT(
    --(OFFSET($O$13,0,0,1,$B$9)=TRUE),
    --(INDEX(OFFSET($O$15,0,0,$B$8,$B$9), 1+$AP26, 0) = INDEX(OFFSET($O$15,0,0,$B$8,$B$9), 1+BD$14, 0))
) / $B$13)</f>
        <v>0.6</v>
      </c>
      <c r="BE26" cm="1">
        <f t="array" aca="1" ref="BE26" ca="1">IF($AP26=BE$14, 1, SUMPRODUCT(
    --(OFFSET($O$13,0,0,1,$B$9)=TRUE),
    --(INDEX(OFFSET($O$15,0,0,$B$8,$B$9), 1+$AP26, 0) = INDEX(OFFSET($O$15,0,0,$B$8,$B$9), 1+BE$14, 0))
) / $B$13)</f>
        <v>0.4</v>
      </c>
      <c r="BF26" cm="1">
        <f t="array" aca="1" ref="BF26" ca="1">IF($AP26=BF$14, 1, SUMPRODUCT(
    --(OFFSET($O$13,0,0,1,$B$9)=TRUE),
    --(INDEX(OFFSET($O$15,0,0,$B$8,$B$9), 1+$AP26, 0) = INDEX(OFFSET($O$15,0,0,$B$8,$B$9), 1+BF$14, 0))
) / $B$13)</f>
        <v>0.6</v>
      </c>
      <c r="BG26" cm="1">
        <f t="array" aca="1" ref="BG26" ca="1">IF($AP26=BG$14, 1, SUMPRODUCT(
    --(OFFSET($O$13,0,0,1,$B$9)=TRUE),
    --(INDEX(OFFSET($O$15,0,0,$B$8,$B$9), 1+$AP26, 0) = INDEX(OFFSET($O$15,0,0,$B$8,$B$9), 1+BG$14, 0))
) / $B$13)</f>
        <v>0</v>
      </c>
      <c r="BH26" cm="1">
        <f t="array" aca="1" ref="BH26" ca="1">IF($AP26=BH$14, 1, SUMPRODUCT(
    --(OFFSET($O$13,0,0,1,$B$9)=TRUE),
    --(INDEX(OFFSET($O$15,0,0,$B$8,$B$9), 1+$AP26, 0) = INDEX(OFFSET($O$15,0,0,$B$8,$B$9), 1+BH$14, 0))
) / $B$13)</f>
        <v>0</v>
      </c>
      <c r="BI26" cm="1">
        <f t="array" aca="1" ref="BI26" ca="1">IF($AP26=BI$14, 1, SUMPRODUCT(
    --(OFFSET($O$13,0,0,1,$B$9)=TRUE),
    --(INDEX(OFFSET($O$15,0,0,$B$8,$B$9), 1+$AP26, 0) = INDEX(OFFSET($O$15,0,0,$B$8,$B$9), 1+BI$14, 0))
) / $B$13)</f>
        <v>0</v>
      </c>
      <c r="BJ26" cm="1">
        <f t="array" aca="1" ref="BJ26" ca="1">IF($AP26=BJ$14, 1, SUMPRODUCT(
    --(OFFSET($O$13,0,0,1,$B$9)=TRUE),
    --(INDEX(OFFSET($O$15,0,0,$B$8,$B$9), 1+$AP26, 0) = INDEX(OFFSET($O$15,0,0,$B$8,$B$9), 1+BJ$14, 0))
) / $B$13)</f>
        <v>0.2</v>
      </c>
      <c r="BN26">
        <f t="shared" ca="1" si="6"/>
        <v>1</v>
      </c>
      <c r="BO26" s="14">
        <f t="shared" ca="1" si="7"/>
        <v>1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
) / $B$16)</f>
        <v>0.4</v>
      </c>
      <c r="BR26" cm="1">
        <f t="array" aca="1" ref="BR26" ca="1">IF($BP26=BR$14, 1, SUMPRODUCT(
    --(OFFSET($O$9,0,0,1,$B$9)=TRUE),
    --(INDEX(OFFSET($O$15,0,0,$B$8,$B$9), 1+$BP26, 0) = INDEX(OFFSET($O$15,0,0,$B$8,$B$9), 1+BR$14, 0))
) / $B$16)</f>
        <v>0.6</v>
      </c>
      <c r="BS26" cm="1">
        <f t="array" aca="1" ref="BS26" ca="1">IF($BP26=BS$14, 1, SUMPRODUCT(
    --(OFFSET($O$9,0,0,1,$B$9)=TRUE),
    --(INDEX(OFFSET($O$15,0,0,$B$8,$B$9), 1+$BP26, 0) = INDEX(OFFSET($O$15,0,0,$B$8,$B$9), 1+BS$14, 0))
) / $B$16)</f>
        <v>0.4</v>
      </c>
      <c r="BT26" cm="1">
        <f t="array" aca="1" ref="BT26" ca="1">IF($BP26=BT$14, 1, SUMPRODUCT(
    --(OFFSET($O$9,0,0,1,$B$9)=TRUE),
    --(INDEX(OFFSET($O$15,0,0,$B$8,$B$9), 1+$BP26, 0) = INDEX(OFFSET($O$15,0,0,$B$8,$B$9), 1+BT$14, 0))
) / $B$16)</f>
        <v>0.4</v>
      </c>
      <c r="BU26" cm="1">
        <f t="array" aca="1" ref="BU26" ca="1">IF($BP26=BU$14, 1, SUMPRODUCT(
    --(OFFSET($O$9,0,0,1,$B$9)=TRUE),
    --(INDEX(OFFSET($O$15,0,0,$B$8,$B$9), 1+$BP26, 0) = INDEX(OFFSET($O$15,0,0,$B$8,$B$9), 1+BU$14, 0))
) / $B$16)</f>
        <v>0</v>
      </c>
      <c r="BV26" cm="1">
        <f t="array" aca="1" ref="BV26" ca="1">IF($BP26=BV$14, 1, SUMPRODUCT(
    --(OFFSET($O$9,0,0,1,$B$9)=TRUE),
    --(INDEX(OFFSET($O$15,0,0,$B$8,$B$9), 1+$BP26, 0) = INDEX(OFFSET($O$15,0,0,$B$8,$B$9), 1+BV$14, 0))
) / $B$16)</f>
        <v>0.6</v>
      </c>
      <c r="BW26" cm="1">
        <f t="array" aca="1" ref="BW26" ca="1">IF($BP26=BW$14, 1, SUMPRODUCT(
    --(OFFSET($O$9,0,0,1,$B$9)=TRUE),
    --(INDEX(OFFSET($O$15,0,0,$B$8,$B$9), 1+$BP26, 0) = INDEX(OFFSET($O$15,0,0,$B$8,$B$9), 1+BW$14, 0))
) / $B$16)</f>
        <v>0.4</v>
      </c>
      <c r="BX26" cm="1">
        <f t="array" aca="1" ref="BX26" ca="1">IF($BP26=BX$14, 1, SUMPRODUCT(
    --(OFFSET($O$9,0,0,1,$B$9)=TRUE),
    --(INDEX(OFFSET($O$15,0,0,$B$8,$B$9), 1+$BP26, 0) = INDEX(OFFSET($O$15,0,0,$B$8,$B$9), 1+BX$14, 0))
) / $B$16)</f>
        <v>0.4</v>
      </c>
      <c r="BY26" cm="1">
        <f t="array" aca="1" ref="BY26" ca="1">IF($BP26=BY$14, 1, SUMPRODUCT(
    --(OFFSET($O$9,0,0,1,$B$9)=TRUE),
    --(INDEX(OFFSET($O$15,0,0,$B$8,$B$9), 1+$BP26, 0) = INDEX(OFFSET($O$15,0,0,$B$8,$B$9), 1+BY$14, 0))
) / $B$16)</f>
        <v>0.2</v>
      </c>
      <c r="BZ26" cm="1">
        <f t="array" aca="1" ref="BZ26" ca="1">IF($BP26=BZ$14, 1, SUMPRODUCT(
    --(OFFSET($O$9,0,0,1,$B$9)=TRUE),
    --(INDEX(OFFSET($O$15,0,0,$B$8,$B$9), 1+$BP26, 0) = INDEX(OFFSET($O$15,0,0,$B$8,$B$9), 1+BZ$14, 0))
) / $B$16)</f>
        <v>0.6</v>
      </c>
      <c r="CA26" cm="1">
        <f t="array" aca="1" ref="CA26" ca="1">IF($BP26=CA$14, 1, SUMPRODUCT(
    --(OFFSET($O$9,0,0,1,$B$9)=TRUE),
    --(INDEX(OFFSET($O$15,0,0,$B$8,$B$9), 1+$BP26, 0) = INDEX(OFFSET($O$15,0,0,$B$8,$B$9), 1+CA$14, 0))
) / $B$16)</f>
        <v>0.4</v>
      </c>
      <c r="CB26" cm="1">
        <f t="array" aca="1" ref="CB26" ca="1">IF($BP26=CB$14, 1, SUMPRODUCT(
    --(OFFSET($O$9,0,0,1,$B$9)=TRUE),
    --(INDEX(OFFSET($O$15,0,0,$B$8,$B$9), 1+$BP26, 0) = INDEX(OFFSET($O$15,0,0,$B$8,$B$9), 1+CB$14, 0))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
) / $B$16)</f>
        <v>0.4</v>
      </c>
      <c r="CD26" cm="1">
        <f t="array" aca="1" ref="CD26" ca="1">IF($BP26=CD$14, 1, SUMPRODUCT(
    --(OFFSET($O$9,0,0,1,$B$9)=TRUE),
    --(INDEX(OFFSET($O$15,0,0,$B$8,$B$9), 1+$BP26, 0) = INDEX(OFFSET($O$15,0,0,$B$8,$B$9), 1+CD$14, 0))
) / $B$16)</f>
        <v>0.6</v>
      </c>
      <c r="CE26" cm="1">
        <f t="array" aca="1" ref="CE26" ca="1">IF($BP26=CE$14, 1, SUMPRODUCT(
    --(OFFSET($O$9,0,0,1,$B$9)=TRUE),
    --(INDEX(OFFSET($O$15,0,0,$B$8,$B$9), 1+$BP26, 0) = INDEX(OFFSET($O$15,0,0,$B$8,$B$9), 1+CE$14, 0))
) / $B$16)</f>
        <v>0.4</v>
      </c>
      <c r="CF26" cm="1">
        <f t="array" aca="1" ref="CF26" ca="1">IF($BP26=CF$14, 1, SUMPRODUCT(
    --(OFFSET($O$9,0,0,1,$B$9)=TRUE),
    --(INDEX(OFFSET($O$15,0,0,$B$8,$B$9), 1+$BP26, 0) = INDEX(OFFSET($O$15,0,0,$B$8,$B$9), 1+CF$14, 0))
) / $B$16)</f>
        <v>0.6</v>
      </c>
      <c r="CG26" cm="1">
        <f t="array" aca="1" ref="CG26" ca="1">IF($BP26=CG$14, 1, SUMPRODUCT(
    --(OFFSET($O$9,0,0,1,$B$9)=TRUE),
    --(INDEX(OFFSET($O$15,0,0,$B$8,$B$9), 1+$BP26, 0) = INDEX(OFFSET($O$15,0,0,$B$8,$B$9), 1+CG$14, 0))
) / $B$16)</f>
        <v>0</v>
      </c>
      <c r="CH26" cm="1">
        <f t="array" aca="1" ref="CH26" ca="1">IF($BP26=CH$14, 1, SUMPRODUCT(
    --(OFFSET($O$9,0,0,1,$B$9)=TRUE),
    --(INDEX(OFFSET($O$15,0,0,$B$8,$B$9), 1+$BP26, 0) = INDEX(OFFSET($O$15,0,0,$B$8,$B$9), 1+CH$14, 0))
) / $B$16)</f>
        <v>0</v>
      </c>
      <c r="CI26" cm="1">
        <f t="array" aca="1" ref="CI26" ca="1">IF($BP26=CI$14, 1, SUMPRODUCT(
    --(OFFSET($O$9,0,0,1,$B$9)=TRUE),
    --(INDEX(OFFSET($O$15,0,0,$B$8,$B$9), 1+$BP26, 0) = INDEX(OFFSET($O$15,0,0,$B$8,$B$9), 1+CI$14, 0))
) / $B$16)</f>
        <v>0</v>
      </c>
      <c r="CJ26" cm="1">
        <f t="array" aca="1" ref="CJ26" ca="1">IF($BP26=CJ$14, 1, SUMPRODUCT(
    --(OFFSET($O$9,0,0,1,$B$9)=TRUE),
    --(INDEX(OFFSET($O$15,0,0,$B$8,$B$9), 1+$BP26, 0) = INDEX(OFFSET($O$15,0,0,$B$8,$B$9), 1+CJ$14, 0))
) / $B$16)</f>
        <v>0.2</v>
      </c>
      <c r="DF26" cm="1">
        <f t="array" aca="1" ref="DF26" ca="1">INDEX(_xlfn.ANCHORARRAY($CP$15), 1 + INT((ROWS($DG$15:$DG26) - 1) / ROWS(_xlfn.ANCHORARRAY($CP$15))))</f>
        <v>2</v>
      </c>
      <c r="DG26" cm="1">
        <f t="array" aca="1" ref="DG26" ca="1">INDEX(_xlfn.ANCHORARRAY($CP$15),1+MOD(ROWS($DG$15:$DG26)-1,ROWS(_xlfn.ANCHORARRAY($CP$15))))</f>
        <v>1</v>
      </c>
      <c r="DH26" s="10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 $B$18/($B$19*$B$19*($DF26&lt;&gt;$DG26) + $B$19*($DF26=$DG26))</f>
        <v>1.1999999999999999E-3</v>
      </c>
      <c r="DI26" s="10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 $B$18/($B$19*$B$19*($DF26&lt;&gt;$DG26) + $B$19*($DF26=$DG26))</f>
        <v>0.1661149922720247</v>
      </c>
      <c r="DJ26" s="10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 $B$18/($B$19*$B$19*($DF26&lt;&gt;$DG26) + $B$19*($DF26=$DG26))</f>
        <v>1.1999999999999999E-3</v>
      </c>
      <c r="DK26" s="10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 $B$18/($B$19*$B$19*($DF26&lt;&gt;$DG26) + $B$19*($DF26=$DG26))</f>
        <v>1.1999999999999999E-3</v>
      </c>
      <c r="DL26" s="10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 $B$18/($B$19*$B$19*($DF26&lt;&gt;$DG26) + $B$19*($DF26=$DG26))</f>
        <v>1.1999999999999999E-3</v>
      </c>
      <c r="DM26" s="10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 $B$18/($B$19*$B$19*($DF26&lt;&gt;$DG26) + $B$19*($DF26=$DG26))</f>
        <v>1.1999999999999999E-3</v>
      </c>
      <c r="DN26" s="10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 $B$18/($B$19*$B$19*($DF26&lt;&gt;$DG26) + $B$19*($DF26=$DG26))</f>
        <v>1.1999999999999999E-3</v>
      </c>
      <c r="DO26" s="10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 $B$18/($B$19*$B$19*($DF26&lt;&gt;$DG26) + $B$19*($DF26=$DG26))</f>
        <v>0.28155548686244203</v>
      </c>
      <c r="DP26" s="10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 $B$18/($B$19*$B$19*($DF26&lt;&gt;$DG26) + $B$19*($DF26=$DG26))</f>
        <v>1.1999999999999999E-3</v>
      </c>
      <c r="DQ26" s="10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 $B$18/($B$19*$B$19*($DF26&lt;&gt;$DG26) + $B$19*($DF26=$DG26))</f>
        <v>1.1999999999999999E-3</v>
      </c>
      <c r="DR26" s="10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 $B$18/($B$19*$B$19*($DF26&lt;&gt;$DG26) + $B$19*($DF26=$DG26))</f>
        <v>0.18110726429675419</v>
      </c>
      <c r="DS26" s="10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 $B$18/($B$19*$B$19*($DF26&lt;&gt;$DG26) + $B$19*($DF26=$DG26))</f>
        <v>1.1999999999999999E-3</v>
      </c>
      <c r="DT26" s="10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 $B$18/($B$19*$B$19*($DF26&lt;&gt;$DG26) + $B$19*($DF26=$DG26))</f>
        <v>1.1999999999999999E-3</v>
      </c>
      <c r="DU26" s="10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 $B$18/($B$19*$B$19*($DF26&lt;&gt;$DG26) + $B$19*($DF26=$DG26))</f>
        <v>7.616136012364759E-2</v>
      </c>
      <c r="DV26" s="10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 $B$18/($B$19*$B$19*($DF26&lt;&gt;$DG26) + $B$19*($DF26=$DG26))</f>
        <v>1.1999999999999999E-3</v>
      </c>
      <c r="DW26" s="10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 $B$18/($B$19*$B$19*($DF26&lt;&gt;$DG26) + $B$19*($DF26=$DG26))</f>
        <v>1.1999999999999999E-3</v>
      </c>
    </row>
    <row r="27" spans="1:127" x14ac:dyDescent="0.2">
      <c r="D27" s="10">
        <f ca="1"/>
        <v>12</v>
      </c>
      <c r="F27" s="10">
        <f ca="1"/>
        <v>0.5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9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3"/>
        <v>1</v>
      </c>
      <c r="N27" s="2">
        <v>12</v>
      </c>
      <c r="O27" s="12" t="s">
        <v>2</v>
      </c>
      <c r="P27" s="9" t="s">
        <v>2</v>
      </c>
      <c r="Q27" s="9" t="s">
        <v>0</v>
      </c>
      <c r="R27" s="9" t="s">
        <v>3</v>
      </c>
      <c r="S27" s="9" t="s">
        <v>3</v>
      </c>
      <c r="AK27" s="7"/>
      <c r="AN27">
        <f t="shared" ca="1" si="4"/>
        <v>2</v>
      </c>
      <c r="AO27" s="14">
        <f t="shared" ca="1" si="5"/>
        <v>0.5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
) / $B$13)</f>
        <v>0.4</v>
      </c>
      <c r="AR27" cm="1">
        <f t="array" aca="1" ref="AR27" ca="1">IF($AP27=AR$14, 1, SUMPRODUCT(
    --(OFFSET($O$13,0,0,1,$B$9)=TRUE),
    --(INDEX(OFFSET($O$15,0,0,$B$8,$B$9), 1+$AP27, 0) = INDEX(OFFSET($O$15,0,0,$B$8,$B$9), 1+AR$14, 0))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
) / $B$13)</f>
        <v>0.6</v>
      </c>
      <c r="AT27" cm="1">
        <f t="array" aca="1" ref="AT27" ca="1">IF($AP27=AT$14, 1, SUMPRODUCT(
    --(OFFSET($O$13,0,0,1,$B$9)=TRUE),
    --(INDEX(OFFSET($O$15,0,0,$B$8,$B$9), 1+$AP27, 0) = INDEX(OFFSET($O$15,0,0,$B$8,$B$9), 1+AT$14, 0))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
) / $B$13)</f>
        <v>0</v>
      </c>
      <c r="AV27" cm="1">
        <f t="array" aca="1" ref="AV27" ca="1">IF($AP27=AV$14, 1, SUMPRODUCT(
    --(OFFSET($O$13,0,0,1,$B$9)=TRUE),
    --(INDEX(OFFSET($O$15,0,0,$B$8,$B$9), 1+$AP27, 0) = INDEX(OFFSET($O$15,0,0,$B$8,$B$9), 1+AV$14, 0))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
) / $B$13)</f>
        <v>0.6</v>
      </c>
      <c r="AX27" cm="1">
        <f t="array" aca="1" ref="AX27" ca="1">IF($AP27=AX$14, 1, SUMPRODUCT(
    --(OFFSET($O$13,0,0,1,$B$9)=TRUE),
    --(INDEX(OFFSET($O$15,0,0,$B$8,$B$9), 1+$AP27, 0) = INDEX(OFFSET($O$15,0,0,$B$8,$B$9), 1+AX$14, 0))
) / $B$13)</f>
        <v>0.4</v>
      </c>
      <c r="AY27" cm="1">
        <f t="array" aca="1" ref="AY27" ca="1">IF($AP27=AY$14, 1, SUMPRODUCT(
    --(OFFSET($O$13,0,0,1,$B$9)=TRUE),
    --(INDEX(OFFSET($O$15,0,0,$B$8,$B$9), 1+$AP27, 0) = INDEX(OFFSET($O$15,0,0,$B$8,$B$9), 1+AY$14, 0))
) / $B$13)</f>
        <v>0.4</v>
      </c>
      <c r="AZ27" cm="1">
        <f t="array" aca="1" ref="AZ27" ca="1">IF($AP27=AZ$14, 1, SUMPRODUCT(
    --(OFFSET($O$13,0,0,1,$B$9)=TRUE),
    --(INDEX(OFFSET($O$15,0,0,$B$8,$B$9), 1+$AP27, 0) = INDEX(OFFSET($O$15,0,0,$B$8,$B$9), 1+AZ$14, 0))
) / $B$13)</f>
        <v>0.6</v>
      </c>
      <c r="BA27" cm="1">
        <f t="array" aca="1" ref="BA27" ca="1">IF($AP27=BA$14, 1, SUMPRODUCT(
    --(OFFSET($O$13,0,0,1,$B$9)=TRUE),
    --(INDEX(OFFSET($O$15,0,0,$B$8,$B$9), 1+$AP27, 0) = INDEX(OFFSET($O$15,0,0,$B$8,$B$9), 1+BA$14, 0))
) / $B$13)</f>
        <v>0.6</v>
      </c>
      <c r="BB27" cm="1">
        <f t="array" aca="1" ref="BB27" ca="1">IF($AP27=BB$14, 1, SUMPRODUCT(
    --(OFFSET($O$13,0,0,1,$B$9)=TRUE),
    --(INDEX(OFFSET($O$15,0,0,$B$8,$B$9), 1+$AP27, 0) = INDEX(OFFSET($O$15,0,0,$B$8,$B$9), 1+BB$14, 0))
) / $B$13)</f>
        <v>0.4</v>
      </c>
      <c r="BC27" cm="1">
        <f t="array" aca="1" ref="BC27" ca="1">IF($AP27=BC$14, 1, SUMPRODUCT(
    --(OFFSET($O$13,0,0,1,$B$9)=TRUE),
    --(INDEX(OFFSET($O$15,0,0,$B$8,$B$9), 1+$AP27, 0) = INDEX(OFFSET($O$15,0,0,$B$8,$B$9), 1+BC$14, 0))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
) / $B$13)</f>
        <v>0.4</v>
      </c>
      <c r="BE27" cm="1">
        <f t="array" aca="1" ref="BE27" ca="1">IF($AP27=BE$14, 1, SUMPRODUCT(
    --(OFFSET($O$13,0,0,1,$B$9)=TRUE),
    --(INDEX(OFFSET($O$15,0,0,$B$8,$B$9), 1+$AP27, 0) = INDEX(OFFSET($O$15,0,0,$B$8,$B$9), 1+BE$14, 0))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
) / $B$13)</f>
        <v>0.6</v>
      </c>
      <c r="BG27" cm="1">
        <f t="array" aca="1" ref="BG27" ca="1">IF($AP27=BG$14, 1, SUMPRODUCT(
    --(OFFSET($O$13,0,0,1,$B$9)=TRUE),
    --(INDEX(OFFSET($O$15,0,0,$B$8,$B$9), 1+$AP27, 0) = INDEX(OFFSET($O$15,0,0,$B$8,$B$9), 1+BG$14, 0))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
) / $B$13)</f>
        <v>0</v>
      </c>
      <c r="BI27" cm="1">
        <f t="array" aca="1" ref="BI27" ca="1">IF($AP27=BI$14, 1, SUMPRODUCT(
    --(OFFSET($O$13,0,0,1,$B$9)=TRUE),
    --(INDEX(OFFSET($O$15,0,0,$B$8,$B$9), 1+$AP27, 0) = INDEX(OFFSET($O$15,0,0,$B$8,$B$9), 1+BI$14, 0))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
) / $B$13)</f>
        <v>0.2</v>
      </c>
      <c r="BN27">
        <f t="shared" ca="1" si="6"/>
        <v>2</v>
      </c>
      <c r="BO27" s="14">
        <f t="shared" ca="1" si="7"/>
        <v>0.5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
) / $B$16)</f>
        <v>0.4</v>
      </c>
      <c r="BR27" cm="1">
        <f t="array" aca="1" ref="BR27" ca="1">IF($BP27=BR$14, 1, SUMPRODUCT(
    --(OFFSET($O$9,0,0,1,$B$9)=TRUE),
    --(INDEX(OFFSET($O$15,0,0,$B$8,$B$9), 1+$BP27, 0) = INDEX(OFFSET($O$15,0,0,$B$8,$B$9), 1+BR$14, 0))
) / $B$16)</f>
        <v>0.4</v>
      </c>
      <c r="BS27" cm="1">
        <f t="array" aca="1" ref="BS27" ca="1">IF($BP27=BS$14, 1, SUMPRODUCT(
    --(OFFSET($O$9,0,0,1,$B$9)=TRUE),
    --(INDEX(OFFSET($O$15,0,0,$B$8,$B$9), 1+$BP27, 0) = INDEX(OFFSET($O$15,0,0,$B$8,$B$9), 1+BS$14, 0))
) / $B$16)</f>
        <v>0.6</v>
      </c>
      <c r="BT27" cm="1">
        <f t="array" aca="1" ref="BT27" ca="1">IF($BP27=BT$14, 1, SUMPRODUCT(
    --(OFFSET($O$9,0,0,1,$B$9)=TRUE),
    --(INDEX(OFFSET($O$15,0,0,$B$8,$B$9), 1+$BP27, 0) = INDEX(OFFSET($O$15,0,0,$B$8,$B$9), 1+BT$14, 0))
) / $B$16)</f>
        <v>0.4</v>
      </c>
      <c r="BU27" cm="1">
        <f t="array" aca="1" ref="BU27" ca="1">IF($BP27=BU$14, 1, SUMPRODUCT(
    --(OFFSET($O$9,0,0,1,$B$9)=TRUE),
    --(INDEX(OFFSET($O$15,0,0,$B$8,$B$9), 1+$BP27, 0) = INDEX(OFFSET($O$15,0,0,$B$8,$B$9), 1+BU$14, 0))
) / $B$16)</f>
        <v>0</v>
      </c>
      <c r="BV27" cm="1">
        <f t="array" aca="1" ref="BV27" ca="1">IF($BP27=BV$14, 1, SUMPRODUCT(
    --(OFFSET($O$9,0,0,1,$B$9)=TRUE),
    --(INDEX(OFFSET($O$15,0,0,$B$8,$B$9), 1+$BP27, 0) = INDEX(OFFSET($O$15,0,0,$B$8,$B$9), 1+BV$14, 0))
) / $B$16)</f>
        <v>0.4</v>
      </c>
      <c r="BW27" cm="1">
        <f t="array" aca="1" ref="BW27" ca="1">IF($BP27=BW$14, 1, SUMPRODUCT(
    --(OFFSET($O$9,0,0,1,$B$9)=TRUE),
    --(INDEX(OFFSET($O$15,0,0,$B$8,$B$9), 1+$BP27, 0) = INDEX(OFFSET($O$15,0,0,$B$8,$B$9), 1+BW$14, 0))
) / $B$16)</f>
        <v>0.6</v>
      </c>
      <c r="BX27" cm="1">
        <f t="array" aca="1" ref="BX27" ca="1">IF($BP27=BX$14, 1, SUMPRODUCT(
    --(OFFSET($O$9,0,0,1,$B$9)=TRUE),
    --(INDEX(OFFSET($O$15,0,0,$B$8,$B$9), 1+$BP27, 0) = INDEX(OFFSET($O$15,0,0,$B$8,$B$9), 1+BX$14, 0))
) / $B$16)</f>
        <v>0.4</v>
      </c>
      <c r="BY27" cm="1">
        <f t="array" aca="1" ref="BY27" ca="1">IF($BP27=BY$14, 1, SUMPRODUCT(
    --(OFFSET($O$9,0,0,1,$B$9)=TRUE),
    --(INDEX(OFFSET($O$15,0,0,$B$8,$B$9), 1+$BP27, 0) = INDEX(OFFSET($O$15,0,0,$B$8,$B$9), 1+BY$14, 0))
) / $B$16)</f>
        <v>0.4</v>
      </c>
      <c r="BZ27" cm="1">
        <f t="array" aca="1" ref="BZ27" ca="1">IF($BP27=BZ$14, 1, SUMPRODUCT(
    --(OFFSET($O$9,0,0,1,$B$9)=TRUE),
    --(INDEX(OFFSET($O$15,0,0,$B$8,$B$9), 1+$BP27, 0) = INDEX(OFFSET($O$15,0,0,$B$8,$B$9), 1+BZ$14, 0))
) / $B$16)</f>
        <v>0.6</v>
      </c>
      <c r="CA27" cm="1">
        <f t="array" aca="1" ref="CA27" ca="1">IF($BP27=CA$14, 1, SUMPRODUCT(
    --(OFFSET($O$9,0,0,1,$B$9)=TRUE),
    --(INDEX(OFFSET($O$15,0,0,$B$8,$B$9), 1+$BP27, 0) = INDEX(OFFSET($O$15,0,0,$B$8,$B$9), 1+CA$14, 0))
) / $B$16)</f>
        <v>0.6</v>
      </c>
      <c r="CB27" cm="1">
        <f t="array" aca="1" ref="CB27" ca="1">IF($BP27=CB$14, 1, SUMPRODUCT(
    --(OFFSET($O$9,0,0,1,$B$9)=TRUE),
    --(INDEX(OFFSET($O$15,0,0,$B$8,$B$9), 1+$BP27, 0) = INDEX(OFFSET($O$15,0,0,$B$8,$B$9), 1+CB$14, 0))
) / $B$16)</f>
        <v>0.4</v>
      </c>
      <c r="CC27" cm="1">
        <f t="array" aca="1" ref="CC27" ca="1">IF($BP27=CC$14, 1, SUMPRODUCT(
    --(OFFSET($O$9,0,0,1,$B$9)=TRUE),
    --(INDEX(OFFSET($O$15,0,0,$B$8,$B$9), 1+$BP27, 0) = INDEX(OFFSET($O$15,0,0,$B$8,$B$9), 1+CC$14, 0))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
) / $B$16)</f>
        <v>0.4</v>
      </c>
      <c r="CE27" cm="1">
        <f t="array" aca="1" ref="CE27" ca="1">IF($BP27=CE$14, 1, SUMPRODUCT(
    --(OFFSET($O$9,0,0,1,$B$9)=TRUE),
    --(INDEX(OFFSET($O$15,0,0,$B$8,$B$9), 1+$BP27, 0) = INDEX(OFFSET($O$15,0,0,$B$8,$B$9), 1+CE$14, 0))
) / $B$16)</f>
        <v>0.8</v>
      </c>
      <c r="CF27" cm="1">
        <f t="array" aca="1" ref="CF27" ca="1">IF($BP27=CF$14, 1, SUMPRODUCT(
    --(OFFSET($O$9,0,0,1,$B$9)=TRUE),
    --(INDEX(OFFSET($O$15,0,0,$B$8,$B$9), 1+$BP27, 0) = INDEX(OFFSET($O$15,0,0,$B$8,$B$9), 1+CF$14, 0))
) / $B$16)</f>
        <v>0.6</v>
      </c>
      <c r="CG27" cm="1">
        <f t="array" aca="1" ref="CG27" ca="1">IF($BP27=CG$14, 1, SUMPRODUCT(
    --(OFFSET($O$9,0,0,1,$B$9)=TRUE),
    --(INDEX(OFFSET($O$15,0,0,$B$8,$B$9), 1+$BP27, 0) = INDEX(OFFSET($O$15,0,0,$B$8,$B$9), 1+CG$14, 0))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
) / $B$16)</f>
        <v>0</v>
      </c>
      <c r="CI27" cm="1">
        <f t="array" aca="1" ref="CI27" ca="1">IF($BP27=CI$14, 1, SUMPRODUCT(
    --(OFFSET($O$9,0,0,1,$B$9)=TRUE),
    --(INDEX(OFFSET($O$15,0,0,$B$8,$B$9), 1+$BP27, 0) = INDEX(OFFSET($O$15,0,0,$B$8,$B$9), 1+CI$14, 0))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
) / $B$16)</f>
        <v>0.2</v>
      </c>
      <c r="DF27" cm="1">
        <f t="array" aca="1" ref="DF27" ca="1">INDEX(_xlfn.ANCHORARRAY($CP$15), 1 + INT((ROWS($DG$15:$DG27) - 1) / ROWS(_xlfn.ANCHORARRAY($CP$15))))</f>
        <v>2</v>
      </c>
      <c r="DG27" cm="1">
        <f t="array" aca="1" ref="DG27" ca="1">INDEX(_xlfn.ANCHORARRAY($CP$15),1+MOD(ROWS($DG$15:$DG27)-1,ROWS(_xlfn.ANCHORARRAY($CP$15))))</f>
        <v>2</v>
      </c>
      <c r="DH27" s="10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 $B$18/($B$19*$B$19*($DF27&lt;&gt;$DG27) + $B$19*($DF27=$DG27))</f>
        <v>0.1709149922720247</v>
      </c>
      <c r="DI27" s="10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 $B$18/($B$19*$B$19*($DF27&lt;&gt;$DG27) + $B$19*($DF27=$DG27))</f>
        <v>6.0000000000000001E-3</v>
      </c>
      <c r="DJ27" s="10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 $B$18/($B$19*$B$19*($DF27&lt;&gt;$DG27) + $B$19*($DF27=$DG27))</f>
        <v>6.0000000000000001E-3</v>
      </c>
      <c r="DK27" s="10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 $B$18/($B$19*$B$19*($DF27&lt;&gt;$DG27) + $B$19*($DF27=$DG27))</f>
        <v>6.0000000000000001E-3</v>
      </c>
      <c r="DL27" s="10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 $B$18/($B$19*$B$19*($DF27&lt;&gt;$DG27) + $B$19*($DF27=$DG27))</f>
        <v>6.0000000000000001E-3</v>
      </c>
      <c r="DM27" s="10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 $B$18/($B$19*$B$19*($DF27&lt;&gt;$DG27) + $B$19*($DF27=$DG27))</f>
        <v>0.28635548686244205</v>
      </c>
      <c r="DN27" s="10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 $B$18/($B$19*$B$19*($DF27&lt;&gt;$DG27) + $B$19*($DF27=$DG27))</f>
        <v>6.0000000000000001E-3</v>
      </c>
      <c r="DO27" s="10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 $B$18/($B$19*$B$19*($DF27&lt;&gt;$DG27) + $B$19*($DF27=$DG27))</f>
        <v>6.0000000000000001E-3</v>
      </c>
      <c r="DP27" s="10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 $B$18/($B$19*$B$19*($DF27&lt;&gt;$DG27) + $B$19*($DF27=$DG27))</f>
        <v>6.0000000000000001E-3</v>
      </c>
      <c r="DQ27" s="10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 $B$18/($B$19*$B$19*($DF27&lt;&gt;$DG27) + $B$19*($DF27=$DG27))</f>
        <v>6.0000000000000001E-3</v>
      </c>
      <c r="DR27" s="10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 $B$18/($B$19*$B$19*($DF27&lt;&gt;$DG27) + $B$19*($DF27=$DG27))</f>
        <v>0.18590726429675419</v>
      </c>
      <c r="DS27" s="10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 $B$18/($B$19*$B$19*($DF27&lt;&gt;$DG27) + $B$19*($DF27=$DG27))</f>
        <v>6.0000000000000001E-3</v>
      </c>
      <c r="DT27" s="10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 $B$18/($B$19*$B$19*($DF27&lt;&gt;$DG27) + $B$19*($DF27=$DG27))</f>
        <v>6.0000000000000001E-3</v>
      </c>
      <c r="DU27" s="10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 $B$18/($B$19*$B$19*($DF27&lt;&gt;$DG27) + $B$19*($DF27=$DG27))</f>
        <v>6.0000000000000001E-3</v>
      </c>
      <c r="DV27" s="10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 $B$18/($B$19*$B$19*($DF27&lt;&gt;$DG27) + $B$19*($DF27=$DG27))</f>
        <v>6.0000000000000001E-3</v>
      </c>
      <c r="DW27" s="10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 $B$18/($B$19*$B$19*($DF27&lt;&gt;$DG27) + $B$19*($DF27=$DG27))</f>
        <v>0.26086862442040182</v>
      </c>
    </row>
    <row r="28" spans="1:127" x14ac:dyDescent="0.2">
      <c r="D28" s="10">
        <f ca="1"/>
        <v>13</v>
      </c>
      <c r="F28" s="10">
        <f ca="1"/>
        <v>1</v>
      </c>
      <c r="H28" s="10"/>
      <c r="J28" cm="1">
        <f t="array" aca="1" ref="J28" ca="1">SUMPRODUCT((O28:AJ28=$O$11:$AJ$11)*(O$13:AJ$13=TRUE))  / COUNTIF(O$13:AJ$13,TRUE)</f>
        <v>0.2</v>
      </c>
      <c r="K28" t="b">
        <f t="shared" ca="1" si="9"/>
        <v>1</v>
      </c>
      <c r="L28" cm="1">
        <f t="array" aca="1" ref="L28" ca="1">SUM(
   1*(_xlfn._xlws.FILTER(OFFSET($O28,0,0,1,$B$9),OFFSET($O$13,0,0,1,$B$9)) = "-")
) / $B$13</f>
        <v>0.4</v>
      </c>
      <c r="M28" t="b">
        <f t="shared" ca="1" si="3"/>
        <v>1</v>
      </c>
      <c r="N28" s="2">
        <v>13</v>
      </c>
      <c r="O28" s="12" t="s">
        <v>2</v>
      </c>
      <c r="P28" s="9" t="s">
        <v>5</v>
      </c>
      <c r="Q28" s="9" t="s">
        <v>4</v>
      </c>
      <c r="R28" s="9" t="s">
        <v>3</v>
      </c>
      <c r="S28" s="9" t="s">
        <v>5</v>
      </c>
      <c r="AK28" s="7"/>
      <c r="AN28">
        <f t="shared" ca="1" si="4"/>
        <v>1</v>
      </c>
      <c r="AO28" s="14">
        <f t="shared" ca="1" si="5"/>
        <v>1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
) / $B$13)</f>
        <v>0.2</v>
      </c>
      <c r="AR28" cm="1">
        <f t="array" aca="1" ref="AR28" ca="1">IF($AP28=AR$14, 1, SUMPRODUCT(
    --(OFFSET($O$13,0,0,1,$B$9)=TRUE),
    --(INDEX(OFFSET($O$15,0,0,$B$8,$B$9), 1+$AP28, 0) = INDEX(OFFSET($O$15,0,0,$B$8,$B$9), 1+AR$14, 0))
) / $B$13)</f>
        <v>0.2</v>
      </c>
      <c r="AS28" cm="1">
        <f t="array" aca="1" ref="AS28" ca="1">IF($AP28=AS$14, 1, SUMPRODUCT(
    --(OFFSET($O$13,0,0,1,$B$9)=TRUE),
    --(INDEX(OFFSET($O$15,0,0,$B$8,$B$9), 1+$AP28, 0) = INDEX(OFFSET($O$15,0,0,$B$8,$B$9), 1+AS$14, 0))
) / $B$13)</f>
        <v>0.4</v>
      </c>
      <c r="AT28" cm="1">
        <f t="array" aca="1" ref="AT28" ca="1">IF($AP28=AT$14, 1, SUMPRODUCT(
    --(OFFSET($O$13,0,0,1,$B$9)=TRUE),
    --(INDEX(OFFSET($O$15,0,0,$B$8,$B$9), 1+$AP28, 0) = INDEX(OFFSET($O$15,0,0,$B$8,$B$9), 1+AT$14, 0))
) / $B$13)</f>
        <v>0.2</v>
      </c>
      <c r="AU28" cm="1">
        <f t="array" aca="1" ref="AU28" ca="1">IF($AP28=AU$14, 1, SUMPRODUCT(
    --(OFFSET($O$13,0,0,1,$B$9)=TRUE),
    --(INDEX(OFFSET($O$15,0,0,$B$8,$B$9), 1+$AP28, 0) = INDEX(OFFSET($O$15,0,0,$B$8,$B$9), 1+AU$14, 0))
) / $B$13)</f>
        <v>0.2</v>
      </c>
      <c r="AV28" cm="1">
        <f t="array" aca="1" ref="AV28" ca="1">IF($AP28=AV$14, 1, SUMPRODUCT(
    --(OFFSET($O$13,0,0,1,$B$9)=TRUE),
    --(INDEX(OFFSET($O$15,0,0,$B$8,$B$9), 1+$AP28, 0) = INDEX(OFFSET($O$15,0,0,$B$8,$B$9), 1+AV$14, 0))
) / $B$13)</f>
        <v>0.2</v>
      </c>
      <c r="AW28" cm="1">
        <f t="array" aca="1" ref="AW28" ca="1">IF($AP28=AW$14, 1, SUMPRODUCT(
    --(OFFSET($O$13,0,0,1,$B$9)=TRUE),
    --(INDEX(OFFSET($O$15,0,0,$B$8,$B$9), 1+$AP28, 0) = INDEX(OFFSET($O$15,0,0,$B$8,$B$9), 1+AW$14, 0))
) / $B$13)</f>
        <v>0.4</v>
      </c>
      <c r="AX28" cm="1">
        <f t="array" aca="1" ref="AX28" ca="1">IF($AP28=AX$14, 1, SUMPRODUCT(
    --(OFFSET($O$13,0,0,1,$B$9)=TRUE),
    --(INDEX(OFFSET($O$15,0,0,$B$8,$B$9), 1+$AP28, 0) = INDEX(OFFSET($O$15,0,0,$B$8,$B$9), 1+AX$14, 0))
) / $B$13)</f>
        <v>0.2</v>
      </c>
      <c r="AY28" cm="1">
        <f t="array" aca="1" ref="AY28" ca="1">IF($AP28=AY$14, 1, SUMPRODUCT(
    --(OFFSET($O$13,0,0,1,$B$9)=TRUE),
    --(INDEX(OFFSET($O$15,0,0,$B$8,$B$9), 1+$AP28, 0) = INDEX(OFFSET($O$15,0,0,$B$8,$B$9), 1+AY$14, 0))
) / $B$13)</f>
        <v>0</v>
      </c>
      <c r="AZ28" cm="1">
        <f t="array" aca="1" ref="AZ28" ca="1">IF($AP28=AZ$14, 1, SUMPRODUCT(
    --(OFFSET($O$13,0,0,1,$B$9)=TRUE),
    --(INDEX(OFFSET($O$15,0,0,$B$8,$B$9), 1+$AP28, 0) = INDEX(OFFSET($O$15,0,0,$B$8,$B$9), 1+AZ$14, 0))
) / $B$13)</f>
        <v>0.4</v>
      </c>
      <c r="BA28" cm="1">
        <f t="array" aca="1" ref="BA28" ca="1">IF($AP28=BA$14, 1, SUMPRODUCT(
    --(OFFSET($O$13,0,0,1,$B$9)=TRUE),
    --(INDEX(OFFSET($O$15,0,0,$B$8,$B$9), 1+$AP28, 0) = INDEX(OFFSET($O$15,0,0,$B$8,$B$9), 1+BA$14, 0))
) / $B$13)</f>
        <v>0.2</v>
      </c>
      <c r="BB28" cm="1">
        <f t="array" aca="1" ref="BB28" ca="1">IF($AP28=BB$14, 1, SUMPRODUCT(
    --(OFFSET($O$13,0,0,1,$B$9)=TRUE),
    --(INDEX(OFFSET($O$15,0,0,$B$8,$B$9), 1+$AP28, 0) = INDEX(OFFSET($O$15,0,0,$B$8,$B$9), 1+BB$14, 0))
) / $B$13)</f>
        <v>0.6</v>
      </c>
      <c r="BC28" cm="1">
        <f t="array" aca="1" ref="BC28" ca="1">IF($AP28=BC$14, 1, SUMPRODUCT(
    --(OFFSET($O$13,0,0,1,$B$9)=TRUE),
    --(INDEX(OFFSET($O$15,0,0,$B$8,$B$9), 1+$AP28, 0) = INDEX(OFFSET($O$15,0,0,$B$8,$B$9), 1+BC$14, 0))
) / $B$13)</f>
        <v>0.4</v>
      </c>
      <c r="BD28" cm="1">
        <f t="array" aca="1" ref="BD28" ca="1">IF($AP28=BD$14, 1, SUMPRODUCT(
    --(OFFSET($O$13,0,0,1,$B$9)=TRUE),
    --(INDEX(OFFSET($O$15,0,0,$B$8,$B$9), 1+$AP28, 0) = INDEX(OFFSET($O$15,0,0,$B$8,$B$9), 1+BD$14, 0))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
) / $B$13)</f>
        <v>0.2</v>
      </c>
      <c r="BF28" cm="1">
        <f t="array" aca="1" ref="BF28" ca="1">IF($AP28=BF$14, 1, SUMPRODUCT(
    --(OFFSET($O$13,0,0,1,$B$9)=TRUE),
    --(INDEX(OFFSET($O$15,0,0,$B$8,$B$9), 1+$AP28, 0) = INDEX(OFFSET($O$15,0,0,$B$8,$B$9), 1+BF$14, 0))
) / $B$13)</f>
        <v>0.4</v>
      </c>
      <c r="BG28" cm="1">
        <f t="array" aca="1" ref="BG28" ca="1">IF($AP28=BG$14, 1, SUMPRODUCT(
    --(OFFSET($O$13,0,0,1,$B$9)=TRUE),
    --(INDEX(OFFSET($O$15,0,0,$B$8,$B$9), 1+$AP28, 0) = INDEX(OFFSET($O$15,0,0,$B$8,$B$9), 1+BG$14, 0))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
) / $B$13)</f>
        <v>0</v>
      </c>
      <c r="BI28" cm="1">
        <f t="array" aca="1" ref="BI28" ca="1">IF($AP28=BI$14, 1, SUMPRODUCT(
    --(OFFSET($O$13,0,0,1,$B$9)=TRUE),
    --(INDEX(OFFSET($O$15,0,0,$B$8,$B$9), 1+$AP28, 0) = INDEX(OFFSET($O$15,0,0,$B$8,$B$9), 1+BI$14, 0))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
) / $B$13)</f>
        <v>0</v>
      </c>
      <c r="BN28">
        <f t="shared" ca="1" si="6"/>
        <v>1</v>
      </c>
      <c r="BO28" s="14">
        <f t="shared" ca="1" si="7"/>
        <v>1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
) / $B$16)</f>
        <v>0.2</v>
      </c>
      <c r="BR28" cm="1">
        <f t="array" aca="1" ref="BR28" ca="1">IF($BP28=BR$14, 1, SUMPRODUCT(
    --(OFFSET($O$9,0,0,1,$B$9)=TRUE),
    --(INDEX(OFFSET($O$15,0,0,$B$8,$B$9), 1+$BP28, 0) = INDEX(OFFSET($O$15,0,0,$B$8,$B$9), 1+BR$14, 0))
) / $B$16)</f>
        <v>0.2</v>
      </c>
      <c r="BS28" cm="1">
        <f t="array" aca="1" ref="BS28" ca="1">IF($BP28=BS$14, 1, SUMPRODUCT(
    --(OFFSET($O$9,0,0,1,$B$9)=TRUE),
    --(INDEX(OFFSET($O$15,0,0,$B$8,$B$9), 1+$BP28, 0) = INDEX(OFFSET($O$15,0,0,$B$8,$B$9), 1+BS$14, 0))
) / $B$16)</f>
        <v>0.4</v>
      </c>
      <c r="BT28" cm="1">
        <f t="array" aca="1" ref="BT28" ca="1">IF($BP28=BT$14, 1, SUMPRODUCT(
    --(OFFSET($O$9,0,0,1,$B$9)=TRUE),
    --(INDEX(OFFSET($O$15,0,0,$B$8,$B$9), 1+$BP28, 0) = INDEX(OFFSET($O$15,0,0,$B$8,$B$9), 1+BT$14, 0))
) / $B$16)</f>
        <v>0.2</v>
      </c>
      <c r="BU28" cm="1">
        <f t="array" aca="1" ref="BU28" ca="1">IF($BP28=BU$14, 1, SUMPRODUCT(
    --(OFFSET($O$9,0,0,1,$B$9)=TRUE),
    --(INDEX(OFFSET($O$15,0,0,$B$8,$B$9), 1+$BP28, 0) = INDEX(OFFSET($O$15,0,0,$B$8,$B$9), 1+BU$14, 0))
) / $B$16)</f>
        <v>0.2</v>
      </c>
      <c r="BV28" cm="1">
        <f t="array" aca="1" ref="BV28" ca="1">IF($BP28=BV$14, 1, SUMPRODUCT(
    --(OFFSET($O$9,0,0,1,$B$9)=TRUE),
    --(INDEX(OFFSET($O$15,0,0,$B$8,$B$9), 1+$BP28, 0) = INDEX(OFFSET($O$15,0,0,$B$8,$B$9), 1+BV$14, 0))
) / $B$16)</f>
        <v>0.2</v>
      </c>
      <c r="BW28" cm="1">
        <f t="array" aca="1" ref="BW28" ca="1">IF($BP28=BW$14, 1, SUMPRODUCT(
    --(OFFSET($O$9,0,0,1,$B$9)=TRUE),
    --(INDEX(OFFSET($O$15,0,0,$B$8,$B$9), 1+$BP28, 0) = INDEX(OFFSET($O$15,0,0,$B$8,$B$9), 1+BW$14, 0))
) / $B$16)</f>
        <v>0.4</v>
      </c>
      <c r="BX28" cm="1">
        <f t="array" aca="1" ref="BX28" ca="1">IF($BP28=BX$14, 1, SUMPRODUCT(
    --(OFFSET($O$9,0,0,1,$B$9)=TRUE),
    --(INDEX(OFFSET($O$15,0,0,$B$8,$B$9), 1+$BP28, 0) = INDEX(OFFSET($O$15,0,0,$B$8,$B$9), 1+BX$14, 0))
) / $B$16)</f>
        <v>0.2</v>
      </c>
      <c r="BY28" cm="1">
        <f t="array" aca="1" ref="BY28" ca="1">IF($BP28=BY$14, 1, SUMPRODUCT(
    --(OFFSET($O$9,0,0,1,$B$9)=TRUE),
    --(INDEX(OFFSET($O$15,0,0,$B$8,$B$9), 1+$BP28, 0) = INDEX(OFFSET($O$15,0,0,$B$8,$B$9), 1+BY$14, 0))
) / $B$16)</f>
        <v>0</v>
      </c>
      <c r="BZ28" cm="1">
        <f t="array" aca="1" ref="BZ28" ca="1">IF($BP28=BZ$14, 1, SUMPRODUCT(
    --(OFFSET($O$9,0,0,1,$B$9)=TRUE),
    --(INDEX(OFFSET($O$15,0,0,$B$8,$B$9), 1+$BP28, 0) = INDEX(OFFSET($O$15,0,0,$B$8,$B$9), 1+BZ$14, 0))
) / $B$16)</f>
        <v>0.4</v>
      </c>
      <c r="CA28" cm="1">
        <f t="array" aca="1" ref="CA28" ca="1">IF($BP28=CA$14, 1, SUMPRODUCT(
    --(OFFSET($O$9,0,0,1,$B$9)=TRUE),
    --(INDEX(OFFSET($O$15,0,0,$B$8,$B$9), 1+$BP28, 0) = INDEX(OFFSET($O$15,0,0,$B$8,$B$9), 1+CA$14, 0))
) / $B$16)</f>
        <v>0.2</v>
      </c>
      <c r="CB28" cm="1">
        <f t="array" aca="1" ref="CB28" ca="1">IF($BP28=CB$14, 1, SUMPRODUCT(
    --(OFFSET($O$9,0,0,1,$B$9)=TRUE),
    --(INDEX(OFFSET($O$15,0,0,$B$8,$B$9), 1+$BP28, 0) = INDEX(OFFSET($O$15,0,0,$B$8,$B$9), 1+CB$14, 0))
) / $B$16)</f>
        <v>0.6</v>
      </c>
      <c r="CC28" cm="1">
        <f t="array" aca="1" ref="CC28" ca="1">IF($BP28=CC$14, 1, SUMPRODUCT(
    --(OFFSET($O$9,0,0,1,$B$9)=TRUE),
    --(INDEX(OFFSET($O$15,0,0,$B$8,$B$9), 1+$BP28, 0) = INDEX(OFFSET($O$15,0,0,$B$8,$B$9), 1+CC$14, 0))
) / $B$16)</f>
        <v>0.4</v>
      </c>
      <c r="CD28" cm="1">
        <f t="array" aca="1" ref="CD28" ca="1">IF($BP28=CD$14, 1, SUMPRODUCT(
    --(OFFSET($O$9,0,0,1,$B$9)=TRUE),
    --(INDEX(OFFSET($O$15,0,0,$B$8,$B$9), 1+$BP28, 0) = INDEX(OFFSET($O$15,0,0,$B$8,$B$9), 1+CD$14, 0))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
) / $B$16)</f>
        <v>0.2</v>
      </c>
      <c r="CF28" cm="1">
        <f t="array" aca="1" ref="CF28" ca="1">IF($BP28=CF$14, 1, SUMPRODUCT(
    --(OFFSET($O$9,0,0,1,$B$9)=TRUE),
    --(INDEX(OFFSET($O$15,0,0,$B$8,$B$9), 1+$BP28, 0) = INDEX(OFFSET($O$15,0,0,$B$8,$B$9), 1+CF$14, 0))
) / $B$16)</f>
        <v>0.4</v>
      </c>
      <c r="CG28" cm="1">
        <f t="array" aca="1" ref="CG28" ca="1">IF($BP28=CG$14, 1, SUMPRODUCT(
    --(OFFSET($O$9,0,0,1,$B$9)=TRUE),
    --(INDEX(OFFSET($O$15,0,0,$B$8,$B$9), 1+$BP28, 0) = INDEX(OFFSET($O$15,0,0,$B$8,$B$9), 1+CG$14, 0))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
) / $B$16)</f>
        <v>0</v>
      </c>
      <c r="CI28" cm="1">
        <f t="array" aca="1" ref="CI28" ca="1">IF($BP28=CI$14, 1, SUMPRODUCT(
    --(OFFSET($O$9,0,0,1,$B$9)=TRUE),
    --(INDEX(OFFSET($O$15,0,0,$B$8,$B$9), 1+$BP28, 0) = INDEX(OFFSET($O$15,0,0,$B$8,$B$9), 1+CI$14, 0))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
) / $B$16)</f>
        <v>0</v>
      </c>
      <c r="DF28" cm="1">
        <f t="array" aca="1" ref="DF28" ca="1">INDEX(_xlfn.ANCHORARRAY($CP$15), 1 + INT((ROWS($DG$15:$DG28) - 1) / ROWS(_xlfn.ANCHORARRAY($CP$15))))</f>
        <v>2</v>
      </c>
      <c r="DG28" cm="1">
        <f t="array" aca="1" ref="DG28" ca="1">INDEX(_xlfn.ANCHORARRAY($CP$15),1+MOD(ROWS($DG$15:$DG28)-1,ROWS(_xlfn.ANCHORARRAY($CP$15))))</f>
        <v>3</v>
      </c>
      <c r="DH28" s="10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 $B$18/($B$19*$B$19*($DF28&lt;&gt;$DG28) + $B$19*($DF28=$DG28))</f>
        <v>1.1999999999999999E-3</v>
      </c>
      <c r="DI28" s="10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 $B$18/($B$19*$B$19*($DF28&lt;&gt;$DG28) + $B$19*($DF28=$DG28))</f>
        <v>1.1999999999999999E-3</v>
      </c>
      <c r="DJ28" s="10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 $B$18/($B$19*$B$19*($DF28&lt;&gt;$DG28) + $B$19*($DF28=$DG28))</f>
        <v>0.1661149922720247</v>
      </c>
      <c r="DK28" s="10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 $B$18/($B$19*$B$19*($DF28&lt;&gt;$DG28) + $B$19*($DF28=$DG28))</f>
        <v>1.1999999999999999E-3</v>
      </c>
      <c r="DL28" s="10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 $B$18/($B$19*$B$19*($DF28&lt;&gt;$DG28) + $B$19*($DF28=$DG28))</f>
        <v>0.13613044822256568</v>
      </c>
      <c r="DM28" s="10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 $B$18/($B$19*$B$19*($DF28&lt;&gt;$DG28) + $B$19*($DF28=$DG28))</f>
        <v>1.1999999999999999E-3</v>
      </c>
      <c r="DN28" s="10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 $B$18/($B$19*$B$19*($DF28&lt;&gt;$DG28) + $B$19*($DF28=$DG28))</f>
        <v>8.665595054095826E-2</v>
      </c>
      <c r="DO28" s="10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 $B$18/($B$19*$B$19*($DF28&lt;&gt;$DG28) + $B$19*($DF28=$DG28))</f>
        <v>6.1169088098918072E-2</v>
      </c>
      <c r="DP28" s="10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 $B$18/($B$19*$B$19*($DF28&lt;&gt;$DG28) + $B$19*($DF28=$DG28))</f>
        <v>1.1999999999999999E-3</v>
      </c>
      <c r="DQ28" s="10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 $B$18/($B$19*$B$19*($DF28&lt;&gt;$DG28) + $B$19*($DF28=$DG28))</f>
        <v>1.1999999999999999E-3</v>
      </c>
      <c r="DR28" s="10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 $B$18/($B$19*$B$19*($DF28&lt;&gt;$DG28) + $B$19*($DF28=$DG28))</f>
        <v>9.1153632148377114E-2</v>
      </c>
      <c r="DS28" s="10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 $B$18/($B$19*$B$19*($DF28&lt;&gt;$DG28) + $B$19*($DF28=$DG28))</f>
        <v>1.1999999999999999E-3</v>
      </c>
      <c r="DT28" s="10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 $B$18/($B$19*$B$19*($DF28&lt;&gt;$DG28) + $B$19*($DF28=$DG28))</f>
        <v>1.1999999999999999E-3</v>
      </c>
      <c r="DU28" s="10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 $B$18/($B$19*$B$19*($DF28&lt;&gt;$DG28) + $B$19*($DF28=$DG28))</f>
        <v>1.1999999999999999E-3</v>
      </c>
      <c r="DV28" s="10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 $B$18/($B$19*$B$19*($DF28&lt;&gt;$DG28) + $B$19*($DF28=$DG28))</f>
        <v>0.25606862442040179</v>
      </c>
      <c r="DW28" s="10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 $B$18/($B$19*$B$19*($DF28&lt;&gt;$DG28) + $B$19*($DF28=$DG28))</f>
        <v>1.1999999999999999E-3</v>
      </c>
    </row>
    <row r="29" spans="1:127" x14ac:dyDescent="0.2">
      <c r="D29" s="10">
        <f ca="1"/>
        <v>14</v>
      </c>
      <c r="F29" s="10">
        <f ca="1"/>
        <v>0.33333333333333331</v>
      </c>
      <c r="H29" s="10"/>
      <c r="J29" cm="1">
        <f t="array" aca="1" ref="J29" ca="1">SUMPRODUCT((O29:AJ29=$O$11:$AJ$11)*(O$13:AJ$13=TRUE))  / COUNTIF(O$13:AJ$13,TRUE)</f>
        <v>0.4</v>
      </c>
      <c r="K29" t="b">
        <f t="shared" ca="1" si="9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3"/>
        <v>1</v>
      </c>
      <c r="N29" s="2">
        <v>14</v>
      </c>
      <c r="O29" s="12" t="s">
        <v>3</v>
      </c>
      <c r="P29" s="9" t="s">
        <v>2</v>
      </c>
      <c r="Q29" s="9" t="s">
        <v>0</v>
      </c>
      <c r="R29" s="9" t="s">
        <v>3</v>
      </c>
      <c r="S29" s="9" t="s">
        <v>3</v>
      </c>
      <c r="AK29" s="7"/>
      <c r="AN29">
        <f t="shared" ca="1" si="4"/>
        <v>3</v>
      </c>
      <c r="AO29" s="14">
        <f t="shared" ca="1" si="5"/>
        <v>0.33333333333333331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
) / $B$13)</f>
        <v>0.4</v>
      </c>
      <c r="AR29" cm="1">
        <f t="array" aca="1" ref="AR29" ca="1">IF($AP29=AR$14, 1, SUMPRODUCT(
    --(OFFSET($O$13,0,0,1,$B$9)=TRUE),
    --(INDEX(OFFSET($O$15,0,0,$B$8,$B$9), 1+$AP29, 0) = INDEX(OFFSET($O$15,0,0,$B$8,$B$9), 1+AR$14, 0))
) / $B$13)</f>
        <v>0.4</v>
      </c>
      <c r="AS29" cm="1">
        <f t="array" aca="1" ref="AS29" ca="1">IF($AP29=AS$14, 1, SUMPRODUCT(
    --(OFFSET($O$13,0,0,1,$B$9)=TRUE),
    --(INDEX(OFFSET($O$15,0,0,$B$8,$B$9), 1+$AP29, 0) = INDEX(OFFSET($O$15,0,0,$B$8,$B$9), 1+AS$14, 0))
) / $B$13)</f>
        <v>0.4</v>
      </c>
      <c r="AT29" cm="1">
        <f t="array" aca="1" ref="AT29" ca="1">IF($AP29=AT$14, 1, SUMPRODUCT(
    --(OFFSET($O$13,0,0,1,$B$9)=TRUE),
    --(INDEX(OFFSET($O$15,0,0,$B$8,$B$9), 1+$AP29, 0) = INDEX(OFFSET($O$15,0,0,$B$8,$B$9), 1+AT$14, 0))
) / $B$13)</f>
        <v>0.6</v>
      </c>
      <c r="AU29" cm="1">
        <f t="array" aca="1" ref="AU29" ca="1">IF($AP29=AU$14, 1, SUMPRODUCT(
    --(OFFSET($O$13,0,0,1,$B$9)=TRUE),
    --(INDEX(OFFSET($O$15,0,0,$B$8,$B$9), 1+$AP29, 0) = INDEX(OFFSET($O$15,0,0,$B$8,$B$9), 1+AU$14, 0))
) / $B$13)</f>
        <v>0</v>
      </c>
      <c r="AV29" cm="1">
        <f t="array" aca="1" ref="AV29" ca="1">IF($AP29=AV$14, 1, SUMPRODUCT(
    --(OFFSET($O$13,0,0,1,$B$9)=TRUE),
    --(INDEX(OFFSET($O$15,0,0,$B$8,$B$9), 1+$AP29, 0) = INDEX(OFFSET($O$15,0,0,$B$8,$B$9), 1+AV$14, 0))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
) / $B$13)</f>
        <v>0.4</v>
      </c>
      <c r="AX29" cm="1">
        <f t="array" aca="1" ref="AX29" ca="1">IF($AP29=AX$14, 1, SUMPRODUCT(
    --(OFFSET($O$13,0,0,1,$B$9)=TRUE),
    --(INDEX(OFFSET($O$15,0,0,$B$8,$B$9), 1+$AP29, 0) = INDEX(OFFSET($O$15,0,0,$B$8,$B$9), 1+AX$14, 0))
) / $B$13)</f>
        <v>0.6</v>
      </c>
      <c r="AY29" cm="1">
        <f t="array" aca="1" ref="AY29" ca="1">IF($AP29=AY$14, 1, SUMPRODUCT(
    --(OFFSET($O$13,0,0,1,$B$9)=TRUE),
    --(INDEX(OFFSET($O$15,0,0,$B$8,$B$9), 1+$AP29, 0) = INDEX(OFFSET($O$15,0,0,$B$8,$B$9), 1+AY$14, 0))
) / $B$13)</f>
        <v>0.4</v>
      </c>
      <c r="AZ29" cm="1">
        <f t="array" aca="1" ref="AZ29" ca="1">IF($AP29=AZ$14, 1, SUMPRODUCT(
    --(OFFSET($O$13,0,0,1,$B$9)=TRUE),
    --(INDEX(OFFSET($O$15,0,0,$B$8,$B$9), 1+$AP29, 0) = INDEX(OFFSET($O$15,0,0,$B$8,$B$9), 1+AZ$14, 0))
) / $B$13)</f>
        <v>0.6</v>
      </c>
      <c r="BA29" cm="1">
        <f t="array" aca="1" ref="BA29" ca="1">IF($AP29=BA$14, 1, SUMPRODUCT(
    --(OFFSET($O$13,0,0,1,$B$9)=TRUE),
    --(INDEX(OFFSET($O$15,0,0,$B$8,$B$9), 1+$AP29, 0) = INDEX(OFFSET($O$15,0,0,$B$8,$B$9), 1+BA$14, 0))
) / $B$13)</f>
        <v>0.6</v>
      </c>
      <c r="BB29" cm="1">
        <f t="array" aca="1" ref="BB29" ca="1">IF($AP29=BB$14, 1, SUMPRODUCT(
    --(OFFSET($O$13,0,0,1,$B$9)=TRUE),
    --(INDEX(OFFSET($O$15,0,0,$B$8,$B$9), 1+$AP29, 0) = INDEX(OFFSET($O$15,0,0,$B$8,$B$9), 1+BB$14, 0))
) / $B$13)</f>
        <v>0.4</v>
      </c>
      <c r="BC29" cm="1">
        <f t="array" aca="1" ref="BC29" ca="1">IF($AP29=BC$14, 1, SUMPRODUCT(
    --(OFFSET($O$13,0,0,1,$B$9)=TRUE),
    --(INDEX(OFFSET($O$15,0,0,$B$8,$B$9), 1+$AP29, 0) = INDEX(OFFSET($O$15,0,0,$B$8,$B$9), 1+BC$14, 0))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
) / $B$13)</f>
        <v>0.2</v>
      </c>
      <c r="BE29" cm="1">
        <f t="array" aca="1" ref="BE29" ca="1">IF($AP29=BE$14, 1, SUMPRODUCT(
    --(OFFSET($O$13,0,0,1,$B$9)=TRUE),
    --(INDEX(OFFSET($O$15,0,0,$B$8,$B$9), 1+$AP29, 0) = INDEX(OFFSET($O$15,0,0,$B$8,$B$9), 1+BE$14, 0))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
) / $B$13)</f>
        <v>0</v>
      </c>
      <c r="BI29" cm="1">
        <f t="array" aca="1" ref="BI29" ca="1">IF($AP29=BI$14, 1, SUMPRODUCT(
    --(OFFSET($O$13,0,0,1,$B$9)=TRUE),
    --(INDEX(OFFSET($O$15,0,0,$B$8,$B$9), 1+$AP29, 0) = INDEX(OFFSET($O$15,0,0,$B$8,$B$9), 1+BI$14, 0))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
) / $B$13)</f>
        <v>0.2</v>
      </c>
      <c r="BN29">
        <f t="shared" ca="1" si="6"/>
        <v>3</v>
      </c>
      <c r="BO29" s="14">
        <f t="shared" ca="1" si="7"/>
        <v>0.33333333333333331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
) / $B$16)</f>
        <v>0.4</v>
      </c>
      <c r="BR29" cm="1">
        <f t="array" aca="1" ref="BR29" ca="1">IF($BP29=BR$14, 1, SUMPRODUCT(
    --(OFFSET($O$9,0,0,1,$B$9)=TRUE),
    --(INDEX(OFFSET($O$15,0,0,$B$8,$B$9), 1+$BP29, 0) = INDEX(OFFSET($O$15,0,0,$B$8,$B$9), 1+BR$14, 0))
) / $B$16)</f>
        <v>0.4</v>
      </c>
      <c r="BS29" cm="1">
        <f t="array" aca="1" ref="BS29" ca="1">IF($BP29=BS$14, 1, SUMPRODUCT(
    --(OFFSET($O$9,0,0,1,$B$9)=TRUE),
    --(INDEX(OFFSET($O$15,0,0,$B$8,$B$9), 1+$BP29, 0) = INDEX(OFFSET($O$15,0,0,$B$8,$B$9), 1+BS$14, 0))
) / $B$16)</f>
        <v>0.4</v>
      </c>
      <c r="BT29" cm="1">
        <f t="array" aca="1" ref="BT29" ca="1">IF($BP29=BT$14, 1, SUMPRODUCT(
    --(OFFSET($O$9,0,0,1,$B$9)=TRUE),
    --(INDEX(OFFSET($O$15,0,0,$B$8,$B$9), 1+$BP29, 0) = INDEX(OFFSET($O$15,0,0,$B$8,$B$9), 1+BT$14, 0))
) / $B$16)</f>
        <v>0.6</v>
      </c>
      <c r="BU29" cm="1">
        <f t="array" aca="1" ref="BU29" ca="1">IF($BP29=BU$14, 1, SUMPRODUCT(
    --(OFFSET($O$9,0,0,1,$B$9)=TRUE),
    --(INDEX(OFFSET($O$15,0,0,$B$8,$B$9), 1+$BP29, 0) = INDEX(OFFSET($O$15,0,0,$B$8,$B$9), 1+BU$14, 0))
) / $B$16)</f>
        <v>0</v>
      </c>
      <c r="BV29" cm="1">
        <f t="array" aca="1" ref="BV29" ca="1">IF($BP29=BV$14, 1, SUMPRODUCT(
    --(OFFSET($O$9,0,0,1,$B$9)=TRUE),
    --(INDEX(OFFSET($O$15,0,0,$B$8,$B$9), 1+$BP29, 0) = INDEX(OFFSET($O$15,0,0,$B$8,$B$9), 1+BV$14, 0))
) / $B$16)</f>
        <v>0.4</v>
      </c>
      <c r="BW29" cm="1">
        <f t="array" aca="1" ref="BW29" ca="1">IF($BP29=BW$14, 1, SUMPRODUCT(
    --(OFFSET($O$9,0,0,1,$B$9)=TRUE),
    --(INDEX(OFFSET($O$15,0,0,$B$8,$B$9), 1+$BP29, 0) = INDEX(OFFSET($O$15,0,0,$B$8,$B$9), 1+BW$14, 0))
) / $B$16)</f>
        <v>0.4</v>
      </c>
      <c r="BX29" cm="1">
        <f t="array" aca="1" ref="BX29" ca="1">IF($BP29=BX$14, 1, SUMPRODUCT(
    --(OFFSET($O$9,0,0,1,$B$9)=TRUE),
    --(INDEX(OFFSET($O$15,0,0,$B$8,$B$9), 1+$BP29, 0) = INDEX(OFFSET($O$15,0,0,$B$8,$B$9), 1+BX$14, 0))
) / $B$16)</f>
        <v>0.6</v>
      </c>
      <c r="BY29" cm="1">
        <f t="array" aca="1" ref="BY29" ca="1">IF($BP29=BY$14, 1, SUMPRODUCT(
    --(OFFSET($O$9,0,0,1,$B$9)=TRUE),
    --(INDEX(OFFSET($O$15,0,0,$B$8,$B$9), 1+$BP29, 0) = INDEX(OFFSET($O$15,0,0,$B$8,$B$9), 1+BY$14, 0))
) / $B$16)</f>
        <v>0.4</v>
      </c>
      <c r="BZ29" cm="1">
        <f t="array" aca="1" ref="BZ29" ca="1">IF($BP29=BZ$14, 1, SUMPRODUCT(
    --(OFFSET($O$9,0,0,1,$B$9)=TRUE),
    --(INDEX(OFFSET($O$15,0,0,$B$8,$B$9), 1+$BP29, 0) = INDEX(OFFSET($O$15,0,0,$B$8,$B$9), 1+BZ$14, 0))
) / $B$16)</f>
        <v>0.6</v>
      </c>
      <c r="CA29" cm="1">
        <f t="array" aca="1" ref="CA29" ca="1">IF($BP29=CA$14, 1, SUMPRODUCT(
    --(OFFSET($O$9,0,0,1,$B$9)=TRUE),
    --(INDEX(OFFSET($O$15,0,0,$B$8,$B$9), 1+$BP29, 0) = INDEX(OFFSET($O$15,0,0,$B$8,$B$9), 1+CA$14, 0))
) / $B$16)</f>
        <v>0.6</v>
      </c>
      <c r="CB29" cm="1">
        <f t="array" aca="1" ref="CB29" ca="1">IF($BP29=CB$14, 1, SUMPRODUCT(
    --(OFFSET($O$9,0,0,1,$B$9)=TRUE),
    --(INDEX(OFFSET($O$15,0,0,$B$8,$B$9), 1+$BP29, 0) = INDEX(OFFSET($O$15,0,0,$B$8,$B$9), 1+CB$14, 0))
) / $B$16)</f>
        <v>0.4</v>
      </c>
      <c r="CC29" cm="1">
        <f t="array" aca="1" ref="CC29" ca="1">IF($BP29=CC$14, 1, SUMPRODUCT(
    --(OFFSET($O$9,0,0,1,$B$9)=TRUE),
    --(INDEX(OFFSET($O$15,0,0,$B$8,$B$9), 1+$BP29, 0) = INDEX(OFFSET($O$15,0,0,$B$8,$B$9), 1+CC$14, 0))
) / $B$16)</f>
        <v>0.8</v>
      </c>
      <c r="CD29" cm="1">
        <f t="array" aca="1" ref="CD29" ca="1">IF($BP29=CD$14, 1, SUMPRODUCT(
    --(OFFSET($O$9,0,0,1,$B$9)=TRUE),
    --(INDEX(OFFSET($O$15,0,0,$B$8,$B$9), 1+$BP29, 0) = INDEX(OFFSET($O$15,0,0,$B$8,$B$9), 1+CD$14, 0))
) / $B$16)</f>
        <v>0.2</v>
      </c>
      <c r="CE29" cm="1">
        <f t="array" aca="1" ref="CE29" ca="1">IF($BP29=CE$14, 1, SUMPRODUCT(
    --(OFFSET($O$9,0,0,1,$B$9)=TRUE),
    --(INDEX(OFFSET($O$15,0,0,$B$8,$B$9), 1+$BP29, 0) = INDEX(OFFSET($O$15,0,0,$B$8,$B$9), 1+CE$14, 0))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
) / $B$16)</f>
        <v>0.8</v>
      </c>
      <c r="CG29" cm="1">
        <f t="array" aca="1" ref="CG29" ca="1">IF($BP29=CG$14, 1, SUMPRODUCT(
    --(OFFSET($O$9,0,0,1,$B$9)=TRUE),
    --(INDEX(OFFSET($O$15,0,0,$B$8,$B$9), 1+$BP29, 0) = INDEX(OFFSET($O$15,0,0,$B$8,$B$9), 1+CG$14, 0))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
) / $B$16)</f>
        <v>0</v>
      </c>
      <c r="CI29" cm="1">
        <f t="array" aca="1" ref="CI29" ca="1">IF($BP29=CI$14, 1, SUMPRODUCT(
    --(OFFSET($O$9,0,0,1,$B$9)=TRUE),
    --(INDEX(OFFSET($O$15,0,0,$B$8,$B$9), 1+$BP29, 0) = INDEX(OFFSET($O$15,0,0,$B$8,$B$9), 1+CI$14, 0))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
) / $B$16)</f>
        <v>0.2</v>
      </c>
      <c r="CQ29" s="1"/>
      <c r="DF29" cm="1">
        <f t="array" aca="1" ref="DF29" ca="1">INDEX(_xlfn.ANCHORARRAY($CP$15), 1 + INT((ROWS($DG$15:$DG29) - 1) / ROWS(_xlfn.ANCHORARRAY($CP$15))))</f>
        <v>2</v>
      </c>
      <c r="DG29" cm="1">
        <f t="array" aca="1" ref="DG29" ca="1">INDEX(_xlfn.ANCHORARRAY($CP$15),1+MOD(ROWS($DG$15:$DG29)-1,ROWS(_xlfn.ANCHORARRAY($CP$15))))</f>
        <v>4</v>
      </c>
      <c r="DH29" s="10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 $B$18/($B$19*$B$19*($DF29&lt;&gt;$DG29) + $B$19*($DF29=$DG29))</f>
        <v>1.1999999999999999E-3</v>
      </c>
      <c r="DI29" s="10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 $B$18/($B$19*$B$19*($DF29&lt;&gt;$DG29) + $B$19*($DF29=$DG29))</f>
        <v>1.1999999999999999E-3</v>
      </c>
      <c r="DJ29" s="10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 $B$18/($B$19*$B$19*($DF29&lt;&gt;$DG29) + $B$19*($DF29=$DG29))</f>
        <v>7.616136012364759E-2</v>
      </c>
      <c r="DK29" s="10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 $B$18/($B$19*$B$19*($DF29&lt;&gt;$DG29) + $B$19*($DF29=$DG29))</f>
        <v>9.1153632148377114E-2</v>
      </c>
      <c r="DL29" s="10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 $B$18/($B$19*$B$19*($DF29&lt;&gt;$DG29) + $B$19*($DF29=$DG29))</f>
        <v>1.1999999999999999E-3</v>
      </c>
      <c r="DM29" s="10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 $B$18/($B$19*$B$19*($DF29&lt;&gt;$DG29) + $B$19*($DF29=$DG29))</f>
        <v>7.616136012364759E-2</v>
      </c>
      <c r="DN29" s="10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 $B$18/($B$19*$B$19*($DF29&lt;&gt;$DG29) + $B$19*($DF29=$DG29))</f>
        <v>0.1166404945904173</v>
      </c>
      <c r="DO29" s="10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 $B$18/($B$19*$B$19*($DF29&lt;&gt;$DG29) + $B$19*($DF29=$DG29))</f>
        <v>9.1153632148377114E-2</v>
      </c>
      <c r="DP29" s="10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 $B$18/($B$19*$B$19*($DF29&lt;&gt;$DG29) + $B$19*($DF29=$DG29))</f>
        <v>1.1999999999999999E-3</v>
      </c>
      <c r="DQ29" s="10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 $B$18/($B$19*$B$19*($DF29&lt;&gt;$DG29) + $B$19*($DF29=$DG29))</f>
        <v>1.1999999999999999E-3</v>
      </c>
      <c r="DR29" s="10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 $B$18/($B$19*$B$19*($DF29&lt;&gt;$DG29) + $B$19*($DF29=$DG29))</f>
        <v>9.1153632148377114E-2</v>
      </c>
      <c r="DS29" s="10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 $B$18/($B$19*$B$19*($DF29&lt;&gt;$DG29) + $B$19*($DF29=$DG29))</f>
        <v>1.1999999999999999E-3</v>
      </c>
      <c r="DT29" s="10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 $B$18/($B$19*$B$19*($DF29&lt;&gt;$DG29) + $B$19*($DF29=$DG29))</f>
        <v>1.1999999999999999E-3</v>
      </c>
      <c r="DU29" s="10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 $B$18/($B$19*$B$19*($DF29&lt;&gt;$DG29) + $B$19*($DF29=$DG29))</f>
        <v>1.1999999999999999E-3</v>
      </c>
      <c r="DV29" s="10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 $B$18/($B$19*$B$19*($DF29&lt;&gt;$DG29) + $B$19*($DF29=$DG29))</f>
        <v>0.1661149922720247</v>
      </c>
      <c r="DW29" s="10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 $B$18/($B$19*$B$19*($DF29&lt;&gt;$DG29) + $B$19*($DF29=$DG29))</f>
        <v>1.1999999999999999E-3</v>
      </c>
    </row>
    <row r="30" spans="1:127" x14ac:dyDescent="0.2">
      <c r="D30" s="10">
        <f ca="1"/>
        <v>15</v>
      </c>
      <c r="F30" s="10">
        <f ca="1"/>
        <v>0.33333333333333331</v>
      </c>
      <c r="H30" s="10"/>
      <c r="J30" cm="1">
        <f t="array" aca="1" ref="J30" ca="1">SUMPRODUCT((O30:AJ30=$O$11:$AJ$11)*(O$13:AJ$13=TRUE))  / COUNTIF(O$13:AJ$13,TRUE)</f>
        <v>0.4</v>
      </c>
      <c r="K30" t="b">
        <f t="shared" ca="1" si="9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3"/>
        <v>1</v>
      </c>
      <c r="N30" s="2">
        <v>15</v>
      </c>
      <c r="O30" s="12" t="s">
        <v>3</v>
      </c>
      <c r="P30" s="9" t="s">
        <v>2</v>
      </c>
      <c r="Q30" s="9" t="s">
        <v>4</v>
      </c>
      <c r="R30" s="9" t="s">
        <v>3</v>
      </c>
      <c r="S30" s="9" t="s">
        <v>3</v>
      </c>
      <c r="AN30">
        <f t="shared" ca="1" si="4"/>
        <v>3</v>
      </c>
      <c r="AO30" s="14">
        <f t="shared" ca="1" si="5"/>
        <v>0.33333333333333331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
) / $B$13)</f>
        <v>0.4</v>
      </c>
      <c r="AS30" cm="1">
        <f t="array" aca="1" ref="AS30" ca="1">IF($AP30=AS$14, 1, SUMPRODUCT(
    --(OFFSET($O$13,0,0,1,$B$9)=TRUE),
    --(INDEX(OFFSET($O$15,0,0,$B$8,$B$9), 1+$AP30, 0) = INDEX(OFFSET($O$15,0,0,$B$8,$B$9), 1+AS$14, 0))
) / $B$13)</f>
        <v>0.4</v>
      </c>
      <c r="AT30" cm="1">
        <f t="array" aca="1" ref="AT30" ca="1">IF($AP30=AT$14, 1, SUMPRODUCT(
    --(OFFSET($O$13,0,0,1,$B$9)=TRUE),
    --(INDEX(OFFSET($O$15,0,0,$B$8,$B$9), 1+$AP30, 0) = INDEX(OFFSET($O$15,0,0,$B$8,$B$9), 1+AT$14, 0))
) / $B$13)</f>
        <v>0.6</v>
      </c>
      <c r="AU30" cm="1">
        <f t="array" aca="1" ref="AU30" ca="1">IF($AP30=AU$14, 1, SUMPRODUCT(
    --(OFFSET($O$13,0,0,1,$B$9)=TRUE),
    --(INDEX(OFFSET($O$15,0,0,$B$8,$B$9), 1+$AP30, 0) = INDEX(OFFSET($O$15,0,0,$B$8,$B$9), 1+AU$14, 0))
) / $B$13)</f>
        <v>0</v>
      </c>
      <c r="AV30" cm="1">
        <f t="array" aca="1" ref="AV30" ca="1">IF($AP30=AV$14, 1, SUMPRODUCT(
    --(OFFSET($O$13,0,0,1,$B$9)=TRUE),
    --(INDEX(OFFSET($O$15,0,0,$B$8,$B$9), 1+$AP30, 0) = INDEX(OFFSET($O$15,0,0,$B$8,$B$9), 1+AV$14, 0))
) / $B$13)</f>
        <v>0.4</v>
      </c>
      <c r="AW30" cm="1">
        <f t="array" aca="1" ref="AW30" ca="1">IF($AP30=AW$14, 1, SUMPRODUCT(
    --(OFFSET($O$13,0,0,1,$B$9)=TRUE),
    --(INDEX(OFFSET($O$15,0,0,$B$8,$B$9), 1+$AP30, 0) = INDEX(OFFSET($O$15,0,0,$B$8,$B$9), 1+AW$14, 0))
) / $B$13)</f>
        <v>0.4</v>
      </c>
      <c r="AX30" cm="1">
        <f t="array" aca="1" ref="AX30" ca="1">IF($AP30=AX$14, 1, SUMPRODUCT(
    --(OFFSET($O$13,0,0,1,$B$9)=TRUE),
    --(INDEX(OFFSET($O$15,0,0,$B$8,$B$9), 1+$AP30, 0) = INDEX(OFFSET($O$15,0,0,$B$8,$B$9), 1+AX$14, 0))
) / $B$13)</f>
        <v>0.6</v>
      </c>
      <c r="AY30" cm="1">
        <f t="array" aca="1" ref="AY30" ca="1">IF($AP30=AY$14, 1, SUMPRODUCT(
    --(OFFSET($O$13,0,0,1,$B$9)=TRUE),
    --(INDEX(OFFSET($O$15,0,0,$B$8,$B$9), 1+$AP30, 0) = INDEX(OFFSET($O$15,0,0,$B$8,$B$9), 1+AY$14, 0))
) / $B$13)</f>
        <v>0.4</v>
      </c>
      <c r="AZ30" cm="1">
        <f t="array" aca="1" ref="AZ30" ca="1">IF($AP30=AZ$14, 1, SUMPRODUCT(
    --(OFFSET($O$13,0,0,1,$B$9)=TRUE),
    --(INDEX(OFFSET($O$15,0,0,$B$8,$B$9), 1+$AP30, 0) = INDEX(OFFSET($O$15,0,0,$B$8,$B$9), 1+AZ$14, 0))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
) / $B$13)</f>
        <v>0.4</v>
      </c>
      <c r="BB30" cm="1">
        <f t="array" aca="1" ref="BB30" ca="1">IF($AP30=BB$14, 1, SUMPRODUCT(
    --(OFFSET($O$13,0,0,1,$B$9)=TRUE),
    --(INDEX(OFFSET($O$15,0,0,$B$8,$B$9), 1+$AP30, 0) = INDEX(OFFSET($O$15,0,0,$B$8,$B$9), 1+BB$14, 0))
) / $B$13)</f>
        <v>0.6</v>
      </c>
      <c r="BC30" cm="1">
        <f t="array" aca="1" ref="BC30" ca="1">IF($AP30=BC$14, 1, SUMPRODUCT(
    --(OFFSET($O$13,0,0,1,$B$9)=TRUE),
    --(INDEX(OFFSET($O$15,0,0,$B$8,$B$9), 1+$AP30, 0) = INDEX(OFFSET($O$15,0,0,$B$8,$B$9), 1+BC$14, 0))
) / $B$13)</f>
        <v>0.6</v>
      </c>
      <c r="BD30" cm="1">
        <f t="array" aca="1" ref="BD30" ca="1">IF($AP30=BD$14, 1, SUMPRODUCT(
    --(OFFSET($O$13,0,0,1,$B$9)=TRUE),
    --(INDEX(OFFSET($O$15,0,0,$B$8,$B$9), 1+$AP30, 0) = INDEX(OFFSET($O$15,0,0,$B$8,$B$9), 1+BD$14, 0))
) / $B$13)</f>
        <v>0.4</v>
      </c>
      <c r="BE30" cm="1">
        <f t="array" aca="1" ref="BE30" ca="1">IF($AP30=BE$14, 1, SUMPRODUCT(
    --(OFFSET($O$13,0,0,1,$B$9)=TRUE),
    --(INDEX(OFFSET($O$15,0,0,$B$8,$B$9), 1+$AP30, 0) = INDEX(OFFSET($O$15,0,0,$B$8,$B$9), 1+BE$14, 0))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
) / $B$13)</f>
        <v>0</v>
      </c>
      <c r="BH30" cm="1">
        <f t="array" aca="1" ref="BH30" ca="1">IF($AP30=BH$14, 1, SUMPRODUCT(
    --(OFFSET($O$13,0,0,1,$B$9)=TRUE),
    --(INDEX(OFFSET($O$15,0,0,$B$8,$B$9), 1+$AP30, 0) = INDEX(OFFSET($O$15,0,0,$B$8,$B$9), 1+BH$14, 0))
) / $B$13)</f>
        <v>0</v>
      </c>
      <c r="BI30" cm="1">
        <f t="array" aca="1" ref="BI30" ca="1">IF($AP30=BI$14, 1, SUMPRODUCT(
    --(OFFSET($O$13,0,0,1,$B$9)=TRUE),
    --(INDEX(OFFSET($O$15,0,0,$B$8,$B$9), 1+$AP30, 0) = INDEX(OFFSET($O$15,0,0,$B$8,$B$9), 1+BI$14, 0))
) / $B$13)</f>
        <v>0</v>
      </c>
      <c r="BJ30" cm="1">
        <f t="array" aca="1" ref="BJ30" ca="1">IF($AP30=BJ$14, 1, SUMPRODUCT(
    --(OFFSET($O$13,0,0,1,$B$9)=TRUE),
    --(INDEX(OFFSET($O$15,0,0,$B$8,$B$9), 1+$AP30, 0) = INDEX(OFFSET($O$15,0,0,$B$8,$B$9), 1+BJ$14, 0))
) / $B$13)</f>
        <v>0.2</v>
      </c>
      <c r="BN30">
        <f t="shared" ca="1" si="6"/>
        <v>3</v>
      </c>
      <c r="BO30" s="14">
        <f t="shared" ca="1" si="7"/>
        <v>0.33333333333333331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
) / $B$16)</f>
        <v>0.4</v>
      </c>
      <c r="BR30" cm="1">
        <f t="array" aca="1" ref="BR30" ca="1">IF($BP30=BR$14, 1, SUMPRODUCT(
    --(OFFSET($O$9,0,0,1,$B$9)=TRUE),
    --(INDEX(OFFSET($O$15,0,0,$B$8,$B$9), 1+$BP30, 0) = INDEX(OFFSET($O$15,0,0,$B$8,$B$9), 1+BR$14, 0))
) / $B$16)</f>
        <v>0.4</v>
      </c>
      <c r="BS30" cm="1">
        <f t="array" aca="1" ref="BS30" ca="1">IF($BP30=BS$14, 1, SUMPRODUCT(
    --(OFFSET($O$9,0,0,1,$B$9)=TRUE),
    --(INDEX(OFFSET($O$15,0,0,$B$8,$B$9), 1+$BP30, 0) = INDEX(OFFSET($O$15,0,0,$B$8,$B$9), 1+BS$14, 0))
) / $B$16)</f>
        <v>0.4</v>
      </c>
      <c r="BT30" cm="1">
        <f t="array" aca="1" ref="BT30" ca="1">IF($BP30=BT$14, 1, SUMPRODUCT(
    --(OFFSET($O$9,0,0,1,$B$9)=TRUE),
    --(INDEX(OFFSET($O$15,0,0,$B$8,$B$9), 1+$BP30, 0) = INDEX(OFFSET($O$15,0,0,$B$8,$B$9), 1+BT$14, 0))
) / $B$16)</f>
        <v>0.6</v>
      </c>
      <c r="BU30" cm="1">
        <f t="array" aca="1" ref="BU30" ca="1">IF($BP30=BU$14, 1, SUMPRODUCT(
    --(OFFSET($O$9,0,0,1,$B$9)=TRUE),
    --(INDEX(OFFSET($O$15,0,0,$B$8,$B$9), 1+$BP30, 0) = INDEX(OFFSET($O$15,0,0,$B$8,$B$9), 1+BU$14, 0))
) / $B$16)</f>
        <v>0</v>
      </c>
      <c r="BV30" cm="1">
        <f t="array" aca="1" ref="BV30" ca="1">IF($BP30=BV$14, 1, SUMPRODUCT(
    --(OFFSET($O$9,0,0,1,$B$9)=TRUE),
    --(INDEX(OFFSET($O$15,0,0,$B$8,$B$9), 1+$BP30, 0) = INDEX(OFFSET($O$15,0,0,$B$8,$B$9), 1+BV$14, 0))
) / $B$16)</f>
        <v>0.4</v>
      </c>
      <c r="BW30" cm="1">
        <f t="array" aca="1" ref="BW30" ca="1">IF($BP30=BW$14, 1, SUMPRODUCT(
    --(OFFSET($O$9,0,0,1,$B$9)=TRUE),
    --(INDEX(OFFSET($O$15,0,0,$B$8,$B$9), 1+$BP30, 0) = INDEX(OFFSET($O$15,0,0,$B$8,$B$9), 1+BW$14, 0))
) / $B$16)</f>
        <v>0.4</v>
      </c>
      <c r="BX30" cm="1">
        <f t="array" aca="1" ref="BX30" ca="1">IF($BP30=BX$14, 1, SUMPRODUCT(
    --(OFFSET($O$9,0,0,1,$B$9)=TRUE),
    --(INDEX(OFFSET($O$15,0,0,$B$8,$B$9), 1+$BP30, 0) = INDEX(OFFSET($O$15,0,0,$B$8,$B$9), 1+BX$14, 0))
) / $B$16)</f>
        <v>0.6</v>
      </c>
      <c r="BY30" cm="1">
        <f t="array" aca="1" ref="BY30" ca="1">IF($BP30=BY$14, 1, SUMPRODUCT(
    --(OFFSET($O$9,0,0,1,$B$9)=TRUE),
    --(INDEX(OFFSET($O$15,0,0,$B$8,$B$9), 1+$BP30, 0) = INDEX(OFFSET($O$15,0,0,$B$8,$B$9), 1+BY$14, 0))
) / $B$16)</f>
        <v>0.4</v>
      </c>
      <c r="BZ30" cm="1">
        <f t="array" aca="1" ref="BZ30" ca="1">IF($BP30=BZ$14, 1, SUMPRODUCT(
    --(OFFSET($O$9,0,0,1,$B$9)=TRUE),
    --(INDEX(OFFSET($O$15,0,0,$B$8,$B$9), 1+$BP30, 0) = INDEX(OFFSET($O$15,0,0,$B$8,$B$9), 1+BZ$14, 0))
) / $B$16)</f>
        <v>0.8</v>
      </c>
      <c r="CA30" cm="1">
        <f t="array" aca="1" ref="CA30" ca="1">IF($BP30=CA$14, 1, SUMPRODUCT(
    --(OFFSET($O$9,0,0,1,$B$9)=TRUE),
    --(INDEX(OFFSET($O$15,0,0,$B$8,$B$9), 1+$BP30, 0) = INDEX(OFFSET($O$15,0,0,$B$8,$B$9), 1+CA$14, 0))
) / $B$16)</f>
        <v>0.4</v>
      </c>
      <c r="CB30" cm="1">
        <f t="array" aca="1" ref="CB30" ca="1">IF($BP30=CB$14, 1, SUMPRODUCT(
    --(OFFSET($O$9,0,0,1,$B$9)=TRUE),
    --(INDEX(OFFSET($O$15,0,0,$B$8,$B$9), 1+$BP30, 0) = INDEX(OFFSET($O$15,0,0,$B$8,$B$9), 1+CB$14, 0))
) / $B$16)</f>
        <v>0.6</v>
      </c>
      <c r="CC30" cm="1">
        <f t="array" aca="1" ref="CC30" ca="1">IF($BP30=CC$14, 1, SUMPRODUCT(
    --(OFFSET($O$9,0,0,1,$B$9)=TRUE),
    --(INDEX(OFFSET($O$15,0,0,$B$8,$B$9), 1+$BP30, 0) = INDEX(OFFSET($O$15,0,0,$B$8,$B$9), 1+CC$14, 0))
) / $B$16)</f>
        <v>0.6</v>
      </c>
      <c r="CD30" cm="1">
        <f t="array" aca="1" ref="CD30" ca="1">IF($BP30=CD$14, 1, SUMPRODUCT(
    --(OFFSET($O$9,0,0,1,$B$9)=TRUE),
    --(INDEX(OFFSET($O$15,0,0,$B$8,$B$9), 1+$BP30, 0) = INDEX(OFFSET($O$15,0,0,$B$8,$B$9), 1+CD$14, 0))
) / $B$16)</f>
        <v>0.4</v>
      </c>
      <c r="CE30" cm="1">
        <f t="array" aca="1" ref="CE30" ca="1">IF($BP30=CE$14, 1, SUMPRODUCT(
    --(OFFSET($O$9,0,0,1,$B$9)=TRUE),
    --(INDEX(OFFSET($O$15,0,0,$B$8,$B$9), 1+$BP30, 0) = INDEX(OFFSET($O$15,0,0,$B$8,$B$9), 1+CE$14, 0))
) / $B$16)</f>
        <v>0.8</v>
      </c>
      <c r="CF30" cm="1">
        <f t="array" aca="1" ref="CF30" ca="1">IF($BP30=CF$14, 1, SUMPRODUCT(
    --(OFFSET($O$9,0,0,1,$B$9)=TRUE),
    --(INDEX(OFFSET($O$15,0,0,$B$8,$B$9), 1+$BP30, 0) = INDEX(OFFSET($O$15,0,0,$B$8,$B$9), 1+CF$14, 0))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
) / $B$16)</f>
        <v>0</v>
      </c>
      <c r="CH30" cm="1">
        <f t="array" aca="1" ref="CH30" ca="1">IF($BP30=CH$14, 1, SUMPRODUCT(
    --(OFFSET($O$9,0,0,1,$B$9)=TRUE),
    --(INDEX(OFFSET($O$15,0,0,$B$8,$B$9), 1+$BP30, 0) = INDEX(OFFSET($O$15,0,0,$B$8,$B$9), 1+CH$14, 0))
) / $B$16)</f>
        <v>0</v>
      </c>
      <c r="CI30" cm="1">
        <f t="array" aca="1" ref="CI30" ca="1">IF($BP30=CI$14, 1, SUMPRODUCT(
    --(OFFSET($O$9,0,0,1,$B$9)=TRUE),
    --(INDEX(OFFSET($O$15,0,0,$B$8,$B$9), 1+$BP30, 0) = INDEX(OFFSET($O$15,0,0,$B$8,$B$9), 1+CI$14, 0))
) / $B$16)</f>
        <v>0</v>
      </c>
      <c r="CJ30" cm="1">
        <f t="array" aca="1" ref="CJ30" ca="1">IF($BP30=CJ$14, 1, SUMPRODUCT(
    --(OFFSET($O$9,0,0,1,$B$9)=TRUE),
    --(INDEX(OFFSET($O$15,0,0,$B$8,$B$9), 1+$BP30, 0) = INDEX(OFFSET($O$15,0,0,$B$8,$B$9), 1+CJ$14, 0))
) / $B$16)</f>
        <v>0.2</v>
      </c>
      <c r="DF30" cm="1">
        <f t="array" aca="1" ref="DF30" ca="1">INDEX(_xlfn.ANCHORARRAY($CP$15), 1 + INT((ROWS($DG$15:$DG30) - 1) / ROWS(_xlfn.ANCHORARRAY($CP$15))))</f>
        <v>3</v>
      </c>
      <c r="DG30" cm="1">
        <f t="array" aca="1" ref="DG30" ca="1">INDEX(_xlfn.ANCHORARRAY($CP$15),1+MOD(ROWS($DG$15:$DG30)-1,ROWS(_xlfn.ANCHORARRAY($CP$15))))</f>
        <v>0</v>
      </c>
      <c r="DH30" s="10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 $B$18/($B$19*$B$19*($DF30&lt;&gt;$DG30) + $B$19*($DF30=$DG30))</f>
        <v>4.6176816074188554E-2</v>
      </c>
      <c r="DI30" s="10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 $B$18/($B$19*$B$19*($DF30&lt;&gt;$DG30) + $B$19*($DF30=$DG30))</f>
        <v>1.1999999999999999E-3</v>
      </c>
      <c r="DJ30" s="10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 $B$18/($B$19*$B$19*($DF30&lt;&gt;$DG30) + $B$19*($DF30=$DG30))</f>
        <v>1.1999999999999999E-3</v>
      </c>
      <c r="DK30" s="10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 $B$18/($B$19*$B$19*($DF30&lt;&gt;$DG30) + $B$19*($DF30=$DG30))</f>
        <v>1.1999999999999999E-3</v>
      </c>
      <c r="DL30" s="10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 $B$18/($B$19*$B$19*($DF30&lt;&gt;$DG30) + $B$19*($DF30=$DG30))</f>
        <v>1.1999999999999999E-3</v>
      </c>
      <c r="DM30" s="10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 $B$18/($B$19*$B$19*($DF30&lt;&gt;$DG30) + $B$19*($DF30=$DG30))</f>
        <v>1.1999999999999999E-3</v>
      </c>
      <c r="DN30" s="10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 $B$18/($B$19*$B$19*($DF30&lt;&gt;$DG30) + $B$19*($DF30=$DG30))</f>
        <v>1.1999999999999999E-3</v>
      </c>
      <c r="DO30" s="10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 $B$18/($B$19*$B$19*($DF30&lt;&gt;$DG30) + $B$19*($DF30=$DG30))</f>
        <v>1.1999999999999999E-3</v>
      </c>
      <c r="DP30" s="10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 $B$18/($B$19*$B$19*($DF30&lt;&gt;$DG30) + $B$19*($DF30=$DG30))</f>
        <v>6.4167542503863972E-2</v>
      </c>
      <c r="DQ30" s="10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 $B$18/($B$19*$B$19*($DF30&lt;&gt;$DG30) + $B$19*($DF30=$DG30))</f>
        <v>0.18860340030911896</v>
      </c>
      <c r="DR30" s="10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 $B$18/($B$19*$B$19*($DF30&lt;&gt;$DG30) + $B$19*($DF30=$DG30))</f>
        <v>0.11364204018547136</v>
      </c>
      <c r="DS30" s="10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 $B$18/($B$19*$B$19*($DF30&lt;&gt;$DG30) + $B$19*($DF30=$DG30))</f>
        <v>0.2335802163833075</v>
      </c>
      <c r="DT30" s="10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 $B$18/($B$19*$B$19*($DF30&lt;&gt;$DG30) + $B$19*($DF30=$DG30))</f>
        <v>6.1169088098918072E-2</v>
      </c>
      <c r="DU30" s="10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 $B$18/($B$19*$B$19*($DF30&lt;&gt;$DG30) + $B$19*($DF30=$DG30))</f>
        <v>1.1999999999999999E-3</v>
      </c>
      <c r="DV30" s="10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 $B$18/($B$19*$B$19*($DF30&lt;&gt;$DG30) + $B$19*($DF30=$DG30))</f>
        <v>1.1999999999999999E-3</v>
      </c>
      <c r="DW30" s="10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 $B$18/($B$19*$B$19*($DF30&lt;&gt;$DG30) + $B$19*($DF30=$DG30))</f>
        <v>1.1999999999999999E-3</v>
      </c>
    </row>
    <row r="31" spans="1:127" x14ac:dyDescent="0.2">
      <c r="D31" s="10">
        <f ca="1"/>
        <v>16</v>
      </c>
      <c r="F31" s="10">
        <f ca="1"/>
        <v>1</v>
      </c>
      <c r="H31" s="10"/>
      <c r="J31" cm="1">
        <f t="array" aca="1" ref="J31" ca="1">SUMPRODUCT((O31:AJ31=$O$11:$AJ$11)*(O$13:AJ$13=TRUE))  / COUNTIF(O$13:AJ$13,TRUE)</f>
        <v>0.4</v>
      </c>
      <c r="K31" t="b">
        <f t="shared" ca="1" si="9"/>
        <v>1</v>
      </c>
      <c r="L31" cm="1">
        <f t="array" aca="1" ref="L31" ca="1">SUM(
   1*(_xlfn._xlws.FILTER(OFFSET($O31,0,0,1,$B$9),OFFSET($O$13,0,0,1,$B$9)) = "-")
) / $B$13</f>
        <v>0.2</v>
      </c>
      <c r="M31" t="b">
        <f t="shared" ca="1" si="3"/>
        <v>1</v>
      </c>
      <c r="N31" s="2">
        <v>16</v>
      </c>
      <c r="O31" s="12" t="s">
        <v>5</v>
      </c>
      <c r="P31" s="9" t="s">
        <v>4</v>
      </c>
      <c r="Q31" s="9" t="s">
        <v>2</v>
      </c>
      <c r="R31" s="9" t="s">
        <v>0</v>
      </c>
      <c r="S31" s="9" t="s">
        <v>4</v>
      </c>
      <c r="AN31">
        <f t="shared" ca="1" si="4"/>
        <v>1</v>
      </c>
      <c r="AO31" s="14">
        <f t="shared" ca="1" si="5"/>
        <v>1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
) / $B$13)</f>
        <v>0.4</v>
      </c>
      <c r="AR31" cm="1">
        <f t="array" aca="1" ref="AR31" ca="1">IF($AP31=AR$14, 1, SUMPRODUCT(
    --(OFFSET($O$13,0,0,1,$B$9)=TRUE),
    --(INDEX(OFFSET($O$15,0,0,$B$8,$B$9), 1+$AP31, 0) = INDEX(OFFSET($O$15,0,0,$B$8,$B$9), 1+AR$14, 0))
) / $B$13)</f>
        <v>0.4</v>
      </c>
      <c r="AS31" cm="1">
        <f t="array" aca="1" ref="AS31" ca="1">IF($AP31=AS$14, 1, SUMPRODUCT(
    --(OFFSET($O$13,0,0,1,$B$9)=TRUE),
    --(INDEX(OFFSET($O$15,0,0,$B$8,$B$9), 1+$AP31, 0) = INDEX(OFFSET($O$15,0,0,$B$8,$B$9), 1+AS$14, 0))
) / $B$13)</f>
        <v>0.4</v>
      </c>
      <c r="AT31" cm="1">
        <f t="array" aca="1" ref="AT31" ca="1">IF($AP31=AT$14, 1, SUMPRODUCT(
    --(OFFSET($O$13,0,0,1,$B$9)=TRUE),
    --(INDEX(OFFSET($O$15,0,0,$B$8,$B$9), 1+$AP31, 0) = INDEX(OFFSET($O$15,0,0,$B$8,$B$9), 1+AT$14, 0))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
) / $B$13)</f>
        <v>0</v>
      </c>
      <c r="AV31" cm="1">
        <f t="array" aca="1" ref="AV31" ca="1">IF($AP31=AV$14, 1, SUMPRODUCT(
    --(OFFSET($O$13,0,0,1,$B$9)=TRUE),
    --(INDEX(OFFSET($O$15,0,0,$B$8,$B$9), 1+$AP31, 0) = INDEX(OFFSET($O$15,0,0,$B$8,$B$9), 1+AV$14, 0))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
) / $B$13)</f>
        <v>0</v>
      </c>
      <c r="AY31" cm="1">
        <f t="array" aca="1" ref="AY31" ca="1">IF($AP31=AY$14, 1, SUMPRODUCT(
    --(OFFSET($O$13,0,0,1,$B$9)=TRUE),
    --(INDEX(OFFSET($O$15,0,0,$B$8,$B$9), 1+$AP31, 0) = INDEX(OFFSET($O$15,0,0,$B$8,$B$9), 1+AY$14, 0))
) / $B$13)</f>
        <v>0</v>
      </c>
      <c r="AZ31" cm="1">
        <f t="array" aca="1" ref="AZ31" ca="1">IF($AP31=AZ$14, 1, SUMPRODUCT(
    --(OFFSET($O$13,0,0,1,$B$9)=TRUE),
    --(INDEX(OFFSET($O$15,0,0,$B$8,$B$9), 1+$AP31, 0) = INDEX(OFFSET($O$15,0,0,$B$8,$B$9), 1+AZ$14, 0))
) / $B$13)</f>
        <v>0</v>
      </c>
      <c r="BA31" cm="1">
        <f t="array" aca="1" ref="BA31" ca="1">IF($AP31=BA$14, 1, SUMPRODUCT(
    --(OFFSET($O$13,0,0,1,$B$9)=TRUE),
    --(INDEX(OFFSET($O$15,0,0,$B$8,$B$9), 1+$AP31, 0) = INDEX(OFFSET($O$15,0,0,$B$8,$B$9), 1+BA$14, 0))
) / $B$13)</f>
        <v>0.2</v>
      </c>
      <c r="BB31" cm="1">
        <f t="array" aca="1" ref="BB31" ca="1">IF($AP31=BB$14, 1, SUMPRODUCT(
    --(OFFSET($O$13,0,0,1,$B$9)=TRUE),
    --(INDEX(OFFSET($O$15,0,0,$B$8,$B$9), 1+$AP31, 0) = INDEX(OFFSET($O$15,0,0,$B$8,$B$9), 1+BB$14, 0))
) / $B$13)</f>
        <v>0</v>
      </c>
      <c r="BC31" cm="1">
        <f t="array" aca="1" ref="BC31" ca="1">IF($AP31=BC$14, 1, SUMPRODUCT(
    --(OFFSET($O$13,0,0,1,$B$9)=TRUE),
    --(INDEX(OFFSET($O$15,0,0,$B$8,$B$9), 1+$AP31, 0) = INDEX(OFFSET($O$15,0,0,$B$8,$B$9), 1+BC$14, 0))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
) / $B$13)</f>
        <v>0</v>
      </c>
      <c r="BG31" cm="1">
        <f t="array" aca="1" ref="BG31" ca="1">IF($AP31=BG$14, 1, SUMPRODUCT(
    --(OFFSET($O$13,0,0,1,$B$9)=TRUE),
    --(INDEX(OFFSET($O$15,0,0,$B$8,$B$9), 1+$AP31, 0) = INDEX(OFFSET($O$15,0,0,$B$8,$B$9), 1+BG$14, 0))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
) / $B$13)</f>
        <v>0.6</v>
      </c>
      <c r="BI31" cm="1">
        <f t="array" aca="1" ref="BI31" ca="1">IF($AP31=BI$14, 1, SUMPRODUCT(
    --(OFFSET($O$13,0,0,1,$B$9)=TRUE),
    --(INDEX(OFFSET($O$15,0,0,$B$8,$B$9), 1+$AP31, 0) = INDEX(OFFSET($O$15,0,0,$B$8,$B$9), 1+BI$14, 0))
) / $B$13)</f>
        <v>0.4</v>
      </c>
      <c r="BJ31" cm="1">
        <f t="array" aca="1" ref="BJ31" ca="1">IF($AP31=BJ$14, 1, SUMPRODUCT(
    --(OFFSET($O$13,0,0,1,$B$9)=TRUE),
    --(INDEX(OFFSET($O$15,0,0,$B$8,$B$9), 1+$AP31, 0) = INDEX(OFFSET($O$15,0,0,$B$8,$B$9), 1+BJ$14, 0))
) / $B$13)</f>
        <v>0.4</v>
      </c>
      <c r="BN31">
        <f t="shared" ca="1" si="6"/>
        <v>1</v>
      </c>
      <c r="BO31" s="14">
        <f t="shared" ca="1" si="7"/>
        <v>1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
) / $B$16)</f>
        <v>0.4</v>
      </c>
      <c r="BR31" cm="1">
        <f t="array" aca="1" ref="BR31" ca="1">IF($BP31=BR$14, 1, SUMPRODUCT(
    --(OFFSET($O$9,0,0,1,$B$9)=TRUE),
    --(INDEX(OFFSET($O$15,0,0,$B$8,$B$9), 1+$BP31, 0) = INDEX(OFFSET($O$15,0,0,$B$8,$B$9), 1+BR$14, 0))
) / $B$16)</f>
        <v>0.4</v>
      </c>
      <c r="BS31" cm="1">
        <f t="array" aca="1" ref="BS31" ca="1">IF($BP31=BS$14, 1, SUMPRODUCT(
    --(OFFSET($O$9,0,0,1,$B$9)=TRUE),
    --(INDEX(OFFSET($O$15,0,0,$B$8,$B$9), 1+$BP31, 0) = INDEX(OFFSET($O$15,0,0,$B$8,$B$9), 1+BS$14, 0))
) / $B$16)</f>
        <v>0.4</v>
      </c>
      <c r="BT31" cm="1">
        <f t="array" aca="1" ref="BT31" ca="1">IF($BP31=BT$14, 1, SUMPRODUCT(
    --(OFFSET($O$9,0,0,1,$B$9)=TRUE),
    --(INDEX(OFFSET($O$15,0,0,$B$8,$B$9), 1+$BP31, 0) = INDEX(OFFSET($O$15,0,0,$B$8,$B$9), 1+BT$14, 0))
) / $B$16)</f>
        <v>0.4</v>
      </c>
      <c r="BU31" cm="1">
        <f t="array" aca="1" ref="BU31" ca="1">IF($BP31=BU$14, 1, SUMPRODUCT(
    --(OFFSET($O$9,0,0,1,$B$9)=TRUE),
    --(INDEX(OFFSET($O$15,0,0,$B$8,$B$9), 1+$BP31, 0) = INDEX(OFFSET($O$15,0,0,$B$8,$B$9), 1+BU$14, 0))
) / $B$16)</f>
        <v>0</v>
      </c>
      <c r="BV31" cm="1">
        <f t="array" aca="1" ref="BV31" ca="1">IF($BP31=BV$14, 1, SUMPRODUCT(
    --(OFFSET($O$9,0,0,1,$B$9)=TRUE),
    --(INDEX(OFFSET($O$15,0,0,$B$8,$B$9), 1+$BP31, 0) = INDEX(OFFSET($O$15,0,0,$B$8,$B$9), 1+BV$14, 0))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
) / $B$16)</f>
        <v>0</v>
      </c>
      <c r="BY31" cm="1">
        <f t="array" aca="1" ref="BY31" ca="1">IF($BP31=BY$14, 1, SUMPRODUCT(
    --(OFFSET($O$9,0,0,1,$B$9)=TRUE),
    --(INDEX(OFFSET($O$15,0,0,$B$8,$B$9), 1+$BP31, 0) = INDEX(OFFSET($O$15,0,0,$B$8,$B$9), 1+BY$14, 0))
) / $B$16)</f>
        <v>0</v>
      </c>
      <c r="BZ31" cm="1">
        <f t="array" aca="1" ref="BZ31" ca="1">IF($BP31=BZ$14, 1, SUMPRODUCT(
    --(OFFSET($O$9,0,0,1,$B$9)=TRUE),
    --(INDEX(OFFSET($O$15,0,0,$B$8,$B$9), 1+$BP31, 0) = INDEX(OFFSET($O$15,0,0,$B$8,$B$9), 1+BZ$14, 0))
) / $B$16)</f>
        <v>0</v>
      </c>
      <c r="CA31" cm="1">
        <f t="array" aca="1" ref="CA31" ca="1">IF($BP31=CA$14, 1, SUMPRODUCT(
    --(OFFSET($O$9,0,0,1,$B$9)=TRUE),
    --(INDEX(OFFSET($O$15,0,0,$B$8,$B$9), 1+$BP31, 0) = INDEX(OFFSET($O$15,0,0,$B$8,$B$9), 1+CA$14, 0))
) / $B$16)</f>
        <v>0.2</v>
      </c>
      <c r="CB31" cm="1">
        <f t="array" aca="1" ref="CB31" ca="1">IF($BP31=CB$14, 1, SUMPRODUCT(
    --(OFFSET($O$9,0,0,1,$B$9)=TRUE),
    --(INDEX(OFFSET($O$15,0,0,$B$8,$B$9), 1+$BP31, 0) = INDEX(OFFSET($O$15,0,0,$B$8,$B$9), 1+CB$14, 0))
) / $B$16)</f>
        <v>0</v>
      </c>
      <c r="CC31" cm="1">
        <f t="array" aca="1" ref="CC31" ca="1">IF($BP31=CC$14, 1, SUMPRODUCT(
    --(OFFSET($O$9,0,0,1,$B$9)=TRUE),
    --(INDEX(OFFSET($O$15,0,0,$B$8,$B$9), 1+$BP31, 0) = INDEX(OFFSET($O$15,0,0,$B$8,$B$9), 1+CC$14, 0))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
) / $B$16)</f>
        <v>0</v>
      </c>
      <c r="CG31" cm="1">
        <f t="array" aca="1" ref="CG31" ca="1">IF($BP31=CG$14, 1, SUMPRODUCT(
    --(OFFSET($O$9,0,0,1,$B$9)=TRUE),
    --(INDEX(OFFSET($O$15,0,0,$B$8,$B$9), 1+$BP31, 0) = INDEX(OFFSET($O$15,0,0,$B$8,$B$9), 1+CG$14, 0))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
) / $B$16)</f>
        <v>0.6</v>
      </c>
      <c r="CI31" cm="1">
        <f t="array" aca="1" ref="CI31" ca="1">IF($BP31=CI$14, 1, SUMPRODUCT(
    --(OFFSET($O$9,0,0,1,$B$9)=TRUE),
    --(INDEX(OFFSET($O$15,0,0,$B$8,$B$9), 1+$BP31, 0) = INDEX(OFFSET($O$15,0,0,$B$8,$B$9), 1+CI$14, 0))
) / $B$16)</f>
        <v>0.4</v>
      </c>
      <c r="CJ31" cm="1">
        <f t="array" aca="1" ref="CJ31" ca="1">IF($BP31=CJ$14, 1, SUMPRODUCT(
    --(OFFSET($O$9,0,0,1,$B$9)=TRUE),
    --(INDEX(OFFSET($O$15,0,0,$B$8,$B$9), 1+$BP31, 0) = INDEX(OFFSET($O$15,0,0,$B$8,$B$9), 1+CJ$14, 0))
) / $B$16)</f>
        <v>0.4</v>
      </c>
      <c r="DF31" cm="1">
        <f t="array" aca="1" ref="DF31" ca="1">INDEX(_xlfn.ANCHORARRAY($CP$15), 1 + INT((ROWS($DG$15:$DG31) - 1) / ROWS(_xlfn.ANCHORARRAY($CP$15))))</f>
        <v>3</v>
      </c>
      <c r="DG31" cm="1">
        <f t="array" aca="1" ref="DG31" ca="1">INDEX(_xlfn.ANCHORARRAY($CP$15),1+MOD(ROWS($DG$15:$DG31)-1,ROWS(_xlfn.ANCHORARRAY($CP$15))))</f>
        <v>1</v>
      </c>
      <c r="DH31" s="10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 $B$18/($B$19*$B$19*($DF31&lt;&gt;$DG31) + $B$19*($DF31=$DG31))</f>
        <v>1.1999999999999999E-3</v>
      </c>
      <c r="DI31" s="10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 $B$18/($B$19*$B$19*($DF31&lt;&gt;$DG31) + $B$19*($DF31=$DG31))</f>
        <v>1.1999999999999999E-3</v>
      </c>
      <c r="DJ31" s="10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 $B$18/($B$19*$B$19*($DF31&lt;&gt;$DG31) + $B$19*($DF31=$DG31))</f>
        <v>1.1999999999999999E-3</v>
      </c>
      <c r="DK31" s="10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 $B$18/($B$19*$B$19*($DF31&lt;&gt;$DG31) + $B$19*($DF31=$DG31))</f>
        <v>0.13613044822256568</v>
      </c>
      <c r="DL31" s="10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 $B$18/($B$19*$B$19*($DF31&lt;&gt;$DG31) + $B$19*($DF31=$DG31))</f>
        <v>1.1999999999999999E-3</v>
      </c>
      <c r="DM31" s="10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 $B$18/($B$19*$B$19*($DF31&lt;&gt;$DG31) + $B$19*($DF31=$DG31))</f>
        <v>1.1999999999999999E-3</v>
      </c>
      <c r="DN31" s="10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 $B$18/($B$19*$B$19*($DF31&lt;&gt;$DG31) + $B$19*($DF31=$DG31))</f>
        <v>1.1999999999999999E-3</v>
      </c>
      <c r="DO31" s="10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 $B$18/($B$19*$B$19*($DF31&lt;&gt;$DG31) + $B$19*($DF31=$DG31))</f>
        <v>1.1999999999999999E-3</v>
      </c>
      <c r="DP31" s="10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 $B$18/($B$19*$B$19*($DF31&lt;&gt;$DG31) + $B$19*($DF31=$DG31))</f>
        <v>1.1999999999999999E-3</v>
      </c>
      <c r="DQ31" s="10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 $B$18/($B$19*$B$19*($DF31&lt;&gt;$DG31) + $B$19*($DF31=$DG31))</f>
        <v>0.24107635239567232</v>
      </c>
      <c r="DR31" s="10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 $B$18/($B$19*$B$19*($DF31&lt;&gt;$DG31) + $B$19*($DF31=$DG31))</f>
        <v>9.1153632148377114E-2</v>
      </c>
      <c r="DS31" s="10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 $B$18/($B$19*$B$19*($DF31&lt;&gt;$DG31) + $B$19*($DF31=$DG31))</f>
        <v>8.665595054095826E-2</v>
      </c>
      <c r="DT31" s="10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 $B$18/($B$19*$B$19*($DF31&lt;&gt;$DG31) + $B$19*($DF31=$DG31))</f>
        <v>1.1999999999999999E-3</v>
      </c>
      <c r="DU31" s="10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 $B$18/($B$19*$B$19*($DF31&lt;&gt;$DG31) + $B$19*($DF31=$DG31))</f>
        <v>1.1999999999999999E-3</v>
      </c>
      <c r="DV31" s="10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 $B$18/($B$19*$B$19*($DF31&lt;&gt;$DG31) + $B$19*($DF31=$DG31))</f>
        <v>1.1999999999999999E-3</v>
      </c>
      <c r="DW31" s="10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 $B$18/($B$19*$B$19*($DF31&lt;&gt;$DG31) + $B$19*($DF31=$DG31))</f>
        <v>6.1169088098918072E-2</v>
      </c>
    </row>
    <row r="32" spans="1:127" x14ac:dyDescent="0.2">
      <c r="D32" s="10">
        <f ca="1"/>
        <v>17</v>
      </c>
      <c r="F32" s="10">
        <f ca="1"/>
        <v>0.5</v>
      </c>
      <c r="H32" s="10"/>
      <c r="J32" cm="1">
        <f t="array" aca="1" ref="J32" ca="1">SUMPRODUCT((O32:AJ32=$O$11:$AJ$11)*(O$13:AJ$13=TRUE))  / COUNTIF(O$13:AJ$13,TRUE)</f>
        <v>0.6</v>
      </c>
      <c r="K32" t="b">
        <f t="shared" ca="1" si="9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3"/>
        <v>1</v>
      </c>
      <c r="N32" s="2">
        <v>17</v>
      </c>
      <c r="O32" s="12" t="s">
        <v>0</v>
      </c>
      <c r="P32" s="9" t="s">
        <v>4</v>
      </c>
      <c r="Q32" s="9" t="s">
        <v>2</v>
      </c>
      <c r="R32" s="9" t="s">
        <v>0</v>
      </c>
      <c r="S32" s="9" t="s">
        <v>2</v>
      </c>
      <c r="AN32">
        <f t="shared" ca="1" si="4"/>
        <v>2</v>
      </c>
      <c r="AO32" s="14">
        <f t="shared" ca="1" si="5"/>
        <v>0.5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
) / $B$13)</f>
        <v>0.4</v>
      </c>
      <c r="AS32" cm="1">
        <f t="array" aca="1" ref="AS32" ca="1">IF($AP32=AS$14, 1, SUMPRODUCT(
    --(OFFSET($O$13,0,0,1,$B$9)=TRUE),
    --(INDEX(OFFSET($O$15,0,0,$B$8,$B$9), 1+$AP32, 0) = INDEX(OFFSET($O$15,0,0,$B$8,$B$9), 1+AS$14, 0))
) / $B$13)</f>
        <v>0.4</v>
      </c>
      <c r="AT32" cm="1">
        <f t="array" aca="1" ref="AT32" ca="1">IF($AP32=AT$14, 1, SUMPRODUCT(
    --(OFFSET($O$13,0,0,1,$B$9)=TRUE),
    --(INDEX(OFFSET($O$15,0,0,$B$8,$B$9), 1+$AP32, 0) = INDEX(OFFSET($O$15,0,0,$B$8,$B$9), 1+AT$14, 0))
) / $B$13)</f>
        <v>0.4</v>
      </c>
      <c r="AU32" cm="1">
        <f t="array" aca="1" ref="AU32" ca="1">IF($AP32=AU$14, 1, SUMPRODUCT(
    --(OFFSET($O$13,0,0,1,$B$9)=TRUE),
    --(INDEX(OFFSET($O$15,0,0,$B$8,$B$9), 1+$AP32, 0) = INDEX(OFFSET($O$15,0,0,$B$8,$B$9), 1+AU$14, 0))
) / $B$13)</f>
        <v>0.2</v>
      </c>
      <c r="AV32" cm="1">
        <f t="array" aca="1" ref="AV32" ca="1">IF($AP32=AV$14, 1, SUMPRODUCT(
    --(OFFSET($O$13,0,0,1,$B$9)=TRUE),
    --(INDEX(OFFSET($O$15,0,0,$B$8,$B$9), 1+$AP32, 0) = INDEX(OFFSET($O$15,0,0,$B$8,$B$9), 1+AV$14, 0))
) / $B$13)</f>
        <v>0</v>
      </c>
      <c r="AW32" cm="1">
        <f t="array" aca="1" ref="AW32" ca="1">IF($AP32=AW$14, 1, SUMPRODUCT(
    --(OFFSET($O$13,0,0,1,$B$9)=TRUE),
    --(INDEX(OFFSET($O$15,0,0,$B$8,$B$9), 1+$AP32, 0) = INDEX(OFFSET($O$15,0,0,$B$8,$B$9), 1+AW$14, 0))
) / $B$13)</f>
        <v>0</v>
      </c>
      <c r="AX32" cm="1">
        <f t="array" aca="1" ref="AX32" ca="1">IF($AP32=AX$14, 1, SUMPRODUCT(
    --(OFFSET($O$13,0,0,1,$B$9)=TRUE),
    --(INDEX(OFFSET($O$15,0,0,$B$8,$B$9), 1+$AP32, 0) = INDEX(OFFSET($O$15,0,0,$B$8,$B$9), 1+AX$14, 0))
) / $B$13)</f>
        <v>0</v>
      </c>
      <c r="AY32" cm="1">
        <f t="array" aca="1" ref="AY32" ca="1">IF($AP32=AY$14, 1, SUMPRODUCT(
    --(OFFSET($O$13,0,0,1,$B$9)=TRUE),
    --(INDEX(OFFSET($O$15,0,0,$B$8,$B$9), 1+$AP32, 0) = INDEX(OFFSET($O$15,0,0,$B$8,$B$9), 1+AY$14, 0))
) / $B$13)</f>
        <v>0.2</v>
      </c>
      <c r="AZ32" cm="1">
        <f t="array" aca="1" ref="AZ32" ca="1">IF($AP32=AZ$14, 1, SUMPRODUCT(
    --(OFFSET($O$13,0,0,1,$B$9)=TRUE),
    --(INDEX(OFFSET($O$15,0,0,$B$8,$B$9), 1+$AP32, 0) = INDEX(OFFSET($O$15,0,0,$B$8,$B$9), 1+AZ$14, 0))
) / $B$13)</f>
        <v>0.2</v>
      </c>
      <c r="BA32" cm="1">
        <f t="array" aca="1" ref="BA32" ca="1">IF($AP32=BA$14, 1, SUMPRODUCT(
    --(OFFSET($O$13,0,0,1,$B$9)=TRUE),
    --(INDEX(OFFSET($O$15,0,0,$B$8,$B$9), 1+$AP32, 0) = INDEX(OFFSET($O$15,0,0,$B$8,$B$9), 1+BA$14, 0))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
) / $B$13)</f>
        <v>0</v>
      </c>
      <c r="BC32" cm="1">
        <f t="array" aca="1" ref="BC32" ca="1">IF($AP32=BC$14, 1, SUMPRODUCT(
    --(OFFSET($O$13,0,0,1,$B$9)=TRUE),
    --(INDEX(OFFSET($O$15,0,0,$B$8,$B$9), 1+$AP32, 0) = INDEX(OFFSET($O$15,0,0,$B$8,$B$9), 1+BC$14, 0))
) / $B$13)</f>
        <v>0</v>
      </c>
      <c r="BD32" cm="1">
        <f t="array" aca="1" ref="BD32" ca="1">IF($AP32=BD$14, 1, SUMPRODUCT(
    --(OFFSET($O$13,0,0,1,$B$9)=TRUE),
    --(INDEX(OFFSET($O$15,0,0,$B$8,$B$9), 1+$AP32, 0) = INDEX(OFFSET($O$15,0,0,$B$8,$B$9), 1+BD$14, 0))
) / $B$13)</f>
        <v>0</v>
      </c>
      <c r="BE32" cm="1">
        <f t="array" aca="1" ref="BE32" ca="1">IF($AP32=BE$14, 1, SUMPRODUCT(
    --(OFFSET($O$13,0,0,1,$B$9)=TRUE),
    --(INDEX(OFFSET($O$15,0,0,$B$8,$B$9), 1+$AP32, 0) = INDEX(OFFSET($O$15,0,0,$B$8,$B$9), 1+BE$14, 0))
) / $B$13)</f>
        <v>0</v>
      </c>
      <c r="BF32" cm="1">
        <f t="array" aca="1" ref="BF32" ca="1">IF($AP32=BF$14, 1, SUMPRODUCT(
    --(OFFSET($O$13,0,0,1,$B$9)=TRUE),
    --(INDEX(OFFSET($O$15,0,0,$B$8,$B$9), 1+$AP32, 0) = INDEX(OFFSET($O$15,0,0,$B$8,$B$9), 1+BF$14, 0))
) / $B$13)</f>
        <v>0</v>
      </c>
      <c r="BG32" cm="1">
        <f t="array" aca="1" ref="BG32" ca="1">IF($AP32=BG$14, 1, SUMPRODUCT(
    --(OFFSET($O$13,0,0,1,$B$9)=TRUE),
    --(INDEX(OFFSET($O$15,0,0,$B$8,$B$9), 1+$AP32, 0) = INDEX(OFFSET($O$15,0,0,$B$8,$B$9), 1+BG$14, 0))
) / $B$13)</f>
        <v>0.6</v>
      </c>
      <c r="BH32" cm="1">
        <f t="array" aca="1" ref="BH32" ca="1">IF($AP32=BH$14, 1, SUMPRODUCT(
    --(OFFSET($O$13,0,0,1,$B$9)=TRUE),
    --(INDEX(OFFSET($O$15,0,0,$B$8,$B$9), 1+$AP32, 0) = INDEX(OFFSET($O$15,0,0,$B$8,$B$9), 1+BH$14, 0))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
) / $B$13)</f>
        <v>0.6</v>
      </c>
      <c r="BN32">
        <f t="shared" ca="1" si="6"/>
        <v>2</v>
      </c>
      <c r="BO32" s="14">
        <f t="shared" ca="1" si="7"/>
        <v>0.5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
) / $B$16)</f>
        <v>0.6</v>
      </c>
      <c r="BR32" cm="1">
        <f t="array" aca="1" ref="BR32" ca="1">IF($BP32=BR$14, 1, SUMPRODUCT(
    --(OFFSET($O$9,0,0,1,$B$9)=TRUE),
    --(INDEX(OFFSET($O$15,0,0,$B$8,$B$9), 1+$BP32, 0) = INDEX(OFFSET($O$15,0,0,$B$8,$B$9), 1+BR$14, 0))
) / $B$16)</f>
        <v>0.4</v>
      </c>
      <c r="BS32" cm="1">
        <f t="array" aca="1" ref="BS32" ca="1">IF($BP32=BS$14, 1, SUMPRODUCT(
    --(OFFSET($O$9,0,0,1,$B$9)=TRUE),
    --(INDEX(OFFSET($O$15,0,0,$B$8,$B$9), 1+$BP32, 0) = INDEX(OFFSET($O$15,0,0,$B$8,$B$9), 1+BS$14, 0))
) / $B$16)</f>
        <v>0.4</v>
      </c>
      <c r="BT32" cm="1">
        <f t="array" aca="1" ref="BT32" ca="1">IF($BP32=BT$14, 1, SUMPRODUCT(
    --(OFFSET($O$9,0,0,1,$B$9)=TRUE),
    --(INDEX(OFFSET($O$15,0,0,$B$8,$B$9), 1+$BP32, 0) = INDEX(OFFSET($O$15,0,0,$B$8,$B$9), 1+BT$14, 0))
) / $B$16)</f>
        <v>0.4</v>
      </c>
      <c r="BU32" cm="1">
        <f t="array" aca="1" ref="BU32" ca="1">IF($BP32=BU$14, 1, SUMPRODUCT(
    --(OFFSET($O$9,0,0,1,$B$9)=TRUE),
    --(INDEX(OFFSET($O$15,0,0,$B$8,$B$9), 1+$BP32, 0) = INDEX(OFFSET($O$15,0,0,$B$8,$B$9), 1+BU$14, 0))
) / $B$16)</f>
        <v>0.2</v>
      </c>
      <c r="BV32" cm="1">
        <f t="array" aca="1" ref="BV32" ca="1">IF($BP32=BV$14, 1, SUMPRODUCT(
    --(OFFSET($O$9,0,0,1,$B$9)=TRUE),
    --(INDEX(OFFSET($O$15,0,0,$B$8,$B$9), 1+$BP32, 0) = INDEX(OFFSET($O$15,0,0,$B$8,$B$9), 1+BV$14, 0))
) / $B$16)</f>
        <v>0</v>
      </c>
      <c r="BW32" cm="1">
        <f t="array" aca="1" ref="BW32" ca="1">IF($BP32=BW$14, 1, SUMPRODUCT(
    --(OFFSET($O$9,0,0,1,$B$9)=TRUE),
    --(INDEX(OFFSET($O$15,0,0,$B$8,$B$9), 1+$BP32, 0) = INDEX(OFFSET($O$15,0,0,$B$8,$B$9), 1+BW$14, 0))
) / $B$16)</f>
        <v>0</v>
      </c>
      <c r="BX32" cm="1">
        <f t="array" aca="1" ref="BX32" ca="1">IF($BP32=BX$14, 1, SUMPRODUCT(
    --(OFFSET($O$9,0,0,1,$B$9)=TRUE),
    --(INDEX(OFFSET($O$15,0,0,$B$8,$B$9), 1+$BP32, 0) = INDEX(OFFSET($O$15,0,0,$B$8,$B$9), 1+BX$14, 0))
) / $B$16)</f>
        <v>0</v>
      </c>
      <c r="BY32" cm="1">
        <f t="array" aca="1" ref="BY32" ca="1">IF($BP32=BY$14, 1, SUMPRODUCT(
    --(OFFSET($O$9,0,0,1,$B$9)=TRUE),
    --(INDEX(OFFSET($O$15,0,0,$B$8,$B$9), 1+$BP32, 0) = INDEX(OFFSET($O$15,0,0,$B$8,$B$9), 1+BY$14, 0))
) / $B$16)</f>
        <v>0.2</v>
      </c>
      <c r="BZ32" cm="1">
        <f t="array" aca="1" ref="BZ32" ca="1">IF($BP32=BZ$14, 1, SUMPRODUCT(
    --(OFFSET($O$9,0,0,1,$B$9)=TRUE),
    --(INDEX(OFFSET($O$15,0,0,$B$8,$B$9), 1+$BP32, 0) = INDEX(OFFSET($O$15,0,0,$B$8,$B$9), 1+BZ$14, 0))
) / $B$16)</f>
        <v>0.2</v>
      </c>
      <c r="CA32" cm="1">
        <f t="array" aca="1" ref="CA32" ca="1">IF($BP32=CA$14, 1, SUMPRODUCT(
    --(OFFSET($O$9,0,0,1,$B$9)=TRUE),
    --(INDEX(OFFSET($O$15,0,0,$B$8,$B$9), 1+$BP32, 0) = INDEX(OFFSET($O$15,0,0,$B$8,$B$9), 1+CA$14, 0))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
) / $B$16)</f>
        <v>0</v>
      </c>
      <c r="CC32" cm="1">
        <f t="array" aca="1" ref="CC32" ca="1">IF($BP32=CC$14, 1, SUMPRODUCT(
    --(OFFSET($O$9,0,0,1,$B$9)=TRUE),
    --(INDEX(OFFSET($O$15,0,0,$B$8,$B$9), 1+$BP32, 0) = INDEX(OFFSET($O$15,0,0,$B$8,$B$9), 1+CC$14, 0))
) / $B$16)</f>
        <v>0</v>
      </c>
      <c r="CD32" cm="1">
        <f t="array" aca="1" ref="CD32" ca="1">IF($BP32=CD$14, 1, SUMPRODUCT(
    --(OFFSET($O$9,0,0,1,$B$9)=TRUE),
    --(INDEX(OFFSET($O$15,0,0,$B$8,$B$9), 1+$BP32, 0) = INDEX(OFFSET($O$15,0,0,$B$8,$B$9), 1+CD$14, 0))
) / $B$16)</f>
        <v>0</v>
      </c>
      <c r="CE32" cm="1">
        <f t="array" aca="1" ref="CE32" ca="1">IF($BP32=CE$14, 1, SUMPRODUCT(
    --(OFFSET($O$9,0,0,1,$B$9)=TRUE),
    --(INDEX(OFFSET($O$15,0,0,$B$8,$B$9), 1+$BP32, 0) = INDEX(OFFSET($O$15,0,0,$B$8,$B$9), 1+CE$14, 0))
) / $B$16)</f>
        <v>0</v>
      </c>
      <c r="CF32" cm="1">
        <f t="array" aca="1" ref="CF32" ca="1">IF($BP32=CF$14, 1, SUMPRODUCT(
    --(OFFSET($O$9,0,0,1,$B$9)=TRUE),
    --(INDEX(OFFSET($O$15,0,0,$B$8,$B$9), 1+$BP32, 0) = INDEX(OFFSET($O$15,0,0,$B$8,$B$9), 1+CF$14, 0))
) / $B$16)</f>
        <v>0</v>
      </c>
      <c r="CG32" cm="1">
        <f t="array" aca="1" ref="CG32" ca="1">IF($BP32=CG$14, 1, SUMPRODUCT(
    --(OFFSET($O$9,0,0,1,$B$9)=TRUE),
    --(INDEX(OFFSET($O$15,0,0,$B$8,$B$9), 1+$BP32, 0) = INDEX(OFFSET($O$15,0,0,$B$8,$B$9), 1+CG$14, 0))
) / $B$16)</f>
        <v>0.6</v>
      </c>
      <c r="CH32" cm="1">
        <f t="array" aca="1" ref="CH32" ca="1">IF($BP32=CH$14, 1, SUMPRODUCT(
    --(OFFSET($O$9,0,0,1,$B$9)=TRUE),
    --(INDEX(OFFSET($O$15,0,0,$B$8,$B$9), 1+$BP32, 0) = INDEX(OFFSET($O$15,0,0,$B$8,$B$9), 1+CH$14, 0))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
) / $B$16)</f>
        <v>0.8</v>
      </c>
      <c r="CJ32" cm="1">
        <f t="array" aca="1" ref="CJ32" ca="1">IF($BP32=CJ$14, 1, SUMPRODUCT(
    --(OFFSET($O$9,0,0,1,$B$9)=TRUE),
    --(INDEX(OFFSET($O$15,0,0,$B$8,$B$9), 1+$BP32, 0) = INDEX(OFFSET($O$15,0,0,$B$8,$B$9), 1+CJ$14, 0))
) / $B$16)</f>
        <v>0.6</v>
      </c>
      <c r="DF32" cm="1">
        <f t="array" aca="1" ref="DF32" ca="1">INDEX(_xlfn.ANCHORARRAY($CP$15), 1 + INT((ROWS($DG$15:$DG32) - 1) / ROWS(_xlfn.ANCHORARRAY($CP$15))))</f>
        <v>3</v>
      </c>
      <c r="DG32" cm="1">
        <f t="array" aca="1" ref="DG32" ca="1">INDEX(_xlfn.ANCHORARRAY($CP$15),1+MOD(ROWS($DG$15:$DG32)-1,ROWS(_xlfn.ANCHORARRAY($CP$15))))</f>
        <v>2</v>
      </c>
      <c r="DH32" s="10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 $B$18/($B$19*$B$19*($DF32&lt;&gt;$DG32) + $B$19*($DF32=$DG32))</f>
        <v>1.1999999999999999E-3</v>
      </c>
      <c r="DI32" s="10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 $B$18/($B$19*$B$19*($DF32&lt;&gt;$DG32) + $B$19*($DF32=$DG32))</f>
        <v>0.13613044822256568</v>
      </c>
      <c r="DJ32" s="10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 $B$18/($B$19*$B$19*($DF32&lt;&gt;$DG32) + $B$19*($DF32=$DG32))</f>
        <v>1.1999999999999999E-3</v>
      </c>
      <c r="DK32" s="10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 $B$18/($B$19*$B$19*($DF32&lt;&gt;$DG32) + $B$19*($DF32=$DG32))</f>
        <v>1.1999999999999999E-3</v>
      </c>
      <c r="DL32" s="10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 $B$18/($B$19*$B$19*($DF32&lt;&gt;$DG32) + $B$19*($DF32=$DG32))</f>
        <v>1.1999999999999999E-3</v>
      </c>
      <c r="DM32" s="10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 $B$18/($B$19*$B$19*($DF32&lt;&gt;$DG32) + $B$19*($DF32=$DG32))</f>
        <v>1.1999999999999999E-3</v>
      </c>
      <c r="DN32" s="10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 $B$18/($B$19*$B$19*($DF32&lt;&gt;$DG32) + $B$19*($DF32=$DG32))</f>
        <v>1.1999999999999999E-3</v>
      </c>
      <c r="DO32" s="10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 $B$18/($B$19*$B$19*($DF32&lt;&gt;$DG32) + $B$19*($DF32=$DG32))</f>
        <v>1.1999999999999999E-3</v>
      </c>
      <c r="DP32" s="10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 $B$18/($B$19*$B$19*($DF32&lt;&gt;$DG32) + $B$19*($DF32=$DG32))</f>
        <v>0.1661149922720247</v>
      </c>
      <c r="DQ32" s="10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 $B$18/($B$19*$B$19*($DF32&lt;&gt;$DG32) + $B$19*($DF32=$DG32))</f>
        <v>8.665595054095826E-2</v>
      </c>
      <c r="DR32" s="10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 $B$18/($B$19*$B$19*($DF32&lt;&gt;$DG32) + $B$19*($DF32=$DG32))</f>
        <v>9.1153632148377114E-2</v>
      </c>
      <c r="DS32" s="10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 $B$18/($B$19*$B$19*($DF32&lt;&gt;$DG32) + $B$19*($DF32=$DG32))</f>
        <v>0.25606862442040179</v>
      </c>
      <c r="DT32" s="10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 $B$18/($B$19*$B$19*($DF32&lt;&gt;$DG32) + $B$19*($DF32=$DG32))</f>
        <v>1.1999999999999999E-3</v>
      </c>
      <c r="DU32" s="10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 $B$18/($B$19*$B$19*($DF32&lt;&gt;$DG32) + $B$19*($DF32=$DG32))</f>
        <v>6.1169088098918072E-2</v>
      </c>
      <c r="DV32" s="10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 $B$18/($B$19*$B$19*($DF32&lt;&gt;$DG32) + $B$19*($DF32=$DG32))</f>
        <v>1.1999999999999999E-3</v>
      </c>
      <c r="DW32" s="10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 $B$18/($B$19*$B$19*($DF32&lt;&gt;$DG32) + $B$19*($DF32=$DG32))</f>
        <v>1.1999999999999999E-3</v>
      </c>
    </row>
    <row r="33" spans="4:127" x14ac:dyDescent="0.2">
      <c r="D33" s="10">
        <f ca="1"/>
        <v>18</v>
      </c>
      <c r="F33" s="10">
        <f ca="1"/>
        <v>0.33333333333333331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9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3"/>
        <v>1</v>
      </c>
      <c r="N33" s="2">
        <v>18</v>
      </c>
      <c r="O33" s="12" t="s">
        <v>0</v>
      </c>
      <c r="P33" s="9" t="s">
        <v>4</v>
      </c>
      <c r="Q33" s="9" t="s">
        <v>2</v>
      </c>
      <c r="R33" s="9" t="s">
        <v>4</v>
      </c>
      <c r="S33" s="9" t="s">
        <v>2</v>
      </c>
      <c r="AN33">
        <f t="shared" ca="1" si="4"/>
        <v>3</v>
      </c>
      <c r="AO33" s="14">
        <f t="shared" ca="1" si="5"/>
        <v>0.33333333333333331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
) / $B$13)</f>
        <v>0.6</v>
      </c>
      <c r="AR33" cm="1">
        <f t="array" aca="1" ref="AR33" ca="1">IF($AP33=AR$14, 1, SUMPRODUCT(
    --(OFFSET($O$13,0,0,1,$B$9)=TRUE),
    --(INDEX(OFFSET($O$15,0,0,$B$8,$B$9), 1+$AP33, 0) = INDEX(OFFSET($O$15,0,0,$B$8,$B$9), 1+AR$14, 0))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
) / $B$13)</f>
        <v>0.4</v>
      </c>
      <c r="AU33" cm="1">
        <f t="array" aca="1" ref="AU33" ca="1">IF($AP33=AU$14, 1, SUMPRODUCT(
    --(OFFSET($O$13,0,0,1,$B$9)=TRUE),
    --(INDEX(OFFSET($O$15,0,0,$B$8,$B$9), 1+$AP33, 0) = INDEX(OFFSET($O$15,0,0,$B$8,$B$9), 1+AU$14, 0))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
) / $B$13)</f>
        <v>0</v>
      </c>
      <c r="AW33" cm="1">
        <f t="array" aca="1" ref="AW33" ca="1">IF($AP33=AW$14, 1, SUMPRODUCT(
    --(OFFSET($O$13,0,0,1,$B$9)=TRUE),
    --(INDEX(OFFSET($O$15,0,0,$B$8,$B$9), 1+$AP33, 0) = INDEX(OFFSET($O$15,0,0,$B$8,$B$9), 1+AW$14, 0))
) / $B$13)</f>
        <v>0</v>
      </c>
      <c r="AX33" cm="1">
        <f t="array" aca="1" ref="AX33" ca="1">IF($AP33=AX$14, 1, SUMPRODUCT(
    --(OFFSET($O$13,0,0,1,$B$9)=TRUE),
    --(INDEX(OFFSET($O$15,0,0,$B$8,$B$9), 1+$AP33, 0) = INDEX(OFFSET($O$15,0,0,$B$8,$B$9), 1+AX$14, 0))
) / $B$13)</f>
        <v>0</v>
      </c>
      <c r="AY33" cm="1">
        <f t="array" aca="1" ref="AY33" ca="1">IF($AP33=AY$14, 1, SUMPRODUCT(
    --(OFFSET($O$13,0,0,1,$B$9)=TRUE),
    --(INDEX(OFFSET($O$15,0,0,$B$8,$B$9), 1+$AP33, 0) = INDEX(OFFSET($O$15,0,0,$B$8,$B$9), 1+AY$14, 0))
) / $B$13)</f>
        <v>0.2</v>
      </c>
      <c r="AZ33" cm="1">
        <f t="array" aca="1" ref="AZ33" ca="1">IF($AP33=AZ$14, 1, SUMPRODUCT(
    --(OFFSET($O$13,0,0,1,$B$9)=TRUE),
    --(INDEX(OFFSET($O$15,0,0,$B$8,$B$9), 1+$AP33, 0) = INDEX(OFFSET($O$15,0,0,$B$8,$B$9), 1+AZ$14, 0))
) / $B$13)</f>
        <v>0.2</v>
      </c>
      <c r="BA33" cm="1">
        <f t="array" aca="1" ref="BA33" ca="1">IF($AP33=BA$14, 1, SUMPRODUCT(
    --(OFFSET($O$13,0,0,1,$B$9)=TRUE),
    --(INDEX(OFFSET($O$15,0,0,$B$8,$B$9), 1+$AP33, 0) = INDEX(OFFSET($O$15,0,0,$B$8,$B$9), 1+BA$14, 0))
) / $B$13)</f>
        <v>0</v>
      </c>
      <c r="BB33" cm="1">
        <f t="array" aca="1" ref="BB33" ca="1">IF($AP33=BB$14, 1, SUMPRODUCT(
    --(OFFSET($O$13,0,0,1,$B$9)=TRUE),
    --(INDEX(OFFSET($O$15,0,0,$B$8,$B$9), 1+$AP33, 0) = INDEX(OFFSET($O$15,0,0,$B$8,$B$9), 1+BB$14, 0))
) / $B$13)</f>
        <v>0</v>
      </c>
      <c r="BC33" cm="1">
        <f t="array" aca="1" ref="BC33" ca="1">IF($AP33=BC$14, 1, SUMPRODUCT(
    --(OFFSET($O$13,0,0,1,$B$9)=TRUE),
    --(INDEX(OFFSET($O$15,0,0,$B$8,$B$9), 1+$AP33, 0) = INDEX(OFFSET($O$15,0,0,$B$8,$B$9), 1+BC$14, 0))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
) / $B$13)</f>
        <v>0</v>
      </c>
      <c r="BG33" cm="1">
        <f t="array" aca="1" ref="BG33" ca="1">IF($AP33=BG$14, 1, SUMPRODUCT(
    --(OFFSET($O$13,0,0,1,$B$9)=TRUE),
    --(INDEX(OFFSET($O$15,0,0,$B$8,$B$9), 1+$AP33, 0) = INDEX(OFFSET($O$15,0,0,$B$8,$B$9), 1+BG$14, 0))
) / $B$13)</f>
        <v>0.4</v>
      </c>
      <c r="BH33" cm="1">
        <f t="array" aca="1" ref="BH33" ca="1">IF($AP33=BH$14, 1, SUMPRODUCT(
    --(OFFSET($O$13,0,0,1,$B$9)=TRUE),
    --(INDEX(OFFSET($O$15,0,0,$B$8,$B$9), 1+$AP33, 0) = INDEX(OFFSET($O$15,0,0,$B$8,$B$9), 1+BH$14, 0))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
) / $B$13)</f>
        <v>0.8</v>
      </c>
      <c r="BN33">
        <f t="shared" ca="1" si="6"/>
        <v>3</v>
      </c>
      <c r="BO33" s="14">
        <f t="shared" ca="1" si="7"/>
        <v>0.33333333333333331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
) / $B$16)</f>
        <v>0.6</v>
      </c>
      <c r="BR33" cm="1">
        <f t="array" aca="1" ref="BR33" ca="1">IF($BP33=BR$14, 1, SUMPRODUCT(
    --(OFFSET($O$9,0,0,1,$B$9)=TRUE),
    --(INDEX(OFFSET($O$15,0,0,$B$8,$B$9), 1+$BP33, 0) = INDEX(OFFSET($O$15,0,0,$B$8,$B$9), 1+BR$14, 0))
) / $B$16)</f>
        <v>0.4</v>
      </c>
      <c r="BS33" cm="1">
        <f t="array" aca="1" ref="BS33" ca="1">IF($BP33=BS$14, 1, SUMPRODUCT(
    --(OFFSET($O$9,0,0,1,$B$9)=TRUE),
    --(INDEX(OFFSET($O$15,0,0,$B$8,$B$9), 1+$BP33, 0) = INDEX(OFFSET($O$15,0,0,$B$8,$B$9), 1+BS$14, 0))
) / $B$16)</f>
        <v>0.4</v>
      </c>
      <c r="BT33" cm="1">
        <f t="array" aca="1" ref="BT33" ca="1">IF($BP33=BT$14, 1, SUMPRODUCT(
    --(OFFSET($O$9,0,0,1,$B$9)=TRUE),
    --(INDEX(OFFSET($O$15,0,0,$B$8,$B$9), 1+$BP33, 0) = INDEX(OFFSET($O$15,0,0,$B$8,$B$9), 1+BT$14, 0))
) / $B$16)</f>
        <v>0.4</v>
      </c>
      <c r="BU33" cm="1">
        <f t="array" aca="1" ref="BU33" ca="1">IF($BP33=BU$14, 1, SUMPRODUCT(
    --(OFFSET($O$9,0,0,1,$B$9)=TRUE),
    --(INDEX(OFFSET($O$15,0,0,$B$8,$B$9), 1+$BP33, 0) = INDEX(OFFSET($O$15,0,0,$B$8,$B$9), 1+BU$14, 0))
) / $B$16)</f>
        <v>0.2</v>
      </c>
      <c r="BV33" cm="1">
        <f t="array" aca="1" ref="BV33" ca="1">IF($BP33=BV$14, 1, SUMPRODUCT(
    --(OFFSET($O$9,0,0,1,$B$9)=TRUE),
    --(INDEX(OFFSET($O$15,0,0,$B$8,$B$9), 1+$BP33, 0) = INDEX(OFFSET($O$15,0,0,$B$8,$B$9), 1+BV$14, 0))
) / $B$16)</f>
        <v>0</v>
      </c>
      <c r="BW33" cm="1">
        <f t="array" aca="1" ref="BW33" ca="1">IF($BP33=BW$14, 1, SUMPRODUCT(
    --(OFFSET($O$9,0,0,1,$B$9)=TRUE),
    --(INDEX(OFFSET($O$15,0,0,$B$8,$B$9), 1+$BP33, 0) = INDEX(OFFSET($O$15,0,0,$B$8,$B$9), 1+BW$14, 0))
) / $B$16)</f>
        <v>0</v>
      </c>
      <c r="BX33" cm="1">
        <f t="array" aca="1" ref="BX33" ca="1">IF($BP33=BX$14, 1, SUMPRODUCT(
    --(OFFSET($O$9,0,0,1,$B$9)=TRUE),
    --(INDEX(OFFSET($O$15,0,0,$B$8,$B$9), 1+$BP33, 0) = INDEX(OFFSET($O$15,0,0,$B$8,$B$9), 1+BX$14, 0))
) / $B$16)</f>
        <v>0</v>
      </c>
      <c r="BY33" cm="1">
        <f t="array" aca="1" ref="BY33" ca="1">IF($BP33=BY$14, 1, SUMPRODUCT(
    --(OFFSET($O$9,0,0,1,$B$9)=TRUE),
    --(INDEX(OFFSET($O$15,0,0,$B$8,$B$9), 1+$BP33, 0) = INDEX(OFFSET($O$15,0,0,$B$8,$B$9), 1+BY$14, 0))
) / $B$16)</f>
        <v>0.2</v>
      </c>
      <c r="BZ33" cm="1">
        <f t="array" aca="1" ref="BZ33" ca="1">IF($BP33=BZ$14, 1, SUMPRODUCT(
    --(OFFSET($O$9,0,0,1,$B$9)=TRUE),
    --(INDEX(OFFSET($O$15,0,0,$B$8,$B$9), 1+$BP33, 0) = INDEX(OFFSET($O$15,0,0,$B$8,$B$9), 1+BZ$14, 0))
) / $B$16)</f>
        <v>0.2</v>
      </c>
      <c r="CA33" cm="1">
        <f t="array" aca="1" ref="CA33" ca="1">IF($BP33=CA$14, 1, SUMPRODUCT(
    --(OFFSET($O$9,0,0,1,$B$9)=TRUE),
    --(INDEX(OFFSET($O$15,0,0,$B$8,$B$9), 1+$BP33, 0) = INDEX(OFFSET($O$15,0,0,$B$8,$B$9), 1+CA$14, 0))
) / $B$16)</f>
        <v>0</v>
      </c>
      <c r="CB33" cm="1">
        <f t="array" aca="1" ref="CB33" ca="1">IF($BP33=CB$14, 1, SUMPRODUCT(
    --(OFFSET($O$9,0,0,1,$B$9)=TRUE),
    --(INDEX(OFFSET($O$15,0,0,$B$8,$B$9), 1+$BP33, 0) = INDEX(OFFSET($O$15,0,0,$B$8,$B$9), 1+CB$14, 0))
) / $B$16)</f>
        <v>0</v>
      </c>
      <c r="CC33" cm="1">
        <f t="array" aca="1" ref="CC33" ca="1">IF($BP33=CC$14, 1, SUMPRODUCT(
    --(OFFSET($O$9,0,0,1,$B$9)=TRUE),
    --(INDEX(OFFSET($O$15,0,0,$B$8,$B$9), 1+$BP33, 0) = INDEX(OFFSET($O$15,0,0,$B$8,$B$9), 1+CC$14, 0))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
) / $B$16)</f>
        <v>0</v>
      </c>
      <c r="CG33" cm="1">
        <f t="array" aca="1" ref="CG33" ca="1">IF($BP33=CG$14, 1, SUMPRODUCT(
    --(OFFSET($O$9,0,0,1,$B$9)=TRUE),
    --(INDEX(OFFSET($O$15,0,0,$B$8,$B$9), 1+$BP33, 0) = INDEX(OFFSET($O$15,0,0,$B$8,$B$9), 1+CG$14, 0))
) / $B$16)</f>
        <v>0.4</v>
      </c>
      <c r="CH33" cm="1">
        <f t="array" aca="1" ref="CH33" ca="1">IF($BP33=CH$14, 1, SUMPRODUCT(
    --(OFFSET($O$9,0,0,1,$B$9)=TRUE),
    --(INDEX(OFFSET($O$15,0,0,$B$8,$B$9), 1+$BP33, 0) = INDEX(OFFSET($O$15,0,0,$B$8,$B$9), 1+CH$14, 0))
) / $B$16)</f>
        <v>0.8</v>
      </c>
      <c r="CI33" cm="1">
        <f t="array" aca="1" ref="CI33" ca="1">IF($BP33=CI$14, 1, SUMPRODUCT(
    --(OFFSET($O$9,0,0,1,$B$9)=TRUE),
    --(INDEX(OFFSET($O$15,0,0,$B$8,$B$9), 1+$BP33, 0) = INDEX(OFFSET($O$15,0,0,$B$8,$B$9), 1+CI$14, 0))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
) / $B$16)</f>
        <v>0.8</v>
      </c>
      <c r="DF33" cm="1">
        <f t="array" aca="1" ref="DF33" ca="1">INDEX(_xlfn.ANCHORARRAY($CP$15), 1 + INT((ROWS($DG$15:$DG33) - 1) / ROWS(_xlfn.ANCHORARRAY($CP$15))))</f>
        <v>3</v>
      </c>
      <c r="DG33" cm="1">
        <f t="array" aca="1" ref="DG33" ca="1">INDEX(_xlfn.ANCHORARRAY($CP$15),1+MOD(ROWS($DG$15:$DG33)-1,ROWS(_xlfn.ANCHORARRAY($CP$15))))</f>
        <v>3</v>
      </c>
      <c r="DH33" s="10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 $B$18/($B$19*$B$19*($DF33&lt;&gt;$DG33) + $B$19*($DF33=$DG33))</f>
        <v>0.14093044822256567</v>
      </c>
      <c r="DI33" s="10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 $B$18/($B$19*$B$19*($DF33&lt;&gt;$DG33) + $B$19*($DF33=$DG33))</f>
        <v>6.0000000000000001E-3</v>
      </c>
      <c r="DJ33" s="10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 $B$18/($B$19*$B$19*($DF33&lt;&gt;$DG33) + $B$19*($DF33=$DG33))</f>
        <v>6.0000000000000001E-3</v>
      </c>
      <c r="DK33" s="10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 $B$18/($B$19*$B$19*($DF33&lt;&gt;$DG33) + $B$19*($DF33=$DG33))</f>
        <v>6.0000000000000001E-3</v>
      </c>
      <c r="DL33" s="10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 $B$18/($B$19*$B$19*($DF33&lt;&gt;$DG33) + $B$19*($DF33=$DG33))</f>
        <v>6.0000000000000001E-3</v>
      </c>
      <c r="DM33" s="10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 $B$18/($B$19*$B$19*($DF33&lt;&gt;$DG33) + $B$19*($DF33=$DG33))</f>
        <v>6.0000000000000001E-3</v>
      </c>
      <c r="DN33" s="10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 $B$18/($B$19*$B$19*($DF33&lt;&gt;$DG33) + $B$19*($DF33=$DG33))</f>
        <v>6.0000000000000001E-3</v>
      </c>
      <c r="DO33" s="10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 $B$18/($B$19*$B$19*($DF33&lt;&gt;$DG33) + $B$19*($DF33=$DG33))</f>
        <v>6.0000000000000001E-3</v>
      </c>
      <c r="DP33" s="10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 $B$18/($B$19*$B$19*($DF33&lt;&gt;$DG33) + $B$19*($DF33=$DG33))</f>
        <v>6.0000000000000001E-3</v>
      </c>
      <c r="DQ33" s="10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 $B$18/($B$19*$B$19*($DF33&lt;&gt;$DG33) + $B$19*($DF33=$DG33))</f>
        <v>6.0000000000000001E-3</v>
      </c>
      <c r="DR33" s="10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 $B$18/($B$19*$B$19*($DF33&lt;&gt;$DG33) + $B$19*($DF33=$DG33))</f>
        <v>0.60119319938176174</v>
      </c>
      <c r="DS33" s="10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 $B$18/($B$19*$B$19*($DF33&lt;&gt;$DG33) + $B$19*($DF33=$DG33))</f>
        <v>6.0000000000000001E-3</v>
      </c>
      <c r="DT33" s="10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 $B$18/($B$19*$B$19*($DF33&lt;&gt;$DG33) + $B$19*($DF33=$DG33))</f>
        <v>6.0000000000000001E-3</v>
      </c>
      <c r="DU33" s="10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 $B$18/($B$19*$B$19*($DF33&lt;&gt;$DG33) + $B$19*($DF33=$DG33))</f>
        <v>6.0000000000000001E-3</v>
      </c>
      <c r="DV33" s="10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 $B$18/($B$19*$B$19*($DF33&lt;&gt;$DG33) + $B$19*($DF33=$DG33))</f>
        <v>6.0000000000000001E-3</v>
      </c>
      <c r="DW33" s="10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 $B$18/($B$19*$B$19*($DF33&lt;&gt;$DG33) + $B$19*($DF33=$DG33))</f>
        <v>6.5969088098918077E-2</v>
      </c>
    </row>
    <row r="34" spans="4:127" x14ac:dyDescent="0.2">
      <c r="D34" s="10">
        <f ca="1"/>
        <v>19</v>
      </c>
      <c r="F34" s="10">
        <f ca="1"/>
        <v>0.33333333333333331</v>
      </c>
      <c r="J34" cm="1">
        <f t="array" aca="1" ref="J34" ca="1">SUMPRODUCT((O34:AJ34=$O$11:$AJ$11)*(O$13:AJ$13=TRUE))  / COUNTIF(O$13:AJ$13,TRUE)</f>
        <v>0.8</v>
      </c>
      <c r="K34" t="b">
        <f t="shared" ca="1" si="9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3"/>
        <v>1</v>
      </c>
      <c r="N34" s="2">
        <v>19</v>
      </c>
      <c r="O34" s="12" t="s">
        <v>0</v>
      </c>
      <c r="P34" s="9" t="s">
        <v>4</v>
      </c>
      <c r="Q34" s="9" t="s">
        <v>2</v>
      </c>
      <c r="R34" s="9" t="s">
        <v>4</v>
      </c>
      <c r="S34" s="9" t="s">
        <v>3</v>
      </c>
      <c r="AN34">
        <f t="shared" ca="1" si="4"/>
        <v>3</v>
      </c>
      <c r="AO34" s="14">
        <f t="shared" ca="1" si="5"/>
        <v>0.33333333333333331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
) / $B$13)</f>
        <v>0.8</v>
      </c>
      <c r="AR34" cm="1">
        <f t="array" aca="1" ref="AR34" ca="1">IF($AP34=AR$14, 1, SUMPRODUCT(
    --(OFFSET($O$13,0,0,1,$B$9)=TRUE),
    --(INDEX(OFFSET($O$15,0,0,$B$8,$B$9), 1+$AP34, 0) = INDEX(OFFSET($O$15,0,0,$B$8,$B$9), 1+AR$14, 0))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
) / $B$13)</f>
        <v>0.6</v>
      </c>
      <c r="AT34" cm="1">
        <f t="array" aca="1" ref="AT34" ca="1">IF($AP34=AT$14, 1, SUMPRODUCT(
    --(OFFSET($O$13,0,0,1,$B$9)=TRUE),
    --(INDEX(OFFSET($O$15,0,0,$B$8,$B$9), 1+$AP34, 0) = INDEX(OFFSET($O$15,0,0,$B$8,$B$9), 1+AT$14, 0))
) / $B$13)</f>
        <v>0.6</v>
      </c>
      <c r="AU34" cm="1">
        <f t="array" aca="1" ref="AU34" ca="1">IF($AP34=AU$14, 1, SUMPRODUCT(
    --(OFFSET($O$13,0,0,1,$B$9)=TRUE),
    --(INDEX(OFFSET($O$15,0,0,$B$8,$B$9), 1+$AP34, 0) = INDEX(OFFSET($O$15,0,0,$B$8,$B$9), 1+AU$14, 0))
) / $B$13)</f>
        <v>0.2</v>
      </c>
      <c r="AV34" cm="1">
        <f t="array" aca="1" ref="AV34" ca="1">IF($AP34=AV$14, 1, SUMPRODUCT(
    --(OFFSET($O$13,0,0,1,$B$9)=TRUE),
    --(INDEX(OFFSET($O$15,0,0,$B$8,$B$9), 1+$AP34, 0) = INDEX(OFFSET($O$15,0,0,$B$8,$B$9), 1+AV$14, 0))
) / $B$13)</f>
        <v>0.2</v>
      </c>
      <c r="AW34" cm="1">
        <f t="array" aca="1" ref="AW34" ca="1">IF($AP34=AW$14, 1, SUMPRODUCT(
    --(OFFSET($O$13,0,0,1,$B$9)=TRUE),
    --(INDEX(OFFSET($O$15,0,0,$B$8,$B$9), 1+$AP34, 0) = INDEX(OFFSET($O$15,0,0,$B$8,$B$9), 1+AW$14, 0))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
) / $B$13)</f>
        <v>0.4</v>
      </c>
      <c r="BA34" cm="1">
        <f t="array" aca="1" ref="BA34" ca="1">IF($AP34=BA$14, 1, SUMPRODUCT(
    --(OFFSET($O$13,0,0,1,$B$9)=TRUE),
    --(INDEX(OFFSET($O$15,0,0,$B$8,$B$9), 1+$AP34, 0) = INDEX(OFFSET($O$15,0,0,$B$8,$B$9), 1+BA$14, 0))
) / $B$13)</f>
        <v>0</v>
      </c>
      <c r="BB34" cm="1">
        <f t="array" aca="1" ref="BB34" ca="1">IF($AP34=BB$14, 1, SUMPRODUCT(
    --(OFFSET($O$13,0,0,1,$B$9)=TRUE),
    --(INDEX(OFFSET($O$15,0,0,$B$8,$B$9), 1+$AP34, 0) = INDEX(OFFSET($O$15,0,0,$B$8,$B$9), 1+BB$14, 0))
) / $B$13)</f>
        <v>0.2</v>
      </c>
      <c r="BC34" cm="1">
        <f t="array" aca="1" ref="BC34" ca="1">IF($AP34=BC$14, 1, SUMPRODUCT(
    --(OFFSET($O$13,0,0,1,$B$9)=TRUE),
    --(INDEX(OFFSET($O$15,0,0,$B$8,$B$9), 1+$AP34, 0) = INDEX(OFFSET($O$15,0,0,$B$8,$B$9), 1+BC$14, 0))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
) / $B$13)</f>
        <v>0</v>
      </c>
      <c r="BE34" cm="1">
        <f t="array" aca="1" ref="BE34" ca="1">IF($AP34=BE$14, 1, SUMPRODUCT(
    --(OFFSET($O$13,0,0,1,$B$9)=TRUE),
    --(INDEX(OFFSET($O$15,0,0,$B$8,$B$9), 1+$AP34, 0) = INDEX(OFFSET($O$15,0,0,$B$8,$B$9), 1+BE$14, 0))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
) / $B$13)</f>
        <v>0.2</v>
      </c>
      <c r="BG34" cm="1">
        <f t="array" aca="1" ref="BG34" ca="1">IF($AP34=BG$14, 1, SUMPRODUCT(
    --(OFFSET($O$13,0,0,1,$B$9)=TRUE),
    --(INDEX(OFFSET($O$15,0,0,$B$8,$B$9), 1+$AP34, 0) = INDEX(OFFSET($O$15,0,0,$B$8,$B$9), 1+BG$14, 0))
) / $B$13)</f>
        <v>0.4</v>
      </c>
      <c r="BH34" cm="1">
        <f t="array" aca="1" ref="BH34" ca="1">IF($AP34=BH$14, 1, SUMPRODUCT(
    --(OFFSET($O$13,0,0,1,$B$9)=TRUE),
    --(INDEX(OFFSET($O$15,0,0,$B$8,$B$9), 1+$AP34, 0) = INDEX(OFFSET($O$15,0,0,$B$8,$B$9), 1+BH$14, 0))
) / $B$13)</f>
        <v>0.6</v>
      </c>
      <c r="BI34" cm="1">
        <f t="array" aca="1" ref="BI34" ca="1">IF($AP34=BI$14, 1, SUMPRODUCT(
    --(OFFSET($O$13,0,0,1,$B$9)=TRUE),
    --(INDEX(OFFSET($O$15,0,0,$B$8,$B$9), 1+$AP34, 0) = INDEX(OFFSET($O$15,0,0,$B$8,$B$9), 1+BI$14, 0))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
) / $B$13)</f>
        <v>1</v>
      </c>
      <c r="BN34">
        <f t="shared" ca="1" si="6"/>
        <v>3</v>
      </c>
      <c r="BO34" s="14">
        <f t="shared" ca="1" si="7"/>
        <v>0.33333333333333331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
) / $B$16)</f>
        <v>0.8</v>
      </c>
      <c r="BR34" cm="1">
        <f t="array" aca="1" ref="BR34" ca="1">IF($BP34=BR$14, 1, SUMPRODUCT(
    --(OFFSET($O$9,0,0,1,$B$9)=TRUE),
    --(INDEX(OFFSET($O$15,0,0,$B$8,$B$9), 1+$BP34, 0) = INDEX(OFFSET($O$15,0,0,$B$8,$B$9), 1+BR$14, 0))
) / $B$16)</f>
        <v>0.6</v>
      </c>
      <c r="BS34" cm="1">
        <f t="array" aca="1" ref="BS34" ca="1">IF($BP34=BS$14, 1, SUMPRODUCT(
    --(OFFSET($O$9,0,0,1,$B$9)=TRUE),
    --(INDEX(OFFSET($O$15,0,0,$B$8,$B$9), 1+$BP34, 0) = INDEX(OFFSET($O$15,0,0,$B$8,$B$9), 1+BS$14, 0))
) / $B$16)</f>
        <v>0.6</v>
      </c>
      <c r="BT34" cm="1">
        <f t="array" aca="1" ref="BT34" ca="1">IF($BP34=BT$14, 1, SUMPRODUCT(
    --(OFFSET($O$9,0,0,1,$B$9)=TRUE),
    --(INDEX(OFFSET($O$15,0,0,$B$8,$B$9), 1+$BP34, 0) = INDEX(OFFSET($O$15,0,0,$B$8,$B$9), 1+BT$14, 0))
) / $B$16)</f>
        <v>0.6</v>
      </c>
      <c r="BU34" cm="1">
        <f t="array" aca="1" ref="BU34" ca="1">IF($BP34=BU$14, 1, SUMPRODUCT(
    --(OFFSET($O$9,0,0,1,$B$9)=TRUE),
    --(INDEX(OFFSET($O$15,0,0,$B$8,$B$9), 1+$BP34, 0) = INDEX(OFFSET($O$15,0,0,$B$8,$B$9), 1+BU$14, 0))
) / $B$16)</f>
        <v>0.2</v>
      </c>
      <c r="BV34" cm="1">
        <f t="array" aca="1" ref="BV34" ca="1">IF($BP34=BV$14, 1, SUMPRODUCT(
    --(OFFSET($O$9,0,0,1,$B$9)=TRUE),
    --(INDEX(OFFSET($O$15,0,0,$B$8,$B$9), 1+$BP34, 0) = INDEX(OFFSET($O$15,0,0,$B$8,$B$9), 1+BV$14, 0))
) / $B$16)</f>
        <v>0.2</v>
      </c>
      <c r="BW34" cm="1">
        <f t="array" aca="1" ref="BW34" ca="1">IF($BP34=BW$14, 1, SUMPRODUCT(
    --(OFFSET($O$9,0,0,1,$B$9)=TRUE),
    --(INDEX(OFFSET($O$15,0,0,$B$8,$B$9), 1+$BP34, 0) = INDEX(OFFSET($O$15,0,0,$B$8,$B$9), 1+BW$14, 0))
) / $B$16)</f>
        <v>0.2</v>
      </c>
      <c r="BX34" cm="1">
        <f t="array" aca="1" ref="BX34" ca="1">IF($BP34=BX$14, 1, SUMPRODUCT(
    --(OFFSET($O$9,0,0,1,$B$9)=TRUE),
    --(INDEX(OFFSET($O$15,0,0,$B$8,$B$9), 1+$BP34, 0) = INDEX(OFFSET($O$15,0,0,$B$8,$B$9), 1+BX$14, 0))
) / $B$16)</f>
        <v>0.2</v>
      </c>
      <c r="BY34" cm="1">
        <f t="array" aca="1" ref="BY34" ca="1">IF($BP34=BY$14, 1, SUMPRODUCT(
    --(OFFSET($O$9,0,0,1,$B$9)=TRUE),
    --(INDEX(OFFSET($O$15,0,0,$B$8,$B$9), 1+$BP34, 0) = INDEX(OFFSET($O$15,0,0,$B$8,$B$9), 1+BY$14, 0))
) / $B$16)</f>
        <v>0.4</v>
      </c>
      <c r="BZ34" cm="1">
        <f t="array" aca="1" ref="BZ34" ca="1">IF($BP34=BZ$14, 1, SUMPRODUCT(
    --(OFFSET($O$9,0,0,1,$B$9)=TRUE),
    --(INDEX(OFFSET($O$15,0,0,$B$8,$B$9), 1+$BP34, 0) = INDEX(OFFSET($O$15,0,0,$B$8,$B$9), 1+BZ$14, 0))
) / $B$16)</f>
        <v>0.4</v>
      </c>
      <c r="CA34" cm="1">
        <f t="array" aca="1" ref="CA34" ca="1">IF($BP34=CA$14, 1, SUMPRODUCT(
    --(OFFSET($O$9,0,0,1,$B$9)=TRUE),
    --(INDEX(OFFSET($O$15,0,0,$B$8,$B$9), 1+$BP34, 0) = INDEX(OFFSET($O$15,0,0,$B$8,$B$9), 1+CA$14, 0))
) / $B$16)</f>
        <v>0</v>
      </c>
      <c r="CB34" cm="1">
        <f t="array" aca="1" ref="CB34" ca="1">IF($BP34=CB$14, 1, SUMPRODUCT(
    --(OFFSET($O$9,0,0,1,$B$9)=TRUE),
    --(INDEX(OFFSET($O$15,0,0,$B$8,$B$9), 1+$BP34, 0) = INDEX(OFFSET($O$15,0,0,$B$8,$B$9), 1+CB$14, 0))
) / $B$16)</f>
        <v>0.2</v>
      </c>
      <c r="CC34" cm="1">
        <f t="array" aca="1" ref="CC34" ca="1">IF($BP34=CC$14, 1, SUMPRODUCT(
    --(OFFSET($O$9,0,0,1,$B$9)=TRUE),
    --(INDEX(OFFSET($O$15,0,0,$B$8,$B$9), 1+$BP34, 0) = INDEX(OFFSET($O$15,0,0,$B$8,$B$9), 1+CC$14, 0))
) / $B$16)</f>
        <v>0.2</v>
      </c>
      <c r="CD34" cm="1">
        <f t="array" aca="1" ref="CD34" ca="1">IF($BP34=CD$14, 1, SUMPRODUCT(
    --(OFFSET($O$9,0,0,1,$B$9)=TRUE),
    --(INDEX(OFFSET($O$15,0,0,$B$8,$B$9), 1+$BP34, 0) = INDEX(OFFSET($O$15,0,0,$B$8,$B$9), 1+CD$14, 0))
) / $B$16)</f>
        <v>0</v>
      </c>
      <c r="CE34" cm="1">
        <f t="array" aca="1" ref="CE34" ca="1">IF($BP34=CE$14, 1, SUMPRODUCT(
    --(OFFSET($O$9,0,0,1,$B$9)=TRUE),
    --(INDEX(OFFSET($O$15,0,0,$B$8,$B$9), 1+$BP34, 0) = INDEX(OFFSET($O$15,0,0,$B$8,$B$9), 1+CE$14, 0))
) / $B$16)</f>
        <v>0.2</v>
      </c>
      <c r="CF34" cm="1">
        <f t="array" aca="1" ref="CF34" ca="1">IF($BP34=CF$14, 1, SUMPRODUCT(
    --(OFFSET($O$9,0,0,1,$B$9)=TRUE),
    --(INDEX(OFFSET($O$15,0,0,$B$8,$B$9), 1+$BP34, 0) = INDEX(OFFSET($O$15,0,0,$B$8,$B$9), 1+CF$14, 0))
) / $B$16)</f>
        <v>0.2</v>
      </c>
      <c r="CG34" cm="1">
        <f t="array" aca="1" ref="CG34" ca="1">IF($BP34=CG$14, 1, SUMPRODUCT(
    --(OFFSET($O$9,0,0,1,$B$9)=TRUE),
    --(INDEX(OFFSET($O$15,0,0,$B$8,$B$9), 1+$BP34, 0) = INDEX(OFFSET($O$15,0,0,$B$8,$B$9), 1+CG$14, 0))
) / $B$16)</f>
        <v>0.4</v>
      </c>
      <c r="CH34" cm="1">
        <f t="array" aca="1" ref="CH34" ca="1">IF($BP34=CH$14, 1, SUMPRODUCT(
    --(OFFSET($O$9,0,0,1,$B$9)=TRUE),
    --(INDEX(OFFSET($O$15,0,0,$B$8,$B$9), 1+$BP34, 0) = INDEX(OFFSET($O$15,0,0,$B$8,$B$9), 1+CH$14, 0))
) / $B$16)</f>
        <v>0.6</v>
      </c>
      <c r="CI34" cm="1">
        <f t="array" aca="1" ref="CI34" ca="1">IF($BP34=CI$14, 1, SUMPRODUCT(
    --(OFFSET($O$9,0,0,1,$B$9)=TRUE),
    --(INDEX(OFFSET($O$15,0,0,$B$8,$B$9), 1+$BP34, 0) = INDEX(OFFSET($O$15,0,0,$B$8,$B$9), 1+CI$14, 0))
) / $B$16)</f>
        <v>0.8</v>
      </c>
      <c r="CJ34" cm="1">
        <f t="array" aca="1" ref="CJ34" ca="1">IF($BP34=CJ$14, 1, SUMPRODUCT(
    --(OFFSET($O$9,0,0,1,$B$9)=TRUE),
    --(INDEX(OFFSET($O$15,0,0,$B$8,$B$9), 1+$BP34, 0) = INDEX(OFFSET($O$15,0,0,$B$8,$B$9), 1+CJ$14, 0))
) / $B$16)</f>
        <v>1</v>
      </c>
      <c r="DF34" cm="1">
        <f t="array" aca="1" ref="DF34" ca="1">INDEX(_xlfn.ANCHORARRAY($CP$15), 1 + INT((ROWS($DG$15:$DG34) - 1) / ROWS(_xlfn.ANCHORARRAY($CP$15))))</f>
        <v>3</v>
      </c>
      <c r="DG34" cm="1">
        <f t="array" aca="1" ref="DG34" ca="1">INDEX(_xlfn.ANCHORARRAY($CP$15),1+MOD(ROWS($DG$15:$DG34)-1,ROWS(_xlfn.ANCHORARRAY($CP$15))))</f>
        <v>4</v>
      </c>
      <c r="DH34" s="10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 $B$18/($B$19*$B$19*($DF34&lt;&gt;$DG34) + $B$19*($DF34=$DG34))</f>
        <v>1.1999999999999999E-3</v>
      </c>
      <c r="DI34" s="10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 $B$18/($B$19*$B$19*($DF34&lt;&gt;$DG34) + $B$19*($DF34=$DG34))</f>
        <v>4.6176816074188554E-2</v>
      </c>
      <c r="DJ34" s="10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 $B$18/($B$19*$B$19*($DF34&lt;&gt;$DG34) + $B$19*($DF34=$DG34))</f>
        <v>1.1999999999999999E-3</v>
      </c>
      <c r="DK34" s="10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 $B$18/($B$19*$B$19*($DF34&lt;&gt;$DG34) + $B$19*($DF34=$DG34))</f>
        <v>9.1153632148377114E-2</v>
      </c>
      <c r="DL34" s="10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 $B$18/($B$19*$B$19*($DF34&lt;&gt;$DG34) + $B$19*($DF34=$DG34))</f>
        <v>1.1999999999999999E-3</v>
      </c>
      <c r="DM34" s="10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 $B$18/($B$19*$B$19*($DF34&lt;&gt;$DG34) + $B$19*($DF34=$DG34))</f>
        <v>1.1999999999999999E-3</v>
      </c>
      <c r="DN34" s="10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 $B$18/($B$19*$B$19*($DF34&lt;&gt;$DG34) + $B$19*($DF34=$DG34))</f>
        <v>1.1999999999999999E-3</v>
      </c>
      <c r="DO34" s="10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 $B$18/($B$19*$B$19*($DF34&lt;&gt;$DG34) + $B$19*($DF34=$DG34))</f>
        <v>1.1999999999999999E-3</v>
      </c>
      <c r="DP34" s="10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 $B$18/($B$19*$B$19*($DF34&lt;&gt;$DG34) + $B$19*($DF34=$DG34))</f>
        <v>1.1999999999999999E-3</v>
      </c>
      <c r="DQ34" s="10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 $B$18/($B$19*$B$19*($DF34&lt;&gt;$DG34) + $B$19*($DF34=$DG34))</f>
        <v>1.1999999999999999E-3</v>
      </c>
      <c r="DR34" s="10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 $B$18/($B$19*$B$19*($DF34&lt;&gt;$DG34) + $B$19*($DF34=$DG34))</f>
        <v>0.41648593508500753</v>
      </c>
      <c r="DS34" s="10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 $B$18/($B$19*$B$19*($DF34&lt;&gt;$DG34) + $B$19*($DF34=$DG34))</f>
        <v>9.1153632148377114E-2</v>
      </c>
      <c r="DT34" s="10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 $B$18/($B$19*$B$19*($DF34&lt;&gt;$DG34) + $B$19*($DF34=$DG34))</f>
        <v>1.1999999999999999E-3</v>
      </c>
      <c r="DU34" s="10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 $B$18/($B$19*$B$19*($DF34&lt;&gt;$DG34) + $B$19*($DF34=$DG34))</f>
        <v>3.1184544049459036E-2</v>
      </c>
      <c r="DV34" s="10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 $B$18/($B$19*$B$19*($DF34&lt;&gt;$DG34) + $B$19*($DF34=$DG34))</f>
        <v>3.1184544049459036E-2</v>
      </c>
      <c r="DW34" s="10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 $B$18/($B$19*$B$19*($DF34&lt;&gt;$DG34) + $B$19*($DF34=$DG34))</f>
        <v>1.1999999999999999E-3</v>
      </c>
    </row>
    <row r="35" spans="4:127" x14ac:dyDescent="0.2">
      <c r="J35" cm="1">
        <f t="array" aca="1" ref="J35" ca="1">SUMPRODUCT((O35:AJ35=$O$11:$AJ$11)*(O$13:AJ$13=TRUE))  / COUNTIF(O$13:AJ$13,TRUE)</f>
        <v>0</v>
      </c>
      <c r="K35" t="b">
        <f t="shared" ca="1" si="9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3"/>
        <v>0</v>
      </c>
      <c r="N35" s="2">
        <v>20</v>
      </c>
      <c r="O35" s="12" t="s">
        <v>3</v>
      </c>
      <c r="P35" s="12" t="s">
        <v>3</v>
      </c>
      <c r="Q35" s="12" t="s">
        <v>3</v>
      </c>
      <c r="R35" s="12" t="s">
        <v>0</v>
      </c>
      <c r="S35" s="12" t="s">
        <v>0</v>
      </c>
      <c r="DF35" cm="1">
        <f t="array" aca="1" ref="DF35" ca="1">INDEX(_xlfn.ANCHORARRAY($CP$15), 1 + INT((ROWS($DG$15:$DG35) - 1) / ROWS(_xlfn.ANCHORARRAY($CP$15))))</f>
        <v>4</v>
      </c>
      <c r="DG35" cm="1">
        <f t="array" aca="1" ref="DG35" ca="1">INDEX(_xlfn.ANCHORARRAY($CP$15),1+MOD(ROWS($DG$15:$DG35)-1,ROWS(_xlfn.ANCHORARRAY($CP$15))))</f>
        <v>0</v>
      </c>
      <c r="DH35" s="10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 $B$18/($B$19*$B$19*($DF35&lt;&gt;$DG35) + $B$19*($DF35=$DG35))</f>
        <v>1.1999999999999999E-3</v>
      </c>
      <c r="DI35" s="10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 $B$18/($B$19*$B$19*($DF35&lt;&gt;$DG35) + $B$19*($DF35=$DG35))</f>
        <v>1.1999999999999999E-3</v>
      </c>
      <c r="DJ35" s="10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 $B$18/($B$19*$B$19*($DF35&lt;&gt;$DG35) + $B$19*($DF35=$DG35))</f>
        <v>1.1999999999999999E-3</v>
      </c>
      <c r="DK35" s="10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 $B$18/($B$19*$B$19*($DF35&lt;&gt;$DG35) + $B$19*($DF35=$DG35))</f>
        <v>1.1999999999999999E-3</v>
      </c>
      <c r="DL35" s="10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 $B$18/($B$19*$B$19*($DF35&lt;&gt;$DG35) + $B$19*($DF35=$DG35))</f>
        <v>7.616136012364759E-2</v>
      </c>
      <c r="DM35" s="10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 $B$18/($B$19*$B$19*($DF35&lt;&gt;$DG35) + $B$19*($DF35=$DG35))</f>
        <v>1.1999999999999999E-3</v>
      </c>
      <c r="DN35" s="10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 $B$18/($B$19*$B$19*($DF35&lt;&gt;$DG35) + $B$19*($DF35=$DG35))</f>
        <v>1.1999999999999999E-3</v>
      </c>
      <c r="DO35" s="10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 $B$18/($B$19*$B$19*($DF35&lt;&gt;$DG35) + $B$19*($DF35=$DG35))</f>
        <v>1.1999999999999999E-3</v>
      </c>
      <c r="DP35" s="10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 $B$18/($B$19*$B$19*($DF35&lt;&gt;$DG35) + $B$19*($DF35=$DG35))</f>
        <v>0.18410571870170012</v>
      </c>
      <c r="DQ35" s="10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 $B$18/($B$19*$B$19*($DF35&lt;&gt;$DG35) + $B$19*($DF35=$DG35))</f>
        <v>9.8649768160741877E-2</v>
      </c>
      <c r="DR35" s="10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 $B$18/($B$19*$B$19*($DF35&lt;&gt;$DG35) + $B$19*($DF35=$DG35))</f>
        <v>0.11364204018547136</v>
      </c>
      <c r="DS35" s="10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 $B$18/($B$19*$B$19*($DF35&lt;&gt;$DG35) + $B$19*($DF35=$DG35))</f>
        <v>0.14362658423493041</v>
      </c>
      <c r="DT35" s="10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 $B$18/($B$19*$B$19*($DF35&lt;&gt;$DG35) + $B$19*($DF35=$DG35))</f>
        <v>1.1999999999999999E-3</v>
      </c>
      <c r="DU35" s="10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 $B$18/($B$19*$B$19*($DF35&lt;&gt;$DG35) + $B$19*($DF35=$DG35))</f>
        <v>1.1999999999999999E-3</v>
      </c>
      <c r="DV35" s="10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 $B$18/($B$19*$B$19*($DF35&lt;&gt;$DG35) + $B$19*($DF35=$DG35))</f>
        <v>1.1999999999999999E-3</v>
      </c>
      <c r="DW35" s="10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 $B$18/($B$19*$B$19*($DF35&lt;&gt;$DG35) + $B$19*($DF35=$DG35))</f>
        <v>9.1153632148377114E-2</v>
      </c>
    </row>
    <row r="36" spans="4:127" x14ac:dyDescent="0.2">
      <c r="J36" cm="1">
        <f t="array" aca="1" ref="J36" ca="1">SUMPRODUCT((O36:AJ36=$O$11:$AJ$11)*(O$13:AJ$13=TRUE))  / COUNTIF(O$13:AJ$13,TRUE)</f>
        <v>0.2</v>
      </c>
      <c r="K36" t="b">
        <f t="shared" ca="1" si="9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3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cm="1">
        <f t="array" aca="1" ref="DF36" ca="1">INDEX(_xlfn.ANCHORARRAY($CP$15), 1 + INT((ROWS($DG$15:$DG36) - 1) / ROWS(_xlfn.ANCHORARRAY($CP$15))))</f>
        <v>4</v>
      </c>
      <c r="DG36" cm="1">
        <f t="array" aca="1" ref="DG36" ca="1">INDEX(_xlfn.ANCHORARRAY($CP$15),1+MOD(ROWS($DG$15:$DG36)-1,ROWS(_xlfn.ANCHORARRAY($CP$15))))</f>
        <v>1</v>
      </c>
      <c r="DH36" s="10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 $B$18/($B$19*$B$19*($DF36&lt;&gt;$DG36) + $B$19*($DF36=$DG36))</f>
        <v>1.1999999999999999E-3</v>
      </c>
      <c r="DI36" s="10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 $B$18/($B$19*$B$19*($DF36&lt;&gt;$DG36) + $B$19*($DF36=$DG36))</f>
        <v>1.1999999999999999E-3</v>
      </c>
      <c r="DJ36" s="10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 $B$18/($B$19*$B$19*($DF36&lt;&gt;$DG36) + $B$19*($DF36=$DG36))</f>
        <v>1.1999999999999999E-3</v>
      </c>
      <c r="DK36" s="10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 $B$18/($B$19*$B$19*($DF36&lt;&gt;$DG36) + $B$19*($DF36=$DG36))</f>
        <v>1.1999999999999999E-3</v>
      </c>
      <c r="DL36" s="10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 $B$18/($B$19*$B$19*($DF36&lt;&gt;$DG36) + $B$19*($DF36=$DG36))</f>
        <v>1.1999999999999999E-3</v>
      </c>
      <c r="DM36" s="10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 $B$18/($B$19*$B$19*($DF36&lt;&gt;$DG36) + $B$19*($DF36=$DG36))</f>
        <v>1.1999999999999999E-3</v>
      </c>
      <c r="DN36" s="10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 $B$18/($B$19*$B$19*($DF36&lt;&gt;$DG36) + $B$19*($DF36=$DG36))</f>
        <v>1.1999999999999999E-3</v>
      </c>
      <c r="DO36" s="10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 $B$18/($B$19*$B$19*($DF36&lt;&gt;$DG36) + $B$19*($DF36=$DG36))</f>
        <v>7.616136012364759E-2</v>
      </c>
      <c r="DP36" s="10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 $B$18/($B$19*$B$19*($DF36&lt;&gt;$DG36) + $B$19*($DF36=$DG36))</f>
        <v>1.1999999999999999E-3</v>
      </c>
      <c r="DQ36" s="10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 $B$18/($B$19*$B$19*($DF36&lt;&gt;$DG36) + $B$19*($DF36=$DG36))</f>
        <v>0.24107635239567232</v>
      </c>
      <c r="DR36" s="10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 $B$18/($B$19*$B$19*($DF36&lt;&gt;$DG36) + $B$19*($DF36=$DG36))</f>
        <v>9.1153632148377114E-2</v>
      </c>
      <c r="DS36" s="10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 $B$18/($B$19*$B$19*($DF36&lt;&gt;$DG36) + $B$19*($DF36=$DG36))</f>
        <v>0.1166404945904173</v>
      </c>
      <c r="DT36" s="10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 $B$18/($B$19*$B$19*($DF36&lt;&gt;$DG36) + $B$19*($DF36=$DG36))</f>
        <v>1.1999999999999999E-3</v>
      </c>
      <c r="DU36" s="10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 $B$18/($B$19*$B$19*($DF36&lt;&gt;$DG36) + $B$19*($DF36=$DG36))</f>
        <v>9.1153632148377114E-2</v>
      </c>
      <c r="DV36" s="10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 $B$18/($B$19*$B$19*($DF36&lt;&gt;$DG36) + $B$19*($DF36=$DG36))</f>
        <v>1.1999999999999999E-3</v>
      </c>
      <c r="DW36" s="10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 $B$18/($B$19*$B$19*($DF36&lt;&gt;$DG36) + $B$19*($DF36=$DG36))</f>
        <v>9.1153632148377114E-2</v>
      </c>
    </row>
    <row r="37" spans="4:127" x14ac:dyDescent="0.2">
      <c r="J37" cm="1">
        <f t="array" aca="1" ref="J37" ca="1">SUMPRODUCT((O37:AJ37=$O$11:$AJ$11)*(O$13:AJ$13=TRUE))  / COUNTIF(O$13:AJ$13,TRUE)</f>
        <v>0.4</v>
      </c>
      <c r="K37" t="b">
        <f t="shared" ca="1" si="9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3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cm="1">
        <f t="array" aca="1" ref="DF37" ca="1">INDEX(_xlfn.ANCHORARRAY($CP$15), 1 + INT((ROWS($DG$15:$DG37) - 1) / ROWS(_xlfn.ANCHORARRAY($CP$15))))</f>
        <v>4</v>
      </c>
      <c r="DG37" cm="1">
        <f t="array" aca="1" ref="DG37" ca="1">INDEX(_xlfn.ANCHORARRAY($CP$15),1+MOD(ROWS($DG$15:$DG37)-1,ROWS(_xlfn.ANCHORARRAY($CP$15))))</f>
        <v>2</v>
      </c>
      <c r="DH37" s="10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 $B$18/($B$19*$B$19*($DF37&lt;&gt;$DG37) + $B$19*($DF37=$DG37))</f>
        <v>1.1999999999999999E-3</v>
      </c>
      <c r="DI37" s="10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 $B$18/($B$19*$B$19*($DF37&lt;&gt;$DG37) + $B$19*($DF37=$DG37))</f>
        <v>1.1999999999999999E-3</v>
      </c>
      <c r="DJ37" s="10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 $B$18/($B$19*$B$19*($DF37&lt;&gt;$DG37) + $B$19*($DF37=$DG37))</f>
        <v>1.1999999999999999E-3</v>
      </c>
      <c r="DK37" s="10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 $B$18/($B$19*$B$19*($DF37&lt;&gt;$DG37) + $B$19*($DF37=$DG37))</f>
        <v>1.1999999999999999E-3</v>
      </c>
      <c r="DL37" s="10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 $B$18/($B$19*$B$19*($DF37&lt;&gt;$DG37) + $B$19*($DF37=$DG37))</f>
        <v>1.1999999999999999E-3</v>
      </c>
      <c r="DM37" s="10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 $B$18/($B$19*$B$19*($DF37&lt;&gt;$DG37) + $B$19*($DF37=$DG37))</f>
        <v>7.616136012364759E-2</v>
      </c>
      <c r="DN37" s="10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 $B$18/($B$19*$B$19*($DF37&lt;&gt;$DG37) + $B$19*($DF37=$DG37))</f>
        <v>1.1999999999999999E-3</v>
      </c>
      <c r="DO37" s="10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 $B$18/($B$19*$B$19*($DF37&lt;&gt;$DG37) + $B$19*($DF37=$DG37))</f>
        <v>1.1999999999999999E-3</v>
      </c>
      <c r="DP37" s="10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 $B$18/($B$19*$B$19*($DF37&lt;&gt;$DG37) + $B$19*($DF37=$DG37))</f>
        <v>7.616136012364759E-2</v>
      </c>
      <c r="DQ37" s="10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 $B$18/($B$19*$B$19*($DF37&lt;&gt;$DG37) + $B$19*($DF37=$DG37))</f>
        <v>0.1166404945904173</v>
      </c>
      <c r="DR37" s="10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 $B$18/($B$19*$B$19*($DF37&lt;&gt;$DG37) + $B$19*($DF37=$DG37))</f>
        <v>9.1153632148377114E-2</v>
      </c>
      <c r="DS37" s="10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 $B$18/($B$19*$B$19*($DF37&lt;&gt;$DG37) + $B$19*($DF37=$DG37))</f>
        <v>0.1661149922720247</v>
      </c>
      <c r="DT37" s="10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 $B$18/($B$19*$B$19*($DF37&lt;&gt;$DG37) + $B$19*($DF37=$DG37))</f>
        <v>9.1153632148377114E-2</v>
      </c>
      <c r="DU37" s="10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 $B$18/($B$19*$B$19*($DF37&lt;&gt;$DG37) + $B$19*($DF37=$DG37))</f>
        <v>9.1153632148377114E-2</v>
      </c>
      <c r="DV37" s="10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 $B$18/($B$19*$B$19*($DF37&lt;&gt;$DG37) + $B$19*($DF37=$DG37))</f>
        <v>1.1999999999999999E-3</v>
      </c>
      <c r="DW37" s="10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 $B$18/($B$19*$B$19*($DF37&lt;&gt;$DG37) + $B$19*($DF37=$DG37))</f>
        <v>1.1999999999999999E-3</v>
      </c>
    </row>
    <row r="38" spans="4:127" x14ac:dyDescent="0.2">
      <c r="AK38" s="8"/>
      <c r="AL38" s="8"/>
      <c r="AM38" s="3"/>
      <c r="DF38" cm="1">
        <f t="array" aca="1" ref="DF38" ca="1">INDEX(_xlfn.ANCHORARRAY($CP$15), 1 + INT((ROWS($DG$15:$DG38) - 1) / ROWS(_xlfn.ANCHORARRAY($CP$15))))</f>
        <v>4</v>
      </c>
      <c r="DG38" cm="1">
        <f t="array" aca="1" ref="DG38" ca="1">INDEX(_xlfn.ANCHORARRAY($CP$15),1+MOD(ROWS($DG$15:$DG38)-1,ROWS(_xlfn.ANCHORARRAY($CP$15))))</f>
        <v>3</v>
      </c>
      <c r="DH38" s="10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 $B$18/($B$19*$B$19*($DF38&lt;&gt;$DG38) + $B$19*($DF38=$DG38))</f>
        <v>1.1999999999999999E-3</v>
      </c>
      <c r="DI38" s="10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 $B$18/($B$19*$B$19*($DF38&lt;&gt;$DG38) + $B$19*($DF38=$DG38))</f>
        <v>1.1999999999999999E-3</v>
      </c>
      <c r="DJ38" s="10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 $B$18/($B$19*$B$19*($DF38&lt;&gt;$DG38) + $B$19*($DF38=$DG38))</f>
        <v>1.1999999999999999E-3</v>
      </c>
      <c r="DK38" s="10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 $B$18/($B$19*$B$19*($DF38&lt;&gt;$DG38) + $B$19*($DF38=$DG38))</f>
        <v>1.1999999999999999E-3</v>
      </c>
      <c r="DL38" s="10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 $B$18/($B$19*$B$19*($DF38&lt;&gt;$DG38) + $B$19*($DF38=$DG38))</f>
        <v>4.6176816074188554E-2</v>
      </c>
      <c r="DM38" s="10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 $B$18/($B$19*$B$19*($DF38&lt;&gt;$DG38) + $B$19*($DF38=$DG38))</f>
        <v>1.1999999999999999E-3</v>
      </c>
      <c r="DN38" s="10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 $B$18/($B$19*$B$19*($DF38&lt;&gt;$DG38) + $B$19*($DF38=$DG38))</f>
        <v>1.1999999999999999E-3</v>
      </c>
      <c r="DO38" s="10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 $B$18/($B$19*$B$19*($DF38&lt;&gt;$DG38) + $B$19*($DF38=$DG38))</f>
        <v>3.1184544049459036E-2</v>
      </c>
      <c r="DP38" s="10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 $B$18/($B$19*$B$19*($DF38&lt;&gt;$DG38) + $B$19*($DF38=$DG38))</f>
        <v>1.1999999999999999E-3</v>
      </c>
      <c r="DQ38" s="10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 $B$18/($B$19*$B$19*($DF38&lt;&gt;$DG38) + $B$19*($DF38=$DG38))</f>
        <v>1.1999999999999999E-3</v>
      </c>
      <c r="DR38" s="10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 $B$18/($B$19*$B$19*($DF38&lt;&gt;$DG38) + $B$19*($DF38=$DG38))</f>
        <v>0.41648593508500753</v>
      </c>
      <c r="DS38" s="10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 $B$18/($B$19*$B$19*($DF38&lt;&gt;$DG38) + $B$19*($DF38=$DG38))</f>
        <v>3.1184544049459036E-2</v>
      </c>
      <c r="DT38" s="10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 $B$18/($B$19*$B$19*($DF38&lt;&gt;$DG38) + $B$19*($DF38=$DG38))</f>
        <v>9.1153632148377114E-2</v>
      </c>
      <c r="DU38" s="10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 $B$18/($B$19*$B$19*($DF38&lt;&gt;$DG38) + $B$19*($DF38=$DG38))</f>
        <v>1.1999999999999999E-3</v>
      </c>
      <c r="DV38" s="10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 $B$18/($B$19*$B$19*($DF38&lt;&gt;$DG38) + $B$19*($DF38=$DG38))</f>
        <v>9.1153632148377114E-2</v>
      </c>
      <c r="DW38" s="10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 $B$18/($B$19*$B$19*($DF38&lt;&gt;$DG38) + $B$19*($DF38=$DG38))</f>
        <v>1.1999999999999999E-3</v>
      </c>
    </row>
    <row r="39" spans="4:127" x14ac:dyDescent="0.2">
      <c r="AK39" s="8"/>
      <c r="AL39" s="8"/>
      <c r="DF39" cm="1">
        <f t="array" aca="1" ref="DF39" ca="1">INDEX(_xlfn.ANCHORARRAY($CP$15), 1 + INT((ROWS($DG$15:$DG39) - 1) / ROWS(_xlfn.ANCHORARRAY($CP$15))))</f>
        <v>4</v>
      </c>
      <c r="DG39" cm="1">
        <f t="array" aca="1" ref="DG39" ca="1">INDEX(_xlfn.ANCHORARRAY($CP$15),1+MOD(ROWS($DG$15:$DG39)-1,ROWS(_xlfn.ANCHORARRAY($CP$15))))</f>
        <v>4</v>
      </c>
      <c r="DH39" s="10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 $B$18/($B$19*$B$19*($DF39&lt;&gt;$DG39) + $B$19*($DF39=$DG39))</f>
        <v>6.0000000000000001E-3</v>
      </c>
      <c r="DI39" s="10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 $B$18/($B$19*$B$19*($DF39&lt;&gt;$DG39) + $B$19*($DF39=$DG39))</f>
        <v>6.0000000000000001E-3</v>
      </c>
      <c r="DJ39" s="10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 $B$18/($B$19*$B$19*($DF39&lt;&gt;$DG39) + $B$19*($DF39=$DG39))</f>
        <v>6.0000000000000001E-3</v>
      </c>
      <c r="DK39" s="10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 $B$18/($B$19*$B$19*($DF39&lt;&gt;$DG39) + $B$19*($DF39=$DG39))</f>
        <v>6.0000000000000001E-3</v>
      </c>
      <c r="DL39" s="10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 $B$18/($B$19*$B$19*($DF39&lt;&gt;$DG39) + $B$19*($DF39=$DG39))</f>
        <v>6.0000000000000001E-3</v>
      </c>
      <c r="DM39" s="10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 $B$18/($B$19*$B$19*($DF39&lt;&gt;$DG39) + $B$19*($DF39=$DG39))</f>
        <v>8.0961360123647588E-2</v>
      </c>
      <c r="DN39" s="10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 $B$18/($B$19*$B$19*($DF39&lt;&gt;$DG39) + $B$19*($DF39=$DG39))</f>
        <v>6.0000000000000001E-3</v>
      </c>
      <c r="DO39" s="10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 $B$18/($B$19*$B$19*($DF39&lt;&gt;$DG39) + $B$19*($DF39=$DG39))</f>
        <v>6.0000000000000001E-3</v>
      </c>
      <c r="DP39" s="10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 $B$18/($B$19*$B$19*($DF39&lt;&gt;$DG39) + $B$19*($DF39=$DG39))</f>
        <v>6.0000000000000001E-3</v>
      </c>
      <c r="DQ39" s="10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 $B$18/($B$19*$B$19*($DF39&lt;&gt;$DG39) + $B$19*($DF39=$DG39))</f>
        <v>6.0000000000000001E-3</v>
      </c>
      <c r="DR39" s="10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 $B$18/($B$19*$B$19*($DF39&lt;&gt;$DG39) + $B$19*($DF39=$DG39))</f>
        <v>0.54122411128284365</v>
      </c>
      <c r="DS39" s="10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 $B$18/($B$19*$B$19*($DF39&lt;&gt;$DG39) + $B$19*($DF39=$DG39))</f>
        <v>6.0000000000000001E-3</v>
      </c>
      <c r="DT39" s="10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 $B$18/($B$19*$B$19*($DF39&lt;&gt;$DG39) + $B$19*($DF39=$DG39))</f>
        <v>6.0000000000000001E-3</v>
      </c>
      <c r="DU39" s="10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 $B$18/($B$19*$B$19*($DF39&lt;&gt;$DG39) + $B$19*($DF39=$DG39))</f>
        <v>6.0000000000000001E-3</v>
      </c>
      <c r="DV39" s="10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 $B$18/($B$19*$B$19*($DF39&lt;&gt;$DG39) + $B$19*($DF39=$DG39))</f>
        <v>6.0000000000000001E-3</v>
      </c>
      <c r="DW39" s="10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 $B$18/($B$19*$B$19*($DF39&lt;&gt;$DG39) + $B$19*($DF39=$DG39))</f>
        <v>0.18590726429675422</v>
      </c>
    </row>
    <row r="40" spans="4:127" x14ac:dyDescent="0.2">
      <c r="AK40" s="7"/>
      <c r="AL40" s="2"/>
    </row>
    <row r="41" spans="4:127" x14ac:dyDescent="0.2">
      <c r="AK41" s="2"/>
      <c r="AL41" s="2"/>
    </row>
    <row r="42" spans="4:127" x14ac:dyDescent="0.2">
      <c r="AK42" s="2"/>
      <c r="AL42" s="2"/>
    </row>
    <row r="43" spans="4:127" x14ac:dyDescent="0.2">
      <c r="AK43" s="2"/>
      <c r="AL43" s="2"/>
    </row>
    <row r="44" spans="4:127" x14ac:dyDescent="0.2">
      <c r="AK44" s="2"/>
      <c r="AL44" s="2"/>
    </row>
    <row r="45" spans="4:127" x14ac:dyDescent="0.2">
      <c r="AK45" s="2"/>
      <c r="AL45" s="2"/>
    </row>
    <row r="46" spans="4:127" x14ac:dyDescent="0.2">
      <c r="AK46" s="2"/>
      <c r="AL46" s="2"/>
    </row>
    <row r="47" spans="4:127" x14ac:dyDescent="0.2">
      <c r="AK47" s="2"/>
      <c r="AL47" s="2"/>
    </row>
    <row r="48" spans="4:127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20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19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18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17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16" priority="9" stopIfTrue="1">
      <formula>AND($M15, O$13)</formula>
    </cfRule>
    <cfRule type="expression" dxfId="15" priority="10" stopIfTrue="1">
      <formula>NOT(AND($M15, O$13))</formula>
    </cfRule>
  </conditionalFormatting>
  <conditionalFormatting sqref="P11:S11">
    <cfRule type="expression" dxfId="14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843B-1280-E64E-B39F-DE74B4B8CAD1}">
  <dimension ref="A1:FT141"/>
  <sheetViews>
    <sheetView topLeftCell="EA1" zoomScale="64" zoomScaleNormal="25" workbookViewId="0">
      <selection activeCell="EF15" sqref="EF15"/>
    </sheetView>
  </sheetViews>
  <sheetFormatPr baseColWidth="10" defaultRowHeight="16" x14ac:dyDescent="0.2"/>
  <cols>
    <col min="1" max="1" width="22.83203125" customWidth="1"/>
  </cols>
  <sheetData>
    <row r="1" spans="1:176" x14ac:dyDescent="0.2">
      <c r="A1" s="5" t="s">
        <v>21</v>
      </c>
      <c r="B1" s="5">
        <v>0.4</v>
      </c>
      <c r="E1" s="2" t="s">
        <v>28</v>
      </c>
      <c r="F1" s="2" t="s">
        <v>65</v>
      </c>
      <c r="L1" t="s">
        <v>56</v>
      </c>
      <c r="M1" t="s">
        <v>0</v>
      </c>
      <c r="N1" t="s">
        <v>1</v>
      </c>
      <c r="O1" t="s">
        <v>2</v>
      </c>
      <c r="P1" t="s">
        <v>3</v>
      </c>
    </row>
    <row r="2" spans="1:176" x14ac:dyDescent="0.2">
      <c r="A2" s="5" t="s">
        <v>22</v>
      </c>
      <c r="B2" s="5">
        <v>0.45</v>
      </c>
      <c r="L2" t="s">
        <v>57</v>
      </c>
      <c r="M2">
        <v>4</v>
      </c>
    </row>
    <row r="3" spans="1:176" x14ac:dyDescent="0.2">
      <c r="A3" s="5" t="s">
        <v>24</v>
      </c>
      <c r="B3" s="5">
        <v>0</v>
      </c>
    </row>
    <row r="4" spans="1:176" x14ac:dyDescent="0.2">
      <c r="A4" s="5" t="s">
        <v>23</v>
      </c>
      <c r="B4" s="5">
        <v>0.8</v>
      </c>
    </row>
    <row r="5" spans="1:176" x14ac:dyDescent="0.2">
      <c r="A5" s="5" t="s">
        <v>25</v>
      </c>
      <c r="B5" s="5">
        <v>0.2</v>
      </c>
    </row>
    <row r="7" spans="1:176" x14ac:dyDescent="0.2">
      <c r="AL7" s="4"/>
    </row>
    <row r="8" spans="1:176" x14ac:dyDescent="0.2">
      <c r="A8" s="5" t="s">
        <v>31</v>
      </c>
      <c r="B8" s="5">
        <v>23</v>
      </c>
      <c r="AK8" s="4"/>
      <c r="AL8" s="7"/>
    </row>
    <row r="9" spans="1:176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AK9" s="4"/>
      <c r="CR9" t="str" cm="1">
        <f t="array" aca="1" ref="CR9:CU9" ca="1">OFFSET($M$1,0,0,1,$M$2)</f>
        <v>A</v>
      </c>
      <c r="CS9" t="str">
        <f ca="1"/>
        <v>B</v>
      </c>
      <c r="CT9" t="str">
        <f ca="1"/>
        <v>C</v>
      </c>
      <c r="CU9" t="str">
        <f ca="1"/>
        <v>D</v>
      </c>
      <c r="CZ9" s="13"/>
      <c r="DA9" s="9"/>
      <c r="DB9" s="9"/>
      <c r="DC9" s="9"/>
    </row>
    <row r="10" spans="1:176" x14ac:dyDescent="0.2">
      <c r="N10" s="8" t="s">
        <v>15</v>
      </c>
      <c r="O10" s="17" cm="1">
        <f t="array" aca="1" ref="O10" ca="1">1-SUMPRODUCT(OFFSET($AO$15,0,0,$B$14,1),1*(_xlfn._xlws.FILTER(OFFSET(O$15,0,0,$B$8,1),OFFSET($M$15,0,0,$B$8,1))&lt;&gt;"-"))/SUM(OFFSET($AO$15,0,0,$B$14,1))</f>
        <v>0</v>
      </c>
      <c r="P10" s="17" cm="1">
        <f t="array" aca="1" ref="P10" ca="1">1-SUMPRODUCT(OFFSET($AO$15,0,0,$B$14,1),1*(_xlfn._xlws.FILTER(OFFSET(P$15,0,0,$B$8,1),OFFSET($M$15,0,0,$B$8,1))&lt;&gt;"-"))/SUM(OFFSET($AO$15,0,0,$B$14,1))</f>
        <v>0</v>
      </c>
      <c r="Q10" s="17" cm="1">
        <f t="array" aca="1" ref="Q10" ca="1">1-SUMPRODUCT(OFFSET($AO$15,0,0,$B$14,1),1*(_xlfn._xlws.FILTER(OFFSET(Q$15,0,0,$B$8,1),OFFSET($M$15,0,0,$B$8,1))&lt;&gt;"-"))/SUM(OFFSET($AO$15,0,0,$B$14,1))</f>
        <v>4.5454545454545414E-2</v>
      </c>
      <c r="R10" s="17" cm="1">
        <f t="array" aca="1" ref="R10" ca="1">1-SUMPRODUCT(OFFSET($AO$15,0,0,$B$14,1),1*(_xlfn._xlws.FILTER(OFFSET(R$15,0,0,$B$8,1),OFFSET($M$15,0,0,$B$8,1))&lt;&gt;"-"))/SUM(OFFSET($AO$15,0,0,$B$14,1))</f>
        <v>0</v>
      </c>
      <c r="S10" s="17" cm="1">
        <f t="array" aca="1" ref="S10" ca="1">1-SUMPRODUCT(OFFSET($AO$15,0,0,$B$14,1),1*(_xlfn._xlws.FILTER(OFFSET(S$15,0,0,$B$8,1),OFFSET($M$15,0,0,$B$8,1))&lt;&gt;"-"))/SUM(OFFSET($AO$15,0,0,$B$14,1))</f>
        <v>0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76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B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0.01</v>
      </c>
      <c r="CR11" s="1" cm="1">
        <f t="array" aca="1" ref="CR11:CU11" ca="1">(1-$CQ$11)*OFFSET($CR$10,0,0,1,$M$2)</f>
        <v>0.2475</v>
      </c>
      <c r="CS11">
        <f ca="1"/>
        <v>0.2475</v>
      </c>
      <c r="CT11">
        <f ca="1"/>
        <v>0.2475</v>
      </c>
      <c r="CU11">
        <f ca="1"/>
        <v>0.2475</v>
      </c>
      <c r="DH11" s="13" t="s">
        <v>48</v>
      </c>
      <c r="EF11" s="13" t="s">
        <v>48</v>
      </c>
      <c r="FB11" s="13" t="s">
        <v>48</v>
      </c>
    </row>
    <row r="12" spans="1:176" x14ac:dyDescent="0.2">
      <c r="N12" s="8" t="s">
        <v>20</v>
      </c>
      <c r="O12" s="12">
        <f t="shared" ref="O12:S12" ca="1" si="1">COUNTIF(OFFSET(O15,0,0,$B$8,1), "-") / COUNTA(OFFSET(O15,0,0,$B$8,1))</f>
        <v>8.6956521739130432E-2</v>
      </c>
      <c r="P12" s="9">
        <f t="shared" ca="1" si="1"/>
        <v>8.6956521739130432E-2</v>
      </c>
      <c r="Q12" s="9">
        <f t="shared" ca="1" si="1"/>
        <v>0.17391304347826086</v>
      </c>
      <c r="R12" s="9">
        <f t="shared" ca="1" si="1"/>
        <v>4.3478260869565216E-2</v>
      </c>
      <c r="S12" s="9">
        <f t="shared" ca="1" si="1"/>
        <v>8.6956521739130432E-2</v>
      </c>
      <c r="AK12" s="7"/>
      <c r="CQ12" s="2"/>
      <c r="DF12" s="4" t="s">
        <v>50</v>
      </c>
      <c r="DG12" s="4"/>
      <c r="ED12" s="4" t="s">
        <v>62</v>
      </c>
      <c r="EE12" s="4"/>
      <c r="EZ12" s="4" t="s">
        <v>63</v>
      </c>
      <c r="FA12" s="4"/>
    </row>
    <row r="13" spans="1:176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B</v>
      </c>
      <c r="DM13" t="str" cm="1">
        <f t="array" aca="1" ref="DM13" ca="1">INDEX(_xlfn.ANCHORARRAY($CR$14), 1 + INT((COLUMNS($DH$13:DM$13) - 1) / COLUMNS(_xlfn.ANCHORARRAY($CR$14))))</f>
        <v>B</v>
      </c>
      <c r="DN13" t="str" cm="1">
        <f t="array" aca="1" ref="DN13" ca="1">INDEX(_xlfn.ANCHORARRAY($CR$14), 1 + INT((COLUMNS($DH$13:DN$13) - 1) / COLUMNS(_xlfn.ANCHORARRAY($CR$14))))</f>
        <v>B</v>
      </c>
      <c r="DO13" t="str" cm="1">
        <f t="array" aca="1" ref="DO13" ca="1">INDEX(_xlfn.ANCHORARRAY($CR$14), 1 + INT((COLUMNS($DH$13:DO$13) - 1) / COLUMNS(_xlfn.ANCHORARRAY($CR$14))))</f>
        <v>B</v>
      </c>
      <c r="DP13" t="str" cm="1">
        <f t="array" aca="1" ref="DP13" ca="1">INDEX(_xlfn.ANCHORARRAY($CR$14), 1 + INT((COLUMNS($DH$13:DP$13) - 1) / COLUMNS(_xlfn.ANCHORARRAY($CR$14))))</f>
        <v>C</v>
      </c>
      <c r="DQ13" t="str" cm="1">
        <f t="array" aca="1" ref="DQ13" ca="1">INDEX(_xlfn.ANCHORARRAY($CR$14), 1 + INT((COLUMNS($DH$13:DQ$13) - 1) / COLUMNS(_xlfn.ANCHORARRAY($CR$14))))</f>
        <v>C</v>
      </c>
      <c r="DR13" t="str" cm="1">
        <f t="array" aca="1" ref="DR13" ca="1">INDEX(_xlfn.ANCHORARRAY($CR$14), 1 + INT((COLUMNS($DH$13:DR$13) - 1) / COLUMNS(_xlfn.ANCHORARRAY($CR$14))))</f>
        <v>C</v>
      </c>
      <c r="DS13" t="str" cm="1">
        <f t="array" aca="1" ref="DS13" ca="1">INDEX(_xlfn.ANCHORARRAY($CR$14), 1 + INT((COLUMNS($DH$13:DS$13) - 1) / COLUMNS(_xlfn.ANCHORARRAY($CR$14))))</f>
        <v>C</v>
      </c>
      <c r="DT13" t="str" cm="1">
        <f t="array" aca="1" ref="DT13" ca="1">INDEX(_xlfn.ANCHORARRAY($CR$14), 1 + INT((COLUMNS($DH$13:DT$13) - 1) / COLUMNS(_xlfn.ANCHORARRAY($CR$14))))</f>
        <v>D</v>
      </c>
      <c r="DU13" t="str" cm="1">
        <f t="array" aca="1" ref="DU13" ca="1">INDEX(_xlfn.ANCHORARRAY($CR$14), 1 + INT((COLUMNS($DH$13:DU$13) - 1) / COLUMNS(_xlfn.ANCHORARRAY($CR$14))))</f>
        <v>D</v>
      </c>
      <c r="DV13" t="str" cm="1">
        <f t="array" aca="1" ref="DV13" ca="1">INDEX(_xlfn.ANCHORARRAY($CR$14), 1 + INT((COLUMNS($DH$13:DV$13) - 1) / COLUMNS(_xlfn.ANCHORARRAY($CR$14))))</f>
        <v>D</v>
      </c>
      <c r="DW13" t="str" cm="1">
        <f t="array" aca="1" ref="DW13" ca="1">INDEX(_xlfn.ANCHORARRAY($CR$14), 1 + INT((COLUMNS($DH$13:DW$13) - 1) / COLUMNS(_xlfn.ANCHORARRAY($CR$14))))</f>
        <v>D</v>
      </c>
      <c r="ED13" s="8"/>
      <c r="EE13" s="4" t="s">
        <v>54</v>
      </c>
      <c r="EF13" t="str" cm="1">
        <f t="array" aca="1" ref="EF13" ca="1">INDEX(_xlfn.ANCHORARRAY($CR$14), 1 + INT((COLUMNS($EF$13:EF$13) - 1) / COLUMNS(_xlfn.ANCHORARRAY($CR$14))))</f>
        <v>A</v>
      </c>
      <c r="EG13" t="str" cm="1">
        <f t="array" aca="1" ref="EG13" ca="1">INDEX(_xlfn.ANCHORARRAY($CR$14), 1 + INT((COLUMNS($EF$13:EG$13) - 1) / COLUMNS(_xlfn.ANCHORARRAY($CR$14))))</f>
        <v>A</v>
      </c>
      <c r="EH13" t="str" cm="1">
        <f t="array" aca="1" ref="EH13" ca="1">INDEX(_xlfn.ANCHORARRAY($CR$14), 1 + INT((COLUMNS($EF$13:EH$13) - 1) / COLUMNS(_xlfn.ANCHORARRAY($CR$14))))</f>
        <v>A</v>
      </c>
      <c r="EI13" t="str" cm="1">
        <f t="array" aca="1" ref="EI13" ca="1">INDEX(_xlfn.ANCHORARRAY($CR$14), 1 + INT((COLUMNS($EF$13:EI$13) - 1) / COLUMNS(_xlfn.ANCHORARRAY($CR$14))))</f>
        <v>A</v>
      </c>
      <c r="EJ13" t="str" cm="1">
        <f t="array" aca="1" ref="EJ13" ca="1">INDEX(_xlfn.ANCHORARRAY($CR$14), 1 + INT((COLUMNS($EF$13:EJ$13) - 1) / COLUMNS(_xlfn.ANCHORARRAY($CR$14))))</f>
        <v>B</v>
      </c>
      <c r="EK13" t="str" cm="1">
        <f t="array" aca="1" ref="EK13" ca="1">INDEX(_xlfn.ANCHORARRAY($CR$14), 1 + INT((COLUMNS($EF$13:EK$13) - 1) / COLUMNS(_xlfn.ANCHORARRAY($CR$14))))</f>
        <v>B</v>
      </c>
      <c r="EL13" t="str" cm="1">
        <f t="array" aca="1" ref="EL13" ca="1">INDEX(_xlfn.ANCHORARRAY($CR$14), 1 + INT((COLUMNS($EF$13:EL$13) - 1) / COLUMNS(_xlfn.ANCHORARRAY($CR$14))))</f>
        <v>B</v>
      </c>
      <c r="EM13" t="str" cm="1">
        <f t="array" aca="1" ref="EM13" ca="1">INDEX(_xlfn.ANCHORARRAY($CR$14), 1 + INT((COLUMNS($EF$13:EM$13) - 1) / COLUMNS(_xlfn.ANCHORARRAY($CR$14))))</f>
        <v>B</v>
      </c>
      <c r="EN13" t="str" cm="1">
        <f t="array" aca="1" ref="EN13" ca="1">INDEX(_xlfn.ANCHORARRAY($CR$14), 1 + INT((COLUMNS($EF$13:EN$13) - 1) / COLUMNS(_xlfn.ANCHORARRAY($CR$14))))</f>
        <v>C</v>
      </c>
      <c r="EO13" t="str" cm="1">
        <f t="array" aca="1" ref="EO13" ca="1">INDEX(_xlfn.ANCHORARRAY($CR$14), 1 + INT((COLUMNS($EF$13:EO$13) - 1) / COLUMNS(_xlfn.ANCHORARRAY($CR$14))))</f>
        <v>C</v>
      </c>
      <c r="EP13" t="str" cm="1">
        <f t="array" aca="1" ref="EP13" ca="1">INDEX(_xlfn.ANCHORARRAY($CR$14), 1 + INT((COLUMNS($EF$13:EP$13) - 1) / COLUMNS(_xlfn.ANCHORARRAY($CR$14))))</f>
        <v>C</v>
      </c>
      <c r="EQ13" t="str" cm="1">
        <f t="array" aca="1" ref="EQ13" ca="1">INDEX(_xlfn.ANCHORARRAY($CR$14), 1 + INT((COLUMNS($EF$13:EQ$13) - 1) / COLUMNS(_xlfn.ANCHORARRAY($CR$14))))</f>
        <v>C</v>
      </c>
      <c r="ER13" t="str" cm="1">
        <f t="array" aca="1" ref="ER13" ca="1">INDEX(_xlfn.ANCHORARRAY($CR$14), 1 + INT((COLUMNS($EF$13:ER$13) - 1) / COLUMNS(_xlfn.ANCHORARRAY($CR$14))))</f>
        <v>D</v>
      </c>
      <c r="ES13" t="str" cm="1">
        <f t="array" aca="1" ref="ES13" ca="1">INDEX(_xlfn.ANCHORARRAY($CR$14), 1 + INT((COLUMNS($EF$13:ES$13) - 1) / COLUMNS(_xlfn.ANCHORARRAY($CR$14))))</f>
        <v>D</v>
      </c>
      <c r="ET13" t="str" cm="1">
        <f t="array" aca="1" ref="ET13" ca="1">INDEX(_xlfn.ANCHORARRAY($CR$14), 1 + INT((COLUMNS($EF$13:ET$13) - 1) / COLUMNS(_xlfn.ANCHORARRAY($CR$14))))</f>
        <v>D</v>
      </c>
      <c r="EU13" t="str" cm="1">
        <f t="array" aca="1" ref="EU13" ca="1">INDEX(_xlfn.ANCHORARRAY($CR$14), 1 + INT((COLUMNS($EF$13:EU$13) - 1) / COLUMNS(_xlfn.ANCHORARRAY($CR$14))))</f>
        <v>D</v>
      </c>
      <c r="EZ13" s="8"/>
      <c r="FA13" s="4" t="s">
        <v>54</v>
      </c>
      <c r="FB13" t="str" cm="1">
        <f t="array" aca="1" ref="FB13" ca="1">INDEX(_xlfn.ANCHORARRAY($CR$14), 1 + INT((COLUMNS($FB$13:FB$13) - 1) / COLUMNS(_xlfn.ANCHORARRAY($CR$14))))</f>
        <v>A</v>
      </c>
      <c r="FC13" t="str" cm="1">
        <f t="array" aca="1" ref="FC13" ca="1">INDEX(_xlfn.ANCHORARRAY($CR$14), 1 + INT((COLUMNS($FB$13:FC$13) - 1) / COLUMNS(_xlfn.ANCHORARRAY($CR$14))))</f>
        <v>A</v>
      </c>
      <c r="FD13" t="str" cm="1">
        <f t="array" aca="1" ref="FD13" ca="1">INDEX(_xlfn.ANCHORARRAY($CR$14), 1 + INT((COLUMNS($FB$13:FD$13) - 1) / COLUMNS(_xlfn.ANCHORARRAY($CR$14))))</f>
        <v>A</v>
      </c>
      <c r="FE13" t="str" cm="1">
        <f t="array" aca="1" ref="FE13" ca="1">INDEX(_xlfn.ANCHORARRAY($CR$14), 1 + INT((COLUMNS($FB$13:FE$13) - 1) / COLUMNS(_xlfn.ANCHORARRAY($CR$14))))</f>
        <v>A</v>
      </c>
      <c r="FF13" t="str" cm="1">
        <f t="array" aca="1" ref="FF13" ca="1">INDEX(_xlfn.ANCHORARRAY($CR$14), 1 + INT((COLUMNS($FB$13:FF$13) - 1) / COLUMNS(_xlfn.ANCHORARRAY($CR$14))))</f>
        <v>B</v>
      </c>
      <c r="FG13" t="str" cm="1">
        <f t="array" aca="1" ref="FG13" ca="1">INDEX(_xlfn.ANCHORARRAY($CR$14), 1 + INT((COLUMNS($FB$13:FG$13) - 1) / COLUMNS(_xlfn.ANCHORARRAY($CR$14))))</f>
        <v>B</v>
      </c>
      <c r="FH13" t="str" cm="1">
        <f t="array" aca="1" ref="FH13" ca="1">INDEX(_xlfn.ANCHORARRAY($CR$14), 1 + INT((COLUMNS($FB$13:FH$13) - 1) / COLUMNS(_xlfn.ANCHORARRAY($CR$14))))</f>
        <v>B</v>
      </c>
      <c r="FI13" t="str" cm="1">
        <f t="array" aca="1" ref="FI13" ca="1">INDEX(_xlfn.ANCHORARRAY($CR$14), 1 + INT((COLUMNS($FB$13:FI$13) - 1) / COLUMNS(_xlfn.ANCHORARRAY($CR$14))))</f>
        <v>B</v>
      </c>
      <c r="FJ13" t="str" cm="1">
        <f t="array" aca="1" ref="FJ13" ca="1">INDEX(_xlfn.ANCHORARRAY($CR$14), 1 + INT((COLUMNS($FB$13:FJ$13) - 1) / COLUMNS(_xlfn.ANCHORARRAY($CR$14))))</f>
        <v>C</v>
      </c>
      <c r="FK13" t="str" cm="1">
        <f t="array" aca="1" ref="FK13" ca="1">INDEX(_xlfn.ANCHORARRAY($CR$14), 1 + INT((COLUMNS($FB$13:FK$13) - 1) / COLUMNS(_xlfn.ANCHORARRAY($CR$14))))</f>
        <v>C</v>
      </c>
      <c r="FL13" t="str" cm="1">
        <f t="array" aca="1" ref="FL13" ca="1">INDEX(_xlfn.ANCHORARRAY($CR$14), 1 + INT((COLUMNS($FB$13:FL$13) - 1) / COLUMNS(_xlfn.ANCHORARRAY($CR$14))))</f>
        <v>C</v>
      </c>
      <c r="FM13" t="str" cm="1">
        <f t="array" aca="1" ref="FM13" ca="1">INDEX(_xlfn.ANCHORARRAY($CR$14), 1 + INT((COLUMNS($FB$13:FM$13) - 1) / COLUMNS(_xlfn.ANCHORARRAY($CR$14))))</f>
        <v>C</v>
      </c>
      <c r="FN13" t="str" cm="1">
        <f t="array" aca="1" ref="FN13" ca="1">INDEX(_xlfn.ANCHORARRAY($CR$14), 1 + INT((COLUMNS($FB$13:FN$13) - 1) / COLUMNS(_xlfn.ANCHORARRAY($CR$14))))</f>
        <v>D</v>
      </c>
      <c r="FO13" t="str" cm="1">
        <f t="array" aca="1" ref="FO13" ca="1">INDEX(_xlfn.ANCHORARRAY($CR$14), 1 + INT((COLUMNS($FB$13:FO$13) - 1) / COLUMNS(_xlfn.ANCHORARRAY($CR$14))))</f>
        <v>D</v>
      </c>
      <c r="FP13" t="str" cm="1">
        <f t="array" aca="1" ref="FP13" ca="1">INDEX(_xlfn.ANCHORARRAY($CR$14), 1 + INT((COLUMNS($FB$13:FP$13) - 1) / COLUMNS(_xlfn.ANCHORARRAY($CR$14))))</f>
        <v>D</v>
      </c>
      <c r="FQ13" t="str" cm="1">
        <f t="array" aca="1" ref="FQ13" ca="1">INDEX(_xlfn.ANCHORARRAY($CR$14), 1 + INT((COLUMNS($FB$13:FQ$13) - 1) / COLUMNS(_xlfn.ANCHORARRAY($CR$14))))</f>
        <v>D</v>
      </c>
    </row>
    <row r="14" spans="1:176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4</v>
      </c>
      <c r="AU14" s="2">
        <f ca="1"/>
        <v>5</v>
      </c>
      <c r="AV14" s="2">
        <f ca="1"/>
        <v>6</v>
      </c>
      <c r="AW14" s="2">
        <f ca="1"/>
        <v>7</v>
      </c>
      <c r="AX14" s="2">
        <f ca="1"/>
        <v>8</v>
      </c>
      <c r="AY14" s="2">
        <f ca="1"/>
        <v>9</v>
      </c>
      <c r="AZ14" s="2">
        <f ca="1"/>
        <v>10</v>
      </c>
      <c r="BA14" s="2">
        <f ca="1"/>
        <v>11</v>
      </c>
      <c r="BB14" s="2">
        <f ca="1"/>
        <v>12</v>
      </c>
      <c r="BC14" s="2">
        <f ca="1"/>
        <v>13</v>
      </c>
      <c r="BD14" s="2">
        <f ca="1"/>
        <v>14</v>
      </c>
      <c r="BE14" s="2">
        <f ca="1"/>
        <v>15</v>
      </c>
      <c r="BF14" s="2">
        <f ca="1"/>
        <v>16</v>
      </c>
      <c r="BG14" s="2">
        <f ca="1"/>
        <v>17</v>
      </c>
      <c r="BH14" s="2">
        <f ca="1"/>
        <v>18</v>
      </c>
      <c r="BI14" s="2">
        <f ca="1"/>
        <v>19</v>
      </c>
      <c r="BJ14" s="2">
        <f ca="1"/>
        <v>20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4</v>
      </c>
      <c r="BU14" s="2">
        <f ca="1"/>
        <v>5</v>
      </c>
      <c r="BV14" s="2">
        <f ca="1"/>
        <v>6</v>
      </c>
      <c r="BW14" s="2">
        <f ca="1"/>
        <v>7</v>
      </c>
      <c r="BX14" s="2">
        <f ca="1"/>
        <v>8</v>
      </c>
      <c r="BY14" s="2">
        <f ca="1"/>
        <v>9</v>
      </c>
      <c r="BZ14" s="2">
        <f ca="1"/>
        <v>10</v>
      </c>
      <c r="CA14" s="2">
        <f ca="1"/>
        <v>11</v>
      </c>
      <c r="CB14" s="2">
        <f ca="1"/>
        <v>12</v>
      </c>
      <c r="CC14" s="2">
        <f ca="1"/>
        <v>13</v>
      </c>
      <c r="CD14" s="2">
        <f ca="1"/>
        <v>14</v>
      </c>
      <c r="CE14" s="2">
        <f ca="1"/>
        <v>15</v>
      </c>
      <c r="CF14" s="2">
        <f ca="1"/>
        <v>16</v>
      </c>
      <c r="CG14" s="2">
        <f ca="1"/>
        <v>17</v>
      </c>
      <c r="CH14" s="2">
        <f ca="1"/>
        <v>18</v>
      </c>
      <c r="CI14" s="2">
        <f ca="1"/>
        <v>19</v>
      </c>
      <c r="CJ14" s="2">
        <f ca="1"/>
        <v>20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B</v>
      </c>
      <c r="CT14" s="9" t="str">
        <f ca="1"/>
        <v>C</v>
      </c>
      <c r="CU14" s="9" t="str">
        <f ca="1"/>
        <v>D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B</v>
      </c>
      <c r="DB14" s="9" t="str">
        <f ca="1"/>
        <v>C</v>
      </c>
      <c r="DC14" s="9" t="str">
        <f ca="1"/>
        <v>D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B</v>
      </c>
      <c r="DJ14" s="15" t="str" cm="1">
        <f t="array" aca="1" ref="DJ14" ca="1">INDEX(_xlfn.ANCHORARRAY($CR$14), 1 + MOD(COLUMNS($DH$14:DJ$14) - 1, COLUMNS(_xlfn.ANCHORARRAY($CR$14))))</f>
        <v>C</v>
      </c>
      <c r="DK14" s="15" t="str" cm="1">
        <f t="array" aca="1" ref="DK14" ca="1">INDEX(_xlfn.ANCHORARRAY($CR$14), 1 + MOD(COLUMNS($DH$14:DK$14) - 1, COLUMNS(_xlfn.ANCHORARRAY($CR$14))))</f>
        <v>D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B</v>
      </c>
      <c r="DN14" s="15" t="str" cm="1">
        <f t="array" aca="1" ref="DN14" ca="1">INDEX(_xlfn.ANCHORARRAY($CR$14), 1 + MOD(COLUMNS($DH$14:DN$14) - 1, COLUMNS(_xlfn.ANCHORARRAY($CR$14))))</f>
        <v>C</v>
      </c>
      <c r="DO14" s="15" t="str" cm="1">
        <f t="array" aca="1" ref="DO14" ca="1">INDEX(_xlfn.ANCHORARRAY($CR$14), 1 + MOD(COLUMNS($DH$14:DO$14) - 1, COLUMNS(_xlfn.ANCHORARRAY($CR$14))))</f>
        <v>D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B</v>
      </c>
      <c r="DR14" s="15" t="str" cm="1">
        <f t="array" aca="1" ref="DR14" ca="1">INDEX(_xlfn.ANCHORARRAY($CR$14), 1 + MOD(COLUMNS($DH$14:DR$14) - 1, COLUMNS(_xlfn.ANCHORARRAY($CR$14))))</f>
        <v>C</v>
      </c>
      <c r="DS14" s="15" t="str" cm="1">
        <f t="array" aca="1" ref="DS14" ca="1">INDEX(_xlfn.ANCHORARRAY($CR$14), 1 + MOD(COLUMNS($DH$14:DS$14) - 1, COLUMNS(_xlfn.ANCHORARRAY($CR$14))))</f>
        <v>D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B</v>
      </c>
      <c r="DV14" s="15" t="str" cm="1">
        <f t="array" aca="1" ref="DV14" ca="1">INDEX(_xlfn.ANCHORARRAY($CR$14), 1 + MOD(COLUMNS($DH$14:DV$14) - 1, COLUMNS(_xlfn.ANCHORARRAY($CR$14))))</f>
        <v>C</v>
      </c>
      <c r="DW14" s="15" t="str" cm="1">
        <f t="array" aca="1" ref="DW14" ca="1">INDEX(_xlfn.ANCHORARRAY($CR$14), 1 + MOD(COLUMNS($DH$14:DW$14) - 1, COLUMNS(_xlfn.ANCHORARRAY($CR$14))))</f>
        <v>D</v>
      </c>
      <c r="EC14" s="4" t="s">
        <v>46</v>
      </c>
      <c r="ED14" s="4" t="s">
        <v>53</v>
      </c>
      <c r="EE14" s="4" t="s">
        <v>55</v>
      </c>
      <c r="EF14" s="15" t="str" cm="1">
        <f t="array" aca="1" ref="EF14" ca="1">INDEX(_xlfn.ANCHORARRAY($CR$14), 1 + MOD(COLUMNS($EF$14:EF$14) - 1, COLUMNS(_xlfn.ANCHORARRAY($CR$14))))</f>
        <v>A</v>
      </c>
      <c r="EG14" s="15" t="str" cm="1">
        <f t="array" aca="1" ref="EG14" ca="1">INDEX(_xlfn.ANCHORARRAY($CR$14), 1 + MOD(COLUMNS($EF$14:EG$14) - 1, COLUMNS(_xlfn.ANCHORARRAY($CR$14))))</f>
        <v>B</v>
      </c>
      <c r="EH14" s="15" t="str" cm="1">
        <f t="array" aca="1" ref="EH14" ca="1">INDEX(_xlfn.ANCHORARRAY($CR$14), 1 + MOD(COLUMNS($EF$14:EH$14) - 1, COLUMNS(_xlfn.ANCHORARRAY($CR$14))))</f>
        <v>C</v>
      </c>
      <c r="EI14" s="15" t="str" cm="1">
        <f t="array" aca="1" ref="EI14" ca="1">INDEX(_xlfn.ANCHORARRAY($CR$14), 1 + MOD(COLUMNS($EF$14:EI$14) - 1, COLUMNS(_xlfn.ANCHORARRAY($CR$14))))</f>
        <v>D</v>
      </c>
      <c r="EJ14" s="15" t="str" cm="1">
        <f t="array" aca="1" ref="EJ14" ca="1">INDEX(_xlfn.ANCHORARRAY($CR$14), 1 + MOD(COLUMNS($EF$14:EJ$14) - 1, COLUMNS(_xlfn.ANCHORARRAY($CR$14))))</f>
        <v>A</v>
      </c>
      <c r="EK14" s="15" t="str" cm="1">
        <f t="array" aca="1" ref="EK14" ca="1">INDEX(_xlfn.ANCHORARRAY($CR$14), 1 + MOD(COLUMNS($EF$14:EK$14) - 1, COLUMNS(_xlfn.ANCHORARRAY($CR$14))))</f>
        <v>B</v>
      </c>
      <c r="EL14" s="15" t="str" cm="1">
        <f t="array" aca="1" ref="EL14" ca="1">INDEX(_xlfn.ANCHORARRAY($CR$14), 1 + MOD(COLUMNS($EF$14:EL$14) - 1, COLUMNS(_xlfn.ANCHORARRAY($CR$14))))</f>
        <v>C</v>
      </c>
      <c r="EM14" s="15" t="str" cm="1">
        <f t="array" aca="1" ref="EM14" ca="1">INDEX(_xlfn.ANCHORARRAY($CR$14), 1 + MOD(COLUMNS($EF$14:EM$14) - 1, COLUMNS(_xlfn.ANCHORARRAY($CR$14))))</f>
        <v>D</v>
      </c>
      <c r="EN14" s="15" t="str" cm="1">
        <f t="array" aca="1" ref="EN14" ca="1">INDEX(_xlfn.ANCHORARRAY($CR$14), 1 + MOD(COLUMNS($EF$14:EN$14) - 1, COLUMNS(_xlfn.ANCHORARRAY($CR$14))))</f>
        <v>A</v>
      </c>
      <c r="EO14" s="15" t="str" cm="1">
        <f t="array" aca="1" ref="EO14" ca="1">INDEX(_xlfn.ANCHORARRAY($CR$14), 1 + MOD(COLUMNS($EF$14:EO$14) - 1, COLUMNS(_xlfn.ANCHORARRAY($CR$14))))</f>
        <v>B</v>
      </c>
      <c r="EP14" s="15" t="str" cm="1">
        <f t="array" aca="1" ref="EP14" ca="1">INDEX(_xlfn.ANCHORARRAY($CR$14), 1 + MOD(COLUMNS($EF$14:EP$14) - 1, COLUMNS(_xlfn.ANCHORARRAY($CR$14))))</f>
        <v>C</v>
      </c>
      <c r="EQ14" s="15" t="str" cm="1">
        <f t="array" aca="1" ref="EQ14" ca="1">INDEX(_xlfn.ANCHORARRAY($CR$14), 1 + MOD(COLUMNS($EF$14:EQ$14) - 1, COLUMNS(_xlfn.ANCHORARRAY($CR$14))))</f>
        <v>D</v>
      </c>
      <c r="ER14" s="15" t="str" cm="1">
        <f t="array" aca="1" ref="ER14" ca="1">INDEX(_xlfn.ANCHORARRAY($CR$14), 1 + MOD(COLUMNS($EF$14:ER$14) - 1, COLUMNS(_xlfn.ANCHORARRAY($CR$14))))</f>
        <v>A</v>
      </c>
      <c r="ES14" s="15" t="str" cm="1">
        <f t="array" aca="1" ref="ES14" ca="1">INDEX(_xlfn.ANCHORARRAY($CR$14), 1 + MOD(COLUMNS($EF$14:ES$14) - 1, COLUMNS(_xlfn.ANCHORARRAY($CR$14))))</f>
        <v>B</v>
      </c>
      <c r="ET14" s="15" t="str" cm="1">
        <f t="array" aca="1" ref="ET14" ca="1">INDEX(_xlfn.ANCHORARRAY($CR$14), 1 + MOD(COLUMNS($EF$14:ET$14) - 1, COLUMNS(_xlfn.ANCHORARRAY($CR$14))))</f>
        <v>C</v>
      </c>
      <c r="EU14" s="15" t="str" cm="1">
        <f t="array" aca="1" ref="EU14" ca="1">INDEX(_xlfn.ANCHORARRAY($CR$14), 1 + MOD(COLUMNS($EF$14:EU$14) - 1, COLUMNS(_xlfn.ANCHORARRAY($CR$14))))</f>
        <v>D</v>
      </c>
      <c r="EY14" s="4" t="s">
        <v>46</v>
      </c>
      <c r="EZ14" s="4" t="s">
        <v>53</v>
      </c>
      <c r="FA14" s="4" t="s">
        <v>55</v>
      </c>
      <c r="FB14" s="15" t="str" cm="1">
        <f t="array" aca="1" ref="FB14" ca="1">INDEX(_xlfn.ANCHORARRAY($CR$14), 1 + MOD(COLUMNS($FB$14:FB$14) - 1, COLUMNS(_xlfn.ANCHORARRAY($CR$14))))</f>
        <v>A</v>
      </c>
      <c r="FC14" s="15" t="str" cm="1">
        <f t="array" aca="1" ref="FC14" ca="1">INDEX(_xlfn.ANCHORARRAY($CR$14), 1 + MOD(COLUMNS($FB$14:FC$14) - 1, COLUMNS(_xlfn.ANCHORARRAY($CR$14))))</f>
        <v>B</v>
      </c>
      <c r="FD14" s="15" t="str" cm="1">
        <f t="array" aca="1" ref="FD14" ca="1">INDEX(_xlfn.ANCHORARRAY($CR$14), 1 + MOD(COLUMNS($FB$14:FD$14) - 1, COLUMNS(_xlfn.ANCHORARRAY($CR$14))))</f>
        <v>C</v>
      </c>
      <c r="FE14" s="15" t="str" cm="1">
        <f t="array" aca="1" ref="FE14" ca="1">INDEX(_xlfn.ANCHORARRAY($CR$14), 1 + MOD(COLUMNS($FB$14:FE$14) - 1, COLUMNS(_xlfn.ANCHORARRAY($CR$14))))</f>
        <v>D</v>
      </c>
      <c r="FF14" s="15" t="str" cm="1">
        <f t="array" aca="1" ref="FF14" ca="1">INDEX(_xlfn.ANCHORARRAY($CR$14), 1 + MOD(COLUMNS($FB$14:FF$14) - 1, COLUMNS(_xlfn.ANCHORARRAY($CR$14))))</f>
        <v>A</v>
      </c>
      <c r="FG14" s="15" t="str" cm="1">
        <f t="array" aca="1" ref="FG14" ca="1">INDEX(_xlfn.ANCHORARRAY($CR$14), 1 + MOD(COLUMNS($FB$14:FG$14) - 1, COLUMNS(_xlfn.ANCHORARRAY($CR$14))))</f>
        <v>B</v>
      </c>
      <c r="FH14" s="15" t="str" cm="1">
        <f t="array" aca="1" ref="FH14" ca="1">INDEX(_xlfn.ANCHORARRAY($CR$14), 1 + MOD(COLUMNS($FB$14:FH$14) - 1, COLUMNS(_xlfn.ANCHORARRAY($CR$14))))</f>
        <v>C</v>
      </c>
      <c r="FI14" s="15" t="str" cm="1">
        <f t="array" aca="1" ref="FI14" ca="1">INDEX(_xlfn.ANCHORARRAY($CR$14), 1 + MOD(COLUMNS($FB$14:FI$14) - 1, COLUMNS(_xlfn.ANCHORARRAY($CR$14))))</f>
        <v>D</v>
      </c>
      <c r="FJ14" s="15" t="str" cm="1">
        <f t="array" aca="1" ref="FJ14" ca="1">INDEX(_xlfn.ANCHORARRAY($CR$14), 1 + MOD(COLUMNS($FB$14:FJ$14) - 1, COLUMNS(_xlfn.ANCHORARRAY($CR$14))))</f>
        <v>A</v>
      </c>
      <c r="FK14" s="15" t="str" cm="1">
        <f t="array" aca="1" ref="FK14" ca="1">INDEX(_xlfn.ANCHORARRAY($CR$14), 1 + MOD(COLUMNS($FB$14:FK$14) - 1, COLUMNS(_xlfn.ANCHORARRAY($CR$14))))</f>
        <v>B</v>
      </c>
      <c r="FL14" s="15" t="str" cm="1">
        <f t="array" aca="1" ref="FL14" ca="1">INDEX(_xlfn.ANCHORARRAY($CR$14), 1 + MOD(COLUMNS($FB$14:FL$14) - 1, COLUMNS(_xlfn.ANCHORARRAY($CR$14))))</f>
        <v>C</v>
      </c>
      <c r="FM14" s="15" t="str" cm="1">
        <f t="array" aca="1" ref="FM14" ca="1">INDEX(_xlfn.ANCHORARRAY($CR$14), 1 + MOD(COLUMNS($FB$14:FM$14) - 1, COLUMNS(_xlfn.ANCHORARRAY($CR$14))))</f>
        <v>D</v>
      </c>
      <c r="FN14" s="15" t="str" cm="1">
        <f t="array" aca="1" ref="FN14" ca="1">INDEX(_xlfn.ANCHORARRAY($CR$14), 1 + MOD(COLUMNS($FB$14:FN$14) - 1, COLUMNS(_xlfn.ANCHORARRAY($CR$14))))</f>
        <v>A</v>
      </c>
      <c r="FO14" s="15" t="str" cm="1">
        <f t="array" aca="1" ref="FO14" ca="1">INDEX(_xlfn.ANCHORARRAY($CR$14), 1 + MOD(COLUMNS($FB$14:FO$14) - 1, COLUMNS(_xlfn.ANCHORARRAY($CR$14))))</f>
        <v>B</v>
      </c>
      <c r="FP14" s="15" t="str" cm="1">
        <f t="array" aca="1" ref="FP14" ca="1">INDEX(_xlfn.ANCHORARRAY($CR$14), 1 + MOD(COLUMNS($FB$14:FP$14) - 1, COLUMNS(_xlfn.ANCHORARRAY($CR$14))))</f>
        <v>C</v>
      </c>
      <c r="FQ14" s="15" t="str" cm="1">
        <f t="array" aca="1" ref="FQ14" ca="1">INDEX(_xlfn.ANCHORARRAY($CR$14), 1 + MOD(COLUMNS($FB$14:FQ$14) - 1, COLUMNS(_xlfn.ANCHORARRAY($CR$14))))</f>
        <v>D</v>
      </c>
      <c r="FT14" t="s">
        <v>64</v>
      </c>
    </row>
    <row r="15" spans="1:176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0.33333333333333331</v>
      </c>
      <c r="H15" s="10" cm="1">
        <f t="array" aca="1" ref="H15:H19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t="shared" ref="K15:K37" ca="1" si="3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4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1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5">COUNTIF(AQ15:BJ15,"&gt;="&amp;$B$4)</f>
        <v>3</v>
      </c>
      <c r="AO15" s="14">
        <f t="shared" ref="AO15:AO34" ca="1" si="6">1/AN15</f>
        <v>0.33333333333333331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
) / $B$13)</f>
        <v>0.6</v>
      </c>
      <c r="AS15" cm="1">
        <f t="array" aca="1" ref="AS15" ca="1">IF($AP15=AS$14, 1, SUMPRODUCT(
    --(OFFSET($O$13,0,0,1,$B$9)=TRUE),
    --(INDEX(OFFSET($O$15,0,0,$B$8,$B$9), 1+$AP15, 0) = INDEX(OFFSET($O$15,0,0,$B$8,$B$9), 1+AS$14, 0))
) / $B$13)</f>
        <v>0.4</v>
      </c>
      <c r="AT15" cm="1">
        <f t="array" aca="1" ref="AT15" ca="1">IF($AP15=AT$14, 1, SUMPRODUCT(
    --(OFFSET($O$13,0,0,1,$B$9)=TRUE),
    --(INDEX(OFFSET($O$15,0,0,$B$8,$B$9), 1+$AP15, 0) = INDEX(OFFSET($O$15,0,0,$B$8,$B$9), 1+AT$14, 0))
) / $B$13)</f>
        <v>0.4</v>
      </c>
      <c r="AU15" cm="1">
        <f t="array" aca="1" ref="AU15" ca="1">IF($AP15=AU$14, 1, SUMPRODUCT(
    --(OFFSET($O$13,0,0,1,$B$9)=TRUE),
    --(INDEX(OFFSET($O$15,0,0,$B$8,$B$9), 1+$AP15, 0) = INDEX(OFFSET($O$15,0,0,$B$8,$B$9), 1+AU$14, 0))
) / $B$13)</f>
        <v>0</v>
      </c>
      <c r="AV15" cm="1">
        <f t="array" aca="1" ref="AV15" ca="1">IF($AP15=AV$14, 1, SUMPRODUCT(
    --(OFFSET($O$13,0,0,1,$B$9)=TRUE),
    --(INDEX(OFFSET($O$15,0,0,$B$8,$B$9), 1+$AP15, 0) = INDEX(OFFSET($O$15,0,0,$B$8,$B$9), 1+AV$14, 0))
) / $B$13)</f>
        <v>0</v>
      </c>
      <c r="AW15" cm="1">
        <f t="array" aca="1" ref="AW15" ca="1">IF($AP15=AW$14, 1, SUMPRODUCT(
    --(OFFSET($O$13,0,0,1,$B$9)=TRUE),
    --(INDEX(OFFSET($O$15,0,0,$B$8,$B$9), 1+$AP15, 0) = INDEX(OFFSET($O$15,0,0,$B$8,$B$9), 1+AW$14, 0))
) / $B$13)</f>
        <v>0</v>
      </c>
      <c r="AX15" cm="1">
        <f t="array" aca="1" ref="AX15" ca="1">IF($AP15=AX$14, 1, SUMPRODUCT(
    --(OFFSET($O$13,0,0,1,$B$9)=TRUE),
    --(INDEX(OFFSET($O$15,0,0,$B$8,$B$9), 1+$AP15, 0) = INDEX(OFFSET($O$15,0,0,$B$8,$B$9), 1+AX$14, 0))
) / $B$13)</f>
        <v>0.8</v>
      </c>
      <c r="AY15" cm="1">
        <f t="array" aca="1" ref="AY15" ca="1">IF($AP15=AY$14, 1, SUMPRODUCT(
    --(OFFSET($O$13,0,0,1,$B$9)=TRUE),
    --(INDEX(OFFSET($O$15,0,0,$B$8,$B$9), 1+$AP15, 0) = INDEX(OFFSET($O$15,0,0,$B$8,$B$9), 1+AY$14, 0))
) / $B$13)</f>
        <v>0.4</v>
      </c>
      <c r="AZ15" cm="1">
        <f t="array" aca="1" ref="AZ15" ca="1">IF($AP15=AZ$14, 1, SUMPRODUCT(
    --(OFFSET($O$13,0,0,1,$B$9)=TRUE),
    --(INDEX(OFFSET($O$15,0,0,$B$8,$B$9), 1+$AP15, 0) = INDEX(OFFSET($O$15,0,0,$B$8,$B$9), 1+AZ$14, 0))
) / $B$13)</f>
        <v>0.4</v>
      </c>
      <c r="BA15" cm="1">
        <f t="array" aca="1" ref="BA15" ca="1">IF($AP15=BA$14, 1, SUMPRODUCT(
    --(OFFSET($O$13,0,0,1,$B$9)=TRUE),
    --(INDEX(OFFSET($O$15,0,0,$B$8,$B$9), 1+$AP15, 0) = INDEX(OFFSET($O$15,0,0,$B$8,$B$9), 1+BA$14, 0))
) / $B$13)</f>
        <v>0.4</v>
      </c>
      <c r="BB15" cm="1">
        <f t="array" aca="1" ref="BB15" ca="1">IF($AP15=BB$14, 1, SUMPRODUCT(
    --(OFFSET($O$13,0,0,1,$B$9)=TRUE),
    --(INDEX(OFFSET($O$15,0,0,$B$8,$B$9), 1+$AP15, 0) = INDEX(OFFSET($O$15,0,0,$B$8,$B$9), 1+BB$14, 0))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
) / $B$13)</f>
        <v>0</v>
      </c>
      <c r="BD15" cm="1">
        <f t="array" aca="1" ref="BD15" ca="1">IF($AP15=BD$14, 1, SUMPRODUCT(
    --(OFFSET($O$13,0,0,1,$B$9)=TRUE),
    --(INDEX(OFFSET($O$15,0,0,$B$8,$B$9), 1+$AP15, 0) = INDEX(OFFSET($O$15,0,0,$B$8,$B$9), 1+BD$14, 0))
) / $B$13)</f>
        <v>0</v>
      </c>
      <c r="BE15" cm="1">
        <f t="array" aca="1" ref="BE15" ca="1">IF($AP15=BE$14, 1, SUMPRODUCT(
    --(OFFSET($O$13,0,0,1,$B$9)=TRUE),
    --(INDEX(OFFSET($O$15,0,0,$B$8,$B$9), 1+$AP15, 0) = INDEX(OFFSET($O$15,0,0,$B$8,$B$9), 1+BE$14, 0))
) / $B$13)</f>
        <v>0</v>
      </c>
      <c r="BF15" cm="1">
        <f t="array" aca="1" ref="BF15" ca="1">IF($AP15=BF$14, 1, SUMPRODUCT(
    --(OFFSET($O$13,0,0,1,$B$9)=TRUE),
    --(INDEX(OFFSET($O$15,0,0,$B$8,$B$9), 1+$AP15, 0) = INDEX(OFFSET($O$15,0,0,$B$8,$B$9), 1+BF$14, 0))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
) / $B$13)</f>
        <v>0.4</v>
      </c>
      <c r="BH15" cm="1">
        <f t="array" aca="1" ref="BH15" ca="1">IF($AP15=BH$14, 1, SUMPRODUCT(
    --(OFFSET($O$13,0,0,1,$B$9)=TRUE),
    --(INDEX(OFFSET($O$15,0,0,$B$8,$B$9), 1+$AP15, 0) = INDEX(OFFSET($O$15,0,0,$B$8,$B$9), 1+BH$14, 0))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
) / $B$13)</f>
        <v>0.8</v>
      </c>
      <c r="BJ15" cm="1">
        <f t="array" aca="1" ref="BJ15" ca="1">IF($AP15=BJ$14, 1, SUMPRODUCT(
    --(OFFSET($O$13,0,0,1,$B$9)=TRUE),
    --(INDEX(OFFSET($O$15,0,0,$B$8,$B$9), 1+$AP15, 0) = INDEX(OFFSET($O$15,0,0,$B$8,$B$9), 1+BJ$14, 0))
) / $B$13)</f>
        <v>0.4</v>
      </c>
      <c r="BN15">
        <f t="shared" ref="BN15:BN34" ca="1" si="7">COUNTIF(BQ15:CJ15,"&gt;="&amp;$B$4)</f>
        <v>3</v>
      </c>
      <c r="BO15" s="14">
        <f t="shared" ref="BO15:BO34" ca="1" si="8">1/BN15</f>
        <v>0.33333333333333331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
) / $B$16)</f>
        <v>0.6</v>
      </c>
      <c r="BS15" cm="1">
        <f t="array" aca="1" ref="BS15" ca="1">IF($BP15=BS$14, 1, SUMPRODUCT(
    --(OFFSET($O$9,0,0,1,$B$9)=TRUE),
    --(INDEX(OFFSET($O$15,0,0,$B$8,$B$9), 1+$BP15, 0) = INDEX(OFFSET($O$15,0,0,$B$8,$B$9), 1+BS$14, 0))
) / $B$16)</f>
        <v>0.4</v>
      </c>
      <c r="BT15" cm="1">
        <f t="array" aca="1" ref="BT15" ca="1">IF($BP15=BT$14, 1, SUMPRODUCT(
    --(OFFSET($O$9,0,0,1,$B$9)=TRUE),
    --(INDEX(OFFSET($O$15,0,0,$B$8,$B$9), 1+$BP15, 0) = INDEX(OFFSET($O$15,0,0,$B$8,$B$9), 1+BT$14, 0))
) / $B$16)</f>
        <v>0.4</v>
      </c>
      <c r="BU15" cm="1">
        <f t="array" aca="1" ref="BU15" ca="1">IF($BP15=BU$14, 1, SUMPRODUCT(
    --(OFFSET($O$9,0,0,1,$B$9)=TRUE),
    --(INDEX(OFFSET($O$15,0,0,$B$8,$B$9), 1+$BP15, 0) = INDEX(OFFSET($O$15,0,0,$B$8,$B$9), 1+BU$14, 0))
) / $B$16)</f>
        <v>0</v>
      </c>
      <c r="BV15" cm="1">
        <f t="array" aca="1" ref="BV15" ca="1">IF($BP15=BV$14, 1, SUMPRODUCT(
    --(OFFSET($O$9,0,0,1,$B$9)=TRUE),
    --(INDEX(OFFSET($O$15,0,0,$B$8,$B$9), 1+$BP15, 0) = INDEX(OFFSET($O$15,0,0,$B$8,$B$9), 1+BV$14, 0))
) / $B$16)</f>
        <v>0</v>
      </c>
      <c r="BW15" cm="1">
        <f t="array" aca="1" ref="BW15" ca="1">IF($BP15=BW$14, 1, SUMPRODUCT(
    --(OFFSET($O$9,0,0,1,$B$9)=TRUE),
    --(INDEX(OFFSET($O$15,0,0,$B$8,$B$9), 1+$BP15, 0) = INDEX(OFFSET($O$15,0,0,$B$8,$B$9), 1+BW$14, 0))
) / $B$16)</f>
        <v>0</v>
      </c>
      <c r="BX15" cm="1">
        <f t="array" aca="1" ref="BX15" ca="1">IF($BP15=BX$14, 1, SUMPRODUCT(
    --(OFFSET($O$9,0,0,1,$B$9)=TRUE),
    --(INDEX(OFFSET($O$15,0,0,$B$8,$B$9), 1+$BP15, 0) = INDEX(OFFSET($O$15,0,0,$B$8,$B$9), 1+BX$14, 0))
) / $B$16)</f>
        <v>0.8</v>
      </c>
      <c r="BY15" cm="1">
        <f t="array" aca="1" ref="BY15" ca="1">IF($BP15=BY$14, 1, SUMPRODUCT(
    --(OFFSET($O$9,0,0,1,$B$9)=TRUE),
    --(INDEX(OFFSET($O$15,0,0,$B$8,$B$9), 1+$BP15, 0) = INDEX(OFFSET($O$15,0,0,$B$8,$B$9), 1+BY$14, 0))
) / $B$16)</f>
        <v>0.4</v>
      </c>
      <c r="BZ15" cm="1">
        <f t="array" aca="1" ref="BZ15" ca="1">IF($BP15=BZ$14, 1, SUMPRODUCT(
    --(OFFSET($O$9,0,0,1,$B$9)=TRUE),
    --(INDEX(OFFSET($O$15,0,0,$B$8,$B$9), 1+$BP15, 0) = INDEX(OFFSET($O$15,0,0,$B$8,$B$9), 1+BZ$14, 0))
) / $B$16)</f>
        <v>0.4</v>
      </c>
      <c r="CA15" cm="1">
        <f t="array" aca="1" ref="CA15" ca="1">IF($BP15=CA$14, 1, SUMPRODUCT(
    --(OFFSET($O$9,0,0,1,$B$9)=TRUE),
    --(INDEX(OFFSET($O$15,0,0,$B$8,$B$9), 1+$BP15, 0) = INDEX(OFFSET($O$15,0,0,$B$8,$B$9), 1+CA$14, 0))
) / $B$16)</f>
        <v>0.4</v>
      </c>
      <c r="CB15" cm="1">
        <f t="array" aca="1" ref="CB15" ca="1">IF($BP15=CB$14, 1, SUMPRODUCT(
    --(OFFSET($O$9,0,0,1,$B$9)=TRUE),
    --(INDEX(OFFSET($O$15,0,0,$B$8,$B$9), 1+$BP15, 0) = INDEX(OFFSET($O$15,0,0,$B$8,$B$9), 1+CB$14, 0))
) / $B$16)</f>
        <v>0.4</v>
      </c>
      <c r="CC15" cm="1">
        <f t="array" aca="1" ref="CC15" ca="1">IF($BP15=CC$14, 1, SUMPRODUCT(
    --(OFFSET($O$9,0,0,1,$B$9)=TRUE),
    --(INDEX(OFFSET($O$15,0,0,$B$8,$B$9), 1+$BP15, 0) = INDEX(OFFSET($O$15,0,0,$B$8,$B$9), 1+CC$14, 0))
) / $B$16)</f>
        <v>0</v>
      </c>
      <c r="CD15" cm="1">
        <f t="array" aca="1" ref="CD15" ca="1">IF($BP15=CD$14, 1, SUMPRODUCT(
    --(OFFSET($O$9,0,0,1,$B$9)=TRUE),
    --(INDEX(OFFSET($O$15,0,0,$B$8,$B$9), 1+$BP15, 0) = INDEX(OFFSET($O$15,0,0,$B$8,$B$9), 1+CD$14, 0))
) / $B$16)</f>
        <v>0</v>
      </c>
      <c r="CE15" cm="1">
        <f t="array" aca="1" ref="CE15" ca="1">IF($BP15=CE$14, 1, SUMPRODUCT(
    --(OFFSET($O$9,0,0,1,$B$9)=TRUE),
    --(INDEX(OFFSET($O$15,0,0,$B$8,$B$9), 1+$BP15, 0) = INDEX(OFFSET($O$15,0,0,$B$8,$B$9), 1+CE$14, 0))
) / $B$16)</f>
        <v>0</v>
      </c>
      <c r="CF15" cm="1">
        <f t="array" aca="1" ref="CF15" ca="1">IF($BP15=CF$14, 1, SUMPRODUCT(
    --(OFFSET($O$9,0,0,1,$B$9)=TRUE),
    --(INDEX(OFFSET($O$15,0,0,$B$8,$B$9), 1+$BP15, 0) = INDEX(OFFSET($O$15,0,0,$B$8,$B$9), 1+CF$14, 0))
) / $B$16)</f>
        <v>0.4</v>
      </c>
      <c r="CG15" cm="1">
        <f t="array" aca="1" ref="CG15" ca="1">IF($BP15=CG$14, 1, SUMPRODUCT(
    --(OFFSET($O$9,0,0,1,$B$9)=TRUE),
    --(INDEX(OFFSET($O$15,0,0,$B$8,$B$9), 1+$BP15, 0) = INDEX(OFFSET($O$15,0,0,$B$8,$B$9), 1+CG$14, 0))
) / $B$16)</f>
        <v>0.4</v>
      </c>
      <c r="CH15" cm="1">
        <f t="array" aca="1" ref="CH15" ca="1">IF($BP15=CH$14, 1, SUMPRODUCT(
    --(OFFSET($O$9,0,0,1,$B$9)=TRUE),
    --(INDEX(OFFSET($O$15,0,0,$B$8,$B$9), 1+$BP15, 0) = INDEX(OFFSET($O$15,0,0,$B$8,$B$9), 1+CH$14, 0))
) / $B$16)</f>
        <v>0.6</v>
      </c>
      <c r="CI15" cm="1">
        <f t="array" aca="1" ref="CI15" ca="1">IF($BP15=CI$14, 1, SUMPRODUCT(
    --(OFFSET($O$9,0,0,1,$B$9)=TRUE),
    --(INDEX(OFFSET($O$15,0,0,$B$8,$B$9), 1+$BP15, 0) = INDEX(OFFSET($O$15,0,0,$B$8,$B$9), 1+CI$14, 0))
) / $B$16)</f>
        <v>0.8</v>
      </c>
      <c r="CJ15" cm="1">
        <f t="array" aca="1" ref="CJ15" ca="1">IF($BP15=CJ$14, 1, SUMPRODUCT(
    --(OFFSET($O$9,0,0,1,$B$9)=TRUE),
    --(INDEX(OFFSET($O$15,0,0,$B$8,$B$9), 1+$BP15, 0) = INDEX(OFFSET($O$15,0,0,$B$8,$B$9), 1+CJ$14, 0))
) / $B$16)</f>
        <v>0.4</v>
      </c>
      <c r="CP15" cm="1">
        <f t="array" aca="1" ref="CP15:CP19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6.0000000000000001E-3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0.35872727272727273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0.18236363636363637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0.18236363636363637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0.27054545454545459</v>
      </c>
      <c r="CX15" s="18" cm="1">
        <f t="array" aca="1" ref="CX15" ca="1">SUM(OFFSET($CR15,0,0,1,$M$2)*IFERROR(LN(OFFSET($CR15,0,0,1,$M$2)/OFFSET($CR$11,0,0,1,$M$2)), 0))+IF($CQ$11&gt;0,OFFSET($O$10,0,$CP15,1,1)*IFERROR(LN(OFFSET($O$10,0,$CP15,1,1)/$CQ$11), 0),0)</f>
        <v>4.5838236623604103E-2</v>
      </c>
      <c r="CY15" cm="1">
        <f t="array" aca="1" ref="CY15:CY19" ca="1">TRANSPOSE(_xlfn._xlws.FILTER(OFFSET($O$14,0,0,1,$B$9),OFFSET($O$9,0,0,1,$B$9)))</f>
        <v>0</v>
      </c>
      <c r="CZ15" s="10">
        <f ca="1">CR15*LN(CR15/CR$10) + (1 - CR15)*LN((1-CR15)/(1-CR$10))</f>
        <v>2.9101866479828722E-2</v>
      </c>
      <c r="DA15" s="10">
        <f t="shared" ref="DA15:DC19" ca="1" si="9">CS15*LN(CS15/CS$10) + (1 - CS15)*LN((1-CS15)/(1-CS$10))</f>
        <v>1.3070284679910692E-2</v>
      </c>
      <c r="DB15" s="10">
        <f t="shared" ca="1" si="9"/>
        <v>1.3070284679910692E-2</v>
      </c>
      <c r="DC15" s="10">
        <f t="shared" ca="1" si="9"/>
        <v>1.1060263510864199E-3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$B$18/($B$19*$B$19*($DF15&lt;&gt;$DG15) + $B$19*($DF15=$DG15))</f>
        <v>0.35872727272727273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$B$18/($B$19*$B$19*($DF15&lt;&gt;$DG15) + $B$19*($DF15=$DG15))</f>
        <v>6.0000000000000001E-3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$B$18/($B$19*$B$19*($DF15&lt;&gt;$DG15) + $B$19*($DF15=$DG15))</f>
        <v>6.0000000000000001E-3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$B$18/($B$19*$B$19*($DF15&lt;&gt;$DG15) + $B$19*($DF15=$DG15))</f>
        <v>6.0000000000000001E-3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$B$18/($B$19*$B$19*($DF15&lt;&gt;$DG15) + $B$19*($DF15=$DG15))</f>
        <v>6.0000000000000001E-3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$B$18/($B$19*$B$19*($DF15&lt;&gt;$DG15) + $B$19*($DF15=$DG15))</f>
        <v>0.18236363636363637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$B$18/($B$19*$B$19*($DF15&lt;&gt;$DG15) + $B$19*($DF15=$DG15))</f>
        <v>6.0000000000000001E-3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$B$18/($B$19*$B$19*($DF15&lt;&gt;$DG15) + $B$19*($DF15=$DG15))</f>
        <v>6.0000000000000001E-3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$B$18/($B$19*$B$19*($DF15&lt;&gt;$DG15) + $B$19*($DF15=$DG15))</f>
        <v>6.0000000000000001E-3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$B$18/($B$19*$B$19*($DF15&lt;&gt;$DG15) + $B$19*($DF15=$DG15))</f>
        <v>6.0000000000000001E-3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$B$18/($B$19*$B$19*($DF15&lt;&gt;$DG15) + $B$19*($DF15=$DG15))</f>
        <v>0.18236363636363637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$B$18/($B$19*$B$19*($DF15&lt;&gt;$DG15) + $B$19*($DF15=$DG15))</f>
        <v>6.0000000000000001E-3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$B$18/($B$19*$B$19*($DF15&lt;&gt;$DG15) + $B$19*($DF15=$DG15))</f>
        <v>6.0000000000000001E-3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$B$18/($B$19*$B$19*($DF15&lt;&gt;$DG15) + $B$19*($DF15=$DG15))</f>
        <v>6.0000000000000001E-3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$B$18/($B$19*$B$19*($DF15&lt;&gt;$DG15) + $B$19*($DF15=$DG15))</f>
        <v>6.0000000000000001E-3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$B$18/($B$19*$B$19*($DF15&lt;&gt;$DG15) + $B$19*($DF15=$DG15))</f>
        <v>0.27054545454545459</v>
      </c>
      <c r="ED15" cm="1">
        <f t="array" aca="1" ref="ED15" ca="1">INDEX(_xlfn.ANCHORARRAY($CP$15), 1 + INT((ROWS($DG$15:$DG15) - 1) / ROWS(_xlfn.ANCHORARRAY($CP$15))))</f>
        <v>0</v>
      </c>
      <c r="EE15" cm="1">
        <f t="array" aca="1" ref="EE15" ca="1">INDEX(_xlfn.ANCHORARRAY($CP$15),1+MOD(ROWS($DG$15:$DG15)-1,ROWS(_xlfn.ANCHORARRAY($CP$15))))</f>
        <v>0</v>
      </c>
      <c r="EF15" s="10" cm="1">
        <f t="array" aca="1" ref="EF15" ca="1">DH15-_xlfn.XLOOKUP(EF$13,_xlfn.ANCHORARRAY( $CR$14), _xlfn.XLOOKUP($ED15,_xlfn.ANCHORARRAY( $CP$15), $CR$15:$CU$19)) * _xlfn.XLOOKUP(EF$14,_xlfn.ANCHORARRAY( $CR$14), _xlfn.XLOOKUP($EE15,_xlfn.ANCHORARRAY( $CP$15), $CR$15:$CU$19))</f>
        <v>0.23004201652892561</v>
      </c>
      <c r="EG15" s="10" cm="1">
        <f t="array" aca="1" ref="EG15" ca="1">DI15-_xlfn.XLOOKUP(EG$13,_xlfn.ANCHORARRAY( $CR$14), _xlfn.XLOOKUP($ED15,_xlfn.ANCHORARRAY( $CP$15), $CR$15:$CU$19)) * _xlfn.XLOOKUP(EG$14,_xlfn.ANCHORARRAY( $CR$14), _xlfn.XLOOKUP($EE15,_xlfn.ANCHORARRAY( $CP$15), $CR$15:$CU$19))</f>
        <v>-5.9418809917355368E-2</v>
      </c>
      <c r="EH15" s="10" cm="1">
        <f t="array" aca="1" ref="EH15" ca="1">DJ15-_xlfn.XLOOKUP(EH$13,_xlfn.ANCHORARRAY( $CR$14), _xlfn.XLOOKUP($ED15,_xlfn.ANCHORARRAY( $CP$15), $CR$15:$CU$19)) * _xlfn.XLOOKUP(EH$14,_xlfn.ANCHORARRAY( $CR$14), _xlfn.XLOOKUP($EE15,_xlfn.ANCHORARRAY( $CP$15), $CR$15:$CU$19))</f>
        <v>-5.9418809917355368E-2</v>
      </c>
      <c r="EI15" s="10" cm="1">
        <f t="array" aca="1" ref="EI15" ca="1">DK15-_xlfn.XLOOKUP(EI$13,_xlfn.ANCHORARRAY( $CR$14), _xlfn.XLOOKUP($ED15,_xlfn.ANCHORARRAY( $CP$15), $CR$15:$CU$19)) * _xlfn.XLOOKUP(EI$14,_xlfn.ANCHORARRAY( $CR$14), _xlfn.XLOOKUP($EE15,_xlfn.ANCHORARRAY( $CP$15), $CR$15:$CU$19))</f>
        <v>-9.1052033057851256E-2</v>
      </c>
      <c r="EJ15" s="10" cm="1">
        <f t="array" aca="1" ref="EJ15" ca="1">DL15-_xlfn.XLOOKUP(EJ$13,_xlfn.ANCHORARRAY( $CR$14), _xlfn.XLOOKUP($ED15,_xlfn.ANCHORARRAY( $CP$15), $CR$15:$CU$19)) * _xlfn.XLOOKUP(EJ$14,_xlfn.ANCHORARRAY( $CR$14), _xlfn.XLOOKUP($EE15,_xlfn.ANCHORARRAY( $CP$15), $CR$15:$CU$19))</f>
        <v>-5.9418809917355368E-2</v>
      </c>
      <c r="EK15" s="10" cm="1">
        <f t="array" aca="1" ref="EK15" ca="1">DM15-_xlfn.XLOOKUP(EK$13,_xlfn.ANCHORARRAY( $CR$14), _xlfn.XLOOKUP($ED15,_xlfn.ANCHORARRAY( $CP$15), $CR$15:$CU$19)) * _xlfn.XLOOKUP(EK$14,_xlfn.ANCHORARRAY( $CR$14), _xlfn.XLOOKUP($EE15,_xlfn.ANCHORARRAY( $CP$15), $CR$15:$CU$19))</f>
        <v>0.14910714049586776</v>
      </c>
      <c r="EL15" s="10" cm="1">
        <f t="array" aca="1" ref="EL15" ca="1">DN15-_xlfn.XLOOKUP(EL$13,_xlfn.ANCHORARRAY( $CR$14), _xlfn.XLOOKUP($ED15,_xlfn.ANCHORARRAY( $CP$15), $CR$15:$CU$19)) * _xlfn.XLOOKUP(EL$14,_xlfn.ANCHORARRAY( $CR$14), _xlfn.XLOOKUP($EE15,_xlfn.ANCHORARRAY( $CP$15), $CR$15:$CU$19))</f>
        <v>-2.7256495867768599E-2</v>
      </c>
      <c r="EM15" s="10" cm="1">
        <f t="array" aca="1" ref="EM15" ca="1">DO15-_xlfn.XLOOKUP(EM$13,_xlfn.ANCHORARRAY( $CR$14), _xlfn.XLOOKUP($ED15,_xlfn.ANCHORARRAY( $CP$15), $CR$15:$CU$19)) * _xlfn.XLOOKUP(EM$14,_xlfn.ANCHORARRAY( $CR$14), _xlfn.XLOOKUP($EE15,_xlfn.ANCHORARRAY( $CP$15), $CR$15:$CU$19))</f>
        <v>-4.3337652892561994E-2</v>
      </c>
      <c r="EN15" s="10" cm="1">
        <f t="array" aca="1" ref="EN15" ca="1">DP15-_xlfn.XLOOKUP(EN$13,_xlfn.ANCHORARRAY( $CR$14), _xlfn.XLOOKUP($ED15,_xlfn.ANCHORARRAY( $CP$15), $CR$15:$CU$19)) * _xlfn.XLOOKUP(EN$14,_xlfn.ANCHORARRAY( $CR$14), _xlfn.XLOOKUP($EE15,_xlfn.ANCHORARRAY( $CP$15), $CR$15:$CU$19))</f>
        <v>-5.9418809917355368E-2</v>
      </c>
      <c r="EO15" s="10" cm="1">
        <f t="array" aca="1" ref="EO15" ca="1">DQ15-_xlfn.XLOOKUP(EO$13,_xlfn.ANCHORARRAY( $CR$14), _xlfn.XLOOKUP($ED15,_xlfn.ANCHORARRAY( $CP$15), $CR$15:$CU$19)) * _xlfn.XLOOKUP(EO$14,_xlfn.ANCHORARRAY( $CR$14), _xlfn.XLOOKUP($EE15,_xlfn.ANCHORARRAY( $CP$15), $CR$15:$CU$19))</f>
        <v>-2.7256495867768599E-2</v>
      </c>
      <c r="EP15" s="10" cm="1">
        <f t="array" aca="1" ref="EP15" ca="1">DR15-_xlfn.XLOOKUP(EP$13,_xlfn.ANCHORARRAY( $CR$14), _xlfn.XLOOKUP($ED15,_xlfn.ANCHORARRAY( $CP$15), $CR$15:$CU$19)) * _xlfn.XLOOKUP(EP$14,_xlfn.ANCHORARRAY( $CR$14), _xlfn.XLOOKUP($EE15,_xlfn.ANCHORARRAY( $CP$15), $CR$15:$CU$19))</f>
        <v>0.14910714049586776</v>
      </c>
      <c r="EQ15" s="10" cm="1">
        <f t="array" aca="1" ref="EQ15" ca="1">DS15-_xlfn.XLOOKUP(EQ$13,_xlfn.ANCHORARRAY( $CR$14), _xlfn.XLOOKUP($ED15,_xlfn.ANCHORARRAY( $CP$15), $CR$15:$CU$19)) * _xlfn.XLOOKUP(EQ$14,_xlfn.ANCHORARRAY( $CR$14), _xlfn.XLOOKUP($EE15,_xlfn.ANCHORARRAY( $CP$15), $CR$15:$CU$19))</f>
        <v>-4.3337652892561994E-2</v>
      </c>
      <c r="ER15" s="10" cm="1">
        <f t="array" aca="1" ref="ER15" ca="1">DT15-_xlfn.XLOOKUP(ER$13,_xlfn.ANCHORARRAY( $CR$14), _xlfn.XLOOKUP($ED15,_xlfn.ANCHORARRAY( $CP$15), $CR$15:$CU$19)) * _xlfn.XLOOKUP(ER$14,_xlfn.ANCHORARRAY( $CR$14), _xlfn.XLOOKUP($EE15,_xlfn.ANCHORARRAY( $CP$15), $CR$15:$CU$19))</f>
        <v>-9.1052033057851256E-2</v>
      </c>
      <c r="ES15" s="10" cm="1">
        <f t="array" aca="1" ref="ES15" ca="1">DU15-_xlfn.XLOOKUP(ES$13,_xlfn.ANCHORARRAY( $CR$14), _xlfn.XLOOKUP($ED15,_xlfn.ANCHORARRAY( $CP$15), $CR$15:$CU$19)) * _xlfn.XLOOKUP(ES$14,_xlfn.ANCHORARRAY( $CR$14), _xlfn.XLOOKUP($EE15,_xlfn.ANCHORARRAY( $CP$15), $CR$15:$CU$19))</f>
        <v>-4.3337652892561994E-2</v>
      </c>
      <c r="ET15" s="10" cm="1">
        <f t="array" aca="1" ref="ET15" ca="1">DV15-_xlfn.XLOOKUP(ET$13,_xlfn.ANCHORARRAY( $CR$14), _xlfn.XLOOKUP($ED15,_xlfn.ANCHORARRAY( $CP$15), $CR$15:$CU$19)) * _xlfn.XLOOKUP(ET$14,_xlfn.ANCHORARRAY( $CR$14), _xlfn.XLOOKUP($EE15,_xlfn.ANCHORARRAY( $CP$15), $CR$15:$CU$19))</f>
        <v>-4.3337652892561994E-2</v>
      </c>
      <c r="EU15" s="10" cm="1">
        <f t="array" aca="1" ref="EU15" ca="1">DW15-_xlfn.XLOOKUP(EU$13,_xlfn.ANCHORARRAY( $CR$14), _xlfn.XLOOKUP($ED15,_xlfn.ANCHORARRAY( $CP$15), $CR$15:$CU$19)) * _xlfn.XLOOKUP(EU$14,_xlfn.ANCHORARRAY( $CR$14), _xlfn.XLOOKUP($EE15,_xlfn.ANCHORARRAY( $CP$15), $CR$15:$CU$19))</f>
        <v>0.19735061157024797</v>
      </c>
      <c r="EZ15" cm="1">
        <f t="array" aca="1" ref="EZ15" ca="1">INDEX(_xlfn.ANCHORARRAY($CP$15), 1 + INT((ROWS($DG$15:$DG15) - 1) / ROWS(_xlfn.ANCHORARRAY($CP$15))))</f>
        <v>0</v>
      </c>
      <c r="FA15" cm="1">
        <f t="array" aca="1" ref="FA15" ca="1">INDEX(_xlfn.ANCHORARRAY($CP$15),1+MOD(ROWS($DG$15:$DG15)-1,ROWS(_xlfn.ANCHORARRAY($CP$15))))</f>
        <v>0</v>
      </c>
      <c r="FB15" s="10" cm="1">
        <f t="array" aca="1" ref="FB15" ca="1">EF15 * _xlfn.XLOOKUP(FB$13,_xlfn.ANCHORARRAY( $CZ$29), _xlfn.XLOOKUP($EZ15,_xlfn.ANCHORARRAY( $CY$30), $CZ$30:$DC$34)) * _xlfn.XLOOKUP(FB$14,_xlfn.ANCHORARRAY( $CZ$29), _xlfn.XLOOKUP($FA15,_xlfn.ANCHORARRAY( $CY$30), $CZ$30:$DC$34))</f>
        <v>6.1659049204071815E-2</v>
      </c>
      <c r="FC15" s="10" cm="1">
        <f t="array" aca="1" ref="FC15" ca="1">EG15 * _xlfn.XLOOKUP(FC$13,_xlfn.ANCHORARRAY( $CZ$29), _xlfn.XLOOKUP($EZ15,_xlfn.ANCHORARRAY( $CY$30), $CZ$30:$DC$34)) * _xlfn.XLOOKUP(FC$14,_xlfn.ANCHORARRAY( $CZ$29), _xlfn.XLOOKUP($FA15,_xlfn.ANCHORARRAY( $CY$30), $CZ$30:$DC$34))</f>
        <v>1.2360374793533389E-2</v>
      </c>
      <c r="FD15" s="10" cm="1">
        <f t="array" aca="1" ref="FD15" ca="1">EH15 * _xlfn.XLOOKUP(FD$13,_xlfn.ANCHORARRAY( $CZ$29), _xlfn.XLOOKUP($EZ15,_xlfn.ANCHORARRAY( $CY$30), $CZ$30:$DC$34)) * _xlfn.XLOOKUP(FD$14,_xlfn.ANCHORARRAY( $CZ$29), _xlfn.XLOOKUP($FA15,_xlfn.ANCHORARRAY( $CY$30), $CZ$30:$DC$34))</f>
        <v>1.2360374793533389E-2</v>
      </c>
      <c r="FE15" s="10" cm="1">
        <f t="array" aca="1" ref="FE15" ca="1">EI15 * _xlfn.XLOOKUP(FE$13,_xlfn.ANCHORARRAY( $CZ$29), _xlfn.XLOOKUP($EZ15,_xlfn.ANCHORARRAY( $CY$30), $CZ$30:$DC$34)) * _xlfn.XLOOKUP(FE$14,_xlfn.ANCHORARRAY( $CZ$29), _xlfn.XLOOKUP($FA15,_xlfn.ANCHORARRAY( $CY$30), $CZ$30:$DC$34))</f>
        <v>-5.0323883140009594E-3</v>
      </c>
      <c r="FF15" s="10" cm="1">
        <f t="array" aca="1" ref="FF15" ca="1">EJ15 * _xlfn.XLOOKUP(FF$13,_xlfn.ANCHORARRAY( $CZ$29), _xlfn.XLOOKUP($EZ15,_xlfn.ANCHORARRAY( $CY$30), $CZ$30:$DC$34)) * _xlfn.XLOOKUP(FF$14,_xlfn.ANCHORARRAY( $CZ$29), _xlfn.XLOOKUP($FA15,_xlfn.ANCHORARRAY( $CY$30), $CZ$30:$DC$34))</f>
        <v>1.2360374793533389E-2</v>
      </c>
      <c r="FG15" s="10" cm="1">
        <f t="array" aca="1" ref="FG15" ca="1">EK15 * _xlfn.XLOOKUP(FG$13,_xlfn.ANCHORARRAY( $CZ$29), _xlfn.XLOOKUP($EZ15,_xlfn.ANCHORARRAY( $CY$30), $CZ$30:$DC$34)) * _xlfn.XLOOKUP(FG$14,_xlfn.ANCHORARRAY( $CZ$29), _xlfn.XLOOKUP($FA15,_xlfn.ANCHORARRAY( $CY$30), $CZ$30:$DC$34))</f>
        <v>2.407266460570762E-2</v>
      </c>
      <c r="FH15" s="10" cm="1">
        <f t="array" aca="1" ref="FH15" ca="1">EL15 * _xlfn.XLOOKUP(FH$13,_xlfn.ANCHORARRAY( $CZ$29), _xlfn.XLOOKUP($EZ15,_xlfn.ANCHORARRAY( $CY$30), $CZ$30:$DC$34)) * _xlfn.XLOOKUP(FH$14,_xlfn.ANCHORARRAY( $CZ$29), _xlfn.XLOOKUP($FA15,_xlfn.ANCHORARRAY( $CY$30), $CZ$30:$DC$34))</f>
        <v>-4.4004363652177525E-3</v>
      </c>
      <c r="FI15" s="10" cm="1">
        <f t="array" aca="1" ref="FI15" ca="1">EM15 * _xlfn.XLOOKUP(FI$13,_xlfn.ANCHORARRAY( $CZ$29), _xlfn.XLOOKUP($EZ15,_xlfn.ANCHORARRAY( $CY$30), $CZ$30:$DC$34)) * _xlfn.XLOOKUP(FI$14,_xlfn.ANCHORARRAY( $CZ$29), _xlfn.XLOOKUP($FA15,_xlfn.ANCHORARRAY( $CY$30), $CZ$30:$DC$34))</f>
        <v>1.8589508936773904E-3</v>
      </c>
      <c r="FJ15" s="10" cm="1">
        <f t="array" aca="1" ref="FJ15" ca="1">EN15 * _xlfn.XLOOKUP(FJ$13,_xlfn.ANCHORARRAY( $CZ$29), _xlfn.XLOOKUP($EZ15,_xlfn.ANCHORARRAY( $CY$30), $CZ$30:$DC$34)) * _xlfn.XLOOKUP(FJ$14,_xlfn.ANCHORARRAY( $CZ$29), _xlfn.XLOOKUP($FA15,_xlfn.ANCHORARRAY( $CY$30), $CZ$30:$DC$34))</f>
        <v>1.2360374793533389E-2</v>
      </c>
      <c r="FK15" s="10" cm="1">
        <f t="array" aca="1" ref="FK15" ca="1">EO15 * _xlfn.XLOOKUP(FK$13,_xlfn.ANCHORARRAY( $CZ$29), _xlfn.XLOOKUP($EZ15,_xlfn.ANCHORARRAY( $CY$30), $CZ$30:$DC$34)) * _xlfn.XLOOKUP(FK$14,_xlfn.ANCHORARRAY( $CZ$29), _xlfn.XLOOKUP($FA15,_xlfn.ANCHORARRAY( $CY$30), $CZ$30:$DC$34))</f>
        <v>-4.4004363652177525E-3</v>
      </c>
      <c r="FL15" s="10" cm="1">
        <f t="array" aca="1" ref="FL15" ca="1">EP15 * _xlfn.XLOOKUP(FL$13,_xlfn.ANCHORARRAY( $CZ$29), _xlfn.XLOOKUP($EZ15,_xlfn.ANCHORARRAY( $CY$30), $CZ$30:$DC$34)) * _xlfn.XLOOKUP(FL$14,_xlfn.ANCHORARRAY( $CZ$29), _xlfn.XLOOKUP($FA15,_xlfn.ANCHORARRAY( $CY$30), $CZ$30:$DC$34))</f>
        <v>2.407266460570762E-2</v>
      </c>
      <c r="FM15" s="10" cm="1">
        <f t="array" aca="1" ref="FM15" ca="1">EQ15 * _xlfn.XLOOKUP(FM$13,_xlfn.ANCHORARRAY( $CZ$29), _xlfn.XLOOKUP($EZ15,_xlfn.ANCHORARRAY( $CY$30), $CZ$30:$DC$34)) * _xlfn.XLOOKUP(FM$14,_xlfn.ANCHORARRAY( $CZ$29), _xlfn.XLOOKUP($FA15,_xlfn.ANCHORARRAY( $CY$30), $CZ$30:$DC$34))</f>
        <v>1.8589508936773904E-3</v>
      </c>
      <c r="FN15" s="10" cm="1">
        <f t="array" aca="1" ref="FN15" ca="1">ER15 * _xlfn.XLOOKUP(FN$13,_xlfn.ANCHORARRAY( $CZ$29), _xlfn.XLOOKUP($EZ15,_xlfn.ANCHORARRAY( $CY$30), $CZ$30:$DC$34)) * _xlfn.XLOOKUP(FN$14,_xlfn.ANCHORARRAY( $CZ$29), _xlfn.XLOOKUP($FA15,_xlfn.ANCHORARRAY( $CY$30), $CZ$30:$DC$34))</f>
        <v>-5.0323883140009594E-3</v>
      </c>
      <c r="FO15" s="10" cm="1">
        <f t="array" aca="1" ref="FO15" ca="1">ES15 * _xlfn.XLOOKUP(FO$13,_xlfn.ANCHORARRAY( $CZ$29), _xlfn.XLOOKUP($EZ15,_xlfn.ANCHORARRAY( $CY$30), $CZ$30:$DC$34)) * _xlfn.XLOOKUP(FO$14,_xlfn.ANCHORARRAY( $CZ$29), _xlfn.XLOOKUP($FA15,_xlfn.ANCHORARRAY( $CY$30), $CZ$30:$DC$34))</f>
        <v>1.8589508936773906E-3</v>
      </c>
      <c r="FP15" s="10" cm="1">
        <f t="array" aca="1" ref="FP15" ca="1">ET15 * _xlfn.XLOOKUP(FP$13,_xlfn.ANCHORARRAY( $CZ$29), _xlfn.XLOOKUP($EZ15,_xlfn.ANCHORARRAY( $CY$30), $CZ$30:$DC$34)) * _xlfn.XLOOKUP(FP$14,_xlfn.ANCHORARRAY( $CZ$29), _xlfn.XLOOKUP($FA15,_xlfn.ANCHORARRAY( $CY$30), $CZ$30:$DC$34))</f>
        <v>1.8589508936773906E-3</v>
      </c>
      <c r="FQ15" s="10" cm="1">
        <f t="array" aca="1" ref="FQ15" ca="1">EU15 * _xlfn.XLOOKUP(FQ$13,_xlfn.ANCHORARRAY( $CZ$29), _xlfn.XLOOKUP($EZ15,_xlfn.ANCHORARRAY( $CY$30), $CZ$30:$DC$34)) * _xlfn.XLOOKUP(FQ$14,_xlfn.ANCHORARRAY( $CZ$29), _xlfn.XLOOKUP($FA15,_xlfn.ANCHORARRAY( $CY$30), $CZ$30:$DC$34))</f>
        <v>2.2491468628239491E-3</v>
      </c>
      <c r="FT15" cm="1">
        <f t="array" aca="1" ref="FT15" ca="1">SQRT(SUM((FB15:FQ15)^2))</f>
        <v>7.5367096078725243E-2</v>
      </c>
    </row>
    <row r="16" spans="1:176" x14ac:dyDescent="0.2">
      <c r="A16" t="s">
        <v>39</v>
      </c>
      <c r="B16">
        <f ca="1">COUNTIF(OFFSET($O$9,0,0,1,$B$9),TRUE)</f>
        <v>5</v>
      </c>
      <c r="D16" s="10">
        <f ca="1"/>
        <v>1</v>
      </c>
      <c r="F16" s="10">
        <f ca="1"/>
        <v>0.5</v>
      </c>
      <c r="H16" s="10">
        <f ca="1"/>
        <v>1</v>
      </c>
      <c r="J16" cm="1">
        <f t="array" aca="1" ref="J16" ca="1">SUMPRODUCT((O16:AJ16=$O$11:$AJ$11)*(O$13:AJ$13=TRUE))  / COUNTIF(O$13:AJ$13,TRUE)</f>
        <v>0.6</v>
      </c>
      <c r="K16" t="b">
        <f t="shared" ca="1" si="3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4"/>
        <v>1</v>
      </c>
      <c r="N16" s="2">
        <v>1</v>
      </c>
      <c r="O16" s="12" t="s">
        <v>1</v>
      </c>
      <c r="P16" s="9" t="s">
        <v>0</v>
      </c>
      <c r="Q16" s="9" t="s">
        <v>2</v>
      </c>
      <c r="R16" s="9" t="s">
        <v>3</v>
      </c>
      <c r="S16" s="9" t="s">
        <v>3</v>
      </c>
      <c r="AK16" s="7"/>
      <c r="AN16">
        <f t="shared" ca="1" si="5"/>
        <v>2</v>
      </c>
      <c r="AO16" s="14">
        <f t="shared" ca="1" si="6"/>
        <v>0.5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
) / $B$13)</f>
        <v>0.6</v>
      </c>
      <c r="AR16" cm="1">
        <f t="array" aca="1" ref="AR16" ca="1">IF($AP16=AR$14, 1, SUMPRODUCT(
    --(OFFSET($O$13,0,0,1,$B$9)=TRUE),
    --(INDEX(OFFSET($O$15,0,0,$B$8,$B$9), 1+$AP16, 0) = INDEX(OFFSET($O$15,0,0,$B$8,$B$9), 1+AR$14, 0))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
) / $B$13)</f>
        <v>0.4</v>
      </c>
      <c r="AT16" cm="1">
        <f t="array" aca="1" ref="AT16" ca="1">IF($AP16=AT$14, 1, SUMPRODUCT(
    --(OFFSET($O$13,0,0,1,$B$9)=TRUE),
    --(INDEX(OFFSET($O$15,0,0,$B$8,$B$9), 1+$AP16, 0) = INDEX(OFFSET($O$15,0,0,$B$8,$B$9), 1+AT$14, 0))
) / $B$13)</f>
        <v>0</v>
      </c>
      <c r="AU16" cm="1">
        <f t="array" aca="1" ref="AU16" ca="1">IF($AP16=AU$14, 1, SUMPRODUCT(
    --(OFFSET($O$13,0,0,1,$B$9)=TRUE),
    --(INDEX(OFFSET($O$15,0,0,$B$8,$B$9), 1+$AP16, 0) = INDEX(OFFSET($O$15,0,0,$B$8,$B$9), 1+AU$14, 0))
) / $B$13)</f>
        <v>0.4</v>
      </c>
      <c r="AV16" cm="1">
        <f t="array" aca="1" ref="AV16" ca="1">IF($AP16=AV$14, 1, SUMPRODUCT(
    --(OFFSET($O$13,0,0,1,$B$9)=TRUE),
    --(INDEX(OFFSET($O$15,0,0,$B$8,$B$9), 1+$AP16, 0) = INDEX(OFFSET($O$15,0,0,$B$8,$B$9), 1+AV$14, 0))
) / $B$13)</f>
        <v>0</v>
      </c>
      <c r="AW16" cm="1">
        <f t="array" aca="1" ref="AW16" ca="1">IF($AP16=AW$14, 1, SUMPRODUCT(
    --(OFFSET($O$13,0,0,1,$B$9)=TRUE),
    --(INDEX(OFFSET($O$15,0,0,$B$8,$B$9), 1+$AP16, 0) = INDEX(OFFSET($O$15,0,0,$B$8,$B$9), 1+AW$14, 0))
) / $B$13)</f>
        <v>0</v>
      </c>
      <c r="AX16" cm="1">
        <f t="array" aca="1" ref="AX16" ca="1">IF($AP16=AX$14, 1, SUMPRODUCT(
    --(OFFSET($O$13,0,0,1,$B$9)=TRUE),
    --(INDEX(OFFSET($O$15,0,0,$B$8,$B$9), 1+$AP16, 0) = INDEX(OFFSET($O$15,0,0,$B$8,$B$9), 1+AX$14, 0))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
) / $B$13)</f>
        <v>0.8</v>
      </c>
      <c r="AZ16" cm="1">
        <f t="array" aca="1" ref="AZ16" ca="1">IF($AP16=AZ$14, 1, SUMPRODUCT(
    --(OFFSET($O$13,0,0,1,$B$9)=TRUE),
    --(INDEX(OFFSET($O$15,0,0,$B$8,$B$9), 1+$AP16, 0) = INDEX(OFFSET($O$15,0,0,$B$8,$B$9), 1+AZ$14, 0))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
) / $B$13)</f>
        <v>0.4</v>
      </c>
      <c r="BB16" cm="1">
        <f t="array" aca="1" ref="BB16" ca="1">IF($AP16=BB$14, 1, SUMPRODUCT(
    --(OFFSET($O$13,0,0,1,$B$9)=TRUE),
    --(INDEX(OFFSET($O$15,0,0,$B$8,$B$9), 1+$AP16, 0) = INDEX(OFFSET($O$15,0,0,$B$8,$B$9), 1+BB$14, 0))
) / $B$13)</f>
        <v>0</v>
      </c>
      <c r="BC16" cm="1">
        <f t="array" aca="1" ref="BC16" ca="1">IF($AP16=BC$14, 1, SUMPRODUCT(
    --(OFFSET($O$13,0,0,1,$B$9)=TRUE),
    --(INDEX(OFFSET($O$15,0,0,$B$8,$B$9), 1+$AP16, 0) = INDEX(OFFSET($O$15,0,0,$B$8,$B$9), 1+BC$14, 0))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
) / $B$13)</f>
        <v>0</v>
      </c>
      <c r="BE16" cm="1">
        <f t="array" aca="1" ref="BE16" ca="1">IF($AP16=BE$14, 1, SUMPRODUCT(
    --(OFFSET($O$13,0,0,1,$B$9)=TRUE),
    --(INDEX(OFFSET($O$15,0,0,$B$8,$B$9), 1+$AP16, 0) = INDEX(OFFSET($O$15,0,0,$B$8,$B$9), 1+BE$14, 0))
) / $B$13)</f>
        <v>0</v>
      </c>
      <c r="BF16" cm="1">
        <f t="array" aca="1" ref="BF16" ca="1">IF($AP16=BF$14, 1, SUMPRODUCT(
    --(OFFSET($O$13,0,0,1,$B$9)=TRUE),
    --(INDEX(OFFSET($O$15,0,0,$B$8,$B$9), 1+$AP16, 0) = INDEX(OFFSET($O$15,0,0,$B$8,$B$9), 1+BF$14, 0))
) / $B$13)</f>
        <v>0</v>
      </c>
      <c r="BG16" cm="1">
        <f t="array" aca="1" ref="BG16" ca="1">IF($AP16=BG$14, 1, SUMPRODUCT(
    --(OFFSET($O$13,0,0,1,$B$9)=TRUE),
    --(INDEX(OFFSET($O$15,0,0,$B$8,$B$9), 1+$AP16, 0) = INDEX(OFFSET($O$15,0,0,$B$8,$B$9), 1+BG$14, 0))
) / $B$13)</f>
        <v>0</v>
      </c>
      <c r="BH16" cm="1">
        <f t="array" aca="1" ref="BH16" ca="1">IF($AP16=BH$14, 1, SUMPRODUCT(
    --(OFFSET($O$13,0,0,1,$B$9)=TRUE),
    --(INDEX(OFFSET($O$15,0,0,$B$8,$B$9), 1+$AP16, 0) = INDEX(OFFSET($O$15,0,0,$B$8,$B$9), 1+BH$14, 0))
) / $B$13)</f>
        <v>0.2</v>
      </c>
      <c r="BI16" cm="1">
        <f t="array" aca="1" ref="BI16" ca="1">IF($AP16=BI$14, 1, SUMPRODUCT(
    --(OFFSET($O$13,0,0,1,$B$9)=TRUE),
    --(INDEX(OFFSET($O$15,0,0,$B$8,$B$9), 1+$AP16, 0) = INDEX(OFFSET($O$15,0,0,$B$8,$B$9), 1+BI$14, 0))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
) / $B$13)</f>
        <v>0.6</v>
      </c>
      <c r="BN16">
        <f t="shared" ca="1" si="7"/>
        <v>2</v>
      </c>
      <c r="BO16" s="14">
        <f t="shared" ca="1" si="8"/>
        <v>0.5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
) / $B$16)</f>
        <v>0.6</v>
      </c>
      <c r="BR16" cm="1">
        <f t="array" aca="1" ref="BR16" ca="1">IF($BP16=BR$14, 1, SUMPRODUCT(
    --(OFFSET($O$9,0,0,1,$B$9)=TRUE),
    --(INDEX(OFFSET($O$15,0,0,$B$8,$B$9), 1+$BP16, 0) = INDEX(OFFSET($O$15,0,0,$B$8,$B$9), 1+BR$14, 0))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
) / $B$16)</f>
        <v>0.4</v>
      </c>
      <c r="BT16" cm="1">
        <f t="array" aca="1" ref="BT16" ca="1">IF($BP16=BT$14, 1, SUMPRODUCT(
    --(OFFSET($O$9,0,0,1,$B$9)=TRUE),
    --(INDEX(OFFSET($O$15,0,0,$B$8,$B$9), 1+$BP16, 0) = INDEX(OFFSET($O$15,0,0,$B$8,$B$9), 1+BT$14, 0))
) / $B$16)</f>
        <v>0</v>
      </c>
      <c r="BU16" cm="1">
        <f t="array" aca="1" ref="BU16" ca="1">IF($BP16=BU$14, 1, SUMPRODUCT(
    --(OFFSET($O$9,0,0,1,$B$9)=TRUE),
    --(INDEX(OFFSET($O$15,0,0,$B$8,$B$9), 1+$BP16, 0) = INDEX(OFFSET($O$15,0,0,$B$8,$B$9), 1+BU$14, 0))
) / $B$16)</f>
        <v>0.4</v>
      </c>
      <c r="BV16" cm="1">
        <f t="array" aca="1" ref="BV16" ca="1">IF($BP16=BV$14, 1, SUMPRODUCT(
    --(OFFSET($O$9,0,0,1,$B$9)=TRUE),
    --(INDEX(OFFSET($O$15,0,0,$B$8,$B$9), 1+$BP16, 0) = INDEX(OFFSET($O$15,0,0,$B$8,$B$9), 1+BV$14, 0))
) / $B$16)</f>
        <v>0</v>
      </c>
      <c r="BW16" cm="1">
        <f t="array" aca="1" ref="BW16" ca="1">IF($BP16=BW$14, 1, SUMPRODUCT(
    --(OFFSET($O$9,0,0,1,$B$9)=TRUE),
    --(INDEX(OFFSET($O$15,0,0,$B$8,$B$9), 1+$BP16, 0) = INDEX(OFFSET($O$15,0,0,$B$8,$B$9), 1+BW$14, 0))
) / $B$16)</f>
        <v>0</v>
      </c>
      <c r="BX16" cm="1">
        <f t="array" aca="1" ref="BX16" ca="1">IF($BP16=BX$14, 1, SUMPRODUCT(
    --(OFFSET($O$9,0,0,1,$B$9)=TRUE),
    --(INDEX(OFFSET($O$15,0,0,$B$8,$B$9), 1+$BP16, 0) = INDEX(OFFSET($O$15,0,0,$B$8,$B$9), 1+BX$14, 0))
) / $B$16)</f>
        <v>0.4</v>
      </c>
      <c r="BY16" cm="1">
        <f t="array" aca="1" ref="BY16" ca="1">IF($BP16=BY$14, 1, SUMPRODUCT(
    --(OFFSET($O$9,0,0,1,$B$9)=TRUE),
    --(INDEX(OFFSET($O$15,0,0,$B$8,$B$9), 1+$BP16, 0) = INDEX(OFFSET($O$15,0,0,$B$8,$B$9), 1+BY$14, 0))
) / $B$16)</f>
        <v>0.8</v>
      </c>
      <c r="BZ16" cm="1">
        <f t="array" aca="1" ref="BZ16" ca="1">IF($BP16=BZ$14, 1, SUMPRODUCT(
    --(OFFSET($O$9,0,0,1,$B$9)=TRUE),
    --(INDEX(OFFSET($O$15,0,0,$B$8,$B$9), 1+$BP16, 0) = INDEX(OFFSET($O$15,0,0,$B$8,$B$9), 1+BZ$14, 0))
) / $B$16)</f>
        <v>0.4</v>
      </c>
      <c r="CA16" cm="1">
        <f t="array" aca="1" ref="CA16" ca="1">IF($BP16=CA$14, 1, SUMPRODUCT(
    --(OFFSET($O$9,0,0,1,$B$9)=TRUE),
    --(INDEX(OFFSET($O$15,0,0,$B$8,$B$9), 1+$BP16, 0) = INDEX(OFFSET($O$15,0,0,$B$8,$B$9), 1+CA$14, 0))
) / $B$16)</f>
        <v>0.4</v>
      </c>
      <c r="CB16" cm="1">
        <f t="array" aca="1" ref="CB16" ca="1">IF($BP16=CB$14, 1, SUMPRODUCT(
    --(OFFSET($O$9,0,0,1,$B$9)=TRUE),
    --(INDEX(OFFSET($O$15,0,0,$B$8,$B$9), 1+$BP16, 0) = INDEX(OFFSET($O$15,0,0,$B$8,$B$9), 1+CB$14, 0))
) / $B$16)</f>
        <v>0</v>
      </c>
      <c r="CC16" cm="1">
        <f t="array" aca="1" ref="CC16" ca="1">IF($BP16=CC$14, 1, SUMPRODUCT(
    --(OFFSET($O$9,0,0,1,$B$9)=TRUE),
    --(INDEX(OFFSET($O$15,0,0,$B$8,$B$9), 1+$BP16, 0) = INDEX(OFFSET($O$15,0,0,$B$8,$B$9), 1+CC$14, 0))
) / $B$16)</f>
        <v>0.4</v>
      </c>
      <c r="CD16" cm="1">
        <f t="array" aca="1" ref="CD16" ca="1">IF($BP16=CD$14, 1, SUMPRODUCT(
    --(OFFSET($O$9,0,0,1,$B$9)=TRUE),
    --(INDEX(OFFSET($O$15,0,0,$B$8,$B$9), 1+$BP16, 0) = INDEX(OFFSET($O$15,0,0,$B$8,$B$9), 1+CD$14, 0))
) / $B$16)</f>
        <v>0</v>
      </c>
      <c r="CE16" cm="1">
        <f t="array" aca="1" ref="CE16" ca="1">IF($BP16=CE$14, 1, SUMPRODUCT(
    --(OFFSET($O$9,0,0,1,$B$9)=TRUE),
    --(INDEX(OFFSET($O$15,0,0,$B$8,$B$9), 1+$BP16, 0) = INDEX(OFFSET($O$15,0,0,$B$8,$B$9), 1+CE$14, 0))
) / $B$16)</f>
        <v>0</v>
      </c>
      <c r="CF16" cm="1">
        <f t="array" aca="1" ref="CF16" ca="1">IF($BP16=CF$14, 1, SUMPRODUCT(
    --(OFFSET($O$9,0,0,1,$B$9)=TRUE),
    --(INDEX(OFFSET($O$15,0,0,$B$8,$B$9), 1+$BP16, 0) = INDEX(OFFSET($O$15,0,0,$B$8,$B$9), 1+CF$14, 0))
) / $B$16)</f>
        <v>0</v>
      </c>
      <c r="CG16" cm="1">
        <f t="array" aca="1" ref="CG16" ca="1">IF($BP16=CG$14, 1, SUMPRODUCT(
    --(OFFSET($O$9,0,0,1,$B$9)=TRUE),
    --(INDEX(OFFSET($O$15,0,0,$B$8,$B$9), 1+$BP16, 0) = INDEX(OFFSET($O$15,0,0,$B$8,$B$9), 1+CG$14, 0))
) / $B$16)</f>
        <v>0</v>
      </c>
      <c r="CH16" cm="1">
        <f t="array" aca="1" ref="CH16" ca="1">IF($BP16=CH$14, 1, SUMPRODUCT(
    --(OFFSET($O$9,0,0,1,$B$9)=TRUE),
    --(INDEX(OFFSET($O$15,0,0,$B$8,$B$9), 1+$BP16, 0) = INDEX(OFFSET($O$15,0,0,$B$8,$B$9), 1+CH$14, 0))
) / $B$16)</f>
        <v>0.2</v>
      </c>
      <c r="CI16" cm="1">
        <f t="array" aca="1" ref="CI16" ca="1">IF($BP16=CI$14, 1, SUMPRODUCT(
    --(OFFSET($O$9,0,0,1,$B$9)=TRUE),
    --(INDEX(OFFSET($O$15,0,0,$B$8,$B$9), 1+$BP16, 0) = INDEX(OFFSET($O$15,0,0,$B$8,$B$9), 1+CI$14, 0))
) / $B$16)</f>
        <v>0.4</v>
      </c>
      <c r="CJ16" cm="1">
        <f t="array" aca="1" ref="CJ16" ca="1">IF($BP16=CJ$14, 1, SUMPRODUCT(
    --(OFFSET($O$9,0,0,1,$B$9)=TRUE),
    --(INDEX(OFFSET($O$15,0,0,$B$8,$B$9), 1+$BP16, 0) = INDEX(OFFSET($O$15,0,0,$B$8,$B$9), 1+CJ$14, 0))
) / $B$16)</f>
        <v>0.6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6.0000000000000001E-3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0.27054545454545459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0.35872727272727273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0.18236363636363637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0.18236363636363637</v>
      </c>
      <c r="CX16" s="18" cm="1">
        <f t="array" aca="1" ref="CX16" ca="1">SUM(OFFSET($CR16,0,0,1,$M$2)*IFERROR(LN(OFFSET($CR16,0,0,1,$M$2)/OFFSET($CR$11,0,0,1,$M$2)), 0))+IF($CQ$11&gt;0,OFFSET($O$10,0,$CP16,1,1)*IFERROR(LN(OFFSET($O$10,0,$CP16,1,1)/$CQ$11), 0),0)</f>
        <v>4.5838236623604096E-2</v>
      </c>
      <c r="CY16">
        <f ca="1"/>
        <v>1</v>
      </c>
      <c r="CZ16" s="10">
        <f t="shared" ref="CZ16:CZ19" ca="1" si="10">CR16*LN(CR16/CR$10) + (1 - CR16)*LN((1-CR16)/(1-CR$10))</f>
        <v>1.1060263510864199E-3</v>
      </c>
      <c r="DA16" s="10">
        <f t="shared" ca="1" si="9"/>
        <v>2.9101866479828722E-2</v>
      </c>
      <c r="DB16" s="10">
        <f t="shared" ca="1" si="9"/>
        <v>1.3070284679910692E-2</v>
      </c>
      <c r="DC16" s="10">
        <f t="shared" ca="1" si="9"/>
        <v>1.3070284679910692E-2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$B$18/($B$19*$B$19*($DF16&lt;&gt;$DG16) + $B$19*($DF16=$DG16))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$B$18/($B$19*$B$19*($DF16&lt;&gt;$DG16) + $B$19*($DF16=$DG16))</f>
        <v>0.3539272727272727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$B$18/($B$19*$B$19*($DF16&lt;&gt;$DG16) + $B$19*($DF16=$DG16))</f>
        <v>1.1999999999999999E-3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$B$18/($B$19*$B$19*($DF16&lt;&gt;$DG16) + $B$19*($DF16=$DG16))</f>
        <v>1.1999999999999999E-3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$B$18/($B$19*$B$19*($DF16&lt;&gt;$DG16) + $B$19*($DF16=$DG16))</f>
        <v>0.17756363636363637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$B$18/($B$19*$B$19*($DF16&lt;&gt;$DG16) + $B$19*($DF16=$DG16))</f>
        <v>1.1999999999999999E-3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$B$18/($B$19*$B$19*($DF16&lt;&gt;$DG16) + $B$19*($DF16=$DG16))</f>
        <v>1.1999999999999999E-3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$B$18/($B$19*$B$19*($DF16&lt;&gt;$DG16) + $B$19*($DF16=$DG16))</f>
        <v>1.1999999999999999E-3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$B$18/($B$19*$B$19*($DF16&lt;&gt;$DG16) + $B$19*($DF16=$DG16))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$B$18/($B$19*$B$19*($DF16&lt;&gt;$DG16) + $B$19*($DF16=$DG16))</f>
        <v>1.1999999999999999E-3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$B$18/($B$19*$B$19*($DF16&lt;&gt;$DG16) + $B$19*($DF16=$DG16))</f>
        <v>1.1999999999999999E-3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$B$18/($B$19*$B$19*($DF16&lt;&gt;$DG16) + $B$19*($DF16=$DG16))</f>
        <v>0.17756363636363637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$B$18/($B$19*$B$19*($DF16&lt;&gt;$DG16) + $B$19*($DF16=$DG16))</f>
        <v>8.9381818181818187E-2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$B$18/($B$19*$B$19*($DF16&lt;&gt;$DG16) + $B$19*($DF16=$DG16))</f>
        <v>1.1999999999999999E-3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$B$18/($B$19*$B$19*($DF16&lt;&gt;$DG16) + $B$19*($DF16=$DG16))</f>
        <v>0.17756363636363637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$B$18/($B$19*$B$19*($DF16&lt;&gt;$DG16) + $B$19*($DF16=$DG16))</f>
        <v>1.1999999999999999E-3</v>
      </c>
      <c r="ED16" cm="1">
        <f t="array" aca="1" ref="ED16" ca="1">INDEX(_xlfn.ANCHORARRAY($CP$15), 1 + INT((ROWS($DG$15:$DG16) - 1) / ROWS(_xlfn.ANCHORARRAY($CP$15))))</f>
        <v>0</v>
      </c>
      <c r="EE16" cm="1">
        <f t="array" aca="1" ref="EE16" ca="1">INDEX(_xlfn.ANCHORARRAY($CP$15),1+MOD(ROWS($DG$15:$DG16)-1,ROWS(_xlfn.ANCHORARRAY($CP$15))))</f>
        <v>1</v>
      </c>
      <c r="EF16" s="10" cm="1">
        <f t="array" aca="1" ref="EF16" ca="1">DH16-_xlfn.XLOOKUP(EF$13,_xlfn.ANCHORARRAY( $CR$14), _xlfn.XLOOKUP($ED16,_xlfn.ANCHORARRAY( $CP$15), $CR$15:$CU$19)) * _xlfn.XLOOKUP(EF$14,_xlfn.ANCHORARRAY( $CR$14), _xlfn.XLOOKUP($EE16,_xlfn.ANCHORARRAY( $CP$15), $CR$15:$CU$19))</f>
        <v>-9.5852033057851255E-2</v>
      </c>
      <c r="EG16" s="10" cm="1">
        <f t="array" aca="1" ref="EG16" ca="1">DI16-_xlfn.XLOOKUP(EG$13,_xlfn.ANCHORARRAY( $CR$14), _xlfn.XLOOKUP($ED16,_xlfn.ANCHORARRAY( $CP$15), $CR$15:$CU$19)) * _xlfn.XLOOKUP(EG$14,_xlfn.ANCHORARRAY( $CR$14), _xlfn.XLOOKUP($EE16,_xlfn.ANCHORARRAY( $CP$15), $CR$15:$CU$19))</f>
        <v>0.22524201652892559</v>
      </c>
      <c r="EH16" s="10" cm="1">
        <f t="array" aca="1" ref="EH16" ca="1">DJ16-_xlfn.XLOOKUP(EH$13,_xlfn.ANCHORARRAY( $CR$14), _xlfn.XLOOKUP($ED16,_xlfn.ANCHORARRAY( $CP$15), $CR$15:$CU$19)) * _xlfn.XLOOKUP(EH$14,_xlfn.ANCHORARRAY( $CR$14), _xlfn.XLOOKUP($EE16,_xlfn.ANCHORARRAY( $CP$15), $CR$15:$CU$19))</f>
        <v>-6.421880991735536E-2</v>
      </c>
      <c r="EI16" s="10" cm="1">
        <f t="array" aca="1" ref="EI16" ca="1">DK16-_xlfn.XLOOKUP(EI$13,_xlfn.ANCHORARRAY( $CR$14), _xlfn.XLOOKUP($ED16,_xlfn.ANCHORARRAY( $CP$15), $CR$15:$CU$19)) * _xlfn.XLOOKUP(EI$14,_xlfn.ANCHORARRAY( $CR$14), _xlfn.XLOOKUP($EE16,_xlfn.ANCHORARRAY( $CP$15), $CR$15:$CU$19))</f>
        <v>-6.421880991735536E-2</v>
      </c>
      <c r="EJ16" s="10" cm="1">
        <f t="array" aca="1" ref="EJ16" ca="1">DL16-_xlfn.XLOOKUP(EJ$13,_xlfn.ANCHORARRAY( $CR$14), _xlfn.XLOOKUP($ED16,_xlfn.ANCHORARRAY( $CP$15), $CR$15:$CU$19)) * _xlfn.XLOOKUP(EJ$14,_xlfn.ANCHORARRAY( $CR$14), _xlfn.XLOOKUP($EE16,_xlfn.ANCHORARRAY( $CP$15), $CR$15:$CU$19))</f>
        <v>0.12822598347107439</v>
      </c>
      <c r="EK16" s="10" cm="1">
        <f t="array" aca="1" ref="EK16" ca="1">DM16-_xlfn.XLOOKUP(EK$13,_xlfn.ANCHORARRAY( $CR$14), _xlfn.XLOOKUP($ED16,_xlfn.ANCHORARRAY( $CP$15), $CR$15:$CU$19)) * _xlfn.XLOOKUP(EK$14,_xlfn.ANCHORARRAY( $CR$14), _xlfn.XLOOKUP($EE16,_xlfn.ANCHORARRAY( $CP$15), $CR$15:$CU$19))</f>
        <v>-6.421880991735536E-2</v>
      </c>
      <c r="EL16" s="10" cm="1">
        <f t="array" aca="1" ref="EL16" ca="1">DN16-_xlfn.XLOOKUP(EL$13,_xlfn.ANCHORARRAY( $CR$14), _xlfn.XLOOKUP($ED16,_xlfn.ANCHORARRAY( $CP$15), $CR$15:$CU$19)) * _xlfn.XLOOKUP(EL$14,_xlfn.ANCHORARRAY( $CR$14), _xlfn.XLOOKUP($EE16,_xlfn.ANCHORARRAY( $CP$15), $CR$15:$CU$19))</f>
        <v>-3.2056495867768597E-2</v>
      </c>
      <c r="EM16" s="10" cm="1">
        <f t="array" aca="1" ref="EM16" ca="1">DO16-_xlfn.XLOOKUP(EM$13,_xlfn.ANCHORARRAY( $CR$14), _xlfn.XLOOKUP($ED16,_xlfn.ANCHORARRAY( $CP$15), $CR$15:$CU$19)) * _xlfn.XLOOKUP(EM$14,_xlfn.ANCHORARRAY( $CR$14), _xlfn.XLOOKUP($EE16,_xlfn.ANCHORARRAY( $CP$15), $CR$15:$CU$19))</f>
        <v>-3.2056495867768597E-2</v>
      </c>
      <c r="EN16" s="10" cm="1">
        <f t="array" aca="1" ref="EN16" ca="1">DP16-_xlfn.XLOOKUP(EN$13,_xlfn.ANCHORARRAY( $CR$14), _xlfn.XLOOKUP($ED16,_xlfn.ANCHORARRAY( $CP$15), $CR$15:$CU$19)) * _xlfn.XLOOKUP(EN$14,_xlfn.ANCHORARRAY( $CR$14), _xlfn.XLOOKUP($EE16,_xlfn.ANCHORARRAY( $CP$15), $CR$15:$CU$19))</f>
        <v>-4.8137652892561993E-2</v>
      </c>
      <c r="EO16" s="10" cm="1">
        <f t="array" aca="1" ref="EO16" ca="1">DQ16-_xlfn.XLOOKUP(EO$13,_xlfn.ANCHORARRAY( $CR$14), _xlfn.XLOOKUP($ED16,_xlfn.ANCHORARRAY( $CP$15), $CR$15:$CU$19)) * _xlfn.XLOOKUP(EO$14,_xlfn.ANCHORARRAY( $CR$14), _xlfn.XLOOKUP($EE16,_xlfn.ANCHORARRAY( $CP$15), $CR$15:$CU$19))</f>
        <v>-6.421880991735536E-2</v>
      </c>
      <c r="EP16" s="10" cm="1">
        <f t="array" aca="1" ref="EP16" ca="1">DR16-_xlfn.XLOOKUP(EP$13,_xlfn.ANCHORARRAY( $CR$14), _xlfn.XLOOKUP($ED16,_xlfn.ANCHORARRAY( $CP$15), $CR$15:$CU$19)) * _xlfn.XLOOKUP(EP$14,_xlfn.ANCHORARRAY( $CR$14), _xlfn.XLOOKUP($EE16,_xlfn.ANCHORARRAY( $CP$15), $CR$15:$CU$19))</f>
        <v>-3.2056495867768597E-2</v>
      </c>
      <c r="EQ16" s="10" cm="1">
        <f t="array" aca="1" ref="EQ16" ca="1">DS16-_xlfn.XLOOKUP(EQ$13,_xlfn.ANCHORARRAY( $CR$14), _xlfn.XLOOKUP($ED16,_xlfn.ANCHORARRAY( $CP$15), $CR$15:$CU$19)) * _xlfn.XLOOKUP(EQ$14,_xlfn.ANCHORARRAY( $CR$14), _xlfn.XLOOKUP($EE16,_xlfn.ANCHORARRAY( $CP$15), $CR$15:$CU$19))</f>
        <v>0.14430714049586776</v>
      </c>
      <c r="ER16" s="10" cm="1">
        <f t="array" aca="1" ref="ER16" ca="1">DT16-_xlfn.XLOOKUP(ER$13,_xlfn.ANCHORARRAY( $CR$14), _xlfn.XLOOKUP($ED16,_xlfn.ANCHORARRAY( $CP$15), $CR$15:$CU$19)) * _xlfn.XLOOKUP(ER$14,_xlfn.ANCHORARRAY( $CR$14), _xlfn.XLOOKUP($EE16,_xlfn.ANCHORARRAY( $CP$15), $CR$15:$CU$19))</f>
        <v>1.6186975206611554E-2</v>
      </c>
      <c r="ES16" s="10" cm="1">
        <f t="array" aca="1" ref="ES16" ca="1">DU16-_xlfn.XLOOKUP(ES$13,_xlfn.ANCHORARRAY( $CR$14), _xlfn.XLOOKUP($ED16,_xlfn.ANCHORARRAY( $CP$15), $CR$15:$CU$19)) * _xlfn.XLOOKUP(ES$14,_xlfn.ANCHORARRAY( $CR$14), _xlfn.XLOOKUP($EE16,_xlfn.ANCHORARRAY( $CP$15), $CR$15:$CU$19))</f>
        <v>-9.5852033057851255E-2</v>
      </c>
      <c r="ET16" s="10" cm="1">
        <f t="array" aca="1" ref="ET16" ca="1">DV16-_xlfn.XLOOKUP(ET$13,_xlfn.ANCHORARRAY( $CR$14), _xlfn.XLOOKUP($ED16,_xlfn.ANCHORARRAY( $CP$15), $CR$15:$CU$19)) * _xlfn.XLOOKUP(ET$14,_xlfn.ANCHORARRAY( $CR$14), _xlfn.XLOOKUP($EE16,_xlfn.ANCHORARRAY( $CP$15), $CR$15:$CU$19))</f>
        <v>0.12822598347107439</v>
      </c>
      <c r="EU16" s="10" cm="1">
        <f t="array" aca="1" ref="EU16" ca="1">DW16-_xlfn.XLOOKUP(EU$13,_xlfn.ANCHORARRAY( $CR$14), _xlfn.XLOOKUP($ED16,_xlfn.ANCHORARRAY( $CP$15), $CR$15:$CU$19)) * _xlfn.XLOOKUP(EU$14,_xlfn.ANCHORARRAY( $CR$14), _xlfn.XLOOKUP($EE16,_xlfn.ANCHORARRAY( $CP$15), $CR$15:$CU$19))</f>
        <v>-4.8137652892561993E-2</v>
      </c>
      <c r="EZ16" cm="1">
        <f t="array" aca="1" ref="EZ16" ca="1">INDEX(_xlfn.ANCHORARRAY($CP$15), 1 + INT((ROWS($DG$15:$DG16) - 1) / ROWS(_xlfn.ANCHORARRAY($CP$15))))</f>
        <v>0</v>
      </c>
      <c r="FA16" cm="1">
        <f t="array" aca="1" ref="FA16" ca="1">INDEX(_xlfn.ANCHORARRAY($CP$15),1+MOD(ROWS($DG$15:$DG16)-1,ROWS(_xlfn.ANCHORARRAY($CP$15))))</f>
        <v>1</v>
      </c>
      <c r="FB16" s="10" cm="1">
        <f t="array" aca="1" ref="FB16" ca="1">EF16 * _xlfn.XLOOKUP(FB$13,_xlfn.ANCHORARRAY( $CZ$29), _xlfn.XLOOKUP($EZ16,_xlfn.ANCHORARRAY( $CY$30), $CZ$30:$DC$34)) * _xlfn.XLOOKUP(FB$14,_xlfn.ANCHORARRAY( $CZ$29), _xlfn.XLOOKUP($FA16,_xlfn.ANCHORARRAY( $CY$30), $CZ$30:$DC$34))</f>
        <v>-5.2976812799675407E-3</v>
      </c>
      <c r="FC16" s="10" cm="1">
        <f t="array" aca="1" ref="FC16" ca="1">EG16 * _xlfn.XLOOKUP(FC$13,_xlfn.ANCHORARRAY( $CZ$29), _xlfn.XLOOKUP($EZ16,_xlfn.ANCHORARRAY( $CY$30), $CZ$30:$DC$34)) * _xlfn.XLOOKUP(FC$14,_xlfn.ANCHORARRAY( $CZ$29), _xlfn.XLOOKUP($FA16,_xlfn.ANCHORARRAY( $CY$30), $CZ$30:$DC$34))</f>
        <v>6.0372486685427169E-2</v>
      </c>
      <c r="FD16" s="10" cm="1">
        <f t="array" aca="1" ref="FD16" ca="1">EH16 * _xlfn.XLOOKUP(FD$13,_xlfn.ANCHORARRAY( $CZ$29), _xlfn.XLOOKUP($EZ16,_xlfn.ANCHORARRAY( $CY$30), $CZ$30:$DC$34)) * _xlfn.XLOOKUP(FD$14,_xlfn.ANCHORARRAY( $CZ$29), _xlfn.XLOOKUP($FA16,_xlfn.ANCHORARRAY( $CY$30), $CZ$30:$DC$34))</f>
        <v>1.3358876767764798E-2</v>
      </c>
      <c r="FE16" s="10" cm="1">
        <f t="array" aca="1" ref="FE16" ca="1">EI16 * _xlfn.XLOOKUP(FE$13,_xlfn.ANCHORARRAY( $CZ$29), _xlfn.XLOOKUP($EZ16,_xlfn.ANCHORARRAY( $CY$30), $CZ$30:$DC$34)) * _xlfn.XLOOKUP(FE$14,_xlfn.ANCHORARRAY( $CZ$29), _xlfn.XLOOKUP($FA16,_xlfn.ANCHORARRAY( $CY$30), $CZ$30:$DC$34))</f>
        <v>1.3358876767764798E-2</v>
      </c>
      <c r="FF16" s="10" cm="1">
        <f t="array" aca="1" ref="FF16" ca="1">EJ16 * _xlfn.XLOOKUP(FF$13,_xlfn.ANCHORARRAY( $CZ$29), _xlfn.XLOOKUP($EZ16,_xlfn.ANCHORARRAY( $CY$30), $CZ$30:$DC$34)) * _xlfn.XLOOKUP(FF$14,_xlfn.ANCHORARRAY( $CZ$29), _xlfn.XLOOKUP($FA16,_xlfn.ANCHORARRAY( $CY$30), $CZ$30:$DC$34))</f>
        <v>-5.5002011105019163E-3</v>
      </c>
      <c r="FG16" s="10" cm="1">
        <f t="array" aca="1" ref="FG16" ca="1">EK16 * _xlfn.XLOOKUP(FG$13,_xlfn.ANCHORARRAY( $CZ$29), _xlfn.XLOOKUP($EZ16,_xlfn.ANCHORARRAY( $CY$30), $CZ$30:$DC$34)) * _xlfn.XLOOKUP(FG$14,_xlfn.ANCHORARRAY( $CZ$29), _xlfn.XLOOKUP($FA16,_xlfn.ANCHORARRAY( $CY$30), $CZ$30:$DC$34))</f>
        <v>1.3358876767764797E-2</v>
      </c>
      <c r="FH16" s="10" cm="1">
        <f t="array" aca="1" ref="FH16" ca="1">EL16 * _xlfn.XLOOKUP(FH$13,_xlfn.ANCHORARRAY( $CZ$29), _xlfn.XLOOKUP($EZ16,_xlfn.ANCHORARRAY( $CY$30), $CZ$30:$DC$34)) * _xlfn.XLOOKUP(FH$14,_xlfn.ANCHORARRAY( $CZ$29), _xlfn.XLOOKUP($FA16,_xlfn.ANCHORARRAY( $CY$30), $CZ$30:$DC$34))</f>
        <v>-5.1753743710243813E-3</v>
      </c>
      <c r="FI16" s="10" cm="1">
        <f t="array" aca="1" ref="FI16" ca="1">EM16 * _xlfn.XLOOKUP(FI$13,_xlfn.ANCHORARRAY( $CZ$29), _xlfn.XLOOKUP($EZ16,_xlfn.ANCHORARRAY( $CY$30), $CZ$30:$DC$34)) * _xlfn.XLOOKUP(FI$14,_xlfn.ANCHORARRAY( $CZ$29), _xlfn.XLOOKUP($FA16,_xlfn.ANCHORARRAY( $CY$30), $CZ$30:$DC$34))</f>
        <v>-5.1753743710243813E-3</v>
      </c>
      <c r="FJ16" s="10" cm="1">
        <f t="array" aca="1" ref="FJ16" ca="1">EN16 * _xlfn.XLOOKUP(FJ$13,_xlfn.ANCHORARRAY( $CZ$29), _xlfn.XLOOKUP($EZ16,_xlfn.ANCHORARRAY( $CY$30), $CZ$30:$DC$34)) * _xlfn.XLOOKUP(FJ$14,_xlfn.ANCHORARRAY( $CZ$29), _xlfn.XLOOKUP($FA16,_xlfn.ANCHORARRAY( $CY$30), $CZ$30:$DC$34))</f>
        <v>2.0648449302504445E-3</v>
      </c>
      <c r="FK16" s="10" cm="1">
        <f t="array" aca="1" ref="FK16" ca="1">EO16 * _xlfn.XLOOKUP(FK$13,_xlfn.ANCHORARRAY( $CZ$29), _xlfn.XLOOKUP($EZ16,_xlfn.ANCHORARRAY( $CY$30), $CZ$30:$DC$34)) * _xlfn.XLOOKUP(FK$14,_xlfn.ANCHORARRAY( $CZ$29), _xlfn.XLOOKUP($FA16,_xlfn.ANCHORARRAY( $CY$30), $CZ$30:$DC$34))</f>
        <v>1.3358876767764797E-2</v>
      </c>
      <c r="FL16" s="10" cm="1">
        <f t="array" aca="1" ref="FL16" ca="1">EP16 * _xlfn.XLOOKUP(FL$13,_xlfn.ANCHORARRAY( $CZ$29), _xlfn.XLOOKUP($EZ16,_xlfn.ANCHORARRAY( $CY$30), $CZ$30:$DC$34)) * _xlfn.XLOOKUP(FL$14,_xlfn.ANCHORARRAY( $CZ$29), _xlfn.XLOOKUP($FA16,_xlfn.ANCHORARRAY( $CY$30), $CZ$30:$DC$34))</f>
        <v>-5.1753743710243813E-3</v>
      </c>
      <c r="FM16" s="10" cm="1">
        <f t="array" aca="1" ref="FM16" ca="1">EQ16 * _xlfn.XLOOKUP(FM$13,_xlfn.ANCHORARRAY( $CZ$29), _xlfn.XLOOKUP($EZ16,_xlfn.ANCHORARRAY( $CY$30), $CZ$30:$DC$34)) * _xlfn.XLOOKUP(FM$14,_xlfn.ANCHORARRAY( $CZ$29), _xlfn.XLOOKUP($FA16,_xlfn.ANCHORARRAY( $CY$30), $CZ$30:$DC$34))</f>
        <v>2.3297726599900988E-2</v>
      </c>
      <c r="FN16" s="10" cm="1">
        <f t="array" aca="1" ref="FN16" ca="1">ER16 * _xlfn.XLOOKUP(FN$13,_xlfn.ANCHORARRAY( $CZ$29), _xlfn.XLOOKUP($EZ16,_xlfn.ANCHORARRAY( $CY$30), $CZ$30:$DC$34)) * _xlfn.XLOOKUP(FN$14,_xlfn.ANCHORARRAY( $CZ$29), _xlfn.XLOOKUP($FA16,_xlfn.ANCHORARRAY( $CY$30), $CZ$30:$DC$34))</f>
        <v>1.8447819449295296E-4</v>
      </c>
      <c r="FO16" s="10" cm="1">
        <f t="array" aca="1" ref="FO16" ca="1">ES16 * _xlfn.XLOOKUP(FO$13,_xlfn.ANCHORARRAY( $CZ$29), _xlfn.XLOOKUP($EZ16,_xlfn.ANCHORARRAY( $CY$30), $CZ$30:$DC$34)) * _xlfn.XLOOKUP(FO$14,_xlfn.ANCHORARRAY( $CZ$29), _xlfn.XLOOKUP($FA16,_xlfn.ANCHORARRAY( $CY$30), $CZ$30:$DC$34))</f>
        <v>-5.2976812799675407E-3</v>
      </c>
      <c r="FP16" s="10" cm="1">
        <f t="array" aca="1" ref="FP16" ca="1">ET16 * _xlfn.XLOOKUP(FP$13,_xlfn.ANCHORARRAY( $CZ$29), _xlfn.XLOOKUP($EZ16,_xlfn.ANCHORARRAY( $CY$30), $CZ$30:$DC$34)) * _xlfn.XLOOKUP(FP$14,_xlfn.ANCHORARRAY( $CZ$29), _xlfn.XLOOKUP($FA16,_xlfn.ANCHORARRAY( $CY$30), $CZ$30:$DC$34))</f>
        <v>-5.5002011105019155E-3</v>
      </c>
      <c r="FQ16" s="10" cm="1">
        <f t="array" aca="1" ref="FQ16" ca="1">EU16 * _xlfn.XLOOKUP(FQ$13,_xlfn.ANCHORARRAY( $CZ$29), _xlfn.XLOOKUP($EZ16,_xlfn.ANCHORARRAY( $CY$30), $CZ$30:$DC$34)) * _xlfn.XLOOKUP(FQ$14,_xlfn.ANCHORARRAY( $CZ$29), _xlfn.XLOOKUP($FA16,_xlfn.ANCHORARRAY( $CY$30), $CZ$30:$DC$34))</f>
        <v>2.0648449302504445E-3</v>
      </c>
      <c r="FT16" cm="1">
        <f t="array" aca="1" ref="FT16" ca="1">SQRT(SUM((FB16:FQ16)^2))</f>
        <v>7.1463344077283872E-2</v>
      </c>
    </row>
    <row r="17" spans="1:176" x14ac:dyDescent="0.2">
      <c r="D17" s="10">
        <f ca="1"/>
        <v>2</v>
      </c>
      <c r="F17" s="10">
        <f ca="1"/>
        <v>0.5</v>
      </c>
      <c r="H17" s="10">
        <f ca="1"/>
        <v>2</v>
      </c>
      <c r="J17" cm="1">
        <f t="array" aca="1" ref="J17" ca="1">SUMPRODUCT((O17:AJ17=$O$11:$AJ$11)*(O$13:AJ$13=TRUE))  / COUNTIF(O$13:AJ$13,TRUE)</f>
        <v>0.4</v>
      </c>
      <c r="K17" t="b">
        <f t="shared" ca="1" si="3"/>
        <v>1</v>
      </c>
      <c r="L17" cm="1">
        <f t="array" aca="1" ref="L17" ca="1">SUM(
   1*(_xlfn._xlws.FILTER(OFFSET($O17,0,0,1,$B$9),OFFSET($O$13,0,0,1,$B$9)) = "-")
) / $B$13</f>
        <v>0.2</v>
      </c>
      <c r="M17" t="b">
        <f t="shared" ca="1" si="4"/>
        <v>1</v>
      </c>
      <c r="N17" s="2">
        <v>2</v>
      </c>
      <c r="O17" s="12" t="s">
        <v>2</v>
      </c>
      <c r="P17" s="9" t="s">
        <v>3</v>
      </c>
      <c r="Q17" s="9" t="s">
        <v>5</v>
      </c>
      <c r="R17" s="9" t="s">
        <v>3</v>
      </c>
      <c r="S17" s="9" t="s">
        <v>3</v>
      </c>
      <c r="AK17" s="7"/>
      <c r="AN17">
        <f t="shared" ca="1" si="5"/>
        <v>2</v>
      </c>
      <c r="AO17" s="14">
        <f t="shared" ca="1" si="6"/>
        <v>0.5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
) / $B$13)</f>
        <v>0.4</v>
      </c>
      <c r="AR17" cm="1">
        <f t="array" aca="1" ref="AR17" ca="1">IF($AP17=AR$14, 1, SUMPRODUCT(
    --(OFFSET($O$13,0,0,1,$B$9)=TRUE),
    --(INDEX(OFFSET($O$15,0,0,$B$8,$B$9), 1+$AP17, 0) = INDEX(OFFSET($O$15,0,0,$B$8,$B$9), 1+AR$14, 0))
) / $B$13)</f>
        <v>0.4</v>
      </c>
      <c r="AS17" cm="1">
        <f t="array" aca="1" ref="AS17" ca="1">IF($AP17=AS$14, 1, SUMPRODUCT(
    --(OFFSET($O$13,0,0,1,$B$9)=TRUE),
    --(INDEX(OFFSET($O$15,0,0,$B$8,$B$9), 1+$AP17, 0) = INDEX(OFFSET($O$15,0,0,$B$8,$B$9), 1+AS$14, 0))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
) / $B$13)</f>
        <v>0</v>
      </c>
      <c r="AU17" cm="1">
        <f t="array" aca="1" ref="AU17" ca="1">IF($AP17=AU$14, 1, SUMPRODUCT(
    --(OFFSET($O$13,0,0,1,$B$9)=TRUE),
    --(INDEX(OFFSET($O$15,0,0,$B$8,$B$9), 1+$AP17, 0) = INDEX(OFFSET($O$15,0,0,$B$8,$B$9), 1+AU$14, 0))
) / $B$13)</f>
        <v>0</v>
      </c>
      <c r="AV17" cm="1">
        <f t="array" aca="1" ref="AV17" ca="1">IF($AP17=AV$14, 1, SUMPRODUCT(
    --(OFFSET($O$13,0,0,1,$B$9)=TRUE),
    --(INDEX(OFFSET($O$15,0,0,$B$8,$B$9), 1+$AP17, 0) = INDEX(OFFSET($O$15,0,0,$B$8,$B$9), 1+AV$14, 0))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
) / $B$13)</f>
        <v>0</v>
      </c>
      <c r="AX17" cm="1">
        <f t="array" aca="1" ref="AX17" ca="1">IF($AP17=AX$14, 1, SUMPRODUCT(
    --(OFFSET($O$13,0,0,1,$B$9)=TRUE),
    --(INDEX(OFFSET($O$15,0,0,$B$8,$B$9), 1+$AP17, 0) = INDEX(OFFSET($O$15,0,0,$B$8,$B$9), 1+AX$14, 0))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
) / $B$13)</f>
        <v>0.4</v>
      </c>
      <c r="AZ17" cm="1">
        <f t="array" aca="1" ref="AZ17" ca="1">IF($AP17=AZ$14, 1, SUMPRODUCT(
    --(OFFSET($O$13,0,0,1,$B$9)=TRUE),
    --(INDEX(OFFSET($O$15,0,0,$B$8,$B$9), 1+$AP17, 0) = INDEX(OFFSET($O$15,0,0,$B$8,$B$9), 1+AZ$14, 0))
) / $B$13)</f>
        <v>0.8</v>
      </c>
      <c r="BA17" cm="1">
        <f t="array" aca="1" ref="BA17" ca="1">IF($AP17=BA$14, 1, SUMPRODUCT(
    --(OFFSET($O$13,0,0,1,$B$9)=TRUE),
    --(INDEX(OFFSET($O$15,0,0,$B$8,$B$9), 1+$AP17, 0) = INDEX(OFFSET($O$15,0,0,$B$8,$B$9), 1+BA$14, 0))
) / $B$13)</f>
        <v>0.4</v>
      </c>
      <c r="BB17" cm="1">
        <f t="array" aca="1" ref="BB17" ca="1">IF($AP17=BB$14, 1, SUMPRODUCT(
    --(OFFSET($O$13,0,0,1,$B$9)=TRUE),
    --(INDEX(OFFSET($O$15,0,0,$B$8,$B$9), 1+$AP17, 0) = INDEX(OFFSET($O$15,0,0,$B$8,$B$9), 1+BB$14, 0))
) / $B$13)</f>
        <v>0</v>
      </c>
      <c r="BC17" cm="1">
        <f t="array" aca="1" ref="BC17" ca="1">IF($AP17=BC$14, 1, SUMPRODUCT(
    --(OFFSET($O$13,0,0,1,$B$9)=TRUE),
    --(INDEX(OFFSET($O$15,0,0,$B$8,$B$9), 1+$AP17, 0) = INDEX(OFFSET($O$15,0,0,$B$8,$B$9), 1+BC$14, 0))
) / $B$13)</f>
        <v>0</v>
      </c>
      <c r="BD17" cm="1">
        <f t="array" aca="1" ref="BD17" ca="1">IF($AP17=BD$14, 1, SUMPRODUCT(
    --(OFFSET($O$13,0,0,1,$B$9)=TRUE),
    --(INDEX(OFFSET($O$15,0,0,$B$8,$B$9), 1+$AP17, 0) = INDEX(OFFSET($O$15,0,0,$B$8,$B$9), 1+BD$14, 0))
) / $B$13)</f>
        <v>0.4</v>
      </c>
      <c r="BE17" cm="1">
        <f t="array" aca="1" ref="BE17" ca="1">IF($AP17=BE$14, 1, SUMPRODUCT(
    --(OFFSET($O$13,0,0,1,$B$9)=TRUE),
    --(INDEX(OFFSET($O$15,0,0,$B$8,$B$9), 1+$AP17, 0) = INDEX(OFFSET($O$15,0,0,$B$8,$B$9), 1+BE$14, 0))
) / $B$13)</f>
        <v>0</v>
      </c>
      <c r="BF17" cm="1">
        <f t="array" aca="1" ref="BF17" ca="1">IF($AP17=BF$14, 1, SUMPRODUCT(
    --(OFFSET($O$13,0,0,1,$B$9)=TRUE),
    --(INDEX(OFFSET($O$15,0,0,$B$8,$B$9), 1+$AP17, 0) = INDEX(OFFSET($O$15,0,0,$B$8,$B$9), 1+BF$14, 0))
) / $B$13)</f>
        <v>0</v>
      </c>
      <c r="BG17" cm="1">
        <f t="array" aca="1" ref="BG17" ca="1">IF($AP17=BG$14, 1, SUMPRODUCT(
    --(OFFSET($O$13,0,0,1,$B$9)=TRUE),
    --(INDEX(OFFSET($O$15,0,0,$B$8,$B$9), 1+$AP17, 0) = INDEX(OFFSET($O$15,0,0,$B$8,$B$9), 1+BG$14, 0))
) / $B$13)</f>
        <v>0</v>
      </c>
      <c r="BH17" cm="1">
        <f t="array" aca="1" ref="BH17" ca="1">IF($AP17=BH$14, 1, SUMPRODUCT(
    --(OFFSET($O$13,0,0,1,$B$9)=TRUE),
    --(INDEX(OFFSET($O$15,0,0,$B$8,$B$9), 1+$AP17, 0) = INDEX(OFFSET($O$15,0,0,$B$8,$B$9), 1+BH$14, 0))
) / $B$13)</f>
        <v>0</v>
      </c>
      <c r="BI17" cm="1">
        <f t="array" aca="1" ref="BI17" ca="1">IF($AP17=BI$14, 1, SUMPRODUCT(
    --(OFFSET($O$13,0,0,1,$B$9)=TRUE),
    --(INDEX(OFFSET($O$15,0,0,$B$8,$B$9), 1+$AP17, 0) = INDEX(OFFSET($O$15,0,0,$B$8,$B$9), 1+BI$14, 0))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
) / $B$13)</f>
        <v>0.2</v>
      </c>
      <c r="BN17">
        <f t="shared" ca="1" si="7"/>
        <v>2</v>
      </c>
      <c r="BO17" s="14">
        <f t="shared" ca="1" si="8"/>
        <v>0.5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
) / $B$16)</f>
        <v>0.4</v>
      </c>
      <c r="BR17" cm="1">
        <f t="array" aca="1" ref="BR17" ca="1">IF($BP17=BR$14, 1, SUMPRODUCT(
    --(OFFSET($O$9,0,0,1,$B$9)=TRUE),
    --(INDEX(OFFSET($O$15,0,0,$B$8,$B$9), 1+$BP17, 0) = INDEX(OFFSET($O$15,0,0,$B$8,$B$9), 1+BR$14, 0))
) / $B$16)</f>
        <v>0.4</v>
      </c>
      <c r="BS17" cm="1">
        <f t="array" aca="1" ref="BS17" ca="1">IF($BP17=BS$14, 1, SUMPRODUCT(
    --(OFFSET($O$9,0,0,1,$B$9)=TRUE),
    --(INDEX(OFFSET($O$15,0,0,$B$8,$B$9), 1+$BP17, 0) = INDEX(OFFSET($O$15,0,0,$B$8,$B$9), 1+BS$14, 0))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
) / $B$16)</f>
        <v>0</v>
      </c>
      <c r="BU17" cm="1">
        <f t="array" aca="1" ref="BU17" ca="1">IF($BP17=BU$14, 1, SUMPRODUCT(
    --(OFFSET($O$9,0,0,1,$B$9)=TRUE),
    --(INDEX(OFFSET($O$15,0,0,$B$8,$B$9), 1+$BP17, 0) = INDEX(OFFSET($O$15,0,0,$B$8,$B$9), 1+BU$14, 0))
) / $B$16)</f>
        <v>0</v>
      </c>
      <c r="BV17" cm="1">
        <f t="array" aca="1" ref="BV17" ca="1">IF($BP17=BV$14, 1, SUMPRODUCT(
    --(OFFSET($O$9,0,0,1,$B$9)=TRUE),
    --(INDEX(OFFSET($O$15,0,0,$B$8,$B$9), 1+$BP17, 0) = INDEX(OFFSET($O$15,0,0,$B$8,$B$9), 1+BV$14, 0))
) / $B$16)</f>
        <v>0.4</v>
      </c>
      <c r="BW17" cm="1">
        <f t="array" aca="1" ref="BW17" ca="1">IF($BP17=BW$14, 1, SUMPRODUCT(
    --(OFFSET($O$9,0,0,1,$B$9)=TRUE),
    --(INDEX(OFFSET($O$15,0,0,$B$8,$B$9), 1+$BP17, 0) = INDEX(OFFSET($O$15,0,0,$B$8,$B$9), 1+BW$14, 0))
) / $B$16)</f>
        <v>0</v>
      </c>
      <c r="BX17" cm="1">
        <f t="array" aca="1" ref="BX17" ca="1">IF($BP17=BX$14, 1, SUMPRODUCT(
    --(OFFSET($O$9,0,0,1,$B$9)=TRUE),
    --(INDEX(OFFSET($O$15,0,0,$B$8,$B$9), 1+$BP17, 0) = INDEX(OFFSET($O$15,0,0,$B$8,$B$9), 1+BX$14, 0))
) / $B$16)</f>
        <v>0.4</v>
      </c>
      <c r="BY17" cm="1">
        <f t="array" aca="1" ref="BY17" ca="1">IF($BP17=BY$14, 1, SUMPRODUCT(
    --(OFFSET($O$9,0,0,1,$B$9)=TRUE),
    --(INDEX(OFFSET($O$15,0,0,$B$8,$B$9), 1+$BP17, 0) = INDEX(OFFSET($O$15,0,0,$B$8,$B$9), 1+BY$14, 0))
) / $B$16)</f>
        <v>0.4</v>
      </c>
      <c r="BZ17" cm="1">
        <f t="array" aca="1" ref="BZ17" ca="1">IF($BP17=BZ$14, 1, SUMPRODUCT(
    --(OFFSET($O$9,0,0,1,$B$9)=TRUE),
    --(INDEX(OFFSET($O$15,0,0,$B$8,$B$9), 1+$BP17, 0) = INDEX(OFFSET($O$15,0,0,$B$8,$B$9), 1+BZ$14, 0))
) / $B$16)</f>
        <v>0.8</v>
      </c>
      <c r="CA17" cm="1">
        <f t="array" aca="1" ref="CA17" ca="1">IF($BP17=CA$14, 1, SUMPRODUCT(
    --(OFFSET($O$9,0,0,1,$B$9)=TRUE),
    --(INDEX(OFFSET($O$15,0,0,$B$8,$B$9), 1+$BP17, 0) = INDEX(OFFSET($O$15,0,0,$B$8,$B$9), 1+CA$14, 0))
) / $B$16)</f>
        <v>0.4</v>
      </c>
      <c r="CB17" cm="1">
        <f t="array" aca="1" ref="CB17" ca="1">IF($BP17=CB$14, 1, SUMPRODUCT(
    --(OFFSET($O$9,0,0,1,$B$9)=TRUE),
    --(INDEX(OFFSET($O$15,0,0,$B$8,$B$9), 1+$BP17, 0) = INDEX(OFFSET($O$15,0,0,$B$8,$B$9), 1+CB$14, 0))
) / $B$16)</f>
        <v>0</v>
      </c>
      <c r="CC17" cm="1">
        <f t="array" aca="1" ref="CC17" ca="1">IF($BP17=CC$14, 1, SUMPRODUCT(
    --(OFFSET($O$9,0,0,1,$B$9)=TRUE),
    --(INDEX(OFFSET($O$15,0,0,$B$8,$B$9), 1+$BP17, 0) = INDEX(OFFSET($O$15,0,0,$B$8,$B$9), 1+CC$14, 0))
) / $B$16)</f>
        <v>0</v>
      </c>
      <c r="CD17" cm="1">
        <f t="array" aca="1" ref="CD17" ca="1">IF($BP17=CD$14, 1, SUMPRODUCT(
    --(OFFSET($O$9,0,0,1,$B$9)=TRUE),
    --(INDEX(OFFSET($O$15,0,0,$B$8,$B$9), 1+$BP17, 0) = INDEX(OFFSET($O$15,0,0,$B$8,$B$9), 1+CD$14, 0))
) / $B$16)</f>
        <v>0.4</v>
      </c>
      <c r="CE17" cm="1">
        <f t="array" aca="1" ref="CE17" ca="1">IF($BP17=CE$14, 1, SUMPRODUCT(
    --(OFFSET($O$9,0,0,1,$B$9)=TRUE),
    --(INDEX(OFFSET($O$15,0,0,$B$8,$B$9), 1+$BP17, 0) = INDEX(OFFSET($O$15,0,0,$B$8,$B$9), 1+CE$14, 0))
) / $B$16)</f>
        <v>0</v>
      </c>
      <c r="CF17" cm="1">
        <f t="array" aca="1" ref="CF17" ca="1">IF($BP17=CF$14, 1, SUMPRODUCT(
    --(OFFSET($O$9,0,0,1,$B$9)=TRUE),
    --(INDEX(OFFSET($O$15,0,0,$B$8,$B$9), 1+$BP17, 0) = INDEX(OFFSET($O$15,0,0,$B$8,$B$9), 1+CF$14, 0))
) / $B$16)</f>
        <v>0</v>
      </c>
      <c r="CG17" cm="1">
        <f t="array" aca="1" ref="CG17" ca="1">IF($BP17=CG$14, 1, SUMPRODUCT(
    --(OFFSET($O$9,0,0,1,$B$9)=TRUE),
    --(INDEX(OFFSET($O$15,0,0,$B$8,$B$9), 1+$BP17, 0) = INDEX(OFFSET($O$15,0,0,$B$8,$B$9), 1+CG$14, 0))
) / $B$16)</f>
        <v>0</v>
      </c>
      <c r="CH17" cm="1">
        <f t="array" aca="1" ref="CH17" ca="1">IF($BP17=CH$14, 1, SUMPRODUCT(
    --(OFFSET($O$9,0,0,1,$B$9)=TRUE),
    --(INDEX(OFFSET($O$15,0,0,$B$8,$B$9), 1+$BP17, 0) = INDEX(OFFSET($O$15,0,0,$B$8,$B$9), 1+CH$14, 0))
) / $B$16)</f>
        <v>0</v>
      </c>
      <c r="CI17" cm="1">
        <f t="array" aca="1" ref="CI17" ca="1">IF($BP17=CI$14, 1, SUMPRODUCT(
    --(OFFSET($O$9,0,0,1,$B$9)=TRUE),
    --(INDEX(OFFSET($O$15,0,0,$B$8,$B$9), 1+$BP17, 0) = INDEX(OFFSET($O$15,0,0,$B$8,$B$9), 1+CI$14, 0))
) / $B$16)</f>
        <v>0.4</v>
      </c>
      <c r="CJ17" cm="1">
        <f t="array" aca="1" ref="CJ17" ca="1">IF($BP17=CJ$14, 1, SUMPRODUCT(
    --(OFFSET($O$9,0,0,1,$B$9)=TRUE),
    --(INDEX(OFFSET($O$15,0,0,$B$8,$B$9), 1+$BP17, 0) = INDEX(OFFSET($O$15,0,0,$B$8,$B$9), 1+CJ$14, 0))
) / $B$16)</f>
        <v>0.2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5.0090909090909089E-2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0.25584848484848483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0.29993939393939389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0.19706060606060605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0.19706060606060605</v>
      </c>
      <c r="CX17" s="18" cm="1">
        <f t="array" aca="1" ref="CX17" ca="1">SUM(OFFSET($CR17,0,0,1,$M$2)*IFERROR(LN(OFFSET($CR17,0,0,1,$M$2)/OFFSET($CR$11,0,0,1,$M$2)), 0))+IF($CQ$11&gt;0,OFFSET($O$10,0,$CP17,1,1)*IFERROR(LN(OFFSET($O$10,0,$CP17,1,1)/$CQ$11), 0),0)</f>
        <v>4.5131096235262264E-2</v>
      </c>
      <c r="CY17">
        <f ca="1"/>
        <v>2</v>
      </c>
      <c r="CZ17" s="10">
        <f t="shared" ca="1" si="10"/>
        <v>9.0744935799018378E-5</v>
      </c>
      <c r="DA17" s="10">
        <f t="shared" ca="1" si="9"/>
        <v>6.3862345656485603E-3</v>
      </c>
      <c r="DB17" s="10">
        <f t="shared" ca="1" si="9"/>
        <v>7.8748177038583597E-3</v>
      </c>
      <c r="DC17" s="10">
        <f t="shared" ca="1" si="9"/>
        <v>7.8748177038583597E-3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$B$18/($B$19*$B$19*($DF17&lt;&gt;$DG17) + $B$19*($DF17=$DG17))</f>
        <v>0.11877575757575758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$B$18/($B$19*$B$19*($DF17&lt;&gt;$DG17) + $B$19*($DF17=$DG17))</f>
        <v>0.11877575757575758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$B$18/($B$19*$B$19*($DF17&lt;&gt;$DG17) + $B$19*($DF17=$DG17))</f>
        <v>5.9987878787878784E-2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$B$18/($B$19*$B$19*($DF17&lt;&gt;$DG17) + $B$19*($DF17=$DG17))</f>
        <v>5.9987878787878784E-2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$B$18/($B$19*$B$19*($DF17&lt;&gt;$DG17) + $B$19*($DF17=$DG17))</f>
        <v>4.529090909090909E-2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$B$18/($B$19*$B$19*($DF17&lt;&gt;$DG17) + $B$19*($DF17=$DG17))</f>
        <v>4.529090909090909E-2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$B$18/($B$19*$B$19*($DF17&lt;&gt;$DG17) + $B$19*($DF17=$DG17))</f>
        <v>4.529090909090909E-2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$B$18/($B$19*$B$19*($DF17&lt;&gt;$DG17) + $B$19*($DF17=$DG17))</f>
        <v>4.529090909090909E-2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$B$18/($B$19*$B$19*($DF17&lt;&gt;$DG17) + $B$19*($DF17=$DG17))</f>
        <v>4.529090909090909E-2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$B$18/($B$19*$B$19*($DF17&lt;&gt;$DG17) + $B$19*($DF17=$DG17))</f>
        <v>4.529090909090909E-2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$B$18/($B$19*$B$19*($DF17&lt;&gt;$DG17) + $B$19*($DF17=$DG17))</f>
        <v>1.1999999999999999E-3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$B$18/($B$19*$B$19*($DF17&lt;&gt;$DG17) + $B$19*($DF17=$DG17))</f>
        <v>4.529090909090909E-2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$B$18/($B$19*$B$19*($DF17&lt;&gt;$DG17) + $B$19*($DF17=$DG17))</f>
        <v>4.529090909090909E-2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$B$18/($B$19*$B$19*($DF17&lt;&gt;$DG17) + $B$19*($DF17=$DG17))</f>
        <v>8.9381818181818187E-2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$B$18/($B$19*$B$19*($DF17&lt;&gt;$DG17) + $B$19*($DF17=$DG17))</f>
        <v>8.9381818181818187E-2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$B$18/($B$19*$B$19*($DF17&lt;&gt;$DG17) + $B$19*($DF17=$DG17))</f>
        <v>4.529090909090909E-2</v>
      </c>
      <c r="ED17" cm="1">
        <f t="array" aca="1" ref="ED17" ca="1">INDEX(_xlfn.ANCHORARRAY($CP$15), 1 + INT((ROWS($DG$15:$DG17) - 1) / ROWS(_xlfn.ANCHORARRAY($CP$15))))</f>
        <v>0</v>
      </c>
      <c r="EE17" cm="1">
        <f t="array" aca="1" ref="EE17" ca="1">INDEX(_xlfn.ANCHORARRAY($CP$15),1+MOD(ROWS($DG$15:$DG17)-1,ROWS(_xlfn.ANCHORARRAY($CP$15))))</f>
        <v>2</v>
      </c>
      <c r="EF17" s="10" cm="1">
        <f t="array" aca="1" ref="EF17" ca="1">DH17-_xlfn.XLOOKUP(EF$13,_xlfn.ANCHORARRAY( $CR$14), _xlfn.XLOOKUP($ED17,_xlfn.ANCHORARRAY( $CP$15), $CR$15:$CU$19)) * _xlfn.XLOOKUP(EF$14,_xlfn.ANCHORARRAY( $CR$14), _xlfn.XLOOKUP($EE17,_xlfn.ANCHORARRAY( $CP$15), $CR$15:$CU$19))</f>
        <v>2.6995928374655656E-2</v>
      </c>
      <c r="EG17" s="10" cm="1">
        <f t="array" aca="1" ref="EG17" ca="1">DI17-_xlfn.XLOOKUP(EG$13,_xlfn.ANCHORARRAY( $CR$14), _xlfn.XLOOKUP($ED17,_xlfn.ANCHORARRAY( $CP$15), $CR$15:$CU$19)) * _xlfn.XLOOKUP(EG$14,_xlfn.ANCHORARRAY( $CR$14), _xlfn.XLOOKUP($EE17,_xlfn.ANCHORARRAY( $CP$15), $CR$15:$CU$19))</f>
        <v>1.117931680440773E-2</v>
      </c>
      <c r="EH17" s="10" cm="1">
        <f t="array" aca="1" ref="EH17" ca="1">DJ17-_xlfn.XLOOKUP(EH$13,_xlfn.ANCHORARRAY( $CR$14), _xlfn.XLOOKUP($ED17,_xlfn.ANCHORARRAY( $CP$15), $CR$15:$CU$19)) * _xlfn.XLOOKUP(EH$14,_xlfn.ANCHORARRAY( $CR$14), _xlfn.XLOOKUP($EE17,_xlfn.ANCHORARRAY( $CP$15), $CR$15:$CU$19))</f>
        <v>-1.0703134986225896E-2</v>
      </c>
      <c r="EI17" s="10" cm="1">
        <f t="array" aca="1" ref="EI17" ca="1">DK17-_xlfn.XLOOKUP(EI$13,_xlfn.ANCHORARRAY( $CR$14), _xlfn.XLOOKUP($ED17,_xlfn.ANCHORARRAY( $CP$15), $CR$15:$CU$19)) * _xlfn.XLOOKUP(EI$14,_xlfn.ANCHORARRAY( $CR$14), _xlfn.XLOOKUP($EE17,_xlfn.ANCHORARRAY( $CP$15), $CR$15:$CU$19))</f>
        <v>-1.0703134986225896E-2</v>
      </c>
      <c r="EJ17" s="10" cm="1">
        <f t="array" aca="1" ref="EJ17" ca="1">DL17-_xlfn.XLOOKUP(EJ$13,_xlfn.ANCHORARRAY( $CR$14), _xlfn.XLOOKUP($ED17,_xlfn.ANCHORARRAY( $CP$15), $CR$15:$CU$19)) * _xlfn.XLOOKUP(EJ$14,_xlfn.ANCHORARRAY( $CR$14), _xlfn.XLOOKUP($EE17,_xlfn.ANCHORARRAY( $CP$15), $CR$15:$CU$19))</f>
        <v>-1.3665509641873283E-3</v>
      </c>
      <c r="EK17" s="10" cm="1">
        <f t="array" aca="1" ref="EK17" ca="1">DM17-_xlfn.XLOOKUP(EK$13,_xlfn.ANCHORARRAY( $CR$14), _xlfn.XLOOKUP($ED17,_xlfn.ANCHORARRAY( $CP$15), $CR$15:$CU$19)) * _xlfn.XLOOKUP(EK$14,_xlfn.ANCHORARRAY( $CR$14), _xlfn.XLOOKUP($EE17,_xlfn.ANCHORARRAY( $CP$15), $CR$15:$CU$19))</f>
        <v>-9.4071294765840155E-3</v>
      </c>
      <c r="EL17" s="10" cm="1">
        <f t="array" aca="1" ref="EL17" ca="1">DN17-_xlfn.XLOOKUP(EL$13,_xlfn.ANCHORARRAY( $CR$14), _xlfn.XLOOKUP($ED17,_xlfn.ANCHORARRAY( $CP$15), $CR$15:$CU$19)) * _xlfn.XLOOKUP(EL$14,_xlfn.ANCHORARRAY( $CR$14), _xlfn.XLOOKUP($EE17,_xlfn.ANCHORARRAY( $CP$15), $CR$15:$CU$19))</f>
        <v>9.3542203856749329E-3</v>
      </c>
      <c r="EM17" s="10" cm="1">
        <f t="array" aca="1" ref="EM17" ca="1">DO17-_xlfn.XLOOKUP(EM$13,_xlfn.ANCHORARRAY( $CR$14), _xlfn.XLOOKUP($ED17,_xlfn.ANCHORARRAY( $CP$15), $CR$15:$CU$19)) * _xlfn.XLOOKUP(EM$14,_xlfn.ANCHORARRAY( $CR$14), _xlfn.XLOOKUP($EE17,_xlfn.ANCHORARRAY( $CP$15), $CR$15:$CU$19))</f>
        <v>9.3542203856749329E-3</v>
      </c>
      <c r="EN17" s="10" cm="1">
        <f t="array" aca="1" ref="EN17" ca="1">DP17-_xlfn.XLOOKUP(EN$13,_xlfn.ANCHORARRAY( $CR$14), _xlfn.XLOOKUP($ED17,_xlfn.ANCHORARRAY( $CP$15), $CR$15:$CU$19)) * _xlfn.XLOOKUP(EN$14,_xlfn.ANCHORARRAY( $CR$14), _xlfn.XLOOKUP($EE17,_xlfn.ANCHORARRAY( $CP$15), $CR$15:$CU$19))</f>
        <v>-1.3665509641873283E-3</v>
      </c>
      <c r="EO17" s="10" cm="1">
        <f t="array" aca="1" ref="EO17" ca="1">DQ17-_xlfn.XLOOKUP(EO$13,_xlfn.ANCHORARRAY( $CR$14), _xlfn.XLOOKUP($ED17,_xlfn.ANCHORARRAY( $CP$15), $CR$15:$CU$19)) * _xlfn.XLOOKUP(EO$14,_xlfn.ANCHORARRAY( $CR$14), _xlfn.XLOOKUP($EE17,_xlfn.ANCHORARRAY( $CP$15), $CR$15:$CU$19))</f>
        <v>-9.4071294765840155E-3</v>
      </c>
      <c r="EP17" s="10" cm="1">
        <f t="array" aca="1" ref="EP17" ca="1">DR17-_xlfn.XLOOKUP(EP$13,_xlfn.ANCHORARRAY( $CR$14), _xlfn.XLOOKUP($ED17,_xlfn.ANCHORARRAY( $CP$15), $CR$15:$CU$19)) * _xlfn.XLOOKUP(EP$14,_xlfn.ANCHORARRAY( $CR$14), _xlfn.XLOOKUP($EE17,_xlfn.ANCHORARRAY( $CP$15), $CR$15:$CU$19))</f>
        <v>-3.4736688705234157E-2</v>
      </c>
      <c r="EQ17" s="10" cm="1">
        <f t="array" aca="1" ref="EQ17" ca="1">DS17-_xlfn.XLOOKUP(EQ$13,_xlfn.ANCHORARRAY( $CR$14), _xlfn.XLOOKUP($ED17,_xlfn.ANCHORARRAY( $CP$15), $CR$15:$CU$19)) * _xlfn.XLOOKUP(EQ$14,_xlfn.ANCHORARRAY( $CR$14), _xlfn.XLOOKUP($EE17,_xlfn.ANCHORARRAY( $CP$15), $CR$15:$CU$19))</f>
        <v>9.3542203856749329E-3</v>
      </c>
      <c r="ER17" s="10" cm="1">
        <f t="array" aca="1" ref="ER17" ca="1">DT17-_xlfn.XLOOKUP(ER$13,_xlfn.ANCHORARRAY( $CR$14), _xlfn.XLOOKUP($ED17,_xlfn.ANCHORARRAY( $CP$15), $CR$15:$CU$19)) * _xlfn.XLOOKUP(ER$14,_xlfn.ANCHORARRAY( $CR$14), _xlfn.XLOOKUP($EE17,_xlfn.ANCHORARRAY( $CP$15), $CR$15:$CU$19))</f>
        <v>-2.392773553719009E-2</v>
      </c>
      <c r="ES17" s="10" cm="1">
        <f t="array" aca="1" ref="ES17" ca="1">DU17-_xlfn.XLOOKUP(ES$13,_xlfn.ANCHORARRAY( $CR$14), _xlfn.XLOOKUP($ED17,_xlfn.ANCHORARRAY( $CP$15), $CR$15:$CU$19)) * _xlfn.XLOOKUP(ES$14,_xlfn.ANCHORARRAY( $CR$14), _xlfn.XLOOKUP($EE17,_xlfn.ANCHORARRAY( $CP$15), $CR$15:$CU$19))</f>
        <v>8.2345785123967008E-3</v>
      </c>
      <c r="ET17" s="10" cm="1">
        <f t="array" aca="1" ref="ET17" ca="1">DV17-_xlfn.XLOOKUP(ET$13,_xlfn.ANCHORARRAY( $CR$14), _xlfn.XLOOKUP($ED17,_xlfn.ANCHORARRAY( $CP$15), $CR$15:$CU$19)) * _xlfn.XLOOKUP(ET$14,_xlfn.ANCHORARRAY( $CR$14), _xlfn.XLOOKUP($EE17,_xlfn.ANCHORARRAY( $CP$15), $CR$15:$CU$19))</f>
        <v>3.6067966942148762E-2</v>
      </c>
      <c r="EU17" s="10" cm="1">
        <f t="array" aca="1" ref="EU17" ca="1">DW17-_xlfn.XLOOKUP(EU$13,_xlfn.ANCHORARRAY( $CR$14), _xlfn.XLOOKUP($ED17,_xlfn.ANCHORARRAY( $CP$15), $CR$15:$CU$19)) * _xlfn.XLOOKUP(EU$14,_xlfn.ANCHORARRAY( $CR$14), _xlfn.XLOOKUP($EE17,_xlfn.ANCHORARRAY( $CP$15), $CR$15:$CU$19))</f>
        <v>-8.0229421487603356E-3</v>
      </c>
      <c r="EZ17" cm="1">
        <f t="array" aca="1" ref="EZ17" ca="1">INDEX(_xlfn.ANCHORARRAY($CP$15), 1 + INT((ROWS($DG$15:$DG17) - 1) / ROWS(_xlfn.ANCHORARRAY($CP$15))))</f>
        <v>0</v>
      </c>
      <c r="FA17" cm="1">
        <f t="array" aca="1" ref="FA17" ca="1">INDEX(_xlfn.ANCHORARRAY($CP$15),1+MOD(ROWS($DG$15:$DG17)-1,ROWS(_xlfn.ANCHORARRAY($CP$15))))</f>
        <v>2</v>
      </c>
      <c r="FB17" s="10" cm="1">
        <f t="array" aca="1" ref="FB17" ca="1">EF17 * _xlfn.XLOOKUP(FB$13,_xlfn.ANCHORARRAY( $CZ$29), _xlfn.XLOOKUP($EZ17,_xlfn.ANCHORARRAY( $CY$30), $CZ$30:$DC$34)) * _xlfn.XLOOKUP(FB$14,_xlfn.ANCHORARRAY( $CZ$29), _xlfn.XLOOKUP($FA17,_xlfn.ANCHORARRAY( $CY$30), $CZ$30:$DC$34))</f>
        <v>4.3260982864928383E-4</v>
      </c>
      <c r="FC17" s="10" cm="1">
        <f t="array" aca="1" ref="FC17" ca="1">EG17 * _xlfn.XLOOKUP(FC$13,_xlfn.ANCHORARRAY( $CZ$29), _xlfn.XLOOKUP($EZ17,_xlfn.ANCHORARRAY( $CY$30), $CZ$30:$DC$34)) * _xlfn.XLOOKUP(FC$14,_xlfn.ANCHORARRAY( $CZ$29), _xlfn.XLOOKUP($FA17,_xlfn.ANCHORARRAY( $CY$30), $CZ$30:$DC$34))</f>
        <v>1.4528757391950196E-3</v>
      </c>
      <c r="FD17" s="10" cm="1">
        <f t="array" aca="1" ref="FD17" ca="1">EH17 * _xlfn.XLOOKUP(FD$13,_xlfn.ANCHORARRAY( $CZ$29), _xlfn.XLOOKUP($EZ17,_xlfn.ANCHORARRAY( $CY$30), $CZ$30:$DC$34)) * _xlfn.XLOOKUP(FD$14,_xlfn.ANCHORARRAY( $CZ$29), _xlfn.XLOOKUP($FA17,_xlfn.ANCHORARRAY( $CY$30), $CZ$30:$DC$34))</f>
        <v>1.6964773655944287E-3</v>
      </c>
      <c r="FE17" s="10" cm="1">
        <f t="array" aca="1" ref="FE17" ca="1">EI17 * _xlfn.XLOOKUP(FE$13,_xlfn.ANCHORARRAY( $CZ$29), _xlfn.XLOOKUP($EZ17,_xlfn.ANCHORARRAY( $CY$30), $CZ$30:$DC$34)) * _xlfn.XLOOKUP(FE$14,_xlfn.ANCHORARRAY( $CZ$29), _xlfn.XLOOKUP($FA17,_xlfn.ANCHORARRAY( $CY$30), $CZ$30:$DC$34))</f>
        <v>1.6964773655944287E-3</v>
      </c>
      <c r="FF17" s="10" cm="1">
        <f t="array" aca="1" ref="FF17" ca="1">EJ17 * _xlfn.XLOOKUP(FF$13,_xlfn.ANCHORARRAY( $CZ$29), _xlfn.XLOOKUP($EZ17,_xlfn.ANCHORARRAY( $CY$30), $CZ$30:$DC$34)) * _xlfn.XLOOKUP(FF$14,_xlfn.ANCHORARRAY( $CZ$29), _xlfn.XLOOKUP($FA17,_xlfn.ANCHORARRAY( $CY$30), $CZ$30:$DC$34))</f>
        <v>1.6995814438079056E-5</v>
      </c>
      <c r="FG17" s="10" cm="1">
        <f t="array" aca="1" ref="FG17" ca="1">EK17 * _xlfn.XLOOKUP(FG$13,_xlfn.ANCHORARRAY( $CZ$29), _xlfn.XLOOKUP($EZ17,_xlfn.ANCHORARRAY( $CY$30), $CZ$30:$DC$34)) * _xlfn.XLOOKUP(FG$14,_xlfn.ANCHORARRAY( $CZ$29), _xlfn.XLOOKUP($FA17,_xlfn.ANCHORARRAY( $CY$30), $CZ$30:$DC$34))</f>
        <v>9.4882990163350027E-4</v>
      </c>
      <c r="FH17" s="10" cm="1">
        <f t="array" aca="1" ref="FH17" ca="1">EL17 * _xlfn.XLOOKUP(FH$13,_xlfn.ANCHORARRAY( $CZ$29), _xlfn.XLOOKUP($EZ17,_xlfn.ANCHORARRAY( $CY$30), $CZ$30:$DC$34)) * _xlfn.XLOOKUP(FH$14,_xlfn.ANCHORARRAY( $CZ$29), _xlfn.XLOOKUP($FA17,_xlfn.ANCHORARRAY( $CY$30), $CZ$30:$DC$34))</f>
        <v>1.150701548569005E-3</v>
      </c>
      <c r="FI17" s="10" cm="1">
        <f t="array" aca="1" ref="FI17" ca="1">EM17 * _xlfn.XLOOKUP(FI$13,_xlfn.ANCHORARRAY( $CZ$29), _xlfn.XLOOKUP($EZ17,_xlfn.ANCHORARRAY( $CY$30), $CZ$30:$DC$34)) * _xlfn.XLOOKUP(FI$14,_xlfn.ANCHORARRAY( $CZ$29), _xlfn.XLOOKUP($FA17,_xlfn.ANCHORARRAY( $CY$30), $CZ$30:$DC$34))</f>
        <v>1.150701548569005E-3</v>
      </c>
      <c r="FJ17" s="10" cm="1">
        <f t="array" aca="1" ref="FJ17" ca="1">EN17 * _xlfn.XLOOKUP(FJ$13,_xlfn.ANCHORARRAY( $CZ$29), _xlfn.XLOOKUP($EZ17,_xlfn.ANCHORARRAY( $CY$30), $CZ$30:$DC$34)) * _xlfn.XLOOKUP(FJ$14,_xlfn.ANCHORARRAY( $CZ$29), _xlfn.XLOOKUP($FA17,_xlfn.ANCHORARRAY( $CY$30), $CZ$30:$DC$34))</f>
        <v>1.6995814438079056E-5</v>
      </c>
      <c r="FK17" s="10" cm="1">
        <f t="array" aca="1" ref="FK17" ca="1">EO17 * _xlfn.XLOOKUP(FK$13,_xlfn.ANCHORARRAY( $CZ$29), _xlfn.XLOOKUP($EZ17,_xlfn.ANCHORARRAY( $CY$30), $CZ$30:$DC$34)) * _xlfn.XLOOKUP(FK$14,_xlfn.ANCHORARRAY( $CZ$29), _xlfn.XLOOKUP($FA17,_xlfn.ANCHORARRAY( $CY$30), $CZ$30:$DC$34))</f>
        <v>9.4882990163350027E-4</v>
      </c>
      <c r="FL17" s="10" cm="1">
        <f t="array" aca="1" ref="FL17" ca="1">EP17 * _xlfn.XLOOKUP(FL$13,_xlfn.ANCHORARRAY( $CZ$29), _xlfn.XLOOKUP($EZ17,_xlfn.ANCHORARRAY( $CY$30), $CZ$30:$DC$34)) * _xlfn.XLOOKUP(FL$14,_xlfn.ANCHORARRAY( $CZ$29), _xlfn.XLOOKUP($FA17,_xlfn.ANCHORARRAY( $CY$30), $CZ$30:$DC$34))</f>
        <v>-4.2731045279289035E-3</v>
      </c>
      <c r="FM17" s="10" cm="1">
        <f t="array" aca="1" ref="FM17" ca="1">EQ17 * _xlfn.XLOOKUP(FM$13,_xlfn.ANCHORARRAY( $CZ$29), _xlfn.XLOOKUP($EZ17,_xlfn.ANCHORARRAY( $CY$30), $CZ$30:$DC$34)) * _xlfn.XLOOKUP(FM$14,_xlfn.ANCHORARRAY( $CZ$29), _xlfn.XLOOKUP($FA17,_xlfn.ANCHORARRAY( $CY$30), $CZ$30:$DC$34))</f>
        <v>1.150701548569005E-3</v>
      </c>
      <c r="FN17" s="10" cm="1">
        <f t="array" aca="1" ref="FN17" ca="1">ER17 * _xlfn.XLOOKUP(FN$13,_xlfn.ANCHORARRAY( $CZ$29), _xlfn.XLOOKUP($EZ17,_xlfn.ANCHORARRAY( $CY$30), $CZ$30:$DC$34)) * _xlfn.XLOOKUP(FN$14,_xlfn.ANCHORARRAY( $CZ$29), _xlfn.XLOOKUP($FA17,_xlfn.ANCHORARRAY( $CY$30), $CZ$30:$DC$34))</f>
        <v>-7.9066871506009996E-5</v>
      </c>
      <c r="FO17" s="10" cm="1">
        <f t="array" aca="1" ref="FO17" ca="1">ES17 * _xlfn.XLOOKUP(FO$13,_xlfn.ANCHORARRAY( $CZ$29), _xlfn.XLOOKUP($EZ17,_xlfn.ANCHORARRAY( $CY$30), $CZ$30:$DC$34)) * _xlfn.XLOOKUP(FO$14,_xlfn.ANCHORARRAY( $CZ$29), _xlfn.XLOOKUP($FA17,_xlfn.ANCHORARRAY( $CY$30), $CZ$30:$DC$34))</f>
        <v>2.2067311376447541E-4</v>
      </c>
      <c r="FP17" s="10" cm="1">
        <f t="array" aca="1" ref="FP17" ca="1">ET17 * _xlfn.XLOOKUP(FP$13,_xlfn.ANCHORARRAY( $CZ$29), _xlfn.XLOOKUP($EZ17,_xlfn.ANCHORARRAY( $CY$30), $CZ$30:$DC$34)) * _xlfn.XLOOKUP(FP$14,_xlfn.ANCHORARRAY( $CZ$29), _xlfn.XLOOKUP($FA17,_xlfn.ANCHORARRAY( $CY$30), $CZ$30:$DC$34))</f>
        <v>-1.1788364884907042E-3</v>
      </c>
      <c r="FQ17" s="10" cm="1">
        <f t="array" aca="1" ref="FQ17" ca="1">EU17 * _xlfn.XLOOKUP(FQ$13,_xlfn.ANCHORARRAY( $CZ$29), _xlfn.XLOOKUP($EZ17,_xlfn.ANCHORARRAY( $CY$30), $CZ$30:$DC$34)) * _xlfn.XLOOKUP(FQ$14,_xlfn.ANCHORARRAY( $CZ$29), _xlfn.XLOOKUP($FA17,_xlfn.ANCHORARRAY( $CY$30), $CZ$30:$DC$34))</f>
        <v>2.6221985190289323E-4</v>
      </c>
      <c r="FT17" cm="1">
        <f t="array" aca="1" ref="FT17" ca="1">SQRT(SUM((FB17:FQ17)^2))</f>
        <v>5.7965792964557554E-3</v>
      </c>
    </row>
    <row r="18" spans="1:176" x14ac:dyDescent="0.2">
      <c r="A18" t="s">
        <v>47</v>
      </c>
      <c r="B18">
        <v>0.03</v>
      </c>
      <c r="D18" s="10">
        <f ca="1"/>
        <v>4</v>
      </c>
      <c r="F18" s="10">
        <f ca="1"/>
        <v>0.33333333333333331</v>
      </c>
      <c r="H18" s="10">
        <f ca="1"/>
        <v>3</v>
      </c>
      <c r="J18" cm="1">
        <f t="array" aca="1" ref="J18" ca="1">SUMPRODUCT((O18:AJ18=$O$11:$AJ$11)*(O$13:AJ$13=TRUE))  / COUNTIF(O$13:AJ$13,TRUE)</f>
        <v>0.2</v>
      </c>
      <c r="K18" t="b">
        <f t="shared" ca="1" si="3"/>
        <v>1</v>
      </c>
      <c r="L18" cm="1">
        <f t="array" aca="1" ref="L18" ca="1">SUM(
   1*(_xlfn._xlws.FILTER(OFFSET($O18,0,0,1,$B$9),OFFSET($O$13,0,0,1,$B$9)) = "-")
) / $B$13</f>
        <v>0.6</v>
      </c>
      <c r="M18" t="b">
        <f t="shared" ca="1" si="4"/>
        <v>0</v>
      </c>
      <c r="N18" s="2">
        <v>3</v>
      </c>
      <c r="O18" s="12" t="s">
        <v>5</v>
      </c>
      <c r="P18" s="9" t="s">
        <v>2</v>
      </c>
      <c r="Q18" s="9" t="s">
        <v>5</v>
      </c>
      <c r="R18" s="9" t="s">
        <v>3</v>
      </c>
      <c r="S18" s="9" t="s">
        <v>5</v>
      </c>
      <c r="AK18" s="7"/>
      <c r="AN18">
        <f t="shared" ca="1" si="5"/>
        <v>3</v>
      </c>
      <c r="AO18" s="14">
        <f t="shared" ca="1" si="6"/>
        <v>0.33333333333333331</v>
      </c>
      <c r="AP18" s="2">
        <f ca="1"/>
        <v>4</v>
      </c>
      <c r="AQ18" cm="1">
        <f t="array" aca="1" ref="AQ18" ca="1">IF($AP18=AQ$14, 1, SUMPRODUCT(
    --(OFFSET($O$13,0,0,1,$B$9)=TRUE),
    --(INDEX(OFFSET($O$15,0,0,$B$8,$B$9), 1+$AP18, 0) = INDEX(OFFSET($O$15,0,0,$B$8,$B$9), 1+AQ$14, 0))
) / $B$13)</f>
        <v>0.4</v>
      </c>
      <c r="AR18" cm="1">
        <f t="array" aca="1" ref="AR18" ca="1">IF($AP18=AR$14, 1, SUMPRODUCT(
    --(OFFSET($O$13,0,0,1,$B$9)=TRUE),
    --(INDEX(OFFSET($O$15,0,0,$B$8,$B$9), 1+$AP18, 0) = INDEX(OFFSET($O$15,0,0,$B$8,$B$9), 1+AR$14, 0))
) / $B$13)</f>
        <v>0</v>
      </c>
      <c r="AS18" cm="1">
        <f t="array" aca="1" ref="AS18" ca="1">IF($AP18=AS$14, 1, SUMPRODUCT(
    --(OFFSET($O$13,0,0,1,$B$9)=TRUE),
    --(INDEX(OFFSET($O$15,0,0,$B$8,$B$9), 1+$AP18, 0) = INDEX(OFFSET($O$15,0,0,$B$8,$B$9), 1+AS$14, 0))
) / $B$13)</f>
        <v>0</v>
      </c>
      <c r="AT18" cm="1">
        <f t="array" aca="1" ref="AT18" ca="1">IF($AP18=AT$14, 1, SUMPRODUCT(
    --(OFFSET($O$13,0,0,1,$B$9)=TRUE),
    --(INDEX(OFFSET($O$15,0,0,$B$8,$B$9), 1+$AP18, 0) = INDEX(OFFSET($O$15,0,0,$B$8,$B$9), 1+AT$14, 0))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
) / $B$13)</f>
        <v>0.6</v>
      </c>
      <c r="AV18" cm="1">
        <f t="array" aca="1" ref="AV18" ca="1">IF($AP18=AV$14, 1, SUMPRODUCT(
    --(OFFSET($O$13,0,0,1,$B$9)=TRUE),
    --(INDEX(OFFSET($O$15,0,0,$B$8,$B$9), 1+$AP18, 0) = INDEX(OFFSET($O$15,0,0,$B$8,$B$9), 1+AV$14, 0))
) / $B$13)</f>
        <v>0.6</v>
      </c>
      <c r="AW18" cm="1">
        <f t="array" aca="1" ref="AW18" ca="1">IF($AP18=AW$14, 1, SUMPRODUCT(
    --(OFFSET($O$13,0,0,1,$B$9)=TRUE),
    --(INDEX(OFFSET($O$15,0,0,$B$8,$B$9), 1+$AP18, 0) = INDEX(OFFSET($O$15,0,0,$B$8,$B$9), 1+AW$14, 0))
) / $B$13)</f>
        <v>0.6</v>
      </c>
      <c r="AX18" cm="1">
        <f t="array" aca="1" ref="AX18" ca="1">IF($AP18=AX$14, 1, SUMPRODUCT(
    --(OFFSET($O$13,0,0,1,$B$9)=TRUE),
    --(INDEX(OFFSET($O$15,0,0,$B$8,$B$9), 1+$AP18, 0) = INDEX(OFFSET($O$15,0,0,$B$8,$B$9), 1+AX$14, 0))
) / $B$13)</f>
        <v>0.4</v>
      </c>
      <c r="AY18" cm="1">
        <f t="array" aca="1" ref="AY18" ca="1">IF($AP18=AY$14, 1, SUMPRODUCT(
    --(OFFSET($O$13,0,0,1,$B$9)=TRUE),
    --(INDEX(OFFSET($O$15,0,0,$B$8,$B$9), 1+$AP18, 0) = INDEX(OFFSET($O$15,0,0,$B$8,$B$9), 1+AY$14, 0))
) / $B$13)</f>
        <v>0</v>
      </c>
      <c r="AZ18" cm="1">
        <f t="array" aca="1" ref="AZ18" ca="1">IF($AP18=AZ$14, 1, SUMPRODUCT(
    --(OFFSET($O$13,0,0,1,$B$9)=TRUE),
    --(INDEX(OFFSET($O$15,0,0,$B$8,$B$9), 1+$AP18, 0) = INDEX(OFFSET($O$15,0,0,$B$8,$B$9), 1+AZ$14, 0))
) / $B$13)</f>
        <v>0</v>
      </c>
      <c r="BA18" cm="1">
        <f t="array" aca="1" ref="BA18" ca="1">IF($AP18=BA$14, 1, SUMPRODUCT(
    --(OFFSET($O$13,0,0,1,$B$9)=TRUE),
    --(INDEX(OFFSET($O$15,0,0,$B$8,$B$9), 1+$AP18, 0) = INDEX(OFFSET($O$15,0,0,$B$8,$B$9), 1+BA$14, 0))
) / $B$13)</f>
        <v>0</v>
      </c>
      <c r="BB18" cm="1">
        <f t="array" aca="1" ref="BB18" ca="1">IF($AP18=BB$14, 1, SUMPRODUCT(
    --(OFFSET($O$13,0,0,1,$B$9)=TRUE),
    --(INDEX(OFFSET($O$15,0,0,$B$8,$B$9), 1+$AP18, 0) = INDEX(OFFSET($O$15,0,0,$B$8,$B$9), 1+BB$14, 0))
) / $B$13)</f>
        <v>0.8</v>
      </c>
      <c r="BC18" cm="1">
        <f t="array" aca="1" ref="BC18" ca="1">IF($AP18=BC$14, 1, SUMPRODUCT(
    --(OFFSET($O$13,0,0,1,$B$9)=TRUE),
    --(INDEX(OFFSET($O$15,0,0,$B$8,$B$9), 1+$AP18, 0) = INDEX(OFFSET($O$15,0,0,$B$8,$B$9), 1+BC$14, 0))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
) / $B$13)</f>
        <v>0.4</v>
      </c>
      <c r="BE18" cm="1">
        <f t="array" aca="1" ref="BE18" ca="1">IF($AP18=BE$14, 1, SUMPRODUCT(
    --(OFFSET($O$13,0,0,1,$B$9)=TRUE),
    --(INDEX(OFFSET($O$15,0,0,$B$8,$B$9), 1+$AP18, 0) = INDEX(OFFSET($O$15,0,0,$B$8,$B$9), 1+BE$14, 0))
) / $B$13)</f>
        <v>0.4</v>
      </c>
      <c r="BF18" cm="1">
        <f t="array" aca="1" ref="BF18" ca="1">IF($AP18=BF$14, 1, SUMPRODUCT(
    --(OFFSET($O$13,0,0,1,$B$9)=TRUE),
    --(INDEX(OFFSET($O$15,0,0,$B$8,$B$9), 1+$AP18, 0) = INDEX(OFFSET($O$15,0,0,$B$8,$B$9), 1+BF$14, 0))
) / $B$13)</f>
        <v>0.4</v>
      </c>
      <c r="BG18" cm="1">
        <f t="array" aca="1" ref="BG18" ca="1">IF($AP18=BG$14, 1, SUMPRODUCT(
    --(OFFSET($O$13,0,0,1,$B$9)=TRUE),
    --(INDEX(OFFSET($O$15,0,0,$B$8,$B$9), 1+$AP18, 0) = INDEX(OFFSET($O$15,0,0,$B$8,$B$9), 1+BG$14, 0))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
) / $B$13)</f>
        <v>0.8</v>
      </c>
      <c r="BI18" cm="1">
        <f t="array" aca="1" ref="BI18" ca="1">IF($AP18=BI$14, 1, SUMPRODUCT(
    --(OFFSET($O$13,0,0,1,$B$9)=TRUE),
    --(INDEX(OFFSET($O$15,0,0,$B$8,$B$9), 1+$AP18, 0) = INDEX(OFFSET($O$15,0,0,$B$8,$B$9), 1+BI$14, 0))
) / $B$13)</f>
        <v>0.6</v>
      </c>
      <c r="BJ18" cm="1">
        <f t="array" aca="1" ref="BJ18" ca="1">IF($AP18=BJ$14, 1, SUMPRODUCT(
    --(OFFSET($O$13,0,0,1,$B$9)=TRUE),
    --(INDEX(OFFSET($O$15,0,0,$B$8,$B$9), 1+$AP18, 0) = INDEX(OFFSET($O$15,0,0,$B$8,$B$9), 1+BJ$14, 0))
) / $B$13)</f>
        <v>0</v>
      </c>
      <c r="BN18">
        <f t="shared" ca="1" si="7"/>
        <v>3</v>
      </c>
      <c r="BO18" s="14">
        <f t="shared" ca="1" si="8"/>
        <v>0.33333333333333331</v>
      </c>
      <c r="BP18" s="2">
        <f ca="1"/>
        <v>4</v>
      </c>
      <c r="BQ18" cm="1">
        <f t="array" aca="1" ref="BQ18" ca="1">IF($BP18=BQ$14, 1, SUMPRODUCT(
    --(OFFSET($O$9,0,0,1,$B$9)=TRUE),
    --(INDEX(OFFSET($O$15,0,0,$B$8,$B$9), 1+$BP18, 0) = INDEX(OFFSET($O$15,0,0,$B$8,$B$9), 1+BQ$14, 0))
) / $B$16)</f>
        <v>0.4</v>
      </c>
      <c r="BR18" cm="1">
        <f t="array" aca="1" ref="BR18" ca="1">IF($BP18=BR$14, 1, SUMPRODUCT(
    --(OFFSET($O$9,0,0,1,$B$9)=TRUE),
    --(INDEX(OFFSET($O$15,0,0,$B$8,$B$9), 1+$BP18, 0) = INDEX(OFFSET($O$15,0,0,$B$8,$B$9), 1+BR$14, 0))
) / $B$16)</f>
        <v>0</v>
      </c>
      <c r="BS18" cm="1">
        <f t="array" aca="1" ref="BS18" ca="1">IF($BP18=BS$14, 1, SUMPRODUCT(
    --(OFFSET($O$9,0,0,1,$B$9)=TRUE),
    --(INDEX(OFFSET($O$15,0,0,$B$8,$B$9), 1+$BP18, 0) = INDEX(OFFSET($O$15,0,0,$B$8,$B$9), 1+BS$14, 0))
) / $B$16)</f>
        <v>0</v>
      </c>
      <c r="BT18" cm="1">
        <f t="array" aca="1" ref="BT18" ca="1">IF($BP18=BT$14, 1, SUMPRODUCT(
    --(OFFSET($O$9,0,0,1,$B$9)=TRUE),
    --(INDEX(OFFSET($O$15,0,0,$B$8,$B$9), 1+$BP18, 0) = INDEX(OFFSET($O$15,0,0,$B$8,$B$9), 1+BT$14, 0))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
) / $B$16)</f>
        <v>0.6</v>
      </c>
      <c r="BV18" cm="1">
        <f t="array" aca="1" ref="BV18" ca="1">IF($BP18=BV$14, 1, SUMPRODUCT(
    --(OFFSET($O$9,0,0,1,$B$9)=TRUE),
    --(INDEX(OFFSET($O$15,0,0,$B$8,$B$9), 1+$BP18, 0) = INDEX(OFFSET($O$15,0,0,$B$8,$B$9), 1+BV$14, 0))
) / $B$16)</f>
        <v>0.6</v>
      </c>
      <c r="BW18" cm="1">
        <f t="array" aca="1" ref="BW18" ca="1">IF($BP18=BW$14, 1, SUMPRODUCT(
    --(OFFSET($O$9,0,0,1,$B$9)=TRUE),
    --(INDEX(OFFSET($O$15,0,0,$B$8,$B$9), 1+$BP18, 0) = INDEX(OFFSET($O$15,0,0,$B$8,$B$9), 1+BW$14, 0))
) / $B$16)</f>
        <v>0.6</v>
      </c>
      <c r="BX18" cm="1">
        <f t="array" aca="1" ref="BX18" ca="1">IF($BP18=BX$14, 1, SUMPRODUCT(
    --(OFFSET($O$9,0,0,1,$B$9)=TRUE),
    --(INDEX(OFFSET($O$15,0,0,$B$8,$B$9), 1+$BP18, 0) = INDEX(OFFSET($O$15,0,0,$B$8,$B$9), 1+BX$14, 0))
) / $B$16)</f>
        <v>0.4</v>
      </c>
      <c r="BY18" cm="1">
        <f t="array" aca="1" ref="BY18" ca="1">IF($BP18=BY$14, 1, SUMPRODUCT(
    --(OFFSET($O$9,0,0,1,$B$9)=TRUE),
    --(INDEX(OFFSET($O$15,0,0,$B$8,$B$9), 1+$BP18, 0) = INDEX(OFFSET($O$15,0,0,$B$8,$B$9), 1+BY$14, 0))
) / $B$16)</f>
        <v>0</v>
      </c>
      <c r="BZ18" cm="1">
        <f t="array" aca="1" ref="BZ18" ca="1">IF($BP18=BZ$14, 1, SUMPRODUCT(
    --(OFFSET($O$9,0,0,1,$B$9)=TRUE),
    --(INDEX(OFFSET($O$15,0,0,$B$8,$B$9), 1+$BP18, 0) = INDEX(OFFSET($O$15,0,0,$B$8,$B$9), 1+BZ$14, 0))
) / $B$16)</f>
        <v>0</v>
      </c>
      <c r="CA18" cm="1">
        <f t="array" aca="1" ref="CA18" ca="1">IF($BP18=CA$14, 1, SUMPRODUCT(
    --(OFFSET($O$9,0,0,1,$B$9)=TRUE),
    --(INDEX(OFFSET($O$15,0,0,$B$8,$B$9), 1+$BP18, 0) = INDEX(OFFSET($O$15,0,0,$B$8,$B$9), 1+CA$14, 0))
) / $B$16)</f>
        <v>0</v>
      </c>
      <c r="CB18" cm="1">
        <f t="array" aca="1" ref="CB18" ca="1">IF($BP18=CB$14, 1, SUMPRODUCT(
    --(OFFSET($O$9,0,0,1,$B$9)=TRUE),
    --(INDEX(OFFSET($O$15,0,0,$B$8,$B$9), 1+$BP18, 0) = INDEX(OFFSET($O$15,0,0,$B$8,$B$9), 1+CB$14, 0))
) / $B$16)</f>
        <v>0.8</v>
      </c>
      <c r="CC18" cm="1">
        <f t="array" aca="1" ref="CC18" ca="1">IF($BP18=CC$14, 1, SUMPRODUCT(
    --(OFFSET($O$9,0,0,1,$B$9)=TRUE),
    --(INDEX(OFFSET($O$15,0,0,$B$8,$B$9), 1+$BP18, 0) = INDEX(OFFSET($O$15,0,0,$B$8,$B$9), 1+CC$14, 0))
) / $B$16)</f>
        <v>0.4</v>
      </c>
      <c r="CD18" cm="1">
        <f t="array" aca="1" ref="CD18" ca="1">IF($BP18=CD$14, 1, SUMPRODUCT(
    --(OFFSET($O$9,0,0,1,$B$9)=TRUE),
    --(INDEX(OFFSET($O$15,0,0,$B$8,$B$9), 1+$BP18, 0) = INDEX(OFFSET($O$15,0,0,$B$8,$B$9), 1+CD$14, 0))
) / $B$16)</f>
        <v>0.4</v>
      </c>
      <c r="CE18" cm="1">
        <f t="array" aca="1" ref="CE18" ca="1">IF($BP18=CE$14, 1, SUMPRODUCT(
    --(OFFSET($O$9,0,0,1,$B$9)=TRUE),
    --(INDEX(OFFSET($O$15,0,0,$B$8,$B$9), 1+$BP18, 0) = INDEX(OFFSET($O$15,0,0,$B$8,$B$9), 1+CE$14, 0))
) / $B$16)</f>
        <v>0.4</v>
      </c>
      <c r="CF18" cm="1">
        <f t="array" aca="1" ref="CF18" ca="1">IF($BP18=CF$14, 1, SUMPRODUCT(
    --(OFFSET($O$9,0,0,1,$B$9)=TRUE),
    --(INDEX(OFFSET($O$15,0,0,$B$8,$B$9), 1+$BP18, 0) = INDEX(OFFSET($O$15,0,0,$B$8,$B$9), 1+CF$14, 0))
) / $B$16)</f>
        <v>0.4</v>
      </c>
      <c r="CG18" cm="1">
        <f t="array" aca="1" ref="CG18" ca="1">IF($BP18=CG$14, 1, SUMPRODUCT(
    --(OFFSET($O$9,0,0,1,$B$9)=TRUE),
    --(INDEX(OFFSET($O$15,0,0,$B$8,$B$9), 1+$BP18, 0) = INDEX(OFFSET($O$15,0,0,$B$8,$B$9), 1+CG$14, 0))
) / $B$16)</f>
        <v>0.4</v>
      </c>
      <c r="CH18" cm="1">
        <f t="array" aca="1" ref="CH18" ca="1">IF($BP18=CH$14, 1, SUMPRODUCT(
    --(OFFSET($O$9,0,0,1,$B$9)=TRUE),
    --(INDEX(OFFSET($O$15,0,0,$B$8,$B$9), 1+$BP18, 0) = INDEX(OFFSET($O$15,0,0,$B$8,$B$9), 1+CH$14, 0))
) / $B$16)</f>
        <v>0.8</v>
      </c>
      <c r="CI18" cm="1">
        <f t="array" aca="1" ref="CI18" ca="1">IF($BP18=CI$14, 1, SUMPRODUCT(
    --(OFFSET($O$9,0,0,1,$B$9)=TRUE),
    --(INDEX(OFFSET($O$15,0,0,$B$8,$B$9), 1+$BP18, 0) = INDEX(OFFSET($O$15,0,0,$B$8,$B$9), 1+CI$14, 0))
) / $B$16)</f>
        <v>0.6</v>
      </c>
      <c r="CJ18" cm="1">
        <f t="array" aca="1" ref="CJ18" ca="1">IF($BP18=CJ$14, 1, SUMPRODUCT(
    --(OFFSET($O$9,0,0,1,$B$9)=TRUE),
    --(INDEX(OFFSET($O$15,0,0,$B$8,$B$9), 1+$BP18, 0) = INDEX(OFFSET($O$15,0,0,$B$8,$B$9), 1+CJ$14, 0))
) / $B$16)</f>
        <v>0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6.0000000000000001E-3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9.4181818181818186E-2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9.4181818181818186E-2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0.35872727272727273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0.44690909090909087</v>
      </c>
      <c r="CX18" s="18" cm="1">
        <f t="array" aca="1" ref="CX18" ca="1">SUM(OFFSET($CR18,0,0,1,$M$2)*IFERROR(LN(OFFSET($CR18,0,0,1,$M$2)/OFFSET($CR$11,0,0,1,$M$2)), 0))+IF($CQ$11&gt;0,OFFSET($O$10,0,$CP18,1,1)*IFERROR(LN(OFFSET($O$10,0,$CP18,1,1)/$CQ$11), 0),0)</f>
        <v>0.21524698079705887</v>
      </c>
      <c r="CY18">
        <f ca="1"/>
        <v>3</v>
      </c>
      <c r="CZ18" s="10">
        <f t="shared" ca="1" si="10"/>
        <v>7.9043657523277494E-2</v>
      </c>
      <c r="DA18" s="10">
        <f t="shared" ca="1" si="9"/>
        <v>7.9043657523277494E-2</v>
      </c>
      <c r="DB18" s="10">
        <f t="shared" ca="1" si="9"/>
        <v>2.9101866479828722E-2</v>
      </c>
      <c r="DC18" s="10">
        <f t="shared" ca="1" si="9"/>
        <v>9.1162641411581397E-2</v>
      </c>
      <c r="DF18" cm="1">
        <f t="array" aca="1" ref="DF18" ca="1">INDEX(_xlfn.ANCHORARRAY($CP$15), 1 + INT((ROWS($DG$15:$DG18) - 1) / ROWS(_xlfn.ANCHORARRAY($CP$15))))</f>
        <v>0</v>
      </c>
      <c r="DG18" cm="1">
        <f t="array" aca="1" ref="DG18" ca="1">INDEX(_xlfn.ANCHORARRAY($CP$15),1+MOD(ROWS($DG$15:$DG18)-1,ROWS(_xlfn.ANCHORARRAY($CP$15))))</f>
        <v>3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$B$18/($B$19*$B$19*($DF18&lt;&gt;$DG18) + $B$19*($DF18=$DG18))</f>
        <v>8.9381818181818187E-2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$B$18/($B$19*$B$19*($DF18&lt;&gt;$DG18) + $B$19*($DF18=$DG18))</f>
        <v>8.9381818181818187E-2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$B$18/($B$19*$B$19*($DF18&lt;&gt;$DG18) + $B$19*($DF18=$DG18))</f>
        <v>8.9381818181818187E-2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$B$18/($B$19*$B$19*($DF18&lt;&gt;$DG18) + $B$19*($DF18=$DG18))</f>
        <v>8.9381818181818187E-2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$B$18/($B$19*$B$19*($DF18&lt;&gt;$DG18) + $B$19*($DF18=$DG18))</f>
        <v>1.1999999999999999E-3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$B$18/($B$19*$B$19*($DF18&lt;&gt;$DG18) + $B$19*($DF18=$DG18))</f>
        <v>1.1999999999999999E-3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$B$18/($B$19*$B$19*($DF18&lt;&gt;$DG18) + $B$19*($DF18=$DG18))</f>
        <v>8.9381818181818187E-2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$B$18/($B$19*$B$19*($DF18&lt;&gt;$DG18) + $B$19*($DF18=$DG18))</f>
        <v>8.9381818181818187E-2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$B$18/($B$19*$B$19*($DF18&lt;&gt;$DG18) + $B$19*($DF18=$DG18))</f>
        <v>1.1999999999999999E-3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$B$18/($B$19*$B$19*($DF18&lt;&gt;$DG18) + $B$19*($DF18=$DG18))</f>
        <v>1.1999999999999999E-3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$B$18/($B$19*$B$19*($DF18&lt;&gt;$DG18) + $B$19*($DF18=$DG18))</f>
        <v>8.9381818181818187E-2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$B$18/($B$19*$B$19*($DF18&lt;&gt;$DG18) + $B$19*($DF18=$DG18))</f>
        <v>8.9381818181818187E-2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$B$18/($B$19*$B$19*($DF18&lt;&gt;$DG18) + $B$19*($DF18=$DG18))</f>
        <v>1.1999999999999999E-3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$B$18/($B$19*$B$19*($DF18&lt;&gt;$DG18) + $B$19*($DF18=$DG18))</f>
        <v>1.1999999999999999E-3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$B$18/($B$19*$B$19*($DF18&lt;&gt;$DG18) + $B$19*($DF18=$DG18))</f>
        <v>8.9381818181818187E-2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$B$18/($B$19*$B$19*($DF18&lt;&gt;$DG18) + $B$19*($DF18=$DG18))</f>
        <v>0.17756363636363637</v>
      </c>
      <c r="ED18" cm="1">
        <f t="array" aca="1" ref="ED18" ca="1">INDEX(_xlfn.ANCHORARRAY($CP$15), 1 + INT((ROWS($DG$15:$DG18) - 1) / ROWS(_xlfn.ANCHORARRAY($CP$15))))</f>
        <v>0</v>
      </c>
      <c r="EE18" cm="1">
        <f t="array" aca="1" ref="EE18" ca="1">INDEX(_xlfn.ANCHORARRAY($CP$15),1+MOD(ROWS($DG$15:$DG18)-1,ROWS(_xlfn.ANCHORARRAY($CP$15))))</f>
        <v>3</v>
      </c>
      <c r="EF18" s="10" cm="1">
        <f t="array" aca="1" ref="EF18" ca="1">DH18-_xlfn.XLOOKUP(EF$13,_xlfn.ANCHORARRAY( $CR$14), _xlfn.XLOOKUP($ED18,_xlfn.ANCHORARRAY( $CP$15), $CR$15:$CU$19)) * _xlfn.XLOOKUP(EF$14,_xlfn.ANCHORARRAY( $CR$14), _xlfn.XLOOKUP($EE18,_xlfn.ANCHORARRAY( $CP$15), $CR$15:$CU$19))</f>
        <v>5.5596231404958681E-2</v>
      </c>
      <c r="EG18" s="10" cm="1">
        <f t="array" aca="1" ref="EG18" ca="1">DI18-_xlfn.XLOOKUP(EG$13,_xlfn.ANCHORARRAY( $CR$14), _xlfn.XLOOKUP($ED18,_xlfn.ANCHORARRAY( $CP$15), $CR$15:$CU$19)) * _xlfn.XLOOKUP(EG$14,_xlfn.ANCHORARRAY( $CR$14), _xlfn.XLOOKUP($EE18,_xlfn.ANCHORARRAY( $CP$15), $CR$15:$CU$19))</f>
        <v>5.5596231404958681E-2</v>
      </c>
      <c r="EH18" s="10" cm="1">
        <f t="array" aca="1" ref="EH18" ca="1">DJ18-_xlfn.XLOOKUP(EH$13,_xlfn.ANCHORARRAY( $CR$14), _xlfn.XLOOKUP($ED18,_xlfn.ANCHORARRAY( $CP$15), $CR$15:$CU$19)) * _xlfn.XLOOKUP(EH$14,_xlfn.ANCHORARRAY( $CR$14), _xlfn.XLOOKUP($EE18,_xlfn.ANCHORARRAY( $CP$15), $CR$15:$CU$19))</f>
        <v>-3.9303438016528927E-2</v>
      </c>
      <c r="EI18" s="10" cm="1">
        <f t="array" aca="1" ref="EI18" ca="1">DK18-_xlfn.XLOOKUP(EI$13,_xlfn.ANCHORARRAY( $CR$14), _xlfn.XLOOKUP($ED18,_xlfn.ANCHORARRAY( $CP$15), $CR$15:$CU$19)) * _xlfn.XLOOKUP(EI$14,_xlfn.ANCHORARRAY( $CR$14), _xlfn.XLOOKUP($EE18,_xlfn.ANCHORARRAY( $CP$15), $CR$15:$CU$19))</f>
        <v>-7.093666115702478E-2</v>
      </c>
      <c r="EJ18" s="10" cm="1">
        <f t="array" aca="1" ref="EJ18" ca="1">DL18-_xlfn.XLOOKUP(EJ$13,_xlfn.ANCHORARRAY( $CR$14), _xlfn.XLOOKUP($ED18,_xlfn.ANCHORARRAY( $CP$15), $CR$15:$CU$19)) * _xlfn.XLOOKUP(EJ$14,_xlfn.ANCHORARRAY( $CR$14), _xlfn.XLOOKUP($EE18,_xlfn.ANCHORARRAY( $CP$15), $CR$15:$CU$19))</f>
        <v>-1.5975338842975209E-2</v>
      </c>
      <c r="EK18" s="10" cm="1">
        <f t="array" aca="1" ref="EK18" ca="1">DM18-_xlfn.XLOOKUP(EK$13,_xlfn.ANCHORARRAY( $CR$14), _xlfn.XLOOKUP($ED18,_xlfn.ANCHORARRAY( $CP$15), $CR$15:$CU$19)) * _xlfn.XLOOKUP(EK$14,_xlfn.ANCHORARRAY( $CR$14), _xlfn.XLOOKUP($EE18,_xlfn.ANCHORARRAY( $CP$15), $CR$15:$CU$19))</f>
        <v>-1.5975338842975209E-2</v>
      </c>
      <c r="EL18" s="10" cm="1">
        <f t="array" aca="1" ref="EL18" ca="1">DN18-_xlfn.XLOOKUP(EL$13,_xlfn.ANCHORARRAY( $CR$14), _xlfn.XLOOKUP($ED18,_xlfn.ANCHORARRAY( $CP$15), $CR$15:$CU$19)) * _xlfn.XLOOKUP(EL$14,_xlfn.ANCHORARRAY( $CR$14), _xlfn.XLOOKUP($EE18,_xlfn.ANCHORARRAY( $CP$15), $CR$15:$CU$19))</f>
        <v>2.3963008264462821E-2</v>
      </c>
      <c r="EM18" s="10" cm="1">
        <f t="array" aca="1" ref="EM18" ca="1">DO18-_xlfn.XLOOKUP(EM$13,_xlfn.ANCHORARRAY( $CR$14), _xlfn.XLOOKUP($ED18,_xlfn.ANCHORARRAY( $CP$15), $CR$15:$CU$19)) * _xlfn.XLOOKUP(EM$14,_xlfn.ANCHORARRAY( $CR$14), _xlfn.XLOOKUP($EE18,_xlfn.ANCHORARRAY( $CP$15), $CR$15:$CU$19))</f>
        <v>7.8818512396694324E-3</v>
      </c>
      <c r="EN18" s="10" cm="1">
        <f t="array" aca="1" ref="EN18" ca="1">DP18-_xlfn.XLOOKUP(EN$13,_xlfn.ANCHORARRAY( $CR$14), _xlfn.XLOOKUP($ED18,_xlfn.ANCHORARRAY( $CP$15), $CR$15:$CU$19)) * _xlfn.XLOOKUP(EN$14,_xlfn.ANCHORARRAY( $CR$14), _xlfn.XLOOKUP($EE18,_xlfn.ANCHORARRAY( $CP$15), $CR$15:$CU$19))</f>
        <v>-1.5975338842975209E-2</v>
      </c>
      <c r="EO18" s="10" cm="1">
        <f t="array" aca="1" ref="EO18" ca="1">DQ18-_xlfn.XLOOKUP(EO$13,_xlfn.ANCHORARRAY( $CR$14), _xlfn.XLOOKUP($ED18,_xlfn.ANCHORARRAY( $CP$15), $CR$15:$CU$19)) * _xlfn.XLOOKUP(EO$14,_xlfn.ANCHORARRAY( $CR$14), _xlfn.XLOOKUP($EE18,_xlfn.ANCHORARRAY( $CP$15), $CR$15:$CU$19))</f>
        <v>-1.5975338842975209E-2</v>
      </c>
      <c r="EP18" s="10" cm="1">
        <f t="array" aca="1" ref="EP18" ca="1">DR18-_xlfn.XLOOKUP(EP$13,_xlfn.ANCHORARRAY( $CR$14), _xlfn.XLOOKUP($ED18,_xlfn.ANCHORARRAY( $CP$15), $CR$15:$CU$19)) * _xlfn.XLOOKUP(EP$14,_xlfn.ANCHORARRAY( $CR$14), _xlfn.XLOOKUP($EE18,_xlfn.ANCHORARRAY( $CP$15), $CR$15:$CU$19))</f>
        <v>2.3963008264462821E-2</v>
      </c>
      <c r="EQ18" s="10" cm="1">
        <f t="array" aca="1" ref="EQ18" ca="1">DS18-_xlfn.XLOOKUP(EQ$13,_xlfn.ANCHORARRAY( $CR$14), _xlfn.XLOOKUP($ED18,_xlfn.ANCHORARRAY( $CP$15), $CR$15:$CU$19)) * _xlfn.XLOOKUP(EQ$14,_xlfn.ANCHORARRAY( $CR$14), _xlfn.XLOOKUP($EE18,_xlfn.ANCHORARRAY( $CP$15), $CR$15:$CU$19))</f>
        <v>7.8818512396694324E-3</v>
      </c>
      <c r="ER18" s="10" cm="1">
        <f t="array" aca="1" ref="ER18" ca="1">DT18-_xlfn.XLOOKUP(ER$13,_xlfn.ANCHORARRAY( $CR$14), _xlfn.XLOOKUP($ED18,_xlfn.ANCHORARRAY( $CP$15), $CR$15:$CU$19)) * _xlfn.XLOOKUP(ER$14,_xlfn.ANCHORARRAY( $CR$14), _xlfn.XLOOKUP($EE18,_xlfn.ANCHORARRAY( $CP$15), $CR$15:$CU$19))</f>
        <v>-2.4280462809917362E-2</v>
      </c>
      <c r="ES18" s="10" cm="1">
        <f t="array" aca="1" ref="ES18" ca="1">DU18-_xlfn.XLOOKUP(ES$13,_xlfn.ANCHORARRAY( $CR$14), _xlfn.XLOOKUP($ED18,_xlfn.ANCHORARRAY( $CP$15), $CR$15:$CU$19)) * _xlfn.XLOOKUP(ES$14,_xlfn.ANCHORARRAY( $CR$14), _xlfn.XLOOKUP($EE18,_xlfn.ANCHORARRAY( $CP$15), $CR$15:$CU$19))</f>
        <v>-2.4280462809917362E-2</v>
      </c>
      <c r="ET18" s="10" cm="1">
        <f t="array" aca="1" ref="ET18" ca="1">DV18-_xlfn.XLOOKUP(ET$13,_xlfn.ANCHORARRAY( $CR$14), _xlfn.XLOOKUP($ED18,_xlfn.ANCHORARRAY( $CP$15), $CR$15:$CU$19)) * _xlfn.XLOOKUP(ET$14,_xlfn.ANCHORARRAY( $CR$14), _xlfn.XLOOKUP($EE18,_xlfn.ANCHORARRAY( $CP$15), $CR$15:$CU$19))</f>
        <v>-7.6702148760330741E-3</v>
      </c>
      <c r="EU18" s="10" cm="1">
        <f t="array" aca="1" ref="EU18" ca="1">DW18-_xlfn.XLOOKUP(EU$13,_xlfn.ANCHORARRAY( $CR$14), _xlfn.XLOOKUP($ED18,_xlfn.ANCHORARRAY( $CP$15), $CR$15:$CU$19)) * _xlfn.XLOOKUP(EU$14,_xlfn.ANCHORARRAY( $CR$14), _xlfn.XLOOKUP($EE18,_xlfn.ANCHORARRAY( $CP$15), $CR$15:$CU$19))</f>
        <v>5.6654413223140493E-2</v>
      </c>
      <c r="EZ18" cm="1">
        <f t="array" aca="1" ref="EZ18" ca="1">INDEX(_xlfn.ANCHORARRAY($CP$15), 1 + INT((ROWS($DG$15:$DG18) - 1) / ROWS(_xlfn.ANCHORARRAY($CP$15))))</f>
        <v>0</v>
      </c>
      <c r="FA18" cm="1">
        <f t="array" aca="1" ref="FA18" ca="1">INDEX(_xlfn.ANCHORARRAY($CP$15),1+MOD(ROWS($DG$15:$DG18)-1,ROWS(_xlfn.ANCHORARRAY($CP$15))))</f>
        <v>3</v>
      </c>
      <c r="FB18" s="10" cm="1">
        <f t="array" aca="1" ref="FB18" ca="1">EF18 * _xlfn.XLOOKUP(FB$13,_xlfn.ANCHORARRAY( $CZ$29), _xlfn.XLOOKUP($EZ18,_xlfn.ANCHORARRAY( $CY$30), $CZ$30:$DC$34)) * _xlfn.XLOOKUP(FB$14,_xlfn.ANCHORARRAY( $CZ$29), _xlfn.XLOOKUP($FA18,_xlfn.ANCHORARRAY( $CY$30), $CZ$30:$DC$34))</f>
        <v>-3.3532489458979249E-2</v>
      </c>
      <c r="FC18" s="10" cm="1">
        <f t="array" aca="1" ref="FC18" ca="1">EG18 * _xlfn.XLOOKUP(FC$13,_xlfn.ANCHORARRAY( $CZ$29), _xlfn.XLOOKUP($EZ18,_xlfn.ANCHORARRAY( $CY$30), $CZ$30:$DC$34)) * _xlfn.XLOOKUP(FC$14,_xlfn.ANCHORARRAY( $CZ$29), _xlfn.XLOOKUP($FA18,_xlfn.ANCHORARRAY( $CY$30), $CZ$30:$DC$34))</f>
        <v>-3.3532489458979249E-2</v>
      </c>
      <c r="FD18" s="10" cm="1">
        <f t="array" aca="1" ref="FD18" ca="1">EH18 * _xlfn.XLOOKUP(FD$13,_xlfn.ANCHORARRAY( $CZ$29), _xlfn.XLOOKUP($EZ18,_xlfn.ANCHORARRAY( $CY$30), $CZ$30:$DC$34)) * _xlfn.XLOOKUP(FD$14,_xlfn.ANCHORARRAY( $CZ$29), _xlfn.XLOOKUP($FA18,_xlfn.ANCHORARRAY( $CY$30), $CZ$30:$DC$34))</f>
        <v>-1.0534652126237219E-2</v>
      </c>
      <c r="FE18" s="10" cm="1">
        <f t="array" aca="1" ref="FE18" ca="1">EI18 * _xlfn.XLOOKUP(FE$13,_xlfn.ANCHORARRAY( $CZ$29), _xlfn.XLOOKUP($EZ18,_xlfn.ANCHORARRAY( $CY$30), $CZ$30:$DC$34)) * _xlfn.XLOOKUP(FE$14,_xlfn.ANCHORARRAY( $CZ$29), _xlfn.XLOOKUP($FA18,_xlfn.ANCHORARRAY( $CY$30), $CZ$30:$DC$34))</f>
        <v>-3.2518253618924298E-2</v>
      </c>
      <c r="FF18" s="10" cm="1">
        <f t="array" aca="1" ref="FF18" ca="1">EJ18 * _xlfn.XLOOKUP(FF$13,_xlfn.ANCHORARRAY( $CZ$29), _xlfn.XLOOKUP($EZ18,_xlfn.ANCHORARRAY( $CY$30), $CZ$30:$DC$34)) * _xlfn.XLOOKUP(FF$14,_xlfn.ANCHORARRAY( $CZ$29), _xlfn.XLOOKUP($FA18,_xlfn.ANCHORARRAY( $CY$30), $CZ$30:$DC$34))</f>
        <v>-7.4780532650518513E-3</v>
      </c>
      <c r="FG18" s="10" cm="1">
        <f t="array" aca="1" ref="FG18" ca="1">EK18 * _xlfn.XLOOKUP(FG$13,_xlfn.ANCHORARRAY( $CZ$29), _xlfn.XLOOKUP($EZ18,_xlfn.ANCHORARRAY( $CY$30), $CZ$30:$DC$34)) * _xlfn.XLOOKUP(FG$14,_xlfn.ANCHORARRAY( $CZ$29), _xlfn.XLOOKUP($FA18,_xlfn.ANCHORARRAY( $CY$30), $CZ$30:$DC$34))</f>
        <v>-7.4780532650518513E-3</v>
      </c>
      <c r="FH18" s="10" cm="1">
        <f t="array" aca="1" ref="FH18" ca="1">EL18 * _xlfn.XLOOKUP(FH$13,_xlfn.ANCHORARRAY( $CZ$29), _xlfn.XLOOKUP($EZ18,_xlfn.ANCHORARRAY( $CY$30), $CZ$30:$DC$34)) * _xlfn.XLOOKUP(FH$14,_xlfn.ANCHORARRAY( $CZ$29), _xlfn.XLOOKUP($FA18,_xlfn.ANCHORARRAY( $CY$30), $CZ$30:$DC$34))</f>
        <v>-4.9848148042895288E-3</v>
      </c>
      <c r="FI18" s="10" cm="1">
        <f t="array" aca="1" ref="FI18" ca="1">EM18 * _xlfn.XLOOKUP(FI$13,_xlfn.ANCHORARRAY( $CZ$29), _xlfn.XLOOKUP($EZ18,_xlfn.ANCHORARRAY( $CY$30), $CZ$30:$DC$34)) * _xlfn.XLOOKUP(FI$14,_xlfn.ANCHORARRAY( $CZ$29), _xlfn.XLOOKUP($FA18,_xlfn.ANCHORARRAY( $CY$30), $CZ$30:$DC$34))</f>
        <v>-2.8041596602929597E-3</v>
      </c>
      <c r="FJ18" s="10" cm="1">
        <f t="array" aca="1" ref="FJ18" ca="1">EN18 * _xlfn.XLOOKUP(FJ$13,_xlfn.ANCHORARRAY( $CZ$29), _xlfn.XLOOKUP($EZ18,_xlfn.ANCHORARRAY( $CY$30), $CZ$30:$DC$34)) * _xlfn.XLOOKUP(FJ$14,_xlfn.ANCHORARRAY( $CZ$29), _xlfn.XLOOKUP($FA18,_xlfn.ANCHORARRAY( $CY$30), $CZ$30:$DC$34))</f>
        <v>-7.4780532650518513E-3</v>
      </c>
      <c r="FK18" s="10" cm="1">
        <f t="array" aca="1" ref="FK18" ca="1">EO18 * _xlfn.XLOOKUP(FK$13,_xlfn.ANCHORARRAY( $CZ$29), _xlfn.XLOOKUP($EZ18,_xlfn.ANCHORARRAY( $CY$30), $CZ$30:$DC$34)) * _xlfn.XLOOKUP(FK$14,_xlfn.ANCHORARRAY( $CZ$29), _xlfn.XLOOKUP($FA18,_xlfn.ANCHORARRAY( $CY$30), $CZ$30:$DC$34))</f>
        <v>-7.4780532650518513E-3</v>
      </c>
      <c r="FL18" s="10" cm="1">
        <f t="array" aca="1" ref="FL18" ca="1">EP18 * _xlfn.XLOOKUP(FL$13,_xlfn.ANCHORARRAY( $CZ$29), _xlfn.XLOOKUP($EZ18,_xlfn.ANCHORARRAY( $CY$30), $CZ$30:$DC$34)) * _xlfn.XLOOKUP(FL$14,_xlfn.ANCHORARRAY( $CZ$29), _xlfn.XLOOKUP($FA18,_xlfn.ANCHORARRAY( $CY$30), $CZ$30:$DC$34))</f>
        <v>-4.9848148042895288E-3</v>
      </c>
      <c r="FM18" s="10" cm="1">
        <f t="array" aca="1" ref="FM18" ca="1">EQ18 * _xlfn.XLOOKUP(FM$13,_xlfn.ANCHORARRAY( $CZ$29), _xlfn.XLOOKUP($EZ18,_xlfn.ANCHORARRAY( $CY$30), $CZ$30:$DC$34)) * _xlfn.XLOOKUP(FM$14,_xlfn.ANCHORARRAY( $CZ$29), _xlfn.XLOOKUP($FA18,_xlfn.ANCHORARRAY( $CY$30), $CZ$30:$DC$34))</f>
        <v>-2.8041596602929597E-3</v>
      </c>
      <c r="FN18" s="10" cm="1">
        <f t="array" aca="1" ref="FN18" ca="1">ER18 * _xlfn.XLOOKUP(FN$13,_xlfn.ANCHORARRAY( $CZ$29), _xlfn.XLOOKUP($EZ18,_xlfn.ANCHORARRAY( $CY$30), $CZ$30:$DC$34)) * _xlfn.XLOOKUP(FN$14,_xlfn.ANCHORARRAY( $CZ$29), _xlfn.XLOOKUP($FA18,_xlfn.ANCHORARRAY( $CY$30), $CZ$30:$DC$34))</f>
        <v>3.0197587170288412E-3</v>
      </c>
      <c r="FO18" s="10" cm="1">
        <f t="array" aca="1" ref="FO18" ca="1">ES18 * _xlfn.XLOOKUP(FO$13,_xlfn.ANCHORARRAY( $CZ$29), _xlfn.XLOOKUP($EZ18,_xlfn.ANCHORARRAY( $CY$30), $CZ$30:$DC$34)) * _xlfn.XLOOKUP(FO$14,_xlfn.ANCHORARRAY( $CZ$29), _xlfn.XLOOKUP($FA18,_xlfn.ANCHORARRAY( $CY$30), $CZ$30:$DC$34))</f>
        <v>3.0197587170288412E-3</v>
      </c>
      <c r="FP18" s="10" cm="1">
        <f t="array" aca="1" ref="FP18" ca="1">ET18 * _xlfn.XLOOKUP(FP$13,_xlfn.ANCHORARRAY( $CZ$29), _xlfn.XLOOKUP($EZ18,_xlfn.ANCHORARRAY( $CY$30), $CZ$30:$DC$34)) * _xlfn.XLOOKUP(FP$14,_xlfn.ANCHORARRAY( $CZ$29), _xlfn.XLOOKUP($FA18,_xlfn.ANCHORARRAY( $CY$30), $CZ$30:$DC$34))</f>
        <v>-4.2392792792996057E-4</v>
      </c>
      <c r="FQ18" s="10" cm="1">
        <f t="array" aca="1" ref="FQ18" ca="1">EU18 * _xlfn.XLOOKUP(FQ$13,_xlfn.ANCHORARRAY( $CZ$29), _xlfn.XLOOKUP($EZ18,_xlfn.ANCHORARRAY( $CY$30), $CZ$30:$DC$34)) * _xlfn.XLOOKUP(FQ$14,_xlfn.ANCHORARRAY( $CZ$29), _xlfn.XLOOKUP($FA18,_xlfn.ANCHORARRAY( $CY$30), $CZ$30:$DC$34))</f>
        <v>5.3553154384223707E-3</v>
      </c>
      <c r="FT18" cm="1">
        <f t="array" aca="1" ref="FT18" ca="1">SQRT(SUM((FB18:FQ18)^2))</f>
        <v>6.12656259156521E-2</v>
      </c>
    </row>
    <row r="19" spans="1:176" x14ac:dyDescent="0.2">
      <c r="A19" t="s">
        <v>49</v>
      </c>
      <c r="B19">
        <v>5</v>
      </c>
      <c r="D19" s="10">
        <f ca="1"/>
        <v>5</v>
      </c>
      <c r="F19" s="10">
        <f ca="1"/>
        <v>0.5</v>
      </c>
      <c r="H19" s="10">
        <f ca="1"/>
        <v>4</v>
      </c>
      <c r="J19" cm="1">
        <f t="array" aca="1" ref="J19" ca="1">SUMPRODUCT((O19:AJ19=$O$11:$AJ$11)*(O$13:AJ$13=TRUE))  / COUNTIF(O$13:AJ$13,TRUE)</f>
        <v>0.4</v>
      </c>
      <c r="K19" t="b">
        <f t="shared" ca="1" si="3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4"/>
        <v>1</v>
      </c>
      <c r="N19" s="2">
        <v>4</v>
      </c>
      <c r="O19" s="12" t="s">
        <v>0</v>
      </c>
      <c r="P19" s="9" t="s">
        <v>1</v>
      </c>
      <c r="Q19" s="9" t="s">
        <v>3</v>
      </c>
      <c r="R19" s="9" t="s">
        <v>2</v>
      </c>
      <c r="S19" s="9" t="s">
        <v>2</v>
      </c>
      <c r="AK19" s="7"/>
      <c r="AN19">
        <f t="shared" ca="1" si="5"/>
        <v>2</v>
      </c>
      <c r="AO19" s="14">
        <f t="shared" ca="1" si="6"/>
        <v>0.5</v>
      </c>
      <c r="AP19" s="2">
        <f ca="1"/>
        <v>5</v>
      </c>
      <c r="AQ19" cm="1">
        <f t="array" aca="1" ref="AQ19" ca="1">IF($AP19=AQ$14, 1, SUMPRODUCT(
    --(OFFSET($O$13,0,0,1,$B$9)=TRUE),
    --(INDEX(OFFSET($O$15,0,0,$B$8,$B$9), 1+$AP19, 0) = INDEX(OFFSET($O$15,0,0,$B$8,$B$9), 1+AQ$14, 0))
) / $B$13)</f>
        <v>0</v>
      </c>
      <c r="AR19" cm="1">
        <f t="array" aca="1" ref="AR19" ca="1">IF($AP19=AR$14, 1, SUMPRODUCT(
    --(OFFSET($O$13,0,0,1,$B$9)=TRUE),
    --(INDEX(OFFSET($O$15,0,0,$B$8,$B$9), 1+$AP19, 0) = INDEX(OFFSET($O$15,0,0,$B$8,$B$9), 1+AR$14, 0))
) / $B$13)</f>
        <v>0.4</v>
      </c>
      <c r="AS19" cm="1">
        <f t="array" aca="1" ref="AS19" ca="1">IF($AP19=AS$14, 1, SUMPRODUCT(
    --(OFFSET($O$13,0,0,1,$B$9)=TRUE),
    --(INDEX(OFFSET($O$15,0,0,$B$8,$B$9), 1+$AP19, 0) = INDEX(OFFSET($O$15,0,0,$B$8,$B$9), 1+AS$14, 0))
) / $B$13)</f>
        <v>0</v>
      </c>
      <c r="AT19" cm="1">
        <f t="array" aca="1" ref="AT19" ca="1">IF($AP19=AT$14, 1, SUMPRODUCT(
    --(OFFSET($O$13,0,0,1,$B$9)=TRUE),
    --(INDEX(OFFSET($O$15,0,0,$B$8,$B$9), 1+$AP19, 0) = INDEX(OFFSET($O$15,0,0,$B$8,$B$9), 1+AT$14, 0))
) / $B$13)</f>
        <v>0.6</v>
      </c>
      <c r="AU19" cm="1">
        <f t="array" aca="1" ref="AU19" ca="1">IF($AP19=AU$14, 1, SUMPRODUCT(
    --(OFFSET($O$13,0,0,1,$B$9)=TRUE),
    --(INDEX(OFFSET($O$15,0,0,$B$8,$B$9), 1+$AP19, 0) = INDEX(OFFSET($O$15,0,0,$B$8,$B$9), 1+AU$14, 0))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
) / $B$13)</f>
        <v>0.6</v>
      </c>
      <c r="AW19" cm="1">
        <f t="array" aca="1" ref="AW19" ca="1">IF($AP19=AW$14, 1, SUMPRODUCT(
    --(OFFSET($O$13,0,0,1,$B$9)=TRUE),
    --(INDEX(OFFSET($O$15,0,0,$B$8,$B$9), 1+$AP19, 0) = INDEX(OFFSET($O$15,0,0,$B$8,$B$9), 1+AW$14, 0))
) / $B$13)</f>
        <v>0.6</v>
      </c>
      <c r="AX19" cm="1">
        <f t="array" aca="1" ref="AX19" ca="1">IF($AP19=AX$14, 1, SUMPRODUCT(
    --(OFFSET($O$13,0,0,1,$B$9)=TRUE),
    --(INDEX(OFFSET($O$15,0,0,$B$8,$B$9), 1+$AP19, 0) = INDEX(OFFSET($O$15,0,0,$B$8,$B$9), 1+AX$14, 0))
) / $B$13)</f>
        <v>0</v>
      </c>
      <c r="AY19" cm="1">
        <f t="array" aca="1" ref="AY19" ca="1">IF($AP19=AY$14, 1, SUMPRODUCT(
    --(OFFSET($O$13,0,0,1,$B$9)=TRUE),
    --(INDEX(OFFSET($O$15,0,0,$B$8,$B$9), 1+$AP19, 0) = INDEX(OFFSET($O$15,0,0,$B$8,$B$9), 1+AY$14, 0))
) / $B$13)</f>
        <v>0.4</v>
      </c>
      <c r="AZ19" cm="1">
        <f t="array" aca="1" ref="AZ19" ca="1">IF($AP19=AZ$14, 1, SUMPRODUCT(
    --(OFFSET($O$13,0,0,1,$B$9)=TRUE),
    --(INDEX(OFFSET($O$15,0,0,$B$8,$B$9), 1+$AP19, 0) = INDEX(OFFSET($O$15,0,0,$B$8,$B$9), 1+AZ$14, 0))
) / $B$13)</f>
        <v>0</v>
      </c>
      <c r="BA19" cm="1">
        <f t="array" aca="1" ref="BA19" ca="1">IF($AP19=BA$14, 1, SUMPRODUCT(
    --(OFFSET($O$13,0,0,1,$B$9)=TRUE),
    --(INDEX(OFFSET($O$15,0,0,$B$8,$B$9), 1+$AP19, 0) = INDEX(OFFSET($O$15,0,0,$B$8,$B$9), 1+BA$14, 0))
) / $B$13)</f>
        <v>0</v>
      </c>
      <c r="BB19" cm="1">
        <f t="array" aca="1" ref="BB19" ca="1">IF($AP19=BB$14, 1, SUMPRODUCT(
    --(OFFSET($O$13,0,0,1,$B$9)=TRUE),
    --(INDEX(OFFSET($O$15,0,0,$B$8,$B$9), 1+$AP19, 0) = INDEX(OFFSET($O$15,0,0,$B$8,$B$9), 1+BB$14, 0))
) / $B$13)</f>
        <v>0.4</v>
      </c>
      <c r="BC19" cm="1">
        <f t="array" aca="1" ref="BC19" ca="1">IF($AP19=BC$14, 1, SUMPRODUCT(
    --(OFFSET($O$13,0,0,1,$B$9)=TRUE),
    --(INDEX(OFFSET($O$15,0,0,$B$8,$B$9), 1+$AP19, 0) = INDEX(OFFSET($O$15,0,0,$B$8,$B$9), 1+BC$14, 0))
) / $B$13)</f>
        <v>0.8</v>
      </c>
      <c r="BD19" cm="1">
        <f t="array" aca="1" ref="BD19" ca="1">IF($AP19=BD$14, 1, SUMPRODUCT(
    --(OFFSET($O$13,0,0,1,$B$9)=TRUE),
    --(INDEX(OFFSET($O$15,0,0,$B$8,$B$9), 1+$AP19, 0) = INDEX(OFFSET($O$15,0,0,$B$8,$B$9), 1+BD$14, 0))
) / $B$13)</f>
        <v>0.4</v>
      </c>
      <c r="BE19" cm="1">
        <f t="array" aca="1" ref="BE19" ca="1">IF($AP19=BE$14, 1, SUMPRODUCT(
    --(OFFSET($O$13,0,0,1,$B$9)=TRUE),
    --(INDEX(OFFSET($O$15,0,0,$B$8,$B$9), 1+$AP19, 0) = INDEX(OFFSET($O$15,0,0,$B$8,$B$9), 1+BE$14, 0))
) / $B$13)</f>
        <v>0.4</v>
      </c>
      <c r="BF19" cm="1">
        <f t="array" aca="1" ref="BF19" ca="1">IF($AP19=BF$14, 1, SUMPRODUCT(
    --(OFFSET($O$13,0,0,1,$B$9)=TRUE),
    --(INDEX(OFFSET($O$15,0,0,$B$8,$B$9), 1+$AP19, 0) = INDEX(OFFSET($O$15,0,0,$B$8,$B$9), 1+BF$14, 0))
) / $B$13)</f>
        <v>0</v>
      </c>
      <c r="BG19" cm="1">
        <f t="array" aca="1" ref="BG19" ca="1">IF($AP19=BG$14, 1, SUMPRODUCT(
    --(OFFSET($O$13,0,0,1,$B$9)=TRUE),
    --(INDEX(OFFSET($O$15,0,0,$B$8,$B$9), 1+$AP19, 0) = INDEX(OFFSET($O$15,0,0,$B$8,$B$9), 1+BG$14, 0))
) / $B$13)</f>
        <v>0</v>
      </c>
      <c r="BH19" cm="1">
        <f t="array" aca="1" ref="BH19" ca="1">IF($AP19=BH$14, 1, SUMPRODUCT(
    --(OFFSET($O$13,0,0,1,$B$9)=TRUE),
    --(INDEX(OFFSET($O$15,0,0,$B$8,$B$9), 1+$AP19, 0) = INDEX(OFFSET($O$15,0,0,$B$8,$B$9), 1+BH$14, 0))
) / $B$13)</f>
        <v>0.4</v>
      </c>
      <c r="BI19" cm="1">
        <f t="array" aca="1" ref="BI19" ca="1">IF($AP19=BI$14, 1, SUMPRODUCT(
    --(OFFSET($O$13,0,0,1,$B$9)=TRUE),
    --(INDEX(OFFSET($O$15,0,0,$B$8,$B$9), 1+$AP19, 0) = INDEX(OFFSET($O$15,0,0,$B$8,$B$9), 1+BI$14, 0))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
) / $B$13)</f>
        <v>0.2</v>
      </c>
      <c r="BN19">
        <f t="shared" ca="1" si="7"/>
        <v>2</v>
      </c>
      <c r="BO19" s="14">
        <f t="shared" ca="1" si="8"/>
        <v>0.5</v>
      </c>
      <c r="BP19" s="2">
        <f ca="1"/>
        <v>5</v>
      </c>
      <c r="BQ19" cm="1">
        <f t="array" aca="1" ref="BQ19" ca="1">IF($BP19=BQ$14, 1, SUMPRODUCT(
    --(OFFSET($O$9,0,0,1,$B$9)=TRUE),
    --(INDEX(OFFSET($O$15,0,0,$B$8,$B$9), 1+$BP19, 0) = INDEX(OFFSET($O$15,0,0,$B$8,$B$9), 1+BQ$14, 0))
) / $B$16)</f>
        <v>0</v>
      </c>
      <c r="BR19" cm="1">
        <f t="array" aca="1" ref="BR19" ca="1">IF($BP19=BR$14, 1, SUMPRODUCT(
    --(OFFSET($O$9,0,0,1,$B$9)=TRUE),
    --(INDEX(OFFSET($O$15,0,0,$B$8,$B$9), 1+$BP19, 0) = INDEX(OFFSET($O$15,0,0,$B$8,$B$9), 1+BR$14, 0))
) / $B$16)</f>
        <v>0.4</v>
      </c>
      <c r="BS19" cm="1">
        <f t="array" aca="1" ref="BS19" ca="1">IF($BP19=BS$14, 1, SUMPRODUCT(
    --(OFFSET($O$9,0,0,1,$B$9)=TRUE),
    --(INDEX(OFFSET($O$15,0,0,$B$8,$B$9), 1+$BP19, 0) = INDEX(OFFSET($O$15,0,0,$B$8,$B$9), 1+BS$14, 0))
) / $B$16)</f>
        <v>0</v>
      </c>
      <c r="BT19" cm="1">
        <f t="array" aca="1" ref="BT19" ca="1">IF($BP19=BT$14, 1, SUMPRODUCT(
    --(OFFSET($O$9,0,0,1,$B$9)=TRUE),
    --(INDEX(OFFSET($O$15,0,0,$B$8,$B$9), 1+$BP19, 0) = INDEX(OFFSET($O$15,0,0,$B$8,$B$9), 1+BT$14, 0))
) / $B$16)</f>
        <v>0.6</v>
      </c>
      <c r="BU19" cm="1">
        <f t="array" aca="1" ref="BU19" ca="1">IF($BP19=BU$14, 1, SUMPRODUCT(
    --(OFFSET($O$9,0,0,1,$B$9)=TRUE),
    --(INDEX(OFFSET($O$15,0,0,$B$8,$B$9), 1+$BP19, 0) = INDEX(OFFSET($O$15,0,0,$B$8,$B$9), 1+BU$14, 0))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
) / $B$16)</f>
        <v>0.6</v>
      </c>
      <c r="BW19" cm="1">
        <f t="array" aca="1" ref="BW19" ca="1">IF($BP19=BW$14, 1, SUMPRODUCT(
    --(OFFSET($O$9,0,0,1,$B$9)=TRUE),
    --(INDEX(OFFSET($O$15,0,0,$B$8,$B$9), 1+$BP19, 0) = INDEX(OFFSET($O$15,0,0,$B$8,$B$9), 1+BW$14, 0))
) / $B$16)</f>
        <v>0.6</v>
      </c>
      <c r="BX19" cm="1">
        <f t="array" aca="1" ref="BX19" ca="1">IF($BP19=BX$14, 1, SUMPRODUCT(
    --(OFFSET($O$9,0,0,1,$B$9)=TRUE),
    --(INDEX(OFFSET($O$15,0,0,$B$8,$B$9), 1+$BP19, 0) = INDEX(OFFSET($O$15,0,0,$B$8,$B$9), 1+BX$14, 0))
) / $B$16)</f>
        <v>0</v>
      </c>
      <c r="BY19" cm="1">
        <f t="array" aca="1" ref="BY19" ca="1">IF($BP19=BY$14, 1, SUMPRODUCT(
    --(OFFSET($O$9,0,0,1,$B$9)=TRUE),
    --(INDEX(OFFSET($O$15,0,0,$B$8,$B$9), 1+$BP19, 0) = INDEX(OFFSET($O$15,0,0,$B$8,$B$9), 1+BY$14, 0))
) / $B$16)</f>
        <v>0.4</v>
      </c>
      <c r="BZ19" cm="1">
        <f t="array" aca="1" ref="BZ19" ca="1">IF($BP19=BZ$14, 1, SUMPRODUCT(
    --(OFFSET($O$9,0,0,1,$B$9)=TRUE),
    --(INDEX(OFFSET($O$15,0,0,$B$8,$B$9), 1+$BP19, 0) = INDEX(OFFSET($O$15,0,0,$B$8,$B$9), 1+BZ$14, 0))
) / $B$16)</f>
        <v>0</v>
      </c>
      <c r="CA19" cm="1">
        <f t="array" aca="1" ref="CA19" ca="1">IF($BP19=CA$14, 1, SUMPRODUCT(
    --(OFFSET($O$9,0,0,1,$B$9)=TRUE),
    --(INDEX(OFFSET($O$15,0,0,$B$8,$B$9), 1+$BP19, 0) = INDEX(OFFSET($O$15,0,0,$B$8,$B$9), 1+CA$14, 0))
) / $B$16)</f>
        <v>0</v>
      </c>
      <c r="CB19" cm="1">
        <f t="array" aca="1" ref="CB19" ca="1">IF($BP19=CB$14, 1, SUMPRODUCT(
    --(OFFSET($O$9,0,0,1,$B$9)=TRUE),
    --(INDEX(OFFSET($O$15,0,0,$B$8,$B$9), 1+$BP19, 0) = INDEX(OFFSET($O$15,0,0,$B$8,$B$9), 1+CB$14, 0))
) / $B$16)</f>
        <v>0.4</v>
      </c>
      <c r="CC19" cm="1">
        <f t="array" aca="1" ref="CC19" ca="1">IF($BP19=CC$14, 1, SUMPRODUCT(
    --(OFFSET($O$9,0,0,1,$B$9)=TRUE),
    --(INDEX(OFFSET($O$15,0,0,$B$8,$B$9), 1+$BP19, 0) = INDEX(OFFSET($O$15,0,0,$B$8,$B$9), 1+CC$14, 0))
) / $B$16)</f>
        <v>0.8</v>
      </c>
      <c r="CD19" cm="1">
        <f t="array" aca="1" ref="CD19" ca="1">IF($BP19=CD$14, 1, SUMPRODUCT(
    --(OFFSET($O$9,0,0,1,$B$9)=TRUE),
    --(INDEX(OFFSET($O$15,0,0,$B$8,$B$9), 1+$BP19, 0) = INDEX(OFFSET($O$15,0,0,$B$8,$B$9), 1+CD$14, 0))
) / $B$16)</f>
        <v>0.4</v>
      </c>
      <c r="CE19" cm="1">
        <f t="array" aca="1" ref="CE19" ca="1">IF($BP19=CE$14, 1, SUMPRODUCT(
    --(OFFSET($O$9,0,0,1,$B$9)=TRUE),
    --(INDEX(OFFSET($O$15,0,0,$B$8,$B$9), 1+$BP19, 0) = INDEX(OFFSET($O$15,0,0,$B$8,$B$9), 1+CE$14, 0))
) / $B$16)</f>
        <v>0.4</v>
      </c>
      <c r="CF19" cm="1">
        <f t="array" aca="1" ref="CF19" ca="1">IF($BP19=CF$14, 1, SUMPRODUCT(
    --(OFFSET($O$9,0,0,1,$B$9)=TRUE),
    --(INDEX(OFFSET($O$15,0,0,$B$8,$B$9), 1+$BP19, 0) = INDEX(OFFSET($O$15,0,0,$B$8,$B$9), 1+CF$14, 0))
) / $B$16)</f>
        <v>0</v>
      </c>
      <c r="CG19" cm="1">
        <f t="array" aca="1" ref="CG19" ca="1">IF($BP19=CG$14, 1, SUMPRODUCT(
    --(OFFSET($O$9,0,0,1,$B$9)=TRUE),
    --(INDEX(OFFSET($O$15,0,0,$B$8,$B$9), 1+$BP19, 0) = INDEX(OFFSET($O$15,0,0,$B$8,$B$9), 1+CG$14, 0))
) / $B$16)</f>
        <v>0</v>
      </c>
      <c r="CH19" cm="1">
        <f t="array" aca="1" ref="CH19" ca="1">IF($BP19=CH$14, 1, SUMPRODUCT(
    --(OFFSET($O$9,0,0,1,$B$9)=TRUE),
    --(INDEX(OFFSET($O$15,0,0,$B$8,$B$9), 1+$BP19, 0) = INDEX(OFFSET($O$15,0,0,$B$8,$B$9), 1+CH$14, 0))
) / $B$16)</f>
        <v>0.4</v>
      </c>
      <c r="CI19" cm="1">
        <f t="array" aca="1" ref="CI19" ca="1">IF($BP19=CI$14, 1, SUMPRODUCT(
    --(OFFSET($O$9,0,0,1,$B$9)=TRUE),
    --(INDEX(OFFSET($O$15,0,0,$B$8,$B$9), 1+$BP19, 0) = INDEX(OFFSET($O$15,0,0,$B$8,$B$9), 1+CI$14, 0))
) / $B$16)</f>
        <v>0.2</v>
      </c>
      <c r="CJ19" cm="1">
        <f t="array" aca="1" ref="CJ19" ca="1">IF($BP19=CJ$14, 1, SUMPRODUCT(
    --(OFFSET($O$9,0,0,1,$B$9)=TRUE),
    --(INDEX(OFFSET($O$15,0,0,$B$8,$B$9), 1+$BP19, 0) = INDEX(OFFSET($O$15,0,0,$B$8,$B$9), 1+CJ$14, 0))
) / $B$16)</f>
        <v>0.2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6.0000000000000001E-3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9.4181818181818186E-2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0.18236363636363637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0.35872727272727273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0.35872727272727273</v>
      </c>
      <c r="CX19" s="18" cm="1">
        <f t="array" aca="1" ref="CX19" ca="1">SUM(OFFSET($CR19,0,0,1,$M$2)*IFERROR(LN(OFFSET($CR19,0,0,1,$M$2)/OFFSET($CR$11,0,0,1,$M$2)), 0))+IF($CQ$11&gt;0,OFFSET($O$10,0,$CP19,1,1)*IFERROR(LN(OFFSET($O$10,0,$CP19,1,1)/$CQ$11), 0),0)</f>
        <v>0.11959236372221713</v>
      </c>
      <c r="CY19">
        <f ca="1"/>
        <v>4</v>
      </c>
      <c r="CZ19" s="10">
        <f t="shared" ca="1" si="10"/>
        <v>7.9043657523277494E-2</v>
      </c>
      <c r="DA19" s="10">
        <f t="shared" ca="1" si="9"/>
        <v>1.3070284679910692E-2</v>
      </c>
      <c r="DB19" s="10">
        <f t="shared" ca="1" si="9"/>
        <v>2.9101866479828722E-2</v>
      </c>
      <c r="DC19" s="10">
        <f t="shared" ca="1" si="9"/>
        <v>2.9101866479828722E-2</v>
      </c>
      <c r="DF19" cm="1">
        <f t="array" aca="1" ref="DF19" ca="1">INDEX(_xlfn.ANCHORARRAY($CP$15), 1 + INT((ROWS($DG$15:$DG19) - 1) / ROWS(_xlfn.ANCHORARRAY($CP$15))))</f>
        <v>0</v>
      </c>
      <c r="DG19" cm="1">
        <f t="array" aca="1" ref="DG19" ca="1">INDEX(_xlfn.ANCHORARRAY($CP$15),1+MOD(ROWS($DG$15:$DG19)-1,ROWS(_xlfn.ANCHORARRAY($CP$15))))</f>
        <v>4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$B$18/($B$19*$B$19*($DF19&lt;&gt;$DG19) + $B$19*($DF19=$DG19))</f>
        <v>8.9381818181818187E-2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$B$18/($B$19*$B$19*($DF19&lt;&gt;$DG19) + $B$19*($DF19=$DG19))</f>
        <v>8.9381818181818187E-2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$B$18/($B$19*$B$19*($DF19&lt;&gt;$DG19) + $B$19*($DF19=$DG19))</f>
        <v>8.9381818181818187E-2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$B$18/($B$19*$B$19*($DF19&lt;&gt;$DG19) + $B$19*($DF19=$DG19))</f>
        <v>8.9381818181818187E-2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$B$18/($B$19*$B$19*($DF19&lt;&gt;$DG19) + $B$19*($DF19=$DG19))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$B$18/($B$19*$B$19*($DF19&lt;&gt;$DG19) + $B$19*($DF19=$DG19))</f>
        <v>1.1999999999999999E-3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$B$18/($B$19*$B$19*($DF19&lt;&gt;$DG19) + $B$19*($DF19=$DG19))</f>
        <v>8.9381818181818187E-2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$B$18/($B$19*$B$19*($DF19&lt;&gt;$DG19) + $B$19*($DF19=$DG19))</f>
        <v>8.9381818181818187E-2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$B$18/($B$19*$B$19*($DF19&lt;&gt;$DG19) + $B$19*($DF19=$DG19))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$B$18/($B$19*$B$19*($DF19&lt;&gt;$DG19) + $B$19*($DF19=$DG19))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$B$18/($B$19*$B$19*($DF19&lt;&gt;$DG19) + $B$19*($DF19=$DG19))</f>
        <v>8.9381818181818187E-2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$B$18/($B$19*$B$19*($DF19&lt;&gt;$DG19) + $B$19*($DF19=$DG19))</f>
        <v>8.9381818181818187E-2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$B$18/($B$19*$B$19*($DF19&lt;&gt;$DG19) + $B$19*($DF19=$DG19))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$B$18/($B$19*$B$19*($DF19&lt;&gt;$DG19) + $B$19*($DF19=$DG19))</f>
        <v>8.9381818181818187E-2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$B$18/($B$19*$B$19*($DF19&lt;&gt;$DG19) + $B$19*($DF19=$DG19))</f>
        <v>8.9381818181818187E-2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$B$18/($B$19*$B$19*($DF19&lt;&gt;$DG19) + $B$19*($DF19=$DG19))</f>
        <v>8.9381818181818187E-2</v>
      </c>
      <c r="ED19" cm="1">
        <f t="array" aca="1" ref="ED19" ca="1">INDEX(_xlfn.ANCHORARRAY($CP$15), 1 + INT((ROWS($DG$15:$DG19) - 1) / ROWS(_xlfn.ANCHORARRAY($CP$15))))</f>
        <v>0</v>
      </c>
      <c r="EE19" cm="1">
        <f t="array" aca="1" ref="EE19" ca="1">INDEX(_xlfn.ANCHORARRAY($CP$15),1+MOD(ROWS($DG$15:$DG19)-1,ROWS(_xlfn.ANCHORARRAY($CP$15))))</f>
        <v>4</v>
      </c>
      <c r="EF19" s="10" cm="1">
        <f t="array" aca="1" ref="EF19" ca="1">DH19-_xlfn.XLOOKUP(EF$13,_xlfn.ANCHORARRAY( $CR$14), _xlfn.XLOOKUP($ED19,_xlfn.ANCHORARRAY( $CP$15), $CR$15:$CU$19)) * _xlfn.XLOOKUP(EF$14,_xlfn.ANCHORARRAY( $CR$14), _xlfn.XLOOKUP($EE19,_xlfn.ANCHORARRAY( $CP$15), $CR$15:$CU$19))</f>
        <v>5.5596231404958681E-2</v>
      </c>
      <c r="EG19" s="10" cm="1">
        <f t="array" aca="1" ref="EG19" ca="1">DI19-_xlfn.XLOOKUP(EG$13,_xlfn.ANCHORARRAY( $CR$14), _xlfn.XLOOKUP($ED19,_xlfn.ANCHORARRAY( $CP$15), $CR$15:$CU$19)) * _xlfn.XLOOKUP(EG$14,_xlfn.ANCHORARRAY( $CR$14), _xlfn.XLOOKUP($EE19,_xlfn.ANCHORARRAY( $CP$15), $CR$15:$CU$19))</f>
        <v>2.3963008264462821E-2</v>
      </c>
      <c r="EH19" s="10" cm="1">
        <f t="array" aca="1" ref="EH19" ca="1">DJ19-_xlfn.XLOOKUP(EH$13,_xlfn.ANCHORARRAY( $CR$14), _xlfn.XLOOKUP($ED19,_xlfn.ANCHORARRAY( $CP$15), $CR$15:$CU$19)) * _xlfn.XLOOKUP(EH$14,_xlfn.ANCHORARRAY( $CR$14), _xlfn.XLOOKUP($EE19,_xlfn.ANCHORARRAY( $CP$15), $CR$15:$CU$19))</f>
        <v>-3.9303438016528927E-2</v>
      </c>
      <c r="EI19" s="10" cm="1">
        <f t="array" aca="1" ref="EI19" ca="1">DK19-_xlfn.XLOOKUP(EI$13,_xlfn.ANCHORARRAY( $CR$14), _xlfn.XLOOKUP($ED19,_xlfn.ANCHORARRAY( $CP$15), $CR$15:$CU$19)) * _xlfn.XLOOKUP(EI$14,_xlfn.ANCHORARRAY( $CR$14), _xlfn.XLOOKUP($EE19,_xlfn.ANCHORARRAY( $CP$15), $CR$15:$CU$19))</f>
        <v>-3.9303438016528927E-2</v>
      </c>
      <c r="EJ19" s="10" cm="1">
        <f t="array" aca="1" ref="EJ19" ca="1">DL19-_xlfn.XLOOKUP(EJ$13,_xlfn.ANCHORARRAY( $CR$14), _xlfn.XLOOKUP($ED19,_xlfn.ANCHORARRAY( $CP$15), $CR$15:$CU$19)) * _xlfn.XLOOKUP(EJ$14,_xlfn.ANCHORARRAY( $CR$14), _xlfn.XLOOKUP($EE19,_xlfn.ANCHORARRAY( $CP$15), $CR$15:$CU$19))</f>
        <v>-1.5975338842975209E-2</v>
      </c>
      <c r="EK19" s="10" cm="1">
        <f t="array" aca="1" ref="EK19" ca="1">DM19-_xlfn.XLOOKUP(EK$13,_xlfn.ANCHORARRAY( $CR$14), _xlfn.XLOOKUP($ED19,_xlfn.ANCHORARRAY( $CP$15), $CR$15:$CU$19)) * _xlfn.XLOOKUP(EK$14,_xlfn.ANCHORARRAY( $CR$14), _xlfn.XLOOKUP($EE19,_xlfn.ANCHORARRAY( $CP$15), $CR$15:$CU$19))</f>
        <v>-3.2056495867768597E-2</v>
      </c>
      <c r="EL19" s="10" cm="1">
        <f t="array" aca="1" ref="EL19" ca="1">DN19-_xlfn.XLOOKUP(EL$13,_xlfn.ANCHORARRAY( $CR$14), _xlfn.XLOOKUP($ED19,_xlfn.ANCHORARRAY( $CP$15), $CR$15:$CU$19)) * _xlfn.XLOOKUP(EL$14,_xlfn.ANCHORARRAY( $CR$14), _xlfn.XLOOKUP($EE19,_xlfn.ANCHORARRAY( $CP$15), $CR$15:$CU$19))</f>
        <v>2.3963008264462821E-2</v>
      </c>
      <c r="EM19" s="10" cm="1">
        <f t="array" aca="1" ref="EM19" ca="1">DO19-_xlfn.XLOOKUP(EM$13,_xlfn.ANCHORARRAY( $CR$14), _xlfn.XLOOKUP($ED19,_xlfn.ANCHORARRAY( $CP$15), $CR$15:$CU$19)) * _xlfn.XLOOKUP(EM$14,_xlfn.ANCHORARRAY( $CR$14), _xlfn.XLOOKUP($EE19,_xlfn.ANCHORARRAY( $CP$15), $CR$15:$CU$19))</f>
        <v>2.3963008264462821E-2</v>
      </c>
      <c r="EN19" s="10" cm="1">
        <f t="array" aca="1" ref="EN19" ca="1">DP19-_xlfn.XLOOKUP(EN$13,_xlfn.ANCHORARRAY( $CR$14), _xlfn.XLOOKUP($ED19,_xlfn.ANCHORARRAY( $CP$15), $CR$15:$CU$19)) * _xlfn.XLOOKUP(EN$14,_xlfn.ANCHORARRAY( $CR$14), _xlfn.XLOOKUP($EE19,_xlfn.ANCHORARRAY( $CP$15), $CR$15:$CU$19))</f>
        <v>-1.5975338842975209E-2</v>
      </c>
      <c r="EO19" s="10" cm="1">
        <f t="array" aca="1" ref="EO19" ca="1">DQ19-_xlfn.XLOOKUP(EO$13,_xlfn.ANCHORARRAY( $CR$14), _xlfn.XLOOKUP($ED19,_xlfn.ANCHORARRAY( $CP$15), $CR$15:$CU$19)) * _xlfn.XLOOKUP(EO$14,_xlfn.ANCHORARRAY( $CR$14), _xlfn.XLOOKUP($EE19,_xlfn.ANCHORARRAY( $CP$15), $CR$15:$CU$19))</f>
        <v>-3.2056495867768597E-2</v>
      </c>
      <c r="EP19" s="10" cm="1">
        <f t="array" aca="1" ref="EP19" ca="1">DR19-_xlfn.XLOOKUP(EP$13,_xlfn.ANCHORARRAY( $CR$14), _xlfn.XLOOKUP($ED19,_xlfn.ANCHORARRAY( $CP$15), $CR$15:$CU$19)) * _xlfn.XLOOKUP(EP$14,_xlfn.ANCHORARRAY( $CR$14), _xlfn.XLOOKUP($EE19,_xlfn.ANCHORARRAY( $CP$15), $CR$15:$CU$19))</f>
        <v>2.3963008264462821E-2</v>
      </c>
      <c r="EQ19" s="10" cm="1">
        <f t="array" aca="1" ref="EQ19" ca="1">DS19-_xlfn.XLOOKUP(EQ$13,_xlfn.ANCHORARRAY( $CR$14), _xlfn.XLOOKUP($ED19,_xlfn.ANCHORARRAY( $CP$15), $CR$15:$CU$19)) * _xlfn.XLOOKUP(EQ$14,_xlfn.ANCHORARRAY( $CR$14), _xlfn.XLOOKUP($EE19,_xlfn.ANCHORARRAY( $CP$15), $CR$15:$CU$19))</f>
        <v>2.3963008264462821E-2</v>
      </c>
      <c r="ER19" s="10" cm="1">
        <f t="array" aca="1" ref="ER19" ca="1">DT19-_xlfn.XLOOKUP(ER$13,_xlfn.ANCHORARRAY( $CR$14), _xlfn.XLOOKUP($ED19,_xlfn.ANCHORARRAY( $CP$15), $CR$15:$CU$19)) * _xlfn.XLOOKUP(ER$14,_xlfn.ANCHORARRAY( $CR$14), _xlfn.XLOOKUP($EE19,_xlfn.ANCHORARRAY( $CP$15), $CR$15:$CU$19))</f>
        <v>-2.4280462809917362E-2</v>
      </c>
      <c r="ES19" s="10" cm="1">
        <f t="array" aca="1" ref="ES19" ca="1">DU19-_xlfn.XLOOKUP(ES$13,_xlfn.ANCHORARRAY( $CR$14), _xlfn.XLOOKUP($ED19,_xlfn.ANCHORARRAY( $CP$15), $CR$15:$CU$19)) * _xlfn.XLOOKUP(ES$14,_xlfn.ANCHORARRAY( $CR$14), _xlfn.XLOOKUP($EE19,_xlfn.ANCHORARRAY( $CP$15), $CR$15:$CU$19))</f>
        <v>4.0044165289256195E-2</v>
      </c>
      <c r="ET19" s="10" cm="1">
        <f t="array" aca="1" ref="ET19" ca="1">DV19-_xlfn.XLOOKUP(ET$13,_xlfn.ANCHORARRAY( $CR$14), _xlfn.XLOOKUP($ED19,_xlfn.ANCHORARRAY( $CP$15), $CR$15:$CU$19)) * _xlfn.XLOOKUP(ET$14,_xlfn.ANCHORARRAY( $CR$14), _xlfn.XLOOKUP($EE19,_xlfn.ANCHORARRAY( $CP$15), $CR$15:$CU$19))</f>
        <v>-7.6702148760330741E-3</v>
      </c>
      <c r="EU19" s="10" cm="1">
        <f t="array" aca="1" ref="EU19" ca="1">DW19-_xlfn.XLOOKUP(EU$13,_xlfn.ANCHORARRAY( $CR$14), _xlfn.XLOOKUP($ED19,_xlfn.ANCHORARRAY( $CP$15), $CR$15:$CU$19)) * _xlfn.XLOOKUP(EU$14,_xlfn.ANCHORARRAY( $CR$14), _xlfn.XLOOKUP($EE19,_xlfn.ANCHORARRAY( $CP$15), $CR$15:$CU$19))</f>
        <v>-7.6702148760330741E-3</v>
      </c>
      <c r="EZ19" cm="1">
        <f t="array" aca="1" ref="EZ19" ca="1">INDEX(_xlfn.ANCHORARRAY($CP$15), 1 + INT((ROWS($DG$15:$DG19) - 1) / ROWS(_xlfn.ANCHORARRAY($CP$15))))</f>
        <v>0</v>
      </c>
      <c r="FA19" cm="1">
        <f t="array" aca="1" ref="FA19" ca="1">INDEX(_xlfn.ANCHORARRAY($CP$15),1+MOD(ROWS($DG$15:$DG19)-1,ROWS(_xlfn.ANCHORARRAY($CP$15))))</f>
        <v>4</v>
      </c>
      <c r="FB19" s="10" cm="1">
        <f t="array" aca="1" ref="FB19" ca="1">EF19 * _xlfn.XLOOKUP(FB$13,_xlfn.ANCHORARRAY( $CZ$29), _xlfn.XLOOKUP($EZ19,_xlfn.ANCHORARRAY( $CY$30), $CZ$30:$DC$34)) * _xlfn.XLOOKUP(FB$14,_xlfn.ANCHORARRAY( $CZ$29), _xlfn.XLOOKUP($FA19,_xlfn.ANCHORARRAY( $CY$30), $CZ$30:$DC$34))</f>
        <v>-3.3532489458979249E-2</v>
      </c>
      <c r="FC19" s="10" cm="1">
        <f t="array" aca="1" ref="FC19" ca="1">EG19 * _xlfn.XLOOKUP(FC$13,_xlfn.ANCHORARRAY( $CZ$29), _xlfn.XLOOKUP($EZ19,_xlfn.ANCHORARRAY( $CY$30), $CZ$30:$DC$34)) * _xlfn.XLOOKUP(FC$14,_xlfn.ANCHORARRAY( $CZ$29), _xlfn.XLOOKUP($FA19,_xlfn.ANCHORARRAY( $CY$30), $CZ$30:$DC$34))</f>
        <v>-4.9848148042895288E-3</v>
      </c>
      <c r="FD19" s="10" cm="1">
        <f t="array" aca="1" ref="FD19" ca="1">EH19 * _xlfn.XLOOKUP(FD$13,_xlfn.ANCHORARRAY( $CZ$29), _xlfn.XLOOKUP($EZ19,_xlfn.ANCHORARRAY( $CY$30), $CZ$30:$DC$34)) * _xlfn.XLOOKUP(FD$14,_xlfn.ANCHORARRAY( $CZ$29), _xlfn.XLOOKUP($FA19,_xlfn.ANCHORARRAY( $CY$30), $CZ$30:$DC$34))</f>
        <v>-1.0534652126237219E-2</v>
      </c>
      <c r="FE19" s="10" cm="1">
        <f t="array" aca="1" ref="FE19" ca="1">EI19 * _xlfn.XLOOKUP(FE$13,_xlfn.ANCHORARRAY( $CZ$29), _xlfn.XLOOKUP($EZ19,_xlfn.ANCHORARRAY( $CY$30), $CZ$30:$DC$34)) * _xlfn.XLOOKUP(FE$14,_xlfn.ANCHORARRAY( $CZ$29), _xlfn.XLOOKUP($FA19,_xlfn.ANCHORARRAY( $CY$30), $CZ$30:$DC$34))</f>
        <v>-1.0534652126237219E-2</v>
      </c>
      <c r="FF19" s="10" cm="1">
        <f t="array" aca="1" ref="FF19" ca="1">EJ19 * _xlfn.XLOOKUP(FF$13,_xlfn.ANCHORARRAY( $CZ$29), _xlfn.XLOOKUP($EZ19,_xlfn.ANCHORARRAY( $CY$30), $CZ$30:$DC$34)) * _xlfn.XLOOKUP(FF$14,_xlfn.ANCHORARRAY( $CZ$29), _xlfn.XLOOKUP($FA19,_xlfn.ANCHORARRAY( $CY$30), $CZ$30:$DC$34))</f>
        <v>-7.4780532650518513E-3</v>
      </c>
      <c r="FG19" s="10" cm="1">
        <f t="array" aca="1" ref="FG19" ca="1">EK19 * _xlfn.XLOOKUP(FG$13,_xlfn.ANCHORARRAY( $CZ$29), _xlfn.XLOOKUP($EZ19,_xlfn.ANCHORARRAY( $CY$30), $CZ$30:$DC$34)) * _xlfn.XLOOKUP(FG$14,_xlfn.ANCHORARRAY( $CZ$29), _xlfn.XLOOKUP($FA19,_xlfn.ANCHORARRAY( $CY$30), $CZ$30:$DC$34))</f>
        <v>-5.1753743710243813E-3</v>
      </c>
      <c r="FH19" s="10" cm="1">
        <f t="array" aca="1" ref="FH19" ca="1">EL19 * _xlfn.XLOOKUP(FH$13,_xlfn.ANCHORARRAY( $CZ$29), _xlfn.XLOOKUP($EZ19,_xlfn.ANCHORARRAY( $CY$30), $CZ$30:$DC$34)) * _xlfn.XLOOKUP(FH$14,_xlfn.ANCHORARRAY( $CZ$29), _xlfn.XLOOKUP($FA19,_xlfn.ANCHORARRAY( $CY$30), $CZ$30:$DC$34))</f>
        <v>-4.9848148042895288E-3</v>
      </c>
      <c r="FI19" s="10" cm="1">
        <f t="array" aca="1" ref="FI19" ca="1">EM19 * _xlfn.XLOOKUP(FI$13,_xlfn.ANCHORARRAY( $CZ$29), _xlfn.XLOOKUP($EZ19,_xlfn.ANCHORARRAY( $CY$30), $CZ$30:$DC$34)) * _xlfn.XLOOKUP(FI$14,_xlfn.ANCHORARRAY( $CZ$29), _xlfn.XLOOKUP($FA19,_xlfn.ANCHORARRAY( $CY$30), $CZ$30:$DC$34))</f>
        <v>-4.9848148042895288E-3</v>
      </c>
      <c r="FJ19" s="10" cm="1">
        <f t="array" aca="1" ref="FJ19" ca="1">EN19 * _xlfn.XLOOKUP(FJ$13,_xlfn.ANCHORARRAY( $CZ$29), _xlfn.XLOOKUP($EZ19,_xlfn.ANCHORARRAY( $CY$30), $CZ$30:$DC$34)) * _xlfn.XLOOKUP(FJ$14,_xlfn.ANCHORARRAY( $CZ$29), _xlfn.XLOOKUP($FA19,_xlfn.ANCHORARRAY( $CY$30), $CZ$30:$DC$34))</f>
        <v>-7.4780532650518513E-3</v>
      </c>
      <c r="FK19" s="10" cm="1">
        <f t="array" aca="1" ref="FK19" ca="1">EO19 * _xlfn.XLOOKUP(FK$13,_xlfn.ANCHORARRAY( $CZ$29), _xlfn.XLOOKUP($EZ19,_xlfn.ANCHORARRAY( $CY$30), $CZ$30:$DC$34)) * _xlfn.XLOOKUP(FK$14,_xlfn.ANCHORARRAY( $CZ$29), _xlfn.XLOOKUP($FA19,_xlfn.ANCHORARRAY( $CY$30), $CZ$30:$DC$34))</f>
        <v>-5.1753743710243813E-3</v>
      </c>
      <c r="FL19" s="10" cm="1">
        <f t="array" aca="1" ref="FL19" ca="1">EP19 * _xlfn.XLOOKUP(FL$13,_xlfn.ANCHORARRAY( $CZ$29), _xlfn.XLOOKUP($EZ19,_xlfn.ANCHORARRAY( $CY$30), $CZ$30:$DC$34)) * _xlfn.XLOOKUP(FL$14,_xlfn.ANCHORARRAY( $CZ$29), _xlfn.XLOOKUP($FA19,_xlfn.ANCHORARRAY( $CY$30), $CZ$30:$DC$34))</f>
        <v>-4.9848148042895288E-3</v>
      </c>
      <c r="FM19" s="10" cm="1">
        <f t="array" aca="1" ref="FM19" ca="1">EQ19 * _xlfn.XLOOKUP(FM$13,_xlfn.ANCHORARRAY( $CZ$29), _xlfn.XLOOKUP($EZ19,_xlfn.ANCHORARRAY( $CY$30), $CZ$30:$DC$34)) * _xlfn.XLOOKUP(FM$14,_xlfn.ANCHORARRAY( $CZ$29), _xlfn.XLOOKUP($FA19,_xlfn.ANCHORARRAY( $CY$30), $CZ$30:$DC$34))</f>
        <v>-4.9848148042895288E-3</v>
      </c>
      <c r="FN19" s="10" cm="1">
        <f t="array" aca="1" ref="FN19" ca="1">ER19 * _xlfn.XLOOKUP(FN$13,_xlfn.ANCHORARRAY( $CZ$29), _xlfn.XLOOKUP($EZ19,_xlfn.ANCHORARRAY( $CY$30), $CZ$30:$DC$34)) * _xlfn.XLOOKUP(FN$14,_xlfn.ANCHORARRAY( $CZ$29), _xlfn.XLOOKUP($FA19,_xlfn.ANCHORARRAY( $CY$30), $CZ$30:$DC$34))</f>
        <v>3.0197587170288412E-3</v>
      </c>
      <c r="FO19" s="10" cm="1">
        <f t="array" aca="1" ref="FO19" ca="1">ES19 * _xlfn.XLOOKUP(FO$13,_xlfn.ANCHORARRAY( $CZ$29), _xlfn.XLOOKUP($EZ19,_xlfn.ANCHORARRAY( $CY$30), $CZ$30:$DC$34)) * _xlfn.XLOOKUP(FO$14,_xlfn.ANCHORARRAY( $CZ$29), _xlfn.XLOOKUP($FA19,_xlfn.ANCHORARRAY( $CY$30), $CZ$30:$DC$34))</f>
        <v>-1.7176780901257355E-3</v>
      </c>
      <c r="FP19" s="10" cm="1">
        <f t="array" aca="1" ref="FP19" ca="1">ET19 * _xlfn.XLOOKUP(FP$13,_xlfn.ANCHORARRAY( $CZ$29), _xlfn.XLOOKUP($EZ19,_xlfn.ANCHORARRAY( $CY$30), $CZ$30:$DC$34)) * _xlfn.XLOOKUP(FP$14,_xlfn.ANCHORARRAY( $CZ$29), _xlfn.XLOOKUP($FA19,_xlfn.ANCHORARRAY( $CY$30), $CZ$30:$DC$34))</f>
        <v>-4.2392792792996057E-4</v>
      </c>
      <c r="FQ19" s="10" cm="1">
        <f t="array" aca="1" ref="FQ19" ca="1">EU19 * _xlfn.XLOOKUP(FQ$13,_xlfn.ANCHORARRAY( $CZ$29), _xlfn.XLOOKUP($EZ19,_xlfn.ANCHORARRAY( $CY$30), $CZ$30:$DC$34)) * _xlfn.XLOOKUP(FQ$14,_xlfn.ANCHORARRAY( $CZ$29), _xlfn.XLOOKUP($FA19,_xlfn.ANCHORARRAY( $CY$30), $CZ$30:$DC$34))</f>
        <v>-4.2392792792996057E-4</v>
      </c>
      <c r="FT19" cm="1">
        <f t="array" aca="1" ref="FT19" ca="1">SQRT(SUM((FB19:FQ19)^2))</f>
        <v>4.0601328609547842E-2</v>
      </c>
    </row>
    <row r="20" spans="1:176" x14ac:dyDescent="0.2">
      <c r="D20" s="10">
        <f ca="1"/>
        <v>6</v>
      </c>
      <c r="F20" s="10">
        <f ca="1"/>
        <v>0.5</v>
      </c>
      <c r="H20" s="10"/>
      <c r="J20" cm="1">
        <f t="array" aca="1" ref="J20" ca="1">SUMPRODUCT((O20:AJ20=$O$11:$AJ$11)*(O$13:AJ$13=TRUE))  / COUNTIF(O$13:AJ$13,TRUE)</f>
        <v>0</v>
      </c>
      <c r="K20" t="b">
        <f t="shared" ca="1" si="3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4"/>
        <v>1</v>
      </c>
      <c r="N20" s="2">
        <v>5</v>
      </c>
      <c r="O20" s="12" t="s">
        <v>1</v>
      </c>
      <c r="P20" s="9" t="s">
        <v>0</v>
      </c>
      <c r="Q20" s="9" t="s">
        <v>3</v>
      </c>
      <c r="R20" s="9" t="s">
        <v>2</v>
      </c>
      <c r="S20" s="9" t="s">
        <v>2</v>
      </c>
      <c r="AK20" s="7"/>
      <c r="AN20">
        <f t="shared" ca="1" si="5"/>
        <v>2</v>
      </c>
      <c r="AO20" s="14">
        <f t="shared" ca="1" si="6"/>
        <v>0.5</v>
      </c>
      <c r="AP20" s="2">
        <f ca="1"/>
        <v>6</v>
      </c>
      <c r="AQ20" cm="1">
        <f t="array" aca="1" ref="AQ20" ca="1">IF($AP20=AQ$14, 1, SUMPRODUCT(
    --(OFFSET($O$13,0,0,1,$B$9)=TRUE),
    --(INDEX(OFFSET($O$15,0,0,$B$8,$B$9), 1+$AP20, 0) = INDEX(OFFSET($O$15,0,0,$B$8,$B$9), 1+AQ$14, 0))
) / $B$13)</f>
        <v>0</v>
      </c>
      <c r="AR20" cm="1">
        <f t="array" aca="1" ref="AR20" ca="1">IF($AP20=AR$14, 1, SUMPRODUCT(
    --(OFFSET($O$13,0,0,1,$B$9)=TRUE),
    --(INDEX(OFFSET($O$15,0,0,$B$8,$B$9), 1+$AP20, 0) = INDEX(OFFSET($O$15,0,0,$B$8,$B$9), 1+AR$14, 0))
) / $B$13)</f>
        <v>0</v>
      </c>
      <c r="AS20" cm="1">
        <f t="array" aca="1" ref="AS20" ca="1">IF($AP20=AS$14, 1, SUMPRODUCT(
    --(OFFSET($O$13,0,0,1,$B$9)=TRUE),
    --(INDEX(OFFSET($O$15,0,0,$B$8,$B$9), 1+$AP20, 0) = INDEX(OFFSET($O$15,0,0,$B$8,$B$9), 1+AS$14, 0))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
) / $B$13)</f>
        <v>0.6</v>
      </c>
      <c r="AU20" cm="1">
        <f t="array" aca="1" ref="AU20" ca="1">IF($AP20=AU$14, 1, SUMPRODUCT(
    --(OFFSET($O$13,0,0,1,$B$9)=TRUE),
    --(INDEX(OFFSET($O$15,0,0,$B$8,$B$9), 1+$AP20, 0) = INDEX(OFFSET($O$15,0,0,$B$8,$B$9), 1+AU$14, 0))
) / $B$13)</f>
        <v>0.6</v>
      </c>
      <c r="AV20" cm="1">
        <f t="array" aca="1" ref="AV20" ca="1">IF($AP20=AV$14, 1, SUMPRODUCT(
    --(OFFSET($O$13,0,0,1,$B$9)=TRUE),
    --(INDEX(OFFSET($O$15,0,0,$B$8,$B$9), 1+$AP20, 0) = INDEX(OFFSET($O$15,0,0,$B$8,$B$9), 1+AV$14, 0))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
) / $B$13)</f>
        <v>0.6</v>
      </c>
      <c r="AX20" cm="1">
        <f t="array" aca="1" ref="AX20" ca="1">IF($AP20=AX$14, 1, SUMPRODUCT(
    --(OFFSET($O$13,0,0,1,$B$9)=TRUE),
    --(INDEX(OFFSET($O$15,0,0,$B$8,$B$9), 1+$AP20, 0) = INDEX(OFFSET($O$15,0,0,$B$8,$B$9), 1+AX$14, 0))
) / $B$13)</f>
        <v>0</v>
      </c>
      <c r="AY20" cm="1">
        <f t="array" aca="1" ref="AY20" ca="1">IF($AP20=AY$14, 1, SUMPRODUCT(
    --(OFFSET($O$13,0,0,1,$B$9)=TRUE),
    --(INDEX(OFFSET($O$15,0,0,$B$8,$B$9), 1+$AP20, 0) = INDEX(OFFSET($O$15,0,0,$B$8,$B$9), 1+AY$14, 0))
) / $B$13)</f>
        <v>0</v>
      </c>
      <c r="AZ20" cm="1">
        <f t="array" aca="1" ref="AZ20" ca="1">IF($AP20=AZ$14, 1, SUMPRODUCT(
    --(OFFSET($O$13,0,0,1,$B$9)=TRUE),
    --(INDEX(OFFSET($O$15,0,0,$B$8,$B$9), 1+$AP20, 0) = INDEX(OFFSET($O$15,0,0,$B$8,$B$9), 1+AZ$14, 0))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
) / $B$13)</f>
        <v>0</v>
      </c>
      <c r="BB20" cm="1">
        <f t="array" aca="1" ref="BB20" ca="1">IF($AP20=BB$14, 1, SUMPRODUCT(
    --(OFFSET($O$13,0,0,1,$B$9)=TRUE),
    --(INDEX(OFFSET($O$15,0,0,$B$8,$B$9), 1+$AP20, 0) = INDEX(OFFSET($O$15,0,0,$B$8,$B$9), 1+BB$14, 0))
) / $B$13)</f>
        <v>0.4</v>
      </c>
      <c r="BC20" cm="1">
        <f t="array" aca="1" ref="BC20" ca="1">IF($AP20=BC$14, 1, SUMPRODUCT(
    --(OFFSET($O$13,0,0,1,$B$9)=TRUE),
    --(INDEX(OFFSET($O$15,0,0,$B$8,$B$9), 1+$AP20, 0) = INDEX(OFFSET($O$15,0,0,$B$8,$B$9), 1+BC$14, 0))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
) / $B$13)</f>
        <v>0.8</v>
      </c>
      <c r="BE20" cm="1">
        <f t="array" aca="1" ref="BE20" ca="1">IF($AP20=BE$14, 1, SUMPRODUCT(
    --(OFFSET($O$13,0,0,1,$B$9)=TRUE),
    --(INDEX(OFFSET($O$15,0,0,$B$8,$B$9), 1+$AP20, 0) = INDEX(OFFSET($O$15,0,0,$B$8,$B$9), 1+BE$14, 0))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
) / $B$13)</f>
        <v>0</v>
      </c>
      <c r="BG20" cm="1">
        <f t="array" aca="1" ref="BG20" ca="1">IF($AP20=BG$14, 1, SUMPRODUCT(
    --(OFFSET($O$13,0,0,1,$B$9)=TRUE),
    --(INDEX(OFFSET($O$15,0,0,$B$8,$B$9), 1+$AP20, 0) = INDEX(OFFSET($O$15,0,0,$B$8,$B$9), 1+BG$14, 0))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
) / $B$13)</f>
        <v>0.4</v>
      </c>
      <c r="BI20" cm="1">
        <f t="array" aca="1" ref="BI20" ca="1">IF($AP20=BI$14, 1, SUMPRODUCT(
    --(OFFSET($O$13,0,0,1,$B$9)=TRUE),
    --(INDEX(OFFSET($O$15,0,0,$B$8,$B$9), 1+$AP20, 0) = INDEX(OFFSET($O$15,0,0,$B$8,$B$9), 1+BI$14, 0))
) / $B$13)</f>
        <v>0.2</v>
      </c>
      <c r="BJ20" cm="1">
        <f t="array" aca="1" ref="BJ20" ca="1">IF($AP20=BJ$14, 1, SUMPRODUCT(
    --(OFFSET($O$13,0,0,1,$B$9)=TRUE),
    --(INDEX(OFFSET($O$15,0,0,$B$8,$B$9), 1+$AP20, 0) = INDEX(OFFSET($O$15,0,0,$B$8,$B$9), 1+BJ$14, 0))
) / $B$13)</f>
        <v>0</v>
      </c>
      <c r="BN20">
        <f t="shared" ca="1" si="7"/>
        <v>2</v>
      </c>
      <c r="BO20" s="14">
        <f t="shared" ca="1" si="8"/>
        <v>0.5</v>
      </c>
      <c r="BP20" s="2">
        <f ca="1"/>
        <v>6</v>
      </c>
      <c r="BQ20" cm="1">
        <f t="array" aca="1" ref="BQ20" ca="1">IF($BP20=BQ$14, 1, SUMPRODUCT(
    --(OFFSET($O$9,0,0,1,$B$9)=TRUE),
    --(INDEX(OFFSET($O$15,0,0,$B$8,$B$9), 1+$BP20, 0) = INDEX(OFFSET($O$15,0,0,$B$8,$B$9), 1+BQ$14, 0))
) / $B$16)</f>
        <v>0</v>
      </c>
      <c r="BR20" cm="1">
        <f t="array" aca="1" ref="BR20" ca="1">IF($BP20=BR$14, 1, SUMPRODUCT(
    --(OFFSET($O$9,0,0,1,$B$9)=TRUE),
    --(INDEX(OFFSET($O$15,0,0,$B$8,$B$9), 1+$BP20, 0) = INDEX(OFFSET($O$15,0,0,$B$8,$B$9), 1+BR$14, 0))
) / $B$16)</f>
        <v>0</v>
      </c>
      <c r="BS20" cm="1">
        <f t="array" aca="1" ref="BS20" ca="1">IF($BP20=BS$14, 1, SUMPRODUCT(
    --(OFFSET($O$9,0,0,1,$B$9)=TRUE),
    --(INDEX(OFFSET($O$15,0,0,$B$8,$B$9), 1+$BP20, 0) = INDEX(OFFSET($O$15,0,0,$B$8,$B$9), 1+BS$14, 0))
) / $B$16)</f>
        <v>0.4</v>
      </c>
      <c r="BT20" cm="1">
        <f t="array" aca="1" ref="BT20" ca="1">IF($BP20=BT$14, 1, SUMPRODUCT(
    --(OFFSET($O$9,0,0,1,$B$9)=TRUE),
    --(INDEX(OFFSET($O$15,0,0,$B$8,$B$9), 1+$BP20, 0) = INDEX(OFFSET($O$15,0,0,$B$8,$B$9), 1+BT$14, 0))
) / $B$16)</f>
        <v>0.6</v>
      </c>
      <c r="BU20" cm="1">
        <f t="array" aca="1" ref="BU20" ca="1">IF($BP20=BU$14, 1, SUMPRODUCT(
    --(OFFSET($O$9,0,0,1,$B$9)=TRUE),
    --(INDEX(OFFSET($O$15,0,0,$B$8,$B$9), 1+$BP20, 0) = INDEX(OFFSET($O$15,0,0,$B$8,$B$9), 1+BU$14, 0))
) / $B$16)</f>
        <v>0.6</v>
      </c>
      <c r="BV20" cm="1">
        <f t="array" aca="1" ref="BV20" ca="1">IF($BP20=BV$14, 1, SUMPRODUCT(
    --(OFFSET($O$9,0,0,1,$B$9)=TRUE),
    --(INDEX(OFFSET($O$15,0,0,$B$8,$B$9), 1+$BP20, 0) = INDEX(OFFSET($O$15,0,0,$B$8,$B$9), 1+BV$14, 0))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
) / $B$16)</f>
        <v>0.6</v>
      </c>
      <c r="BX20" cm="1">
        <f t="array" aca="1" ref="BX20" ca="1">IF($BP20=BX$14, 1, SUMPRODUCT(
    --(OFFSET($O$9,0,0,1,$B$9)=TRUE),
    --(INDEX(OFFSET($O$15,0,0,$B$8,$B$9), 1+$BP20, 0) = INDEX(OFFSET($O$15,0,0,$B$8,$B$9), 1+BX$14, 0))
) / $B$16)</f>
        <v>0</v>
      </c>
      <c r="BY20" cm="1">
        <f t="array" aca="1" ref="BY20" ca="1">IF($BP20=BY$14, 1, SUMPRODUCT(
    --(OFFSET($O$9,0,0,1,$B$9)=TRUE),
    --(INDEX(OFFSET($O$15,0,0,$B$8,$B$9), 1+$BP20, 0) = INDEX(OFFSET($O$15,0,0,$B$8,$B$9), 1+BY$14, 0))
) / $B$16)</f>
        <v>0</v>
      </c>
      <c r="BZ20" cm="1">
        <f t="array" aca="1" ref="BZ20" ca="1">IF($BP20=BZ$14, 1, SUMPRODUCT(
    --(OFFSET($O$9,0,0,1,$B$9)=TRUE),
    --(INDEX(OFFSET($O$15,0,0,$B$8,$B$9), 1+$BP20, 0) = INDEX(OFFSET($O$15,0,0,$B$8,$B$9), 1+BZ$14, 0))
) / $B$16)</f>
        <v>0.4</v>
      </c>
      <c r="CA20" cm="1">
        <f t="array" aca="1" ref="CA20" ca="1">IF($BP20=CA$14, 1, SUMPRODUCT(
    --(OFFSET($O$9,0,0,1,$B$9)=TRUE),
    --(INDEX(OFFSET($O$15,0,0,$B$8,$B$9), 1+$BP20, 0) = INDEX(OFFSET($O$15,0,0,$B$8,$B$9), 1+CA$14, 0))
) / $B$16)</f>
        <v>0</v>
      </c>
      <c r="CB20" cm="1">
        <f t="array" aca="1" ref="CB20" ca="1">IF($BP20=CB$14, 1, SUMPRODUCT(
    --(OFFSET($O$9,0,0,1,$B$9)=TRUE),
    --(INDEX(OFFSET($O$15,0,0,$B$8,$B$9), 1+$BP20, 0) = INDEX(OFFSET($O$15,0,0,$B$8,$B$9), 1+CB$14, 0))
) / $B$16)</f>
        <v>0.4</v>
      </c>
      <c r="CC20" cm="1">
        <f t="array" aca="1" ref="CC20" ca="1">IF($BP20=CC$14, 1, SUMPRODUCT(
    --(OFFSET($O$9,0,0,1,$B$9)=TRUE),
    --(INDEX(OFFSET($O$15,0,0,$B$8,$B$9), 1+$BP20, 0) = INDEX(OFFSET($O$15,0,0,$B$8,$B$9), 1+CC$14, 0))
) / $B$16)</f>
        <v>0.4</v>
      </c>
      <c r="CD20" cm="1">
        <f t="array" aca="1" ref="CD20" ca="1">IF($BP20=CD$14, 1, SUMPRODUCT(
    --(OFFSET($O$9,0,0,1,$B$9)=TRUE),
    --(INDEX(OFFSET($O$15,0,0,$B$8,$B$9), 1+$BP20, 0) = INDEX(OFFSET($O$15,0,0,$B$8,$B$9), 1+CD$14, 0))
) / $B$16)</f>
        <v>0.8</v>
      </c>
      <c r="CE20" cm="1">
        <f t="array" aca="1" ref="CE20" ca="1">IF($BP20=CE$14, 1, SUMPRODUCT(
    --(OFFSET($O$9,0,0,1,$B$9)=TRUE),
    --(INDEX(OFFSET($O$15,0,0,$B$8,$B$9), 1+$BP20, 0) = INDEX(OFFSET($O$15,0,0,$B$8,$B$9), 1+CE$14, 0))
) / $B$16)</f>
        <v>0.4</v>
      </c>
      <c r="CF20" cm="1">
        <f t="array" aca="1" ref="CF20" ca="1">IF($BP20=CF$14, 1, SUMPRODUCT(
    --(OFFSET($O$9,0,0,1,$B$9)=TRUE),
    --(INDEX(OFFSET($O$15,0,0,$B$8,$B$9), 1+$BP20, 0) = INDEX(OFFSET($O$15,0,0,$B$8,$B$9), 1+CF$14, 0))
) / $B$16)</f>
        <v>0</v>
      </c>
      <c r="CG20" cm="1">
        <f t="array" aca="1" ref="CG20" ca="1">IF($BP20=CG$14, 1, SUMPRODUCT(
    --(OFFSET($O$9,0,0,1,$B$9)=TRUE),
    --(INDEX(OFFSET($O$15,0,0,$B$8,$B$9), 1+$BP20, 0) = INDEX(OFFSET($O$15,0,0,$B$8,$B$9), 1+CG$14, 0))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
) / $B$16)</f>
        <v>0.4</v>
      </c>
      <c r="CI20" cm="1">
        <f t="array" aca="1" ref="CI20" ca="1">IF($BP20=CI$14, 1, SUMPRODUCT(
    --(OFFSET($O$9,0,0,1,$B$9)=TRUE),
    --(INDEX(OFFSET($O$15,0,0,$B$8,$B$9), 1+$BP20, 0) = INDEX(OFFSET($O$15,0,0,$B$8,$B$9), 1+CI$14, 0))
) / $B$16)</f>
        <v>0.2</v>
      </c>
      <c r="CJ20" cm="1">
        <f t="array" aca="1" ref="CJ20" ca="1">IF($BP20=CJ$14, 1, SUMPRODUCT(
    --(OFFSET($O$9,0,0,1,$B$9)=TRUE),
    --(INDEX(OFFSET($O$15,0,0,$B$8,$B$9), 1+$BP20, 0) = INDEX(OFFSET($O$15,0,0,$B$8,$B$9), 1+CJ$14, 0))
) / $B$16)</f>
        <v>0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0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$B$18/($B$19*$B$19*($DF20&lt;&gt;$DG20) + $B$19*($DF20=$DG20))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$B$18/($B$19*$B$19*($DF20&lt;&gt;$DG20) + $B$19*($DF20=$DG20))</f>
        <v>0.17756363636363637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$B$18/($B$19*$B$19*($DF20&lt;&gt;$DG20) + $B$19*($DF20=$DG20))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$B$18/($B$19*$B$19*($DF20&lt;&gt;$DG20) + $B$19*($DF20=$DG20))</f>
        <v>8.9381818181818187E-2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$B$18/($B$19*$B$19*($DF20&lt;&gt;$DG20) + $B$19*($DF20=$DG20))</f>
        <v>0.3539272727272727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$B$18/($B$19*$B$19*($DF20&lt;&gt;$DG20) + $B$19*($DF20=$DG20))</f>
        <v>1.1999999999999999E-3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$B$18/($B$19*$B$19*($DF20&lt;&gt;$DG20) + $B$19*($DF20=$DG20))</f>
        <v>1.1999999999999999E-3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$B$18/($B$19*$B$19*($DF20&lt;&gt;$DG20) + $B$19*($DF20=$DG20))</f>
        <v>1.1999999999999999E-3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$B$18/($B$19*$B$19*($DF20&lt;&gt;$DG20) + $B$19*($DF20=$DG20))</f>
        <v>1.1999999999999999E-3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$B$18/($B$19*$B$19*($DF20&lt;&gt;$DG20) + $B$19*($DF20=$DG20))</f>
        <v>1.1999999999999999E-3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$B$18/($B$19*$B$19*($DF20&lt;&gt;$DG20) + $B$19*($DF20=$DG20))</f>
        <v>1.1999999999999999E-3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$B$18/($B$19*$B$19*($DF20&lt;&gt;$DG20) + $B$19*($DF20=$DG20))</f>
        <v>0.17756363636363637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$B$18/($B$19*$B$19*($DF20&lt;&gt;$DG20) + $B$19*($DF20=$DG20))</f>
        <v>1.1999999999999999E-3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$B$18/($B$19*$B$19*($DF20&lt;&gt;$DG20) + $B$19*($DF20=$DG20))</f>
        <v>1.1999999999999999E-3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$B$18/($B$19*$B$19*($DF20&lt;&gt;$DG20) + $B$19*($DF20=$DG20))</f>
        <v>0.17756363636363637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$B$18/($B$19*$B$19*($DF20&lt;&gt;$DG20) + $B$19*($DF20=$DG20))</f>
        <v>1.1999999999999999E-3</v>
      </c>
      <c r="ED20" cm="1">
        <f t="array" aca="1" ref="ED20" ca="1">INDEX(_xlfn.ANCHORARRAY($CP$15), 1 + INT((ROWS($DG$15:$DG20) - 1) / ROWS(_xlfn.ANCHORARRAY($CP$15))))</f>
        <v>1</v>
      </c>
      <c r="EE20" cm="1">
        <f t="array" aca="1" ref="EE20" ca="1">INDEX(_xlfn.ANCHORARRAY($CP$15),1+MOD(ROWS($DG$15:$DG20)-1,ROWS(_xlfn.ANCHORARRAY($CP$15))))</f>
        <v>0</v>
      </c>
      <c r="EF20" s="10" cm="1">
        <f t="array" aca="1" ref="EF20" ca="1">DH20-_xlfn.XLOOKUP(EF$13,_xlfn.ANCHORARRAY( $CR$14), _xlfn.XLOOKUP($ED20,_xlfn.ANCHORARRAY( $CP$15), $CR$15:$CU$19)) * _xlfn.XLOOKUP(EF$14,_xlfn.ANCHORARRAY( $CR$14), _xlfn.XLOOKUP($EE20,_xlfn.ANCHORARRAY( $CP$15), $CR$15:$CU$19))</f>
        <v>-9.5852033057851255E-2</v>
      </c>
      <c r="EG20" s="10" cm="1">
        <f t="array" aca="1" ref="EG20" ca="1">DI20-_xlfn.XLOOKUP(EG$13,_xlfn.ANCHORARRAY( $CR$14), _xlfn.XLOOKUP($ED20,_xlfn.ANCHORARRAY( $CP$15), $CR$15:$CU$19)) * _xlfn.XLOOKUP(EG$14,_xlfn.ANCHORARRAY( $CR$14), _xlfn.XLOOKUP($EE20,_xlfn.ANCHORARRAY( $CP$15), $CR$15:$CU$19))</f>
        <v>0.12822598347107439</v>
      </c>
      <c r="EH20" s="10" cm="1">
        <f t="array" aca="1" ref="EH20" ca="1">DJ20-_xlfn.XLOOKUP(EH$13,_xlfn.ANCHORARRAY( $CR$14), _xlfn.XLOOKUP($ED20,_xlfn.ANCHORARRAY( $CP$15), $CR$15:$CU$19)) * _xlfn.XLOOKUP(EH$14,_xlfn.ANCHORARRAY( $CR$14), _xlfn.XLOOKUP($EE20,_xlfn.ANCHORARRAY( $CP$15), $CR$15:$CU$19))</f>
        <v>-4.8137652892561993E-2</v>
      </c>
      <c r="EI20" s="10" cm="1">
        <f t="array" aca="1" ref="EI20" ca="1">DK20-_xlfn.XLOOKUP(EI$13,_xlfn.ANCHORARRAY( $CR$14), _xlfn.XLOOKUP($ED20,_xlfn.ANCHORARRAY( $CP$15), $CR$15:$CU$19)) * _xlfn.XLOOKUP(EI$14,_xlfn.ANCHORARRAY( $CR$14), _xlfn.XLOOKUP($EE20,_xlfn.ANCHORARRAY( $CP$15), $CR$15:$CU$19))</f>
        <v>1.6186975206611554E-2</v>
      </c>
      <c r="EJ20" s="10" cm="1">
        <f t="array" aca="1" ref="EJ20" ca="1">DL20-_xlfn.XLOOKUP(EJ$13,_xlfn.ANCHORARRAY( $CR$14), _xlfn.XLOOKUP($ED20,_xlfn.ANCHORARRAY( $CP$15), $CR$15:$CU$19)) * _xlfn.XLOOKUP(EJ$14,_xlfn.ANCHORARRAY( $CR$14), _xlfn.XLOOKUP($EE20,_xlfn.ANCHORARRAY( $CP$15), $CR$15:$CU$19))</f>
        <v>0.22524201652892559</v>
      </c>
      <c r="EK20" s="10" cm="1">
        <f t="array" aca="1" ref="EK20" ca="1">DM20-_xlfn.XLOOKUP(EK$13,_xlfn.ANCHORARRAY( $CR$14), _xlfn.XLOOKUP($ED20,_xlfn.ANCHORARRAY( $CP$15), $CR$15:$CU$19)) * _xlfn.XLOOKUP(EK$14,_xlfn.ANCHORARRAY( $CR$14), _xlfn.XLOOKUP($EE20,_xlfn.ANCHORARRAY( $CP$15), $CR$15:$CU$19))</f>
        <v>-6.421880991735536E-2</v>
      </c>
      <c r="EL20" s="10" cm="1">
        <f t="array" aca="1" ref="EL20" ca="1">DN20-_xlfn.XLOOKUP(EL$13,_xlfn.ANCHORARRAY( $CR$14), _xlfn.XLOOKUP($ED20,_xlfn.ANCHORARRAY( $CP$15), $CR$15:$CU$19)) * _xlfn.XLOOKUP(EL$14,_xlfn.ANCHORARRAY( $CR$14), _xlfn.XLOOKUP($EE20,_xlfn.ANCHORARRAY( $CP$15), $CR$15:$CU$19))</f>
        <v>-6.421880991735536E-2</v>
      </c>
      <c r="EM20" s="10" cm="1">
        <f t="array" aca="1" ref="EM20" ca="1">DO20-_xlfn.XLOOKUP(EM$13,_xlfn.ANCHORARRAY( $CR$14), _xlfn.XLOOKUP($ED20,_xlfn.ANCHORARRAY( $CP$15), $CR$15:$CU$19)) * _xlfn.XLOOKUP(EM$14,_xlfn.ANCHORARRAY( $CR$14), _xlfn.XLOOKUP($EE20,_xlfn.ANCHORARRAY( $CP$15), $CR$15:$CU$19))</f>
        <v>-9.5852033057851255E-2</v>
      </c>
      <c r="EN20" s="10" cm="1">
        <f t="array" aca="1" ref="EN20" ca="1">DP20-_xlfn.XLOOKUP(EN$13,_xlfn.ANCHORARRAY( $CR$14), _xlfn.XLOOKUP($ED20,_xlfn.ANCHORARRAY( $CP$15), $CR$15:$CU$19)) * _xlfn.XLOOKUP(EN$14,_xlfn.ANCHORARRAY( $CR$14), _xlfn.XLOOKUP($EE20,_xlfn.ANCHORARRAY( $CP$15), $CR$15:$CU$19))</f>
        <v>-6.421880991735536E-2</v>
      </c>
      <c r="EO20" s="10" cm="1">
        <f t="array" aca="1" ref="EO20" ca="1">DQ20-_xlfn.XLOOKUP(EO$13,_xlfn.ANCHORARRAY( $CR$14), _xlfn.XLOOKUP($ED20,_xlfn.ANCHORARRAY( $CP$15), $CR$15:$CU$19)) * _xlfn.XLOOKUP(EO$14,_xlfn.ANCHORARRAY( $CR$14), _xlfn.XLOOKUP($EE20,_xlfn.ANCHORARRAY( $CP$15), $CR$15:$CU$19))</f>
        <v>-3.2056495867768597E-2</v>
      </c>
      <c r="EP20" s="10" cm="1">
        <f t="array" aca="1" ref="EP20" ca="1">DR20-_xlfn.XLOOKUP(EP$13,_xlfn.ANCHORARRAY( $CR$14), _xlfn.XLOOKUP($ED20,_xlfn.ANCHORARRAY( $CP$15), $CR$15:$CU$19)) * _xlfn.XLOOKUP(EP$14,_xlfn.ANCHORARRAY( $CR$14), _xlfn.XLOOKUP($EE20,_xlfn.ANCHORARRAY( $CP$15), $CR$15:$CU$19))</f>
        <v>-3.2056495867768597E-2</v>
      </c>
      <c r="EQ20" s="10" cm="1">
        <f t="array" aca="1" ref="EQ20" ca="1">DS20-_xlfn.XLOOKUP(EQ$13,_xlfn.ANCHORARRAY( $CR$14), _xlfn.XLOOKUP($ED20,_xlfn.ANCHORARRAY( $CP$15), $CR$15:$CU$19)) * _xlfn.XLOOKUP(EQ$14,_xlfn.ANCHORARRAY( $CR$14), _xlfn.XLOOKUP($EE20,_xlfn.ANCHORARRAY( $CP$15), $CR$15:$CU$19))</f>
        <v>0.12822598347107439</v>
      </c>
      <c r="ER20" s="10" cm="1">
        <f t="array" aca="1" ref="ER20" ca="1">DT20-_xlfn.XLOOKUP(ER$13,_xlfn.ANCHORARRAY( $CR$14), _xlfn.XLOOKUP($ED20,_xlfn.ANCHORARRAY( $CP$15), $CR$15:$CU$19)) * _xlfn.XLOOKUP(ER$14,_xlfn.ANCHORARRAY( $CR$14), _xlfn.XLOOKUP($EE20,_xlfn.ANCHORARRAY( $CP$15), $CR$15:$CU$19))</f>
        <v>-6.421880991735536E-2</v>
      </c>
      <c r="ES20" s="10" cm="1">
        <f t="array" aca="1" ref="ES20" ca="1">DU20-_xlfn.XLOOKUP(ES$13,_xlfn.ANCHORARRAY( $CR$14), _xlfn.XLOOKUP($ED20,_xlfn.ANCHORARRAY( $CP$15), $CR$15:$CU$19)) * _xlfn.XLOOKUP(ES$14,_xlfn.ANCHORARRAY( $CR$14), _xlfn.XLOOKUP($EE20,_xlfn.ANCHORARRAY( $CP$15), $CR$15:$CU$19))</f>
        <v>-3.2056495867768597E-2</v>
      </c>
      <c r="ET20" s="10" cm="1">
        <f t="array" aca="1" ref="ET20" ca="1">DV20-_xlfn.XLOOKUP(ET$13,_xlfn.ANCHORARRAY( $CR$14), _xlfn.XLOOKUP($ED20,_xlfn.ANCHORARRAY( $CP$15), $CR$15:$CU$19)) * _xlfn.XLOOKUP(ET$14,_xlfn.ANCHORARRAY( $CR$14), _xlfn.XLOOKUP($EE20,_xlfn.ANCHORARRAY( $CP$15), $CR$15:$CU$19))</f>
        <v>0.14430714049586776</v>
      </c>
      <c r="EU20" s="10" cm="1">
        <f t="array" aca="1" ref="EU20" ca="1">DW20-_xlfn.XLOOKUP(EU$13,_xlfn.ANCHORARRAY( $CR$14), _xlfn.XLOOKUP($ED20,_xlfn.ANCHORARRAY( $CP$15), $CR$15:$CU$19)) * _xlfn.XLOOKUP(EU$14,_xlfn.ANCHORARRAY( $CR$14), _xlfn.XLOOKUP($EE20,_xlfn.ANCHORARRAY( $CP$15), $CR$15:$CU$19))</f>
        <v>-4.8137652892561993E-2</v>
      </c>
      <c r="EZ20" cm="1">
        <f t="array" aca="1" ref="EZ20" ca="1">INDEX(_xlfn.ANCHORARRAY($CP$15), 1 + INT((ROWS($DG$15:$DG20) - 1) / ROWS(_xlfn.ANCHORARRAY($CP$15))))</f>
        <v>1</v>
      </c>
      <c r="FA20" cm="1">
        <f t="array" aca="1" ref="FA20" ca="1">INDEX(_xlfn.ANCHORARRAY($CP$15),1+MOD(ROWS($DG$15:$DG20)-1,ROWS(_xlfn.ANCHORARRAY($CP$15))))</f>
        <v>0</v>
      </c>
      <c r="FB20" s="10" cm="1">
        <f t="array" aca="1" ref="FB20" ca="1">EF20 * _xlfn.XLOOKUP(FB$13,_xlfn.ANCHORARRAY( $CZ$29), _xlfn.XLOOKUP($EZ20,_xlfn.ANCHORARRAY( $CY$30), $CZ$30:$DC$34)) * _xlfn.XLOOKUP(FB$14,_xlfn.ANCHORARRAY( $CZ$29), _xlfn.XLOOKUP($FA20,_xlfn.ANCHORARRAY( $CY$30), $CZ$30:$DC$34))</f>
        <v>-5.2976812799675407E-3</v>
      </c>
      <c r="FC20" s="10" cm="1">
        <f t="array" aca="1" ref="FC20" ca="1">EG20 * _xlfn.XLOOKUP(FC$13,_xlfn.ANCHORARRAY( $CZ$29), _xlfn.XLOOKUP($EZ20,_xlfn.ANCHORARRAY( $CY$30), $CZ$30:$DC$34)) * _xlfn.XLOOKUP(FC$14,_xlfn.ANCHORARRAY( $CZ$29), _xlfn.XLOOKUP($FA20,_xlfn.ANCHORARRAY( $CY$30), $CZ$30:$DC$34))</f>
        <v>-5.5002011105019155E-3</v>
      </c>
      <c r="FD20" s="10" cm="1">
        <f t="array" aca="1" ref="FD20" ca="1">EH20 * _xlfn.XLOOKUP(FD$13,_xlfn.ANCHORARRAY( $CZ$29), _xlfn.XLOOKUP($EZ20,_xlfn.ANCHORARRAY( $CY$30), $CZ$30:$DC$34)) * _xlfn.XLOOKUP(FD$14,_xlfn.ANCHORARRAY( $CZ$29), _xlfn.XLOOKUP($FA20,_xlfn.ANCHORARRAY( $CY$30), $CZ$30:$DC$34))</f>
        <v>2.0648449302504445E-3</v>
      </c>
      <c r="FE20" s="10" cm="1">
        <f t="array" aca="1" ref="FE20" ca="1">EI20 * _xlfn.XLOOKUP(FE$13,_xlfn.ANCHORARRAY( $CZ$29), _xlfn.XLOOKUP($EZ20,_xlfn.ANCHORARRAY( $CY$30), $CZ$30:$DC$34)) * _xlfn.XLOOKUP(FE$14,_xlfn.ANCHORARRAY( $CZ$29), _xlfn.XLOOKUP($FA20,_xlfn.ANCHORARRAY( $CY$30), $CZ$30:$DC$34))</f>
        <v>1.8447819449295296E-4</v>
      </c>
      <c r="FF20" s="10" cm="1">
        <f t="array" aca="1" ref="FF20" ca="1">EJ20 * _xlfn.XLOOKUP(FF$13,_xlfn.ANCHORARRAY( $CZ$29), _xlfn.XLOOKUP($EZ20,_xlfn.ANCHORARRAY( $CY$30), $CZ$30:$DC$34)) * _xlfn.XLOOKUP(FF$14,_xlfn.ANCHORARRAY( $CZ$29), _xlfn.XLOOKUP($FA20,_xlfn.ANCHORARRAY( $CY$30), $CZ$30:$DC$34))</f>
        <v>6.0372486685427169E-2</v>
      </c>
      <c r="FG20" s="10" cm="1">
        <f t="array" aca="1" ref="FG20" ca="1">EK20 * _xlfn.XLOOKUP(FG$13,_xlfn.ANCHORARRAY( $CZ$29), _xlfn.XLOOKUP($EZ20,_xlfn.ANCHORARRAY( $CY$30), $CZ$30:$DC$34)) * _xlfn.XLOOKUP(FG$14,_xlfn.ANCHORARRAY( $CZ$29), _xlfn.XLOOKUP($FA20,_xlfn.ANCHORARRAY( $CY$30), $CZ$30:$DC$34))</f>
        <v>1.3358876767764798E-2</v>
      </c>
      <c r="FH20" s="10" cm="1">
        <f t="array" aca="1" ref="FH20" ca="1">EL20 * _xlfn.XLOOKUP(FH$13,_xlfn.ANCHORARRAY( $CZ$29), _xlfn.XLOOKUP($EZ20,_xlfn.ANCHORARRAY( $CY$30), $CZ$30:$DC$34)) * _xlfn.XLOOKUP(FH$14,_xlfn.ANCHORARRAY( $CZ$29), _xlfn.XLOOKUP($FA20,_xlfn.ANCHORARRAY( $CY$30), $CZ$30:$DC$34))</f>
        <v>1.3358876767764798E-2</v>
      </c>
      <c r="FI20" s="10" cm="1">
        <f t="array" aca="1" ref="FI20" ca="1">EM20 * _xlfn.XLOOKUP(FI$13,_xlfn.ANCHORARRAY( $CZ$29), _xlfn.XLOOKUP($EZ20,_xlfn.ANCHORARRAY( $CY$30), $CZ$30:$DC$34)) * _xlfn.XLOOKUP(FI$14,_xlfn.ANCHORARRAY( $CZ$29), _xlfn.XLOOKUP($FA20,_xlfn.ANCHORARRAY( $CY$30), $CZ$30:$DC$34))</f>
        <v>-5.2976812799675407E-3</v>
      </c>
      <c r="FJ20" s="10" cm="1">
        <f t="array" aca="1" ref="FJ20" ca="1">EN20 * _xlfn.XLOOKUP(FJ$13,_xlfn.ANCHORARRAY( $CZ$29), _xlfn.XLOOKUP($EZ20,_xlfn.ANCHORARRAY( $CY$30), $CZ$30:$DC$34)) * _xlfn.XLOOKUP(FJ$14,_xlfn.ANCHORARRAY( $CZ$29), _xlfn.XLOOKUP($FA20,_xlfn.ANCHORARRAY( $CY$30), $CZ$30:$DC$34))</f>
        <v>1.3358876767764797E-2</v>
      </c>
      <c r="FK20" s="10" cm="1">
        <f t="array" aca="1" ref="FK20" ca="1">EO20 * _xlfn.XLOOKUP(FK$13,_xlfn.ANCHORARRAY( $CZ$29), _xlfn.XLOOKUP($EZ20,_xlfn.ANCHORARRAY( $CY$30), $CZ$30:$DC$34)) * _xlfn.XLOOKUP(FK$14,_xlfn.ANCHORARRAY( $CZ$29), _xlfn.XLOOKUP($FA20,_xlfn.ANCHORARRAY( $CY$30), $CZ$30:$DC$34))</f>
        <v>-5.1753743710243813E-3</v>
      </c>
      <c r="FL20" s="10" cm="1">
        <f t="array" aca="1" ref="FL20" ca="1">EP20 * _xlfn.XLOOKUP(FL$13,_xlfn.ANCHORARRAY( $CZ$29), _xlfn.XLOOKUP($EZ20,_xlfn.ANCHORARRAY( $CY$30), $CZ$30:$DC$34)) * _xlfn.XLOOKUP(FL$14,_xlfn.ANCHORARRAY( $CZ$29), _xlfn.XLOOKUP($FA20,_xlfn.ANCHORARRAY( $CY$30), $CZ$30:$DC$34))</f>
        <v>-5.1753743710243813E-3</v>
      </c>
      <c r="FM20" s="10" cm="1">
        <f t="array" aca="1" ref="FM20" ca="1">EQ20 * _xlfn.XLOOKUP(FM$13,_xlfn.ANCHORARRAY( $CZ$29), _xlfn.XLOOKUP($EZ20,_xlfn.ANCHORARRAY( $CY$30), $CZ$30:$DC$34)) * _xlfn.XLOOKUP(FM$14,_xlfn.ANCHORARRAY( $CZ$29), _xlfn.XLOOKUP($FA20,_xlfn.ANCHORARRAY( $CY$30), $CZ$30:$DC$34))</f>
        <v>-5.5002011105019163E-3</v>
      </c>
      <c r="FN20" s="10" cm="1">
        <f t="array" aca="1" ref="FN20" ca="1">ER20 * _xlfn.XLOOKUP(FN$13,_xlfn.ANCHORARRAY( $CZ$29), _xlfn.XLOOKUP($EZ20,_xlfn.ANCHORARRAY( $CY$30), $CZ$30:$DC$34)) * _xlfn.XLOOKUP(FN$14,_xlfn.ANCHORARRAY( $CZ$29), _xlfn.XLOOKUP($FA20,_xlfn.ANCHORARRAY( $CY$30), $CZ$30:$DC$34))</f>
        <v>1.3358876767764797E-2</v>
      </c>
      <c r="FO20" s="10" cm="1">
        <f t="array" aca="1" ref="FO20" ca="1">ES20 * _xlfn.XLOOKUP(FO$13,_xlfn.ANCHORARRAY( $CZ$29), _xlfn.XLOOKUP($EZ20,_xlfn.ANCHORARRAY( $CY$30), $CZ$30:$DC$34)) * _xlfn.XLOOKUP(FO$14,_xlfn.ANCHORARRAY( $CZ$29), _xlfn.XLOOKUP($FA20,_xlfn.ANCHORARRAY( $CY$30), $CZ$30:$DC$34))</f>
        <v>-5.1753743710243813E-3</v>
      </c>
      <c r="FP20" s="10" cm="1">
        <f t="array" aca="1" ref="FP20" ca="1">ET20 * _xlfn.XLOOKUP(FP$13,_xlfn.ANCHORARRAY( $CZ$29), _xlfn.XLOOKUP($EZ20,_xlfn.ANCHORARRAY( $CY$30), $CZ$30:$DC$34)) * _xlfn.XLOOKUP(FP$14,_xlfn.ANCHORARRAY( $CZ$29), _xlfn.XLOOKUP($FA20,_xlfn.ANCHORARRAY( $CY$30), $CZ$30:$DC$34))</f>
        <v>2.3297726599900988E-2</v>
      </c>
      <c r="FQ20" s="10" cm="1">
        <f t="array" aca="1" ref="FQ20" ca="1">EU20 * _xlfn.XLOOKUP(FQ$13,_xlfn.ANCHORARRAY( $CZ$29), _xlfn.XLOOKUP($EZ20,_xlfn.ANCHORARRAY( $CY$30), $CZ$30:$DC$34)) * _xlfn.XLOOKUP(FQ$14,_xlfn.ANCHORARRAY( $CZ$29), _xlfn.XLOOKUP($FA20,_xlfn.ANCHORARRAY( $CY$30), $CZ$30:$DC$34))</f>
        <v>2.0648449302504445E-3</v>
      </c>
      <c r="FT20" cm="1">
        <f t="array" aca="1" ref="FT20" ca="1">SQRT(SUM((FB20:FQ20)^2))</f>
        <v>7.1463344077283872E-2</v>
      </c>
    </row>
    <row r="21" spans="1:176" x14ac:dyDescent="0.2">
      <c r="D21" s="10">
        <f ca="1"/>
        <v>7</v>
      </c>
      <c r="F21" s="10">
        <f ca="1"/>
        <v>0.5</v>
      </c>
      <c r="H21" s="10"/>
      <c r="J21" cm="1">
        <f t="array" aca="1" ref="J21" ca="1">SUMPRODUCT((O21:AJ21=$O$11:$AJ$11)*(O$13:AJ$13=TRUE))  / COUNTIF(O$13:AJ$13,TRUE)</f>
        <v>0</v>
      </c>
      <c r="K21" t="b">
        <f t="shared" ca="1" si="3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4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2</v>
      </c>
      <c r="S21" s="9" t="s">
        <v>2</v>
      </c>
      <c r="AK21" s="7"/>
      <c r="AN21">
        <f t="shared" ca="1" si="5"/>
        <v>2</v>
      </c>
      <c r="AO21" s="14">
        <f t="shared" ca="1" si="6"/>
        <v>0.5</v>
      </c>
      <c r="AP21" s="2">
        <f ca="1"/>
        <v>7</v>
      </c>
      <c r="AQ21" cm="1">
        <f t="array" aca="1" ref="AQ21" ca="1">IF($AP21=AQ$14, 1, SUMPRODUCT(
    --(OFFSET($O$13,0,0,1,$B$9)=TRUE),
    --(INDEX(OFFSET($O$15,0,0,$B$8,$B$9), 1+$AP21, 0) = INDEX(OFFSET($O$15,0,0,$B$8,$B$9), 1+AQ$14, 0))
) / $B$13)</f>
        <v>0</v>
      </c>
      <c r="AR21" cm="1">
        <f t="array" aca="1" ref="AR21" ca="1">IF($AP21=AR$14, 1, SUMPRODUCT(
    --(OFFSET($O$13,0,0,1,$B$9)=TRUE),
    --(INDEX(OFFSET($O$15,0,0,$B$8,$B$9), 1+$AP21, 0) = INDEX(OFFSET($O$15,0,0,$B$8,$B$9), 1+AR$14, 0))
) / $B$13)</f>
        <v>0</v>
      </c>
      <c r="AS21" cm="1">
        <f t="array" aca="1" ref="AS21" ca="1">IF($AP21=AS$14, 1, SUMPRODUCT(
    --(OFFSET($O$13,0,0,1,$B$9)=TRUE),
    --(INDEX(OFFSET($O$15,0,0,$B$8,$B$9), 1+$AP21, 0) = INDEX(OFFSET($O$15,0,0,$B$8,$B$9), 1+AS$14, 0))
) / $B$13)</f>
        <v>0</v>
      </c>
      <c r="AT21" cm="1">
        <f t="array" aca="1" ref="AT21" ca="1">IF($AP21=AT$14, 1, SUMPRODUCT(
    --(OFFSET($O$13,0,0,1,$B$9)=TRUE),
    --(INDEX(OFFSET($O$15,0,0,$B$8,$B$9), 1+$AP21, 0) = INDEX(OFFSET($O$15,0,0,$B$8,$B$9), 1+AT$14, 0))
) / $B$13)</f>
        <v>0.6</v>
      </c>
      <c r="AU21" cm="1">
        <f t="array" aca="1" ref="AU21" ca="1">IF($AP21=AU$14, 1, SUMPRODUCT(
    --(OFFSET($O$13,0,0,1,$B$9)=TRUE),
    --(INDEX(OFFSET($O$15,0,0,$B$8,$B$9), 1+$AP21, 0) = INDEX(OFFSET($O$15,0,0,$B$8,$B$9), 1+AU$14, 0))
) / $B$13)</f>
        <v>0.6</v>
      </c>
      <c r="AV21" cm="1">
        <f t="array" aca="1" ref="AV21" ca="1">IF($AP21=AV$14, 1, SUMPRODUCT(
    --(OFFSET($O$13,0,0,1,$B$9)=TRUE),
    --(INDEX(OFFSET($O$15,0,0,$B$8,$B$9), 1+$AP21, 0) = INDEX(OFFSET($O$15,0,0,$B$8,$B$9), 1+AV$14, 0))
) / $B$13)</f>
        <v>0.6</v>
      </c>
      <c r="AW21" cm="1">
        <f t="array" aca="1" ref="AW21" ca="1">IF($AP21=AW$14, 1, SUMPRODUCT(
    --(OFFSET($O$13,0,0,1,$B$9)=TRUE),
    --(INDEX(OFFSET($O$15,0,0,$B$8,$B$9), 1+$AP21, 0) = INDEX(OFFSET($O$15,0,0,$B$8,$B$9), 1+AW$14, 0))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
) / $B$13)</f>
        <v>0</v>
      </c>
      <c r="AY21" cm="1">
        <f t="array" aca="1" ref="AY21" ca="1">IF($AP21=AY$14, 1, SUMPRODUCT(
    --(OFFSET($O$13,0,0,1,$B$9)=TRUE),
    --(INDEX(OFFSET($O$15,0,0,$B$8,$B$9), 1+$AP21, 0) = INDEX(OFFSET($O$15,0,0,$B$8,$B$9), 1+AY$14, 0))
) / $B$13)</f>
        <v>0</v>
      </c>
      <c r="AZ21" cm="1">
        <f t="array" aca="1" ref="AZ21" ca="1">IF($AP21=AZ$14, 1, SUMPRODUCT(
    --(OFFSET($O$13,0,0,1,$B$9)=TRUE),
    --(INDEX(OFFSET($O$15,0,0,$B$8,$B$9), 1+$AP21, 0) = INDEX(OFFSET($O$15,0,0,$B$8,$B$9), 1+AZ$14, 0))
) / $B$13)</f>
        <v>0</v>
      </c>
      <c r="BA21" cm="1">
        <f t="array" aca="1" ref="BA21" ca="1">IF($AP21=BA$14, 1, SUMPRODUCT(
    --(OFFSET($O$13,0,0,1,$B$9)=TRUE),
    --(INDEX(OFFSET($O$15,0,0,$B$8,$B$9), 1+$AP21, 0) = INDEX(OFFSET($O$15,0,0,$B$8,$B$9), 1+BA$14, 0))
) / $B$13)</f>
        <v>0.4</v>
      </c>
      <c r="BB21" cm="1">
        <f t="array" aca="1" ref="BB21" ca="1">IF($AP21=BB$14, 1, SUMPRODUCT(
    --(OFFSET($O$13,0,0,1,$B$9)=TRUE),
    --(INDEX(OFFSET($O$15,0,0,$B$8,$B$9), 1+$AP21, 0) = INDEX(OFFSET($O$15,0,0,$B$8,$B$9), 1+BB$14, 0))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
) / $B$13)</f>
        <v>0.4</v>
      </c>
      <c r="BD21" cm="1">
        <f t="array" aca="1" ref="BD21" ca="1">IF($AP21=BD$14, 1, SUMPRODUCT(
    --(OFFSET($O$13,0,0,1,$B$9)=TRUE),
    --(INDEX(OFFSET($O$15,0,0,$B$8,$B$9), 1+$AP21, 0) = INDEX(OFFSET($O$15,0,0,$B$8,$B$9), 1+BD$14, 0))
) / $B$13)</f>
        <v>0.4</v>
      </c>
      <c r="BE21" cm="1">
        <f t="array" aca="1" ref="BE21" ca="1">IF($AP21=BE$14, 1, SUMPRODUCT(
    --(OFFSET($O$13,0,0,1,$B$9)=TRUE),
    --(INDEX(OFFSET($O$15,0,0,$B$8,$B$9), 1+$AP21, 0) = INDEX(OFFSET($O$15,0,0,$B$8,$B$9), 1+BE$14, 0))
) / $B$13)</f>
        <v>0.8</v>
      </c>
      <c r="BF21" cm="1">
        <f t="array" aca="1" ref="BF21" ca="1">IF($AP21=BF$14, 1, SUMPRODUCT(
    --(OFFSET($O$13,0,0,1,$B$9)=TRUE),
    --(INDEX(OFFSET($O$15,0,0,$B$8,$B$9), 1+$AP21, 0) = INDEX(OFFSET($O$15,0,0,$B$8,$B$9), 1+BF$14, 0))
) / $B$13)</f>
        <v>0</v>
      </c>
      <c r="BG21" cm="1">
        <f t="array" aca="1" ref="BG21" ca="1">IF($AP21=BG$14, 1, SUMPRODUCT(
    --(OFFSET($O$13,0,0,1,$B$9)=TRUE),
    --(INDEX(OFFSET($O$15,0,0,$B$8,$B$9), 1+$AP21, 0) = INDEX(OFFSET($O$15,0,0,$B$8,$B$9), 1+BG$14, 0))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
) / $B$13)</f>
        <v>0.4</v>
      </c>
      <c r="BI21" cm="1">
        <f t="array" aca="1" ref="BI21" ca="1">IF($AP21=BI$14, 1, SUMPRODUCT(
    --(OFFSET($O$13,0,0,1,$B$9)=TRUE),
    --(INDEX(OFFSET($O$15,0,0,$B$8,$B$9), 1+$AP21, 0) = INDEX(OFFSET($O$15,0,0,$B$8,$B$9), 1+BI$14, 0))
) / $B$13)</f>
        <v>0.2</v>
      </c>
      <c r="BJ21" cm="1">
        <f t="array" aca="1" ref="BJ21" ca="1">IF($AP21=BJ$14, 1, SUMPRODUCT(
    --(OFFSET($O$13,0,0,1,$B$9)=TRUE),
    --(INDEX(OFFSET($O$15,0,0,$B$8,$B$9), 1+$AP21, 0) = INDEX(OFFSET($O$15,0,0,$B$8,$B$9), 1+BJ$14, 0))
) / $B$13)</f>
        <v>0.2</v>
      </c>
      <c r="BN21">
        <f t="shared" ca="1" si="7"/>
        <v>2</v>
      </c>
      <c r="BO21" s="14">
        <f t="shared" ca="1" si="8"/>
        <v>0.5</v>
      </c>
      <c r="BP21" s="2">
        <f ca="1"/>
        <v>7</v>
      </c>
      <c r="BQ21" cm="1">
        <f t="array" aca="1" ref="BQ21" ca="1">IF($BP21=BQ$14, 1, SUMPRODUCT(
    --(OFFSET($O$9,0,0,1,$B$9)=TRUE),
    --(INDEX(OFFSET($O$15,0,0,$B$8,$B$9), 1+$BP21, 0) = INDEX(OFFSET($O$15,0,0,$B$8,$B$9), 1+BQ$14, 0))
) / $B$16)</f>
        <v>0</v>
      </c>
      <c r="BR21" cm="1">
        <f t="array" aca="1" ref="BR21" ca="1">IF($BP21=BR$14, 1, SUMPRODUCT(
    --(OFFSET($O$9,0,0,1,$B$9)=TRUE),
    --(INDEX(OFFSET($O$15,0,0,$B$8,$B$9), 1+$BP21, 0) = INDEX(OFFSET($O$15,0,0,$B$8,$B$9), 1+BR$14, 0))
) / $B$16)</f>
        <v>0</v>
      </c>
      <c r="BS21" cm="1">
        <f t="array" aca="1" ref="BS21" ca="1">IF($BP21=BS$14, 1, SUMPRODUCT(
    --(OFFSET($O$9,0,0,1,$B$9)=TRUE),
    --(INDEX(OFFSET($O$15,0,0,$B$8,$B$9), 1+$BP21, 0) = INDEX(OFFSET($O$15,0,0,$B$8,$B$9), 1+BS$14, 0))
) / $B$16)</f>
        <v>0</v>
      </c>
      <c r="BT21" cm="1">
        <f t="array" aca="1" ref="BT21" ca="1">IF($BP21=BT$14, 1, SUMPRODUCT(
    --(OFFSET($O$9,0,0,1,$B$9)=TRUE),
    --(INDEX(OFFSET($O$15,0,0,$B$8,$B$9), 1+$BP21, 0) = INDEX(OFFSET($O$15,0,0,$B$8,$B$9), 1+BT$14, 0))
) / $B$16)</f>
        <v>0.6</v>
      </c>
      <c r="BU21" cm="1">
        <f t="array" aca="1" ref="BU21" ca="1">IF($BP21=BU$14, 1, SUMPRODUCT(
    --(OFFSET($O$9,0,0,1,$B$9)=TRUE),
    --(INDEX(OFFSET($O$15,0,0,$B$8,$B$9), 1+$BP21, 0) = INDEX(OFFSET($O$15,0,0,$B$8,$B$9), 1+BU$14, 0))
) / $B$16)</f>
        <v>0.6</v>
      </c>
      <c r="BV21" cm="1">
        <f t="array" aca="1" ref="BV21" ca="1">IF($BP21=BV$14, 1, SUMPRODUCT(
    --(OFFSET($O$9,0,0,1,$B$9)=TRUE),
    --(INDEX(OFFSET($O$15,0,0,$B$8,$B$9), 1+$BP21, 0) = INDEX(OFFSET($O$15,0,0,$B$8,$B$9), 1+BV$14, 0))
) / $B$16)</f>
        <v>0.6</v>
      </c>
      <c r="BW21" cm="1">
        <f t="array" aca="1" ref="BW21" ca="1">IF($BP21=BW$14, 1, SUMPRODUCT(
    --(OFFSET($O$9,0,0,1,$B$9)=TRUE),
    --(INDEX(OFFSET($O$15,0,0,$B$8,$B$9), 1+$BP21, 0) = INDEX(OFFSET($O$15,0,0,$B$8,$B$9), 1+BW$14, 0))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
) / $B$16)</f>
        <v>0</v>
      </c>
      <c r="BY21" cm="1">
        <f t="array" aca="1" ref="BY21" ca="1">IF($BP21=BY$14, 1, SUMPRODUCT(
    --(OFFSET($O$9,0,0,1,$B$9)=TRUE),
    --(INDEX(OFFSET($O$15,0,0,$B$8,$B$9), 1+$BP21, 0) = INDEX(OFFSET($O$15,0,0,$B$8,$B$9), 1+BY$14, 0))
) / $B$16)</f>
        <v>0</v>
      </c>
      <c r="BZ21" cm="1">
        <f t="array" aca="1" ref="BZ21" ca="1">IF($BP21=BZ$14, 1, SUMPRODUCT(
    --(OFFSET($O$9,0,0,1,$B$9)=TRUE),
    --(INDEX(OFFSET($O$15,0,0,$B$8,$B$9), 1+$BP21, 0) = INDEX(OFFSET($O$15,0,0,$B$8,$B$9), 1+BZ$14, 0))
) / $B$16)</f>
        <v>0</v>
      </c>
      <c r="CA21" cm="1">
        <f t="array" aca="1" ref="CA21" ca="1">IF($BP21=CA$14, 1, SUMPRODUCT(
    --(OFFSET($O$9,0,0,1,$B$9)=TRUE),
    --(INDEX(OFFSET($O$15,0,0,$B$8,$B$9), 1+$BP21, 0) = INDEX(OFFSET($O$15,0,0,$B$8,$B$9), 1+CA$14, 0))
) / $B$16)</f>
        <v>0.4</v>
      </c>
      <c r="CB21" cm="1">
        <f t="array" aca="1" ref="CB21" ca="1">IF($BP21=CB$14, 1, SUMPRODUCT(
    --(OFFSET($O$9,0,0,1,$B$9)=TRUE),
    --(INDEX(OFFSET($O$15,0,0,$B$8,$B$9), 1+$BP21, 0) = INDEX(OFFSET($O$15,0,0,$B$8,$B$9), 1+CB$14, 0))
) / $B$16)</f>
        <v>0.4</v>
      </c>
      <c r="CC21" cm="1">
        <f t="array" aca="1" ref="CC21" ca="1">IF($BP21=CC$14, 1, SUMPRODUCT(
    --(OFFSET($O$9,0,0,1,$B$9)=TRUE),
    --(INDEX(OFFSET($O$15,0,0,$B$8,$B$9), 1+$BP21, 0) = INDEX(OFFSET($O$15,0,0,$B$8,$B$9), 1+CC$14, 0))
) / $B$16)</f>
        <v>0.4</v>
      </c>
      <c r="CD21" cm="1">
        <f t="array" aca="1" ref="CD21" ca="1">IF($BP21=CD$14, 1, SUMPRODUCT(
    --(OFFSET($O$9,0,0,1,$B$9)=TRUE),
    --(INDEX(OFFSET($O$15,0,0,$B$8,$B$9), 1+$BP21, 0) = INDEX(OFFSET($O$15,0,0,$B$8,$B$9), 1+CD$14, 0))
) / $B$16)</f>
        <v>0.4</v>
      </c>
      <c r="CE21" cm="1">
        <f t="array" aca="1" ref="CE21" ca="1">IF($BP21=CE$14, 1, SUMPRODUCT(
    --(OFFSET($O$9,0,0,1,$B$9)=TRUE),
    --(INDEX(OFFSET($O$15,0,0,$B$8,$B$9), 1+$BP21, 0) = INDEX(OFFSET($O$15,0,0,$B$8,$B$9), 1+CE$14, 0))
) / $B$16)</f>
        <v>0.8</v>
      </c>
      <c r="CF21" cm="1">
        <f t="array" aca="1" ref="CF21" ca="1">IF($BP21=CF$14, 1, SUMPRODUCT(
    --(OFFSET($O$9,0,0,1,$B$9)=TRUE),
    --(INDEX(OFFSET($O$15,0,0,$B$8,$B$9), 1+$BP21, 0) = INDEX(OFFSET($O$15,0,0,$B$8,$B$9), 1+CF$14, 0))
) / $B$16)</f>
        <v>0</v>
      </c>
      <c r="CG21" cm="1">
        <f t="array" aca="1" ref="CG21" ca="1">IF($BP21=CG$14, 1, SUMPRODUCT(
    --(OFFSET($O$9,0,0,1,$B$9)=TRUE),
    --(INDEX(OFFSET($O$15,0,0,$B$8,$B$9), 1+$BP21, 0) = INDEX(OFFSET($O$15,0,0,$B$8,$B$9), 1+CG$14, 0))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
) / $B$16)</f>
        <v>0.4</v>
      </c>
      <c r="CI21" cm="1">
        <f t="array" aca="1" ref="CI21" ca="1">IF($BP21=CI$14, 1, SUMPRODUCT(
    --(OFFSET($O$9,0,0,1,$B$9)=TRUE),
    --(INDEX(OFFSET($O$15,0,0,$B$8,$B$9), 1+$BP21, 0) = INDEX(OFFSET($O$15,0,0,$B$8,$B$9), 1+CI$14, 0))
) / $B$16)</f>
        <v>0.2</v>
      </c>
      <c r="CJ21" cm="1">
        <f t="array" aca="1" ref="CJ21" ca="1">IF($BP21=CJ$14, 1, SUMPRODUCT(
    --(OFFSET($O$9,0,0,1,$B$9)=TRUE),
    --(INDEX(OFFSET($O$15,0,0,$B$8,$B$9), 1+$BP21, 0) = INDEX(OFFSET($O$15,0,0,$B$8,$B$9), 1+CJ$14, 0))
) / $B$16)</f>
        <v>0.2</v>
      </c>
      <c r="DF21" cm="1">
        <f t="array" aca="1" ref="DF21" ca="1">INDEX(_xlfn.ANCHORARRAY($CP$15), 1 + INT((ROWS($DG$15:$DG21) - 1) / ROWS(_xlfn.ANCHORARRAY($CP$15))))</f>
        <v>1</v>
      </c>
      <c r="DG21" cm="1">
        <f t="array" aca="1" ref="DG21" ca="1">INDEX(_xlfn.ANCHORARRAY($CP$15),1+MOD(ROWS($DG$15:$DG21)-1,ROWS(_xlfn.ANCHORARRAY($CP$15))))</f>
        <v>1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$B$18/($B$19*$B$19*($DF21&lt;&gt;$DG21) + $B$19*($DF21=$DG21))</f>
        <v>0.27054545454545459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$B$18/($B$19*$B$19*($DF21&lt;&gt;$DG21) + $B$19*($DF21=$DG21))</f>
        <v>6.0000000000000001E-3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$B$18/($B$19*$B$19*($DF21&lt;&gt;$DG21) + $B$19*($DF21=$DG21))</f>
        <v>6.0000000000000001E-3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$B$18/($B$19*$B$19*($DF21&lt;&gt;$DG21) + $B$19*($DF21=$DG21))</f>
        <v>6.0000000000000001E-3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$B$18/($B$19*$B$19*($DF21&lt;&gt;$DG21) + $B$19*($DF21=$DG21))</f>
        <v>6.0000000000000001E-3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$B$18/($B$19*$B$19*($DF21&lt;&gt;$DG21) + $B$19*($DF21=$DG21))</f>
        <v>0.35872727272727273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$B$18/($B$19*$B$19*($DF21&lt;&gt;$DG21) + $B$19*($DF21=$DG21))</f>
        <v>6.0000000000000001E-3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$B$18/($B$19*$B$19*($DF21&lt;&gt;$DG21) + $B$19*($DF21=$DG21))</f>
        <v>6.0000000000000001E-3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$B$18/($B$19*$B$19*($DF21&lt;&gt;$DG21) + $B$19*($DF21=$DG21))</f>
        <v>6.0000000000000001E-3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$B$18/($B$19*$B$19*($DF21&lt;&gt;$DG21) + $B$19*($DF21=$DG21))</f>
        <v>6.0000000000000001E-3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$B$18/($B$19*$B$19*($DF21&lt;&gt;$DG21) + $B$19*($DF21=$DG21))</f>
        <v>0.18236363636363637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$B$18/($B$19*$B$19*($DF21&lt;&gt;$DG21) + $B$19*($DF21=$DG21))</f>
        <v>6.0000000000000001E-3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$B$18/($B$19*$B$19*($DF21&lt;&gt;$DG21) + $B$19*($DF21=$DG21))</f>
        <v>6.0000000000000001E-3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$B$18/($B$19*$B$19*($DF21&lt;&gt;$DG21) + $B$19*($DF21=$DG21))</f>
        <v>6.0000000000000001E-3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$B$18/($B$19*$B$19*($DF21&lt;&gt;$DG21) + $B$19*($DF21=$DG21))</f>
        <v>6.0000000000000001E-3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$B$18/($B$19*$B$19*($DF21&lt;&gt;$DG21) + $B$19*($DF21=$DG21))</f>
        <v>0.18236363636363637</v>
      </c>
      <c r="ED21" cm="1">
        <f t="array" aca="1" ref="ED21" ca="1">INDEX(_xlfn.ANCHORARRAY($CP$15), 1 + INT((ROWS($DG$15:$DG21) - 1) / ROWS(_xlfn.ANCHORARRAY($CP$15))))</f>
        <v>1</v>
      </c>
      <c r="EE21" cm="1">
        <f t="array" aca="1" ref="EE21" ca="1">INDEX(_xlfn.ANCHORARRAY($CP$15),1+MOD(ROWS($DG$15:$DG21)-1,ROWS(_xlfn.ANCHORARRAY($CP$15))))</f>
        <v>1</v>
      </c>
      <c r="EF21" s="10" cm="1">
        <f t="array" aca="1" ref="EF21" ca="1">DH21-_xlfn.XLOOKUP(EF$13,_xlfn.ANCHORARRAY( $CR$14), _xlfn.XLOOKUP($ED21,_xlfn.ANCHORARRAY( $CP$15), $CR$15:$CU$19)) * _xlfn.XLOOKUP(EF$14,_xlfn.ANCHORARRAY( $CR$14), _xlfn.XLOOKUP($EE21,_xlfn.ANCHORARRAY( $CP$15), $CR$15:$CU$19))</f>
        <v>0.19735061157024797</v>
      </c>
      <c r="EG21" s="10" cm="1">
        <f t="array" aca="1" ref="EG21" ca="1">DI21-_xlfn.XLOOKUP(EG$13,_xlfn.ANCHORARRAY( $CR$14), _xlfn.XLOOKUP($ED21,_xlfn.ANCHORARRAY( $CP$15), $CR$15:$CU$19)) * _xlfn.XLOOKUP(EG$14,_xlfn.ANCHORARRAY( $CR$14), _xlfn.XLOOKUP($EE21,_xlfn.ANCHORARRAY( $CP$15), $CR$15:$CU$19))</f>
        <v>-9.1052033057851256E-2</v>
      </c>
      <c r="EH21" s="10" cm="1">
        <f t="array" aca="1" ref="EH21" ca="1">DJ21-_xlfn.XLOOKUP(EH$13,_xlfn.ANCHORARRAY( $CR$14), _xlfn.XLOOKUP($ED21,_xlfn.ANCHORARRAY( $CP$15), $CR$15:$CU$19)) * _xlfn.XLOOKUP(EH$14,_xlfn.ANCHORARRAY( $CR$14), _xlfn.XLOOKUP($EE21,_xlfn.ANCHORARRAY( $CP$15), $CR$15:$CU$19))</f>
        <v>-4.3337652892561994E-2</v>
      </c>
      <c r="EI21" s="10" cm="1">
        <f t="array" aca="1" ref="EI21" ca="1">DK21-_xlfn.XLOOKUP(EI$13,_xlfn.ANCHORARRAY( $CR$14), _xlfn.XLOOKUP($ED21,_xlfn.ANCHORARRAY( $CP$15), $CR$15:$CU$19)) * _xlfn.XLOOKUP(EI$14,_xlfn.ANCHORARRAY( $CR$14), _xlfn.XLOOKUP($EE21,_xlfn.ANCHORARRAY( $CP$15), $CR$15:$CU$19))</f>
        <v>-4.3337652892561994E-2</v>
      </c>
      <c r="EJ21" s="10" cm="1">
        <f t="array" aca="1" ref="EJ21" ca="1">DL21-_xlfn.XLOOKUP(EJ$13,_xlfn.ANCHORARRAY( $CR$14), _xlfn.XLOOKUP($ED21,_xlfn.ANCHORARRAY( $CP$15), $CR$15:$CU$19)) * _xlfn.XLOOKUP(EJ$14,_xlfn.ANCHORARRAY( $CR$14), _xlfn.XLOOKUP($EE21,_xlfn.ANCHORARRAY( $CP$15), $CR$15:$CU$19))</f>
        <v>-9.1052033057851256E-2</v>
      </c>
      <c r="EK21" s="10" cm="1">
        <f t="array" aca="1" ref="EK21" ca="1">DM21-_xlfn.XLOOKUP(EK$13,_xlfn.ANCHORARRAY( $CR$14), _xlfn.XLOOKUP($ED21,_xlfn.ANCHORARRAY( $CP$15), $CR$15:$CU$19)) * _xlfn.XLOOKUP(EK$14,_xlfn.ANCHORARRAY( $CR$14), _xlfn.XLOOKUP($EE21,_xlfn.ANCHORARRAY( $CP$15), $CR$15:$CU$19))</f>
        <v>0.23004201652892561</v>
      </c>
      <c r="EL21" s="10" cm="1">
        <f t="array" aca="1" ref="EL21" ca="1">DN21-_xlfn.XLOOKUP(EL$13,_xlfn.ANCHORARRAY( $CR$14), _xlfn.XLOOKUP($ED21,_xlfn.ANCHORARRAY( $CP$15), $CR$15:$CU$19)) * _xlfn.XLOOKUP(EL$14,_xlfn.ANCHORARRAY( $CR$14), _xlfn.XLOOKUP($EE21,_xlfn.ANCHORARRAY( $CP$15), $CR$15:$CU$19))</f>
        <v>-5.9418809917355368E-2</v>
      </c>
      <c r="EM21" s="10" cm="1">
        <f t="array" aca="1" ref="EM21" ca="1">DO21-_xlfn.XLOOKUP(EM$13,_xlfn.ANCHORARRAY( $CR$14), _xlfn.XLOOKUP($ED21,_xlfn.ANCHORARRAY( $CP$15), $CR$15:$CU$19)) * _xlfn.XLOOKUP(EM$14,_xlfn.ANCHORARRAY( $CR$14), _xlfn.XLOOKUP($EE21,_xlfn.ANCHORARRAY( $CP$15), $CR$15:$CU$19))</f>
        <v>-5.9418809917355368E-2</v>
      </c>
      <c r="EN21" s="10" cm="1">
        <f t="array" aca="1" ref="EN21" ca="1">DP21-_xlfn.XLOOKUP(EN$13,_xlfn.ANCHORARRAY( $CR$14), _xlfn.XLOOKUP($ED21,_xlfn.ANCHORARRAY( $CP$15), $CR$15:$CU$19)) * _xlfn.XLOOKUP(EN$14,_xlfn.ANCHORARRAY( $CR$14), _xlfn.XLOOKUP($EE21,_xlfn.ANCHORARRAY( $CP$15), $CR$15:$CU$19))</f>
        <v>-4.3337652892561994E-2</v>
      </c>
      <c r="EO21" s="10" cm="1">
        <f t="array" aca="1" ref="EO21" ca="1">DQ21-_xlfn.XLOOKUP(EO$13,_xlfn.ANCHORARRAY( $CR$14), _xlfn.XLOOKUP($ED21,_xlfn.ANCHORARRAY( $CP$15), $CR$15:$CU$19)) * _xlfn.XLOOKUP(EO$14,_xlfn.ANCHORARRAY( $CR$14), _xlfn.XLOOKUP($EE21,_xlfn.ANCHORARRAY( $CP$15), $CR$15:$CU$19))</f>
        <v>-5.9418809917355368E-2</v>
      </c>
      <c r="EP21" s="10" cm="1">
        <f t="array" aca="1" ref="EP21" ca="1">DR21-_xlfn.XLOOKUP(EP$13,_xlfn.ANCHORARRAY( $CR$14), _xlfn.XLOOKUP($ED21,_xlfn.ANCHORARRAY( $CP$15), $CR$15:$CU$19)) * _xlfn.XLOOKUP(EP$14,_xlfn.ANCHORARRAY( $CR$14), _xlfn.XLOOKUP($EE21,_xlfn.ANCHORARRAY( $CP$15), $CR$15:$CU$19))</f>
        <v>0.14910714049586776</v>
      </c>
      <c r="EQ21" s="10" cm="1">
        <f t="array" aca="1" ref="EQ21" ca="1">DS21-_xlfn.XLOOKUP(EQ$13,_xlfn.ANCHORARRAY( $CR$14), _xlfn.XLOOKUP($ED21,_xlfn.ANCHORARRAY( $CP$15), $CR$15:$CU$19)) * _xlfn.XLOOKUP(EQ$14,_xlfn.ANCHORARRAY( $CR$14), _xlfn.XLOOKUP($EE21,_xlfn.ANCHORARRAY( $CP$15), $CR$15:$CU$19))</f>
        <v>-2.7256495867768599E-2</v>
      </c>
      <c r="ER21" s="10" cm="1">
        <f t="array" aca="1" ref="ER21" ca="1">DT21-_xlfn.XLOOKUP(ER$13,_xlfn.ANCHORARRAY( $CR$14), _xlfn.XLOOKUP($ED21,_xlfn.ANCHORARRAY( $CP$15), $CR$15:$CU$19)) * _xlfn.XLOOKUP(ER$14,_xlfn.ANCHORARRAY( $CR$14), _xlfn.XLOOKUP($EE21,_xlfn.ANCHORARRAY( $CP$15), $CR$15:$CU$19))</f>
        <v>-4.3337652892561994E-2</v>
      </c>
      <c r="ES21" s="10" cm="1">
        <f t="array" aca="1" ref="ES21" ca="1">DU21-_xlfn.XLOOKUP(ES$13,_xlfn.ANCHORARRAY( $CR$14), _xlfn.XLOOKUP($ED21,_xlfn.ANCHORARRAY( $CP$15), $CR$15:$CU$19)) * _xlfn.XLOOKUP(ES$14,_xlfn.ANCHORARRAY( $CR$14), _xlfn.XLOOKUP($EE21,_xlfn.ANCHORARRAY( $CP$15), $CR$15:$CU$19))</f>
        <v>-5.9418809917355368E-2</v>
      </c>
      <c r="ET21" s="10" cm="1">
        <f t="array" aca="1" ref="ET21" ca="1">DV21-_xlfn.XLOOKUP(ET$13,_xlfn.ANCHORARRAY( $CR$14), _xlfn.XLOOKUP($ED21,_xlfn.ANCHORARRAY( $CP$15), $CR$15:$CU$19)) * _xlfn.XLOOKUP(ET$14,_xlfn.ANCHORARRAY( $CR$14), _xlfn.XLOOKUP($EE21,_xlfn.ANCHORARRAY( $CP$15), $CR$15:$CU$19))</f>
        <v>-2.7256495867768599E-2</v>
      </c>
      <c r="EU21" s="10" cm="1">
        <f t="array" aca="1" ref="EU21" ca="1">DW21-_xlfn.XLOOKUP(EU$13,_xlfn.ANCHORARRAY( $CR$14), _xlfn.XLOOKUP($ED21,_xlfn.ANCHORARRAY( $CP$15), $CR$15:$CU$19)) * _xlfn.XLOOKUP(EU$14,_xlfn.ANCHORARRAY( $CR$14), _xlfn.XLOOKUP($EE21,_xlfn.ANCHORARRAY( $CP$15), $CR$15:$CU$19))</f>
        <v>0.14910714049586776</v>
      </c>
      <c r="EZ21" cm="1">
        <f t="array" aca="1" ref="EZ21" ca="1">INDEX(_xlfn.ANCHORARRAY($CP$15), 1 + INT((ROWS($DG$15:$DG21) - 1) / ROWS(_xlfn.ANCHORARRAY($CP$15))))</f>
        <v>1</v>
      </c>
      <c r="FA21" cm="1">
        <f t="array" aca="1" ref="FA21" ca="1">INDEX(_xlfn.ANCHORARRAY($CP$15),1+MOD(ROWS($DG$15:$DG21)-1,ROWS(_xlfn.ANCHORARRAY($CP$15))))</f>
        <v>1</v>
      </c>
      <c r="FB21" s="10" cm="1">
        <f t="array" aca="1" ref="FB21" ca="1">EF21 * _xlfn.XLOOKUP(FB$13,_xlfn.ANCHORARRAY( $CZ$29), _xlfn.XLOOKUP($EZ21,_xlfn.ANCHORARRAY( $CY$30), $CZ$30:$DC$34)) * _xlfn.XLOOKUP(FB$14,_xlfn.ANCHORARRAY( $CZ$29), _xlfn.XLOOKUP($FA21,_xlfn.ANCHORARRAY( $CY$30), $CZ$30:$DC$34))</f>
        <v>2.2491468628239491E-3</v>
      </c>
      <c r="FC21" s="10" cm="1">
        <f t="array" aca="1" ref="FC21" ca="1">EG21 * _xlfn.XLOOKUP(FC$13,_xlfn.ANCHORARRAY( $CZ$29), _xlfn.XLOOKUP($EZ21,_xlfn.ANCHORARRAY( $CY$30), $CZ$30:$DC$34)) * _xlfn.XLOOKUP(FC$14,_xlfn.ANCHORARRAY( $CZ$29), _xlfn.XLOOKUP($FA21,_xlfn.ANCHORARRAY( $CY$30), $CZ$30:$DC$34))</f>
        <v>-5.0323883140009594E-3</v>
      </c>
      <c r="FD21" s="10" cm="1">
        <f t="array" aca="1" ref="FD21" ca="1">EH21 * _xlfn.XLOOKUP(FD$13,_xlfn.ANCHORARRAY( $CZ$29), _xlfn.XLOOKUP($EZ21,_xlfn.ANCHORARRAY( $CY$30), $CZ$30:$DC$34)) * _xlfn.XLOOKUP(FD$14,_xlfn.ANCHORARRAY( $CZ$29), _xlfn.XLOOKUP($FA21,_xlfn.ANCHORARRAY( $CY$30), $CZ$30:$DC$34))</f>
        <v>1.8589508936773906E-3</v>
      </c>
      <c r="FE21" s="10" cm="1">
        <f t="array" aca="1" ref="FE21" ca="1">EI21 * _xlfn.XLOOKUP(FE$13,_xlfn.ANCHORARRAY( $CZ$29), _xlfn.XLOOKUP($EZ21,_xlfn.ANCHORARRAY( $CY$30), $CZ$30:$DC$34)) * _xlfn.XLOOKUP(FE$14,_xlfn.ANCHORARRAY( $CZ$29), _xlfn.XLOOKUP($FA21,_xlfn.ANCHORARRAY( $CY$30), $CZ$30:$DC$34))</f>
        <v>1.8589508936773906E-3</v>
      </c>
      <c r="FF21" s="10" cm="1">
        <f t="array" aca="1" ref="FF21" ca="1">EJ21 * _xlfn.XLOOKUP(FF$13,_xlfn.ANCHORARRAY( $CZ$29), _xlfn.XLOOKUP($EZ21,_xlfn.ANCHORARRAY( $CY$30), $CZ$30:$DC$34)) * _xlfn.XLOOKUP(FF$14,_xlfn.ANCHORARRAY( $CZ$29), _xlfn.XLOOKUP($FA21,_xlfn.ANCHORARRAY( $CY$30), $CZ$30:$DC$34))</f>
        <v>-5.0323883140009594E-3</v>
      </c>
      <c r="FG21" s="10" cm="1">
        <f t="array" aca="1" ref="FG21" ca="1">EK21 * _xlfn.XLOOKUP(FG$13,_xlfn.ANCHORARRAY( $CZ$29), _xlfn.XLOOKUP($EZ21,_xlfn.ANCHORARRAY( $CY$30), $CZ$30:$DC$34)) * _xlfn.XLOOKUP(FG$14,_xlfn.ANCHORARRAY( $CZ$29), _xlfn.XLOOKUP($FA21,_xlfn.ANCHORARRAY( $CY$30), $CZ$30:$DC$34))</f>
        <v>6.1659049204071815E-2</v>
      </c>
      <c r="FH21" s="10" cm="1">
        <f t="array" aca="1" ref="FH21" ca="1">EL21 * _xlfn.XLOOKUP(FH$13,_xlfn.ANCHORARRAY( $CZ$29), _xlfn.XLOOKUP($EZ21,_xlfn.ANCHORARRAY( $CY$30), $CZ$30:$DC$34)) * _xlfn.XLOOKUP(FH$14,_xlfn.ANCHORARRAY( $CZ$29), _xlfn.XLOOKUP($FA21,_xlfn.ANCHORARRAY( $CY$30), $CZ$30:$DC$34))</f>
        <v>1.2360374793533389E-2</v>
      </c>
      <c r="FI21" s="10" cm="1">
        <f t="array" aca="1" ref="FI21" ca="1">EM21 * _xlfn.XLOOKUP(FI$13,_xlfn.ANCHORARRAY( $CZ$29), _xlfn.XLOOKUP($EZ21,_xlfn.ANCHORARRAY( $CY$30), $CZ$30:$DC$34)) * _xlfn.XLOOKUP(FI$14,_xlfn.ANCHORARRAY( $CZ$29), _xlfn.XLOOKUP($FA21,_xlfn.ANCHORARRAY( $CY$30), $CZ$30:$DC$34))</f>
        <v>1.2360374793533389E-2</v>
      </c>
      <c r="FJ21" s="10" cm="1">
        <f t="array" aca="1" ref="FJ21" ca="1">EN21 * _xlfn.XLOOKUP(FJ$13,_xlfn.ANCHORARRAY( $CZ$29), _xlfn.XLOOKUP($EZ21,_xlfn.ANCHORARRAY( $CY$30), $CZ$30:$DC$34)) * _xlfn.XLOOKUP(FJ$14,_xlfn.ANCHORARRAY( $CZ$29), _xlfn.XLOOKUP($FA21,_xlfn.ANCHORARRAY( $CY$30), $CZ$30:$DC$34))</f>
        <v>1.8589508936773904E-3</v>
      </c>
      <c r="FK21" s="10" cm="1">
        <f t="array" aca="1" ref="FK21" ca="1">EO21 * _xlfn.XLOOKUP(FK$13,_xlfn.ANCHORARRAY( $CZ$29), _xlfn.XLOOKUP($EZ21,_xlfn.ANCHORARRAY( $CY$30), $CZ$30:$DC$34)) * _xlfn.XLOOKUP(FK$14,_xlfn.ANCHORARRAY( $CZ$29), _xlfn.XLOOKUP($FA21,_xlfn.ANCHORARRAY( $CY$30), $CZ$30:$DC$34))</f>
        <v>1.2360374793533389E-2</v>
      </c>
      <c r="FL21" s="10" cm="1">
        <f t="array" aca="1" ref="FL21" ca="1">EP21 * _xlfn.XLOOKUP(FL$13,_xlfn.ANCHORARRAY( $CZ$29), _xlfn.XLOOKUP($EZ21,_xlfn.ANCHORARRAY( $CY$30), $CZ$30:$DC$34)) * _xlfn.XLOOKUP(FL$14,_xlfn.ANCHORARRAY( $CZ$29), _xlfn.XLOOKUP($FA21,_xlfn.ANCHORARRAY( $CY$30), $CZ$30:$DC$34))</f>
        <v>2.407266460570762E-2</v>
      </c>
      <c r="FM21" s="10" cm="1">
        <f t="array" aca="1" ref="FM21" ca="1">EQ21 * _xlfn.XLOOKUP(FM$13,_xlfn.ANCHORARRAY( $CZ$29), _xlfn.XLOOKUP($EZ21,_xlfn.ANCHORARRAY( $CY$30), $CZ$30:$DC$34)) * _xlfn.XLOOKUP(FM$14,_xlfn.ANCHORARRAY( $CZ$29), _xlfn.XLOOKUP($FA21,_xlfn.ANCHORARRAY( $CY$30), $CZ$30:$DC$34))</f>
        <v>-4.4004363652177525E-3</v>
      </c>
      <c r="FN21" s="10" cm="1">
        <f t="array" aca="1" ref="FN21" ca="1">ER21 * _xlfn.XLOOKUP(FN$13,_xlfn.ANCHORARRAY( $CZ$29), _xlfn.XLOOKUP($EZ21,_xlfn.ANCHORARRAY( $CY$30), $CZ$30:$DC$34)) * _xlfn.XLOOKUP(FN$14,_xlfn.ANCHORARRAY( $CZ$29), _xlfn.XLOOKUP($FA21,_xlfn.ANCHORARRAY( $CY$30), $CZ$30:$DC$34))</f>
        <v>1.8589508936773904E-3</v>
      </c>
      <c r="FO21" s="10" cm="1">
        <f t="array" aca="1" ref="FO21" ca="1">ES21 * _xlfn.XLOOKUP(FO$13,_xlfn.ANCHORARRAY( $CZ$29), _xlfn.XLOOKUP($EZ21,_xlfn.ANCHORARRAY( $CY$30), $CZ$30:$DC$34)) * _xlfn.XLOOKUP(FO$14,_xlfn.ANCHORARRAY( $CZ$29), _xlfn.XLOOKUP($FA21,_xlfn.ANCHORARRAY( $CY$30), $CZ$30:$DC$34))</f>
        <v>1.2360374793533389E-2</v>
      </c>
      <c r="FP21" s="10" cm="1">
        <f t="array" aca="1" ref="FP21" ca="1">ET21 * _xlfn.XLOOKUP(FP$13,_xlfn.ANCHORARRAY( $CZ$29), _xlfn.XLOOKUP($EZ21,_xlfn.ANCHORARRAY( $CY$30), $CZ$30:$DC$34)) * _xlfn.XLOOKUP(FP$14,_xlfn.ANCHORARRAY( $CZ$29), _xlfn.XLOOKUP($FA21,_xlfn.ANCHORARRAY( $CY$30), $CZ$30:$DC$34))</f>
        <v>-4.4004363652177525E-3</v>
      </c>
      <c r="FQ21" s="10" cm="1">
        <f t="array" aca="1" ref="FQ21" ca="1">EU21 * _xlfn.XLOOKUP(FQ$13,_xlfn.ANCHORARRAY( $CZ$29), _xlfn.XLOOKUP($EZ21,_xlfn.ANCHORARRAY( $CY$30), $CZ$30:$DC$34)) * _xlfn.XLOOKUP(FQ$14,_xlfn.ANCHORARRAY( $CZ$29), _xlfn.XLOOKUP($FA21,_xlfn.ANCHORARRAY( $CY$30), $CZ$30:$DC$34))</f>
        <v>2.407266460570762E-2</v>
      </c>
      <c r="FT21" cm="1">
        <f t="array" aca="1" ref="FT21" ca="1">SQRT(SUM((FB21:FQ21)^2))</f>
        <v>7.5367096078725243E-2</v>
      </c>
    </row>
    <row r="22" spans="1:176" x14ac:dyDescent="0.2">
      <c r="D22" s="10">
        <f ca="1"/>
        <v>8</v>
      </c>
      <c r="F22" s="10">
        <f ca="1"/>
        <v>0.33333333333333331</v>
      </c>
      <c r="H22" s="10"/>
      <c r="J22" cm="1">
        <f t="array" aca="1" ref="J22" ca="1">SUMPRODUCT((O22:AJ22=$O$11:$AJ$11)*(O$13:AJ$13=TRUE))  / COUNTIF(O$13:AJ$13,TRUE)</f>
        <v>0</v>
      </c>
      <c r="K22" t="b">
        <f t="shared" ca="1" si="3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4"/>
        <v>1</v>
      </c>
      <c r="N22" s="2">
        <v>7</v>
      </c>
      <c r="O22" s="12" t="s">
        <v>3</v>
      </c>
      <c r="P22" s="9" t="s">
        <v>2</v>
      </c>
      <c r="Q22" s="9" t="s">
        <v>3</v>
      </c>
      <c r="R22" s="9" t="s">
        <v>2</v>
      </c>
      <c r="S22" s="9" t="s">
        <v>2</v>
      </c>
      <c r="AK22" s="7"/>
      <c r="AN22">
        <f t="shared" ca="1" si="5"/>
        <v>3</v>
      </c>
      <c r="AO22" s="14">
        <f t="shared" ca="1" si="6"/>
        <v>0.33333333333333331</v>
      </c>
      <c r="AP22" s="2">
        <f ca="1"/>
        <v>8</v>
      </c>
      <c r="AQ22" cm="1">
        <f t="array" aca="1" ref="AQ22" ca="1">IF($AP22=AQ$14, 1, SUMPRODUCT(
    --(OFFSET($O$13,0,0,1,$B$9)=TRUE),
    --(INDEX(OFFSET($O$15,0,0,$B$8,$B$9), 1+$AP22, 0) = INDEX(OFFSET($O$15,0,0,$B$8,$B$9), 1+AQ$14, 0))
) / $B$13)</f>
        <v>0.8</v>
      </c>
      <c r="AR22" cm="1">
        <f t="array" aca="1" ref="AR22" ca="1">IF($AP22=AR$14, 1, SUMPRODUCT(
    --(OFFSET($O$13,0,0,1,$B$9)=TRUE),
    --(INDEX(OFFSET($O$15,0,0,$B$8,$B$9), 1+$AP22, 0) = INDEX(OFFSET($O$15,0,0,$B$8,$B$9), 1+AR$14, 0))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
) / $B$13)</f>
        <v>0.4</v>
      </c>
      <c r="AU22" cm="1">
        <f t="array" aca="1" ref="AU22" ca="1">IF($AP22=AU$14, 1, SUMPRODUCT(
    --(OFFSET($O$13,0,0,1,$B$9)=TRUE),
    --(INDEX(OFFSET($O$15,0,0,$B$8,$B$9), 1+$AP22, 0) = INDEX(OFFSET($O$15,0,0,$B$8,$B$9), 1+AU$14, 0))
) / $B$13)</f>
        <v>0</v>
      </c>
      <c r="AV22" cm="1">
        <f t="array" aca="1" ref="AV22" ca="1">IF($AP22=AV$14, 1, SUMPRODUCT(
    --(OFFSET($O$13,0,0,1,$B$9)=TRUE),
    --(INDEX(OFFSET($O$15,0,0,$B$8,$B$9), 1+$AP22, 0) = INDEX(OFFSET($O$15,0,0,$B$8,$B$9), 1+AV$14, 0))
) / $B$13)</f>
        <v>0</v>
      </c>
      <c r="AW22" cm="1">
        <f t="array" aca="1" ref="AW22" ca="1">IF($AP22=AW$14, 1, SUMPRODUCT(
    --(OFFSET($O$13,0,0,1,$B$9)=TRUE),
    --(INDEX(OFFSET($O$15,0,0,$B$8,$B$9), 1+$AP22, 0) = INDEX(OFFSET($O$15,0,0,$B$8,$B$9), 1+AW$14, 0))
) / $B$13)</f>
        <v>0</v>
      </c>
      <c r="AX22" cm="1">
        <f t="array" aca="1" ref="AX22" ca="1">IF($AP22=AX$14, 1, SUMPRODUCT(
    --(OFFSET($O$13,0,0,1,$B$9)=TRUE),
    --(INDEX(OFFSET($O$15,0,0,$B$8,$B$9), 1+$AP22, 0) = INDEX(OFFSET($O$15,0,0,$B$8,$B$9), 1+AX$14, 0))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
) / $B$13)</f>
        <v>0.6</v>
      </c>
      <c r="AZ22" cm="1">
        <f t="array" aca="1" ref="AZ22" ca="1">IF($AP22=AZ$14, 1, SUMPRODUCT(
    --(OFFSET($O$13,0,0,1,$B$9)=TRUE),
    --(INDEX(OFFSET($O$15,0,0,$B$8,$B$9), 1+$AP22, 0) = INDEX(OFFSET($O$15,0,0,$B$8,$B$9), 1+AZ$14, 0))
) / $B$13)</f>
        <v>0.6</v>
      </c>
      <c r="BA22" cm="1">
        <f t="array" aca="1" ref="BA22" ca="1">IF($AP22=BA$14, 1, SUMPRODUCT(
    --(OFFSET($O$13,0,0,1,$B$9)=TRUE),
    --(INDEX(OFFSET($O$15,0,0,$B$8,$B$9), 1+$AP22, 0) = INDEX(OFFSET($O$15,0,0,$B$8,$B$9), 1+BA$14, 0))
) / $B$13)</f>
        <v>0.6</v>
      </c>
      <c r="BB22" cm="1">
        <f t="array" aca="1" ref="BB22" ca="1">IF($AP22=BB$14, 1, SUMPRODUCT(
    --(OFFSET($O$13,0,0,1,$B$9)=TRUE),
    --(INDEX(OFFSET($O$15,0,0,$B$8,$B$9), 1+$AP22, 0) = INDEX(OFFSET($O$15,0,0,$B$8,$B$9), 1+BB$14, 0))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
) / $B$13)</f>
        <v>0</v>
      </c>
      <c r="BD22" cm="1">
        <f t="array" aca="1" ref="BD22" ca="1">IF($AP22=BD$14, 1, SUMPRODUCT(
    --(OFFSET($O$13,0,0,1,$B$9)=TRUE),
    --(INDEX(OFFSET($O$15,0,0,$B$8,$B$9), 1+$AP22, 0) = INDEX(OFFSET($O$15,0,0,$B$8,$B$9), 1+BD$14, 0))
) / $B$13)</f>
        <v>0</v>
      </c>
      <c r="BE22" cm="1">
        <f t="array" aca="1" ref="BE22" ca="1">IF($AP22=BE$14, 1, SUMPRODUCT(
    --(OFFSET($O$13,0,0,1,$B$9)=TRUE),
    --(INDEX(OFFSET($O$15,0,0,$B$8,$B$9), 1+$AP22, 0) = INDEX(OFFSET($O$15,0,0,$B$8,$B$9), 1+BE$14, 0))
) / $B$13)</f>
        <v>0</v>
      </c>
      <c r="BF22" cm="1">
        <f t="array" aca="1" ref="BF22" ca="1">IF($AP22=BF$14, 1, SUMPRODUCT(
    --(OFFSET($O$13,0,0,1,$B$9)=TRUE),
    --(INDEX(OFFSET($O$15,0,0,$B$8,$B$9), 1+$AP22, 0) = INDEX(OFFSET($O$15,0,0,$B$8,$B$9), 1+BF$14, 0))
) / $B$13)</f>
        <v>0.4</v>
      </c>
      <c r="BG22" cm="1">
        <f t="array" aca="1" ref="BG22" ca="1">IF($AP22=BG$14, 1, SUMPRODUCT(
    --(OFFSET($O$13,0,0,1,$B$9)=TRUE),
    --(INDEX(OFFSET($O$15,0,0,$B$8,$B$9), 1+$AP22, 0) = INDEX(OFFSET($O$15,0,0,$B$8,$B$9), 1+BG$14, 0))
) / $B$13)</f>
        <v>0.6</v>
      </c>
      <c r="BH22" cm="1">
        <f t="array" aca="1" ref="BH22" ca="1">IF($AP22=BH$14, 1, SUMPRODUCT(
    --(OFFSET($O$13,0,0,1,$B$9)=TRUE),
    --(INDEX(OFFSET($O$15,0,0,$B$8,$B$9), 1+$AP22, 0) = INDEX(OFFSET($O$15,0,0,$B$8,$B$9), 1+BH$14, 0))
) / $B$13)</f>
        <v>0.4</v>
      </c>
      <c r="BI22" cm="1">
        <f t="array" aca="1" ref="BI22" ca="1">IF($AP22=BI$14, 1, SUMPRODUCT(
    --(OFFSET($O$13,0,0,1,$B$9)=TRUE),
    --(INDEX(OFFSET($O$15,0,0,$B$8,$B$9), 1+$AP22, 0) = INDEX(OFFSET($O$15,0,0,$B$8,$B$9), 1+BI$14, 0))
) / $B$13)</f>
        <v>0.8</v>
      </c>
      <c r="BJ22" cm="1">
        <f t="array" aca="1" ref="BJ22" ca="1">IF($AP22=BJ$14, 1, SUMPRODUCT(
    --(OFFSET($O$13,0,0,1,$B$9)=TRUE),
    --(INDEX(OFFSET($O$15,0,0,$B$8,$B$9), 1+$AP22, 0) = INDEX(OFFSET($O$15,0,0,$B$8,$B$9), 1+BJ$14, 0))
) / $B$13)</f>
        <v>0.2</v>
      </c>
      <c r="BN22">
        <f t="shared" ca="1" si="7"/>
        <v>3</v>
      </c>
      <c r="BO22" s="14">
        <f t="shared" ca="1" si="8"/>
        <v>0.33333333333333331</v>
      </c>
      <c r="BP22" s="2">
        <f ca="1"/>
        <v>8</v>
      </c>
      <c r="BQ22" cm="1">
        <f t="array" aca="1" ref="BQ22" ca="1">IF($BP22=BQ$14, 1, SUMPRODUCT(
    --(OFFSET($O$9,0,0,1,$B$9)=TRUE),
    --(INDEX(OFFSET($O$15,0,0,$B$8,$B$9), 1+$BP22, 0) = INDEX(OFFSET($O$15,0,0,$B$8,$B$9), 1+BQ$14, 0))
) / $B$16)</f>
        <v>0.8</v>
      </c>
      <c r="BR22" cm="1">
        <f t="array" aca="1" ref="BR22" ca="1">IF($BP22=BR$14, 1, SUMPRODUCT(
    --(OFFSET($O$9,0,0,1,$B$9)=TRUE),
    --(INDEX(OFFSET($O$15,0,0,$B$8,$B$9), 1+$BP22, 0) = INDEX(OFFSET($O$15,0,0,$B$8,$B$9), 1+BR$14, 0))
) / $B$16)</f>
        <v>0.4</v>
      </c>
      <c r="BS22" cm="1">
        <f t="array" aca="1" ref="BS22" ca="1">IF($BP22=BS$14, 1, SUMPRODUCT(
    --(OFFSET($O$9,0,0,1,$B$9)=TRUE),
    --(INDEX(OFFSET($O$15,0,0,$B$8,$B$9), 1+$BP22, 0) = INDEX(OFFSET($O$15,0,0,$B$8,$B$9), 1+BS$14, 0))
) / $B$16)</f>
        <v>0.4</v>
      </c>
      <c r="BT22" cm="1">
        <f t="array" aca="1" ref="BT22" ca="1">IF($BP22=BT$14, 1, SUMPRODUCT(
    --(OFFSET($O$9,0,0,1,$B$9)=TRUE),
    --(INDEX(OFFSET($O$15,0,0,$B$8,$B$9), 1+$BP22, 0) = INDEX(OFFSET($O$15,0,0,$B$8,$B$9), 1+BT$14, 0))
) / $B$16)</f>
        <v>0.4</v>
      </c>
      <c r="BU22" cm="1">
        <f t="array" aca="1" ref="BU22" ca="1">IF($BP22=BU$14, 1, SUMPRODUCT(
    --(OFFSET($O$9,0,0,1,$B$9)=TRUE),
    --(INDEX(OFFSET($O$15,0,0,$B$8,$B$9), 1+$BP22, 0) = INDEX(OFFSET($O$15,0,0,$B$8,$B$9), 1+BU$14, 0))
) / $B$16)</f>
        <v>0</v>
      </c>
      <c r="BV22" cm="1">
        <f t="array" aca="1" ref="BV22" ca="1">IF($BP22=BV$14, 1, SUMPRODUCT(
    --(OFFSET($O$9,0,0,1,$B$9)=TRUE),
    --(INDEX(OFFSET($O$15,0,0,$B$8,$B$9), 1+$BP22, 0) = INDEX(OFFSET($O$15,0,0,$B$8,$B$9), 1+BV$14, 0))
) / $B$16)</f>
        <v>0</v>
      </c>
      <c r="BW22" cm="1">
        <f t="array" aca="1" ref="BW22" ca="1">IF($BP22=BW$14, 1, SUMPRODUCT(
    --(OFFSET($O$9,0,0,1,$B$9)=TRUE),
    --(INDEX(OFFSET($O$15,0,0,$B$8,$B$9), 1+$BP22, 0) = INDEX(OFFSET($O$15,0,0,$B$8,$B$9), 1+BW$14, 0))
) / $B$16)</f>
        <v>0</v>
      </c>
      <c r="BX22" cm="1">
        <f t="array" aca="1" ref="BX22" ca="1">IF($BP22=BX$14, 1, SUMPRODUCT(
    --(OFFSET($O$9,0,0,1,$B$9)=TRUE),
    --(INDEX(OFFSET($O$15,0,0,$B$8,$B$9), 1+$BP22, 0) = INDEX(OFFSET($O$15,0,0,$B$8,$B$9), 1+BX$14, 0))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
) / $B$16)</f>
        <v>0.6</v>
      </c>
      <c r="BZ22" cm="1">
        <f t="array" aca="1" ref="BZ22" ca="1">IF($BP22=BZ$14, 1, SUMPRODUCT(
    --(OFFSET($O$9,0,0,1,$B$9)=TRUE),
    --(INDEX(OFFSET($O$15,0,0,$B$8,$B$9), 1+$BP22, 0) = INDEX(OFFSET($O$15,0,0,$B$8,$B$9), 1+BZ$14, 0))
) / $B$16)</f>
        <v>0.6</v>
      </c>
      <c r="CA22" cm="1">
        <f t="array" aca="1" ref="CA22" ca="1">IF($BP22=CA$14, 1, SUMPRODUCT(
    --(OFFSET($O$9,0,0,1,$B$9)=TRUE),
    --(INDEX(OFFSET($O$15,0,0,$B$8,$B$9), 1+$BP22, 0) = INDEX(OFFSET($O$15,0,0,$B$8,$B$9), 1+CA$14, 0))
) / $B$16)</f>
        <v>0.6</v>
      </c>
      <c r="CB22" cm="1">
        <f t="array" aca="1" ref="CB22" ca="1">IF($BP22=CB$14, 1, SUMPRODUCT(
    --(OFFSET($O$9,0,0,1,$B$9)=TRUE),
    --(INDEX(OFFSET($O$15,0,0,$B$8,$B$9), 1+$BP22, 0) = INDEX(OFFSET($O$15,0,0,$B$8,$B$9), 1+CB$14, 0))
) / $B$16)</f>
        <v>0.4</v>
      </c>
      <c r="CC22" cm="1">
        <f t="array" aca="1" ref="CC22" ca="1">IF($BP22=CC$14, 1, SUMPRODUCT(
    --(OFFSET($O$9,0,0,1,$B$9)=TRUE),
    --(INDEX(OFFSET($O$15,0,0,$B$8,$B$9), 1+$BP22, 0) = INDEX(OFFSET($O$15,0,0,$B$8,$B$9), 1+CC$14, 0))
) / $B$16)</f>
        <v>0</v>
      </c>
      <c r="CD22" cm="1">
        <f t="array" aca="1" ref="CD22" ca="1">IF($BP22=CD$14, 1, SUMPRODUCT(
    --(OFFSET($O$9,0,0,1,$B$9)=TRUE),
    --(INDEX(OFFSET($O$15,0,0,$B$8,$B$9), 1+$BP22, 0) = INDEX(OFFSET($O$15,0,0,$B$8,$B$9), 1+CD$14, 0))
) / $B$16)</f>
        <v>0</v>
      </c>
      <c r="CE22" cm="1">
        <f t="array" aca="1" ref="CE22" ca="1">IF($BP22=CE$14, 1, SUMPRODUCT(
    --(OFFSET($O$9,0,0,1,$B$9)=TRUE),
    --(INDEX(OFFSET($O$15,0,0,$B$8,$B$9), 1+$BP22, 0) = INDEX(OFFSET($O$15,0,0,$B$8,$B$9), 1+CE$14, 0))
) / $B$16)</f>
        <v>0</v>
      </c>
      <c r="CF22" cm="1">
        <f t="array" aca="1" ref="CF22" ca="1">IF($BP22=CF$14, 1, SUMPRODUCT(
    --(OFFSET($O$9,0,0,1,$B$9)=TRUE),
    --(INDEX(OFFSET($O$15,0,0,$B$8,$B$9), 1+$BP22, 0) = INDEX(OFFSET($O$15,0,0,$B$8,$B$9), 1+CF$14, 0))
) / $B$16)</f>
        <v>0.4</v>
      </c>
      <c r="CG22" cm="1">
        <f t="array" aca="1" ref="CG22" ca="1">IF($BP22=CG$14, 1, SUMPRODUCT(
    --(OFFSET($O$9,0,0,1,$B$9)=TRUE),
    --(INDEX(OFFSET($O$15,0,0,$B$8,$B$9), 1+$BP22, 0) = INDEX(OFFSET($O$15,0,0,$B$8,$B$9), 1+CG$14, 0))
) / $B$16)</f>
        <v>0.6</v>
      </c>
      <c r="CH22" cm="1">
        <f t="array" aca="1" ref="CH22" ca="1">IF($BP22=CH$14, 1, SUMPRODUCT(
    --(OFFSET($O$9,0,0,1,$B$9)=TRUE),
    --(INDEX(OFFSET($O$15,0,0,$B$8,$B$9), 1+$BP22, 0) = INDEX(OFFSET($O$15,0,0,$B$8,$B$9), 1+CH$14, 0))
) / $B$16)</f>
        <v>0.4</v>
      </c>
      <c r="CI22" cm="1">
        <f t="array" aca="1" ref="CI22" ca="1">IF($BP22=CI$14, 1, SUMPRODUCT(
    --(OFFSET($O$9,0,0,1,$B$9)=TRUE),
    --(INDEX(OFFSET($O$15,0,0,$B$8,$B$9), 1+$BP22, 0) = INDEX(OFFSET($O$15,0,0,$B$8,$B$9), 1+CI$14, 0))
) / $B$16)</f>
        <v>0.8</v>
      </c>
      <c r="CJ22" cm="1">
        <f t="array" aca="1" ref="CJ22" ca="1">IF($BP22=CJ$14, 1, SUMPRODUCT(
    --(OFFSET($O$9,0,0,1,$B$9)=TRUE),
    --(INDEX(OFFSET($O$15,0,0,$B$8,$B$9), 1+$BP22, 0) = INDEX(OFFSET($O$15,0,0,$B$8,$B$9), 1+CJ$14, 0))
) / $B$16)</f>
        <v>0.2</v>
      </c>
      <c r="DF22" cm="1">
        <f t="array" aca="1" ref="DF22" ca="1">INDEX(_xlfn.ANCHORARRAY($CP$15), 1 + INT((ROWS($DG$15:$DG22) - 1) / ROWS(_xlfn.ANCHORARRAY($CP$15))))</f>
        <v>1</v>
      </c>
      <c r="DG22" cm="1">
        <f t="array" aca="1" ref="DG22" ca="1">INDEX(_xlfn.ANCHORARRAY($CP$15),1+MOD(ROWS($DG$15:$DG22)-1,ROWS(_xlfn.ANCHORARRAY($CP$15))))</f>
        <v>2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$B$18/($B$19*$B$19*($DF22&lt;&gt;$DG22) + $B$19*($DF22=$DG22))</f>
        <v>4.529090909090909E-2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$B$18/($B$19*$B$19*($DF22&lt;&gt;$DG22) + $B$19*($DF22=$DG22))</f>
        <v>4.529090909090909E-2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$B$18/($B$19*$B$19*($DF22&lt;&gt;$DG22) + $B$19*($DF22=$DG22))</f>
        <v>0.1334727272727273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$B$18/($B$19*$B$19*($DF22&lt;&gt;$DG22) + $B$19*($DF22=$DG22))</f>
        <v>4.529090909090909E-2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$B$18/($B$19*$B$19*($DF22&lt;&gt;$DG22) + $B$19*($DF22=$DG22))</f>
        <v>0.11877575757575758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$B$18/($B$19*$B$19*($DF22&lt;&gt;$DG22) + $B$19*($DF22=$DG22))</f>
        <v>0.11877575757575758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$B$18/($B$19*$B$19*($DF22&lt;&gt;$DG22) + $B$19*($DF22=$DG22))</f>
        <v>5.9987878787878784E-2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$B$18/($B$19*$B$19*($DF22&lt;&gt;$DG22) + $B$19*($DF22=$DG22))</f>
        <v>5.9987878787878784E-2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$B$18/($B$19*$B$19*($DF22&lt;&gt;$DG22) + $B$19*($DF22=$DG22))</f>
        <v>4.529090909090909E-2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$B$18/($B$19*$B$19*($DF22&lt;&gt;$DG22) + $B$19*($DF22=$DG22))</f>
        <v>8.9381818181818187E-2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$B$18/($B$19*$B$19*($DF22&lt;&gt;$DG22) + $B$19*($DF22=$DG22))</f>
        <v>1.1999999999999999E-3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$B$18/($B$19*$B$19*($DF22&lt;&gt;$DG22) + $B$19*($DF22=$DG22))</f>
        <v>4.529090909090909E-2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$B$18/($B$19*$B$19*($DF22&lt;&gt;$DG22) + $B$19*($DF22=$DG22))</f>
        <v>4.529090909090909E-2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$B$18/($B$19*$B$19*($DF22&lt;&gt;$DG22) + $B$19*($DF22=$DG22))</f>
        <v>4.529090909090909E-2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$B$18/($B$19*$B$19*($DF22&lt;&gt;$DG22) + $B$19*($DF22=$DG22))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$B$18/($B$19*$B$19*($DF22&lt;&gt;$DG22) + $B$19*($DF22=$DG22))</f>
        <v>4.529090909090909E-2</v>
      </c>
      <c r="ED22" cm="1">
        <f t="array" aca="1" ref="ED22" ca="1">INDEX(_xlfn.ANCHORARRAY($CP$15), 1 + INT((ROWS($DG$15:$DG22) - 1) / ROWS(_xlfn.ANCHORARRAY($CP$15))))</f>
        <v>1</v>
      </c>
      <c r="EE22" cm="1">
        <f t="array" aca="1" ref="EE22" ca="1">INDEX(_xlfn.ANCHORARRAY($CP$15),1+MOD(ROWS($DG$15:$DG22)-1,ROWS(_xlfn.ANCHORARRAY($CP$15))))</f>
        <v>2</v>
      </c>
      <c r="EF22" s="10" cm="1">
        <f t="array" aca="1" ref="EF22" ca="1">DH22-_xlfn.XLOOKUP(EF$13,_xlfn.ANCHORARRAY( $CR$14), _xlfn.XLOOKUP($ED22,_xlfn.ANCHORARRAY( $CP$15), $CR$15:$CU$19)) * _xlfn.XLOOKUP(EF$14,_xlfn.ANCHORARRAY( $CR$14), _xlfn.XLOOKUP($EE22,_xlfn.ANCHORARRAY( $CP$15), $CR$15:$CU$19))</f>
        <v>-2.392773553719009E-2</v>
      </c>
      <c r="EG22" s="10" cm="1">
        <f t="array" aca="1" ref="EG22" ca="1">DI22-_xlfn.XLOOKUP(EG$13,_xlfn.ANCHORARRAY( $CR$14), _xlfn.XLOOKUP($ED22,_xlfn.ANCHORARRAY( $CP$15), $CR$15:$CU$19)) * _xlfn.XLOOKUP(EG$14,_xlfn.ANCHORARRAY( $CR$14), _xlfn.XLOOKUP($EE22,_xlfn.ANCHORARRAY( $CP$15), $CR$15:$CU$19))</f>
        <v>-3.5856330578512396E-2</v>
      </c>
      <c r="EH22" s="10" cm="1">
        <f t="array" aca="1" ref="EH22" ca="1">DJ22-_xlfn.XLOOKUP(EH$13,_xlfn.ANCHORARRAY( $CR$14), _xlfn.XLOOKUP($ED22,_xlfn.ANCHORARRAY( $CP$15), $CR$15:$CU$19)) * _xlfn.XLOOKUP(EH$14,_xlfn.ANCHORARRAY( $CR$14), _xlfn.XLOOKUP($EE22,_xlfn.ANCHORARRAY( $CP$15), $CR$15:$CU$19))</f>
        <v>8.015887603305788E-2</v>
      </c>
      <c r="EI22" s="10" cm="1">
        <f t="array" aca="1" ref="EI22" ca="1">DK22-_xlfn.XLOOKUP(EI$13,_xlfn.ANCHORARRAY( $CR$14), _xlfn.XLOOKUP($ED22,_xlfn.ANCHORARRAY( $CP$15), $CR$15:$CU$19)) * _xlfn.XLOOKUP(EI$14,_xlfn.ANCHORARRAY( $CR$14), _xlfn.XLOOKUP($EE22,_xlfn.ANCHORARRAY( $CP$15), $CR$15:$CU$19))</f>
        <v>-8.0229421487603356E-3</v>
      </c>
      <c r="EJ22" s="10" cm="1">
        <f t="array" aca="1" ref="EJ22" ca="1">DL22-_xlfn.XLOOKUP(EJ$13,_xlfn.ANCHORARRAY( $CR$14), _xlfn.XLOOKUP($ED22,_xlfn.ANCHORARRAY( $CP$15), $CR$15:$CU$19)) * _xlfn.XLOOKUP(EJ$14,_xlfn.ANCHORARRAY( $CR$14), _xlfn.XLOOKUP($EE22,_xlfn.ANCHORARRAY( $CP$15), $CR$15:$CU$19))</f>
        <v>2.6995928374655656E-2</v>
      </c>
      <c r="EK22" s="10" cm="1">
        <f t="array" aca="1" ref="EK22" ca="1">DM22-_xlfn.XLOOKUP(EK$13,_xlfn.ANCHORARRAY( $CR$14), _xlfn.XLOOKUP($ED22,_xlfn.ANCHORARRAY( $CP$15), $CR$15:$CU$19)) * _xlfn.XLOOKUP(EK$14,_xlfn.ANCHORARRAY( $CR$14), _xlfn.XLOOKUP($EE22,_xlfn.ANCHORARRAY( $CP$15), $CR$15:$CU$19))</f>
        <v>1.117931680440773E-2</v>
      </c>
      <c r="EL22" s="10" cm="1">
        <f t="array" aca="1" ref="EL22" ca="1">DN22-_xlfn.XLOOKUP(EL$13,_xlfn.ANCHORARRAY( $CR$14), _xlfn.XLOOKUP($ED22,_xlfn.ANCHORARRAY( $CP$15), $CR$15:$CU$19)) * _xlfn.XLOOKUP(EL$14,_xlfn.ANCHORARRAY( $CR$14), _xlfn.XLOOKUP($EE22,_xlfn.ANCHORARRAY( $CP$15), $CR$15:$CU$19))</f>
        <v>-1.0703134986225896E-2</v>
      </c>
      <c r="EM22" s="10" cm="1">
        <f t="array" aca="1" ref="EM22" ca="1">DO22-_xlfn.XLOOKUP(EM$13,_xlfn.ANCHORARRAY( $CR$14), _xlfn.XLOOKUP($ED22,_xlfn.ANCHORARRAY( $CP$15), $CR$15:$CU$19)) * _xlfn.XLOOKUP(EM$14,_xlfn.ANCHORARRAY( $CR$14), _xlfn.XLOOKUP($EE22,_xlfn.ANCHORARRAY( $CP$15), $CR$15:$CU$19))</f>
        <v>-1.0703134986225896E-2</v>
      </c>
      <c r="EN22" s="10" cm="1">
        <f t="array" aca="1" ref="EN22" ca="1">DP22-_xlfn.XLOOKUP(EN$13,_xlfn.ANCHORARRAY( $CR$14), _xlfn.XLOOKUP($ED22,_xlfn.ANCHORARRAY( $CP$15), $CR$15:$CU$19)) * _xlfn.XLOOKUP(EN$14,_xlfn.ANCHORARRAY( $CR$14), _xlfn.XLOOKUP($EE22,_xlfn.ANCHORARRAY( $CP$15), $CR$15:$CU$19))</f>
        <v>-1.3665509641873283E-3</v>
      </c>
      <c r="EO22" s="10" cm="1">
        <f t="array" aca="1" ref="EO22" ca="1">DQ22-_xlfn.XLOOKUP(EO$13,_xlfn.ANCHORARRAY( $CR$14), _xlfn.XLOOKUP($ED22,_xlfn.ANCHORARRAY( $CP$15), $CR$15:$CU$19)) * _xlfn.XLOOKUP(EO$14,_xlfn.ANCHORARRAY( $CR$14), _xlfn.XLOOKUP($EE22,_xlfn.ANCHORARRAY( $CP$15), $CR$15:$CU$19))</f>
        <v>3.4683779614325082E-2</v>
      </c>
      <c r="EP22" s="10" cm="1">
        <f t="array" aca="1" ref="EP22" ca="1">DR22-_xlfn.XLOOKUP(EP$13,_xlfn.ANCHORARRAY( $CR$14), _xlfn.XLOOKUP($ED22,_xlfn.ANCHORARRAY( $CP$15), $CR$15:$CU$19)) * _xlfn.XLOOKUP(EP$14,_xlfn.ANCHORARRAY( $CR$14), _xlfn.XLOOKUP($EE22,_xlfn.ANCHORARRAY( $CP$15), $CR$15:$CU$19))</f>
        <v>-3.4736688705234157E-2</v>
      </c>
      <c r="EQ22" s="10" cm="1">
        <f t="array" aca="1" ref="EQ22" ca="1">DS22-_xlfn.XLOOKUP(EQ$13,_xlfn.ANCHORARRAY( $CR$14), _xlfn.XLOOKUP($ED22,_xlfn.ANCHORARRAY( $CP$15), $CR$15:$CU$19)) * _xlfn.XLOOKUP(EQ$14,_xlfn.ANCHORARRAY( $CR$14), _xlfn.XLOOKUP($EE22,_xlfn.ANCHORARRAY( $CP$15), $CR$15:$CU$19))</f>
        <v>9.3542203856749329E-3</v>
      </c>
      <c r="ER22" s="10" cm="1">
        <f t="array" aca="1" ref="ER22" ca="1">DT22-_xlfn.XLOOKUP(ER$13,_xlfn.ANCHORARRAY( $CR$14), _xlfn.XLOOKUP($ED22,_xlfn.ANCHORARRAY( $CP$15), $CR$15:$CU$19)) * _xlfn.XLOOKUP(ER$14,_xlfn.ANCHORARRAY( $CR$14), _xlfn.XLOOKUP($EE22,_xlfn.ANCHORARRAY( $CP$15), $CR$15:$CU$19))</f>
        <v>-1.3665509641873283E-3</v>
      </c>
      <c r="ES22" s="10" cm="1">
        <f t="array" aca="1" ref="ES22" ca="1">DU22-_xlfn.XLOOKUP(ES$13,_xlfn.ANCHORARRAY( $CR$14), _xlfn.XLOOKUP($ED22,_xlfn.ANCHORARRAY( $CP$15), $CR$15:$CU$19)) * _xlfn.XLOOKUP(ES$14,_xlfn.ANCHORARRAY( $CR$14), _xlfn.XLOOKUP($EE22,_xlfn.ANCHORARRAY( $CP$15), $CR$15:$CU$19))</f>
        <v>-9.4071294765840155E-3</v>
      </c>
      <c r="ET22" s="10" cm="1">
        <f t="array" aca="1" ref="ET22" ca="1">DV22-_xlfn.XLOOKUP(ET$13,_xlfn.ANCHORARRAY( $CR$14), _xlfn.XLOOKUP($ED22,_xlfn.ANCHORARRAY( $CP$15), $CR$15:$CU$19)) * _xlfn.XLOOKUP(ET$14,_xlfn.ANCHORARRAY( $CR$14), _xlfn.XLOOKUP($EE22,_xlfn.ANCHORARRAY( $CP$15), $CR$15:$CU$19))</f>
        <v>-3.4736688705234157E-2</v>
      </c>
      <c r="EU22" s="10" cm="1">
        <f t="array" aca="1" ref="EU22" ca="1">DW22-_xlfn.XLOOKUP(EU$13,_xlfn.ANCHORARRAY( $CR$14), _xlfn.XLOOKUP($ED22,_xlfn.ANCHORARRAY( $CP$15), $CR$15:$CU$19)) * _xlfn.XLOOKUP(EU$14,_xlfn.ANCHORARRAY( $CR$14), _xlfn.XLOOKUP($EE22,_xlfn.ANCHORARRAY( $CP$15), $CR$15:$CU$19))</f>
        <v>9.3542203856749329E-3</v>
      </c>
      <c r="EZ22" cm="1">
        <f t="array" aca="1" ref="EZ22" ca="1">INDEX(_xlfn.ANCHORARRAY($CP$15), 1 + INT((ROWS($DG$15:$DG22) - 1) / ROWS(_xlfn.ANCHORARRAY($CP$15))))</f>
        <v>1</v>
      </c>
      <c r="FA22" cm="1">
        <f t="array" aca="1" ref="FA22" ca="1">INDEX(_xlfn.ANCHORARRAY($CP$15),1+MOD(ROWS($DG$15:$DG22)-1,ROWS(_xlfn.ANCHORARRAY($CP$15))))</f>
        <v>2</v>
      </c>
      <c r="FB22" s="10" cm="1">
        <f t="array" aca="1" ref="FB22" ca="1">EF22 * _xlfn.XLOOKUP(FB$13,_xlfn.ANCHORARRAY( $CZ$29), _xlfn.XLOOKUP($EZ22,_xlfn.ANCHORARRAY( $CY$30), $CZ$30:$DC$34)) * _xlfn.XLOOKUP(FB$14,_xlfn.ANCHORARRAY( $CZ$29), _xlfn.XLOOKUP($FA22,_xlfn.ANCHORARRAY( $CY$30), $CZ$30:$DC$34))</f>
        <v>-7.9066871506009996E-5</v>
      </c>
      <c r="FC22" s="10" cm="1">
        <f t="array" aca="1" ref="FC22" ca="1">EG22 * _xlfn.XLOOKUP(FC$13,_xlfn.ANCHORARRAY( $CZ$29), _xlfn.XLOOKUP($EZ22,_xlfn.ANCHORARRAY( $CY$30), $CZ$30:$DC$34)) * _xlfn.XLOOKUP(FC$14,_xlfn.ANCHORARRAY( $CZ$29), _xlfn.XLOOKUP($FA22,_xlfn.ANCHORARRAY( $CY$30), $CZ$30:$DC$34))</f>
        <v>-9.60890482131761E-4</v>
      </c>
      <c r="FD22" s="10" cm="1">
        <f t="array" aca="1" ref="FD22" ca="1">EH22 * _xlfn.XLOOKUP(FD$13,_xlfn.ANCHORARRAY( $CZ$29), _xlfn.XLOOKUP($EZ22,_xlfn.ANCHORARRAY( $CY$30), $CZ$30:$DC$34)) * _xlfn.XLOOKUP(FD$14,_xlfn.ANCHORARRAY( $CZ$29), _xlfn.XLOOKUP($FA22,_xlfn.ANCHORARRAY( $CY$30), $CZ$30:$DC$34))</f>
        <v>-2.6198928288843019E-3</v>
      </c>
      <c r="FE22" s="10" cm="1">
        <f t="array" aca="1" ref="FE22" ca="1">EI22 * _xlfn.XLOOKUP(FE$13,_xlfn.ANCHORARRAY( $CZ$29), _xlfn.XLOOKUP($EZ22,_xlfn.ANCHORARRAY( $CY$30), $CZ$30:$DC$34)) * _xlfn.XLOOKUP(FE$14,_xlfn.ANCHORARRAY( $CZ$29), _xlfn.XLOOKUP($FA22,_xlfn.ANCHORARRAY( $CY$30), $CZ$30:$DC$34))</f>
        <v>2.6221985190289323E-4</v>
      </c>
      <c r="FF22" s="10" cm="1">
        <f t="array" aca="1" ref="FF22" ca="1">EJ22 * _xlfn.XLOOKUP(FF$13,_xlfn.ANCHORARRAY( $CZ$29), _xlfn.XLOOKUP($EZ22,_xlfn.ANCHORARRAY( $CY$30), $CZ$30:$DC$34)) * _xlfn.XLOOKUP(FF$14,_xlfn.ANCHORARRAY( $CZ$29), _xlfn.XLOOKUP($FA22,_xlfn.ANCHORARRAY( $CY$30), $CZ$30:$DC$34))</f>
        <v>4.3260982864928383E-4</v>
      </c>
      <c r="FG22" s="10" cm="1">
        <f t="array" aca="1" ref="FG22" ca="1">EK22 * _xlfn.XLOOKUP(FG$13,_xlfn.ANCHORARRAY( $CZ$29), _xlfn.XLOOKUP($EZ22,_xlfn.ANCHORARRAY( $CY$30), $CZ$30:$DC$34)) * _xlfn.XLOOKUP(FG$14,_xlfn.ANCHORARRAY( $CZ$29), _xlfn.XLOOKUP($FA22,_xlfn.ANCHORARRAY( $CY$30), $CZ$30:$DC$34))</f>
        <v>1.4528757391950196E-3</v>
      </c>
      <c r="FH22" s="10" cm="1">
        <f t="array" aca="1" ref="FH22" ca="1">EL22 * _xlfn.XLOOKUP(FH$13,_xlfn.ANCHORARRAY( $CZ$29), _xlfn.XLOOKUP($EZ22,_xlfn.ANCHORARRAY( $CY$30), $CZ$30:$DC$34)) * _xlfn.XLOOKUP(FH$14,_xlfn.ANCHORARRAY( $CZ$29), _xlfn.XLOOKUP($FA22,_xlfn.ANCHORARRAY( $CY$30), $CZ$30:$DC$34))</f>
        <v>1.6964773655944287E-3</v>
      </c>
      <c r="FI22" s="10" cm="1">
        <f t="array" aca="1" ref="FI22" ca="1">EM22 * _xlfn.XLOOKUP(FI$13,_xlfn.ANCHORARRAY( $CZ$29), _xlfn.XLOOKUP($EZ22,_xlfn.ANCHORARRAY( $CY$30), $CZ$30:$DC$34)) * _xlfn.XLOOKUP(FI$14,_xlfn.ANCHORARRAY( $CZ$29), _xlfn.XLOOKUP($FA22,_xlfn.ANCHORARRAY( $CY$30), $CZ$30:$DC$34))</f>
        <v>1.6964773655944287E-3</v>
      </c>
      <c r="FJ22" s="10" cm="1">
        <f t="array" aca="1" ref="FJ22" ca="1">EN22 * _xlfn.XLOOKUP(FJ$13,_xlfn.ANCHORARRAY( $CZ$29), _xlfn.XLOOKUP($EZ22,_xlfn.ANCHORARRAY( $CY$30), $CZ$30:$DC$34)) * _xlfn.XLOOKUP(FJ$14,_xlfn.ANCHORARRAY( $CZ$29), _xlfn.XLOOKUP($FA22,_xlfn.ANCHORARRAY( $CY$30), $CZ$30:$DC$34))</f>
        <v>1.6995814438079056E-5</v>
      </c>
      <c r="FK22" s="10" cm="1">
        <f t="array" aca="1" ref="FK22" ca="1">EO22 * _xlfn.XLOOKUP(FK$13,_xlfn.ANCHORARRAY( $CZ$29), _xlfn.XLOOKUP($EZ22,_xlfn.ANCHORARRAY( $CY$30), $CZ$30:$DC$34)) * _xlfn.XLOOKUP(FK$14,_xlfn.ANCHORARRAY( $CZ$29), _xlfn.XLOOKUP($FA22,_xlfn.ANCHORARRAY( $CY$30), $CZ$30:$DC$34))</f>
        <v>-3.4983049060453909E-3</v>
      </c>
      <c r="FL22" s="10" cm="1">
        <f t="array" aca="1" ref="FL22" ca="1">EP22 * _xlfn.XLOOKUP(FL$13,_xlfn.ANCHORARRAY( $CZ$29), _xlfn.XLOOKUP($EZ22,_xlfn.ANCHORARRAY( $CY$30), $CZ$30:$DC$34)) * _xlfn.XLOOKUP(FL$14,_xlfn.ANCHORARRAY( $CZ$29), _xlfn.XLOOKUP($FA22,_xlfn.ANCHORARRAY( $CY$30), $CZ$30:$DC$34))</f>
        <v>-4.2731045279289035E-3</v>
      </c>
      <c r="FM22" s="10" cm="1">
        <f t="array" aca="1" ref="FM22" ca="1">EQ22 * _xlfn.XLOOKUP(FM$13,_xlfn.ANCHORARRAY( $CZ$29), _xlfn.XLOOKUP($EZ22,_xlfn.ANCHORARRAY( $CY$30), $CZ$30:$DC$34)) * _xlfn.XLOOKUP(FM$14,_xlfn.ANCHORARRAY( $CZ$29), _xlfn.XLOOKUP($FA22,_xlfn.ANCHORARRAY( $CY$30), $CZ$30:$DC$34))</f>
        <v>1.150701548569005E-3</v>
      </c>
      <c r="FN22" s="10" cm="1">
        <f t="array" aca="1" ref="FN22" ca="1">ER22 * _xlfn.XLOOKUP(FN$13,_xlfn.ANCHORARRAY( $CZ$29), _xlfn.XLOOKUP($EZ22,_xlfn.ANCHORARRAY( $CY$30), $CZ$30:$DC$34)) * _xlfn.XLOOKUP(FN$14,_xlfn.ANCHORARRAY( $CZ$29), _xlfn.XLOOKUP($FA22,_xlfn.ANCHORARRAY( $CY$30), $CZ$30:$DC$34))</f>
        <v>1.6995814438079056E-5</v>
      </c>
      <c r="FO22" s="10" cm="1">
        <f t="array" aca="1" ref="FO22" ca="1">ES22 * _xlfn.XLOOKUP(FO$13,_xlfn.ANCHORARRAY( $CZ$29), _xlfn.XLOOKUP($EZ22,_xlfn.ANCHORARRAY( $CY$30), $CZ$30:$DC$34)) * _xlfn.XLOOKUP(FO$14,_xlfn.ANCHORARRAY( $CZ$29), _xlfn.XLOOKUP($FA22,_xlfn.ANCHORARRAY( $CY$30), $CZ$30:$DC$34))</f>
        <v>9.4882990163350027E-4</v>
      </c>
      <c r="FP22" s="10" cm="1">
        <f t="array" aca="1" ref="FP22" ca="1">ET22 * _xlfn.XLOOKUP(FP$13,_xlfn.ANCHORARRAY( $CZ$29), _xlfn.XLOOKUP($EZ22,_xlfn.ANCHORARRAY( $CY$30), $CZ$30:$DC$34)) * _xlfn.XLOOKUP(FP$14,_xlfn.ANCHORARRAY( $CZ$29), _xlfn.XLOOKUP($FA22,_xlfn.ANCHORARRAY( $CY$30), $CZ$30:$DC$34))</f>
        <v>-4.2731045279289035E-3</v>
      </c>
      <c r="FQ22" s="10" cm="1">
        <f t="array" aca="1" ref="FQ22" ca="1">EU22 * _xlfn.XLOOKUP(FQ$13,_xlfn.ANCHORARRAY( $CZ$29), _xlfn.XLOOKUP($EZ22,_xlfn.ANCHORARRAY( $CY$30), $CZ$30:$DC$34)) * _xlfn.XLOOKUP(FQ$14,_xlfn.ANCHORARRAY( $CZ$29), _xlfn.XLOOKUP($FA22,_xlfn.ANCHORARRAY( $CY$30), $CZ$30:$DC$34))</f>
        <v>1.150701548569005E-3</v>
      </c>
      <c r="FT22" cm="1">
        <f t="array" aca="1" ref="FT22" ca="1">SQRT(SUM((FB22:FQ22)^2))</f>
        <v>8.2596789096192787E-3</v>
      </c>
    </row>
    <row r="23" spans="1:176" x14ac:dyDescent="0.2">
      <c r="D23" s="10">
        <f ca="1"/>
        <v>9</v>
      </c>
      <c r="F23" s="10">
        <f ca="1"/>
        <v>0.5</v>
      </c>
      <c r="H23" s="10"/>
      <c r="J23" cm="1">
        <f t="array" aca="1" ref="J23" ca="1">SUMPRODUCT((O23:AJ23=$O$11:$AJ$11)*(O$13:AJ$13=TRUE))  / COUNTIF(O$13:AJ$13,TRUE)</f>
        <v>0.8</v>
      </c>
      <c r="K23" t="b">
        <f t="shared" ca="1" si="3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4"/>
        <v>1</v>
      </c>
      <c r="N23" s="2">
        <v>8</v>
      </c>
      <c r="O23" s="12" t="s">
        <v>0</v>
      </c>
      <c r="P23" s="9" t="s">
        <v>1</v>
      </c>
      <c r="Q23" s="9" t="s">
        <v>1</v>
      </c>
      <c r="R23" s="9" t="s">
        <v>3</v>
      </c>
      <c r="S23" s="9" t="s">
        <v>3</v>
      </c>
      <c r="AK23" s="7"/>
      <c r="AN23">
        <f t="shared" ca="1" si="5"/>
        <v>2</v>
      </c>
      <c r="AO23" s="14">
        <f t="shared" ca="1" si="6"/>
        <v>0.5</v>
      </c>
      <c r="AP23" s="2">
        <f ca="1"/>
        <v>9</v>
      </c>
      <c r="AQ23" cm="1">
        <f t="array" aca="1" ref="AQ23" ca="1">IF($AP23=AQ$14, 1, SUMPRODUCT(
    --(OFFSET($O$13,0,0,1,$B$9)=TRUE),
    --(INDEX(OFFSET($O$15,0,0,$B$8,$B$9), 1+$AP23, 0) = INDEX(OFFSET($O$15,0,0,$B$8,$B$9), 1+AQ$14, 0))
) / $B$13)</f>
        <v>0.4</v>
      </c>
      <c r="AR23" cm="1">
        <f t="array" aca="1" ref="AR23" ca="1">IF($AP23=AR$14, 1, SUMPRODUCT(
    --(OFFSET($O$13,0,0,1,$B$9)=TRUE),
    --(INDEX(OFFSET($O$15,0,0,$B$8,$B$9), 1+$AP23, 0) = INDEX(OFFSET($O$15,0,0,$B$8,$B$9), 1+AR$14, 0))
) / $B$13)</f>
        <v>0.8</v>
      </c>
      <c r="AS23" cm="1">
        <f t="array" aca="1" ref="AS23" ca="1">IF($AP23=AS$14, 1, SUMPRODUCT(
    --(OFFSET($O$13,0,0,1,$B$9)=TRUE),
    --(INDEX(OFFSET($O$15,0,0,$B$8,$B$9), 1+$AP23, 0) = INDEX(OFFSET($O$15,0,0,$B$8,$B$9), 1+AS$14, 0))
) / $B$13)</f>
        <v>0.4</v>
      </c>
      <c r="AT23" cm="1">
        <f t="array" aca="1" ref="AT23" ca="1">IF($AP23=AT$14, 1, SUMPRODUCT(
    --(OFFSET($O$13,0,0,1,$B$9)=TRUE),
    --(INDEX(OFFSET($O$15,0,0,$B$8,$B$9), 1+$AP23, 0) = INDEX(OFFSET($O$15,0,0,$B$8,$B$9), 1+AT$14, 0))
) / $B$13)</f>
        <v>0</v>
      </c>
      <c r="AU23" cm="1">
        <f t="array" aca="1" ref="AU23" ca="1">IF($AP23=AU$14, 1, SUMPRODUCT(
    --(OFFSET($O$13,0,0,1,$B$9)=TRUE),
    --(INDEX(OFFSET($O$15,0,0,$B$8,$B$9), 1+$AP23, 0) = INDEX(OFFSET($O$15,0,0,$B$8,$B$9), 1+AU$14, 0))
) / $B$13)</f>
        <v>0.4</v>
      </c>
      <c r="AV23" cm="1">
        <f t="array" aca="1" ref="AV23" ca="1">IF($AP23=AV$14, 1, SUMPRODUCT(
    --(OFFSET($O$13,0,0,1,$B$9)=TRUE),
    --(INDEX(OFFSET($O$15,0,0,$B$8,$B$9), 1+$AP23, 0) = INDEX(OFFSET($O$15,0,0,$B$8,$B$9), 1+AV$14, 0))
) / $B$13)</f>
        <v>0</v>
      </c>
      <c r="AW23" cm="1">
        <f t="array" aca="1" ref="AW23" ca="1">IF($AP23=AW$14, 1, SUMPRODUCT(
    --(OFFSET($O$13,0,0,1,$B$9)=TRUE),
    --(INDEX(OFFSET($O$15,0,0,$B$8,$B$9), 1+$AP23, 0) = INDEX(OFFSET($O$15,0,0,$B$8,$B$9), 1+AW$14, 0))
) / $B$13)</f>
        <v>0</v>
      </c>
      <c r="AX23" cm="1">
        <f t="array" aca="1" ref="AX23" ca="1">IF($AP23=AX$14, 1, SUMPRODUCT(
    --(OFFSET($O$13,0,0,1,$B$9)=TRUE),
    --(INDEX(OFFSET($O$15,0,0,$B$8,$B$9), 1+$AP23, 0) = INDEX(OFFSET($O$15,0,0,$B$8,$B$9), 1+AX$14, 0))
) / $B$13)</f>
        <v>0.6</v>
      </c>
      <c r="AY23" cm="1">
        <f t="array" aca="1" ref="AY23" ca="1">IF($AP23=AY$14, 1, SUMPRODUCT(
    --(OFFSET($O$13,0,0,1,$B$9)=TRUE),
    --(INDEX(OFFSET($O$15,0,0,$B$8,$B$9), 1+$AP23, 0) = INDEX(OFFSET($O$15,0,0,$B$8,$B$9), 1+AY$14, 0))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
) / $B$13)</f>
        <v>0.6</v>
      </c>
      <c r="BA23" cm="1">
        <f t="array" aca="1" ref="BA23" ca="1">IF($AP23=BA$14, 1, SUMPRODUCT(
    --(OFFSET($O$13,0,0,1,$B$9)=TRUE),
    --(INDEX(OFFSET($O$15,0,0,$B$8,$B$9), 1+$AP23, 0) = INDEX(OFFSET($O$15,0,0,$B$8,$B$9), 1+BA$14, 0))
) / $B$13)</f>
        <v>0.6</v>
      </c>
      <c r="BB23" cm="1">
        <f t="array" aca="1" ref="BB23" ca="1">IF($AP23=BB$14, 1, SUMPRODUCT(
    --(OFFSET($O$13,0,0,1,$B$9)=TRUE),
    --(INDEX(OFFSET($O$15,0,0,$B$8,$B$9), 1+$AP23, 0) = INDEX(OFFSET($O$15,0,0,$B$8,$B$9), 1+BB$14, 0))
) / $B$13)</f>
        <v>0</v>
      </c>
      <c r="BC23" cm="1">
        <f t="array" aca="1" ref="BC23" ca="1">IF($AP23=BC$14, 1, SUMPRODUCT(
    --(OFFSET($O$13,0,0,1,$B$9)=TRUE),
    --(INDEX(OFFSET($O$15,0,0,$B$8,$B$9), 1+$AP23, 0) = INDEX(OFFSET($O$15,0,0,$B$8,$B$9), 1+BC$14, 0))
) / $B$13)</f>
        <v>0.4</v>
      </c>
      <c r="BD23" cm="1">
        <f t="array" aca="1" ref="BD23" ca="1">IF($AP23=BD$14, 1, SUMPRODUCT(
    --(OFFSET($O$13,0,0,1,$B$9)=TRUE),
    --(INDEX(OFFSET($O$15,0,0,$B$8,$B$9), 1+$AP23, 0) = INDEX(OFFSET($O$15,0,0,$B$8,$B$9), 1+BD$14, 0))
) / $B$13)</f>
        <v>0</v>
      </c>
      <c r="BE23" cm="1">
        <f t="array" aca="1" ref="BE23" ca="1">IF($AP23=BE$14, 1, SUMPRODUCT(
    --(OFFSET($O$13,0,0,1,$B$9)=TRUE),
    --(INDEX(OFFSET($O$15,0,0,$B$8,$B$9), 1+$AP23, 0) = INDEX(OFFSET($O$15,0,0,$B$8,$B$9), 1+BE$14, 0))
) / $B$13)</f>
        <v>0</v>
      </c>
      <c r="BF23" cm="1">
        <f t="array" aca="1" ref="BF23" ca="1">IF($AP23=BF$14, 1, SUMPRODUCT(
    --(OFFSET($O$13,0,0,1,$B$9)=TRUE),
    --(INDEX(OFFSET($O$15,0,0,$B$8,$B$9), 1+$AP23, 0) = INDEX(OFFSET($O$15,0,0,$B$8,$B$9), 1+BF$14, 0))
) / $B$13)</f>
        <v>0</v>
      </c>
      <c r="BG23" cm="1">
        <f t="array" aca="1" ref="BG23" ca="1">IF($AP23=BG$14, 1, SUMPRODUCT(
    --(OFFSET($O$13,0,0,1,$B$9)=TRUE),
    --(INDEX(OFFSET($O$15,0,0,$B$8,$B$9), 1+$AP23, 0) = INDEX(OFFSET($O$15,0,0,$B$8,$B$9), 1+BG$14, 0))
) / $B$13)</f>
        <v>0.2</v>
      </c>
      <c r="BH23" cm="1">
        <f t="array" aca="1" ref="BH23" ca="1">IF($AP23=BH$14, 1, SUMPRODUCT(
    --(OFFSET($O$13,0,0,1,$B$9)=TRUE),
    --(INDEX(OFFSET($O$15,0,0,$B$8,$B$9), 1+$AP23, 0) = INDEX(OFFSET($O$15,0,0,$B$8,$B$9), 1+BH$14, 0))
) / $B$13)</f>
        <v>0</v>
      </c>
      <c r="BI23" cm="1">
        <f t="array" aca="1" ref="BI23" ca="1">IF($AP23=BI$14, 1, SUMPRODUCT(
    --(OFFSET($O$13,0,0,1,$B$9)=TRUE),
    --(INDEX(OFFSET($O$15,0,0,$B$8,$B$9), 1+$AP23, 0) = INDEX(OFFSET($O$15,0,0,$B$8,$B$9), 1+BI$14, 0))
) / $B$13)</f>
        <v>0.4</v>
      </c>
      <c r="BJ23" cm="1">
        <f t="array" aca="1" ref="BJ23" ca="1">IF($AP23=BJ$14, 1, SUMPRODUCT(
    --(OFFSET($O$13,0,0,1,$B$9)=TRUE),
    --(INDEX(OFFSET($O$15,0,0,$B$8,$B$9), 1+$AP23, 0) = INDEX(OFFSET($O$15,0,0,$B$8,$B$9), 1+BJ$14, 0))
) / $B$13)</f>
        <v>0.4</v>
      </c>
      <c r="BN23">
        <f t="shared" ca="1" si="7"/>
        <v>2</v>
      </c>
      <c r="BO23" s="14">
        <f t="shared" ca="1" si="8"/>
        <v>0.5</v>
      </c>
      <c r="BP23" s="2">
        <f ca="1"/>
        <v>9</v>
      </c>
      <c r="BQ23" cm="1">
        <f t="array" aca="1" ref="BQ23" ca="1">IF($BP23=BQ$14, 1, SUMPRODUCT(
    --(OFFSET($O$9,0,0,1,$B$9)=TRUE),
    --(INDEX(OFFSET($O$15,0,0,$B$8,$B$9), 1+$BP23, 0) = INDEX(OFFSET($O$15,0,0,$B$8,$B$9), 1+BQ$14, 0))
) / $B$16)</f>
        <v>0.4</v>
      </c>
      <c r="BR23" cm="1">
        <f t="array" aca="1" ref="BR23" ca="1">IF($BP23=BR$14, 1, SUMPRODUCT(
    --(OFFSET($O$9,0,0,1,$B$9)=TRUE),
    --(INDEX(OFFSET($O$15,0,0,$B$8,$B$9), 1+$BP23, 0) = INDEX(OFFSET($O$15,0,0,$B$8,$B$9), 1+BR$14, 0))
) / $B$16)</f>
        <v>0.8</v>
      </c>
      <c r="BS23" cm="1">
        <f t="array" aca="1" ref="BS23" ca="1">IF($BP23=BS$14, 1, SUMPRODUCT(
    --(OFFSET($O$9,0,0,1,$B$9)=TRUE),
    --(INDEX(OFFSET($O$15,0,0,$B$8,$B$9), 1+$BP23, 0) = INDEX(OFFSET($O$15,0,0,$B$8,$B$9), 1+BS$14, 0))
) / $B$16)</f>
        <v>0.4</v>
      </c>
      <c r="BT23" cm="1">
        <f t="array" aca="1" ref="BT23" ca="1">IF($BP23=BT$14, 1, SUMPRODUCT(
    --(OFFSET($O$9,0,0,1,$B$9)=TRUE),
    --(INDEX(OFFSET($O$15,0,0,$B$8,$B$9), 1+$BP23, 0) = INDEX(OFFSET($O$15,0,0,$B$8,$B$9), 1+BT$14, 0))
) / $B$16)</f>
        <v>0</v>
      </c>
      <c r="BU23" cm="1">
        <f t="array" aca="1" ref="BU23" ca="1">IF($BP23=BU$14, 1, SUMPRODUCT(
    --(OFFSET($O$9,0,0,1,$B$9)=TRUE),
    --(INDEX(OFFSET($O$15,0,0,$B$8,$B$9), 1+$BP23, 0) = INDEX(OFFSET($O$15,0,0,$B$8,$B$9), 1+BU$14, 0))
) / $B$16)</f>
        <v>0.4</v>
      </c>
      <c r="BV23" cm="1">
        <f t="array" aca="1" ref="BV23" ca="1">IF($BP23=BV$14, 1, SUMPRODUCT(
    --(OFFSET($O$9,0,0,1,$B$9)=TRUE),
    --(INDEX(OFFSET($O$15,0,0,$B$8,$B$9), 1+$BP23, 0) = INDEX(OFFSET($O$15,0,0,$B$8,$B$9), 1+BV$14, 0))
) / $B$16)</f>
        <v>0</v>
      </c>
      <c r="BW23" cm="1">
        <f t="array" aca="1" ref="BW23" ca="1">IF($BP23=BW$14, 1, SUMPRODUCT(
    --(OFFSET($O$9,0,0,1,$B$9)=TRUE),
    --(INDEX(OFFSET($O$15,0,0,$B$8,$B$9), 1+$BP23, 0) = INDEX(OFFSET($O$15,0,0,$B$8,$B$9), 1+BW$14, 0))
) / $B$16)</f>
        <v>0</v>
      </c>
      <c r="BX23" cm="1">
        <f t="array" aca="1" ref="BX23" ca="1">IF($BP23=BX$14, 1, SUMPRODUCT(
    --(OFFSET($O$9,0,0,1,$B$9)=TRUE),
    --(INDEX(OFFSET($O$15,0,0,$B$8,$B$9), 1+$BP23, 0) = INDEX(OFFSET($O$15,0,0,$B$8,$B$9), 1+BX$14, 0))
) / $B$16)</f>
        <v>0.6</v>
      </c>
      <c r="BY23" cm="1">
        <f t="array" aca="1" ref="BY23" ca="1">IF($BP23=BY$14, 1, SUMPRODUCT(
    --(OFFSET($O$9,0,0,1,$B$9)=TRUE),
    --(INDEX(OFFSET($O$15,0,0,$B$8,$B$9), 1+$BP23, 0) = INDEX(OFFSET($O$15,0,0,$B$8,$B$9), 1+BY$14, 0))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
) / $B$16)</f>
        <v>0.6</v>
      </c>
      <c r="CA23" cm="1">
        <f t="array" aca="1" ref="CA23" ca="1">IF($BP23=CA$14, 1, SUMPRODUCT(
    --(OFFSET($O$9,0,0,1,$B$9)=TRUE),
    --(INDEX(OFFSET($O$15,0,0,$B$8,$B$9), 1+$BP23, 0) = INDEX(OFFSET($O$15,0,0,$B$8,$B$9), 1+CA$14, 0))
) / $B$16)</f>
        <v>0.6</v>
      </c>
      <c r="CB23" cm="1">
        <f t="array" aca="1" ref="CB23" ca="1">IF($BP23=CB$14, 1, SUMPRODUCT(
    --(OFFSET($O$9,0,0,1,$B$9)=TRUE),
    --(INDEX(OFFSET($O$15,0,0,$B$8,$B$9), 1+$BP23, 0) = INDEX(OFFSET($O$15,0,0,$B$8,$B$9), 1+CB$14, 0))
) / $B$16)</f>
        <v>0</v>
      </c>
      <c r="CC23" cm="1">
        <f t="array" aca="1" ref="CC23" ca="1">IF($BP23=CC$14, 1, SUMPRODUCT(
    --(OFFSET($O$9,0,0,1,$B$9)=TRUE),
    --(INDEX(OFFSET($O$15,0,0,$B$8,$B$9), 1+$BP23, 0) = INDEX(OFFSET($O$15,0,0,$B$8,$B$9), 1+CC$14, 0))
) / $B$16)</f>
        <v>0.4</v>
      </c>
      <c r="CD23" cm="1">
        <f t="array" aca="1" ref="CD23" ca="1">IF($BP23=CD$14, 1, SUMPRODUCT(
    --(OFFSET($O$9,0,0,1,$B$9)=TRUE),
    --(INDEX(OFFSET($O$15,0,0,$B$8,$B$9), 1+$BP23, 0) = INDEX(OFFSET($O$15,0,0,$B$8,$B$9), 1+CD$14, 0))
) / $B$16)</f>
        <v>0</v>
      </c>
      <c r="CE23" cm="1">
        <f t="array" aca="1" ref="CE23" ca="1">IF($BP23=CE$14, 1, SUMPRODUCT(
    --(OFFSET($O$9,0,0,1,$B$9)=TRUE),
    --(INDEX(OFFSET($O$15,0,0,$B$8,$B$9), 1+$BP23, 0) = INDEX(OFFSET($O$15,0,0,$B$8,$B$9), 1+CE$14, 0))
) / $B$16)</f>
        <v>0</v>
      </c>
      <c r="CF23" cm="1">
        <f t="array" aca="1" ref="CF23" ca="1">IF($BP23=CF$14, 1, SUMPRODUCT(
    --(OFFSET($O$9,0,0,1,$B$9)=TRUE),
    --(INDEX(OFFSET($O$15,0,0,$B$8,$B$9), 1+$BP23, 0) = INDEX(OFFSET($O$15,0,0,$B$8,$B$9), 1+CF$14, 0))
) / $B$16)</f>
        <v>0</v>
      </c>
      <c r="CG23" cm="1">
        <f t="array" aca="1" ref="CG23" ca="1">IF($BP23=CG$14, 1, SUMPRODUCT(
    --(OFFSET($O$9,0,0,1,$B$9)=TRUE),
    --(INDEX(OFFSET($O$15,0,0,$B$8,$B$9), 1+$BP23, 0) = INDEX(OFFSET($O$15,0,0,$B$8,$B$9), 1+CG$14, 0))
) / $B$16)</f>
        <v>0.2</v>
      </c>
      <c r="CH23" cm="1">
        <f t="array" aca="1" ref="CH23" ca="1">IF($BP23=CH$14, 1, SUMPRODUCT(
    --(OFFSET($O$9,0,0,1,$B$9)=TRUE),
    --(INDEX(OFFSET($O$15,0,0,$B$8,$B$9), 1+$BP23, 0) = INDEX(OFFSET($O$15,0,0,$B$8,$B$9), 1+CH$14, 0))
) / $B$16)</f>
        <v>0</v>
      </c>
      <c r="CI23" cm="1">
        <f t="array" aca="1" ref="CI23" ca="1">IF($BP23=CI$14, 1, SUMPRODUCT(
    --(OFFSET($O$9,0,0,1,$B$9)=TRUE),
    --(INDEX(OFFSET($O$15,0,0,$B$8,$B$9), 1+$BP23, 0) = INDEX(OFFSET($O$15,0,0,$B$8,$B$9), 1+CI$14, 0))
) / $B$16)</f>
        <v>0.4</v>
      </c>
      <c r="CJ23" cm="1">
        <f t="array" aca="1" ref="CJ23" ca="1">IF($BP23=CJ$14, 1, SUMPRODUCT(
    --(OFFSET($O$9,0,0,1,$B$9)=TRUE),
    --(INDEX(OFFSET($O$15,0,0,$B$8,$B$9), 1+$BP23, 0) = INDEX(OFFSET($O$15,0,0,$B$8,$B$9), 1+CJ$14, 0))
) / $B$16)</f>
        <v>0.4</v>
      </c>
      <c r="DF23" cm="1">
        <f t="array" aca="1" ref="DF23" ca="1">INDEX(_xlfn.ANCHORARRAY($CP$15), 1 + INT((ROWS($DG$15:$DG23) - 1) / ROWS(_xlfn.ANCHORARRAY($CP$15))))</f>
        <v>1</v>
      </c>
      <c r="DG23" cm="1">
        <f t="array" aca="1" ref="DG23" ca="1">INDEX(_xlfn.ANCHORARRAY($CP$15),1+MOD(ROWS($DG$15:$DG23)-1,ROWS(_xlfn.ANCHORARRAY($CP$15))))</f>
        <v>3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$B$18/($B$19*$B$19*($DF23&lt;&gt;$DG23) + $B$19*($DF23=$DG23))</f>
        <v>1.1999999999999999E-3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$B$18/($B$19*$B$19*($DF23&lt;&gt;$DG23) + $B$19*($DF23=$DG23))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$B$18/($B$19*$B$19*($DF23&lt;&gt;$DG23) + $B$19*($DF23=$DG23))</f>
        <v>8.9381818181818187E-2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$B$18/($B$19*$B$19*($DF23&lt;&gt;$DG23) + $B$19*($DF23=$DG23))</f>
        <v>0.17756363636363637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$B$18/($B$19*$B$19*($DF23&lt;&gt;$DG23) + $B$19*($DF23=$DG23))</f>
        <v>8.9381818181818187E-2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$B$18/($B$19*$B$19*($DF23&lt;&gt;$DG23) + $B$19*($DF23=$DG23))</f>
        <v>8.9381818181818187E-2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$B$18/($B$19*$B$19*($DF23&lt;&gt;$DG23) + $B$19*($DF23=$DG23))</f>
        <v>8.9381818181818187E-2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$B$18/($B$19*$B$19*($DF23&lt;&gt;$DG23) + $B$19*($DF23=$DG23))</f>
        <v>8.9381818181818187E-2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$B$18/($B$19*$B$19*($DF23&lt;&gt;$DG23) + $B$19*($DF23=$DG23))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$B$18/($B$19*$B$19*($DF23&lt;&gt;$DG23) + $B$19*($DF23=$DG23))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$B$18/($B$19*$B$19*($DF23&lt;&gt;$DG23) + $B$19*($DF23=$DG23))</f>
        <v>8.9381818181818187E-2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$B$18/($B$19*$B$19*($DF23&lt;&gt;$DG23) + $B$19*($DF23=$DG23))</f>
        <v>8.9381818181818187E-2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$B$18/($B$19*$B$19*($DF23&lt;&gt;$DG23) + $B$19*($DF23=$DG23))</f>
        <v>1.1999999999999999E-3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$B$18/($B$19*$B$19*($DF23&lt;&gt;$DG23) + $B$19*($DF23=$DG23))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$B$18/($B$19*$B$19*($DF23&lt;&gt;$DG23) + $B$19*($DF23=$DG23))</f>
        <v>8.9381818181818187E-2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$B$18/($B$19*$B$19*($DF23&lt;&gt;$DG23) + $B$19*($DF23=$DG23))</f>
        <v>8.9381818181818187E-2</v>
      </c>
      <c r="ED23" cm="1">
        <f t="array" aca="1" ref="ED23" ca="1">INDEX(_xlfn.ANCHORARRAY($CP$15), 1 + INT((ROWS($DG$15:$DG23) - 1) / ROWS(_xlfn.ANCHORARRAY($CP$15))))</f>
        <v>1</v>
      </c>
      <c r="EE23" cm="1">
        <f t="array" aca="1" ref="EE23" ca="1">INDEX(_xlfn.ANCHORARRAY($CP$15),1+MOD(ROWS($DG$15:$DG23)-1,ROWS(_xlfn.ANCHORARRAY($CP$15))))</f>
        <v>3</v>
      </c>
      <c r="EF23" s="10" cm="1">
        <f t="array" aca="1" ref="EF23" ca="1">DH23-_xlfn.XLOOKUP(EF$13,_xlfn.ANCHORARRAY( $CR$14), _xlfn.XLOOKUP($ED23,_xlfn.ANCHORARRAY( $CP$15), $CR$15:$CU$19)) * _xlfn.XLOOKUP(EF$14,_xlfn.ANCHORARRAY( $CR$14), _xlfn.XLOOKUP($EE23,_xlfn.ANCHORARRAY( $CP$15), $CR$15:$CU$19))</f>
        <v>-2.4280462809917362E-2</v>
      </c>
      <c r="EG23" s="10" cm="1">
        <f t="array" aca="1" ref="EG23" ca="1">DI23-_xlfn.XLOOKUP(EG$13,_xlfn.ANCHORARRAY( $CR$14), _xlfn.XLOOKUP($ED23,_xlfn.ANCHORARRAY( $CP$15), $CR$15:$CU$19)) * _xlfn.XLOOKUP(EG$14,_xlfn.ANCHORARRAY( $CR$14), _xlfn.XLOOKUP($EE23,_xlfn.ANCHORARRAY( $CP$15), $CR$15:$CU$19))</f>
        <v>-2.4280462809917362E-2</v>
      </c>
      <c r="EH23" s="10" cm="1">
        <f t="array" aca="1" ref="EH23" ca="1">DJ23-_xlfn.XLOOKUP(EH$13,_xlfn.ANCHORARRAY( $CR$14), _xlfn.XLOOKUP($ED23,_xlfn.ANCHORARRAY( $CP$15), $CR$15:$CU$19)) * _xlfn.XLOOKUP(EH$14,_xlfn.ANCHORARRAY( $CR$14), _xlfn.XLOOKUP($EE23,_xlfn.ANCHORARRAY( $CP$15), $CR$15:$CU$19))</f>
        <v>-7.6702148760330741E-3</v>
      </c>
      <c r="EI23" s="10" cm="1">
        <f t="array" aca="1" ref="EI23" ca="1">DK23-_xlfn.XLOOKUP(EI$13,_xlfn.ANCHORARRAY( $CR$14), _xlfn.XLOOKUP($ED23,_xlfn.ANCHORARRAY( $CP$15), $CR$15:$CU$19)) * _xlfn.XLOOKUP(EI$14,_xlfn.ANCHORARRAY( $CR$14), _xlfn.XLOOKUP($EE23,_xlfn.ANCHORARRAY( $CP$15), $CR$15:$CU$19))</f>
        <v>5.6654413223140493E-2</v>
      </c>
      <c r="EJ23" s="10" cm="1">
        <f t="array" aca="1" ref="EJ23" ca="1">DL23-_xlfn.XLOOKUP(EJ$13,_xlfn.ANCHORARRAY( $CR$14), _xlfn.XLOOKUP($ED23,_xlfn.ANCHORARRAY( $CP$15), $CR$15:$CU$19)) * _xlfn.XLOOKUP(EJ$14,_xlfn.ANCHORARRAY( $CR$14), _xlfn.XLOOKUP($EE23,_xlfn.ANCHORARRAY( $CP$15), $CR$15:$CU$19))</f>
        <v>5.5596231404958681E-2</v>
      </c>
      <c r="EK23" s="10" cm="1">
        <f t="array" aca="1" ref="EK23" ca="1">DM23-_xlfn.XLOOKUP(EK$13,_xlfn.ANCHORARRAY( $CR$14), _xlfn.XLOOKUP($ED23,_xlfn.ANCHORARRAY( $CP$15), $CR$15:$CU$19)) * _xlfn.XLOOKUP(EK$14,_xlfn.ANCHORARRAY( $CR$14), _xlfn.XLOOKUP($EE23,_xlfn.ANCHORARRAY( $CP$15), $CR$15:$CU$19))</f>
        <v>5.5596231404958681E-2</v>
      </c>
      <c r="EL23" s="10" cm="1">
        <f t="array" aca="1" ref="EL23" ca="1">DN23-_xlfn.XLOOKUP(EL$13,_xlfn.ANCHORARRAY( $CR$14), _xlfn.XLOOKUP($ED23,_xlfn.ANCHORARRAY( $CP$15), $CR$15:$CU$19)) * _xlfn.XLOOKUP(EL$14,_xlfn.ANCHORARRAY( $CR$14), _xlfn.XLOOKUP($EE23,_xlfn.ANCHORARRAY( $CP$15), $CR$15:$CU$19))</f>
        <v>-3.9303438016528927E-2</v>
      </c>
      <c r="EM23" s="10" cm="1">
        <f t="array" aca="1" ref="EM23" ca="1">DO23-_xlfn.XLOOKUP(EM$13,_xlfn.ANCHORARRAY( $CR$14), _xlfn.XLOOKUP($ED23,_xlfn.ANCHORARRAY( $CP$15), $CR$15:$CU$19)) * _xlfn.XLOOKUP(EM$14,_xlfn.ANCHORARRAY( $CR$14), _xlfn.XLOOKUP($EE23,_xlfn.ANCHORARRAY( $CP$15), $CR$15:$CU$19))</f>
        <v>-7.093666115702478E-2</v>
      </c>
      <c r="EN23" s="10" cm="1">
        <f t="array" aca="1" ref="EN23" ca="1">DP23-_xlfn.XLOOKUP(EN$13,_xlfn.ANCHORARRAY( $CR$14), _xlfn.XLOOKUP($ED23,_xlfn.ANCHORARRAY( $CP$15), $CR$15:$CU$19)) * _xlfn.XLOOKUP(EN$14,_xlfn.ANCHORARRAY( $CR$14), _xlfn.XLOOKUP($EE23,_xlfn.ANCHORARRAY( $CP$15), $CR$15:$CU$19))</f>
        <v>-1.5975338842975209E-2</v>
      </c>
      <c r="EO23" s="10" cm="1">
        <f t="array" aca="1" ref="EO23" ca="1">DQ23-_xlfn.XLOOKUP(EO$13,_xlfn.ANCHORARRAY( $CR$14), _xlfn.XLOOKUP($ED23,_xlfn.ANCHORARRAY( $CP$15), $CR$15:$CU$19)) * _xlfn.XLOOKUP(EO$14,_xlfn.ANCHORARRAY( $CR$14), _xlfn.XLOOKUP($EE23,_xlfn.ANCHORARRAY( $CP$15), $CR$15:$CU$19))</f>
        <v>-1.5975338842975209E-2</v>
      </c>
      <c r="EP23" s="10" cm="1">
        <f t="array" aca="1" ref="EP23" ca="1">DR23-_xlfn.XLOOKUP(EP$13,_xlfn.ANCHORARRAY( $CR$14), _xlfn.XLOOKUP($ED23,_xlfn.ANCHORARRAY( $CP$15), $CR$15:$CU$19)) * _xlfn.XLOOKUP(EP$14,_xlfn.ANCHORARRAY( $CR$14), _xlfn.XLOOKUP($EE23,_xlfn.ANCHORARRAY( $CP$15), $CR$15:$CU$19))</f>
        <v>2.3963008264462821E-2</v>
      </c>
      <c r="EQ23" s="10" cm="1">
        <f t="array" aca="1" ref="EQ23" ca="1">DS23-_xlfn.XLOOKUP(EQ$13,_xlfn.ANCHORARRAY( $CR$14), _xlfn.XLOOKUP($ED23,_xlfn.ANCHORARRAY( $CP$15), $CR$15:$CU$19)) * _xlfn.XLOOKUP(EQ$14,_xlfn.ANCHORARRAY( $CR$14), _xlfn.XLOOKUP($EE23,_xlfn.ANCHORARRAY( $CP$15), $CR$15:$CU$19))</f>
        <v>7.8818512396694324E-3</v>
      </c>
      <c r="ER23" s="10" cm="1">
        <f t="array" aca="1" ref="ER23" ca="1">DT23-_xlfn.XLOOKUP(ER$13,_xlfn.ANCHORARRAY( $CR$14), _xlfn.XLOOKUP($ED23,_xlfn.ANCHORARRAY( $CP$15), $CR$15:$CU$19)) * _xlfn.XLOOKUP(ER$14,_xlfn.ANCHORARRAY( $CR$14), _xlfn.XLOOKUP($EE23,_xlfn.ANCHORARRAY( $CP$15), $CR$15:$CU$19))</f>
        <v>-1.5975338842975209E-2</v>
      </c>
      <c r="ES23" s="10" cm="1">
        <f t="array" aca="1" ref="ES23" ca="1">DU23-_xlfn.XLOOKUP(ES$13,_xlfn.ANCHORARRAY( $CR$14), _xlfn.XLOOKUP($ED23,_xlfn.ANCHORARRAY( $CP$15), $CR$15:$CU$19)) * _xlfn.XLOOKUP(ES$14,_xlfn.ANCHORARRAY( $CR$14), _xlfn.XLOOKUP($EE23,_xlfn.ANCHORARRAY( $CP$15), $CR$15:$CU$19))</f>
        <v>-1.5975338842975209E-2</v>
      </c>
      <c r="ET23" s="10" cm="1">
        <f t="array" aca="1" ref="ET23" ca="1">DV23-_xlfn.XLOOKUP(ET$13,_xlfn.ANCHORARRAY( $CR$14), _xlfn.XLOOKUP($ED23,_xlfn.ANCHORARRAY( $CP$15), $CR$15:$CU$19)) * _xlfn.XLOOKUP(ET$14,_xlfn.ANCHORARRAY( $CR$14), _xlfn.XLOOKUP($EE23,_xlfn.ANCHORARRAY( $CP$15), $CR$15:$CU$19))</f>
        <v>2.3963008264462821E-2</v>
      </c>
      <c r="EU23" s="10" cm="1">
        <f t="array" aca="1" ref="EU23" ca="1">DW23-_xlfn.XLOOKUP(EU$13,_xlfn.ANCHORARRAY( $CR$14), _xlfn.XLOOKUP($ED23,_xlfn.ANCHORARRAY( $CP$15), $CR$15:$CU$19)) * _xlfn.XLOOKUP(EU$14,_xlfn.ANCHORARRAY( $CR$14), _xlfn.XLOOKUP($EE23,_xlfn.ANCHORARRAY( $CP$15), $CR$15:$CU$19))</f>
        <v>7.8818512396694324E-3</v>
      </c>
      <c r="EZ23" cm="1">
        <f t="array" aca="1" ref="EZ23" ca="1">INDEX(_xlfn.ANCHORARRAY($CP$15), 1 + INT((ROWS($DG$15:$DG23) - 1) / ROWS(_xlfn.ANCHORARRAY($CP$15))))</f>
        <v>1</v>
      </c>
      <c r="FA23" cm="1">
        <f t="array" aca="1" ref="FA23" ca="1">INDEX(_xlfn.ANCHORARRAY($CP$15),1+MOD(ROWS($DG$15:$DG23)-1,ROWS(_xlfn.ANCHORARRAY($CP$15))))</f>
        <v>3</v>
      </c>
      <c r="FB23" s="10" cm="1">
        <f t="array" aca="1" ref="FB23" ca="1">EF23 * _xlfn.XLOOKUP(FB$13,_xlfn.ANCHORARRAY( $CZ$29), _xlfn.XLOOKUP($EZ23,_xlfn.ANCHORARRAY( $CY$30), $CZ$30:$DC$34)) * _xlfn.XLOOKUP(FB$14,_xlfn.ANCHORARRAY( $CZ$29), _xlfn.XLOOKUP($FA23,_xlfn.ANCHORARRAY( $CY$30), $CZ$30:$DC$34))</f>
        <v>3.0197587170288412E-3</v>
      </c>
      <c r="FC23" s="10" cm="1">
        <f t="array" aca="1" ref="FC23" ca="1">EG23 * _xlfn.XLOOKUP(FC$13,_xlfn.ANCHORARRAY( $CZ$29), _xlfn.XLOOKUP($EZ23,_xlfn.ANCHORARRAY( $CY$30), $CZ$30:$DC$34)) * _xlfn.XLOOKUP(FC$14,_xlfn.ANCHORARRAY( $CZ$29), _xlfn.XLOOKUP($FA23,_xlfn.ANCHORARRAY( $CY$30), $CZ$30:$DC$34))</f>
        <v>3.0197587170288412E-3</v>
      </c>
      <c r="FD23" s="10" cm="1">
        <f t="array" aca="1" ref="FD23" ca="1">EH23 * _xlfn.XLOOKUP(FD$13,_xlfn.ANCHORARRAY( $CZ$29), _xlfn.XLOOKUP($EZ23,_xlfn.ANCHORARRAY( $CY$30), $CZ$30:$DC$34)) * _xlfn.XLOOKUP(FD$14,_xlfn.ANCHORARRAY( $CZ$29), _xlfn.XLOOKUP($FA23,_xlfn.ANCHORARRAY( $CY$30), $CZ$30:$DC$34))</f>
        <v>-4.2392792792996057E-4</v>
      </c>
      <c r="FE23" s="10" cm="1">
        <f t="array" aca="1" ref="FE23" ca="1">EI23 * _xlfn.XLOOKUP(FE$13,_xlfn.ANCHORARRAY( $CZ$29), _xlfn.XLOOKUP($EZ23,_xlfn.ANCHORARRAY( $CY$30), $CZ$30:$DC$34)) * _xlfn.XLOOKUP(FE$14,_xlfn.ANCHORARRAY( $CZ$29), _xlfn.XLOOKUP($FA23,_xlfn.ANCHORARRAY( $CY$30), $CZ$30:$DC$34))</f>
        <v>5.3553154384223707E-3</v>
      </c>
      <c r="FF23" s="10" cm="1">
        <f t="array" aca="1" ref="FF23" ca="1">EJ23 * _xlfn.XLOOKUP(FF$13,_xlfn.ANCHORARRAY( $CZ$29), _xlfn.XLOOKUP($EZ23,_xlfn.ANCHORARRAY( $CY$30), $CZ$30:$DC$34)) * _xlfn.XLOOKUP(FF$14,_xlfn.ANCHORARRAY( $CZ$29), _xlfn.XLOOKUP($FA23,_xlfn.ANCHORARRAY( $CY$30), $CZ$30:$DC$34))</f>
        <v>-3.3532489458979249E-2</v>
      </c>
      <c r="FG23" s="10" cm="1">
        <f t="array" aca="1" ref="FG23" ca="1">EK23 * _xlfn.XLOOKUP(FG$13,_xlfn.ANCHORARRAY( $CZ$29), _xlfn.XLOOKUP($EZ23,_xlfn.ANCHORARRAY( $CY$30), $CZ$30:$DC$34)) * _xlfn.XLOOKUP(FG$14,_xlfn.ANCHORARRAY( $CZ$29), _xlfn.XLOOKUP($FA23,_xlfn.ANCHORARRAY( $CY$30), $CZ$30:$DC$34))</f>
        <v>-3.3532489458979249E-2</v>
      </c>
      <c r="FH23" s="10" cm="1">
        <f t="array" aca="1" ref="FH23" ca="1">EL23 * _xlfn.XLOOKUP(FH$13,_xlfn.ANCHORARRAY( $CZ$29), _xlfn.XLOOKUP($EZ23,_xlfn.ANCHORARRAY( $CY$30), $CZ$30:$DC$34)) * _xlfn.XLOOKUP(FH$14,_xlfn.ANCHORARRAY( $CZ$29), _xlfn.XLOOKUP($FA23,_xlfn.ANCHORARRAY( $CY$30), $CZ$30:$DC$34))</f>
        <v>-1.0534652126237219E-2</v>
      </c>
      <c r="FI23" s="10" cm="1">
        <f t="array" aca="1" ref="FI23" ca="1">EM23 * _xlfn.XLOOKUP(FI$13,_xlfn.ANCHORARRAY( $CZ$29), _xlfn.XLOOKUP($EZ23,_xlfn.ANCHORARRAY( $CY$30), $CZ$30:$DC$34)) * _xlfn.XLOOKUP(FI$14,_xlfn.ANCHORARRAY( $CZ$29), _xlfn.XLOOKUP($FA23,_xlfn.ANCHORARRAY( $CY$30), $CZ$30:$DC$34))</f>
        <v>-3.2518253618924298E-2</v>
      </c>
      <c r="FJ23" s="10" cm="1">
        <f t="array" aca="1" ref="FJ23" ca="1">EN23 * _xlfn.XLOOKUP(FJ$13,_xlfn.ANCHORARRAY( $CZ$29), _xlfn.XLOOKUP($EZ23,_xlfn.ANCHORARRAY( $CY$30), $CZ$30:$DC$34)) * _xlfn.XLOOKUP(FJ$14,_xlfn.ANCHORARRAY( $CZ$29), _xlfn.XLOOKUP($FA23,_xlfn.ANCHORARRAY( $CY$30), $CZ$30:$DC$34))</f>
        <v>-7.4780532650518513E-3</v>
      </c>
      <c r="FK23" s="10" cm="1">
        <f t="array" aca="1" ref="FK23" ca="1">EO23 * _xlfn.XLOOKUP(FK$13,_xlfn.ANCHORARRAY( $CZ$29), _xlfn.XLOOKUP($EZ23,_xlfn.ANCHORARRAY( $CY$30), $CZ$30:$DC$34)) * _xlfn.XLOOKUP(FK$14,_xlfn.ANCHORARRAY( $CZ$29), _xlfn.XLOOKUP($FA23,_xlfn.ANCHORARRAY( $CY$30), $CZ$30:$DC$34))</f>
        <v>-7.4780532650518513E-3</v>
      </c>
      <c r="FL23" s="10" cm="1">
        <f t="array" aca="1" ref="FL23" ca="1">EP23 * _xlfn.XLOOKUP(FL$13,_xlfn.ANCHORARRAY( $CZ$29), _xlfn.XLOOKUP($EZ23,_xlfn.ANCHORARRAY( $CY$30), $CZ$30:$DC$34)) * _xlfn.XLOOKUP(FL$14,_xlfn.ANCHORARRAY( $CZ$29), _xlfn.XLOOKUP($FA23,_xlfn.ANCHORARRAY( $CY$30), $CZ$30:$DC$34))</f>
        <v>-4.9848148042895288E-3</v>
      </c>
      <c r="FM23" s="10" cm="1">
        <f t="array" aca="1" ref="FM23" ca="1">EQ23 * _xlfn.XLOOKUP(FM$13,_xlfn.ANCHORARRAY( $CZ$29), _xlfn.XLOOKUP($EZ23,_xlfn.ANCHORARRAY( $CY$30), $CZ$30:$DC$34)) * _xlfn.XLOOKUP(FM$14,_xlfn.ANCHORARRAY( $CZ$29), _xlfn.XLOOKUP($FA23,_xlfn.ANCHORARRAY( $CY$30), $CZ$30:$DC$34))</f>
        <v>-2.8041596602929597E-3</v>
      </c>
      <c r="FN23" s="10" cm="1">
        <f t="array" aca="1" ref="FN23" ca="1">ER23 * _xlfn.XLOOKUP(FN$13,_xlfn.ANCHORARRAY( $CZ$29), _xlfn.XLOOKUP($EZ23,_xlfn.ANCHORARRAY( $CY$30), $CZ$30:$DC$34)) * _xlfn.XLOOKUP(FN$14,_xlfn.ANCHORARRAY( $CZ$29), _xlfn.XLOOKUP($FA23,_xlfn.ANCHORARRAY( $CY$30), $CZ$30:$DC$34))</f>
        <v>-7.4780532650518513E-3</v>
      </c>
      <c r="FO23" s="10" cm="1">
        <f t="array" aca="1" ref="FO23" ca="1">ES23 * _xlfn.XLOOKUP(FO$13,_xlfn.ANCHORARRAY( $CZ$29), _xlfn.XLOOKUP($EZ23,_xlfn.ANCHORARRAY( $CY$30), $CZ$30:$DC$34)) * _xlfn.XLOOKUP(FO$14,_xlfn.ANCHORARRAY( $CZ$29), _xlfn.XLOOKUP($FA23,_xlfn.ANCHORARRAY( $CY$30), $CZ$30:$DC$34))</f>
        <v>-7.4780532650518513E-3</v>
      </c>
      <c r="FP23" s="10" cm="1">
        <f t="array" aca="1" ref="FP23" ca="1">ET23 * _xlfn.XLOOKUP(FP$13,_xlfn.ANCHORARRAY( $CZ$29), _xlfn.XLOOKUP($EZ23,_xlfn.ANCHORARRAY( $CY$30), $CZ$30:$DC$34)) * _xlfn.XLOOKUP(FP$14,_xlfn.ANCHORARRAY( $CZ$29), _xlfn.XLOOKUP($FA23,_xlfn.ANCHORARRAY( $CY$30), $CZ$30:$DC$34))</f>
        <v>-4.9848148042895288E-3</v>
      </c>
      <c r="FQ23" s="10" cm="1">
        <f t="array" aca="1" ref="FQ23" ca="1">EU23 * _xlfn.XLOOKUP(FQ$13,_xlfn.ANCHORARRAY( $CZ$29), _xlfn.XLOOKUP($EZ23,_xlfn.ANCHORARRAY( $CY$30), $CZ$30:$DC$34)) * _xlfn.XLOOKUP(FQ$14,_xlfn.ANCHORARRAY( $CZ$29), _xlfn.XLOOKUP($FA23,_xlfn.ANCHORARRAY( $CY$30), $CZ$30:$DC$34))</f>
        <v>-2.8041596602929597E-3</v>
      </c>
      <c r="FT23" cm="1">
        <f t="array" aca="1" ref="FT23" ca="1">SQRT(SUM((FB23:FQ23)^2))</f>
        <v>6.12656259156521E-2</v>
      </c>
    </row>
    <row r="24" spans="1:176" x14ac:dyDescent="0.2">
      <c r="D24" s="10">
        <f ca="1"/>
        <v>10</v>
      </c>
      <c r="F24" s="10">
        <f ca="1"/>
        <v>0.5</v>
      </c>
      <c r="H24" s="10"/>
      <c r="J24" cm="1">
        <f t="array" aca="1" ref="J24" ca="1">SUMPRODUCT((O24:AJ24=$O$11:$AJ$11)*(O$13:AJ$13=TRUE))  / COUNTIF(O$13:AJ$13,TRUE)</f>
        <v>0.4</v>
      </c>
      <c r="K24" t="b">
        <f t="shared" ca="1" si="3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4"/>
        <v>1</v>
      </c>
      <c r="N24" s="2">
        <v>9</v>
      </c>
      <c r="O24" s="12" t="s">
        <v>1</v>
      </c>
      <c r="P24" s="9" t="s">
        <v>0</v>
      </c>
      <c r="Q24" s="9" t="s">
        <v>1</v>
      </c>
      <c r="R24" s="9" t="s">
        <v>3</v>
      </c>
      <c r="S24" s="9" t="s">
        <v>3</v>
      </c>
      <c r="AK24" s="7"/>
      <c r="AN24">
        <f t="shared" ca="1" si="5"/>
        <v>2</v>
      </c>
      <c r="AO24" s="14">
        <f t="shared" ca="1" si="6"/>
        <v>0.5</v>
      </c>
      <c r="AP24" s="2">
        <f ca="1"/>
        <v>10</v>
      </c>
      <c r="AQ24" cm="1">
        <f t="array" aca="1" ref="AQ24" ca="1">IF($AP24=AQ$14, 1, SUMPRODUCT(
    --(OFFSET($O$13,0,0,1,$B$9)=TRUE),
    --(INDEX(OFFSET($O$15,0,0,$B$8,$B$9), 1+$AP24, 0) = INDEX(OFFSET($O$15,0,0,$B$8,$B$9), 1+AQ$14, 0))
) / $B$13)</f>
        <v>0.4</v>
      </c>
      <c r="AR24" cm="1">
        <f t="array" aca="1" ref="AR24" ca="1">IF($AP24=AR$14, 1, SUMPRODUCT(
    --(OFFSET($O$13,0,0,1,$B$9)=TRUE),
    --(INDEX(OFFSET($O$15,0,0,$B$8,$B$9), 1+$AP24, 0) = INDEX(OFFSET($O$15,0,0,$B$8,$B$9), 1+AR$14, 0))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
) / $B$13)</f>
        <v>0.8</v>
      </c>
      <c r="AT24" cm="1">
        <f t="array" aca="1" ref="AT24" ca="1">IF($AP24=AT$14, 1, SUMPRODUCT(
    --(OFFSET($O$13,0,0,1,$B$9)=TRUE),
    --(INDEX(OFFSET($O$15,0,0,$B$8,$B$9), 1+$AP24, 0) = INDEX(OFFSET($O$15,0,0,$B$8,$B$9), 1+AT$14, 0))
) / $B$13)</f>
        <v>0</v>
      </c>
      <c r="AU24" cm="1">
        <f t="array" aca="1" ref="AU24" ca="1">IF($AP24=AU$14, 1, SUMPRODUCT(
    --(OFFSET($O$13,0,0,1,$B$9)=TRUE),
    --(INDEX(OFFSET($O$15,0,0,$B$8,$B$9), 1+$AP24, 0) = INDEX(OFFSET($O$15,0,0,$B$8,$B$9), 1+AU$14, 0))
) / $B$13)</f>
        <v>0</v>
      </c>
      <c r="AV24" cm="1">
        <f t="array" aca="1" ref="AV24" ca="1">IF($AP24=AV$14, 1, SUMPRODUCT(
    --(OFFSET($O$13,0,0,1,$B$9)=TRUE),
    --(INDEX(OFFSET($O$15,0,0,$B$8,$B$9), 1+$AP24, 0) = INDEX(OFFSET($O$15,0,0,$B$8,$B$9), 1+AV$14, 0))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
) / $B$13)</f>
        <v>0</v>
      </c>
      <c r="AX24" cm="1">
        <f t="array" aca="1" ref="AX24" ca="1">IF($AP24=AX$14, 1, SUMPRODUCT(
    --(OFFSET($O$13,0,0,1,$B$9)=TRUE),
    --(INDEX(OFFSET($O$15,0,0,$B$8,$B$9), 1+$AP24, 0) = INDEX(OFFSET($O$15,0,0,$B$8,$B$9), 1+AX$14, 0))
) / $B$13)</f>
        <v>0.6</v>
      </c>
      <c r="AY24" cm="1">
        <f t="array" aca="1" ref="AY24" ca="1">IF($AP24=AY$14, 1, SUMPRODUCT(
    --(OFFSET($O$13,0,0,1,$B$9)=TRUE),
    --(INDEX(OFFSET($O$15,0,0,$B$8,$B$9), 1+$AP24, 0) = INDEX(OFFSET($O$15,0,0,$B$8,$B$9), 1+AY$14, 0))
) / $B$13)</f>
        <v>0.6</v>
      </c>
      <c r="AZ24" cm="1">
        <f t="array" aca="1" ref="AZ24" ca="1">IF($AP24=AZ$14, 1, SUMPRODUCT(
    --(OFFSET($O$13,0,0,1,$B$9)=TRUE),
    --(INDEX(OFFSET($O$15,0,0,$B$8,$B$9), 1+$AP24, 0) = INDEX(OFFSET($O$15,0,0,$B$8,$B$9), 1+AZ$14, 0))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
) / $B$13)</f>
        <v>0.6</v>
      </c>
      <c r="BB24" cm="1">
        <f t="array" aca="1" ref="BB24" ca="1">IF($AP24=BB$14, 1, SUMPRODUCT(
    --(OFFSET($O$13,0,0,1,$B$9)=TRUE),
    --(INDEX(OFFSET($O$15,0,0,$B$8,$B$9), 1+$AP24, 0) = INDEX(OFFSET($O$15,0,0,$B$8,$B$9), 1+BB$14, 0))
) / $B$13)</f>
        <v>0</v>
      </c>
      <c r="BC24" cm="1">
        <f t="array" aca="1" ref="BC24" ca="1">IF($AP24=BC$14, 1, SUMPRODUCT(
    --(OFFSET($O$13,0,0,1,$B$9)=TRUE),
    --(INDEX(OFFSET($O$15,0,0,$B$8,$B$9), 1+$AP24, 0) = INDEX(OFFSET($O$15,0,0,$B$8,$B$9), 1+BC$14, 0))
) / $B$13)</f>
        <v>0</v>
      </c>
      <c r="BD24" cm="1">
        <f t="array" aca="1" ref="BD24" ca="1">IF($AP24=BD$14, 1, SUMPRODUCT(
    --(OFFSET($O$13,0,0,1,$B$9)=TRUE),
    --(INDEX(OFFSET($O$15,0,0,$B$8,$B$9), 1+$AP24, 0) = INDEX(OFFSET($O$15,0,0,$B$8,$B$9), 1+BD$14, 0))
) / $B$13)</f>
        <v>0.4</v>
      </c>
      <c r="BE24" cm="1">
        <f t="array" aca="1" ref="BE24" ca="1">IF($AP24=BE$14, 1, SUMPRODUCT(
    --(OFFSET($O$13,0,0,1,$B$9)=TRUE),
    --(INDEX(OFFSET($O$15,0,0,$B$8,$B$9), 1+$AP24, 0) = INDEX(OFFSET($O$15,0,0,$B$8,$B$9), 1+BE$14, 0))
) / $B$13)</f>
        <v>0</v>
      </c>
      <c r="BF24" cm="1">
        <f t="array" aca="1" ref="BF24" ca="1">IF($AP24=BF$14, 1, SUMPRODUCT(
    --(OFFSET($O$13,0,0,1,$B$9)=TRUE),
    --(INDEX(OFFSET($O$15,0,0,$B$8,$B$9), 1+$AP24, 0) = INDEX(OFFSET($O$15,0,0,$B$8,$B$9), 1+BF$14, 0))
) / $B$13)</f>
        <v>0</v>
      </c>
      <c r="BG24" cm="1">
        <f t="array" aca="1" ref="BG24" ca="1">IF($AP24=BG$14, 1, SUMPRODUCT(
    --(OFFSET($O$13,0,0,1,$B$9)=TRUE),
    --(INDEX(OFFSET($O$15,0,0,$B$8,$B$9), 1+$AP24, 0) = INDEX(OFFSET($O$15,0,0,$B$8,$B$9), 1+BG$14, 0))
) / $B$13)</f>
        <v>0.2</v>
      </c>
      <c r="BH24" cm="1">
        <f t="array" aca="1" ref="BH24" ca="1">IF($AP24=BH$14, 1, SUMPRODUCT(
    --(OFFSET($O$13,0,0,1,$B$9)=TRUE),
    --(INDEX(OFFSET($O$15,0,0,$B$8,$B$9), 1+$AP24, 0) = INDEX(OFFSET($O$15,0,0,$B$8,$B$9), 1+BH$14, 0))
) / $B$13)</f>
        <v>0</v>
      </c>
      <c r="BI24" cm="1">
        <f t="array" aca="1" ref="BI24" ca="1">IF($AP24=BI$14, 1, SUMPRODUCT(
    --(OFFSET($O$13,0,0,1,$B$9)=TRUE),
    --(INDEX(OFFSET($O$15,0,0,$B$8,$B$9), 1+$AP24, 0) = INDEX(OFFSET($O$15,0,0,$B$8,$B$9), 1+BI$14, 0))
) / $B$13)</f>
        <v>0.4</v>
      </c>
      <c r="BJ24" cm="1">
        <f t="array" aca="1" ref="BJ24" ca="1">IF($AP24=BJ$14, 1, SUMPRODUCT(
    --(OFFSET($O$13,0,0,1,$B$9)=TRUE),
    --(INDEX(OFFSET($O$15,0,0,$B$8,$B$9), 1+$AP24, 0) = INDEX(OFFSET($O$15,0,0,$B$8,$B$9), 1+BJ$14, 0))
) / $B$13)</f>
        <v>0.2</v>
      </c>
      <c r="BN24">
        <f t="shared" ca="1" si="7"/>
        <v>2</v>
      </c>
      <c r="BO24" s="14">
        <f t="shared" ca="1" si="8"/>
        <v>0.5</v>
      </c>
      <c r="BP24" s="2">
        <f ca="1"/>
        <v>10</v>
      </c>
      <c r="BQ24" cm="1">
        <f t="array" aca="1" ref="BQ24" ca="1">IF($BP24=BQ$14, 1, SUMPRODUCT(
    --(OFFSET($O$9,0,0,1,$B$9)=TRUE),
    --(INDEX(OFFSET($O$15,0,0,$B$8,$B$9), 1+$BP24, 0) = INDEX(OFFSET($O$15,0,0,$B$8,$B$9), 1+BQ$14, 0))
) / $B$16)</f>
        <v>0.4</v>
      </c>
      <c r="BR24" cm="1">
        <f t="array" aca="1" ref="BR24" ca="1">IF($BP24=BR$14, 1, SUMPRODUCT(
    --(OFFSET($O$9,0,0,1,$B$9)=TRUE),
    --(INDEX(OFFSET($O$15,0,0,$B$8,$B$9), 1+$BP24, 0) = INDEX(OFFSET($O$15,0,0,$B$8,$B$9), 1+BR$14, 0))
) / $B$16)</f>
        <v>0.4</v>
      </c>
      <c r="BS24" cm="1">
        <f t="array" aca="1" ref="BS24" ca="1">IF($BP24=BS$14, 1, SUMPRODUCT(
    --(OFFSET($O$9,0,0,1,$B$9)=TRUE),
    --(INDEX(OFFSET($O$15,0,0,$B$8,$B$9), 1+$BP24, 0) = INDEX(OFFSET($O$15,0,0,$B$8,$B$9), 1+BS$14, 0))
) / $B$16)</f>
        <v>0.8</v>
      </c>
      <c r="BT24" cm="1">
        <f t="array" aca="1" ref="BT24" ca="1">IF($BP24=BT$14, 1, SUMPRODUCT(
    --(OFFSET($O$9,0,0,1,$B$9)=TRUE),
    --(INDEX(OFFSET($O$15,0,0,$B$8,$B$9), 1+$BP24, 0) = INDEX(OFFSET($O$15,0,0,$B$8,$B$9), 1+BT$14, 0))
) / $B$16)</f>
        <v>0</v>
      </c>
      <c r="BU24" cm="1">
        <f t="array" aca="1" ref="BU24" ca="1">IF($BP24=BU$14, 1, SUMPRODUCT(
    --(OFFSET($O$9,0,0,1,$B$9)=TRUE),
    --(INDEX(OFFSET($O$15,0,0,$B$8,$B$9), 1+$BP24, 0) = INDEX(OFFSET($O$15,0,0,$B$8,$B$9), 1+BU$14, 0))
) / $B$16)</f>
        <v>0</v>
      </c>
      <c r="BV24" cm="1">
        <f t="array" aca="1" ref="BV24" ca="1">IF($BP24=BV$14, 1, SUMPRODUCT(
    --(OFFSET($O$9,0,0,1,$B$9)=TRUE),
    --(INDEX(OFFSET($O$15,0,0,$B$8,$B$9), 1+$BP24, 0) = INDEX(OFFSET($O$15,0,0,$B$8,$B$9), 1+BV$14, 0))
) / $B$16)</f>
        <v>0.4</v>
      </c>
      <c r="BW24" cm="1">
        <f t="array" aca="1" ref="BW24" ca="1">IF($BP24=BW$14, 1, SUMPRODUCT(
    --(OFFSET($O$9,0,0,1,$B$9)=TRUE),
    --(INDEX(OFFSET($O$15,0,0,$B$8,$B$9), 1+$BP24, 0) = INDEX(OFFSET($O$15,0,0,$B$8,$B$9), 1+BW$14, 0))
) / $B$16)</f>
        <v>0</v>
      </c>
      <c r="BX24" cm="1">
        <f t="array" aca="1" ref="BX24" ca="1">IF($BP24=BX$14, 1, SUMPRODUCT(
    --(OFFSET($O$9,0,0,1,$B$9)=TRUE),
    --(INDEX(OFFSET($O$15,0,0,$B$8,$B$9), 1+$BP24, 0) = INDEX(OFFSET($O$15,0,0,$B$8,$B$9), 1+BX$14, 0))
) / $B$16)</f>
        <v>0.6</v>
      </c>
      <c r="BY24" cm="1">
        <f t="array" aca="1" ref="BY24" ca="1">IF($BP24=BY$14, 1, SUMPRODUCT(
    --(OFFSET($O$9,0,0,1,$B$9)=TRUE),
    --(INDEX(OFFSET($O$15,0,0,$B$8,$B$9), 1+$BP24, 0) = INDEX(OFFSET($O$15,0,0,$B$8,$B$9), 1+BY$14, 0))
) / $B$16)</f>
        <v>0.6</v>
      </c>
      <c r="BZ24" cm="1">
        <f t="array" aca="1" ref="BZ24" ca="1">IF($BP24=BZ$14, 1, SUMPRODUCT(
    --(OFFSET($O$9,0,0,1,$B$9)=TRUE),
    --(INDEX(OFFSET($O$15,0,0,$B$8,$B$9), 1+$BP24, 0) = INDEX(OFFSET($O$15,0,0,$B$8,$B$9), 1+BZ$14, 0))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
) / $B$16)</f>
        <v>0.6</v>
      </c>
      <c r="CB24" cm="1">
        <f t="array" aca="1" ref="CB24" ca="1">IF($BP24=CB$14, 1, SUMPRODUCT(
    --(OFFSET($O$9,0,0,1,$B$9)=TRUE),
    --(INDEX(OFFSET($O$15,0,0,$B$8,$B$9), 1+$BP24, 0) = INDEX(OFFSET($O$15,0,0,$B$8,$B$9), 1+CB$14, 0))
) / $B$16)</f>
        <v>0</v>
      </c>
      <c r="CC24" cm="1">
        <f t="array" aca="1" ref="CC24" ca="1">IF($BP24=CC$14, 1, SUMPRODUCT(
    --(OFFSET($O$9,0,0,1,$B$9)=TRUE),
    --(INDEX(OFFSET($O$15,0,0,$B$8,$B$9), 1+$BP24, 0) = INDEX(OFFSET($O$15,0,0,$B$8,$B$9), 1+CC$14, 0))
) / $B$16)</f>
        <v>0</v>
      </c>
      <c r="CD24" cm="1">
        <f t="array" aca="1" ref="CD24" ca="1">IF($BP24=CD$14, 1, SUMPRODUCT(
    --(OFFSET($O$9,0,0,1,$B$9)=TRUE),
    --(INDEX(OFFSET($O$15,0,0,$B$8,$B$9), 1+$BP24, 0) = INDEX(OFFSET($O$15,0,0,$B$8,$B$9), 1+CD$14, 0))
) / $B$16)</f>
        <v>0.4</v>
      </c>
      <c r="CE24" cm="1">
        <f t="array" aca="1" ref="CE24" ca="1">IF($BP24=CE$14, 1, SUMPRODUCT(
    --(OFFSET($O$9,0,0,1,$B$9)=TRUE),
    --(INDEX(OFFSET($O$15,0,0,$B$8,$B$9), 1+$BP24, 0) = INDEX(OFFSET($O$15,0,0,$B$8,$B$9), 1+CE$14, 0))
) / $B$16)</f>
        <v>0</v>
      </c>
      <c r="CF24" cm="1">
        <f t="array" aca="1" ref="CF24" ca="1">IF($BP24=CF$14, 1, SUMPRODUCT(
    --(OFFSET($O$9,0,0,1,$B$9)=TRUE),
    --(INDEX(OFFSET($O$15,0,0,$B$8,$B$9), 1+$BP24, 0) = INDEX(OFFSET($O$15,0,0,$B$8,$B$9), 1+CF$14, 0))
) / $B$16)</f>
        <v>0</v>
      </c>
      <c r="CG24" cm="1">
        <f t="array" aca="1" ref="CG24" ca="1">IF($BP24=CG$14, 1, SUMPRODUCT(
    --(OFFSET($O$9,0,0,1,$B$9)=TRUE),
    --(INDEX(OFFSET($O$15,0,0,$B$8,$B$9), 1+$BP24, 0) = INDEX(OFFSET($O$15,0,0,$B$8,$B$9), 1+CG$14, 0))
) / $B$16)</f>
        <v>0.2</v>
      </c>
      <c r="CH24" cm="1">
        <f t="array" aca="1" ref="CH24" ca="1">IF($BP24=CH$14, 1, SUMPRODUCT(
    --(OFFSET($O$9,0,0,1,$B$9)=TRUE),
    --(INDEX(OFFSET($O$15,0,0,$B$8,$B$9), 1+$BP24, 0) = INDEX(OFFSET($O$15,0,0,$B$8,$B$9), 1+CH$14, 0))
) / $B$16)</f>
        <v>0</v>
      </c>
      <c r="CI24" cm="1">
        <f t="array" aca="1" ref="CI24" ca="1">IF($BP24=CI$14, 1, SUMPRODUCT(
    --(OFFSET($O$9,0,0,1,$B$9)=TRUE),
    --(INDEX(OFFSET($O$15,0,0,$B$8,$B$9), 1+$BP24, 0) = INDEX(OFFSET($O$15,0,0,$B$8,$B$9), 1+CI$14, 0))
) / $B$16)</f>
        <v>0.4</v>
      </c>
      <c r="CJ24" cm="1">
        <f t="array" aca="1" ref="CJ24" ca="1">IF($BP24=CJ$14, 1, SUMPRODUCT(
    --(OFFSET($O$9,0,0,1,$B$9)=TRUE),
    --(INDEX(OFFSET($O$15,0,0,$B$8,$B$9), 1+$BP24, 0) = INDEX(OFFSET($O$15,0,0,$B$8,$B$9), 1+CJ$14, 0))
) / $B$16)</f>
        <v>0.2</v>
      </c>
      <c r="DF24" cm="1">
        <f t="array" aca="1" ref="DF24" ca="1">INDEX(_xlfn.ANCHORARRAY($CP$15), 1 + INT((ROWS($DG$15:$DG24) - 1) / ROWS(_xlfn.ANCHORARRAY($CP$15))))</f>
        <v>1</v>
      </c>
      <c r="DG24" cm="1">
        <f t="array" aca="1" ref="DG24" ca="1">INDEX(_xlfn.ANCHORARRAY($CP$15),1+MOD(ROWS($DG$15:$DG24)-1,ROWS(_xlfn.ANCHORARRAY($CP$15))))</f>
        <v>4</v>
      </c>
      <c r="DH24" s="10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$B$18/($B$19*$B$19*($DF24&lt;&gt;$DG24) + $B$19*($DF24=$DG24))</f>
        <v>1.1999999999999999E-3</v>
      </c>
      <c r="DI24" s="10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$B$18/($B$19*$B$19*($DF24&lt;&gt;$DG24) + $B$19*($DF24=$DG24))</f>
        <v>8.9381818181818187E-2</v>
      </c>
      <c r="DJ24" s="10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$B$18/($B$19*$B$19*($DF24&lt;&gt;$DG24) + $B$19*($DF24=$DG24))</f>
        <v>8.9381818181818187E-2</v>
      </c>
      <c r="DK24" s="10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$B$18/($B$19*$B$19*($DF24&lt;&gt;$DG24) + $B$19*($DF24=$DG24))</f>
        <v>8.9381818181818187E-2</v>
      </c>
      <c r="DL24" s="10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$B$18/($B$19*$B$19*($DF24&lt;&gt;$DG24) + $B$19*($DF24=$DG24))</f>
        <v>8.9381818181818187E-2</v>
      </c>
      <c r="DM24" s="10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$B$18/($B$19*$B$19*($DF24&lt;&gt;$DG24) + $B$19*($DF24=$DG24))</f>
        <v>8.9381818181818187E-2</v>
      </c>
      <c r="DN24" s="10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$B$18/($B$19*$B$19*($DF24&lt;&gt;$DG24) + $B$19*($DF24=$DG24))</f>
        <v>8.9381818181818187E-2</v>
      </c>
      <c r="DO24" s="10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$B$18/($B$19*$B$19*($DF24&lt;&gt;$DG24) + $B$19*($DF24=$DG24))</f>
        <v>8.9381818181818187E-2</v>
      </c>
      <c r="DP24" s="10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$B$18/($B$19*$B$19*($DF24&lt;&gt;$DG24) + $B$19*($DF24=$DG24))</f>
        <v>1.1999999999999999E-3</v>
      </c>
      <c r="DQ24" s="10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$B$18/($B$19*$B$19*($DF24&lt;&gt;$DG24) + $B$19*($DF24=$DG24))</f>
        <v>1.1999999999999999E-3</v>
      </c>
      <c r="DR24" s="10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$B$18/($B$19*$B$19*($DF24&lt;&gt;$DG24) + $B$19*($DF24=$DG24))</f>
        <v>8.9381818181818187E-2</v>
      </c>
      <c r="DS24" s="10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$B$18/($B$19*$B$19*($DF24&lt;&gt;$DG24) + $B$19*($DF24=$DG24))</f>
        <v>8.9381818181818187E-2</v>
      </c>
      <c r="DT24" s="10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$B$18/($B$19*$B$19*($DF24&lt;&gt;$DG24) + $B$19*($DF24=$DG24))</f>
        <v>1.1999999999999999E-3</v>
      </c>
      <c r="DU24" s="10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$B$18/($B$19*$B$19*($DF24&lt;&gt;$DG24) + $B$19*($DF24=$DG24))</f>
        <v>1.1999999999999999E-3</v>
      </c>
      <c r="DV24" s="10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$B$18/($B$19*$B$19*($DF24&lt;&gt;$DG24) + $B$19*($DF24=$DG24))</f>
        <v>8.9381818181818187E-2</v>
      </c>
      <c r="DW24" s="10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$B$18/($B$19*$B$19*($DF24&lt;&gt;$DG24) + $B$19*($DF24=$DG24))</f>
        <v>8.9381818181818187E-2</v>
      </c>
      <c r="ED24" cm="1">
        <f t="array" aca="1" ref="ED24" ca="1">INDEX(_xlfn.ANCHORARRAY($CP$15), 1 + INT((ROWS($DG$15:$DG24) - 1) / ROWS(_xlfn.ANCHORARRAY($CP$15))))</f>
        <v>1</v>
      </c>
      <c r="EE24" cm="1">
        <f t="array" aca="1" ref="EE24" ca="1">INDEX(_xlfn.ANCHORARRAY($CP$15),1+MOD(ROWS($DG$15:$DG24)-1,ROWS(_xlfn.ANCHORARRAY($CP$15))))</f>
        <v>4</v>
      </c>
      <c r="EF24" s="10" cm="1">
        <f t="array" aca="1" ref="EF24" ca="1">DH24-_xlfn.XLOOKUP(EF$13,_xlfn.ANCHORARRAY( $CR$14), _xlfn.XLOOKUP($ED24,_xlfn.ANCHORARRAY( $CP$15), $CR$15:$CU$19)) * _xlfn.XLOOKUP(EF$14,_xlfn.ANCHORARRAY( $CR$14), _xlfn.XLOOKUP($EE24,_xlfn.ANCHORARRAY( $CP$15), $CR$15:$CU$19))</f>
        <v>-2.4280462809917362E-2</v>
      </c>
      <c r="EG24" s="10" cm="1">
        <f t="array" aca="1" ref="EG24" ca="1">DI24-_xlfn.XLOOKUP(EG$13,_xlfn.ANCHORARRAY( $CR$14), _xlfn.XLOOKUP($ED24,_xlfn.ANCHORARRAY( $CP$15), $CR$15:$CU$19)) * _xlfn.XLOOKUP(EG$14,_xlfn.ANCHORARRAY( $CR$14), _xlfn.XLOOKUP($EE24,_xlfn.ANCHORARRAY( $CP$15), $CR$15:$CU$19))</f>
        <v>4.0044165289256195E-2</v>
      </c>
      <c r="EH24" s="10" cm="1">
        <f t="array" aca="1" ref="EH24" ca="1">DJ24-_xlfn.XLOOKUP(EH$13,_xlfn.ANCHORARRAY( $CR$14), _xlfn.XLOOKUP($ED24,_xlfn.ANCHORARRAY( $CP$15), $CR$15:$CU$19)) * _xlfn.XLOOKUP(EH$14,_xlfn.ANCHORARRAY( $CR$14), _xlfn.XLOOKUP($EE24,_xlfn.ANCHORARRAY( $CP$15), $CR$15:$CU$19))</f>
        <v>-7.6702148760330741E-3</v>
      </c>
      <c r="EI24" s="10" cm="1">
        <f t="array" aca="1" ref="EI24" ca="1">DK24-_xlfn.XLOOKUP(EI$13,_xlfn.ANCHORARRAY( $CR$14), _xlfn.XLOOKUP($ED24,_xlfn.ANCHORARRAY( $CP$15), $CR$15:$CU$19)) * _xlfn.XLOOKUP(EI$14,_xlfn.ANCHORARRAY( $CR$14), _xlfn.XLOOKUP($EE24,_xlfn.ANCHORARRAY( $CP$15), $CR$15:$CU$19))</f>
        <v>-7.6702148760330741E-3</v>
      </c>
      <c r="EJ24" s="10" cm="1">
        <f t="array" aca="1" ref="EJ24" ca="1">DL24-_xlfn.XLOOKUP(EJ$13,_xlfn.ANCHORARRAY( $CR$14), _xlfn.XLOOKUP($ED24,_xlfn.ANCHORARRAY( $CP$15), $CR$15:$CU$19)) * _xlfn.XLOOKUP(EJ$14,_xlfn.ANCHORARRAY( $CR$14), _xlfn.XLOOKUP($EE24,_xlfn.ANCHORARRAY( $CP$15), $CR$15:$CU$19))</f>
        <v>5.5596231404958681E-2</v>
      </c>
      <c r="EK24" s="10" cm="1">
        <f t="array" aca="1" ref="EK24" ca="1">DM24-_xlfn.XLOOKUP(EK$13,_xlfn.ANCHORARRAY( $CR$14), _xlfn.XLOOKUP($ED24,_xlfn.ANCHORARRAY( $CP$15), $CR$15:$CU$19)) * _xlfn.XLOOKUP(EK$14,_xlfn.ANCHORARRAY( $CR$14), _xlfn.XLOOKUP($EE24,_xlfn.ANCHORARRAY( $CP$15), $CR$15:$CU$19))</f>
        <v>2.3963008264462821E-2</v>
      </c>
      <c r="EL24" s="10" cm="1">
        <f t="array" aca="1" ref="EL24" ca="1">DN24-_xlfn.XLOOKUP(EL$13,_xlfn.ANCHORARRAY( $CR$14), _xlfn.XLOOKUP($ED24,_xlfn.ANCHORARRAY( $CP$15), $CR$15:$CU$19)) * _xlfn.XLOOKUP(EL$14,_xlfn.ANCHORARRAY( $CR$14), _xlfn.XLOOKUP($EE24,_xlfn.ANCHORARRAY( $CP$15), $CR$15:$CU$19))</f>
        <v>-3.9303438016528927E-2</v>
      </c>
      <c r="EM24" s="10" cm="1">
        <f t="array" aca="1" ref="EM24" ca="1">DO24-_xlfn.XLOOKUP(EM$13,_xlfn.ANCHORARRAY( $CR$14), _xlfn.XLOOKUP($ED24,_xlfn.ANCHORARRAY( $CP$15), $CR$15:$CU$19)) * _xlfn.XLOOKUP(EM$14,_xlfn.ANCHORARRAY( $CR$14), _xlfn.XLOOKUP($EE24,_xlfn.ANCHORARRAY( $CP$15), $CR$15:$CU$19))</f>
        <v>-3.9303438016528927E-2</v>
      </c>
      <c r="EN24" s="10" cm="1">
        <f t="array" aca="1" ref="EN24" ca="1">DP24-_xlfn.XLOOKUP(EN$13,_xlfn.ANCHORARRAY( $CR$14), _xlfn.XLOOKUP($ED24,_xlfn.ANCHORARRAY( $CP$15), $CR$15:$CU$19)) * _xlfn.XLOOKUP(EN$14,_xlfn.ANCHORARRAY( $CR$14), _xlfn.XLOOKUP($EE24,_xlfn.ANCHORARRAY( $CP$15), $CR$15:$CU$19))</f>
        <v>-1.5975338842975209E-2</v>
      </c>
      <c r="EO24" s="10" cm="1">
        <f t="array" aca="1" ref="EO24" ca="1">DQ24-_xlfn.XLOOKUP(EO$13,_xlfn.ANCHORARRAY( $CR$14), _xlfn.XLOOKUP($ED24,_xlfn.ANCHORARRAY( $CP$15), $CR$15:$CU$19)) * _xlfn.XLOOKUP(EO$14,_xlfn.ANCHORARRAY( $CR$14), _xlfn.XLOOKUP($EE24,_xlfn.ANCHORARRAY( $CP$15), $CR$15:$CU$19))</f>
        <v>-3.2056495867768597E-2</v>
      </c>
      <c r="EP24" s="10" cm="1">
        <f t="array" aca="1" ref="EP24" ca="1">DR24-_xlfn.XLOOKUP(EP$13,_xlfn.ANCHORARRAY( $CR$14), _xlfn.XLOOKUP($ED24,_xlfn.ANCHORARRAY( $CP$15), $CR$15:$CU$19)) * _xlfn.XLOOKUP(EP$14,_xlfn.ANCHORARRAY( $CR$14), _xlfn.XLOOKUP($EE24,_xlfn.ANCHORARRAY( $CP$15), $CR$15:$CU$19))</f>
        <v>2.3963008264462821E-2</v>
      </c>
      <c r="EQ24" s="10" cm="1">
        <f t="array" aca="1" ref="EQ24" ca="1">DS24-_xlfn.XLOOKUP(EQ$13,_xlfn.ANCHORARRAY( $CR$14), _xlfn.XLOOKUP($ED24,_xlfn.ANCHORARRAY( $CP$15), $CR$15:$CU$19)) * _xlfn.XLOOKUP(EQ$14,_xlfn.ANCHORARRAY( $CR$14), _xlfn.XLOOKUP($EE24,_xlfn.ANCHORARRAY( $CP$15), $CR$15:$CU$19))</f>
        <v>2.3963008264462821E-2</v>
      </c>
      <c r="ER24" s="10" cm="1">
        <f t="array" aca="1" ref="ER24" ca="1">DT24-_xlfn.XLOOKUP(ER$13,_xlfn.ANCHORARRAY( $CR$14), _xlfn.XLOOKUP($ED24,_xlfn.ANCHORARRAY( $CP$15), $CR$15:$CU$19)) * _xlfn.XLOOKUP(ER$14,_xlfn.ANCHORARRAY( $CR$14), _xlfn.XLOOKUP($EE24,_xlfn.ANCHORARRAY( $CP$15), $CR$15:$CU$19))</f>
        <v>-1.5975338842975209E-2</v>
      </c>
      <c r="ES24" s="10" cm="1">
        <f t="array" aca="1" ref="ES24" ca="1">DU24-_xlfn.XLOOKUP(ES$13,_xlfn.ANCHORARRAY( $CR$14), _xlfn.XLOOKUP($ED24,_xlfn.ANCHORARRAY( $CP$15), $CR$15:$CU$19)) * _xlfn.XLOOKUP(ES$14,_xlfn.ANCHORARRAY( $CR$14), _xlfn.XLOOKUP($EE24,_xlfn.ANCHORARRAY( $CP$15), $CR$15:$CU$19))</f>
        <v>-3.2056495867768597E-2</v>
      </c>
      <c r="ET24" s="10" cm="1">
        <f t="array" aca="1" ref="ET24" ca="1">DV24-_xlfn.XLOOKUP(ET$13,_xlfn.ANCHORARRAY( $CR$14), _xlfn.XLOOKUP($ED24,_xlfn.ANCHORARRAY( $CP$15), $CR$15:$CU$19)) * _xlfn.XLOOKUP(ET$14,_xlfn.ANCHORARRAY( $CR$14), _xlfn.XLOOKUP($EE24,_xlfn.ANCHORARRAY( $CP$15), $CR$15:$CU$19))</f>
        <v>2.3963008264462821E-2</v>
      </c>
      <c r="EU24" s="10" cm="1">
        <f t="array" aca="1" ref="EU24" ca="1">DW24-_xlfn.XLOOKUP(EU$13,_xlfn.ANCHORARRAY( $CR$14), _xlfn.XLOOKUP($ED24,_xlfn.ANCHORARRAY( $CP$15), $CR$15:$CU$19)) * _xlfn.XLOOKUP(EU$14,_xlfn.ANCHORARRAY( $CR$14), _xlfn.XLOOKUP($EE24,_xlfn.ANCHORARRAY( $CP$15), $CR$15:$CU$19))</f>
        <v>2.3963008264462821E-2</v>
      </c>
      <c r="EZ24" cm="1">
        <f t="array" aca="1" ref="EZ24" ca="1">INDEX(_xlfn.ANCHORARRAY($CP$15), 1 + INT((ROWS($DG$15:$DG24) - 1) / ROWS(_xlfn.ANCHORARRAY($CP$15))))</f>
        <v>1</v>
      </c>
      <c r="FA24" cm="1">
        <f t="array" aca="1" ref="FA24" ca="1">INDEX(_xlfn.ANCHORARRAY($CP$15),1+MOD(ROWS($DG$15:$DG24)-1,ROWS(_xlfn.ANCHORARRAY($CP$15))))</f>
        <v>4</v>
      </c>
      <c r="FB24" s="10" cm="1">
        <f t="array" aca="1" ref="FB24" ca="1">EF24 * _xlfn.XLOOKUP(FB$13,_xlfn.ANCHORARRAY( $CZ$29), _xlfn.XLOOKUP($EZ24,_xlfn.ANCHORARRAY( $CY$30), $CZ$30:$DC$34)) * _xlfn.XLOOKUP(FB$14,_xlfn.ANCHORARRAY( $CZ$29), _xlfn.XLOOKUP($FA24,_xlfn.ANCHORARRAY( $CY$30), $CZ$30:$DC$34))</f>
        <v>3.0197587170288412E-3</v>
      </c>
      <c r="FC24" s="10" cm="1">
        <f t="array" aca="1" ref="FC24" ca="1">EG24 * _xlfn.XLOOKUP(FC$13,_xlfn.ANCHORARRAY( $CZ$29), _xlfn.XLOOKUP($EZ24,_xlfn.ANCHORARRAY( $CY$30), $CZ$30:$DC$34)) * _xlfn.XLOOKUP(FC$14,_xlfn.ANCHORARRAY( $CZ$29), _xlfn.XLOOKUP($FA24,_xlfn.ANCHORARRAY( $CY$30), $CZ$30:$DC$34))</f>
        <v>-1.7176780901257355E-3</v>
      </c>
      <c r="FD24" s="10" cm="1">
        <f t="array" aca="1" ref="FD24" ca="1">EH24 * _xlfn.XLOOKUP(FD$13,_xlfn.ANCHORARRAY( $CZ$29), _xlfn.XLOOKUP($EZ24,_xlfn.ANCHORARRAY( $CY$30), $CZ$30:$DC$34)) * _xlfn.XLOOKUP(FD$14,_xlfn.ANCHORARRAY( $CZ$29), _xlfn.XLOOKUP($FA24,_xlfn.ANCHORARRAY( $CY$30), $CZ$30:$DC$34))</f>
        <v>-4.2392792792996057E-4</v>
      </c>
      <c r="FE24" s="10" cm="1">
        <f t="array" aca="1" ref="FE24" ca="1">EI24 * _xlfn.XLOOKUP(FE$13,_xlfn.ANCHORARRAY( $CZ$29), _xlfn.XLOOKUP($EZ24,_xlfn.ANCHORARRAY( $CY$30), $CZ$30:$DC$34)) * _xlfn.XLOOKUP(FE$14,_xlfn.ANCHORARRAY( $CZ$29), _xlfn.XLOOKUP($FA24,_xlfn.ANCHORARRAY( $CY$30), $CZ$30:$DC$34))</f>
        <v>-4.2392792792996057E-4</v>
      </c>
      <c r="FF24" s="10" cm="1">
        <f t="array" aca="1" ref="FF24" ca="1">EJ24 * _xlfn.XLOOKUP(FF$13,_xlfn.ANCHORARRAY( $CZ$29), _xlfn.XLOOKUP($EZ24,_xlfn.ANCHORARRAY( $CY$30), $CZ$30:$DC$34)) * _xlfn.XLOOKUP(FF$14,_xlfn.ANCHORARRAY( $CZ$29), _xlfn.XLOOKUP($FA24,_xlfn.ANCHORARRAY( $CY$30), $CZ$30:$DC$34))</f>
        <v>-3.3532489458979249E-2</v>
      </c>
      <c r="FG24" s="10" cm="1">
        <f t="array" aca="1" ref="FG24" ca="1">EK24 * _xlfn.XLOOKUP(FG$13,_xlfn.ANCHORARRAY( $CZ$29), _xlfn.XLOOKUP($EZ24,_xlfn.ANCHORARRAY( $CY$30), $CZ$30:$DC$34)) * _xlfn.XLOOKUP(FG$14,_xlfn.ANCHORARRAY( $CZ$29), _xlfn.XLOOKUP($FA24,_xlfn.ANCHORARRAY( $CY$30), $CZ$30:$DC$34))</f>
        <v>-4.9848148042895288E-3</v>
      </c>
      <c r="FH24" s="10" cm="1">
        <f t="array" aca="1" ref="FH24" ca="1">EL24 * _xlfn.XLOOKUP(FH$13,_xlfn.ANCHORARRAY( $CZ$29), _xlfn.XLOOKUP($EZ24,_xlfn.ANCHORARRAY( $CY$30), $CZ$30:$DC$34)) * _xlfn.XLOOKUP(FH$14,_xlfn.ANCHORARRAY( $CZ$29), _xlfn.XLOOKUP($FA24,_xlfn.ANCHORARRAY( $CY$30), $CZ$30:$DC$34))</f>
        <v>-1.0534652126237219E-2</v>
      </c>
      <c r="FI24" s="10" cm="1">
        <f t="array" aca="1" ref="FI24" ca="1">EM24 * _xlfn.XLOOKUP(FI$13,_xlfn.ANCHORARRAY( $CZ$29), _xlfn.XLOOKUP($EZ24,_xlfn.ANCHORARRAY( $CY$30), $CZ$30:$DC$34)) * _xlfn.XLOOKUP(FI$14,_xlfn.ANCHORARRAY( $CZ$29), _xlfn.XLOOKUP($FA24,_xlfn.ANCHORARRAY( $CY$30), $CZ$30:$DC$34))</f>
        <v>-1.0534652126237219E-2</v>
      </c>
      <c r="FJ24" s="10" cm="1">
        <f t="array" aca="1" ref="FJ24" ca="1">EN24 * _xlfn.XLOOKUP(FJ$13,_xlfn.ANCHORARRAY( $CZ$29), _xlfn.XLOOKUP($EZ24,_xlfn.ANCHORARRAY( $CY$30), $CZ$30:$DC$34)) * _xlfn.XLOOKUP(FJ$14,_xlfn.ANCHORARRAY( $CZ$29), _xlfn.XLOOKUP($FA24,_xlfn.ANCHORARRAY( $CY$30), $CZ$30:$DC$34))</f>
        <v>-7.4780532650518513E-3</v>
      </c>
      <c r="FK24" s="10" cm="1">
        <f t="array" aca="1" ref="FK24" ca="1">EO24 * _xlfn.XLOOKUP(FK$13,_xlfn.ANCHORARRAY( $CZ$29), _xlfn.XLOOKUP($EZ24,_xlfn.ANCHORARRAY( $CY$30), $CZ$30:$DC$34)) * _xlfn.XLOOKUP(FK$14,_xlfn.ANCHORARRAY( $CZ$29), _xlfn.XLOOKUP($FA24,_xlfn.ANCHORARRAY( $CY$30), $CZ$30:$DC$34))</f>
        <v>-5.1753743710243813E-3</v>
      </c>
      <c r="FL24" s="10" cm="1">
        <f t="array" aca="1" ref="FL24" ca="1">EP24 * _xlfn.XLOOKUP(FL$13,_xlfn.ANCHORARRAY( $CZ$29), _xlfn.XLOOKUP($EZ24,_xlfn.ANCHORARRAY( $CY$30), $CZ$30:$DC$34)) * _xlfn.XLOOKUP(FL$14,_xlfn.ANCHORARRAY( $CZ$29), _xlfn.XLOOKUP($FA24,_xlfn.ANCHORARRAY( $CY$30), $CZ$30:$DC$34))</f>
        <v>-4.9848148042895288E-3</v>
      </c>
      <c r="FM24" s="10" cm="1">
        <f t="array" aca="1" ref="FM24" ca="1">EQ24 * _xlfn.XLOOKUP(FM$13,_xlfn.ANCHORARRAY( $CZ$29), _xlfn.XLOOKUP($EZ24,_xlfn.ANCHORARRAY( $CY$30), $CZ$30:$DC$34)) * _xlfn.XLOOKUP(FM$14,_xlfn.ANCHORARRAY( $CZ$29), _xlfn.XLOOKUP($FA24,_xlfn.ANCHORARRAY( $CY$30), $CZ$30:$DC$34))</f>
        <v>-4.9848148042895288E-3</v>
      </c>
      <c r="FN24" s="10" cm="1">
        <f t="array" aca="1" ref="FN24" ca="1">ER24 * _xlfn.XLOOKUP(FN$13,_xlfn.ANCHORARRAY( $CZ$29), _xlfn.XLOOKUP($EZ24,_xlfn.ANCHORARRAY( $CY$30), $CZ$30:$DC$34)) * _xlfn.XLOOKUP(FN$14,_xlfn.ANCHORARRAY( $CZ$29), _xlfn.XLOOKUP($FA24,_xlfn.ANCHORARRAY( $CY$30), $CZ$30:$DC$34))</f>
        <v>-7.4780532650518513E-3</v>
      </c>
      <c r="FO24" s="10" cm="1">
        <f t="array" aca="1" ref="FO24" ca="1">ES24 * _xlfn.XLOOKUP(FO$13,_xlfn.ANCHORARRAY( $CZ$29), _xlfn.XLOOKUP($EZ24,_xlfn.ANCHORARRAY( $CY$30), $CZ$30:$DC$34)) * _xlfn.XLOOKUP(FO$14,_xlfn.ANCHORARRAY( $CZ$29), _xlfn.XLOOKUP($FA24,_xlfn.ANCHORARRAY( $CY$30), $CZ$30:$DC$34))</f>
        <v>-5.1753743710243813E-3</v>
      </c>
      <c r="FP24" s="10" cm="1">
        <f t="array" aca="1" ref="FP24" ca="1">ET24 * _xlfn.XLOOKUP(FP$13,_xlfn.ANCHORARRAY( $CZ$29), _xlfn.XLOOKUP($EZ24,_xlfn.ANCHORARRAY( $CY$30), $CZ$30:$DC$34)) * _xlfn.XLOOKUP(FP$14,_xlfn.ANCHORARRAY( $CZ$29), _xlfn.XLOOKUP($FA24,_xlfn.ANCHORARRAY( $CY$30), $CZ$30:$DC$34))</f>
        <v>-4.9848148042895288E-3</v>
      </c>
      <c r="FQ24" s="10" cm="1">
        <f t="array" aca="1" ref="FQ24" ca="1">EU24 * _xlfn.XLOOKUP(FQ$13,_xlfn.ANCHORARRAY( $CZ$29), _xlfn.XLOOKUP($EZ24,_xlfn.ANCHORARRAY( $CY$30), $CZ$30:$DC$34)) * _xlfn.XLOOKUP(FQ$14,_xlfn.ANCHORARRAY( $CZ$29), _xlfn.XLOOKUP($FA24,_xlfn.ANCHORARRAY( $CY$30), $CZ$30:$DC$34))</f>
        <v>-4.9848148042895288E-3</v>
      </c>
      <c r="FT24" cm="1">
        <f t="array" aca="1" ref="FT24" ca="1">SQRT(SUM((FB24:FQ24)^2))</f>
        <v>4.0601328609547842E-2</v>
      </c>
    </row>
    <row r="25" spans="1:176" x14ac:dyDescent="0.2">
      <c r="D25" s="10">
        <f ca="1"/>
        <v>11</v>
      </c>
      <c r="F25" s="10">
        <f ca="1"/>
        <v>1</v>
      </c>
      <c r="H25" s="10"/>
      <c r="J25" cm="1">
        <f t="array" aca="1" ref="J25" ca="1">SUMPRODUCT((O25:AJ25=$O$11:$AJ$11)*(O$13:AJ$13=TRUE))  / COUNTIF(O$13:AJ$13,TRUE)</f>
        <v>0.4</v>
      </c>
      <c r="K25" t="b">
        <f t="shared" ca="1" si="3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4"/>
        <v>1</v>
      </c>
      <c r="N25" s="2">
        <v>10</v>
      </c>
      <c r="O25" s="12" t="s">
        <v>2</v>
      </c>
      <c r="P25" s="9" t="s">
        <v>3</v>
      </c>
      <c r="Q25" s="9" t="s">
        <v>1</v>
      </c>
      <c r="R25" s="9" t="s">
        <v>3</v>
      </c>
      <c r="S25" s="9" t="s">
        <v>3</v>
      </c>
      <c r="AK25" s="7"/>
      <c r="AN25">
        <f t="shared" ca="1" si="5"/>
        <v>1</v>
      </c>
      <c r="AO25" s="14">
        <f t="shared" ca="1" si="6"/>
        <v>1</v>
      </c>
      <c r="AP25" s="2">
        <f ca="1"/>
        <v>11</v>
      </c>
      <c r="AQ25" cm="1">
        <f t="array" aca="1" ref="AQ25" ca="1">IF($AP25=AQ$14, 1, SUMPRODUCT(
    --(OFFSET($O$13,0,0,1,$B$9)=TRUE),
    --(INDEX(OFFSET($O$15,0,0,$B$8,$B$9), 1+$AP25, 0) = INDEX(OFFSET($O$15,0,0,$B$8,$B$9), 1+AQ$14, 0))
) / $B$13)</f>
        <v>0.4</v>
      </c>
      <c r="AR25" cm="1">
        <f t="array" aca="1" ref="AR25" ca="1">IF($AP25=AR$14, 1, SUMPRODUCT(
    --(OFFSET($O$13,0,0,1,$B$9)=TRUE),
    --(INDEX(OFFSET($O$15,0,0,$B$8,$B$9), 1+$AP25, 0) = INDEX(OFFSET($O$15,0,0,$B$8,$B$9), 1+AR$14, 0))
) / $B$13)</f>
        <v>0.4</v>
      </c>
      <c r="AS25" cm="1">
        <f t="array" aca="1" ref="AS25" ca="1">IF($AP25=AS$14, 1, SUMPRODUCT(
    --(OFFSET($O$13,0,0,1,$B$9)=TRUE),
    --(INDEX(OFFSET($O$15,0,0,$B$8,$B$9), 1+$AP25, 0) = INDEX(OFFSET($O$15,0,0,$B$8,$B$9), 1+AS$14, 0))
) / $B$13)</f>
        <v>0.4</v>
      </c>
      <c r="AT25" cm="1">
        <f t="array" aca="1" ref="AT25" ca="1">IF($AP25=AT$14, 1, SUMPRODUCT(
    --(OFFSET($O$13,0,0,1,$B$9)=TRUE),
    --(INDEX(OFFSET($O$15,0,0,$B$8,$B$9), 1+$AP25, 0) = INDEX(OFFSET($O$15,0,0,$B$8,$B$9), 1+AT$14, 0))
) / $B$13)</f>
        <v>0</v>
      </c>
      <c r="AU25" cm="1">
        <f t="array" aca="1" ref="AU25" ca="1">IF($AP25=AU$14, 1, SUMPRODUCT(
    --(OFFSET($O$13,0,0,1,$B$9)=TRUE),
    --(INDEX(OFFSET($O$15,0,0,$B$8,$B$9), 1+$AP25, 0) = INDEX(OFFSET($O$15,0,0,$B$8,$B$9), 1+AU$14, 0))
) / $B$13)</f>
        <v>0</v>
      </c>
      <c r="AV25" cm="1">
        <f t="array" aca="1" ref="AV25" ca="1">IF($AP25=AV$14, 1, SUMPRODUCT(
    --(OFFSET($O$13,0,0,1,$B$9)=TRUE),
    --(INDEX(OFFSET($O$15,0,0,$B$8,$B$9), 1+$AP25, 0) = INDEX(OFFSET($O$15,0,0,$B$8,$B$9), 1+AV$14, 0))
) / $B$13)</f>
        <v>0</v>
      </c>
      <c r="AW25" cm="1">
        <f t="array" aca="1" ref="AW25" ca="1">IF($AP25=AW$14, 1, SUMPRODUCT(
    --(OFFSET($O$13,0,0,1,$B$9)=TRUE),
    --(INDEX(OFFSET($O$15,0,0,$B$8,$B$9), 1+$AP25, 0) = INDEX(OFFSET($O$15,0,0,$B$8,$B$9), 1+AW$14, 0))
) / $B$13)</f>
        <v>0.4</v>
      </c>
      <c r="AX25" cm="1">
        <f t="array" aca="1" ref="AX25" ca="1">IF($AP25=AX$14, 1, SUMPRODUCT(
    --(OFFSET($O$13,0,0,1,$B$9)=TRUE),
    --(INDEX(OFFSET($O$15,0,0,$B$8,$B$9), 1+$AP25, 0) = INDEX(OFFSET($O$15,0,0,$B$8,$B$9), 1+AX$14, 0))
) / $B$13)</f>
        <v>0.6</v>
      </c>
      <c r="AY25" cm="1">
        <f t="array" aca="1" ref="AY25" ca="1">IF($AP25=AY$14, 1, SUMPRODUCT(
    --(OFFSET($O$13,0,0,1,$B$9)=TRUE),
    --(INDEX(OFFSET($O$15,0,0,$B$8,$B$9), 1+$AP25, 0) = INDEX(OFFSET($O$15,0,0,$B$8,$B$9), 1+AY$14, 0))
) / $B$13)</f>
        <v>0.6</v>
      </c>
      <c r="AZ25" cm="1">
        <f t="array" aca="1" ref="AZ25" ca="1">IF($AP25=AZ$14, 1, SUMPRODUCT(
    --(OFFSET($O$13,0,0,1,$B$9)=TRUE),
    --(INDEX(OFFSET($O$15,0,0,$B$8,$B$9), 1+$AP25, 0) = INDEX(OFFSET($O$15,0,0,$B$8,$B$9), 1+AZ$14, 0))
) / $B$13)</f>
        <v>0.6</v>
      </c>
      <c r="BA25" cm="1">
        <f t="array" aca="1" ref="BA25" ca="1">IF($AP25=BA$14, 1, SUMPRODUCT(
    --(OFFSET($O$13,0,0,1,$B$9)=TRUE),
    --(INDEX(OFFSET($O$15,0,0,$B$8,$B$9), 1+$AP25, 0) = INDEX(OFFSET($O$15,0,0,$B$8,$B$9), 1+BA$14, 0))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
) / $B$13)</f>
        <v>0</v>
      </c>
      <c r="BC25" cm="1">
        <f t="array" aca="1" ref="BC25" ca="1">IF($AP25=BC$14, 1, SUMPRODUCT(
    --(OFFSET($O$13,0,0,1,$B$9)=TRUE),
    --(INDEX(OFFSET($O$15,0,0,$B$8,$B$9), 1+$AP25, 0) = INDEX(OFFSET($O$15,0,0,$B$8,$B$9), 1+BC$14, 0))
) / $B$13)</f>
        <v>0</v>
      </c>
      <c r="BD25" cm="1">
        <f t="array" aca="1" ref="BD25" ca="1">IF($AP25=BD$14, 1, SUMPRODUCT(
    --(OFFSET($O$13,0,0,1,$B$9)=TRUE),
    --(INDEX(OFFSET($O$15,0,0,$B$8,$B$9), 1+$AP25, 0) = INDEX(OFFSET($O$15,0,0,$B$8,$B$9), 1+BD$14, 0))
) / $B$13)</f>
        <v>0</v>
      </c>
      <c r="BE25" cm="1">
        <f t="array" aca="1" ref="BE25" ca="1">IF($AP25=BE$14, 1, SUMPRODUCT(
    --(OFFSET($O$13,0,0,1,$B$9)=TRUE),
    --(INDEX(OFFSET($O$15,0,0,$B$8,$B$9), 1+$AP25, 0) = INDEX(OFFSET($O$15,0,0,$B$8,$B$9), 1+BE$14, 0))
) / $B$13)</f>
        <v>0.4</v>
      </c>
      <c r="BF25" cm="1">
        <f t="array" aca="1" ref="BF25" ca="1">IF($AP25=BF$14, 1, SUMPRODUCT(
    --(OFFSET($O$13,0,0,1,$B$9)=TRUE),
    --(INDEX(OFFSET($O$15,0,0,$B$8,$B$9), 1+$AP25, 0) = INDEX(OFFSET($O$15,0,0,$B$8,$B$9), 1+BF$14, 0))
) / $B$13)</f>
        <v>0</v>
      </c>
      <c r="BG25" cm="1">
        <f t="array" aca="1" ref="BG25" ca="1">IF($AP25=BG$14, 1, SUMPRODUCT(
    --(OFFSET($O$13,0,0,1,$B$9)=TRUE),
    --(INDEX(OFFSET($O$15,0,0,$B$8,$B$9), 1+$AP25, 0) = INDEX(OFFSET($O$15,0,0,$B$8,$B$9), 1+BG$14, 0))
) / $B$13)</f>
        <v>0.2</v>
      </c>
      <c r="BH25" cm="1">
        <f t="array" aca="1" ref="BH25" ca="1">IF($AP25=BH$14, 1, SUMPRODUCT(
    --(OFFSET($O$13,0,0,1,$B$9)=TRUE),
    --(INDEX(OFFSET($O$15,0,0,$B$8,$B$9), 1+$AP25, 0) = INDEX(OFFSET($O$15,0,0,$B$8,$B$9), 1+BH$14, 0))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
) / $B$13)</f>
        <v>0.4</v>
      </c>
      <c r="BJ25" cm="1">
        <f t="array" aca="1" ref="BJ25" ca="1">IF($AP25=BJ$14, 1, SUMPRODUCT(
    --(OFFSET($O$13,0,0,1,$B$9)=TRUE),
    --(INDEX(OFFSET($O$15,0,0,$B$8,$B$9), 1+$AP25, 0) = INDEX(OFFSET($O$15,0,0,$B$8,$B$9), 1+BJ$14, 0))
) / $B$13)</f>
        <v>0.4</v>
      </c>
      <c r="BN25">
        <f t="shared" ca="1" si="7"/>
        <v>1</v>
      </c>
      <c r="BO25" s="14">
        <f t="shared" ca="1" si="8"/>
        <v>1</v>
      </c>
      <c r="BP25" s="2">
        <f ca="1"/>
        <v>11</v>
      </c>
      <c r="BQ25" cm="1">
        <f t="array" aca="1" ref="BQ25" ca="1">IF($BP25=BQ$14, 1, SUMPRODUCT(
    --(OFFSET($O$9,0,0,1,$B$9)=TRUE),
    --(INDEX(OFFSET($O$15,0,0,$B$8,$B$9), 1+$BP25, 0) = INDEX(OFFSET($O$15,0,0,$B$8,$B$9), 1+BQ$14, 0))
) / $B$16)</f>
        <v>0.4</v>
      </c>
      <c r="BR25" cm="1">
        <f t="array" aca="1" ref="BR25" ca="1">IF($BP25=BR$14, 1, SUMPRODUCT(
    --(OFFSET($O$9,0,0,1,$B$9)=TRUE),
    --(INDEX(OFFSET($O$15,0,0,$B$8,$B$9), 1+$BP25, 0) = INDEX(OFFSET($O$15,0,0,$B$8,$B$9), 1+BR$14, 0))
) / $B$16)</f>
        <v>0.4</v>
      </c>
      <c r="BS25" cm="1">
        <f t="array" aca="1" ref="BS25" ca="1">IF($BP25=BS$14, 1, SUMPRODUCT(
    --(OFFSET($O$9,0,0,1,$B$9)=TRUE),
    --(INDEX(OFFSET($O$15,0,0,$B$8,$B$9), 1+$BP25, 0) = INDEX(OFFSET($O$15,0,0,$B$8,$B$9), 1+BS$14, 0))
) / $B$16)</f>
        <v>0.4</v>
      </c>
      <c r="BT25" cm="1">
        <f t="array" aca="1" ref="BT25" ca="1">IF($BP25=BT$14, 1, SUMPRODUCT(
    --(OFFSET($O$9,0,0,1,$B$9)=TRUE),
    --(INDEX(OFFSET($O$15,0,0,$B$8,$B$9), 1+$BP25, 0) = INDEX(OFFSET($O$15,0,0,$B$8,$B$9), 1+BT$14, 0))
) / $B$16)</f>
        <v>0</v>
      </c>
      <c r="BU25" cm="1">
        <f t="array" aca="1" ref="BU25" ca="1">IF($BP25=BU$14, 1, SUMPRODUCT(
    --(OFFSET($O$9,0,0,1,$B$9)=TRUE),
    --(INDEX(OFFSET($O$15,0,0,$B$8,$B$9), 1+$BP25, 0) = INDEX(OFFSET($O$15,0,0,$B$8,$B$9), 1+BU$14, 0))
) / $B$16)</f>
        <v>0</v>
      </c>
      <c r="BV25" cm="1">
        <f t="array" aca="1" ref="BV25" ca="1">IF($BP25=BV$14, 1, SUMPRODUCT(
    --(OFFSET($O$9,0,0,1,$B$9)=TRUE),
    --(INDEX(OFFSET($O$15,0,0,$B$8,$B$9), 1+$BP25, 0) = INDEX(OFFSET($O$15,0,0,$B$8,$B$9), 1+BV$14, 0))
) / $B$16)</f>
        <v>0</v>
      </c>
      <c r="BW25" cm="1">
        <f t="array" aca="1" ref="BW25" ca="1">IF($BP25=BW$14, 1, SUMPRODUCT(
    --(OFFSET($O$9,0,0,1,$B$9)=TRUE),
    --(INDEX(OFFSET($O$15,0,0,$B$8,$B$9), 1+$BP25, 0) = INDEX(OFFSET($O$15,0,0,$B$8,$B$9), 1+BW$14, 0))
) / $B$16)</f>
        <v>0.4</v>
      </c>
      <c r="BX25" cm="1">
        <f t="array" aca="1" ref="BX25" ca="1">IF($BP25=BX$14, 1, SUMPRODUCT(
    --(OFFSET($O$9,0,0,1,$B$9)=TRUE),
    --(INDEX(OFFSET($O$15,0,0,$B$8,$B$9), 1+$BP25, 0) = INDEX(OFFSET($O$15,0,0,$B$8,$B$9), 1+BX$14, 0))
) / $B$16)</f>
        <v>0.6</v>
      </c>
      <c r="BY25" cm="1">
        <f t="array" aca="1" ref="BY25" ca="1">IF($BP25=BY$14, 1, SUMPRODUCT(
    --(OFFSET($O$9,0,0,1,$B$9)=TRUE),
    --(INDEX(OFFSET($O$15,0,0,$B$8,$B$9), 1+$BP25, 0) = INDEX(OFFSET($O$15,0,0,$B$8,$B$9), 1+BY$14, 0))
) / $B$16)</f>
        <v>0.6</v>
      </c>
      <c r="BZ25" cm="1">
        <f t="array" aca="1" ref="BZ25" ca="1">IF($BP25=BZ$14, 1, SUMPRODUCT(
    --(OFFSET($O$9,0,0,1,$B$9)=TRUE),
    --(INDEX(OFFSET($O$15,0,0,$B$8,$B$9), 1+$BP25, 0) = INDEX(OFFSET($O$15,0,0,$B$8,$B$9), 1+BZ$14, 0))
) / $B$16)</f>
        <v>0.6</v>
      </c>
      <c r="CA25" cm="1">
        <f t="array" aca="1" ref="CA25" ca="1">IF($BP25=CA$14, 1, SUMPRODUCT(
    --(OFFSET($O$9,0,0,1,$B$9)=TRUE),
    --(INDEX(OFFSET($O$15,0,0,$B$8,$B$9), 1+$BP25, 0) = INDEX(OFFSET($O$15,0,0,$B$8,$B$9), 1+CA$14, 0))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
) / $B$16)</f>
        <v>0</v>
      </c>
      <c r="CC25" cm="1">
        <f t="array" aca="1" ref="CC25" ca="1">IF($BP25=CC$14, 1, SUMPRODUCT(
    --(OFFSET($O$9,0,0,1,$B$9)=TRUE),
    --(INDEX(OFFSET($O$15,0,0,$B$8,$B$9), 1+$BP25, 0) = INDEX(OFFSET($O$15,0,0,$B$8,$B$9), 1+CC$14, 0))
) / $B$16)</f>
        <v>0</v>
      </c>
      <c r="CD25" cm="1">
        <f t="array" aca="1" ref="CD25" ca="1">IF($BP25=CD$14, 1, SUMPRODUCT(
    --(OFFSET($O$9,0,0,1,$B$9)=TRUE),
    --(INDEX(OFFSET($O$15,0,0,$B$8,$B$9), 1+$BP25, 0) = INDEX(OFFSET($O$15,0,0,$B$8,$B$9), 1+CD$14, 0))
) / $B$16)</f>
        <v>0</v>
      </c>
      <c r="CE25" cm="1">
        <f t="array" aca="1" ref="CE25" ca="1">IF($BP25=CE$14, 1, SUMPRODUCT(
    --(OFFSET($O$9,0,0,1,$B$9)=TRUE),
    --(INDEX(OFFSET($O$15,0,0,$B$8,$B$9), 1+$BP25, 0) = INDEX(OFFSET($O$15,0,0,$B$8,$B$9), 1+CE$14, 0))
) / $B$16)</f>
        <v>0.4</v>
      </c>
      <c r="CF25" cm="1">
        <f t="array" aca="1" ref="CF25" ca="1">IF($BP25=CF$14, 1, SUMPRODUCT(
    --(OFFSET($O$9,0,0,1,$B$9)=TRUE),
    --(INDEX(OFFSET($O$15,0,0,$B$8,$B$9), 1+$BP25, 0) = INDEX(OFFSET($O$15,0,0,$B$8,$B$9), 1+CF$14, 0))
) / $B$16)</f>
        <v>0</v>
      </c>
      <c r="CG25" cm="1">
        <f t="array" aca="1" ref="CG25" ca="1">IF($BP25=CG$14, 1, SUMPRODUCT(
    --(OFFSET($O$9,0,0,1,$B$9)=TRUE),
    --(INDEX(OFFSET($O$15,0,0,$B$8,$B$9), 1+$BP25, 0) = INDEX(OFFSET($O$15,0,0,$B$8,$B$9), 1+CG$14, 0))
) / $B$16)</f>
        <v>0.2</v>
      </c>
      <c r="CH25" cm="1">
        <f t="array" aca="1" ref="CH25" ca="1">IF($BP25=CH$14, 1, SUMPRODUCT(
    --(OFFSET($O$9,0,0,1,$B$9)=TRUE),
    --(INDEX(OFFSET($O$15,0,0,$B$8,$B$9), 1+$BP25, 0) = INDEX(OFFSET($O$15,0,0,$B$8,$B$9), 1+CH$14, 0))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
) / $B$16)</f>
        <v>0.4</v>
      </c>
      <c r="CJ25" cm="1">
        <f t="array" aca="1" ref="CJ25" ca="1">IF($BP25=CJ$14, 1, SUMPRODUCT(
    --(OFFSET($O$9,0,0,1,$B$9)=TRUE),
    --(INDEX(OFFSET($O$15,0,0,$B$8,$B$9), 1+$BP25, 0) = INDEX(OFFSET($O$15,0,0,$B$8,$B$9), 1+CJ$14, 0))
) / $B$16)</f>
        <v>0.4</v>
      </c>
      <c r="DF25" cm="1">
        <f t="array" aca="1" ref="DF25" ca="1">INDEX(_xlfn.ANCHORARRAY($CP$15), 1 + INT((ROWS($DG$15:$DG25) - 1) / ROWS(_xlfn.ANCHORARRAY($CP$15))))</f>
        <v>2</v>
      </c>
      <c r="DG25" cm="1">
        <f t="array" aca="1" ref="DG25" ca="1">INDEX(_xlfn.ANCHORARRAY($CP$15),1+MOD(ROWS($DG$15:$DG25)-1,ROWS(_xlfn.ANCHORARRAY($CP$15))))</f>
        <v>0</v>
      </c>
      <c r="DH25" s="10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$B$18/($B$19*$B$19*($DF25&lt;&gt;$DG25) + $B$19*($DF25=$DG25))</f>
        <v>0.11877575757575758</v>
      </c>
      <c r="DI25" s="10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$B$18/($B$19*$B$19*($DF25&lt;&gt;$DG25) + $B$19*($DF25=$DG25))</f>
        <v>4.529090909090909E-2</v>
      </c>
      <c r="DJ25" s="10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$B$18/($B$19*$B$19*($DF25&lt;&gt;$DG25) + $B$19*($DF25=$DG25))</f>
        <v>4.529090909090909E-2</v>
      </c>
      <c r="DK25" s="10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$B$18/($B$19*$B$19*($DF25&lt;&gt;$DG25) + $B$19*($DF25=$DG25))</f>
        <v>4.529090909090909E-2</v>
      </c>
      <c r="DL25" s="10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$B$18/($B$19*$B$19*($DF25&lt;&gt;$DG25) + $B$19*($DF25=$DG25))</f>
        <v>0.11877575757575758</v>
      </c>
      <c r="DM25" s="10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$B$18/($B$19*$B$19*($DF25&lt;&gt;$DG25) + $B$19*($DF25=$DG25))</f>
        <v>4.529090909090909E-2</v>
      </c>
      <c r="DN25" s="10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$B$18/($B$19*$B$19*($DF25&lt;&gt;$DG25) + $B$19*($DF25=$DG25))</f>
        <v>4.529090909090909E-2</v>
      </c>
      <c r="DO25" s="10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$B$18/($B$19*$B$19*($DF25&lt;&gt;$DG25) + $B$19*($DF25=$DG25))</f>
        <v>8.9381818181818187E-2</v>
      </c>
      <c r="DP25" s="10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$B$18/($B$19*$B$19*($DF25&lt;&gt;$DG25) + $B$19*($DF25=$DG25))</f>
        <v>5.9987878787878784E-2</v>
      </c>
      <c r="DQ25" s="10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$B$18/($B$19*$B$19*($DF25&lt;&gt;$DG25) + $B$19*($DF25=$DG25))</f>
        <v>4.529090909090909E-2</v>
      </c>
      <c r="DR25" s="10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$B$18/($B$19*$B$19*($DF25&lt;&gt;$DG25) + $B$19*($DF25=$DG25))</f>
        <v>1.1999999999999999E-3</v>
      </c>
      <c r="DS25" s="10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$B$18/($B$19*$B$19*($DF25&lt;&gt;$DG25) + $B$19*($DF25=$DG25))</f>
        <v>8.9381818181818187E-2</v>
      </c>
      <c r="DT25" s="10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$B$18/($B$19*$B$19*($DF25&lt;&gt;$DG25) + $B$19*($DF25=$DG25))</f>
        <v>5.9987878787878784E-2</v>
      </c>
      <c r="DU25" s="10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$B$18/($B$19*$B$19*($DF25&lt;&gt;$DG25) + $B$19*($DF25=$DG25))</f>
        <v>4.529090909090909E-2</v>
      </c>
      <c r="DV25" s="10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$B$18/($B$19*$B$19*($DF25&lt;&gt;$DG25) + $B$19*($DF25=$DG25))</f>
        <v>4.529090909090909E-2</v>
      </c>
      <c r="DW25" s="10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$B$18/($B$19*$B$19*($DF25&lt;&gt;$DG25) + $B$19*($DF25=$DG25))</f>
        <v>4.529090909090909E-2</v>
      </c>
      <c r="ED25" cm="1">
        <f t="array" aca="1" ref="ED25" ca="1">INDEX(_xlfn.ANCHORARRAY($CP$15), 1 + INT((ROWS($DG$15:$DG25) - 1) / ROWS(_xlfn.ANCHORARRAY($CP$15))))</f>
        <v>2</v>
      </c>
      <c r="EE25" cm="1">
        <f t="array" aca="1" ref="EE25" ca="1">INDEX(_xlfn.ANCHORARRAY($CP$15),1+MOD(ROWS($DG$15:$DG25)-1,ROWS(_xlfn.ANCHORARRAY($CP$15))))</f>
        <v>0</v>
      </c>
      <c r="EF25" s="10" cm="1">
        <f t="array" aca="1" ref="EF25" ca="1">DH25-_xlfn.XLOOKUP(EF$13,_xlfn.ANCHORARRAY( $CR$14), _xlfn.XLOOKUP($ED25,_xlfn.ANCHORARRAY( $CP$15), $CR$15:$CU$19)) * _xlfn.XLOOKUP(EF$14,_xlfn.ANCHORARRAY( $CR$14), _xlfn.XLOOKUP($EE25,_xlfn.ANCHORARRAY( $CP$15), $CR$15:$CU$19))</f>
        <v>2.6995928374655656E-2</v>
      </c>
      <c r="EG25" s="10" cm="1">
        <f t="array" aca="1" ref="EG25" ca="1">DI25-_xlfn.XLOOKUP(EG$13,_xlfn.ANCHORARRAY( $CR$14), _xlfn.XLOOKUP($ED25,_xlfn.ANCHORARRAY( $CP$15), $CR$15:$CU$19)) * _xlfn.XLOOKUP(EG$14,_xlfn.ANCHORARRAY( $CR$14), _xlfn.XLOOKUP($EE25,_xlfn.ANCHORARRAY( $CP$15), $CR$15:$CU$19))</f>
        <v>-1.3665509641873283E-3</v>
      </c>
      <c r="EH25" s="10" cm="1">
        <f t="array" aca="1" ref="EH25" ca="1">DJ25-_xlfn.XLOOKUP(EH$13,_xlfn.ANCHORARRAY( $CR$14), _xlfn.XLOOKUP($ED25,_xlfn.ANCHORARRAY( $CP$15), $CR$15:$CU$19)) * _xlfn.XLOOKUP(EH$14,_xlfn.ANCHORARRAY( $CR$14), _xlfn.XLOOKUP($EE25,_xlfn.ANCHORARRAY( $CP$15), $CR$15:$CU$19))</f>
        <v>-1.3665509641873283E-3</v>
      </c>
      <c r="EI25" s="10" cm="1">
        <f t="array" aca="1" ref="EI25" ca="1">DK25-_xlfn.XLOOKUP(EI$13,_xlfn.ANCHORARRAY( $CR$14), _xlfn.XLOOKUP($ED25,_xlfn.ANCHORARRAY( $CP$15), $CR$15:$CU$19)) * _xlfn.XLOOKUP(EI$14,_xlfn.ANCHORARRAY( $CR$14), _xlfn.XLOOKUP($EE25,_xlfn.ANCHORARRAY( $CP$15), $CR$15:$CU$19))</f>
        <v>-2.392773553719009E-2</v>
      </c>
      <c r="EJ25" s="10" cm="1">
        <f t="array" aca="1" ref="EJ25" ca="1">DL25-_xlfn.XLOOKUP(EJ$13,_xlfn.ANCHORARRAY( $CR$14), _xlfn.XLOOKUP($ED25,_xlfn.ANCHORARRAY( $CP$15), $CR$15:$CU$19)) * _xlfn.XLOOKUP(EJ$14,_xlfn.ANCHORARRAY( $CR$14), _xlfn.XLOOKUP($EE25,_xlfn.ANCHORARRAY( $CP$15), $CR$15:$CU$19))</f>
        <v>1.117931680440773E-2</v>
      </c>
      <c r="EK25" s="10" cm="1">
        <f t="array" aca="1" ref="EK25" ca="1">DM25-_xlfn.XLOOKUP(EK$13,_xlfn.ANCHORARRAY( $CR$14), _xlfn.XLOOKUP($ED25,_xlfn.ANCHORARRAY( $CP$15), $CR$15:$CU$19)) * _xlfn.XLOOKUP(EK$14,_xlfn.ANCHORARRAY( $CR$14), _xlfn.XLOOKUP($EE25,_xlfn.ANCHORARRAY( $CP$15), $CR$15:$CU$19))</f>
        <v>-9.4071294765840155E-3</v>
      </c>
      <c r="EL25" s="10" cm="1">
        <f t="array" aca="1" ref="EL25" ca="1">DN25-_xlfn.XLOOKUP(EL$13,_xlfn.ANCHORARRAY( $CR$14), _xlfn.XLOOKUP($ED25,_xlfn.ANCHORARRAY( $CP$15), $CR$15:$CU$19)) * _xlfn.XLOOKUP(EL$14,_xlfn.ANCHORARRAY( $CR$14), _xlfn.XLOOKUP($EE25,_xlfn.ANCHORARRAY( $CP$15), $CR$15:$CU$19))</f>
        <v>-9.4071294765840155E-3</v>
      </c>
      <c r="EM25" s="10" cm="1">
        <f t="array" aca="1" ref="EM25" ca="1">DO25-_xlfn.XLOOKUP(EM$13,_xlfn.ANCHORARRAY( $CR$14), _xlfn.XLOOKUP($ED25,_xlfn.ANCHORARRAY( $CP$15), $CR$15:$CU$19)) * _xlfn.XLOOKUP(EM$14,_xlfn.ANCHORARRAY( $CR$14), _xlfn.XLOOKUP($EE25,_xlfn.ANCHORARRAY( $CP$15), $CR$15:$CU$19))</f>
        <v>8.2345785123967008E-3</v>
      </c>
      <c r="EN25" s="10" cm="1">
        <f t="array" aca="1" ref="EN25" ca="1">DP25-_xlfn.XLOOKUP(EN$13,_xlfn.ANCHORARRAY( $CR$14), _xlfn.XLOOKUP($ED25,_xlfn.ANCHORARRAY( $CP$15), $CR$15:$CU$19)) * _xlfn.XLOOKUP(EN$14,_xlfn.ANCHORARRAY( $CR$14), _xlfn.XLOOKUP($EE25,_xlfn.ANCHORARRAY( $CP$15), $CR$15:$CU$19))</f>
        <v>-1.0703134986225896E-2</v>
      </c>
      <c r="EO25" s="10" cm="1">
        <f t="array" aca="1" ref="EO25" ca="1">DQ25-_xlfn.XLOOKUP(EO$13,_xlfn.ANCHORARRAY( $CR$14), _xlfn.XLOOKUP($ED25,_xlfn.ANCHORARRAY( $CP$15), $CR$15:$CU$19)) * _xlfn.XLOOKUP(EO$14,_xlfn.ANCHORARRAY( $CR$14), _xlfn.XLOOKUP($EE25,_xlfn.ANCHORARRAY( $CP$15), $CR$15:$CU$19))</f>
        <v>9.3542203856749329E-3</v>
      </c>
      <c r="EP25" s="10" cm="1">
        <f t="array" aca="1" ref="EP25" ca="1">DR25-_xlfn.XLOOKUP(EP$13,_xlfn.ANCHORARRAY( $CR$14), _xlfn.XLOOKUP($ED25,_xlfn.ANCHORARRAY( $CP$15), $CR$15:$CU$19)) * _xlfn.XLOOKUP(EP$14,_xlfn.ANCHORARRAY( $CR$14), _xlfn.XLOOKUP($EE25,_xlfn.ANCHORARRAY( $CP$15), $CR$15:$CU$19))</f>
        <v>-3.4736688705234157E-2</v>
      </c>
      <c r="EQ25" s="10" cm="1">
        <f t="array" aca="1" ref="EQ25" ca="1">DS25-_xlfn.XLOOKUP(EQ$13,_xlfn.ANCHORARRAY( $CR$14), _xlfn.XLOOKUP($ED25,_xlfn.ANCHORARRAY( $CP$15), $CR$15:$CU$19)) * _xlfn.XLOOKUP(EQ$14,_xlfn.ANCHORARRAY( $CR$14), _xlfn.XLOOKUP($EE25,_xlfn.ANCHORARRAY( $CP$15), $CR$15:$CU$19))</f>
        <v>3.6067966942148762E-2</v>
      </c>
      <c r="ER25" s="10" cm="1">
        <f t="array" aca="1" ref="ER25" ca="1">DT25-_xlfn.XLOOKUP(ER$13,_xlfn.ANCHORARRAY( $CR$14), _xlfn.XLOOKUP($ED25,_xlfn.ANCHORARRAY( $CP$15), $CR$15:$CU$19)) * _xlfn.XLOOKUP(ER$14,_xlfn.ANCHORARRAY( $CR$14), _xlfn.XLOOKUP($EE25,_xlfn.ANCHORARRAY( $CP$15), $CR$15:$CU$19))</f>
        <v>-1.0703134986225896E-2</v>
      </c>
      <c r="ES25" s="10" cm="1">
        <f t="array" aca="1" ref="ES25" ca="1">DU25-_xlfn.XLOOKUP(ES$13,_xlfn.ANCHORARRAY( $CR$14), _xlfn.XLOOKUP($ED25,_xlfn.ANCHORARRAY( $CP$15), $CR$15:$CU$19)) * _xlfn.XLOOKUP(ES$14,_xlfn.ANCHORARRAY( $CR$14), _xlfn.XLOOKUP($EE25,_xlfn.ANCHORARRAY( $CP$15), $CR$15:$CU$19))</f>
        <v>9.3542203856749329E-3</v>
      </c>
      <c r="ET25" s="10" cm="1">
        <f t="array" aca="1" ref="ET25" ca="1">DV25-_xlfn.XLOOKUP(ET$13,_xlfn.ANCHORARRAY( $CR$14), _xlfn.XLOOKUP($ED25,_xlfn.ANCHORARRAY( $CP$15), $CR$15:$CU$19)) * _xlfn.XLOOKUP(ET$14,_xlfn.ANCHORARRAY( $CR$14), _xlfn.XLOOKUP($EE25,_xlfn.ANCHORARRAY( $CP$15), $CR$15:$CU$19))</f>
        <v>9.3542203856749329E-3</v>
      </c>
      <c r="EU25" s="10" cm="1">
        <f t="array" aca="1" ref="EU25" ca="1">DW25-_xlfn.XLOOKUP(EU$13,_xlfn.ANCHORARRAY( $CR$14), _xlfn.XLOOKUP($ED25,_xlfn.ANCHORARRAY( $CP$15), $CR$15:$CU$19)) * _xlfn.XLOOKUP(EU$14,_xlfn.ANCHORARRAY( $CR$14), _xlfn.XLOOKUP($EE25,_xlfn.ANCHORARRAY( $CP$15), $CR$15:$CU$19))</f>
        <v>-8.0229421487603356E-3</v>
      </c>
      <c r="EZ25" cm="1">
        <f t="array" aca="1" ref="EZ25" ca="1">INDEX(_xlfn.ANCHORARRAY($CP$15), 1 + INT((ROWS($DG$15:$DG25) - 1) / ROWS(_xlfn.ANCHORARRAY($CP$15))))</f>
        <v>2</v>
      </c>
      <c r="FA25" cm="1">
        <f t="array" aca="1" ref="FA25" ca="1">INDEX(_xlfn.ANCHORARRAY($CP$15),1+MOD(ROWS($DG$15:$DG25)-1,ROWS(_xlfn.ANCHORARRAY($CP$15))))</f>
        <v>0</v>
      </c>
      <c r="FB25" s="10" cm="1">
        <f t="array" aca="1" ref="FB25" ca="1">EF25 * _xlfn.XLOOKUP(FB$13,_xlfn.ANCHORARRAY( $CZ$29), _xlfn.XLOOKUP($EZ25,_xlfn.ANCHORARRAY( $CY$30), $CZ$30:$DC$34)) * _xlfn.XLOOKUP(FB$14,_xlfn.ANCHORARRAY( $CZ$29), _xlfn.XLOOKUP($FA25,_xlfn.ANCHORARRAY( $CY$30), $CZ$30:$DC$34))</f>
        <v>4.3260982864928383E-4</v>
      </c>
      <c r="FC25" s="10" cm="1">
        <f t="array" aca="1" ref="FC25" ca="1">EG25 * _xlfn.XLOOKUP(FC$13,_xlfn.ANCHORARRAY( $CZ$29), _xlfn.XLOOKUP($EZ25,_xlfn.ANCHORARRAY( $CY$30), $CZ$30:$DC$34)) * _xlfn.XLOOKUP(FC$14,_xlfn.ANCHORARRAY( $CZ$29), _xlfn.XLOOKUP($FA25,_xlfn.ANCHORARRAY( $CY$30), $CZ$30:$DC$34))</f>
        <v>1.6995814438079056E-5</v>
      </c>
      <c r="FD25" s="10" cm="1">
        <f t="array" aca="1" ref="FD25" ca="1">EH25 * _xlfn.XLOOKUP(FD$13,_xlfn.ANCHORARRAY( $CZ$29), _xlfn.XLOOKUP($EZ25,_xlfn.ANCHORARRAY( $CY$30), $CZ$30:$DC$34)) * _xlfn.XLOOKUP(FD$14,_xlfn.ANCHORARRAY( $CZ$29), _xlfn.XLOOKUP($FA25,_xlfn.ANCHORARRAY( $CY$30), $CZ$30:$DC$34))</f>
        <v>1.6995814438079056E-5</v>
      </c>
      <c r="FE25" s="10" cm="1">
        <f t="array" aca="1" ref="FE25" ca="1">EI25 * _xlfn.XLOOKUP(FE$13,_xlfn.ANCHORARRAY( $CZ$29), _xlfn.XLOOKUP($EZ25,_xlfn.ANCHORARRAY( $CY$30), $CZ$30:$DC$34)) * _xlfn.XLOOKUP(FE$14,_xlfn.ANCHORARRAY( $CZ$29), _xlfn.XLOOKUP($FA25,_xlfn.ANCHORARRAY( $CY$30), $CZ$30:$DC$34))</f>
        <v>-7.9066871506009996E-5</v>
      </c>
      <c r="FF25" s="10" cm="1">
        <f t="array" aca="1" ref="FF25" ca="1">EJ25 * _xlfn.XLOOKUP(FF$13,_xlfn.ANCHORARRAY( $CZ$29), _xlfn.XLOOKUP($EZ25,_xlfn.ANCHORARRAY( $CY$30), $CZ$30:$DC$34)) * _xlfn.XLOOKUP(FF$14,_xlfn.ANCHORARRAY( $CZ$29), _xlfn.XLOOKUP($FA25,_xlfn.ANCHORARRAY( $CY$30), $CZ$30:$DC$34))</f>
        <v>1.4528757391950198E-3</v>
      </c>
      <c r="FG25" s="10" cm="1">
        <f t="array" aca="1" ref="FG25" ca="1">EK25 * _xlfn.XLOOKUP(FG$13,_xlfn.ANCHORARRAY( $CZ$29), _xlfn.XLOOKUP($EZ25,_xlfn.ANCHORARRAY( $CY$30), $CZ$30:$DC$34)) * _xlfn.XLOOKUP(FG$14,_xlfn.ANCHORARRAY( $CZ$29), _xlfn.XLOOKUP($FA25,_xlfn.ANCHORARRAY( $CY$30), $CZ$30:$DC$34))</f>
        <v>9.4882990163350038E-4</v>
      </c>
      <c r="FH25" s="10" cm="1">
        <f t="array" aca="1" ref="FH25" ca="1">EL25 * _xlfn.XLOOKUP(FH$13,_xlfn.ANCHORARRAY( $CZ$29), _xlfn.XLOOKUP($EZ25,_xlfn.ANCHORARRAY( $CY$30), $CZ$30:$DC$34)) * _xlfn.XLOOKUP(FH$14,_xlfn.ANCHORARRAY( $CZ$29), _xlfn.XLOOKUP($FA25,_xlfn.ANCHORARRAY( $CY$30), $CZ$30:$DC$34))</f>
        <v>9.4882990163350038E-4</v>
      </c>
      <c r="FI25" s="10" cm="1">
        <f t="array" aca="1" ref="FI25" ca="1">EM25 * _xlfn.XLOOKUP(FI$13,_xlfn.ANCHORARRAY( $CZ$29), _xlfn.XLOOKUP($EZ25,_xlfn.ANCHORARRAY( $CY$30), $CZ$30:$DC$34)) * _xlfn.XLOOKUP(FI$14,_xlfn.ANCHORARRAY( $CZ$29), _xlfn.XLOOKUP($FA25,_xlfn.ANCHORARRAY( $CY$30), $CZ$30:$DC$34))</f>
        <v>2.2067311376447544E-4</v>
      </c>
      <c r="FJ25" s="10" cm="1">
        <f t="array" aca="1" ref="FJ25" ca="1">EN25 * _xlfn.XLOOKUP(FJ$13,_xlfn.ANCHORARRAY( $CZ$29), _xlfn.XLOOKUP($EZ25,_xlfn.ANCHORARRAY( $CY$30), $CZ$30:$DC$34)) * _xlfn.XLOOKUP(FJ$14,_xlfn.ANCHORARRAY( $CZ$29), _xlfn.XLOOKUP($FA25,_xlfn.ANCHORARRAY( $CY$30), $CZ$30:$DC$34))</f>
        <v>1.6964773655944287E-3</v>
      </c>
      <c r="FK25" s="10" cm="1">
        <f t="array" aca="1" ref="FK25" ca="1">EO25 * _xlfn.XLOOKUP(FK$13,_xlfn.ANCHORARRAY( $CZ$29), _xlfn.XLOOKUP($EZ25,_xlfn.ANCHORARRAY( $CY$30), $CZ$30:$DC$34)) * _xlfn.XLOOKUP(FK$14,_xlfn.ANCHORARRAY( $CZ$29), _xlfn.XLOOKUP($FA25,_xlfn.ANCHORARRAY( $CY$30), $CZ$30:$DC$34))</f>
        <v>1.1507015485690052E-3</v>
      </c>
      <c r="FL25" s="10" cm="1">
        <f t="array" aca="1" ref="FL25" ca="1">EP25 * _xlfn.XLOOKUP(FL$13,_xlfn.ANCHORARRAY( $CZ$29), _xlfn.XLOOKUP($EZ25,_xlfn.ANCHORARRAY( $CY$30), $CZ$30:$DC$34)) * _xlfn.XLOOKUP(FL$14,_xlfn.ANCHORARRAY( $CZ$29), _xlfn.XLOOKUP($FA25,_xlfn.ANCHORARRAY( $CY$30), $CZ$30:$DC$34))</f>
        <v>-4.2731045279289035E-3</v>
      </c>
      <c r="FM25" s="10" cm="1">
        <f t="array" aca="1" ref="FM25" ca="1">EQ25 * _xlfn.XLOOKUP(FM$13,_xlfn.ANCHORARRAY( $CZ$29), _xlfn.XLOOKUP($EZ25,_xlfn.ANCHORARRAY( $CY$30), $CZ$30:$DC$34)) * _xlfn.XLOOKUP(FM$14,_xlfn.ANCHORARRAY( $CZ$29), _xlfn.XLOOKUP($FA25,_xlfn.ANCHORARRAY( $CY$30), $CZ$30:$DC$34))</f>
        <v>-1.178836488490704E-3</v>
      </c>
      <c r="FN25" s="10" cm="1">
        <f t="array" aca="1" ref="FN25" ca="1">ER25 * _xlfn.XLOOKUP(FN$13,_xlfn.ANCHORARRAY( $CZ$29), _xlfn.XLOOKUP($EZ25,_xlfn.ANCHORARRAY( $CY$30), $CZ$30:$DC$34)) * _xlfn.XLOOKUP(FN$14,_xlfn.ANCHORARRAY( $CZ$29), _xlfn.XLOOKUP($FA25,_xlfn.ANCHORARRAY( $CY$30), $CZ$30:$DC$34))</f>
        <v>1.6964773655944287E-3</v>
      </c>
      <c r="FO25" s="10" cm="1">
        <f t="array" aca="1" ref="FO25" ca="1">ES25 * _xlfn.XLOOKUP(FO$13,_xlfn.ANCHORARRAY( $CZ$29), _xlfn.XLOOKUP($EZ25,_xlfn.ANCHORARRAY( $CY$30), $CZ$30:$DC$34)) * _xlfn.XLOOKUP(FO$14,_xlfn.ANCHORARRAY( $CZ$29), _xlfn.XLOOKUP($FA25,_xlfn.ANCHORARRAY( $CY$30), $CZ$30:$DC$34))</f>
        <v>1.1507015485690052E-3</v>
      </c>
      <c r="FP25" s="10" cm="1">
        <f t="array" aca="1" ref="FP25" ca="1">ET25 * _xlfn.XLOOKUP(FP$13,_xlfn.ANCHORARRAY( $CZ$29), _xlfn.XLOOKUP($EZ25,_xlfn.ANCHORARRAY( $CY$30), $CZ$30:$DC$34)) * _xlfn.XLOOKUP(FP$14,_xlfn.ANCHORARRAY( $CZ$29), _xlfn.XLOOKUP($FA25,_xlfn.ANCHORARRAY( $CY$30), $CZ$30:$DC$34))</f>
        <v>1.1507015485690052E-3</v>
      </c>
      <c r="FQ25" s="10" cm="1">
        <f t="array" aca="1" ref="FQ25" ca="1">EU25 * _xlfn.XLOOKUP(FQ$13,_xlfn.ANCHORARRAY( $CZ$29), _xlfn.XLOOKUP($EZ25,_xlfn.ANCHORARRAY( $CY$30), $CZ$30:$DC$34)) * _xlfn.XLOOKUP(FQ$14,_xlfn.ANCHORARRAY( $CZ$29), _xlfn.XLOOKUP($FA25,_xlfn.ANCHORARRAY( $CY$30), $CZ$30:$DC$34))</f>
        <v>2.6221985190289329E-4</v>
      </c>
      <c r="FT25" cm="1">
        <f t="array" aca="1" ref="FT25" ca="1">SQRT(SUM((FB25:FQ25)^2))</f>
        <v>5.7965792964557563E-3</v>
      </c>
    </row>
    <row r="26" spans="1:176" x14ac:dyDescent="0.2">
      <c r="D26" s="10">
        <f ca="1"/>
        <v>12</v>
      </c>
      <c r="F26" s="10">
        <f ca="1"/>
        <v>0.33333333333333331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3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4"/>
        <v>1</v>
      </c>
      <c r="N26" s="2">
        <v>11</v>
      </c>
      <c r="O26" s="12" t="s">
        <v>3</v>
      </c>
      <c r="P26" s="9" t="s">
        <v>2</v>
      </c>
      <c r="Q26" s="9" t="s">
        <v>1</v>
      </c>
      <c r="R26" s="9" t="s">
        <v>3</v>
      </c>
      <c r="S26" s="9" t="s">
        <v>3</v>
      </c>
      <c r="AK26" s="7"/>
      <c r="AN26">
        <f t="shared" ca="1" si="5"/>
        <v>3</v>
      </c>
      <c r="AO26" s="14">
        <f t="shared" ca="1" si="6"/>
        <v>0.33333333333333331</v>
      </c>
      <c r="AP26" s="2">
        <f ca="1"/>
        <v>12</v>
      </c>
      <c r="AQ26" cm="1">
        <f t="array" aca="1" ref="AQ26" ca="1">IF($AP26=AQ$14, 1, SUMPRODUCT(
    --(OFFSET($O$13,0,0,1,$B$9)=TRUE),
    --(INDEX(OFFSET($O$15,0,0,$B$8,$B$9), 1+$AP26, 0) = INDEX(OFFSET($O$15,0,0,$B$8,$B$9), 1+AQ$14, 0))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
) / $B$13)</f>
        <v>0</v>
      </c>
      <c r="AS26" cm="1">
        <f t="array" aca="1" ref="AS26" ca="1">IF($AP26=AS$14, 1, SUMPRODUCT(
    --(OFFSET($O$13,0,0,1,$B$9)=TRUE),
    --(INDEX(OFFSET($O$15,0,0,$B$8,$B$9), 1+$AP26, 0) = INDEX(OFFSET($O$15,0,0,$B$8,$B$9), 1+AS$14, 0))
) / $B$13)</f>
        <v>0</v>
      </c>
      <c r="AT26" cm="1">
        <f t="array" aca="1" ref="AT26" ca="1">IF($AP26=AT$14, 1, SUMPRODUCT(
    --(OFFSET($O$13,0,0,1,$B$9)=TRUE),
    --(INDEX(OFFSET($O$15,0,0,$B$8,$B$9), 1+$AP26, 0) = INDEX(OFFSET($O$15,0,0,$B$8,$B$9), 1+AT$14, 0))
) / $B$13)</f>
        <v>0.8</v>
      </c>
      <c r="AU26" cm="1">
        <f t="array" aca="1" ref="AU26" ca="1">IF($AP26=AU$14, 1, SUMPRODUCT(
    --(OFFSET($O$13,0,0,1,$B$9)=TRUE),
    --(INDEX(OFFSET($O$15,0,0,$B$8,$B$9), 1+$AP26, 0) = INDEX(OFFSET($O$15,0,0,$B$8,$B$9), 1+AU$14, 0))
) / $B$13)</f>
        <v>0.4</v>
      </c>
      <c r="AV26" cm="1">
        <f t="array" aca="1" ref="AV26" ca="1">IF($AP26=AV$14, 1, SUMPRODUCT(
    --(OFFSET($O$13,0,0,1,$B$9)=TRUE),
    --(INDEX(OFFSET($O$15,0,0,$B$8,$B$9), 1+$AP26, 0) = INDEX(OFFSET($O$15,0,0,$B$8,$B$9), 1+AV$14, 0))
) / $B$13)</f>
        <v>0.4</v>
      </c>
      <c r="AW26" cm="1">
        <f t="array" aca="1" ref="AW26" ca="1">IF($AP26=AW$14, 1, SUMPRODUCT(
    --(OFFSET($O$13,0,0,1,$B$9)=TRUE),
    --(INDEX(OFFSET($O$15,0,0,$B$8,$B$9), 1+$AP26, 0) = INDEX(OFFSET($O$15,0,0,$B$8,$B$9), 1+AW$14, 0))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
) / $B$13)</f>
        <v>0</v>
      </c>
      <c r="AZ26" cm="1">
        <f t="array" aca="1" ref="AZ26" ca="1">IF($AP26=AZ$14, 1, SUMPRODUCT(
    --(OFFSET($O$13,0,0,1,$B$9)=TRUE),
    --(INDEX(OFFSET($O$15,0,0,$B$8,$B$9), 1+$AP26, 0) = INDEX(OFFSET($O$15,0,0,$B$8,$B$9), 1+AZ$14, 0))
) / $B$13)</f>
        <v>0</v>
      </c>
      <c r="BA26" cm="1">
        <f t="array" aca="1" ref="BA26" ca="1">IF($AP26=BA$14, 1, SUMPRODUCT(
    --(OFFSET($O$13,0,0,1,$B$9)=TRUE),
    --(INDEX(OFFSET($O$15,0,0,$B$8,$B$9), 1+$AP26, 0) = INDEX(OFFSET($O$15,0,0,$B$8,$B$9), 1+BA$14, 0))
) / $B$13)</f>
        <v>0</v>
      </c>
      <c r="BB26" cm="1">
        <f t="array" aca="1" ref="BB26" ca="1">IF($AP26=BB$14, 1, SUMPRODUCT(
    --(OFFSET($O$13,0,0,1,$B$9)=TRUE),
    --(INDEX(OFFSET($O$15,0,0,$B$8,$B$9), 1+$AP26, 0) = INDEX(OFFSET($O$15,0,0,$B$8,$B$9), 1+BB$14, 0))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
) / $B$13)</f>
        <v>0.6</v>
      </c>
      <c r="BD26" cm="1">
        <f t="array" aca="1" ref="BD26" ca="1">IF($AP26=BD$14, 1, SUMPRODUCT(
    --(OFFSET($O$13,0,0,1,$B$9)=TRUE),
    --(INDEX(OFFSET($O$15,0,0,$B$8,$B$9), 1+$AP26, 0) = INDEX(OFFSET($O$15,0,0,$B$8,$B$9), 1+BD$14, 0))
) / $B$13)</f>
        <v>0.6</v>
      </c>
      <c r="BE26" cm="1">
        <f t="array" aca="1" ref="BE26" ca="1">IF($AP26=BE$14, 1, SUMPRODUCT(
    --(OFFSET($O$13,0,0,1,$B$9)=TRUE),
    --(INDEX(OFFSET($O$15,0,0,$B$8,$B$9), 1+$AP26, 0) = INDEX(OFFSET($O$15,0,0,$B$8,$B$9), 1+BE$14, 0))
) / $B$13)</f>
        <v>0.6</v>
      </c>
      <c r="BF26" cm="1">
        <f t="array" aca="1" ref="BF26" ca="1">IF($AP26=BF$14, 1, SUMPRODUCT(
    --(OFFSET($O$13,0,0,1,$B$9)=TRUE),
    --(INDEX(OFFSET($O$15,0,0,$B$8,$B$9), 1+$AP26, 0) = INDEX(OFFSET($O$15,0,0,$B$8,$B$9), 1+BF$14, 0))
) / $B$13)</f>
        <v>0.6</v>
      </c>
      <c r="BG26" cm="1">
        <f t="array" aca="1" ref="BG26" ca="1">IF($AP26=BG$14, 1, SUMPRODUCT(
    --(OFFSET($O$13,0,0,1,$B$9)=TRUE),
    --(INDEX(OFFSET($O$15,0,0,$B$8,$B$9), 1+$AP26, 0) = INDEX(OFFSET($O$15,0,0,$B$8,$B$9), 1+BG$14, 0))
) / $B$13)</f>
        <v>0.4</v>
      </c>
      <c r="BH26" cm="1">
        <f t="array" aca="1" ref="BH26" ca="1">IF($AP26=BH$14, 1, SUMPRODUCT(
    --(OFFSET($O$13,0,0,1,$B$9)=TRUE),
    --(INDEX(OFFSET($O$15,0,0,$B$8,$B$9), 1+$AP26, 0) = INDEX(OFFSET($O$15,0,0,$B$8,$B$9), 1+BH$14, 0))
) / $B$13)</f>
        <v>0.8</v>
      </c>
      <c r="BI26" cm="1">
        <f t="array" aca="1" ref="BI26" ca="1">IF($AP26=BI$14, 1, SUMPRODUCT(
    --(OFFSET($O$13,0,0,1,$B$9)=TRUE),
    --(INDEX(OFFSET($O$15,0,0,$B$8,$B$9), 1+$AP26, 0) = INDEX(OFFSET($O$15,0,0,$B$8,$B$9), 1+BI$14, 0))
) / $B$13)</f>
        <v>0.4</v>
      </c>
      <c r="BJ26" cm="1">
        <f t="array" aca="1" ref="BJ26" ca="1">IF($AP26=BJ$14, 1, SUMPRODUCT(
    --(OFFSET($O$13,0,0,1,$B$9)=TRUE),
    --(INDEX(OFFSET($O$15,0,0,$B$8,$B$9), 1+$AP26, 0) = INDEX(OFFSET($O$15,0,0,$B$8,$B$9), 1+BJ$14, 0))
) / $B$13)</f>
        <v>0</v>
      </c>
      <c r="BN26">
        <f t="shared" ca="1" si="7"/>
        <v>3</v>
      </c>
      <c r="BO26" s="14">
        <f t="shared" ca="1" si="8"/>
        <v>0.33333333333333331</v>
      </c>
      <c r="BP26" s="2">
        <f ca="1"/>
        <v>12</v>
      </c>
      <c r="BQ26" cm="1">
        <f t="array" aca="1" ref="BQ26" ca="1">IF($BP26=BQ$14, 1, SUMPRODUCT(
    --(OFFSET($O$9,0,0,1,$B$9)=TRUE),
    --(INDEX(OFFSET($O$15,0,0,$B$8,$B$9), 1+$BP26, 0) = INDEX(OFFSET($O$15,0,0,$B$8,$B$9), 1+BQ$14, 0))
) / $B$16)</f>
        <v>0.4</v>
      </c>
      <c r="BR26" cm="1">
        <f t="array" aca="1" ref="BR26" ca="1">IF($BP26=BR$14, 1, SUMPRODUCT(
    --(OFFSET($O$9,0,0,1,$B$9)=TRUE),
    --(INDEX(OFFSET($O$15,0,0,$B$8,$B$9), 1+$BP26, 0) = INDEX(OFFSET($O$15,0,0,$B$8,$B$9), 1+BR$14, 0))
) / $B$16)</f>
        <v>0</v>
      </c>
      <c r="BS26" cm="1">
        <f t="array" aca="1" ref="BS26" ca="1">IF($BP26=BS$14, 1, SUMPRODUCT(
    --(OFFSET($O$9,0,0,1,$B$9)=TRUE),
    --(INDEX(OFFSET($O$15,0,0,$B$8,$B$9), 1+$BP26, 0) = INDEX(OFFSET($O$15,0,0,$B$8,$B$9), 1+BS$14, 0))
) / $B$16)</f>
        <v>0</v>
      </c>
      <c r="BT26" cm="1">
        <f t="array" aca="1" ref="BT26" ca="1">IF($BP26=BT$14, 1, SUMPRODUCT(
    --(OFFSET($O$9,0,0,1,$B$9)=TRUE),
    --(INDEX(OFFSET($O$15,0,0,$B$8,$B$9), 1+$BP26, 0) = INDEX(OFFSET($O$15,0,0,$B$8,$B$9), 1+BT$14, 0))
) / $B$16)</f>
        <v>0.8</v>
      </c>
      <c r="BU26" cm="1">
        <f t="array" aca="1" ref="BU26" ca="1">IF($BP26=BU$14, 1, SUMPRODUCT(
    --(OFFSET($O$9,0,0,1,$B$9)=TRUE),
    --(INDEX(OFFSET($O$15,0,0,$B$8,$B$9), 1+$BP26, 0) = INDEX(OFFSET($O$15,0,0,$B$8,$B$9), 1+BU$14, 0))
) / $B$16)</f>
        <v>0.4</v>
      </c>
      <c r="BV26" cm="1">
        <f t="array" aca="1" ref="BV26" ca="1">IF($BP26=BV$14, 1, SUMPRODUCT(
    --(OFFSET($O$9,0,0,1,$B$9)=TRUE),
    --(INDEX(OFFSET($O$15,0,0,$B$8,$B$9), 1+$BP26, 0) = INDEX(OFFSET($O$15,0,0,$B$8,$B$9), 1+BV$14, 0))
) / $B$16)</f>
        <v>0.4</v>
      </c>
      <c r="BW26" cm="1">
        <f t="array" aca="1" ref="BW26" ca="1">IF($BP26=BW$14, 1, SUMPRODUCT(
    --(OFFSET($O$9,0,0,1,$B$9)=TRUE),
    --(INDEX(OFFSET($O$15,0,0,$B$8,$B$9), 1+$BP26, 0) = INDEX(OFFSET($O$15,0,0,$B$8,$B$9), 1+BW$14, 0))
) / $B$16)</f>
        <v>0.4</v>
      </c>
      <c r="BX26" cm="1">
        <f t="array" aca="1" ref="BX26" ca="1">IF($BP26=BX$14, 1, SUMPRODUCT(
    --(OFFSET($O$9,0,0,1,$B$9)=TRUE),
    --(INDEX(OFFSET($O$15,0,0,$B$8,$B$9), 1+$BP26, 0) = INDEX(OFFSET($O$15,0,0,$B$8,$B$9), 1+BX$14, 0))
) / $B$16)</f>
        <v>0.4</v>
      </c>
      <c r="BY26" cm="1">
        <f t="array" aca="1" ref="BY26" ca="1">IF($BP26=BY$14, 1, SUMPRODUCT(
    --(OFFSET($O$9,0,0,1,$B$9)=TRUE),
    --(INDEX(OFFSET($O$15,0,0,$B$8,$B$9), 1+$BP26, 0) = INDEX(OFFSET($O$15,0,0,$B$8,$B$9), 1+BY$14, 0))
) / $B$16)</f>
        <v>0</v>
      </c>
      <c r="BZ26" cm="1">
        <f t="array" aca="1" ref="BZ26" ca="1">IF($BP26=BZ$14, 1, SUMPRODUCT(
    --(OFFSET($O$9,0,0,1,$B$9)=TRUE),
    --(INDEX(OFFSET($O$15,0,0,$B$8,$B$9), 1+$BP26, 0) = INDEX(OFFSET($O$15,0,0,$B$8,$B$9), 1+BZ$14, 0))
) / $B$16)</f>
        <v>0</v>
      </c>
      <c r="CA26" cm="1">
        <f t="array" aca="1" ref="CA26" ca="1">IF($BP26=CA$14, 1, SUMPRODUCT(
    --(OFFSET($O$9,0,0,1,$B$9)=TRUE),
    --(INDEX(OFFSET($O$15,0,0,$B$8,$B$9), 1+$BP26, 0) = INDEX(OFFSET($O$15,0,0,$B$8,$B$9), 1+CA$14, 0))
) / $B$16)</f>
        <v>0</v>
      </c>
      <c r="CB26" cm="1">
        <f t="array" aca="1" ref="CB26" ca="1">IF($BP26=CB$14, 1, SUMPRODUCT(
    --(OFFSET($O$9,0,0,1,$B$9)=TRUE),
    --(INDEX(OFFSET($O$15,0,0,$B$8,$B$9), 1+$BP26, 0) = INDEX(OFFSET($O$15,0,0,$B$8,$B$9), 1+CB$14, 0))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
) / $B$16)</f>
        <v>0.6</v>
      </c>
      <c r="CD26" cm="1">
        <f t="array" aca="1" ref="CD26" ca="1">IF($BP26=CD$14, 1, SUMPRODUCT(
    --(OFFSET($O$9,0,0,1,$B$9)=TRUE),
    --(INDEX(OFFSET($O$15,0,0,$B$8,$B$9), 1+$BP26, 0) = INDEX(OFFSET($O$15,0,0,$B$8,$B$9), 1+CD$14, 0))
) / $B$16)</f>
        <v>0.6</v>
      </c>
      <c r="CE26" cm="1">
        <f t="array" aca="1" ref="CE26" ca="1">IF($BP26=CE$14, 1, SUMPRODUCT(
    --(OFFSET($O$9,0,0,1,$B$9)=TRUE),
    --(INDEX(OFFSET($O$15,0,0,$B$8,$B$9), 1+$BP26, 0) = INDEX(OFFSET($O$15,0,0,$B$8,$B$9), 1+CE$14, 0))
) / $B$16)</f>
        <v>0.6</v>
      </c>
      <c r="CF26" cm="1">
        <f t="array" aca="1" ref="CF26" ca="1">IF($BP26=CF$14, 1, SUMPRODUCT(
    --(OFFSET($O$9,0,0,1,$B$9)=TRUE),
    --(INDEX(OFFSET($O$15,0,0,$B$8,$B$9), 1+$BP26, 0) = INDEX(OFFSET($O$15,0,0,$B$8,$B$9), 1+CF$14, 0))
) / $B$16)</f>
        <v>0.6</v>
      </c>
      <c r="CG26" cm="1">
        <f t="array" aca="1" ref="CG26" ca="1">IF($BP26=CG$14, 1, SUMPRODUCT(
    --(OFFSET($O$9,0,0,1,$B$9)=TRUE),
    --(INDEX(OFFSET($O$15,0,0,$B$8,$B$9), 1+$BP26, 0) = INDEX(OFFSET($O$15,0,0,$B$8,$B$9), 1+CG$14, 0))
) / $B$16)</f>
        <v>0.4</v>
      </c>
      <c r="CH26" cm="1">
        <f t="array" aca="1" ref="CH26" ca="1">IF($BP26=CH$14, 1, SUMPRODUCT(
    --(OFFSET($O$9,0,0,1,$B$9)=TRUE),
    --(INDEX(OFFSET($O$15,0,0,$B$8,$B$9), 1+$BP26, 0) = INDEX(OFFSET($O$15,0,0,$B$8,$B$9), 1+CH$14, 0))
) / $B$16)</f>
        <v>0.8</v>
      </c>
      <c r="CI26" cm="1">
        <f t="array" aca="1" ref="CI26" ca="1">IF($BP26=CI$14, 1, SUMPRODUCT(
    --(OFFSET($O$9,0,0,1,$B$9)=TRUE),
    --(INDEX(OFFSET($O$15,0,0,$B$8,$B$9), 1+$BP26, 0) = INDEX(OFFSET($O$15,0,0,$B$8,$B$9), 1+CI$14, 0))
) / $B$16)</f>
        <v>0.4</v>
      </c>
      <c r="CJ26" cm="1">
        <f t="array" aca="1" ref="CJ26" ca="1">IF($BP26=CJ$14, 1, SUMPRODUCT(
    --(OFFSET($O$9,0,0,1,$B$9)=TRUE),
    --(INDEX(OFFSET($O$15,0,0,$B$8,$B$9), 1+$BP26, 0) = INDEX(OFFSET($O$15,0,0,$B$8,$B$9), 1+CJ$14, 0))
) / $B$16)</f>
        <v>0</v>
      </c>
      <c r="DF26" cm="1">
        <f t="array" aca="1" ref="DF26" ca="1">INDEX(_xlfn.ANCHORARRAY($CP$15), 1 + INT((ROWS($DG$15:$DG26) - 1) / ROWS(_xlfn.ANCHORARRAY($CP$15))))</f>
        <v>2</v>
      </c>
      <c r="DG26" cm="1">
        <f t="array" aca="1" ref="DG26" ca="1">INDEX(_xlfn.ANCHORARRAY($CP$15),1+MOD(ROWS($DG$15:$DG26)-1,ROWS(_xlfn.ANCHORARRAY($CP$15))))</f>
        <v>1</v>
      </c>
      <c r="DH26" s="10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$B$18/($B$19*$B$19*($DF26&lt;&gt;$DG26) + $B$19*($DF26=$DG26))</f>
        <v>4.529090909090909E-2</v>
      </c>
      <c r="DI26" s="10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$B$18/($B$19*$B$19*($DF26&lt;&gt;$DG26) + $B$19*($DF26=$DG26))</f>
        <v>0.11877575757575758</v>
      </c>
      <c r="DJ26" s="10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$B$18/($B$19*$B$19*($DF26&lt;&gt;$DG26) + $B$19*($DF26=$DG26))</f>
        <v>4.529090909090909E-2</v>
      </c>
      <c r="DK26" s="10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$B$18/($B$19*$B$19*($DF26&lt;&gt;$DG26) + $B$19*($DF26=$DG26))</f>
        <v>4.529090909090909E-2</v>
      </c>
      <c r="DL26" s="10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$B$18/($B$19*$B$19*($DF26&lt;&gt;$DG26) + $B$19*($DF26=$DG26))</f>
        <v>4.529090909090909E-2</v>
      </c>
      <c r="DM26" s="10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$B$18/($B$19*$B$19*($DF26&lt;&gt;$DG26) + $B$19*($DF26=$DG26))</f>
        <v>0.11877575757575758</v>
      </c>
      <c r="DN26" s="10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$B$18/($B$19*$B$19*($DF26&lt;&gt;$DG26) + $B$19*($DF26=$DG26))</f>
        <v>8.9381818181818187E-2</v>
      </c>
      <c r="DO26" s="10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$B$18/($B$19*$B$19*($DF26&lt;&gt;$DG26) + $B$19*($DF26=$DG26))</f>
        <v>4.529090909090909E-2</v>
      </c>
      <c r="DP26" s="10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$B$18/($B$19*$B$19*($DF26&lt;&gt;$DG26) + $B$19*($DF26=$DG26))</f>
        <v>0.1334727272727273</v>
      </c>
      <c r="DQ26" s="10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$B$18/($B$19*$B$19*($DF26&lt;&gt;$DG26) + $B$19*($DF26=$DG26))</f>
        <v>5.9987878787878784E-2</v>
      </c>
      <c r="DR26" s="10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$B$18/($B$19*$B$19*($DF26&lt;&gt;$DG26) + $B$19*($DF26=$DG26))</f>
        <v>1.1999999999999999E-3</v>
      </c>
      <c r="DS26" s="10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$B$18/($B$19*$B$19*($DF26&lt;&gt;$DG26) + $B$19*($DF26=$DG26))</f>
        <v>1.1999999999999999E-3</v>
      </c>
      <c r="DT26" s="10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$B$18/($B$19*$B$19*($DF26&lt;&gt;$DG26) + $B$19*($DF26=$DG26))</f>
        <v>4.529090909090909E-2</v>
      </c>
      <c r="DU26" s="10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$B$18/($B$19*$B$19*($DF26&lt;&gt;$DG26) + $B$19*($DF26=$DG26))</f>
        <v>5.9987878787878784E-2</v>
      </c>
      <c r="DV26" s="10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$B$18/($B$19*$B$19*($DF26&lt;&gt;$DG26) + $B$19*($DF26=$DG26))</f>
        <v>4.529090909090909E-2</v>
      </c>
      <c r="DW26" s="10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$B$18/($B$19*$B$19*($DF26&lt;&gt;$DG26) + $B$19*($DF26=$DG26))</f>
        <v>4.529090909090909E-2</v>
      </c>
      <c r="ED26" cm="1">
        <f t="array" aca="1" ref="ED26" ca="1">INDEX(_xlfn.ANCHORARRAY($CP$15), 1 + INT((ROWS($DG$15:$DG26) - 1) / ROWS(_xlfn.ANCHORARRAY($CP$15))))</f>
        <v>2</v>
      </c>
      <c r="EE26" cm="1">
        <f t="array" aca="1" ref="EE26" ca="1">INDEX(_xlfn.ANCHORARRAY($CP$15),1+MOD(ROWS($DG$15:$DG26)-1,ROWS(_xlfn.ANCHORARRAY($CP$15))))</f>
        <v>1</v>
      </c>
      <c r="EF26" s="10" cm="1">
        <f t="array" aca="1" ref="EF26" ca="1">DH26-_xlfn.XLOOKUP(EF$13,_xlfn.ANCHORARRAY( $CR$14), _xlfn.XLOOKUP($ED26,_xlfn.ANCHORARRAY( $CP$15), $CR$15:$CU$19)) * _xlfn.XLOOKUP(EF$14,_xlfn.ANCHORARRAY( $CR$14), _xlfn.XLOOKUP($EE26,_xlfn.ANCHORARRAY( $CP$15), $CR$15:$CU$19))</f>
        <v>-2.392773553719009E-2</v>
      </c>
      <c r="EG26" s="10" cm="1">
        <f t="array" aca="1" ref="EG26" ca="1">DI26-_xlfn.XLOOKUP(EG$13,_xlfn.ANCHORARRAY( $CR$14), _xlfn.XLOOKUP($ED26,_xlfn.ANCHORARRAY( $CP$15), $CR$15:$CU$19)) * _xlfn.XLOOKUP(EG$14,_xlfn.ANCHORARRAY( $CR$14), _xlfn.XLOOKUP($EE26,_xlfn.ANCHORARRAY( $CP$15), $CR$15:$CU$19))</f>
        <v>2.6995928374655656E-2</v>
      </c>
      <c r="EH26" s="10" cm="1">
        <f t="array" aca="1" ref="EH26" ca="1">DJ26-_xlfn.XLOOKUP(EH$13,_xlfn.ANCHORARRAY( $CR$14), _xlfn.XLOOKUP($ED26,_xlfn.ANCHORARRAY( $CP$15), $CR$15:$CU$19)) * _xlfn.XLOOKUP(EH$14,_xlfn.ANCHORARRAY( $CR$14), _xlfn.XLOOKUP($EE26,_xlfn.ANCHORARRAY( $CP$15), $CR$15:$CU$19))</f>
        <v>-1.3665509641873283E-3</v>
      </c>
      <c r="EI26" s="10" cm="1">
        <f t="array" aca="1" ref="EI26" ca="1">DK26-_xlfn.XLOOKUP(EI$13,_xlfn.ANCHORARRAY( $CR$14), _xlfn.XLOOKUP($ED26,_xlfn.ANCHORARRAY( $CP$15), $CR$15:$CU$19)) * _xlfn.XLOOKUP(EI$14,_xlfn.ANCHORARRAY( $CR$14), _xlfn.XLOOKUP($EE26,_xlfn.ANCHORARRAY( $CP$15), $CR$15:$CU$19))</f>
        <v>-1.3665509641873283E-3</v>
      </c>
      <c r="EJ26" s="10" cm="1">
        <f t="array" aca="1" ref="EJ26" ca="1">DL26-_xlfn.XLOOKUP(EJ$13,_xlfn.ANCHORARRAY( $CR$14), _xlfn.XLOOKUP($ED26,_xlfn.ANCHORARRAY( $CP$15), $CR$15:$CU$19)) * _xlfn.XLOOKUP(EJ$14,_xlfn.ANCHORARRAY( $CR$14), _xlfn.XLOOKUP($EE26,_xlfn.ANCHORARRAY( $CP$15), $CR$15:$CU$19))</f>
        <v>-3.5856330578512396E-2</v>
      </c>
      <c r="EK26" s="10" cm="1">
        <f t="array" aca="1" ref="EK26" ca="1">DM26-_xlfn.XLOOKUP(EK$13,_xlfn.ANCHORARRAY( $CR$14), _xlfn.XLOOKUP($ED26,_xlfn.ANCHORARRAY( $CP$15), $CR$15:$CU$19)) * _xlfn.XLOOKUP(EK$14,_xlfn.ANCHORARRAY( $CR$14), _xlfn.XLOOKUP($EE26,_xlfn.ANCHORARRAY( $CP$15), $CR$15:$CU$19))</f>
        <v>1.117931680440773E-2</v>
      </c>
      <c r="EL26" s="10" cm="1">
        <f t="array" aca="1" ref="EL26" ca="1">DN26-_xlfn.XLOOKUP(EL$13,_xlfn.ANCHORARRAY( $CR$14), _xlfn.XLOOKUP($ED26,_xlfn.ANCHORARRAY( $CP$15), $CR$15:$CU$19)) * _xlfn.XLOOKUP(EL$14,_xlfn.ANCHORARRAY( $CR$14), _xlfn.XLOOKUP($EE26,_xlfn.ANCHORARRAY( $CP$15), $CR$15:$CU$19))</f>
        <v>3.4683779614325082E-2</v>
      </c>
      <c r="EM26" s="10" cm="1">
        <f t="array" aca="1" ref="EM26" ca="1">DO26-_xlfn.XLOOKUP(EM$13,_xlfn.ANCHORARRAY( $CR$14), _xlfn.XLOOKUP($ED26,_xlfn.ANCHORARRAY( $CP$15), $CR$15:$CU$19)) * _xlfn.XLOOKUP(EM$14,_xlfn.ANCHORARRAY( $CR$14), _xlfn.XLOOKUP($EE26,_xlfn.ANCHORARRAY( $CP$15), $CR$15:$CU$19))</f>
        <v>-9.4071294765840155E-3</v>
      </c>
      <c r="EN26" s="10" cm="1">
        <f t="array" aca="1" ref="EN26" ca="1">DP26-_xlfn.XLOOKUP(EN$13,_xlfn.ANCHORARRAY( $CR$14), _xlfn.XLOOKUP($ED26,_xlfn.ANCHORARRAY( $CP$15), $CR$15:$CU$19)) * _xlfn.XLOOKUP(EN$14,_xlfn.ANCHORARRAY( $CR$14), _xlfn.XLOOKUP($EE26,_xlfn.ANCHORARRAY( $CP$15), $CR$15:$CU$19))</f>
        <v>8.015887603305788E-2</v>
      </c>
      <c r="EO26" s="10" cm="1">
        <f t="array" aca="1" ref="EO26" ca="1">DQ26-_xlfn.XLOOKUP(EO$13,_xlfn.ANCHORARRAY( $CR$14), _xlfn.XLOOKUP($ED26,_xlfn.ANCHORARRAY( $CP$15), $CR$15:$CU$19)) * _xlfn.XLOOKUP(EO$14,_xlfn.ANCHORARRAY( $CR$14), _xlfn.XLOOKUP($EE26,_xlfn.ANCHORARRAY( $CP$15), $CR$15:$CU$19))</f>
        <v>-1.0703134986225896E-2</v>
      </c>
      <c r="EP26" s="10" cm="1">
        <f t="array" aca="1" ref="EP26" ca="1">DR26-_xlfn.XLOOKUP(EP$13,_xlfn.ANCHORARRAY( $CR$14), _xlfn.XLOOKUP($ED26,_xlfn.ANCHORARRAY( $CP$15), $CR$15:$CU$19)) * _xlfn.XLOOKUP(EP$14,_xlfn.ANCHORARRAY( $CR$14), _xlfn.XLOOKUP($EE26,_xlfn.ANCHORARRAY( $CP$15), $CR$15:$CU$19))</f>
        <v>-3.4736688705234157E-2</v>
      </c>
      <c r="EQ26" s="10" cm="1">
        <f t="array" aca="1" ref="EQ26" ca="1">DS26-_xlfn.XLOOKUP(EQ$13,_xlfn.ANCHORARRAY( $CR$14), _xlfn.XLOOKUP($ED26,_xlfn.ANCHORARRAY( $CP$15), $CR$15:$CU$19)) * _xlfn.XLOOKUP(EQ$14,_xlfn.ANCHORARRAY( $CR$14), _xlfn.XLOOKUP($EE26,_xlfn.ANCHORARRAY( $CP$15), $CR$15:$CU$19))</f>
        <v>-3.4736688705234157E-2</v>
      </c>
      <c r="ER26" s="10" cm="1">
        <f t="array" aca="1" ref="ER26" ca="1">DT26-_xlfn.XLOOKUP(ER$13,_xlfn.ANCHORARRAY( $CR$14), _xlfn.XLOOKUP($ED26,_xlfn.ANCHORARRAY( $CP$15), $CR$15:$CU$19)) * _xlfn.XLOOKUP(ER$14,_xlfn.ANCHORARRAY( $CR$14), _xlfn.XLOOKUP($EE26,_xlfn.ANCHORARRAY( $CP$15), $CR$15:$CU$19))</f>
        <v>-8.0229421487603356E-3</v>
      </c>
      <c r="ES26" s="10" cm="1">
        <f t="array" aca="1" ref="ES26" ca="1">DU26-_xlfn.XLOOKUP(ES$13,_xlfn.ANCHORARRAY( $CR$14), _xlfn.XLOOKUP($ED26,_xlfn.ANCHORARRAY( $CP$15), $CR$15:$CU$19)) * _xlfn.XLOOKUP(ES$14,_xlfn.ANCHORARRAY( $CR$14), _xlfn.XLOOKUP($EE26,_xlfn.ANCHORARRAY( $CP$15), $CR$15:$CU$19))</f>
        <v>-1.0703134986225896E-2</v>
      </c>
      <c r="ET26" s="10" cm="1">
        <f t="array" aca="1" ref="ET26" ca="1">DV26-_xlfn.XLOOKUP(ET$13,_xlfn.ANCHORARRAY( $CR$14), _xlfn.XLOOKUP($ED26,_xlfn.ANCHORARRAY( $CP$15), $CR$15:$CU$19)) * _xlfn.XLOOKUP(ET$14,_xlfn.ANCHORARRAY( $CR$14), _xlfn.XLOOKUP($EE26,_xlfn.ANCHORARRAY( $CP$15), $CR$15:$CU$19))</f>
        <v>9.3542203856749329E-3</v>
      </c>
      <c r="EU26" s="10" cm="1">
        <f t="array" aca="1" ref="EU26" ca="1">DW26-_xlfn.XLOOKUP(EU$13,_xlfn.ANCHORARRAY( $CR$14), _xlfn.XLOOKUP($ED26,_xlfn.ANCHORARRAY( $CP$15), $CR$15:$CU$19)) * _xlfn.XLOOKUP(EU$14,_xlfn.ANCHORARRAY( $CR$14), _xlfn.XLOOKUP($EE26,_xlfn.ANCHORARRAY( $CP$15), $CR$15:$CU$19))</f>
        <v>9.3542203856749329E-3</v>
      </c>
      <c r="EZ26" cm="1">
        <f t="array" aca="1" ref="EZ26" ca="1">INDEX(_xlfn.ANCHORARRAY($CP$15), 1 + INT((ROWS($DG$15:$DG26) - 1) / ROWS(_xlfn.ANCHORARRAY($CP$15))))</f>
        <v>2</v>
      </c>
      <c r="FA26" cm="1">
        <f t="array" aca="1" ref="FA26" ca="1">INDEX(_xlfn.ANCHORARRAY($CP$15),1+MOD(ROWS($DG$15:$DG26)-1,ROWS(_xlfn.ANCHORARRAY($CP$15))))</f>
        <v>1</v>
      </c>
      <c r="FB26" s="10" cm="1">
        <f t="array" aca="1" ref="FB26" ca="1">EF26 * _xlfn.XLOOKUP(FB$13,_xlfn.ANCHORARRAY( $CZ$29), _xlfn.XLOOKUP($EZ26,_xlfn.ANCHORARRAY( $CY$30), $CZ$30:$DC$34)) * _xlfn.XLOOKUP(FB$14,_xlfn.ANCHORARRAY( $CZ$29), _xlfn.XLOOKUP($FA26,_xlfn.ANCHORARRAY( $CY$30), $CZ$30:$DC$34))</f>
        <v>-7.9066871506009996E-5</v>
      </c>
      <c r="FC26" s="10" cm="1">
        <f t="array" aca="1" ref="FC26" ca="1">EG26 * _xlfn.XLOOKUP(FC$13,_xlfn.ANCHORARRAY( $CZ$29), _xlfn.XLOOKUP($EZ26,_xlfn.ANCHORARRAY( $CY$30), $CZ$30:$DC$34)) * _xlfn.XLOOKUP(FC$14,_xlfn.ANCHORARRAY( $CZ$29), _xlfn.XLOOKUP($FA26,_xlfn.ANCHORARRAY( $CY$30), $CZ$30:$DC$34))</f>
        <v>4.3260982864928383E-4</v>
      </c>
      <c r="FD26" s="10" cm="1">
        <f t="array" aca="1" ref="FD26" ca="1">EH26 * _xlfn.XLOOKUP(FD$13,_xlfn.ANCHORARRAY( $CZ$29), _xlfn.XLOOKUP($EZ26,_xlfn.ANCHORARRAY( $CY$30), $CZ$30:$DC$34)) * _xlfn.XLOOKUP(FD$14,_xlfn.ANCHORARRAY( $CZ$29), _xlfn.XLOOKUP($FA26,_xlfn.ANCHORARRAY( $CY$30), $CZ$30:$DC$34))</f>
        <v>1.6995814438079056E-5</v>
      </c>
      <c r="FE26" s="10" cm="1">
        <f t="array" aca="1" ref="FE26" ca="1">EI26 * _xlfn.XLOOKUP(FE$13,_xlfn.ANCHORARRAY( $CZ$29), _xlfn.XLOOKUP($EZ26,_xlfn.ANCHORARRAY( $CY$30), $CZ$30:$DC$34)) * _xlfn.XLOOKUP(FE$14,_xlfn.ANCHORARRAY( $CZ$29), _xlfn.XLOOKUP($FA26,_xlfn.ANCHORARRAY( $CY$30), $CZ$30:$DC$34))</f>
        <v>1.6995814438079056E-5</v>
      </c>
      <c r="FF26" s="10" cm="1">
        <f t="array" aca="1" ref="FF26" ca="1">EJ26 * _xlfn.XLOOKUP(FF$13,_xlfn.ANCHORARRAY( $CZ$29), _xlfn.XLOOKUP($EZ26,_xlfn.ANCHORARRAY( $CY$30), $CZ$30:$DC$34)) * _xlfn.XLOOKUP(FF$14,_xlfn.ANCHORARRAY( $CZ$29), _xlfn.XLOOKUP($FA26,_xlfn.ANCHORARRAY( $CY$30), $CZ$30:$DC$34))</f>
        <v>-9.60890482131761E-4</v>
      </c>
      <c r="FG26" s="10" cm="1">
        <f t="array" aca="1" ref="FG26" ca="1">EK26 * _xlfn.XLOOKUP(FG$13,_xlfn.ANCHORARRAY( $CZ$29), _xlfn.XLOOKUP($EZ26,_xlfn.ANCHORARRAY( $CY$30), $CZ$30:$DC$34)) * _xlfn.XLOOKUP(FG$14,_xlfn.ANCHORARRAY( $CZ$29), _xlfn.XLOOKUP($FA26,_xlfn.ANCHORARRAY( $CY$30), $CZ$30:$DC$34))</f>
        <v>1.4528757391950198E-3</v>
      </c>
      <c r="FH26" s="10" cm="1">
        <f t="array" aca="1" ref="FH26" ca="1">EL26 * _xlfn.XLOOKUP(FH$13,_xlfn.ANCHORARRAY( $CZ$29), _xlfn.XLOOKUP($EZ26,_xlfn.ANCHORARRAY( $CY$30), $CZ$30:$DC$34)) * _xlfn.XLOOKUP(FH$14,_xlfn.ANCHORARRAY( $CZ$29), _xlfn.XLOOKUP($FA26,_xlfn.ANCHORARRAY( $CY$30), $CZ$30:$DC$34))</f>
        <v>-3.4983049060453909E-3</v>
      </c>
      <c r="FI26" s="10" cm="1">
        <f t="array" aca="1" ref="FI26" ca="1">EM26 * _xlfn.XLOOKUP(FI$13,_xlfn.ANCHORARRAY( $CZ$29), _xlfn.XLOOKUP($EZ26,_xlfn.ANCHORARRAY( $CY$30), $CZ$30:$DC$34)) * _xlfn.XLOOKUP(FI$14,_xlfn.ANCHORARRAY( $CZ$29), _xlfn.XLOOKUP($FA26,_xlfn.ANCHORARRAY( $CY$30), $CZ$30:$DC$34))</f>
        <v>9.4882990163350038E-4</v>
      </c>
      <c r="FJ26" s="10" cm="1">
        <f t="array" aca="1" ref="FJ26" ca="1">EN26 * _xlfn.XLOOKUP(FJ$13,_xlfn.ANCHORARRAY( $CZ$29), _xlfn.XLOOKUP($EZ26,_xlfn.ANCHORARRAY( $CY$30), $CZ$30:$DC$34)) * _xlfn.XLOOKUP(FJ$14,_xlfn.ANCHORARRAY( $CZ$29), _xlfn.XLOOKUP($FA26,_xlfn.ANCHORARRAY( $CY$30), $CZ$30:$DC$34))</f>
        <v>-2.6198928288843023E-3</v>
      </c>
      <c r="FK26" s="10" cm="1">
        <f t="array" aca="1" ref="FK26" ca="1">EO26 * _xlfn.XLOOKUP(FK$13,_xlfn.ANCHORARRAY( $CZ$29), _xlfn.XLOOKUP($EZ26,_xlfn.ANCHORARRAY( $CY$30), $CZ$30:$DC$34)) * _xlfn.XLOOKUP(FK$14,_xlfn.ANCHORARRAY( $CZ$29), _xlfn.XLOOKUP($FA26,_xlfn.ANCHORARRAY( $CY$30), $CZ$30:$DC$34))</f>
        <v>1.6964773655944287E-3</v>
      </c>
      <c r="FL26" s="10" cm="1">
        <f t="array" aca="1" ref="FL26" ca="1">EP26 * _xlfn.XLOOKUP(FL$13,_xlfn.ANCHORARRAY( $CZ$29), _xlfn.XLOOKUP($EZ26,_xlfn.ANCHORARRAY( $CY$30), $CZ$30:$DC$34)) * _xlfn.XLOOKUP(FL$14,_xlfn.ANCHORARRAY( $CZ$29), _xlfn.XLOOKUP($FA26,_xlfn.ANCHORARRAY( $CY$30), $CZ$30:$DC$34))</f>
        <v>-4.2731045279289035E-3</v>
      </c>
      <c r="FM26" s="10" cm="1">
        <f t="array" aca="1" ref="FM26" ca="1">EQ26 * _xlfn.XLOOKUP(FM$13,_xlfn.ANCHORARRAY( $CZ$29), _xlfn.XLOOKUP($EZ26,_xlfn.ANCHORARRAY( $CY$30), $CZ$30:$DC$34)) * _xlfn.XLOOKUP(FM$14,_xlfn.ANCHORARRAY( $CZ$29), _xlfn.XLOOKUP($FA26,_xlfn.ANCHORARRAY( $CY$30), $CZ$30:$DC$34))</f>
        <v>-4.2731045279289035E-3</v>
      </c>
      <c r="FN26" s="10" cm="1">
        <f t="array" aca="1" ref="FN26" ca="1">ER26 * _xlfn.XLOOKUP(FN$13,_xlfn.ANCHORARRAY( $CZ$29), _xlfn.XLOOKUP($EZ26,_xlfn.ANCHORARRAY( $CY$30), $CZ$30:$DC$34)) * _xlfn.XLOOKUP(FN$14,_xlfn.ANCHORARRAY( $CZ$29), _xlfn.XLOOKUP($FA26,_xlfn.ANCHORARRAY( $CY$30), $CZ$30:$DC$34))</f>
        <v>2.6221985190289329E-4</v>
      </c>
      <c r="FO26" s="10" cm="1">
        <f t="array" aca="1" ref="FO26" ca="1">ES26 * _xlfn.XLOOKUP(FO$13,_xlfn.ANCHORARRAY( $CZ$29), _xlfn.XLOOKUP($EZ26,_xlfn.ANCHORARRAY( $CY$30), $CZ$30:$DC$34)) * _xlfn.XLOOKUP(FO$14,_xlfn.ANCHORARRAY( $CZ$29), _xlfn.XLOOKUP($FA26,_xlfn.ANCHORARRAY( $CY$30), $CZ$30:$DC$34))</f>
        <v>1.6964773655944287E-3</v>
      </c>
      <c r="FP26" s="10" cm="1">
        <f t="array" aca="1" ref="FP26" ca="1">ET26 * _xlfn.XLOOKUP(FP$13,_xlfn.ANCHORARRAY( $CZ$29), _xlfn.XLOOKUP($EZ26,_xlfn.ANCHORARRAY( $CY$30), $CZ$30:$DC$34)) * _xlfn.XLOOKUP(FP$14,_xlfn.ANCHORARRAY( $CZ$29), _xlfn.XLOOKUP($FA26,_xlfn.ANCHORARRAY( $CY$30), $CZ$30:$DC$34))</f>
        <v>1.1507015485690052E-3</v>
      </c>
      <c r="FQ26" s="10" cm="1">
        <f t="array" aca="1" ref="FQ26" ca="1">EU26 * _xlfn.XLOOKUP(FQ$13,_xlfn.ANCHORARRAY( $CZ$29), _xlfn.XLOOKUP($EZ26,_xlfn.ANCHORARRAY( $CY$30), $CZ$30:$DC$34)) * _xlfn.XLOOKUP(FQ$14,_xlfn.ANCHORARRAY( $CZ$29), _xlfn.XLOOKUP($FA26,_xlfn.ANCHORARRAY( $CY$30), $CZ$30:$DC$34))</f>
        <v>1.1507015485690052E-3</v>
      </c>
      <c r="FT26" cm="1">
        <f t="array" aca="1" ref="FT26" ca="1">SQRT(SUM((FB26:FQ26)^2))</f>
        <v>8.2596789096192787E-3</v>
      </c>
    </row>
    <row r="27" spans="1:176" x14ac:dyDescent="0.2">
      <c r="D27" s="10">
        <f ca="1"/>
        <v>13</v>
      </c>
      <c r="F27" s="10">
        <f ca="1"/>
        <v>0.5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3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4"/>
        <v>1</v>
      </c>
      <c r="N27" s="2">
        <v>12</v>
      </c>
      <c r="O27" s="12" t="s">
        <v>0</v>
      </c>
      <c r="P27" s="9" t="s">
        <v>1</v>
      </c>
      <c r="Q27" s="9" t="s">
        <v>0</v>
      </c>
      <c r="R27" s="9" t="s">
        <v>2</v>
      </c>
      <c r="S27" s="9" t="s">
        <v>2</v>
      </c>
      <c r="AK27" s="7"/>
      <c r="AN27">
        <f t="shared" ca="1" si="5"/>
        <v>2</v>
      </c>
      <c r="AO27" s="14">
        <f t="shared" ca="1" si="6"/>
        <v>0.5</v>
      </c>
      <c r="AP27" s="2">
        <f ca="1"/>
        <v>13</v>
      </c>
      <c r="AQ27" cm="1">
        <f t="array" aca="1" ref="AQ27" ca="1">IF($AP27=AQ$14, 1, SUMPRODUCT(
    --(OFFSET($O$13,0,0,1,$B$9)=TRUE),
    --(INDEX(OFFSET($O$15,0,0,$B$8,$B$9), 1+$AP27, 0) = INDEX(OFFSET($O$15,0,0,$B$8,$B$9), 1+AQ$14, 0))
) / $B$13)</f>
        <v>0</v>
      </c>
      <c r="AR27" cm="1">
        <f t="array" aca="1" ref="AR27" ca="1">IF($AP27=AR$14, 1, SUMPRODUCT(
    --(OFFSET($O$13,0,0,1,$B$9)=TRUE),
    --(INDEX(OFFSET($O$15,0,0,$B$8,$B$9), 1+$AP27, 0) = INDEX(OFFSET($O$15,0,0,$B$8,$B$9), 1+AR$14, 0))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
) / $B$13)</f>
        <v>0</v>
      </c>
      <c r="AT27" cm="1">
        <f t="array" aca="1" ref="AT27" ca="1">IF($AP27=AT$14, 1, SUMPRODUCT(
    --(OFFSET($O$13,0,0,1,$B$9)=TRUE),
    --(INDEX(OFFSET($O$15,0,0,$B$8,$B$9), 1+$AP27, 0) = INDEX(OFFSET($O$15,0,0,$B$8,$B$9), 1+AT$14, 0))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
) / $B$13)</f>
        <v>0.8</v>
      </c>
      <c r="AV27" cm="1">
        <f t="array" aca="1" ref="AV27" ca="1">IF($AP27=AV$14, 1, SUMPRODUCT(
    --(OFFSET($O$13,0,0,1,$B$9)=TRUE),
    --(INDEX(OFFSET($O$15,0,0,$B$8,$B$9), 1+$AP27, 0) = INDEX(OFFSET($O$15,0,0,$B$8,$B$9), 1+AV$14, 0))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
) / $B$13)</f>
        <v>0.4</v>
      </c>
      <c r="AX27" cm="1">
        <f t="array" aca="1" ref="AX27" ca="1">IF($AP27=AX$14, 1, SUMPRODUCT(
    --(OFFSET($O$13,0,0,1,$B$9)=TRUE),
    --(INDEX(OFFSET($O$15,0,0,$B$8,$B$9), 1+$AP27, 0) = INDEX(OFFSET($O$15,0,0,$B$8,$B$9), 1+AX$14, 0))
) / $B$13)</f>
        <v>0</v>
      </c>
      <c r="AY27" cm="1">
        <f t="array" aca="1" ref="AY27" ca="1">IF($AP27=AY$14, 1, SUMPRODUCT(
    --(OFFSET($O$13,0,0,1,$B$9)=TRUE),
    --(INDEX(OFFSET($O$15,0,0,$B$8,$B$9), 1+$AP27, 0) = INDEX(OFFSET($O$15,0,0,$B$8,$B$9), 1+AY$14, 0))
) / $B$13)</f>
        <v>0.4</v>
      </c>
      <c r="AZ27" cm="1">
        <f t="array" aca="1" ref="AZ27" ca="1">IF($AP27=AZ$14, 1, SUMPRODUCT(
    --(OFFSET($O$13,0,0,1,$B$9)=TRUE),
    --(INDEX(OFFSET($O$15,0,0,$B$8,$B$9), 1+$AP27, 0) = INDEX(OFFSET($O$15,0,0,$B$8,$B$9), 1+AZ$14, 0))
) / $B$13)</f>
        <v>0</v>
      </c>
      <c r="BA27" cm="1">
        <f t="array" aca="1" ref="BA27" ca="1">IF($AP27=BA$14, 1, SUMPRODUCT(
    --(OFFSET($O$13,0,0,1,$B$9)=TRUE),
    --(INDEX(OFFSET($O$15,0,0,$B$8,$B$9), 1+$AP27, 0) = INDEX(OFFSET($O$15,0,0,$B$8,$B$9), 1+BA$14, 0))
) / $B$13)</f>
        <v>0</v>
      </c>
      <c r="BB27" cm="1">
        <f t="array" aca="1" ref="BB27" ca="1">IF($AP27=BB$14, 1, SUMPRODUCT(
    --(OFFSET($O$13,0,0,1,$B$9)=TRUE),
    --(INDEX(OFFSET($O$15,0,0,$B$8,$B$9), 1+$AP27, 0) = INDEX(OFFSET($O$15,0,0,$B$8,$B$9), 1+BB$14, 0))
) / $B$13)</f>
        <v>0.6</v>
      </c>
      <c r="BC27" cm="1">
        <f t="array" aca="1" ref="BC27" ca="1">IF($AP27=BC$14, 1, SUMPRODUCT(
    --(OFFSET($O$13,0,0,1,$B$9)=TRUE),
    --(INDEX(OFFSET($O$15,0,0,$B$8,$B$9), 1+$AP27, 0) = INDEX(OFFSET($O$15,0,0,$B$8,$B$9), 1+BC$14, 0))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
) / $B$13)</f>
        <v>0.6</v>
      </c>
      <c r="BE27" cm="1">
        <f t="array" aca="1" ref="BE27" ca="1">IF($AP27=BE$14, 1, SUMPRODUCT(
    --(OFFSET($O$13,0,0,1,$B$9)=TRUE),
    --(INDEX(OFFSET($O$15,0,0,$B$8,$B$9), 1+$AP27, 0) = INDEX(OFFSET($O$15,0,0,$B$8,$B$9), 1+BE$14, 0))
) / $B$13)</f>
        <v>0.6</v>
      </c>
      <c r="BF27" cm="1">
        <f t="array" aca="1" ref="BF27" ca="1">IF($AP27=BF$14, 1, SUMPRODUCT(
    --(OFFSET($O$13,0,0,1,$B$9)=TRUE),
    --(INDEX(OFFSET($O$15,0,0,$B$8,$B$9), 1+$AP27, 0) = INDEX(OFFSET($O$15,0,0,$B$8,$B$9), 1+BF$14, 0))
) / $B$13)</f>
        <v>0.2</v>
      </c>
      <c r="BG27" cm="1">
        <f t="array" aca="1" ref="BG27" ca="1">IF($AP27=BG$14, 1, SUMPRODUCT(
    --(OFFSET($O$13,0,0,1,$B$9)=TRUE),
    --(INDEX(OFFSET($O$15,0,0,$B$8,$B$9), 1+$AP27, 0) = INDEX(OFFSET($O$15,0,0,$B$8,$B$9), 1+BG$14, 0))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
) / $B$13)</f>
        <v>0.4</v>
      </c>
      <c r="BI27" cm="1">
        <f t="array" aca="1" ref="BI27" ca="1">IF($AP27=BI$14, 1, SUMPRODUCT(
    --(OFFSET($O$13,0,0,1,$B$9)=TRUE),
    --(INDEX(OFFSET($O$15,0,0,$B$8,$B$9), 1+$AP27, 0) = INDEX(OFFSET($O$15,0,0,$B$8,$B$9), 1+BI$14, 0))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
) / $B$13)</f>
        <v>0.2</v>
      </c>
      <c r="BN27">
        <f t="shared" ca="1" si="7"/>
        <v>2</v>
      </c>
      <c r="BO27" s="14">
        <f t="shared" ca="1" si="8"/>
        <v>0.5</v>
      </c>
      <c r="BP27" s="2">
        <f ca="1"/>
        <v>13</v>
      </c>
      <c r="BQ27" cm="1">
        <f t="array" aca="1" ref="BQ27" ca="1">IF($BP27=BQ$14, 1, SUMPRODUCT(
    --(OFFSET($O$9,0,0,1,$B$9)=TRUE),
    --(INDEX(OFFSET($O$15,0,0,$B$8,$B$9), 1+$BP27, 0) = INDEX(OFFSET($O$15,0,0,$B$8,$B$9), 1+BQ$14, 0))
) / $B$16)</f>
        <v>0</v>
      </c>
      <c r="BR27" cm="1">
        <f t="array" aca="1" ref="BR27" ca="1">IF($BP27=BR$14, 1, SUMPRODUCT(
    --(OFFSET($O$9,0,0,1,$B$9)=TRUE),
    --(INDEX(OFFSET($O$15,0,0,$B$8,$B$9), 1+$BP27, 0) = INDEX(OFFSET($O$15,0,0,$B$8,$B$9), 1+BR$14, 0))
) / $B$16)</f>
        <v>0.4</v>
      </c>
      <c r="BS27" cm="1">
        <f t="array" aca="1" ref="BS27" ca="1">IF($BP27=BS$14, 1, SUMPRODUCT(
    --(OFFSET($O$9,0,0,1,$B$9)=TRUE),
    --(INDEX(OFFSET($O$15,0,0,$B$8,$B$9), 1+$BP27, 0) = INDEX(OFFSET($O$15,0,0,$B$8,$B$9), 1+BS$14, 0))
) / $B$16)</f>
        <v>0</v>
      </c>
      <c r="BT27" cm="1">
        <f t="array" aca="1" ref="BT27" ca="1">IF($BP27=BT$14, 1, SUMPRODUCT(
    --(OFFSET($O$9,0,0,1,$B$9)=TRUE),
    --(INDEX(OFFSET($O$15,0,0,$B$8,$B$9), 1+$BP27, 0) = INDEX(OFFSET($O$15,0,0,$B$8,$B$9), 1+BT$14, 0))
) / $B$16)</f>
        <v>0.4</v>
      </c>
      <c r="BU27" cm="1">
        <f t="array" aca="1" ref="BU27" ca="1">IF($BP27=BU$14, 1, SUMPRODUCT(
    --(OFFSET($O$9,0,0,1,$B$9)=TRUE),
    --(INDEX(OFFSET($O$15,0,0,$B$8,$B$9), 1+$BP27, 0) = INDEX(OFFSET($O$15,0,0,$B$8,$B$9), 1+BU$14, 0))
) / $B$16)</f>
        <v>0.8</v>
      </c>
      <c r="BV27" cm="1">
        <f t="array" aca="1" ref="BV27" ca="1">IF($BP27=BV$14, 1, SUMPRODUCT(
    --(OFFSET($O$9,0,0,1,$B$9)=TRUE),
    --(INDEX(OFFSET($O$15,0,0,$B$8,$B$9), 1+$BP27, 0) = INDEX(OFFSET($O$15,0,0,$B$8,$B$9), 1+BV$14, 0))
) / $B$16)</f>
        <v>0.4</v>
      </c>
      <c r="BW27" cm="1">
        <f t="array" aca="1" ref="BW27" ca="1">IF($BP27=BW$14, 1, SUMPRODUCT(
    --(OFFSET($O$9,0,0,1,$B$9)=TRUE),
    --(INDEX(OFFSET($O$15,0,0,$B$8,$B$9), 1+$BP27, 0) = INDEX(OFFSET($O$15,0,0,$B$8,$B$9), 1+BW$14, 0))
) / $B$16)</f>
        <v>0.4</v>
      </c>
      <c r="BX27" cm="1">
        <f t="array" aca="1" ref="BX27" ca="1">IF($BP27=BX$14, 1, SUMPRODUCT(
    --(OFFSET($O$9,0,0,1,$B$9)=TRUE),
    --(INDEX(OFFSET($O$15,0,0,$B$8,$B$9), 1+$BP27, 0) = INDEX(OFFSET($O$15,0,0,$B$8,$B$9), 1+BX$14, 0))
) / $B$16)</f>
        <v>0</v>
      </c>
      <c r="BY27" cm="1">
        <f t="array" aca="1" ref="BY27" ca="1">IF($BP27=BY$14, 1, SUMPRODUCT(
    --(OFFSET($O$9,0,0,1,$B$9)=TRUE),
    --(INDEX(OFFSET($O$15,0,0,$B$8,$B$9), 1+$BP27, 0) = INDEX(OFFSET($O$15,0,0,$B$8,$B$9), 1+BY$14, 0))
) / $B$16)</f>
        <v>0.4</v>
      </c>
      <c r="BZ27" cm="1">
        <f t="array" aca="1" ref="BZ27" ca="1">IF($BP27=BZ$14, 1, SUMPRODUCT(
    --(OFFSET($O$9,0,0,1,$B$9)=TRUE),
    --(INDEX(OFFSET($O$15,0,0,$B$8,$B$9), 1+$BP27, 0) = INDEX(OFFSET($O$15,0,0,$B$8,$B$9), 1+BZ$14, 0))
) / $B$16)</f>
        <v>0</v>
      </c>
      <c r="CA27" cm="1">
        <f t="array" aca="1" ref="CA27" ca="1">IF($BP27=CA$14, 1, SUMPRODUCT(
    --(OFFSET($O$9,0,0,1,$B$9)=TRUE),
    --(INDEX(OFFSET($O$15,0,0,$B$8,$B$9), 1+$BP27, 0) = INDEX(OFFSET($O$15,0,0,$B$8,$B$9), 1+CA$14, 0))
) / $B$16)</f>
        <v>0</v>
      </c>
      <c r="CB27" cm="1">
        <f t="array" aca="1" ref="CB27" ca="1">IF($BP27=CB$14, 1, SUMPRODUCT(
    --(OFFSET($O$9,0,0,1,$B$9)=TRUE),
    --(INDEX(OFFSET($O$15,0,0,$B$8,$B$9), 1+$BP27, 0) = INDEX(OFFSET($O$15,0,0,$B$8,$B$9), 1+CB$14, 0))
) / $B$16)</f>
        <v>0.6</v>
      </c>
      <c r="CC27" cm="1">
        <f t="array" aca="1" ref="CC27" ca="1">IF($BP27=CC$14, 1, SUMPRODUCT(
    --(OFFSET($O$9,0,0,1,$B$9)=TRUE),
    --(INDEX(OFFSET($O$15,0,0,$B$8,$B$9), 1+$BP27, 0) = INDEX(OFFSET($O$15,0,0,$B$8,$B$9), 1+CC$14, 0))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
) / $B$16)</f>
        <v>0.6</v>
      </c>
      <c r="CE27" cm="1">
        <f t="array" aca="1" ref="CE27" ca="1">IF($BP27=CE$14, 1, SUMPRODUCT(
    --(OFFSET($O$9,0,0,1,$B$9)=TRUE),
    --(INDEX(OFFSET($O$15,0,0,$B$8,$B$9), 1+$BP27, 0) = INDEX(OFFSET($O$15,0,0,$B$8,$B$9), 1+CE$14, 0))
) / $B$16)</f>
        <v>0.6</v>
      </c>
      <c r="CF27" cm="1">
        <f t="array" aca="1" ref="CF27" ca="1">IF($BP27=CF$14, 1, SUMPRODUCT(
    --(OFFSET($O$9,0,0,1,$B$9)=TRUE),
    --(INDEX(OFFSET($O$15,0,0,$B$8,$B$9), 1+$BP27, 0) = INDEX(OFFSET($O$15,0,0,$B$8,$B$9), 1+CF$14, 0))
) / $B$16)</f>
        <v>0.2</v>
      </c>
      <c r="CG27" cm="1">
        <f t="array" aca="1" ref="CG27" ca="1">IF($BP27=CG$14, 1, SUMPRODUCT(
    --(OFFSET($O$9,0,0,1,$B$9)=TRUE),
    --(INDEX(OFFSET($O$15,0,0,$B$8,$B$9), 1+$BP27, 0) = INDEX(OFFSET($O$15,0,0,$B$8,$B$9), 1+CG$14, 0))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
) / $B$16)</f>
        <v>0.4</v>
      </c>
      <c r="CI27" cm="1">
        <f t="array" aca="1" ref="CI27" ca="1">IF($BP27=CI$14, 1, SUMPRODUCT(
    --(OFFSET($O$9,0,0,1,$B$9)=TRUE),
    --(INDEX(OFFSET($O$15,0,0,$B$8,$B$9), 1+$BP27, 0) = INDEX(OFFSET($O$15,0,0,$B$8,$B$9), 1+CI$14, 0))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
) / $B$16)</f>
        <v>0.2</v>
      </c>
      <c r="DF27" cm="1">
        <f t="array" aca="1" ref="DF27" ca="1">INDEX(_xlfn.ANCHORARRAY($CP$15), 1 + INT((ROWS($DG$15:$DG27) - 1) / ROWS(_xlfn.ANCHORARRAY($CP$15))))</f>
        <v>2</v>
      </c>
      <c r="DG27" cm="1">
        <f t="array" aca="1" ref="DG27" ca="1">INDEX(_xlfn.ANCHORARRAY($CP$15),1+MOD(ROWS($DG$15:$DG27)-1,ROWS(_xlfn.ANCHORARRAY($CP$15))))</f>
        <v>2</v>
      </c>
      <c r="DH27" s="10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$B$18/($B$19*$B$19*($DF27&lt;&gt;$DG27) + $B$19*($DF27=$DG27))</f>
        <v>0.25584848484848483</v>
      </c>
      <c r="DI27" s="10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$B$18/($B$19*$B$19*($DF27&lt;&gt;$DG27) + $B$19*($DF27=$DG27))</f>
        <v>6.0000000000000001E-3</v>
      </c>
      <c r="DJ27" s="10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$B$18/($B$19*$B$19*($DF27&lt;&gt;$DG27) + $B$19*($DF27=$DG27))</f>
        <v>6.0000000000000001E-3</v>
      </c>
      <c r="DK27" s="10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$B$18/($B$19*$B$19*($DF27&lt;&gt;$DG27) + $B$19*($DF27=$DG27))</f>
        <v>6.0000000000000001E-3</v>
      </c>
      <c r="DL27" s="10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$B$18/($B$19*$B$19*($DF27&lt;&gt;$DG27) + $B$19*($DF27=$DG27))</f>
        <v>6.0000000000000001E-3</v>
      </c>
      <c r="DM27" s="10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$B$18/($B$19*$B$19*($DF27&lt;&gt;$DG27) + $B$19*($DF27=$DG27))</f>
        <v>0.29993939393939389</v>
      </c>
      <c r="DN27" s="10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$B$18/($B$19*$B$19*($DF27&lt;&gt;$DG27) + $B$19*($DF27=$DG27))</f>
        <v>6.0000000000000001E-3</v>
      </c>
      <c r="DO27" s="10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$B$18/($B$19*$B$19*($DF27&lt;&gt;$DG27) + $B$19*($DF27=$DG27))</f>
        <v>6.0000000000000001E-3</v>
      </c>
      <c r="DP27" s="10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$B$18/($B$19*$B$19*($DF27&lt;&gt;$DG27) + $B$19*($DF27=$DG27))</f>
        <v>6.0000000000000001E-3</v>
      </c>
      <c r="DQ27" s="10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$B$18/($B$19*$B$19*($DF27&lt;&gt;$DG27) + $B$19*($DF27=$DG27))</f>
        <v>6.0000000000000001E-3</v>
      </c>
      <c r="DR27" s="10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$B$18/($B$19*$B$19*($DF27&lt;&gt;$DG27) + $B$19*($DF27=$DG27))</f>
        <v>0.19706060606060605</v>
      </c>
      <c r="DS27" s="10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$B$18/($B$19*$B$19*($DF27&lt;&gt;$DG27) + $B$19*($DF27=$DG27))</f>
        <v>6.0000000000000001E-3</v>
      </c>
      <c r="DT27" s="10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$B$18/($B$19*$B$19*($DF27&lt;&gt;$DG27) + $B$19*($DF27=$DG27))</f>
        <v>6.0000000000000001E-3</v>
      </c>
      <c r="DU27" s="10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$B$18/($B$19*$B$19*($DF27&lt;&gt;$DG27) + $B$19*($DF27=$DG27))</f>
        <v>6.0000000000000001E-3</v>
      </c>
      <c r="DV27" s="10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$B$18/($B$19*$B$19*($DF27&lt;&gt;$DG27) + $B$19*($DF27=$DG27))</f>
        <v>6.0000000000000001E-3</v>
      </c>
      <c r="DW27" s="10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$B$18/($B$19*$B$19*($DF27&lt;&gt;$DG27) + $B$19*($DF27=$DG27))</f>
        <v>0.19706060606060605</v>
      </c>
      <c r="ED27" cm="1">
        <f t="array" aca="1" ref="ED27" ca="1">INDEX(_xlfn.ANCHORARRAY($CP$15), 1 + INT((ROWS($DG$15:$DG27) - 1) / ROWS(_xlfn.ANCHORARRAY($CP$15))))</f>
        <v>2</v>
      </c>
      <c r="EE27" cm="1">
        <f t="array" aca="1" ref="EE27" ca="1">INDEX(_xlfn.ANCHORARRAY($CP$15),1+MOD(ROWS($DG$15:$DG27)-1,ROWS(_xlfn.ANCHORARRAY($CP$15))))</f>
        <v>2</v>
      </c>
      <c r="EF27" s="10" cm="1">
        <f t="array" aca="1" ref="EF27" ca="1">DH27-_xlfn.XLOOKUP(EF$13,_xlfn.ANCHORARRAY( $CR$14), _xlfn.XLOOKUP($ED27,_xlfn.ANCHORARRAY( $CP$15), $CR$15:$CU$19)) * _xlfn.XLOOKUP(EF$14,_xlfn.ANCHORARRAY( $CR$14), _xlfn.XLOOKUP($EE27,_xlfn.ANCHORARRAY( $CP$15), $CR$15:$CU$19))</f>
        <v>0.19039003764921947</v>
      </c>
      <c r="EG27" s="10" cm="1">
        <f t="array" aca="1" ref="EG27" ca="1">DI27-_xlfn.XLOOKUP(EG$13,_xlfn.ANCHORARRAY( $CR$14), _xlfn.XLOOKUP($ED27,_xlfn.ANCHORARRAY( $CP$15), $CR$15:$CU$19)) * _xlfn.XLOOKUP(EG$14,_xlfn.ANCHORARRAY( $CR$14), _xlfn.XLOOKUP($EE27,_xlfn.ANCHORARRAY( $CP$15), $CR$15:$CU$19))</f>
        <v>-7.0739039485766736E-2</v>
      </c>
      <c r="EH27" s="10" cm="1">
        <f t="array" aca="1" ref="EH27" ca="1">DJ27-_xlfn.XLOOKUP(EH$13,_xlfn.ANCHORARRAY( $CR$14), _xlfn.XLOOKUP($ED27,_xlfn.ANCHORARRAY( $CP$15), $CR$15:$CU$19)) * _xlfn.XLOOKUP(EH$14,_xlfn.ANCHORARRAY( $CR$14), _xlfn.XLOOKUP($EE27,_xlfn.ANCHORARRAY( $CP$15), $CR$15:$CU$19))</f>
        <v>-4.4417657483930208E-2</v>
      </c>
      <c r="EI27" s="10" cm="1">
        <f t="array" aca="1" ref="EI27" ca="1">DK27-_xlfn.XLOOKUP(EI$13,_xlfn.ANCHORARRAY( $CR$14), _xlfn.XLOOKUP($ED27,_xlfn.ANCHORARRAY( $CP$15), $CR$15:$CU$19)) * _xlfn.XLOOKUP(EI$14,_xlfn.ANCHORARRAY( $CR$14), _xlfn.XLOOKUP($EE27,_xlfn.ANCHORARRAY( $CP$15), $CR$15:$CU$19))</f>
        <v>-4.4417657483930208E-2</v>
      </c>
      <c r="EJ27" s="10" cm="1">
        <f t="array" aca="1" ref="EJ27" ca="1">DL27-_xlfn.XLOOKUP(EJ$13,_xlfn.ANCHORARRAY( $CR$14), _xlfn.XLOOKUP($ED27,_xlfn.ANCHORARRAY( $CP$15), $CR$15:$CU$19)) * _xlfn.XLOOKUP(EJ$14,_xlfn.ANCHORARRAY( $CR$14), _xlfn.XLOOKUP($EE27,_xlfn.ANCHORARRAY( $CP$15), $CR$15:$CU$19))</f>
        <v>-7.0739039485766736E-2</v>
      </c>
      <c r="EK27" s="10" cm="1">
        <f t="array" aca="1" ref="EK27" ca="1">DM27-_xlfn.XLOOKUP(EK$13,_xlfn.ANCHORARRAY( $CR$14), _xlfn.XLOOKUP($ED27,_xlfn.ANCHORARRAY( $CP$15), $CR$15:$CU$19)) * _xlfn.XLOOKUP(EK$14,_xlfn.ANCHORARRAY( $CR$14), _xlfn.XLOOKUP($EE27,_xlfn.ANCHORARRAY( $CP$15), $CR$15:$CU$19))</f>
        <v>0.20997575390266299</v>
      </c>
      <c r="EL27" s="10" cm="1">
        <f t="array" aca="1" ref="EL27" ca="1">DN27-_xlfn.XLOOKUP(EL$13,_xlfn.ANCHORARRAY( $CR$14), _xlfn.XLOOKUP($ED27,_xlfn.ANCHORARRAY( $CP$15), $CR$15:$CU$19)) * _xlfn.XLOOKUP(EL$14,_xlfn.ANCHORARRAY( $CR$14), _xlfn.XLOOKUP($EE27,_xlfn.ANCHORARRAY( $CP$15), $CR$15:$CU$19))</f>
        <v>-5.3106238751147831E-2</v>
      </c>
      <c r="EM27" s="10" cm="1">
        <f t="array" aca="1" ref="EM27" ca="1">DO27-_xlfn.XLOOKUP(EM$13,_xlfn.ANCHORARRAY( $CR$14), _xlfn.XLOOKUP($ED27,_xlfn.ANCHORARRAY( $CP$15), $CR$15:$CU$19)) * _xlfn.XLOOKUP(EM$14,_xlfn.ANCHORARRAY( $CR$14), _xlfn.XLOOKUP($EE27,_xlfn.ANCHORARRAY( $CP$15), $CR$15:$CU$19))</f>
        <v>-5.3106238751147831E-2</v>
      </c>
      <c r="EN27" s="10" cm="1">
        <f t="array" aca="1" ref="EN27" ca="1">DP27-_xlfn.XLOOKUP(EN$13,_xlfn.ANCHORARRAY( $CR$14), _xlfn.XLOOKUP($ED27,_xlfn.ANCHORARRAY( $CP$15), $CR$15:$CU$19)) * _xlfn.XLOOKUP(EN$14,_xlfn.ANCHORARRAY( $CR$14), _xlfn.XLOOKUP($EE27,_xlfn.ANCHORARRAY( $CP$15), $CR$15:$CU$19))</f>
        <v>-4.4417657483930208E-2</v>
      </c>
      <c r="EO27" s="10" cm="1">
        <f t="array" aca="1" ref="EO27" ca="1">DQ27-_xlfn.XLOOKUP(EO$13,_xlfn.ANCHORARRAY( $CR$14), _xlfn.XLOOKUP($ED27,_xlfn.ANCHORARRAY( $CP$15), $CR$15:$CU$19)) * _xlfn.XLOOKUP(EO$14,_xlfn.ANCHORARRAY( $CR$14), _xlfn.XLOOKUP($EE27,_xlfn.ANCHORARRAY( $CP$15), $CR$15:$CU$19))</f>
        <v>-5.3106238751147831E-2</v>
      </c>
      <c r="EP27" s="10" cm="1">
        <f t="array" aca="1" ref="EP27" ca="1">DR27-_xlfn.XLOOKUP(EP$13,_xlfn.ANCHORARRAY( $CR$14), _xlfn.XLOOKUP($ED27,_xlfn.ANCHORARRAY( $CP$15), $CR$15:$CU$19)) * _xlfn.XLOOKUP(EP$14,_xlfn.ANCHORARRAY( $CR$14), _xlfn.XLOOKUP($EE27,_xlfn.ANCHORARRAY( $CP$15), $CR$15:$CU$19))</f>
        <v>0.15822772359963269</v>
      </c>
      <c r="EQ27" s="10" cm="1">
        <f t="array" aca="1" ref="EQ27" ca="1">DS27-_xlfn.XLOOKUP(EQ$13,_xlfn.ANCHORARRAY( $CR$14), _xlfn.XLOOKUP($ED27,_xlfn.ANCHORARRAY( $CP$15), $CR$15:$CU$19)) * _xlfn.XLOOKUP(EQ$14,_xlfn.ANCHORARRAY( $CR$14), _xlfn.XLOOKUP($EE27,_xlfn.ANCHORARRAY( $CP$15), $CR$15:$CU$19))</f>
        <v>-3.2832882460973364E-2</v>
      </c>
      <c r="ER27" s="10" cm="1">
        <f t="array" aca="1" ref="ER27" ca="1">DT27-_xlfn.XLOOKUP(ER$13,_xlfn.ANCHORARRAY( $CR$14), _xlfn.XLOOKUP($ED27,_xlfn.ANCHORARRAY( $CP$15), $CR$15:$CU$19)) * _xlfn.XLOOKUP(ER$14,_xlfn.ANCHORARRAY( $CR$14), _xlfn.XLOOKUP($EE27,_xlfn.ANCHORARRAY( $CP$15), $CR$15:$CU$19))</f>
        <v>-4.4417657483930208E-2</v>
      </c>
      <c r="ES27" s="10" cm="1">
        <f t="array" aca="1" ref="ES27" ca="1">DU27-_xlfn.XLOOKUP(ES$13,_xlfn.ANCHORARRAY( $CR$14), _xlfn.XLOOKUP($ED27,_xlfn.ANCHORARRAY( $CP$15), $CR$15:$CU$19)) * _xlfn.XLOOKUP(ES$14,_xlfn.ANCHORARRAY( $CR$14), _xlfn.XLOOKUP($EE27,_xlfn.ANCHORARRAY( $CP$15), $CR$15:$CU$19))</f>
        <v>-5.3106238751147831E-2</v>
      </c>
      <c r="ET27" s="10" cm="1">
        <f t="array" aca="1" ref="ET27" ca="1">DV27-_xlfn.XLOOKUP(ET$13,_xlfn.ANCHORARRAY( $CR$14), _xlfn.XLOOKUP($ED27,_xlfn.ANCHORARRAY( $CP$15), $CR$15:$CU$19)) * _xlfn.XLOOKUP(ET$14,_xlfn.ANCHORARRAY( $CR$14), _xlfn.XLOOKUP($EE27,_xlfn.ANCHORARRAY( $CP$15), $CR$15:$CU$19))</f>
        <v>-3.2832882460973364E-2</v>
      </c>
      <c r="EU27" s="10" cm="1">
        <f t="array" aca="1" ref="EU27" ca="1">DW27-_xlfn.XLOOKUP(EU$13,_xlfn.ANCHORARRAY( $CR$14), _xlfn.XLOOKUP($ED27,_xlfn.ANCHORARRAY( $CP$15), $CR$15:$CU$19)) * _xlfn.XLOOKUP(EU$14,_xlfn.ANCHORARRAY( $CR$14), _xlfn.XLOOKUP($EE27,_xlfn.ANCHORARRAY( $CP$15), $CR$15:$CU$19))</f>
        <v>0.15822772359963269</v>
      </c>
      <c r="EZ27" cm="1">
        <f t="array" aca="1" ref="EZ27" ca="1">INDEX(_xlfn.ANCHORARRAY($CP$15), 1 + INT((ROWS($DG$15:$DG27) - 1) / ROWS(_xlfn.ANCHORARRAY($CP$15))))</f>
        <v>2</v>
      </c>
      <c r="FA27" cm="1">
        <f t="array" aca="1" ref="FA27" ca="1">INDEX(_xlfn.ANCHORARRAY($CP$15),1+MOD(ROWS($DG$15:$DG27)-1,ROWS(_xlfn.ANCHORARRAY($CP$15))))</f>
        <v>2</v>
      </c>
      <c r="FB27" s="10" cm="1">
        <f t="array" aca="1" ref="FB27" ca="1">EF27 * _xlfn.XLOOKUP(FB$13,_xlfn.ANCHORARRAY( $CZ$29), _xlfn.XLOOKUP($EZ27,_xlfn.ANCHORARRAY( $CY$30), $CZ$30:$DC$34)) * _xlfn.XLOOKUP(FB$14,_xlfn.ANCHORARRAY( $CZ$29), _xlfn.XLOOKUP($FA27,_xlfn.ANCHORARRAY( $CY$30), $CZ$30:$DC$34))</f>
        <v>1.8241090247662759E-4</v>
      </c>
      <c r="FC27" s="10" cm="1">
        <f t="array" aca="1" ref="FC27" ca="1">EG27 * _xlfn.XLOOKUP(FC$13,_xlfn.ANCHORARRAY( $CZ$29), _xlfn.XLOOKUP($EZ27,_xlfn.ANCHORARRAY( $CY$30), $CZ$30:$DC$34)) * _xlfn.XLOOKUP(FC$14,_xlfn.ANCHORARRAY( $CZ$29), _xlfn.XLOOKUP($FA27,_xlfn.ANCHORARRAY( $CY$30), $CZ$30:$DC$34))</f>
        <v>-5.4964315533602382E-4</v>
      </c>
      <c r="FD27" s="10" cm="1">
        <f t="array" aca="1" ref="FD27" ca="1">EH27 * _xlfn.XLOOKUP(FD$13,_xlfn.ANCHORARRAY( $CZ$29), _xlfn.XLOOKUP($EZ27,_xlfn.ANCHORARRAY( $CY$30), $CZ$30:$DC$34)) * _xlfn.XLOOKUP(FD$14,_xlfn.ANCHORARRAY( $CZ$29), _xlfn.XLOOKUP($FA27,_xlfn.ANCHORARRAY( $CY$30), $CZ$30:$DC$34))</f>
        <v>4.2092156369876881E-4</v>
      </c>
      <c r="FE27" s="10" cm="1">
        <f t="array" aca="1" ref="FE27" ca="1">EI27 * _xlfn.XLOOKUP(FE$13,_xlfn.ANCHORARRAY( $CZ$29), _xlfn.XLOOKUP($EZ27,_xlfn.ANCHORARRAY( $CY$30), $CZ$30:$DC$34)) * _xlfn.XLOOKUP(FE$14,_xlfn.ANCHORARRAY( $CZ$29), _xlfn.XLOOKUP($FA27,_xlfn.ANCHORARRAY( $CY$30), $CZ$30:$DC$34))</f>
        <v>4.2092156369876881E-4</v>
      </c>
      <c r="FF27" s="10" cm="1">
        <f t="array" aca="1" ref="FF27" ca="1">EJ27 * _xlfn.XLOOKUP(FF$13,_xlfn.ANCHORARRAY( $CZ$29), _xlfn.XLOOKUP($EZ27,_xlfn.ANCHORARRAY( $CY$30), $CZ$30:$DC$34)) * _xlfn.XLOOKUP(FF$14,_xlfn.ANCHORARRAY( $CZ$29), _xlfn.XLOOKUP($FA27,_xlfn.ANCHORARRAY( $CY$30), $CZ$30:$DC$34))</f>
        <v>-5.4964315533602372E-4</v>
      </c>
      <c r="FG27" s="10" cm="1">
        <f t="array" aca="1" ref="FG27" ca="1">EK27 * _xlfn.XLOOKUP(FG$13,_xlfn.ANCHORARRAY( $CZ$29), _xlfn.XLOOKUP($EZ27,_xlfn.ANCHORARRAY( $CY$30), $CZ$30:$DC$34)) * _xlfn.XLOOKUP(FG$14,_xlfn.ANCHORARRAY( $CZ$29), _xlfn.XLOOKUP($FA27,_xlfn.ANCHORARRAY( $CY$30), $CZ$30:$DC$34))</f>
        <v>1.3231403327896315E-2</v>
      </c>
      <c r="FH27" s="10" cm="1">
        <f t="array" aca="1" ref="FH27" ca="1">EL27 * _xlfn.XLOOKUP(FH$13,_xlfn.ANCHORARRAY( $CZ$29), _xlfn.XLOOKUP($EZ27,_xlfn.ANCHORARRAY( $CY$30), $CZ$30:$DC$34)) * _xlfn.XLOOKUP(FH$14,_xlfn.ANCHORARRAY( $CZ$29), _xlfn.XLOOKUP($FA27,_xlfn.ANCHORARRAY( $CY$30), $CZ$30:$DC$34))</f>
        <v>4.0813718164693881E-3</v>
      </c>
      <c r="FI27" s="10" cm="1">
        <f t="array" aca="1" ref="FI27" ca="1">EM27 * _xlfn.XLOOKUP(FI$13,_xlfn.ANCHORARRAY( $CZ$29), _xlfn.XLOOKUP($EZ27,_xlfn.ANCHORARRAY( $CY$30), $CZ$30:$DC$34)) * _xlfn.XLOOKUP(FI$14,_xlfn.ANCHORARRAY( $CZ$29), _xlfn.XLOOKUP($FA27,_xlfn.ANCHORARRAY( $CY$30), $CZ$30:$DC$34))</f>
        <v>4.0813718164693881E-3</v>
      </c>
      <c r="FJ27" s="10" cm="1">
        <f t="array" aca="1" ref="FJ27" ca="1">EN27 * _xlfn.XLOOKUP(FJ$13,_xlfn.ANCHORARRAY( $CZ$29), _xlfn.XLOOKUP($EZ27,_xlfn.ANCHORARRAY( $CY$30), $CZ$30:$DC$34)) * _xlfn.XLOOKUP(FJ$14,_xlfn.ANCHORARRAY( $CZ$29), _xlfn.XLOOKUP($FA27,_xlfn.ANCHORARRAY( $CY$30), $CZ$30:$DC$34))</f>
        <v>4.2092156369876881E-4</v>
      </c>
      <c r="FK27" s="10" cm="1">
        <f t="array" aca="1" ref="FK27" ca="1">EO27 * _xlfn.XLOOKUP(FK$13,_xlfn.ANCHORARRAY( $CZ$29), _xlfn.XLOOKUP($EZ27,_xlfn.ANCHORARRAY( $CY$30), $CZ$30:$DC$34)) * _xlfn.XLOOKUP(FK$14,_xlfn.ANCHORARRAY( $CZ$29), _xlfn.XLOOKUP($FA27,_xlfn.ANCHORARRAY( $CY$30), $CZ$30:$DC$34))</f>
        <v>4.0813718164693881E-3</v>
      </c>
      <c r="FL27" s="10" cm="1">
        <f t="array" aca="1" ref="FL27" ca="1">EP27 * _xlfn.XLOOKUP(FL$13,_xlfn.ANCHORARRAY( $CZ$29), _xlfn.XLOOKUP($EZ27,_xlfn.ANCHORARRAY( $CY$30), $CZ$30:$DC$34)) * _xlfn.XLOOKUP(FL$14,_xlfn.ANCHORARRAY( $CZ$29), _xlfn.XLOOKUP($FA27,_xlfn.ANCHORARRAY( $CY$30), $CZ$30:$DC$34))</f>
        <v>1.483088462218379E-2</v>
      </c>
      <c r="FM27" s="10" cm="1">
        <f t="array" aca="1" ref="FM27" ca="1">EQ27 * _xlfn.XLOOKUP(FM$13,_xlfn.ANCHORARRAY( $CZ$29), _xlfn.XLOOKUP($EZ27,_xlfn.ANCHORARRAY( $CY$30), $CZ$30:$DC$34)) * _xlfn.XLOOKUP(FM$14,_xlfn.ANCHORARRAY( $CZ$29), _xlfn.XLOOKUP($FA27,_xlfn.ANCHORARRAY( $CY$30), $CZ$30:$DC$34))</f>
        <v>-3.0774675923704448E-3</v>
      </c>
      <c r="FN27" s="10" cm="1">
        <f t="array" aca="1" ref="FN27" ca="1">ER27 * _xlfn.XLOOKUP(FN$13,_xlfn.ANCHORARRAY( $CZ$29), _xlfn.XLOOKUP($EZ27,_xlfn.ANCHORARRAY( $CY$30), $CZ$30:$DC$34)) * _xlfn.XLOOKUP(FN$14,_xlfn.ANCHORARRAY( $CZ$29), _xlfn.XLOOKUP($FA27,_xlfn.ANCHORARRAY( $CY$30), $CZ$30:$DC$34))</f>
        <v>4.2092156369876881E-4</v>
      </c>
      <c r="FO27" s="10" cm="1">
        <f t="array" aca="1" ref="FO27" ca="1">ES27 * _xlfn.XLOOKUP(FO$13,_xlfn.ANCHORARRAY( $CZ$29), _xlfn.XLOOKUP($EZ27,_xlfn.ANCHORARRAY( $CY$30), $CZ$30:$DC$34)) * _xlfn.XLOOKUP(FO$14,_xlfn.ANCHORARRAY( $CZ$29), _xlfn.XLOOKUP($FA27,_xlfn.ANCHORARRAY( $CY$30), $CZ$30:$DC$34))</f>
        <v>4.0813718164693881E-3</v>
      </c>
      <c r="FP27" s="10" cm="1">
        <f t="array" aca="1" ref="FP27" ca="1">ET27 * _xlfn.XLOOKUP(FP$13,_xlfn.ANCHORARRAY( $CZ$29), _xlfn.XLOOKUP($EZ27,_xlfn.ANCHORARRAY( $CY$30), $CZ$30:$DC$34)) * _xlfn.XLOOKUP(FP$14,_xlfn.ANCHORARRAY( $CZ$29), _xlfn.XLOOKUP($FA27,_xlfn.ANCHORARRAY( $CY$30), $CZ$30:$DC$34))</f>
        <v>-3.0774675923704448E-3</v>
      </c>
      <c r="FQ27" s="10" cm="1">
        <f t="array" aca="1" ref="FQ27" ca="1">EU27 * _xlfn.XLOOKUP(FQ$13,_xlfn.ANCHORARRAY( $CZ$29), _xlfn.XLOOKUP($EZ27,_xlfn.ANCHORARRAY( $CY$30), $CZ$30:$DC$34)) * _xlfn.XLOOKUP(FQ$14,_xlfn.ANCHORARRAY( $CZ$29), _xlfn.XLOOKUP($FA27,_xlfn.ANCHORARRAY( $CY$30), $CZ$30:$DC$34))</f>
        <v>1.483088462218379E-2</v>
      </c>
      <c r="FT27" cm="1">
        <f t="array" aca="1" ref="FT27" ca="1">SQRT(SUM((FB27:FQ27)^2))</f>
        <v>2.649336704431297E-2</v>
      </c>
    </row>
    <row r="28" spans="1:176" x14ac:dyDescent="0.2">
      <c r="D28" s="10">
        <f ca="1"/>
        <v>14</v>
      </c>
      <c r="F28" s="10">
        <f ca="1"/>
        <v>0.5</v>
      </c>
      <c r="H28" s="10"/>
      <c r="J28" cm="1">
        <f t="array" aca="1" ref="J28" ca="1">SUMPRODUCT((O28:AJ28=$O$11:$AJ$11)*(O$13:AJ$13=TRUE))  / COUNTIF(O$13:AJ$13,TRUE)</f>
        <v>0</v>
      </c>
      <c r="K28" t="b">
        <f t="shared" ca="1" si="3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4"/>
        <v>1</v>
      </c>
      <c r="N28" s="2">
        <v>13</v>
      </c>
      <c r="O28" s="12" t="s">
        <v>1</v>
      </c>
      <c r="P28" s="9" t="s">
        <v>0</v>
      </c>
      <c r="Q28" s="9" t="s">
        <v>0</v>
      </c>
      <c r="R28" s="9" t="s">
        <v>2</v>
      </c>
      <c r="S28" s="9" t="s">
        <v>2</v>
      </c>
      <c r="AK28" s="7"/>
      <c r="AN28">
        <f t="shared" ca="1" si="5"/>
        <v>2</v>
      </c>
      <c r="AO28" s="14">
        <f t="shared" ca="1" si="6"/>
        <v>0.5</v>
      </c>
      <c r="AP28" s="2">
        <f ca="1"/>
        <v>14</v>
      </c>
      <c r="AQ28" cm="1">
        <f t="array" aca="1" ref="AQ28" ca="1">IF($AP28=AQ$14, 1, SUMPRODUCT(
    --(OFFSET($O$13,0,0,1,$B$9)=TRUE),
    --(INDEX(OFFSET($O$15,0,0,$B$8,$B$9), 1+$AP28, 0) = INDEX(OFFSET($O$15,0,0,$B$8,$B$9), 1+AQ$14, 0))
) / $B$13)</f>
        <v>0</v>
      </c>
      <c r="AR28" cm="1">
        <f t="array" aca="1" ref="AR28" ca="1">IF($AP28=AR$14, 1, SUMPRODUCT(
    --(OFFSET($O$13,0,0,1,$B$9)=TRUE),
    --(INDEX(OFFSET($O$15,0,0,$B$8,$B$9), 1+$AP28, 0) = INDEX(OFFSET($O$15,0,0,$B$8,$B$9), 1+AR$14, 0))
) / $B$13)</f>
        <v>0</v>
      </c>
      <c r="AS28" cm="1">
        <f t="array" aca="1" ref="AS28" ca="1">IF($AP28=AS$14, 1, SUMPRODUCT(
    --(OFFSET($O$13,0,0,1,$B$9)=TRUE),
    --(INDEX(OFFSET($O$15,0,0,$B$8,$B$9), 1+$AP28, 0) = INDEX(OFFSET($O$15,0,0,$B$8,$B$9), 1+AS$14, 0))
) / $B$13)</f>
        <v>0.4</v>
      </c>
      <c r="AT28" cm="1">
        <f t="array" aca="1" ref="AT28" ca="1">IF($AP28=AT$14, 1, SUMPRODUCT(
    --(OFFSET($O$13,0,0,1,$B$9)=TRUE),
    --(INDEX(OFFSET($O$15,0,0,$B$8,$B$9), 1+$AP28, 0) = INDEX(OFFSET($O$15,0,0,$B$8,$B$9), 1+AT$14, 0))
) / $B$13)</f>
        <v>0.4</v>
      </c>
      <c r="AU28" cm="1">
        <f t="array" aca="1" ref="AU28" ca="1">IF($AP28=AU$14, 1, SUMPRODUCT(
    --(OFFSET($O$13,0,0,1,$B$9)=TRUE),
    --(INDEX(OFFSET($O$15,0,0,$B$8,$B$9), 1+$AP28, 0) = INDEX(OFFSET($O$15,0,0,$B$8,$B$9), 1+AU$14, 0))
) / $B$13)</f>
        <v>0.4</v>
      </c>
      <c r="AV28" cm="1">
        <f t="array" aca="1" ref="AV28" ca="1">IF($AP28=AV$14, 1, SUMPRODUCT(
    --(OFFSET($O$13,0,0,1,$B$9)=TRUE),
    --(INDEX(OFFSET($O$15,0,0,$B$8,$B$9), 1+$AP28, 0) = INDEX(OFFSET($O$15,0,0,$B$8,$B$9), 1+AV$14, 0))
) / $B$13)</f>
        <v>0.8</v>
      </c>
      <c r="AW28" cm="1">
        <f t="array" aca="1" ref="AW28" ca="1">IF($AP28=AW$14, 1, SUMPRODUCT(
    --(OFFSET($O$13,0,0,1,$B$9)=TRUE),
    --(INDEX(OFFSET($O$15,0,0,$B$8,$B$9), 1+$AP28, 0) = INDEX(OFFSET($O$15,0,0,$B$8,$B$9), 1+AW$14, 0))
) / $B$13)</f>
        <v>0.4</v>
      </c>
      <c r="AX28" cm="1">
        <f t="array" aca="1" ref="AX28" ca="1">IF($AP28=AX$14, 1, SUMPRODUCT(
    --(OFFSET($O$13,0,0,1,$B$9)=TRUE),
    --(INDEX(OFFSET($O$15,0,0,$B$8,$B$9), 1+$AP28, 0) = INDEX(OFFSET($O$15,0,0,$B$8,$B$9), 1+AX$14, 0))
) / $B$13)</f>
        <v>0</v>
      </c>
      <c r="AY28" cm="1">
        <f t="array" aca="1" ref="AY28" ca="1">IF($AP28=AY$14, 1, SUMPRODUCT(
    --(OFFSET($O$13,0,0,1,$B$9)=TRUE),
    --(INDEX(OFFSET($O$15,0,0,$B$8,$B$9), 1+$AP28, 0) = INDEX(OFFSET($O$15,0,0,$B$8,$B$9), 1+AY$14, 0))
) / $B$13)</f>
        <v>0</v>
      </c>
      <c r="AZ28" cm="1">
        <f t="array" aca="1" ref="AZ28" ca="1">IF($AP28=AZ$14, 1, SUMPRODUCT(
    --(OFFSET($O$13,0,0,1,$B$9)=TRUE),
    --(INDEX(OFFSET($O$15,0,0,$B$8,$B$9), 1+$AP28, 0) = INDEX(OFFSET($O$15,0,0,$B$8,$B$9), 1+AZ$14, 0))
) / $B$13)</f>
        <v>0.4</v>
      </c>
      <c r="BA28" cm="1">
        <f t="array" aca="1" ref="BA28" ca="1">IF($AP28=BA$14, 1, SUMPRODUCT(
    --(OFFSET($O$13,0,0,1,$B$9)=TRUE),
    --(INDEX(OFFSET($O$15,0,0,$B$8,$B$9), 1+$AP28, 0) = INDEX(OFFSET($O$15,0,0,$B$8,$B$9), 1+BA$14, 0))
) / $B$13)</f>
        <v>0</v>
      </c>
      <c r="BB28" cm="1">
        <f t="array" aca="1" ref="BB28" ca="1">IF($AP28=BB$14, 1, SUMPRODUCT(
    --(OFFSET($O$13,0,0,1,$B$9)=TRUE),
    --(INDEX(OFFSET($O$15,0,0,$B$8,$B$9), 1+$AP28, 0) = INDEX(OFFSET($O$15,0,0,$B$8,$B$9), 1+BB$14, 0))
) / $B$13)</f>
        <v>0.6</v>
      </c>
      <c r="BC28" cm="1">
        <f t="array" aca="1" ref="BC28" ca="1">IF($AP28=BC$14, 1, SUMPRODUCT(
    --(OFFSET($O$13,0,0,1,$B$9)=TRUE),
    --(INDEX(OFFSET($O$15,0,0,$B$8,$B$9), 1+$AP28, 0) = INDEX(OFFSET($O$15,0,0,$B$8,$B$9), 1+BC$14, 0))
) / $B$13)</f>
        <v>0.6</v>
      </c>
      <c r="BD28" cm="1">
        <f t="array" aca="1" ref="BD28" ca="1">IF($AP28=BD$14, 1, SUMPRODUCT(
    --(OFFSET($O$13,0,0,1,$B$9)=TRUE),
    --(INDEX(OFFSET($O$15,0,0,$B$8,$B$9), 1+$AP28, 0) = INDEX(OFFSET($O$15,0,0,$B$8,$B$9), 1+BD$14, 0))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
) / $B$13)</f>
        <v>0.6</v>
      </c>
      <c r="BF28" cm="1">
        <f t="array" aca="1" ref="BF28" ca="1">IF($AP28=BF$14, 1, SUMPRODUCT(
    --(OFFSET($O$13,0,0,1,$B$9)=TRUE),
    --(INDEX(OFFSET($O$15,0,0,$B$8,$B$9), 1+$AP28, 0) = INDEX(OFFSET($O$15,0,0,$B$8,$B$9), 1+BF$14, 0))
) / $B$13)</f>
        <v>0.2</v>
      </c>
      <c r="BG28" cm="1">
        <f t="array" aca="1" ref="BG28" ca="1">IF($AP28=BG$14, 1, SUMPRODUCT(
    --(OFFSET($O$13,0,0,1,$B$9)=TRUE),
    --(INDEX(OFFSET($O$15,0,0,$B$8,$B$9), 1+$AP28, 0) = INDEX(OFFSET($O$15,0,0,$B$8,$B$9), 1+BG$14, 0))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
) / $B$13)</f>
        <v>0.4</v>
      </c>
      <c r="BI28" cm="1">
        <f t="array" aca="1" ref="BI28" ca="1">IF($AP28=BI$14, 1, SUMPRODUCT(
    --(OFFSET($O$13,0,0,1,$B$9)=TRUE),
    --(INDEX(OFFSET($O$15,0,0,$B$8,$B$9), 1+$AP28, 0) = INDEX(OFFSET($O$15,0,0,$B$8,$B$9), 1+BI$14, 0))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
) / $B$13)</f>
        <v>0</v>
      </c>
      <c r="BN28">
        <f t="shared" ca="1" si="7"/>
        <v>2</v>
      </c>
      <c r="BO28" s="14">
        <f t="shared" ca="1" si="8"/>
        <v>0.5</v>
      </c>
      <c r="BP28" s="2">
        <f ca="1"/>
        <v>14</v>
      </c>
      <c r="BQ28" cm="1">
        <f t="array" aca="1" ref="BQ28" ca="1">IF($BP28=BQ$14, 1, SUMPRODUCT(
    --(OFFSET($O$9,0,0,1,$B$9)=TRUE),
    --(INDEX(OFFSET($O$15,0,0,$B$8,$B$9), 1+$BP28, 0) = INDEX(OFFSET($O$15,0,0,$B$8,$B$9), 1+BQ$14, 0))
) / $B$16)</f>
        <v>0</v>
      </c>
      <c r="BR28" cm="1">
        <f t="array" aca="1" ref="BR28" ca="1">IF($BP28=BR$14, 1, SUMPRODUCT(
    --(OFFSET($O$9,0,0,1,$B$9)=TRUE),
    --(INDEX(OFFSET($O$15,0,0,$B$8,$B$9), 1+$BP28, 0) = INDEX(OFFSET($O$15,0,0,$B$8,$B$9), 1+BR$14, 0))
) / $B$16)</f>
        <v>0</v>
      </c>
      <c r="BS28" cm="1">
        <f t="array" aca="1" ref="BS28" ca="1">IF($BP28=BS$14, 1, SUMPRODUCT(
    --(OFFSET($O$9,0,0,1,$B$9)=TRUE),
    --(INDEX(OFFSET($O$15,0,0,$B$8,$B$9), 1+$BP28, 0) = INDEX(OFFSET($O$15,0,0,$B$8,$B$9), 1+BS$14, 0))
) / $B$16)</f>
        <v>0.4</v>
      </c>
      <c r="BT28" cm="1">
        <f t="array" aca="1" ref="BT28" ca="1">IF($BP28=BT$14, 1, SUMPRODUCT(
    --(OFFSET($O$9,0,0,1,$B$9)=TRUE),
    --(INDEX(OFFSET($O$15,0,0,$B$8,$B$9), 1+$BP28, 0) = INDEX(OFFSET($O$15,0,0,$B$8,$B$9), 1+BT$14, 0))
) / $B$16)</f>
        <v>0.4</v>
      </c>
      <c r="BU28" cm="1">
        <f t="array" aca="1" ref="BU28" ca="1">IF($BP28=BU$14, 1, SUMPRODUCT(
    --(OFFSET($O$9,0,0,1,$B$9)=TRUE),
    --(INDEX(OFFSET($O$15,0,0,$B$8,$B$9), 1+$BP28, 0) = INDEX(OFFSET($O$15,0,0,$B$8,$B$9), 1+BU$14, 0))
) / $B$16)</f>
        <v>0.4</v>
      </c>
      <c r="BV28" cm="1">
        <f t="array" aca="1" ref="BV28" ca="1">IF($BP28=BV$14, 1, SUMPRODUCT(
    --(OFFSET($O$9,0,0,1,$B$9)=TRUE),
    --(INDEX(OFFSET($O$15,0,0,$B$8,$B$9), 1+$BP28, 0) = INDEX(OFFSET($O$15,0,0,$B$8,$B$9), 1+BV$14, 0))
) / $B$16)</f>
        <v>0.8</v>
      </c>
      <c r="BW28" cm="1">
        <f t="array" aca="1" ref="BW28" ca="1">IF($BP28=BW$14, 1, SUMPRODUCT(
    --(OFFSET($O$9,0,0,1,$B$9)=TRUE),
    --(INDEX(OFFSET($O$15,0,0,$B$8,$B$9), 1+$BP28, 0) = INDEX(OFFSET($O$15,0,0,$B$8,$B$9), 1+BW$14, 0))
) / $B$16)</f>
        <v>0.4</v>
      </c>
      <c r="BX28" cm="1">
        <f t="array" aca="1" ref="BX28" ca="1">IF($BP28=BX$14, 1, SUMPRODUCT(
    --(OFFSET($O$9,0,0,1,$B$9)=TRUE),
    --(INDEX(OFFSET($O$15,0,0,$B$8,$B$9), 1+$BP28, 0) = INDEX(OFFSET($O$15,0,0,$B$8,$B$9), 1+BX$14, 0))
) / $B$16)</f>
        <v>0</v>
      </c>
      <c r="BY28" cm="1">
        <f t="array" aca="1" ref="BY28" ca="1">IF($BP28=BY$14, 1, SUMPRODUCT(
    --(OFFSET($O$9,0,0,1,$B$9)=TRUE),
    --(INDEX(OFFSET($O$15,0,0,$B$8,$B$9), 1+$BP28, 0) = INDEX(OFFSET($O$15,0,0,$B$8,$B$9), 1+BY$14, 0))
) / $B$16)</f>
        <v>0</v>
      </c>
      <c r="BZ28" cm="1">
        <f t="array" aca="1" ref="BZ28" ca="1">IF($BP28=BZ$14, 1, SUMPRODUCT(
    --(OFFSET($O$9,0,0,1,$B$9)=TRUE),
    --(INDEX(OFFSET($O$15,0,0,$B$8,$B$9), 1+$BP28, 0) = INDEX(OFFSET($O$15,0,0,$B$8,$B$9), 1+BZ$14, 0))
) / $B$16)</f>
        <v>0.4</v>
      </c>
      <c r="CA28" cm="1">
        <f t="array" aca="1" ref="CA28" ca="1">IF($BP28=CA$14, 1, SUMPRODUCT(
    --(OFFSET($O$9,0,0,1,$B$9)=TRUE),
    --(INDEX(OFFSET($O$15,0,0,$B$8,$B$9), 1+$BP28, 0) = INDEX(OFFSET($O$15,0,0,$B$8,$B$9), 1+CA$14, 0))
) / $B$16)</f>
        <v>0</v>
      </c>
      <c r="CB28" cm="1">
        <f t="array" aca="1" ref="CB28" ca="1">IF($BP28=CB$14, 1, SUMPRODUCT(
    --(OFFSET($O$9,0,0,1,$B$9)=TRUE),
    --(INDEX(OFFSET($O$15,0,0,$B$8,$B$9), 1+$BP28, 0) = INDEX(OFFSET($O$15,0,0,$B$8,$B$9), 1+CB$14, 0))
) / $B$16)</f>
        <v>0.6</v>
      </c>
      <c r="CC28" cm="1">
        <f t="array" aca="1" ref="CC28" ca="1">IF($BP28=CC$14, 1, SUMPRODUCT(
    --(OFFSET($O$9,0,0,1,$B$9)=TRUE),
    --(INDEX(OFFSET($O$15,0,0,$B$8,$B$9), 1+$BP28, 0) = INDEX(OFFSET($O$15,0,0,$B$8,$B$9), 1+CC$14, 0))
) / $B$16)</f>
        <v>0.6</v>
      </c>
      <c r="CD28" cm="1">
        <f t="array" aca="1" ref="CD28" ca="1">IF($BP28=CD$14, 1, SUMPRODUCT(
    --(OFFSET($O$9,0,0,1,$B$9)=TRUE),
    --(INDEX(OFFSET($O$15,0,0,$B$8,$B$9), 1+$BP28, 0) = INDEX(OFFSET($O$15,0,0,$B$8,$B$9), 1+CD$14, 0))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
) / $B$16)</f>
        <v>0.6</v>
      </c>
      <c r="CF28" cm="1">
        <f t="array" aca="1" ref="CF28" ca="1">IF($BP28=CF$14, 1, SUMPRODUCT(
    --(OFFSET($O$9,0,0,1,$B$9)=TRUE),
    --(INDEX(OFFSET($O$15,0,0,$B$8,$B$9), 1+$BP28, 0) = INDEX(OFFSET($O$15,0,0,$B$8,$B$9), 1+CF$14, 0))
) / $B$16)</f>
        <v>0.2</v>
      </c>
      <c r="CG28" cm="1">
        <f t="array" aca="1" ref="CG28" ca="1">IF($BP28=CG$14, 1, SUMPRODUCT(
    --(OFFSET($O$9,0,0,1,$B$9)=TRUE),
    --(INDEX(OFFSET($O$15,0,0,$B$8,$B$9), 1+$BP28, 0) = INDEX(OFFSET($O$15,0,0,$B$8,$B$9), 1+CG$14, 0))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
) / $B$16)</f>
        <v>0.4</v>
      </c>
      <c r="CI28" cm="1">
        <f t="array" aca="1" ref="CI28" ca="1">IF($BP28=CI$14, 1, SUMPRODUCT(
    --(OFFSET($O$9,0,0,1,$B$9)=TRUE),
    --(INDEX(OFFSET($O$15,0,0,$B$8,$B$9), 1+$BP28, 0) = INDEX(OFFSET($O$15,0,0,$B$8,$B$9), 1+CI$14, 0))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
) / $B$16)</f>
        <v>0</v>
      </c>
      <c r="CY28" s="4" t="s">
        <v>61</v>
      </c>
      <c r="CZ28" s="13" t="s">
        <v>48</v>
      </c>
      <c r="DF28" cm="1">
        <f t="array" aca="1" ref="DF28" ca="1">INDEX(_xlfn.ANCHORARRAY($CP$15), 1 + INT((ROWS($DG$15:$DG28) - 1) / ROWS(_xlfn.ANCHORARRAY($CP$15))))</f>
        <v>2</v>
      </c>
      <c r="DG28" cm="1">
        <f t="array" aca="1" ref="DG28" ca="1">INDEX(_xlfn.ANCHORARRAY($CP$15),1+MOD(ROWS($DG$15:$DG28)-1,ROWS(_xlfn.ANCHORARRAY($CP$15))))</f>
        <v>3</v>
      </c>
      <c r="DH28" s="10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$B$18/($B$19*$B$19*($DF28&lt;&gt;$DG28) + $B$19*($DF28=$DG28))</f>
        <v>8.9381818181818187E-2</v>
      </c>
      <c r="DI28" s="10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$B$18/($B$19*$B$19*($DF28&lt;&gt;$DG28) + $B$19*($DF28=$DG28))</f>
        <v>1.1999999999999999E-3</v>
      </c>
      <c r="DJ28" s="10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$B$18/($B$19*$B$19*($DF28&lt;&gt;$DG28) + $B$19*($DF28=$DG28))</f>
        <v>0.16286666666666666</v>
      </c>
      <c r="DK28" s="10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$B$18/($B$19*$B$19*($DF28&lt;&gt;$DG28) + $B$19*($DF28=$DG28))</f>
        <v>1.1999999999999999E-3</v>
      </c>
      <c r="DL28" s="10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$B$18/($B$19*$B$19*($DF28&lt;&gt;$DG28) + $B$19*($DF28=$DG28))</f>
        <v>1.1999999999999999E-3</v>
      </c>
      <c r="DM28" s="10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$B$18/($B$19*$B$19*($DF28&lt;&gt;$DG28) + $B$19*($DF28=$DG28))</f>
        <v>8.9381818181818187E-2</v>
      </c>
      <c r="DN28" s="10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$B$18/($B$19*$B$19*($DF28&lt;&gt;$DG28) + $B$19*($DF28=$DG28))</f>
        <v>1.1999999999999999E-3</v>
      </c>
      <c r="DO28" s="10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$B$18/($B$19*$B$19*($DF28&lt;&gt;$DG28) + $B$19*($DF28=$DG28))</f>
        <v>0.20695757575757576</v>
      </c>
      <c r="DP28" s="10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$B$18/($B$19*$B$19*($DF28&lt;&gt;$DG28) + $B$19*($DF28=$DG28))</f>
        <v>1.1999999999999999E-3</v>
      </c>
      <c r="DQ28" s="10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$B$18/($B$19*$B$19*($DF28&lt;&gt;$DG28) + $B$19*($DF28=$DG28))</f>
        <v>1.1999999999999999E-3</v>
      </c>
      <c r="DR28" s="10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$B$18/($B$19*$B$19*($DF28&lt;&gt;$DG28) + $B$19*($DF28=$DG28))</f>
        <v>3.0593939393939392E-2</v>
      </c>
      <c r="DS28" s="10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$B$18/($B$19*$B$19*($DF28&lt;&gt;$DG28) + $B$19*($DF28=$DG28))</f>
        <v>0.16286666666666666</v>
      </c>
      <c r="DT28" s="10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$B$18/($B$19*$B$19*($DF28&lt;&gt;$DG28) + $B$19*($DF28=$DG28))</f>
        <v>1.1999999999999999E-3</v>
      </c>
      <c r="DU28" s="10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$B$18/($B$19*$B$19*($DF28&lt;&gt;$DG28) + $B$19*($DF28=$DG28))</f>
        <v>1.1999999999999999E-3</v>
      </c>
      <c r="DV28" s="10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$B$18/($B$19*$B$19*($DF28&lt;&gt;$DG28) + $B$19*($DF28=$DG28))</f>
        <v>0.16286666666666666</v>
      </c>
      <c r="DW28" s="10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$B$18/($B$19*$B$19*($DF28&lt;&gt;$DG28) + $B$19*($DF28=$DG28))</f>
        <v>3.0593939393939392E-2</v>
      </c>
      <c r="ED28" cm="1">
        <f t="array" aca="1" ref="ED28" ca="1">INDEX(_xlfn.ANCHORARRAY($CP$15), 1 + INT((ROWS($DG$15:$DG28) - 1) / ROWS(_xlfn.ANCHORARRAY($CP$15))))</f>
        <v>2</v>
      </c>
      <c r="EE28" cm="1">
        <f t="array" aca="1" ref="EE28" ca="1">INDEX(_xlfn.ANCHORARRAY($CP$15),1+MOD(ROWS($DG$15:$DG28)-1,ROWS(_xlfn.ANCHORARRAY($CP$15))))</f>
        <v>3</v>
      </c>
      <c r="EF28" s="10" cm="1">
        <f t="array" aca="1" ref="EF28" ca="1">DH28-_xlfn.XLOOKUP(EF$13,_xlfn.ANCHORARRAY( $CR$14), _xlfn.XLOOKUP($ED28,_xlfn.ANCHORARRAY( $CP$15), $CR$15:$CU$19)) * _xlfn.XLOOKUP(EF$14,_xlfn.ANCHORARRAY( $CR$14), _xlfn.XLOOKUP($EE28,_xlfn.ANCHORARRAY( $CP$15), $CR$15:$CU$19))</f>
        <v>6.528554269972453E-2</v>
      </c>
      <c r="EG28" s="10" cm="1">
        <f t="array" aca="1" ref="EG28" ca="1">DI28-_xlfn.XLOOKUP(EG$13,_xlfn.ANCHORARRAY( $CR$14), _xlfn.XLOOKUP($ED28,_xlfn.ANCHORARRAY( $CP$15), $CR$15:$CU$19)) * _xlfn.XLOOKUP(EG$14,_xlfn.ANCHORARRAY( $CR$14), _xlfn.XLOOKUP($EE28,_xlfn.ANCHORARRAY( $CP$15), $CR$15:$CU$19))</f>
        <v>-2.2896275482093664E-2</v>
      </c>
      <c r="EH28" s="10" cm="1">
        <f t="array" aca="1" ref="EH28" ca="1">DJ28-_xlfn.XLOOKUP(EH$13,_xlfn.ANCHORARRAY( $CR$14), _xlfn.XLOOKUP($ED28,_xlfn.ANCHORARRAY( $CP$15), $CR$15:$CU$19)) * _xlfn.XLOOKUP(EH$14,_xlfn.ANCHORARRAY( $CR$14), _xlfn.XLOOKUP($EE28,_xlfn.ANCHORARRAY( $CP$15), $CR$15:$CU$19))</f>
        <v>7.1086837465564739E-2</v>
      </c>
      <c r="EI28" s="10" cm="1">
        <f t="array" aca="1" ref="EI28" ca="1">DK28-_xlfn.XLOOKUP(EI$13,_xlfn.ANCHORARRAY( $CR$14), _xlfn.XLOOKUP($ED28,_xlfn.ANCHORARRAY( $CP$15), $CR$15:$CU$19)) * _xlfn.XLOOKUP(EI$14,_xlfn.ANCHORARRAY( $CR$14), _xlfn.XLOOKUP($EE28,_xlfn.ANCHORARRAY( $CP$15), $CR$15:$CU$19))</f>
        <v>-0.11314101377410465</v>
      </c>
      <c r="EJ28" s="10" cm="1">
        <f t="array" aca="1" ref="EJ28" ca="1">DL28-_xlfn.XLOOKUP(EJ$13,_xlfn.ANCHORARRAY( $CR$14), _xlfn.XLOOKUP($ED28,_xlfn.ANCHORARRAY( $CP$15), $CR$15:$CU$19)) * _xlfn.XLOOKUP(EJ$14,_xlfn.ANCHORARRAY( $CR$14), _xlfn.XLOOKUP($EE28,_xlfn.ANCHORARRAY( $CP$15), $CR$15:$CU$19))</f>
        <v>-2.7048837465564735E-2</v>
      </c>
      <c r="EK28" s="10" cm="1">
        <f t="array" aca="1" ref="EK28" ca="1">DM28-_xlfn.XLOOKUP(EK$13,_xlfn.ANCHORARRAY( $CR$14), _xlfn.XLOOKUP($ED28,_xlfn.ANCHORARRAY( $CP$15), $CR$15:$CU$19)) * _xlfn.XLOOKUP(EK$14,_xlfn.ANCHORARRAY( $CR$14), _xlfn.XLOOKUP($EE28,_xlfn.ANCHORARRAY( $CP$15), $CR$15:$CU$19))</f>
        <v>6.1132980716253449E-2</v>
      </c>
      <c r="EL28" s="10" cm="1">
        <f t="array" aca="1" ref="EL28" ca="1">DN28-_xlfn.XLOOKUP(EL$13,_xlfn.ANCHORARRAY( $CR$14), _xlfn.XLOOKUP($ED28,_xlfn.ANCHORARRAY( $CP$15), $CR$15:$CU$19)) * _xlfn.XLOOKUP(EL$14,_xlfn.ANCHORARRAY( $CR$14), _xlfn.XLOOKUP($EE28,_xlfn.ANCHORARRAY( $CP$15), $CR$15:$CU$19))</f>
        <v>-0.10639644077134984</v>
      </c>
      <c r="EM28" s="10" cm="1">
        <f t="array" aca="1" ref="EM28" ca="1">DO28-_xlfn.XLOOKUP(EM$13,_xlfn.ANCHORARRAY( $CR$14), _xlfn.XLOOKUP($ED28,_xlfn.ANCHORARRAY( $CP$15), $CR$15:$CU$19)) * _xlfn.XLOOKUP(EM$14,_xlfn.ANCHORARRAY( $CR$14), _xlfn.XLOOKUP($EE28,_xlfn.ANCHORARRAY( $CP$15), $CR$15:$CU$19))</f>
        <v>7.2911933884297564E-2</v>
      </c>
      <c r="EN28" s="10" cm="1">
        <f t="array" aca="1" ref="EN28" ca="1">DP28-_xlfn.XLOOKUP(EN$13,_xlfn.ANCHORARRAY( $CR$14), _xlfn.XLOOKUP($ED28,_xlfn.ANCHORARRAY( $CP$15), $CR$15:$CU$19)) * _xlfn.XLOOKUP(EN$14,_xlfn.ANCHORARRAY( $CR$14), _xlfn.XLOOKUP($EE28,_xlfn.ANCHORARRAY( $CP$15), $CR$15:$CU$19))</f>
        <v>-1.7359526170798899E-2</v>
      </c>
      <c r="EO28" s="10" cm="1">
        <f t="array" aca="1" ref="EO28" ca="1">DQ28-_xlfn.XLOOKUP(EO$13,_xlfn.ANCHORARRAY( $CR$14), _xlfn.XLOOKUP($ED28,_xlfn.ANCHORARRAY( $CP$15), $CR$15:$CU$19)) * _xlfn.XLOOKUP(EO$14,_xlfn.ANCHORARRAY( $CR$14), _xlfn.XLOOKUP($EE28,_xlfn.ANCHORARRAY( $CP$15), $CR$15:$CU$19))</f>
        <v>-1.7359526170798899E-2</v>
      </c>
      <c r="EP28" s="10" cm="1">
        <f t="array" aca="1" ref="EP28" ca="1">DR28-_xlfn.XLOOKUP(EP$13,_xlfn.ANCHORARRAY( $CR$14), _xlfn.XLOOKUP($ED28,_xlfn.ANCHORARRAY( $CP$15), $CR$15:$CU$19)) * _xlfn.XLOOKUP(EP$14,_xlfn.ANCHORARRAY( $CR$14), _xlfn.XLOOKUP($EE28,_xlfn.ANCHORARRAY( $CP$15), $CR$15:$CU$19))</f>
        <v>-4.0097074380165285E-2</v>
      </c>
      <c r="EQ28" s="10" cm="1">
        <f t="array" aca="1" ref="EQ28" ca="1">DS28-_xlfn.XLOOKUP(EQ$13,_xlfn.ANCHORARRAY( $CR$14), _xlfn.XLOOKUP($ED28,_xlfn.ANCHORARRAY( $CP$15), $CR$15:$CU$19)) * _xlfn.XLOOKUP(EQ$14,_xlfn.ANCHORARRAY( $CR$14), _xlfn.XLOOKUP($EE28,_xlfn.ANCHORARRAY( $CP$15), $CR$15:$CU$19))</f>
        <v>7.4798490358126732E-2</v>
      </c>
      <c r="ER28" s="10" cm="1">
        <f t="array" aca="1" ref="ER28" ca="1">DT28-_xlfn.XLOOKUP(ER$13,_xlfn.ANCHORARRAY( $CR$14), _xlfn.XLOOKUP($ED28,_xlfn.ANCHORARRAY( $CP$15), $CR$15:$CU$19)) * _xlfn.XLOOKUP(ER$14,_xlfn.ANCHORARRAY( $CR$14), _xlfn.XLOOKUP($EE28,_xlfn.ANCHORARRAY( $CP$15), $CR$15:$CU$19))</f>
        <v>-1.7359526170798899E-2</v>
      </c>
      <c r="ES28" s="10" cm="1">
        <f t="array" aca="1" ref="ES28" ca="1">DU28-_xlfn.XLOOKUP(ES$13,_xlfn.ANCHORARRAY( $CR$14), _xlfn.XLOOKUP($ED28,_xlfn.ANCHORARRAY( $CP$15), $CR$15:$CU$19)) * _xlfn.XLOOKUP(ES$14,_xlfn.ANCHORARRAY( $CR$14), _xlfn.XLOOKUP($EE28,_xlfn.ANCHORARRAY( $CP$15), $CR$15:$CU$19))</f>
        <v>-1.7359526170798899E-2</v>
      </c>
      <c r="ET28" s="10" cm="1">
        <f t="array" aca="1" ref="ET28" ca="1">DV28-_xlfn.XLOOKUP(ET$13,_xlfn.ANCHORARRAY( $CR$14), _xlfn.XLOOKUP($ED28,_xlfn.ANCHORARRAY( $CP$15), $CR$15:$CU$19)) * _xlfn.XLOOKUP(ET$14,_xlfn.ANCHORARRAY( $CR$14), _xlfn.XLOOKUP($EE28,_xlfn.ANCHORARRAY( $CP$15), $CR$15:$CU$19))</f>
        <v>9.2175652892561979E-2</v>
      </c>
      <c r="EU28" s="10" cm="1">
        <f t="array" aca="1" ref="EU28" ca="1">DW28-_xlfn.XLOOKUP(EU$13,_xlfn.ANCHORARRAY( $CR$14), _xlfn.XLOOKUP($ED28,_xlfn.ANCHORARRAY( $CP$15), $CR$15:$CU$19)) * _xlfn.XLOOKUP(EU$14,_xlfn.ANCHORARRAY( $CR$14), _xlfn.XLOOKUP($EE28,_xlfn.ANCHORARRAY( $CP$15), $CR$15:$CU$19))</f>
        <v>-5.7474236914600532E-2</v>
      </c>
      <c r="EZ28" cm="1">
        <f t="array" aca="1" ref="EZ28" ca="1">INDEX(_xlfn.ANCHORARRAY($CP$15), 1 + INT((ROWS($DG$15:$DG28) - 1) / ROWS(_xlfn.ANCHORARRAY($CP$15))))</f>
        <v>2</v>
      </c>
      <c r="FA28" cm="1">
        <f t="array" aca="1" ref="FA28" ca="1">INDEX(_xlfn.ANCHORARRAY($CP$15),1+MOD(ROWS($DG$15:$DG28)-1,ROWS(_xlfn.ANCHORARRAY($CP$15))))</f>
        <v>3</v>
      </c>
      <c r="FB28" s="10" cm="1">
        <f t="array" aca="1" ref="FB28" ca="1">EF28 * _xlfn.XLOOKUP(FB$13,_xlfn.ANCHORARRAY( $CZ$29), _xlfn.XLOOKUP($EZ28,_xlfn.ANCHORARRAY( $CY$30), $CZ$30:$DC$34)) * _xlfn.XLOOKUP(FB$14,_xlfn.ANCHORARRAY( $CZ$29), _xlfn.XLOOKUP($FA28,_xlfn.ANCHORARRAY( $CY$30), $CZ$30:$DC$34))</f>
        <v>-2.3542138958200409E-3</v>
      </c>
      <c r="FC28" s="10" cm="1">
        <f t="array" aca="1" ref="FC28" ca="1">EG28 * _xlfn.XLOOKUP(FC$13,_xlfn.ANCHORARRAY( $CZ$29), _xlfn.XLOOKUP($EZ28,_xlfn.ANCHORARRAY( $CY$30), $CZ$30:$DC$34)) * _xlfn.XLOOKUP(FC$14,_xlfn.ANCHORARRAY( $CZ$29), _xlfn.XLOOKUP($FA28,_xlfn.ANCHORARRAY( $CY$30), $CZ$30:$DC$34))</f>
        <v>8.2564573523405892E-4</v>
      </c>
      <c r="FD28" s="10" cm="1">
        <f t="array" aca="1" ref="FD28" ca="1">EH28 * _xlfn.XLOOKUP(FD$13,_xlfn.ANCHORARRAY( $CZ$29), _xlfn.XLOOKUP($EZ28,_xlfn.ANCHORARRAY( $CY$30), $CZ$30:$DC$34)) * _xlfn.XLOOKUP(FD$14,_xlfn.ANCHORARRAY( $CZ$29), _xlfn.XLOOKUP($FA28,_xlfn.ANCHORARRAY( $CY$30), $CZ$30:$DC$34))</f>
        <v>1.1391667716850549E-3</v>
      </c>
      <c r="FE28" s="10" cm="1">
        <f t="array" aca="1" ref="FE28" ca="1">EI28 * _xlfn.XLOOKUP(FE$13,_xlfn.ANCHORARRAY( $CZ$29), _xlfn.XLOOKUP($EZ28,_xlfn.ANCHORARRAY( $CY$30), $CZ$30:$DC$34)) * _xlfn.XLOOKUP(FE$14,_xlfn.ANCHORARRAY( $CZ$29), _xlfn.XLOOKUP($FA28,_xlfn.ANCHORARRAY( $CY$30), $CZ$30:$DC$34))</f>
        <v>-3.1008802418647299E-3</v>
      </c>
      <c r="FF28" s="10" cm="1">
        <f t="array" aca="1" ref="FF28" ca="1">EJ28 * _xlfn.XLOOKUP(FF$13,_xlfn.ANCHORARRAY( $CZ$29), _xlfn.XLOOKUP($EZ28,_xlfn.ANCHORARRAY( $CY$30), $CZ$30:$DC$34)) * _xlfn.XLOOKUP(FF$14,_xlfn.ANCHORARRAY( $CZ$29), _xlfn.XLOOKUP($FA28,_xlfn.ANCHORARRAY( $CY$30), $CZ$30:$DC$34))</f>
        <v>7.9102935011423538E-3</v>
      </c>
      <c r="FG28" s="10" cm="1">
        <f t="array" aca="1" ref="FG28" ca="1">EK28 * _xlfn.XLOOKUP(FG$13,_xlfn.ANCHORARRAY( $CZ$29), _xlfn.XLOOKUP($EZ28,_xlfn.ANCHORARRAY( $CY$30), $CZ$30:$DC$34)) * _xlfn.XLOOKUP(FG$14,_xlfn.ANCHORARRAY( $CZ$29), _xlfn.XLOOKUP($FA28,_xlfn.ANCHORARRAY( $CY$30), $CZ$30:$DC$34))</f>
        <v>-1.7878026021668218E-2</v>
      </c>
      <c r="FH28" s="10" cm="1">
        <f t="array" aca="1" ref="FH28" ca="1">EL28 * _xlfn.XLOOKUP(FH$13,_xlfn.ANCHORARRAY( $CZ$29), _xlfn.XLOOKUP($EZ28,_xlfn.ANCHORARRAY( $CY$30), $CZ$30:$DC$34)) * _xlfn.XLOOKUP(FH$14,_xlfn.ANCHORARRAY( $CZ$29), _xlfn.XLOOKUP($FA28,_xlfn.ANCHORARRAY( $CY$30), $CZ$30:$DC$34))</f>
        <v>-1.3827393054327489E-2</v>
      </c>
      <c r="FI28" s="10" cm="1">
        <f t="array" aca="1" ref="FI28" ca="1">EM28 * _xlfn.XLOOKUP(FI$13,_xlfn.ANCHORARRAY( $CZ$29), _xlfn.XLOOKUP($EZ28,_xlfn.ANCHORARRAY( $CY$30), $CZ$30:$DC$34)) * _xlfn.XLOOKUP(FI$14,_xlfn.ANCHORARRAY( $CZ$29), _xlfn.XLOOKUP($FA28,_xlfn.ANCHORARRAY( $CY$30), $CZ$30:$DC$34))</f>
        <v>1.6206104638310185E-2</v>
      </c>
      <c r="FJ28" s="10" cm="1">
        <f t="array" aca="1" ref="FJ28" ca="1">EN28 * _xlfn.XLOOKUP(FJ$13,_xlfn.ANCHORARRAY( $CZ$29), _xlfn.XLOOKUP($EZ28,_xlfn.ANCHORARRAY( $CY$30), $CZ$30:$DC$34)) * _xlfn.XLOOKUP(FJ$14,_xlfn.ANCHORARRAY( $CZ$29), _xlfn.XLOOKUP($FA28,_xlfn.ANCHORARRAY( $CY$30), $CZ$30:$DC$34))</f>
        <v>-6.1916403114634228E-3</v>
      </c>
      <c r="FK28" s="10" cm="1">
        <f t="array" aca="1" ref="FK28" ca="1">EO28 * _xlfn.XLOOKUP(FK$13,_xlfn.ANCHORARRAY( $CZ$29), _xlfn.XLOOKUP($EZ28,_xlfn.ANCHORARRAY( $CY$30), $CZ$30:$DC$34)) * _xlfn.XLOOKUP(FK$14,_xlfn.ANCHORARRAY( $CZ$29), _xlfn.XLOOKUP($FA28,_xlfn.ANCHORARRAY( $CY$30), $CZ$30:$DC$34))</f>
        <v>-6.1916403114634228E-3</v>
      </c>
      <c r="FL28" s="10" cm="1">
        <f t="array" aca="1" ref="FL28" ca="1">EP28 * _xlfn.XLOOKUP(FL$13,_xlfn.ANCHORARRAY( $CZ$29), _xlfn.XLOOKUP($EZ28,_xlfn.ANCHORARRAY( $CY$30), $CZ$30:$DC$34)) * _xlfn.XLOOKUP(FL$14,_xlfn.ANCHORARRAY( $CZ$29), _xlfn.XLOOKUP($FA28,_xlfn.ANCHORARRAY( $CY$30), $CZ$30:$DC$34))</f>
        <v>6.3555004398288904E-3</v>
      </c>
      <c r="FM28" s="10" cm="1">
        <f t="array" aca="1" ref="FM28" ca="1">EQ28 * _xlfn.XLOOKUP(FM$13,_xlfn.ANCHORARRAY( $CZ$29), _xlfn.XLOOKUP($EZ28,_xlfn.ANCHORARRAY( $CY$30), $CZ$30:$DC$34)) * _xlfn.XLOOKUP(FM$14,_xlfn.ANCHORARRAY( $CZ$29), _xlfn.XLOOKUP($FA28,_xlfn.ANCHORARRAY( $CY$30), $CZ$30:$DC$34))</f>
        <v>-2.0276673713962141E-2</v>
      </c>
      <c r="FN28" s="10" cm="1">
        <f t="array" aca="1" ref="FN28" ca="1">ER28 * _xlfn.XLOOKUP(FN$13,_xlfn.ANCHORARRAY( $CZ$29), _xlfn.XLOOKUP($EZ28,_xlfn.ANCHORARRAY( $CY$30), $CZ$30:$DC$34)) * _xlfn.XLOOKUP(FN$14,_xlfn.ANCHORARRAY( $CZ$29), _xlfn.XLOOKUP($FA28,_xlfn.ANCHORARRAY( $CY$30), $CZ$30:$DC$34))</f>
        <v>-6.1916403114634228E-3</v>
      </c>
      <c r="FO28" s="10" cm="1">
        <f t="array" aca="1" ref="FO28" ca="1">ES28 * _xlfn.XLOOKUP(FO$13,_xlfn.ANCHORARRAY( $CZ$29), _xlfn.XLOOKUP($EZ28,_xlfn.ANCHORARRAY( $CY$30), $CZ$30:$DC$34)) * _xlfn.XLOOKUP(FO$14,_xlfn.ANCHORARRAY( $CZ$29), _xlfn.XLOOKUP($FA28,_xlfn.ANCHORARRAY( $CY$30), $CZ$30:$DC$34))</f>
        <v>-6.1916403114634228E-3</v>
      </c>
      <c r="FP28" s="10" cm="1">
        <f t="array" aca="1" ref="FP28" ca="1">ET28 * _xlfn.XLOOKUP(FP$13,_xlfn.ANCHORARRAY( $CZ$29), _xlfn.XLOOKUP($EZ28,_xlfn.ANCHORARRAY( $CY$30), $CZ$30:$DC$34)) * _xlfn.XLOOKUP(FP$14,_xlfn.ANCHORARRAY( $CZ$29), _xlfn.XLOOKUP($FA28,_xlfn.ANCHORARRAY( $CY$30), $CZ$30:$DC$34))</f>
        <v>-1.4610103394226189E-2</v>
      </c>
      <c r="FQ28" s="10" cm="1">
        <f t="array" aca="1" ref="FQ28" ca="1">EU28 * _xlfn.XLOOKUP(FQ$13,_xlfn.ANCHORARRAY( $CZ$29), _xlfn.XLOOKUP($EZ28,_xlfn.ANCHORARRAY( $CY$30), $CZ$30:$DC$34)) * _xlfn.XLOOKUP(FQ$14,_xlfn.ANCHORARRAY( $CZ$29), _xlfn.XLOOKUP($FA28,_xlfn.ANCHORARRAY( $CY$30), $CZ$30:$DC$34))</f>
        <v>1.5580345850518838E-2</v>
      </c>
      <c r="FT28" cm="1">
        <f t="array" aca="1" ref="FT28" ca="1">SQRT(SUM((FB28:FQ28)^2))</f>
        <v>4.3752167681486688E-2</v>
      </c>
    </row>
    <row r="29" spans="1:176" x14ac:dyDescent="0.2">
      <c r="D29" s="10">
        <f ca="1"/>
        <v>15</v>
      </c>
      <c r="F29" s="10">
        <f ca="1"/>
        <v>0.5</v>
      </c>
      <c r="H29" s="10"/>
      <c r="J29" cm="1">
        <f t="array" aca="1" ref="J29" ca="1">SUMPRODUCT((O29:AJ29=$O$11:$AJ$11)*(O$13:AJ$13=TRUE))  / COUNTIF(O$13:AJ$13,TRUE)</f>
        <v>0</v>
      </c>
      <c r="K29" t="b">
        <f t="shared" ca="1" si="3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4"/>
        <v>1</v>
      </c>
      <c r="N29" s="2">
        <v>14</v>
      </c>
      <c r="O29" s="12" t="s">
        <v>2</v>
      </c>
      <c r="P29" s="9" t="s">
        <v>3</v>
      </c>
      <c r="Q29" s="9" t="s">
        <v>0</v>
      </c>
      <c r="R29" s="9" t="s">
        <v>2</v>
      </c>
      <c r="S29" s="9" t="s">
        <v>2</v>
      </c>
      <c r="AK29" s="7"/>
      <c r="AN29">
        <f t="shared" ca="1" si="5"/>
        <v>2</v>
      </c>
      <c r="AO29" s="14">
        <f t="shared" ca="1" si="6"/>
        <v>0.5</v>
      </c>
      <c r="AP29" s="2">
        <f ca="1"/>
        <v>15</v>
      </c>
      <c r="AQ29" cm="1">
        <f t="array" aca="1" ref="AQ29" ca="1">IF($AP29=AQ$14, 1, SUMPRODUCT(
    --(OFFSET($O$13,0,0,1,$B$9)=TRUE),
    --(INDEX(OFFSET($O$15,0,0,$B$8,$B$9), 1+$AP29, 0) = INDEX(OFFSET($O$15,0,0,$B$8,$B$9), 1+AQ$14, 0))
) / $B$13)</f>
        <v>0</v>
      </c>
      <c r="AR29" cm="1">
        <f t="array" aca="1" ref="AR29" ca="1">IF($AP29=AR$14, 1, SUMPRODUCT(
    --(OFFSET($O$13,0,0,1,$B$9)=TRUE),
    --(INDEX(OFFSET($O$15,0,0,$B$8,$B$9), 1+$AP29, 0) = INDEX(OFFSET($O$15,0,0,$B$8,$B$9), 1+AR$14, 0))
) / $B$13)</f>
        <v>0</v>
      </c>
      <c r="AS29" cm="1">
        <f t="array" aca="1" ref="AS29" ca="1">IF($AP29=AS$14, 1, SUMPRODUCT(
    --(OFFSET($O$13,0,0,1,$B$9)=TRUE),
    --(INDEX(OFFSET($O$15,0,0,$B$8,$B$9), 1+$AP29, 0) = INDEX(OFFSET($O$15,0,0,$B$8,$B$9), 1+AS$14, 0))
) / $B$13)</f>
        <v>0</v>
      </c>
      <c r="AT29" cm="1">
        <f t="array" aca="1" ref="AT29" ca="1">IF($AP29=AT$14, 1, SUMPRODUCT(
    --(OFFSET($O$13,0,0,1,$B$9)=TRUE),
    --(INDEX(OFFSET($O$15,0,0,$B$8,$B$9), 1+$AP29, 0) = INDEX(OFFSET($O$15,0,0,$B$8,$B$9), 1+AT$14, 0))
) / $B$13)</f>
        <v>0.4</v>
      </c>
      <c r="AU29" cm="1">
        <f t="array" aca="1" ref="AU29" ca="1">IF($AP29=AU$14, 1, SUMPRODUCT(
    --(OFFSET($O$13,0,0,1,$B$9)=TRUE),
    --(INDEX(OFFSET($O$15,0,0,$B$8,$B$9), 1+$AP29, 0) = INDEX(OFFSET($O$15,0,0,$B$8,$B$9), 1+AU$14, 0))
) / $B$13)</f>
        <v>0.4</v>
      </c>
      <c r="AV29" cm="1">
        <f t="array" aca="1" ref="AV29" ca="1">IF($AP29=AV$14, 1, SUMPRODUCT(
    --(OFFSET($O$13,0,0,1,$B$9)=TRUE),
    --(INDEX(OFFSET($O$15,0,0,$B$8,$B$9), 1+$AP29, 0) = INDEX(OFFSET($O$15,0,0,$B$8,$B$9), 1+AV$14, 0))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
) / $B$13)</f>
        <v>0.8</v>
      </c>
      <c r="AX29" cm="1">
        <f t="array" aca="1" ref="AX29" ca="1">IF($AP29=AX$14, 1, SUMPRODUCT(
    --(OFFSET($O$13,0,0,1,$B$9)=TRUE),
    --(INDEX(OFFSET($O$15,0,0,$B$8,$B$9), 1+$AP29, 0) = INDEX(OFFSET($O$15,0,0,$B$8,$B$9), 1+AX$14, 0))
) / $B$13)</f>
        <v>0</v>
      </c>
      <c r="AY29" cm="1">
        <f t="array" aca="1" ref="AY29" ca="1">IF($AP29=AY$14, 1, SUMPRODUCT(
    --(OFFSET($O$13,0,0,1,$B$9)=TRUE),
    --(INDEX(OFFSET($O$15,0,0,$B$8,$B$9), 1+$AP29, 0) = INDEX(OFFSET($O$15,0,0,$B$8,$B$9), 1+AY$14, 0))
) / $B$13)</f>
        <v>0</v>
      </c>
      <c r="AZ29" cm="1">
        <f t="array" aca="1" ref="AZ29" ca="1">IF($AP29=AZ$14, 1, SUMPRODUCT(
    --(OFFSET($O$13,0,0,1,$B$9)=TRUE),
    --(INDEX(OFFSET($O$15,0,0,$B$8,$B$9), 1+$AP29, 0) = INDEX(OFFSET($O$15,0,0,$B$8,$B$9), 1+AZ$14, 0))
) / $B$13)</f>
        <v>0</v>
      </c>
      <c r="BA29" cm="1">
        <f t="array" aca="1" ref="BA29" ca="1">IF($AP29=BA$14, 1, SUMPRODUCT(
    --(OFFSET($O$13,0,0,1,$B$9)=TRUE),
    --(INDEX(OFFSET($O$15,0,0,$B$8,$B$9), 1+$AP29, 0) = INDEX(OFFSET($O$15,0,0,$B$8,$B$9), 1+BA$14, 0))
) / $B$13)</f>
        <v>0.4</v>
      </c>
      <c r="BB29" cm="1">
        <f t="array" aca="1" ref="BB29" ca="1">IF($AP29=BB$14, 1, SUMPRODUCT(
    --(OFFSET($O$13,0,0,1,$B$9)=TRUE),
    --(INDEX(OFFSET($O$15,0,0,$B$8,$B$9), 1+$AP29, 0) = INDEX(OFFSET($O$15,0,0,$B$8,$B$9), 1+BB$14, 0))
) / $B$13)</f>
        <v>0.6</v>
      </c>
      <c r="BC29" cm="1">
        <f t="array" aca="1" ref="BC29" ca="1">IF($AP29=BC$14, 1, SUMPRODUCT(
    --(OFFSET($O$13,0,0,1,$B$9)=TRUE),
    --(INDEX(OFFSET($O$15,0,0,$B$8,$B$9), 1+$AP29, 0) = INDEX(OFFSET($O$15,0,0,$B$8,$B$9), 1+BC$14, 0))
) / $B$13)</f>
        <v>0.6</v>
      </c>
      <c r="BD29" cm="1">
        <f t="array" aca="1" ref="BD29" ca="1">IF($AP29=BD$14, 1, SUMPRODUCT(
    --(OFFSET($O$13,0,0,1,$B$9)=TRUE),
    --(INDEX(OFFSET($O$15,0,0,$B$8,$B$9), 1+$AP29, 0) = INDEX(OFFSET($O$15,0,0,$B$8,$B$9), 1+BD$14, 0))
) / $B$13)</f>
        <v>0.6</v>
      </c>
      <c r="BE29" cm="1">
        <f t="array" aca="1" ref="BE29" ca="1">IF($AP29=BE$14, 1, SUMPRODUCT(
    --(OFFSET($O$13,0,0,1,$B$9)=TRUE),
    --(INDEX(OFFSET($O$15,0,0,$B$8,$B$9), 1+$AP29, 0) = INDEX(OFFSET($O$15,0,0,$B$8,$B$9), 1+BE$14, 0))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
) / $B$13)</f>
        <v>0.2</v>
      </c>
      <c r="BG29" cm="1">
        <f t="array" aca="1" ref="BG29" ca="1">IF($AP29=BG$14, 1, SUMPRODUCT(
    --(OFFSET($O$13,0,0,1,$B$9)=TRUE),
    --(INDEX(OFFSET($O$15,0,0,$B$8,$B$9), 1+$AP29, 0) = INDEX(OFFSET($O$15,0,0,$B$8,$B$9), 1+BG$14, 0))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
) / $B$13)</f>
        <v>0.4</v>
      </c>
      <c r="BI29" cm="1">
        <f t="array" aca="1" ref="BI29" ca="1">IF($AP29=BI$14, 1, SUMPRODUCT(
    --(OFFSET($O$13,0,0,1,$B$9)=TRUE),
    --(INDEX(OFFSET($O$15,0,0,$B$8,$B$9), 1+$AP29, 0) = INDEX(OFFSET($O$15,0,0,$B$8,$B$9), 1+BI$14, 0))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
) / $B$13)</f>
        <v>0.2</v>
      </c>
      <c r="BN29">
        <f t="shared" ca="1" si="7"/>
        <v>2</v>
      </c>
      <c r="BO29" s="14">
        <f t="shared" ca="1" si="8"/>
        <v>0.5</v>
      </c>
      <c r="BP29" s="2">
        <f ca="1"/>
        <v>15</v>
      </c>
      <c r="BQ29" cm="1">
        <f t="array" aca="1" ref="BQ29" ca="1">IF($BP29=BQ$14, 1, SUMPRODUCT(
    --(OFFSET($O$9,0,0,1,$B$9)=TRUE),
    --(INDEX(OFFSET($O$15,0,0,$B$8,$B$9), 1+$BP29, 0) = INDEX(OFFSET($O$15,0,0,$B$8,$B$9), 1+BQ$14, 0))
) / $B$16)</f>
        <v>0</v>
      </c>
      <c r="BR29" cm="1">
        <f t="array" aca="1" ref="BR29" ca="1">IF($BP29=BR$14, 1, SUMPRODUCT(
    --(OFFSET($O$9,0,0,1,$B$9)=TRUE),
    --(INDEX(OFFSET($O$15,0,0,$B$8,$B$9), 1+$BP29, 0) = INDEX(OFFSET($O$15,0,0,$B$8,$B$9), 1+BR$14, 0))
) / $B$16)</f>
        <v>0</v>
      </c>
      <c r="BS29" cm="1">
        <f t="array" aca="1" ref="BS29" ca="1">IF($BP29=BS$14, 1, SUMPRODUCT(
    --(OFFSET($O$9,0,0,1,$B$9)=TRUE),
    --(INDEX(OFFSET($O$15,0,0,$B$8,$B$9), 1+$BP29, 0) = INDEX(OFFSET($O$15,0,0,$B$8,$B$9), 1+BS$14, 0))
) / $B$16)</f>
        <v>0</v>
      </c>
      <c r="BT29" cm="1">
        <f t="array" aca="1" ref="BT29" ca="1">IF($BP29=BT$14, 1, SUMPRODUCT(
    --(OFFSET($O$9,0,0,1,$B$9)=TRUE),
    --(INDEX(OFFSET($O$15,0,0,$B$8,$B$9), 1+$BP29, 0) = INDEX(OFFSET($O$15,0,0,$B$8,$B$9), 1+BT$14, 0))
) / $B$16)</f>
        <v>0.4</v>
      </c>
      <c r="BU29" cm="1">
        <f t="array" aca="1" ref="BU29" ca="1">IF($BP29=BU$14, 1, SUMPRODUCT(
    --(OFFSET($O$9,0,0,1,$B$9)=TRUE),
    --(INDEX(OFFSET($O$15,0,0,$B$8,$B$9), 1+$BP29, 0) = INDEX(OFFSET($O$15,0,0,$B$8,$B$9), 1+BU$14, 0))
) / $B$16)</f>
        <v>0.4</v>
      </c>
      <c r="BV29" cm="1">
        <f t="array" aca="1" ref="BV29" ca="1">IF($BP29=BV$14, 1, SUMPRODUCT(
    --(OFFSET($O$9,0,0,1,$B$9)=TRUE),
    --(INDEX(OFFSET($O$15,0,0,$B$8,$B$9), 1+$BP29, 0) = INDEX(OFFSET($O$15,0,0,$B$8,$B$9), 1+BV$14, 0))
) / $B$16)</f>
        <v>0.4</v>
      </c>
      <c r="BW29" cm="1">
        <f t="array" aca="1" ref="BW29" ca="1">IF($BP29=BW$14, 1, SUMPRODUCT(
    --(OFFSET($O$9,0,0,1,$B$9)=TRUE),
    --(INDEX(OFFSET($O$15,0,0,$B$8,$B$9), 1+$BP29, 0) = INDEX(OFFSET($O$15,0,0,$B$8,$B$9), 1+BW$14, 0))
) / $B$16)</f>
        <v>0.8</v>
      </c>
      <c r="BX29" cm="1">
        <f t="array" aca="1" ref="BX29" ca="1">IF($BP29=BX$14, 1, SUMPRODUCT(
    --(OFFSET($O$9,0,0,1,$B$9)=TRUE),
    --(INDEX(OFFSET($O$15,0,0,$B$8,$B$9), 1+$BP29, 0) = INDEX(OFFSET($O$15,0,0,$B$8,$B$9), 1+BX$14, 0))
) / $B$16)</f>
        <v>0</v>
      </c>
      <c r="BY29" cm="1">
        <f t="array" aca="1" ref="BY29" ca="1">IF($BP29=BY$14, 1, SUMPRODUCT(
    --(OFFSET($O$9,0,0,1,$B$9)=TRUE),
    --(INDEX(OFFSET($O$15,0,0,$B$8,$B$9), 1+$BP29, 0) = INDEX(OFFSET($O$15,0,0,$B$8,$B$9), 1+BY$14, 0))
) / $B$16)</f>
        <v>0</v>
      </c>
      <c r="BZ29" cm="1">
        <f t="array" aca="1" ref="BZ29" ca="1">IF($BP29=BZ$14, 1, SUMPRODUCT(
    --(OFFSET($O$9,0,0,1,$B$9)=TRUE),
    --(INDEX(OFFSET($O$15,0,0,$B$8,$B$9), 1+$BP29, 0) = INDEX(OFFSET($O$15,0,0,$B$8,$B$9), 1+BZ$14, 0))
) / $B$16)</f>
        <v>0</v>
      </c>
      <c r="CA29" cm="1">
        <f t="array" aca="1" ref="CA29" ca="1">IF($BP29=CA$14, 1, SUMPRODUCT(
    --(OFFSET($O$9,0,0,1,$B$9)=TRUE),
    --(INDEX(OFFSET($O$15,0,0,$B$8,$B$9), 1+$BP29, 0) = INDEX(OFFSET($O$15,0,0,$B$8,$B$9), 1+CA$14, 0))
) / $B$16)</f>
        <v>0.4</v>
      </c>
      <c r="CB29" cm="1">
        <f t="array" aca="1" ref="CB29" ca="1">IF($BP29=CB$14, 1, SUMPRODUCT(
    --(OFFSET($O$9,0,0,1,$B$9)=TRUE),
    --(INDEX(OFFSET($O$15,0,0,$B$8,$B$9), 1+$BP29, 0) = INDEX(OFFSET($O$15,0,0,$B$8,$B$9), 1+CB$14, 0))
) / $B$16)</f>
        <v>0.6</v>
      </c>
      <c r="CC29" cm="1">
        <f t="array" aca="1" ref="CC29" ca="1">IF($BP29=CC$14, 1, SUMPRODUCT(
    --(OFFSET($O$9,0,0,1,$B$9)=TRUE),
    --(INDEX(OFFSET($O$15,0,0,$B$8,$B$9), 1+$BP29, 0) = INDEX(OFFSET($O$15,0,0,$B$8,$B$9), 1+CC$14, 0))
) / $B$16)</f>
        <v>0.6</v>
      </c>
      <c r="CD29" cm="1">
        <f t="array" aca="1" ref="CD29" ca="1">IF($BP29=CD$14, 1, SUMPRODUCT(
    --(OFFSET($O$9,0,0,1,$B$9)=TRUE),
    --(INDEX(OFFSET($O$15,0,0,$B$8,$B$9), 1+$BP29, 0) = INDEX(OFFSET($O$15,0,0,$B$8,$B$9), 1+CD$14, 0))
) / $B$16)</f>
        <v>0.6</v>
      </c>
      <c r="CE29" cm="1">
        <f t="array" aca="1" ref="CE29" ca="1">IF($BP29=CE$14, 1, SUMPRODUCT(
    --(OFFSET($O$9,0,0,1,$B$9)=TRUE),
    --(INDEX(OFFSET($O$15,0,0,$B$8,$B$9), 1+$BP29, 0) = INDEX(OFFSET($O$15,0,0,$B$8,$B$9), 1+CE$14, 0))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
) / $B$16)</f>
        <v>0.2</v>
      </c>
      <c r="CG29" cm="1">
        <f t="array" aca="1" ref="CG29" ca="1">IF($BP29=CG$14, 1, SUMPRODUCT(
    --(OFFSET($O$9,0,0,1,$B$9)=TRUE),
    --(INDEX(OFFSET($O$15,0,0,$B$8,$B$9), 1+$BP29, 0) = INDEX(OFFSET($O$15,0,0,$B$8,$B$9), 1+CG$14, 0))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
) / $B$16)</f>
        <v>0.4</v>
      </c>
      <c r="CI29" cm="1">
        <f t="array" aca="1" ref="CI29" ca="1">IF($BP29=CI$14, 1, SUMPRODUCT(
    --(OFFSET($O$9,0,0,1,$B$9)=TRUE),
    --(INDEX(OFFSET($O$15,0,0,$B$8,$B$9), 1+$BP29, 0) = INDEX(OFFSET($O$15,0,0,$B$8,$B$9), 1+CI$14, 0))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
) / $B$16)</f>
        <v>0.2</v>
      </c>
      <c r="CQ29" s="1"/>
      <c r="CX29" s="13"/>
      <c r="CY29" s="4" t="s">
        <v>46</v>
      </c>
      <c r="CZ29" s="9" t="str" cm="1">
        <f t="array" aca="1" ref="CZ29:DC29" ca="1">OFFSET($M$1,0,0,1,$M$2)</f>
        <v>A</v>
      </c>
      <c r="DA29" s="9" t="str">
        <f ca="1"/>
        <v>B</v>
      </c>
      <c r="DB29" s="9" t="str">
        <f ca="1"/>
        <v>C</v>
      </c>
      <c r="DC29" s="9" t="str">
        <f ca="1"/>
        <v>D</v>
      </c>
      <c r="DF29" cm="1">
        <f t="array" aca="1" ref="DF29" ca="1">INDEX(_xlfn.ANCHORARRAY($CP$15), 1 + INT((ROWS($DG$15:$DG29) - 1) / ROWS(_xlfn.ANCHORARRAY($CP$15))))</f>
        <v>2</v>
      </c>
      <c r="DG29" cm="1">
        <f t="array" aca="1" ref="DG29" ca="1">INDEX(_xlfn.ANCHORARRAY($CP$15),1+MOD(ROWS($DG$15:$DG29)-1,ROWS(_xlfn.ANCHORARRAY($CP$15))))</f>
        <v>4</v>
      </c>
      <c r="DH29" s="10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$B$18/($B$19*$B$19*($DF29&lt;&gt;$DG29) + $B$19*($DF29=$DG29))</f>
        <v>8.9381818181818187E-2</v>
      </c>
      <c r="DI29" s="10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$B$18/($B$19*$B$19*($DF29&lt;&gt;$DG29) + $B$19*($DF29=$DG29))</f>
        <v>1.1999999999999999E-3</v>
      </c>
      <c r="DJ29" s="10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$B$18/($B$19*$B$19*($DF29&lt;&gt;$DG29) + $B$19*($DF29=$DG29))</f>
        <v>0.16286666666666666</v>
      </c>
      <c r="DK29" s="10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$B$18/($B$19*$B$19*($DF29&lt;&gt;$DG29) + $B$19*($DF29=$DG29))</f>
        <v>1.1999999999999999E-3</v>
      </c>
      <c r="DL29" s="10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$B$18/($B$19*$B$19*($DF29&lt;&gt;$DG29) + $B$19*($DF29=$DG29))</f>
        <v>1.1999999999999999E-3</v>
      </c>
      <c r="DM29" s="10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$B$18/($B$19*$B$19*($DF29&lt;&gt;$DG29) + $B$19*($DF29=$DG29))</f>
        <v>8.9381818181818187E-2</v>
      </c>
      <c r="DN29" s="10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$B$18/($B$19*$B$19*($DF29&lt;&gt;$DG29) + $B$19*($DF29=$DG29))</f>
        <v>1.1999999999999999E-3</v>
      </c>
      <c r="DO29" s="10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$B$18/($B$19*$B$19*($DF29&lt;&gt;$DG29) + $B$19*($DF29=$DG29))</f>
        <v>0.20695757575757576</v>
      </c>
      <c r="DP29" s="10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$B$18/($B$19*$B$19*($DF29&lt;&gt;$DG29) + $B$19*($DF29=$DG29))</f>
        <v>1.1999999999999999E-3</v>
      </c>
      <c r="DQ29" s="10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$B$18/($B$19*$B$19*($DF29&lt;&gt;$DG29) + $B$19*($DF29=$DG29))</f>
        <v>8.9381818181818187E-2</v>
      </c>
      <c r="DR29" s="10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$B$18/($B$19*$B$19*($DF29&lt;&gt;$DG29) + $B$19*($DF29=$DG29))</f>
        <v>3.0593939393939392E-2</v>
      </c>
      <c r="DS29" s="10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$B$18/($B$19*$B$19*($DF29&lt;&gt;$DG29) + $B$19*($DF29=$DG29))</f>
        <v>7.4684848484848479E-2</v>
      </c>
      <c r="DT29" s="10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$B$18/($B$19*$B$19*($DF29&lt;&gt;$DG29) + $B$19*($DF29=$DG29))</f>
        <v>1.1999999999999999E-3</v>
      </c>
      <c r="DU29" s="10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$B$18/($B$19*$B$19*($DF29&lt;&gt;$DG29) + $B$19*($DF29=$DG29))</f>
        <v>1.1999999999999999E-3</v>
      </c>
      <c r="DV29" s="10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$B$18/($B$19*$B$19*($DF29&lt;&gt;$DG29) + $B$19*($DF29=$DG29))</f>
        <v>0.16286666666666666</v>
      </c>
      <c r="DW29" s="10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$B$18/($B$19*$B$19*($DF29&lt;&gt;$DG29) + $B$19*($DF29=$DG29))</f>
        <v>3.0593939393939392E-2</v>
      </c>
      <c r="ED29" cm="1">
        <f t="array" aca="1" ref="ED29" ca="1">INDEX(_xlfn.ANCHORARRAY($CP$15), 1 + INT((ROWS($DG$15:$DG29) - 1) / ROWS(_xlfn.ANCHORARRAY($CP$15))))</f>
        <v>2</v>
      </c>
      <c r="EE29" cm="1">
        <f t="array" aca="1" ref="EE29" ca="1">INDEX(_xlfn.ANCHORARRAY($CP$15),1+MOD(ROWS($DG$15:$DG29)-1,ROWS(_xlfn.ANCHORARRAY($CP$15))))</f>
        <v>4</v>
      </c>
      <c r="EF29" s="10" cm="1">
        <f t="array" aca="1" ref="EF29" ca="1">DH29-_xlfn.XLOOKUP(EF$13,_xlfn.ANCHORARRAY( $CR$14), _xlfn.XLOOKUP($ED29,_xlfn.ANCHORARRAY( $CP$15), $CR$15:$CU$19)) * _xlfn.XLOOKUP(EF$14,_xlfn.ANCHORARRAY( $CR$14), _xlfn.XLOOKUP($EE29,_xlfn.ANCHORARRAY( $CP$15), $CR$15:$CU$19))</f>
        <v>6.528554269972453E-2</v>
      </c>
      <c r="EG29" s="10" cm="1">
        <f t="array" aca="1" ref="EG29" ca="1">DI29-_xlfn.XLOOKUP(EG$13,_xlfn.ANCHORARRAY( $CR$14), _xlfn.XLOOKUP($ED29,_xlfn.ANCHORARRAY( $CP$15), $CR$15:$CU$19)) * _xlfn.XLOOKUP(EG$14,_xlfn.ANCHORARRAY( $CR$14), _xlfn.XLOOKUP($EE29,_xlfn.ANCHORARRAY( $CP$15), $CR$15:$CU$19))</f>
        <v>-4.5457460055096419E-2</v>
      </c>
      <c r="EH29" s="10" cm="1">
        <f t="array" aca="1" ref="EH29" ca="1">DJ29-_xlfn.XLOOKUP(EH$13,_xlfn.ANCHORARRAY( $CR$14), _xlfn.XLOOKUP($ED29,_xlfn.ANCHORARRAY( $CP$15), $CR$15:$CU$19)) * _xlfn.XLOOKUP(EH$14,_xlfn.ANCHORARRAY( $CR$14), _xlfn.XLOOKUP($EE29,_xlfn.ANCHORARRAY( $CP$15), $CR$15:$CU$19))</f>
        <v>7.1086837465564739E-2</v>
      </c>
      <c r="EI29" s="10" cm="1">
        <f t="array" aca="1" ref="EI29" ca="1">DK29-_xlfn.XLOOKUP(EI$13,_xlfn.ANCHORARRAY( $CR$14), _xlfn.XLOOKUP($ED29,_xlfn.ANCHORARRAY( $CP$15), $CR$15:$CU$19)) * _xlfn.XLOOKUP(EI$14,_xlfn.ANCHORARRAY( $CR$14), _xlfn.XLOOKUP($EE29,_xlfn.ANCHORARRAY( $CP$15), $CR$15:$CU$19))</f>
        <v>-9.0579829201101913E-2</v>
      </c>
      <c r="EJ29" s="10" cm="1">
        <f t="array" aca="1" ref="EJ29" ca="1">DL29-_xlfn.XLOOKUP(EJ$13,_xlfn.ANCHORARRAY( $CR$14), _xlfn.XLOOKUP($ED29,_xlfn.ANCHORARRAY( $CP$15), $CR$15:$CU$19)) * _xlfn.XLOOKUP(EJ$14,_xlfn.ANCHORARRAY( $CR$14), _xlfn.XLOOKUP($EE29,_xlfn.ANCHORARRAY( $CP$15), $CR$15:$CU$19))</f>
        <v>-2.7048837465564735E-2</v>
      </c>
      <c r="EK29" s="10" cm="1">
        <f t="array" aca="1" ref="EK29" ca="1">DM29-_xlfn.XLOOKUP(EK$13,_xlfn.ANCHORARRAY( $CR$14), _xlfn.XLOOKUP($ED29,_xlfn.ANCHORARRAY( $CP$15), $CR$15:$CU$19)) * _xlfn.XLOOKUP(EK$14,_xlfn.ANCHORARRAY( $CR$14), _xlfn.XLOOKUP($EE29,_xlfn.ANCHORARRAY( $CP$15), $CR$15:$CU$19))</f>
        <v>3.4683779614325082E-2</v>
      </c>
      <c r="EL29" s="10" cm="1">
        <f t="array" aca="1" ref="EL29" ca="1">DN29-_xlfn.XLOOKUP(EL$13,_xlfn.ANCHORARRAY( $CR$14), _xlfn.XLOOKUP($ED29,_xlfn.ANCHORARRAY( $CP$15), $CR$15:$CU$19)) * _xlfn.XLOOKUP(EL$14,_xlfn.ANCHORARRAY( $CR$14), _xlfn.XLOOKUP($EE29,_xlfn.ANCHORARRAY( $CP$15), $CR$15:$CU$19))</f>
        <v>-0.10639644077134984</v>
      </c>
      <c r="EM29" s="10" cm="1">
        <f t="array" aca="1" ref="EM29" ca="1">DO29-_xlfn.XLOOKUP(EM$13,_xlfn.ANCHORARRAY( $CR$14), _xlfn.XLOOKUP($ED29,_xlfn.ANCHORARRAY( $CP$15), $CR$15:$CU$19)) * _xlfn.XLOOKUP(EM$14,_xlfn.ANCHORARRAY( $CR$14), _xlfn.XLOOKUP($EE29,_xlfn.ANCHORARRAY( $CP$15), $CR$15:$CU$19))</f>
        <v>9.936113498622591E-2</v>
      </c>
      <c r="EN29" s="10" cm="1">
        <f t="array" aca="1" ref="EN29" ca="1">DP29-_xlfn.XLOOKUP(EN$13,_xlfn.ANCHORARRAY( $CR$14), _xlfn.XLOOKUP($ED29,_xlfn.ANCHORARRAY( $CP$15), $CR$15:$CU$19)) * _xlfn.XLOOKUP(EN$14,_xlfn.ANCHORARRAY( $CR$14), _xlfn.XLOOKUP($EE29,_xlfn.ANCHORARRAY( $CP$15), $CR$15:$CU$19))</f>
        <v>-1.7359526170798899E-2</v>
      </c>
      <c r="EO29" s="10" cm="1">
        <f t="array" aca="1" ref="EO29" ca="1">DQ29-_xlfn.XLOOKUP(EO$13,_xlfn.ANCHORARRAY( $CR$14), _xlfn.XLOOKUP($ED29,_xlfn.ANCHORARRAY( $CP$15), $CR$15:$CU$19)) * _xlfn.XLOOKUP(EO$14,_xlfn.ANCHORARRAY( $CR$14), _xlfn.XLOOKUP($EE29,_xlfn.ANCHORARRAY( $CP$15), $CR$15:$CU$19))</f>
        <v>5.344512947658403E-2</v>
      </c>
      <c r="EP29" s="10" cm="1">
        <f t="array" aca="1" ref="EP29" ca="1">DR29-_xlfn.XLOOKUP(EP$13,_xlfn.ANCHORARRAY( $CR$14), _xlfn.XLOOKUP($ED29,_xlfn.ANCHORARRAY( $CP$15), $CR$15:$CU$19)) * _xlfn.XLOOKUP(EP$14,_xlfn.ANCHORARRAY( $CR$14), _xlfn.XLOOKUP($EE29,_xlfn.ANCHORARRAY( $CP$15), $CR$15:$CU$19))</f>
        <v>-4.0097074380165285E-2</v>
      </c>
      <c r="EQ29" s="10" cm="1">
        <f t="array" aca="1" ref="EQ29" ca="1">DS29-_xlfn.XLOOKUP(EQ$13,_xlfn.ANCHORARRAY( $CR$14), _xlfn.XLOOKUP($ED29,_xlfn.ANCHORARRAY( $CP$15), $CR$15:$CU$19)) * _xlfn.XLOOKUP(EQ$14,_xlfn.ANCHORARRAY( $CR$14), _xlfn.XLOOKUP($EE29,_xlfn.ANCHORARRAY( $CP$15), $CR$15:$CU$19))</f>
        <v>3.9938347107437988E-3</v>
      </c>
      <c r="ER29" s="10" cm="1">
        <f t="array" aca="1" ref="ER29" ca="1">DT29-_xlfn.XLOOKUP(ER$13,_xlfn.ANCHORARRAY( $CR$14), _xlfn.XLOOKUP($ED29,_xlfn.ANCHORARRAY( $CP$15), $CR$15:$CU$19)) * _xlfn.XLOOKUP(ER$14,_xlfn.ANCHORARRAY( $CR$14), _xlfn.XLOOKUP($EE29,_xlfn.ANCHORARRAY( $CP$15), $CR$15:$CU$19))</f>
        <v>-1.7359526170798899E-2</v>
      </c>
      <c r="ES29" s="10" cm="1">
        <f t="array" aca="1" ref="ES29" ca="1">DU29-_xlfn.XLOOKUP(ES$13,_xlfn.ANCHORARRAY( $CR$14), _xlfn.XLOOKUP($ED29,_xlfn.ANCHORARRAY( $CP$15), $CR$15:$CU$19)) * _xlfn.XLOOKUP(ES$14,_xlfn.ANCHORARRAY( $CR$14), _xlfn.XLOOKUP($EE29,_xlfn.ANCHORARRAY( $CP$15), $CR$15:$CU$19))</f>
        <v>-3.4736688705234157E-2</v>
      </c>
      <c r="ET29" s="10" cm="1">
        <f t="array" aca="1" ref="ET29" ca="1">DV29-_xlfn.XLOOKUP(ET$13,_xlfn.ANCHORARRAY( $CR$14), _xlfn.XLOOKUP($ED29,_xlfn.ANCHORARRAY( $CP$15), $CR$15:$CU$19)) * _xlfn.XLOOKUP(ET$14,_xlfn.ANCHORARRAY( $CR$14), _xlfn.XLOOKUP($EE29,_xlfn.ANCHORARRAY( $CP$15), $CR$15:$CU$19))</f>
        <v>9.2175652892561979E-2</v>
      </c>
      <c r="EU29" s="10" cm="1">
        <f t="array" aca="1" ref="EU29" ca="1">DW29-_xlfn.XLOOKUP(EU$13,_xlfn.ANCHORARRAY( $CR$14), _xlfn.XLOOKUP($ED29,_xlfn.ANCHORARRAY( $CP$15), $CR$15:$CU$19)) * _xlfn.XLOOKUP(EU$14,_xlfn.ANCHORARRAY( $CR$14), _xlfn.XLOOKUP($EE29,_xlfn.ANCHORARRAY( $CP$15), $CR$15:$CU$19))</f>
        <v>-4.0097074380165285E-2</v>
      </c>
      <c r="EZ29" cm="1">
        <f t="array" aca="1" ref="EZ29" ca="1">INDEX(_xlfn.ANCHORARRAY($CP$15), 1 + INT((ROWS($DG$15:$DG29) - 1) / ROWS(_xlfn.ANCHORARRAY($CP$15))))</f>
        <v>2</v>
      </c>
      <c r="FA29" cm="1">
        <f t="array" aca="1" ref="FA29" ca="1">INDEX(_xlfn.ANCHORARRAY($CP$15),1+MOD(ROWS($DG$15:$DG29)-1,ROWS(_xlfn.ANCHORARRAY($CP$15))))</f>
        <v>4</v>
      </c>
      <c r="FB29" s="10" cm="1">
        <f t="array" aca="1" ref="FB29" ca="1">EF29 * _xlfn.XLOOKUP(FB$13,_xlfn.ANCHORARRAY( $CZ$29), _xlfn.XLOOKUP($EZ29,_xlfn.ANCHORARRAY( $CY$30), $CZ$30:$DC$34)) * _xlfn.XLOOKUP(FB$14,_xlfn.ANCHORARRAY( $CZ$29), _xlfn.XLOOKUP($FA29,_xlfn.ANCHORARRAY( $CY$30), $CZ$30:$DC$34))</f>
        <v>-2.3542138958200409E-3</v>
      </c>
      <c r="FC29" s="10" cm="1">
        <f t="array" aca="1" ref="FC29" ca="1">EG29 * _xlfn.XLOOKUP(FC$13,_xlfn.ANCHORARRAY( $CZ$29), _xlfn.XLOOKUP($EZ29,_xlfn.ANCHORARRAY( $CY$30), $CZ$30:$DC$34)) * _xlfn.XLOOKUP(FC$14,_xlfn.ANCHORARRAY( $CZ$29), _xlfn.XLOOKUP($FA29,_xlfn.ANCHORARRAY( $CY$30), $CZ$30:$DC$34))</f>
        <v>5.6535509920206878E-4</v>
      </c>
      <c r="FD29" s="10" cm="1">
        <f t="array" aca="1" ref="FD29" ca="1">EH29 * _xlfn.XLOOKUP(FD$13,_xlfn.ANCHORARRAY( $CZ$29), _xlfn.XLOOKUP($EZ29,_xlfn.ANCHORARRAY( $CY$30), $CZ$30:$DC$34)) * _xlfn.XLOOKUP(FD$14,_xlfn.ANCHORARRAY( $CZ$29), _xlfn.XLOOKUP($FA29,_xlfn.ANCHORARRAY( $CY$30), $CZ$30:$DC$34))</f>
        <v>1.1391667716850549E-3</v>
      </c>
      <c r="FE29" s="10" cm="1">
        <f t="array" aca="1" ref="FE29" ca="1">EI29 * _xlfn.XLOOKUP(FE$13,_xlfn.ANCHORARRAY( $CZ$29), _xlfn.XLOOKUP($EZ29,_xlfn.ANCHORARRAY( $CY$30), $CZ$30:$DC$34)) * _xlfn.XLOOKUP(FE$14,_xlfn.ANCHORARRAY( $CZ$29), _xlfn.XLOOKUP($FA29,_xlfn.ANCHORARRAY( $CY$30), $CZ$30:$DC$34))</f>
        <v>-1.4515420194461056E-3</v>
      </c>
      <c r="FF29" s="10" cm="1">
        <f t="array" aca="1" ref="FF29" ca="1">EJ29 * _xlfn.XLOOKUP(FF$13,_xlfn.ANCHORARRAY( $CZ$29), _xlfn.XLOOKUP($EZ29,_xlfn.ANCHORARRAY( $CY$30), $CZ$30:$DC$34)) * _xlfn.XLOOKUP(FF$14,_xlfn.ANCHORARRAY( $CZ$29), _xlfn.XLOOKUP($FA29,_xlfn.ANCHORARRAY( $CY$30), $CZ$30:$DC$34))</f>
        <v>7.9102935011423538E-3</v>
      </c>
      <c r="FG29" s="10" cm="1">
        <f t="array" aca="1" ref="FG29" ca="1">EK29 * _xlfn.XLOOKUP(FG$13,_xlfn.ANCHORARRAY( $CZ$29), _xlfn.XLOOKUP($EZ29,_xlfn.ANCHORARRAY( $CY$30), $CZ$30:$DC$34)) * _xlfn.XLOOKUP(FG$14,_xlfn.ANCHORARRAY( $CZ$29), _xlfn.XLOOKUP($FA29,_xlfn.ANCHORARRAY( $CY$30), $CZ$30:$DC$34))</f>
        <v>-3.4983049060453909E-3</v>
      </c>
      <c r="FH29" s="10" cm="1">
        <f t="array" aca="1" ref="FH29" ca="1">EL29 * _xlfn.XLOOKUP(FH$13,_xlfn.ANCHORARRAY( $CZ$29), _xlfn.XLOOKUP($EZ29,_xlfn.ANCHORARRAY( $CY$30), $CZ$30:$DC$34)) * _xlfn.XLOOKUP(FH$14,_xlfn.ANCHORARRAY( $CZ$29), _xlfn.XLOOKUP($FA29,_xlfn.ANCHORARRAY( $CY$30), $CZ$30:$DC$34))</f>
        <v>-1.3827393054327489E-2</v>
      </c>
      <c r="FI29" s="10" cm="1">
        <f t="array" aca="1" ref="FI29" ca="1">EM29 * _xlfn.XLOOKUP(FI$13,_xlfn.ANCHORARRAY( $CZ$29), _xlfn.XLOOKUP($EZ29,_xlfn.ANCHORARRAY( $CY$30), $CZ$30:$DC$34)) * _xlfn.XLOOKUP(FI$14,_xlfn.ANCHORARRAY( $CZ$29), _xlfn.XLOOKUP($FA29,_xlfn.ANCHORARRAY( $CY$30), $CZ$30:$DC$34))</f>
        <v>1.2913077334336902E-2</v>
      </c>
      <c r="FJ29" s="10" cm="1">
        <f t="array" aca="1" ref="FJ29" ca="1">EN29 * _xlfn.XLOOKUP(FJ$13,_xlfn.ANCHORARRAY( $CZ$29), _xlfn.XLOOKUP($EZ29,_xlfn.ANCHORARRAY( $CY$30), $CZ$30:$DC$34)) * _xlfn.XLOOKUP(FJ$14,_xlfn.ANCHORARRAY( $CZ$29), _xlfn.XLOOKUP($FA29,_xlfn.ANCHORARRAY( $CY$30), $CZ$30:$DC$34))</f>
        <v>-6.1916403114634228E-3</v>
      </c>
      <c r="FK29" s="10" cm="1">
        <f t="array" aca="1" ref="FK29" ca="1">EO29 * _xlfn.XLOOKUP(FK$13,_xlfn.ANCHORARRAY( $CZ$29), _xlfn.XLOOKUP($EZ29,_xlfn.ANCHORARRAY( $CY$30), $CZ$30:$DC$34)) * _xlfn.XLOOKUP(FK$14,_xlfn.ANCHORARRAY( $CZ$29), _xlfn.XLOOKUP($FA29,_xlfn.ANCHORARRAY( $CY$30), $CZ$30:$DC$34))</f>
        <v>6.5745076250669143E-3</v>
      </c>
      <c r="FL29" s="10" cm="1">
        <f t="array" aca="1" ref="FL29" ca="1">EP29 * _xlfn.XLOOKUP(FL$13,_xlfn.ANCHORARRAY( $CZ$29), _xlfn.XLOOKUP($EZ29,_xlfn.ANCHORARRAY( $CY$30), $CZ$30:$DC$34)) * _xlfn.XLOOKUP(FL$14,_xlfn.ANCHORARRAY( $CZ$29), _xlfn.XLOOKUP($FA29,_xlfn.ANCHORARRAY( $CY$30), $CZ$30:$DC$34))</f>
        <v>6.3555004398288904E-3</v>
      </c>
      <c r="FM29" s="10" cm="1">
        <f t="array" aca="1" ref="FM29" ca="1">EQ29 * _xlfn.XLOOKUP(FM$13,_xlfn.ANCHORARRAY( $CZ$29), _xlfn.XLOOKUP($EZ29,_xlfn.ANCHORARRAY( $CY$30), $CZ$30:$DC$34)) * _xlfn.XLOOKUP(FM$14,_xlfn.ANCHORARRAY( $CZ$29), _xlfn.XLOOKUP($FA29,_xlfn.ANCHORARRAY( $CY$30), $CZ$30:$DC$34))</f>
        <v>-6.3303417152280202E-4</v>
      </c>
      <c r="FN29" s="10" cm="1">
        <f t="array" aca="1" ref="FN29" ca="1">ER29 * _xlfn.XLOOKUP(FN$13,_xlfn.ANCHORARRAY( $CZ$29), _xlfn.XLOOKUP($EZ29,_xlfn.ANCHORARRAY( $CY$30), $CZ$30:$DC$34)) * _xlfn.XLOOKUP(FN$14,_xlfn.ANCHORARRAY( $CZ$29), _xlfn.XLOOKUP($FA29,_xlfn.ANCHORARRAY( $CY$30), $CZ$30:$DC$34))</f>
        <v>-6.1916403114634228E-3</v>
      </c>
      <c r="FO29" s="10" cm="1">
        <f t="array" aca="1" ref="FO29" ca="1">ES29 * _xlfn.XLOOKUP(FO$13,_xlfn.ANCHORARRAY( $CZ$29), _xlfn.XLOOKUP($EZ29,_xlfn.ANCHORARRAY( $CY$30), $CZ$30:$DC$34)) * _xlfn.XLOOKUP(FO$14,_xlfn.ANCHORARRAY( $CZ$29), _xlfn.XLOOKUP($FA29,_xlfn.ANCHORARRAY( $CY$30), $CZ$30:$DC$34))</f>
        <v>-4.2731045279289035E-3</v>
      </c>
      <c r="FP29" s="10" cm="1">
        <f t="array" aca="1" ref="FP29" ca="1">ET29 * _xlfn.XLOOKUP(FP$13,_xlfn.ANCHORARRAY( $CZ$29), _xlfn.XLOOKUP($EZ29,_xlfn.ANCHORARRAY( $CY$30), $CZ$30:$DC$34)) * _xlfn.XLOOKUP(FP$14,_xlfn.ANCHORARRAY( $CZ$29), _xlfn.XLOOKUP($FA29,_xlfn.ANCHORARRAY( $CY$30), $CZ$30:$DC$34))</f>
        <v>-1.4610103394226189E-2</v>
      </c>
      <c r="FQ29" s="10" cm="1">
        <f t="array" aca="1" ref="FQ29" ca="1">EU29 * _xlfn.XLOOKUP(FQ$13,_xlfn.ANCHORARRAY( $CZ$29), _xlfn.XLOOKUP($EZ29,_xlfn.ANCHORARRAY( $CY$30), $CZ$30:$DC$34)) * _xlfn.XLOOKUP(FQ$14,_xlfn.ANCHORARRAY( $CZ$29), _xlfn.XLOOKUP($FA29,_xlfn.ANCHORARRAY( $CY$30), $CZ$30:$DC$34))</f>
        <v>6.3555004398288904E-3</v>
      </c>
      <c r="FT29" cm="1">
        <f t="array" aca="1" ref="FT29" ca="1">SQRT(SUM((FB29:FQ29)^2))</f>
        <v>2.9577337396731192E-2</v>
      </c>
    </row>
    <row r="30" spans="1:176" x14ac:dyDescent="0.2">
      <c r="D30" s="10">
        <f ca="1"/>
        <v>16</v>
      </c>
      <c r="F30" s="10">
        <f ca="1"/>
        <v>1</v>
      </c>
      <c r="H30" s="10"/>
      <c r="J30" cm="1">
        <f t="array" aca="1" ref="J30" ca="1">SUMPRODUCT((O30:AJ30=$O$11:$AJ$11)*(O$13:AJ$13=TRUE))  / COUNTIF(O$13:AJ$13,TRUE)</f>
        <v>0</v>
      </c>
      <c r="K30" t="b">
        <f t="shared" ca="1" si="3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4"/>
        <v>1</v>
      </c>
      <c r="N30" s="2">
        <v>15</v>
      </c>
      <c r="O30" s="12" t="s">
        <v>3</v>
      </c>
      <c r="P30" s="9" t="s">
        <v>2</v>
      </c>
      <c r="Q30" s="9" t="s">
        <v>0</v>
      </c>
      <c r="R30" s="9" t="s">
        <v>2</v>
      </c>
      <c r="S30" s="9" t="s">
        <v>2</v>
      </c>
      <c r="AN30">
        <f t="shared" ca="1" si="5"/>
        <v>1</v>
      </c>
      <c r="AO30" s="14">
        <f t="shared" ca="1" si="6"/>
        <v>1</v>
      </c>
      <c r="AP30" s="2">
        <f ca="1"/>
        <v>16</v>
      </c>
      <c r="AQ30" cm="1">
        <f t="array" aca="1" ref="AQ30" ca="1">IF($AP30=AQ$14, 1, SUMPRODUCT(
    --(OFFSET($O$13,0,0,1,$B$9)=TRUE),
    --(INDEX(OFFSET($O$15,0,0,$B$8,$B$9), 1+$AP30, 0) = INDEX(OFFSET($O$15,0,0,$B$8,$B$9), 1+AQ$14, 0))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
) / $B$13)</f>
        <v>0</v>
      </c>
      <c r="AS30" cm="1">
        <f t="array" aca="1" ref="AS30" ca="1">IF($AP30=AS$14, 1, SUMPRODUCT(
    --(OFFSET($O$13,0,0,1,$B$9)=TRUE),
    --(INDEX(OFFSET($O$15,0,0,$B$8,$B$9), 1+$AP30, 0) = INDEX(OFFSET($O$15,0,0,$B$8,$B$9), 1+AS$14, 0))
) / $B$13)</f>
        <v>0</v>
      </c>
      <c r="AT30" cm="1">
        <f t="array" aca="1" ref="AT30" ca="1">IF($AP30=AT$14, 1, SUMPRODUCT(
    --(OFFSET($O$13,0,0,1,$B$9)=TRUE),
    --(INDEX(OFFSET($O$15,0,0,$B$8,$B$9), 1+$AP30, 0) = INDEX(OFFSET($O$15,0,0,$B$8,$B$9), 1+AT$14, 0))
) / $B$13)</f>
        <v>0.4</v>
      </c>
      <c r="AU30" cm="1">
        <f t="array" aca="1" ref="AU30" ca="1">IF($AP30=AU$14, 1, SUMPRODUCT(
    --(OFFSET($O$13,0,0,1,$B$9)=TRUE),
    --(INDEX(OFFSET($O$15,0,0,$B$8,$B$9), 1+$AP30, 0) = INDEX(OFFSET($O$15,0,0,$B$8,$B$9), 1+AU$14, 0))
) / $B$13)</f>
        <v>0</v>
      </c>
      <c r="AV30" cm="1">
        <f t="array" aca="1" ref="AV30" ca="1">IF($AP30=AV$14, 1, SUMPRODUCT(
    --(OFFSET($O$13,0,0,1,$B$9)=TRUE),
    --(INDEX(OFFSET($O$15,0,0,$B$8,$B$9), 1+$AP30, 0) = INDEX(OFFSET($O$15,0,0,$B$8,$B$9), 1+AV$14, 0))
) / $B$13)</f>
        <v>0</v>
      </c>
      <c r="AW30" cm="1">
        <f t="array" aca="1" ref="AW30" ca="1">IF($AP30=AW$14, 1, SUMPRODUCT(
    --(OFFSET($O$13,0,0,1,$B$9)=TRUE),
    --(INDEX(OFFSET($O$15,0,0,$B$8,$B$9), 1+$AP30, 0) = INDEX(OFFSET($O$15,0,0,$B$8,$B$9), 1+AW$14, 0))
) / $B$13)</f>
        <v>0</v>
      </c>
      <c r="AX30" cm="1">
        <f t="array" aca="1" ref="AX30" ca="1">IF($AP30=AX$14, 1, SUMPRODUCT(
    --(OFFSET($O$13,0,0,1,$B$9)=TRUE),
    --(INDEX(OFFSET($O$15,0,0,$B$8,$B$9), 1+$AP30, 0) = INDEX(OFFSET($O$15,0,0,$B$8,$B$9), 1+AX$14, 0))
) / $B$13)</f>
        <v>0.4</v>
      </c>
      <c r="AY30" cm="1">
        <f t="array" aca="1" ref="AY30" ca="1">IF($AP30=AY$14, 1, SUMPRODUCT(
    --(OFFSET($O$13,0,0,1,$B$9)=TRUE),
    --(INDEX(OFFSET($O$15,0,0,$B$8,$B$9), 1+$AP30, 0) = INDEX(OFFSET($O$15,0,0,$B$8,$B$9), 1+AY$14, 0))
) / $B$13)</f>
        <v>0</v>
      </c>
      <c r="AZ30" cm="1">
        <f t="array" aca="1" ref="AZ30" ca="1">IF($AP30=AZ$14, 1, SUMPRODUCT(
    --(OFFSET($O$13,0,0,1,$B$9)=TRUE),
    --(INDEX(OFFSET($O$15,0,0,$B$8,$B$9), 1+$AP30, 0) = INDEX(OFFSET($O$15,0,0,$B$8,$B$9), 1+AZ$14, 0))
) / $B$13)</f>
        <v>0</v>
      </c>
      <c r="BA30" cm="1">
        <f t="array" aca="1" ref="BA30" ca="1">IF($AP30=BA$14, 1, SUMPRODUCT(
    --(OFFSET($O$13,0,0,1,$B$9)=TRUE),
    --(INDEX(OFFSET($O$15,0,0,$B$8,$B$9), 1+$AP30, 0) = INDEX(OFFSET($O$15,0,0,$B$8,$B$9), 1+BA$14, 0))
) / $B$13)</f>
        <v>0</v>
      </c>
      <c r="BB30" cm="1">
        <f t="array" aca="1" ref="BB30" ca="1">IF($AP30=BB$14, 1, SUMPRODUCT(
    --(OFFSET($O$13,0,0,1,$B$9)=TRUE),
    --(INDEX(OFFSET($O$15,0,0,$B$8,$B$9), 1+$AP30, 0) = INDEX(OFFSET($O$15,0,0,$B$8,$B$9), 1+BB$14, 0))
) / $B$13)</f>
        <v>0.6</v>
      </c>
      <c r="BC30" cm="1">
        <f t="array" aca="1" ref="BC30" ca="1">IF($AP30=BC$14, 1, SUMPRODUCT(
    --(OFFSET($O$13,0,0,1,$B$9)=TRUE),
    --(INDEX(OFFSET($O$15,0,0,$B$8,$B$9), 1+$AP30, 0) = INDEX(OFFSET($O$15,0,0,$B$8,$B$9), 1+BC$14, 0))
) / $B$13)</f>
        <v>0.2</v>
      </c>
      <c r="BD30" cm="1">
        <f t="array" aca="1" ref="BD30" ca="1">IF($AP30=BD$14, 1, SUMPRODUCT(
    --(OFFSET($O$13,0,0,1,$B$9)=TRUE),
    --(INDEX(OFFSET($O$15,0,0,$B$8,$B$9), 1+$AP30, 0) = INDEX(OFFSET($O$15,0,0,$B$8,$B$9), 1+BD$14, 0))
) / $B$13)</f>
        <v>0.2</v>
      </c>
      <c r="BE30" cm="1">
        <f t="array" aca="1" ref="BE30" ca="1">IF($AP30=BE$14, 1, SUMPRODUCT(
    --(OFFSET($O$13,0,0,1,$B$9)=TRUE),
    --(INDEX(OFFSET($O$15,0,0,$B$8,$B$9), 1+$AP30, 0) = INDEX(OFFSET($O$15,0,0,$B$8,$B$9), 1+BE$14, 0))
) / $B$13)</f>
        <v>0.2</v>
      </c>
      <c r="BF30" cm="1">
        <f t="array" aca="1" ref="BF30" ca="1">IF($AP30=BF$14, 1, SUMPRODUCT(
    --(OFFSET($O$13,0,0,1,$B$9)=TRUE),
    --(INDEX(OFFSET($O$15,0,0,$B$8,$B$9), 1+$AP30, 0) = INDEX(OFFSET($O$15,0,0,$B$8,$B$9), 1+BF$14, 0))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
) / $B$13)</f>
        <v>0.4</v>
      </c>
      <c r="BH30" cm="1">
        <f t="array" aca="1" ref="BH30" ca="1">IF($AP30=BH$14, 1, SUMPRODUCT(
    --(OFFSET($O$13,0,0,1,$B$9)=TRUE),
    --(INDEX(OFFSET($O$15,0,0,$B$8,$B$9), 1+$AP30, 0) = INDEX(OFFSET($O$15,0,0,$B$8,$B$9), 1+BH$14, 0))
) / $B$13)</f>
        <v>0.4</v>
      </c>
      <c r="BI30" cm="1">
        <f t="array" aca="1" ref="BI30" ca="1">IF($AP30=BI$14, 1, SUMPRODUCT(
    --(OFFSET($O$13,0,0,1,$B$9)=TRUE),
    --(INDEX(OFFSET($O$15,0,0,$B$8,$B$9), 1+$AP30, 0) = INDEX(OFFSET($O$15,0,0,$B$8,$B$9), 1+BI$14, 0))
) / $B$13)</f>
        <v>0.4</v>
      </c>
      <c r="BJ30" cm="1">
        <f t="array" aca="1" ref="BJ30" ca="1">IF($AP30=BJ$14, 1, SUMPRODUCT(
    --(OFFSET($O$13,0,0,1,$B$9)=TRUE),
    --(INDEX(OFFSET($O$15,0,0,$B$8,$B$9), 1+$AP30, 0) = INDEX(OFFSET($O$15,0,0,$B$8,$B$9), 1+BJ$14, 0))
) / $B$13)</f>
        <v>0</v>
      </c>
      <c r="BN30">
        <f t="shared" ca="1" si="7"/>
        <v>1</v>
      </c>
      <c r="BO30" s="14">
        <f t="shared" ca="1" si="8"/>
        <v>1</v>
      </c>
      <c r="BP30" s="2">
        <f ca="1"/>
        <v>16</v>
      </c>
      <c r="BQ30" cm="1">
        <f t="array" aca="1" ref="BQ30" ca="1">IF($BP30=BQ$14, 1, SUMPRODUCT(
    --(OFFSET($O$9,0,0,1,$B$9)=TRUE),
    --(INDEX(OFFSET($O$15,0,0,$B$8,$B$9), 1+$BP30, 0) = INDEX(OFFSET($O$15,0,0,$B$8,$B$9), 1+BQ$14, 0))
) / $B$16)</f>
        <v>0.4</v>
      </c>
      <c r="BR30" cm="1">
        <f t="array" aca="1" ref="BR30" ca="1">IF($BP30=BR$14, 1, SUMPRODUCT(
    --(OFFSET($O$9,0,0,1,$B$9)=TRUE),
    --(INDEX(OFFSET($O$15,0,0,$B$8,$B$9), 1+$BP30, 0) = INDEX(OFFSET($O$15,0,0,$B$8,$B$9), 1+BR$14, 0))
) / $B$16)</f>
        <v>0</v>
      </c>
      <c r="BS30" cm="1">
        <f t="array" aca="1" ref="BS30" ca="1">IF($BP30=BS$14, 1, SUMPRODUCT(
    --(OFFSET($O$9,0,0,1,$B$9)=TRUE),
    --(INDEX(OFFSET($O$15,0,0,$B$8,$B$9), 1+$BP30, 0) = INDEX(OFFSET($O$15,0,0,$B$8,$B$9), 1+BS$14, 0))
) / $B$16)</f>
        <v>0</v>
      </c>
      <c r="BT30" cm="1">
        <f t="array" aca="1" ref="BT30" ca="1">IF($BP30=BT$14, 1, SUMPRODUCT(
    --(OFFSET($O$9,0,0,1,$B$9)=TRUE),
    --(INDEX(OFFSET($O$15,0,0,$B$8,$B$9), 1+$BP30, 0) = INDEX(OFFSET($O$15,0,0,$B$8,$B$9), 1+BT$14, 0))
) / $B$16)</f>
        <v>0.4</v>
      </c>
      <c r="BU30" cm="1">
        <f t="array" aca="1" ref="BU30" ca="1">IF($BP30=BU$14, 1, SUMPRODUCT(
    --(OFFSET($O$9,0,0,1,$B$9)=TRUE),
    --(INDEX(OFFSET($O$15,0,0,$B$8,$B$9), 1+$BP30, 0) = INDEX(OFFSET($O$15,0,0,$B$8,$B$9), 1+BU$14, 0))
) / $B$16)</f>
        <v>0</v>
      </c>
      <c r="BV30" cm="1">
        <f t="array" aca="1" ref="BV30" ca="1">IF($BP30=BV$14, 1, SUMPRODUCT(
    --(OFFSET($O$9,0,0,1,$B$9)=TRUE),
    --(INDEX(OFFSET($O$15,0,0,$B$8,$B$9), 1+$BP30, 0) = INDEX(OFFSET($O$15,0,0,$B$8,$B$9), 1+BV$14, 0))
) / $B$16)</f>
        <v>0</v>
      </c>
      <c r="BW30" cm="1">
        <f t="array" aca="1" ref="BW30" ca="1">IF($BP30=BW$14, 1, SUMPRODUCT(
    --(OFFSET($O$9,0,0,1,$B$9)=TRUE),
    --(INDEX(OFFSET($O$15,0,0,$B$8,$B$9), 1+$BP30, 0) = INDEX(OFFSET($O$15,0,0,$B$8,$B$9), 1+BW$14, 0))
) / $B$16)</f>
        <v>0</v>
      </c>
      <c r="BX30" cm="1">
        <f t="array" aca="1" ref="BX30" ca="1">IF($BP30=BX$14, 1, SUMPRODUCT(
    --(OFFSET($O$9,0,0,1,$B$9)=TRUE),
    --(INDEX(OFFSET($O$15,0,0,$B$8,$B$9), 1+$BP30, 0) = INDEX(OFFSET($O$15,0,0,$B$8,$B$9), 1+BX$14, 0))
) / $B$16)</f>
        <v>0.4</v>
      </c>
      <c r="BY30" cm="1">
        <f t="array" aca="1" ref="BY30" ca="1">IF($BP30=BY$14, 1, SUMPRODUCT(
    --(OFFSET($O$9,0,0,1,$B$9)=TRUE),
    --(INDEX(OFFSET($O$15,0,0,$B$8,$B$9), 1+$BP30, 0) = INDEX(OFFSET($O$15,0,0,$B$8,$B$9), 1+BY$14, 0))
) / $B$16)</f>
        <v>0</v>
      </c>
      <c r="BZ30" cm="1">
        <f t="array" aca="1" ref="BZ30" ca="1">IF($BP30=BZ$14, 1, SUMPRODUCT(
    --(OFFSET($O$9,0,0,1,$B$9)=TRUE),
    --(INDEX(OFFSET($O$15,0,0,$B$8,$B$9), 1+$BP30, 0) = INDEX(OFFSET($O$15,0,0,$B$8,$B$9), 1+BZ$14, 0))
) / $B$16)</f>
        <v>0</v>
      </c>
      <c r="CA30" cm="1">
        <f t="array" aca="1" ref="CA30" ca="1">IF($BP30=CA$14, 1, SUMPRODUCT(
    --(OFFSET($O$9,0,0,1,$B$9)=TRUE),
    --(INDEX(OFFSET($O$15,0,0,$B$8,$B$9), 1+$BP30, 0) = INDEX(OFFSET($O$15,0,0,$B$8,$B$9), 1+CA$14, 0))
) / $B$16)</f>
        <v>0</v>
      </c>
      <c r="CB30" cm="1">
        <f t="array" aca="1" ref="CB30" ca="1">IF($BP30=CB$14, 1, SUMPRODUCT(
    --(OFFSET($O$9,0,0,1,$B$9)=TRUE),
    --(INDEX(OFFSET($O$15,0,0,$B$8,$B$9), 1+$BP30, 0) = INDEX(OFFSET($O$15,0,0,$B$8,$B$9), 1+CB$14, 0))
) / $B$16)</f>
        <v>0.6</v>
      </c>
      <c r="CC30" cm="1">
        <f t="array" aca="1" ref="CC30" ca="1">IF($BP30=CC$14, 1, SUMPRODUCT(
    --(OFFSET($O$9,0,0,1,$B$9)=TRUE),
    --(INDEX(OFFSET($O$15,0,0,$B$8,$B$9), 1+$BP30, 0) = INDEX(OFFSET($O$15,0,0,$B$8,$B$9), 1+CC$14, 0))
) / $B$16)</f>
        <v>0.2</v>
      </c>
      <c r="CD30" cm="1">
        <f t="array" aca="1" ref="CD30" ca="1">IF($BP30=CD$14, 1, SUMPRODUCT(
    --(OFFSET($O$9,0,0,1,$B$9)=TRUE),
    --(INDEX(OFFSET($O$15,0,0,$B$8,$B$9), 1+$BP30, 0) = INDEX(OFFSET($O$15,0,0,$B$8,$B$9), 1+CD$14, 0))
) / $B$16)</f>
        <v>0.2</v>
      </c>
      <c r="CE30" cm="1">
        <f t="array" aca="1" ref="CE30" ca="1">IF($BP30=CE$14, 1, SUMPRODUCT(
    --(OFFSET($O$9,0,0,1,$B$9)=TRUE),
    --(INDEX(OFFSET($O$15,0,0,$B$8,$B$9), 1+$BP30, 0) = INDEX(OFFSET($O$15,0,0,$B$8,$B$9), 1+CE$14, 0))
) / $B$16)</f>
        <v>0.2</v>
      </c>
      <c r="CF30" cm="1">
        <f t="array" aca="1" ref="CF30" ca="1">IF($BP30=CF$14, 1, SUMPRODUCT(
    --(OFFSET($O$9,0,0,1,$B$9)=TRUE),
    --(INDEX(OFFSET($O$15,0,0,$B$8,$B$9), 1+$BP30, 0) = INDEX(OFFSET($O$15,0,0,$B$8,$B$9), 1+CF$14, 0))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
) / $B$16)</f>
        <v>0.4</v>
      </c>
      <c r="CH30" cm="1">
        <f t="array" aca="1" ref="CH30" ca="1">IF($BP30=CH$14, 1, SUMPRODUCT(
    --(OFFSET($O$9,0,0,1,$B$9)=TRUE),
    --(INDEX(OFFSET($O$15,0,0,$B$8,$B$9), 1+$BP30, 0) = INDEX(OFFSET($O$15,0,0,$B$8,$B$9), 1+CH$14, 0))
) / $B$16)</f>
        <v>0.4</v>
      </c>
      <c r="CI30" cm="1">
        <f t="array" aca="1" ref="CI30" ca="1">IF($BP30=CI$14, 1, SUMPRODUCT(
    --(OFFSET($O$9,0,0,1,$B$9)=TRUE),
    --(INDEX(OFFSET($O$15,0,0,$B$8,$B$9), 1+$BP30, 0) = INDEX(OFFSET($O$15,0,0,$B$8,$B$9), 1+CI$14, 0))
) / $B$16)</f>
        <v>0.4</v>
      </c>
      <c r="CJ30" cm="1">
        <f t="array" aca="1" ref="CJ30" ca="1">IF($BP30=CJ$14, 1, SUMPRODUCT(
    --(OFFSET($O$9,0,0,1,$B$9)=TRUE),
    --(INDEX(OFFSET($O$15,0,0,$B$8,$B$9), 1+$BP30, 0) = INDEX(OFFSET($O$15,0,0,$B$8,$B$9), 1+CJ$14, 0))
) / $B$16)</f>
        <v>0</v>
      </c>
      <c r="CY30" cm="1">
        <f t="array" aca="1" ref="CY30:CY34" ca="1">TRANSPOSE(_xlfn._xlws.FILTER(OFFSET($O$14,0,0,1,$B$9),OFFSET($O$9,0,0,1,$B$9)))</f>
        <v>0</v>
      </c>
      <c r="CZ30" s="10">
        <f ca="1">LN((CR15*(1-CR$10))/((1-CR15)*CR$10))</f>
        <v>0.51771986445467311</v>
      </c>
      <c r="DA30" s="10">
        <f t="shared" ref="DA30:DC34" ca="1" si="11">LN((CS15*(1-CS$10))/((1-CS15)*CS$10))</f>
        <v>-0.40180271014066216</v>
      </c>
      <c r="DB30" s="10">
        <f t="shared" ca="1" si="11"/>
        <v>-0.40180271014066216</v>
      </c>
      <c r="DC30" s="10">
        <f t="shared" ca="1" si="11"/>
        <v>0.10675535497932089</v>
      </c>
      <c r="DF30" cm="1">
        <f t="array" aca="1" ref="DF30" ca="1">INDEX(_xlfn.ANCHORARRAY($CP$15), 1 + INT((ROWS($DG$15:$DG30) - 1) / ROWS(_xlfn.ANCHORARRAY($CP$15))))</f>
        <v>3</v>
      </c>
      <c r="DG30" cm="1">
        <f t="array" aca="1" ref="DG30" ca="1">INDEX(_xlfn.ANCHORARRAY($CP$15),1+MOD(ROWS($DG$15:$DG30)-1,ROWS(_xlfn.ANCHORARRAY($CP$15))))</f>
        <v>0</v>
      </c>
      <c r="DH30" s="10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$B$18/($B$19*$B$19*($DF30&lt;&gt;$DG30) + $B$19*($DF30=$DG30))</f>
        <v>8.9381818181818187E-2</v>
      </c>
      <c r="DI30" s="10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$B$18/($B$19*$B$19*($DF30&lt;&gt;$DG30) + $B$19*($DF30=$DG30))</f>
        <v>1.1999999999999999E-3</v>
      </c>
      <c r="DJ30" s="10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$B$18/($B$19*$B$19*($DF30&lt;&gt;$DG30) + $B$19*($DF30=$DG30))</f>
        <v>1.1999999999999999E-3</v>
      </c>
      <c r="DK30" s="10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$B$18/($B$19*$B$19*($DF30&lt;&gt;$DG30) + $B$19*($DF30=$DG30))</f>
        <v>1.1999999999999999E-3</v>
      </c>
      <c r="DL30" s="10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$B$18/($B$19*$B$19*($DF30&lt;&gt;$DG30) + $B$19*($DF30=$DG30))</f>
        <v>8.9381818181818187E-2</v>
      </c>
      <c r="DM30" s="10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$B$18/($B$19*$B$19*($DF30&lt;&gt;$DG30) + $B$19*($DF30=$DG30))</f>
        <v>1.1999999999999999E-3</v>
      </c>
      <c r="DN30" s="10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$B$18/($B$19*$B$19*($DF30&lt;&gt;$DG30) + $B$19*($DF30=$DG30))</f>
        <v>1.1999999999999999E-3</v>
      </c>
      <c r="DO30" s="10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$B$18/($B$19*$B$19*($DF30&lt;&gt;$DG30) + $B$19*($DF30=$DG30))</f>
        <v>1.1999999999999999E-3</v>
      </c>
      <c r="DP30" s="10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$B$18/($B$19*$B$19*($DF30&lt;&gt;$DG30) + $B$19*($DF30=$DG30))</f>
        <v>8.9381818181818187E-2</v>
      </c>
      <c r="DQ30" s="10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$B$18/($B$19*$B$19*($DF30&lt;&gt;$DG30) + $B$19*($DF30=$DG30))</f>
        <v>8.9381818181818187E-2</v>
      </c>
      <c r="DR30" s="10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$B$18/($B$19*$B$19*($DF30&lt;&gt;$DG30) + $B$19*($DF30=$DG30))</f>
        <v>8.9381818181818187E-2</v>
      </c>
      <c r="DS30" s="10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$B$18/($B$19*$B$19*($DF30&lt;&gt;$DG30) + $B$19*($DF30=$DG30))</f>
        <v>8.9381818181818187E-2</v>
      </c>
      <c r="DT30" s="10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$B$18/($B$19*$B$19*($DF30&lt;&gt;$DG30) + $B$19*($DF30=$DG30))</f>
        <v>8.9381818181818187E-2</v>
      </c>
      <c r="DU30" s="10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$B$18/($B$19*$B$19*($DF30&lt;&gt;$DG30) + $B$19*($DF30=$DG30))</f>
        <v>8.9381818181818187E-2</v>
      </c>
      <c r="DV30" s="10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$B$18/($B$19*$B$19*($DF30&lt;&gt;$DG30) + $B$19*($DF30=$DG30))</f>
        <v>8.9381818181818187E-2</v>
      </c>
      <c r="DW30" s="10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$B$18/($B$19*$B$19*($DF30&lt;&gt;$DG30) + $B$19*($DF30=$DG30))</f>
        <v>0.17756363636363637</v>
      </c>
      <c r="ED30" cm="1">
        <f t="array" aca="1" ref="ED30" ca="1">INDEX(_xlfn.ANCHORARRAY($CP$15), 1 + INT((ROWS($DG$15:$DG30) - 1) / ROWS(_xlfn.ANCHORARRAY($CP$15))))</f>
        <v>3</v>
      </c>
      <c r="EE30" cm="1">
        <f t="array" aca="1" ref="EE30" ca="1">INDEX(_xlfn.ANCHORARRAY($CP$15),1+MOD(ROWS($DG$15:$DG30)-1,ROWS(_xlfn.ANCHORARRAY($CP$15))))</f>
        <v>0</v>
      </c>
      <c r="EF30" s="10" cm="1">
        <f t="array" aca="1" ref="EF30" ca="1">DH30-_xlfn.XLOOKUP(EF$13,_xlfn.ANCHORARRAY( $CR$14), _xlfn.XLOOKUP($ED30,_xlfn.ANCHORARRAY( $CP$15), $CR$15:$CU$19)) * _xlfn.XLOOKUP(EF$14,_xlfn.ANCHORARRAY( $CR$14), _xlfn.XLOOKUP($EE30,_xlfn.ANCHORARRAY( $CP$15), $CR$15:$CU$19))</f>
        <v>5.5596231404958681E-2</v>
      </c>
      <c r="EG30" s="10" cm="1">
        <f t="array" aca="1" ref="EG30" ca="1">DI30-_xlfn.XLOOKUP(EG$13,_xlfn.ANCHORARRAY( $CR$14), _xlfn.XLOOKUP($ED30,_xlfn.ANCHORARRAY( $CP$15), $CR$15:$CU$19)) * _xlfn.XLOOKUP(EG$14,_xlfn.ANCHORARRAY( $CR$14), _xlfn.XLOOKUP($EE30,_xlfn.ANCHORARRAY( $CP$15), $CR$15:$CU$19))</f>
        <v>-1.5975338842975209E-2</v>
      </c>
      <c r="EH30" s="10" cm="1">
        <f t="array" aca="1" ref="EH30" ca="1">DJ30-_xlfn.XLOOKUP(EH$13,_xlfn.ANCHORARRAY( $CR$14), _xlfn.XLOOKUP($ED30,_xlfn.ANCHORARRAY( $CP$15), $CR$15:$CU$19)) * _xlfn.XLOOKUP(EH$14,_xlfn.ANCHORARRAY( $CR$14), _xlfn.XLOOKUP($EE30,_xlfn.ANCHORARRAY( $CP$15), $CR$15:$CU$19))</f>
        <v>-1.5975338842975209E-2</v>
      </c>
      <c r="EI30" s="10" cm="1">
        <f t="array" aca="1" ref="EI30" ca="1">DK30-_xlfn.XLOOKUP(EI$13,_xlfn.ANCHORARRAY( $CR$14), _xlfn.XLOOKUP($ED30,_xlfn.ANCHORARRAY( $CP$15), $CR$15:$CU$19)) * _xlfn.XLOOKUP(EI$14,_xlfn.ANCHORARRAY( $CR$14), _xlfn.XLOOKUP($EE30,_xlfn.ANCHORARRAY( $CP$15), $CR$15:$CU$19))</f>
        <v>-2.4280462809917362E-2</v>
      </c>
      <c r="EJ30" s="10" cm="1">
        <f t="array" aca="1" ref="EJ30" ca="1">DL30-_xlfn.XLOOKUP(EJ$13,_xlfn.ANCHORARRAY( $CR$14), _xlfn.XLOOKUP($ED30,_xlfn.ANCHORARRAY( $CP$15), $CR$15:$CU$19)) * _xlfn.XLOOKUP(EJ$14,_xlfn.ANCHORARRAY( $CR$14), _xlfn.XLOOKUP($EE30,_xlfn.ANCHORARRAY( $CP$15), $CR$15:$CU$19))</f>
        <v>5.5596231404958681E-2</v>
      </c>
      <c r="EK30" s="10" cm="1">
        <f t="array" aca="1" ref="EK30" ca="1">DM30-_xlfn.XLOOKUP(EK$13,_xlfn.ANCHORARRAY( $CR$14), _xlfn.XLOOKUP($ED30,_xlfn.ANCHORARRAY( $CP$15), $CR$15:$CU$19)) * _xlfn.XLOOKUP(EK$14,_xlfn.ANCHORARRAY( $CR$14), _xlfn.XLOOKUP($EE30,_xlfn.ANCHORARRAY( $CP$15), $CR$15:$CU$19))</f>
        <v>-1.5975338842975209E-2</v>
      </c>
      <c r="EL30" s="10" cm="1">
        <f t="array" aca="1" ref="EL30" ca="1">DN30-_xlfn.XLOOKUP(EL$13,_xlfn.ANCHORARRAY( $CR$14), _xlfn.XLOOKUP($ED30,_xlfn.ANCHORARRAY( $CP$15), $CR$15:$CU$19)) * _xlfn.XLOOKUP(EL$14,_xlfn.ANCHORARRAY( $CR$14), _xlfn.XLOOKUP($EE30,_xlfn.ANCHORARRAY( $CP$15), $CR$15:$CU$19))</f>
        <v>-1.5975338842975209E-2</v>
      </c>
      <c r="EM30" s="10" cm="1">
        <f t="array" aca="1" ref="EM30" ca="1">DO30-_xlfn.XLOOKUP(EM$13,_xlfn.ANCHORARRAY( $CR$14), _xlfn.XLOOKUP($ED30,_xlfn.ANCHORARRAY( $CP$15), $CR$15:$CU$19)) * _xlfn.XLOOKUP(EM$14,_xlfn.ANCHORARRAY( $CR$14), _xlfn.XLOOKUP($EE30,_xlfn.ANCHORARRAY( $CP$15), $CR$15:$CU$19))</f>
        <v>-2.4280462809917362E-2</v>
      </c>
      <c r="EN30" s="10" cm="1">
        <f t="array" aca="1" ref="EN30" ca="1">DP30-_xlfn.XLOOKUP(EN$13,_xlfn.ANCHORARRAY( $CR$14), _xlfn.XLOOKUP($ED30,_xlfn.ANCHORARRAY( $CP$15), $CR$15:$CU$19)) * _xlfn.XLOOKUP(EN$14,_xlfn.ANCHORARRAY( $CR$14), _xlfn.XLOOKUP($EE30,_xlfn.ANCHORARRAY( $CP$15), $CR$15:$CU$19))</f>
        <v>-3.9303438016528927E-2</v>
      </c>
      <c r="EO30" s="10" cm="1">
        <f t="array" aca="1" ref="EO30" ca="1">DQ30-_xlfn.XLOOKUP(EO$13,_xlfn.ANCHORARRAY( $CR$14), _xlfn.XLOOKUP($ED30,_xlfn.ANCHORARRAY( $CP$15), $CR$15:$CU$19)) * _xlfn.XLOOKUP(EO$14,_xlfn.ANCHORARRAY( $CR$14), _xlfn.XLOOKUP($EE30,_xlfn.ANCHORARRAY( $CP$15), $CR$15:$CU$19))</f>
        <v>2.3963008264462821E-2</v>
      </c>
      <c r="EP30" s="10" cm="1">
        <f t="array" aca="1" ref="EP30" ca="1">DR30-_xlfn.XLOOKUP(EP$13,_xlfn.ANCHORARRAY( $CR$14), _xlfn.XLOOKUP($ED30,_xlfn.ANCHORARRAY( $CP$15), $CR$15:$CU$19)) * _xlfn.XLOOKUP(EP$14,_xlfn.ANCHORARRAY( $CR$14), _xlfn.XLOOKUP($EE30,_xlfn.ANCHORARRAY( $CP$15), $CR$15:$CU$19))</f>
        <v>2.3963008264462821E-2</v>
      </c>
      <c r="EQ30" s="10" cm="1">
        <f t="array" aca="1" ref="EQ30" ca="1">DS30-_xlfn.XLOOKUP(EQ$13,_xlfn.ANCHORARRAY( $CR$14), _xlfn.XLOOKUP($ED30,_xlfn.ANCHORARRAY( $CP$15), $CR$15:$CU$19)) * _xlfn.XLOOKUP(EQ$14,_xlfn.ANCHORARRAY( $CR$14), _xlfn.XLOOKUP($EE30,_xlfn.ANCHORARRAY( $CP$15), $CR$15:$CU$19))</f>
        <v>-7.6702148760330741E-3</v>
      </c>
      <c r="ER30" s="10" cm="1">
        <f t="array" aca="1" ref="ER30" ca="1">DT30-_xlfn.XLOOKUP(ER$13,_xlfn.ANCHORARRAY( $CR$14), _xlfn.XLOOKUP($ED30,_xlfn.ANCHORARRAY( $CP$15), $CR$15:$CU$19)) * _xlfn.XLOOKUP(ER$14,_xlfn.ANCHORARRAY( $CR$14), _xlfn.XLOOKUP($EE30,_xlfn.ANCHORARRAY( $CP$15), $CR$15:$CU$19))</f>
        <v>-7.093666115702478E-2</v>
      </c>
      <c r="ES30" s="10" cm="1">
        <f t="array" aca="1" ref="ES30" ca="1">DU30-_xlfn.XLOOKUP(ES$13,_xlfn.ANCHORARRAY( $CR$14), _xlfn.XLOOKUP($ED30,_xlfn.ANCHORARRAY( $CP$15), $CR$15:$CU$19)) * _xlfn.XLOOKUP(ES$14,_xlfn.ANCHORARRAY( $CR$14), _xlfn.XLOOKUP($EE30,_xlfn.ANCHORARRAY( $CP$15), $CR$15:$CU$19))</f>
        <v>7.8818512396694324E-3</v>
      </c>
      <c r="ET30" s="10" cm="1">
        <f t="array" aca="1" ref="ET30" ca="1">DV30-_xlfn.XLOOKUP(ET$13,_xlfn.ANCHORARRAY( $CR$14), _xlfn.XLOOKUP($ED30,_xlfn.ANCHORARRAY( $CP$15), $CR$15:$CU$19)) * _xlfn.XLOOKUP(ET$14,_xlfn.ANCHORARRAY( $CR$14), _xlfn.XLOOKUP($EE30,_xlfn.ANCHORARRAY( $CP$15), $CR$15:$CU$19))</f>
        <v>7.8818512396694324E-3</v>
      </c>
      <c r="EU30" s="10" cm="1">
        <f t="array" aca="1" ref="EU30" ca="1">DW30-_xlfn.XLOOKUP(EU$13,_xlfn.ANCHORARRAY( $CR$14), _xlfn.XLOOKUP($ED30,_xlfn.ANCHORARRAY( $CP$15), $CR$15:$CU$19)) * _xlfn.XLOOKUP(EU$14,_xlfn.ANCHORARRAY( $CR$14), _xlfn.XLOOKUP($EE30,_xlfn.ANCHORARRAY( $CP$15), $CR$15:$CU$19))</f>
        <v>5.6654413223140493E-2</v>
      </c>
      <c r="EZ30" cm="1">
        <f t="array" aca="1" ref="EZ30" ca="1">INDEX(_xlfn.ANCHORARRAY($CP$15), 1 + INT((ROWS($DG$15:$DG30) - 1) / ROWS(_xlfn.ANCHORARRAY($CP$15))))</f>
        <v>3</v>
      </c>
      <c r="FA30" cm="1">
        <f t="array" aca="1" ref="FA30" ca="1">INDEX(_xlfn.ANCHORARRAY($CP$15),1+MOD(ROWS($DG$15:$DG30)-1,ROWS(_xlfn.ANCHORARRAY($CP$15))))</f>
        <v>0</v>
      </c>
      <c r="FB30" s="10" cm="1">
        <f t="array" aca="1" ref="FB30" ca="1">EF30 * _xlfn.XLOOKUP(FB$13,_xlfn.ANCHORARRAY( $CZ$29), _xlfn.XLOOKUP($EZ30,_xlfn.ANCHORARRAY( $CY$30), $CZ$30:$DC$34)) * _xlfn.XLOOKUP(FB$14,_xlfn.ANCHORARRAY( $CZ$29), _xlfn.XLOOKUP($FA30,_xlfn.ANCHORARRAY( $CY$30), $CZ$30:$DC$34))</f>
        <v>-3.3532489458979249E-2</v>
      </c>
      <c r="FC30" s="10" cm="1">
        <f t="array" aca="1" ref="FC30" ca="1">EG30 * _xlfn.XLOOKUP(FC$13,_xlfn.ANCHORARRAY( $CZ$29), _xlfn.XLOOKUP($EZ30,_xlfn.ANCHORARRAY( $CY$30), $CZ$30:$DC$34)) * _xlfn.XLOOKUP(FC$14,_xlfn.ANCHORARRAY( $CZ$29), _xlfn.XLOOKUP($FA30,_xlfn.ANCHORARRAY( $CY$30), $CZ$30:$DC$34))</f>
        <v>-7.4780532650518504E-3</v>
      </c>
      <c r="FD30" s="10" cm="1">
        <f t="array" aca="1" ref="FD30" ca="1">EH30 * _xlfn.XLOOKUP(FD$13,_xlfn.ANCHORARRAY( $CZ$29), _xlfn.XLOOKUP($EZ30,_xlfn.ANCHORARRAY( $CY$30), $CZ$30:$DC$34)) * _xlfn.XLOOKUP(FD$14,_xlfn.ANCHORARRAY( $CZ$29), _xlfn.XLOOKUP($FA30,_xlfn.ANCHORARRAY( $CY$30), $CZ$30:$DC$34))</f>
        <v>-7.4780532650518504E-3</v>
      </c>
      <c r="FE30" s="10" cm="1">
        <f t="array" aca="1" ref="FE30" ca="1">EI30 * _xlfn.XLOOKUP(FE$13,_xlfn.ANCHORARRAY( $CZ$29), _xlfn.XLOOKUP($EZ30,_xlfn.ANCHORARRAY( $CY$30), $CZ$30:$DC$34)) * _xlfn.XLOOKUP(FE$14,_xlfn.ANCHORARRAY( $CZ$29), _xlfn.XLOOKUP($FA30,_xlfn.ANCHORARRAY( $CY$30), $CZ$30:$DC$34))</f>
        <v>3.0197587170288412E-3</v>
      </c>
      <c r="FF30" s="10" cm="1">
        <f t="array" aca="1" ref="FF30" ca="1">EJ30 * _xlfn.XLOOKUP(FF$13,_xlfn.ANCHORARRAY( $CZ$29), _xlfn.XLOOKUP($EZ30,_xlfn.ANCHORARRAY( $CY$30), $CZ$30:$DC$34)) * _xlfn.XLOOKUP(FF$14,_xlfn.ANCHORARRAY( $CZ$29), _xlfn.XLOOKUP($FA30,_xlfn.ANCHORARRAY( $CY$30), $CZ$30:$DC$34))</f>
        <v>-3.3532489458979249E-2</v>
      </c>
      <c r="FG30" s="10" cm="1">
        <f t="array" aca="1" ref="FG30" ca="1">EK30 * _xlfn.XLOOKUP(FG$13,_xlfn.ANCHORARRAY( $CZ$29), _xlfn.XLOOKUP($EZ30,_xlfn.ANCHORARRAY( $CY$30), $CZ$30:$DC$34)) * _xlfn.XLOOKUP(FG$14,_xlfn.ANCHORARRAY( $CZ$29), _xlfn.XLOOKUP($FA30,_xlfn.ANCHORARRAY( $CY$30), $CZ$30:$DC$34))</f>
        <v>-7.4780532650518504E-3</v>
      </c>
      <c r="FH30" s="10" cm="1">
        <f t="array" aca="1" ref="FH30" ca="1">EL30 * _xlfn.XLOOKUP(FH$13,_xlfn.ANCHORARRAY( $CZ$29), _xlfn.XLOOKUP($EZ30,_xlfn.ANCHORARRAY( $CY$30), $CZ$30:$DC$34)) * _xlfn.XLOOKUP(FH$14,_xlfn.ANCHORARRAY( $CZ$29), _xlfn.XLOOKUP($FA30,_xlfn.ANCHORARRAY( $CY$30), $CZ$30:$DC$34))</f>
        <v>-7.4780532650518504E-3</v>
      </c>
      <c r="FI30" s="10" cm="1">
        <f t="array" aca="1" ref="FI30" ca="1">EM30 * _xlfn.XLOOKUP(FI$13,_xlfn.ANCHORARRAY( $CZ$29), _xlfn.XLOOKUP($EZ30,_xlfn.ANCHORARRAY( $CY$30), $CZ$30:$DC$34)) * _xlfn.XLOOKUP(FI$14,_xlfn.ANCHORARRAY( $CZ$29), _xlfn.XLOOKUP($FA30,_xlfn.ANCHORARRAY( $CY$30), $CZ$30:$DC$34))</f>
        <v>3.0197587170288412E-3</v>
      </c>
      <c r="FJ30" s="10" cm="1">
        <f t="array" aca="1" ref="FJ30" ca="1">EN30 * _xlfn.XLOOKUP(FJ$13,_xlfn.ANCHORARRAY( $CZ$29), _xlfn.XLOOKUP($EZ30,_xlfn.ANCHORARRAY( $CY$30), $CZ$30:$DC$34)) * _xlfn.XLOOKUP(FJ$14,_xlfn.ANCHORARRAY( $CZ$29), _xlfn.XLOOKUP($FA30,_xlfn.ANCHORARRAY( $CY$30), $CZ$30:$DC$34))</f>
        <v>-1.0534652126237219E-2</v>
      </c>
      <c r="FK30" s="10" cm="1">
        <f t="array" aca="1" ref="FK30" ca="1">EO30 * _xlfn.XLOOKUP(FK$13,_xlfn.ANCHORARRAY( $CZ$29), _xlfn.XLOOKUP($EZ30,_xlfn.ANCHORARRAY( $CY$30), $CZ$30:$DC$34)) * _xlfn.XLOOKUP(FK$14,_xlfn.ANCHORARRAY( $CZ$29), _xlfn.XLOOKUP($FA30,_xlfn.ANCHORARRAY( $CY$30), $CZ$30:$DC$34))</f>
        <v>-4.9848148042895288E-3</v>
      </c>
      <c r="FL30" s="10" cm="1">
        <f t="array" aca="1" ref="FL30" ca="1">EP30 * _xlfn.XLOOKUP(FL$13,_xlfn.ANCHORARRAY( $CZ$29), _xlfn.XLOOKUP($EZ30,_xlfn.ANCHORARRAY( $CY$30), $CZ$30:$DC$34)) * _xlfn.XLOOKUP(FL$14,_xlfn.ANCHORARRAY( $CZ$29), _xlfn.XLOOKUP($FA30,_xlfn.ANCHORARRAY( $CY$30), $CZ$30:$DC$34))</f>
        <v>-4.9848148042895288E-3</v>
      </c>
      <c r="FM30" s="10" cm="1">
        <f t="array" aca="1" ref="FM30" ca="1">EQ30 * _xlfn.XLOOKUP(FM$13,_xlfn.ANCHORARRAY( $CZ$29), _xlfn.XLOOKUP($EZ30,_xlfn.ANCHORARRAY( $CY$30), $CZ$30:$DC$34)) * _xlfn.XLOOKUP(FM$14,_xlfn.ANCHORARRAY( $CZ$29), _xlfn.XLOOKUP($FA30,_xlfn.ANCHORARRAY( $CY$30), $CZ$30:$DC$34))</f>
        <v>-4.2392792792996057E-4</v>
      </c>
      <c r="FN30" s="10" cm="1">
        <f t="array" aca="1" ref="FN30" ca="1">ER30 * _xlfn.XLOOKUP(FN$13,_xlfn.ANCHORARRAY( $CZ$29), _xlfn.XLOOKUP($EZ30,_xlfn.ANCHORARRAY( $CY$30), $CZ$30:$DC$34)) * _xlfn.XLOOKUP(FN$14,_xlfn.ANCHORARRAY( $CZ$29), _xlfn.XLOOKUP($FA30,_xlfn.ANCHORARRAY( $CY$30), $CZ$30:$DC$34))</f>
        <v>-3.2518253618924298E-2</v>
      </c>
      <c r="FO30" s="10" cm="1">
        <f t="array" aca="1" ref="FO30" ca="1">ES30 * _xlfn.XLOOKUP(FO$13,_xlfn.ANCHORARRAY( $CZ$29), _xlfn.XLOOKUP($EZ30,_xlfn.ANCHORARRAY( $CY$30), $CZ$30:$DC$34)) * _xlfn.XLOOKUP(FO$14,_xlfn.ANCHORARRAY( $CZ$29), _xlfn.XLOOKUP($FA30,_xlfn.ANCHORARRAY( $CY$30), $CZ$30:$DC$34))</f>
        <v>-2.8041596602929597E-3</v>
      </c>
      <c r="FP30" s="10" cm="1">
        <f t="array" aca="1" ref="FP30" ca="1">ET30 * _xlfn.XLOOKUP(FP$13,_xlfn.ANCHORARRAY( $CZ$29), _xlfn.XLOOKUP($EZ30,_xlfn.ANCHORARRAY( $CY$30), $CZ$30:$DC$34)) * _xlfn.XLOOKUP(FP$14,_xlfn.ANCHORARRAY( $CZ$29), _xlfn.XLOOKUP($FA30,_xlfn.ANCHORARRAY( $CY$30), $CZ$30:$DC$34))</f>
        <v>-2.8041596602929597E-3</v>
      </c>
      <c r="FQ30" s="10" cm="1">
        <f t="array" aca="1" ref="FQ30" ca="1">EU30 * _xlfn.XLOOKUP(FQ$13,_xlfn.ANCHORARRAY( $CZ$29), _xlfn.XLOOKUP($EZ30,_xlfn.ANCHORARRAY( $CY$30), $CZ$30:$DC$34)) * _xlfn.XLOOKUP(FQ$14,_xlfn.ANCHORARRAY( $CZ$29), _xlfn.XLOOKUP($FA30,_xlfn.ANCHORARRAY( $CY$30), $CZ$30:$DC$34))</f>
        <v>5.3553154384223707E-3</v>
      </c>
      <c r="FT30" cm="1">
        <f t="array" aca="1" ref="FT30" ca="1">SQRT(SUM((FB30:FQ30)^2))</f>
        <v>6.12656259156521E-2</v>
      </c>
    </row>
    <row r="31" spans="1:176" x14ac:dyDescent="0.2">
      <c r="D31" s="10">
        <f ca="1"/>
        <v>17</v>
      </c>
      <c r="F31" s="10">
        <f ca="1"/>
        <v>1</v>
      </c>
      <c r="H31" s="10"/>
      <c r="J31" cm="1">
        <f t="array" aca="1" ref="J31" ca="1">SUMPRODUCT((O31:AJ31=$O$11:$AJ$11)*(O$13:AJ$13=TRUE))  / COUNTIF(O$13:AJ$13,TRUE)</f>
        <v>0.4</v>
      </c>
      <c r="K31" t="b">
        <f t="shared" ca="1" si="3"/>
        <v>1</v>
      </c>
      <c r="L31" cm="1">
        <f t="array" aca="1" ref="L31" ca="1">SUM(
   1*(_xlfn._xlws.FILTER(OFFSET($O31,0,0,1,$B$9),OFFSET($O$13,0,0,1,$B$9)) = "-")
) / $B$13</f>
        <v>0</v>
      </c>
      <c r="M31" t="b">
        <f t="shared" ca="1" si="4"/>
        <v>1</v>
      </c>
      <c r="N31" s="2">
        <v>16</v>
      </c>
      <c r="O31" s="12" t="s">
        <v>0</v>
      </c>
      <c r="P31" s="9" t="s">
        <v>1</v>
      </c>
      <c r="Q31" s="9" t="s">
        <v>0</v>
      </c>
      <c r="R31" s="9" t="s">
        <v>0</v>
      </c>
      <c r="S31" s="9" t="s">
        <v>0</v>
      </c>
      <c r="AN31">
        <f t="shared" ca="1" si="5"/>
        <v>1</v>
      </c>
      <c r="AO31" s="14">
        <f t="shared" ca="1" si="6"/>
        <v>1</v>
      </c>
      <c r="AP31" s="2">
        <f ca="1"/>
        <v>17</v>
      </c>
      <c r="AQ31" cm="1">
        <f t="array" aca="1" ref="AQ31" ca="1">IF($AP31=AQ$14, 1, SUMPRODUCT(
    --(OFFSET($O$13,0,0,1,$B$9)=TRUE),
    --(INDEX(OFFSET($O$15,0,0,$B$8,$B$9), 1+$AP31, 0) = INDEX(OFFSET($O$15,0,0,$B$8,$B$9), 1+AQ$14, 0))
) / $B$13)</f>
        <v>0.4</v>
      </c>
      <c r="AR31" cm="1">
        <f t="array" aca="1" ref="AR31" ca="1">IF($AP31=AR$14, 1, SUMPRODUCT(
    --(OFFSET($O$13,0,0,1,$B$9)=TRUE),
    --(INDEX(OFFSET($O$15,0,0,$B$8,$B$9), 1+$AP31, 0) = INDEX(OFFSET($O$15,0,0,$B$8,$B$9), 1+AR$14, 0))
) / $B$13)</f>
        <v>0</v>
      </c>
      <c r="AS31" cm="1">
        <f t="array" aca="1" ref="AS31" ca="1">IF($AP31=AS$14, 1, SUMPRODUCT(
    --(OFFSET($O$13,0,0,1,$B$9)=TRUE),
    --(INDEX(OFFSET($O$15,0,0,$B$8,$B$9), 1+$AP31, 0) = INDEX(OFFSET($O$15,0,0,$B$8,$B$9), 1+AS$14, 0))
) / $B$13)</f>
        <v>0</v>
      </c>
      <c r="AT31" cm="1">
        <f t="array" aca="1" ref="AT31" ca="1">IF($AP31=AT$14, 1, SUMPRODUCT(
    --(OFFSET($O$13,0,0,1,$B$9)=TRUE),
    --(INDEX(OFFSET($O$15,0,0,$B$8,$B$9), 1+$AP31, 0) = INDEX(OFFSET($O$15,0,0,$B$8,$B$9), 1+AT$14, 0))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
) / $B$13)</f>
        <v>0</v>
      </c>
      <c r="AV31" cm="1">
        <f t="array" aca="1" ref="AV31" ca="1">IF($AP31=AV$14, 1, SUMPRODUCT(
    --(OFFSET($O$13,0,0,1,$B$9)=TRUE),
    --(INDEX(OFFSET($O$15,0,0,$B$8,$B$9), 1+$AP31, 0) = INDEX(OFFSET($O$15,0,0,$B$8,$B$9), 1+AV$14, 0))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
) / $B$13)</f>
        <v>0.6</v>
      </c>
      <c r="AY31" cm="1">
        <f t="array" aca="1" ref="AY31" ca="1">IF($AP31=AY$14, 1, SUMPRODUCT(
    --(OFFSET($O$13,0,0,1,$B$9)=TRUE),
    --(INDEX(OFFSET($O$15,0,0,$B$8,$B$9), 1+$AP31, 0) = INDEX(OFFSET($O$15,0,0,$B$8,$B$9), 1+AY$14, 0))
) / $B$13)</f>
        <v>0.2</v>
      </c>
      <c r="AZ31" cm="1">
        <f t="array" aca="1" ref="AZ31" ca="1">IF($AP31=AZ$14, 1, SUMPRODUCT(
    --(OFFSET($O$13,0,0,1,$B$9)=TRUE),
    --(INDEX(OFFSET($O$15,0,0,$B$8,$B$9), 1+$AP31, 0) = INDEX(OFFSET($O$15,0,0,$B$8,$B$9), 1+AZ$14, 0))
) / $B$13)</f>
        <v>0.2</v>
      </c>
      <c r="BA31" cm="1">
        <f t="array" aca="1" ref="BA31" ca="1">IF($AP31=BA$14, 1, SUMPRODUCT(
    --(OFFSET($O$13,0,0,1,$B$9)=TRUE),
    --(INDEX(OFFSET($O$15,0,0,$B$8,$B$9), 1+$AP31, 0) = INDEX(OFFSET($O$15,0,0,$B$8,$B$9), 1+BA$14, 0))
) / $B$13)</f>
        <v>0.2</v>
      </c>
      <c r="BB31" cm="1">
        <f t="array" aca="1" ref="BB31" ca="1">IF($AP31=BB$14, 1, SUMPRODUCT(
    --(OFFSET($O$13,0,0,1,$B$9)=TRUE),
    --(INDEX(OFFSET($O$15,0,0,$B$8,$B$9), 1+$AP31, 0) = INDEX(OFFSET($O$15,0,0,$B$8,$B$9), 1+BB$14, 0))
) / $B$13)</f>
        <v>0.4</v>
      </c>
      <c r="BC31" cm="1">
        <f t="array" aca="1" ref="BC31" ca="1">IF($AP31=BC$14, 1, SUMPRODUCT(
    --(OFFSET($O$13,0,0,1,$B$9)=TRUE),
    --(INDEX(OFFSET($O$15,0,0,$B$8,$B$9), 1+$AP31, 0) = INDEX(OFFSET($O$15,0,0,$B$8,$B$9), 1+BC$14, 0))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
) / $B$13)</f>
        <v>0.4</v>
      </c>
      <c r="BG31" cm="1">
        <f t="array" aca="1" ref="BG31" ca="1">IF($AP31=BG$14, 1, SUMPRODUCT(
    --(OFFSET($O$13,0,0,1,$B$9)=TRUE),
    --(INDEX(OFFSET($O$15,0,0,$B$8,$B$9), 1+$AP31, 0) = INDEX(OFFSET($O$15,0,0,$B$8,$B$9), 1+BG$14, 0))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
) / $B$13)</f>
        <v>0.4</v>
      </c>
      <c r="BI31" cm="1">
        <f t="array" aca="1" ref="BI31" ca="1">IF($AP31=BI$14, 1, SUMPRODUCT(
    --(OFFSET($O$13,0,0,1,$B$9)=TRUE),
    --(INDEX(OFFSET($O$15,0,0,$B$8,$B$9), 1+$AP31, 0) = INDEX(OFFSET($O$15,0,0,$B$8,$B$9), 1+BI$14, 0))
) / $B$13)</f>
        <v>0.4</v>
      </c>
      <c r="BJ31" cm="1">
        <f t="array" aca="1" ref="BJ31" ca="1">IF($AP31=BJ$14, 1, SUMPRODUCT(
    --(OFFSET($O$13,0,0,1,$B$9)=TRUE),
    --(INDEX(OFFSET($O$15,0,0,$B$8,$B$9), 1+$AP31, 0) = INDEX(OFFSET($O$15,0,0,$B$8,$B$9), 1+BJ$14, 0))
) / $B$13)</f>
        <v>0.2</v>
      </c>
      <c r="BN31">
        <f t="shared" ca="1" si="7"/>
        <v>1</v>
      </c>
      <c r="BO31" s="14">
        <f t="shared" ca="1" si="8"/>
        <v>1</v>
      </c>
      <c r="BP31" s="2">
        <f ca="1"/>
        <v>17</v>
      </c>
      <c r="BQ31" cm="1">
        <f t="array" aca="1" ref="BQ31" ca="1">IF($BP31=BQ$14, 1, SUMPRODUCT(
    --(OFFSET($O$9,0,0,1,$B$9)=TRUE),
    --(INDEX(OFFSET($O$15,0,0,$B$8,$B$9), 1+$BP31, 0) = INDEX(OFFSET($O$15,0,0,$B$8,$B$9), 1+BQ$14, 0))
) / $B$16)</f>
        <v>0.4</v>
      </c>
      <c r="BR31" cm="1">
        <f t="array" aca="1" ref="BR31" ca="1">IF($BP31=BR$14, 1, SUMPRODUCT(
    --(OFFSET($O$9,0,0,1,$B$9)=TRUE),
    --(INDEX(OFFSET($O$15,0,0,$B$8,$B$9), 1+$BP31, 0) = INDEX(OFFSET($O$15,0,0,$B$8,$B$9), 1+BR$14, 0))
) / $B$16)</f>
        <v>0</v>
      </c>
      <c r="BS31" cm="1">
        <f t="array" aca="1" ref="BS31" ca="1">IF($BP31=BS$14, 1, SUMPRODUCT(
    --(OFFSET($O$9,0,0,1,$B$9)=TRUE),
    --(INDEX(OFFSET($O$15,0,0,$B$8,$B$9), 1+$BP31, 0) = INDEX(OFFSET($O$15,0,0,$B$8,$B$9), 1+BS$14, 0))
) / $B$16)</f>
        <v>0</v>
      </c>
      <c r="BT31" cm="1">
        <f t="array" aca="1" ref="BT31" ca="1">IF($BP31=BT$14, 1, SUMPRODUCT(
    --(OFFSET($O$9,0,0,1,$B$9)=TRUE),
    --(INDEX(OFFSET($O$15,0,0,$B$8,$B$9), 1+$BP31, 0) = INDEX(OFFSET($O$15,0,0,$B$8,$B$9), 1+BT$14, 0))
) / $B$16)</f>
        <v>0.4</v>
      </c>
      <c r="BU31" cm="1">
        <f t="array" aca="1" ref="BU31" ca="1">IF($BP31=BU$14, 1, SUMPRODUCT(
    --(OFFSET($O$9,0,0,1,$B$9)=TRUE),
    --(INDEX(OFFSET($O$15,0,0,$B$8,$B$9), 1+$BP31, 0) = INDEX(OFFSET($O$15,0,0,$B$8,$B$9), 1+BU$14, 0))
) / $B$16)</f>
        <v>0</v>
      </c>
      <c r="BV31" cm="1">
        <f t="array" aca="1" ref="BV31" ca="1">IF($BP31=BV$14, 1, SUMPRODUCT(
    --(OFFSET($O$9,0,0,1,$B$9)=TRUE),
    --(INDEX(OFFSET($O$15,0,0,$B$8,$B$9), 1+$BP31, 0) = INDEX(OFFSET($O$15,0,0,$B$8,$B$9), 1+BV$14, 0))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
) / $B$16)</f>
        <v>0.6</v>
      </c>
      <c r="BY31" cm="1">
        <f t="array" aca="1" ref="BY31" ca="1">IF($BP31=BY$14, 1, SUMPRODUCT(
    --(OFFSET($O$9,0,0,1,$B$9)=TRUE),
    --(INDEX(OFFSET($O$15,0,0,$B$8,$B$9), 1+$BP31, 0) = INDEX(OFFSET($O$15,0,0,$B$8,$B$9), 1+BY$14, 0))
) / $B$16)</f>
        <v>0.2</v>
      </c>
      <c r="BZ31" cm="1">
        <f t="array" aca="1" ref="BZ31" ca="1">IF($BP31=BZ$14, 1, SUMPRODUCT(
    --(OFFSET($O$9,0,0,1,$B$9)=TRUE),
    --(INDEX(OFFSET($O$15,0,0,$B$8,$B$9), 1+$BP31, 0) = INDEX(OFFSET($O$15,0,0,$B$8,$B$9), 1+BZ$14, 0))
) / $B$16)</f>
        <v>0.2</v>
      </c>
      <c r="CA31" cm="1">
        <f t="array" aca="1" ref="CA31" ca="1">IF($BP31=CA$14, 1, SUMPRODUCT(
    --(OFFSET($O$9,0,0,1,$B$9)=TRUE),
    --(INDEX(OFFSET($O$15,0,0,$B$8,$B$9), 1+$BP31, 0) = INDEX(OFFSET($O$15,0,0,$B$8,$B$9), 1+CA$14, 0))
) / $B$16)</f>
        <v>0.2</v>
      </c>
      <c r="CB31" cm="1">
        <f t="array" aca="1" ref="CB31" ca="1">IF($BP31=CB$14, 1, SUMPRODUCT(
    --(OFFSET($O$9,0,0,1,$B$9)=TRUE),
    --(INDEX(OFFSET($O$15,0,0,$B$8,$B$9), 1+$BP31, 0) = INDEX(OFFSET($O$15,0,0,$B$8,$B$9), 1+CB$14, 0))
) / $B$16)</f>
        <v>0.4</v>
      </c>
      <c r="CC31" cm="1">
        <f t="array" aca="1" ref="CC31" ca="1">IF($BP31=CC$14, 1, SUMPRODUCT(
    --(OFFSET($O$9,0,0,1,$B$9)=TRUE),
    --(INDEX(OFFSET($O$15,0,0,$B$8,$B$9), 1+$BP31, 0) = INDEX(OFFSET($O$15,0,0,$B$8,$B$9), 1+CC$14, 0))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
) / $B$16)</f>
        <v>0.4</v>
      </c>
      <c r="CG31" cm="1">
        <f t="array" aca="1" ref="CG31" ca="1">IF($BP31=CG$14, 1, SUMPRODUCT(
    --(OFFSET($O$9,0,0,1,$B$9)=TRUE),
    --(INDEX(OFFSET($O$15,0,0,$B$8,$B$9), 1+$BP31, 0) = INDEX(OFFSET($O$15,0,0,$B$8,$B$9), 1+CG$14, 0))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
) / $B$16)</f>
        <v>0.4</v>
      </c>
      <c r="CI31" cm="1">
        <f t="array" aca="1" ref="CI31" ca="1">IF($BP31=CI$14, 1, SUMPRODUCT(
    --(OFFSET($O$9,0,0,1,$B$9)=TRUE),
    --(INDEX(OFFSET($O$15,0,0,$B$8,$B$9), 1+$BP31, 0) = INDEX(OFFSET($O$15,0,0,$B$8,$B$9), 1+CI$14, 0))
) / $B$16)</f>
        <v>0.4</v>
      </c>
      <c r="CJ31" cm="1">
        <f t="array" aca="1" ref="CJ31" ca="1">IF($BP31=CJ$14, 1, SUMPRODUCT(
    --(OFFSET($O$9,0,0,1,$B$9)=TRUE),
    --(INDEX(OFFSET($O$15,0,0,$B$8,$B$9), 1+$BP31, 0) = INDEX(OFFSET($O$15,0,0,$B$8,$B$9), 1+CJ$14, 0))
) / $B$16)</f>
        <v>0.2</v>
      </c>
      <c r="CS31" s="1"/>
      <c r="CY31">
        <f ca="1"/>
        <v>1</v>
      </c>
      <c r="CZ31" s="10">
        <f t="shared" ref="CZ31:CZ34" ca="1" si="12">LN((CR16*(1-CR$10))/((1-CR16)*CR$10))</f>
        <v>0.10675535497932089</v>
      </c>
      <c r="DA31" s="10">
        <f t="shared" ca="1" si="11"/>
        <v>0.51771986445467311</v>
      </c>
      <c r="DB31" s="10">
        <f t="shared" ca="1" si="11"/>
        <v>-0.40180271014066216</v>
      </c>
      <c r="DC31" s="10">
        <f t="shared" ca="1" si="11"/>
        <v>-0.40180271014066216</v>
      </c>
      <c r="DF31" cm="1">
        <f t="array" aca="1" ref="DF31" ca="1">INDEX(_xlfn.ANCHORARRAY($CP$15), 1 + INT((ROWS($DG$15:$DG31) - 1) / ROWS(_xlfn.ANCHORARRAY($CP$15))))</f>
        <v>3</v>
      </c>
      <c r="DG31" cm="1">
        <f t="array" aca="1" ref="DG31" ca="1">INDEX(_xlfn.ANCHORARRAY($CP$15),1+MOD(ROWS($DG$15:$DG31)-1,ROWS(_xlfn.ANCHORARRAY($CP$15))))</f>
        <v>1</v>
      </c>
      <c r="DH31" s="10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$B$18/($B$19*$B$19*($DF31&lt;&gt;$DG31) + $B$19*($DF31=$DG31))</f>
        <v>1.1999999999999999E-3</v>
      </c>
      <c r="DI31" s="10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$B$18/($B$19*$B$19*($DF31&lt;&gt;$DG31) + $B$19*($DF31=$DG31))</f>
        <v>8.9381818181818187E-2</v>
      </c>
      <c r="DJ31" s="10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$B$18/($B$19*$B$19*($DF31&lt;&gt;$DG31) + $B$19*($DF31=$DG31))</f>
        <v>1.1999999999999999E-3</v>
      </c>
      <c r="DK31" s="10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$B$18/($B$19*$B$19*($DF31&lt;&gt;$DG31) + $B$19*($DF31=$DG31))</f>
        <v>1.1999999999999999E-3</v>
      </c>
      <c r="DL31" s="10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$B$18/($B$19*$B$19*($DF31&lt;&gt;$DG31) + $B$19*($DF31=$DG31))</f>
        <v>1.1999999999999999E-3</v>
      </c>
      <c r="DM31" s="10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$B$18/($B$19*$B$19*($DF31&lt;&gt;$DG31) + $B$19*($DF31=$DG31))</f>
        <v>8.9381818181818187E-2</v>
      </c>
      <c r="DN31" s="10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$B$18/($B$19*$B$19*($DF31&lt;&gt;$DG31) + $B$19*($DF31=$DG31))</f>
        <v>1.1999999999999999E-3</v>
      </c>
      <c r="DO31" s="10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$B$18/($B$19*$B$19*($DF31&lt;&gt;$DG31) + $B$19*($DF31=$DG31))</f>
        <v>1.1999999999999999E-3</v>
      </c>
      <c r="DP31" s="10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$B$18/($B$19*$B$19*($DF31&lt;&gt;$DG31) + $B$19*($DF31=$DG31))</f>
        <v>8.9381818181818187E-2</v>
      </c>
      <c r="DQ31" s="10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$B$18/($B$19*$B$19*($DF31&lt;&gt;$DG31) + $B$19*($DF31=$DG31))</f>
        <v>8.9381818181818187E-2</v>
      </c>
      <c r="DR31" s="10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$B$18/($B$19*$B$19*($DF31&lt;&gt;$DG31) + $B$19*($DF31=$DG31))</f>
        <v>8.9381818181818187E-2</v>
      </c>
      <c r="DS31" s="10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$B$18/($B$19*$B$19*($DF31&lt;&gt;$DG31) + $B$19*($DF31=$DG31))</f>
        <v>8.9381818181818187E-2</v>
      </c>
      <c r="DT31" s="10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$B$18/($B$19*$B$19*($DF31&lt;&gt;$DG31) + $B$19*($DF31=$DG31))</f>
        <v>0.17756363636363637</v>
      </c>
      <c r="DU31" s="10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$B$18/($B$19*$B$19*($DF31&lt;&gt;$DG31) + $B$19*($DF31=$DG31))</f>
        <v>8.9381818181818187E-2</v>
      </c>
      <c r="DV31" s="10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$B$18/($B$19*$B$19*($DF31&lt;&gt;$DG31) + $B$19*($DF31=$DG31))</f>
        <v>8.9381818181818187E-2</v>
      </c>
      <c r="DW31" s="10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$B$18/($B$19*$B$19*($DF31&lt;&gt;$DG31) + $B$19*($DF31=$DG31))</f>
        <v>8.9381818181818187E-2</v>
      </c>
      <c r="ED31" cm="1">
        <f t="array" aca="1" ref="ED31" ca="1">INDEX(_xlfn.ANCHORARRAY($CP$15), 1 + INT((ROWS($DG$15:$DG31) - 1) / ROWS(_xlfn.ANCHORARRAY($CP$15))))</f>
        <v>3</v>
      </c>
      <c r="EE31" cm="1">
        <f t="array" aca="1" ref="EE31" ca="1">INDEX(_xlfn.ANCHORARRAY($CP$15),1+MOD(ROWS($DG$15:$DG31)-1,ROWS(_xlfn.ANCHORARRAY($CP$15))))</f>
        <v>1</v>
      </c>
      <c r="EF31" s="10" cm="1">
        <f t="array" aca="1" ref="EF31" ca="1">DH31-_xlfn.XLOOKUP(EF$13,_xlfn.ANCHORARRAY( $CR$14), _xlfn.XLOOKUP($ED31,_xlfn.ANCHORARRAY( $CP$15), $CR$15:$CU$19)) * _xlfn.XLOOKUP(EF$14,_xlfn.ANCHORARRAY( $CR$14), _xlfn.XLOOKUP($EE31,_xlfn.ANCHORARRAY( $CP$15), $CR$15:$CU$19))</f>
        <v>-2.4280462809917362E-2</v>
      </c>
      <c r="EG31" s="10" cm="1">
        <f t="array" aca="1" ref="EG31" ca="1">DI31-_xlfn.XLOOKUP(EG$13,_xlfn.ANCHORARRAY( $CR$14), _xlfn.XLOOKUP($ED31,_xlfn.ANCHORARRAY( $CP$15), $CR$15:$CU$19)) * _xlfn.XLOOKUP(EG$14,_xlfn.ANCHORARRAY( $CR$14), _xlfn.XLOOKUP($EE31,_xlfn.ANCHORARRAY( $CP$15), $CR$15:$CU$19))</f>
        <v>5.5596231404958681E-2</v>
      </c>
      <c r="EH31" s="10" cm="1">
        <f t="array" aca="1" ref="EH31" ca="1">DJ31-_xlfn.XLOOKUP(EH$13,_xlfn.ANCHORARRAY( $CR$14), _xlfn.XLOOKUP($ED31,_xlfn.ANCHORARRAY( $CP$15), $CR$15:$CU$19)) * _xlfn.XLOOKUP(EH$14,_xlfn.ANCHORARRAY( $CR$14), _xlfn.XLOOKUP($EE31,_xlfn.ANCHORARRAY( $CP$15), $CR$15:$CU$19))</f>
        <v>-1.5975338842975209E-2</v>
      </c>
      <c r="EI31" s="10" cm="1">
        <f t="array" aca="1" ref="EI31" ca="1">DK31-_xlfn.XLOOKUP(EI$13,_xlfn.ANCHORARRAY( $CR$14), _xlfn.XLOOKUP($ED31,_xlfn.ANCHORARRAY( $CP$15), $CR$15:$CU$19)) * _xlfn.XLOOKUP(EI$14,_xlfn.ANCHORARRAY( $CR$14), _xlfn.XLOOKUP($EE31,_xlfn.ANCHORARRAY( $CP$15), $CR$15:$CU$19))</f>
        <v>-1.5975338842975209E-2</v>
      </c>
      <c r="EJ31" s="10" cm="1">
        <f t="array" aca="1" ref="EJ31" ca="1">DL31-_xlfn.XLOOKUP(EJ$13,_xlfn.ANCHORARRAY( $CR$14), _xlfn.XLOOKUP($ED31,_xlfn.ANCHORARRAY( $CP$15), $CR$15:$CU$19)) * _xlfn.XLOOKUP(EJ$14,_xlfn.ANCHORARRAY( $CR$14), _xlfn.XLOOKUP($EE31,_xlfn.ANCHORARRAY( $CP$15), $CR$15:$CU$19))</f>
        <v>-2.4280462809917362E-2</v>
      </c>
      <c r="EK31" s="10" cm="1">
        <f t="array" aca="1" ref="EK31" ca="1">DM31-_xlfn.XLOOKUP(EK$13,_xlfn.ANCHORARRAY( $CR$14), _xlfn.XLOOKUP($ED31,_xlfn.ANCHORARRAY( $CP$15), $CR$15:$CU$19)) * _xlfn.XLOOKUP(EK$14,_xlfn.ANCHORARRAY( $CR$14), _xlfn.XLOOKUP($EE31,_xlfn.ANCHORARRAY( $CP$15), $CR$15:$CU$19))</f>
        <v>5.5596231404958681E-2</v>
      </c>
      <c r="EL31" s="10" cm="1">
        <f t="array" aca="1" ref="EL31" ca="1">DN31-_xlfn.XLOOKUP(EL$13,_xlfn.ANCHORARRAY( $CR$14), _xlfn.XLOOKUP($ED31,_xlfn.ANCHORARRAY( $CP$15), $CR$15:$CU$19)) * _xlfn.XLOOKUP(EL$14,_xlfn.ANCHORARRAY( $CR$14), _xlfn.XLOOKUP($EE31,_xlfn.ANCHORARRAY( $CP$15), $CR$15:$CU$19))</f>
        <v>-1.5975338842975209E-2</v>
      </c>
      <c r="EM31" s="10" cm="1">
        <f t="array" aca="1" ref="EM31" ca="1">DO31-_xlfn.XLOOKUP(EM$13,_xlfn.ANCHORARRAY( $CR$14), _xlfn.XLOOKUP($ED31,_xlfn.ANCHORARRAY( $CP$15), $CR$15:$CU$19)) * _xlfn.XLOOKUP(EM$14,_xlfn.ANCHORARRAY( $CR$14), _xlfn.XLOOKUP($EE31,_xlfn.ANCHORARRAY( $CP$15), $CR$15:$CU$19))</f>
        <v>-1.5975338842975209E-2</v>
      </c>
      <c r="EN31" s="10" cm="1">
        <f t="array" aca="1" ref="EN31" ca="1">DP31-_xlfn.XLOOKUP(EN$13,_xlfn.ANCHORARRAY( $CR$14), _xlfn.XLOOKUP($ED31,_xlfn.ANCHORARRAY( $CP$15), $CR$15:$CU$19)) * _xlfn.XLOOKUP(EN$14,_xlfn.ANCHORARRAY( $CR$14), _xlfn.XLOOKUP($EE31,_xlfn.ANCHORARRAY( $CP$15), $CR$15:$CU$19))</f>
        <v>-7.6702148760330741E-3</v>
      </c>
      <c r="EO31" s="10" cm="1">
        <f t="array" aca="1" ref="EO31" ca="1">DQ31-_xlfn.XLOOKUP(EO$13,_xlfn.ANCHORARRAY( $CR$14), _xlfn.XLOOKUP($ED31,_xlfn.ANCHORARRAY( $CP$15), $CR$15:$CU$19)) * _xlfn.XLOOKUP(EO$14,_xlfn.ANCHORARRAY( $CR$14), _xlfn.XLOOKUP($EE31,_xlfn.ANCHORARRAY( $CP$15), $CR$15:$CU$19))</f>
        <v>-3.9303438016528927E-2</v>
      </c>
      <c r="EP31" s="10" cm="1">
        <f t="array" aca="1" ref="EP31" ca="1">DR31-_xlfn.XLOOKUP(EP$13,_xlfn.ANCHORARRAY( $CR$14), _xlfn.XLOOKUP($ED31,_xlfn.ANCHORARRAY( $CP$15), $CR$15:$CU$19)) * _xlfn.XLOOKUP(EP$14,_xlfn.ANCHORARRAY( $CR$14), _xlfn.XLOOKUP($EE31,_xlfn.ANCHORARRAY( $CP$15), $CR$15:$CU$19))</f>
        <v>2.3963008264462821E-2</v>
      </c>
      <c r="EQ31" s="10" cm="1">
        <f t="array" aca="1" ref="EQ31" ca="1">DS31-_xlfn.XLOOKUP(EQ$13,_xlfn.ANCHORARRAY( $CR$14), _xlfn.XLOOKUP($ED31,_xlfn.ANCHORARRAY( $CP$15), $CR$15:$CU$19)) * _xlfn.XLOOKUP(EQ$14,_xlfn.ANCHORARRAY( $CR$14), _xlfn.XLOOKUP($EE31,_xlfn.ANCHORARRAY( $CP$15), $CR$15:$CU$19))</f>
        <v>2.3963008264462821E-2</v>
      </c>
      <c r="ER31" s="10" cm="1">
        <f t="array" aca="1" ref="ER31" ca="1">DT31-_xlfn.XLOOKUP(ER$13,_xlfn.ANCHORARRAY( $CR$14), _xlfn.XLOOKUP($ED31,_xlfn.ANCHORARRAY( $CP$15), $CR$15:$CU$19)) * _xlfn.XLOOKUP(ER$14,_xlfn.ANCHORARRAY( $CR$14), _xlfn.XLOOKUP($EE31,_xlfn.ANCHORARRAY( $CP$15), $CR$15:$CU$19))</f>
        <v>5.6654413223140493E-2</v>
      </c>
      <c r="ES31" s="10" cm="1">
        <f t="array" aca="1" ref="ES31" ca="1">DU31-_xlfn.XLOOKUP(ES$13,_xlfn.ANCHORARRAY( $CR$14), _xlfn.XLOOKUP($ED31,_xlfn.ANCHORARRAY( $CP$15), $CR$15:$CU$19)) * _xlfn.XLOOKUP(ES$14,_xlfn.ANCHORARRAY( $CR$14), _xlfn.XLOOKUP($EE31,_xlfn.ANCHORARRAY( $CP$15), $CR$15:$CU$19))</f>
        <v>-7.093666115702478E-2</v>
      </c>
      <c r="ET31" s="10" cm="1">
        <f t="array" aca="1" ref="ET31" ca="1">DV31-_xlfn.XLOOKUP(ET$13,_xlfn.ANCHORARRAY( $CR$14), _xlfn.XLOOKUP($ED31,_xlfn.ANCHORARRAY( $CP$15), $CR$15:$CU$19)) * _xlfn.XLOOKUP(ET$14,_xlfn.ANCHORARRAY( $CR$14), _xlfn.XLOOKUP($EE31,_xlfn.ANCHORARRAY( $CP$15), $CR$15:$CU$19))</f>
        <v>7.8818512396694324E-3</v>
      </c>
      <c r="EU31" s="10" cm="1">
        <f t="array" aca="1" ref="EU31" ca="1">DW31-_xlfn.XLOOKUP(EU$13,_xlfn.ANCHORARRAY( $CR$14), _xlfn.XLOOKUP($ED31,_xlfn.ANCHORARRAY( $CP$15), $CR$15:$CU$19)) * _xlfn.XLOOKUP(EU$14,_xlfn.ANCHORARRAY( $CR$14), _xlfn.XLOOKUP($EE31,_xlfn.ANCHORARRAY( $CP$15), $CR$15:$CU$19))</f>
        <v>7.8818512396694324E-3</v>
      </c>
      <c r="EZ31" cm="1">
        <f t="array" aca="1" ref="EZ31" ca="1">INDEX(_xlfn.ANCHORARRAY($CP$15), 1 + INT((ROWS($DG$15:$DG31) - 1) / ROWS(_xlfn.ANCHORARRAY($CP$15))))</f>
        <v>3</v>
      </c>
      <c r="FA31" cm="1">
        <f t="array" aca="1" ref="FA31" ca="1">INDEX(_xlfn.ANCHORARRAY($CP$15),1+MOD(ROWS($DG$15:$DG31)-1,ROWS(_xlfn.ANCHORARRAY($CP$15))))</f>
        <v>1</v>
      </c>
      <c r="FB31" s="10" cm="1">
        <f t="array" aca="1" ref="FB31" ca="1">EF31 * _xlfn.XLOOKUP(FB$13,_xlfn.ANCHORARRAY( $CZ$29), _xlfn.XLOOKUP($EZ31,_xlfn.ANCHORARRAY( $CY$30), $CZ$30:$DC$34)) * _xlfn.XLOOKUP(FB$14,_xlfn.ANCHORARRAY( $CZ$29), _xlfn.XLOOKUP($FA31,_xlfn.ANCHORARRAY( $CY$30), $CZ$30:$DC$34))</f>
        <v>3.0197587170288412E-3</v>
      </c>
      <c r="FC31" s="10" cm="1">
        <f t="array" aca="1" ref="FC31" ca="1">EG31 * _xlfn.XLOOKUP(FC$13,_xlfn.ANCHORARRAY( $CZ$29), _xlfn.XLOOKUP($EZ31,_xlfn.ANCHORARRAY( $CY$30), $CZ$30:$DC$34)) * _xlfn.XLOOKUP(FC$14,_xlfn.ANCHORARRAY( $CZ$29), _xlfn.XLOOKUP($FA31,_xlfn.ANCHORARRAY( $CY$30), $CZ$30:$DC$34))</f>
        <v>-3.3532489458979249E-2</v>
      </c>
      <c r="FD31" s="10" cm="1">
        <f t="array" aca="1" ref="FD31" ca="1">EH31 * _xlfn.XLOOKUP(FD$13,_xlfn.ANCHORARRAY( $CZ$29), _xlfn.XLOOKUP($EZ31,_xlfn.ANCHORARRAY( $CY$30), $CZ$30:$DC$34)) * _xlfn.XLOOKUP(FD$14,_xlfn.ANCHORARRAY( $CZ$29), _xlfn.XLOOKUP($FA31,_xlfn.ANCHORARRAY( $CY$30), $CZ$30:$DC$34))</f>
        <v>-7.4780532650518504E-3</v>
      </c>
      <c r="FE31" s="10" cm="1">
        <f t="array" aca="1" ref="FE31" ca="1">EI31 * _xlfn.XLOOKUP(FE$13,_xlfn.ANCHORARRAY( $CZ$29), _xlfn.XLOOKUP($EZ31,_xlfn.ANCHORARRAY( $CY$30), $CZ$30:$DC$34)) * _xlfn.XLOOKUP(FE$14,_xlfn.ANCHORARRAY( $CZ$29), _xlfn.XLOOKUP($FA31,_xlfn.ANCHORARRAY( $CY$30), $CZ$30:$DC$34))</f>
        <v>-7.4780532650518504E-3</v>
      </c>
      <c r="FF31" s="10" cm="1">
        <f t="array" aca="1" ref="FF31" ca="1">EJ31 * _xlfn.XLOOKUP(FF$13,_xlfn.ANCHORARRAY( $CZ$29), _xlfn.XLOOKUP($EZ31,_xlfn.ANCHORARRAY( $CY$30), $CZ$30:$DC$34)) * _xlfn.XLOOKUP(FF$14,_xlfn.ANCHORARRAY( $CZ$29), _xlfn.XLOOKUP($FA31,_xlfn.ANCHORARRAY( $CY$30), $CZ$30:$DC$34))</f>
        <v>3.0197587170288412E-3</v>
      </c>
      <c r="FG31" s="10" cm="1">
        <f t="array" aca="1" ref="FG31" ca="1">EK31 * _xlfn.XLOOKUP(FG$13,_xlfn.ANCHORARRAY( $CZ$29), _xlfn.XLOOKUP($EZ31,_xlfn.ANCHORARRAY( $CY$30), $CZ$30:$DC$34)) * _xlfn.XLOOKUP(FG$14,_xlfn.ANCHORARRAY( $CZ$29), _xlfn.XLOOKUP($FA31,_xlfn.ANCHORARRAY( $CY$30), $CZ$30:$DC$34))</f>
        <v>-3.3532489458979249E-2</v>
      </c>
      <c r="FH31" s="10" cm="1">
        <f t="array" aca="1" ref="FH31" ca="1">EL31 * _xlfn.XLOOKUP(FH$13,_xlfn.ANCHORARRAY( $CZ$29), _xlfn.XLOOKUP($EZ31,_xlfn.ANCHORARRAY( $CY$30), $CZ$30:$DC$34)) * _xlfn.XLOOKUP(FH$14,_xlfn.ANCHORARRAY( $CZ$29), _xlfn.XLOOKUP($FA31,_xlfn.ANCHORARRAY( $CY$30), $CZ$30:$DC$34))</f>
        <v>-7.4780532650518504E-3</v>
      </c>
      <c r="FI31" s="10" cm="1">
        <f t="array" aca="1" ref="FI31" ca="1">EM31 * _xlfn.XLOOKUP(FI$13,_xlfn.ANCHORARRAY( $CZ$29), _xlfn.XLOOKUP($EZ31,_xlfn.ANCHORARRAY( $CY$30), $CZ$30:$DC$34)) * _xlfn.XLOOKUP(FI$14,_xlfn.ANCHORARRAY( $CZ$29), _xlfn.XLOOKUP($FA31,_xlfn.ANCHORARRAY( $CY$30), $CZ$30:$DC$34))</f>
        <v>-7.4780532650518504E-3</v>
      </c>
      <c r="FJ31" s="10" cm="1">
        <f t="array" aca="1" ref="FJ31" ca="1">EN31 * _xlfn.XLOOKUP(FJ$13,_xlfn.ANCHORARRAY( $CZ$29), _xlfn.XLOOKUP($EZ31,_xlfn.ANCHORARRAY( $CY$30), $CZ$30:$DC$34)) * _xlfn.XLOOKUP(FJ$14,_xlfn.ANCHORARRAY( $CZ$29), _xlfn.XLOOKUP($FA31,_xlfn.ANCHORARRAY( $CY$30), $CZ$30:$DC$34))</f>
        <v>-4.2392792792996057E-4</v>
      </c>
      <c r="FK31" s="10" cm="1">
        <f t="array" aca="1" ref="FK31" ca="1">EO31 * _xlfn.XLOOKUP(FK$13,_xlfn.ANCHORARRAY( $CZ$29), _xlfn.XLOOKUP($EZ31,_xlfn.ANCHORARRAY( $CY$30), $CZ$30:$DC$34)) * _xlfn.XLOOKUP(FK$14,_xlfn.ANCHORARRAY( $CZ$29), _xlfn.XLOOKUP($FA31,_xlfn.ANCHORARRAY( $CY$30), $CZ$30:$DC$34))</f>
        <v>-1.0534652126237219E-2</v>
      </c>
      <c r="FL31" s="10" cm="1">
        <f t="array" aca="1" ref="FL31" ca="1">EP31 * _xlfn.XLOOKUP(FL$13,_xlfn.ANCHORARRAY( $CZ$29), _xlfn.XLOOKUP($EZ31,_xlfn.ANCHORARRAY( $CY$30), $CZ$30:$DC$34)) * _xlfn.XLOOKUP(FL$14,_xlfn.ANCHORARRAY( $CZ$29), _xlfn.XLOOKUP($FA31,_xlfn.ANCHORARRAY( $CY$30), $CZ$30:$DC$34))</f>
        <v>-4.9848148042895288E-3</v>
      </c>
      <c r="FM31" s="10" cm="1">
        <f t="array" aca="1" ref="FM31" ca="1">EQ31 * _xlfn.XLOOKUP(FM$13,_xlfn.ANCHORARRAY( $CZ$29), _xlfn.XLOOKUP($EZ31,_xlfn.ANCHORARRAY( $CY$30), $CZ$30:$DC$34)) * _xlfn.XLOOKUP(FM$14,_xlfn.ANCHORARRAY( $CZ$29), _xlfn.XLOOKUP($FA31,_xlfn.ANCHORARRAY( $CY$30), $CZ$30:$DC$34))</f>
        <v>-4.9848148042895288E-3</v>
      </c>
      <c r="FN31" s="10" cm="1">
        <f t="array" aca="1" ref="FN31" ca="1">ER31 * _xlfn.XLOOKUP(FN$13,_xlfn.ANCHORARRAY( $CZ$29), _xlfn.XLOOKUP($EZ31,_xlfn.ANCHORARRAY( $CY$30), $CZ$30:$DC$34)) * _xlfn.XLOOKUP(FN$14,_xlfn.ANCHORARRAY( $CZ$29), _xlfn.XLOOKUP($FA31,_xlfn.ANCHORARRAY( $CY$30), $CZ$30:$DC$34))</f>
        <v>5.3553154384223707E-3</v>
      </c>
      <c r="FO31" s="10" cm="1">
        <f t="array" aca="1" ref="FO31" ca="1">ES31 * _xlfn.XLOOKUP(FO$13,_xlfn.ANCHORARRAY( $CZ$29), _xlfn.XLOOKUP($EZ31,_xlfn.ANCHORARRAY( $CY$30), $CZ$30:$DC$34)) * _xlfn.XLOOKUP(FO$14,_xlfn.ANCHORARRAY( $CZ$29), _xlfn.XLOOKUP($FA31,_xlfn.ANCHORARRAY( $CY$30), $CZ$30:$DC$34))</f>
        <v>-3.2518253618924298E-2</v>
      </c>
      <c r="FP31" s="10" cm="1">
        <f t="array" aca="1" ref="FP31" ca="1">ET31 * _xlfn.XLOOKUP(FP$13,_xlfn.ANCHORARRAY( $CZ$29), _xlfn.XLOOKUP($EZ31,_xlfn.ANCHORARRAY( $CY$30), $CZ$30:$DC$34)) * _xlfn.XLOOKUP(FP$14,_xlfn.ANCHORARRAY( $CZ$29), _xlfn.XLOOKUP($FA31,_xlfn.ANCHORARRAY( $CY$30), $CZ$30:$DC$34))</f>
        <v>-2.8041596602929597E-3</v>
      </c>
      <c r="FQ31" s="10" cm="1">
        <f t="array" aca="1" ref="FQ31" ca="1">EU31 * _xlfn.XLOOKUP(FQ$13,_xlfn.ANCHORARRAY( $CZ$29), _xlfn.XLOOKUP($EZ31,_xlfn.ANCHORARRAY( $CY$30), $CZ$30:$DC$34)) * _xlfn.XLOOKUP(FQ$14,_xlfn.ANCHORARRAY( $CZ$29), _xlfn.XLOOKUP($FA31,_xlfn.ANCHORARRAY( $CY$30), $CZ$30:$DC$34))</f>
        <v>-2.8041596602929597E-3</v>
      </c>
      <c r="FT31" cm="1">
        <f t="array" aca="1" ref="FT31" ca="1">SQRT(SUM((FB31:FQ31)^2))</f>
        <v>6.12656259156521E-2</v>
      </c>
    </row>
    <row r="32" spans="1:176" x14ac:dyDescent="0.2">
      <c r="D32" s="10">
        <f ca="1"/>
        <v>18</v>
      </c>
      <c r="F32" s="10">
        <f ca="1"/>
        <v>0.33333333333333331</v>
      </c>
      <c r="H32" s="10"/>
      <c r="J32" cm="1">
        <f t="array" aca="1" ref="J32" ca="1">SUMPRODUCT((O32:AJ32=$O$11:$AJ$11)*(O$13:AJ$13=TRUE))  / COUNTIF(O$13:AJ$13,TRUE)</f>
        <v>0.4</v>
      </c>
      <c r="K32" t="b">
        <f t="shared" ca="1" si="3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4"/>
        <v>1</v>
      </c>
      <c r="N32" s="2">
        <v>17</v>
      </c>
      <c r="O32" s="12" t="s">
        <v>0</v>
      </c>
      <c r="P32" s="9" t="s">
        <v>1</v>
      </c>
      <c r="Q32" s="9" t="s">
        <v>1</v>
      </c>
      <c r="R32" s="9" t="s">
        <v>1</v>
      </c>
      <c r="S32" s="9" t="s">
        <v>1</v>
      </c>
      <c r="AN32">
        <f t="shared" ca="1" si="5"/>
        <v>3</v>
      </c>
      <c r="AO32" s="14">
        <f t="shared" ca="1" si="6"/>
        <v>0.33333333333333331</v>
      </c>
      <c r="AP32" s="2">
        <f ca="1"/>
        <v>18</v>
      </c>
      <c r="AQ32" cm="1">
        <f t="array" aca="1" ref="AQ32" ca="1">IF($AP32=AQ$14, 1, SUMPRODUCT(
    --(OFFSET($O$13,0,0,1,$B$9)=TRUE),
    --(INDEX(OFFSET($O$15,0,0,$B$8,$B$9), 1+$AP32, 0) = INDEX(OFFSET($O$15,0,0,$B$8,$B$9), 1+AQ$14, 0))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
) / $B$13)</f>
        <v>0.2</v>
      </c>
      <c r="AS32" cm="1">
        <f t="array" aca="1" ref="AS32" ca="1">IF($AP32=AS$14, 1, SUMPRODUCT(
    --(OFFSET($O$13,0,0,1,$B$9)=TRUE),
    --(INDEX(OFFSET($O$15,0,0,$B$8,$B$9), 1+$AP32, 0) = INDEX(OFFSET($O$15,0,0,$B$8,$B$9), 1+AS$14, 0))
) / $B$13)</f>
        <v>0</v>
      </c>
      <c r="AT32" cm="1">
        <f t="array" aca="1" ref="AT32" ca="1">IF($AP32=AT$14, 1, SUMPRODUCT(
    --(OFFSET($O$13,0,0,1,$B$9)=TRUE),
    --(INDEX(OFFSET($O$15,0,0,$B$8,$B$9), 1+$AP32, 0) = INDEX(OFFSET($O$15,0,0,$B$8,$B$9), 1+AT$14, 0))
) / $B$13)</f>
        <v>0.8</v>
      </c>
      <c r="AU32" cm="1">
        <f t="array" aca="1" ref="AU32" ca="1">IF($AP32=AU$14, 1, SUMPRODUCT(
    --(OFFSET($O$13,0,0,1,$B$9)=TRUE),
    --(INDEX(OFFSET($O$15,0,0,$B$8,$B$9), 1+$AP32, 0) = INDEX(OFFSET($O$15,0,0,$B$8,$B$9), 1+AU$14, 0))
) / $B$13)</f>
        <v>0.4</v>
      </c>
      <c r="AV32" cm="1">
        <f t="array" aca="1" ref="AV32" ca="1">IF($AP32=AV$14, 1, SUMPRODUCT(
    --(OFFSET($O$13,0,0,1,$B$9)=TRUE),
    --(INDEX(OFFSET($O$15,0,0,$B$8,$B$9), 1+$AP32, 0) = INDEX(OFFSET($O$15,0,0,$B$8,$B$9), 1+AV$14, 0))
) / $B$13)</f>
        <v>0.4</v>
      </c>
      <c r="AW32" cm="1">
        <f t="array" aca="1" ref="AW32" ca="1">IF($AP32=AW$14, 1, SUMPRODUCT(
    --(OFFSET($O$13,0,0,1,$B$9)=TRUE),
    --(INDEX(OFFSET($O$15,0,0,$B$8,$B$9), 1+$AP32, 0) = INDEX(OFFSET($O$15,0,0,$B$8,$B$9), 1+AW$14, 0))
) / $B$13)</f>
        <v>0.4</v>
      </c>
      <c r="AX32" cm="1">
        <f t="array" aca="1" ref="AX32" ca="1">IF($AP32=AX$14, 1, SUMPRODUCT(
    --(OFFSET($O$13,0,0,1,$B$9)=TRUE),
    --(INDEX(OFFSET($O$15,0,0,$B$8,$B$9), 1+$AP32, 0) = INDEX(OFFSET($O$15,0,0,$B$8,$B$9), 1+AX$14, 0))
) / $B$13)</f>
        <v>0.4</v>
      </c>
      <c r="AY32" cm="1">
        <f t="array" aca="1" ref="AY32" ca="1">IF($AP32=AY$14, 1, SUMPRODUCT(
    --(OFFSET($O$13,0,0,1,$B$9)=TRUE),
    --(INDEX(OFFSET($O$15,0,0,$B$8,$B$9), 1+$AP32, 0) = INDEX(OFFSET($O$15,0,0,$B$8,$B$9), 1+AY$14, 0))
) / $B$13)</f>
        <v>0</v>
      </c>
      <c r="AZ32" cm="1">
        <f t="array" aca="1" ref="AZ32" ca="1">IF($AP32=AZ$14, 1, SUMPRODUCT(
    --(OFFSET($O$13,0,0,1,$B$9)=TRUE),
    --(INDEX(OFFSET($O$15,0,0,$B$8,$B$9), 1+$AP32, 0) = INDEX(OFFSET($O$15,0,0,$B$8,$B$9), 1+AZ$14, 0))
) / $B$13)</f>
        <v>0</v>
      </c>
      <c r="BA32" cm="1">
        <f t="array" aca="1" ref="BA32" ca="1">IF($AP32=BA$14, 1, SUMPRODUCT(
    --(OFFSET($O$13,0,0,1,$B$9)=TRUE),
    --(INDEX(OFFSET($O$15,0,0,$B$8,$B$9), 1+$AP32, 0) = INDEX(OFFSET($O$15,0,0,$B$8,$B$9), 1+BA$14, 0))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
) / $B$13)</f>
        <v>0.8</v>
      </c>
      <c r="BC32" cm="1">
        <f t="array" aca="1" ref="BC32" ca="1">IF($AP32=BC$14, 1, SUMPRODUCT(
    --(OFFSET($O$13,0,0,1,$B$9)=TRUE),
    --(INDEX(OFFSET($O$15,0,0,$B$8,$B$9), 1+$AP32, 0) = INDEX(OFFSET($O$15,0,0,$B$8,$B$9), 1+BC$14, 0))
) / $B$13)</f>
        <v>0.4</v>
      </c>
      <c r="BD32" cm="1">
        <f t="array" aca="1" ref="BD32" ca="1">IF($AP32=BD$14, 1, SUMPRODUCT(
    --(OFFSET($O$13,0,0,1,$B$9)=TRUE),
    --(INDEX(OFFSET($O$15,0,0,$B$8,$B$9), 1+$AP32, 0) = INDEX(OFFSET($O$15,0,0,$B$8,$B$9), 1+BD$14, 0))
) / $B$13)</f>
        <v>0.4</v>
      </c>
      <c r="BE32" cm="1">
        <f t="array" aca="1" ref="BE32" ca="1">IF($AP32=BE$14, 1, SUMPRODUCT(
    --(OFFSET($O$13,0,0,1,$B$9)=TRUE),
    --(INDEX(OFFSET($O$15,0,0,$B$8,$B$9), 1+$AP32, 0) = INDEX(OFFSET($O$15,0,0,$B$8,$B$9), 1+BE$14, 0))
) / $B$13)</f>
        <v>0.4</v>
      </c>
      <c r="BF32" cm="1">
        <f t="array" aca="1" ref="BF32" ca="1">IF($AP32=BF$14, 1, SUMPRODUCT(
    --(OFFSET($O$13,0,0,1,$B$9)=TRUE),
    --(INDEX(OFFSET($O$15,0,0,$B$8,$B$9), 1+$AP32, 0) = INDEX(OFFSET($O$15,0,0,$B$8,$B$9), 1+BF$14, 0))
) / $B$13)</f>
        <v>0.4</v>
      </c>
      <c r="BG32" cm="1">
        <f t="array" aca="1" ref="BG32" ca="1">IF($AP32=BG$14, 1, SUMPRODUCT(
    --(OFFSET($O$13,0,0,1,$B$9)=TRUE),
    --(INDEX(OFFSET($O$15,0,0,$B$8,$B$9), 1+$AP32, 0) = INDEX(OFFSET($O$15,0,0,$B$8,$B$9), 1+BG$14, 0))
) / $B$13)</f>
        <v>0.4</v>
      </c>
      <c r="BH32" cm="1">
        <f t="array" aca="1" ref="BH32" ca="1">IF($AP32=BH$14, 1, SUMPRODUCT(
    --(OFFSET($O$13,0,0,1,$B$9)=TRUE),
    --(INDEX(OFFSET($O$15,0,0,$B$8,$B$9), 1+$AP32, 0) = INDEX(OFFSET($O$15,0,0,$B$8,$B$9), 1+BH$14, 0))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
) / $B$13)</f>
        <v>0.4</v>
      </c>
      <c r="BJ32" cm="1">
        <f t="array" aca="1" ref="BJ32" ca="1">IF($AP32=BJ$14, 1, SUMPRODUCT(
    --(OFFSET($O$13,0,0,1,$B$9)=TRUE),
    --(INDEX(OFFSET($O$15,0,0,$B$8,$B$9), 1+$AP32, 0) = INDEX(OFFSET($O$15,0,0,$B$8,$B$9), 1+BJ$14, 0))
) / $B$13)</f>
        <v>0.2</v>
      </c>
      <c r="BN32">
        <f t="shared" ca="1" si="7"/>
        <v>3</v>
      </c>
      <c r="BO32" s="14">
        <f t="shared" ca="1" si="8"/>
        <v>0.33333333333333331</v>
      </c>
      <c r="BP32" s="2">
        <f ca="1"/>
        <v>18</v>
      </c>
      <c r="BQ32" cm="1">
        <f t="array" aca="1" ref="BQ32" ca="1">IF($BP32=BQ$14, 1, SUMPRODUCT(
    --(OFFSET($O$9,0,0,1,$B$9)=TRUE),
    --(INDEX(OFFSET($O$15,0,0,$B$8,$B$9), 1+$BP32, 0) = INDEX(OFFSET($O$15,0,0,$B$8,$B$9), 1+BQ$14, 0))
) / $B$16)</f>
        <v>0.6</v>
      </c>
      <c r="BR32" cm="1">
        <f t="array" aca="1" ref="BR32" ca="1">IF($BP32=BR$14, 1, SUMPRODUCT(
    --(OFFSET($O$9,0,0,1,$B$9)=TRUE),
    --(INDEX(OFFSET($O$15,0,0,$B$8,$B$9), 1+$BP32, 0) = INDEX(OFFSET($O$15,0,0,$B$8,$B$9), 1+BR$14, 0))
) / $B$16)</f>
        <v>0.2</v>
      </c>
      <c r="BS32" cm="1">
        <f t="array" aca="1" ref="BS32" ca="1">IF($BP32=BS$14, 1, SUMPRODUCT(
    --(OFFSET($O$9,0,0,1,$B$9)=TRUE),
    --(INDEX(OFFSET($O$15,0,0,$B$8,$B$9), 1+$BP32, 0) = INDEX(OFFSET($O$15,0,0,$B$8,$B$9), 1+BS$14, 0))
) / $B$16)</f>
        <v>0</v>
      </c>
      <c r="BT32" cm="1">
        <f t="array" aca="1" ref="BT32" ca="1">IF($BP32=BT$14, 1, SUMPRODUCT(
    --(OFFSET($O$9,0,0,1,$B$9)=TRUE),
    --(INDEX(OFFSET($O$15,0,0,$B$8,$B$9), 1+$BP32, 0) = INDEX(OFFSET($O$15,0,0,$B$8,$B$9), 1+BT$14, 0))
) / $B$16)</f>
        <v>0.8</v>
      </c>
      <c r="BU32" cm="1">
        <f t="array" aca="1" ref="BU32" ca="1">IF($BP32=BU$14, 1, SUMPRODUCT(
    --(OFFSET($O$9,0,0,1,$B$9)=TRUE),
    --(INDEX(OFFSET($O$15,0,0,$B$8,$B$9), 1+$BP32, 0) = INDEX(OFFSET($O$15,0,0,$B$8,$B$9), 1+BU$14, 0))
) / $B$16)</f>
        <v>0.4</v>
      </c>
      <c r="BV32" cm="1">
        <f t="array" aca="1" ref="BV32" ca="1">IF($BP32=BV$14, 1, SUMPRODUCT(
    --(OFFSET($O$9,0,0,1,$B$9)=TRUE),
    --(INDEX(OFFSET($O$15,0,0,$B$8,$B$9), 1+$BP32, 0) = INDEX(OFFSET($O$15,0,0,$B$8,$B$9), 1+BV$14, 0))
) / $B$16)</f>
        <v>0.4</v>
      </c>
      <c r="BW32" cm="1">
        <f t="array" aca="1" ref="BW32" ca="1">IF($BP32=BW$14, 1, SUMPRODUCT(
    --(OFFSET($O$9,0,0,1,$B$9)=TRUE),
    --(INDEX(OFFSET($O$15,0,0,$B$8,$B$9), 1+$BP32, 0) = INDEX(OFFSET($O$15,0,0,$B$8,$B$9), 1+BW$14, 0))
) / $B$16)</f>
        <v>0.4</v>
      </c>
      <c r="BX32" cm="1">
        <f t="array" aca="1" ref="BX32" ca="1">IF($BP32=BX$14, 1, SUMPRODUCT(
    --(OFFSET($O$9,0,0,1,$B$9)=TRUE),
    --(INDEX(OFFSET($O$15,0,0,$B$8,$B$9), 1+$BP32, 0) = INDEX(OFFSET($O$15,0,0,$B$8,$B$9), 1+BX$14, 0))
) / $B$16)</f>
        <v>0.4</v>
      </c>
      <c r="BY32" cm="1">
        <f t="array" aca="1" ref="BY32" ca="1">IF($BP32=BY$14, 1, SUMPRODUCT(
    --(OFFSET($O$9,0,0,1,$B$9)=TRUE),
    --(INDEX(OFFSET($O$15,0,0,$B$8,$B$9), 1+$BP32, 0) = INDEX(OFFSET($O$15,0,0,$B$8,$B$9), 1+BY$14, 0))
) / $B$16)</f>
        <v>0</v>
      </c>
      <c r="BZ32" cm="1">
        <f t="array" aca="1" ref="BZ32" ca="1">IF($BP32=BZ$14, 1, SUMPRODUCT(
    --(OFFSET($O$9,0,0,1,$B$9)=TRUE),
    --(INDEX(OFFSET($O$15,0,0,$B$8,$B$9), 1+$BP32, 0) = INDEX(OFFSET($O$15,0,0,$B$8,$B$9), 1+BZ$14, 0))
) / $B$16)</f>
        <v>0</v>
      </c>
      <c r="CA32" cm="1">
        <f t="array" aca="1" ref="CA32" ca="1">IF($BP32=CA$14, 1, SUMPRODUCT(
    --(OFFSET($O$9,0,0,1,$B$9)=TRUE),
    --(INDEX(OFFSET($O$15,0,0,$B$8,$B$9), 1+$BP32, 0) = INDEX(OFFSET($O$15,0,0,$B$8,$B$9), 1+CA$14, 0))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
) / $B$16)</f>
        <v>0.8</v>
      </c>
      <c r="CC32" cm="1">
        <f t="array" aca="1" ref="CC32" ca="1">IF($BP32=CC$14, 1, SUMPRODUCT(
    --(OFFSET($O$9,0,0,1,$B$9)=TRUE),
    --(INDEX(OFFSET($O$15,0,0,$B$8,$B$9), 1+$BP32, 0) = INDEX(OFFSET($O$15,0,0,$B$8,$B$9), 1+CC$14, 0))
) / $B$16)</f>
        <v>0.4</v>
      </c>
      <c r="CD32" cm="1">
        <f t="array" aca="1" ref="CD32" ca="1">IF($BP32=CD$14, 1, SUMPRODUCT(
    --(OFFSET($O$9,0,0,1,$B$9)=TRUE),
    --(INDEX(OFFSET($O$15,0,0,$B$8,$B$9), 1+$BP32, 0) = INDEX(OFFSET($O$15,0,0,$B$8,$B$9), 1+CD$14, 0))
) / $B$16)</f>
        <v>0.4</v>
      </c>
      <c r="CE32" cm="1">
        <f t="array" aca="1" ref="CE32" ca="1">IF($BP32=CE$14, 1, SUMPRODUCT(
    --(OFFSET($O$9,0,0,1,$B$9)=TRUE),
    --(INDEX(OFFSET($O$15,0,0,$B$8,$B$9), 1+$BP32, 0) = INDEX(OFFSET($O$15,0,0,$B$8,$B$9), 1+CE$14, 0))
) / $B$16)</f>
        <v>0.4</v>
      </c>
      <c r="CF32" cm="1">
        <f t="array" aca="1" ref="CF32" ca="1">IF($BP32=CF$14, 1, SUMPRODUCT(
    --(OFFSET($O$9,0,0,1,$B$9)=TRUE),
    --(INDEX(OFFSET($O$15,0,0,$B$8,$B$9), 1+$BP32, 0) = INDEX(OFFSET($O$15,0,0,$B$8,$B$9), 1+CF$14, 0))
) / $B$16)</f>
        <v>0.4</v>
      </c>
      <c r="CG32" cm="1">
        <f t="array" aca="1" ref="CG32" ca="1">IF($BP32=CG$14, 1, SUMPRODUCT(
    --(OFFSET($O$9,0,0,1,$B$9)=TRUE),
    --(INDEX(OFFSET($O$15,0,0,$B$8,$B$9), 1+$BP32, 0) = INDEX(OFFSET($O$15,0,0,$B$8,$B$9), 1+CG$14, 0))
) / $B$16)</f>
        <v>0.4</v>
      </c>
      <c r="CH32" cm="1">
        <f t="array" aca="1" ref="CH32" ca="1">IF($BP32=CH$14, 1, SUMPRODUCT(
    --(OFFSET($O$9,0,0,1,$B$9)=TRUE),
    --(INDEX(OFFSET($O$15,0,0,$B$8,$B$9), 1+$BP32, 0) = INDEX(OFFSET($O$15,0,0,$B$8,$B$9), 1+CH$14, 0))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
) / $B$16)</f>
        <v>0.4</v>
      </c>
      <c r="CJ32" cm="1">
        <f t="array" aca="1" ref="CJ32" ca="1">IF($BP32=CJ$14, 1, SUMPRODUCT(
    --(OFFSET($O$9,0,0,1,$B$9)=TRUE),
    --(INDEX(OFFSET($O$15,0,0,$B$8,$B$9), 1+$BP32, 0) = INDEX(OFFSET($O$15,0,0,$B$8,$B$9), 1+CJ$14, 0))
) / $B$16)</f>
        <v>0.2</v>
      </c>
      <c r="CT32" s="1"/>
      <c r="CY32">
        <f ca="1"/>
        <v>2</v>
      </c>
      <c r="CZ32" s="10">
        <f t="shared" ca="1" si="12"/>
        <v>3.0953038374563167E-2</v>
      </c>
      <c r="DA32" s="10">
        <f t="shared" ca="1" si="11"/>
        <v>0.2510258113313153</v>
      </c>
      <c r="DB32" s="10">
        <f t="shared" ca="1" si="11"/>
        <v>-0.30615562148142439</v>
      </c>
      <c r="DC32" s="10">
        <f t="shared" ca="1" si="11"/>
        <v>-0.30615562148142439</v>
      </c>
      <c r="DF32" cm="1">
        <f t="array" aca="1" ref="DF32" ca="1">INDEX(_xlfn.ANCHORARRAY($CP$15), 1 + INT((ROWS($DG$15:$DG32) - 1) / ROWS(_xlfn.ANCHORARRAY($CP$15))))</f>
        <v>3</v>
      </c>
      <c r="DG32" cm="1">
        <f t="array" aca="1" ref="DG32" ca="1">INDEX(_xlfn.ANCHORARRAY($CP$15),1+MOD(ROWS($DG$15:$DG32)-1,ROWS(_xlfn.ANCHORARRAY($CP$15))))</f>
        <v>2</v>
      </c>
      <c r="DH32" s="10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$B$18/($B$19*$B$19*($DF32&lt;&gt;$DG32) + $B$19*($DF32=$DG32))</f>
        <v>8.9381818181818187E-2</v>
      </c>
      <c r="DI32" s="10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$B$18/($B$19*$B$19*($DF32&lt;&gt;$DG32) + $B$19*($DF32=$DG32))</f>
        <v>1.1999999999999999E-3</v>
      </c>
      <c r="DJ32" s="10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$B$18/($B$19*$B$19*($DF32&lt;&gt;$DG32) + $B$19*($DF32=$DG32))</f>
        <v>1.1999999999999999E-3</v>
      </c>
      <c r="DK32" s="10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$B$18/($B$19*$B$19*($DF32&lt;&gt;$DG32) + $B$19*($DF32=$DG32))</f>
        <v>1.1999999999999999E-3</v>
      </c>
      <c r="DL32" s="10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$B$18/($B$19*$B$19*($DF32&lt;&gt;$DG32) + $B$19*($DF32=$DG32))</f>
        <v>1.1999999999999999E-3</v>
      </c>
      <c r="DM32" s="10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$B$18/($B$19*$B$19*($DF32&lt;&gt;$DG32) + $B$19*($DF32=$DG32))</f>
        <v>8.9381818181818187E-2</v>
      </c>
      <c r="DN32" s="10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$B$18/($B$19*$B$19*($DF32&lt;&gt;$DG32) + $B$19*($DF32=$DG32))</f>
        <v>1.1999999999999999E-3</v>
      </c>
      <c r="DO32" s="10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$B$18/($B$19*$B$19*($DF32&lt;&gt;$DG32) + $B$19*($DF32=$DG32))</f>
        <v>1.1999999999999999E-3</v>
      </c>
      <c r="DP32" s="10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$B$18/($B$19*$B$19*($DF32&lt;&gt;$DG32) + $B$19*($DF32=$DG32))</f>
        <v>0.16286666666666666</v>
      </c>
      <c r="DQ32" s="10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$B$18/($B$19*$B$19*($DF32&lt;&gt;$DG32) + $B$19*($DF32=$DG32))</f>
        <v>1.1999999999999999E-3</v>
      </c>
      <c r="DR32" s="10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$B$18/($B$19*$B$19*($DF32&lt;&gt;$DG32) + $B$19*($DF32=$DG32))</f>
        <v>3.0593939393939392E-2</v>
      </c>
      <c r="DS32" s="10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$B$18/($B$19*$B$19*($DF32&lt;&gt;$DG32) + $B$19*($DF32=$DG32))</f>
        <v>0.16286666666666666</v>
      </c>
      <c r="DT32" s="10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$B$18/($B$19*$B$19*($DF32&lt;&gt;$DG32) + $B$19*($DF32=$DG32))</f>
        <v>1.1999999999999999E-3</v>
      </c>
      <c r="DU32" s="10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$B$18/($B$19*$B$19*($DF32&lt;&gt;$DG32) + $B$19*($DF32=$DG32))</f>
        <v>0.20695757575757576</v>
      </c>
      <c r="DV32" s="10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$B$18/($B$19*$B$19*($DF32&lt;&gt;$DG32) + $B$19*($DF32=$DG32))</f>
        <v>0.16286666666666666</v>
      </c>
      <c r="DW32" s="10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$B$18/($B$19*$B$19*($DF32&lt;&gt;$DG32) + $B$19*($DF32=$DG32))</f>
        <v>3.0593939393939392E-2</v>
      </c>
      <c r="ED32" cm="1">
        <f t="array" aca="1" ref="ED32" ca="1">INDEX(_xlfn.ANCHORARRAY($CP$15), 1 + INT((ROWS($DG$15:$DG32) - 1) / ROWS(_xlfn.ANCHORARRAY($CP$15))))</f>
        <v>3</v>
      </c>
      <c r="EE32" cm="1">
        <f t="array" aca="1" ref="EE32" ca="1">INDEX(_xlfn.ANCHORARRAY($CP$15),1+MOD(ROWS($DG$15:$DG32)-1,ROWS(_xlfn.ANCHORARRAY($CP$15))))</f>
        <v>2</v>
      </c>
      <c r="EF32" s="10" cm="1">
        <f t="array" aca="1" ref="EF32" ca="1">DH32-_xlfn.XLOOKUP(EF$13,_xlfn.ANCHORARRAY( $CR$14), _xlfn.XLOOKUP($ED32,_xlfn.ANCHORARRAY( $CP$15), $CR$15:$CU$19)) * _xlfn.XLOOKUP(EF$14,_xlfn.ANCHORARRAY( $CR$14), _xlfn.XLOOKUP($EE32,_xlfn.ANCHORARRAY( $CP$15), $CR$15:$CU$19))</f>
        <v>6.528554269972453E-2</v>
      </c>
      <c r="EG32" s="10" cm="1">
        <f t="array" aca="1" ref="EG32" ca="1">DI32-_xlfn.XLOOKUP(EG$13,_xlfn.ANCHORARRAY( $CR$14), _xlfn.XLOOKUP($ED32,_xlfn.ANCHORARRAY( $CP$15), $CR$15:$CU$19)) * _xlfn.XLOOKUP(EG$14,_xlfn.ANCHORARRAY( $CR$14), _xlfn.XLOOKUP($EE32,_xlfn.ANCHORARRAY( $CP$15), $CR$15:$CU$19))</f>
        <v>-2.7048837465564735E-2</v>
      </c>
      <c r="EH32" s="10" cm="1">
        <f t="array" aca="1" ref="EH32" ca="1">DJ32-_xlfn.XLOOKUP(EH$13,_xlfn.ANCHORARRAY( $CR$14), _xlfn.XLOOKUP($ED32,_xlfn.ANCHORARRAY( $CP$15), $CR$15:$CU$19)) * _xlfn.XLOOKUP(EH$14,_xlfn.ANCHORARRAY( $CR$14), _xlfn.XLOOKUP($EE32,_xlfn.ANCHORARRAY( $CP$15), $CR$15:$CU$19))</f>
        <v>-1.7359526170798899E-2</v>
      </c>
      <c r="EI32" s="10" cm="1">
        <f t="array" aca="1" ref="EI32" ca="1">DK32-_xlfn.XLOOKUP(EI$13,_xlfn.ANCHORARRAY( $CR$14), _xlfn.XLOOKUP($ED32,_xlfn.ANCHORARRAY( $CP$15), $CR$15:$CU$19)) * _xlfn.XLOOKUP(EI$14,_xlfn.ANCHORARRAY( $CR$14), _xlfn.XLOOKUP($EE32,_xlfn.ANCHORARRAY( $CP$15), $CR$15:$CU$19))</f>
        <v>-1.7359526170798899E-2</v>
      </c>
      <c r="EJ32" s="10" cm="1">
        <f t="array" aca="1" ref="EJ32" ca="1">DL32-_xlfn.XLOOKUP(EJ$13,_xlfn.ANCHORARRAY( $CR$14), _xlfn.XLOOKUP($ED32,_xlfn.ANCHORARRAY( $CP$15), $CR$15:$CU$19)) * _xlfn.XLOOKUP(EJ$14,_xlfn.ANCHORARRAY( $CR$14), _xlfn.XLOOKUP($EE32,_xlfn.ANCHORARRAY( $CP$15), $CR$15:$CU$19))</f>
        <v>-2.2896275482093664E-2</v>
      </c>
      <c r="EK32" s="10" cm="1">
        <f t="array" aca="1" ref="EK32" ca="1">DM32-_xlfn.XLOOKUP(EK$13,_xlfn.ANCHORARRAY( $CR$14), _xlfn.XLOOKUP($ED32,_xlfn.ANCHORARRAY( $CP$15), $CR$15:$CU$19)) * _xlfn.XLOOKUP(EK$14,_xlfn.ANCHORARRAY( $CR$14), _xlfn.XLOOKUP($EE32,_xlfn.ANCHORARRAY( $CP$15), $CR$15:$CU$19))</f>
        <v>6.1132980716253449E-2</v>
      </c>
      <c r="EL32" s="10" cm="1">
        <f t="array" aca="1" ref="EL32" ca="1">DN32-_xlfn.XLOOKUP(EL$13,_xlfn.ANCHORARRAY( $CR$14), _xlfn.XLOOKUP($ED32,_xlfn.ANCHORARRAY( $CP$15), $CR$15:$CU$19)) * _xlfn.XLOOKUP(EL$14,_xlfn.ANCHORARRAY( $CR$14), _xlfn.XLOOKUP($EE32,_xlfn.ANCHORARRAY( $CP$15), $CR$15:$CU$19))</f>
        <v>-1.7359526170798899E-2</v>
      </c>
      <c r="EM32" s="10" cm="1">
        <f t="array" aca="1" ref="EM32" ca="1">DO32-_xlfn.XLOOKUP(EM$13,_xlfn.ANCHORARRAY( $CR$14), _xlfn.XLOOKUP($ED32,_xlfn.ANCHORARRAY( $CP$15), $CR$15:$CU$19)) * _xlfn.XLOOKUP(EM$14,_xlfn.ANCHORARRAY( $CR$14), _xlfn.XLOOKUP($EE32,_xlfn.ANCHORARRAY( $CP$15), $CR$15:$CU$19))</f>
        <v>-1.7359526170798899E-2</v>
      </c>
      <c r="EN32" s="10" cm="1">
        <f t="array" aca="1" ref="EN32" ca="1">DP32-_xlfn.XLOOKUP(EN$13,_xlfn.ANCHORARRAY( $CR$14), _xlfn.XLOOKUP($ED32,_xlfn.ANCHORARRAY( $CP$15), $CR$15:$CU$19)) * _xlfn.XLOOKUP(EN$14,_xlfn.ANCHORARRAY( $CR$14), _xlfn.XLOOKUP($EE32,_xlfn.ANCHORARRAY( $CP$15), $CR$15:$CU$19))</f>
        <v>7.1086837465564739E-2</v>
      </c>
      <c r="EO32" s="10" cm="1">
        <f t="array" aca="1" ref="EO32" ca="1">DQ32-_xlfn.XLOOKUP(EO$13,_xlfn.ANCHORARRAY( $CR$14), _xlfn.XLOOKUP($ED32,_xlfn.ANCHORARRAY( $CP$15), $CR$15:$CU$19)) * _xlfn.XLOOKUP(EO$14,_xlfn.ANCHORARRAY( $CR$14), _xlfn.XLOOKUP($EE32,_xlfn.ANCHORARRAY( $CP$15), $CR$15:$CU$19))</f>
        <v>-0.10639644077134984</v>
      </c>
      <c r="EP32" s="10" cm="1">
        <f t="array" aca="1" ref="EP32" ca="1">DR32-_xlfn.XLOOKUP(EP$13,_xlfn.ANCHORARRAY( $CR$14), _xlfn.XLOOKUP($ED32,_xlfn.ANCHORARRAY( $CP$15), $CR$15:$CU$19)) * _xlfn.XLOOKUP(EP$14,_xlfn.ANCHORARRAY( $CR$14), _xlfn.XLOOKUP($EE32,_xlfn.ANCHORARRAY( $CP$15), $CR$15:$CU$19))</f>
        <v>-4.0097074380165285E-2</v>
      </c>
      <c r="EQ32" s="10" cm="1">
        <f t="array" aca="1" ref="EQ32" ca="1">DS32-_xlfn.XLOOKUP(EQ$13,_xlfn.ANCHORARRAY( $CR$14), _xlfn.XLOOKUP($ED32,_xlfn.ANCHORARRAY( $CP$15), $CR$15:$CU$19)) * _xlfn.XLOOKUP(EQ$14,_xlfn.ANCHORARRAY( $CR$14), _xlfn.XLOOKUP($EE32,_xlfn.ANCHORARRAY( $CP$15), $CR$15:$CU$19))</f>
        <v>9.2175652892561979E-2</v>
      </c>
      <c r="ER32" s="10" cm="1">
        <f t="array" aca="1" ref="ER32" ca="1">DT32-_xlfn.XLOOKUP(ER$13,_xlfn.ANCHORARRAY( $CR$14), _xlfn.XLOOKUP($ED32,_xlfn.ANCHORARRAY( $CP$15), $CR$15:$CU$19)) * _xlfn.XLOOKUP(ER$14,_xlfn.ANCHORARRAY( $CR$14), _xlfn.XLOOKUP($EE32,_xlfn.ANCHORARRAY( $CP$15), $CR$15:$CU$19))</f>
        <v>-0.11314101377410465</v>
      </c>
      <c r="ES32" s="10" cm="1">
        <f t="array" aca="1" ref="ES32" ca="1">DU32-_xlfn.XLOOKUP(ES$13,_xlfn.ANCHORARRAY( $CR$14), _xlfn.XLOOKUP($ED32,_xlfn.ANCHORARRAY( $CP$15), $CR$15:$CU$19)) * _xlfn.XLOOKUP(ES$14,_xlfn.ANCHORARRAY( $CR$14), _xlfn.XLOOKUP($EE32,_xlfn.ANCHORARRAY( $CP$15), $CR$15:$CU$19))</f>
        <v>7.2911933884297564E-2</v>
      </c>
      <c r="ET32" s="10" cm="1">
        <f t="array" aca="1" ref="ET32" ca="1">DV32-_xlfn.XLOOKUP(ET$13,_xlfn.ANCHORARRAY( $CR$14), _xlfn.XLOOKUP($ED32,_xlfn.ANCHORARRAY( $CP$15), $CR$15:$CU$19)) * _xlfn.XLOOKUP(ET$14,_xlfn.ANCHORARRAY( $CR$14), _xlfn.XLOOKUP($EE32,_xlfn.ANCHORARRAY( $CP$15), $CR$15:$CU$19))</f>
        <v>7.4798490358126732E-2</v>
      </c>
      <c r="EU32" s="10" cm="1">
        <f t="array" aca="1" ref="EU32" ca="1">DW32-_xlfn.XLOOKUP(EU$13,_xlfn.ANCHORARRAY( $CR$14), _xlfn.XLOOKUP($ED32,_xlfn.ANCHORARRAY( $CP$15), $CR$15:$CU$19)) * _xlfn.XLOOKUP(EU$14,_xlfn.ANCHORARRAY( $CR$14), _xlfn.XLOOKUP($EE32,_xlfn.ANCHORARRAY( $CP$15), $CR$15:$CU$19))</f>
        <v>-5.7474236914600532E-2</v>
      </c>
      <c r="EZ32" cm="1">
        <f t="array" aca="1" ref="EZ32" ca="1">INDEX(_xlfn.ANCHORARRAY($CP$15), 1 + INT((ROWS($DG$15:$DG32) - 1) / ROWS(_xlfn.ANCHORARRAY($CP$15))))</f>
        <v>3</v>
      </c>
      <c r="FA32" cm="1">
        <f t="array" aca="1" ref="FA32" ca="1">INDEX(_xlfn.ANCHORARRAY($CP$15),1+MOD(ROWS($DG$15:$DG32)-1,ROWS(_xlfn.ANCHORARRAY($CP$15))))</f>
        <v>2</v>
      </c>
      <c r="FB32" s="10" cm="1">
        <f t="array" aca="1" ref="FB32" ca="1">EF32 * _xlfn.XLOOKUP(FB$13,_xlfn.ANCHORARRAY( $CZ$29), _xlfn.XLOOKUP($EZ32,_xlfn.ANCHORARRAY( $CY$30), $CZ$30:$DC$34)) * _xlfn.XLOOKUP(FB$14,_xlfn.ANCHORARRAY( $CZ$29), _xlfn.XLOOKUP($FA32,_xlfn.ANCHORARRAY( $CY$30), $CZ$30:$DC$34))</f>
        <v>-2.3542138958200409E-3</v>
      </c>
      <c r="FC32" s="10" cm="1">
        <f t="array" aca="1" ref="FC32" ca="1">EG32 * _xlfn.XLOOKUP(FC$13,_xlfn.ANCHORARRAY( $CZ$29), _xlfn.XLOOKUP($EZ32,_xlfn.ANCHORARRAY( $CY$30), $CZ$30:$DC$34)) * _xlfn.XLOOKUP(FC$14,_xlfn.ANCHORARRAY( $CZ$29), _xlfn.XLOOKUP($FA32,_xlfn.ANCHORARRAY( $CY$30), $CZ$30:$DC$34))</f>
        <v>7.9102935011423538E-3</v>
      </c>
      <c r="FD32" s="10" cm="1">
        <f t="array" aca="1" ref="FD32" ca="1">EH32 * _xlfn.XLOOKUP(FD$13,_xlfn.ANCHORARRAY( $CZ$29), _xlfn.XLOOKUP($EZ32,_xlfn.ANCHORARRAY( $CY$30), $CZ$30:$DC$34)) * _xlfn.XLOOKUP(FD$14,_xlfn.ANCHORARRAY( $CZ$29), _xlfn.XLOOKUP($FA32,_xlfn.ANCHORARRAY( $CY$30), $CZ$30:$DC$34))</f>
        <v>-6.1916403114634228E-3</v>
      </c>
      <c r="FE32" s="10" cm="1">
        <f t="array" aca="1" ref="FE32" ca="1">EI32 * _xlfn.XLOOKUP(FE$13,_xlfn.ANCHORARRAY( $CZ$29), _xlfn.XLOOKUP($EZ32,_xlfn.ANCHORARRAY( $CY$30), $CZ$30:$DC$34)) * _xlfn.XLOOKUP(FE$14,_xlfn.ANCHORARRAY( $CZ$29), _xlfn.XLOOKUP($FA32,_xlfn.ANCHORARRAY( $CY$30), $CZ$30:$DC$34))</f>
        <v>-6.1916403114634228E-3</v>
      </c>
      <c r="FF32" s="10" cm="1">
        <f t="array" aca="1" ref="FF32" ca="1">EJ32 * _xlfn.XLOOKUP(FF$13,_xlfn.ANCHORARRAY( $CZ$29), _xlfn.XLOOKUP($EZ32,_xlfn.ANCHORARRAY( $CY$30), $CZ$30:$DC$34)) * _xlfn.XLOOKUP(FF$14,_xlfn.ANCHORARRAY( $CZ$29), _xlfn.XLOOKUP($FA32,_xlfn.ANCHORARRAY( $CY$30), $CZ$30:$DC$34))</f>
        <v>8.2564573523405882E-4</v>
      </c>
      <c r="FG32" s="10" cm="1">
        <f t="array" aca="1" ref="FG32" ca="1">EK32 * _xlfn.XLOOKUP(FG$13,_xlfn.ANCHORARRAY( $CZ$29), _xlfn.XLOOKUP($EZ32,_xlfn.ANCHORARRAY( $CY$30), $CZ$30:$DC$34)) * _xlfn.XLOOKUP(FG$14,_xlfn.ANCHORARRAY( $CZ$29), _xlfn.XLOOKUP($FA32,_xlfn.ANCHORARRAY( $CY$30), $CZ$30:$DC$34))</f>
        <v>-1.7878026021668218E-2</v>
      </c>
      <c r="FH32" s="10" cm="1">
        <f t="array" aca="1" ref="FH32" ca="1">EL32 * _xlfn.XLOOKUP(FH$13,_xlfn.ANCHORARRAY( $CZ$29), _xlfn.XLOOKUP($EZ32,_xlfn.ANCHORARRAY( $CY$30), $CZ$30:$DC$34)) * _xlfn.XLOOKUP(FH$14,_xlfn.ANCHORARRAY( $CZ$29), _xlfn.XLOOKUP($FA32,_xlfn.ANCHORARRAY( $CY$30), $CZ$30:$DC$34))</f>
        <v>-6.1916403114634228E-3</v>
      </c>
      <c r="FI32" s="10" cm="1">
        <f t="array" aca="1" ref="FI32" ca="1">EM32 * _xlfn.XLOOKUP(FI$13,_xlfn.ANCHORARRAY( $CZ$29), _xlfn.XLOOKUP($EZ32,_xlfn.ANCHORARRAY( $CY$30), $CZ$30:$DC$34)) * _xlfn.XLOOKUP(FI$14,_xlfn.ANCHORARRAY( $CZ$29), _xlfn.XLOOKUP($FA32,_xlfn.ANCHORARRAY( $CY$30), $CZ$30:$DC$34))</f>
        <v>-6.1916403114634228E-3</v>
      </c>
      <c r="FJ32" s="10" cm="1">
        <f t="array" aca="1" ref="FJ32" ca="1">EN32 * _xlfn.XLOOKUP(FJ$13,_xlfn.ANCHORARRAY( $CZ$29), _xlfn.XLOOKUP($EZ32,_xlfn.ANCHORARRAY( $CY$30), $CZ$30:$DC$34)) * _xlfn.XLOOKUP(FJ$14,_xlfn.ANCHORARRAY( $CZ$29), _xlfn.XLOOKUP($FA32,_xlfn.ANCHORARRAY( $CY$30), $CZ$30:$DC$34))</f>
        <v>1.1391667716850549E-3</v>
      </c>
      <c r="FK32" s="10" cm="1">
        <f t="array" aca="1" ref="FK32" ca="1">EO32 * _xlfn.XLOOKUP(FK$13,_xlfn.ANCHORARRAY( $CZ$29), _xlfn.XLOOKUP($EZ32,_xlfn.ANCHORARRAY( $CY$30), $CZ$30:$DC$34)) * _xlfn.XLOOKUP(FK$14,_xlfn.ANCHORARRAY( $CZ$29), _xlfn.XLOOKUP($FA32,_xlfn.ANCHORARRAY( $CY$30), $CZ$30:$DC$34))</f>
        <v>-1.3827393054327491E-2</v>
      </c>
      <c r="FL32" s="10" cm="1">
        <f t="array" aca="1" ref="FL32" ca="1">EP32 * _xlfn.XLOOKUP(FL$13,_xlfn.ANCHORARRAY( $CZ$29), _xlfn.XLOOKUP($EZ32,_xlfn.ANCHORARRAY( $CY$30), $CZ$30:$DC$34)) * _xlfn.XLOOKUP(FL$14,_xlfn.ANCHORARRAY( $CZ$29), _xlfn.XLOOKUP($FA32,_xlfn.ANCHORARRAY( $CY$30), $CZ$30:$DC$34))</f>
        <v>6.3555004398288904E-3</v>
      </c>
      <c r="FM32" s="10" cm="1">
        <f t="array" aca="1" ref="FM32" ca="1">EQ32 * _xlfn.XLOOKUP(FM$13,_xlfn.ANCHORARRAY( $CZ$29), _xlfn.XLOOKUP($EZ32,_xlfn.ANCHORARRAY( $CY$30), $CZ$30:$DC$34)) * _xlfn.XLOOKUP(FM$14,_xlfn.ANCHORARRAY( $CZ$29), _xlfn.XLOOKUP($FA32,_xlfn.ANCHORARRAY( $CY$30), $CZ$30:$DC$34))</f>
        <v>-1.4610103394226191E-2</v>
      </c>
      <c r="FN32" s="10" cm="1">
        <f t="array" aca="1" ref="FN32" ca="1">ER32 * _xlfn.XLOOKUP(FN$13,_xlfn.ANCHORARRAY( $CZ$29), _xlfn.XLOOKUP($EZ32,_xlfn.ANCHORARRAY( $CY$30), $CZ$30:$DC$34)) * _xlfn.XLOOKUP(FN$14,_xlfn.ANCHORARRAY( $CZ$29), _xlfn.XLOOKUP($FA32,_xlfn.ANCHORARRAY( $CY$30), $CZ$30:$DC$34))</f>
        <v>-3.1008802418647299E-3</v>
      </c>
      <c r="FO32" s="10" cm="1">
        <f t="array" aca="1" ref="FO32" ca="1">ES32 * _xlfn.XLOOKUP(FO$13,_xlfn.ANCHORARRAY( $CZ$29), _xlfn.XLOOKUP($EZ32,_xlfn.ANCHORARRAY( $CY$30), $CZ$30:$DC$34)) * _xlfn.XLOOKUP(FO$14,_xlfn.ANCHORARRAY( $CZ$29), _xlfn.XLOOKUP($FA32,_xlfn.ANCHORARRAY( $CY$30), $CZ$30:$DC$34))</f>
        <v>1.6206104638310185E-2</v>
      </c>
      <c r="FP32" s="10" cm="1">
        <f t="array" aca="1" ref="FP32" ca="1">ET32 * _xlfn.XLOOKUP(FP$13,_xlfn.ANCHORARRAY( $CZ$29), _xlfn.XLOOKUP($EZ32,_xlfn.ANCHORARRAY( $CY$30), $CZ$30:$DC$34)) * _xlfn.XLOOKUP(FP$14,_xlfn.ANCHORARRAY( $CZ$29), _xlfn.XLOOKUP($FA32,_xlfn.ANCHORARRAY( $CY$30), $CZ$30:$DC$34))</f>
        <v>-2.0276673713962141E-2</v>
      </c>
      <c r="FQ32" s="10" cm="1">
        <f t="array" aca="1" ref="FQ32" ca="1">EU32 * _xlfn.XLOOKUP(FQ$13,_xlfn.ANCHORARRAY( $CZ$29), _xlfn.XLOOKUP($EZ32,_xlfn.ANCHORARRAY( $CY$30), $CZ$30:$DC$34)) * _xlfn.XLOOKUP(FQ$14,_xlfn.ANCHORARRAY( $CZ$29), _xlfn.XLOOKUP($FA32,_xlfn.ANCHORARRAY( $CY$30), $CZ$30:$DC$34))</f>
        <v>1.558034585051884E-2</v>
      </c>
      <c r="FT32" cm="1">
        <f t="array" aca="1" ref="FT32" ca="1">SQRT(SUM((FB32:FQ32)^2))</f>
        <v>4.3752167681486688E-2</v>
      </c>
    </row>
    <row r="33" spans="4:176" x14ac:dyDescent="0.2">
      <c r="D33" s="10">
        <f ca="1"/>
        <v>19</v>
      </c>
      <c r="F33" s="10">
        <f ca="1"/>
        <v>0.33333333333333331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3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4"/>
        <v>1</v>
      </c>
      <c r="N33" s="2">
        <v>18</v>
      </c>
      <c r="O33" s="12" t="s">
        <v>0</v>
      </c>
      <c r="P33" s="9" t="s">
        <v>1</v>
      </c>
      <c r="Q33" s="9" t="s">
        <v>2</v>
      </c>
      <c r="R33" s="9" t="s">
        <v>2</v>
      </c>
      <c r="S33" s="9" t="s">
        <v>2</v>
      </c>
      <c r="AN33">
        <f t="shared" ca="1" si="5"/>
        <v>3</v>
      </c>
      <c r="AO33" s="14">
        <f t="shared" ca="1" si="6"/>
        <v>0.33333333333333331</v>
      </c>
      <c r="AP33" s="2">
        <f ca="1"/>
        <v>19</v>
      </c>
      <c r="AQ33" cm="1">
        <f t="array" aca="1" ref="AQ33" ca="1">IF($AP33=AQ$14, 1, SUMPRODUCT(
    --(OFFSET($O$13,0,0,1,$B$9)=TRUE),
    --(INDEX(OFFSET($O$15,0,0,$B$8,$B$9), 1+$AP33, 0) = INDEX(OFFSET($O$15,0,0,$B$8,$B$9), 1+AQ$14, 0))
) / $B$13)</f>
        <v>0.8</v>
      </c>
      <c r="AR33" cm="1">
        <f t="array" aca="1" ref="AR33" ca="1">IF($AP33=AR$14, 1, SUMPRODUCT(
    --(OFFSET($O$13,0,0,1,$B$9)=TRUE),
    --(INDEX(OFFSET($O$15,0,0,$B$8,$B$9), 1+$AP33, 0) = INDEX(OFFSET($O$15,0,0,$B$8,$B$9), 1+AR$14, 0))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
) / $B$13)</f>
        <v>0.6</v>
      </c>
      <c r="AU33" cm="1">
        <f t="array" aca="1" ref="AU33" ca="1">IF($AP33=AU$14, 1, SUMPRODUCT(
    --(OFFSET($O$13,0,0,1,$B$9)=TRUE),
    --(INDEX(OFFSET($O$15,0,0,$B$8,$B$9), 1+$AP33, 0) = INDEX(OFFSET($O$15,0,0,$B$8,$B$9), 1+AU$14, 0))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
) / $B$13)</f>
        <v>0.2</v>
      </c>
      <c r="AW33" cm="1">
        <f t="array" aca="1" ref="AW33" ca="1">IF($AP33=AW$14, 1, SUMPRODUCT(
    --(OFFSET($O$13,0,0,1,$B$9)=TRUE),
    --(INDEX(OFFSET($O$15,0,0,$B$8,$B$9), 1+$AP33, 0) = INDEX(OFFSET($O$15,0,0,$B$8,$B$9), 1+AW$14, 0))
) / $B$13)</f>
        <v>0.2</v>
      </c>
      <c r="AX33" cm="1">
        <f t="array" aca="1" ref="AX33" ca="1">IF($AP33=AX$14, 1, SUMPRODUCT(
    --(OFFSET($O$13,0,0,1,$B$9)=TRUE),
    --(INDEX(OFFSET($O$15,0,0,$B$8,$B$9), 1+$AP33, 0) = INDEX(OFFSET($O$15,0,0,$B$8,$B$9), 1+AX$14, 0))
) / $B$13)</f>
        <v>0.8</v>
      </c>
      <c r="AY33" cm="1">
        <f t="array" aca="1" ref="AY33" ca="1">IF($AP33=AY$14, 1, SUMPRODUCT(
    --(OFFSET($O$13,0,0,1,$B$9)=TRUE),
    --(INDEX(OFFSET($O$15,0,0,$B$8,$B$9), 1+$AP33, 0) = INDEX(OFFSET($O$15,0,0,$B$8,$B$9), 1+AY$14, 0))
) / $B$13)</f>
        <v>0.4</v>
      </c>
      <c r="AZ33" cm="1">
        <f t="array" aca="1" ref="AZ33" ca="1">IF($AP33=AZ$14, 1, SUMPRODUCT(
    --(OFFSET($O$13,0,0,1,$B$9)=TRUE),
    --(INDEX(OFFSET($O$15,0,0,$B$8,$B$9), 1+$AP33, 0) = INDEX(OFFSET($O$15,0,0,$B$8,$B$9), 1+AZ$14, 0))
) / $B$13)</f>
        <v>0.4</v>
      </c>
      <c r="BA33" cm="1">
        <f t="array" aca="1" ref="BA33" ca="1">IF($AP33=BA$14, 1, SUMPRODUCT(
    --(OFFSET($O$13,0,0,1,$B$9)=TRUE),
    --(INDEX(OFFSET($O$15,0,0,$B$8,$B$9), 1+$AP33, 0) = INDEX(OFFSET($O$15,0,0,$B$8,$B$9), 1+BA$14, 0))
) / $B$13)</f>
        <v>0.4</v>
      </c>
      <c r="BB33" cm="1">
        <f t="array" aca="1" ref="BB33" ca="1">IF($AP33=BB$14, 1, SUMPRODUCT(
    --(OFFSET($O$13,0,0,1,$B$9)=TRUE),
    --(INDEX(OFFSET($O$15,0,0,$B$8,$B$9), 1+$AP33, 0) = INDEX(OFFSET($O$15,0,0,$B$8,$B$9), 1+BB$14, 0))
) / $B$13)</f>
        <v>0.4</v>
      </c>
      <c r="BC33" cm="1">
        <f t="array" aca="1" ref="BC33" ca="1">IF($AP33=BC$14, 1, SUMPRODUCT(
    --(OFFSET($O$13,0,0,1,$B$9)=TRUE),
    --(INDEX(OFFSET($O$15,0,0,$B$8,$B$9), 1+$AP33, 0) = INDEX(OFFSET($O$15,0,0,$B$8,$B$9), 1+BC$14, 0))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
) / $B$13)</f>
        <v>0.4</v>
      </c>
      <c r="BG33" cm="1">
        <f t="array" aca="1" ref="BG33" ca="1">IF($AP33=BG$14, 1, SUMPRODUCT(
    --(OFFSET($O$13,0,0,1,$B$9)=TRUE),
    --(INDEX(OFFSET($O$15,0,0,$B$8,$B$9), 1+$AP33, 0) = INDEX(OFFSET($O$15,0,0,$B$8,$B$9), 1+BG$14, 0))
) / $B$13)</f>
        <v>0.4</v>
      </c>
      <c r="BH33" cm="1">
        <f t="array" aca="1" ref="BH33" ca="1">IF($AP33=BH$14, 1, SUMPRODUCT(
    --(OFFSET($O$13,0,0,1,$B$9)=TRUE),
    --(INDEX(OFFSET($O$15,0,0,$B$8,$B$9), 1+$AP33, 0) = INDEX(OFFSET($O$15,0,0,$B$8,$B$9), 1+BH$14, 0))
) / $B$13)</f>
        <v>0.4</v>
      </c>
      <c r="BI33" cm="1">
        <f t="array" aca="1" ref="BI33" ca="1">IF($AP33=BI$14, 1, SUMPRODUCT(
    --(OFFSET($O$13,0,0,1,$B$9)=TRUE),
    --(INDEX(OFFSET($O$15,0,0,$B$8,$B$9), 1+$AP33, 0) = INDEX(OFFSET($O$15,0,0,$B$8,$B$9), 1+BI$14, 0))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
) / $B$13)</f>
        <v>0.2</v>
      </c>
      <c r="BN33">
        <f t="shared" ca="1" si="7"/>
        <v>3</v>
      </c>
      <c r="BO33" s="14">
        <f t="shared" ca="1" si="8"/>
        <v>0.33333333333333331</v>
      </c>
      <c r="BP33" s="2">
        <f ca="1"/>
        <v>19</v>
      </c>
      <c r="BQ33" cm="1">
        <f t="array" aca="1" ref="BQ33" ca="1">IF($BP33=BQ$14, 1, SUMPRODUCT(
    --(OFFSET($O$9,0,0,1,$B$9)=TRUE),
    --(INDEX(OFFSET($O$15,0,0,$B$8,$B$9), 1+$BP33, 0) = INDEX(OFFSET($O$15,0,0,$B$8,$B$9), 1+BQ$14, 0))
) / $B$16)</f>
        <v>0.8</v>
      </c>
      <c r="BR33" cm="1">
        <f t="array" aca="1" ref="BR33" ca="1">IF($BP33=BR$14, 1, SUMPRODUCT(
    --(OFFSET($O$9,0,0,1,$B$9)=TRUE),
    --(INDEX(OFFSET($O$15,0,0,$B$8,$B$9), 1+$BP33, 0) = INDEX(OFFSET($O$15,0,0,$B$8,$B$9), 1+BR$14, 0))
) / $B$16)</f>
        <v>0.4</v>
      </c>
      <c r="BS33" cm="1">
        <f t="array" aca="1" ref="BS33" ca="1">IF($BP33=BS$14, 1, SUMPRODUCT(
    --(OFFSET($O$9,0,0,1,$B$9)=TRUE),
    --(INDEX(OFFSET($O$15,0,0,$B$8,$B$9), 1+$BP33, 0) = INDEX(OFFSET($O$15,0,0,$B$8,$B$9), 1+BS$14, 0))
) / $B$16)</f>
        <v>0.4</v>
      </c>
      <c r="BT33" cm="1">
        <f t="array" aca="1" ref="BT33" ca="1">IF($BP33=BT$14, 1, SUMPRODUCT(
    --(OFFSET($O$9,0,0,1,$B$9)=TRUE),
    --(INDEX(OFFSET($O$15,0,0,$B$8,$B$9), 1+$BP33, 0) = INDEX(OFFSET($O$15,0,0,$B$8,$B$9), 1+BT$14, 0))
) / $B$16)</f>
        <v>0.6</v>
      </c>
      <c r="BU33" cm="1">
        <f t="array" aca="1" ref="BU33" ca="1">IF($BP33=BU$14, 1, SUMPRODUCT(
    --(OFFSET($O$9,0,0,1,$B$9)=TRUE),
    --(INDEX(OFFSET($O$15,0,0,$B$8,$B$9), 1+$BP33, 0) = INDEX(OFFSET($O$15,0,0,$B$8,$B$9), 1+BU$14, 0))
) / $B$16)</f>
        <v>0.2</v>
      </c>
      <c r="BV33" cm="1">
        <f t="array" aca="1" ref="BV33" ca="1">IF($BP33=BV$14, 1, SUMPRODUCT(
    --(OFFSET($O$9,0,0,1,$B$9)=TRUE),
    --(INDEX(OFFSET($O$15,0,0,$B$8,$B$9), 1+$BP33, 0) = INDEX(OFFSET($O$15,0,0,$B$8,$B$9), 1+BV$14, 0))
) / $B$16)</f>
        <v>0.2</v>
      </c>
      <c r="BW33" cm="1">
        <f t="array" aca="1" ref="BW33" ca="1">IF($BP33=BW$14, 1, SUMPRODUCT(
    --(OFFSET($O$9,0,0,1,$B$9)=TRUE),
    --(INDEX(OFFSET($O$15,0,0,$B$8,$B$9), 1+$BP33, 0) = INDEX(OFFSET($O$15,0,0,$B$8,$B$9), 1+BW$14, 0))
) / $B$16)</f>
        <v>0.2</v>
      </c>
      <c r="BX33" cm="1">
        <f t="array" aca="1" ref="BX33" ca="1">IF($BP33=BX$14, 1, SUMPRODUCT(
    --(OFFSET($O$9,0,0,1,$B$9)=TRUE),
    --(INDEX(OFFSET($O$15,0,0,$B$8,$B$9), 1+$BP33, 0) = INDEX(OFFSET($O$15,0,0,$B$8,$B$9), 1+BX$14, 0))
) / $B$16)</f>
        <v>0.8</v>
      </c>
      <c r="BY33" cm="1">
        <f t="array" aca="1" ref="BY33" ca="1">IF($BP33=BY$14, 1, SUMPRODUCT(
    --(OFFSET($O$9,0,0,1,$B$9)=TRUE),
    --(INDEX(OFFSET($O$15,0,0,$B$8,$B$9), 1+$BP33, 0) = INDEX(OFFSET($O$15,0,0,$B$8,$B$9), 1+BY$14, 0))
) / $B$16)</f>
        <v>0.4</v>
      </c>
      <c r="BZ33" cm="1">
        <f t="array" aca="1" ref="BZ33" ca="1">IF($BP33=BZ$14, 1, SUMPRODUCT(
    --(OFFSET($O$9,0,0,1,$B$9)=TRUE),
    --(INDEX(OFFSET($O$15,0,0,$B$8,$B$9), 1+$BP33, 0) = INDEX(OFFSET($O$15,0,0,$B$8,$B$9), 1+BZ$14, 0))
) / $B$16)</f>
        <v>0.4</v>
      </c>
      <c r="CA33" cm="1">
        <f t="array" aca="1" ref="CA33" ca="1">IF($BP33=CA$14, 1, SUMPRODUCT(
    --(OFFSET($O$9,0,0,1,$B$9)=TRUE),
    --(INDEX(OFFSET($O$15,0,0,$B$8,$B$9), 1+$BP33, 0) = INDEX(OFFSET($O$15,0,0,$B$8,$B$9), 1+CA$14, 0))
) / $B$16)</f>
        <v>0.4</v>
      </c>
      <c r="CB33" cm="1">
        <f t="array" aca="1" ref="CB33" ca="1">IF($BP33=CB$14, 1, SUMPRODUCT(
    --(OFFSET($O$9,0,0,1,$B$9)=TRUE),
    --(INDEX(OFFSET($O$15,0,0,$B$8,$B$9), 1+$BP33, 0) = INDEX(OFFSET($O$15,0,0,$B$8,$B$9), 1+CB$14, 0))
) / $B$16)</f>
        <v>0.4</v>
      </c>
      <c r="CC33" cm="1">
        <f t="array" aca="1" ref="CC33" ca="1">IF($BP33=CC$14, 1, SUMPRODUCT(
    --(OFFSET($O$9,0,0,1,$B$9)=TRUE),
    --(INDEX(OFFSET($O$15,0,0,$B$8,$B$9), 1+$BP33, 0) = INDEX(OFFSET($O$15,0,0,$B$8,$B$9), 1+CC$14, 0))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
) / $B$16)</f>
        <v>0.4</v>
      </c>
      <c r="CG33" cm="1">
        <f t="array" aca="1" ref="CG33" ca="1">IF($BP33=CG$14, 1, SUMPRODUCT(
    --(OFFSET($O$9,0,0,1,$B$9)=TRUE),
    --(INDEX(OFFSET($O$15,0,0,$B$8,$B$9), 1+$BP33, 0) = INDEX(OFFSET($O$15,0,0,$B$8,$B$9), 1+CG$14, 0))
) / $B$16)</f>
        <v>0.4</v>
      </c>
      <c r="CH33" cm="1">
        <f t="array" aca="1" ref="CH33" ca="1">IF($BP33=CH$14, 1, SUMPRODUCT(
    --(OFFSET($O$9,0,0,1,$B$9)=TRUE),
    --(INDEX(OFFSET($O$15,0,0,$B$8,$B$9), 1+$BP33, 0) = INDEX(OFFSET($O$15,0,0,$B$8,$B$9), 1+CH$14, 0))
) / $B$16)</f>
        <v>0.4</v>
      </c>
      <c r="CI33" cm="1">
        <f t="array" aca="1" ref="CI33" ca="1">IF($BP33=CI$14, 1, SUMPRODUCT(
    --(OFFSET($O$9,0,0,1,$B$9)=TRUE),
    --(INDEX(OFFSET($O$15,0,0,$B$8,$B$9), 1+$BP33, 0) = INDEX(OFFSET($O$15,0,0,$B$8,$B$9), 1+CI$14, 0))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
) / $B$16)</f>
        <v>0.2</v>
      </c>
      <c r="CY33">
        <f ca="1"/>
        <v>3</v>
      </c>
      <c r="CZ33" s="10">
        <f t="shared" ca="1" si="12"/>
        <v>-1.164999164894533</v>
      </c>
      <c r="DA33" s="10">
        <f t="shared" ca="1" si="11"/>
        <v>-1.164999164894533</v>
      </c>
      <c r="DB33" s="10">
        <f t="shared" ca="1" si="11"/>
        <v>0.51771986445467311</v>
      </c>
      <c r="DC33" s="10">
        <f t="shared" ca="1" si="11"/>
        <v>0.8854451059748516</v>
      </c>
      <c r="DF33" cm="1">
        <f t="array" aca="1" ref="DF33" ca="1">INDEX(_xlfn.ANCHORARRAY($CP$15), 1 + INT((ROWS($DG$15:$DG33) - 1) / ROWS(_xlfn.ANCHORARRAY($CP$15))))</f>
        <v>3</v>
      </c>
      <c r="DG33" cm="1">
        <f t="array" aca="1" ref="DG33" ca="1">INDEX(_xlfn.ANCHORARRAY($CP$15),1+MOD(ROWS($DG$15:$DG33)-1,ROWS(_xlfn.ANCHORARRAY($CP$15))))</f>
        <v>3</v>
      </c>
      <c r="DH33" s="10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$B$18/($B$19*$B$19*($DF33&lt;&gt;$DG33) + $B$19*($DF33=$DG33))</f>
        <v>9.4181818181818186E-2</v>
      </c>
      <c r="DI33" s="10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$B$18/($B$19*$B$19*($DF33&lt;&gt;$DG33) + $B$19*($DF33=$DG33))</f>
        <v>6.0000000000000001E-3</v>
      </c>
      <c r="DJ33" s="10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$B$18/($B$19*$B$19*($DF33&lt;&gt;$DG33) + $B$19*($DF33=$DG33))</f>
        <v>6.0000000000000001E-3</v>
      </c>
      <c r="DK33" s="10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$B$18/($B$19*$B$19*($DF33&lt;&gt;$DG33) + $B$19*($DF33=$DG33))</f>
        <v>6.0000000000000001E-3</v>
      </c>
      <c r="DL33" s="10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$B$18/($B$19*$B$19*($DF33&lt;&gt;$DG33) + $B$19*($DF33=$DG33))</f>
        <v>6.0000000000000001E-3</v>
      </c>
      <c r="DM33" s="10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$B$18/($B$19*$B$19*($DF33&lt;&gt;$DG33) + $B$19*($DF33=$DG33))</f>
        <v>9.4181818181818186E-2</v>
      </c>
      <c r="DN33" s="10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$B$18/($B$19*$B$19*($DF33&lt;&gt;$DG33) + $B$19*($DF33=$DG33))</f>
        <v>6.0000000000000001E-3</v>
      </c>
      <c r="DO33" s="10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$B$18/($B$19*$B$19*($DF33&lt;&gt;$DG33) + $B$19*($DF33=$DG33))</f>
        <v>6.0000000000000001E-3</v>
      </c>
      <c r="DP33" s="10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$B$18/($B$19*$B$19*($DF33&lt;&gt;$DG33) + $B$19*($DF33=$DG33))</f>
        <v>6.0000000000000001E-3</v>
      </c>
      <c r="DQ33" s="10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$B$18/($B$19*$B$19*($DF33&lt;&gt;$DG33) + $B$19*($DF33=$DG33))</f>
        <v>6.0000000000000001E-3</v>
      </c>
      <c r="DR33" s="10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$B$18/($B$19*$B$19*($DF33&lt;&gt;$DG33) + $B$19*($DF33=$DG33))</f>
        <v>0.35872727272727273</v>
      </c>
      <c r="DS33" s="10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$B$18/($B$19*$B$19*($DF33&lt;&gt;$DG33) + $B$19*($DF33=$DG33))</f>
        <v>6.0000000000000001E-3</v>
      </c>
      <c r="DT33" s="10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$B$18/($B$19*$B$19*($DF33&lt;&gt;$DG33) + $B$19*($DF33=$DG33))</f>
        <v>6.0000000000000001E-3</v>
      </c>
      <c r="DU33" s="10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$B$18/($B$19*$B$19*($DF33&lt;&gt;$DG33) + $B$19*($DF33=$DG33))</f>
        <v>6.0000000000000001E-3</v>
      </c>
      <c r="DV33" s="10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$B$18/($B$19*$B$19*($DF33&lt;&gt;$DG33) + $B$19*($DF33=$DG33))</f>
        <v>6.0000000000000001E-3</v>
      </c>
      <c r="DW33" s="10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$B$18/($B$19*$B$19*($DF33&lt;&gt;$DG33) + $B$19*($DF33=$DG33))</f>
        <v>0.44690909090909087</v>
      </c>
      <c r="ED33" cm="1">
        <f t="array" aca="1" ref="ED33" ca="1">INDEX(_xlfn.ANCHORARRAY($CP$15), 1 + INT((ROWS($DG$15:$DG33) - 1) / ROWS(_xlfn.ANCHORARRAY($CP$15))))</f>
        <v>3</v>
      </c>
      <c r="EE33" cm="1">
        <f t="array" aca="1" ref="EE33" ca="1">INDEX(_xlfn.ANCHORARRAY($CP$15),1+MOD(ROWS($DG$15:$DG33)-1,ROWS(_xlfn.ANCHORARRAY($CP$15))))</f>
        <v>3</v>
      </c>
      <c r="EF33" s="10" cm="1">
        <f t="array" aca="1" ref="EF33" ca="1">DH33-_xlfn.XLOOKUP(EF$13,_xlfn.ANCHORARRAY( $CR$14), _xlfn.XLOOKUP($ED33,_xlfn.ANCHORARRAY( $CP$15), $CR$15:$CU$19)) * _xlfn.XLOOKUP(EF$14,_xlfn.ANCHORARRAY( $CR$14), _xlfn.XLOOKUP($EE33,_xlfn.ANCHORARRAY( $CP$15), $CR$15:$CU$19))</f>
        <v>8.5311603305785133E-2</v>
      </c>
      <c r="EG33" s="10" cm="1">
        <f t="array" aca="1" ref="EG33" ca="1">DI33-_xlfn.XLOOKUP(EG$13,_xlfn.ANCHORARRAY( $CR$14), _xlfn.XLOOKUP($ED33,_xlfn.ANCHORARRAY( $CP$15), $CR$15:$CU$19)) * _xlfn.XLOOKUP(EG$14,_xlfn.ANCHORARRAY( $CR$14), _xlfn.XLOOKUP($EE33,_xlfn.ANCHORARRAY( $CP$15), $CR$15:$CU$19))</f>
        <v>-2.870214876033058E-3</v>
      </c>
      <c r="EH33" s="10" cm="1">
        <f t="array" aca="1" ref="EH33" ca="1">DJ33-_xlfn.XLOOKUP(EH$13,_xlfn.ANCHORARRAY( $CR$14), _xlfn.XLOOKUP($ED33,_xlfn.ANCHORARRAY( $CP$15), $CR$15:$CU$19)) * _xlfn.XLOOKUP(EH$14,_xlfn.ANCHORARRAY( $CR$14), _xlfn.XLOOKUP($EE33,_xlfn.ANCHORARRAY( $CP$15), $CR$15:$CU$19))</f>
        <v>-2.7785586776859508E-2</v>
      </c>
      <c r="EI33" s="10" cm="1">
        <f t="array" aca="1" ref="EI33" ca="1">DK33-_xlfn.XLOOKUP(EI$13,_xlfn.ANCHORARRAY( $CR$14), _xlfn.XLOOKUP($ED33,_xlfn.ANCHORARRAY( $CP$15), $CR$15:$CU$19)) * _xlfn.XLOOKUP(EI$14,_xlfn.ANCHORARRAY( $CR$14), _xlfn.XLOOKUP($EE33,_xlfn.ANCHORARRAY( $CP$15), $CR$15:$CU$19))</f>
        <v>-3.609071074380165E-2</v>
      </c>
      <c r="EJ33" s="10" cm="1">
        <f t="array" aca="1" ref="EJ33" ca="1">DL33-_xlfn.XLOOKUP(EJ$13,_xlfn.ANCHORARRAY( $CR$14), _xlfn.XLOOKUP($ED33,_xlfn.ANCHORARRAY( $CP$15), $CR$15:$CU$19)) * _xlfn.XLOOKUP(EJ$14,_xlfn.ANCHORARRAY( $CR$14), _xlfn.XLOOKUP($EE33,_xlfn.ANCHORARRAY( $CP$15), $CR$15:$CU$19))</f>
        <v>-2.870214876033058E-3</v>
      </c>
      <c r="EK33" s="10" cm="1">
        <f t="array" aca="1" ref="EK33" ca="1">DM33-_xlfn.XLOOKUP(EK$13,_xlfn.ANCHORARRAY( $CR$14), _xlfn.XLOOKUP($ED33,_xlfn.ANCHORARRAY( $CP$15), $CR$15:$CU$19)) * _xlfn.XLOOKUP(EK$14,_xlfn.ANCHORARRAY( $CR$14), _xlfn.XLOOKUP($EE33,_xlfn.ANCHORARRAY( $CP$15), $CR$15:$CU$19))</f>
        <v>8.5311603305785133E-2</v>
      </c>
      <c r="EL33" s="10" cm="1">
        <f t="array" aca="1" ref="EL33" ca="1">DN33-_xlfn.XLOOKUP(EL$13,_xlfn.ANCHORARRAY( $CR$14), _xlfn.XLOOKUP($ED33,_xlfn.ANCHORARRAY( $CP$15), $CR$15:$CU$19)) * _xlfn.XLOOKUP(EL$14,_xlfn.ANCHORARRAY( $CR$14), _xlfn.XLOOKUP($EE33,_xlfn.ANCHORARRAY( $CP$15), $CR$15:$CU$19))</f>
        <v>-2.7785586776859508E-2</v>
      </c>
      <c r="EM33" s="10" cm="1">
        <f t="array" aca="1" ref="EM33" ca="1">DO33-_xlfn.XLOOKUP(EM$13,_xlfn.ANCHORARRAY( $CR$14), _xlfn.XLOOKUP($ED33,_xlfn.ANCHORARRAY( $CP$15), $CR$15:$CU$19)) * _xlfn.XLOOKUP(EM$14,_xlfn.ANCHORARRAY( $CR$14), _xlfn.XLOOKUP($EE33,_xlfn.ANCHORARRAY( $CP$15), $CR$15:$CU$19))</f>
        <v>-3.609071074380165E-2</v>
      </c>
      <c r="EN33" s="10" cm="1">
        <f t="array" aca="1" ref="EN33" ca="1">DP33-_xlfn.XLOOKUP(EN$13,_xlfn.ANCHORARRAY( $CR$14), _xlfn.XLOOKUP($ED33,_xlfn.ANCHORARRAY( $CP$15), $CR$15:$CU$19)) * _xlfn.XLOOKUP(EN$14,_xlfn.ANCHORARRAY( $CR$14), _xlfn.XLOOKUP($EE33,_xlfn.ANCHORARRAY( $CP$15), $CR$15:$CU$19))</f>
        <v>-2.7785586776859508E-2</v>
      </c>
      <c r="EO33" s="10" cm="1">
        <f t="array" aca="1" ref="EO33" ca="1">DQ33-_xlfn.XLOOKUP(EO$13,_xlfn.ANCHORARRAY( $CR$14), _xlfn.XLOOKUP($ED33,_xlfn.ANCHORARRAY( $CP$15), $CR$15:$CU$19)) * _xlfn.XLOOKUP(EO$14,_xlfn.ANCHORARRAY( $CR$14), _xlfn.XLOOKUP($EE33,_xlfn.ANCHORARRAY( $CP$15), $CR$15:$CU$19))</f>
        <v>-2.7785586776859508E-2</v>
      </c>
      <c r="EP33" s="10" cm="1">
        <f t="array" aca="1" ref="EP33" ca="1">DR33-_xlfn.XLOOKUP(EP$13,_xlfn.ANCHORARRAY( $CR$14), _xlfn.XLOOKUP($ED33,_xlfn.ANCHORARRAY( $CP$15), $CR$15:$CU$19)) * _xlfn.XLOOKUP(EP$14,_xlfn.ANCHORARRAY( $CR$14), _xlfn.XLOOKUP($EE33,_xlfn.ANCHORARRAY( $CP$15), $CR$15:$CU$19))</f>
        <v>0.23004201652892561</v>
      </c>
      <c r="EQ33" s="10" cm="1">
        <f t="array" aca="1" ref="EQ33" ca="1">DS33-_xlfn.XLOOKUP(EQ$13,_xlfn.ANCHORARRAY( $CR$14), _xlfn.XLOOKUP($ED33,_xlfn.ANCHORARRAY( $CP$15), $CR$15:$CU$19)) * _xlfn.XLOOKUP(EQ$14,_xlfn.ANCHORARRAY( $CR$14), _xlfn.XLOOKUP($EE33,_xlfn.ANCHORARRAY( $CP$15), $CR$15:$CU$19))</f>
        <v>-0.15431847933884296</v>
      </c>
      <c r="ER33" s="10" cm="1">
        <f t="array" aca="1" ref="ER33" ca="1">DT33-_xlfn.XLOOKUP(ER$13,_xlfn.ANCHORARRAY( $CR$14), _xlfn.XLOOKUP($ED33,_xlfn.ANCHORARRAY( $CP$15), $CR$15:$CU$19)) * _xlfn.XLOOKUP(ER$14,_xlfn.ANCHORARRAY( $CR$14), _xlfn.XLOOKUP($EE33,_xlfn.ANCHORARRAY( $CP$15), $CR$15:$CU$19))</f>
        <v>-3.609071074380165E-2</v>
      </c>
      <c r="ES33" s="10" cm="1">
        <f t="array" aca="1" ref="ES33" ca="1">DU33-_xlfn.XLOOKUP(ES$13,_xlfn.ANCHORARRAY( $CR$14), _xlfn.XLOOKUP($ED33,_xlfn.ANCHORARRAY( $CP$15), $CR$15:$CU$19)) * _xlfn.XLOOKUP(ES$14,_xlfn.ANCHORARRAY( $CR$14), _xlfn.XLOOKUP($EE33,_xlfn.ANCHORARRAY( $CP$15), $CR$15:$CU$19))</f>
        <v>-3.609071074380165E-2</v>
      </c>
      <c r="ET33" s="10" cm="1">
        <f t="array" aca="1" ref="ET33" ca="1">DV33-_xlfn.XLOOKUP(ET$13,_xlfn.ANCHORARRAY( $CR$14), _xlfn.XLOOKUP($ED33,_xlfn.ANCHORARRAY( $CP$15), $CR$15:$CU$19)) * _xlfn.XLOOKUP(ET$14,_xlfn.ANCHORARRAY( $CR$14), _xlfn.XLOOKUP($EE33,_xlfn.ANCHORARRAY( $CP$15), $CR$15:$CU$19))</f>
        <v>-0.15431847933884296</v>
      </c>
      <c r="EU33" s="10" cm="1">
        <f t="array" aca="1" ref="EU33" ca="1">DW33-_xlfn.XLOOKUP(EU$13,_xlfn.ANCHORARRAY( $CR$14), _xlfn.XLOOKUP($ED33,_xlfn.ANCHORARRAY( $CP$15), $CR$15:$CU$19)) * _xlfn.XLOOKUP(EU$14,_xlfn.ANCHORARRAY( $CR$14), _xlfn.XLOOKUP($EE33,_xlfn.ANCHORARRAY( $CP$15), $CR$15:$CU$19))</f>
        <v>0.24718135537190083</v>
      </c>
      <c r="EZ33" cm="1">
        <f t="array" aca="1" ref="EZ33" ca="1">INDEX(_xlfn.ANCHORARRAY($CP$15), 1 + INT((ROWS($DG$15:$DG33) - 1) / ROWS(_xlfn.ANCHORARRAY($CP$15))))</f>
        <v>3</v>
      </c>
      <c r="FA33" cm="1">
        <f t="array" aca="1" ref="FA33" ca="1">INDEX(_xlfn.ANCHORARRAY($CP$15),1+MOD(ROWS($DG$15:$DG33)-1,ROWS(_xlfn.ANCHORARRAY($CP$15))))</f>
        <v>3</v>
      </c>
      <c r="FB33" s="10" cm="1">
        <f t="array" aca="1" ref="FB33" ca="1">EF33 * _xlfn.XLOOKUP(FB$13,_xlfn.ANCHORARRAY( $CZ$29), _xlfn.XLOOKUP($EZ33,_xlfn.ANCHORARRAY( $CY$30), $CZ$30:$DC$34)) * _xlfn.XLOOKUP(FB$14,_xlfn.ANCHORARRAY( $CZ$29), _xlfn.XLOOKUP($FA33,_xlfn.ANCHORARRAY( $CY$30), $CZ$30:$DC$34))</f>
        <v>0.11578687479779962</v>
      </c>
      <c r="FC33" s="10" cm="1">
        <f t="array" aca="1" ref="FC33" ca="1">EG33 * _xlfn.XLOOKUP(FC$13,_xlfn.ANCHORARRAY( $CZ$29), _xlfn.XLOOKUP($EZ33,_xlfn.ANCHORARRAY( $CY$30), $CZ$30:$DC$34)) * _xlfn.XLOOKUP(FC$14,_xlfn.ANCHORARRAY( $CZ$29), _xlfn.XLOOKUP($FA33,_xlfn.ANCHORARRAY( $CY$30), $CZ$30:$DC$34))</f>
        <v>-3.895521800274096E-3</v>
      </c>
      <c r="FD33" s="10" cm="1">
        <f t="array" aca="1" ref="FD33" ca="1">EH33 * _xlfn.XLOOKUP(FD$13,_xlfn.ANCHORARRAY( $CZ$29), _xlfn.XLOOKUP($EZ33,_xlfn.ANCHORARRAY( $CY$30), $CZ$30:$DC$34)) * _xlfn.XLOOKUP(FD$14,_xlfn.ANCHORARRAY( $CZ$29), _xlfn.XLOOKUP($FA33,_xlfn.ANCHORARRAY( $CY$30), $CZ$30:$DC$34))</f>
        <v>1.6758687993076699E-2</v>
      </c>
      <c r="FE33" s="10" cm="1">
        <f t="array" aca="1" ref="FE33" ca="1">EI33 * _xlfn.XLOOKUP(FE$13,_xlfn.ANCHORARRAY( $CZ$29), _xlfn.XLOOKUP($EZ33,_xlfn.ANCHORARRAY( $CY$30), $CZ$30:$DC$34)) * _xlfn.XLOOKUP(FE$14,_xlfn.ANCHORARRAY( $CZ$29), _xlfn.XLOOKUP($FA33,_xlfn.ANCHORARRAY( $CY$30), $CZ$30:$DC$34))</f>
        <v>3.722911314021303E-2</v>
      </c>
      <c r="FF33" s="10" cm="1">
        <f t="array" aca="1" ref="FF33" ca="1">EJ33 * _xlfn.XLOOKUP(FF$13,_xlfn.ANCHORARRAY( $CZ$29), _xlfn.XLOOKUP($EZ33,_xlfn.ANCHORARRAY( $CY$30), $CZ$30:$DC$34)) * _xlfn.XLOOKUP(FF$14,_xlfn.ANCHORARRAY( $CZ$29), _xlfn.XLOOKUP($FA33,_xlfn.ANCHORARRAY( $CY$30), $CZ$30:$DC$34))</f>
        <v>-3.895521800274096E-3</v>
      </c>
      <c r="FG33" s="10" cm="1">
        <f t="array" aca="1" ref="FG33" ca="1">EK33 * _xlfn.XLOOKUP(FG$13,_xlfn.ANCHORARRAY( $CZ$29), _xlfn.XLOOKUP($EZ33,_xlfn.ANCHORARRAY( $CY$30), $CZ$30:$DC$34)) * _xlfn.XLOOKUP(FG$14,_xlfn.ANCHORARRAY( $CZ$29), _xlfn.XLOOKUP($FA33,_xlfn.ANCHORARRAY( $CY$30), $CZ$30:$DC$34))</f>
        <v>0.11578687479779962</v>
      </c>
      <c r="FH33" s="10" cm="1">
        <f t="array" aca="1" ref="FH33" ca="1">EL33 * _xlfn.XLOOKUP(FH$13,_xlfn.ANCHORARRAY( $CZ$29), _xlfn.XLOOKUP($EZ33,_xlfn.ANCHORARRAY( $CY$30), $CZ$30:$DC$34)) * _xlfn.XLOOKUP(FH$14,_xlfn.ANCHORARRAY( $CZ$29), _xlfn.XLOOKUP($FA33,_xlfn.ANCHORARRAY( $CY$30), $CZ$30:$DC$34))</f>
        <v>1.6758687993076699E-2</v>
      </c>
      <c r="FI33" s="10" cm="1">
        <f t="array" aca="1" ref="FI33" ca="1">EM33 * _xlfn.XLOOKUP(FI$13,_xlfn.ANCHORARRAY( $CZ$29), _xlfn.XLOOKUP($EZ33,_xlfn.ANCHORARRAY( $CY$30), $CZ$30:$DC$34)) * _xlfn.XLOOKUP(FI$14,_xlfn.ANCHORARRAY( $CZ$29), _xlfn.XLOOKUP($FA33,_xlfn.ANCHORARRAY( $CY$30), $CZ$30:$DC$34))</f>
        <v>3.722911314021303E-2</v>
      </c>
      <c r="FJ33" s="10" cm="1">
        <f t="array" aca="1" ref="FJ33" ca="1">EN33 * _xlfn.XLOOKUP(FJ$13,_xlfn.ANCHORARRAY( $CZ$29), _xlfn.XLOOKUP($EZ33,_xlfn.ANCHORARRAY( $CY$30), $CZ$30:$DC$34)) * _xlfn.XLOOKUP(FJ$14,_xlfn.ANCHORARRAY( $CZ$29), _xlfn.XLOOKUP($FA33,_xlfn.ANCHORARRAY( $CY$30), $CZ$30:$DC$34))</f>
        <v>1.6758687993076699E-2</v>
      </c>
      <c r="FK33" s="10" cm="1">
        <f t="array" aca="1" ref="FK33" ca="1">EO33 * _xlfn.XLOOKUP(FK$13,_xlfn.ANCHORARRAY( $CZ$29), _xlfn.XLOOKUP($EZ33,_xlfn.ANCHORARRAY( $CY$30), $CZ$30:$DC$34)) * _xlfn.XLOOKUP(FK$14,_xlfn.ANCHORARRAY( $CZ$29), _xlfn.XLOOKUP($FA33,_xlfn.ANCHORARRAY( $CY$30), $CZ$30:$DC$34))</f>
        <v>1.6758687993076699E-2</v>
      </c>
      <c r="FL33" s="10" cm="1">
        <f t="array" aca="1" ref="FL33" ca="1">EP33 * _xlfn.XLOOKUP(FL$13,_xlfn.ANCHORARRAY( $CZ$29), _xlfn.XLOOKUP($EZ33,_xlfn.ANCHORARRAY( $CY$30), $CZ$30:$DC$34)) * _xlfn.XLOOKUP(FL$14,_xlfn.ANCHORARRAY( $CZ$29), _xlfn.XLOOKUP($FA33,_xlfn.ANCHORARRAY( $CY$30), $CZ$30:$DC$34))</f>
        <v>6.1659049204071815E-2</v>
      </c>
      <c r="FM33" s="10" cm="1">
        <f t="array" aca="1" ref="FM33" ca="1">EQ33 * _xlfn.XLOOKUP(FM$13,_xlfn.ANCHORARRAY( $CZ$29), _xlfn.XLOOKUP($EZ33,_xlfn.ANCHORARRAY( $CY$30), $CZ$30:$DC$34)) * _xlfn.XLOOKUP(FM$14,_xlfn.ANCHORARRAY( $CZ$29), _xlfn.XLOOKUP($FA33,_xlfn.ANCHORARRAY( $CY$30), $CZ$30:$DC$34))</f>
        <v>-7.0741523034458201E-2</v>
      </c>
      <c r="FN33" s="10" cm="1">
        <f t="array" aca="1" ref="FN33" ca="1">ER33 * _xlfn.XLOOKUP(FN$13,_xlfn.ANCHORARRAY( $CZ$29), _xlfn.XLOOKUP($EZ33,_xlfn.ANCHORARRAY( $CY$30), $CZ$30:$DC$34)) * _xlfn.XLOOKUP(FN$14,_xlfn.ANCHORARRAY( $CZ$29), _xlfn.XLOOKUP($FA33,_xlfn.ANCHORARRAY( $CY$30), $CZ$30:$DC$34))</f>
        <v>3.722911314021303E-2</v>
      </c>
      <c r="FO33" s="10" cm="1">
        <f t="array" aca="1" ref="FO33" ca="1">ES33 * _xlfn.XLOOKUP(FO$13,_xlfn.ANCHORARRAY( $CZ$29), _xlfn.XLOOKUP($EZ33,_xlfn.ANCHORARRAY( $CY$30), $CZ$30:$DC$34)) * _xlfn.XLOOKUP(FO$14,_xlfn.ANCHORARRAY( $CZ$29), _xlfn.XLOOKUP($FA33,_xlfn.ANCHORARRAY( $CY$30), $CZ$30:$DC$34))</f>
        <v>3.722911314021303E-2</v>
      </c>
      <c r="FP33" s="10" cm="1">
        <f t="array" aca="1" ref="FP33" ca="1">ET33 * _xlfn.XLOOKUP(FP$13,_xlfn.ANCHORARRAY( $CZ$29), _xlfn.XLOOKUP($EZ33,_xlfn.ANCHORARRAY( $CY$30), $CZ$30:$DC$34)) * _xlfn.XLOOKUP(FP$14,_xlfn.ANCHORARRAY( $CZ$29), _xlfn.XLOOKUP($FA33,_xlfn.ANCHORARRAY( $CY$30), $CZ$30:$DC$34))</f>
        <v>-7.0741523034458201E-2</v>
      </c>
      <c r="FQ33" s="10" cm="1">
        <f t="array" aca="1" ref="FQ33" ca="1">EU33 * _xlfn.XLOOKUP(FQ$13,_xlfn.ANCHORARRAY( $CZ$29), _xlfn.XLOOKUP($EZ33,_xlfn.ANCHORARRAY( $CY$30), $CZ$30:$DC$34)) * _xlfn.XLOOKUP(FQ$14,_xlfn.ANCHORARRAY( $CZ$29), _xlfn.XLOOKUP($FA33,_xlfn.ANCHORARRAY( $CY$30), $CZ$30:$DC$34))</f>
        <v>0.19379340479228313</v>
      </c>
      <c r="FT33" cm="1">
        <f t="array" aca="1" ref="FT33" ca="1">SQRT(SUM((FB33:FQ33)^2))</f>
        <v>0.29133733220633634</v>
      </c>
    </row>
    <row r="34" spans="4:176" x14ac:dyDescent="0.2">
      <c r="D34" s="10">
        <f ca="1"/>
        <v>20</v>
      </c>
      <c r="F34" s="10">
        <f ca="1"/>
        <v>1</v>
      </c>
      <c r="J34" cm="1">
        <f t="array" aca="1" ref="J34" ca="1">SUMPRODUCT((O34:AJ34=$O$11:$AJ$11)*(O$13:AJ$13=TRUE))  / COUNTIF(O$13:AJ$13,TRUE)</f>
        <v>0.8</v>
      </c>
      <c r="K34" t="b">
        <f t="shared" ca="1" si="3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4"/>
        <v>1</v>
      </c>
      <c r="N34" s="2">
        <v>19</v>
      </c>
      <c r="O34" s="12" t="s">
        <v>0</v>
      </c>
      <c r="P34" s="9" t="s">
        <v>1</v>
      </c>
      <c r="Q34" s="9" t="s">
        <v>3</v>
      </c>
      <c r="R34" s="9" t="s">
        <v>3</v>
      </c>
      <c r="S34" s="9" t="s">
        <v>3</v>
      </c>
      <c r="AN34">
        <f t="shared" ca="1" si="5"/>
        <v>1</v>
      </c>
      <c r="AO34" s="14">
        <f t="shared" ca="1" si="6"/>
        <v>1</v>
      </c>
      <c r="AP34" s="2">
        <f ca="1"/>
        <v>20</v>
      </c>
      <c r="AQ34" cm="1">
        <f t="array" aca="1" ref="AQ34" ca="1">IF($AP34=AQ$14, 1, SUMPRODUCT(
    --(OFFSET($O$13,0,0,1,$B$9)=TRUE),
    --(INDEX(OFFSET($O$15,0,0,$B$8,$B$9), 1+$AP34, 0) = INDEX(OFFSET($O$15,0,0,$B$8,$B$9), 1+AQ$14, 0))
) / $B$13)</f>
        <v>0.4</v>
      </c>
      <c r="AR34" cm="1">
        <f t="array" aca="1" ref="AR34" ca="1">IF($AP34=AR$14, 1, SUMPRODUCT(
    --(OFFSET($O$13,0,0,1,$B$9)=TRUE),
    --(INDEX(OFFSET($O$15,0,0,$B$8,$B$9), 1+$AP34, 0) = INDEX(OFFSET($O$15,0,0,$B$8,$B$9), 1+AR$14, 0))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
) / $B$13)</f>
        <v>0.2</v>
      </c>
      <c r="AT34" cm="1">
        <f t="array" aca="1" ref="AT34" ca="1">IF($AP34=AT$14, 1, SUMPRODUCT(
    --(OFFSET($O$13,0,0,1,$B$9)=TRUE),
    --(INDEX(OFFSET($O$15,0,0,$B$8,$B$9), 1+$AP34, 0) = INDEX(OFFSET($O$15,0,0,$B$8,$B$9), 1+AT$14, 0))
) / $B$13)</f>
        <v>0</v>
      </c>
      <c r="AU34" cm="1">
        <f t="array" aca="1" ref="AU34" ca="1">IF($AP34=AU$14, 1, SUMPRODUCT(
    --(OFFSET($O$13,0,0,1,$B$9)=TRUE),
    --(INDEX(OFFSET($O$15,0,0,$B$8,$B$9), 1+$AP34, 0) = INDEX(OFFSET($O$15,0,0,$B$8,$B$9), 1+AU$14, 0))
) / $B$13)</f>
        <v>0.2</v>
      </c>
      <c r="AV34" cm="1">
        <f t="array" aca="1" ref="AV34" ca="1">IF($AP34=AV$14, 1, SUMPRODUCT(
    --(OFFSET($O$13,0,0,1,$B$9)=TRUE),
    --(INDEX(OFFSET($O$15,0,0,$B$8,$B$9), 1+$AP34, 0) = INDEX(OFFSET($O$15,0,0,$B$8,$B$9), 1+AV$14, 0))
) / $B$13)</f>
        <v>0</v>
      </c>
      <c r="AW34" cm="1">
        <f t="array" aca="1" ref="AW34" ca="1">IF($AP34=AW$14, 1, SUMPRODUCT(
    --(OFFSET($O$13,0,0,1,$B$9)=TRUE),
    --(INDEX(OFFSET($O$15,0,0,$B$8,$B$9), 1+$AP34, 0) = INDEX(OFFSET($O$15,0,0,$B$8,$B$9), 1+AW$14, 0))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
) / $B$13)</f>
        <v>0.2</v>
      </c>
      <c r="BA34" cm="1">
        <f t="array" aca="1" ref="BA34" ca="1">IF($AP34=BA$14, 1, SUMPRODUCT(
    --(OFFSET($O$13,0,0,1,$B$9)=TRUE),
    --(INDEX(OFFSET($O$15,0,0,$B$8,$B$9), 1+$AP34, 0) = INDEX(OFFSET($O$15,0,0,$B$8,$B$9), 1+BA$14, 0))
) / $B$13)</f>
        <v>0.4</v>
      </c>
      <c r="BB34" cm="1">
        <f t="array" aca="1" ref="BB34" ca="1">IF($AP34=BB$14, 1, SUMPRODUCT(
    --(OFFSET($O$13,0,0,1,$B$9)=TRUE),
    --(INDEX(OFFSET($O$15,0,0,$B$8,$B$9), 1+$AP34, 0) = INDEX(OFFSET($O$15,0,0,$B$8,$B$9), 1+BB$14, 0))
) / $B$13)</f>
        <v>0</v>
      </c>
      <c r="BC34" cm="1">
        <f t="array" aca="1" ref="BC34" ca="1">IF($AP34=BC$14, 1, SUMPRODUCT(
    --(OFFSET($O$13,0,0,1,$B$9)=TRUE),
    --(INDEX(OFFSET($O$15,0,0,$B$8,$B$9), 1+$AP34, 0) = INDEX(OFFSET($O$15,0,0,$B$8,$B$9), 1+BC$14, 0))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
) / $B$13)</f>
        <v>0</v>
      </c>
      <c r="BE34" cm="1">
        <f t="array" aca="1" ref="BE34" ca="1">IF($AP34=BE$14, 1, SUMPRODUCT(
    --(OFFSET($O$13,0,0,1,$B$9)=TRUE),
    --(INDEX(OFFSET($O$15,0,0,$B$8,$B$9), 1+$AP34, 0) = INDEX(OFFSET($O$15,0,0,$B$8,$B$9), 1+BE$14, 0))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
) / $B$13)</f>
        <v>0</v>
      </c>
      <c r="BG34" cm="1">
        <f t="array" aca="1" ref="BG34" ca="1">IF($AP34=BG$14, 1, SUMPRODUCT(
    --(OFFSET($O$13,0,0,1,$B$9)=TRUE),
    --(INDEX(OFFSET($O$15,0,0,$B$8,$B$9), 1+$AP34, 0) = INDEX(OFFSET($O$15,0,0,$B$8,$B$9), 1+BG$14, 0))
) / $B$13)</f>
        <v>0.2</v>
      </c>
      <c r="BH34" cm="1">
        <f t="array" aca="1" ref="BH34" ca="1">IF($AP34=BH$14, 1, SUMPRODUCT(
    --(OFFSET($O$13,0,0,1,$B$9)=TRUE),
    --(INDEX(OFFSET($O$15,0,0,$B$8,$B$9), 1+$AP34, 0) = INDEX(OFFSET($O$15,0,0,$B$8,$B$9), 1+BH$14, 0))
) / $B$13)</f>
        <v>0.2</v>
      </c>
      <c r="BI34" cm="1">
        <f t="array" aca="1" ref="BI34" ca="1">IF($AP34=BI$14, 1, SUMPRODUCT(
    --(OFFSET($O$13,0,0,1,$B$9)=TRUE),
    --(INDEX(OFFSET($O$15,0,0,$B$8,$B$9), 1+$AP34, 0) = INDEX(OFFSET($O$15,0,0,$B$8,$B$9), 1+BI$14, 0))
) / $B$13)</f>
        <v>0.2</v>
      </c>
      <c r="BJ34" cm="1">
        <f t="array" aca="1" ref="BJ34" ca="1">IF($AP34=BJ$14, 1, SUMPRODUCT(
    --(OFFSET($O$13,0,0,1,$B$9)=TRUE),
    --(INDEX(OFFSET($O$15,0,0,$B$8,$B$9), 1+$AP34, 0) = INDEX(OFFSET($O$15,0,0,$B$8,$B$9), 1+BJ$14, 0))
) / $B$13)</f>
        <v>1</v>
      </c>
      <c r="BN34">
        <f t="shared" ca="1" si="7"/>
        <v>1</v>
      </c>
      <c r="BO34" s="14">
        <f t="shared" ca="1" si="8"/>
        <v>1</v>
      </c>
      <c r="BP34" s="2">
        <f ca="1"/>
        <v>20</v>
      </c>
      <c r="BQ34" cm="1">
        <f t="array" aca="1" ref="BQ34" ca="1">IF($BP34=BQ$14, 1, SUMPRODUCT(
    --(OFFSET($O$9,0,0,1,$B$9)=TRUE),
    --(INDEX(OFFSET($O$15,0,0,$B$8,$B$9), 1+$BP34, 0) = INDEX(OFFSET($O$15,0,0,$B$8,$B$9), 1+BQ$14, 0))
) / $B$16)</f>
        <v>0.4</v>
      </c>
      <c r="BR34" cm="1">
        <f t="array" aca="1" ref="BR34" ca="1">IF($BP34=BR$14, 1, SUMPRODUCT(
    --(OFFSET($O$9,0,0,1,$B$9)=TRUE),
    --(INDEX(OFFSET($O$15,0,0,$B$8,$B$9), 1+$BP34, 0) = INDEX(OFFSET($O$15,0,0,$B$8,$B$9), 1+BR$14, 0))
) / $B$16)</f>
        <v>0.6</v>
      </c>
      <c r="BS34" cm="1">
        <f t="array" aca="1" ref="BS34" ca="1">IF($BP34=BS$14, 1, SUMPRODUCT(
    --(OFFSET($O$9,0,0,1,$B$9)=TRUE),
    --(INDEX(OFFSET($O$15,0,0,$B$8,$B$9), 1+$BP34, 0) = INDEX(OFFSET($O$15,0,0,$B$8,$B$9), 1+BS$14, 0))
) / $B$16)</f>
        <v>0.2</v>
      </c>
      <c r="BT34" cm="1">
        <f t="array" aca="1" ref="BT34" ca="1">IF($BP34=BT$14, 1, SUMPRODUCT(
    --(OFFSET($O$9,0,0,1,$B$9)=TRUE),
    --(INDEX(OFFSET($O$15,0,0,$B$8,$B$9), 1+$BP34, 0) = INDEX(OFFSET($O$15,0,0,$B$8,$B$9), 1+BT$14, 0))
) / $B$16)</f>
        <v>0</v>
      </c>
      <c r="BU34" cm="1">
        <f t="array" aca="1" ref="BU34" ca="1">IF($BP34=BU$14, 1, SUMPRODUCT(
    --(OFFSET($O$9,0,0,1,$B$9)=TRUE),
    --(INDEX(OFFSET($O$15,0,0,$B$8,$B$9), 1+$BP34, 0) = INDEX(OFFSET($O$15,0,0,$B$8,$B$9), 1+BU$14, 0))
) / $B$16)</f>
        <v>0.2</v>
      </c>
      <c r="BV34" cm="1">
        <f t="array" aca="1" ref="BV34" ca="1">IF($BP34=BV$14, 1, SUMPRODUCT(
    --(OFFSET($O$9,0,0,1,$B$9)=TRUE),
    --(INDEX(OFFSET($O$15,0,0,$B$8,$B$9), 1+$BP34, 0) = INDEX(OFFSET($O$15,0,0,$B$8,$B$9), 1+BV$14, 0))
) / $B$16)</f>
        <v>0</v>
      </c>
      <c r="BW34" cm="1">
        <f t="array" aca="1" ref="BW34" ca="1">IF($BP34=BW$14, 1, SUMPRODUCT(
    --(OFFSET($O$9,0,0,1,$B$9)=TRUE),
    --(INDEX(OFFSET($O$15,0,0,$B$8,$B$9), 1+$BP34, 0) = INDEX(OFFSET($O$15,0,0,$B$8,$B$9), 1+BW$14, 0))
) / $B$16)</f>
        <v>0.2</v>
      </c>
      <c r="BX34" cm="1">
        <f t="array" aca="1" ref="BX34" ca="1">IF($BP34=BX$14, 1, SUMPRODUCT(
    --(OFFSET($O$9,0,0,1,$B$9)=TRUE),
    --(INDEX(OFFSET($O$15,0,0,$B$8,$B$9), 1+$BP34, 0) = INDEX(OFFSET($O$15,0,0,$B$8,$B$9), 1+BX$14, 0))
) / $B$16)</f>
        <v>0.2</v>
      </c>
      <c r="BY34" cm="1">
        <f t="array" aca="1" ref="BY34" ca="1">IF($BP34=BY$14, 1, SUMPRODUCT(
    --(OFFSET($O$9,0,0,1,$B$9)=TRUE),
    --(INDEX(OFFSET($O$15,0,0,$B$8,$B$9), 1+$BP34, 0) = INDEX(OFFSET($O$15,0,0,$B$8,$B$9), 1+BY$14, 0))
) / $B$16)</f>
        <v>0.4</v>
      </c>
      <c r="BZ34" cm="1">
        <f t="array" aca="1" ref="BZ34" ca="1">IF($BP34=BZ$14, 1, SUMPRODUCT(
    --(OFFSET($O$9,0,0,1,$B$9)=TRUE),
    --(INDEX(OFFSET($O$15,0,0,$B$8,$B$9), 1+$BP34, 0) = INDEX(OFFSET($O$15,0,0,$B$8,$B$9), 1+BZ$14, 0))
) / $B$16)</f>
        <v>0.2</v>
      </c>
      <c r="CA34" cm="1">
        <f t="array" aca="1" ref="CA34" ca="1">IF($BP34=CA$14, 1, SUMPRODUCT(
    --(OFFSET($O$9,0,0,1,$B$9)=TRUE),
    --(INDEX(OFFSET($O$15,0,0,$B$8,$B$9), 1+$BP34, 0) = INDEX(OFFSET($O$15,0,0,$B$8,$B$9), 1+CA$14, 0))
) / $B$16)</f>
        <v>0.4</v>
      </c>
      <c r="CB34" cm="1">
        <f t="array" aca="1" ref="CB34" ca="1">IF($BP34=CB$14, 1, SUMPRODUCT(
    --(OFFSET($O$9,0,0,1,$B$9)=TRUE),
    --(INDEX(OFFSET($O$15,0,0,$B$8,$B$9), 1+$BP34, 0) = INDEX(OFFSET($O$15,0,0,$B$8,$B$9), 1+CB$14, 0))
) / $B$16)</f>
        <v>0</v>
      </c>
      <c r="CC34" cm="1">
        <f t="array" aca="1" ref="CC34" ca="1">IF($BP34=CC$14, 1, SUMPRODUCT(
    --(OFFSET($O$9,0,0,1,$B$9)=TRUE),
    --(INDEX(OFFSET($O$15,0,0,$B$8,$B$9), 1+$BP34, 0) = INDEX(OFFSET($O$15,0,0,$B$8,$B$9), 1+CC$14, 0))
) / $B$16)</f>
        <v>0.2</v>
      </c>
      <c r="CD34" cm="1">
        <f t="array" aca="1" ref="CD34" ca="1">IF($BP34=CD$14, 1, SUMPRODUCT(
    --(OFFSET($O$9,0,0,1,$B$9)=TRUE),
    --(INDEX(OFFSET($O$15,0,0,$B$8,$B$9), 1+$BP34, 0) = INDEX(OFFSET($O$15,0,0,$B$8,$B$9), 1+CD$14, 0))
) / $B$16)</f>
        <v>0</v>
      </c>
      <c r="CE34" cm="1">
        <f t="array" aca="1" ref="CE34" ca="1">IF($BP34=CE$14, 1, SUMPRODUCT(
    --(OFFSET($O$9,0,0,1,$B$9)=TRUE),
    --(INDEX(OFFSET($O$15,0,0,$B$8,$B$9), 1+$BP34, 0) = INDEX(OFFSET($O$15,0,0,$B$8,$B$9), 1+CE$14, 0))
) / $B$16)</f>
        <v>0.2</v>
      </c>
      <c r="CF34" cm="1">
        <f t="array" aca="1" ref="CF34" ca="1">IF($BP34=CF$14, 1, SUMPRODUCT(
    --(OFFSET($O$9,0,0,1,$B$9)=TRUE),
    --(INDEX(OFFSET($O$15,0,0,$B$8,$B$9), 1+$BP34, 0) = INDEX(OFFSET($O$15,0,0,$B$8,$B$9), 1+CF$14, 0))
) / $B$16)</f>
        <v>0</v>
      </c>
      <c r="CG34" cm="1">
        <f t="array" aca="1" ref="CG34" ca="1">IF($BP34=CG$14, 1, SUMPRODUCT(
    --(OFFSET($O$9,0,0,1,$B$9)=TRUE),
    --(INDEX(OFFSET($O$15,0,0,$B$8,$B$9), 1+$BP34, 0) = INDEX(OFFSET($O$15,0,0,$B$8,$B$9), 1+CG$14, 0))
) / $B$16)</f>
        <v>0.2</v>
      </c>
      <c r="CH34" cm="1">
        <f t="array" aca="1" ref="CH34" ca="1">IF($BP34=CH$14, 1, SUMPRODUCT(
    --(OFFSET($O$9,0,0,1,$B$9)=TRUE),
    --(INDEX(OFFSET($O$15,0,0,$B$8,$B$9), 1+$BP34, 0) = INDEX(OFFSET($O$15,0,0,$B$8,$B$9), 1+CH$14, 0))
) / $B$16)</f>
        <v>0.2</v>
      </c>
      <c r="CI34" cm="1">
        <f t="array" aca="1" ref="CI34" ca="1">IF($BP34=CI$14, 1, SUMPRODUCT(
    --(OFFSET($O$9,0,0,1,$B$9)=TRUE),
    --(INDEX(OFFSET($O$15,0,0,$B$8,$B$9), 1+$BP34, 0) = INDEX(OFFSET($O$15,0,0,$B$8,$B$9), 1+CI$14, 0))
) / $B$16)</f>
        <v>0.2</v>
      </c>
      <c r="CJ34" cm="1">
        <f t="array" aca="1" ref="CJ34" ca="1">IF($BP34=CJ$14, 1, SUMPRODUCT(
    --(OFFSET($O$9,0,0,1,$B$9)=TRUE),
    --(INDEX(OFFSET($O$15,0,0,$B$8,$B$9), 1+$BP34, 0) = INDEX(OFFSET($O$15,0,0,$B$8,$B$9), 1+CJ$14, 0))
) / $B$16)</f>
        <v>1</v>
      </c>
      <c r="CY34">
        <f ca="1"/>
        <v>4</v>
      </c>
      <c r="CZ34" s="10">
        <f t="shared" ca="1" si="12"/>
        <v>-1.164999164894533</v>
      </c>
      <c r="DA34" s="10">
        <f t="shared" ca="1" si="11"/>
        <v>-0.40180271014066216</v>
      </c>
      <c r="DB34" s="10">
        <f t="shared" ca="1" si="11"/>
        <v>0.51771986445467311</v>
      </c>
      <c r="DC34" s="10">
        <f t="shared" ca="1" si="11"/>
        <v>0.51771986445467311</v>
      </c>
      <c r="DF34" cm="1">
        <f t="array" aca="1" ref="DF34" ca="1">INDEX(_xlfn.ANCHORARRAY($CP$15), 1 + INT((ROWS($DG$15:$DG34) - 1) / ROWS(_xlfn.ANCHORARRAY($CP$15))))</f>
        <v>3</v>
      </c>
      <c r="DG34" cm="1">
        <f t="array" aca="1" ref="DG34" ca="1">INDEX(_xlfn.ANCHORARRAY($CP$15),1+MOD(ROWS($DG$15:$DG34)-1,ROWS(_xlfn.ANCHORARRAY($CP$15))))</f>
        <v>4</v>
      </c>
      <c r="DH34" s="10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$B$18/($B$19*$B$19*($DF34&lt;&gt;$DG34) + $B$19*($DF34=$DG34))</f>
        <v>8.9381818181818187E-2</v>
      </c>
      <c r="DI34" s="10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$B$18/($B$19*$B$19*($DF34&lt;&gt;$DG34) + $B$19*($DF34=$DG34))</f>
        <v>1.1999999999999999E-3</v>
      </c>
      <c r="DJ34" s="10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$B$18/($B$19*$B$19*($DF34&lt;&gt;$DG34) + $B$19*($DF34=$DG34))</f>
        <v>1.1999999999999999E-3</v>
      </c>
      <c r="DK34" s="10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$B$18/($B$19*$B$19*($DF34&lt;&gt;$DG34) + $B$19*($DF34=$DG34))</f>
        <v>1.1999999999999999E-3</v>
      </c>
      <c r="DL34" s="10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$B$18/($B$19*$B$19*($DF34&lt;&gt;$DG34) + $B$19*($DF34=$DG34))</f>
        <v>1.1999999999999999E-3</v>
      </c>
      <c r="DM34" s="10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$B$18/($B$19*$B$19*($DF34&lt;&gt;$DG34) + $B$19*($DF34=$DG34))</f>
        <v>8.9381818181818187E-2</v>
      </c>
      <c r="DN34" s="10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$B$18/($B$19*$B$19*($DF34&lt;&gt;$DG34) + $B$19*($DF34=$DG34))</f>
        <v>1.1999999999999999E-3</v>
      </c>
      <c r="DO34" s="10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$B$18/($B$19*$B$19*($DF34&lt;&gt;$DG34) + $B$19*($DF34=$DG34))</f>
        <v>1.1999999999999999E-3</v>
      </c>
      <c r="DP34" s="10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$B$18/($B$19*$B$19*($DF34&lt;&gt;$DG34) + $B$19*($DF34=$DG34))</f>
        <v>1.1999999999999999E-3</v>
      </c>
      <c r="DQ34" s="10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$B$18/($B$19*$B$19*($DF34&lt;&gt;$DG34) + $B$19*($DF34=$DG34))</f>
        <v>1.1999999999999999E-3</v>
      </c>
      <c r="DR34" s="10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$B$18/($B$19*$B$19*($DF34&lt;&gt;$DG34) + $B$19*($DF34=$DG34))</f>
        <v>0.3539272727272727</v>
      </c>
      <c r="DS34" s="10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$B$18/($B$19*$B$19*($DF34&lt;&gt;$DG34) + $B$19*($DF34=$DG34))</f>
        <v>1.1999999999999999E-3</v>
      </c>
      <c r="DT34" s="10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$B$18/($B$19*$B$19*($DF34&lt;&gt;$DG34) + $B$19*($DF34=$DG34))</f>
        <v>1.1999999999999999E-3</v>
      </c>
      <c r="DU34" s="10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$B$18/($B$19*$B$19*($DF34&lt;&gt;$DG34) + $B$19*($DF34=$DG34))</f>
        <v>8.9381818181818187E-2</v>
      </c>
      <c r="DV34" s="10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$B$18/($B$19*$B$19*($DF34&lt;&gt;$DG34) + $B$19*($DF34=$DG34))</f>
        <v>1.1999999999999999E-3</v>
      </c>
      <c r="DW34" s="10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$B$18/($B$19*$B$19*($DF34&lt;&gt;$DG34) + $B$19*($DF34=$DG34))</f>
        <v>0.3539272727272727</v>
      </c>
      <c r="ED34" cm="1">
        <f t="array" aca="1" ref="ED34" ca="1">INDEX(_xlfn.ANCHORARRAY($CP$15), 1 + INT((ROWS($DG$15:$DG34) - 1) / ROWS(_xlfn.ANCHORARRAY($CP$15))))</f>
        <v>3</v>
      </c>
      <c r="EE34" cm="1">
        <f t="array" aca="1" ref="EE34" ca="1">INDEX(_xlfn.ANCHORARRAY($CP$15),1+MOD(ROWS($DG$15:$DG34)-1,ROWS(_xlfn.ANCHORARRAY($CP$15))))</f>
        <v>4</v>
      </c>
      <c r="EF34" s="10" cm="1">
        <f t="array" aca="1" ref="EF34" ca="1">DH34-_xlfn.XLOOKUP(EF$13,_xlfn.ANCHORARRAY( $CR$14), _xlfn.XLOOKUP($ED34,_xlfn.ANCHORARRAY( $CP$15), $CR$15:$CU$19)) * _xlfn.XLOOKUP(EF$14,_xlfn.ANCHORARRAY( $CR$14), _xlfn.XLOOKUP($EE34,_xlfn.ANCHORARRAY( $CP$15), $CR$15:$CU$19))</f>
        <v>8.0511603305785134E-2</v>
      </c>
      <c r="EG34" s="10" cm="1">
        <f t="array" aca="1" ref="EG34" ca="1">DI34-_xlfn.XLOOKUP(EG$13,_xlfn.ANCHORARRAY( $CR$14), _xlfn.XLOOKUP($ED34,_xlfn.ANCHORARRAY( $CP$15), $CR$15:$CU$19)) * _xlfn.XLOOKUP(EG$14,_xlfn.ANCHORARRAY( $CR$14), _xlfn.XLOOKUP($EE34,_xlfn.ANCHORARRAY( $CP$15), $CR$15:$CU$19))</f>
        <v>-1.5975338842975209E-2</v>
      </c>
      <c r="EH34" s="10" cm="1">
        <f t="array" aca="1" ref="EH34" ca="1">DJ34-_xlfn.XLOOKUP(EH$13,_xlfn.ANCHORARRAY( $CR$14), _xlfn.XLOOKUP($ED34,_xlfn.ANCHORARRAY( $CP$15), $CR$15:$CU$19)) * _xlfn.XLOOKUP(EH$14,_xlfn.ANCHORARRAY( $CR$14), _xlfn.XLOOKUP($EE34,_xlfn.ANCHORARRAY( $CP$15), $CR$15:$CU$19))</f>
        <v>-3.2585586776859507E-2</v>
      </c>
      <c r="EI34" s="10" cm="1">
        <f t="array" aca="1" ref="EI34" ca="1">DK34-_xlfn.XLOOKUP(EI$13,_xlfn.ANCHORARRAY( $CR$14), _xlfn.XLOOKUP($ED34,_xlfn.ANCHORARRAY( $CP$15), $CR$15:$CU$19)) * _xlfn.XLOOKUP(EI$14,_xlfn.ANCHORARRAY( $CR$14), _xlfn.XLOOKUP($EE34,_xlfn.ANCHORARRAY( $CP$15), $CR$15:$CU$19))</f>
        <v>-3.2585586776859507E-2</v>
      </c>
      <c r="EJ34" s="10" cm="1">
        <f t="array" aca="1" ref="EJ34" ca="1">DL34-_xlfn.XLOOKUP(EJ$13,_xlfn.ANCHORARRAY( $CR$14), _xlfn.XLOOKUP($ED34,_xlfn.ANCHORARRAY( $CP$15), $CR$15:$CU$19)) * _xlfn.XLOOKUP(EJ$14,_xlfn.ANCHORARRAY( $CR$14), _xlfn.XLOOKUP($EE34,_xlfn.ANCHORARRAY( $CP$15), $CR$15:$CU$19))</f>
        <v>-7.6702148760330584E-3</v>
      </c>
      <c r="EK34" s="10" cm="1">
        <f t="array" aca="1" ref="EK34" ca="1">DM34-_xlfn.XLOOKUP(EK$13,_xlfn.ANCHORARRAY( $CR$14), _xlfn.XLOOKUP($ED34,_xlfn.ANCHORARRAY( $CP$15), $CR$15:$CU$19)) * _xlfn.XLOOKUP(EK$14,_xlfn.ANCHORARRAY( $CR$14), _xlfn.XLOOKUP($EE34,_xlfn.ANCHORARRAY( $CP$15), $CR$15:$CU$19))</f>
        <v>7.2206479338842972E-2</v>
      </c>
      <c r="EL34" s="10" cm="1">
        <f t="array" aca="1" ref="EL34" ca="1">DN34-_xlfn.XLOOKUP(EL$13,_xlfn.ANCHORARRAY( $CR$14), _xlfn.XLOOKUP($ED34,_xlfn.ANCHORARRAY( $CP$15), $CR$15:$CU$19)) * _xlfn.XLOOKUP(EL$14,_xlfn.ANCHORARRAY( $CR$14), _xlfn.XLOOKUP($EE34,_xlfn.ANCHORARRAY( $CP$15), $CR$15:$CU$19))</f>
        <v>-3.2585586776859507E-2</v>
      </c>
      <c r="EM34" s="10" cm="1">
        <f t="array" aca="1" ref="EM34" ca="1">DO34-_xlfn.XLOOKUP(EM$13,_xlfn.ANCHORARRAY( $CR$14), _xlfn.XLOOKUP($ED34,_xlfn.ANCHORARRAY( $CP$15), $CR$15:$CU$19)) * _xlfn.XLOOKUP(EM$14,_xlfn.ANCHORARRAY( $CR$14), _xlfn.XLOOKUP($EE34,_xlfn.ANCHORARRAY( $CP$15), $CR$15:$CU$19))</f>
        <v>-3.2585586776859507E-2</v>
      </c>
      <c r="EN34" s="10" cm="1">
        <f t="array" aca="1" ref="EN34" ca="1">DP34-_xlfn.XLOOKUP(EN$13,_xlfn.ANCHORARRAY( $CR$14), _xlfn.XLOOKUP($ED34,_xlfn.ANCHORARRAY( $CP$15), $CR$15:$CU$19)) * _xlfn.XLOOKUP(EN$14,_xlfn.ANCHORARRAY( $CR$14), _xlfn.XLOOKUP($EE34,_xlfn.ANCHORARRAY( $CP$15), $CR$15:$CU$19))</f>
        <v>-3.2585586776859507E-2</v>
      </c>
      <c r="EO34" s="10" cm="1">
        <f t="array" aca="1" ref="EO34" ca="1">DQ34-_xlfn.XLOOKUP(EO$13,_xlfn.ANCHORARRAY( $CR$14), _xlfn.XLOOKUP($ED34,_xlfn.ANCHORARRAY( $CP$15), $CR$15:$CU$19)) * _xlfn.XLOOKUP(EO$14,_xlfn.ANCHORARRAY( $CR$14), _xlfn.XLOOKUP($EE34,_xlfn.ANCHORARRAY( $CP$15), $CR$15:$CU$19))</f>
        <v>-6.421880991735536E-2</v>
      </c>
      <c r="EP34" s="10" cm="1">
        <f t="array" aca="1" ref="EP34" ca="1">DR34-_xlfn.XLOOKUP(EP$13,_xlfn.ANCHORARRAY( $CR$14), _xlfn.XLOOKUP($ED34,_xlfn.ANCHORARRAY( $CP$15), $CR$15:$CU$19)) * _xlfn.XLOOKUP(EP$14,_xlfn.ANCHORARRAY( $CR$14), _xlfn.XLOOKUP($EE34,_xlfn.ANCHORARRAY( $CP$15), $CR$15:$CU$19))</f>
        <v>0.22524201652892559</v>
      </c>
      <c r="EQ34" s="10" cm="1">
        <f t="array" aca="1" ref="EQ34" ca="1">DS34-_xlfn.XLOOKUP(EQ$13,_xlfn.ANCHORARRAY( $CR$14), _xlfn.XLOOKUP($ED34,_xlfn.ANCHORARRAY( $CP$15), $CR$15:$CU$19)) * _xlfn.XLOOKUP(EQ$14,_xlfn.ANCHORARRAY( $CR$14), _xlfn.XLOOKUP($EE34,_xlfn.ANCHORARRAY( $CP$15), $CR$15:$CU$19))</f>
        <v>-0.12748525619834711</v>
      </c>
      <c r="ER34" s="10" cm="1">
        <f t="array" aca="1" ref="ER34" ca="1">DT34-_xlfn.XLOOKUP(ER$13,_xlfn.ANCHORARRAY( $CR$14), _xlfn.XLOOKUP($ED34,_xlfn.ANCHORARRAY( $CP$15), $CR$15:$CU$19)) * _xlfn.XLOOKUP(ER$14,_xlfn.ANCHORARRAY( $CR$14), _xlfn.XLOOKUP($EE34,_xlfn.ANCHORARRAY( $CP$15), $CR$15:$CU$19))</f>
        <v>-4.0890710743801649E-2</v>
      </c>
      <c r="ES34" s="10" cm="1">
        <f t="array" aca="1" ref="ES34" ca="1">DU34-_xlfn.XLOOKUP(ES$13,_xlfn.ANCHORARRAY( $CR$14), _xlfn.XLOOKUP($ED34,_xlfn.ANCHORARRAY( $CP$15), $CR$15:$CU$19)) * _xlfn.XLOOKUP(ES$14,_xlfn.ANCHORARRAY( $CR$14), _xlfn.XLOOKUP($EE34,_xlfn.ANCHORARRAY( $CP$15), $CR$15:$CU$19))</f>
        <v>7.8818512396694324E-3</v>
      </c>
      <c r="ET34" s="10" cm="1">
        <f t="array" aca="1" ref="ET34" ca="1">DV34-_xlfn.XLOOKUP(ET$13,_xlfn.ANCHORARRAY( $CR$14), _xlfn.XLOOKUP($ED34,_xlfn.ANCHORARRAY( $CP$15), $CR$15:$CU$19)) * _xlfn.XLOOKUP(ET$14,_xlfn.ANCHORARRAY( $CR$14), _xlfn.XLOOKUP($EE34,_xlfn.ANCHORARRAY( $CP$15), $CR$15:$CU$19))</f>
        <v>-0.15911847933884296</v>
      </c>
      <c r="EU34" s="10" cm="1">
        <f t="array" aca="1" ref="EU34" ca="1">DW34-_xlfn.XLOOKUP(EU$13,_xlfn.ANCHORARRAY( $CR$14), _xlfn.XLOOKUP($ED34,_xlfn.ANCHORARRAY( $CP$15), $CR$15:$CU$19)) * _xlfn.XLOOKUP(EU$14,_xlfn.ANCHORARRAY( $CR$14), _xlfn.XLOOKUP($EE34,_xlfn.ANCHORARRAY( $CP$15), $CR$15:$CU$19))</f>
        <v>0.19360879338842973</v>
      </c>
      <c r="EZ34" cm="1">
        <f t="array" aca="1" ref="EZ34" ca="1">INDEX(_xlfn.ANCHORARRAY($CP$15), 1 + INT((ROWS($DG$15:$DG34) - 1) / ROWS(_xlfn.ANCHORARRAY($CP$15))))</f>
        <v>3</v>
      </c>
      <c r="FA34" cm="1">
        <f t="array" aca="1" ref="FA34" ca="1">INDEX(_xlfn.ANCHORARRAY($CP$15),1+MOD(ROWS($DG$15:$DG34)-1,ROWS(_xlfn.ANCHORARRAY($CP$15))))</f>
        <v>4</v>
      </c>
      <c r="FB34" s="10" cm="1">
        <f t="array" aca="1" ref="FB34" ca="1">EF34 * _xlfn.XLOOKUP(FB$13,_xlfn.ANCHORARRAY( $CZ$29), _xlfn.XLOOKUP($EZ34,_xlfn.ANCHORARRAY( $CY$30), $CZ$30:$DC$34)) * _xlfn.XLOOKUP(FB$14,_xlfn.ANCHORARRAY( $CZ$29), _xlfn.XLOOKUP($FA34,_xlfn.ANCHORARRAY( $CY$30), $CZ$30:$DC$34))</f>
        <v>0.10927220413761581</v>
      </c>
      <c r="FC34" s="10" cm="1">
        <f t="array" aca="1" ref="FC34" ca="1">EG34 * _xlfn.XLOOKUP(FC$13,_xlfn.ANCHORARRAY( $CZ$29), _xlfn.XLOOKUP($EZ34,_xlfn.ANCHORARRAY( $CY$30), $CZ$30:$DC$34)) * _xlfn.XLOOKUP(FC$14,_xlfn.ANCHORARRAY( $CZ$29), _xlfn.XLOOKUP($FA34,_xlfn.ANCHORARRAY( $CY$30), $CZ$30:$DC$34))</f>
        <v>-7.4780532650518504E-3</v>
      </c>
      <c r="FD34" s="10" cm="1">
        <f t="array" aca="1" ref="FD34" ca="1">EH34 * _xlfn.XLOOKUP(FD$13,_xlfn.ANCHORARRAY( $CZ$29), _xlfn.XLOOKUP($EZ34,_xlfn.ANCHORARRAY( $CY$30), $CZ$30:$DC$34)) * _xlfn.XLOOKUP(FD$14,_xlfn.ANCHORARRAY( $CZ$29), _xlfn.XLOOKUP($FA34,_xlfn.ANCHORARRAY( $CY$30), $CZ$30:$DC$34))</f>
        <v>1.9653775399823919E-2</v>
      </c>
      <c r="FE34" s="10" cm="1">
        <f t="array" aca="1" ref="FE34" ca="1">EI34 * _xlfn.XLOOKUP(FE$13,_xlfn.ANCHORARRAY( $CZ$29), _xlfn.XLOOKUP($EZ34,_xlfn.ANCHORARRAY( $CY$30), $CZ$30:$DC$34)) * _xlfn.XLOOKUP(FE$14,_xlfn.ANCHORARRAY( $CZ$29), _xlfn.XLOOKUP($FA34,_xlfn.ANCHORARRAY( $CY$30), $CZ$30:$DC$34))</f>
        <v>1.9653775399823919E-2</v>
      </c>
      <c r="FF34" s="10" cm="1">
        <f t="array" aca="1" ref="FF34" ca="1">EJ34 * _xlfn.XLOOKUP(FF$13,_xlfn.ANCHORARRAY( $CZ$29), _xlfn.XLOOKUP($EZ34,_xlfn.ANCHORARRAY( $CY$30), $CZ$30:$DC$34)) * _xlfn.XLOOKUP(FF$14,_xlfn.ANCHORARRAY( $CZ$29), _xlfn.XLOOKUP($FA34,_xlfn.ANCHORARRAY( $CY$30), $CZ$30:$DC$34))</f>
        <v>-1.0410192460457901E-2</v>
      </c>
      <c r="FG34" s="10" cm="1">
        <f t="array" aca="1" ref="FG34" ca="1">EK34 * _xlfn.XLOOKUP(FG$13,_xlfn.ANCHORARRAY( $CZ$29), _xlfn.XLOOKUP($EZ34,_xlfn.ANCHORARRAY( $CY$30), $CZ$30:$DC$34)) * _xlfn.XLOOKUP(FG$14,_xlfn.ANCHORARRAY( $CZ$29), _xlfn.XLOOKUP($FA34,_xlfn.ANCHORARRAY( $CY$30), $CZ$30:$DC$34))</f>
        <v>3.3799840108879473E-2</v>
      </c>
      <c r="FH34" s="10" cm="1">
        <f t="array" aca="1" ref="FH34" ca="1">EL34 * _xlfn.XLOOKUP(FH$13,_xlfn.ANCHORARRAY( $CZ$29), _xlfn.XLOOKUP($EZ34,_xlfn.ANCHORARRAY( $CY$30), $CZ$30:$DC$34)) * _xlfn.XLOOKUP(FH$14,_xlfn.ANCHORARRAY( $CZ$29), _xlfn.XLOOKUP($FA34,_xlfn.ANCHORARRAY( $CY$30), $CZ$30:$DC$34))</f>
        <v>1.9653775399823919E-2</v>
      </c>
      <c r="FI34" s="10" cm="1">
        <f t="array" aca="1" ref="FI34" ca="1">EM34 * _xlfn.XLOOKUP(FI$13,_xlfn.ANCHORARRAY( $CZ$29), _xlfn.XLOOKUP($EZ34,_xlfn.ANCHORARRAY( $CY$30), $CZ$30:$DC$34)) * _xlfn.XLOOKUP(FI$14,_xlfn.ANCHORARRAY( $CZ$29), _xlfn.XLOOKUP($FA34,_xlfn.ANCHORARRAY( $CY$30), $CZ$30:$DC$34))</f>
        <v>1.9653775399823919E-2</v>
      </c>
      <c r="FJ34" s="10" cm="1">
        <f t="array" aca="1" ref="FJ34" ca="1">EN34 * _xlfn.XLOOKUP(FJ$13,_xlfn.ANCHORARRAY( $CZ$29), _xlfn.XLOOKUP($EZ34,_xlfn.ANCHORARRAY( $CY$30), $CZ$30:$DC$34)) * _xlfn.XLOOKUP(FJ$14,_xlfn.ANCHORARRAY( $CZ$29), _xlfn.XLOOKUP($FA34,_xlfn.ANCHORARRAY( $CY$30), $CZ$30:$DC$34))</f>
        <v>1.9653775399823922E-2</v>
      </c>
      <c r="FK34" s="10" cm="1">
        <f t="array" aca="1" ref="FK34" ca="1">EO34 * _xlfn.XLOOKUP(FK$13,_xlfn.ANCHORARRAY( $CZ$29), _xlfn.XLOOKUP($EZ34,_xlfn.ANCHORARRAY( $CY$30), $CZ$30:$DC$34)) * _xlfn.XLOOKUP(FK$14,_xlfn.ANCHORARRAY( $CZ$29), _xlfn.XLOOKUP($FA34,_xlfn.ANCHORARRAY( $CY$30), $CZ$30:$DC$34))</f>
        <v>1.3358876767764798E-2</v>
      </c>
      <c r="FL34" s="10" cm="1">
        <f t="array" aca="1" ref="FL34" ca="1">EP34 * _xlfn.XLOOKUP(FL$13,_xlfn.ANCHORARRAY( $CZ$29), _xlfn.XLOOKUP($EZ34,_xlfn.ANCHORARRAY( $CY$30), $CZ$30:$DC$34)) * _xlfn.XLOOKUP(FL$14,_xlfn.ANCHORARRAY( $CZ$29), _xlfn.XLOOKUP($FA34,_xlfn.ANCHORARRAY( $CY$30), $CZ$30:$DC$34))</f>
        <v>6.0372486685427169E-2</v>
      </c>
      <c r="FM34" s="10" cm="1">
        <f t="array" aca="1" ref="FM34" ca="1">EQ34 * _xlfn.XLOOKUP(FM$13,_xlfn.ANCHORARRAY( $CZ$29), _xlfn.XLOOKUP($EZ34,_xlfn.ANCHORARRAY( $CY$30), $CZ$30:$DC$34)) * _xlfn.XLOOKUP(FM$14,_xlfn.ANCHORARRAY( $CZ$29), _xlfn.XLOOKUP($FA34,_xlfn.ANCHORARRAY( $CY$30), $CZ$30:$DC$34))</f>
        <v>-3.4170365063458684E-2</v>
      </c>
      <c r="FN34" s="10" cm="1">
        <f t="array" aca="1" ref="FN34" ca="1">ER34 * _xlfn.XLOOKUP(FN$13,_xlfn.ANCHORARRAY( $CZ$29), _xlfn.XLOOKUP($EZ34,_xlfn.ANCHORARRAY( $CY$30), $CZ$30:$DC$34)) * _xlfn.XLOOKUP(FN$14,_xlfn.ANCHORARRAY( $CZ$29), _xlfn.XLOOKUP($FA34,_xlfn.ANCHORARRAY( $CY$30), $CZ$30:$DC$34))</f>
        <v>4.2180518623512166E-2</v>
      </c>
      <c r="FO34" s="10" cm="1">
        <f t="array" aca="1" ref="FO34" ca="1">ES34 * _xlfn.XLOOKUP(FO$13,_xlfn.ANCHORARRAY( $CZ$29), _xlfn.XLOOKUP($EZ34,_xlfn.ANCHORARRAY( $CY$30), $CZ$30:$DC$34)) * _xlfn.XLOOKUP(FO$14,_xlfn.ANCHORARRAY( $CZ$29), _xlfn.XLOOKUP($FA34,_xlfn.ANCHORARRAY( $CY$30), $CZ$30:$DC$34))</f>
        <v>-2.8041596602929597E-3</v>
      </c>
      <c r="FP34" s="10" cm="1">
        <f t="array" aca="1" ref="FP34" ca="1">ET34 * _xlfn.XLOOKUP(FP$13,_xlfn.ANCHORARRAY( $CZ$29), _xlfn.XLOOKUP($EZ34,_xlfn.ANCHORARRAY( $CY$30), $CZ$30:$DC$34)) * _xlfn.XLOOKUP(FP$14,_xlfn.ANCHORARRAY( $CZ$29), _xlfn.XLOOKUP($FA34,_xlfn.ANCHORARRAY( $CY$30), $CZ$30:$DC$34))</f>
        <v>-7.2941903131645502E-2</v>
      </c>
      <c r="FQ34" s="10" cm="1">
        <f t="array" aca="1" ref="FQ34" ca="1">EU34 * _xlfn.XLOOKUP(FQ$13,_xlfn.ANCHORARRAY( $CZ$29), _xlfn.XLOOKUP($EZ34,_xlfn.ANCHORARRAY( $CY$30), $CZ$30:$DC$34)) * _xlfn.XLOOKUP(FQ$14,_xlfn.ANCHORARRAY( $CZ$29), _xlfn.XLOOKUP($FA34,_xlfn.ANCHORARRAY( $CY$30), $CZ$30:$DC$34))</f>
        <v>8.8752694919239289E-2</v>
      </c>
      <c r="FT34" cm="1">
        <f t="array" aca="1" ref="FT34" ca="1">SQRT(SUM((FB34:FQ34)^2))</f>
        <v>0.18749406323881881</v>
      </c>
    </row>
    <row r="35" spans="4:176" x14ac:dyDescent="0.2">
      <c r="J35" cm="1">
        <f t="array" aca="1" ref="J35" ca="1">SUMPRODUCT((O35:AJ35=$O$11:$AJ$11)*(O$13:AJ$13=TRUE))  / COUNTIF(O$13:AJ$13,TRUE)</f>
        <v>0.4</v>
      </c>
      <c r="K35" t="b">
        <f t="shared" ca="1" si="3"/>
        <v>1</v>
      </c>
      <c r="L35" cm="1">
        <f t="array" aca="1" ref="L35" ca="1">SUM(
   1*(_xlfn._xlws.FILTER(OFFSET($O35,0,0,1,$B$9),OFFSET($O$13,0,0,1,$B$9)) = "-")
) / $B$13</f>
        <v>0</v>
      </c>
      <c r="M35" t="b">
        <f t="shared" ca="1" si="4"/>
        <v>1</v>
      </c>
      <c r="N35" s="2">
        <v>20</v>
      </c>
      <c r="O35" s="12" t="s">
        <v>3</v>
      </c>
      <c r="P35" s="9" t="s">
        <v>0</v>
      </c>
      <c r="Q35" s="9" t="s">
        <v>2</v>
      </c>
      <c r="R35" s="9" t="s">
        <v>3</v>
      </c>
      <c r="S35" s="9" t="s">
        <v>1</v>
      </c>
      <c r="DF35" cm="1">
        <f t="array" aca="1" ref="DF35" ca="1">INDEX(_xlfn.ANCHORARRAY($CP$15), 1 + INT((ROWS($DG$15:$DG35) - 1) / ROWS(_xlfn.ANCHORARRAY($CP$15))))</f>
        <v>4</v>
      </c>
      <c r="DG35" cm="1">
        <f t="array" aca="1" ref="DG35" ca="1">INDEX(_xlfn.ANCHORARRAY($CP$15),1+MOD(ROWS($DG$15:$DG35)-1,ROWS(_xlfn.ANCHORARRAY($CP$15))))</f>
        <v>0</v>
      </c>
      <c r="DH35" s="10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$B$18/($B$19*$B$19*($DF35&lt;&gt;$DG35) + $B$19*($DF35=$DG35))</f>
        <v>8.9381818181818187E-2</v>
      </c>
      <c r="DI35" s="10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$B$18/($B$19*$B$19*($DF35&lt;&gt;$DG35) + $B$19*($DF35=$DG35))</f>
        <v>1.1999999999999999E-3</v>
      </c>
      <c r="DJ35" s="10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$B$18/($B$19*$B$19*($DF35&lt;&gt;$DG35) + $B$19*($DF35=$DG35))</f>
        <v>1.1999999999999999E-3</v>
      </c>
      <c r="DK35" s="10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$B$18/($B$19*$B$19*($DF35&lt;&gt;$DG35) + $B$19*($DF35=$DG35))</f>
        <v>1.1999999999999999E-3</v>
      </c>
      <c r="DL35" s="10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$B$18/($B$19*$B$19*($DF35&lt;&gt;$DG35) + $B$19*($DF35=$DG35))</f>
        <v>8.9381818181818187E-2</v>
      </c>
      <c r="DM35" s="10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$B$18/($B$19*$B$19*($DF35&lt;&gt;$DG35) + $B$19*($DF35=$DG35))</f>
        <v>1.1999999999999999E-3</v>
      </c>
      <c r="DN35" s="10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$B$18/($B$19*$B$19*($DF35&lt;&gt;$DG35) + $B$19*($DF35=$DG35))</f>
        <v>1.1999999999999999E-3</v>
      </c>
      <c r="DO35" s="10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$B$18/($B$19*$B$19*($DF35&lt;&gt;$DG35) + $B$19*($DF35=$DG35))</f>
        <v>8.9381818181818187E-2</v>
      </c>
      <c r="DP35" s="10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$B$18/($B$19*$B$19*($DF35&lt;&gt;$DG35) + $B$19*($DF35=$DG35))</f>
        <v>8.9381818181818187E-2</v>
      </c>
      <c r="DQ35" s="10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$B$18/($B$19*$B$19*($DF35&lt;&gt;$DG35) + $B$19*($DF35=$DG35))</f>
        <v>8.9381818181818187E-2</v>
      </c>
      <c r="DR35" s="10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$B$18/($B$19*$B$19*($DF35&lt;&gt;$DG35) + $B$19*($DF35=$DG35))</f>
        <v>8.9381818181818187E-2</v>
      </c>
      <c r="DS35" s="10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$B$18/($B$19*$B$19*($DF35&lt;&gt;$DG35) + $B$19*($DF35=$DG35))</f>
        <v>8.9381818181818187E-2</v>
      </c>
      <c r="DT35" s="10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$B$18/($B$19*$B$19*($DF35&lt;&gt;$DG35) + $B$19*($DF35=$DG35))</f>
        <v>8.9381818181818187E-2</v>
      </c>
      <c r="DU35" s="10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$B$18/($B$19*$B$19*($DF35&lt;&gt;$DG35) + $B$19*($DF35=$DG35))</f>
        <v>8.9381818181818187E-2</v>
      </c>
      <c r="DV35" s="10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$B$18/($B$19*$B$19*($DF35&lt;&gt;$DG35) + $B$19*($DF35=$DG35))</f>
        <v>8.9381818181818187E-2</v>
      </c>
      <c r="DW35" s="10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$B$18/($B$19*$B$19*($DF35&lt;&gt;$DG35) + $B$19*($DF35=$DG35))</f>
        <v>8.9381818181818187E-2</v>
      </c>
      <c r="ED35" cm="1">
        <f t="array" aca="1" ref="ED35" ca="1">INDEX(_xlfn.ANCHORARRAY($CP$15), 1 + INT((ROWS($DG$15:$DG35) - 1) / ROWS(_xlfn.ANCHORARRAY($CP$15))))</f>
        <v>4</v>
      </c>
      <c r="EE35" cm="1">
        <f t="array" aca="1" ref="EE35" ca="1">INDEX(_xlfn.ANCHORARRAY($CP$15),1+MOD(ROWS($DG$15:$DG35)-1,ROWS(_xlfn.ANCHORARRAY($CP$15))))</f>
        <v>0</v>
      </c>
      <c r="EF35" s="10" cm="1">
        <f t="array" aca="1" ref="EF35" ca="1">DH35-_xlfn.XLOOKUP(EF$13,_xlfn.ANCHORARRAY( $CR$14), _xlfn.XLOOKUP($ED35,_xlfn.ANCHORARRAY( $CP$15), $CR$15:$CU$19)) * _xlfn.XLOOKUP(EF$14,_xlfn.ANCHORARRAY( $CR$14), _xlfn.XLOOKUP($EE35,_xlfn.ANCHORARRAY( $CP$15), $CR$15:$CU$19))</f>
        <v>5.5596231404958681E-2</v>
      </c>
      <c r="EG35" s="10" cm="1">
        <f t="array" aca="1" ref="EG35" ca="1">DI35-_xlfn.XLOOKUP(EG$13,_xlfn.ANCHORARRAY( $CR$14), _xlfn.XLOOKUP($ED35,_xlfn.ANCHORARRAY( $CP$15), $CR$15:$CU$19)) * _xlfn.XLOOKUP(EG$14,_xlfn.ANCHORARRAY( $CR$14), _xlfn.XLOOKUP($EE35,_xlfn.ANCHORARRAY( $CP$15), $CR$15:$CU$19))</f>
        <v>-1.5975338842975209E-2</v>
      </c>
      <c r="EH35" s="10" cm="1">
        <f t="array" aca="1" ref="EH35" ca="1">DJ35-_xlfn.XLOOKUP(EH$13,_xlfn.ANCHORARRAY( $CR$14), _xlfn.XLOOKUP($ED35,_xlfn.ANCHORARRAY( $CP$15), $CR$15:$CU$19)) * _xlfn.XLOOKUP(EH$14,_xlfn.ANCHORARRAY( $CR$14), _xlfn.XLOOKUP($EE35,_xlfn.ANCHORARRAY( $CP$15), $CR$15:$CU$19))</f>
        <v>-1.5975338842975209E-2</v>
      </c>
      <c r="EI35" s="10" cm="1">
        <f t="array" aca="1" ref="EI35" ca="1">DK35-_xlfn.XLOOKUP(EI$13,_xlfn.ANCHORARRAY( $CR$14), _xlfn.XLOOKUP($ED35,_xlfn.ANCHORARRAY( $CP$15), $CR$15:$CU$19)) * _xlfn.XLOOKUP(EI$14,_xlfn.ANCHORARRAY( $CR$14), _xlfn.XLOOKUP($EE35,_xlfn.ANCHORARRAY( $CP$15), $CR$15:$CU$19))</f>
        <v>-2.4280462809917362E-2</v>
      </c>
      <c r="EJ35" s="10" cm="1">
        <f t="array" aca="1" ref="EJ35" ca="1">DL35-_xlfn.XLOOKUP(EJ$13,_xlfn.ANCHORARRAY( $CR$14), _xlfn.XLOOKUP($ED35,_xlfn.ANCHORARRAY( $CP$15), $CR$15:$CU$19)) * _xlfn.XLOOKUP(EJ$14,_xlfn.ANCHORARRAY( $CR$14), _xlfn.XLOOKUP($EE35,_xlfn.ANCHORARRAY( $CP$15), $CR$15:$CU$19))</f>
        <v>2.3963008264462821E-2</v>
      </c>
      <c r="EK35" s="10" cm="1">
        <f t="array" aca="1" ref="EK35" ca="1">DM35-_xlfn.XLOOKUP(EK$13,_xlfn.ANCHORARRAY( $CR$14), _xlfn.XLOOKUP($ED35,_xlfn.ANCHORARRAY( $CP$15), $CR$15:$CU$19)) * _xlfn.XLOOKUP(EK$14,_xlfn.ANCHORARRAY( $CR$14), _xlfn.XLOOKUP($EE35,_xlfn.ANCHORARRAY( $CP$15), $CR$15:$CU$19))</f>
        <v>-3.2056495867768597E-2</v>
      </c>
      <c r="EL35" s="10" cm="1">
        <f t="array" aca="1" ref="EL35" ca="1">DN35-_xlfn.XLOOKUP(EL$13,_xlfn.ANCHORARRAY( $CR$14), _xlfn.XLOOKUP($ED35,_xlfn.ANCHORARRAY( $CP$15), $CR$15:$CU$19)) * _xlfn.XLOOKUP(EL$14,_xlfn.ANCHORARRAY( $CR$14), _xlfn.XLOOKUP($EE35,_xlfn.ANCHORARRAY( $CP$15), $CR$15:$CU$19))</f>
        <v>-3.2056495867768597E-2</v>
      </c>
      <c r="EM35" s="10" cm="1">
        <f t="array" aca="1" ref="EM35" ca="1">DO35-_xlfn.XLOOKUP(EM$13,_xlfn.ANCHORARRAY( $CR$14), _xlfn.XLOOKUP($ED35,_xlfn.ANCHORARRAY( $CP$15), $CR$15:$CU$19)) * _xlfn.XLOOKUP(EM$14,_xlfn.ANCHORARRAY( $CR$14), _xlfn.XLOOKUP($EE35,_xlfn.ANCHORARRAY( $CP$15), $CR$15:$CU$19))</f>
        <v>4.0044165289256195E-2</v>
      </c>
      <c r="EN35" s="10" cm="1">
        <f t="array" aca="1" ref="EN35" ca="1">DP35-_xlfn.XLOOKUP(EN$13,_xlfn.ANCHORARRAY( $CR$14), _xlfn.XLOOKUP($ED35,_xlfn.ANCHORARRAY( $CP$15), $CR$15:$CU$19)) * _xlfn.XLOOKUP(EN$14,_xlfn.ANCHORARRAY( $CR$14), _xlfn.XLOOKUP($EE35,_xlfn.ANCHORARRAY( $CP$15), $CR$15:$CU$19))</f>
        <v>-3.9303438016528927E-2</v>
      </c>
      <c r="EO35" s="10" cm="1">
        <f t="array" aca="1" ref="EO35" ca="1">DQ35-_xlfn.XLOOKUP(EO$13,_xlfn.ANCHORARRAY( $CR$14), _xlfn.XLOOKUP($ED35,_xlfn.ANCHORARRAY( $CP$15), $CR$15:$CU$19)) * _xlfn.XLOOKUP(EO$14,_xlfn.ANCHORARRAY( $CR$14), _xlfn.XLOOKUP($EE35,_xlfn.ANCHORARRAY( $CP$15), $CR$15:$CU$19))</f>
        <v>2.3963008264462821E-2</v>
      </c>
      <c r="EP35" s="10" cm="1">
        <f t="array" aca="1" ref="EP35" ca="1">DR35-_xlfn.XLOOKUP(EP$13,_xlfn.ANCHORARRAY( $CR$14), _xlfn.XLOOKUP($ED35,_xlfn.ANCHORARRAY( $CP$15), $CR$15:$CU$19)) * _xlfn.XLOOKUP(EP$14,_xlfn.ANCHORARRAY( $CR$14), _xlfn.XLOOKUP($EE35,_xlfn.ANCHORARRAY( $CP$15), $CR$15:$CU$19))</f>
        <v>2.3963008264462821E-2</v>
      </c>
      <c r="EQ35" s="10" cm="1">
        <f t="array" aca="1" ref="EQ35" ca="1">DS35-_xlfn.XLOOKUP(EQ$13,_xlfn.ANCHORARRAY( $CR$14), _xlfn.XLOOKUP($ED35,_xlfn.ANCHORARRAY( $CP$15), $CR$15:$CU$19)) * _xlfn.XLOOKUP(EQ$14,_xlfn.ANCHORARRAY( $CR$14), _xlfn.XLOOKUP($EE35,_xlfn.ANCHORARRAY( $CP$15), $CR$15:$CU$19))</f>
        <v>-7.6702148760330741E-3</v>
      </c>
      <c r="ER35" s="10" cm="1">
        <f t="array" aca="1" ref="ER35" ca="1">DT35-_xlfn.XLOOKUP(ER$13,_xlfn.ANCHORARRAY( $CR$14), _xlfn.XLOOKUP($ED35,_xlfn.ANCHORARRAY( $CP$15), $CR$15:$CU$19)) * _xlfn.XLOOKUP(ER$14,_xlfn.ANCHORARRAY( $CR$14), _xlfn.XLOOKUP($EE35,_xlfn.ANCHORARRAY( $CP$15), $CR$15:$CU$19))</f>
        <v>-3.9303438016528927E-2</v>
      </c>
      <c r="ES35" s="10" cm="1">
        <f t="array" aca="1" ref="ES35" ca="1">DU35-_xlfn.XLOOKUP(ES$13,_xlfn.ANCHORARRAY( $CR$14), _xlfn.XLOOKUP($ED35,_xlfn.ANCHORARRAY( $CP$15), $CR$15:$CU$19)) * _xlfn.XLOOKUP(ES$14,_xlfn.ANCHORARRAY( $CR$14), _xlfn.XLOOKUP($EE35,_xlfn.ANCHORARRAY( $CP$15), $CR$15:$CU$19))</f>
        <v>2.3963008264462821E-2</v>
      </c>
      <c r="ET35" s="10" cm="1">
        <f t="array" aca="1" ref="ET35" ca="1">DV35-_xlfn.XLOOKUP(ET$13,_xlfn.ANCHORARRAY( $CR$14), _xlfn.XLOOKUP($ED35,_xlfn.ANCHORARRAY( $CP$15), $CR$15:$CU$19)) * _xlfn.XLOOKUP(ET$14,_xlfn.ANCHORARRAY( $CR$14), _xlfn.XLOOKUP($EE35,_xlfn.ANCHORARRAY( $CP$15), $CR$15:$CU$19))</f>
        <v>2.3963008264462821E-2</v>
      </c>
      <c r="EU35" s="10" cm="1">
        <f t="array" aca="1" ref="EU35" ca="1">DW35-_xlfn.XLOOKUP(EU$13,_xlfn.ANCHORARRAY( $CR$14), _xlfn.XLOOKUP($ED35,_xlfn.ANCHORARRAY( $CP$15), $CR$15:$CU$19)) * _xlfn.XLOOKUP(EU$14,_xlfn.ANCHORARRAY( $CR$14), _xlfn.XLOOKUP($EE35,_xlfn.ANCHORARRAY( $CP$15), $CR$15:$CU$19))</f>
        <v>-7.6702148760330741E-3</v>
      </c>
      <c r="EZ35" cm="1">
        <f t="array" aca="1" ref="EZ35" ca="1">INDEX(_xlfn.ANCHORARRAY($CP$15), 1 + INT((ROWS($DG$15:$DG35) - 1) / ROWS(_xlfn.ANCHORARRAY($CP$15))))</f>
        <v>4</v>
      </c>
      <c r="FA35" cm="1">
        <f t="array" aca="1" ref="FA35" ca="1">INDEX(_xlfn.ANCHORARRAY($CP$15),1+MOD(ROWS($DG$15:$DG35)-1,ROWS(_xlfn.ANCHORARRAY($CP$15))))</f>
        <v>0</v>
      </c>
      <c r="FB35" s="10" cm="1">
        <f t="array" aca="1" ref="FB35" ca="1">EF35 * _xlfn.XLOOKUP(FB$13,_xlfn.ANCHORARRAY( $CZ$29), _xlfn.XLOOKUP($EZ35,_xlfn.ANCHORARRAY( $CY$30), $CZ$30:$DC$34)) * _xlfn.XLOOKUP(FB$14,_xlfn.ANCHORARRAY( $CZ$29), _xlfn.XLOOKUP($FA35,_xlfn.ANCHORARRAY( $CY$30), $CZ$30:$DC$34))</f>
        <v>-3.3532489458979249E-2</v>
      </c>
      <c r="FC35" s="10" cm="1">
        <f t="array" aca="1" ref="FC35" ca="1">EG35 * _xlfn.XLOOKUP(FC$13,_xlfn.ANCHORARRAY( $CZ$29), _xlfn.XLOOKUP($EZ35,_xlfn.ANCHORARRAY( $CY$30), $CZ$30:$DC$34)) * _xlfn.XLOOKUP(FC$14,_xlfn.ANCHORARRAY( $CZ$29), _xlfn.XLOOKUP($FA35,_xlfn.ANCHORARRAY( $CY$30), $CZ$30:$DC$34))</f>
        <v>-7.4780532650518504E-3</v>
      </c>
      <c r="FD35" s="10" cm="1">
        <f t="array" aca="1" ref="FD35" ca="1">EH35 * _xlfn.XLOOKUP(FD$13,_xlfn.ANCHORARRAY( $CZ$29), _xlfn.XLOOKUP($EZ35,_xlfn.ANCHORARRAY( $CY$30), $CZ$30:$DC$34)) * _xlfn.XLOOKUP(FD$14,_xlfn.ANCHORARRAY( $CZ$29), _xlfn.XLOOKUP($FA35,_xlfn.ANCHORARRAY( $CY$30), $CZ$30:$DC$34))</f>
        <v>-7.4780532650518504E-3</v>
      </c>
      <c r="FE35" s="10" cm="1">
        <f t="array" aca="1" ref="FE35" ca="1">EI35 * _xlfn.XLOOKUP(FE$13,_xlfn.ANCHORARRAY( $CZ$29), _xlfn.XLOOKUP($EZ35,_xlfn.ANCHORARRAY( $CY$30), $CZ$30:$DC$34)) * _xlfn.XLOOKUP(FE$14,_xlfn.ANCHORARRAY( $CZ$29), _xlfn.XLOOKUP($FA35,_xlfn.ANCHORARRAY( $CY$30), $CZ$30:$DC$34))</f>
        <v>3.0197587170288412E-3</v>
      </c>
      <c r="FF35" s="10" cm="1">
        <f t="array" aca="1" ref="FF35" ca="1">EJ35 * _xlfn.XLOOKUP(FF$13,_xlfn.ANCHORARRAY( $CZ$29), _xlfn.XLOOKUP($EZ35,_xlfn.ANCHORARRAY( $CY$30), $CZ$30:$DC$34)) * _xlfn.XLOOKUP(FF$14,_xlfn.ANCHORARRAY( $CZ$29), _xlfn.XLOOKUP($FA35,_xlfn.ANCHORARRAY( $CY$30), $CZ$30:$DC$34))</f>
        <v>-4.9848148042895288E-3</v>
      </c>
      <c r="FG35" s="10" cm="1">
        <f t="array" aca="1" ref="FG35" ca="1">EK35 * _xlfn.XLOOKUP(FG$13,_xlfn.ANCHORARRAY( $CZ$29), _xlfn.XLOOKUP($EZ35,_xlfn.ANCHORARRAY( $CY$30), $CZ$30:$DC$34)) * _xlfn.XLOOKUP(FG$14,_xlfn.ANCHORARRAY( $CZ$29), _xlfn.XLOOKUP($FA35,_xlfn.ANCHORARRAY( $CY$30), $CZ$30:$DC$34))</f>
        <v>-5.1753743710243813E-3</v>
      </c>
      <c r="FH35" s="10" cm="1">
        <f t="array" aca="1" ref="FH35" ca="1">EL35 * _xlfn.XLOOKUP(FH$13,_xlfn.ANCHORARRAY( $CZ$29), _xlfn.XLOOKUP($EZ35,_xlfn.ANCHORARRAY( $CY$30), $CZ$30:$DC$34)) * _xlfn.XLOOKUP(FH$14,_xlfn.ANCHORARRAY( $CZ$29), _xlfn.XLOOKUP($FA35,_xlfn.ANCHORARRAY( $CY$30), $CZ$30:$DC$34))</f>
        <v>-5.1753743710243813E-3</v>
      </c>
      <c r="FI35" s="10" cm="1">
        <f t="array" aca="1" ref="FI35" ca="1">EM35 * _xlfn.XLOOKUP(FI$13,_xlfn.ANCHORARRAY( $CZ$29), _xlfn.XLOOKUP($EZ35,_xlfn.ANCHORARRAY( $CY$30), $CZ$30:$DC$34)) * _xlfn.XLOOKUP(FI$14,_xlfn.ANCHORARRAY( $CZ$29), _xlfn.XLOOKUP($FA35,_xlfn.ANCHORARRAY( $CY$30), $CZ$30:$DC$34))</f>
        <v>-1.7176780901257355E-3</v>
      </c>
      <c r="FJ35" s="10" cm="1">
        <f t="array" aca="1" ref="FJ35" ca="1">EN35 * _xlfn.XLOOKUP(FJ$13,_xlfn.ANCHORARRAY( $CZ$29), _xlfn.XLOOKUP($EZ35,_xlfn.ANCHORARRAY( $CY$30), $CZ$30:$DC$34)) * _xlfn.XLOOKUP(FJ$14,_xlfn.ANCHORARRAY( $CZ$29), _xlfn.XLOOKUP($FA35,_xlfn.ANCHORARRAY( $CY$30), $CZ$30:$DC$34))</f>
        <v>-1.0534652126237219E-2</v>
      </c>
      <c r="FK35" s="10" cm="1">
        <f t="array" aca="1" ref="FK35" ca="1">EO35 * _xlfn.XLOOKUP(FK$13,_xlfn.ANCHORARRAY( $CZ$29), _xlfn.XLOOKUP($EZ35,_xlfn.ANCHORARRAY( $CY$30), $CZ$30:$DC$34)) * _xlfn.XLOOKUP(FK$14,_xlfn.ANCHORARRAY( $CZ$29), _xlfn.XLOOKUP($FA35,_xlfn.ANCHORARRAY( $CY$30), $CZ$30:$DC$34))</f>
        <v>-4.9848148042895288E-3</v>
      </c>
      <c r="FL35" s="10" cm="1">
        <f t="array" aca="1" ref="FL35" ca="1">EP35 * _xlfn.XLOOKUP(FL$13,_xlfn.ANCHORARRAY( $CZ$29), _xlfn.XLOOKUP($EZ35,_xlfn.ANCHORARRAY( $CY$30), $CZ$30:$DC$34)) * _xlfn.XLOOKUP(FL$14,_xlfn.ANCHORARRAY( $CZ$29), _xlfn.XLOOKUP($FA35,_xlfn.ANCHORARRAY( $CY$30), $CZ$30:$DC$34))</f>
        <v>-4.9848148042895288E-3</v>
      </c>
      <c r="FM35" s="10" cm="1">
        <f t="array" aca="1" ref="FM35" ca="1">EQ35 * _xlfn.XLOOKUP(FM$13,_xlfn.ANCHORARRAY( $CZ$29), _xlfn.XLOOKUP($EZ35,_xlfn.ANCHORARRAY( $CY$30), $CZ$30:$DC$34)) * _xlfn.XLOOKUP(FM$14,_xlfn.ANCHORARRAY( $CZ$29), _xlfn.XLOOKUP($FA35,_xlfn.ANCHORARRAY( $CY$30), $CZ$30:$DC$34))</f>
        <v>-4.2392792792996057E-4</v>
      </c>
      <c r="FN35" s="10" cm="1">
        <f t="array" aca="1" ref="FN35" ca="1">ER35 * _xlfn.XLOOKUP(FN$13,_xlfn.ANCHORARRAY( $CZ$29), _xlfn.XLOOKUP($EZ35,_xlfn.ANCHORARRAY( $CY$30), $CZ$30:$DC$34)) * _xlfn.XLOOKUP(FN$14,_xlfn.ANCHORARRAY( $CZ$29), _xlfn.XLOOKUP($FA35,_xlfn.ANCHORARRAY( $CY$30), $CZ$30:$DC$34))</f>
        <v>-1.0534652126237219E-2</v>
      </c>
      <c r="FO35" s="10" cm="1">
        <f t="array" aca="1" ref="FO35" ca="1">ES35 * _xlfn.XLOOKUP(FO$13,_xlfn.ANCHORARRAY( $CZ$29), _xlfn.XLOOKUP($EZ35,_xlfn.ANCHORARRAY( $CY$30), $CZ$30:$DC$34)) * _xlfn.XLOOKUP(FO$14,_xlfn.ANCHORARRAY( $CZ$29), _xlfn.XLOOKUP($FA35,_xlfn.ANCHORARRAY( $CY$30), $CZ$30:$DC$34))</f>
        <v>-4.9848148042895288E-3</v>
      </c>
      <c r="FP35" s="10" cm="1">
        <f t="array" aca="1" ref="FP35" ca="1">ET35 * _xlfn.XLOOKUP(FP$13,_xlfn.ANCHORARRAY( $CZ$29), _xlfn.XLOOKUP($EZ35,_xlfn.ANCHORARRAY( $CY$30), $CZ$30:$DC$34)) * _xlfn.XLOOKUP(FP$14,_xlfn.ANCHORARRAY( $CZ$29), _xlfn.XLOOKUP($FA35,_xlfn.ANCHORARRAY( $CY$30), $CZ$30:$DC$34))</f>
        <v>-4.9848148042895288E-3</v>
      </c>
      <c r="FQ35" s="10" cm="1">
        <f t="array" aca="1" ref="FQ35" ca="1">EU35 * _xlfn.XLOOKUP(FQ$13,_xlfn.ANCHORARRAY( $CZ$29), _xlfn.XLOOKUP($EZ35,_xlfn.ANCHORARRAY( $CY$30), $CZ$30:$DC$34)) * _xlfn.XLOOKUP(FQ$14,_xlfn.ANCHORARRAY( $CZ$29), _xlfn.XLOOKUP($FA35,_xlfn.ANCHORARRAY( $CY$30), $CZ$30:$DC$34))</f>
        <v>-4.2392792792996057E-4</v>
      </c>
      <c r="FT35" cm="1">
        <f t="array" aca="1" ref="FT35" ca="1">SQRT(SUM((FB35:FQ35)^2))</f>
        <v>4.0601328609547842E-2</v>
      </c>
    </row>
    <row r="36" spans="4:176" x14ac:dyDescent="0.2">
      <c r="J36" cm="1">
        <f t="array" aca="1" ref="J36" ca="1">SUMPRODUCT((O36:AJ36=$O$11:$AJ$11)*(O$13:AJ$13=TRUE))  / COUNTIF(O$13:AJ$13,TRUE)</f>
        <v>0.2</v>
      </c>
      <c r="K36" t="b">
        <f t="shared" ca="1" si="3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4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cm="1">
        <f t="array" aca="1" ref="DF36" ca="1">INDEX(_xlfn.ANCHORARRAY($CP$15), 1 + INT((ROWS($DG$15:$DG36) - 1) / ROWS(_xlfn.ANCHORARRAY($CP$15))))</f>
        <v>4</v>
      </c>
      <c r="DG36" cm="1">
        <f t="array" aca="1" ref="DG36" ca="1">INDEX(_xlfn.ANCHORARRAY($CP$15),1+MOD(ROWS($DG$15:$DG36)-1,ROWS(_xlfn.ANCHORARRAY($CP$15))))</f>
        <v>1</v>
      </c>
      <c r="DH36" s="10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$B$18/($B$19*$B$19*($DF36&lt;&gt;$DG36) + $B$19*($DF36=$DG36))</f>
        <v>1.1999999999999999E-3</v>
      </c>
      <c r="DI36" s="10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$B$18/($B$19*$B$19*($DF36&lt;&gt;$DG36) + $B$19*($DF36=$DG36))</f>
        <v>8.9381818181818187E-2</v>
      </c>
      <c r="DJ36" s="10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$B$18/($B$19*$B$19*($DF36&lt;&gt;$DG36) + $B$19*($DF36=$DG36))</f>
        <v>1.1999999999999999E-3</v>
      </c>
      <c r="DK36" s="10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$B$18/($B$19*$B$19*($DF36&lt;&gt;$DG36) + $B$19*($DF36=$DG36))</f>
        <v>1.1999999999999999E-3</v>
      </c>
      <c r="DL36" s="10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$B$18/($B$19*$B$19*($DF36&lt;&gt;$DG36) + $B$19*($DF36=$DG36))</f>
        <v>8.9381818181818187E-2</v>
      </c>
      <c r="DM36" s="10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$B$18/($B$19*$B$19*($DF36&lt;&gt;$DG36) + $B$19*($DF36=$DG36))</f>
        <v>8.9381818181818187E-2</v>
      </c>
      <c r="DN36" s="10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$B$18/($B$19*$B$19*($DF36&lt;&gt;$DG36) + $B$19*($DF36=$DG36))</f>
        <v>1.1999999999999999E-3</v>
      </c>
      <c r="DO36" s="10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$B$18/($B$19*$B$19*($DF36&lt;&gt;$DG36) + $B$19*($DF36=$DG36))</f>
        <v>1.1999999999999999E-3</v>
      </c>
      <c r="DP36" s="10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$B$18/($B$19*$B$19*($DF36&lt;&gt;$DG36) + $B$19*($DF36=$DG36))</f>
        <v>8.9381818181818187E-2</v>
      </c>
      <c r="DQ36" s="10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$B$18/($B$19*$B$19*($DF36&lt;&gt;$DG36) + $B$19*($DF36=$DG36))</f>
        <v>8.9381818181818187E-2</v>
      </c>
      <c r="DR36" s="10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$B$18/($B$19*$B$19*($DF36&lt;&gt;$DG36) + $B$19*($DF36=$DG36))</f>
        <v>8.9381818181818187E-2</v>
      </c>
      <c r="DS36" s="10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$B$18/($B$19*$B$19*($DF36&lt;&gt;$DG36) + $B$19*($DF36=$DG36))</f>
        <v>8.9381818181818187E-2</v>
      </c>
      <c r="DT36" s="10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$B$18/($B$19*$B$19*($DF36&lt;&gt;$DG36) + $B$19*($DF36=$DG36))</f>
        <v>8.9381818181818187E-2</v>
      </c>
      <c r="DU36" s="10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$B$18/($B$19*$B$19*($DF36&lt;&gt;$DG36) + $B$19*($DF36=$DG36))</f>
        <v>8.9381818181818187E-2</v>
      </c>
      <c r="DV36" s="10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$B$18/($B$19*$B$19*($DF36&lt;&gt;$DG36) + $B$19*($DF36=$DG36))</f>
        <v>8.9381818181818187E-2</v>
      </c>
      <c r="DW36" s="10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$B$18/($B$19*$B$19*($DF36&lt;&gt;$DG36) + $B$19*($DF36=$DG36))</f>
        <v>8.9381818181818187E-2</v>
      </c>
      <c r="ED36" cm="1">
        <f t="array" aca="1" ref="ED36" ca="1">INDEX(_xlfn.ANCHORARRAY($CP$15), 1 + INT((ROWS($DG$15:$DG36) - 1) / ROWS(_xlfn.ANCHORARRAY($CP$15))))</f>
        <v>4</v>
      </c>
      <c r="EE36" cm="1">
        <f t="array" aca="1" ref="EE36" ca="1">INDEX(_xlfn.ANCHORARRAY($CP$15),1+MOD(ROWS($DG$15:$DG36)-1,ROWS(_xlfn.ANCHORARRAY($CP$15))))</f>
        <v>1</v>
      </c>
      <c r="EF36" s="10" cm="1">
        <f t="array" aca="1" ref="EF36" ca="1">DH36-_xlfn.XLOOKUP(EF$13,_xlfn.ANCHORARRAY( $CR$14), _xlfn.XLOOKUP($ED36,_xlfn.ANCHORARRAY( $CP$15), $CR$15:$CU$19)) * _xlfn.XLOOKUP(EF$14,_xlfn.ANCHORARRAY( $CR$14), _xlfn.XLOOKUP($EE36,_xlfn.ANCHORARRAY( $CP$15), $CR$15:$CU$19))</f>
        <v>-2.4280462809917362E-2</v>
      </c>
      <c r="EG36" s="10" cm="1">
        <f t="array" aca="1" ref="EG36" ca="1">DI36-_xlfn.XLOOKUP(EG$13,_xlfn.ANCHORARRAY( $CR$14), _xlfn.XLOOKUP($ED36,_xlfn.ANCHORARRAY( $CP$15), $CR$15:$CU$19)) * _xlfn.XLOOKUP(EG$14,_xlfn.ANCHORARRAY( $CR$14), _xlfn.XLOOKUP($EE36,_xlfn.ANCHORARRAY( $CP$15), $CR$15:$CU$19))</f>
        <v>5.5596231404958681E-2</v>
      </c>
      <c r="EH36" s="10" cm="1">
        <f t="array" aca="1" ref="EH36" ca="1">DJ36-_xlfn.XLOOKUP(EH$13,_xlfn.ANCHORARRAY( $CR$14), _xlfn.XLOOKUP($ED36,_xlfn.ANCHORARRAY( $CP$15), $CR$15:$CU$19)) * _xlfn.XLOOKUP(EH$14,_xlfn.ANCHORARRAY( $CR$14), _xlfn.XLOOKUP($EE36,_xlfn.ANCHORARRAY( $CP$15), $CR$15:$CU$19))</f>
        <v>-1.5975338842975209E-2</v>
      </c>
      <c r="EI36" s="10" cm="1">
        <f t="array" aca="1" ref="EI36" ca="1">DK36-_xlfn.XLOOKUP(EI$13,_xlfn.ANCHORARRAY( $CR$14), _xlfn.XLOOKUP($ED36,_xlfn.ANCHORARRAY( $CP$15), $CR$15:$CU$19)) * _xlfn.XLOOKUP(EI$14,_xlfn.ANCHORARRAY( $CR$14), _xlfn.XLOOKUP($EE36,_xlfn.ANCHORARRAY( $CP$15), $CR$15:$CU$19))</f>
        <v>-1.5975338842975209E-2</v>
      </c>
      <c r="EJ36" s="10" cm="1">
        <f t="array" aca="1" ref="EJ36" ca="1">DL36-_xlfn.XLOOKUP(EJ$13,_xlfn.ANCHORARRAY( $CR$14), _xlfn.XLOOKUP($ED36,_xlfn.ANCHORARRAY( $CP$15), $CR$15:$CU$19)) * _xlfn.XLOOKUP(EJ$14,_xlfn.ANCHORARRAY( $CR$14), _xlfn.XLOOKUP($EE36,_xlfn.ANCHORARRAY( $CP$15), $CR$15:$CU$19))</f>
        <v>4.0044165289256195E-2</v>
      </c>
      <c r="EK36" s="10" cm="1">
        <f t="array" aca="1" ref="EK36" ca="1">DM36-_xlfn.XLOOKUP(EK$13,_xlfn.ANCHORARRAY( $CR$14), _xlfn.XLOOKUP($ED36,_xlfn.ANCHORARRAY( $CP$15), $CR$15:$CU$19)) * _xlfn.XLOOKUP(EK$14,_xlfn.ANCHORARRAY( $CR$14), _xlfn.XLOOKUP($EE36,_xlfn.ANCHORARRAY( $CP$15), $CR$15:$CU$19))</f>
        <v>2.3963008264462821E-2</v>
      </c>
      <c r="EL36" s="10" cm="1">
        <f t="array" aca="1" ref="EL36" ca="1">DN36-_xlfn.XLOOKUP(EL$13,_xlfn.ANCHORARRAY( $CR$14), _xlfn.XLOOKUP($ED36,_xlfn.ANCHORARRAY( $CP$15), $CR$15:$CU$19)) * _xlfn.XLOOKUP(EL$14,_xlfn.ANCHORARRAY( $CR$14), _xlfn.XLOOKUP($EE36,_xlfn.ANCHORARRAY( $CP$15), $CR$15:$CU$19))</f>
        <v>-3.2056495867768597E-2</v>
      </c>
      <c r="EM36" s="10" cm="1">
        <f t="array" aca="1" ref="EM36" ca="1">DO36-_xlfn.XLOOKUP(EM$13,_xlfn.ANCHORARRAY( $CR$14), _xlfn.XLOOKUP($ED36,_xlfn.ANCHORARRAY( $CP$15), $CR$15:$CU$19)) * _xlfn.XLOOKUP(EM$14,_xlfn.ANCHORARRAY( $CR$14), _xlfn.XLOOKUP($EE36,_xlfn.ANCHORARRAY( $CP$15), $CR$15:$CU$19))</f>
        <v>-3.2056495867768597E-2</v>
      </c>
      <c r="EN36" s="10" cm="1">
        <f t="array" aca="1" ref="EN36" ca="1">DP36-_xlfn.XLOOKUP(EN$13,_xlfn.ANCHORARRAY( $CR$14), _xlfn.XLOOKUP($ED36,_xlfn.ANCHORARRAY( $CP$15), $CR$15:$CU$19)) * _xlfn.XLOOKUP(EN$14,_xlfn.ANCHORARRAY( $CR$14), _xlfn.XLOOKUP($EE36,_xlfn.ANCHORARRAY( $CP$15), $CR$15:$CU$19))</f>
        <v>-7.6702148760330741E-3</v>
      </c>
      <c r="EO36" s="10" cm="1">
        <f t="array" aca="1" ref="EO36" ca="1">DQ36-_xlfn.XLOOKUP(EO$13,_xlfn.ANCHORARRAY( $CR$14), _xlfn.XLOOKUP($ED36,_xlfn.ANCHORARRAY( $CP$15), $CR$15:$CU$19)) * _xlfn.XLOOKUP(EO$14,_xlfn.ANCHORARRAY( $CR$14), _xlfn.XLOOKUP($EE36,_xlfn.ANCHORARRAY( $CP$15), $CR$15:$CU$19))</f>
        <v>-3.9303438016528927E-2</v>
      </c>
      <c r="EP36" s="10" cm="1">
        <f t="array" aca="1" ref="EP36" ca="1">DR36-_xlfn.XLOOKUP(EP$13,_xlfn.ANCHORARRAY( $CR$14), _xlfn.XLOOKUP($ED36,_xlfn.ANCHORARRAY( $CP$15), $CR$15:$CU$19)) * _xlfn.XLOOKUP(EP$14,_xlfn.ANCHORARRAY( $CR$14), _xlfn.XLOOKUP($EE36,_xlfn.ANCHORARRAY( $CP$15), $CR$15:$CU$19))</f>
        <v>2.3963008264462821E-2</v>
      </c>
      <c r="EQ36" s="10" cm="1">
        <f t="array" aca="1" ref="EQ36" ca="1">DS36-_xlfn.XLOOKUP(EQ$13,_xlfn.ANCHORARRAY( $CR$14), _xlfn.XLOOKUP($ED36,_xlfn.ANCHORARRAY( $CP$15), $CR$15:$CU$19)) * _xlfn.XLOOKUP(EQ$14,_xlfn.ANCHORARRAY( $CR$14), _xlfn.XLOOKUP($EE36,_xlfn.ANCHORARRAY( $CP$15), $CR$15:$CU$19))</f>
        <v>2.3963008264462821E-2</v>
      </c>
      <c r="ER36" s="10" cm="1">
        <f t="array" aca="1" ref="ER36" ca="1">DT36-_xlfn.XLOOKUP(ER$13,_xlfn.ANCHORARRAY( $CR$14), _xlfn.XLOOKUP($ED36,_xlfn.ANCHORARRAY( $CP$15), $CR$15:$CU$19)) * _xlfn.XLOOKUP(ER$14,_xlfn.ANCHORARRAY( $CR$14), _xlfn.XLOOKUP($EE36,_xlfn.ANCHORARRAY( $CP$15), $CR$15:$CU$19))</f>
        <v>-7.6702148760330741E-3</v>
      </c>
      <c r="ES36" s="10" cm="1">
        <f t="array" aca="1" ref="ES36" ca="1">DU36-_xlfn.XLOOKUP(ES$13,_xlfn.ANCHORARRAY( $CR$14), _xlfn.XLOOKUP($ED36,_xlfn.ANCHORARRAY( $CP$15), $CR$15:$CU$19)) * _xlfn.XLOOKUP(ES$14,_xlfn.ANCHORARRAY( $CR$14), _xlfn.XLOOKUP($EE36,_xlfn.ANCHORARRAY( $CP$15), $CR$15:$CU$19))</f>
        <v>-3.9303438016528927E-2</v>
      </c>
      <c r="ET36" s="10" cm="1">
        <f t="array" aca="1" ref="ET36" ca="1">DV36-_xlfn.XLOOKUP(ET$13,_xlfn.ANCHORARRAY( $CR$14), _xlfn.XLOOKUP($ED36,_xlfn.ANCHORARRAY( $CP$15), $CR$15:$CU$19)) * _xlfn.XLOOKUP(ET$14,_xlfn.ANCHORARRAY( $CR$14), _xlfn.XLOOKUP($EE36,_xlfn.ANCHORARRAY( $CP$15), $CR$15:$CU$19))</f>
        <v>2.3963008264462821E-2</v>
      </c>
      <c r="EU36" s="10" cm="1">
        <f t="array" aca="1" ref="EU36" ca="1">DW36-_xlfn.XLOOKUP(EU$13,_xlfn.ANCHORARRAY( $CR$14), _xlfn.XLOOKUP($ED36,_xlfn.ANCHORARRAY( $CP$15), $CR$15:$CU$19)) * _xlfn.XLOOKUP(EU$14,_xlfn.ANCHORARRAY( $CR$14), _xlfn.XLOOKUP($EE36,_xlfn.ANCHORARRAY( $CP$15), $CR$15:$CU$19))</f>
        <v>2.3963008264462821E-2</v>
      </c>
      <c r="EZ36" cm="1">
        <f t="array" aca="1" ref="EZ36" ca="1">INDEX(_xlfn.ANCHORARRAY($CP$15), 1 + INT((ROWS($DG$15:$DG36) - 1) / ROWS(_xlfn.ANCHORARRAY($CP$15))))</f>
        <v>4</v>
      </c>
      <c r="FA36" cm="1">
        <f t="array" aca="1" ref="FA36" ca="1">INDEX(_xlfn.ANCHORARRAY($CP$15),1+MOD(ROWS($DG$15:$DG36)-1,ROWS(_xlfn.ANCHORARRAY($CP$15))))</f>
        <v>1</v>
      </c>
      <c r="FB36" s="10" cm="1">
        <f t="array" aca="1" ref="FB36" ca="1">EF36 * _xlfn.XLOOKUP(FB$13,_xlfn.ANCHORARRAY( $CZ$29), _xlfn.XLOOKUP($EZ36,_xlfn.ANCHORARRAY( $CY$30), $CZ$30:$DC$34)) * _xlfn.XLOOKUP(FB$14,_xlfn.ANCHORARRAY( $CZ$29), _xlfn.XLOOKUP($FA36,_xlfn.ANCHORARRAY( $CY$30), $CZ$30:$DC$34))</f>
        <v>3.0197587170288412E-3</v>
      </c>
      <c r="FC36" s="10" cm="1">
        <f t="array" aca="1" ref="FC36" ca="1">EG36 * _xlfn.XLOOKUP(FC$13,_xlfn.ANCHORARRAY( $CZ$29), _xlfn.XLOOKUP($EZ36,_xlfn.ANCHORARRAY( $CY$30), $CZ$30:$DC$34)) * _xlfn.XLOOKUP(FC$14,_xlfn.ANCHORARRAY( $CZ$29), _xlfn.XLOOKUP($FA36,_xlfn.ANCHORARRAY( $CY$30), $CZ$30:$DC$34))</f>
        <v>-3.3532489458979249E-2</v>
      </c>
      <c r="FD36" s="10" cm="1">
        <f t="array" aca="1" ref="FD36" ca="1">EH36 * _xlfn.XLOOKUP(FD$13,_xlfn.ANCHORARRAY( $CZ$29), _xlfn.XLOOKUP($EZ36,_xlfn.ANCHORARRAY( $CY$30), $CZ$30:$DC$34)) * _xlfn.XLOOKUP(FD$14,_xlfn.ANCHORARRAY( $CZ$29), _xlfn.XLOOKUP($FA36,_xlfn.ANCHORARRAY( $CY$30), $CZ$30:$DC$34))</f>
        <v>-7.4780532650518504E-3</v>
      </c>
      <c r="FE36" s="10" cm="1">
        <f t="array" aca="1" ref="FE36" ca="1">EI36 * _xlfn.XLOOKUP(FE$13,_xlfn.ANCHORARRAY( $CZ$29), _xlfn.XLOOKUP($EZ36,_xlfn.ANCHORARRAY( $CY$30), $CZ$30:$DC$34)) * _xlfn.XLOOKUP(FE$14,_xlfn.ANCHORARRAY( $CZ$29), _xlfn.XLOOKUP($FA36,_xlfn.ANCHORARRAY( $CY$30), $CZ$30:$DC$34))</f>
        <v>-7.4780532650518504E-3</v>
      </c>
      <c r="FF36" s="10" cm="1">
        <f t="array" aca="1" ref="FF36" ca="1">EJ36 * _xlfn.XLOOKUP(FF$13,_xlfn.ANCHORARRAY( $CZ$29), _xlfn.XLOOKUP($EZ36,_xlfn.ANCHORARRAY( $CY$30), $CZ$30:$DC$34)) * _xlfn.XLOOKUP(FF$14,_xlfn.ANCHORARRAY( $CZ$29), _xlfn.XLOOKUP($FA36,_xlfn.ANCHORARRAY( $CY$30), $CZ$30:$DC$34))</f>
        <v>-1.7176780901257355E-3</v>
      </c>
      <c r="FG36" s="10" cm="1">
        <f t="array" aca="1" ref="FG36" ca="1">EK36 * _xlfn.XLOOKUP(FG$13,_xlfn.ANCHORARRAY( $CZ$29), _xlfn.XLOOKUP($EZ36,_xlfn.ANCHORARRAY( $CY$30), $CZ$30:$DC$34)) * _xlfn.XLOOKUP(FG$14,_xlfn.ANCHORARRAY( $CZ$29), _xlfn.XLOOKUP($FA36,_xlfn.ANCHORARRAY( $CY$30), $CZ$30:$DC$34))</f>
        <v>-4.9848148042895288E-3</v>
      </c>
      <c r="FH36" s="10" cm="1">
        <f t="array" aca="1" ref="FH36" ca="1">EL36 * _xlfn.XLOOKUP(FH$13,_xlfn.ANCHORARRAY( $CZ$29), _xlfn.XLOOKUP($EZ36,_xlfn.ANCHORARRAY( $CY$30), $CZ$30:$DC$34)) * _xlfn.XLOOKUP(FH$14,_xlfn.ANCHORARRAY( $CZ$29), _xlfn.XLOOKUP($FA36,_xlfn.ANCHORARRAY( $CY$30), $CZ$30:$DC$34))</f>
        <v>-5.1753743710243813E-3</v>
      </c>
      <c r="FI36" s="10" cm="1">
        <f t="array" aca="1" ref="FI36" ca="1">EM36 * _xlfn.XLOOKUP(FI$13,_xlfn.ANCHORARRAY( $CZ$29), _xlfn.XLOOKUP($EZ36,_xlfn.ANCHORARRAY( $CY$30), $CZ$30:$DC$34)) * _xlfn.XLOOKUP(FI$14,_xlfn.ANCHORARRAY( $CZ$29), _xlfn.XLOOKUP($FA36,_xlfn.ANCHORARRAY( $CY$30), $CZ$30:$DC$34))</f>
        <v>-5.1753743710243813E-3</v>
      </c>
      <c r="FJ36" s="10" cm="1">
        <f t="array" aca="1" ref="FJ36" ca="1">EN36 * _xlfn.XLOOKUP(FJ$13,_xlfn.ANCHORARRAY( $CZ$29), _xlfn.XLOOKUP($EZ36,_xlfn.ANCHORARRAY( $CY$30), $CZ$30:$DC$34)) * _xlfn.XLOOKUP(FJ$14,_xlfn.ANCHORARRAY( $CZ$29), _xlfn.XLOOKUP($FA36,_xlfn.ANCHORARRAY( $CY$30), $CZ$30:$DC$34))</f>
        <v>-4.2392792792996057E-4</v>
      </c>
      <c r="FK36" s="10" cm="1">
        <f t="array" aca="1" ref="FK36" ca="1">EO36 * _xlfn.XLOOKUP(FK$13,_xlfn.ANCHORARRAY( $CZ$29), _xlfn.XLOOKUP($EZ36,_xlfn.ANCHORARRAY( $CY$30), $CZ$30:$DC$34)) * _xlfn.XLOOKUP(FK$14,_xlfn.ANCHORARRAY( $CZ$29), _xlfn.XLOOKUP($FA36,_xlfn.ANCHORARRAY( $CY$30), $CZ$30:$DC$34))</f>
        <v>-1.0534652126237219E-2</v>
      </c>
      <c r="FL36" s="10" cm="1">
        <f t="array" aca="1" ref="FL36" ca="1">EP36 * _xlfn.XLOOKUP(FL$13,_xlfn.ANCHORARRAY( $CZ$29), _xlfn.XLOOKUP($EZ36,_xlfn.ANCHORARRAY( $CY$30), $CZ$30:$DC$34)) * _xlfn.XLOOKUP(FL$14,_xlfn.ANCHORARRAY( $CZ$29), _xlfn.XLOOKUP($FA36,_xlfn.ANCHORARRAY( $CY$30), $CZ$30:$DC$34))</f>
        <v>-4.9848148042895288E-3</v>
      </c>
      <c r="FM36" s="10" cm="1">
        <f t="array" aca="1" ref="FM36" ca="1">EQ36 * _xlfn.XLOOKUP(FM$13,_xlfn.ANCHORARRAY( $CZ$29), _xlfn.XLOOKUP($EZ36,_xlfn.ANCHORARRAY( $CY$30), $CZ$30:$DC$34)) * _xlfn.XLOOKUP(FM$14,_xlfn.ANCHORARRAY( $CZ$29), _xlfn.XLOOKUP($FA36,_xlfn.ANCHORARRAY( $CY$30), $CZ$30:$DC$34))</f>
        <v>-4.9848148042895288E-3</v>
      </c>
      <c r="FN36" s="10" cm="1">
        <f t="array" aca="1" ref="FN36" ca="1">ER36 * _xlfn.XLOOKUP(FN$13,_xlfn.ANCHORARRAY( $CZ$29), _xlfn.XLOOKUP($EZ36,_xlfn.ANCHORARRAY( $CY$30), $CZ$30:$DC$34)) * _xlfn.XLOOKUP(FN$14,_xlfn.ANCHORARRAY( $CZ$29), _xlfn.XLOOKUP($FA36,_xlfn.ANCHORARRAY( $CY$30), $CZ$30:$DC$34))</f>
        <v>-4.2392792792996057E-4</v>
      </c>
      <c r="FO36" s="10" cm="1">
        <f t="array" aca="1" ref="FO36" ca="1">ES36 * _xlfn.XLOOKUP(FO$13,_xlfn.ANCHORARRAY( $CZ$29), _xlfn.XLOOKUP($EZ36,_xlfn.ANCHORARRAY( $CY$30), $CZ$30:$DC$34)) * _xlfn.XLOOKUP(FO$14,_xlfn.ANCHORARRAY( $CZ$29), _xlfn.XLOOKUP($FA36,_xlfn.ANCHORARRAY( $CY$30), $CZ$30:$DC$34))</f>
        <v>-1.0534652126237219E-2</v>
      </c>
      <c r="FP36" s="10" cm="1">
        <f t="array" aca="1" ref="FP36" ca="1">ET36 * _xlfn.XLOOKUP(FP$13,_xlfn.ANCHORARRAY( $CZ$29), _xlfn.XLOOKUP($EZ36,_xlfn.ANCHORARRAY( $CY$30), $CZ$30:$DC$34)) * _xlfn.XLOOKUP(FP$14,_xlfn.ANCHORARRAY( $CZ$29), _xlfn.XLOOKUP($FA36,_xlfn.ANCHORARRAY( $CY$30), $CZ$30:$DC$34))</f>
        <v>-4.9848148042895288E-3</v>
      </c>
      <c r="FQ36" s="10" cm="1">
        <f t="array" aca="1" ref="FQ36" ca="1">EU36 * _xlfn.XLOOKUP(FQ$13,_xlfn.ANCHORARRAY( $CZ$29), _xlfn.XLOOKUP($EZ36,_xlfn.ANCHORARRAY( $CY$30), $CZ$30:$DC$34)) * _xlfn.XLOOKUP(FQ$14,_xlfn.ANCHORARRAY( $CZ$29), _xlfn.XLOOKUP($FA36,_xlfn.ANCHORARRAY( $CY$30), $CZ$30:$DC$34))</f>
        <v>-4.9848148042895288E-3</v>
      </c>
      <c r="FT36" cm="1">
        <f t="array" aca="1" ref="FT36" ca="1">SQRT(SUM((FB36:FQ36)^2))</f>
        <v>4.0601328609547842E-2</v>
      </c>
    </row>
    <row r="37" spans="4:176" x14ac:dyDescent="0.2">
      <c r="J37" cm="1">
        <f t="array" aca="1" ref="J37" ca="1">SUMPRODUCT((O37:AJ37=$O$11:$AJ$11)*(O$13:AJ$13=TRUE))  / COUNTIF(O$13:AJ$13,TRUE)</f>
        <v>0.4</v>
      </c>
      <c r="K37" t="b">
        <f t="shared" ca="1" si="3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4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cm="1">
        <f t="array" aca="1" ref="DF37" ca="1">INDEX(_xlfn.ANCHORARRAY($CP$15), 1 + INT((ROWS($DG$15:$DG37) - 1) / ROWS(_xlfn.ANCHORARRAY($CP$15))))</f>
        <v>4</v>
      </c>
      <c r="DG37" cm="1">
        <f t="array" aca="1" ref="DG37" ca="1">INDEX(_xlfn.ANCHORARRAY($CP$15),1+MOD(ROWS($DG$15:$DG37)-1,ROWS(_xlfn.ANCHORARRAY($CP$15))))</f>
        <v>2</v>
      </c>
      <c r="DH37" s="10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$B$18/($B$19*$B$19*($DF37&lt;&gt;$DG37) + $B$19*($DF37=$DG37))</f>
        <v>8.9381818181818187E-2</v>
      </c>
      <c r="DI37" s="10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$B$18/($B$19*$B$19*($DF37&lt;&gt;$DG37) + $B$19*($DF37=$DG37))</f>
        <v>1.1999999999999999E-3</v>
      </c>
      <c r="DJ37" s="10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$B$18/($B$19*$B$19*($DF37&lt;&gt;$DG37) + $B$19*($DF37=$DG37))</f>
        <v>1.1999999999999999E-3</v>
      </c>
      <c r="DK37" s="10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$B$18/($B$19*$B$19*($DF37&lt;&gt;$DG37) + $B$19*($DF37=$DG37))</f>
        <v>1.1999999999999999E-3</v>
      </c>
      <c r="DL37" s="10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$B$18/($B$19*$B$19*($DF37&lt;&gt;$DG37) + $B$19*($DF37=$DG37))</f>
        <v>1.1999999999999999E-3</v>
      </c>
      <c r="DM37" s="10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$B$18/($B$19*$B$19*($DF37&lt;&gt;$DG37) + $B$19*($DF37=$DG37))</f>
        <v>8.9381818181818187E-2</v>
      </c>
      <c r="DN37" s="10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$B$18/($B$19*$B$19*($DF37&lt;&gt;$DG37) + $B$19*($DF37=$DG37))</f>
        <v>8.9381818181818187E-2</v>
      </c>
      <c r="DO37" s="10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$B$18/($B$19*$B$19*($DF37&lt;&gt;$DG37) + $B$19*($DF37=$DG37))</f>
        <v>1.1999999999999999E-3</v>
      </c>
      <c r="DP37" s="10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$B$18/($B$19*$B$19*($DF37&lt;&gt;$DG37) + $B$19*($DF37=$DG37))</f>
        <v>0.16286666666666666</v>
      </c>
      <c r="DQ37" s="10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$B$18/($B$19*$B$19*($DF37&lt;&gt;$DG37) + $B$19*($DF37=$DG37))</f>
        <v>1.1999999999999999E-3</v>
      </c>
      <c r="DR37" s="10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$B$18/($B$19*$B$19*($DF37&lt;&gt;$DG37) + $B$19*($DF37=$DG37))</f>
        <v>3.0593939393939392E-2</v>
      </c>
      <c r="DS37" s="10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$B$18/($B$19*$B$19*($DF37&lt;&gt;$DG37) + $B$19*($DF37=$DG37))</f>
        <v>0.16286666666666666</v>
      </c>
      <c r="DT37" s="10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$B$18/($B$19*$B$19*($DF37&lt;&gt;$DG37) + $B$19*($DF37=$DG37))</f>
        <v>1.1999999999999999E-3</v>
      </c>
      <c r="DU37" s="10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$B$18/($B$19*$B$19*($DF37&lt;&gt;$DG37) + $B$19*($DF37=$DG37))</f>
        <v>0.20695757575757576</v>
      </c>
      <c r="DV37" s="10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$B$18/($B$19*$B$19*($DF37&lt;&gt;$DG37) + $B$19*($DF37=$DG37))</f>
        <v>7.4684848484848479E-2</v>
      </c>
      <c r="DW37" s="10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$B$18/($B$19*$B$19*($DF37&lt;&gt;$DG37) + $B$19*($DF37=$DG37))</f>
        <v>3.0593939393939392E-2</v>
      </c>
      <c r="ED37" cm="1">
        <f t="array" aca="1" ref="ED37" ca="1">INDEX(_xlfn.ANCHORARRAY($CP$15), 1 + INT((ROWS($DG$15:$DG37) - 1) / ROWS(_xlfn.ANCHORARRAY($CP$15))))</f>
        <v>4</v>
      </c>
      <c r="EE37" cm="1">
        <f t="array" aca="1" ref="EE37" ca="1">INDEX(_xlfn.ANCHORARRAY($CP$15),1+MOD(ROWS($DG$15:$DG37)-1,ROWS(_xlfn.ANCHORARRAY($CP$15))))</f>
        <v>2</v>
      </c>
      <c r="EF37" s="10" cm="1">
        <f t="array" aca="1" ref="EF37" ca="1">DH37-_xlfn.XLOOKUP(EF$13,_xlfn.ANCHORARRAY( $CR$14), _xlfn.XLOOKUP($ED37,_xlfn.ANCHORARRAY( $CP$15), $CR$15:$CU$19)) * _xlfn.XLOOKUP(EF$14,_xlfn.ANCHORARRAY( $CR$14), _xlfn.XLOOKUP($EE37,_xlfn.ANCHORARRAY( $CP$15), $CR$15:$CU$19))</f>
        <v>6.528554269972453E-2</v>
      </c>
      <c r="EG37" s="10" cm="1">
        <f t="array" aca="1" ref="EG37" ca="1">DI37-_xlfn.XLOOKUP(EG$13,_xlfn.ANCHORARRAY( $CR$14), _xlfn.XLOOKUP($ED37,_xlfn.ANCHORARRAY( $CP$15), $CR$15:$CU$19)) * _xlfn.XLOOKUP(EG$14,_xlfn.ANCHORARRAY( $CR$14), _xlfn.XLOOKUP($EE37,_xlfn.ANCHORARRAY( $CP$15), $CR$15:$CU$19))</f>
        <v>-2.7048837465564735E-2</v>
      </c>
      <c r="EH37" s="10" cm="1">
        <f t="array" aca="1" ref="EH37" ca="1">DJ37-_xlfn.XLOOKUP(EH$13,_xlfn.ANCHORARRAY( $CR$14), _xlfn.XLOOKUP($ED37,_xlfn.ANCHORARRAY( $CP$15), $CR$15:$CU$19)) * _xlfn.XLOOKUP(EH$14,_xlfn.ANCHORARRAY( $CR$14), _xlfn.XLOOKUP($EE37,_xlfn.ANCHORARRAY( $CP$15), $CR$15:$CU$19))</f>
        <v>-1.7359526170798899E-2</v>
      </c>
      <c r="EI37" s="10" cm="1">
        <f t="array" aca="1" ref="EI37" ca="1">DK37-_xlfn.XLOOKUP(EI$13,_xlfn.ANCHORARRAY( $CR$14), _xlfn.XLOOKUP($ED37,_xlfn.ANCHORARRAY( $CP$15), $CR$15:$CU$19)) * _xlfn.XLOOKUP(EI$14,_xlfn.ANCHORARRAY( $CR$14), _xlfn.XLOOKUP($EE37,_xlfn.ANCHORARRAY( $CP$15), $CR$15:$CU$19))</f>
        <v>-1.7359526170798899E-2</v>
      </c>
      <c r="EJ37" s="10" cm="1">
        <f t="array" aca="1" ref="EJ37" ca="1">DL37-_xlfn.XLOOKUP(EJ$13,_xlfn.ANCHORARRAY( $CR$14), _xlfn.XLOOKUP($ED37,_xlfn.ANCHORARRAY( $CP$15), $CR$15:$CU$19)) * _xlfn.XLOOKUP(EJ$14,_xlfn.ANCHORARRAY( $CR$14), _xlfn.XLOOKUP($EE37,_xlfn.ANCHORARRAY( $CP$15), $CR$15:$CU$19))</f>
        <v>-4.5457460055096419E-2</v>
      </c>
      <c r="EK37" s="10" cm="1">
        <f t="array" aca="1" ref="EK37" ca="1">DM37-_xlfn.XLOOKUP(EK$13,_xlfn.ANCHORARRAY( $CR$14), _xlfn.XLOOKUP($ED37,_xlfn.ANCHORARRAY( $CP$15), $CR$15:$CU$19)) * _xlfn.XLOOKUP(EK$14,_xlfn.ANCHORARRAY( $CR$14), _xlfn.XLOOKUP($EE37,_xlfn.ANCHORARRAY( $CP$15), $CR$15:$CU$19))</f>
        <v>3.4683779614325082E-2</v>
      </c>
      <c r="EL37" s="10" cm="1">
        <f t="array" aca="1" ref="EL37" ca="1">DN37-_xlfn.XLOOKUP(EL$13,_xlfn.ANCHORARRAY( $CR$14), _xlfn.XLOOKUP($ED37,_xlfn.ANCHORARRAY( $CP$15), $CR$15:$CU$19)) * _xlfn.XLOOKUP(EL$14,_xlfn.ANCHORARRAY( $CR$14), _xlfn.XLOOKUP($EE37,_xlfn.ANCHORARRAY( $CP$15), $CR$15:$CU$19))</f>
        <v>5.344512947658403E-2</v>
      </c>
      <c r="EM37" s="10" cm="1">
        <f t="array" aca="1" ref="EM37" ca="1">DO37-_xlfn.XLOOKUP(EM$13,_xlfn.ANCHORARRAY( $CR$14), _xlfn.XLOOKUP($ED37,_xlfn.ANCHORARRAY( $CP$15), $CR$15:$CU$19)) * _xlfn.XLOOKUP(EM$14,_xlfn.ANCHORARRAY( $CR$14), _xlfn.XLOOKUP($EE37,_xlfn.ANCHORARRAY( $CP$15), $CR$15:$CU$19))</f>
        <v>-3.4736688705234157E-2</v>
      </c>
      <c r="EN37" s="10" cm="1">
        <f t="array" aca="1" ref="EN37" ca="1">DP37-_xlfn.XLOOKUP(EN$13,_xlfn.ANCHORARRAY( $CR$14), _xlfn.XLOOKUP($ED37,_xlfn.ANCHORARRAY( $CP$15), $CR$15:$CU$19)) * _xlfn.XLOOKUP(EN$14,_xlfn.ANCHORARRAY( $CR$14), _xlfn.XLOOKUP($EE37,_xlfn.ANCHORARRAY( $CP$15), $CR$15:$CU$19))</f>
        <v>7.1086837465564739E-2</v>
      </c>
      <c r="EO37" s="10" cm="1">
        <f t="array" aca="1" ref="EO37" ca="1">DQ37-_xlfn.XLOOKUP(EO$13,_xlfn.ANCHORARRAY( $CR$14), _xlfn.XLOOKUP($ED37,_xlfn.ANCHORARRAY( $CP$15), $CR$15:$CU$19)) * _xlfn.XLOOKUP(EO$14,_xlfn.ANCHORARRAY( $CR$14), _xlfn.XLOOKUP($EE37,_xlfn.ANCHORARRAY( $CP$15), $CR$15:$CU$19))</f>
        <v>-0.10639644077134984</v>
      </c>
      <c r="EP37" s="10" cm="1">
        <f t="array" aca="1" ref="EP37" ca="1">DR37-_xlfn.XLOOKUP(EP$13,_xlfn.ANCHORARRAY( $CR$14), _xlfn.XLOOKUP($ED37,_xlfn.ANCHORARRAY( $CP$15), $CR$15:$CU$19)) * _xlfn.XLOOKUP(EP$14,_xlfn.ANCHORARRAY( $CR$14), _xlfn.XLOOKUP($EE37,_xlfn.ANCHORARRAY( $CP$15), $CR$15:$CU$19))</f>
        <v>-4.0097074380165285E-2</v>
      </c>
      <c r="EQ37" s="10" cm="1">
        <f t="array" aca="1" ref="EQ37" ca="1">DS37-_xlfn.XLOOKUP(EQ$13,_xlfn.ANCHORARRAY( $CR$14), _xlfn.XLOOKUP($ED37,_xlfn.ANCHORARRAY( $CP$15), $CR$15:$CU$19)) * _xlfn.XLOOKUP(EQ$14,_xlfn.ANCHORARRAY( $CR$14), _xlfn.XLOOKUP($EE37,_xlfn.ANCHORARRAY( $CP$15), $CR$15:$CU$19))</f>
        <v>9.2175652892561979E-2</v>
      </c>
      <c r="ER37" s="10" cm="1">
        <f t="array" aca="1" ref="ER37" ca="1">DT37-_xlfn.XLOOKUP(ER$13,_xlfn.ANCHORARRAY( $CR$14), _xlfn.XLOOKUP($ED37,_xlfn.ANCHORARRAY( $CP$15), $CR$15:$CU$19)) * _xlfn.XLOOKUP(ER$14,_xlfn.ANCHORARRAY( $CR$14), _xlfn.XLOOKUP($EE37,_xlfn.ANCHORARRAY( $CP$15), $CR$15:$CU$19))</f>
        <v>-9.0579829201101913E-2</v>
      </c>
      <c r="ES37" s="10" cm="1">
        <f t="array" aca="1" ref="ES37" ca="1">DU37-_xlfn.XLOOKUP(ES$13,_xlfn.ANCHORARRAY( $CR$14), _xlfn.XLOOKUP($ED37,_xlfn.ANCHORARRAY( $CP$15), $CR$15:$CU$19)) * _xlfn.XLOOKUP(ES$14,_xlfn.ANCHORARRAY( $CR$14), _xlfn.XLOOKUP($EE37,_xlfn.ANCHORARRAY( $CP$15), $CR$15:$CU$19))</f>
        <v>9.936113498622591E-2</v>
      </c>
      <c r="ET37" s="10" cm="1">
        <f t="array" aca="1" ref="ET37" ca="1">DV37-_xlfn.XLOOKUP(ET$13,_xlfn.ANCHORARRAY( $CR$14), _xlfn.XLOOKUP($ED37,_xlfn.ANCHORARRAY( $CP$15), $CR$15:$CU$19)) * _xlfn.XLOOKUP(ET$14,_xlfn.ANCHORARRAY( $CR$14), _xlfn.XLOOKUP($EE37,_xlfn.ANCHORARRAY( $CP$15), $CR$15:$CU$19))</f>
        <v>3.9938347107437988E-3</v>
      </c>
      <c r="EU37" s="10" cm="1">
        <f t="array" aca="1" ref="EU37" ca="1">DW37-_xlfn.XLOOKUP(EU$13,_xlfn.ANCHORARRAY( $CR$14), _xlfn.XLOOKUP($ED37,_xlfn.ANCHORARRAY( $CP$15), $CR$15:$CU$19)) * _xlfn.XLOOKUP(EU$14,_xlfn.ANCHORARRAY( $CR$14), _xlfn.XLOOKUP($EE37,_xlfn.ANCHORARRAY( $CP$15), $CR$15:$CU$19))</f>
        <v>-4.0097074380165285E-2</v>
      </c>
      <c r="EZ37" cm="1">
        <f t="array" aca="1" ref="EZ37" ca="1">INDEX(_xlfn.ANCHORARRAY($CP$15), 1 + INT((ROWS($DG$15:$DG37) - 1) / ROWS(_xlfn.ANCHORARRAY($CP$15))))</f>
        <v>4</v>
      </c>
      <c r="FA37" cm="1">
        <f t="array" aca="1" ref="FA37" ca="1">INDEX(_xlfn.ANCHORARRAY($CP$15),1+MOD(ROWS($DG$15:$DG37)-1,ROWS(_xlfn.ANCHORARRAY($CP$15))))</f>
        <v>2</v>
      </c>
      <c r="FB37" s="10" cm="1">
        <f t="array" aca="1" ref="FB37" ca="1">EF37 * _xlfn.XLOOKUP(FB$13,_xlfn.ANCHORARRAY( $CZ$29), _xlfn.XLOOKUP($EZ37,_xlfn.ANCHORARRAY( $CY$30), $CZ$30:$DC$34)) * _xlfn.XLOOKUP(FB$14,_xlfn.ANCHORARRAY( $CZ$29), _xlfn.XLOOKUP($FA37,_xlfn.ANCHORARRAY( $CY$30), $CZ$30:$DC$34))</f>
        <v>-2.3542138958200409E-3</v>
      </c>
      <c r="FC37" s="10" cm="1">
        <f t="array" aca="1" ref="FC37" ca="1">EG37 * _xlfn.XLOOKUP(FC$13,_xlfn.ANCHORARRAY( $CZ$29), _xlfn.XLOOKUP($EZ37,_xlfn.ANCHORARRAY( $CY$30), $CZ$30:$DC$34)) * _xlfn.XLOOKUP(FC$14,_xlfn.ANCHORARRAY( $CZ$29), _xlfn.XLOOKUP($FA37,_xlfn.ANCHORARRAY( $CY$30), $CZ$30:$DC$34))</f>
        <v>7.9102935011423538E-3</v>
      </c>
      <c r="FD37" s="10" cm="1">
        <f t="array" aca="1" ref="FD37" ca="1">EH37 * _xlfn.XLOOKUP(FD$13,_xlfn.ANCHORARRAY( $CZ$29), _xlfn.XLOOKUP($EZ37,_xlfn.ANCHORARRAY( $CY$30), $CZ$30:$DC$34)) * _xlfn.XLOOKUP(FD$14,_xlfn.ANCHORARRAY( $CZ$29), _xlfn.XLOOKUP($FA37,_xlfn.ANCHORARRAY( $CY$30), $CZ$30:$DC$34))</f>
        <v>-6.1916403114634228E-3</v>
      </c>
      <c r="FE37" s="10" cm="1">
        <f t="array" aca="1" ref="FE37" ca="1">EI37 * _xlfn.XLOOKUP(FE$13,_xlfn.ANCHORARRAY( $CZ$29), _xlfn.XLOOKUP($EZ37,_xlfn.ANCHORARRAY( $CY$30), $CZ$30:$DC$34)) * _xlfn.XLOOKUP(FE$14,_xlfn.ANCHORARRAY( $CZ$29), _xlfn.XLOOKUP($FA37,_xlfn.ANCHORARRAY( $CY$30), $CZ$30:$DC$34))</f>
        <v>-6.1916403114634228E-3</v>
      </c>
      <c r="FF37" s="10" cm="1">
        <f t="array" aca="1" ref="FF37" ca="1">EJ37 * _xlfn.XLOOKUP(FF$13,_xlfn.ANCHORARRAY( $CZ$29), _xlfn.XLOOKUP($EZ37,_xlfn.ANCHORARRAY( $CY$30), $CZ$30:$DC$34)) * _xlfn.XLOOKUP(FF$14,_xlfn.ANCHORARRAY( $CZ$29), _xlfn.XLOOKUP($FA37,_xlfn.ANCHORARRAY( $CY$30), $CZ$30:$DC$34))</f>
        <v>5.6535509920206878E-4</v>
      </c>
      <c r="FG37" s="10" cm="1">
        <f t="array" aca="1" ref="FG37" ca="1">EK37 * _xlfn.XLOOKUP(FG$13,_xlfn.ANCHORARRAY( $CZ$29), _xlfn.XLOOKUP($EZ37,_xlfn.ANCHORARRAY( $CY$30), $CZ$30:$DC$34)) * _xlfn.XLOOKUP(FG$14,_xlfn.ANCHORARRAY( $CZ$29), _xlfn.XLOOKUP($FA37,_xlfn.ANCHORARRAY( $CY$30), $CZ$30:$DC$34))</f>
        <v>-3.4983049060453909E-3</v>
      </c>
      <c r="FH37" s="10" cm="1">
        <f t="array" aca="1" ref="FH37" ca="1">EL37 * _xlfn.XLOOKUP(FH$13,_xlfn.ANCHORARRAY( $CZ$29), _xlfn.XLOOKUP($EZ37,_xlfn.ANCHORARRAY( $CY$30), $CZ$30:$DC$34)) * _xlfn.XLOOKUP(FH$14,_xlfn.ANCHORARRAY( $CZ$29), _xlfn.XLOOKUP($FA37,_xlfn.ANCHORARRAY( $CY$30), $CZ$30:$DC$34))</f>
        <v>6.5745076250669152E-3</v>
      </c>
      <c r="FI37" s="10" cm="1">
        <f t="array" aca="1" ref="FI37" ca="1">EM37 * _xlfn.XLOOKUP(FI$13,_xlfn.ANCHORARRAY( $CZ$29), _xlfn.XLOOKUP($EZ37,_xlfn.ANCHORARRAY( $CY$30), $CZ$30:$DC$34)) * _xlfn.XLOOKUP(FI$14,_xlfn.ANCHORARRAY( $CZ$29), _xlfn.XLOOKUP($FA37,_xlfn.ANCHORARRAY( $CY$30), $CZ$30:$DC$34))</f>
        <v>-4.2731045279289035E-3</v>
      </c>
      <c r="FJ37" s="10" cm="1">
        <f t="array" aca="1" ref="FJ37" ca="1">EN37 * _xlfn.XLOOKUP(FJ$13,_xlfn.ANCHORARRAY( $CZ$29), _xlfn.XLOOKUP($EZ37,_xlfn.ANCHORARRAY( $CY$30), $CZ$30:$DC$34)) * _xlfn.XLOOKUP(FJ$14,_xlfn.ANCHORARRAY( $CZ$29), _xlfn.XLOOKUP($FA37,_xlfn.ANCHORARRAY( $CY$30), $CZ$30:$DC$34))</f>
        <v>1.1391667716850549E-3</v>
      </c>
      <c r="FK37" s="10" cm="1">
        <f t="array" aca="1" ref="FK37" ca="1">EO37 * _xlfn.XLOOKUP(FK$13,_xlfn.ANCHORARRAY( $CZ$29), _xlfn.XLOOKUP($EZ37,_xlfn.ANCHORARRAY( $CY$30), $CZ$30:$DC$34)) * _xlfn.XLOOKUP(FK$14,_xlfn.ANCHORARRAY( $CZ$29), _xlfn.XLOOKUP($FA37,_xlfn.ANCHORARRAY( $CY$30), $CZ$30:$DC$34))</f>
        <v>-1.3827393054327491E-2</v>
      </c>
      <c r="FL37" s="10" cm="1">
        <f t="array" aca="1" ref="FL37" ca="1">EP37 * _xlfn.XLOOKUP(FL$13,_xlfn.ANCHORARRAY( $CZ$29), _xlfn.XLOOKUP($EZ37,_xlfn.ANCHORARRAY( $CY$30), $CZ$30:$DC$34)) * _xlfn.XLOOKUP(FL$14,_xlfn.ANCHORARRAY( $CZ$29), _xlfn.XLOOKUP($FA37,_xlfn.ANCHORARRAY( $CY$30), $CZ$30:$DC$34))</f>
        <v>6.3555004398288904E-3</v>
      </c>
      <c r="FM37" s="10" cm="1">
        <f t="array" aca="1" ref="FM37" ca="1">EQ37 * _xlfn.XLOOKUP(FM$13,_xlfn.ANCHORARRAY( $CZ$29), _xlfn.XLOOKUP($EZ37,_xlfn.ANCHORARRAY( $CY$30), $CZ$30:$DC$34)) * _xlfn.XLOOKUP(FM$14,_xlfn.ANCHORARRAY( $CZ$29), _xlfn.XLOOKUP($FA37,_xlfn.ANCHORARRAY( $CY$30), $CZ$30:$DC$34))</f>
        <v>-1.4610103394226191E-2</v>
      </c>
      <c r="FN37" s="10" cm="1">
        <f t="array" aca="1" ref="FN37" ca="1">ER37 * _xlfn.XLOOKUP(FN$13,_xlfn.ANCHORARRAY( $CZ$29), _xlfn.XLOOKUP($EZ37,_xlfn.ANCHORARRAY( $CY$30), $CZ$30:$DC$34)) * _xlfn.XLOOKUP(FN$14,_xlfn.ANCHORARRAY( $CZ$29), _xlfn.XLOOKUP($FA37,_xlfn.ANCHORARRAY( $CY$30), $CZ$30:$DC$34))</f>
        <v>-1.4515420194461056E-3</v>
      </c>
      <c r="FO37" s="10" cm="1">
        <f t="array" aca="1" ref="FO37" ca="1">ES37 * _xlfn.XLOOKUP(FO$13,_xlfn.ANCHORARRAY( $CZ$29), _xlfn.XLOOKUP($EZ37,_xlfn.ANCHORARRAY( $CY$30), $CZ$30:$DC$34)) * _xlfn.XLOOKUP(FO$14,_xlfn.ANCHORARRAY( $CZ$29), _xlfn.XLOOKUP($FA37,_xlfn.ANCHORARRAY( $CY$30), $CZ$30:$DC$34))</f>
        <v>1.2913077334336902E-2</v>
      </c>
      <c r="FP37" s="10" cm="1">
        <f t="array" aca="1" ref="FP37" ca="1">ET37 * _xlfn.XLOOKUP(FP$13,_xlfn.ANCHORARRAY( $CZ$29), _xlfn.XLOOKUP($EZ37,_xlfn.ANCHORARRAY( $CY$30), $CZ$30:$DC$34)) * _xlfn.XLOOKUP(FP$14,_xlfn.ANCHORARRAY( $CZ$29), _xlfn.XLOOKUP($FA37,_xlfn.ANCHORARRAY( $CY$30), $CZ$30:$DC$34))</f>
        <v>-6.3303417152280202E-4</v>
      </c>
      <c r="FQ37" s="10" cm="1">
        <f t="array" aca="1" ref="FQ37" ca="1">EU37 * _xlfn.XLOOKUP(FQ$13,_xlfn.ANCHORARRAY( $CZ$29), _xlfn.XLOOKUP($EZ37,_xlfn.ANCHORARRAY( $CY$30), $CZ$30:$DC$34)) * _xlfn.XLOOKUP(FQ$14,_xlfn.ANCHORARRAY( $CZ$29), _xlfn.XLOOKUP($FA37,_xlfn.ANCHORARRAY( $CY$30), $CZ$30:$DC$34))</f>
        <v>6.3555004398288904E-3</v>
      </c>
      <c r="FT37" cm="1">
        <f t="array" aca="1" ref="FT37" ca="1">SQRT(SUM((FB37:FQ37)^2))</f>
        <v>2.9577337396731195E-2</v>
      </c>
    </row>
    <row r="38" spans="4:176" x14ac:dyDescent="0.2">
      <c r="AK38" s="8"/>
      <c r="AL38" s="8"/>
      <c r="AM38" s="3"/>
      <c r="DF38" cm="1">
        <f t="array" aca="1" ref="DF38" ca="1">INDEX(_xlfn.ANCHORARRAY($CP$15), 1 + INT((ROWS($DG$15:$DG38) - 1) / ROWS(_xlfn.ANCHORARRAY($CP$15))))</f>
        <v>4</v>
      </c>
      <c r="DG38" cm="1">
        <f t="array" aca="1" ref="DG38" ca="1">INDEX(_xlfn.ANCHORARRAY($CP$15),1+MOD(ROWS($DG$15:$DG38)-1,ROWS(_xlfn.ANCHORARRAY($CP$15))))</f>
        <v>3</v>
      </c>
      <c r="DH38" s="10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$B$18/($B$19*$B$19*($DF38&lt;&gt;$DG38) + $B$19*($DF38=$DG38))</f>
        <v>8.9381818181818187E-2</v>
      </c>
      <c r="DI38" s="10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$B$18/($B$19*$B$19*($DF38&lt;&gt;$DG38) + $B$19*($DF38=$DG38))</f>
        <v>1.1999999999999999E-3</v>
      </c>
      <c r="DJ38" s="10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$B$18/($B$19*$B$19*($DF38&lt;&gt;$DG38) + $B$19*($DF38=$DG38))</f>
        <v>1.1999999999999999E-3</v>
      </c>
      <c r="DK38" s="10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$B$18/($B$19*$B$19*($DF38&lt;&gt;$DG38) + $B$19*($DF38=$DG38))</f>
        <v>1.1999999999999999E-3</v>
      </c>
      <c r="DL38" s="10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$B$18/($B$19*$B$19*($DF38&lt;&gt;$DG38) + $B$19*($DF38=$DG38))</f>
        <v>1.1999999999999999E-3</v>
      </c>
      <c r="DM38" s="10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$B$18/($B$19*$B$19*($DF38&lt;&gt;$DG38) + $B$19*($DF38=$DG38))</f>
        <v>8.9381818181818187E-2</v>
      </c>
      <c r="DN38" s="10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$B$18/($B$19*$B$19*($DF38&lt;&gt;$DG38) + $B$19*($DF38=$DG38))</f>
        <v>1.1999999999999999E-3</v>
      </c>
      <c r="DO38" s="10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$B$18/($B$19*$B$19*($DF38&lt;&gt;$DG38) + $B$19*($DF38=$DG38))</f>
        <v>8.9381818181818187E-2</v>
      </c>
      <c r="DP38" s="10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$B$18/($B$19*$B$19*($DF38&lt;&gt;$DG38) + $B$19*($DF38=$DG38))</f>
        <v>1.1999999999999999E-3</v>
      </c>
      <c r="DQ38" s="10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$B$18/($B$19*$B$19*($DF38&lt;&gt;$DG38) + $B$19*($DF38=$DG38))</f>
        <v>1.1999999999999999E-3</v>
      </c>
      <c r="DR38" s="10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$B$18/($B$19*$B$19*($DF38&lt;&gt;$DG38) + $B$19*($DF38=$DG38))</f>
        <v>0.3539272727272727</v>
      </c>
      <c r="DS38" s="10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$B$18/($B$19*$B$19*($DF38&lt;&gt;$DG38) + $B$19*($DF38=$DG38))</f>
        <v>1.1999999999999999E-3</v>
      </c>
      <c r="DT38" s="10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$B$18/($B$19*$B$19*($DF38&lt;&gt;$DG38) + $B$19*($DF38=$DG38))</f>
        <v>1.1999999999999999E-3</v>
      </c>
      <c r="DU38" s="10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$B$18/($B$19*$B$19*($DF38&lt;&gt;$DG38) + $B$19*($DF38=$DG38))</f>
        <v>1.1999999999999999E-3</v>
      </c>
      <c r="DV38" s="10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$B$18/($B$19*$B$19*($DF38&lt;&gt;$DG38) + $B$19*($DF38=$DG38))</f>
        <v>1.1999999999999999E-3</v>
      </c>
      <c r="DW38" s="10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$B$18/($B$19*$B$19*($DF38&lt;&gt;$DG38) + $B$19*($DF38=$DG38))</f>
        <v>0.3539272727272727</v>
      </c>
      <c r="ED38" cm="1">
        <f t="array" aca="1" ref="ED38" ca="1">INDEX(_xlfn.ANCHORARRAY($CP$15), 1 + INT((ROWS($DG$15:$DG38) - 1) / ROWS(_xlfn.ANCHORARRAY($CP$15))))</f>
        <v>4</v>
      </c>
      <c r="EE38" cm="1">
        <f t="array" aca="1" ref="EE38" ca="1">INDEX(_xlfn.ANCHORARRAY($CP$15),1+MOD(ROWS($DG$15:$DG38)-1,ROWS(_xlfn.ANCHORARRAY($CP$15))))</f>
        <v>3</v>
      </c>
      <c r="EF38" s="10" cm="1">
        <f t="array" aca="1" ref="EF38" ca="1">DH38-_xlfn.XLOOKUP(EF$13,_xlfn.ANCHORARRAY( $CR$14), _xlfn.XLOOKUP($ED38,_xlfn.ANCHORARRAY( $CP$15), $CR$15:$CU$19)) * _xlfn.XLOOKUP(EF$14,_xlfn.ANCHORARRAY( $CR$14), _xlfn.XLOOKUP($EE38,_xlfn.ANCHORARRAY( $CP$15), $CR$15:$CU$19))</f>
        <v>8.0511603305785134E-2</v>
      </c>
      <c r="EG38" s="10" cm="1">
        <f t="array" aca="1" ref="EG38" ca="1">DI38-_xlfn.XLOOKUP(EG$13,_xlfn.ANCHORARRAY( $CR$14), _xlfn.XLOOKUP($ED38,_xlfn.ANCHORARRAY( $CP$15), $CR$15:$CU$19)) * _xlfn.XLOOKUP(EG$14,_xlfn.ANCHORARRAY( $CR$14), _xlfn.XLOOKUP($EE38,_xlfn.ANCHORARRAY( $CP$15), $CR$15:$CU$19))</f>
        <v>-7.6702148760330584E-3</v>
      </c>
      <c r="EH38" s="10" cm="1">
        <f t="array" aca="1" ref="EH38" ca="1">DJ38-_xlfn.XLOOKUP(EH$13,_xlfn.ANCHORARRAY( $CR$14), _xlfn.XLOOKUP($ED38,_xlfn.ANCHORARRAY( $CP$15), $CR$15:$CU$19)) * _xlfn.XLOOKUP(EH$14,_xlfn.ANCHORARRAY( $CR$14), _xlfn.XLOOKUP($EE38,_xlfn.ANCHORARRAY( $CP$15), $CR$15:$CU$19))</f>
        <v>-3.2585586776859507E-2</v>
      </c>
      <c r="EI38" s="10" cm="1">
        <f t="array" aca="1" ref="EI38" ca="1">DK38-_xlfn.XLOOKUP(EI$13,_xlfn.ANCHORARRAY( $CR$14), _xlfn.XLOOKUP($ED38,_xlfn.ANCHORARRAY( $CP$15), $CR$15:$CU$19)) * _xlfn.XLOOKUP(EI$14,_xlfn.ANCHORARRAY( $CR$14), _xlfn.XLOOKUP($EE38,_xlfn.ANCHORARRAY( $CP$15), $CR$15:$CU$19))</f>
        <v>-4.0890710743801649E-2</v>
      </c>
      <c r="EJ38" s="10" cm="1">
        <f t="array" aca="1" ref="EJ38" ca="1">DL38-_xlfn.XLOOKUP(EJ$13,_xlfn.ANCHORARRAY( $CR$14), _xlfn.XLOOKUP($ED38,_xlfn.ANCHORARRAY( $CP$15), $CR$15:$CU$19)) * _xlfn.XLOOKUP(EJ$14,_xlfn.ANCHORARRAY( $CR$14), _xlfn.XLOOKUP($EE38,_xlfn.ANCHORARRAY( $CP$15), $CR$15:$CU$19))</f>
        <v>-1.5975338842975209E-2</v>
      </c>
      <c r="EK38" s="10" cm="1">
        <f t="array" aca="1" ref="EK38" ca="1">DM38-_xlfn.XLOOKUP(EK$13,_xlfn.ANCHORARRAY( $CR$14), _xlfn.XLOOKUP($ED38,_xlfn.ANCHORARRAY( $CP$15), $CR$15:$CU$19)) * _xlfn.XLOOKUP(EK$14,_xlfn.ANCHORARRAY( $CR$14), _xlfn.XLOOKUP($EE38,_xlfn.ANCHORARRAY( $CP$15), $CR$15:$CU$19))</f>
        <v>7.2206479338842972E-2</v>
      </c>
      <c r="EL38" s="10" cm="1">
        <f t="array" aca="1" ref="EL38" ca="1">DN38-_xlfn.XLOOKUP(EL$13,_xlfn.ANCHORARRAY( $CR$14), _xlfn.XLOOKUP($ED38,_xlfn.ANCHORARRAY( $CP$15), $CR$15:$CU$19)) * _xlfn.XLOOKUP(EL$14,_xlfn.ANCHORARRAY( $CR$14), _xlfn.XLOOKUP($EE38,_xlfn.ANCHORARRAY( $CP$15), $CR$15:$CU$19))</f>
        <v>-6.421880991735536E-2</v>
      </c>
      <c r="EM38" s="10" cm="1">
        <f t="array" aca="1" ref="EM38" ca="1">DO38-_xlfn.XLOOKUP(EM$13,_xlfn.ANCHORARRAY( $CR$14), _xlfn.XLOOKUP($ED38,_xlfn.ANCHORARRAY( $CP$15), $CR$15:$CU$19)) * _xlfn.XLOOKUP(EM$14,_xlfn.ANCHORARRAY( $CR$14), _xlfn.XLOOKUP($EE38,_xlfn.ANCHORARRAY( $CP$15), $CR$15:$CU$19))</f>
        <v>7.8818512396694324E-3</v>
      </c>
      <c r="EN38" s="10" cm="1">
        <f t="array" aca="1" ref="EN38" ca="1">DP38-_xlfn.XLOOKUP(EN$13,_xlfn.ANCHORARRAY( $CR$14), _xlfn.XLOOKUP($ED38,_xlfn.ANCHORARRAY( $CP$15), $CR$15:$CU$19)) * _xlfn.XLOOKUP(EN$14,_xlfn.ANCHORARRAY( $CR$14), _xlfn.XLOOKUP($EE38,_xlfn.ANCHORARRAY( $CP$15), $CR$15:$CU$19))</f>
        <v>-3.2585586776859507E-2</v>
      </c>
      <c r="EO38" s="10" cm="1">
        <f t="array" aca="1" ref="EO38" ca="1">DQ38-_xlfn.XLOOKUP(EO$13,_xlfn.ANCHORARRAY( $CR$14), _xlfn.XLOOKUP($ED38,_xlfn.ANCHORARRAY( $CP$15), $CR$15:$CU$19)) * _xlfn.XLOOKUP(EO$14,_xlfn.ANCHORARRAY( $CR$14), _xlfn.XLOOKUP($EE38,_xlfn.ANCHORARRAY( $CP$15), $CR$15:$CU$19))</f>
        <v>-3.2585586776859507E-2</v>
      </c>
      <c r="EP38" s="10" cm="1">
        <f t="array" aca="1" ref="EP38" ca="1">DR38-_xlfn.XLOOKUP(EP$13,_xlfn.ANCHORARRAY( $CR$14), _xlfn.XLOOKUP($ED38,_xlfn.ANCHORARRAY( $CP$15), $CR$15:$CU$19)) * _xlfn.XLOOKUP(EP$14,_xlfn.ANCHORARRAY( $CR$14), _xlfn.XLOOKUP($EE38,_xlfn.ANCHORARRAY( $CP$15), $CR$15:$CU$19))</f>
        <v>0.22524201652892559</v>
      </c>
      <c r="EQ38" s="10" cm="1">
        <f t="array" aca="1" ref="EQ38" ca="1">DS38-_xlfn.XLOOKUP(EQ$13,_xlfn.ANCHORARRAY( $CR$14), _xlfn.XLOOKUP($ED38,_xlfn.ANCHORARRAY( $CP$15), $CR$15:$CU$19)) * _xlfn.XLOOKUP(EQ$14,_xlfn.ANCHORARRAY( $CR$14), _xlfn.XLOOKUP($EE38,_xlfn.ANCHORARRAY( $CP$15), $CR$15:$CU$19))</f>
        <v>-0.15911847933884296</v>
      </c>
      <c r="ER38" s="10" cm="1">
        <f t="array" aca="1" ref="ER38" ca="1">DT38-_xlfn.XLOOKUP(ER$13,_xlfn.ANCHORARRAY( $CR$14), _xlfn.XLOOKUP($ED38,_xlfn.ANCHORARRAY( $CP$15), $CR$15:$CU$19)) * _xlfn.XLOOKUP(ER$14,_xlfn.ANCHORARRAY( $CR$14), _xlfn.XLOOKUP($EE38,_xlfn.ANCHORARRAY( $CP$15), $CR$15:$CU$19))</f>
        <v>-3.2585586776859507E-2</v>
      </c>
      <c r="ES38" s="10" cm="1">
        <f t="array" aca="1" ref="ES38" ca="1">DU38-_xlfn.XLOOKUP(ES$13,_xlfn.ANCHORARRAY( $CR$14), _xlfn.XLOOKUP($ED38,_xlfn.ANCHORARRAY( $CP$15), $CR$15:$CU$19)) * _xlfn.XLOOKUP(ES$14,_xlfn.ANCHORARRAY( $CR$14), _xlfn.XLOOKUP($EE38,_xlfn.ANCHORARRAY( $CP$15), $CR$15:$CU$19))</f>
        <v>-3.2585586776859507E-2</v>
      </c>
      <c r="ET38" s="10" cm="1">
        <f t="array" aca="1" ref="ET38" ca="1">DV38-_xlfn.XLOOKUP(ET$13,_xlfn.ANCHORARRAY( $CR$14), _xlfn.XLOOKUP($ED38,_xlfn.ANCHORARRAY( $CP$15), $CR$15:$CU$19)) * _xlfn.XLOOKUP(ET$14,_xlfn.ANCHORARRAY( $CR$14), _xlfn.XLOOKUP($EE38,_xlfn.ANCHORARRAY( $CP$15), $CR$15:$CU$19))</f>
        <v>-0.12748525619834711</v>
      </c>
      <c r="EU38" s="10" cm="1">
        <f t="array" aca="1" ref="EU38" ca="1">DW38-_xlfn.XLOOKUP(EU$13,_xlfn.ANCHORARRAY( $CR$14), _xlfn.XLOOKUP($ED38,_xlfn.ANCHORARRAY( $CP$15), $CR$15:$CU$19)) * _xlfn.XLOOKUP(EU$14,_xlfn.ANCHORARRAY( $CR$14), _xlfn.XLOOKUP($EE38,_xlfn.ANCHORARRAY( $CP$15), $CR$15:$CU$19))</f>
        <v>0.19360879338842973</v>
      </c>
      <c r="EZ38" cm="1">
        <f t="array" aca="1" ref="EZ38" ca="1">INDEX(_xlfn.ANCHORARRAY($CP$15), 1 + INT((ROWS($DG$15:$DG38) - 1) / ROWS(_xlfn.ANCHORARRAY($CP$15))))</f>
        <v>4</v>
      </c>
      <c r="FA38" cm="1">
        <f t="array" aca="1" ref="FA38" ca="1">INDEX(_xlfn.ANCHORARRAY($CP$15),1+MOD(ROWS($DG$15:$DG38)-1,ROWS(_xlfn.ANCHORARRAY($CP$15))))</f>
        <v>3</v>
      </c>
      <c r="FB38" s="10" cm="1">
        <f t="array" aca="1" ref="FB38" ca="1">EF38 * _xlfn.XLOOKUP(FB$13,_xlfn.ANCHORARRAY( $CZ$29), _xlfn.XLOOKUP($EZ38,_xlfn.ANCHORARRAY( $CY$30), $CZ$30:$DC$34)) * _xlfn.XLOOKUP(FB$14,_xlfn.ANCHORARRAY( $CZ$29), _xlfn.XLOOKUP($FA38,_xlfn.ANCHORARRAY( $CY$30), $CZ$30:$DC$34))</f>
        <v>0.10927220413761581</v>
      </c>
      <c r="FC38" s="10" cm="1">
        <f t="array" aca="1" ref="FC38" ca="1">EG38 * _xlfn.XLOOKUP(FC$13,_xlfn.ANCHORARRAY( $CZ$29), _xlfn.XLOOKUP($EZ38,_xlfn.ANCHORARRAY( $CY$30), $CZ$30:$DC$34)) * _xlfn.XLOOKUP(FC$14,_xlfn.ANCHORARRAY( $CZ$29), _xlfn.XLOOKUP($FA38,_xlfn.ANCHORARRAY( $CY$30), $CZ$30:$DC$34))</f>
        <v>-1.0410192460457901E-2</v>
      </c>
      <c r="FD38" s="10" cm="1">
        <f t="array" aca="1" ref="FD38" ca="1">EH38 * _xlfn.XLOOKUP(FD$13,_xlfn.ANCHORARRAY( $CZ$29), _xlfn.XLOOKUP($EZ38,_xlfn.ANCHORARRAY( $CY$30), $CZ$30:$DC$34)) * _xlfn.XLOOKUP(FD$14,_xlfn.ANCHORARRAY( $CZ$29), _xlfn.XLOOKUP($FA38,_xlfn.ANCHORARRAY( $CY$30), $CZ$30:$DC$34))</f>
        <v>1.9653775399823919E-2</v>
      </c>
      <c r="FE38" s="10" cm="1">
        <f t="array" aca="1" ref="FE38" ca="1">EI38 * _xlfn.XLOOKUP(FE$13,_xlfn.ANCHORARRAY( $CZ$29), _xlfn.XLOOKUP($EZ38,_xlfn.ANCHORARRAY( $CY$30), $CZ$30:$DC$34)) * _xlfn.XLOOKUP(FE$14,_xlfn.ANCHORARRAY( $CZ$29), _xlfn.XLOOKUP($FA38,_xlfn.ANCHORARRAY( $CY$30), $CZ$30:$DC$34))</f>
        <v>4.2180518623512166E-2</v>
      </c>
      <c r="FF38" s="10" cm="1">
        <f t="array" aca="1" ref="FF38" ca="1">EJ38 * _xlfn.XLOOKUP(FF$13,_xlfn.ANCHORARRAY( $CZ$29), _xlfn.XLOOKUP($EZ38,_xlfn.ANCHORARRAY( $CY$30), $CZ$30:$DC$34)) * _xlfn.XLOOKUP(FF$14,_xlfn.ANCHORARRAY( $CZ$29), _xlfn.XLOOKUP($FA38,_xlfn.ANCHORARRAY( $CY$30), $CZ$30:$DC$34))</f>
        <v>-7.4780532650518513E-3</v>
      </c>
      <c r="FG38" s="10" cm="1">
        <f t="array" aca="1" ref="FG38" ca="1">EK38 * _xlfn.XLOOKUP(FG$13,_xlfn.ANCHORARRAY( $CZ$29), _xlfn.XLOOKUP($EZ38,_xlfn.ANCHORARRAY( $CY$30), $CZ$30:$DC$34)) * _xlfn.XLOOKUP(FG$14,_xlfn.ANCHORARRAY( $CZ$29), _xlfn.XLOOKUP($FA38,_xlfn.ANCHORARRAY( $CY$30), $CZ$30:$DC$34))</f>
        <v>3.3799840108879473E-2</v>
      </c>
      <c r="FH38" s="10" cm="1">
        <f t="array" aca="1" ref="FH38" ca="1">EL38 * _xlfn.XLOOKUP(FH$13,_xlfn.ANCHORARRAY( $CZ$29), _xlfn.XLOOKUP($EZ38,_xlfn.ANCHORARRAY( $CY$30), $CZ$30:$DC$34)) * _xlfn.XLOOKUP(FH$14,_xlfn.ANCHORARRAY( $CZ$29), _xlfn.XLOOKUP($FA38,_xlfn.ANCHORARRAY( $CY$30), $CZ$30:$DC$34))</f>
        <v>1.3358876767764797E-2</v>
      </c>
      <c r="FI38" s="10" cm="1">
        <f t="array" aca="1" ref="FI38" ca="1">EM38 * _xlfn.XLOOKUP(FI$13,_xlfn.ANCHORARRAY( $CZ$29), _xlfn.XLOOKUP($EZ38,_xlfn.ANCHORARRAY( $CY$30), $CZ$30:$DC$34)) * _xlfn.XLOOKUP(FI$14,_xlfn.ANCHORARRAY( $CZ$29), _xlfn.XLOOKUP($FA38,_xlfn.ANCHORARRAY( $CY$30), $CZ$30:$DC$34))</f>
        <v>-2.8041596602929597E-3</v>
      </c>
      <c r="FJ38" s="10" cm="1">
        <f t="array" aca="1" ref="FJ38" ca="1">EN38 * _xlfn.XLOOKUP(FJ$13,_xlfn.ANCHORARRAY( $CZ$29), _xlfn.XLOOKUP($EZ38,_xlfn.ANCHORARRAY( $CY$30), $CZ$30:$DC$34)) * _xlfn.XLOOKUP(FJ$14,_xlfn.ANCHORARRAY( $CZ$29), _xlfn.XLOOKUP($FA38,_xlfn.ANCHORARRAY( $CY$30), $CZ$30:$DC$34))</f>
        <v>1.9653775399823922E-2</v>
      </c>
      <c r="FK38" s="10" cm="1">
        <f t="array" aca="1" ref="FK38" ca="1">EO38 * _xlfn.XLOOKUP(FK$13,_xlfn.ANCHORARRAY( $CZ$29), _xlfn.XLOOKUP($EZ38,_xlfn.ANCHORARRAY( $CY$30), $CZ$30:$DC$34)) * _xlfn.XLOOKUP(FK$14,_xlfn.ANCHORARRAY( $CZ$29), _xlfn.XLOOKUP($FA38,_xlfn.ANCHORARRAY( $CY$30), $CZ$30:$DC$34))</f>
        <v>1.9653775399823922E-2</v>
      </c>
      <c r="FL38" s="10" cm="1">
        <f t="array" aca="1" ref="FL38" ca="1">EP38 * _xlfn.XLOOKUP(FL$13,_xlfn.ANCHORARRAY( $CZ$29), _xlfn.XLOOKUP($EZ38,_xlfn.ANCHORARRAY( $CY$30), $CZ$30:$DC$34)) * _xlfn.XLOOKUP(FL$14,_xlfn.ANCHORARRAY( $CZ$29), _xlfn.XLOOKUP($FA38,_xlfn.ANCHORARRAY( $CY$30), $CZ$30:$DC$34))</f>
        <v>6.0372486685427169E-2</v>
      </c>
      <c r="FM38" s="10" cm="1">
        <f t="array" aca="1" ref="FM38" ca="1">EQ38 * _xlfn.XLOOKUP(FM$13,_xlfn.ANCHORARRAY( $CZ$29), _xlfn.XLOOKUP($EZ38,_xlfn.ANCHORARRAY( $CY$30), $CZ$30:$DC$34)) * _xlfn.XLOOKUP(FM$14,_xlfn.ANCHORARRAY( $CZ$29), _xlfn.XLOOKUP($FA38,_xlfn.ANCHORARRAY( $CY$30), $CZ$30:$DC$34))</f>
        <v>-7.2941903131645502E-2</v>
      </c>
      <c r="FN38" s="10" cm="1">
        <f t="array" aca="1" ref="FN38" ca="1">ER38 * _xlfn.XLOOKUP(FN$13,_xlfn.ANCHORARRAY( $CZ$29), _xlfn.XLOOKUP($EZ38,_xlfn.ANCHORARRAY( $CY$30), $CZ$30:$DC$34)) * _xlfn.XLOOKUP(FN$14,_xlfn.ANCHORARRAY( $CZ$29), _xlfn.XLOOKUP($FA38,_xlfn.ANCHORARRAY( $CY$30), $CZ$30:$DC$34))</f>
        <v>1.9653775399823922E-2</v>
      </c>
      <c r="FO38" s="10" cm="1">
        <f t="array" aca="1" ref="FO38" ca="1">ES38 * _xlfn.XLOOKUP(FO$13,_xlfn.ANCHORARRAY( $CZ$29), _xlfn.XLOOKUP($EZ38,_xlfn.ANCHORARRAY( $CY$30), $CZ$30:$DC$34)) * _xlfn.XLOOKUP(FO$14,_xlfn.ANCHORARRAY( $CZ$29), _xlfn.XLOOKUP($FA38,_xlfn.ANCHORARRAY( $CY$30), $CZ$30:$DC$34))</f>
        <v>1.9653775399823922E-2</v>
      </c>
      <c r="FP38" s="10" cm="1">
        <f t="array" aca="1" ref="FP38" ca="1">ET38 * _xlfn.XLOOKUP(FP$13,_xlfn.ANCHORARRAY( $CZ$29), _xlfn.XLOOKUP($EZ38,_xlfn.ANCHORARRAY( $CY$30), $CZ$30:$DC$34)) * _xlfn.XLOOKUP(FP$14,_xlfn.ANCHORARRAY( $CZ$29), _xlfn.XLOOKUP($FA38,_xlfn.ANCHORARRAY( $CY$30), $CZ$30:$DC$34))</f>
        <v>-3.4170365063458684E-2</v>
      </c>
      <c r="FQ38" s="10" cm="1">
        <f t="array" aca="1" ref="FQ38" ca="1">EU38 * _xlfn.XLOOKUP(FQ$13,_xlfn.ANCHORARRAY( $CZ$29), _xlfn.XLOOKUP($EZ38,_xlfn.ANCHORARRAY( $CY$30), $CZ$30:$DC$34)) * _xlfn.XLOOKUP(FQ$14,_xlfn.ANCHORARRAY( $CZ$29), _xlfn.XLOOKUP($FA38,_xlfn.ANCHORARRAY( $CY$30), $CZ$30:$DC$34))</f>
        <v>8.8752694919239289E-2</v>
      </c>
      <c r="FT38" cm="1">
        <f t="array" aca="1" ref="FT38" ca="1">SQRT(SUM((FB38:FQ38)^2))</f>
        <v>0.18749406323881881</v>
      </c>
    </row>
    <row r="39" spans="4:176" x14ac:dyDescent="0.2">
      <c r="AK39" s="8"/>
      <c r="AL39" s="8"/>
      <c r="DF39" cm="1">
        <f t="array" aca="1" ref="DF39" ca="1">INDEX(_xlfn.ANCHORARRAY($CP$15), 1 + INT((ROWS($DG$15:$DG39) - 1) / ROWS(_xlfn.ANCHORARRAY($CP$15))))</f>
        <v>4</v>
      </c>
      <c r="DG39" cm="1">
        <f t="array" aca="1" ref="DG39" ca="1">INDEX(_xlfn.ANCHORARRAY($CP$15),1+MOD(ROWS($DG$15:$DG39)-1,ROWS(_xlfn.ANCHORARRAY($CP$15))))</f>
        <v>4</v>
      </c>
      <c r="DH39" s="10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$B$18/($B$19*$B$19*($DF39&lt;&gt;$DG39) + $B$19*($DF39=$DG39))</f>
        <v>9.4181818181818186E-2</v>
      </c>
      <c r="DI39" s="10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$B$18/($B$19*$B$19*($DF39&lt;&gt;$DG39) + $B$19*($DF39=$DG39))</f>
        <v>6.0000000000000001E-3</v>
      </c>
      <c r="DJ39" s="10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$B$18/($B$19*$B$19*($DF39&lt;&gt;$DG39) + $B$19*($DF39=$DG39))</f>
        <v>6.0000000000000001E-3</v>
      </c>
      <c r="DK39" s="10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$B$18/($B$19*$B$19*($DF39&lt;&gt;$DG39) + $B$19*($DF39=$DG39))</f>
        <v>6.0000000000000001E-3</v>
      </c>
      <c r="DL39" s="10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$B$18/($B$19*$B$19*($DF39&lt;&gt;$DG39) + $B$19*($DF39=$DG39))</f>
        <v>6.0000000000000001E-3</v>
      </c>
      <c r="DM39" s="10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$B$18/($B$19*$B$19*($DF39&lt;&gt;$DG39) + $B$19*($DF39=$DG39))</f>
        <v>0.18236363636363637</v>
      </c>
      <c r="DN39" s="10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$B$18/($B$19*$B$19*($DF39&lt;&gt;$DG39) + $B$19*($DF39=$DG39))</f>
        <v>6.0000000000000001E-3</v>
      </c>
      <c r="DO39" s="10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$B$18/($B$19*$B$19*($DF39&lt;&gt;$DG39) + $B$19*($DF39=$DG39))</f>
        <v>6.0000000000000001E-3</v>
      </c>
      <c r="DP39" s="10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$B$18/($B$19*$B$19*($DF39&lt;&gt;$DG39) + $B$19*($DF39=$DG39))</f>
        <v>6.0000000000000001E-3</v>
      </c>
      <c r="DQ39" s="10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$B$18/($B$19*$B$19*($DF39&lt;&gt;$DG39) + $B$19*($DF39=$DG39))</f>
        <v>6.0000000000000001E-3</v>
      </c>
      <c r="DR39" s="10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$B$18/($B$19*$B$19*($DF39&lt;&gt;$DG39) + $B$19*($DF39=$DG39))</f>
        <v>0.35872727272727273</v>
      </c>
      <c r="DS39" s="10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$B$18/($B$19*$B$19*($DF39&lt;&gt;$DG39) + $B$19*($DF39=$DG39))</f>
        <v>6.0000000000000001E-3</v>
      </c>
      <c r="DT39" s="10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$B$18/($B$19*$B$19*($DF39&lt;&gt;$DG39) + $B$19*($DF39=$DG39))</f>
        <v>6.0000000000000001E-3</v>
      </c>
      <c r="DU39" s="10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$B$18/($B$19*$B$19*($DF39&lt;&gt;$DG39) + $B$19*($DF39=$DG39))</f>
        <v>6.0000000000000001E-3</v>
      </c>
      <c r="DV39" s="10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$B$18/($B$19*$B$19*($DF39&lt;&gt;$DG39) + $B$19*($DF39=$DG39))</f>
        <v>6.0000000000000001E-3</v>
      </c>
      <c r="DW39" s="10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$B$18/($B$19*$B$19*($DF39&lt;&gt;$DG39) + $B$19*($DF39=$DG39))</f>
        <v>0.35872727272727273</v>
      </c>
      <c r="ED39" cm="1">
        <f t="array" aca="1" ref="ED39" ca="1">INDEX(_xlfn.ANCHORARRAY($CP$15), 1 + INT((ROWS($DG$15:$DG39) - 1) / ROWS(_xlfn.ANCHORARRAY($CP$15))))</f>
        <v>4</v>
      </c>
      <c r="EE39" cm="1">
        <f t="array" aca="1" ref="EE39" ca="1">INDEX(_xlfn.ANCHORARRAY($CP$15),1+MOD(ROWS($DG$15:$DG39)-1,ROWS(_xlfn.ANCHORARRAY($CP$15))))</f>
        <v>4</v>
      </c>
      <c r="EF39" s="10" cm="1">
        <f t="array" aca="1" ref="EF39" ca="1">DH39-_xlfn.XLOOKUP(EF$13,_xlfn.ANCHORARRAY( $CR$14), _xlfn.XLOOKUP($ED39,_xlfn.ANCHORARRAY( $CP$15), $CR$15:$CU$19)) * _xlfn.XLOOKUP(EF$14,_xlfn.ANCHORARRAY( $CR$14), _xlfn.XLOOKUP($EE39,_xlfn.ANCHORARRAY( $CP$15), $CR$15:$CU$19))</f>
        <v>8.5311603305785133E-2</v>
      </c>
      <c r="EG39" s="10" cm="1">
        <f t="array" aca="1" ref="EG39" ca="1">DI39-_xlfn.XLOOKUP(EG$13,_xlfn.ANCHORARRAY( $CR$14), _xlfn.XLOOKUP($ED39,_xlfn.ANCHORARRAY( $CP$15), $CR$15:$CU$19)) * _xlfn.XLOOKUP(EG$14,_xlfn.ANCHORARRAY( $CR$14), _xlfn.XLOOKUP($EE39,_xlfn.ANCHORARRAY( $CP$15), $CR$15:$CU$19))</f>
        <v>-1.1175338842975209E-2</v>
      </c>
      <c r="EH39" s="10" cm="1">
        <f t="array" aca="1" ref="EH39" ca="1">DJ39-_xlfn.XLOOKUP(EH$13,_xlfn.ANCHORARRAY( $CR$14), _xlfn.XLOOKUP($ED39,_xlfn.ANCHORARRAY( $CP$15), $CR$15:$CU$19)) * _xlfn.XLOOKUP(EH$14,_xlfn.ANCHORARRAY( $CR$14), _xlfn.XLOOKUP($EE39,_xlfn.ANCHORARRAY( $CP$15), $CR$15:$CU$19))</f>
        <v>-2.7785586776859508E-2</v>
      </c>
      <c r="EI39" s="10" cm="1">
        <f t="array" aca="1" ref="EI39" ca="1">DK39-_xlfn.XLOOKUP(EI$13,_xlfn.ANCHORARRAY( $CR$14), _xlfn.XLOOKUP($ED39,_xlfn.ANCHORARRAY( $CP$15), $CR$15:$CU$19)) * _xlfn.XLOOKUP(EI$14,_xlfn.ANCHORARRAY( $CR$14), _xlfn.XLOOKUP($EE39,_xlfn.ANCHORARRAY( $CP$15), $CR$15:$CU$19))</f>
        <v>-2.7785586776859508E-2</v>
      </c>
      <c r="EJ39" s="10" cm="1">
        <f t="array" aca="1" ref="EJ39" ca="1">DL39-_xlfn.XLOOKUP(EJ$13,_xlfn.ANCHORARRAY( $CR$14), _xlfn.XLOOKUP($ED39,_xlfn.ANCHORARRAY( $CP$15), $CR$15:$CU$19)) * _xlfn.XLOOKUP(EJ$14,_xlfn.ANCHORARRAY( $CR$14), _xlfn.XLOOKUP($EE39,_xlfn.ANCHORARRAY( $CP$15), $CR$15:$CU$19))</f>
        <v>-1.1175338842975209E-2</v>
      </c>
      <c r="EK39" s="10" cm="1">
        <f t="array" aca="1" ref="EK39" ca="1">DM39-_xlfn.XLOOKUP(EK$13,_xlfn.ANCHORARRAY( $CR$14), _xlfn.XLOOKUP($ED39,_xlfn.ANCHORARRAY( $CP$15), $CR$15:$CU$19)) * _xlfn.XLOOKUP(EK$14,_xlfn.ANCHORARRAY( $CR$14), _xlfn.XLOOKUP($EE39,_xlfn.ANCHORARRAY( $CP$15), $CR$15:$CU$19))</f>
        <v>0.14910714049586776</v>
      </c>
      <c r="EL39" s="10" cm="1">
        <f t="array" aca="1" ref="EL39" ca="1">DN39-_xlfn.XLOOKUP(EL$13,_xlfn.ANCHORARRAY( $CR$14), _xlfn.XLOOKUP($ED39,_xlfn.ANCHORARRAY( $CP$15), $CR$15:$CU$19)) * _xlfn.XLOOKUP(EL$14,_xlfn.ANCHORARRAY( $CR$14), _xlfn.XLOOKUP($EE39,_xlfn.ANCHORARRAY( $CP$15), $CR$15:$CU$19))</f>
        <v>-5.9418809917355368E-2</v>
      </c>
      <c r="EM39" s="10" cm="1">
        <f t="array" aca="1" ref="EM39" ca="1">DO39-_xlfn.XLOOKUP(EM$13,_xlfn.ANCHORARRAY( $CR$14), _xlfn.XLOOKUP($ED39,_xlfn.ANCHORARRAY( $CP$15), $CR$15:$CU$19)) * _xlfn.XLOOKUP(EM$14,_xlfn.ANCHORARRAY( $CR$14), _xlfn.XLOOKUP($EE39,_xlfn.ANCHORARRAY( $CP$15), $CR$15:$CU$19))</f>
        <v>-5.9418809917355368E-2</v>
      </c>
      <c r="EN39" s="10" cm="1">
        <f t="array" aca="1" ref="EN39" ca="1">DP39-_xlfn.XLOOKUP(EN$13,_xlfn.ANCHORARRAY( $CR$14), _xlfn.XLOOKUP($ED39,_xlfn.ANCHORARRAY( $CP$15), $CR$15:$CU$19)) * _xlfn.XLOOKUP(EN$14,_xlfn.ANCHORARRAY( $CR$14), _xlfn.XLOOKUP($EE39,_xlfn.ANCHORARRAY( $CP$15), $CR$15:$CU$19))</f>
        <v>-2.7785586776859508E-2</v>
      </c>
      <c r="EO39" s="10" cm="1">
        <f t="array" aca="1" ref="EO39" ca="1">DQ39-_xlfn.XLOOKUP(EO$13,_xlfn.ANCHORARRAY( $CR$14), _xlfn.XLOOKUP($ED39,_xlfn.ANCHORARRAY( $CP$15), $CR$15:$CU$19)) * _xlfn.XLOOKUP(EO$14,_xlfn.ANCHORARRAY( $CR$14), _xlfn.XLOOKUP($EE39,_xlfn.ANCHORARRAY( $CP$15), $CR$15:$CU$19))</f>
        <v>-5.9418809917355368E-2</v>
      </c>
      <c r="EP39" s="10" cm="1">
        <f t="array" aca="1" ref="EP39" ca="1">DR39-_xlfn.XLOOKUP(EP$13,_xlfn.ANCHORARRAY( $CR$14), _xlfn.XLOOKUP($ED39,_xlfn.ANCHORARRAY( $CP$15), $CR$15:$CU$19)) * _xlfn.XLOOKUP(EP$14,_xlfn.ANCHORARRAY( $CR$14), _xlfn.XLOOKUP($EE39,_xlfn.ANCHORARRAY( $CP$15), $CR$15:$CU$19))</f>
        <v>0.23004201652892561</v>
      </c>
      <c r="EQ39" s="10" cm="1">
        <f t="array" aca="1" ref="EQ39" ca="1">DS39-_xlfn.XLOOKUP(EQ$13,_xlfn.ANCHORARRAY( $CR$14), _xlfn.XLOOKUP($ED39,_xlfn.ANCHORARRAY( $CP$15), $CR$15:$CU$19)) * _xlfn.XLOOKUP(EQ$14,_xlfn.ANCHORARRAY( $CR$14), _xlfn.XLOOKUP($EE39,_xlfn.ANCHORARRAY( $CP$15), $CR$15:$CU$19))</f>
        <v>-0.12268525619834711</v>
      </c>
      <c r="ER39" s="10" cm="1">
        <f t="array" aca="1" ref="ER39" ca="1">DT39-_xlfn.XLOOKUP(ER$13,_xlfn.ANCHORARRAY( $CR$14), _xlfn.XLOOKUP($ED39,_xlfn.ANCHORARRAY( $CP$15), $CR$15:$CU$19)) * _xlfn.XLOOKUP(ER$14,_xlfn.ANCHORARRAY( $CR$14), _xlfn.XLOOKUP($EE39,_xlfn.ANCHORARRAY( $CP$15), $CR$15:$CU$19))</f>
        <v>-2.7785586776859508E-2</v>
      </c>
      <c r="ES39" s="10" cm="1">
        <f t="array" aca="1" ref="ES39" ca="1">DU39-_xlfn.XLOOKUP(ES$13,_xlfn.ANCHORARRAY( $CR$14), _xlfn.XLOOKUP($ED39,_xlfn.ANCHORARRAY( $CP$15), $CR$15:$CU$19)) * _xlfn.XLOOKUP(ES$14,_xlfn.ANCHORARRAY( $CR$14), _xlfn.XLOOKUP($EE39,_xlfn.ANCHORARRAY( $CP$15), $CR$15:$CU$19))</f>
        <v>-5.9418809917355368E-2</v>
      </c>
      <c r="ET39" s="10" cm="1">
        <f t="array" aca="1" ref="ET39" ca="1">DV39-_xlfn.XLOOKUP(ET$13,_xlfn.ANCHORARRAY( $CR$14), _xlfn.XLOOKUP($ED39,_xlfn.ANCHORARRAY( $CP$15), $CR$15:$CU$19)) * _xlfn.XLOOKUP(ET$14,_xlfn.ANCHORARRAY( $CR$14), _xlfn.XLOOKUP($EE39,_xlfn.ANCHORARRAY( $CP$15), $CR$15:$CU$19))</f>
        <v>-0.12268525619834711</v>
      </c>
      <c r="EU39" s="10" cm="1">
        <f t="array" aca="1" ref="EU39" ca="1">DW39-_xlfn.XLOOKUP(EU$13,_xlfn.ANCHORARRAY( $CR$14), _xlfn.XLOOKUP($ED39,_xlfn.ANCHORARRAY( $CP$15), $CR$15:$CU$19)) * _xlfn.XLOOKUP(EU$14,_xlfn.ANCHORARRAY( $CR$14), _xlfn.XLOOKUP($EE39,_xlfn.ANCHORARRAY( $CP$15), $CR$15:$CU$19))</f>
        <v>0.23004201652892561</v>
      </c>
      <c r="EZ39" cm="1">
        <f t="array" aca="1" ref="EZ39" ca="1">INDEX(_xlfn.ANCHORARRAY($CP$15), 1 + INT((ROWS($DG$15:$DG39) - 1) / ROWS(_xlfn.ANCHORARRAY($CP$15))))</f>
        <v>4</v>
      </c>
      <c r="FA39" cm="1">
        <f t="array" aca="1" ref="FA39" ca="1">INDEX(_xlfn.ANCHORARRAY($CP$15),1+MOD(ROWS($DG$15:$DG39)-1,ROWS(_xlfn.ANCHORARRAY($CP$15))))</f>
        <v>4</v>
      </c>
      <c r="FB39" s="10" cm="1">
        <f t="array" aca="1" ref="FB39" ca="1">EF39 * _xlfn.XLOOKUP(FB$13,_xlfn.ANCHORARRAY( $CZ$29), _xlfn.XLOOKUP($EZ39,_xlfn.ANCHORARRAY( $CY$30), $CZ$30:$DC$34)) * _xlfn.XLOOKUP(FB$14,_xlfn.ANCHORARRAY( $CZ$29), _xlfn.XLOOKUP($FA39,_xlfn.ANCHORARRAY( $CY$30), $CZ$30:$DC$34))</f>
        <v>0.11578687479779962</v>
      </c>
      <c r="FC39" s="10" cm="1">
        <f t="array" aca="1" ref="FC39" ca="1">EG39 * _xlfn.XLOOKUP(FC$13,_xlfn.ANCHORARRAY( $CZ$29), _xlfn.XLOOKUP($EZ39,_xlfn.ANCHORARRAY( $CY$30), $CZ$30:$DC$34)) * _xlfn.XLOOKUP(FC$14,_xlfn.ANCHORARRAY( $CZ$29), _xlfn.XLOOKUP($FA39,_xlfn.ANCHORARRAY( $CY$30), $CZ$30:$DC$34))</f>
        <v>-5.2311741205739387E-3</v>
      </c>
      <c r="FD39" s="10" cm="1">
        <f t="array" aca="1" ref="FD39" ca="1">EH39 * _xlfn.XLOOKUP(FD$13,_xlfn.ANCHORARRAY( $CZ$29), _xlfn.XLOOKUP($EZ39,_xlfn.ANCHORARRAY( $CY$30), $CZ$30:$DC$34)) * _xlfn.XLOOKUP(FD$14,_xlfn.ANCHORARRAY( $CZ$29), _xlfn.XLOOKUP($FA39,_xlfn.ANCHORARRAY( $CY$30), $CZ$30:$DC$34))</f>
        <v>1.6758687993076699E-2</v>
      </c>
      <c r="FE39" s="10" cm="1">
        <f t="array" aca="1" ref="FE39" ca="1">EI39 * _xlfn.XLOOKUP(FE$13,_xlfn.ANCHORARRAY( $CZ$29), _xlfn.XLOOKUP($EZ39,_xlfn.ANCHORARRAY( $CY$30), $CZ$30:$DC$34)) * _xlfn.XLOOKUP(FE$14,_xlfn.ANCHORARRAY( $CZ$29), _xlfn.XLOOKUP($FA39,_xlfn.ANCHORARRAY( $CY$30), $CZ$30:$DC$34))</f>
        <v>1.6758687993076699E-2</v>
      </c>
      <c r="FF39" s="10" cm="1">
        <f t="array" aca="1" ref="FF39" ca="1">EJ39 * _xlfn.XLOOKUP(FF$13,_xlfn.ANCHORARRAY( $CZ$29), _xlfn.XLOOKUP($EZ39,_xlfn.ANCHORARRAY( $CY$30), $CZ$30:$DC$34)) * _xlfn.XLOOKUP(FF$14,_xlfn.ANCHORARRAY( $CZ$29), _xlfn.XLOOKUP($FA39,_xlfn.ANCHORARRAY( $CY$30), $CZ$30:$DC$34))</f>
        <v>-5.2311741205739396E-3</v>
      </c>
      <c r="FG39" s="10" cm="1">
        <f t="array" aca="1" ref="FG39" ca="1">EK39 * _xlfn.XLOOKUP(FG$13,_xlfn.ANCHORARRAY( $CZ$29), _xlfn.XLOOKUP($EZ39,_xlfn.ANCHORARRAY( $CY$30), $CZ$30:$DC$34)) * _xlfn.XLOOKUP(FG$14,_xlfn.ANCHORARRAY( $CZ$29), _xlfn.XLOOKUP($FA39,_xlfn.ANCHORARRAY( $CY$30), $CZ$30:$DC$34))</f>
        <v>2.407266460570762E-2</v>
      </c>
      <c r="FH39" s="10" cm="1">
        <f t="array" aca="1" ref="FH39" ca="1">EL39 * _xlfn.XLOOKUP(FH$13,_xlfn.ANCHORARRAY( $CZ$29), _xlfn.XLOOKUP($EZ39,_xlfn.ANCHORARRAY( $CY$30), $CZ$30:$DC$34)) * _xlfn.XLOOKUP(FH$14,_xlfn.ANCHORARRAY( $CZ$29), _xlfn.XLOOKUP($FA39,_xlfn.ANCHORARRAY( $CY$30), $CZ$30:$DC$34))</f>
        <v>1.2360374793533389E-2</v>
      </c>
      <c r="FI39" s="10" cm="1">
        <f t="array" aca="1" ref="FI39" ca="1">EM39 * _xlfn.XLOOKUP(FI$13,_xlfn.ANCHORARRAY( $CZ$29), _xlfn.XLOOKUP($EZ39,_xlfn.ANCHORARRAY( $CY$30), $CZ$30:$DC$34)) * _xlfn.XLOOKUP(FI$14,_xlfn.ANCHORARRAY( $CZ$29), _xlfn.XLOOKUP($FA39,_xlfn.ANCHORARRAY( $CY$30), $CZ$30:$DC$34))</f>
        <v>1.2360374793533389E-2</v>
      </c>
      <c r="FJ39" s="10" cm="1">
        <f t="array" aca="1" ref="FJ39" ca="1">EN39 * _xlfn.XLOOKUP(FJ$13,_xlfn.ANCHORARRAY( $CZ$29), _xlfn.XLOOKUP($EZ39,_xlfn.ANCHORARRAY( $CY$30), $CZ$30:$DC$34)) * _xlfn.XLOOKUP(FJ$14,_xlfn.ANCHORARRAY( $CZ$29), _xlfn.XLOOKUP($FA39,_xlfn.ANCHORARRAY( $CY$30), $CZ$30:$DC$34))</f>
        <v>1.6758687993076699E-2</v>
      </c>
      <c r="FK39" s="10" cm="1">
        <f t="array" aca="1" ref="FK39" ca="1">EO39 * _xlfn.XLOOKUP(FK$13,_xlfn.ANCHORARRAY( $CZ$29), _xlfn.XLOOKUP($EZ39,_xlfn.ANCHORARRAY( $CY$30), $CZ$30:$DC$34)) * _xlfn.XLOOKUP(FK$14,_xlfn.ANCHORARRAY( $CZ$29), _xlfn.XLOOKUP($FA39,_xlfn.ANCHORARRAY( $CY$30), $CZ$30:$DC$34))</f>
        <v>1.2360374793533389E-2</v>
      </c>
      <c r="FL39" s="10" cm="1">
        <f t="array" aca="1" ref="FL39" ca="1">EP39 * _xlfn.XLOOKUP(FL$13,_xlfn.ANCHORARRAY( $CZ$29), _xlfn.XLOOKUP($EZ39,_xlfn.ANCHORARRAY( $CY$30), $CZ$30:$DC$34)) * _xlfn.XLOOKUP(FL$14,_xlfn.ANCHORARRAY( $CZ$29), _xlfn.XLOOKUP($FA39,_xlfn.ANCHORARRAY( $CY$30), $CZ$30:$DC$34))</f>
        <v>6.1659049204071815E-2</v>
      </c>
      <c r="FM39" s="10" cm="1">
        <f t="array" aca="1" ref="FM39" ca="1">EQ39 * _xlfn.XLOOKUP(FM$13,_xlfn.ANCHORARRAY( $CZ$29), _xlfn.XLOOKUP($EZ39,_xlfn.ANCHORARRAY( $CY$30), $CZ$30:$DC$34)) * _xlfn.XLOOKUP(FM$14,_xlfn.ANCHORARRAY( $CZ$29), _xlfn.XLOOKUP($FA39,_xlfn.ANCHORARRAY( $CY$30), $CZ$30:$DC$34))</f>
        <v>-3.2883802544814059E-2</v>
      </c>
      <c r="FN39" s="10" cm="1">
        <f t="array" aca="1" ref="FN39" ca="1">ER39 * _xlfn.XLOOKUP(FN$13,_xlfn.ANCHORARRAY( $CZ$29), _xlfn.XLOOKUP($EZ39,_xlfn.ANCHORARRAY( $CY$30), $CZ$30:$DC$34)) * _xlfn.XLOOKUP(FN$14,_xlfn.ANCHORARRAY( $CZ$29), _xlfn.XLOOKUP($FA39,_xlfn.ANCHORARRAY( $CY$30), $CZ$30:$DC$34))</f>
        <v>1.6758687993076699E-2</v>
      </c>
      <c r="FO39" s="10" cm="1">
        <f t="array" aca="1" ref="FO39" ca="1">ES39 * _xlfn.XLOOKUP(FO$13,_xlfn.ANCHORARRAY( $CZ$29), _xlfn.XLOOKUP($EZ39,_xlfn.ANCHORARRAY( $CY$30), $CZ$30:$DC$34)) * _xlfn.XLOOKUP(FO$14,_xlfn.ANCHORARRAY( $CZ$29), _xlfn.XLOOKUP($FA39,_xlfn.ANCHORARRAY( $CY$30), $CZ$30:$DC$34))</f>
        <v>1.2360374793533389E-2</v>
      </c>
      <c r="FP39" s="10" cm="1">
        <f t="array" aca="1" ref="FP39" ca="1">ET39 * _xlfn.XLOOKUP(FP$13,_xlfn.ANCHORARRAY( $CZ$29), _xlfn.XLOOKUP($EZ39,_xlfn.ANCHORARRAY( $CY$30), $CZ$30:$DC$34)) * _xlfn.XLOOKUP(FP$14,_xlfn.ANCHORARRAY( $CZ$29), _xlfn.XLOOKUP($FA39,_xlfn.ANCHORARRAY( $CY$30), $CZ$30:$DC$34))</f>
        <v>-3.2883802544814059E-2</v>
      </c>
      <c r="FQ39" s="10" cm="1">
        <f t="array" aca="1" ref="FQ39" ca="1">EU39 * _xlfn.XLOOKUP(FQ$13,_xlfn.ANCHORARRAY( $CZ$29), _xlfn.XLOOKUP($EZ39,_xlfn.ANCHORARRAY( $CY$30), $CZ$30:$DC$34)) * _xlfn.XLOOKUP(FQ$14,_xlfn.ANCHORARRAY( $CZ$29), _xlfn.XLOOKUP($FA39,_xlfn.ANCHORARRAY( $CY$30), $CZ$30:$DC$34))</f>
        <v>6.1659049204071815E-2</v>
      </c>
      <c r="FT39" cm="1">
        <f t="array" aca="1" ref="FT39" ca="1">SQRT(SUM((FB39:FQ39)^2))</f>
        <v>0.1598177697012329</v>
      </c>
    </row>
    <row r="40" spans="4:176" x14ac:dyDescent="0.2">
      <c r="AK40" s="7"/>
      <c r="AL40" s="2"/>
      <c r="CT40" s="1"/>
    </row>
    <row r="41" spans="4:176" x14ac:dyDescent="0.2">
      <c r="AK41" s="2"/>
      <c r="AL41" s="2"/>
    </row>
    <row r="42" spans="4:176" x14ac:dyDescent="0.2">
      <c r="AK42" s="2"/>
      <c r="AL42" s="2"/>
    </row>
    <row r="43" spans="4:176" x14ac:dyDescent="0.2">
      <c r="AK43" s="2"/>
      <c r="AL43" s="2"/>
    </row>
    <row r="44" spans="4:176" x14ac:dyDescent="0.2">
      <c r="AK44" s="2"/>
      <c r="AL44" s="2"/>
    </row>
    <row r="45" spans="4:176" x14ac:dyDescent="0.2">
      <c r="AK45" s="2"/>
      <c r="AL45" s="2"/>
    </row>
    <row r="46" spans="4:176" x14ac:dyDescent="0.2">
      <c r="AK46" s="2"/>
      <c r="AL46" s="2"/>
    </row>
    <row r="47" spans="4:176" x14ac:dyDescent="0.2">
      <c r="AK47" s="2"/>
      <c r="AL47" s="2"/>
    </row>
    <row r="48" spans="4:176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13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12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11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10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9" priority="9" stopIfTrue="1">
      <formula>AND($M15, O$13)</formula>
    </cfRule>
    <cfRule type="expression" dxfId="8" priority="10" stopIfTrue="1">
      <formula>NOT(AND($M15, O$13))</formula>
    </cfRule>
  </conditionalFormatting>
  <conditionalFormatting sqref="P11:S11">
    <cfRule type="expression" dxfId="7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275E-BEC6-5740-85E6-ACD5F8BA87A5}">
  <dimension ref="A1:DW141"/>
  <sheetViews>
    <sheetView topLeftCell="DH1" zoomScale="85" zoomScaleNormal="25" workbookViewId="0">
      <selection activeCell="U17" sqref="U17"/>
    </sheetView>
  </sheetViews>
  <sheetFormatPr baseColWidth="10" defaultRowHeight="16" x14ac:dyDescent="0.2"/>
  <cols>
    <col min="1" max="1" width="22.83203125" customWidth="1"/>
  </cols>
  <sheetData>
    <row r="1" spans="1:127" x14ac:dyDescent="0.2">
      <c r="A1" s="5" t="s">
        <v>21</v>
      </c>
      <c r="B1" s="5">
        <v>0.4</v>
      </c>
      <c r="E1" s="2" t="s">
        <v>28</v>
      </c>
      <c r="F1" s="2" t="s">
        <v>44</v>
      </c>
      <c r="L1" t="s">
        <v>56</v>
      </c>
      <c r="M1" t="s">
        <v>0</v>
      </c>
      <c r="N1" t="s">
        <v>2</v>
      </c>
      <c r="O1" t="s">
        <v>3</v>
      </c>
      <c r="P1" t="s">
        <v>4</v>
      </c>
    </row>
    <row r="2" spans="1:127" x14ac:dyDescent="0.2">
      <c r="A2" s="5" t="s">
        <v>22</v>
      </c>
      <c r="B2" s="5">
        <v>0.6</v>
      </c>
      <c r="L2" t="s">
        <v>57</v>
      </c>
      <c r="M2">
        <v>4</v>
      </c>
    </row>
    <row r="3" spans="1:127" x14ac:dyDescent="0.2">
      <c r="A3" s="5" t="s">
        <v>24</v>
      </c>
      <c r="B3" s="5">
        <v>0.2</v>
      </c>
    </row>
    <row r="4" spans="1:127" x14ac:dyDescent="0.2">
      <c r="A4" s="5" t="s">
        <v>23</v>
      </c>
      <c r="B4" s="5">
        <v>0.4</v>
      </c>
    </row>
    <row r="5" spans="1:127" x14ac:dyDescent="0.2">
      <c r="A5" s="5" t="s">
        <v>25</v>
      </c>
      <c r="B5" s="5">
        <v>0.2</v>
      </c>
    </row>
    <row r="7" spans="1:127" x14ac:dyDescent="0.2">
      <c r="AL7" s="4"/>
    </row>
    <row r="8" spans="1:127" x14ac:dyDescent="0.2">
      <c r="A8" s="5" t="s">
        <v>31</v>
      </c>
      <c r="B8" s="5">
        <v>23</v>
      </c>
      <c r="AK8" s="4"/>
      <c r="AL8" s="7"/>
    </row>
    <row r="9" spans="1:127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AK9" s="4"/>
      <c r="CR9" t="str" cm="1">
        <f t="array" aca="1" ref="CR9:CU9" ca="1">OFFSET($M$1,0,0,1,$M$2)</f>
        <v>A</v>
      </c>
      <c r="CS9" t="str">
        <f ca="1"/>
        <v>C</v>
      </c>
      <c r="CT9" t="str">
        <f ca="1"/>
        <v>D</v>
      </c>
      <c r="CU9" t="str">
        <f ca="1"/>
        <v>E</v>
      </c>
      <c r="CZ9" s="13"/>
      <c r="DA9" s="9"/>
      <c r="DB9" s="9"/>
      <c r="DC9" s="9"/>
    </row>
    <row r="10" spans="1:127" x14ac:dyDescent="0.2">
      <c r="N10" s="8" t="s">
        <v>15</v>
      </c>
      <c r="O10" s="9" cm="1">
        <f t="array" aca="1" ref="O10" ca="1">1-SUMPRODUCT(OFFSET($AO$15,0,0,$B$14,1),1*(_xlfn._xlws.FILTER(OFFSET(O$15,0,0,$B$8,1),OFFSET($M$15,0,0,$B$8,1))&lt;&gt;"-"))/SUM(OFFSET($AO$15,0,0,$B$14,1))</f>
        <v>6.7013405569000262E-2</v>
      </c>
      <c r="P10" s="9" cm="1">
        <f t="array" aca="1" ref="P10" ca="1">1-SUMPRODUCT(OFFSET($AO$15,0,0,$B$14,1),1*(_xlfn._xlws.FILTER(OFFSET(P$15,0,0,$B$8,1),OFFSET($M$15,0,0,$B$8,1))&lt;&gt;"-"))/SUM(OFFSET($AO$15,0,0,$B$14,1))</f>
        <v>0.11488012383257185</v>
      </c>
      <c r="Q10" s="9" cm="1">
        <f t="array" aca="1" ref="Q10" ca="1">1-SUMPRODUCT(OFFSET($AO$15,0,0,$B$14,1),1*(_xlfn._xlws.FILTER(OFFSET(Q$15,0,0,$B$8,1),OFFSET($M$15,0,0,$B$8,1))&lt;&gt;"-"))/SUM(OFFSET($AO$15,0,0,$B$14,1))</f>
        <v>6.7013405569000262E-2</v>
      </c>
      <c r="R10" s="9" cm="1">
        <f t="array" aca="1" ref="R10" ca="1">1-SUMPRODUCT(OFFSET($AO$15,0,0,$B$14,1),1*(_xlfn._xlws.FILTER(OFFSET(R$15,0,0,$B$8,1),OFFSET($M$15,0,0,$B$8,1))&lt;&gt;"-"))/SUM(OFFSET($AO$15,0,0,$B$14,1))</f>
        <v>0.17423485447940068</v>
      </c>
      <c r="S10" s="9" cm="1">
        <f t="array" aca="1" ref="S10" ca="1">1-SUMPRODUCT(OFFSET($AO$15,0,0,$B$14,1),1*(_xlfn._xlws.FILTER(OFFSET(S$15,0,0,$B$8,1),OFFSET($M$15,0,0,$B$8,1))&lt;&gt;"-"))/SUM(OFFSET($AO$15,0,0,$B$14,1))</f>
        <v>0.18380819813211502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27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E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0.08</v>
      </c>
      <c r="CR11" cm="1">
        <f t="array" aca="1" ref="CR11:CU11" ca="1">(1-$CQ$11)*OFFSET($CR$10,0,0,1,$M$2)</f>
        <v>0.23</v>
      </c>
      <c r="CS11">
        <f ca="1"/>
        <v>0.23</v>
      </c>
      <c r="CT11">
        <f ca="1"/>
        <v>0.23</v>
      </c>
      <c r="CU11">
        <f ca="1"/>
        <v>0.23</v>
      </c>
      <c r="DH11" s="13" t="s">
        <v>48</v>
      </c>
    </row>
    <row r="12" spans="1:127" x14ac:dyDescent="0.2">
      <c r="N12" s="8" t="s">
        <v>20</v>
      </c>
      <c r="O12" s="12">
        <f t="shared" ref="O12:S12" ca="1" si="1">COUNTIF(OFFSET(O15,0,0,$B$8,1), "-") / COUNTA(OFFSET(O15,0,0,$B$8,1))</f>
        <v>8.6956521739130432E-2</v>
      </c>
      <c r="P12" s="9">
        <f t="shared" ca="1" si="1"/>
        <v>0.17391304347826086</v>
      </c>
      <c r="Q12" s="9">
        <f t="shared" ca="1" si="1"/>
        <v>0.13043478260869565</v>
      </c>
      <c r="R12" s="9">
        <f t="shared" ca="1" si="1"/>
        <v>0.13043478260869565</v>
      </c>
      <c r="S12" s="9">
        <f t="shared" ca="1" si="1"/>
        <v>0.13043478260869565</v>
      </c>
      <c r="AK12" s="7"/>
      <c r="CQ12" s="2"/>
      <c r="DF12" s="4" t="s">
        <v>50</v>
      </c>
      <c r="DG12" s="4"/>
    </row>
    <row r="13" spans="1:127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C</v>
      </c>
      <c r="DM13" t="str" cm="1">
        <f t="array" aca="1" ref="DM13" ca="1">INDEX(_xlfn.ANCHORARRAY($CR$14), 1 + INT((COLUMNS($DH$13:DM$13) - 1) / COLUMNS(_xlfn.ANCHORARRAY($CR$14))))</f>
        <v>C</v>
      </c>
      <c r="DN13" t="str" cm="1">
        <f t="array" aca="1" ref="DN13" ca="1">INDEX(_xlfn.ANCHORARRAY($CR$14), 1 + INT((COLUMNS($DH$13:DN$13) - 1) / COLUMNS(_xlfn.ANCHORARRAY($CR$14))))</f>
        <v>C</v>
      </c>
      <c r="DO13" t="str" cm="1">
        <f t="array" aca="1" ref="DO13" ca="1">INDEX(_xlfn.ANCHORARRAY($CR$14), 1 + INT((COLUMNS($DH$13:DO$13) - 1) / COLUMNS(_xlfn.ANCHORARRAY($CR$14))))</f>
        <v>C</v>
      </c>
      <c r="DP13" t="str" cm="1">
        <f t="array" aca="1" ref="DP13" ca="1">INDEX(_xlfn.ANCHORARRAY($CR$14), 1 + INT((COLUMNS($DH$13:DP$13) - 1) / COLUMNS(_xlfn.ANCHORARRAY($CR$14))))</f>
        <v>D</v>
      </c>
      <c r="DQ13" t="str" cm="1">
        <f t="array" aca="1" ref="DQ13" ca="1">INDEX(_xlfn.ANCHORARRAY($CR$14), 1 + INT((COLUMNS($DH$13:DQ$13) - 1) / COLUMNS(_xlfn.ANCHORARRAY($CR$14))))</f>
        <v>D</v>
      </c>
      <c r="DR13" t="str" cm="1">
        <f t="array" aca="1" ref="DR13" ca="1">INDEX(_xlfn.ANCHORARRAY($CR$14), 1 + INT((COLUMNS($DH$13:DR$13) - 1) / COLUMNS(_xlfn.ANCHORARRAY($CR$14))))</f>
        <v>D</v>
      </c>
      <c r="DS13" t="str" cm="1">
        <f t="array" aca="1" ref="DS13" ca="1">INDEX(_xlfn.ANCHORARRAY($CR$14), 1 + INT((COLUMNS($DH$13:DS$13) - 1) / COLUMNS(_xlfn.ANCHORARRAY($CR$14))))</f>
        <v>D</v>
      </c>
      <c r="DT13" t="str" cm="1">
        <f t="array" aca="1" ref="DT13" ca="1">INDEX(_xlfn.ANCHORARRAY($CR$14), 1 + INT((COLUMNS($DH$13:DT$13) - 1) / COLUMNS(_xlfn.ANCHORARRAY($CR$14))))</f>
        <v>E</v>
      </c>
      <c r="DU13" t="str" cm="1">
        <f t="array" aca="1" ref="DU13" ca="1">INDEX(_xlfn.ANCHORARRAY($CR$14), 1 + INT((COLUMNS($DH$13:DU$13) - 1) / COLUMNS(_xlfn.ANCHORARRAY($CR$14))))</f>
        <v>E</v>
      </c>
      <c r="DV13" t="str" cm="1">
        <f t="array" aca="1" ref="DV13" ca="1">INDEX(_xlfn.ANCHORARRAY($CR$14), 1 + INT((COLUMNS($DH$13:DV$13) - 1) / COLUMNS(_xlfn.ANCHORARRAY($CR$14))))</f>
        <v>E</v>
      </c>
      <c r="DW13" t="str" cm="1">
        <f t="array" aca="1" ref="DW13" ca="1">INDEX(_xlfn.ANCHORARRAY($CR$14), 1 + INT((COLUMNS($DH$13:DW$13) - 1) / COLUMNS(_xlfn.ANCHORARRAY($CR$14))))</f>
        <v>E</v>
      </c>
    </row>
    <row r="14" spans="1:127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C</v>
      </c>
      <c r="CT14" s="9" t="str">
        <f ca="1"/>
        <v>D</v>
      </c>
      <c r="CU14" s="9" t="str">
        <f ca="1"/>
        <v>E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C</v>
      </c>
      <c r="DB14" s="9" t="str">
        <f ca="1"/>
        <v>D</v>
      </c>
      <c r="DC14" s="9" t="str">
        <f ca="1"/>
        <v>E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C</v>
      </c>
      <c r="DJ14" s="15" t="str" cm="1">
        <f t="array" aca="1" ref="DJ14" ca="1">INDEX(_xlfn.ANCHORARRAY($CR$14), 1 + MOD(COLUMNS($DH$14:DJ$14) - 1, COLUMNS(_xlfn.ANCHORARRAY($CR$14))))</f>
        <v>D</v>
      </c>
      <c r="DK14" s="15" t="str" cm="1">
        <f t="array" aca="1" ref="DK14" ca="1">INDEX(_xlfn.ANCHORARRAY($CR$14), 1 + MOD(COLUMNS($DH$14:DK$14) - 1, COLUMNS(_xlfn.ANCHORARRAY($CR$14))))</f>
        <v>E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C</v>
      </c>
      <c r="DN14" s="15" t="str" cm="1">
        <f t="array" aca="1" ref="DN14" ca="1">INDEX(_xlfn.ANCHORARRAY($CR$14), 1 + MOD(COLUMNS($DH$14:DN$14) - 1, COLUMNS(_xlfn.ANCHORARRAY($CR$14))))</f>
        <v>D</v>
      </c>
      <c r="DO14" s="15" t="str" cm="1">
        <f t="array" aca="1" ref="DO14" ca="1">INDEX(_xlfn.ANCHORARRAY($CR$14), 1 + MOD(COLUMNS($DH$14:DO$14) - 1, COLUMNS(_xlfn.ANCHORARRAY($CR$14))))</f>
        <v>E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C</v>
      </c>
      <c r="DR14" s="15" t="str" cm="1">
        <f t="array" aca="1" ref="DR14" ca="1">INDEX(_xlfn.ANCHORARRAY($CR$14), 1 + MOD(COLUMNS($DH$14:DR$14) - 1, COLUMNS(_xlfn.ANCHORARRAY($CR$14))))</f>
        <v>D</v>
      </c>
      <c r="DS14" s="15" t="str" cm="1">
        <f t="array" aca="1" ref="DS14" ca="1">INDEX(_xlfn.ANCHORARRAY($CR$14), 1 + MOD(COLUMNS($DH$14:DS$14) - 1, COLUMNS(_xlfn.ANCHORARRAY($CR$14))))</f>
        <v>E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C</v>
      </c>
      <c r="DV14" s="15" t="str" cm="1">
        <f t="array" aca="1" ref="DV14" ca="1">INDEX(_xlfn.ANCHORARRAY($CR$14), 1 + MOD(COLUMNS($DH$14:DV$14) - 1, COLUMNS(_xlfn.ANCHORARRAY($CR$14))))</f>
        <v>D</v>
      </c>
      <c r="DW14" s="15" t="str" cm="1">
        <f t="array" aca="1" ref="DW14" ca="1">INDEX(_xlfn.ANCHORARRAY($CR$14), 1 + MOD(COLUMNS($DH$14:DW$14) - 1, COLUMNS(_xlfn.ANCHORARRAY($CR$14))))</f>
        <v>E</v>
      </c>
    </row>
    <row r="15" spans="1:127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5.8823529411764705E-2</v>
      </c>
      <c r="H15" s="10" cm="1">
        <f t="array" aca="1" ref="H15:H19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ca="1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3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4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4">COUNTIF(AQ15:BJ15,"&gt;="&amp;$B$4)</f>
        <v>17</v>
      </c>
      <c r="AO15" s="14">
        <f t="shared" ref="AO15:AO34" ca="1" si="5">1/AN15</f>
        <v>5.8823529411764705E-2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
) / $B$13)</f>
        <v>0.8</v>
      </c>
      <c r="AS15" cm="1">
        <f t="array" aca="1" ref="AS15" ca="1">IF($AP15=AS$14, 1, SUMPRODUCT(
    --(OFFSET($O$13,0,0,1,$B$9)=TRUE),
    --(INDEX(OFFSET($O$15,0,0,$B$8,$B$9), 1+$AP15, 0) = INDEX(OFFSET($O$15,0,0,$B$8,$B$9), 1+AS$14, 0))
) / $B$13)</f>
        <v>0.8</v>
      </c>
      <c r="AT15" cm="1">
        <f t="array" aca="1" ref="AT15" ca="1">IF($AP15=AT$14, 1, SUMPRODUCT(
    --(OFFSET($O$13,0,0,1,$B$9)=TRUE),
    --(INDEX(OFFSET($O$15,0,0,$B$8,$B$9), 1+$AP15, 0) = INDEX(OFFSET($O$15,0,0,$B$8,$B$9), 1+AT$14, 0))
) / $B$13)</f>
        <v>0.8</v>
      </c>
      <c r="AU15" cm="1">
        <f t="array" aca="1" ref="AU15" ca="1">IF($AP15=AU$14, 1, SUMPRODUCT(
    --(OFFSET($O$13,0,0,1,$B$9)=TRUE),
    --(INDEX(OFFSET($O$15,0,0,$B$8,$B$9), 1+$AP15, 0) = INDEX(OFFSET($O$15,0,0,$B$8,$B$9), 1+AU$14, 0))
) / $B$13)</f>
        <v>0.2</v>
      </c>
      <c r="AV15" cm="1">
        <f t="array" aca="1" ref="AV15" ca="1">IF($AP15=AV$14, 1, SUMPRODUCT(
    --(OFFSET($O$13,0,0,1,$B$9)=TRUE),
    --(INDEX(OFFSET($O$15,0,0,$B$8,$B$9), 1+$AP15, 0) = INDEX(OFFSET($O$15,0,0,$B$8,$B$9), 1+AV$14, 0))
) / $B$13)</f>
        <v>0.4</v>
      </c>
      <c r="AW15" cm="1">
        <f t="array" aca="1" ref="AW15" ca="1">IF($AP15=AW$14, 1, SUMPRODUCT(
    --(OFFSET($O$13,0,0,1,$B$9)=TRUE),
    --(INDEX(OFFSET($O$15,0,0,$B$8,$B$9), 1+$AP15, 0) = INDEX(OFFSET($O$15,0,0,$B$8,$B$9), 1+AW$14, 0))
) / $B$13)</f>
        <v>0.4</v>
      </c>
      <c r="AX15" cm="1">
        <f t="array" aca="1" ref="AX15" ca="1">IF($AP15=AX$14, 1, SUMPRODUCT(
    --(OFFSET($O$13,0,0,1,$B$9)=TRUE),
    --(INDEX(OFFSET($O$15,0,0,$B$8,$B$9), 1+$AP15, 0) = INDEX(OFFSET($O$15,0,0,$B$8,$B$9), 1+AX$14, 0))
) / $B$13)</f>
        <v>0.4</v>
      </c>
      <c r="AY15" cm="1">
        <f t="array" aca="1" ref="AY15" ca="1">IF($AP15=AY$14, 1, SUMPRODUCT(
    --(OFFSET($O$13,0,0,1,$B$9)=TRUE),
    --(INDEX(OFFSET($O$15,0,0,$B$8,$B$9), 1+$AP15, 0) = INDEX(OFFSET($O$15,0,0,$B$8,$B$9), 1+AY$14, 0))
) / $B$13)</f>
        <v>0.4</v>
      </c>
      <c r="AZ15" cm="1">
        <f t="array" aca="1" ref="AZ15" ca="1">IF($AP15=AZ$14, 1, SUMPRODUCT(
    --(OFFSET($O$13,0,0,1,$B$9)=TRUE),
    --(INDEX(OFFSET($O$15,0,0,$B$8,$B$9), 1+$AP15, 0) = INDEX(OFFSET($O$15,0,0,$B$8,$B$9), 1+AZ$14, 0))
) / $B$13)</f>
        <v>0.6</v>
      </c>
      <c r="BA15" cm="1">
        <f t="array" aca="1" ref="BA15" ca="1">IF($AP15=BA$14, 1, SUMPRODUCT(
    --(OFFSET($O$13,0,0,1,$B$9)=TRUE),
    --(INDEX(OFFSET($O$15,0,0,$B$8,$B$9), 1+$AP15, 0) = INDEX(OFFSET($O$15,0,0,$B$8,$B$9), 1+BA$14, 0))
) / $B$13)</f>
        <v>0.2</v>
      </c>
      <c r="BB15" cm="1">
        <f t="array" aca="1" ref="BB15" ca="1">IF($AP15=BB$14, 1, SUMPRODUCT(
    --(OFFSET($O$13,0,0,1,$B$9)=TRUE),
    --(INDEX(OFFSET($O$15,0,0,$B$8,$B$9), 1+$AP15, 0) = INDEX(OFFSET($O$15,0,0,$B$8,$B$9), 1+BB$14, 0))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
) / $B$13)</f>
        <v>0.4</v>
      </c>
      <c r="BD15" cm="1">
        <f t="array" aca="1" ref="BD15" ca="1">IF($AP15=BD$14, 1, SUMPRODUCT(
    --(OFFSET($O$13,0,0,1,$B$9)=TRUE),
    --(INDEX(OFFSET($O$15,0,0,$B$8,$B$9), 1+$AP15, 0) = INDEX(OFFSET($O$15,0,0,$B$8,$B$9), 1+BD$14, 0))
) / $B$13)</f>
        <v>0.2</v>
      </c>
      <c r="BE15" cm="1">
        <f t="array" aca="1" ref="BE15" ca="1">IF($AP15=BE$14, 1, SUMPRODUCT(
    --(OFFSET($O$13,0,0,1,$B$9)=TRUE),
    --(INDEX(OFFSET($O$15,0,0,$B$8,$B$9), 1+$AP15, 0) = INDEX(OFFSET($O$15,0,0,$B$8,$B$9), 1+BE$14, 0))
) / $B$13)</f>
        <v>0.4</v>
      </c>
      <c r="BF15" cm="1">
        <f t="array" aca="1" ref="BF15" ca="1">IF($AP15=BF$14, 1, SUMPRODUCT(
    --(OFFSET($O$13,0,0,1,$B$9)=TRUE),
    --(INDEX(OFFSET($O$15,0,0,$B$8,$B$9), 1+$AP15, 0) = INDEX(OFFSET($O$15,0,0,$B$8,$B$9), 1+BF$14, 0))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
) / $B$13)</f>
        <v>0.4</v>
      </c>
      <c r="BH15" cm="1">
        <f t="array" aca="1" ref="BH15" ca="1">IF($AP15=BH$14, 1, SUMPRODUCT(
    --(OFFSET($O$13,0,0,1,$B$9)=TRUE),
    --(INDEX(OFFSET($O$15,0,0,$B$8,$B$9), 1+$AP15, 0) = INDEX(OFFSET($O$15,0,0,$B$8,$B$9), 1+BH$14, 0))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
) / $B$13)</f>
        <v>0.6</v>
      </c>
      <c r="BJ15" cm="1">
        <f t="array" aca="1" ref="BJ15" ca="1">IF($AP15=BJ$14, 1, SUMPRODUCT(
    --(OFFSET($O$13,0,0,1,$B$9)=TRUE),
    --(INDEX(OFFSET($O$15,0,0,$B$8,$B$9), 1+$AP15, 0) = INDEX(OFFSET($O$15,0,0,$B$8,$B$9), 1+BJ$14, 0))
) / $B$13)</f>
        <v>0.8</v>
      </c>
      <c r="BN15">
        <f t="shared" ref="BN15:BN34" ca="1" si="6">COUNTIF(BQ15:CJ15,"&gt;="&amp;$B$4)</f>
        <v>17</v>
      </c>
      <c r="BO15" s="14">
        <f t="shared" ref="BO15:BO34" ca="1" si="7">1/BN15</f>
        <v>5.8823529411764705E-2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
) / $B$16)</f>
        <v>0.8</v>
      </c>
      <c r="BS15" cm="1">
        <f t="array" aca="1" ref="BS15" ca="1">IF($BP15=BS$14, 1, SUMPRODUCT(
    --(OFFSET($O$9,0,0,1,$B$9)=TRUE),
    --(INDEX(OFFSET($O$15,0,0,$B$8,$B$9), 1+$BP15, 0) = INDEX(OFFSET($O$15,0,0,$B$8,$B$9), 1+BS$14, 0))
) / $B$16)</f>
        <v>0.8</v>
      </c>
      <c r="BT15" cm="1">
        <f t="array" aca="1" ref="BT15" ca="1">IF($BP15=BT$14, 1, SUMPRODUCT(
    --(OFFSET($O$9,0,0,1,$B$9)=TRUE),
    --(INDEX(OFFSET($O$15,0,0,$B$8,$B$9), 1+$BP15, 0) = INDEX(OFFSET($O$15,0,0,$B$8,$B$9), 1+BT$14, 0))
) / $B$16)</f>
        <v>0.8</v>
      </c>
      <c r="BU15" cm="1">
        <f t="array" aca="1" ref="BU15" ca="1">IF($BP15=BU$14, 1, SUMPRODUCT(
    --(OFFSET($O$9,0,0,1,$B$9)=TRUE),
    --(INDEX(OFFSET($O$15,0,0,$B$8,$B$9), 1+$BP15, 0) = INDEX(OFFSET($O$15,0,0,$B$8,$B$9), 1+BU$14, 0))
) / $B$16)</f>
        <v>0.2</v>
      </c>
      <c r="BV15" cm="1">
        <f t="array" aca="1" ref="BV15" ca="1">IF($BP15=BV$14, 1, SUMPRODUCT(
    --(OFFSET($O$9,0,0,1,$B$9)=TRUE),
    --(INDEX(OFFSET($O$15,0,0,$B$8,$B$9), 1+$BP15, 0) = INDEX(OFFSET($O$15,0,0,$B$8,$B$9), 1+BV$14, 0))
) / $B$16)</f>
        <v>0.4</v>
      </c>
      <c r="BW15" cm="1">
        <f t="array" aca="1" ref="BW15" ca="1">IF($BP15=BW$14, 1, SUMPRODUCT(
    --(OFFSET($O$9,0,0,1,$B$9)=TRUE),
    --(INDEX(OFFSET($O$15,0,0,$B$8,$B$9), 1+$BP15, 0) = INDEX(OFFSET($O$15,0,0,$B$8,$B$9), 1+BW$14, 0))
) / $B$16)</f>
        <v>0.4</v>
      </c>
      <c r="BX15" cm="1">
        <f t="array" aca="1" ref="BX15" ca="1">IF($BP15=BX$14, 1, SUMPRODUCT(
    --(OFFSET($O$9,0,0,1,$B$9)=TRUE),
    --(INDEX(OFFSET($O$15,0,0,$B$8,$B$9), 1+$BP15, 0) = INDEX(OFFSET($O$15,0,0,$B$8,$B$9), 1+BX$14, 0))
) / $B$16)</f>
        <v>0.4</v>
      </c>
      <c r="BY15" cm="1">
        <f t="array" aca="1" ref="BY15" ca="1">IF($BP15=BY$14, 1, SUMPRODUCT(
    --(OFFSET($O$9,0,0,1,$B$9)=TRUE),
    --(INDEX(OFFSET($O$15,0,0,$B$8,$B$9), 1+$BP15, 0) = INDEX(OFFSET($O$15,0,0,$B$8,$B$9), 1+BY$14, 0))
) / $B$16)</f>
        <v>0.4</v>
      </c>
      <c r="BZ15" cm="1">
        <f t="array" aca="1" ref="BZ15" ca="1">IF($BP15=BZ$14, 1, SUMPRODUCT(
    --(OFFSET($O$9,0,0,1,$B$9)=TRUE),
    --(INDEX(OFFSET($O$15,0,0,$B$8,$B$9), 1+$BP15, 0) = INDEX(OFFSET($O$15,0,0,$B$8,$B$9), 1+BZ$14, 0))
) / $B$16)</f>
        <v>0.6</v>
      </c>
      <c r="CA15" cm="1">
        <f t="array" aca="1" ref="CA15" ca="1">IF($BP15=CA$14, 1, SUMPRODUCT(
    --(OFFSET($O$9,0,0,1,$B$9)=TRUE),
    --(INDEX(OFFSET($O$15,0,0,$B$8,$B$9), 1+$BP15, 0) = INDEX(OFFSET($O$15,0,0,$B$8,$B$9), 1+CA$14, 0))
) / $B$16)</f>
        <v>0.2</v>
      </c>
      <c r="CB15" cm="1">
        <f t="array" aca="1" ref="CB15" ca="1">IF($BP15=CB$14, 1, SUMPRODUCT(
    --(OFFSET($O$9,0,0,1,$B$9)=TRUE),
    --(INDEX(OFFSET($O$15,0,0,$B$8,$B$9), 1+$BP15, 0) = INDEX(OFFSET($O$15,0,0,$B$8,$B$9), 1+CB$14, 0))
) / $B$16)</f>
        <v>0.4</v>
      </c>
      <c r="CC15" cm="1">
        <f t="array" aca="1" ref="CC15" ca="1">IF($BP15=CC$14, 1, SUMPRODUCT(
    --(OFFSET($O$9,0,0,1,$B$9)=TRUE),
    --(INDEX(OFFSET($O$15,0,0,$B$8,$B$9), 1+$BP15, 0) = INDEX(OFFSET($O$15,0,0,$B$8,$B$9), 1+CC$14, 0))
) / $B$16)</f>
        <v>0.4</v>
      </c>
      <c r="CD15" cm="1">
        <f t="array" aca="1" ref="CD15" ca="1">IF($BP15=CD$14, 1, SUMPRODUCT(
    --(OFFSET($O$9,0,0,1,$B$9)=TRUE),
    --(INDEX(OFFSET($O$15,0,0,$B$8,$B$9), 1+$BP15, 0) = INDEX(OFFSET($O$15,0,0,$B$8,$B$9), 1+CD$14, 0))
) / $B$16)</f>
        <v>0.2</v>
      </c>
      <c r="CE15" cm="1">
        <f t="array" aca="1" ref="CE15" ca="1">IF($BP15=CE$14, 1, SUMPRODUCT(
    --(OFFSET($O$9,0,0,1,$B$9)=TRUE),
    --(INDEX(OFFSET($O$15,0,0,$B$8,$B$9), 1+$BP15, 0) = INDEX(OFFSET($O$15,0,0,$B$8,$B$9), 1+CE$14, 0))
) / $B$16)</f>
        <v>0.4</v>
      </c>
      <c r="CF15" cm="1">
        <f t="array" aca="1" ref="CF15" ca="1">IF($BP15=CF$14, 1, SUMPRODUCT(
    --(OFFSET($O$9,0,0,1,$B$9)=TRUE),
    --(INDEX(OFFSET($O$15,0,0,$B$8,$B$9), 1+$BP15, 0) = INDEX(OFFSET($O$15,0,0,$B$8,$B$9), 1+CF$14, 0))
) / $B$16)</f>
        <v>0.4</v>
      </c>
      <c r="CG15" cm="1">
        <f t="array" aca="1" ref="CG15" ca="1">IF($BP15=CG$14, 1, SUMPRODUCT(
    --(OFFSET($O$9,0,0,1,$B$9)=TRUE),
    --(INDEX(OFFSET($O$15,0,0,$B$8,$B$9), 1+$BP15, 0) = INDEX(OFFSET($O$15,0,0,$B$8,$B$9), 1+CG$14, 0))
) / $B$16)</f>
        <v>0.4</v>
      </c>
      <c r="CH15" cm="1">
        <f t="array" aca="1" ref="CH15" ca="1">IF($BP15=CH$14, 1, SUMPRODUCT(
    --(OFFSET($O$9,0,0,1,$B$9)=TRUE),
    --(INDEX(OFFSET($O$15,0,0,$B$8,$B$9), 1+$BP15, 0) = INDEX(OFFSET($O$15,0,0,$B$8,$B$9), 1+CH$14, 0))
) / $B$16)</f>
        <v>0.6</v>
      </c>
      <c r="CI15" cm="1">
        <f t="array" aca="1" ref="CI15" ca="1">IF($BP15=CI$14, 1, SUMPRODUCT(
    --(OFFSET($O$9,0,0,1,$B$9)=TRUE),
    --(INDEX(OFFSET($O$15,0,0,$B$8,$B$9), 1+$BP15, 0) = INDEX(OFFSET($O$15,0,0,$B$8,$B$9), 1+CI$14, 0))
) / $B$16)</f>
        <v>0.6</v>
      </c>
      <c r="CJ15" cm="1">
        <f t="array" aca="1" ref="CJ15" ca="1">IF($BP15=CJ$14, 1, SUMPRODUCT(
    --(OFFSET($O$9,0,0,1,$B$9)=TRUE),
    --(INDEX(OFFSET($O$15,0,0,$B$8,$B$9), 1+$BP15, 0) = INDEX(OFFSET($O$15,0,0,$B$8,$B$9), 1+CJ$14, 0))
) / $B$16)</f>
        <v>0.8</v>
      </c>
      <c r="CP15" cm="1">
        <f t="array" aca="1" ref="CP15:CP19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7.1003003401930276E-2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0.42010736873112048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0.18269163725835608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0.15031619180186789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0.17588179880672528</v>
      </c>
      <c r="CX15" s="10" cm="1">
        <f t="array" aca="1" ref="CX15" ca="1">SUM(OFFSET($CR15,0,0,1,$M$2)*LN(OFFSET($CR15,0,0,1,$M$2)/OFFSET($CR$11,0,0,1,$M$2)))+IF($CQ$11&gt;0,OFFSET($O$10,0,$CP15,1,1)*LN(OFFSET($O$10,0,$CP15,1,1)/$CQ$11),0)</f>
        <v>8.8026657787312335E-2</v>
      </c>
      <c r="CY15" cm="1">
        <f t="array" aca="1" ref="CY15:CY19" ca="1">TRANSPOSE(_xlfn._xlws.FILTER(OFFSET($O$14,0,0,1,$B$9),OFFSET($O$9,0,0,1,$B$9)))</f>
        <v>0</v>
      </c>
      <c r="CZ15" s="10">
        <f ca="1">CR15*LN(CR15/CR$10) + (1 - CR15)*LN((1-CR15)/(1-CR$10))</f>
        <v>6.8890557999370106E-2</v>
      </c>
      <c r="DA15" s="10">
        <f t="shared" ref="DA15:DC19" ca="1" si="8">CS15*LN(CS15/CS$10) + (1 - CS15)*LN((1-CS15)/(1-CS$10))</f>
        <v>1.2938853626287404E-2</v>
      </c>
      <c r="DB15" s="10">
        <f t="shared" ca="1" si="8"/>
        <v>2.9564125352935816E-2</v>
      </c>
      <c r="DC15" s="10">
        <f t="shared" ca="1" si="8"/>
        <v>1.5816912532520398E-2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$B$18/($B$19*$B$19*($DF15&lt;&gt;$DG15) + $B$19*($DF15=$DG15))</f>
        <v>0.42010736873112048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$B$18/($B$19*$B$19*($DF15&lt;&gt;$DG15) + $B$19*($DF15=$DG15))</f>
        <v>6.0000000000000001E-3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$B$18/($B$19*$B$19*($DF15&lt;&gt;$DG15) + $B$19*($DF15=$DG15))</f>
        <v>6.0000000000000001E-3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$B$18/($B$19*$B$19*($DF15&lt;&gt;$DG15) + $B$19*($DF15=$DG15))</f>
        <v>6.0000000000000001E-3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$B$18/($B$19*$B$19*($DF15&lt;&gt;$DG15) + $B$19*($DF15=$DG15))</f>
        <v>6.0000000000000001E-3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$B$18/($B$19*$B$19*($DF15&lt;&gt;$DG15) + $B$19*($DF15=$DG15))</f>
        <v>0.18269163725835608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$B$18/($B$19*$B$19*($DF15&lt;&gt;$DG15) + $B$19*($DF15=$DG15))</f>
        <v>6.0000000000000001E-3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$B$18/($B$19*$B$19*($DF15&lt;&gt;$DG15) + $B$19*($DF15=$DG15))</f>
        <v>6.0000000000000001E-3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$B$18/($B$19*$B$19*($DF15&lt;&gt;$DG15) + $B$19*($DF15=$DG15))</f>
        <v>6.0000000000000001E-3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$B$18/($B$19*$B$19*($DF15&lt;&gt;$DG15) + $B$19*($DF15=$DG15))</f>
        <v>6.0000000000000001E-3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$B$18/($B$19*$B$19*($DF15&lt;&gt;$DG15) + $B$19*($DF15=$DG15))</f>
        <v>0.15031619180186789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$B$18/($B$19*$B$19*($DF15&lt;&gt;$DG15) + $B$19*($DF15=$DG15))</f>
        <v>6.0000000000000001E-3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$B$18/($B$19*$B$19*($DF15&lt;&gt;$DG15) + $B$19*($DF15=$DG15))</f>
        <v>6.0000000000000001E-3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$B$18/($B$19*$B$19*($DF15&lt;&gt;$DG15) + $B$19*($DF15=$DG15))</f>
        <v>6.0000000000000001E-3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$B$18/($B$19*$B$19*($DF15&lt;&gt;$DG15) + $B$19*($DF15=$DG15))</f>
        <v>6.0000000000000001E-3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$B$18/($B$19*$B$19*($DF15&lt;&gt;$DG15) + $B$19*($DF15=$DG15))</f>
        <v>0.17588179880672528</v>
      </c>
    </row>
    <row r="16" spans="1:127" x14ac:dyDescent="0.2">
      <c r="A16" t="s">
        <v>39</v>
      </c>
      <c r="B16">
        <f ca="1">COUNTIF(OFFSET($O$9,0,0,1,$B$9),TRUE)</f>
        <v>5</v>
      </c>
      <c r="D16" s="10">
        <f ca="1"/>
        <v>1</v>
      </c>
      <c r="F16" s="10">
        <f ca="1"/>
        <v>5.8823529411764705E-2</v>
      </c>
      <c r="H16" s="10">
        <f ca="1"/>
        <v>1</v>
      </c>
      <c r="J16" cm="1">
        <f t="array" aca="1" ref="J16" ca="1">SUMPRODUCT((O16:AJ16=$O$11:$AJ$11)*(O$13:AJ$13=TRUE))  / COUNTIF(O$13:AJ$13,TRUE)</f>
        <v>0.8</v>
      </c>
      <c r="K16" t="b">
        <f t="shared" ref="K16:K37" ca="1" si="9">J16&gt;=$B$3</f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3"/>
        <v>1</v>
      </c>
      <c r="N16" s="2">
        <v>1</v>
      </c>
      <c r="O16" s="12" t="s">
        <v>4</v>
      </c>
      <c r="P16" s="9" t="s">
        <v>4</v>
      </c>
      <c r="Q16" s="9" t="s">
        <v>2</v>
      </c>
      <c r="R16" s="9" t="s">
        <v>3</v>
      </c>
      <c r="S16" s="9" t="s">
        <v>3</v>
      </c>
      <c r="AK16" s="7"/>
      <c r="AN16">
        <f t="shared" ca="1" si="4"/>
        <v>17</v>
      </c>
      <c r="AO16" s="14">
        <f t="shared" ca="1" si="5"/>
        <v>5.8823529411764705E-2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
) / $B$13)</f>
        <v>0.8</v>
      </c>
      <c r="AR16" cm="1">
        <f t="array" aca="1" ref="AR16" ca="1">IF($AP16=AR$14, 1, SUMPRODUCT(
    --(OFFSET($O$13,0,0,1,$B$9)=TRUE),
    --(INDEX(OFFSET($O$15,0,0,$B$8,$B$9), 1+$AP16, 0) = INDEX(OFFSET($O$15,0,0,$B$8,$B$9), 1+AR$14, 0))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
) / $B$13)</f>
        <v>0.8</v>
      </c>
      <c r="AT16" cm="1">
        <f t="array" aca="1" ref="AT16" ca="1">IF($AP16=AT$14, 1, SUMPRODUCT(
    --(OFFSET($O$13,0,0,1,$B$9)=TRUE),
    --(INDEX(OFFSET($O$15,0,0,$B$8,$B$9), 1+$AP16, 0) = INDEX(OFFSET($O$15,0,0,$B$8,$B$9), 1+AT$14, 0))
) / $B$13)</f>
        <v>0.8</v>
      </c>
      <c r="AU16" cm="1">
        <f t="array" aca="1" ref="AU16" ca="1">IF($AP16=AU$14, 1, SUMPRODUCT(
    --(OFFSET($O$13,0,0,1,$B$9)=TRUE),
    --(INDEX(OFFSET($O$15,0,0,$B$8,$B$9), 1+$AP16, 0) = INDEX(OFFSET($O$15,0,0,$B$8,$B$9), 1+AU$14, 0))
) / $B$13)</f>
        <v>0</v>
      </c>
      <c r="AV16" cm="1">
        <f t="array" aca="1" ref="AV16" ca="1">IF($AP16=AV$14, 1, SUMPRODUCT(
    --(OFFSET($O$13,0,0,1,$B$9)=TRUE),
    --(INDEX(OFFSET($O$15,0,0,$B$8,$B$9), 1+$AP16, 0) = INDEX(OFFSET($O$15,0,0,$B$8,$B$9), 1+AV$14, 0))
) / $B$13)</f>
        <v>0.6</v>
      </c>
      <c r="AW16" cm="1">
        <f t="array" aca="1" ref="AW16" ca="1">IF($AP16=AW$14, 1, SUMPRODUCT(
    --(OFFSET($O$13,0,0,1,$B$9)=TRUE),
    --(INDEX(OFFSET($O$15,0,0,$B$8,$B$9), 1+$AP16, 0) = INDEX(OFFSET($O$15,0,0,$B$8,$B$9), 1+AW$14, 0))
) / $B$13)</f>
        <v>0.4</v>
      </c>
      <c r="AX16" cm="1">
        <f t="array" aca="1" ref="AX16" ca="1">IF($AP16=AX$14, 1, SUMPRODUCT(
    --(OFFSET($O$13,0,0,1,$B$9)=TRUE),
    --(INDEX(OFFSET($O$15,0,0,$B$8,$B$9), 1+$AP16, 0) = INDEX(OFFSET($O$15,0,0,$B$8,$B$9), 1+AX$14, 0))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
) / $B$13)</f>
        <v>0.2</v>
      </c>
      <c r="AZ16" cm="1">
        <f t="array" aca="1" ref="AZ16" ca="1">IF($AP16=AZ$14, 1, SUMPRODUCT(
    --(OFFSET($O$13,0,0,1,$B$9)=TRUE),
    --(INDEX(OFFSET($O$15,0,0,$B$8,$B$9), 1+$AP16, 0) = INDEX(OFFSET($O$15,0,0,$B$8,$B$9), 1+AZ$14, 0))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
) / $B$13)</f>
        <v>0.4</v>
      </c>
      <c r="BB16" cm="1">
        <f t="array" aca="1" ref="BB16" ca="1">IF($AP16=BB$14, 1, SUMPRODUCT(
    --(OFFSET($O$13,0,0,1,$B$9)=TRUE),
    --(INDEX(OFFSET($O$15,0,0,$B$8,$B$9), 1+$AP16, 0) = INDEX(OFFSET($O$15,0,0,$B$8,$B$9), 1+BB$14, 0))
) / $B$13)</f>
        <v>0.6</v>
      </c>
      <c r="BC16" cm="1">
        <f t="array" aca="1" ref="BC16" ca="1">IF($AP16=BC$14, 1, SUMPRODUCT(
    --(OFFSET($O$13,0,0,1,$B$9)=TRUE),
    --(INDEX(OFFSET($O$15,0,0,$B$8,$B$9), 1+$AP16, 0) = INDEX(OFFSET($O$15,0,0,$B$8,$B$9), 1+BC$14, 0))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
) / $B$13)</f>
        <v>0.2</v>
      </c>
      <c r="BE16" cm="1">
        <f t="array" aca="1" ref="BE16" ca="1">IF($AP16=BE$14, 1, SUMPRODUCT(
    --(OFFSET($O$13,0,0,1,$B$9)=TRUE),
    --(INDEX(OFFSET($O$15,0,0,$B$8,$B$9), 1+$AP16, 0) = INDEX(OFFSET($O$15,0,0,$B$8,$B$9), 1+BE$14, 0))
) / $B$13)</f>
        <v>0.4</v>
      </c>
      <c r="BF16" cm="1">
        <f t="array" aca="1" ref="BF16" ca="1">IF($AP16=BF$14, 1, SUMPRODUCT(
    --(OFFSET($O$13,0,0,1,$B$9)=TRUE),
    --(INDEX(OFFSET($O$15,0,0,$B$8,$B$9), 1+$AP16, 0) = INDEX(OFFSET($O$15,0,0,$B$8,$B$9), 1+BF$14, 0))
) / $B$13)</f>
        <v>0.4</v>
      </c>
      <c r="BG16" cm="1">
        <f t="array" aca="1" ref="BG16" ca="1">IF($AP16=BG$14, 1, SUMPRODUCT(
    --(OFFSET($O$13,0,0,1,$B$9)=TRUE),
    --(INDEX(OFFSET($O$15,0,0,$B$8,$B$9), 1+$AP16, 0) = INDEX(OFFSET($O$15,0,0,$B$8,$B$9), 1+BG$14, 0))
) / $B$13)</f>
        <v>0.4</v>
      </c>
      <c r="BH16" cm="1">
        <f t="array" aca="1" ref="BH16" ca="1">IF($AP16=BH$14, 1, SUMPRODUCT(
    --(OFFSET($O$13,0,0,1,$B$9)=TRUE),
    --(INDEX(OFFSET($O$15,0,0,$B$8,$B$9), 1+$AP16, 0) = INDEX(OFFSET($O$15,0,0,$B$8,$B$9), 1+BH$14, 0))
) / $B$13)</f>
        <v>0.4</v>
      </c>
      <c r="BI16" cm="1">
        <f t="array" aca="1" ref="BI16" ca="1">IF($AP16=BI$14, 1, SUMPRODUCT(
    --(OFFSET($O$13,0,0,1,$B$9)=TRUE),
    --(INDEX(OFFSET($O$15,0,0,$B$8,$B$9), 1+$AP16, 0) = INDEX(OFFSET($O$15,0,0,$B$8,$B$9), 1+BI$14, 0))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
) / $B$13)</f>
        <v>0.6</v>
      </c>
      <c r="BN16">
        <f t="shared" ca="1" si="6"/>
        <v>17</v>
      </c>
      <c r="BO16" s="14">
        <f t="shared" ca="1" si="7"/>
        <v>5.8823529411764705E-2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
) / $B$16)</f>
        <v>0.8</v>
      </c>
      <c r="BR16" cm="1">
        <f t="array" aca="1" ref="BR16" ca="1">IF($BP16=BR$14, 1, SUMPRODUCT(
    --(OFFSET($O$9,0,0,1,$B$9)=TRUE),
    --(INDEX(OFFSET($O$15,0,0,$B$8,$B$9), 1+$BP16, 0) = INDEX(OFFSET($O$15,0,0,$B$8,$B$9), 1+BR$14, 0))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
) / $B$16)</f>
        <v>0.8</v>
      </c>
      <c r="BT16" cm="1">
        <f t="array" aca="1" ref="BT16" ca="1">IF($BP16=BT$14, 1, SUMPRODUCT(
    --(OFFSET($O$9,0,0,1,$B$9)=TRUE),
    --(INDEX(OFFSET($O$15,0,0,$B$8,$B$9), 1+$BP16, 0) = INDEX(OFFSET($O$15,0,0,$B$8,$B$9), 1+BT$14, 0))
) / $B$16)</f>
        <v>0.8</v>
      </c>
      <c r="BU16" cm="1">
        <f t="array" aca="1" ref="BU16" ca="1">IF($BP16=BU$14, 1, SUMPRODUCT(
    --(OFFSET($O$9,0,0,1,$B$9)=TRUE),
    --(INDEX(OFFSET($O$15,0,0,$B$8,$B$9), 1+$BP16, 0) = INDEX(OFFSET($O$15,0,0,$B$8,$B$9), 1+BU$14, 0))
) / $B$16)</f>
        <v>0</v>
      </c>
      <c r="BV16" cm="1">
        <f t="array" aca="1" ref="BV16" ca="1">IF($BP16=BV$14, 1, SUMPRODUCT(
    --(OFFSET($O$9,0,0,1,$B$9)=TRUE),
    --(INDEX(OFFSET($O$15,0,0,$B$8,$B$9), 1+$BP16, 0) = INDEX(OFFSET($O$15,0,0,$B$8,$B$9), 1+BV$14, 0))
) / $B$16)</f>
        <v>0.6</v>
      </c>
      <c r="BW16" cm="1">
        <f t="array" aca="1" ref="BW16" ca="1">IF($BP16=BW$14, 1, SUMPRODUCT(
    --(OFFSET($O$9,0,0,1,$B$9)=TRUE),
    --(INDEX(OFFSET($O$15,0,0,$B$8,$B$9), 1+$BP16, 0) = INDEX(OFFSET($O$15,0,0,$B$8,$B$9), 1+BW$14, 0))
) / $B$16)</f>
        <v>0.4</v>
      </c>
      <c r="BX16" cm="1">
        <f t="array" aca="1" ref="BX16" ca="1">IF($BP16=BX$14, 1, SUMPRODUCT(
    --(OFFSET($O$9,0,0,1,$B$9)=TRUE),
    --(INDEX(OFFSET($O$15,0,0,$B$8,$B$9), 1+$BP16, 0) = INDEX(OFFSET($O$15,0,0,$B$8,$B$9), 1+BX$14, 0))
) / $B$16)</f>
        <v>0.4</v>
      </c>
      <c r="BY16" cm="1">
        <f t="array" aca="1" ref="BY16" ca="1">IF($BP16=BY$14, 1, SUMPRODUCT(
    --(OFFSET($O$9,0,0,1,$B$9)=TRUE),
    --(INDEX(OFFSET($O$15,0,0,$B$8,$B$9), 1+$BP16, 0) = INDEX(OFFSET($O$15,0,0,$B$8,$B$9), 1+BY$14, 0))
) / $B$16)</f>
        <v>0.2</v>
      </c>
      <c r="BZ16" cm="1">
        <f t="array" aca="1" ref="BZ16" ca="1">IF($BP16=BZ$14, 1, SUMPRODUCT(
    --(OFFSET($O$9,0,0,1,$B$9)=TRUE),
    --(INDEX(OFFSET($O$15,0,0,$B$8,$B$9), 1+$BP16, 0) = INDEX(OFFSET($O$15,0,0,$B$8,$B$9), 1+BZ$14, 0))
) / $B$16)</f>
        <v>0.4</v>
      </c>
      <c r="CA16" cm="1">
        <f t="array" aca="1" ref="CA16" ca="1">IF($BP16=CA$14, 1, SUMPRODUCT(
    --(OFFSET($O$9,0,0,1,$B$9)=TRUE),
    --(INDEX(OFFSET($O$15,0,0,$B$8,$B$9), 1+$BP16, 0) = INDEX(OFFSET($O$15,0,0,$B$8,$B$9), 1+CA$14, 0))
) / $B$16)</f>
        <v>0.4</v>
      </c>
      <c r="CB16" cm="1">
        <f t="array" aca="1" ref="CB16" ca="1">IF($BP16=CB$14, 1, SUMPRODUCT(
    --(OFFSET($O$9,0,0,1,$B$9)=TRUE),
    --(INDEX(OFFSET($O$15,0,0,$B$8,$B$9), 1+$BP16, 0) = INDEX(OFFSET($O$15,0,0,$B$8,$B$9), 1+CB$14, 0))
) / $B$16)</f>
        <v>0.6</v>
      </c>
      <c r="CC16" cm="1">
        <f t="array" aca="1" ref="CC16" ca="1">IF($BP16=CC$14, 1, SUMPRODUCT(
    --(OFFSET($O$9,0,0,1,$B$9)=TRUE),
    --(INDEX(OFFSET($O$15,0,0,$B$8,$B$9), 1+$BP16, 0) = INDEX(OFFSET($O$15,0,0,$B$8,$B$9), 1+CC$14, 0))
) / $B$16)</f>
        <v>0.4</v>
      </c>
      <c r="CD16" cm="1">
        <f t="array" aca="1" ref="CD16" ca="1">IF($BP16=CD$14, 1, SUMPRODUCT(
    --(OFFSET($O$9,0,0,1,$B$9)=TRUE),
    --(INDEX(OFFSET($O$15,0,0,$B$8,$B$9), 1+$BP16, 0) = INDEX(OFFSET($O$15,0,0,$B$8,$B$9), 1+CD$14, 0))
) / $B$16)</f>
        <v>0.2</v>
      </c>
      <c r="CE16" cm="1">
        <f t="array" aca="1" ref="CE16" ca="1">IF($BP16=CE$14, 1, SUMPRODUCT(
    --(OFFSET($O$9,0,0,1,$B$9)=TRUE),
    --(INDEX(OFFSET($O$15,0,0,$B$8,$B$9), 1+$BP16, 0) = INDEX(OFFSET($O$15,0,0,$B$8,$B$9), 1+CE$14, 0))
) / $B$16)</f>
        <v>0.4</v>
      </c>
      <c r="CF16" cm="1">
        <f t="array" aca="1" ref="CF16" ca="1">IF($BP16=CF$14, 1, SUMPRODUCT(
    --(OFFSET($O$9,0,0,1,$B$9)=TRUE),
    --(INDEX(OFFSET($O$15,0,0,$B$8,$B$9), 1+$BP16, 0) = INDEX(OFFSET($O$15,0,0,$B$8,$B$9), 1+CF$14, 0))
) / $B$16)</f>
        <v>0.4</v>
      </c>
      <c r="CG16" cm="1">
        <f t="array" aca="1" ref="CG16" ca="1">IF($BP16=CG$14, 1, SUMPRODUCT(
    --(OFFSET($O$9,0,0,1,$B$9)=TRUE),
    --(INDEX(OFFSET($O$15,0,0,$B$8,$B$9), 1+$BP16, 0) = INDEX(OFFSET($O$15,0,0,$B$8,$B$9), 1+CG$14, 0))
) / $B$16)</f>
        <v>0.4</v>
      </c>
      <c r="CH16" cm="1">
        <f t="array" aca="1" ref="CH16" ca="1">IF($BP16=CH$14, 1, SUMPRODUCT(
    --(OFFSET($O$9,0,0,1,$B$9)=TRUE),
    --(INDEX(OFFSET($O$15,0,0,$B$8,$B$9), 1+$BP16, 0) = INDEX(OFFSET($O$15,0,0,$B$8,$B$9), 1+CH$14, 0))
) / $B$16)</f>
        <v>0.4</v>
      </c>
      <c r="CI16" cm="1">
        <f t="array" aca="1" ref="CI16" ca="1">IF($BP16=CI$14, 1, SUMPRODUCT(
    --(OFFSET($O$9,0,0,1,$B$9)=TRUE),
    --(INDEX(OFFSET($O$15,0,0,$B$8,$B$9), 1+$BP16, 0) = INDEX(OFFSET($O$15,0,0,$B$8,$B$9), 1+CI$14, 0))
) / $B$16)</f>
        <v>0.4</v>
      </c>
      <c r="CJ16" cm="1">
        <f t="array" aca="1" ref="CJ16" ca="1">IF($BP16=CJ$14, 1, SUMPRODUCT(
    --(OFFSET($O$9,0,0,1,$B$9)=TRUE),
    --(INDEX(OFFSET($O$15,0,0,$B$8,$B$9), 1+$BP16, 0) = INDEX(OFFSET($O$15,0,0,$B$8,$B$9), 1+CJ$14, 0))
) / $B$16)</f>
        <v>0.6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0.11743372011759474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6.0000000000000001E-3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0.27498861883941617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0.2242958004354933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0.37728186060749586</v>
      </c>
      <c r="CX16" s="10" cm="1">
        <f t="array" aca="1" ref="CX16" ca="1">SUM(OFFSET($CR16,0,0,1,$M$2)*LN(OFFSET($CR16,0,0,1,$M$2)/OFFSET($CR$11,0,0,1,$M$2)))+IF($CQ$11&gt;0,OFFSET($O$10,0,$CP16,1,1)*LN(OFFSET($O$10,0,$CP16,1,1)/$CQ$11),0)</f>
        <v>0.24990863775988828</v>
      </c>
      <c r="CY16">
        <f ca="1"/>
        <v>1</v>
      </c>
      <c r="CZ16" s="10">
        <f t="shared" ref="CZ16:CZ19" ca="1" si="10">CR16*LN(CR16/CR$10) + (1 - CR16)*LN((1-CR16)/(1-CR$10))</f>
        <v>0.2575958074336554</v>
      </c>
      <c r="DA16" s="10">
        <f t="shared" ca="1" si="8"/>
        <v>1.6302042266999953E-3</v>
      </c>
      <c r="DB16" s="10">
        <f t="shared" ca="1" si="8"/>
        <v>1.8047050545683466E-3</v>
      </c>
      <c r="DC16" s="10">
        <f t="shared" ca="1" si="8"/>
        <v>3.9450788847672266E-2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$B$18/($B$19*$B$19*($DF16&lt;&gt;$DG16) + $B$19*($DF16=$DG16))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$B$18/($B$19*$B$19*($DF16&lt;&gt;$DG16) + $B$19*($DF16=$DG16))</f>
        <v>9.8704505102895412E-2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$B$18/($B$19*$B$19*($DF16&lt;&gt;$DG16) + $B$19*($DF16=$DG16))</f>
        <v>0.10520480544308844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$B$18/($B$19*$B$19*($DF16&lt;&gt;$DG16) + $B$19*($DF16=$DG16))</f>
        <v>0.21379805818513664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$B$18/($B$19*$B$19*($DF16&lt;&gt;$DG16) + $B$19*($DF16=$DG16))</f>
        <v>1.1999999999999999E-3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$B$18/($B$19*$B$19*($DF16&lt;&gt;$DG16) + $B$19*($DF16=$DG16))</f>
        <v>3.5868268481029475E-2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$B$18/($B$19*$B$19*($DF16&lt;&gt;$DG16) + $B$19*($DF16=$DG16))</f>
        <v>3.8344573372531582E-2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$B$18/($B$19*$B$19*($DF16&lt;&gt;$DG16) + $B$19*($DF16=$DG16))</f>
        <v>3.1789648659731891E-2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$B$18/($B$19*$B$19*($DF16&lt;&gt;$DG16) + $B$19*($DF16=$DG16))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$B$18/($B$19*$B$19*($DF16&lt;&gt;$DG16) + $B$19*($DF16=$DG16))</f>
        <v>7.3012841853561078E-2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$B$18/($B$19*$B$19*($DF16&lt;&gt;$DG16) + $B$19*($DF16=$DG16))</f>
        <v>4.1201848247341702E-2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$B$18/($B$19*$B$19*($DF16&lt;&gt;$DG16) + $B$19*($DF16=$DG16))</f>
        <v>3.3701501700965135E-2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$B$18/($B$19*$B$19*($DF16&lt;&gt;$DG16) + $B$19*($DF16=$DG16))</f>
        <v>1.1999999999999999E-3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$B$18/($B$19*$B$19*($DF16&lt;&gt;$DG16) + $B$19*($DF16=$DG16))</f>
        <v>6.6203003401930277E-2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$B$18/($B$19*$B$19*($DF16&lt;&gt;$DG16) + $B$19*($DF16=$DG16))</f>
        <v>3.8344573372531582E-2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$B$18/($B$19*$B$19*($DF16&lt;&gt;$DG16) + $B$19*($DF16=$DG16))</f>
        <v>3.1789648659731891E-2</v>
      </c>
    </row>
    <row r="17" spans="1:127" x14ac:dyDescent="0.2">
      <c r="D17" s="10">
        <f ca="1"/>
        <v>2</v>
      </c>
      <c r="F17" s="10">
        <f ca="1"/>
        <v>5.8823529411764705E-2</v>
      </c>
      <c r="H17" s="10">
        <f ca="1"/>
        <v>2</v>
      </c>
      <c r="J17" cm="1">
        <f t="array" aca="1" ref="J17" ca="1">SUMPRODUCT((O17:AJ17=$O$11:$AJ$11)*(O$13:AJ$13=TRUE))  / COUNTIF(O$13:AJ$13,TRUE)</f>
        <v>0.8</v>
      </c>
      <c r="K17" t="b">
        <f t="shared" ca="1" si="9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3"/>
        <v>1</v>
      </c>
      <c r="N17" s="2">
        <v>2</v>
      </c>
      <c r="O17" s="12" t="s">
        <v>2</v>
      </c>
      <c r="P17" s="9" t="s">
        <v>4</v>
      </c>
      <c r="Q17" s="9" t="s">
        <v>2</v>
      </c>
      <c r="R17" s="9" t="s">
        <v>3</v>
      </c>
      <c r="S17" s="9" t="s">
        <v>3</v>
      </c>
      <c r="AK17" s="7"/>
      <c r="AN17">
        <f t="shared" ca="1" si="4"/>
        <v>17</v>
      </c>
      <c r="AO17" s="14">
        <f t="shared" ca="1" si="5"/>
        <v>5.8823529411764705E-2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
) / $B$13)</f>
        <v>0.8</v>
      </c>
      <c r="AR17" cm="1">
        <f t="array" aca="1" ref="AR17" ca="1">IF($AP17=AR$14, 1, SUMPRODUCT(
    --(OFFSET($O$13,0,0,1,$B$9)=TRUE),
    --(INDEX(OFFSET($O$15,0,0,$B$8,$B$9), 1+$AP17, 0) = INDEX(OFFSET($O$15,0,0,$B$8,$B$9), 1+AR$14, 0))
) / $B$13)</f>
        <v>0.8</v>
      </c>
      <c r="AS17" cm="1">
        <f t="array" aca="1" ref="AS17" ca="1">IF($AP17=AS$14, 1, SUMPRODUCT(
    --(OFFSET($O$13,0,0,1,$B$9)=TRUE),
    --(INDEX(OFFSET($O$15,0,0,$B$8,$B$9), 1+$AP17, 0) = INDEX(OFFSET($O$15,0,0,$B$8,$B$9), 1+AS$14, 0))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
) / $B$13)</f>
        <v>0.8</v>
      </c>
      <c r="AU17" cm="1">
        <f t="array" aca="1" ref="AU17" ca="1">IF($AP17=AU$14, 1, SUMPRODUCT(
    --(OFFSET($O$13,0,0,1,$B$9)=TRUE),
    --(INDEX(OFFSET($O$15,0,0,$B$8,$B$9), 1+$AP17, 0) = INDEX(OFFSET($O$15,0,0,$B$8,$B$9), 1+AU$14, 0))
) / $B$13)</f>
        <v>0</v>
      </c>
      <c r="AV17" cm="1">
        <f t="array" aca="1" ref="AV17" ca="1">IF($AP17=AV$14, 1, SUMPRODUCT(
    --(OFFSET($O$13,0,0,1,$B$9)=TRUE),
    --(INDEX(OFFSET($O$15,0,0,$B$8,$B$9), 1+$AP17, 0) = INDEX(OFFSET($O$15,0,0,$B$8,$B$9), 1+AV$14, 0))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
) / $B$13)</f>
        <v>0.6</v>
      </c>
      <c r="AX17" cm="1">
        <f t="array" aca="1" ref="AX17" ca="1">IF($AP17=AX$14, 1, SUMPRODUCT(
    --(OFFSET($O$13,0,0,1,$B$9)=TRUE),
    --(INDEX(OFFSET($O$15,0,0,$B$8,$B$9), 1+$AP17, 0) = INDEX(OFFSET($O$15,0,0,$B$8,$B$9), 1+AX$14, 0))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
) / $B$13)</f>
        <v>0.2</v>
      </c>
      <c r="AZ17" cm="1">
        <f t="array" aca="1" ref="AZ17" ca="1">IF($AP17=AZ$14, 1, SUMPRODUCT(
    --(OFFSET($O$13,0,0,1,$B$9)=TRUE),
    --(INDEX(OFFSET($O$15,0,0,$B$8,$B$9), 1+$AP17, 0) = INDEX(OFFSET($O$15,0,0,$B$8,$B$9), 1+AZ$14, 0))
) / $B$13)</f>
        <v>0.4</v>
      </c>
      <c r="BA17" cm="1">
        <f t="array" aca="1" ref="BA17" ca="1">IF($AP17=BA$14, 1, SUMPRODUCT(
    --(OFFSET($O$13,0,0,1,$B$9)=TRUE),
    --(INDEX(OFFSET($O$15,0,0,$B$8,$B$9), 1+$AP17, 0) = INDEX(OFFSET($O$15,0,0,$B$8,$B$9), 1+BA$14, 0))
) / $B$13)</f>
        <v>0.2</v>
      </c>
      <c r="BB17" cm="1">
        <f t="array" aca="1" ref="BB17" ca="1">IF($AP17=BB$14, 1, SUMPRODUCT(
    --(OFFSET($O$13,0,0,1,$B$9)=TRUE),
    --(INDEX(OFFSET($O$15,0,0,$B$8,$B$9), 1+$AP17, 0) = INDEX(OFFSET($O$15,0,0,$B$8,$B$9), 1+BB$14, 0))
) / $B$13)</f>
        <v>0.4</v>
      </c>
      <c r="BC17" cm="1">
        <f t="array" aca="1" ref="BC17" ca="1">IF($AP17=BC$14, 1, SUMPRODUCT(
    --(OFFSET($O$13,0,0,1,$B$9)=TRUE),
    --(INDEX(OFFSET($O$15,0,0,$B$8,$B$9), 1+$AP17, 0) = INDEX(OFFSET($O$15,0,0,$B$8,$B$9), 1+BC$14, 0))
) / $B$13)</f>
        <v>0.6</v>
      </c>
      <c r="BD17" cm="1">
        <f t="array" aca="1" ref="BD17" ca="1">IF($AP17=BD$14, 1, SUMPRODUCT(
    --(OFFSET($O$13,0,0,1,$B$9)=TRUE),
    --(INDEX(OFFSET($O$15,0,0,$B$8,$B$9), 1+$AP17, 0) = INDEX(OFFSET($O$15,0,0,$B$8,$B$9), 1+BD$14, 0))
) / $B$13)</f>
        <v>0.4</v>
      </c>
      <c r="BE17" cm="1">
        <f t="array" aca="1" ref="BE17" ca="1">IF($AP17=BE$14, 1, SUMPRODUCT(
    --(OFFSET($O$13,0,0,1,$B$9)=TRUE),
    --(INDEX(OFFSET($O$15,0,0,$B$8,$B$9), 1+$AP17, 0) = INDEX(OFFSET($O$15,0,0,$B$8,$B$9), 1+BE$14, 0))
) / $B$13)</f>
        <v>0.4</v>
      </c>
      <c r="BF17" cm="1">
        <f t="array" aca="1" ref="BF17" ca="1">IF($AP17=BF$14, 1, SUMPRODUCT(
    --(OFFSET($O$13,0,0,1,$B$9)=TRUE),
    --(INDEX(OFFSET($O$15,0,0,$B$8,$B$9), 1+$AP17, 0) = INDEX(OFFSET($O$15,0,0,$B$8,$B$9), 1+BF$14, 0))
) / $B$13)</f>
        <v>0.4</v>
      </c>
      <c r="BG17" cm="1">
        <f t="array" aca="1" ref="BG17" ca="1">IF($AP17=BG$14, 1, SUMPRODUCT(
    --(OFFSET($O$13,0,0,1,$B$9)=TRUE),
    --(INDEX(OFFSET($O$15,0,0,$B$8,$B$9), 1+$AP17, 0) = INDEX(OFFSET($O$15,0,0,$B$8,$B$9), 1+BG$14, 0))
) / $B$13)</f>
        <v>0.4</v>
      </c>
      <c r="BH17" cm="1">
        <f t="array" aca="1" ref="BH17" ca="1">IF($AP17=BH$14, 1, SUMPRODUCT(
    --(OFFSET($O$13,0,0,1,$B$9)=TRUE),
    --(INDEX(OFFSET($O$15,0,0,$B$8,$B$9), 1+$AP17, 0) = INDEX(OFFSET($O$15,0,0,$B$8,$B$9), 1+BH$14, 0))
) / $B$13)</f>
        <v>0.4</v>
      </c>
      <c r="BI17" cm="1">
        <f t="array" aca="1" ref="BI17" ca="1">IF($AP17=BI$14, 1, SUMPRODUCT(
    --(OFFSET($O$13,0,0,1,$B$9)=TRUE),
    --(INDEX(OFFSET($O$15,0,0,$B$8,$B$9), 1+$AP17, 0) = INDEX(OFFSET($O$15,0,0,$B$8,$B$9), 1+BI$14, 0))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
) / $B$13)</f>
        <v>0.6</v>
      </c>
      <c r="BN17">
        <f t="shared" ca="1" si="6"/>
        <v>17</v>
      </c>
      <c r="BO17" s="14">
        <f t="shared" ca="1" si="7"/>
        <v>5.8823529411764705E-2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
) / $B$16)</f>
        <v>0.8</v>
      </c>
      <c r="BR17" cm="1">
        <f t="array" aca="1" ref="BR17" ca="1">IF($BP17=BR$14, 1, SUMPRODUCT(
    --(OFFSET($O$9,0,0,1,$B$9)=TRUE),
    --(INDEX(OFFSET($O$15,0,0,$B$8,$B$9), 1+$BP17, 0) = INDEX(OFFSET($O$15,0,0,$B$8,$B$9), 1+BR$14, 0))
) / $B$16)</f>
        <v>0.8</v>
      </c>
      <c r="BS17" cm="1">
        <f t="array" aca="1" ref="BS17" ca="1">IF($BP17=BS$14, 1, SUMPRODUCT(
    --(OFFSET($O$9,0,0,1,$B$9)=TRUE),
    --(INDEX(OFFSET($O$15,0,0,$B$8,$B$9), 1+$BP17, 0) = INDEX(OFFSET($O$15,0,0,$B$8,$B$9), 1+BS$14, 0))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
) / $B$16)</f>
        <v>0.8</v>
      </c>
      <c r="BU17" cm="1">
        <f t="array" aca="1" ref="BU17" ca="1">IF($BP17=BU$14, 1, SUMPRODUCT(
    --(OFFSET($O$9,0,0,1,$B$9)=TRUE),
    --(INDEX(OFFSET($O$15,0,0,$B$8,$B$9), 1+$BP17, 0) = INDEX(OFFSET($O$15,0,0,$B$8,$B$9), 1+BU$14, 0))
) / $B$16)</f>
        <v>0</v>
      </c>
      <c r="BV17" cm="1">
        <f t="array" aca="1" ref="BV17" ca="1">IF($BP17=BV$14, 1, SUMPRODUCT(
    --(OFFSET($O$9,0,0,1,$B$9)=TRUE),
    --(INDEX(OFFSET($O$15,0,0,$B$8,$B$9), 1+$BP17, 0) = INDEX(OFFSET($O$15,0,0,$B$8,$B$9), 1+BV$14, 0))
) / $B$16)</f>
        <v>0.4</v>
      </c>
      <c r="BW17" cm="1">
        <f t="array" aca="1" ref="BW17" ca="1">IF($BP17=BW$14, 1, SUMPRODUCT(
    --(OFFSET($O$9,0,0,1,$B$9)=TRUE),
    --(INDEX(OFFSET($O$15,0,0,$B$8,$B$9), 1+$BP17, 0) = INDEX(OFFSET($O$15,0,0,$B$8,$B$9), 1+BW$14, 0))
) / $B$16)</f>
        <v>0.6</v>
      </c>
      <c r="BX17" cm="1">
        <f t="array" aca="1" ref="BX17" ca="1">IF($BP17=BX$14, 1, SUMPRODUCT(
    --(OFFSET($O$9,0,0,1,$B$9)=TRUE),
    --(INDEX(OFFSET($O$15,0,0,$B$8,$B$9), 1+$BP17, 0) = INDEX(OFFSET($O$15,0,0,$B$8,$B$9), 1+BX$14, 0))
) / $B$16)</f>
        <v>0.4</v>
      </c>
      <c r="BY17" cm="1">
        <f t="array" aca="1" ref="BY17" ca="1">IF($BP17=BY$14, 1, SUMPRODUCT(
    --(OFFSET($O$9,0,0,1,$B$9)=TRUE),
    --(INDEX(OFFSET($O$15,0,0,$B$8,$B$9), 1+$BP17, 0) = INDEX(OFFSET($O$15,0,0,$B$8,$B$9), 1+BY$14, 0))
) / $B$16)</f>
        <v>0.2</v>
      </c>
      <c r="BZ17" cm="1">
        <f t="array" aca="1" ref="BZ17" ca="1">IF($BP17=BZ$14, 1, SUMPRODUCT(
    --(OFFSET($O$9,0,0,1,$B$9)=TRUE),
    --(INDEX(OFFSET($O$15,0,0,$B$8,$B$9), 1+$BP17, 0) = INDEX(OFFSET($O$15,0,0,$B$8,$B$9), 1+BZ$14, 0))
) / $B$16)</f>
        <v>0.4</v>
      </c>
      <c r="CA17" cm="1">
        <f t="array" aca="1" ref="CA17" ca="1">IF($BP17=CA$14, 1, SUMPRODUCT(
    --(OFFSET($O$9,0,0,1,$B$9)=TRUE),
    --(INDEX(OFFSET($O$15,0,0,$B$8,$B$9), 1+$BP17, 0) = INDEX(OFFSET($O$15,0,0,$B$8,$B$9), 1+CA$14, 0))
) / $B$16)</f>
        <v>0.2</v>
      </c>
      <c r="CB17" cm="1">
        <f t="array" aca="1" ref="CB17" ca="1">IF($BP17=CB$14, 1, SUMPRODUCT(
    --(OFFSET($O$9,0,0,1,$B$9)=TRUE),
    --(INDEX(OFFSET($O$15,0,0,$B$8,$B$9), 1+$BP17, 0) = INDEX(OFFSET($O$15,0,0,$B$8,$B$9), 1+CB$14, 0))
) / $B$16)</f>
        <v>0.4</v>
      </c>
      <c r="CC17" cm="1">
        <f t="array" aca="1" ref="CC17" ca="1">IF($BP17=CC$14, 1, SUMPRODUCT(
    --(OFFSET($O$9,0,0,1,$B$9)=TRUE),
    --(INDEX(OFFSET($O$15,0,0,$B$8,$B$9), 1+$BP17, 0) = INDEX(OFFSET($O$15,0,0,$B$8,$B$9), 1+CC$14, 0))
) / $B$16)</f>
        <v>0.6</v>
      </c>
      <c r="CD17" cm="1">
        <f t="array" aca="1" ref="CD17" ca="1">IF($BP17=CD$14, 1, SUMPRODUCT(
    --(OFFSET($O$9,0,0,1,$B$9)=TRUE),
    --(INDEX(OFFSET($O$15,0,0,$B$8,$B$9), 1+$BP17, 0) = INDEX(OFFSET($O$15,0,0,$B$8,$B$9), 1+CD$14, 0))
) / $B$16)</f>
        <v>0.4</v>
      </c>
      <c r="CE17" cm="1">
        <f t="array" aca="1" ref="CE17" ca="1">IF($BP17=CE$14, 1, SUMPRODUCT(
    --(OFFSET($O$9,0,0,1,$B$9)=TRUE),
    --(INDEX(OFFSET($O$15,0,0,$B$8,$B$9), 1+$BP17, 0) = INDEX(OFFSET($O$15,0,0,$B$8,$B$9), 1+CE$14, 0))
) / $B$16)</f>
        <v>0.4</v>
      </c>
      <c r="CF17" cm="1">
        <f t="array" aca="1" ref="CF17" ca="1">IF($BP17=CF$14, 1, SUMPRODUCT(
    --(OFFSET($O$9,0,0,1,$B$9)=TRUE),
    --(INDEX(OFFSET($O$15,0,0,$B$8,$B$9), 1+$BP17, 0) = INDEX(OFFSET($O$15,0,0,$B$8,$B$9), 1+CF$14, 0))
) / $B$16)</f>
        <v>0.4</v>
      </c>
      <c r="CG17" cm="1">
        <f t="array" aca="1" ref="CG17" ca="1">IF($BP17=CG$14, 1, SUMPRODUCT(
    --(OFFSET($O$9,0,0,1,$B$9)=TRUE),
    --(INDEX(OFFSET($O$15,0,0,$B$8,$B$9), 1+$BP17, 0) = INDEX(OFFSET($O$15,0,0,$B$8,$B$9), 1+CG$14, 0))
) / $B$16)</f>
        <v>0.4</v>
      </c>
      <c r="CH17" cm="1">
        <f t="array" aca="1" ref="CH17" ca="1">IF($BP17=CH$14, 1, SUMPRODUCT(
    --(OFFSET($O$9,0,0,1,$B$9)=TRUE),
    --(INDEX(OFFSET($O$15,0,0,$B$8,$B$9), 1+$BP17, 0) = INDEX(OFFSET($O$15,0,0,$B$8,$B$9), 1+CH$14, 0))
) / $B$16)</f>
        <v>0.4</v>
      </c>
      <c r="CI17" cm="1">
        <f t="array" aca="1" ref="CI17" ca="1">IF($BP17=CI$14, 1, SUMPRODUCT(
    --(OFFSET($O$9,0,0,1,$B$9)=TRUE),
    --(INDEX(OFFSET($O$15,0,0,$B$8,$B$9), 1+$BP17, 0) = INDEX(OFFSET($O$15,0,0,$B$8,$B$9), 1+CI$14, 0))
) / $B$16)</f>
        <v>0.4</v>
      </c>
      <c r="CJ17" cm="1">
        <f t="array" aca="1" ref="CJ17" ca="1">IF($BP17=CJ$14, 1, SUMPRODUCT(
    --(OFFSET($O$9,0,0,1,$B$9)=TRUE),
    --(INDEX(OFFSET($O$15,0,0,$B$8,$B$9), 1+$BP17, 0) = INDEX(OFFSET($O$15,0,0,$B$8,$B$9), 1+CJ$14, 0))
) / $B$16)</f>
        <v>0.6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7.1003003401930276E-2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0.14281584525549132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0.37728186060749586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0.2242958004354933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0.18460349029958936</v>
      </c>
      <c r="CX17" s="10" cm="1">
        <f t="array" aca="1" ref="CX17" ca="1">SUM(OFFSET($CR17,0,0,1,$M$2)*LN(OFFSET($CR17,0,0,1,$M$2)/OFFSET($CR$11,0,0,1,$M$2)))+IF($CQ$11&gt;0,OFFSET($O$10,0,$CP17,1,1)*LN(OFFSET($O$10,0,$CP17,1,1)/$CQ$11),0)</f>
        <v>6.0574887812469731E-2</v>
      </c>
      <c r="CY17">
        <f ca="1"/>
        <v>2</v>
      </c>
      <c r="CZ17" s="10">
        <f t="shared" ca="1" si="10"/>
        <v>3.4538999111044577E-2</v>
      </c>
      <c r="DA17" s="10">
        <f t="shared" ca="1" si="8"/>
        <v>3.9450788847672266E-2</v>
      </c>
      <c r="DB17" s="10">
        <f t="shared" ca="1" si="8"/>
        <v>1.8047050545683466E-3</v>
      </c>
      <c r="DC17" s="10">
        <f t="shared" ca="1" si="8"/>
        <v>1.2187075421907653E-2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$B$18/($B$19*$B$19*($DF17&lt;&gt;$DG17) + $B$19*($DF17=$DG17))</f>
        <v>1.1999999999999999E-3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$B$18/($B$19*$B$19*($DF17&lt;&gt;$DG17) + $B$19*($DF17=$DG17))</f>
        <v>0.21379805818513664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$B$18/($B$19*$B$19*($DF17&lt;&gt;$DG17) + $B$19*($DF17=$DG17))</f>
        <v>0.10520480544308844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$B$18/($B$19*$B$19*($DF17&lt;&gt;$DG17) + $B$19*($DF17=$DG17))</f>
        <v>3.3701501700965135E-2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$B$18/($B$19*$B$19*($DF17&lt;&gt;$DG17) + $B$19*($DF17=$DG17))</f>
        <v>3.5868268481029475E-2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$B$18/($B$19*$B$19*($DF17&lt;&gt;$DG17) + $B$19*($DF17=$DG17))</f>
        <v>3.1789648659731891E-2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$B$18/($B$19*$B$19*($DF17&lt;&gt;$DG17) + $B$19*($DF17=$DG17))</f>
        <v>3.8344573372531582E-2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$B$18/($B$19*$B$19*($DF17&lt;&gt;$DG17) + $B$19*($DF17=$DG17))</f>
        <v>7.5489146745063171E-2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$B$18/($B$19*$B$19*($DF17&lt;&gt;$DG17) + $B$19*($DF17=$DG17))</f>
        <v>3.8344573372531582E-2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$B$18/($B$19*$B$19*($DF17&lt;&gt;$DG17) + $B$19*($DF17=$DG17))</f>
        <v>3.3701501700965135E-2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$B$18/($B$19*$B$19*($DF17&lt;&gt;$DG17) + $B$19*($DF17=$DG17))</f>
        <v>4.1201848247341702E-2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$B$18/($B$19*$B$19*($DF17&lt;&gt;$DG17) + $B$19*($DF17=$DG17))</f>
        <v>3.5868268481029475E-2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$B$18/($B$19*$B$19*($DF17&lt;&gt;$DG17) + $B$19*($DF17=$DG17))</f>
        <v>6.6203003401930277E-2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$B$18/($B$19*$B$19*($DF17&lt;&gt;$DG17) + $B$19*($DF17=$DG17))</f>
        <v>3.1789648659731891E-2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$B$18/($B$19*$B$19*($DF17&lt;&gt;$DG17) + $B$19*($DF17=$DG17))</f>
        <v>3.8344573372531582E-2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$B$18/($B$19*$B$19*($DF17&lt;&gt;$DG17) + $B$19*($DF17=$DG17))</f>
        <v>3.8344573372531582E-2</v>
      </c>
    </row>
    <row r="18" spans="1:127" x14ac:dyDescent="0.2">
      <c r="A18" t="s">
        <v>47</v>
      </c>
      <c r="B18">
        <v>0.03</v>
      </c>
      <c r="D18" s="10">
        <f ca="1"/>
        <v>3</v>
      </c>
      <c r="F18" s="10">
        <f ca="1"/>
        <v>6.25E-2</v>
      </c>
      <c r="H18" s="10">
        <f ca="1"/>
        <v>3</v>
      </c>
      <c r="J18" cm="1">
        <f t="array" aca="1" ref="J18" ca="1">SUMPRODUCT((O18:AJ18=$O$11:$AJ$11)*(O$13:AJ$13=TRUE))  / COUNTIF(O$13:AJ$13,TRUE)</f>
        <v>0.8</v>
      </c>
      <c r="K18" t="b">
        <f t="shared" ca="1" si="9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3"/>
        <v>1</v>
      </c>
      <c r="N18" s="2">
        <v>3</v>
      </c>
      <c r="O18" s="12" t="s">
        <v>3</v>
      </c>
      <c r="P18" s="9" t="s">
        <v>4</v>
      </c>
      <c r="Q18" s="9" t="s">
        <v>2</v>
      </c>
      <c r="R18" s="9" t="s">
        <v>3</v>
      </c>
      <c r="S18" s="9" t="s">
        <v>3</v>
      </c>
      <c r="AK18" s="7"/>
      <c r="AN18">
        <f t="shared" ca="1" si="4"/>
        <v>16</v>
      </c>
      <c r="AO18" s="14">
        <f t="shared" ca="1" si="5"/>
        <v>6.25E-2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
) / $B$13)</f>
        <v>0.8</v>
      </c>
      <c r="AR18" cm="1">
        <f t="array" aca="1" ref="AR18" ca="1">IF($AP18=AR$14, 1, SUMPRODUCT(
    --(OFFSET($O$13,0,0,1,$B$9)=TRUE),
    --(INDEX(OFFSET($O$15,0,0,$B$8,$B$9), 1+$AP18, 0) = INDEX(OFFSET($O$15,0,0,$B$8,$B$9), 1+AR$14, 0))
) / $B$13)</f>
        <v>0.8</v>
      </c>
      <c r="AS18" cm="1">
        <f t="array" aca="1" ref="AS18" ca="1">IF($AP18=AS$14, 1, SUMPRODUCT(
    --(OFFSET($O$13,0,0,1,$B$9)=TRUE),
    --(INDEX(OFFSET($O$15,0,0,$B$8,$B$9), 1+$AP18, 0) = INDEX(OFFSET($O$15,0,0,$B$8,$B$9), 1+AS$14, 0))
) / $B$13)</f>
        <v>0.8</v>
      </c>
      <c r="AT18" cm="1">
        <f t="array" aca="1" ref="AT18" ca="1">IF($AP18=AT$14, 1, SUMPRODUCT(
    --(OFFSET($O$13,0,0,1,$B$9)=TRUE),
    --(INDEX(OFFSET($O$15,0,0,$B$8,$B$9), 1+$AP18, 0) = INDEX(OFFSET($O$15,0,0,$B$8,$B$9), 1+AT$14, 0))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
) / $B$13)</f>
        <v>0</v>
      </c>
      <c r="AV18" cm="1">
        <f t="array" aca="1" ref="AV18" ca="1">IF($AP18=AV$14, 1, SUMPRODUCT(
    --(OFFSET($O$13,0,0,1,$B$9)=TRUE),
    --(INDEX(OFFSET($O$15,0,0,$B$8,$B$9), 1+$AP18, 0) = INDEX(OFFSET($O$15,0,0,$B$8,$B$9), 1+AV$14, 0))
) / $B$13)</f>
        <v>0.4</v>
      </c>
      <c r="AW18" cm="1">
        <f t="array" aca="1" ref="AW18" ca="1">IF($AP18=AW$14, 1, SUMPRODUCT(
    --(OFFSET($O$13,0,0,1,$B$9)=TRUE),
    --(INDEX(OFFSET($O$15,0,0,$B$8,$B$9), 1+$AP18, 0) = INDEX(OFFSET($O$15,0,0,$B$8,$B$9), 1+AW$14, 0))
) / $B$13)</f>
        <v>0.4</v>
      </c>
      <c r="AX18" cm="1">
        <f t="array" aca="1" ref="AX18" ca="1">IF($AP18=AX$14, 1, SUMPRODUCT(
    --(OFFSET($O$13,0,0,1,$B$9)=TRUE),
    --(INDEX(OFFSET($O$15,0,0,$B$8,$B$9), 1+$AP18, 0) = INDEX(OFFSET($O$15,0,0,$B$8,$B$9), 1+AX$14, 0))
) / $B$13)</f>
        <v>0.6</v>
      </c>
      <c r="AY18" cm="1">
        <f t="array" aca="1" ref="AY18" ca="1">IF($AP18=AY$14, 1, SUMPRODUCT(
    --(OFFSET($O$13,0,0,1,$B$9)=TRUE),
    --(INDEX(OFFSET($O$15,0,0,$B$8,$B$9), 1+$AP18, 0) = INDEX(OFFSET($O$15,0,0,$B$8,$B$9), 1+AY$14, 0))
) / $B$13)</f>
        <v>0.2</v>
      </c>
      <c r="AZ18" cm="1">
        <f t="array" aca="1" ref="AZ18" ca="1">IF($AP18=AZ$14, 1, SUMPRODUCT(
    --(OFFSET($O$13,0,0,1,$B$9)=TRUE),
    --(INDEX(OFFSET($O$15,0,0,$B$8,$B$9), 1+$AP18, 0) = INDEX(OFFSET($O$15,0,0,$B$8,$B$9), 1+AZ$14, 0))
) / $B$13)</f>
        <v>0.4</v>
      </c>
      <c r="BA18" cm="1">
        <f t="array" aca="1" ref="BA18" ca="1">IF($AP18=BA$14, 1, SUMPRODUCT(
    --(OFFSET($O$13,0,0,1,$B$9)=TRUE),
    --(INDEX(OFFSET($O$15,0,0,$B$8,$B$9), 1+$AP18, 0) = INDEX(OFFSET($O$15,0,0,$B$8,$B$9), 1+BA$14, 0))
) / $B$13)</f>
        <v>0.2</v>
      </c>
      <c r="BB18" cm="1">
        <f t="array" aca="1" ref="BB18" ca="1">IF($AP18=BB$14, 1, SUMPRODUCT(
    --(OFFSET($O$13,0,0,1,$B$9)=TRUE),
    --(INDEX(OFFSET($O$15,0,0,$B$8,$B$9), 1+$AP18, 0) = INDEX(OFFSET($O$15,0,0,$B$8,$B$9), 1+BB$14, 0))
) / $B$13)</f>
        <v>0.4</v>
      </c>
      <c r="BC18" cm="1">
        <f t="array" aca="1" ref="BC18" ca="1">IF($AP18=BC$14, 1, SUMPRODUCT(
    --(OFFSET($O$13,0,0,1,$B$9)=TRUE),
    --(INDEX(OFFSET($O$15,0,0,$B$8,$B$9), 1+$AP18, 0) = INDEX(OFFSET($O$15,0,0,$B$8,$B$9), 1+BC$14, 0))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
) / $B$13)</f>
        <v>0.2</v>
      </c>
      <c r="BE18" cm="1">
        <f t="array" aca="1" ref="BE18" ca="1">IF($AP18=BE$14, 1, SUMPRODUCT(
    --(OFFSET($O$13,0,0,1,$B$9)=TRUE),
    --(INDEX(OFFSET($O$15,0,0,$B$8,$B$9), 1+$AP18, 0) = INDEX(OFFSET($O$15,0,0,$B$8,$B$9), 1+BE$14, 0))
) / $B$13)</f>
        <v>0.6</v>
      </c>
      <c r="BF18" cm="1">
        <f t="array" aca="1" ref="BF18" ca="1">IF($AP18=BF$14, 1, SUMPRODUCT(
    --(OFFSET($O$13,0,0,1,$B$9)=TRUE),
    --(INDEX(OFFSET($O$15,0,0,$B$8,$B$9), 1+$AP18, 0) = INDEX(OFFSET($O$15,0,0,$B$8,$B$9), 1+BF$14, 0))
) / $B$13)</f>
        <v>0.6</v>
      </c>
      <c r="BG18" cm="1">
        <f t="array" aca="1" ref="BG18" ca="1">IF($AP18=BG$14, 1, SUMPRODUCT(
    --(OFFSET($O$13,0,0,1,$B$9)=TRUE),
    --(INDEX(OFFSET($O$15,0,0,$B$8,$B$9), 1+$AP18, 0) = INDEX(OFFSET($O$15,0,0,$B$8,$B$9), 1+BG$14, 0))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
) / $B$13)</f>
        <v>0.4</v>
      </c>
      <c r="BI18" cm="1">
        <f t="array" aca="1" ref="BI18" ca="1">IF($AP18=BI$14, 1, SUMPRODUCT(
    --(OFFSET($O$13,0,0,1,$B$9)=TRUE),
    --(INDEX(OFFSET($O$15,0,0,$B$8,$B$9), 1+$AP18, 0) = INDEX(OFFSET($O$15,0,0,$B$8,$B$9), 1+BI$14, 0))
) / $B$13)</f>
        <v>0.4</v>
      </c>
      <c r="BJ18" cm="1">
        <f t="array" aca="1" ref="BJ18" ca="1">IF($AP18=BJ$14, 1, SUMPRODUCT(
    --(OFFSET($O$13,0,0,1,$B$9)=TRUE),
    --(INDEX(OFFSET($O$15,0,0,$B$8,$B$9), 1+$AP18, 0) = INDEX(OFFSET($O$15,0,0,$B$8,$B$9), 1+BJ$14, 0))
) / $B$13)</f>
        <v>0.6</v>
      </c>
      <c r="BN18">
        <f t="shared" ca="1" si="6"/>
        <v>16</v>
      </c>
      <c r="BO18" s="14">
        <f t="shared" ca="1" si="7"/>
        <v>6.25E-2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
) / $B$16)</f>
        <v>0.8</v>
      </c>
      <c r="BR18" cm="1">
        <f t="array" aca="1" ref="BR18" ca="1">IF($BP18=BR$14, 1, SUMPRODUCT(
    --(OFFSET($O$9,0,0,1,$B$9)=TRUE),
    --(INDEX(OFFSET($O$15,0,0,$B$8,$B$9), 1+$BP18, 0) = INDEX(OFFSET($O$15,0,0,$B$8,$B$9), 1+BR$14, 0))
) / $B$16)</f>
        <v>0.8</v>
      </c>
      <c r="BS18" cm="1">
        <f t="array" aca="1" ref="BS18" ca="1">IF($BP18=BS$14, 1, SUMPRODUCT(
    --(OFFSET($O$9,0,0,1,$B$9)=TRUE),
    --(INDEX(OFFSET($O$15,0,0,$B$8,$B$9), 1+$BP18, 0) = INDEX(OFFSET($O$15,0,0,$B$8,$B$9), 1+BS$14, 0))
) / $B$16)</f>
        <v>0.8</v>
      </c>
      <c r="BT18" cm="1">
        <f t="array" aca="1" ref="BT18" ca="1">IF($BP18=BT$14, 1, SUMPRODUCT(
    --(OFFSET($O$9,0,0,1,$B$9)=TRUE),
    --(INDEX(OFFSET($O$15,0,0,$B$8,$B$9), 1+$BP18, 0) = INDEX(OFFSET($O$15,0,0,$B$8,$B$9), 1+BT$14, 0))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
) / $B$16)</f>
        <v>0</v>
      </c>
      <c r="BV18" cm="1">
        <f t="array" aca="1" ref="BV18" ca="1">IF($BP18=BV$14, 1, SUMPRODUCT(
    --(OFFSET($O$9,0,0,1,$B$9)=TRUE),
    --(INDEX(OFFSET($O$15,0,0,$B$8,$B$9), 1+$BP18, 0) = INDEX(OFFSET($O$15,0,0,$B$8,$B$9), 1+BV$14, 0))
) / $B$16)</f>
        <v>0.4</v>
      </c>
      <c r="BW18" cm="1">
        <f t="array" aca="1" ref="BW18" ca="1">IF($BP18=BW$14, 1, SUMPRODUCT(
    --(OFFSET($O$9,0,0,1,$B$9)=TRUE),
    --(INDEX(OFFSET($O$15,0,0,$B$8,$B$9), 1+$BP18, 0) = INDEX(OFFSET($O$15,0,0,$B$8,$B$9), 1+BW$14, 0))
) / $B$16)</f>
        <v>0.4</v>
      </c>
      <c r="BX18" cm="1">
        <f t="array" aca="1" ref="BX18" ca="1">IF($BP18=BX$14, 1, SUMPRODUCT(
    --(OFFSET($O$9,0,0,1,$B$9)=TRUE),
    --(INDEX(OFFSET($O$15,0,0,$B$8,$B$9), 1+$BP18, 0) = INDEX(OFFSET($O$15,0,0,$B$8,$B$9), 1+BX$14, 0))
) / $B$16)</f>
        <v>0.6</v>
      </c>
      <c r="BY18" cm="1">
        <f t="array" aca="1" ref="BY18" ca="1">IF($BP18=BY$14, 1, SUMPRODUCT(
    --(OFFSET($O$9,0,0,1,$B$9)=TRUE),
    --(INDEX(OFFSET($O$15,0,0,$B$8,$B$9), 1+$BP18, 0) = INDEX(OFFSET($O$15,0,0,$B$8,$B$9), 1+BY$14, 0))
) / $B$16)</f>
        <v>0.2</v>
      </c>
      <c r="BZ18" cm="1">
        <f t="array" aca="1" ref="BZ18" ca="1">IF($BP18=BZ$14, 1, SUMPRODUCT(
    --(OFFSET($O$9,0,0,1,$B$9)=TRUE),
    --(INDEX(OFFSET($O$15,0,0,$B$8,$B$9), 1+$BP18, 0) = INDEX(OFFSET($O$15,0,0,$B$8,$B$9), 1+BZ$14, 0))
) / $B$16)</f>
        <v>0.4</v>
      </c>
      <c r="CA18" cm="1">
        <f t="array" aca="1" ref="CA18" ca="1">IF($BP18=CA$14, 1, SUMPRODUCT(
    --(OFFSET($O$9,0,0,1,$B$9)=TRUE),
    --(INDEX(OFFSET($O$15,0,0,$B$8,$B$9), 1+$BP18, 0) = INDEX(OFFSET($O$15,0,0,$B$8,$B$9), 1+CA$14, 0))
) / $B$16)</f>
        <v>0.2</v>
      </c>
      <c r="CB18" cm="1">
        <f t="array" aca="1" ref="CB18" ca="1">IF($BP18=CB$14, 1, SUMPRODUCT(
    --(OFFSET($O$9,0,0,1,$B$9)=TRUE),
    --(INDEX(OFFSET($O$15,0,0,$B$8,$B$9), 1+$BP18, 0) = INDEX(OFFSET($O$15,0,0,$B$8,$B$9), 1+CB$14, 0))
) / $B$16)</f>
        <v>0.4</v>
      </c>
      <c r="CC18" cm="1">
        <f t="array" aca="1" ref="CC18" ca="1">IF($BP18=CC$14, 1, SUMPRODUCT(
    --(OFFSET($O$9,0,0,1,$B$9)=TRUE),
    --(INDEX(OFFSET($O$15,0,0,$B$8,$B$9), 1+$BP18, 0) = INDEX(OFFSET($O$15,0,0,$B$8,$B$9), 1+CC$14, 0))
) / $B$16)</f>
        <v>0.4</v>
      </c>
      <c r="CD18" cm="1">
        <f t="array" aca="1" ref="CD18" ca="1">IF($BP18=CD$14, 1, SUMPRODUCT(
    --(OFFSET($O$9,0,0,1,$B$9)=TRUE),
    --(INDEX(OFFSET($O$15,0,0,$B$8,$B$9), 1+$BP18, 0) = INDEX(OFFSET($O$15,0,0,$B$8,$B$9), 1+CD$14, 0))
) / $B$16)</f>
        <v>0.2</v>
      </c>
      <c r="CE18" cm="1">
        <f t="array" aca="1" ref="CE18" ca="1">IF($BP18=CE$14, 1, SUMPRODUCT(
    --(OFFSET($O$9,0,0,1,$B$9)=TRUE),
    --(INDEX(OFFSET($O$15,0,0,$B$8,$B$9), 1+$BP18, 0) = INDEX(OFFSET($O$15,0,0,$B$8,$B$9), 1+CE$14, 0))
) / $B$16)</f>
        <v>0.6</v>
      </c>
      <c r="CF18" cm="1">
        <f t="array" aca="1" ref="CF18" ca="1">IF($BP18=CF$14, 1, SUMPRODUCT(
    --(OFFSET($O$9,0,0,1,$B$9)=TRUE),
    --(INDEX(OFFSET($O$15,0,0,$B$8,$B$9), 1+$BP18, 0) = INDEX(OFFSET($O$15,0,0,$B$8,$B$9), 1+CF$14, 0))
) / $B$16)</f>
        <v>0.6</v>
      </c>
      <c r="CG18" cm="1">
        <f t="array" aca="1" ref="CG18" ca="1">IF($BP18=CG$14, 1, SUMPRODUCT(
    --(OFFSET($O$9,0,0,1,$B$9)=TRUE),
    --(INDEX(OFFSET($O$15,0,0,$B$8,$B$9), 1+$BP18, 0) = INDEX(OFFSET($O$15,0,0,$B$8,$B$9), 1+CG$14, 0))
) / $B$16)</f>
        <v>0.4</v>
      </c>
      <c r="CH18" cm="1">
        <f t="array" aca="1" ref="CH18" ca="1">IF($BP18=CH$14, 1, SUMPRODUCT(
    --(OFFSET($O$9,0,0,1,$B$9)=TRUE),
    --(INDEX(OFFSET($O$15,0,0,$B$8,$B$9), 1+$BP18, 0) = INDEX(OFFSET($O$15,0,0,$B$8,$B$9), 1+CH$14, 0))
) / $B$16)</f>
        <v>0.4</v>
      </c>
      <c r="CI18" cm="1">
        <f t="array" aca="1" ref="CI18" ca="1">IF($BP18=CI$14, 1, SUMPRODUCT(
    --(OFFSET($O$9,0,0,1,$B$9)=TRUE),
    --(INDEX(OFFSET($O$15,0,0,$B$8,$B$9), 1+$BP18, 0) = INDEX(OFFSET($O$15,0,0,$B$8,$B$9), 1+CI$14, 0))
) / $B$16)</f>
        <v>0.4</v>
      </c>
      <c r="CJ18" cm="1">
        <f t="array" aca="1" ref="CJ18" ca="1">IF($BP18=CJ$14, 1, SUMPRODUCT(
    --(OFFSET($O$9,0,0,1,$B$9)=TRUE),
    --(INDEX(OFFSET($O$15,0,0,$B$8,$B$9), 1+$BP18, 0) = INDEX(OFFSET($O$15,0,0,$B$8,$B$9), 1+CJ$14, 0))
) / $B$16)</f>
        <v>0.6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0.17500780884501868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0.13600600680386055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6.0000000000000001E-3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0.55998077822764625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0.12300540612347449</v>
      </c>
      <c r="CX18" s="10" cm="1">
        <f t="array" aca="1" ref="CX18" ca="1">SUM(OFFSET($CR18,0,0,1,$M$2)*LN(OFFSET($CR18,0,0,1,$M$2)/OFFSET($CR$11,0,0,1,$M$2)))+IF($CQ$11&gt;0,OFFSET($O$10,0,$CP18,1,1)*LN(OFFSET($O$10,0,$CP18,1,1)/$CQ$11),0)</f>
        <v>0.46358850252141437</v>
      </c>
      <c r="CY18">
        <f ca="1"/>
        <v>3</v>
      </c>
      <c r="CZ18" s="10">
        <f t="shared" ca="1" si="10"/>
        <v>3.9453494650304885E-2</v>
      </c>
      <c r="DA18" s="10">
        <f t="shared" ca="1" si="8"/>
        <v>0.2575958074336554</v>
      </c>
      <c r="DB18" s="10">
        <f t="shared" ca="1" si="8"/>
        <v>0.2169494017658222</v>
      </c>
      <c r="DC18" s="10">
        <f t="shared" ca="1" si="8"/>
        <v>4.9946732995463594E-2</v>
      </c>
      <c r="DF18" cm="1">
        <f t="array" aca="1" ref="DF18" ca="1">INDEX(_xlfn.ANCHORARRAY($CP$15), 1 + INT((ROWS($DG$15:$DG18) - 1) / ROWS(_xlfn.ANCHORARRAY($CP$15))))</f>
        <v>0</v>
      </c>
      <c r="DG18" cm="1">
        <f t="array" aca="1" ref="DG18" ca="1">INDEX(_xlfn.ANCHORARRAY($CP$15),1+MOD(ROWS($DG$15:$DG18)-1,ROWS(_xlfn.ANCHORARRAY($CP$15))))</f>
        <v>3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$B$18/($B$19*$B$19*($DF18&lt;&gt;$DG18) + $B$19*($DF18=$DG18))</f>
        <v>6.6203003401930277E-2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$B$18/($B$19*$B$19*($DF18&lt;&gt;$DG18) + $B$19*($DF18=$DG18))</f>
        <v>1.1999999999999999E-3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$B$18/($B$19*$B$19*($DF18&lt;&gt;$DG18) + $B$19*($DF18=$DG18))</f>
        <v>6.4291150360697033E-2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$B$18/($B$19*$B$19*($DF18&lt;&gt;$DG18) + $B$19*($DF18=$DG18))</f>
        <v>0.11820540612347449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$B$18/($B$19*$B$19*($DF18&lt;&gt;$DG18) + $B$19*($DF18=$DG18))</f>
        <v>1.1999999999999999E-3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$B$18/($B$19*$B$19*($DF18&lt;&gt;$DG18) + $B$19*($DF18=$DG18))</f>
        <v>1.1999999999999999E-3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$B$18/($B$19*$B$19*($DF18&lt;&gt;$DG18) + $B$19*($DF18=$DG18))</f>
        <v>0.17789163725835608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$B$18/($B$19*$B$19*($DF18&lt;&gt;$DG18) + $B$19*($DF18=$DG18))</f>
        <v>1.1999999999999999E-3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$B$18/($B$19*$B$19*($DF18&lt;&gt;$DG18) + $B$19*($DF18=$DG18))</f>
        <v>1.1999999999999999E-3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$B$18/($B$19*$B$19*($DF18&lt;&gt;$DG18) + $B$19*($DF18=$DG18))</f>
        <v>1.1999999999999999E-3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$B$18/($B$19*$B$19*($DF18&lt;&gt;$DG18) + $B$19*($DF18=$DG18))</f>
        <v>0.14551619180186789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$B$18/($B$19*$B$19*($DF18&lt;&gt;$DG18) + $B$19*($DF18=$DG18))</f>
        <v>1.1999999999999999E-3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$B$18/($B$19*$B$19*($DF18&lt;&gt;$DG18) + $B$19*($DF18=$DG18))</f>
        <v>1.1999999999999999E-3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$B$18/($B$19*$B$19*($DF18&lt;&gt;$DG18) + $B$19*($DF18=$DG18))</f>
        <v>1.1999999999999999E-3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$B$18/($B$19*$B$19*($DF18&lt;&gt;$DG18) + $B$19*($DF18=$DG18))</f>
        <v>0.17108179880672528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$B$18/($B$19*$B$19*($DF18&lt;&gt;$DG18) + $B$19*($DF18=$DG18))</f>
        <v>1.1999999999999999E-3</v>
      </c>
    </row>
    <row r="19" spans="1:127" x14ac:dyDescent="0.2">
      <c r="A19" t="s">
        <v>49</v>
      </c>
      <c r="B19">
        <v>5</v>
      </c>
      <c r="D19" s="10">
        <f ca="1"/>
        <v>4</v>
      </c>
      <c r="F19" s="10">
        <f ca="1"/>
        <v>0.2</v>
      </c>
      <c r="H19" s="10">
        <f ca="1"/>
        <v>4</v>
      </c>
      <c r="J19" cm="1">
        <f t="array" aca="1" ref="J19" ca="1">SUMPRODUCT((O19:AJ19=$O$11:$AJ$11)*(O$13:AJ$13=TRUE))  / COUNTIF(O$13:AJ$13,TRUE)</f>
        <v>0.2</v>
      </c>
      <c r="K19" t="b">
        <f t="shared" ca="1" si="9"/>
        <v>1</v>
      </c>
      <c r="L19" cm="1">
        <f t="array" aca="1" ref="L19" ca="1">SUM(
   1*(_xlfn._xlws.FILTER(OFFSET($O19,0,0,1,$B$9),OFFSET($O$13,0,0,1,$B$9)) = "-")
) / $B$13</f>
        <v>0.4</v>
      </c>
      <c r="M19" t="b">
        <f t="shared" ca="1" si="3"/>
        <v>1</v>
      </c>
      <c r="N19" s="2">
        <v>4</v>
      </c>
      <c r="O19" s="12" t="s">
        <v>0</v>
      </c>
      <c r="P19" s="9" t="s">
        <v>3</v>
      </c>
      <c r="Q19" s="9" t="s">
        <v>3</v>
      </c>
      <c r="R19" s="9" t="s">
        <v>5</v>
      </c>
      <c r="S19" s="9" t="s">
        <v>5</v>
      </c>
      <c r="AK19" s="7"/>
      <c r="AN19">
        <f t="shared" ca="1" si="4"/>
        <v>5</v>
      </c>
      <c r="AO19" s="14">
        <f t="shared" ca="1" si="5"/>
        <v>0.2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
) / $B$13)</f>
        <v>0.2</v>
      </c>
      <c r="AR19" cm="1">
        <f t="array" aca="1" ref="AR19" ca="1">IF($AP19=AR$14, 1, SUMPRODUCT(
    --(OFFSET($O$13,0,0,1,$B$9)=TRUE),
    --(INDEX(OFFSET($O$15,0,0,$B$8,$B$9), 1+$AP19, 0) = INDEX(OFFSET($O$15,0,0,$B$8,$B$9), 1+AR$14, 0))
) / $B$13)</f>
        <v>0</v>
      </c>
      <c r="AS19" cm="1">
        <f t="array" aca="1" ref="AS19" ca="1">IF($AP19=AS$14, 1, SUMPRODUCT(
    --(OFFSET($O$13,0,0,1,$B$9)=TRUE),
    --(INDEX(OFFSET($O$15,0,0,$B$8,$B$9), 1+$AP19, 0) = INDEX(OFFSET($O$15,0,0,$B$8,$B$9), 1+AS$14, 0))
) / $B$13)</f>
        <v>0</v>
      </c>
      <c r="AT19" cm="1">
        <f t="array" aca="1" ref="AT19" ca="1">IF($AP19=AT$14, 1, SUMPRODUCT(
    --(OFFSET($O$13,0,0,1,$B$9)=TRUE),
    --(INDEX(OFFSET($O$15,0,0,$B$8,$B$9), 1+$AP19, 0) = INDEX(OFFSET($O$15,0,0,$B$8,$B$9), 1+AT$14, 0))
) / $B$13)</f>
        <v>0</v>
      </c>
      <c r="AU19" cm="1">
        <f t="array" aca="1" ref="AU19" ca="1">IF($AP19=AU$14, 1, SUMPRODUCT(
    --(OFFSET($O$13,0,0,1,$B$9)=TRUE),
    --(INDEX(OFFSET($O$15,0,0,$B$8,$B$9), 1+$AP19, 0) = INDEX(OFFSET($O$15,0,0,$B$8,$B$9), 1+AU$14, 0))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
) / $B$13)</f>
        <v>0.4</v>
      </c>
      <c r="AW19" cm="1">
        <f t="array" aca="1" ref="AW19" ca="1">IF($AP19=AW$14, 1, SUMPRODUCT(
    --(OFFSET($O$13,0,0,1,$B$9)=TRUE),
    --(INDEX(OFFSET($O$15,0,0,$B$8,$B$9), 1+$AP19, 0) = INDEX(OFFSET($O$15,0,0,$B$8,$B$9), 1+AW$14, 0))
) / $B$13)</f>
        <v>0.4</v>
      </c>
      <c r="AX19" cm="1">
        <f t="array" aca="1" ref="AX19" ca="1">IF($AP19=AX$14, 1, SUMPRODUCT(
    --(OFFSET($O$13,0,0,1,$B$9)=TRUE),
    --(INDEX(OFFSET($O$15,0,0,$B$8,$B$9), 1+$AP19, 0) = INDEX(OFFSET($O$15,0,0,$B$8,$B$9), 1+AX$14, 0))
) / $B$13)</f>
        <v>0.4</v>
      </c>
      <c r="AY19" cm="1">
        <f t="array" aca="1" ref="AY19" ca="1">IF($AP19=AY$14, 1, SUMPRODUCT(
    --(OFFSET($O$13,0,0,1,$B$9)=TRUE),
    --(INDEX(OFFSET($O$15,0,0,$B$8,$B$9), 1+$AP19, 0) = INDEX(OFFSET($O$15,0,0,$B$8,$B$9), 1+AY$14, 0))
) / $B$13)</f>
        <v>0.4</v>
      </c>
      <c r="AZ19" cm="1">
        <f t="array" aca="1" ref="AZ19" ca="1">IF($AP19=AZ$14, 1, SUMPRODUCT(
    --(OFFSET($O$13,0,0,1,$B$9)=TRUE),
    --(INDEX(OFFSET($O$15,0,0,$B$8,$B$9), 1+$AP19, 0) = INDEX(OFFSET($O$15,0,0,$B$8,$B$9), 1+AZ$14, 0))
) / $B$13)</f>
        <v>0.2</v>
      </c>
      <c r="BA19" cm="1">
        <f t="array" aca="1" ref="BA19" ca="1">IF($AP19=BA$14, 1, SUMPRODUCT(
    --(OFFSET($O$13,0,0,1,$B$9)=TRUE),
    --(INDEX(OFFSET($O$15,0,0,$B$8,$B$9), 1+$AP19, 0) = INDEX(OFFSET($O$15,0,0,$B$8,$B$9), 1+BA$14, 0))
) / $B$13)</f>
        <v>0</v>
      </c>
      <c r="BB19" cm="1">
        <f t="array" aca="1" ref="BB19" ca="1">IF($AP19=BB$14, 1, SUMPRODUCT(
    --(OFFSET($O$13,0,0,1,$B$9)=TRUE),
    --(INDEX(OFFSET($O$15,0,0,$B$8,$B$9), 1+$AP19, 0) = INDEX(OFFSET($O$15,0,0,$B$8,$B$9), 1+BB$14, 0))
) / $B$13)</f>
        <v>0</v>
      </c>
      <c r="BC19" cm="1">
        <f t="array" aca="1" ref="BC19" ca="1">IF($AP19=BC$14, 1, SUMPRODUCT(
    --(OFFSET($O$13,0,0,1,$B$9)=TRUE),
    --(INDEX(OFFSET($O$15,0,0,$B$8,$B$9), 1+$AP19, 0) = INDEX(OFFSET($O$15,0,0,$B$8,$B$9), 1+BC$14, 0))
) / $B$13)</f>
        <v>0</v>
      </c>
      <c r="BD19" cm="1">
        <f t="array" aca="1" ref="BD19" ca="1">IF($AP19=BD$14, 1, SUMPRODUCT(
    --(OFFSET($O$13,0,0,1,$B$9)=TRUE),
    --(INDEX(OFFSET($O$15,0,0,$B$8,$B$9), 1+$AP19, 0) = INDEX(OFFSET($O$15,0,0,$B$8,$B$9), 1+BD$14, 0))
) / $B$13)</f>
        <v>0.2</v>
      </c>
      <c r="BE19" cm="1">
        <f t="array" aca="1" ref="BE19" ca="1">IF($AP19=BE$14, 1, SUMPRODUCT(
    --(OFFSET($O$13,0,0,1,$B$9)=TRUE),
    --(INDEX(OFFSET($O$15,0,0,$B$8,$B$9), 1+$AP19, 0) = INDEX(OFFSET($O$15,0,0,$B$8,$B$9), 1+BE$14, 0))
) / $B$13)</f>
        <v>0</v>
      </c>
      <c r="BF19" cm="1">
        <f t="array" aca="1" ref="BF19" ca="1">IF($AP19=BF$14, 1, SUMPRODUCT(
    --(OFFSET($O$13,0,0,1,$B$9)=TRUE),
    --(INDEX(OFFSET($O$15,0,0,$B$8,$B$9), 1+$AP19, 0) = INDEX(OFFSET($O$15,0,0,$B$8,$B$9), 1+BF$14, 0))
) / $B$13)</f>
        <v>0</v>
      </c>
      <c r="BG19" cm="1">
        <f t="array" aca="1" ref="BG19" ca="1">IF($AP19=BG$14, 1, SUMPRODUCT(
    --(OFFSET($O$13,0,0,1,$B$9)=TRUE),
    --(INDEX(OFFSET($O$15,0,0,$B$8,$B$9), 1+$AP19, 0) = INDEX(OFFSET($O$15,0,0,$B$8,$B$9), 1+BG$14, 0))
) / $B$13)</f>
        <v>0</v>
      </c>
      <c r="BH19" cm="1">
        <f t="array" aca="1" ref="BH19" ca="1">IF($AP19=BH$14, 1, SUMPRODUCT(
    --(OFFSET($O$13,0,0,1,$B$9)=TRUE),
    --(INDEX(OFFSET($O$15,0,0,$B$8,$B$9), 1+$AP19, 0) = INDEX(OFFSET($O$15,0,0,$B$8,$B$9), 1+BH$14, 0))
) / $B$13)</f>
        <v>0.2</v>
      </c>
      <c r="BI19" cm="1">
        <f t="array" aca="1" ref="BI19" ca="1">IF($AP19=BI$14, 1, SUMPRODUCT(
    --(OFFSET($O$13,0,0,1,$B$9)=TRUE),
    --(INDEX(OFFSET($O$15,0,0,$B$8,$B$9), 1+$AP19, 0) = INDEX(OFFSET($O$15,0,0,$B$8,$B$9), 1+BI$14, 0))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
) / $B$13)</f>
        <v>0.2</v>
      </c>
      <c r="BN19">
        <f t="shared" ca="1" si="6"/>
        <v>5</v>
      </c>
      <c r="BO19" s="14">
        <f t="shared" ca="1" si="7"/>
        <v>0.2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
) / $B$16)</f>
        <v>0.2</v>
      </c>
      <c r="BR19" cm="1">
        <f t="array" aca="1" ref="BR19" ca="1">IF($BP19=BR$14, 1, SUMPRODUCT(
    --(OFFSET($O$9,0,0,1,$B$9)=TRUE),
    --(INDEX(OFFSET($O$15,0,0,$B$8,$B$9), 1+$BP19, 0) = INDEX(OFFSET($O$15,0,0,$B$8,$B$9), 1+BR$14, 0))
) / $B$16)</f>
        <v>0</v>
      </c>
      <c r="BS19" cm="1">
        <f t="array" aca="1" ref="BS19" ca="1">IF($BP19=BS$14, 1, SUMPRODUCT(
    --(OFFSET($O$9,0,0,1,$B$9)=TRUE),
    --(INDEX(OFFSET($O$15,0,0,$B$8,$B$9), 1+$BP19, 0) = INDEX(OFFSET($O$15,0,0,$B$8,$B$9), 1+BS$14, 0))
) / $B$16)</f>
        <v>0</v>
      </c>
      <c r="BT19" cm="1">
        <f t="array" aca="1" ref="BT19" ca="1">IF($BP19=BT$14, 1, SUMPRODUCT(
    --(OFFSET($O$9,0,0,1,$B$9)=TRUE),
    --(INDEX(OFFSET($O$15,0,0,$B$8,$B$9), 1+$BP19, 0) = INDEX(OFFSET($O$15,0,0,$B$8,$B$9), 1+BT$14, 0))
) / $B$16)</f>
        <v>0</v>
      </c>
      <c r="BU19" cm="1">
        <f t="array" aca="1" ref="BU19" ca="1">IF($BP19=BU$14, 1, SUMPRODUCT(
    --(OFFSET($O$9,0,0,1,$B$9)=TRUE),
    --(INDEX(OFFSET($O$15,0,0,$B$8,$B$9), 1+$BP19, 0) = INDEX(OFFSET($O$15,0,0,$B$8,$B$9), 1+BU$14, 0))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
) / $B$16)</f>
        <v>0.4</v>
      </c>
      <c r="BW19" cm="1">
        <f t="array" aca="1" ref="BW19" ca="1">IF($BP19=BW$14, 1, SUMPRODUCT(
    --(OFFSET($O$9,0,0,1,$B$9)=TRUE),
    --(INDEX(OFFSET($O$15,0,0,$B$8,$B$9), 1+$BP19, 0) = INDEX(OFFSET($O$15,0,0,$B$8,$B$9), 1+BW$14, 0))
) / $B$16)</f>
        <v>0.4</v>
      </c>
      <c r="BX19" cm="1">
        <f t="array" aca="1" ref="BX19" ca="1">IF($BP19=BX$14, 1, SUMPRODUCT(
    --(OFFSET($O$9,0,0,1,$B$9)=TRUE),
    --(INDEX(OFFSET($O$15,0,0,$B$8,$B$9), 1+$BP19, 0) = INDEX(OFFSET($O$15,0,0,$B$8,$B$9), 1+BX$14, 0))
) / $B$16)</f>
        <v>0.4</v>
      </c>
      <c r="BY19" cm="1">
        <f t="array" aca="1" ref="BY19" ca="1">IF($BP19=BY$14, 1, SUMPRODUCT(
    --(OFFSET($O$9,0,0,1,$B$9)=TRUE),
    --(INDEX(OFFSET($O$15,0,0,$B$8,$B$9), 1+$BP19, 0) = INDEX(OFFSET($O$15,0,0,$B$8,$B$9), 1+BY$14, 0))
) / $B$16)</f>
        <v>0.4</v>
      </c>
      <c r="BZ19" cm="1">
        <f t="array" aca="1" ref="BZ19" ca="1">IF($BP19=BZ$14, 1, SUMPRODUCT(
    --(OFFSET($O$9,0,0,1,$B$9)=TRUE),
    --(INDEX(OFFSET($O$15,0,0,$B$8,$B$9), 1+$BP19, 0) = INDEX(OFFSET($O$15,0,0,$B$8,$B$9), 1+BZ$14, 0))
) / $B$16)</f>
        <v>0.2</v>
      </c>
      <c r="CA19" cm="1">
        <f t="array" aca="1" ref="CA19" ca="1">IF($BP19=CA$14, 1, SUMPRODUCT(
    --(OFFSET($O$9,0,0,1,$B$9)=TRUE),
    --(INDEX(OFFSET($O$15,0,0,$B$8,$B$9), 1+$BP19, 0) = INDEX(OFFSET($O$15,0,0,$B$8,$B$9), 1+CA$14, 0))
) / $B$16)</f>
        <v>0</v>
      </c>
      <c r="CB19" cm="1">
        <f t="array" aca="1" ref="CB19" ca="1">IF($BP19=CB$14, 1, SUMPRODUCT(
    --(OFFSET($O$9,0,0,1,$B$9)=TRUE),
    --(INDEX(OFFSET($O$15,0,0,$B$8,$B$9), 1+$BP19, 0) = INDEX(OFFSET($O$15,0,0,$B$8,$B$9), 1+CB$14, 0))
) / $B$16)</f>
        <v>0</v>
      </c>
      <c r="CC19" cm="1">
        <f t="array" aca="1" ref="CC19" ca="1">IF($BP19=CC$14, 1, SUMPRODUCT(
    --(OFFSET($O$9,0,0,1,$B$9)=TRUE),
    --(INDEX(OFFSET($O$15,0,0,$B$8,$B$9), 1+$BP19, 0) = INDEX(OFFSET($O$15,0,0,$B$8,$B$9), 1+CC$14, 0))
) / $B$16)</f>
        <v>0</v>
      </c>
      <c r="CD19" cm="1">
        <f t="array" aca="1" ref="CD19" ca="1">IF($BP19=CD$14, 1, SUMPRODUCT(
    --(OFFSET($O$9,0,0,1,$B$9)=TRUE),
    --(INDEX(OFFSET($O$15,0,0,$B$8,$B$9), 1+$BP19, 0) = INDEX(OFFSET($O$15,0,0,$B$8,$B$9), 1+CD$14, 0))
) / $B$16)</f>
        <v>0.2</v>
      </c>
      <c r="CE19" cm="1">
        <f t="array" aca="1" ref="CE19" ca="1">IF($BP19=CE$14, 1, SUMPRODUCT(
    --(OFFSET($O$9,0,0,1,$B$9)=TRUE),
    --(INDEX(OFFSET($O$15,0,0,$B$8,$B$9), 1+$BP19, 0) = INDEX(OFFSET($O$15,0,0,$B$8,$B$9), 1+CE$14, 0))
) / $B$16)</f>
        <v>0</v>
      </c>
      <c r="CF19" cm="1">
        <f t="array" aca="1" ref="CF19" ca="1">IF($BP19=CF$14, 1, SUMPRODUCT(
    --(OFFSET($O$9,0,0,1,$B$9)=TRUE),
    --(INDEX(OFFSET($O$15,0,0,$B$8,$B$9), 1+$BP19, 0) = INDEX(OFFSET($O$15,0,0,$B$8,$B$9), 1+CF$14, 0))
) / $B$16)</f>
        <v>0</v>
      </c>
      <c r="CG19" cm="1">
        <f t="array" aca="1" ref="CG19" ca="1">IF($BP19=CG$14, 1, SUMPRODUCT(
    --(OFFSET($O$9,0,0,1,$B$9)=TRUE),
    --(INDEX(OFFSET($O$15,0,0,$B$8,$B$9), 1+$BP19, 0) = INDEX(OFFSET($O$15,0,0,$B$8,$B$9), 1+CG$14, 0))
) / $B$16)</f>
        <v>0</v>
      </c>
      <c r="CH19" cm="1">
        <f t="array" aca="1" ref="CH19" ca="1">IF($BP19=CH$14, 1, SUMPRODUCT(
    --(OFFSET($O$9,0,0,1,$B$9)=TRUE),
    --(INDEX(OFFSET($O$15,0,0,$B$8,$B$9), 1+$BP19, 0) = INDEX(OFFSET($O$15,0,0,$B$8,$B$9), 1+CH$14, 0))
) / $B$16)</f>
        <v>0.2</v>
      </c>
      <c r="CI19" cm="1">
        <f t="array" aca="1" ref="CI19" ca="1">IF($BP19=CI$14, 1, SUMPRODUCT(
    --(OFFSET($O$9,0,0,1,$B$9)=TRUE),
    --(INDEX(OFFSET($O$15,0,0,$B$8,$B$9), 1+$BP19, 0) = INDEX(OFFSET($O$15,0,0,$B$8,$B$9), 1+CI$14, 0))
) / $B$16)</f>
        <v>0.2</v>
      </c>
      <c r="CJ19" cm="1">
        <f t="array" aca="1" ref="CJ19" ca="1">IF($BP19=CJ$14, 1, SUMPRODUCT(
    --(OFFSET($O$9,0,0,1,$B$9)=TRUE),
    --(INDEX(OFFSET($O$15,0,0,$B$8,$B$9), 1+$BP19, 0) = INDEX(OFFSET($O$15,0,0,$B$8,$B$9), 1+CJ$14, 0))
) / $B$16)</f>
        <v>0.2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0.18429395218815162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6.0000000000000001E-3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0.13600600680386055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0.53769403420412731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0.13600600680386055</v>
      </c>
      <c r="CX19" s="10" cm="1">
        <f t="array" aca="1" ref="CX19" ca="1">SUM(OFFSET($CR19,0,0,1,$M$2)*LN(OFFSET($CR19,0,0,1,$M$2)/OFFSET($CR$11,0,0,1,$M$2)))+IF($CQ$11&gt;0,OFFSET($O$10,0,$CP19,1,1)*LN(OFFSET($O$10,0,$CP19,1,1)/$CQ$11),0)</f>
        <v>0.4447315177186022</v>
      </c>
      <c r="CY19">
        <f ca="1"/>
        <v>4</v>
      </c>
      <c r="CZ19" s="10">
        <f t="shared" ca="1" si="10"/>
        <v>0.2575958074336554</v>
      </c>
      <c r="DA19" s="10">
        <f t="shared" ca="1" si="8"/>
        <v>3.9453494650304885E-2</v>
      </c>
      <c r="DB19" s="10">
        <f t="shared" ca="1" si="8"/>
        <v>0.1880965436949659</v>
      </c>
      <c r="DC19" s="10">
        <f t="shared" ca="1" si="8"/>
        <v>3.9453494650304885E-2</v>
      </c>
      <c r="DF19" cm="1">
        <f t="array" aca="1" ref="DF19" ca="1">INDEX(_xlfn.ANCHORARRAY($CP$15), 1 + INT((ROWS($DG$15:$DG19) - 1) / ROWS(_xlfn.ANCHORARRAY($CP$15))))</f>
        <v>0</v>
      </c>
      <c r="DG19" cm="1">
        <f t="array" aca="1" ref="DG19" ca="1">INDEX(_xlfn.ANCHORARRAY($CP$15),1+MOD(ROWS($DG$15:$DG19)-1,ROWS(_xlfn.ANCHORARRAY($CP$15))))</f>
        <v>4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$B$18/($B$19*$B$19*($DF19&lt;&gt;$DG19) + $B$19*($DF19=$DG19))</f>
        <v>1.1999999999999999E-3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$B$18/($B$19*$B$19*($DF19&lt;&gt;$DG19) + $B$19*($DF19=$DG19))</f>
        <v>0.13120600680386055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$B$18/($B$19*$B$19*($DF19&lt;&gt;$DG19) + $B$19*($DF19=$DG19))</f>
        <v>0.18129655648417151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$B$18/($B$19*$B$19*($DF19&lt;&gt;$DG19) + $B$19*($DF19=$DG19))</f>
        <v>1.1999999999999999E-3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$B$18/($B$19*$B$19*($DF19&lt;&gt;$DG19) + $B$19*($DF19=$DG19))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$B$18/($B$19*$B$19*($DF19&lt;&gt;$DG19) + $B$19*($DF19=$DG19))</f>
        <v>1.1999999999999999E-3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$B$18/($B$19*$B$19*($DF19&lt;&gt;$DG19) + $B$19*($DF19=$DG19))</f>
        <v>0.10360249051329294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$B$18/($B$19*$B$19*($DF19&lt;&gt;$DG19) + $B$19*($DF19=$DG19))</f>
        <v>1.1999999999999999E-3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$B$18/($B$19*$B$19*($DF19&lt;&gt;$DG19) + $B$19*($DF19=$DG19))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$B$18/($B$19*$B$19*($DF19&lt;&gt;$DG19) + $B$19*($DF19=$DG19))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$B$18/($B$19*$B$19*($DF19&lt;&gt;$DG19) + $B$19*($DF19=$DG19))</f>
        <v>0.14551619180186789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$B$18/($B$19*$B$19*($DF19&lt;&gt;$DG19) + $B$19*($DF19=$DG19))</f>
        <v>1.1999999999999999E-3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$B$18/($B$19*$B$19*($DF19&lt;&gt;$DG19) + $B$19*($DF19=$DG19))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$B$18/($B$19*$B$19*($DF19&lt;&gt;$DG19) + $B$19*($DF19=$DG19))</f>
        <v>1.1999999999999999E-3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$B$18/($B$19*$B$19*($DF19&lt;&gt;$DG19) + $B$19*($DF19=$DG19))</f>
        <v>0.10607879540479505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$B$18/($B$19*$B$19*($DF19&lt;&gt;$DG19) + $B$19*($DF19=$DG19))</f>
        <v>6.6203003401930277E-2</v>
      </c>
    </row>
    <row r="20" spans="1:127" x14ac:dyDescent="0.2">
      <c r="D20" s="10">
        <f ca="1"/>
        <v>5</v>
      </c>
      <c r="F20" s="10">
        <f ca="1"/>
        <v>7.1428571428571425E-2</v>
      </c>
      <c r="H20" s="10"/>
      <c r="J20" cm="1">
        <f t="array" aca="1" ref="J20" ca="1">SUMPRODUCT((O20:AJ20=$O$11:$AJ$11)*(O$13:AJ$13=TRUE))  / COUNTIF(O$13:AJ$13,TRUE)</f>
        <v>0.4</v>
      </c>
      <c r="K20" t="b">
        <f t="shared" ca="1" si="9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3"/>
        <v>1</v>
      </c>
      <c r="N20" s="2">
        <v>5</v>
      </c>
      <c r="O20" s="12" t="s">
        <v>4</v>
      </c>
      <c r="P20" s="9" t="s">
        <v>3</v>
      </c>
      <c r="Q20" s="9" t="s">
        <v>3</v>
      </c>
      <c r="R20" s="9" t="s">
        <v>3</v>
      </c>
      <c r="S20" s="9" t="s">
        <v>3</v>
      </c>
      <c r="AK20" s="7"/>
      <c r="AN20">
        <f t="shared" ca="1" si="4"/>
        <v>14</v>
      </c>
      <c r="AO20" s="14">
        <f t="shared" ca="1" si="5"/>
        <v>7.1428571428571425E-2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
) / $B$13)</f>
        <v>0.4</v>
      </c>
      <c r="AR20" cm="1">
        <f t="array" aca="1" ref="AR20" ca="1">IF($AP20=AR$14, 1, SUMPRODUCT(
    --(OFFSET($O$13,0,0,1,$B$9)=TRUE),
    --(INDEX(OFFSET($O$15,0,0,$B$8,$B$9), 1+$AP20, 0) = INDEX(OFFSET($O$15,0,0,$B$8,$B$9), 1+AR$14, 0))
) / $B$13)</f>
        <v>0.6</v>
      </c>
      <c r="AS20" cm="1">
        <f t="array" aca="1" ref="AS20" ca="1">IF($AP20=AS$14, 1, SUMPRODUCT(
    --(OFFSET($O$13,0,0,1,$B$9)=TRUE),
    --(INDEX(OFFSET($O$15,0,0,$B$8,$B$9), 1+$AP20, 0) = INDEX(OFFSET($O$15,0,0,$B$8,$B$9), 1+AS$14, 0))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
) / $B$13)</f>
        <v>0.4</v>
      </c>
      <c r="AU20" cm="1">
        <f t="array" aca="1" ref="AU20" ca="1">IF($AP20=AU$14, 1, SUMPRODUCT(
    --(OFFSET($O$13,0,0,1,$B$9)=TRUE),
    --(INDEX(OFFSET($O$15,0,0,$B$8,$B$9), 1+$AP20, 0) = INDEX(OFFSET($O$15,0,0,$B$8,$B$9), 1+AU$14, 0))
) / $B$13)</f>
        <v>0.4</v>
      </c>
      <c r="AV20" cm="1">
        <f t="array" aca="1" ref="AV20" ca="1">IF($AP20=AV$14, 1, SUMPRODUCT(
    --(OFFSET($O$13,0,0,1,$B$9)=TRUE),
    --(INDEX(OFFSET($O$15,0,0,$B$8,$B$9), 1+$AP20, 0) = INDEX(OFFSET($O$15,0,0,$B$8,$B$9), 1+AV$14, 0))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
) / $B$13)</f>
        <v>0.8</v>
      </c>
      <c r="AX20" cm="1">
        <f t="array" aca="1" ref="AX20" ca="1">IF($AP20=AX$14, 1, SUMPRODUCT(
    --(OFFSET($O$13,0,0,1,$B$9)=TRUE),
    --(INDEX(OFFSET($O$15,0,0,$B$8,$B$9), 1+$AP20, 0) = INDEX(OFFSET($O$15,0,0,$B$8,$B$9), 1+AX$14, 0))
) / $B$13)</f>
        <v>0.8</v>
      </c>
      <c r="AY20" cm="1">
        <f t="array" aca="1" ref="AY20" ca="1">IF($AP20=AY$14, 1, SUMPRODUCT(
    --(OFFSET($O$13,0,0,1,$B$9)=TRUE),
    --(INDEX(OFFSET($O$15,0,0,$B$8,$B$9), 1+$AP20, 0) = INDEX(OFFSET($O$15,0,0,$B$8,$B$9), 1+AY$14, 0))
) / $B$13)</f>
        <v>0.2</v>
      </c>
      <c r="AZ20" cm="1">
        <f t="array" aca="1" ref="AZ20" ca="1">IF($AP20=AZ$14, 1, SUMPRODUCT(
    --(OFFSET($O$13,0,0,1,$B$9)=TRUE),
    --(INDEX(OFFSET($O$15,0,0,$B$8,$B$9), 1+$AP20, 0) = INDEX(OFFSET($O$15,0,0,$B$8,$B$9), 1+AZ$14, 0))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
) / $B$13)</f>
        <v>0.4</v>
      </c>
      <c r="BB20" cm="1">
        <f t="array" aca="1" ref="BB20" ca="1">IF($AP20=BB$14, 1, SUMPRODUCT(
    --(OFFSET($O$13,0,0,1,$B$9)=TRUE),
    --(INDEX(OFFSET($O$15,0,0,$B$8,$B$9), 1+$AP20, 0) = INDEX(OFFSET($O$15,0,0,$B$8,$B$9), 1+BB$14, 0))
) / $B$13)</f>
        <v>0.6</v>
      </c>
      <c r="BC20" cm="1">
        <f t="array" aca="1" ref="BC20" ca="1">IF($AP20=BC$14, 1, SUMPRODUCT(
    --(OFFSET($O$13,0,0,1,$B$9)=TRUE),
    --(INDEX(OFFSET($O$15,0,0,$B$8,$B$9), 1+$AP20, 0) = INDEX(OFFSET($O$15,0,0,$B$8,$B$9), 1+BC$14, 0))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
) / $B$13)</f>
        <v>0.2</v>
      </c>
      <c r="BE20" cm="1">
        <f t="array" aca="1" ref="BE20" ca="1">IF($AP20=BE$14, 1, SUMPRODUCT(
    --(OFFSET($O$13,0,0,1,$B$9)=TRUE),
    --(INDEX(OFFSET($O$15,0,0,$B$8,$B$9), 1+$AP20, 0) = INDEX(OFFSET($O$15,0,0,$B$8,$B$9), 1+BE$14, 0))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
) / $B$13)</f>
        <v>0.4</v>
      </c>
      <c r="BG20" cm="1">
        <f t="array" aca="1" ref="BG20" ca="1">IF($AP20=BG$14, 1, SUMPRODUCT(
    --(OFFSET($O$13,0,0,1,$B$9)=TRUE),
    --(INDEX(OFFSET($O$15,0,0,$B$8,$B$9), 1+$AP20, 0) = INDEX(OFFSET($O$15,0,0,$B$8,$B$9), 1+BG$14, 0))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
) / $B$13)</f>
        <v>0</v>
      </c>
      <c r="BI20" cm="1">
        <f t="array" aca="1" ref="BI20" ca="1">IF($AP20=BI$14, 1, SUMPRODUCT(
    --(OFFSET($O$13,0,0,1,$B$9)=TRUE),
    --(INDEX(OFFSET($O$15,0,0,$B$8,$B$9), 1+$AP20, 0) = INDEX(OFFSET($O$15,0,0,$B$8,$B$9), 1+BI$14, 0))
) / $B$13)</f>
        <v>0</v>
      </c>
      <c r="BJ20" cm="1">
        <f t="array" aca="1" ref="BJ20" ca="1">IF($AP20=BJ$14, 1, SUMPRODUCT(
    --(OFFSET($O$13,0,0,1,$B$9)=TRUE),
    --(INDEX(OFFSET($O$15,0,0,$B$8,$B$9), 1+$AP20, 0) = INDEX(OFFSET($O$15,0,0,$B$8,$B$9), 1+BJ$14, 0))
) / $B$13)</f>
        <v>0.2</v>
      </c>
      <c r="BN20">
        <f t="shared" ca="1" si="6"/>
        <v>14</v>
      </c>
      <c r="BO20" s="14">
        <f t="shared" ca="1" si="7"/>
        <v>7.1428571428571425E-2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
) / $B$16)</f>
        <v>0.4</v>
      </c>
      <c r="BR20" cm="1">
        <f t="array" aca="1" ref="BR20" ca="1">IF($BP20=BR$14, 1, SUMPRODUCT(
    --(OFFSET($O$9,0,0,1,$B$9)=TRUE),
    --(INDEX(OFFSET($O$15,0,0,$B$8,$B$9), 1+$BP20, 0) = INDEX(OFFSET($O$15,0,0,$B$8,$B$9), 1+BR$14, 0))
) / $B$16)</f>
        <v>0.6</v>
      </c>
      <c r="BS20" cm="1">
        <f t="array" aca="1" ref="BS20" ca="1">IF($BP20=BS$14, 1, SUMPRODUCT(
    --(OFFSET($O$9,0,0,1,$B$9)=TRUE),
    --(INDEX(OFFSET($O$15,0,0,$B$8,$B$9), 1+$BP20, 0) = INDEX(OFFSET($O$15,0,0,$B$8,$B$9), 1+BS$14, 0))
) / $B$16)</f>
        <v>0.4</v>
      </c>
      <c r="BT20" cm="1">
        <f t="array" aca="1" ref="BT20" ca="1">IF($BP20=BT$14, 1, SUMPRODUCT(
    --(OFFSET($O$9,0,0,1,$B$9)=TRUE),
    --(INDEX(OFFSET($O$15,0,0,$B$8,$B$9), 1+$BP20, 0) = INDEX(OFFSET($O$15,0,0,$B$8,$B$9), 1+BT$14, 0))
) / $B$16)</f>
        <v>0.4</v>
      </c>
      <c r="BU20" cm="1">
        <f t="array" aca="1" ref="BU20" ca="1">IF($BP20=BU$14, 1, SUMPRODUCT(
    --(OFFSET($O$9,0,0,1,$B$9)=TRUE),
    --(INDEX(OFFSET($O$15,0,0,$B$8,$B$9), 1+$BP20, 0) = INDEX(OFFSET($O$15,0,0,$B$8,$B$9), 1+BU$14, 0))
) / $B$16)</f>
        <v>0.4</v>
      </c>
      <c r="BV20" cm="1">
        <f t="array" aca="1" ref="BV20" ca="1">IF($BP20=BV$14, 1, SUMPRODUCT(
    --(OFFSET($O$9,0,0,1,$B$9)=TRUE),
    --(INDEX(OFFSET($O$15,0,0,$B$8,$B$9), 1+$BP20, 0) = INDEX(OFFSET($O$15,0,0,$B$8,$B$9), 1+BV$14, 0))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
) / $B$16)</f>
        <v>0.8</v>
      </c>
      <c r="BX20" cm="1">
        <f t="array" aca="1" ref="BX20" ca="1">IF($BP20=BX$14, 1, SUMPRODUCT(
    --(OFFSET($O$9,0,0,1,$B$9)=TRUE),
    --(INDEX(OFFSET($O$15,0,0,$B$8,$B$9), 1+$BP20, 0) = INDEX(OFFSET($O$15,0,0,$B$8,$B$9), 1+BX$14, 0))
) / $B$16)</f>
        <v>0.8</v>
      </c>
      <c r="BY20" cm="1">
        <f t="array" aca="1" ref="BY20" ca="1">IF($BP20=BY$14, 1, SUMPRODUCT(
    --(OFFSET($O$9,0,0,1,$B$9)=TRUE),
    --(INDEX(OFFSET($O$15,0,0,$B$8,$B$9), 1+$BP20, 0) = INDEX(OFFSET($O$15,0,0,$B$8,$B$9), 1+BY$14, 0))
) / $B$16)</f>
        <v>0.2</v>
      </c>
      <c r="BZ20" cm="1">
        <f t="array" aca="1" ref="BZ20" ca="1">IF($BP20=BZ$14, 1, SUMPRODUCT(
    --(OFFSET($O$9,0,0,1,$B$9)=TRUE),
    --(INDEX(OFFSET($O$15,0,0,$B$8,$B$9), 1+$BP20, 0) = INDEX(OFFSET($O$15,0,0,$B$8,$B$9), 1+BZ$14, 0))
) / $B$16)</f>
        <v>0.4</v>
      </c>
      <c r="CA20" cm="1">
        <f t="array" aca="1" ref="CA20" ca="1">IF($BP20=CA$14, 1, SUMPRODUCT(
    --(OFFSET($O$9,0,0,1,$B$9)=TRUE),
    --(INDEX(OFFSET($O$15,0,0,$B$8,$B$9), 1+$BP20, 0) = INDEX(OFFSET($O$15,0,0,$B$8,$B$9), 1+CA$14, 0))
) / $B$16)</f>
        <v>0.4</v>
      </c>
      <c r="CB20" cm="1">
        <f t="array" aca="1" ref="CB20" ca="1">IF($BP20=CB$14, 1, SUMPRODUCT(
    --(OFFSET($O$9,0,0,1,$B$9)=TRUE),
    --(INDEX(OFFSET($O$15,0,0,$B$8,$B$9), 1+$BP20, 0) = INDEX(OFFSET($O$15,0,0,$B$8,$B$9), 1+CB$14, 0))
) / $B$16)</f>
        <v>0.6</v>
      </c>
      <c r="CC20" cm="1">
        <f t="array" aca="1" ref="CC20" ca="1">IF($BP20=CC$14, 1, SUMPRODUCT(
    --(OFFSET($O$9,0,0,1,$B$9)=TRUE),
    --(INDEX(OFFSET($O$15,0,0,$B$8,$B$9), 1+$BP20, 0) = INDEX(OFFSET($O$15,0,0,$B$8,$B$9), 1+CC$14, 0))
) / $B$16)</f>
        <v>0.4</v>
      </c>
      <c r="CD20" cm="1">
        <f t="array" aca="1" ref="CD20" ca="1">IF($BP20=CD$14, 1, SUMPRODUCT(
    --(OFFSET($O$9,0,0,1,$B$9)=TRUE),
    --(INDEX(OFFSET($O$15,0,0,$B$8,$B$9), 1+$BP20, 0) = INDEX(OFFSET($O$15,0,0,$B$8,$B$9), 1+CD$14, 0))
) / $B$16)</f>
        <v>0.2</v>
      </c>
      <c r="CE20" cm="1">
        <f t="array" aca="1" ref="CE20" ca="1">IF($BP20=CE$14, 1, SUMPRODUCT(
    --(OFFSET($O$9,0,0,1,$B$9)=TRUE),
    --(INDEX(OFFSET($O$15,0,0,$B$8,$B$9), 1+$BP20, 0) = INDEX(OFFSET($O$15,0,0,$B$8,$B$9), 1+CE$14, 0))
) / $B$16)</f>
        <v>0.4</v>
      </c>
      <c r="CF20" cm="1">
        <f t="array" aca="1" ref="CF20" ca="1">IF($BP20=CF$14, 1, SUMPRODUCT(
    --(OFFSET($O$9,0,0,1,$B$9)=TRUE),
    --(INDEX(OFFSET($O$15,0,0,$B$8,$B$9), 1+$BP20, 0) = INDEX(OFFSET($O$15,0,0,$B$8,$B$9), 1+CF$14, 0))
) / $B$16)</f>
        <v>0.4</v>
      </c>
      <c r="CG20" cm="1">
        <f t="array" aca="1" ref="CG20" ca="1">IF($BP20=CG$14, 1, SUMPRODUCT(
    --(OFFSET($O$9,0,0,1,$B$9)=TRUE),
    --(INDEX(OFFSET($O$15,0,0,$B$8,$B$9), 1+$BP20, 0) = INDEX(OFFSET($O$15,0,0,$B$8,$B$9), 1+CG$14, 0))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
) / $B$16)</f>
        <v>0</v>
      </c>
      <c r="CI20" cm="1">
        <f t="array" aca="1" ref="CI20" ca="1">IF($BP20=CI$14, 1, SUMPRODUCT(
    --(OFFSET($O$9,0,0,1,$B$9)=TRUE),
    --(INDEX(OFFSET($O$15,0,0,$B$8,$B$9), 1+$BP20, 0) = INDEX(OFFSET($O$15,0,0,$B$8,$B$9), 1+CI$14, 0))
) / $B$16)</f>
        <v>0</v>
      </c>
      <c r="CJ20" cm="1">
        <f t="array" aca="1" ref="CJ20" ca="1">IF($BP20=CJ$14, 1, SUMPRODUCT(
    --(OFFSET($O$9,0,0,1,$B$9)=TRUE),
    --(INDEX(OFFSET($O$15,0,0,$B$8,$B$9), 1+$BP20, 0) = INDEX(OFFSET($O$15,0,0,$B$8,$B$9), 1+CJ$14, 0))
) / $B$16)</f>
        <v>0.2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0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$B$18/($B$19*$B$19*($DF20&lt;&gt;$DG20) + $B$19*($DF20=$DG20))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$B$18/($B$19*$B$19*($DF20&lt;&gt;$DG20) + $B$19*($DF20=$DG20))</f>
        <v>1.1999999999999999E-3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$B$18/($B$19*$B$19*($DF20&lt;&gt;$DG20) + $B$19*($DF20=$DG20))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$B$18/($B$19*$B$19*($DF20&lt;&gt;$DG20) + $B$19*($DF20=$DG20))</f>
        <v>1.1999999999999999E-3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$B$18/($B$19*$B$19*($DF20&lt;&gt;$DG20) + $B$19*($DF20=$DG20))</f>
        <v>9.8704505102895412E-2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$B$18/($B$19*$B$19*($DF20&lt;&gt;$DG20) + $B$19*($DF20=$DG20))</f>
        <v>3.5868268481029475E-2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$B$18/($B$19*$B$19*($DF20&lt;&gt;$DG20) + $B$19*($DF20=$DG20))</f>
        <v>7.3012841853561078E-2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$B$18/($B$19*$B$19*($DF20&lt;&gt;$DG20) + $B$19*($DF20=$DG20))</f>
        <v>6.6203003401930277E-2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$B$18/($B$19*$B$19*($DF20&lt;&gt;$DG20) + $B$19*($DF20=$DG20))</f>
        <v>0.10520480544308844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$B$18/($B$19*$B$19*($DF20&lt;&gt;$DG20) + $B$19*($DF20=$DG20))</f>
        <v>3.8344573372531582E-2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$B$18/($B$19*$B$19*($DF20&lt;&gt;$DG20) + $B$19*($DF20=$DG20))</f>
        <v>4.1201848247341702E-2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$B$18/($B$19*$B$19*($DF20&lt;&gt;$DG20) + $B$19*($DF20=$DG20))</f>
        <v>3.8344573372531582E-2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$B$18/($B$19*$B$19*($DF20&lt;&gt;$DG20) + $B$19*($DF20=$DG20))</f>
        <v>0.21379805818513664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$B$18/($B$19*$B$19*($DF20&lt;&gt;$DG20) + $B$19*($DF20=$DG20))</f>
        <v>3.1789648659731891E-2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$B$18/($B$19*$B$19*($DF20&lt;&gt;$DG20) + $B$19*($DF20=$DG20))</f>
        <v>3.3701501700965135E-2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$B$18/($B$19*$B$19*($DF20&lt;&gt;$DG20) + $B$19*($DF20=$DG20))</f>
        <v>3.1789648659731891E-2</v>
      </c>
    </row>
    <row r="21" spans="1:127" x14ac:dyDescent="0.2">
      <c r="D21" s="10">
        <f ca="1"/>
        <v>6</v>
      </c>
      <c r="F21" s="10">
        <f ca="1"/>
        <v>7.1428571428571425E-2</v>
      </c>
      <c r="H21" s="10"/>
      <c r="J21" cm="1">
        <f t="array" aca="1" ref="J21" ca="1">SUMPRODUCT((O21:AJ21=$O$11:$AJ$11)*(O$13:AJ$13=TRUE))  / COUNTIF(O$13:AJ$13,TRUE)</f>
        <v>0.4</v>
      </c>
      <c r="K21" t="b">
        <f t="shared" ca="1" si="9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3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3</v>
      </c>
      <c r="S21" s="9" t="s">
        <v>3</v>
      </c>
      <c r="AK21" s="7"/>
      <c r="AN21">
        <f t="shared" ca="1" si="4"/>
        <v>14</v>
      </c>
      <c r="AO21" s="14">
        <f t="shared" ca="1" si="5"/>
        <v>7.1428571428571425E-2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
) / $B$13)</f>
        <v>0.4</v>
      </c>
      <c r="AR21" cm="1">
        <f t="array" aca="1" ref="AR21" ca="1">IF($AP21=AR$14, 1, SUMPRODUCT(
    --(OFFSET($O$13,0,0,1,$B$9)=TRUE),
    --(INDEX(OFFSET($O$15,0,0,$B$8,$B$9), 1+$AP21, 0) = INDEX(OFFSET($O$15,0,0,$B$8,$B$9), 1+AR$14, 0))
) / $B$13)</f>
        <v>0.4</v>
      </c>
      <c r="AS21" cm="1">
        <f t="array" aca="1" ref="AS21" ca="1">IF($AP21=AS$14, 1, SUMPRODUCT(
    --(OFFSET($O$13,0,0,1,$B$9)=TRUE),
    --(INDEX(OFFSET($O$15,0,0,$B$8,$B$9), 1+$AP21, 0) = INDEX(OFFSET($O$15,0,0,$B$8,$B$9), 1+AS$14, 0))
) / $B$13)</f>
        <v>0.6</v>
      </c>
      <c r="AT21" cm="1">
        <f t="array" aca="1" ref="AT21" ca="1">IF($AP21=AT$14, 1, SUMPRODUCT(
    --(OFFSET($O$13,0,0,1,$B$9)=TRUE),
    --(INDEX(OFFSET($O$15,0,0,$B$8,$B$9), 1+$AP21, 0) = INDEX(OFFSET($O$15,0,0,$B$8,$B$9), 1+AT$14, 0))
) / $B$13)</f>
        <v>0.4</v>
      </c>
      <c r="AU21" cm="1">
        <f t="array" aca="1" ref="AU21" ca="1">IF($AP21=AU$14, 1, SUMPRODUCT(
    --(OFFSET($O$13,0,0,1,$B$9)=TRUE),
    --(INDEX(OFFSET($O$15,0,0,$B$8,$B$9), 1+$AP21, 0) = INDEX(OFFSET($O$15,0,0,$B$8,$B$9), 1+AU$14, 0))
) / $B$13)</f>
        <v>0.4</v>
      </c>
      <c r="AV21" cm="1">
        <f t="array" aca="1" ref="AV21" ca="1">IF($AP21=AV$14, 1, SUMPRODUCT(
    --(OFFSET($O$13,0,0,1,$B$9)=TRUE),
    --(INDEX(OFFSET($O$15,0,0,$B$8,$B$9), 1+$AP21, 0) = INDEX(OFFSET($O$15,0,0,$B$8,$B$9), 1+AV$14, 0))
) / $B$13)</f>
        <v>0.8</v>
      </c>
      <c r="AW21" cm="1">
        <f t="array" aca="1" ref="AW21" ca="1">IF($AP21=AW$14, 1, SUMPRODUCT(
    --(OFFSET($O$13,0,0,1,$B$9)=TRUE),
    --(INDEX(OFFSET($O$15,0,0,$B$8,$B$9), 1+$AP21, 0) = INDEX(OFFSET($O$15,0,0,$B$8,$B$9), 1+AW$14, 0))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
) / $B$13)</f>
        <v>0.8</v>
      </c>
      <c r="AY21" cm="1">
        <f t="array" aca="1" ref="AY21" ca="1">IF($AP21=AY$14, 1, SUMPRODUCT(
    --(OFFSET($O$13,0,0,1,$B$9)=TRUE),
    --(INDEX(OFFSET($O$15,0,0,$B$8,$B$9), 1+$AP21, 0) = INDEX(OFFSET($O$15,0,0,$B$8,$B$9), 1+AY$14, 0))
) / $B$13)</f>
        <v>0.2</v>
      </c>
      <c r="AZ21" cm="1">
        <f t="array" aca="1" ref="AZ21" ca="1">IF($AP21=AZ$14, 1, SUMPRODUCT(
    --(OFFSET($O$13,0,0,1,$B$9)=TRUE),
    --(INDEX(OFFSET($O$15,0,0,$B$8,$B$9), 1+$AP21, 0) = INDEX(OFFSET($O$15,0,0,$B$8,$B$9), 1+AZ$14, 0))
) / $B$13)</f>
        <v>0.4</v>
      </c>
      <c r="BA21" cm="1">
        <f t="array" aca="1" ref="BA21" ca="1">IF($AP21=BA$14, 1, SUMPRODUCT(
    --(OFFSET($O$13,0,0,1,$B$9)=TRUE),
    --(INDEX(OFFSET($O$15,0,0,$B$8,$B$9), 1+$AP21, 0) = INDEX(OFFSET($O$15,0,0,$B$8,$B$9), 1+BA$14, 0))
) / $B$13)</f>
        <v>0.2</v>
      </c>
      <c r="BB21" cm="1">
        <f t="array" aca="1" ref="BB21" ca="1">IF($AP21=BB$14, 1, SUMPRODUCT(
    --(OFFSET($O$13,0,0,1,$B$9)=TRUE),
    --(INDEX(OFFSET($O$15,0,0,$B$8,$B$9), 1+$AP21, 0) = INDEX(OFFSET($O$15,0,0,$B$8,$B$9), 1+BB$14, 0))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
) / $B$13)</f>
        <v>0.6</v>
      </c>
      <c r="BD21" cm="1">
        <f t="array" aca="1" ref="BD21" ca="1">IF($AP21=BD$14, 1, SUMPRODUCT(
    --(OFFSET($O$13,0,0,1,$B$9)=TRUE),
    --(INDEX(OFFSET($O$15,0,0,$B$8,$B$9), 1+$AP21, 0) = INDEX(OFFSET($O$15,0,0,$B$8,$B$9), 1+BD$14, 0))
) / $B$13)</f>
        <v>0.4</v>
      </c>
      <c r="BE21" cm="1">
        <f t="array" aca="1" ref="BE21" ca="1">IF($AP21=BE$14, 1, SUMPRODUCT(
    --(OFFSET($O$13,0,0,1,$B$9)=TRUE),
    --(INDEX(OFFSET($O$15,0,0,$B$8,$B$9), 1+$AP21, 0) = INDEX(OFFSET($O$15,0,0,$B$8,$B$9), 1+BE$14, 0))
) / $B$13)</f>
        <v>0.4</v>
      </c>
      <c r="BF21" cm="1">
        <f t="array" aca="1" ref="BF21" ca="1">IF($AP21=BF$14, 1, SUMPRODUCT(
    --(OFFSET($O$13,0,0,1,$B$9)=TRUE),
    --(INDEX(OFFSET($O$15,0,0,$B$8,$B$9), 1+$AP21, 0) = INDEX(OFFSET($O$15,0,0,$B$8,$B$9), 1+BF$14, 0))
) / $B$13)</f>
        <v>0.4</v>
      </c>
      <c r="BG21" cm="1">
        <f t="array" aca="1" ref="BG21" ca="1">IF($AP21=BG$14, 1, SUMPRODUCT(
    --(OFFSET($O$13,0,0,1,$B$9)=TRUE),
    --(INDEX(OFFSET($O$15,0,0,$B$8,$B$9), 1+$AP21, 0) = INDEX(OFFSET($O$15,0,0,$B$8,$B$9), 1+BG$14, 0))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
) / $B$13)</f>
        <v>0</v>
      </c>
      <c r="BI21" cm="1">
        <f t="array" aca="1" ref="BI21" ca="1">IF($AP21=BI$14, 1, SUMPRODUCT(
    --(OFFSET($O$13,0,0,1,$B$9)=TRUE),
    --(INDEX(OFFSET($O$15,0,0,$B$8,$B$9), 1+$AP21, 0) = INDEX(OFFSET($O$15,0,0,$B$8,$B$9), 1+BI$14, 0))
) / $B$13)</f>
        <v>0</v>
      </c>
      <c r="BJ21" cm="1">
        <f t="array" aca="1" ref="BJ21" ca="1">IF($AP21=BJ$14, 1, SUMPRODUCT(
    --(OFFSET($O$13,0,0,1,$B$9)=TRUE),
    --(INDEX(OFFSET($O$15,0,0,$B$8,$B$9), 1+$AP21, 0) = INDEX(OFFSET($O$15,0,0,$B$8,$B$9), 1+BJ$14, 0))
) / $B$13)</f>
        <v>0.2</v>
      </c>
      <c r="BN21">
        <f t="shared" ca="1" si="6"/>
        <v>14</v>
      </c>
      <c r="BO21" s="14">
        <f t="shared" ca="1" si="7"/>
        <v>7.1428571428571425E-2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
) / $B$16)</f>
        <v>0.4</v>
      </c>
      <c r="BR21" cm="1">
        <f t="array" aca="1" ref="BR21" ca="1">IF($BP21=BR$14, 1, SUMPRODUCT(
    --(OFFSET($O$9,0,0,1,$B$9)=TRUE),
    --(INDEX(OFFSET($O$15,0,0,$B$8,$B$9), 1+$BP21, 0) = INDEX(OFFSET($O$15,0,0,$B$8,$B$9), 1+BR$14, 0))
) / $B$16)</f>
        <v>0.4</v>
      </c>
      <c r="BS21" cm="1">
        <f t="array" aca="1" ref="BS21" ca="1">IF($BP21=BS$14, 1, SUMPRODUCT(
    --(OFFSET($O$9,0,0,1,$B$9)=TRUE),
    --(INDEX(OFFSET($O$15,0,0,$B$8,$B$9), 1+$BP21, 0) = INDEX(OFFSET($O$15,0,0,$B$8,$B$9), 1+BS$14, 0))
) / $B$16)</f>
        <v>0.6</v>
      </c>
      <c r="BT21" cm="1">
        <f t="array" aca="1" ref="BT21" ca="1">IF($BP21=BT$14, 1, SUMPRODUCT(
    --(OFFSET($O$9,0,0,1,$B$9)=TRUE),
    --(INDEX(OFFSET($O$15,0,0,$B$8,$B$9), 1+$BP21, 0) = INDEX(OFFSET($O$15,0,0,$B$8,$B$9), 1+BT$14, 0))
) / $B$16)</f>
        <v>0.4</v>
      </c>
      <c r="BU21" cm="1">
        <f t="array" aca="1" ref="BU21" ca="1">IF($BP21=BU$14, 1, SUMPRODUCT(
    --(OFFSET($O$9,0,0,1,$B$9)=TRUE),
    --(INDEX(OFFSET($O$15,0,0,$B$8,$B$9), 1+$BP21, 0) = INDEX(OFFSET($O$15,0,0,$B$8,$B$9), 1+BU$14, 0))
) / $B$16)</f>
        <v>0.4</v>
      </c>
      <c r="BV21" cm="1">
        <f t="array" aca="1" ref="BV21" ca="1">IF($BP21=BV$14, 1, SUMPRODUCT(
    --(OFFSET($O$9,0,0,1,$B$9)=TRUE),
    --(INDEX(OFFSET($O$15,0,0,$B$8,$B$9), 1+$BP21, 0) = INDEX(OFFSET($O$15,0,0,$B$8,$B$9), 1+BV$14, 0))
) / $B$16)</f>
        <v>0.8</v>
      </c>
      <c r="BW21" cm="1">
        <f t="array" aca="1" ref="BW21" ca="1">IF($BP21=BW$14, 1, SUMPRODUCT(
    --(OFFSET($O$9,0,0,1,$B$9)=TRUE),
    --(INDEX(OFFSET($O$15,0,0,$B$8,$B$9), 1+$BP21, 0) = INDEX(OFFSET($O$15,0,0,$B$8,$B$9), 1+BW$14, 0))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
) / $B$16)</f>
        <v>0.8</v>
      </c>
      <c r="BY21" cm="1">
        <f t="array" aca="1" ref="BY21" ca="1">IF($BP21=BY$14, 1, SUMPRODUCT(
    --(OFFSET($O$9,0,0,1,$B$9)=TRUE),
    --(INDEX(OFFSET($O$15,0,0,$B$8,$B$9), 1+$BP21, 0) = INDEX(OFFSET($O$15,0,0,$B$8,$B$9), 1+BY$14, 0))
) / $B$16)</f>
        <v>0.2</v>
      </c>
      <c r="BZ21" cm="1">
        <f t="array" aca="1" ref="BZ21" ca="1">IF($BP21=BZ$14, 1, SUMPRODUCT(
    --(OFFSET($O$9,0,0,1,$B$9)=TRUE),
    --(INDEX(OFFSET($O$15,0,0,$B$8,$B$9), 1+$BP21, 0) = INDEX(OFFSET($O$15,0,0,$B$8,$B$9), 1+BZ$14, 0))
) / $B$16)</f>
        <v>0.4</v>
      </c>
      <c r="CA21" cm="1">
        <f t="array" aca="1" ref="CA21" ca="1">IF($BP21=CA$14, 1, SUMPRODUCT(
    --(OFFSET($O$9,0,0,1,$B$9)=TRUE),
    --(INDEX(OFFSET($O$15,0,0,$B$8,$B$9), 1+$BP21, 0) = INDEX(OFFSET($O$15,0,0,$B$8,$B$9), 1+CA$14, 0))
) / $B$16)</f>
        <v>0.2</v>
      </c>
      <c r="CB21" cm="1">
        <f t="array" aca="1" ref="CB21" ca="1">IF($BP21=CB$14, 1, SUMPRODUCT(
    --(OFFSET($O$9,0,0,1,$B$9)=TRUE),
    --(INDEX(OFFSET($O$15,0,0,$B$8,$B$9), 1+$BP21, 0) = INDEX(OFFSET($O$15,0,0,$B$8,$B$9), 1+CB$14, 0))
) / $B$16)</f>
        <v>0.4</v>
      </c>
      <c r="CC21" cm="1">
        <f t="array" aca="1" ref="CC21" ca="1">IF($BP21=CC$14, 1, SUMPRODUCT(
    --(OFFSET($O$9,0,0,1,$B$9)=TRUE),
    --(INDEX(OFFSET($O$15,0,0,$B$8,$B$9), 1+$BP21, 0) = INDEX(OFFSET($O$15,0,0,$B$8,$B$9), 1+CC$14, 0))
) / $B$16)</f>
        <v>0.6</v>
      </c>
      <c r="CD21" cm="1">
        <f t="array" aca="1" ref="CD21" ca="1">IF($BP21=CD$14, 1, SUMPRODUCT(
    --(OFFSET($O$9,0,0,1,$B$9)=TRUE),
    --(INDEX(OFFSET($O$15,0,0,$B$8,$B$9), 1+$BP21, 0) = INDEX(OFFSET($O$15,0,0,$B$8,$B$9), 1+CD$14, 0))
) / $B$16)</f>
        <v>0.4</v>
      </c>
      <c r="CE21" cm="1">
        <f t="array" aca="1" ref="CE21" ca="1">IF($BP21=CE$14, 1, SUMPRODUCT(
    --(OFFSET($O$9,0,0,1,$B$9)=TRUE),
    --(INDEX(OFFSET($O$15,0,0,$B$8,$B$9), 1+$BP21, 0) = INDEX(OFFSET($O$15,0,0,$B$8,$B$9), 1+CE$14, 0))
) / $B$16)</f>
        <v>0.4</v>
      </c>
      <c r="CF21" cm="1">
        <f t="array" aca="1" ref="CF21" ca="1">IF($BP21=CF$14, 1, SUMPRODUCT(
    --(OFFSET($O$9,0,0,1,$B$9)=TRUE),
    --(INDEX(OFFSET($O$15,0,0,$B$8,$B$9), 1+$BP21, 0) = INDEX(OFFSET($O$15,0,0,$B$8,$B$9), 1+CF$14, 0))
) / $B$16)</f>
        <v>0.4</v>
      </c>
      <c r="CG21" cm="1">
        <f t="array" aca="1" ref="CG21" ca="1">IF($BP21=CG$14, 1, SUMPRODUCT(
    --(OFFSET($O$9,0,0,1,$B$9)=TRUE),
    --(INDEX(OFFSET($O$15,0,0,$B$8,$B$9), 1+$BP21, 0) = INDEX(OFFSET($O$15,0,0,$B$8,$B$9), 1+CG$14, 0))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
) / $B$16)</f>
        <v>0</v>
      </c>
      <c r="CI21" cm="1">
        <f t="array" aca="1" ref="CI21" ca="1">IF($BP21=CI$14, 1, SUMPRODUCT(
    --(OFFSET($O$9,0,0,1,$B$9)=TRUE),
    --(INDEX(OFFSET($O$15,0,0,$B$8,$B$9), 1+$BP21, 0) = INDEX(OFFSET($O$15,0,0,$B$8,$B$9), 1+CI$14, 0))
) / $B$16)</f>
        <v>0</v>
      </c>
      <c r="CJ21" cm="1">
        <f t="array" aca="1" ref="CJ21" ca="1">IF($BP21=CJ$14, 1, SUMPRODUCT(
    --(OFFSET($O$9,0,0,1,$B$9)=TRUE),
    --(INDEX(OFFSET($O$15,0,0,$B$8,$B$9), 1+$BP21, 0) = INDEX(OFFSET($O$15,0,0,$B$8,$B$9), 1+CJ$14, 0))
) / $B$16)</f>
        <v>0.2</v>
      </c>
      <c r="DF21" cm="1">
        <f t="array" aca="1" ref="DF21" ca="1">INDEX(_xlfn.ANCHORARRAY($CP$15), 1 + INT((ROWS($DG$15:$DG21) - 1) / ROWS(_xlfn.ANCHORARRAY($CP$15))))</f>
        <v>1</v>
      </c>
      <c r="DG21" cm="1">
        <f t="array" aca="1" ref="DG21" ca="1">INDEX(_xlfn.ANCHORARRAY($CP$15),1+MOD(ROWS($DG$15:$DG21)-1,ROWS(_xlfn.ANCHORARRAY($CP$15))))</f>
        <v>1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$B$18/($B$19*$B$19*($DF21&lt;&gt;$DG21) + $B$19*($DF21=$DG21))</f>
        <v>6.0000000000000001E-3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$B$18/($B$19*$B$19*($DF21&lt;&gt;$DG21) + $B$19*($DF21=$DG21))</f>
        <v>6.0000000000000001E-3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$B$18/($B$19*$B$19*($DF21&lt;&gt;$DG21) + $B$19*($DF21=$DG21))</f>
        <v>6.0000000000000001E-3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$B$18/($B$19*$B$19*($DF21&lt;&gt;$DG21) + $B$19*($DF21=$DG21))</f>
        <v>6.0000000000000001E-3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$B$18/($B$19*$B$19*($DF21&lt;&gt;$DG21) + $B$19*($DF21=$DG21))</f>
        <v>6.0000000000000001E-3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$B$18/($B$19*$B$19*($DF21&lt;&gt;$DG21) + $B$19*($DF21=$DG21))</f>
        <v>0.27498861883941617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$B$18/($B$19*$B$19*($DF21&lt;&gt;$DG21) + $B$19*($DF21=$DG21))</f>
        <v>6.0000000000000001E-3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$B$18/($B$19*$B$19*($DF21&lt;&gt;$DG21) + $B$19*($DF21=$DG21))</f>
        <v>6.0000000000000001E-3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$B$18/($B$19*$B$19*($DF21&lt;&gt;$DG21) + $B$19*($DF21=$DG21))</f>
        <v>6.0000000000000001E-3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$B$18/($B$19*$B$19*($DF21&lt;&gt;$DG21) + $B$19*($DF21=$DG21))</f>
        <v>6.0000000000000001E-3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$B$18/($B$19*$B$19*($DF21&lt;&gt;$DG21) + $B$19*($DF21=$DG21))</f>
        <v>0.2242958004354933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$B$18/($B$19*$B$19*($DF21&lt;&gt;$DG21) + $B$19*($DF21=$DG21))</f>
        <v>6.0000000000000001E-3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$B$18/($B$19*$B$19*($DF21&lt;&gt;$DG21) + $B$19*($DF21=$DG21))</f>
        <v>6.0000000000000001E-3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$B$18/($B$19*$B$19*($DF21&lt;&gt;$DG21) + $B$19*($DF21=$DG21))</f>
        <v>6.0000000000000001E-3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$B$18/($B$19*$B$19*($DF21&lt;&gt;$DG21) + $B$19*($DF21=$DG21))</f>
        <v>6.0000000000000001E-3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$B$18/($B$19*$B$19*($DF21&lt;&gt;$DG21) + $B$19*($DF21=$DG21))</f>
        <v>0.37728186060749586</v>
      </c>
    </row>
    <row r="22" spans="1:127" x14ac:dyDescent="0.2">
      <c r="D22" s="10">
        <f ca="1"/>
        <v>7</v>
      </c>
      <c r="F22" s="10">
        <f ca="1"/>
        <v>7.6923076923076927E-2</v>
      </c>
      <c r="H22" s="10"/>
      <c r="J22" cm="1">
        <f t="array" aca="1" ref="J22" ca="1">SUMPRODUCT((O22:AJ22=$O$11:$AJ$11)*(O$13:AJ$13=TRUE))  / COUNTIF(O$13:AJ$13,TRUE)</f>
        <v>0.4</v>
      </c>
      <c r="K22" t="b">
        <f t="shared" ca="1" si="9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3"/>
        <v>1</v>
      </c>
      <c r="N22" s="2">
        <v>7</v>
      </c>
      <c r="O22" s="12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AK22" s="7"/>
      <c r="AN22">
        <f t="shared" ca="1" si="4"/>
        <v>13</v>
      </c>
      <c r="AO22" s="14">
        <f t="shared" ca="1" si="5"/>
        <v>7.6923076923076927E-2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
) / $B$13)</f>
        <v>0.4</v>
      </c>
      <c r="AR22" cm="1">
        <f t="array" aca="1" ref="AR22" ca="1">IF($AP22=AR$14, 1, SUMPRODUCT(
    --(OFFSET($O$13,0,0,1,$B$9)=TRUE),
    --(INDEX(OFFSET($O$15,0,0,$B$8,$B$9), 1+$AP22, 0) = INDEX(OFFSET($O$15,0,0,$B$8,$B$9), 1+AR$14, 0))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
) / $B$13)</f>
        <v>0.6</v>
      </c>
      <c r="AU22" cm="1">
        <f t="array" aca="1" ref="AU22" ca="1">IF($AP22=AU$14, 1, SUMPRODUCT(
    --(OFFSET($O$13,0,0,1,$B$9)=TRUE),
    --(INDEX(OFFSET($O$15,0,0,$B$8,$B$9), 1+$AP22, 0) = INDEX(OFFSET($O$15,0,0,$B$8,$B$9), 1+AU$14, 0))
) / $B$13)</f>
        <v>0.4</v>
      </c>
      <c r="AV22" cm="1">
        <f t="array" aca="1" ref="AV22" ca="1">IF($AP22=AV$14, 1, SUMPRODUCT(
    --(OFFSET($O$13,0,0,1,$B$9)=TRUE),
    --(INDEX(OFFSET($O$15,0,0,$B$8,$B$9), 1+$AP22, 0) = INDEX(OFFSET($O$15,0,0,$B$8,$B$9), 1+AV$14, 0))
) / $B$13)</f>
        <v>0.8</v>
      </c>
      <c r="AW22" cm="1">
        <f t="array" aca="1" ref="AW22" ca="1">IF($AP22=AW$14, 1, SUMPRODUCT(
    --(OFFSET($O$13,0,0,1,$B$9)=TRUE),
    --(INDEX(OFFSET($O$15,0,0,$B$8,$B$9), 1+$AP22, 0) = INDEX(OFFSET($O$15,0,0,$B$8,$B$9), 1+AW$14, 0))
) / $B$13)</f>
        <v>0.8</v>
      </c>
      <c r="AX22" cm="1">
        <f t="array" aca="1" ref="AX22" ca="1">IF($AP22=AX$14, 1, SUMPRODUCT(
    --(OFFSET($O$13,0,0,1,$B$9)=TRUE),
    --(INDEX(OFFSET($O$15,0,0,$B$8,$B$9), 1+$AP22, 0) = INDEX(OFFSET($O$15,0,0,$B$8,$B$9), 1+AX$14, 0))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
) / $B$13)</f>
        <v>0.2</v>
      </c>
      <c r="AZ22" cm="1">
        <f t="array" aca="1" ref="AZ22" ca="1">IF($AP22=AZ$14, 1, SUMPRODUCT(
    --(OFFSET($O$13,0,0,1,$B$9)=TRUE),
    --(INDEX(OFFSET($O$15,0,0,$B$8,$B$9), 1+$AP22, 0) = INDEX(OFFSET($O$15,0,0,$B$8,$B$9), 1+AZ$14, 0))
) / $B$13)</f>
        <v>0.4</v>
      </c>
      <c r="BA22" cm="1">
        <f t="array" aca="1" ref="BA22" ca="1">IF($AP22=BA$14, 1, SUMPRODUCT(
    --(OFFSET($O$13,0,0,1,$B$9)=TRUE),
    --(INDEX(OFFSET($O$15,0,0,$B$8,$B$9), 1+$AP22, 0) = INDEX(OFFSET($O$15,0,0,$B$8,$B$9), 1+BA$14, 0))
) / $B$13)</f>
        <v>0.2</v>
      </c>
      <c r="BB22" cm="1">
        <f t="array" aca="1" ref="BB22" ca="1">IF($AP22=BB$14, 1, SUMPRODUCT(
    --(OFFSET($O$13,0,0,1,$B$9)=TRUE),
    --(INDEX(OFFSET($O$15,0,0,$B$8,$B$9), 1+$AP22, 0) = INDEX(OFFSET($O$15,0,0,$B$8,$B$9), 1+BB$14, 0))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
) / $B$13)</f>
        <v>0.4</v>
      </c>
      <c r="BD22" cm="1">
        <f t="array" aca="1" ref="BD22" ca="1">IF($AP22=BD$14, 1, SUMPRODUCT(
    --(OFFSET($O$13,0,0,1,$B$9)=TRUE),
    --(INDEX(OFFSET($O$15,0,0,$B$8,$B$9), 1+$AP22, 0) = INDEX(OFFSET($O$15,0,0,$B$8,$B$9), 1+BD$14, 0))
) / $B$13)</f>
        <v>0.2</v>
      </c>
      <c r="BE22" cm="1">
        <f t="array" aca="1" ref="BE22" ca="1">IF($AP22=BE$14, 1, SUMPRODUCT(
    --(OFFSET($O$13,0,0,1,$B$9)=TRUE),
    --(INDEX(OFFSET($O$15,0,0,$B$8,$B$9), 1+$AP22, 0) = INDEX(OFFSET($O$15,0,0,$B$8,$B$9), 1+BE$14, 0))
) / $B$13)</f>
        <v>0.6</v>
      </c>
      <c r="BF22" cm="1">
        <f t="array" aca="1" ref="BF22" ca="1">IF($AP22=BF$14, 1, SUMPRODUCT(
    --(OFFSET($O$13,0,0,1,$B$9)=TRUE),
    --(INDEX(OFFSET($O$15,0,0,$B$8,$B$9), 1+$AP22, 0) = INDEX(OFFSET($O$15,0,0,$B$8,$B$9), 1+BF$14, 0))
) / $B$13)</f>
        <v>0.6</v>
      </c>
      <c r="BG22" cm="1">
        <f t="array" aca="1" ref="BG22" ca="1">IF($AP22=BG$14, 1, SUMPRODUCT(
    --(OFFSET($O$13,0,0,1,$B$9)=TRUE),
    --(INDEX(OFFSET($O$15,0,0,$B$8,$B$9), 1+$AP22, 0) = INDEX(OFFSET($O$15,0,0,$B$8,$B$9), 1+BG$14, 0))
) / $B$13)</f>
        <v>0</v>
      </c>
      <c r="BH22" cm="1">
        <f t="array" aca="1" ref="BH22" ca="1">IF($AP22=BH$14, 1, SUMPRODUCT(
    --(OFFSET($O$13,0,0,1,$B$9)=TRUE),
    --(INDEX(OFFSET($O$15,0,0,$B$8,$B$9), 1+$AP22, 0) = INDEX(OFFSET($O$15,0,0,$B$8,$B$9), 1+BH$14, 0))
) / $B$13)</f>
        <v>0</v>
      </c>
      <c r="BI22" cm="1">
        <f t="array" aca="1" ref="BI22" ca="1">IF($AP22=BI$14, 1, SUMPRODUCT(
    --(OFFSET($O$13,0,0,1,$B$9)=TRUE),
    --(INDEX(OFFSET($O$15,0,0,$B$8,$B$9), 1+$AP22, 0) = INDEX(OFFSET($O$15,0,0,$B$8,$B$9), 1+BI$14, 0))
) / $B$13)</f>
        <v>0</v>
      </c>
      <c r="BJ22" cm="1">
        <f t="array" aca="1" ref="BJ22" ca="1">IF($AP22=BJ$14, 1, SUMPRODUCT(
    --(OFFSET($O$13,0,0,1,$B$9)=TRUE),
    --(INDEX(OFFSET($O$15,0,0,$B$8,$B$9), 1+$AP22, 0) = INDEX(OFFSET($O$15,0,0,$B$8,$B$9), 1+BJ$14, 0))
) / $B$13)</f>
        <v>0.2</v>
      </c>
      <c r="BN22">
        <f t="shared" ca="1" si="6"/>
        <v>13</v>
      </c>
      <c r="BO22" s="14">
        <f t="shared" ca="1" si="7"/>
        <v>7.6923076923076927E-2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
) / $B$16)</f>
        <v>0.4</v>
      </c>
      <c r="BR22" cm="1">
        <f t="array" aca="1" ref="BR22" ca="1">IF($BP22=BR$14, 1, SUMPRODUCT(
    --(OFFSET($O$9,0,0,1,$B$9)=TRUE),
    --(INDEX(OFFSET($O$15,0,0,$B$8,$B$9), 1+$BP22, 0) = INDEX(OFFSET($O$15,0,0,$B$8,$B$9), 1+BR$14, 0))
) / $B$16)</f>
        <v>0.4</v>
      </c>
      <c r="BS22" cm="1">
        <f t="array" aca="1" ref="BS22" ca="1">IF($BP22=BS$14, 1, SUMPRODUCT(
    --(OFFSET($O$9,0,0,1,$B$9)=TRUE),
    --(INDEX(OFFSET($O$15,0,0,$B$8,$B$9), 1+$BP22, 0) = INDEX(OFFSET($O$15,0,0,$B$8,$B$9), 1+BS$14, 0))
) / $B$16)</f>
        <v>0.4</v>
      </c>
      <c r="BT22" cm="1">
        <f t="array" aca="1" ref="BT22" ca="1">IF($BP22=BT$14, 1, SUMPRODUCT(
    --(OFFSET($O$9,0,0,1,$B$9)=TRUE),
    --(INDEX(OFFSET($O$15,0,0,$B$8,$B$9), 1+$BP22, 0) = INDEX(OFFSET($O$15,0,0,$B$8,$B$9), 1+BT$14, 0))
) / $B$16)</f>
        <v>0.6</v>
      </c>
      <c r="BU22" cm="1">
        <f t="array" aca="1" ref="BU22" ca="1">IF($BP22=BU$14, 1, SUMPRODUCT(
    --(OFFSET($O$9,0,0,1,$B$9)=TRUE),
    --(INDEX(OFFSET($O$15,0,0,$B$8,$B$9), 1+$BP22, 0) = INDEX(OFFSET($O$15,0,0,$B$8,$B$9), 1+BU$14, 0))
) / $B$16)</f>
        <v>0.4</v>
      </c>
      <c r="BV22" cm="1">
        <f t="array" aca="1" ref="BV22" ca="1">IF($BP22=BV$14, 1, SUMPRODUCT(
    --(OFFSET($O$9,0,0,1,$B$9)=TRUE),
    --(INDEX(OFFSET($O$15,0,0,$B$8,$B$9), 1+$BP22, 0) = INDEX(OFFSET($O$15,0,0,$B$8,$B$9), 1+BV$14, 0))
) / $B$16)</f>
        <v>0.8</v>
      </c>
      <c r="BW22" cm="1">
        <f t="array" aca="1" ref="BW22" ca="1">IF($BP22=BW$14, 1, SUMPRODUCT(
    --(OFFSET($O$9,0,0,1,$B$9)=TRUE),
    --(INDEX(OFFSET($O$15,0,0,$B$8,$B$9), 1+$BP22, 0) = INDEX(OFFSET($O$15,0,0,$B$8,$B$9), 1+BW$14, 0))
) / $B$16)</f>
        <v>0.8</v>
      </c>
      <c r="BX22" cm="1">
        <f t="array" aca="1" ref="BX22" ca="1">IF($BP22=BX$14, 1, SUMPRODUCT(
    --(OFFSET($O$9,0,0,1,$B$9)=TRUE),
    --(INDEX(OFFSET($O$15,0,0,$B$8,$B$9), 1+$BP22, 0) = INDEX(OFFSET($O$15,0,0,$B$8,$B$9), 1+BX$14, 0))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
) / $B$16)</f>
        <v>0.2</v>
      </c>
      <c r="BZ22" cm="1">
        <f t="array" aca="1" ref="BZ22" ca="1">IF($BP22=BZ$14, 1, SUMPRODUCT(
    --(OFFSET($O$9,0,0,1,$B$9)=TRUE),
    --(INDEX(OFFSET($O$15,0,0,$B$8,$B$9), 1+$BP22, 0) = INDEX(OFFSET($O$15,0,0,$B$8,$B$9), 1+BZ$14, 0))
) / $B$16)</f>
        <v>0.4</v>
      </c>
      <c r="CA22" cm="1">
        <f t="array" aca="1" ref="CA22" ca="1">IF($BP22=CA$14, 1, SUMPRODUCT(
    --(OFFSET($O$9,0,0,1,$B$9)=TRUE),
    --(INDEX(OFFSET($O$15,0,0,$B$8,$B$9), 1+$BP22, 0) = INDEX(OFFSET($O$15,0,0,$B$8,$B$9), 1+CA$14, 0))
) / $B$16)</f>
        <v>0.2</v>
      </c>
      <c r="CB22" cm="1">
        <f t="array" aca="1" ref="CB22" ca="1">IF($BP22=CB$14, 1, SUMPRODUCT(
    --(OFFSET($O$9,0,0,1,$B$9)=TRUE),
    --(INDEX(OFFSET($O$15,0,0,$B$8,$B$9), 1+$BP22, 0) = INDEX(OFFSET($O$15,0,0,$B$8,$B$9), 1+CB$14, 0))
) / $B$16)</f>
        <v>0.4</v>
      </c>
      <c r="CC22" cm="1">
        <f t="array" aca="1" ref="CC22" ca="1">IF($BP22=CC$14, 1, SUMPRODUCT(
    --(OFFSET($O$9,0,0,1,$B$9)=TRUE),
    --(INDEX(OFFSET($O$15,0,0,$B$8,$B$9), 1+$BP22, 0) = INDEX(OFFSET($O$15,0,0,$B$8,$B$9), 1+CC$14, 0))
) / $B$16)</f>
        <v>0.4</v>
      </c>
      <c r="CD22" cm="1">
        <f t="array" aca="1" ref="CD22" ca="1">IF($BP22=CD$14, 1, SUMPRODUCT(
    --(OFFSET($O$9,0,0,1,$B$9)=TRUE),
    --(INDEX(OFFSET($O$15,0,0,$B$8,$B$9), 1+$BP22, 0) = INDEX(OFFSET($O$15,0,0,$B$8,$B$9), 1+CD$14, 0))
) / $B$16)</f>
        <v>0.2</v>
      </c>
      <c r="CE22" cm="1">
        <f t="array" aca="1" ref="CE22" ca="1">IF($BP22=CE$14, 1, SUMPRODUCT(
    --(OFFSET($O$9,0,0,1,$B$9)=TRUE),
    --(INDEX(OFFSET($O$15,0,0,$B$8,$B$9), 1+$BP22, 0) = INDEX(OFFSET($O$15,0,0,$B$8,$B$9), 1+CE$14, 0))
) / $B$16)</f>
        <v>0.6</v>
      </c>
      <c r="CF22" cm="1">
        <f t="array" aca="1" ref="CF22" ca="1">IF($BP22=CF$14, 1, SUMPRODUCT(
    --(OFFSET($O$9,0,0,1,$B$9)=TRUE),
    --(INDEX(OFFSET($O$15,0,0,$B$8,$B$9), 1+$BP22, 0) = INDEX(OFFSET($O$15,0,0,$B$8,$B$9), 1+CF$14, 0))
) / $B$16)</f>
        <v>0.6</v>
      </c>
      <c r="CG22" cm="1">
        <f t="array" aca="1" ref="CG22" ca="1">IF($BP22=CG$14, 1, SUMPRODUCT(
    --(OFFSET($O$9,0,0,1,$B$9)=TRUE),
    --(INDEX(OFFSET($O$15,0,0,$B$8,$B$9), 1+$BP22, 0) = INDEX(OFFSET($O$15,0,0,$B$8,$B$9), 1+CG$14, 0))
) / $B$16)</f>
        <v>0</v>
      </c>
      <c r="CH22" cm="1">
        <f t="array" aca="1" ref="CH22" ca="1">IF($BP22=CH$14, 1, SUMPRODUCT(
    --(OFFSET($O$9,0,0,1,$B$9)=TRUE),
    --(INDEX(OFFSET($O$15,0,0,$B$8,$B$9), 1+$BP22, 0) = INDEX(OFFSET($O$15,0,0,$B$8,$B$9), 1+CH$14, 0))
) / $B$16)</f>
        <v>0</v>
      </c>
      <c r="CI22" cm="1">
        <f t="array" aca="1" ref="CI22" ca="1">IF($BP22=CI$14, 1, SUMPRODUCT(
    --(OFFSET($O$9,0,0,1,$B$9)=TRUE),
    --(INDEX(OFFSET($O$15,0,0,$B$8,$B$9), 1+$BP22, 0) = INDEX(OFFSET($O$15,0,0,$B$8,$B$9), 1+CI$14, 0))
) / $B$16)</f>
        <v>0</v>
      </c>
      <c r="CJ22" cm="1">
        <f t="array" aca="1" ref="CJ22" ca="1">IF($BP22=CJ$14, 1, SUMPRODUCT(
    --(OFFSET($O$9,0,0,1,$B$9)=TRUE),
    --(INDEX(OFFSET($O$15,0,0,$B$8,$B$9), 1+$BP22, 0) = INDEX(OFFSET($O$15,0,0,$B$8,$B$9), 1+CJ$14, 0))
) / $B$16)</f>
        <v>0.2</v>
      </c>
      <c r="DF22" cm="1">
        <f t="array" aca="1" ref="DF22" ca="1">INDEX(_xlfn.ANCHORARRAY($CP$15), 1 + INT((ROWS($DG$15:$DG22) - 1) / ROWS(_xlfn.ANCHORARRAY($CP$15))))</f>
        <v>1</v>
      </c>
      <c r="DG22" cm="1">
        <f t="array" aca="1" ref="DG22" ca="1">INDEX(_xlfn.ANCHORARRAY($CP$15),1+MOD(ROWS($DG$15:$DG22)-1,ROWS(_xlfn.ANCHORARRAY($CP$15))))</f>
        <v>2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$B$18/($B$19*$B$19*($DF22&lt;&gt;$DG22) + $B$19*($DF22=$DG22))</f>
        <v>1.1999999999999999E-3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$B$18/($B$19*$B$19*($DF22&lt;&gt;$DG22) + $B$19*($DF22=$DG22))</f>
        <v>1.1999999999999999E-3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$B$18/($B$19*$B$19*($DF22&lt;&gt;$DG22) + $B$19*($DF22=$DG22))</f>
        <v>1.1999999999999999E-3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$B$18/($B$19*$B$19*($DF22&lt;&gt;$DG22) + $B$19*($DF22=$DG22))</f>
        <v>1.1999999999999999E-3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$B$18/($B$19*$B$19*($DF22&lt;&gt;$DG22) + $B$19*($DF22=$DG22))</f>
        <v>0.13801584525549132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$B$18/($B$19*$B$19*($DF22&lt;&gt;$DG22) + $B$19*($DF22=$DG22))</f>
        <v>1.1999999999999999E-3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$B$18/($B$19*$B$19*($DF22&lt;&gt;$DG22) + $B$19*($DF22=$DG22))</f>
        <v>1.1999999999999999E-3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$B$18/($B$19*$B$19*($DF22&lt;&gt;$DG22) + $B$19*($DF22=$DG22))</f>
        <v>6.836977018199461E-2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$B$18/($B$19*$B$19*($DF22&lt;&gt;$DG22) + $B$19*($DF22=$DG22))</f>
        <v>1.1999999999999999E-3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$B$18/($B$19*$B$19*($DF22&lt;&gt;$DG22) + $B$19*($DF22=$DG22))</f>
        <v>1.1999999999999999E-3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$B$18/($B$19*$B$19*($DF22&lt;&gt;$DG22) + $B$19*($DF22=$DG22))</f>
        <v>0.2194958004354933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$B$18/($B$19*$B$19*($DF22&lt;&gt;$DG22) + $B$19*($DF22=$DG22))</f>
        <v>1.1999999999999999E-3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$B$18/($B$19*$B$19*($DF22&lt;&gt;$DG22) + $B$19*($DF22=$DG22))</f>
        <v>1.1999999999999999E-3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$B$18/($B$19*$B$19*($DF22&lt;&gt;$DG22) + $B$19*($DF22=$DG22))</f>
        <v>0.37248186060749583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$B$18/($B$19*$B$19*($DF22&lt;&gt;$DG22) + $B$19*($DF22=$DG22))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$B$18/($B$19*$B$19*($DF22&lt;&gt;$DG22) + $B$19*($DF22=$DG22))</f>
        <v>1.1999999999999999E-3</v>
      </c>
    </row>
    <row r="23" spans="1:127" x14ac:dyDescent="0.2">
      <c r="D23" s="10">
        <f ca="1"/>
        <v>8</v>
      </c>
      <c r="F23" s="10">
        <f ca="1"/>
        <v>0.125</v>
      </c>
      <c r="H23" s="10"/>
      <c r="J23" cm="1">
        <f t="array" aca="1" ref="J23" ca="1">SUMPRODUCT((O23:AJ23=$O$11:$AJ$11)*(O$13:AJ$13=TRUE))  / COUNTIF(O$13:AJ$13,TRUE)</f>
        <v>0.4</v>
      </c>
      <c r="K23" t="b">
        <f t="shared" ca="1" si="9"/>
        <v>1</v>
      </c>
      <c r="L23" cm="1">
        <f t="array" aca="1" ref="L23" ca="1">SUM(
   1*(_xlfn._xlws.FILTER(OFFSET($O23,0,0,1,$B$9),OFFSET($O$13,0,0,1,$B$9)) = "-")
) / $B$13</f>
        <v>0.4</v>
      </c>
      <c r="M23" t="b">
        <f t="shared" ca="1" si="3"/>
        <v>1</v>
      </c>
      <c r="N23" s="2">
        <v>8</v>
      </c>
      <c r="O23" s="12" t="s">
        <v>0</v>
      </c>
      <c r="P23" s="9" t="s">
        <v>2</v>
      </c>
      <c r="Q23" s="9" t="s">
        <v>5</v>
      </c>
      <c r="R23" s="9" t="s">
        <v>5</v>
      </c>
      <c r="S23" s="9" t="s">
        <v>3</v>
      </c>
      <c r="AK23" s="7"/>
      <c r="AN23">
        <f t="shared" ca="1" si="4"/>
        <v>8</v>
      </c>
      <c r="AO23" s="14">
        <f t="shared" ca="1" si="5"/>
        <v>0.125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
) / $B$13)</f>
        <v>0.4</v>
      </c>
      <c r="AR23" cm="1">
        <f t="array" aca="1" ref="AR23" ca="1">IF($AP23=AR$14, 1, SUMPRODUCT(
    --(OFFSET($O$13,0,0,1,$B$9)=TRUE),
    --(INDEX(OFFSET($O$15,0,0,$B$8,$B$9), 1+$AP23, 0) = INDEX(OFFSET($O$15,0,0,$B$8,$B$9), 1+AR$14, 0))
) / $B$13)</f>
        <v>0.2</v>
      </c>
      <c r="AS23" cm="1">
        <f t="array" aca="1" ref="AS23" ca="1">IF($AP23=AS$14, 1, SUMPRODUCT(
    --(OFFSET($O$13,0,0,1,$B$9)=TRUE),
    --(INDEX(OFFSET($O$15,0,0,$B$8,$B$9), 1+$AP23, 0) = INDEX(OFFSET($O$15,0,0,$B$8,$B$9), 1+AS$14, 0))
) / $B$13)</f>
        <v>0.2</v>
      </c>
      <c r="AT23" cm="1">
        <f t="array" aca="1" ref="AT23" ca="1">IF($AP23=AT$14, 1, SUMPRODUCT(
    --(OFFSET($O$13,0,0,1,$B$9)=TRUE),
    --(INDEX(OFFSET($O$15,0,0,$B$8,$B$9), 1+$AP23, 0) = INDEX(OFFSET($O$15,0,0,$B$8,$B$9), 1+AT$14, 0))
) / $B$13)</f>
        <v>0.2</v>
      </c>
      <c r="AU23" cm="1">
        <f t="array" aca="1" ref="AU23" ca="1">IF($AP23=AU$14, 1, SUMPRODUCT(
    --(OFFSET($O$13,0,0,1,$B$9)=TRUE),
    --(INDEX(OFFSET($O$15,0,0,$B$8,$B$9), 1+$AP23, 0) = INDEX(OFFSET($O$15,0,0,$B$8,$B$9), 1+AU$14, 0))
) / $B$13)</f>
        <v>0.4</v>
      </c>
      <c r="AV23" cm="1">
        <f t="array" aca="1" ref="AV23" ca="1">IF($AP23=AV$14, 1, SUMPRODUCT(
    --(OFFSET($O$13,0,0,1,$B$9)=TRUE),
    --(INDEX(OFFSET($O$15,0,0,$B$8,$B$9), 1+$AP23, 0) = INDEX(OFFSET($O$15,0,0,$B$8,$B$9), 1+AV$14, 0))
) / $B$13)</f>
        <v>0.2</v>
      </c>
      <c r="AW23" cm="1">
        <f t="array" aca="1" ref="AW23" ca="1">IF($AP23=AW$14, 1, SUMPRODUCT(
    --(OFFSET($O$13,0,0,1,$B$9)=TRUE),
    --(INDEX(OFFSET($O$15,0,0,$B$8,$B$9), 1+$AP23, 0) = INDEX(OFFSET($O$15,0,0,$B$8,$B$9), 1+AW$14, 0))
) / $B$13)</f>
        <v>0.2</v>
      </c>
      <c r="AX23" cm="1">
        <f t="array" aca="1" ref="AX23" ca="1">IF($AP23=AX$14, 1, SUMPRODUCT(
    --(OFFSET($O$13,0,0,1,$B$9)=TRUE),
    --(INDEX(OFFSET($O$15,0,0,$B$8,$B$9), 1+$AP23, 0) = INDEX(OFFSET($O$15,0,0,$B$8,$B$9), 1+AX$14, 0))
) / $B$13)</f>
        <v>0.2</v>
      </c>
      <c r="AY23" cm="1">
        <f t="array" aca="1" ref="AY23" ca="1">IF($AP23=AY$14, 1, SUMPRODUCT(
    --(OFFSET($O$13,0,0,1,$B$9)=TRUE),
    --(INDEX(OFFSET($O$15,0,0,$B$8,$B$9), 1+$AP23, 0) = INDEX(OFFSET($O$15,0,0,$B$8,$B$9), 1+AY$14, 0))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
) / $B$13)</f>
        <v>0.6</v>
      </c>
      <c r="BA23" cm="1">
        <f t="array" aca="1" ref="BA23" ca="1">IF($AP23=BA$14, 1, SUMPRODUCT(
    --(OFFSET($O$13,0,0,1,$B$9)=TRUE),
    --(INDEX(OFFSET($O$15,0,0,$B$8,$B$9), 1+$AP23, 0) = INDEX(OFFSET($O$15,0,0,$B$8,$B$9), 1+BA$14, 0))
) / $B$13)</f>
        <v>0.2</v>
      </c>
      <c r="BB23" cm="1">
        <f t="array" aca="1" ref="BB23" ca="1">IF($AP23=BB$14, 1, SUMPRODUCT(
    --(OFFSET($O$13,0,0,1,$B$9)=TRUE),
    --(INDEX(OFFSET($O$15,0,0,$B$8,$B$9), 1+$AP23, 0) = INDEX(OFFSET($O$15,0,0,$B$8,$B$9), 1+BB$14, 0))
) / $B$13)</f>
        <v>0.2</v>
      </c>
      <c r="BC23" cm="1">
        <f t="array" aca="1" ref="BC23" ca="1">IF($AP23=BC$14, 1, SUMPRODUCT(
    --(OFFSET($O$13,0,0,1,$B$9)=TRUE),
    --(INDEX(OFFSET($O$15,0,0,$B$8,$B$9), 1+$AP23, 0) = INDEX(OFFSET($O$15,0,0,$B$8,$B$9), 1+BC$14, 0))
) / $B$13)</f>
        <v>0.4</v>
      </c>
      <c r="BD23" cm="1">
        <f t="array" aca="1" ref="BD23" ca="1">IF($AP23=BD$14, 1, SUMPRODUCT(
    --(OFFSET($O$13,0,0,1,$B$9)=TRUE),
    --(INDEX(OFFSET($O$15,0,0,$B$8,$B$9), 1+$AP23, 0) = INDEX(OFFSET($O$15,0,0,$B$8,$B$9), 1+BD$14, 0))
) / $B$13)</f>
        <v>0</v>
      </c>
      <c r="BE23" cm="1">
        <f t="array" aca="1" ref="BE23" ca="1">IF($AP23=BE$14, 1, SUMPRODUCT(
    --(OFFSET($O$13,0,0,1,$B$9)=TRUE),
    --(INDEX(OFFSET($O$15,0,0,$B$8,$B$9), 1+$AP23, 0) = INDEX(OFFSET($O$15,0,0,$B$8,$B$9), 1+BE$14, 0))
) / $B$13)</f>
        <v>0.4</v>
      </c>
      <c r="BF23" cm="1">
        <f t="array" aca="1" ref="BF23" ca="1">IF($AP23=BF$14, 1, SUMPRODUCT(
    --(OFFSET($O$13,0,0,1,$B$9)=TRUE),
    --(INDEX(OFFSET($O$15,0,0,$B$8,$B$9), 1+$AP23, 0) = INDEX(OFFSET($O$15,0,0,$B$8,$B$9), 1+BF$14, 0))
) / $B$13)</f>
        <v>0.4</v>
      </c>
      <c r="BG23" cm="1">
        <f t="array" aca="1" ref="BG23" ca="1">IF($AP23=BG$14, 1, SUMPRODUCT(
    --(OFFSET($O$13,0,0,1,$B$9)=TRUE),
    --(INDEX(OFFSET($O$15,0,0,$B$8,$B$9), 1+$AP23, 0) = INDEX(OFFSET($O$15,0,0,$B$8,$B$9), 1+BG$14, 0))
) / $B$13)</f>
        <v>0</v>
      </c>
      <c r="BH23" cm="1">
        <f t="array" aca="1" ref="BH23" ca="1">IF($AP23=BH$14, 1, SUMPRODUCT(
    --(OFFSET($O$13,0,0,1,$B$9)=TRUE),
    --(INDEX(OFFSET($O$15,0,0,$B$8,$B$9), 1+$AP23, 0) = INDEX(OFFSET($O$15,0,0,$B$8,$B$9), 1+BH$14, 0))
) / $B$13)</f>
        <v>0.2</v>
      </c>
      <c r="BI23" cm="1">
        <f t="array" aca="1" ref="BI23" ca="1">IF($AP23=BI$14, 1, SUMPRODUCT(
    --(OFFSET($O$13,0,0,1,$B$9)=TRUE),
    --(INDEX(OFFSET($O$15,0,0,$B$8,$B$9), 1+$AP23, 0) = INDEX(OFFSET($O$15,0,0,$B$8,$B$9), 1+BI$14, 0))
) / $B$13)</f>
        <v>0.2</v>
      </c>
      <c r="BJ23" cm="1">
        <f t="array" aca="1" ref="BJ23" ca="1">IF($AP23=BJ$14, 1, SUMPRODUCT(
    --(OFFSET($O$13,0,0,1,$B$9)=TRUE),
    --(INDEX(OFFSET($O$15,0,0,$B$8,$B$9), 1+$AP23, 0) = INDEX(OFFSET($O$15,0,0,$B$8,$B$9), 1+BJ$14, 0))
) / $B$13)</f>
        <v>0.4</v>
      </c>
      <c r="BN23">
        <f t="shared" ca="1" si="6"/>
        <v>8</v>
      </c>
      <c r="BO23" s="14">
        <f t="shared" ca="1" si="7"/>
        <v>0.125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
) / $B$16)</f>
        <v>0.4</v>
      </c>
      <c r="BR23" cm="1">
        <f t="array" aca="1" ref="BR23" ca="1">IF($BP23=BR$14, 1, SUMPRODUCT(
    --(OFFSET($O$9,0,0,1,$B$9)=TRUE),
    --(INDEX(OFFSET($O$15,0,0,$B$8,$B$9), 1+$BP23, 0) = INDEX(OFFSET($O$15,0,0,$B$8,$B$9), 1+BR$14, 0))
) / $B$16)</f>
        <v>0.2</v>
      </c>
      <c r="BS23" cm="1">
        <f t="array" aca="1" ref="BS23" ca="1">IF($BP23=BS$14, 1, SUMPRODUCT(
    --(OFFSET($O$9,0,0,1,$B$9)=TRUE),
    --(INDEX(OFFSET($O$15,0,0,$B$8,$B$9), 1+$BP23, 0) = INDEX(OFFSET($O$15,0,0,$B$8,$B$9), 1+BS$14, 0))
) / $B$16)</f>
        <v>0.2</v>
      </c>
      <c r="BT23" cm="1">
        <f t="array" aca="1" ref="BT23" ca="1">IF($BP23=BT$14, 1, SUMPRODUCT(
    --(OFFSET($O$9,0,0,1,$B$9)=TRUE),
    --(INDEX(OFFSET($O$15,0,0,$B$8,$B$9), 1+$BP23, 0) = INDEX(OFFSET($O$15,0,0,$B$8,$B$9), 1+BT$14, 0))
) / $B$16)</f>
        <v>0.2</v>
      </c>
      <c r="BU23" cm="1">
        <f t="array" aca="1" ref="BU23" ca="1">IF($BP23=BU$14, 1, SUMPRODUCT(
    --(OFFSET($O$9,0,0,1,$B$9)=TRUE),
    --(INDEX(OFFSET($O$15,0,0,$B$8,$B$9), 1+$BP23, 0) = INDEX(OFFSET($O$15,0,0,$B$8,$B$9), 1+BU$14, 0))
) / $B$16)</f>
        <v>0.4</v>
      </c>
      <c r="BV23" cm="1">
        <f t="array" aca="1" ref="BV23" ca="1">IF($BP23=BV$14, 1, SUMPRODUCT(
    --(OFFSET($O$9,0,0,1,$B$9)=TRUE),
    --(INDEX(OFFSET($O$15,0,0,$B$8,$B$9), 1+$BP23, 0) = INDEX(OFFSET($O$15,0,0,$B$8,$B$9), 1+BV$14, 0))
) / $B$16)</f>
        <v>0.2</v>
      </c>
      <c r="BW23" cm="1">
        <f t="array" aca="1" ref="BW23" ca="1">IF($BP23=BW$14, 1, SUMPRODUCT(
    --(OFFSET($O$9,0,0,1,$B$9)=TRUE),
    --(INDEX(OFFSET($O$15,0,0,$B$8,$B$9), 1+$BP23, 0) = INDEX(OFFSET($O$15,0,0,$B$8,$B$9), 1+BW$14, 0))
) / $B$16)</f>
        <v>0.2</v>
      </c>
      <c r="BX23" cm="1">
        <f t="array" aca="1" ref="BX23" ca="1">IF($BP23=BX$14, 1, SUMPRODUCT(
    --(OFFSET($O$9,0,0,1,$B$9)=TRUE),
    --(INDEX(OFFSET($O$15,0,0,$B$8,$B$9), 1+$BP23, 0) = INDEX(OFFSET($O$15,0,0,$B$8,$B$9), 1+BX$14, 0))
) / $B$16)</f>
        <v>0.2</v>
      </c>
      <c r="BY23" cm="1">
        <f t="array" aca="1" ref="BY23" ca="1">IF($BP23=BY$14, 1, SUMPRODUCT(
    --(OFFSET($O$9,0,0,1,$B$9)=TRUE),
    --(INDEX(OFFSET($O$15,0,0,$B$8,$B$9), 1+$BP23, 0) = INDEX(OFFSET($O$15,0,0,$B$8,$B$9), 1+BY$14, 0))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
) / $B$16)</f>
        <v>0.6</v>
      </c>
      <c r="CA23" cm="1">
        <f t="array" aca="1" ref="CA23" ca="1">IF($BP23=CA$14, 1, SUMPRODUCT(
    --(OFFSET($O$9,0,0,1,$B$9)=TRUE),
    --(INDEX(OFFSET($O$15,0,0,$B$8,$B$9), 1+$BP23, 0) = INDEX(OFFSET($O$15,0,0,$B$8,$B$9), 1+CA$14, 0))
) / $B$16)</f>
        <v>0.2</v>
      </c>
      <c r="CB23" cm="1">
        <f t="array" aca="1" ref="CB23" ca="1">IF($BP23=CB$14, 1, SUMPRODUCT(
    --(OFFSET($O$9,0,0,1,$B$9)=TRUE),
    --(INDEX(OFFSET($O$15,0,0,$B$8,$B$9), 1+$BP23, 0) = INDEX(OFFSET($O$15,0,0,$B$8,$B$9), 1+CB$14, 0))
) / $B$16)</f>
        <v>0.2</v>
      </c>
      <c r="CC23" cm="1">
        <f t="array" aca="1" ref="CC23" ca="1">IF($BP23=CC$14, 1, SUMPRODUCT(
    --(OFFSET($O$9,0,0,1,$B$9)=TRUE),
    --(INDEX(OFFSET($O$15,0,0,$B$8,$B$9), 1+$BP23, 0) = INDEX(OFFSET($O$15,0,0,$B$8,$B$9), 1+CC$14, 0))
) / $B$16)</f>
        <v>0.4</v>
      </c>
      <c r="CD23" cm="1">
        <f t="array" aca="1" ref="CD23" ca="1">IF($BP23=CD$14, 1, SUMPRODUCT(
    --(OFFSET($O$9,0,0,1,$B$9)=TRUE),
    --(INDEX(OFFSET($O$15,0,0,$B$8,$B$9), 1+$BP23, 0) = INDEX(OFFSET($O$15,0,0,$B$8,$B$9), 1+CD$14, 0))
) / $B$16)</f>
        <v>0</v>
      </c>
      <c r="CE23" cm="1">
        <f t="array" aca="1" ref="CE23" ca="1">IF($BP23=CE$14, 1, SUMPRODUCT(
    --(OFFSET($O$9,0,0,1,$B$9)=TRUE),
    --(INDEX(OFFSET($O$15,0,0,$B$8,$B$9), 1+$BP23, 0) = INDEX(OFFSET($O$15,0,0,$B$8,$B$9), 1+CE$14, 0))
) / $B$16)</f>
        <v>0.4</v>
      </c>
      <c r="CF23" cm="1">
        <f t="array" aca="1" ref="CF23" ca="1">IF($BP23=CF$14, 1, SUMPRODUCT(
    --(OFFSET($O$9,0,0,1,$B$9)=TRUE),
    --(INDEX(OFFSET($O$15,0,0,$B$8,$B$9), 1+$BP23, 0) = INDEX(OFFSET($O$15,0,0,$B$8,$B$9), 1+CF$14, 0))
) / $B$16)</f>
        <v>0.4</v>
      </c>
      <c r="CG23" cm="1">
        <f t="array" aca="1" ref="CG23" ca="1">IF($BP23=CG$14, 1, SUMPRODUCT(
    --(OFFSET($O$9,0,0,1,$B$9)=TRUE),
    --(INDEX(OFFSET($O$15,0,0,$B$8,$B$9), 1+$BP23, 0) = INDEX(OFFSET($O$15,0,0,$B$8,$B$9), 1+CG$14, 0))
) / $B$16)</f>
        <v>0</v>
      </c>
      <c r="CH23" cm="1">
        <f t="array" aca="1" ref="CH23" ca="1">IF($BP23=CH$14, 1, SUMPRODUCT(
    --(OFFSET($O$9,0,0,1,$B$9)=TRUE),
    --(INDEX(OFFSET($O$15,0,0,$B$8,$B$9), 1+$BP23, 0) = INDEX(OFFSET($O$15,0,0,$B$8,$B$9), 1+CH$14, 0))
) / $B$16)</f>
        <v>0.2</v>
      </c>
      <c r="CI23" cm="1">
        <f t="array" aca="1" ref="CI23" ca="1">IF($BP23=CI$14, 1, SUMPRODUCT(
    --(OFFSET($O$9,0,0,1,$B$9)=TRUE),
    --(INDEX(OFFSET($O$15,0,0,$B$8,$B$9), 1+$BP23, 0) = INDEX(OFFSET($O$15,0,0,$B$8,$B$9), 1+CI$14, 0))
) / $B$16)</f>
        <v>0.2</v>
      </c>
      <c r="CJ23" cm="1">
        <f t="array" aca="1" ref="CJ23" ca="1">IF($BP23=CJ$14, 1, SUMPRODUCT(
    --(OFFSET($O$9,0,0,1,$B$9)=TRUE),
    --(INDEX(OFFSET($O$15,0,0,$B$8,$B$9), 1+$BP23, 0) = INDEX(OFFSET($O$15,0,0,$B$8,$B$9), 1+CJ$14, 0))
) / $B$16)</f>
        <v>0.4</v>
      </c>
      <c r="DF23" cm="1">
        <f t="array" aca="1" ref="DF23" ca="1">INDEX(_xlfn.ANCHORARRAY($CP$15), 1 + INT((ROWS($DG$15:$DG23) - 1) / ROWS(_xlfn.ANCHORARRAY($CP$15))))</f>
        <v>1</v>
      </c>
      <c r="DG23" cm="1">
        <f t="array" aca="1" ref="DG23" ca="1">INDEX(_xlfn.ANCHORARRAY($CP$15),1+MOD(ROWS($DG$15:$DG23)-1,ROWS(_xlfn.ANCHORARRAY($CP$15))))</f>
        <v>3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$B$18/($B$19*$B$19*($DF23&lt;&gt;$DG23) + $B$19*($DF23=$DG23))</f>
        <v>1.1999999999999999E-3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$B$18/($B$19*$B$19*($DF23&lt;&gt;$DG23) + $B$19*($DF23=$DG23))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$B$18/($B$19*$B$19*($DF23&lt;&gt;$DG23) + $B$19*($DF23=$DG23))</f>
        <v>1.1999999999999999E-3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$B$18/($B$19*$B$19*($DF23&lt;&gt;$DG23) + $B$19*($DF23=$DG23))</f>
        <v>1.1999999999999999E-3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$B$18/($B$19*$B$19*($DF23&lt;&gt;$DG23) + $B$19*($DF23=$DG23))</f>
        <v>1.1999999999999999E-3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$B$18/($B$19*$B$19*($DF23&lt;&gt;$DG23) + $B$19*($DF23=$DG23))</f>
        <v>1.1999999999999999E-3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$B$18/($B$19*$B$19*($DF23&lt;&gt;$DG23) + $B$19*($DF23=$DG23))</f>
        <v>0.2051856154374859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$B$18/($B$19*$B$19*($DF23&lt;&gt;$DG23) + $B$19*($DF23=$DG23))</f>
        <v>1.1999999999999999E-3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$B$18/($B$19*$B$19*($DF23&lt;&gt;$DG23) + $B$19*($DF23=$DG23))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$B$18/($B$19*$B$19*($DF23&lt;&gt;$DG23) + $B$19*($DF23=$DG23))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$B$18/($B$19*$B$19*($DF23&lt;&gt;$DG23) + $B$19*($DF23=$DG23))</f>
        <v>0.11549099499240487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$B$18/($B$19*$B$19*($DF23&lt;&gt;$DG23) + $B$19*($DF23=$DG23))</f>
        <v>1.1999999999999999E-3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$B$18/($B$19*$B$19*($DF23&lt;&gt;$DG23) + $B$19*($DF23=$DG23))</f>
        <v>0.13120600680386055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$B$18/($B$19*$B$19*($DF23&lt;&gt;$DG23) + $B$19*($DF23=$DG23))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$B$18/($B$19*$B$19*($DF23&lt;&gt;$DG23) + $B$19*($DF23=$DG23))</f>
        <v>0.1254704476801608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$B$18/($B$19*$B$19*($DF23&lt;&gt;$DG23) + $B$19*($DF23=$DG23))</f>
        <v>0.11820540612347449</v>
      </c>
    </row>
    <row r="24" spans="1:127" x14ac:dyDescent="0.2">
      <c r="D24" s="10">
        <f ca="1"/>
        <v>9</v>
      </c>
      <c r="F24" s="10">
        <f ca="1"/>
        <v>6.25E-2</v>
      </c>
      <c r="H24" s="10"/>
      <c r="J24" cm="1">
        <f t="array" aca="1" ref="J24" ca="1">SUMPRODUCT((O24:AJ24=$O$11:$AJ$11)*(O$13:AJ$13=TRUE))  / COUNTIF(O$13:AJ$13,TRUE)</f>
        <v>0.6</v>
      </c>
      <c r="K24" t="b">
        <f t="shared" ca="1" si="9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3"/>
        <v>1</v>
      </c>
      <c r="N24" s="2">
        <v>9</v>
      </c>
      <c r="O24" s="12" t="s">
        <v>0</v>
      </c>
      <c r="P24" s="9" t="s">
        <v>2</v>
      </c>
      <c r="Q24" s="9" t="s">
        <v>4</v>
      </c>
      <c r="R24" s="9" t="s">
        <v>3</v>
      </c>
      <c r="S24" s="9" t="s">
        <v>3</v>
      </c>
      <c r="AK24" s="7"/>
      <c r="AN24">
        <f t="shared" ca="1" si="4"/>
        <v>16</v>
      </c>
      <c r="AO24" s="14">
        <f t="shared" ca="1" si="5"/>
        <v>6.25E-2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
) / $B$13)</f>
        <v>0.6</v>
      </c>
      <c r="AR24" cm="1">
        <f t="array" aca="1" ref="AR24" ca="1">IF($AP24=AR$14, 1, SUMPRODUCT(
    --(OFFSET($O$13,0,0,1,$B$9)=TRUE),
    --(INDEX(OFFSET($O$15,0,0,$B$8,$B$9), 1+$AP24, 0) = INDEX(OFFSET($O$15,0,0,$B$8,$B$9), 1+AR$14, 0))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
) / $B$13)</f>
        <v>0.4</v>
      </c>
      <c r="AT24" cm="1">
        <f t="array" aca="1" ref="AT24" ca="1">IF($AP24=AT$14, 1, SUMPRODUCT(
    --(OFFSET($O$13,0,0,1,$B$9)=TRUE),
    --(INDEX(OFFSET($O$15,0,0,$B$8,$B$9), 1+$AP24, 0) = INDEX(OFFSET($O$15,0,0,$B$8,$B$9), 1+AT$14, 0))
) / $B$13)</f>
        <v>0.4</v>
      </c>
      <c r="AU24" cm="1">
        <f t="array" aca="1" ref="AU24" ca="1">IF($AP24=AU$14, 1, SUMPRODUCT(
    --(OFFSET($O$13,0,0,1,$B$9)=TRUE),
    --(INDEX(OFFSET($O$15,0,0,$B$8,$B$9), 1+$AP24, 0) = INDEX(OFFSET($O$15,0,0,$B$8,$B$9), 1+AU$14, 0))
) / $B$13)</f>
        <v>0.2</v>
      </c>
      <c r="AV24" cm="1">
        <f t="array" aca="1" ref="AV24" ca="1">IF($AP24=AV$14, 1, SUMPRODUCT(
    --(OFFSET($O$13,0,0,1,$B$9)=TRUE),
    --(INDEX(OFFSET($O$15,0,0,$B$8,$B$9), 1+$AP24, 0) = INDEX(OFFSET($O$15,0,0,$B$8,$B$9), 1+AV$14, 0))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
) / $B$13)</f>
        <v>0.4</v>
      </c>
      <c r="AX24" cm="1">
        <f t="array" aca="1" ref="AX24" ca="1">IF($AP24=AX$14, 1, SUMPRODUCT(
    --(OFFSET($O$13,0,0,1,$B$9)=TRUE),
    --(INDEX(OFFSET($O$15,0,0,$B$8,$B$9), 1+$AP24, 0) = INDEX(OFFSET($O$15,0,0,$B$8,$B$9), 1+AX$14, 0))
) / $B$13)</f>
        <v>0.4</v>
      </c>
      <c r="AY24" cm="1">
        <f t="array" aca="1" ref="AY24" ca="1">IF($AP24=AY$14, 1, SUMPRODUCT(
    --(OFFSET($O$13,0,0,1,$B$9)=TRUE),
    --(INDEX(OFFSET($O$15,0,0,$B$8,$B$9), 1+$AP24, 0) = INDEX(OFFSET($O$15,0,0,$B$8,$B$9), 1+AY$14, 0))
) / $B$13)</f>
        <v>0.6</v>
      </c>
      <c r="AZ24" cm="1">
        <f t="array" aca="1" ref="AZ24" ca="1">IF($AP24=AZ$14, 1, SUMPRODUCT(
    --(OFFSET($O$13,0,0,1,$B$9)=TRUE),
    --(INDEX(OFFSET($O$15,0,0,$B$8,$B$9), 1+$AP24, 0) = INDEX(OFFSET($O$15,0,0,$B$8,$B$9), 1+AZ$14, 0))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
) / $B$13)</f>
        <v>0.4</v>
      </c>
      <c r="BB24" cm="1">
        <f t="array" aca="1" ref="BB24" ca="1">IF($AP24=BB$14, 1, SUMPRODUCT(
    --(OFFSET($O$13,0,0,1,$B$9)=TRUE),
    --(INDEX(OFFSET($O$15,0,0,$B$8,$B$9), 1+$AP24, 0) = INDEX(OFFSET($O$15,0,0,$B$8,$B$9), 1+BB$14, 0))
) / $B$13)</f>
        <v>0.6</v>
      </c>
      <c r="BC24" cm="1">
        <f t="array" aca="1" ref="BC24" ca="1">IF($AP24=BC$14, 1, SUMPRODUCT(
    --(OFFSET($O$13,0,0,1,$B$9)=TRUE),
    --(INDEX(OFFSET($O$15,0,0,$B$8,$B$9), 1+$AP24, 0) = INDEX(OFFSET($O$15,0,0,$B$8,$B$9), 1+BC$14, 0))
) / $B$13)</f>
        <v>0.6</v>
      </c>
      <c r="BD24" cm="1">
        <f t="array" aca="1" ref="BD24" ca="1">IF($AP24=BD$14, 1, SUMPRODUCT(
    --(OFFSET($O$13,0,0,1,$B$9)=TRUE),
    --(INDEX(OFFSET($O$15,0,0,$B$8,$B$9), 1+$AP24, 0) = INDEX(OFFSET($O$15,0,0,$B$8,$B$9), 1+BD$14, 0))
) / $B$13)</f>
        <v>0.4</v>
      </c>
      <c r="BE24" cm="1">
        <f t="array" aca="1" ref="BE24" ca="1">IF($AP24=BE$14, 1, SUMPRODUCT(
    --(OFFSET($O$13,0,0,1,$B$9)=TRUE),
    --(INDEX(OFFSET($O$15,0,0,$B$8,$B$9), 1+$AP24, 0) = INDEX(OFFSET($O$15,0,0,$B$8,$B$9), 1+BE$14, 0))
) / $B$13)</f>
        <v>0.6</v>
      </c>
      <c r="BF24" cm="1">
        <f t="array" aca="1" ref="BF24" ca="1">IF($AP24=BF$14, 1, SUMPRODUCT(
    --(OFFSET($O$13,0,0,1,$B$9)=TRUE),
    --(INDEX(OFFSET($O$15,0,0,$B$8,$B$9), 1+$AP24, 0) = INDEX(OFFSET($O$15,0,0,$B$8,$B$9), 1+BF$14, 0))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
) / $B$13)</f>
        <v>0</v>
      </c>
      <c r="BH24" cm="1">
        <f t="array" aca="1" ref="BH24" ca="1">IF($AP24=BH$14, 1, SUMPRODUCT(
    --(OFFSET($O$13,0,0,1,$B$9)=TRUE),
    --(INDEX(OFFSET($O$15,0,0,$B$8,$B$9), 1+$AP24, 0) = INDEX(OFFSET($O$15,0,0,$B$8,$B$9), 1+BH$14, 0))
) / $B$13)</f>
        <v>0.2</v>
      </c>
      <c r="BI24" cm="1">
        <f t="array" aca="1" ref="BI24" ca="1">IF($AP24=BI$14, 1, SUMPRODUCT(
    --(OFFSET($O$13,0,0,1,$B$9)=TRUE),
    --(INDEX(OFFSET($O$15,0,0,$B$8,$B$9), 1+$AP24, 0) = INDEX(OFFSET($O$15,0,0,$B$8,$B$9), 1+BI$14, 0))
) / $B$13)</f>
        <v>0.2</v>
      </c>
      <c r="BJ24" cm="1">
        <f t="array" aca="1" ref="BJ24" ca="1">IF($AP24=BJ$14, 1, SUMPRODUCT(
    --(OFFSET($O$13,0,0,1,$B$9)=TRUE),
    --(INDEX(OFFSET($O$15,0,0,$B$8,$B$9), 1+$AP24, 0) = INDEX(OFFSET($O$15,0,0,$B$8,$B$9), 1+BJ$14, 0))
) / $B$13)</f>
        <v>0.4</v>
      </c>
      <c r="BN24">
        <f t="shared" ca="1" si="6"/>
        <v>16</v>
      </c>
      <c r="BO24" s="14">
        <f t="shared" ca="1" si="7"/>
        <v>6.25E-2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
) / $B$16)</f>
        <v>0.6</v>
      </c>
      <c r="BR24" cm="1">
        <f t="array" aca="1" ref="BR24" ca="1">IF($BP24=BR$14, 1, SUMPRODUCT(
    --(OFFSET($O$9,0,0,1,$B$9)=TRUE),
    --(INDEX(OFFSET($O$15,0,0,$B$8,$B$9), 1+$BP24, 0) = INDEX(OFFSET($O$15,0,0,$B$8,$B$9), 1+BR$14, 0))
) / $B$16)</f>
        <v>0.4</v>
      </c>
      <c r="BS24" cm="1">
        <f t="array" aca="1" ref="BS24" ca="1">IF($BP24=BS$14, 1, SUMPRODUCT(
    --(OFFSET($O$9,0,0,1,$B$9)=TRUE),
    --(INDEX(OFFSET($O$15,0,0,$B$8,$B$9), 1+$BP24, 0) = INDEX(OFFSET($O$15,0,0,$B$8,$B$9), 1+BS$14, 0))
) / $B$16)</f>
        <v>0.4</v>
      </c>
      <c r="BT24" cm="1">
        <f t="array" aca="1" ref="BT24" ca="1">IF($BP24=BT$14, 1, SUMPRODUCT(
    --(OFFSET($O$9,0,0,1,$B$9)=TRUE),
    --(INDEX(OFFSET($O$15,0,0,$B$8,$B$9), 1+$BP24, 0) = INDEX(OFFSET($O$15,0,0,$B$8,$B$9), 1+BT$14, 0))
) / $B$16)</f>
        <v>0.4</v>
      </c>
      <c r="BU24" cm="1">
        <f t="array" aca="1" ref="BU24" ca="1">IF($BP24=BU$14, 1, SUMPRODUCT(
    --(OFFSET($O$9,0,0,1,$B$9)=TRUE),
    --(INDEX(OFFSET($O$15,0,0,$B$8,$B$9), 1+$BP24, 0) = INDEX(OFFSET($O$15,0,0,$B$8,$B$9), 1+BU$14, 0))
) / $B$16)</f>
        <v>0.2</v>
      </c>
      <c r="BV24" cm="1">
        <f t="array" aca="1" ref="BV24" ca="1">IF($BP24=BV$14, 1, SUMPRODUCT(
    --(OFFSET($O$9,0,0,1,$B$9)=TRUE),
    --(INDEX(OFFSET($O$15,0,0,$B$8,$B$9), 1+$BP24, 0) = INDEX(OFFSET($O$15,0,0,$B$8,$B$9), 1+BV$14, 0))
) / $B$16)</f>
        <v>0.4</v>
      </c>
      <c r="BW24" cm="1">
        <f t="array" aca="1" ref="BW24" ca="1">IF($BP24=BW$14, 1, SUMPRODUCT(
    --(OFFSET($O$9,0,0,1,$B$9)=TRUE),
    --(INDEX(OFFSET($O$15,0,0,$B$8,$B$9), 1+$BP24, 0) = INDEX(OFFSET($O$15,0,0,$B$8,$B$9), 1+BW$14, 0))
) / $B$16)</f>
        <v>0.4</v>
      </c>
      <c r="BX24" cm="1">
        <f t="array" aca="1" ref="BX24" ca="1">IF($BP24=BX$14, 1, SUMPRODUCT(
    --(OFFSET($O$9,0,0,1,$B$9)=TRUE),
    --(INDEX(OFFSET($O$15,0,0,$B$8,$B$9), 1+$BP24, 0) = INDEX(OFFSET($O$15,0,0,$B$8,$B$9), 1+BX$14, 0))
) / $B$16)</f>
        <v>0.4</v>
      </c>
      <c r="BY24" cm="1">
        <f t="array" aca="1" ref="BY24" ca="1">IF($BP24=BY$14, 1, SUMPRODUCT(
    --(OFFSET($O$9,0,0,1,$B$9)=TRUE),
    --(INDEX(OFFSET($O$15,0,0,$B$8,$B$9), 1+$BP24, 0) = INDEX(OFFSET($O$15,0,0,$B$8,$B$9), 1+BY$14, 0))
) / $B$16)</f>
        <v>0.6</v>
      </c>
      <c r="BZ24" cm="1">
        <f t="array" aca="1" ref="BZ24" ca="1">IF($BP24=BZ$14, 1, SUMPRODUCT(
    --(OFFSET($O$9,0,0,1,$B$9)=TRUE),
    --(INDEX(OFFSET($O$15,0,0,$B$8,$B$9), 1+$BP24, 0) = INDEX(OFFSET($O$15,0,0,$B$8,$B$9), 1+BZ$14, 0))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
) / $B$16)</f>
        <v>0.4</v>
      </c>
      <c r="CB24" cm="1">
        <f t="array" aca="1" ref="CB24" ca="1">IF($BP24=CB$14, 1, SUMPRODUCT(
    --(OFFSET($O$9,0,0,1,$B$9)=TRUE),
    --(INDEX(OFFSET($O$15,0,0,$B$8,$B$9), 1+$BP24, 0) = INDEX(OFFSET($O$15,0,0,$B$8,$B$9), 1+CB$14, 0))
) / $B$16)</f>
        <v>0.6</v>
      </c>
      <c r="CC24" cm="1">
        <f t="array" aca="1" ref="CC24" ca="1">IF($BP24=CC$14, 1, SUMPRODUCT(
    --(OFFSET($O$9,0,0,1,$B$9)=TRUE),
    --(INDEX(OFFSET($O$15,0,0,$B$8,$B$9), 1+$BP24, 0) = INDEX(OFFSET($O$15,0,0,$B$8,$B$9), 1+CC$14, 0))
) / $B$16)</f>
        <v>0.6</v>
      </c>
      <c r="CD24" cm="1">
        <f t="array" aca="1" ref="CD24" ca="1">IF($BP24=CD$14, 1, SUMPRODUCT(
    --(OFFSET($O$9,0,0,1,$B$9)=TRUE),
    --(INDEX(OFFSET($O$15,0,0,$B$8,$B$9), 1+$BP24, 0) = INDEX(OFFSET($O$15,0,0,$B$8,$B$9), 1+CD$14, 0))
) / $B$16)</f>
        <v>0.4</v>
      </c>
      <c r="CE24" cm="1">
        <f t="array" aca="1" ref="CE24" ca="1">IF($BP24=CE$14, 1, SUMPRODUCT(
    --(OFFSET($O$9,0,0,1,$B$9)=TRUE),
    --(INDEX(OFFSET($O$15,0,0,$B$8,$B$9), 1+$BP24, 0) = INDEX(OFFSET($O$15,0,0,$B$8,$B$9), 1+CE$14, 0))
) / $B$16)</f>
        <v>0.6</v>
      </c>
      <c r="CF24" cm="1">
        <f t="array" aca="1" ref="CF24" ca="1">IF($BP24=CF$14, 1, SUMPRODUCT(
    --(OFFSET($O$9,0,0,1,$B$9)=TRUE),
    --(INDEX(OFFSET($O$15,0,0,$B$8,$B$9), 1+$BP24, 0) = INDEX(OFFSET($O$15,0,0,$B$8,$B$9), 1+CF$14, 0))
) / $B$16)</f>
        <v>0.8</v>
      </c>
      <c r="CG24" cm="1">
        <f t="array" aca="1" ref="CG24" ca="1">IF($BP24=CG$14, 1, SUMPRODUCT(
    --(OFFSET($O$9,0,0,1,$B$9)=TRUE),
    --(INDEX(OFFSET($O$15,0,0,$B$8,$B$9), 1+$BP24, 0) = INDEX(OFFSET($O$15,0,0,$B$8,$B$9), 1+CG$14, 0))
) / $B$16)</f>
        <v>0</v>
      </c>
      <c r="CH24" cm="1">
        <f t="array" aca="1" ref="CH24" ca="1">IF($BP24=CH$14, 1, SUMPRODUCT(
    --(OFFSET($O$9,0,0,1,$B$9)=TRUE),
    --(INDEX(OFFSET($O$15,0,0,$B$8,$B$9), 1+$BP24, 0) = INDEX(OFFSET($O$15,0,0,$B$8,$B$9), 1+CH$14, 0))
) / $B$16)</f>
        <v>0.2</v>
      </c>
      <c r="CI24" cm="1">
        <f t="array" aca="1" ref="CI24" ca="1">IF($BP24=CI$14, 1, SUMPRODUCT(
    --(OFFSET($O$9,0,0,1,$B$9)=TRUE),
    --(INDEX(OFFSET($O$15,0,0,$B$8,$B$9), 1+$BP24, 0) = INDEX(OFFSET($O$15,0,0,$B$8,$B$9), 1+CI$14, 0))
) / $B$16)</f>
        <v>0.2</v>
      </c>
      <c r="CJ24" cm="1">
        <f t="array" aca="1" ref="CJ24" ca="1">IF($BP24=CJ$14, 1, SUMPRODUCT(
    --(OFFSET($O$9,0,0,1,$B$9)=TRUE),
    --(INDEX(OFFSET($O$15,0,0,$B$8,$B$9), 1+$BP24, 0) = INDEX(OFFSET($O$15,0,0,$B$8,$B$9), 1+CJ$14, 0))
) / $B$16)</f>
        <v>0.4</v>
      </c>
      <c r="DF24" cm="1">
        <f t="array" aca="1" ref="DF24" ca="1">INDEX(_xlfn.ANCHORARRAY($CP$15), 1 + INT((ROWS($DG$15:$DG24) - 1) / ROWS(_xlfn.ANCHORARRAY($CP$15))))</f>
        <v>1</v>
      </c>
      <c r="DG24" cm="1">
        <f t="array" aca="1" ref="DG24" ca="1">INDEX(_xlfn.ANCHORARRAY($CP$15),1+MOD(ROWS($DG$15:$DG24)-1,ROWS(_xlfn.ANCHORARRAY($CP$15))))</f>
        <v>4</v>
      </c>
      <c r="DH24" s="10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$B$18/($B$19*$B$19*($DF24&lt;&gt;$DG24) + $B$19*($DF24=$DG24))</f>
        <v>1.1999999999999999E-3</v>
      </c>
      <c r="DI24" s="10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$B$18/($B$19*$B$19*($DF24&lt;&gt;$DG24) + $B$19*($DF24=$DG24))</f>
        <v>1.1999999999999999E-3</v>
      </c>
      <c r="DJ24" s="10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$B$18/($B$19*$B$19*($DF24&lt;&gt;$DG24) + $B$19*($DF24=$DG24))</f>
        <v>1.1999999999999999E-3</v>
      </c>
      <c r="DK24" s="10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$B$18/($B$19*$B$19*($DF24&lt;&gt;$DG24) + $B$19*($DF24=$DG24))</f>
        <v>1.1999999999999999E-3</v>
      </c>
      <c r="DL24" s="10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$B$18/($B$19*$B$19*($DF24&lt;&gt;$DG24) + $B$19*($DF24=$DG24))</f>
        <v>1.1999999999999999E-3</v>
      </c>
      <c r="DM24" s="10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$B$18/($B$19*$B$19*($DF24&lt;&gt;$DG24) + $B$19*($DF24=$DG24))</f>
        <v>1.1999999999999999E-3</v>
      </c>
      <c r="DN24" s="10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$B$18/($B$19*$B$19*($DF24&lt;&gt;$DG24) + $B$19*($DF24=$DG24))</f>
        <v>0.2051856154374859</v>
      </c>
      <c r="DO24" s="10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$B$18/($B$19*$B$19*($DF24&lt;&gt;$DG24) + $B$19*($DF24=$DG24))</f>
        <v>6.6203003401930277E-2</v>
      </c>
      <c r="DP24" s="10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$B$18/($B$19*$B$19*($DF24&lt;&gt;$DG24) + $B$19*($DF24=$DG24))</f>
        <v>1.1999999999999999E-3</v>
      </c>
      <c r="DQ24" s="10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$B$18/($B$19*$B$19*($DF24&lt;&gt;$DG24) + $B$19*($DF24=$DG24))</f>
        <v>1.1999999999999999E-3</v>
      </c>
      <c r="DR24" s="10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$B$18/($B$19*$B$19*($DF24&lt;&gt;$DG24) + $B$19*($DF24=$DG24))</f>
        <v>0.11549099499240487</v>
      </c>
      <c r="DS24" s="10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$B$18/($B$19*$B$19*($DF24&lt;&gt;$DG24) + $B$19*($DF24=$DG24))</f>
        <v>1.1999999999999999E-3</v>
      </c>
      <c r="DT24" s="10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$B$18/($B$19*$B$19*($DF24&lt;&gt;$DG24) + $B$19*($DF24=$DG24))</f>
        <v>1.1999999999999999E-3</v>
      </c>
      <c r="DU24" s="10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$B$18/($B$19*$B$19*($DF24&lt;&gt;$DG24) + $B$19*($DF24=$DG24))</f>
        <v>0.13120600680386055</v>
      </c>
      <c r="DV24" s="10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$B$18/($B$19*$B$19*($DF24&lt;&gt;$DG24) + $B$19*($DF24=$DG24))</f>
        <v>0.17747285040170502</v>
      </c>
      <c r="DW24" s="10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$B$18/($B$19*$B$19*($DF24&lt;&gt;$DG24) + $B$19*($DF24=$DG24))</f>
        <v>6.6203003401930277E-2</v>
      </c>
    </row>
    <row r="25" spans="1:127" x14ac:dyDescent="0.2">
      <c r="D25" s="10">
        <f ca="1"/>
        <v>10</v>
      </c>
      <c r="F25" s="10">
        <f ca="1"/>
        <v>0.125</v>
      </c>
      <c r="H25" s="10"/>
      <c r="J25" cm="1">
        <f t="array" aca="1" ref="J25" ca="1">SUMPRODUCT((O25:AJ25=$O$11:$AJ$11)*(O$13:AJ$13=TRUE))  / COUNTIF(O$13:AJ$13,TRUE)</f>
        <v>0.2</v>
      </c>
      <c r="K25" t="b">
        <f t="shared" ca="1" si="9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3"/>
        <v>1</v>
      </c>
      <c r="N25" s="2">
        <v>10</v>
      </c>
      <c r="O25" s="12" t="s">
        <v>4</v>
      </c>
      <c r="P25" s="9" t="s">
        <v>2</v>
      </c>
      <c r="Q25" s="9" t="s">
        <v>0</v>
      </c>
      <c r="R25" s="9" t="s">
        <v>3</v>
      </c>
      <c r="S25" s="9" t="s">
        <v>4</v>
      </c>
      <c r="AK25" s="7"/>
      <c r="AN25">
        <f t="shared" ca="1" si="4"/>
        <v>8</v>
      </c>
      <c r="AO25" s="14">
        <f t="shared" ca="1" si="5"/>
        <v>0.125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
) / $B$13)</f>
        <v>0.2</v>
      </c>
      <c r="AR25" cm="1">
        <f t="array" aca="1" ref="AR25" ca="1">IF($AP25=AR$14, 1, SUMPRODUCT(
    --(OFFSET($O$13,0,0,1,$B$9)=TRUE),
    --(INDEX(OFFSET($O$15,0,0,$B$8,$B$9), 1+$AP25, 0) = INDEX(OFFSET($O$15,0,0,$B$8,$B$9), 1+AR$14, 0))
) / $B$13)</f>
        <v>0.4</v>
      </c>
      <c r="AS25" cm="1">
        <f t="array" aca="1" ref="AS25" ca="1">IF($AP25=AS$14, 1, SUMPRODUCT(
    --(OFFSET($O$13,0,0,1,$B$9)=TRUE),
    --(INDEX(OFFSET($O$15,0,0,$B$8,$B$9), 1+$AP25, 0) = INDEX(OFFSET($O$15,0,0,$B$8,$B$9), 1+AS$14, 0))
) / $B$13)</f>
        <v>0.2</v>
      </c>
      <c r="AT25" cm="1">
        <f t="array" aca="1" ref="AT25" ca="1">IF($AP25=AT$14, 1, SUMPRODUCT(
    --(OFFSET($O$13,0,0,1,$B$9)=TRUE),
    --(INDEX(OFFSET($O$15,0,0,$B$8,$B$9), 1+$AP25, 0) = INDEX(OFFSET($O$15,0,0,$B$8,$B$9), 1+AT$14, 0))
) / $B$13)</f>
        <v>0.2</v>
      </c>
      <c r="AU25" cm="1">
        <f t="array" aca="1" ref="AU25" ca="1">IF($AP25=AU$14, 1, SUMPRODUCT(
    --(OFFSET($O$13,0,0,1,$B$9)=TRUE),
    --(INDEX(OFFSET($O$15,0,0,$B$8,$B$9), 1+$AP25, 0) = INDEX(OFFSET($O$15,0,0,$B$8,$B$9), 1+AU$14, 0))
) / $B$13)</f>
        <v>0</v>
      </c>
      <c r="AV25" cm="1">
        <f t="array" aca="1" ref="AV25" ca="1">IF($AP25=AV$14, 1, SUMPRODUCT(
    --(OFFSET($O$13,0,0,1,$B$9)=TRUE),
    --(INDEX(OFFSET($O$15,0,0,$B$8,$B$9), 1+$AP25, 0) = INDEX(OFFSET($O$15,0,0,$B$8,$B$9), 1+AV$14, 0))
) / $B$13)</f>
        <v>0.4</v>
      </c>
      <c r="AW25" cm="1">
        <f t="array" aca="1" ref="AW25" ca="1">IF($AP25=AW$14, 1, SUMPRODUCT(
    --(OFFSET($O$13,0,0,1,$B$9)=TRUE),
    --(INDEX(OFFSET($O$15,0,0,$B$8,$B$9), 1+$AP25, 0) = INDEX(OFFSET($O$15,0,0,$B$8,$B$9), 1+AW$14, 0))
) / $B$13)</f>
        <v>0.2</v>
      </c>
      <c r="AX25" cm="1">
        <f t="array" aca="1" ref="AX25" ca="1">IF($AP25=AX$14, 1, SUMPRODUCT(
    --(OFFSET($O$13,0,0,1,$B$9)=TRUE),
    --(INDEX(OFFSET($O$15,0,0,$B$8,$B$9), 1+$AP25, 0) = INDEX(OFFSET($O$15,0,0,$B$8,$B$9), 1+AX$14, 0))
) / $B$13)</f>
        <v>0.2</v>
      </c>
      <c r="AY25" cm="1">
        <f t="array" aca="1" ref="AY25" ca="1">IF($AP25=AY$14, 1, SUMPRODUCT(
    --(OFFSET($O$13,0,0,1,$B$9)=TRUE),
    --(INDEX(OFFSET($O$15,0,0,$B$8,$B$9), 1+$AP25, 0) = INDEX(OFFSET($O$15,0,0,$B$8,$B$9), 1+AY$14, 0))
) / $B$13)</f>
        <v>0.2</v>
      </c>
      <c r="AZ25" cm="1">
        <f t="array" aca="1" ref="AZ25" ca="1">IF($AP25=AZ$14, 1, SUMPRODUCT(
    --(OFFSET($O$13,0,0,1,$B$9)=TRUE),
    --(INDEX(OFFSET($O$15,0,0,$B$8,$B$9), 1+$AP25, 0) = INDEX(OFFSET($O$15,0,0,$B$8,$B$9), 1+AZ$14, 0))
) / $B$13)</f>
        <v>0.4</v>
      </c>
      <c r="BA25" cm="1">
        <f t="array" aca="1" ref="BA25" ca="1">IF($AP25=BA$14, 1, SUMPRODUCT(
    --(OFFSET($O$13,0,0,1,$B$9)=TRUE),
    --(INDEX(OFFSET($O$15,0,0,$B$8,$B$9), 1+$AP25, 0) = INDEX(OFFSET($O$15,0,0,$B$8,$B$9), 1+BA$14, 0))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
) / $B$13)</f>
        <v>0.4</v>
      </c>
      <c r="BC25" cm="1">
        <f t="array" aca="1" ref="BC25" ca="1">IF($AP25=BC$14, 1, SUMPRODUCT(
    --(OFFSET($O$13,0,0,1,$B$9)=TRUE),
    --(INDEX(OFFSET($O$15,0,0,$B$8,$B$9), 1+$AP25, 0) = INDEX(OFFSET($O$15,0,0,$B$8,$B$9), 1+BC$14, 0))
) / $B$13)</f>
        <v>0.6</v>
      </c>
      <c r="BD25" cm="1">
        <f t="array" aca="1" ref="BD25" ca="1">IF($AP25=BD$14, 1, SUMPRODUCT(
    --(OFFSET($O$13,0,0,1,$B$9)=TRUE),
    --(INDEX(OFFSET($O$15,0,0,$B$8,$B$9), 1+$AP25, 0) = INDEX(OFFSET($O$15,0,0,$B$8,$B$9), 1+BD$14, 0))
) / $B$13)</f>
        <v>0.2</v>
      </c>
      <c r="BE25" cm="1">
        <f t="array" aca="1" ref="BE25" ca="1">IF($AP25=BE$14, 1, SUMPRODUCT(
    --(OFFSET($O$13,0,0,1,$B$9)=TRUE),
    --(INDEX(OFFSET($O$15,0,0,$B$8,$B$9), 1+$AP25, 0) = INDEX(OFFSET($O$15,0,0,$B$8,$B$9), 1+BE$14, 0))
) / $B$13)</f>
        <v>0.6</v>
      </c>
      <c r="BF25" cm="1">
        <f t="array" aca="1" ref="BF25" ca="1">IF($AP25=BF$14, 1, SUMPRODUCT(
    --(OFFSET($O$13,0,0,1,$B$9)=TRUE),
    --(INDEX(OFFSET($O$15,0,0,$B$8,$B$9), 1+$AP25, 0) = INDEX(OFFSET($O$15,0,0,$B$8,$B$9), 1+BF$14, 0))
) / $B$13)</f>
        <v>0.4</v>
      </c>
      <c r="BG25" cm="1">
        <f t="array" aca="1" ref="BG25" ca="1">IF($AP25=BG$14, 1, SUMPRODUCT(
    --(OFFSET($O$13,0,0,1,$B$9)=TRUE),
    --(INDEX(OFFSET($O$15,0,0,$B$8,$B$9), 1+$AP25, 0) = INDEX(OFFSET($O$15,0,0,$B$8,$B$9), 1+BG$14, 0))
) / $B$13)</f>
        <v>0.2</v>
      </c>
      <c r="BH25" cm="1">
        <f t="array" aca="1" ref="BH25" ca="1">IF($AP25=BH$14, 1, SUMPRODUCT(
    --(OFFSET($O$13,0,0,1,$B$9)=TRUE),
    --(INDEX(OFFSET($O$15,0,0,$B$8,$B$9), 1+$AP25, 0) = INDEX(OFFSET($O$15,0,0,$B$8,$B$9), 1+BH$14, 0))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
) / $B$13)</f>
        <v>0</v>
      </c>
      <c r="BJ25" cm="1">
        <f t="array" aca="1" ref="BJ25" ca="1">IF($AP25=BJ$14, 1, SUMPRODUCT(
    --(OFFSET($O$13,0,0,1,$B$9)=TRUE),
    --(INDEX(OFFSET($O$15,0,0,$B$8,$B$9), 1+$AP25, 0) = INDEX(OFFSET($O$15,0,0,$B$8,$B$9), 1+BJ$14, 0))
) / $B$13)</f>
        <v>0</v>
      </c>
      <c r="BN25">
        <f t="shared" ca="1" si="6"/>
        <v>8</v>
      </c>
      <c r="BO25" s="14">
        <f t="shared" ca="1" si="7"/>
        <v>0.125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
) / $B$16)</f>
        <v>0.2</v>
      </c>
      <c r="BR25" cm="1">
        <f t="array" aca="1" ref="BR25" ca="1">IF($BP25=BR$14, 1, SUMPRODUCT(
    --(OFFSET($O$9,0,0,1,$B$9)=TRUE),
    --(INDEX(OFFSET($O$15,0,0,$B$8,$B$9), 1+$BP25, 0) = INDEX(OFFSET($O$15,0,0,$B$8,$B$9), 1+BR$14, 0))
) / $B$16)</f>
        <v>0.4</v>
      </c>
      <c r="BS25" cm="1">
        <f t="array" aca="1" ref="BS25" ca="1">IF($BP25=BS$14, 1, SUMPRODUCT(
    --(OFFSET($O$9,0,0,1,$B$9)=TRUE),
    --(INDEX(OFFSET($O$15,0,0,$B$8,$B$9), 1+$BP25, 0) = INDEX(OFFSET($O$15,0,0,$B$8,$B$9), 1+BS$14, 0))
) / $B$16)</f>
        <v>0.2</v>
      </c>
      <c r="BT25" cm="1">
        <f t="array" aca="1" ref="BT25" ca="1">IF($BP25=BT$14, 1, SUMPRODUCT(
    --(OFFSET($O$9,0,0,1,$B$9)=TRUE),
    --(INDEX(OFFSET($O$15,0,0,$B$8,$B$9), 1+$BP25, 0) = INDEX(OFFSET($O$15,0,0,$B$8,$B$9), 1+BT$14, 0))
) / $B$16)</f>
        <v>0.2</v>
      </c>
      <c r="BU25" cm="1">
        <f t="array" aca="1" ref="BU25" ca="1">IF($BP25=BU$14, 1, SUMPRODUCT(
    --(OFFSET($O$9,0,0,1,$B$9)=TRUE),
    --(INDEX(OFFSET($O$15,0,0,$B$8,$B$9), 1+$BP25, 0) = INDEX(OFFSET($O$15,0,0,$B$8,$B$9), 1+BU$14, 0))
) / $B$16)</f>
        <v>0</v>
      </c>
      <c r="BV25" cm="1">
        <f t="array" aca="1" ref="BV25" ca="1">IF($BP25=BV$14, 1, SUMPRODUCT(
    --(OFFSET($O$9,0,0,1,$B$9)=TRUE),
    --(INDEX(OFFSET($O$15,0,0,$B$8,$B$9), 1+$BP25, 0) = INDEX(OFFSET($O$15,0,0,$B$8,$B$9), 1+BV$14, 0))
) / $B$16)</f>
        <v>0.4</v>
      </c>
      <c r="BW25" cm="1">
        <f t="array" aca="1" ref="BW25" ca="1">IF($BP25=BW$14, 1, SUMPRODUCT(
    --(OFFSET($O$9,0,0,1,$B$9)=TRUE),
    --(INDEX(OFFSET($O$15,0,0,$B$8,$B$9), 1+$BP25, 0) = INDEX(OFFSET($O$15,0,0,$B$8,$B$9), 1+BW$14, 0))
) / $B$16)</f>
        <v>0.2</v>
      </c>
      <c r="BX25" cm="1">
        <f t="array" aca="1" ref="BX25" ca="1">IF($BP25=BX$14, 1, SUMPRODUCT(
    --(OFFSET($O$9,0,0,1,$B$9)=TRUE),
    --(INDEX(OFFSET($O$15,0,0,$B$8,$B$9), 1+$BP25, 0) = INDEX(OFFSET($O$15,0,0,$B$8,$B$9), 1+BX$14, 0))
) / $B$16)</f>
        <v>0.2</v>
      </c>
      <c r="BY25" cm="1">
        <f t="array" aca="1" ref="BY25" ca="1">IF($BP25=BY$14, 1, SUMPRODUCT(
    --(OFFSET($O$9,0,0,1,$B$9)=TRUE),
    --(INDEX(OFFSET($O$15,0,0,$B$8,$B$9), 1+$BP25, 0) = INDEX(OFFSET($O$15,0,0,$B$8,$B$9), 1+BY$14, 0))
) / $B$16)</f>
        <v>0.2</v>
      </c>
      <c r="BZ25" cm="1">
        <f t="array" aca="1" ref="BZ25" ca="1">IF($BP25=BZ$14, 1, SUMPRODUCT(
    --(OFFSET($O$9,0,0,1,$B$9)=TRUE),
    --(INDEX(OFFSET($O$15,0,0,$B$8,$B$9), 1+$BP25, 0) = INDEX(OFFSET($O$15,0,0,$B$8,$B$9), 1+BZ$14, 0))
) / $B$16)</f>
        <v>0.4</v>
      </c>
      <c r="CA25" cm="1">
        <f t="array" aca="1" ref="CA25" ca="1">IF($BP25=CA$14, 1, SUMPRODUCT(
    --(OFFSET($O$9,0,0,1,$B$9)=TRUE),
    --(INDEX(OFFSET($O$15,0,0,$B$8,$B$9), 1+$BP25, 0) = INDEX(OFFSET($O$15,0,0,$B$8,$B$9), 1+CA$14, 0))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
) / $B$16)</f>
        <v>0.4</v>
      </c>
      <c r="CC25" cm="1">
        <f t="array" aca="1" ref="CC25" ca="1">IF($BP25=CC$14, 1, SUMPRODUCT(
    --(OFFSET($O$9,0,0,1,$B$9)=TRUE),
    --(INDEX(OFFSET($O$15,0,0,$B$8,$B$9), 1+$BP25, 0) = INDEX(OFFSET($O$15,0,0,$B$8,$B$9), 1+CC$14, 0))
) / $B$16)</f>
        <v>0.6</v>
      </c>
      <c r="CD25" cm="1">
        <f t="array" aca="1" ref="CD25" ca="1">IF($BP25=CD$14, 1, SUMPRODUCT(
    --(OFFSET($O$9,0,0,1,$B$9)=TRUE),
    --(INDEX(OFFSET($O$15,0,0,$B$8,$B$9), 1+$BP25, 0) = INDEX(OFFSET($O$15,0,0,$B$8,$B$9), 1+CD$14, 0))
) / $B$16)</f>
        <v>0.2</v>
      </c>
      <c r="CE25" cm="1">
        <f t="array" aca="1" ref="CE25" ca="1">IF($BP25=CE$14, 1, SUMPRODUCT(
    --(OFFSET($O$9,0,0,1,$B$9)=TRUE),
    --(INDEX(OFFSET($O$15,0,0,$B$8,$B$9), 1+$BP25, 0) = INDEX(OFFSET($O$15,0,0,$B$8,$B$9), 1+CE$14, 0))
) / $B$16)</f>
        <v>0.6</v>
      </c>
      <c r="CF25" cm="1">
        <f t="array" aca="1" ref="CF25" ca="1">IF($BP25=CF$14, 1, SUMPRODUCT(
    --(OFFSET($O$9,0,0,1,$B$9)=TRUE),
    --(INDEX(OFFSET($O$15,0,0,$B$8,$B$9), 1+$BP25, 0) = INDEX(OFFSET($O$15,0,0,$B$8,$B$9), 1+CF$14, 0))
) / $B$16)</f>
        <v>0.4</v>
      </c>
      <c r="CG25" cm="1">
        <f t="array" aca="1" ref="CG25" ca="1">IF($BP25=CG$14, 1, SUMPRODUCT(
    --(OFFSET($O$9,0,0,1,$B$9)=TRUE),
    --(INDEX(OFFSET($O$15,0,0,$B$8,$B$9), 1+$BP25, 0) = INDEX(OFFSET($O$15,0,0,$B$8,$B$9), 1+CG$14, 0))
) / $B$16)</f>
        <v>0.2</v>
      </c>
      <c r="CH25" cm="1">
        <f t="array" aca="1" ref="CH25" ca="1">IF($BP25=CH$14, 1, SUMPRODUCT(
    --(OFFSET($O$9,0,0,1,$B$9)=TRUE),
    --(INDEX(OFFSET($O$15,0,0,$B$8,$B$9), 1+$BP25, 0) = INDEX(OFFSET($O$15,0,0,$B$8,$B$9), 1+CH$14, 0))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
) / $B$16)</f>
        <v>0</v>
      </c>
      <c r="CJ25" cm="1">
        <f t="array" aca="1" ref="CJ25" ca="1">IF($BP25=CJ$14, 1, SUMPRODUCT(
    --(OFFSET($O$9,0,0,1,$B$9)=TRUE),
    --(INDEX(OFFSET($O$15,0,0,$B$8,$B$9), 1+$BP25, 0) = INDEX(OFFSET($O$15,0,0,$B$8,$B$9), 1+CJ$14, 0))
) / $B$16)</f>
        <v>0</v>
      </c>
      <c r="DF25" cm="1">
        <f t="array" aca="1" ref="DF25" ca="1">INDEX(_xlfn.ANCHORARRAY($CP$15), 1 + INT((ROWS($DG$15:$DG25) - 1) / ROWS(_xlfn.ANCHORARRAY($CP$15))))</f>
        <v>2</v>
      </c>
      <c r="DG25" cm="1">
        <f t="array" aca="1" ref="DG25" ca="1">INDEX(_xlfn.ANCHORARRAY($CP$15),1+MOD(ROWS($DG$15:$DG25)-1,ROWS(_xlfn.ANCHORARRAY($CP$15))))</f>
        <v>0</v>
      </c>
      <c r="DH25" s="10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$B$18/($B$19*$B$19*($DF25&lt;&gt;$DG25) + $B$19*($DF25=$DG25))</f>
        <v>1.1999999999999999E-3</v>
      </c>
      <c r="DI25" s="10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$B$18/($B$19*$B$19*($DF25&lt;&gt;$DG25) + $B$19*($DF25=$DG25))</f>
        <v>3.5868268481029475E-2</v>
      </c>
      <c r="DJ25" s="10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$B$18/($B$19*$B$19*($DF25&lt;&gt;$DG25) + $B$19*($DF25=$DG25))</f>
        <v>3.8344573372531582E-2</v>
      </c>
      <c r="DK25" s="10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$B$18/($B$19*$B$19*($DF25&lt;&gt;$DG25) + $B$19*($DF25=$DG25))</f>
        <v>6.6203003401930277E-2</v>
      </c>
      <c r="DL25" s="10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$B$18/($B$19*$B$19*($DF25&lt;&gt;$DG25) + $B$19*($DF25=$DG25))</f>
        <v>0.21379805818513664</v>
      </c>
      <c r="DM25" s="10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$B$18/($B$19*$B$19*($DF25&lt;&gt;$DG25) + $B$19*($DF25=$DG25))</f>
        <v>3.1789648659731891E-2</v>
      </c>
      <c r="DN25" s="10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$B$18/($B$19*$B$19*($DF25&lt;&gt;$DG25) + $B$19*($DF25=$DG25))</f>
        <v>3.3701501700965135E-2</v>
      </c>
      <c r="DO25" s="10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$B$18/($B$19*$B$19*($DF25&lt;&gt;$DG25) + $B$19*($DF25=$DG25))</f>
        <v>3.1789648659731891E-2</v>
      </c>
      <c r="DP25" s="10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$B$18/($B$19*$B$19*($DF25&lt;&gt;$DG25) + $B$19*($DF25=$DG25))</f>
        <v>0.10520480544308844</v>
      </c>
      <c r="DQ25" s="10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$B$18/($B$19*$B$19*($DF25&lt;&gt;$DG25) + $B$19*($DF25=$DG25))</f>
        <v>3.8344573372531582E-2</v>
      </c>
      <c r="DR25" s="10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$B$18/($B$19*$B$19*($DF25&lt;&gt;$DG25) + $B$19*($DF25=$DG25))</f>
        <v>4.1201848247341702E-2</v>
      </c>
      <c r="DS25" s="10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$B$18/($B$19*$B$19*($DF25&lt;&gt;$DG25) + $B$19*($DF25=$DG25))</f>
        <v>3.8344573372531582E-2</v>
      </c>
      <c r="DT25" s="10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$B$18/($B$19*$B$19*($DF25&lt;&gt;$DG25) + $B$19*($DF25=$DG25))</f>
        <v>3.3701501700965135E-2</v>
      </c>
      <c r="DU25" s="10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$B$18/($B$19*$B$19*($DF25&lt;&gt;$DG25) + $B$19*($DF25=$DG25))</f>
        <v>7.5489146745063171E-2</v>
      </c>
      <c r="DV25" s="10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$B$18/($B$19*$B$19*($DF25&lt;&gt;$DG25) + $B$19*($DF25=$DG25))</f>
        <v>3.5868268481029475E-2</v>
      </c>
      <c r="DW25" s="10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$B$18/($B$19*$B$19*($DF25&lt;&gt;$DG25) + $B$19*($DF25=$DG25))</f>
        <v>3.8344573372531582E-2</v>
      </c>
    </row>
    <row r="26" spans="1:127" x14ac:dyDescent="0.2">
      <c r="D26" s="10">
        <f ca="1"/>
        <v>11</v>
      </c>
      <c r="F26" s="10">
        <f ca="1"/>
        <v>7.1428571428571425E-2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9"/>
        <v>1</v>
      </c>
      <c r="L26" cm="1">
        <f t="array" aca="1" ref="L26" ca="1">SUM(
   1*(_xlfn._xlws.FILTER(OFFSET($O26,0,0,1,$B$9),OFFSET($O$13,0,0,1,$B$9)) = "-")
) / $B$13</f>
        <v>0.2</v>
      </c>
      <c r="M26" t="b">
        <f t="shared" ca="1" si="3"/>
        <v>1</v>
      </c>
      <c r="N26" s="2">
        <v>11</v>
      </c>
      <c r="O26" s="12" t="s">
        <v>4</v>
      </c>
      <c r="P26" s="9" t="s">
        <v>5</v>
      </c>
      <c r="Q26" s="9" t="s">
        <v>4</v>
      </c>
      <c r="R26" s="9" t="s">
        <v>3</v>
      </c>
      <c r="S26" s="9" t="s">
        <v>3</v>
      </c>
      <c r="AK26" s="7"/>
      <c r="AN26">
        <f t="shared" ca="1" si="4"/>
        <v>14</v>
      </c>
      <c r="AO26" s="14">
        <f t="shared" ca="1" si="5"/>
        <v>7.1428571428571425E-2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
) / $B$13)</f>
        <v>0.6</v>
      </c>
      <c r="AS26" cm="1">
        <f t="array" aca="1" ref="AS26" ca="1">IF($AP26=AS$14, 1, SUMPRODUCT(
    --(OFFSET($O$13,0,0,1,$B$9)=TRUE),
    --(INDEX(OFFSET($O$15,0,0,$B$8,$B$9), 1+$AP26, 0) = INDEX(OFFSET($O$15,0,0,$B$8,$B$9), 1+AS$14, 0))
) / $B$13)</f>
        <v>0.4</v>
      </c>
      <c r="AT26" cm="1">
        <f t="array" aca="1" ref="AT26" ca="1">IF($AP26=AT$14, 1, SUMPRODUCT(
    --(OFFSET($O$13,0,0,1,$B$9)=TRUE),
    --(INDEX(OFFSET($O$15,0,0,$B$8,$B$9), 1+$AP26, 0) = INDEX(OFFSET($O$15,0,0,$B$8,$B$9), 1+AT$14, 0))
) / $B$13)</f>
        <v>0.4</v>
      </c>
      <c r="AU26" cm="1">
        <f t="array" aca="1" ref="AU26" ca="1">IF($AP26=AU$14, 1, SUMPRODUCT(
    --(OFFSET($O$13,0,0,1,$B$9)=TRUE),
    --(INDEX(OFFSET($O$15,0,0,$B$8,$B$9), 1+$AP26, 0) = INDEX(OFFSET($O$15,0,0,$B$8,$B$9), 1+AU$14, 0))
) / $B$13)</f>
        <v>0</v>
      </c>
      <c r="AV26" cm="1">
        <f t="array" aca="1" ref="AV26" ca="1">IF($AP26=AV$14, 1, SUMPRODUCT(
    --(OFFSET($O$13,0,0,1,$B$9)=TRUE),
    --(INDEX(OFFSET($O$15,0,0,$B$8,$B$9), 1+$AP26, 0) = INDEX(OFFSET($O$15,0,0,$B$8,$B$9), 1+AV$14, 0))
) / $B$13)</f>
        <v>0.6</v>
      </c>
      <c r="AW26" cm="1">
        <f t="array" aca="1" ref="AW26" ca="1">IF($AP26=AW$14, 1, SUMPRODUCT(
    --(OFFSET($O$13,0,0,1,$B$9)=TRUE),
    --(INDEX(OFFSET($O$15,0,0,$B$8,$B$9), 1+$AP26, 0) = INDEX(OFFSET($O$15,0,0,$B$8,$B$9), 1+AW$14, 0))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
) / $B$13)</f>
        <v>0.2</v>
      </c>
      <c r="AZ26" cm="1">
        <f t="array" aca="1" ref="AZ26" ca="1">IF($AP26=AZ$14, 1, SUMPRODUCT(
    --(OFFSET($O$13,0,0,1,$B$9)=TRUE),
    --(INDEX(OFFSET($O$15,0,0,$B$8,$B$9), 1+$AP26, 0) = INDEX(OFFSET($O$15,0,0,$B$8,$B$9), 1+AZ$14, 0))
) / $B$13)</f>
        <v>0.6</v>
      </c>
      <c r="BA26" cm="1">
        <f t="array" aca="1" ref="BA26" ca="1">IF($AP26=BA$14, 1, SUMPRODUCT(
    --(OFFSET($O$13,0,0,1,$B$9)=TRUE),
    --(INDEX(OFFSET($O$15,0,0,$B$8,$B$9), 1+$AP26, 0) = INDEX(OFFSET($O$15,0,0,$B$8,$B$9), 1+BA$14, 0))
) / $B$13)</f>
        <v>0.4</v>
      </c>
      <c r="BB26" cm="1">
        <f t="array" aca="1" ref="BB26" ca="1">IF($AP26=BB$14, 1, SUMPRODUCT(
    --(OFFSET($O$13,0,0,1,$B$9)=TRUE),
    --(INDEX(OFFSET($O$15,0,0,$B$8,$B$9), 1+$AP26, 0) = INDEX(OFFSET($O$15,0,0,$B$8,$B$9), 1+BB$14, 0))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
) / $B$13)</f>
        <v>0.4</v>
      </c>
      <c r="BD26" cm="1">
        <f t="array" aca="1" ref="BD26" ca="1">IF($AP26=BD$14, 1, SUMPRODUCT(
    --(OFFSET($O$13,0,0,1,$B$9)=TRUE),
    --(INDEX(OFFSET($O$15,0,0,$B$8,$B$9), 1+$AP26, 0) = INDEX(OFFSET($O$15,0,0,$B$8,$B$9), 1+BD$14, 0))
) / $B$13)</f>
        <v>0.6</v>
      </c>
      <c r="BE26" cm="1">
        <f t="array" aca="1" ref="BE26" ca="1">IF($AP26=BE$14, 1, SUMPRODUCT(
    --(OFFSET($O$13,0,0,1,$B$9)=TRUE),
    --(INDEX(OFFSET($O$15,0,0,$B$8,$B$9), 1+$AP26, 0) = INDEX(OFFSET($O$15,0,0,$B$8,$B$9), 1+BE$14, 0))
) / $B$13)</f>
        <v>0.4</v>
      </c>
      <c r="BF26" cm="1">
        <f t="array" aca="1" ref="BF26" ca="1">IF($AP26=BF$14, 1, SUMPRODUCT(
    --(OFFSET($O$13,0,0,1,$B$9)=TRUE),
    --(INDEX(OFFSET($O$15,0,0,$B$8,$B$9), 1+$AP26, 0) = INDEX(OFFSET($O$15,0,0,$B$8,$B$9), 1+BF$14, 0))
) / $B$13)</f>
        <v>0.6</v>
      </c>
      <c r="BG26" cm="1">
        <f t="array" aca="1" ref="BG26" ca="1">IF($AP26=BG$14, 1, SUMPRODUCT(
    --(OFFSET($O$13,0,0,1,$B$9)=TRUE),
    --(INDEX(OFFSET($O$15,0,0,$B$8,$B$9), 1+$AP26, 0) = INDEX(OFFSET($O$15,0,0,$B$8,$B$9), 1+BG$14, 0))
) / $B$13)</f>
        <v>0</v>
      </c>
      <c r="BH26" cm="1">
        <f t="array" aca="1" ref="BH26" ca="1">IF($AP26=BH$14, 1, SUMPRODUCT(
    --(OFFSET($O$13,0,0,1,$B$9)=TRUE),
    --(INDEX(OFFSET($O$15,0,0,$B$8,$B$9), 1+$AP26, 0) = INDEX(OFFSET($O$15,0,0,$B$8,$B$9), 1+BH$14, 0))
) / $B$13)</f>
        <v>0</v>
      </c>
      <c r="BI26" cm="1">
        <f t="array" aca="1" ref="BI26" ca="1">IF($AP26=BI$14, 1, SUMPRODUCT(
    --(OFFSET($O$13,0,0,1,$B$9)=TRUE),
    --(INDEX(OFFSET($O$15,0,0,$B$8,$B$9), 1+$AP26, 0) = INDEX(OFFSET($O$15,0,0,$B$8,$B$9), 1+BI$14, 0))
) / $B$13)</f>
        <v>0</v>
      </c>
      <c r="BJ26" cm="1">
        <f t="array" aca="1" ref="BJ26" ca="1">IF($AP26=BJ$14, 1, SUMPRODUCT(
    --(OFFSET($O$13,0,0,1,$B$9)=TRUE),
    --(INDEX(OFFSET($O$15,0,0,$B$8,$B$9), 1+$AP26, 0) = INDEX(OFFSET($O$15,0,0,$B$8,$B$9), 1+BJ$14, 0))
) / $B$13)</f>
        <v>0.2</v>
      </c>
      <c r="BN26">
        <f t="shared" ca="1" si="6"/>
        <v>14</v>
      </c>
      <c r="BO26" s="14">
        <f t="shared" ca="1" si="7"/>
        <v>7.1428571428571425E-2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
) / $B$16)</f>
        <v>0.4</v>
      </c>
      <c r="BR26" cm="1">
        <f t="array" aca="1" ref="BR26" ca="1">IF($BP26=BR$14, 1, SUMPRODUCT(
    --(OFFSET($O$9,0,0,1,$B$9)=TRUE),
    --(INDEX(OFFSET($O$15,0,0,$B$8,$B$9), 1+$BP26, 0) = INDEX(OFFSET($O$15,0,0,$B$8,$B$9), 1+BR$14, 0))
) / $B$16)</f>
        <v>0.6</v>
      </c>
      <c r="BS26" cm="1">
        <f t="array" aca="1" ref="BS26" ca="1">IF($BP26=BS$14, 1, SUMPRODUCT(
    --(OFFSET($O$9,0,0,1,$B$9)=TRUE),
    --(INDEX(OFFSET($O$15,0,0,$B$8,$B$9), 1+$BP26, 0) = INDEX(OFFSET($O$15,0,0,$B$8,$B$9), 1+BS$14, 0))
) / $B$16)</f>
        <v>0.4</v>
      </c>
      <c r="BT26" cm="1">
        <f t="array" aca="1" ref="BT26" ca="1">IF($BP26=BT$14, 1, SUMPRODUCT(
    --(OFFSET($O$9,0,0,1,$B$9)=TRUE),
    --(INDEX(OFFSET($O$15,0,0,$B$8,$B$9), 1+$BP26, 0) = INDEX(OFFSET($O$15,0,0,$B$8,$B$9), 1+BT$14, 0))
) / $B$16)</f>
        <v>0.4</v>
      </c>
      <c r="BU26" cm="1">
        <f t="array" aca="1" ref="BU26" ca="1">IF($BP26=BU$14, 1, SUMPRODUCT(
    --(OFFSET($O$9,0,0,1,$B$9)=TRUE),
    --(INDEX(OFFSET($O$15,0,0,$B$8,$B$9), 1+$BP26, 0) = INDEX(OFFSET($O$15,0,0,$B$8,$B$9), 1+BU$14, 0))
) / $B$16)</f>
        <v>0</v>
      </c>
      <c r="BV26" cm="1">
        <f t="array" aca="1" ref="BV26" ca="1">IF($BP26=BV$14, 1, SUMPRODUCT(
    --(OFFSET($O$9,0,0,1,$B$9)=TRUE),
    --(INDEX(OFFSET($O$15,0,0,$B$8,$B$9), 1+$BP26, 0) = INDEX(OFFSET($O$15,0,0,$B$8,$B$9), 1+BV$14, 0))
) / $B$16)</f>
        <v>0.6</v>
      </c>
      <c r="BW26" cm="1">
        <f t="array" aca="1" ref="BW26" ca="1">IF($BP26=BW$14, 1, SUMPRODUCT(
    --(OFFSET($O$9,0,0,1,$B$9)=TRUE),
    --(INDEX(OFFSET($O$15,0,0,$B$8,$B$9), 1+$BP26, 0) = INDEX(OFFSET($O$15,0,0,$B$8,$B$9), 1+BW$14, 0))
) / $B$16)</f>
        <v>0.4</v>
      </c>
      <c r="BX26" cm="1">
        <f t="array" aca="1" ref="BX26" ca="1">IF($BP26=BX$14, 1, SUMPRODUCT(
    --(OFFSET($O$9,0,0,1,$B$9)=TRUE),
    --(INDEX(OFFSET($O$15,0,0,$B$8,$B$9), 1+$BP26, 0) = INDEX(OFFSET($O$15,0,0,$B$8,$B$9), 1+BX$14, 0))
) / $B$16)</f>
        <v>0.4</v>
      </c>
      <c r="BY26" cm="1">
        <f t="array" aca="1" ref="BY26" ca="1">IF($BP26=BY$14, 1, SUMPRODUCT(
    --(OFFSET($O$9,0,0,1,$B$9)=TRUE),
    --(INDEX(OFFSET($O$15,0,0,$B$8,$B$9), 1+$BP26, 0) = INDEX(OFFSET($O$15,0,0,$B$8,$B$9), 1+BY$14, 0))
) / $B$16)</f>
        <v>0.2</v>
      </c>
      <c r="BZ26" cm="1">
        <f t="array" aca="1" ref="BZ26" ca="1">IF($BP26=BZ$14, 1, SUMPRODUCT(
    --(OFFSET($O$9,0,0,1,$B$9)=TRUE),
    --(INDEX(OFFSET($O$15,0,0,$B$8,$B$9), 1+$BP26, 0) = INDEX(OFFSET($O$15,0,0,$B$8,$B$9), 1+BZ$14, 0))
) / $B$16)</f>
        <v>0.6</v>
      </c>
      <c r="CA26" cm="1">
        <f t="array" aca="1" ref="CA26" ca="1">IF($BP26=CA$14, 1, SUMPRODUCT(
    --(OFFSET($O$9,0,0,1,$B$9)=TRUE),
    --(INDEX(OFFSET($O$15,0,0,$B$8,$B$9), 1+$BP26, 0) = INDEX(OFFSET($O$15,0,0,$B$8,$B$9), 1+CA$14, 0))
) / $B$16)</f>
        <v>0.4</v>
      </c>
      <c r="CB26" cm="1">
        <f t="array" aca="1" ref="CB26" ca="1">IF($BP26=CB$14, 1, SUMPRODUCT(
    --(OFFSET($O$9,0,0,1,$B$9)=TRUE),
    --(INDEX(OFFSET($O$15,0,0,$B$8,$B$9), 1+$BP26, 0) = INDEX(OFFSET($O$15,0,0,$B$8,$B$9), 1+CB$14, 0))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
) / $B$16)</f>
        <v>0.4</v>
      </c>
      <c r="CD26" cm="1">
        <f t="array" aca="1" ref="CD26" ca="1">IF($BP26=CD$14, 1, SUMPRODUCT(
    --(OFFSET($O$9,0,0,1,$B$9)=TRUE),
    --(INDEX(OFFSET($O$15,0,0,$B$8,$B$9), 1+$BP26, 0) = INDEX(OFFSET($O$15,0,0,$B$8,$B$9), 1+CD$14, 0))
) / $B$16)</f>
        <v>0.6</v>
      </c>
      <c r="CE26" cm="1">
        <f t="array" aca="1" ref="CE26" ca="1">IF($BP26=CE$14, 1, SUMPRODUCT(
    --(OFFSET($O$9,0,0,1,$B$9)=TRUE),
    --(INDEX(OFFSET($O$15,0,0,$B$8,$B$9), 1+$BP26, 0) = INDEX(OFFSET($O$15,0,0,$B$8,$B$9), 1+CE$14, 0))
) / $B$16)</f>
        <v>0.4</v>
      </c>
      <c r="CF26" cm="1">
        <f t="array" aca="1" ref="CF26" ca="1">IF($BP26=CF$14, 1, SUMPRODUCT(
    --(OFFSET($O$9,0,0,1,$B$9)=TRUE),
    --(INDEX(OFFSET($O$15,0,0,$B$8,$B$9), 1+$BP26, 0) = INDEX(OFFSET($O$15,0,0,$B$8,$B$9), 1+CF$14, 0))
) / $B$16)</f>
        <v>0.6</v>
      </c>
      <c r="CG26" cm="1">
        <f t="array" aca="1" ref="CG26" ca="1">IF($BP26=CG$14, 1, SUMPRODUCT(
    --(OFFSET($O$9,0,0,1,$B$9)=TRUE),
    --(INDEX(OFFSET($O$15,0,0,$B$8,$B$9), 1+$BP26, 0) = INDEX(OFFSET($O$15,0,0,$B$8,$B$9), 1+CG$14, 0))
) / $B$16)</f>
        <v>0</v>
      </c>
      <c r="CH26" cm="1">
        <f t="array" aca="1" ref="CH26" ca="1">IF($BP26=CH$14, 1, SUMPRODUCT(
    --(OFFSET($O$9,0,0,1,$B$9)=TRUE),
    --(INDEX(OFFSET($O$15,0,0,$B$8,$B$9), 1+$BP26, 0) = INDEX(OFFSET($O$15,0,0,$B$8,$B$9), 1+CH$14, 0))
) / $B$16)</f>
        <v>0</v>
      </c>
      <c r="CI26" cm="1">
        <f t="array" aca="1" ref="CI26" ca="1">IF($BP26=CI$14, 1, SUMPRODUCT(
    --(OFFSET($O$9,0,0,1,$B$9)=TRUE),
    --(INDEX(OFFSET($O$15,0,0,$B$8,$B$9), 1+$BP26, 0) = INDEX(OFFSET($O$15,0,0,$B$8,$B$9), 1+CI$14, 0))
) / $B$16)</f>
        <v>0</v>
      </c>
      <c r="CJ26" cm="1">
        <f t="array" aca="1" ref="CJ26" ca="1">IF($BP26=CJ$14, 1, SUMPRODUCT(
    --(OFFSET($O$9,0,0,1,$B$9)=TRUE),
    --(INDEX(OFFSET($O$15,0,0,$B$8,$B$9), 1+$BP26, 0) = INDEX(OFFSET($O$15,0,0,$B$8,$B$9), 1+CJ$14, 0))
) / $B$16)</f>
        <v>0.2</v>
      </c>
      <c r="DF26" cm="1">
        <f t="array" aca="1" ref="DF26" ca="1">INDEX(_xlfn.ANCHORARRAY($CP$15), 1 + INT((ROWS($DG$15:$DG26) - 1) / ROWS(_xlfn.ANCHORARRAY($CP$15))))</f>
        <v>2</v>
      </c>
      <c r="DG26" cm="1">
        <f t="array" aca="1" ref="DG26" ca="1">INDEX(_xlfn.ANCHORARRAY($CP$15),1+MOD(ROWS($DG$15:$DG26)-1,ROWS(_xlfn.ANCHORARRAY($CP$15))))</f>
        <v>1</v>
      </c>
      <c r="DH26" s="10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$B$18/($B$19*$B$19*($DF26&lt;&gt;$DG26) + $B$19*($DF26=$DG26))</f>
        <v>1.1999999999999999E-3</v>
      </c>
      <c r="DI26" s="10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$B$18/($B$19*$B$19*($DF26&lt;&gt;$DG26) + $B$19*($DF26=$DG26))</f>
        <v>0.13801584525549132</v>
      </c>
      <c r="DJ26" s="10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$B$18/($B$19*$B$19*($DF26&lt;&gt;$DG26) + $B$19*($DF26=$DG26))</f>
        <v>1.1999999999999999E-3</v>
      </c>
      <c r="DK26" s="10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$B$18/($B$19*$B$19*($DF26&lt;&gt;$DG26) + $B$19*($DF26=$DG26))</f>
        <v>1.1999999999999999E-3</v>
      </c>
      <c r="DL26" s="10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$B$18/($B$19*$B$19*($DF26&lt;&gt;$DG26) + $B$19*($DF26=$DG26))</f>
        <v>1.1999999999999999E-3</v>
      </c>
      <c r="DM26" s="10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$B$18/($B$19*$B$19*($DF26&lt;&gt;$DG26) + $B$19*($DF26=$DG26))</f>
        <v>1.1999999999999999E-3</v>
      </c>
      <c r="DN26" s="10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$B$18/($B$19*$B$19*($DF26&lt;&gt;$DG26) + $B$19*($DF26=$DG26))</f>
        <v>1.1999999999999999E-3</v>
      </c>
      <c r="DO26" s="10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$B$18/($B$19*$B$19*($DF26&lt;&gt;$DG26) + $B$19*($DF26=$DG26))</f>
        <v>0.37248186060749583</v>
      </c>
      <c r="DP26" s="10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$B$18/($B$19*$B$19*($DF26&lt;&gt;$DG26) + $B$19*($DF26=$DG26))</f>
        <v>1.1999999999999999E-3</v>
      </c>
      <c r="DQ26" s="10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$B$18/($B$19*$B$19*($DF26&lt;&gt;$DG26) + $B$19*($DF26=$DG26))</f>
        <v>1.1999999999999999E-3</v>
      </c>
      <c r="DR26" s="10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$B$18/($B$19*$B$19*($DF26&lt;&gt;$DG26) + $B$19*($DF26=$DG26))</f>
        <v>0.2194958004354933</v>
      </c>
      <c r="DS26" s="10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$B$18/($B$19*$B$19*($DF26&lt;&gt;$DG26) + $B$19*($DF26=$DG26))</f>
        <v>1.1999999999999999E-3</v>
      </c>
      <c r="DT26" s="10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$B$18/($B$19*$B$19*($DF26&lt;&gt;$DG26) + $B$19*($DF26=$DG26))</f>
        <v>1.1999999999999999E-3</v>
      </c>
      <c r="DU26" s="10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$B$18/($B$19*$B$19*($DF26&lt;&gt;$DG26) + $B$19*($DF26=$DG26))</f>
        <v>6.836977018199461E-2</v>
      </c>
      <c r="DV26" s="10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$B$18/($B$19*$B$19*($DF26&lt;&gt;$DG26) + $B$19*($DF26=$DG26))</f>
        <v>1.1999999999999999E-3</v>
      </c>
      <c r="DW26" s="10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$B$18/($B$19*$B$19*($DF26&lt;&gt;$DG26) + $B$19*($DF26=$DG26))</f>
        <v>1.1999999999999999E-3</v>
      </c>
    </row>
    <row r="27" spans="1:127" x14ac:dyDescent="0.2">
      <c r="D27" s="10">
        <f ca="1"/>
        <v>12</v>
      </c>
      <c r="F27" s="10">
        <f ca="1"/>
        <v>6.6666666666666666E-2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9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3"/>
        <v>1</v>
      </c>
      <c r="N27" s="2">
        <v>12</v>
      </c>
      <c r="O27" s="12" t="s">
        <v>2</v>
      </c>
      <c r="P27" s="9" t="s">
        <v>2</v>
      </c>
      <c r="Q27" s="9" t="s">
        <v>0</v>
      </c>
      <c r="R27" s="9" t="s">
        <v>3</v>
      </c>
      <c r="S27" s="9" t="s">
        <v>3</v>
      </c>
      <c r="AK27" s="7"/>
      <c r="AN27">
        <f t="shared" ca="1" si="4"/>
        <v>15</v>
      </c>
      <c r="AO27" s="14">
        <f t="shared" ca="1" si="5"/>
        <v>6.6666666666666666E-2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
) / $B$13)</f>
        <v>0.4</v>
      </c>
      <c r="AR27" cm="1">
        <f t="array" aca="1" ref="AR27" ca="1">IF($AP27=AR$14, 1, SUMPRODUCT(
    --(OFFSET($O$13,0,0,1,$B$9)=TRUE),
    --(INDEX(OFFSET($O$15,0,0,$B$8,$B$9), 1+$AP27, 0) = INDEX(OFFSET($O$15,0,0,$B$8,$B$9), 1+AR$14, 0))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
) / $B$13)</f>
        <v>0.6</v>
      </c>
      <c r="AT27" cm="1">
        <f t="array" aca="1" ref="AT27" ca="1">IF($AP27=AT$14, 1, SUMPRODUCT(
    --(OFFSET($O$13,0,0,1,$B$9)=TRUE),
    --(INDEX(OFFSET($O$15,0,0,$B$8,$B$9), 1+$AP27, 0) = INDEX(OFFSET($O$15,0,0,$B$8,$B$9), 1+AT$14, 0))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
) / $B$13)</f>
        <v>0</v>
      </c>
      <c r="AV27" cm="1">
        <f t="array" aca="1" ref="AV27" ca="1">IF($AP27=AV$14, 1, SUMPRODUCT(
    --(OFFSET($O$13,0,0,1,$B$9)=TRUE),
    --(INDEX(OFFSET($O$15,0,0,$B$8,$B$9), 1+$AP27, 0) = INDEX(OFFSET($O$15,0,0,$B$8,$B$9), 1+AV$14, 0))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
) / $B$13)</f>
        <v>0.6</v>
      </c>
      <c r="AX27" cm="1">
        <f t="array" aca="1" ref="AX27" ca="1">IF($AP27=AX$14, 1, SUMPRODUCT(
    --(OFFSET($O$13,0,0,1,$B$9)=TRUE),
    --(INDEX(OFFSET($O$15,0,0,$B$8,$B$9), 1+$AP27, 0) = INDEX(OFFSET($O$15,0,0,$B$8,$B$9), 1+AX$14, 0))
) / $B$13)</f>
        <v>0.4</v>
      </c>
      <c r="AY27" cm="1">
        <f t="array" aca="1" ref="AY27" ca="1">IF($AP27=AY$14, 1, SUMPRODUCT(
    --(OFFSET($O$13,0,0,1,$B$9)=TRUE),
    --(INDEX(OFFSET($O$15,0,0,$B$8,$B$9), 1+$AP27, 0) = INDEX(OFFSET($O$15,0,0,$B$8,$B$9), 1+AY$14, 0))
) / $B$13)</f>
        <v>0.4</v>
      </c>
      <c r="AZ27" cm="1">
        <f t="array" aca="1" ref="AZ27" ca="1">IF($AP27=AZ$14, 1, SUMPRODUCT(
    --(OFFSET($O$13,0,0,1,$B$9)=TRUE),
    --(INDEX(OFFSET($O$15,0,0,$B$8,$B$9), 1+$AP27, 0) = INDEX(OFFSET($O$15,0,0,$B$8,$B$9), 1+AZ$14, 0))
) / $B$13)</f>
        <v>0.6</v>
      </c>
      <c r="BA27" cm="1">
        <f t="array" aca="1" ref="BA27" ca="1">IF($AP27=BA$14, 1, SUMPRODUCT(
    --(OFFSET($O$13,0,0,1,$B$9)=TRUE),
    --(INDEX(OFFSET($O$15,0,0,$B$8,$B$9), 1+$AP27, 0) = INDEX(OFFSET($O$15,0,0,$B$8,$B$9), 1+BA$14, 0))
) / $B$13)</f>
        <v>0.6</v>
      </c>
      <c r="BB27" cm="1">
        <f t="array" aca="1" ref="BB27" ca="1">IF($AP27=BB$14, 1, SUMPRODUCT(
    --(OFFSET($O$13,0,0,1,$B$9)=TRUE),
    --(INDEX(OFFSET($O$15,0,0,$B$8,$B$9), 1+$AP27, 0) = INDEX(OFFSET($O$15,0,0,$B$8,$B$9), 1+BB$14, 0))
) / $B$13)</f>
        <v>0.4</v>
      </c>
      <c r="BC27" cm="1">
        <f t="array" aca="1" ref="BC27" ca="1">IF($AP27=BC$14, 1, SUMPRODUCT(
    --(OFFSET($O$13,0,0,1,$B$9)=TRUE),
    --(INDEX(OFFSET($O$15,0,0,$B$8,$B$9), 1+$AP27, 0) = INDEX(OFFSET($O$15,0,0,$B$8,$B$9), 1+BC$14, 0))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
) / $B$13)</f>
        <v>0.4</v>
      </c>
      <c r="BE27" cm="1">
        <f t="array" aca="1" ref="BE27" ca="1">IF($AP27=BE$14, 1, SUMPRODUCT(
    --(OFFSET($O$13,0,0,1,$B$9)=TRUE),
    --(INDEX(OFFSET($O$15,0,0,$B$8,$B$9), 1+$AP27, 0) = INDEX(OFFSET($O$15,0,0,$B$8,$B$9), 1+BE$14, 0))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
) / $B$13)</f>
        <v>0.6</v>
      </c>
      <c r="BG27" cm="1">
        <f t="array" aca="1" ref="BG27" ca="1">IF($AP27=BG$14, 1, SUMPRODUCT(
    --(OFFSET($O$13,0,0,1,$B$9)=TRUE),
    --(INDEX(OFFSET($O$15,0,0,$B$8,$B$9), 1+$AP27, 0) = INDEX(OFFSET($O$15,0,0,$B$8,$B$9), 1+BG$14, 0))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
) / $B$13)</f>
        <v>0</v>
      </c>
      <c r="BI27" cm="1">
        <f t="array" aca="1" ref="BI27" ca="1">IF($AP27=BI$14, 1, SUMPRODUCT(
    --(OFFSET($O$13,0,0,1,$B$9)=TRUE),
    --(INDEX(OFFSET($O$15,0,0,$B$8,$B$9), 1+$AP27, 0) = INDEX(OFFSET($O$15,0,0,$B$8,$B$9), 1+BI$14, 0))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
) / $B$13)</f>
        <v>0.2</v>
      </c>
      <c r="BN27">
        <f t="shared" ca="1" si="6"/>
        <v>15</v>
      </c>
      <c r="BO27" s="14">
        <f t="shared" ca="1" si="7"/>
        <v>6.6666666666666666E-2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
) / $B$16)</f>
        <v>0.4</v>
      </c>
      <c r="BR27" cm="1">
        <f t="array" aca="1" ref="BR27" ca="1">IF($BP27=BR$14, 1, SUMPRODUCT(
    --(OFFSET($O$9,0,0,1,$B$9)=TRUE),
    --(INDEX(OFFSET($O$15,0,0,$B$8,$B$9), 1+$BP27, 0) = INDEX(OFFSET($O$15,0,0,$B$8,$B$9), 1+BR$14, 0))
) / $B$16)</f>
        <v>0.4</v>
      </c>
      <c r="BS27" cm="1">
        <f t="array" aca="1" ref="BS27" ca="1">IF($BP27=BS$14, 1, SUMPRODUCT(
    --(OFFSET($O$9,0,0,1,$B$9)=TRUE),
    --(INDEX(OFFSET($O$15,0,0,$B$8,$B$9), 1+$BP27, 0) = INDEX(OFFSET($O$15,0,0,$B$8,$B$9), 1+BS$14, 0))
) / $B$16)</f>
        <v>0.6</v>
      </c>
      <c r="BT27" cm="1">
        <f t="array" aca="1" ref="BT27" ca="1">IF($BP27=BT$14, 1, SUMPRODUCT(
    --(OFFSET($O$9,0,0,1,$B$9)=TRUE),
    --(INDEX(OFFSET($O$15,0,0,$B$8,$B$9), 1+$BP27, 0) = INDEX(OFFSET($O$15,0,0,$B$8,$B$9), 1+BT$14, 0))
) / $B$16)</f>
        <v>0.4</v>
      </c>
      <c r="BU27" cm="1">
        <f t="array" aca="1" ref="BU27" ca="1">IF($BP27=BU$14, 1, SUMPRODUCT(
    --(OFFSET($O$9,0,0,1,$B$9)=TRUE),
    --(INDEX(OFFSET($O$15,0,0,$B$8,$B$9), 1+$BP27, 0) = INDEX(OFFSET($O$15,0,0,$B$8,$B$9), 1+BU$14, 0))
) / $B$16)</f>
        <v>0</v>
      </c>
      <c r="BV27" cm="1">
        <f t="array" aca="1" ref="BV27" ca="1">IF($BP27=BV$14, 1, SUMPRODUCT(
    --(OFFSET($O$9,0,0,1,$B$9)=TRUE),
    --(INDEX(OFFSET($O$15,0,0,$B$8,$B$9), 1+$BP27, 0) = INDEX(OFFSET($O$15,0,0,$B$8,$B$9), 1+BV$14, 0))
) / $B$16)</f>
        <v>0.4</v>
      </c>
      <c r="BW27" cm="1">
        <f t="array" aca="1" ref="BW27" ca="1">IF($BP27=BW$14, 1, SUMPRODUCT(
    --(OFFSET($O$9,0,0,1,$B$9)=TRUE),
    --(INDEX(OFFSET($O$15,0,0,$B$8,$B$9), 1+$BP27, 0) = INDEX(OFFSET($O$15,0,0,$B$8,$B$9), 1+BW$14, 0))
) / $B$16)</f>
        <v>0.6</v>
      </c>
      <c r="BX27" cm="1">
        <f t="array" aca="1" ref="BX27" ca="1">IF($BP27=BX$14, 1, SUMPRODUCT(
    --(OFFSET($O$9,0,0,1,$B$9)=TRUE),
    --(INDEX(OFFSET($O$15,0,0,$B$8,$B$9), 1+$BP27, 0) = INDEX(OFFSET($O$15,0,0,$B$8,$B$9), 1+BX$14, 0))
) / $B$16)</f>
        <v>0.4</v>
      </c>
      <c r="BY27" cm="1">
        <f t="array" aca="1" ref="BY27" ca="1">IF($BP27=BY$14, 1, SUMPRODUCT(
    --(OFFSET($O$9,0,0,1,$B$9)=TRUE),
    --(INDEX(OFFSET($O$15,0,0,$B$8,$B$9), 1+$BP27, 0) = INDEX(OFFSET($O$15,0,0,$B$8,$B$9), 1+BY$14, 0))
) / $B$16)</f>
        <v>0.4</v>
      </c>
      <c r="BZ27" cm="1">
        <f t="array" aca="1" ref="BZ27" ca="1">IF($BP27=BZ$14, 1, SUMPRODUCT(
    --(OFFSET($O$9,0,0,1,$B$9)=TRUE),
    --(INDEX(OFFSET($O$15,0,0,$B$8,$B$9), 1+$BP27, 0) = INDEX(OFFSET($O$15,0,0,$B$8,$B$9), 1+BZ$14, 0))
) / $B$16)</f>
        <v>0.6</v>
      </c>
      <c r="CA27" cm="1">
        <f t="array" aca="1" ref="CA27" ca="1">IF($BP27=CA$14, 1, SUMPRODUCT(
    --(OFFSET($O$9,0,0,1,$B$9)=TRUE),
    --(INDEX(OFFSET($O$15,0,0,$B$8,$B$9), 1+$BP27, 0) = INDEX(OFFSET($O$15,0,0,$B$8,$B$9), 1+CA$14, 0))
) / $B$16)</f>
        <v>0.6</v>
      </c>
      <c r="CB27" cm="1">
        <f t="array" aca="1" ref="CB27" ca="1">IF($BP27=CB$14, 1, SUMPRODUCT(
    --(OFFSET($O$9,0,0,1,$B$9)=TRUE),
    --(INDEX(OFFSET($O$15,0,0,$B$8,$B$9), 1+$BP27, 0) = INDEX(OFFSET($O$15,0,0,$B$8,$B$9), 1+CB$14, 0))
) / $B$16)</f>
        <v>0.4</v>
      </c>
      <c r="CC27" cm="1">
        <f t="array" aca="1" ref="CC27" ca="1">IF($BP27=CC$14, 1, SUMPRODUCT(
    --(OFFSET($O$9,0,0,1,$B$9)=TRUE),
    --(INDEX(OFFSET($O$15,0,0,$B$8,$B$9), 1+$BP27, 0) = INDEX(OFFSET($O$15,0,0,$B$8,$B$9), 1+CC$14, 0))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
) / $B$16)</f>
        <v>0.4</v>
      </c>
      <c r="CE27" cm="1">
        <f t="array" aca="1" ref="CE27" ca="1">IF($BP27=CE$14, 1, SUMPRODUCT(
    --(OFFSET($O$9,0,0,1,$B$9)=TRUE),
    --(INDEX(OFFSET($O$15,0,0,$B$8,$B$9), 1+$BP27, 0) = INDEX(OFFSET($O$15,0,0,$B$8,$B$9), 1+CE$14, 0))
) / $B$16)</f>
        <v>0.8</v>
      </c>
      <c r="CF27" cm="1">
        <f t="array" aca="1" ref="CF27" ca="1">IF($BP27=CF$14, 1, SUMPRODUCT(
    --(OFFSET($O$9,0,0,1,$B$9)=TRUE),
    --(INDEX(OFFSET($O$15,0,0,$B$8,$B$9), 1+$BP27, 0) = INDEX(OFFSET($O$15,0,0,$B$8,$B$9), 1+CF$14, 0))
) / $B$16)</f>
        <v>0.6</v>
      </c>
      <c r="CG27" cm="1">
        <f t="array" aca="1" ref="CG27" ca="1">IF($BP27=CG$14, 1, SUMPRODUCT(
    --(OFFSET($O$9,0,0,1,$B$9)=TRUE),
    --(INDEX(OFFSET($O$15,0,0,$B$8,$B$9), 1+$BP27, 0) = INDEX(OFFSET($O$15,0,0,$B$8,$B$9), 1+CG$14, 0))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
) / $B$16)</f>
        <v>0</v>
      </c>
      <c r="CI27" cm="1">
        <f t="array" aca="1" ref="CI27" ca="1">IF($BP27=CI$14, 1, SUMPRODUCT(
    --(OFFSET($O$9,0,0,1,$B$9)=TRUE),
    --(INDEX(OFFSET($O$15,0,0,$B$8,$B$9), 1+$BP27, 0) = INDEX(OFFSET($O$15,0,0,$B$8,$B$9), 1+CI$14, 0))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
) / $B$16)</f>
        <v>0.2</v>
      </c>
      <c r="DF27" cm="1">
        <f t="array" aca="1" ref="DF27" ca="1">INDEX(_xlfn.ANCHORARRAY($CP$15), 1 + INT((ROWS($DG$15:$DG27) - 1) / ROWS(_xlfn.ANCHORARRAY($CP$15))))</f>
        <v>2</v>
      </c>
      <c r="DG27" cm="1">
        <f t="array" aca="1" ref="DG27" ca="1">INDEX(_xlfn.ANCHORARRAY($CP$15),1+MOD(ROWS($DG$15:$DG27)-1,ROWS(_xlfn.ANCHORARRAY($CP$15))))</f>
        <v>2</v>
      </c>
      <c r="DH27" s="10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$B$18/($B$19*$B$19*($DF27&lt;&gt;$DG27) + $B$19*($DF27=$DG27))</f>
        <v>0.14281584525549132</v>
      </c>
      <c r="DI27" s="10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$B$18/($B$19*$B$19*($DF27&lt;&gt;$DG27) + $B$19*($DF27=$DG27))</f>
        <v>6.0000000000000001E-3</v>
      </c>
      <c r="DJ27" s="10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$B$18/($B$19*$B$19*($DF27&lt;&gt;$DG27) + $B$19*($DF27=$DG27))</f>
        <v>6.0000000000000001E-3</v>
      </c>
      <c r="DK27" s="10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$B$18/($B$19*$B$19*($DF27&lt;&gt;$DG27) + $B$19*($DF27=$DG27))</f>
        <v>6.0000000000000001E-3</v>
      </c>
      <c r="DL27" s="10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$B$18/($B$19*$B$19*($DF27&lt;&gt;$DG27) + $B$19*($DF27=$DG27))</f>
        <v>6.0000000000000001E-3</v>
      </c>
      <c r="DM27" s="10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$B$18/($B$19*$B$19*($DF27&lt;&gt;$DG27) + $B$19*($DF27=$DG27))</f>
        <v>0.37728186060749586</v>
      </c>
      <c r="DN27" s="10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$B$18/($B$19*$B$19*($DF27&lt;&gt;$DG27) + $B$19*($DF27=$DG27))</f>
        <v>6.0000000000000001E-3</v>
      </c>
      <c r="DO27" s="10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$B$18/($B$19*$B$19*($DF27&lt;&gt;$DG27) + $B$19*($DF27=$DG27))</f>
        <v>6.0000000000000001E-3</v>
      </c>
      <c r="DP27" s="10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$B$18/($B$19*$B$19*($DF27&lt;&gt;$DG27) + $B$19*($DF27=$DG27))</f>
        <v>6.0000000000000001E-3</v>
      </c>
      <c r="DQ27" s="10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$B$18/($B$19*$B$19*($DF27&lt;&gt;$DG27) + $B$19*($DF27=$DG27))</f>
        <v>6.0000000000000001E-3</v>
      </c>
      <c r="DR27" s="10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$B$18/($B$19*$B$19*($DF27&lt;&gt;$DG27) + $B$19*($DF27=$DG27))</f>
        <v>0.2242958004354933</v>
      </c>
      <c r="DS27" s="10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$B$18/($B$19*$B$19*($DF27&lt;&gt;$DG27) + $B$19*($DF27=$DG27))</f>
        <v>6.0000000000000001E-3</v>
      </c>
      <c r="DT27" s="10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$B$18/($B$19*$B$19*($DF27&lt;&gt;$DG27) + $B$19*($DF27=$DG27))</f>
        <v>6.0000000000000001E-3</v>
      </c>
      <c r="DU27" s="10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$B$18/($B$19*$B$19*($DF27&lt;&gt;$DG27) + $B$19*($DF27=$DG27))</f>
        <v>6.0000000000000001E-3</v>
      </c>
      <c r="DV27" s="10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$B$18/($B$19*$B$19*($DF27&lt;&gt;$DG27) + $B$19*($DF27=$DG27))</f>
        <v>6.0000000000000001E-3</v>
      </c>
      <c r="DW27" s="10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$B$18/($B$19*$B$19*($DF27&lt;&gt;$DG27) + $B$19*($DF27=$DG27))</f>
        <v>0.18460349029958936</v>
      </c>
    </row>
    <row r="28" spans="1:127" x14ac:dyDescent="0.2">
      <c r="D28" s="10">
        <f ca="1"/>
        <v>13</v>
      </c>
      <c r="F28" s="10">
        <f ca="1"/>
        <v>0.14285714285714285</v>
      </c>
      <c r="H28" s="10"/>
      <c r="J28" cm="1">
        <f t="array" aca="1" ref="J28" ca="1">SUMPRODUCT((O28:AJ28=$O$11:$AJ$11)*(O$13:AJ$13=TRUE))  / COUNTIF(O$13:AJ$13,TRUE)</f>
        <v>0.2</v>
      </c>
      <c r="K28" t="b">
        <f t="shared" ca="1" si="9"/>
        <v>1</v>
      </c>
      <c r="L28" cm="1">
        <f t="array" aca="1" ref="L28" ca="1">SUM(
   1*(_xlfn._xlws.FILTER(OFFSET($O28,0,0,1,$B$9),OFFSET($O$13,0,0,1,$B$9)) = "-")
) / $B$13</f>
        <v>0.4</v>
      </c>
      <c r="M28" t="b">
        <f t="shared" ca="1" si="3"/>
        <v>1</v>
      </c>
      <c r="N28" s="2">
        <v>13</v>
      </c>
      <c r="O28" s="12" t="s">
        <v>2</v>
      </c>
      <c r="P28" s="9" t="s">
        <v>5</v>
      </c>
      <c r="Q28" s="9" t="s">
        <v>4</v>
      </c>
      <c r="R28" s="9" t="s">
        <v>3</v>
      </c>
      <c r="S28" s="9" t="s">
        <v>5</v>
      </c>
      <c r="AK28" s="7"/>
      <c r="AN28">
        <f t="shared" ca="1" si="4"/>
        <v>7</v>
      </c>
      <c r="AO28" s="14">
        <f t="shared" ca="1" si="5"/>
        <v>0.14285714285714285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
) / $B$13)</f>
        <v>0.2</v>
      </c>
      <c r="AR28" cm="1">
        <f t="array" aca="1" ref="AR28" ca="1">IF($AP28=AR$14, 1, SUMPRODUCT(
    --(OFFSET($O$13,0,0,1,$B$9)=TRUE),
    --(INDEX(OFFSET($O$15,0,0,$B$8,$B$9), 1+$AP28, 0) = INDEX(OFFSET($O$15,0,0,$B$8,$B$9), 1+AR$14, 0))
) / $B$13)</f>
        <v>0.2</v>
      </c>
      <c r="AS28" cm="1">
        <f t="array" aca="1" ref="AS28" ca="1">IF($AP28=AS$14, 1, SUMPRODUCT(
    --(OFFSET($O$13,0,0,1,$B$9)=TRUE),
    --(INDEX(OFFSET($O$15,0,0,$B$8,$B$9), 1+$AP28, 0) = INDEX(OFFSET($O$15,0,0,$B$8,$B$9), 1+AS$14, 0))
) / $B$13)</f>
        <v>0.4</v>
      </c>
      <c r="AT28" cm="1">
        <f t="array" aca="1" ref="AT28" ca="1">IF($AP28=AT$14, 1, SUMPRODUCT(
    --(OFFSET($O$13,0,0,1,$B$9)=TRUE),
    --(INDEX(OFFSET($O$15,0,0,$B$8,$B$9), 1+$AP28, 0) = INDEX(OFFSET($O$15,0,0,$B$8,$B$9), 1+AT$14, 0))
) / $B$13)</f>
        <v>0.2</v>
      </c>
      <c r="AU28" cm="1">
        <f t="array" aca="1" ref="AU28" ca="1">IF($AP28=AU$14, 1, SUMPRODUCT(
    --(OFFSET($O$13,0,0,1,$B$9)=TRUE),
    --(INDEX(OFFSET($O$15,0,0,$B$8,$B$9), 1+$AP28, 0) = INDEX(OFFSET($O$15,0,0,$B$8,$B$9), 1+AU$14, 0))
) / $B$13)</f>
        <v>0.2</v>
      </c>
      <c r="AV28" cm="1">
        <f t="array" aca="1" ref="AV28" ca="1">IF($AP28=AV$14, 1, SUMPRODUCT(
    --(OFFSET($O$13,0,0,1,$B$9)=TRUE),
    --(INDEX(OFFSET($O$15,0,0,$B$8,$B$9), 1+$AP28, 0) = INDEX(OFFSET($O$15,0,0,$B$8,$B$9), 1+AV$14, 0))
) / $B$13)</f>
        <v>0.2</v>
      </c>
      <c r="AW28" cm="1">
        <f t="array" aca="1" ref="AW28" ca="1">IF($AP28=AW$14, 1, SUMPRODUCT(
    --(OFFSET($O$13,0,0,1,$B$9)=TRUE),
    --(INDEX(OFFSET($O$15,0,0,$B$8,$B$9), 1+$AP28, 0) = INDEX(OFFSET($O$15,0,0,$B$8,$B$9), 1+AW$14, 0))
) / $B$13)</f>
        <v>0.4</v>
      </c>
      <c r="AX28" cm="1">
        <f t="array" aca="1" ref="AX28" ca="1">IF($AP28=AX$14, 1, SUMPRODUCT(
    --(OFFSET($O$13,0,0,1,$B$9)=TRUE),
    --(INDEX(OFFSET($O$15,0,0,$B$8,$B$9), 1+$AP28, 0) = INDEX(OFFSET($O$15,0,0,$B$8,$B$9), 1+AX$14, 0))
) / $B$13)</f>
        <v>0.2</v>
      </c>
      <c r="AY28" cm="1">
        <f t="array" aca="1" ref="AY28" ca="1">IF($AP28=AY$14, 1, SUMPRODUCT(
    --(OFFSET($O$13,0,0,1,$B$9)=TRUE),
    --(INDEX(OFFSET($O$15,0,0,$B$8,$B$9), 1+$AP28, 0) = INDEX(OFFSET($O$15,0,0,$B$8,$B$9), 1+AY$14, 0))
) / $B$13)</f>
        <v>0</v>
      </c>
      <c r="AZ28" cm="1">
        <f t="array" aca="1" ref="AZ28" ca="1">IF($AP28=AZ$14, 1, SUMPRODUCT(
    --(OFFSET($O$13,0,0,1,$B$9)=TRUE),
    --(INDEX(OFFSET($O$15,0,0,$B$8,$B$9), 1+$AP28, 0) = INDEX(OFFSET($O$15,0,0,$B$8,$B$9), 1+AZ$14, 0))
) / $B$13)</f>
        <v>0.4</v>
      </c>
      <c r="BA28" cm="1">
        <f t="array" aca="1" ref="BA28" ca="1">IF($AP28=BA$14, 1, SUMPRODUCT(
    --(OFFSET($O$13,0,0,1,$B$9)=TRUE),
    --(INDEX(OFFSET($O$15,0,0,$B$8,$B$9), 1+$AP28, 0) = INDEX(OFFSET($O$15,0,0,$B$8,$B$9), 1+BA$14, 0))
) / $B$13)</f>
        <v>0.2</v>
      </c>
      <c r="BB28" cm="1">
        <f t="array" aca="1" ref="BB28" ca="1">IF($AP28=BB$14, 1, SUMPRODUCT(
    --(OFFSET($O$13,0,0,1,$B$9)=TRUE),
    --(INDEX(OFFSET($O$15,0,0,$B$8,$B$9), 1+$AP28, 0) = INDEX(OFFSET($O$15,0,0,$B$8,$B$9), 1+BB$14, 0))
) / $B$13)</f>
        <v>0.6</v>
      </c>
      <c r="BC28" cm="1">
        <f t="array" aca="1" ref="BC28" ca="1">IF($AP28=BC$14, 1, SUMPRODUCT(
    --(OFFSET($O$13,0,0,1,$B$9)=TRUE),
    --(INDEX(OFFSET($O$15,0,0,$B$8,$B$9), 1+$AP28, 0) = INDEX(OFFSET($O$15,0,0,$B$8,$B$9), 1+BC$14, 0))
) / $B$13)</f>
        <v>0.4</v>
      </c>
      <c r="BD28" cm="1">
        <f t="array" aca="1" ref="BD28" ca="1">IF($AP28=BD$14, 1, SUMPRODUCT(
    --(OFFSET($O$13,0,0,1,$B$9)=TRUE),
    --(INDEX(OFFSET($O$15,0,0,$B$8,$B$9), 1+$AP28, 0) = INDEX(OFFSET($O$15,0,0,$B$8,$B$9), 1+BD$14, 0))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
) / $B$13)</f>
        <v>0.2</v>
      </c>
      <c r="BF28" cm="1">
        <f t="array" aca="1" ref="BF28" ca="1">IF($AP28=BF$14, 1, SUMPRODUCT(
    --(OFFSET($O$13,0,0,1,$B$9)=TRUE),
    --(INDEX(OFFSET($O$15,0,0,$B$8,$B$9), 1+$AP28, 0) = INDEX(OFFSET($O$15,0,0,$B$8,$B$9), 1+BF$14, 0))
) / $B$13)</f>
        <v>0.4</v>
      </c>
      <c r="BG28" cm="1">
        <f t="array" aca="1" ref="BG28" ca="1">IF($AP28=BG$14, 1, SUMPRODUCT(
    --(OFFSET($O$13,0,0,1,$B$9)=TRUE),
    --(INDEX(OFFSET($O$15,0,0,$B$8,$B$9), 1+$AP28, 0) = INDEX(OFFSET($O$15,0,0,$B$8,$B$9), 1+BG$14, 0))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
) / $B$13)</f>
        <v>0</v>
      </c>
      <c r="BI28" cm="1">
        <f t="array" aca="1" ref="BI28" ca="1">IF($AP28=BI$14, 1, SUMPRODUCT(
    --(OFFSET($O$13,0,0,1,$B$9)=TRUE),
    --(INDEX(OFFSET($O$15,0,0,$B$8,$B$9), 1+$AP28, 0) = INDEX(OFFSET($O$15,0,0,$B$8,$B$9), 1+BI$14, 0))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
) / $B$13)</f>
        <v>0</v>
      </c>
      <c r="BN28">
        <f t="shared" ca="1" si="6"/>
        <v>7</v>
      </c>
      <c r="BO28" s="14">
        <f t="shared" ca="1" si="7"/>
        <v>0.14285714285714285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
) / $B$16)</f>
        <v>0.2</v>
      </c>
      <c r="BR28" cm="1">
        <f t="array" aca="1" ref="BR28" ca="1">IF($BP28=BR$14, 1, SUMPRODUCT(
    --(OFFSET($O$9,0,0,1,$B$9)=TRUE),
    --(INDEX(OFFSET($O$15,0,0,$B$8,$B$9), 1+$BP28, 0) = INDEX(OFFSET($O$15,0,0,$B$8,$B$9), 1+BR$14, 0))
) / $B$16)</f>
        <v>0.2</v>
      </c>
      <c r="BS28" cm="1">
        <f t="array" aca="1" ref="BS28" ca="1">IF($BP28=BS$14, 1, SUMPRODUCT(
    --(OFFSET($O$9,0,0,1,$B$9)=TRUE),
    --(INDEX(OFFSET($O$15,0,0,$B$8,$B$9), 1+$BP28, 0) = INDEX(OFFSET($O$15,0,0,$B$8,$B$9), 1+BS$14, 0))
) / $B$16)</f>
        <v>0.4</v>
      </c>
      <c r="BT28" cm="1">
        <f t="array" aca="1" ref="BT28" ca="1">IF($BP28=BT$14, 1, SUMPRODUCT(
    --(OFFSET($O$9,0,0,1,$B$9)=TRUE),
    --(INDEX(OFFSET($O$15,0,0,$B$8,$B$9), 1+$BP28, 0) = INDEX(OFFSET($O$15,0,0,$B$8,$B$9), 1+BT$14, 0))
) / $B$16)</f>
        <v>0.2</v>
      </c>
      <c r="BU28" cm="1">
        <f t="array" aca="1" ref="BU28" ca="1">IF($BP28=BU$14, 1, SUMPRODUCT(
    --(OFFSET($O$9,0,0,1,$B$9)=TRUE),
    --(INDEX(OFFSET($O$15,0,0,$B$8,$B$9), 1+$BP28, 0) = INDEX(OFFSET($O$15,0,0,$B$8,$B$9), 1+BU$14, 0))
) / $B$16)</f>
        <v>0.2</v>
      </c>
      <c r="BV28" cm="1">
        <f t="array" aca="1" ref="BV28" ca="1">IF($BP28=BV$14, 1, SUMPRODUCT(
    --(OFFSET($O$9,0,0,1,$B$9)=TRUE),
    --(INDEX(OFFSET($O$15,0,0,$B$8,$B$9), 1+$BP28, 0) = INDEX(OFFSET($O$15,0,0,$B$8,$B$9), 1+BV$14, 0))
) / $B$16)</f>
        <v>0.2</v>
      </c>
      <c r="BW28" cm="1">
        <f t="array" aca="1" ref="BW28" ca="1">IF($BP28=BW$14, 1, SUMPRODUCT(
    --(OFFSET($O$9,0,0,1,$B$9)=TRUE),
    --(INDEX(OFFSET($O$15,0,0,$B$8,$B$9), 1+$BP28, 0) = INDEX(OFFSET($O$15,0,0,$B$8,$B$9), 1+BW$14, 0))
) / $B$16)</f>
        <v>0.4</v>
      </c>
      <c r="BX28" cm="1">
        <f t="array" aca="1" ref="BX28" ca="1">IF($BP28=BX$14, 1, SUMPRODUCT(
    --(OFFSET($O$9,0,0,1,$B$9)=TRUE),
    --(INDEX(OFFSET($O$15,0,0,$B$8,$B$9), 1+$BP28, 0) = INDEX(OFFSET($O$15,0,0,$B$8,$B$9), 1+BX$14, 0))
) / $B$16)</f>
        <v>0.2</v>
      </c>
      <c r="BY28" cm="1">
        <f t="array" aca="1" ref="BY28" ca="1">IF($BP28=BY$14, 1, SUMPRODUCT(
    --(OFFSET($O$9,0,0,1,$B$9)=TRUE),
    --(INDEX(OFFSET($O$15,0,0,$B$8,$B$9), 1+$BP28, 0) = INDEX(OFFSET($O$15,0,0,$B$8,$B$9), 1+BY$14, 0))
) / $B$16)</f>
        <v>0</v>
      </c>
      <c r="BZ28" cm="1">
        <f t="array" aca="1" ref="BZ28" ca="1">IF($BP28=BZ$14, 1, SUMPRODUCT(
    --(OFFSET($O$9,0,0,1,$B$9)=TRUE),
    --(INDEX(OFFSET($O$15,0,0,$B$8,$B$9), 1+$BP28, 0) = INDEX(OFFSET($O$15,0,0,$B$8,$B$9), 1+BZ$14, 0))
) / $B$16)</f>
        <v>0.4</v>
      </c>
      <c r="CA28" cm="1">
        <f t="array" aca="1" ref="CA28" ca="1">IF($BP28=CA$14, 1, SUMPRODUCT(
    --(OFFSET($O$9,0,0,1,$B$9)=TRUE),
    --(INDEX(OFFSET($O$15,0,0,$B$8,$B$9), 1+$BP28, 0) = INDEX(OFFSET($O$15,0,0,$B$8,$B$9), 1+CA$14, 0))
) / $B$16)</f>
        <v>0.2</v>
      </c>
      <c r="CB28" cm="1">
        <f t="array" aca="1" ref="CB28" ca="1">IF($BP28=CB$14, 1, SUMPRODUCT(
    --(OFFSET($O$9,0,0,1,$B$9)=TRUE),
    --(INDEX(OFFSET($O$15,0,0,$B$8,$B$9), 1+$BP28, 0) = INDEX(OFFSET($O$15,0,0,$B$8,$B$9), 1+CB$14, 0))
) / $B$16)</f>
        <v>0.6</v>
      </c>
      <c r="CC28" cm="1">
        <f t="array" aca="1" ref="CC28" ca="1">IF($BP28=CC$14, 1, SUMPRODUCT(
    --(OFFSET($O$9,0,0,1,$B$9)=TRUE),
    --(INDEX(OFFSET($O$15,0,0,$B$8,$B$9), 1+$BP28, 0) = INDEX(OFFSET($O$15,0,0,$B$8,$B$9), 1+CC$14, 0))
) / $B$16)</f>
        <v>0.4</v>
      </c>
      <c r="CD28" cm="1">
        <f t="array" aca="1" ref="CD28" ca="1">IF($BP28=CD$14, 1, SUMPRODUCT(
    --(OFFSET($O$9,0,0,1,$B$9)=TRUE),
    --(INDEX(OFFSET($O$15,0,0,$B$8,$B$9), 1+$BP28, 0) = INDEX(OFFSET($O$15,0,0,$B$8,$B$9), 1+CD$14, 0))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
) / $B$16)</f>
        <v>0.2</v>
      </c>
      <c r="CF28" cm="1">
        <f t="array" aca="1" ref="CF28" ca="1">IF($BP28=CF$14, 1, SUMPRODUCT(
    --(OFFSET($O$9,0,0,1,$B$9)=TRUE),
    --(INDEX(OFFSET($O$15,0,0,$B$8,$B$9), 1+$BP28, 0) = INDEX(OFFSET($O$15,0,0,$B$8,$B$9), 1+CF$14, 0))
) / $B$16)</f>
        <v>0.4</v>
      </c>
      <c r="CG28" cm="1">
        <f t="array" aca="1" ref="CG28" ca="1">IF($BP28=CG$14, 1, SUMPRODUCT(
    --(OFFSET($O$9,0,0,1,$B$9)=TRUE),
    --(INDEX(OFFSET($O$15,0,0,$B$8,$B$9), 1+$BP28, 0) = INDEX(OFFSET($O$15,0,0,$B$8,$B$9), 1+CG$14, 0))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
) / $B$16)</f>
        <v>0</v>
      </c>
      <c r="CI28" cm="1">
        <f t="array" aca="1" ref="CI28" ca="1">IF($BP28=CI$14, 1, SUMPRODUCT(
    --(OFFSET($O$9,0,0,1,$B$9)=TRUE),
    --(INDEX(OFFSET($O$15,0,0,$B$8,$B$9), 1+$BP28, 0) = INDEX(OFFSET($O$15,0,0,$B$8,$B$9), 1+CI$14, 0))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
) / $B$16)</f>
        <v>0</v>
      </c>
      <c r="DF28" cm="1">
        <f t="array" aca="1" ref="DF28" ca="1">INDEX(_xlfn.ANCHORARRAY($CP$15), 1 + INT((ROWS($DG$15:$DG28) - 1) / ROWS(_xlfn.ANCHORARRAY($CP$15))))</f>
        <v>2</v>
      </c>
      <c r="DG28" cm="1">
        <f t="array" aca="1" ref="DG28" ca="1">INDEX(_xlfn.ANCHORARRAY($CP$15),1+MOD(ROWS($DG$15:$DG28)-1,ROWS(_xlfn.ANCHORARRAY($CP$15))))</f>
        <v>3</v>
      </c>
      <c r="DH28" s="10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$B$18/($B$19*$B$19*($DF28&lt;&gt;$DG28) + $B$19*($DF28=$DG28))</f>
        <v>1.1999999999999999E-3</v>
      </c>
      <c r="DI28" s="10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$B$18/($B$19*$B$19*($DF28&lt;&gt;$DG28) + $B$19*($DF28=$DG28))</f>
        <v>1.1999999999999999E-3</v>
      </c>
      <c r="DJ28" s="10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$B$18/($B$19*$B$19*($DF28&lt;&gt;$DG28) + $B$19*($DF28=$DG28))</f>
        <v>0.13801584525549132</v>
      </c>
      <c r="DK28" s="10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$B$18/($B$19*$B$19*($DF28&lt;&gt;$DG28) + $B$19*($DF28=$DG28))</f>
        <v>1.1999999999999999E-3</v>
      </c>
      <c r="DL28" s="10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$B$18/($B$19*$B$19*($DF28&lt;&gt;$DG28) + $B$19*($DF28=$DG28))</f>
        <v>0.13120600680386055</v>
      </c>
      <c r="DM28" s="10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$B$18/($B$19*$B$19*($DF28&lt;&gt;$DG28) + $B$19*($DF28=$DG28))</f>
        <v>1.1999999999999999E-3</v>
      </c>
      <c r="DN28" s="10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$B$18/($B$19*$B$19*($DF28&lt;&gt;$DG28) + $B$19*($DF28=$DG28))</f>
        <v>0.1254704476801608</v>
      </c>
      <c r="DO28" s="10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$B$18/($B$19*$B$19*($DF28&lt;&gt;$DG28) + $B$19*($DF28=$DG28))</f>
        <v>0.11820540612347449</v>
      </c>
      <c r="DP28" s="10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$B$18/($B$19*$B$19*($DF28&lt;&gt;$DG28) + $B$19*($DF28=$DG28))</f>
        <v>1.1999999999999999E-3</v>
      </c>
      <c r="DQ28" s="10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$B$18/($B$19*$B$19*($DF28&lt;&gt;$DG28) + $B$19*($DF28=$DG28))</f>
        <v>1.1999999999999999E-3</v>
      </c>
      <c r="DR28" s="10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$B$18/($B$19*$B$19*($DF28&lt;&gt;$DG28) + $B$19*($DF28=$DG28))</f>
        <v>0.11549099499240487</v>
      </c>
      <c r="DS28" s="10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$B$18/($B$19*$B$19*($DF28&lt;&gt;$DG28) + $B$19*($DF28=$DG28))</f>
        <v>1.1999999999999999E-3</v>
      </c>
      <c r="DT28" s="10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$B$18/($B$19*$B$19*($DF28&lt;&gt;$DG28) + $B$19*($DF28=$DG28))</f>
        <v>1.1999999999999999E-3</v>
      </c>
      <c r="DU28" s="10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$B$18/($B$19*$B$19*($DF28&lt;&gt;$DG28) + $B$19*($DF28=$DG28))</f>
        <v>1.1999999999999999E-3</v>
      </c>
      <c r="DV28" s="10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$B$18/($B$19*$B$19*($DF28&lt;&gt;$DG28) + $B$19*($DF28=$DG28))</f>
        <v>0.17980349029958936</v>
      </c>
      <c r="DW28" s="10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$B$18/($B$19*$B$19*($DF28&lt;&gt;$DG28) + $B$19*($DF28=$DG28))</f>
        <v>1.1999999999999999E-3</v>
      </c>
    </row>
    <row r="29" spans="1:127" x14ac:dyDescent="0.2">
      <c r="D29" s="10">
        <f ca="1"/>
        <v>14</v>
      </c>
      <c r="F29" s="10">
        <f ca="1"/>
        <v>7.1428571428571425E-2</v>
      </c>
      <c r="H29" s="10"/>
      <c r="J29" cm="1">
        <f t="array" aca="1" ref="J29" ca="1">SUMPRODUCT((O29:AJ29=$O$11:$AJ$11)*(O$13:AJ$13=TRUE))  / COUNTIF(O$13:AJ$13,TRUE)</f>
        <v>0.4</v>
      </c>
      <c r="K29" t="b">
        <f t="shared" ca="1" si="9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3"/>
        <v>1</v>
      </c>
      <c r="N29" s="2">
        <v>14</v>
      </c>
      <c r="O29" s="12" t="s">
        <v>3</v>
      </c>
      <c r="P29" s="9" t="s">
        <v>2</v>
      </c>
      <c r="Q29" s="9" t="s">
        <v>0</v>
      </c>
      <c r="R29" s="9" t="s">
        <v>3</v>
      </c>
      <c r="S29" s="9" t="s">
        <v>3</v>
      </c>
      <c r="AK29" s="7"/>
      <c r="AN29">
        <f t="shared" ca="1" si="4"/>
        <v>14</v>
      </c>
      <c r="AO29" s="14">
        <f t="shared" ca="1" si="5"/>
        <v>7.1428571428571425E-2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
) / $B$13)</f>
        <v>0.4</v>
      </c>
      <c r="AR29" cm="1">
        <f t="array" aca="1" ref="AR29" ca="1">IF($AP29=AR$14, 1, SUMPRODUCT(
    --(OFFSET($O$13,0,0,1,$B$9)=TRUE),
    --(INDEX(OFFSET($O$15,0,0,$B$8,$B$9), 1+$AP29, 0) = INDEX(OFFSET($O$15,0,0,$B$8,$B$9), 1+AR$14, 0))
) / $B$13)</f>
        <v>0.4</v>
      </c>
      <c r="AS29" cm="1">
        <f t="array" aca="1" ref="AS29" ca="1">IF($AP29=AS$14, 1, SUMPRODUCT(
    --(OFFSET($O$13,0,0,1,$B$9)=TRUE),
    --(INDEX(OFFSET($O$15,0,0,$B$8,$B$9), 1+$AP29, 0) = INDEX(OFFSET($O$15,0,0,$B$8,$B$9), 1+AS$14, 0))
) / $B$13)</f>
        <v>0.4</v>
      </c>
      <c r="AT29" cm="1">
        <f t="array" aca="1" ref="AT29" ca="1">IF($AP29=AT$14, 1, SUMPRODUCT(
    --(OFFSET($O$13,0,0,1,$B$9)=TRUE),
    --(INDEX(OFFSET($O$15,0,0,$B$8,$B$9), 1+$AP29, 0) = INDEX(OFFSET($O$15,0,0,$B$8,$B$9), 1+AT$14, 0))
) / $B$13)</f>
        <v>0.6</v>
      </c>
      <c r="AU29" cm="1">
        <f t="array" aca="1" ref="AU29" ca="1">IF($AP29=AU$14, 1, SUMPRODUCT(
    --(OFFSET($O$13,0,0,1,$B$9)=TRUE),
    --(INDEX(OFFSET($O$15,0,0,$B$8,$B$9), 1+$AP29, 0) = INDEX(OFFSET($O$15,0,0,$B$8,$B$9), 1+AU$14, 0))
) / $B$13)</f>
        <v>0</v>
      </c>
      <c r="AV29" cm="1">
        <f t="array" aca="1" ref="AV29" ca="1">IF($AP29=AV$14, 1, SUMPRODUCT(
    --(OFFSET($O$13,0,0,1,$B$9)=TRUE),
    --(INDEX(OFFSET($O$15,0,0,$B$8,$B$9), 1+$AP29, 0) = INDEX(OFFSET($O$15,0,0,$B$8,$B$9), 1+AV$14, 0))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
) / $B$13)</f>
        <v>0.4</v>
      </c>
      <c r="AX29" cm="1">
        <f t="array" aca="1" ref="AX29" ca="1">IF($AP29=AX$14, 1, SUMPRODUCT(
    --(OFFSET($O$13,0,0,1,$B$9)=TRUE),
    --(INDEX(OFFSET($O$15,0,0,$B$8,$B$9), 1+$AP29, 0) = INDEX(OFFSET($O$15,0,0,$B$8,$B$9), 1+AX$14, 0))
) / $B$13)</f>
        <v>0.6</v>
      </c>
      <c r="AY29" cm="1">
        <f t="array" aca="1" ref="AY29" ca="1">IF($AP29=AY$14, 1, SUMPRODUCT(
    --(OFFSET($O$13,0,0,1,$B$9)=TRUE),
    --(INDEX(OFFSET($O$15,0,0,$B$8,$B$9), 1+$AP29, 0) = INDEX(OFFSET($O$15,0,0,$B$8,$B$9), 1+AY$14, 0))
) / $B$13)</f>
        <v>0.4</v>
      </c>
      <c r="AZ29" cm="1">
        <f t="array" aca="1" ref="AZ29" ca="1">IF($AP29=AZ$14, 1, SUMPRODUCT(
    --(OFFSET($O$13,0,0,1,$B$9)=TRUE),
    --(INDEX(OFFSET($O$15,0,0,$B$8,$B$9), 1+$AP29, 0) = INDEX(OFFSET($O$15,0,0,$B$8,$B$9), 1+AZ$14, 0))
) / $B$13)</f>
        <v>0.6</v>
      </c>
      <c r="BA29" cm="1">
        <f t="array" aca="1" ref="BA29" ca="1">IF($AP29=BA$14, 1, SUMPRODUCT(
    --(OFFSET($O$13,0,0,1,$B$9)=TRUE),
    --(INDEX(OFFSET($O$15,0,0,$B$8,$B$9), 1+$AP29, 0) = INDEX(OFFSET($O$15,0,0,$B$8,$B$9), 1+BA$14, 0))
) / $B$13)</f>
        <v>0.6</v>
      </c>
      <c r="BB29" cm="1">
        <f t="array" aca="1" ref="BB29" ca="1">IF($AP29=BB$14, 1, SUMPRODUCT(
    --(OFFSET($O$13,0,0,1,$B$9)=TRUE),
    --(INDEX(OFFSET($O$15,0,0,$B$8,$B$9), 1+$AP29, 0) = INDEX(OFFSET($O$15,0,0,$B$8,$B$9), 1+BB$14, 0))
) / $B$13)</f>
        <v>0.4</v>
      </c>
      <c r="BC29" cm="1">
        <f t="array" aca="1" ref="BC29" ca="1">IF($AP29=BC$14, 1, SUMPRODUCT(
    --(OFFSET($O$13,0,0,1,$B$9)=TRUE),
    --(INDEX(OFFSET($O$15,0,0,$B$8,$B$9), 1+$AP29, 0) = INDEX(OFFSET($O$15,0,0,$B$8,$B$9), 1+BC$14, 0))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
) / $B$13)</f>
        <v>0.2</v>
      </c>
      <c r="BE29" cm="1">
        <f t="array" aca="1" ref="BE29" ca="1">IF($AP29=BE$14, 1, SUMPRODUCT(
    --(OFFSET($O$13,0,0,1,$B$9)=TRUE),
    --(INDEX(OFFSET($O$15,0,0,$B$8,$B$9), 1+$AP29, 0) = INDEX(OFFSET($O$15,0,0,$B$8,$B$9), 1+BE$14, 0))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
) / $B$13)</f>
        <v>0</v>
      </c>
      <c r="BI29" cm="1">
        <f t="array" aca="1" ref="BI29" ca="1">IF($AP29=BI$14, 1, SUMPRODUCT(
    --(OFFSET($O$13,0,0,1,$B$9)=TRUE),
    --(INDEX(OFFSET($O$15,0,0,$B$8,$B$9), 1+$AP29, 0) = INDEX(OFFSET($O$15,0,0,$B$8,$B$9), 1+BI$14, 0))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
) / $B$13)</f>
        <v>0.2</v>
      </c>
      <c r="BN29">
        <f t="shared" ca="1" si="6"/>
        <v>14</v>
      </c>
      <c r="BO29" s="14">
        <f t="shared" ca="1" si="7"/>
        <v>7.1428571428571425E-2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
) / $B$16)</f>
        <v>0.4</v>
      </c>
      <c r="BR29" cm="1">
        <f t="array" aca="1" ref="BR29" ca="1">IF($BP29=BR$14, 1, SUMPRODUCT(
    --(OFFSET($O$9,0,0,1,$B$9)=TRUE),
    --(INDEX(OFFSET($O$15,0,0,$B$8,$B$9), 1+$BP29, 0) = INDEX(OFFSET($O$15,0,0,$B$8,$B$9), 1+BR$14, 0))
) / $B$16)</f>
        <v>0.4</v>
      </c>
      <c r="BS29" cm="1">
        <f t="array" aca="1" ref="BS29" ca="1">IF($BP29=BS$14, 1, SUMPRODUCT(
    --(OFFSET($O$9,0,0,1,$B$9)=TRUE),
    --(INDEX(OFFSET($O$15,0,0,$B$8,$B$9), 1+$BP29, 0) = INDEX(OFFSET($O$15,0,0,$B$8,$B$9), 1+BS$14, 0))
) / $B$16)</f>
        <v>0.4</v>
      </c>
      <c r="BT29" cm="1">
        <f t="array" aca="1" ref="BT29" ca="1">IF($BP29=BT$14, 1, SUMPRODUCT(
    --(OFFSET($O$9,0,0,1,$B$9)=TRUE),
    --(INDEX(OFFSET($O$15,0,0,$B$8,$B$9), 1+$BP29, 0) = INDEX(OFFSET($O$15,0,0,$B$8,$B$9), 1+BT$14, 0))
) / $B$16)</f>
        <v>0.6</v>
      </c>
      <c r="BU29" cm="1">
        <f t="array" aca="1" ref="BU29" ca="1">IF($BP29=BU$14, 1, SUMPRODUCT(
    --(OFFSET($O$9,0,0,1,$B$9)=TRUE),
    --(INDEX(OFFSET($O$15,0,0,$B$8,$B$9), 1+$BP29, 0) = INDEX(OFFSET($O$15,0,0,$B$8,$B$9), 1+BU$14, 0))
) / $B$16)</f>
        <v>0</v>
      </c>
      <c r="BV29" cm="1">
        <f t="array" aca="1" ref="BV29" ca="1">IF($BP29=BV$14, 1, SUMPRODUCT(
    --(OFFSET($O$9,0,0,1,$B$9)=TRUE),
    --(INDEX(OFFSET($O$15,0,0,$B$8,$B$9), 1+$BP29, 0) = INDEX(OFFSET($O$15,0,0,$B$8,$B$9), 1+BV$14, 0))
) / $B$16)</f>
        <v>0.4</v>
      </c>
      <c r="BW29" cm="1">
        <f t="array" aca="1" ref="BW29" ca="1">IF($BP29=BW$14, 1, SUMPRODUCT(
    --(OFFSET($O$9,0,0,1,$B$9)=TRUE),
    --(INDEX(OFFSET($O$15,0,0,$B$8,$B$9), 1+$BP29, 0) = INDEX(OFFSET($O$15,0,0,$B$8,$B$9), 1+BW$14, 0))
) / $B$16)</f>
        <v>0.4</v>
      </c>
      <c r="BX29" cm="1">
        <f t="array" aca="1" ref="BX29" ca="1">IF($BP29=BX$14, 1, SUMPRODUCT(
    --(OFFSET($O$9,0,0,1,$B$9)=TRUE),
    --(INDEX(OFFSET($O$15,0,0,$B$8,$B$9), 1+$BP29, 0) = INDEX(OFFSET($O$15,0,0,$B$8,$B$9), 1+BX$14, 0))
) / $B$16)</f>
        <v>0.6</v>
      </c>
      <c r="BY29" cm="1">
        <f t="array" aca="1" ref="BY29" ca="1">IF($BP29=BY$14, 1, SUMPRODUCT(
    --(OFFSET($O$9,0,0,1,$B$9)=TRUE),
    --(INDEX(OFFSET($O$15,0,0,$B$8,$B$9), 1+$BP29, 0) = INDEX(OFFSET($O$15,0,0,$B$8,$B$9), 1+BY$14, 0))
) / $B$16)</f>
        <v>0.4</v>
      </c>
      <c r="BZ29" cm="1">
        <f t="array" aca="1" ref="BZ29" ca="1">IF($BP29=BZ$14, 1, SUMPRODUCT(
    --(OFFSET($O$9,0,0,1,$B$9)=TRUE),
    --(INDEX(OFFSET($O$15,0,0,$B$8,$B$9), 1+$BP29, 0) = INDEX(OFFSET($O$15,0,0,$B$8,$B$9), 1+BZ$14, 0))
) / $B$16)</f>
        <v>0.6</v>
      </c>
      <c r="CA29" cm="1">
        <f t="array" aca="1" ref="CA29" ca="1">IF($BP29=CA$14, 1, SUMPRODUCT(
    --(OFFSET($O$9,0,0,1,$B$9)=TRUE),
    --(INDEX(OFFSET($O$15,0,0,$B$8,$B$9), 1+$BP29, 0) = INDEX(OFFSET($O$15,0,0,$B$8,$B$9), 1+CA$14, 0))
) / $B$16)</f>
        <v>0.6</v>
      </c>
      <c r="CB29" cm="1">
        <f t="array" aca="1" ref="CB29" ca="1">IF($BP29=CB$14, 1, SUMPRODUCT(
    --(OFFSET($O$9,0,0,1,$B$9)=TRUE),
    --(INDEX(OFFSET($O$15,0,0,$B$8,$B$9), 1+$BP29, 0) = INDEX(OFFSET($O$15,0,0,$B$8,$B$9), 1+CB$14, 0))
) / $B$16)</f>
        <v>0.4</v>
      </c>
      <c r="CC29" cm="1">
        <f t="array" aca="1" ref="CC29" ca="1">IF($BP29=CC$14, 1, SUMPRODUCT(
    --(OFFSET($O$9,0,0,1,$B$9)=TRUE),
    --(INDEX(OFFSET($O$15,0,0,$B$8,$B$9), 1+$BP29, 0) = INDEX(OFFSET($O$15,0,0,$B$8,$B$9), 1+CC$14, 0))
) / $B$16)</f>
        <v>0.8</v>
      </c>
      <c r="CD29" cm="1">
        <f t="array" aca="1" ref="CD29" ca="1">IF($BP29=CD$14, 1, SUMPRODUCT(
    --(OFFSET($O$9,0,0,1,$B$9)=TRUE),
    --(INDEX(OFFSET($O$15,0,0,$B$8,$B$9), 1+$BP29, 0) = INDEX(OFFSET($O$15,0,0,$B$8,$B$9), 1+CD$14, 0))
) / $B$16)</f>
        <v>0.2</v>
      </c>
      <c r="CE29" cm="1">
        <f t="array" aca="1" ref="CE29" ca="1">IF($BP29=CE$14, 1, SUMPRODUCT(
    --(OFFSET($O$9,0,0,1,$B$9)=TRUE),
    --(INDEX(OFFSET($O$15,0,0,$B$8,$B$9), 1+$BP29, 0) = INDEX(OFFSET($O$15,0,0,$B$8,$B$9), 1+CE$14, 0))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
) / $B$16)</f>
        <v>0.8</v>
      </c>
      <c r="CG29" cm="1">
        <f t="array" aca="1" ref="CG29" ca="1">IF($BP29=CG$14, 1, SUMPRODUCT(
    --(OFFSET($O$9,0,0,1,$B$9)=TRUE),
    --(INDEX(OFFSET($O$15,0,0,$B$8,$B$9), 1+$BP29, 0) = INDEX(OFFSET($O$15,0,0,$B$8,$B$9), 1+CG$14, 0))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
) / $B$16)</f>
        <v>0</v>
      </c>
      <c r="CI29" cm="1">
        <f t="array" aca="1" ref="CI29" ca="1">IF($BP29=CI$14, 1, SUMPRODUCT(
    --(OFFSET($O$9,0,0,1,$B$9)=TRUE),
    --(INDEX(OFFSET($O$15,0,0,$B$8,$B$9), 1+$BP29, 0) = INDEX(OFFSET($O$15,0,0,$B$8,$B$9), 1+CI$14, 0))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
) / $B$16)</f>
        <v>0.2</v>
      </c>
      <c r="CQ29" s="1"/>
      <c r="DF29" cm="1">
        <f t="array" aca="1" ref="DF29" ca="1">INDEX(_xlfn.ANCHORARRAY($CP$15), 1 + INT((ROWS($DG$15:$DG29) - 1) / ROWS(_xlfn.ANCHORARRAY($CP$15))))</f>
        <v>2</v>
      </c>
      <c r="DG29" cm="1">
        <f t="array" aca="1" ref="DG29" ca="1">INDEX(_xlfn.ANCHORARRAY($CP$15),1+MOD(ROWS($DG$15:$DG29)-1,ROWS(_xlfn.ANCHORARRAY($CP$15))))</f>
        <v>4</v>
      </c>
      <c r="DH29" s="10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$B$18/($B$19*$B$19*($DF29&lt;&gt;$DG29) + $B$19*($DF29=$DG29))</f>
        <v>1.1999999999999999E-3</v>
      </c>
      <c r="DI29" s="10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$B$18/($B$19*$B$19*($DF29&lt;&gt;$DG29) + $B$19*($DF29=$DG29))</f>
        <v>1.1999999999999999E-3</v>
      </c>
      <c r="DJ29" s="10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$B$18/($B$19*$B$19*($DF29&lt;&gt;$DG29) + $B$19*($DF29=$DG29))</f>
        <v>7.3012841853561078E-2</v>
      </c>
      <c r="DK29" s="10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$B$18/($B$19*$B$19*($DF29&lt;&gt;$DG29) + $B$19*($DF29=$DG29))</f>
        <v>6.6203003401930277E-2</v>
      </c>
      <c r="DL29" s="10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$B$18/($B$19*$B$19*($DF29&lt;&gt;$DG29) + $B$19*($DF29=$DG29))</f>
        <v>1.1999999999999999E-3</v>
      </c>
      <c r="DM29" s="10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$B$18/($B$19*$B$19*($DF29&lt;&gt;$DG29) + $B$19*($DF29=$DG29))</f>
        <v>0.13120600680386055</v>
      </c>
      <c r="DN29" s="10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$B$18/($B$19*$B$19*($DF29&lt;&gt;$DG29) + $B$19*($DF29=$DG29))</f>
        <v>0.17747285040170502</v>
      </c>
      <c r="DO29" s="10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$B$18/($B$19*$B$19*($DF29&lt;&gt;$DG29) + $B$19*($DF29=$DG29))</f>
        <v>6.6203003401930277E-2</v>
      </c>
      <c r="DP29" s="10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$B$18/($B$19*$B$19*($DF29&lt;&gt;$DG29) + $B$19*($DF29=$DG29))</f>
        <v>1.1999999999999999E-3</v>
      </c>
      <c r="DQ29" s="10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$B$18/($B$19*$B$19*($DF29&lt;&gt;$DG29) + $B$19*($DF29=$DG29))</f>
        <v>1.1999999999999999E-3</v>
      </c>
      <c r="DR29" s="10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$B$18/($B$19*$B$19*($DF29&lt;&gt;$DG29) + $B$19*($DF29=$DG29))</f>
        <v>0.11549099499240487</v>
      </c>
      <c r="DS29" s="10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$B$18/($B$19*$B$19*($DF29&lt;&gt;$DG29) + $B$19*($DF29=$DG29))</f>
        <v>1.1999999999999999E-3</v>
      </c>
      <c r="DT29" s="10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$B$18/($B$19*$B$19*($DF29&lt;&gt;$DG29) + $B$19*($DF29=$DG29))</f>
        <v>1.1999999999999999E-3</v>
      </c>
      <c r="DU29" s="10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$B$18/($B$19*$B$19*($DF29&lt;&gt;$DG29) + $B$19*($DF29=$DG29))</f>
        <v>1.1999999999999999E-3</v>
      </c>
      <c r="DV29" s="10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$B$18/($B$19*$B$19*($DF29&lt;&gt;$DG29) + $B$19*($DF29=$DG29))</f>
        <v>0.1055143435545262</v>
      </c>
      <c r="DW29" s="10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$B$18/($B$19*$B$19*($DF29&lt;&gt;$DG29) + $B$19*($DF29=$DG29))</f>
        <v>1.1999999999999999E-3</v>
      </c>
    </row>
    <row r="30" spans="1:127" x14ac:dyDescent="0.2">
      <c r="D30" s="10">
        <f ca="1"/>
        <v>15</v>
      </c>
      <c r="F30" s="10">
        <f ca="1"/>
        <v>6.6666666666666666E-2</v>
      </c>
      <c r="H30" s="10"/>
      <c r="J30" cm="1">
        <f t="array" aca="1" ref="J30" ca="1">SUMPRODUCT((O30:AJ30=$O$11:$AJ$11)*(O$13:AJ$13=TRUE))  / COUNTIF(O$13:AJ$13,TRUE)</f>
        <v>0.4</v>
      </c>
      <c r="K30" t="b">
        <f t="shared" ca="1" si="9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3"/>
        <v>1</v>
      </c>
      <c r="N30" s="2">
        <v>15</v>
      </c>
      <c r="O30" s="12" t="s">
        <v>3</v>
      </c>
      <c r="P30" s="9" t="s">
        <v>2</v>
      </c>
      <c r="Q30" s="9" t="s">
        <v>4</v>
      </c>
      <c r="R30" s="9" t="s">
        <v>3</v>
      </c>
      <c r="S30" s="9" t="s">
        <v>3</v>
      </c>
      <c r="AN30">
        <f t="shared" ca="1" si="4"/>
        <v>15</v>
      </c>
      <c r="AO30" s="14">
        <f t="shared" ca="1" si="5"/>
        <v>6.6666666666666666E-2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
) / $B$13)</f>
        <v>0.4</v>
      </c>
      <c r="AS30" cm="1">
        <f t="array" aca="1" ref="AS30" ca="1">IF($AP30=AS$14, 1, SUMPRODUCT(
    --(OFFSET($O$13,0,0,1,$B$9)=TRUE),
    --(INDEX(OFFSET($O$15,0,0,$B$8,$B$9), 1+$AP30, 0) = INDEX(OFFSET($O$15,0,0,$B$8,$B$9), 1+AS$14, 0))
) / $B$13)</f>
        <v>0.4</v>
      </c>
      <c r="AT30" cm="1">
        <f t="array" aca="1" ref="AT30" ca="1">IF($AP30=AT$14, 1, SUMPRODUCT(
    --(OFFSET($O$13,0,0,1,$B$9)=TRUE),
    --(INDEX(OFFSET($O$15,0,0,$B$8,$B$9), 1+$AP30, 0) = INDEX(OFFSET($O$15,0,0,$B$8,$B$9), 1+AT$14, 0))
) / $B$13)</f>
        <v>0.6</v>
      </c>
      <c r="AU30" cm="1">
        <f t="array" aca="1" ref="AU30" ca="1">IF($AP30=AU$14, 1, SUMPRODUCT(
    --(OFFSET($O$13,0,0,1,$B$9)=TRUE),
    --(INDEX(OFFSET($O$15,0,0,$B$8,$B$9), 1+$AP30, 0) = INDEX(OFFSET($O$15,0,0,$B$8,$B$9), 1+AU$14, 0))
) / $B$13)</f>
        <v>0</v>
      </c>
      <c r="AV30" cm="1">
        <f t="array" aca="1" ref="AV30" ca="1">IF($AP30=AV$14, 1, SUMPRODUCT(
    --(OFFSET($O$13,0,0,1,$B$9)=TRUE),
    --(INDEX(OFFSET($O$15,0,0,$B$8,$B$9), 1+$AP30, 0) = INDEX(OFFSET($O$15,0,0,$B$8,$B$9), 1+AV$14, 0))
) / $B$13)</f>
        <v>0.4</v>
      </c>
      <c r="AW30" cm="1">
        <f t="array" aca="1" ref="AW30" ca="1">IF($AP30=AW$14, 1, SUMPRODUCT(
    --(OFFSET($O$13,0,0,1,$B$9)=TRUE),
    --(INDEX(OFFSET($O$15,0,0,$B$8,$B$9), 1+$AP30, 0) = INDEX(OFFSET($O$15,0,0,$B$8,$B$9), 1+AW$14, 0))
) / $B$13)</f>
        <v>0.4</v>
      </c>
      <c r="AX30" cm="1">
        <f t="array" aca="1" ref="AX30" ca="1">IF($AP30=AX$14, 1, SUMPRODUCT(
    --(OFFSET($O$13,0,0,1,$B$9)=TRUE),
    --(INDEX(OFFSET($O$15,0,0,$B$8,$B$9), 1+$AP30, 0) = INDEX(OFFSET($O$15,0,0,$B$8,$B$9), 1+AX$14, 0))
) / $B$13)</f>
        <v>0.6</v>
      </c>
      <c r="AY30" cm="1">
        <f t="array" aca="1" ref="AY30" ca="1">IF($AP30=AY$14, 1, SUMPRODUCT(
    --(OFFSET($O$13,0,0,1,$B$9)=TRUE),
    --(INDEX(OFFSET($O$15,0,0,$B$8,$B$9), 1+$AP30, 0) = INDEX(OFFSET($O$15,0,0,$B$8,$B$9), 1+AY$14, 0))
) / $B$13)</f>
        <v>0.4</v>
      </c>
      <c r="AZ30" cm="1">
        <f t="array" aca="1" ref="AZ30" ca="1">IF($AP30=AZ$14, 1, SUMPRODUCT(
    --(OFFSET($O$13,0,0,1,$B$9)=TRUE),
    --(INDEX(OFFSET($O$15,0,0,$B$8,$B$9), 1+$AP30, 0) = INDEX(OFFSET($O$15,0,0,$B$8,$B$9), 1+AZ$14, 0))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
) / $B$13)</f>
        <v>0.4</v>
      </c>
      <c r="BB30" cm="1">
        <f t="array" aca="1" ref="BB30" ca="1">IF($AP30=BB$14, 1, SUMPRODUCT(
    --(OFFSET($O$13,0,0,1,$B$9)=TRUE),
    --(INDEX(OFFSET($O$15,0,0,$B$8,$B$9), 1+$AP30, 0) = INDEX(OFFSET($O$15,0,0,$B$8,$B$9), 1+BB$14, 0))
) / $B$13)</f>
        <v>0.6</v>
      </c>
      <c r="BC30" cm="1">
        <f t="array" aca="1" ref="BC30" ca="1">IF($AP30=BC$14, 1, SUMPRODUCT(
    --(OFFSET($O$13,0,0,1,$B$9)=TRUE),
    --(INDEX(OFFSET($O$15,0,0,$B$8,$B$9), 1+$AP30, 0) = INDEX(OFFSET($O$15,0,0,$B$8,$B$9), 1+BC$14, 0))
) / $B$13)</f>
        <v>0.6</v>
      </c>
      <c r="BD30" cm="1">
        <f t="array" aca="1" ref="BD30" ca="1">IF($AP30=BD$14, 1, SUMPRODUCT(
    --(OFFSET($O$13,0,0,1,$B$9)=TRUE),
    --(INDEX(OFFSET($O$15,0,0,$B$8,$B$9), 1+$AP30, 0) = INDEX(OFFSET($O$15,0,0,$B$8,$B$9), 1+BD$14, 0))
) / $B$13)</f>
        <v>0.4</v>
      </c>
      <c r="BE30" cm="1">
        <f t="array" aca="1" ref="BE30" ca="1">IF($AP30=BE$14, 1, SUMPRODUCT(
    --(OFFSET($O$13,0,0,1,$B$9)=TRUE),
    --(INDEX(OFFSET($O$15,0,0,$B$8,$B$9), 1+$AP30, 0) = INDEX(OFFSET($O$15,0,0,$B$8,$B$9), 1+BE$14, 0))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
) / $B$13)</f>
        <v>0</v>
      </c>
      <c r="BH30" cm="1">
        <f t="array" aca="1" ref="BH30" ca="1">IF($AP30=BH$14, 1, SUMPRODUCT(
    --(OFFSET($O$13,0,0,1,$B$9)=TRUE),
    --(INDEX(OFFSET($O$15,0,0,$B$8,$B$9), 1+$AP30, 0) = INDEX(OFFSET($O$15,0,0,$B$8,$B$9), 1+BH$14, 0))
) / $B$13)</f>
        <v>0</v>
      </c>
      <c r="BI30" cm="1">
        <f t="array" aca="1" ref="BI30" ca="1">IF($AP30=BI$14, 1, SUMPRODUCT(
    --(OFFSET($O$13,0,0,1,$B$9)=TRUE),
    --(INDEX(OFFSET($O$15,0,0,$B$8,$B$9), 1+$AP30, 0) = INDEX(OFFSET($O$15,0,0,$B$8,$B$9), 1+BI$14, 0))
) / $B$13)</f>
        <v>0</v>
      </c>
      <c r="BJ30" cm="1">
        <f t="array" aca="1" ref="BJ30" ca="1">IF($AP30=BJ$14, 1, SUMPRODUCT(
    --(OFFSET($O$13,0,0,1,$B$9)=TRUE),
    --(INDEX(OFFSET($O$15,0,0,$B$8,$B$9), 1+$AP30, 0) = INDEX(OFFSET($O$15,0,0,$B$8,$B$9), 1+BJ$14, 0))
) / $B$13)</f>
        <v>0.2</v>
      </c>
      <c r="BN30">
        <f t="shared" ca="1" si="6"/>
        <v>15</v>
      </c>
      <c r="BO30" s="14">
        <f t="shared" ca="1" si="7"/>
        <v>6.6666666666666666E-2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
) / $B$16)</f>
        <v>0.4</v>
      </c>
      <c r="BR30" cm="1">
        <f t="array" aca="1" ref="BR30" ca="1">IF($BP30=BR$14, 1, SUMPRODUCT(
    --(OFFSET($O$9,0,0,1,$B$9)=TRUE),
    --(INDEX(OFFSET($O$15,0,0,$B$8,$B$9), 1+$BP30, 0) = INDEX(OFFSET($O$15,0,0,$B$8,$B$9), 1+BR$14, 0))
) / $B$16)</f>
        <v>0.4</v>
      </c>
      <c r="BS30" cm="1">
        <f t="array" aca="1" ref="BS30" ca="1">IF($BP30=BS$14, 1, SUMPRODUCT(
    --(OFFSET($O$9,0,0,1,$B$9)=TRUE),
    --(INDEX(OFFSET($O$15,0,0,$B$8,$B$9), 1+$BP30, 0) = INDEX(OFFSET($O$15,0,0,$B$8,$B$9), 1+BS$14, 0))
) / $B$16)</f>
        <v>0.4</v>
      </c>
      <c r="BT30" cm="1">
        <f t="array" aca="1" ref="BT30" ca="1">IF($BP30=BT$14, 1, SUMPRODUCT(
    --(OFFSET($O$9,0,0,1,$B$9)=TRUE),
    --(INDEX(OFFSET($O$15,0,0,$B$8,$B$9), 1+$BP30, 0) = INDEX(OFFSET($O$15,0,0,$B$8,$B$9), 1+BT$14, 0))
) / $B$16)</f>
        <v>0.6</v>
      </c>
      <c r="BU30" cm="1">
        <f t="array" aca="1" ref="BU30" ca="1">IF($BP30=BU$14, 1, SUMPRODUCT(
    --(OFFSET($O$9,0,0,1,$B$9)=TRUE),
    --(INDEX(OFFSET($O$15,0,0,$B$8,$B$9), 1+$BP30, 0) = INDEX(OFFSET($O$15,0,0,$B$8,$B$9), 1+BU$14, 0))
) / $B$16)</f>
        <v>0</v>
      </c>
      <c r="BV30" cm="1">
        <f t="array" aca="1" ref="BV30" ca="1">IF($BP30=BV$14, 1, SUMPRODUCT(
    --(OFFSET($O$9,0,0,1,$B$9)=TRUE),
    --(INDEX(OFFSET($O$15,0,0,$B$8,$B$9), 1+$BP30, 0) = INDEX(OFFSET($O$15,0,0,$B$8,$B$9), 1+BV$14, 0))
) / $B$16)</f>
        <v>0.4</v>
      </c>
      <c r="BW30" cm="1">
        <f t="array" aca="1" ref="BW30" ca="1">IF($BP30=BW$14, 1, SUMPRODUCT(
    --(OFFSET($O$9,0,0,1,$B$9)=TRUE),
    --(INDEX(OFFSET($O$15,0,0,$B$8,$B$9), 1+$BP30, 0) = INDEX(OFFSET($O$15,0,0,$B$8,$B$9), 1+BW$14, 0))
) / $B$16)</f>
        <v>0.4</v>
      </c>
      <c r="BX30" cm="1">
        <f t="array" aca="1" ref="BX30" ca="1">IF($BP30=BX$14, 1, SUMPRODUCT(
    --(OFFSET($O$9,0,0,1,$B$9)=TRUE),
    --(INDEX(OFFSET($O$15,0,0,$B$8,$B$9), 1+$BP30, 0) = INDEX(OFFSET($O$15,0,0,$B$8,$B$9), 1+BX$14, 0))
) / $B$16)</f>
        <v>0.6</v>
      </c>
      <c r="BY30" cm="1">
        <f t="array" aca="1" ref="BY30" ca="1">IF($BP30=BY$14, 1, SUMPRODUCT(
    --(OFFSET($O$9,0,0,1,$B$9)=TRUE),
    --(INDEX(OFFSET($O$15,0,0,$B$8,$B$9), 1+$BP30, 0) = INDEX(OFFSET($O$15,0,0,$B$8,$B$9), 1+BY$14, 0))
) / $B$16)</f>
        <v>0.4</v>
      </c>
      <c r="BZ30" cm="1">
        <f t="array" aca="1" ref="BZ30" ca="1">IF($BP30=BZ$14, 1, SUMPRODUCT(
    --(OFFSET($O$9,0,0,1,$B$9)=TRUE),
    --(INDEX(OFFSET($O$15,0,0,$B$8,$B$9), 1+$BP30, 0) = INDEX(OFFSET($O$15,0,0,$B$8,$B$9), 1+BZ$14, 0))
) / $B$16)</f>
        <v>0.8</v>
      </c>
      <c r="CA30" cm="1">
        <f t="array" aca="1" ref="CA30" ca="1">IF($BP30=CA$14, 1, SUMPRODUCT(
    --(OFFSET($O$9,0,0,1,$B$9)=TRUE),
    --(INDEX(OFFSET($O$15,0,0,$B$8,$B$9), 1+$BP30, 0) = INDEX(OFFSET($O$15,0,0,$B$8,$B$9), 1+CA$14, 0))
) / $B$16)</f>
        <v>0.4</v>
      </c>
      <c r="CB30" cm="1">
        <f t="array" aca="1" ref="CB30" ca="1">IF($BP30=CB$14, 1, SUMPRODUCT(
    --(OFFSET($O$9,0,0,1,$B$9)=TRUE),
    --(INDEX(OFFSET($O$15,0,0,$B$8,$B$9), 1+$BP30, 0) = INDEX(OFFSET($O$15,0,0,$B$8,$B$9), 1+CB$14, 0))
) / $B$16)</f>
        <v>0.6</v>
      </c>
      <c r="CC30" cm="1">
        <f t="array" aca="1" ref="CC30" ca="1">IF($BP30=CC$14, 1, SUMPRODUCT(
    --(OFFSET($O$9,0,0,1,$B$9)=TRUE),
    --(INDEX(OFFSET($O$15,0,0,$B$8,$B$9), 1+$BP30, 0) = INDEX(OFFSET($O$15,0,0,$B$8,$B$9), 1+CC$14, 0))
) / $B$16)</f>
        <v>0.6</v>
      </c>
      <c r="CD30" cm="1">
        <f t="array" aca="1" ref="CD30" ca="1">IF($BP30=CD$14, 1, SUMPRODUCT(
    --(OFFSET($O$9,0,0,1,$B$9)=TRUE),
    --(INDEX(OFFSET($O$15,0,0,$B$8,$B$9), 1+$BP30, 0) = INDEX(OFFSET($O$15,0,0,$B$8,$B$9), 1+CD$14, 0))
) / $B$16)</f>
        <v>0.4</v>
      </c>
      <c r="CE30" cm="1">
        <f t="array" aca="1" ref="CE30" ca="1">IF($BP30=CE$14, 1, SUMPRODUCT(
    --(OFFSET($O$9,0,0,1,$B$9)=TRUE),
    --(INDEX(OFFSET($O$15,0,0,$B$8,$B$9), 1+$BP30, 0) = INDEX(OFFSET($O$15,0,0,$B$8,$B$9), 1+CE$14, 0))
) / $B$16)</f>
        <v>0.8</v>
      </c>
      <c r="CF30" cm="1">
        <f t="array" aca="1" ref="CF30" ca="1">IF($BP30=CF$14, 1, SUMPRODUCT(
    --(OFFSET($O$9,0,0,1,$B$9)=TRUE),
    --(INDEX(OFFSET($O$15,0,0,$B$8,$B$9), 1+$BP30, 0) = INDEX(OFFSET($O$15,0,0,$B$8,$B$9), 1+CF$14, 0))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
) / $B$16)</f>
        <v>0</v>
      </c>
      <c r="CH30" cm="1">
        <f t="array" aca="1" ref="CH30" ca="1">IF($BP30=CH$14, 1, SUMPRODUCT(
    --(OFFSET($O$9,0,0,1,$B$9)=TRUE),
    --(INDEX(OFFSET($O$15,0,0,$B$8,$B$9), 1+$BP30, 0) = INDEX(OFFSET($O$15,0,0,$B$8,$B$9), 1+CH$14, 0))
) / $B$16)</f>
        <v>0</v>
      </c>
      <c r="CI30" cm="1">
        <f t="array" aca="1" ref="CI30" ca="1">IF($BP30=CI$14, 1, SUMPRODUCT(
    --(OFFSET($O$9,0,0,1,$B$9)=TRUE),
    --(INDEX(OFFSET($O$15,0,0,$B$8,$B$9), 1+$BP30, 0) = INDEX(OFFSET($O$15,0,0,$B$8,$B$9), 1+CI$14, 0))
) / $B$16)</f>
        <v>0</v>
      </c>
      <c r="CJ30" cm="1">
        <f t="array" aca="1" ref="CJ30" ca="1">IF($BP30=CJ$14, 1, SUMPRODUCT(
    --(OFFSET($O$9,0,0,1,$B$9)=TRUE),
    --(INDEX(OFFSET($O$15,0,0,$B$8,$B$9), 1+$BP30, 0) = INDEX(OFFSET($O$15,0,0,$B$8,$B$9), 1+CJ$14, 0))
) / $B$16)</f>
        <v>0.2</v>
      </c>
      <c r="DF30" cm="1">
        <f t="array" aca="1" ref="DF30" ca="1">INDEX(_xlfn.ANCHORARRAY($CP$15), 1 + INT((ROWS($DG$15:$DG30) - 1) / ROWS(_xlfn.ANCHORARRAY($CP$15))))</f>
        <v>3</v>
      </c>
      <c r="DG30" cm="1">
        <f t="array" aca="1" ref="DG30" ca="1">INDEX(_xlfn.ANCHORARRAY($CP$15),1+MOD(ROWS($DG$15:$DG30)-1,ROWS(_xlfn.ANCHORARRAY($CP$15))))</f>
        <v>0</v>
      </c>
      <c r="DH30" s="10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$B$18/($B$19*$B$19*($DF30&lt;&gt;$DG30) + $B$19*($DF30=$DG30))</f>
        <v>6.6203003401930277E-2</v>
      </c>
      <c r="DI30" s="10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$B$18/($B$19*$B$19*($DF30&lt;&gt;$DG30) + $B$19*($DF30=$DG30))</f>
        <v>1.1999999999999999E-3</v>
      </c>
      <c r="DJ30" s="10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$B$18/($B$19*$B$19*($DF30&lt;&gt;$DG30) + $B$19*($DF30=$DG30))</f>
        <v>1.1999999999999999E-3</v>
      </c>
      <c r="DK30" s="10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$B$18/($B$19*$B$19*($DF30&lt;&gt;$DG30) + $B$19*($DF30=$DG30))</f>
        <v>1.1999999999999999E-3</v>
      </c>
      <c r="DL30" s="10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$B$18/($B$19*$B$19*($DF30&lt;&gt;$DG30) + $B$19*($DF30=$DG30))</f>
        <v>1.1999999999999999E-3</v>
      </c>
      <c r="DM30" s="10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$B$18/($B$19*$B$19*($DF30&lt;&gt;$DG30) + $B$19*($DF30=$DG30))</f>
        <v>1.1999999999999999E-3</v>
      </c>
      <c r="DN30" s="10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$B$18/($B$19*$B$19*($DF30&lt;&gt;$DG30) + $B$19*($DF30=$DG30))</f>
        <v>1.1999999999999999E-3</v>
      </c>
      <c r="DO30" s="10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$B$18/($B$19*$B$19*($DF30&lt;&gt;$DG30) + $B$19*($DF30=$DG30))</f>
        <v>1.1999999999999999E-3</v>
      </c>
      <c r="DP30" s="10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$B$18/($B$19*$B$19*($DF30&lt;&gt;$DG30) + $B$19*($DF30=$DG30))</f>
        <v>6.4291150360697033E-2</v>
      </c>
      <c r="DQ30" s="10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$B$18/($B$19*$B$19*($DF30&lt;&gt;$DG30) + $B$19*($DF30=$DG30))</f>
        <v>0.17789163725835608</v>
      </c>
      <c r="DR30" s="10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$B$18/($B$19*$B$19*($DF30&lt;&gt;$DG30) + $B$19*($DF30=$DG30))</f>
        <v>0.14551619180186789</v>
      </c>
      <c r="DS30" s="10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$B$18/($B$19*$B$19*($DF30&lt;&gt;$DG30) + $B$19*($DF30=$DG30))</f>
        <v>0.17108179880672528</v>
      </c>
      <c r="DT30" s="10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$B$18/($B$19*$B$19*($DF30&lt;&gt;$DG30) + $B$19*($DF30=$DG30))</f>
        <v>0.11820540612347449</v>
      </c>
      <c r="DU30" s="10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$B$18/($B$19*$B$19*($DF30&lt;&gt;$DG30) + $B$19*($DF30=$DG30))</f>
        <v>1.1999999999999999E-3</v>
      </c>
      <c r="DV30" s="10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$B$18/($B$19*$B$19*($DF30&lt;&gt;$DG30) + $B$19*($DF30=$DG30))</f>
        <v>1.1999999999999999E-3</v>
      </c>
      <c r="DW30" s="10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$B$18/($B$19*$B$19*($DF30&lt;&gt;$DG30) + $B$19*($DF30=$DG30))</f>
        <v>1.1999999999999999E-3</v>
      </c>
    </row>
    <row r="31" spans="1:127" x14ac:dyDescent="0.2">
      <c r="D31" s="10">
        <f ca="1"/>
        <v>16</v>
      </c>
      <c r="F31" s="10">
        <f ca="1"/>
        <v>0.125</v>
      </c>
      <c r="H31" s="10"/>
      <c r="J31" cm="1">
        <f t="array" aca="1" ref="J31" ca="1">SUMPRODUCT((O31:AJ31=$O$11:$AJ$11)*(O$13:AJ$13=TRUE))  / COUNTIF(O$13:AJ$13,TRUE)</f>
        <v>0.4</v>
      </c>
      <c r="K31" t="b">
        <f t="shared" ca="1" si="9"/>
        <v>1</v>
      </c>
      <c r="L31" cm="1">
        <f t="array" aca="1" ref="L31" ca="1">SUM(
   1*(_xlfn._xlws.FILTER(OFFSET($O31,0,0,1,$B$9),OFFSET($O$13,0,0,1,$B$9)) = "-")
) / $B$13</f>
        <v>0.2</v>
      </c>
      <c r="M31" t="b">
        <f t="shared" ca="1" si="3"/>
        <v>1</v>
      </c>
      <c r="N31" s="2">
        <v>16</v>
      </c>
      <c r="O31" s="12" t="s">
        <v>5</v>
      </c>
      <c r="P31" s="9" t="s">
        <v>4</v>
      </c>
      <c r="Q31" s="9" t="s">
        <v>2</v>
      </c>
      <c r="R31" s="9" t="s">
        <v>0</v>
      </c>
      <c r="S31" s="9" t="s">
        <v>4</v>
      </c>
      <c r="AN31">
        <f t="shared" ca="1" si="4"/>
        <v>8</v>
      </c>
      <c r="AO31" s="14">
        <f t="shared" ca="1" si="5"/>
        <v>0.125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
) / $B$13)</f>
        <v>0.4</v>
      </c>
      <c r="AR31" cm="1">
        <f t="array" aca="1" ref="AR31" ca="1">IF($AP31=AR$14, 1, SUMPRODUCT(
    --(OFFSET($O$13,0,0,1,$B$9)=TRUE),
    --(INDEX(OFFSET($O$15,0,0,$B$8,$B$9), 1+$AP31, 0) = INDEX(OFFSET($O$15,0,0,$B$8,$B$9), 1+AR$14, 0))
) / $B$13)</f>
        <v>0.4</v>
      </c>
      <c r="AS31" cm="1">
        <f t="array" aca="1" ref="AS31" ca="1">IF($AP31=AS$14, 1, SUMPRODUCT(
    --(OFFSET($O$13,0,0,1,$B$9)=TRUE),
    --(INDEX(OFFSET($O$15,0,0,$B$8,$B$9), 1+$AP31, 0) = INDEX(OFFSET($O$15,0,0,$B$8,$B$9), 1+AS$14, 0))
) / $B$13)</f>
        <v>0.4</v>
      </c>
      <c r="AT31" cm="1">
        <f t="array" aca="1" ref="AT31" ca="1">IF($AP31=AT$14, 1, SUMPRODUCT(
    --(OFFSET($O$13,0,0,1,$B$9)=TRUE),
    --(INDEX(OFFSET($O$15,0,0,$B$8,$B$9), 1+$AP31, 0) = INDEX(OFFSET($O$15,0,0,$B$8,$B$9), 1+AT$14, 0))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
) / $B$13)</f>
        <v>0</v>
      </c>
      <c r="AV31" cm="1">
        <f t="array" aca="1" ref="AV31" ca="1">IF($AP31=AV$14, 1, SUMPRODUCT(
    --(OFFSET($O$13,0,0,1,$B$9)=TRUE),
    --(INDEX(OFFSET($O$15,0,0,$B$8,$B$9), 1+$AP31, 0) = INDEX(OFFSET($O$15,0,0,$B$8,$B$9), 1+AV$14, 0))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
) / $B$13)</f>
        <v>0</v>
      </c>
      <c r="AY31" cm="1">
        <f t="array" aca="1" ref="AY31" ca="1">IF($AP31=AY$14, 1, SUMPRODUCT(
    --(OFFSET($O$13,0,0,1,$B$9)=TRUE),
    --(INDEX(OFFSET($O$15,0,0,$B$8,$B$9), 1+$AP31, 0) = INDEX(OFFSET($O$15,0,0,$B$8,$B$9), 1+AY$14, 0))
) / $B$13)</f>
        <v>0</v>
      </c>
      <c r="AZ31" cm="1">
        <f t="array" aca="1" ref="AZ31" ca="1">IF($AP31=AZ$14, 1, SUMPRODUCT(
    --(OFFSET($O$13,0,0,1,$B$9)=TRUE),
    --(INDEX(OFFSET($O$15,0,0,$B$8,$B$9), 1+$AP31, 0) = INDEX(OFFSET($O$15,0,0,$B$8,$B$9), 1+AZ$14, 0))
) / $B$13)</f>
        <v>0</v>
      </c>
      <c r="BA31" cm="1">
        <f t="array" aca="1" ref="BA31" ca="1">IF($AP31=BA$14, 1, SUMPRODUCT(
    --(OFFSET($O$13,0,0,1,$B$9)=TRUE),
    --(INDEX(OFFSET($O$15,0,0,$B$8,$B$9), 1+$AP31, 0) = INDEX(OFFSET($O$15,0,0,$B$8,$B$9), 1+BA$14, 0))
) / $B$13)</f>
        <v>0.2</v>
      </c>
      <c r="BB31" cm="1">
        <f t="array" aca="1" ref="BB31" ca="1">IF($AP31=BB$14, 1, SUMPRODUCT(
    --(OFFSET($O$13,0,0,1,$B$9)=TRUE),
    --(INDEX(OFFSET($O$15,0,0,$B$8,$B$9), 1+$AP31, 0) = INDEX(OFFSET($O$15,0,0,$B$8,$B$9), 1+BB$14, 0))
) / $B$13)</f>
        <v>0</v>
      </c>
      <c r="BC31" cm="1">
        <f t="array" aca="1" ref="BC31" ca="1">IF($AP31=BC$14, 1, SUMPRODUCT(
    --(OFFSET($O$13,0,0,1,$B$9)=TRUE),
    --(INDEX(OFFSET($O$15,0,0,$B$8,$B$9), 1+$AP31, 0) = INDEX(OFFSET($O$15,0,0,$B$8,$B$9), 1+BC$14, 0))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
) / $B$13)</f>
        <v>0</v>
      </c>
      <c r="BG31" cm="1">
        <f t="array" aca="1" ref="BG31" ca="1">IF($AP31=BG$14, 1, SUMPRODUCT(
    --(OFFSET($O$13,0,0,1,$B$9)=TRUE),
    --(INDEX(OFFSET($O$15,0,0,$B$8,$B$9), 1+$AP31, 0) = INDEX(OFFSET($O$15,0,0,$B$8,$B$9), 1+BG$14, 0))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
) / $B$13)</f>
        <v>0.6</v>
      </c>
      <c r="BI31" cm="1">
        <f t="array" aca="1" ref="BI31" ca="1">IF($AP31=BI$14, 1, SUMPRODUCT(
    --(OFFSET($O$13,0,0,1,$B$9)=TRUE),
    --(INDEX(OFFSET($O$15,0,0,$B$8,$B$9), 1+$AP31, 0) = INDEX(OFFSET($O$15,0,0,$B$8,$B$9), 1+BI$14, 0))
) / $B$13)</f>
        <v>0.4</v>
      </c>
      <c r="BJ31" cm="1">
        <f t="array" aca="1" ref="BJ31" ca="1">IF($AP31=BJ$14, 1, SUMPRODUCT(
    --(OFFSET($O$13,0,0,1,$B$9)=TRUE),
    --(INDEX(OFFSET($O$15,0,0,$B$8,$B$9), 1+$AP31, 0) = INDEX(OFFSET($O$15,0,0,$B$8,$B$9), 1+BJ$14, 0))
) / $B$13)</f>
        <v>0.4</v>
      </c>
      <c r="BN31">
        <f t="shared" ca="1" si="6"/>
        <v>8</v>
      </c>
      <c r="BO31" s="14">
        <f t="shared" ca="1" si="7"/>
        <v>0.125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
) / $B$16)</f>
        <v>0.4</v>
      </c>
      <c r="BR31" cm="1">
        <f t="array" aca="1" ref="BR31" ca="1">IF($BP31=BR$14, 1, SUMPRODUCT(
    --(OFFSET($O$9,0,0,1,$B$9)=TRUE),
    --(INDEX(OFFSET($O$15,0,0,$B$8,$B$9), 1+$BP31, 0) = INDEX(OFFSET($O$15,0,0,$B$8,$B$9), 1+BR$14, 0))
) / $B$16)</f>
        <v>0.4</v>
      </c>
      <c r="BS31" cm="1">
        <f t="array" aca="1" ref="BS31" ca="1">IF($BP31=BS$14, 1, SUMPRODUCT(
    --(OFFSET($O$9,0,0,1,$B$9)=TRUE),
    --(INDEX(OFFSET($O$15,0,0,$B$8,$B$9), 1+$BP31, 0) = INDEX(OFFSET($O$15,0,0,$B$8,$B$9), 1+BS$14, 0))
) / $B$16)</f>
        <v>0.4</v>
      </c>
      <c r="BT31" cm="1">
        <f t="array" aca="1" ref="BT31" ca="1">IF($BP31=BT$14, 1, SUMPRODUCT(
    --(OFFSET($O$9,0,0,1,$B$9)=TRUE),
    --(INDEX(OFFSET($O$15,0,0,$B$8,$B$9), 1+$BP31, 0) = INDEX(OFFSET($O$15,0,0,$B$8,$B$9), 1+BT$14, 0))
) / $B$16)</f>
        <v>0.4</v>
      </c>
      <c r="BU31" cm="1">
        <f t="array" aca="1" ref="BU31" ca="1">IF($BP31=BU$14, 1, SUMPRODUCT(
    --(OFFSET($O$9,0,0,1,$B$9)=TRUE),
    --(INDEX(OFFSET($O$15,0,0,$B$8,$B$9), 1+$BP31, 0) = INDEX(OFFSET($O$15,0,0,$B$8,$B$9), 1+BU$14, 0))
) / $B$16)</f>
        <v>0</v>
      </c>
      <c r="BV31" cm="1">
        <f t="array" aca="1" ref="BV31" ca="1">IF($BP31=BV$14, 1, SUMPRODUCT(
    --(OFFSET($O$9,0,0,1,$B$9)=TRUE),
    --(INDEX(OFFSET($O$15,0,0,$B$8,$B$9), 1+$BP31, 0) = INDEX(OFFSET($O$15,0,0,$B$8,$B$9), 1+BV$14, 0))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
) / $B$16)</f>
        <v>0</v>
      </c>
      <c r="BY31" cm="1">
        <f t="array" aca="1" ref="BY31" ca="1">IF($BP31=BY$14, 1, SUMPRODUCT(
    --(OFFSET($O$9,0,0,1,$B$9)=TRUE),
    --(INDEX(OFFSET($O$15,0,0,$B$8,$B$9), 1+$BP31, 0) = INDEX(OFFSET($O$15,0,0,$B$8,$B$9), 1+BY$14, 0))
) / $B$16)</f>
        <v>0</v>
      </c>
      <c r="BZ31" cm="1">
        <f t="array" aca="1" ref="BZ31" ca="1">IF($BP31=BZ$14, 1, SUMPRODUCT(
    --(OFFSET($O$9,0,0,1,$B$9)=TRUE),
    --(INDEX(OFFSET($O$15,0,0,$B$8,$B$9), 1+$BP31, 0) = INDEX(OFFSET($O$15,0,0,$B$8,$B$9), 1+BZ$14, 0))
) / $B$16)</f>
        <v>0</v>
      </c>
      <c r="CA31" cm="1">
        <f t="array" aca="1" ref="CA31" ca="1">IF($BP31=CA$14, 1, SUMPRODUCT(
    --(OFFSET($O$9,0,0,1,$B$9)=TRUE),
    --(INDEX(OFFSET($O$15,0,0,$B$8,$B$9), 1+$BP31, 0) = INDEX(OFFSET($O$15,0,0,$B$8,$B$9), 1+CA$14, 0))
) / $B$16)</f>
        <v>0.2</v>
      </c>
      <c r="CB31" cm="1">
        <f t="array" aca="1" ref="CB31" ca="1">IF($BP31=CB$14, 1, SUMPRODUCT(
    --(OFFSET($O$9,0,0,1,$B$9)=TRUE),
    --(INDEX(OFFSET($O$15,0,0,$B$8,$B$9), 1+$BP31, 0) = INDEX(OFFSET($O$15,0,0,$B$8,$B$9), 1+CB$14, 0))
) / $B$16)</f>
        <v>0</v>
      </c>
      <c r="CC31" cm="1">
        <f t="array" aca="1" ref="CC31" ca="1">IF($BP31=CC$14, 1, SUMPRODUCT(
    --(OFFSET($O$9,0,0,1,$B$9)=TRUE),
    --(INDEX(OFFSET($O$15,0,0,$B$8,$B$9), 1+$BP31, 0) = INDEX(OFFSET($O$15,0,0,$B$8,$B$9), 1+CC$14, 0))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
) / $B$16)</f>
        <v>0</v>
      </c>
      <c r="CG31" cm="1">
        <f t="array" aca="1" ref="CG31" ca="1">IF($BP31=CG$14, 1, SUMPRODUCT(
    --(OFFSET($O$9,0,0,1,$B$9)=TRUE),
    --(INDEX(OFFSET($O$15,0,0,$B$8,$B$9), 1+$BP31, 0) = INDEX(OFFSET($O$15,0,0,$B$8,$B$9), 1+CG$14, 0))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
) / $B$16)</f>
        <v>0.6</v>
      </c>
      <c r="CI31" cm="1">
        <f t="array" aca="1" ref="CI31" ca="1">IF($BP31=CI$14, 1, SUMPRODUCT(
    --(OFFSET($O$9,0,0,1,$B$9)=TRUE),
    --(INDEX(OFFSET($O$15,0,0,$B$8,$B$9), 1+$BP31, 0) = INDEX(OFFSET($O$15,0,0,$B$8,$B$9), 1+CI$14, 0))
) / $B$16)</f>
        <v>0.4</v>
      </c>
      <c r="CJ31" cm="1">
        <f t="array" aca="1" ref="CJ31" ca="1">IF($BP31=CJ$14, 1, SUMPRODUCT(
    --(OFFSET($O$9,0,0,1,$B$9)=TRUE),
    --(INDEX(OFFSET($O$15,0,0,$B$8,$B$9), 1+$BP31, 0) = INDEX(OFFSET($O$15,0,0,$B$8,$B$9), 1+CJ$14, 0))
) / $B$16)</f>
        <v>0.4</v>
      </c>
      <c r="DF31" cm="1">
        <f t="array" aca="1" ref="DF31" ca="1">INDEX(_xlfn.ANCHORARRAY($CP$15), 1 + INT((ROWS($DG$15:$DG31) - 1) / ROWS(_xlfn.ANCHORARRAY($CP$15))))</f>
        <v>3</v>
      </c>
      <c r="DG31" cm="1">
        <f t="array" aca="1" ref="DG31" ca="1">INDEX(_xlfn.ANCHORARRAY($CP$15),1+MOD(ROWS($DG$15:$DG31)-1,ROWS(_xlfn.ANCHORARRAY($CP$15))))</f>
        <v>1</v>
      </c>
      <c r="DH31" s="10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$B$18/($B$19*$B$19*($DF31&lt;&gt;$DG31) + $B$19*($DF31=$DG31))</f>
        <v>1.1999999999999999E-3</v>
      </c>
      <c r="DI31" s="10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$B$18/($B$19*$B$19*($DF31&lt;&gt;$DG31) + $B$19*($DF31=$DG31))</f>
        <v>1.1999999999999999E-3</v>
      </c>
      <c r="DJ31" s="10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$B$18/($B$19*$B$19*($DF31&lt;&gt;$DG31) + $B$19*($DF31=$DG31))</f>
        <v>1.1999999999999999E-3</v>
      </c>
      <c r="DK31" s="10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$B$18/($B$19*$B$19*($DF31&lt;&gt;$DG31) + $B$19*($DF31=$DG31))</f>
        <v>0.13120600680386055</v>
      </c>
      <c r="DL31" s="10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$B$18/($B$19*$B$19*($DF31&lt;&gt;$DG31) + $B$19*($DF31=$DG31))</f>
        <v>1.1999999999999999E-3</v>
      </c>
      <c r="DM31" s="10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$B$18/($B$19*$B$19*($DF31&lt;&gt;$DG31) + $B$19*($DF31=$DG31))</f>
        <v>1.1999999999999999E-3</v>
      </c>
      <c r="DN31" s="10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$B$18/($B$19*$B$19*($DF31&lt;&gt;$DG31) + $B$19*($DF31=$DG31))</f>
        <v>1.1999999999999999E-3</v>
      </c>
      <c r="DO31" s="10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$B$18/($B$19*$B$19*($DF31&lt;&gt;$DG31) + $B$19*($DF31=$DG31))</f>
        <v>1.1999999999999999E-3</v>
      </c>
      <c r="DP31" s="10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$B$18/($B$19*$B$19*($DF31&lt;&gt;$DG31) + $B$19*($DF31=$DG31))</f>
        <v>1.1999999999999999E-3</v>
      </c>
      <c r="DQ31" s="10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$B$18/($B$19*$B$19*($DF31&lt;&gt;$DG31) + $B$19*($DF31=$DG31))</f>
        <v>0.2051856154374859</v>
      </c>
      <c r="DR31" s="10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$B$18/($B$19*$B$19*($DF31&lt;&gt;$DG31) + $B$19*($DF31=$DG31))</f>
        <v>0.11549099499240487</v>
      </c>
      <c r="DS31" s="10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$B$18/($B$19*$B$19*($DF31&lt;&gt;$DG31) + $B$19*($DF31=$DG31))</f>
        <v>0.1254704476801608</v>
      </c>
      <c r="DT31" s="10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$B$18/($B$19*$B$19*($DF31&lt;&gt;$DG31) + $B$19*($DF31=$DG31))</f>
        <v>1.1999999999999999E-3</v>
      </c>
      <c r="DU31" s="10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$B$18/($B$19*$B$19*($DF31&lt;&gt;$DG31) + $B$19*($DF31=$DG31))</f>
        <v>1.1999999999999999E-3</v>
      </c>
      <c r="DV31" s="10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$B$18/($B$19*$B$19*($DF31&lt;&gt;$DG31) + $B$19*($DF31=$DG31))</f>
        <v>1.1999999999999999E-3</v>
      </c>
      <c r="DW31" s="10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$B$18/($B$19*$B$19*($DF31&lt;&gt;$DG31) + $B$19*($DF31=$DG31))</f>
        <v>0.11820540612347449</v>
      </c>
    </row>
    <row r="32" spans="1:127" x14ac:dyDescent="0.2">
      <c r="D32" s="10">
        <f ca="1"/>
        <v>17</v>
      </c>
      <c r="F32" s="10">
        <f ca="1"/>
        <v>0.125</v>
      </c>
      <c r="H32" s="10"/>
      <c r="J32" cm="1">
        <f t="array" aca="1" ref="J32" ca="1">SUMPRODUCT((O32:AJ32=$O$11:$AJ$11)*(O$13:AJ$13=TRUE))  / COUNTIF(O$13:AJ$13,TRUE)</f>
        <v>0.6</v>
      </c>
      <c r="K32" t="b">
        <f t="shared" ca="1" si="9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3"/>
        <v>1</v>
      </c>
      <c r="N32" s="2">
        <v>17</v>
      </c>
      <c r="O32" s="12" t="s">
        <v>0</v>
      </c>
      <c r="P32" s="9" t="s">
        <v>4</v>
      </c>
      <c r="Q32" s="9" t="s">
        <v>2</v>
      </c>
      <c r="R32" s="9" t="s">
        <v>0</v>
      </c>
      <c r="S32" s="9" t="s">
        <v>2</v>
      </c>
      <c r="AN32">
        <f t="shared" ca="1" si="4"/>
        <v>8</v>
      </c>
      <c r="AO32" s="14">
        <f t="shared" ca="1" si="5"/>
        <v>0.125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
) / $B$13)</f>
        <v>0.4</v>
      </c>
      <c r="AS32" cm="1">
        <f t="array" aca="1" ref="AS32" ca="1">IF($AP32=AS$14, 1, SUMPRODUCT(
    --(OFFSET($O$13,0,0,1,$B$9)=TRUE),
    --(INDEX(OFFSET($O$15,0,0,$B$8,$B$9), 1+$AP32, 0) = INDEX(OFFSET($O$15,0,0,$B$8,$B$9), 1+AS$14, 0))
) / $B$13)</f>
        <v>0.4</v>
      </c>
      <c r="AT32" cm="1">
        <f t="array" aca="1" ref="AT32" ca="1">IF($AP32=AT$14, 1, SUMPRODUCT(
    --(OFFSET($O$13,0,0,1,$B$9)=TRUE),
    --(INDEX(OFFSET($O$15,0,0,$B$8,$B$9), 1+$AP32, 0) = INDEX(OFFSET($O$15,0,0,$B$8,$B$9), 1+AT$14, 0))
) / $B$13)</f>
        <v>0.4</v>
      </c>
      <c r="AU32" cm="1">
        <f t="array" aca="1" ref="AU32" ca="1">IF($AP32=AU$14, 1, SUMPRODUCT(
    --(OFFSET($O$13,0,0,1,$B$9)=TRUE),
    --(INDEX(OFFSET($O$15,0,0,$B$8,$B$9), 1+$AP32, 0) = INDEX(OFFSET($O$15,0,0,$B$8,$B$9), 1+AU$14, 0))
) / $B$13)</f>
        <v>0.2</v>
      </c>
      <c r="AV32" cm="1">
        <f t="array" aca="1" ref="AV32" ca="1">IF($AP32=AV$14, 1, SUMPRODUCT(
    --(OFFSET($O$13,0,0,1,$B$9)=TRUE),
    --(INDEX(OFFSET($O$15,0,0,$B$8,$B$9), 1+$AP32, 0) = INDEX(OFFSET($O$15,0,0,$B$8,$B$9), 1+AV$14, 0))
) / $B$13)</f>
        <v>0</v>
      </c>
      <c r="AW32" cm="1">
        <f t="array" aca="1" ref="AW32" ca="1">IF($AP32=AW$14, 1, SUMPRODUCT(
    --(OFFSET($O$13,0,0,1,$B$9)=TRUE),
    --(INDEX(OFFSET($O$15,0,0,$B$8,$B$9), 1+$AP32, 0) = INDEX(OFFSET($O$15,0,0,$B$8,$B$9), 1+AW$14, 0))
) / $B$13)</f>
        <v>0</v>
      </c>
      <c r="AX32" cm="1">
        <f t="array" aca="1" ref="AX32" ca="1">IF($AP32=AX$14, 1, SUMPRODUCT(
    --(OFFSET($O$13,0,0,1,$B$9)=TRUE),
    --(INDEX(OFFSET($O$15,0,0,$B$8,$B$9), 1+$AP32, 0) = INDEX(OFFSET($O$15,0,0,$B$8,$B$9), 1+AX$14, 0))
) / $B$13)</f>
        <v>0</v>
      </c>
      <c r="AY32" cm="1">
        <f t="array" aca="1" ref="AY32" ca="1">IF($AP32=AY$14, 1, SUMPRODUCT(
    --(OFFSET($O$13,0,0,1,$B$9)=TRUE),
    --(INDEX(OFFSET($O$15,0,0,$B$8,$B$9), 1+$AP32, 0) = INDEX(OFFSET($O$15,0,0,$B$8,$B$9), 1+AY$14, 0))
) / $B$13)</f>
        <v>0.2</v>
      </c>
      <c r="AZ32" cm="1">
        <f t="array" aca="1" ref="AZ32" ca="1">IF($AP32=AZ$14, 1, SUMPRODUCT(
    --(OFFSET($O$13,0,0,1,$B$9)=TRUE),
    --(INDEX(OFFSET($O$15,0,0,$B$8,$B$9), 1+$AP32, 0) = INDEX(OFFSET($O$15,0,0,$B$8,$B$9), 1+AZ$14, 0))
) / $B$13)</f>
        <v>0.2</v>
      </c>
      <c r="BA32" cm="1">
        <f t="array" aca="1" ref="BA32" ca="1">IF($AP32=BA$14, 1, SUMPRODUCT(
    --(OFFSET($O$13,0,0,1,$B$9)=TRUE),
    --(INDEX(OFFSET($O$15,0,0,$B$8,$B$9), 1+$AP32, 0) = INDEX(OFFSET($O$15,0,0,$B$8,$B$9), 1+BA$14, 0))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
) / $B$13)</f>
        <v>0</v>
      </c>
      <c r="BC32" cm="1">
        <f t="array" aca="1" ref="BC32" ca="1">IF($AP32=BC$14, 1, SUMPRODUCT(
    --(OFFSET($O$13,0,0,1,$B$9)=TRUE),
    --(INDEX(OFFSET($O$15,0,0,$B$8,$B$9), 1+$AP32, 0) = INDEX(OFFSET($O$15,0,0,$B$8,$B$9), 1+BC$14, 0))
) / $B$13)</f>
        <v>0</v>
      </c>
      <c r="BD32" cm="1">
        <f t="array" aca="1" ref="BD32" ca="1">IF($AP32=BD$14, 1, SUMPRODUCT(
    --(OFFSET($O$13,0,0,1,$B$9)=TRUE),
    --(INDEX(OFFSET($O$15,0,0,$B$8,$B$9), 1+$AP32, 0) = INDEX(OFFSET($O$15,0,0,$B$8,$B$9), 1+BD$14, 0))
) / $B$13)</f>
        <v>0</v>
      </c>
      <c r="BE32" cm="1">
        <f t="array" aca="1" ref="BE32" ca="1">IF($AP32=BE$14, 1, SUMPRODUCT(
    --(OFFSET($O$13,0,0,1,$B$9)=TRUE),
    --(INDEX(OFFSET($O$15,0,0,$B$8,$B$9), 1+$AP32, 0) = INDEX(OFFSET($O$15,0,0,$B$8,$B$9), 1+BE$14, 0))
) / $B$13)</f>
        <v>0</v>
      </c>
      <c r="BF32" cm="1">
        <f t="array" aca="1" ref="BF32" ca="1">IF($AP32=BF$14, 1, SUMPRODUCT(
    --(OFFSET($O$13,0,0,1,$B$9)=TRUE),
    --(INDEX(OFFSET($O$15,0,0,$B$8,$B$9), 1+$AP32, 0) = INDEX(OFFSET($O$15,0,0,$B$8,$B$9), 1+BF$14, 0))
) / $B$13)</f>
        <v>0</v>
      </c>
      <c r="BG32" cm="1">
        <f t="array" aca="1" ref="BG32" ca="1">IF($AP32=BG$14, 1, SUMPRODUCT(
    --(OFFSET($O$13,0,0,1,$B$9)=TRUE),
    --(INDEX(OFFSET($O$15,0,0,$B$8,$B$9), 1+$AP32, 0) = INDEX(OFFSET($O$15,0,0,$B$8,$B$9), 1+BG$14, 0))
) / $B$13)</f>
        <v>0.6</v>
      </c>
      <c r="BH32" cm="1">
        <f t="array" aca="1" ref="BH32" ca="1">IF($AP32=BH$14, 1, SUMPRODUCT(
    --(OFFSET($O$13,0,0,1,$B$9)=TRUE),
    --(INDEX(OFFSET($O$15,0,0,$B$8,$B$9), 1+$AP32, 0) = INDEX(OFFSET($O$15,0,0,$B$8,$B$9), 1+BH$14, 0))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
) / $B$13)</f>
        <v>0.6</v>
      </c>
      <c r="BN32">
        <f t="shared" ca="1" si="6"/>
        <v>8</v>
      </c>
      <c r="BO32" s="14">
        <f t="shared" ca="1" si="7"/>
        <v>0.125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
) / $B$16)</f>
        <v>0.6</v>
      </c>
      <c r="BR32" cm="1">
        <f t="array" aca="1" ref="BR32" ca="1">IF($BP32=BR$14, 1, SUMPRODUCT(
    --(OFFSET($O$9,0,0,1,$B$9)=TRUE),
    --(INDEX(OFFSET($O$15,0,0,$B$8,$B$9), 1+$BP32, 0) = INDEX(OFFSET($O$15,0,0,$B$8,$B$9), 1+BR$14, 0))
) / $B$16)</f>
        <v>0.4</v>
      </c>
      <c r="BS32" cm="1">
        <f t="array" aca="1" ref="BS32" ca="1">IF($BP32=BS$14, 1, SUMPRODUCT(
    --(OFFSET($O$9,0,0,1,$B$9)=TRUE),
    --(INDEX(OFFSET($O$15,0,0,$B$8,$B$9), 1+$BP32, 0) = INDEX(OFFSET($O$15,0,0,$B$8,$B$9), 1+BS$14, 0))
) / $B$16)</f>
        <v>0.4</v>
      </c>
      <c r="BT32" cm="1">
        <f t="array" aca="1" ref="BT32" ca="1">IF($BP32=BT$14, 1, SUMPRODUCT(
    --(OFFSET($O$9,0,0,1,$B$9)=TRUE),
    --(INDEX(OFFSET($O$15,0,0,$B$8,$B$9), 1+$BP32, 0) = INDEX(OFFSET($O$15,0,0,$B$8,$B$9), 1+BT$14, 0))
) / $B$16)</f>
        <v>0.4</v>
      </c>
      <c r="BU32" cm="1">
        <f t="array" aca="1" ref="BU32" ca="1">IF($BP32=BU$14, 1, SUMPRODUCT(
    --(OFFSET($O$9,0,0,1,$B$9)=TRUE),
    --(INDEX(OFFSET($O$15,0,0,$B$8,$B$9), 1+$BP32, 0) = INDEX(OFFSET($O$15,0,0,$B$8,$B$9), 1+BU$14, 0))
) / $B$16)</f>
        <v>0.2</v>
      </c>
      <c r="BV32" cm="1">
        <f t="array" aca="1" ref="BV32" ca="1">IF($BP32=BV$14, 1, SUMPRODUCT(
    --(OFFSET($O$9,0,0,1,$B$9)=TRUE),
    --(INDEX(OFFSET($O$15,0,0,$B$8,$B$9), 1+$BP32, 0) = INDEX(OFFSET($O$15,0,0,$B$8,$B$9), 1+BV$14, 0))
) / $B$16)</f>
        <v>0</v>
      </c>
      <c r="BW32" cm="1">
        <f t="array" aca="1" ref="BW32" ca="1">IF($BP32=BW$14, 1, SUMPRODUCT(
    --(OFFSET($O$9,0,0,1,$B$9)=TRUE),
    --(INDEX(OFFSET($O$15,0,0,$B$8,$B$9), 1+$BP32, 0) = INDEX(OFFSET($O$15,0,0,$B$8,$B$9), 1+BW$14, 0))
) / $B$16)</f>
        <v>0</v>
      </c>
      <c r="BX32" cm="1">
        <f t="array" aca="1" ref="BX32" ca="1">IF($BP32=BX$14, 1, SUMPRODUCT(
    --(OFFSET($O$9,0,0,1,$B$9)=TRUE),
    --(INDEX(OFFSET($O$15,0,0,$B$8,$B$9), 1+$BP32, 0) = INDEX(OFFSET($O$15,0,0,$B$8,$B$9), 1+BX$14, 0))
) / $B$16)</f>
        <v>0</v>
      </c>
      <c r="BY32" cm="1">
        <f t="array" aca="1" ref="BY32" ca="1">IF($BP32=BY$14, 1, SUMPRODUCT(
    --(OFFSET($O$9,0,0,1,$B$9)=TRUE),
    --(INDEX(OFFSET($O$15,0,0,$B$8,$B$9), 1+$BP32, 0) = INDEX(OFFSET($O$15,0,0,$B$8,$B$9), 1+BY$14, 0))
) / $B$16)</f>
        <v>0.2</v>
      </c>
      <c r="BZ32" cm="1">
        <f t="array" aca="1" ref="BZ32" ca="1">IF($BP32=BZ$14, 1, SUMPRODUCT(
    --(OFFSET($O$9,0,0,1,$B$9)=TRUE),
    --(INDEX(OFFSET($O$15,0,0,$B$8,$B$9), 1+$BP32, 0) = INDEX(OFFSET($O$15,0,0,$B$8,$B$9), 1+BZ$14, 0))
) / $B$16)</f>
        <v>0.2</v>
      </c>
      <c r="CA32" cm="1">
        <f t="array" aca="1" ref="CA32" ca="1">IF($BP32=CA$14, 1, SUMPRODUCT(
    --(OFFSET($O$9,0,0,1,$B$9)=TRUE),
    --(INDEX(OFFSET($O$15,0,0,$B$8,$B$9), 1+$BP32, 0) = INDEX(OFFSET($O$15,0,0,$B$8,$B$9), 1+CA$14, 0))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
) / $B$16)</f>
        <v>0</v>
      </c>
      <c r="CC32" cm="1">
        <f t="array" aca="1" ref="CC32" ca="1">IF($BP32=CC$14, 1, SUMPRODUCT(
    --(OFFSET($O$9,0,0,1,$B$9)=TRUE),
    --(INDEX(OFFSET($O$15,0,0,$B$8,$B$9), 1+$BP32, 0) = INDEX(OFFSET($O$15,0,0,$B$8,$B$9), 1+CC$14, 0))
) / $B$16)</f>
        <v>0</v>
      </c>
      <c r="CD32" cm="1">
        <f t="array" aca="1" ref="CD32" ca="1">IF($BP32=CD$14, 1, SUMPRODUCT(
    --(OFFSET($O$9,0,0,1,$B$9)=TRUE),
    --(INDEX(OFFSET($O$15,0,0,$B$8,$B$9), 1+$BP32, 0) = INDEX(OFFSET($O$15,0,0,$B$8,$B$9), 1+CD$14, 0))
) / $B$16)</f>
        <v>0</v>
      </c>
      <c r="CE32" cm="1">
        <f t="array" aca="1" ref="CE32" ca="1">IF($BP32=CE$14, 1, SUMPRODUCT(
    --(OFFSET($O$9,0,0,1,$B$9)=TRUE),
    --(INDEX(OFFSET($O$15,0,0,$B$8,$B$9), 1+$BP32, 0) = INDEX(OFFSET($O$15,0,0,$B$8,$B$9), 1+CE$14, 0))
) / $B$16)</f>
        <v>0</v>
      </c>
      <c r="CF32" cm="1">
        <f t="array" aca="1" ref="CF32" ca="1">IF($BP32=CF$14, 1, SUMPRODUCT(
    --(OFFSET($O$9,0,0,1,$B$9)=TRUE),
    --(INDEX(OFFSET($O$15,0,0,$B$8,$B$9), 1+$BP32, 0) = INDEX(OFFSET($O$15,0,0,$B$8,$B$9), 1+CF$14, 0))
) / $B$16)</f>
        <v>0</v>
      </c>
      <c r="CG32" cm="1">
        <f t="array" aca="1" ref="CG32" ca="1">IF($BP32=CG$14, 1, SUMPRODUCT(
    --(OFFSET($O$9,0,0,1,$B$9)=TRUE),
    --(INDEX(OFFSET($O$15,0,0,$B$8,$B$9), 1+$BP32, 0) = INDEX(OFFSET($O$15,0,0,$B$8,$B$9), 1+CG$14, 0))
) / $B$16)</f>
        <v>0.6</v>
      </c>
      <c r="CH32" cm="1">
        <f t="array" aca="1" ref="CH32" ca="1">IF($BP32=CH$14, 1, SUMPRODUCT(
    --(OFFSET($O$9,0,0,1,$B$9)=TRUE),
    --(INDEX(OFFSET($O$15,0,0,$B$8,$B$9), 1+$BP32, 0) = INDEX(OFFSET($O$15,0,0,$B$8,$B$9), 1+CH$14, 0))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
) / $B$16)</f>
        <v>0.8</v>
      </c>
      <c r="CJ32" cm="1">
        <f t="array" aca="1" ref="CJ32" ca="1">IF($BP32=CJ$14, 1, SUMPRODUCT(
    --(OFFSET($O$9,0,0,1,$B$9)=TRUE),
    --(INDEX(OFFSET($O$15,0,0,$B$8,$B$9), 1+$BP32, 0) = INDEX(OFFSET($O$15,0,0,$B$8,$B$9), 1+CJ$14, 0))
) / $B$16)</f>
        <v>0.6</v>
      </c>
      <c r="DF32" cm="1">
        <f t="array" aca="1" ref="DF32" ca="1">INDEX(_xlfn.ANCHORARRAY($CP$15), 1 + INT((ROWS($DG$15:$DG32) - 1) / ROWS(_xlfn.ANCHORARRAY($CP$15))))</f>
        <v>3</v>
      </c>
      <c r="DG32" cm="1">
        <f t="array" aca="1" ref="DG32" ca="1">INDEX(_xlfn.ANCHORARRAY($CP$15),1+MOD(ROWS($DG$15:$DG32)-1,ROWS(_xlfn.ANCHORARRAY($CP$15))))</f>
        <v>2</v>
      </c>
      <c r="DH32" s="10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$B$18/($B$19*$B$19*($DF32&lt;&gt;$DG32) + $B$19*($DF32=$DG32))</f>
        <v>1.1999999999999999E-3</v>
      </c>
      <c r="DI32" s="10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$B$18/($B$19*$B$19*($DF32&lt;&gt;$DG32) + $B$19*($DF32=$DG32))</f>
        <v>0.13120600680386055</v>
      </c>
      <c r="DJ32" s="10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$B$18/($B$19*$B$19*($DF32&lt;&gt;$DG32) + $B$19*($DF32=$DG32))</f>
        <v>1.1999999999999999E-3</v>
      </c>
      <c r="DK32" s="10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$B$18/($B$19*$B$19*($DF32&lt;&gt;$DG32) + $B$19*($DF32=$DG32))</f>
        <v>1.1999999999999999E-3</v>
      </c>
      <c r="DL32" s="10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$B$18/($B$19*$B$19*($DF32&lt;&gt;$DG32) + $B$19*($DF32=$DG32))</f>
        <v>1.1999999999999999E-3</v>
      </c>
      <c r="DM32" s="10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$B$18/($B$19*$B$19*($DF32&lt;&gt;$DG32) + $B$19*($DF32=$DG32))</f>
        <v>1.1999999999999999E-3</v>
      </c>
      <c r="DN32" s="10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$B$18/($B$19*$B$19*($DF32&lt;&gt;$DG32) + $B$19*($DF32=$DG32))</f>
        <v>1.1999999999999999E-3</v>
      </c>
      <c r="DO32" s="10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$B$18/($B$19*$B$19*($DF32&lt;&gt;$DG32) + $B$19*($DF32=$DG32))</f>
        <v>1.1999999999999999E-3</v>
      </c>
      <c r="DP32" s="10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$B$18/($B$19*$B$19*($DF32&lt;&gt;$DG32) + $B$19*($DF32=$DG32))</f>
        <v>0.13801584525549132</v>
      </c>
      <c r="DQ32" s="10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$B$18/($B$19*$B$19*($DF32&lt;&gt;$DG32) + $B$19*($DF32=$DG32))</f>
        <v>0.1254704476801608</v>
      </c>
      <c r="DR32" s="10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$B$18/($B$19*$B$19*($DF32&lt;&gt;$DG32) + $B$19*($DF32=$DG32))</f>
        <v>0.11549099499240487</v>
      </c>
      <c r="DS32" s="10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$B$18/($B$19*$B$19*($DF32&lt;&gt;$DG32) + $B$19*($DF32=$DG32))</f>
        <v>0.17980349029958936</v>
      </c>
      <c r="DT32" s="10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$B$18/($B$19*$B$19*($DF32&lt;&gt;$DG32) + $B$19*($DF32=$DG32))</f>
        <v>1.1999999999999999E-3</v>
      </c>
      <c r="DU32" s="10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$B$18/($B$19*$B$19*($DF32&lt;&gt;$DG32) + $B$19*($DF32=$DG32))</f>
        <v>0.11820540612347449</v>
      </c>
      <c r="DV32" s="10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$B$18/($B$19*$B$19*($DF32&lt;&gt;$DG32) + $B$19*($DF32=$DG32))</f>
        <v>1.1999999999999999E-3</v>
      </c>
      <c r="DW32" s="10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$B$18/($B$19*$B$19*($DF32&lt;&gt;$DG32) + $B$19*($DF32=$DG32))</f>
        <v>1.1999999999999999E-3</v>
      </c>
    </row>
    <row r="33" spans="4:127" x14ac:dyDescent="0.2">
      <c r="D33" s="10">
        <f ca="1"/>
        <v>18</v>
      </c>
      <c r="F33" s="10">
        <f ca="1"/>
        <v>0.125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9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3"/>
        <v>1</v>
      </c>
      <c r="N33" s="2">
        <v>18</v>
      </c>
      <c r="O33" s="12" t="s">
        <v>0</v>
      </c>
      <c r="P33" s="9" t="s">
        <v>4</v>
      </c>
      <c r="Q33" s="9" t="s">
        <v>2</v>
      </c>
      <c r="R33" s="9" t="s">
        <v>4</v>
      </c>
      <c r="S33" s="9" t="s">
        <v>2</v>
      </c>
      <c r="AN33">
        <f t="shared" ca="1" si="4"/>
        <v>8</v>
      </c>
      <c r="AO33" s="14">
        <f t="shared" ca="1" si="5"/>
        <v>0.125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
) / $B$13)</f>
        <v>0.6</v>
      </c>
      <c r="AR33" cm="1">
        <f t="array" aca="1" ref="AR33" ca="1">IF($AP33=AR$14, 1, SUMPRODUCT(
    --(OFFSET($O$13,0,0,1,$B$9)=TRUE),
    --(INDEX(OFFSET($O$15,0,0,$B$8,$B$9), 1+$AP33, 0) = INDEX(OFFSET($O$15,0,0,$B$8,$B$9), 1+AR$14, 0))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
) / $B$13)</f>
        <v>0.4</v>
      </c>
      <c r="AU33" cm="1">
        <f t="array" aca="1" ref="AU33" ca="1">IF($AP33=AU$14, 1, SUMPRODUCT(
    --(OFFSET($O$13,0,0,1,$B$9)=TRUE),
    --(INDEX(OFFSET($O$15,0,0,$B$8,$B$9), 1+$AP33, 0) = INDEX(OFFSET($O$15,0,0,$B$8,$B$9), 1+AU$14, 0))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
) / $B$13)</f>
        <v>0</v>
      </c>
      <c r="AW33" cm="1">
        <f t="array" aca="1" ref="AW33" ca="1">IF($AP33=AW$14, 1, SUMPRODUCT(
    --(OFFSET($O$13,0,0,1,$B$9)=TRUE),
    --(INDEX(OFFSET($O$15,0,0,$B$8,$B$9), 1+$AP33, 0) = INDEX(OFFSET($O$15,0,0,$B$8,$B$9), 1+AW$14, 0))
) / $B$13)</f>
        <v>0</v>
      </c>
      <c r="AX33" cm="1">
        <f t="array" aca="1" ref="AX33" ca="1">IF($AP33=AX$14, 1, SUMPRODUCT(
    --(OFFSET($O$13,0,0,1,$B$9)=TRUE),
    --(INDEX(OFFSET($O$15,0,0,$B$8,$B$9), 1+$AP33, 0) = INDEX(OFFSET($O$15,0,0,$B$8,$B$9), 1+AX$14, 0))
) / $B$13)</f>
        <v>0</v>
      </c>
      <c r="AY33" cm="1">
        <f t="array" aca="1" ref="AY33" ca="1">IF($AP33=AY$14, 1, SUMPRODUCT(
    --(OFFSET($O$13,0,0,1,$B$9)=TRUE),
    --(INDEX(OFFSET($O$15,0,0,$B$8,$B$9), 1+$AP33, 0) = INDEX(OFFSET($O$15,0,0,$B$8,$B$9), 1+AY$14, 0))
) / $B$13)</f>
        <v>0.2</v>
      </c>
      <c r="AZ33" cm="1">
        <f t="array" aca="1" ref="AZ33" ca="1">IF($AP33=AZ$14, 1, SUMPRODUCT(
    --(OFFSET($O$13,0,0,1,$B$9)=TRUE),
    --(INDEX(OFFSET($O$15,0,0,$B$8,$B$9), 1+$AP33, 0) = INDEX(OFFSET($O$15,0,0,$B$8,$B$9), 1+AZ$14, 0))
) / $B$13)</f>
        <v>0.2</v>
      </c>
      <c r="BA33" cm="1">
        <f t="array" aca="1" ref="BA33" ca="1">IF($AP33=BA$14, 1, SUMPRODUCT(
    --(OFFSET($O$13,0,0,1,$B$9)=TRUE),
    --(INDEX(OFFSET($O$15,0,0,$B$8,$B$9), 1+$AP33, 0) = INDEX(OFFSET($O$15,0,0,$B$8,$B$9), 1+BA$14, 0))
) / $B$13)</f>
        <v>0</v>
      </c>
      <c r="BB33" cm="1">
        <f t="array" aca="1" ref="BB33" ca="1">IF($AP33=BB$14, 1, SUMPRODUCT(
    --(OFFSET($O$13,0,0,1,$B$9)=TRUE),
    --(INDEX(OFFSET($O$15,0,0,$B$8,$B$9), 1+$AP33, 0) = INDEX(OFFSET($O$15,0,0,$B$8,$B$9), 1+BB$14, 0))
) / $B$13)</f>
        <v>0</v>
      </c>
      <c r="BC33" cm="1">
        <f t="array" aca="1" ref="BC33" ca="1">IF($AP33=BC$14, 1, SUMPRODUCT(
    --(OFFSET($O$13,0,0,1,$B$9)=TRUE),
    --(INDEX(OFFSET($O$15,0,0,$B$8,$B$9), 1+$AP33, 0) = INDEX(OFFSET($O$15,0,0,$B$8,$B$9), 1+BC$14, 0))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
) / $B$13)</f>
        <v>0</v>
      </c>
      <c r="BG33" cm="1">
        <f t="array" aca="1" ref="BG33" ca="1">IF($AP33=BG$14, 1, SUMPRODUCT(
    --(OFFSET($O$13,0,0,1,$B$9)=TRUE),
    --(INDEX(OFFSET($O$15,0,0,$B$8,$B$9), 1+$AP33, 0) = INDEX(OFFSET($O$15,0,0,$B$8,$B$9), 1+BG$14, 0))
) / $B$13)</f>
        <v>0.4</v>
      </c>
      <c r="BH33" cm="1">
        <f t="array" aca="1" ref="BH33" ca="1">IF($AP33=BH$14, 1, SUMPRODUCT(
    --(OFFSET($O$13,0,0,1,$B$9)=TRUE),
    --(INDEX(OFFSET($O$15,0,0,$B$8,$B$9), 1+$AP33, 0) = INDEX(OFFSET($O$15,0,0,$B$8,$B$9), 1+BH$14, 0))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
) / $B$13)</f>
        <v>0.8</v>
      </c>
      <c r="BN33">
        <f t="shared" ca="1" si="6"/>
        <v>8</v>
      </c>
      <c r="BO33" s="14">
        <f t="shared" ca="1" si="7"/>
        <v>0.125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
) / $B$16)</f>
        <v>0.6</v>
      </c>
      <c r="BR33" cm="1">
        <f t="array" aca="1" ref="BR33" ca="1">IF($BP33=BR$14, 1, SUMPRODUCT(
    --(OFFSET($O$9,0,0,1,$B$9)=TRUE),
    --(INDEX(OFFSET($O$15,0,0,$B$8,$B$9), 1+$BP33, 0) = INDEX(OFFSET($O$15,0,0,$B$8,$B$9), 1+BR$14, 0))
) / $B$16)</f>
        <v>0.4</v>
      </c>
      <c r="BS33" cm="1">
        <f t="array" aca="1" ref="BS33" ca="1">IF($BP33=BS$14, 1, SUMPRODUCT(
    --(OFFSET($O$9,0,0,1,$B$9)=TRUE),
    --(INDEX(OFFSET($O$15,0,0,$B$8,$B$9), 1+$BP33, 0) = INDEX(OFFSET($O$15,0,0,$B$8,$B$9), 1+BS$14, 0))
) / $B$16)</f>
        <v>0.4</v>
      </c>
      <c r="BT33" cm="1">
        <f t="array" aca="1" ref="BT33" ca="1">IF($BP33=BT$14, 1, SUMPRODUCT(
    --(OFFSET($O$9,0,0,1,$B$9)=TRUE),
    --(INDEX(OFFSET($O$15,0,0,$B$8,$B$9), 1+$BP33, 0) = INDEX(OFFSET($O$15,0,0,$B$8,$B$9), 1+BT$14, 0))
) / $B$16)</f>
        <v>0.4</v>
      </c>
      <c r="BU33" cm="1">
        <f t="array" aca="1" ref="BU33" ca="1">IF($BP33=BU$14, 1, SUMPRODUCT(
    --(OFFSET($O$9,0,0,1,$B$9)=TRUE),
    --(INDEX(OFFSET($O$15,0,0,$B$8,$B$9), 1+$BP33, 0) = INDEX(OFFSET($O$15,0,0,$B$8,$B$9), 1+BU$14, 0))
) / $B$16)</f>
        <v>0.2</v>
      </c>
      <c r="BV33" cm="1">
        <f t="array" aca="1" ref="BV33" ca="1">IF($BP33=BV$14, 1, SUMPRODUCT(
    --(OFFSET($O$9,0,0,1,$B$9)=TRUE),
    --(INDEX(OFFSET($O$15,0,0,$B$8,$B$9), 1+$BP33, 0) = INDEX(OFFSET($O$15,0,0,$B$8,$B$9), 1+BV$14, 0))
) / $B$16)</f>
        <v>0</v>
      </c>
      <c r="BW33" cm="1">
        <f t="array" aca="1" ref="BW33" ca="1">IF($BP33=BW$14, 1, SUMPRODUCT(
    --(OFFSET($O$9,0,0,1,$B$9)=TRUE),
    --(INDEX(OFFSET($O$15,0,0,$B$8,$B$9), 1+$BP33, 0) = INDEX(OFFSET($O$15,0,0,$B$8,$B$9), 1+BW$14, 0))
) / $B$16)</f>
        <v>0</v>
      </c>
      <c r="BX33" cm="1">
        <f t="array" aca="1" ref="BX33" ca="1">IF($BP33=BX$14, 1, SUMPRODUCT(
    --(OFFSET($O$9,0,0,1,$B$9)=TRUE),
    --(INDEX(OFFSET($O$15,0,0,$B$8,$B$9), 1+$BP33, 0) = INDEX(OFFSET($O$15,0,0,$B$8,$B$9), 1+BX$14, 0))
) / $B$16)</f>
        <v>0</v>
      </c>
      <c r="BY33" cm="1">
        <f t="array" aca="1" ref="BY33" ca="1">IF($BP33=BY$14, 1, SUMPRODUCT(
    --(OFFSET($O$9,0,0,1,$B$9)=TRUE),
    --(INDEX(OFFSET($O$15,0,0,$B$8,$B$9), 1+$BP33, 0) = INDEX(OFFSET($O$15,0,0,$B$8,$B$9), 1+BY$14, 0))
) / $B$16)</f>
        <v>0.2</v>
      </c>
      <c r="BZ33" cm="1">
        <f t="array" aca="1" ref="BZ33" ca="1">IF($BP33=BZ$14, 1, SUMPRODUCT(
    --(OFFSET($O$9,0,0,1,$B$9)=TRUE),
    --(INDEX(OFFSET($O$15,0,0,$B$8,$B$9), 1+$BP33, 0) = INDEX(OFFSET($O$15,0,0,$B$8,$B$9), 1+BZ$14, 0))
) / $B$16)</f>
        <v>0.2</v>
      </c>
      <c r="CA33" cm="1">
        <f t="array" aca="1" ref="CA33" ca="1">IF($BP33=CA$14, 1, SUMPRODUCT(
    --(OFFSET($O$9,0,0,1,$B$9)=TRUE),
    --(INDEX(OFFSET($O$15,0,0,$B$8,$B$9), 1+$BP33, 0) = INDEX(OFFSET($O$15,0,0,$B$8,$B$9), 1+CA$14, 0))
) / $B$16)</f>
        <v>0</v>
      </c>
      <c r="CB33" cm="1">
        <f t="array" aca="1" ref="CB33" ca="1">IF($BP33=CB$14, 1, SUMPRODUCT(
    --(OFFSET($O$9,0,0,1,$B$9)=TRUE),
    --(INDEX(OFFSET($O$15,0,0,$B$8,$B$9), 1+$BP33, 0) = INDEX(OFFSET($O$15,0,0,$B$8,$B$9), 1+CB$14, 0))
) / $B$16)</f>
        <v>0</v>
      </c>
      <c r="CC33" cm="1">
        <f t="array" aca="1" ref="CC33" ca="1">IF($BP33=CC$14, 1, SUMPRODUCT(
    --(OFFSET($O$9,0,0,1,$B$9)=TRUE),
    --(INDEX(OFFSET($O$15,0,0,$B$8,$B$9), 1+$BP33, 0) = INDEX(OFFSET($O$15,0,0,$B$8,$B$9), 1+CC$14, 0))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
) / $B$16)</f>
        <v>0</v>
      </c>
      <c r="CG33" cm="1">
        <f t="array" aca="1" ref="CG33" ca="1">IF($BP33=CG$14, 1, SUMPRODUCT(
    --(OFFSET($O$9,0,0,1,$B$9)=TRUE),
    --(INDEX(OFFSET($O$15,0,0,$B$8,$B$9), 1+$BP33, 0) = INDEX(OFFSET($O$15,0,0,$B$8,$B$9), 1+CG$14, 0))
) / $B$16)</f>
        <v>0.4</v>
      </c>
      <c r="CH33" cm="1">
        <f t="array" aca="1" ref="CH33" ca="1">IF($BP33=CH$14, 1, SUMPRODUCT(
    --(OFFSET($O$9,0,0,1,$B$9)=TRUE),
    --(INDEX(OFFSET($O$15,0,0,$B$8,$B$9), 1+$BP33, 0) = INDEX(OFFSET($O$15,0,0,$B$8,$B$9), 1+CH$14, 0))
) / $B$16)</f>
        <v>0.8</v>
      </c>
      <c r="CI33" cm="1">
        <f t="array" aca="1" ref="CI33" ca="1">IF($BP33=CI$14, 1, SUMPRODUCT(
    --(OFFSET($O$9,0,0,1,$B$9)=TRUE),
    --(INDEX(OFFSET($O$15,0,0,$B$8,$B$9), 1+$BP33, 0) = INDEX(OFFSET($O$15,0,0,$B$8,$B$9), 1+CI$14, 0))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
) / $B$16)</f>
        <v>0.8</v>
      </c>
      <c r="DF33" cm="1">
        <f t="array" aca="1" ref="DF33" ca="1">INDEX(_xlfn.ANCHORARRAY($CP$15), 1 + INT((ROWS($DG$15:$DG33) - 1) / ROWS(_xlfn.ANCHORARRAY($CP$15))))</f>
        <v>3</v>
      </c>
      <c r="DG33" cm="1">
        <f t="array" aca="1" ref="DG33" ca="1">INDEX(_xlfn.ANCHORARRAY($CP$15),1+MOD(ROWS($DG$15:$DG33)-1,ROWS(_xlfn.ANCHORARRAY($CP$15))))</f>
        <v>3</v>
      </c>
      <c r="DH33" s="10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$B$18/($B$19*$B$19*($DF33&lt;&gt;$DG33) + $B$19*($DF33=$DG33))</f>
        <v>0.13600600680386055</v>
      </c>
      <c r="DI33" s="10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$B$18/($B$19*$B$19*($DF33&lt;&gt;$DG33) + $B$19*($DF33=$DG33))</f>
        <v>6.0000000000000001E-3</v>
      </c>
      <c r="DJ33" s="10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$B$18/($B$19*$B$19*($DF33&lt;&gt;$DG33) + $B$19*($DF33=$DG33))</f>
        <v>6.0000000000000001E-3</v>
      </c>
      <c r="DK33" s="10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$B$18/($B$19*$B$19*($DF33&lt;&gt;$DG33) + $B$19*($DF33=$DG33))</f>
        <v>6.0000000000000001E-3</v>
      </c>
      <c r="DL33" s="10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$B$18/($B$19*$B$19*($DF33&lt;&gt;$DG33) + $B$19*($DF33=$DG33))</f>
        <v>6.0000000000000001E-3</v>
      </c>
      <c r="DM33" s="10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$B$18/($B$19*$B$19*($DF33&lt;&gt;$DG33) + $B$19*($DF33=$DG33))</f>
        <v>6.0000000000000001E-3</v>
      </c>
      <c r="DN33" s="10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$B$18/($B$19*$B$19*($DF33&lt;&gt;$DG33) + $B$19*($DF33=$DG33))</f>
        <v>6.0000000000000001E-3</v>
      </c>
      <c r="DO33" s="10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$B$18/($B$19*$B$19*($DF33&lt;&gt;$DG33) + $B$19*($DF33=$DG33))</f>
        <v>6.0000000000000001E-3</v>
      </c>
      <c r="DP33" s="10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$B$18/($B$19*$B$19*($DF33&lt;&gt;$DG33) + $B$19*($DF33=$DG33))</f>
        <v>6.0000000000000001E-3</v>
      </c>
      <c r="DQ33" s="10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$B$18/($B$19*$B$19*($DF33&lt;&gt;$DG33) + $B$19*($DF33=$DG33))</f>
        <v>6.0000000000000001E-3</v>
      </c>
      <c r="DR33" s="10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$B$18/($B$19*$B$19*($DF33&lt;&gt;$DG33) + $B$19*($DF33=$DG33))</f>
        <v>0.55998077822764625</v>
      </c>
      <c r="DS33" s="10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$B$18/($B$19*$B$19*($DF33&lt;&gt;$DG33) + $B$19*($DF33=$DG33))</f>
        <v>6.0000000000000001E-3</v>
      </c>
      <c r="DT33" s="10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$B$18/($B$19*$B$19*($DF33&lt;&gt;$DG33) + $B$19*($DF33=$DG33))</f>
        <v>6.0000000000000001E-3</v>
      </c>
      <c r="DU33" s="10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$B$18/($B$19*$B$19*($DF33&lt;&gt;$DG33) + $B$19*($DF33=$DG33))</f>
        <v>6.0000000000000001E-3</v>
      </c>
      <c r="DV33" s="10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$B$18/($B$19*$B$19*($DF33&lt;&gt;$DG33) + $B$19*($DF33=$DG33))</f>
        <v>6.0000000000000001E-3</v>
      </c>
      <c r="DW33" s="10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$B$18/($B$19*$B$19*($DF33&lt;&gt;$DG33) + $B$19*($DF33=$DG33))</f>
        <v>0.12300540612347449</v>
      </c>
    </row>
    <row r="34" spans="4:127" x14ac:dyDescent="0.2">
      <c r="D34" s="10">
        <f ca="1"/>
        <v>19</v>
      </c>
      <c r="F34" s="10">
        <f ca="1"/>
        <v>0.1</v>
      </c>
      <c r="J34" cm="1">
        <f t="array" aca="1" ref="J34" ca="1">SUMPRODUCT((O34:AJ34=$O$11:$AJ$11)*(O$13:AJ$13=TRUE))  / COUNTIF(O$13:AJ$13,TRUE)</f>
        <v>0.8</v>
      </c>
      <c r="K34" t="b">
        <f t="shared" ca="1" si="9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3"/>
        <v>1</v>
      </c>
      <c r="N34" s="2">
        <v>19</v>
      </c>
      <c r="O34" s="12" t="s">
        <v>0</v>
      </c>
      <c r="P34" s="9" t="s">
        <v>4</v>
      </c>
      <c r="Q34" s="9" t="s">
        <v>2</v>
      </c>
      <c r="R34" s="9" t="s">
        <v>4</v>
      </c>
      <c r="S34" s="9" t="s">
        <v>3</v>
      </c>
      <c r="AN34">
        <f t="shared" ca="1" si="4"/>
        <v>10</v>
      </c>
      <c r="AO34" s="14">
        <f t="shared" ca="1" si="5"/>
        <v>0.1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
) / $B$13)</f>
        <v>0.8</v>
      </c>
      <c r="AR34" cm="1">
        <f t="array" aca="1" ref="AR34" ca="1">IF($AP34=AR$14, 1, SUMPRODUCT(
    --(OFFSET($O$13,0,0,1,$B$9)=TRUE),
    --(INDEX(OFFSET($O$15,0,0,$B$8,$B$9), 1+$AP34, 0) = INDEX(OFFSET($O$15,0,0,$B$8,$B$9), 1+AR$14, 0))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
) / $B$13)</f>
        <v>0.6</v>
      </c>
      <c r="AT34" cm="1">
        <f t="array" aca="1" ref="AT34" ca="1">IF($AP34=AT$14, 1, SUMPRODUCT(
    --(OFFSET($O$13,0,0,1,$B$9)=TRUE),
    --(INDEX(OFFSET($O$15,0,0,$B$8,$B$9), 1+$AP34, 0) = INDEX(OFFSET($O$15,0,0,$B$8,$B$9), 1+AT$14, 0))
) / $B$13)</f>
        <v>0.6</v>
      </c>
      <c r="AU34" cm="1">
        <f t="array" aca="1" ref="AU34" ca="1">IF($AP34=AU$14, 1, SUMPRODUCT(
    --(OFFSET($O$13,0,0,1,$B$9)=TRUE),
    --(INDEX(OFFSET($O$15,0,0,$B$8,$B$9), 1+$AP34, 0) = INDEX(OFFSET($O$15,0,0,$B$8,$B$9), 1+AU$14, 0))
) / $B$13)</f>
        <v>0.2</v>
      </c>
      <c r="AV34" cm="1">
        <f t="array" aca="1" ref="AV34" ca="1">IF($AP34=AV$14, 1, SUMPRODUCT(
    --(OFFSET($O$13,0,0,1,$B$9)=TRUE),
    --(INDEX(OFFSET($O$15,0,0,$B$8,$B$9), 1+$AP34, 0) = INDEX(OFFSET($O$15,0,0,$B$8,$B$9), 1+AV$14, 0))
) / $B$13)</f>
        <v>0.2</v>
      </c>
      <c r="AW34" cm="1">
        <f t="array" aca="1" ref="AW34" ca="1">IF($AP34=AW$14, 1, SUMPRODUCT(
    --(OFFSET($O$13,0,0,1,$B$9)=TRUE),
    --(INDEX(OFFSET($O$15,0,0,$B$8,$B$9), 1+$AP34, 0) = INDEX(OFFSET($O$15,0,0,$B$8,$B$9), 1+AW$14, 0))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
) / $B$13)</f>
        <v>0.4</v>
      </c>
      <c r="BA34" cm="1">
        <f t="array" aca="1" ref="BA34" ca="1">IF($AP34=BA$14, 1, SUMPRODUCT(
    --(OFFSET($O$13,0,0,1,$B$9)=TRUE),
    --(INDEX(OFFSET($O$15,0,0,$B$8,$B$9), 1+$AP34, 0) = INDEX(OFFSET($O$15,0,0,$B$8,$B$9), 1+BA$14, 0))
) / $B$13)</f>
        <v>0</v>
      </c>
      <c r="BB34" cm="1">
        <f t="array" aca="1" ref="BB34" ca="1">IF($AP34=BB$14, 1, SUMPRODUCT(
    --(OFFSET($O$13,0,0,1,$B$9)=TRUE),
    --(INDEX(OFFSET($O$15,0,0,$B$8,$B$9), 1+$AP34, 0) = INDEX(OFFSET($O$15,0,0,$B$8,$B$9), 1+BB$14, 0))
) / $B$13)</f>
        <v>0.2</v>
      </c>
      <c r="BC34" cm="1">
        <f t="array" aca="1" ref="BC34" ca="1">IF($AP34=BC$14, 1, SUMPRODUCT(
    --(OFFSET($O$13,0,0,1,$B$9)=TRUE),
    --(INDEX(OFFSET($O$15,0,0,$B$8,$B$9), 1+$AP34, 0) = INDEX(OFFSET($O$15,0,0,$B$8,$B$9), 1+BC$14, 0))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
) / $B$13)</f>
        <v>0</v>
      </c>
      <c r="BE34" cm="1">
        <f t="array" aca="1" ref="BE34" ca="1">IF($AP34=BE$14, 1, SUMPRODUCT(
    --(OFFSET($O$13,0,0,1,$B$9)=TRUE),
    --(INDEX(OFFSET($O$15,0,0,$B$8,$B$9), 1+$AP34, 0) = INDEX(OFFSET($O$15,0,0,$B$8,$B$9), 1+BE$14, 0))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
) / $B$13)</f>
        <v>0.2</v>
      </c>
      <c r="BG34" cm="1">
        <f t="array" aca="1" ref="BG34" ca="1">IF($AP34=BG$14, 1, SUMPRODUCT(
    --(OFFSET($O$13,0,0,1,$B$9)=TRUE),
    --(INDEX(OFFSET($O$15,0,0,$B$8,$B$9), 1+$AP34, 0) = INDEX(OFFSET($O$15,0,0,$B$8,$B$9), 1+BG$14, 0))
) / $B$13)</f>
        <v>0.4</v>
      </c>
      <c r="BH34" cm="1">
        <f t="array" aca="1" ref="BH34" ca="1">IF($AP34=BH$14, 1, SUMPRODUCT(
    --(OFFSET($O$13,0,0,1,$B$9)=TRUE),
    --(INDEX(OFFSET($O$15,0,0,$B$8,$B$9), 1+$AP34, 0) = INDEX(OFFSET($O$15,0,0,$B$8,$B$9), 1+BH$14, 0))
) / $B$13)</f>
        <v>0.6</v>
      </c>
      <c r="BI34" cm="1">
        <f t="array" aca="1" ref="BI34" ca="1">IF($AP34=BI$14, 1, SUMPRODUCT(
    --(OFFSET($O$13,0,0,1,$B$9)=TRUE),
    --(INDEX(OFFSET($O$15,0,0,$B$8,$B$9), 1+$AP34, 0) = INDEX(OFFSET($O$15,0,0,$B$8,$B$9), 1+BI$14, 0))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
) / $B$13)</f>
        <v>1</v>
      </c>
      <c r="BN34">
        <f t="shared" ca="1" si="6"/>
        <v>10</v>
      </c>
      <c r="BO34" s="14">
        <f t="shared" ca="1" si="7"/>
        <v>0.1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
) / $B$16)</f>
        <v>0.8</v>
      </c>
      <c r="BR34" cm="1">
        <f t="array" aca="1" ref="BR34" ca="1">IF($BP34=BR$14, 1, SUMPRODUCT(
    --(OFFSET($O$9,0,0,1,$B$9)=TRUE),
    --(INDEX(OFFSET($O$15,0,0,$B$8,$B$9), 1+$BP34, 0) = INDEX(OFFSET($O$15,0,0,$B$8,$B$9), 1+BR$14, 0))
) / $B$16)</f>
        <v>0.6</v>
      </c>
      <c r="BS34" cm="1">
        <f t="array" aca="1" ref="BS34" ca="1">IF($BP34=BS$14, 1, SUMPRODUCT(
    --(OFFSET($O$9,0,0,1,$B$9)=TRUE),
    --(INDEX(OFFSET($O$15,0,0,$B$8,$B$9), 1+$BP34, 0) = INDEX(OFFSET($O$15,0,0,$B$8,$B$9), 1+BS$14, 0))
) / $B$16)</f>
        <v>0.6</v>
      </c>
      <c r="BT34" cm="1">
        <f t="array" aca="1" ref="BT34" ca="1">IF($BP34=BT$14, 1, SUMPRODUCT(
    --(OFFSET($O$9,0,0,1,$B$9)=TRUE),
    --(INDEX(OFFSET($O$15,0,0,$B$8,$B$9), 1+$BP34, 0) = INDEX(OFFSET($O$15,0,0,$B$8,$B$9), 1+BT$14, 0))
) / $B$16)</f>
        <v>0.6</v>
      </c>
      <c r="BU34" cm="1">
        <f t="array" aca="1" ref="BU34" ca="1">IF($BP34=BU$14, 1, SUMPRODUCT(
    --(OFFSET($O$9,0,0,1,$B$9)=TRUE),
    --(INDEX(OFFSET($O$15,0,0,$B$8,$B$9), 1+$BP34, 0) = INDEX(OFFSET($O$15,0,0,$B$8,$B$9), 1+BU$14, 0))
) / $B$16)</f>
        <v>0.2</v>
      </c>
      <c r="BV34" cm="1">
        <f t="array" aca="1" ref="BV34" ca="1">IF($BP34=BV$14, 1, SUMPRODUCT(
    --(OFFSET($O$9,0,0,1,$B$9)=TRUE),
    --(INDEX(OFFSET($O$15,0,0,$B$8,$B$9), 1+$BP34, 0) = INDEX(OFFSET($O$15,0,0,$B$8,$B$9), 1+BV$14, 0))
) / $B$16)</f>
        <v>0.2</v>
      </c>
      <c r="BW34" cm="1">
        <f t="array" aca="1" ref="BW34" ca="1">IF($BP34=BW$14, 1, SUMPRODUCT(
    --(OFFSET($O$9,0,0,1,$B$9)=TRUE),
    --(INDEX(OFFSET($O$15,0,0,$B$8,$B$9), 1+$BP34, 0) = INDEX(OFFSET($O$15,0,0,$B$8,$B$9), 1+BW$14, 0))
) / $B$16)</f>
        <v>0.2</v>
      </c>
      <c r="BX34" cm="1">
        <f t="array" aca="1" ref="BX34" ca="1">IF($BP34=BX$14, 1, SUMPRODUCT(
    --(OFFSET($O$9,0,0,1,$B$9)=TRUE),
    --(INDEX(OFFSET($O$15,0,0,$B$8,$B$9), 1+$BP34, 0) = INDEX(OFFSET($O$15,0,0,$B$8,$B$9), 1+BX$14, 0))
) / $B$16)</f>
        <v>0.2</v>
      </c>
      <c r="BY34" cm="1">
        <f t="array" aca="1" ref="BY34" ca="1">IF($BP34=BY$14, 1, SUMPRODUCT(
    --(OFFSET($O$9,0,0,1,$B$9)=TRUE),
    --(INDEX(OFFSET($O$15,0,0,$B$8,$B$9), 1+$BP34, 0) = INDEX(OFFSET($O$15,0,0,$B$8,$B$9), 1+BY$14, 0))
) / $B$16)</f>
        <v>0.4</v>
      </c>
      <c r="BZ34" cm="1">
        <f t="array" aca="1" ref="BZ34" ca="1">IF($BP34=BZ$14, 1, SUMPRODUCT(
    --(OFFSET($O$9,0,0,1,$B$9)=TRUE),
    --(INDEX(OFFSET($O$15,0,0,$B$8,$B$9), 1+$BP34, 0) = INDEX(OFFSET($O$15,0,0,$B$8,$B$9), 1+BZ$14, 0))
) / $B$16)</f>
        <v>0.4</v>
      </c>
      <c r="CA34" cm="1">
        <f t="array" aca="1" ref="CA34" ca="1">IF($BP34=CA$14, 1, SUMPRODUCT(
    --(OFFSET($O$9,0,0,1,$B$9)=TRUE),
    --(INDEX(OFFSET($O$15,0,0,$B$8,$B$9), 1+$BP34, 0) = INDEX(OFFSET($O$15,0,0,$B$8,$B$9), 1+CA$14, 0))
) / $B$16)</f>
        <v>0</v>
      </c>
      <c r="CB34" cm="1">
        <f t="array" aca="1" ref="CB34" ca="1">IF($BP34=CB$14, 1, SUMPRODUCT(
    --(OFFSET($O$9,0,0,1,$B$9)=TRUE),
    --(INDEX(OFFSET($O$15,0,0,$B$8,$B$9), 1+$BP34, 0) = INDEX(OFFSET($O$15,0,0,$B$8,$B$9), 1+CB$14, 0))
) / $B$16)</f>
        <v>0.2</v>
      </c>
      <c r="CC34" cm="1">
        <f t="array" aca="1" ref="CC34" ca="1">IF($BP34=CC$14, 1, SUMPRODUCT(
    --(OFFSET($O$9,0,0,1,$B$9)=TRUE),
    --(INDEX(OFFSET($O$15,0,0,$B$8,$B$9), 1+$BP34, 0) = INDEX(OFFSET($O$15,0,0,$B$8,$B$9), 1+CC$14, 0))
) / $B$16)</f>
        <v>0.2</v>
      </c>
      <c r="CD34" cm="1">
        <f t="array" aca="1" ref="CD34" ca="1">IF($BP34=CD$14, 1, SUMPRODUCT(
    --(OFFSET($O$9,0,0,1,$B$9)=TRUE),
    --(INDEX(OFFSET($O$15,0,0,$B$8,$B$9), 1+$BP34, 0) = INDEX(OFFSET($O$15,0,0,$B$8,$B$9), 1+CD$14, 0))
) / $B$16)</f>
        <v>0</v>
      </c>
      <c r="CE34" cm="1">
        <f t="array" aca="1" ref="CE34" ca="1">IF($BP34=CE$14, 1, SUMPRODUCT(
    --(OFFSET($O$9,0,0,1,$B$9)=TRUE),
    --(INDEX(OFFSET($O$15,0,0,$B$8,$B$9), 1+$BP34, 0) = INDEX(OFFSET($O$15,0,0,$B$8,$B$9), 1+CE$14, 0))
) / $B$16)</f>
        <v>0.2</v>
      </c>
      <c r="CF34" cm="1">
        <f t="array" aca="1" ref="CF34" ca="1">IF($BP34=CF$14, 1, SUMPRODUCT(
    --(OFFSET($O$9,0,0,1,$B$9)=TRUE),
    --(INDEX(OFFSET($O$15,0,0,$B$8,$B$9), 1+$BP34, 0) = INDEX(OFFSET($O$15,0,0,$B$8,$B$9), 1+CF$14, 0))
) / $B$16)</f>
        <v>0.2</v>
      </c>
      <c r="CG34" cm="1">
        <f t="array" aca="1" ref="CG34" ca="1">IF($BP34=CG$14, 1, SUMPRODUCT(
    --(OFFSET($O$9,0,0,1,$B$9)=TRUE),
    --(INDEX(OFFSET($O$15,0,0,$B$8,$B$9), 1+$BP34, 0) = INDEX(OFFSET($O$15,0,0,$B$8,$B$9), 1+CG$14, 0))
) / $B$16)</f>
        <v>0.4</v>
      </c>
      <c r="CH34" cm="1">
        <f t="array" aca="1" ref="CH34" ca="1">IF($BP34=CH$14, 1, SUMPRODUCT(
    --(OFFSET($O$9,0,0,1,$B$9)=TRUE),
    --(INDEX(OFFSET($O$15,0,0,$B$8,$B$9), 1+$BP34, 0) = INDEX(OFFSET($O$15,0,0,$B$8,$B$9), 1+CH$14, 0))
) / $B$16)</f>
        <v>0.6</v>
      </c>
      <c r="CI34" cm="1">
        <f t="array" aca="1" ref="CI34" ca="1">IF($BP34=CI$14, 1, SUMPRODUCT(
    --(OFFSET($O$9,0,0,1,$B$9)=TRUE),
    --(INDEX(OFFSET($O$15,0,0,$B$8,$B$9), 1+$BP34, 0) = INDEX(OFFSET($O$15,0,0,$B$8,$B$9), 1+CI$14, 0))
) / $B$16)</f>
        <v>0.8</v>
      </c>
      <c r="CJ34" cm="1">
        <f t="array" aca="1" ref="CJ34" ca="1">IF($BP34=CJ$14, 1, SUMPRODUCT(
    --(OFFSET($O$9,0,0,1,$B$9)=TRUE),
    --(INDEX(OFFSET($O$15,0,0,$B$8,$B$9), 1+$BP34, 0) = INDEX(OFFSET($O$15,0,0,$B$8,$B$9), 1+CJ$14, 0))
) / $B$16)</f>
        <v>1</v>
      </c>
      <c r="DF34" cm="1">
        <f t="array" aca="1" ref="DF34" ca="1">INDEX(_xlfn.ANCHORARRAY($CP$15), 1 + INT((ROWS($DG$15:$DG34) - 1) / ROWS(_xlfn.ANCHORARRAY($CP$15))))</f>
        <v>3</v>
      </c>
      <c r="DG34" cm="1">
        <f t="array" aca="1" ref="DG34" ca="1">INDEX(_xlfn.ANCHORARRAY($CP$15),1+MOD(ROWS($DG$15:$DG34)-1,ROWS(_xlfn.ANCHORARRAY($CP$15))))</f>
        <v>4</v>
      </c>
      <c r="DH34" s="10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$B$18/($B$19*$B$19*($DF34&lt;&gt;$DG34) + $B$19*($DF34=$DG34))</f>
        <v>1.1999999999999999E-3</v>
      </c>
      <c r="DI34" s="10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$B$18/($B$19*$B$19*($DF34&lt;&gt;$DG34) + $B$19*($DF34=$DG34))</f>
        <v>6.6203003401930277E-2</v>
      </c>
      <c r="DJ34" s="10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$B$18/($B$19*$B$19*($DF34&lt;&gt;$DG34) + $B$19*($DF34=$DG34))</f>
        <v>1.1999999999999999E-3</v>
      </c>
      <c r="DK34" s="10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$B$18/($B$19*$B$19*($DF34&lt;&gt;$DG34) + $B$19*($DF34=$DG34))</f>
        <v>6.6203003401930277E-2</v>
      </c>
      <c r="DL34" s="10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$B$18/($B$19*$B$19*($DF34&lt;&gt;$DG34) + $B$19*($DF34=$DG34))</f>
        <v>1.1999999999999999E-3</v>
      </c>
      <c r="DM34" s="10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$B$18/($B$19*$B$19*($DF34&lt;&gt;$DG34) + $B$19*($DF34=$DG34))</f>
        <v>1.1999999999999999E-3</v>
      </c>
      <c r="DN34" s="10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$B$18/($B$19*$B$19*($DF34&lt;&gt;$DG34) + $B$19*($DF34=$DG34))</f>
        <v>1.1999999999999999E-3</v>
      </c>
      <c r="DO34" s="10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$B$18/($B$19*$B$19*($DF34&lt;&gt;$DG34) + $B$19*($DF34=$DG34))</f>
        <v>1.1999999999999999E-3</v>
      </c>
      <c r="DP34" s="10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$B$18/($B$19*$B$19*($DF34&lt;&gt;$DG34) + $B$19*($DF34=$DG34))</f>
        <v>1.1999999999999999E-3</v>
      </c>
      <c r="DQ34" s="10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$B$18/($B$19*$B$19*($DF34&lt;&gt;$DG34) + $B$19*($DF34=$DG34))</f>
        <v>1.1999999999999999E-3</v>
      </c>
      <c r="DR34" s="10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$B$18/($B$19*$B$19*($DF34&lt;&gt;$DG34) + $B$19*($DF34=$DG34))</f>
        <v>0.4158886280806528</v>
      </c>
      <c r="DS34" s="10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$B$18/($B$19*$B$19*($DF34&lt;&gt;$DG34) + $B$19*($DF34=$DG34))</f>
        <v>6.6203003401930277E-2</v>
      </c>
      <c r="DT34" s="10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$B$18/($B$19*$B$19*($DF34&lt;&gt;$DG34) + $B$19*($DF34=$DG34))</f>
        <v>1.1999999999999999E-3</v>
      </c>
      <c r="DU34" s="10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$B$18/($B$19*$B$19*($DF34&lt;&gt;$DG34) + $B$19*($DF34=$DG34))</f>
        <v>6.6203003401930277E-2</v>
      </c>
      <c r="DV34" s="10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$B$18/($B$19*$B$19*($DF34&lt;&gt;$DG34) + $B$19*($DF34=$DG34))</f>
        <v>5.3202402721544216E-2</v>
      </c>
      <c r="DW34" s="10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$B$18/($B$19*$B$19*($DF34&lt;&gt;$DG34) + $B$19*($DF34=$DG34))</f>
        <v>1.1999999999999999E-3</v>
      </c>
    </row>
    <row r="35" spans="4:127" x14ac:dyDescent="0.2">
      <c r="J35" cm="1">
        <f t="array" aca="1" ref="J35" ca="1">SUMPRODUCT((O35:AJ35=$O$11:$AJ$11)*(O$13:AJ$13=TRUE))  / COUNTIF(O$13:AJ$13,TRUE)</f>
        <v>0</v>
      </c>
      <c r="K35" t="b">
        <f t="shared" ca="1" si="9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3"/>
        <v>0</v>
      </c>
      <c r="N35" s="2">
        <v>20</v>
      </c>
      <c r="O35" s="12" t="s">
        <v>3</v>
      </c>
      <c r="P35" s="12" t="s">
        <v>3</v>
      </c>
      <c r="Q35" s="12" t="s">
        <v>3</v>
      </c>
      <c r="R35" s="12" t="s">
        <v>0</v>
      </c>
      <c r="S35" s="12" t="s">
        <v>0</v>
      </c>
      <c r="DF35" cm="1">
        <f t="array" aca="1" ref="DF35" ca="1">INDEX(_xlfn.ANCHORARRAY($CP$15), 1 + INT((ROWS($DG$15:$DG35) - 1) / ROWS(_xlfn.ANCHORARRAY($CP$15))))</f>
        <v>4</v>
      </c>
      <c r="DG35" cm="1">
        <f t="array" aca="1" ref="DG35" ca="1">INDEX(_xlfn.ANCHORARRAY($CP$15),1+MOD(ROWS($DG$15:$DG35)-1,ROWS(_xlfn.ANCHORARRAY($CP$15))))</f>
        <v>0</v>
      </c>
      <c r="DH35" s="10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$B$18/($B$19*$B$19*($DF35&lt;&gt;$DG35) + $B$19*($DF35=$DG35))</f>
        <v>1.1999999999999999E-3</v>
      </c>
      <c r="DI35" s="10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$B$18/($B$19*$B$19*($DF35&lt;&gt;$DG35) + $B$19*($DF35=$DG35))</f>
        <v>1.1999999999999999E-3</v>
      </c>
      <c r="DJ35" s="10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$B$18/($B$19*$B$19*($DF35&lt;&gt;$DG35) + $B$19*($DF35=$DG35))</f>
        <v>1.1999999999999999E-3</v>
      </c>
      <c r="DK35" s="10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$B$18/($B$19*$B$19*($DF35&lt;&gt;$DG35) + $B$19*($DF35=$DG35))</f>
        <v>1.1999999999999999E-3</v>
      </c>
      <c r="DL35" s="10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$B$18/($B$19*$B$19*($DF35&lt;&gt;$DG35) + $B$19*($DF35=$DG35))</f>
        <v>0.13120600680386055</v>
      </c>
      <c r="DM35" s="10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$B$18/($B$19*$B$19*($DF35&lt;&gt;$DG35) + $B$19*($DF35=$DG35))</f>
        <v>1.1999999999999999E-3</v>
      </c>
      <c r="DN35" s="10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$B$18/($B$19*$B$19*($DF35&lt;&gt;$DG35) + $B$19*($DF35=$DG35))</f>
        <v>1.1999999999999999E-3</v>
      </c>
      <c r="DO35" s="10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$B$18/($B$19*$B$19*($DF35&lt;&gt;$DG35) + $B$19*($DF35=$DG35))</f>
        <v>1.1999999999999999E-3</v>
      </c>
      <c r="DP35" s="10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$B$18/($B$19*$B$19*($DF35&lt;&gt;$DG35) + $B$19*($DF35=$DG35))</f>
        <v>0.18129655648417151</v>
      </c>
      <c r="DQ35" s="10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$B$18/($B$19*$B$19*($DF35&lt;&gt;$DG35) + $B$19*($DF35=$DG35))</f>
        <v>0.10360249051329294</v>
      </c>
      <c r="DR35" s="10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$B$18/($B$19*$B$19*($DF35&lt;&gt;$DG35) + $B$19*($DF35=$DG35))</f>
        <v>0.14551619180186789</v>
      </c>
      <c r="DS35" s="10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$B$18/($B$19*$B$19*($DF35&lt;&gt;$DG35) + $B$19*($DF35=$DG35))</f>
        <v>0.10607879540479505</v>
      </c>
      <c r="DT35" s="10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$B$18/($B$19*$B$19*($DF35&lt;&gt;$DG35) + $B$19*($DF35=$DG35))</f>
        <v>1.1999999999999999E-3</v>
      </c>
      <c r="DU35" s="10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$B$18/($B$19*$B$19*($DF35&lt;&gt;$DG35) + $B$19*($DF35=$DG35))</f>
        <v>1.1999999999999999E-3</v>
      </c>
      <c r="DV35" s="10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$B$18/($B$19*$B$19*($DF35&lt;&gt;$DG35) + $B$19*($DF35=$DG35))</f>
        <v>1.1999999999999999E-3</v>
      </c>
      <c r="DW35" s="10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$B$18/($B$19*$B$19*($DF35&lt;&gt;$DG35) + $B$19*($DF35=$DG35))</f>
        <v>6.6203003401930277E-2</v>
      </c>
    </row>
    <row r="36" spans="4:127" x14ac:dyDescent="0.2">
      <c r="J36" cm="1">
        <f t="array" aca="1" ref="J36" ca="1">SUMPRODUCT((O36:AJ36=$O$11:$AJ$11)*(O$13:AJ$13=TRUE))  / COUNTIF(O$13:AJ$13,TRUE)</f>
        <v>0.2</v>
      </c>
      <c r="K36" t="b">
        <f t="shared" ca="1" si="9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3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cm="1">
        <f t="array" aca="1" ref="DF36" ca="1">INDEX(_xlfn.ANCHORARRAY($CP$15), 1 + INT((ROWS($DG$15:$DG36) - 1) / ROWS(_xlfn.ANCHORARRAY($CP$15))))</f>
        <v>4</v>
      </c>
      <c r="DG36" cm="1">
        <f t="array" aca="1" ref="DG36" ca="1">INDEX(_xlfn.ANCHORARRAY($CP$15),1+MOD(ROWS($DG$15:$DG36)-1,ROWS(_xlfn.ANCHORARRAY($CP$15))))</f>
        <v>1</v>
      </c>
      <c r="DH36" s="10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$B$18/($B$19*$B$19*($DF36&lt;&gt;$DG36) + $B$19*($DF36=$DG36))</f>
        <v>1.1999999999999999E-3</v>
      </c>
      <c r="DI36" s="10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$B$18/($B$19*$B$19*($DF36&lt;&gt;$DG36) + $B$19*($DF36=$DG36))</f>
        <v>1.1999999999999999E-3</v>
      </c>
      <c r="DJ36" s="10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$B$18/($B$19*$B$19*($DF36&lt;&gt;$DG36) + $B$19*($DF36=$DG36))</f>
        <v>1.1999999999999999E-3</v>
      </c>
      <c r="DK36" s="10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$B$18/($B$19*$B$19*($DF36&lt;&gt;$DG36) + $B$19*($DF36=$DG36))</f>
        <v>1.1999999999999999E-3</v>
      </c>
      <c r="DL36" s="10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$B$18/($B$19*$B$19*($DF36&lt;&gt;$DG36) + $B$19*($DF36=$DG36))</f>
        <v>1.1999999999999999E-3</v>
      </c>
      <c r="DM36" s="10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$B$18/($B$19*$B$19*($DF36&lt;&gt;$DG36) + $B$19*($DF36=$DG36))</f>
        <v>1.1999999999999999E-3</v>
      </c>
      <c r="DN36" s="10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$B$18/($B$19*$B$19*($DF36&lt;&gt;$DG36) + $B$19*($DF36=$DG36))</f>
        <v>1.1999999999999999E-3</v>
      </c>
      <c r="DO36" s="10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$B$18/($B$19*$B$19*($DF36&lt;&gt;$DG36) + $B$19*($DF36=$DG36))</f>
        <v>0.13120600680386055</v>
      </c>
      <c r="DP36" s="10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$B$18/($B$19*$B$19*($DF36&lt;&gt;$DG36) + $B$19*($DF36=$DG36))</f>
        <v>1.1999999999999999E-3</v>
      </c>
      <c r="DQ36" s="10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$B$18/($B$19*$B$19*($DF36&lt;&gt;$DG36) + $B$19*($DF36=$DG36))</f>
        <v>0.2051856154374859</v>
      </c>
      <c r="DR36" s="10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$B$18/($B$19*$B$19*($DF36&lt;&gt;$DG36) + $B$19*($DF36=$DG36))</f>
        <v>0.11549099499240487</v>
      </c>
      <c r="DS36" s="10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$B$18/($B$19*$B$19*($DF36&lt;&gt;$DG36) + $B$19*($DF36=$DG36))</f>
        <v>0.17747285040170502</v>
      </c>
      <c r="DT36" s="10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$B$18/($B$19*$B$19*($DF36&lt;&gt;$DG36) + $B$19*($DF36=$DG36))</f>
        <v>1.1999999999999999E-3</v>
      </c>
      <c r="DU36" s="10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$B$18/($B$19*$B$19*($DF36&lt;&gt;$DG36) + $B$19*($DF36=$DG36))</f>
        <v>6.6203003401930277E-2</v>
      </c>
      <c r="DV36" s="10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$B$18/($B$19*$B$19*($DF36&lt;&gt;$DG36) + $B$19*($DF36=$DG36))</f>
        <v>1.1999999999999999E-3</v>
      </c>
      <c r="DW36" s="10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$B$18/($B$19*$B$19*($DF36&lt;&gt;$DG36) + $B$19*($DF36=$DG36))</f>
        <v>6.6203003401930277E-2</v>
      </c>
    </row>
    <row r="37" spans="4:127" x14ac:dyDescent="0.2">
      <c r="J37" cm="1">
        <f t="array" aca="1" ref="J37" ca="1">SUMPRODUCT((O37:AJ37=$O$11:$AJ$11)*(O$13:AJ$13=TRUE))  / COUNTIF(O$13:AJ$13,TRUE)</f>
        <v>0.4</v>
      </c>
      <c r="K37" t="b">
        <f t="shared" ca="1" si="9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3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cm="1">
        <f t="array" aca="1" ref="DF37" ca="1">INDEX(_xlfn.ANCHORARRAY($CP$15), 1 + INT((ROWS($DG$15:$DG37) - 1) / ROWS(_xlfn.ANCHORARRAY($CP$15))))</f>
        <v>4</v>
      </c>
      <c r="DG37" cm="1">
        <f t="array" aca="1" ref="DG37" ca="1">INDEX(_xlfn.ANCHORARRAY($CP$15),1+MOD(ROWS($DG$15:$DG37)-1,ROWS(_xlfn.ANCHORARRAY($CP$15))))</f>
        <v>2</v>
      </c>
      <c r="DH37" s="10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$B$18/($B$19*$B$19*($DF37&lt;&gt;$DG37) + $B$19*($DF37=$DG37))</f>
        <v>1.1999999999999999E-3</v>
      </c>
      <c r="DI37" s="10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$B$18/($B$19*$B$19*($DF37&lt;&gt;$DG37) + $B$19*($DF37=$DG37))</f>
        <v>1.1999999999999999E-3</v>
      </c>
      <c r="DJ37" s="10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$B$18/($B$19*$B$19*($DF37&lt;&gt;$DG37) + $B$19*($DF37=$DG37))</f>
        <v>1.1999999999999999E-3</v>
      </c>
      <c r="DK37" s="10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$B$18/($B$19*$B$19*($DF37&lt;&gt;$DG37) + $B$19*($DF37=$DG37))</f>
        <v>1.1999999999999999E-3</v>
      </c>
      <c r="DL37" s="10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$B$18/($B$19*$B$19*($DF37&lt;&gt;$DG37) + $B$19*($DF37=$DG37))</f>
        <v>1.1999999999999999E-3</v>
      </c>
      <c r="DM37" s="10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$B$18/($B$19*$B$19*($DF37&lt;&gt;$DG37) + $B$19*($DF37=$DG37))</f>
        <v>0.13120600680386055</v>
      </c>
      <c r="DN37" s="10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$B$18/($B$19*$B$19*($DF37&lt;&gt;$DG37) + $B$19*($DF37=$DG37))</f>
        <v>1.1999999999999999E-3</v>
      </c>
      <c r="DO37" s="10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$B$18/($B$19*$B$19*($DF37&lt;&gt;$DG37) + $B$19*($DF37=$DG37))</f>
        <v>1.1999999999999999E-3</v>
      </c>
      <c r="DP37" s="10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$B$18/($B$19*$B$19*($DF37&lt;&gt;$DG37) + $B$19*($DF37=$DG37))</f>
        <v>7.3012841853561078E-2</v>
      </c>
      <c r="DQ37" s="10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$B$18/($B$19*$B$19*($DF37&lt;&gt;$DG37) + $B$19*($DF37=$DG37))</f>
        <v>0.17747285040170502</v>
      </c>
      <c r="DR37" s="10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$B$18/($B$19*$B$19*($DF37&lt;&gt;$DG37) + $B$19*($DF37=$DG37))</f>
        <v>0.11549099499240487</v>
      </c>
      <c r="DS37" s="10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$B$18/($B$19*$B$19*($DF37&lt;&gt;$DG37) + $B$19*($DF37=$DG37))</f>
        <v>0.1055143435545262</v>
      </c>
      <c r="DT37" s="10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$B$18/($B$19*$B$19*($DF37&lt;&gt;$DG37) + $B$19*($DF37=$DG37))</f>
        <v>6.6203003401930277E-2</v>
      </c>
      <c r="DU37" s="10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$B$18/($B$19*$B$19*($DF37&lt;&gt;$DG37) + $B$19*($DF37=$DG37))</f>
        <v>6.6203003401930277E-2</v>
      </c>
      <c r="DV37" s="10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$B$18/($B$19*$B$19*($DF37&lt;&gt;$DG37) + $B$19*($DF37=$DG37))</f>
        <v>1.1999999999999999E-3</v>
      </c>
      <c r="DW37" s="10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$B$18/($B$19*$B$19*($DF37&lt;&gt;$DG37) + $B$19*($DF37=$DG37))</f>
        <v>1.1999999999999999E-3</v>
      </c>
    </row>
    <row r="38" spans="4:127" x14ac:dyDescent="0.2">
      <c r="AK38" s="8"/>
      <c r="AL38" s="8"/>
      <c r="AM38" s="3"/>
      <c r="DF38" cm="1">
        <f t="array" aca="1" ref="DF38" ca="1">INDEX(_xlfn.ANCHORARRAY($CP$15), 1 + INT((ROWS($DG$15:$DG38) - 1) / ROWS(_xlfn.ANCHORARRAY($CP$15))))</f>
        <v>4</v>
      </c>
      <c r="DG38" cm="1">
        <f t="array" aca="1" ref="DG38" ca="1">INDEX(_xlfn.ANCHORARRAY($CP$15),1+MOD(ROWS($DG$15:$DG38)-1,ROWS(_xlfn.ANCHORARRAY($CP$15))))</f>
        <v>3</v>
      </c>
      <c r="DH38" s="10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$B$18/($B$19*$B$19*($DF38&lt;&gt;$DG38) + $B$19*($DF38=$DG38))</f>
        <v>1.1999999999999999E-3</v>
      </c>
      <c r="DI38" s="10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$B$18/($B$19*$B$19*($DF38&lt;&gt;$DG38) + $B$19*($DF38=$DG38))</f>
        <v>1.1999999999999999E-3</v>
      </c>
      <c r="DJ38" s="10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$B$18/($B$19*$B$19*($DF38&lt;&gt;$DG38) + $B$19*($DF38=$DG38))</f>
        <v>1.1999999999999999E-3</v>
      </c>
      <c r="DK38" s="10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$B$18/($B$19*$B$19*($DF38&lt;&gt;$DG38) + $B$19*($DF38=$DG38))</f>
        <v>1.1999999999999999E-3</v>
      </c>
      <c r="DL38" s="10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$B$18/($B$19*$B$19*($DF38&lt;&gt;$DG38) + $B$19*($DF38=$DG38))</f>
        <v>6.6203003401930277E-2</v>
      </c>
      <c r="DM38" s="10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$B$18/($B$19*$B$19*($DF38&lt;&gt;$DG38) + $B$19*($DF38=$DG38))</f>
        <v>1.1999999999999999E-3</v>
      </c>
      <c r="DN38" s="10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$B$18/($B$19*$B$19*($DF38&lt;&gt;$DG38) + $B$19*($DF38=$DG38))</f>
        <v>1.1999999999999999E-3</v>
      </c>
      <c r="DO38" s="10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$B$18/($B$19*$B$19*($DF38&lt;&gt;$DG38) + $B$19*($DF38=$DG38))</f>
        <v>6.6203003401930277E-2</v>
      </c>
      <c r="DP38" s="10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$B$18/($B$19*$B$19*($DF38&lt;&gt;$DG38) + $B$19*($DF38=$DG38))</f>
        <v>1.1999999999999999E-3</v>
      </c>
      <c r="DQ38" s="10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$B$18/($B$19*$B$19*($DF38&lt;&gt;$DG38) + $B$19*($DF38=$DG38))</f>
        <v>1.1999999999999999E-3</v>
      </c>
      <c r="DR38" s="10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$B$18/($B$19*$B$19*($DF38&lt;&gt;$DG38) + $B$19*($DF38=$DG38))</f>
        <v>0.4158886280806528</v>
      </c>
      <c r="DS38" s="10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$B$18/($B$19*$B$19*($DF38&lt;&gt;$DG38) + $B$19*($DF38=$DG38))</f>
        <v>5.3202402721544216E-2</v>
      </c>
      <c r="DT38" s="10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$B$18/($B$19*$B$19*($DF38&lt;&gt;$DG38) + $B$19*($DF38=$DG38))</f>
        <v>6.6203003401930277E-2</v>
      </c>
      <c r="DU38" s="10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$B$18/($B$19*$B$19*($DF38&lt;&gt;$DG38) + $B$19*($DF38=$DG38))</f>
        <v>1.1999999999999999E-3</v>
      </c>
      <c r="DV38" s="10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$B$18/($B$19*$B$19*($DF38&lt;&gt;$DG38) + $B$19*($DF38=$DG38))</f>
        <v>6.6203003401930277E-2</v>
      </c>
      <c r="DW38" s="10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$B$18/($B$19*$B$19*($DF38&lt;&gt;$DG38) + $B$19*($DF38=$DG38))</f>
        <v>1.1999999999999999E-3</v>
      </c>
    </row>
    <row r="39" spans="4:127" x14ac:dyDescent="0.2">
      <c r="AK39" s="8"/>
      <c r="AL39" s="8"/>
      <c r="DF39" cm="1">
        <f t="array" aca="1" ref="DF39" ca="1">INDEX(_xlfn.ANCHORARRAY($CP$15), 1 + INT((ROWS($DG$15:$DG39) - 1) / ROWS(_xlfn.ANCHORARRAY($CP$15))))</f>
        <v>4</v>
      </c>
      <c r="DG39" cm="1">
        <f t="array" aca="1" ref="DG39" ca="1">INDEX(_xlfn.ANCHORARRAY($CP$15),1+MOD(ROWS($DG$15:$DG39)-1,ROWS(_xlfn.ANCHORARRAY($CP$15))))</f>
        <v>4</v>
      </c>
      <c r="DH39" s="10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$B$18/($B$19*$B$19*($DF39&lt;&gt;$DG39) + $B$19*($DF39=$DG39))</f>
        <v>6.0000000000000001E-3</v>
      </c>
      <c r="DI39" s="10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$B$18/($B$19*$B$19*($DF39&lt;&gt;$DG39) + $B$19*($DF39=$DG39))</f>
        <v>6.0000000000000001E-3</v>
      </c>
      <c r="DJ39" s="10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$B$18/($B$19*$B$19*($DF39&lt;&gt;$DG39) + $B$19*($DF39=$DG39))</f>
        <v>6.0000000000000001E-3</v>
      </c>
      <c r="DK39" s="10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$B$18/($B$19*$B$19*($DF39&lt;&gt;$DG39) + $B$19*($DF39=$DG39))</f>
        <v>6.0000000000000001E-3</v>
      </c>
      <c r="DL39" s="10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$B$18/($B$19*$B$19*($DF39&lt;&gt;$DG39) + $B$19*($DF39=$DG39))</f>
        <v>6.0000000000000001E-3</v>
      </c>
      <c r="DM39" s="10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$B$18/($B$19*$B$19*($DF39&lt;&gt;$DG39) + $B$19*($DF39=$DG39))</f>
        <v>0.13600600680386055</v>
      </c>
      <c r="DN39" s="10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$B$18/($B$19*$B$19*($DF39&lt;&gt;$DG39) + $B$19*($DF39=$DG39))</f>
        <v>6.0000000000000001E-3</v>
      </c>
      <c r="DO39" s="10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$B$18/($B$19*$B$19*($DF39&lt;&gt;$DG39) + $B$19*($DF39=$DG39))</f>
        <v>6.0000000000000001E-3</v>
      </c>
      <c r="DP39" s="10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$B$18/($B$19*$B$19*($DF39&lt;&gt;$DG39) + $B$19*($DF39=$DG39))</f>
        <v>6.0000000000000001E-3</v>
      </c>
      <c r="DQ39" s="10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$B$18/($B$19*$B$19*($DF39&lt;&gt;$DG39) + $B$19*($DF39=$DG39))</f>
        <v>6.0000000000000001E-3</v>
      </c>
      <c r="DR39" s="10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$B$18/($B$19*$B$19*($DF39&lt;&gt;$DG39) + $B$19*($DF39=$DG39))</f>
        <v>0.53769403420412731</v>
      </c>
      <c r="DS39" s="10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$B$18/($B$19*$B$19*($DF39&lt;&gt;$DG39) + $B$19*($DF39=$DG39))</f>
        <v>6.0000000000000001E-3</v>
      </c>
      <c r="DT39" s="10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$B$18/($B$19*$B$19*($DF39&lt;&gt;$DG39) + $B$19*($DF39=$DG39))</f>
        <v>6.0000000000000001E-3</v>
      </c>
      <c r="DU39" s="10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$B$18/($B$19*$B$19*($DF39&lt;&gt;$DG39) + $B$19*($DF39=$DG39))</f>
        <v>6.0000000000000001E-3</v>
      </c>
      <c r="DV39" s="10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$B$18/($B$19*$B$19*($DF39&lt;&gt;$DG39) + $B$19*($DF39=$DG39))</f>
        <v>6.0000000000000001E-3</v>
      </c>
      <c r="DW39" s="10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$B$18/($B$19*$B$19*($DF39&lt;&gt;$DG39) + $B$19*($DF39=$DG39))</f>
        <v>0.13600600680386055</v>
      </c>
    </row>
    <row r="40" spans="4:127" x14ac:dyDescent="0.2">
      <c r="AK40" s="7"/>
      <c r="AL40" s="2"/>
    </row>
    <row r="41" spans="4:127" x14ac:dyDescent="0.2">
      <c r="AK41" s="2"/>
      <c r="AL41" s="2"/>
    </row>
    <row r="42" spans="4:127" x14ac:dyDescent="0.2">
      <c r="AK42" s="2"/>
      <c r="AL42" s="2"/>
    </row>
    <row r="43" spans="4:127" x14ac:dyDescent="0.2">
      <c r="AK43" s="2"/>
      <c r="AL43" s="2"/>
    </row>
    <row r="44" spans="4:127" x14ac:dyDescent="0.2">
      <c r="AK44" s="2"/>
      <c r="AL44" s="2"/>
    </row>
    <row r="45" spans="4:127" x14ac:dyDescent="0.2">
      <c r="AK45" s="2"/>
      <c r="AL45" s="2"/>
    </row>
    <row r="46" spans="4:127" x14ac:dyDescent="0.2">
      <c r="AK46" s="2"/>
      <c r="AL46" s="2"/>
    </row>
    <row r="47" spans="4:127" x14ac:dyDescent="0.2">
      <c r="AK47" s="2"/>
      <c r="AL47" s="2"/>
    </row>
    <row r="48" spans="4:127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6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5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4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3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2" priority="9" stopIfTrue="1">
      <formula>AND($M15, O$13)</formula>
    </cfRule>
    <cfRule type="expression" dxfId="1" priority="10" stopIfTrue="1">
      <formula>NOT(AND($M15, O$13))</formula>
    </cfRule>
  </conditionalFormatting>
  <conditionalFormatting sqref="P11:S11">
    <cfRule type="expression" dxfId="0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msa</vt:lpstr>
      <vt:lpstr>Sheet2</vt:lpstr>
      <vt:lpstr>test_msa04</vt:lpstr>
      <vt:lpstr>test_msa05</vt:lpstr>
      <vt:lpstr>test_msa06</vt:lpstr>
      <vt:lpstr>test_msa07</vt:lpstr>
      <vt:lpstr>test_msa08</vt:lpstr>
      <vt:lpstr>test_msa07b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Addison Howe</dc:creator>
  <cp:lastModifiedBy>Addison Howe</cp:lastModifiedBy>
  <dcterms:created xsi:type="dcterms:W3CDTF">2025-09-20T14:22:40Z</dcterms:created>
  <dcterms:modified xsi:type="dcterms:W3CDTF">2026-04-21T03:29:44Z</dcterms:modified>
</cp:coreProperties>
</file>